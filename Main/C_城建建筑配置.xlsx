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G:\T3\common\excel\xls\Main\"/>
    </mc:Choice>
  </mc:AlternateContent>
  <xr:revisionPtr revIDLastSave="0" documentId="13_ncr:1_{031C49FB-F074-47DF-A369-C30DD37CD89E}" xr6:coauthVersionLast="47" xr6:coauthVersionMax="47" xr10:uidLastSave="{00000000-0000-0000-0000-000000000000}"/>
  <bookViews>
    <workbookView xWindow="2060" yWindow="2520" windowWidth="27970" windowHeight="18030" tabRatio="753" activeTab="3" xr2:uid="{00000000-000D-0000-FFFF-FFFF00000000}"/>
  </bookViews>
  <sheets>
    <sheet name="#部分建筑buff配置索引" sheetId="1" r:id="rId1"/>
    <sheet name="#建筑消耗索引" sheetId="2" r:id="rId2"/>
    <sheet name="建筑修复聚焦参数表(废弃）" sheetId="3" r:id="rId3"/>
    <sheet name="建筑基础配置" sheetId="4" r:id="rId4"/>
    <sheet name="建筑修复配置" sheetId="5" r:id="rId5"/>
    <sheet name="#建筑升级表（废弃）" sheetId="6" state="hidden" r:id="rId6"/>
    <sheet name="建筑升级表" sheetId="20" r:id="rId7"/>
    <sheet name="#建筑修复聚焦参数表(废弃）" sheetId="7" r:id="rId8"/>
    <sheet name="建筑修复镜头参数表" sheetId="8" r:id="rId9"/>
    <sheet name="城市事务表" sheetId="9" r:id="rId10"/>
    <sheet name="#建筑消耗和buff配置索引" sheetId="10" r:id="rId11"/>
    <sheet name="建筑聚焦参数表" sheetId="11" r:id="rId12"/>
    <sheet name="多文明默认位置" sheetId="12" r:id="rId13"/>
    <sheet name="城内行军基础速度" sheetId="13" r:id="rId14"/>
    <sheet name="城内部队出生点" sheetId="14" r:id="rId15"/>
    <sheet name="连路配置" sheetId="15" r:id="rId16"/>
    <sheet name="城镇中心修复后建筑迁移表" sheetId="16" r:id="rId17"/>
    <sheet name="#Sheet1" sheetId="17" r:id="rId18"/>
    <sheet name="#建筑基础配置 (备份)" sheetId="18" r:id="rId19"/>
    <sheet name="#TID_base_up" sheetId="19" r:id="rId20"/>
  </sheets>
  <definedNames>
    <definedName name="_xlnm._FilterDatabase" localSheetId="6" hidden="1">建筑升级表!$A$3:$BI$648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9" i="12" l="1"/>
  <c r="G437" i="12"/>
  <c r="G375" i="12"/>
  <c r="G313" i="12"/>
  <c r="G251" i="12"/>
  <c r="G189" i="12"/>
  <c r="G127" i="12"/>
  <c r="G65" i="12"/>
  <c r="G498" i="12"/>
  <c r="G497" i="12"/>
  <c r="G496" i="12"/>
  <c r="G495" i="12"/>
  <c r="G494" i="12"/>
  <c r="G493" i="12"/>
  <c r="G492" i="12"/>
  <c r="G491" i="12"/>
  <c r="G490" i="12"/>
  <c r="G489" i="12"/>
  <c r="G488" i="12"/>
  <c r="G487" i="12"/>
  <c r="G486" i="12"/>
  <c r="G485" i="12"/>
  <c r="G484" i="12"/>
  <c r="G483" i="12"/>
  <c r="G482" i="12"/>
  <c r="G481" i="12"/>
  <c r="G480" i="12"/>
  <c r="G479" i="12"/>
  <c r="G478" i="12"/>
  <c r="G477" i="12"/>
  <c r="G476" i="12"/>
  <c r="G475" i="12"/>
  <c r="G474" i="12"/>
  <c r="G473" i="12"/>
  <c r="G472" i="12"/>
  <c r="G471" i="12"/>
  <c r="G470" i="12"/>
  <c r="G469" i="12"/>
  <c r="G468" i="12"/>
  <c r="G467" i="12"/>
  <c r="G466" i="12"/>
  <c r="G465" i="12"/>
  <c r="G464" i="12"/>
  <c r="G463" i="12"/>
  <c r="G462" i="12"/>
  <c r="G461" i="12"/>
  <c r="G460" i="12"/>
  <c r="G459" i="12"/>
  <c r="G458" i="12"/>
  <c r="G457" i="12"/>
  <c r="G456" i="12"/>
  <c r="G455" i="12"/>
  <c r="G454" i="12"/>
  <c r="G453" i="12"/>
  <c r="G452" i="12"/>
  <c r="G451" i="12"/>
  <c r="G450" i="12"/>
  <c r="G449" i="12"/>
  <c r="G448" i="12"/>
  <c r="G447" i="12"/>
  <c r="G446" i="12"/>
  <c r="G445" i="12"/>
  <c r="G444" i="12"/>
  <c r="G443" i="12"/>
  <c r="G442" i="12"/>
  <c r="G441" i="12"/>
  <c r="G440" i="12"/>
  <c r="G439" i="12"/>
  <c r="G438" i="12"/>
  <c r="G436" i="12"/>
  <c r="G435" i="12"/>
  <c r="G434" i="12"/>
  <c r="G433" i="12"/>
  <c r="G432" i="12"/>
  <c r="G431" i="12"/>
  <c r="G430" i="12"/>
  <c r="G429" i="12"/>
  <c r="G428" i="12"/>
  <c r="G427" i="12"/>
  <c r="G426" i="12"/>
  <c r="G425" i="12"/>
  <c r="G424" i="12"/>
  <c r="G423" i="12"/>
  <c r="G422" i="12"/>
  <c r="G421" i="12"/>
  <c r="G420" i="12"/>
  <c r="G419" i="12"/>
  <c r="G418" i="12"/>
  <c r="G417" i="12"/>
  <c r="G416" i="12"/>
  <c r="G415" i="12"/>
  <c r="G414" i="12"/>
  <c r="G413" i="12"/>
  <c r="G412" i="12"/>
  <c r="G411" i="12"/>
  <c r="G410" i="12"/>
  <c r="G409" i="12"/>
  <c r="G408" i="12"/>
  <c r="G407" i="12"/>
  <c r="G406" i="12"/>
  <c r="G405" i="12"/>
  <c r="G404" i="12"/>
  <c r="G403" i="12"/>
  <c r="G402" i="12"/>
  <c r="G401" i="12"/>
  <c r="G400" i="12"/>
  <c r="G399" i="12"/>
  <c r="G398" i="12"/>
  <c r="G397" i="12"/>
  <c r="G396" i="12"/>
  <c r="G395" i="12"/>
  <c r="G394" i="12"/>
  <c r="G393" i="12"/>
  <c r="G392" i="12"/>
  <c r="G391" i="12"/>
  <c r="G390" i="12"/>
  <c r="G389" i="12"/>
  <c r="G388" i="12"/>
  <c r="G387" i="12"/>
  <c r="G386" i="12"/>
  <c r="G385" i="12"/>
  <c r="G384" i="12"/>
  <c r="G383" i="12"/>
  <c r="G382" i="12"/>
  <c r="G381" i="12"/>
  <c r="G380" i="12"/>
  <c r="G379" i="12"/>
  <c r="G378" i="12"/>
  <c r="G377" i="12"/>
  <c r="G376" i="12"/>
  <c r="G374" i="12"/>
  <c r="G373" i="12"/>
  <c r="G372" i="12"/>
  <c r="G371" i="12"/>
  <c r="G370" i="12"/>
  <c r="G369" i="12"/>
  <c r="G368" i="12"/>
  <c r="G367" i="12"/>
  <c r="G366" i="12"/>
  <c r="G365" i="12"/>
  <c r="G364" i="12"/>
  <c r="G363" i="12"/>
  <c r="G362" i="12"/>
  <c r="G361" i="12"/>
  <c r="G360" i="12"/>
  <c r="G359" i="12"/>
  <c r="G358" i="12"/>
  <c r="G357" i="12"/>
  <c r="G356" i="12"/>
  <c r="G355" i="12"/>
  <c r="G354" i="12"/>
  <c r="G353" i="12"/>
  <c r="G352" i="12"/>
  <c r="G351" i="12"/>
  <c r="G350" i="12"/>
  <c r="G349" i="12"/>
  <c r="G348" i="12"/>
  <c r="G347" i="12"/>
  <c r="G346" i="12"/>
  <c r="G345" i="12"/>
  <c r="G344" i="12"/>
  <c r="G343" i="12"/>
  <c r="G342" i="12"/>
  <c r="G341" i="12"/>
  <c r="G340" i="12"/>
  <c r="G339" i="12"/>
  <c r="G338" i="12"/>
  <c r="G337" i="12"/>
  <c r="G336" i="12"/>
  <c r="G335" i="12"/>
  <c r="G334" i="12"/>
  <c r="G333" i="12"/>
  <c r="G332" i="12"/>
  <c r="G331" i="12"/>
  <c r="G330" i="12"/>
  <c r="G329" i="12"/>
  <c r="G328" i="12"/>
  <c r="G327" i="12"/>
  <c r="G326" i="12"/>
  <c r="G325" i="12"/>
  <c r="G324" i="12"/>
  <c r="G323" i="12"/>
  <c r="G322" i="12"/>
  <c r="G321" i="12"/>
  <c r="G320" i="12"/>
  <c r="G319" i="12"/>
  <c r="G318" i="12"/>
  <c r="G317" i="12"/>
  <c r="G316" i="12"/>
  <c r="G315" i="12"/>
  <c r="G314" i="12"/>
  <c r="G312" i="12"/>
  <c r="G311" i="12"/>
  <c r="G310" i="12"/>
  <c r="G309" i="12"/>
  <c r="G308" i="12"/>
  <c r="G307" i="12"/>
  <c r="G306" i="12"/>
  <c r="G305" i="12"/>
  <c r="G304" i="12"/>
  <c r="G303" i="12"/>
  <c r="G302" i="12"/>
  <c r="G301" i="12"/>
  <c r="G300" i="12"/>
  <c r="G299" i="12"/>
  <c r="G298" i="12"/>
  <c r="G297" i="12"/>
  <c r="G296" i="12"/>
  <c r="G295" i="12"/>
  <c r="G294" i="12"/>
  <c r="G293" i="12"/>
  <c r="G292" i="12"/>
  <c r="G291" i="12"/>
  <c r="G290" i="12"/>
  <c r="G289" i="12"/>
  <c r="G288" i="12"/>
  <c r="G287" i="12"/>
  <c r="G286" i="12"/>
  <c r="G285" i="12"/>
  <c r="G284" i="12"/>
  <c r="G283" i="12"/>
  <c r="G282" i="12"/>
  <c r="G281" i="12"/>
  <c r="G280" i="12"/>
  <c r="G279" i="12"/>
  <c r="G278" i="12"/>
  <c r="G277" i="12"/>
  <c r="G276" i="12"/>
  <c r="G275" i="12"/>
  <c r="G274" i="12"/>
  <c r="G273" i="12"/>
  <c r="G272" i="12"/>
  <c r="G271" i="12"/>
  <c r="G270" i="12"/>
  <c r="G269" i="12"/>
  <c r="G268" i="12"/>
  <c r="G267" i="12"/>
  <c r="G266" i="12"/>
  <c r="G265" i="12"/>
  <c r="G264" i="12"/>
  <c r="G263" i="12"/>
  <c r="G262" i="12"/>
  <c r="G261" i="12"/>
  <c r="G260" i="12"/>
  <c r="G259" i="12"/>
  <c r="G258" i="12"/>
  <c r="G257" i="12"/>
  <c r="G256" i="12"/>
  <c r="G255" i="12"/>
  <c r="G254" i="12"/>
  <c r="G253" i="12"/>
  <c r="G252" i="12"/>
  <c r="G250" i="12"/>
  <c r="G249" i="12"/>
  <c r="G248" i="12"/>
  <c r="G247" i="12"/>
  <c r="G246" i="12"/>
  <c r="G245" i="12"/>
  <c r="G244" i="12"/>
  <c r="G243" i="12"/>
  <c r="G242" i="12"/>
  <c r="G241" i="12"/>
  <c r="G240" i="12"/>
  <c r="G239" i="12"/>
  <c r="G238" i="12"/>
  <c r="G237" i="12"/>
  <c r="G236" i="12"/>
  <c r="G235" i="12"/>
  <c r="G234" i="12"/>
  <c r="G233" i="12"/>
  <c r="G232" i="12"/>
  <c r="G231" i="12"/>
  <c r="G230" i="12"/>
  <c r="G229" i="12"/>
  <c r="G228" i="12"/>
  <c r="G227" i="12"/>
  <c r="G226" i="12"/>
  <c r="G225" i="12"/>
  <c r="G224" i="12"/>
  <c r="G223" i="12"/>
  <c r="G222" i="12"/>
  <c r="G221" i="12"/>
  <c r="G220" i="12"/>
  <c r="G219" i="12"/>
  <c r="G218" i="12"/>
  <c r="G217" i="12"/>
  <c r="G216" i="12"/>
  <c r="G215" i="12"/>
  <c r="G214" i="12"/>
  <c r="G213" i="12"/>
  <c r="G212" i="12"/>
  <c r="G211" i="12"/>
  <c r="G210" i="12"/>
  <c r="G209" i="12"/>
  <c r="G208" i="12"/>
  <c r="G207" i="12"/>
  <c r="G206" i="12"/>
  <c r="G205" i="12"/>
  <c r="G204" i="12"/>
  <c r="G203" i="12"/>
  <c r="G202" i="12"/>
  <c r="G201" i="12"/>
  <c r="G200" i="12"/>
  <c r="G199" i="12"/>
  <c r="G198" i="12"/>
  <c r="G197" i="12"/>
  <c r="G196" i="12"/>
  <c r="G195" i="12"/>
  <c r="G194" i="12"/>
  <c r="G193" i="12"/>
  <c r="G192" i="12"/>
  <c r="G191" i="12"/>
  <c r="G190" i="12"/>
  <c r="G188" i="12"/>
  <c r="G187" i="12"/>
  <c r="G186" i="12"/>
  <c r="G185" i="12"/>
  <c r="G184" i="12"/>
  <c r="G183" i="12"/>
  <c r="G182" i="12"/>
  <c r="G181" i="12"/>
  <c r="G180" i="12"/>
  <c r="G179" i="12"/>
  <c r="G178" i="12"/>
  <c r="G177" i="12"/>
  <c r="G176" i="12"/>
  <c r="G175" i="12"/>
  <c r="G174" i="12"/>
  <c r="G173" i="12"/>
  <c r="G172" i="12"/>
  <c r="G171" i="12"/>
  <c r="G170" i="12"/>
  <c r="G169" i="12"/>
  <c r="G168" i="12"/>
  <c r="G167" i="12"/>
  <c r="G166" i="12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52" i="12"/>
  <c r="G151" i="12"/>
  <c r="G150" i="12"/>
  <c r="G149" i="12"/>
  <c r="G148" i="12"/>
  <c r="G147" i="12"/>
  <c r="G146" i="12"/>
  <c r="G145" i="12"/>
  <c r="G144" i="12"/>
  <c r="G143" i="12"/>
  <c r="G142" i="12"/>
  <c r="G141" i="12"/>
  <c r="G140" i="12"/>
  <c r="G139" i="12"/>
  <c r="G138" i="12"/>
  <c r="G137" i="12"/>
  <c r="G136" i="12"/>
  <c r="G135" i="12"/>
  <c r="G134" i="12"/>
  <c r="G133" i="12"/>
  <c r="G132" i="12"/>
  <c r="G131" i="12"/>
  <c r="G130" i="12"/>
  <c r="G129" i="12"/>
  <c r="G128" i="12"/>
  <c r="G126" i="12"/>
  <c r="G125" i="12"/>
  <c r="G124" i="12"/>
  <c r="G123" i="12"/>
  <c r="G122" i="12"/>
  <c r="G121" i="12"/>
  <c r="G120" i="12"/>
  <c r="G119" i="12"/>
  <c r="G118" i="12"/>
  <c r="G117" i="12"/>
  <c r="G116" i="12"/>
  <c r="G115" i="12"/>
  <c r="G114" i="12"/>
  <c r="G113" i="12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G66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F647" i="20"/>
  <c r="R647" i="20" s="1"/>
  <c r="R646" i="20"/>
  <c r="Q646" i="20"/>
  <c r="F646" i="20"/>
  <c r="Q645" i="20"/>
  <c r="F645" i="20"/>
  <c r="R645" i="20" s="1"/>
  <c r="F644" i="20"/>
  <c r="R644" i="20" s="1"/>
  <c r="R643" i="20"/>
  <c r="Q643" i="20"/>
  <c r="F643" i="20"/>
  <c r="R642" i="20"/>
  <c r="F642" i="20"/>
  <c r="Q642" i="20" s="1"/>
  <c r="F641" i="20"/>
  <c r="F640" i="20"/>
  <c r="R640" i="20" s="1"/>
  <c r="R639" i="20"/>
  <c r="F639" i="20"/>
  <c r="Q639" i="20" s="1"/>
  <c r="R638" i="20"/>
  <c r="Q638" i="20"/>
  <c r="F638" i="20"/>
  <c r="Q637" i="20"/>
  <c r="F637" i="20"/>
  <c r="R637" i="20" s="1"/>
  <c r="F636" i="20"/>
  <c r="R636" i="20" s="1"/>
  <c r="R635" i="20"/>
  <c r="Q635" i="20"/>
  <c r="F635" i="20"/>
  <c r="R634" i="20"/>
  <c r="F634" i="20"/>
  <c r="Q634" i="20" s="1"/>
  <c r="F633" i="20"/>
  <c r="F632" i="20"/>
  <c r="F631" i="20"/>
  <c r="Q631" i="20" s="1"/>
  <c r="R630" i="20"/>
  <c r="Q630" i="20"/>
  <c r="F630" i="20"/>
  <c r="Q629" i="20"/>
  <c r="F629" i="20"/>
  <c r="R629" i="20" s="1"/>
  <c r="F628" i="20"/>
  <c r="R628" i="20" s="1"/>
  <c r="R627" i="20"/>
  <c r="Q627" i="20"/>
  <c r="F627" i="20"/>
  <c r="R626" i="20"/>
  <c r="F626" i="20"/>
  <c r="Q626" i="20" s="1"/>
  <c r="F625" i="20"/>
  <c r="F624" i="20"/>
  <c r="F623" i="20"/>
  <c r="Q623" i="20" s="1"/>
  <c r="R622" i="20"/>
  <c r="Q622" i="20"/>
  <c r="F622" i="20"/>
  <c r="Q621" i="20"/>
  <c r="F621" i="20"/>
  <c r="R621" i="20" s="1"/>
  <c r="F620" i="20"/>
  <c r="R620" i="20" s="1"/>
  <c r="R619" i="20"/>
  <c r="Q619" i="20"/>
  <c r="F619" i="20"/>
  <c r="R618" i="20"/>
  <c r="F618" i="20"/>
  <c r="Q618" i="20" s="1"/>
  <c r="W616" i="20"/>
  <c r="V616" i="20"/>
  <c r="F616" i="20"/>
  <c r="W615" i="20"/>
  <c r="V615" i="20"/>
  <c r="F615" i="20"/>
  <c r="W614" i="20"/>
  <c r="V614" i="20"/>
  <c r="F614" i="20"/>
  <c r="W613" i="20"/>
  <c r="V613" i="20"/>
  <c r="F613" i="20"/>
  <c r="W612" i="20"/>
  <c r="V612" i="20"/>
  <c r="F612" i="20"/>
  <c r="AZ611" i="20"/>
  <c r="BA611" i="20" s="1"/>
  <c r="AJ611" i="20"/>
  <c r="AK611" i="20" s="1"/>
  <c r="AF611" i="20"/>
  <c r="AG611" i="20" s="1"/>
  <c r="AB611" i="20"/>
  <c r="AC611" i="20" s="1"/>
  <c r="AA611" i="20"/>
  <c r="W611" i="20"/>
  <c r="V611" i="20"/>
  <c r="S611" i="20"/>
  <c r="P611" i="20"/>
  <c r="K611" i="20"/>
  <c r="J611" i="20"/>
  <c r="F611" i="20"/>
  <c r="O611" i="20" s="1"/>
  <c r="AJ610" i="20"/>
  <c r="AK610" i="20" s="1"/>
  <c r="W610" i="20"/>
  <c r="V610" i="20"/>
  <c r="Q610" i="20"/>
  <c r="N610" i="20"/>
  <c r="F610" i="20"/>
  <c r="BD609" i="20"/>
  <c r="BE609" i="20" s="1"/>
  <c r="W609" i="20"/>
  <c r="V609" i="20"/>
  <c r="O609" i="20"/>
  <c r="L609" i="20"/>
  <c r="F609" i="20"/>
  <c r="BE608" i="20"/>
  <c r="BD608" i="20"/>
  <c r="AN608" i="20"/>
  <c r="AO608" i="20" s="1"/>
  <c r="AK608" i="20"/>
  <c r="AJ608" i="20"/>
  <c r="AA608" i="20"/>
  <c r="W608" i="20"/>
  <c r="V608" i="20"/>
  <c r="S608" i="20"/>
  <c r="R608" i="20"/>
  <c r="Q608" i="20"/>
  <c r="P608" i="20"/>
  <c r="O608" i="20"/>
  <c r="N608" i="20"/>
  <c r="M608" i="20"/>
  <c r="J608" i="20"/>
  <c r="F608" i="20"/>
  <c r="AV608" i="20" s="1"/>
  <c r="AW608" i="20" s="1"/>
  <c r="AJ607" i="20"/>
  <c r="AK607" i="20" s="1"/>
  <c r="AF607" i="20"/>
  <c r="AG607" i="20" s="1"/>
  <c r="AB607" i="20"/>
  <c r="AC607" i="20" s="1"/>
  <c r="AA607" i="20"/>
  <c r="W607" i="20"/>
  <c r="V607" i="20"/>
  <c r="F607" i="20"/>
  <c r="W606" i="20"/>
  <c r="V606" i="20"/>
  <c r="Q606" i="20"/>
  <c r="P606" i="20"/>
  <c r="O606" i="20"/>
  <c r="F606" i="20"/>
  <c r="AV605" i="20"/>
  <c r="AW605" i="20" s="1"/>
  <c r="AA605" i="20"/>
  <c r="W605" i="20"/>
  <c r="V605" i="20"/>
  <c r="O605" i="20"/>
  <c r="F605" i="20"/>
  <c r="BD604" i="20"/>
  <c r="BE604" i="20" s="1"/>
  <c r="AN604" i="20"/>
  <c r="AO604" i="20" s="1"/>
  <c r="AK604" i="20"/>
  <c r="AJ604" i="20"/>
  <c r="AA604" i="20"/>
  <c r="W604" i="20"/>
  <c r="V604" i="20"/>
  <c r="S604" i="20"/>
  <c r="R604" i="20"/>
  <c r="Q604" i="20"/>
  <c r="P604" i="20"/>
  <c r="O604" i="20"/>
  <c r="N604" i="20"/>
  <c r="M604" i="20"/>
  <c r="J604" i="20"/>
  <c r="F604" i="20"/>
  <c r="AV604" i="20" s="1"/>
  <c r="AW604" i="20" s="1"/>
  <c r="AV603" i="20"/>
  <c r="AW603" i="20" s="1"/>
  <c r="AK603" i="20"/>
  <c r="AJ603" i="20"/>
  <c r="AF603" i="20"/>
  <c r="AG603" i="20" s="1"/>
  <c r="AA603" i="20"/>
  <c r="W603" i="20"/>
  <c r="V603" i="20"/>
  <c r="F603" i="20"/>
  <c r="AV602" i="20"/>
  <c r="AW602" i="20" s="1"/>
  <c r="AR602" i="20"/>
  <c r="AS602" i="20" s="1"/>
  <c r="AO602" i="20"/>
  <c r="AN602" i="20"/>
  <c r="AK602" i="20"/>
  <c r="AJ602" i="20"/>
  <c r="AF602" i="20"/>
  <c r="AG602" i="20" s="1"/>
  <c r="AA602" i="20"/>
  <c r="W602" i="20"/>
  <c r="V602" i="20"/>
  <c r="Q602" i="20"/>
  <c r="P602" i="20"/>
  <c r="O602" i="20"/>
  <c r="N602" i="20"/>
  <c r="J602" i="20"/>
  <c r="F602" i="20"/>
  <c r="W601" i="20"/>
  <c r="V601" i="20"/>
  <c r="M601" i="20"/>
  <c r="L601" i="20"/>
  <c r="F601" i="20"/>
  <c r="BE600" i="20"/>
  <c r="BD600" i="20"/>
  <c r="AW600" i="20"/>
  <c r="AN600" i="20"/>
  <c r="AO600" i="20" s="1"/>
  <c r="AJ600" i="20"/>
  <c r="AK600" i="20" s="1"/>
  <c r="AA600" i="20"/>
  <c r="W600" i="20"/>
  <c r="V600" i="20"/>
  <c r="S600" i="20"/>
  <c r="R600" i="20"/>
  <c r="Q600" i="20"/>
  <c r="P600" i="20"/>
  <c r="O600" i="20"/>
  <c r="N600" i="20"/>
  <c r="M600" i="20"/>
  <c r="J600" i="20"/>
  <c r="F600" i="20"/>
  <c r="AV600" i="20" s="1"/>
  <c r="AV599" i="20"/>
  <c r="AW599" i="20" s="1"/>
  <c r="AF599" i="20"/>
  <c r="AG599" i="20" s="1"/>
  <c r="W599" i="20"/>
  <c r="V599" i="20"/>
  <c r="S599" i="20"/>
  <c r="P599" i="20"/>
  <c r="K599" i="20"/>
  <c r="J599" i="20"/>
  <c r="F599" i="20"/>
  <c r="AV598" i="20"/>
  <c r="AW598" i="20" s="1"/>
  <c r="AR598" i="20"/>
  <c r="AS598" i="20" s="1"/>
  <c r="AO598" i="20"/>
  <c r="AN598" i="20"/>
  <c r="AJ598" i="20"/>
  <c r="AK598" i="20" s="1"/>
  <c r="AF598" i="20"/>
  <c r="AG598" i="20" s="1"/>
  <c r="AA598" i="20"/>
  <c r="W598" i="20"/>
  <c r="V598" i="20"/>
  <c r="Q598" i="20"/>
  <c r="P598" i="20"/>
  <c r="O598" i="20"/>
  <c r="F598" i="20"/>
  <c r="AZ597" i="20"/>
  <c r="BA597" i="20" s="1"/>
  <c r="W597" i="20"/>
  <c r="V597" i="20"/>
  <c r="J597" i="20"/>
  <c r="F597" i="20"/>
  <c r="BE596" i="20"/>
  <c r="BD596" i="20"/>
  <c r="AN596" i="20"/>
  <c r="AO596" i="20" s="1"/>
  <c r="AJ596" i="20"/>
  <c r="AK596" i="20" s="1"/>
  <c r="AA596" i="20"/>
  <c r="W596" i="20"/>
  <c r="V596" i="20"/>
  <c r="S596" i="20"/>
  <c r="R596" i="20"/>
  <c r="Q596" i="20"/>
  <c r="P596" i="20"/>
  <c r="O596" i="20"/>
  <c r="N596" i="20"/>
  <c r="M596" i="20"/>
  <c r="J596" i="20"/>
  <c r="F596" i="20"/>
  <c r="AV596" i="20" s="1"/>
  <c r="AW596" i="20" s="1"/>
  <c r="AJ595" i="20"/>
  <c r="AK595" i="20" s="1"/>
  <c r="AF595" i="20"/>
  <c r="AG595" i="20" s="1"/>
  <c r="W595" i="20"/>
  <c r="V595" i="20"/>
  <c r="P595" i="20"/>
  <c r="K595" i="20"/>
  <c r="J595" i="20"/>
  <c r="F595" i="20"/>
  <c r="W594" i="20"/>
  <c r="V594" i="20"/>
  <c r="F594" i="20"/>
  <c r="BD593" i="20"/>
  <c r="BE593" i="20" s="1"/>
  <c r="AZ593" i="20"/>
  <c r="BA593" i="20" s="1"/>
  <c r="AV593" i="20"/>
  <c r="AW593" i="20" s="1"/>
  <c r="AS593" i="20"/>
  <c r="AR593" i="20"/>
  <c r="AB593" i="20"/>
  <c r="AC593" i="20" s="1"/>
  <c r="AA593" i="20"/>
  <c r="W593" i="20"/>
  <c r="V593" i="20"/>
  <c r="P593" i="20"/>
  <c r="O593" i="20"/>
  <c r="F593" i="20"/>
  <c r="M593" i="20" s="1"/>
  <c r="BD592" i="20"/>
  <c r="BE592" i="20" s="1"/>
  <c r="AN592" i="20"/>
  <c r="AO592" i="20" s="1"/>
  <c r="AJ592" i="20"/>
  <c r="AK592" i="20" s="1"/>
  <c r="AA592" i="20"/>
  <c r="W592" i="20"/>
  <c r="V592" i="20"/>
  <c r="S592" i="20"/>
  <c r="R592" i="20"/>
  <c r="Q592" i="20"/>
  <c r="P592" i="20"/>
  <c r="O592" i="20"/>
  <c r="N592" i="20"/>
  <c r="M592" i="20"/>
  <c r="J592" i="20"/>
  <c r="F592" i="20"/>
  <c r="AV592" i="20" s="1"/>
  <c r="AW592" i="20" s="1"/>
  <c r="AZ591" i="20"/>
  <c r="BA591" i="20" s="1"/>
  <c r="W591" i="20"/>
  <c r="V591" i="20"/>
  <c r="F591" i="20"/>
  <c r="AV590" i="20"/>
  <c r="AW590" i="20" s="1"/>
  <c r="AR590" i="20"/>
  <c r="AS590" i="20" s="1"/>
  <c r="AO590" i="20"/>
  <c r="AN590" i="20"/>
  <c r="AK590" i="20"/>
  <c r="AJ590" i="20"/>
  <c r="AG590" i="20"/>
  <c r="AF590" i="20"/>
  <c r="AA590" i="20"/>
  <c r="W590" i="20"/>
  <c r="V590" i="20"/>
  <c r="F590" i="20"/>
  <c r="BD589" i="20"/>
  <c r="BE589" i="20" s="1"/>
  <c r="AZ589" i="20"/>
  <c r="BA589" i="20" s="1"/>
  <c r="AV589" i="20"/>
  <c r="AW589" i="20" s="1"/>
  <c r="AS589" i="20"/>
  <c r="AR589" i="20"/>
  <c r="AB589" i="20"/>
  <c r="AC589" i="20" s="1"/>
  <c r="AA589" i="20"/>
  <c r="W589" i="20"/>
  <c r="V589" i="20"/>
  <c r="P589" i="20"/>
  <c r="O589" i="20"/>
  <c r="M589" i="20"/>
  <c r="L589" i="20"/>
  <c r="K589" i="20"/>
  <c r="F589" i="20"/>
  <c r="BD588" i="20"/>
  <c r="BE588" i="20" s="1"/>
  <c r="AN588" i="20"/>
  <c r="AO588" i="20" s="1"/>
  <c r="AJ588" i="20"/>
  <c r="AK588" i="20" s="1"/>
  <c r="AA588" i="20"/>
  <c r="W588" i="20"/>
  <c r="V588" i="20"/>
  <c r="S588" i="20"/>
  <c r="R588" i="20"/>
  <c r="Q588" i="20"/>
  <c r="P588" i="20"/>
  <c r="O588" i="20"/>
  <c r="N588" i="20"/>
  <c r="M588" i="20"/>
  <c r="J588" i="20"/>
  <c r="F588" i="20"/>
  <c r="AV588" i="20" s="1"/>
  <c r="AW588" i="20" s="1"/>
  <c r="AZ587" i="20"/>
  <c r="BA587" i="20" s="1"/>
  <c r="AV587" i="20"/>
  <c r="AW587" i="20" s="1"/>
  <c r="AF587" i="20"/>
  <c r="AG587" i="20" s="1"/>
  <c r="AB587" i="20"/>
  <c r="AC587" i="20" s="1"/>
  <c r="AA587" i="20"/>
  <c r="W587" i="20"/>
  <c r="V587" i="20"/>
  <c r="S587" i="20"/>
  <c r="P587" i="20"/>
  <c r="K587" i="20"/>
  <c r="J587" i="20"/>
  <c r="F587" i="20"/>
  <c r="AV586" i="20"/>
  <c r="AW586" i="20" s="1"/>
  <c r="AR586" i="20"/>
  <c r="AS586" i="20" s="1"/>
  <c r="AN586" i="20"/>
  <c r="AO586" i="20" s="1"/>
  <c r="AJ586" i="20"/>
  <c r="AK586" i="20" s="1"/>
  <c r="AF586" i="20"/>
  <c r="AG586" i="20" s="1"/>
  <c r="W586" i="20"/>
  <c r="V586" i="20"/>
  <c r="Q586" i="20"/>
  <c r="P586" i="20"/>
  <c r="O586" i="20"/>
  <c r="N586" i="20"/>
  <c r="J586" i="20"/>
  <c r="F586" i="20"/>
  <c r="AZ585" i="20"/>
  <c r="BA585" i="20" s="1"/>
  <c r="AB585" i="20"/>
  <c r="AC585" i="20" s="1"/>
  <c r="AA585" i="20"/>
  <c r="W585" i="20"/>
  <c r="V585" i="20"/>
  <c r="M585" i="20"/>
  <c r="F585" i="20"/>
  <c r="BD584" i="20"/>
  <c r="BE584" i="20" s="1"/>
  <c r="AW584" i="20"/>
  <c r="AN584" i="20"/>
  <c r="AO584" i="20" s="1"/>
  <c r="AJ584" i="20"/>
  <c r="AK584" i="20" s="1"/>
  <c r="AA584" i="20"/>
  <c r="W584" i="20"/>
  <c r="V584" i="20"/>
  <c r="S584" i="20"/>
  <c r="R584" i="20"/>
  <c r="Q584" i="20"/>
  <c r="P584" i="20"/>
  <c r="O584" i="20"/>
  <c r="N584" i="20"/>
  <c r="M584" i="20"/>
  <c r="J584" i="20"/>
  <c r="F584" i="20"/>
  <c r="AV584" i="20" s="1"/>
  <c r="AZ583" i="20"/>
  <c r="BA583" i="20" s="1"/>
  <c r="AJ583" i="20"/>
  <c r="AK583" i="20" s="1"/>
  <c r="AF583" i="20"/>
  <c r="AG583" i="20" s="1"/>
  <c r="AC583" i="20"/>
  <c r="AB583" i="20"/>
  <c r="AA583" i="20"/>
  <c r="W583" i="20"/>
  <c r="V583" i="20"/>
  <c r="S583" i="20"/>
  <c r="P583" i="20"/>
  <c r="K583" i="20"/>
  <c r="J583" i="20"/>
  <c r="F583" i="20"/>
  <c r="AV582" i="20"/>
  <c r="AW582" i="20" s="1"/>
  <c r="AK582" i="20"/>
  <c r="AJ582" i="20"/>
  <c r="W582" i="20"/>
  <c r="V582" i="20"/>
  <c r="Q582" i="20"/>
  <c r="P582" i="20"/>
  <c r="O582" i="20"/>
  <c r="F582" i="20"/>
  <c r="AJ581" i="20"/>
  <c r="AK581" i="20" s="1"/>
  <c r="AF581" i="20"/>
  <c r="AG581" i="20" s="1"/>
  <c r="AB581" i="20"/>
  <c r="AC581" i="20" s="1"/>
  <c r="AA581" i="20"/>
  <c r="W581" i="20"/>
  <c r="V581" i="20"/>
  <c r="S581" i="20"/>
  <c r="R581" i="20"/>
  <c r="Q581" i="20"/>
  <c r="P581" i="20"/>
  <c r="O581" i="20"/>
  <c r="N581" i="20"/>
  <c r="M581" i="20"/>
  <c r="L581" i="20"/>
  <c r="K581" i="20"/>
  <c r="J581" i="20"/>
  <c r="F581" i="20"/>
  <c r="BA580" i="20"/>
  <c r="AZ580" i="20"/>
  <c r="AN580" i="20"/>
  <c r="AO580" i="20" s="1"/>
  <c r="AJ580" i="20"/>
  <c r="AK580" i="20" s="1"/>
  <c r="AF580" i="20"/>
  <c r="AG580" i="20" s="1"/>
  <c r="W580" i="20"/>
  <c r="V580" i="20"/>
  <c r="F580" i="20"/>
  <c r="W579" i="20"/>
  <c r="V579" i="20"/>
  <c r="L579" i="20"/>
  <c r="F579" i="20"/>
  <c r="BD578" i="20"/>
  <c r="BE578" i="20" s="1"/>
  <c r="AZ578" i="20"/>
  <c r="BA578" i="20" s="1"/>
  <c r="AB578" i="20"/>
  <c r="AC578" i="20" s="1"/>
  <c r="W578" i="20"/>
  <c r="V578" i="20"/>
  <c r="L578" i="20"/>
  <c r="K578" i="20"/>
  <c r="J578" i="20"/>
  <c r="F578" i="20"/>
  <c r="BE577" i="20"/>
  <c r="BD577" i="20"/>
  <c r="AZ577" i="20"/>
  <c r="BA577" i="20" s="1"/>
  <c r="AW577" i="20"/>
  <c r="AO577" i="20"/>
  <c r="AN577" i="20"/>
  <c r="AJ577" i="20"/>
  <c r="AK577" i="20" s="1"/>
  <c r="AG577" i="20"/>
  <c r="AF577" i="20"/>
  <c r="AB577" i="20"/>
  <c r="AC577" i="20" s="1"/>
  <c r="AA577" i="20"/>
  <c r="W577" i="20"/>
  <c r="V577" i="20"/>
  <c r="S577" i="20"/>
  <c r="R577" i="20"/>
  <c r="Q577" i="20"/>
  <c r="P577" i="20"/>
  <c r="O577" i="20"/>
  <c r="N577" i="20"/>
  <c r="M577" i="20"/>
  <c r="L577" i="20"/>
  <c r="K577" i="20"/>
  <c r="J577" i="20"/>
  <c r="F577" i="20"/>
  <c r="AV577" i="20" s="1"/>
  <c r="AZ576" i="20"/>
  <c r="BA576" i="20" s="1"/>
  <c r="AV576" i="20"/>
  <c r="AW576" i="20" s="1"/>
  <c r="AR576" i="20"/>
  <c r="AS576" i="20" s="1"/>
  <c r="AO576" i="20"/>
  <c r="AN576" i="20"/>
  <c r="AK576" i="20"/>
  <c r="AJ576" i="20"/>
  <c r="AF576" i="20"/>
  <c r="AG576" i="20" s="1"/>
  <c r="W576" i="20"/>
  <c r="V576" i="20"/>
  <c r="S576" i="20"/>
  <c r="F576" i="20"/>
  <c r="BD575" i="20"/>
  <c r="BE575" i="20" s="1"/>
  <c r="AZ575" i="20"/>
  <c r="BA575" i="20" s="1"/>
  <c r="AW575" i="20"/>
  <c r="AV575" i="20"/>
  <c r="AR575" i="20"/>
  <c r="AS575" i="20" s="1"/>
  <c r="AN575" i="20"/>
  <c r="AO575" i="20" s="1"/>
  <c r="AJ575" i="20"/>
  <c r="AK575" i="20" s="1"/>
  <c r="AF575" i="20"/>
  <c r="AG575" i="20" s="1"/>
  <c r="AA575" i="20"/>
  <c r="W575" i="20"/>
  <c r="V575" i="20"/>
  <c r="O575" i="20"/>
  <c r="N575" i="20"/>
  <c r="M575" i="20"/>
  <c r="L575" i="20"/>
  <c r="K575" i="20"/>
  <c r="F575" i="20"/>
  <c r="BD574" i="20"/>
  <c r="BE574" i="20" s="1"/>
  <c r="BA574" i="20"/>
  <c r="AZ574" i="20"/>
  <c r="AV574" i="20"/>
  <c r="AW574" i="20" s="1"/>
  <c r="AS574" i="20"/>
  <c r="AR574" i="20"/>
  <c r="AN574" i="20"/>
  <c r="AO574" i="20" s="1"/>
  <c r="W574" i="20"/>
  <c r="V574" i="20"/>
  <c r="S574" i="20"/>
  <c r="P574" i="20"/>
  <c r="O574" i="20"/>
  <c r="N574" i="20"/>
  <c r="M574" i="20"/>
  <c r="L574" i="20"/>
  <c r="K574" i="20"/>
  <c r="J574" i="20"/>
  <c r="F574" i="20"/>
  <c r="BE573" i="20"/>
  <c r="BD573" i="20"/>
  <c r="AZ573" i="20"/>
  <c r="BA573" i="20" s="1"/>
  <c r="AW573" i="20"/>
  <c r="AO573" i="20"/>
  <c r="AN573" i="20"/>
  <c r="AJ573" i="20"/>
  <c r="AK573" i="20" s="1"/>
  <c r="AG573" i="20"/>
  <c r="AF573" i="20"/>
  <c r="AB573" i="20"/>
  <c r="AC573" i="20" s="1"/>
  <c r="AA573" i="20"/>
  <c r="W573" i="20"/>
  <c r="V573" i="20"/>
  <c r="S573" i="20"/>
  <c r="R573" i="20"/>
  <c r="Q573" i="20"/>
  <c r="P573" i="20"/>
  <c r="O573" i="20"/>
  <c r="N573" i="20"/>
  <c r="M573" i="20"/>
  <c r="L573" i="20"/>
  <c r="K573" i="20"/>
  <c r="J573" i="20"/>
  <c r="F573" i="20"/>
  <c r="AV573" i="20" s="1"/>
  <c r="AF572" i="20"/>
  <c r="AG572" i="20" s="1"/>
  <c r="AB572" i="20"/>
  <c r="AC572" i="20" s="1"/>
  <c r="W572" i="20"/>
  <c r="V572" i="20"/>
  <c r="S572" i="20"/>
  <c r="R572" i="20"/>
  <c r="Q572" i="20"/>
  <c r="P572" i="20"/>
  <c r="L572" i="20"/>
  <c r="F572" i="20"/>
  <c r="W571" i="20"/>
  <c r="V571" i="20"/>
  <c r="O571" i="20"/>
  <c r="N571" i="20"/>
  <c r="M571" i="20"/>
  <c r="L571" i="20"/>
  <c r="K571" i="20"/>
  <c r="J571" i="20"/>
  <c r="F571" i="20"/>
  <c r="AZ570" i="20"/>
  <c r="BA570" i="20" s="1"/>
  <c r="AW570" i="20"/>
  <c r="AV570" i="20"/>
  <c r="AS570" i="20"/>
  <c r="AR570" i="20"/>
  <c r="AN570" i="20"/>
  <c r="AO570" i="20" s="1"/>
  <c r="AC570" i="20"/>
  <c r="AB570" i="20"/>
  <c r="W570" i="20"/>
  <c r="V570" i="20"/>
  <c r="S570" i="20"/>
  <c r="R570" i="20"/>
  <c r="Q570" i="20"/>
  <c r="P570" i="20"/>
  <c r="O570" i="20"/>
  <c r="N570" i="20"/>
  <c r="M570" i="20"/>
  <c r="L570" i="20"/>
  <c r="K570" i="20"/>
  <c r="J570" i="20"/>
  <c r="F570" i="20"/>
  <c r="BE569" i="20"/>
  <c r="BD569" i="20"/>
  <c r="AZ569" i="20"/>
  <c r="BA569" i="20" s="1"/>
  <c r="AO569" i="20"/>
  <c r="AN569" i="20"/>
  <c r="AJ569" i="20"/>
  <c r="AK569" i="20" s="1"/>
  <c r="AG569" i="20"/>
  <c r="AF569" i="20"/>
  <c r="AB569" i="20"/>
  <c r="AC569" i="20" s="1"/>
  <c r="AA569" i="20"/>
  <c r="W569" i="20"/>
  <c r="V569" i="20"/>
  <c r="S569" i="20"/>
  <c r="R569" i="20"/>
  <c r="Q569" i="20"/>
  <c r="P569" i="20"/>
  <c r="O569" i="20"/>
  <c r="N569" i="20"/>
  <c r="M569" i="20"/>
  <c r="L569" i="20"/>
  <c r="K569" i="20"/>
  <c r="J569" i="20"/>
  <c r="F569" i="20"/>
  <c r="AV569" i="20" s="1"/>
  <c r="AW569" i="20" s="1"/>
  <c r="BA568" i="20"/>
  <c r="AZ568" i="20"/>
  <c r="AJ568" i="20"/>
  <c r="AK568" i="20" s="1"/>
  <c r="AF568" i="20"/>
  <c r="AG568" i="20" s="1"/>
  <c r="AB568" i="20"/>
  <c r="AC568" i="20" s="1"/>
  <c r="W568" i="20"/>
  <c r="V568" i="20"/>
  <c r="F568" i="20"/>
  <c r="BD567" i="20"/>
  <c r="BE567" i="20" s="1"/>
  <c r="BA567" i="20"/>
  <c r="AZ567" i="20"/>
  <c r="AR567" i="20"/>
  <c r="AS567" i="20" s="1"/>
  <c r="AJ567" i="20"/>
  <c r="AK567" i="20" s="1"/>
  <c r="AF567" i="20"/>
  <c r="AG567" i="20" s="1"/>
  <c r="AC567" i="20"/>
  <c r="AB567" i="20"/>
  <c r="AA567" i="20"/>
  <c r="W567" i="20"/>
  <c r="V567" i="20"/>
  <c r="R567" i="20"/>
  <c r="Q567" i="20"/>
  <c r="O567" i="20"/>
  <c r="F567" i="20"/>
  <c r="BE566" i="20"/>
  <c r="BD566" i="20"/>
  <c r="AW566" i="20"/>
  <c r="AV566" i="20"/>
  <c r="AC566" i="20"/>
  <c r="AB566" i="20"/>
  <c r="W566" i="20"/>
  <c r="V566" i="20"/>
  <c r="S566" i="20"/>
  <c r="R566" i="20"/>
  <c r="Q566" i="20"/>
  <c r="O566" i="20"/>
  <c r="N566" i="20"/>
  <c r="M566" i="20"/>
  <c r="L566" i="20"/>
  <c r="K566" i="20"/>
  <c r="J566" i="20"/>
  <c r="F566" i="20"/>
  <c r="BE565" i="20"/>
  <c r="BD565" i="20"/>
  <c r="AZ565" i="20"/>
  <c r="BA565" i="20" s="1"/>
  <c r="AW565" i="20"/>
  <c r="AO565" i="20"/>
  <c r="AN565" i="20"/>
  <c r="AJ565" i="20"/>
  <c r="AK565" i="20" s="1"/>
  <c r="AF565" i="20"/>
  <c r="AG565" i="20" s="1"/>
  <c r="AB565" i="20"/>
  <c r="AC565" i="20" s="1"/>
  <c r="AA565" i="20"/>
  <c r="W565" i="20"/>
  <c r="V565" i="20"/>
  <c r="S565" i="20"/>
  <c r="R565" i="20"/>
  <c r="Q565" i="20"/>
  <c r="P565" i="20"/>
  <c r="O565" i="20"/>
  <c r="N565" i="20"/>
  <c r="M565" i="20"/>
  <c r="L565" i="20"/>
  <c r="K565" i="20"/>
  <c r="J565" i="20"/>
  <c r="F565" i="20"/>
  <c r="AV565" i="20" s="1"/>
  <c r="W564" i="20"/>
  <c r="V564" i="20"/>
  <c r="L564" i="20"/>
  <c r="K564" i="20"/>
  <c r="F564" i="20"/>
  <c r="AF564" i="20" s="1"/>
  <c r="AG564" i="20" s="1"/>
  <c r="AZ563" i="20"/>
  <c r="BA563" i="20" s="1"/>
  <c r="AF563" i="20"/>
  <c r="AG563" i="20" s="1"/>
  <c r="AA563" i="20"/>
  <c r="W563" i="20"/>
  <c r="V563" i="20"/>
  <c r="R563" i="20"/>
  <c r="Q563" i="20"/>
  <c r="O563" i="20"/>
  <c r="N563" i="20"/>
  <c r="M563" i="20"/>
  <c r="L563" i="20"/>
  <c r="K563" i="20"/>
  <c r="F563" i="20"/>
  <c r="AZ562" i="20"/>
  <c r="BA562" i="20" s="1"/>
  <c r="W562" i="20"/>
  <c r="V562" i="20"/>
  <c r="F562" i="20"/>
  <c r="BE561" i="20"/>
  <c r="BD561" i="20"/>
  <c r="BA561" i="20"/>
  <c r="AZ561" i="20"/>
  <c r="AO561" i="20"/>
  <c r="AN561" i="20"/>
  <c r="AJ561" i="20"/>
  <c r="AK561" i="20" s="1"/>
  <c r="AG561" i="20"/>
  <c r="AF561" i="20"/>
  <c r="AB561" i="20"/>
  <c r="AC561" i="20" s="1"/>
  <c r="AA561" i="20"/>
  <c r="W561" i="20"/>
  <c r="V561" i="20"/>
  <c r="S561" i="20"/>
  <c r="R561" i="20"/>
  <c r="Q561" i="20"/>
  <c r="P561" i="20"/>
  <c r="O561" i="20"/>
  <c r="N561" i="20"/>
  <c r="M561" i="20"/>
  <c r="L561" i="20"/>
  <c r="K561" i="20"/>
  <c r="J561" i="20"/>
  <c r="F561" i="20"/>
  <c r="AV561" i="20" s="1"/>
  <c r="AW561" i="20" s="1"/>
  <c r="W560" i="20"/>
  <c r="V560" i="20"/>
  <c r="F560" i="20"/>
  <c r="BE559" i="20"/>
  <c r="BD559" i="20"/>
  <c r="W559" i="20"/>
  <c r="V559" i="20"/>
  <c r="F559" i="20"/>
  <c r="AZ559" i="20" s="1"/>
  <c r="BA559" i="20" s="1"/>
  <c r="BD558" i="20"/>
  <c r="BE558" i="20" s="1"/>
  <c r="AZ558" i="20"/>
  <c r="BA558" i="20" s="1"/>
  <c r="AV558" i="20"/>
  <c r="AW558" i="20" s="1"/>
  <c r="AN558" i="20"/>
  <c r="AO558" i="20" s="1"/>
  <c r="AJ558" i="20"/>
  <c r="AK558" i="20" s="1"/>
  <c r="AC558" i="20"/>
  <c r="AB558" i="20"/>
  <c r="W558" i="20"/>
  <c r="V558" i="20"/>
  <c r="S558" i="20"/>
  <c r="R558" i="20"/>
  <c r="K558" i="20"/>
  <c r="J558" i="20"/>
  <c r="F558" i="20"/>
  <c r="AZ557" i="20"/>
  <c r="BA557" i="20" s="1"/>
  <c r="AJ557" i="20"/>
  <c r="AK557" i="20" s="1"/>
  <c r="AF557" i="20"/>
  <c r="AG557" i="20" s="1"/>
  <c r="AB557" i="20"/>
  <c r="AC557" i="20" s="1"/>
  <c r="AA557" i="20"/>
  <c r="W557" i="20"/>
  <c r="V557" i="20"/>
  <c r="S557" i="20"/>
  <c r="Q557" i="20"/>
  <c r="P557" i="20"/>
  <c r="O557" i="20"/>
  <c r="F557" i="20"/>
  <c r="BA556" i="20"/>
  <c r="AZ556" i="20"/>
  <c r="AV556" i="20"/>
  <c r="AW556" i="20" s="1"/>
  <c r="AK556" i="20"/>
  <c r="AJ556" i="20"/>
  <c r="AG556" i="20"/>
  <c r="AF556" i="20"/>
  <c r="AB556" i="20"/>
  <c r="AC556" i="20" s="1"/>
  <c r="AA556" i="20"/>
  <c r="W556" i="20"/>
  <c r="V556" i="20"/>
  <c r="S556" i="20"/>
  <c r="R556" i="20"/>
  <c r="Q556" i="20"/>
  <c r="P556" i="20"/>
  <c r="O556" i="20"/>
  <c r="N556" i="20"/>
  <c r="F556" i="20"/>
  <c r="BD555" i="20"/>
  <c r="BE555" i="20" s="1"/>
  <c r="AZ555" i="20"/>
  <c r="BA555" i="20" s="1"/>
  <c r="AR555" i="20"/>
  <c r="AS555" i="20" s="1"/>
  <c r="AN555" i="20"/>
  <c r="AO555" i="20" s="1"/>
  <c r="AK555" i="20"/>
  <c r="AJ555" i="20"/>
  <c r="AF555" i="20"/>
  <c r="AG555" i="20" s="1"/>
  <c r="AA555" i="20"/>
  <c r="W555" i="20"/>
  <c r="V555" i="20"/>
  <c r="R555" i="20"/>
  <c r="Q555" i="20"/>
  <c r="N555" i="20"/>
  <c r="M555" i="20"/>
  <c r="L555" i="20"/>
  <c r="K555" i="20"/>
  <c r="J555" i="20"/>
  <c r="F555" i="20"/>
  <c r="AR554" i="20"/>
  <c r="AS554" i="20" s="1"/>
  <c r="AN554" i="20"/>
  <c r="AO554" i="20" s="1"/>
  <c r="AJ554" i="20"/>
  <c r="AK554" i="20" s="1"/>
  <c r="AC554" i="20"/>
  <c r="AB554" i="20"/>
  <c r="W554" i="20"/>
  <c r="V554" i="20"/>
  <c r="R554" i="20"/>
  <c r="Q554" i="20"/>
  <c r="P554" i="20"/>
  <c r="J554" i="20"/>
  <c r="F554" i="20"/>
  <c r="AZ553" i="20"/>
  <c r="BA553" i="20" s="1"/>
  <c r="AV553" i="20"/>
  <c r="AW553" i="20" s="1"/>
  <c r="AN553" i="20"/>
  <c r="AO553" i="20" s="1"/>
  <c r="AF553" i="20"/>
  <c r="AG553" i="20" s="1"/>
  <c r="AA553" i="20"/>
  <c r="W553" i="20"/>
  <c r="V553" i="20"/>
  <c r="S553" i="20"/>
  <c r="R553" i="20"/>
  <c r="Q553" i="20"/>
  <c r="P553" i="20"/>
  <c r="O553" i="20"/>
  <c r="N553" i="20"/>
  <c r="M553" i="20"/>
  <c r="L553" i="20"/>
  <c r="K553" i="20"/>
  <c r="J553" i="20"/>
  <c r="F553" i="20"/>
  <c r="AJ552" i="20"/>
  <c r="AK552" i="20" s="1"/>
  <c r="AG552" i="20"/>
  <c r="AF552" i="20"/>
  <c r="W552" i="20"/>
  <c r="V552" i="20"/>
  <c r="S552" i="20"/>
  <c r="R552" i="20"/>
  <c r="Q552" i="20"/>
  <c r="P552" i="20"/>
  <c r="F552" i="20"/>
  <c r="BD551" i="20"/>
  <c r="BE551" i="20" s="1"/>
  <c r="AR551" i="20"/>
  <c r="AS551" i="20" s="1"/>
  <c r="AN551" i="20"/>
  <c r="AO551" i="20" s="1"/>
  <c r="AK551" i="20"/>
  <c r="AJ551" i="20"/>
  <c r="AF551" i="20"/>
  <c r="AG551" i="20" s="1"/>
  <c r="AC551" i="20"/>
  <c r="AB551" i="20"/>
  <c r="AA551" i="20"/>
  <c r="W551" i="20"/>
  <c r="V551" i="20"/>
  <c r="R551" i="20"/>
  <c r="Q551" i="20"/>
  <c r="P551" i="20"/>
  <c r="O551" i="20"/>
  <c r="N551" i="20"/>
  <c r="M551" i="20"/>
  <c r="L551" i="20"/>
  <c r="K551" i="20"/>
  <c r="J551" i="20"/>
  <c r="F551" i="20"/>
  <c r="AA550" i="20"/>
  <c r="W550" i="20"/>
  <c r="V550" i="20"/>
  <c r="O550" i="20"/>
  <c r="N550" i="20"/>
  <c r="F550" i="20"/>
  <c r="AZ549" i="20"/>
  <c r="BA549" i="20" s="1"/>
  <c r="AV549" i="20"/>
  <c r="AW549" i="20" s="1"/>
  <c r="AN549" i="20"/>
  <c r="AO549" i="20" s="1"/>
  <c r="AK549" i="20"/>
  <c r="AJ549" i="20"/>
  <c r="AG549" i="20"/>
  <c r="AF549" i="20"/>
  <c r="AB549" i="20"/>
  <c r="AC549" i="20" s="1"/>
  <c r="W549" i="20"/>
  <c r="V549" i="20"/>
  <c r="S549" i="20"/>
  <c r="Q549" i="20"/>
  <c r="O549" i="20"/>
  <c r="N549" i="20"/>
  <c r="M549" i="20"/>
  <c r="L549" i="20"/>
  <c r="K549" i="20"/>
  <c r="J549" i="20"/>
  <c r="F549" i="20"/>
  <c r="AZ548" i="20"/>
  <c r="BA548" i="20" s="1"/>
  <c r="AV548" i="20"/>
  <c r="AW548" i="20" s="1"/>
  <c r="AS548" i="20"/>
  <c r="AR548" i="20"/>
  <c r="AN548" i="20"/>
  <c r="AO548" i="20" s="1"/>
  <c r="AJ548" i="20"/>
  <c r="AK548" i="20" s="1"/>
  <c r="AA548" i="20"/>
  <c r="W548" i="20"/>
  <c r="V548" i="20"/>
  <c r="S548" i="20"/>
  <c r="R548" i="20"/>
  <c r="Q548" i="20"/>
  <c r="P548" i="20"/>
  <c r="O548" i="20"/>
  <c r="N548" i="20"/>
  <c r="L548" i="20"/>
  <c r="F548" i="20"/>
  <c r="AZ547" i="20"/>
  <c r="BA547" i="20" s="1"/>
  <c r="AW547" i="20"/>
  <c r="AV547" i="20"/>
  <c r="AS547" i="20"/>
  <c r="AR547" i="20"/>
  <c r="AJ547" i="20"/>
  <c r="AK547" i="20" s="1"/>
  <c r="AG547" i="20"/>
  <c r="AF547" i="20"/>
  <c r="AB547" i="20"/>
  <c r="AC547" i="20" s="1"/>
  <c r="AA547" i="20"/>
  <c r="W547" i="20"/>
  <c r="V547" i="20"/>
  <c r="R547" i="20"/>
  <c r="Q547" i="20"/>
  <c r="P547" i="20"/>
  <c r="O547" i="20"/>
  <c r="N547" i="20"/>
  <c r="F547" i="20"/>
  <c r="BD546" i="20"/>
  <c r="BE546" i="20" s="1"/>
  <c r="BA546" i="20"/>
  <c r="AZ546" i="20"/>
  <c r="AO546" i="20"/>
  <c r="AN546" i="20"/>
  <c r="AJ546" i="20"/>
  <c r="AK546" i="20" s="1"/>
  <c r="AB546" i="20"/>
  <c r="AC546" i="20" s="1"/>
  <c r="AA546" i="20"/>
  <c r="W546" i="20"/>
  <c r="V546" i="20"/>
  <c r="S546" i="20"/>
  <c r="R546" i="20"/>
  <c r="Q546" i="20"/>
  <c r="P546" i="20"/>
  <c r="J546" i="20"/>
  <c r="F546" i="20"/>
  <c r="AZ545" i="20"/>
  <c r="BA545" i="20" s="1"/>
  <c r="W545" i="20"/>
  <c r="V545" i="20"/>
  <c r="F545" i="20"/>
  <c r="AS544" i="20"/>
  <c r="AR544" i="20"/>
  <c r="AN544" i="20"/>
  <c r="AO544" i="20" s="1"/>
  <c r="AK544" i="20"/>
  <c r="AJ544" i="20"/>
  <c r="AF544" i="20"/>
  <c r="AG544" i="20" s="1"/>
  <c r="AC544" i="20"/>
  <c r="AB544" i="20"/>
  <c r="AA544" i="20"/>
  <c r="W544" i="20"/>
  <c r="V544" i="20"/>
  <c r="P544" i="20"/>
  <c r="O544" i="20"/>
  <c r="N544" i="20"/>
  <c r="K544" i="20"/>
  <c r="F544" i="20"/>
  <c r="AR543" i="20"/>
  <c r="AS543" i="20" s="1"/>
  <c r="AN543" i="20"/>
  <c r="AO543" i="20" s="1"/>
  <c r="AK543" i="20"/>
  <c r="AJ543" i="20"/>
  <c r="AF543" i="20"/>
  <c r="AG543" i="20" s="1"/>
  <c r="AB543" i="20"/>
  <c r="AC543" i="20" s="1"/>
  <c r="W543" i="20"/>
  <c r="V543" i="20"/>
  <c r="S543" i="20"/>
  <c r="Q543" i="20"/>
  <c r="O543" i="20"/>
  <c r="N543" i="20"/>
  <c r="M543" i="20"/>
  <c r="L543" i="20"/>
  <c r="K543" i="20"/>
  <c r="J543" i="20"/>
  <c r="F543" i="20"/>
  <c r="W542" i="20"/>
  <c r="V542" i="20"/>
  <c r="F542" i="20"/>
  <c r="AV541" i="20"/>
  <c r="AW541" i="20" s="1"/>
  <c r="AF541" i="20"/>
  <c r="AG541" i="20" s="1"/>
  <c r="W541" i="20"/>
  <c r="V541" i="20"/>
  <c r="Q541" i="20"/>
  <c r="J541" i="20"/>
  <c r="F541" i="20"/>
  <c r="BD540" i="20"/>
  <c r="BE540" i="20" s="1"/>
  <c r="AZ540" i="20"/>
  <c r="BA540" i="20" s="1"/>
  <c r="AS540" i="20"/>
  <c r="AR540" i="20"/>
  <c r="AN540" i="20"/>
  <c r="AO540" i="20" s="1"/>
  <c r="AJ540" i="20"/>
  <c r="AK540" i="20" s="1"/>
  <c r="AG540" i="20"/>
  <c r="AF540" i="20"/>
  <c r="AC540" i="20"/>
  <c r="AB540" i="20"/>
  <c r="AA540" i="20"/>
  <c r="W540" i="20"/>
  <c r="V540" i="20"/>
  <c r="S540" i="20"/>
  <c r="R540" i="20"/>
  <c r="Q540" i="20"/>
  <c r="P540" i="20"/>
  <c r="O540" i="20"/>
  <c r="N540" i="20"/>
  <c r="M540" i="20"/>
  <c r="L540" i="20"/>
  <c r="K540" i="20"/>
  <c r="J540" i="20"/>
  <c r="F540" i="20"/>
  <c r="AV540" i="20" s="1"/>
  <c r="AW540" i="20" s="1"/>
  <c r="BD539" i="20"/>
  <c r="BE539" i="20" s="1"/>
  <c r="AZ539" i="20"/>
  <c r="BA539" i="20" s="1"/>
  <c r="AV539" i="20"/>
  <c r="AW539" i="20" s="1"/>
  <c r="AR539" i="20"/>
  <c r="AS539" i="20" s="1"/>
  <c r="AO539" i="20"/>
  <c r="AN539" i="20"/>
  <c r="AK539" i="20"/>
  <c r="AJ539" i="20"/>
  <c r="AF539" i="20"/>
  <c r="AG539" i="20" s="1"/>
  <c r="AC539" i="20"/>
  <c r="AB539" i="20"/>
  <c r="AA539" i="20"/>
  <c r="W539" i="20"/>
  <c r="V539" i="20"/>
  <c r="S539" i="20"/>
  <c r="R539" i="20"/>
  <c r="Q539" i="20"/>
  <c r="P539" i="20"/>
  <c r="O539" i="20"/>
  <c r="M539" i="20"/>
  <c r="L539" i="20"/>
  <c r="J539" i="20"/>
  <c r="F539" i="20"/>
  <c r="N539" i="20" s="1"/>
  <c r="AZ538" i="20"/>
  <c r="BA538" i="20" s="1"/>
  <c r="AW538" i="20"/>
  <c r="AV538" i="20"/>
  <c r="AR538" i="20"/>
  <c r="AS538" i="20" s="1"/>
  <c r="AO538" i="20"/>
  <c r="AN538" i="20"/>
  <c r="AJ538" i="20"/>
  <c r="AK538" i="20" s="1"/>
  <c r="AG538" i="20"/>
  <c r="AF538" i="20"/>
  <c r="AC538" i="20"/>
  <c r="AB538" i="20"/>
  <c r="AA538" i="20"/>
  <c r="W538" i="20"/>
  <c r="V538" i="20"/>
  <c r="R538" i="20"/>
  <c r="Q538" i="20"/>
  <c r="P538" i="20"/>
  <c r="O538" i="20"/>
  <c r="M538" i="20"/>
  <c r="F538" i="20"/>
  <c r="BD537" i="20"/>
  <c r="BE537" i="20" s="1"/>
  <c r="AZ537" i="20"/>
  <c r="BA537" i="20" s="1"/>
  <c r="AN537" i="20"/>
  <c r="AO537" i="20" s="1"/>
  <c r="AK537" i="20"/>
  <c r="AJ537" i="20"/>
  <c r="AG537" i="20"/>
  <c r="AF537" i="20"/>
  <c r="AB537" i="20"/>
  <c r="AC537" i="20" s="1"/>
  <c r="AA537" i="20"/>
  <c r="W537" i="20"/>
  <c r="V537" i="20"/>
  <c r="S537" i="20"/>
  <c r="R537" i="20"/>
  <c r="O537" i="20"/>
  <c r="J537" i="20"/>
  <c r="F537" i="20"/>
  <c r="BD536" i="20"/>
  <c r="BE536" i="20" s="1"/>
  <c r="AZ536" i="20"/>
  <c r="BA536" i="20" s="1"/>
  <c r="AJ536" i="20"/>
  <c r="AK536" i="20" s="1"/>
  <c r="AF536" i="20"/>
  <c r="AG536" i="20" s="1"/>
  <c r="AC536" i="20"/>
  <c r="AB536" i="20"/>
  <c r="AA536" i="20"/>
  <c r="W536" i="20"/>
  <c r="V536" i="20"/>
  <c r="S536" i="20"/>
  <c r="O536" i="20"/>
  <c r="N536" i="20"/>
  <c r="M536" i="20"/>
  <c r="L536" i="20"/>
  <c r="K536" i="20"/>
  <c r="J536" i="20"/>
  <c r="F536" i="20"/>
  <c r="W535" i="20"/>
  <c r="V535" i="20"/>
  <c r="R535" i="20"/>
  <c r="Q535" i="20"/>
  <c r="P535" i="20"/>
  <c r="O535" i="20"/>
  <c r="N535" i="20"/>
  <c r="M535" i="20"/>
  <c r="L535" i="20"/>
  <c r="K535" i="20"/>
  <c r="F535" i="20"/>
  <c r="AN535" i="20" s="1"/>
  <c r="AO535" i="20" s="1"/>
  <c r="BD534" i="20"/>
  <c r="BE534" i="20" s="1"/>
  <c r="AF534" i="20"/>
  <c r="AG534" i="20" s="1"/>
  <c r="W534" i="20"/>
  <c r="V534" i="20"/>
  <c r="S534" i="20"/>
  <c r="R534" i="20"/>
  <c r="Q534" i="20"/>
  <c r="P534" i="20"/>
  <c r="N534" i="20"/>
  <c r="L534" i="20"/>
  <c r="K534" i="20"/>
  <c r="F534" i="20"/>
  <c r="BD533" i="20"/>
  <c r="BE533" i="20" s="1"/>
  <c r="AZ533" i="20"/>
  <c r="BA533" i="20" s="1"/>
  <c r="AC533" i="20"/>
  <c r="AB533" i="20"/>
  <c r="AA533" i="20"/>
  <c r="W533" i="20"/>
  <c r="V533" i="20"/>
  <c r="Q533" i="20"/>
  <c r="P533" i="20"/>
  <c r="O533" i="20"/>
  <c r="M533" i="20"/>
  <c r="L533" i="20"/>
  <c r="K533" i="20"/>
  <c r="J533" i="20"/>
  <c r="F533" i="20"/>
  <c r="W532" i="20"/>
  <c r="V532" i="20"/>
  <c r="S532" i="20"/>
  <c r="R532" i="20"/>
  <c r="Q532" i="20"/>
  <c r="K532" i="20"/>
  <c r="J532" i="20"/>
  <c r="F532" i="20"/>
  <c r="AN531" i="20"/>
  <c r="AO531" i="20" s="1"/>
  <c r="AA531" i="20"/>
  <c r="W531" i="20"/>
  <c r="V531" i="20"/>
  <c r="S531" i="20"/>
  <c r="R531" i="20"/>
  <c r="Q531" i="20"/>
  <c r="O531" i="20"/>
  <c r="N531" i="20"/>
  <c r="M531" i="20"/>
  <c r="L531" i="20"/>
  <c r="K531" i="20"/>
  <c r="F531" i="20"/>
  <c r="AW530" i="20"/>
  <c r="AV530" i="20"/>
  <c r="AR530" i="20"/>
  <c r="AS530" i="20" s="1"/>
  <c r="AO530" i="20"/>
  <c r="AN530" i="20"/>
  <c r="AK530" i="20"/>
  <c r="AJ530" i="20"/>
  <c r="AG530" i="20"/>
  <c r="AF530" i="20"/>
  <c r="AC530" i="20"/>
  <c r="AB530" i="20"/>
  <c r="AA530" i="20"/>
  <c r="W530" i="20"/>
  <c r="V530" i="20"/>
  <c r="S530" i="20"/>
  <c r="R530" i="20"/>
  <c r="Q530" i="20"/>
  <c r="P530" i="20"/>
  <c r="O530" i="20"/>
  <c r="M530" i="20"/>
  <c r="F530" i="20"/>
  <c r="K530" i="20" s="1"/>
  <c r="AJ529" i="20"/>
  <c r="AK529" i="20" s="1"/>
  <c r="W529" i="20"/>
  <c r="V529" i="20"/>
  <c r="R529" i="20"/>
  <c r="O529" i="20"/>
  <c r="F529" i="20"/>
  <c r="W528" i="20"/>
  <c r="V528" i="20"/>
  <c r="S528" i="20"/>
  <c r="O528" i="20"/>
  <c r="M528" i="20"/>
  <c r="L528" i="20"/>
  <c r="F528" i="20"/>
  <c r="BD528" i="20" s="1"/>
  <c r="BE528" i="20" s="1"/>
  <c r="BD527" i="20"/>
  <c r="BE527" i="20" s="1"/>
  <c r="BA527" i="20"/>
  <c r="AZ527" i="20"/>
  <c r="AV527" i="20"/>
  <c r="AW527" i="20" s="1"/>
  <c r="AN527" i="20"/>
  <c r="AO527" i="20" s="1"/>
  <c r="W527" i="20"/>
  <c r="V527" i="20"/>
  <c r="P527" i="20"/>
  <c r="O527" i="20"/>
  <c r="N527" i="20"/>
  <c r="M527" i="20"/>
  <c r="L527" i="20"/>
  <c r="K527" i="20"/>
  <c r="J527" i="20"/>
  <c r="F527" i="20"/>
  <c r="AR527" i="20" s="1"/>
  <c r="AS527" i="20" s="1"/>
  <c r="W526" i="20"/>
  <c r="V526" i="20"/>
  <c r="J526" i="20"/>
  <c r="F526" i="20"/>
  <c r="BD525" i="20"/>
  <c r="BE525" i="20" s="1"/>
  <c r="AZ525" i="20"/>
  <c r="BA525" i="20" s="1"/>
  <c r="AV525" i="20"/>
  <c r="AW525" i="20" s="1"/>
  <c r="AS525" i="20"/>
  <c r="AR525" i="20"/>
  <c r="AC525" i="20"/>
  <c r="AB525" i="20"/>
  <c r="AA525" i="20"/>
  <c r="W525" i="20"/>
  <c r="V525" i="20"/>
  <c r="O525" i="20"/>
  <c r="M525" i="20"/>
  <c r="L525" i="20"/>
  <c r="J525" i="20"/>
  <c r="F525" i="20"/>
  <c r="AV524" i="20"/>
  <c r="AW524" i="20" s="1"/>
  <c r="AR524" i="20"/>
  <c r="AS524" i="20" s="1"/>
  <c r="AJ524" i="20"/>
  <c r="AK524" i="20" s="1"/>
  <c r="AG524" i="20"/>
  <c r="AF524" i="20"/>
  <c r="AC524" i="20"/>
  <c r="AB524" i="20"/>
  <c r="AA524" i="20"/>
  <c r="W524" i="20"/>
  <c r="V524" i="20"/>
  <c r="N524" i="20"/>
  <c r="M524" i="20"/>
  <c r="L524" i="20"/>
  <c r="K524" i="20"/>
  <c r="J524" i="20"/>
  <c r="F524" i="20"/>
  <c r="W523" i="20"/>
  <c r="V523" i="20"/>
  <c r="S523" i="20"/>
  <c r="R523" i="20"/>
  <c r="M523" i="20"/>
  <c r="L523" i="20"/>
  <c r="K523" i="20"/>
  <c r="F523" i="20"/>
  <c r="AR523" i="20" s="1"/>
  <c r="AS523" i="20" s="1"/>
  <c r="AZ522" i="20"/>
  <c r="BA522" i="20" s="1"/>
  <c r="AV522" i="20"/>
  <c r="AW522" i="20" s="1"/>
  <c r="AR522" i="20"/>
  <c r="AS522" i="20" s="1"/>
  <c r="AO522" i="20"/>
  <c r="AN522" i="20"/>
  <c r="AF522" i="20"/>
  <c r="AG522" i="20" s="1"/>
  <c r="AB522" i="20"/>
  <c r="AC522" i="20" s="1"/>
  <c r="AA522" i="20"/>
  <c r="W522" i="20"/>
  <c r="V522" i="20"/>
  <c r="S522" i="20"/>
  <c r="R522" i="20"/>
  <c r="Q522" i="20"/>
  <c r="P522" i="20"/>
  <c r="O522" i="20"/>
  <c r="N522" i="20"/>
  <c r="L522" i="20"/>
  <c r="F522" i="20"/>
  <c r="AJ522" i="20" s="1"/>
  <c r="AK522" i="20" s="1"/>
  <c r="BD521" i="20"/>
  <c r="BE521" i="20" s="1"/>
  <c r="BA521" i="20"/>
  <c r="AZ521" i="20"/>
  <c r="AW521" i="20"/>
  <c r="AV521" i="20"/>
  <c r="AN521" i="20"/>
  <c r="AO521" i="20" s="1"/>
  <c r="AJ521" i="20"/>
  <c r="AK521" i="20" s="1"/>
  <c r="AF521" i="20"/>
  <c r="AG521" i="20" s="1"/>
  <c r="AB521" i="20"/>
  <c r="AC521" i="20" s="1"/>
  <c r="AA521" i="20"/>
  <c r="W521" i="20"/>
  <c r="V521" i="20"/>
  <c r="S521" i="20"/>
  <c r="R521" i="20"/>
  <c r="Q521" i="20"/>
  <c r="O521" i="20"/>
  <c r="J521" i="20"/>
  <c r="F521" i="20"/>
  <c r="AW520" i="20"/>
  <c r="AV520" i="20"/>
  <c r="AR520" i="20"/>
  <c r="AS520" i="20" s="1"/>
  <c r="AO520" i="20"/>
  <c r="AN520" i="20"/>
  <c r="AK520" i="20"/>
  <c r="AJ520" i="20"/>
  <c r="AF520" i="20"/>
  <c r="AG520" i="20" s="1"/>
  <c r="AB520" i="20"/>
  <c r="AC520" i="20" s="1"/>
  <c r="AA520" i="20"/>
  <c r="W520" i="20"/>
  <c r="V520" i="20"/>
  <c r="R520" i="20"/>
  <c r="N520" i="20"/>
  <c r="L520" i="20"/>
  <c r="K520" i="20"/>
  <c r="F520" i="20"/>
  <c r="AZ519" i="20"/>
  <c r="BA519" i="20" s="1"/>
  <c r="AW519" i="20"/>
  <c r="AV519" i="20"/>
  <c r="AR519" i="20"/>
  <c r="AS519" i="20" s="1"/>
  <c r="AO519" i="20"/>
  <c r="AN519" i="20"/>
  <c r="AK519" i="20"/>
  <c r="AJ519" i="20"/>
  <c r="AF519" i="20"/>
  <c r="AG519" i="20" s="1"/>
  <c r="AC519" i="20"/>
  <c r="AB519" i="20"/>
  <c r="W519" i="20"/>
  <c r="V519" i="20"/>
  <c r="P519" i="20"/>
  <c r="O519" i="20"/>
  <c r="M519" i="20"/>
  <c r="L519" i="20"/>
  <c r="K519" i="20"/>
  <c r="J519" i="20"/>
  <c r="F519" i="20"/>
  <c r="BD519" i="20" s="1"/>
  <c r="BE519" i="20" s="1"/>
  <c r="AZ518" i="20"/>
  <c r="BA518" i="20" s="1"/>
  <c r="AV518" i="20"/>
  <c r="AW518" i="20" s="1"/>
  <c r="AR518" i="20"/>
  <c r="AS518" i="20" s="1"/>
  <c r="AO518" i="20"/>
  <c r="AN518" i="20"/>
  <c r="AJ518" i="20"/>
  <c r="AK518" i="20" s="1"/>
  <c r="W518" i="20"/>
  <c r="V518" i="20"/>
  <c r="S518" i="20"/>
  <c r="Q518" i="20"/>
  <c r="P518" i="20"/>
  <c r="O518" i="20"/>
  <c r="N518" i="20"/>
  <c r="M518" i="20"/>
  <c r="L518" i="20"/>
  <c r="K518" i="20"/>
  <c r="F518" i="20"/>
  <c r="BD518" i="20" s="1"/>
  <c r="BE518" i="20" s="1"/>
  <c r="AZ517" i="20"/>
  <c r="BA517" i="20" s="1"/>
  <c r="AW517" i="20"/>
  <c r="AV517" i="20"/>
  <c r="AR517" i="20"/>
  <c r="AS517" i="20" s="1"/>
  <c r="AO517" i="20"/>
  <c r="AN517" i="20"/>
  <c r="AC517" i="20"/>
  <c r="AB517" i="20"/>
  <c r="W517" i="20"/>
  <c r="V517" i="20"/>
  <c r="S517" i="20"/>
  <c r="R517" i="20"/>
  <c r="Q517" i="20"/>
  <c r="P517" i="20"/>
  <c r="O517" i="20"/>
  <c r="M517" i="20"/>
  <c r="L517" i="20"/>
  <c r="K517" i="20"/>
  <c r="F517" i="20"/>
  <c r="BD517" i="20" s="1"/>
  <c r="BE517" i="20" s="1"/>
  <c r="BD516" i="20"/>
  <c r="BE516" i="20" s="1"/>
  <c r="AZ516" i="20"/>
  <c r="BA516" i="20" s="1"/>
  <c r="AW516" i="20"/>
  <c r="AR516" i="20"/>
  <c r="AS516" i="20" s="1"/>
  <c r="AN516" i="20"/>
  <c r="AO516" i="20" s="1"/>
  <c r="AJ516" i="20"/>
  <c r="AK516" i="20" s="1"/>
  <c r="AF516" i="20"/>
  <c r="AG516" i="20" s="1"/>
  <c r="AC516" i="20"/>
  <c r="AB516" i="20"/>
  <c r="AA516" i="20"/>
  <c r="W516" i="20"/>
  <c r="V516" i="20"/>
  <c r="S516" i="20"/>
  <c r="R516" i="20"/>
  <c r="Q516" i="20"/>
  <c r="P516" i="20"/>
  <c r="O516" i="20"/>
  <c r="N516" i="20"/>
  <c r="M516" i="20"/>
  <c r="L516" i="20"/>
  <c r="K516" i="20"/>
  <c r="J516" i="20"/>
  <c r="F516" i="20"/>
  <c r="AV516" i="20" s="1"/>
  <c r="W515" i="20"/>
  <c r="V515" i="20"/>
  <c r="P515" i="20"/>
  <c r="F515" i="20"/>
  <c r="BD514" i="20"/>
  <c r="BE514" i="20" s="1"/>
  <c r="AV514" i="20"/>
  <c r="AW514" i="20" s="1"/>
  <c r="AR514" i="20"/>
  <c r="AS514" i="20" s="1"/>
  <c r="AO514" i="20"/>
  <c r="AN514" i="20"/>
  <c r="AJ514" i="20"/>
  <c r="AK514" i="20" s="1"/>
  <c r="AF514" i="20"/>
  <c r="AG514" i="20" s="1"/>
  <c r="AC514" i="20"/>
  <c r="AB514" i="20"/>
  <c r="AA514" i="20"/>
  <c r="W514" i="20"/>
  <c r="V514" i="20"/>
  <c r="R514" i="20"/>
  <c r="Q514" i="20"/>
  <c r="P514" i="20"/>
  <c r="O514" i="20"/>
  <c r="M514" i="20"/>
  <c r="F514" i="20"/>
  <c r="BA513" i="20"/>
  <c r="AZ513" i="20"/>
  <c r="AV513" i="20"/>
  <c r="AW513" i="20" s="1"/>
  <c r="AR513" i="20"/>
  <c r="AS513" i="20" s="1"/>
  <c r="AN513" i="20"/>
  <c r="AO513" i="20" s="1"/>
  <c r="AK513" i="20"/>
  <c r="AJ513" i="20"/>
  <c r="AG513" i="20"/>
  <c r="AF513" i="20"/>
  <c r="AB513" i="20"/>
  <c r="AC513" i="20" s="1"/>
  <c r="AA513" i="20"/>
  <c r="W513" i="20"/>
  <c r="V513" i="20"/>
  <c r="S513" i="20"/>
  <c r="R513" i="20"/>
  <c r="Q513" i="20"/>
  <c r="P513" i="20"/>
  <c r="O513" i="20"/>
  <c r="K513" i="20"/>
  <c r="F513" i="20"/>
  <c r="AZ512" i="20"/>
  <c r="BA512" i="20" s="1"/>
  <c r="AV512" i="20"/>
  <c r="AW512" i="20" s="1"/>
  <c r="AR512" i="20"/>
  <c r="AS512" i="20" s="1"/>
  <c r="AJ512" i="20"/>
  <c r="AK512" i="20" s="1"/>
  <c r="AF512" i="20"/>
  <c r="AG512" i="20" s="1"/>
  <c r="AC512" i="20"/>
  <c r="AB512" i="20"/>
  <c r="W512" i="20"/>
  <c r="V512" i="20"/>
  <c r="Q512" i="20"/>
  <c r="O512" i="20"/>
  <c r="F512" i="20"/>
  <c r="AA512" i="20" s="1"/>
  <c r="AR511" i="20"/>
  <c r="AS511" i="20" s="1"/>
  <c r="AN511" i="20"/>
  <c r="AO511" i="20" s="1"/>
  <c r="AJ511" i="20"/>
  <c r="AK511" i="20" s="1"/>
  <c r="AF511" i="20"/>
  <c r="AG511" i="20" s="1"/>
  <c r="AB511" i="20"/>
  <c r="AC511" i="20" s="1"/>
  <c r="W511" i="20"/>
  <c r="V511" i="20"/>
  <c r="O511" i="20"/>
  <c r="M511" i="20"/>
  <c r="F511" i="20"/>
  <c r="W510" i="20"/>
  <c r="V510" i="20"/>
  <c r="S510" i="20"/>
  <c r="F510" i="20"/>
  <c r="BE509" i="20"/>
  <c r="BD509" i="20"/>
  <c r="AZ509" i="20"/>
  <c r="BA509" i="20" s="1"/>
  <c r="AN509" i="20"/>
  <c r="AO509" i="20" s="1"/>
  <c r="W509" i="20"/>
  <c r="V509" i="20"/>
  <c r="F509" i="20"/>
  <c r="AZ508" i="20"/>
  <c r="BA508" i="20" s="1"/>
  <c r="AV508" i="20"/>
  <c r="AW508" i="20" s="1"/>
  <c r="AJ508" i="20"/>
  <c r="AK508" i="20" s="1"/>
  <c r="AC508" i="20"/>
  <c r="AB508" i="20"/>
  <c r="W508" i="20"/>
  <c r="V508" i="20"/>
  <c r="S508" i="20"/>
  <c r="P508" i="20"/>
  <c r="O508" i="20"/>
  <c r="M508" i="20"/>
  <c r="K508" i="20"/>
  <c r="J508" i="20"/>
  <c r="F508" i="20"/>
  <c r="W507" i="20"/>
  <c r="V507" i="20"/>
  <c r="F507" i="20"/>
  <c r="W506" i="20"/>
  <c r="V506" i="20"/>
  <c r="F506" i="20"/>
  <c r="AZ505" i="20"/>
  <c r="BA505" i="20" s="1"/>
  <c r="AS505" i="20"/>
  <c r="AR505" i="20"/>
  <c r="AN505" i="20"/>
  <c r="AO505" i="20" s="1"/>
  <c r="W505" i="20"/>
  <c r="V505" i="20"/>
  <c r="S505" i="20"/>
  <c r="M505" i="20"/>
  <c r="L505" i="20"/>
  <c r="K505" i="20"/>
  <c r="J505" i="20"/>
  <c r="F505" i="20"/>
  <c r="W504" i="20"/>
  <c r="V504" i="20"/>
  <c r="F504" i="20"/>
  <c r="BA503" i="20"/>
  <c r="AZ503" i="20"/>
  <c r="AV503" i="20"/>
  <c r="AW503" i="20" s="1"/>
  <c r="AS503" i="20"/>
  <c r="AR503" i="20"/>
  <c r="AF503" i="20"/>
  <c r="AG503" i="20" s="1"/>
  <c r="AB503" i="20"/>
  <c r="AC503" i="20" s="1"/>
  <c r="W503" i="20"/>
  <c r="V503" i="20"/>
  <c r="S503" i="20"/>
  <c r="R503" i="20"/>
  <c r="Q503" i="20"/>
  <c r="N503" i="20"/>
  <c r="M503" i="20"/>
  <c r="F503" i="20"/>
  <c r="BE502" i="20"/>
  <c r="BD502" i="20"/>
  <c r="AZ502" i="20"/>
  <c r="BA502" i="20" s="1"/>
  <c r="AW502" i="20"/>
  <c r="AV502" i="20"/>
  <c r="AB502" i="20"/>
  <c r="AC502" i="20" s="1"/>
  <c r="W502" i="20"/>
  <c r="V502" i="20"/>
  <c r="O502" i="20"/>
  <c r="J502" i="20"/>
  <c r="F502" i="20"/>
  <c r="W501" i="20"/>
  <c r="V501" i="20"/>
  <c r="F501" i="20"/>
  <c r="BE500" i="20"/>
  <c r="AV500" i="20"/>
  <c r="AW500" i="20" s="1"/>
  <c r="AR500" i="20"/>
  <c r="AS500" i="20" s="1"/>
  <c r="AO500" i="20"/>
  <c r="AN500" i="20"/>
  <c r="AJ500" i="20"/>
  <c r="AK500" i="20" s="1"/>
  <c r="AF500" i="20"/>
  <c r="AG500" i="20" s="1"/>
  <c r="AC500" i="20"/>
  <c r="AB500" i="20"/>
  <c r="AA500" i="20"/>
  <c r="W500" i="20"/>
  <c r="V500" i="20"/>
  <c r="S500" i="20"/>
  <c r="R500" i="20"/>
  <c r="Q500" i="20"/>
  <c r="P500" i="20"/>
  <c r="O500" i="20"/>
  <c r="N500" i="20"/>
  <c r="M500" i="20"/>
  <c r="L500" i="20"/>
  <c r="J500" i="20"/>
  <c r="F500" i="20"/>
  <c r="BD500" i="20" s="1"/>
  <c r="AN499" i="20"/>
  <c r="AO499" i="20" s="1"/>
  <c r="AJ499" i="20"/>
  <c r="AK499" i="20" s="1"/>
  <c r="AG499" i="20"/>
  <c r="AF499" i="20"/>
  <c r="AC499" i="20"/>
  <c r="AB499" i="20"/>
  <c r="AA499" i="20"/>
  <c r="W499" i="20"/>
  <c r="V499" i="20"/>
  <c r="S499" i="20"/>
  <c r="R499" i="20"/>
  <c r="Q499" i="20"/>
  <c r="P499" i="20"/>
  <c r="N499" i="20"/>
  <c r="L499" i="20"/>
  <c r="K499" i="20"/>
  <c r="F499" i="20"/>
  <c r="BD498" i="20"/>
  <c r="BE498" i="20" s="1"/>
  <c r="AV498" i="20"/>
  <c r="AW498" i="20" s="1"/>
  <c r="AS498" i="20"/>
  <c r="AR498" i="20"/>
  <c r="AN498" i="20"/>
  <c r="AO498" i="20" s="1"/>
  <c r="AK498" i="20"/>
  <c r="AJ498" i="20"/>
  <c r="AF498" i="20"/>
  <c r="AG498" i="20" s="1"/>
  <c r="AB498" i="20"/>
  <c r="AC498" i="20" s="1"/>
  <c r="AA498" i="20"/>
  <c r="W498" i="20"/>
  <c r="V498" i="20"/>
  <c r="R498" i="20"/>
  <c r="O498" i="20"/>
  <c r="N498" i="20"/>
  <c r="M498" i="20"/>
  <c r="L498" i="20"/>
  <c r="J498" i="20"/>
  <c r="F498" i="20"/>
  <c r="AZ498" i="20" s="1"/>
  <c r="BA498" i="20" s="1"/>
  <c r="AZ497" i="20"/>
  <c r="BA497" i="20" s="1"/>
  <c r="AW497" i="20"/>
  <c r="AV497" i="20"/>
  <c r="AS497" i="20"/>
  <c r="AR497" i="20"/>
  <c r="AN497" i="20"/>
  <c r="AO497" i="20" s="1"/>
  <c r="AJ497" i="20"/>
  <c r="AK497" i="20" s="1"/>
  <c r="AG497" i="20"/>
  <c r="AF497" i="20"/>
  <c r="W497" i="20"/>
  <c r="V497" i="20"/>
  <c r="S497" i="20"/>
  <c r="R497" i="20"/>
  <c r="Q497" i="20"/>
  <c r="O497" i="20"/>
  <c r="N497" i="20"/>
  <c r="M497" i="20"/>
  <c r="K497" i="20"/>
  <c r="F497" i="20"/>
  <c r="AJ496" i="20"/>
  <c r="AK496" i="20" s="1"/>
  <c r="W496" i="20"/>
  <c r="V496" i="20"/>
  <c r="R496" i="20"/>
  <c r="Q496" i="20"/>
  <c r="P496" i="20"/>
  <c r="N496" i="20"/>
  <c r="K496" i="20"/>
  <c r="J496" i="20"/>
  <c r="F496" i="20"/>
  <c r="BD495" i="20"/>
  <c r="BE495" i="20" s="1"/>
  <c r="AZ495" i="20"/>
  <c r="BA495" i="20" s="1"/>
  <c r="AV495" i="20"/>
  <c r="AW495" i="20" s="1"/>
  <c r="AA495" i="20"/>
  <c r="W495" i="20"/>
  <c r="V495" i="20"/>
  <c r="S495" i="20"/>
  <c r="F495" i="20"/>
  <c r="BD494" i="20"/>
  <c r="BE494" i="20" s="1"/>
  <c r="AW494" i="20"/>
  <c r="AV494" i="20"/>
  <c r="AN494" i="20"/>
  <c r="AO494" i="20" s="1"/>
  <c r="AJ494" i="20"/>
  <c r="AK494" i="20" s="1"/>
  <c r="AG494" i="20"/>
  <c r="AF494" i="20"/>
  <c r="AB494" i="20"/>
  <c r="AC494" i="20" s="1"/>
  <c r="AA494" i="20"/>
  <c r="W494" i="20"/>
  <c r="V494" i="20"/>
  <c r="S494" i="20"/>
  <c r="R494" i="20"/>
  <c r="Q494" i="20"/>
  <c r="O494" i="20"/>
  <c r="N494" i="20"/>
  <c r="M494" i="20"/>
  <c r="L494" i="20"/>
  <c r="K494" i="20"/>
  <c r="J494" i="20"/>
  <c r="F494" i="20"/>
  <c r="AV493" i="20"/>
  <c r="AW493" i="20" s="1"/>
  <c r="AR493" i="20"/>
  <c r="AS493" i="20" s="1"/>
  <c r="AN493" i="20"/>
  <c r="AO493" i="20" s="1"/>
  <c r="AF493" i="20"/>
  <c r="AG493" i="20" s="1"/>
  <c r="W493" i="20"/>
  <c r="V493" i="20"/>
  <c r="R493" i="20"/>
  <c r="Q493" i="20"/>
  <c r="P493" i="20"/>
  <c r="O493" i="20"/>
  <c r="N493" i="20"/>
  <c r="L493" i="20"/>
  <c r="F493" i="20"/>
  <c r="BD492" i="20"/>
  <c r="BE492" i="20" s="1"/>
  <c r="W492" i="20"/>
  <c r="V492" i="20"/>
  <c r="S492" i="20"/>
  <c r="R492" i="20"/>
  <c r="O492" i="20"/>
  <c r="M492" i="20"/>
  <c r="F492" i="20"/>
  <c r="BD491" i="20"/>
  <c r="BE491" i="20" s="1"/>
  <c r="AR491" i="20"/>
  <c r="AS491" i="20" s="1"/>
  <c r="AF491" i="20"/>
  <c r="AG491" i="20" s="1"/>
  <c r="AA491" i="20"/>
  <c r="W491" i="20"/>
  <c r="V491" i="20"/>
  <c r="R491" i="20"/>
  <c r="Q491" i="20"/>
  <c r="P491" i="20"/>
  <c r="O491" i="20"/>
  <c r="N491" i="20"/>
  <c r="M491" i="20"/>
  <c r="L491" i="20"/>
  <c r="K491" i="20"/>
  <c r="F491" i="20"/>
  <c r="W490" i="20"/>
  <c r="V490" i="20"/>
  <c r="L490" i="20"/>
  <c r="J490" i="20"/>
  <c r="F490" i="20"/>
  <c r="W489" i="20"/>
  <c r="V489" i="20"/>
  <c r="L489" i="20"/>
  <c r="K489" i="20"/>
  <c r="J489" i="20"/>
  <c r="F489" i="20"/>
  <c r="BD488" i="20"/>
  <c r="BE488" i="20" s="1"/>
  <c r="AZ488" i="20"/>
  <c r="BA488" i="20" s="1"/>
  <c r="AV488" i="20"/>
  <c r="AW488" i="20" s="1"/>
  <c r="AR488" i="20"/>
  <c r="AS488" i="20" s="1"/>
  <c r="AO488" i="20"/>
  <c r="AN488" i="20"/>
  <c r="AJ488" i="20"/>
  <c r="AK488" i="20" s="1"/>
  <c r="AG488" i="20"/>
  <c r="AF488" i="20"/>
  <c r="AB488" i="20"/>
  <c r="AC488" i="20" s="1"/>
  <c r="AA488" i="20"/>
  <c r="W488" i="20"/>
  <c r="V488" i="20"/>
  <c r="S488" i="20"/>
  <c r="R488" i="20"/>
  <c r="Q488" i="20"/>
  <c r="P488" i="20"/>
  <c r="O488" i="20"/>
  <c r="N488" i="20"/>
  <c r="M488" i="20"/>
  <c r="L488" i="20"/>
  <c r="J488" i="20"/>
  <c r="F488" i="20"/>
  <c r="K488" i="20" s="1"/>
  <c r="BD487" i="20"/>
  <c r="BE487" i="20" s="1"/>
  <c r="AV487" i="20"/>
  <c r="AW487" i="20" s="1"/>
  <c r="AR487" i="20"/>
  <c r="AS487" i="20" s="1"/>
  <c r="AO487" i="20"/>
  <c r="AN487" i="20"/>
  <c r="AC487" i="20"/>
  <c r="AB487" i="20"/>
  <c r="W487" i="20"/>
  <c r="V487" i="20"/>
  <c r="Q487" i="20"/>
  <c r="L487" i="20"/>
  <c r="F487" i="20"/>
  <c r="AN486" i="20"/>
  <c r="AO486" i="20" s="1"/>
  <c r="W486" i="20"/>
  <c r="V486" i="20"/>
  <c r="R486" i="20"/>
  <c r="F486" i="20"/>
  <c r="AZ485" i="20"/>
  <c r="BA485" i="20" s="1"/>
  <c r="AR485" i="20"/>
  <c r="AS485" i="20" s="1"/>
  <c r="W485" i="20"/>
  <c r="V485" i="20"/>
  <c r="J485" i="20"/>
  <c r="F485" i="20"/>
  <c r="AR484" i="20"/>
  <c r="AS484" i="20" s="1"/>
  <c r="AJ484" i="20"/>
  <c r="AK484" i="20" s="1"/>
  <c r="AF484" i="20"/>
  <c r="AG484" i="20" s="1"/>
  <c r="AC484" i="20"/>
  <c r="AB484" i="20"/>
  <c r="W484" i="20"/>
  <c r="V484" i="20"/>
  <c r="R484" i="20"/>
  <c r="P484" i="20"/>
  <c r="O484" i="20"/>
  <c r="J484" i="20"/>
  <c r="F484" i="20"/>
  <c r="BD484" i="20" s="1"/>
  <c r="BE484" i="20" s="1"/>
  <c r="AF483" i="20"/>
  <c r="AG483" i="20" s="1"/>
  <c r="AA483" i="20"/>
  <c r="W483" i="20"/>
  <c r="V483" i="20"/>
  <c r="L483" i="20"/>
  <c r="K483" i="20"/>
  <c r="F483" i="20"/>
  <c r="AS482" i="20"/>
  <c r="AR482" i="20"/>
  <c r="AF482" i="20"/>
  <c r="AG482" i="20" s="1"/>
  <c r="AA482" i="20"/>
  <c r="W482" i="20"/>
  <c r="V482" i="20"/>
  <c r="F482" i="20"/>
  <c r="BD481" i="20"/>
  <c r="BE481" i="20" s="1"/>
  <c r="AV481" i="20"/>
  <c r="AW481" i="20" s="1"/>
  <c r="W481" i="20"/>
  <c r="V481" i="20"/>
  <c r="Q481" i="20"/>
  <c r="P481" i="20"/>
  <c r="N481" i="20"/>
  <c r="M481" i="20"/>
  <c r="J481" i="20"/>
  <c r="F481" i="20"/>
  <c r="BD480" i="20"/>
  <c r="BE480" i="20" s="1"/>
  <c r="AV480" i="20"/>
  <c r="AW480" i="20" s="1"/>
  <c r="AS480" i="20"/>
  <c r="AR480" i="20"/>
  <c r="AN480" i="20"/>
  <c r="AO480" i="20" s="1"/>
  <c r="AJ480" i="20"/>
  <c r="AK480" i="20" s="1"/>
  <c r="AG480" i="20"/>
  <c r="AF480" i="20"/>
  <c r="AC480" i="20"/>
  <c r="AA480" i="20"/>
  <c r="W480" i="20"/>
  <c r="V480" i="20"/>
  <c r="S480" i="20"/>
  <c r="R480" i="20"/>
  <c r="Q480" i="20"/>
  <c r="P480" i="20"/>
  <c r="O480" i="20"/>
  <c r="N480" i="20"/>
  <c r="M480" i="20"/>
  <c r="K480" i="20"/>
  <c r="F480" i="20"/>
  <c r="AB480" i="20" s="1"/>
  <c r="BE479" i="20"/>
  <c r="BD479" i="20"/>
  <c r="AZ479" i="20"/>
  <c r="BA479" i="20" s="1"/>
  <c r="AV479" i="20"/>
  <c r="AW479" i="20" s="1"/>
  <c r="AS479" i="20"/>
  <c r="AR479" i="20"/>
  <c r="AN479" i="20"/>
  <c r="AO479" i="20" s="1"/>
  <c r="AK479" i="20"/>
  <c r="AJ479" i="20"/>
  <c r="AF479" i="20"/>
  <c r="AG479" i="20" s="1"/>
  <c r="AB479" i="20"/>
  <c r="AC479" i="20" s="1"/>
  <c r="AA479" i="20"/>
  <c r="W479" i="20"/>
  <c r="V479" i="20"/>
  <c r="S479" i="20"/>
  <c r="R479" i="20"/>
  <c r="M479" i="20"/>
  <c r="L479" i="20"/>
  <c r="F479" i="20"/>
  <c r="AZ478" i="20"/>
  <c r="BA478" i="20" s="1"/>
  <c r="AV478" i="20"/>
  <c r="AW478" i="20" s="1"/>
  <c r="AR478" i="20"/>
  <c r="AS478" i="20" s="1"/>
  <c r="AO478" i="20"/>
  <c r="AN478" i="20"/>
  <c r="AJ478" i="20"/>
  <c r="AK478" i="20" s="1"/>
  <c r="AG478" i="20"/>
  <c r="AF478" i="20"/>
  <c r="AC478" i="20"/>
  <c r="AB478" i="20"/>
  <c r="W478" i="20"/>
  <c r="V478" i="20"/>
  <c r="Q478" i="20"/>
  <c r="N478" i="20"/>
  <c r="M478" i="20"/>
  <c r="F478" i="20"/>
  <c r="W477" i="20"/>
  <c r="V477" i="20"/>
  <c r="F477" i="20"/>
  <c r="BE476" i="20"/>
  <c r="BD476" i="20"/>
  <c r="BA476" i="20"/>
  <c r="AZ476" i="20"/>
  <c r="AW476" i="20"/>
  <c r="AV476" i="20"/>
  <c r="AR476" i="20"/>
  <c r="AS476" i="20" s="1"/>
  <c r="AJ476" i="20"/>
  <c r="AK476" i="20" s="1"/>
  <c r="AF476" i="20"/>
  <c r="AG476" i="20" s="1"/>
  <c r="AB476" i="20"/>
  <c r="AC476" i="20" s="1"/>
  <c r="AA476" i="20"/>
  <c r="W476" i="20"/>
  <c r="V476" i="20"/>
  <c r="S476" i="20"/>
  <c r="R476" i="20"/>
  <c r="P476" i="20"/>
  <c r="O476" i="20"/>
  <c r="K476" i="20"/>
  <c r="J476" i="20"/>
  <c r="F476" i="20"/>
  <c r="BE475" i="20"/>
  <c r="BD475" i="20"/>
  <c r="AV475" i="20"/>
  <c r="AW475" i="20" s="1"/>
  <c r="AS475" i="20"/>
  <c r="AR475" i="20"/>
  <c r="AN475" i="20"/>
  <c r="AO475" i="20" s="1"/>
  <c r="AJ475" i="20"/>
  <c r="AK475" i="20" s="1"/>
  <c r="AF475" i="20"/>
  <c r="AG475" i="20" s="1"/>
  <c r="AB475" i="20"/>
  <c r="AC475" i="20" s="1"/>
  <c r="AA475" i="20"/>
  <c r="W475" i="20"/>
  <c r="V475" i="20"/>
  <c r="S475" i="20"/>
  <c r="R475" i="20"/>
  <c r="Q475" i="20"/>
  <c r="P475" i="20"/>
  <c r="O475" i="20"/>
  <c r="N475" i="20"/>
  <c r="M475" i="20"/>
  <c r="L475" i="20"/>
  <c r="K475" i="20"/>
  <c r="F475" i="20"/>
  <c r="J475" i="20" s="1"/>
  <c r="BA474" i="20"/>
  <c r="AZ474" i="20"/>
  <c r="AW474" i="20"/>
  <c r="AV474" i="20"/>
  <c r="AS474" i="20"/>
  <c r="AR474" i="20"/>
  <c r="AN474" i="20"/>
  <c r="AO474" i="20" s="1"/>
  <c r="AJ474" i="20"/>
  <c r="AK474" i="20" s="1"/>
  <c r="AF474" i="20"/>
  <c r="AG474" i="20" s="1"/>
  <c r="AB474" i="20"/>
  <c r="AC474" i="20" s="1"/>
  <c r="W474" i="20"/>
  <c r="V474" i="20"/>
  <c r="R474" i="20"/>
  <c r="O474" i="20"/>
  <c r="L474" i="20"/>
  <c r="K474" i="20"/>
  <c r="F474" i="20"/>
  <c r="BD474" i="20" s="1"/>
  <c r="BE474" i="20" s="1"/>
  <c r="AZ473" i="20"/>
  <c r="BA473" i="20" s="1"/>
  <c r="AV473" i="20"/>
  <c r="AW473" i="20" s="1"/>
  <c r="AS473" i="20"/>
  <c r="AR473" i="20"/>
  <c r="AO473" i="20"/>
  <c r="AN473" i="20"/>
  <c r="AK473" i="20"/>
  <c r="AJ473" i="20"/>
  <c r="AB473" i="20"/>
  <c r="AC473" i="20" s="1"/>
  <c r="W473" i="20"/>
  <c r="V473" i="20"/>
  <c r="N473" i="20"/>
  <c r="M473" i="20"/>
  <c r="L473" i="20"/>
  <c r="K473" i="20"/>
  <c r="F473" i="20"/>
  <c r="BD473" i="20" s="1"/>
  <c r="BE473" i="20" s="1"/>
  <c r="W472" i="20"/>
  <c r="V472" i="20"/>
  <c r="F472" i="20"/>
  <c r="W471" i="20"/>
  <c r="V471" i="20"/>
  <c r="K471" i="20"/>
  <c r="F471" i="20"/>
  <c r="BD470" i="20"/>
  <c r="BE470" i="20" s="1"/>
  <c r="AZ470" i="20"/>
  <c r="BA470" i="20" s="1"/>
  <c r="AV470" i="20"/>
  <c r="AW470" i="20" s="1"/>
  <c r="AS470" i="20"/>
  <c r="AR470" i="20"/>
  <c r="AN470" i="20"/>
  <c r="AO470" i="20" s="1"/>
  <c r="AJ470" i="20"/>
  <c r="AK470" i="20" s="1"/>
  <c r="AG470" i="20"/>
  <c r="AF470" i="20"/>
  <c r="AB470" i="20"/>
  <c r="AC470" i="20" s="1"/>
  <c r="AA470" i="20"/>
  <c r="W470" i="20"/>
  <c r="V470" i="20"/>
  <c r="S470" i="20"/>
  <c r="R470" i="20"/>
  <c r="Q470" i="20"/>
  <c r="O470" i="20"/>
  <c r="N470" i="20"/>
  <c r="M470" i="20"/>
  <c r="L470" i="20"/>
  <c r="K470" i="20"/>
  <c r="J470" i="20"/>
  <c r="F470" i="20"/>
  <c r="P470" i="20" s="1"/>
  <c r="AR469" i="20"/>
  <c r="AS469" i="20" s="1"/>
  <c r="AJ469" i="20"/>
  <c r="AK469" i="20" s="1"/>
  <c r="AB469" i="20"/>
  <c r="AC469" i="20" s="1"/>
  <c r="W469" i="20"/>
  <c r="V469" i="20"/>
  <c r="S469" i="20"/>
  <c r="R469" i="20"/>
  <c r="Q469" i="20"/>
  <c r="O469" i="20"/>
  <c r="K469" i="20"/>
  <c r="F469" i="20"/>
  <c r="W468" i="20"/>
  <c r="V468" i="20"/>
  <c r="F468" i="20"/>
  <c r="BE467" i="20"/>
  <c r="BD467" i="20"/>
  <c r="AZ467" i="20"/>
  <c r="BA467" i="20" s="1"/>
  <c r="AJ467" i="20"/>
  <c r="AK467" i="20" s="1"/>
  <c r="AF467" i="20"/>
  <c r="AG467" i="20" s="1"/>
  <c r="AB467" i="20"/>
  <c r="AC467" i="20" s="1"/>
  <c r="AA467" i="20"/>
  <c r="W467" i="20"/>
  <c r="V467" i="20"/>
  <c r="S467" i="20"/>
  <c r="R467" i="20"/>
  <c r="Q467" i="20"/>
  <c r="P467" i="20"/>
  <c r="O467" i="20"/>
  <c r="N467" i="20"/>
  <c r="L467" i="20"/>
  <c r="K467" i="20"/>
  <c r="F467" i="20"/>
  <c r="BD466" i="20"/>
  <c r="BE466" i="20" s="1"/>
  <c r="AJ466" i="20"/>
  <c r="AK466" i="20" s="1"/>
  <c r="AC466" i="20"/>
  <c r="AB466" i="20"/>
  <c r="AA466" i="20"/>
  <c r="W466" i="20"/>
  <c r="V466" i="20"/>
  <c r="S466" i="20"/>
  <c r="R466" i="20"/>
  <c r="Q466" i="20"/>
  <c r="N466" i="20"/>
  <c r="M466" i="20"/>
  <c r="L466" i="20"/>
  <c r="K466" i="20"/>
  <c r="J466" i="20"/>
  <c r="F466" i="20"/>
  <c r="BE465" i="20"/>
  <c r="BD465" i="20"/>
  <c r="AZ465" i="20"/>
  <c r="BA465" i="20" s="1"/>
  <c r="AV465" i="20"/>
  <c r="AW465" i="20" s="1"/>
  <c r="AR465" i="20"/>
  <c r="AS465" i="20" s="1"/>
  <c r="AN465" i="20"/>
  <c r="AO465" i="20" s="1"/>
  <c r="AK465" i="20"/>
  <c r="AJ465" i="20"/>
  <c r="AF465" i="20"/>
  <c r="AG465" i="20" s="1"/>
  <c r="AB465" i="20"/>
  <c r="AC465" i="20" s="1"/>
  <c r="W465" i="20"/>
  <c r="V465" i="20"/>
  <c r="S465" i="20"/>
  <c r="R465" i="20"/>
  <c r="Q465" i="20"/>
  <c r="P465" i="20"/>
  <c r="O465" i="20"/>
  <c r="N465" i="20"/>
  <c r="M465" i="20"/>
  <c r="L465" i="20"/>
  <c r="K465" i="20"/>
  <c r="J465" i="20"/>
  <c r="F465" i="20"/>
  <c r="AA465" i="20" s="1"/>
  <c r="AZ464" i="20"/>
  <c r="BA464" i="20" s="1"/>
  <c r="AV464" i="20"/>
  <c r="AW464" i="20" s="1"/>
  <c r="AS464" i="20"/>
  <c r="AR464" i="20"/>
  <c r="AN464" i="20"/>
  <c r="AO464" i="20" s="1"/>
  <c r="AJ464" i="20"/>
  <c r="AK464" i="20" s="1"/>
  <c r="AF464" i="20"/>
  <c r="AG464" i="20" s="1"/>
  <c r="AA464" i="20"/>
  <c r="W464" i="20"/>
  <c r="V464" i="20"/>
  <c r="S464" i="20"/>
  <c r="R464" i="20"/>
  <c r="Q464" i="20"/>
  <c r="O464" i="20"/>
  <c r="M464" i="20"/>
  <c r="L464" i="20"/>
  <c r="K464" i="20"/>
  <c r="J464" i="20"/>
  <c r="F464" i="20"/>
  <c r="BD463" i="20"/>
  <c r="BE463" i="20" s="1"/>
  <c r="AV463" i="20"/>
  <c r="AW463" i="20" s="1"/>
  <c r="AO463" i="20"/>
  <c r="AN463" i="20"/>
  <c r="AJ463" i="20"/>
  <c r="AK463" i="20" s="1"/>
  <c r="AF463" i="20"/>
  <c r="AG463" i="20" s="1"/>
  <c r="AB463" i="20"/>
  <c r="AC463" i="20" s="1"/>
  <c r="AA463" i="20"/>
  <c r="W463" i="20"/>
  <c r="V463" i="20"/>
  <c r="R463" i="20"/>
  <c r="Q463" i="20"/>
  <c r="F463" i="20"/>
  <c r="W462" i="20"/>
  <c r="V462" i="20"/>
  <c r="R462" i="20"/>
  <c r="L462" i="20"/>
  <c r="J462" i="20"/>
  <c r="F462" i="20"/>
  <c r="BD461" i="20"/>
  <c r="BE461" i="20" s="1"/>
  <c r="BA461" i="20"/>
  <c r="AZ461" i="20"/>
  <c r="AK461" i="20"/>
  <c r="AJ461" i="20"/>
  <c r="AG461" i="20"/>
  <c r="AF461" i="20"/>
  <c r="AC461" i="20"/>
  <c r="AB461" i="20"/>
  <c r="W461" i="20"/>
  <c r="V461" i="20"/>
  <c r="S461" i="20"/>
  <c r="R461" i="20"/>
  <c r="Q461" i="20"/>
  <c r="P461" i="20"/>
  <c r="N461" i="20"/>
  <c r="M461" i="20"/>
  <c r="L461" i="20"/>
  <c r="K461" i="20"/>
  <c r="J461" i="20"/>
  <c r="F461" i="20"/>
  <c r="BD460" i="20"/>
  <c r="BE460" i="20" s="1"/>
  <c r="AZ460" i="20"/>
  <c r="BA460" i="20" s="1"/>
  <c r="AV460" i="20"/>
  <c r="AW460" i="20" s="1"/>
  <c r="AS460" i="20"/>
  <c r="AR460" i="20"/>
  <c r="AN460" i="20"/>
  <c r="AO460" i="20" s="1"/>
  <c r="AJ460" i="20"/>
  <c r="AK460" i="20" s="1"/>
  <c r="AG460" i="20"/>
  <c r="AF460" i="20"/>
  <c r="AB460" i="20"/>
  <c r="AC460" i="20" s="1"/>
  <c r="AA460" i="20"/>
  <c r="W460" i="20"/>
  <c r="V460" i="20"/>
  <c r="S460" i="20"/>
  <c r="R460" i="20"/>
  <c r="Q460" i="20"/>
  <c r="P460" i="20"/>
  <c r="O460" i="20"/>
  <c r="N460" i="20"/>
  <c r="M460" i="20"/>
  <c r="L460" i="20"/>
  <c r="K460" i="20"/>
  <c r="J460" i="20"/>
  <c r="F460" i="20"/>
  <c r="BD459" i="20"/>
  <c r="BE459" i="20" s="1"/>
  <c r="AZ459" i="20"/>
  <c r="BA459" i="20" s="1"/>
  <c r="AV459" i="20"/>
  <c r="AW459" i="20" s="1"/>
  <c r="AS459" i="20"/>
  <c r="AR459" i="20"/>
  <c r="AN459" i="20"/>
  <c r="AO459" i="20" s="1"/>
  <c r="AK459" i="20"/>
  <c r="AJ459" i="20"/>
  <c r="AG459" i="20"/>
  <c r="AF459" i="20"/>
  <c r="AA459" i="20"/>
  <c r="W459" i="20"/>
  <c r="V459" i="20"/>
  <c r="S459" i="20"/>
  <c r="R459" i="20"/>
  <c r="Q459" i="20"/>
  <c r="M459" i="20"/>
  <c r="K459" i="20"/>
  <c r="F459" i="20"/>
  <c r="AJ458" i="20"/>
  <c r="AK458" i="20" s="1"/>
  <c r="W458" i="20"/>
  <c r="V458" i="20"/>
  <c r="F458" i="20"/>
  <c r="BD457" i="20"/>
  <c r="BE457" i="20" s="1"/>
  <c r="BA457" i="20"/>
  <c r="AZ457" i="20"/>
  <c r="W457" i="20"/>
  <c r="V457" i="20"/>
  <c r="S457" i="20"/>
  <c r="Q457" i="20"/>
  <c r="P457" i="20"/>
  <c r="M457" i="20"/>
  <c r="J457" i="20"/>
  <c r="F457" i="20"/>
  <c r="BE456" i="20"/>
  <c r="BD456" i="20"/>
  <c r="AZ456" i="20"/>
  <c r="BA456" i="20" s="1"/>
  <c r="AW456" i="20"/>
  <c r="AV456" i="20"/>
  <c r="AR456" i="20"/>
  <c r="AS456" i="20" s="1"/>
  <c r="W456" i="20"/>
  <c r="V456" i="20"/>
  <c r="P456" i="20"/>
  <c r="O456" i="20"/>
  <c r="L456" i="20"/>
  <c r="K456" i="20"/>
  <c r="J456" i="20"/>
  <c r="F456" i="20"/>
  <c r="BE455" i="20"/>
  <c r="BD455" i="20"/>
  <c r="AZ455" i="20"/>
  <c r="BA455" i="20" s="1"/>
  <c r="AS455" i="20"/>
  <c r="AR455" i="20"/>
  <c r="AN455" i="20"/>
  <c r="AO455" i="20" s="1"/>
  <c r="AK455" i="20"/>
  <c r="AJ455" i="20"/>
  <c r="AF455" i="20"/>
  <c r="AG455" i="20" s="1"/>
  <c r="AC455" i="20"/>
  <c r="AB455" i="20"/>
  <c r="AA455" i="20"/>
  <c r="X455" i="20"/>
  <c r="W455" i="20"/>
  <c r="V455" i="20"/>
  <c r="S455" i="20"/>
  <c r="R455" i="20"/>
  <c r="Q455" i="20"/>
  <c r="P455" i="20"/>
  <c r="O455" i="20"/>
  <c r="N455" i="20"/>
  <c r="M455" i="20"/>
  <c r="L455" i="20"/>
  <c r="J455" i="20"/>
  <c r="F455" i="20"/>
  <c r="K455" i="20" s="1"/>
  <c r="W454" i="20"/>
  <c r="V454" i="20"/>
  <c r="F454" i="20"/>
  <c r="W453" i="20"/>
  <c r="V453" i="20"/>
  <c r="L453" i="20"/>
  <c r="K453" i="20"/>
  <c r="J453" i="20"/>
  <c r="F453" i="20"/>
  <c r="AZ452" i="20"/>
  <c r="BA452" i="20" s="1"/>
  <c r="AW452" i="20"/>
  <c r="AV452" i="20"/>
  <c r="AN452" i="20"/>
  <c r="AO452" i="20" s="1"/>
  <c r="AB452" i="20"/>
  <c r="AC452" i="20" s="1"/>
  <c r="AA452" i="20"/>
  <c r="X452" i="20"/>
  <c r="W452" i="20"/>
  <c r="V452" i="20"/>
  <c r="Q452" i="20"/>
  <c r="P452" i="20"/>
  <c r="O452" i="20"/>
  <c r="N452" i="20"/>
  <c r="M452" i="20"/>
  <c r="L452" i="20"/>
  <c r="K452" i="20"/>
  <c r="F452" i="20"/>
  <c r="BD451" i="20"/>
  <c r="BE451" i="20" s="1"/>
  <c r="AZ451" i="20"/>
  <c r="BA451" i="20" s="1"/>
  <c r="AR451" i="20"/>
  <c r="AS451" i="20" s="1"/>
  <c r="AJ451" i="20"/>
  <c r="AK451" i="20" s="1"/>
  <c r="AG451" i="20"/>
  <c r="AF451" i="20"/>
  <c r="AB451" i="20"/>
  <c r="AC451" i="20" s="1"/>
  <c r="W451" i="20"/>
  <c r="V451" i="20"/>
  <c r="S451" i="20"/>
  <c r="R451" i="20"/>
  <c r="J451" i="20"/>
  <c r="F451" i="20"/>
  <c r="BD450" i="20"/>
  <c r="BE450" i="20" s="1"/>
  <c r="AV450" i="20"/>
  <c r="AW450" i="20" s="1"/>
  <c r="AN450" i="20"/>
  <c r="AO450" i="20" s="1"/>
  <c r="AC450" i="20"/>
  <c r="AB450" i="20"/>
  <c r="AA450" i="20"/>
  <c r="W450" i="20"/>
  <c r="V450" i="20"/>
  <c r="S450" i="20"/>
  <c r="R450" i="20"/>
  <c r="Q450" i="20"/>
  <c r="P450" i="20"/>
  <c r="L450" i="20"/>
  <c r="K450" i="20"/>
  <c r="J450" i="20"/>
  <c r="F450" i="20"/>
  <c r="W449" i="20"/>
  <c r="V449" i="20"/>
  <c r="F449" i="20"/>
  <c r="BE448" i="20"/>
  <c r="BD448" i="20"/>
  <c r="AZ448" i="20"/>
  <c r="BA448" i="20" s="1"/>
  <c r="AW448" i="20"/>
  <c r="AS448" i="20"/>
  <c r="AR448" i="20"/>
  <c r="AO448" i="20"/>
  <c r="AN448" i="20"/>
  <c r="AK448" i="20"/>
  <c r="AJ448" i="20"/>
  <c r="AF448" i="20"/>
  <c r="AG448" i="20" s="1"/>
  <c r="AB448" i="20"/>
  <c r="AC448" i="20" s="1"/>
  <c r="AA448" i="20"/>
  <c r="W448" i="20"/>
  <c r="V448" i="20"/>
  <c r="S448" i="20"/>
  <c r="R448" i="20"/>
  <c r="Q448" i="20"/>
  <c r="P448" i="20"/>
  <c r="O448" i="20"/>
  <c r="N448" i="20"/>
  <c r="M448" i="20"/>
  <c r="L448" i="20"/>
  <c r="K448" i="20"/>
  <c r="J448" i="20"/>
  <c r="F448" i="20"/>
  <c r="AV448" i="20" s="1"/>
  <c r="BD447" i="20"/>
  <c r="BE447" i="20" s="1"/>
  <c r="AZ447" i="20"/>
  <c r="BA447" i="20" s="1"/>
  <c r="AW447" i="20"/>
  <c r="AV447" i="20"/>
  <c r="AR447" i="20"/>
  <c r="AS447" i="20" s="1"/>
  <c r="AN447" i="20"/>
  <c r="AO447" i="20" s="1"/>
  <c r="AJ447" i="20"/>
  <c r="AK447" i="20" s="1"/>
  <c r="AF447" i="20"/>
  <c r="AG447" i="20" s="1"/>
  <c r="AC447" i="20"/>
  <c r="AB447" i="20"/>
  <c r="AA447" i="20"/>
  <c r="W447" i="20"/>
  <c r="V447" i="20"/>
  <c r="S447" i="20"/>
  <c r="R447" i="20"/>
  <c r="Q447" i="20"/>
  <c r="P447" i="20"/>
  <c r="M447" i="20"/>
  <c r="L447" i="20"/>
  <c r="K447" i="20"/>
  <c r="J447" i="20"/>
  <c r="F447" i="20"/>
  <c r="BE446" i="20"/>
  <c r="BD446" i="20"/>
  <c r="AV446" i="20"/>
  <c r="AW446" i="20" s="1"/>
  <c r="AS446" i="20"/>
  <c r="AR446" i="20"/>
  <c r="AO446" i="20"/>
  <c r="AN446" i="20"/>
  <c r="AJ446" i="20"/>
  <c r="AK446" i="20" s="1"/>
  <c r="AF446" i="20"/>
  <c r="AG446" i="20" s="1"/>
  <c r="AB446" i="20"/>
  <c r="AC446" i="20" s="1"/>
  <c r="AA446" i="20"/>
  <c r="W446" i="20"/>
  <c r="V446" i="20"/>
  <c r="R446" i="20"/>
  <c r="Q446" i="20"/>
  <c r="N446" i="20"/>
  <c r="F446" i="20"/>
  <c r="BE445" i="20"/>
  <c r="BD445" i="20"/>
  <c r="AZ445" i="20"/>
  <c r="BA445" i="20" s="1"/>
  <c r="AW445" i="20"/>
  <c r="AV445" i="20"/>
  <c r="AR445" i="20"/>
  <c r="AS445" i="20" s="1"/>
  <c r="AN445" i="20"/>
  <c r="AO445" i="20" s="1"/>
  <c r="AF445" i="20"/>
  <c r="AG445" i="20" s="1"/>
  <c r="AA445" i="20"/>
  <c r="W445" i="20"/>
  <c r="V445" i="20"/>
  <c r="O445" i="20"/>
  <c r="N445" i="20"/>
  <c r="M445" i="20"/>
  <c r="L445" i="20"/>
  <c r="F445" i="20"/>
  <c r="AZ444" i="20"/>
  <c r="BA444" i="20" s="1"/>
  <c r="AV444" i="20"/>
  <c r="AW444" i="20" s="1"/>
  <c r="AR444" i="20"/>
  <c r="AS444" i="20" s="1"/>
  <c r="AO444" i="20"/>
  <c r="AJ444" i="20"/>
  <c r="AK444" i="20" s="1"/>
  <c r="AG444" i="20"/>
  <c r="AF444" i="20"/>
  <c r="AB444" i="20"/>
  <c r="AC444" i="20" s="1"/>
  <c r="X444" i="20"/>
  <c r="W444" i="20"/>
  <c r="V444" i="20"/>
  <c r="S444" i="20"/>
  <c r="R444" i="20"/>
  <c r="Q444" i="20"/>
  <c r="P444" i="20"/>
  <c r="F444" i="20"/>
  <c r="AN444" i="20" s="1"/>
  <c r="BD443" i="20"/>
  <c r="BE443" i="20" s="1"/>
  <c r="BA443" i="20"/>
  <c r="AZ443" i="20"/>
  <c r="AV443" i="20"/>
  <c r="AW443" i="20" s="1"/>
  <c r="AR443" i="20"/>
  <c r="AS443" i="20" s="1"/>
  <c r="AJ443" i="20"/>
  <c r="AK443" i="20" s="1"/>
  <c r="AA443" i="20"/>
  <c r="X443" i="20"/>
  <c r="W443" i="20"/>
  <c r="V443" i="20"/>
  <c r="S443" i="20"/>
  <c r="Q443" i="20"/>
  <c r="P443" i="20"/>
  <c r="O443" i="20"/>
  <c r="K443" i="20"/>
  <c r="J443" i="20"/>
  <c r="F443" i="20"/>
  <c r="BD442" i="20"/>
  <c r="BE442" i="20" s="1"/>
  <c r="BA442" i="20"/>
  <c r="AZ442" i="20"/>
  <c r="AV442" i="20"/>
  <c r="AW442" i="20" s="1"/>
  <c r="AR442" i="20"/>
  <c r="AS442" i="20" s="1"/>
  <c r="AG442" i="20"/>
  <c r="AF442" i="20"/>
  <c r="AB442" i="20"/>
  <c r="AC442" i="20" s="1"/>
  <c r="AA442" i="20"/>
  <c r="X442" i="20"/>
  <c r="W442" i="20"/>
  <c r="V442" i="20"/>
  <c r="S442" i="20"/>
  <c r="R442" i="20"/>
  <c r="Q442" i="20"/>
  <c r="P442" i="20"/>
  <c r="L442" i="20"/>
  <c r="K442" i="20"/>
  <c r="F442" i="20"/>
  <c r="BD441" i="20"/>
  <c r="BE441" i="20" s="1"/>
  <c r="AZ441" i="20"/>
  <c r="BA441" i="20" s="1"/>
  <c r="AV441" i="20"/>
  <c r="AW441" i="20" s="1"/>
  <c r="AN441" i="20"/>
  <c r="AO441" i="20" s="1"/>
  <c r="AJ441" i="20"/>
  <c r="AK441" i="20" s="1"/>
  <c r="AG441" i="20"/>
  <c r="AF441" i="20"/>
  <c r="AC441" i="20"/>
  <c r="AB441" i="20"/>
  <c r="AA441" i="20"/>
  <c r="X441" i="20"/>
  <c r="W441" i="20"/>
  <c r="V441" i="20"/>
  <c r="S441" i="20"/>
  <c r="R441" i="20"/>
  <c r="Q441" i="20"/>
  <c r="O441" i="20"/>
  <c r="N441" i="20"/>
  <c r="M441" i="20"/>
  <c r="L441" i="20"/>
  <c r="K441" i="20"/>
  <c r="J441" i="20"/>
  <c r="F441" i="20"/>
  <c r="BD440" i="20"/>
  <c r="BE440" i="20" s="1"/>
  <c r="AW440" i="20"/>
  <c r="AV440" i="20"/>
  <c r="AS440" i="20"/>
  <c r="AR440" i="20"/>
  <c r="AN440" i="20"/>
  <c r="AO440" i="20" s="1"/>
  <c r="AJ440" i="20"/>
  <c r="AK440" i="20" s="1"/>
  <c r="AG440" i="20"/>
  <c r="AF440" i="20"/>
  <c r="AB440" i="20"/>
  <c r="AC440" i="20" s="1"/>
  <c r="AA440" i="20"/>
  <c r="W440" i="20"/>
  <c r="V440" i="20"/>
  <c r="S440" i="20"/>
  <c r="R440" i="20"/>
  <c r="Q440" i="20"/>
  <c r="P440" i="20"/>
  <c r="L440" i="20"/>
  <c r="K440" i="20"/>
  <c r="J440" i="20"/>
  <c r="F440" i="20"/>
  <c r="BE439" i="20"/>
  <c r="BA439" i="20"/>
  <c r="AZ439" i="20"/>
  <c r="AV439" i="20"/>
  <c r="AW439" i="20" s="1"/>
  <c r="AO439" i="20"/>
  <c r="AN439" i="20"/>
  <c r="AJ439" i="20"/>
  <c r="AK439" i="20" s="1"/>
  <c r="W439" i="20"/>
  <c r="V439" i="20"/>
  <c r="J439" i="20"/>
  <c r="F439" i="20"/>
  <c r="BD439" i="20" s="1"/>
  <c r="BE438" i="20"/>
  <c r="BD438" i="20"/>
  <c r="AN438" i="20"/>
  <c r="AO438" i="20" s="1"/>
  <c r="AJ438" i="20"/>
  <c r="AK438" i="20" s="1"/>
  <c r="AF438" i="20"/>
  <c r="AG438" i="20" s="1"/>
  <c r="AB438" i="20"/>
  <c r="AC438" i="20" s="1"/>
  <c r="W438" i="20"/>
  <c r="V438" i="20"/>
  <c r="K438" i="20"/>
  <c r="J438" i="20"/>
  <c r="F438" i="20"/>
  <c r="AV438" i="20" s="1"/>
  <c r="AW438" i="20" s="1"/>
  <c r="AJ437" i="20"/>
  <c r="AK437" i="20" s="1"/>
  <c r="AA437" i="20"/>
  <c r="W437" i="20"/>
  <c r="V437" i="20"/>
  <c r="K437" i="20"/>
  <c r="F437" i="20"/>
  <c r="W436" i="20"/>
  <c r="V436" i="20"/>
  <c r="F436" i="20"/>
  <c r="BD435" i="20"/>
  <c r="BE435" i="20" s="1"/>
  <c r="BA435" i="20"/>
  <c r="AZ435" i="20"/>
  <c r="AV435" i="20"/>
  <c r="AW435" i="20" s="1"/>
  <c r="AS435" i="20"/>
  <c r="AR435" i="20"/>
  <c r="AO435" i="20"/>
  <c r="AN435" i="20"/>
  <c r="AK435" i="20"/>
  <c r="AJ435" i="20"/>
  <c r="AG435" i="20"/>
  <c r="AF435" i="20"/>
  <c r="AB435" i="20"/>
  <c r="AC435" i="20" s="1"/>
  <c r="W435" i="20"/>
  <c r="V435" i="20"/>
  <c r="S435" i="20"/>
  <c r="R435" i="20"/>
  <c r="Q435" i="20"/>
  <c r="P435" i="20"/>
  <c r="O435" i="20"/>
  <c r="N435" i="20"/>
  <c r="M435" i="20"/>
  <c r="L435" i="20"/>
  <c r="K435" i="20"/>
  <c r="J435" i="20"/>
  <c r="F435" i="20"/>
  <c r="AA435" i="20" s="1"/>
  <c r="BE434" i="20"/>
  <c r="BD434" i="20"/>
  <c r="AZ434" i="20"/>
  <c r="BA434" i="20" s="1"/>
  <c r="AV434" i="20"/>
  <c r="AW434" i="20" s="1"/>
  <c r="AN434" i="20"/>
  <c r="AO434" i="20" s="1"/>
  <c r="AJ434" i="20"/>
  <c r="AK434" i="20" s="1"/>
  <c r="AF434" i="20"/>
  <c r="AG434" i="20" s="1"/>
  <c r="AB434" i="20"/>
  <c r="AC434" i="20" s="1"/>
  <c r="W434" i="20"/>
  <c r="V434" i="20"/>
  <c r="R434" i="20"/>
  <c r="Q434" i="20"/>
  <c r="O434" i="20"/>
  <c r="N434" i="20"/>
  <c r="L434" i="20"/>
  <c r="K434" i="20"/>
  <c r="J434" i="20"/>
  <c r="F434" i="20"/>
  <c r="BA433" i="20"/>
  <c r="AZ433" i="20"/>
  <c r="AO433" i="20"/>
  <c r="AN433" i="20"/>
  <c r="AJ433" i="20"/>
  <c r="AK433" i="20" s="1"/>
  <c r="AF433" i="20"/>
  <c r="AG433" i="20" s="1"/>
  <c r="AB433" i="20"/>
  <c r="AC433" i="20" s="1"/>
  <c r="W433" i="20"/>
  <c r="V433" i="20"/>
  <c r="N433" i="20"/>
  <c r="M433" i="20"/>
  <c r="L433" i="20"/>
  <c r="K433" i="20"/>
  <c r="F433" i="20"/>
  <c r="BD432" i="20"/>
  <c r="BE432" i="20" s="1"/>
  <c r="AW432" i="20"/>
  <c r="AV432" i="20"/>
  <c r="AR432" i="20"/>
  <c r="AS432" i="20" s="1"/>
  <c r="AN432" i="20"/>
  <c r="AO432" i="20" s="1"/>
  <c r="AJ432" i="20"/>
  <c r="AK432" i="20" s="1"/>
  <c r="AG432" i="20"/>
  <c r="AF432" i="20"/>
  <c r="AC432" i="20"/>
  <c r="AB432" i="20"/>
  <c r="W432" i="20"/>
  <c r="V432" i="20"/>
  <c r="S432" i="20"/>
  <c r="R432" i="20"/>
  <c r="Q432" i="20"/>
  <c r="P432" i="20"/>
  <c r="O432" i="20"/>
  <c r="L432" i="20"/>
  <c r="K432" i="20"/>
  <c r="J432" i="20"/>
  <c r="F432" i="20"/>
  <c r="W431" i="20"/>
  <c r="V431" i="20"/>
  <c r="M431" i="20"/>
  <c r="F431" i="20"/>
  <c r="BD430" i="20"/>
  <c r="BE430" i="20" s="1"/>
  <c r="AN430" i="20"/>
  <c r="AO430" i="20" s="1"/>
  <c r="W430" i="20"/>
  <c r="V430" i="20"/>
  <c r="S430" i="20"/>
  <c r="Q430" i="20"/>
  <c r="O430" i="20"/>
  <c r="N430" i="20"/>
  <c r="J430" i="20"/>
  <c r="F430" i="20"/>
  <c r="W429" i="20"/>
  <c r="V429" i="20"/>
  <c r="Q429" i="20"/>
  <c r="F429" i="20"/>
  <c r="AW428" i="20"/>
  <c r="AV428" i="20"/>
  <c r="W428" i="20"/>
  <c r="V428" i="20"/>
  <c r="J428" i="20"/>
  <c r="F428" i="20"/>
  <c r="BE427" i="20"/>
  <c r="BD427" i="20"/>
  <c r="AZ427" i="20"/>
  <c r="BA427" i="20" s="1"/>
  <c r="AV427" i="20"/>
  <c r="AW427" i="20" s="1"/>
  <c r="AS427" i="20"/>
  <c r="AR427" i="20"/>
  <c r="AN427" i="20"/>
  <c r="AO427" i="20" s="1"/>
  <c r="AJ427" i="20"/>
  <c r="AK427" i="20" s="1"/>
  <c r="AG427" i="20"/>
  <c r="AF427" i="20"/>
  <c r="AC427" i="20"/>
  <c r="AA427" i="20"/>
  <c r="W427" i="20"/>
  <c r="V427" i="20"/>
  <c r="S427" i="20"/>
  <c r="R427" i="20"/>
  <c r="Q427" i="20"/>
  <c r="P427" i="20"/>
  <c r="O427" i="20"/>
  <c r="N427" i="20"/>
  <c r="M427" i="20"/>
  <c r="L427" i="20"/>
  <c r="K427" i="20"/>
  <c r="J427" i="20"/>
  <c r="F427" i="20"/>
  <c r="AB427" i="20" s="1"/>
  <c r="BD426" i="20"/>
  <c r="BE426" i="20" s="1"/>
  <c r="AV426" i="20"/>
  <c r="AW426" i="20" s="1"/>
  <c r="AR426" i="20"/>
  <c r="AS426" i="20" s="1"/>
  <c r="AO426" i="20"/>
  <c r="AJ426" i="20"/>
  <c r="AK426" i="20" s="1"/>
  <c r="AF426" i="20"/>
  <c r="AG426" i="20" s="1"/>
  <c r="AB426" i="20"/>
  <c r="AC426" i="20" s="1"/>
  <c r="AA426" i="20"/>
  <c r="W426" i="20"/>
  <c r="V426" i="20"/>
  <c r="S426" i="20"/>
  <c r="R426" i="20"/>
  <c r="Q426" i="20"/>
  <c r="P426" i="20"/>
  <c r="O426" i="20"/>
  <c r="N426" i="20"/>
  <c r="L426" i="20"/>
  <c r="K426" i="20"/>
  <c r="J426" i="20"/>
  <c r="F426" i="20"/>
  <c r="AN426" i="20" s="1"/>
  <c r="BE425" i="20"/>
  <c r="BD425" i="20"/>
  <c r="AZ425" i="20"/>
  <c r="BA425" i="20" s="1"/>
  <c r="AV425" i="20"/>
  <c r="AW425" i="20" s="1"/>
  <c r="AR425" i="20"/>
  <c r="AS425" i="20" s="1"/>
  <c r="AN425" i="20"/>
  <c r="AO425" i="20" s="1"/>
  <c r="AJ425" i="20"/>
  <c r="AK425" i="20" s="1"/>
  <c r="AF425" i="20"/>
  <c r="AG425" i="20" s="1"/>
  <c r="AB425" i="20"/>
  <c r="AC425" i="20" s="1"/>
  <c r="AA425" i="20"/>
  <c r="W425" i="20"/>
  <c r="V425" i="20"/>
  <c r="S425" i="20"/>
  <c r="R425" i="20"/>
  <c r="Q425" i="20"/>
  <c r="P425" i="20"/>
  <c r="O425" i="20"/>
  <c r="N425" i="20"/>
  <c r="M425" i="20"/>
  <c r="L425" i="20"/>
  <c r="K425" i="20"/>
  <c r="J425" i="20"/>
  <c r="F425" i="20"/>
  <c r="AR424" i="20"/>
  <c r="AS424" i="20" s="1"/>
  <c r="AN424" i="20"/>
  <c r="AO424" i="20" s="1"/>
  <c r="AK424" i="20"/>
  <c r="AJ424" i="20"/>
  <c r="AF424" i="20"/>
  <c r="AG424" i="20" s="1"/>
  <c r="W424" i="20"/>
  <c r="V424" i="20"/>
  <c r="P424" i="20"/>
  <c r="F424" i="20"/>
  <c r="BA423" i="20"/>
  <c r="AZ423" i="20"/>
  <c r="AS423" i="20"/>
  <c r="AR423" i="20"/>
  <c r="AN423" i="20"/>
  <c r="AO423" i="20" s="1"/>
  <c r="AJ423" i="20"/>
  <c r="AK423" i="20" s="1"/>
  <c r="AF423" i="20"/>
  <c r="AG423" i="20" s="1"/>
  <c r="AC423" i="20"/>
  <c r="AB423" i="20"/>
  <c r="W423" i="20"/>
  <c r="V423" i="20"/>
  <c r="R423" i="20"/>
  <c r="L423" i="20"/>
  <c r="K423" i="20"/>
  <c r="F423" i="20"/>
  <c r="AV423" i="20" s="1"/>
  <c r="AW423" i="20" s="1"/>
  <c r="BD422" i="20"/>
  <c r="BE422" i="20" s="1"/>
  <c r="BA422" i="20"/>
  <c r="AZ422" i="20"/>
  <c r="AV422" i="20"/>
  <c r="AW422" i="20" s="1"/>
  <c r="AN422" i="20"/>
  <c r="AO422" i="20" s="1"/>
  <c r="AF422" i="20"/>
  <c r="AG422" i="20" s="1"/>
  <c r="AB422" i="20"/>
  <c r="AC422" i="20" s="1"/>
  <c r="AA422" i="20"/>
  <c r="W422" i="20"/>
  <c r="V422" i="20"/>
  <c r="S422" i="20"/>
  <c r="N422" i="20"/>
  <c r="M422" i="20"/>
  <c r="K422" i="20"/>
  <c r="J422" i="20"/>
  <c r="F422" i="20"/>
  <c r="BE421" i="20"/>
  <c r="BD421" i="20"/>
  <c r="AV421" i="20"/>
  <c r="AW421" i="20" s="1"/>
  <c r="AR421" i="20"/>
  <c r="AS421" i="20" s="1"/>
  <c r="AO421" i="20"/>
  <c r="AJ421" i="20"/>
  <c r="AK421" i="20" s="1"/>
  <c r="AG421" i="20"/>
  <c r="AF421" i="20"/>
  <c r="AC421" i="20"/>
  <c r="AB421" i="20"/>
  <c r="AA421" i="20"/>
  <c r="W421" i="20"/>
  <c r="V421" i="20"/>
  <c r="S421" i="20"/>
  <c r="R421" i="20"/>
  <c r="Q421" i="20"/>
  <c r="P421" i="20"/>
  <c r="O421" i="20"/>
  <c r="N421" i="20"/>
  <c r="M421" i="20"/>
  <c r="L421" i="20"/>
  <c r="K421" i="20"/>
  <c r="J421" i="20"/>
  <c r="F421" i="20"/>
  <c r="AN421" i="20" s="1"/>
  <c r="BD420" i="20"/>
  <c r="BE420" i="20" s="1"/>
  <c r="BA420" i="20"/>
  <c r="AZ420" i="20"/>
  <c r="AV420" i="20"/>
  <c r="AW420" i="20" s="1"/>
  <c r="AR420" i="20"/>
  <c r="AS420" i="20" s="1"/>
  <c r="AO420" i="20"/>
  <c r="AN420" i="20"/>
  <c r="AK420" i="20"/>
  <c r="AJ420" i="20"/>
  <c r="AG420" i="20"/>
  <c r="AF420" i="20"/>
  <c r="AB420" i="20"/>
  <c r="AC420" i="20" s="1"/>
  <c r="AA420" i="20"/>
  <c r="W420" i="20"/>
  <c r="V420" i="20"/>
  <c r="S420" i="20"/>
  <c r="R420" i="20"/>
  <c r="Q420" i="20"/>
  <c r="P420" i="20"/>
  <c r="O420" i="20"/>
  <c r="M420" i="20"/>
  <c r="L420" i="20"/>
  <c r="K420" i="20"/>
  <c r="J420" i="20"/>
  <c r="F420" i="20"/>
  <c r="N420" i="20" s="1"/>
  <c r="BD419" i="20"/>
  <c r="BE419" i="20" s="1"/>
  <c r="BA419" i="20"/>
  <c r="AZ419" i="20"/>
  <c r="AV419" i="20"/>
  <c r="AW419" i="20" s="1"/>
  <c r="AR419" i="20"/>
  <c r="AS419" i="20" s="1"/>
  <c r="AF419" i="20"/>
  <c r="AG419" i="20" s="1"/>
  <c r="AA419" i="20"/>
  <c r="W419" i="20"/>
  <c r="V419" i="20"/>
  <c r="S419" i="20"/>
  <c r="Q419" i="20"/>
  <c r="P419" i="20"/>
  <c r="N419" i="20"/>
  <c r="L419" i="20"/>
  <c r="J419" i="20"/>
  <c r="F419" i="20"/>
  <c r="BD418" i="20"/>
  <c r="BE418" i="20" s="1"/>
  <c r="AZ418" i="20"/>
  <c r="BA418" i="20" s="1"/>
  <c r="AV418" i="20"/>
  <c r="AW418" i="20" s="1"/>
  <c r="AK418" i="20"/>
  <c r="AJ418" i="20"/>
  <c r="AB418" i="20"/>
  <c r="AC418" i="20" s="1"/>
  <c r="W418" i="20"/>
  <c r="V418" i="20"/>
  <c r="S418" i="20"/>
  <c r="Q418" i="20"/>
  <c r="P418" i="20"/>
  <c r="O418" i="20"/>
  <c r="N418" i="20"/>
  <c r="M418" i="20"/>
  <c r="L418" i="20"/>
  <c r="K418" i="20"/>
  <c r="J418" i="20"/>
  <c r="F418" i="20"/>
  <c r="W417" i="20"/>
  <c r="V417" i="20"/>
  <c r="J417" i="20"/>
  <c r="F417" i="20"/>
  <c r="W416" i="20"/>
  <c r="V416" i="20"/>
  <c r="M416" i="20"/>
  <c r="K416" i="20"/>
  <c r="J416" i="20"/>
  <c r="F416" i="20"/>
  <c r="BE415" i="20"/>
  <c r="BD415" i="20"/>
  <c r="AV415" i="20"/>
  <c r="AW415" i="20" s="1"/>
  <c r="AR415" i="20"/>
  <c r="AS415" i="20" s="1"/>
  <c r="AN415" i="20"/>
  <c r="AO415" i="20" s="1"/>
  <c r="AJ415" i="20"/>
  <c r="AK415" i="20" s="1"/>
  <c r="AG415" i="20"/>
  <c r="AF415" i="20"/>
  <c r="AB415" i="20"/>
  <c r="AC415" i="20" s="1"/>
  <c r="AA415" i="20"/>
  <c r="W415" i="20"/>
  <c r="V415" i="20"/>
  <c r="S415" i="20"/>
  <c r="R415" i="20"/>
  <c r="Q415" i="20"/>
  <c r="P415" i="20"/>
  <c r="O415" i="20"/>
  <c r="N415" i="20"/>
  <c r="M415" i="20"/>
  <c r="L415" i="20"/>
  <c r="J415" i="20"/>
  <c r="F415" i="20"/>
  <c r="BE414" i="20"/>
  <c r="BD414" i="20"/>
  <c r="AW414" i="20"/>
  <c r="AV414" i="20"/>
  <c r="AR414" i="20"/>
  <c r="AS414" i="20" s="1"/>
  <c r="AO414" i="20"/>
  <c r="AN414" i="20"/>
  <c r="AJ414" i="20"/>
  <c r="AK414" i="20" s="1"/>
  <c r="AF414" i="20"/>
  <c r="AG414" i="20" s="1"/>
  <c r="AC414" i="20"/>
  <c r="AB414" i="20"/>
  <c r="AA414" i="20"/>
  <c r="W414" i="20"/>
  <c r="V414" i="20"/>
  <c r="S414" i="20"/>
  <c r="R414" i="20"/>
  <c r="Q414" i="20"/>
  <c r="O414" i="20"/>
  <c r="N414" i="20"/>
  <c r="L414" i="20"/>
  <c r="K414" i="20"/>
  <c r="J414" i="20"/>
  <c r="F414" i="20"/>
  <c r="P414" i="20" s="1"/>
  <c r="BE413" i="20"/>
  <c r="BD413" i="20"/>
  <c r="AZ413" i="20"/>
  <c r="BA413" i="20" s="1"/>
  <c r="AV413" i="20"/>
  <c r="AW413" i="20" s="1"/>
  <c r="AR413" i="20"/>
  <c r="AS413" i="20" s="1"/>
  <c r="AN413" i="20"/>
  <c r="AO413" i="20" s="1"/>
  <c r="AJ413" i="20"/>
  <c r="AK413" i="20" s="1"/>
  <c r="AG413" i="20"/>
  <c r="AF413" i="20"/>
  <c r="AC413" i="20"/>
  <c r="AB413" i="20"/>
  <c r="AA413" i="20"/>
  <c r="W413" i="20"/>
  <c r="V413" i="20"/>
  <c r="S413" i="20"/>
  <c r="Q413" i="20"/>
  <c r="P413" i="20"/>
  <c r="K413" i="20"/>
  <c r="J413" i="20"/>
  <c r="F413" i="20"/>
  <c r="BD412" i="20"/>
  <c r="BE412" i="20" s="1"/>
  <c r="BA412" i="20"/>
  <c r="AZ412" i="20"/>
  <c r="AJ412" i="20"/>
  <c r="AK412" i="20" s="1"/>
  <c r="AF412" i="20"/>
  <c r="AG412" i="20" s="1"/>
  <c r="AB412" i="20"/>
  <c r="AC412" i="20" s="1"/>
  <c r="W412" i="20"/>
  <c r="V412" i="20"/>
  <c r="S412" i="20"/>
  <c r="Q412" i="20"/>
  <c r="L412" i="20"/>
  <c r="K412" i="20"/>
  <c r="F412" i="20"/>
  <c r="W411" i="20"/>
  <c r="V411" i="20"/>
  <c r="J411" i="20"/>
  <c r="F411" i="20"/>
  <c r="BA410" i="20"/>
  <c r="AZ410" i="20"/>
  <c r="AV410" i="20"/>
  <c r="AW410" i="20" s="1"/>
  <c r="W410" i="20"/>
  <c r="V410" i="20"/>
  <c r="F410" i="20"/>
  <c r="BD409" i="20"/>
  <c r="BE409" i="20" s="1"/>
  <c r="AV409" i="20"/>
  <c r="AW409" i="20" s="1"/>
  <c r="AR409" i="20"/>
  <c r="AS409" i="20" s="1"/>
  <c r="AN409" i="20"/>
  <c r="AO409" i="20" s="1"/>
  <c r="AK409" i="20"/>
  <c r="AJ409" i="20"/>
  <c r="AF409" i="20"/>
  <c r="AG409" i="20" s="1"/>
  <c r="AC409" i="20"/>
  <c r="AB409" i="20"/>
  <c r="AA409" i="20"/>
  <c r="W409" i="20"/>
  <c r="V409" i="20"/>
  <c r="S409" i="20"/>
  <c r="R409" i="20"/>
  <c r="P409" i="20"/>
  <c r="O409" i="20"/>
  <c r="N409" i="20"/>
  <c r="M409" i="20"/>
  <c r="L409" i="20"/>
  <c r="K409" i="20"/>
  <c r="J409" i="20"/>
  <c r="F409" i="20"/>
  <c r="Q409" i="20" s="1"/>
  <c r="BD408" i="20"/>
  <c r="BE408" i="20" s="1"/>
  <c r="AZ408" i="20"/>
  <c r="BA408" i="20" s="1"/>
  <c r="AV408" i="20"/>
  <c r="AW408" i="20" s="1"/>
  <c r="AN408" i="20"/>
  <c r="AO408" i="20" s="1"/>
  <c r="W408" i="20"/>
  <c r="V408" i="20"/>
  <c r="S408" i="20"/>
  <c r="R408" i="20"/>
  <c r="Q408" i="20"/>
  <c r="F408" i="20"/>
  <c r="AW407" i="20"/>
  <c r="AV407" i="20"/>
  <c r="W407" i="20"/>
  <c r="V407" i="20"/>
  <c r="R407" i="20"/>
  <c r="P407" i="20"/>
  <c r="O407" i="20"/>
  <c r="N407" i="20"/>
  <c r="L407" i="20"/>
  <c r="K407" i="20"/>
  <c r="J407" i="20"/>
  <c r="F407" i="20"/>
  <c r="W406" i="20"/>
  <c r="V406" i="20"/>
  <c r="K406" i="20"/>
  <c r="F406" i="20"/>
  <c r="AV405" i="20"/>
  <c r="AW405" i="20" s="1"/>
  <c r="AR405" i="20"/>
  <c r="AS405" i="20" s="1"/>
  <c r="AO405" i="20"/>
  <c r="AN405" i="20"/>
  <c r="AJ405" i="20"/>
  <c r="AK405" i="20" s="1"/>
  <c r="AB405" i="20"/>
  <c r="AC405" i="20" s="1"/>
  <c r="AA405" i="20"/>
  <c r="W405" i="20"/>
  <c r="V405" i="20"/>
  <c r="S405" i="20"/>
  <c r="R405" i="20"/>
  <c r="Q405" i="20"/>
  <c r="P405" i="20"/>
  <c r="O405" i="20"/>
  <c r="N405" i="20"/>
  <c r="L405" i="20"/>
  <c r="K405" i="20"/>
  <c r="F405" i="20"/>
  <c r="AZ405" i="20" s="1"/>
  <c r="BA405" i="20" s="1"/>
  <c r="W404" i="20"/>
  <c r="V404" i="20"/>
  <c r="F404" i="20"/>
  <c r="BA403" i="20"/>
  <c r="AZ403" i="20"/>
  <c r="AR403" i="20"/>
  <c r="AS403" i="20" s="1"/>
  <c r="AN403" i="20"/>
  <c r="AO403" i="20" s="1"/>
  <c r="AJ403" i="20"/>
  <c r="AK403" i="20" s="1"/>
  <c r="AG403" i="20"/>
  <c r="AF403" i="20"/>
  <c r="W403" i="20"/>
  <c r="V403" i="20"/>
  <c r="Q403" i="20"/>
  <c r="J403" i="20"/>
  <c r="F403" i="20"/>
  <c r="W402" i="20"/>
  <c r="V402" i="20"/>
  <c r="F402" i="20"/>
  <c r="BD401" i="20"/>
  <c r="BE401" i="20" s="1"/>
  <c r="BA401" i="20"/>
  <c r="AZ401" i="20"/>
  <c r="AV401" i="20"/>
  <c r="AW401" i="20" s="1"/>
  <c r="AR401" i="20"/>
  <c r="AS401" i="20" s="1"/>
  <c r="AN401" i="20"/>
  <c r="AO401" i="20" s="1"/>
  <c r="AK401" i="20"/>
  <c r="AJ401" i="20"/>
  <c r="AF401" i="20"/>
  <c r="AG401" i="20" s="1"/>
  <c r="AB401" i="20"/>
  <c r="AC401" i="20" s="1"/>
  <c r="AA401" i="20"/>
  <c r="W401" i="20"/>
  <c r="V401" i="20"/>
  <c r="S401" i="20"/>
  <c r="R401" i="20"/>
  <c r="Q401" i="20"/>
  <c r="P401" i="20"/>
  <c r="O401" i="20"/>
  <c r="N401" i="20"/>
  <c r="M401" i="20"/>
  <c r="L401" i="20"/>
  <c r="K401" i="20"/>
  <c r="J401" i="20"/>
  <c r="F401" i="20"/>
  <c r="AN400" i="20"/>
  <c r="AO400" i="20" s="1"/>
  <c r="W400" i="20"/>
  <c r="V400" i="20"/>
  <c r="P400" i="20"/>
  <c r="O400" i="20"/>
  <c r="J400" i="20"/>
  <c r="F400" i="20"/>
  <c r="BD399" i="20"/>
  <c r="BE399" i="20" s="1"/>
  <c r="BA399" i="20"/>
  <c r="AZ399" i="20"/>
  <c r="AV399" i="20"/>
  <c r="AW399" i="20" s="1"/>
  <c r="AJ399" i="20"/>
  <c r="AK399" i="20" s="1"/>
  <c r="AF399" i="20"/>
  <c r="AG399" i="20" s="1"/>
  <c r="AB399" i="20"/>
  <c r="AC399" i="20" s="1"/>
  <c r="AA399" i="20"/>
  <c r="W399" i="20"/>
  <c r="V399" i="20"/>
  <c r="R399" i="20"/>
  <c r="O399" i="20"/>
  <c r="N399" i="20"/>
  <c r="M399" i="20"/>
  <c r="L399" i="20"/>
  <c r="K399" i="20"/>
  <c r="J399" i="20"/>
  <c r="F399" i="20"/>
  <c r="BE398" i="20"/>
  <c r="BD398" i="20"/>
  <c r="AZ398" i="20"/>
  <c r="BA398" i="20" s="1"/>
  <c r="AV398" i="20"/>
  <c r="AW398" i="20" s="1"/>
  <c r="AS398" i="20"/>
  <c r="AR398" i="20"/>
  <c r="AO398" i="20"/>
  <c r="AN398" i="20"/>
  <c r="AJ398" i="20"/>
  <c r="AK398" i="20" s="1"/>
  <c r="AG398" i="20"/>
  <c r="AC398" i="20"/>
  <c r="AB398" i="20"/>
  <c r="AA398" i="20"/>
  <c r="W398" i="20"/>
  <c r="V398" i="20"/>
  <c r="S398" i="20"/>
  <c r="R398" i="20"/>
  <c r="Q398" i="20"/>
  <c r="P398" i="20"/>
  <c r="O398" i="20"/>
  <c r="N398" i="20"/>
  <c r="M398" i="20"/>
  <c r="L398" i="20"/>
  <c r="J398" i="20"/>
  <c r="F398" i="20"/>
  <c r="AF398" i="20" s="1"/>
  <c r="W397" i="20"/>
  <c r="V397" i="20"/>
  <c r="Q397" i="20"/>
  <c r="F397" i="20"/>
  <c r="AZ396" i="20"/>
  <c r="BA396" i="20" s="1"/>
  <c r="AV396" i="20"/>
  <c r="AW396" i="20" s="1"/>
  <c r="AF396" i="20"/>
  <c r="AG396" i="20" s="1"/>
  <c r="W396" i="20"/>
  <c r="V396" i="20"/>
  <c r="R396" i="20"/>
  <c r="Q396" i="20"/>
  <c r="O396" i="20"/>
  <c r="L396" i="20"/>
  <c r="J396" i="20"/>
  <c r="F396" i="20"/>
  <c r="W395" i="20"/>
  <c r="V395" i="20"/>
  <c r="M395" i="20"/>
  <c r="F395" i="20"/>
  <c r="BD394" i="20"/>
  <c r="BE394" i="20" s="1"/>
  <c r="AZ394" i="20"/>
  <c r="BA394" i="20" s="1"/>
  <c r="AC394" i="20"/>
  <c r="AB394" i="20"/>
  <c r="W394" i="20"/>
  <c r="V394" i="20"/>
  <c r="P394" i="20"/>
  <c r="L394" i="20"/>
  <c r="K394" i="20"/>
  <c r="J394" i="20"/>
  <c r="F394" i="20"/>
  <c r="BD393" i="20"/>
  <c r="BE393" i="20" s="1"/>
  <c r="AZ393" i="20"/>
  <c r="BA393" i="20" s="1"/>
  <c r="AV393" i="20"/>
  <c r="AW393" i="20" s="1"/>
  <c r="AS393" i="20"/>
  <c r="AN393" i="20"/>
  <c r="AO393" i="20" s="1"/>
  <c r="AK393" i="20"/>
  <c r="AJ393" i="20"/>
  <c r="AF393" i="20"/>
  <c r="AG393" i="20" s="1"/>
  <c r="AC393" i="20"/>
  <c r="AB393" i="20"/>
  <c r="AA393" i="20"/>
  <c r="W393" i="20"/>
  <c r="V393" i="20"/>
  <c r="S393" i="20"/>
  <c r="R393" i="20"/>
  <c r="Q393" i="20"/>
  <c r="P393" i="20"/>
  <c r="O393" i="20"/>
  <c r="N393" i="20"/>
  <c r="M393" i="20"/>
  <c r="L393" i="20"/>
  <c r="K393" i="20"/>
  <c r="J393" i="20"/>
  <c r="F393" i="20"/>
  <c r="AR393" i="20" s="1"/>
  <c r="W392" i="20"/>
  <c r="V392" i="20"/>
  <c r="F392" i="20"/>
  <c r="BA391" i="20"/>
  <c r="AZ391" i="20"/>
  <c r="AS391" i="20"/>
  <c r="AR391" i="20"/>
  <c r="AN391" i="20"/>
  <c r="AO391" i="20" s="1"/>
  <c r="AJ391" i="20"/>
  <c r="AK391" i="20" s="1"/>
  <c r="AF391" i="20"/>
  <c r="AG391" i="20" s="1"/>
  <c r="AB391" i="20"/>
  <c r="AC391" i="20" s="1"/>
  <c r="AA391" i="20"/>
  <c r="W391" i="20"/>
  <c r="V391" i="20"/>
  <c r="N391" i="20"/>
  <c r="M391" i="20"/>
  <c r="F391" i="20"/>
  <c r="BE390" i="20"/>
  <c r="BD390" i="20"/>
  <c r="AZ390" i="20"/>
  <c r="BA390" i="20" s="1"/>
  <c r="AW390" i="20"/>
  <c r="AV390" i="20"/>
  <c r="AS390" i="20"/>
  <c r="AR390" i="20"/>
  <c r="AO390" i="20"/>
  <c r="AN390" i="20"/>
  <c r="AJ390" i="20"/>
  <c r="AK390" i="20" s="1"/>
  <c r="AA390" i="20"/>
  <c r="W390" i="20"/>
  <c r="V390" i="20"/>
  <c r="S390" i="20"/>
  <c r="R390" i="20"/>
  <c r="Q390" i="20"/>
  <c r="P390" i="20"/>
  <c r="O390" i="20"/>
  <c r="N390" i="20"/>
  <c r="L390" i="20"/>
  <c r="K390" i="20"/>
  <c r="J390" i="20"/>
  <c r="F390" i="20"/>
  <c r="BE389" i="20"/>
  <c r="BD389" i="20"/>
  <c r="BA389" i="20"/>
  <c r="AZ389" i="20"/>
  <c r="AW389" i="20"/>
  <c r="AV389" i="20"/>
  <c r="AN389" i="20"/>
  <c r="AO389" i="20" s="1"/>
  <c r="AJ389" i="20"/>
  <c r="AK389" i="20" s="1"/>
  <c r="AC389" i="20"/>
  <c r="AB389" i="20"/>
  <c r="AA389" i="20"/>
  <c r="W389" i="20"/>
  <c r="V389" i="20"/>
  <c r="N389" i="20"/>
  <c r="M389" i="20"/>
  <c r="F389" i="20"/>
  <c r="W388" i="20"/>
  <c r="V388" i="20"/>
  <c r="S388" i="20"/>
  <c r="F388" i="20"/>
  <c r="AV387" i="20"/>
  <c r="AW387" i="20" s="1"/>
  <c r="AR387" i="20"/>
  <c r="AS387" i="20" s="1"/>
  <c r="AO387" i="20"/>
  <c r="AN387" i="20"/>
  <c r="AJ387" i="20"/>
  <c r="AK387" i="20" s="1"/>
  <c r="AF387" i="20"/>
  <c r="AG387" i="20" s="1"/>
  <c r="AB387" i="20"/>
  <c r="AC387" i="20" s="1"/>
  <c r="AA387" i="20"/>
  <c r="W387" i="20"/>
  <c r="V387" i="20"/>
  <c r="Q387" i="20"/>
  <c r="P387" i="20"/>
  <c r="F387" i="20"/>
  <c r="BD387" i="20" s="1"/>
  <c r="BE387" i="20" s="1"/>
  <c r="BD386" i="20"/>
  <c r="BE386" i="20" s="1"/>
  <c r="BA386" i="20"/>
  <c r="AZ386" i="20"/>
  <c r="AV386" i="20"/>
  <c r="AW386" i="20" s="1"/>
  <c r="AR386" i="20"/>
  <c r="AS386" i="20" s="1"/>
  <c r="AN386" i="20"/>
  <c r="AO386" i="20" s="1"/>
  <c r="AK386" i="20"/>
  <c r="AJ386" i="20"/>
  <c r="AB386" i="20"/>
  <c r="AC386" i="20" s="1"/>
  <c r="AA386" i="20"/>
  <c r="W386" i="20"/>
  <c r="V386" i="20"/>
  <c r="S386" i="20"/>
  <c r="Q386" i="20"/>
  <c r="P386" i="20"/>
  <c r="M386" i="20"/>
  <c r="L386" i="20"/>
  <c r="J386" i="20"/>
  <c r="F386" i="20"/>
  <c r="BA385" i="20"/>
  <c r="AZ385" i="20"/>
  <c r="AV385" i="20"/>
  <c r="AW385" i="20" s="1"/>
  <c r="AO385" i="20"/>
  <c r="AN385" i="20"/>
  <c r="AK385" i="20"/>
  <c r="AJ385" i="20"/>
  <c r="AA385" i="20"/>
  <c r="W385" i="20"/>
  <c r="V385" i="20"/>
  <c r="S385" i="20"/>
  <c r="R385" i="20"/>
  <c r="P385" i="20"/>
  <c r="O385" i="20"/>
  <c r="N385" i="20"/>
  <c r="M385" i="20"/>
  <c r="K385" i="20"/>
  <c r="F385" i="20"/>
  <c r="BA384" i="20"/>
  <c r="AZ384" i="20"/>
  <c r="AV384" i="20"/>
  <c r="AW384" i="20" s="1"/>
  <c r="AS384" i="20"/>
  <c r="AR384" i="20"/>
  <c r="AN384" i="20"/>
  <c r="AO384" i="20" s="1"/>
  <c r="AJ384" i="20"/>
  <c r="AK384" i="20" s="1"/>
  <c r="AA384" i="20"/>
  <c r="W384" i="20"/>
  <c r="V384" i="20"/>
  <c r="R384" i="20"/>
  <c r="Q384" i="20"/>
  <c r="P384" i="20"/>
  <c r="O384" i="20"/>
  <c r="N384" i="20"/>
  <c r="L384" i="20"/>
  <c r="J384" i="20"/>
  <c r="F384" i="20"/>
  <c r="AN383" i="20"/>
  <c r="AO383" i="20" s="1"/>
  <c r="AJ383" i="20"/>
  <c r="AK383" i="20" s="1"/>
  <c r="AC383" i="20"/>
  <c r="AB383" i="20"/>
  <c r="AA383" i="20"/>
  <c r="W383" i="20"/>
  <c r="V383" i="20"/>
  <c r="R383" i="20"/>
  <c r="Q383" i="20"/>
  <c r="P383" i="20"/>
  <c r="O383" i="20"/>
  <c r="N383" i="20"/>
  <c r="L383" i="20"/>
  <c r="K383" i="20"/>
  <c r="F383" i="20"/>
  <c r="BD383" i="20" s="1"/>
  <c r="BE383" i="20" s="1"/>
  <c r="AC382" i="20"/>
  <c r="AB382" i="20"/>
  <c r="W382" i="20"/>
  <c r="V382" i="20"/>
  <c r="R382" i="20"/>
  <c r="Q382" i="20"/>
  <c r="P382" i="20"/>
  <c r="F382" i="20"/>
  <c r="W381" i="20"/>
  <c r="V381" i="20"/>
  <c r="J381" i="20"/>
  <c r="F381" i="20"/>
  <c r="AN380" i="20"/>
  <c r="AO380" i="20" s="1"/>
  <c r="AA380" i="20"/>
  <c r="W380" i="20"/>
  <c r="V380" i="20"/>
  <c r="F380" i="20"/>
  <c r="W379" i="20"/>
  <c r="V379" i="20"/>
  <c r="Q379" i="20"/>
  <c r="P379" i="20"/>
  <c r="O379" i="20"/>
  <c r="M379" i="20"/>
  <c r="L379" i="20"/>
  <c r="F379" i="20"/>
  <c r="W378" i="20"/>
  <c r="V378" i="20"/>
  <c r="P378" i="20"/>
  <c r="F378" i="20"/>
  <c r="BD377" i="20"/>
  <c r="BE377" i="20" s="1"/>
  <c r="AV377" i="20"/>
  <c r="AW377" i="20" s="1"/>
  <c r="W377" i="20"/>
  <c r="V377" i="20"/>
  <c r="S377" i="20"/>
  <c r="R377" i="20"/>
  <c r="Q377" i="20"/>
  <c r="P377" i="20"/>
  <c r="F377" i="20"/>
  <c r="AZ376" i="20"/>
  <c r="BA376" i="20" s="1"/>
  <c r="AV376" i="20"/>
  <c r="AW376" i="20" s="1"/>
  <c r="AR376" i="20"/>
  <c r="AS376" i="20" s="1"/>
  <c r="AN376" i="20"/>
  <c r="AO376" i="20" s="1"/>
  <c r="AK376" i="20"/>
  <c r="AJ376" i="20"/>
  <c r="AG376" i="20"/>
  <c r="AF376" i="20"/>
  <c r="AB376" i="20"/>
  <c r="AC376" i="20" s="1"/>
  <c r="AA376" i="20"/>
  <c r="W376" i="20"/>
  <c r="V376" i="20"/>
  <c r="S376" i="20"/>
  <c r="Q376" i="20"/>
  <c r="P376" i="20"/>
  <c r="N376" i="20"/>
  <c r="L376" i="20"/>
  <c r="K376" i="20"/>
  <c r="J376" i="20"/>
  <c r="F376" i="20"/>
  <c r="W375" i="20"/>
  <c r="V375" i="20"/>
  <c r="K375" i="20"/>
  <c r="F375" i="20"/>
  <c r="BD374" i="20"/>
  <c r="BE374" i="20" s="1"/>
  <c r="AZ374" i="20"/>
  <c r="BA374" i="20" s="1"/>
  <c r="W374" i="20"/>
  <c r="V374" i="20"/>
  <c r="L374" i="20"/>
  <c r="F374" i="20"/>
  <c r="BD373" i="20"/>
  <c r="BE373" i="20" s="1"/>
  <c r="AK373" i="20"/>
  <c r="AJ373" i="20"/>
  <c r="AF373" i="20"/>
  <c r="AG373" i="20" s="1"/>
  <c r="W373" i="20"/>
  <c r="V373" i="20"/>
  <c r="S373" i="20"/>
  <c r="N373" i="20"/>
  <c r="M373" i="20"/>
  <c r="K373" i="20"/>
  <c r="F373" i="20"/>
  <c r="W372" i="20"/>
  <c r="V372" i="20"/>
  <c r="F372" i="20"/>
  <c r="BE371" i="20"/>
  <c r="BD371" i="20"/>
  <c r="AZ371" i="20"/>
  <c r="BA371" i="20" s="1"/>
  <c r="AV371" i="20"/>
  <c r="AW371" i="20" s="1"/>
  <c r="AR371" i="20"/>
  <c r="AS371" i="20" s="1"/>
  <c r="AO371" i="20"/>
  <c r="AN371" i="20"/>
  <c r="W371" i="20"/>
  <c r="V371" i="20"/>
  <c r="K371" i="20"/>
  <c r="F371" i="20"/>
  <c r="BD370" i="20"/>
  <c r="BE370" i="20" s="1"/>
  <c r="AZ370" i="20"/>
  <c r="BA370" i="20" s="1"/>
  <c r="AV370" i="20"/>
  <c r="AW370" i="20" s="1"/>
  <c r="AR370" i="20"/>
  <c r="AS370" i="20" s="1"/>
  <c r="AO370" i="20"/>
  <c r="AN370" i="20"/>
  <c r="AK370" i="20"/>
  <c r="AJ370" i="20"/>
  <c r="W370" i="20"/>
  <c r="V370" i="20"/>
  <c r="O370" i="20"/>
  <c r="F370" i="20"/>
  <c r="AB369" i="20"/>
  <c r="AC369" i="20" s="1"/>
  <c r="W369" i="20"/>
  <c r="V369" i="20"/>
  <c r="P369" i="20"/>
  <c r="K369" i="20"/>
  <c r="J369" i="20"/>
  <c r="F369" i="20"/>
  <c r="AZ368" i="20"/>
  <c r="BA368" i="20" s="1"/>
  <c r="AV368" i="20"/>
  <c r="AW368" i="20" s="1"/>
  <c r="AR368" i="20"/>
  <c r="AS368" i="20" s="1"/>
  <c r="AN368" i="20"/>
  <c r="AO368" i="20" s="1"/>
  <c r="AJ368" i="20"/>
  <c r="AK368" i="20" s="1"/>
  <c r="AG368" i="20"/>
  <c r="AF368" i="20"/>
  <c r="AB368" i="20"/>
  <c r="AC368" i="20" s="1"/>
  <c r="AA368" i="20"/>
  <c r="W368" i="20"/>
  <c r="V368" i="20"/>
  <c r="S368" i="20"/>
  <c r="R368" i="20"/>
  <c r="Q368" i="20"/>
  <c r="P368" i="20"/>
  <c r="O368" i="20"/>
  <c r="N368" i="20"/>
  <c r="L368" i="20"/>
  <c r="K368" i="20"/>
  <c r="J368" i="20"/>
  <c r="F368" i="20"/>
  <c r="AZ367" i="20"/>
  <c r="BA367" i="20" s="1"/>
  <c r="W367" i="20"/>
  <c r="V367" i="20"/>
  <c r="Q367" i="20"/>
  <c r="K367" i="20"/>
  <c r="J367" i="20"/>
  <c r="F367" i="20"/>
  <c r="BD366" i="20"/>
  <c r="BE366" i="20" s="1"/>
  <c r="AW366" i="20"/>
  <c r="AV366" i="20"/>
  <c r="AO366" i="20"/>
  <c r="AN366" i="20"/>
  <c r="W366" i="20"/>
  <c r="V366" i="20"/>
  <c r="F366" i="20"/>
  <c r="W365" i="20"/>
  <c r="V365" i="20"/>
  <c r="N365" i="20"/>
  <c r="F365" i="20"/>
  <c r="BE364" i="20"/>
  <c r="BD364" i="20"/>
  <c r="AV364" i="20"/>
  <c r="AW364" i="20" s="1"/>
  <c r="AR364" i="20"/>
  <c r="AS364" i="20" s="1"/>
  <c r="AN364" i="20"/>
  <c r="AO364" i="20" s="1"/>
  <c r="AJ364" i="20"/>
  <c r="AK364" i="20" s="1"/>
  <c r="AF364" i="20"/>
  <c r="AG364" i="20" s="1"/>
  <c r="AC364" i="20"/>
  <c r="AB364" i="20"/>
  <c r="AA364" i="20"/>
  <c r="W364" i="20"/>
  <c r="V364" i="20"/>
  <c r="R364" i="20"/>
  <c r="P364" i="20"/>
  <c r="N364" i="20"/>
  <c r="F364" i="20"/>
  <c r="AZ363" i="20"/>
  <c r="BA363" i="20" s="1"/>
  <c r="AW363" i="20"/>
  <c r="AV363" i="20"/>
  <c r="AR363" i="20"/>
  <c r="AS363" i="20" s="1"/>
  <c r="AN363" i="20"/>
  <c r="AO363" i="20" s="1"/>
  <c r="AJ363" i="20"/>
  <c r="AK363" i="20" s="1"/>
  <c r="AF363" i="20"/>
  <c r="AG363" i="20" s="1"/>
  <c r="AB363" i="20"/>
  <c r="AC363" i="20" s="1"/>
  <c r="AA363" i="20"/>
  <c r="W363" i="20"/>
  <c r="V363" i="20"/>
  <c r="S363" i="20"/>
  <c r="R363" i="20"/>
  <c r="P363" i="20"/>
  <c r="N363" i="20"/>
  <c r="L363" i="20"/>
  <c r="K363" i="20"/>
  <c r="J363" i="20"/>
  <c r="F363" i="20"/>
  <c r="Q363" i="20" s="1"/>
  <c r="BE362" i="20"/>
  <c r="BD362" i="20"/>
  <c r="AZ362" i="20"/>
  <c r="BA362" i="20" s="1"/>
  <c r="AV362" i="20"/>
  <c r="AW362" i="20" s="1"/>
  <c r="AS362" i="20"/>
  <c r="AR362" i="20"/>
  <c r="AN362" i="20"/>
  <c r="AO362" i="20" s="1"/>
  <c r="AK362" i="20"/>
  <c r="AJ362" i="20"/>
  <c r="AG362" i="20"/>
  <c r="AF362" i="20"/>
  <c r="AB362" i="20"/>
  <c r="AC362" i="20" s="1"/>
  <c r="W362" i="20"/>
  <c r="V362" i="20"/>
  <c r="S362" i="20"/>
  <c r="R362" i="20"/>
  <c r="N362" i="20"/>
  <c r="M362" i="20"/>
  <c r="L362" i="20"/>
  <c r="F362" i="20"/>
  <c r="BD361" i="20"/>
  <c r="BE361" i="20" s="1"/>
  <c r="BA361" i="20"/>
  <c r="AZ361" i="20"/>
  <c r="AV361" i="20"/>
  <c r="AW361" i="20" s="1"/>
  <c r="AS361" i="20"/>
  <c r="AR361" i="20"/>
  <c r="AO361" i="20"/>
  <c r="AN361" i="20"/>
  <c r="AG361" i="20"/>
  <c r="AF361" i="20"/>
  <c r="AC361" i="20"/>
  <c r="AB361" i="20"/>
  <c r="AA361" i="20"/>
  <c r="W361" i="20"/>
  <c r="V361" i="20"/>
  <c r="Q361" i="20"/>
  <c r="M361" i="20"/>
  <c r="J361" i="20"/>
  <c r="F361" i="20"/>
  <c r="BD360" i="20"/>
  <c r="BE360" i="20" s="1"/>
  <c r="AZ360" i="20"/>
  <c r="BA360" i="20" s="1"/>
  <c r="AW360" i="20"/>
  <c r="AV360" i="20"/>
  <c r="AR360" i="20"/>
  <c r="AS360" i="20" s="1"/>
  <c r="AN360" i="20"/>
  <c r="AO360" i="20" s="1"/>
  <c r="AJ360" i="20"/>
  <c r="AK360" i="20" s="1"/>
  <c r="AG360" i="20"/>
  <c r="AF360" i="20"/>
  <c r="AB360" i="20"/>
  <c r="AC360" i="20" s="1"/>
  <c r="AA360" i="20"/>
  <c r="W360" i="20"/>
  <c r="V360" i="20"/>
  <c r="R360" i="20"/>
  <c r="P360" i="20"/>
  <c r="L360" i="20"/>
  <c r="K360" i="20"/>
  <c r="J360" i="20"/>
  <c r="F360" i="20"/>
  <c r="BA359" i="20"/>
  <c r="AZ359" i="20"/>
  <c r="AW359" i="20"/>
  <c r="AV359" i="20"/>
  <c r="AR359" i="20"/>
  <c r="AS359" i="20" s="1"/>
  <c r="AO359" i="20"/>
  <c r="AN359" i="20"/>
  <c r="AK359" i="20"/>
  <c r="AJ359" i="20"/>
  <c r="AG359" i="20"/>
  <c r="AF359" i="20"/>
  <c r="AA359" i="20"/>
  <c r="W359" i="20"/>
  <c r="V359" i="20"/>
  <c r="R359" i="20"/>
  <c r="N359" i="20"/>
  <c r="M359" i="20"/>
  <c r="F359" i="20"/>
  <c r="BD358" i="20"/>
  <c r="BE358" i="20" s="1"/>
  <c r="AZ358" i="20"/>
  <c r="BA358" i="20" s="1"/>
  <c r="AW358" i="20"/>
  <c r="AV358" i="20"/>
  <c r="AS358" i="20"/>
  <c r="AR358" i="20"/>
  <c r="AN358" i="20"/>
  <c r="AO358" i="20" s="1"/>
  <c r="AA358" i="20"/>
  <c r="W358" i="20"/>
  <c r="V358" i="20"/>
  <c r="F358" i="20"/>
  <c r="AB357" i="20"/>
  <c r="AC357" i="20" s="1"/>
  <c r="W357" i="20"/>
  <c r="V357" i="20"/>
  <c r="R357" i="20"/>
  <c r="J357" i="20"/>
  <c r="F357" i="20"/>
  <c r="W356" i="20"/>
  <c r="V356" i="20"/>
  <c r="P356" i="20"/>
  <c r="F356" i="20"/>
  <c r="BE355" i="20"/>
  <c r="BD355" i="20"/>
  <c r="BA355" i="20"/>
  <c r="AZ355" i="20"/>
  <c r="AV355" i="20"/>
  <c r="AW355" i="20" s="1"/>
  <c r="AR355" i="20"/>
  <c r="AS355" i="20" s="1"/>
  <c r="W355" i="20"/>
  <c r="V355" i="20"/>
  <c r="J355" i="20"/>
  <c r="F355" i="20"/>
  <c r="BD354" i="20"/>
  <c r="BE354" i="20" s="1"/>
  <c r="AV354" i="20"/>
  <c r="AW354" i="20" s="1"/>
  <c r="AS354" i="20"/>
  <c r="AR354" i="20"/>
  <c r="AO354" i="20"/>
  <c r="AN354" i="20"/>
  <c r="AK354" i="20"/>
  <c r="AJ354" i="20"/>
  <c r="AG354" i="20"/>
  <c r="AF354" i="20"/>
  <c r="AC354" i="20"/>
  <c r="AA354" i="20"/>
  <c r="W354" i="20"/>
  <c r="V354" i="20"/>
  <c r="S354" i="20"/>
  <c r="R354" i="20"/>
  <c r="Q354" i="20"/>
  <c r="P354" i="20"/>
  <c r="N354" i="20"/>
  <c r="M354" i="20"/>
  <c r="L354" i="20"/>
  <c r="K354" i="20"/>
  <c r="J354" i="20"/>
  <c r="F354" i="20"/>
  <c r="AB354" i="20" s="1"/>
  <c r="BD353" i="20"/>
  <c r="BE353" i="20" s="1"/>
  <c r="AV353" i="20"/>
  <c r="AW353" i="20" s="1"/>
  <c r="AR353" i="20"/>
  <c r="AS353" i="20" s="1"/>
  <c r="AO353" i="20"/>
  <c r="AN353" i="20"/>
  <c r="AJ353" i="20"/>
  <c r="AK353" i="20" s="1"/>
  <c r="W353" i="20"/>
  <c r="V353" i="20"/>
  <c r="N353" i="20"/>
  <c r="K353" i="20"/>
  <c r="J353" i="20"/>
  <c r="F353" i="20"/>
  <c r="BD352" i="20"/>
  <c r="BE352" i="20" s="1"/>
  <c r="AZ352" i="20"/>
  <c r="BA352" i="20" s="1"/>
  <c r="AN352" i="20"/>
  <c r="AO352" i="20" s="1"/>
  <c r="AJ352" i="20"/>
  <c r="AK352" i="20" s="1"/>
  <c r="W352" i="20"/>
  <c r="V352" i="20"/>
  <c r="Q352" i="20"/>
  <c r="N352" i="20"/>
  <c r="M352" i="20"/>
  <c r="F352" i="20"/>
  <c r="W351" i="20"/>
  <c r="V351" i="20"/>
  <c r="P351" i="20"/>
  <c r="L351" i="20"/>
  <c r="F351" i="20"/>
  <c r="W350" i="20"/>
  <c r="V350" i="20"/>
  <c r="K350" i="20"/>
  <c r="J350" i="20"/>
  <c r="F350" i="20"/>
  <c r="BE349" i="20"/>
  <c r="BD349" i="20"/>
  <c r="AZ349" i="20"/>
  <c r="BA349" i="20" s="1"/>
  <c r="AW349" i="20"/>
  <c r="AV349" i="20"/>
  <c r="W349" i="20"/>
  <c r="V349" i="20"/>
  <c r="M349" i="20"/>
  <c r="F349" i="20"/>
  <c r="BE348" i="20"/>
  <c r="BD348" i="20"/>
  <c r="AZ348" i="20"/>
  <c r="BA348" i="20" s="1"/>
  <c r="AW348" i="20"/>
  <c r="AV348" i="20"/>
  <c r="AS348" i="20"/>
  <c r="AR348" i="20"/>
  <c r="AF348" i="20"/>
  <c r="AG348" i="20" s="1"/>
  <c r="W348" i="20"/>
  <c r="V348" i="20"/>
  <c r="Q348" i="20"/>
  <c r="F348" i="20"/>
  <c r="BE347" i="20"/>
  <c r="BD347" i="20"/>
  <c r="BA347" i="20"/>
  <c r="AZ347" i="20"/>
  <c r="AV347" i="20"/>
  <c r="AW347" i="20" s="1"/>
  <c r="AR347" i="20"/>
  <c r="AS347" i="20" s="1"/>
  <c r="AO347" i="20"/>
  <c r="AN347" i="20"/>
  <c r="AJ347" i="20"/>
  <c r="AK347" i="20" s="1"/>
  <c r="AG347" i="20"/>
  <c r="AF347" i="20"/>
  <c r="AC347" i="20"/>
  <c r="AB347" i="20"/>
  <c r="AA347" i="20"/>
  <c r="W347" i="20"/>
  <c r="V347" i="20"/>
  <c r="S347" i="20"/>
  <c r="R347" i="20"/>
  <c r="Q347" i="20"/>
  <c r="P347" i="20"/>
  <c r="N347" i="20"/>
  <c r="M347" i="20"/>
  <c r="L347" i="20"/>
  <c r="K347" i="20"/>
  <c r="J347" i="20"/>
  <c r="F347" i="20"/>
  <c r="AZ346" i="20"/>
  <c r="BA346" i="20" s="1"/>
  <c r="AA346" i="20"/>
  <c r="W346" i="20"/>
  <c r="V346" i="20"/>
  <c r="S346" i="20"/>
  <c r="R346" i="20"/>
  <c r="Q346" i="20"/>
  <c r="P346" i="20"/>
  <c r="M346" i="20"/>
  <c r="K346" i="20"/>
  <c r="F346" i="20"/>
  <c r="AJ345" i="20"/>
  <c r="AK345" i="20" s="1"/>
  <c r="W345" i="20"/>
  <c r="V345" i="20"/>
  <c r="S345" i="20"/>
  <c r="P345" i="20"/>
  <c r="N345" i="20"/>
  <c r="M345" i="20"/>
  <c r="L345" i="20"/>
  <c r="K345" i="20"/>
  <c r="F345" i="20"/>
  <c r="BD344" i="20"/>
  <c r="BE344" i="20" s="1"/>
  <c r="AZ344" i="20"/>
  <c r="BA344" i="20" s="1"/>
  <c r="AV344" i="20"/>
  <c r="AW344" i="20" s="1"/>
  <c r="AS344" i="20"/>
  <c r="AR344" i="20"/>
  <c r="AN344" i="20"/>
  <c r="AO344" i="20" s="1"/>
  <c r="AK344" i="20"/>
  <c r="AJ344" i="20"/>
  <c r="AA344" i="20"/>
  <c r="W344" i="20"/>
  <c r="V344" i="20"/>
  <c r="S344" i="20"/>
  <c r="R344" i="20"/>
  <c r="Q344" i="20"/>
  <c r="P344" i="20"/>
  <c r="N344" i="20"/>
  <c r="L344" i="20"/>
  <c r="K344" i="20"/>
  <c r="J344" i="20"/>
  <c r="F344" i="20"/>
  <c r="W343" i="20"/>
  <c r="V343" i="20"/>
  <c r="F343" i="20"/>
  <c r="W342" i="20"/>
  <c r="V342" i="20"/>
  <c r="F342" i="20"/>
  <c r="AZ341" i="20"/>
  <c r="BA341" i="20" s="1"/>
  <c r="AV341" i="20"/>
  <c r="AW341" i="20" s="1"/>
  <c r="AJ341" i="20"/>
  <c r="AK341" i="20" s="1"/>
  <c r="AF341" i="20"/>
  <c r="AG341" i="20" s="1"/>
  <c r="AA341" i="20"/>
  <c r="W341" i="20"/>
  <c r="V341" i="20"/>
  <c r="R341" i="20"/>
  <c r="Q341" i="20"/>
  <c r="N341" i="20"/>
  <c r="L341" i="20"/>
  <c r="K341" i="20"/>
  <c r="F341" i="20"/>
  <c r="AV340" i="20"/>
  <c r="AW340" i="20" s="1"/>
  <c r="AN340" i="20"/>
  <c r="AO340" i="20" s="1"/>
  <c r="AJ340" i="20"/>
  <c r="AK340" i="20" s="1"/>
  <c r="AF340" i="20"/>
  <c r="AG340" i="20" s="1"/>
  <c r="AC340" i="20"/>
  <c r="AB340" i="20"/>
  <c r="W340" i="20"/>
  <c r="V340" i="20"/>
  <c r="R340" i="20"/>
  <c r="Q340" i="20"/>
  <c r="P340" i="20"/>
  <c r="N340" i="20"/>
  <c r="M340" i="20"/>
  <c r="L340" i="20"/>
  <c r="K340" i="20"/>
  <c r="F340" i="20"/>
  <c r="AZ340" i="20" s="1"/>
  <c r="BA340" i="20" s="1"/>
  <c r="BE339" i="20"/>
  <c r="BA339" i="20"/>
  <c r="AZ339" i="20"/>
  <c r="AW339" i="20"/>
  <c r="AV339" i="20"/>
  <c r="AR339" i="20"/>
  <c r="AS339" i="20" s="1"/>
  <c r="AN339" i="20"/>
  <c r="AO339" i="20" s="1"/>
  <c r="AK339" i="20"/>
  <c r="AJ339" i="20"/>
  <c r="AF339" i="20"/>
  <c r="AG339" i="20" s="1"/>
  <c r="AB339" i="20"/>
  <c r="AC339" i="20" s="1"/>
  <c r="AA339" i="20"/>
  <c r="W339" i="20"/>
  <c r="V339" i="20"/>
  <c r="S339" i="20"/>
  <c r="R339" i="20"/>
  <c r="Q339" i="20"/>
  <c r="P339" i="20"/>
  <c r="N339" i="20"/>
  <c r="M339" i="20"/>
  <c r="L339" i="20"/>
  <c r="K339" i="20"/>
  <c r="J339" i="20"/>
  <c r="F339" i="20"/>
  <c r="BD339" i="20" s="1"/>
  <c r="BD338" i="20"/>
  <c r="BE338" i="20" s="1"/>
  <c r="AV338" i="20"/>
  <c r="AW338" i="20" s="1"/>
  <c r="AR338" i="20"/>
  <c r="AS338" i="20" s="1"/>
  <c r="AO338" i="20"/>
  <c r="AJ338" i="20"/>
  <c r="AK338" i="20" s="1"/>
  <c r="AF338" i="20"/>
  <c r="AG338" i="20" s="1"/>
  <c r="AC338" i="20"/>
  <c r="AB338" i="20"/>
  <c r="AA338" i="20"/>
  <c r="W338" i="20"/>
  <c r="V338" i="20"/>
  <c r="S338" i="20"/>
  <c r="R338" i="20"/>
  <c r="Q338" i="20"/>
  <c r="M338" i="20"/>
  <c r="K338" i="20"/>
  <c r="J338" i="20"/>
  <c r="F338" i="20"/>
  <c r="AN338" i="20" s="1"/>
  <c r="BD337" i="20"/>
  <c r="BE337" i="20" s="1"/>
  <c r="AZ337" i="20"/>
  <c r="BA337" i="20" s="1"/>
  <c r="AV337" i="20"/>
  <c r="AW337" i="20" s="1"/>
  <c r="AS337" i="20"/>
  <c r="AR337" i="20"/>
  <c r="AN337" i="20"/>
  <c r="AO337" i="20" s="1"/>
  <c r="AK337" i="20"/>
  <c r="AJ337" i="20"/>
  <c r="AG337" i="20"/>
  <c r="AF337" i="20"/>
  <c r="AB337" i="20"/>
  <c r="AC337" i="20" s="1"/>
  <c r="AA337" i="20"/>
  <c r="W337" i="20"/>
  <c r="V337" i="20"/>
  <c r="S337" i="20"/>
  <c r="R337" i="20"/>
  <c r="Q337" i="20"/>
  <c r="P337" i="20"/>
  <c r="N337" i="20"/>
  <c r="M337" i="20"/>
  <c r="L337" i="20"/>
  <c r="K337" i="20"/>
  <c r="J337" i="20"/>
  <c r="F337" i="20"/>
  <c r="BD336" i="20"/>
  <c r="BE336" i="20" s="1"/>
  <c r="W336" i="20"/>
  <c r="V336" i="20"/>
  <c r="S336" i="20"/>
  <c r="M336" i="20"/>
  <c r="L336" i="20"/>
  <c r="K336" i="20"/>
  <c r="J336" i="20"/>
  <c r="F336" i="20"/>
  <c r="BD335" i="20"/>
  <c r="BE335" i="20" s="1"/>
  <c r="W335" i="20"/>
  <c r="V335" i="20"/>
  <c r="Q335" i="20"/>
  <c r="P335" i="20"/>
  <c r="M335" i="20"/>
  <c r="L335" i="20"/>
  <c r="K335" i="20"/>
  <c r="F335" i="20"/>
  <c r="BD334" i="20"/>
  <c r="BE334" i="20" s="1"/>
  <c r="W334" i="20"/>
  <c r="V334" i="20"/>
  <c r="N334" i="20"/>
  <c r="M334" i="20"/>
  <c r="L334" i="20"/>
  <c r="K334" i="20"/>
  <c r="J334" i="20"/>
  <c r="F334" i="20"/>
  <c r="BE333" i="20"/>
  <c r="BD333" i="20"/>
  <c r="AZ333" i="20"/>
  <c r="BA333" i="20" s="1"/>
  <c r="AR333" i="20"/>
  <c r="AS333" i="20" s="1"/>
  <c r="AO333" i="20"/>
  <c r="AN333" i="20"/>
  <c r="AJ333" i="20"/>
  <c r="AK333" i="20" s="1"/>
  <c r="AG333" i="20"/>
  <c r="AF333" i="20"/>
  <c r="AC333" i="20"/>
  <c r="AB333" i="20"/>
  <c r="AA333" i="20"/>
  <c r="W333" i="20"/>
  <c r="V333" i="20"/>
  <c r="S333" i="20"/>
  <c r="R333" i="20"/>
  <c r="Q333" i="20"/>
  <c r="P333" i="20"/>
  <c r="O333" i="20"/>
  <c r="N333" i="20"/>
  <c r="M333" i="20"/>
  <c r="L333" i="20"/>
  <c r="K333" i="20"/>
  <c r="J333" i="20"/>
  <c r="F333" i="20"/>
  <c r="AV333" i="20" s="1"/>
  <c r="AW333" i="20" s="1"/>
  <c r="BD332" i="20"/>
  <c r="BE332" i="20" s="1"/>
  <c r="AV332" i="20"/>
  <c r="AW332" i="20" s="1"/>
  <c r="AS332" i="20"/>
  <c r="AR332" i="20"/>
  <c r="AN332" i="20"/>
  <c r="AO332" i="20" s="1"/>
  <c r="AJ332" i="20"/>
  <c r="AK332" i="20" s="1"/>
  <c r="AF332" i="20"/>
  <c r="AG332" i="20" s="1"/>
  <c r="AC332" i="20"/>
  <c r="AB332" i="20"/>
  <c r="AA332" i="20"/>
  <c r="W332" i="20"/>
  <c r="V332" i="20"/>
  <c r="S332" i="20"/>
  <c r="R332" i="20"/>
  <c r="M332" i="20"/>
  <c r="K332" i="20"/>
  <c r="J332" i="20"/>
  <c r="F332" i="20"/>
  <c r="BD331" i="20"/>
  <c r="BE331" i="20" s="1"/>
  <c r="AZ331" i="20"/>
  <c r="BA331" i="20" s="1"/>
  <c r="AW331" i="20"/>
  <c r="AV331" i="20"/>
  <c r="W331" i="20"/>
  <c r="V331" i="20"/>
  <c r="K331" i="20"/>
  <c r="J331" i="20"/>
  <c r="F331" i="20"/>
  <c r="BD330" i="20"/>
  <c r="BE330" i="20" s="1"/>
  <c r="AB330" i="20"/>
  <c r="AC330" i="20" s="1"/>
  <c r="W330" i="20"/>
  <c r="V330" i="20"/>
  <c r="P330" i="20"/>
  <c r="O330" i="20"/>
  <c r="N330" i="20"/>
  <c r="M330" i="20"/>
  <c r="L330" i="20"/>
  <c r="K330" i="20"/>
  <c r="J330" i="20"/>
  <c r="F330" i="20"/>
  <c r="BD329" i="20"/>
  <c r="BE329" i="20" s="1"/>
  <c r="AZ329" i="20"/>
  <c r="BA329" i="20" s="1"/>
  <c r="AR329" i="20"/>
  <c r="AS329" i="20" s="1"/>
  <c r="AN329" i="20"/>
  <c r="AO329" i="20" s="1"/>
  <c r="AJ329" i="20"/>
  <c r="AK329" i="20" s="1"/>
  <c r="AF329" i="20"/>
  <c r="AG329" i="20" s="1"/>
  <c r="AC329" i="20"/>
  <c r="AB329" i="20"/>
  <c r="AA329" i="20"/>
  <c r="W329" i="20"/>
  <c r="V329" i="20"/>
  <c r="S329" i="20"/>
  <c r="R329" i="20"/>
  <c r="Q329" i="20"/>
  <c r="P329" i="20"/>
  <c r="O329" i="20"/>
  <c r="N329" i="20"/>
  <c r="M329" i="20"/>
  <c r="L329" i="20"/>
  <c r="K329" i="20"/>
  <c r="J329" i="20"/>
  <c r="F329" i="20"/>
  <c r="AV329" i="20" s="1"/>
  <c r="AW329" i="20" s="1"/>
  <c r="BD328" i="20"/>
  <c r="BE328" i="20" s="1"/>
  <c r="AZ328" i="20"/>
  <c r="BA328" i="20" s="1"/>
  <c r="AV328" i="20"/>
  <c r="AW328" i="20" s="1"/>
  <c r="AS328" i="20"/>
  <c r="AR328" i="20"/>
  <c r="AN328" i="20"/>
  <c r="AO328" i="20" s="1"/>
  <c r="AK328" i="20"/>
  <c r="AJ328" i="20"/>
  <c r="AG328" i="20"/>
  <c r="AF328" i="20"/>
  <c r="AC328" i="20"/>
  <c r="AB328" i="20"/>
  <c r="AA328" i="20"/>
  <c r="W328" i="20"/>
  <c r="V328" i="20"/>
  <c r="S328" i="20"/>
  <c r="R328" i="20"/>
  <c r="Q328" i="20"/>
  <c r="P328" i="20"/>
  <c r="N328" i="20"/>
  <c r="M328" i="20"/>
  <c r="L328" i="20"/>
  <c r="K328" i="20"/>
  <c r="J328" i="20"/>
  <c r="F328" i="20"/>
  <c r="O328" i="20" s="1"/>
  <c r="BD327" i="20"/>
  <c r="BE327" i="20" s="1"/>
  <c r="AZ327" i="20"/>
  <c r="BA327" i="20" s="1"/>
  <c r="AR327" i="20"/>
  <c r="AS327" i="20" s="1"/>
  <c r="AO327" i="20"/>
  <c r="AN327" i="20"/>
  <c r="AJ327" i="20"/>
  <c r="AK327" i="20" s="1"/>
  <c r="AF327" i="20"/>
  <c r="AG327" i="20" s="1"/>
  <c r="AB327" i="20"/>
  <c r="AC327" i="20" s="1"/>
  <c r="AA327" i="20"/>
  <c r="W327" i="20"/>
  <c r="V327" i="20"/>
  <c r="S327" i="20"/>
  <c r="R327" i="20"/>
  <c r="Q327" i="20"/>
  <c r="P327" i="20"/>
  <c r="M327" i="20"/>
  <c r="K327" i="20"/>
  <c r="J327" i="20"/>
  <c r="F327" i="20"/>
  <c r="O327" i="20" s="1"/>
  <c r="BD326" i="20"/>
  <c r="BE326" i="20" s="1"/>
  <c r="AN326" i="20"/>
  <c r="AO326" i="20" s="1"/>
  <c r="W326" i="20"/>
  <c r="V326" i="20"/>
  <c r="O326" i="20"/>
  <c r="L326" i="20"/>
  <c r="K326" i="20"/>
  <c r="F326" i="20"/>
  <c r="BE325" i="20"/>
  <c r="BD325" i="20"/>
  <c r="AZ325" i="20"/>
  <c r="BA325" i="20" s="1"/>
  <c r="AS325" i="20"/>
  <c r="AR325" i="20"/>
  <c r="AN325" i="20"/>
  <c r="AO325" i="20" s="1"/>
  <c r="AJ325" i="20"/>
  <c r="AK325" i="20" s="1"/>
  <c r="AG325" i="20"/>
  <c r="AF325" i="20"/>
  <c r="AB325" i="20"/>
  <c r="AC325" i="20" s="1"/>
  <c r="AA325" i="20"/>
  <c r="W325" i="20"/>
  <c r="V325" i="20"/>
  <c r="S325" i="20"/>
  <c r="R325" i="20"/>
  <c r="Q325" i="20"/>
  <c r="P325" i="20"/>
  <c r="O325" i="20"/>
  <c r="N325" i="20"/>
  <c r="M325" i="20"/>
  <c r="L325" i="20"/>
  <c r="K325" i="20"/>
  <c r="J325" i="20"/>
  <c r="F325" i="20"/>
  <c r="AV325" i="20" s="1"/>
  <c r="AW325" i="20" s="1"/>
  <c r="BD324" i="20"/>
  <c r="BE324" i="20" s="1"/>
  <c r="AZ324" i="20"/>
  <c r="BA324" i="20" s="1"/>
  <c r="AW324" i="20"/>
  <c r="AV324" i="20"/>
  <c r="AN324" i="20"/>
  <c r="AO324" i="20" s="1"/>
  <c r="AJ324" i="20"/>
  <c r="AK324" i="20" s="1"/>
  <c r="AG324" i="20"/>
  <c r="AF324" i="20"/>
  <c r="AB324" i="20"/>
  <c r="AC324" i="20" s="1"/>
  <c r="AA324" i="20"/>
  <c r="W324" i="20"/>
  <c r="V324" i="20"/>
  <c r="S324" i="20"/>
  <c r="R324" i="20"/>
  <c r="Q324" i="20"/>
  <c r="P324" i="20"/>
  <c r="N324" i="20"/>
  <c r="M324" i="20"/>
  <c r="J324" i="20"/>
  <c r="F324" i="20"/>
  <c r="BE323" i="20"/>
  <c r="BD323" i="20"/>
  <c r="AZ323" i="20"/>
  <c r="BA323" i="20" s="1"/>
  <c r="AR323" i="20"/>
  <c r="AS323" i="20" s="1"/>
  <c r="AJ323" i="20"/>
  <c r="AK323" i="20" s="1"/>
  <c r="AF323" i="20"/>
  <c r="AG323" i="20" s="1"/>
  <c r="AC323" i="20"/>
  <c r="AB323" i="20"/>
  <c r="AA323" i="20"/>
  <c r="W323" i="20"/>
  <c r="V323" i="20"/>
  <c r="S323" i="20"/>
  <c r="R323" i="20"/>
  <c r="Q323" i="20"/>
  <c r="P323" i="20"/>
  <c r="O323" i="20"/>
  <c r="N323" i="20"/>
  <c r="M323" i="20"/>
  <c r="K323" i="20"/>
  <c r="J323" i="20"/>
  <c r="F323" i="20"/>
  <c r="L323" i="20" s="1"/>
  <c r="BD322" i="20"/>
  <c r="BE322" i="20" s="1"/>
  <c r="AV322" i="20"/>
  <c r="AW322" i="20" s="1"/>
  <c r="AR322" i="20"/>
  <c r="AS322" i="20" s="1"/>
  <c r="AN322" i="20"/>
  <c r="AO322" i="20" s="1"/>
  <c r="AF322" i="20"/>
  <c r="AG322" i="20" s="1"/>
  <c r="AB322" i="20"/>
  <c r="AC322" i="20" s="1"/>
  <c r="AA322" i="20"/>
  <c r="W322" i="20"/>
  <c r="V322" i="20"/>
  <c r="S322" i="20"/>
  <c r="K322" i="20"/>
  <c r="F322" i="20"/>
  <c r="BD321" i="20"/>
  <c r="BE321" i="20" s="1"/>
  <c r="AZ321" i="20"/>
  <c r="BA321" i="20" s="1"/>
  <c r="AS321" i="20"/>
  <c r="AR321" i="20"/>
  <c r="AO321" i="20"/>
  <c r="AN321" i="20"/>
  <c r="AJ321" i="20"/>
  <c r="AK321" i="20" s="1"/>
  <c r="AF321" i="20"/>
  <c r="AG321" i="20" s="1"/>
  <c r="AB321" i="20"/>
  <c r="AC321" i="20" s="1"/>
  <c r="AA321" i="20"/>
  <c r="W321" i="20"/>
  <c r="V321" i="20"/>
  <c r="S321" i="20"/>
  <c r="R321" i="20"/>
  <c r="Q321" i="20"/>
  <c r="P321" i="20"/>
  <c r="O321" i="20"/>
  <c r="N321" i="20"/>
  <c r="M321" i="20"/>
  <c r="L321" i="20"/>
  <c r="K321" i="20"/>
  <c r="J321" i="20"/>
  <c r="F321" i="20"/>
  <c r="AV321" i="20" s="1"/>
  <c r="AW321" i="20" s="1"/>
  <c r="BD320" i="20"/>
  <c r="BE320" i="20" s="1"/>
  <c r="BA320" i="20"/>
  <c r="AZ320" i="20"/>
  <c r="AV320" i="20"/>
  <c r="AW320" i="20" s="1"/>
  <c r="AR320" i="20"/>
  <c r="AS320" i="20" s="1"/>
  <c r="AN320" i="20"/>
  <c r="AO320" i="20" s="1"/>
  <c r="AB320" i="20"/>
  <c r="AC320" i="20" s="1"/>
  <c r="W320" i="20"/>
  <c r="V320" i="20"/>
  <c r="N320" i="20"/>
  <c r="L320" i="20"/>
  <c r="K320" i="20"/>
  <c r="J320" i="20"/>
  <c r="F320" i="20"/>
  <c r="BE319" i="20"/>
  <c r="BD319" i="20"/>
  <c r="AZ319" i="20"/>
  <c r="BA319" i="20" s="1"/>
  <c r="AW319" i="20"/>
  <c r="AR319" i="20"/>
  <c r="AS319" i="20" s="1"/>
  <c r="AN319" i="20"/>
  <c r="AO319" i="20" s="1"/>
  <c r="AJ319" i="20"/>
  <c r="AK319" i="20" s="1"/>
  <c r="AF319" i="20"/>
  <c r="AG319" i="20" s="1"/>
  <c r="AC319" i="20"/>
  <c r="AB319" i="20"/>
  <c r="AA319" i="20"/>
  <c r="W319" i="20"/>
  <c r="V319" i="20"/>
  <c r="S319" i="20"/>
  <c r="R319" i="20"/>
  <c r="Q319" i="20"/>
  <c r="P319" i="20"/>
  <c r="O319" i="20"/>
  <c r="N319" i="20"/>
  <c r="M319" i="20"/>
  <c r="L319" i="20"/>
  <c r="K319" i="20"/>
  <c r="J319" i="20"/>
  <c r="F319" i="20"/>
  <c r="AV319" i="20" s="1"/>
  <c r="W318" i="20"/>
  <c r="V318" i="20"/>
  <c r="O318" i="20"/>
  <c r="F318" i="20"/>
  <c r="AV318" i="20" s="1"/>
  <c r="AW318" i="20" s="1"/>
  <c r="BE317" i="20"/>
  <c r="BD317" i="20"/>
  <c r="AZ317" i="20"/>
  <c r="BA317" i="20" s="1"/>
  <c r="AS317" i="20"/>
  <c r="AR317" i="20"/>
  <c r="AN317" i="20"/>
  <c r="AO317" i="20" s="1"/>
  <c r="AK317" i="20"/>
  <c r="AJ317" i="20"/>
  <c r="AF317" i="20"/>
  <c r="AG317" i="20" s="1"/>
  <c r="AB317" i="20"/>
  <c r="AC317" i="20" s="1"/>
  <c r="AA317" i="20"/>
  <c r="W317" i="20"/>
  <c r="V317" i="20"/>
  <c r="S317" i="20"/>
  <c r="R317" i="20"/>
  <c r="Q317" i="20"/>
  <c r="P317" i="20"/>
  <c r="O317" i="20"/>
  <c r="N317" i="20"/>
  <c r="M317" i="20"/>
  <c r="L317" i="20"/>
  <c r="K317" i="20"/>
  <c r="J317" i="20"/>
  <c r="F317" i="20"/>
  <c r="AV317" i="20" s="1"/>
  <c r="AW317" i="20" s="1"/>
  <c r="W316" i="20"/>
  <c r="V316" i="20"/>
  <c r="F316" i="20"/>
  <c r="BE315" i="20"/>
  <c r="BD315" i="20"/>
  <c r="AZ315" i="20"/>
  <c r="BA315" i="20" s="1"/>
  <c r="W315" i="20"/>
  <c r="V315" i="20"/>
  <c r="Q315" i="20"/>
  <c r="M315" i="20"/>
  <c r="L315" i="20"/>
  <c r="K315" i="20"/>
  <c r="F315" i="20"/>
  <c r="BE314" i="20"/>
  <c r="BD314" i="20"/>
  <c r="AA314" i="20"/>
  <c r="W314" i="20"/>
  <c r="V314" i="20"/>
  <c r="S314" i="20"/>
  <c r="R314" i="20"/>
  <c r="Q314" i="20"/>
  <c r="P314" i="20"/>
  <c r="O314" i="20"/>
  <c r="N314" i="20"/>
  <c r="M314" i="20"/>
  <c r="L314" i="20"/>
  <c r="F314" i="20"/>
  <c r="BD313" i="20"/>
  <c r="BE313" i="20" s="1"/>
  <c r="BA313" i="20"/>
  <c r="AZ313" i="20"/>
  <c r="AR313" i="20"/>
  <c r="AS313" i="20" s="1"/>
  <c r="AO313" i="20"/>
  <c r="AN313" i="20"/>
  <c r="AK313" i="20"/>
  <c r="AJ313" i="20"/>
  <c r="AF313" i="20"/>
  <c r="AG313" i="20" s="1"/>
  <c r="AB313" i="20"/>
  <c r="AC313" i="20" s="1"/>
  <c r="AA313" i="20"/>
  <c r="W313" i="20"/>
  <c r="V313" i="20"/>
  <c r="S313" i="20"/>
  <c r="R313" i="20"/>
  <c r="Q313" i="20"/>
  <c r="P313" i="20"/>
  <c r="O313" i="20"/>
  <c r="N313" i="20"/>
  <c r="M313" i="20"/>
  <c r="L313" i="20"/>
  <c r="K313" i="20"/>
  <c r="J313" i="20"/>
  <c r="F313" i="20"/>
  <c r="AV313" i="20" s="1"/>
  <c r="AW313" i="20" s="1"/>
  <c r="BA312" i="20"/>
  <c r="AZ312" i="20"/>
  <c r="AW312" i="20"/>
  <c r="AV312" i="20"/>
  <c r="AR312" i="20"/>
  <c r="AS312" i="20" s="1"/>
  <c r="AN312" i="20"/>
  <c r="AO312" i="20" s="1"/>
  <c r="AK312" i="20"/>
  <c r="AJ312" i="20"/>
  <c r="AF312" i="20"/>
  <c r="AG312" i="20" s="1"/>
  <c r="AB312" i="20"/>
  <c r="AC312" i="20" s="1"/>
  <c r="W312" i="20"/>
  <c r="V312" i="20"/>
  <c r="R312" i="20"/>
  <c r="Q312" i="20"/>
  <c r="P312" i="20"/>
  <c r="M312" i="20"/>
  <c r="L312" i="20"/>
  <c r="K312" i="20"/>
  <c r="F312" i="20"/>
  <c r="AV311" i="20"/>
  <c r="AW311" i="20" s="1"/>
  <c r="AR311" i="20"/>
  <c r="AS311" i="20" s="1"/>
  <c r="AN311" i="20"/>
  <c r="AO311" i="20" s="1"/>
  <c r="AK311" i="20"/>
  <c r="AF311" i="20"/>
  <c r="AG311" i="20" s="1"/>
  <c r="AB311" i="20"/>
  <c r="AC311" i="20" s="1"/>
  <c r="AA311" i="20"/>
  <c r="W311" i="20"/>
  <c r="V311" i="20"/>
  <c r="S311" i="20"/>
  <c r="R311" i="20"/>
  <c r="Q311" i="20"/>
  <c r="P311" i="20"/>
  <c r="O311" i="20"/>
  <c r="J311" i="20"/>
  <c r="F311" i="20"/>
  <c r="AJ311" i="20" s="1"/>
  <c r="BD310" i="20"/>
  <c r="BE310" i="20" s="1"/>
  <c r="AZ310" i="20"/>
  <c r="BA310" i="20" s="1"/>
  <c r="AW310" i="20"/>
  <c r="AR310" i="20"/>
  <c r="AS310" i="20" s="1"/>
  <c r="AN310" i="20"/>
  <c r="AO310" i="20" s="1"/>
  <c r="AJ310" i="20"/>
  <c r="AK310" i="20" s="1"/>
  <c r="AF310" i="20"/>
  <c r="AG310" i="20" s="1"/>
  <c r="AC310" i="20"/>
  <c r="AB310" i="20"/>
  <c r="AA310" i="20"/>
  <c r="W310" i="20"/>
  <c r="V310" i="20"/>
  <c r="S310" i="20"/>
  <c r="R310" i="20"/>
  <c r="Q310" i="20"/>
  <c r="P310" i="20"/>
  <c r="O310" i="20"/>
  <c r="N310" i="20"/>
  <c r="M310" i="20"/>
  <c r="L310" i="20"/>
  <c r="K310" i="20"/>
  <c r="J310" i="20"/>
  <c r="F310" i="20"/>
  <c r="AV310" i="20" s="1"/>
  <c r="BE309" i="20"/>
  <c r="BD309" i="20"/>
  <c r="AZ309" i="20"/>
  <c r="BA309" i="20" s="1"/>
  <c r="AC309" i="20"/>
  <c r="AB309" i="20"/>
  <c r="W309" i="20"/>
  <c r="V309" i="20"/>
  <c r="M309" i="20"/>
  <c r="F309" i="20"/>
  <c r="BD308" i="20"/>
  <c r="BE308" i="20" s="1"/>
  <c r="BA308" i="20"/>
  <c r="AZ308" i="20"/>
  <c r="AV308" i="20"/>
  <c r="AW308" i="20" s="1"/>
  <c r="AR308" i="20"/>
  <c r="AS308" i="20" s="1"/>
  <c r="AF308" i="20"/>
  <c r="AG308" i="20" s="1"/>
  <c r="W308" i="20"/>
  <c r="V308" i="20"/>
  <c r="M308" i="20"/>
  <c r="L308" i="20"/>
  <c r="K308" i="20"/>
  <c r="F308" i="20"/>
  <c r="BE307" i="20"/>
  <c r="BD307" i="20"/>
  <c r="AZ307" i="20"/>
  <c r="BA307" i="20" s="1"/>
  <c r="AW307" i="20"/>
  <c r="AV307" i="20"/>
  <c r="AR307" i="20"/>
  <c r="AS307" i="20" s="1"/>
  <c r="AO307" i="20"/>
  <c r="AN307" i="20"/>
  <c r="W307" i="20"/>
  <c r="V307" i="20"/>
  <c r="K307" i="20"/>
  <c r="J307" i="20"/>
  <c r="F307" i="20"/>
  <c r="BD306" i="20"/>
  <c r="BE306" i="20" s="1"/>
  <c r="BA306" i="20"/>
  <c r="AZ306" i="20"/>
  <c r="AS306" i="20"/>
  <c r="AR306" i="20"/>
  <c r="AN306" i="20"/>
  <c r="AO306" i="20" s="1"/>
  <c r="AK306" i="20"/>
  <c r="AJ306" i="20"/>
  <c r="AF306" i="20"/>
  <c r="AG306" i="20" s="1"/>
  <c r="AC306" i="20"/>
  <c r="AB306" i="20"/>
  <c r="AA306" i="20"/>
  <c r="W306" i="20"/>
  <c r="V306" i="20"/>
  <c r="S306" i="20"/>
  <c r="R306" i="20"/>
  <c r="Q306" i="20"/>
  <c r="P306" i="20"/>
  <c r="O306" i="20"/>
  <c r="N306" i="20"/>
  <c r="M306" i="20"/>
  <c r="L306" i="20"/>
  <c r="K306" i="20"/>
  <c r="J306" i="20"/>
  <c r="F306" i="20"/>
  <c r="AV306" i="20" s="1"/>
  <c r="AW306" i="20" s="1"/>
  <c r="BD305" i="20"/>
  <c r="BE305" i="20" s="1"/>
  <c r="AZ305" i="20"/>
  <c r="BA305" i="20" s="1"/>
  <c r="AV305" i="20"/>
  <c r="AW305" i="20" s="1"/>
  <c r="AR305" i="20"/>
  <c r="AS305" i="20" s="1"/>
  <c r="AN305" i="20"/>
  <c r="AO305" i="20" s="1"/>
  <c r="AK305" i="20"/>
  <c r="AJ305" i="20"/>
  <c r="AF305" i="20"/>
  <c r="AG305" i="20" s="1"/>
  <c r="AC305" i="20"/>
  <c r="AB305" i="20"/>
  <c r="AA305" i="20"/>
  <c r="X305" i="20"/>
  <c r="W305" i="20"/>
  <c r="V305" i="20"/>
  <c r="S305" i="20"/>
  <c r="R305" i="20"/>
  <c r="Q305" i="20"/>
  <c r="O305" i="20"/>
  <c r="N305" i="20"/>
  <c r="M305" i="20"/>
  <c r="L305" i="20"/>
  <c r="K305" i="20"/>
  <c r="J305" i="20"/>
  <c r="F305" i="20"/>
  <c r="P305" i="20" s="1"/>
  <c r="AZ304" i="20"/>
  <c r="BA304" i="20" s="1"/>
  <c r="AR304" i="20"/>
  <c r="AS304" i="20" s="1"/>
  <c r="AO304" i="20"/>
  <c r="AN304" i="20"/>
  <c r="AK304" i="20"/>
  <c r="AJ304" i="20"/>
  <c r="AG304" i="20"/>
  <c r="AF304" i="20"/>
  <c r="AB304" i="20"/>
  <c r="AC304" i="20" s="1"/>
  <c r="X304" i="20"/>
  <c r="W304" i="20"/>
  <c r="V304" i="20"/>
  <c r="S304" i="20"/>
  <c r="R304" i="20"/>
  <c r="Q304" i="20"/>
  <c r="O304" i="20"/>
  <c r="J304" i="20"/>
  <c r="F304" i="20"/>
  <c r="AV304" i="20" s="1"/>
  <c r="AW304" i="20" s="1"/>
  <c r="AR303" i="20"/>
  <c r="AS303" i="20" s="1"/>
  <c r="AJ303" i="20"/>
  <c r="AK303" i="20" s="1"/>
  <c r="AF303" i="20"/>
  <c r="AG303" i="20" s="1"/>
  <c r="W303" i="20"/>
  <c r="V303" i="20"/>
  <c r="J303" i="20"/>
  <c r="F303" i="20"/>
  <c r="AG302" i="20"/>
  <c r="AF302" i="20"/>
  <c r="W302" i="20"/>
  <c r="V302" i="20"/>
  <c r="F302" i="20"/>
  <c r="BE301" i="20"/>
  <c r="BD301" i="20"/>
  <c r="AV301" i="20"/>
  <c r="AW301" i="20" s="1"/>
  <c r="AR301" i="20"/>
  <c r="AS301" i="20" s="1"/>
  <c r="AN301" i="20"/>
  <c r="AO301" i="20" s="1"/>
  <c r="X301" i="20"/>
  <c r="W301" i="20"/>
  <c r="V301" i="20"/>
  <c r="S301" i="20"/>
  <c r="R301" i="20"/>
  <c r="O301" i="20"/>
  <c r="L301" i="20"/>
  <c r="F301" i="20"/>
  <c r="AZ301" i="20" s="1"/>
  <c r="BA301" i="20" s="1"/>
  <c r="BE300" i="20"/>
  <c r="BD300" i="20"/>
  <c r="BA300" i="20"/>
  <c r="AZ300" i="20"/>
  <c r="AJ300" i="20"/>
  <c r="AK300" i="20" s="1"/>
  <c r="AF300" i="20"/>
  <c r="AG300" i="20" s="1"/>
  <c r="AB300" i="20"/>
  <c r="AC300" i="20" s="1"/>
  <c r="AA300" i="20"/>
  <c r="W300" i="20"/>
  <c r="V300" i="20"/>
  <c r="R300" i="20"/>
  <c r="Q300" i="20"/>
  <c r="P300" i="20"/>
  <c r="O300" i="20"/>
  <c r="L300" i="20"/>
  <c r="J300" i="20"/>
  <c r="F300" i="20"/>
  <c r="AW299" i="20"/>
  <c r="AV299" i="20"/>
  <c r="AR299" i="20"/>
  <c r="AS299" i="20" s="1"/>
  <c r="AO299" i="20"/>
  <c r="AN299" i="20"/>
  <c r="AJ299" i="20"/>
  <c r="AK299" i="20" s="1"/>
  <c r="AG299" i="20"/>
  <c r="AB299" i="20"/>
  <c r="AC299" i="20" s="1"/>
  <c r="AA299" i="20"/>
  <c r="W299" i="20"/>
  <c r="V299" i="20"/>
  <c r="S299" i="20"/>
  <c r="R299" i="20"/>
  <c r="Q299" i="20"/>
  <c r="P299" i="20"/>
  <c r="O299" i="20"/>
  <c r="N299" i="20"/>
  <c r="M299" i="20"/>
  <c r="J299" i="20"/>
  <c r="F299" i="20"/>
  <c r="AF299" i="20" s="1"/>
  <c r="BD298" i="20"/>
  <c r="BE298" i="20" s="1"/>
  <c r="AV298" i="20"/>
  <c r="AW298" i="20" s="1"/>
  <c r="AN298" i="20"/>
  <c r="AO298" i="20" s="1"/>
  <c r="AK298" i="20"/>
  <c r="AJ298" i="20"/>
  <c r="AF298" i="20"/>
  <c r="AG298" i="20" s="1"/>
  <c r="AB298" i="20"/>
  <c r="AC298" i="20" s="1"/>
  <c r="AA298" i="20"/>
  <c r="W298" i="20"/>
  <c r="V298" i="20"/>
  <c r="S298" i="20"/>
  <c r="R298" i="20"/>
  <c r="Q298" i="20"/>
  <c r="K298" i="20"/>
  <c r="J298" i="20"/>
  <c r="F298" i="20"/>
  <c r="W297" i="20"/>
  <c r="V297" i="20"/>
  <c r="F297" i="20"/>
  <c r="AN296" i="20"/>
  <c r="AO296" i="20" s="1"/>
  <c r="W296" i="20"/>
  <c r="V296" i="20"/>
  <c r="O296" i="20"/>
  <c r="N296" i="20"/>
  <c r="M296" i="20"/>
  <c r="L296" i="20"/>
  <c r="K296" i="20"/>
  <c r="J296" i="20"/>
  <c r="F296" i="20"/>
  <c r="BE295" i="20"/>
  <c r="BD295" i="20"/>
  <c r="AZ295" i="20"/>
  <c r="BA295" i="20" s="1"/>
  <c r="AV295" i="20"/>
  <c r="AW295" i="20" s="1"/>
  <c r="AR295" i="20"/>
  <c r="AS295" i="20" s="1"/>
  <c r="AN295" i="20"/>
  <c r="AO295" i="20" s="1"/>
  <c r="AJ295" i="20"/>
  <c r="AK295" i="20" s="1"/>
  <c r="AG295" i="20"/>
  <c r="AF295" i="20"/>
  <c r="AC295" i="20"/>
  <c r="AB295" i="20"/>
  <c r="AA295" i="20"/>
  <c r="X295" i="20"/>
  <c r="W295" i="20"/>
  <c r="V295" i="20"/>
  <c r="S295" i="20"/>
  <c r="R295" i="20"/>
  <c r="Q295" i="20"/>
  <c r="P295" i="20"/>
  <c r="O295" i="20"/>
  <c r="N295" i="20"/>
  <c r="M295" i="20"/>
  <c r="L295" i="20"/>
  <c r="K295" i="20"/>
  <c r="J295" i="20"/>
  <c r="F295" i="20"/>
  <c r="BE294" i="20"/>
  <c r="BD294" i="20"/>
  <c r="BA294" i="20"/>
  <c r="AZ294" i="20"/>
  <c r="AV294" i="20"/>
  <c r="AW294" i="20" s="1"/>
  <c r="AR294" i="20"/>
  <c r="AS294" i="20" s="1"/>
  <c r="AO294" i="20"/>
  <c r="AN294" i="20"/>
  <c r="AJ294" i="20"/>
  <c r="AK294" i="20" s="1"/>
  <c r="AG294" i="20"/>
  <c r="AF294" i="20"/>
  <c r="AB294" i="20"/>
  <c r="AC294" i="20" s="1"/>
  <c r="AA294" i="20"/>
  <c r="X294" i="20"/>
  <c r="W294" i="20"/>
  <c r="V294" i="20"/>
  <c r="S294" i="20"/>
  <c r="R294" i="20"/>
  <c r="Q294" i="20"/>
  <c r="O294" i="20"/>
  <c r="N294" i="20"/>
  <c r="M294" i="20"/>
  <c r="L294" i="20"/>
  <c r="K294" i="20"/>
  <c r="J294" i="20"/>
  <c r="F294" i="20"/>
  <c r="P294" i="20" s="1"/>
  <c r="BA293" i="20"/>
  <c r="AZ293" i="20"/>
  <c r="AV293" i="20"/>
  <c r="AW293" i="20" s="1"/>
  <c r="AS293" i="20"/>
  <c r="AR293" i="20"/>
  <c r="AN293" i="20"/>
  <c r="AO293" i="20" s="1"/>
  <c r="AJ293" i="20"/>
  <c r="AK293" i="20" s="1"/>
  <c r="AF293" i="20"/>
  <c r="AG293" i="20" s="1"/>
  <c r="AC293" i="20"/>
  <c r="AB293" i="20"/>
  <c r="X293" i="20"/>
  <c r="W293" i="20"/>
  <c r="V293" i="20"/>
  <c r="S293" i="20"/>
  <c r="R293" i="20"/>
  <c r="Q293" i="20"/>
  <c r="K293" i="20"/>
  <c r="J293" i="20"/>
  <c r="F293" i="20"/>
  <c r="AZ292" i="20"/>
  <c r="BA292" i="20" s="1"/>
  <c r="AW292" i="20"/>
  <c r="AV292" i="20"/>
  <c r="AJ292" i="20"/>
  <c r="AK292" i="20" s="1"/>
  <c r="AF292" i="20"/>
  <c r="AG292" i="20" s="1"/>
  <c r="AC292" i="20"/>
  <c r="AB292" i="20"/>
  <c r="X292" i="20"/>
  <c r="W292" i="20"/>
  <c r="V292" i="20"/>
  <c r="P292" i="20"/>
  <c r="F292" i="20"/>
  <c r="BD292" i="20" s="1"/>
  <c r="BE292" i="20" s="1"/>
  <c r="BD291" i="20"/>
  <c r="BE291" i="20" s="1"/>
  <c r="AZ291" i="20"/>
  <c r="BA291" i="20" s="1"/>
  <c r="AW291" i="20"/>
  <c r="AV291" i="20"/>
  <c r="AS291" i="20"/>
  <c r="AR291" i="20"/>
  <c r="AK291" i="20"/>
  <c r="AJ291" i="20"/>
  <c r="AF291" i="20"/>
  <c r="AG291" i="20" s="1"/>
  <c r="W291" i="20"/>
  <c r="V291" i="20"/>
  <c r="R291" i="20"/>
  <c r="Q291" i="20"/>
  <c r="P291" i="20"/>
  <c r="O291" i="20"/>
  <c r="N291" i="20"/>
  <c r="L291" i="20"/>
  <c r="K291" i="20"/>
  <c r="J291" i="20"/>
  <c r="F291" i="20"/>
  <c r="BE290" i="20"/>
  <c r="BD290" i="20"/>
  <c r="AZ290" i="20"/>
  <c r="BA290" i="20" s="1"/>
  <c r="AV290" i="20"/>
  <c r="AW290" i="20" s="1"/>
  <c r="AS290" i="20"/>
  <c r="AR290" i="20"/>
  <c r="AF290" i="20"/>
  <c r="AG290" i="20" s="1"/>
  <c r="AA290" i="20"/>
  <c r="W290" i="20"/>
  <c r="V290" i="20"/>
  <c r="R290" i="20"/>
  <c r="Q290" i="20"/>
  <c r="P290" i="20"/>
  <c r="O290" i="20"/>
  <c r="N290" i="20"/>
  <c r="M290" i="20"/>
  <c r="K290" i="20"/>
  <c r="J290" i="20"/>
  <c r="F290" i="20"/>
  <c r="AN289" i="20"/>
  <c r="AO289" i="20" s="1"/>
  <c r="AC289" i="20"/>
  <c r="AB289" i="20"/>
  <c r="AA289" i="20"/>
  <c r="W289" i="20"/>
  <c r="V289" i="20"/>
  <c r="S289" i="20"/>
  <c r="Q289" i="20"/>
  <c r="P289" i="20"/>
  <c r="O289" i="20"/>
  <c r="N289" i="20"/>
  <c r="M289" i="20"/>
  <c r="L289" i="20"/>
  <c r="K289" i="20"/>
  <c r="J289" i="20"/>
  <c r="F289" i="20"/>
  <c r="BD289" i="20" s="1"/>
  <c r="BE289" i="20" s="1"/>
  <c r="AV288" i="20"/>
  <c r="AW288" i="20" s="1"/>
  <c r="AS288" i="20"/>
  <c r="AN288" i="20"/>
  <c r="AO288" i="20" s="1"/>
  <c r="AJ288" i="20"/>
  <c r="AK288" i="20" s="1"/>
  <c r="AF288" i="20"/>
  <c r="AG288" i="20" s="1"/>
  <c r="AB288" i="20"/>
  <c r="AC288" i="20" s="1"/>
  <c r="AA288" i="20"/>
  <c r="W288" i="20"/>
  <c r="V288" i="20"/>
  <c r="S288" i="20"/>
  <c r="R288" i="20"/>
  <c r="Q288" i="20"/>
  <c r="P288" i="20"/>
  <c r="O288" i="20"/>
  <c r="N288" i="20"/>
  <c r="M288" i="20"/>
  <c r="L288" i="20"/>
  <c r="F288" i="20"/>
  <c r="AR288" i="20" s="1"/>
  <c r="W287" i="20"/>
  <c r="V287" i="20"/>
  <c r="S287" i="20"/>
  <c r="P287" i="20"/>
  <c r="J287" i="20"/>
  <c r="F287" i="20"/>
  <c r="AZ287" i="20" s="1"/>
  <c r="BA287" i="20" s="1"/>
  <c r="AZ286" i="20"/>
  <c r="BA286" i="20" s="1"/>
  <c r="AB286" i="20"/>
  <c r="AC286" i="20" s="1"/>
  <c r="W286" i="20"/>
  <c r="V286" i="20"/>
  <c r="F286" i="20"/>
  <c r="BE285" i="20"/>
  <c r="BD285" i="20"/>
  <c r="BA285" i="20"/>
  <c r="AZ285" i="20"/>
  <c r="W285" i="20"/>
  <c r="V285" i="20"/>
  <c r="Q285" i="20"/>
  <c r="L285" i="20"/>
  <c r="J285" i="20"/>
  <c r="F285" i="20"/>
  <c r="BD284" i="20"/>
  <c r="BE284" i="20" s="1"/>
  <c r="AW284" i="20"/>
  <c r="AV284" i="20"/>
  <c r="W284" i="20"/>
  <c r="V284" i="20"/>
  <c r="P284" i="20"/>
  <c r="O284" i="20"/>
  <c r="F284" i="20"/>
  <c r="AF283" i="20"/>
  <c r="AG283" i="20" s="1"/>
  <c r="W283" i="20"/>
  <c r="V283" i="20"/>
  <c r="F283" i="20"/>
  <c r="BD282" i="20"/>
  <c r="BE282" i="20" s="1"/>
  <c r="AZ282" i="20"/>
  <c r="BA282" i="20" s="1"/>
  <c r="AN282" i="20"/>
  <c r="AO282" i="20" s="1"/>
  <c r="AF282" i="20"/>
  <c r="AG282" i="20" s="1"/>
  <c r="AC282" i="20"/>
  <c r="AB282" i="20"/>
  <c r="W282" i="20"/>
  <c r="V282" i="20"/>
  <c r="Q282" i="20"/>
  <c r="N282" i="20"/>
  <c r="M282" i="20"/>
  <c r="K282" i="20"/>
  <c r="J282" i="20"/>
  <c r="F282" i="20"/>
  <c r="AV281" i="20"/>
  <c r="AW281" i="20" s="1"/>
  <c r="AS281" i="20"/>
  <c r="AR281" i="20"/>
  <c r="AO281" i="20"/>
  <c r="AN281" i="20"/>
  <c r="AJ281" i="20"/>
  <c r="AK281" i="20" s="1"/>
  <c r="AB281" i="20"/>
  <c r="AC281" i="20" s="1"/>
  <c r="AA281" i="20"/>
  <c r="W281" i="20"/>
  <c r="V281" i="20"/>
  <c r="S281" i="20"/>
  <c r="Q281" i="20"/>
  <c r="P281" i="20"/>
  <c r="O281" i="20"/>
  <c r="N281" i="20"/>
  <c r="M281" i="20"/>
  <c r="L281" i="20"/>
  <c r="F281" i="20"/>
  <c r="BD280" i="20"/>
  <c r="BE280" i="20" s="1"/>
  <c r="AV280" i="20"/>
  <c r="AW280" i="20" s="1"/>
  <c r="AS280" i="20"/>
  <c r="AN280" i="20"/>
  <c r="AO280" i="20" s="1"/>
  <c r="AK280" i="20"/>
  <c r="AJ280" i="20"/>
  <c r="AF280" i="20"/>
  <c r="AG280" i="20" s="1"/>
  <c r="AB280" i="20"/>
  <c r="AC280" i="20" s="1"/>
  <c r="AA280" i="20"/>
  <c r="W280" i="20"/>
  <c r="V280" i="20"/>
  <c r="S280" i="20"/>
  <c r="R280" i="20"/>
  <c r="Q280" i="20"/>
  <c r="P280" i="20"/>
  <c r="K280" i="20"/>
  <c r="J280" i="20"/>
  <c r="F280" i="20"/>
  <c r="AR280" i="20" s="1"/>
  <c r="BA279" i="20"/>
  <c r="AZ279" i="20"/>
  <c r="AV279" i="20"/>
  <c r="AW279" i="20" s="1"/>
  <c r="AS279" i="20"/>
  <c r="AR279" i="20"/>
  <c r="AN279" i="20"/>
  <c r="AO279" i="20" s="1"/>
  <c r="AJ279" i="20"/>
  <c r="AK279" i="20" s="1"/>
  <c r="AG279" i="20"/>
  <c r="AF279" i="20"/>
  <c r="AB279" i="20"/>
  <c r="AC279" i="20" s="1"/>
  <c r="AA279" i="20"/>
  <c r="W279" i="20"/>
  <c r="V279" i="20"/>
  <c r="N279" i="20"/>
  <c r="J279" i="20"/>
  <c r="F279" i="20"/>
  <c r="BD278" i="20"/>
  <c r="BE278" i="20" s="1"/>
  <c r="AZ278" i="20"/>
  <c r="BA278" i="20" s="1"/>
  <c r="AW278" i="20"/>
  <c r="AV278" i="20"/>
  <c r="AR278" i="20"/>
  <c r="AS278" i="20" s="1"/>
  <c r="AO278" i="20"/>
  <c r="AN278" i="20"/>
  <c r="AK278" i="20"/>
  <c r="AJ278" i="20"/>
  <c r="AG278" i="20"/>
  <c r="AF278" i="20"/>
  <c r="W278" i="20"/>
  <c r="V278" i="20"/>
  <c r="R278" i="20"/>
  <c r="Q278" i="20"/>
  <c r="M278" i="20"/>
  <c r="J278" i="20"/>
  <c r="F278" i="20"/>
  <c r="BD277" i="20"/>
  <c r="BE277" i="20" s="1"/>
  <c r="AZ277" i="20"/>
  <c r="BA277" i="20" s="1"/>
  <c r="AW277" i="20"/>
  <c r="AV277" i="20"/>
  <c r="AR277" i="20"/>
  <c r="AS277" i="20" s="1"/>
  <c r="AN277" i="20"/>
  <c r="AO277" i="20" s="1"/>
  <c r="AA277" i="20"/>
  <c r="W277" i="20"/>
  <c r="V277" i="20"/>
  <c r="S277" i="20"/>
  <c r="Q277" i="20"/>
  <c r="P277" i="20"/>
  <c r="O277" i="20"/>
  <c r="L277" i="20"/>
  <c r="J277" i="20"/>
  <c r="F277" i="20"/>
  <c r="BA276" i="20"/>
  <c r="AZ276" i="20"/>
  <c r="AF276" i="20"/>
  <c r="AG276" i="20" s="1"/>
  <c r="AA276" i="20"/>
  <c r="W276" i="20"/>
  <c r="V276" i="20"/>
  <c r="S276" i="20"/>
  <c r="R276" i="20"/>
  <c r="Q276" i="20"/>
  <c r="P276" i="20"/>
  <c r="O276" i="20"/>
  <c r="N276" i="20"/>
  <c r="F276" i="20"/>
  <c r="BD276" i="20" s="1"/>
  <c r="BE276" i="20" s="1"/>
  <c r="AN275" i="20"/>
  <c r="AO275" i="20" s="1"/>
  <c r="AB275" i="20"/>
  <c r="AC275" i="20" s="1"/>
  <c r="AA275" i="20"/>
  <c r="W275" i="20"/>
  <c r="V275" i="20"/>
  <c r="S275" i="20"/>
  <c r="R275" i="20"/>
  <c r="Q275" i="20"/>
  <c r="P275" i="20"/>
  <c r="O275" i="20"/>
  <c r="N275" i="20"/>
  <c r="L275" i="20"/>
  <c r="F275" i="20"/>
  <c r="AZ275" i="20" s="1"/>
  <c r="BA275" i="20" s="1"/>
  <c r="AV274" i="20"/>
  <c r="AW274" i="20" s="1"/>
  <c r="AS274" i="20"/>
  <c r="AR274" i="20"/>
  <c r="AN274" i="20"/>
  <c r="AO274" i="20" s="1"/>
  <c r="AJ274" i="20"/>
  <c r="AK274" i="20" s="1"/>
  <c r="AG274" i="20"/>
  <c r="AF274" i="20"/>
  <c r="AB274" i="20"/>
  <c r="AC274" i="20" s="1"/>
  <c r="AA274" i="20"/>
  <c r="W274" i="20"/>
  <c r="V274" i="20"/>
  <c r="R274" i="20"/>
  <c r="Q274" i="20"/>
  <c r="P274" i="20"/>
  <c r="O274" i="20"/>
  <c r="N274" i="20"/>
  <c r="M274" i="20"/>
  <c r="F274" i="20"/>
  <c r="BD273" i="20"/>
  <c r="BE273" i="20" s="1"/>
  <c r="AW273" i="20"/>
  <c r="AV273" i="20"/>
  <c r="AS273" i="20"/>
  <c r="AR273" i="20"/>
  <c r="AN273" i="20"/>
  <c r="AO273" i="20" s="1"/>
  <c r="AJ273" i="20"/>
  <c r="AK273" i="20" s="1"/>
  <c r="AB273" i="20"/>
  <c r="AC273" i="20" s="1"/>
  <c r="AA273" i="20"/>
  <c r="W273" i="20"/>
  <c r="V273" i="20"/>
  <c r="S273" i="20"/>
  <c r="Q273" i="20"/>
  <c r="P273" i="20"/>
  <c r="K273" i="20"/>
  <c r="J273" i="20"/>
  <c r="F273" i="20"/>
  <c r="W272" i="20"/>
  <c r="V272" i="20"/>
  <c r="O272" i="20"/>
  <c r="N272" i="20"/>
  <c r="F272" i="20"/>
  <c r="AZ271" i="20"/>
  <c r="BA271" i="20" s="1"/>
  <c r="AF271" i="20"/>
  <c r="AG271" i="20" s="1"/>
  <c r="W271" i="20"/>
  <c r="V271" i="20"/>
  <c r="R271" i="20"/>
  <c r="P271" i="20"/>
  <c r="O271" i="20"/>
  <c r="N271" i="20"/>
  <c r="L271" i="20"/>
  <c r="K271" i="20"/>
  <c r="J271" i="20"/>
  <c r="F271" i="20"/>
  <c r="W270" i="20"/>
  <c r="V270" i="20"/>
  <c r="O270" i="20"/>
  <c r="F270" i="20"/>
  <c r="BD270" i="20" s="1"/>
  <c r="BE270" i="20" s="1"/>
  <c r="AZ269" i="20"/>
  <c r="BA269" i="20" s="1"/>
  <c r="W269" i="20"/>
  <c r="V269" i="20"/>
  <c r="F269" i="20"/>
  <c r="BD268" i="20"/>
  <c r="BE268" i="20" s="1"/>
  <c r="AV268" i="20"/>
  <c r="AW268" i="20" s="1"/>
  <c r="AS268" i="20"/>
  <c r="AO268" i="20"/>
  <c r="AN268" i="20"/>
  <c r="AJ268" i="20"/>
  <c r="AK268" i="20" s="1"/>
  <c r="AF268" i="20"/>
  <c r="AG268" i="20" s="1"/>
  <c r="AB268" i="20"/>
  <c r="AC268" i="20" s="1"/>
  <c r="AA268" i="20"/>
  <c r="W268" i="20"/>
  <c r="V268" i="20"/>
  <c r="S268" i="20"/>
  <c r="R268" i="20"/>
  <c r="Q268" i="20"/>
  <c r="P268" i="20"/>
  <c r="O268" i="20"/>
  <c r="N268" i="20"/>
  <c r="M268" i="20"/>
  <c r="L268" i="20"/>
  <c r="K268" i="20"/>
  <c r="J268" i="20"/>
  <c r="F268" i="20"/>
  <c r="AR268" i="20" s="1"/>
  <c r="AV267" i="20"/>
  <c r="AW267" i="20" s="1"/>
  <c r="AR267" i="20"/>
  <c r="AS267" i="20" s="1"/>
  <c r="AN267" i="20"/>
  <c r="AO267" i="20" s="1"/>
  <c r="AK267" i="20"/>
  <c r="AJ267" i="20"/>
  <c r="AG267" i="20"/>
  <c r="AF267" i="20"/>
  <c r="AC267" i="20"/>
  <c r="AB267" i="20"/>
  <c r="AA267" i="20"/>
  <c r="W267" i="20"/>
  <c r="V267" i="20"/>
  <c r="S267" i="20"/>
  <c r="R267" i="20"/>
  <c r="Q267" i="20"/>
  <c r="P267" i="20"/>
  <c r="O267" i="20"/>
  <c r="N267" i="20"/>
  <c r="J267" i="20"/>
  <c r="F267" i="20"/>
  <c r="AS266" i="20"/>
  <c r="AR266" i="20"/>
  <c r="W266" i="20"/>
  <c r="V266" i="20"/>
  <c r="J266" i="20"/>
  <c r="F266" i="20"/>
  <c r="BD265" i="20"/>
  <c r="BE265" i="20" s="1"/>
  <c r="AZ265" i="20"/>
  <c r="BA265" i="20" s="1"/>
  <c r="AV265" i="20"/>
  <c r="AW265" i="20" s="1"/>
  <c r="AS265" i="20"/>
  <c r="AR265" i="20"/>
  <c r="W265" i="20"/>
  <c r="V265" i="20"/>
  <c r="O265" i="20"/>
  <c r="K265" i="20"/>
  <c r="J265" i="20"/>
  <c r="F265" i="20"/>
  <c r="W264" i="20"/>
  <c r="V264" i="20"/>
  <c r="F264" i="20"/>
  <c r="W263" i="20"/>
  <c r="V263" i="20"/>
  <c r="R263" i="20"/>
  <c r="N263" i="20"/>
  <c r="F263" i="20"/>
  <c r="BD262" i="20"/>
  <c r="BE262" i="20" s="1"/>
  <c r="AZ262" i="20"/>
  <c r="BA262" i="20" s="1"/>
  <c r="AW262" i="20"/>
  <c r="AV262" i="20"/>
  <c r="W262" i="20"/>
  <c r="V262" i="20"/>
  <c r="R262" i="20"/>
  <c r="N262" i="20"/>
  <c r="M262" i="20"/>
  <c r="K262" i="20"/>
  <c r="J262" i="20"/>
  <c r="F262" i="20"/>
  <c r="BE261" i="20"/>
  <c r="BD261" i="20"/>
  <c r="AV261" i="20"/>
  <c r="AW261" i="20" s="1"/>
  <c r="AR261" i="20"/>
  <c r="AS261" i="20" s="1"/>
  <c r="AO261" i="20"/>
  <c r="AN261" i="20"/>
  <c r="AJ261" i="20"/>
  <c r="AK261" i="20" s="1"/>
  <c r="AC261" i="20"/>
  <c r="AB261" i="20"/>
  <c r="AA261" i="20"/>
  <c r="W261" i="20"/>
  <c r="V261" i="20"/>
  <c r="S261" i="20"/>
  <c r="Q261" i="20"/>
  <c r="P261" i="20"/>
  <c r="O261" i="20"/>
  <c r="N261" i="20"/>
  <c r="M261" i="20"/>
  <c r="L261" i="20"/>
  <c r="K261" i="20"/>
  <c r="J261" i="20"/>
  <c r="F261" i="20"/>
  <c r="AV260" i="20"/>
  <c r="AW260" i="20" s="1"/>
  <c r="W260" i="20"/>
  <c r="V260" i="20"/>
  <c r="O260" i="20"/>
  <c r="N260" i="20"/>
  <c r="F260" i="20"/>
  <c r="AZ259" i="20"/>
  <c r="BA259" i="20" s="1"/>
  <c r="AW259" i="20"/>
  <c r="AV259" i="20"/>
  <c r="AA259" i="20"/>
  <c r="W259" i="20"/>
  <c r="V259" i="20"/>
  <c r="O259" i="20"/>
  <c r="L259" i="20"/>
  <c r="K259" i="20"/>
  <c r="J259" i="20"/>
  <c r="F259" i="20"/>
  <c r="AZ258" i="20"/>
  <c r="BA258" i="20" s="1"/>
  <c r="W258" i="20"/>
  <c r="V258" i="20"/>
  <c r="P258" i="20"/>
  <c r="O258" i="20"/>
  <c r="N258" i="20"/>
  <c r="M258" i="20"/>
  <c r="K258" i="20"/>
  <c r="J258" i="20"/>
  <c r="F258" i="20"/>
  <c r="W257" i="20"/>
  <c r="V257" i="20"/>
  <c r="O257" i="20"/>
  <c r="F257" i="20"/>
  <c r="AZ257" i="20" s="1"/>
  <c r="BA257" i="20" s="1"/>
  <c r="BE256" i="20"/>
  <c r="BD256" i="20"/>
  <c r="AB256" i="20"/>
  <c r="AC256" i="20" s="1"/>
  <c r="AA256" i="20"/>
  <c r="W256" i="20"/>
  <c r="V256" i="20"/>
  <c r="R256" i="20"/>
  <c r="Q256" i="20"/>
  <c r="P256" i="20"/>
  <c r="O256" i="20"/>
  <c r="N256" i="20"/>
  <c r="J256" i="20"/>
  <c r="F256" i="20"/>
  <c r="AC255" i="20"/>
  <c r="AB255" i="20"/>
  <c r="W255" i="20"/>
  <c r="V255" i="20"/>
  <c r="S255" i="20"/>
  <c r="R255" i="20"/>
  <c r="Q255" i="20"/>
  <c r="P255" i="20"/>
  <c r="O255" i="20"/>
  <c r="N255" i="20"/>
  <c r="L255" i="20"/>
  <c r="K255" i="20"/>
  <c r="J255" i="20"/>
  <c r="F255" i="20"/>
  <c r="BE254" i="20"/>
  <c r="BD254" i="20"/>
  <c r="AV254" i="20"/>
  <c r="AW254" i="20" s="1"/>
  <c r="AR254" i="20"/>
  <c r="AS254" i="20" s="1"/>
  <c r="AN254" i="20"/>
  <c r="AO254" i="20" s="1"/>
  <c r="AK254" i="20"/>
  <c r="AJ254" i="20"/>
  <c r="AF254" i="20"/>
  <c r="AG254" i="20" s="1"/>
  <c r="AC254" i="20"/>
  <c r="AB254" i="20"/>
  <c r="AA254" i="20"/>
  <c r="W254" i="20"/>
  <c r="V254" i="20"/>
  <c r="R254" i="20"/>
  <c r="Q254" i="20"/>
  <c r="P254" i="20"/>
  <c r="O254" i="20"/>
  <c r="N254" i="20"/>
  <c r="M254" i="20"/>
  <c r="K254" i="20"/>
  <c r="J254" i="20"/>
  <c r="F254" i="20"/>
  <c r="BD253" i="20"/>
  <c r="BE253" i="20" s="1"/>
  <c r="W253" i="20"/>
  <c r="V253" i="20"/>
  <c r="P253" i="20"/>
  <c r="N253" i="20"/>
  <c r="K253" i="20"/>
  <c r="F253" i="20"/>
  <c r="AJ253" i="20" s="1"/>
  <c r="AK253" i="20" s="1"/>
  <c r="BD252" i="20"/>
  <c r="BE252" i="20" s="1"/>
  <c r="AJ252" i="20"/>
  <c r="AK252" i="20" s="1"/>
  <c r="AF252" i="20"/>
  <c r="AG252" i="20" s="1"/>
  <c r="W252" i="20"/>
  <c r="V252" i="20"/>
  <c r="S252" i="20"/>
  <c r="R252" i="20"/>
  <c r="O252" i="20"/>
  <c r="M252" i="20"/>
  <c r="L252" i="20"/>
  <c r="J252" i="20"/>
  <c r="F252" i="20"/>
  <c r="AS251" i="20"/>
  <c r="AR251" i="20"/>
  <c r="AN251" i="20"/>
  <c r="AO251" i="20" s="1"/>
  <c r="AJ251" i="20"/>
  <c r="AK251" i="20" s="1"/>
  <c r="AF251" i="20"/>
  <c r="AG251" i="20" s="1"/>
  <c r="AB251" i="20"/>
  <c r="AC251" i="20" s="1"/>
  <c r="AA251" i="20"/>
  <c r="W251" i="20"/>
  <c r="V251" i="20"/>
  <c r="S251" i="20"/>
  <c r="Q251" i="20"/>
  <c r="P251" i="20"/>
  <c r="O251" i="20"/>
  <c r="N251" i="20"/>
  <c r="L251" i="20"/>
  <c r="K251" i="20"/>
  <c r="J251" i="20"/>
  <c r="F251" i="20"/>
  <c r="AZ251" i="20" s="1"/>
  <c r="BA251" i="20" s="1"/>
  <c r="BD250" i="20"/>
  <c r="BE250" i="20" s="1"/>
  <c r="AW250" i="20"/>
  <c r="AV250" i="20"/>
  <c r="AR250" i="20"/>
  <c r="AS250" i="20" s="1"/>
  <c r="AO250" i="20"/>
  <c r="AN250" i="20"/>
  <c r="AK250" i="20"/>
  <c r="AJ250" i="20"/>
  <c r="AB250" i="20"/>
  <c r="AC250" i="20" s="1"/>
  <c r="W250" i="20"/>
  <c r="V250" i="20"/>
  <c r="R250" i="20"/>
  <c r="Q250" i="20"/>
  <c r="P250" i="20"/>
  <c r="O250" i="20"/>
  <c r="N250" i="20"/>
  <c r="M250" i="20"/>
  <c r="K250" i="20"/>
  <c r="J250" i="20"/>
  <c r="F250" i="20"/>
  <c r="AZ250" i="20" s="1"/>
  <c r="BA250" i="20" s="1"/>
  <c r="BD249" i="20"/>
  <c r="BE249" i="20" s="1"/>
  <c r="AZ249" i="20"/>
  <c r="BA249" i="20" s="1"/>
  <c r="AW249" i="20"/>
  <c r="AV249" i="20"/>
  <c r="AR249" i="20"/>
  <c r="AS249" i="20" s="1"/>
  <c r="AJ249" i="20"/>
  <c r="AK249" i="20" s="1"/>
  <c r="AB249" i="20"/>
  <c r="AC249" i="20" s="1"/>
  <c r="AA249" i="20"/>
  <c r="W249" i="20"/>
  <c r="V249" i="20"/>
  <c r="S249" i="20"/>
  <c r="Q249" i="20"/>
  <c r="P249" i="20"/>
  <c r="O249" i="20"/>
  <c r="N249" i="20"/>
  <c r="M249" i="20"/>
  <c r="L249" i="20"/>
  <c r="K249" i="20"/>
  <c r="J249" i="20"/>
  <c r="F249" i="20"/>
  <c r="AJ248" i="20"/>
  <c r="AK248" i="20" s="1"/>
  <c r="AA248" i="20"/>
  <c r="W248" i="20"/>
  <c r="V248" i="20"/>
  <c r="S248" i="20"/>
  <c r="R248" i="20"/>
  <c r="Q248" i="20"/>
  <c r="P248" i="20"/>
  <c r="O248" i="20"/>
  <c r="N248" i="20"/>
  <c r="M248" i="20"/>
  <c r="L248" i="20"/>
  <c r="F248" i="20"/>
  <c r="BD248" i="20" s="1"/>
  <c r="BE248" i="20" s="1"/>
  <c r="AW247" i="20"/>
  <c r="AV247" i="20"/>
  <c r="AR247" i="20"/>
  <c r="AS247" i="20" s="1"/>
  <c r="AN247" i="20"/>
  <c r="AO247" i="20" s="1"/>
  <c r="AK247" i="20"/>
  <c r="AJ247" i="20"/>
  <c r="AF247" i="20"/>
  <c r="AG247" i="20" s="1"/>
  <c r="AC247" i="20"/>
  <c r="AB247" i="20"/>
  <c r="AA247" i="20"/>
  <c r="W247" i="20"/>
  <c r="V247" i="20"/>
  <c r="S247" i="20"/>
  <c r="R247" i="20"/>
  <c r="Q247" i="20"/>
  <c r="P247" i="20"/>
  <c r="O247" i="20"/>
  <c r="N247" i="20"/>
  <c r="L247" i="20"/>
  <c r="K247" i="20"/>
  <c r="F247" i="20"/>
  <c r="AZ246" i="20"/>
  <c r="BA246" i="20" s="1"/>
  <c r="AW246" i="20"/>
  <c r="AV246" i="20"/>
  <c r="AR246" i="20"/>
  <c r="AS246" i="20" s="1"/>
  <c r="AN246" i="20"/>
  <c r="AO246" i="20" s="1"/>
  <c r="AJ246" i="20"/>
  <c r="AK246" i="20" s="1"/>
  <c r="AG246" i="20"/>
  <c r="AF246" i="20"/>
  <c r="AB246" i="20"/>
  <c r="AC246" i="20" s="1"/>
  <c r="AA246" i="20"/>
  <c r="W246" i="20"/>
  <c r="V246" i="20"/>
  <c r="R246" i="20"/>
  <c r="Q246" i="20"/>
  <c r="P246" i="20"/>
  <c r="O246" i="20"/>
  <c r="K246" i="20"/>
  <c r="F246" i="20"/>
  <c r="AS245" i="20"/>
  <c r="AR245" i="20"/>
  <c r="AJ245" i="20"/>
  <c r="AK245" i="20" s="1"/>
  <c r="AB245" i="20"/>
  <c r="AC245" i="20" s="1"/>
  <c r="AA245" i="20"/>
  <c r="W245" i="20"/>
  <c r="V245" i="20"/>
  <c r="S245" i="20"/>
  <c r="O245" i="20"/>
  <c r="M245" i="20"/>
  <c r="L245" i="20"/>
  <c r="F245" i="20"/>
  <c r="BD245" i="20" s="1"/>
  <c r="BE245" i="20" s="1"/>
  <c r="BD244" i="20"/>
  <c r="BE244" i="20" s="1"/>
  <c r="AV244" i="20"/>
  <c r="AW244" i="20" s="1"/>
  <c r="AO244" i="20"/>
  <c r="AN244" i="20"/>
  <c r="AJ244" i="20"/>
  <c r="AK244" i="20" s="1"/>
  <c r="AF244" i="20"/>
  <c r="AG244" i="20" s="1"/>
  <c r="AB244" i="20"/>
  <c r="AC244" i="20" s="1"/>
  <c r="AA244" i="20"/>
  <c r="W244" i="20"/>
  <c r="V244" i="20"/>
  <c r="S244" i="20"/>
  <c r="Q244" i="20"/>
  <c r="P244" i="20"/>
  <c r="O244" i="20"/>
  <c r="L244" i="20"/>
  <c r="J244" i="20"/>
  <c r="F244" i="20"/>
  <c r="AZ244" i="20" s="1"/>
  <c r="BA244" i="20" s="1"/>
  <c r="AZ243" i="20"/>
  <c r="BA243" i="20" s="1"/>
  <c r="AV243" i="20"/>
  <c r="AW243" i="20" s="1"/>
  <c r="AR243" i="20"/>
  <c r="AS243" i="20" s="1"/>
  <c r="AN243" i="20"/>
  <c r="AO243" i="20" s="1"/>
  <c r="AJ243" i="20"/>
  <c r="AK243" i="20" s="1"/>
  <c r="AB243" i="20"/>
  <c r="AC243" i="20" s="1"/>
  <c r="W243" i="20"/>
  <c r="V243" i="20"/>
  <c r="S243" i="20"/>
  <c r="R243" i="20"/>
  <c r="Q243" i="20"/>
  <c r="P243" i="20"/>
  <c r="L243" i="20"/>
  <c r="J243" i="20"/>
  <c r="F243" i="20"/>
  <c r="BD242" i="20"/>
  <c r="BE242" i="20" s="1"/>
  <c r="AZ242" i="20"/>
  <c r="BA242" i="20" s="1"/>
  <c r="AW242" i="20"/>
  <c r="AV242" i="20"/>
  <c r="AR242" i="20"/>
  <c r="AS242" i="20" s="1"/>
  <c r="AJ242" i="20"/>
  <c r="AK242" i="20" s="1"/>
  <c r="AF242" i="20"/>
  <c r="AG242" i="20" s="1"/>
  <c r="AB242" i="20"/>
  <c r="AC242" i="20" s="1"/>
  <c r="AA242" i="20"/>
  <c r="W242" i="20"/>
  <c r="V242" i="20"/>
  <c r="R242" i="20"/>
  <c r="Q242" i="20"/>
  <c r="P242" i="20"/>
  <c r="M242" i="20"/>
  <c r="K242" i="20"/>
  <c r="J242" i="20"/>
  <c r="F242" i="20"/>
  <c r="BD241" i="20"/>
  <c r="BE241" i="20" s="1"/>
  <c r="AZ241" i="20"/>
  <c r="BA241" i="20" s="1"/>
  <c r="AV241" i="20"/>
  <c r="AW241" i="20" s="1"/>
  <c r="AS241" i="20"/>
  <c r="AR241" i="20"/>
  <c r="AO241" i="20"/>
  <c r="AN241" i="20"/>
  <c r="AK241" i="20"/>
  <c r="AJ241" i="20"/>
  <c r="AG241" i="20"/>
  <c r="AB241" i="20"/>
  <c r="AC241" i="20" s="1"/>
  <c r="AA241" i="20"/>
  <c r="W241" i="20"/>
  <c r="V241" i="20"/>
  <c r="S241" i="20"/>
  <c r="R241" i="20"/>
  <c r="Q241" i="20"/>
  <c r="P241" i="20"/>
  <c r="O241" i="20"/>
  <c r="N241" i="20"/>
  <c r="M241" i="20"/>
  <c r="L241" i="20"/>
  <c r="K241" i="20"/>
  <c r="J241" i="20"/>
  <c r="F241" i="20"/>
  <c r="AF241" i="20" s="1"/>
  <c r="AK240" i="20"/>
  <c r="AJ240" i="20"/>
  <c r="AB240" i="20"/>
  <c r="AC240" i="20" s="1"/>
  <c r="W240" i="20"/>
  <c r="V240" i="20"/>
  <c r="L240" i="20"/>
  <c r="J240" i="20"/>
  <c r="F240" i="20"/>
  <c r="AZ239" i="20"/>
  <c r="BA239" i="20" s="1"/>
  <c r="AW239" i="20"/>
  <c r="AV239" i="20"/>
  <c r="AR239" i="20"/>
  <c r="AS239" i="20" s="1"/>
  <c r="AN239" i="20"/>
  <c r="AO239" i="20" s="1"/>
  <c r="AK239" i="20"/>
  <c r="AJ239" i="20"/>
  <c r="AF239" i="20"/>
  <c r="AG239" i="20" s="1"/>
  <c r="AA239" i="20"/>
  <c r="W239" i="20"/>
  <c r="V239" i="20"/>
  <c r="N239" i="20"/>
  <c r="L239" i="20"/>
  <c r="K239" i="20"/>
  <c r="J239" i="20"/>
  <c r="F239" i="20"/>
  <c r="AZ238" i="20"/>
  <c r="BA238" i="20" s="1"/>
  <c r="AR238" i="20"/>
  <c r="AS238" i="20" s="1"/>
  <c r="W238" i="20"/>
  <c r="V238" i="20"/>
  <c r="F238" i="20"/>
  <c r="BD237" i="20"/>
  <c r="BE237" i="20" s="1"/>
  <c r="AZ237" i="20"/>
  <c r="BA237" i="20" s="1"/>
  <c r="AV237" i="20"/>
  <c r="AW237" i="20" s="1"/>
  <c r="AS237" i="20"/>
  <c r="AR237" i="20"/>
  <c r="W237" i="20"/>
  <c r="V237" i="20"/>
  <c r="Q237" i="20"/>
  <c r="O237" i="20"/>
  <c r="K237" i="20"/>
  <c r="F237" i="20"/>
  <c r="BE236" i="20"/>
  <c r="BD236" i="20"/>
  <c r="AZ236" i="20"/>
  <c r="BA236" i="20" s="1"/>
  <c r="AV236" i="20"/>
  <c r="AW236" i="20" s="1"/>
  <c r="AS236" i="20"/>
  <c r="AN236" i="20"/>
  <c r="AO236" i="20" s="1"/>
  <c r="AK236" i="20"/>
  <c r="AJ236" i="20"/>
  <c r="AG236" i="20"/>
  <c r="AF236" i="20"/>
  <c r="AC236" i="20"/>
  <c r="AB236" i="20"/>
  <c r="AA236" i="20"/>
  <c r="W236" i="20"/>
  <c r="V236" i="20"/>
  <c r="S236" i="20"/>
  <c r="R236" i="20"/>
  <c r="Q236" i="20"/>
  <c r="P236" i="20"/>
  <c r="O236" i="20"/>
  <c r="N236" i="20"/>
  <c r="M236" i="20"/>
  <c r="L236" i="20"/>
  <c r="K236" i="20"/>
  <c r="J236" i="20"/>
  <c r="F236" i="20"/>
  <c r="AR236" i="20" s="1"/>
  <c r="W235" i="20"/>
  <c r="V235" i="20"/>
  <c r="O235" i="20"/>
  <c r="K235" i="20"/>
  <c r="F235" i="20"/>
  <c r="BD234" i="20"/>
  <c r="BE234" i="20" s="1"/>
  <c r="W234" i="20"/>
  <c r="V234" i="20"/>
  <c r="N234" i="20"/>
  <c r="F234" i="20"/>
  <c r="AZ234" i="20" s="1"/>
  <c r="BA234" i="20" s="1"/>
  <c r="W233" i="20"/>
  <c r="V233" i="20"/>
  <c r="S233" i="20"/>
  <c r="Q233" i="20"/>
  <c r="M233" i="20"/>
  <c r="K233" i="20"/>
  <c r="J233" i="20"/>
  <c r="F233" i="20"/>
  <c r="AW232" i="20"/>
  <c r="AV232" i="20"/>
  <c r="AN232" i="20"/>
  <c r="AO232" i="20" s="1"/>
  <c r="AC232" i="20"/>
  <c r="AB232" i="20"/>
  <c r="AA232" i="20"/>
  <c r="W232" i="20"/>
  <c r="V232" i="20"/>
  <c r="S232" i="20"/>
  <c r="R232" i="20"/>
  <c r="Q232" i="20"/>
  <c r="P232" i="20"/>
  <c r="O232" i="20"/>
  <c r="N232" i="20"/>
  <c r="M232" i="20"/>
  <c r="L232" i="20"/>
  <c r="K232" i="20"/>
  <c r="J232" i="20"/>
  <c r="F232" i="20"/>
  <c r="AZ232" i="20" s="1"/>
  <c r="BA232" i="20" s="1"/>
  <c r="AZ231" i="20"/>
  <c r="BA231" i="20" s="1"/>
  <c r="AK231" i="20"/>
  <c r="AJ231" i="20"/>
  <c r="AB231" i="20"/>
  <c r="AC231" i="20" s="1"/>
  <c r="AA231" i="20"/>
  <c r="W231" i="20"/>
  <c r="V231" i="20"/>
  <c r="S231" i="20"/>
  <c r="R231" i="20"/>
  <c r="Q231" i="20"/>
  <c r="P231" i="20"/>
  <c r="O231" i="20"/>
  <c r="N231" i="20"/>
  <c r="L231" i="20"/>
  <c r="F231" i="20"/>
  <c r="AR231" i="20" s="1"/>
  <c r="AS231" i="20" s="1"/>
  <c r="AW230" i="20"/>
  <c r="AV230" i="20"/>
  <c r="AR230" i="20"/>
  <c r="AS230" i="20" s="1"/>
  <c r="AO230" i="20"/>
  <c r="AN230" i="20"/>
  <c r="AK230" i="20"/>
  <c r="AJ230" i="20"/>
  <c r="AF230" i="20"/>
  <c r="AG230" i="20" s="1"/>
  <c r="AB230" i="20"/>
  <c r="AC230" i="20" s="1"/>
  <c r="AA230" i="20"/>
  <c r="W230" i="20"/>
  <c r="V230" i="20"/>
  <c r="R230" i="20"/>
  <c r="Q230" i="20"/>
  <c r="P230" i="20"/>
  <c r="O230" i="20"/>
  <c r="N230" i="20"/>
  <c r="K230" i="20"/>
  <c r="F230" i="20"/>
  <c r="BA229" i="20"/>
  <c r="AZ229" i="20"/>
  <c r="AV229" i="20"/>
  <c r="AW229" i="20" s="1"/>
  <c r="AS229" i="20"/>
  <c r="AR229" i="20"/>
  <c r="AO229" i="20"/>
  <c r="AN229" i="20"/>
  <c r="AJ229" i="20"/>
  <c r="AK229" i="20" s="1"/>
  <c r="AC229" i="20"/>
  <c r="AB229" i="20"/>
  <c r="AA229" i="20"/>
  <c r="W229" i="20"/>
  <c r="V229" i="20"/>
  <c r="S229" i="20"/>
  <c r="P229" i="20"/>
  <c r="N229" i="20"/>
  <c r="M229" i="20"/>
  <c r="L229" i="20"/>
  <c r="K229" i="20"/>
  <c r="J229" i="20"/>
  <c r="F229" i="20"/>
  <c r="BE228" i="20"/>
  <c r="BD228" i="20"/>
  <c r="AZ228" i="20"/>
  <c r="BA228" i="20" s="1"/>
  <c r="AV228" i="20"/>
  <c r="AW228" i="20" s="1"/>
  <c r="AN228" i="20"/>
  <c r="AO228" i="20" s="1"/>
  <c r="AK228" i="20"/>
  <c r="AJ228" i="20"/>
  <c r="AG228" i="20"/>
  <c r="AF228" i="20"/>
  <c r="W228" i="20"/>
  <c r="V228" i="20"/>
  <c r="S228" i="20"/>
  <c r="R228" i="20"/>
  <c r="Q228" i="20"/>
  <c r="P228" i="20"/>
  <c r="M228" i="20"/>
  <c r="K228" i="20"/>
  <c r="J228" i="20"/>
  <c r="F228" i="20"/>
  <c r="BA227" i="20"/>
  <c r="AZ227" i="20"/>
  <c r="AW227" i="20"/>
  <c r="AV227" i="20"/>
  <c r="AR227" i="20"/>
  <c r="AS227" i="20" s="1"/>
  <c r="AN227" i="20"/>
  <c r="AO227" i="20" s="1"/>
  <c r="AB227" i="20"/>
  <c r="AC227" i="20" s="1"/>
  <c r="AA227" i="20"/>
  <c r="W227" i="20"/>
  <c r="V227" i="20"/>
  <c r="S227" i="20"/>
  <c r="R227" i="20"/>
  <c r="O227" i="20"/>
  <c r="L227" i="20"/>
  <c r="F227" i="20"/>
  <c r="BE226" i="20"/>
  <c r="BD226" i="20"/>
  <c r="AR226" i="20"/>
  <c r="AS226" i="20" s="1"/>
  <c r="AN226" i="20"/>
  <c r="AO226" i="20" s="1"/>
  <c r="AA226" i="20"/>
  <c r="W226" i="20"/>
  <c r="V226" i="20"/>
  <c r="F226" i="20"/>
  <c r="AJ226" i="20" s="1"/>
  <c r="AK226" i="20" s="1"/>
  <c r="AJ225" i="20"/>
  <c r="AK225" i="20" s="1"/>
  <c r="W225" i="20"/>
  <c r="V225" i="20"/>
  <c r="Q225" i="20"/>
  <c r="J225" i="20"/>
  <c r="F225" i="20"/>
  <c r="AZ224" i="20"/>
  <c r="BA224" i="20" s="1"/>
  <c r="AW224" i="20"/>
  <c r="AV224" i="20"/>
  <c r="AR224" i="20"/>
  <c r="AS224" i="20" s="1"/>
  <c r="AN224" i="20"/>
  <c r="AO224" i="20" s="1"/>
  <c r="AF224" i="20"/>
  <c r="AG224" i="20" s="1"/>
  <c r="W224" i="20"/>
  <c r="V224" i="20"/>
  <c r="N224" i="20"/>
  <c r="M224" i="20"/>
  <c r="F224" i="20"/>
  <c r="BD223" i="20"/>
  <c r="BE223" i="20" s="1"/>
  <c r="AZ223" i="20"/>
  <c r="BA223" i="20" s="1"/>
  <c r="AV223" i="20"/>
  <c r="AW223" i="20" s="1"/>
  <c r="AR223" i="20"/>
  <c r="AS223" i="20" s="1"/>
  <c r="AN223" i="20"/>
  <c r="AO223" i="20" s="1"/>
  <c r="W223" i="20"/>
  <c r="V223" i="20"/>
  <c r="Q223" i="20"/>
  <c r="P223" i="20"/>
  <c r="J223" i="20"/>
  <c r="F223" i="20"/>
  <c r="W222" i="20"/>
  <c r="V222" i="20"/>
  <c r="F222" i="20"/>
  <c r="AB221" i="20"/>
  <c r="AC221" i="20" s="1"/>
  <c r="AA221" i="20"/>
  <c r="W221" i="20"/>
  <c r="V221" i="20"/>
  <c r="R221" i="20"/>
  <c r="Q221" i="20"/>
  <c r="O221" i="20"/>
  <c r="L221" i="20"/>
  <c r="J221" i="20"/>
  <c r="F221" i="20"/>
  <c r="W220" i="20"/>
  <c r="V220" i="20"/>
  <c r="M220" i="20"/>
  <c r="L220" i="20"/>
  <c r="F220" i="20"/>
  <c r="AO219" i="20"/>
  <c r="AN219" i="20"/>
  <c r="AA219" i="20"/>
  <c r="W219" i="20"/>
  <c r="V219" i="20"/>
  <c r="S219" i="20"/>
  <c r="R219" i="20"/>
  <c r="Q219" i="20"/>
  <c r="P219" i="20"/>
  <c r="O219" i="20"/>
  <c r="N219" i="20"/>
  <c r="M219" i="20"/>
  <c r="L219" i="20"/>
  <c r="F219" i="20"/>
  <c r="AZ219" i="20" s="1"/>
  <c r="BA219" i="20" s="1"/>
  <c r="BD218" i="20"/>
  <c r="BE218" i="20" s="1"/>
  <c r="AV218" i="20"/>
  <c r="AW218" i="20" s="1"/>
  <c r="AK218" i="20"/>
  <c r="AJ218" i="20"/>
  <c r="AF218" i="20"/>
  <c r="AG218" i="20" s="1"/>
  <c r="AB218" i="20"/>
  <c r="AC218" i="20" s="1"/>
  <c r="AA218" i="20"/>
  <c r="W218" i="20"/>
  <c r="V218" i="20"/>
  <c r="S218" i="20"/>
  <c r="R218" i="20"/>
  <c r="Q218" i="20"/>
  <c r="P218" i="20"/>
  <c r="O218" i="20"/>
  <c r="L218" i="20"/>
  <c r="J218" i="20"/>
  <c r="F218" i="20"/>
  <c r="AZ218" i="20" s="1"/>
  <c r="BA218" i="20" s="1"/>
  <c r="AV217" i="20"/>
  <c r="AW217" i="20" s="1"/>
  <c r="AS217" i="20"/>
  <c r="AR217" i="20"/>
  <c r="AN217" i="20"/>
  <c r="AO217" i="20" s="1"/>
  <c r="AJ217" i="20"/>
  <c r="AK217" i="20" s="1"/>
  <c r="AF217" i="20"/>
  <c r="AG217" i="20" s="1"/>
  <c r="AB217" i="20"/>
  <c r="AC217" i="20" s="1"/>
  <c r="AA217" i="20"/>
  <c r="W217" i="20"/>
  <c r="V217" i="20"/>
  <c r="S217" i="20"/>
  <c r="R217" i="20"/>
  <c r="O217" i="20"/>
  <c r="J217" i="20"/>
  <c r="F217" i="20"/>
  <c r="AR216" i="20"/>
  <c r="AS216" i="20" s="1"/>
  <c r="AJ216" i="20"/>
  <c r="AK216" i="20" s="1"/>
  <c r="W216" i="20"/>
  <c r="V216" i="20"/>
  <c r="F216" i="20"/>
  <c r="AZ215" i="20"/>
  <c r="BA215" i="20" s="1"/>
  <c r="AV215" i="20"/>
  <c r="AW215" i="20" s="1"/>
  <c r="AR215" i="20"/>
  <c r="AS215" i="20" s="1"/>
  <c r="AO215" i="20"/>
  <c r="AN215" i="20"/>
  <c r="AK215" i="20"/>
  <c r="AJ215" i="20"/>
  <c r="AC215" i="20"/>
  <c r="W215" i="20"/>
  <c r="V215" i="20"/>
  <c r="R215" i="20"/>
  <c r="P215" i="20"/>
  <c r="L215" i="20"/>
  <c r="K215" i="20"/>
  <c r="J215" i="20"/>
  <c r="F215" i="20"/>
  <c r="AA215" i="20" s="1"/>
  <c r="BD214" i="20"/>
  <c r="BE214" i="20" s="1"/>
  <c r="BA214" i="20"/>
  <c r="AV214" i="20"/>
  <c r="AW214" i="20" s="1"/>
  <c r="AR214" i="20"/>
  <c r="AS214" i="20" s="1"/>
  <c r="AN214" i="20"/>
  <c r="AO214" i="20" s="1"/>
  <c r="AJ214" i="20"/>
  <c r="AK214" i="20" s="1"/>
  <c r="AB214" i="20"/>
  <c r="AC214" i="20" s="1"/>
  <c r="X214" i="20"/>
  <c r="W214" i="20"/>
  <c r="V214" i="20"/>
  <c r="R214" i="20"/>
  <c r="Q214" i="20"/>
  <c r="P214" i="20"/>
  <c r="J214" i="20"/>
  <c r="F214" i="20"/>
  <c r="AZ214" i="20" s="1"/>
  <c r="AV213" i="20"/>
  <c r="AW213" i="20" s="1"/>
  <c r="AN213" i="20"/>
  <c r="AO213" i="20" s="1"/>
  <c r="AJ213" i="20"/>
  <c r="AK213" i="20" s="1"/>
  <c r="W213" i="20"/>
  <c r="V213" i="20"/>
  <c r="S213" i="20"/>
  <c r="R213" i="20"/>
  <c r="Q213" i="20"/>
  <c r="P213" i="20"/>
  <c r="O213" i="20"/>
  <c r="N213" i="20"/>
  <c r="F213" i="20"/>
  <c r="AV212" i="20"/>
  <c r="AW212" i="20" s="1"/>
  <c r="AN212" i="20"/>
  <c r="AO212" i="20" s="1"/>
  <c r="AJ212" i="20"/>
  <c r="AK212" i="20" s="1"/>
  <c r="X212" i="20"/>
  <c r="W212" i="20"/>
  <c r="V212" i="20"/>
  <c r="R212" i="20"/>
  <c r="Q212" i="20"/>
  <c r="F212" i="20"/>
  <c r="AZ212" i="20" s="1"/>
  <c r="BA212" i="20" s="1"/>
  <c r="AZ211" i="20"/>
  <c r="BA211" i="20" s="1"/>
  <c r="AN211" i="20"/>
  <c r="AO211" i="20" s="1"/>
  <c r="AJ211" i="20"/>
  <c r="AK211" i="20" s="1"/>
  <c r="AA211" i="20"/>
  <c r="X211" i="20"/>
  <c r="W211" i="20"/>
  <c r="V211" i="20"/>
  <c r="Q211" i="20"/>
  <c r="O211" i="20"/>
  <c r="K211" i="20"/>
  <c r="J211" i="20"/>
  <c r="F211" i="20"/>
  <c r="BD210" i="20"/>
  <c r="BE210" i="20" s="1"/>
  <c r="BA210" i="20"/>
  <c r="AZ210" i="20"/>
  <c r="AV210" i="20"/>
  <c r="AW210" i="20" s="1"/>
  <c r="AR210" i="20"/>
  <c r="AS210" i="20" s="1"/>
  <c r="AO210" i="20"/>
  <c r="AN210" i="20"/>
  <c r="AJ210" i="20"/>
  <c r="AK210" i="20" s="1"/>
  <c r="AF210" i="20"/>
  <c r="AG210" i="20" s="1"/>
  <c r="AC210" i="20"/>
  <c r="AB210" i="20"/>
  <c r="AA210" i="20"/>
  <c r="X210" i="20"/>
  <c r="W210" i="20"/>
  <c r="V210" i="20"/>
  <c r="S210" i="20"/>
  <c r="R210" i="20"/>
  <c r="Q210" i="20"/>
  <c r="P210" i="20"/>
  <c r="O210" i="20"/>
  <c r="N210" i="20"/>
  <c r="M210" i="20"/>
  <c r="L210" i="20"/>
  <c r="K210" i="20"/>
  <c r="J210" i="20"/>
  <c r="F210" i="20"/>
  <c r="W209" i="20"/>
  <c r="V209" i="20"/>
  <c r="S209" i="20"/>
  <c r="R209" i="20"/>
  <c r="Q209" i="20"/>
  <c r="P209" i="20"/>
  <c r="N209" i="20"/>
  <c r="M209" i="20"/>
  <c r="J209" i="20"/>
  <c r="F209" i="20"/>
  <c r="AN209" i="20" s="1"/>
  <c r="AO209" i="20" s="1"/>
  <c r="BE208" i="20"/>
  <c r="BD208" i="20"/>
  <c r="BA208" i="20"/>
  <c r="AZ208" i="20"/>
  <c r="AS208" i="20"/>
  <c r="AR208" i="20"/>
  <c r="AN208" i="20"/>
  <c r="AO208" i="20" s="1"/>
  <c r="AK208" i="20"/>
  <c r="AJ208" i="20"/>
  <c r="AF208" i="20"/>
  <c r="AG208" i="20" s="1"/>
  <c r="AB208" i="20"/>
  <c r="AC208" i="20" s="1"/>
  <c r="AA208" i="20"/>
  <c r="W208" i="20"/>
  <c r="V208" i="20"/>
  <c r="S208" i="20"/>
  <c r="R208" i="20"/>
  <c r="Q208" i="20"/>
  <c r="P208" i="20"/>
  <c r="O208" i="20"/>
  <c r="N208" i="20"/>
  <c r="M208" i="20"/>
  <c r="L208" i="20"/>
  <c r="K208" i="20"/>
  <c r="J208" i="20"/>
  <c r="F208" i="20"/>
  <c r="AV208" i="20" s="1"/>
  <c r="AW208" i="20" s="1"/>
  <c r="W207" i="20"/>
  <c r="V207" i="20"/>
  <c r="S207" i="20"/>
  <c r="R207" i="20"/>
  <c r="O207" i="20"/>
  <c r="F207" i="20"/>
  <c r="BE206" i="20"/>
  <c r="BD206" i="20"/>
  <c r="BA206" i="20"/>
  <c r="AZ206" i="20"/>
  <c r="AS206" i="20"/>
  <c r="AR206" i="20"/>
  <c r="AO206" i="20"/>
  <c r="AN206" i="20"/>
  <c r="AK206" i="20"/>
  <c r="AJ206" i="20"/>
  <c r="AF206" i="20"/>
  <c r="AG206" i="20" s="1"/>
  <c r="AC206" i="20"/>
  <c r="AB206" i="20"/>
  <c r="AA206" i="20"/>
  <c r="W206" i="20"/>
  <c r="V206" i="20"/>
  <c r="S206" i="20"/>
  <c r="R206" i="20"/>
  <c r="Q206" i="20"/>
  <c r="P206" i="20"/>
  <c r="O206" i="20"/>
  <c r="N206" i="20"/>
  <c r="M206" i="20"/>
  <c r="L206" i="20"/>
  <c r="K206" i="20"/>
  <c r="J206" i="20"/>
  <c r="F206" i="20"/>
  <c r="AV206" i="20" s="1"/>
  <c r="AW206" i="20" s="1"/>
  <c r="BE205" i="20"/>
  <c r="BD205" i="20"/>
  <c r="BA205" i="20"/>
  <c r="AZ205" i="20"/>
  <c r="AW205" i="20"/>
  <c r="AV205" i="20"/>
  <c r="AR205" i="20"/>
  <c r="AS205" i="20" s="1"/>
  <c r="AO205" i="20"/>
  <c r="AN205" i="20"/>
  <c r="W205" i="20"/>
  <c r="V205" i="20"/>
  <c r="S205" i="20"/>
  <c r="R205" i="20"/>
  <c r="Q205" i="20"/>
  <c r="P205" i="20"/>
  <c r="N205" i="20"/>
  <c r="M205" i="20"/>
  <c r="L205" i="20"/>
  <c r="K205" i="20"/>
  <c r="J205" i="20"/>
  <c r="F205" i="20"/>
  <c r="BD204" i="20"/>
  <c r="BE204" i="20" s="1"/>
  <c r="BA204" i="20"/>
  <c r="AZ204" i="20"/>
  <c r="AR204" i="20"/>
  <c r="AS204" i="20" s="1"/>
  <c r="AN204" i="20"/>
  <c r="AO204" i="20" s="1"/>
  <c r="AK204" i="20"/>
  <c r="AJ204" i="20"/>
  <c r="AF204" i="20"/>
  <c r="AG204" i="20" s="1"/>
  <c r="AB204" i="20"/>
  <c r="AC204" i="20" s="1"/>
  <c r="AA204" i="20"/>
  <c r="W204" i="20"/>
  <c r="V204" i="20"/>
  <c r="S204" i="20"/>
  <c r="R204" i="20"/>
  <c r="Q204" i="20"/>
  <c r="P204" i="20"/>
  <c r="O204" i="20"/>
  <c r="N204" i="20"/>
  <c r="M204" i="20"/>
  <c r="L204" i="20"/>
  <c r="K204" i="20"/>
  <c r="J204" i="20"/>
  <c r="F204" i="20"/>
  <c r="X204" i="20" s="1"/>
  <c r="BD203" i="20"/>
  <c r="BE203" i="20" s="1"/>
  <c r="AZ203" i="20"/>
  <c r="BA203" i="20" s="1"/>
  <c r="AR203" i="20"/>
  <c r="AS203" i="20" s="1"/>
  <c r="AN203" i="20"/>
  <c r="AO203" i="20" s="1"/>
  <c r="AJ203" i="20"/>
  <c r="AK203" i="20" s="1"/>
  <c r="AF203" i="20"/>
  <c r="AG203" i="20" s="1"/>
  <c r="AB203" i="20"/>
  <c r="AC203" i="20" s="1"/>
  <c r="AA203" i="20"/>
  <c r="X203" i="20"/>
  <c r="W203" i="20"/>
  <c r="V203" i="20"/>
  <c r="S203" i="20"/>
  <c r="R203" i="20"/>
  <c r="Q203" i="20"/>
  <c r="P203" i="20"/>
  <c r="M203" i="20"/>
  <c r="K203" i="20"/>
  <c r="J203" i="20"/>
  <c r="F203" i="20"/>
  <c r="O203" i="20" s="1"/>
  <c r="AV202" i="20"/>
  <c r="AW202" i="20" s="1"/>
  <c r="AN202" i="20"/>
  <c r="AO202" i="20" s="1"/>
  <c r="AB202" i="20"/>
  <c r="AC202" i="20" s="1"/>
  <c r="AA202" i="20"/>
  <c r="X202" i="20"/>
  <c r="W202" i="20"/>
  <c r="V202" i="20"/>
  <c r="M202" i="20"/>
  <c r="K202" i="20"/>
  <c r="F202" i="20"/>
  <c r="AZ201" i="20"/>
  <c r="BA201" i="20" s="1"/>
  <c r="AV201" i="20"/>
  <c r="AW201" i="20" s="1"/>
  <c r="AR201" i="20"/>
  <c r="AS201" i="20" s="1"/>
  <c r="AN201" i="20"/>
  <c r="AO201" i="20" s="1"/>
  <c r="AK201" i="20"/>
  <c r="AJ201" i="20"/>
  <c r="AA201" i="20"/>
  <c r="W201" i="20"/>
  <c r="V201" i="20"/>
  <c r="R201" i="20"/>
  <c r="N201" i="20"/>
  <c r="M201" i="20"/>
  <c r="L201" i="20"/>
  <c r="K201" i="20"/>
  <c r="J201" i="20"/>
  <c r="F201" i="20"/>
  <c r="X200" i="20"/>
  <c r="W200" i="20"/>
  <c r="V200" i="20"/>
  <c r="F200" i="20"/>
  <c r="AO199" i="20"/>
  <c r="AN199" i="20"/>
  <c r="AJ199" i="20"/>
  <c r="AK199" i="20" s="1"/>
  <c r="AF199" i="20"/>
  <c r="AG199" i="20" s="1"/>
  <c r="AA199" i="20"/>
  <c r="W199" i="20"/>
  <c r="V199" i="20"/>
  <c r="S199" i="20"/>
  <c r="O199" i="20"/>
  <c r="K199" i="20"/>
  <c r="F199" i="20"/>
  <c r="AS198" i="20"/>
  <c r="AR198" i="20"/>
  <c r="AO198" i="20"/>
  <c r="AN198" i="20"/>
  <c r="AJ198" i="20"/>
  <c r="AK198" i="20" s="1"/>
  <c r="AB198" i="20"/>
  <c r="AC198" i="20" s="1"/>
  <c r="W198" i="20"/>
  <c r="V198" i="20"/>
  <c r="F198" i="20"/>
  <c r="AZ198" i="20" s="1"/>
  <c r="BA198" i="20" s="1"/>
  <c r="BE197" i="20"/>
  <c r="BD197" i="20"/>
  <c r="AZ197" i="20"/>
  <c r="BA197" i="20" s="1"/>
  <c r="AV197" i="20"/>
  <c r="AW197" i="20" s="1"/>
  <c r="AS197" i="20"/>
  <c r="AR197" i="20"/>
  <c r="AN197" i="20"/>
  <c r="AO197" i="20" s="1"/>
  <c r="AK197" i="20"/>
  <c r="AJ197" i="20"/>
  <c r="AF197" i="20"/>
  <c r="AG197" i="20" s="1"/>
  <c r="W197" i="20"/>
  <c r="V197" i="20"/>
  <c r="S197" i="20"/>
  <c r="P197" i="20"/>
  <c r="O197" i="20"/>
  <c r="K197" i="20"/>
  <c r="J197" i="20"/>
  <c r="F197" i="20"/>
  <c r="BD196" i="20"/>
  <c r="BE196" i="20" s="1"/>
  <c r="AZ196" i="20"/>
  <c r="BA196" i="20" s="1"/>
  <c r="AV196" i="20"/>
  <c r="AW196" i="20" s="1"/>
  <c r="W196" i="20"/>
  <c r="V196" i="20"/>
  <c r="S196" i="20"/>
  <c r="R196" i="20"/>
  <c r="Q196" i="20"/>
  <c r="P196" i="20"/>
  <c r="O196" i="20"/>
  <c r="K196" i="20"/>
  <c r="F196" i="20"/>
  <c r="BE195" i="20"/>
  <c r="BD195" i="20"/>
  <c r="AZ195" i="20"/>
  <c r="BA195" i="20" s="1"/>
  <c r="AR195" i="20"/>
  <c r="AS195" i="20" s="1"/>
  <c r="AN195" i="20"/>
  <c r="AO195" i="20" s="1"/>
  <c r="AK195" i="20"/>
  <c r="AJ195" i="20"/>
  <c r="AF195" i="20"/>
  <c r="AG195" i="20" s="1"/>
  <c r="AC195" i="20"/>
  <c r="AB195" i="20"/>
  <c r="AA195" i="20"/>
  <c r="W195" i="20"/>
  <c r="V195" i="20"/>
  <c r="S195" i="20"/>
  <c r="R195" i="20"/>
  <c r="Q195" i="20"/>
  <c r="P195" i="20"/>
  <c r="O195" i="20"/>
  <c r="N195" i="20"/>
  <c r="M195" i="20"/>
  <c r="L195" i="20"/>
  <c r="K195" i="20"/>
  <c r="J195" i="20"/>
  <c r="F195" i="20"/>
  <c r="AV195" i="20" s="1"/>
  <c r="AW195" i="20" s="1"/>
  <c r="W194" i="20"/>
  <c r="V194" i="20"/>
  <c r="F194" i="20"/>
  <c r="AZ193" i="20"/>
  <c r="BA193" i="20" s="1"/>
  <c r="AS193" i="20"/>
  <c r="AR193" i="20"/>
  <c r="AN193" i="20"/>
  <c r="AO193" i="20" s="1"/>
  <c r="AJ193" i="20"/>
  <c r="AK193" i="20" s="1"/>
  <c r="AB193" i="20"/>
  <c r="AC193" i="20" s="1"/>
  <c r="W193" i="20"/>
  <c r="V193" i="20"/>
  <c r="O193" i="20"/>
  <c r="F193" i="20"/>
  <c r="W192" i="20"/>
  <c r="V192" i="20"/>
  <c r="O192" i="20"/>
  <c r="F192" i="20"/>
  <c r="AR191" i="20"/>
  <c r="AS191" i="20" s="1"/>
  <c r="AJ191" i="20"/>
  <c r="AK191" i="20" s="1"/>
  <c r="AF191" i="20"/>
  <c r="AG191" i="20" s="1"/>
  <c r="AA191" i="20"/>
  <c r="W191" i="20"/>
  <c r="V191" i="20"/>
  <c r="Q191" i="20"/>
  <c r="O191" i="20"/>
  <c r="F191" i="20"/>
  <c r="BD191" i="20" s="1"/>
  <c r="BE191" i="20" s="1"/>
  <c r="BD190" i="20"/>
  <c r="BE190" i="20" s="1"/>
  <c r="AZ190" i="20"/>
  <c r="BA190" i="20" s="1"/>
  <c r="AO190" i="20"/>
  <c r="AN190" i="20"/>
  <c r="AJ190" i="20"/>
  <c r="AK190" i="20" s="1"/>
  <c r="AF190" i="20"/>
  <c r="AG190" i="20" s="1"/>
  <c r="AB190" i="20"/>
  <c r="AC190" i="20" s="1"/>
  <c r="AA190" i="20"/>
  <c r="W190" i="20"/>
  <c r="V190" i="20"/>
  <c r="S190" i="20"/>
  <c r="R190" i="20"/>
  <c r="Q190" i="20"/>
  <c r="P190" i="20"/>
  <c r="O190" i="20"/>
  <c r="M190" i="20"/>
  <c r="L190" i="20"/>
  <c r="K190" i="20"/>
  <c r="J190" i="20"/>
  <c r="F190" i="20"/>
  <c r="N190" i="20" s="1"/>
  <c r="BD189" i="20"/>
  <c r="BE189" i="20" s="1"/>
  <c r="AZ189" i="20"/>
  <c r="BA189" i="20" s="1"/>
  <c r="AS189" i="20"/>
  <c r="AR189" i="20"/>
  <c r="AO189" i="20"/>
  <c r="AN189" i="20"/>
  <c r="AK189" i="20"/>
  <c r="AJ189" i="20"/>
  <c r="AF189" i="20"/>
  <c r="AG189" i="20" s="1"/>
  <c r="AC189" i="20"/>
  <c r="AB189" i="20"/>
  <c r="AA189" i="20"/>
  <c r="W189" i="20"/>
  <c r="V189" i="20"/>
  <c r="S189" i="20"/>
  <c r="R189" i="20"/>
  <c r="Q189" i="20"/>
  <c r="P189" i="20"/>
  <c r="M189" i="20"/>
  <c r="K189" i="20"/>
  <c r="J189" i="20"/>
  <c r="F189" i="20"/>
  <c r="O189" i="20" s="1"/>
  <c r="AB188" i="20"/>
  <c r="AC188" i="20" s="1"/>
  <c r="W188" i="20"/>
  <c r="V188" i="20"/>
  <c r="F188" i="20"/>
  <c r="BD187" i="20"/>
  <c r="BE187" i="20" s="1"/>
  <c r="AR187" i="20"/>
  <c r="AS187" i="20" s="1"/>
  <c r="AN187" i="20"/>
  <c r="AO187" i="20" s="1"/>
  <c r="W187" i="20"/>
  <c r="V187" i="20"/>
  <c r="R187" i="20"/>
  <c r="Q187" i="20"/>
  <c r="P187" i="20"/>
  <c r="O187" i="20"/>
  <c r="K187" i="20"/>
  <c r="J187" i="20"/>
  <c r="F187" i="20"/>
  <c r="W186" i="20"/>
  <c r="V186" i="20"/>
  <c r="F186" i="20"/>
  <c r="BD185" i="20"/>
  <c r="BE185" i="20" s="1"/>
  <c r="AR185" i="20"/>
  <c r="AS185" i="20" s="1"/>
  <c r="AK185" i="20"/>
  <c r="AJ185" i="20"/>
  <c r="AF185" i="20"/>
  <c r="AG185" i="20" s="1"/>
  <c r="AB185" i="20"/>
  <c r="AC185" i="20" s="1"/>
  <c r="W185" i="20"/>
  <c r="V185" i="20"/>
  <c r="S185" i="20"/>
  <c r="Q185" i="20"/>
  <c r="P185" i="20"/>
  <c r="F185" i="20"/>
  <c r="BD184" i="20"/>
  <c r="BE184" i="20" s="1"/>
  <c r="AV184" i="20"/>
  <c r="AW184" i="20" s="1"/>
  <c r="AS184" i="20"/>
  <c r="AR184" i="20"/>
  <c r="AO184" i="20"/>
  <c r="AN184" i="20"/>
  <c r="AK184" i="20"/>
  <c r="AJ184" i="20"/>
  <c r="AG184" i="20"/>
  <c r="AF184" i="20"/>
  <c r="AB184" i="20"/>
  <c r="AC184" i="20" s="1"/>
  <c r="AA184" i="20"/>
  <c r="W184" i="20"/>
  <c r="V184" i="20"/>
  <c r="S184" i="20"/>
  <c r="R184" i="20"/>
  <c r="O184" i="20"/>
  <c r="M184" i="20"/>
  <c r="J184" i="20"/>
  <c r="F184" i="20"/>
  <c r="AR183" i="20"/>
  <c r="AS183" i="20" s="1"/>
  <c r="AO183" i="20"/>
  <c r="AN183" i="20"/>
  <c r="AK183" i="20"/>
  <c r="AJ183" i="20"/>
  <c r="W183" i="20"/>
  <c r="V183" i="20"/>
  <c r="Q183" i="20"/>
  <c r="P183" i="20"/>
  <c r="M183" i="20"/>
  <c r="F183" i="20"/>
  <c r="BD183" i="20" s="1"/>
  <c r="BE183" i="20" s="1"/>
  <c r="AV182" i="20"/>
  <c r="AW182" i="20" s="1"/>
  <c r="AR182" i="20"/>
  <c r="AS182" i="20" s="1"/>
  <c r="AB182" i="20"/>
  <c r="AC182" i="20" s="1"/>
  <c r="AA182" i="20"/>
  <c r="X182" i="20"/>
  <c r="W182" i="20"/>
  <c r="V182" i="20"/>
  <c r="S182" i="20"/>
  <c r="R182" i="20"/>
  <c r="Q182" i="20"/>
  <c r="P182" i="20"/>
  <c r="O182" i="20"/>
  <c r="L182" i="20"/>
  <c r="K182" i="20"/>
  <c r="J182" i="20"/>
  <c r="F182" i="20"/>
  <c r="BD182" i="20" s="1"/>
  <c r="BE182" i="20" s="1"/>
  <c r="AZ181" i="20"/>
  <c r="BA181" i="20" s="1"/>
  <c r="AV181" i="20"/>
  <c r="AW181" i="20" s="1"/>
  <c r="AO181" i="20"/>
  <c r="AN181" i="20"/>
  <c r="AJ181" i="20"/>
  <c r="AK181" i="20" s="1"/>
  <c r="AF181" i="20"/>
  <c r="AG181" i="20" s="1"/>
  <c r="AB181" i="20"/>
  <c r="AC181" i="20" s="1"/>
  <c r="AA181" i="20"/>
  <c r="X181" i="20"/>
  <c r="W181" i="20"/>
  <c r="V181" i="20"/>
  <c r="S181" i="20"/>
  <c r="R181" i="20"/>
  <c r="Q181" i="20"/>
  <c r="P181" i="20"/>
  <c r="O181" i="20"/>
  <c r="L181" i="20"/>
  <c r="J181" i="20"/>
  <c r="F181" i="20"/>
  <c r="BD181" i="20" s="1"/>
  <c r="BE181" i="20" s="1"/>
  <c r="AZ180" i="20"/>
  <c r="BA180" i="20" s="1"/>
  <c r="AV180" i="20"/>
  <c r="AW180" i="20" s="1"/>
  <c r="AR180" i="20"/>
  <c r="AS180" i="20" s="1"/>
  <c r="AN180" i="20"/>
  <c r="AO180" i="20" s="1"/>
  <c r="AK180" i="20"/>
  <c r="AJ180" i="20"/>
  <c r="AG180" i="20"/>
  <c r="AF180" i="20"/>
  <c r="AC180" i="20"/>
  <c r="AB180" i="20"/>
  <c r="AA180" i="20"/>
  <c r="X180" i="20"/>
  <c r="W180" i="20"/>
  <c r="V180" i="20"/>
  <c r="N180" i="20"/>
  <c r="M180" i="20"/>
  <c r="L180" i="20"/>
  <c r="K180" i="20"/>
  <c r="J180" i="20"/>
  <c r="F180" i="20"/>
  <c r="BD179" i="20"/>
  <c r="BE179" i="20" s="1"/>
  <c r="AZ179" i="20"/>
  <c r="BA179" i="20" s="1"/>
  <c r="AV179" i="20"/>
  <c r="AW179" i="20" s="1"/>
  <c r="AR179" i="20"/>
  <c r="AS179" i="20" s="1"/>
  <c r="AN179" i="20"/>
  <c r="AO179" i="20" s="1"/>
  <c r="AF179" i="20"/>
  <c r="AG179" i="20" s="1"/>
  <c r="AB179" i="20"/>
  <c r="AC179" i="20" s="1"/>
  <c r="W179" i="20"/>
  <c r="V179" i="20"/>
  <c r="S179" i="20"/>
  <c r="P179" i="20"/>
  <c r="O179" i="20"/>
  <c r="N179" i="20"/>
  <c r="M179" i="20"/>
  <c r="L179" i="20"/>
  <c r="K179" i="20"/>
  <c r="J179" i="20"/>
  <c r="F179" i="20"/>
  <c r="BD178" i="20"/>
  <c r="BE178" i="20" s="1"/>
  <c r="AZ178" i="20"/>
  <c r="BA178" i="20" s="1"/>
  <c r="AO178" i="20"/>
  <c r="AN178" i="20"/>
  <c r="AJ178" i="20"/>
  <c r="AK178" i="20" s="1"/>
  <c r="AG178" i="20"/>
  <c r="AF178" i="20"/>
  <c r="AC178" i="20"/>
  <c r="AB178" i="20"/>
  <c r="AA178" i="20"/>
  <c r="W178" i="20"/>
  <c r="V178" i="20"/>
  <c r="S178" i="20"/>
  <c r="R178" i="20"/>
  <c r="Q178" i="20"/>
  <c r="P178" i="20"/>
  <c r="O178" i="20"/>
  <c r="N178" i="20"/>
  <c r="M178" i="20"/>
  <c r="L178" i="20"/>
  <c r="K178" i="20"/>
  <c r="J178" i="20"/>
  <c r="F178" i="20"/>
  <c r="AV178" i="20" s="1"/>
  <c r="AW178" i="20" s="1"/>
  <c r="BA177" i="20"/>
  <c r="AZ177" i="20"/>
  <c r="AV177" i="20"/>
  <c r="AW177" i="20" s="1"/>
  <c r="AR177" i="20"/>
  <c r="AS177" i="20" s="1"/>
  <c r="AN177" i="20"/>
  <c r="AO177" i="20" s="1"/>
  <c r="AK177" i="20"/>
  <c r="AJ177" i="20"/>
  <c r="AG177" i="20"/>
  <c r="AF177" i="20"/>
  <c r="AA177" i="20"/>
  <c r="W177" i="20"/>
  <c r="V177" i="20"/>
  <c r="S177" i="20"/>
  <c r="R177" i="20"/>
  <c r="Q177" i="20"/>
  <c r="N177" i="20"/>
  <c r="L177" i="20"/>
  <c r="K177" i="20"/>
  <c r="F177" i="20"/>
  <c r="BD176" i="20"/>
  <c r="BE176" i="20" s="1"/>
  <c r="AR176" i="20"/>
  <c r="AS176" i="20" s="1"/>
  <c r="AO176" i="20"/>
  <c r="AN176" i="20"/>
  <c r="AK176" i="20"/>
  <c r="AJ176" i="20"/>
  <c r="W176" i="20"/>
  <c r="V176" i="20"/>
  <c r="R176" i="20"/>
  <c r="O176" i="20"/>
  <c r="N176" i="20"/>
  <c r="K176" i="20"/>
  <c r="F176" i="20"/>
  <c r="AZ176" i="20" s="1"/>
  <c r="BA176" i="20" s="1"/>
  <c r="BE175" i="20"/>
  <c r="AR175" i="20"/>
  <c r="AS175" i="20" s="1"/>
  <c r="AB175" i="20"/>
  <c r="AC175" i="20" s="1"/>
  <c r="W175" i="20"/>
  <c r="V175" i="20"/>
  <c r="Q175" i="20"/>
  <c r="O175" i="20"/>
  <c r="N175" i="20"/>
  <c r="K175" i="20"/>
  <c r="F175" i="20"/>
  <c r="BD175" i="20" s="1"/>
  <c r="BE174" i="20"/>
  <c r="BD174" i="20"/>
  <c r="BA174" i="20"/>
  <c r="AZ174" i="20"/>
  <c r="AN174" i="20"/>
  <c r="AO174" i="20" s="1"/>
  <c r="AJ174" i="20"/>
  <c r="AK174" i="20" s="1"/>
  <c r="AF174" i="20"/>
  <c r="AG174" i="20" s="1"/>
  <c r="AC174" i="20"/>
  <c r="AB174" i="20"/>
  <c r="AA174" i="20"/>
  <c r="W174" i="20"/>
  <c r="V174" i="20"/>
  <c r="S174" i="20"/>
  <c r="R174" i="20"/>
  <c r="Q174" i="20"/>
  <c r="P174" i="20"/>
  <c r="O174" i="20"/>
  <c r="N174" i="20"/>
  <c r="M174" i="20"/>
  <c r="L174" i="20"/>
  <c r="K174" i="20"/>
  <c r="J174" i="20"/>
  <c r="F174" i="20"/>
  <c r="AV174" i="20" s="1"/>
  <c r="AW174" i="20" s="1"/>
  <c r="AN173" i="20"/>
  <c r="AO173" i="20" s="1"/>
  <c r="AJ173" i="20"/>
  <c r="AK173" i="20" s="1"/>
  <c r="AG173" i="20"/>
  <c r="AF173" i="20"/>
  <c r="W173" i="20"/>
  <c r="V173" i="20"/>
  <c r="S173" i="20"/>
  <c r="R173" i="20"/>
  <c r="L173" i="20"/>
  <c r="F173" i="20"/>
  <c r="AZ173" i="20" s="1"/>
  <c r="BA173" i="20" s="1"/>
  <c r="BA172" i="20"/>
  <c r="AZ172" i="20"/>
  <c r="AR172" i="20"/>
  <c r="AS172" i="20" s="1"/>
  <c r="AN172" i="20"/>
  <c r="AO172" i="20" s="1"/>
  <c r="AJ172" i="20"/>
  <c r="AK172" i="20" s="1"/>
  <c r="AG172" i="20"/>
  <c r="AF172" i="20"/>
  <c r="X172" i="20"/>
  <c r="W172" i="20"/>
  <c r="V172" i="20"/>
  <c r="S172" i="20"/>
  <c r="Q172" i="20"/>
  <c r="P172" i="20"/>
  <c r="O172" i="20"/>
  <c r="N172" i="20"/>
  <c r="M172" i="20"/>
  <c r="K172" i="20"/>
  <c r="J172" i="20"/>
  <c r="F172" i="20"/>
  <c r="AS171" i="20"/>
  <c r="AR171" i="20"/>
  <c r="AF171" i="20"/>
  <c r="AG171" i="20" s="1"/>
  <c r="AB171" i="20"/>
  <c r="AC171" i="20" s="1"/>
  <c r="W171" i="20"/>
  <c r="V171" i="20"/>
  <c r="N171" i="20"/>
  <c r="F171" i="20"/>
  <c r="AZ170" i="20"/>
  <c r="BA170" i="20" s="1"/>
  <c r="AV170" i="20"/>
  <c r="AW170" i="20" s="1"/>
  <c r="AN170" i="20"/>
  <c r="AO170" i="20" s="1"/>
  <c r="AK170" i="20"/>
  <c r="AJ170" i="20"/>
  <c r="AF170" i="20"/>
  <c r="AG170" i="20" s="1"/>
  <c r="AC170" i="20"/>
  <c r="AB170" i="20"/>
  <c r="AA170" i="20"/>
  <c r="X170" i="20"/>
  <c r="W170" i="20"/>
  <c r="V170" i="20"/>
  <c r="S170" i="20"/>
  <c r="R170" i="20"/>
  <c r="Q170" i="20"/>
  <c r="P170" i="20"/>
  <c r="O170" i="20"/>
  <c r="F170" i="20"/>
  <c r="AJ169" i="20"/>
  <c r="AK169" i="20" s="1"/>
  <c r="X169" i="20"/>
  <c r="W169" i="20"/>
  <c r="V169" i="20"/>
  <c r="J169" i="20"/>
  <c r="F169" i="20"/>
  <c r="BD168" i="20"/>
  <c r="BE168" i="20" s="1"/>
  <c r="AZ168" i="20"/>
  <c r="BA168" i="20" s="1"/>
  <c r="AV168" i="20"/>
  <c r="AW168" i="20" s="1"/>
  <c r="AS168" i="20"/>
  <c r="AR168" i="20"/>
  <c r="AN168" i="20"/>
  <c r="AO168" i="20" s="1"/>
  <c r="AF168" i="20"/>
  <c r="AG168" i="20" s="1"/>
  <c r="AB168" i="20"/>
  <c r="AC168" i="20" s="1"/>
  <c r="AA168" i="20"/>
  <c r="W168" i="20"/>
  <c r="V168" i="20"/>
  <c r="S168" i="20"/>
  <c r="P168" i="20"/>
  <c r="O168" i="20"/>
  <c r="N168" i="20"/>
  <c r="M168" i="20"/>
  <c r="K168" i="20"/>
  <c r="J168" i="20"/>
  <c r="F168" i="20"/>
  <c r="BE167" i="20"/>
  <c r="BD167" i="20"/>
  <c r="AZ167" i="20"/>
  <c r="BA167" i="20" s="1"/>
  <c r="AW167" i="20"/>
  <c r="AR167" i="20"/>
  <c r="AS167" i="20" s="1"/>
  <c r="AN167" i="20"/>
  <c r="AO167" i="20" s="1"/>
  <c r="AK167" i="20"/>
  <c r="AJ167" i="20"/>
  <c r="AG167" i="20"/>
  <c r="AF167" i="20"/>
  <c r="AB167" i="20"/>
  <c r="AC167" i="20" s="1"/>
  <c r="AA167" i="20"/>
  <c r="W167" i="20"/>
  <c r="V167" i="20"/>
  <c r="S167" i="20"/>
  <c r="R167" i="20"/>
  <c r="Q167" i="20"/>
  <c r="P167" i="20"/>
  <c r="O167" i="20"/>
  <c r="N167" i="20"/>
  <c r="M167" i="20"/>
  <c r="L167" i="20"/>
  <c r="K167" i="20"/>
  <c r="J167" i="20"/>
  <c r="F167" i="20"/>
  <c r="AV167" i="20" s="1"/>
  <c r="BD166" i="20"/>
  <c r="BE166" i="20" s="1"/>
  <c r="AZ166" i="20"/>
  <c r="BA166" i="20" s="1"/>
  <c r="AS166" i="20"/>
  <c r="AR166" i="20"/>
  <c r="AO166" i="20"/>
  <c r="AN166" i="20"/>
  <c r="AK166" i="20"/>
  <c r="AJ166" i="20"/>
  <c r="AF166" i="20"/>
  <c r="AG166" i="20" s="1"/>
  <c r="AA166" i="20"/>
  <c r="W166" i="20"/>
  <c r="V166" i="20"/>
  <c r="S166" i="20"/>
  <c r="R166" i="20"/>
  <c r="Q166" i="20"/>
  <c r="M166" i="20"/>
  <c r="K166" i="20"/>
  <c r="F166" i="20"/>
  <c r="AZ165" i="20"/>
  <c r="BA165" i="20" s="1"/>
  <c r="AW165" i="20"/>
  <c r="AV165" i="20"/>
  <c r="AR165" i="20"/>
  <c r="AS165" i="20" s="1"/>
  <c r="AO165" i="20"/>
  <c r="AN165" i="20"/>
  <c r="AF165" i="20"/>
  <c r="AG165" i="20" s="1"/>
  <c r="AC165" i="20"/>
  <c r="AB165" i="20"/>
  <c r="AA165" i="20"/>
  <c r="W165" i="20"/>
  <c r="V165" i="20"/>
  <c r="S165" i="20"/>
  <c r="Q165" i="20"/>
  <c r="O165" i="20"/>
  <c r="N165" i="20"/>
  <c r="F165" i="20"/>
  <c r="AZ164" i="20"/>
  <c r="BA164" i="20" s="1"/>
  <c r="AF164" i="20"/>
  <c r="AG164" i="20" s="1"/>
  <c r="AA164" i="20"/>
  <c r="W164" i="20"/>
  <c r="V164" i="20"/>
  <c r="P164" i="20"/>
  <c r="O164" i="20"/>
  <c r="F164" i="20"/>
  <c r="BE163" i="20"/>
  <c r="BD163" i="20"/>
  <c r="BA163" i="20"/>
  <c r="AZ163" i="20"/>
  <c r="AR163" i="20"/>
  <c r="AS163" i="20" s="1"/>
  <c r="AN163" i="20"/>
  <c r="AO163" i="20" s="1"/>
  <c r="AJ163" i="20"/>
  <c r="AK163" i="20" s="1"/>
  <c r="AG163" i="20"/>
  <c r="AF163" i="20"/>
  <c r="AB163" i="20"/>
  <c r="AC163" i="20" s="1"/>
  <c r="AA163" i="20"/>
  <c r="W163" i="20"/>
  <c r="V163" i="20"/>
  <c r="S163" i="20"/>
  <c r="R163" i="20"/>
  <c r="Q163" i="20"/>
  <c r="P163" i="20"/>
  <c r="O163" i="20"/>
  <c r="N163" i="20"/>
  <c r="M163" i="20"/>
  <c r="L163" i="20"/>
  <c r="K163" i="20"/>
  <c r="J163" i="20"/>
  <c r="F163" i="20"/>
  <c r="AV163" i="20" s="1"/>
  <c r="AW163" i="20" s="1"/>
  <c r="AV162" i="20"/>
  <c r="AW162" i="20" s="1"/>
  <c r="AR162" i="20"/>
  <c r="AS162" i="20" s="1"/>
  <c r="AN162" i="20"/>
  <c r="AO162" i="20" s="1"/>
  <c r="AK162" i="20"/>
  <c r="AJ162" i="20"/>
  <c r="AF162" i="20"/>
  <c r="AG162" i="20" s="1"/>
  <c r="AC162" i="20"/>
  <c r="AB162" i="20"/>
  <c r="AA162" i="20"/>
  <c r="W162" i="20"/>
  <c r="V162" i="20"/>
  <c r="S162" i="20"/>
  <c r="R162" i="20"/>
  <c r="Q162" i="20"/>
  <c r="P162" i="20"/>
  <c r="M162" i="20"/>
  <c r="K162" i="20"/>
  <c r="J162" i="20"/>
  <c r="F162" i="20"/>
  <c r="AZ162" i="20" s="1"/>
  <c r="BA162" i="20" s="1"/>
  <c r="BA161" i="20"/>
  <c r="AZ161" i="20"/>
  <c r="W161" i="20"/>
  <c r="V161" i="20"/>
  <c r="K161" i="20"/>
  <c r="J161" i="20"/>
  <c r="F161" i="20"/>
  <c r="BD161" i="20" s="1"/>
  <c r="BE161" i="20" s="1"/>
  <c r="W160" i="20"/>
  <c r="V160" i="20"/>
  <c r="M160" i="20"/>
  <c r="L160" i="20"/>
  <c r="F160" i="20"/>
  <c r="BE159" i="20"/>
  <c r="BD159" i="20"/>
  <c r="AZ159" i="20"/>
  <c r="BA159" i="20" s="1"/>
  <c r="AW159" i="20"/>
  <c r="AR159" i="20"/>
  <c r="AS159" i="20" s="1"/>
  <c r="AN159" i="20"/>
  <c r="AO159" i="20" s="1"/>
  <c r="AJ159" i="20"/>
  <c r="AK159" i="20" s="1"/>
  <c r="AF159" i="20"/>
  <c r="AG159" i="20" s="1"/>
  <c r="AB159" i="20"/>
  <c r="AC159" i="20" s="1"/>
  <c r="AA159" i="20"/>
  <c r="W159" i="20"/>
  <c r="V159" i="20"/>
  <c r="S159" i="20"/>
  <c r="R159" i="20"/>
  <c r="Q159" i="20"/>
  <c r="P159" i="20"/>
  <c r="O159" i="20"/>
  <c r="N159" i="20"/>
  <c r="M159" i="20"/>
  <c r="L159" i="20"/>
  <c r="K159" i="20"/>
  <c r="J159" i="20"/>
  <c r="F159" i="20"/>
  <c r="AV159" i="20" s="1"/>
  <c r="AN158" i="20"/>
  <c r="AO158" i="20" s="1"/>
  <c r="W158" i="20"/>
  <c r="V158" i="20"/>
  <c r="Q158" i="20"/>
  <c r="P158" i="20"/>
  <c r="F158" i="20"/>
  <c r="AV157" i="20"/>
  <c r="AW157" i="20" s="1"/>
  <c r="AF157" i="20"/>
  <c r="AG157" i="20" s="1"/>
  <c r="W157" i="20"/>
  <c r="V157" i="20"/>
  <c r="O157" i="20"/>
  <c r="L157" i="20"/>
  <c r="F157" i="20"/>
  <c r="BD156" i="20"/>
  <c r="BE156" i="20" s="1"/>
  <c r="BA156" i="20"/>
  <c r="AZ156" i="20"/>
  <c r="AV156" i="20"/>
  <c r="AW156" i="20" s="1"/>
  <c r="AN156" i="20"/>
  <c r="AO156" i="20" s="1"/>
  <c r="W156" i="20"/>
  <c r="V156" i="20"/>
  <c r="S156" i="20"/>
  <c r="R156" i="20"/>
  <c r="Q156" i="20"/>
  <c r="P156" i="20"/>
  <c r="O156" i="20"/>
  <c r="N156" i="20"/>
  <c r="M156" i="20"/>
  <c r="J156" i="20"/>
  <c r="F156" i="20"/>
  <c r="BD155" i="20"/>
  <c r="BE155" i="20" s="1"/>
  <c r="BA155" i="20"/>
  <c r="AZ155" i="20"/>
  <c r="AR155" i="20"/>
  <c r="AS155" i="20" s="1"/>
  <c r="AN155" i="20"/>
  <c r="AO155" i="20" s="1"/>
  <c r="AJ155" i="20"/>
  <c r="AK155" i="20" s="1"/>
  <c r="AF155" i="20"/>
  <c r="AG155" i="20" s="1"/>
  <c r="AB155" i="20"/>
  <c r="AC155" i="20" s="1"/>
  <c r="AA155" i="20"/>
  <c r="W155" i="20"/>
  <c r="V155" i="20"/>
  <c r="S155" i="20"/>
  <c r="R155" i="20"/>
  <c r="Q155" i="20"/>
  <c r="P155" i="20"/>
  <c r="O155" i="20"/>
  <c r="N155" i="20"/>
  <c r="M155" i="20"/>
  <c r="L155" i="20"/>
  <c r="K155" i="20"/>
  <c r="J155" i="20"/>
  <c r="F155" i="20"/>
  <c r="AV155" i="20" s="1"/>
  <c r="AW155" i="20" s="1"/>
  <c r="AW154" i="20"/>
  <c r="AV154" i="20"/>
  <c r="AS154" i="20"/>
  <c r="AR154" i="20"/>
  <c r="AO154" i="20"/>
  <c r="AN154" i="20"/>
  <c r="AJ154" i="20"/>
  <c r="AK154" i="20" s="1"/>
  <c r="AF154" i="20"/>
  <c r="AG154" i="20" s="1"/>
  <c r="AB154" i="20"/>
  <c r="AC154" i="20" s="1"/>
  <c r="AA154" i="20"/>
  <c r="W154" i="20"/>
  <c r="V154" i="20"/>
  <c r="S154" i="20"/>
  <c r="R154" i="20"/>
  <c r="Q154" i="20"/>
  <c r="P154" i="20"/>
  <c r="M154" i="20"/>
  <c r="K154" i="20"/>
  <c r="J154" i="20"/>
  <c r="F154" i="20"/>
  <c r="AZ154" i="20" s="1"/>
  <c r="BA154" i="20" s="1"/>
  <c r="BD153" i="20"/>
  <c r="BE153" i="20" s="1"/>
  <c r="AB153" i="20"/>
  <c r="AC153" i="20" s="1"/>
  <c r="W153" i="20"/>
  <c r="V153" i="20"/>
  <c r="S153" i="20"/>
  <c r="F153" i="20"/>
  <c r="BD152" i="20"/>
  <c r="BE152" i="20" s="1"/>
  <c r="AZ152" i="20"/>
  <c r="BA152" i="20" s="1"/>
  <c r="AF152" i="20"/>
  <c r="AG152" i="20" s="1"/>
  <c r="AB152" i="20"/>
  <c r="AC152" i="20" s="1"/>
  <c r="W152" i="20"/>
  <c r="V152" i="20"/>
  <c r="N152" i="20"/>
  <c r="L152" i="20"/>
  <c r="K152" i="20"/>
  <c r="J152" i="20"/>
  <c r="F152" i="20"/>
  <c r="BE151" i="20"/>
  <c r="BD151" i="20"/>
  <c r="AZ151" i="20"/>
  <c r="BA151" i="20" s="1"/>
  <c r="AR151" i="20"/>
  <c r="AS151" i="20" s="1"/>
  <c r="AN151" i="20"/>
  <c r="AO151" i="20" s="1"/>
  <c r="AK151" i="20"/>
  <c r="AJ151" i="20"/>
  <c r="AF151" i="20"/>
  <c r="AG151" i="20" s="1"/>
  <c r="AC151" i="20"/>
  <c r="AB151" i="20"/>
  <c r="AA151" i="20"/>
  <c r="W151" i="20"/>
  <c r="V151" i="20"/>
  <c r="S151" i="20"/>
  <c r="R151" i="20"/>
  <c r="Q151" i="20"/>
  <c r="P151" i="20"/>
  <c r="O151" i="20"/>
  <c r="N151" i="20"/>
  <c r="M151" i="20"/>
  <c r="L151" i="20"/>
  <c r="K151" i="20"/>
  <c r="J151" i="20"/>
  <c r="F151" i="20"/>
  <c r="AV151" i="20" s="1"/>
  <c r="AW151" i="20" s="1"/>
  <c r="BD150" i="20"/>
  <c r="BE150" i="20" s="1"/>
  <c r="AW150" i="20"/>
  <c r="AV150" i="20"/>
  <c r="AR150" i="20"/>
  <c r="AS150" i="20" s="1"/>
  <c r="AO150" i="20"/>
  <c r="AN150" i="20"/>
  <c r="AJ150" i="20"/>
  <c r="AK150" i="20" s="1"/>
  <c r="AG150" i="20"/>
  <c r="AF150" i="20"/>
  <c r="AA150" i="20"/>
  <c r="W150" i="20"/>
  <c r="V150" i="20"/>
  <c r="S150" i="20"/>
  <c r="R150" i="20"/>
  <c r="Q150" i="20"/>
  <c r="P150" i="20"/>
  <c r="M150" i="20"/>
  <c r="K150" i="20"/>
  <c r="J150" i="20"/>
  <c r="F150" i="20"/>
  <c r="AZ150" i="20" s="1"/>
  <c r="BA150" i="20" s="1"/>
  <c r="BD149" i="20"/>
  <c r="BE149" i="20" s="1"/>
  <c r="AZ149" i="20"/>
  <c r="BA149" i="20" s="1"/>
  <c r="AV149" i="20"/>
  <c r="AW149" i="20" s="1"/>
  <c r="AR149" i="20"/>
  <c r="AS149" i="20" s="1"/>
  <c r="AN149" i="20"/>
  <c r="AO149" i="20" s="1"/>
  <c r="AF149" i="20"/>
  <c r="AG149" i="20" s="1"/>
  <c r="AC149" i="20"/>
  <c r="AB149" i="20"/>
  <c r="AA149" i="20"/>
  <c r="W149" i="20"/>
  <c r="V149" i="20"/>
  <c r="S149" i="20"/>
  <c r="Q149" i="20"/>
  <c r="P149" i="20"/>
  <c r="O149" i="20"/>
  <c r="N149" i="20"/>
  <c r="M149" i="20"/>
  <c r="L149" i="20"/>
  <c r="K149" i="20"/>
  <c r="J149" i="20"/>
  <c r="F149" i="20"/>
  <c r="AV148" i="20"/>
  <c r="AW148" i="20" s="1"/>
  <c r="AO148" i="20"/>
  <c r="AN148" i="20"/>
  <c r="AF148" i="20"/>
  <c r="AG148" i="20" s="1"/>
  <c r="AB148" i="20"/>
  <c r="AC148" i="20" s="1"/>
  <c r="AA148" i="20"/>
  <c r="W148" i="20"/>
  <c r="V148" i="20"/>
  <c r="S148" i="20"/>
  <c r="R148" i="20"/>
  <c r="Q148" i="20"/>
  <c r="P148" i="20"/>
  <c r="O148" i="20"/>
  <c r="N148" i="20"/>
  <c r="L148" i="20"/>
  <c r="K148" i="20"/>
  <c r="F148" i="20"/>
  <c r="BD148" i="20" s="1"/>
  <c r="BE148" i="20" s="1"/>
  <c r="BD147" i="20"/>
  <c r="BE147" i="20" s="1"/>
  <c r="BA147" i="20"/>
  <c r="AZ147" i="20"/>
  <c r="AR147" i="20"/>
  <c r="AS147" i="20" s="1"/>
  <c r="AN147" i="20"/>
  <c r="AO147" i="20" s="1"/>
  <c r="AJ147" i="20"/>
  <c r="AK147" i="20" s="1"/>
  <c r="AG147" i="20"/>
  <c r="AF147" i="20"/>
  <c r="AB147" i="20"/>
  <c r="AC147" i="20" s="1"/>
  <c r="AA147" i="20"/>
  <c r="W147" i="20"/>
  <c r="V147" i="20"/>
  <c r="S147" i="20"/>
  <c r="R147" i="20"/>
  <c r="Q147" i="20"/>
  <c r="P147" i="20"/>
  <c r="O147" i="20"/>
  <c r="N147" i="20"/>
  <c r="M147" i="20"/>
  <c r="L147" i="20"/>
  <c r="K147" i="20"/>
  <c r="J147" i="20"/>
  <c r="F147" i="20"/>
  <c r="AV147" i="20" s="1"/>
  <c r="AW147" i="20" s="1"/>
  <c r="AV146" i="20"/>
  <c r="AW146" i="20" s="1"/>
  <c r="AR146" i="20"/>
  <c r="AS146" i="20" s="1"/>
  <c r="AO146" i="20"/>
  <c r="AN146" i="20"/>
  <c r="AJ146" i="20"/>
  <c r="AK146" i="20" s="1"/>
  <c r="AF146" i="20"/>
  <c r="AG146" i="20" s="1"/>
  <c r="AB146" i="20"/>
  <c r="AC146" i="20" s="1"/>
  <c r="AA146" i="20"/>
  <c r="W146" i="20"/>
  <c r="V146" i="20"/>
  <c r="S146" i="20"/>
  <c r="R146" i="20"/>
  <c r="Q146" i="20"/>
  <c r="P146" i="20"/>
  <c r="M146" i="20"/>
  <c r="K146" i="20"/>
  <c r="J146" i="20"/>
  <c r="F146" i="20"/>
  <c r="AZ146" i="20" s="1"/>
  <c r="BA146" i="20" s="1"/>
  <c r="BD145" i="20"/>
  <c r="BE145" i="20" s="1"/>
  <c r="AZ145" i="20"/>
  <c r="BA145" i="20" s="1"/>
  <c r="AV145" i="20"/>
  <c r="AW145" i="20" s="1"/>
  <c r="AR145" i="20"/>
  <c r="AS145" i="20" s="1"/>
  <c r="AO145" i="20"/>
  <c r="AN145" i="20"/>
  <c r="AJ145" i="20"/>
  <c r="AK145" i="20" s="1"/>
  <c r="AG145" i="20"/>
  <c r="AF145" i="20"/>
  <c r="AB145" i="20"/>
  <c r="AC145" i="20" s="1"/>
  <c r="AA145" i="20"/>
  <c r="W145" i="20"/>
  <c r="V145" i="20"/>
  <c r="Q145" i="20"/>
  <c r="P145" i="20"/>
  <c r="L145" i="20"/>
  <c r="J145" i="20"/>
  <c r="F145" i="20"/>
  <c r="BD144" i="20"/>
  <c r="BE144" i="20" s="1"/>
  <c r="AF144" i="20"/>
  <c r="AG144" i="20" s="1"/>
  <c r="AA144" i="20"/>
  <c r="W144" i="20"/>
  <c r="V144" i="20"/>
  <c r="R144" i="20"/>
  <c r="F144" i="20"/>
  <c r="BE143" i="20"/>
  <c r="BD143" i="20"/>
  <c r="BA143" i="20"/>
  <c r="AZ143" i="20"/>
  <c r="AR143" i="20"/>
  <c r="AS143" i="20" s="1"/>
  <c r="AN143" i="20"/>
  <c r="AO143" i="20" s="1"/>
  <c r="AK143" i="20"/>
  <c r="AJ143" i="20"/>
  <c r="AG143" i="20"/>
  <c r="AF143" i="20"/>
  <c r="AB143" i="20"/>
  <c r="AC143" i="20" s="1"/>
  <c r="AA143" i="20"/>
  <c r="W143" i="20"/>
  <c r="V143" i="20"/>
  <c r="S143" i="20"/>
  <c r="R143" i="20"/>
  <c r="Q143" i="20"/>
  <c r="P143" i="20"/>
  <c r="O143" i="20"/>
  <c r="N143" i="20"/>
  <c r="M143" i="20"/>
  <c r="L143" i="20"/>
  <c r="K143" i="20"/>
  <c r="J143" i="20"/>
  <c r="F143" i="20"/>
  <c r="AV143" i="20" s="1"/>
  <c r="AW143" i="20" s="1"/>
  <c r="BD142" i="20"/>
  <c r="BE142" i="20" s="1"/>
  <c r="AZ142" i="20"/>
  <c r="BA142" i="20" s="1"/>
  <c r="AR142" i="20"/>
  <c r="AS142" i="20" s="1"/>
  <c r="W142" i="20"/>
  <c r="V142" i="20"/>
  <c r="F142" i="20"/>
  <c r="AO141" i="20"/>
  <c r="AN141" i="20"/>
  <c r="AA141" i="20"/>
  <c r="W141" i="20"/>
  <c r="V141" i="20"/>
  <c r="F141" i="20"/>
  <c r="BD141" i="20" s="1"/>
  <c r="BE141" i="20" s="1"/>
  <c r="AZ140" i="20"/>
  <c r="BA140" i="20" s="1"/>
  <c r="AW140" i="20"/>
  <c r="AV140" i="20"/>
  <c r="AO140" i="20"/>
  <c r="AN140" i="20"/>
  <c r="AF140" i="20"/>
  <c r="AG140" i="20" s="1"/>
  <c r="AA140" i="20"/>
  <c r="W140" i="20"/>
  <c r="V140" i="20"/>
  <c r="O140" i="20"/>
  <c r="N140" i="20"/>
  <c r="M140" i="20"/>
  <c r="L140" i="20"/>
  <c r="K140" i="20"/>
  <c r="J140" i="20"/>
  <c r="F140" i="20"/>
  <c r="BD139" i="20"/>
  <c r="BE139" i="20" s="1"/>
  <c r="BA139" i="20"/>
  <c r="AV139" i="20"/>
  <c r="AW139" i="20" s="1"/>
  <c r="AR139" i="20"/>
  <c r="AS139" i="20" s="1"/>
  <c r="AN139" i="20"/>
  <c r="AO139" i="20" s="1"/>
  <c r="AK139" i="20"/>
  <c r="AJ139" i="20"/>
  <c r="AG139" i="20"/>
  <c r="AF139" i="20"/>
  <c r="AB139" i="20"/>
  <c r="AC139" i="20" s="1"/>
  <c r="AA139" i="20"/>
  <c r="W139" i="20"/>
  <c r="V139" i="20"/>
  <c r="S139" i="20"/>
  <c r="R139" i="20"/>
  <c r="Q139" i="20"/>
  <c r="P139" i="20"/>
  <c r="O139" i="20"/>
  <c r="N139" i="20"/>
  <c r="M139" i="20"/>
  <c r="L139" i="20"/>
  <c r="K139" i="20"/>
  <c r="J139" i="20"/>
  <c r="F139" i="20"/>
  <c r="AZ139" i="20" s="1"/>
  <c r="AZ138" i="20"/>
  <c r="BA138" i="20" s="1"/>
  <c r="AV138" i="20"/>
  <c r="AW138" i="20" s="1"/>
  <c r="AS138" i="20"/>
  <c r="AR138" i="20"/>
  <c r="AN138" i="20"/>
  <c r="AO138" i="20" s="1"/>
  <c r="AJ138" i="20"/>
  <c r="AK138" i="20" s="1"/>
  <c r="AA138" i="20"/>
  <c r="W138" i="20"/>
  <c r="V138" i="20"/>
  <c r="S138" i="20"/>
  <c r="R138" i="20"/>
  <c r="Q138" i="20"/>
  <c r="P138" i="20"/>
  <c r="O138" i="20"/>
  <c r="M138" i="20"/>
  <c r="F138" i="20"/>
  <c r="W137" i="20"/>
  <c r="V137" i="20"/>
  <c r="F137" i="20"/>
  <c r="BE136" i="20"/>
  <c r="BD136" i="20"/>
  <c r="AZ136" i="20"/>
  <c r="BA136" i="20" s="1"/>
  <c r="W136" i="20"/>
  <c r="V136" i="20"/>
  <c r="Q136" i="20"/>
  <c r="P136" i="20"/>
  <c r="M136" i="20"/>
  <c r="L136" i="20"/>
  <c r="J136" i="20"/>
  <c r="F136" i="20"/>
  <c r="BD135" i="20"/>
  <c r="BE135" i="20" s="1"/>
  <c r="AZ135" i="20"/>
  <c r="BA135" i="20" s="1"/>
  <c r="AG135" i="20"/>
  <c r="AF135" i="20"/>
  <c r="AA135" i="20"/>
  <c r="W135" i="20"/>
  <c r="V135" i="20"/>
  <c r="N135" i="20"/>
  <c r="L135" i="20"/>
  <c r="K135" i="20"/>
  <c r="J135" i="20"/>
  <c r="F135" i="20"/>
  <c r="AZ134" i="20"/>
  <c r="BA134" i="20" s="1"/>
  <c r="AF134" i="20"/>
  <c r="AG134" i="20" s="1"/>
  <c r="AB134" i="20"/>
  <c r="AC134" i="20" s="1"/>
  <c r="AA134" i="20"/>
  <c r="W134" i="20"/>
  <c r="V134" i="20"/>
  <c r="R134" i="20"/>
  <c r="Q134" i="20"/>
  <c r="P134" i="20"/>
  <c r="O134" i="20"/>
  <c r="M134" i="20"/>
  <c r="K134" i="20"/>
  <c r="J134" i="20"/>
  <c r="F134" i="20"/>
  <c r="W133" i="20"/>
  <c r="V133" i="20"/>
  <c r="N133" i="20"/>
  <c r="M133" i="20"/>
  <c r="L133" i="20"/>
  <c r="F133" i="20"/>
  <c r="AR132" i="20"/>
  <c r="AS132" i="20" s="1"/>
  <c r="AF132" i="20"/>
  <c r="AG132" i="20" s="1"/>
  <c r="W132" i="20"/>
  <c r="V132" i="20"/>
  <c r="S132" i="20"/>
  <c r="Q132" i="20"/>
  <c r="P132" i="20"/>
  <c r="N132" i="20"/>
  <c r="F132" i="20"/>
  <c r="AZ131" i="20"/>
  <c r="BA131" i="20" s="1"/>
  <c r="AV131" i="20"/>
  <c r="AW131" i="20" s="1"/>
  <c r="AR131" i="20"/>
  <c r="AS131" i="20" s="1"/>
  <c r="AN131" i="20"/>
  <c r="AO131" i="20" s="1"/>
  <c r="AK131" i="20"/>
  <c r="AJ131" i="20"/>
  <c r="AF131" i="20"/>
  <c r="AG131" i="20" s="1"/>
  <c r="AB131" i="20"/>
  <c r="AC131" i="20" s="1"/>
  <c r="AA131" i="20"/>
  <c r="W131" i="20"/>
  <c r="V131" i="20"/>
  <c r="S131" i="20"/>
  <c r="R131" i="20"/>
  <c r="Q131" i="20"/>
  <c r="P131" i="20"/>
  <c r="L131" i="20"/>
  <c r="K131" i="20"/>
  <c r="F131" i="20"/>
  <c r="AZ130" i="20"/>
  <c r="BA130" i="20" s="1"/>
  <c r="AV130" i="20"/>
  <c r="AW130" i="20" s="1"/>
  <c r="AS130" i="20"/>
  <c r="AR130" i="20"/>
  <c r="AN130" i="20"/>
  <c r="AO130" i="20" s="1"/>
  <c r="AJ130" i="20"/>
  <c r="AK130" i="20" s="1"/>
  <c r="AF130" i="20"/>
  <c r="AG130" i="20" s="1"/>
  <c r="AC130" i="20"/>
  <c r="AB130" i="20"/>
  <c r="AA130" i="20"/>
  <c r="W130" i="20"/>
  <c r="V130" i="20"/>
  <c r="Q130" i="20"/>
  <c r="P130" i="20"/>
  <c r="M130" i="20"/>
  <c r="K130" i="20"/>
  <c r="F130" i="20"/>
  <c r="BD130" i="20" s="1"/>
  <c r="BE130" i="20" s="1"/>
  <c r="BD129" i="20"/>
  <c r="BE129" i="20" s="1"/>
  <c r="AZ129" i="20"/>
  <c r="BA129" i="20" s="1"/>
  <c r="AW129" i="20"/>
  <c r="AV129" i="20"/>
  <c r="AS129" i="20"/>
  <c r="AR129" i="20"/>
  <c r="AN129" i="20"/>
  <c r="AO129" i="20" s="1"/>
  <c r="AJ129" i="20"/>
  <c r="AK129" i="20" s="1"/>
  <c r="AF129" i="20"/>
  <c r="AG129" i="20" s="1"/>
  <c r="W129" i="20"/>
  <c r="V129" i="20"/>
  <c r="S129" i="20"/>
  <c r="Q129" i="20"/>
  <c r="O129" i="20"/>
  <c r="N129" i="20"/>
  <c r="L129" i="20"/>
  <c r="J129" i="20"/>
  <c r="F129" i="20"/>
  <c r="W128" i="20"/>
  <c r="V128" i="20"/>
  <c r="Q128" i="20"/>
  <c r="P128" i="20"/>
  <c r="L128" i="20"/>
  <c r="F128" i="20"/>
  <c r="W127" i="20"/>
  <c r="V127" i="20"/>
  <c r="F127" i="20"/>
  <c r="BD126" i="20"/>
  <c r="BE126" i="20" s="1"/>
  <c r="AB126" i="20"/>
  <c r="AC126" i="20" s="1"/>
  <c r="W126" i="20"/>
  <c r="V126" i="20"/>
  <c r="M126" i="20"/>
  <c r="F126" i="20"/>
  <c r="AZ126" i="20" s="1"/>
  <c r="BA126" i="20" s="1"/>
  <c r="AR125" i="20"/>
  <c r="AS125" i="20" s="1"/>
  <c r="AO125" i="20"/>
  <c r="AN125" i="20"/>
  <c r="AJ125" i="20"/>
  <c r="AK125" i="20" s="1"/>
  <c r="W125" i="20"/>
  <c r="V125" i="20"/>
  <c r="F125" i="20"/>
  <c r="AZ125" i="20" s="1"/>
  <c r="BA125" i="20" s="1"/>
  <c r="AZ124" i="20"/>
  <c r="BA124" i="20" s="1"/>
  <c r="AN124" i="20"/>
  <c r="AO124" i="20" s="1"/>
  <c r="AB124" i="20"/>
  <c r="AC124" i="20" s="1"/>
  <c r="W124" i="20"/>
  <c r="V124" i="20"/>
  <c r="M124" i="20"/>
  <c r="K124" i="20"/>
  <c r="J124" i="20"/>
  <c r="F124" i="20"/>
  <c r="BD124" i="20" s="1"/>
  <c r="BE124" i="20" s="1"/>
  <c r="AF123" i="20"/>
  <c r="AG123" i="20" s="1"/>
  <c r="AB123" i="20"/>
  <c r="AC123" i="20" s="1"/>
  <c r="W123" i="20"/>
  <c r="V123" i="20"/>
  <c r="S123" i="20"/>
  <c r="R123" i="20"/>
  <c r="F123" i="20"/>
  <c r="BD123" i="20" s="1"/>
  <c r="BE123" i="20" s="1"/>
  <c r="BD122" i="20"/>
  <c r="BE122" i="20" s="1"/>
  <c r="AZ122" i="20"/>
  <c r="BA122" i="20" s="1"/>
  <c r="AW122" i="20"/>
  <c r="AV122" i="20"/>
  <c r="AO122" i="20"/>
  <c r="AN122" i="20"/>
  <c r="AJ122" i="20"/>
  <c r="AK122" i="20" s="1"/>
  <c r="AB122" i="20"/>
  <c r="AC122" i="20" s="1"/>
  <c r="W122" i="20"/>
  <c r="V122" i="20"/>
  <c r="S122" i="20"/>
  <c r="R122" i="20"/>
  <c r="Q122" i="20"/>
  <c r="P122" i="20"/>
  <c r="O122" i="20"/>
  <c r="K122" i="20"/>
  <c r="J122" i="20"/>
  <c r="F122" i="20"/>
  <c r="BD121" i="20"/>
  <c r="BE121" i="20" s="1"/>
  <c r="AZ121" i="20"/>
  <c r="BA121" i="20" s="1"/>
  <c r="AJ121" i="20"/>
  <c r="AK121" i="20" s="1"/>
  <c r="AF121" i="20"/>
  <c r="AG121" i="20" s="1"/>
  <c r="AA121" i="20"/>
  <c r="W121" i="20"/>
  <c r="V121" i="20"/>
  <c r="S121" i="20"/>
  <c r="Q121" i="20"/>
  <c r="P121" i="20"/>
  <c r="N121" i="20"/>
  <c r="M121" i="20"/>
  <c r="L121" i="20"/>
  <c r="K121" i="20"/>
  <c r="J121" i="20"/>
  <c r="F121" i="20"/>
  <c r="AR121" i="20" s="1"/>
  <c r="AS121" i="20" s="1"/>
  <c r="AF120" i="20"/>
  <c r="AG120" i="20" s="1"/>
  <c r="AB120" i="20"/>
  <c r="AC120" i="20" s="1"/>
  <c r="W120" i="20"/>
  <c r="V120" i="20"/>
  <c r="R120" i="20"/>
  <c r="N120" i="20"/>
  <c r="M120" i="20"/>
  <c r="L120" i="20"/>
  <c r="K120" i="20"/>
  <c r="J120" i="20"/>
  <c r="F120" i="20"/>
  <c r="AZ119" i="20"/>
  <c r="BA119" i="20" s="1"/>
  <c r="W119" i="20"/>
  <c r="V119" i="20"/>
  <c r="Q119" i="20"/>
  <c r="F119" i="20"/>
  <c r="AZ118" i="20"/>
  <c r="BA118" i="20" s="1"/>
  <c r="AJ118" i="20"/>
  <c r="AK118" i="20" s="1"/>
  <c r="AG118" i="20"/>
  <c r="AF118" i="20"/>
  <c r="AA118" i="20"/>
  <c r="W118" i="20"/>
  <c r="V118" i="20"/>
  <c r="S118" i="20"/>
  <c r="R118" i="20"/>
  <c r="Q118" i="20"/>
  <c r="M118" i="20"/>
  <c r="K118" i="20"/>
  <c r="J118" i="20"/>
  <c r="F118" i="20"/>
  <c r="BD117" i="20"/>
  <c r="BE117" i="20" s="1"/>
  <c r="AW117" i="20"/>
  <c r="AV117" i="20"/>
  <c r="AS117" i="20"/>
  <c r="AR117" i="20"/>
  <c r="AN117" i="20"/>
  <c r="AO117" i="20" s="1"/>
  <c r="AJ117" i="20"/>
  <c r="AK117" i="20" s="1"/>
  <c r="AG117" i="20"/>
  <c r="AF117" i="20"/>
  <c r="AC117" i="20"/>
  <c r="AB117" i="20"/>
  <c r="AA117" i="20"/>
  <c r="W117" i="20"/>
  <c r="V117" i="20"/>
  <c r="Q117" i="20"/>
  <c r="P117" i="20"/>
  <c r="O117" i="20"/>
  <c r="N117" i="20"/>
  <c r="M117" i="20"/>
  <c r="L117" i="20"/>
  <c r="K117" i="20"/>
  <c r="J117" i="20"/>
  <c r="F117" i="20"/>
  <c r="BA116" i="20"/>
  <c r="AZ116" i="20"/>
  <c r="AW116" i="20"/>
  <c r="AV116" i="20"/>
  <c r="AS116" i="20"/>
  <c r="AR116" i="20"/>
  <c r="AO116" i="20"/>
  <c r="AN116" i="20"/>
  <c r="AK116" i="20"/>
  <c r="AJ116" i="20"/>
  <c r="AF116" i="20"/>
  <c r="AG116" i="20" s="1"/>
  <c r="W116" i="20"/>
  <c r="V116" i="20"/>
  <c r="S116" i="20"/>
  <c r="R116" i="20"/>
  <c r="Q116" i="20"/>
  <c r="P116" i="20"/>
  <c r="O116" i="20"/>
  <c r="M116" i="20"/>
  <c r="L116" i="20"/>
  <c r="J116" i="20"/>
  <c r="F116" i="20"/>
  <c r="AZ115" i="20"/>
  <c r="BA115" i="20" s="1"/>
  <c r="AV115" i="20"/>
  <c r="AW115" i="20" s="1"/>
  <c r="AR115" i="20"/>
  <c r="AS115" i="20" s="1"/>
  <c r="AN115" i="20"/>
  <c r="AO115" i="20" s="1"/>
  <c r="AK115" i="20"/>
  <c r="AF115" i="20"/>
  <c r="AG115" i="20" s="1"/>
  <c r="AC115" i="20"/>
  <c r="AB115" i="20"/>
  <c r="AA115" i="20"/>
  <c r="W115" i="20"/>
  <c r="V115" i="20"/>
  <c r="S115" i="20"/>
  <c r="R115" i="20"/>
  <c r="Q115" i="20"/>
  <c r="O115" i="20"/>
  <c r="N115" i="20"/>
  <c r="L115" i="20"/>
  <c r="J115" i="20"/>
  <c r="F115" i="20"/>
  <c r="AJ115" i="20" s="1"/>
  <c r="BD114" i="20"/>
  <c r="BE114" i="20" s="1"/>
  <c r="AZ114" i="20"/>
  <c r="BA114" i="20" s="1"/>
  <c r="AV114" i="20"/>
  <c r="AW114" i="20" s="1"/>
  <c r="AN114" i="20"/>
  <c r="AO114" i="20" s="1"/>
  <c r="AJ114" i="20"/>
  <c r="AK114" i="20" s="1"/>
  <c r="AG114" i="20"/>
  <c r="AF114" i="20"/>
  <c r="AC114" i="20"/>
  <c r="AB114" i="20"/>
  <c r="AA114" i="20"/>
  <c r="W114" i="20"/>
  <c r="V114" i="20"/>
  <c r="S114" i="20"/>
  <c r="Q114" i="20"/>
  <c r="P114" i="20"/>
  <c r="M114" i="20"/>
  <c r="J114" i="20"/>
  <c r="F114" i="20"/>
  <c r="BD113" i="20"/>
  <c r="BE113" i="20" s="1"/>
  <c r="BA113" i="20"/>
  <c r="AZ113" i="20"/>
  <c r="AV113" i="20"/>
  <c r="AW113" i="20" s="1"/>
  <c r="AR113" i="20"/>
  <c r="AS113" i="20" s="1"/>
  <c r="AO113" i="20"/>
  <c r="AN113" i="20"/>
  <c r="AJ113" i="20"/>
  <c r="AK113" i="20" s="1"/>
  <c r="AG113" i="20"/>
  <c r="AF113" i="20"/>
  <c r="AC113" i="20"/>
  <c r="AB113" i="20"/>
  <c r="AA113" i="20"/>
  <c r="W113" i="20"/>
  <c r="V113" i="20"/>
  <c r="S113" i="20"/>
  <c r="Q113" i="20"/>
  <c r="P113" i="20"/>
  <c r="O113" i="20"/>
  <c r="N113" i="20"/>
  <c r="M113" i="20"/>
  <c r="L113" i="20"/>
  <c r="K113" i="20"/>
  <c r="J113" i="20"/>
  <c r="F113" i="20"/>
  <c r="R113" i="20" s="1"/>
  <c r="AZ112" i="20"/>
  <c r="BA112" i="20" s="1"/>
  <c r="AV112" i="20"/>
  <c r="AW112" i="20" s="1"/>
  <c r="AS112" i="20"/>
  <c r="AR112" i="20"/>
  <c r="AN112" i="20"/>
  <c r="AO112" i="20" s="1"/>
  <c r="W112" i="20"/>
  <c r="V112" i="20"/>
  <c r="P112" i="20"/>
  <c r="O112" i="20"/>
  <c r="L112" i="20"/>
  <c r="J112" i="20"/>
  <c r="F112" i="20"/>
  <c r="BD112" i="20" s="1"/>
  <c r="BE112" i="20" s="1"/>
  <c r="BD111" i="20"/>
  <c r="BE111" i="20" s="1"/>
  <c r="AR111" i="20"/>
  <c r="AS111" i="20" s="1"/>
  <c r="AN111" i="20"/>
  <c r="AO111" i="20" s="1"/>
  <c r="AF111" i="20"/>
  <c r="AG111" i="20" s="1"/>
  <c r="W111" i="20"/>
  <c r="V111" i="20"/>
  <c r="N111" i="20"/>
  <c r="M111" i="20"/>
  <c r="L111" i="20"/>
  <c r="J111" i="20"/>
  <c r="F111" i="20"/>
  <c r="AZ111" i="20" s="1"/>
  <c r="BA111" i="20" s="1"/>
  <c r="AZ110" i="20"/>
  <c r="BA110" i="20" s="1"/>
  <c r="AV110" i="20"/>
  <c r="AW110" i="20" s="1"/>
  <c r="AS110" i="20"/>
  <c r="AR110" i="20"/>
  <c r="AN110" i="20"/>
  <c r="AO110" i="20" s="1"/>
  <c r="AJ110" i="20"/>
  <c r="AK110" i="20" s="1"/>
  <c r="W110" i="20"/>
  <c r="V110" i="20"/>
  <c r="P110" i="20"/>
  <c r="M110" i="20"/>
  <c r="K110" i="20"/>
  <c r="J110" i="20"/>
  <c r="F110" i="20"/>
  <c r="BD110" i="20" s="1"/>
  <c r="BE110" i="20" s="1"/>
  <c r="BE109" i="20"/>
  <c r="BD109" i="20"/>
  <c r="AZ109" i="20"/>
  <c r="BA109" i="20" s="1"/>
  <c r="AV109" i="20"/>
  <c r="AW109" i="20" s="1"/>
  <c r="AN109" i="20"/>
  <c r="AO109" i="20" s="1"/>
  <c r="AJ109" i="20"/>
  <c r="AK109" i="20" s="1"/>
  <c r="AB109" i="20"/>
  <c r="AC109" i="20" s="1"/>
  <c r="AA109" i="20"/>
  <c r="W109" i="20"/>
  <c r="V109" i="20"/>
  <c r="S109" i="20"/>
  <c r="N109" i="20"/>
  <c r="L109" i="20"/>
  <c r="K109" i="20"/>
  <c r="J109" i="20"/>
  <c r="F109" i="20"/>
  <c r="AZ108" i="20"/>
  <c r="BA108" i="20" s="1"/>
  <c r="AB108" i="20"/>
  <c r="AC108" i="20" s="1"/>
  <c r="AA108" i="20"/>
  <c r="W108" i="20"/>
  <c r="V108" i="20"/>
  <c r="S108" i="20"/>
  <c r="R108" i="20"/>
  <c r="K108" i="20"/>
  <c r="J108" i="20"/>
  <c r="F108" i="20"/>
  <c r="BD108" i="20" s="1"/>
  <c r="BE108" i="20" s="1"/>
  <c r="BD107" i="20"/>
  <c r="BE107" i="20" s="1"/>
  <c r="AV107" i="20"/>
  <c r="AW107" i="20" s="1"/>
  <c r="AR107" i="20"/>
  <c r="AS107" i="20" s="1"/>
  <c r="AN107" i="20"/>
  <c r="AO107" i="20" s="1"/>
  <c r="AK107" i="20"/>
  <c r="AJ107" i="20"/>
  <c r="AG107" i="20"/>
  <c r="AF107" i="20"/>
  <c r="AB107" i="20"/>
  <c r="AC107" i="20" s="1"/>
  <c r="AA107" i="20"/>
  <c r="W107" i="20"/>
  <c r="V107" i="20"/>
  <c r="S107" i="20"/>
  <c r="R107" i="20"/>
  <c r="Q107" i="20"/>
  <c r="P107" i="20"/>
  <c r="O107" i="20"/>
  <c r="N107" i="20"/>
  <c r="M107" i="20"/>
  <c r="L107" i="20"/>
  <c r="K107" i="20"/>
  <c r="J107" i="20"/>
  <c r="F107" i="20"/>
  <c r="AZ107" i="20" s="1"/>
  <c r="BA107" i="20" s="1"/>
  <c r="AW106" i="20"/>
  <c r="AV106" i="20"/>
  <c r="AR106" i="20"/>
  <c r="AS106" i="20" s="1"/>
  <c r="AN106" i="20"/>
  <c r="AO106" i="20" s="1"/>
  <c r="AJ106" i="20"/>
  <c r="AK106" i="20" s="1"/>
  <c r="AG106" i="20"/>
  <c r="AF106" i="20"/>
  <c r="AC106" i="20"/>
  <c r="AB106" i="20"/>
  <c r="AA106" i="20"/>
  <c r="W106" i="20"/>
  <c r="V106" i="20"/>
  <c r="S106" i="20"/>
  <c r="R106" i="20"/>
  <c r="O106" i="20"/>
  <c r="M106" i="20"/>
  <c r="F106" i="20"/>
  <c r="BA105" i="20"/>
  <c r="AZ105" i="20"/>
  <c r="AV105" i="20"/>
  <c r="AW105" i="20" s="1"/>
  <c r="AS105" i="20"/>
  <c r="AR105" i="20"/>
  <c r="AN105" i="20"/>
  <c r="AO105" i="20" s="1"/>
  <c r="AJ105" i="20"/>
  <c r="AK105" i="20" s="1"/>
  <c r="AG105" i="20"/>
  <c r="AF105" i="20"/>
  <c r="AC105" i="20"/>
  <c r="AB105" i="20"/>
  <c r="AA105" i="20"/>
  <c r="W105" i="20"/>
  <c r="V105" i="20"/>
  <c r="S105" i="20"/>
  <c r="Q105" i="20"/>
  <c r="L105" i="20"/>
  <c r="K105" i="20"/>
  <c r="F105" i="20"/>
  <c r="BA104" i="20"/>
  <c r="AZ104" i="20"/>
  <c r="AV104" i="20"/>
  <c r="AW104" i="20" s="1"/>
  <c r="AS104" i="20"/>
  <c r="AR104" i="20"/>
  <c r="AO104" i="20"/>
  <c r="AN104" i="20"/>
  <c r="AJ104" i="20"/>
  <c r="AK104" i="20" s="1"/>
  <c r="AF104" i="20"/>
  <c r="AG104" i="20" s="1"/>
  <c r="AB104" i="20"/>
  <c r="AC104" i="20" s="1"/>
  <c r="AA104" i="20"/>
  <c r="W104" i="20"/>
  <c r="V104" i="20"/>
  <c r="R104" i="20"/>
  <c r="Q104" i="20"/>
  <c r="P104" i="20"/>
  <c r="L104" i="20"/>
  <c r="K104" i="20"/>
  <c r="F104" i="20"/>
  <c r="BD103" i="20"/>
  <c r="BE103" i="20" s="1"/>
  <c r="BA103" i="20"/>
  <c r="AZ103" i="20"/>
  <c r="AW103" i="20"/>
  <c r="AV103" i="20"/>
  <c r="AR103" i="20"/>
  <c r="AS103" i="20" s="1"/>
  <c r="AN103" i="20"/>
  <c r="AO103" i="20" s="1"/>
  <c r="AJ103" i="20"/>
  <c r="AK103" i="20" s="1"/>
  <c r="AG103" i="20"/>
  <c r="AF103" i="20"/>
  <c r="AA103" i="20"/>
  <c r="W103" i="20"/>
  <c r="V103" i="20"/>
  <c r="S103" i="20"/>
  <c r="R103" i="20"/>
  <c r="Q103" i="20"/>
  <c r="P103" i="20"/>
  <c r="K103" i="20"/>
  <c r="J103" i="20"/>
  <c r="F103" i="20"/>
  <c r="BD102" i="20"/>
  <c r="BE102" i="20" s="1"/>
  <c r="AZ102" i="20"/>
  <c r="BA102" i="20" s="1"/>
  <c r="AS102" i="20"/>
  <c r="AR102" i="20"/>
  <c r="AN102" i="20"/>
  <c r="AO102" i="20" s="1"/>
  <c r="AF102" i="20"/>
  <c r="AG102" i="20" s="1"/>
  <c r="AC102" i="20"/>
  <c r="AB102" i="20"/>
  <c r="AA102" i="20"/>
  <c r="W102" i="20"/>
  <c r="V102" i="20"/>
  <c r="S102" i="20"/>
  <c r="R102" i="20"/>
  <c r="P102" i="20"/>
  <c r="O102" i="20"/>
  <c r="F102" i="20"/>
  <c r="AV102" i="20" s="1"/>
  <c r="AW102" i="20" s="1"/>
  <c r="AZ101" i="20"/>
  <c r="BA101" i="20" s="1"/>
  <c r="AO101" i="20"/>
  <c r="AN101" i="20"/>
  <c r="AJ101" i="20"/>
  <c r="AK101" i="20" s="1"/>
  <c r="AC101" i="20"/>
  <c r="AB101" i="20"/>
  <c r="AA101" i="20"/>
  <c r="W101" i="20"/>
  <c r="V101" i="20"/>
  <c r="P101" i="20"/>
  <c r="N101" i="20"/>
  <c r="F101" i="20"/>
  <c r="BD101" i="20" s="1"/>
  <c r="BE101" i="20" s="1"/>
  <c r="AZ100" i="20"/>
  <c r="BA100" i="20" s="1"/>
  <c r="AW100" i="20"/>
  <c r="AV100" i="20"/>
  <c r="AR100" i="20"/>
  <c r="AS100" i="20" s="1"/>
  <c r="AK100" i="20"/>
  <c r="AJ100" i="20"/>
  <c r="AF100" i="20"/>
  <c r="AG100" i="20" s="1"/>
  <c r="AB100" i="20"/>
  <c r="AC100" i="20" s="1"/>
  <c r="AA100" i="20"/>
  <c r="W100" i="20"/>
  <c r="V100" i="20"/>
  <c r="S100" i="20"/>
  <c r="R100" i="20"/>
  <c r="P100" i="20"/>
  <c r="O100" i="20"/>
  <c r="N100" i="20"/>
  <c r="F100" i="20"/>
  <c r="AN100" i="20" s="1"/>
  <c r="AO100" i="20" s="1"/>
  <c r="AZ99" i="20"/>
  <c r="BA99" i="20" s="1"/>
  <c r="AR99" i="20"/>
  <c r="AS99" i="20" s="1"/>
  <c r="AN99" i="20"/>
  <c r="AO99" i="20" s="1"/>
  <c r="AJ99" i="20"/>
  <c r="AK99" i="20" s="1"/>
  <c r="AF99" i="20"/>
  <c r="AG99" i="20" s="1"/>
  <c r="AC99" i="20"/>
  <c r="AB99" i="20"/>
  <c r="W99" i="20"/>
  <c r="V99" i="20"/>
  <c r="R99" i="20"/>
  <c r="Q99" i="20"/>
  <c r="P99" i="20"/>
  <c r="M99" i="20"/>
  <c r="L99" i="20"/>
  <c r="F99" i="20"/>
  <c r="BD99" i="20" s="1"/>
  <c r="BE99" i="20" s="1"/>
  <c r="BD98" i="20"/>
  <c r="BE98" i="20" s="1"/>
  <c r="AZ98" i="20"/>
  <c r="BA98" i="20" s="1"/>
  <c r="AV98" i="20"/>
  <c r="AW98" i="20" s="1"/>
  <c r="AS98" i="20"/>
  <c r="AR98" i="20"/>
  <c r="AO98" i="20"/>
  <c r="AN98" i="20"/>
  <c r="AJ98" i="20"/>
  <c r="AK98" i="20" s="1"/>
  <c r="AF98" i="20"/>
  <c r="AG98" i="20" s="1"/>
  <c r="AB98" i="20"/>
  <c r="AC98" i="20" s="1"/>
  <c r="AA98" i="20"/>
  <c r="W98" i="20"/>
  <c r="V98" i="20"/>
  <c r="Q98" i="20"/>
  <c r="P98" i="20"/>
  <c r="O98" i="20"/>
  <c r="M98" i="20"/>
  <c r="K98" i="20"/>
  <c r="J98" i="20"/>
  <c r="F98" i="20"/>
  <c r="AZ97" i="20"/>
  <c r="BA97" i="20" s="1"/>
  <c r="AW97" i="20"/>
  <c r="AV97" i="20"/>
  <c r="AR97" i="20"/>
  <c r="AS97" i="20" s="1"/>
  <c r="W97" i="20"/>
  <c r="V97" i="20"/>
  <c r="S97" i="20"/>
  <c r="Q97" i="20"/>
  <c r="P97" i="20"/>
  <c r="O97" i="20"/>
  <c r="N97" i="20"/>
  <c r="F97" i="20"/>
  <c r="AN97" i="20" s="1"/>
  <c r="AO97" i="20" s="1"/>
  <c r="BD96" i="20"/>
  <c r="BE96" i="20" s="1"/>
  <c r="BA96" i="20"/>
  <c r="AZ96" i="20"/>
  <c r="AV96" i="20"/>
  <c r="AW96" i="20" s="1"/>
  <c r="W96" i="20"/>
  <c r="V96" i="20"/>
  <c r="S96" i="20"/>
  <c r="R96" i="20"/>
  <c r="Q96" i="20"/>
  <c r="P96" i="20"/>
  <c r="O96" i="20"/>
  <c r="N96" i="20"/>
  <c r="F96" i="20"/>
  <c r="AR96" i="20" s="1"/>
  <c r="AS96" i="20" s="1"/>
  <c r="BD95" i="20"/>
  <c r="BE95" i="20" s="1"/>
  <c r="BA95" i="20"/>
  <c r="AZ95" i="20"/>
  <c r="AV95" i="20"/>
  <c r="AW95" i="20" s="1"/>
  <c r="AF95" i="20"/>
  <c r="AG95" i="20" s="1"/>
  <c r="W95" i="20"/>
  <c r="V95" i="20"/>
  <c r="S95" i="20"/>
  <c r="R95" i="20"/>
  <c r="Q95" i="20"/>
  <c r="P95" i="20"/>
  <c r="O95" i="20"/>
  <c r="N95" i="20"/>
  <c r="F95" i="20"/>
  <c r="AB95" i="20" s="1"/>
  <c r="AC95" i="20" s="1"/>
  <c r="BD94" i="20"/>
  <c r="BE94" i="20" s="1"/>
  <c r="AZ94" i="20"/>
  <c r="BA94" i="20" s="1"/>
  <c r="AS94" i="20"/>
  <c r="AR94" i="20"/>
  <c r="AK94" i="20"/>
  <c r="AJ94" i="20"/>
  <c r="AF94" i="20"/>
  <c r="AG94" i="20" s="1"/>
  <c r="AC94" i="20"/>
  <c r="AB94" i="20"/>
  <c r="AA94" i="20"/>
  <c r="W94" i="20"/>
  <c r="V94" i="20"/>
  <c r="S94" i="20"/>
  <c r="R94" i="20"/>
  <c r="Q94" i="20"/>
  <c r="P94" i="20"/>
  <c r="O94" i="20"/>
  <c r="M94" i="20"/>
  <c r="K94" i="20"/>
  <c r="J94" i="20"/>
  <c r="F94" i="20"/>
  <c r="AZ93" i="20"/>
  <c r="BA93" i="20" s="1"/>
  <c r="AV93" i="20"/>
  <c r="AW93" i="20" s="1"/>
  <c r="AO93" i="20"/>
  <c r="AN93" i="20"/>
  <c r="AJ93" i="20"/>
  <c r="AK93" i="20" s="1"/>
  <c r="AG93" i="20"/>
  <c r="AF93" i="20"/>
  <c r="AC93" i="20"/>
  <c r="AB93" i="20"/>
  <c r="AA93" i="20"/>
  <c r="W93" i="20"/>
  <c r="V93" i="20"/>
  <c r="S93" i="20"/>
  <c r="Q93" i="20"/>
  <c r="P93" i="20"/>
  <c r="O93" i="20"/>
  <c r="N93" i="20"/>
  <c r="K93" i="20"/>
  <c r="J93" i="20"/>
  <c r="F93" i="20"/>
  <c r="BD92" i="20"/>
  <c r="BE92" i="20" s="1"/>
  <c r="BA92" i="20"/>
  <c r="AZ92" i="20"/>
  <c r="AV92" i="20"/>
  <c r="AW92" i="20" s="1"/>
  <c r="AO92" i="20"/>
  <c r="AN92" i="20"/>
  <c r="AK92" i="20"/>
  <c r="AJ92" i="20"/>
  <c r="AF92" i="20"/>
  <c r="AG92" i="20" s="1"/>
  <c r="AB92" i="20"/>
  <c r="AC92" i="20" s="1"/>
  <c r="AA92" i="20"/>
  <c r="W92" i="20"/>
  <c r="V92" i="20"/>
  <c r="S92" i="20"/>
  <c r="R92" i="20"/>
  <c r="O92" i="20"/>
  <c r="N92" i="20"/>
  <c r="M92" i="20"/>
  <c r="L92" i="20"/>
  <c r="K92" i="20"/>
  <c r="J92" i="20"/>
  <c r="F92" i="20"/>
  <c r="BD91" i="20"/>
  <c r="BE91" i="20" s="1"/>
  <c r="AZ91" i="20"/>
  <c r="BA91" i="20" s="1"/>
  <c r="AR91" i="20"/>
  <c r="AS91" i="20" s="1"/>
  <c r="AN91" i="20"/>
  <c r="AO91" i="20" s="1"/>
  <c r="AK91" i="20"/>
  <c r="AJ91" i="20"/>
  <c r="AG91" i="20"/>
  <c r="AF91" i="20"/>
  <c r="AB91" i="20"/>
  <c r="AC91" i="20" s="1"/>
  <c r="AA91" i="20"/>
  <c r="W91" i="20"/>
  <c r="V91" i="20"/>
  <c r="S91" i="20"/>
  <c r="R91" i="20"/>
  <c r="Q91" i="20"/>
  <c r="P91" i="20"/>
  <c r="O91" i="20"/>
  <c r="N91" i="20"/>
  <c r="M91" i="20"/>
  <c r="L91" i="20"/>
  <c r="K91" i="20"/>
  <c r="F91" i="20"/>
  <c r="AR90" i="20"/>
  <c r="AS90" i="20" s="1"/>
  <c r="AK90" i="20"/>
  <c r="AJ90" i="20"/>
  <c r="AB90" i="20"/>
  <c r="AC90" i="20" s="1"/>
  <c r="W90" i="20"/>
  <c r="V90" i="20"/>
  <c r="S90" i="20"/>
  <c r="R90" i="20"/>
  <c r="Q90" i="20"/>
  <c r="P90" i="20"/>
  <c r="O90" i="20"/>
  <c r="M90" i="20"/>
  <c r="K90" i="20"/>
  <c r="F90" i="20"/>
  <c r="BD90" i="20" s="1"/>
  <c r="BE90" i="20" s="1"/>
  <c r="AR89" i="20"/>
  <c r="AS89" i="20" s="1"/>
  <c r="AG89" i="20"/>
  <c r="AF89" i="20"/>
  <c r="AB89" i="20"/>
  <c r="AC89" i="20" s="1"/>
  <c r="W89" i="20"/>
  <c r="V89" i="20"/>
  <c r="S89" i="20"/>
  <c r="Q89" i="20"/>
  <c r="P89" i="20"/>
  <c r="O89" i="20"/>
  <c r="N89" i="20"/>
  <c r="L89" i="20"/>
  <c r="K89" i="20"/>
  <c r="F89" i="20"/>
  <c r="AZ89" i="20" s="1"/>
  <c r="BA89" i="20" s="1"/>
  <c r="AZ88" i="20"/>
  <c r="BA88" i="20" s="1"/>
  <c r="AR88" i="20"/>
  <c r="AS88" i="20" s="1"/>
  <c r="AO88" i="20"/>
  <c r="AN88" i="20"/>
  <c r="AJ88" i="20"/>
  <c r="AK88" i="20" s="1"/>
  <c r="AF88" i="20"/>
  <c r="AG88" i="20" s="1"/>
  <c r="AA88" i="20"/>
  <c r="W88" i="20"/>
  <c r="V88" i="20"/>
  <c r="S88" i="20"/>
  <c r="R88" i="20"/>
  <c r="Q88" i="20"/>
  <c r="P88" i="20"/>
  <c r="N88" i="20"/>
  <c r="M88" i="20"/>
  <c r="K88" i="20"/>
  <c r="J88" i="20"/>
  <c r="F88" i="20"/>
  <c r="BD88" i="20" s="1"/>
  <c r="BE88" i="20" s="1"/>
  <c r="W87" i="20"/>
  <c r="V87" i="20"/>
  <c r="F87" i="20"/>
  <c r="BD86" i="20"/>
  <c r="BE86" i="20" s="1"/>
  <c r="AF86" i="20"/>
  <c r="AG86" i="20" s="1"/>
  <c r="W86" i="20"/>
  <c r="V86" i="20"/>
  <c r="R86" i="20"/>
  <c r="K86" i="20"/>
  <c r="J86" i="20"/>
  <c r="F86" i="20"/>
  <c r="BD85" i="20"/>
  <c r="BE85" i="20" s="1"/>
  <c r="AF85" i="20"/>
  <c r="AG85" i="20" s="1"/>
  <c r="W85" i="20"/>
  <c r="V85" i="20"/>
  <c r="Q85" i="20"/>
  <c r="N85" i="20"/>
  <c r="M85" i="20"/>
  <c r="L85" i="20"/>
  <c r="J85" i="20"/>
  <c r="F85" i="20"/>
  <c r="AR84" i="20"/>
  <c r="AS84" i="20" s="1"/>
  <c r="AK84" i="20"/>
  <c r="AJ84" i="20"/>
  <c r="W84" i="20"/>
  <c r="V84" i="20"/>
  <c r="Q84" i="20"/>
  <c r="P84" i="20"/>
  <c r="O84" i="20"/>
  <c r="N84" i="20"/>
  <c r="M84" i="20"/>
  <c r="L84" i="20"/>
  <c r="K84" i="20"/>
  <c r="J84" i="20"/>
  <c r="F84" i="20"/>
  <c r="BD84" i="20" s="1"/>
  <c r="BE84" i="20" s="1"/>
  <c r="AZ83" i="20"/>
  <c r="BA83" i="20" s="1"/>
  <c r="AV83" i="20"/>
  <c r="AW83" i="20" s="1"/>
  <c r="AR83" i="20"/>
  <c r="AS83" i="20" s="1"/>
  <c r="AN83" i="20"/>
  <c r="AO83" i="20" s="1"/>
  <c r="AF83" i="20"/>
  <c r="AG83" i="20" s="1"/>
  <c r="AA83" i="20"/>
  <c r="W83" i="20"/>
  <c r="V83" i="20"/>
  <c r="S83" i="20"/>
  <c r="R83" i="20"/>
  <c r="Q83" i="20"/>
  <c r="P83" i="20"/>
  <c r="O83" i="20"/>
  <c r="N83" i="20"/>
  <c r="M83" i="20"/>
  <c r="L83" i="20"/>
  <c r="K83" i="20"/>
  <c r="J83" i="20"/>
  <c r="F83" i="20"/>
  <c r="BD83" i="20" s="1"/>
  <c r="BE83" i="20" s="1"/>
  <c r="W82" i="20"/>
  <c r="V82" i="20"/>
  <c r="O82" i="20"/>
  <c r="M82" i="20"/>
  <c r="F82" i="20"/>
  <c r="BE81" i="20"/>
  <c r="BD81" i="20"/>
  <c r="BA81" i="20"/>
  <c r="AZ81" i="20"/>
  <c r="AV81" i="20"/>
  <c r="AW81" i="20" s="1"/>
  <c r="AR81" i="20"/>
  <c r="AS81" i="20" s="1"/>
  <c r="AO81" i="20"/>
  <c r="AN81" i="20"/>
  <c r="AJ81" i="20"/>
  <c r="AK81" i="20" s="1"/>
  <c r="AG81" i="20"/>
  <c r="AF81" i="20"/>
  <c r="AB81" i="20"/>
  <c r="AC81" i="20" s="1"/>
  <c r="AA81" i="20"/>
  <c r="W81" i="20"/>
  <c r="V81" i="20"/>
  <c r="S81" i="20"/>
  <c r="Q81" i="20"/>
  <c r="P81" i="20"/>
  <c r="O81" i="20"/>
  <c r="N81" i="20"/>
  <c r="M81" i="20"/>
  <c r="L81" i="20"/>
  <c r="K81" i="20"/>
  <c r="J81" i="20"/>
  <c r="F81" i="20"/>
  <c r="R81" i="20" s="1"/>
  <c r="BD80" i="20"/>
  <c r="BE80" i="20" s="1"/>
  <c r="AZ80" i="20"/>
  <c r="BA80" i="20" s="1"/>
  <c r="AS80" i="20"/>
  <c r="AR80" i="20"/>
  <c r="AN80" i="20"/>
  <c r="AO80" i="20" s="1"/>
  <c r="AK80" i="20"/>
  <c r="AJ80" i="20"/>
  <c r="AF80" i="20"/>
  <c r="AG80" i="20" s="1"/>
  <c r="AB80" i="20"/>
  <c r="AC80" i="20" s="1"/>
  <c r="AA80" i="20"/>
  <c r="W80" i="20"/>
  <c r="V80" i="20"/>
  <c r="S80" i="20"/>
  <c r="R80" i="20"/>
  <c r="Q80" i="20"/>
  <c r="P80" i="20"/>
  <c r="O80" i="20"/>
  <c r="L80" i="20"/>
  <c r="K80" i="20"/>
  <c r="J80" i="20"/>
  <c r="F80" i="20"/>
  <c r="BD79" i="20"/>
  <c r="BE79" i="20" s="1"/>
  <c r="AV79" i="20"/>
  <c r="AW79" i="20" s="1"/>
  <c r="AN79" i="20"/>
  <c r="AO79" i="20" s="1"/>
  <c r="AJ79" i="20"/>
  <c r="AK79" i="20" s="1"/>
  <c r="AG79" i="20"/>
  <c r="AF79" i="20"/>
  <c r="AC79" i="20"/>
  <c r="AB79" i="20"/>
  <c r="AA79" i="20"/>
  <c r="W79" i="20"/>
  <c r="V79" i="20"/>
  <c r="S79" i="20"/>
  <c r="P79" i="20"/>
  <c r="O79" i="20"/>
  <c r="N79" i="20"/>
  <c r="M79" i="20"/>
  <c r="L79" i="20"/>
  <c r="K79" i="20"/>
  <c r="J79" i="20"/>
  <c r="F79" i="20"/>
  <c r="BD78" i="20"/>
  <c r="BE78" i="20" s="1"/>
  <c r="AW78" i="20"/>
  <c r="AV78" i="20"/>
  <c r="AR78" i="20"/>
  <c r="AS78" i="20" s="1"/>
  <c r="AO78" i="20"/>
  <c r="AN78" i="20"/>
  <c r="AJ78" i="20"/>
  <c r="AK78" i="20" s="1"/>
  <c r="AG78" i="20"/>
  <c r="AF78" i="20"/>
  <c r="AC78" i="20"/>
  <c r="AB78" i="20"/>
  <c r="W78" i="20"/>
  <c r="V78" i="20"/>
  <c r="S78" i="20"/>
  <c r="R78" i="20"/>
  <c r="Q78" i="20"/>
  <c r="P78" i="20"/>
  <c r="O78" i="20"/>
  <c r="M78" i="20"/>
  <c r="K78" i="20"/>
  <c r="J78" i="20"/>
  <c r="F78" i="20"/>
  <c r="AW77" i="20"/>
  <c r="AV77" i="20"/>
  <c r="AR77" i="20"/>
  <c r="AS77" i="20" s="1"/>
  <c r="AO77" i="20"/>
  <c r="AN77" i="20"/>
  <c r="AK77" i="20"/>
  <c r="AJ77" i="20"/>
  <c r="AB77" i="20"/>
  <c r="AC77" i="20" s="1"/>
  <c r="AA77" i="20"/>
  <c r="W77" i="20"/>
  <c r="V77" i="20"/>
  <c r="S77" i="20"/>
  <c r="Q77" i="20"/>
  <c r="P77" i="20"/>
  <c r="O77" i="20"/>
  <c r="N77" i="20"/>
  <c r="M77" i="20"/>
  <c r="L77" i="20"/>
  <c r="J77" i="20"/>
  <c r="F77" i="20"/>
  <c r="BD77" i="20" s="1"/>
  <c r="BE77" i="20" s="1"/>
  <c r="AZ76" i="20"/>
  <c r="BA76" i="20" s="1"/>
  <c r="AV76" i="20"/>
  <c r="AW76" i="20" s="1"/>
  <c r="AN76" i="20"/>
  <c r="AO76" i="20" s="1"/>
  <c r="AJ76" i="20"/>
  <c r="AK76" i="20" s="1"/>
  <c r="AF76" i="20"/>
  <c r="AG76" i="20" s="1"/>
  <c r="AA76" i="20"/>
  <c r="W76" i="20"/>
  <c r="V76" i="20"/>
  <c r="S76" i="20"/>
  <c r="R76" i="20"/>
  <c r="Q76" i="20"/>
  <c r="P76" i="20"/>
  <c r="O76" i="20"/>
  <c r="N76" i="20"/>
  <c r="L76" i="20"/>
  <c r="K76" i="20"/>
  <c r="F76" i="20"/>
  <c r="BD76" i="20" s="1"/>
  <c r="BE76" i="20" s="1"/>
  <c r="BE75" i="20"/>
  <c r="BD75" i="20"/>
  <c r="BA75" i="20"/>
  <c r="AV75" i="20"/>
  <c r="AW75" i="20" s="1"/>
  <c r="AR75" i="20"/>
  <c r="AS75" i="20" s="1"/>
  <c r="AN75" i="20"/>
  <c r="AO75" i="20" s="1"/>
  <c r="AK75" i="20"/>
  <c r="AJ75" i="20"/>
  <c r="AF75" i="20"/>
  <c r="AG75" i="20" s="1"/>
  <c r="AC75" i="20"/>
  <c r="AB75" i="20"/>
  <c r="AA75" i="20"/>
  <c r="W75" i="20"/>
  <c r="V75" i="20"/>
  <c r="S75" i="20"/>
  <c r="R75" i="20"/>
  <c r="Q75" i="20"/>
  <c r="P75" i="20"/>
  <c r="O75" i="20"/>
  <c r="N75" i="20"/>
  <c r="M75" i="20"/>
  <c r="L75" i="20"/>
  <c r="K75" i="20"/>
  <c r="J75" i="20"/>
  <c r="F75" i="20"/>
  <c r="AZ75" i="20" s="1"/>
  <c r="AR74" i="20"/>
  <c r="AS74" i="20" s="1"/>
  <c r="AA74" i="20"/>
  <c r="W74" i="20"/>
  <c r="V74" i="20"/>
  <c r="S74" i="20"/>
  <c r="Q74" i="20"/>
  <c r="M74" i="20"/>
  <c r="F74" i="20"/>
  <c r="AZ73" i="20"/>
  <c r="BA73" i="20" s="1"/>
  <c r="AW73" i="20"/>
  <c r="AV73" i="20"/>
  <c r="AR73" i="20"/>
  <c r="AS73" i="20" s="1"/>
  <c r="AO73" i="20"/>
  <c r="AN73" i="20"/>
  <c r="AK73" i="20"/>
  <c r="AJ73" i="20"/>
  <c r="AF73" i="20"/>
  <c r="AG73" i="20" s="1"/>
  <c r="AB73" i="20"/>
  <c r="AC73" i="20" s="1"/>
  <c r="AA73" i="20"/>
  <c r="W73" i="20"/>
  <c r="V73" i="20"/>
  <c r="S73" i="20"/>
  <c r="Q73" i="20"/>
  <c r="M73" i="20"/>
  <c r="L73" i="20"/>
  <c r="K73" i="20"/>
  <c r="J73" i="20"/>
  <c r="F73" i="20"/>
  <c r="AV72" i="20"/>
  <c r="AW72" i="20" s="1"/>
  <c r="AS72" i="20"/>
  <c r="AR72" i="20"/>
  <c r="AO72" i="20"/>
  <c r="AN72" i="20"/>
  <c r="AJ72" i="20"/>
  <c r="AK72" i="20" s="1"/>
  <c r="AF72" i="20"/>
  <c r="AG72" i="20" s="1"/>
  <c r="AB72" i="20"/>
  <c r="AC72" i="20" s="1"/>
  <c r="AA72" i="20"/>
  <c r="W72" i="20"/>
  <c r="V72" i="20"/>
  <c r="R72" i="20"/>
  <c r="P72" i="20"/>
  <c r="O72" i="20"/>
  <c r="N72" i="20"/>
  <c r="M72" i="20"/>
  <c r="L72" i="20"/>
  <c r="F72" i="20"/>
  <c r="AZ72" i="20" s="1"/>
  <c r="BA72" i="20" s="1"/>
  <c r="AZ71" i="20"/>
  <c r="BA71" i="20" s="1"/>
  <c r="AW71" i="20"/>
  <c r="AV71" i="20"/>
  <c r="AR71" i="20"/>
  <c r="AS71" i="20" s="1"/>
  <c r="AN71" i="20"/>
  <c r="AO71" i="20" s="1"/>
  <c r="AJ71" i="20"/>
  <c r="AK71" i="20" s="1"/>
  <c r="AF71" i="20"/>
  <c r="AG71" i="20" s="1"/>
  <c r="W71" i="20"/>
  <c r="V71" i="20"/>
  <c r="R71" i="20"/>
  <c r="Q71" i="20"/>
  <c r="P71" i="20"/>
  <c r="O71" i="20"/>
  <c r="N71" i="20"/>
  <c r="M71" i="20"/>
  <c r="L71" i="20"/>
  <c r="F71" i="20"/>
  <c r="BD71" i="20" s="1"/>
  <c r="BE71" i="20" s="1"/>
  <c r="BD70" i="20"/>
  <c r="BE70" i="20" s="1"/>
  <c r="AZ70" i="20"/>
  <c r="BA70" i="20" s="1"/>
  <c r="AV70" i="20"/>
  <c r="AW70" i="20" s="1"/>
  <c r="AR70" i="20"/>
  <c r="AS70" i="20" s="1"/>
  <c r="AO70" i="20"/>
  <c r="AN70" i="20"/>
  <c r="AF70" i="20"/>
  <c r="AG70" i="20" s="1"/>
  <c r="AB70" i="20"/>
  <c r="AC70" i="20" s="1"/>
  <c r="AA70" i="20"/>
  <c r="W70" i="20"/>
  <c r="V70" i="20"/>
  <c r="S70" i="20"/>
  <c r="R70" i="20"/>
  <c r="Q70" i="20"/>
  <c r="P70" i="20"/>
  <c r="O70" i="20"/>
  <c r="M70" i="20"/>
  <c r="K70" i="20"/>
  <c r="J70" i="20"/>
  <c r="F70" i="20"/>
  <c r="BD69" i="20"/>
  <c r="BE69" i="20" s="1"/>
  <c r="AZ69" i="20"/>
  <c r="BA69" i="20" s="1"/>
  <c r="AW69" i="20"/>
  <c r="AV69" i="20"/>
  <c r="AN69" i="20"/>
  <c r="AO69" i="20" s="1"/>
  <c r="AK69" i="20"/>
  <c r="AJ69" i="20"/>
  <c r="AF69" i="20"/>
  <c r="AG69" i="20" s="1"/>
  <c r="AA69" i="20"/>
  <c r="W69" i="20"/>
  <c r="V69" i="20"/>
  <c r="S69" i="20"/>
  <c r="Q69" i="20"/>
  <c r="P69" i="20"/>
  <c r="O69" i="20"/>
  <c r="N69" i="20"/>
  <c r="M69" i="20"/>
  <c r="L69" i="20"/>
  <c r="F69" i="20"/>
  <c r="AZ68" i="20"/>
  <c r="BA68" i="20" s="1"/>
  <c r="AV68" i="20"/>
  <c r="AW68" i="20" s="1"/>
  <c r="AR68" i="20"/>
  <c r="AS68" i="20" s="1"/>
  <c r="AK68" i="20"/>
  <c r="AJ68" i="20"/>
  <c r="AB68" i="20"/>
  <c r="AC68" i="20" s="1"/>
  <c r="AA68" i="20"/>
  <c r="W68" i="20"/>
  <c r="V68" i="20"/>
  <c r="S68" i="20"/>
  <c r="R68" i="20"/>
  <c r="Q68" i="20"/>
  <c r="P68" i="20"/>
  <c r="O68" i="20"/>
  <c r="N68" i="20"/>
  <c r="M68" i="20"/>
  <c r="L68" i="20"/>
  <c r="F68" i="20"/>
  <c r="BD67" i="20"/>
  <c r="BE67" i="20" s="1"/>
  <c r="BA67" i="20"/>
  <c r="AZ67" i="20"/>
  <c r="AV67" i="20"/>
  <c r="AW67" i="20" s="1"/>
  <c r="AR67" i="20"/>
  <c r="AS67" i="20" s="1"/>
  <c r="AJ67" i="20"/>
  <c r="AK67" i="20" s="1"/>
  <c r="AF67" i="20"/>
  <c r="AG67" i="20" s="1"/>
  <c r="AB67" i="20"/>
  <c r="AC67" i="20" s="1"/>
  <c r="AA67" i="20"/>
  <c r="W67" i="20"/>
  <c r="V67" i="20"/>
  <c r="S67" i="20"/>
  <c r="R67" i="20"/>
  <c r="Q67" i="20"/>
  <c r="P67" i="20"/>
  <c r="M67" i="20"/>
  <c r="L67" i="20"/>
  <c r="K67" i="20"/>
  <c r="J67" i="20"/>
  <c r="F67" i="20"/>
  <c r="W66" i="20"/>
  <c r="V66" i="20"/>
  <c r="P66" i="20"/>
  <c r="O66" i="20"/>
  <c r="F66" i="20"/>
  <c r="AB66" i="20" s="1"/>
  <c r="AC66" i="20" s="1"/>
  <c r="AR65" i="20"/>
  <c r="AS65" i="20" s="1"/>
  <c r="AN65" i="20"/>
  <c r="AO65" i="20" s="1"/>
  <c r="AJ65" i="20"/>
  <c r="AK65" i="20" s="1"/>
  <c r="AG65" i="20"/>
  <c r="AF65" i="20"/>
  <c r="W65" i="20"/>
  <c r="V65" i="20"/>
  <c r="Q65" i="20"/>
  <c r="P65" i="20"/>
  <c r="O65" i="20"/>
  <c r="N65" i="20"/>
  <c r="M65" i="20"/>
  <c r="L65" i="20"/>
  <c r="K65" i="20"/>
  <c r="J65" i="20"/>
  <c r="F65" i="20"/>
  <c r="BD65" i="20" s="1"/>
  <c r="BE65" i="20" s="1"/>
  <c r="AR64" i="20"/>
  <c r="AS64" i="20" s="1"/>
  <c r="AO64" i="20"/>
  <c r="AN64" i="20"/>
  <c r="AF64" i="20"/>
  <c r="AG64" i="20" s="1"/>
  <c r="AB64" i="20"/>
  <c r="AC64" i="20" s="1"/>
  <c r="AA64" i="20"/>
  <c r="W64" i="20"/>
  <c r="V64" i="20"/>
  <c r="Q64" i="20"/>
  <c r="P64" i="20"/>
  <c r="O64" i="20"/>
  <c r="N64" i="20"/>
  <c r="M64" i="20"/>
  <c r="L64" i="20"/>
  <c r="K64" i="20"/>
  <c r="J64" i="20"/>
  <c r="F64" i="20"/>
  <c r="BD64" i="20" s="1"/>
  <c r="BE64" i="20" s="1"/>
  <c r="W63" i="20"/>
  <c r="V63" i="20"/>
  <c r="Q63" i="20"/>
  <c r="N63" i="20"/>
  <c r="L63" i="20"/>
  <c r="K63" i="20"/>
  <c r="F63" i="20"/>
  <c r="AB63" i="20" s="1"/>
  <c r="AC63" i="20" s="1"/>
  <c r="W62" i="20"/>
  <c r="V62" i="20"/>
  <c r="Q62" i="20"/>
  <c r="P62" i="20"/>
  <c r="O62" i="20"/>
  <c r="M62" i="20"/>
  <c r="K62" i="20"/>
  <c r="F62" i="20"/>
  <c r="AB61" i="20"/>
  <c r="AC61" i="20" s="1"/>
  <c r="W61" i="20"/>
  <c r="V61" i="20"/>
  <c r="P61" i="20"/>
  <c r="O61" i="20"/>
  <c r="N61" i="20"/>
  <c r="J61" i="20"/>
  <c r="F61" i="20"/>
  <c r="W60" i="20"/>
  <c r="V60" i="20"/>
  <c r="N60" i="20"/>
  <c r="L60" i="20"/>
  <c r="F60" i="20"/>
  <c r="BD60" i="20" s="1"/>
  <c r="BE60" i="20" s="1"/>
  <c r="BD59" i="20"/>
  <c r="BE59" i="20" s="1"/>
  <c r="BA59" i="20"/>
  <c r="AZ59" i="20"/>
  <c r="W59" i="20"/>
  <c r="V59" i="20"/>
  <c r="M59" i="20"/>
  <c r="K59" i="20"/>
  <c r="J59" i="20"/>
  <c r="F59" i="20"/>
  <c r="AF59" i="20" s="1"/>
  <c r="AG59" i="20" s="1"/>
  <c r="W58" i="20"/>
  <c r="V58" i="20"/>
  <c r="R58" i="20"/>
  <c r="K58" i="20"/>
  <c r="F58" i="20"/>
  <c r="BE57" i="20"/>
  <c r="BD57" i="20"/>
  <c r="AZ57" i="20"/>
  <c r="BA57" i="20" s="1"/>
  <c r="AF57" i="20"/>
  <c r="AG57" i="20" s="1"/>
  <c r="AA57" i="20"/>
  <c r="W57" i="20"/>
  <c r="V57" i="20"/>
  <c r="S57" i="20"/>
  <c r="M57" i="20"/>
  <c r="L57" i="20"/>
  <c r="K57" i="20"/>
  <c r="J57" i="20"/>
  <c r="F57" i="20"/>
  <c r="N57" i="20" s="1"/>
  <c r="BD56" i="20"/>
  <c r="BE56" i="20" s="1"/>
  <c r="AJ56" i="20"/>
  <c r="AK56" i="20" s="1"/>
  <c r="W56" i="20"/>
  <c r="V56" i="20"/>
  <c r="Q56" i="20"/>
  <c r="N56" i="20"/>
  <c r="M56" i="20"/>
  <c r="L56" i="20"/>
  <c r="K56" i="20"/>
  <c r="J56" i="20"/>
  <c r="F56" i="20"/>
  <c r="AZ55" i="20"/>
  <c r="BA55" i="20" s="1"/>
  <c r="AF55" i="20"/>
  <c r="AG55" i="20" s="1"/>
  <c r="W55" i="20"/>
  <c r="V55" i="20"/>
  <c r="R55" i="20"/>
  <c r="N55" i="20"/>
  <c r="M55" i="20"/>
  <c r="J55" i="20"/>
  <c r="F55" i="20"/>
  <c r="O55" i="20" s="1"/>
  <c r="W54" i="20"/>
  <c r="V54" i="20"/>
  <c r="K54" i="20"/>
  <c r="F54" i="20"/>
  <c r="BE53" i="20"/>
  <c r="BD53" i="20"/>
  <c r="W53" i="20"/>
  <c r="V53" i="20"/>
  <c r="P53" i="20"/>
  <c r="L53" i="20"/>
  <c r="K53" i="20"/>
  <c r="J53" i="20"/>
  <c r="F53" i="20"/>
  <c r="AZ53" i="20" s="1"/>
  <c r="BA53" i="20" s="1"/>
  <c r="BD52" i="20"/>
  <c r="BE52" i="20" s="1"/>
  <c r="AF52" i="20"/>
  <c r="AG52" i="20" s="1"/>
  <c r="W52" i="20"/>
  <c r="V52" i="20"/>
  <c r="S52" i="20"/>
  <c r="P52" i="20"/>
  <c r="M52" i="20"/>
  <c r="L52" i="20"/>
  <c r="K52" i="20"/>
  <c r="J52" i="20"/>
  <c r="F52" i="20"/>
  <c r="W51" i="20"/>
  <c r="V51" i="20"/>
  <c r="P51" i="20"/>
  <c r="M51" i="20"/>
  <c r="F51" i="20"/>
  <c r="BD51" i="20" s="1"/>
  <c r="BE51" i="20" s="1"/>
  <c r="BD50" i="20"/>
  <c r="BE50" i="20" s="1"/>
  <c r="AZ50" i="20"/>
  <c r="BA50" i="20" s="1"/>
  <c r="AV50" i="20"/>
  <c r="AW50" i="20" s="1"/>
  <c r="AA50" i="20"/>
  <c r="W50" i="20"/>
  <c r="V50" i="20"/>
  <c r="S50" i="20"/>
  <c r="P50" i="20"/>
  <c r="K50" i="20"/>
  <c r="J50" i="20"/>
  <c r="F50" i="20"/>
  <c r="BD49" i="20"/>
  <c r="BE49" i="20" s="1"/>
  <c r="BA49" i="20"/>
  <c r="AZ49" i="20"/>
  <c r="AV49" i="20"/>
  <c r="AW49" i="20" s="1"/>
  <c r="AR49" i="20"/>
  <c r="AS49" i="20" s="1"/>
  <c r="AO49" i="20"/>
  <c r="AN49" i="20"/>
  <c r="AJ49" i="20"/>
  <c r="AK49" i="20" s="1"/>
  <c r="AF49" i="20"/>
  <c r="AG49" i="20" s="1"/>
  <c r="AC49" i="20"/>
  <c r="AB49" i="20"/>
  <c r="AA49" i="20"/>
  <c r="W49" i="20"/>
  <c r="V49" i="20"/>
  <c r="S49" i="20"/>
  <c r="Q49" i="20"/>
  <c r="P49" i="20"/>
  <c r="O49" i="20"/>
  <c r="N49" i="20"/>
  <c r="M49" i="20"/>
  <c r="L49" i="20"/>
  <c r="K49" i="20"/>
  <c r="J49" i="20"/>
  <c r="F49" i="20"/>
  <c r="R49" i="20" s="1"/>
  <c r="BA48" i="20"/>
  <c r="AZ48" i="20"/>
  <c r="AW48" i="20"/>
  <c r="AV48" i="20"/>
  <c r="AR48" i="20"/>
  <c r="AS48" i="20" s="1"/>
  <c r="AN48" i="20"/>
  <c r="AO48" i="20" s="1"/>
  <c r="AK48" i="20"/>
  <c r="AJ48" i="20"/>
  <c r="AF48" i="20"/>
  <c r="AG48" i="20" s="1"/>
  <c r="AB48" i="20"/>
  <c r="AC48" i="20" s="1"/>
  <c r="AA48" i="20"/>
  <c r="W48" i="20"/>
  <c r="V48" i="20"/>
  <c r="S48" i="20"/>
  <c r="R48" i="20"/>
  <c r="Q48" i="20"/>
  <c r="P48" i="20"/>
  <c r="O48" i="20"/>
  <c r="L48" i="20"/>
  <c r="K48" i="20"/>
  <c r="J48" i="20"/>
  <c r="F48" i="20"/>
  <c r="W47" i="20"/>
  <c r="V47" i="20"/>
  <c r="S47" i="20"/>
  <c r="P47" i="20"/>
  <c r="F47" i="20"/>
  <c r="AF47" i="20" s="1"/>
  <c r="AG47" i="20" s="1"/>
  <c r="BD46" i="20"/>
  <c r="BE46" i="20" s="1"/>
  <c r="AF46" i="20"/>
  <c r="AG46" i="20" s="1"/>
  <c r="W46" i="20"/>
  <c r="V46" i="20"/>
  <c r="R46" i="20"/>
  <c r="P46" i="20"/>
  <c r="O46" i="20"/>
  <c r="F46" i="20"/>
  <c r="W45" i="20"/>
  <c r="V45" i="20"/>
  <c r="F45" i="20"/>
  <c r="BD45" i="20" s="1"/>
  <c r="BE45" i="20" s="1"/>
  <c r="AR44" i="20"/>
  <c r="AS44" i="20" s="1"/>
  <c r="AN44" i="20"/>
  <c r="AO44" i="20" s="1"/>
  <c r="AJ44" i="20"/>
  <c r="AK44" i="20" s="1"/>
  <c r="AF44" i="20"/>
  <c r="AG44" i="20" s="1"/>
  <c r="AB44" i="20"/>
  <c r="AC44" i="20" s="1"/>
  <c r="W44" i="20"/>
  <c r="V44" i="20"/>
  <c r="Q44" i="20"/>
  <c r="P44" i="20"/>
  <c r="O44" i="20"/>
  <c r="N44" i="20"/>
  <c r="M44" i="20"/>
  <c r="L44" i="20"/>
  <c r="K44" i="20"/>
  <c r="J44" i="20"/>
  <c r="F44" i="20"/>
  <c r="R44" i="20" s="1"/>
  <c r="AZ43" i="20"/>
  <c r="BA43" i="20" s="1"/>
  <c r="AV43" i="20"/>
  <c r="AW43" i="20" s="1"/>
  <c r="AR43" i="20"/>
  <c r="AS43" i="20" s="1"/>
  <c r="AN43" i="20"/>
  <c r="AO43" i="20" s="1"/>
  <c r="AJ43" i="20"/>
  <c r="AK43" i="20" s="1"/>
  <c r="AF43" i="20"/>
  <c r="AG43" i="20" s="1"/>
  <c r="AB43" i="20"/>
  <c r="AC43" i="20" s="1"/>
  <c r="AA43" i="20"/>
  <c r="W43" i="20"/>
  <c r="V43" i="20"/>
  <c r="S43" i="20"/>
  <c r="R43" i="20"/>
  <c r="Q43" i="20"/>
  <c r="P43" i="20"/>
  <c r="O43" i="20"/>
  <c r="N43" i="20"/>
  <c r="M43" i="20"/>
  <c r="L43" i="20"/>
  <c r="K43" i="20"/>
  <c r="J43" i="20"/>
  <c r="F43" i="20"/>
  <c r="BD43" i="20" s="1"/>
  <c r="BE43" i="20" s="1"/>
  <c r="AR42" i="20"/>
  <c r="AS42" i="20" s="1"/>
  <c r="AN42" i="20"/>
  <c r="AO42" i="20" s="1"/>
  <c r="AB42" i="20"/>
  <c r="AC42" i="20" s="1"/>
  <c r="W42" i="20"/>
  <c r="V42" i="20"/>
  <c r="S42" i="20"/>
  <c r="R42" i="20"/>
  <c r="Q42" i="20"/>
  <c r="P42" i="20"/>
  <c r="O42" i="20"/>
  <c r="M42" i="20"/>
  <c r="K42" i="20"/>
  <c r="F42" i="20"/>
  <c r="AZ42" i="20" s="1"/>
  <c r="BA42" i="20" s="1"/>
  <c r="AZ41" i="20"/>
  <c r="BA41" i="20" s="1"/>
  <c r="AV41" i="20"/>
  <c r="AW41" i="20" s="1"/>
  <c r="AS41" i="20"/>
  <c r="AR41" i="20"/>
  <c r="AN41" i="20"/>
  <c r="AO41" i="20" s="1"/>
  <c r="AG41" i="20"/>
  <c r="AF41" i="20"/>
  <c r="AC41" i="20"/>
  <c r="AB41" i="20"/>
  <c r="AA41" i="20"/>
  <c r="W41" i="20"/>
  <c r="V41" i="20"/>
  <c r="S41" i="20"/>
  <c r="Q41" i="20"/>
  <c r="P41" i="20"/>
  <c r="N41" i="20"/>
  <c r="M41" i="20"/>
  <c r="L41" i="20"/>
  <c r="K41" i="20"/>
  <c r="J41" i="20"/>
  <c r="F41" i="20"/>
  <c r="BD40" i="20"/>
  <c r="BE40" i="20" s="1"/>
  <c r="AZ40" i="20"/>
  <c r="BA40" i="20" s="1"/>
  <c r="AV40" i="20"/>
  <c r="AW40" i="20" s="1"/>
  <c r="AN40" i="20"/>
  <c r="AO40" i="20" s="1"/>
  <c r="AK40" i="20"/>
  <c r="AJ40" i="20"/>
  <c r="AF40" i="20"/>
  <c r="AG40" i="20" s="1"/>
  <c r="AB40" i="20"/>
  <c r="AC40" i="20" s="1"/>
  <c r="AA40" i="20"/>
  <c r="W40" i="20"/>
  <c r="V40" i="20"/>
  <c r="R40" i="20"/>
  <c r="Q40" i="20"/>
  <c r="P40" i="20"/>
  <c r="O40" i="20"/>
  <c r="N40" i="20"/>
  <c r="M40" i="20"/>
  <c r="L40" i="20"/>
  <c r="F40" i="20"/>
  <c r="AZ39" i="20"/>
  <c r="BA39" i="20" s="1"/>
  <c r="AV39" i="20"/>
  <c r="AW39" i="20" s="1"/>
  <c r="AR39" i="20"/>
  <c r="AS39" i="20" s="1"/>
  <c r="AN39" i="20"/>
  <c r="AO39" i="20" s="1"/>
  <c r="AK39" i="20"/>
  <c r="AJ39" i="20"/>
  <c r="AF39" i="20"/>
  <c r="AG39" i="20" s="1"/>
  <c r="AA39" i="20"/>
  <c r="W39" i="20"/>
  <c r="V39" i="20"/>
  <c r="S39" i="20"/>
  <c r="R39" i="20"/>
  <c r="Q39" i="20"/>
  <c r="P39" i="20"/>
  <c r="O39" i="20"/>
  <c r="N39" i="20"/>
  <c r="M39" i="20"/>
  <c r="F39" i="20"/>
  <c r="BD38" i="20"/>
  <c r="BE38" i="20" s="1"/>
  <c r="AV38" i="20"/>
  <c r="AW38" i="20" s="1"/>
  <c r="AS38" i="20"/>
  <c r="AR38" i="20"/>
  <c r="AN38" i="20"/>
  <c r="AO38" i="20" s="1"/>
  <c r="AF38" i="20"/>
  <c r="AG38" i="20" s="1"/>
  <c r="AC38" i="20"/>
  <c r="AB38" i="20"/>
  <c r="AA38" i="20"/>
  <c r="W38" i="20"/>
  <c r="V38" i="20"/>
  <c r="S38" i="20"/>
  <c r="R38" i="20"/>
  <c r="Q38" i="20"/>
  <c r="P38" i="20"/>
  <c r="O38" i="20"/>
  <c r="M38" i="20"/>
  <c r="J38" i="20"/>
  <c r="F38" i="20"/>
  <c r="BA37" i="20"/>
  <c r="AZ37" i="20"/>
  <c r="AV37" i="20"/>
  <c r="AW37" i="20" s="1"/>
  <c r="AN37" i="20"/>
  <c r="AO37" i="20" s="1"/>
  <c r="AK37" i="20"/>
  <c r="AJ37" i="20"/>
  <c r="AG37" i="20"/>
  <c r="AF37" i="20"/>
  <c r="AB37" i="20"/>
  <c r="AC37" i="20" s="1"/>
  <c r="AA37" i="20"/>
  <c r="W37" i="20"/>
  <c r="V37" i="20"/>
  <c r="S37" i="20"/>
  <c r="Q37" i="20"/>
  <c r="P37" i="20"/>
  <c r="N37" i="20"/>
  <c r="M37" i="20"/>
  <c r="F37" i="20"/>
  <c r="BE36" i="20"/>
  <c r="BD36" i="20"/>
  <c r="AZ36" i="20"/>
  <c r="BA36" i="20" s="1"/>
  <c r="AW36" i="20"/>
  <c r="AV36" i="20"/>
  <c r="AR36" i="20"/>
  <c r="AS36" i="20" s="1"/>
  <c r="AO36" i="20"/>
  <c r="AN36" i="20"/>
  <c r="AK36" i="20"/>
  <c r="AJ36" i="20"/>
  <c r="AF36" i="20"/>
  <c r="AG36" i="20" s="1"/>
  <c r="AB36" i="20"/>
  <c r="AC36" i="20" s="1"/>
  <c r="AA36" i="20"/>
  <c r="W36" i="20"/>
  <c r="V36" i="20"/>
  <c r="S36" i="20"/>
  <c r="Q36" i="20"/>
  <c r="P36" i="20"/>
  <c r="N36" i="20"/>
  <c r="M36" i="20"/>
  <c r="F36" i="20"/>
  <c r="AZ35" i="20"/>
  <c r="BA35" i="20" s="1"/>
  <c r="AV35" i="20"/>
  <c r="AW35" i="20" s="1"/>
  <c r="AR35" i="20"/>
  <c r="AS35" i="20" s="1"/>
  <c r="AN35" i="20"/>
  <c r="AO35" i="20" s="1"/>
  <c r="AJ35" i="20"/>
  <c r="AK35" i="20" s="1"/>
  <c r="AG35" i="20"/>
  <c r="AF35" i="20"/>
  <c r="AB35" i="20"/>
  <c r="AC35" i="20" s="1"/>
  <c r="AA35" i="20"/>
  <c r="W35" i="20"/>
  <c r="V35" i="20"/>
  <c r="S35" i="20"/>
  <c r="Q35" i="20"/>
  <c r="P35" i="20"/>
  <c r="O35" i="20"/>
  <c r="J35" i="20"/>
  <c r="F35" i="20"/>
  <c r="BD34" i="20"/>
  <c r="BE34" i="20" s="1"/>
  <c r="AZ34" i="20"/>
  <c r="BA34" i="20" s="1"/>
  <c r="AV34" i="20"/>
  <c r="AW34" i="20" s="1"/>
  <c r="AS34" i="20"/>
  <c r="AR34" i="20"/>
  <c r="AN34" i="20"/>
  <c r="AO34" i="20" s="1"/>
  <c r="AK34" i="20"/>
  <c r="AJ34" i="20"/>
  <c r="AG34" i="20"/>
  <c r="AF34" i="20"/>
  <c r="AB34" i="20"/>
  <c r="AC34" i="20" s="1"/>
  <c r="AA34" i="20"/>
  <c r="W34" i="20"/>
  <c r="V34" i="20"/>
  <c r="S34" i="20"/>
  <c r="Q34" i="20"/>
  <c r="P34" i="20"/>
  <c r="J34" i="20"/>
  <c r="F34" i="20"/>
  <c r="BD33" i="20"/>
  <c r="BE33" i="20" s="1"/>
  <c r="AZ33" i="20"/>
  <c r="BA33" i="20" s="1"/>
  <c r="AV33" i="20"/>
  <c r="AW33" i="20" s="1"/>
  <c r="AR33" i="20"/>
  <c r="AS33" i="20" s="1"/>
  <c r="AK33" i="20"/>
  <c r="AJ33" i="20"/>
  <c r="AG33" i="20"/>
  <c r="AF33" i="20"/>
  <c r="W33" i="20"/>
  <c r="V33" i="20"/>
  <c r="K33" i="20"/>
  <c r="F33" i="20"/>
  <c r="BD32" i="20"/>
  <c r="BE32" i="20" s="1"/>
  <c r="AZ32" i="20"/>
  <c r="BA32" i="20" s="1"/>
  <c r="AV32" i="20"/>
  <c r="AW32" i="20" s="1"/>
  <c r="AS32" i="20"/>
  <c r="AR32" i="20"/>
  <c r="AN32" i="20"/>
  <c r="AO32" i="20" s="1"/>
  <c r="AK32" i="20"/>
  <c r="AF32" i="20"/>
  <c r="AG32" i="20" s="1"/>
  <c r="AB32" i="20"/>
  <c r="AC32" i="20" s="1"/>
  <c r="AA32" i="20"/>
  <c r="W32" i="20"/>
  <c r="V32" i="20"/>
  <c r="Q32" i="20"/>
  <c r="O32" i="20"/>
  <c r="N32" i="20"/>
  <c r="M32" i="20"/>
  <c r="L32" i="20"/>
  <c r="K32" i="20"/>
  <c r="J32" i="20"/>
  <c r="F32" i="20"/>
  <c r="AJ32" i="20" s="1"/>
  <c r="AZ31" i="20"/>
  <c r="BA31" i="20" s="1"/>
  <c r="AV31" i="20"/>
  <c r="AW31" i="20" s="1"/>
  <c r="AR31" i="20"/>
  <c r="AS31" i="20" s="1"/>
  <c r="AJ31" i="20"/>
  <c r="AK31" i="20" s="1"/>
  <c r="AG31" i="20"/>
  <c r="AF31" i="20"/>
  <c r="W31" i="20"/>
  <c r="V31" i="20"/>
  <c r="R31" i="20"/>
  <c r="Q31" i="20"/>
  <c r="P31" i="20"/>
  <c r="O31" i="20"/>
  <c r="N31" i="20"/>
  <c r="M31" i="20"/>
  <c r="K31" i="20"/>
  <c r="F31" i="20"/>
  <c r="AN31" i="20" s="1"/>
  <c r="AO31" i="20" s="1"/>
  <c r="BD30" i="20"/>
  <c r="BE30" i="20" s="1"/>
  <c r="AZ30" i="20"/>
  <c r="BA30" i="20" s="1"/>
  <c r="AR30" i="20"/>
  <c r="AS30" i="20" s="1"/>
  <c r="AO30" i="20"/>
  <c r="AN30" i="20"/>
  <c r="W30" i="20"/>
  <c r="V30" i="20"/>
  <c r="R30" i="20"/>
  <c r="Q30" i="20"/>
  <c r="P30" i="20"/>
  <c r="F30" i="20"/>
  <c r="AZ29" i="20"/>
  <c r="BA29" i="20" s="1"/>
  <c r="AV29" i="20"/>
  <c r="AW29" i="20" s="1"/>
  <c r="AR29" i="20"/>
  <c r="AS29" i="20" s="1"/>
  <c r="AB29" i="20"/>
  <c r="AC29" i="20" s="1"/>
  <c r="W29" i="20"/>
  <c r="V29" i="20"/>
  <c r="S29" i="20"/>
  <c r="K29" i="20"/>
  <c r="J29" i="20"/>
  <c r="F29" i="20"/>
  <c r="AJ28" i="20"/>
  <c r="AK28" i="20" s="1"/>
  <c r="W28" i="20"/>
  <c r="V28" i="20"/>
  <c r="M28" i="20"/>
  <c r="F28" i="20"/>
  <c r="BD28" i="20" s="1"/>
  <c r="BE28" i="20" s="1"/>
  <c r="BE27" i="20"/>
  <c r="BD27" i="20"/>
  <c r="BA27" i="20"/>
  <c r="AZ27" i="20"/>
  <c r="AV27" i="20"/>
  <c r="AW27" i="20" s="1"/>
  <c r="AR27" i="20"/>
  <c r="AS27" i="20" s="1"/>
  <c r="AN27" i="20"/>
  <c r="AO27" i="20" s="1"/>
  <c r="AK27" i="20"/>
  <c r="AJ27" i="20"/>
  <c r="AF27" i="20"/>
  <c r="AG27" i="20" s="1"/>
  <c r="AC27" i="20"/>
  <c r="AB27" i="20"/>
  <c r="AA27" i="20"/>
  <c r="X27" i="20"/>
  <c r="W27" i="20"/>
  <c r="V27" i="20"/>
  <c r="S27" i="20"/>
  <c r="R27" i="20"/>
  <c r="Q27" i="20"/>
  <c r="P27" i="20"/>
  <c r="O27" i="20"/>
  <c r="N27" i="20"/>
  <c r="M27" i="20"/>
  <c r="L27" i="20"/>
  <c r="K27" i="20"/>
  <c r="J27" i="20"/>
  <c r="F27" i="20"/>
  <c r="AZ26" i="20"/>
  <c r="BA26" i="20" s="1"/>
  <c r="AW26" i="20"/>
  <c r="AV26" i="20"/>
  <c r="AR26" i="20"/>
  <c r="AS26" i="20" s="1"/>
  <c r="AO26" i="20"/>
  <c r="AN26" i="20"/>
  <c r="AK26" i="20"/>
  <c r="AJ26" i="20"/>
  <c r="AF26" i="20"/>
  <c r="AG26" i="20" s="1"/>
  <c r="AB26" i="20"/>
  <c r="AC26" i="20" s="1"/>
  <c r="AA26" i="20"/>
  <c r="W26" i="20"/>
  <c r="V26" i="20"/>
  <c r="S26" i="20"/>
  <c r="R26" i="20"/>
  <c r="Q26" i="20"/>
  <c r="P26" i="20"/>
  <c r="J26" i="20"/>
  <c r="F26" i="20"/>
  <c r="BD25" i="20"/>
  <c r="BE25" i="20" s="1"/>
  <c r="AF25" i="20"/>
  <c r="AG25" i="20" s="1"/>
  <c r="AB25" i="20"/>
  <c r="AC25" i="20" s="1"/>
  <c r="AA25" i="20"/>
  <c r="W25" i="20"/>
  <c r="V25" i="20"/>
  <c r="F25" i="20"/>
  <c r="K25" i="20" s="1"/>
  <c r="BD24" i="20"/>
  <c r="BE24" i="20" s="1"/>
  <c r="AW24" i="20"/>
  <c r="AV24" i="20"/>
  <c r="AR24" i="20"/>
  <c r="AS24" i="20" s="1"/>
  <c r="AN24" i="20"/>
  <c r="AO24" i="20" s="1"/>
  <c r="AB24" i="20"/>
  <c r="AC24" i="20" s="1"/>
  <c r="AA24" i="20"/>
  <c r="X24" i="20"/>
  <c r="W24" i="20"/>
  <c r="V24" i="20"/>
  <c r="R24" i="20"/>
  <c r="P24" i="20"/>
  <c r="O24" i="20"/>
  <c r="N24" i="20"/>
  <c r="M24" i="20"/>
  <c r="L24" i="20"/>
  <c r="K24" i="20"/>
  <c r="F24" i="20"/>
  <c r="BE23" i="20"/>
  <c r="BD23" i="20"/>
  <c r="AZ23" i="20"/>
  <c r="BA23" i="20" s="1"/>
  <c r="AV23" i="20"/>
  <c r="AW23" i="20" s="1"/>
  <c r="AR23" i="20"/>
  <c r="AS23" i="20" s="1"/>
  <c r="AO23" i="20"/>
  <c r="AN23" i="20"/>
  <c r="AK23" i="20"/>
  <c r="AJ23" i="20"/>
  <c r="AG23" i="20"/>
  <c r="AF23" i="20"/>
  <c r="AC23" i="20"/>
  <c r="AB23" i="20"/>
  <c r="AA23" i="20"/>
  <c r="X23" i="20"/>
  <c r="W23" i="20"/>
  <c r="V23" i="20"/>
  <c r="S23" i="20"/>
  <c r="R23" i="20"/>
  <c r="Q23" i="20"/>
  <c r="P23" i="20"/>
  <c r="O23" i="20"/>
  <c r="N23" i="20"/>
  <c r="M23" i="20"/>
  <c r="L23" i="20"/>
  <c r="K23" i="20"/>
  <c r="J23" i="20"/>
  <c r="F23" i="20"/>
  <c r="BD22" i="20"/>
  <c r="BE22" i="20" s="1"/>
  <c r="AZ22" i="20"/>
  <c r="BA22" i="20" s="1"/>
  <c r="AW22" i="20"/>
  <c r="AV22" i="20"/>
  <c r="AB22" i="20"/>
  <c r="AC22" i="20" s="1"/>
  <c r="AA22" i="20"/>
  <c r="W22" i="20"/>
  <c r="V22" i="20"/>
  <c r="S22" i="20"/>
  <c r="M22" i="20"/>
  <c r="L22" i="20"/>
  <c r="K22" i="20"/>
  <c r="F22" i="20"/>
  <c r="AF22" i="20" s="1"/>
  <c r="AG22" i="20" s="1"/>
  <c r="BD21" i="20"/>
  <c r="BE21" i="20" s="1"/>
  <c r="BA21" i="20"/>
  <c r="AZ21" i="20"/>
  <c r="AV21" i="20"/>
  <c r="AW21" i="20" s="1"/>
  <c r="AS21" i="20"/>
  <c r="AR21" i="20"/>
  <c r="AN21" i="20"/>
  <c r="AO21" i="20" s="1"/>
  <c r="AK21" i="20"/>
  <c r="AJ21" i="20"/>
  <c r="AA21" i="20"/>
  <c r="X21" i="20"/>
  <c r="W21" i="20"/>
  <c r="V21" i="20"/>
  <c r="S21" i="20"/>
  <c r="R21" i="20"/>
  <c r="Q21" i="20"/>
  <c r="P21" i="20"/>
  <c r="O21" i="20"/>
  <c r="N21" i="20"/>
  <c r="M21" i="20"/>
  <c r="L21" i="20"/>
  <c r="K21" i="20"/>
  <c r="J21" i="20"/>
  <c r="F21" i="20"/>
  <c r="AV20" i="20"/>
  <c r="AW20" i="20" s="1"/>
  <c r="AS20" i="20"/>
  <c r="AN20" i="20"/>
  <c r="AO20" i="20" s="1"/>
  <c r="AJ20" i="20"/>
  <c r="AK20" i="20" s="1"/>
  <c r="AF20" i="20"/>
  <c r="AG20" i="20" s="1"/>
  <c r="AB20" i="20"/>
  <c r="AC20" i="20" s="1"/>
  <c r="AA20" i="20"/>
  <c r="X20" i="20"/>
  <c r="W20" i="20"/>
  <c r="V20" i="20"/>
  <c r="S20" i="20"/>
  <c r="R20" i="20"/>
  <c r="Q20" i="20"/>
  <c r="P20" i="20"/>
  <c r="O20" i="20"/>
  <c r="F20" i="20"/>
  <c r="AR20" i="20" s="1"/>
  <c r="AV19" i="20"/>
  <c r="AW19" i="20" s="1"/>
  <c r="AR19" i="20"/>
  <c r="AS19" i="20" s="1"/>
  <c r="AN19" i="20"/>
  <c r="AO19" i="20" s="1"/>
  <c r="AJ19" i="20"/>
  <c r="AK19" i="20" s="1"/>
  <c r="AF19" i="20"/>
  <c r="AG19" i="20" s="1"/>
  <c r="AB19" i="20"/>
  <c r="AC19" i="20" s="1"/>
  <c r="AA19" i="20"/>
  <c r="X19" i="20"/>
  <c r="W19" i="20"/>
  <c r="V19" i="20"/>
  <c r="S19" i="20"/>
  <c r="R19" i="20"/>
  <c r="Q19" i="20"/>
  <c r="P19" i="20"/>
  <c r="O19" i="20"/>
  <c r="M19" i="20"/>
  <c r="K19" i="20"/>
  <c r="J19" i="20"/>
  <c r="F19" i="20"/>
  <c r="BE18" i="20"/>
  <c r="BD18" i="20"/>
  <c r="AR18" i="20"/>
  <c r="AS18" i="20" s="1"/>
  <c r="AN18" i="20"/>
  <c r="AO18" i="20" s="1"/>
  <c r="AK18" i="20"/>
  <c r="AJ18" i="20"/>
  <c r="AG18" i="20"/>
  <c r="AF18" i="20"/>
  <c r="AC18" i="20"/>
  <c r="AB18" i="20"/>
  <c r="X18" i="20"/>
  <c r="W18" i="20"/>
  <c r="V18" i="20"/>
  <c r="P18" i="20"/>
  <c r="N18" i="20"/>
  <c r="M18" i="20"/>
  <c r="L18" i="20"/>
  <c r="K18" i="20"/>
  <c r="F18" i="20"/>
  <c r="BD17" i="20"/>
  <c r="BE17" i="20" s="1"/>
  <c r="AN17" i="20"/>
  <c r="AO17" i="20" s="1"/>
  <c r="W17" i="20"/>
  <c r="V17" i="20"/>
  <c r="R17" i="20"/>
  <c r="Q17" i="20"/>
  <c r="P17" i="20"/>
  <c r="O17" i="20"/>
  <c r="F17" i="20"/>
  <c r="X16" i="20"/>
  <c r="W16" i="20"/>
  <c r="V16" i="20"/>
  <c r="P16" i="20"/>
  <c r="M16" i="20"/>
  <c r="K16" i="20"/>
  <c r="F16" i="20"/>
  <c r="BD16" i="20" s="1"/>
  <c r="BE16" i="20" s="1"/>
  <c r="X15" i="20"/>
  <c r="W15" i="20"/>
  <c r="V15" i="20"/>
  <c r="J15" i="20"/>
  <c r="F15" i="20"/>
  <c r="BD15" i="20" s="1"/>
  <c r="BE15" i="20" s="1"/>
  <c r="BE14" i="20"/>
  <c r="BD14" i="20"/>
  <c r="AS14" i="20"/>
  <c r="AR14" i="20"/>
  <c r="AN14" i="20"/>
  <c r="AO14" i="20" s="1"/>
  <c r="AJ14" i="20"/>
  <c r="AK14" i="20" s="1"/>
  <c r="AF14" i="20"/>
  <c r="AG14" i="20" s="1"/>
  <c r="AA14" i="20"/>
  <c r="W14" i="20"/>
  <c r="V14" i="20"/>
  <c r="S14" i="20"/>
  <c r="R14" i="20"/>
  <c r="Q14" i="20"/>
  <c r="P14" i="20"/>
  <c r="O14" i="20"/>
  <c r="N14" i="20"/>
  <c r="M14" i="20"/>
  <c r="L14" i="20"/>
  <c r="K14" i="20"/>
  <c r="J14" i="20"/>
  <c r="F14" i="20"/>
  <c r="AV13" i="20"/>
  <c r="AW13" i="20" s="1"/>
  <c r="AS13" i="20"/>
  <c r="AR13" i="20"/>
  <c r="AF13" i="20"/>
  <c r="AG13" i="20" s="1"/>
  <c r="AB13" i="20"/>
  <c r="AC13" i="20" s="1"/>
  <c r="AA13" i="20"/>
  <c r="W13" i="20"/>
  <c r="V13" i="20"/>
  <c r="S13" i="20"/>
  <c r="R13" i="20"/>
  <c r="Q13" i="20"/>
  <c r="P13" i="20"/>
  <c r="O13" i="20"/>
  <c r="N13" i="20"/>
  <c r="F13" i="20"/>
  <c r="AZ13" i="20" s="1"/>
  <c r="BA13" i="20" s="1"/>
  <c r="AR12" i="20"/>
  <c r="AS12" i="20" s="1"/>
  <c r="AK12" i="20"/>
  <c r="AJ12" i="20"/>
  <c r="AF12" i="20"/>
  <c r="AG12" i="20" s="1"/>
  <c r="AB12" i="20"/>
  <c r="AC12" i="20" s="1"/>
  <c r="AA12" i="20"/>
  <c r="X12" i="20"/>
  <c r="W12" i="20"/>
  <c r="V12" i="20"/>
  <c r="S12" i="20"/>
  <c r="R12" i="20"/>
  <c r="F12" i="20"/>
  <c r="K12" i="20" s="1"/>
  <c r="BD11" i="20"/>
  <c r="BE11" i="20" s="1"/>
  <c r="AZ11" i="20"/>
  <c r="BA11" i="20" s="1"/>
  <c r="AJ11" i="20"/>
  <c r="AK11" i="20" s="1"/>
  <c r="AF11" i="20"/>
  <c r="AG11" i="20" s="1"/>
  <c r="AB11" i="20"/>
  <c r="AC11" i="20" s="1"/>
  <c r="AA11" i="20"/>
  <c r="X11" i="20"/>
  <c r="W11" i="20"/>
  <c r="V11" i="20"/>
  <c r="M11" i="20"/>
  <c r="F11" i="20"/>
  <c r="BD10" i="20"/>
  <c r="BE10" i="20" s="1"/>
  <c r="AZ10" i="20"/>
  <c r="BA10" i="20" s="1"/>
  <c r="AV10" i="20"/>
  <c r="AW10" i="20" s="1"/>
  <c r="AS10" i="20"/>
  <c r="AR10" i="20"/>
  <c r="AJ10" i="20"/>
  <c r="AK10" i="20" s="1"/>
  <c r="X10" i="20"/>
  <c r="W10" i="20"/>
  <c r="V10" i="20"/>
  <c r="Q10" i="20"/>
  <c r="P10" i="20"/>
  <c r="O10" i="20"/>
  <c r="N10" i="20"/>
  <c r="M10" i="20"/>
  <c r="F10" i="20"/>
  <c r="J10" i="20" s="1"/>
  <c r="BD9" i="20"/>
  <c r="BE9" i="20" s="1"/>
  <c r="AZ9" i="20"/>
  <c r="BA9" i="20" s="1"/>
  <c r="AV9" i="20"/>
  <c r="AW9" i="20" s="1"/>
  <c r="AR9" i="20"/>
  <c r="AS9" i="20" s="1"/>
  <c r="AN9" i="20"/>
  <c r="AO9" i="20" s="1"/>
  <c r="AK9" i="20"/>
  <c r="AJ9" i="20"/>
  <c r="AF9" i="20"/>
  <c r="AG9" i="20" s="1"/>
  <c r="AC9" i="20"/>
  <c r="AB9" i="20"/>
  <c r="AA9" i="20"/>
  <c r="X9" i="20"/>
  <c r="W9" i="20"/>
  <c r="V9" i="20"/>
  <c r="S9" i="20"/>
  <c r="R9" i="20"/>
  <c r="Q9" i="20"/>
  <c r="P9" i="20"/>
  <c r="O9" i="20"/>
  <c r="N9" i="20"/>
  <c r="M9" i="20"/>
  <c r="L9" i="20"/>
  <c r="K9" i="20"/>
  <c r="J9" i="20"/>
  <c r="F9" i="20"/>
  <c r="AZ8" i="20"/>
  <c r="BA8" i="20" s="1"/>
  <c r="AB8" i="20"/>
  <c r="AC8" i="20" s="1"/>
  <c r="X8" i="20"/>
  <c r="W8" i="20"/>
  <c r="V8" i="20"/>
  <c r="S8" i="20"/>
  <c r="R8" i="20"/>
  <c r="Q8" i="20"/>
  <c r="O8" i="20"/>
  <c r="M8" i="20"/>
  <c r="F8" i="20"/>
  <c r="AS7" i="20"/>
  <c r="AR7" i="20"/>
  <c r="AO7" i="20"/>
  <c r="AN7" i="20"/>
  <c r="AG7" i="20"/>
  <c r="AF7" i="20"/>
  <c r="AC7" i="20"/>
  <c r="AB7" i="20"/>
  <c r="X7" i="20"/>
  <c r="W7" i="20"/>
  <c r="V7" i="20"/>
  <c r="S7" i="20"/>
  <c r="R7" i="20"/>
  <c r="Q7" i="20"/>
  <c r="P7" i="20"/>
  <c r="O7" i="20"/>
  <c r="F7" i="20"/>
  <c r="AA7" i="20" s="1"/>
  <c r="BD6" i="20"/>
  <c r="BE6" i="20" s="1"/>
  <c r="W6" i="20"/>
  <c r="V6" i="20"/>
  <c r="F6" i="20"/>
  <c r="AZ6" i="20" s="1"/>
  <c r="BA6" i="20" s="1"/>
  <c r="AR5" i="20"/>
  <c r="AS5" i="20" s="1"/>
  <c r="X5" i="20"/>
  <c r="W5" i="20"/>
  <c r="V5" i="20"/>
  <c r="F5" i="20"/>
  <c r="P5" i="20" s="1"/>
  <c r="BD4" i="20"/>
  <c r="BE4" i="20" s="1"/>
  <c r="AZ4" i="20"/>
  <c r="BA4" i="20" s="1"/>
  <c r="AV4" i="20"/>
  <c r="AW4" i="20" s="1"/>
  <c r="W4" i="20"/>
  <c r="V4" i="20"/>
  <c r="S4" i="20"/>
  <c r="Q4" i="20"/>
  <c r="O4" i="20"/>
  <c r="F4" i="20"/>
  <c r="L4" i="20" s="1"/>
  <c r="AF6" i="20" l="1"/>
  <c r="AG6" i="20" s="1"/>
  <c r="AZ28" i="20"/>
  <c r="BA28" i="20" s="1"/>
  <c r="R4" i="20"/>
  <c r="AB5" i="20"/>
  <c r="AC5" i="20" s="1"/>
  <c r="AA15" i="20"/>
  <c r="AZ16" i="20"/>
  <c r="BA16" i="20" s="1"/>
  <c r="S18" i="20"/>
  <c r="O18" i="20"/>
  <c r="AA18" i="20"/>
  <c r="R18" i="20"/>
  <c r="Q18" i="20"/>
  <c r="AZ18" i="20"/>
  <c r="BA18" i="20" s="1"/>
  <c r="J18" i="20"/>
  <c r="AV18" i="20"/>
  <c r="AW18" i="20" s="1"/>
  <c r="N22" i="20"/>
  <c r="AB45" i="20"/>
  <c r="AC45" i="20" s="1"/>
  <c r="S51" i="20"/>
  <c r="M53" i="20"/>
  <c r="L59" i="20"/>
  <c r="R61" i="20"/>
  <c r="M61" i="20"/>
  <c r="BD61" i="20"/>
  <c r="BE61" i="20" s="1"/>
  <c r="L61" i="20"/>
  <c r="K61" i="20"/>
  <c r="AZ61" i="20"/>
  <c r="BA61" i="20" s="1"/>
  <c r="AV61" i="20"/>
  <c r="AW61" i="20" s="1"/>
  <c r="AJ61" i="20"/>
  <c r="AK61" i="20" s="1"/>
  <c r="AR61" i="20"/>
  <c r="AS61" i="20" s="1"/>
  <c r="AN61" i="20"/>
  <c r="AO61" i="20" s="1"/>
  <c r="AF61" i="20"/>
  <c r="AG61" i="20" s="1"/>
  <c r="AA61" i="20"/>
  <c r="S61" i="20"/>
  <c r="Q61" i="20"/>
  <c r="M63" i="20"/>
  <c r="Q66" i="20"/>
  <c r="AF5" i="20"/>
  <c r="AG5" i="20" s="1"/>
  <c r="AN45" i="20"/>
  <c r="AO45" i="20" s="1"/>
  <c r="AA47" i="20"/>
  <c r="O59" i="20"/>
  <c r="O63" i="20"/>
  <c r="AF15" i="20"/>
  <c r="AG15" i="20" s="1"/>
  <c r="AJ25" i="20"/>
  <c r="AK25" i="20" s="1"/>
  <c r="R29" i="20"/>
  <c r="BD29" i="20"/>
  <c r="BE29" i="20" s="1"/>
  <c r="L29" i="20"/>
  <c r="AN29" i="20"/>
  <c r="AO29" i="20" s="1"/>
  <c r="AJ29" i="20"/>
  <c r="AK29" i="20" s="1"/>
  <c r="AF29" i="20"/>
  <c r="AG29" i="20" s="1"/>
  <c r="AA29" i="20"/>
  <c r="Q29" i="20"/>
  <c r="O29" i="20"/>
  <c r="N29" i="20"/>
  <c r="R33" i="20"/>
  <c r="AA33" i="20"/>
  <c r="S33" i="20"/>
  <c r="Q33" i="20"/>
  <c r="P33" i="20"/>
  <c r="O33" i="20"/>
  <c r="N33" i="20"/>
  <c r="M33" i="20"/>
  <c r="L33" i="20"/>
  <c r="J33" i="20"/>
  <c r="AN33" i="20"/>
  <c r="AO33" i="20" s="1"/>
  <c r="AA51" i="20"/>
  <c r="S59" i="20"/>
  <c r="P63" i="20"/>
  <c r="AR6" i="20"/>
  <c r="AS6" i="20" s="1"/>
  <c r="AJ5" i="20"/>
  <c r="AK5" i="20" s="1"/>
  <c r="S11" i="20"/>
  <c r="Q11" i="20"/>
  <c r="R11" i="20"/>
  <c r="P11" i="20"/>
  <c r="O11" i="20"/>
  <c r="N11" i="20"/>
  <c r="AV11" i="20"/>
  <c r="AW11" i="20" s="1"/>
  <c r="AR11" i="20"/>
  <c r="AS11" i="20" s="1"/>
  <c r="L87" i="20"/>
  <c r="BD87" i="20"/>
  <c r="BE87" i="20" s="1"/>
  <c r="K87" i="20"/>
  <c r="Q87" i="20"/>
  <c r="N87" i="20"/>
  <c r="AZ87" i="20"/>
  <c r="BA87" i="20" s="1"/>
  <c r="AV87" i="20"/>
  <c r="AW87" i="20" s="1"/>
  <c r="AN87" i="20"/>
  <c r="AO87" i="20" s="1"/>
  <c r="AR87" i="20"/>
  <c r="AS87" i="20" s="1"/>
  <c r="AJ87" i="20"/>
  <c r="AK87" i="20" s="1"/>
  <c r="AB87" i="20"/>
  <c r="AC87" i="20" s="1"/>
  <c r="AA87" i="20"/>
  <c r="R87" i="20"/>
  <c r="J87" i="20"/>
  <c r="N194" i="20"/>
  <c r="M194" i="20"/>
  <c r="BD194" i="20"/>
  <c r="BE194" i="20" s="1"/>
  <c r="L194" i="20"/>
  <c r="AZ194" i="20"/>
  <c r="BA194" i="20" s="1"/>
  <c r="J194" i="20"/>
  <c r="AV194" i="20"/>
  <c r="AW194" i="20" s="1"/>
  <c r="Q194" i="20"/>
  <c r="P194" i="20"/>
  <c r="O194" i="20"/>
  <c r="AN194" i="20"/>
  <c r="AO194" i="20" s="1"/>
  <c r="AF194" i="20"/>
  <c r="AG194" i="20" s="1"/>
  <c r="AB194" i="20"/>
  <c r="AC194" i="20" s="1"/>
  <c r="AA194" i="20"/>
  <c r="S194" i="20"/>
  <c r="AR194" i="20"/>
  <c r="AS194" i="20" s="1"/>
  <c r="AJ194" i="20"/>
  <c r="AK194" i="20" s="1"/>
  <c r="K194" i="20"/>
  <c r="AB15" i="20"/>
  <c r="AC15" i="20" s="1"/>
  <c r="AJ17" i="20"/>
  <c r="AK17" i="20" s="1"/>
  <c r="AF17" i="20"/>
  <c r="AG17" i="20" s="1"/>
  <c r="S17" i="20"/>
  <c r="AA17" i="20"/>
  <c r="AB17" i="20"/>
  <c r="AC17" i="20" s="1"/>
  <c r="M17" i="20"/>
  <c r="K17" i="20"/>
  <c r="AV25" i="20"/>
  <c r="AW25" i="20" s="1"/>
  <c r="N46" i="20"/>
  <c r="L46" i="20"/>
  <c r="AA46" i="20"/>
  <c r="Q46" i="20"/>
  <c r="M46" i="20"/>
  <c r="AZ46" i="20"/>
  <c r="BA46" i="20" s="1"/>
  <c r="AR46" i="20"/>
  <c r="AS46" i="20" s="1"/>
  <c r="AV46" i="20"/>
  <c r="AW46" i="20" s="1"/>
  <c r="AN46" i="20"/>
  <c r="AO46" i="20" s="1"/>
  <c r="AJ46" i="20"/>
  <c r="AK46" i="20" s="1"/>
  <c r="AB46" i="20"/>
  <c r="AC46" i="20" s="1"/>
  <c r="S46" i="20"/>
  <c r="M87" i="20"/>
  <c r="R194" i="20"/>
  <c r="P8" i="20"/>
  <c r="BD8" i="20"/>
  <c r="BE8" i="20" s="1"/>
  <c r="N8" i="20"/>
  <c r="AV8" i="20"/>
  <c r="AW8" i="20" s="1"/>
  <c r="AR8" i="20"/>
  <c r="AS8" i="20" s="1"/>
  <c r="AN8" i="20"/>
  <c r="AO8" i="20" s="1"/>
  <c r="AA8" i="20"/>
  <c r="AR25" i="20"/>
  <c r="AS25" i="20" s="1"/>
  <c r="AN5" i="20"/>
  <c r="AO5" i="20" s="1"/>
  <c r="K8" i="20"/>
  <c r="K11" i="20"/>
  <c r="AZ15" i="20"/>
  <c r="BA15" i="20" s="1"/>
  <c r="L17" i="20"/>
  <c r="M29" i="20"/>
  <c r="J46" i="20"/>
  <c r="AA59" i="20"/>
  <c r="O87" i="20"/>
  <c r="AV15" i="20"/>
  <c r="AW15" i="20" s="1"/>
  <c r="AN4" i="20"/>
  <c r="AO4" i="20" s="1"/>
  <c r="J8" i="20"/>
  <c r="AF10" i="20"/>
  <c r="AG10" i="20" s="1"/>
  <c r="AB10" i="20"/>
  <c r="AC10" i="20" s="1"/>
  <c r="AA10" i="20"/>
  <c r="R10" i="20"/>
  <c r="S10" i="20"/>
  <c r="L10" i="20"/>
  <c r="J11" i="20"/>
  <c r="J17" i="20"/>
  <c r="AR4" i="20"/>
  <c r="AS4" i="20" s="1"/>
  <c r="L8" i="20"/>
  <c r="K10" i="20"/>
  <c r="L11" i="20"/>
  <c r="N17" i="20"/>
  <c r="AZ25" i="20"/>
  <c r="BA25" i="20" s="1"/>
  <c r="P29" i="20"/>
  <c r="AB33" i="20"/>
  <c r="AC33" i="20" s="1"/>
  <c r="K46" i="20"/>
  <c r="N50" i="20"/>
  <c r="L50" i="20"/>
  <c r="AR50" i="20"/>
  <c r="AS50" i="20" s="1"/>
  <c r="AN50" i="20"/>
  <c r="AO50" i="20" s="1"/>
  <c r="AB50" i="20"/>
  <c r="AC50" i="20" s="1"/>
  <c r="AJ50" i="20"/>
  <c r="AK50" i="20" s="1"/>
  <c r="AF50" i="20"/>
  <c r="AG50" i="20" s="1"/>
  <c r="R50" i="20"/>
  <c r="Q50" i="20"/>
  <c r="O50" i="20"/>
  <c r="M50" i="20"/>
  <c r="AB52" i="20"/>
  <c r="AC52" i="20" s="1"/>
  <c r="AA52" i="20"/>
  <c r="AN52" i="20"/>
  <c r="AO52" i="20" s="1"/>
  <c r="AZ52" i="20"/>
  <c r="BA52" i="20" s="1"/>
  <c r="AV52" i="20"/>
  <c r="AW52" i="20" s="1"/>
  <c r="AJ52" i="20"/>
  <c r="AK52" i="20" s="1"/>
  <c r="AR52" i="20"/>
  <c r="AS52" i="20" s="1"/>
  <c r="R52" i="20"/>
  <c r="Q52" i="20"/>
  <c r="O52" i="20"/>
  <c r="N52" i="20"/>
  <c r="AV56" i="20"/>
  <c r="AW56" i="20" s="1"/>
  <c r="AA56" i="20"/>
  <c r="S56" i="20"/>
  <c r="AZ56" i="20"/>
  <c r="BA56" i="20" s="1"/>
  <c r="AR56" i="20"/>
  <c r="AS56" i="20" s="1"/>
  <c r="AN56" i="20"/>
  <c r="AO56" i="20" s="1"/>
  <c r="AF56" i="20"/>
  <c r="AG56" i="20" s="1"/>
  <c r="AB56" i="20"/>
  <c r="AC56" i="20" s="1"/>
  <c r="R56" i="20"/>
  <c r="P56" i="20"/>
  <c r="O56" i="20"/>
  <c r="R85" i="20"/>
  <c r="S85" i="20"/>
  <c r="P85" i="20"/>
  <c r="AZ85" i="20"/>
  <c r="BA85" i="20" s="1"/>
  <c r="AV85" i="20"/>
  <c r="AW85" i="20" s="1"/>
  <c r="AR85" i="20"/>
  <c r="AS85" i="20" s="1"/>
  <c r="AN85" i="20"/>
  <c r="AO85" i="20" s="1"/>
  <c r="AJ85" i="20"/>
  <c r="AK85" i="20" s="1"/>
  <c r="AB85" i="20"/>
  <c r="AC85" i="20" s="1"/>
  <c r="AA85" i="20"/>
  <c r="O85" i="20"/>
  <c r="K85" i="20"/>
  <c r="P87" i="20"/>
  <c r="S87" i="20"/>
  <c r="AV16" i="20"/>
  <c r="AW16" i="20" s="1"/>
  <c r="J16" i="20"/>
  <c r="AR16" i="20"/>
  <c r="AS16" i="20" s="1"/>
  <c r="AB16" i="20"/>
  <c r="AC16" i="20" s="1"/>
  <c r="AJ16" i="20"/>
  <c r="AK16" i="20" s="1"/>
  <c r="AF16" i="20"/>
  <c r="AG16" i="20" s="1"/>
  <c r="AA16" i="20"/>
  <c r="Q16" i="20"/>
  <c r="O16" i="20"/>
  <c r="P28" i="20"/>
  <c r="AV28" i="20"/>
  <c r="AW28" i="20" s="1"/>
  <c r="AR28" i="20"/>
  <c r="AS28" i="20" s="1"/>
  <c r="AN28" i="20"/>
  <c r="AO28" i="20" s="1"/>
  <c r="AF28" i="20"/>
  <c r="AG28" i="20" s="1"/>
  <c r="R28" i="20"/>
  <c r="Q28" i="20"/>
  <c r="N54" i="20"/>
  <c r="L54" i="20"/>
  <c r="P54" i="20"/>
  <c r="O54" i="20"/>
  <c r="AB54" i="20"/>
  <c r="AC54" i="20" s="1"/>
  <c r="AV54" i="20"/>
  <c r="AW54" i="20" s="1"/>
  <c r="AR54" i="20"/>
  <c r="AS54" i="20" s="1"/>
  <c r="AN54" i="20"/>
  <c r="AO54" i="20" s="1"/>
  <c r="AJ54" i="20"/>
  <c r="AK54" i="20" s="1"/>
  <c r="AA54" i="20"/>
  <c r="S54" i="20"/>
  <c r="Q54" i="20"/>
  <c r="M54" i="20"/>
  <c r="N58" i="20"/>
  <c r="L58" i="20"/>
  <c r="AF58" i="20"/>
  <c r="AG58" i="20" s="1"/>
  <c r="S58" i="20"/>
  <c r="P58" i="20"/>
  <c r="AV58" i="20"/>
  <c r="AW58" i="20" s="1"/>
  <c r="AR58" i="20"/>
  <c r="AS58" i="20" s="1"/>
  <c r="AN58" i="20"/>
  <c r="AO58" i="20" s="1"/>
  <c r="AB58" i="20"/>
  <c r="AC58" i="20" s="1"/>
  <c r="Q58" i="20"/>
  <c r="O58" i="20"/>
  <c r="L16" i="20"/>
  <c r="J28" i="20"/>
  <c r="J54" i="20"/>
  <c r="J58" i="20"/>
  <c r="N62" i="20"/>
  <c r="L62" i="20"/>
  <c r="AV62" i="20"/>
  <c r="AW62" i="20" s="1"/>
  <c r="J62" i="20"/>
  <c r="AZ62" i="20"/>
  <c r="BA62" i="20" s="1"/>
  <c r="BD62" i="20"/>
  <c r="BE62" i="20" s="1"/>
  <c r="AR62" i="20"/>
  <c r="AS62" i="20" s="1"/>
  <c r="AJ62" i="20"/>
  <c r="AK62" i="20" s="1"/>
  <c r="AN62" i="20"/>
  <c r="AO62" i="20" s="1"/>
  <c r="AF62" i="20"/>
  <c r="AG62" i="20" s="1"/>
  <c r="AA62" i="20"/>
  <c r="S62" i="20"/>
  <c r="R62" i="20"/>
  <c r="AF87" i="20"/>
  <c r="AG87" i="20" s="1"/>
  <c r="R137" i="20"/>
  <c r="P137" i="20"/>
  <c r="O137" i="20"/>
  <c r="AJ137" i="20"/>
  <c r="AK137" i="20" s="1"/>
  <c r="AF137" i="20"/>
  <c r="AG137" i="20" s="1"/>
  <c r="AB137" i="20"/>
  <c r="AC137" i="20" s="1"/>
  <c r="L137" i="20"/>
  <c r="BD137" i="20"/>
  <c r="BE137" i="20" s="1"/>
  <c r="AZ137" i="20"/>
  <c r="BA137" i="20" s="1"/>
  <c r="AV137" i="20"/>
  <c r="AW137" i="20" s="1"/>
  <c r="AR137" i="20"/>
  <c r="AS137" i="20" s="1"/>
  <c r="AN137" i="20"/>
  <c r="AO137" i="20" s="1"/>
  <c r="AA137" i="20"/>
  <c r="S137" i="20"/>
  <c r="Q137" i="20"/>
  <c r="N137" i="20"/>
  <c r="M137" i="20"/>
  <c r="K137" i="20"/>
  <c r="J137" i="20"/>
  <c r="K28" i="20"/>
  <c r="Q60" i="20"/>
  <c r="P60" i="20"/>
  <c r="M60" i="20"/>
  <c r="J60" i="20"/>
  <c r="AV60" i="20"/>
  <c r="AW60" i="20" s="1"/>
  <c r="AR60" i="20"/>
  <c r="AS60" i="20" s="1"/>
  <c r="AN60" i="20"/>
  <c r="AO60" i="20" s="1"/>
  <c r="AF60" i="20"/>
  <c r="AG60" i="20" s="1"/>
  <c r="AB60" i="20"/>
  <c r="AC60" i="20" s="1"/>
  <c r="R60" i="20"/>
  <c r="O60" i="20"/>
  <c r="N82" i="20"/>
  <c r="L82" i="20"/>
  <c r="AR82" i="20"/>
  <c r="AS82" i="20" s="1"/>
  <c r="AF82" i="20"/>
  <c r="AG82" i="20" s="1"/>
  <c r="AA82" i="20"/>
  <c r="BD82" i="20"/>
  <c r="BE82" i="20" s="1"/>
  <c r="AZ82" i="20"/>
  <c r="BA82" i="20" s="1"/>
  <c r="AV82" i="20"/>
  <c r="AW82" i="20" s="1"/>
  <c r="AJ82" i="20"/>
  <c r="AK82" i="20" s="1"/>
  <c r="AB82" i="20"/>
  <c r="AC82" i="20" s="1"/>
  <c r="S82" i="20"/>
  <c r="Q82" i="20"/>
  <c r="K82" i="20"/>
  <c r="Q15" i="20"/>
  <c r="O15" i="20"/>
  <c r="AN15" i="20"/>
  <c r="AO15" i="20" s="1"/>
  <c r="AR15" i="20"/>
  <c r="AS15" i="20" s="1"/>
  <c r="AJ15" i="20"/>
  <c r="AK15" i="20" s="1"/>
  <c r="S15" i="20"/>
  <c r="N16" i="20"/>
  <c r="L28" i="20"/>
  <c r="R54" i="20"/>
  <c r="M58" i="20"/>
  <c r="K60" i="20"/>
  <c r="J82" i="20"/>
  <c r="AN6" i="20"/>
  <c r="AO6" i="20" s="1"/>
  <c r="AJ6" i="20"/>
  <c r="AK6" i="20" s="1"/>
  <c r="R6" i="20"/>
  <c r="Q6" i="20"/>
  <c r="P6" i="20"/>
  <c r="O6" i="20"/>
  <c r="N6" i="20"/>
  <c r="M6" i="20"/>
  <c r="AV6" i="20"/>
  <c r="AW6" i="20" s="1"/>
  <c r="R45" i="20"/>
  <c r="AF45" i="20"/>
  <c r="AG45" i="20" s="1"/>
  <c r="S45" i="20"/>
  <c r="O45" i="20"/>
  <c r="AZ45" i="20"/>
  <c r="BA45" i="20" s="1"/>
  <c r="AV45" i="20"/>
  <c r="AW45" i="20" s="1"/>
  <c r="AR45" i="20"/>
  <c r="AS45" i="20" s="1"/>
  <c r="AJ45" i="20"/>
  <c r="AK45" i="20" s="1"/>
  <c r="AA45" i="20"/>
  <c r="Q45" i="20"/>
  <c r="AR127" i="20"/>
  <c r="AS127" i="20" s="1"/>
  <c r="AN127" i="20"/>
  <c r="AO127" i="20" s="1"/>
  <c r="Q127" i="20"/>
  <c r="P127" i="20"/>
  <c r="O127" i="20"/>
  <c r="M127" i="20"/>
  <c r="AV127" i="20"/>
  <c r="AW127" i="20" s="1"/>
  <c r="BD127" i="20"/>
  <c r="BE127" i="20" s="1"/>
  <c r="AZ127" i="20"/>
  <c r="BA127" i="20" s="1"/>
  <c r="AJ127" i="20"/>
  <c r="AK127" i="20" s="1"/>
  <c r="AF127" i="20"/>
  <c r="AG127" i="20" s="1"/>
  <c r="AB127" i="20"/>
  <c r="AC127" i="20" s="1"/>
  <c r="AA127" i="20"/>
  <c r="S127" i="20"/>
  <c r="R127" i="20"/>
  <c r="N127" i="20"/>
  <c r="L127" i="20"/>
  <c r="K127" i="20"/>
  <c r="J45" i="20"/>
  <c r="AF54" i="20"/>
  <c r="AG54" i="20" s="1"/>
  <c r="S60" i="20"/>
  <c r="P82" i="20"/>
  <c r="J127" i="20"/>
  <c r="K6" i="20"/>
  <c r="M15" i="20"/>
  <c r="AR17" i="20"/>
  <c r="AS17" i="20" s="1"/>
  <c r="S28" i="20"/>
  <c r="K45" i="20"/>
  <c r="R47" i="20"/>
  <c r="Q47" i="20"/>
  <c r="N47" i="20"/>
  <c r="K47" i="20"/>
  <c r="BD47" i="20"/>
  <c r="BE47" i="20" s="1"/>
  <c r="AV47" i="20"/>
  <c r="AW47" i="20" s="1"/>
  <c r="AZ47" i="20"/>
  <c r="BA47" i="20" s="1"/>
  <c r="AR47" i="20"/>
  <c r="AS47" i="20" s="1"/>
  <c r="AN47" i="20"/>
  <c r="AO47" i="20" s="1"/>
  <c r="AJ47" i="20"/>
  <c r="AK47" i="20" s="1"/>
  <c r="AB47" i="20"/>
  <c r="AC47" i="20" s="1"/>
  <c r="AA58" i="20"/>
  <c r="R82" i="20"/>
  <c r="L15" i="20"/>
  <c r="S16" i="20"/>
  <c r="N5" i="20"/>
  <c r="N15" i="20"/>
  <c r="L45" i="20"/>
  <c r="J47" i="20"/>
  <c r="AJ51" i="20"/>
  <c r="AK51" i="20" s="1"/>
  <c r="AN51" i="20"/>
  <c r="AO51" i="20" s="1"/>
  <c r="AZ51" i="20"/>
  <c r="BA51" i="20" s="1"/>
  <c r="AV51" i="20"/>
  <c r="AW51" i="20" s="1"/>
  <c r="AR51" i="20"/>
  <c r="AS51" i="20" s="1"/>
  <c r="AF51" i="20"/>
  <c r="AG51" i="20" s="1"/>
  <c r="AB51" i="20"/>
  <c r="AC51" i="20" s="1"/>
  <c r="R51" i="20"/>
  <c r="Q51" i="20"/>
  <c r="O51" i="20"/>
  <c r="N51" i="20"/>
  <c r="AZ54" i="20"/>
  <c r="BA54" i="20" s="1"/>
  <c r="AJ58" i="20"/>
  <c r="AK58" i="20" s="1"/>
  <c r="N66" i="20"/>
  <c r="L66" i="20"/>
  <c r="S66" i="20"/>
  <c r="R66" i="20"/>
  <c r="AR66" i="20"/>
  <c r="AS66" i="20" s="1"/>
  <c r="BD66" i="20"/>
  <c r="BE66" i="20" s="1"/>
  <c r="AZ66" i="20"/>
  <c r="BA66" i="20" s="1"/>
  <c r="AV66" i="20"/>
  <c r="AW66" i="20" s="1"/>
  <c r="AN66" i="20"/>
  <c r="AO66" i="20" s="1"/>
  <c r="AJ66" i="20"/>
  <c r="AK66" i="20" s="1"/>
  <c r="AF66" i="20"/>
  <c r="AG66" i="20" s="1"/>
  <c r="AA66" i="20"/>
  <c r="N28" i="20"/>
  <c r="M5" i="20"/>
  <c r="L6" i="20"/>
  <c r="O28" i="20"/>
  <c r="J4" i="20"/>
  <c r="S6" i="20"/>
  <c r="J25" i="20"/>
  <c r="AN10" i="20"/>
  <c r="AO10" i="20" s="1"/>
  <c r="AN11" i="20"/>
  <c r="AO11" i="20" s="1"/>
  <c r="P15" i="20"/>
  <c r="AV17" i="20"/>
  <c r="AW17" i="20" s="1"/>
  <c r="Q22" i="20"/>
  <c r="O22" i="20"/>
  <c r="AR22" i="20"/>
  <c r="AS22" i="20" s="1"/>
  <c r="AN22" i="20"/>
  <c r="AO22" i="20" s="1"/>
  <c r="AJ22" i="20"/>
  <c r="AK22" i="20" s="1"/>
  <c r="R22" i="20"/>
  <c r="P22" i="20"/>
  <c r="N30" i="20"/>
  <c r="L30" i="20"/>
  <c r="AV30" i="20"/>
  <c r="AW30" i="20" s="1"/>
  <c r="AJ30" i="20"/>
  <c r="AK30" i="20" s="1"/>
  <c r="AB30" i="20"/>
  <c r="AC30" i="20" s="1"/>
  <c r="AF30" i="20"/>
  <c r="AG30" i="20" s="1"/>
  <c r="AA30" i="20"/>
  <c r="S30" i="20"/>
  <c r="O30" i="20"/>
  <c r="K30" i="20"/>
  <c r="J30" i="20"/>
  <c r="M45" i="20"/>
  <c r="L47" i="20"/>
  <c r="J51" i="20"/>
  <c r="BD54" i="20"/>
  <c r="BE54" i="20" s="1"/>
  <c r="R57" i="20"/>
  <c r="AN57" i="20"/>
  <c r="AO57" i="20" s="1"/>
  <c r="Q57" i="20"/>
  <c r="AV57" i="20"/>
  <c r="AW57" i="20" s="1"/>
  <c r="AR57" i="20"/>
  <c r="AS57" i="20" s="1"/>
  <c r="AJ57" i="20"/>
  <c r="AK57" i="20" s="1"/>
  <c r="AB57" i="20"/>
  <c r="AC57" i="20" s="1"/>
  <c r="P57" i="20"/>
  <c r="O57" i="20"/>
  <c r="AZ58" i="20"/>
  <c r="BA58" i="20" s="1"/>
  <c r="AA60" i="20"/>
  <c r="AB62" i="20"/>
  <c r="AC62" i="20" s="1"/>
  <c r="J66" i="20"/>
  <c r="N74" i="20"/>
  <c r="L74" i="20"/>
  <c r="K74" i="20"/>
  <c r="BD74" i="20"/>
  <c r="BE74" i="20" s="1"/>
  <c r="J74" i="20"/>
  <c r="R74" i="20"/>
  <c r="O74" i="20"/>
  <c r="AZ74" i="20"/>
  <c r="BA74" i="20" s="1"/>
  <c r="AV74" i="20"/>
  <c r="AW74" i="20" s="1"/>
  <c r="AN74" i="20"/>
  <c r="AO74" i="20" s="1"/>
  <c r="AJ74" i="20"/>
  <c r="AK74" i="20" s="1"/>
  <c r="AF74" i="20"/>
  <c r="AG74" i="20" s="1"/>
  <c r="AB74" i="20"/>
  <c r="AC74" i="20" s="1"/>
  <c r="P74" i="20"/>
  <c r="N86" i="20"/>
  <c r="L86" i="20"/>
  <c r="P86" i="20"/>
  <c r="O86" i="20"/>
  <c r="S86" i="20"/>
  <c r="M86" i="20"/>
  <c r="AZ86" i="20"/>
  <c r="BA86" i="20" s="1"/>
  <c r="AV86" i="20"/>
  <c r="AW86" i="20" s="1"/>
  <c r="AR86" i="20"/>
  <c r="AS86" i="20" s="1"/>
  <c r="AN86" i="20"/>
  <c r="AO86" i="20" s="1"/>
  <c r="AJ86" i="20"/>
  <c r="AK86" i="20" s="1"/>
  <c r="AB86" i="20"/>
  <c r="AC86" i="20" s="1"/>
  <c r="AA86" i="20"/>
  <c r="Q86" i="20"/>
  <c r="J6" i="20"/>
  <c r="AZ5" i="20"/>
  <c r="BA5" i="20" s="1"/>
  <c r="L5" i="20"/>
  <c r="AV5" i="20"/>
  <c r="AW5" i="20" s="1"/>
  <c r="J5" i="20"/>
  <c r="AA5" i="20"/>
  <c r="R5" i="20"/>
  <c r="S5" i="20"/>
  <c r="BD5" i="20"/>
  <c r="BE5" i="20" s="1"/>
  <c r="K5" i="20"/>
  <c r="AJ4" i="20"/>
  <c r="AK4" i="20" s="1"/>
  <c r="AF4" i="20"/>
  <c r="AG4" i="20" s="1"/>
  <c r="AB4" i="20"/>
  <c r="AC4" i="20" s="1"/>
  <c r="AA4" i="20"/>
  <c r="P4" i="20"/>
  <c r="S25" i="20"/>
  <c r="R25" i="20"/>
  <c r="Q25" i="20"/>
  <c r="L25" i="20"/>
  <c r="P25" i="20"/>
  <c r="O25" i="20"/>
  <c r="N25" i="20"/>
  <c r="M25" i="20"/>
  <c r="AN25" i="20"/>
  <c r="AO25" i="20" s="1"/>
  <c r="K4" i="20"/>
  <c r="O5" i="20"/>
  <c r="AF8" i="20"/>
  <c r="AG8" i="20" s="1"/>
  <c r="M4" i="20"/>
  <c r="Q5" i="20"/>
  <c r="AA6" i="20"/>
  <c r="AJ8" i="20"/>
  <c r="AK8" i="20" s="1"/>
  <c r="R15" i="20"/>
  <c r="AN16" i="20"/>
  <c r="AO16" i="20" s="1"/>
  <c r="J22" i="20"/>
  <c r="AA28" i="20"/>
  <c r="M30" i="20"/>
  <c r="N45" i="20"/>
  <c r="M47" i="20"/>
  <c r="K51" i="20"/>
  <c r="R53" i="20"/>
  <c r="S53" i="20"/>
  <c r="AF53" i="20"/>
  <c r="AG53" i="20" s="1"/>
  <c r="AV53" i="20"/>
  <c r="AW53" i="20" s="1"/>
  <c r="AN53" i="20"/>
  <c r="AO53" i="20" s="1"/>
  <c r="AR53" i="20"/>
  <c r="AS53" i="20" s="1"/>
  <c r="AJ53" i="20"/>
  <c r="AK53" i="20" s="1"/>
  <c r="AB53" i="20"/>
  <c r="AC53" i="20" s="1"/>
  <c r="AA53" i="20"/>
  <c r="Q53" i="20"/>
  <c r="O53" i="20"/>
  <c r="N53" i="20"/>
  <c r="L55" i="20"/>
  <c r="BD55" i="20"/>
  <c r="BE55" i="20" s="1"/>
  <c r="K55" i="20"/>
  <c r="AV55" i="20"/>
  <c r="AW55" i="20" s="1"/>
  <c r="AR55" i="20"/>
  <c r="AS55" i="20" s="1"/>
  <c r="AN55" i="20"/>
  <c r="AO55" i="20" s="1"/>
  <c r="AJ55" i="20"/>
  <c r="AK55" i="20" s="1"/>
  <c r="AB55" i="20"/>
  <c r="AC55" i="20" s="1"/>
  <c r="AA55" i="20"/>
  <c r="S55" i="20"/>
  <c r="Q55" i="20"/>
  <c r="P55" i="20"/>
  <c r="BD58" i="20"/>
  <c r="BE58" i="20" s="1"/>
  <c r="AJ60" i="20"/>
  <c r="AK60" i="20" s="1"/>
  <c r="K66" i="20"/>
  <c r="K15" i="20"/>
  <c r="R16" i="20"/>
  <c r="N4" i="20"/>
  <c r="AB6" i="20"/>
  <c r="AC6" i="20" s="1"/>
  <c r="AZ17" i="20"/>
  <c r="BA17" i="20" s="1"/>
  <c r="AB28" i="20"/>
  <c r="AC28" i="20" s="1"/>
  <c r="P45" i="20"/>
  <c r="O47" i="20"/>
  <c r="L51" i="20"/>
  <c r="Q59" i="20"/>
  <c r="N59" i="20"/>
  <c r="AV59" i="20"/>
  <c r="AW59" i="20" s="1"/>
  <c r="AR59" i="20"/>
  <c r="AS59" i="20" s="1"/>
  <c r="AN59" i="20"/>
  <c r="AO59" i="20" s="1"/>
  <c r="AJ59" i="20"/>
  <c r="AK59" i="20" s="1"/>
  <c r="AB59" i="20"/>
  <c r="AC59" i="20" s="1"/>
  <c r="R59" i="20"/>
  <c r="P59" i="20"/>
  <c r="AZ60" i="20"/>
  <c r="BA60" i="20" s="1"/>
  <c r="AR63" i="20"/>
  <c r="AS63" i="20" s="1"/>
  <c r="AN63" i="20"/>
  <c r="AO63" i="20" s="1"/>
  <c r="J63" i="20"/>
  <c r="AZ63" i="20"/>
  <c r="BA63" i="20" s="1"/>
  <c r="BD63" i="20"/>
  <c r="BE63" i="20" s="1"/>
  <c r="AV63" i="20"/>
  <c r="AW63" i="20" s="1"/>
  <c r="AJ63" i="20"/>
  <c r="AK63" i="20" s="1"/>
  <c r="AF63" i="20"/>
  <c r="AG63" i="20" s="1"/>
  <c r="AA63" i="20"/>
  <c r="S63" i="20"/>
  <c r="R63" i="20"/>
  <c r="M66" i="20"/>
  <c r="AN82" i="20"/>
  <c r="AO82" i="20" s="1"/>
  <c r="AJ160" i="20"/>
  <c r="AK160" i="20" s="1"/>
  <c r="Q160" i="20"/>
  <c r="P160" i="20"/>
  <c r="AN160" i="20"/>
  <c r="AO160" i="20" s="1"/>
  <c r="AB160" i="20"/>
  <c r="AC160" i="20" s="1"/>
  <c r="S160" i="20"/>
  <c r="R160" i="20"/>
  <c r="O160" i="20"/>
  <c r="N160" i="20"/>
  <c r="AZ160" i="20"/>
  <c r="BA160" i="20" s="1"/>
  <c r="AJ128" i="20"/>
  <c r="AK128" i="20" s="1"/>
  <c r="R128" i="20"/>
  <c r="O128" i="20"/>
  <c r="N128" i="20"/>
  <c r="M128" i="20"/>
  <c r="K128" i="20"/>
  <c r="AR128" i="20"/>
  <c r="AS128" i="20" s="1"/>
  <c r="R133" i="20"/>
  <c r="AR133" i="20"/>
  <c r="AS133" i="20" s="1"/>
  <c r="K133" i="20"/>
  <c r="AZ133" i="20"/>
  <c r="BA133" i="20" s="1"/>
  <c r="AV133" i="20"/>
  <c r="AW133" i="20" s="1"/>
  <c r="AN133" i="20"/>
  <c r="AO133" i="20" s="1"/>
  <c r="J160" i="20"/>
  <c r="AJ207" i="20"/>
  <c r="AK207" i="20" s="1"/>
  <c r="Q207" i="20"/>
  <c r="P207" i="20"/>
  <c r="N207" i="20"/>
  <c r="BD207" i="20"/>
  <c r="BE207" i="20" s="1"/>
  <c r="L207" i="20"/>
  <c r="K207" i="20"/>
  <c r="AZ207" i="20"/>
  <c r="BA207" i="20" s="1"/>
  <c r="J207" i="20"/>
  <c r="AV207" i="20"/>
  <c r="AW207" i="20" s="1"/>
  <c r="AN207" i="20"/>
  <c r="AO207" i="20" s="1"/>
  <c r="AR207" i="20"/>
  <c r="AS207" i="20" s="1"/>
  <c r="AF207" i="20"/>
  <c r="AG207" i="20" s="1"/>
  <c r="AB207" i="20"/>
  <c r="AC207" i="20" s="1"/>
  <c r="AA207" i="20"/>
  <c r="S220" i="20"/>
  <c r="Q220" i="20"/>
  <c r="AV220" i="20"/>
  <c r="AW220" i="20" s="1"/>
  <c r="AR220" i="20"/>
  <c r="AS220" i="20" s="1"/>
  <c r="AN220" i="20"/>
  <c r="AO220" i="20" s="1"/>
  <c r="AJ220" i="20"/>
  <c r="AK220" i="20" s="1"/>
  <c r="AB220" i="20"/>
  <c r="AC220" i="20" s="1"/>
  <c r="AA220" i="20"/>
  <c r="R220" i="20"/>
  <c r="O220" i="20"/>
  <c r="K220" i="20"/>
  <c r="BD220" i="20"/>
  <c r="BE220" i="20" s="1"/>
  <c r="AZ220" i="20"/>
  <c r="BA220" i="20" s="1"/>
  <c r="AF220" i="20"/>
  <c r="AG220" i="20" s="1"/>
  <c r="P220" i="20"/>
  <c r="N220" i="20"/>
  <c r="AR264" i="20"/>
  <c r="AS264" i="20" s="1"/>
  <c r="AB264" i="20"/>
  <c r="AC264" i="20" s="1"/>
  <c r="AA264" i="20"/>
  <c r="AN264" i="20"/>
  <c r="AO264" i="20" s="1"/>
  <c r="AJ264" i="20"/>
  <c r="AK264" i="20" s="1"/>
  <c r="AF264" i="20"/>
  <c r="AG264" i="20" s="1"/>
  <c r="S264" i="20"/>
  <c r="P264" i="20"/>
  <c r="O264" i="20"/>
  <c r="N264" i="20"/>
  <c r="BD264" i="20"/>
  <c r="BE264" i="20" s="1"/>
  <c r="AV264" i="20"/>
  <c r="AW264" i="20" s="1"/>
  <c r="AZ264" i="20"/>
  <c r="BA264" i="20" s="1"/>
  <c r="R264" i="20"/>
  <c r="Q264" i="20"/>
  <c r="M264" i="20"/>
  <c r="L264" i="20"/>
  <c r="K264" i="20"/>
  <c r="Q101" i="20"/>
  <c r="AJ111" i="20"/>
  <c r="AK111" i="20" s="1"/>
  <c r="AV120" i="20"/>
  <c r="AW120" i="20" s="1"/>
  <c r="AR120" i="20"/>
  <c r="AS120" i="20" s="1"/>
  <c r="AN120" i="20"/>
  <c r="AO120" i="20" s="1"/>
  <c r="AJ120" i="20"/>
  <c r="AK120" i="20" s="1"/>
  <c r="Q120" i="20"/>
  <c r="AF124" i="20"/>
  <c r="AG124" i="20" s="1"/>
  <c r="J128" i="20"/>
  <c r="J133" i="20"/>
  <c r="AF141" i="20"/>
  <c r="AG141" i="20" s="1"/>
  <c r="K160" i="20"/>
  <c r="AV161" i="20"/>
  <c r="AW161" i="20" s="1"/>
  <c r="M207" i="20"/>
  <c r="J220" i="20"/>
  <c r="J264" i="20"/>
  <c r="AB192" i="20"/>
  <c r="AC192" i="20" s="1"/>
  <c r="S192" i="20"/>
  <c r="R192" i="20"/>
  <c r="M192" i="20"/>
  <c r="L192" i="20"/>
  <c r="K192" i="20"/>
  <c r="AA192" i="20"/>
  <c r="Q192" i="20"/>
  <c r="P192" i="20"/>
  <c r="N192" i="20"/>
  <c r="J192" i="20"/>
  <c r="BD192" i="20"/>
  <c r="BE192" i="20" s="1"/>
  <c r="AN192" i="20"/>
  <c r="AO192" i="20" s="1"/>
  <c r="AJ192" i="20"/>
  <c r="AK192" i="20" s="1"/>
  <c r="AF108" i="20"/>
  <c r="AG108" i="20" s="1"/>
  <c r="AV111" i="20"/>
  <c r="AW111" i="20" s="1"/>
  <c r="AR124" i="20"/>
  <c r="AS124" i="20" s="1"/>
  <c r="S128" i="20"/>
  <c r="O133" i="20"/>
  <c r="AR141" i="20"/>
  <c r="AS141" i="20" s="1"/>
  <c r="AJ164" i="20"/>
  <c r="AK164" i="20" s="1"/>
  <c r="AR164" i="20"/>
  <c r="AS164" i="20" s="1"/>
  <c r="AB164" i="20"/>
  <c r="AC164" i="20" s="1"/>
  <c r="S164" i="20"/>
  <c r="Q164" i="20"/>
  <c r="N164" i="20"/>
  <c r="M164" i="20"/>
  <c r="L164" i="20"/>
  <c r="K164" i="20"/>
  <c r="J164" i="20"/>
  <c r="AN164" i="20"/>
  <c r="AO164" i="20" s="1"/>
  <c r="L119" i="20"/>
  <c r="BD119" i="20"/>
  <c r="BE119" i="20" s="1"/>
  <c r="K119" i="20"/>
  <c r="AV119" i="20"/>
  <c r="AW119" i="20" s="1"/>
  <c r="AN119" i="20"/>
  <c r="AO119" i="20" s="1"/>
  <c r="AJ119" i="20"/>
  <c r="AK119" i="20" s="1"/>
  <c r="S119" i="20"/>
  <c r="P133" i="20"/>
  <c r="R153" i="20"/>
  <c r="N153" i="20"/>
  <c r="M153" i="20"/>
  <c r="AV153" i="20"/>
  <c r="AW153" i="20" s="1"/>
  <c r="AN153" i="20"/>
  <c r="AO153" i="20" s="1"/>
  <c r="AJ153" i="20"/>
  <c r="AK153" i="20" s="1"/>
  <c r="Q153" i="20"/>
  <c r="P153" i="20"/>
  <c r="AA160" i="20"/>
  <c r="R169" i="20"/>
  <c r="O169" i="20"/>
  <c r="P169" i="20"/>
  <c r="N169" i="20"/>
  <c r="Q169" i="20"/>
  <c r="M169" i="20"/>
  <c r="K169" i="20"/>
  <c r="AZ169" i="20"/>
  <c r="BA169" i="20" s="1"/>
  <c r="AV169" i="20"/>
  <c r="AW169" i="20" s="1"/>
  <c r="AR169" i="20"/>
  <c r="AS169" i="20" s="1"/>
  <c r="AB169" i="20"/>
  <c r="AC169" i="20" s="1"/>
  <c r="AA169" i="20"/>
  <c r="S44" i="20"/>
  <c r="R64" i="20"/>
  <c r="S65" i="20"/>
  <c r="S84" i="20"/>
  <c r="AA95" i="20"/>
  <c r="AB96" i="20"/>
  <c r="AC96" i="20" s="1"/>
  <c r="AF97" i="20"/>
  <c r="AG97" i="20" s="1"/>
  <c r="AF101" i="20"/>
  <c r="AG101" i="20" s="1"/>
  <c r="J119" i="20"/>
  <c r="O120" i="20"/>
  <c r="AN123" i="20"/>
  <c r="AO123" i="20" s="1"/>
  <c r="AV124" i="20"/>
  <c r="AW124" i="20" s="1"/>
  <c r="BD132" i="20"/>
  <c r="BE132" i="20" s="1"/>
  <c r="K132" i="20"/>
  <c r="J132" i="20"/>
  <c r="M132" i="20"/>
  <c r="AZ132" i="20"/>
  <c r="BA132" i="20" s="1"/>
  <c r="AV132" i="20"/>
  <c r="AW132" i="20" s="1"/>
  <c r="AA132" i="20"/>
  <c r="Q133" i="20"/>
  <c r="AV141" i="20"/>
  <c r="AW141" i="20" s="1"/>
  <c r="AJ144" i="20"/>
  <c r="AK144" i="20" s="1"/>
  <c r="Q144" i="20"/>
  <c r="P144" i="20"/>
  <c r="S144" i="20"/>
  <c r="N144" i="20"/>
  <c r="M144" i="20"/>
  <c r="L144" i="20"/>
  <c r="K144" i="20"/>
  <c r="J144" i="20"/>
  <c r="AR144" i="20"/>
  <c r="AS144" i="20" s="1"/>
  <c r="J153" i="20"/>
  <c r="O158" i="20"/>
  <c r="N158" i="20"/>
  <c r="L158" i="20"/>
  <c r="AB158" i="20"/>
  <c r="AC158" i="20" s="1"/>
  <c r="AF158" i="20"/>
  <c r="AG158" i="20" s="1"/>
  <c r="AA158" i="20"/>
  <c r="S158" i="20"/>
  <c r="BD158" i="20"/>
  <c r="BE158" i="20" s="1"/>
  <c r="AF160" i="20"/>
  <c r="AG160" i="20" s="1"/>
  <c r="AF192" i="20"/>
  <c r="AG192" i="20" s="1"/>
  <c r="J31" i="20"/>
  <c r="BD31" i="20"/>
  <c r="BE31" i="20" s="1"/>
  <c r="AA42" i="20"/>
  <c r="S64" i="20"/>
  <c r="AA89" i="20"/>
  <c r="AA90" i="20"/>
  <c r="AF96" i="20"/>
  <c r="AG96" i="20" s="1"/>
  <c r="AJ97" i="20"/>
  <c r="AK97" i="20" s="1"/>
  <c r="AV108" i="20"/>
  <c r="AW108" i="20" s="1"/>
  <c r="M119" i="20"/>
  <c r="P120" i="20"/>
  <c r="AR123" i="20"/>
  <c r="AS123" i="20" s="1"/>
  <c r="AA128" i="20"/>
  <c r="L132" i="20"/>
  <c r="S133" i="20"/>
  <c r="S136" i="20"/>
  <c r="AV136" i="20"/>
  <c r="AW136" i="20" s="1"/>
  <c r="AN136" i="20"/>
  <c r="AO136" i="20" s="1"/>
  <c r="AJ136" i="20"/>
  <c r="AK136" i="20" s="1"/>
  <c r="AF136" i="20"/>
  <c r="AG136" i="20" s="1"/>
  <c r="O136" i="20"/>
  <c r="AZ141" i="20"/>
  <c r="BA141" i="20" s="1"/>
  <c r="O144" i="20"/>
  <c r="K153" i="20"/>
  <c r="J158" i="20"/>
  <c r="R164" i="20"/>
  <c r="L169" i="20"/>
  <c r="N119" i="20"/>
  <c r="AV123" i="20"/>
  <c r="AW123" i="20" s="1"/>
  <c r="N126" i="20"/>
  <c r="L126" i="20"/>
  <c r="AV126" i="20"/>
  <c r="AW126" i="20" s="1"/>
  <c r="AA126" i="20"/>
  <c r="S126" i="20"/>
  <c r="R126" i="20"/>
  <c r="Q126" i="20"/>
  <c r="O126" i="20"/>
  <c r="AR126" i="20"/>
  <c r="AS126" i="20" s="1"/>
  <c r="AB128" i="20"/>
  <c r="AC128" i="20" s="1"/>
  <c r="L153" i="20"/>
  <c r="K158" i="20"/>
  <c r="AR160" i="20"/>
  <c r="AS160" i="20" s="1"/>
  <c r="S169" i="20"/>
  <c r="AR192" i="20"/>
  <c r="AS192" i="20" s="1"/>
  <c r="AJ7" i="20"/>
  <c r="AK7" i="20" s="1"/>
  <c r="AN12" i="20"/>
  <c r="AO12" i="20" s="1"/>
  <c r="AJ24" i="20"/>
  <c r="AK24" i="20" s="1"/>
  <c r="AF24" i="20"/>
  <c r="AG24" i="20" s="1"/>
  <c r="AZ24" i="20"/>
  <c r="BA24" i="20" s="1"/>
  <c r="J24" i="20"/>
  <c r="L31" i="20"/>
  <c r="AF42" i="20"/>
  <c r="AG42" i="20" s="1"/>
  <c r="AA44" i="20"/>
  <c r="AB76" i="20"/>
  <c r="AC76" i="20" s="1"/>
  <c r="AF84" i="20"/>
  <c r="AG84" i="20" s="1"/>
  <c r="AB88" i="20"/>
  <c r="AC88" i="20" s="1"/>
  <c r="N118" i="20"/>
  <c r="L118" i="20"/>
  <c r="P118" i="20"/>
  <c r="O118" i="20"/>
  <c r="BD118" i="20"/>
  <c r="BE118" i="20" s="1"/>
  <c r="AV118" i="20"/>
  <c r="AW118" i="20" s="1"/>
  <c r="AR118" i="20"/>
  <c r="AS118" i="20" s="1"/>
  <c r="AN118" i="20"/>
  <c r="AO118" i="20" s="1"/>
  <c r="O119" i="20"/>
  <c r="S120" i="20"/>
  <c r="AB121" i="20"/>
  <c r="AC121" i="20" s="1"/>
  <c r="J126" i="20"/>
  <c r="AF128" i="20"/>
  <c r="AG128" i="20" s="1"/>
  <c r="O132" i="20"/>
  <c r="K136" i="20"/>
  <c r="O153" i="20"/>
  <c r="M158" i="20"/>
  <c r="AV160" i="20"/>
  <c r="AW160" i="20" s="1"/>
  <c r="R111" i="20"/>
  <c r="Q111" i="20"/>
  <c r="AB111" i="20"/>
  <c r="AC111" i="20" s="1"/>
  <c r="N112" i="20"/>
  <c r="M112" i="20"/>
  <c r="AF112" i="20"/>
  <c r="AG112" i="20" s="1"/>
  <c r="S112" i="20"/>
  <c r="Q112" i="20"/>
  <c r="P119" i="20"/>
  <c r="AZ123" i="20"/>
  <c r="BA123" i="20" s="1"/>
  <c r="K126" i="20"/>
  <c r="AN128" i="20"/>
  <c r="AO128" i="20" s="1"/>
  <c r="AA133" i="20"/>
  <c r="AV192" i="20"/>
  <c r="AW192" i="20" s="1"/>
  <c r="R125" i="20"/>
  <c r="M125" i="20"/>
  <c r="BD125" i="20"/>
  <c r="BE125" i="20" s="1"/>
  <c r="L125" i="20"/>
  <c r="S125" i="20"/>
  <c r="P125" i="20"/>
  <c r="AV125" i="20"/>
  <c r="AW125" i="20" s="1"/>
  <c r="AB133" i="20"/>
  <c r="AC133" i="20" s="1"/>
  <c r="O142" i="20"/>
  <c r="N142" i="20"/>
  <c r="L142" i="20"/>
  <c r="AB142" i="20"/>
  <c r="AC142" i="20" s="1"/>
  <c r="AA142" i="20"/>
  <c r="S142" i="20"/>
  <c r="R142" i="20"/>
  <c r="Q142" i="20"/>
  <c r="P142" i="20"/>
  <c r="M142" i="20"/>
  <c r="AV142" i="20"/>
  <c r="AW142" i="20" s="1"/>
  <c r="BD160" i="20"/>
  <c r="BE160" i="20" s="1"/>
  <c r="AZ192" i="20"/>
  <c r="BA192" i="20" s="1"/>
  <c r="AN84" i="20"/>
  <c r="AO84" i="20" s="1"/>
  <c r="AJ89" i="20"/>
  <c r="AK89" i="20" s="1"/>
  <c r="AN90" i="20"/>
  <c r="AO90" i="20" s="1"/>
  <c r="AV99" i="20"/>
  <c r="AW99" i="20" s="1"/>
  <c r="AV101" i="20"/>
  <c r="AW101" i="20" s="1"/>
  <c r="R109" i="20"/>
  <c r="AF109" i="20"/>
  <c r="AG109" i="20" s="1"/>
  <c r="AR109" i="20"/>
  <c r="AS109" i="20" s="1"/>
  <c r="N110" i="20"/>
  <c r="L110" i="20"/>
  <c r="AA110" i="20"/>
  <c r="AF110" i="20"/>
  <c r="AG110" i="20" s="1"/>
  <c r="AB110" i="20"/>
  <c r="AC110" i="20" s="1"/>
  <c r="K111" i="20"/>
  <c r="K112" i="20"/>
  <c r="R119" i="20"/>
  <c r="AA120" i="20"/>
  <c r="J125" i="20"/>
  <c r="P126" i="20"/>
  <c r="R132" i="20"/>
  <c r="AB135" i="20"/>
  <c r="AC135" i="20" s="1"/>
  <c r="AV135" i="20"/>
  <c r="AW135" i="20" s="1"/>
  <c r="AR135" i="20"/>
  <c r="AS135" i="20" s="1"/>
  <c r="AN135" i="20"/>
  <c r="AO135" i="20" s="1"/>
  <c r="AJ135" i="20"/>
  <c r="AK135" i="20" s="1"/>
  <c r="Q135" i="20"/>
  <c r="N136" i="20"/>
  <c r="J142" i="20"/>
  <c r="AB144" i="20"/>
  <c r="AC144" i="20" s="1"/>
  <c r="AJ152" i="20"/>
  <c r="AK152" i="20" s="1"/>
  <c r="Q152" i="20"/>
  <c r="P152" i="20"/>
  <c r="AV152" i="20"/>
  <c r="AW152" i="20" s="1"/>
  <c r="AR152" i="20"/>
  <c r="AS152" i="20" s="1"/>
  <c r="AN152" i="20"/>
  <c r="AO152" i="20" s="1"/>
  <c r="R152" i="20"/>
  <c r="O152" i="20"/>
  <c r="R158" i="20"/>
  <c r="AV164" i="20"/>
  <c r="AW164" i="20" s="1"/>
  <c r="AF169" i="20"/>
  <c r="AG169" i="20" s="1"/>
  <c r="AR108" i="20"/>
  <c r="AS108" i="20" s="1"/>
  <c r="AN108" i="20"/>
  <c r="AO108" i="20" s="1"/>
  <c r="AJ108" i="20"/>
  <c r="AK108" i="20" s="1"/>
  <c r="Q124" i="20"/>
  <c r="P124" i="20"/>
  <c r="AJ124" i="20"/>
  <c r="AK124" i="20" s="1"/>
  <c r="AA124" i="20"/>
  <c r="R124" i="20"/>
  <c r="K125" i="20"/>
  <c r="AV128" i="20"/>
  <c r="AW128" i="20" s="1"/>
  <c r="AF133" i="20"/>
  <c r="AG133" i="20" s="1"/>
  <c r="K142" i="20"/>
  <c r="AA153" i="20"/>
  <c r="R157" i="20"/>
  <c r="AJ157" i="20"/>
  <c r="AK157" i="20" s="1"/>
  <c r="AZ157" i="20"/>
  <c r="BA157" i="20" s="1"/>
  <c r="AR157" i="20"/>
  <c r="AS157" i="20" s="1"/>
  <c r="AN157" i="20"/>
  <c r="AO157" i="20" s="1"/>
  <c r="AB157" i="20"/>
  <c r="AC157" i="20" s="1"/>
  <c r="AA157" i="20"/>
  <c r="K157" i="20"/>
  <c r="BD157" i="20"/>
  <c r="BE157" i="20" s="1"/>
  <c r="J157" i="20"/>
  <c r="R161" i="20"/>
  <c r="N161" i="20"/>
  <c r="M161" i="20"/>
  <c r="AN161" i="20"/>
  <c r="AO161" i="20" s="1"/>
  <c r="AF161" i="20"/>
  <c r="AG161" i="20" s="1"/>
  <c r="AB161" i="20"/>
  <c r="AC161" i="20" s="1"/>
  <c r="S161" i="20"/>
  <c r="Q161" i="20"/>
  <c r="P161" i="20"/>
  <c r="O161" i="20"/>
  <c r="AR161" i="20"/>
  <c r="AS161" i="20" s="1"/>
  <c r="S188" i="20"/>
  <c r="Q188" i="20"/>
  <c r="O188" i="20"/>
  <c r="N188" i="20"/>
  <c r="M188" i="20"/>
  <c r="L188" i="20"/>
  <c r="K188" i="20"/>
  <c r="BD188" i="20"/>
  <c r="BE188" i="20" s="1"/>
  <c r="AZ188" i="20"/>
  <c r="BA188" i="20" s="1"/>
  <c r="AV188" i="20"/>
  <c r="AW188" i="20" s="1"/>
  <c r="AR188" i="20"/>
  <c r="AS188" i="20" s="1"/>
  <c r="AN188" i="20"/>
  <c r="AO188" i="20" s="1"/>
  <c r="AJ188" i="20"/>
  <c r="AK188" i="20" s="1"/>
  <c r="R188" i="20"/>
  <c r="P188" i="20"/>
  <c r="J188" i="20"/>
  <c r="AJ123" i="20"/>
  <c r="AK123" i="20" s="1"/>
  <c r="AA123" i="20"/>
  <c r="L123" i="20"/>
  <c r="N125" i="20"/>
  <c r="R141" i="20"/>
  <c r="AJ141" i="20"/>
  <c r="AK141" i="20" s="1"/>
  <c r="AB141" i="20"/>
  <c r="AC141" i="20" s="1"/>
  <c r="S141" i="20"/>
  <c r="Q141" i="20"/>
  <c r="P141" i="20"/>
  <c r="O141" i="20"/>
  <c r="AA119" i="20"/>
  <c r="J123" i="20"/>
  <c r="AJ133" i="20"/>
  <c r="AK133" i="20" s="1"/>
  <c r="R136" i="20"/>
  <c r="J141" i="20"/>
  <c r="AN144" i="20"/>
  <c r="AO144" i="20" s="1"/>
  <c r="M157" i="20"/>
  <c r="AN171" i="20"/>
  <c r="AO171" i="20" s="1"/>
  <c r="AJ171" i="20"/>
  <c r="AK171" i="20" s="1"/>
  <c r="K171" i="20"/>
  <c r="BD171" i="20"/>
  <c r="BE171" i="20" s="1"/>
  <c r="J171" i="20"/>
  <c r="S171" i="20"/>
  <c r="P171" i="20"/>
  <c r="O171" i="20"/>
  <c r="M171" i="20"/>
  <c r="AZ171" i="20"/>
  <c r="BA171" i="20" s="1"/>
  <c r="AV171" i="20"/>
  <c r="AW171" i="20" s="1"/>
  <c r="AA171" i="20"/>
  <c r="X171" i="20"/>
  <c r="BD235" i="20"/>
  <c r="BE235" i="20" s="1"/>
  <c r="M235" i="20"/>
  <c r="N235" i="20"/>
  <c r="L235" i="20"/>
  <c r="AZ235" i="20"/>
  <c r="BA235" i="20" s="1"/>
  <c r="J235" i="20"/>
  <c r="AR235" i="20"/>
  <c r="AS235" i="20" s="1"/>
  <c r="AN235" i="20"/>
  <c r="AO235" i="20" s="1"/>
  <c r="AF235" i="20"/>
  <c r="AG235" i="20" s="1"/>
  <c r="S235" i="20"/>
  <c r="AB235" i="20"/>
  <c r="AC235" i="20" s="1"/>
  <c r="AV235" i="20"/>
  <c r="AW235" i="20" s="1"/>
  <c r="AA235" i="20"/>
  <c r="R235" i="20"/>
  <c r="Q235" i="20"/>
  <c r="P235" i="20"/>
  <c r="O125" i="20"/>
  <c r="AZ128" i="20"/>
  <c r="BA128" i="20" s="1"/>
  <c r="J7" i="20"/>
  <c r="J20" i="20"/>
  <c r="Q24" i="20"/>
  <c r="O26" i="20"/>
  <c r="BD26" i="20"/>
  <c r="BE26" i="20" s="1"/>
  <c r="M26" i="20"/>
  <c r="S31" i="20"/>
  <c r="P32" i="20"/>
  <c r="N34" i="20"/>
  <c r="L34" i="20"/>
  <c r="R34" i="20"/>
  <c r="N35" i="20"/>
  <c r="R35" i="20"/>
  <c r="BD35" i="20"/>
  <c r="BE35" i="20" s="1"/>
  <c r="AV42" i="20"/>
  <c r="AW42" i="20" s="1"/>
  <c r="AV84" i="20"/>
  <c r="AW84" i="20" s="1"/>
  <c r="AV89" i="20"/>
  <c r="AW89" i="20" s="1"/>
  <c r="AV90" i="20"/>
  <c r="AW90" i="20" s="1"/>
  <c r="AB103" i="20"/>
  <c r="AC103" i="20" s="1"/>
  <c r="O103" i="20"/>
  <c r="L103" i="20"/>
  <c r="S104" i="20"/>
  <c r="M104" i="20"/>
  <c r="BD104" i="20"/>
  <c r="BE104" i="20" s="1"/>
  <c r="J104" i="20"/>
  <c r="R105" i="20"/>
  <c r="P105" i="20"/>
  <c r="O105" i="20"/>
  <c r="BD105" i="20"/>
  <c r="BE105" i="20" s="1"/>
  <c r="J105" i="20"/>
  <c r="N106" i="20"/>
  <c r="L106" i="20"/>
  <c r="K106" i="20"/>
  <c r="BD106" i="20"/>
  <c r="BE106" i="20" s="1"/>
  <c r="J106" i="20"/>
  <c r="AZ106" i="20"/>
  <c r="BA106" i="20" s="1"/>
  <c r="L108" i="20"/>
  <c r="M109" i="20"/>
  <c r="O110" i="20"/>
  <c r="O111" i="20"/>
  <c r="R112" i="20"/>
  <c r="AB119" i="20"/>
  <c r="AC119" i="20" s="1"/>
  <c r="K123" i="20"/>
  <c r="L124" i="20"/>
  <c r="Q125" i="20"/>
  <c r="AB132" i="20"/>
  <c r="AC132" i="20" s="1"/>
  <c r="M135" i="20"/>
  <c r="K141" i="20"/>
  <c r="AF142" i="20"/>
  <c r="AG142" i="20" s="1"/>
  <c r="M152" i="20"/>
  <c r="AF153" i="20"/>
  <c r="AG153" i="20" s="1"/>
  <c r="N157" i="20"/>
  <c r="AJ158" i="20"/>
  <c r="AK158" i="20" s="1"/>
  <c r="L161" i="20"/>
  <c r="BD164" i="20"/>
  <c r="BE164" i="20" s="1"/>
  <c r="AN169" i="20"/>
  <c r="AO169" i="20" s="1"/>
  <c r="L171" i="20"/>
  <c r="AA188" i="20"/>
  <c r="AZ12" i="20"/>
  <c r="BA12" i="20" s="1"/>
  <c r="L12" i="20"/>
  <c r="AV12" i="20"/>
  <c r="AW12" i="20" s="1"/>
  <c r="J12" i="20"/>
  <c r="Q12" i="20"/>
  <c r="M12" i="20"/>
  <c r="AN13" i="20"/>
  <c r="AO13" i="20" s="1"/>
  <c r="AJ13" i="20"/>
  <c r="AK13" i="20" s="1"/>
  <c r="L13" i="20"/>
  <c r="AR95" i="20"/>
  <c r="AS95" i="20" s="1"/>
  <c r="AN95" i="20"/>
  <c r="AO95" i="20" s="1"/>
  <c r="AJ95" i="20"/>
  <c r="AK95" i="20" s="1"/>
  <c r="AJ96" i="20"/>
  <c r="AK96" i="20" s="1"/>
  <c r="AN96" i="20"/>
  <c r="AO96" i="20" s="1"/>
  <c r="AA96" i="20"/>
  <c r="R97" i="20"/>
  <c r="AB97" i="20"/>
  <c r="AC97" i="20" s="1"/>
  <c r="AA97" i="20"/>
  <c r="BD97" i="20"/>
  <c r="BE97" i="20" s="1"/>
  <c r="R101" i="20"/>
  <c r="AR101" i="20"/>
  <c r="AS101" i="20" s="1"/>
  <c r="S101" i="20"/>
  <c r="O101" i="20"/>
  <c r="M108" i="20"/>
  <c r="P111" i="20"/>
  <c r="M123" i="20"/>
  <c r="AF126" i="20"/>
  <c r="AG126" i="20" s="1"/>
  <c r="BD128" i="20"/>
  <c r="BE128" i="20" s="1"/>
  <c r="L141" i="20"/>
  <c r="AR153" i="20"/>
  <c r="AS153" i="20" s="1"/>
  <c r="N186" i="20"/>
  <c r="AN186" i="20"/>
  <c r="AO186" i="20" s="1"/>
  <c r="AJ186" i="20"/>
  <c r="AK186" i="20" s="1"/>
  <c r="AF186" i="20"/>
  <c r="AG186" i="20" s="1"/>
  <c r="M186" i="20"/>
  <c r="L186" i="20"/>
  <c r="K186" i="20"/>
  <c r="AZ186" i="20"/>
  <c r="BA186" i="20" s="1"/>
  <c r="AV186" i="20"/>
  <c r="AW186" i="20" s="1"/>
  <c r="AR186" i="20"/>
  <c r="AS186" i="20" s="1"/>
  <c r="AA186" i="20"/>
  <c r="S186" i="20"/>
  <c r="R186" i="20"/>
  <c r="Q186" i="20"/>
  <c r="P186" i="20"/>
  <c r="O186" i="20"/>
  <c r="BD186" i="20"/>
  <c r="BE186" i="20" s="1"/>
  <c r="AF200" i="20"/>
  <c r="AG200" i="20" s="1"/>
  <c r="AR200" i="20"/>
  <c r="AS200" i="20" s="1"/>
  <c r="AN200" i="20"/>
  <c r="AO200" i="20" s="1"/>
  <c r="AJ200" i="20"/>
  <c r="AK200" i="20" s="1"/>
  <c r="R200" i="20"/>
  <c r="Q200" i="20"/>
  <c r="P200" i="20"/>
  <c r="J200" i="20"/>
  <c r="AZ200" i="20"/>
  <c r="BA200" i="20" s="1"/>
  <c r="AV200" i="20"/>
  <c r="AW200" i="20" s="1"/>
  <c r="AB200" i="20"/>
  <c r="AC200" i="20" s="1"/>
  <c r="AA200" i="20"/>
  <c r="S200" i="20"/>
  <c r="O200" i="20"/>
  <c r="N200" i="20"/>
  <c r="BD200" i="20"/>
  <c r="BE200" i="20" s="1"/>
  <c r="AR222" i="20"/>
  <c r="AS222" i="20" s="1"/>
  <c r="AN222" i="20"/>
  <c r="AO222" i="20" s="1"/>
  <c r="AJ222" i="20"/>
  <c r="AK222" i="20" s="1"/>
  <c r="AF222" i="20"/>
  <c r="AG222" i="20" s="1"/>
  <c r="AB222" i="20"/>
  <c r="AC222" i="20" s="1"/>
  <c r="AA222" i="20"/>
  <c r="Q222" i="20"/>
  <c r="P222" i="20"/>
  <c r="AZ222" i="20"/>
  <c r="BA222" i="20" s="1"/>
  <c r="L222" i="20"/>
  <c r="BD222" i="20"/>
  <c r="BE222" i="20" s="1"/>
  <c r="AV222" i="20"/>
  <c r="AW222" i="20" s="1"/>
  <c r="R222" i="20"/>
  <c r="O222" i="20"/>
  <c r="N222" i="20"/>
  <c r="M222" i="20"/>
  <c r="K222" i="20"/>
  <c r="J222" i="20"/>
  <c r="L20" i="20"/>
  <c r="K26" i="20"/>
  <c r="J36" i="20"/>
  <c r="R36" i="20"/>
  <c r="O36" i="20"/>
  <c r="AB39" i="20"/>
  <c r="AC39" i="20" s="1"/>
  <c r="BD39" i="20"/>
  <c r="BE39" i="20" s="1"/>
  <c r="J39" i="20"/>
  <c r="AZ64" i="20"/>
  <c r="BA64" i="20" s="1"/>
  <c r="AZ65" i="20"/>
  <c r="BA65" i="20" s="1"/>
  <c r="J95" i="20"/>
  <c r="N108" i="20"/>
  <c r="O109" i="20"/>
  <c r="Q110" i="20"/>
  <c r="S111" i="20"/>
  <c r="AF119" i="20"/>
  <c r="AG119" i="20" s="1"/>
  <c r="AZ120" i="20"/>
  <c r="BA120" i="20" s="1"/>
  <c r="N123" i="20"/>
  <c r="N124" i="20"/>
  <c r="AJ132" i="20"/>
  <c r="AK132" i="20" s="1"/>
  <c r="BD133" i="20"/>
  <c r="BE133" i="20" s="1"/>
  <c r="O135" i="20"/>
  <c r="AA136" i="20"/>
  <c r="M141" i="20"/>
  <c r="AJ142" i="20"/>
  <c r="AK142" i="20" s="1"/>
  <c r="AV144" i="20"/>
  <c r="AW144" i="20" s="1"/>
  <c r="S152" i="20"/>
  <c r="P157" i="20"/>
  <c r="AR158" i="20"/>
  <c r="AS158" i="20" s="1"/>
  <c r="Q171" i="20"/>
  <c r="J186" i="20"/>
  <c r="K200" i="20"/>
  <c r="S222" i="20"/>
  <c r="K7" i="20"/>
  <c r="K20" i="20"/>
  <c r="BD20" i="20"/>
  <c r="BE20" i="20" s="1"/>
  <c r="L7" i="20"/>
  <c r="N12" i="20"/>
  <c r="J13" i="20"/>
  <c r="BD13" i="20"/>
  <c r="BE13" i="20" s="1"/>
  <c r="S24" i="20"/>
  <c r="R32" i="20"/>
  <c r="K34" i="20"/>
  <c r="K35" i="20"/>
  <c r="R37" i="20"/>
  <c r="AR37" i="20"/>
  <c r="AS37" i="20" s="1"/>
  <c r="O37" i="20"/>
  <c r="L37" i="20"/>
  <c r="BD37" i="20"/>
  <c r="BE37" i="20" s="1"/>
  <c r="S40" i="20"/>
  <c r="AR40" i="20"/>
  <c r="AS40" i="20" s="1"/>
  <c r="R69" i="20"/>
  <c r="AR69" i="20"/>
  <c r="AS69" i="20" s="1"/>
  <c r="AB69" i="20"/>
  <c r="AC69" i="20" s="1"/>
  <c r="AB71" i="20"/>
  <c r="AC71" i="20" s="1"/>
  <c r="AA71" i="20"/>
  <c r="S71" i="20"/>
  <c r="S72" i="20"/>
  <c r="Q72" i="20"/>
  <c r="BD72" i="20"/>
  <c r="BE72" i="20" s="1"/>
  <c r="AZ84" i="20"/>
  <c r="BA84" i="20" s="1"/>
  <c r="J96" i="20"/>
  <c r="J97" i="20"/>
  <c r="O99" i="20"/>
  <c r="N99" i="20"/>
  <c r="AA99" i="20"/>
  <c r="S99" i="20"/>
  <c r="BD100" i="20"/>
  <c r="BE100" i="20" s="1"/>
  <c r="K100" i="20"/>
  <c r="J100" i="20"/>
  <c r="Q100" i="20"/>
  <c r="J101" i="20"/>
  <c r="N102" i="20"/>
  <c r="L102" i="20"/>
  <c r="AJ102" i="20"/>
  <c r="AK102" i="20" s="1"/>
  <c r="Q102" i="20"/>
  <c r="M102" i="20"/>
  <c r="M7" i="20"/>
  <c r="BD7" i="20"/>
  <c r="BE7" i="20" s="1"/>
  <c r="O12" i="20"/>
  <c r="K13" i="20"/>
  <c r="AB14" i="20"/>
  <c r="AC14" i="20" s="1"/>
  <c r="AV14" i="20"/>
  <c r="AW14" i="20" s="1"/>
  <c r="AZ14" i="20"/>
  <c r="BA14" i="20" s="1"/>
  <c r="M20" i="20"/>
  <c r="AB21" i="20"/>
  <c r="AC21" i="20" s="1"/>
  <c r="AF21" i="20"/>
  <c r="AG21" i="20" s="1"/>
  <c r="L26" i="20"/>
  <c r="AA31" i="20"/>
  <c r="S32" i="20"/>
  <c r="M34" i="20"/>
  <c r="L35" i="20"/>
  <c r="K36" i="20"/>
  <c r="J37" i="20"/>
  <c r="N38" i="20"/>
  <c r="L38" i="20"/>
  <c r="AJ38" i="20"/>
  <c r="AK38" i="20" s="1"/>
  <c r="K38" i="20"/>
  <c r="AZ38" i="20"/>
  <c r="BA38" i="20" s="1"/>
  <c r="K39" i="20"/>
  <c r="J40" i="20"/>
  <c r="R41" i="20"/>
  <c r="O41" i="20"/>
  <c r="AJ41" i="20"/>
  <c r="AK41" i="20" s="1"/>
  <c r="BD41" i="20"/>
  <c r="BE41" i="20" s="1"/>
  <c r="AZ44" i="20"/>
  <c r="BA44" i="20" s="1"/>
  <c r="J69" i="20"/>
  <c r="N70" i="20"/>
  <c r="L70" i="20"/>
  <c r="AJ70" i="20"/>
  <c r="AK70" i="20" s="1"/>
  <c r="J71" i="20"/>
  <c r="J72" i="20"/>
  <c r="R79" i="20"/>
  <c r="Q79" i="20"/>
  <c r="AZ79" i="20"/>
  <c r="BA79" i="20" s="1"/>
  <c r="AR79" i="20"/>
  <c r="AS79" i="20" s="1"/>
  <c r="N80" i="20"/>
  <c r="M80" i="20"/>
  <c r="AV80" i="20"/>
  <c r="AW80" i="20" s="1"/>
  <c r="J91" i="20"/>
  <c r="AV91" i="20"/>
  <c r="AW91" i="20" s="1"/>
  <c r="N94" i="20"/>
  <c r="L94" i="20"/>
  <c r="AV94" i="20"/>
  <c r="AW94" i="20" s="1"/>
  <c r="AN94" i="20"/>
  <c r="AO94" i="20" s="1"/>
  <c r="K95" i="20"/>
  <c r="K96" i="20"/>
  <c r="K97" i="20"/>
  <c r="N98" i="20"/>
  <c r="L98" i="20"/>
  <c r="S98" i="20"/>
  <c r="R98" i="20"/>
  <c r="J99" i="20"/>
  <c r="L100" i="20"/>
  <c r="K101" i="20"/>
  <c r="J102" i="20"/>
  <c r="M103" i="20"/>
  <c r="N104" i="20"/>
  <c r="M105" i="20"/>
  <c r="P106" i="20"/>
  <c r="O108" i="20"/>
  <c r="P109" i="20"/>
  <c r="R110" i="20"/>
  <c r="AA112" i="20"/>
  <c r="AB118" i="20"/>
  <c r="AC118" i="20" s="1"/>
  <c r="BD120" i="20"/>
  <c r="BE120" i="20" s="1"/>
  <c r="N122" i="20"/>
  <c r="L122" i="20"/>
  <c r="AF122" i="20"/>
  <c r="AG122" i="20" s="1"/>
  <c r="AR122" i="20"/>
  <c r="AS122" i="20" s="1"/>
  <c r="AA122" i="20"/>
  <c r="M122" i="20"/>
  <c r="O123" i="20"/>
  <c r="O124" i="20"/>
  <c r="AA125" i="20"/>
  <c r="AJ126" i="20"/>
  <c r="AK126" i="20" s="1"/>
  <c r="N134" i="20"/>
  <c r="L134" i="20"/>
  <c r="AJ134" i="20"/>
  <c r="AK134" i="20" s="1"/>
  <c r="BD134" i="20"/>
  <c r="BE134" i="20" s="1"/>
  <c r="AV134" i="20"/>
  <c r="AW134" i="20" s="1"/>
  <c r="AR134" i="20"/>
  <c r="AS134" i="20" s="1"/>
  <c r="AN134" i="20"/>
  <c r="AO134" i="20" s="1"/>
  <c r="S134" i="20"/>
  <c r="P135" i="20"/>
  <c r="AB136" i="20"/>
  <c r="AC136" i="20" s="1"/>
  <c r="AJ140" i="20"/>
  <c r="AK140" i="20" s="1"/>
  <c r="AR140" i="20"/>
  <c r="AS140" i="20" s="1"/>
  <c r="AB140" i="20"/>
  <c r="AC140" i="20" s="1"/>
  <c r="S140" i="20"/>
  <c r="R140" i="20"/>
  <c r="Q140" i="20"/>
  <c r="P140" i="20"/>
  <c r="BD140" i="20"/>
  <c r="BE140" i="20" s="1"/>
  <c r="N141" i="20"/>
  <c r="AJ156" i="20"/>
  <c r="AK156" i="20" s="1"/>
  <c r="AR156" i="20"/>
  <c r="AS156" i="20" s="1"/>
  <c r="AF156" i="20"/>
  <c r="AG156" i="20" s="1"/>
  <c r="AB156" i="20"/>
  <c r="AC156" i="20" s="1"/>
  <c r="AA156" i="20"/>
  <c r="L156" i="20"/>
  <c r="K156" i="20"/>
  <c r="Q157" i="20"/>
  <c r="AA161" i="20"/>
  <c r="BD169" i="20"/>
  <c r="BE169" i="20" s="1"/>
  <c r="R171" i="20"/>
  <c r="AF188" i="20"/>
  <c r="AG188" i="20" s="1"/>
  <c r="L200" i="20"/>
  <c r="AV7" i="20"/>
  <c r="AW7" i="20" s="1"/>
  <c r="BD12" i="20"/>
  <c r="BE12" i="20" s="1"/>
  <c r="AZ20" i="20"/>
  <c r="BA20" i="20" s="1"/>
  <c r="AZ7" i="20"/>
  <c r="BA7" i="20" s="1"/>
  <c r="AV44" i="20"/>
  <c r="AW44" i="20" s="1"/>
  <c r="N7" i="20"/>
  <c r="P12" i="20"/>
  <c r="M13" i="20"/>
  <c r="N20" i="20"/>
  <c r="N26" i="20"/>
  <c r="AB31" i="20"/>
  <c r="AC31" i="20" s="1"/>
  <c r="O34" i="20"/>
  <c r="M35" i="20"/>
  <c r="L36" i="20"/>
  <c r="K37" i="20"/>
  <c r="L39" i="20"/>
  <c r="K40" i="20"/>
  <c r="O67" i="20"/>
  <c r="N67" i="20"/>
  <c r="AN67" i="20"/>
  <c r="AO67" i="20" s="1"/>
  <c r="BD68" i="20"/>
  <c r="BE68" i="20" s="1"/>
  <c r="K68" i="20"/>
  <c r="J68" i="20"/>
  <c r="AN68" i="20"/>
  <c r="AO68" i="20" s="1"/>
  <c r="AF68" i="20"/>
  <c r="AG68" i="20" s="1"/>
  <c r="K69" i="20"/>
  <c r="K71" i="20"/>
  <c r="K72" i="20"/>
  <c r="R73" i="20"/>
  <c r="P73" i="20"/>
  <c r="O73" i="20"/>
  <c r="N73" i="20"/>
  <c r="BD73" i="20"/>
  <c r="BE73" i="20" s="1"/>
  <c r="R77" i="20"/>
  <c r="AF77" i="20"/>
  <c r="AG77" i="20" s="1"/>
  <c r="K77" i="20"/>
  <c r="AZ77" i="20"/>
  <c r="BA77" i="20" s="1"/>
  <c r="N78" i="20"/>
  <c r="L78" i="20"/>
  <c r="AA78" i="20"/>
  <c r="AZ78" i="20"/>
  <c r="BA78" i="20" s="1"/>
  <c r="AJ83" i="20"/>
  <c r="AK83" i="20" s="1"/>
  <c r="AB83" i="20"/>
  <c r="AC83" i="20" s="1"/>
  <c r="Q92" i="20"/>
  <c r="P92" i="20"/>
  <c r="AR92" i="20"/>
  <c r="AS92" i="20" s="1"/>
  <c r="R93" i="20"/>
  <c r="M93" i="20"/>
  <c r="BD93" i="20"/>
  <c r="BE93" i="20" s="1"/>
  <c r="L93" i="20"/>
  <c r="AR93" i="20"/>
  <c r="AS93" i="20" s="1"/>
  <c r="L95" i="20"/>
  <c r="L96" i="20"/>
  <c r="L97" i="20"/>
  <c r="K99" i="20"/>
  <c r="M100" i="20"/>
  <c r="L101" i="20"/>
  <c r="K102" i="20"/>
  <c r="N103" i="20"/>
  <c r="O104" i="20"/>
  <c r="N105" i="20"/>
  <c r="Q106" i="20"/>
  <c r="P108" i="20"/>
  <c r="Q109" i="20"/>
  <c r="S110" i="20"/>
  <c r="AB112" i="20"/>
  <c r="AC112" i="20" s="1"/>
  <c r="P123" i="20"/>
  <c r="S124" i="20"/>
  <c r="AB125" i="20"/>
  <c r="AC125" i="20" s="1"/>
  <c r="AN132" i="20"/>
  <c r="AO132" i="20" s="1"/>
  <c r="R135" i="20"/>
  <c r="AR136" i="20"/>
  <c r="AS136" i="20" s="1"/>
  <c r="AN142" i="20"/>
  <c r="AO142" i="20" s="1"/>
  <c r="AZ144" i="20"/>
  <c r="BA144" i="20" s="1"/>
  <c r="AZ153" i="20"/>
  <c r="BA153" i="20" s="1"/>
  <c r="S157" i="20"/>
  <c r="AV158" i="20"/>
  <c r="AW158" i="20" s="1"/>
  <c r="M200" i="20"/>
  <c r="AJ235" i="20"/>
  <c r="AK235" i="20" s="1"/>
  <c r="BD297" i="20"/>
  <c r="BE297" i="20" s="1"/>
  <c r="M297" i="20"/>
  <c r="S297" i="20"/>
  <c r="R297" i="20"/>
  <c r="Q297" i="20"/>
  <c r="O297" i="20"/>
  <c r="N297" i="20"/>
  <c r="AZ297" i="20"/>
  <c r="BA297" i="20" s="1"/>
  <c r="AV297" i="20"/>
  <c r="AW297" i="20" s="1"/>
  <c r="AR297" i="20"/>
  <c r="AS297" i="20" s="1"/>
  <c r="AJ297" i="20"/>
  <c r="AK297" i="20" s="1"/>
  <c r="AB297" i="20"/>
  <c r="AC297" i="20" s="1"/>
  <c r="AN297" i="20"/>
  <c r="AO297" i="20" s="1"/>
  <c r="AF297" i="20"/>
  <c r="AG297" i="20" s="1"/>
  <c r="AA297" i="20"/>
  <c r="P297" i="20"/>
  <c r="L297" i="20"/>
  <c r="J297" i="20"/>
  <c r="K297" i="20"/>
  <c r="N42" i="20"/>
  <c r="L42" i="20"/>
  <c r="BD42" i="20"/>
  <c r="BE42" i="20" s="1"/>
  <c r="J42" i="20"/>
  <c r="AJ42" i="20"/>
  <c r="AK42" i="20" s="1"/>
  <c r="BD44" i="20"/>
  <c r="BE44" i="20" s="1"/>
  <c r="AJ64" i="20"/>
  <c r="AK64" i="20" s="1"/>
  <c r="AV64" i="20"/>
  <c r="AW64" i="20" s="1"/>
  <c r="R65" i="20"/>
  <c r="AB65" i="20"/>
  <c r="AC65" i="20" s="1"/>
  <c r="AA65" i="20"/>
  <c r="AV65" i="20"/>
  <c r="AW65" i="20" s="1"/>
  <c r="AR76" i="20"/>
  <c r="AS76" i="20" s="1"/>
  <c r="M76" i="20"/>
  <c r="J76" i="20"/>
  <c r="AB84" i="20"/>
  <c r="AC84" i="20" s="1"/>
  <c r="AA84" i="20"/>
  <c r="R84" i="20"/>
  <c r="AV88" i="20"/>
  <c r="AW88" i="20" s="1"/>
  <c r="O88" i="20"/>
  <c r="L88" i="20"/>
  <c r="R89" i="20"/>
  <c r="AN89" i="20"/>
  <c r="AO89" i="20" s="1"/>
  <c r="M89" i="20"/>
  <c r="BD89" i="20"/>
  <c r="BE89" i="20" s="1"/>
  <c r="J89" i="20"/>
  <c r="N90" i="20"/>
  <c r="L90" i="20"/>
  <c r="AF90" i="20"/>
  <c r="AG90" i="20" s="1"/>
  <c r="J90" i="20"/>
  <c r="AZ90" i="20"/>
  <c r="BA90" i="20" s="1"/>
  <c r="M95" i="20"/>
  <c r="M96" i="20"/>
  <c r="M97" i="20"/>
  <c r="M101" i="20"/>
  <c r="Q108" i="20"/>
  <c r="AA111" i="20"/>
  <c r="AJ112" i="20"/>
  <c r="AK112" i="20" s="1"/>
  <c r="AR119" i="20"/>
  <c r="AS119" i="20" s="1"/>
  <c r="R121" i="20"/>
  <c r="AN121" i="20"/>
  <c r="AO121" i="20" s="1"/>
  <c r="AV121" i="20"/>
  <c r="AW121" i="20" s="1"/>
  <c r="O121" i="20"/>
  <c r="Q123" i="20"/>
  <c r="AF125" i="20"/>
  <c r="AG125" i="20" s="1"/>
  <c r="AN126" i="20"/>
  <c r="AO126" i="20" s="1"/>
  <c r="S135" i="20"/>
  <c r="AA152" i="20"/>
  <c r="AZ158" i="20"/>
  <c r="BA158" i="20" s="1"/>
  <c r="AJ161" i="20"/>
  <c r="AK161" i="20" s="1"/>
  <c r="AB186" i="20"/>
  <c r="AC186" i="20" s="1"/>
  <c r="N225" i="20"/>
  <c r="BD225" i="20"/>
  <c r="BE225" i="20" s="1"/>
  <c r="M225" i="20"/>
  <c r="AZ225" i="20"/>
  <c r="BA225" i="20" s="1"/>
  <c r="K225" i="20"/>
  <c r="S225" i="20"/>
  <c r="R225" i="20"/>
  <c r="P225" i="20"/>
  <c r="O225" i="20"/>
  <c r="L225" i="20"/>
  <c r="AV225" i="20"/>
  <c r="AW225" i="20" s="1"/>
  <c r="AR225" i="20"/>
  <c r="AS225" i="20" s="1"/>
  <c r="AN225" i="20"/>
  <c r="AO225" i="20" s="1"/>
  <c r="AF225" i="20"/>
  <c r="AG225" i="20" s="1"/>
  <c r="AB225" i="20"/>
  <c r="AC225" i="20" s="1"/>
  <c r="AA225" i="20"/>
  <c r="X173" i="20"/>
  <c r="R175" i="20"/>
  <c r="X183" i="20"/>
  <c r="R191" i="20"/>
  <c r="AN196" i="20"/>
  <c r="AO196" i="20" s="1"/>
  <c r="AF196" i="20"/>
  <c r="AG196" i="20" s="1"/>
  <c r="AB196" i="20"/>
  <c r="AC196" i="20" s="1"/>
  <c r="AA196" i="20"/>
  <c r="N196" i="20"/>
  <c r="M196" i="20"/>
  <c r="L196" i="20"/>
  <c r="AZ202" i="20"/>
  <c r="BA202" i="20" s="1"/>
  <c r="L202" i="20"/>
  <c r="R202" i="20"/>
  <c r="P202" i="20"/>
  <c r="O202" i="20"/>
  <c r="S202" i="20"/>
  <c r="Q202" i="20"/>
  <c r="N202" i="20"/>
  <c r="K209" i="20"/>
  <c r="AF226" i="20"/>
  <c r="AG226" i="20" s="1"/>
  <c r="BD263" i="20"/>
  <c r="BE263" i="20" s="1"/>
  <c r="M263" i="20"/>
  <c r="AJ263" i="20"/>
  <c r="AK263" i="20" s="1"/>
  <c r="AR263" i="20"/>
  <c r="AS263" i="20" s="1"/>
  <c r="AN263" i="20"/>
  <c r="AO263" i="20" s="1"/>
  <c r="AF263" i="20"/>
  <c r="AG263" i="20" s="1"/>
  <c r="AB263" i="20"/>
  <c r="AC263" i="20" s="1"/>
  <c r="AA263" i="20"/>
  <c r="Q263" i="20"/>
  <c r="P263" i="20"/>
  <c r="O263" i="20"/>
  <c r="AV263" i="20"/>
  <c r="AW263" i="20" s="1"/>
  <c r="S263" i="20"/>
  <c r="L263" i="20"/>
  <c r="K263" i="20"/>
  <c r="AZ263" i="20"/>
  <c r="BA263" i="20" s="1"/>
  <c r="AA270" i="20"/>
  <c r="S286" i="20"/>
  <c r="L286" i="20"/>
  <c r="R286" i="20"/>
  <c r="Q286" i="20"/>
  <c r="P286" i="20"/>
  <c r="O286" i="20"/>
  <c r="K286" i="20"/>
  <c r="AR286" i="20"/>
  <c r="AS286" i="20" s="1"/>
  <c r="AN286" i="20"/>
  <c r="AO286" i="20" s="1"/>
  <c r="AJ286" i="20"/>
  <c r="AK286" i="20" s="1"/>
  <c r="AF286" i="20"/>
  <c r="AG286" i="20" s="1"/>
  <c r="N286" i="20"/>
  <c r="J286" i="20"/>
  <c r="BD286" i="20"/>
  <c r="BE286" i="20" s="1"/>
  <c r="AV286" i="20"/>
  <c r="AW286" i="20" s="1"/>
  <c r="AA286" i="20"/>
  <c r="N138" i="20"/>
  <c r="L138" i="20"/>
  <c r="K138" i="20"/>
  <c r="BD138" i="20"/>
  <c r="BE138" i="20" s="1"/>
  <c r="J138" i="20"/>
  <c r="AA173" i="20"/>
  <c r="S175" i="20"/>
  <c r="S191" i="20"/>
  <c r="J196" i="20"/>
  <c r="AF198" i="20"/>
  <c r="AG198" i="20" s="1"/>
  <c r="J202" i="20"/>
  <c r="L209" i="20"/>
  <c r="AN234" i="20"/>
  <c r="AO234" i="20" s="1"/>
  <c r="J263" i="20"/>
  <c r="M286" i="20"/>
  <c r="AB173" i="20"/>
  <c r="AC173" i="20" s="1"/>
  <c r="AB176" i="20"/>
  <c r="AC176" i="20" s="1"/>
  <c r="AF183" i="20"/>
  <c r="AG183" i="20" s="1"/>
  <c r="AF187" i="20"/>
  <c r="AG187" i="20" s="1"/>
  <c r="AA187" i="20"/>
  <c r="S187" i="20"/>
  <c r="N187" i="20"/>
  <c r="M187" i="20"/>
  <c r="L187" i="20"/>
  <c r="AZ187" i="20"/>
  <c r="BA187" i="20" s="1"/>
  <c r="AZ213" i="20"/>
  <c r="BA213" i="20" s="1"/>
  <c r="L213" i="20"/>
  <c r="AR213" i="20"/>
  <c r="AS213" i="20" s="1"/>
  <c r="AF213" i="20"/>
  <c r="AG213" i="20" s="1"/>
  <c r="M213" i="20"/>
  <c r="K213" i="20"/>
  <c r="J213" i="20"/>
  <c r="AF233" i="20"/>
  <c r="AG233" i="20" s="1"/>
  <c r="AB233" i="20"/>
  <c r="AC233" i="20" s="1"/>
  <c r="AA233" i="20"/>
  <c r="AZ233" i="20"/>
  <c r="BA233" i="20" s="1"/>
  <c r="AV233" i="20"/>
  <c r="AW233" i="20" s="1"/>
  <c r="AN233" i="20"/>
  <c r="AO233" i="20" s="1"/>
  <c r="P233" i="20"/>
  <c r="O233" i="20"/>
  <c r="N233" i="20"/>
  <c r="L233" i="20"/>
  <c r="R233" i="20"/>
  <c r="S258" i="20"/>
  <c r="L258" i="20"/>
  <c r="Q258" i="20"/>
  <c r="AR258" i="20"/>
  <c r="AS258" i="20" s="1"/>
  <c r="AN258" i="20"/>
  <c r="AO258" i="20" s="1"/>
  <c r="AJ258" i="20"/>
  <c r="AK258" i="20" s="1"/>
  <c r="AF258" i="20"/>
  <c r="AG258" i="20" s="1"/>
  <c r="R258" i="20"/>
  <c r="BD258" i="20"/>
  <c r="BE258" i="20" s="1"/>
  <c r="AV258" i="20"/>
  <c r="AW258" i="20" s="1"/>
  <c r="N114" i="20"/>
  <c r="L114" i="20"/>
  <c r="AR114" i="20"/>
  <c r="AS114" i="20" s="1"/>
  <c r="BD115" i="20"/>
  <c r="BE115" i="20" s="1"/>
  <c r="R129" i="20"/>
  <c r="AB129" i="20"/>
  <c r="AC129" i="20" s="1"/>
  <c r="AA129" i="20"/>
  <c r="R145" i="20"/>
  <c r="N145" i="20"/>
  <c r="M145" i="20"/>
  <c r="AZ148" i="20"/>
  <c r="BA148" i="20" s="1"/>
  <c r="R165" i="20"/>
  <c r="AJ165" i="20"/>
  <c r="AK165" i="20" s="1"/>
  <c r="AV175" i="20"/>
  <c r="AW175" i="20" s="1"/>
  <c r="AV183" i="20"/>
  <c r="AW183" i="20" s="1"/>
  <c r="AV191" i="20"/>
  <c r="AW191" i="20" s="1"/>
  <c r="AV198" i="20"/>
  <c r="AW198" i="20" s="1"/>
  <c r="S212" i="20"/>
  <c r="BD212" i="20"/>
  <c r="BE212" i="20" s="1"/>
  <c r="M212" i="20"/>
  <c r="L212" i="20"/>
  <c r="J212" i="20"/>
  <c r="AR212" i="20"/>
  <c r="AS212" i="20" s="1"/>
  <c r="AF212" i="20"/>
  <c r="AG212" i="20" s="1"/>
  <c r="J165" i="20"/>
  <c r="BD165" i="20"/>
  <c r="BE165" i="20" s="1"/>
  <c r="AV173" i="20"/>
  <c r="AW173" i="20" s="1"/>
  <c r="AV176" i="20"/>
  <c r="AW176" i="20" s="1"/>
  <c r="AF202" i="20"/>
  <c r="AG202" i="20" s="1"/>
  <c r="AA209" i="20"/>
  <c r="K212" i="20"/>
  <c r="K114" i="20"/>
  <c r="K115" i="20"/>
  <c r="AB116" i="20"/>
  <c r="AC116" i="20" s="1"/>
  <c r="AA116" i="20"/>
  <c r="BD116" i="20"/>
  <c r="BE116" i="20" s="1"/>
  <c r="K129" i="20"/>
  <c r="AB138" i="20"/>
  <c r="AC138" i="20" s="1"/>
  <c r="K145" i="20"/>
  <c r="K165" i="20"/>
  <c r="AZ175" i="20"/>
  <c r="BA175" i="20" s="1"/>
  <c r="AZ183" i="20"/>
  <c r="BA183" i="20" s="1"/>
  <c r="AB187" i="20"/>
  <c r="AC187" i="20" s="1"/>
  <c r="S193" i="20"/>
  <c r="R193" i="20"/>
  <c r="P193" i="20"/>
  <c r="N193" i="20"/>
  <c r="BD193" i="20"/>
  <c r="BE193" i="20" s="1"/>
  <c r="M193" i="20"/>
  <c r="L193" i="20"/>
  <c r="K193" i="20"/>
  <c r="J193" i="20"/>
  <c r="AV193" i="20"/>
  <c r="AW193" i="20" s="1"/>
  <c r="AJ196" i="20"/>
  <c r="AK196" i="20" s="1"/>
  <c r="M199" i="20"/>
  <c r="BD199" i="20"/>
  <c r="BE199" i="20" s="1"/>
  <c r="L199" i="20"/>
  <c r="AZ199" i="20"/>
  <c r="BA199" i="20" s="1"/>
  <c r="J199" i="20"/>
  <c r="AV199" i="20"/>
  <c r="AW199" i="20" s="1"/>
  <c r="AR199" i="20"/>
  <c r="AS199" i="20" s="1"/>
  <c r="R199" i="20"/>
  <c r="Q199" i="20"/>
  <c r="P199" i="20"/>
  <c r="AJ209" i="20"/>
  <c r="AK209" i="20" s="1"/>
  <c r="N212" i="20"/>
  <c r="X213" i="20"/>
  <c r="S216" i="20"/>
  <c r="Q216" i="20"/>
  <c r="R216" i="20"/>
  <c r="O216" i="20"/>
  <c r="M216" i="20"/>
  <c r="L216" i="20"/>
  <c r="BD216" i="20"/>
  <c r="BE216" i="20" s="1"/>
  <c r="K216" i="20"/>
  <c r="AV216" i="20"/>
  <c r="AW216" i="20" s="1"/>
  <c r="AF216" i="20"/>
  <c r="AG216" i="20" s="1"/>
  <c r="AA216" i="20"/>
  <c r="N216" i="20"/>
  <c r="S238" i="20"/>
  <c r="AB238" i="20"/>
  <c r="AC238" i="20" s="1"/>
  <c r="AF238" i="20"/>
  <c r="AG238" i="20" s="1"/>
  <c r="AA238" i="20"/>
  <c r="R238" i="20"/>
  <c r="Q238" i="20"/>
  <c r="P238" i="20"/>
  <c r="L238" i="20"/>
  <c r="K238" i="20"/>
  <c r="O238" i="20"/>
  <c r="N238" i="20"/>
  <c r="J238" i="20"/>
  <c r="AN238" i="20"/>
  <c r="AO238" i="20" s="1"/>
  <c r="AJ238" i="20"/>
  <c r="AK238" i="20" s="1"/>
  <c r="AA258" i="20"/>
  <c r="AF269" i="20"/>
  <c r="AG269" i="20" s="1"/>
  <c r="R269" i="20"/>
  <c r="AR269" i="20"/>
  <c r="AS269" i="20" s="1"/>
  <c r="AN269" i="20"/>
  <c r="AO269" i="20" s="1"/>
  <c r="AV269" i="20"/>
  <c r="AW269" i="20" s="1"/>
  <c r="AJ269" i="20"/>
  <c r="AK269" i="20" s="1"/>
  <c r="AB269" i="20"/>
  <c r="AC269" i="20" s="1"/>
  <c r="AA269" i="20"/>
  <c r="Q269" i="20"/>
  <c r="P269" i="20"/>
  <c r="O269" i="20"/>
  <c r="M269" i="20"/>
  <c r="L269" i="20"/>
  <c r="K269" i="20"/>
  <c r="J269" i="20"/>
  <c r="S269" i="20"/>
  <c r="N269" i="20"/>
  <c r="N130" i="20"/>
  <c r="L130" i="20"/>
  <c r="S130" i="20"/>
  <c r="R130" i="20"/>
  <c r="O131" i="20"/>
  <c r="N131" i="20"/>
  <c r="BD131" i="20"/>
  <c r="BE131" i="20" s="1"/>
  <c r="AJ148" i="20"/>
  <c r="AK148" i="20" s="1"/>
  <c r="AR148" i="20"/>
  <c r="AS148" i="20" s="1"/>
  <c r="L165" i="20"/>
  <c r="O166" i="20"/>
  <c r="N166" i="20"/>
  <c r="L166" i="20"/>
  <c r="AV166" i="20"/>
  <c r="AW166" i="20" s="1"/>
  <c r="AB166" i="20"/>
  <c r="AC166" i="20" s="1"/>
  <c r="AZ185" i="20"/>
  <c r="BA185" i="20" s="1"/>
  <c r="K185" i="20"/>
  <c r="J185" i="20"/>
  <c r="AN185" i="20"/>
  <c r="AO185" i="20" s="1"/>
  <c r="N185" i="20"/>
  <c r="M185" i="20"/>
  <c r="L185" i="20"/>
  <c r="AV185" i="20"/>
  <c r="AW185" i="20" s="1"/>
  <c r="AJ202" i="20"/>
  <c r="AK202" i="20" s="1"/>
  <c r="O212" i="20"/>
  <c r="AA213" i="20"/>
  <c r="J216" i="20"/>
  <c r="AJ233" i="20"/>
  <c r="AK233" i="20" s="1"/>
  <c r="M238" i="20"/>
  <c r="AB258" i="20"/>
  <c r="AC258" i="20" s="1"/>
  <c r="N48" i="20"/>
  <c r="M48" i="20"/>
  <c r="BD48" i="20"/>
  <c r="BE48" i="20" s="1"/>
  <c r="O114" i="20"/>
  <c r="M115" i="20"/>
  <c r="K116" i="20"/>
  <c r="R117" i="20"/>
  <c r="S117" i="20"/>
  <c r="AZ117" i="20"/>
  <c r="BA117" i="20" s="1"/>
  <c r="M129" i="20"/>
  <c r="J130" i="20"/>
  <c r="J131" i="20"/>
  <c r="AF138" i="20"/>
  <c r="AG138" i="20" s="1"/>
  <c r="O145" i="20"/>
  <c r="J148" i="20"/>
  <c r="R149" i="20"/>
  <c r="AJ149" i="20"/>
  <c r="AK149" i="20" s="1"/>
  <c r="M165" i="20"/>
  <c r="J166" i="20"/>
  <c r="AJ168" i="20"/>
  <c r="AK168" i="20" s="1"/>
  <c r="R168" i="20"/>
  <c r="Q168" i="20"/>
  <c r="AB172" i="20"/>
  <c r="AC172" i="20" s="1"/>
  <c r="AA172" i="20"/>
  <c r="R172" i="20"/>
  <c r="AV172" i="20"/>
  <c r="AW172" i="20" s="1"/>
  <c r="BD172" i="20"/>
  <c r="BE172" i="20" s="1"/>
  <c r="O185" i="20"/>
  <c r="AJ187" i="20"/>
  <c r="AK187" i="20" s="1"/>
  <c r="Q193" i="20"/>
  <c r="AR196" i="20"/>
  <c r="AS196" i="20" s="1"/>
  <c r="N199" i="20"/>
  <c r="P212" i="20"/>
  <c r="AB213" i="20"/>
  <c r="AC213" i="20" s="1"/>
  <c r="P216" i="20"/>
  <c r="AR233" i="20"/>
  <c r="AS233" i="20" s="1"/>
  <c r="Q173" i="20"/>
  <c r="P173" i="20"/>
  <c r="BD173" i="20"/>
  <c r="BE173" i="20" s="1"/>
  <c r="N173" i="20"/>
  <c r="K173" i="20"/>
  <c r="AR173" i="20"/>
  <c r="AS173" i="20" s="1"/>
  <c r="AJ175" i="20"/>
  <c r="AK175" i="20" s="1"/>
  <c r="AF175" i="20"/>
  <c r="AG175" i="20" s="1"/>
  <c r="AA175" i="20"/>
  <c r="AN175" i="20"/>
  <c r="AO175" i="20" s="1"/>
  <c r="AA176" i="20"/>
  <c r="S176" i="20"/>
  <c r="P176" i="20"/>
  <c r="AF176" i="20"/>
  <c r="AG176" i="20" s="1"/>
  <c r="AB183" i="20"/>
  <c r="AC183" i="20" s="1"/>
  <c r="AA183" i="20"/>
  <c r="S183" i="20"/>
  <c r="R183" i="20"/>
  <c r="L183" i="20"/>
  <c r="K183" i="20"/>
  <c r="BD233" i="20"/>
  <c r="BE233" i="20" s="1"/>
  <c r="AR272" i="20"/>
  <c r="AS272" i="20" s="1"/>
  <c r="S272" i="20"/>
  <c r="R272" i="20"/>
  <c r="Q272" i="20"/>
  <c r="P272" i="20"/>
  <c r="M272" i="20"/>
  <c r="AZ272" i="20"/>
  <c r="BA272" i="20" s="1"/>
  <c r="AV272" i="20"/>
  <c r="AW272" i="20" s="1"/>
  <c r="AN272" i="20"/>
  <c r="AO272" i="20" s="1"/>
  <c r="AF272" i="20"/>
  <c r="AG272" i="20" s="1"/>
  <c r="AB272" i="20"/>
  <c r="AC272" i="20" s="1"/>
  <c r="AA272" i="20"/>
  <c r="BD272" i="20"/>
  <c r="BE272" i="20" s="1"/>
  <c r="AJ272" i="20"/>
  <c r="AK272" i="20" s="1"/>
  <c r="L272" i="20"/>
  <c r="K272" i="20"/>
  <c r="R114" i="20"/>
  <c r="P115" i="20"/>
  <c r="N116" i="20"/>
  <c r="P129" i="20"/>
  <c r="O130" i="20"/>
  <c r="M131" i="20"/>
  <c r="S145" i="20"/>
  <c r="M148" i="20"/>
  <c r="O150" i="20"/>
  <c r="N150" i="20"/>
  <c r="L150" i="20"/>
  <c r="AB150" i="20"/>
  <c r="AC150" i="20" s="1"/>
  <c r="P165" i="20"/>
  <c r="P166" i="20"/>
  <c r="L168" i="20"/>
  <c r="BD170" i="20"/>
  <c r="BE170" i="20" s="1"/>
  <c r="N170" i="20"/>
  <c r="M170" i="20"/>
  <c r="K170" i="20"/>
  <c r="AR170" i="20"/>
  <c r="AS170" i="20" s="1"/>
  <c r="L170" i="20"/>
  <c r="J170" i="20"/>
  <c r="L172" i="20"/>
  <c r="J173" i="20"/>
  <c r="J175" i="20"/>
  <c r="J176" i="20"/>
  <c r="P177" i="20"/>
  <c r="O177" i="20"/>
  <c r="BD177" i="20"/>
  <c r="BE177" i="20" s="1"/>
  <c r="M177" i="20"/>
  <c r="J177" i="20"/>
  <c r="AB177" i="20"/>
  <c r="AC177" i="20" s="1"/>
  <c r="AJ179" i="20"/>
  <c r="AK179" i="20" s="1"/>
  <c r="AA179" i="20"/>
  <c r="X179" i="20"/>
  <c r="R179" i="20"/>
  <c r="Q179" i="20"/>
  <c r="R180" i="20"/>
  <c r="P180" i="20"/>
  <c r="O180" i="20"/>
  <c r="S180" i="20"/>
  <c r="Q180" i="20"/>
  <c r="BD180" i="20"/>
  <c r="BE180" i="20" s="1"/>
  <c r="AN182" i="20"/>
  <c r="AO182" i="20" s="1"/>
  <c r="AJ182" i="20"/>
  <c r="AK182" i="20" s="1"/>
  <c r="AF182" i="20"/>
  <c r="AG182" i="20" s="1"/>
  <c r="N182" i="20"/>
  <c r="M182" i="20"/>
  <c r="AZ182" i="20"/>
  <c r="BA182" i="20" s="1"/>
  <c r="J183" i="20"/>
  <c r="R185" i="20"/>
  <c r="AA193" i="20"/>
  <c r="AR202" i="20"/>
  <c r="AS202" i="20" s="1"/>
  <c r="AB216" i="20"/>
  <c r="AC216" i="20" s="1"/>
  <c r="S224" i="20"/>
  <c r="Q224" i="20"/>
  <c r="AB224" i="20"/>
  <c r="AC224" i="20" s="1"/>
  <c r="AA224" i="20"/>
  <c r="R224" i="20"/>
  <c r="P224" i="20"/>
  <c r="O224" i="20"/>
  <c r="BD224" i="20"/>
  <c r="BE224" i="20" s="1"/>
  <c r="K224" i="20"/>
  <c r="J224" i="20"/>
  <c r="AJ224" i="20"/>
  <c r="AK224" i="20" s="1"/>
  <c r="L224" i="20"/>
  <c r="AR240" i="20"/>
  <c r="AS240" i="20" s="1"/>
  <c r="N240" i="20"/>
  <c r="M240" i="20"/>
  <c r="K240" i="20"/>
  <c r="AA240" i="20"/>
  <c r="S240" i="20"/>
  <c r="Q240" i="20"/>
  <c r="P240" i="20"/>
  <c r="O240" i="20"/>
  <c r="BD240" i="20"/>
  <c r="BE240" i="20" s="1"/>
  <c r="AZ240" i="20"/>
  <c r="BA240" i="20" s="1"/>
  <c r="AV240" i="20"/>
  <c r="AW240" i="20" s="1"/>
  <c r="AN240" i="20"/>
  <c r="AO240" i="20" s="1"/>
  <c r="AF240" i="20"/>
  <c r="AG240" i="20" s="1"/>
  <c r="BD269" i="20"/>
  <c r="BE269" i="20" s="1"/>
  <c r="J272" i="20"/>
  <c r="S226" i="20"/>
  <c r="AV226" i="20"/>
  <c r="AW226" i="20" s="1"/>
  <c r="R226" i="20"/>
  <c r="Q226" i="20"/>
  <c r="P226" i="20"/>
  <c r="O226" i="20"/>
  <c r="M226" i="20"/>
  <c r="L226" i="20"/>
  <c r="K226" i="20"/>
  <c r="AZ226" i="20"/>
  <c r="BA226" i="20" s="1"/>
  <c r="N226" i="20"/>
  <c r="S234" i="20"/>
  <c r="R234" i="20"/>
  <c r="Q234" i="20"/>
  <c r="O234" i="20"/>
  <c r="AV234" i="20"/>
  <c r="AW234" i="20" s="1"/>
  <c r="AR234" i="20"/>
  <c r="AS234" i="20" s="1"/>
  <c r="AJ234" i="20"/>
  <c r="AK234" i="20" s="1"/>
  <c r="AA234" i="20"/>
  <c r="AF234" i="20"/>
  <c r="AG234" i="20" s="1"/>
  <c r="AB234" i="20"/>
  <c r="AC234" i="20" s="1"/>
  <c r="L234" i="20"/>
  <c r="M173" i="20"/>
  <c r="L175" i="20"/>
  <c r="L176" i="20"/>
  <c r="N183" i="20"/>
  <c r="AV187" i="20"/>
  <c r="AW187" i="20" s="1"/>
  <c r="AN191" i="20"/>
  <c r="AO191" i="20" s="1"/>
  <c r="AB191" i="20"/>
  <c r="AC191" i="20" s="1"/>
  <c r="M191" i="20"/>
  <c r="L191" i="20"/>
  <c r="K191" i="20"/>
  <c r="AZ191" i="20"/>
  <c r="BA191" i="20" s="1"/>
  <c r="N198" i="20"/>
  <c r="R198" i="20"/>
  <c r="Q198" i="20"/>
  <c r="O198" i="20"/>
  <c r="BD198" i="20"/>
  <c r="BE198" i="20" s="1"/>
  <c r="L198" i="20"/>
  <c r="K198" i="20"/>
  <c r="P198" i="20"/>
  <c r="M198" i="20"/>
  <c r="J198" i="20"/>
  <c r="J226" i="20"/>
  <c r="J234" i="20"/>
  <c r="AF257" i="20"/>
  <c r="AG257" i="20" s="1"/>
  <c r="R257" i="20"/>
  <c r="AB257" i="20"/>
  <c r="AC257" i="20" s="1"/>
  <c r="AV257" i="20"/>
  <c r="AW257" i="20" s="1"/>
  <c r="AR257" i="20"/>
  <c r="AS257" i="20" s="1"/>
  <c r="AN257" i="20"/>
  <c r="AO257" i="20" s="1"/>
  <c r="AJ257" i="20"/>
  <c r="AK257" i="20" s="1"/>
  <c r="S257" i="20"/>
  <c r="AA257" i="20"/>
  <c r="Q257" i="20"/>
  <c r="N257" i="20"/>
  <c r="M257" i="20"/>
  <c r="J257" i="20"/>
  <c r="BD257" i="20"/>
  <c r="BE257" i="20" s="1"/>
  <c r="S270" i="20"/>
  <c r="L270" i="20"/>
  <c r="AJ270" i="20"/>
  <c r="AK270" i="20" s="1"/>
  <c r="AF270" i="20"/>
  <c r="AG270" i="20" s="1"/>
  <c r="AV270" i="20"/>
  <c r="AW270" i="20" s="1"/>
  <c r="AR270" i="20"/>
  <c r="AS270" i="20" s="1"/>
  <c r="AN270" i="20"/>
  <c r="AO270" i="20" s="1"/>
  <c r="AB270" i="20"/>
  <c r="AC270" i="20" s="1"/>
  <c r="R270" i="20"/>
  <c r="Q270" i="20"/>
  <c r="AZ270" i="20"/>
  <c r="BA270" i="20" s="1"/>
  <c r="P270" i="20"/>
  <c r="M270" i="20"/>
  <c r="K270" i="20"/>
  <c r="O173" i="20"/>
  <c r="M175" i="20"/>
  <c r="M176" i="20"/>
  <c r="O183" i="20"/>
  <c r="J191" i="20"/>
  <c r="AF193" i="20"/>
  <c r="AG193" i="20" s="1"/>
  <c r="S198" i="20"/>
  <c r="AB199" i="20"/>
  <c r="AC199" i="20" s="1"/>
  <c r="AF211" i="20"/>
  <c r="AG211" i="20" s="1"/>
  <c r="S211" i="20"/>
  <c r="R211" i="20"/>
  <c r="P211" i="20"/>
  <c r="N211" i="20"/>
  <c r="BD211" i="20"/>
  <c r="BE211" i="20" s="1"/>
  <c r="M211" i="20"/>
  <c r="L211" i="20"/>
  <c r="AR211" i="20"/>
  <c r="AS211" i="20" s="1"/>
  <c r="AV211" i="20"/>
  <c r="AW211" i="20" s="1"/>
  <c r="AB211" i="20"/>
  <c r="AC211" i="20" s="1"/>
  <c r="AA212" i="20"/>
  <c r="BD213" i="20"/>
  <c r="BE213" i="20" s="1"/>
  <c r="AN216" i="20"/>
  <c r="AO216" i="20" s="1"/>
  <c r="N221" i="20"/>
  <c r="BD221" i="20"/>
  <c r="BE221" i="20" s="1"/>
  <c r="M221" i="20"/>
  <c r="AZ221" i="20"/>
  <c r="BA221" i="20" s="1"/>
  <c r="K221" i="20"/>
  <c r="AR221" i="20"/>
  <c r="AS221" i="20" s="1"/>
  <c r="AN221" i="20"/>
  <c r="AO221" i="20" s="1"/>
  <c r="AF221" i="20"/>
  <c r="AG221" i="20" s="1"/>
  <c r="S221" i="20"/>
  <c r="AV221" i="20"/>
  <c r="AW221" i="20" s="1"/>
  <c r="AJ221" i="20"/>
  <c r="AK221" i="20" s="1"/>
  <c r="K234" i="20"/>
  <c r="AV238" i="20"/>
  <c r="AW238" i="20" s="1"/>
  <c r="R240" i="20"/>
  <c r="K257" i="20"/>
  <c r="J270" i="20"/>
  <c r="Q343" i="20"/>
  <c r="L343" i="20"/>
  <c r="AZ343" i="20"/>
  <c r="BA343" i="20" s="1"/>
  <c r="AV343" i="20"/>
  <c r="AW343" i="20" s="1"/>
  <c r="AN343" i="20"/>
  <c r="AO343" i="20" s="1"/>
  <c r="AJ343" i="20"/>
  <c r="AK343" i="20" s="1"/>
  <c r="AF343" i="20"/>
  <c r="AG343" i="20" s="1"/>
  <c r="AB343" i="20"/>
  <c r="AC343" i="20" s="1"/>
  <c r="AA343" i="20"/>
  <c r="S343" i="20"/>
  <c r="R343" i="20"/>
  <c r="N343" i="20"/>
  <c r="M343" i="20"/>
  <c r="K343" i="20"/>
  <c r="J343" i="20"/>
  <c r="BD343" i="20"/>
  <c r="BE343" i="20" s="1"/>
  <c r="P343" i="20"/>
  <c r="AA185" i="20"/>
  <c r="N191" i="20"/>
  <c r="AB197" i="20"/>
  <c r="AC197" i="20" s="1"/>
  <c r="AA197" i="20"/>
  <c r="R197" i="20"/>
  <c r="Q197" i="20"/>
  <c r="N197" i="20"/>
  <c r="M197" i="20"/>
  <c r="L197" i="20"/>
  <c r="BD202" i="20"/>
  <c r="BE202" i="20" s="1"/>
  <c r="AB212" i="20"/>
  <c r="AC212" i="20" s="1"/>
  <c r="M234" i="20"/>
  <c r="AF237" i="20"/>
  <c r="AG237" i="20" s="1"/>
  <c r="AN237" i="20"/>
  <c r="AO237" i="20" s="1"/>
  <c r="AJ237" i="20"/>
  <c r="AK237" i="20" s="1"/>
  <c r="AB237" i="20"/>
  <c r="AC237" i="20" s="1"/>
  <c r="AA237" i="20"/>
  <c r="S237" i="20"/>
  <c r="R237" i="20"/>
  <c r="N237" i="20"/>
  <c r="M237" i="20"/>
  <c r="L237" i="20"/>
  <c r="J237" i="20"/>
  <c r="L257" i="20"/>
  <c r="N270" i="20"/>
  <c r="P175" i="20"/>
  <c r="Q176" i="20"/>
  <c r="P191" i="20"/>
  <c r="AA198" i="20"/>
  <c r="O209" i="20"/>
  <c r="AR209" i="20"/>
  <c r="AS209" i="20" s="1"/>
  <c r="AF209" i="20"/>
  <c r="AG209" i="20" s="1"/>
  <c r="BD209" i="20"/>
  <c r="BE209" i="20" s="1"/>
  <c r="AZ209" i="20"/>
  <c r="BA209" i="20" s="1"/>
  <c r="AV209" i="20"/>
  <c r="AW209" i="20" s="1"/>
  <c r="AB209" i="20"/>
  <c r="AC209" i="20" s="1"/>
  <c r="AB226" i="20"/>
  <c r="AC226" i="20" s="1"/>
  <c r="P234" i="20"/>
  <c r="P257" i="20"/>
  <c r="BD283" i="20"/>
  <c r="BE283" i="20" s="1"/>
  <c r="M283" i="20"/>
  <c r="AN283" i="20"/>
  <c r="AO283" i="20" s="1"/>
  <c r="AJ283" i="20"/>
  <c r="AK283" i="20" s="1"/>
  <c r="AB283" i="20"/>
  <c r="AC283" i="20" s="1"/>
  <c r="AA283" i="20"/>
  <c r="S283" i="20"/>
  <c r="R283" i="20"/>
  <c r="Q283" i="20"/>
  <c r="P283" i="20"/>
  <c r="L283" i="20"/>
  <c r="K283" i="20"/>
  <c r="J283" i="20"/>
  <c r="AZ283" i="20"/>
  <c r="BA283" i="20" s="1"/>
  <c r="AV283" i="20"/>
  <c r="AW283" i="20" s="1"/>
  <c r="AR283" i="20"/>
  <c r="AS283" i="20" s="1"/>
  <c r="O283" i="20"/>
  <c r="AR343" i="20"/>
  <c r="AS343" i="20" s="1"/>
  <c r="AZ216" i="20"/>
  <c r="BA216" i="20" s="1"/>
  <c r="P221" i="20"/>
  <c r="P237" i="20"/>
  <c r="BD238" i="20"/>
  <c r="BE238" i="20" s="1"/>
  <c r="N283" i="20"/>
  <c r="AR252" i="20"/>
  <c r="AS252" i="20" s="1"/>
  <c r="Q252" i="20"/>
  <c r="P252" i="20"/>
  <c r="N252" i="20"/>
  <c r="AZ252" i="20"/>
  <c r="BA252" i="20" s="1"/>
  <c r="AV252" i="20"/>
  <c r="AW252" i="20" s="1"/>
  <c r="AN252" i="20"/>
  <c r="AO252" i="20" s="1"/>
  <c r="AB252" i="20"/>
  <c r="AC252" i="20" s="1"/>
  <c r="AA252" i="20"/>
  <c r="AN303" i="20"/>
  <c r="AO303" i="20" s="1"/>
  <c r="AA303" i="20"/>
  <c r="S303" i="20"/>
  <c r="R303" i="20"/>
  <c r="Q303" i="20"/>
  <c r="P303" i="20"/>
  <c r="N303" i="20"/>
  <c r="M303" i="20"/>
  <c r="AB303" i="20"/>
  <c r="AC303" i="20" s="1"/>
  <c r="X303" i="20"/>
  <c r="O303" i="20"/>
  <c r="L303" i="20"/>
  <c r="K303" i="20"/>
  <c r="BD303" i="20"/>
  <c r="BE303" i="20" s="1"/>
  <c r="AZ303" i="20"/>
  <c r="BA303" i="20" s="1"/>
  <c r="AV303" i="20"/>
  <c r="AW303" i="20" s="1"/>
  <c r="AZ342" i="20"/>
  <c r="BA342" i="20" s="1"/>
  <c r="J342" i="20"/>
  <c r="AV342" i="20"/>
  <c r="AW342" i="20" s="1"/>
  <c r="P342" i="20"/>
  <c r="BD342" i="20"/>
  <c r="BE342" i="20" s="1"/>
  <c r="AN342" i="20"/>
  <c r="AO342" i="20" s="1"/>
  <c r="AJ342" i="20"/>
  <c r="AK342" i="20" s="1"/>
  <c r="S342" i="20"/>
  <c r="R342" i="20"/>
  <c r="Q342" i="20"/>
  <c r="N342" i="20"/>
  <c r="M342" i="20"/>
  <c r="L342" i="20"/>
  <c r="K342" i="20"/>
  <c r="AR342" i="20"/>
  <c r="AS342" i="20" s="1"/>
  <c r="AF342" i="20"/>
  <c r="AG342" i="20" s="1"/>
  <c r="AB342" i="20"/>
  <c r="AC342" i="20" s="1"/>
  <c r="AA342" i="20"/>
  <c r="AR284" i="20"/>
  <c r="AS284" i="20" s="1"/>
  <c r="AF284" i="20"/>
  <c r="AG284" i="20" s="1"/>
  <c r="AB284" i="20"/>
  <c r="AC284" i="20" s="1"/>
  <c r="AA284" i="20"/>
  <c r="S284" i="20"/>
  <c r="AN284" i="20"/>
  <c r="AO284" i="20" s="1"/>
  <c r="AJ284" i="20"/>
  <c r="AK284" i="20" s="1"/>
  <c r="R284" i="20"/>
  <c r="Q284" i="20"/>
  <c r="N284" i="20"/>
  <c r="M284" i="20"/>
  <c r="L284" i="20"/>
  <c r="J284" i="20"/>
  <c r="K252" i="20"/>
  <c r="BD255" i="20"/>
  <c r="BE255" i="20" s="1"/>
  <c r="M255" i="20"/>
  <c r="AR255" i="20"/>
  <c r="AS255" i="20" s="1"/>
  <c r="AZ255" i="20"/>
  <c r="BA255" i="20" s="1"/>
  <c r="AV255" i="20"/>
  <c r="AW255" i="20" s="1"/>
  <c r="AN255" i="20"/>
  <c r="AO255" i="20" s="1"/>
  <c r="AJ255" i="20"/>
  <c r="AK255" i="20" s="1"/>
  <c r="AF255" i="20"/>
  <c r="AG255" i="20" s="1"/>
  <c r="K284" i="20"/>
  <c r="S350" i="20"/>
  <c r="Q350" i="20"/>
  <c r="AA350" i="20"/>
  <c r="P350" i="20"/>
  <c r="AJ350" i="20"/>
  <c r="AK350" i="20" s="1"/>
  <c r="AF350" i="20"/>
  <c r="AG350" i="20" s="1"/>
  <c r="R350" i="20"/>
  <c r="AZ350" i="20"/>
  <c r="BA350" i="20" s="1"/>
  <c r="AV350" i="20"/>
  <c r="AW350" i="20" s="1"/>
  <c r="AR350" i="20"/>
  <c r="AS350" i="20" s="1"/>
  <c r="AN350" i="20"/>
  <c r="AO350" i="20" s="1"/>
  <c r="AB350" i="20"/>
  <c r="AC350" i="20" s="1"/>
  <c r="N350" i="20"/>
  <c r="L350" i="20"/>
  <c r="BD350" i="20"/>
  <c r="BE350" i="20" s="1"/>
  <c r="M350" i="20"/>
  <c r="S375" i="20"/>
  <c r="AF375" i="20"/>
  <c r="AG375" i="20" s="1"/>
  <c r="AB375" i="20"/>
  <c r="AC375" i="20" s="1"/>
  <c r="L375" i="20"/>
  <c r="AZ375" i="20"/>
  <c r="BA375" i="20" s="1"/>
  <c r="AN375" i="20"/>
  <c r="AO375" i="20" s="1"/>
  <c r="AJ375" i="20"/>
  <c r="AK375" i="20" s="1"/>
  <c r="R375" i="20"/>
  <c r="J375" i="20"/>
  <c r="BD375" i="20"/>
  <c r="BE375" i="20" s="1"/>
  <c r="AV375" i="20"/>
  <c r="AW375" i="20" s="1"/>
  <c r="AR375" i="20"/>
  <c r="AS375" i="20" s="1"/>
  <c r="AA375" i="20"/>
  <c r="Q375" i="20"/>
  <c r="P375" i="20"/>
  <c r="O375" i="20"/>
  <c r="AR260" i="20"/>
  <c r="AS260" i="20" s="1"/>
  <c r="M260" i="20"/>
  <c r="L260" i="20"/>
  <c r="J260" i="20"/>
  <c r="AN260" i="20"/>
  <c r="AO260" i="20" s="1"/>
  <c r="AJ260" i="20"/>
  <c r="AK260" i="20" s="1"/>
  <c r="AF260" i="20"/>
  <c r="AG260" i="20" s="1"/>
  <c r="AB260" i="20"/>
  <c r="AC260" i="20" s="1"/>
  <c r="AA260" i="20"/>
  <c r="R260" i="20"/>
  <c r="Q260" i="20"/>
  <c r="AZ284" i="20"/>
  <c r="BA284" i="20" s="1"/>
  <c r="M375" i="20"/>
  <c r="K260" i="20"/>
  <c r="S266" i="20"/>
  <c r="L266" i="20"/>
  <c r="P266" i="20"/>
  <c r="O266" i="20"/>
  <c r="N266" i="20"/>
  <c r="M266" i="20"/>
  <c r="AZ266" i="20"/>
  <c r="BA266" i="20" s="1"/>
  <c r="AN266" i="20"/>
  <c r="AO266" i="20" s="1"/>
  <c r="AJ266" i="20"/>
  <c r="AK266" i="20" s="1"/>
  <c r="AF266" i="20"/>
  <c r="AG266" i="20" s="1"/>
  <c r="AB266" i="20"/>
  <c r="AC266" i="20" s="1"/>
  <c r="AA266" i="20"/>
  <c r="R266" i="20"/>
  <c r="Q266" i="20"/>
  <c r="K266" i="20"/>
  <c r="N375" i="20"/>
  <c r="BD372" i="20"/>
  <c r="BE372" i="20" s="1"/>
  <c r="M372" i="20"/>
  <c r="O372" i="20"/>
  <c r="L372" i="20"/>
  <c r="R372" i="20"/>
  <c r="K372" i="20"/>
  <c r="AR372" i="20"/>
  <c r="AS372" i="20" s="1"/>
  <c r="AB372" i="20"/>
  <c r="AC372" i="20" s="1"/>
  <c r="AA372" i="20"/>
  <c r="S372" i="20"/>
  <c r="P372" i="20"/>
  <c r="N372" i="20"/>
  <c r="J372" i="20"/>
  <c r="AV372" i="20"/>
  <c r="AW372" i="20" s="1"/>
  <c r="AZ372" i="20"/>
  <c r="BA372" i="20" s="1"/>
  <c r="AN372" i="20"/>
  <c r="AO372" i="20" s="1"/>
  <c r="AF372" i="20"/>
  <c r="AG372" i="20" s="1"/>
  <c r="Q372" i="20"/>
  <c r="AJ372" i="20"/>
  <c r="AK372" i="20" s="1"/>
  <c r="O316" i="20"/>
  <c r="AF316" i="20"/>
  <c r="AG316" i="20" s="1"/>
  <c r="AA316" i="20"/>
  <c r="R316" i="20"/>
  <c r="AV316" i="20"/>
  <c r="AW316" i="20" s="1"/>
  <c r="AR316" i="20"/>
  <c r="AS316" i="20" s="1"/>
  <c r="AN316" i="20"/>
  <c r="AO316" i="20" s="1"/>
  <c r="AJ316" i="20"/>
  <c r="AK316" i="20" s="1"/>
  <c r="AB316" i="20"/>
  <c r="AC316" i="20" s="1"/>
  <c r="BD316" i="20"/>
  <c r="BE316" i="20" s="1"/>
  <c r="AZ316" i="20"/>
  <c r="BA316" i="20" s="1"/>
  <c r="S316" i="20"/>
  <c r="Q316" i="20"/>
  <c r="P316" i="20"/>
  <c r="N316" i="20"/>
  <c r="M316" i="20"/>
  <c r="L316" i="20"/>
  <c r="K316" i="20"/>
  <c r="S201" i="20"/>
  <c r="AF201" i="20"/>
  <c r="AG201" i="20" s="1"/>
  <c r="AB201" i="20"/>
  <c r="AC201" i="20" s="1"/>
  <c r="X201" i="20"/>
  <c r="BD201" i="20"/>
  <c r="BE201" i="20" s="1"/>
  <c r="AA255" i="20"/>
  <c r="P260" i="20"/>
  <c r="AF285" i="20"/>
  <c r="AG285" i="20" s="1"/>
  <c r="R285" i="20"/>
  <c r="AA285" i="20"/>
  <c r="S285" i="20"/>
  <c r="O285" i="20"/>
  <c r="AN285" i="20"/>
  <c r="AO285" i="20" s="1"/>
  <c r="AJ285" i="20"/>
  <c r="AK285" i="20" s="1"/>
  <c r="AB285" i="20"/>
  <c r="AC285" i="20" s="1"/>
  <c r="P285" i="20"/>
  <c r="N285" i="20"/>
  <c r="M285" i="20"/>
  <c r="K285" i="20"/>
  <c r="M302" i="20"/>
  <c r="AN302" i="20"/>
  <c r="AO302" i="20" s="1"/>
  <c r="AB302" i="20"/>
  <c r="AC302" i="20" s="1"/>
  <c r="AA302" i="20"/>
  <c r="X302" i="20"/>
  <c r="S302" i="20"/>
  <c r="R302" i="20"/>
  <c r="Q302" i="20"/>
  <c r="P302" i="20"/>
  <c r="O302" i="20"/>
  <c r="N302" i="20"/>
  <c r="L302" i="20"/>
  <c r="K302" i="20"/>
  <c r="J302" i="20"/>
  <c r="BD302" i="20"/>
  <c r="BE302" i="20" s="1"/>
  <c r="AZ302" i="20"/>
  <c r="BA302" i="20" s="1"/>
  <c r="AV302" i="20"/>
  <c r="AW302" i="20" s="1"/>
  <c r="AR302" i="20"/>
  <c r="AS302" i="20" s="1"/>
  <c r="J316" i="20"/>
  <c r="AR381" i="20"/>
  <c r="AS381" i="20" s="1"/>
  <c r="R381" i="20"/>
  <c r="O381" i="20"/>
  <c r="P381" i="20"/>
  <c r="AZ381" i="20"/>
  <c r="BA381" i="20" s="1"/>
  <c r="AV381" i="20"/>
  <c r="AW381" i="20" s="1"/>
  <c r="AN381" i="20"/>
  <c r="AO381" i="20" s="1"/>
  <c r="AJ381" i="20"/>
  <c r="AK381" i="20" s="1"/>
  <c r="Q381" i="20"/>
  <c r="BD381" i="20"/>
  <c r="BE381" i="20" s="1"/>
  <c r="AF381" i="20"/>
  <c r="AG381" i="20" s="1"/>
  <c r="AA381" i="20"/>
  <c r="S381" i="20"/>
  <c r="N381" i="20"/>
  <c r="M381" i="20"/>
  <c r="AB381" i="20"/>
  <c r="AC381" i="20" s="1"/>
  <c r="L381" i="20"/>
  <c r="K381" i="20"/>
  <c r="AN402" i="20"/>
  <c r="AO402" i="20" s="1"/>
  <c r="L402" i="20"/>
  <c r="S402" i="20"/>
  <c r="R402" i="20"/>
  <c r="Q402" i="20"/>
  <c r="N402" i="20"/>
  <c r="P402" i="20"/>
  <c r="O402" i="20"/>
  <c r="M402" i="20"/>
  <c r="BD402" i="20"/>
  <c r="BE402" i="20" s="1"/>
  <c r="AZ402" i="20"/>
  <c r="BA402" i="20" s="1"/>
  <c r="AV402" i="20"/>
  <c r="AW402" i="20" s="1"/>
  <c r="AJ402" i="20"/>
  <c r="AK402" i="20" s="1"/>
  <c r="AF402" i="20"/>
  <c r="AG402" i="20" s="1"/>
  <c r="AB402" i="20"/>
  <c r="AC402" i="20" s="1"/>
  <c r="AR402" i="20"/>
  <c r="AS402" i="20" s="1"/>
  <c r="AA402" i="20"/>
  <c r="K402" i="20"/>
  <c r="J402" i="20"/>
  <c r="AF253" i="20"/>
  <c r="AG253" i="20" s="1"/>
  <c r="R253" i="20"/>
  <c r="M253" i="20"/>
  <c r="L253" i="20"/>
  <c r="J253" i="20"/>
  <c r="AZ253" i="20"/>
  <c r="BA253" i="20" s="1"/>
  <c r="AV253" i="20"/>
  <c r="AW253" i="20" s="1"/>
  <c r="AR253" i="20"/>
  <c r="AS253" i="20" s="1"/>
  <c r="AN253" i="20"/>
  <c r="AO253" i="20" s="1"/>
  <c r="AB253" i="20"/>
  <c r="AC253" i="20" s="1"/>
  <c r="AA253" i="20"/>
  <c r="S260" i="20"/>
  <c r="BD287" i="20"/>
  <c r="BE287" i="20" s="1"/>
  <c r="M287" i="20"/>
  <c r="O287" i="20"/>
  <c r="N287" i="20"/>
  <c r="L287" i="20"/>
  <c r="K287" i="20"/>
  <c r="AV287" i="20"/>
  <c r="AW287" i="20" s="1"/>
  <c r="AR287" i="20"/>
  <c r="AS287" i="20" s="1"/>
  <c r="AN287" i="20"/>
  <c r="AO287" i="20" s="1"/>
  <c r="AJ287" i="20"/>
  <c r="AK287" i="20" s="1"/>
  <c r="AF287" i="20"/>
  <c r="AG287" i="20" s="1"/>
  <c r="AA287" i="20"/>
  <c r="R287" i="20"/>
  <c r="AJ318" i="20"/>
  <c r="AK318" i="20" s="1"/>
  <c r="N318" i="20"/>
  <c r="M318" i="20"/>
  <c r="K318" i="20"/>
  <c r="AF318" i="20"/>
  <c r="AG318" i="20" s="1"/>
  <c r="AB318" i="20"/>
  <c r="AC318" i="20" s="1"/>
  <c r="AA318" i="20"/>
  <c r="S318" i="20"/>
  <c r="Q318" i="20"/>
  <c r="BD318" i="20"/>
  <c r="BE318" i="20" s="1"/>
  <c r="AZ318" i="20"/>
  <c r="BA318" i="20" s="1"/>
  <c r="AR318" i="20"/>
  <c r="AS318" i="20" s="1"/>
  <c r="AN318" i="20"/>
  <c r="AO318" i="20" s="1"/>
  <c r="J318" i="20"/>
  <c r="AF214" i="20"/>
  <c r="AG214" i="20" s="1"/>
  <c r="AA214" i="20"/>
  <c r="S214" i="20"/>
  <c r="O214" i="20"/>
  <c r="N214" i="20"/>
  <c r="AF223" i="20"/>
  <c r="AG223" i="20" s="1"/>
  <c r="AB223" i="20"/>
  <c r="AC223" i="20" s="1"/>
  <c r="AJ223" i="20"/>
  <c r="AK223" i="20" s="1"/>
  <c r="AA223" i="20"/>
  <c r="S223" i="20"/>
  <c r="R223" i="20"/>
  <c r="N223" i="20"/>
  <c r="M223" i="20"/>
  <c r="O253" i="20"/>
  <c r="AR256" i="20"/>
  <c r="AS256" i="20" s="1"/>
  <c r="AJ256" i="20"/>
  <c r="AK256" i="20" s="1"/>
  <c r="AF256" i="20"/>
  <c r="AG256" i="20" s="1"/>
  <c r="AZ256" i="20"/>
  <c r="BA256" i="20" s="1"/>
  <c r="AV256" i="20"/>
  <c r="AW256" i="20" s="1"/>
  <c r="AN256" i="20"/>
  <c r="AO256" i="20" s="1"/>
  <c r="S256" i="20"/>
  <c r="AV266" i="20"/>
  <c r="AW266" i="20" s="1"/>
  <c r="Q287" i="20"/>
  <c r="L318" i="20"/>
  <c r="BD19" i="20"/>
  <c r="BE19" i="20" s="1"/>
  <c r="N19" i="20"/>
  <c r="AZ19" i="20"/>
  <c r="BA19" i="20" s="1"/>
  <c r="L19" i="20"/>
  <c r="O201" i="20"/>
  <c r="O205" i="20"/>
  <c r="AJ205" i="20"/>
  <c r="AK205" i="20" s="1"/>
  <c r="AF205" i="20"/>
  <c r="AG205" i="20" s="1"/>
  <c r="AB205" i="20"/>
  <c r="AC205" i="20" s="1"/>
  <c r="AA205" i="20"/>
  <c r="K214" i="20"/>
  <c r="K223" i="20"/>
  <c r="Q253" i="20"/>
  <c r="K256" i="20"/>
  <c r="BD259" i="20"/>
  <c r="BE259" i="20" s="1"/>
  <c r="M259" i="20"/>
  <c r="Q259" i="20"/>
  <c r="P259" i="20"/>
  <c r="N259" i="20"/>
  <c r="AR259" i="20"/>
  <c r="AS259" i="20" s="1"/>
  <c r="AN259" i="20"/>
  <c r="AO259" i="20" s="1"/>
  <c r="AJ259" i="20"/>
  <c r="AK259" i="20" s="1"/>
  <c r="AF259" i="20"/>
  <c r="AG259" i="20" s="1"/>
  <c r="AB259" i="20"/>
  <c r="AC259" i="20" s="1"/>
  <c r="S259" i="20"/>
  <c r="R259" i="20"/>
  <c r="AF265" i="20"/>
  <c r="AG265" i="20" s="1"/>
  <c r="R265" i="20"/>
  <c r="S265" i="20"/>
  <c r="Q265" i="20"/>
  <c r="P265" i="20"/>
  <c r="AN265" i="20"/>
  <c r="AO265" i="20" s="1"/>
  <c r="AJ265" i="20"/>
  <c r="AK265" i="20" s="1"/>
  <c r="AB265" i="20"/>
  <c r="AC265" i="20" s="1"/>
  <c r="AA265" i="20"/>
  <c r="N265" i="20"/>
  <c r="M265" i="20"/>
  <c r="L265" i="20"/>
  <c r="BD266" i="20"/>
  <c r="BE266" i="20" s="1"/>
  <c r="AR285" i="20"/>
  <c r="AS285" i="20" s="1"/>
  <c r="S296" i="20"/>
  <c r="AB296" i="20"/>
  <c r="AC296" i="20" s="1"/>
  <c r="AA296" i="20"/>
  <c r="R296" i="20"/>
  <c r="Q296" i="20"/>
  <c r="BD296" i="20"/>
  <c r="BE296" i="20" s="1"/>
  <c r="AZ296" i="20"/>
  <c r="BA296" i="20" s="1"/>
  <c r="AV296" i="20"/>
  <c r="AW296" i="20" s="1"/>
  <c r="AR296" i="20"/>
  <c r="AS296" i="20" s="1"/>
  <c r="AJ296" i="20"/>
  <c r="AK296" i="20" s="1"/>
  <c r="AF296" i="20"/>
  <c r="AG296" i="20" s="1"/>
  <c r="P296" i="20"/>
  <c r="AJ302" i="20"/>
  <c r="AK302" i="20" s="1"/>
  <c r="P318" i="20"/>
  <c r="O146" i="20"/>
  <c r="N146" i="20"/>
  <c r="L146" i="20"/>
  <c r="BD146" i="20"/>
  <c r="BE146" i="20" s="1"/>
  <c r="O154" i="20"/>
  <c r="N154" i="20"/>
  <c r="L154" i="20"/>
  <c r="BD154" i="20"/>
  <c r="BE154" i="20" s="1"/>
  <c r="O162" i="20"/>
  <c r="N162" i="20"/>
  <c r="L162" i="20"/>
  <c r="BD162" i="20"/>
  <c r="BE162" i="20" s="1"/>
  <c r="Q184" i="20"/>
  <c r="P184" i="20"/>
  <c r="N184" i="20"/>
  <c r="L184" i="20"/>
  <c r="AZ184" i="20"/>
  <c r="BA184" i="20" s="1"/>
  <c r="K184" i="20"/>
  <c r="P201" i="20"/>
  <c r="L214" i="20"/>
  <c r="L223" i="20"/>
  <c r="S253" i="20"/>
  <c r="L256" i="20"/>
  <c r="AZ260" i="20"/>
  <c r="BA260" i="20" s="1"/>
  <c r="BD271" i="20"/>
  <c r="BE271" i="20" s="1"/>
  <c r="M271" i="20"/>
  <c r="AB271" i="20"/>
  <c r="AC271" i="20" s="1"/>
  <c r="AA271" i="20"/>
  <c r="Q271" i="20"/>
  <c r="AV271" i="20"/>
  <c r="AW271" i="20" s="1"/>
  <c r="AR271" i="20"/>
  <c r="AS271" i="20" s="1"/>
  <c r="AN271" i="20"/>
  <c r="AO271" i="20" s="1"/>
  <c r="AJ271" i="20"/>
  <c r="AK271" i="20" s="1"/>
  <c r="S271" i="20"/>
  <c r="R318" i="20"/>
  <c r="Q201" i="20"/>
  <c r="M214" i="20"/>
  <c r="O223" i="20"/>
  <c r="M256" i="20"/>
  <c r="BD260" i="20"/>
  <c r="BE260" i="20" s="1"/>
  <c r="S262" i="20"/>
  <c r="L262" i="20"/>
  <c r="AR262" i="20"/>
  <c r="AS262" i="20" s="1"/>
  <c r="AN262" i="20"/>
  <c r="AO262" i="20" s="1"/>
  <c r="AJ262" i="20"/>
  <c r="AK262" i="20" s="1"/>
  <c r="AF262" i="20"/>
  <c r="AG262" i="20" s="1"/>
  <c r="AB262" i="20"/>
  <c r="AC262" i="20" s="1"/>
  <c r="AA262" i="20"/>
  <c r="Q262" i="20"/>
  <c r="P262" i="20"/>
  <c r="O262" i="20"/>
  <c r="AV285" i="20"/>
  <c r="AW285" i="20" s="1"/>
  <c r="AB287" i="20"/>
  <c r="AC287" i="20" s="1"/>
  <c r="BD356" i="20"/>
  <c r="BE356" i="20" s="1"/>
  <c r="L356" i="20"/>
  <c r="AZ356" i="20"/>
  <c r="BA356" i="20" s="1"/>
  <c r="J356" i="20"/>
  <c r="AN356" i="20"/>
  <c r="AO356" i="20" s="1"/>
  <c r="AF356" i="20"/>
  <c r="AG356" i="20" s="1"/>
  <c r="R356" i="20"/>
  <c r="Q356" i="20"/>
  <c r="N356" i="20"/>
  <c r="M356" i="20"/>
  <c r="K356" i="20"/>
  <c r="AV356" i="20"/>
  <c r="AW356" i="20" s="1"/>
  <c r="AR356" i="20"/>
  <c r="AS356" i="20" s="1"/>
  <c r="AJ356" i="20"/>
  <c r="AK356" i="20" s="1"/>
  <c r="AB356" i="20"/>
  <c r="AC356" i="20" s="1"/>
  <c r="AA356" i="20"/>
  <c r="S356" i="20"/>
  <c r="AJ334" i="20"/>
  <c r="AK334" i="20" s="1"/>
  <c r="AN334" i="20"/>
  <c r="AO334" i="20" s="1"/>
  <c r="AV334" i="20"/>
  <c r="AW334" i="20" s="1"/>
  <c r="AF334" i="20"/>
  <c r="AG334" i="20" s="1"/>
  <c r="AB334" i="20"/>
  <c r="AC334" i="20" s="1"/>
  <c r="AZ334" i="20"/>
  <c r="BA334" i="20" s="1"/>
  <c r="AR334" i="20"/>
  <c r="AS334" i="20" s="1"/>
  <c r="AA334" i="20"/>
  <c r="S334" i="20"/>
  <c r="R334" i="20"/>
  <c r="Q334" i="20"/>
  <c r="P334" i="20"/>
  <c r="AR411" i="20"/>
  <c r="AS411" i="20" s="1"/>
  <c r="AA411" i="20"/>
  <c r="R411" i="20"/>
  <c r="Q411" i="20"/>
  <c r="P411" i="20"/>
  <c r="M411" i="20"/>
  <c r="AJ411" i="20"/>
  <c r="AK411" i="20" s="1"/>
  <c r="AF411" i="20"/>
  <c r="AG411" i="20" s="1"/>
  <c r="N411" i="20"/>
  <c r="BD411" i="20"/>
  <c r="BE411" i="20" s="1"/>
  <c r="AZ411" i="20"/>
  <c r="BA411" i="20" s="1"/>
  <c r="AV411" i="20"/>
  <c r="AW411" i="20" s="1"/>
  <c r="AN411" i="20"/>
  <c r="AO411" i="20" s="1"/>
  <c r="S411" i="20"/>
  <c r="O411" i="20"/>
  <c r="K411" i="20"/>
  <c r="AB411" i="20"/>
  <c r="AC411" i="20" s="1"/>
  <c r="L411" i="20"/>
  <c r="O334" i="20"/>
  <c r="BD392" i="20"/>
  <c r="BE392" i="20" s="1"/>
  <c r="M392" i="20"/>
  <c r="P392" i="20"/>
  <c r="N392" i="20"/>
  <c r="AZ392" i="20"/>
  <c r="BA392" i="20" s="1"/>
  <c r="J392" i="20"/>
  <c r="AR392" i="20"/>
  <c r="AS392" i="20" s="1"/>
  <c r="AB392" i="20"/>
  <c r="AC392" i="20" s="1"/>
  <c r="AA392" i="20"/>
  <c r="S392" i="20"/>
  <c r="Q392" i="20"/>
  <c r="O392" i="20"/>
  <c r="L392" i="20"/>
  <c r="AV392" i="20"/>
  <c r="AW392" i="20" s="1"/>
  <c r="AJ392" i="20"/>
  <c r="AK392" i="20" s="1"/>
  <c r="AF392" i="20"/>
  <c r="AG392" i="20" s="1"/>
  <c r="AA477" i="20"/>
  <c r="AJ477" i="20"/>
  <c r="AK477" i="20" s="1"/>
  <c r="AF477" i="20"/>
  <c r="AG477" i="20" s="1"/>
  <c r="L477" i="20"/>
  <c r="P477" i="20"/>
  <c r="M477" i="20"/>
  <c r="K477" i="20"/>
  <c r="R477" i="20"/>
  <c r="N477" i="20"/>
  <c r="J477" i="20"/>
  <c r="AB477" i="20"/>
  <c r="AC477" i="20" s="1"/>
  <c r="S477" i="20"/>
  <c r="Q477" i="20"/>
  <c r="O477" i="20"/>
  <c r="BD477" i="20"/>
  <c r="BE477" i="20" s="1"/>
  <c r="AR477" i="20"/>
  <c r="AS477" i="20" s="1"/>
  <c r="AZ477" i="20"/>
  <c r="BA477" i="20" s="1"/>
  <c r="AV477" i="20"/>
  <c r="AW477" i="20" s="1"/>
  <c r="AN477" i="20"/>
  <c r="AO477" i="20" s="1"/>
  <c r="O309" i="20"/>
  <c r="L309" i="20"/>
  <c r="S309" i="20"/>
  <c r="R309" i="20"/>
  <c r="Q309" i="20"/>
  <c r="P309" i="20"/>
  <c r="N309" i="20"/>
  <c r="K309" i="20"/>
  <c r="K392" i="20"/>
  <c r="J309" i="20"/>
  <c r="R392" i="20"/>
  <c r="AB248" i="20"/>
  <c r="AC248" i="20" s="1"/>
  <c r="AR292" i="20"/>
  <c r="AS292" i="20" s="1"/>
  <c r="R308" i="20"/>
  <c r="N308" i="20"/>
  <c r="AB308" i="20"/>
  <c r="AC308" i="20" s="1"/>
  <c r="AA308" i="20"/>
  <c r="S308" i="20"/>
  <c r="Q308" i="20"/>
  <c r="O308" i="20"/>
  <c r="AN315" i="20"/>
  <c r="AO315" i="20" s="1"/>
  <c r="AJ315" i="20"/>
  <c r="AK315" i="20" s="1"/>
  <c r="AB315" i="20"/>
  <c r="AC315" i="20" s="1"/>
  <c r="AV315" i="20"/>
  <c r="AW315" i="20" s="1"/>
  <c r="AR315" i="20"/>
  <c r="AS315" i="20" s="1"/>
  <c r="AF315" i="20"/>
  <c r="AG315" i="20" s="1"/>
  <c r="AA315" i="20"/>
  <c r="AJ326" i="20"/>
  <c r="AK326" i="20" s="1"/>
  <c r="S326" i="20"/>
  <c r="Q326" i="20"/>
  <c r="N326" i="20"/>
  <c r="M326" i="20"/>
  <c r="AZ326" i="20"/>
  <c r="BA326" i="20" s="1"/>
  <c r="AV326" i="20"/>
  <c r="AW326" i="20" s="1"/>
  <c r="AR326" i="20"/>
  <c r="AS326" i="20" s="1"/>
  <c r="AF326" i="20"/>
  <c r="AG326" i="20" s="1"/>
  <c r="BD215" i="20"/>
  <c r="BE215" i="20" s="1"/>
  <c r="AJ219" i="20"/>
  <c r="AK219" i="20" s="1"/>
  <c r="AF231" i="20"/>
  <c r="AG231" i="20" s="1"/>
  <c r="BD239" i="20"/>
  <c r="BE239" i="20" s="1"/>
  <c r="M239" i="20"/>
  <c r="S239" i="20"/>
  <c r="R239" i="20"/>
  <c r="P239" i="20"/>
  <c r="AN245" i="20"/>
  <c r="AO245" i="20" s="1"/>
  <c r="AF248" i="20"/>
  <c r="AG248" i="20" s="1"/>
  <c r="AF275" i="20"/>
  <c r="AG275" i="20" s="1"/>
  <c r="AV276" i="20"/>
  <c r="AW276" i="20" s="1"/>
  <c r="S282" i="20"/>
  <c r="L282" i="20"/>
  <c r="AV282" i="20"/>
  <c r="AW282" i="20" s="1"/>
  <c r="AR282" i="20"/>
  <c r="AS282" i="20" s="1"/>
  <c r="AJ282" i="20"/>
  <c r="AK282" i="20" s="1"/>
  <c r="J308" i="20"/>
  <c r="J315" i="20"/>
  <c r="J326" i="20"/>
  <c r="AB335" i="20"/>
  <c r="AC335" i="20" s="1"/>
  <c r="AJ335" i="20"/>
  <c r="AK335" i="20" s="1"/>
  <c r="AF335" i="20"/>
  <c r="AG335" i="20" s="1"/>
  <c r="S335" i="20"/>
  <c r="AZ335" i="20"/>
  <c r="BA335" i="20" s="1"/>
  <c r="AV335" i="20"/>
  <c r="AW335" i="20" s="1"/>
  <c r="AR335" i="20"/>
  <c r="AS335" i="20" s="1"/>
  <c r="AN335" i="20"/>
  <c r="AO335" i="20" s="1"/>
  <c r="AA335" i="20"/>
  <c r="R335" i="20"/>
  <c r="J335" i="20"/>
  <c r="AN392" i="20"/>
  <c r="AO392" i="20" s="1"/>
  <c r="AJ307" i="20"/>
  <c r="AK307" i="20" s="1"/>
  <c r="AF307" i="20"/>
  <c r="AG307" i="20" s="1"/>
  <c r="AB307" i="20"/>
  <c r="AC307" i="20" s="1"/>
  <c r="AA307" i="20"/>
  <c r="R307" i="20"/>
  <c r="AA309" i="20"/>
  <c r="R331" i="20"/>
  <c r="O331" i="20"/>
  <c r="N331" i="20"/>
  <c r="AR331" i="20"/>
  <c r="AS331" i="20" s="1"/>
  <c r="AN331" i="20"/>
  <c r="AO331" i="20" s="1"/>
  <c r="AJ331" i="20"/>
  <c r="AK331" i="20" s="1"/>
  <c r="AF331" i="20"/>
  <c r="AG331" i="20" s="1"/>
  <c r="AB331" i="20"/>
  <c r="AC331" i="20" s="1"/>
  <c r="M351" i="20"/>
  <c r="K351" i="20"/>
  <c r="S351" i="20"/>
  <c r="N351" i="20"/>
  <c r="AJ351" i="20"/>
  <c r="AK351" i="20" s="1"/>
  <c r="AB351" i="20"/>
  <c r="AC351" i="20" s="1"/>
  <c r="R351" i="20"/>
  <c r="BD351" i="20"/>
  <c r="BE351" i="20" s="1"/>
  <c r="AZ351" i="20"/>
  <c r="BA351" i="20" s="1"/>
  <c r="AV351" i="20"/>
  <c r="AW351" i="20" s="1"/>
  <c r="AR351" i="20"/>
  <c r="AS351" i="20" s="1"/>
  <c r="AN351" i="20"/>
  <c r="AO351" i="20" s="1"/>
  <c r="AA351" i="20"/>
  <c r="J351" i="20"/>
  <c r="AR365" i="20"/>
  <c r="AS365" i="20" s="1"/>
  <c r="AA365" i="20"/>
  <c r="J365" i="20"/>
  <c r="S365" i="20"/>
  <c r="R365" i="20"/>
  <c r="Q365" i="20"/>
  <c r="P365" i="20"/>
  <c r="M365" i="20"/>
  <c r="L365" i="20"/>
  <c r="K365" i="20"/>
  <c r="BD365" i="20"/>
  <c r="BE365" i="20" s="1"/>
  <c r="AZ365" i="20"/>
  <c r="BA365" i="20" s="1"/>
  <c r="AV365" i="20"/>
  <c r="AW365" i="20" s="1"/>
  <c r="M215" i="20"/>
  <c r="AR219" i="20"/>
  <c r="AS219" i="20" s="1"/>
  <c r="BD227" i="20"/>
  <c r="BE227" i="20" s="1"/>
  <c r="M227" i="20"/>
  <c r="AJ227" i="20"/>
  <c r="AK227" i="20" s="1"/>
  <c r="AF227" i="20"/>
  <c r="AG227" i="20" s="1"/>
  <c r="AN231" i="20"/>
  <c r="AO231" i="20" s="1"/>
  <c r="AV245" i="20"/>
  <c r="AW245" i="20" s="1"/>
  <c r="M301" i="20"/>
  <c r="AJ301" i="20"/>
  <c r="AK301" i="20" s="1"/>
  <c r="AF301" i="20"/>
  <c r="AG301" i="20" s="1"/>
  <c r="AB301" i="20"/>
  <c r="AC301" i="20" s="1"/>
  <c r="AA301" i="20"/>
  <c r="L307" i="20"/>
  <c r="P308" i="20"/>
  <c r="AF309" i="20"/>
  <c r="AG309" i="20" s="1"/>
  <c r="N315" i="20"/>
  <c r="P326" i="20"/>
  <c r="L331" i="20"/>
  <c r="N335" i="20"/>
  <c r="Q351" i="20"/>
  <c r="AR181" i="20"/>
  <c r="AS181" i="20" s="1"/>
  <c r="AV189" i="20"/>
  <c r="AW189" i="20" s="1"/>
  <c r="AV203" i="20"/>
  <c r="AW203" i="20" s="1"/>
  <c r="N215" i="20"/>
  <c r="J227" i="20"/>
  <c r="AR228" i="20"/>
  <c r="AS228" i="20" s="1"/>
  <c r="AB228" i="20"/>
  <c r="AC228" i="20" s="1"/>
  <c r="AA228" i="20"/>
  <c r="O239" i="20"/>
  <c r="S242" i="20"/>
  <c r="AN242" i="20"/>
  <c r="AO242" i="20" s="1"/>
  <c r="O282" i="20"/>
  <c r="J301" i="20"/>
  <c r="M307" i="20"/>
  <c r="O315" i="20"/>
  <c r="R326" i="20"/>
  <c r="M331" i="20"/>
  <c r="O335" i="20"/>
  <c r="AB365" i="20"/>
  <c r="AC365" i="20" s="1"/>
  <c r="O215" i="20"/>
  <c r="N217" i="20"/>
  <c r="BD217" i="20"/>
  <c r="BE217" i="20" s="1"/>
  <c r="M217" i="20"/>
  <c r="AZ217" i="20"/>
  <c r="BA217" i="20" s="1"/>
  <c r="K217" i="20"/>
  <c r="AR218" i="20"/>
  <c r="AS218" i="20" s="1"/>
  <c r="AN218" i="20"/>
  <c r="AO218" i="20" s="1"/>
  <c r="AV219" i="20"/>
  <c r="AW219" i="20" s="1"/>
  <c r="K227" i="20"/>
  <c r="Q239" i="20"/>
  <c r="BD243" i="20"/>
  <c r="BE243" i="20" s="1"/>
  <c r="M243" i="20"/>
  <c r="AF243" i="20"/>
  <c r="AG243" i="20" s="1"/>
  <c r="AA243" i="20"/>
  <c r="AR244" i="20"/>
  <c r="AS244" i="20" s="1"/>
  <c r="R244" i="20"/>
  <c r="AZ245" i="20"/>
  <c r="BA245" i="20" s="1"/>
  <c r="AZ248" i="20"/>
  <c r="BA248" i="20" s="1"/>
  <c r="AF277" i="20"/>
  <c r="AG277" i="20" s="1"/>
  <c r="R277" i="20"/>
  <c r="AJ277" i="20"/>
  <c r="AK277" i="20" s="1"/>
  <c r="AB277" i="20"/>
  <c r="AC277" i="20" s="1"/>
  <c r="S278" i="20"/>
  <c r="L278" i="20"/>
  <c r="AB278" i="20"/>
  <c r="AC278" i="20" s="1"/>
  <c r="AA278" i="20"/>
  <c r="P278" i="20"/>
  <c r="BD279" i="20"/>
  <c r="BE279" i="20" s="1"/>
  <c r="M279" i="20"/>
  <c r="S279" i="20"/>
  <c r="R279" i="20"/>
  <c r="Q279" i="20"/>
  <c r="P279" i="20"/>
  <c r="L279" i="20"/>
  <c r="P282" i="20"/>
  <c r="AZ289" i="20"/>
  <c r="BA289" i="20" s="1"/>
  <c r="S300" i="20"/>
  <c r="AV300" i="20"/>
  <c r="AW300" i="20" s="1"/>
  <c r="AR300" i="20"/>
  <c r="AS300" i="20" s="1"/>
  <c r="AN300" i="20"/>
  <c r="AO300" i="20" s="1"/>
  <c r="K301" i="20"/>
  <c r="N307" i="20"/>
  <c r="AJ309" i="20"/>
  <c r="AK309" i="20" s="1"/>
  <c r="P315" i="20"/>
  <c r="P331" i="20"/>
  <c r="AF365" i="20"/>
  <c r="AG365" i="20" s="1"/>
  <c r="AF417" i="20"/>
  <c r="AG417" i="20" s="1"/>
  <c r="AJ417" i="20"/>
  <c r="AK417" i="20" s="1"/>
  <c r="AA417" i="20"/>
  <c r="AZ417" i="20"/>
  <c r="BA417" i="20" s="1"/>
  <c r="AV417" i="20"/>
  <c r="AW417" i="20" s="1"/>
  <c r="AR417" i="20"/>
  <c r="AS417" i="20" s="1"/>
  <c r="BD417" i="20"/>
  <c r="BE417" i="20" s="1"/>
  <c r="S417" i="20"/>
  <c r="P417" i="20"/>
  <c r="AB417" i="20"/>
  <c r="AC417" i="20" s="1"/>
  <c r="R417" i="20"/>
  <c r="AN417" i="20"/>
  <c r="AO417" i="20" s="1"/>
  <c r="Q417" i="20"/>
  <c r="O417" i="20"/>
  <c r="N417" i="20"/>
  <c r="M417" i="20"/>
  <c r="AR276" i="20"/>
  <c r="AS276" i="20" s="1"/>
  <c r="AN276" i="20"/>
  <c r="AO276" i="20" s="1"/>
  <c r="AJ276" i="20"/>
  <c r="AK276" i="20" s="1"/>
  <c r="AB276" i="20"/>
  <c r="AC276" i="20" s="1"/>
  <c r="AN292" i="20"/>
  <c r="AO292" i="20" s="1"/>
  <c r="AA292" i="20"/>
  <c r="S292" i="20"/>
  <c r="R292" i="20"/>
  <c r="Q292" i="20"/>
  <c r="O292" i="20"/>
  <c r="N292" i="20"/>
  <c r="O307" i="20"/>
  <c r="Q331" i="20"/>
  <c r="AF351" i="20"/>
  <c r="AG351" i="20" s="1"/>
  <c r="AJ365" i="20"/>
  <c r="AK365" i="20" s="1"/>
  <c r="N404" i="20"/>
  <c r="R404" i="20"/>
  <c r="AN404" i="20"/>
  <c r="AO404" i="20" s="1"/>
  <c r="L404" i="20"/>
  <c r="K404" i="20"/>
  <c r="BD404" i="20"/>
  <c r="BE404" i="20" s="1"/>
  <c r="J404" i="20"/>
  <c r="AF404" i="20"/>
  <c r="AG404" i="20" s="1"/>
  <c r="AA404" i="20"/>
  <c r="AB404" i="20"/>
  <c r="AC404" i="20" s="1"/>
  <c r="S404" i="20"/>
  <c r="Q404" i="20"/>
  <c r="P404" i="20"/>
  <c r="O404" i="20"/>
  <c r="M404" i="20"/>
  <c r="AZ404" i="20"/>
  <c r="BA404" i="20" s="1"/>
  <c r="AR404" i="20"/>
  <c r="AS404" i="20" s="1"/>
  <c r="AJ404" i="20"/>
  <c r="AK404" i="20" s="1"/>
  <c r="AR174" i="20"/>
  <c r="AS174" i="20" s="1"/>
  <c r="AR178" i="20"/>
  <c r="AS178" i="20" s="1"/>
  <c r="K181" i="20"/>
  <c r="L189" i="20"/>
  <c r="AR190" i="20"/>
  <c r="AS190" i="20" s="1"/>
  <c r="L203" i="20"/>
  <c r="Q215" i="20"/>
  <c r="L217" i="20"/>
  <c r="K218" i="20"/>
  <c r="N227" i="20"/>
  <c r="L228" i="20"/>
  <c r="AF229" i="20"/>
  <c r="AG229" i="20" s="1"/>
  <c r="R229" i="20"/>
  <c r="Q229" i="20"/>
  <c r="O229" i="20"/>
  <c r="BD229" i="20"/>
  <c r="BE229" i="20" s="1"/>
  <c r="L242" i="20"/>
  <c r="K243" i="20"/>
  <c r="K244" i="20"/>
  <c r="AV251" i="20"/>
  <c r="AW251" i="20" s="1"/>
  <c r="J276" i="20"/>
  <c r="K277" i="20"/>
  <c r="K278" i="20"/>
  <c r="K279" i="20"/>
  <c r="R282" i="20"/>
  <c r="M291" i="20"/>
  <c r="AN291" i="20"/>
  <c r="AO291" i="20" s="1"/>
  <c r="AB291" i="20"/>
  <c r="AC291" i="20" s="1"/>
  <c r="AA291" i="20"/>
  <c r="X291" i="20"/>
  <c r="S291" i="20"/>
  <c r="J292" i="20"/>
  <c r="K300" i="20"/>
  <c r="N301" i="20"/>
  <c r="P307" i="20"/>
  <c r="AN309" i="20"/>
  <c r="AO309" i="20" s="1"/>
  <c r="AJ314" i="20"/>
  <c r="AK314" i="20" s="1"/>
  <c r="K314" i="20"/>
  <c r="AZ314" i="20"/>
  <c r="BA314" i="20" s="1"/>
  <c r="J314" i="20"/>
  <c r="AV314" i="20"/>
  <c r="AW314" i="20" s="1"/>
  <c r="AN314" i="20"/>
  <c r="AO314" i="20" s="1"/>
  <c r="AR314" i="20"/>
  <c r="AS314" i="20" s="1"/>
  <c r="AF314" i="20"/>
  <c r="AG314" i="20" s="1"/>
  <c r="AB314" i="20"/>
  <c r="AC314" i="20" s="1"/>
  <c r="R315" i="20"/>
  <c r="O320" i="20"/>
  <c r="AJ320" i="20"/>
  <c r="AK320" i="20" s="1"/>
  <c r="AF320" i="20"/>
  <c r="AG320" i="20" s="1"/>
  <c r="AA320" i="20"/>
  <c r="S320" i="20"/>
  <c r="R320" i="20"/>
  <c r="Q320" i="20"/>
  <c r="P320" i="20"/>
  <c r="M320" i="20"/>
  <c r="AA326" i="20"/>
  <c r="S331" i="20"/>
  <c r="AA357" i="20"/>
  <c r="S357" i="20"/>
  <c r="Q357" i="20"/>
  <c r="P357" i="20"/>
  <c r="M357" i="20"/>
  <c r="L357" i="20"/>
  <c r="K357" i="20"/>
  <c r="BD357" i="20"/>
  <c r="BE357" i="20" s="1"/>
  <c r="AZ357" i="20"/>
  <c r="BA357" i="20" s="1"/>
  <c r="AV357" i="20"/>
  <c r="AW357" i="20" s="1"/>
  <c r="AR357" i="20"/>
  <c r="AS357" i="20" s="1"/>
  <c r="AN357" i="20"/>
  <c r="AO357" i="20" s="1"/>
  <c r="AJ357" i="20"/>
  <c r="AK357" i="20" s="1"/>
  <c r="AF357" i="20"/>
  <c r="AG357" i="20" s="1"/>
  <c r="N357" i="20"/>
  <c r="BD388" i="20"/>
  <c r="BE388" i="20" s="1"/>
  <c r="M388" i="20"/>
  <c r="AZ388" i="20"/>
  <c r="BA388" i="20" s="1"/>
  <c r="J388" i="20"/>
  <c r="AV388" i="20"/>
  <c r="AW388" i="20" s="1"/>
  <c r="Q388" i="20"/>
  <c r="L388" i="20"/>
  <c r="AR388" i="20"/>
  <c r="AS388" i="20" s="1"/>
  <c r="R388" i="20"/>
  <c r="P388" i="20"/>
  <c r="O388" i="20"/>
  <c r="N388" i="20"/>
  <c r="K388" i="20"/>
  <c r="AN388" i="20"/>
  <c r="AO388" i="20" s="1"/>
  <c r="AJ388" i="20"/>
  <c r="AK388" i="20" s="1"/>
  <c r="AF388" i="20"/>
  <c r="AG388" i="20" s="1"/>
  <c r="AB388" i="20"/>
  <c r="AC388" i="20" s="1"/>
  <c r="AA388" i="20"/>
  <c r="K417" i="20"/>
  <c r="AJ431" i="20"/>
  <c r="AK431" i="20" s="1"/>
  <c r="R431" i="20"/>
  <c r="N431" i="20"/>
  <c r="AF431" i="20"/>
  <c r="AG431" i="20" s="1"/>
  <c r="AB431" i="20"/>
  <c r="AC431" i="20" s="1"/>
  <c r="AA431" i="20"/>
  <c r="S431" i="20"/>
  <c r="K431" i="20"/>
  <c r="AZ431" i="20"/>
  <c r="BA431" i="20" s="1"/>
  <c r="Q431" i="20"/>
  <c r="BD431" i="20"/>
  <c r="BE431" i="20" s="1"/>
  <c r="AV431" i="20"/>
  <c r="AW431" i="20" s="1"/>
  <c r="AR431" i="20"/>
  <c r="AS431" i="20" s="1"/>
  <c r="AN431" i="20"/>
  <c r="AO431" i="20" s="1"/>
  <c r="L431" i="20"/>
  <c r="J431" i="20"/>
  <c r="P431" i="20"/>
  <c r="AF219" i="20"/>
  <c r="AG219" i="20" s="1"/>
  <c r="AB219" i="20"/>
  <c r="AC219" i="20" s="1"/>
  <c r="BD231" i="20"/>
  <c r="BE231" i="20" s="1"/>
  <c r="M231" i="20"/>
  <c r="AV231" i="20"/>
  <c r="AW231" i="20" s="1"/>
  <c r="AF245" i="20"/>
  <c r="AG245" i="20" s="1"/>
  <c r="R245" i="20"/>
  <c r="Q245" i="20"/>
  <c r="P245" i="20"/>
  <c r="N245" i="20"/>
  <c r="AR248" i="20"/>
  <c r="AS248" i="20" s="1"/>
  <c r="AV248" i="20"/>
  <c r="AW248" i="20" s="1"/>
  <c r="AN248" i="20"/>
  <c r="AO248" i="20" s="1"/>
  <c r="BD275" i="20"/>
  <c r="BE275" i="20" s="1"/>
  <c r="M275" i="20"/>
  <c r="AV275" i="20"/>
  <c r="AW275" i="20" s="1"/>
  <c r="AR275" i="20"/>
  <c r="AS275" i="20" s="1"/>
  <c r="AJ275" i="20"/>
  <c r="AK275" i="20" s="1"/>
  <c r="K276" i="20"/>
  <c r="K292" i="20"/>
  <c r="Q307" i="20"/>
  <c r="AJ308" i="20"/>
  <c r="AK308" i="20" s="1"/>
  <c r="S315" i="20"/>
  <c r="AB326" i="20"/>
  <c r="AC326" i="20" s="1"/>
  <c r="AN365" i="20"/>
  <c r="AO365" i="20" s="1"/>
  <c r="L417" i="20"/>
  <c r="M181" i="20"/>
  <c r="N189" i="20"/>
  <c r="AV190" i="20"/>
  <c r="AW190" i="20" s="1"/>
  <c r="N203" i="20"/>
  <c r="S215" i="20"/>
  <c r="P217" i="20"/>
  <c r="M218" i="20"/>
  <c r="J219" i="20"/>
  <c r="BD219" i="20"/>
  <c r="BE219" i="20" s="1"/>
  <c r="P227" i="20"/>
  <c r="N228" i="20"/>
  <c r="S230" i="20"/>
  <c r="M230" i="20"/>
  <c r="BD230" i="20"/>
  <c r="BE230" i="20" s="1"/>
  <c r="L230" i="20"/>
  <c r="AZ230" i="20"/>
  <c r="BA230" i="20" s="1"/>
  <c r="J230" i="20"/>
  <c r="J231" i="20"/>
  <c r="AR232" i="20"/>
  <c r="AS232" i="20" s="1"/>
  <c r="AJ232" i="20"/>
  <c r="AK232" i="20" s="1"/>
  <c r="AF232" i="20"/>
  <c r="AG232" i="20" s="1"/>
  <c r="BD232" i="20"/>
  <c r="BE232" i="20" s="1"/>
  <c r="AB239" i="20"/>
  <c r="AC239" i="20" s="1"/>
  <c r="N242" i="20"/>
  <c r="N243" i="20"/>
  <c r="M244" i="20"/>
  <c r="J245" i="20"/>
  <c r="S246" i="20"/>
  <c r="L246" i="20"/>
  <c r="N246" i="20"/>
  <c r="M246" i="20"/>
  <c r="BD246" i="20"/>
  <c r="BE246" i="20" s="1"/>
  <c r="J246" i="20"/>
  <c r="J248" i="20"/>
  <c r="AF249" i="20"/>
  <c r="AG249" i="20" s="1"/>
  <c r="R249" i="20"/>
  <c r="AN249" i="20"/>
  <c r="AO249" i="20" s="1"/>
  <c r="J275" i="20"/>
  <c r="L276" i="20"/>
  <c r="M277" i="20"/>
  <c r="N278" i="20"/>
  <c r="O279" i="20"/>
  <c r="S290" i="20"/>
  <c r="L290" i="20"/>
  <c r="AN290" i="20"/>
  <c r="AO290" i="20" s="1"/>
  <c r="AJ290" i="20"/>
  <c r="AK290" i="20" s="1"/>
  <c r="AB290" i="20"/>
  <c r="AC290" i="20" s="1"/>
  <c r="L292" i="20"/>
  <c r="M300" i="20"/>
  <c r="P301" i="20"/>
  <c r="S307" i="20"/>
  <c r="AR309" i="20"/>
  <c r="AS309" i="20" s="1"/>
  <c r="AF366" i="20"/>
  <c r="AG366" i="20" s="1"/>
  <c r="S366" i="20"/>
  <c r="Q366" i="20"/>
  <c r="AZ366" i="20"/>
  <c r="BA366" i="20" s="1"/>
  <c r="AR366" i="20"/>
  <c r="AS366" i="20" s="1"/>
  <c r="AB366" i="20"/>
  <c r="AC366" i="20" s="1"/>
  <c r="AA366" i="20"/>
  <c r="R366" i="20"/>
  <c r="P366" i="20"/>
  <c r="N366" i="20"/>
  <c r="M366" i="20"/>
  <c r="L366" i="20"/>
  <c r="AJ366" i="20"/>
  <c r="AK366" i="20" s="1"/>
  <c r="O366" i="20"/>
  <c r="K366" i="20"/>
  <c r="J366" i="20"/>
  <c r="AV404" i="20"/>
  <c r="AW404" i="20" s="1"/>
  <c r="O431" i="20"/>
  <c r="N181" i="20"/>
  <c r="AV204" i="20"/>
  <c r="AW204" i="20" s="1"/>
  <c r="Q217" i="20"/>
  <c r="N218" i="20"/>
  <c r="K219" i="20"/>
  <c r="Q227" i="20"/>
  <c r="O228" i="20"/>
  <c r="K231" i="20"/>
  <c r="O242" i="20"/>
  <c r="O243" i="20"/>
  <c r="N244" i="20"/>
  <c r="K245" i="20"/>
  <c r="K248" i="20"/>
  <c r="S250" i="20"/>
  <c r="L250" i="20"/>
  <c r="AF250" i="20"/>
  <c r="AG250" i="20" s="1"/>
  <c r="AA250" i="20"/>
  <c r="BD251" i="20"/>
  <c r="BE251" i="20" s="1"/>
  <c r="M251" i="20"/>
  <c r="R251" i="20"/>
  <c r="K275" i="20"/>
  <c r="M276" i="20"/>
  <c r="N277" i="20"/>
  <c r="O278" i="20"/>
  <c r="AA282" i="20"/>
  <c r="AF289" i="20"/>
  <c r="AG289" i="20" s="1"/>
  <c r="R289" i="20"/>
  <c r="AV289" i="20"/>
  <c r="AW289" i="20" s="1"/>
  <c r="AR289" i="20"/>
  <c r="AS289" i="20" s="1"/>
  <c r="AJ289" i="20"/>
  <c r="AK289" i="20" s="1"/>
  <c r="M292" i="20"/>
  <c r="N300" i="20"/>
  <c r="Q301" i="20"/>
  <c r="AN308" i="20"/>
  <c r="AO308" i="20" s="1"/>
  <c r="AV309" i="20"/>
  <c r="AW309" i="20" s="1"/>
  <c r="AJ330" i="20"/>
  <c r="AK330" i="20" s="1"/>
  <c r="AF330" i="20"/>
  <c r="AG330" i="20" s="1"/>
  <c r="AA330" i="20"/>
  <c r="S330" i="20"/>
  <c r="R330" i="20"/>
  <c r="AZ330" i="20"/>
  <c r="BA330" i="20" s="1"/>
  <c r="AV330" i="20"/>
  <c r="AW330" i="20" s="1"/>
  <c r="AR330" i="20"/>
  <c r="AS330" i="20" s="1"/>
  <c r="AN330" i="20"/>
  <c r="AO330" i="20" s="1"/>
  <c r="Q330" i="20"/>
  <c r="AA331" i="20"/>
  <c r="S379" i="20"/>
  <c r="AF379" i="20"/>
  <c r="AG379" i="20" s="1"/>
  <c r="AN379" i="20"/>
  <c r="AO379" i="20" s="1"/>
  <c r="AZ379" i="20"/>
  <c r="BA379" i="20" s="1"/>
  <c r="AV379" i="20"/>
  <c r="AW379" i="20" s="1"/>
  <c r="AR379" i="20"/>
  <c r="AS379" i="20" s="1"/>
  <c r="AJ379" i="20"/>
  <c r="AK379" i="20" s="1"/>
  <c r="AB379" i="20"/>
  <c r="AC379" i="20" s="1"/>
  <c r="AA379" i="20"/>
  <c r="N379" i="20"/>
  <c r="BD379" i="20"/>
  <c r="BE379" i="20" s="1"/>
  <c r="R379" i="20"/>
  <c r="K379" i="20"/>
  <c r="J379" i="20"/>
  <c r="AB542" i="20"/>
  <c r="AC542" i="20" s="1"/>
  <c r="AJ542" i="20"/>
  <c r="AK542" i="20" s="1"/>
  <c r="AF542" i="20"/>
  <c r="AG542" i="20" s="1"/>
  <c r="AA542" i="20"/>
  <c r="BD542" i="20"/>
  <c r="BE542" i="20" s="1"/>
  <c r="AZ542" i="20"/>
  <c r="BA542" i="20" s="1"/>
  <c r="AV542" i="20"/>
  <c r="AW542" i="20" s="1"/>
  <c r="AR542" i="20"/>
  <c r="AS542" i="20" s="1"/>
  <c r="AN542" i="20"/>
  <c r="AO542" i="20" s="1"/>
  <c r="L542" i="20"/>
  <c r="K542" i="20"/>
  <c r="P542" i="20"/>
  <c r="N542" i="20"/>
  <c r="S542" i="20"/>
  <c r="R542" i="20"/>
  <c r="Q542" i="20"/>
  <c r="O542" i="20"/>
  <c r="J542" i="20"/>
  <c r="O336" i="20"/>
  <c r="R336" i="20"/>
  <c r="AB336" i="20"/>
  <c r="AC336" i="20" s="1"/>
  <c r="Q336" i="20"/>
  <c r="P336" i="20"/>
  <c r="N336" i="20"/>
  <c r="R345" i="20"/>
  <c r="J345" i="20"/>
  <c r="AV345" i="20"/>
  <c r="AW345" i="20" s="1"/>
  <c r="AR345" i="20"/>
  <c r="AS345" i="20" s="1"/>
  <c r="AN345" i="20"/>
  <c r="AO345" i="20" s="1"/>
  <c r="AF345" i="20"/>
  <c r="AG345" i="20" s="1"/>
  <c r="AR369" i="20"/>
  <c r="AS369" i="20" s="1"/>
  <c r="AN369" i="20"/>
  <c r="AO369" i="20" s="1"/>
  <c r="AJ369" i="20"/>
  <c r="AK369" i="20" s="1"/>
  <c r="AF369" i="20"/>
  <c r="AG369" i="20" s="1"/>
  <c r="N369" i="20"/>
  <c r="S369" i="20"/>
  <c r="R369" i="20"/>
  <c r="Q369" i="20"/>
  <c r="O369" i="20"/>
  <c r="M369" i="20"/>
  <c r="L369" i="20"/>
  <c r="N428" i="20"/>
  <c r="R428" i="20"/>
  <c r="AR428" i="20"/>
  <c r="AS428" i="20" s="1"/>
  <c r="AN428" i="20"/>
  <c r="AO428" i="20" s="1"/>
  <c r="AJ428" i="20"/>
  <c r="AK428" i="20" s="1"/>
  <c r="AB428" i="20"/>
  <c r="AC428" i="20" s="1"/>
  <c r="P428" i="20"/>
  <c r="Q428" i="20"/>
  <c r="O428" i="20"/>
  <c r="M428" i="20"/>
  <c r="BD428" i="20"/>
  <c r="BE428" i="20" s="1"/>
  <c r="AF428" i="20"/>
  <c r="AG428" i="20" s="1"/>
  <c r="AA428" i="20"/>
  <c r="S428" i="20"/>
  <c r="L428" i="20"/>
  <c r="K428" i="20"/>
  <c r="BD437" i="20"/>
  <c r="BE437" i="20" s="1"/>
  <c r="L437" i="20"/>
  <c r="AB437" i="20"/>
  <c r="AC437" i="20" s="1"/>
  <c r="S437" i="20"/>
  <c r="R437" i="20"/>
  <c r="Q437" i="20"/>
  <c r="P437" i="20"/>
  <c r="O437" i="20"/>
  <c r="N437" i="20"/>
  <c r="M437" i="20"/>
  <c r="AZ437" i="20"/>
  <c r="BA437" i="20" s="1"/>
  <c r="AR437" i="20"/>
  <c r="AS437" i="20" s="1"/>
  <c r="AV437" i="20"/>
  <c r="AW437" i="20" s="1"/>
  <c r="J437" i="20"/>
  <c r="AN437" i="20"/>
  <c r="AO437" i="20" s="1"/>
  <c r="M542" i="20"/>
  <c r="Q345" i="20"/>
  <c r="S367" i="20"/>
  <c r="N367" i="20"/>
  <c r="BD367" i="20"/>
  <c r="BE367" i="20" s="1"/>
  <c r="L367" i="20"/>
  <c r="AB367" i="20"/>
  <c r="AC367" i="20" s="1"/>
  <c r="AA367" i="20"/>
  <c r="R367" i="20"/>
  <c r="P367" i="20"/>
  <c r="O367" i="20"/>
  <c r="M367" i="20"/>
  <c r="AA369" i="20"/>
  <c r="AZ428" i="20"/>
  <c r="BA428" i="20" s="1"/>
  <c r="AF437" i="20"/>
  <c r="AG437" i="20" s="1"/>
  <c r="AF378" i="20"/>
  <c r="AG378" i="20" s="1"/>
  <c r="AZ378" i="20"/>
  <c r="BA378" i="20" s="1"/>
  <c r="J378" i="20"/>
  <c r="AV378" i="20"/>
  <c r="AW378" i="20" s="1"/>
  <c r="AN378" i="20"/>
  <c r="AO378" i="20" s="1"/>
  <c r="AR378" i="20"/>
  <c r="AS378" i="20" s="1"/>
  <c r="AJ378" i="20"/>
  <c r="AK378" i="20" s="1"/>
  <c r="AB378" i="20"/>
  <c r="AC378" i="20" s="1"/>
  <c r="AA378" i="20"/>
  <c r="N378" i="20"/>
  <c r="R454" i="20"/>
  <c r="O454" i="20"/>
  <c r="J454" i="20"/>
  <c r="X454" i="20"/>
  <c r="AN454" i="20"/>
  <c r="AO454" i="20" s="1"/>
  <c r="AF454" i="20"/>
  <c r="AG454" i="20" s="1"/>
  <c r="AB454" i="20"/>
  <c r="AC454" i="20" s="1"/>
  <c r="AA454" i="20"/>
  <c r="S454" i="20"/>
  <c r="K454" i="20"/>
  <c r="BD454" i="20"/>
  <c r="BE454" i="20" s="1"/>
  <c r="AZ454" i="20"/>
  <c r="BA454" i="20" s="1"/>
  <c r="P454" i="20"/>
  <c r="AV454" i="20"/>
  <c r="AW454" i="20" s="1"/>
  <c r="AR454" i="20"/>
  <c r="AS454" i="20" s="1"/>
  <c r="AJ454" i="20"/>
  <c r="AK454" i="20" s="1"/>
  <c r="L454" i="20"/>
  <c r="AA336" i="20"/>
  <c r="AA349" i="20"/>
  <c r="AF349" i="20"/>
  <c r="AG349" i="20" s="1"/>
  <c r="S349" i="20"/>
  <c r="AN349" i="20"/>
  <c r="AO349" i="20" s="1"/>
  <c r="AB349" i="20"/>
  <c r="AC349" i="20" s="1"/>
  <c r="R349" i="20"/>
  <c r="Q349" i="20"/>
  <c r="K378" i="20"/>
  <c r="S395" i="20"/>
  <c r="AJ395" i="20"/>
  <c r="AK395" i="20" s="1"/>
  <c r="AF395" i="20"/>
  <c r="AG395" i="20" s="1"/>
  <c r="P395" i="20"/>
  <c r="AN395" i="20"/>
  <c r="AO395" i="20" s="1"/>
  <c r="AB395" i="20"/>
  <c r="AC395" i="20" s="1"/>
  <c r="AA395" i="20"/>
  <c r="R395" i="20"/>
  <c r="Q395" i="20"/>
  <c r="O395" i="20"/>
  <c r="K395" i="20"/>
  <c r="J395" i="20"/>
  <c r="M429" i="20"/>
  <c r="AA429" i="20"/>
  <c r="AN429" i="20"/>
  <c r="AO429" i="20" s="1"/>
  <c r="AJ429" i="20"/>
  <c r="AK429" i="20" s="1"/>
  <c r="AF429" i="20"/>
  <c r="AG429" i="20" s="1"/>
  <c r="O429" i="20"/>
  <c r="AR429" i="20"/>
  <c r="AS429" i="20" s="1"/>
  <c r="AB429" i="20"/>
  <c r="AC429" i="20" s="1"/>
  <c r="K429" i="20"/>
  <c r="BD429" i="20"/>
  <c r="BE429" i="20" s="1"/>
  <c r="AZ429" i="20"/>
  <c r="BA429" i="20" s="1"/>
  <c r="AV429" i="20"/>
  <c r="AW429" i="20" s="1"/>
  <c r="S429" i="20"/>
  <c r="R429" i="20"/>
  <c r="P429" i="20"/>
  <c r="M454" i="20"/>
  <c r="AF336" i="20"/>
  <c r="AG336" i="20" s="1"/>
  <c r="J349" i="20"/>
  <c r="R355" i="20"/>
  <c r="P355" i="20"/>
  <c r="AA355" i="20"/>
  <c r="S355" i="20"/>
  <c r="Q355" i="20"/>
  <c r="M355" i="20"/>
  <c r="L355" i="20"/>
  <c r="K355" i="20"/>
  <c r="L378" i="20"/>
  <c r="L395" i="20"/>
  <c r="J429" i="20"/>
  <c r="N454" i="20"/>
  <c r="AA345" i="20"/>
  <c r="K349" i="20"/>
  <c r="S371" i="20"/>
  <c r="Q371" i="20"/>
  <c r="O371" i="20"/>
  <c r="AB371" i="20"/>
  <c r="AC371" i="20" s="1"/>
  <c r="AA371" i="20"/>
  <c r="R371" i="20"/>
  <c r="N371" i="20"/>
  <c r="M371" i="20"/>
  <c r="L371" i="20"/>
  <c r="AF374" i="20"/>
  <c r="AG374" i="20" s="1"/>
  <c r="N374" i="20"/>
  <c r="J374" i="20"/>
  <c r="AR374" i="20"/>
  <c r="AS374" i="20" s="1"/>
  <c r="AJ374" i="20"/>
  <c r="AK374" i="20" s="1"/>
  <c r="AB374" i="20"/>
  <c r="AC374" i="20" s="1"/>
  <c r="AA374" i="20"/>
  <c r="S374" i="20"/>
  <c r="R374" i="20"/>
  <c r="Q374" i="20"/>
  <c r="M378" i="20"/>
  <c r="AV406" i="20"/>
  <c r="AW406" i="20" s="1"/>
  <c r="AR406" i="20"/>
  <c r="AS406" i="20" s="1"/>
  <c r="AF406" i="20"/>
  <c r="AG406" i="20" s="1"/>
  <c r="AA406" i="20"/>
  <c r="M406" i="20"/>
  <c r="BD406" i="20"/>
  <c r="BE406" i="20" s="1"/>
  <c r="AZ406" i="20"/>
  <c r="BA406" i="20" s="1"/>
  <c r="AN406" i="20"/>
  <c r="AO406" i="20" s="1"/>
  <c r="AJ406" i="20"/>
  <c r="AK406" i="20" s="1"/>
  <c r="AB406" i="20"/>
  <c r="AC406" i="20" s="1"/>
  <c r="Q406" i="20"/>
  <c r="P406" i="20"/>
  <c r="N406" i="20"/>
  <c r="L429" i="20"/>
  <c r="Q454" i="20"/>
  <c r="AJ336" i="20"/>
  <c r="AK336" i="20" s="1"/>
  <c r="AB345" i="20"/>
  <c r="AC345" i="20" s="1"/>
  <c r="L349" i="20"/>
  <c r="L353" i="20"/>
  <c r="AZ353" i="20"/>
  <c r="BA353" i="20" s="1"/>
  <c r="AF353" i="20"/>
  <c r="AG353" i="20" s="1"/>
  <c r="AA353" i="20"/>
  <c r="S353" i="20"/>
  <c r="R353" i="20"/>
  <c r="Q353" i="20"/>
  <c r="N355" i="20"/>
  <c r="J371" i="20"/>
  <c r="K374" i="20"/>
  <c r="O378" i="20"/>
  <c r="N395" i="20"/>
  <c r="J406" i="20"/>
  <c r="N429" i="20"/>
  <c r="AF273" i="20"/>
  <c r="AG273" i="20" s="1"/>
  <c r="R273" i="20"/>
  <c r="AZ273" i="20"/>
  <c r="BA273" i="20" s="1"/>
  <c r="AZ280" i="20"/>
  <c r="BA280" i="20" s="1"/>
  <c r="AA293" i="20"/>
  <c r="P293" i="20"/>
  <c r="N298" i="20"/>
  <c r="AR298" i="20"/>
  <c r="AS298" i="20" s="1"/>
  <c r="AZ298" i="20"/>
  <c r="BA298" i="20" s="1"/>
  <c r="AN336" i="20"/>
  <c r="AO336" i="20" s="1"/>
  <c r="AN348" i="20"/>
  <c r="AO348" i="20" s="1"/>
  <c r="AJ348" i="20"/>
  <c r="AK348" i="20" s="1"/>
  <c r="AA348" i="20"/>
  <c r="AB348" i="20"/>
  <c r="AC348" i="20" s="1"/>
  <c r="S348" i="20"/>
  <c r="R348" i="20"/>
  <c r="N349" i="20"/>
  <c r="AF367" i="20"/>
  <c r="AG367" i="20" s="1"/>
  <c r="AV369" i="20"/>
  <c r="AW369" i="20" s="1"/>
  <c r="P371" i="20"/>
  <c r="M374" i="20"/>
  <c r="Q378" i="20"/>
  <c r="BD380" i="20"/>
  <c r="BE380" i="20" s="1"/>
  <c r="M380" i="20"/>
  <c r="AF380" i="20"/>
  <c r="AG380" i="20" s="1"/>
  <c r="AB380" i="20"/>
  <c r="AC380" i="20" s="1"/>
  <c r="AR380" i="20"/>
  <c r="AS380" i="20" s="1"/>
  <c r="AJ380" i="20"/>
  <c r="AK380" i="20" s="1"/>
  <c r="R380" i="20"/>
  <c r="AZ380" i="20"/>
  <c r="BA380" i="20" s="1"/>
  <c r="AV380" i="20"/>
  <c r="AW380" i="20" s="1"/>
  <c r="Q380" i="20"/>
  <c r="O380" i="20"/>
  <c r="AR397" i="20"/>
  <c r="AS397" i="20" s="1"/>
  <c r="P397" i="20"/>
  <c r="O397" i="20"/>
  <c r="N397" i="20"/>
  <c r="K397" i="20"/>
  <c r="AB397" i="20"/>
  <c r="AC397" i="20" s="1"/>
  <c r="AA397" i="20"/>
  <c r="L397" i="20"/>
  <c r="AZ397" i="20"/>
  <c r="BA397" i="20" s="1"/>
  <c r="AV397" i="20"/>
  <c r="AW397" i="20" s="1"/>
  <c r="AN397" i="20"/>
  <c r="AO397" i="20" s="1"/>
  <c r="AJ397" i="20"/>
  <c r="AK397" i="20" s="1"/>
  <c r="AF397" i="20"/>
  <c r="AG397" i="20" s="1"/>
  <c r="S397" i="20"/>
  <c r="R397" i="20"/>
  <c r="M397" i="20"/>
  <c r="L406" i="20"/>
  <c r="AA304" i="20"/>
  <c r="P304" i="20"/>
  <c r="AZ311" i="20"/>
  <c r="BA311" i="20" s="1"/>
  <c r="AJ322" i="20"/>
  <c r="AK322" i="20" s="1"/>
  <c r="Q322" i="20"/>
  <c r="P322" i="20"/>
  <c r="N322" i="20"/>
  <c r="AZ322" i="20"/>
  <c r="BA322" i="20" s="1"/>
  <c r="J322" i="20"/>
  <c r="J348" i="20"/>
  <c r="P349" i="20"/>
  <c r="M353" i="20"/>
  <c r="AB355" i="20"/>
  <c r="AC355" i="20" s="1"/>
  <c r="AZ369" i="20"/>
  <c r="BA369" i="20" s="1"/>
  <c r="O374" i="20"/>
  <c r="R378" i="20"/>
  <c r="J380" i="20"/>
  <c r="AR395" i="20"/>
  <c r="AS395" i="20" s="1"/>
  <c r="J397" i="20"/>
  <c r="O406" i="20"/>
  <c r="S468" i="20"/>
  <c r="J468" i="20"/>
  <c r="AR468" i="20"/>
  <c r="AS468" i="20" s="1"/>
  <c r="AJ468" i="20"/>
  <c r="AK468" i="20" s="1"/>
  <c r="BD468" i="20"/>
  <c r="BE468" i="20" s="1"/>
  <c r="AZ468" i="20"/>
  <c r="BA468" i="20" s="1"/>
  <c r="AV468" i="20"/>
  <c r="AW468" i="20" s="1"/>
  <c r="M468" i="20"/>
  <c r="L468" i="20"/>
  <c r="AN468" i="20"/>
  <c r="AO468" i="20" s="1"/>
  <c r="R468" i="20"/>
  <c r="Q468" i="20"/>
  <c r="AF468" i="20"/>
  <c r="AG468" i="20" s="1"/>
  <c r="AA468" i="20"/>
  <c r="K468" i="20"/>
  <c r="O468" i="20"/>
  <c r="AB472" i="20"/>
  <c r="AC472" i="20" s="1"/>
  <c r="AF472" i="20"/>
  <c r="AG472" i="20" s="1"/>
  <c r="AA472" i="20"/>
  <c r="S472" i="20"/>
  <c r="R472" i="20"/>
  <c r="BD472" i="20"/>
  <c r="BE472" i="20" s="1"/>
  <c r="N472" i="20"/>
  <c r="M472" i="20"/>
  <c r="AZ472" i="20"/>
  <c r="BA472" i="20" s="1"/>
  <c r="AV472" i="20"/>
  <c r="AW472" i="20" s="1"/>
  <c r="AR472" i="20"/>
  <c r="AS472" i="20" s="1"/>
  <c r="AN472" i="20"/>
  <c r="AO472" i="20" s="1"/>
  <c r="P472" i="20"/>
  <c r="O472" i="20"/>
  <c r="L472" i="20"/>
  <c r="K472" i="20"/>
  <c r="AJ472" i="20"/>
  <c r="AK472" i="20" s="1"/>
  <c r="AR336" i="20"/>
  <c r="AS336" i="20" s="1"/>
  <c r="AZ345" i="20"/>
  <c r="BA345" i="20" s="1"/>
  <c r="K348" i="20"/>
  <c r="AJ367" i="20"/>
  <c r="AK367" i="20" s="1"/>
  <c r="P374" i="20"/>
  <c r="S378" i="20"/>
  <c r="K380" i="20"/>
  <c r="R406" i="20"/>
  <c r="N468" i="20"/>
  <c r="J472" i="20"/>
  <c r="P506" i="20"/>
  <c r="AA506" i="20"/>
  <c r="L506" i="20"/>
  <c r="J506" i="20"/>
  <c r="S506" i="20"/>
  <c r="AF506" i="20"/>
  <c r="AG506" i="20" s="1"/>
  <c r="R506" i="20"/>
  <c r="K506" i="20"/>
  <c r="BD506" i="20"/>
  <c r="BE506" i="20" s="1"/>
  <c r="AZ506" i="20"/>
  <c r="BA506" i="20" s="1"/>
  <c r="O506" i="20"/>
  <c r="N506" i="20"/>
  <c r="AN506" i="20"/>
  <c r="AO506" i="20" s="1"/>
  <c r="AJ506" i="20"/>
  <c r="AK506" i="20" s="1"/>
  <c r="AB506" i="20"/>
  <c r="AC506" i="20" s="1"/>
  <c r="AV506" i="20"/>
  <c r="AW506" i="20" s="1"/>
  <c r="AR506" i="20"/>
  <c r="AS506" i="20" s="1"/>
  <c r="Q506" i="20"/>
  <c r="BD267" i="20"/>
  <c r="BE267" i="20" s="1"/>
  <c r="M267" i="20"/>
  <c r="AZ267" i="20"/>
  <c r="BA267" i="20" s="1"/>
  <c r="L273" i="20"/>
  <c r="L280" i="20"/>
  <c r="L293" i="20"/>
  <c r="BD293" i="20"/>
  <c r="BE293" i="20" s="1"/>
  <c r="L298" i="20"/>
  <c r="AZ299" i="20"/>
  <c r="BA299" i="20" s="1"/>
  <c r="K304" i="20"/>
  <c r="K311" i="20"/>
  <c r="BD311" i="20"/>
  <c r="BE311" i="20" s="1"/>
  <c r="L322" i="20"/>
  <c r="O324" i="20"/>
  <c r="AR324" i="20"/>
  <c r="AS324" i="20" s="1"/>
  <c r="BD345" i="20"/>
  <c r="BE345" i="20" s="1"/>
  <c r="L348" i="20"/>
  <c r="P353" i="20"/>
  <c r="AF355" i="20"/>
  <c r="AG355" i="20" s="1"/>
  <c r="AN367" i="20"/>
  <c r="AO367" i="20" s="1"/>
  <c r="BD369" i="20"/>
  <c r="BE369" i="20" s="1"/>
  <c r="L380" i="20"/>
  <c r="AV395" i="20"/>
  <c r="AW395" i="20" s="1"/>
  <c r="N400" i="20"/>
  <c r="M400" i="20"/>
  <c r="AJ400" i="20"/>
  <c r="AK400" i="20" s="1"/>
  <c r="AF400" i="20"/>
  <c r="AG400" i="20" s="1"/>
  <c r="AA400" i="20"/>
  <c r="S400" i="20"/>
  <c r="R400" i="20"/>
  <c r="Q400" i="20"/>
  <c r="BD400" i="20"/>
  <c r="BE400" i="20" s="1"/>
  <c r="AZ400" i="20"/>
  <c r="BA400" i="20" s="1"/>
  <c r="AV400" i="20"/>
  <c r="AW400" i="20" s="1"/>
  <c r="AR400" i="20"/>
  <c r="AS400" i="20" s="1"/>
  <c r="AB400" i="20"/>
  <c r="AC400" i="20" s="1"/>
  <c r="S406" i="20"/>
  <c r="P468" i="20"/>
  <c r="Q472" i="20"/>
  <c r="M506" i="20"/>
  <c r="M273" i="20"/>
  <c r="S274" i="20"/>
  <c r="L274" i="20"/>
  <c r="AZ274" i="20"/>
  <c r="BA274" i="20" s="1"/>
  <c r="M280" i="20"/>
  <c r="AF281" i="20"/>
  <c r="AG281" i="20" s="1"/>
  <c r="R281" i="20"/>
  <c r="AZ281" i="20"/>
  <c r="BA281" i="20" s="1"/>
  <c r="AZ288" i="20"/>
  <c r="BA288" i="20" s="1"/>
  <c r="M293" i="20"/>
  <c r="M298" i="20"/>
  <c r="L304" i="20"/>
  <c r="BD304" i="20"/>
  <c r="BE304" i="20" s="1"/>
  <c r="L311" i="20"/>
  <c r="M322" i="20"/>
  <c r="AV336" i="20"/>
  <c r="AW336" i="20" s="1"/>
  <c r="M348" i="20"/>
  <c r="AJ349" i="20"/>
  <c r="AK349" i="20" s="1"/>
  <c r="AV352" i="20"/>
  <c r="AW352" i="20" s="1"/>
  <c r="AR352" i="20"/>
  <c r="AS352" i="20" s="1"/>
  <c r="P352" i="20"/>
  <c r="K352" i="20"/>
  <c r="AF352" i="20"/>
  <c r="AG352" i="20" s="1"/>
  <c r="AB352" i="20"/>
  <c r="AC352" i="20" s="1"/>
  <c r="AA352" i="20"/>
  <c r="S352" i="20"/>
  <c r="R352" i="20"/>
  <c r="AJ358" i="20"/>
  <c r="AK358" i="20" s="1"/>
  <c r="AF358" i="20"/>
  <c r="AG358" i="20" s="1"/>
  <c r="AB358" i="20"/>
  <c r="AC358" i="20" s="1"/>
  <c r="S358" i="20"/>
  <c r="R358" i="20"/>
  <c r="P358" i="20"/>
  <c r="N358" i="20"/>
  <c r="L358" i="20"/>
  <c r="K358" i="20"/>
  <c r="J358" i="20"/>
  <c r="AF371" i="20"/>
  <c r="AG371" i="20" s="1"/>
  <c r="AR377" i="20"/>
  <c r="AS377" i="20" s="1"/>
  <c r="O377" i="20"/>
  <c r="M377" i="20"/>
  <c r="AZ377" i="20"/>
  <c r="BA377" i="20" s="1"/>
  <c r="J377" i="20"/>
  <c r="AB377" i="20"/>
  <c r="AC377" i="20" s="1"/>
  <c r="AN377" i="20"/>
  <c r="AO377" i="20" s="1"/>
  <c r="AJ377" i="20"/>
  <c r="AK377" i="20" s="1"/>
  <c r="AF377" i="20"/>
  <c r="AG377" i="20" s="1"/>
  <c r="AA377" i="20"/>
  <c r="K377" i="20"/>
  <c r="N380" i="20"/>
  <c r="AF382" i="20"/>
  <c r="AG382" i="20" s="1"/>
  <c r="O382" i="20"/>
  <c r="M382" i="20"/>
  <c r="AZ382" i="20"/>
  <c r="BA382" i="20" s="1"/>
  <c r="J382" i="20"/>
  <c r="AJ382" i="20"/>
  <c r="AK382" i="20" s="1"/>
  <c r="AA382" i="20"/>
  <c r="N382" i="20"/>
  <c r="BD382" i="20"/>
  <c r="BE382" i="20" s="1"/>
  <c r="AV382" i="20"/>
  <c r="AW382" i="20" s="1"/>
  <c r="AR382" i="20"/>
  <c r="AS382" i="20" s="1"/>
  <c r="AN382" i="20"/>
  <c r="AO382" i="20" s="1"/>
  <c r="S382" i="20"/>
  <c r="BD247" i="20"/>
  <c r="BE247" i="20" s="1"/>
  <c r="M247" i="20"/>
  <c r="AZ247" i="20"/>
  <c r="BA247" i="20" s="1"/>
  <c r="K267" i="20"/>
  <c r="N273" i="20"/>
  <c r="J274" i="20"/>
  <c r="BD274" i="20"/>
  <c r="BE274" i="20" s="1"/>
  <c r="N280" i="20"/>
  <c r="J281" i="20"/>
  <c r="J288" i="20"/>
  <c r="N293" i="20"/>
  <c r="O298" i="20"/>
  <c r="K299" i="20"/>
  <c r="BD299" i="20"/>
  <c r="BE299" i="20" s="1"/>
  <c r="M304" i="20"/>
  <c r="M311" i="20"/>
  <c r="O312" i="20"/>
  <c r="AA312" i="20"/>
  <c r="S312" i="20"/>
  <c r="N312" i="20"/>
  <c r="BD312" i="20"/>
  <c r="BE312" i="20" s="1"/>
  <c r="O322" i="20"/>
  <c r="K324" i="20"/>
  <c r="P341" i="20"/>
  <c r="M341" i="20"/>
  <c r="AB341" i="20"/>
  <c r="AC341" i="20" s="1"/>
  <c r="S341" i="20"/>
  <c r="BD341" i="20"/>
  <c r="BE341" i="20" s="1"/>
  <c r="AR341" i="20"/>
  <c r="AS341" i="20" s="1"/>
  <c r="AN341" i="20"/>
  <c r="AO341" i="20" s="1"/>
  <c r="N346" i="20"/>
  <c r="BD346" i="20"/>
  <c r="BE346" i="20" s="1"/>
  <c r="L346" i="20"/>
  <c r="AV346" i="20"/>
  <c r="AW346" i="20" s="1"/>
  <c r="AN346" i="20"/>
  <c r="AO346" i="20" s="1"/>
  <c r="AR346" i="20"/>
  <c r="AS346" i="20" s="1"/>
  <c r="AJ346" i="20"/>
  <c r="AK346" i="20" s="1"/>
  <c r="AF346" i="20"/>
  <c r="AG346" i="20" s="1"/>
  <c r="AB346" i="20"/>
  <c r="AC346" i="20" s="1"/>
  <c r="N348" i="20"/>
  <c r="J352" i="20"/>
  <c r="AJ355" i="20"/>
  <c r="AK355" i="20" s="1"/>
  <c r="M358" i="20"/>
  <c r="AR367" i="20"/>
  <c r="AS367" i="20" s="1"/>
  <c r="AF370" i="20"/>
  <c r="AG370" i="20" s="1"/>
  <c r="AA370" i="20"/>
  <c r="AB370" i="20"/>
  <c r="AC370" i="20" s="1"/>
  <c r="R370" i="20"/>
  <c r="K370" i="20"/>
  <c r="S370" i="20"/>
  <c r="Q370" i="20"/>
  <c r="P370" i="20"/>
  <c r="N370" i="20"/>
  <c r="M370" i="20"/>
  <c r="L370" i="20"/>
  <c r="AN374" i="20"/>
  <c r="AO374" i="20" s="1"/>
  <c r="L377" i="20"/>
  <c r="P380" i="20"/>
  <c r="K382" i="20"/>
  <c r="AZ395" i="20"/>
  <c r="BA395" i="20" s="1"/>
  <c r="K400" i="20"/>
  <c r="J247" i="20"/>
  <c r="S254" i="20"/>
  <c r="L254" i="20"/>
  <c r="AZ254" i="20"/>
  <c r="BA254" i="20" s="1"/>
  <c r="AF261" i="20"/>
  <c r="AG261" i="20" s="1"/>
  <c r="R261" i="20"/>
  <c r="AZ261" i="20"/>
  <c r="BA261" i="20" s="1"/>
  <c r="L267" i="20"/>
  <c r="AZ268" i="20"/>
  <c r="BA268" i="20" s="1"/>
  <c r="O273" i="20"/>
  <c r="K274" i="20"/>
  <c r="O280" i="20"/>
  <c r="K281" i="20"/>
  <c r="BD281" i="20"/>
  <c r="BE281" i="20" s="1"/>
  <c r="K288" i="20"/>
  <c r="BD288" i="20"/>
  <c r="BE288" i="20" s="1"/>
  <c r="O293" i="20"/>
  <c r="P298" i="20"/>
  <c r="L299" i="20"/>
  <c r="N304" i="20"/>
  <c r="N311" i="20"/>
  <c r="J312" i="20"/>
  <c r="R322" i="20"/>
  <c r="L324" i="20"/>
  <c r="AZ336" i="20"/>
  <c r="BA336" i="20" s="1"/>
  <c r="J341" i="20"/>
  <c r="J346" i="20"/>
  <c r="P348" i="20"/>
  <c r="AR349" i="20"/>
  <c r="AS349" i="20" s="1"/>
  <c r="L352" i="20"/>
  <c r="AB353" i="20"/>
  <c r="AC353" i="20" s="1"/>
  <c r="AN355" i="20"/>
  <c r="AO355" i="20" s="1"/>
  <c r="Q358" i="20"/>
  <c r="AV367" i="20"/>
  <c r="AW367" i="20" s="1"/>
  <c r="J370" i="20"/>
  <c r="AJ371" i="20"/>
  <c r="AK371" i="20" s="1"/>
  <c r="AR373" i="20"/>
  <c r="AS373" i="20" s="1"/>
  <c r="AZ373" i="20"/>
  <c r="BA373" i="20" s="1"/>
  <c r="J373" i="20"/>
  <c r="AV373" i="20"/>
  <c r="AW373" i="20" s="1"/>
  <c r="AN373" i="20"/>
  <c r="AO373" i="20" s="1"/>
  <c r="P373" i="20"/>
  <c r="L373" i="20"/>
  <c r="AB373" i="20"/>
  <c r="AC373" i="20" s="1"/>
  <c r="AA373" i="20"/>
  <c r="R373" i="20"/>
  <c r="Q373" i="20"/>
  <c r="O373" i="20"/>
  <c r="N377" i="20"/>
  <c r="S380" i="20"/>
  <c r="L382" i="20"/>
  <c r="BD397" i="20"/>
  <c r="BE397" i="20" s="1"/>
  <c r="L400" i="20"/>
  <c r="AJ407" i="20"/>
  <c r="AK407" i="20" s="1"/>
  <c r="Q407" i="20"/>
  <c r="AN407" i="20"/>
  <c r="AO407" i="20" s="1"/>
  <c r="AR407" i="20"/>
  <c r="AS407" i="20" s="1"/>
  <c r="AB407" i="20"/>
  <c r="AC407" i="20" s="1"/>
  <c r="AA407" i="20"/>
  <c r="M407" i="20"/>
  <c r="BD407" i="20"/>
  <c r="BE407" i="20" s="1"/>
  <c r="AZ407" i="20"/>
  <c r="BA407" i="20" s="1"/>
  <c r="AF407" i="20"/>
  <c r="AG407" i="20" s="1"/>
  <c r="S407" i="20"/>
  <c r="BD410" i="20"/>
  <c r="BE410" i="20" s="1"/>
  <c r="L410" i="20"/>
  <c r="AR410" i="20"/>
  <c r="AS410" i="20" s="1"/>
  <c r="AJ410" i="20"/>
  <c r="AK410" i="20" s="1"/>
  <c r="S410" i="20"/>
  <c r="R410" i="20"/>
  <c r="O410" i="20"/>
  <c r="AN410" i="20"/>
  <c r="AO410" i="20" s="1"/>
  <c r="AB410" i="20"/>
  <c r="AC410" i="20" s="1"/>
  <c r="AA410" i="20"/>
  <c r="K410" i="20"/>
  <c r="AF410" i="20"/>
  <c r="AG410" i="20" s="1"/>
  <c r="Q410" i="20"/>
  <c r="P410" i="20"/>
  <c r="N410" i="20"/>
  <c r="M410" i="20"/>
  <c r="J410" i="20"/>
  <c r="AJ449" i="20"/>
  <c r="AK449" i="20" s="1"/>
  <c r="S449" i="20"/>
  <c r="AN449" i="20"/>
  <c r="AO449" i="20" s="1"/>
  <c r="J449" i="20"/>
  <c r="AZ449" i="20"/>
  <c r="BA449" i="20" s="1"/>
  <c r="P449" i="20"/>
  <c r="O449" i="20"/>
  <c r="BD449" i="20"/>
  <c r="BE449" i="20" s="1"/>
  <c r="AV449" i="20"/>
  <c r="AW449" i="20" s="1"/>
  <c r="AR449" i="20"/>
  <c r="AS449" i="20" s="1"/>
  <c r="AB449" i="20"/>
  <c r="AC449" i="20" s="1"/>
  <c r="AA449" i="20"/>
  <c r="R449" i="20"/>
  <c r="Q449" i="20"/>
  <c r="N449" i="20"/>
  <c r="M449" i="20"/>
  <c r="AF449" i="20"/>
  <c r="AG449" i="20" s="1"/>
  <c r="L449" i="20"/>
  <c r="AB468" i="20"/>
  <c r="AC468" i="20" s="1"/>
  <c r="AV374" i="20"/>
  <c r="AW374" i="20" s="1"/>
  <c r="BD378" i="20"/>
  <c r="BE378" i="20" s="1"/>
  <c r="BD395" i="20"/>
  <c r="BE395" i="20" s="1"/>
  <c r="K449" i="20"/>
  <c r="N436" i="20"/>
  <c r="Q436" i="20"/>
  <c r="AB436" i="20"/>
  <c r="AC436" i="20" s="1"/>
  <c r="AA436" i="20"/>
  <c r="S436" i="20"/>
  <c r="R436" i="20"/>
  <c r="P436" i="20"/>
  <c r="O436" i="20"/>
  <c r="M436" i="20"/>
  <c r="L436" i="20"/>
  <c r="K436" i="20"/>
  <c r="AZ436" i="20"/>
  <c r="BA436" i="20" s="1"/>
  <c r="AJ436" i="20"/>
  <c r="AK436" i="20" s="1"/>
  <c r="AF436" i="20"/>
  <c r="AG436" i="20" s="1"/>
  <c r="J436" i="20"/>
  <c r="BD436" i="20"/>
  <c r="BE436" i="20" s="1"/>
  <c r="AV436" i="20"/>
  <c r="AW436" i="20" s="1"/>
  <c r="AR436" i="20"/>
  <c r="AS436" i="20" s="1"/>
  <c r="AN436" i="20"/>
  <c r="AO436" i="20" s="1"/>
  <c r="AA489" i="20"/>
  <c r="AR489" i="20"/>
  <c r="AS489" i="20" s="1"/>
  <c r="AN489" i="20"/>
  <c r="AO489" i="20" s="1"/>
  <c r="AV489" i="20"/>
  <c r="AW489" i="20" s="1"/>
  <c r="AZ489" i="20"/>
  <c r="BA489" i="20" s="1"/>
  <c r="Q489" i="20"/>
  <c r="P489" i="20"/>
  <c r="AB489" i="20"/>
  <c r="AC489" i="20" s="1"/>
  <c r="S489" i="20"/>
  <c r="R489" i="20"/>
  <c r="AJ489" i="20"/>
  <c r="AK489" i="20" s="1"/>
  <c r="AF489" i="20"/>
  <c r="AG489" i="20" s="1"/>
  <c r="O489" i="20"/>
  <c r="N489" i="20"/>
  <c r="M489" i="20"/>
  <c r="BD396" i="20"/>
  <c r="BE396" i="20" s="1"/>
  <c r="M396" i="20"/>
  <c r="S396" i="20"/>
  <c r="P396" i="20"/>
  <c r="AJ396" i="20"/>
  <c r="AK396" i="20" s="1"/>
  <c r="AB396" i="20"/>
  <c r="AC396" i="20" s="1"/>
  <c r="N396" i="20"/>
  <c r="P486" i="20"/>
  <c r="S486" i="20"/>
  <c r="N486" i="20"/>
  <c r="L486" i="20"/>
  <c r="BD486" i="20"/>
  <c r="BE486" i="20" s="1"/>
  <c r="K486" i="20"/>
  <c r="Q486" i="20"/>
  <c r="O486" i="20"/>
  <c r="M486" i="20"/>
  <c r="J486" i="20"/>
  <c r="AB486" i="20"/>
  <c r="AC486" i="20" s="1"/>
  <c r="AZ486" i="20"/>
  <c r="BA486" i="20" s="1"/>
  <c r="AV486" i="20"/>
  <c r="AW486" i="20" s="1"/>
  <c r="AR486" i="20"/>
  <c r="AS486" i="20" s="1"/>
  <c r="AF486" i="20"/>
  <c r="AG486" i="20" s="1"/>
  <c r="AA486" i="20"/>
  <c r="AJ486" i="20"/>
  <c r="AK486" i="20" s="1"/>
  <c r="BD489" i="20"/>
  <c r="BE489" i="20" s="1"/>
  <c r="K396" i="20"/>
  <c r="P490" i="20"/>
  <c r="AJ490" i="20"/>
  <c r="AK490" i="20" s="1"/>
  <c r="AZ490" i="20"/>
  <c r="BA490" i="20" s="1"/>
  <c r="AA490" i="20"/>
  <c r="S490" i="20"/>
  <c r="R490" i="20"/>
  <c r="AR490" i="20"/>
  <c r="AS490" i="20" s="1"/>
  <c r="AF490" i="20"/>
  <c r="AG490" i="20" s="1"/>
  <c r="AB490" i="20"/>
  <c r="AC490" i="20" s="1"/>
  <c r="BD490" i="20"/>
  <c r="BE490" i="20" s="1"/>
  <c r="Q490" i="20"/>
  <c r="O490" i="20"/>
  <c r="N490" i="20"/>
  <c r="AV490" i="20"/>
  <c r="AW490" i="20" s="1"/>
  <c r="AN490" i="20"/>
  <c r="AO490" i="20" s="1"/>
  <c r="M490" i="20"/>
  <c r="R504" i="20"/>
  <c r="AB504" i="20"/>
  <c r="AC504" i="20" s="1"/>
  <c r="P504" i="20"/>
  <c r="S504" i="20"/>
  <c r="N504" i="20"/>
  <c r="M504" i="20"/>
  <c r="BD504" i="20"/>
  <c r="BE504" i="20" s="1"/>
  <c r="AV504" i="20"/>
  <c r="AW504" i="20" s="1"/>
  <c r="AN504" i="20"/>
  <c r="AO504" i="20" s="1"/>
  <c r="AZ504" i="20"/>
  <c r="BA504" i="20" s="1"/>
  <c r="AR504" i="20"/>
  <c r="AS504" i="20" s="1"/>
  <c r="Q504" i="20"/>
  <c r="O504" i="20"/>
  <c r="L504" i="20"/>
  <c r="AF504" i="20"/>
  <c r="AG504" i="20" s="1"/>
  <c r="AF394" i="20"/>
  <c r="AG394" i="20" s="1"/>
  <c r="AR394" i="20"/>
  <c r="AS394" i="20" s="1"/>
  <c r="AN394" i="20"/>
  <c r="AO394" i="20" s="1"/>
  <c r="AV394" i="20"/>
  <c r="AW394" i="20" s="1"/>
  <c r="AJ394" i="20"/>
  <c r="AK394" i="20" s="1"/>
  <c r="R394" i="20"/>
  <c r="N416" i="20"/>
  <c r="AR416" i="20"/>
  <c r="AS416" i="20" s="1"/>
  <c r="AZ416" i="20"/>
  <c r="BA416" i="20" s="1"/>
  <c r="AV416" i="20"/>
  <c r="AW416" i="20" s="1"/>
  <c r="AN416" i="20"/>
  <c r="AO416" i="20" s="1"/>
  <c r="AF416" i="20"/>
  <c r="AG416" i="20" s="1"/>
  <c r="AB416" i="20"/>
  <c r="AC416" i="20" s="1"/>
  <c r="P416" i="20"/>
  <c r="L416" i="20"/>
  <c r="J504" i="20"/>
  <c r="K490" i="20"/>
  <c r="K504" i="20"/>
  <c r="J507" i="20"/>
  <c r="Q507" i="20"/>
  <c r="AZ507" i="20"/>
  <c r="BA507" i="20" s="1"/>
  <c r="AA507" i="20"/>
  <c r="S507" i="20"/>
  <c r="AF507" i="20"/>
  <c r="AG507" i="20" s="1"/>
  <c r="O507" i="20"/>
  <c r="L507" i="20"/>
  <c r="K507" i="20"/>
  <c r="R507" i="20"/>
  <c r="BD507" i="20"/>
  <c r="BE507" i="20" s="1"/>
  <c r="AV507" i="20"/>
  <c r="AW507" i="20" s="1"/>
  <c r="AR507" i="20"/>
  <c r="AS507" i="20" s="1"/>
  <c r="AB507" i="20"/>
  <c r="AC507" i="20" s="1"/>
  <c r="AN507" i="20"/>
  <c r="AO507" i="20" s="1"/>
  <c r="AJ507" i="20"/>
  <c r="AK507" i="20" s="1"/>
  <c r="P507" i="20"/>
  <c r="N507" i="20"/>
  <c r="BD359" i="20"/>
  <c r="BE359" i="20" s="1"/>
  <c r="L359" i="20"/>
  <c r="AB359" i="20"/>
  <c r="AC359" i="20" s="1"/>
  <c r="Q359" i="20"/>
  <c r="K364" i="20"/>
  <c r="L364" i="20"/>
  <c r="AZ364" i="20"/>
  <c r="BA364" i="20" s="1"/>
  <c r="AR389" i="20"/>
  <c r="AS389" i="20" s="1"/>
  <c r="AF389" i="20"/>
  <c r="AG389" i="20" s="1"/>
  <c r="O389" i="20"/>
  <c r="K389" i="20"/>
  <c r="S391" i="20"/>
  <c r="R391" i="20"/>
  <c r="O391" i="20"/>
  <c r="BD391" i="20"/>
  <c r="BE391" i="20" s="1"/>
  <c r="J391" i="20"/>
  <c r="AV391" i="20"/>
  <c r="AW391" i="20" s="1"/>
  <c r="M394" i="20"/>
  <c r="O416" i="20"/>
  <c r="P458" i="20"/>
  <c r="S458" i="20"/>
  <c r="O458" i="20"/>
  <c r="AF458" i="20"/>
  <c r="AG458" i="20" s="1"/>
  <c r="N458" i="20"/>
  <c r="K458" i="20"/>
  <c r="J458" i="20"/>
  <c r="AB458" i="20"/>
  <c r="AC458" i="20" s="1"/>
  <c r="AA458" i="20"/>
  <c r="AZ458" i="20"/>
  <c r="BA458" i="20" s="1"/>
  <c r="AV458" i="20"/>
  <c r="AW458" i="20" s="1"/>
  <c r="AR458" i="20"/>
  <c r="AS458" i="20" s="1"/>
  <c r="R458" i="20"/>
  <c r="Q458" i="20"/>
  <c r="AA504" i="20"/>
  <c r="M507" i="20"/>
  <c r="AN323" i="20"/>
  <c r="AO323" i="20" s="1"/>
  <c r="AZ338" i="20"/>
  <c r="BA338" i="20" s="1"/>
  <c r="AR340" i="20"/>
  <c r="AS340" i="20" s="1"/>
  <c r="J359" i="20"/>
  <c r="S360" i="20"/>
  <c r="Q360" i="20"/>
  <c r="M360" i="20"/>
  <c r="AA362" i="20"/>
  <c r="J362" i="20"/>
  <c r="P362" i="20"/>
  <c r="K362" i="20"/>
  <c r="J364" i="20"/>
  <c r="AR383" i="20"/>
  <c r="AS383" i="20" s="1"/>
  <c r="J389" i="20"/>
  <c r="K391" i="20"/>
  <c r="N394" i="20"/>
  <c r="Q416" i="20"/>
  <c r="BD453" i="20"/>
  <c r="BE453" i="20" s="1"/>
  <c r="M453" i="20"/>
  <c r="O453" i="20"/>
  <c r="AJ453" i="20"/>
  <c r="AK453" i="20" s="1"/>
  <c r="AB453" i="20"/>
  <c r="AC453" i="20" s="1"/>
  <c r="AA453" i="20"/>
  <c r="AV453" i="20"/>
  <c r="AW453" i="20" s="1"/>
  <c r="X453" i="20"/>
  <c r="S453" i="20"/>
  <c r="R453" i="20"/>
  <c r="Q453" i="20"/>
  <c r="P453" i="20"/>
  <c r="AN453" i="20"/>
  <c r="AO453" i="20" s="1"/>
  <c r="AF453" i="20"/>
  <c r="AG453" i="20" s="1"/>
  <c r="N453" i="20"/>
  <c r="AZ453" i="20"/>
  <c r="BA453" i="20" s="1"/>
  <c r="L458" i="20"/>
  <c r="AJ504" i="20"/>
  <c r="AK504" i="20" s="1"/>
  <c r="AV327" i="20"/>
  <c r="AW327" i="20" s="1"/>
  <c r="O332" i="20"/>
  <c r="N332" i="20"/>
  <c r="AZ332" i="20"/>
  <c r="BA332" i="20" s="1"/>
  <c r="K359" i="20"/>
  <c r="AJ361" i="20"/>
  <c r="AK361" i="20" s="1"/>
  <c r="N361" i="20"/>
  <c r="L361" i="20"/>
  <c r="R361" i="20"/>
  <c r="K361" i="20"/>
  <c r="M364" i="20"/>
  <c r="L389" i="20"/>
  <c r="L391" i="20"/>
  <c r="O394" i="20"/>
  <c r="AA396" i="20"/>
  <c r="R416" i="20"/>
  <c r="M458" i="20"/>
  <c r="P462" i="20"/>
  <c r="M462" i="20"/>
  <c r="BD462" i="20"/>
  <c r="BE462" i="20" s="1"/>
  <c r="AV462" i="20"/>
  <c r="AW462" i="20" s="1"/>
  <c r="O462" i="20"/>
  <c r="N462" i="20"/>
  <c r="AZ462" i="20"/>
  <c r="BA462" i="20" s="1"/>
  <c r="AF462" i="20"/>
  <c r="AG462" i="20" s="1"/>
  <c r="AB462" i="20"/>
  <c r="AC462" i="20" s="1"/>
  <c r="AA462" i="20"/>
  <c r="AR462" i="20"/>
  <c r="AS462" i="20" s="1"/>
  <c r="AN462" i="20"/>
  <c r="AO462" i="20" s="1"/>
  <c r="AJ462" i="20"/>
  <c r="AK462" i="20" s="1"/>
  <c r="K462" i="20"/>
  <c r="P510" i="20"/>
  <c r="AJ510" i="20"/>
  <c r="AK510" i="20" s="1"/>
  <c r="AB510" i="20"/>
  <c r="AC510" i="20" s="1"/>
  <c r="Q510" i="20"/>
  <c r="N510" i="20"/>
  <c r="M510" i="20"/>
  <c r="AF510" i="20"/>
  <c r="AG510" i="20" s="1"/>
  <c r="AV510" i="20"/>
  <c r="AW510" i="20" s="1"/>
  <c r="AN510" i="20"/>
  <c r="AO510" i="20" s="1"/>
  <c r="AZ510" i="20"/>
  <c r="BA510" i="20" s="1"/>
  <c r="AR510" i="20"/>
  <c r="AS510" i="20" s="1"/>
  <c r="AA510" i="20"/>
  <c r="BD510" i="20"/>
  <c r="BE510" i="20" s="1"/>
  <c r="R510" i="20"/>
  <c r="O510" i="20"/>
  <c r="L510" i="20"/>
  <c r="K510" i="20"/>
  <c r="J510" i="20"/>
  <c r="S416" i="20"/>
  <c r="Q394" i="20"/>
  <c r="N408" i="20"/>
  <c r="AA408" i="20"/>
  <c r="L408" i="20"/>
  <c r="AJ408" i="20"/>
  <c r="AK408" i="20" s="1"/>
  <c r="AF408" i="20"/>
  <c r="AG408" i="20" s="1"/>
  <c r="AR408" i="20"/>
  <c r="AS408" i="20" s="1"/>
  <c r="AB408" i="20"/>
  <c r="AC408" i="20" s="1"/>
  <c r="O408" i="20"/>
  <c r="AV323" i="20"/>
  <c r="AW323" i="20" s="1"/>
  <c r="L327" i="20"/>
  <c r="L332" i="20"/>
  <c r="L338" i="20"/>
  <c r="P359" i="20"/>
  <c r="N360" i="20"/>
  <c r="P361" i="20"/>
  <c r="Q362" i="20"/>
  <c r="Q364" i="20"/>
  <c r="AR385" i="20"/>
  <c r="AS385" i="20" s="1"/>
  <c r="AF385" i="20"/>
  <c r="AG385" i="20" s="1"/>
  <c r="AB385" i="20"/>
  <c r="AC385" i="20" s="1"/>
  <c r="Q385" i="20"/>
  <c r="BD385" i="20"/>
  <c r="BE385" i="20" s="1"/>
  <c r="J385" i="20"/>
  <c r="AF386" i="20"/>
  <c r="AG386" i="20" s="1"/>
  <c r="R386" i="20"/>
  <c r="O386" i="20"/>
  <c r="N386" i="20"/>
  <c r="P389" i="20"/>
  <c r="P391" i="20"/>
  <c r="S394" i="20"/>
  <c r="AB403" i="20"/>
  <c r="AC403" i="20" s="1"/>
  <c r="AV403" i="20"/>
  <c r="AW403" i="20" s="1"/>
  <c r="P403" i="20"/>
  <c r="O403" i="20"/>
  <c r="N403" i="20"/>
  <c r="BD403" i="20"/>
  <c r="BE403" i="20" s="1"/>
  <c r="K403" i="20"/>
  <c r="AA403" i="20"/>
  <c r="S403" i="20"/>
  <c r="R403" i="20"/>
  <c r="J408" i="20"/>
  <c r="AV430" i="20"/>
  <c r="AW430" i="20" s="1"/>
  <c r="AA430" i="20"/>
  <c r="R430" i="20"/>
  <c r="AJ430" i="20"/>
  <c r="AK430" i="20" s="1"/>
  <c r="AF430" i="20"/>
  <c r="AG430" i="20" s="1"/>
  <c r="M430" i="20"/>
  <c r="AZ430" i="20"/>
  <c r="BA430" i="20" s="1"/>
  <c r="AR430" i="20"/>
  <c r="AS430" i="20" s="1"/>
  <c r="AB430" i="20"/>
  <c r="AC430" i="20" s="1"/>
  <c r="P430" i="20"/>
  <c r="L430" i="20"/>
  <c r="Q462" i="20"/>
  <c r="S387" i="20"/>
  <c r="O387" i="20"/>
  <c r="M387" i="20"/>
  <c r="AZ387" i="20"/>
  <c r="BA387" i="20" s="1"/>
  <c r="J387" i="20"/>
  <c r="R387" i="20"/>
  <c r="L387" i="20"/>
  <c r="Q389" i="20"/>
  <c r="Q391" i="20"/>
  <c r="AN396" i="20"/>
  <c r="AO396" i="20" s="1"/>
  <c r="K408" i="20"/>
  <c r="AA416" i="20"/>
  <c r="N327" i="20"/>
  <c r="P332" i="20"/>
  <c r="N338" i="20"/>
  <c r="S340" i="20"/>
  <c r="AA340" i="20"/>
  <c r="BD340" i="20"/>
  <c r="BE340" i="20" s="1"/>
  <c r="S359" i="20"/>
  <c r="S361" i="20"/>
  <c r="S364" i="20"/>
  <c r="BD384" i="20"/>
  <c r="BE384" i="20" s="1"/>
  <c r="M384" i="20"/>
  <c r="AF384" i="20"/>
  <c r="AG384" i="20" s="1"/>
  <c r="AB384" i="20"/>
  <c r="AC384" i="20" s="1"/>
  <c r="S384" i="20"/>
  <c r="K384" i="20"/>
  <c r="L385" i="20"/>
  <c r="K386" i="20"/>
  <c r="K387" i="20"/>
  <c r="R389" i="20"/>
  <c r="L403" i="20"/>
  <c r="M408" i="20"/>
  <c r="AJ416" i="20"/>
  <c r="AK416" i="20" s="1"/>
  <c r="K430" i="20"/>
  <c r="AR453" i="20"/>
  <c r="AS453" i="20" s="1"/>
  <c r="AN458" i="20"/>
  <c r="AO458" i="20" s="1"/>
  <c r="S462" i="20"/>
  <c r="Q332" i="20"/>
  <c r="P338" i="20"/>
  <c r="J340" i="20"/>
  <c r="S383" i="20"/>
  <c r="AZ383" i="20"/>
  <c r="BA383" i="20" s="1"/>
  <c r="J383" i="20"/>
  <c r="AV383" i="20"/>
  <c r="AW383" i="20" s="1"/>
  <c r="AF383" i="20"/>
  <c r="AG383" i="20" s="1"/>
  <c r="M383" i="20"/>
  <c r="N387" i="20"/>
  <c r="S389" i="20"/>
  <c r="AA394" i="20"/>
  <c r="AR396" i="20"/>
  <c r="AS396" i="20" s="1"/>
  <c r="M403" i="20"/>
  <c r="P408" i="20"/>
  <c r="N412" i="20"/>
  <c r="AA412" i="20"/>
  <c r="R412" i="20"/>
  <c r="P412" i="20"/>
  <c r="O412" i="20"/>
  <c r="M412" i="20"/>
  <c r="J412" i="20"/>
  <c r="AV412" i="20"/>
  <c r="AW412" i="20" s="1"/>
  <c r="AR412" i="20"/>
  <c r="AS412" i="20" s="1"/>
  <c r="AN412" i="20"/>
  <c r="AO412" i="20" s="1"/>
  <c r="BD416" i="20"/>
  <c r="BE416" i="20" s="1"/>
  <c r="N424" i="20"/>
  <c r="M424" i="20"/>
  <c r="AA424" i="20"/>
  <c r="R424" i="20"/>
  <c r="O424" i="20"/>
  <c r="L424" i="20"/>
  <c r="K424" i="20"/>
  <c r="J424" i="20"/>
  <c r="AZ424" i="20"/>
  <c r="BA424" i="20" s="1"/>
  <c r="AB424" i="20"/>
  <c r="AC424" i="20" s="1"/>
  <c r="S424" i="20"/>
  <c r="Q424" i="20"/>
  <c r="BD424" i="20"/>
  <c r="BE424" i="20" s="1"/>
  <c r="AV424" i="20"/>
  <c r="AW424" i="20" s="1"/>
  <c r="BD458" i="20"/>
  <c r="BE458" i="20" s="1"/>
  <c r="J471" i="20"/>
  <c r="AR471" i="20"/>
  <c r="AS471" i="20" s="1"/>
  <c r="AN471" i="20"/>
  <c r="AO471" i="20" s="1"/>
  <c r="AF471" i="20"/>
  <c r="AG471" i="20" s="1"/>
  <c r="AB471" i="20"/>
  <c r="AC471" i="20" s="1"/>
  <c r="S471" i="20"/>
  <c r="BD471" i="20"/>
  <c r="BE471" i="20" s="1"/>
  <c r="AZ471" i="20"/>
  <c r="BA471" i="20" s="1"/>
  <c r="AV471" i="20"/>
  <c r="AW471" i="20" s="1"/>
  <c r="M471" i="20"/>
  <c r="L471" i="20"/>
  <c r="AA471" i="20"/>
  <c r="R471" i="20"/>
  <c r="Q471" i="20"/>
  <c r="P471" i="20"/>
  <c r="O471" i="20"/>
  <c r="N471" i="20"/>
  <c r="AA481" i="20"/>
  <c r="R481" i="20"/>
  <c r="AR481" i="20"/>
  <c r="AS481" i="20" s="1"/>
  <c r="O481" i="20"/>
  <c r="L481" i="20"/>
  <c r="K481" i="20"/>
  <c r="AJ481" i="20"/>
  <c r="AK481" i="20" s="1"/>
  <c r="AB481" i="20"/>
  <c r="AC481" i="20" s="1"/>
  <c r="S481" i="20"/>
  <c r="AN481" i="20"/>
  <c r="AO481" i="20" s="1"/>
  <c r="AF481" i="20"/>
  <c r="AG481" i="20" s="1"/>
  <c r="AJ471" i="20"/>
  <c r="AK471" i="20" s="1"/>
  <c r="AR526" i="20"/>
  <c r="AS526" i="20" s="1"/>
  <c r="L526" i="20"/>
  <c r="AB526" i="20"/>
  <c r="AC526" i="20" s="1"/>
  <c r="AA526" i="20"/>
  <c r="S526" i="20"/>
  <c r="R526" i="20"/>
  <c r="Q526" i="20"/>
  <c r="P526" i="20"/>
  <c r="O526" i="20"/>
  <c r="N526" i="20"/>
  <c r="M526" i="20"/>
  <c r="K526" i="20"/>
  <c r="BD526" i="20"/>
  <c r="BE526" i="20" s="1"/>
  <c r="AJ526" i="20"/>
  <c r="AK526" i="20" s="1"/>
  <c r="AF526" i="20"/>
  <c r="AG526" i="20" s="1"/>
  <c r="AZ526" i="20"/>
  <c r="BA526" i="20" s="1"/>
  <c r="AV526" i="20"/>
  <c r="AW526" i="20" s="1"/>
  <c r="AN526" i="20"/>
  <c r="AO526" i="20" s="1"/>
  <c r="S399" i="20"/>
  <c r="AR399" i="20"/>
  <c r="AS399" i="20" s="1"/>
  <c r="AN399" i="20"/>
  <c r="AO399" i="20" s="1"/>
  <c r="AZ481" i="20"/>
  <c r="BA481" i="20" s="1"/>
  <c r="R439" i="20"/>
  <c r="Q439" i="20"/>
  <c r="N439" i="20"/>
  <c r="M439" i="20"/>
  <c r="S439" i="20"/>
  <c r="P439" i="20"/>
  <c r="O439" i="20"/>
  <c r="L439" i="20"/>
  <c r="K439" i="20"/>
  <c r="AR439" i="20"/>
  <c r="AS439" i="20" s="1"/>
  <c r="AA501" i="20"/>
  <c r="AV501" i="20"/>
  <c r="AW501" i="20" s="1"/>
  <c r="AN501" i="20"/>
  <c r="AO501" i="20" s="1"/>
  <c r="L501" i="20"/>
  <c r="J501" i="20"/>
  <c r="BD501" i="20"/>
  <c r="BE501" i="20" s="1"/>
  <c r="P501" i="20"/>
  <c r="M501" i="20"/>
  <c r="K501" i="20"/>
  <c r="S501" i="20"/>
  <c r="R501" i="20"/>
  <c r="AZ501" i="20"/>
  <c r="BA501" i="20" s="1"/>
  <c r="AR501" i="20"/>
  <c r="AS501" i="20" s="1"/>
  <c r="AJ501" i="20"/>
  <c r="AK501" i="20" s="1"/>
  <c r="Q501" i="20"/>
  <c r="O501" i="20"/>
  <c r="N501" i="20"/>
  <c r="AF344" i="20"/>
  <c r="AG344" i="20" s="1"/>
  <c r="AB344" i="20"/>
  <c r="AC344" i="20" s="1"/>
  <c r="BD363" i="20"/>
  <c r="BE363" i="20" s="1"/>
  <c r="AF390" i="20"/>
  <c r="AG390" i="20" s="1"/>
  <c r="AB390" i="20"/>
  <c r="AC390" i="20" s="1"/>
  <c r="P399" i="20"/>
  <c r="Q399" i="20"/>
  <c r="S423" i="20"/>
  <c r="AA423" i="20"/>
  <c r="P423" i="20"/>
  <c r="O423" i="20"/>
  <c r="N423" i="20"/>
  <c r="M423" i="20"/>
  <c r="BD423" i="20"/>
  <c r="BE423" i="20" s="1"/>
  <c r="J423" i="20"/>
  <c r="AA485" i="20"/>
  <c r="R485" i="20"/>
  <c r="P485" i="20"/>
  <c r="O485" i="20"/>
  <c r="AV485" i="20"/>
  <c r="AW485" i="20" s="1"/>
  <c r="S485" i="20"/>
  <c r="M485" i="20"/>
  <c r="L485" i="20"/>
  <c r="K485" i="20"/>
  <c r="BD485" i="20"/>
  <c r="BE485" i="20" s="1"/>
  <c r="Q485" i="20"/>
  <c r="AN485" i="20"/>
  <c r="AO485" i="20" s="1"/>
  <c r="AJ485" i="20"/>
  <c r="AK485" i="20" s="1"/>
  <c r="AF485" i="20"/>
  <c r="AG485" i="20" s="1"/>
  <c r="AB485" i="20"/>
  <c r="AC485" i="20" s="1"/>
  <c r="O419" i="20"/>
  <c r="R419" i="20"/>
  <c r="M419" i="20"/>
  <c r="AN419" i="20"/>
  <c r="AO419" i="20" s="1"/>
  <c r="AJ419" i="20"/>
  <c r="AK419" i="20" s="1"/>
  <c r="AB419" i="20"/>
  <c r="AC419" i="20" s="1"/>
  <c r="AA439" i="20"/>
  <c r="AB501" i="20"/>
  <c r="AC501" i="20" s="1"/>
  <c r="AB439" i="20"/>
  <c r="AC439" i="20" s="1"/>
  <c r="N485" i="20"/>
  <c r="N515" i="20"/>
  <c r="AZ515" i="20"/>
  <c r="BA515" i="20" s="1"/>
  <c r="AV515" i="20"/>
  <c r="AW515" i="20" s="1"/>
  <c r="M515" i="20"/>
  <c r="L515" i="20"/>
  <c r="K515" i="20"/>
  <c r="J515" i="20"/>
  <c r="AJ515" i="20"/>
  <c r="AK515" i="20" s="1"/>
  <c r="BD515" i="20"/>
  <c r="BE515" i="20" s="1"/>
  <c r="AR515" i="20"/>
  <c r="AS515" i="20" s="1"/>
  <c r="AN515" i="20"/>
  <c r="AO515" i="20" s="1"/>
  <c r="AF515" i="20"/>
  <c r="AG515" i="20" s="1"/>
  <c r="AB515" i="20"/>
  <c r="AC515" i="20" s="1"/>
  <c r="AA515" i="20"/>
  <c r="S515" i="20"/>
  <c r="R515" i="20"/>
  <c r="Q515" i="20"/>
  <c r="M344" i="20"/>
  <c r="AZ354" i="20"/>
  <c r="BA354" i="20" s="1"/>
  <c r="M363" i="20"/>
  <c r="BD376" i="20"/>
  <c r="BE376" i="20" s="1"/>
  <c r="M376" i="20"/>
  <c r="R376" i="20"/>
  <c r="O376" i="20"/>
  <c r="M390" i="20"/>
  <c r="AA418" i="20"/>
  <c r="R418" i="20"/>
  <c r="AR418" i="20"/>
  <c r="AS418" i="20" s="1"/>
  <c r="AN418" i="20"/>
  <c r="AO418" i="20" s="1"/>
  <c r="AF418" i="20"/>
  <c r="AG418" i="20" s="1"/>
  <c r="K419" i="20"/>
  <c r="AR422" i="20"/>
  <c r="AS422" i="20" s="1"/>
  <c r="AJ422" i="20"/>
  <c r="AK422" i="20" s="1"/>
  <c r="R422" i="20"/>
  <c r="Q422" i="20"/>
  <c r="P422" i="20"/>
  <c r="O422" i="20"/>
  <c r="L422" i="20"/>
  <c r="Q423" i="20"/>
  <c r="AV433" i="20"/>
  <c r="AW433" i="20" s="1"/>
  <c r="Q433" i="20"/>
  <c r="BD433" i="20"/>
  <c r="BE433" i="20" s="1"/>
  <c r="J433" i="20"/>
  <c r="AR433" i="20"/>
  <c r="AS433" i="20" s="1"/>
  <c r="AA433" i="20"/>
  <c r="S433" i="20"/>
  <c r="R433" i="20"/>
  <c r="P433" i="20"/>
  <c r="O433" i="20"/>
  <c r="J483" i="20"/>
  <c r="AV483" i="20"/>
  <c r="AW483" i="20" s="1"/>
  <c r="AB483" i="20"/>
  <c r="AC483" i="20" s="1"/>
  <c r="Q483" i="20"/>
  <c r="N483" i="20"/>
  <c r="M483" i="20"/>
  <c r="AZ483" i="20"/>
  <c r="BA483" i="20" s="1"/>
  <c r="AN483" i="20"/>
  <c r="AO483" i="20" s="1"/>
  <c r="BD483" i="20"/>
  <c r="BE483" i="20" s="1"/>
  <c r="AR483" i="20"/>
  <c r="AS483" i="20" s="1"/>
  <c r="AJ483" i="20"/>
  <c r="AK483" i="20" s="1"/>
  <c r="S483" i="20"/>
  <c r="R483" i="20"/>
  <c r="P483" i="20"/>
  <c r="O483" i="20"/>
  <c r="AF501" i="20"/>
  <c r="AG501" i="20" s="1"/>
  <c r="O515" i="20"/>
  <c r="AA438" i="20"/>
  <c r="Q438" i="20"/>
  <c r="P438" i="20"/>
  <c r="S438" i="20"/>
  <c r="R438" i="20"/>
  <c r="O438" i="20"/>
  <c r="N438" i="20"/>
  <c r="M438" i="20"/>
  <c r="L438" i="20"/>
  <c r="AZ438" i="20"/>
  <c r="BA438" i="20" s="1"/>
  <c r="AR438" i="20"/>
  <c r="AS438" i="20" s="1"/>
  <c r="AF439" i="20"/>
  <c r="AG439" i="20" s="1"/>
  <c r="AA457" i="20"/>
  <c r="R457" i="20"/>
  <c r="O457" i="20"/>
  <c r="L457" i="20"/>
  <c r="K457" i="20"/>
  <c r="AB457" i="20"/>
  <c r="AC457" i="20" s="1"/>
  <c r="O496" i="20"/>
  <c r="M496" i="20"/>
  <c r="L496" i="20"/>
  <c r="AV496" i="20"/>
  <c r="AW496" i="20" s="1"/>
  <c r="AN496" i="20"/>
  <c r="AO496" i="20" s="1"/>
  <c r="AR496" i="20"/>
  <c r="AS496" i="20" s="1"/>
  <c r="AB496" i="20"/>
  <c r="AC496" i="20" s="1"/>
  <c r="AA496" i="20"/>
  <c r="S496" i="20"/>
  <c r="AZ496" i="20"/>
  <c r="BA496" i="20" s="1"/>
  <c r="P492" i="20"/>
  <c r="Q492" i="20"/>
  <c r="N492" i="20"/>
  <c r="AA492" i="20"/>
  <c r="AZ492" i="20"/>
  <c r="BA492" i="20" s="1"/>
  <c r="AN492" i="20"/>
  <c r="AO492" i="20" s="1"/>
  <c r="AF492" i="20"/>
  <c r="AG492" i="20" s="1"/>
  <c r="AB492" i="20"/>
  <c r="AC492" i="20" s="1"/>
  <c r="K492" i="20"/>
  <c r="J492" i="20"/>
  <c r="N529" i="20"/>
  <c r="P529" i="20"/>
  <c r="Q529" i="20"/>
  <c r="M529" i="20"/>
  <c r="L529" i="20"/>
  <c r="K529" i="20"/>
  <c r="AF529" i="20"/>
  <c r="AG529" i="20" s="1"/>
  <c r="AB529" i="20"/>
  <c r="AC529" i="20" s="1"/>
  <c r="AA529" i="20"/>
  <c r="AV529" i="20"/>
  <c r="AW529" i="20" s="1"/>
  <c r="BD529" i="20"/>
  <c r="BE529" i="20" s="1"/>
  <c r="AZ529" i="20"/>
  <c r="BA529" i="20" s="1"/>
  <c r="S529" i="20"/>
  <c r="M434" i="20"/>
  <c r="AR434" i="20"/>
  <c r="AS434" i="20" s="1"/>
  <c r="AN456" i="20"/>
  <c r="AO456" i="20" s="1"/>
  <c r="AA456" i="20"/>
  <c r="Q456" i="20"/>
  <c r="N456" i="20"/>
  <c r="M456" i="20"/>
  <c r="AB456" i="20"/>
  <c r="AC456" i="20" s="1"/>
  <c r="N457" i="20"/>
  <c r="L492" i="20"/>
  <c r="J529" i="20"/>
  <c r="P482" i="20"/>
  <c r="M482" i="20"/>
  <c r="AJ482" i="20"/>
  <c r="AK482" i="20" s="1"/>
  <c r="AZ482" i="20"/>
  <c r="BA482" i="20" s="1"/>
  <c r="Q482" i="20"/>
  <c r="L482" i="20"/>
  <c r="K482" i="20"/>
  <c r="AV482" i="20"/>
  <c r="AW482" i="20" s="1"/>
  <c r="AN482" i="20"/>
  <c r="AO482" i="20" s="1"/>
  <c r="AB482" i="20"/>
  <c r="AC482" i="20" s="1"/>
  <c r="BD482" i="20"/>
  <c r="BE482" i="20" s="1"/>
  <c r="R413" i="20"/>
  <c r="N413" i="20"/>
  <c r="P434" i="20"/>
  <c r="J442" i="20"/>
  <c r="AN442" i="20"/>
  <c r="AO442" i="20" s="1"/>
  <c r="AJ442" i="20"/>
  <c r="AK442" i="20" s="1"/>
  <c r="R443" i="20"/>
  <c r="AN443" i="20"/>
  <c r="AO443" i="20" s="1"/>
  <c r="AF443" i="20"/>
  <c r="AG443" i="20" s="1"/>
  <c r="AB443" i="20"/>
  <c r="AC443" i="20" s="1"/>
  <c r="R456" i="20"/>
  <c r="AF457" i="20"/>
  <c r="AG457" i="20" s="1"/>
  <c r="J482" i="20"/>
  <c r="AF496" i="20"/>
  <c r="AG496" i="20" s="1"/>
  <c r="AZ511" i="20"/>
  <c r="BA511" i="20" s="1"/>
  <c r="J511" i="20"/>
  <c r="AA511" i="20"/>
  <c r="S511" i="20"/>
  <c r="Q511" i="20"/>
  <c r="N511" i="20"/>
  <c r="L511" i="20"/>
  <c r="K511" i="20"/>
  <c r="AV511" i="20"/>
  <c r="AW511" i="20" s="1"/>
  <c r="BD511" i="20"/>
  <c r="BE511" i="20" s="1"/>
  <c r="K444" i="20"/>
  <c r="AA444" i="20"/>
  <c r="BD444" i="20"/>
  <c r="BE444" i="20" s="1"/>
  <c r="O451" i="20"/>
  <c r="AA451" i="20"/>
  <c r="X451" i="20"/>
  <c r="AV451" i="20"/>
  <c r="AW451" i="20" s="1"/>
  <c r="AN451" i="20"/>
  <c r="AO451" i="20" s="1"/>
  <c r="L451" i="20"/>
  <c r="K451" i="20"/>
  <c r="S456" i="20"/>
  <c r="AJ457" i="20"/>
  <c r="AK457" i="20" s="1"/>
  <c r="N482" i="20"/>
  <c r="AA509" i="20"/>
  <c r="AJ509" i="20"/>
  <c r="AK509" i="20" s="1"/>
  <c r="AF509" i="20"/>
  <c r="AG509" i="20" s="1"/>
  <c r="R509" i="20"/>
  <c r="P509" i="20"/>
  <c r="O509" i="20"/>
  <c r="AB509" i="20"/>
  <c r="AC509" i="20" s="1"/>
  <c r="S509" i="20"/>
  <c r="Q509" i="20"/>
  <c r="M509" i="20"/>
  <c r="L509" i="20"/>
  <c r="AV509" i="20"/>
  <c r="AW509" i="20" s="1"/>
  <c r="AR509" i="20"/>
  <c r="AS509" i="20" s="1"/>
  <c r="AN529" i="20"/>
  <c r="AO529" i="20" s="1"/>
  <c r="N545" i="20"/>
  <c r="R545" i="20"/>
  <c r="Q545" i="20"/>
  <c r="P545" i="20"/>
  <c r="O545" i="20"/>
  <c r="M545" i="20"/>
  <c r="BD545" i="20"/>
  <c r="BE545" i="20" s="1"/>
  <c r="AA545" i="20"/>
  <c r="S545" i="20"/>
  <c r="L545" i="20"/>
  <c r="AN545" i="20"/>
  <c r="AO545" i="20" s="1"/>
  <c r="AJ545" i="20"/>
  <c r="AK545" i="20" s="1"/>
  <c r="AF545" i="20"/>
  <c r="AG545" i="20" s="1"/>
  <c r="AV545" i="20"/>
  <c r="AW545" i="20" s="1"/>
  <c r="AR545" i="20"/>
  <c r="AS545" i="20" s="1"/>
  <c r="AB545" i="20"/>
  <c r="AC545" i="20" s="1"/>
  <c r="J444" i="20"/>
  <c r="AN457" i="20"/>
  <c r="AO457" i="20" s="1"/>
  <c r="J463" i="20"/>
  <c r="S463" i="20"/>
  <c r="L463" i="20"/>
  <c r="AZ463" i="20"/>
  <c r="BA463" i="20" s="1"/>
  <c r="AR463" i="20"/>
  <c r="AS463" i="20" s="1"/>
  <c r="O463" i="20"/>
  <c r="N463" i="20"/>
  <c r="O482" i="20"/>
  <c r="AJ492" i="20"/>
  <c r="AK492" i="20" s="1"/>
  <c r="J509" i="20"/>
  <c r="J545" i="20"/>
  <c r="L413" i="20"/>
  <c r="S434" i="20"/>
  <c r="M442" i="20"/>
  <c r="L443" i="20"/>
  <c r="L444" i="20"/>
  <c r="AJ445" i="20"/>
  <c r="AK445" i="20" s="1"/>
  <c r="Q445" i="20"/>
  <c r="AB445" i="20"/>
  <c r="AC445" i="20" s="1"/>
  <c r="P445" i="20"/>
  <c r="X445" i="20"/>
  <c r="S445" i="20"/>
  <c r="R445" i="20"/>
  <c r="AZ446" i="20"/>
  <c r="BA446" i="20" s="1"/>
  <c r="K446" i="20"/>
  <c r="S446" i="20"/>
  <c r="M446" i="20"/>
  <c r="P446" i="20"/>
  <c r="O446" i="20"/>
  <c r="M451" i="20"/>
  <c r="K463" i="20"/>
  <c r="AA469" i="20"/>
  <c r="P469" i="20"/>
  <c r="N469" i="20"/>
  <c r="AV469" i="20"/>
  <c r="AW469" i="20" s="1"/>
  <c r="AN469" i="20"/>
  <c r="AO469" i="20" s="1"/>
  <c r="AF469" i="20"/>
  <c r="AG469" i="20" s="1"/>
  <c r="BD469" i="20"/>
  <c r="BE469" i="20" s="1"/>
  <c r="AZ469" i="20"/>
  <c r="BA469" i="20" s="1"/>
  <c r="M469" i="20"/>
  <c r="L469" i="20"/>
  <c r="R482" i="20"/>
  <c r="J495" i="20"/>
  <c r="AR495" i="20"/>
  <c r="AS495" i="20" s="1"/>
  <c r="AN495" i="20"/>
  <c r="AO495" i="20" s="1"/>
  <c r="Q495" i="20"/>
  <c r="O495" i="20"/>
  <c r="N495" i="20"/>
  <c r="AF495" i="20"/>
  <c r="AG495" i="20" s="1"/>
  <c r="R495" i="20"/>
  <c r="P495" i="20"/>
  <c r="L495" i="20"/>
  <c r="K495" i="20"/>
  <c r="AJ495" i="20"/>
  <c r="AK495" i="20" s="1"/>
  <c r="AB495" i="20"/>
  <c r="AC495" i="20" s="1"/>
  <c r="BD496" i="20"/>
  <c r="BE496" i="20" s="1"/>
  <c r="K509" i="20"/>
  <c r="P511" i="20"/>
  <c r="AR529" i="20"/>
  <c r="AS529" i="20" s="1"/>
  <c r="K545" i="20"/>
  <c r="O560" i="20"/>
  <c r="N560" i="20"/>
  <c r="BD560" i="20"/>
  <c r="BE560" i="20" s="1"/>
  <c r="M560" i="20"/>
  <c r="J560" i="20"/>
  <c r="L560" i="20"/>
  <c r="AR560" i="20"/>
  <c r="AS560" i="20" s="1"/>
  <c r="AN560" i="20"/>
  <c r="AO560" i="20" s="1"/>
  <c r="AB560" i="20"/>
  <c r="AC560" i="20" s="1"/>
  <c r="AA560" i="20"/>
  <c r="AV560" i="20"/>
  <c r="AW560" i="20" s="1"/>
  <c r="AJ560" i="20"/>
  <c r="AK560" i="20" s="1"/>
  <c r="AF560" i="20"/>
  <c r="AG560" i="20" s="1"/>
  <c r="S560" i="20"/>
  <c r="AZ560" i="20"/>
  <c r="BA560" i="20" s="1"/>
  <c r="R560" i="20"/>
  <c r="Q560" i="20"/>
  <c r="M405" i="20"/>
  <c r="AF405" i="20"/>
  <c r="AG405" i="20" s="1"/>
  <c r="M413" i="20"/>
  <c r="N442" i="20"/>
  <c r="M443" i="20"/>
  <c r="M444" i="20"/>
  <c r="J445" i="20"/>
  <c r="J446" i="20"/>
  <c r="N450" i="20"/>
  <c r="AJ450" i="20"/>
  <c r="AK450" i="20" s="1"/>
  <c r="AF450" i="20"/>
  <c r="AG450" i="20" s="1"/>
  <c r="AZ450" i="20"/>
  <c r="BA450" i="20" s="1"/>
  <c r="AR450" i="20"/>
  <c r="AS450" i="20" s="1"/>
  <c r="O450" i="20"/>
  <c r="M450" i="20"/>
  <c r="N451" i="20"/>
  <c r="AF456" i="20"/>
  <c r="AG456" i="20" s="1"/>
  <c r="AR457" i="20"/>
  <c r="AS457" i="20" s="1"/>
  <c r="M463" i="20"/>
  <c r="J469" i="20"/>
  <c r="S482" i="20"/>
  <c r="AR492" i="20"/>
  <c r="AS492" i="20" s="1"/>
  <c r="M495" i="20"/>
  <c r="P502" i="20"/>
  <c r="Q502" i="20"/>
  <c r="AR502" i="20"/>
  <c r="AS502" i="20" s="1"/>
  <c r="AN502" i="20"/>
  <c r="AO502" i="20" s="1"/>
  <c r="AJ502" i="20"/>
  <c r="AK502" i="20" s="1"/>
  <c r="L502" i="20"/>
  <c r="K502" i="20"/>
  <c r="AA502" i="20"/>
  <c r="S502" i="20"/>
  <c r="R502" i="20"/>
  <c r="N502" i="20"/>
  <c r="M502" i="20"/>
  <c r="AF502" i="20"/>
  <c r="AG502" i="20" s="1"/>
  <c r="N509" i="20"/>
  <c r="R511" i="20"/>
  <c r="K560" i="20"/>
  <c r="BD368" i="20"/>
  <c r="BE368" i="20" s="1"/>
  <c r="M368" i="20"/>
  <c r="K398" i="20"/>
  <c r="J405" i="20"/>
  <c r="BD405" i="20"/>
  <c r="BE405" i="20" s="1"/>
  <c r="O413" i="20"/>
  <c r="O442" i="20"/>
  <c r="N443" i="20"/>
  <c r="N444" i="20"/>
  <c r="K445" i="20"/>
  <c r="L446" i="20"/>
  <c r="P451" i="20"/>
  <c r="P463" i="20"/>
  <c r="J487" i="20"/>
  <c r="P487" i="20"/>
  <c r="N487" i="20"/>
  <c r="K487" i="20"/>
  <c r="AZ487" i="20"/>
  <c r="BA487" i="20" s="1"/>
  <c r="AA487" i="20"/>
  <c r="S487" i="20"/>
  <c r="R487" i="20"/>
  <c r="AF487" i="20"/>
  <c r="AG487" i="20" s="1"/>
  <c r="O487" i="20"/>
  <c r="M487" i="20"/>
  <c r="AJ487" i="20"/>
  <c r="AK487" i="20" s="1"/>
  <c r="P560" i="20"/>
  <c r="AA434" i="20"/>
  <c r="O444" i="20"/>
  <c r="Q451" i="20"/>
  <c r="AJ456" i="20"/>
  <c r="AK456" i="20" s="1"/>
  <c r="AV457" i="20"/>
  <c r="AW457" i="20" s="1"/>
  <c r="AV492" i="20"/>
  <c r="AW492" i="20" s="1"/>
  <c r="AR452" i="20"/>
  <c r="AS452" i="20" s="1"/>
  <c r="R452" i="20"/>
  <c r="S452" i="20"/>
  <c r="J467" i="20"/>
  <c r="M467" i="20"/>
  <c r="AV467" i="20"/>
  <c r="AW467" i="20" s="1"/>
  <c r="AN467" i="20"/>
  <c r="AO467" i="20" s="1"/>
  <c r="O473" i="20"/>
  <c r="K484" i="20"/>
  <c r="AA505" i="20"/>
  <c r="AJ505" i="20"/>
  <c r="AK505" i="20" s="1"/>
  <c r="P505" i="20"/>
  <c r="N505" i="20"/>
  <c r="AF505" i="20"/>
  <c r="AG505" i="20" s="1"/>
  <c r="AB505" i="20"/>
  <c r="AC505" i="20" s="1"/>
  <c r="R505" i="20"/>
  <c r="Q505" i="20"/>
  <c r="O505" i="20"/>
  <c r="J452" i="20"/>
  <c r="BD452" i="20"/>
  <c r="BE452" i="20" s="1"/>
  <c r="P466" i="20"/>
  <c r="AR466" i="20"/>
  <c r="AS466" i="20" s="1"/>
  <c r="AN466" i="20"/>
  <c r="AO466" i="20" s="1"/>
  <c r="O466" i="20"/>
  <c r="AZ466" i="20"/>
  <c r="BA466" i="20" s="1"/>
  <c r="P473" i="20"/>
  <c r="L484" i="20"/>
  <c r="J491" i="20"/>
  <c r="S491" i="20"/>
  <c r="AB491" i="20"/>
  <c r="AC491" i="20" s="1"/>
  <c r="AZ491" i="20"/>
  <c r="BA491" i="20" s="1"/>
  <c r="AJ491" i="20"/>
  <c r="AK491" i="20" s="1"/>
  <c r="AZ414" i="20"/>
  <c r="BA414" i="20" s="1"/>
  <c r="AZ426" i="20"/>
  <c r="BA426" i="20" s="1"/>
  <c r="N432" i="20"/>
  <c r="AA432" i="20"/>
  <c r="AZ432" i="20"/>
  <c r="BA432" i="20" s="1"/>
  <c r="N440" i="20"/>
  <c r="M440" i="20"/>
  <c r="AZ440" i="20"/>
  <c r="BA440" i="20" s="1"/>
  <c r="AF452" i="20"/>
  <c r="AG452" i="20" s="1"/>
  <c r="AF466" i="20"/>
  <c r="AG466" i="20" s="1"/>
  <c r="P478" i="20"/>
  <c r="AA478" i="20"/>
  <c r="S478" i="20"/>
  <c r="BD478" i="20"/>
  <c r="BE478" i="20" s="1"/>
  <c r="J478" i="20"/>
  <c r="O478" i="20"/>
  <c r="L478" i="20"/>
  <c r="K478" i="20"/>
  <c r="AV484" i="20"/>
  <c r="AW484" i="20" s="1"/>
  <c r="AN491" i="20"/>
  <c r="AO491" i="20" s="1"/>
  <c r="AV505" i="20"/>
  <c r="AW505" i="20" s="1"/>
  <c r="BD508" i="20"/>
  <c r="BE508" i="20" s="1"/>
  <c r="L508" i="20"/>
  <c r="AR508" i="20"/>
  <c r="AS508" i="20" s="1"/>
  <c r="AN508" i="20"/>
  <c r="AO508" i="20" s="1"/>
  <c r="R508" i="20"/>
  <c r="Q508" i="20"/>
  <c r="AF508" i="20"/>
  <c r="AG508" i="20" s="1"/>
  <c r="AA508" i="20"/>
  <c r="AJ452" i="20"/>
  <c r="AK452" i="20" s="1"/>
  <c r="J459" i="20"/>
  <c r="P459" i="20"/>
  <c r="N459" i="20"/>
  <c r="L459" i="20"/>
  <c r="AB459" i="20"/>
  <c r="AC459" i="20" s="1"/>
  <c r="AR467" i="20"/>
  <c r="AS467" i="20" s="1"/>
  <c r="AZ484" i="20"/>
  <c r="BA484" i="20" s="1"/>
  <c r="R528" i="20"/>
  <c r="Q528" i="20"/>
  <c r="P528" i="20"/>
  <c r="AB528" i="20"/>
  <c r="AC528" i="20" s="1"/>
  <c r="AA528" i="20"/>
  <c r="AN528" i="20"/>
  <c r="AO528" i="20" s="1"/>
  <c r="AJ528" i="20"/>
  <c r="AK528" i="20" s="1"/>
  <c r="AV528" i="20"/>
  <c r="AW528" i="20" s="1"/>
  <c r="AR528" i="20"/>
  <c r="AS528" i="20" s="1"/>
  <c r="AF528" i="20"/>
  <c r="AG528" i="20" s="1"/>
  <c r="K528" i="20"/>
  <c r="J528" i="20"/>
  <c r="AZ528" i="20"/>
  <c r="BA528" i="20" s="1"/>
  <c r="AF550" i="20"/>
  <c r="AG550" i="20" s="1"/>
  <c r="M550" i="20"/>
  <c r="L550" i="20"/>
  <c r="S550" i="20"/>
  <c r="R550" i="20"/>
  <c r="Q550" i="20"/>
  <c r="BD550" i="20"/>
  <c r="BE550" i="20" s="1"/>
  <c r="AZ550" i="20"/>
  <c r="BA550" i="20" s="1"/>
  <c r="AV550" i="20"/>
  <c r="AW550" i="20" s="1"/>
  <c r="AJ550" i="20"/>
  <c r="AK550" i="20" s="1"/>
  <c r="AB550" i="20"/>
  <c r="AC550" i="20" s="1"/>
  <c r="AR550" i="20"/>
  <c r="AS550" i="20" s="1"/>
  <c r="AN550" i="20"/>
  <c r="AO550" i="20" s="1"/>
  <c r="K550" i="20"/>
  <c r="J550" i="20"/>
  <c r="S579" i="20"/>
  <c r="P579" i="20"/>
  <c r="R579" i="20"/>
  <c r="O579" i="20"/>
  <c r="AB579" i="20"/>
  <c r="AC579" i="20" s="1"/>
  <c r="AA579" i="20"/>
  <c r="Q579" i="20"/>
  <c r="N579" i="20"/>
  <c r="M579" i="20"/>
  <c r="AJ579" i="20"/>
  <c r="AK579" i="20" s="1"/>
  <c r="AF579" i="20"/>
  <c r="AG579" i="20" s="1"/>
  <c r="BD579" i="20"/>
  <c r="BE579" i="20" s="1"/>
  <c r="AR579" i="20"/>
  <c r="AS579" i="20" s="1"/>
  <c r="AN579" i="20"/>
  <c r="AO579" i="20" s="1"/>
  <c r="AZ579" i="20"/>
  <c r="BA579" i="20" s="1"/>
  <c r="AV579" i="20"/>
  <c r="AW579" i="20" s="1"/>
  <c r="K579" i="20"/>
  <c r="J579" i="20"/>
  <c r="AA473" i="20"/>
  <c r="S473" i="20"/>
  <c r="R473" i="20"/>
  <c r="AF473" i="20"/>
  <c r="AG473" i="20" s="1"/>
  <c r="Q473" i="20"/>
  <c r="P474" i="20"/>
  <c r="Q474" i="20"/>
  <c r="N474" i="20"/>
  <c r="M474" i="20"/>
  <c r="AA474" i="20"/>
  <c r="S474" i="20"/>
  <c r="AN512" i="20"/>
  <c r="AO512" i="20" s="1"/>
  <c r="R512" i="20"/>
  <c r="P512" i="20"/>
  <c r="N512" i="20"/>
  <c r="M512" i="20"/>
  <c r="K512" i="20"/>
  <c r="J512" i="20"/>
  <c r="BD512" i="20"/>
  <c r="BE512" i="20" s="1"/>
  <c r="AZ409" i="20"/>
  <c r="BA409" i="20" s="1"/>
  <c r="M414" i="20"/>
  <c r="AZ415" i="20"/>
  <c r="BA415" i="20" s="1"/>
  <c r="K415" i="20"/>
  <c r="AZ421" i="20"/>
  <c r="BA421" i="20" s="1"/>
  <c r="M426" i="20"/>
  <c r="M432" i="20"/>
  <c r="O440" i="20"/>
  <c r="O459" i="20"/>
  <c r="AA461" i="20"/>
  <c r="AR461" i="20"/>
  <c r="AS461" i="20" s="1"/>
  <c r="AN461" i="20"/>
  <c r="AO461" i="20" s="1"/>
  <c r="AV461" i="20"/>
  <c r="AW461" i="20" s="1"/>
  <c r="O461" i="20"/>
  <c r="AV466" i="20"/>
  <c r="AW466" i="20" s="1"/>
  <c r="J473" i="20"/>
  <c r="J474" i="20"/>
  <c r="AN476" i="20"/>
  <c r="AO476" i="20" s="1"/>
  <c r="N476" i="20"/>
  <c r="Q476" i="20"/>
  <c r="M476" i="20"/>
  <c r="L476" i="20"/>
  <c r="R478" i="20"/>
  <c r="AV491" i="20"/>
  <c r="AW491" i="20" s="1"/>
  <c r="AA493" i="20"/>
  <c r="K493" i="20"/>
  <c r="M493" i="20"/>
  <c r="BD493" i="20"/>
  <c r="BE493" i="20" s="1"/>
  <c r="J493" i="20"/>
  <c r="AB493" i="20"/>
  <c r="AC493" i="20" s="1"/>
  <c r="S493" i="20"/>
  <c r="AZ493" i="20"/>
  <c r="BA493" i="20" s="1"/>
  <c r="AJ493" i="20"/>
  <c r="AK493" i="20" s="1"/>
  <c r="BD505" i="20"/>
  <c r="BE505" i="20" s="1"/>
  <c r="N508" i="20"/>
  <c r="L512" i="20"/>
  <c r="N528" i="20"/>
  <c r="N541" i="20"/>
  <c r="AR541" i="20"/>
  <c r="AS541" i="20" s="1"/>
  <c r="AN541" i="20"/>
  <c r="AO541" i="20" s="1"/>
  <c r="AJ541" i="20"/>
  <c r="AK541" i="20" s="1"/>
  <c r="BD541" i="20"/>
  <c r="BE541" i="20" s="1"/>
  <c r="AZ541" i="20"/>
  <c r="BA541" i="20" s="1"/>
  <c r="AB541" i="20"/>
  <c r="AC541" i="20" s="1"/>
  <c r="AA541" i="20"/>
  <c r="S541" i="20"/>
  <c r="P541" i="20"/>
  <c r="O541" i="20"/>
  <c r="M541" i="20"/>
  <c r="L541" i="20"/>
  <c r="K541" i="20"/>
  <c r="R541" i="20"/>
  <c r="P550" i="20"/>
  <c r="AJ562" i="20"/>
  <c r="AK562" i="20" s="1"/>
  <c r="AF562" i="20"/>
  <c r="AG562" i="20" s="1"/>
  <c r="AA562" i="20"/>
  <c r="K562" i="20"/>
  <c r="AR562" i="20"/>
  <c r="AS562" i="20" s="1"/>
  <c r="AN562" i="20"/>
  <c r="AO562" i="20" s="1"/>
  <c r="AB562" i="20"/>
  <c r="AC562" i="20" s="1"/>
  <c r="BD562" i="20"/>
  <c r="BE562" i="20" s="1"/>
  <c r="R562" i="20"/>
  <c r="Q562" i="20"/>
  <c r="P562" i="20"/>
  <c r="O562" i="20"/>
  <c r="N562" i="20"/>
  <c r="AV562" i="20"/>
  <c r="AW562" i="20" s="1"/>
  <c r="S562" i="20"/>
  <c r="M562" i="20"/>
  <c r="L562" i="20"/>
  <c r="J562" i="20"/>
  <c r="AN484" i="20"/>
  <c r="AO484" i="20" s="1"/>
  <c r="AA484" i="20"/>
  <c r="S484" i="20"/>
  <c r="Q484" i="20"/>
  <c r="N484" i="20"/>
  <c r="M484" i="20"/>
  <c r="S512" i="20"/>
  <c r="S571" i="20"/>
  <c r="P571" i="20"/>
  <c r="AV571" i="20"/>
  <c r="AW571" i="20" s="1"/>
  <c r="AJ571" i="20"/>
  <c r="AK571" i="20" s="1"/>
  <c r="AB571" i="20"/>
  <c r="AC571" i="20" s="1"/>
  <c r="AR571" i="20"/>
  <c r="AS571" i="20" s="1"/>
  <c r="AA571" i="20"/>
  <c r="R571" i="20"/>
  <c r="AZ571" i="20"/>
  <c r="BA571" i="20" s="1"/>
  <c r="AN571" i="20"/>
  <c r="AO571" i="20" s="1"/>
  <c r="AF571" i="20"/>
  <c r="AG571" i="20" s="1"/>
  <c r="BD571" i="20"/>
  <c r="BE571" i="20" s="1"/>
  <c r="Q571" i="20"/>
  <c r="Q524" i="20"/>
  <c r="AN524" i="20"/>
  <c r="AO524" i="20" s="1"/>
  <c r="S524" i="20"/>
  <c r="R524" i="20"/>
  <c r="P524" i="20"/>
  <c r="O524" i="20"/>
  <c r="N533" i="20"/>
  <c r="AN533" i="20"/>
  <c r="AO533" i="20" s="1"/>
  <c r="AJ533" i="20"/>
  <c r="AK533" i="20" s="1"/>
  <c r="AF533" i="20"/>
  <c r="AG533" i="20" s="1"/>
  <c r="AV533" i="20"/>
  <c r="AW533" i="20" s="1"/>
  <c r="AR533" i="20"/>
  <c r="AS533" i="20" s="1"/>
  <c r="S533" i="20"/>
  <c r="R533" i="20"/>
  <c r="AZ535" i="20"/>
  <c r="BA535" i="20" s="1"/>
  <c r="J535" i="20"/>
  <c r="AB535" i="20"/>
  <c r="AC535" i="20" s="1"/>
  <c r="S535" i="20"/>
  <c r="AV535" i="20"/>
  <c r="AW535" i="20" s="1"/>
  <c r="AR535" i="20"/>
  <c r="AS535" i="20" s="1"/>
  <c r="BD535" i="20"/>
  <c r="BE535" i="20" s="1"/>
  <c r="AA523" i="20"/>
  <c r="BD523" i="20"/>
  <c r="BE523" i="20" s="1"/>
  <c r="J523" i="20"/>
  <c r="AZ523" i="20"/>
  <c r="BA523" i="20" s="1"/>
  <c r="AV523" i="20"/>
  <c r="AW523" i="20" s="1"/>
  <c r="Q523" i="20"/>
  <c r="P523" i="20"/>
  <c r="O523" i="20"/>
  <c r="N523" i="20"/>
  <c r="AJ527" i="20"/>
  <c r="AK527" i="20" s="1"/>
  <c r="AB527" i="20"/>
  <c r="AC527" i="20" s="1"/>
  <c r="S527" i="20"/>
  <c r="AA527" i="20"/>
  <c r="AF527" i="20"/>
  <c r="AG527" i="20" s="1"/>
  <c r="AF532" i="20"/>
  <c r="AG532" i="20" s="1"/>
  <c r="BD532" i="20"/>
  <c r="BE532" i="20" s="1"/>
  <c r="L532" i="20"/>
  <c r="AV532" i="20"/>
  <c r="AW532" i="20" s="1"/>
  <c r="AR532" i="20"/>
  <c r="AS532" i="20" s="1"/>
  <c r="AN532" i="20"/>
  <c r="AO532" i="20" s="1"/>
  <c r="AJ532" i="20"/>
  <c r="AK532" i="20" s="1"/>
  <c r="P532" i="20"/>
  <c r="O532" i="20"/>
  <c r="N532" i="20"/>
  <c r="M532" i="20"/>
  <c r="O564" i="20"/>
  <c r="N564" i="20"/>
  <c r="BD564" i="20"/>
  <c r="BE564" i="20" s="1"/>
  <c r="M564" i="20"/>
  <c r="J564" i="20"/>
  <c r="AN564" i="20"/>
  <c r="AO564" i="20" s="1"/>
  <c r="AJ564" i="20"/>
  <c r="AK564" i="20" s="1"/>
  <c r="AZ564" i="20"/>
  <c r="BA564" i="20" s="1"/>
  <c r="AV564" i="20"/>
  <c r="AW564" i="20" s="1"/>
  <c r="AR564" i="20"/>
  <c r="AS564" i="20" s="1"/>
  <c r="AA564" i="20"/>
  <c r="S564" i="20"/>
  <c r="R564" i="20"/>
  <c r="S559" i="20"/>
  <c r="P559" i="20"/>
  <c r="N559" i="20"/>
  <c r="AR559" i="20"/>
  <c r="AS559" i="20" s="1"/>
  <c r="AN559" i="20"/>
  <c r="AO559" i="20" s="1"/>
  <c r="R559" i="20"/>
  <c r="Q559" i="20"/>
  <c r="O559" i="20"/>
  <c r="AB559" i="20"/>
  <c r="AC559" i="20" s="1"/>
  <c r="AA559" i="20"/>
  <c r="M559" i="20"/>
  <c r="AV559" i="20"/>
  <c r="AW559" i="20" s="1"/>
  <c r="AJ559" i="20"/>
  <c r="AK559" i="20" s="1"/>
  <c r="AF559" i="20"/>
  <c r="AG559" i="20" s="1"/>
  <c r="J559" i="20"/>
  <c r="J479" i="20"/>
  <c r="Q479" i="20"/>
  <c r="O479" i="20"/>
  <c r="N479" i="20"/>
  <c r="J503" i="20"/>
  <c r="BD503" i="20"/>
  <c r="BE503" i="20" s="1"/>
  <c r="L503" i="20"/>
  <c r="AA503" i="20"/>
  <c r="AN503" i="20"/>
  <c r="AO503" i="20" s="1"/>
  <c r="AJ503" i="20"/>
  <c r="AK503" i="20" s="1"/>
  <c r="O503" i="20"/>
  <c r="AB523" i="20"/>
  <c r="AC523" i="20" s="1"/>
  <c r="AZ524" i="20"/>
  <c r="BA524" i="20" s="1"/>
  <c r="Q527" i="20"/>
  <c r="AA532" i="20"/>
  <c r="O534" i="20"/>
  <c r="AB534" i="20"/>
  <c r="AC534" i="20" s="1"/>
  <c r="AA534" i="20"/>
  <c r="AZ534" i="20"/>
  <c r="BA534" i="20" s="1"/>
  <c r="AV534" i="20"/>
  <c r="AW534" i="20" s="1"/>
  <c r="AR534" i="20"/>
  <c r="AS534" i="20" s="1"/>
  <c r="AN534" i="20"/>
  <c r="AO534" i="20" s="1"/>
  <c r="AJ534" i="20"/>
  <c r="AK534" i="20" s="1"/>
  <c r="K559" i="20"/>
  <c r="P564" i="20"/>
  <c r="AR441" i="20"/>
  <c r="AS441" i="20" s="1"/>
  <c r="P441" i="20"/>
  <c r="O447" i="20"/>
  <c r="N447" i="20"/>
  <c r="P464" i="20"/>
  <c r="N464" i="20"/>
  <c r="AB464" i="20"/>
  <c r="AC464" i="20" s="1"/>
  <c r="BD464" i="20"/>
  <c r="BE464" i="20" s="1"/>
  <c r="K479" i="20"/>
  <c r="K503" i="20"/>
  <c r="AF523" i="20"/>
  <c r="AG523" i="20" s="1"/>
  <c r="R527" i="20"/>
  <c r="AB532" i="20"/>
  <c r="AC532" i="20" s="1"/>
  <c r="J534" i="20"/>
  <c r="L559" i="20"/>
  <c r="Q564" i="20"/>
  <c r="AJ523" i="20"/>
  <c r="AK523" i="20" s="1"/>
  <c r="BD524" i="20"/>
  <c r="BE524" i="20" s="1"/>
  <c r="AA535" i="20"/>
  <c r="BD552" i="20"/>
  <c r="BE552" i="20" s="1"/>
  <c r="M552" i="20"/>
  <c r="AR552" i="20"/>
  <c r="AS552" i="20" s="1"/>
  <c r="L552" i="20"/>
  <c r="K552" i="20"/>
  <c r="J552" i="20"/>
  <c r="AZ552" i="20"/>
  <c r="BA552" i="20" s="1"/>
  <c r="AV552" i="20"/>
  <c r="AW552" i="20" s="1"/>
  <c r="AN552" i="20"/>
  <c r="AO552" i="20" s="1"/>
  <c r="AB552" i="20"/>
  <c r="AC552" i="20" s="1"/>
  <c r="AA552" i="20"/>
  <c r="AF535" i="20"/>
  <c r="AG535" i="20" s="1"/>
  <c r="N552" i="20"/>
  <c r="P479" i="20"/>
  <c r="P503" i="20"/>
  <c r="AN523" i="20"/>
  <c r="AO523" i="20" s="1"/>
  <c r="AZ532" i="20"/>
  <c r="BA532" i="20" s="1"/>
  <c r="M534" i="20"/>
  <c r="AJ535" i="20"/>
  <c r="AK535" i="20" s="1"/>
  <c r="R543" i="20"/>
  <c r="P543" i="20"/>
  <c r="AA543" i="20"/>
  <c r="BD543" i="20"/>
  <c r="BE543" i="20" s="1"/>
  <c r="AZ543" i="20"/>
  <c r="BA543" i="20" s="1"/>
  <c r="AV543" i="20"/>
  <c r="AW543" i="20" s="1"/>
  <c r="O552" i="20"/>
  <c r="AB564" i="20"/>
  <c r="AC564" i="20" s="1"/>
  <c r="J499" i="20"/>
  <c r="AR499" i="20"/>
  <c r="AS499" i="20" s="1"/>
  <c r="O499" i="20"/>
  <c r="M499" i="20"/>
  <c r="BD499" i="20"/>
  <c r="BE499" i="20" s="1"/>
  <c r="AZ499" i="20"/>
  <c r="BA499" i="20" s="1"/>
  <c r="AV499" i="20"/>
  <c r="AW499" i="20" s="1"/>
  <c r="N525" i="20"/>
  <c r="K525" i="20"/>
  <c r="P525" i="20"/>
  <c r="AN525" i="20"/>
  <c r="AO525" i="20" s="1"/>
  <c r="AJ525" i="20"/>
  <c r="AK525" i="20" s="1"/>
  <c r="AF525" i="20"/>
  <c r="AG525" i="20" s="1"/>
  <c r="S525" i="20"/>
  <c r="R525" i="20"/>
  <c r="Q525" i="20"/>
  <c r="N537" i="20"/>
  <c r="P537" i="20"/>
  <c r="Q537" i="20"/>
  <c r="M537" i="20"/>
  <c r="L537" i="20"/>
  <c r="K537" i="20"/>
  <c r="AV537" i="20"/>
  <c r="AW537" i="20" s="1"/>
  <c r="AR537" i="20"/>
  <c r="AS537" i="20" s="1"/>
  <c r="AN536" i="20"/>
  <c r="AO536" i="20" s="1"/>
  <c r="R536" i="20"/>
  <c r="Q536" i="20"/>
  <c r="P536" i="20"/>
  <c r="AV536" i="20"/>
  <c r="AW536" i="20" s="1"/>
  <c r="AR536" i="20"/>
  <c r="AS536" i="20" s="1"/>
  <c r="BD544" i="20"/>
  <c r="BE544" i="20" s="1"/>
  <c r="M544" i="20"/>
  <c r="L544" i="20"/>
  <c r="S544" i="20"/>
  <c r="R544" i="20"/>
  <c r="Q544" i="20"/>
  <c r="AZ544" i="20"/>
  <c r="BA544" i="20" s="1"/>
  <c r="AV544" i="20"/>
  <c r="AW544" i="20" s="1"/>
  <c r="AR531" i="20"/>
  <c r="AS531" i="20" s="1"/>
  <c r="P531" i="20"/>
  <c r="BD531" i="20"/>
  <c r="BE531" i="20" s="1"/>
  <c r="J531" i="20"/>
  <c r="AZ531" i="20"/>
  <c r="BA531" i="20" s="1"/>
  <c r="AV531" i="20"/>
  <c r="AW531" i="20" s="1"/>
  <c r="AJ531" i="20"/>
  <c r="AK531" i="20" s="1"/>
  <c r="AF531" i="20"/>
  <c r="AG531" i="20" s="1"/>
  <c r="AB531" i="20"/>
  <c r="AC531" i="20" s="1"/>
  <c r="J544" i="20"/>
  <c r="O572" i="20"/>
  <c r="N572" i="20"/>
  <c r="BD572" i="20"/>
  <c r="BE572" i="20" s="1"/>
  <c r="M572" i="20"/>
  <c r="J572" i="20"/>
  <c r="AR572" i="20"/>
  <c r="AS572" i="20" s="1"/>
  <c r="AJ572" i="20"/>
  <c r="AK572" i="20" s="1"/>
  <c r="AA572" i="20"/>
  <c r="AZ572" i="20"/>
  <c r="BA572" i="20" s="1"/>
  <c r="AV572" i="20"/>
  <c r="AW572" i="20" s="1"/>
  <c r="AN572" i="20"/>
  <c r="AO572" i="20" s="1"/>
  <c r="AF554" i="20"/>
  <c r="AG554" i="20" s="1"/>
  <c r="AA554" i="20"/>
  <c r="S554" i="20"/>
  <c r="AZ554" i="20"/>
  <c r="BA554" i="20" s="1"/>
  <c r="BD554" i="20"/>
  <c r="BE554" i="20" s="1"/>
  <c r="AV554" i="20"/>
  <c r="AW554" i="20" s="1"/>
  <c r="O554" i="20"/>
  <c r="N554" i="20"/>
  <c r="M554" i="20"/>
  <c r="L554" i="20"/>
  <c r="K554" i="20"/>
  <c r="K572" i="20"/>
  <c r="AJ597" i="20"/>
  <c r="AK597" i="20" s="1"/>
  <c r="AF597" i="20"/>
  <c r="AG597" i="20" s="1"/>
  <c r="S597" i="20"/>
  <c r="R597" i="20"/>
  <c r="Q597" i="20"/>
  <c r="N597" i="20"/>
  <c r="AN597" i="20"/>
  <c r="AO597" i="20" s="1"/>
  <c r="AA597" i="20"/>
  <c r="P597" i="20"/>
  <c r="O597" i="20"/>
  <c r="M597" i="20"/>
  <c r="L597" i="20"/>
  <c r="K597" i="20"/>
  <c r="BD597" i="20"/>
  <c r="BE597" i="20" s="1"/>
  <c r="AV597" i="20"/>
  <c r="AW597" i="20" s="1"/>
  <c r="AR597" i="20"/>
  <c r="AS597" i="20" s="1"/>
  <c r="AB597" i="20"/>
  <c r="AC597" i="20" s="1"/>
  <c r="O591" i="20"/>
  <c r="N591" i="20"/>
  <c r="BD591" i="20"/>
  <c r="BE591" i="20" s="1"/>
  <c r="M591" i="20"/>
  <c r="L591" i="20"/>
  <c r="AR591" i="20"/>
  <c r="AS591" i="20" s="1"/>
  <c r="AN591" i="20"/>
  <c r="AO591" i="20" s="1"/>
  <c r="R591" i="20"/>
  <c r="Q591" i="20"/>
  <c r="AJ591" i="20"/>
  <c r="AK591" i="20" s="1"/>
  <c r="AF591" i="20"/>
  <c r="AG591" i="20" s="1"/>
  <c r="AB591" i="20"/>
  <c r="AC591" i="20" s="1"/>
  <c r="AA591" i="20"/>
  <c r="S591" i="20"/>
  <c r="P591" i="20"/>
  <c r="AV591" i="20"/>
  <c r="AW591" i="20" s="1"/>
  <c r="K591" i="20"/>
  <c r="J591" i="20"/>
  <c r="O568" i="20"/>
  <c r="N568" i="20"/>
  <c r="BD568" i="20"/>
  <c r="BE568" i="20" s="1"/>
  <c r="M568" i="20"/>
  <c r="J568" i="20"/>
  <c r="K568" i="20"/>
  <c r="AR568" i="20"/>
  <c r="AS568" i="20" s="1"/>
  <c r="AV568" i="20"/>
  <c r="AW568" i="20" s="1"/>
  <c r="AN568" i="20"/>
  <c r="AO568" i="20" s="1"/>
  <c r="S568" i="20"/>
  <c r="R568" i="20"/>
  <c r="Q568" i="20"/>
  <c r="P568" i="20"/>
  <c r="AZ480" i="20"/>
  <c r="BA480" i="20" s="1"/>
  <c r="AA497" i="20"/>
  <c r="P497" i="20"/>
  <c r="AB497" i="20"/>
  <c r="AC497" i="20" s="1"/>
  <c r="S514" i="20"/>
  <c r="J514" i="20"/>
  <c r="K514" i="20"/>
  <c r="AZ514" i="20"/>
  <c r="BA514" i="20" s="1"/>
  <c r="L568" i="20"/>
  <c r="AV455" i="20"/>
  <c r="AW455" i="20" s="1"/>
  <c r="AZ475" i="20"/>
  <c r="BA475" i="20" s="1"/>
  <c r="J480" i="20"/>
  <c r="J497" i="20"/>
  <c r="BD497" i="20"/>
  <c r="BE497" i="20" s="1"/>
  <c r="N513" i="20"/>
  <c r="M513" i="20"/>
  <c r="L513" i="20"/>
  <c r="BD513" i="20"/>
  <c r="BE513" i="20" s="1"/>
  <c r="J513" i="20"/>
  <c r="L514" i="20"/>
  <c r="N521" i="20"/>
  <c r="AR521" i="20"/>
  <c r="AS521" i="20" s="1"/>
  <c r="P521" i="20"/>
  <c r="M521" i="20"/>
  <c r="L521" i="20"/>
  <c r="K521" i="20"/>
  <c r="AF546" i="20"/>
  <c r="AG546" i="20" s="1"/>
  <c r="AV546" i="20"/>
  <c r="AW546" i="20" s="1"/>
  <c r="AR546" i="20"/>
  <c r="AS546" i="20" s="1"/>
  <c r="O546" i="20"/>
  <c r="N546" i="20"/>
  <c r="M546" i="20"/>
  <c r="L546" i="20"/>
  <c r="K546" i="20"/>
  <c r="S563" i="20"/>
  <c r="P563" i="20"/>
  <c r="AB563" i="20"/>
  <c r="AC563" i="20" s="1"/>
  <c r="BD563" i="20"/>
  <c r="BE563" i="20" s="1"/>
  <c r="J563" i="20"/>
  <c r="AN563" i="20"/>
  <c r="AO563" i="20" s="1"/>
  <c r="AV563" i="20"/>
  <c r="AW563" i="20" s="1"/>
  <c r="AR563" i="20"/>
  <c r="AS563" i="20" s="1"/>
  <c r="AJ563" i="20"/>
  <c r="AK563" i="20" s="1"/>
  <c r="N517" i="20"/>
  <c r="AA517" i="20"/>
  <c r="AJ517" i="20"/>
  <c r="AK517" i="20" s="1"/>
  <c r="AF517" i="20"/>
  <c r="AG517" i="20" s="1"/>
  <c r="AB518" i="20"/>
  <c r="AC518" i="20" s="1"/>
  <c r="R518" i="20"/>
  <c r="AF518" i="20"/>
  <c r="AG518" i="20" s="1"/>
  <c r="AA518" i="20"/>
  <c r="AF558" i="20"/>
  <c r="AG558" i="20" s="1"/>
  <c r="AA558" i="20"/>
  <c r="P558" i="20"/>
  <c r="AR558" i="20"/>
  <c r="AS558" i="20" s="1"/>
  <c r="Q558" i="20"/>
  <c r="O558" i="20"/>
  <c r="N558" i="20"/>
  <c r="M558" i="20"/>
  <c r="L558" i="20"/>
  <c r="L480" i="20"/>
  <c r="L497" i="20"/>
  <c r="P498" i="20"/>
  <c r="K498" i="20"/>
  <c r="S498" i="20"/>
  <c r="Q498" i="20"/>
  <c r="N514" i="20"/>
  <c r="J517" i="20"/>
  <c r="J518" i="20"/>
  <c r="R519" i="20"/>
  <c r="N519" i="20"/>
  <c r="AA519" i="20"/>
  <c r="S519" i="20"/>
  <c r="Q519" i="20"/>
  <c r="BD520" i="20"/>
  <c r="BE520" i="20" s="1"/>
  <c r="M520" i="20"/>
  <c r="AZ520" i="20"/>
  <c r="BA520" i="20" s="1"/>
  <c r="J520" i="20"/>
  <c r="S520" i="20"/>
  <c r="Q520" i="20"/>
  <c r="P520" i="20"/>
  <c r="O520" i="20"/>
  <c r="AA568" i="20"/>
  <c r="AJ578" i="20"/>
  <c r="AK578" i="20" s="1"/>
  <c r="AF578" i="20"/>
  <c r="AG578" i="20" s="1"/>
  <c r="AA578" i="20"/>
  <c r="S578" i="20"/>
  <c r="Q578" i="20"/>
  <c r="O578" i="20"/>
  <c r="N578" i="20"/>
  <c r="M578" i="20"/>
  <c r="R578" i="20"/>
  <c r="P578" i="20"/>
  <c r="AV578" i="20"/>
  <c r="AW578" i="20" s="1"/>
  <c r="AR578" i="20"/>
  <c r="AS578" i="20" s="1"/>
  <c r="AN578" i="20"/>
  <c r="AO578" i="20" s="1"/>
  <c r="AZ530" i="20"/>
  <c r="BA530" i="20" s="1"/>
  <c r="S538" i="20"/>
  <c r="L538" i="20"/>
  <c r="S547" i="20"/>
  <c r="AN547" i="20"/>
  <c r="AO547" i="20" s="1"/>
  <c r="BD547" i="20"/>
  <c r="BE547" i="20" s="1"/>
  <c r="AR557" i="20"/>
  <c r="AS557" i="20" s="1"/>
  <c r="BD557" i="20"/>
  <c r="BE557" i="20" s="1"/>
  <c r="J557" i="20"/>
  <c r="R557" i="20"/>
  <c r="AV557" i="20"/>
  <c r="AW557" i="20" s="1"/>
  <c r="AN557" i="20"/>
  <c r="AO557" i="20" s="1"/>
  <c r="S567" i="20"/>
  <c r="P567" i="20"/>
  <c r="N567" i="20"/>
  <c r="AV567" i="20"/>
  <c r="AW567" i="20" s="1"/>
  <c r="AN567" i="20"/>
  <c r="AO567" i="20" s="1"/>
  <c r="J522" i="20"/>
  <c r="BD522" i="20"/>
  <c r="BE522" i="20" s="1"/>
  <c r="J530" i="20"/>
  <c r="BD530" i="20"/>
  <c r="BE530" i="20" s="1"/>
  <c r="J538" i="20"/>
  <c r="BD538" i="20"/>
  <c r="BE538" i="20" s="1"/>
  <c r="J547" i="20"/>
  <c r="K557" i="20"/>
  <c r="J567" i="20"/>
  <c r="AZ500" i="20"/>
  <c r="BA500" i="20" s="1"/>
  <c r="K522" i="20"/>
  <c r="L530" i="20"/>
  <c r="K538" i="20"/>
  <c r="K547" i="20"/>
  <c r="BD548" i="20"/>
  <c r="BE548" i="20" s="1"/>
  <c r="M548" i="20"/>
  <c r="AB548" i="20"/>
  <c r="AC548" i="20" s="1"/>
  <c r="AF548" i="20"/>
  <c r="AG548" i="20" s="1"/>
  <c r="L557" i="20"/>
  <c r="K567" i="20"/>
  <c r="S594" i="20"/>
  <c r="R594" i="20"/>
  <c r="BD594" i="20"/>
  <c r="BE594" i="20" s="1"/>
  <c r="M594" i="20"/>
  <c r="L594" i="20"/>
  <c r="AZ594" i="20"/>
  <c r="BA594" i="20" s="1"/>
  <c r="K594" i="20"/>
  <c r="AB594" i="20"/>
  <c r="AC594" i="20" s="1"/>
  <c r="P594" i="20"/>
  <c r="O594" i="20"/>
  <c r="N594" i="20"/>
  <c r="AJ594" i="20"/>
  <c r="AK594" i="20" s="1"/>
  <c r="AF594" i="20"/>
  <c r="AG594" i="20" s="1"/>
  <c r="AA594" i="20"/>
  <c r="Q594" i="20"/>
  <c r="J594" i="20"/>
  <c r="AN594" i="20"/>
  <c r="AO594" i="20" s="1"/>
  <c r="AV594" i="20"/>
  <c r="AW594" i="20" s="1"/>
  <c r="AR594" i="20"/>
  <c r="AS594" i="20" s="1"/>
  <c r="L547" i="20"/>
  <c r="J548" i="20"/>
  <c r="BD556" i="20"/>
  <c r="BE556" i="20" s="1"/>
  <c r="M556" i="20"/>
  <c r="J556" i="20"/>
  <c r="L556" i="20"/>
  <c r="AR556" i="20"/>
  <c r="AS556" i="20" s="1"/>
  <c r="AN556" i="20"/>
  <c r="AO556" i="20" s="1"/>
  <c r="M557" i="20"/>
  <c r="L567" i="20"/>
  <c r="O580" i="20"/>
  <c r="N580" i="20"/>
  <c r="BD580" i="20"/>
  <c r="BE580" i="20" s="1"/>
  <c r="M580" i="20"/>
  <c r="J580" i="20"/>
  <c r="Q580" i="20"/>
  <c r="L580" i="20"/>
  <c r="AB580" i="20"/>
  <c r="AC580" i="20" s="1"/>
  <c r="AA580" i="20"/>
  <c r="S580" i="20"/>
  <c r="R580" i="20"/>
  <c r="P580" i="20"/>
  <c r="AV580" i="20"/>
  <c r="AW580" i="20" s="1"/>
  <c r="AR580" i="20"/>
  <c r="AS580" i="20" s="1"/>
  <c r="P494" i="20"/>
  <c r="AR494" i="20"/>
  <c r="AS494" i="20" s="1"/>
  <c r="AZ494" i="20"/>
  <c r="BA494" i="20" s="1"/>
  <c r="K500" i="20"/>
  <c r="M522" i="20"/>
  <c r="N530" i="20"/>
  <c r="N538" i="20"/>
  <c r="K539" i="20"/>
  <c r="M547" i="20"/>
  <c r="K548" i="20"/>
  <c r="AR549" i="20"/>
  <c r="AS549" i="20" s="1"/>
  <c r="R549" i="20"/>
  <c r="P549" i="20"/>
  <c r="AA549" i="20"/>
  <c r="BD549" i="20"/>
  <c r="BE549" i="20" s="1"/>
  <c r="S555" i="20"/>
  <c r="P555" i="20"/>
  <c r="O555" i="20"/>
  <c r="AB555" i="20"/>
  <c r="AC555" i="20" s="1"/>
  <c r="AV555" i="20"/>
  <c r="AW555" i="20" s="1"/>
  <c r="K556" i="20"/>
  <c r="N557" i="20"/>
  <c r="AJ566" i="20"/>
  <c r="AK566" i="20" s="1"/>
  <c r="AF566" i="20"/>
  <c r="AG566" i="20" s="1"/>
  <c r="AA566" i="20"/>
  <c r="P566" i="20"/>
  <c r="AZ566" i="20"/>
  <c r="BA566" i="20" s="1"/>
  <c r="AR566" i="20"/>
  <c r="AS566" i="20" s="1"/>
  <c r="AN566" i="20"/>
  <c r="AO566" i="20" s="1"/>
  <c r="M567" i="20"/>
  <c r="AJ574" i="20"/>
  <c r="AK574" i="20" s="1"/>
  <c r="AF574" i="20"/>
  <c r="AG574" i="20" s="1"/>
  <c r="AA574" i="20"/>
  <c r="AB574" i="20"/>
  <c r="AC574" i="20" s="1"/>
  <c r="R574" i="20"/>
  <c r="Q574" i="20"/>
  <c r="K580" i="20"/>
  <c r="AJ585" i="20"/>
  <c r="AK585" i="20" s="1"/>
  <c r="AF585" i="20"/>
  <c r="AG585" i="20" s="1"/>
  <c r="S585" i="20"/>
  <c r="R585" i="20"/>
  <c r="Q585" i="20"/>
  <c r="N585" i="20"/>
  <c r="AN585" i="20"/>
  <c r="AO585" i="20" s="1"/>
  <c r="L585" i="20"/>
  <c r="K585" i="20"/>
  <c r="J585" i="20"/>
  <c r="BD585" i="20"/>
  <c r="BE585" i="20" s="1"/>
  <c r="AV585" i="20"/>
  <c r="AW585" i="20" s="1"/>
  <c r="AR585" i="20"/>
  <c r="AS585" i="20" s="1"/>
  <c r="P585" i="20"/>
  <c r="O585" i="20"/>
  <c r="O576" i="20"/>
  <c r="N576" i="20"/>
  <c r="BD576" i="20"/>
  <c r="BE576" i="20" s="1"/>
  <c r="M576" i="20"/>
  <c r="J576" i="20"/>
  <c r="AB576" i="20"/>
  <c r="AC576" i="20" s="1"/>
  <c r="AA576" i="20"/>
  <c r="R576" i="20"/>
  <c r="Q576" i="20"/>
  <c r="S575" i="20"/>
  <c r="P575" i="20"/>
  <c r="AB575" i="20"/>
  <c r="AC575" i="20" s="1"/>
  <c r="R575" i="20"/>
  <c r="Q575" i="20"/>
  <c r="K576" i="20"/>
  <c r="S582" i="20"/>
  <c r="R582" i="20"/>
  <c r="BD582" i="20"/>
  <c r="BE582" i="20" s="1"/>
  <c r="M582" i="20"/>
  <c r="L582" i="20"/>
  <c r="AZ582" i="20"/>
  <c r="BA582" i="20" s="1"/>
  <c r="K582" i="20"/>
  <c r="AB582" i="20"/>
  <c r="AC582" i="20" s="1"/>
  <c r="AF582" i="20"/>
  <c r="AG582" i="20" s="1"/>
  <c r="AA582" i="20"/>
  <c r="AR582" i="20"/>
  <c r="AS582" i="20" s="1"/>
  <c r="AN582" i="20"/>
  <c r="AO582" i="20" s="1"/>
  <c r="AR553" i="20"/>
  <c r="AS553" i="20" s="1"/>
  <c r="AB553" i="20"/>
  <c r="AC553" i="20" s="1"/>
  <c r="AJ553" i="20"/>
  <c r="AK553" i="20" s="1"/>
  <c r="BD553" i="20"/>
  <c r="BE553" i="20" s="1"/>
  <c r="J575" i="20"/>
  <c r="L576" i="20"/>
  <c r="J582" i="20"/>
  <c r="P576" i="20"/>
  <c r="N582" i="20"/>
  <c r="S586" i="20"/>
  <c r="R586" i="20"/>
  <c r="BD586" i="20"/>
  <c r="BE586" i="20" s="1"/>
  <c r="M586" i="20"/>
  <c r="L586" i="20"/>
  <c r="AZ586" i="20"/>
  <c r="BA586" i="20" s="1"/>
  <c r="K586" i="20"/>
  <c r="AB586" i="20"/>
  <c r="AC586" i="20" s="1"/>
  <c r="AA586" i="20"/>
  <c r="AJ605" i="20"/>
  <c r="AK605" i="20" s="1"/>
  <c r="AF605" i="20"/>
  <c r="AG605" i="20" s="1"/>
  <c r="S605" i="20"/>
  <c r="R605" i="20"/>
  <c r="Q605" i="20"/>
  <c r="N605" i="20"/>
  <c r="AN605" i="20"/>
  <c r="AO605" i="20" s="1"/>
  <c r="BD605" i="20"/>
  <c r="BE605" i="20" s="1"/>
  <c r="AZ605" i="20"/>
  <c r="BA605" i="20" s="1"/>
  <c r="AB605" i="20"/>
  <c r="AC605" i="20" s="1"/>
  <c r="P605" i="20"/>
  <c r="M605" i="20"/>
  <c r="L605" i="20"/>
  <c r="O599" i="20"/>
  <c r="N599" i="20"/>
  <c r="BD599" i="20"/>
  <c r="BE599" i="20" s="1"/>
  <c r="M599" i="20"/>
  <c r="L599" i="20"/>
  <c r="AR599" i="20"/>
  <c r="AS599" i="20" s="1"/>
  <c r="AN599" i="20"/>
  <c r="AO599" i="20" s="1"/>
  <c r="R599" i="20"/>
  <c r="Q599" i="20"/>
  <c r="AA599" i="20"/>
  <c r="J605" i="20"/>
  <c r="K605" i="20"/>
  <c r="R633" i="20"/>
  <c r="Q633" i="20"/>
  <c r="O595" i="20"/>
  <c r="N595" i="20"/>
  <c r="BD595" i="20"/>
  <c r="BE595" i="20" s="1"/>
  <c r="M595" i="20"/>
  <c r="L595" i="20"/>
  <c r="AR595" i="20"/>
  <c r="AS595" i="20" s="1"/>
  <c r="AN595" i="20"/>
  <c r="AO595" i="20" s="1"/>
  <c r="R595" i="20"/>
  <c r="Q595" i="20"/>
  <c r="AB595" i="20"/>
  <c r="AC595" i="20" s="1"/>
  <c r="AA595" i="20"/>
  <c r="AB599" i="20"/>
  <c r="AC599" i="20" s="1"/>
  <c r="AR605" i="20"/>
  <c r="AS605" i="20" s="1"/>
  <c r="AJ601" i="20"/>
  <c r="AK601" i="20" s="1"/>
  <c r="AF601" i="20"/>
  <c r="AG601" i="20" s="1"/>
  <c r="S601" i="20"/>
  <c r="R601" i="20"/>
  <c r="Q601" i="20"/>
  <c r="N601" i="20"/>
  <c r="AN601" i="20"/>
  <c r="AO601" i="20" s="1"/>
  <c r="BD601" i="20"/>
  <c r="BE601" i="20" s="1"/>
  <c r="AR601" i="20"/>
  <c r="AS601" i="20" s="1"/>
  <c r="P601" i="20"/>
  <c r="O601" i="20"/>
  <c r="S606" i="20"/>
  <c r="R606" i="20"/>
  <c r="BD606" i="20"/>
  <c r="BE606" i="20" s="1"/>
  <c r="M606" i="20"/>
  <c r="L606" i="20"/>
  <c r="AZ606" i="20"/>
  <c r="BA606" i="20" s="1"/>
  <c r="K606" i="20"/>
  <c r="AB606" i="20"/>
  <c r="AC606" i="20" s="1"/>
  <c r="AR606" i="20"/>
  <c r="AS606" i="20" s="1"/>
  <c r="AN606" i="20"/>
  <c r="AO606" i="20" s="1"/>
  <c r="AJ606" i="20"/>
  <c r="AK606" i="20" s="1"/>
  <c r="AF606" i="20"/>
  <c r="AG606" i="20" s="1"/>
  <c r="AA606" i="20"/>
  <c r="S595" i="20"/>
  <c r="AJ599" i="20"/>
  <c r="AK599" i="20" s="1"/>
  <c r="J601" i="20"/>
  <c r="J606" i="20"/>
  <c r="S610" i="20"/>
  <c r="R610" i="20"/>
  <c r="O610" i="20"/>
  <c r="BD610" i="20"/>
  <c r="BE610" i="20" s="1"/>
  <c r="M610" i="20"/>
  <c r="L610" i="20"/>
  <c r="AZ610" i="20"/>
  <c r="BA610" i="20" s="1"/>
  <c r="K610" i="20"/>
  <c r="J610" i="20"/>
  <c r="AB610" i="20"/>
  <c r="AC610" i="20" s="1"/>
  <c r="AV610" i="20"/>
  <c r="AW610" i="20" s="1"/>
  <c r="AF610" i="20"/>
  <c r="AG610" i="20" s="1"/>
  <c r="AA610" i="20"/>
  <c r="P610" i="20"/>
  <c r="K601" i="20"/>
  <c r="N606" i="20"/>
  <c r="R624" i="20"/>
  <c r="Q624" i="20"/>
  <c r="AZ599" i="20"/>
  <c r="BA599" i="20" s="1"/>
  <c r="AA601" i="20"/>
  <c r="O603" i="20"/>
  <c r="N603" i="20"/>
  <c r="BD603" i="20"/>
  <c r="BE603" i="20" s="1"/>
  <c r="M603" i="20"/>
  <c r="L603" i="20"/>
  <c r="AR603" i="20"/>
  <c r="AS603" i="20" s="1"/>
  <c r="AN603" i="20"/>
  <c r="AO603" i="20" s="1"/>
  <c r="R603" i="20"/>
  <c r="Q603" i="20"/>
  <c r="S603" i="20"/>
  <c r="P603" i="20"/>
  <c r="AZ603" i="20"/>
  <c r="BA603" i="20" s="1"/>
  <c r="AN610" i="20"/>
  <c r="AO610" i="20" s="1"/>
  <c r="O587" i="20"/>
  <c r="N587" i="20"/>
  <c r="BD587" i="20"/>
  <c r="BE587" i="20" s="1"/>
  <c r="M587" i="20"/>
  <c r="L587" i="20"/>
  <c r="AR587" i="20"/>
  <c r="AS587" i="20" s="1"/>
  <c r="AN587" i="20"/>
  <c r="AO587" i="20" s="1"/>
  <c r="R587" i="20"/>
  <c r="Q587" i="20"/>
  <c r="AJ587" i="20"/>
  <c r="AK587" i="20" s="1"/>
  <c r="AV595" i="20"/>
  <c r="AW595" i="20" s="1"/>
  <c r="AB601" i="20"/>
  <c r="AC601" i="20" s="1"/>
  <c r="J603" i="20"/>
  <c r="AR610" i="20"/>
  <c r="AS610" i="20" s="1"/>
  <c r="K603" i="20"/>
  <c r="S590" i="20"/>
  <c r="R590" i="20"/>
  <c r="BD590" i="20"/>
  <c r="BE590" i="20" s="1"/>
  <c r="M590" i="20"/>
  <c r="L590" i="20"/>
  <c r="AZ590" i="20"/>
  <c r="BA590" i="20" s="1"/>
  <c r="K590" i="20"/>
  <c r="AB590" i="20"/>
  <c r="AC590" i="20" s="1"/>
  <c r="Q590" i="20"/>
  <c r="P590" i="20"/>
  <c r="AJ593" i="20"/>
  <c r="AK593" i="20" s="1"/>
  <c r="AF593" i="20"/>
  <c r="AG593" i="20" s="1"/>
  <c r="S593" i="20"/>
  <c r="R593" i="20"/>
  <c r="Q593" i="20"/>
  <c r="N593" i="20"/>
  <c r="AN593" i="20"/>
  <c r="AO593" i="20" s="1"/>
  <c r="AZ595" i="20"/>
  <c r="BA595" i="20" s="1"/>
  <c r="J590" i="20"/>
  <c r="J593" i="20"/>
  <c r="AV601" i="20"/>
  <c r="AW601" i="20" s="1"/>
  <c r="AV606" i="20"/>
  <c r="AW606" i="20" s="1"/>
  <c r="S551" i="20"/>
  <c r="AV551" i="20"/>
  <c r="AW551" i="20" s="1"/>
  <c r="AZ551" i="20"/>
  <c r="BA551" i="20" s="1"/>
  <c r="N590" i="20"/>
  <c r="K593" i="20"/>
  <c r="O583" i="20"/>
  <c r="N583" i="20"/>
  <c r="BD583" i="20"/>
  <c r="BE583" i="20" s="1"/>
  <c r="M583" i="20"/>
  <c r="L583" i="20"/>
  <c r="AR583" i="20"/>
  <c r="AS583" i="20" s="1"/>
  <c r="AN583" i="20"/>
  <c r="AO583" i="20" s="1"/>
  <c r="R583" i="20"/>
  <c r="Q583" i="20"/>
  <c r="AV583" i="20"/>
  <c r="AW583" i="20" s="1"/>
  <c r="O590" i="20"/>
  <c r="L593" i="20"/>
  <c r="AZ601" i="20"/>
  <c r="BA601" i="20" s="1"/>
  <c r="AB603" i="20"/>
  <c r="AC603" i="20" s="1"/>
  <c r="O607" i="20"/>
  <c r="N607" i="20"/>
  <c r="BD607" i="20"/>
  <c r="BE607" i="20" s="1"/>
  <c r="M607" i="20"/>
  <c r="L607" i="20"/>
  <c r="AR607" i="20"/>
  <c r="AS607" i="20" s="1"/>
  <c r="AN607" i="20"/>
  <c r="AO607" i="20" s="1"/>
  <c r="R607" i="20"/>
  <c r="Q607" i="20"/>
  <c r="S607" i="20"/>
  <c r="P607" i="20"/>
  <c r="K607" i="20"/>
  <c r="J607" i="20"/>
  <c r="AZ607" i="20"/>
  <c r="BA607" i="20" s="1"/>
  <c r="AV607" i="20"/>
  <c r="AW607" i="20" s="1"/>
  <c r="R631" i="20"/>
  <c r="R632" i="20"/>
  <c r="Q632" i="20"/>
  <c r="AJ609" i="20"/>
  <c r="AK609" i="20" s="1"/>
  <c r="AF609" i="20"/>
  <c r="AG609" i="20" s="1"/>
  <c r="S609" i="20"/>
  <c r="R609" i="20"/>
  <c r="Q609" i="20"/>
  <c r="P609" i="20"/>
  <c r="N609" i="20"/>
  <c r="AN609" i="20"/>
  <c r="AO609" i="20" s="1"/>
  <c r="J609" i="20"/>
  <c r="K609" i="20"/>
  <c r="M609" i="20"/>
  <c r="R623" i="20"/>
  <c r="R625" i="20"/>
  <c r="Q625" i="20"/>
  <c r="AA609" i="20"/>
  <c r="AB609" i="20"/>
  <c r="AC609" i="20" s="1"/>
  <c r="AR609" i="20"/>
  <c r="AS609" i="20" s="1"/>
  <c r="R641" i="20"/>
  <c r="Q641" i="20"/>
  <c r="S598" i="20"/>
  <c r="R598" i="20"/>
  <c r="BD598" i="20"/>
  <c r="BE598" i="20" s="1"/>
  <c r="M598" i="20"/>
  <c r="L598" i="20"/>
  <c r="AZ598" i="20"/>
  <c r="BA598" i="20" s="1"/>
  <c r="K598" i="20"/>
  <c r="AB598" i="20"/>
  <c r="AC598" i="20" s="1"/>
  <c r="AV609" i="20"/>
  <c r="AW609" i="20" s="1"/>
  <c r="AJ589" i="20"/>
  <c r="AK589" i="20" s="1"/>
  <c r="AF589" i="20"/>
  <c r="AG589" i="20" s="1"/>
  <c r="S589" i="20"/>
  <c r="R589" i="20"/>
  <c r="Q589" i="20"/>
  <c r="N589" i="20"/>
  <c r="AN589" i="20"/>
  <c r="AO589" i="20" s="1"/>
  <c r="J598" i="20"/>
  <c r="AJ570" i="20"/>
  <c r="AK570" i="20" s="1"/>
  <c r="AF570" i="20"/>
  <c r="AG570" i="20" s="1"/>
  <c r="AA570" i="20"/>
  <c r="BD570" i="20"/>
  <c r="BE570" i="20" s="1"/>
  <c r="J589" i="20"/>
  <c r="N598" i="20"/>
  <c r="S602" i="20"/>
  <c r="R602" i="20"/>
  <c r="BD602" i="20"/>
  <c r="BE602" i="20" s="1"/>
  <c r="M602" i="20"/>
  <c r="L602" i="20"/>
  <c r="AZ602" i="20"/>
  <c r="BA602" i="20" s="1"/>
  <c r="K602" i="20"/>
  <c r="AB602" i="20"/>
  <c r="AC602" i="20" s="1"/>
  <c r="AZ609" i="20"/>
  <c r="BA609" i="20" s="1"/>
  <c r="K584" i="20"/>
  <c r="AZ584" i="20"/>
  <c r="BA584" i="20" s="1"/>
  <c r="K588" i="20"/>
  <c r="AZ588" i="20"/>
  <c r="BA588" i="20" s="1"/>
  <c r="K592" i="20"/>
  <c r="AZ592" i="20"/>
  <c r="BA592" i="20" s="1"/>
  <c r="K596" i="20"/>
  <c r="AZ596" i="20"/>
  <c r="BA596" i="20" s="1"/>
  <c r="K600" i="20"/>
  <c r="AZ600" i="20"/>
  <c r="BA600" i="20" s="1"/>
  <c r="K604" i="20"/>
  <c r="AZ604" i="20"/>
  <c r="BA604" i="20" s="1"/>
  <c r="K608" i="20"/>
  <c r="AZ608" i="20"/>
  <c r="BA608" i="20" s="1"/>
  <c r="Q611" i="20"/>
  <c r="L584" i="20"/>
  <c r="L588" i="20"/>
  <c r="L592" i="20"/>
  <c r="L596" i="20"/>
  <c r="L600" i="20"/>
  <c r="L604" i="20"/>
  <c r="L608" i="20"/>
  <c r="R611" i="20"/>
  <c r="Q647" i="20"/>
  <c r="Q640" i="20"/>
  <c r="AR561" i="20"/>
  <c r="AS561" i="20" s="1"/>
  <c r="AR565" i="20"/>
  <c r="AS565" i="20" s="1"/>
  <c r="AR569" i="20"/>
  <c r="AS569" i="20" s="1"/>
  <c r="AR573" i="20"/>
  <c r="AS573" i="20" s="1"/>
  <c r="AR577" i="20"/>
  <c r="AS577" i="20" s="1"/>
  <c r="AB584" i="20"/>
  <c r="AC584" i="20" s="1"/>
  <c r="AB588" i="20"/>
  <c r="AC588" i="20" s="1"/>
  <c r="AB592" i="20"/>
  <c r="AC592" i="20" s="1"/>
  <c r="AB596" i="20"/>
  <c r="AC596" i="20" s="1"/>
  <c r="AB600" i="20"/>
  <c r="AC600" i="20" s="1"/>
  <c r="AB604" i="20"/>
  <c r="AC604" i="20" s="1"/>
  <c r="AB608" i="20"/>
  <c r="AC608" i="20" s="1"/>
  <c r="AN611" i="20"/>
  <c r="AO611" i="20" s="1"/>
  <c r="AF584" i="20"/>
  <c r="AG584" i="20" s="1"/>
  <c r="AF588" i="20"/>
  <c r="AG588" i="20" s="1"/>
  <c r="AF592" i="20"/>
  <c r="AG592" i="20" s="1"/>
  <c r="AF596" i="20"/>
  <c r="AG596" i="20" s="1"/>
  <c r="AF600" i="20"/>
  <c r="AG600" i="20" s="1"/>
  <c r="AF604" i="20"/>
  <c r="AG604" i="20" s="1"/>
  <c r="AF608" i="20"/>
  <c r="AG608" i="20" s="1"/>
  <c r="AR611" i="20"/>
  <c r="AS611" i="20" s="1"/>
  <c r="AV611" i="20"/>
  <c r="AW611" i="20" s="1"/>
  <c r="L611" i="20"/>
  <c r="AR584" i="20"/>
  <c r="AS584" i="20" s="1"/>
  <c r="AR588" i="20"/>
  <c r="AS588" i="20" s="1"/>
  <c r="AR592" i="20"/>
  <c r="AS592" i="20" s="1"/>
  <c r="AR596" i="20"/>
  <c r="AS596" i="20" s="1"/>
  <c r="AR600" i="20"/>
  <c r="AS600" i="20" s="1"/>
  <c r="AR604" i="20"/>
  <c r="AS604" i="20" s="1"/>
  <c r="AR608" i="20"/>
  <c r="AS608" i="20" s="1"/>
  <c r="M611" i="20"/>
  <c r="BD611" i="20"/>
  <c r="BE611" i="20" s="1"/>
  <c r="Q620" i="20"/>
  <c r="Q628" i="20"/>
  <c r="Q636" i="20"/>
  <c r="Q644" i="20"/>
  <c r="N611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waaaghwang(王旭)</author>
    <author>lotxu(许多)</author>
  </authors>
  <commentList>
    <comment ref="V2" authorId="0" shapeId="0" xr:uid="{00000000-0006-0000-0600-000001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AA2" authorId="1" shapeId="0" xr:uid="{00000000-0006-0000-0600-000002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lotxu(许多):
累计战斗力
也就是累计增加繁荣度
</t>
        </r>
      </text>
    </comment>
  </commentList>
</comments>
</file>

<file path=xl/sharedStrings.xml><?xml version="1.0" encoding="utf-8"?>
<sst xmlns="http://schemas.openxmlformats.org/spreadsheetml/2006/main" count="39735" uniqueCount="2324">
  <si>
    <t>备注</t>
  </si>
  <si>
    <t>建筑等级</t>
  </si>
  <si>
    <t>解锁时代</t>
  </si>
  <si>
    <t>解锁建筑类型</t>
  </si>
  <si>
    <t>解锁等级</t>
  </si>
  <si>
    <t>建造数量</t>
  </si>
  <si>
    <t>索引</t>
  </si>
  <si>
    <t>Buff名称1</t>
  </si>
  <si>
    <t>Buff_Key1</t>
  </si>
  <si>
    <t>Buff_ID1</t>
  </si>
  <si>
    <t>Buff数值1</t>
  </si>
  <si>
    <t>buff1总数值-统计用</t>
  </si>
  <si>
    <t>Buff名称2</t>
  </si>
  <si>
    <t>Buff_Key2</t>
  </si>
  <si>
    <t>Buff_ID2</t>
  </si>
  <si>
    <t>Buff数值2</t>
  </si>
  <si>
    <t>buff2总数值-统计用</t>
  </si>
  <si>
    <t>Buff名称3</t>
  </si>
  <si>
    <t>Buff_Key3</t>
  </si>
  <si>
    <t>Buff_ID3</t>
  </si>
  <si>
    <t>Buff数值3</t>
  </si>
  <si>
    <t>buff3总数值-统计用</t>
  </si>
  <si>
    <t>Buff名称4</t>
  </si>
  <si>
    <t>Buff_Key4</t>
  </si>
  <si>
    <t>Buff_ID4</t>
  </si>
  <si>
    <t>Buff数值4</t>
  </si>
  <si>
    <t>Buff名称5</t>
  </si>
  <si>
    <t>Buff_Key5</t>
  </si>
  <si>
    <t>Buff_ID5</t>
  </si>
  <si>
    <t>Buff数值5</t>
  </si>
  <si>
    <t>Buff名称6</t>
  </si>
  <si>
    <t>Buff_Key6</t>
  </si>
  <si>
    <t>Buff_ID6</t>
  </si>
  <si>
    <t>Buff数值6</t>
  </si>
  <si>
    <t>Buff名称7</t>
  </si>
  <si>
    <t>Buff_Key7</t>
  </si>
  <si>
    <t>Buff_ID7</t>
  </si>
  <si>
    <t>Buff数值7</t>
  </si>
  <si>
    <t>Buff名称8</t>
  </si>
  <si>
    <t>Buff_Key8</t>
  </si>
  <si>
    <t>Buff_ID8</t>
  </si>
  <si>
    <t>Buff数值8</t>
  </si>
  <si>
    <t>详情表格列</t>
  </si>
  <si>
    <t>详情表格标题</t>
  </si>
  <si>
    <t>文本key1</t>
  </si>
  <si>
    <t>文本1</t>
  </si>
  <si>
    <t>编号1</t>
  </si>
  <si>
    <t>文本key2</t>
  </si>
  <si>
    <t>文本2</t>
  </si>
  <si>
    <t>编号2</t>
  </si>
  <si>
    <t>文本key3</t>
  </si>
  <si>
    <t>文本3</t>
  </si>
  <si>
    <t>编号3</t>
  </si>
  <si>
    <t>文本key4</t>
  </si>
  <si>
    <t>文本4</t>
  </si>
  <si>
    <t>编号4</t>
  </si>
  <si>
    <t>文本key5</t>
  </si>
  <si>
    <t>文本5</t>
  </si>
  <si>
    <t>编号5</t>
  </si>
  <si>
    <t>整合编号</t>
  </si>
  <si>
    <t>整合key1</t>
  </si>
  <si>
    <t>整合文本1</t>
  </si>
  <si>
    <t>筛选</t>
  </si>
  <si>
    <t>编号</t>
  </si>
  <si>
    <t>原文本</t>
  </si>
  <si>
    <t>新文本</t>
  </si>
  <si>
    <t>城镇中心</t>
  </si>
  <si>
    <t>城镇中心1</t>
  </si>
  <si>
    <t>领地占领上限</t>
  </si>
  <si>
    <t>ResourceLandLimit</t>
  </si>
  <si>
    <t>仓库上限</t>
  </si>
  <si>
    <t>Warehouse_Limit</t>
  </si>
  <si>
    <t>居民房舍建造上限</t>
  </si>
  <si>
    <t>BuildingCapacity_House</t>
  </si>
  <si>
    <t>磨坊建造上限</t>
  </si>
  <si>
    <t>BuildingCapacity_Mill</t>
  </si>
  <si>
    <t>伐木场建造上限</t>
  </si>
  <si>
    <t>BuildingCapacity_Lumber</t>
  </si>
  <si>
    <t>石矿建造上限</t>
  </si>
  <si>
    <t>BuildingCapacity_Ironmine</t>
  </si>
  <si>
    <t>金矿建造上限</t>
  </si>
  <si>
    <t>BuildingCapacity_Goldmine</t>
  </si>
  <si>
    <t>1:2:0</t>
  </si>
  <si>
    <t>Buff_BuilDetail_8026:Buff_BuilDetail_1252:Buff_BuilDetail_1</t>
  </si>
  <si>
    <t>Buff_BuilDetail_8026</t>
  </si>
  <si>
    <t>Buff_BuilDetail_1252</t>
  </si>
  <si>
    <t>Buff_BuilDetail_1202</t>
  </si>
  <si>
    <t>Buff_BuilDetail_1205</t>
  </si>
  <si>
    <t>Buff_BuilDetail_1209</t>
  </si>
  <si>
    <t>领地上限</t>
  </si>
  <si>
    <t>每小时居民房舍产出铜币</t>
  </si>
  <si>
    <t>每小时铜币产量</t>
  </si>
  <si>
    <t>城镇中心2</t>
  </si>
  <si>
    <t>Buff_BuilDetail_1255</t>
  </si>
  <si>
    <t>每小时磨坊产出食物</t>
  </si>
  <si>
    <t>每小时食物产量</t>
  </si>
  <si>
    <t>城镇中心3</t>
  </si>
  <si>
    <t>Buff_BuilDetail_1015</t>
  </si>
  <si>
    <t>每小时伐木场产出木材</t>
  </si>
  <si>
    <t>每小时木材产量</t>
  </si>
  <si>
    <t>城镇中心4</t>
  </si>
  <si>
    <t>Buff_BuilDetail_1017</t>
  </si>
  <si>
    <t>每小时石矿场产出石头</t>
  </si>
  <si>
    <t>每小时石头产量</t>
  </si>
  <si>
    <t>城镇中心5</t>
  </si>
  <si>
    <t>Buff_BuilDetail_1018</t>
  </si>
  <si>
    <t>每小时金矿场产出黄金</t>
  </si>
  <si>
    <t>每小时黄金产量</t>
  </si>
  <si>
    <t>城镇中心6</t>
  </si>
  <si>
    <t>Buff_BuilDetail_1019</t>
  </si>
  <si>
    <t>防卫塔基础攻击力(显示)</t>
  </si>
  <si>
    <t>防卫塔攻击力</t>
  </si>
  <si>
    <t>城镇中心7</t>
  </si>
  <si>
    <t>Buff_BuilDetail_3000</t>
  </si>
  <si>
    <t>全兵种训练速度</t>
  </si>
  <si>
    <t>城镇中心8</t>
  </si>
  <si>
    <t>Buff_BuilDetail_1253</t>
  </si>
  <si>
    <t>屯兵上限</t>
  </si>
  <si>
    <t>联盟帮助时间减少</t>
  </si>
  <si>
    <t>帮助减少时间(秒)</t>
  </si>
  <si>
    <t>城镇中心9</t>
  </si>
  <si>
    <t>Buff_BuilDetail_4004</t>
  </si>
  <si>
    <t>城墙耐久</t>
  </si>
  <si>
    <t>城镇中心10</t>
  </si>
  <si>
    <t>Buff_BuilDetail_3102</t>
  </si>
  <si>
    <t>伤兵上限</t>
  </si>
  <si>
    <t>城镇中心11</t>
  </si>
  <si>
    <t>Buff_BuilDetail_2553</t>
  </si>
  <si>
    <t>侦察行军速度</t>
  </si>
  <si>
    <t>城镇中心12</t>
  </si>
  <si>
    <t>Buff_BuilDetail_4207</t>
  </si>
  <si>
    <t>防卫塔基础攻击力</t>
  </si>
  <si>
    <t>城镇中心13</t>
  </si>
  <si>
    <t>Buff_BuilDetail_2575</t>
  </si>
  <si>
    <t>参与组队行军速度</t>
  </si>
  <si>
    <t>城镇中心14</t>
  </si>
  <si>
    <t>Buff_BuilDetail_2601</t>
  </si>
  <si>
    <t>援军上限</t>
  </si>
  <si>
    <t>城镇中心15</t>
  </si>
  <si>
    <t>Buff_BuilDetail_3308</t>
  </si>
  <si>
    <t>人气值上限</t>
  </si>
  <si>
    <t>城镇中心16</t>
  </si>
  <si>
    <t>城镇中心17</t>
  </si>
  <si>
    <t>Buff_BuilDetail_1200</t>
  </si>
  <si>
    <t>村民人口上限</t>
  </si>
  <si>
    <t>城镇中心18</t>
  </si>
  <si>
    <t>Buff_BuilDetail_1206</t>
  </si>
  <si>
    <t>农田建造上限</t>
  </si>
  <si>
    <t>城镇中心19</t>
  </si>
  <si>
    <t>Buff_BuilDetail_3013</t>
  </si>
  <si>
    <t>剑士训练数量</t>
  </si>
  <si>
    <t>城镇中心20</t>
  </si>
  <si>
    <t>Buff_BuilDetail_3016</t>
  </si>
  <si>
    <t>枪兵训练数量</t>
  </si>
  <si>
    <t>居民房舍</t>
  </si>
  <si>
    <t>居民房舍1</t>
  </si>
  <si>
    <t>BronzePerHour</t>
  </si>
  <si>
    <t>Peasant_Capacity</t>
  </si>
  <si>
    <t>1:2</t>
  </si>
  <si>
    <t>Buff_BuilDetail_1255:Buff_BuilDetail_1200</t>
  </si>
  <si>
    <t>Buff_BuilDetail_3014</t>
  </si>
  <si>
    <t>骑士训练数量</t>
  </si>
  <si>
    <t>居民房舍2</t>
  </si>
  <si>
    <t>Buff_BuilDetail_3015</t>
  </si>
  <si>
    <t>弓兵训练数量</t>
  </si>
  <si>
    <t>居民房舍3</t>
  </si>
  <si>
    <t>Buff_BuilDetail_2555</t>
  </si>
  <si>
    <t>出征队列</t>
  </si>
  <si>
    <t>居民房舍4</t>
  </si>
  <si>
    <t>Buff_BuilDetail_1261</t>
  </si>
  <si>
    <t>仓库资源保护</t>
  </si>
  <si>
    <t>居民房舍5</t>
  </si>
  <si>
    <t>Buff_BuilDetail_3100</t>
  </si>
  <si>
    <t>伤兵治疗速度</t>
  </si>
  <si>
    <t>居民房舍6</t>
  </si>
  <si>
    <t>Buff_BuilDetail_2570</t>
  </si>
  <si>
    <t>侦察队列</t>
  </si>
  <si>
    <t>居民房舍7</t>
  </si>
  <si>
    <t>Buff_BuilDetail_1254</t>
  </si>
  <si>
    <t>夺取上限</t>
  </si>
  <si>
    <t>居民房舍8</t>
  </si>
  <si>
    <t>Buff_BuilDetail_1400</t>
  </si>
  <si>
    <t>联盟帮助次数</t>
  </si>
  <si>
    <t>居民房舍9</t>
  </si>
  <si>
    <t>Buff_BuilDetail_3307</t>
  </si>
  <si>
    <t>每小时恢复人气值</t>
  </si>
  <si>
    <t>居民房舍10</t>
  </si>
  <si>
    <t>居民房舍11</t>
  </si>
  <si>
    <t>Buff_BuilDetail_3311</t>
  </si>
  <si>
    <t>医馆加速恢复速度</t>
  </si>
  <si>
    <t>居民房舍12</t>
  </si>
  <si>
    <t>Buff_BuilDetail_1403</t>
  </si>
  <si>
    <t>居民房舍13</t>
  </si>
  <si>
    <t>居民房舍14</t>
  </si>
  <si>
    <t>Buff_BuilDetail_3312</t>
  </si>
  <si>
    <t>医馆加速储存上限</t>
  </si>
  <si>
    <t>居民房舍15</t>
  </si>
  <si>
    <t>居民房舍16</t>
  </si>
  <si>
    <t>居民房舍17</t>
  </si>
  <si>
    <t>居民房舍18</t>
  </si>
  <si>
    <t>居民房舍19</t>
  </si>
  <si>
    <t>居民房舍20</t>
  </si>
  <si>
    <t>磨坊</t>
  </si>
  <si>
    <t>磨坊1</t>
  </si>
  <si>
    <t>Mill_FoodSpeed</t>
  </si>
  <si>
    <t>BuildingCapacity_FarmLand</t>
  </si>
  <si>
    <t>Buff_BuilDetail_1015:Buff_BuilDetail_1206</t>
  </si>
  <si>
    <t>磨坊2</t>
  </si>
  <si>
    <t>磨坊3</t>
  </si>
  <si>
    <t>磨坊4</t>
  </si>
  <si>
    <t>磨坊5</t>
  </si>
  <si>
    <t>磨坊6</t>
  </si>
  <si>
    <t>磨坊7</t>
  </si>
  <si>
    <t>磨坊8</t>
  </si>
  <si>
    <t>磨坊9</t>
  </si>
  <si>
    <t>磨坊10</t>
  </si>
  <si>
    <t>磨坊11</t>
  </si>
  <si>
    <t>磨坊12</t>
  </si>
  <si>
    <t>磨坊13</t>
  </si>
  <si>
    <t>磨坊14</t>
  </si>
  <si>
    <t>磨坊15</t>
  </si>
  <si>
    <t>磨坊16</t>
  </si>
  <si>
    <t>磨坊17</t>
  </si>
  <si>
    <t>磨坊18</t>
  </si>
  <si>
    <t>磨坊19</t>
  </si>
  <si>
    <t>磨坊20</t>
  </si>
  <si>
    <t>伐木场</t>
  </si>
  <si>
    <t>伐木场1</t>
  </si>
  <si>
    <t>Lumber_WoodSpeed</t>
  </si>
  <si>
    <t>1</t>
  </si>
  <si>
    <t>伐木场2</t>
  </si>
  <si>
    <t>伐木场3</t>
  </si>
  <si>
    <t>伐木场4</t>
  </si>
  <si>
    <t>伐木场5</t>
  </si>
  <si>
    <t>伐木场6</t>
  </si>
  <si>
    <t>伐木场7</t>
  </si>
  <si>
    <t>伐木场8</t>
  </si>
  <si>
    <t>伐木场9</t>
  </si>
  <si>
    <t>伐木场10</t>
  </si>
  <si>
    <t>伐木场11</t>
  </si>
  <si>
    <t>伐木场12</t>
  </si>
  <si>
    <t>伐木场13</t>
  </si>
  <si>
    <t>伐木场14</t>
  </si>
  <si>
    <t>伐木场15</t>
  </si>
  <si>
    <t>伐木场16</t>
  </si>
  <si>
    <t>伐木场17</t>
  </si>
  <si>
    <t>伐木场18</t>
  </si>
  <si>
    <t>伐木场19</t>
  </si>
  <si>
    <t>伐木场20</t>
  </si>
  <si>
    <t>石矿场</t>
  </si>
  <si>
    <t>石矿场1</t>
  </si>
  <si>
    <t>Ironmine_StoneSpeed</t>
  </si>
  <si>
    <t>石矿场2</t>
  </si>
  <si>
    <t>石矿场3</t>
  </si>
  <si>
    <t>石矿场4</t>
  </si>
  <si>
    <t>石矿场5</t>
  </si>
  <si>
    <t>石矿场6</t>
  </si>
  <si>
    <t>石矿场7</t>
  </si>
  <si>
    <t>石矿场8</t>
  </si>
  <si>
    <t>石矿场9</t>
  </si>
  <si>
    <t>石矿场10</t>
  </si>
  <si>
    <t>石矿场11</t>
  </si>
  <si>
    <t>石矿场12</t>
  </si>
  <si>
    <t>石矿场13</t>
  </si>
  <si>
    <t>石矿场14</t>
  </si>
  <si>
    <t>石矿场15</t>
  </si>
  <si>
    <t>石矿场16</t>
  </si>
  <si>
    <t>石矿场17</t>
  </si>
  <si>
    <t>石矿场18</t>
  </si>
  <si>
    <t>石矿场19</t>
  </si>
  <si>
    <t>石矿场20</t>
  </si>
  <si>
    <t>金矿场</t>
  </si>
  <si>
    <t>金矿场1</t>
  </si>
  <si>
    <t>Ironmine_GoldSpeed</t>
  </si>
  <si>
    <t>金矿场2</t>
  </si>
  <si>
    <t>金矿场3</t>
  </si>
  <si>
    <t>金矿场4</t>
  </si>
  <si>
    <t>金矿场5</t>
  </si>
  <si>
    <t>金矿场6</t>
  </si>
  <si>
    <t>金矿场7</t>
  </si>
  <si>
    <t>金矿场8</t>
  </si>
  <si>
    <t>金矿场9</t>
  </si>
  <si>
    <t>金矿场10</t>
  </si>
  <si>
    <t>金矿场11</t>
  </si>
  <si>
    <t>金矿场12</t>
  </si>
  <si>
    <t>金矿场13</t>
  </si>
  <si>
    <t>金矿场14</t>
  </si>
  <si>
    <t>金矿场15</t>
  </si>
  <si>
    <t>金矿场16</t>
  </si>
  <si>
    <t>金矿场17</t>
  </si>
  <si>
    <t>金矿场18</t>
  </si>
  <si>
    <t>金矿场19</t>
  </si>
  <si>
    <t>金矿场20</t>
  </si>
  <si>
    <t>剑士营</t>
  </si>
  <si>
    <t>剑士营1</t>
  </si>
  <si>
    <t>Army_TrainSpeed</t>
  </si>
  <si>
    <t>SwordBarracks_TrainingNumber_Inc</t>
  </si>
  <si>
    <t>Buff_BuilDetail_3000:Buff_BuilDetail_3013:Buff_BuilDetail_2</t>
  </si>
  <si>
    <t>剑士营2</t>
  </si>
  <si>
    <t>剑士营3</t>
  </si>
  <si>
    <t>剑士营4</t>
  </si>
  <si>
    <t>剑士营5</t>
  </si>
  <si>
    <t>剑士营6</t>
  </si>
  <si>
    <t>剑士营7</t>
  </si>
  <si>
    <t>剑士营8</t>
  </si>
  <si>
    <t>剑士营9</t>
  </si>
  <si>
    <t>剑士营10</t>
  </si>
  <si>
    <t>剑士营11</t>
  </si>
  <si>
    <t>剑士营12</t>
  </si>
  <si>
    <t>剑士营13</t>
  </si>
  <si>
    <t>剑士营14</t>
  </si>
  <si>
    <t>剑士营15</t>
  </si>
  <si>
    <t>剑士营16</t>
  </si>
  <si>
    <t>剑士歼灭比例</t>
  </si>
  <si>
    <t>DeathUpPer_Swordman</t>
  </si>
  <si>
    <t>剑士营17</t>
  </si>
  <si>
    <t>剑士营18</t>
  </si>
  <si>
    <t>剑士营19</t>
  </si>
  <si>
    <t>剑士营20</t>
  </si>
  <si>
    <t>枪兵营</t>
  </si>
  <si>
    <t>枪兵营1</t>
  </si>
  <si>
    <t>SpearBarrack_TrainingNumber_Inc</t>
  </si>
  <si>
    <t>Buff_BuilDetail_3000:Buff_BuilDetail_3016:Buff_BuilDetail_3</t>
  </si>
  <si>
    <t>枪兵营2</t>
  </si>
  <si>
    <t>枪兵营3</t>
  </si>
  <si>
    <t>枪兵营4</t>
  </si>
  <si>
    <t>枪兵营5</t>
  </si>
  <si>
    <t>枪兵营6</t>
  </si>
  <si>
    <t>枪兵营7</t>
  </si>
  <si>
    <t>枪兵营8</t>
  </si>
  <si>
    <t>枪兵营9</t>
  </si>
  <si>
    <t>枪兵营10</t>
  </si>
  <si>
    <t>枪兵营11</t>
  </si>
  <si>
    <t>枪兵营12</t>
  </si>
  <si>
    <t>枪兵营13</t>
  </si>
  <si>
    <t>枪兵营14</t>
  </si>
  <si>
    <t>枪兵营15</t>
  </si>
  <si>
    <t>枪兵营16</t>
  </si>
  <si>
    <t>枪兵歼灭比例</t>
  </si>
  <si>
    <t>DeathUpPer_Spearman</t>
  </si>
  <si>
    <t>枪兵营17</t>
  </si>
  <si>
    <t>枪兵营18</t>
  </si>
  <si>
    <t>枪兵营19</t>
  </si>
  <si>
    <t>枪兵营20</t>
  </si>
  <si>
    <t>马厩</t>
  </si>
  <si>
    <t>马厩1</t>
  </si>
  <si>
    <t>Stables_TrainingNumber_Inc</t>
  </si>
  <si>
    <t>Buff_BuilDetail_3000:Buff_BuilDetail_3014:Buff_BuilDetail_4</t>
  </si>
  <si>
    <t>马厩2</t>
  </si>
  <si>
    <t>马厩3</t>
  </si>
  <si>
    <t>马厩4</t>
  </si>
  <si>
    <t>马厩5</t>
  </si>
  <si>
    <t>马厩6</t>
  </si>
  <si>
    <t>马厩7</t>
  </si>
  <si>
    <t>马厩8</t>
  </si>
  <si>
    <t>马厩9</t>
  </si>
  <si>
    <t>马厩10</t>
  </si>
  <si>
    <t>马厩11</t>
  </si>
  <si>
    <t>马厩12</t>
  </si>
  <si>
    <t>马厩13</t>
  </si>
  <si>
    <t>马厩14</t>
  </si>
  <si>
    <t>马厩15</t>
  </si>
  <si>
    <t>马厩16</t>
  </si>
  <si>
    <t>骑兵歼灭比例</t>
  </si>
  <si>
    <t>DeathUpPer_Knight</t>
  </si>
  <si>
    <t>马厩17</t>
  </si>
  <si>
    <t>马厩18</t>
  </si>
  <si>
    <t>马厩19</t>
  </si>
  <si>
    <t>马厩20</t>
  </si>
  <si>
    <t>射箭场</t>
  </si>
  <si>
    <t>射箭场1</t>
  </si>
  <si>
    <t>Range_TrainingNumber_Inc</t>
  </si>
  <si>
    <t>Buff_BuilDetail_3000:Buff_BuilDetail_3015:Buff_BuilDetail_5</t>
  </si>
  <si>
    <t>射箭场2</t>
  </si>
  <si>
    <t>射箭场3</t>
  </si>
  <si>
    <t>射箭场4</t>
  </si>
  <si>
    <t>射箭场5</t>
  </si>
  <si>
    <t>射箭场6</t>
  </si>
  <si>
    <t>射箭场7</t>
  </si>
  <si>
    <t>射箭场8</t>
  </si>
  <si>
    <t>射箭场9</t>
  </si>
  <si>
    <t>射箭场10</t>
  </si>
  <si>
    <t>射箭场11</t>
  </si>
  <si>
    <t>射箭场12</t>
  </si>
  <si>
    <t>射箭场13</t>
  </si>
  <si>
    <t>射箭场14</t>
  </si>
  <si>
    <t>射箭场15</t>
  </si>
  <si>
    <t>射箭场16</t>
  </si>
  <si>
    <t>弓兵歼灭比例</t>
  </si>
  <si>
    <t>DeathUpPer_Bowmen</t>
  </si>
  <si>
    <t>射箭场17</t>
  </si>
  <si>
    <t>射箭场18</t>
  </si>
  <si>
    <t>射箭场19</t>
  </si>
  <si>
    <t>射箭场20</t>
  </si>
  <si>
    <t>校场</t>
  </si>
  <si>
    <t>校场1</t>
  </si>
  <si>
    <t>AccumulateSoldiers_Limit</t>
  </si>
  <si>
    <t>Army_Formation_Limit</t>
  </si>
  <si>
    <t>Buff_BuilDetail_1253:Buff_BuilDetail_2555</t>
  </si>
  <si>
    <t>校场2</t>
  </si>
  <si>
    <t>校场3</t>
  </si>
  <si>
    <t>校场4</t>
  </si>
  <si>
    <t>校场5</t>
  </si>
  <si>
    <t>校场6</t>
  </si>
  <si>
    <t>校场7</t>
  </si>
  <si>
    <t>校场8</t>
  </si>
  <si>
    <t>校场9</t>
  </si>
  <si>
    <t>校场10</t>
  </si>
  <si>
    <t>校场11</t>
  </si>
  <si>
    <t>校场12</t>
  </si>
  <si>
    <t>校场13</t>
  </si>
  <si>
    <t>校场14</t>
  </si>
  <si>
    <t>校场15</t>
  </si>
  <si>
    <t>校场16</t>
  </si>
  <si>
    <t>校场17</t>
  </si>
  <si>
    <t>校场18</t>
  </si>
  <si>
    <t>校场19</t>
  </si>
  <si>
    <t>校场20</t>
  </si>
  <si>
    <t>城墙</t>
  </si>
  <si>
    <t>城墙1</t>
  </si>
  <si>
    <t>Wall_CityDefence</t>
  </si>
  <si>
    <t>WarehouseProtection</t>
  </si>
  <si>
    <t>Buff_BuilDetail_4004:Buff_BuilDetail_1261</t>
  </si>
  <si>
    <t>城墙2</t>
  </si>
  <si>
    <t>城墙3</t>
  </si>
  <si>
    <t>城墙4</t>
  </si>
  <si>
    <t>城墙5</t>
  </si>
  <si>
    <t>城墙6</t>
  </si>
  <si>
    <t>城墙7</t>
  </si>
  <si>
    <t>城墙8</t>
  </si>
  <si>
    <t>城墙9</t>
  </si>
  <si>
    <t>城墙10</t>
  </si>
  <si>
    <t>城墙11</t>
  </si>
  <si>
    <t>城墙12</t>
  </si>
  <si>
    <t>城墙13</t>
  </si>
  <si>
    <t>城墙14</t>
  </si>
  <si>
    <t>城墙15</t>
  </si>
  <si>
    <t>城墙16</t>
  </si>
  <si>
    <t>城墙17</t>
  </si>
  <si>
    <t>城墙18</t>
  </si>
  <si>
    <t>城墙19</t>
  </si>
  <si>
    <t>城墙20</t>
  </si>
  <si>
    <t>治疗房舍</t>
  </si>
  <si>
    <t>治疗房舍1</t>
  </si>
  <si>
    <t>Army_MedHouseCapacity</t>
  </si>
  <si>
    <t>Army_HealSpeed</t>
  </si>
  <si>
    <t>RecoverySpeed_Hospital</t>
  </si>
  <si>
    <t>RecoveryLimit_Hospital</t>
  </si>
  <si>
    <t>1:2:3:4</t>
  </si>
  <si>
    <t>Buff_BuilDetail_3102:Buff_BuilDetail_3100:Buff_BuilDetail_3311:Buff_BuilDetail_3312</t>
  </si>
  <si>
    <t>治疗房舍2</t>
  </si>
  <si>
    <t>治疗房舍3</t>
  </si>
  <si>
    <t>治疗房舍4</t>
  </si>
  <si>
    <t>治疗房舍5</t>
  </si>
  <si>
    <t>治疗房舍6</t>
  </si>
  <si>
    <t>治疗房舍7</t>
  </si>
  <si>
    <t>治疗房舍8</t>
  </si>
  <si>
    <t>治疗房舍9</t>
  </si>
  <si>
    <t>治疗房舍10</t>
  </si>
  <si>
    <t>治疗房舍11</t>
  </si>
  <si>
    <t>治疗房舍12</t>
  </si>
  <si>
    <t>治疗房舍13</t>
  </si>
  <si>
    <t>治疗房舍14</t>
  </si>
  <si>
    <t>治疗房舍15</t>
  </si>
  <si>
    <t>治疗房舍16</t>
  </si>
  <si>
    <t>治疗房舍17</t>
  </si>
  <si>
    <t>治疗房舍18</t>
  </si>
  <si>
    <t>治疗房舍19</t>
  </si>
  <si>
    <t>治疗房舍20</t>
  </si>
  <si>
    <t>瞭望塔</t>
  </si>
  <si>
    <t>瞭望塔1</t>
  </si>
  <si>
    <t>Scout_MarchingSpeed_Inc</t>
  </si>
  <si>
    <t>Scout_Formation_Limit</t>
  </si>
  <si>
    <t>Buff_BuilDetail_2553:Buff_BuilDetail_2570</t>
  </si>
  <si>
    <t>瞭望塔2</t>
  </si>
  <si>
    <t>瞭望塔3</t>
  </si>
  <si>
    <t>瞭望塔4</t>
  </si>
  <si>
    <t>瞭望塔5</t>
  </si>
  <si>
    <t>瞭望塔6</t>
  </si>
  <si>
    <t>瞭望塔7</t>
  </si>
  <si>
    <t>瞭望塔8</t>
  </si>
  <si>
    <t>瞭望塔9</t>
  </si>
  <si>
    <t>瞭望塔10</t>
  </si>
  <si>
    <t>瞭望塔11</t>
  </si>
  <si>
    <t>瞭望塔12</t>
  </si>
  <si>
    <t>瞭望塔13</t>
  </si>
  <si>
    <t>瞭望塔14</t>
  </si>
  <si>
    <t>瞭望塔15</t>
  </si>
  <si>
    <t>瞭望塔16</t>
  </si>
  <si>
    <t>瞭望塔17</t>
  </si>
  <si>
    <t>瞭望塔18</t>
  </si>
  <si>
    <t>瞭望塔19</t>
  </si>
  <si>
    <t>瞭望塔20</t>
  </si>
  <si>
    <t>防御塔</t>
  </si>
  <si>
    <t>防御塔1</t>
  </si>
  <si>
    <t>Tower_BaseAtk_Show</t>
  </si>
  <si>
    <t>防御塔2</t>
  </si>
  <si>
    <t>防御塔3</t>
  </si>
  <si>
    <t>防御塔4</t>
  </si>
  <si>
    <t>防御塔5</t>
  </si>
  <si>
    <t>防御塔6</t>
  </si>
  <si>
    <t>防御塔7</t>
  </si>
  <si>
    <t>防御塔8</t>
  </si>
  <si>
    <t>防御塔9</t>
  </si>
  <si>
    <t>防御塔10</t>
  </si>
  <si>
    <t>防御塔11</t>
  </si>
  <si>
    <t>防御塔12</t>
  </si>
  <si>
    <t>防御塔13</t>
  </si>
  <si>
    <t>防御塔14</t>
  </si>
  <si>
    <t>防御塔15</t>
  </si>
  <si>
    <t>防御塔16</t>
  </si>
  <si>
    <t>防御塔17</t>
  </si>
  <si>
    <t>防御塔18</t>
  </si>
  <si>
    <t>防御塔19</t>
  </si>
  <si>
    <t>防御塔20</t>
  </si>
  <si>
    <t>战争大厅</t>
  </si>
  <si>
    <t>战争大厅1</t>
  </si>
  <si>
    <t>JoinMass_MarchingSpeed_Per</t>
  </si>
  <si>
    <t>Plunder_Limit</t>
  </si>
  <si>
    <t>Buff_BuilDetail_2575:Buff_BuilDetail_1254</t>
  </si>
  <si>
    <t>战争大厅2</t>
  </si>
  <si>
    <t>战争大厅3</t>
  </si>
  <si>
    <t>战争大厅4</t>
  </si>
  <si>
    <t>战争大厅5</t>
  </si>
  <si>
    <t>战争大厅6</t>
  </si>
  <si>
    <t>战争大厅7</t>
  </si>
  <si>
    <t>战争大厅8</t>
  </si>
  <si>
    <t>战争大厅9</t>
  </si>
  <si>
    <t>战争大厅10</t>
  </si>
  <si>
    <t>战争大厅11</t>
  </si>
  <si>
    <t>战争大厅12</t>
  </si>
  <si>
    <t>战争大厅13</t>
  </si>
  <si>
    <t>战争大厅14</t>
  </si>
  <si>
    <t>战争大厅15</t>
  </si>
  <si>
    <t>战争大厅16</t>
  </si>
  <si>
    <t>战争大厅17</t>
  </si>
  <si>
    <t>战争大厅18</t>
  </si>
  <si>
    <t>战争大厅19</t>
  </si>
  <si>
    <t>战争大厅20</t>
  </si>
  <si>
    <t>大使馆</t>
  </si>
  <si>
    <t>大使馆1</t>
  </si>
  <si>
    <t>Embassy_Reinforce_Limit</t>
  </si>
  <si>
    <t>Alliance_HelpNum</t>
  </si>
  <si>
    <t>Alliance_HelpTimeShortenSeconds</t>
  </si>
  <si>
    <t>1:2:3</t>
  </si>
  <si>
    <t>Buff_BuilDetail_2601:Buff_BuilDetail_1400:Buff_BuilDetail_1403</t>
  </si>
  <si>
    <t>大使馆2</t>
  </si>
  <si>
    <t>大使馆3</t>
  </si>
  <si>
    <t>大使馆4</t>
  </si>
  <si>
    <t>大使馆5</t>
  </si>
  <si>
    <t>大使馆6</t>
  </si>
  <si>
    <t>大使馆7</t>
  </si>
  <si>
    <t>大使馆8</t>
  </si>
  <si>
    <t>大使馆9</t>
  </si>
  <si>
    <t>大使馆10</t>
  </si>
  <si>
    <t>大使馆11</t>
  </si>
  <si>
    <t>大使馆12</t>
  </si>
  <si>
    <t>大使馆13</t>
  </si>
  <si>
    <t>大使馆14</t>
  </si>
  <si>
    <t>大使馆15</t>
  </si>
  <si>
    <t>大使馆16</t>
  </si>
  <si>
    <t>大使馆17</t>
  </si>
  <si>
    <t>大使馆18</t>
  </si>
  <si>
    <t>大使馆19</t>
  </si>
  <si>
    <t>大使馆20</t>
  </si>
  <si>
    <t>酒馆</t>
  </si>
  <si>
    <t>酒馆1</t>
  </si>
  <si>
    <t>VisitLimit</t>
  </si>
  <si>
    <t>VisitRecoverySpeed</t>
  </si>
  <si>
    <t>Buff_BuilDetail_3308:Buff_BuilDetail_3307</t>
  </si>
  <si>
    <t>酒馆2</t>
  </si>
  <si>
    <t>酒馆3</t>
  </si>
  <si>
    <t>酒馆4</t>
  </si>
  <si>
    <t>酒馆5</t>
  </si>
  <si>
    <t>酒馆6</t>
  </si>
  <si>
    <t>酒馆7</t>
  </si>
  <si>
    <t>酒馆8</t>
  </si>
  <si>
    <t>酒馆9</t>
  </si>
  <si>
    <t>酒馆10</t>
  </si>
  <si>
    <t>酒馆11</t>
  </si>
  <si>
    <t>酒馆12</t>
  </si>
  <si>
    <t>酒馆13</t>
  </si>
  <si>
    <t>酒馆14</t>
  </si>
  <si>
    <t>酒馆15</t>
  </si>
  <si>
    <t>酒馆16</t>
  </si>
  <si>
    <t>酒馆17</t>
  </si>
  <si>
    <t>酒馆18</t>
  </si>
  <si>
    <t>酒馆19</t>
  </si>
  <si>
    <t>酒馆20</t>
  </si>
  <si>
    <t>城堡</t>
  </si>
  <si>
    <t>城堡1</t>
  </si>
  <si>
    <t>市集</t>
  </si>
  <si>
    <t>市集1</t>
  </si>
  <si>
    <t>博物馆</t>
  </si>
  <si>
    <t>博物馆1</t>
  </si>
  <si>
    <t>农田</t>
  </si>
  <si>
    <t>农田1</t>
  </si>
  <si>
    <t>渔网</t>
  </si>
  <si>
    <t>渔网1</t>
  </si>
  <si>
    <t>码头</t>
  </si>
  <si>
    <t>码头1</t>
  </si>
  <si>
    <t>武神雕像</t>
  </si>
  <si>
    <t>武神雕像1</t>
  </si>
  <si>
    <t>方尖碑</t>
  </si>
  <si>
    <t>方尖碑1</t>
  </si>
  <si>
    <t>学院</t>
  </si>
  <si>
    <t>学院1</t>
  </si>
  <si>
    <t>建筑名称</t>
  </si>
  <si>
    <t>辅助列</t>
  </si>
  <si>
    <t>建筑数量</t>
  </si>
  <si>
    <t>高活跃</t>
  </si>
  <si>
    <t>资源</t>
  </si>
  <si>
    <t>设计时间</t>
  </si>
  <si>
    <t>实际时间</t>
  </si>
  <si>
    <t>单建筑
总价值-RMB</t>
  </si>
  <si>
    <t>单建筑
战斗力</t>
  </si>
  <si>
    <t>多建筑
战斗力</t>
  </si>
  <si>
    <t>单建筑
累计战力</t>
  </si>
  <si>
    <t>多建筑
累计战力</t>
  </si>
  <si>
    <t>战力性价比</t>
  </si>
  <si>
    <t>单建筑原始时间-分</t>
  </si>
  <si>
    <t>单建筑原始时间-小时</t>
  </si>
  <si>
    <t>单建筑实际时间累积-S</t>
  </si>
  <si>
    <t>单建筑累积资源</t>
  </si>
  <si>
    <t>单资源最大值</t>
  </si>
  <si>
    <t>建筑加速
百分比</t>
  </si>
  <si>
    <t>建筑加速
绝对值</t>
  </si>
  <si>
    <t>资源修正系数</t>
  </si>
  <si>
    <t>资源消耗权重</t>
  </si>
  <si>
    <t>单建筑资源实际消耗</t>
  </si>
  <si>
    <t>数据验证(保证消耗递增，不可为负)</t>
  </si>
  <si>
    <t>多建筑资源实际消耗</t>
  </si>
  <si>
    <t>单建筑资源总消耗</t>
  </si>
  <si>
    <t>多建筑资源总消耗</t>
  </si>
  <si>
    <t>同建筑累计消耗</t>
  </si>
  <si>
    <t>单建筑资源价值-RMB</t>
  </si>
  <si>
    <t>多建筑资源价值-RMB</t>
  </si>
  <si>
    <t>时间消耗</t>
  </si>
  <si>
    <t>时间修正
系数</t>
  </si>
  <si>
    <t>原始时间消耗-S</t>
  </si>
  <si>
    <t>多建筑原始时间消耗-S</t>
  </si>
  <si>
    <t>同建筑累计时间-S</t>
  </si>
  <si>
    <t>单建筑时间价值-RMB</t>
  </si>
  <si>
    <t>多建筑时间价值-RMB</t>
  </si>
  <si>
    <t>单建筑实际时间-S</t>
  </si>
  <si>
    <t>多建筑实际时间-S</t>
  </si>
  <si>
    <t>多建筑实际累计时间</t>
  </si>
  <si>
    <t>食物</t>
  </si>
  <si>
    <t>木材</t>
  </si>
  <si>
    <t>石头</t>
  </si>
  <si>
    <t>黄金</t>
  </si>
  <si>
    <t>城堡2</t>
  </si>
  <si>
    <t>城堡3</t>
  </si>
  <si>
    <t>城堡4</t>
  </si>
  <si>
    <t>城堡5</t>
  </si>
  <si>
    <t>城堡6</t>
  </si>
  <si>
    <t>城堡7</t>
  </si>
  <si>
    <t>城堡8</t>
  </si>
  <si>
    <t>城堡9</t>
  </si>
  <si>
    <t>城堡10</t>
  </si>
  <si>
    <t>城堡11</t>
  </si>
  <si>
    <t>城堡12</t>
  </si>
  <si>
    <t>城堡13</t>
  </si>
  <si>
    <t>城堡14</t>
  </si>
  <si>
    <t>城堡15</t>
  </si>
  <si>
    <t>城堡16</t>
  </si>
  <si>
    <t>城堡17</t>
  </si>
  <si>
    <t>城堡18</t>
  </si>
  <si>
    <t>城堡19</t>
  </si>
  <si>
    <t>城堡20</t>
  </si>
  <si>
    <t>博物馆2</t>
  </si>
  <si>
    <t>博物馆3</t>
  </si>
  <si>
    <t>博物馆4</t>
  </si>
  <si>
    <t>博物馆5</t>
  </si>
  <si>
    <t>博物馆6</t>
  </si>
  <si>
    <t>博物馆7</t>
  </si>
  <si>
    <t>博物馆8</t>
  </si>
  <si>
    <t>博物馆9</t>
  </si>
  <si>
    <t>博物馆10</t>
  </si>
  <si>
    <t>博物馆11</t>
  </si>
  <si>
    <t>博物馆12</t>
  </si>
  <si>
    <t>博物馆13</t>
  </si>
  <si>
    <t>博物馆14</t>
  </si>
  <si>
    <t>博物馆15</t>
  </si>
  <si>
    <t>博物馆16</t>
  </si>
  <si>
    <t>博物馆17</t>
  </si>
  <si>
    <t>博物馆18</t>
  </si>
  <si>
    <t>博物馆19</t>
  </si>
  <si>
    <t>博物馆20</t>
  </si>
  <si>
    <t>convert(ResCity.proto, table_CityBuildingFocusConfig, CityBuildingRepairFocusConfigData.pbin)</t>
  </si>
  <si>
    <t>主键ID</t>
  </si>
  <si>
    <t>建筑类型</t>
  </si>
  <si>
    <t>名称</t>
  </si>
  <si>
    <t>镜头距离</t>
  </si>
  <si>
    <t>镜头焦距</t>
  </si>
  <si>
    <t>镜头角度</t>
  </si>
  <si>
    <t>景深前景模糊起点</t>
  </si>
  <si>
    <t>景深前景模糊终点</t>
  </si>
  <si>
    <t>景深后景模糊起点</t>
  </si>
  <si>
    <t>景深后景模糊终点</t>
  </si>
  <si>
    <t>景深高斯模糊值</t>
  </si>
  <si>
    <t>建筑升级凝视高度</t>
  </si>
  <si>
    <t>id</t>
  </si>
  <si>
    <t>buildType</t>
  </si>
  <si>
    <t>cameraDis[;]</t>
  </si>
  <si>
    <t>cameraFov[;]</t>
  </si>
  <si>
    <t>cameraYaw[;]</t>
  </si>
  <si>
    <t>startFrondDOF[;]</t>
  </si>
  <si>
    <t>endFrondDOF[;]</t>
  </si>
  <si>
    <t>startBackDOF[;]</t>
  </si>
  <si>
    <t>endBackDOF[;]</t>
  </si>
  <si>
    <t>gaussianRadDOF[;]</t>
  </si>
  <si>
    <t>cameraForcusHeight[;]</t>
  </si>
  <si>
    <t>convert(ResCity.proto, table_CityBuildingBasicConfData, CityBuildingBasicConfData.pbin)</t>
  </si>
  <si>
    <t>城建列表展示顺序</t>
  </si>
  <si>
    <t>建筑分类</t>
  </si>
  <si>
    <t>建造数量上限buffID</t>
  </si>
  <si>
    <t>建造上限红点ID</t>
  </si>
  <si>
    <t>建造资源下降buffID</t>
  </si>
  <si>
    <t>繁荣度权重</t>
  </si>
  <si>
    <t>不能升级</t>
  </si>
  <si>
    <t>宽度</t>
  </si>
  <si>
    <t>长度</t>
  </si>
  <si>
    <t>地基宽度</t>
  </si>
  <si>
    <t>地基长度</t>
  </si>
  <si>
    <t>阻挡宽度</t>
  </si>
  <si>
    <t>阻挡长度</t>
  </si>
  <si>
    <t>显示名字</t>
  </si>
  <si>
    <t>描述</t>
  </si>
  <si>
    <t>升级默认文本</t>
  </si>
  <si>
    <t>通用挂点</t>
  </si>
  <si>
    <t>铭牌挂点</t>
  </si>
  <si>
    <t>按钮挂点</t>
  </si>
  <si>
    <t>旋转起点</t>
  </si>
  <si>
    <t>建筑选中</t>
  </si>
  <si>
    <t>建筑升级镜头推进聚焦</t>
  </si>
  <si>
    <t>环境音开始</t>
  </si>
  <si>
    <t>低级建造开始</t>
  </si>
  <si>
    <t>低级建造完成</t>
  </si>
  <si>
    <t>高级建造开始</t>
  </si>
  <si>
    <t>高级建造完成</t>
  </si>
  <si>
    <t>低级开始升级</t>
  </si>
  <si>
    <t>低级升级完成</t>
  </si>
  <si>
    <t>高级开始升级</t>
  </si>
  <si>
    <t>高级升级完成</t>
  </si>
  <si>
    <t>建造过程开始</t>
  </si>
  <si>
    <t>建造过程结束</t>
  </si>
  <si>
    <t>参与连路</t>
  </si>
  <si>
    <t>升级描述</t>
  </si>
  <si>
    <t>官职排序</t>
  </si>
  <si>
    <t>官职1</t>
  </si>
  <si>
    <t>官职2</t>
  </si>
  <si>
    <t>官职描述</t>
  </si>
  <si>
    <t>功能解锁</t>
  </si>
  <si>
    <t>迷雾解锁半径</t>
  </si>
  <si>
    <t>建筑详情按钮</t>
  </si>
  <si>
    <t>sortOrder</t>
  </si>
  <si>
    <t>buildClass</t>
  </si>
  <si>
    <t>cntLimitBuffID</t>
  </si>
  <si>
    <t>limitBuffRedDotID</t>
  </si>
  <si>
    <t>costDecBuffID</t>
  </si>
  <si>
    <t>proWeight</t>
  </si>
  <si>
    <t>notAllowUpgrade</t>
  </si>
  <si>
    <t>xSize</t>
  </si>
  <si>
    <t>zSize</t>
  </si>
  <si>
    <t>xBase</t>
  </si>
  <si>
    <t>zBase</t>
  </si>
  <si>
    <t>xNavObs</t>
  </si>
  <si>
    <t>zNavObs</t>
  </si>
  <si>
    <t>disName</t>
  </si>
  <si>
    <t>desc</t>
  </si>
  <si>
    <t>upgradeDefault</t>
  </si>
  <si>
    <t>commonPoint</t>
  </si>
  <si>
    <t>namePoint</t>
  </si>
  <si>
    <t>buttonPoint</t>
  </si>
  <si>
    <t>cameraDis</t>
  </si>
  <si>
    <t>cameraFov</t>
  </si>
  <si>
    <t>cameraYaw</t>
  </si>
  <si>
    <t>cameraRotateStart</t>
  </si>
  <si>
    <t>startFrondDOF</t>
  </si>
  <si>
    <t>endFrondDOF</t>
  </si>
  <si>
    <t>startBackDOF</t>
  </si>
  <si>
    <t>endBackDOF</t>
  </si>
  <si>
    <t>gaussianRadDOF</t>
  </si>
  <si>
    <t>cameraForcusHeight</t>
  </si>
  <si>
    <t>sound2DBldSelect</t>
  </si>
  <si>
    <t>sound2DBldCloseUp</t>
  </si>
  <si>
    <t>sound3DBldStart</t>
  </si>
  <si>
    <t>sound2DBldStartLow</t>
  </si>
  <si>
    <t>sound2DLowBldEnd</t>
  </si>
  <si>
    <t>sound2DHighBldStart</t>
  </si>
  <si>
    <t>sound2DHighBldEnd</t>
  </si>
  <si>
    <t>sound2DLowBldLvStart</t>
  </si>
  <si>
    <t>sound2DLowBldLvEnd</t>
  </si>
  <si>
    <t>sound2DHighBldLvStart</t>
  </si>
  <si>
    <t>sound2DHighBldLvEnd</t>
  </si>
  <si>
    <t>sound3DBldProcessStart</t>
  </si>
  <si>
    <t>sound3DBldProcessEnd</t>
  </si>
  <si>
    <t>linkRoad</t>
  </si>
  <si>
    <t>officerSequence</t>
  </si>
  <si>
    <t>officerId[0]</t>
  </si>
  <si>
    <t>officerId[1]</t>
  </si>
  <si>
    <t>offierDesc</t>
  </si>
  <si>
    <t>unLockEnum</t>
  </si>
  <si>
    <t>fogUnlockRadius</t>
  </si>
  <si>
    <t>isShowDetails</t>
  </si>
  <si>
    <t>BUFFER_ID_BUILDINGCAPACITY_CENTER</t>
  </si>
  <si>
    <t>TID_CityBuildingBasicConfData_201_disName_CN_Main</t>
  </si>
  <si>
    <t>TID_CityBuildingBasicConfData_201_desc_CN_Main</t>
  </si>
  <si>
    <t>0:-1:0</t>
  </si>
  <si>
    <t>0:14:0</t>
  </si>
  <si>
    <t>-1:-2:0</t>
  </si>
  <si>
    <t>Play_click_Center</t>
  </si>
  <si>
    <t>Play_center_closeup</t>
  </si>
  <si>
    <t>Play_amb_st_center</t>
  </si>
  <si>
    <t>Play_building_build_start_s</t>
  </si>
  <si>
    <t>Play_building_build_finish</t>
  </si>
  <si>
    <t>Play_building_build_start_h</t>
  </si>
  <si>
    <t>Play_building_build_finish_h</t>
  </si>
  <si>
    <t>Play_building_levelup_finish</t>
  </si>
  <si>
    <t>Play_building_progress</t>
  </si>
  <si>
    <t>BUFFER_ID_BUILDINGCAPACITY_HOUSE</t>
  </si>
  <si>
    <t>TID_CityBuildingBasicConfData_202_disName_CN_Main</t>
  </si>
  <si>
    <t>TID_CityBuildingBasicConfData_202_desc_CN_Main</t>
  </si>
  <si>
    <t>0:7:0</t>
  </si>
  <si>
    <t>0:0:0</t>
  </si>
  <si>
    <t>Play_click_House</t>
  </si>
  <si>
    <t>Play_house_closeup</t>
  </si>
  <si>
    <t>Play_amb_st_house</t>
  </si>
  <si>
    <t>BUFFER_ID_BUILDINGCAPACITY_MILL</t>
  </si>
  <si>
    <t>TID_CityBuildingBasicConfData_203_disName_CN_Main</t>
  </si>
  <si>
    <t>TID_CityBuildingBasicConfData_203_desc_CN_Main</t>
  </si>
  <si>
    <t>0:11:0</t>
  </si>
  <si>
    <t>Play_click_Mill</t>
  </si>
  <si>
    <t>Play_mill_closeup</t>
  </si>
  <si>
    <t>Play_amb_st_mill</t>
  </si>
  <si>
    <t>内城磨坊建筑</t>
  </si>
  <si>
    <t>BUFFER_ID_BUILDINGCAPACITY_LUMBER</t>
  </si>
  <si>
    <t>TID_CityBuildingBasicConfData_204_disName_CN_Main</t>
  </si>
  <si>
    <t>TID_CityBuildingBasicConfData_204_desc_CN_Main</t>
  </si>
  <si>
    <t>0:9:0</t>
  </si>
  <si>
    <t>Play_click_Lumber</t>
  </si>
  <si>
    <t>Play_lumber_closeup</t>
  </si>
  <si>
    <t>Play_amb_st_lumber</t>
  </si>
  <si>
    <t>内城伐木场建筑</t>
  </si>
  <si>
    <t>BUFFER_ID_BUILDINGCAPACITY_IRONMINE</t>
  </si>
  <si>
    <t>TID_CityBuildingBasicConfData_205_disName_CN_Main</t>
  </si>
  <si>
    <t>TID_CityBuildingBasicConfData_205_desc_CN_Main</t>
  </si>
  <si>
    <t>Play_click_Ironmine</t>
  </si>
  <si>
    <t>Play_mine_closeup</t>
  </si>
  <si>
    <t>Play_amb_st_mine</t>
  </si>
  <si>
    <t>内城石矿场建筑</t>
  </si>
  <si>
    <t>BUFFER_ID_BUILDINGCAPACITY_SWORDBARRACK</t>
  </si>
  <si>
    <t>TID_CityBuildingBasicConfData_206_disName_CN_Main</t>
  </si>
  <si>
    <t>TID_CityBuildingBasicConfData_206_desc_CN_Main</t>
  </si>
  <si>
    <t>0:10:0</t>
  </si>
  <si>
    <t>Play_click_Barrack</t>
  </si>
  <si>
    <t>Play_barrack_closeup</t>
  </si>
  <si>
    <t>Play_amb_st_barrack</t>
  </si>
  <si>
    <t>Play_barrack_finish</t>
  </si>
  <si>
    <t>Play_building_levelup_finish_war</t>
  </si>
  <si>
    <t>内城剑士营建筑</t>
  </si>
  <si>
    <t>BUFFER_ID_BUILDINGCAPACITY_FARMLAND</t>
  </si>
  <si>
    <t>TID_CityBuildingBasicConfData_207_disName_CN_Main</t>
  </si>
  <si>
    <t>TID_CityBuildingBasicConfData_207_desc_CN_Main</t>
  </si>
  <si>
    <t>Play_click_Farmland</t>
  </si>
  <si>
    <t>Play_building_putdown_farm</t>
  </si>
  <si>
    <t>内城农田建筑</t>
  </si>
  <si>
    <t>BUFFER_ID_BUILDINGCAPACITY_CASTLE</t>
  </si>
  <si>
    <t>BUFFER_ID_BUILDINGEXPEND_CASTLE_DEC</t>
  </si>
  <si>
    <t>TID_CityBuildingBasicConfData_208_disName_CN_Main</t>
  </si>
  <si>
    <t>TID_CityBuildingBasicConfData_208_desc_CN_Main</t>
  </si>
  <si>
    <t>0:25:0</t>
  </si>
  <si>
    <t>Play_click_Statuehero</t>
  </si>
  <si>
    <t>Play_castle_closeup</t>
  </si>
  <si>
    <t>Play_building_levelup_finish_h</t>
  </si>
  <si>
    <t>内城城堡建筑</t>
  </si>
  <si>
    <t>BUFFER_ID_BUILDINGCAPACITY_STABLE</t>
  </si>
  <si>
    <t>TID_CityBuildingBasicConfData_209_disName_CN_Main</t>
  </si>
  <si>
    <t>TID_CityBuildingBasicConfData_209_desc_CN_Main</t>
  </si>
  <si>
    <t>Play_click_Stable</t>
  </si>
  <si>
    <t>Play_stable_closeup</t>
  </si>
  <si>
    <t>Play_amb_st_stable</t>
  </si>
  <si>
    <t>Play_stable_finish</t>
  </si>
  <si>
    <t>内城马厩建筑</t>
  </si>
  <si>
    <t>BUFFER_ID_BUILDINGCAPACITY_UNIVERSITY</t>
  </si>
  <si>
    <t>TID_CityBuildingBasicConfData_211_disName_CN_Main</t>
  </si>
  <si>
    <t>TID_CityBuildingBasicConfData_211_desc_CN_Main</t>
  </si>
  <si>
    <t>0:15:0</t>
  </si>
  <si>
    <t>Play_click_University</t>
  </si>
  <si>
    <t>Play_university_closeup</t>
  </si>
  <si>
    <t>内城学院建筑</t>
  </si>
  <si>
    <t>BUFFER_ID_BUILDINGCAPACITY_DRILLGROUND</t>
  </si>
  <si>
    <t>TID_CityBuildingBasicConfData_212_disName_CN_Main</t>
  </si>
  <si>
    <t>TID_CityBuildingBasicConfData_212_desc_CN_Main</t>
  </si>
  <si>
    <t>0:12:0</t>
  </si>
  <si>
    <t>Play_click_DrillGround</t>
  </si>
  <si>
    <t>Play_drillground_closeup</t>
  </si>
  <si>
    <t>内城校场建筑</t>
  </si>
  <si>
    <t>BUFFER_ID_BUILDINGCAPACITY_DOCK</t>
  </si>
  <si>
    <t>TID_CityBuildingBasicConfData_213_disName_CN_Main</t>
  </si>
  <si>
    <t>TID_CityBuildingBasicConfData_213_desc_CN_Main</t>
  </si>
  <si>
    <t>Play_click_Dock</t>
  </si>
  <si>
    <t>Play_amb_st_wharf</t>
  </si>
  <si>
    <t>内城码头建筑</t>
  </si>
  <si>
    <t>BUFFER_ID_BUILDINGCAPACITY_GATE</t>
  </si>
  <si>
    <t>TID_CityBuildingBasicConfData_215_disName_CN_Main</t>
  </si>
  <si>
    <t>TID_CityBuildingBasicConfData_215_desc_CN_Main</t>
  </si>
  <si>
    <t>Play_click_Wall</t>
  </si>
  <si>
    <t>Play_wall_closeup</t>
  </si>
  <si>
    <t>内城城墙建筑</t>
  </si>
  <si>
    <t>BUFFER_ID_BUILDINGCAPACITY_MEDICALHOUSE</t>
  </si>
  <si>
    <t>TID_CityBuildingBasicConfData_222_disName_CN_Main</t>
  </si>
  <si>
    <t>TID_CityBuildingBasicConfData_222_desc_CN_Main</t>
  </si>
  <si>
    <t>0:8:0</t>
  </si>
  <si>
    <t>Play_click_MedicalHouse</t>
  </si>
  <si>
    <t>Play_medicalhouse_closeup</t>
  </si>
  <si>
    <t>内城治疗房舍建筑</t>
  </si>
  <si>
    <t>征兵房舍</t>
  </si>
  <si>
    <t>BUFFER_ID_BUILDINGCAPACITY_MILITARYHOUSE</t>
  </si>
  <si>
    <t>TID_CityBuildingBasicConfData_223_disName_CN_Main</t>
  </si>
  <si>
    <t>TID_CityBuildingBasicConfData_223_desc_CN_Main</t>
  </si>
  <si>
    <t>Play_click_MilitaryHouse</t>
  </si>
  <si>
    <t>Play_militaryhouse_closeup</t>
  </si>
  <si>
    <t>BUFFER_ID_BUILDINGCAPACITY_ARCHERYRANGE</t>
  </si>
  <si>
    <t>TID_CityBuildingBasicConfData_224_disName_CN_Main</t>
  </si>
  <si>
    <t>TID_CityBuildingBasicConfData_224_desc_CN_Main</t>
  </si>
  <si>
    <t>Play_click_ArcheryRange</t>
  </si>
  <si>
    <t>Play_archeryrange_closeup</t>
  </si>
  <si>
    <t>Play_amb_st_archeryrange</t>
  </si>
  <si>
    <t>Play_archeryrange_finish</t>
  </si>
  <si>
    <t>内城射箭场建筑</t>
  </si>
  <si>
    <t>BUFFER_ID_BUILDINGCAPACITY_WATCHTOWER</t>
  </si>
  <si>
    <t>BUFFER_ID_BUILDINGEXPEND_WATCHTOWER_DEC</t>
  </si>
  <si>
    <t>TID_CityBuildingBasicConfData_226_disName_CN_Main</t>
  </si>
  <si>
    <t>TID_CityBuildingBasicConfData_226_desc_CN_Main</t>
  </si>
  <si>
    <t>Play_click_WatchTower</t>
  </si>
  <si>
    <t>Play_watchtower_closeup</t>
  </si>
  <si>
    <t>Building_UpgradeDefault_226</t>
  </si>
  <si>
    <t>内城瞭望塔建筑</t>
  </si>
  <si>
    <t>防卫塔</t>
  </si>
  <si>
    <t>BUFFER_ID_BUILDINGCAPACITY_TOWER</t>
  </si>
  <si>
    <t>TID_CityBuildingBasicConfData_227_disName_CN_Main</t>
  </si>
  <si>
    <t>TID_CityBuildingBasicConfData_227_desc_CN_Main</t>
  </si>
  <si>
    <t>Play_click_Tower</t>
  </si>
  <si>
    <t>Play_tower_closeup</t>
  </si>
  <si>
    <t>Play_building_farmland_start</t>
  </si>
  <si>
    <t>内城防卫塔建筑</t>
  </si>
  <si>
    <t>铁匠铺</t>
  </si>
  <si>
    <t>BUFFER_ID_BUILDINGCAPACITY_BLACKSMITH</t>
  </si>
  <si>
    <t>TID_CityBuildingBasicConfData_228_disName_CN_Main</t>
  </si>
  <si>
    <t>TID_CityBuildingBasicConfData_228_desc_CN_Main</t>
  </si>
  <si>
    <t>英雄Gear装备是否上线</t>
  </si>
  <si>
    <t>BUFFER_ID_BUILDINGCAPACITY_HALLOFWAR</t>
  </si>
  <si>
    <t>TID_CityBuildingBasicConfData_229_disName_CN_Main</t>
  </si>
  <si>
    <t>TID_CityBuildingBasicConfData_229_desc_CN_Main</t>
  </si>
  <si>
    <t>Play_click_HallOfWar</t>
  </si>
  <si>
    <t>Play_hallofwar_closeup</t>
  </si>
  <si>
    <t>内城战争大厅建筑</t>
  </si>
  <si>
    <t>BUFFER_ID_BUILDINGCAPACITY_EMBASSY</t>
  </si>
  <si>
    <t>TID_CityBuildingBasicConfData_230_disName_CN_Main</t>
  </si>
  <si>
    <t>TID_CityBuildingBasicConfData_230_desc_CN_Main</t>
  </si>
  <si>
    <t>Play_click_Embassy</t>
  </si>
  <si>
    <t>Play_embassy_closeup</t>
  </si>
  <si>
    <t>内城大使馆建筑</t>
  </si>
  <si>
    <t>BUFFER_ID_BUILDINGCAPACITY_MARKET</t>
  </si>
  <si>
    <t>TID_CityBuildingBasicConfData_231_disName_CN_Main</t>
  </si>
  <si>
    <t>TID_CityBuildingBasicConfData_231_desc_CN_Main</t>
  </si>
  <si>
    <t>Play_click_Market</t>
  </si>
  <si>
    <t>Play_market_closeup</t>
  </si>
  <si>
    <t>内城市集建筑</t>
  </si>
  <si>
    <t>BUFFER_ID_BUILDINGCAPACITY_SPEARBARRACK</t>
  </si>
  <si>
    <t>TID_CityBuildingBasicConfData_232_disName_CN_Main</t>
  </si>
  <si>
    <t>TID_CityBuildingBasicConfData_232_desc_CN_Main</t>
  </si>
  <si>
    <t>Play_click_SpearBarrack</t>
  </si>
  <si>
    <t>Play_spearbarrack_closeup</t>
  </si>
  <si>
    <t>Play_spear_finish</t>
  </si>
  <si>
    <t>内城枪兵营建筑</t>
  </si>
  <si>
    <t>BUFFER_ID_BUILDINGCAPACITY_MUSEUM</t>
  </si>
  <si>
    <t>TID_CityBuildingBasicConfData_233_disName_CN_Main</t>
  </si>
  <si>
    <t>TID_CityBuildingBasicConfData_233_desc_CN_Main</t>
  </si>
  <si>
    <t>Play_click_Museum</t>
  </si>
  <si>
    <t>Play_museum_closeup</t>
  </si>
  <si>
    <t>Play_building_levelup_start</t>
  </si>
  <si>
    <t>Play_building_move_hvy</t>
  </si>
  <si>
    <t>Play_building_putdown_hvy</t>
  </si>
  <si>
    <t>Play_building_build_start</t>
  </si>
  <si>
    <t>内城博物馆建筑</t>
  </si>
  <si>
    <t>BUFFER_ID_BUILDINGCAPACITY_GOLDMINE</t>
  </si>
  <si>
    <t>TID_CityBuildingBasicConfData_234_disName_CN_Main</t>
  </si>
  <si>
    <t>TID_CityBuildingBasicConfData_234_desc_CN_Main</t>
  </si>
  <si>
    <t>Play_click_Goldmine</t>
  </si>
  <si>
    <t>Play_goldmine_closeup</t>
  </si>
  <si>
    <t>内城金矿场建筑</t>
  </si>
  <si>
    <t>点将台</t>
  </si>
  <si>
    <t>BUFFER_ID_BUILDINGCAPACITY_STATUEHEROES</t>
  </si>
  <si>
    <t>TID_CityBuildingBasicConfData_235_disName_CN_Main</t>
  </si>
  <si>
    <t>TID_CityBuildingBasicConfData_235_desc_CN_Main</t>
  </si>
  <si>
    <t>Play_click_Building_herosum</t>
  </si>
  <si>
    <t>纪念碑</t>
  </si>
  <si>
    <t>BuildingCapacity_Stone</t>
  </si>
  <si>
    <t>TID_CityBuildingBasicConfData_236_disName_CN_Main</t>
  </si>
  <si>
    <t>TID_CityBuildingBasicConfData_236_desc_CN_Main</t>
  </si>
  <si>
    <t>内城纪念碑建筑</t>
  </si>
  <si>
    <t>BuildingCapacity_Tavern</t>
  </si>
  <si>
    <t>TID_CityBuildingBasicConfData_237_disName_GL_Main</t>
  </si>
  <si>
    <t>TID_CityBuildingBasicConfData_237_desc_GL_Main</t>
  </si>
  <si>
    <t>Play_click_Tavern</t>
  </si>
  <si>
    <t>Play_tavern_closeup</t>
  </si>
  <si>
    <t>Play_amb_st_tavern</t>
  </si>
  <si>
    <t>公告板</t>
  </si>
  <si>
    <t>BuildingCapacity_NoticeBoard</t>
  </si>
  <si>
    <t>TID_CityBuildingBasicConfData_300_disName_GL_Main</t>
  </si>
  <si>
    <t>TID_CityBuildingBasicConfData_300_desc_GL_Main</t>
  </si>
  <si>
    <t>仓库</t>
  </si>
  <si>
    <t>BuildingCapacity_Warehouse</t>
  </si>
  <si>
    <t>TID_CityBuildingBasicConfData_400_disName_GL_Main</t>
  </si>
  <si>
    <t>TID_CityBuildingBasicConfData_400_desc_GL_Main</t>
  </si>
  <si>
    <t>内城仓库建筑</t>
  </si>
  <si>
    <t>副玩法建筑</t>
  </si>
  <si>
    <t>BuildingCapacity_StrongHold</t>
  </si>
  <si>
    <t>TID_CityBuildingBasicConfData_404_disName_GL_Main</t>
  </si>
  <si>
    <t>TID_CityBuildingBasicConfData_404_desc_CN_Main</t>
  </si>
  <si>
    <t>副玩法建筑码头</t>
  </si>
  <si>
    <t>convert(ResCity.proto,table_CityBuildingRepaireConf, CityBuildingRepaireConf.pbin)</t>
  </si>
  <si>
    <t>ID(建筑基础配置的id)</t>
  </si>
  <si>
    <t>修复消耗时间（秒）</t>
  </si>
  <si>
    <t>修复消耗食物</t>
  </si>
  <si>
    <t>修复消耗木材</t>
  </si>
  <si>
    <t>修复消耗石材</t>
  </si>
  <si>
    <t>修复消耗黄金</t>
  </si>
  <si>
    <t>修复消耗道具id</t>
  </si>
  <si>
    <t>修复消耗道具数量</t>
  </si>
  <si>
    <t>修复类型</t>
  </si>
  <si>
    <t>修复解锁条件关系</t>
  </si>
  <si>
    <t>修复解锁条件</t>
  </si>
  <si>
    <t>解锁任务类型</t>
  </si>
  <si>
    <t>任务条件类型</t>
  </si>
  <si>
    <t>解锁任务</t>
  </si>
  <si>
    <t>损坏得建筑模型路径</t>
  </si>
  <si>
    <t>修复中的建筑模型路径</t>
  </si>
  <si>
    <t>额外配置路径(相机timeline)</t>
  </si>
  <si>
    <t>占领的蛮族要塞配置id</t>
  </si>
  <si>
    <t>农民位置出发点</t>
  </si>
  <si>
    <t>农民位置终点</t>
  </si>
  <si>
    <t>农民待机点位置</t>
  </si>
  <si>
    <t>修复动作类型</t>
  </si>
  <si>
    <t>costSec</t>
  </si>
  <si>
    <t>costFood</t>
  </si>
  <si>
    <t>costWood</t>
  </si>
  <si>
    <t>costStone</t>
  </si>
  <si>
    <t>costGold</t>
  </si>
  <si>
    <t>costItemIDs</t>
  </si>
  <si>
    <t>costItemNums</t>
  </si>
  <si>
    <t>repairType</t>
  </si>
  <si>
    <t>resConditionGroup.conditionRelation</t>
  </si>
  <si>
    <t>resConditionGroup.condition.condOneOf</t>
  </si>
  <si>
    <t>path</t>
  </si>
  <si>
    <t>repairePath</t>
  </si>
  <si>
    <t>extraPath</t>
  </si>
  <si>
    <t>monsterFortressConfId</t>
  </si>
  <si>
    <t>peasantRepaireConf.srcPos.x</t>
  </si>
  <si>
    <t>peasantRepaireConf.srcPos.y</t>
  </si>
  <si>
    <t>peasantRepaireConf.srcPos.z</t>
  </si>
  <si>
    <t>peasantRepaireConf.dstPos.x</t>
  </si>
  <si>
    <t>peasantRepaireConf.dstPos.y</t>
  </si>
  <si>
    <t>peasantRepaireConf.dstPos.z</t>
  </si>
  <si>
    <t>peasantRepaireConf.idlePos.x</t>
  </si>
  <si>
    <t>peasantRepaireConf.idlePos.y</t>
  </si>
  <si>
    <t>peasantRepaireConf.idlePos.z</t>
  </si>
  <si>
    <t>peasantRepaireConf.jobType</t>
  </si>
  <si>
    <t>修复</t>
  </si>
  <si>
    <t>条件与</t>
  </si>
  <si>
    <t>taskAccept{taskId:666912}</t>
  </si>
  <si>
    <t>探索任务主目标</t>
  </si>
  <si>
    <t>taskComplete</t>
  </si>
  <si>
    <t>assets/bundleresources/environment/city/building/common/burned/or/p_or_centerburned_a0.prefab</t>
  </si>
  <si>
    <t>assets/bundleresources/environment/city/building/common/burned/rr/p_rr_centerburned_a0.prefab</t>
  </si>
  <si>
    <t>taskComplete{taskId:666211}</t>
  </si>
  <si>
    <t>探索任务子目标</t>
  </si>
  <si>
    <t>拾取200木材</t>
  </si>
  <si>
    <t>assets/bundleresources/environment/city/building/common/burned/or/p_or_houseburned_a0.prefab</t>
  </si>
  <si>
    <t>assets/bundleresources/environment/city/building/common/burned/rr/p_rr_houseburned_a0.prefab</t>
  </si>
  <si>
    <t>StoneMiner</t>
  </si>
  <si>
    <t>Lumber</t>
  </si>
  <si>
    <t>taskAccept{taskId:666512}</t>
  </si>
  <si>
    <t>assets/bundleresources/environment/city/building/common/burned/or/p_or_barrackburned_a0.prefab</t>
  </si>
  <si>
    <t>assets/bundleresources/environment/city/building/common/burned/rr/p_rr_barrackburned_a0.prefab</t>
  </si>
  <si>
    <t>convert(ResCity.proto,table_CityBuildingLevelUpConfData, CityBuildingLevelUpConfData.pbin)</t>
  </si>
  <si>
    <t>排序辅助</t>
  </si>
  <si>
    <t>建筑类型ID</t>
  </si>
  <si>
    <t>推荐建筑</t>
  </si>
  <si>
    <t>推荐等级</t>
  </si>
  <si>
    <t>建筑形象</t>
  </si>
  <si>
    <t>升级消耗时间</t>
  </si>
  <si>
    <t>升级消耗食物</t>
  </si>
  <si>
    <t>升级消耗木材</t>
  </si>
  <si>
    <t>升级消耗石料</t>
  </si>
  <si>
    <t>升级消耗黄金</t>
  </si>
  <si>
    <t>升级消耗道具ID</t>
  </si>
  <si>
    <t>升级消耗道具数量</t>
  </si>
  <si>
    <t>升级需求建筑</t>
  </si>
  <si>
    <t>升级需求建筑等级</t>
  </si>
  <si>
    <t>升级时代需求</t>
  </si>
  <si>
    <t>升级繁荣度需求</t>
  </si>
  <si>
    <t>获得君主经验</t>
  </si>
  <si>
    <t>效果</t>
  </si>
  <si>
    <t>效果文本</t>
  </si>
  <si>
    <t>战力累计值</t>
  </si>
  <si>
    <t>建筑属性1ID</t>
  </si>
  <si>
    <t>建筑属性1B值</t>
  </si>
  <si>
    <t>建筑属性1C值</t>
  </si>
  <si>
    <t>建筑属性1D值</t>
  </si>
  <si>
    <t>建筑属性2ID</t>
  </si>
  <si>
    <t>建筑属性2B值</t>
  </si>
  <si>
    <t>建筑属性2C值</t>
  </si>
  <si>
    <t>建筑属性2D值</t>
  </si>
  <si>
    <t>建筑属性3ID</t>
  </si>
  <si>
    <t>建筑属性3B值</t>
  </si>
  <si>
    <t>建筑属性3C值</t>
  </si>
  <si>
    <t>建筑属性3D值</t>
  </si>
  <si>
    <t>建筑属性4ID</t>
  </si>
  <si>
    <t>建筑属性4B值</t>
  </si>
  <si>
    <t>建筑属性4C值</t>
  </si>
  <si>
    <t>建筑属性4D值</t>
  </si>
  <si>
    <t>建筑属性5ID</t>
  </si>
  <si>
    <t>建筑属性5B值</t>
  </si>
  <si>
    <t>建筑属性5C值</t>
  </si>
  <si>
    <t>建筑属性5D值</t>
  </si>
  <si>
    <t>建筑属性6ID</t>
  </si>
  <si>
    <t>建筑属性6B值</t>
  </si>
  <si>
    <t>建筑属性6C值</t>
  </si>
  <si>
    <t>建筑属性6D值</t>
  </si>
  <si>
    <t>建筑属性7ID</t>
  </si>
  <si>
    <t>建筑属性7B值</t>
  </si>
  <si>
    <t>建筑属性7C值</t>
  </si>
  <si>
    <t>建筑属性7D值</t>
  </si>
  <si>
    <t>建筑属性8ID</t>
  </si>
  <si>
    <t>建筑属性8B值</t>
  </si>
  <si>
    <t>建筑属性8C值</t>
  </si>
  <si>
    <t>建筑属性8D值</t>
  </si>
  <si>
    <t>是否唯一</t>
  </si>
  <si>
    <t>数值表顺序（不读）</t>
  </si>
  <si>
    <t>新手关怀buff作用升级时间</t>
  </si>
  <si>
    <t>奖励邮件ID</t>
  </si>
  <si>
    <t>主要显示属性</t>
  </si>
  <si>
    <t>建造/升级时最大可派遣农民数</t>
  </si>
  <si>
    <t>资源最大可派遣农民数</t>
  </si>
  <si>
    <t>派遣农民效果1</t>
  </si>
  <si>
    <t>农民派遣buffid1</t>
  </si>
  <si>
    <t>农民派遣buff值1</t>
  </si>
  <si>
    <t>buildingType</t>
  </si>
  <si>
    <t>level</t>
  </si>
  <si>
    <t>recommendBuildIds</t>
  </si>
  <si>
    <t>recommendLevels</t>
  </si>
  <si>
    <t>image</t>
  </si>
  <si>
    <t>needBuildingTypes[;]</t>
  </si>
  <si>
    <t>needBuildingLevels[;]</t>
  </si>
  <si>
    <t>needAge</t>
  </si>
  <si>
    <t>needBuildingPower</t>
  </si>
  <si>
    <t>lordExp</t>
  </si>
  <si>
    <t>detailRowControl</t>
  </si>
  <si>
    <t>detailRowTitles[:]</t>
  </si>
  <si>
    <t>detailUnlockText</t>
  </si>
  <si>
    <t>fightPower</t>
  </si>
  <si>
    <t>array[1].buffID</t>
  </si>
  <si>
    <t>array[1].valueB</t>
  </si>
  <si>
    <t>array[1].valueC</t>
  </si>
  <si>
    <t>array[1].valueD</t>
  </si>
  <si>
    <t>array[2].buffID</t>
  </si>
  <si>
    <t>array[2].valueB</t>
  </si>
  <si>
    <t>array[2].valueC</t>
  </si>
  <si>
    <t>array[2].valueD</t>
  </si>
  <si>
    <t>array[3].buffID</t>
  </si>
  <si>
    <t>array[3].valueB</t>
  </si>
  <si>
    <t>array[3].valueC</t>
  </si>
  <si>
    <t>array[3].valueD</t>
  </si>
  <si>
    <t>array[4].buffID</t>
  </si>
  <si>
    <t>array[4].valueB</t>
  </si>
  <si>
    <t>array[4].valueC</t>
  </si>
  <si>
    <t>array[4].valueD</t>
  </si>
  <si>
    <t>array[5].buffID</t>
  </si>
  <si>
    <t>array[5].valueB</t>
  </si>
  <si>
    <t>array[5].valueC</t>
  </si>
  <si>
    <t>array[5].valueD</t>
  </si>
  <si>
    <t>array[6].buffID</t>
  </si>
  <si>
    <t>array[6].valueB</t>
  </si>
  <si>
    <t>array[6].valueC</t>
  </si>
  <si>
    <t>array[6].valueD</t>
  </si>
  <si>
    <t>array[7].buffID</t>
  </si>
  <si>
    <t>array[7].valueB</t>
  </si>
  <si>
    <t>array[7].valueC</t>
  </si>
  <si>
    <t>array[7].valueD</t>
  </si>
  <si>
    <t>array[8].buffID</t>
  </si>
  <si>
    <t>array[8].valueB</t>
  </si>
  <si>
    <t>array[8].valueC</t>
  </si>
  <si>
    <t>array[8].valueD</t>
  </si>
  <si>
    <t>careBuffUpTime</t>
  </si>
  <si>
    <t>mailId</t>
  </si>
  <si>
    <t>mainBuffId[|]</t>
  </si>
  <si>
    <t>deployFarmerForUpgradeCntMax</t>
  </si>
  <si>
    <t>deployFarmerForResourceCntMax</t>
  </si>
  <si>
    <t>deployFarmerEffects[1].effect</t>
  </si>
  <si>
    <t>deployFarmerEffects[1].bufferId</t>
  </si>
  <si>
    <t>deployFarmerEffects[1].value</t>
  </si>
  <si>
    <t xml:space="preserve">0
</t>
  </si>
  <si>
    <t>1:0</t>
  </si>
  <si>
    <t>TID_Buff_BuilDetail_6001:TID_Buff_BuilDetail_1</t>
  </si>
  <si>
    <t>1|2</t>
  </si>
  <si>
    <t>204:203:202:206:224</t>
  </si>
  <si>
    <t>1:1:1:1:1</t>
  </si>
  <si>
    <t>TID_CityBuilding_detailUnlockText_2010002</t>
  </si>
  <si>
    <t>204:203:202:206:224:222</t>
  </si>
  <si>
    <t>2:2:2:2:2:2</t>
  </si>
  <si>
    <t>204:203:202:206:224:222:215</t>
  </si>
  <si>
    <t>3:3:3:3:3:3:3</t>
  </si>
  <si>
    <t>TID_CityBuilding_detailUnlockText_2010004</t>
  </si>
  <si>
    <t>205:204:203:202:222:206:224:212:215</t>
  </si>
  <si>
    <t>4:4:4:4:4:4:4:4:4</t>
  </si>
  <si>
    <t>215;222</t>
  </si>
  <si>
    <t>4;4</t>
  </si>
  <si>
    <t>TID_CityBuilding_detailUnlockText_2010005</t>
  </si>
  <si>
    <t>204:205:203:202:222:206:224:232:209:212:215</t>
  </si>
  <si>
    <t>5:5:5:5:5:5:5:5:5:5:5</t>
  </si>
  <si>
    <t>215;226</t>
  </si>
  <si>
    <t>5;5</t>
  </si>
  <si>
    <t>TID_CityBuilding_detailUnlockText_2010006</t>
  </si>
  <si>
    <t>204:205:203:202:206:222:224:232:209:212:215</t>
  </si>
  <si>
    <t>6:6:6:6:6:6:6:6:6:6:6</t>
  </si>
  <si>
    <t>215;231</t>
  </si>
  <si>
    <t>6;6</t>
  </si>
  <si>
    <t>TID_CityBuilding_detailUnlockText_2010007</t>
  </si>
  <si>
    <t>7:7:7:7:7:7:7:7:7:7:7</t>
  </si>
  <si>
    <t>215;206</t>
  </si>
  <si>
    <t>7;7</t>
  </si>
  <si>
    <t>TID_CityBuilding_detailUnlockText_2010008</t>
  </si>
  <si>
    <t>204:205:203:202:212:222:206:224:232:209:215:230</t>
  </si>
  <si>
    <t>8:8:8:8:8:8:8:8:8:8:8:8</t>
  </si>
  <si>
    <t>215;230</t>
  </si>
  <si>
    <t>8;8</t>
  </si>
  <si>
    <t>TID_CityBuilding_detailUnlockText_2010009</t>
  </si>
  <si>
    <t>第[%d1]个石矿场</t>
  </si>
  <si>
    <t>9:9:9:9:9:9:9:9:9:9:9:9</t>
  </si>
  <si>
    <t>215;211</t>
  </si>
  <si>
    <t>9;9</t>
  </si>
  <si>
    <t>234:204:205:203:202:206:224:222:212:232:209:215:230</t>
  </si>
  <si>
    <t>10:10:10:10:10:10:10:10:10:10:10:10:10</t>
  </si>
  <si>
    <t>10;10</t>
  </si>
  <si>
    <t>TID_CityBuilding_detailUnlockText_2010011</t>
  </si>
  <si>
    <t>第[%d1]个伐木场</t>
  </si>
  <si>
    <t>204:205:234:203:202:206:224:222:212:232:209:215:226:230</t>
  </si>
  <si>
    <t>11:11:11:11:11:11:11:11:11:11:11:11:11:11</t>
  </si>
  <si>
    <t>11;11</t>
  </si>
  <si>
    <t>TID_CityBuilding_detailUnlockText_2010012</t>
  </si>
  <si>
    <t>战争大厅和第1个副将位</t>
  </si>
  <si>
    <t>204:205:234:203:202:206:224:222:212:232:209:215:226:229:230</t>
  </si>
  <si>
    <t>12:12:12:12:12:12:12:12:12:12:12:12:12:12:12</t>
  </si>
  <si>
    <t>215;232</t>
  </si>
  <si>
    <t>12;12</t>
  </si>
  <si>
    <t>TID_CityBuilding_detailUnlockText_2010013</t>
  </si>
  <si>
    <t>第[%d1]个磨坊</t>
  </si>
  <si>
    <t>13:13:13:13:13:13:13:13:13:13:13:13:13:13:13</t>
  </si>
  <si>
    <t>13;13</t>
  </si>
  <si>
    <t>204:205:234:203:202:206:224:232:222:212:209:215:226:229:230</t>
  </si>
  <si>
    <t>14:14:14:14:14:14:14:14:14:14:14:14:14:14:14</t>
  </si>
  <si>
    <t>14;14</t>
  </si>
  <si>
    <t>TID_CityBuilding_detailUnlockText_2010015</t>
  </si>
  <si>
    <t>第[%d1]个金矿场</t>
  </si>
  <si>
    <t>15:15:15:15:15:15:15:15:15:15:15:15:15:15:15</t>
  </si>
  <si>
    <t>15;15</t>
  </si>
  <si>
    <t>TID_CityBuilding_detailUnlockText_2010016</t>
  </si>
  <si>
    <t>16:16:16:16:16:16:16:16:16:16:16:16:16:16:16</t>
  </si>
  <si>
    <t>16;16</t>
  </si>
  <si>
    <t>TID_CityBuilding_detailUnlockText_2010017</t>
  </si>
  <si>
    <t>第[%d1]个伐木场和第2个副将位</t>
  </si>
  <si>
    <t>204:205:234:203:202:206:232:209:224:222:212:215:226:229:230</t>
  </si>
  <si>
    <t>17:17:17:17:17:17:17:17:17:17:17:17:17:17:17</t>
  </si>
  <si>
    <t>215;209</t>
  </si>
  <si>
    <t>17;17</t>
  </si>
  <si>
    <t>TID_CityBuilding_detailUnlockText_2010018</t>
  </si>
  <si>
    <t>18:18:18:18:18:18:18:18:18:18:18:18:18:18:18</t>
  </si>
  <si>
    <t>18;18</t>
  </si>
  <si>
    <t>19:19:19:19:19:19:19:19:19:19:19:19:19:19:19</t>
  </si>
  <si>
    <t>19;19</t>
  </si>
  <si>
    <t>TID_CityBuilding_detailUnlockText_2010020</t>
  </si>
  <si>
    <t>城镇中心21</t>
  </si>
  <si>
    <t>20:20:20:20:20:20:20:20:20:20:20:20:20:20:20</t>
  </si>
  <si>
    <t>20;20</t>
  </si>
  <si>
    <t>TID_CityBuilding_detailUnlockText_2010021</t>
  </si>
  <si>
    <t>城镇中心22</t>
  </si>
  <si>
    <t>21:21:21:21:21:21:21:21:21:21:21:21:21:21:21</t>
  </si>
  <si>
    <t>21;21</t>
  </si>
  <si>
    <t>城镇中心23</t>
  </si>
  <si>
    <t>22:22:22:22:22:22:22:22:22:22:22:22:22:22:22</t>
  </si>
  <si>
    <t>215;224</t>
  </si>
  <si>
    <t>22;22</t>
  </si>
  <si>
    <t>城镇中心24</t>
  </si>
  <si>
    <t>23:23:23:23:23:23:23:23:23:23:23:23:23:23:23</t>
  </si>
  <si>
    <t>23;23</t>
  </si>
  <si>
    <t>TID_CityBuilding_detailUnlockText_2010024</t>
  </si>
  <si>
    <t>城镇中心25</t>
  </si>
  <si>
    <t>24:24:24:24:24:24:24:24:24:24:24:24:24:24:24</t>
  </si>
  <si>
    <t>24;24</t>
  </si>
  <si>
    <t>城镇中心26</t>
  </si>
  <si>
    <t>25:25:25:25:25:25:25:25:25:25:25:25:25:25:25</t>
  </si>
  <si>
    <t>25;25</t>
  </si>
  <si>
    <t>城镇中心27</t>
  </si>
  <si>
    <t>26:26:26:26:26:26:26:26:26:26:26:26:26:26:26</t>
  </si>
  <si>
    <t>26;26</t>
  </si>
  <si>
    <t>城镇中心28</t>
  </si>
  <si>
    <t>27:27:27:27:27:27:27:27:27:27:27:27:27:27:27</t>
  </si>
  <si>
    <t>27;27</t>
  </si>
  <si>
    <t>城镇中心29</t>
  </si>
  <si>
    <t>28:28:28:28:28:28:28:28:28:28:28:28:28:28:28</t>
  </si>
  <si>
    <t>28;28</t>
  </si>
  <si>
    <t>城镇中心30</t>
  </si>
  <si>
    <t>29:29:29:29:29:29:29:29:29:29:29:29:29:29:29</t>
  </si>
  <si>
    <t>29;29</t>
  </si>
  <si>
    <t>201</t>
  </si>
  <si>
    <t>TID_Buff_BuilDetail_1200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</si>
  <si>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</si>
  <si>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</si>
  <si>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</si>
  <si>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</si>
  <si>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</si>
  <si>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</si>
  <si>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</si>
  <si>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</si>
  <si>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</si>
  <si>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</si>
  <si>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</si>
  <si>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</si>
  <si>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</si>
  <si>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</si>
  <si>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</si>
  <si>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</si>
  <si>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</si>
  <si>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</si>
  <si>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</si>
  <si>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居民房舍21</t>
  </si>
  <si>
    <t>21</t>
  </si>
  <si>
    <t>居民房舍22</t>
  </si>
  <si>
    <t>22</t>
  </si>
  <si>
    <t>居民房舍23</t>
  </si>
  <si>
    <t>23</t>
  </si>
  <si>
    <t>居民房舍24</t>
  </si>
  <si>
    <t>24</t>
  </si>
  <si>
    <t>居民房舍25</t>
  </si>
  <si>
    <t>25</t>
  </si>
  <si>
    <t>居民房舍26</t>
  </si>
  <si>
    <t>26</t>
  </si>
  <si>
    <t>居民房舍27</t>
  </si>
  <si>
    <t>27</t>
  </si>
  <si>
    <t>居民房舍28</t>
  </si>
  <si>
    <t>28</t>
  </si>
  <si>
    <t>居民房舍29</t>
  </si>
  <si>
    <t>29</t>
  </si>
  <si>
    <t>居民房舍30</t>
  </si>
  <si>
    <t>30</t>
  </si>
  <si>
    <t>TID_Buff_BuilDetail_1015:TID_Buff_BuilDetail_1206</t>
  </si>
  <si>
    <t>提高产量</t>
  </si>
  <si>
    <t>磨坊21</t>
  </si>
  <si>
    <t>磨坊22</t>
  </si>
  <si>
    <t>磨坊23</t>
  </si>
  <si>
    <t>磨坊24</t>
  </si>
  <si>
    <t>磨坊25</t>
  </si>
  <si>
    <t>磨坊26</t>
  </si>
  <si>
    <t>磨坊27</t>
  </si>
  <si>
    <t>磨坊28</t>
  </si>
  <si>
    <t>磨坊29</t>
  </si>
  <si>
    <t>磨坊30</t>
  </si>
  <si>
    <t>TID_Buff_BuilDetail_1017</t>
  </si>
  <si>
    <t>伐木场21</t>
  </si>
  <si>
    <t>伐木场22</t>
  </si>
  <si>
    <t>伐木场23</t>
  </si>
  <si>
    <t>伐木场24</t>
  </si>
  <si>
    <t>伐木场25</t>
  </si>
  <si>
    <t>伐木场26</t>
  </si>
  <si>
    <t>伐木场27</t>
  </si>
  <si>
    <t>伐木场28</t>
  </si>
  <si>
    <t>伐木场29</t>
  </si>
  <si>
    <t>伐木场30</t>
  </si>
  <si>
    <t>TID_Buff_BuilDetail_1018</t>
  </si>
  <si>
    <t>石矿场21</t>
  </si>
  <si>
    <t>石矿场22</t>
  </si>
  <si>
    <t>石矿场23</t>
  </si>
  <si>
    <t>石矿场24</t>
  </si>
  <si>
    <t>石矿场25</t>
  </si>
  <si>
    <t>石矿场26</t>
  </si>
  <si>
    <t>石矿场27</t>
  </si>
  <si>
    <t>石矿场28</t>
  </si>
  <si>
    <t>石矿场29</t>
  </si>
  <si>
    <t>石矿场30</t>
  </si>
  <si>
    <t>TID_Buff_BuilDetail_3000:TID_Buff_BuilDetail_3013</t>
  </si>
  <si>
    <t>201;203</t>
  </si>
  <si>
    <t>0%</t>
  </si>
  <si>
    <t>剑士营21</t>
  </si>
  <si>
    <t>剑士营22</t>
  </si>
  <si>
    <t>剑士营23</t>
  </si>
  <si>
    <t>剑士营24</t>
  </si>
  <si>
    <t>剑士营25</t>
  </si>
  <si>
    <t>剑士营26</t>
  </si>
  <si>
    <t>剑士营27</t>
  </si>
  <si>
    <t>剑士营28</t>
  </si>
  <si>
    <t>剑士营29</t>
  </si>
  <si>
    <t>剑士营30</t>
  </si>
  <si>
    <t>30;30</t>
  </si>
  <si>
    <t>TID_Buff_BuilDetail_3000:TID_Buff_BuilDetail_3014</t>
  </si>
  <si>
    <t>201;205</t>
  </si>
  <si>
    <t>马厩21</t>
  </si>
  <si>
    <t>马厩22</t>
  </si>
  <si>
    <t>马厩23</t>
  </si>
  <si>
    <t>马厩24</t>
  </si>
  <si>
    <t>马厩25</t>
  </si>
  <si>
    <t>马厩26</t>
  </si>
  <si>
    <t>马厩27</t>
  </si>
  <si>
    <t>马厩28</t>
  </si>
  <si>
    <t>马厩29</t>
  </si>
  <si>
    <t>马厩30</t>
  </si>
  <si>
    <t>TID_Buff_BuilDetail_4004</t>
  </si>
  <si>
    <t>201;237</t>
  </si>
  <si>
    <t>城墙21</t>
  </si>
  <si>
    <t>城墙22</t>
  </si>
  <si>
    <t>城墙23</t>
  </si>
  <si>
    <t>城墙24</t>
  </si>
  <si>
    <t>城墙25</t>
  </si>
  <si>
    <t>城墙26</t>
  </si>
  <si>
    <t>城墙27</t>
  </si>
  <si>
    <t>城墙28</t>
  </si>
  <si>
    <t>城墙29</t>
  </si>
  <si>
    <t>城墙30</t>
  </si>
  <si>
    <t>TID_Buff_BuilDetail_3102:TID_Buff_BuilDetail_3100</t>
  </si>
  <si>
    <t>治疗房舍21</t>
  </si>
  <si>
    <t>治疗房舍22</t>
  </si>
  <si>
    <t>治疗房舍23</t>
  </si>
  <si>
    <t>治疗房舍24</t>
  </si>
  <si>
    <t>治疗房舍25</t>
  </si>
  <si>
    <t>治疗房舍26</t>
  </si>
  <si>
    <t>治疗房舍27</t>
  </si>
  <si>
    <t>治疗房舍28</t>
  </si>
  <si>
    <t>治疗房舍29</t>
  </si>
  <si>
    <t>治疗房舍30</t>
  </si>
  <si>
    <t>TID_Buff_BuilDetail_3000:TID_Buff_BuilDetail_3015</t>
  </si>
  <si>
    <t>201;234</t>
  </si>
  <si>
    <t>射箭场21</t>
  </si>
  <si>
    <t>射箭场22</t>
  </si>
  <si>
    <t>射箭场23</t>
  </si>
  <si>
    <t>射箭场24</t>
  </si>
  <si>
    <t>射箭场25</t>
  </si>
  <si>
    <t>射箭场26</t>
  </si>
  <si>
    <t>射箭场27</t>
  </si>
  <si>
    <t>射箭场28</t>
  </si>
  <si>
    <t>射箭场29</t>
  </si>
  <si>
    <t>射箭场30</t>
  </si>
  <si>
    <t>TID_Buff_BuilDetail_2553:TID_Buff_BuilDetail_2570</t>
  </si>
  <si>
    <t>瞭望塔21</t>
  </si>
  <si>
    <t>瞭望塔22</t>
  </si>
  <si>
    <t>瞭望塔23</t>
  </si>
  <si>
    <t>瞭望塔24</t>
  </si>
  <si>
    <t>瞭望塔25</t>
  </si>
  <si>
    <t>瞭望塔26</t>
  </si>
  <si>
    <t>瞭望塔27</t>
  </si>
  <si>
    <t>瞭望塔28</t>
  </si>
  <si>
    <t>瞭望塔29</t>
  </si>
  <si>
    <t>瞭望塔30</t>
  </si>
  <si>
    <t>防卫塔1</t>
  </si>
  <si>
    <t>TID_Buff_BuilDetail_4207</t>
  </si>
  <si>
    <t>防卫塔2</t>
  </si>
  <si>
    <t>防卫塔3</t>
  </si>
  <si>
    <t>防卫塔4</t>
  </si>
  <si>
    <t>防卫塔5</t>
  </si>
  <si>
    <t>201;215</t>
  </si>
  <si>
    <t>防卫塔6</t>
  </si>
  <si>
    <t>防卫塔7</t>
  </si>
  <si>
    <t>防卫塔8</t>
  </si>
  <si>
    <t>防卫塔9</t>
  </si>
  <si>
    <t>防卫塔10</t>
  </si>
  <si>
    <t>防卫塔11</t>
  </si>
  <si>
    <t>防卫塔12</t>
  </si>
  <si>
    <t>防卫塔13</t>
  </si>
  <si>
    <t>防卫塔14</t>
  </si>
  <si>
    <t>防卫塔15</t>
  </si>
  <si>
    <t>防卫塔16</t>
  </si>
  <si>
    <t>防卫塔17</t>
  </si>
  <si>
    <t>防卫塔18</t>
  </si>
  <si>
    <t>防卫塔19</t>
  </si>
  <si>
    <t>防卫塔20</t>
  </si>
  <si>
    <t>防卫塔21</t>
  </si>
  <si>
    <t>防卫塔22</t>
  </si>
  <si>
    <t>防卫塔23</t>
  </si>
  <si>
    <t>防卫塔24</t>
  </si>
  <si>
    <t>防卫塔25</t>
  </si>
  <si>
    <t>防卫塔26</t>
  </si>
  <si>
    <t>防卫塔27</t>
  </si>
  <si>
    <t>防卫塔28</t>
  </si>
  <si>
    <t>防卫塔29</t>
  </si>
  <si>
    <t>防卫塔30</t>
  </si>
  <si>
    <t>TID_Buff_BuilDetail_1254:TID_Buff_BuilDetail_10000401</t>
  </si>
  <si>
    <t>201;230</t>
  </si>
  <si>
    <t>12;5</t>
  </si>
  <si>
    <t>12;6</t>
  </si>
  <si>
    <t>12;7</t>
  </si>
  <si>
    <t>12;8</t>
  </si>
  <si>
    <t>12;9</t>
  </si>
  <si>
    <t>12;10</t>
  </si>
  <si>
    <t>12;11</t>
  </si>
  <si>
    <t>战争大厅21</t>
  </si>
  <si>
    <t>战争大厅22</t>
  </si>
  <si>
    <t>战争大厅23</t>
  </si>
  <si>
    <t>战争大厅24</t>
  </si>
  <si>
    <t>战争大厅25</t>
  </si>
  <si>
    <t>战争大厅26</t>
  </si>
  <si>
    <t>战争大厅27</t>
  </si>
  <si>
    <t>战争大厅28</t>
  </si>
  <si>
    <t>战争大厅29</t>
  </si>
  <si>
    <t>战争大厅30</t>
  </si>
  <si>
    <t>TID_Buff_BuilDetail_2601:TID_Buff_BuilDetail_1400</t>
  </si>
  <si>
    <t>大使馆21</t>
  </si>
  <si>
    <t>大使馆22</t>
  </si>
  <si>
    <t>大使馆23</t>
  </si>
  <si>
    <t>大使馆24</t>
  </si>
  <si>
    <t>大使馆25</t>
  </si>
  <si>
    <t>大使馆26</t>
  </si>
  <si>
    <t>大使馆27</t>
  </si>
  <si>
    <t>大使馆28</t>
  </si>
  <si>
    <t>大使馆29</t>
  </si>
  <si>
    <t>大使馆30</t>
  </si>
  <si>
    <t>TID_Buff_BuilDetail_3000:TID_Buff_BuilDetail_3016</t>
  </si>
  <si>
    <t>201;204</t>
  </si>
  <si>
    <t>枪兵营21</t>
  </si>
  <si>
    <t>枪兵营22</t>
  </si>
  <si>
    <t>枪兵营23</t>
  </si>
  <si>
    <t>枪兵营24</t>
  </si>
  <si>
    <t>枪兵营25</t>
  </si>
  <si>
    <t>枪兵营26</t>
  </si>
  <si>
    <t>枪兵营27</t>
  </si>
  <si>
    <t>枪兵营28</t>
  </si>
  <si>
    <t>枪兵营29</t>
  </si>
  <si>
    <t>枪兵营30</t>
  </si>
  <si>
    <t>TID_Buff_BuilDetail_1019</t>
  </si>
  <si>
    <t>金矿场21</t>
  </si>
  <si>
    <t>金矿场22</t>
  </si>
  <si>
    <t>金矿场23</t>
  </si>
  <si>
    <t>金矿场24</t>
  </si>
  <si>
    <t>金矿场25</t>
  </si>
  <si>
    <t>金矿场26</t>
  </si>
  <si>
    <t>金矿场27</t>
  </si>
  <si>
    <t>金矿场28</t>
  </si>
  <si>
    <t>金矿场29</t>
  </si>
  <si>
    <t>金矿场30</t>
  </si>
  <si>
    <t>TID_Buff_BuilDetail_1328:TID_Buff_BuilDetail_1329</t>
  </si>
  <si>
    <t>市集2</t>
  </si>
  <si>
    <t>市集3</t>
  </si>
  <si>
    <t>市集4</t>
  </si>
  <si>
    <t>市集5</t>
  </si>
  <si>
    <t>201;400</t>
  </si>
  <si>
    <t>6;5</t>
  </si>
  <si>
    <t>市集6</t>
  </si>
  <si>
    <t>市集7</t>
  </si>
  <si>
    <t>市集8</t>
  </si>
  <si>
    <t>市集9</t>
  </si>
  <si>
    <t>市集10</t>
  </si>
  <si>
    <t>市集11</t>
  </si>
  <si>
    <t>市集12</t>
  </si>
  <si>
    <t>市集13</t>
  </si>
  <si>
    <t>市集14</t>
  </si>
  <si>
    <t>市集15</t>
  </si>
  <si>
    <t>市集16</t>
  </si>
  <si>
    <t>市集17</t>
  </si>
  <si>
    <t>市集18</t>
  </si>
  <si>
    <t>市集19</t>
  </si>
  <si>
    <t>市集20</t>
  </si>
  <si>
    <t>市集21</t>
  </si>
  <si>
    <t>市集22</t>
  </si>
  <si>
    <t>市集23</t>
  </si>
  <si>
    <t>市集24</t>
  </si>
  <si>
    <t>市集25</t>
  </si>
  <si>
    <t>市集26</t>
  </si>
  <si>
    <t>市集27</t>
  </si>
  <si>
    <t>市集28</t>
  </si>
  <si>
    <t>市集29</t>
  </si>
  <si>
    <t>市集30</t>
  </si>
  <si>
    <t>203</t>
  </si>
  <si>
    <t>TID_Buff_BuilDetail_1015</t>
  </si>
  <si>
    <t>纪念碑1</t>
  </si>
  <si>
    <t>TID_Buff_BuilDetail_10000601:TID_Buff_BuilDetail_10000701</t>
  </si>
  <si>
    <t>酒馆21</t>
  </si>
  <si>
    <t>酒馆22</t>
  </si>
  <si>
    <t>酒馆23</t>
  </si>
  <si>
    <t>酒馆24</t>
  </si>
  <si>
    <t>酒馆25</t>
  </si>
  <si>
    <t>酒馆26</t>
  </si>
  <si>
    <t>酒馆27</t>
  </si>
  <si>
    <t>酒馆28</t>
  </si>
  <si>
    <t>酒馆29</t>
  </si>
  <si>
    <t>酒馆30</t>
  </si>
  <si>
    <t>点将台1</t>
  </si>
  <si>
    <t>TID_Buff_BuilDetail_1300</t>
  </si>
  <si>
    <t>学院2</t>
  </si>
  <si>
    <t>学院3</t>
  </si>
  <si>
    <t>学院4</t>
  </si>
  <si>
    <t>学院5</t>
  </si>
  <si>
    <t>201;202</t>
  </si>
  <si>
    <t>学院6</t>
  </si>
  <si>
    <t>学院7</t>
  </si>
  <si>
    <t>学院8</t>
  </si>
  <si>
    <t>学院9</t>
  </si>
  <si>
    <t>学院10</t>
  </si>
  <si>
    <t>学院11</t>
  </si>
  <si>
    <t>学院12</t>
  </si>
  <si>
    <t>学院13</t>
  </si>
  <si>
    <t>学院14</t>
  </si>
  <si>
    <t>学院15</t>
  </si>
  <si>
    <t>学院16</t>
  </si>
  <si>
    <t>学院17</t>
  </si>
  <si>
    <t>学院18</t>
  </si>
  <si>
    <t>学院19</t>
  </si>
  <si>
    <t>学院20</t>
  </si>
  <si>
    <t>学院21</t>
  </si>
  <si>
    <t>学院22</t>
  </si>
  <si>
    <t>学院23</t>
  </si>
  <si>
    <t>学院24</t>
  </si>
  <si>
    <t>学院25</t>
  </si>
  <si>
    <t>学院26</t>
  </si>
  <si>
    <t>学院27</t>
  </si>
  <si>
    <t>学院28</t>
  </si>
  <si>
    <t>学院29</t>
  </si>
  <si>
    <t>学院30</t>
  </si>
  <si>
    <t>公告板1</t>
  </si>
  <si>
    <t>仓库1</t>
  </si>
  <si>
    <t>1:1:1:1</t>
  </si>
  <si>
    <t>TID_Buff_BuilDetail_1261</t>
  </si>
  <si>
    <t>仓库2</t>
  </si>
  <si>
    <t>仓库3</t>
  </si>
  <si>
    <t>仓库4</t>
  </si>
  <si>
    <t>仓库5</t>
  </si>
  <si>
    <t>仓库6</t>
  </si>
  <si>
    <t>仓库7</t>
  </si>
  <si>
    <t>仓库8</t>
  </si>
  <si>
    <t>仓库9</t>
  </si>
  <si>
    <t>仓库10</t>
  </si>
  <si>
    <t>仓库11</t>
  </si>
  <si>
    <t>仓库12</t>
  </si>
  <si>
    <t>仓库13</t>
  </si>
  <si>
    <t>仓库14</t>
  </si>
  <si>
    <t>仓库15</t>
  </si>
  <si>
    <t>仓库16</t>
  </si>
  <si>
    <t>仓库17</t>
  </si>
  <si>
    <t>仓库18</t>
  </si>
  <si>
    <t>仓库19</t>
  </si>
  <si>
    <t>仓库20</t>
  </si>
  <si>
    <t>仓库21</t>
  </si>
  <si>
    <t>仓库22</t>
  </si>
  <si>
    <t>仓库23</t>
  </si>
  <si>
    <t>仓库24</t>
  </si>
  <si>
    <t>仓库25</t>
  </si>
  <si>
    <t>仓库26</t>
  </si>
  <si>
    <t>仓库27</t>
  </si>
  <si>
    <t>仓库28</t>
  </si>
  <si>
    <t>仓库29</t>
  </si>
  <si>
    <t>仓库30</t>
  </si>
  <si>
    <t>剑士营0</t>
  </si>
  <si>
    <t>城镇中心0</t>
  </si>
  <si>
    <t>瞭望塔0</t>
  </si>
  <si>
    <t>居民房舍0</t>
  </si>
  <si>
    <t>城墙0</t>
  </si>
  <si>
    <t>副玩法入口建筑</t>
  </si>
  <si>
    <t>Gear_UnlockBuilding</t>
  </si>
  <si>
    <t>Gear_UnlockBuildingLevel3</t>
  </si>
  <si>
    <t>第3个锻造队列</t>
  </si>
  <si>
    <t>Gear_UnlockBuildingLevel</t>
  </si>
  <si>
    <t>第4个锻造队列</t>
  </si>
  <si>
    <t>副玩法入口建筑码头</t>
  </si>
  <si>
    <t>35;75</t>
  </si>
  <si>
    <t>30;20</t>
  </si>
  <si>
    <t>27;55</t>
  </si>
  <si>
    <t>32;60</t>
  </si>
  <si>
    <t>42;85</t>
  </si>
  <si>
    <t>47;90</t>
  </si>
  <si>
    <t>1;1</t>
  </si>
  <si>
    <t>3;0</t>
  </si>
  <si>
    <t>45;75</t>
  </si>
  <si>
    <t>30;42</t>
  </si>
  <si>
    <t>33;55</t>
  </si>
  <si>
    <t>38;60</t>
  </si>
  <si>
    <t>50;85</t>
  </si>
  <si>
    <t>55;90</t>
  </si>
  <si>
    <t>6;0</t>
  </si>
  <si>
    <t>天下大势</t>
  </si>
  <si>
    <t>convert(ResCity.proto, table_CityCameraRepairConf, CityCameraRepairConfigData.pbin)</t>
  </si>
  <si>
    <t>相机被拉近时的持续时间</t>
  </si>
  <si>
    <t>相机被拉近时的距离</t>
  </si>
  <si>
    <t>相机降低的时间</t>
  </si>
  <si>
    <t>相机降低的坐标偏移</t>
  </si>
  <si>
    <t>相机保持时的持续时间</t>
  </si>
  <si>
    <t>相机恢复的时间</t>
  </si>
  <si>
    <t>nearDuration</t>
  </si>
  <si>
    <t>nearDistance</t>
  </si>
  <si>
    <t>rotateDuration</t>
  </si>
  <si>
    <t>rotateOffset.x</t>
  </si>
  <si>
    <t>rotateOffset.y</t>
  </si>
  <si>
    <t>rotateOffset.z</t>
  </si>
  <si>
    <t>stayDuration</t>
  </si>
  <si>
    <t>farDuration</t>
  </si>
  <si>
    <t>convert(ResCity.proto, table_CityBuildingEventData, CityBuildingEventData.pbin)</t>
  </si>
  <si>
    <t>分组</t>
  </si>
  <si>
    <t>主题</t>
  </si>
  <si>
    <t>跳转ID</t>
  </si>
  <si>
    <t>备注文本</t>
  </si>
  <si>
    <t>图集</t>
  </si>
  <si>
    <t>icon</t>
  </si>
  <si>
    <t>group</t>
  </si>
  <si>
    <t>title</t>
  </si>
  <si>
    <t>jumpID</t>
  </si>
  <si>
    <t>atlas</t>
  </si>
  <si>
    <t>sprite</t>
  </si>
  <si>
    <t>TID_CityBuildingEventData_1_title_CN_Main</t>
  </si>
  <si>
    <t>TID_CityBuildingEventData_3_title_CN_Main</t>
  </si>
  <si>
    <t>TID_CityBuildingEventData_4_title_CN_Main</t>
  </si>
  <si>
    <t>TID_CityBuildingEventData_5_title_CN_Main</t>
  </si>
  <si>
    <t>TID_CityBuildingEventData_5_desc_CN_Main</t>
  </si>
  <si>
    <t>TID_CityBuildingEventData_6_desc_CN_Main</t>
  </si>
  <si>
    <t>TID_CityBuildingEventData_7_desc_CN_Main</t>
  </si>
  <si>
    <t>TID_CityBuildingEventData_8_desc_CN_Main</t>
  </si>
  <si>
    <t>TID_CityBuildingEventData_9_desc_CN_Main</t>
  </si>
  <si>
    <t>TID_CityBuildingEventData_10_title_CN_Main</t>
  </si>
  <si>
    <t>TID_CityBuildingEventData_10_desc_CN_Main</t>
  </si>
  <si>
    <t>TID_CityBuildingEventData_11_title_CN_Main</t>
  </si>
  <si>
    <t>TID_CityBuildingEventData_12_title_CN_Main</t>
  </si>
  <si>
    <t>TID_CityBuildingEventData_13_title_CN_Main</t>
  </si>
  <si>
    <t>最终建造上限</t>
  </si>
  <si>
    <t>当前等级建造上限</t>
  </si>
  <si>
    <t>前置建筑1</t>
  </si>
  <si>
    <t>前置建筑2</t>
  </si>
  <si>
    <t>建筑ID-1</t>
  </si>
  <si>
    <t>建筑ID-2</t>
  </si>
  <si>
    <t>前置建筑ID</t>
  </si>
  <si>
    <t>前置建筑等级</t>
  </si>
  <si>
    <t>必要升级</t>
  </si>
  <si>
    <t>合理升级</t>
  </si>
  <si>
    <t>消耗权重修正</t>
  </si>
  <si>
    <t>资源消耗特殊修正</t>
  </si>
  <si>
    <t>时间消耗特殊修正</t>
  </si>
  <si>
    <t>消耗道具</t>
  </si>
  <si>
    <t>道具ID</t>
  </si>
  <si>
    <t>道具数量</t>
  </si>
  <si>
    <t>资源消耗</t>
  </si>
  <si>
    <t>食物权重</t>
  </si>
  <si>
    <t>木材权重</t>
  </si>
  <si>
    <t>石头权重</t>
  </si>
  <si>
    <t>黄金权重</t>
  </si>
  <si>
    <t>食物消耗</t>
  </si>
  <si>
    <t>木材消耗</t>
  </si>
  <si>
    <t>石头消耗</t>
  </si>
  <si>
    <t>黄金消耗</t>
  </si>
  <si>
    <t>资源总消耗-单个建筑</t>
  </si>
  <si>
    <t>资源总消耗-多个建筑</t>
  </si>
  <si>
    <t>资源建筑回本时间-天</t>
  </si>
  <si>
    <t>加速buff</t>
  </si>
  <si>
    <t>帮助减少次数</t>
  </si>
  <si>
    <t>单次帮助减少时间</t>
  </si>
  <si>
    <t>帮助减少总时间</t>
  </si>
  <si>
    <t>单建筑实际时间消耗-s</t>
  </si>
  <si>
    <t>多建筑实际时间消耗-s</t>
  </si>
  <si>
    <t>累计战斗力</t>
  </si>
  <si>
    <t>文本表里是否存在并相同</t>
  </si>
  <si>
    <t/>
  </si>
  <si>
    <t>出征士兵上限</t>
  </si>
  <si>
    <t>VN_MarchSoldierLimit</t>
  </si>
  <si>
    <t>解锁的英雄位数量</t>
  </si>
  <si>
    <t>UnlockHeroSlotLimit</t>
  </si>
  <si>
    <t>TID_Buff_BuilDetail_6001:TID_Buff_BuilDetail_1:TID_Buff_BuilDetail_8025</t>
  </si>
  <si>
    <t>TID_Buff_BuilDetail_6001</t>
  </si>
  <si>
    <t>TID_Buff_BuilDetail_8025</t>
  </si>
  <si>
    <t>TID_Buff_BuilDetail_1202</t>
  </si>
  <si>
    <t>TID_Buff_BuilDetail_1205</t>
  </si>
  <si>
    <t>TID_Buff_BuilDetail_1209</t>
  </si>
  <si>
    <t>TID_Buff_BuilDetail_3000</t>
  </si>
  <si>
    <t>TID_Buff_BuilDetail_3102</t>
  </si>
  <si>
    <t>加速恢复速度</t>
  </si>
  <si>
    <t>TID_Buff_BuilDetail_2553</t>
  </si>
  <si>
    <t>加速储存上限</t>
  </si>
  <si>
    <t>治疗速度</t>
  </si>
  <si>
    <t>TID_Buff_BuilDetail_1254</t>
  </si>
  <si>
    <t>掠夺上限</t>
  </si>
  <si>
    <t>TID_Buff_BuilDetail_2601</t>
  </si>
  <si>
    <t>科技研究速度</t>
  </si>
  <si>
    <t>研究速度</t>
  </si>
  <si>
    <t>TID_Buff_BuilDetail_1328</t>
  </si>
  <si>
    <t>贸易比例</t>
  </si>
  <si>
    <t>TID_Buff_BuilDetail_10000601</t>
  </si>
  <si>
    <t>英雄等级上限</t>
  </si>
  <si>
    <t>存在差异</t>
  </si>
  <si>
    <t>TID_Buff_BuilDetail_1206</t>
  </si>
  <si>
    <t>TID_Buff_BuilDetail_3013</t>
  </si>
  <si>
    <t>TID_Buff_BuilDetail_3016</t>
  </si>
  <si>
    <t>TID_Buff_BuilDetail_3014</t>
  </si>
  <si>
    <t>TID_Buff_BuilDetail_3015</t>
  </si>
  <si>
    <t>TID_Buff_BuilDetail_3100</t>
  </si>
  <si>
    <t>TID_Buff_BuilDetail_2570</t>
  </si>
  <si>
    <t>TID_Buff_BuilDetail_10000401</t>
  </si>
  <si>
    <t>组队士兵上限</t>
  </si>
  <si>
    <t>TID_Buff_BuilDetail_1400</t>
  </si>
  <si>
    <t>TID_Buff_BuilDetail_1329</t>
  </si>
  <si>
    <t>每日贸易上限</t>
  </si>
  <si>
    <t>TID_Buff_BuilDetail_10000701</t>
  </si>
  <si>
    <t>高级招募时间减少</t>
  </si>
  <si>
    <t>庇佑蓝图</t>
  </si>
  <si>
    <t>Rally_Limit</t>
  </si>
  <si>
    <t>伟大蓝图</t>
  </si>
  <si>
    <t>TechSpeed_Inc</t>
  </si>
  <si>
    <t>TradeProportion_Per</t>
  </si>
  <si>
    <t>DailyTradeLimit</t>
  </si>
  <si>
    <t>HeroLv_Limit</t>
  </si>
  <si>
    <t>Accelerated_Speed</t>
  </si>
  <si>
    <t>铁匠铺1</t>
  </si>
  <si>
    <t>单次锻造时间减少</t>
  </si>
  <si>
    <t>Gear_CraftTimeShorter</t>
  </si>
  <si>
    <t>铁匠铺2</t>
  </si>
  <si>
    <t>铁匠铺3</t>
  </si>
  <si>
    <t>铁匠铺4</t>
  </si>
  <si>
    <t>铁匠铺5</t>
  </si>
  <si>
    <t>铁匠铺6</t>
  </si>
  <si>
    <t>铁匠铺7</t>
  </si>
  <si>
    <t>铁匠铺8</t>
  </si>
  <si>
    <t>铁匠铺9</t>
  </si>
  <si>
    <t>铁匠铺10</t>
  </si>
  <si>
    <t>铁匠铺11</t>
  </si>
  <si>
    <t>铁匠铺12</t>
  </si>
  <si>
    <t>铁匠铺13</t>
  </si>
  <si>
    <t>铁匠铺14</t>
  </si>
  <si>
    <t>铁匠铺15</t>
  </si>
  <si>
    <t>铁匠铺16</t>
  </si>
  <si>
    <t>铁匠铺17</t>
  </si>
  <si>
    <t>铁匠铺18</t>
  </si>
  <si>
    <t>铁匠铺19</t>
  </si>
  <si>
    <t>铁匠铺20</t>
  </si>
  <si>
    <t>铁匠铺21</t>
  </si>
  <si>
    <t>铁匠铺22</t>
  </si>
  <si>
    <t>铁匠铺23</t>
  </si>
  <si>
    <t>铁匠铺24</t>
  </si>
  <si>
    <t>铁匠铺25</t>
  </si>
  <si>
    <t>铁匠铺26</t>
  </si>
  <si>
    <t>铁匠铺27</t>
  </si>
  <si>
    <t>铁匠铺28</t>
  </si>
  <si>
    <t>铁匠铺29</t>
  </si>
  <si>
    <t>铁匠铺30</t>
  </si>
  <si>
    <t>convert(ResCity.proto, table_CityBuildingFocusConfig, CityBuildingFocusConfigData.pbin)</t>
  </si>
  <si>
    <t>时代</t>
  </si>
  <si>
    <t>文明</t>
  </si>
  <si>
    <t>age</t>
  </si>
  <si>
    <t>civilType</t>
  </si>
  <si>
    <t>CAE_DARK</t>
  </si>
  <si>
    <t>CTE_Frank</t>
  </si>
  <si>
    <t>28;75</t>
  </si>
  <si>
    <t>17;55</t>
  </si>
  <si>
    <t>22;60</t>
  </si>
  <si>
    <t>33;85</t>
  </si>
  <si>
    <t>38;90</t>
  </si>
  <si>
    <t>2;0</t>
  </si>
  <si>
    <t>38;75</t>
  </si>
  <si>
    <t>25;55</t>
  </si>
  <si>
    <t>30;60</t>
  </si>
  <si>
    <t>45;85</t>
  </si>
  <si>
    <t>50;90</t>
  </si>
  <si>
    <t>60;75</t>
  </si>
  <si>
    <t>45;55</t>
  </si>
  <si>
    <t>50;60</t>
  </si>
  <si>
    <t>65;85</t>
  </si>
  <si>
    <t>70;90</t>
  </si>
  <si>
    <t>5;0</t>
  </si>
  <si>
    <t>30;28</t>
  </si>
  <si>
    <t>50;75</t>
  </si>
  <si>
    <t>40;55</t>
  </si>
  <si>
    <t>45;60</t>
  </si>
  <si>
    <t>60;85</t>
  </si>
  <si>
    <t>65;90</t>
  </si>
  <si>
    <t>9;5</t>
  </si>
  <si>
    <t>金矿厂</t>
  </si>
  <si>
    <t>30;55</t>
  </si>
  <si>
    <t>40;60</t>
  </si>
  <si>
    <t>48;75</t>
  </si>
  <si>
    <t>58;85</t>
  </si>
  <si>
    <t>63;90</t>
  </si>
  <si>
    <t>4;0</t>
  </si>
  <si>
    <t>42;75</t>
  </si>
  <si>
    <t>52;85</t>
  </si>
  <si>
    <t>57;90</t>
  </si>
  <si>
    <t>10;15</t>
  </si>
  <si>
    <t>40;65</t>
  </si>
  <si>
    <t>60;80</t>
  </si>
  <si>
    <t>3;-3</t>
  </si>
  <si>
    <t>20;50</t>
  </si>
  <si>
    <t>37;55</t>
  </si>
  <si>
    <t>60;90</t>
  </si>
  <si>
    <t>100;95</t>
  </si>
  <si>
    <t>排行榜</t>
  </si>
  <si>
    <t>CAE_FEUDAL</t>
  </si>
  <si>
    <t>65;75</t>
  </si>
  <si>
    <t>20;60</t>
  </si>
  <si>
    <t>75;80</t>
  </si>
  <si>
    <t>80;85</t>
  </si>
  <si>
    <t>6;-3</t>
  </si>
  <si>
    <t>CAE_CASTLE</t>
  </si>
  <si>
    <t>7;0</t>
  </si>
  <si>
    <t>CAE_EMPEROR</t>
  </si>
  <si>
    <t>8;0</t>
  </si>
  <si>
    <t>70;75</t>
  </si>
  <si>
    <t>46;55</t>
  </si>
  <si>
    <t>56;60</t>
  </si>
  <si>
    <t>76;85</t>
  </si>
  <si>
    <t>81;90</t>
  </si>
  <si>
    <t>75;75</t>
  </si>
  <si>
    <t>60;60</t>
  </si>
  <si>
    <t>85;90</t>
  </si>
  <si>
    <t>13;8</t>
  </si>
  <si>
    <t>60;55</t>
  </si>
  <si>
    <t>65;60</t>
  </si>
  <si>
    <t>85;85</t>
  </si>
  <si>
    <t>90;90</t>
  </si>
  <si>
    <t>35;55</t>
  </si>
  <si>
    <t>5.5;0</t>
  </si>
  <si>
    <t>45;65</t>
  </si>
  <si>
    <t>70;80</t>
  </si>
  <si>
    <t>75;85</t>
  </si>
  <si>
    <t>CAE_POSTEMPEROR</t>
  </si>
  <si>
    <t>CTE_China</t>
  </si>
  <si>
    <t>60;100;75</t>
  </si>
  <si>
    <t>10;25;10</t>
  </si>
  <si>
    <t>45;50;55</t>
  </si>
  <si>
    <t>50;55;60</t>
  </si>
  <si>
    <t>65;110;85</t>
  </si>
  <si>
    <t>70;120;90</t>
  </si>
  <si>
    <t>5;0;0</t>
  </si>
  <si>
    <t>CTE_Byzantine</t>
  </si>
  <si>
    <t>CTE_Rome</t>
  </si>
  <si>
    <t>CTE_Egypt</t>
  </si>
  <si>
    <t>CTE_Britain</t>
  </si>
  <si>
    <t>CTE_Japan</t>
  </si>
  <si>
    <t>CTE_Korea</t>
  </si>
  <si>
    <t>convert(ResCity.proto,table_CivilBuildingDefaultPosData,CivilBuildingDefaultPosData.pbin)</t>
  </si>
  <si>
    <t>建筑id</t>
  </si>
  <si>
    <t>坐标X</t>
  </si>
  <si>
    <t>坐标Y</t>
  </si>
  <si>
    <t>坐标Z</t>
  </si>
  <si>
    <t>typePos.buildingType</t>
  </si>
  <si>
    <t>typePos.pos.posX</t>
  </si>
  <si>
    <t>typePos.pos.posY</t>
  </si>
  <si>
    <t>typePos.pos.posZ</t>
  </si>
  <si>
    <t>-        0.020896912</t>
  </si>
  <si>
    <t>        0</t>
  </si>
  <si>
    <t>-        0.020900726</t>
  </si>
  <si>
    <t>副玩法建筑入口</t>
  </si>
  <si>
    <t>convert(ResCity.proto, table_CityMarchBasicSpeedConf, CityMarchBasicSpeedConf.pbin)</t>
  </si>
  <si>
    <t>士兵类型</t>
  </si>
  <si>
    <t>基础速度</t>
  </si>
  <si>
    <t>soldierType</t>
  </si>
  <si>
    <t>basicSpeed</t>
  </si>
  <si>
    <t>剑士</t>
  </si>
  <si>
    <t>枪兵</t>
  </si>
  <si>
    <t>骑兵</t>
  </si>
  <si>
    <t>弓兵</t>
  </si>
  <si>
    <t>convert(ResCity.proto, table_InnerCityArmyBornConf, InnerCityArmyBornConf.pbin)</t>
  </si>
  <si>
    <t>序号</t>
  </si>
  <si>
    <t>出生x坐标</t>
  </si>
  <si>
    <t>出生y坐标</t>
  </si>
  <si>
    <t>出生z坐标</t>
  </si>
  <si>
    <t>回城坐标（配置同出生坐标）</t>
  </si>
  <si>
    <t>备注1：时代</t>
  </si>
  <si>
    <t>备注2：文明</t>
  </si>
  <si>
    <t>civilAge</t>
  </si>
  <si>
    <t>bornPos.x</t>
  </si>
  <si>
    <t>bornPos.y</t>
  </si>
  <si>
    <t>bornPos.z</t>
  </si>
  <si>
    <t>backPos.x</t>
  </si>
  <si>
    <t>backPos.y</t>
  </si>
  <si>
    <t>backPos.z</t>
  </si>
  <si>
    <t>CfgNs.CivilAgesEnum.CAE_Unknown = 0
CfgNs.CivilAgesEnum.CAE_DARK = 1
CfgNs.CivilAgesEnum.CAE_FEUDAL = 2
CfgNs.CivilAgesEnum.CAE_CASTLE = 3
CfgNs.CivilAgesEnum.CAE_EMPEROR = 4
CfgNs.CivilAgesEnum.CAE_POSTEMPEROR = 5
CfgNs.CivilAgesEnum.CAE_CNT = 6</t>
  </si>
  <si>
    <t>CfgNs.CivilTypeEnum.CTE_Unknown = 0
CfgNs.CivilTypeEnum.CTE_Frank = 1
CfgNs.CivilTypeEnum.CTE_China = 2
CfgNs.CivilTypeEnum.CTE_Byzantine = 3
CfgNs.CivilTypeEnum.CTE_Rome = 4
CfgNs.CivilTypeEnum.CTE_CNT = 5</t>
  </si>
  <si>
    <t>convert(ResCity.proto,table_CityRoadConfData,CityRoadConfData.pbin)</t>
  </si>
  <si>
    <t>文明类型</t>
  </si>
  <si>
    <t>时代类型</t>
  </si>
  <si>
    <t>是否连路</t>
  </si>
  <si>
    <t>路透透明度</t>
  </si>
  <si>
    <t>路过渡范围</t>
  </si>
  <si>
    <t>路过渡程度</t>
  </si>
  <si>
    <t>路弯曲程度</t>
  </si>
  <si>
    <t>路始端模型路径(栅栏)</t>
  </si>
  <si>
    <t>路模型路径(路牙)</t>
  </si>
  <si>
    <t>路末端模型路径(路牙)</t>
  </si>
  <si>
    <t>路转角模型路径(路牙)</t>
  </si>
  <si>
    <t>混合层参数Splat0</t>
  </si>
  <si>
    <t>混合层参数Splat1</t>
  </si>
  <si>
    <t>地表GameObject名字</t>
  </si>
  <si>
    <t>ageType</t>
  </si>
  <si>
    <t>isGenRoad</t>
  </si>
  <si>
    <t>roadAlpha</t>
  </si>
  <si>
    <t>roadBlurSize</t>
  </si>
  <si>
    <t>roadGradientInten</t>
  </si>
  <si>
    <t>roadCurve</t>
  </si>
  <si>
    <t>roadFencePath</t>
  </si>
  <si>
    <t>roadCurbPath</t>
  </si>
  <si>
    <t>roadEndCurbPath</t>
  </si>
  <si>
    <t>roadCurbCornerPath</t>
  </si>
  <si>
    <t>splat0Param</t>
  </si>
  <si>
    <t>splat1Param</t>
  </si>
  <si>
    <t>terrainName</t>
  </si>
  <si>
    <t>0_0_0_0|0_0_0.1_0|0_0_0.3_0</t>
  </si>
  <si>
    <t>0_0.05_0.65_0.3|0.05_0_0.65_0.3|0_0_0_0</t>
  </si>
  <si>
    <t>P_TerrainCity_Dark</t>
  </si>
  <si>
    <t>0_0.65_0.2_0.15|0_0.45_0.15_0.4|0_0_0_0</t>
  </si>
  <si>
    <t>P_TerrainCity_Feudal</t>
  </si>
  <si>
    <t>0_0_0_0|0_0_0_0|0_0_0_0</t>
  </si>
  <si>
    <t>0.85_0_0.1_0.05|0.65_0_0.05_0.3|0_0_0_0</t>
  </si>
  <si>
    <t>P_TerrainCity_Castle</t>
  </si>
  <si>
    <t>0_0_0_0|0_0_0_0|0_0.5_0_0</t>
  </si>
  <si>
    <t>0_0.85_0.1_0.05|0_0.6_0.4_0|0_0_0_0</t>
  </si>
  <si>
    <t>P_TerrainCity_Empires</t>
  </si>
  <si>
    <t>P_Terrain_Dark_China</t>
  </si>
  <si>
    <t>P_Terrain_Feudal_China</t>
  </si>
  <si>
    <t>0_0.85_0.1_0.05|0_0.65_0.05_0.3|0_0_0_0</t>
  </si>
  <si>
    <t>P_Terrain_Castle_China</t>
  </si>
  <si>
    <t>P_Terrain_Empires_China</t>
  </si>
  <si>
    <t>convert(ResCity.proto,table_MoveBuildingAfterRepairTowerCenterConf, MoveBuildingAfterRepairTowerCenterConf.pbin)</t>
  </si>
  <si>
    <t>建筑ID</t>
  </si>
  <si>
    <t>buildingId</t>
  </si>
  <si>
    <t>posX</t>
  </si>
  <si>
    <t>posY</t>
  </si>
  <si>
    <t>posZ</t>
  </si>
  <si>
    <t>220100001,201,0,19,0.        0,0.0,0.0</t>
  </si>
  <si>
    <t>220200001,202,0,18,24.0,1.02996826E-4,-36.0</t>
  </si>
  <si>
    <t>220200002,202,0,18,48.0,1.02996826E-4,-15.0</t>
  </si>
  <si>
    <t>220200003,202,0,18,36.0,1.02996826E-4,-27.0</t>
  </si>
  <si>
    <t>220200004,202,0,18,30.0,1.106262        2E-4,-15.0</t>
  </si>
  <si>
    <t>220300001,203,0,18,147.0,-9.099899,-69.0</t>
  </si>
  <si>
    <t>220300002,203,0,18,123.0,-9.099899,-69.0</t>
  </si>
  <si>
    <t>220300003,203,0,18,123.0,-9.099899,-93.0</t>
  </si>
  <si>
    <t>220300004,203,0,18,147.0,-9.0998955,-45.        0</t>
  </si>
  <si>
    <t>220400001,204,0,18,-42.0,-6.0012245,-93.0</t>
  </si>
  <si>
    <t>220400002,204,0,18,-24.0,-5.99168,-90.0</t>
  </si>
  <si>
    <t>220400003,204,0,18,-24.0,-5.997967,-108.0</t>
  </si>
  <si>
    <t>220400004,204,0,18,-57.0,-6.0010033,-93.0</t>
  </si>
  <si>
    <t>220500        001,205,0,18,-105.0,1.02996826E-4,-66.0</t>
  </si>
  <si>
    <t>220500002,205,0,18,-102.0,-8.9645386E-4,-54.0</t>
  </si>
  <si>
    <t>220600001,206,0,18,36.0,1.1062622E-4,21.0</t>
  </si>
  <si>
    <t>220700001,207,0,18,132.0,-9.099907,-108.0</t>
  </si>
  <si>
    <t>2207        00002,207,0,18,123.0,-9.099899,-81.0</t>
  </si>
  <si>
    <t>220700003,207,0,18,147.0,-9.099903,-81.0</t>
  </si>
  <si>
    <t>220700004,207,0,18,135.0,-9.099899,-72.0</t>
  </si>
  <si>
    <t>220700005,207,0,18,135.0,-9.099903,-84.0</t>
  </si>
  <si>
    <t>220700006,207,        0,18,135.0,-9.0998955,-48.0</t>
  </si>
  <si>
    <t>220700007,207,0,18,135.0,-9.099899,-60.0</t>
  </si>
  <si>
    <t>220700008,207,0,18,159.0,-9.0998955,-51.0</t>
  </si>
  <si>
    <t>220700009,207,0,18,111.0,-9.099899,-90.0</t>
  </si>
  <si>
    <t>220700010,207,0,18,120        .0,-9.099903,-105.0</t>
  </si>
  <si>
    <t>220700011,207,0,18,159.0,-9.099892,-39.0</t>
  </si>
  <si>
    <t>220700012,207,0,18,120.0,-9.099907,-117.0</t>
  </si>
  <si>
    <t>220700013,207,0,18,135.0,-9.099903,-96.0</t>
  </si>
  <si>
    <t>220700014,207,0,18,147.0,-9.0,        -57.0</t>
  </si>
  <si>
    <t>220700015,207,0,18,147.0,-9.099892,-33.0</t>
  </si>
  <si>
    <t>220700016,207,0,18,135.0,-9.0998955,-36.0</t>
  </si>
  <si>
    <t>220800001,208,0,18,-69.0,13.0,78.0</t>
  </si>
  <si>
    <t>220900001,209,0,18,75.0,1.1444092E-4,45.0</t>
  </si>
  <si>
    <t>22110000        1,211,0,18,54.0,1.02996826E-4,-39.0</t>
  </si>
  <si>
    <t>221200001,212,0,18,109.5,-4.6,69.0</t>
  </si>
  <si>
    <t>221300001,213,0,18,16.5,-18.48,130.5</t>
  </si>
  <si>
    <t>221500001,215,0,18,99.0,0.0,1.0</t>
  </si>
  <si>
    <t>222200001,222,0,18,27.0,0.0,45.0</t>
  </si>
  <si>
    <t>2        22400001,224,0,18,63.0,1.1444092E-4,21.0</t>
  </si>
  <si>
    <t>222600001,226,0,18,-21.0,3.0,69.0</t>
  </si>
  <si>
    <t>222700001,227,0,18,166.0,-9.0,12.0</t>
  </si>
  <si>
    <t>222700002,227,0,18,172.0,-9.0,-23.0</t>
  </si>
  <si>
    <t>222900001,229,0,18,-40.5,1.0        2996826E-4,-49.5</t>
  </si>
  <si>
    <t>223000001,230,0,18,75.0,1.02996826E-4,-24.0</t>
  </si>
  <si>
    <t>223100001,231,0,18,-10.5,9.918213E-5,-37.5</t>
  </si>
  <si>
    <t>223200001,232,0,18,48.0,1.1062622E-4,48.0</t>
  </si>
  <si>
    <t>223400001,234,0,18,-111.0,1.        0681152E-4,-33.0</t>
  </si>
  <si>
    <t>223400002,234,0,18,-99.0,-8.8119507E-4,-18.0</t>
  </si>
  <si>
    <t>223500001,235,0,18,-63.0,5.0,6.0</t>
  </si>
  <si>
    <t>223600001,236,0,18,-42.0,5.0,5.0</t>
  </si>
  <si>
    <t>223700001,237,0,18,33.0,1.02996826E-4,-57.0</t>
  </si>
  <si>
    <t>环境音结束</t>
  </si>
  <si>
    <t>建筑抬起</t>
  </si>
  <si>
    <t>建筑放下</t>
  </si>
  <si>
    <t>sound3DBldEnd</t>
  </si>
  <si>
    <t>sound3DBldLift</t>
  </si>
  <si>
    <t>sound3DBldDown</t>
  </si>
  <si>
    <t>Build_Name201</t>
  </si>
  <si>
    <t>Build_Des201</t>
  </si>
  <si>
    <t>居住房舍</t>
  </si>
  <si>
    <t>Build_Name202</t>
  </si>
  <si>
    <t>Build_Des202</t>
  </si>
  <si>
    <t>Build_Name203</t>
  </si>
  <si>
    <t>Build_Des203</t>
  </si>
  <si>
    <t>Build_Name204</t>
  </si>
  <si>
    <t>Build_Des204</t>
  </si>
  <si>
    <t>采矿场</t>
  </si>
  <si>
    <t>Build_Name205</t>
  </si>
  <si>
    <t>Build_Des205</t>
  </si>
  <si>
    <t>Build_Name206</t>
  </si>
  <si>
    <t>Build_Des206</t>
  </si>
  <si>
    <t>Build_Name207</t>
  </si>
  <si>
    <t>Build_Des207</t>
  </si>
  <si>
    <t>Building_UpgradeDefault_207</t>
  </si>
  <si>
    <t>Build_Name208</t>
  </si>
  <si>
    <t>Build_Des208</t>
  </si>
  <si>
    <t>Build_Name209</t>
  </si>
  <si>
    <t>Build_Des209</t>
  </si>
  <si>
    <t>Build_Name211</t>
  </si>
  <si>
    <t>Build_Des211</t>
  </si>
  <si>
    <t>Building_UpgradeDefault_211</t>
  </si>
  <si>
    <t>Build_Name212</t>
  </si>
  <si>
    <t>Build_Des212</t>
  </si>
  <si>
    <t>0:18:0</t>
  </si>
  <si>
    <t>Build_Name213</t>
  </si>
  <si>
    <t>Build_Des213</t>
  </si>
  <si>
    <t>BUFFER_ID_BUILDINGCAPACITY_FISHTRAP</t>
  </si>
  <si>
    <t>Build_Name214</t>
  </si>
  <si>
    <t>Build_Des214</t>
  </si>
  <si>
    <t>Building_UpgradeDefault_214</t>
  </si>
  <si>
    <t>城门</t>
  </si>
  <si>
    <t>Build_Name215</t>
  </si>
  <si>
    <t>Build_Des215</t>
  </si>
  <si>
    <t>Build_Name222</t>
  </si>
  <si>
    <t>Build_Des222</t>
  </si>
  <si>
    <t>Build_Name223</t>
  </si>
  <si>
    <t>Build_Des223</t>
  </si>
  <si>
    <t>Build_Name224</t>
  </si>
  <si>
    <t>Build_Des224</t>
  </si>
  <si>
    <t>Build_Name226</t>
  </si>
  <si>
    <t>Build_Des226</t>
  </si>
  <si>
    <t>Build_Name227</t>
  </si>
  <si>
    <t>Build_Des227</t>
  </si>
  <si>
    <t>Build_Name229</t>
  </si>
  <si>
    <t>Build_Des229</t>
  </si>
  <si>
    <t>Build_Name230</t>
  </si>
  <si>
    <t>Build_Des230</t>
  </si>
  <si>
    <t>Build_Name231</t>
  </si>
  <si>
    <t>Build_Des231</t>
  </si>
  <si>
    <t>Building_UpgradeDefault_232</t>
  </si>
  <si>
    <t>Build_Name232</t>
  </si>
  <si>
    <t>Build_Des232</t>
  </si>
  <si>
    <t>Build_Name233</t>
  </si>
  <si>
    <t>Build_Des233</t>
  </si>
  <si>
    <t>Building_UpgradeDefault_233</t>
  </si>
  <si>
    <t>Build_Name234</t>
  </si>
  <si>
    <t>Build_Des234</t>
  </si>
  <si>
    <t>Build_Name235</t>
  </si>
  <si>
    <t>Build_Des235</t>
  </si>
  <si>
    <t>Building_UpgradeDefault_235</t>
  </si>
  <si>
    <t>Build_Name236</t>
  </si>
  <si>
    <t>Build_Des236</t>
  </si>
  <si>
    <t>Building_UpgradeDefault_236</t>
  </si>
  <si>
    <t>Build_Name237</t>
  </si>
  <si>
    <t>Build_Des237</t>
  </si>
  <si>
    <t>Building_UpgradeDefault_237</t>
  </si>
  <si>
    <t>旧Key</t>
  </si>
  <si>
    <t>新Key</t>
  </si>
  <si>
    <t>文本</t>
  </si>
  <si>
    <t>CityBuildingBasicConfData_201_disName_CN_Main</t>
  </si>
  <si>
    <t>CityBuildingBasicConfData_201_desc_CN_Main</t>
  </si>
  <si>
    <t>城市发展的标志，升级解锁其他建筑的最高等级。</t>
  </si>
  <si>
    <t>CityBuildingBasicConfData_202_disName_CN_Main</t>
  </si>
  <si>
    <t>CityBuildingBasicConfData_202_desc_CN_Main</t>
  </si>
  <si>
    <t>增加城市的村民上限，同时生产铜币</t>
  </si>
  <si>
    <t>CityBuildingBasicConfData_203_disName_CN_Main</t>
  </si>
  <si>
    <t>CityBuildingBasicConfData_203_desc_CN_Main</t>
  </si>
  <si>
    <t>村民在这里工作，生产食物。解锁农田建筑。</t>
  </si>
  <si>
    <t>CityBuildingBasicConfData_204_disName_CN_Main</t>
  </si>
  <si>
    <t>CityBuildingBasicConfData_204_desc_CN_Main</t>
  </si>
  <si>
    <t>村民在这里工作，生产木材。</t>
  </si>
  <si>
    <t>CityBuildingBasicConfData_205_disName_CN_Main</t>
  </si>
  <si>
    <t>CityBuildingBasicConfData_205_desc_CN_Main</t>
  </si>
  <si>
    <t>村民在这里工作，生产石头。</t>
  </si>
  <si>
    <t>CityBuildingBasicConfData_206_disName_CN_Main</t>
  </si>
  <si>
    <t>CityBuildingBasicConfData_206_desc_CN_Main</t>
  </si>
  <si>
    <t>训练剑士的兵营，高级的兵营更可使剑士在战斗中让敌军产生更多的损兵。</t>
  </si>
  <si>
    <t>CityBuildingBasicConfData_207_disName_CN_Main</t>
  </si>
  <si>
    <t>CityBuildingBasicConfData_207_desc_CN_Main</t>
  </si>
  <si>
    <t>可以让城内洋溢着丰收的气息。</t>
  </si>
  <si>
    <t>CityBuildingBasicConfData_208_disName_CN_Main</t>
  </si>
  <si>
    <t>CityBuildingBasicConfData_208_desc_CN_Main</t>
  </si>
  <si>
    <t>研究设施，提高战斗能力；解锁特色兵种，并在这里训练他们吧。</t>
  </si>
  <si>
    <t>CityBuildingBasicConfData_209_disName_CN_Main</t>
  </si>
  <si>
    <t>CityBuildingBasicConfData_209_desc_CN_Main</t>
  </si>
  <si>
    <t>训练骑士的兵营，高级的兵营更可使骑士在战斗中让敌军产生更多的损兵。</t>
  </si>
  <si>
    <t>CityBuildingBasicConfData_211_disName_CN_Main</t>
  </si>
  <si>
    <t>CityBuildingBasicConfData_211_desc_CN_Main</t>
  </si>
  <si>
    <t>在学院研究科技，获得强大的属性加成。</t>
  </si>
  <si>
    <t>CityBuildingBasicConfData_212_disName_CN_Main</t>
  </si>
  <si>
    <t>CityBuildingBasicConfData_212_desc_CN_Main</t>
  </si>
  <si>
    <t>兵营训练的士兵会驻扎在这里。</t>
  </si>
  <si>
    <t>CityBuildingBasicConfData_213_disName_CN_Main</t>
  </si>
  <si>
    <t>CityBuildingBasicConfData_213_desc_CN_Main</t>
  </si>
  <si>
    <t>建造码头，可以解锁捕鱼玩法。</t>
  </si>
  <si>
    <t>CityBuildingBasicConfData_215_disName_CN_Main</t>
  </si>
  <si>
    <t>CityBuildingBasicConfData_215_desc_CN_Main</t>
  </si>
  <si>
    <t>在城墙驻守英雄，保卫您的城市。</t>
  </si>
  <si>
    <t>CityBuildingBasicConfData_222_disName_CN_Main</t>
  </si>
  <si>
    <t>CityBuildingBasicConfData_222_desc_CN_Main</t>
  </si>
  <si>
    <t>在这里安置伤兵，小心不要超出容纳上限。</t>
  </si>
  <si>
    <t>CityBuildingBasicConfData_223_disName_CN_Main</t>
  </si>
  <si>
    <t>CityBuildingBasicConfData_223_desc_CN_Main</t>
  </si>
  <si>
    <t>城市里招募士兵的据点，升级提升所有兵营的士兵训练速度。</t>
  </si>
  <si>
    <t>CityBuildingBasicConfData_224_disName_CN_Main</t>
  </si>
  <si>
    <t>CityBuildingBasicConfData_224_desc_CN_Main</t>
  </si>
  <si>
    <t>训练弓兵的兵营，高级的兵营更可使弓兵在战斗中让敌军产生更多的损兵。</t>
  </si>
  <si>
    <t>CityBuildingBasicConfData_226_disName_CN_Main</t>
  </si>
  <si>
    <t>CityBuildingBasicConfData_226_desc_CN_Main</t>
  </si>
  <si>
    <t>瞭望塔等级越高，能解锁更多的侦查队列。</t>
  </si>
  <si>
    <t>CityBuildingBasicConfData_227_disName_CN_Main</t>
  </si>
  <si>
    <t>CityBuildingBasicConfData_227_desc_CN_Main</t>
  </si>
  <si>
    <t>让防卫塔可在守城战中对敌人造成巨大的伤害。</t>
  </si>
  <si>
    <t>CityBuildingBasicConfData_229_disName_CN_Main</t>
  </si>
  <si>
    <t>CityBuildingBasicConfData_229_desc_CN_Main</t>
  </si>
  <si>
    <t>提升掠夺上限，加快组队的行军速度，提高集结容量上限</t>
  </si>
  <si>
    <t>CityBuildingBasicConfData_230_disName_CN_Main</t>
  </si>
  <si>
    <t>CityBuildingBasicConfData_230_desc_CN_Main</t>
  </si>
  <si>
    <t>与您的盟友共荣发展，互相帮助、互相援助。</t>
  </si>
  <si>
    <t>CityBuildingBasicConfData_231_disName_CN_Main</t>
  </si>
  <si>
    <t>CityBuildingBasicConfData_231_desc_CN_Main</t>
  </si>
  <si>
    <t>市集是您城市的贸易中心，在这里可以进行资源间的交易。</t>
  </si>
  <si>
    <t>CityBuildingBasicConfData_232_disName_CN_Main</t>
  </si>
  <si>
    <t>CityBuildingBasicConfData_232_desc_CN_Main</t>
  </si>
  <si>
    <t>训练枪兵的兵营，高级的兵营更可使枪兵在战斗中让敌军产生更多的损兵。</t>
  </si>
  <si>
    <t>CityBuildingBasicConfData_233_disName_CN_Main</t>
  </si>
  <si>
    <t>CityBuildingBasicConfData_233_desc_CN_Main</t>
  </si>
  <si>
    <t>博物馆可以收集并存放大量收藏品，这些收藏品能提升领主的属性。</t>
  </si>
  <si>
    <t>CityBuildingBasicConfData_234_disName_CN_Main</t>
  </si>
  <si>
    <t>CityBuildingBasicConfData_234_desc_CN_Main</t>
  </si>
  <si>
    <t>村民在这里工作，生产黄金。</t>
  </si>
  <si>
    <t>CityBuildingBasicConfData_235_disName_CN_Main</t>
  </si>
  <si>
    <t>CityBuildingBasicConfData_235_desc_CN_Main</t>
  </si>
  <si>
    <t>在这里，招募英雄与您并肩作战。</t>
  </si>
  <si>
    <t>CityBuildingBasicConfData_236_disName_CN_Main</t>
  </si>
  <si>
    <t>CityBuildingBasicConfData_236_desc_CN_Main</t>
  </si>
  <si>
    <t>您可以在纪念碑中查阅荣耀流程</t>
  </si>
  <si>
    <t>CityBuildingBasicConfData_237_disName_GL_Main</t>
  </si>
  <si>
    <t>CityBuildingBasicConfData_237_desc_GL_Main</t>
  </si>
  <si>
    <t>内政官喜爱光顾的酒馆，在这里寻访内政官加入智囊。</t>
  </si>
  <si>
    <t>CityBuildingBasicConfData_300_disName_GL_Main</t>
  </si>
  <si>
    <t>CityBuildingBasicConfData_300_desc_GL_Main</t>
  </si>
  <si>
    <t>公告板描述</t>
  </si>
  <si>
    <t>CityBuildingLevelUpConfData_2010002_detailUnlockText_GL_Main</t>
  </si>
  <si>
    <t>TID_CityBuildingLevelUpConfData_2010002_detailUnlockText_GL_Main</t>
  </si>
  <si>
    <t>CityBuildingLevelUpConfData_2010004_detailUnlockText_GL_Main</t>
  </si>
  <si>
    <t>TID_CityBuildingLevelUpConfData_2010004_detailUnlockText_GL_Main</t>
  </si>
  <si>
    <t>2个石矿场</t>
  </si>
  <si>
    <t>CityBuildingLevelUpConfData_2010005_detailUnlockText_GL_Main</t>
  </si>
  <si>
    <t>TID_CityBuildingLevelUpConfData_2010005_detailUnlockText_GL_Main</t>
  </si>
  <si>
    <t>枪兵营与马厩</t>
  </si>
  <si>
    <t>CityBuildingLevelUpConfData_2010006_detailUnlockText_GL_Main</t>
  </si>
  <si>
    <t>TID_CityBuildingLevelUpConfData_2010006_detailUnlockText_GL_Main</t>
  </si>
  <si>
    <t>第2个伐木场和磨坊</t>
  </si>
  <si>
    <t>CityBuildingLevelUpConfData_2010007_detailUnlockText_GL_Main</t>
  </si>
  <si>
    <t>TID_CityBuildingLevelUpConfData_2010007_detailUnlockText_GL_Main</t>
  </si>
  <si>
    <t>码头和居民房舍</t>
  </si>
  <si>
    <t>CityBuildingLevelUpConfData_2010008_detailUnlockText_GL_Main</t>
  </si>
  <si>
    <t>TID_CityBuildingLevelUpConfData_2010008_detailUnlockText_GL_Main</t>
  </si>
  <si>
    <t>CityBuildingLevelUpConfData_2010009_detailUnlockText_GL_Main</t>
  </si>
  <si>
    <t>TID_CityBuildingLevelUpConfData_2010009_detailUnlockText_GL_Main</t>
  </si>
  <si>
    <t>CityBuildingLevelUpConfData_2010010_detailUnlockText_GL_Main</t>
  </si>
  <si>
    <t>TID_CityBuildingLevelUpConfData_2010010_detailUnlockText_GL_Main</t>
  </si>
  <si>
    <t>2个金矿场</t>
  </si>
  <si>
    <t>CityBuildingLevelUpConfData_2010013_detailUnlockText_CN_Main</t>
  </si>
  <si>
    <t>TID_CityBuildingLevelUpConfData_2010013_detailUnlockText_CN_Main</t>
  </si>
  <si>
    <t>第3个居民房舍</t>
  </si>
  <si>
    <t>CityBuildingLevelUpConfData_2010012_detailUnlockText_CN_Main</t>
  </si>
  <si>
    <t>TID_CityBuildingLevelUpConfData_2010012_detailUnlockText_CN_Main</t>
  </si>
  <si>
    <t>CityBuildingLevelUpConfData_2010013_detailUnlockText_GL_Main</t>
  </si>
  <si>
    <t>TID_CityBuildingLevelUpConfData_2010013_detailUnlockText_GL_Main</t>
  </si>
  <si>
    <t>第3个伐木场和磨坊</t>
  </si>
  <si>
    <t>CityBuildingLevelUpConfData_2010014_detailUnlockText_GL_Main</t>
  </si>
  <si>
    <t>TID_CityBuildingLevelUpConfData_2010014_detailUnlockText_GL_Main</t>
  </si>
  <si>
    <t>第3个石矿场和金矿场</t>
  </si>
  <si>
    <t>CityBuildingLevelUpConfData_2010016_detailUnlockText_CN_Main</t>
  </si>
  <si>
    <t>TID_CityBuildingLevelUpConfData_2010016_detailUnlockText_CN_Main</t>
  </si>
  <si>
    <t>第4个居民房舍</t>
  </si>
  <si>
    <t>CityBuildingLevelUpConfData_2010016_detailUnlockText_GL_Main</t>
  </si>
  <si>
    <t>TID_CityBuildingLevelUpConfData_2010016_detailUnlockText_GL_Main</t>
  </si>
  <si>
    <t>第4个伐木场和磨坊</t>
  </si>
  <si>
    <t>CityBuildingLevelUpConfData_2010017_detailUnlockText_GL_Main</t>
  </si>
  <si>
    <t>TID_CityBuildingLevelUpConfData_2010017_detailUnlockText_GL_Main</t>
  </si>
  <si>
    <t>第4个石矿场和金矿场</t>
  </si>
  <si>
    <t>CityBuildingEventData_1_title_CN_Main</t>
  </si>
  <si>
    <t>建造空闲</t>
  </si>
  <si>
    <t>CityBuildingEventData_3_title_CN_Main</t>
  </si>
  <si>
    <t>村民待招募</t>
  </si>
  <si>
    <t>CityBuildingEventData_4_title_CN_Main</t>
  </si>
  <si>
    <t>科研队列空闲</t>
  </si>
  <si>
    <t>CityBuildingEventData_5_title_CN_Main</t>
  </si>
  <si>
    <t>训练队列空闲</t>
  </si>
  <si>
    <t>CityBuildingEventData_5_desc_CN_Main</t>
  </si>
  <si>
    <t>CityBuildingEventData_6_desc_CN_Main</t>
  </si>
  <si>
    <t>CityBuildingEventData_7_desc_CN_Main</t>
  </si>
  <si>
    <t>CityBuildingEventData_8_desc_CN_Main</t>
  </si>
  <si>
    <t>CityBuildingEventData_9_desc_CN_Main</t>
  </si>
  <si>
    <t>CityBuildingEventData_10_title_CN_Main</t>
  </si>
  <si>
    <t>弹药制造空闲</t>
  </si>
  <si>
    <t>CityBuildingEventData_10_desc_CN_Main</t>
  </si>
  <si>
    <t>CityBuildingEventData_11_title_CN_Main</t>
  </si>
  <si>
    <t>商人上新</t>
  </si>
  <si>
    <t>CityBuildingEventData_12_title_CN_Main</t>
  </si>
  <si>
    <t>免费召唤</t>
  </si>
  <si>
    <t>CityBuildingEventData_13_title_CN_Main</t>
  </si>
  <si>
    <t>寻访值上限</t>
  </si>
  <si>
    <t>Gem_SmithyGemDesc</t>
    <phoneticPr fontId="23" type="noConversion"/>
  </si>
  <si>
    <t>宝石合成/镶嵌功能</t>
    <phoneticPr fontId="23" type="noConversion"/>
  </si>
  <si>
    <t>佣兵营地</t>
    <phoneticPr fontId="23" type="noConversion"/>
  </si>
  <si>
    <t>佣兵营地1</t>
    <phoneticPr fontId="23" type="noConversion"/>
  </si>
  <si>
    <t>201</t>
    <phoneticPr fontId="23" type="noConversion"/>
  </si>
  <si>
    <t>BuildingCapacity_Mercenary</t>
    <phoneticPr fontId="23" type="noConversion"/>
  </si>
  <si>
    <t>TID_CityBuildingBasicConfData_410_disName_CN_Main</t>
    <phoneticPr fontId="23" type="noConversion"/>
  </si>
  <si>
    <t>TID_CityBuildingBasicConfData_410_desc_CN_Main</t>
    <phoneticPr fontId="23" type="noConversion"/>
  </si>
  <si>
    <t>Play_click_Mercenary</t>
    <phoneticPr fontId="23" type="noConversion"/>
  </si>
  <si>
    <t>Play_mercenary_closeup</t>
    <phoneticPr fontId="23" type="noConversion"/>
  </si>
  <si>
    <t>TID_CityBuilding_detailUnlockText_2010026</t>
    <phoneticPr fontId="23" type="noConversion"/>
  </si>
  <si>
    <t>解锁【城堡设施】</t>
    <phoneticPr fontId="23" type="noConversion"/>
  </si>
  <si>
    <t>26</t>
    <phoneticPr fontId="23" type="noConversion"/>
  </si>
  <si>
    <t>convert(ResCity.proto,table_CityBuildingLevelUpConfData, CityBuildingLevelUpConfData.pbin)</t>
    <phoneticPr fontId="23" type="noConversion"/>
  </si>
  <si>
    <t>detailUnlockText</t>
    <phoneticPr fontId="23" type="noConversion"/>
  </si>
  <si>
    <t>detailRowTitles[:]</t>
    <phoneticPr fontId="23" type="noConversion"/>
  </si>
  <si>
    <t>效果文本功能解锁</t>
    <phoneticPr fontId="23" type="noConversion"/>
  </si>
  <si>
    <t>detailUnlockEnum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</si>
</sst>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0.00_ "/>
    <numFmt numFmtId="177" formatCode="0_ "/>
    <numFmt numFmtId="178" formatCode="0.0_ "/>
    <numFmt numFmtId="179" formatCode="0_);[Red]\(0\)"/>
  </numFmts>
  <fonts count="26">
    <font>
      <sz val="11"/>
      <color theme="1"/>
      <name val="等线"/>
      <charset val="134"/>
      <scheme val="minor"/>
    </font>
    <font>
      <sz val="10"/>
      <color rgb="FFFFFF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indexed="8"/>
      <name val="等线"/>
      <family val="3"/>
      <charset val="134"/>
      <scheme val="minor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000000"/>
      <name val="Arial"/>
      <family val="2"/>
    </font>
    <font>
      <b/>
      <sz val="10"/>
      <color theme="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name val="微软雅黑"/>
      <family val="2"/>
      <charset val="134"/>
    </font>
    <font>
      <b/>
      <sz val="1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"/>
      <color indexed="8"/>
      <name val="微软雅黑"/>
      <family val="2"/>
      <charset val="134"/>
    </font>
    <font>
      <b/>
      <sz val="11"/>
      <color rgb="FF0000FF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4"/>
      <color theme="1"/>
      <name val="等线"/>
      <family val="2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6765037995544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54832605975527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43" fontId="15" fillId="0" borderId="0">
      <alignment vertical="center"/>
    </xf>
  </cellStyleXfs>
  <cellXfs count="231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49" fontId="0" fillId="4" borderId="1" xfId="0" applyNumberFormat="1" applyFill="1" applyBorder="1"/>
    <xf numFmtId="49" fontId="0" fillId="5" borderId="1" xfId="0" applyNumberFormat="1" applyFill="1" applyBorder="1"/>
    <xf numFmtId="49" fontId="0" fillId="0" borderId="1" xfId="0" applyNumberFormat="1" applyBorder="1"/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5" fillId="4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176" fontId="0" fillId="0" borderId="0" xfId="0" applyNumberFormat="1"/>
    <xf numFmtId="0" fontId="8" fillId="3" borderId="1" xfId="0" applyFont="1" applyFill="1" applyBorder="1"/>
    <xf numFmtId="0" fontId="9" fillId="6" borderId="1" xfId="0" applyFont="1" applyFill="1" applyBorder="1"/>
    <xf numFmtId="0" fontId="3" fillId="7" borderId="1" xfId="0" applyFont="1" applyFill="1" applyBorder="1"/>
    <xf numFmtId="0" fontId="3" fillId="0" borderId="1" xfId="0" applyFont="1" applyBorder="1"/>
    <xf numFmtId="177" fontId="3" fillId="0" borderId="1" xfId="0" applyNumberFormat="1" applyFont="1" applyBorder="1" applyAlignment="1">
      <alignment horizontal="left" vertical="center"/>
    </xf>
    <xf numFmtId="177" fontId="3" fillId="0" borderId="1" xfId="0" applyNumberFormat="1" applyFont="1" applyBorder="1" applyAlignment="1">
      <alignment horizontal="right" vertical="center"/>
    </xf>
    <xf numFmtId="0" fontId="9" fillId="3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8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0" fontId="9" fillId="3" borderId="0" xfId="0" applyFont="1" applyFill="1" applyBorder="1" applyAlignment="1">
      <alignment horizontal="left" vertical="center"/>
    </xf>
    <xf numFmtId="0" fontId="9" fillId="6" borderId="0" xfId="0" applyFont="1" applyFill="1" applyBorder="1" applyAlignment="1">
      <alignment horizontal="left" vertical="center"/>
    </xf>
    <xf numFmtId="0" fontId="11" fillId="7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177" fontId="3" fillId="4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77" fontId="3" fillId="0" borderId="0" xfId="0" applyNumberFormat="1" applyFont="1" applyBorder="1" applyAlignment="1">
      <alignment horizontal="left" vertical="center"/>
    </xf>
    <xf numFmtId="177" fontId="12" fillId="0" borderId="0" xfId="0" applyNumberFormat="1" applyFont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11" fontId="3" fillId="4" borderId="0" xfId="0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1" fontId="3" fillId="0" borderId="0" xfId="0" applyNumberFormat="1" applyFont="1" applyBorder="1" applyAlignment="1">
      <alignment horizontal="left" vertical="center"/>
    </xf>
    <xf numFmtId="0" fontId="3" fillId="1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77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/>
    </xf>
    <xf numFmtId="177" fontId="12" fillId="0" borderId="0" xfId="0" applyNumberFormat="1" applyFont="1" applyFill="1" applyBorder="1" applyAlignment="1">
      <alignment horizontal="left" vertical="center"/>
    </xf>
    <xf numFmtId="0" fontId="3" fillId="11" borderId="0" xfId="0" applyFont="1" applyFill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11" fontId="3" fillId="11" borderId="0" xfId="0" applyNumberFormat="1" applyFont="1" applyFill="1" applyBorder="1" applyAlignment="1">
      <alignment horizontal="left" vertical="center"/>
    </xf>
    <xf numFmtId="177" fontId="3" fillId="12" borderId="0" xfId="0" applyNumberFormat="1" applyFont="1" applyFill="1" applyBorder="1" applyAlignment="1">
      <alignment horizontal="left" vertical="center"/>
    </xf>
    <xf numFmtId="177" fontId="6" fillId="0" borderId="0" xfId="0" applyNumberFormat="1" applyFont="1" applyBorder="1" applyAlignment="1">
      <alignment horizontal="left" vertical="center"/>
    </xf>
    <xf numFmtId="178" fontId="3" fillId="0" borderId="0" xfId="0" applyNumberFormat="1" applyFont="1" applyFill="1" applyBorder="1" applyAlignment="1">
      <alignment horizontal="left" vertical="center"/>
    </xf>
    <xf numFmtId="178" fontId="6" fillId="0" borderId="0" xfId="0" applyNumberFormat="1" applyFont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177" fontId="3" fillId="8" borderId="0" xfId="0" applyNumberFormat="1" applyFont="1" applyFill="1" applyBorder="1" applyAlignment="1">
      <alignment horizontal="left" vertical="center"/>
    </xf>
    <xf numFmtId="177" fontId="6" fillId="8" borderId="0" xfId="0" applyNumberFormat="1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0" fillId="0" borderId="0" xfId="0" applyFill="1"/>
    <xf numFmtId="0" fontId="13" fillId="7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49" fontId="3" fillId="13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49" fontId="3" fillId="14" borderId="1" xfId="0" applyNumberFormat="1" applyFont="1" applyFill="1" applyBorder="1" applyAlignment="1">
      <alignment horizontal="left" vertic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/>
    <xf numFmtId="0" fontId="17" fillId="0" borderId="0" xfId="0" applyFont="1"/>
    <xf numFmtId="49" fontId="17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/>
    </xf>
    <xf numFmtId="0" fontId="17" fillId="15" borderId="0" xfId="0" applyFont="1" applyFill="1" applyAlignment="1">
      <alignment horizontal="center"/>
    </xf>
    <xf numFmtId="0" fontId="0" fillId="15" borderId="0" xfId="0" applyFill="1"/>
    <xf numFmtId="10" fontId="0" fillId="0" borderId="0" xfId="0" applyNumberFormat="1"/>
    <xf numFmtId="0" fontId="12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0" fillId="0" borderId="4" xfId="0" applyBorder="1"/>
    <xf numFmtId="179" fontId="2" fillId="0" borderId="1" xfId="0" applyNumberFormat="1" applyFont="1" applyBorder="1" applyAlignment="1">
      <alignment horizontal="left" vertical="center"/>
    </xf>
    <xf numFmtId="179" fontId="3" fillId="2" borderId="1" xfId="0" applyNumberFormat="1" applyFont="1" applyFill="1" applyBorder="1" applyAlignment="1">
      <alignment horizontal="left" vertical="center"/>
    </xf>
    <xf numFmtId="0" fontId="0" fillId="0" borderId="5" xfId="0" applyBorder="1"/>
    <xf numFmtId="49" fontId="2" fillId="2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/>
    </xf>
    <xf numFmtId="0" fontId="8" fillId="3" borderId="1" xfId="3" applyFont="1" applyFill="1" applyBorder="1" applyAlignment="1">
      <alignment horizontal="left" vertical="center"/>
    </xf>
    <xf numFmtId="0" fontId="8" fillId="6" borderId="1" xfId="3" applyFont="1" applyFill="1" applyBorder="1" applyAlignment="1">
      <alignment horizontal="left" vertical="center"/>
    </xf>
    <xf numFmtId="0" fontId="14" fillId="7" borderId="1" xfId="3" applyFont="1" applyFill="1" applyBorder="1" applyAlignment="1">
      <alignment horizontal="left" vertical="center"/>
    </xf>
    <xf numFmtId="0" fontId="10" fillId="0" borderId="1" xfId="3" applyFont="1" applyBorder="1" applyAlignment="1">
      <alignment horizontal="left" vertical="center"/>
    </xf>
    <xf numFmtId="0" fontId="10" fillId="15" borderId="1" xfId="3" applyFont="1" applyFill="1" applyBorder="1" applyAlignment="1">
      <alignment horizontal="left" vertical="center"/>
    </xf>
    <xf numFmtId="0" fontId="2" fillId="15" borderId="1" xfId="3" applyFont="1" applyFill="1" applyBorder="1" applyAlignment="1">
      <alignment horizontal="left" vertical="center"/>
    </xf>
    <xf numFmtId="0" fontId="10" fillId="16" borderId="1" xfId="3" applyFont="1" applyFill="1" applyBorder="1" applyAlignment="1">
      <alignment horizontal="left" vertical="center"/>
    </xf>
    <xf numFmtId="0" fontId="6" fillId="15" borderId="1" xfId="3" applyFont="1" applyFill="1" applyBorder="1" applyAlignment="1">
      <alignment horizontal="center" vertical="center"/>
    </xf>
    <xf numFmtId="0" fontId="10" fillId="4" borderId="1" xfId="3" applyFont="1" applyFill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2" fillId="0" borderId="1" xfId="3" applyFont="1" applyBorder="1" applyAlignment="1">
      <alignment horizontal="left" vertical="center"/>
    </xf>
    <xf numFmtId="49" fontId="2" fillId="0" borderId="1" xfId="3" applyNumberFormat="1" applyFont="1" applyBorder="1" applyAlignment="1">
      <alignment horizontal="left" vertical="center"/>
    </xf>
    <xf numFmtId="179" fontId="2" fillId="0" borderId="1" xfId="3" applyNumberFormat="1" applyFont="1" applyBorder="1" applyAlignment="1">
      <alignment horizontal="left" vertical="center"/>
    </xf>
    <xf numFmtId="49" fontId="8" fillId="3" borderId="1" xfId="3" applyNumberFormat="1" applyFont="1" applyFill="1" applyBorder="1" applyAlignment="1">
      <alignment horizontal="left" vertical="center"/>
    </xf>
    <xf numFmtId="49" fontId="8" fillId="6" borderId="1" xfId="3" applyNumberFormat="1" applyFont="1" applyFill="1" applyBorder="1" applyAlignment="1">
      <alignment horizontal="left" vertical="center"/>
    </xf>
    <xf numFmtId="49" fontId="14" fillId="7" borderId="1" xfId="3" applyNumberFormat="1" applyFont="1" applyFill="1" applyBorder="1" applyAlignment="1">
      <alignment horizontal="left" vertical="center"/>
    </xf>
    <xf numFmtId="49" fontId="10" fillId="0" borderId="1" xfId="3" applyNumberFormat="1" applyFont="1" applyBorder="1" applyAlignment="1">
      <alignment horizontal="left" vertical="center"/>
    </xf>
    <xf numFmtId="179" fontId="8" fillId="3" borderId="1" xfId="3" applyNumberFormat="1" applyFont="1" applyFill="1" applyBorder="1" applyAlignment="1">
      <alignment horizontal="left" vertical="center"/>
    </xf>
    <xf numFmtId="179" fontId="8" fillId="6" borderId="1" xfId="3" applyNumberFormat="1" applyFont="1" applyFill="1" applyBorder="1" applyAlignment="1">
      <alignment horizontal="left" vertical="center"/>
    </xf>
    <xf numFmtId="179" fontId="14" fillId="7" borderId="1" xfId="3" applyNumberFormat="1" applyFont="1" applyFill="1" applyBorder="1" applyAlignment="1">
      <alignment horizontal="left" vertical="center"/>
    </xf>
    <xf numFmtId="179" fontId="10" fillId="0" borderId="1" xfId="3" applyNumberFormat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177" fontId="8" fillId="6" borderId="1" xfId="3" applyNumberFormat="1" applyFont="1" applyFill="1" applyBorder="1" applyAlignment="1">
      <alignment horizontal="left" vertical="center"/>
    </xf>
    <xf numFmtId="177" fontId="14" fillId="7" borderId="1" xfId="3" applyNumberFormat="1" applyFont="1" applyFill="1" applyBorder="1" applyAlignment="1">
      <alignment horizontal="left" vertical="center"/>
    </xf>
    <xf numFmtId="49" fontId="10" fillId="15" borderId="1" xfId="3" applyNumberFormat="1" applyFont="1" applyFill="1" applyBorder="1" applyAlignment="1">
      <alignment horizontal="left" vertical="center"/>
    </xf>
    <xf numFmtId="179" fontId="10" fillId="15" borderId="1" xfId="3" applyNumberFormat="1" applyFont="1" applyFill="1" applyBorder="1" applyAlignment="1">
      <alignment horizontal="left" vertical="center"/>
    </xf>
    <xf numFmtId="0" fontId="18" fillId="0" borderId="1" xfId="3" applyFont="1" applyBorder="1" applyAlignment="1">
      <alignment horizontal="left" vertical="center"/>
    </xf>
    <xf numFmtId="0" fontId="2" fillId="16" borderId="1" xfId="3" applyFont="1" applyFill="1" applyBorder="1" applyAlignment="1">
      <alignment horizontal="left" vertical="center"/>
    </xf>
    <xf numFmtId="179" fontId="10" fillId="16" borderId="1" xfId="3" applyNumberFormat="1" applyFont="1" applyFill="1" applyBorder="1" applyAlignment="1">
      <alignment horizontal="left" vertical="center"/>
    </xf>
    <xf numFmtId="0" fontId="10" fillId="17" borderId="1" xfId="3" applyFont="1" applyFill="1" applyBorder="1" applyAlignment="1">
      <alignment horizontal="left" vertical="center"/>
    </xf>
    <xf numFmtId="0" fontId="10" fillId="2" borderId="1" xfId="3" applyFont="1" applyFill="1" applyBorder="1" applyAlignment="1">
      <alignment horizontal="left" vertical="center"/>
    </xf>
    <xf numFmtId="0" fontId="10" fillId="15" borderId="1" xfId="3" applyFont="1" applyFill="1" applyBorder="1" applyAlignment="1">
      <alignment horizontal="center" vertical="center"/>
    </xf>
    <xf numFmtId="49" fontId="10" fillId="15" borderId="1" xfId="3" applyNumberFormat="1" applyFont="1" applyFill="1" applyBorder="1" applyAlignment="1">
      <alignment horizontal="center" vertical="center"/>
    </xf>
    <xf numFmtId="49" fontId="10" fillId="4" borderId="1" xfId="3" applyNumberFormat="1" applyFont="1" applyFill="1" applyBorder="1" applyAlignment="1">
      <alignment horizontal="left" vertical="center"/>
    </xf>
    <xf numFmtId="0" fontId="10" fillId="0" borderId="1" xfId="3" applyFont="1" applyBorder="1" applyAlignment="1">
      <alignment horizontal="center" vertical="center"/>
    </xf>
    <xf numFmtId="49" fontId="10" fillId="0" borderId="1" xfId="3" applyNumberFormat="1" applyFont="1" applyBorder="1" applyAlignment="1">
      <alignment horizontal="center" vertical="center"/>
    </xf>
    <xf numFmtId="179" fontId="10" fillId="4" borderId="1" xfId="3" applyNumberFormat="1" applyFont="1" applyFill="1" applyBorder="1" applyAlignment="1">
      <alignment horizontal="left" vertical="center"/>
    </xf>
    <xf numFmtId="0" fontId="2" fillId="4" borderId="1" xfId="3" applyFont="1" applyFill="1" applyBorder="1" applyAlignment="1">
      <alignment horizontal="left" vertical="center"/>
    </xf>
    <xf numFmtId="0" fontId="6" fillId="17" borderId="1" xfId="3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left" vertical="center"/>
    </xf>
    <xf numFmtId="49" fontId="8" fillId="6" borderId="1" xfId="0" applyNumberFormat="1" applyFont="1" applyFill="1" applyBorder="1" applyAlignment="1">
      <alignment horizontal="left" vertical="center"/>
    </xf>
    <xf numFmtId="49" fontId="14" fillId="7" borderId="1" xfId="0" applyNumberFormat="1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/>
    </xf>
    <xf numFmtId="179" fontId="8" fillId="3" borderId="1" xfId="0" applyNumberFormat="1" applyFont="1" applyFill="1" applyBorder="1" applyAlignment="1">
      <alignment horizontal="left" vertical="center"/>
    </xf>
    <xf numFmtId="179" fontId="8" fillId="6" borderId="1" xfId="0" applyNumberFormat="1" applyFont="1" applyFill="1" applyBorder="1" applyAlignment="1">
      <alignment horizontal="left" vertical="center"/>
    </xf>
    <xf numFmtId="179" fontId="14" fillId="7" borderId="1" xfId="0" applyNumberFormat="1" applyFont="1" applyFill="1" applyBorder="1" applyAlignment="1">
      <alignment horizontal="left" vertical="center"/>
    </xf>
    <xf numFmtId="179" fontId="10" fillId="0" borderId="1" xfId="0" applyNumberFormat="1" applyFont="1" applyBorder="1" applyAlignment="1">
      <alignment horizontal="left" vertical="center"/>
    </xf>
    <xf numFmtId="177" fontId="8" fillId="6" borderId="1" xfId="0" applyNumberFormat="1" applyFont="1" applyFill="1" applyBorder="1" applyAlignment="1">
      <alignment horizontal="left" vertical="center"/>
    </xf>
    <xf numFmtId="177" fontId="14" fillId="7" borderId="1" xfId="0" applyNumberFormat="1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left" vertical="center"/>
    </xf>
    <xf numFmtId="49" fontId="10" fillId="15" borderId="1" xfId="0" applyNumberFormat="1" applyFont="1" applyFill="1" applyBorder="1" applyAlignment="1">
      <alignment horizontal="left" vertical="center"/>
    </xf>
    <xf numFmtId="179" fontId="10" fillId="15" borderId="1" xfId="0" applyNumberFormat="1" applyFont="1" applyFill="1" applyBorder="1" applyAlignment="1">
      <alignment horizontal="left" vertical="center"/>
    </xf>
    <xf numFmtId="0" fontId="10" fillId="16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left" vertical="center"/>
    </xf>
    <xf numFmtId="179" fontId="10" fillId="16" borderId="1" xfId="0" applyNumberFormat="1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center" vertical="center"/>
    </xf>
    <xf numFmtId="49" fontId="10" fillId="15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49" fontId="10" fillId="4" borderId="1" xfId="0" applyNumberFormat="1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179" fontId="10" fillId="4" borderId="1" xfId="0" applyNumberFormat="1" applyFont="1" applyFill="1" applyBorder="1" applyAlignment="1">
      <alignment horizontal="left" vertical="center"/>
    </xf>
    <xf numFmtId="0" fontId="6" fillId="17" borderId="1" xfId="0" applyFont="1" applyFill="1" applyBorder="1" applyAlignment="1">
      <alignment horizontal="center" vertical="center"/>
    </xf>
    <xf numFmtId="179" fontId="2" fillId="2" borderId="1" xfId="0" applyNumberFormat="1" applyFont="1" applyFill="1" applyBorder="1" applyAlignment="1">
      <alignment horizontal="left" vertical="center"/>
    </xf>
    <xf numFmtId="179" fontId="3" fillId="0" borderId="1" xfId="0" applyNumberFormat="1" applyFont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49" fontId="13" fillId="7" borderId="1" xfId="0" applyNumberFormat="1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/>
    </xf>
    <xf numFmtId="49" fontId="2" fillId="10" borderId="1" xfId="0" applyNumberFormat="1" applyFont="1" applyFill="1" applyBorder="1" applyAlignment="1">
      <alignment horizontal="left" vertical="center"/>
    </xf>
    <xf numFmtId="49" fontId="10" fillId="2" borderId="1" xfId="0" applyNumberFormat="1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10" fillId="10" borderId="1" xfId="0" applyFont="1" applyFill="1" applyBorder="1" applyAlignment="1">
      <alignment horizontal="left" vertical="center"/>
    </xf>
    <xf numFmtId="0" fontId="20" fillId="10" borderId="1" xfId="0" applyFont="1" applyFill="1" applyBorder="1" applyAlignment="1">
      <alignment horizontal="left" vertical="center"/>
    </xf>
    <xf numFmtId="0" fontId="14" fillId="7" borderId="2" xfId="0" applyFont="1" applyFill="1" applyBorder="1" applyAlignment="1">
      <alignment horizontal="left" vertical="center"/>
    </xf>
    <xf numFmtId="0" fontId="3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/>
    </xf>
    <xf numFmtId="49" fontId="3" fillId="2" borderId="1" xfId="0" applyNumberFormat="1" applyFont="1" applyFill="1" applyBorder="1" applyAlignment="1">
      <alignment horizontal="righ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</cellXfs>
  <cellStyles count="5">
    <cellStyle name="常规" xfId="0" builtinId="0"/>
    <cellStyle name="常规 2" xfId="1" xr:uid="{00000000-0005-0000-0000-000031000000}"/>
    <cellStyle name="常规 3" xfId="2" xr:uid="{00000000-0005-0000-0000-000032000000}"/>
    <cellStyle name="常规 4" xfId="3" xr:uid="{00000000-0005-0000-0000-000033000000}"/>
    <cellStyle name="千位分隔 2" xfId="4" xr:uid="{00000000-0005-0000-0000-000034000000}"/>
  </cellStyles>
  <dxfs count="1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370"/>
  <sheetViews>
    <sheetView workbookViewId="0">
      <pane xSplit="2" ySplit="1" topLeftCell="Q338" activePane="bottomRight" state="frozen"/>
      <selection pane="topRight"/>
      <selection pane="bottomLeft"/>
      <selection pane="bottomRight" activeCell="T5" sqref="T5"/>
    </sheetView>
  </sheetViews>
  <sheetFormatPr defaultColWidth="9" defaultRowHeight="14"/>
  <cols>
    <col min="1" max="6" width="9" style="34" customWidth="1"/>
    <col min="7" max="7" width="11.08203125" style="34" customWidth="1"/>
    <col min="8" max="8" width="23.33203125" style="34" customWidth="1"/>
    <col min="9" max="9" width="31.25" style="34" customWidth="1"/>
    <col min="10" max="10" width="9.83203125" style="34" customWidth="1"/>
    <col min="11" max="11" width="11" style="34" customWidth="1"/>
    <col min="12" max="12" width="19.08203125" style="34" customWidth="1"/>
    <col min="13" max="13" width="17.25" style="110" customWidth="1"/>
    <col min="14" max="14" width="32.83203125" style="110" customWidth="1"/>
    <col min="15" max="15" width="8.58203125" style="110" customWidth="1"/>
    <col min="16" max="16" width="11.08203125" style="110" customWidth="1"/>
    <col min="17" max="17" width="19.08203125" style="110" customWidth="1"/>
    <col min="18" max="18" width="14.25" style="34" customWidth="1"/>
    <col min="19" max="19" width="17.58203125" style="34" customWidth="1"/>
    <col min="20" max="22" width="6.58203125" style="34" customWidth="1"/>
    <col min="23" max="23" width="13" customWidth="1"/>
  </cols>
  <sheetData>
    <row r="1" spans="1:72">
      <c r="A1" s="221" t="s">
        <v>0</v>
      </c>
      <c r="B1" s="221" t="s">
        <v>1</v>
      </c>
      <c r="C1" s="221" t="s">
        <v>2</v>
      </c>
      <c r="D1" s="221" t="s">
        <v>3</v>
      </c>
      <c r="E1" s="221" t="s">
        <v>4</v>
      </c>
      <c r="F1" s="221" t="s">
        <v>5</v>
      </c>
      <c r="G1" s="221" t="s">
        <v>6</v>
      </c>
      <c r="H1" s="221" t="s">
        <v>7</v>
      </c>
      <c r="I1" s="221" t="s">
        <v>8</v>
      </c>
      <c r="J1" s="221" t="s">
        <v>9</v>
      </c>
      <c r="K1" s="221" t="s">
        <v>10</v>
      </c>
      <c r="L1" s="221" t="s">
        <v>11</v>
      </c>
      <c r="M1" s="222" t="s">
        <v>12</v>
      </c>
      <c r="N1" s="222" t="s">
        <v>13</v>
      </c>
      <c r="O1" s="222" t="s">
        <v>14</v>
      </c>
      <c r="P1" s="222" t="s">
        <v>15</v>
      </c>
      <c r="Q1" s="222" t="s">
        <v>16</v>
      </c>
      <c r="R1" s="34" t="s">
        <v>17</v>
      </c>
      <c r="S1" s="34" t="s">
        <v>18</v>
      </c>
      <c r="T1" s="34" t="s">
        <v>19</v>
      </c>
      <c r="U1" s="34" t="s">
        <v>20</v>
      </c>
      <c r="V1" s="34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59</v>
      </c>
      <c r="BN1" t="s">
        <v>60</v>
      </c>
      <c r="BO1" t="s">
        <v>61</v>
      </c>
      <c r="BS1" t="s">
        <v>64</v>
      </c>
      <c r="BT1" t="s">
        <v>65</v>
      </c>
    </row>
    <row r="2" spans="1:72">
      <c r="A2" s="34" t="s">
        <v>66</v>
      </c>
      <c r="B2" s="34">
        <v>1</v>
      </c>
      <c r="G2" s="34" t="s">
        <v>67</v>
      </c>
      <c r="H2" s="34" t="s">
        <v>68</v>
      </c>
      <c r="I2" s="34" t="s">
        <v>69</v>
      </c>
      <c r="J2" s="34">
        <v>8026</v>
      </c>
      <c r="K2" s="34">
        <v>3</v>
      </c>
      <c r="L2" s="34">
        <v>3</v>
      </c>
      <c r="M2" s="110" t="s">
        <v>70</v>
      </c>
      <c r="N2" s="110" t="s">
        <v>71</v>
      </c>
      <c r="O2" s="110">
        <v>1252</v>
      </c>
      <c r="P2" s="110">
        <v>200000</v>
      </c>
      <c r="Q2" s="110">
        <v>200000</v>
      </c>
      <c r="R2" s="34" t="s">
        <v>72</v>
      </c>
      <c r="S2" s="34" t="s">
        <v>73</v>
      </c>
      <c r="T2" s="34">
        <v>1202</v>
      </c>
      <c r="U2" s="34">
        <v>0</v>
      </c>
      <c r="V2" s="34">
        <v>0</v>
      </c>
      <c r="W2" t="s">
        <v>74</v>
      </c>
      <c r="X2" t="s">
        <v>75</v>
      </c>
      <c r="Y2">
        <v>1205</v>
      </c>
      <c r="Z2">
        <v>1</v>
      </c>
      <c r="AA2" t="s">
        <v>76</v>
      </c>
      <c r="AB2" t="s">
        <v>77</v>
      </c>
      <c r="AC2">
        <v>1209</v>
      </c>
      <c r="AD2">
        <v>1</v>
      </c>
      <c r="AE2" t="s">
        <v>78</v>
      </c>
      <c r="AF2" t="s">
        <v>79</v>
      </c>
      <c r="AG2">
        <v>1210</v>
      </c>
      <c r="AH2">
        <v>0</v>
      </c>
      <c r="AI2" t="s">
        <v>80</v>
      </c>
      <c r="AJ2" t="s">
        <v>81</v>
      </c>
      <c r="AK2">
        <v>1237</v>
      </c>
      <c r="AL2">
        <v>0</v>
      </c>
      <c r="AQ2" t="s">
        <v>82</v>
      </c>
      <c r="AR2" t="s">
        <v>83</v>
      </c>
      <c r="AS2" t="s">
        <v>84</v>
      </c>
      <c r="AT2" t="s">
        <v>68</v>
      </c>
      <c r="AU2">
        <v>1</v>
      </c>
      <c r="AV2" t="s">
        <v>85</v>
      </c>
      <c r="AW2" t="s">
        <v>70</v>
      </c>
      <c r="AX2">
        <v>19</v>
      </c>
      <c r="AY2" t="s">
        <v>86</v>
      </c>
      <c r="AZ2" t="s">
        <v>72</v>
      </c>
      <c r="BA2">
        <v>33</v>
      </c>
      <c r="BB2" t="s">
        <v>87</v>
      </c>
      <c r="BC2" t="s">
        <v>74</v>
      </c>
      <c r="BD2">
        <v>36</v>
      </c>
      <c r="BE2" t="s">
        <v>88</v>
      </c>
      <c r="BF2" t="s">
        <v>76</v>
      </c>
      <c r="BG2">
        <v>38</v>
      </c>
      <c r="BH2">
        <v>1</v>
      </c>
      <c r="BI2" t="s">
        <v>84</v>
      </c>
      <c r="BJ2" t="s">
        <v>68</v>
      </c>
      <c r="BK2">
        <v>1</v>
      </c>
      <c r="BL2">
        <v>1</v>
      </c>
      <c r="BM2">
        <v>1</v>
      </c>
      <c r="BN2" t="s">
        <v>84</v>
      </c>
      <c r="BO2" t="s">
        <v>89</v>
      </c>
      <c r="BS2" t="s">
        <v>90</v>
      </c>
      <c r="BT2" t="s">
        <v>91</v>
      </c>
    </row>
    <row r="3" spans="1:72">
      <c r="A3" s="34" t="s">
        <v>66</v>
      </c>
      <c r="B3" s="34">
        <v>2</v>
      </c>
      <c r="G3" s="34" t="s">
        <v>92</v>
      </c>
      <c r="H3" s="34" t="s">
        <v>68</v>
      </c>
      <c r="I3" s="34" t="s">
        <v>69</v>
      </c>
      <c r="J3" s="34">
        <v>8026</v>
      </c>
      <c r="K3" s="34">
        <v>6</v>
      </c>
      <c r="L3" s="34">
        <v>6</v>
      </c>
      <c r="M3" s="110" t="s">
        <v>70</v>
      </c>
      <c r="N3" s="110" t="s">
        <v>71</v>
      </c>
      <c r="O3" s="110">
        <v>1252</v>
      </c>
      <c r="P3" s="110">
        <v>300000</v>
      </c>
      <c r="Q3" s="110">
        <v>300000</v>
      </c>
      <c r="R3" s="34" t="s">
        <v>72</v>
      </c>
      <c r="S3" s="34" t="s">
        <v>73</v>
      </c>
      <c r="T3" s="34">
        <v>1202</v>
      </c>
      <c r="U3" s="34">
        <v>1</v>
      </c>
      <c r="V3" s="34">
        <v>1</v>
      </c>
      <c r="W3" t="s">
        <v>74</v>
      </c>
      <c r="X3" t="s">
        <v>75</v>
      </c>
      <c r="Y3">
        <v>1205</v>
      </c>
      <c r="Z3">
        <v>1</v>
      </c>
      <c r="AA3" t="s">
        <v>76</v>
      </c>
      <c r="AB3" t="s">
        <v>77</v>
      </c>
      <c r="AC3">
        <v>1209</v>
      </c>
      <c r="AD3">
        <v>1</v>
      </c>
      <c r="AE3" t="s">
        <v>78</v>
      </c>
      <c r="AF3" t="s">
        <v>79</v>
      </c>
      <c r="AG3">
        <v>1210</v>
      </c>
      <c r="AH3">
        <v>0</v>
      </c>
      <c r="AI3" t="s">
        <v>80</v>
      </c>
      <c r="AJ3" t="s">
        <v>81</v>
      </c>
      <c r="AK3">
        <v>1237</v>
      </c>
      <c r="AL3">
        <v>0</v>
      </c>
      <c r="BH3">
        <v>2</v>
      </c>
      <c r="BI3" t="s">
        <v>93</v>
      </c>
      <c r="BJ3" t="s">
        <v>90</v>
      </c>
      <c r="BK3">
        <v>1</v>
      </c>
      <c r="BL3">
        <v>2</v>
      </c>
      <c r="BM3">
        <v>2</v>
      </c>
      <c r="BN3" t="s">
        <v>93</v>
      </c>
      <c r="BO3" t="s">
        <v>91</v>
      </c>
      <c r="BS3" t="s">
        <v>94</v>
      </c>
      <c r="BT3" t="s">
        <v>95</v>
      </c>
    </row>
    <row r="4" spans="1:72">
      <c r="A4" s="34" t="s">
        <v>66</v>
      </c>
      <c r="B4" s="34">
        <v>3</v>
      </c>
      <c r="G4" s="34" t="s">
        <v>96</v>
      </c>
      <c r="H4" s="34" t="s">
        <v>68</v>
      </c>
      <c r="I4" s="34" t="s">
        <v>69</v>
      </c>
      <c r="J4" s="34">
        <v>8026</v>
      </c>
      <c r="K4" s="34">
        <v>9</v>
      </c>
      <c r="L4" s="34">
        <v>9</v>
      </c>
      <c r="M4" s="110" t="s">
        <v>70</v>
      </c>
      <c r="N4" s="110" t="s">
        <v>71</v>
      </c>
      <c r="O4" s="110">
        <v>1252</v>
      </c>
      <c r="P4" s="110">
        <v>400000</v>
      </c>
      <c r="Q4" s="110">
        <v>400000</v>
      </c>
      <c r="R4" s="34" t="s">
        <v>72</v>
      </c>
      <c r="S4" s="34" t="s">
        <v>73</v>
      </c>
      <c r="T4" s="34">
        <v>1202</v>
      </c>
      <c r="U4" s="34">
        <v>1</v>
      </c>
      <c r="V4" s="34">
        <v>1</v>
      </c>
      <c r="W4" t="s">
        <v>74</v>
      </c>
      <c r="X4" t="s">
        <v>75</v>
      </c>
      <c r="Y4">
        <v>1205</v>
      </c>
      <c r="Z4">
        <v>2</v>
      </c>
      <c r="AA4" t="s">
        <v>76</v>
      </c>
      <c r="AB4" t="s">
        <v>77</v>
      </c>
      <c r="AC4">
        <v>1209</v>
      </c>
      <c r="AD4">
        <v>1</v>
      </c>
      <c r="AE4" t="s">
        <v>78</v>
      </c>
      <c r="AF4" t="s">
        <v>79</v>
      </c>
      <c r="AG4">
        <v>1210</v>
      </c>
      <c r="AH4">
        <v>0</v>
      </c>
      <c r="AI4" t="s">
        <v>80</v>
      </c>
      <c r="AJ4" t="s">
        <v>81</v>
      </c>
      <c r="AK4">
        <v>1237</v>
      </c>
      <c r="AL4">
        <v>0</v>
      </c>
      <c r="BH4">
        <v>3</v>
      </c>
      <c r="BI4" t="s">
        <v>97</v>
      </c>
      <c r="BJ4" t="s">
        <v>94</v>
      </c>
      <c r="BK4">
        <v>1</v>
      </c>
      <c r="BL4">
        <v>3</v>
      </c>
      <c r="BM4">
        <v>3</v>
      </c>
      <c r="BN4" t="s">
        <v>97</v>
      </c>
      <c r="BO4" t="s">
        <v>95</v>
      </c>
      <c r="BS4" t="s">
        <v>98</v>
      </c>
      <c r="BT4" t="s">
        <v>99</v>
      </c>
    </row>
    <row r="5" spans="1:72">
      <c r="A5" s="34" t="s">
        <v>66</v>
      </c>
      <c r="B5" s="34">
        <v>4</v>
      </c>
      <c r="G5" s="34" t="s">
        <v>100</v>
      </c>
      <c r="H5" s="34" t="s">
        <v>68</v>
      </c>
      <c r="I5" s="34" t="s">
        <v>69</v>
      </c>
      <c r="J5" s="34">
        <v>8026</v>
      </c>
      <c r="K5" s="34">
        <v>12</v>
      </c>
      <c r="L5" s="34">
        <v>12</v>
      </c>
      <c r="M5" s="110" t="s">
        <v>70</v>
      </c>
      <c r="N5" s="110" t="s">
        <v>71</v>
      </c>
      <c r="O5" s="110">
        <v>1252</v>
      </c>
      <c r="P5" s="110">
        <v>600000</v>
      </c>
      <c r="Q5" s="110">
        <v>600000</v>
      </c>
      <c r="R5" s="34" t="s">
        <v>72</v>
      </c>
      <c r="S5" s="34" t="s">
        <v>73</v>
      </c>
      <c r="T5" s="34">
        <v>1202</v>
      </c>
      <c r="U5" s="34">
        <v>1</v>
      </c>
      <c r="V5" s="34">
        <v>1</v>
      </c>
      <c r="W5" t="s">
        <v>74</v>
      </c>
      <c r="X5" t="s">
        <v>75</v>
      </c>
      <c r="Y5">
        <v>1205</v>
      </c>
      <c r="Z5">
        <v>2</v>
      </c>
      <c r="AA5" t="s">
        <v>76</v>
      </c>
      <c r="AB5" t="s">
        <v>77</v>
      </c>
      <c r="AC5">
        <v>1209</v>
      </c>
      <c r="AD5">
        <v>2</v>
      </c>
      <c r="AE5" t="s">
        <v>78</v>
      </c>
      <c r="AF5" t="s">
        <v>79</v>
      </c>
      <c r="AG5">
        <v>1210</v>
      </c>
      <c r="AH5">
        <v>0</v>
      </c>
      <c r="AI5" t="s">
        <v>80</v>
      </c>
      <c r="AJ5" t="s">
        <v>81</v>
      </c>
      <c r="AK5">
        <v>1237</v>
      </c>
      <c r="AL5">
        <v>0</v>
      </c>
      <c r="BH5">
        <v>4</v>
      </c>
      <c r="BI5" t="s">
        <v>101</v>
      </c>
      <c r="BJ5" t="s">
        <v>98</v>
      </c>
      <c r="BK5">
        <v>1</v>
      </c>
      <c r="BL5">
        <v>4</v>
      </c>
      <c r="BM5">
        <v>4</v>
      </c>
      <c r="BN5" t="s">
        <v>101</v>
      </c>
      <c r="BO5" t="s">
        <v>99</v>
      </c>
      <c r="BS5" t="s">
        <v>102</v>
      </c>
      <c r="BT5" t="s">
        <v>103</v>
      </c>
    </row>
    <row r="6" spans="1:72">
      <c r="A6" s="34" t="s">
        <v>66</v>
      </c>
      <c r="B6" s="34">
        <v>5</v>
      </c>
      <c r="G6" s="34" t="s">
        <v>104</v>
      </c>
      <c r="H6" s="34" t="s">
        <v>68</v>
      </c>
      <c r="I6" s="34" t="s">
        <v>69</v>
      </c>
      <c r="J6" s="34">
        <v>8026</v>
      </c>
      <c r="K6" s="34">
        <v>15</v>
      </c>
      <c r="L6" s="34">
        <v>15</v>
      </c>
      <c r="M6" s="110" t="s">
        <v>70</v>
      </c>
      <c r="N6" s="110" t="s">
        <v>71</v>
      </c>
      <c r="O6" s="110">
        <v>1252</v>
      </c>
      <c r="P6" s="110">
        <v>800000</v>
      </c>
      <c r="Q6" s="110">
        <v>800000</v>
      </c>
      <c r="R6" s="34" t="s">
        <v>72</v>
      </c>
      <c r="S6" s="34" t="s">
        <v>73</v>
      </c>
      <c r="T6" s="34">
        <v>1202</v>
      </c>
      <c r="U6" s="34">
        <v>2</v>
      </c>
      <c r="V6" s="34">
        <v>2</v>
      </c>
      <c r="W6" t="s">
        <v>74</v>
      </c>
      <c r="X6" t="s">
        <v>75</v>
      </c>
      <c r="Y6">
        <v>1205</v>
      </c>
      <c r="Z6">
        <v>2</v>
      </c>
      <c r="AA6" t="s">
        <v>76</v>
      </c>
      <c r="AB6" t="s">
        <v>77</v>
      </c>
      <c r="AC6">
        <v>1209</v>
      </c>
      <c r="AD6">
        <v>2</v>
      </c>
      <c r="AE6" t="s">
        <v>78</v>
      </c>
      <c r="AF6" t="s">
        <v>79</v>
      </c>
      <c r="AG6">
        <v>1210</v>
      </c>
      <c r="AH6">
        <v>2</v>
      </c>
      <c r="AI6" t="s">
        <v>80</v>
      </c>
      <c r="AJ6" t="s">
        <v>81</v>
      </c>
      <c r="AK6">
        <v>1237</v>
      </c>
      <c r="AL6">
        <v>0</v>
      </c>
      <c r="BH6">
        <v>5</v>
      </c>
      <c r="BI6" t="s">
        <v>105</v>
      </c>
      <c r="BJ6" t="s">
        <v>102</v>
      </c>
      <c r="BK6">
        <v>1</v>
      </c>
      <c r="BL6">
        <v>5</v>
      </c>
      <c r="BM6">
        <v>5</v>
      </c>
      <c r="BN6" t="s">
        <v>105</v>
      </c>
      <c r="BO6" t="s">
        <v>103</v>
      </c>
      <c r="BS6" t="s">
        <v>106</v>
      </c>
      <c r="BT6" t="s">
        <v>107</v>
      </c>
    </row>
    <row r="7" spans="1:72">
      <c r="A7" s="34" t="s">
        <v>66</v>
      </c>
      <c r="B7" s="34">
        <v>6</v>
      </c>
      <c r="G7" s="34" t="s">
        <v>108</v>
      </c>
      <c r="H7" s="34" t="s">
        <v>68</v>
      </c>
      <c r="I7" s="34" t="s">
        <v>69</v>
      </c>
      <c r="J7" s="34">
        <v>8026</v>
      </c>
      <c r="K7" s="34">
        <v>18</v>
      </c>
      <c r="L7" s="34">
        <v>18</v>
      </c>
      <c r="M7" s="110" t="s">
        <v>70</v>
      </c>
      <c r="N7" s="110" t="s">
        <v>71</v>
      </c>
      <c r="O7" s="110">
        <v>1252</v>
      </c>
      <c r="P7" s="110">
        <v>1000000</v>
      </c>
      <c r="Q7" s="110">
        <v>1000000</v>
      </c>
      <c r="R7" s="34" t="s">
        <v>72</v>
      </c>
      <c r="S7" s="34" t="s">
        <v>73</v>
      </c>
      <c r="T7" s="34">
        <v>1202</v>
      </c>
      <c r="U7" s="34">
        <v>2</v>
      </c>
      <c r="V7" s="34">
        <v>2</v>
      </c>
      <c r="W7" t="s">
        <v>74</v>
      </c>
      <c r="X7" t="s">
        <v>75</v>
      </c>
      <c r="Y7">
        <v>1205</v>
      </c>
      <c r="Z7">
        <v>2</v>
      </c>
      <c r="AA7" t="s">
        <v>76</v>
      </c>
      <c r="AB7" t="s">
        <v>77</v>
      </c>
      <c r="AC7">
        <v>1209</v>
      </c>
      <c r="AD7">
        <v>2</v>
      </c>
      <c r="AE7" t="s">
        <v>78</v>
      </c>
      <c r="AF7" t="s">
        <v>79</v>
      </c>
      <c r="AG7">
        <v>1210</v>
      </c>
      <c r="AH7">
        <v>2</v>
      </c>
      <c r="AI7" t="s">
        <v>80</v>
      </c>
      <c r="AJ7" t="s">
        <v>81</v>
      </c>
      <c r="AK7">
        <v>1237</v>
      </c>
      <c r="AL7">
        <v>0</v>
      </c>
      <c r="BH7">
        <v>6</v>
      </c>
      <c r="BI7" t="s">
        <v>109</v>
      </c>
      <c r="BJ7" t="s">
        <v>106</v>
      </c>
      <c r="BK7">
        <v>1</v>
      </c>
      <c r="BL7">
        <v>6</v>
      </c>
      <c r="BM7">
        <v>6</v>
      </c>
      <c r="BN7" t="s">
        <v>109</v>
      </c>
      <c r="BO7" t="s">
        <v>107</v>
      </c>
      <c r="BS7" t="s">
        <v>110</v>
      </c>
      <c r="BT7" t="s">
        <v>111</v>
      </c>
    </row>
    <row r="8" spans="1:72">
      <c r="A8" s="34" t="s">
        <v>66</v>
      </c>
      <c r="B8" s="34">
        <v>7</v>
      </c>
      <c r="G8" s="34" t="s">
        <v>112</v>
      </c>
      <c r="H8" s="34" t="s">
        <v>68</v>
      </c>
      <c r="I8" s="34" t="s">
        <v>69</v>
      </c>
      <c r="J8" s="34">
        <v>8026</v>
      </c>
      <c r="K8" s="34">
        <v>21</v>
      </c>
      <c r="L8" s="34">
        <v>21</v>
      </c>
      <c r="M8" s="110" t="s">
        <v>70</v>
      </c>
      <c r="N8" s="110" t="s">
        <v>71</v>
      </c>
      <c r="O8" s="110">
        <v>1252</v>
      </c>
      <c r="P8" s="110">
        <v>1200000</v>
      </c>
      <c r="Q8" s="110">
        <v>1200000</v>
      </c>
      <c r="R8" s="34" t="s">
        <v>72</v>
      </c>
      <c r="S8" s="34" t="s">
        <v>73</v>
      </c>
      <c r="T8" s="34">
        <v>1202</v>
      </c>
      <c r="U8" s="34">
        <v>2</v>
      </c>
      <c r="V8" s="34">
        <v>2</v>
      </c>
      <c r="W8" t="s">
        <v>74</v>
      </c>
      <c r="X8" t="s">
        <v>75</v>
      </c>
      <c r="Y8">
        <v>1205</v>
      </c>
      <c r="Z8">
        <v>2</v>
      </c>
      <c r="AA8" t="s">
        <v>76</v>
      </c>
      <c r="AB8" t="s">
        <v>77</v>
      </c>
      <c r="AC8">
        <v>1209</v>
      </c>
      <c r="AD8">
        <v>2</v>
      </c>
      <c r="AE8" t="s">
        <v>78</v>
      </c>
      <c r="AF8" t="s">
        <v>79</v>
      </c>
      <c r="AG8">
        <v>1210</v>
      </c>
      <c r="AH8">
        <v>2</v>
      </c>
      <c r="AI8" t="s">
        <v>80</v>
      </c>
      <c r="AJ8" t="s">
        <v>81</v>
      </c>
      <c r="AK8">
        <v>1237</v>
      </c>
      <c r="AL8">
        <v>0</v>
      </c>
      <c r="BH8">
        <v>7</v>
      </c>
      <c r="BI8" t="s">
        <v>113</v>
      </c>
      <c r="BJ8" t="s">
        <v>114</v>
      </c>
      <c r="BK8">
        <v>1</v>
      </c>
      <c r="BL8">
        <v>7</v>
      </c>
      <c r="BM8">
        <v>7</v>
      </c>
      <c r="BN8" t="s">
        <v>113</v>
      </c>
      <c r="BO8" t="s">
        <v>114</v>
      </c>
      <c r="BS8" t="s">
        <v>68</v>
      </c>
      <c r="BT8" t="s">
        <v>89</v>
      </c>
    </row>
    <row r="9" spans="1:72">
      <c r="A9" s="34" t="s">
        <v>66</v>
      </c>
      <c r="B9" s="34">
        <v>8</v>
      </c>
      <c r="G9" s="34" t="s">
        <v>115</v>
      </c>
      <c r="H9" s="34" t="s">
        <v>68</v>
      </c>
      <c r="I9" s="34" t="s">
        <v>69</v>
      </c>
      <c r="J9" s="34">
        <v>8026</v>
      </c>
      <c r="K9" s="34">
        <v>24</v>
      </c>
      <c r="L9" s="34">
        <v>24</v>
      </c>
      <c r="M9" s="110" t="s">
        <v>70</v>
      </c>
      <c r="N9" s="110" t="s">
        <v>71</v>
      </c>
      <c r="O9" s="110">
        <v>1252</v>
      </c>
      <c r="P9" s="110">
        <v>1400000</v>
      </c>
      <c r="Q9" s="110">
        <v>1400000</v>
      </c>
      <c r="R9" s="34" t="s">
        <v>72</v>
      </c>
      <c r="S9" s="34" t="s">
        <v>73</v>
      </c>
      <c r="T9" s="34">
        <v>1202</v>
      </c>
      <c r="U9" s="34">
        <v>2</v>
      </c>
      <c r="V9" s="34">
        <v>2</v>
      </c>
      <c r="W9" t="s">
        <v>74</v>
      </c>
      <c r="X9" t="s">
        <v>75</v>
      </c>
      <c r="Y9">
        <v>1205</v>
      </c>
      <c r="Z9">
        <v>2</v>
      </c>
      <c r="AA9" t="s">
        <v>76</v>
      </c>
      <c r="AB9" t="s">
        <v>77</v>
      </c>
      <c r="AC9">
        <v>1209</v>
      </c>
      <c r="AD9">
        <v>2</v>
      </c>
      <c r="AE9" t="s">
        <v>78</v>
      </c>
      <c r="AF9" t="s">
        <v>79</v>
      </c>
      <c r="AG9">
        <v>1210</v>
      </c>
      <c r="AH9">
        <v>2</v>
      </c>
      <c r="AI9" t="s">
        <v>80</v>
      </c>
      <c r="AJ9" t="s">
        <v>81</v>
      </c>
      <c r="AK9">
        <v>1237</v>
      </c>
      <c r="AL9">
        <v>0</v>
      </c>
      <c r="BH9">
        <v>8</v>
      </c>
      <c r="BI9" t="s">
        <v>113</v>
      </c>
      <c r="BJ9" t="s">
        <v>114</v>
      </c>
      <c r="BK9">
        <v>0.5</v>
      </c>
      <c r="BM9">
        <v>8</v>
      </c>
      <c r="BN9" t="s">
        <v>116</v>
      </c>
      <c r="BO9" t="s">
        <v>117</v>
      </c>
      <c r="BS9" t="s">
        <v>118</v>
      </c>
      <c r="BT9" t="s">
        <v>119</v>
      </c>
    </row>
    <row r="10" spans="1:72">
      <c r="A10" s="34" t="s">
        <v>66</v>
      </c>
      <c r="B10" s="34">
        <v>9</v>
      </c>
      <c r="G10" s="34" t="s">
        <v>120</v>
      </c>
      <c r="H10" s="34" t="s">
        <v>68</v>
      </c>
      <c r="I10" s="34" t="s">
        <v>69</v>
      </c>
      <c r="J10" s="34">
        <v>8026</v>
      </c>
      <c r="K10" s="34">
        <v>27</v>
      </c>
      <c r="L10" s="34">
        <v>27</v>
      </c>
      <c r="M10" s="110" t="s">
        <v>70</v>
      </c>
      <c r="N10" s="110" t="s">
        <v>71</v>
      </c>
      <c r="O10" s="110">
        <v>1252</v>
      </c>
      <c r="P10" s="110">
        <v>1600000</v>
      </c>
      <c r="Q10" s="110">
        <v>1600000</v>
      </c>
      <c r="R10" s="34" t="s">
        <v>72</v>
      </c>
      <c r="S10" s="34" t="s">
        <v>73</v>
      </c>
      <c r="T10" s="34">
        <v>1202</v>
      </c>
      <c r="U10" s="34">
        <v>2</v>
      </c>
      <c r="V10" s="34">
        <v>2</v>
      </c>
      <c r="W10" t="s">
        <v>74</v>
      </c>
      <c r="X10" t="s">
        <v>75</v>
      </c>
      <c r="Y10">
        <v>1205</v>
      </c>
      <c r="Z10">
        <v>2</v>
      </c>
      <c r="AA10" t="s">
        <v>76</v>
      </c>
      <c r="AB10" t="s">
        <v>77</v>
      </c>
      <c r="AC10">
        <v>1209</v>
      </c>
      <c r="AD10">
        <v>2</v>
      </c>
      <c r="AE10" t="s">
        <v>78</v>
      </c>
      <c r="AF10" t="s">
        <v>79</v>
      </c>
      <c r="AG10">
        <v>1210</v>
      </c>
      <c r="AH10">
        <v>2</v>
      </c>
      <c r="AI10" t="s">
        <v>80</v>
      </c>
      <c r="AJ10" t="s">
        <v>81</v>
      </c>
      <c r="AK10">
        <v>1237</v>
      </c>
      <c r="AL10">
        <v>0</v>
      </c>
      <c r="BH10">
        <v>9</v>
      </c>
      <c r="BI10" t="s">
        <v>113</v>
      </c>
      <c r="BJ10" t="s">
        <v>114</v>
      </c>
      <c r="BK10">
        <v>0.33333333333333298</v>
      </c>
      <c r="BM10">
        <v>9</v>
      </c>
      <c r="BN10" t="s">
        <v>121</v>
      </c>
      <c r="BO10" t="s">
        <v>122</v>
      </c>
    </row>
    <row r="11" spans="1:72">
      <c r="A11" s="34" t="s">
        <v>66</v>
      </c>
      <c r="B11" s="34">
        <v>10</v>
      </c>
      <c r="G11" s="34" t="s">
        <v>123</v>
      </c>
      <c r="H11" s="34" t="s">
        <v>68</v>
      </c>
      <c r="I11" s="34" t="s">
        <v>69</v>
      </c>
      <c r="J11" s="34">
        <v>8026</v>
      </c>
      <c r="K11" s="34">
        <v>30</v>
      </c>
      <c r="L11" s="34">
        <v>30</v>
      </c>
      <c r="M11" s="110" t="s">
        <v>70</v>
      </c>
      <c r="N11" s="110" t="s">
        <v>71</v>
      </c>
      <c r="O11" s="110">
        <v>1252</v>
      </c>
      <c r="P11" s="110">
        <v>1800000</v>
      </c>
      <c r="Q11" s="110">
        <v>1800000</v>
      </c>
      <c r="R11" s="34" t="s">
        <v>72</v>
      </c>
      <c r="S11" s="34" t="s">
        <v>73</v>
      </c>
      <c r="T11" s="34">
        <v>1202</v>
      </c>
      <c r="U11" s="34">
        <v>2</v>
      </c>
      <c r="V11" s="34">
        <v>2</v>
      </c>
      <c r="W11" t="s">
        <v>74</v>
      </c>
      <c r="X11" t="s">
        <v>75</v>
      </c>
      <c r="Y11">
        <v>1205</v>
      </c>
      <c r="Z11">
        <v>3</v>
      </c>
      <c r="AA11" t="s">
        <v>76</v>
      </c>
      <c r="AB11" t="s">
        <v>77</v>
      </c>
      <c r="AC11">
        <v>1209</v>
      </c>
      <c r="AD11">
        <v>2</v>
      </c>
      <c r="AE11" t="s">
        <v>78</v>
      </c>
      <c r="AF11" t="s">
        <v>79</v>
      </c>
      <c r="AG11">
        <v>1210</v>
      </c>
      <c r="AH11">
        <v>2</v>
      </c>
      <c r="AI11" t="s">
        <v>80</v>
      </c>
      <c r="AJ11" t="s">
        <v>81</v>
      </c>
      <c r="AK11">
        <v>1237</v>
      </c>
      <c r="AL11">
        <v>2</v>
      </c>
      <c r="BH11">
        <v>10</v>
      </c>
      <c r="BI11" t="s">
        <v>113</v>
      </c>
      <c r="BJ11" t="s">
        <v>114</v>
      </c>
      <c r="BK11">
        <v>0.25</v>
      </c>
      <c r="BM11">
        <v>10</v>
      </c>
      <c r="BN11" t="s">
        <v>124</v>
      </c>
      <c r="BO11" t="s">
        <v>125</v>
      </c>
    </row>
    <row r="12" spans="1:72">
      <c r="A12" s="34" t="s">
        <v>66</v>
      </c>
      <c r="B12" s="34">
        <v>11</v>
      </c>
      <c r="G12" s="34" t="s">
        <v>126</v>
      </c>
      <c r="H12" s="34" t="s">
        <v>68</v>
      </c>
      <c r="I12" s="34" t="s">
        <v>69</v>
      </c>
      <c r="J12" s="34">
        <v>8026</v>
      </c>
      <c r="K12" s="34">
        <v>33</v>
      </c>
      <c r="L12" s="34">
        <v>33</v>
      </c>
      <c r="M12" s="110" t="s">
        <v>70</v>
      </c>
      <c r="N12" s="110" t="s">
        <v>71</v>
      </c>
      <c r="O12" s="110">
        <v>1252</v>
      </c>
      <c r="P12" s="110">
        <v>2000000</v>
      </c>
      <c r="Q12" s="110">
        <v>2000000</v>
      </c>
      <c r="R12" s="34" t="s">
        <v>72</v>
      </c>
      <c r="S12" s="34" t="s">
        <v>73</v>
      </c>
      <c r="T12" s="34">
        <v>1202</v>
      </c>
      <c r="U12" s="34">
        <v>2</v>
      </c>
      <c r="V12" s="34">
        <v>2</v>
      </c>
      <c r="W12" t="s">
        <v>74</v>
      </c>
      <c r="X12" t="s">
        <v>75</v>
      </c>
      <c r="Y12">
        <v>1205</v>
      </c>
      <c r="Z12">
        <v>3</v>
      </c>
      <c r="AA12" t="s">
        <v>76</v>
      </c>
      <c r="AB12" t="s">
        <v>77</v>
      </c>
      <c r="AC12">
        <v>1209</v>
      </c>
      <c r="AD12">
        <v>3</v>
      </c>
      <c r="AE12" t="s">
        <v>78</v>
      </c>
      <c r="AF12" t="s">
        <v>79</v>
      </c>
      <c r="AG12">
        <v>1210</v>
      </c>
      <c r="AH12">
        <v>2</v>
      </c>
      <c r="AI12" t="s">
        <v>80</v>
      </c>
      <c r="AJ12" t="s">
        <v>81</v>
      </c>
      <c r="AK12">
        <v>1237</v>
      </c>
      <c r="AL12">
        <v>2</v>
      </c>
      <c r="BH12">
        <v>11</v>
      </c>
      <c r="BI12" t="s">
        <v>116</v>
      </c>
      <c r="BJ12" t="s">
        <v>117</v>
      </c>
      <c r="BK12">
        <v>1</v>
      </c>
      <c r="BL12">
        <v>8</v>
      </c>
      <c r="BM12">
        <v>11</v>
      </c>
      <c r="BN12" t="s">
        <v>127</v>
      </c>
      <c r="BO12" t="s">
        <v>128</v>
      </c>
    </row>
    <row r="13" spans="1:72">
      <c r="A13" s="34" t="s">
        <v>66</v>
      </c>
      <c r="B13" s="34">
        <v>12</v>
      </c>
      <c r="G13" s="34" t="s">
        <v>129</v>
      </c>
      <c r="H13" s="34" t="s">
        <v>68</v>
      </c>
      <c r="I13" s="34" t="s">
        <v>69</v>
      </c>
      <c r="J13" s="34">
        <v>8026</v>
      </c>
      <c r="K13" s="34">
        <v>36</v>
      </c>
      <c r="L13" s="34">
        <v>36</v>
      </c>
      <c r="M13" s="110" t="s">
        <v>70</v>
      </c>
      <c r="N13" s="110" t="s">
        <v>71</v>
      </c>
      <c r="O13" s="110">
        <v>1252</v>
      </c>
      <c r="P13" s="110">
        <v>2500000</v>
      </c>
      <c r="Q13" s="110">
        <v>2500000</v>
      </c>
      <c r="R13" s="34" t="s">
        <v>72</v>
      </c>
      <c r="S13" s="34" t="s">
        <v>73</v>
      </c>
      <c r="T13" s="34">
        <v>1202</v>
      </c>
      <c r="U13" s="34">
        <v>2</v>
      </c>
      <c r="V13" s="34">
        <v>2</v>
      </c>
      <c r="W13" t="s">
        <v>74</v>
      </c>
      <c r="X13" t="s">
        <v>75</v>
      </c>
      <c r="Y13">
        <v>1205</v>
      </c>
      <c r="Z13">
        <v>3</v>
      </c>
      <c r="AA13" t="s">
        <v>76</v>
      </c>
      <c r="AB13" t="s">
        <v>77</v>
      </c>
      <c r="AC13">
        <v>1209</v>
      </c>
      <c r="AD13">
        <v>3</v>
      </c>
      <c r="AE13" t="s">
        <v>78</v>
      </c>
      <c r="AF13" t="s">
        <v>79</v>
      </c>
      <c r="AG13">
        <v>1210</v>
      </c>
      <c r="AH13">
        <v>2</v>
      </c>
      <c r="AI13" t="s">
        <v>80</v>
      </c>
      <c r="AJ13" t="s">
        <v>81</v>
      </c>
      <c r="AK13">
        <v>1237</v>
      </c>
      <c r="AL13">
        <v>2</v>
      </c>
      <c r="BH13">
        <v>12</v>
      </c>
      <c r="BI13" t="s">
        <v>121</v>
      </c>
      <c r="BJ13" t="s">
        <v>122</v>
      </c>
      <c r="BK13">
        <v>1</v>
      </c>
      <c r="BL13">
        <v>9</v>
      </c>
      <c r="BM13">
        <v>12</v>
      </c>
      <c r="BN13" t="s">
        <v>130</v>
      </c>
      <c r="BO13" t="s">
        <v>131</v>
      </c>
    </row>
    <row r="14" spans="1:72">
      <c r="A14" s="34" t="s">
        <v>66</v>
      </c>
      <c r="B14" s="34">
        <v>13</v>
      </c>
      <c r="G14" s="34" t="s">
        <v>132</v>
      </c>
      <c r="H14" s="34" t="s">
        <v>68</v>
      </c>
      <c r="I14" s="34" t="s">
        <v>69</v>
      </c>
      <c r="J14" s="34">
        <v>8026</v>
      </c>
      <c r="K14" s="34">
        <v>39</v>
      </c>
      <c r="L14" s="34">
        <v>39</v>
      </c>
      <c r="M14" s="110" t="s">
        <v>70</v>
      </c>
      <c r="N14" s="110" t="s">
        <v>71</v>
      </c>
      <c r="O14" s="110">
        <v>1252</v>
      </c>
      <c r="P14" s="110">
        <v>3000000</v>
      </c>
      <c r="Q14" s="110">
        <v>3000000</v>
      </c>
      <c r="R14" s="34" t="s">
        <v>72</v>
      </c>
      <c r="S14" s="34" t="s">
        <v>73</v>
      </c>
      <c r="T14" s="34">
        <v>1202</v>
      </c>
      <c r="U14" s="34">
        <v>3</v>
      </c>
      <c r="V14" s="34">
        <v>3</v>
      </c>
      <c r="W14" t="s">
        <v>74</v>
      </c>
      <c r="X14" t="s">
        <v>75</v>
      </c>
      <c r="Y14">
        <v>1205</v>
      </c>
      <c r="Z14">
        <v>3</v>
      </c>
      <c r="AA14" t="s">
        <v>76</v>
      </c>
      <c r="AB14" t="s">
        <v>77</v>
      </c>
      <c r="AC14">
        <v>1209</v>
      </c>
      <c r="AD14">
        <v>3</v>
      </c>
      <c r="AE14" t="s">
        <v>78</v>
      </c>
      <c r="AF14" t="s">
        <v>79</v>
      </c>
      <c r="AG14">
        <v>1210</v>
      </c>
      <c r="AH14">
        <v>2</v>
      </c>
      <c r="AI14" t="s">
        <v>80</v>
      </c>
      <c r="AJ14" t="s">
        <v>81</v>
      </c>
      <c r="AK14">
        <v>1237</v>
      </c>
      <c r="AL14">
        <v>2</v>
      </c>
      <c r="BH14">
        <v>13</v>
      </c>
      <c r="BI14" t="s">
        <v>124</v>
      </c>
      <c r="BJ14" t="s">
        <v>125</v>
      </c>
      <c r="BK14">
        <v>1</v>
      </c>
      <c r="BL14">
        <v>10</v>
      </c>
      <c r="BM14">
        <v>13</v>
      </c>
      <c r="BN14" t="s">
        <v>133</v>
      </c>
      <c r="BO14" t="s">
        <v>134</v>
      </c>
    </row>
    <row r="15" spans="1:72">
      <c r="A15" s="34" t="s">
        <v>66</v>
      </c>
      <c r="B15" s="34">
        <v>14</v>
      </c>
      <c r="G15" s="34" t="s">
        <v>135</v>
      </c>
      <c r="H15" s="34" t="s">
        <v>68</v>
      </c>
      <c r="I15" s="34" t="s">
        <v>69</v>
      </c>
      <c r="J15" s="34">
        <v>8026</v>
      </c>
      <c r="K15" s="34">
        <v>42</v>
      </c>
      <c r="L15" s="34">
        <v>42</v>
      </c>
      <c r="M15" s="110" t="s">
        <v>70</v>
      </c>
      <c r="N15" s="110" t="s">
        <v>71</v>
      </c>
      <c r="O15" s="110">
        <v>1252</v>
      </c>
      <c r="P15" s="110">
        <v>4000000</v>
      </c>
      <c r="Q15" s="110">
        <v>4000000</v>
      </c>
      <c r="R15" s="34" t="s">
        <v>72</v>
      </c>
      <c r="S15" s="34" t="s">
        <v>73</v>
      </c>
      <c r="T15" s="34">
        <v>1202</v>
      </c>
      <c r="U15" s="34">
        <v>3</v>
      </c>
      <c r="V15" s="34">
        <v>3</v>
      </c>
      <c r="W15" t="s">
        <v>74</v>
      </c>
      <c r="X15" t="s">
        <v>75</v>
      </c>
      <c r="Y15">
        <v>1205</v>
      </c>
      <c r="Z15">
        <v>4</v>
      </c>
      <c r="AA15" t="s">
        <v>76</v>
      </c>
      <c r="AB15" t="s">
        <v>77</v>
      </c>
      <c r="AC15">
        <v>1209</v>
      </c>
      <c r="AD15">
        <v>3</v>
      </c>
      <c r="AE15" t="s">
        <v>78</v>
      </c>
      <c r="AF15" t="s">
        <v>79</v>
      </c>
      <c r="AG15">
        <v>1210</v>
      </c>
      <c r="AH15">
        <v>2</v>
      </c>
      <c r="AI15" t="s">
        <v>80</v>
      </c>
      <c r="AJ15" t="s">
        <v>81</v>
      </c>
      <c r="AK15">
        <v>1237</v>
      </c>
      <c r="AL15">
        <v>2</v>
      </c>
      <c r="BH15">
        <v>14</v>
      </c>
      <c r="BI15" t="s">
        <v>127</v>
      </c>
      <c r="BJ15" t="s">
        <v>128</v>
      </c>
      <c r="BK15">
        <v>1</v>
      </c>
      <c r="BL15">
        <v>11</v>
      </c>
      <c r="BM15">
        <v>14</v>
      </c>
      <c r="BN15" t="s">
        <v>136</v>
      </c>
      <c r="BO15" t="s">
        <v>137</v>
      </c>
    </row>
    <row r="16" spans="1:72">
      <c r="A16" s="34" t="s">
        <v>66</v>
      </c>
      <c r="B16" s="34">
        <v>15</v>
      </c>
      <c r="G16" s="34" t="s">
        <v>138</v>
      </c>
      <c r="H16" s="34" t="s">
        <v>68</v>
      </c>
      <c r="I16" s="34" t="s">
        <v>69</v>
      </c>
      <c r="J16" s="34">
        <v>8026</v>
      </c>
      <c r="K16" s="34">
        <v>45</v>
      </c>
      <c r="L16" s="34">
        <v>45</v>
      </c>
      <c r="M16" s="110" t="s">
        <v>70</v>
      </c>
      <c r="N16" s="110" t="s">
        <v>71</v>
      </c>
      <c r="O16" s="110">
        <v>1252</v>
      </c>
      <c r="P16" s="110">
        <v>6000000</v>
      </c>
      <c r="Q16" s="110">
        <v>6000000</v>
      </c>
      <c r="R16" s="34" t="s">
        <v>72</v>
      </c>
      <c r="S16" s="34" t="s">
        <v>73</v>
      </c>
      <c r="T16" s="34">
        <v>1202</v>
      </c>
      <c r="U16" s="34">
        <v>3</v>
      </c>
      <c r="V16" s="34">
        <v>3</v>
      </c>
      <c r="W16" t="s">
        <v>74</v>
      </c>
      <c r="X16" t="s">
        <v>75</v>
      </c>
      <c r="Y16">
        <v>1205</v>
      </c>
      <c r="Z16">
        <v>4</v>
      </c>
      <c r="AA16" t="s">
        <v>76</v>
      </c>
      <c r="AB16" t="s">
        <v>77</v>
      </c>
      <c r="AC16">
        <v>1209</v>
      </c>
      <c r="AD16">
        <v>4</v>
      </c>
      <c r="AE16" t="s">
        <v>78</v>
      </c>
      <c r="AF16" t="s">
        <v>79</v>
      </c>
      <c r="AG16">
        <v>1210</v>
      </c>
      <c r="AH16">
        <v>2</v>
      </c>
      <c r="AI16" t="s">
        <v>80</v>
      </c>
      <c r="AJ16" t="s">
        <v>81</v>
      </c>
      <c r="AK16">
        <v>1237</v>
      </c>
      <c r="AL16">
        <v>2</v>
      </c>
      <c r="BH16">
        <v>15</v>
      </c>
      <c r="BI16" t="s">
        <v>130</v>
      </c>
      <c r="BJ16" t="s">
        <v>131</v>
      </c>
      <c r="BK16">
        <v>1</v>
      </c>
      <c r="BL16">
        <v>12</v>
      </c>
      <c r="BM16">
        <v>15</v>
      </c>
      <c r="BN16" t="s">
        <v>139</v>
      </c>
      <c r="BO16" t="s">
        <v>140</v>
      </c>
    </row>
    <row r="17" spans="1:67">
      <c r="A17" s="34" t="s">
        <v>66</v>
      </c>
      <c r="B17" s="34">
        <v>16</v>
      </c>
      <c r="G17" s="34" t="s">
        <v>141</v>
      </c>
      <c r="H17" s="34" t="s">
        <v>68</v>
      </c>
      <c r="I17" s="34" t="s">
        <v>69</v>
      </c>
      <c r="J17" s="34">
        <v>8026</v>
      </c>
      <c r="K17" s="34">
        <v>48</v>
      </c>
      <c r="L17" s="34">
        <v>48</v>
      </c>
      <c r="M17" s="110" t="s">
        <v>70</v>
      </c>
      <c r="N17" s="110" t="s">
        <v>71</v>
      </c>
      <c r="O17" s="110">
        <v>1252</v>
      </c>
      <c r="P17" s="110">
        <v>7000000</v>
      </c>
      <c r="Q17" s="110">
        <v>7000000</v>
      </c>
      <c r="R17" s="34" t="s">
        <v>72</v>
      </c>
      <c r="S17" s="34" t="s">
        <v>73</v>
      </c>
      <c r="T17" s="34">
        <v>1202</v>
      </c>
      <c r="U17" s="34">
        <v>4</v>
      </c>
      <c r="V17" s="34">
        <v>4</v>
      </c>
      <c r="W17" t="s">
        <v>74</v>
      </c>
      <c r="X17" t="s">
        <v>75</v>
      </c>
      <c r="Y17">
        <v>1205</v>
      </c>
      <c r="Z17">
        <v>4</v>
      </c>
      <c r="AA17" t="s">
        <v>76</v>
      </c>
      <c r="AB17" t="s">
        <v>77</v>
      </c>
      <c r="AC17">
        <v>1209</v>
      </c>
      <c r="AD17">
        <v>4</v>
      </c>
      <c r="AE17" t="s">
        <v>78</v>
      </c>
      <c r="AF17" t="s">
        <v>79</v>
      </c>
      <c r="AG17">
        <v>1210</v>
      </c>
      <c r="AH17">
        <v>2</v>
      </c>
      <c r="AI17" t="s">
        <v>80</v>
      </c>
      <c r="AJ17" t="s">
        <v>81</v>
      </c>
      <c r="AK17">
        <v>1237</v>
      </c>
      <c r="AL17">
        <v>2</v>
      </c>
      <c r="BH17">
        <v>16</v>
      </c>
      <c r="BI17" t="s">
        <v>133</v>
      </c>
      <c r="BJ17" t="s">
        <v>134</v>
      </c>
      <c r="BK17">
        <v>1</v>
      </c>
      <c r="BL17">
        <v>13</v>
      </c>
      <c r="BM17">
        <v>16</v>
      </c>
      <c r="BN17" t="s">
        <v>85</v>
      </c>
      <c r="BO17" t="s">
        <v>70</v>
      </c>
    </row>
    <row r="18" spans="1:67">
      <c r="A18" s="34" t="s">
        <v>66</v>
      </c>
      <c r="B18" s="34">
        <v>17</v>
      </c>
      <c r="G18" s="34" t="s">
        <v>142</v>
      </c>
      <c r="H18" s="34" t="s">
        <v>68</v>
      </c>
      <c r="I18" s="34" t="s">
        <v>69</v>
      </c>
      <c r="J18" s="34">
        <v>8026</v>
      </c>
      <c r="K18" s="34">
        <v>51</v>
      </c>
      <c r="L18" s="34">
        <v>51</v>
      </c>
      <c r="M18" s="110" t="s">
        <v>70</v>
      </c>
      <c r="N18" s="110" t="s">
        <v>71</v>
      </c>
      <c r="O18" s="110">
        <v>1252</v>
      </c>
      <c r="P18" s="110">
        <v>8000000</v>
      </c>
      <c r="Q18" s="110">
        <v>8000000</v>
      </c>
      <c r="R18" s="34" t="s">
        <v>72</v>
      </c>
      <c r="S18" s="34" t="s">
        <v>73</v>
      </c>
      <c r="T18" s="34">
        <v>1202</v>
      </c>
      <c r="U18" s="34">
        <v>4</v>
      </c>
      <c r="V18" s="34">
        <v>4</v>
      </c>
      <c r="W18" t="s">
        <v>74</v>
      </c>
      <c r="X18" t="s">
        <v>75</v>
      </c>
      <c r="Y18">
        <v>1205</v>
      </c>
      <c r="Z18">
        <v>4</v>
      </c>
      <c r="AA18" t="s">
        <v>76</v>
      </c>
      <c r="AB18" t="s">
        <v>77</v>
      </c>
      <c r="AC18">
        <v>1209</v>
      </c>
      <c r="AD18">
        <v>4</v>
      </c>
      <c r="AE18" t="s">
        <v>78</v>
      </c>
      <c r="AF18" t="s">
        <v>79</v>
      </c>
      <c r="AG18">
        <v>1210</v>
      </c>
      <c r="AH18">
        <v>2</v>
      </c>
      <c r="AI18" t="s">
        <v>80</v>
      </c>
      <c r="AJ18" t="s">
        <v>81</v>
      </c>
      <c r="AK18">
        <v>1237</v>
      </c>
      <c r="AL18">
        <v>2</v>
      </c>
      <c r="BH18">
        <v>17</v>
      </c>
      <c r="BI18" t="s">
        <v>136</v>
      </c>
      <c r="BJ18" t="s">
        <v>137</v>
      </c>
      <c r="BK18">
        <v>1</v>
      </c>
      <c r="BL18">
        <v>14</v>
      </c>
      <c r="BM18">
        <v>17</v>
      </c>
      <c r="BN18" t="s">
        <v>143</v>
      </c>
      <c r="BO18" t="s">
        <v>144</v>
      </c>
    </row>
    <row r="19" spans="1:67">
      <c r="A19" s="34" t="s">
        <v>66</v>
      </c>
      <c r="B19" s="34">
        <v>18</v>
      </c>
      <c r="G19" s="34" t="s">
        <v>145</v>
      </c>
      <c r="H19" s="34" t="s">
        <v>68</v>
      </c>
      <c r="I19" s="34" t="s">
        <v>69</v>
      </c>
      <c r="J19" s="34">
        <v>8026</v>
      </c>
      <c r="K19" s="34">
        <v>54</v>
      </c>
      <c r="L19" s="34">
        <v>54</v>
      </c>
      <c r="M19" s="110" t="s">
        <v>70</v>
      </c>
      <c r="N19" s="110" t="s">
        <v>71</v>
      </c>
      <c r="O19" s="110">
        <v>1252</v>
      </c>
      <c r="P19" s="110">
        <v>9000000</v>
      </c>
      <c r="Q19" s="110">
        <v>9000000</v>
      </c>
      <c r="R19" s="34" t="s">
        <v>72</v>
      </c>
      <c r="S19" s="34" t="s">
        <v>73</v>
      </c>
      <c r="T19" s="34">
        <v>1202</v>
      </c>
      <c r="U19" s="34">
        <v>4</v>
      </c>
      <c r="V19" s="34">
        <v>4</v>
      </c>
      <c r="W19" t="s">
        <v>74</v>
      </c>
      <c r="X19" t="s">
        <v>75</v>
      </c>
      <c r="Y19">
        <v>1205</v>
      </c>
      <c r="Z19">
        <v>4</v>
      </c>
      <c r="AA19" t="s">
        <v>76</v>
      </c>
      <c r="AB19" t="s">
        <v>77</v>
      </c>
      <c r="AC19">
        <v>1209</v>
      </c>
      <c r="AD19">
        <v>4</v>
      </c>
      <c r="AE19" t="s">
        <v>78</v>
      </c>
      <c r="AF19" t="s">
        <v>79</v>
      </c>
      <c r="AG19">
        <v>1210</v>
      </c>
      <c r="AH19">
        <v>2</v>
      </c>
      <c r="AI19" t="s">
        <v>80</v>
      </c>
      <c r="AJ19" t="s">
        <v>81</v>
      </c>
      <c r="AK19">
        <v>1237</v>
      </c>
      <c r="AL19">
        <v>2</v>
      </c>
      <c r="BH19">
        <v>18</v>
      </c>
      <c r="BI19" t="s">
        <v>139</v>
      </c>
      <c r="BJ19" t="s">
        <v>140</v>
      </c>
      <c r="BK19">
        <v>1</v>
      </c>
      <c r="BL19">
        <v>15</v>
      </c>
      <c r="BM19">
        <v>18</v>
      </c>
      <c r="BN19" t="s">
        <v>146</v>
      </c>
      <c r="BO19" t="s">
        <v>147</v>
      </c>
    </row>
    <row r="20" spans="1:67">
      <c r="A20" s="34" t="s">
        <v>66</v>
      </c>
      <c r="B20" s="34">
        <v>19</v>
      </c>
      <c r="G20" s="34" t="s">
        <v>148</v>
      </c>
      <c r="H20" s="34" t="s">
        <v>68</v>
      </c>
      <c r="I20" s="34" t="s">
        <v>69</v>
      </c>
      <c r="J20" s="34">
        <v>8026</v>
      </c>
      <c r="K20" s="34">
        <v>57</v>
      </c>
      <c r="L20" s="34">
        <v>57</v>
      </c>
      <c r="M20" s="110" t="s">
        <v>70</v>
      </c>
      <c r="N20" s="110" t="s">
        <v>71</v>
      </c>
      <c r="O20" s="110">
        <v>1252</v>
      </c>
      <c r="P20" s="110">
        <v>10000000</v>
      </c>
      <c r="Q20" s="110">
        <v>10000000</v>
      </c>
      <c r="R20" s="34" t="s">
        <v>72</v>
      </c>
      <c r="S20" s="34" t="s">
        <v>73</v>
      </c>
      <c r="T20" s="34">
        <v>1202</v>
      </c>
      <c r="U20" s="34">
        <v>4</v>
      </c>
      <c r="V20" s="34">
        <v>4</v>
      </c>
      <c r="W20" t="s">
        <v>74</v>
      </c>
      <c r="X20" t="s">
        <v>75</v>
      </c>
      <c r="Y20">
        <v>1205</v>
      </c>
      <c r="Z20">
        <v>4</v>
      </c>
      <c r="AA20" t="s">
        <v>76</v>
      </c>
      <c r="AB20" t="s">
        <v>77</v>
      </c>
      <c r="AC20">
        <v>1209</v>
      </c>
      <c r="AD20">
        <v>4</v>
      </c>
      <c r="AE20" t="s">
        <v>78</v>
      </c>
      <c r="AF20" t="s">
        <v>79</v>
      </c>
      <c r="AG20">
        <v>1210</v>
      </c>
      <c r="AH20">
        <v>2</v>
      </c>
      <c r="AI20" t="s">
        <v>80</v>
      </c>
      <c r="AJ20" t="s">
        <v>81</v>
      </c>
      <c r="AK20">
        <v>1237</v>
      </c>
      <c r="AL20">
        <v>2</v>
      </c>
      <c r="BH20">
        <v>19</v>
      </c>
      <c r="BI20" t="s">
        <v>85</v>
      </c>
      <c r="BJ20" t="s">
        <v>70</v>
      </c>
      <c r="BK20">
        <v>1</v>
      </c>
      <c r="BL20">
        <v>16</v>
      </c>
      <c r="BM20">
        <v>19</v>
      </c>
      <c r="BN20" t="s">
        <v>149</v>
      </c>
      <c r="BO20" t="s">
        <v>150</v>
      </c>
    </row>
    <row r="21" spans="1:67">
      <c r="A21" s="34" t="s">
        <v>66</v>
      </c>
      <c r="B21" s="34">
        <v>20</v>
      </c>
      <c r="G21" s="34" t="s">
        <v>151</v>
      </c>
      <c r="H21" s="34" t="s">
        <v>68</v>
      </c>
      <c r="I21" s="34" t="s">
        <v>69</v>
      </c>
      <c r="J21" s="34">
        <v>8026</v>
      </c>
      <c r="K21" s="34">
        <v>60</v>
      </c>
      <c r="L21" s="34">
        <v>60</v>
      </c>
      <c r="M21" s="110" t="s">
        <v>70</v>
      </c>
      <c r="N21" s="110" t="s">
        <v>71</v>
      </c>
      <c r="O21" s="110">
        <v>1252</v>
      </c>
      <c r="P21" s="110">
        <v>11000000</v>
      </c>
      <c r="Q21" s="110">
        <v>11000000</v>
      </c>
      <c r="R21" s="34" t="s">
        <v>72</v>
      </c>
      <c r="S21" s="34" t="s">
        <v>73</v>
      </c>
      <c r="T21" s="34">
        <v>1202</v>
      </c>
      <c r="U21" s="34">
        <v>4</v>
      </c>
      <c r="V21" s="34">
        <v>4</v>
      </c>
      <c r="W21" t="s">
        <v>74</v>
      </c>
      <c r="X21" t="s">
        <v>75</v>
      </c>
      <c r="Y21">
        <v>1205</v>
      </c>
      <c r="Z21">
        <v>4</v>
      </c>
      <c r="AA21" t="s">
        <v>76</v>
      </c>
      <c r="AB21" t="s">
        <v>77</v>
      </c>
      <c r="AC21">
        <v>1209</v>
      </c>
      <c r="AD21">
        <v>4</v>
      </c>
      <c r="AE21" t="s">
        <v>78</v>
      </c>
      <c r="AF21" t="s">
        <v>79</v>
      </c>
      <c r="AG21">
        <v>1210</v>
      </c>
      <c r="AH21">
        <v>2</v>
      </c>
      <c r="AI21" t="s">
        <v>80</v>
      </c>
      <c r="AJ21" t="s">
        <v>81</v>
      </c>
      <c r="AK21">
        <v>1237</v>
      </c>
      <c r="AL21">
        <v>2</v>
      </c>
      <c r="BH21">
        <v>20</v>
      </c>
      <c r="BI21" t="s">
        <v>143</v>
      </c>
      <c r="BJ21" t="s">
        <v>144</v>
      </c>
      <c r="BK21">
        <v>1</v>
      </c>
      <c r="BL21">
        <v>17</v>
      </c>
      <c r="BM21">
        <v>20</v>
      </c>
      <c r="BN21" t="s">
        <v>152</v>
      </c>
      <c r="BO21" t="s">
        <v>153</v>
      </c>
    </row>
    <row r="22" spans="1:67">
      <c r="A22" s="34" t="s">
        <v>154</v>
      </c>
      <c r="B22" s="34">
        <v>1</v>
      </c>
      <c r="E22" s="34">
        <v>2</v>
      </c>
      <c r="F22" s="34">
        <v>0</v>
      </c>
      <c r="G22" s="34" t="s">
        <v>155</v>
      </c>
      <c r="H22" s="34" t="s">
        <v>90</v>
      </c>
      <c r="I22" s="34" t="s">
        <v>156</v>
      </c>
      <c r="J22" s="34">
        <v>1255</v>
      </c>
      <c r="K22" s="34">
        <v>40</v>
      </c>
      <c r="L22" s="34">
        <v>40</v>
      </c>
      <c r="M22" s="110" t="s">
        <v>144</v>
      </c>
      <c r="N22" s="110" t="s">
        <v>157</v>
      </c>
      <c r="O22" s="110">
        <v>1200</v>
      </c>
      <c r="P22" s="110">
        <v>1</v>
      </c>
      <c r="Q22" s="110">
        <v>1</v>
      </c>
      <c r="V22" s="34">
        <v>0</v>
      </c>
      <c r="AQ22" t="s">
        <v>158</v>
      </c>
      <c r="AR22" t="s">
        <v>159</v>
      </c>
      <c r="AS22" t="s">
        <v>93</v>
      </c>
      <c r="AT22" t="s">
        <v>90</v>
      </c>
      <c r="AU22">
        <v>2</v>
      </c>
      <c r="AV22" t="s">
        <v>143</v>
      </c>
      <c r="AW22" t="s">
        <v>144</v>
      </c>
      <c r="AX22">
        <v>20</v>
      </c>
      <c r="BH22">
        <v>21</v>
      </c>
      <c r="BI22" t="s">
        <v>146</v>
      </c>
      <c r="BJ22" t="s">
        <v>147</v>
      </c>
      <c r="BK22">
        <v>1</v>
      </c>
      <c r="BL22">
        <v>18</v>
      </c>
      <c r="BM22">
        <v>21</v>
      </c>
      <c r="BN22" t="s">
        <v>160</v>
      </c>
      <c r="BO22" t="s">
        <v>161</v>
      </c>
    </row>
    <row r="23" spans="1:67">
      <c r="A23" s="34" t="s">
        <v>154</v>
      </c>
      <c r="B23" s="34">
        <v>2</v>
      </c>
      <c r="E23" s="34">
        <v>2</v>
      </c>
      <c r="F23" s="34">
        <v>1</v>
      </c>
      <c r="G23" s="34" t="s">
        <v>162</v>
      </c>
      <c r="H23" s="34" t="s">
        <v>90</v>
      </c>
      <c r="I23" s="34" t="s">
        <v>156</v>
      </c>
      <c r="J23" s="34">
        <v>1255</v>
      </c>
      <c r="K23" s="34">
        <v>80</v>
      </c>
      <c r="L23" s="34">
        <v>80</v>
      </c>
      <c r="M23" s="110" t="s">
        <v>144</v>
      </c>
      <c r="N23" s="110" t="s">
        <v>157</v>
      </c>
      <c r="O23" s="110">
        <v>1200</v>
      </c>
      <c r="P23" s="110">
        <v>2</v>
      </c>
      <c r="Q23" s="110">
        <v>2</v>
      </c>
      <c r="V23" s="34">
        <v>0</v>
      </c>
      <c r="BH23">
        <v>22</v>
      </c>
      <c r="BI23" t="s">
        <v>149</v>
      </c>
      <c r="BJ23" t="s">
        <v>150</v>
      </c>
      <c r="BK23">
        <v>1</v>
      </c>
      <c r="BL23">
        <v>19</v>
      </c>
      <c r="BM23">
        <v>22</v>
      </c>
      <c r="BN23" t="s">
        <v>163</v>
      </c>
      <c r="BO23" t="s">
        <v>164</v>
      </c>
    </row>
    <row r="24" spans="1:67">
      <c r="A24" s="34" t="s">
        <v>154</v>
      </c>
      <c r="B24" s="34">
        <v>3</v>
      </c>
      <c r="E24" s="34">
        <v>2</v>
      </c>
      <c r="F24" s="34">
        <v>1</v>
      </c>
      <c r="G24" s="34" t="s">
        <v>165</v>
      </c>
      <c r="H24" s="34" t="s">
        <v>90</v>
      </c>
      <c r="I24" s="34" t="s">
        <v>156</v>
      </c>
      <c r="J24" s="34">
        <v>1255</v>
      </c>
      <c r="K24" s="34">
        <v>120</v>
      </c>
      <c r="L24" s="34">
        <v>120</v>
      </c>
      <c r="M24" s="110" t="s">
        <v>144</v>
      </c>
      <c r="N24" s="110" t="s">
        <v>157</v>
      </c>
      <c r="O24" s="110">
        <v>1200</v>
      </c>
      <c r="P24" s="110">
        <v>3</v>
      </c>
      <c r="Q24" s="110">
        <v>3</v>
      </c>
      <c r="V24" s="34">
        <v>0</v>
      </c>
      <c r="BH24">
        <v>23</v>
      </c>
      <c r="BI24" t="s">
        <v>152</v>
      </c>
      <c r="BJ24" t="s">
        <v>153</v>
      </c>
      <c r="BK24">
        <v>1</v>
      </c>
      <c r="BL24">
        <v>20</v>
      </c>
      <c r="BM24">
        <v>23</v>
      </c>
      <c r="BN24" t="s">
        <v>166</v>
      </c>
      <c r="BO24" t="s">
        <v>167</v>
      </c>
    </row>
    <row r="25" spans="1:67">
      <c r="A25" s="34" t="s">
        <v>154</v>
      </c>
      <c r="B25" s="34">
        <v>4</v>
      </c>
      <c r="E25" s="34">
        <v>2</v>
      </c>
      <c r="F25" s="34">
        <v>1</v>
      </c>
      <c r="G25" s="34" t="s">
        <v>168</v>
      </c>
      <c r="H25" s="34" t="s">
        <v>90</v>
      </c>
      <c r="I25" s="34" t="s">
        <v>156</v>
      </c>
      <c r="J25" s="34">
        <v>1255</v>
      </c>
      <c r="K25" s="34">
        <v>160</v>
      </c>
      <c r="L25" s="34">
        <v>160</v>
      </c>
      <c r="M25" s="110" t="s">
        <v>144</v>
      </c>
      <c r="N25" s="110" t="s">
        <v>157</v>
      </c>
      <c r="O25" s="110">
        <v>1200</v>
      </c>
      <c r="P25" s="110">
        <v>4</v>
      </c>
      <c r="Q25" s="110">
        <v>4</v>
      </c>
      <c r="V25" s="34">
        <v>0</v>
      </c>
      <c r="BH25">
        <v>24</v>
      </c>
      <c r="BI25" t="s">
        <v>160</v>
      </c>
      <c r="BJ25" t="s">
        <v>161</v>
      </c>
      <c r="BK25">
        <v>1</v>
      </c>
      <c r="BL25">
        <v>21</v>
      </c>
      <c r="BM25">
        <v>24</v>
      </c>
      <c r="BN25" t="s">
        <v>169</v>
      </c>
      <c r="BO25" t="s">
        <v>170</v>
      </c>
    </row>
    <row r="26" spans="1:67">
      <c r="A26" s="34" t="s">
        <v>154</v>
      </c>
      <c r="B26" s="34">
        <v>5</v>
      </c>
      <c r="E26" s="34">
        <v>2</v>
      </c>
      <c r="F26" s="34">
        <v>2</v>
      </c>
      <c r="G26" s="34" t="s">
        <v>171</v>
      </c>
      <c r="H26" s="34" t="s">
        <v>90</v>
      </c>
      <c r="I26" s="34" t="s">
        <v>156</v>
      </c>
      <c r="J26" s="34">
        <v>1255</v>
      </c>
      <c r="K26" s="34">
        <v>200</v>
      </c>
      <c r="L26" s="34">
        <v>400</v>
      </c>
      <c r="M26" s="110" t="s">
        <v>144</v>
      </c>
      <c r="N26" s="110" t="s">
        <v>157</v>
      </c>
      <c r="O26" s="110">
        <v>1200</v>
      </c>
      <c r="P26" s="110">
        <v>5</v>
      </c>
      <c r="Q26" s="110">
        <v>10</v>
      </c>
      <c r="V26" s="34">
        <v>0</v>
      </c>
      <c r="BH26">
        <v>25</v>
      </c>
      <c r="BI26" t="s">
        <v>163</v>
      </c>
      <c r="BJ26" t="s">
        <v>164</v>
      </c>
      <c r="BK26">
        <v>1</v>
      </c>
      <c r="BL26">
        <v>22</v>
      </c>
      <c r="BM26">
        <v>25</v>
      </c>
      <c r="BN26" t="s">
        <v>172</v>
      </c>
      <c r="BO26" t="s">
        <v>173</v>
      </c>
    </row>
    <row r="27" spans="1:67">
      <c r="A27" s="34" t="s">
        <v>154</v>
      </c>
      <c r="B27" s="34">
        <v>6</v>
      </c>
      <c r="E27" s="34">
        <v>2</v>
      </c>
      <c r="F27" s="34">
        <v>2</v>
      </c>
      <c r="G27" s="34" t="s">
        <v>174</v>
      </c>
      <c r="H27" s="34" t="s">
        <v>90</v>
      </c>
      <c r="I27" s="34" t="s">
        <v>156</v>
      </c>
      <c r="J27" s="34">
        <v>1255</v>
      </c>
      <c r="K27" s="34">
        <v>260</v>
      </c>
      <c r="L27" s="34">
        <v>520</v>
      </c>
      <c r="M27" s="110" t="s">
        <v>144</v>
      </c>
      <c r="N27" s="110" t="s">
        <v>157</v>
      </c>
      <c r="O27" s="110">
        <v>1200</v>
      </c>
      <c r="P27" s="110">
        <v>6</v>
      </c>
      <c r="Q27" s="110">
        <v>12</v>
      </c>
      <c r="V27" s="34">
        <v>0</v>
      </c>
      <c r="BH27">
        <v>26</v>
      </c>
      <c r="BI27" t="s">
        <v>166</v>
      </c>
      <c r="BJ27" t="s">
        <v>167</v>
      </c>
      <c r="BK27">
        <v>1</v>
      </c>
      <c r="BL27">
        <v>23</v>
      </c>
      <c r="BM27">
        <v>26</v>
      </c>
      <c r="BN27" t="s">
        <v>175</v>
      </c>
      <c r="BO27" t="s">
        <v>176</v>
      </c>
    </row>
    <row r="28" spans="1:67">
      <c r="A28" s="34" t="s">
        <v>154</v>
      </c>
      <c r="B28" s="34">
        <v>7</v>
      </c>
      <c r="E28" s="34">
        <v>2</v>
      </c>
      <c r="F28" s="34">
        <v>2</v>
      </c>
      <c r="G28" s="34" t="s">
        <v>177</v>
      </c>
      <c r="H28" s="34" t="s">
        <v>90</v>
      </c>
      <c r="I28" s="34" t="s">
        <v>156</v>
      </c>
      <c r="J28" s="34">
        <v>1255</v>
      </c>
      <c r="K28" s="34">
        <v>320</v>
      </c>
      <c r="L28" s="34">
        <v>640</v>
      </c>
      <c r="M28" s="110" t="s">
        <v>144</v>
      </c>
      <c r="N28" s="110" t="s">
        <v>157</v>
      </c>
      <c r="O28" s="110">
        <v>1200</v>
      </c>
      <c r="P28" s="110">
        <v>7</v>
      </c>
      <c r="Q28" s="110">
        <v>14</v>
      </c>
      <c r="V28" s="34">
        <v>0</v>
      </c>
      <c r="BH28">
        <v>27</v>
      </c>
      <c r="BI28" t="s">
        <v>169</v>
      </c>
      <c r="BJ28" t="s">
        <v>170</v>
      </c>
      <c r="BK28">
        <v>1</v>
      </c>
      <c r="BL28">
        <v>24</v>
      </c>
      <c r="BM28">
        <v>27</v>
      </c>
      <c r="BN28" t="s">
        <v>178</v>
      </c>
      <c r="BO28" t="s">
        <v>179</v>
      </c>
    </row>
    <row r="29" spans="1:67">
      <c r="A29" s="34" t="s">
        <v>154</v>
      </c>
      <c r="B29" s="34">
        <v>8</v>
      </c>
      <c r="E29" s="34">
        <v>2</v>
      </c>
      <c r="F29" s="34">
        <v>2</v>
      </c>
      <c r="G29" s="34" t="s">
        <v>180</v>
      </c>
      <c r="H29" s="34" t="s">
        <v>90</v>
      </c>
      <c r="I29" s="34" t="s">
        <v>156</v>
      </c>
      <c r="J29" s="34">
        <v>1255</v>
      </c>
      <c r="K29" s="34">
        <v>380</v>
      </c>
      <c r="L29" s="34">
        <v>760</v>
      </c>
      <c r="M29" s="110" t="s">
        <v>144</v>
      </c>
      <c r="N29" s="110" t="s">
        <v>157</v>
      </c>
      <c r="O29" s="110">
        <v>1200</v>
      </c>
      <c r="P29" s="110">
        <v>8</v>
      </c>
      <c r="Q29" s="110">
        <v>16</v>
      </c>
      <c r="V29" s="34">
        <v>0</v>
      </c>
      <c r="BH29">
        <v>28</v>
      </c>
      <c r="BI29" t="s">
        <v>172</v>
      </c>
      <c r="BJ29" t="s">
        <v>173</v>
      </c>
      <c r="BK29">
        <v>1</v>
      </c>
      <c r="BL29">
        <v>25</v>
      </c>
      <c r="BM29">
        <v>28</v>
      </c>
      <c r="BN29" t="s">
        <v>181</v>
      </c>
      <c r="BO29" t="s">
        <v>182</v>
      </c>
    </row>
    <row r="30" spans="1:67">
      <c r="A30" s="34" t="s">
        <v>154</v>
      </c>
      <c r="B30" s="34">
        <v>9</v>
      </c>
      <c r="E30" s="34">
        <v>2</v>
      </c>
      <c r="F30" s="34">
        <v>2</v>
      </c>
      <c r="G30" s="34" t="s">
        <v>183</v>
      </c>
      <c r="H30" s="34" t="s">
        <v>90</v>
      </c>
      <c r="I30" s="34" t="s">
        <v>156</v>
      </c>
      <c r="J30" s="34">
        <v>1255</v>
      </c>
      <c r="K30" s="34">
        <v>440</v>
      </c>
      <c r="L30" s="34">
        <v>880</v>
      </c>
      <c r="M30" s="110" t="s">
        <v>144</v>
      </c>
      <c r="N30" s="110" t="s">
        <v>157</v>
      </c>
      <c r="O30" s="110">
        <v>1200</v>
      </c>
      <c r="P30" s="110">
        <v>9</v>
      </c>
      <c r="Q30" s="110">
        <v>18</v>
      </c>
      <c r="V30" s="34">
        <v>0</v>
      </c>
      <c r="BH30">
        <v>29</v>
      </c>
      <c r="BI30" t="s">
        <v>175</v>
      </c>
      <c r="BJ30" t="s">
        <v>176</v>
      </c>
      <c r="BK30">
        <v>1</v>
      </c>
      <c r="BL30">
        <v>26</v>
      </c>
      <c r="BM30">
        <v>29</v>
      </c>
      <c r="BN30" t="s">
        <v>184</v>
      </c>
      <c r="BO30" t="s">
        <v>185</v>
      </c>
    </row>
    <row r="31" spans="1:67">
      <c r="A31" s="34" t="s">
        <v>154</v>
      </c>
      <c r="B31" s="34">
        <v>10</v>
      </c>
      <c r="E31" s="34">
        <v>2</v>
      </c>
      <c r="F31" s="34">
        <v>2</v>
      </c>
      <c r="G31" s="34" t="s">
        <v>186</v>
      </c>
      <c r="H31" s="34" t="s">
        <v>90</v>
      </c>
      <c r="I31" s="34" t="s">
        <v>156</v>
      </c>
      <c r="J31" s="34">
        <v>1255</v>
      </c>
      <c r="K31" s="34">
        <v>500</v>
      </c>
      <c r="L31" s="34">
        <v>1000</v>
      </c>
      <c r="M31" s="110" t="s">
        <v>144</v>
      </c>
      <c r="N31" s="110" t="s">
        <v>157</v>
      </c>
      <c r="O31" s="110">
        <v>1200</v>
      </c>
      <c r="P31" s="110">
        <v>10</v>
      </c>
      <c r="Q31" s="110">
        <v>20</v>
      </c>
      <c r="V31" s="34">
        <v>0</v>
      </c>
      <c r="BH31">
        <v>30</v>
      </c>
      <c r="BI31" t="s">
        <v>178</v>
      </c>
      <c r="BJ31" t="s">
        <v>179</v>
      </c>
      <c r="BK31">
        <v>1</v>
      </c>
      <c r="BL31">
        <v>27</v>
      </c>
      <c r="BM31">
        <v>30</v>
      </c>
      <c r="BN31" t="s">
        <v>86</v>
      </c>
      <c r="BO31" t="s">
        <v>72</v>
      </c>
    </row>
    <row r="32" spans="1:67">
      <c r="A32" s="34" t="s">
        <v>154</v>
      </c>
      <c r="B32" s="34">
        <v>11</v>
      </c>
      <c r="E32" s="34">
        <v>2</v>
      </c>
      <c r="F32" s="34">
        <v>2</v>
      </c>
      <c r="G32" s="34" t="s">
        <v>187</v>
      </c>
      <c r="H32" s="34" t="s">
        <v>90</v>
      </c>
      <c r="I32" s="34" t="s">
        <v>156</v>
      </c>
      <c r="J32" s="34">
        <v>1255</v>
      </c>
      <c r="K32" s="34">
        <v>580</v>
      </c>
      <c r="L32" s="34">
        <v>1160</v>
      </c>
      <c r="M32" s="110" t="s">
        <v>144</v>
      </c>
      <c r="N32" s="110" t="s">
        <v>157</v>
      </c>
      <c r="O32" s="110">
        <v>1200</v>
      </c>
      <c r="P32" s="110">
        <v>11</v>
      </c>
      <c r="Q32" s="110">
        <v>22</v>
      </c>
      <c r="V32" s="34">
        <v>0</v>
      </c>
      <c r="BH32">
        <v>31</v>
      </c>
      <c r="BI32" t="s">
        <v>181</v>
      </c>
      <c r="BJ32" t="s">
        <v>182</v>
      </c>
      <c r="BK32">
        <v>1</v>
      </c>
      <c r="BL32">
        <v>28</v>
      </c>
      <c r="BM32">
        <v>31</v>
      </c>
      <c r="BN32" t="s">
        <v>188</v>
      </c>
      <c r="BO32" t="s">
        <v>189</v>
      </c>
    </row>
    <row r="33" spans="1:67">
      <c r="A33" s="34" t="s">
        <v>154</v>
      </c>
      <c r="B33" s="34">
        <v>12</v>
      </c>
      <c r="E33" s="34">
        <v>2</v>
      </c>
      <c r="F33" s="34">
        <v>2</v>
      </c>
      <c r="G33" s="34" t="s">
        <v>190</v>
      </c>
      <c r="H33" s="34" t="s">
        <v>90</v>
      </c>
      <c r="I33" s="34" t="s">
        <v>156</v>
      </c>
      <c r="J33" s="34">
        <v>1255</v>
      </c>
      <c r="K33" s="34">
        <v>660</v>
      </c>
      <c r="L33" s="34">
        <v>1320</v>
      </c>
      <c r="M33" s="110" t="s">
        <v>144</v>
      </c>
      <c r="N33" s="110" t="s">
        <v>157</v>
      </c>
      <c r="O33" s="110">
        <v>1200</v>
      </c>
      <c r="P33" s="110">
        <v>12</v>
      </c>
      <c r="Q33" s="110">
        <v>24</v>
      </c>
      <c r="V33" s="34">
        <v>0</v>
      </c>
      <c r="BH33">
        <v>32</v>
      </c>
      <c r="BI33" t="s">
        <v>184</v>
      </c>
      <c r="BJ33" t="s">
        <v>185</v>
      </c>
      <c r="BK33">
        <v>1</v>
      </c>
      <c r="BL33">
        <v>29</v>
      </c>
      <c r="BM33">
        <v>32</v>
      </c>
      <c r="BN33" t="s">
        <v>191</v>
      </c>
      <c r="BO33" t="s">
        <v>119</v>
      </c>
    </row>
    <row r="34" spans="1:67">
      <c r="A34" s="34" t="s">
        <v>154</v>
      </c>
      <c r="B34" s="34">
        <v>13</v>
      </c>
      <c r="E34" s="34">
        <v>2</v>
      </c>
      <c r="F34" s="34">
        <v>3</v>
      </c>
      <c r="G34" s="34" t="s">
        <v>192</v>
      </c>
      <c r="H34" s="34" t="s">
        <v>90</v>
      </c>
      <c r="I34" s="34" t="s">
        <v>156</v>
      </c>
      <c r="J34" s="34">
        <v>1255</v>
      </c>
      <c r="K34" s="34">
        <v>740</v>
      </c>
      <c r="L34" s="34">
        <v>2220</v>
      </c>
      <c r="M34" s="110" t="s">
        <v>144</v>
      </c>
      <c r="N34" s="110" t="s">
        <v>157</v>
      </c>
      <c r="O34" s="110">
        <v>1200</v>
      </c>
      <c r="P34" s="110">
        <v>13</v>
      </c>
      <c r="Q34" s="110">
        <v>39</v>
      </c>
      <c r="V34" s="34">
        <v>0</v>
      </c>
      <c r="BH34">
        <v>33</v>
      </c>
      <c r="BI34" t="s">
        <v>86</v>
      </c>
      <c r="BJ34" t="s">
        <v>72</v>
      </c>
      <c r="BK34">
        <v>1</v>
      </c>
      <c r="BL34">
        <v>30</v>
      </c>
      <c r="BM34">
        <v>33</v>
      </c>
      <c r="BN34" t="s">
        <v>87</v>
      </c>
      <c r="BO34" t="s">
        <v>74</v>
      </c>
    </row>
    <row r="35" spans="1:67">
      <c r="A35" s="34" t="s">
        <v>154</v>
      </c>
      <c r="B35" s="34">
        <v>14</v>
      </c>
      <c r="E35" s="34">
        <v>2</v>
      </c>
      <c r="F35" s="34">
        <v>3</v>
      </c>
      <c r="G35" s="34" t="s">
        <v>193</v>
      </c>
      <c r="H35" s="34" t="s">
        <v>90</v>
      </c>
      <c r="I35" s="34" t="s">
        <v>156</v>
      </c>
      <c r="J35" s="34">
        <v>1255</v>
      </c>
      <c r="K35" s="34">
        <v>820</v>
      </c>
      <c r="L35" s="34">
        <v>2460</v>
      </c>
      <c r="M35" s="110" t="s">
        <v>144</v>
      </c>
      <c r="N35" s="110" t="s">
        <v>157</v>
      </c>
      <c r="O35" s="110">
        <v>1200</v>
      </c>
      <c r="P35" s="110">
        <v>14</v>
      </c>
      <c r="Q35" s="110">
        <v>42</v>
      </c>
      <c r="V35" s="34">
        <v>0</v>
      </c>
      <c r="BH35">
        <v>34</v>
      </c>
      <c r="BI35" t="s">
        <v>188</v>
      </c>
      <c r="BJ35" t="s">
        <v>189</v>
      </c>
      <c r="BK35">
        <v>1</v>
      </c>
      <c r="BL35">
        <v>31</v>
      </c>
      <c r="BM35">
        <v>34</v>
      </c>
      <c r="BN35" t="s">
        <v>194</v>
      </c>
      <c r="BO35" t="s">
        <v>195</v>
      </c>
    </row>
    <row r="36" spans="1:67">
      <c r="A36" s="34" t="s">
        <v>154</v>
      </c>
      <c r="B36" s="34">
        <v>15</v>
      </c>
      <c r="E36" s="34">
        <v>2</v>
      </c>
      <c r="F36" s="34">
        <v>3</v>
      </c>
      <c r="G36" s="34" t="s">
        <v>196</v>
      </c>
      <c r="H36" s="34" t="s">
        <v>90</v>
      </c>
      <c r="I36" s="34" t="s">
        <v>156</v>
      </c>
      <c r="J36" s="34">
        <v>1255</v>
      </c>
      <c r="K36" s="34">
        <v>900</v>
      </c>
      <c r="L36" s="34">
        <v>2700</v>
      </c>
      <c r="M36" s="110" t="s">
        <v>144</v>
      </c>
      <c r="N36" s="110" t="s">
        <v>157</v>
      </c>
      <c r="O36" s="110">
        <v>1200</v>
      </c>
      <c r="P36" s="110">
        <v>15</v>
      </c>
      <c r="Q36" s="110">
        <v>45</v>
      </c>
      <c r="V36" s="34">
        <v>0</v>
      </c>
      <c r="BH36">
        <v>35</v>
      </c>
      <c r="BI36" t="s">
        <v>191</v>
      </c>
      <c r="BJ36" t="s">
        <v>118</v>
      </c>
      <c r="BK36">
        <v>1</v>
      </c>
      <c r="BL36">
        <v>32</v>
      </c>
      <c r="BM36">
        <v>35</v>
      </c>
      <c r="BN36" t="s">
        <v>88</v>
      </c>
      <c r="BO36" t="s">
        <v>76</v>
      </c>
    </row>
    <row r="37" spans="1:67">
      <c r="A37" s="34" t="s">
        <v>154</v>
      </c>
      <c r="B37" s="34">
        <v>16</v>
      </c>
      <c r="E37" s="34">
        <v>2</v>
      </c>
      <c r="F37" s="34">
        <v>4</v>
      </c>
      <c r="G37" s="34" t="s">
        <v>197</v>
      </c>
      <c r="H37" s="34" t="s">
        <v>90</v>
      </c>
      <c r="I37" s="34" t="s">
        <v>156</v>
      </c>
      <c r="J37" s="34">
        <v>1255</v>
      </c>
      <c r="K37" s="34">
        <v>1000</v>
      </c>
      <c r="L37" s="34">
        <v>4000</v>
      </c>
      <c r="M37" s="110" t="s">
        <v>144</v>
      </c>
      <c r="N37" s="110" t="s">
        <v>157</v>
      </c>
      <c r="O37" s="110">
        <v>1200</v>
      </c>
      <c r="P37" s="110">
        <v>16</v>
      </c>
      <c r="Q37" s="110">
        <v>64</v>
      </c>
      <c r="V37" s="34">
        <v>0</v>
      </c>
      <c r="BH37">
        <v>36</v>
      </c>
      <c r="BI37" t="s">
        <v>87</v>
      </c>
      <c r="BJ37" t="s">
        <v>74</v>
      </c>
      <c r="BK37">
        <v>1</v>
      </c>
      <c r="BL37">
        <v>33</v>
      </c>
      <c r="BM37">
        <v>36</v>
      </c>
    </row>
    <row r="38" spans="1:67">
      <c r="A38" s="34" t="s">
        <v>154</v>
      </c>
      <c r="B38" s="34">
        <v>17</v>
      </c>
      <c r="E38" s="34">
        <v>2</v>
      </c>
      <c r="F38" s="34">
        <v>4</v>
      </c>
      <c r="G38" s="34" t="s">
        <v>198</v>
      </c>
      <c r="H38" s="34" t="s">
        <v>90</v>
      </c>
      <c r="I38" s="34" t="s">
        <v>156</v>
      </c>
      <c r="J38" s="34">
        <v>1255</v>
      </c>
      <c r="K38" s="34">
        <v>1100</v>
      </c>
      <c r="L38" s="34">
        <v>4400</v>
      </c>
      <c r="M38" s="110" t="s">
        <v>144</v>
      </c>
      <c r="N38" s="110" t="s">
        <v>157</v>
      </c>
      <c r="O38" s="110">
        <v>1200</v>
      </c>
      <c r="P38" s="110">
        <v>17</v>
      </c>
      <c r="Q38" s="110">
        <v>68</v>
      </c>
      <c r="V38" s="34">
        <v>0</v>
      </c>
      <c r="BH38">
        <v>37</v>
      </c>
      <c r="BI38" t="s">
        <v>194</v>
      </c>
      <c r="BJ38" t="s">
        <v>195</v>
      </c>
      <c r="BK38">
        <v>1</v>
      </c>
      <c r="BL38">
        <v>34</v>
      </c>
      <c r="BM38">
        <v>37</v>
      </c>
      <c r="BN38" t="e">
        <v>#N/A</v>
      </c>
      <c r="BO38" t="e">
        <v>#N/A</v>
      </c>
    </row>
    <row r="39" spans="1:67">
      <c r="A39" s="34" t="s">
        <v>154</v>
      </c>
      <c r="B39" s="34">
        <v>18</v>
      </c>
      <c r="E39" s="34">
        <v>2</v>
      </c>
      <c r="F39" s="34">
        <v>4</v>
      </c>
      <c r="G39" s="34" t="s">
        <v>199</v>
      </c>
      <c r="H39" s="34" t="s">
        <v>90</v>
      </c>
      <c r="I39" s="34" t="s">
        <v>156</v>
      </c>
      <c r="J39" s="34">
        <v>1255</v>
      </c>
      <c r="K39" s="34">
        <v>1200</v>
      </c>
      <c r="L39" s="34">
        <v>4800</v>
      </c>
      <c r="M39" s="110" t="s">
        <v>144</v>
      </c>
      <c r="N39" s="110" t="s">
        <v>157</v>
      </c>
      <c r="O39" s="110">
        <v>1200</v>
      </c>
      <c r="P39" s="110">
        <v>18</v>
      </c>
      <c r="Q39" s="110">
        <v>72</v>
      </c>
      <c r="V39" s="34">
        <v>0</v>
      </c>
      <c r="BH39">
        <v>38</v>
      </c>
      <c r="BI39" t="s">
        <v>88</v>
      </c>
      <c r="BJ39" t="s">
        <v>76</v>
      </c>
      <c r="BK39">
        <v>1</v>
      </c>
      <c r="BL39">
        <v>35</v>
      </c>
      <c r="BM39">
        <v>38</v>
      </c>
      <c r="BN39" t="e">
        <v>#N/A</v>
      </c>
      <c r="BO39" t="e">
        <v>#N/A</v>
      </c>
    </row>
    <row r="40" spans="1:67">
      <c r="A40" s="34" t="s">
        <v>154</v>
      </c>
      <c r="B40" s="34">
        <v>19</v>
      </c>
      <c r="E40" s="34">
        <v>2</v>
      </c>
      <c r="F40" s="34">
        <v>4</v>
      </c>
      <c r="G40" s="34" t="s">
        <v>200</v>
      </c>
      <c r="H40" s="34" t="s">
        <v>90</v>
      </c>
      <c r="I40" s="34" t="s">
        <v>156</v>
      </c>
      <c r="J40" s="34">
        <v>1255</v>
      </c>
      <c r="K40" s="34">
        <v>1300</v>
      </c>
      <c r="L40" s="34">
        <v>5200</v>
      </c>
      <c r="M40" s="110" t="s">
        <v>144</v>
      </c>
      <c r="N40" s="110" t="s">
        <v>157</v>
      </c>
      <c r="O40" s="110">
        <v>1200</v>
      </c>
      <c r="P40" s="110">
        <v>19</v>
      </c>
      <c r="Q40" s="110">
        <v>76</v>
      </c>
      <c r="V40" s="34">
        <v>0</v>
      </c>
      <c r="BH40">
        <v>39</v>
      </c>
      <c r="BK40">
        <v>1</v>
      </c>
      <c r="BL40">
        <v>36</v>
      </c>
      <c r="BM40">
        <v>39</v>
      </c>
      <c r="BN40" t="e">
        <v>#N/A</v>
      </c>
      <c r="BO40" t="e">
        <v>#N/A</v>
      </c>
    </row>
    <row r="41" spans="1:67">
      <c r="A41" s="34" t="s">
        <v>154</v>
      </c>
      <c r="B41" s="34">
        <v>20</v>
      </c>
      <c r="E41" s="34">
        <v>2</v>
      </c>
      <c r="F41" s="34">
        <v>4</v>
      </c>
      <c r="G41" s="34" t="s">
        <v>201</v>
      </c>
      <c r="H41" s="34" t="s">
        <v>90</v>
      </c>
      <c r="I41" s="34" t="s">
        <v>156</v>
      </c>
      <c r="J41" s="34">
        <v>1255</v>
      </c>
      <c r="K41" s="34">
        <v>1400</v>
      </c>
      <c r="L41" s="34">
        <v>5600</v>
      </c>
      <c r="M41" s="110" t="s">
        <v>144</v>
      </c>
      <c r="N41" s="110" t="s">
        <v>157</v>
      </c>
      <c r="O41" s="110">
        <v>1200</v>
      </c>
      <c r="P41" s="110">
        <v>20</v>
      </c>
      <c r="Q41" s="110">
        <v>80</v>
      </c>
      <c r="V41" s="34">
        <v>0</v>
      </c>
      <c r="BH41">
        <v>40</v>
      </c>
      <c r="BK41">
        <v>0.5</v>
      </c>
      <c r="BM41">
        <v>40</v>
      </c>
      <c r="BN41" t="e">
        <v>#N/A</v>
      </c>
      <c r="BO41" t="e">
        <v>#N/A</v>
      </c>
    </row>
    <row r="42" spans="1:67">
      <c r="A42" s="34" t="s">
        <v>202</v>
      </c>
      <c r="B42" s="34">
        <v>1</v>
      </c>
      <c r="F42" s="34">
        <v>1</v>
      </c>
      <c r="G42" s="34" t="s">
        <v>203</v>
      </c>
      <c r="H42" s="34" t="s">
        <v>94</v>
      </c>
      <c r="I42" s="34" t="s">
        <v>204</v>
      </c>
      <c r="J42" s="34">
        <v>1015</v>
      </c>
      <c r="K42" s="34">
        <v>200</v>
      </c>
      <c r="L42" s="34">
        <v>200</v>
      </c>
      <c r="M42" s="110" t="s">
        <v>147</v>
      </c>
      <c r="N42" s="110" t="s">
        <v>205</v>
      </c>
      <c r="O42" s="110">
        <v>1206</v>
      </c>
      <c r="P42" s="110">
        <v>2</v>
      </c>
      <c r="Q42" s="110">
        <v>2</v>
      </c>
      <c r="V42" s="34">
        <v>0</v>
      </c>
      <c r="AQ42" t="s">
        <v>158</v>
      </c>
      <c r="AR42" t="s">
        <v>206</v>
      </c>
      <c r="AS42" t="s">
        <v>97</v>
      </c>
      <c r="AT42" t="s">
        <v>94</v>
      </c>
      <c r="AU42">
        <v>3</v>
      </c>
      <c r="AV42" t="s">
        <v>146</v>
      </c>
      <c r="AW42" t="s">
        <v>147</v>
      </c>
      <c r="AX42">
        <v>21</v>
      </c>
      <c r="BH42">
        <v>41</v>
      </c>
      <c r="BK42">
        <v>0.33333333333333298</v>
      </c>
      <c r="BM42">
        <v>41</v>
      </c>
    </row>
    <row r="43" spans="1:67">
      <c r="A43" s="34" t="s">
        <v>202</v>
      </c>
      <c r="B43" s="34">
        <v>2</v>
      </c>
      <c r="F43" s="34">
        <v>1</v>
      </c>
      <c r="G43" s="34" t="s">
        <v>207</v>
      </c>
      <c r="H43" s="34" t="s">
        <v>94</v>
      </c>
      <c r="I43" s="34" t="s">
        <v>204</v>
      </c>
      <c r="J43" s="34">
        <v>1015</v>
      </c>
      <c r="K43" s="34">
        <v>400</v>
      </c>
      <c r="L43" s="34">
        <v>400</v>
      </c>
      <c r="M43" s="110" t="s">
        <v>147</v>
      </c>
      <c r="N43" s="110" t="s">
        <v>205</v>
      </c>
      <c r="O43" s="110">
        <v>1206</v>
      </c>
      <c r="P43" s="110">
        <v>2</v>
      </c>
      <c r="Q43" s="110">
        <v>2</v>
      </c>
      <c r="V43" s="34">
        <v>0</v>
      </c>
      <c r="BH43">
        <v>42</v>
      </c>
      <c r="BK43">
        <v>0.25</v>
      </c>
      <c r="BM43">
        <v>42</v>
      </c>
    </row>
    <row r="44" spans="1:67">
      <c r="A44" s="34" t="s">
        <v>202</v>
      </c>
      <c r="B44" s="34">
        <v>3</v>
      </c>
      <c r="F44" s="34">
        <v>2</v>
      </c>
      <c r="G44" s="34" t="s">
        <v>208</v>
      </c>
      <c r="H44" s="34" t="s">
        <v>94</v>
      </c>
      <c r="I44" s="34" t="s">
        <v>204</v>
      </c>
      <c r="J44" s="34">
        <v>1015</v>
      </c>
      <c r="K44" s="34">
        <v>600</v>
      </c>
      <c r="L44" s="34">
        <v>1200</v>
      </c>
      <c r="M44" s="110" t="s">
        <v>147</v>
      </c>
      <c r="N44" s="110" t="s">
        <v>205</v>
      </c>
      <c r="O44" s="110">
        <v>1206</v>
      </c>
      <c r="P44" s="110">
        <v>2</v>
      </c>
      <c r="Q44" s="110">
        <v>4</v>
      </c>
      <c r="V44" s="34">
        <v>0</v>
      </c>
      <c r="BH44">
        <v>43</v>
      </c>
      <c r="BK44">
        <v>0.2</v>
      </c>
      <c r="BM44">
        <v>43</v>
      </c>
    </row>
    <row r="45" spans="1:67">
      <c r="A45" s="34" t="s">
        <v>202</v>
      </c>
      <c r="B45" s="34">
        <v>4</v>
      </c>
      <c r="F45" s="34">
        <v>2</v>
      </c>
      <c r="G45" s="34" t="s">
        <v>209</v>
      </c>
      <c r="H45" s="34" t="s">
        <v>94</v>
      </c>
      <c r="I45" s="34" t="s">
        <v>204</v>
      </c>
      <c r="J45" s="34">
        <v>1015</v>
      </c>
      <c r="K45" s="34">
        <v>800</v>
      </c>
      <c r="L45" s="34">
        <v>1600</v>
      </c>
      <c r="M45" s="110" t="s">
        <v>147</v>
      </c>
      <c r="N45" s="110" t="s">
        <v>205</v>
      </c>
      <c r="O45" s="110">
        <v>1206</v>
      </c>
      <c r="P45" s="110">
        <v>2</v>
      </c>
      <c r="Q45" s="110">
        <v>4</v>
      </c>
      <c r="V45" s="34">
        <v>0</v>
      </c>
      <c r="BH45">
        <v>44</v>
      </c>
      <c r="BK45">
        <v>0.16666666666666699</v>
      </c>
      <c r="BM45">
        <v>44</v>
      </c>
    </row>
    <row r="46" spans="1:67">
      <c r="A46" s="34" t="s">
        <v>202</v>
      </c>
      <c r="B46" s="34">
        <v>5</v>
      </c>
      <c r="F46" s="34">
        <v>2</v>
      </c>
      <c r="G46" s="34" t="s">
        <v>210</v>
      </c>
      <c r="H46" s="34" t="s">
        <v>94</v>
      </c>
      <c r="I46" s="34" t="s">
        <v>204</v>
      </c>
      <c r="J46" s="34">
        <v>1015</v>
      </c>
      <c r="K46" s="34">
        <v>1000</v>
      </c>
      <c r="L46" s="34">
        <v>2000</v>
      </c>
      <c r="M46" s="110" t="s">
        <v>147</v>
      </c>
      <c r="N46" s="110" t="s">
        <v>205</v>
      </c>
      <c r="O46" s="110">
        <v>1206</v>
      </c>
      <c r="P46" s="110">
        <v>2</v>
      </c>
      <c r="Q46" s="110">
        <v>4</v>
      </c>
      <c r="V46" s="34">
        <v>0</v>
      </c>
      <c r="BH46">
        <v>45</v>
      </c>
      <c r="BK46">
        <v>0.14285714285714299</v>
      </c>
      <c r="BM46">
        <v>45</v>
      </c>
    </row>
    <row r="47" spans="1:67">
      <c r="A47" s="34" t="s">
        <v>202</v>
      </c>
      <c r="B47" s="34">
        <v>6</v>
      </c>
      <c r="F47" s="34">
        <v>2</v>
      </c>
      <c r="G47" s="34" t="s">
        <v>211</v>
      </c>
      <c r="H47" s="34" t="s">
        <v>94</v>
      </c>
      <c r="I47" s="34" t="s">
        <v>204</v>
      </c>
      <c r="J47" s="34">
        <v>1015</v>
      </c>
      <c r="K47" s="34">
        <v>1300</v>
      </c>
      <c r="L47" s="34">
        <v>2600</v>
      </c>
      <c r="M47" s="110" t="s">
        <v>147</v>
      </c>
      <c r="N47" s="110" t="s">
        <v>205</v>
      </c>
      <c r="O47" s="110">
        <v>1206</v>
      </c>
      <c r="P47" s="110">
        <v>2</v>
      </c>
      <c r="Q47" s="110">
        <v>4</v>
      </c>
      <c r="V47" s="34">
        <v>0</v>
      </c>
      <c r="BH47">
        <v>46</v>
      </c>
      <c r="BK47">
        <v>0.125</v>
      </c>
      <c r="BM47">
        <v>46</v>
      </c>
    </row>
    <row r="48" spans="1:67">
      <c r="A48" s="34" t="s">
        <v>202</v>
      </c>
      <c r="B48" s="34">
        <v>7</v>
      </c>
      <c r="F48" s="34">
        <v>2</v>
      </c>
      <c r="G48" s="34" t="s">
        <v>212</v>
      </c>
      <c r="H48" s="34" t="s">
        <v>94</v>
      </c>
      <c r="I48" s="34" t="s">
        <v>204</v>
      </c>
      <c r="J48" s="34">
        <v>1015</v>
      </c>
      <c r="K48" s="34">
        <v>1600</v>
      </c>
      <c r="L48" s="34">
        <v>3200</v>
      </c>
      <c r="M48" s="110" t="s">
        <v>147</v>
      </c>
      <c r="N48" s="110" t="s">
        <v>205</v>
      </c>
      <c r="O48" s="110">
        <v>1206</v>
      </c>
      <c r="P48" s="110">
        <v>2</v>
      </c>
      <c r="Q48" s="110">
        <v>4</v>
      </c>
      <c r="V48" s="34">
        <v>0</v>
      </c>
      <c r="BH48">
        <v>47</v>
      </c>
      <c r="BK48">
        <v>0.11111111111111099</v>
      </c>
      <c r="BM48">
        <v>47</v>
      </c>
    </row>
    <row r="49" spans="1:65">
      <c r="A49" s="34" t="s">
        <v>202</v>
      </c>
      <c r="B49" s="34">
        <v>8</v>
      </c>
      <c r="F49" s="34">
        <v>2</v>
      </c>
      <c r="G49" s="34" t="s">
        <v>213</v>
      </c>
      <c r="H49" s="34" t="s">
        <v>94</v>
      </c>
      <c r="I49" s="34" t="s">
        <v>204</v>
      </c>
      <c r="J49" s="34">
        <v>1015</v>
      </c>
      <c r="K49" s="34">
        <v>1900</v>
      </c>
      <c r="L49" s="34">
        <v>3800</v>
      </c>
      <c r="M49" s="110" t="s">
        <v>147</v>
      </c>
      <c r="N49" s="110" t="s">
        <v>205</v>
      </c>
      <c r="O49" s="110">
        <v>1206</v>
      </c>
      <c r="P49" s="110">
        <v>2</v>
      </c>
      <c r="Q49" s="110">
        <v>4</v>
      </c>
      <c r="V49" s="34">
        <v>0</v>
      </c>
      <c r="BH49">
        <v>48</v>
      </c>
      <c r="BK49">
        <v>0.1</v>
      </c>
      <c r="BM49">
        <v>48</v>
      </c>
    </row>
    <row r="50" spans="1:65">
      <c r="A50" s="34" t="s">
        <v>202</v>
      </c>
      <c r="B50" s="34">
        <v>9</v>
      </c>
      <c r="F50" s="34">
        <v>2</v>
      </c>
      <c r="G50" s="34" t="s">
        <v>214</v>
      </c>
      <c r="H50" s="34" t="s">
        <v>94</v>
      </c>
      <c r="I50" s="34" t="s">
        <v>204</v>
      </c>
      <c r="J50" s="34">
        <v>1015</v>
      </c>
      <c r="K50" s="34">
        <v>2200</v>
      </c>
      <c r="L50" s="34">
        <v>4400</v>
      </c>
      <c r="M50" s="110" t="s">
        <v>147</v>
      </c>
      <c r="N50" s="110" t="s">
        <v>205</v>
      </c>
      <c r="O50" s="110">
        <v>1206</v>
      </c>
      <c r="P50" s="110">
        <v>3</v>
      </c>
      <c r="Q50" s="110">
        <v>6</v>
      </c>
      <c r="V50" s="34">
        <v>0</v>
      </c>
    </row>
    <row r="51" spans="1:65">
      <c r="A51" s="34" t="s">
        <v>202</v>
      </c>
      <c r="B51" s="34">
        <v>10</v>
      </c>
      <c r="F51" s="34">
        <v>3</v>
      </c>
      <c r="G51" s="34" t="s">
        <v>215</v>
      </c>
      <c r="H51" s="34" t="s">
        <v>94</v>
      </c>
      <c r="I51" s="34" t="s">
        <v>204</v>
      </c>
      <c r="J51" s="34">
        <v>1015</v>
      </c>
      <c r="K51" s="34">
        <v>2500</v>
      </c>
      <c r="L51" s="34">
        <v>7500</v>
      </c>
      <c r="M51" s="110" t="s">
        <v>147</v>
      </c>
      <c r="N51" s="110" t="s">
        <v>205</v>
      </c>
      <c r="O51" s="110">
        <v>1206</v>
      </c>
      <c r="P51" s="110">
        <v>3</v>
      </c>
      <c r="Q51" s="110">
        <v>9</v>
      </c>
      <c r="V51" s="34">
        <v>0</v>
      </c>
    </row>
    <row r="52" spans="1:65">
      <c r="A52" s="34" t="s">
        <v>202</v>
      </c>
      <c r="B52" s="34">
        <v>11</v>
      </c>
      <c r="F52" s="34">
        <v>3</v>
      </c>
      <c r="G52" s="34" t="s">
        <v>216</v>
      </c>
      <c r="H52" s="34" t="s">
        <v>94</v>
      </c>
      <c r="I52" s="34" t="s">
        <v>204</v>
      </c>
      <c r="J52" s="34">
        <v>1015</v>
      </c>
      <c r="K52" s="34">
        <v>3000</v>
      </c>
      <c r="L52" s="34">
        <v>9000</v>
      </c>
      <c r="M52" s="110" t="s">
        <v>147</v>
      </c>
      <c r="N52" s="110" t="s">
        <v>205</v>
      </c>
      <c r="O52" s="110">
        <v>1206</v>
      </c>
      <c r="P52" s="110">
        <v>3</v>
      </c>
      <c r="Q52" s="110">
        <v>9</v>
      </c>
      <c r="V52" s="34">
        <v>0</v>
      </c>
    </row>
    <row r="53" spans="1:65">
      <c r="A53" s="34" t="s">
        <v>202</v>
      </c>
      <c r="B53" s="34">
        <v>12</v>
      </c>
      <c r="F53" s="34">
        <v>3</v>
      </c>
      <c r="G53" s="34" t="s">
        <v>217</v>
      </c>
      <c r="H53" s="34" t="s">
        <v>94</v>
      </c>
      <c r="I53" s="34" t="s">
        <v>204</v>
      </c>
      <c r="J53" s="34">
        <v>1015</v>
      </c>
      <c r="K53" s="34">
        <v>3500</v>
      </c>
      <c r="L53" s="34">
        <v>10500</v>
      </c>
      <c r="M53" s="110" t="s">
        <v>147</v>
      </c>
      <c r="N53" s="110" t="s">
        <v>205</v>
      </c>
      <c r="O53" s="110">
        <v>1206</v>
      </c>
      <c r="P53" s="110">
        <v>3</v>
      </c>
      <c r="Q53" s="110">
        <v>9</v>
      </c>
      <c r="V53" s="34">
        <v>0</v>
      </c>
    </row>
    <row r="54" spans="1:65">
      <c r="A54" s="34" t="s">
        <v>202</v>
      </c>
      <c r="B54" s="34">
        <v>13</v>
      </c>
      <c r="F54" s="34">
        <v>3</v>
      </c>
      <c r="G54" s="34" t="s">
        <v>218</v>
      </c>
      <c r="H54" s="34" t="s">
        <v>94</v>
      </c>
      <c r="I54" s="34" t="s">
        <v>204</v>
      </c>
      <c r="J54" s="34">
        <v>1015</v>
      </c>
      <c r="K54" s="34">
        <v>4000</v>
      </c>
      <c r="L54" s="34">
        <v>12000</v>
      </c>
      <c r="M54" s="110" t="s">
        <v>147</v>
      </c>
      <c r="N54" s="110" t="s">
        <v>205</v>
      </c>
      <c r="O54" s="110">
        <v>1206</v>
      </c>
      <c r="P54" s="110">
        <v>3</v>
      </c>
      <c r="Q54" s="110">
        <v>9</v>
      </c>
      <c r="V54" s="34">
        <v>0</v>
      </c>
    </row>
    <row r="55" spans="1:65">
      <c r="A55" s="34" t="s">
        <v>202</v>
      </c>
      <c r="B55" s="34">
        <v>14</v>
      </c>
      <c r="F55" s="34">
        <v>4</v>
      </c>
      <c r="G55" s="34" t="s">
        <v>219</v>
      </c>
      <c r="H55" s="34" t="s">
        <v>94</v>
      </c>
      <c r="I55" s="34" t="s">
        <v>204</v>
      </c>
      <c r="J55" s="34">
        <v>1015</v>
      </c>
      <c r="K55" s="34">
        <v>4500</v>
      </c>
      <c r="L55" s="34">
        <v>18000</v>
      </c>
      <c r="M55" s="110" t="s">
        <v>147</v>
      </c>
      <c r="N55" s="110" t="s">
        <v>205</v>
      </c>
      <c r="O55" s="110">
        <v>1206</v>
      </c>
      <c r="P55" s="110">
        <v>3</v>
      </c>
      <c r="Q55" s="110">
        <v>12</v>
      </c>
      <c r="V55" s="34">
        <v>0</v>
      </c>
    </row>
    <row r="56" spans="1:65">
      <c r="A56" s="34" t="s">
        <v>202</v>
      </c>
      <c r="B56" s="34">
        <v>15</v>
      </c>
      <c r="F56" s="34">
        <v>4</v>
      </c>
      <c r="G56" s="34" t="s">
        <v>220</v>
      </c>
      <c r="H56" s="34" t="s">
        <v>94</v>
      </c>
      <c r="I56" s="34" t="s">
        <v>204</v>
      </c>
      <c r="J56" s="34">
        <v>1015</v>
      </c>
      <c r="K56" s="34">
        <v>5000</v>
      </c>
      <c r="L56" s="34">
        <v>20000</v>
      </c>
      <c r="M56" s="110" t="s">
        <v>147</v>
      </c>
      <c r="N56" s="110" t="s">
        <v>205</v>
      </c>
      <c r="O56" s="110">
        <v>1206</v>
      </c>
      <c r="P56" s="110">
        <v>3</v>
      </c>
      <c r="Q56" s="110">
        <v>12</v>
      </c>
      <c r="V56" s="34">
        <v>0</v>
      </c>
    </row>
    <row r="57" spans="1:65">
      <c r="A57" s="34" t="s">
        <v>202</v>
      </c>
      <c r="B57" s="34">
        <v>16</v>
      </c>
      <c r="F57" s="34">
        <v>4</v>
      </c>
      <c r="G57" s="34" t="s">
        <v>221</v>
      </c>
      <c r="H57" s="34" t="s">
        <v>94</v>
      </c>
      <c r="I57" s="34" t="s">
        <v>204</v>
      </c>
      <c r="J57" s="34">
        <v>1015</v>
      </c>
      <c r="K57" s="34">
        <v>5600</v>
      </c>
      <c r="L57" s="34">
        <v>22400</v>
      </c>
      <c r="M57" s="110" t="s">
        <v>147</v>
      </c>
      <c r="N57" s="110" t="s">
        <v>205</v>
      </c>
      <c r="O57" s="110">
        <v>1206</v>
      </c>
      <c r="P57" s="110">
        <v>3</v>
      </c>
      <c r="Q57" s="110">
        <v>12</v>
      </c>
      <c r="V57" s="34">
        <v>0</v>
      </c>
    </row>
    <row r="58" spans="1:65">
      <c r="A58" s="34" t="s">
        <v>202</v>
      </c>
      <c r="B58" s="34">
        <v>17</v>
      </c>
      <c r="F58" s="34">
        <v>4</v>
      </c>
      <c r="G58" s="34" t="s">
        <v>222</v>
      </c>
      <c r="H58" s="34" t="s">
        <v>94</v>
      </c>
      <c r="I58" s="34" t="s">
        <v>204</v>
      </c>
      <c r="J58" s="34">
        <v>1015</v>
      </c>
      <c r="K58" s="34">
        <v>6200</v>
      </c>
      <c r="L58" s="34">
        <v>24800</v>
      </c>
      <c r="M58" s="110" t="s">
        <v>147</v>
      </c>
      <c r="N58" s="110" t="s">
        <v>205</v>
      </c>
      <c r="O58" s="110">
        <v>1206</v>
      </c>
      <c r="P58" s="110">
        <v>4</v>
      </c>
      <c r="Q58" s="110">
        <v>16</v>
      </c>
      <c r="V58" s="34">
        <v>0</v>
      </c>
    </row>
    <row r="59" spans="1:65">
      <c r="A59" s="34" t="s">
        <v>202</v>
      </c>
      <c r="B59" s="34">
        <v>18</v>
      </c>
      <c r="F59" s="34">
        <v>4</v>
      </c>
      <c r="G59" s="34" t="s">
        <v>223</v>
      </c>
      <c r="H59" s="34" t="s">
        <v>94</v>
      </c>
      <c r="I59" s="34" t="s">
        <v>204</v>
      </c>
      <c r="J59" s="34">
        <v>1015</v>
      </c>
      <c r="K59" s="34">
        <v>6800</v>
      </c>
      <c r="L59" s="34">
        <v>27200</v>
      </c>
      <c r="M59" s="110" t="s">
        <v>147</v>
      </c>
      <c r="N59" s="110" t="s">
        <v>205</v>
      </c>
      <c r="O59" s="110">
        <v>1206</v>
      </c>
      <c r="P59" s="110">
        <v>4</v>
      </c>
      <c r="Q59" s="110">
        <v>16</v>
      </c>
      <c r="V59" s="34">
        <v>0</v>
      </c>
    </row>
    <row r="60" spans="1:65">
      <c r="A60" s="34" t="s">
        <v>202</v>
      </c>
      <c r="B60" s="34">
        <v>19</v>
      </c>
      <c r="F60" s="34">
        <v>4</v>
      </c>
      <c r="G60" s="34" t="s">
        <v>224</v>
      </c>
      <c r="H60" s="34" t="s">
        <v>94</v>
      </c>
      <c r="I60" s="34" t="s">
        <v>204</v>
      </c>
      <c r="J60" s="34">
        <v>1015</v>
      </c>
      <c r="K60" s="34">
        <v>7400</v>
      </c>
      <c r="L60" s="34">
        <v>29600</v>
      </c>
      <c r="M60" s="110" t="s">
        <v>147</v>
      </c>
      <c r="N60" s="110" t="s">
        <v>205</v>
      </c>
      <c r="O60" s="110">
        <v>1206</v>
      </c>
      <c r="P60" s="110">
        <v>4</v>
      </c>
      <c r="Q60" s="110">
        <v>16</v>
      </c>
      <c r="V60" s="34">
        <v>0</v>
      </c>
    </row>
    <row r="61" spans="1:65">
      <c r="A61" s="34" t="s">
        <v>202</v>
      </c>
      <c r="B61" s="34">
        <v>20</v>
      </c>
      <c r="F61" s="34">
        <v>4</v>
      </c>
      <c r="G61" s="34" t="s">
        <v>225</v>
      </c>
      <c r="H61" s="34" t="s">
        <v>94</v>
      </c>
      <c r="I61" s="34" t="s">
        <v>204</v>
      </c>
      <c r="J61" s="34">
        <v>1015</v>
      </c>
      <c r="K61" s="34">
        <v>8000</v>
      </c>
      <c r="L61" s="34">
        <v>32000</v>
      </c>
      <c r="M61" s="110" t="s">
        <v>147</v>
      </c>
      <c r="N61" s="110" t="s">
        <v>205</v>
      </c>
      <c r="O61" s="110">
        <v>1206</v>
      </c>
      <c r="P61" s="110">
        <v>4</v>
      </c>
      <c r="Q61" s="110">
        <v>16</v>
      </c>
      <c r="V61" s="34">
        <v>0</v>
      </c>
    </row>
    <row r="62" spans="1:65">
      <c r="A62" s="34" t="s">
        <v>226</v>
      </c>
      <c r="B62" s="34">
        <v>1</v>
      </c>
      <c r="E62" s="34">
        <v>4</v>
      </c>
      <c r="F62" s="34">
        <v>1</v>
      </c>
      <c r="G62" s="34" t="s">
        <v>227</v>
      </c>
      <c r="H62" s="34" t="s">
        <v>98</v>
      </c>
      <c r="I62" s="34" t="s">
        <v>228</v>
      </c>
      <c r="J62" s="34">
        <v>1017</v>
      </c>
      <c r="K62" s="34">
        <v>200</v>
      </c>
      <c r="L62" s="34">
        <v>200</v>
      </c>
      <c r="Q62" s="110">
        <v>0</v>
      </c>
      <c r="V62" s="34">
        <v>0</v>
      </c>
      <c r="AQ62" t="s">
        <v>229</v>
      </c>
      <c r="AR62" t="s">
        <v>101</v>
      </c>
      <c r="AS62" t="s">
        <v>101</v>
      </c>
      <c r="AT62" t="s">
        <v>98</v>
      </c>
      <c r="AU62">
        <v>4</v>
      </c>
    </row>
    <row r="63" spans="1:65">
      <c r="A63" s="34" t="s">
        <v>226</v>
      </c>
      <c r="B63" s="34">
        <v>2</v>
      </c>
      <c r="E63" s="34">
        <v>4</v>
      </c>
      <c r="F63" s="34">
        <v>1</v>
      </c>
      <c r="G63" s="34" t="s">
        <v>230</v>
      </c>
      <c r="H63" s="34" t="s">
        <v>98</v>
      </c>
      <c r="I63" s="34" t="s">
        <v>228</v>
      </c>
      <c r="J63" s="34">
        <v>1017</v>
      </c>
      <c r="K63" s="34">
        <v>400</v>
      </c>
      <c r="L63" s="34">
        <v>400</v>
      </c>
      <c r="Q63" s="110">
        <v>0</v>
      </c>
      <c r="V63" s="34">
        <v>0</v>
      </c>
    </row>
    <row r="64" spans="1:65">
      <c r="A64" s="34" t="s">
        <v>226</v>
      </c>
      <c r="B64" s="34">
        <v>3</v>
      </c>
      <c r="E64" s="34">
        <v>4</v>
      </c>
      <c r="F64" s="34">
        <v>1</v>
      </c>
      <c r="G64" s="34" t="s">
        <v>231</v>
      </c>
      <c r="H64" s="34" t="s">
        <v>98</v>
      </c>
      <c r="I64" s="34" t="s">
        <v>228</v>
      </c>
      <c r="J64" s="34">
        <v>1017</v>
      </c>
      <c r="K64" s="34">
        <v>600</v>
      </c>
      <c r="L64" s="34">
        <v>600</v>
      </c>
      <c r="Q64" s="110">
        <v>0</v>
      </c>
      <c r="V64" s="34">
        <v>0</v>
      </c>
    </row>
    <row r="65" spans="1:22">
      <c r="A65" s="34" t="s">
        <v>226</v>
      </c>
      <c r="B65" s="34">
        <v>4</v>
      </c>
      <c r="E65" s="34">
        <v>4</v>
      </c>
      <c r="F65" s="34">
        <v>2</v>
      </c>
      <c r="G65" s="34" t="s">
        <v>232</v>
      </c>
      <c r="H65" s="34" t="s">
        <v>98</v>
      </c>
      <c r="I65" s="34" t="s">
        <v>228</v>
      </c>
      <c r="J65" s="34">
        <v>1017</v>
      </c>
      <c r="K65" s="34">
        <v>800</v>
      </c>
      <c r="L65" s="34">
        <v>1600</v>
      </c>
      <c r="Q65" s="110">
        <v>0</v>
      </c>
      <c r="V65" s="34">
        <v>0</v>
      </c>
    </row>
    <row r="66" spans="1:22">
      <c r="A66" s="34" t="s">
        <v>226</v>
      </c>
      <c r="B66" s="34">
        <v>5</v>
      </c>
      <c r="E66" s="34">
        <v>4</v>
      </c>
      <c r="F66" s="34">
        <v>2</v>
      </c>
      <c r="G66" s="34" t="s">
        <v>233</v>
      </c>
      <c r="H66" s="34" t="s">
        <v>98</v>
      </c>
      <c r="I66" s="34" t="s">
        <v>228</v>
      </c>
      <c r="J66" s="34">
        <v>1017</v>
      </c>
      <c r="K66" s="34">
        <v>1000</v>
      </c>
      <c r="L66" s="34">
        <v>2000</v>
      </c>
      <c r="Q66" s="110">
        <v>0</v>
      </c>
      <c r="V66" s="34">
        <v>0</v>
      </c>
    </row>
    <row r="67" spans="1:22">
      <c r="A67" s="34" t="s">
        <v>226</v>
      </c>
      <c r="B67" s="34">
        <v>6</v>
      </c>
      <c r="E67" s="34">
        <v>4</v>
      </c>
      <c r="F67" s="34">
        <v>2</v>
      </c>
      <c r="G67" s="34" t="s">
        <v>234</v>
      </c>
      <c r="H67" s="34" t="s">
        <v>98</v>
      </c>
      <c r="I67" s="34" t="s">
        <v>228</v>
      </c>
      <c r="J67" s="34">
        <v>1017</v>
      </c>
      <c r="K67" s="34">
        <v>1300</v>
      </c>
      <c r="L67" s="34">
        <v>2600</v>
      </c>
      <c r="Q67" s="110">
        <v>0</v>
      </c>
      <c r="V67" s="34">
        <v>0</v>
      </c>
    </row>
    <row r="68" spans="1:22">
      <c r="A68" s="34" t="s">
        <v>226</v>
      </c>
      <c r="B68" s="34">
        <v>7</v>
      </c>
      <c r="E68" s="34">
        <v>4</v>
      </c>
      <c r="F68" s="34">
        <v>2</v>
      </c>
      <c r="G68" s="34" t="s">
        <v>235</v>
      </c>
      <c r="H68" s="34" t="s">
        <v>98</v>
      </c>
      <c r="I68" s="34" t="s">
        <v>228</v>
      </c>
      <c r="J68" s="34">
        <v>1017</v>
      </c>
      <c r="K68" s="34">
        <v>1600</v>
      </c>
      <c r="L68" s="34">
        <v>3200</v>
      </c>
      <c r="Q68" s="110">
        <v>0</v>
      </c>
      <c r="V68" s="34">
        <v>0</v>
      </c>
    </row>
    <row r="69" spans="1:22">
      <c r="A69" s="34" t="s">
        <v>226</v>
      </c>
      <c r="B69" s="34">
        <v>8</v>
      </c>
      <c r="E69" s="34">
        <v>4</v>
      </c>
      <c r="F69" s="34">
        <v>2</v>
      </c>
      <c r="G69" s="34" t="s">
        <v>236</v>
      </c>
      <c r="H69" s="34" t="s">
        <v>98</v>
      </c>
      <c r="I69" s="34" t="s">
        <v>228</v>
      </c>
      <c r="J69" s="34">
        <v>1017</v>
      </c>
      <c r="K69" s="34">
        <v>1900</v>
      </c>
      <c r="L69" s="34">
        <v>3800</v>
      </c>
      <c r="Q69" s="110">
        <v>0</v>
      </c>
      <c r="V69" s="34">
        <v>0</v>
      </c>
    </row>
    <row r="70" spans="1:22">
      <c r="A70" s="34" t="s">
        <v>226</v>
      </c>
      <c r="B70" s="34">
        <v>9</v>
      </c>
      <c r="E70" s="34">
        <v>4</v>
      </c>
      <c r="F70" s="34">
        <v>2</v>
      </c>
      <c r="G70" s="34" t="s">
        <v>237</v>
      </c>
      <c r="H70" s="34" t="s">
        <v>98</v>
      </c>
      <c r="I70" s="34" t="s">
        <v>228</v>
      </c>
      <c r="J70" s="34">
        <v>1017</v>
      </c>
      <c r="K70" s="34">
        <v>2200</v>
      </c>
      <c r="L70" s="34">
        <v>4400</v>
      </c>
      <c r="Q70" s="110">
        <v>0</v>
      </c>
      <c r="V70" s="34">
        <v>0</v>
      </c>
    </row>
    <row r="71" spans="1:22">
      <c r="A71" s="34" t="s">
        <v>226</v>
      </c>
      <c r="B71" s="34">
        <v>10</v>
      </c>
      <c r="E71" s="34">
        <v>4</v>
      </c>
      <c r="F71" s="34">
        <v>2</v>
      </c>
      <c r="G71" s="34" t="s">
        <v>238</v>
      </c>
      <c r="H71" s="34" t="s">
        <v>98</v>
      </c>
      <c r="I71" s="34" t="s">
        <v>228</v>
      </c>
      <c r="J71" s="34">
        <v>1017</v>
      </c>
      <c r="K71" s="34">
        <v>2500</v>
      </c>
      <c r="L71" s="34">
        <v>5000</v>
      </c>
      <c r="Q71" s="110">
        <v>0</v>
      </c>
      <c r="V71" s="34">
        <v>0</v>
      </c>
    </row>
    <row r="72" spans="1:22">
      <c r="A72" s="34" t="s">
        <v>226</v>
      </c>
      <c r="B72" s="34">
        <v>11</v>
      </c>
      <c r="E72" s="34">
        <v>4</v>
      </c>
      <c r="F72" s="34">
        <v>3</v>
      </c>
      <c r="G72" s="34" t="s">
        <v>239</v>
      </c>
      <c r="H72" s="34" t="s">
        <v>98</v>
      </c>
      <c r="I72" s="34" t="s">
        <v>228</v>
      </c>
      <c r="J72" s="34">
        <v>1017</v>
      </c>
      <c r="K72" s="34">
        <v>3000</v>
      </c>
      <c r="L72" s="34">
        <v>9000</v>
      </c>
      <c r="Q72" s="110">
        <v>0</v>
      </c>
      <c r="V72" s="34">
        <v>0</v>
      </c>
    </row>
    <row r="73" spans="1:22">
      <c r="A73" s="34" t="s">
        <v>226</v>
      </c>
      <c r="B73" s="34">
        <v>12</v>
      </c>
      <c r="E73" s="34">
        <v>4</v>
      </c>
      <c r="F73" s="34">
        <v>3</v>
      </c>
      <c r="G73" s="34" t="s">
        <v>240</v>
      </c>
      <c r="H73" s="34" t="s">
        <v>98</v>
      </c>
      <c r="I73" s="34" t="s">
        <v>228</v>
      </c>
      <c r="J73" s="34">
        <v>1017</v>
      </c>
      <c r="K73" s="34">
        <v>3500</v>
      </c>
      <c r="L73" s="34">
        <v>10500</v>
      </c>
      <c r="Q73" s="110">
        <v>0</v>
      </c>
      <c r="V73" s="34">
        <v>0</v>
      </c>
    </row>
    <row r="74" spans="1:22">
      <c r="A74" s="34" t="s">
        <v>226</v>
      </c>
      <c r="B74" s="34">
        <v>13</v>
      </c>
      <c r="E74" s="34">
        <v>4</v>
      </c>
      <c r="F74" s="34">
        <v>3</v>
      </c>
      <c r="G74" s="34" t="s">
        <v>241</v>
      </c>
      <c r="H74" s="34" t="s">
        <v>98</v>
      </c>
      <c r="I74" s="34" t="s">
        <v>228</v>
      </c>
      <c r="J74" s="34">
        <v>1017</v>
      </c>
      <c r="K74" s="34">
        <v>4000</v>
      </c>
      <c r="L74" s="34">
        <v>12000</v>
      </c>
      <c r="Q74" s="110">
        <v>0</v>
      </c>
      <c r="V74" s="34">
        <v>0</v>
      </c>
    </row>
    <row r="75" spans="1:22">
      <c r="A75" s="34" t="s">
        <v>226</v>
      </c>
      <c r="B75" s="34">
        <v>14</v>
      </c>
      <c r="E75" s="34">
        <v>4</v>
      </c>
      <c r="F75" s="34">
        <v>3</v>
      </c>
      <c r="G75" s="34" t="s">
        <v>242</v>
      </c>
      <c r="H75" s="34" t="s">
        <v>98</v>
      </c>
      <c r="I75" s="34" t="s">
        <v>228</v>
      </c>
      <c r="J75" s="34">
        <v>1017</v>
      </c>
      <c r="K75" s="34">
        <v>4500</v>
      </c>
      <c r="L75" s="34">
        <v>13500</v>
      </c>
      <c r="Q75" s="110">
        <v>0</v>
      </c>
      <c r="V75" s="34">
        <v>0</v>
      </c>
    </row>
    <row r="76" spans="1:22">
      <c r="A76" s="34" t="s">
        <v>226</v>
      </c>
      <c r="B76" s="34">
        <v>15</v>
      </c>
      <c r="E76" s="34">
        <v>4</v>
      </c>
      <c r="F76" s="34">
        <v>4</v>
      </c>
      <c r="G76" s="34" t="s">
        <v>243</v>
      </c>
      <c r="H76" s="34" t="s">
        <v>98</v>
      </c>
      <c r="I76" s="34" t="s">
        <v>228</v>
      </c>
      <c r="J76" s="34">
        <v>1017</v>
      </c>
      <c r="K76" s="34">
        <v>5000</v>
      </c>
      <c r="L76" s="34">
        <v>20000</v>
      </c>
      <c r="Q76" s="110">
        <v>0</v>
      </c>
      <c r="V76" s="34">
        <v>0</v>
      </c>
    </row>
    <row r="77" spans="1:22">
      <c r="A77" s="34" t="s">
        <v>226</v>
      </c>
      <c r="B77" s="34">
        <v>16</v>
      </c>
      <c r="E77" s="34">
        <v>4</v>
      </c>
      <c r="F77" s="34">
        <v>4</v>
      </c>
      <c r="G77" s="34" t="s">
        <v>244</v>
      </c>
      <c r="H77" s="34" t="s">
        <v>98</v>
      </c>
      <c r="I77" s="34" t="s">
        <v>228</v>
      </c>
      <c r="J77" s="34">
        <v>1017</v>
      </c>
      <c r="K77" s="34">
        <v>5600</v>
      </c>
      <c r="L77" s="34">
        <v>22400</v>
      </c>
      <c r="Q77" s="110">
        <v>0</v>
      </c>
      <c r="V77" s="34">
        <v>0</v>
      </c>
    </row>
    <row r="78" spans="1:22">
      <c r="A78" s="34" t="s">
        <v>226</v>
      </c>
      <c r="B78" s="34">
        <v>17</v>
      </c>
      <c r="E78" s="34">
        <v>4</v>
      </c>
      <c r="F78" s="34">
        <v>4</v>
      </c>
      <c r="G78" s="34" t="s">
        <v>245</v>
      </c>
      <c r="H78" s="34" t="s">
        <v>98</v>
      </c>
      <c r="I78" s="34" t="s">
        <v>228</v>
      </c>
      <c r="J78" s="34">
        <v>1017</v>
      </c>
      <c r="K78" s="34">
        <v>6200</v>
      </c>
      <c r="L78" s="34">
        <v>24800</v>
      </c>
      <c r="Q78" s="110">
        <v>0</v>
      </c>
      <c r="V78" s="34">
        <v>0</v>
      </c>
    </row>
    <row r="79" spans="1:22">
      <c r="A79" s="34" t="s">
        <v>226</v>
      </c>
      <c r="B79" s="34">
        <v>18</v>
      </c>
      <c r="E79" s="34">
        <v>4</v>
      </c>
      <c r="F79" s="34">
        <v>4</v>
      </c>
      <c r="G79" s="34" t="s">
        <v>246</v>
      </c>
      <c r="H79" s="34" t="s">
        <v>98</v>
      </c>
      <c r="I79" s="34" t="s">
        <v>228</v>
      </c>
      <c r="J79" s="34">
        <v>1017</v>
      </c>
      <c r="K79" s="34">
        <v>6800</v>
      </c>
      <c r="L79" s="34">
        <v>27200</v>
      </c>
      <c r="Q79" s="110">
        <v>0</v>
      </c>
      <c r="V79" s="34">
        <v>0</v>
      </c>
    </row>
    <row r="80" spans="1:22">
      <c r="A80" s="34" t="s">
        <v>226</v>
      </c>
      <c r="B80" s="34">
        <v>19</v>
      </c>
      <c r="E80" s="34">
        <v>4</v>
      </c>
      <c r="F80" s="34">
        <v>4</v>
      </c>
      <c r="G80" s="34" t="s">
        <v>247</v>
      </c>
      <c r="H80" s="34" t="s">
        <v>98</v>
      </c>
      <c r="I80" s="34" t="s">
        <v>228</v>
      </c>
      <c r="J80" s="34">
        <v>1017</v>
      </c>
      <c r="K80" s="34">
        <v>7400</v>
      </c>
      <c r="L80" s="34">
        <v>29600</v>
      </c>
      <c r="Q80" s="110">
        <v>0</v>
      </c>
      <c r="V80" s="34">
        <v>0</v>
      </c>
    </row>
    <row r="81" spans="1:47">
      <c r="A81" s="34" t="s">
        <v>226</v>
      </c>
      <c r="B81" s="34">
        <v>20</v>
      </c>
      <c r="E81" s="34">
        <v>4</v>
      </c>
      <c r="F81" s="34">
        <v>4</v>
      </c>
      <c r="G81" s="34" t="s">
        <v>248</v>
      </c>
      <c r="H81" s="34" t="s">
        <v>98</v>
      </c>
      <c r="I81" s="34" t="s">
        <v>228</v>
      </c>
      <c r="J81" s="34">
        <v>1017</v>
      </c>
      <c r="K81" s="34">
        <v>8000</v>
      </c>
      <c r="L81" s="34">
        <v>32000</v>
      </c>
      <c r="Q81" s="110">
        <v>0</v>
      </c>
      <c r="V81" s="34">
        <v>0</v>
      </c>
    </row>
    <row r="82" spans="1:47">
      <c r="A82" s="34" t="s">
        <v>249</v>
      </c>
      <c r="B82" s="34">
        <v>1</v>
      </c>
      <c r="C82" s="34">
        <v>2</v>
      </c>
      <c r="E82" s="34">
        <v>5</v>
      </c>
      <c r="F82" s="34">
        <v>0</v>
      </c>
      <c r="G82" s="34" t="s">
        <v>250</v>
      </c>
      <c r="H82" s="34" t="s">
        <v>102</v>
      </c>
      <c r="I82" s="34" t="s">
        <v>251</v>
      </c>
      <c r="J82" s="34">
        <v>1018</v>
      </c>
      <c r="K82" s="34">
        <v>200</v>
      </c>
      <c r="L82" s="34">
        <v>200</v>
      </c>
      <c r="Q82" s="110">
        <v>0</v>
      </c>
      <c r="V82" s="34">
        <v>0</v>
      </c>
      <c r="AQ82" t="s">
        <v>229</v>
      </c>
      <c r="AR82" t="s">
        <v>105</v>
      </c>
      <c r="AS82" t="s">
        <v>105</v>
      </c>
      <c r="AT82" t="s">
        <v>102</v>
      </c>
      <c r="AU82">
        <v>5</v>
      </c>
    </row>
    <row r="83" spans="1:47">
      <c r="A83" s="34" t="s">
        <v>249</v>
      </c>
      <c r="B83" s="34">
        <v>2</v>
      </c>
      <c r="C83" s="34">
        <v>2</v>
      </c>
      <c r="E83" s="34">
        <v>5</v>
      </c>
      <c r="F83" s="34">
        <v>0</v>
      </c>
      <c r="G83" s="34" t="s">
        <v>252</v>
      </c>
      <c r="H83" s="34" t="s">
        <v>102</v>
      </c>
      <c r="I83" s="34" t="s">
        <v>251</v>
      </c>
      <c r="J83" s="34">
        <v>1018</v>
      </c>
      <c r="K83" s="34">
        <v>400</v>
      </c>
      <c r="L83" s="34">
        <v>400</v>
      </c>
      <c r="Q83" s="110">
        <v>0</v>
      </c>
      <c r="V83" s="34">
        <v>0</v>
      </c>
    </row>
    <row r="84" spans="1:47">
      <c r="A84" s="34" t="s">
        <v>249</v>
      </c>
      <c r="B84" s="34">
        <v>3</v>
      </c>
      <c r="C84" s="34">
        <v>2</v>
      </c>
      <c r="E84" s="34">
        <v>5</v>
      </c>
      <c r="F84" s="34">
        <v>0</v>
      </c>
      <c r="G84" s="34" t="s">
        <v>253</v>
      </c>
      <c r="H84" s="34" t="s">
        <v>102</v>
      </c>
      <c r="I84" s="34" t="s">
        <v>251</v>
      </c>
      <c r="J84" s="34">
        <v>1018</v>
      </c>
      <c r="K84" s="34">
        <v>600</v>
      </c>
      <c r="L84" s="34">
        <v>600</v>
      </c>
      <c r="Q84" s="110">
        <v>0</v>
      </c>
      <c r="V84" s="34">
        <v>0</v>
      </c>
    </row>
    <row r="85" spans="1:47">
      <c r="A85" s="34" t="s">
        <v>249</v>
      </c>
      <c r="B85" s="34">
        <v>4</v>
      </c>
      <c r="C85" s="34">
        <v>2</v>
      </c>
      <c r="E85" s="34">
        <v>5</v>
      </c>
      <c r="F85" s="34">
        <v>0</v>
      </c>
      <c r="G85" s="34" t="s">
        <v>254</v>
      </c>
      <c r="H85" s="34" t="s">
        <v>102</v>
      </c>
      <c r="I85" s="34" t="s">
        <v>251</v>
      </c>
      <c r="J85" s="34">
        <v>1018</v>
      </c>
      <c r="K85" s="34">
        <v>800</v>
      </c>
      <c r="L85" s="34">
        <v>800</v>
      </c>
      <c r="Q85" s="110">
        <v>0</v>
      </c>
      <c r="V85" s="34">
        <v>0</v>
      </c>
    </row>
    <row r="86" spans="1:47">
      <c r="A86" s="34" t="s">
        <v>249</v>
      </c>
      <c r="B86" s="34">
        <v>5</v>
      </c>
      <c r="C86" s="34">
        <v>2</v>
      </c>
      <c r="E86" s="34">
        <v>5</v>
      </c>
      <c r="F86" s="34">
        <v>2</v>
      </c>
      <c r="G86" s="34" t="s">
        <v>255</v>
      </c>
      <c r="H86" s="34" t="s">
        <v>102</v>
      </c>
      <c r="I86" s="34" t="s">
        <v>251</v>
      </c>
      <c r="J86" s="34">
        <v>1018</v>
      </c>
      <c r="K86" s="34">
        <v>1000</v>
      </c>
      <c r="L86" s="34">
        <v>2000</v>
      </c>
      <c r="Q86" s="110">
        <v>0</v>
      </c>
      <c r="V86" s="34">
        <v>0</v>
      </c>
    </row>
    <row r="87" spans="1:47">
      <c r="A87" s="34" t="s">
        <v>249</v>
      </c>
      <c r="B87" s="34">
        <v>6</v>
      </c>
      <c r="C87" s="34">
        <v>2</v>
      </c>
      <c r="E87" s="34">
        <v>5</v>
      </c>
      <c r="F87" s="34">
        <v>2</v>
      </c>
      <c r="G87" s="34" t="s">
        <v>256</v>
      </c>
      <c r="H87" s="34" t="s">
        <v>102</v>
      </c>
      <c r="I87" s="34" t="s">
        <v>251</v>
      </c>
      <c r="J87" s="34">
        <v>1018</v>
      </c>
      <c r="K87" s="34">
        <v>1300</v>
      </c>
      <c r="L87" s="34">
        <v>2600</v>
      </c>
      <c r="Q87" s="110">
        <v>0</v>
      </c>
      <c r="V87" s="34">
        <v>0</v>
      </c>
    </row>
    <row r="88" spans="1:47">
      <c r="A88" s="34" t="s">
        <v>249</v>
      </c>
      <c r="B88" s="34">
        <v>7</v>
      </c>
      <c r="C88" s="34">
        <v>2</v>
      </c>
      <c r="E88" s="34">
        <v>5</v>
      </c>
      <c r="F88" s="34">
        <v>2</v>
      </c>
      <c r="G88" s="34" t="s">
        <v>257</v>
      </c>
      <c r="H88" s="34" t="s">
        <v>102</v>
      </c>
      <c r="I88" s="34" t="s">
        <v>251</v>
      </c>
      <c r="J88" s="34">
        <v>1018</v>
      </c>
      <c r="K88" s="34">
        <v>1600</v>
      </c>
      <c r="L88" s="34">
        <v>3200</v>
      </c>
      <c r="Q88" s="110">
        <v>0</v>
      </c>
      <c r="V88" s="34">
        <v>0</v>
      </c>
    </row>
    <row r="89" spans="1:47">
      <c r="A89" s="34" t="s">
        <v>249</v>
      </c>
      <c r="B89" s="34">
        <v>8</v>
      </c>
      <c r="C89" s="34">
        <v>2</v>
      </c>
      <c r="E89" s="34">
        <v>5</v>
      </c>
      <c r="F89" s="34">
        <v>2</v>
      </c>
      <c r="G89" s="34" t="s">
        <v>258</v>
      </c>
      <c r="H89" s="34" t="s">
        <v>102</v>
      </c>
      <c r="I89" s="34" t="s">
        <v>251</v>
      </c>
      <c r="J89" s="34">
        <v>1018</v>
      </c>
      <c r="K89" s="34">
        <v>1900</v>
      </c>
      <c r="L89" s="34">
        <v>3800</v>
      </c>
      <c r="Q89" s="110">
        <v>0</v>
      </c>
      <c r="V89" s="34">
        <v>0</v>
      </c>
    </row>
    <row r="90" spans="1:47">
      <c r="A90" s="34" t="s">
        <v>249</v>
      </c>
      <c r="B90" s="34">
        <v>9</v>
      </c>
      <c r="C90" s="34">
        <v>2</v>
      </c>
      <c r="E90" s="34">
        <v>5</v>
      </c>
      <c r="F90" s="34">
        <v>2</v>
      </c>
      <c r="G90" s="34" t="s">
        <v>259</v>
      </c>
      <c r="H90" s="34" t="s">
        <v>102</v>
      </c>
      <c r="I90" s="34" t="s">
        <v>251</v>
      </c>
      <c r="J90" s="34">
        <v>1018</v>
      </c>
      <c r="K90" s="34">
        <v>2200</v>
      </c>
      <c r="L90" s="34">
        <v>4400</v>
      </c>
      <c r="Q90" s="110">
        <v>0</v>
      </c>
      <c r="V90" s="34">
        <v>0</v>
      </c>
    </row>
    <row r="91" spans="1:47">
      <c r="A91" s="34" t="s">
        <v>249</v>
      </c>
      <c r="B91" s="34">
        <v>10</v>
      </c>
      <c r="C91" s="34">
        <v>2</v>
      </c>
      <c r="E91" s="34">
        <v>5</v>
      </c>
      <c r="F91" s="34">
        <v>2</v>
      </c>
      <c r="G91" s="34" t="s">
        <v>260</v>
      </c>
      <c r="H91" s="34" t="s">
        <v>102</v>
      </c>
      <c r="I91" s="34" t="s">
        <v>251</v>
      </c>
      <c r="J91" s="34">
        <v>1018</v>
      </c>
      <c r="K91" s="34">
        <v>2500</v>
      </c>
      <c r="L91" s="34">
        <v>5000</v>
      </c>
      <c r="Q91" s="110">
        <v>0</v>
      </c>
      <c r="V91" s="34">
        <v>0</v>
      </c>
    </row>
    <row r="92" spans="1:47">
      <c r="A92" s="34" t="s">
        <v>249</v>
      </c>
      <c r="B92" s="34">
        <v>11</v>
      </c>
      <c r="C92" s="34">
        <v>2</v>
      </c>
      <c r="E92" s="34">
        <v>5</v>
      </c>
      <c r="F92" s="34">
        <v>2</v>
      </c>
      <c r="G92" s="34" t="s">
        <v>261</v>
      </c>
      <c r="H92" s="34" t="s">
        <v>102</v>
      </c>
      <c r="I92" s="34" t="s">
        <v>251</v>
      </c>
      <c r="J92" s="34">
        <v>1018</v>
      </c>
      <c r="K92" s="34">
        <v>3000</v>
      </c>
      <c r="L92" s="34">
        <v>6000</v>
      </c>
      <c r="Q92" s="110">
        <v>0</v>
      </c>
      <c r="V92" s="34">
        <v>0</v>
      </c>
    </row>
    <row r="93" spans="1:47">
      <c r="A93" s="34" t="s">
        <v>249</v>
      </c>
      <c r="B93" s="34">
        <v>12</v>
      </c>
      <c r="C93" s="34">
        <v>2</v>
      </c>
      <c r="E93" s="34">
        <v>5</v>
      </c>
      <c r="F93" s="34">
        <v>2</v>
      </c>
      <c r="G93" s="34" t="s">
        <v>262</v>
      </c>
      <c r="H93" s="34" t="s">
        <v>102</v>
      </c>
      <c r="I93" s="34" t="s">
        <v>251</v>
      </c>
      <c r="J93" s="34">
        <v>1018</v>
      </c>
      <c r="K93" s="34">
        <v>3500</v>
      </c>
      <c r="L93" s="34">
        <v>7000</v>
      </c>
      <c r="Q93" s="110">
        <v>0</v>
      </c>
      <c r="V93" s="34">
        <v>0</v>
      </c>
    </row>
    <row r="94" spans="1:47">
      <c r="A94" s="34" t="s">
        <v>249</v>
      </c>
      <c r="B94" s="34">
        <v>13</v>
      </c>
      <c r="C94" s="34">
        <v>2</v>
      </c>
      <c r="E94" s="34">
        <v>5</v>
      </c>
      <c r="F94" s="34">
        <v>2</v>
      </c>
      <c r="G94" s="34" t="s">
        <v>263</v>
      </c>
      <c r="H94" s="34" t="s">
        <v>102</v>
      </c>
      <c r="I94" s="34" t="s">
        <v>251</v>
      </c>
      <c r="J94" s="34">
        <v>1018</v>
      </c>
      <c r="K94" s="34">
        <v>4000</v>
      </c>
      <c r="L94" s="34">
        <v>8000</v>
      </c>
      <c r="Q94" s="110">
        <v>0</v>
      </c>
      <c r="V94" s="34">
        <v>0</v>
      </c>
    </row>
    <row r="95" spans="1:47">
      <c r="A95" s="34" t="s">
        <v>249</v>
      </c>
      <c r="B95" s="34">
        <v>14</v>
      </c>
      <c r="C95" s="34">
        <v>2</v>
      </c>
      <c r="E95" s="34">
        <v>5</v>
      </c>
      <c r="F95" s="34">
        <v>2</v>
      </c>
      <c r="G95" s="34" t="s">
        <v>264</v>
      </c>
      <c r="H95" s="34" t="s">
        <v>102</v>
      </c>
      <c r="I95" s="34" t="s">
        <v>251</v>
      </c>
      <c r="J95" s="34">
        <v>1018</v>
      </c>
      <c r="K95" s="34">
        <v>4500</v>
      </c>
      <c r="L95" s="34">
        <v>9000</v>
      </c>
      <c r="Q95" s="110">
        <v>0</v>
      </c>
      <c r="V95" s="34">
        <v>0</v>
      </c>
    </row>
    <row r="96" spans="1:47">
      <c r="A96" s="34" t="s">
        <v>249</v>
      </c>
      <c r="B96" s="34">
        <v>15</v>
      </c>
      <c r="C96" s="34">
        <v>2</v>
      </c>
      <c r="E96" s="34">
        <v>5</v>
      </c>
      <c r="F96" s="34">
        <v>2</v>
      </c>
      <c r="G96" s="34" t="s">
        <v>265</v>
      </c>
      <c r="H96" s="34" t="s">
        <v>102</v>
      </c>
      <c r="I96" s="34" t="s">
        <v>251</v>
      </c>
      <c r="J96" s="34">
        <v>1018</v>
      </c>
      <c r="K96" s="34">
        <v>5000</v>
      </c>
      <c r="L96" s="34">
        <v>10000</v>
      </c>
      <c r="Q96" s="110">
        <v>0</v>
      </c>
      <c r="V96" s="34">
        <v>0</v>
      </c>
    </row>
    <row r="97" spans="1:47">
      <c r="A97" s="34" t="s">
        <v>249</v>
      </c>
      <c r="B97" s="34">
        <v>16</v>
      </c>
      <c r="C97" s="34">
        <v>2</v>
      </c>
      <c r="E97" s="34">
        <v>5</v>
      </c>
      <c r="F97" s="34">
        <v>2</v>
      </c>
      <c r="G97" s="34" t="s">
        <v>266</v>
      </c>
      <c r="H97" s="34" t="s">
        <v>102</v>
      </c>
      <c r="I97" s="34" t="s">
        <v>251</v>
      </c>
      <c r="J97" s="34">
        <v>1018</v>
      </c>
      <c r="K97" s="34">
        <v>5600</v>
      </c>
      <c r="L97" s="34">
        <v>11200</v>
      </c>
      <c r="Q97" s="110">
        <v>0</v>
      </c>
      <c r="V97" s="34">
        <v>0</v>
      </c>
    </row>
    <row r="98" spans="1:47">
      <c r="A98" s="34" t="s">
        <v>249</v>
      </c>
      <c r="B98" s="34">
        <v>17</v>
      </c>
      <c r="C98" s="34">
        <v>2</v>
      </c>
      <c r="E98" s="34">
        <v>5</v>
      </c>
      <c r="F98" s="34">
        <v>2</v>
      </c>
      <c r="G98" s="34" t="s">
        <v>267</v>
      </c>
      <c r="H98" s="34" t="s">
        <v>102</v>
      </c>
      <c r="I98" s="34" t="s">
        <v>251</v>
      </c>
      <c r="J98" s="34">
        <v>1018</v>
      </c>
      <c r="K98" s="34">
        <v>6200</v>
      </c>
      <c r="L98" s="34">
        <v>12400</v>
      </c>
      <c r="Q98" s="110">
        <v>0</v>
      </c>
      <c r="V98" s="34">
        <v>0</v>
      </c>
    </row>
    <row r="99" spans="1:47">
      <c r="A99" s="34" t="s">
        <v>249</v>
      </c>
      <c r="B99" s="34">
        <v>18</v>
      </c>
      <c r="C99" s="34">
        <v>2</v>
      </c>
      <c r="E99" s="34">
        <v>5</v>
      </c>
      <c r="F99" s="34">
        <v>2</v>
      </c>
      <c r="G99" s="34" t="s">
        <v>268</v>
      </c>
      <c r="H99" s="34" t="s">
        <v>102</v>
      </c>
      <c r="I99" s="34" t="s">
        <v>251</v>
      </c>
      <c r="J99" s="34">
        <v>1018</v>
      </c>
      <c r="K99" s="34">
        <v>6800</v>
      </c>
      <c r="L99" s="34">
        <v>13600</v>
      </c>
      <c r="Q99" s="110">
        <v>0</v>
      </c>
      <c r="V99" s="34">
        <v>0</v>
      </c>
    </row>
    <row r="100" spans="1:47">
      <c r="A100" s="34" t="s">
        <v>249</v>
      </c>
      <c r="B100" s="34">
        <v>19</v>
      </c>
      <c r="C100" s="34">
        <v>2</v>
      </c>
      <c r="E100" s="34">
        <v>5</v>
      </c>
      <c r="F100" s="34">
        <v>2</v>
      </c>
      <c r="G100" s="34" t="s">
        <v>269</v>
      </c>
      <c r="H100" s="34" t="s">
        <v>102</v>
      </c>
      <c r="I100" s="34" t="s">
        <v>251</v>
      </c>
      <c r="J100" s="34">
        <v>1018</v>
      </c>
      <c r="K100" s="34">
        <v>7400</v>
      </c>
      <c r="L100" s="34">
        <v>14800</v>
      </c>
      <c r="Q100" s="110">
        <v>0</v>
      </c>
      <c r="V100" s="34">
        <v>0</v>
      </c>
    </row>
    <row r="101" spans="1:47">
      <c r="A101" s="34" t="s">
        <v>249</v>
      </c>
      <c r="B101" s="34">
        <v>20</v>
      </c>
      <c r="C101" s="34">
        <v>2</v>
      </c>
      <c r="E101" s="34">
        <v>5</v>
      </c>
      <c r="F101" s="34">
        <v>2</v>
      </c>
      <c r="G101" s="34" t="s">
        <v>270</v>
      </c>
      <c r="H101" s="34" t="s">
        <v>102</v>
      </c>
      <c r="I101" s="34" t="s">
        <v>251</v>
      </c>
      <c r="J101" s="34">
        <v>1018</v>
      </c>
      <c r="K101" s="34">
        <v>8000</v>
      </c>
      <c r="L101" s="34">
        <v>16000</v>
      </c>
      <c r="Q101" s="110">
        <v>0</v>
      </c>
      <c r="V101" s="34">
        <v>0</v>
      </c>
    </row>
    <row r="102" spans="1:47">
      <c r="A102" s="34" t="s">
        <v>271</v>
      </c>
      <c r="B102" s="34">
        <v>1</v>
      </c>
      <c r="C102" s="34">
        <v>3</v>
      </c>
      <c r="E102" s="34">
        <v>10</v>
      </c>
      <c r="F102" s="34">
        <v>0</v>
      </c>
      <c r="G102" s="34" t="s">
        <v>272</v>
      </c>
      <c r="H102" s="34" t="s">
        <v>106</v>
      </c>
      <c r="I102" s="34" t="s">
        <v>273</v>
      </c>
      <c r="J102" s="34">
        <v>1019</v>
      </c>
      <c r="K102" s="34">
        <v>200</v>
      </c>
      <c r="L102" s="34">
        <v>200</v>
      </c>
      <c r="Q102" s="110">
        <v>0</v>
      </c>
      <c r="V102" s="34">
        <v>0</v>
      </c>
      <c r="AQ102" t="s">
        <v>229</v>
      </c>
      <c r="AR102" t="s">
        <v>109</v>
      </c>
      <c r="AS102" t="s">
        <v>109</v>
      </c>
      <c r="AT102" t="s">
        <v>106</v>
      </c>
      <c r="AU102">
        <v>6</v>
      </c>
    </row>
    <row r="103" spans="1:47">
      <c r="A103" s="34" t="s">
        <v>271</v>
      </c>
      <c r="B103" s="34">
        <v>2</v>
      </c>
      <c r="C103" s="34">
        <v>3</v>
      </c>
      <c r="E103" s="34">
        <v>10</v>
      </c>
      <c r="F103" s="34">
        <v>0</v>
      </c>
      <c r="G103" s="34" t="s">
        <v>274</v>
      </c>
      <c r="H103" s="34" t="s">
        <v>106</v>
      </c>
      <c r="I103" s="34" t="s">
        <v>273</v>
      </c>
      <c r="J103" s="34">
        <v>1019</v>
      </c>
      <c r="K103" s="34">
        <v>400</v>
      </c>
      <c r="L103" s="34">
        <v>400</v>
      </c>
      <c r="Q103" s="110">
        <v>0</v>
      </c>
      <c r="V103" s="34">
        <v>0</v>
      </c>
    </row>
    <row r="104" spans="1:47">
      <c r="A104" s="34" t="s">
        <v>271</v>
      </c>
      <c r="B104" s="34">
        <v>3</v>
      </c>
      <c r="C104" s="34">
        <v>3</v>
      </c>
      <c r="E104" s="34">
        <v>10</v>
      </c>
      <c r="F104" s="34">
        <v>0</v>
      </c>
      <c r="G104" s="34" t="s">
        <v>275</v>
      </c>
      <c r="H104" s="34" t="s">
        <v>106</v>
      </c>
      <c r="I104" s="34" t="s">
        <v>273</v>
      </c>
      <c r="J104" s="34">
        <v>1019</v>
      </c>
      <c r="K104" s="34">
        <v>600</v>
      </c>
      <c r="L104" s="34">
        <v>600</v>
      </c>
      <c r="Q104" s="110">
        <v>0</v>
      </c>
      <c r="V104" s="34">
        <v>0</v>
      </c>
    </row>
    <row r="105" spans="1:47">
      <c r="A105" s="34" t="s">
        <v>271</v>
      </c>
      <c r="B105" s="34">
        <v>4</v>
      </c>
      <c r="C105" s="34">
        <v>3</v>
      </c>
      <c r="E105" s="34">
        <v>10</v>
      </c>
      <c r="F105" s="34">
        <v>0</v>
      </c>
      <c r="G105" s="34" t="s">
        <v>276</v>
      </c>
      <c r="H105" s="34" t="s">
        <v>106</v>
      </c>
      <c r="I105" s="34" t="s">
        <v>273</v>
      </c>
      <c r="J105" s="34">
        <v>1019</v>
      </c>
      <c r="K105" s="34">
        <v>800</v>
      </c>
      <c r="L105" s="34">
        <v>800</v>
      </c>
      <c r="Q105" s="110">
        <v>0</v>
      </c>
      <c r="V105" s="34">
        <v>0</v>
      </c>
    </row>
    <row r="106" spans="1:47">
      <c r="A106" s="34" t="s">
        <v>271</v>
      </c>
      <c r="B106" s="34">
        <v>5</v>
      </c>
      <c r="C106" s="34">
        <v>3</v>
      </c>
      <c r="E106" s="34">
        <v>10</v>
      </c>
      <c r="F106" s="34">
        <v>0</v>
      </c>
      <c r="G106" s="34" t="s">
        <v>277</v>
      </c>
      <c r="H106" s="34" t="s">
        <v>106</v>
      </c>
      <c r="I106" s="34" t="s">
        <v>273</v>
      </c>
      <c r="J106" s="34">
        <v>1019</v>
      </c>
      <c r="K106" s="34">
        <v>1000</v>
      </c>
      <c r="L106" s="34">
        <v>1000</v>
      </c>
      <c r="Q106" s="110">
        <v>0</v>
      </c>
      <c r="V106" s="34">
        <v>0</v>
      </c>
    </row>
    <row r="107" spans="1:47">
      <c r="A107" s="34" t="s">
        <v>271</v>
      </c>
      <c r="B107" s="34">
        <v>6</v>
      </c>
      <c r="C107" s="34">
        <v>3</v>
      </c>
      <c r="E107" s="34">
        <v>10</v>
      </c>
      <c r="F107" s="34">
        <v>0</v>
      </c>
      <c r="G107" s="34" t="s">
        <v>278</v>
      </c>
      <c r="H107" s="34" t="s">
        <v>106</v>
      </c>
      <c r="I107" s="34" t="s">
        <v>273</v>
      </c>
      <c r="J107" s="34">
        <v>1019</v>
      </c>
      <c r="K107" s="34">
        <v>1300</v>
      </c>
      <c r="L107" s="34">
        <v>1300</v>
      </c>
      <c r="Q107" s="110">
        <v>0</v>
      </c>
      <c r="V107" s="34">
        <v>0</v>
      </c>
    </row>
    <row r="108" spans="1:47">
      <c r="A108" s="34" t="s">
        <v>271</v>
      </c>
      <c r="B108" s="34">
        <v>7</v>
      </c>
      <c r="C108" s="34">
        <v>3</v>
      </c>
      <c r="E108" s="34">
        <v>10</v>
      </c>
      <c r="F108" s="34">
        <v>0</v>
      </c>
      <c r="G108" s="34" t="s">
        <v>279</v>
      </c>
      <c r="H108" s="34" t="s">
        <v>106</v>
      </c>
      <c r="I108" s="34" t="s">
        <v>273</v>
      </c>
      <c r="J108" s="34">
        <v>1019</v>
      </c>
      <c r="K108" s="34">
        <v>1600</v>
      </c>
      <c r="L108" s="34">
        <v>1600</v>
      </c>
      <c r="Q108" s="110">
        <v>0</v>
      </c>
      <c r="V108" s="34">
        <v>0</v>
      </c>
    </row>
    <row r="109" spans="1:47">
      <c r="A109" s="34" t="s">
        <v>271</v>
      </c>
      <c r="B109" s="34">
        <v>8</v>
      </c>
      <c r="C109" s="34">
        <v>3</v>
      </c>
      <c r="E109" s="34">
        <v>10</v>
      </c>
      <c r="F109" s="34">
        <v>0</v>
      </c>
      <c r="G109" s="34" t="s">
        <v>280</v>
      </c>
      <c r="H109" s="34" t="s">
        <v>106</v>
      </c>
      <c r="I109" s="34" t="s">
        <v>273</v>
      </c>
      <c r="J109" s="34">
        <v>1019</v>
      </c>
      <c r="K109" s="34">
        <v>1900</v>
      </c>
      <c r="L109" s="34">
        <v>1900</v>
      </c>
      <c r="Q109" s="110">
        <v>0</v>
      </c>
      <c r="V109" s="34">
        <v>0</v>
      </c>
    </row>
    <row r="110" spans="1:47">
      <c r="A110" s="34" t="s">
        <v>271</v>
      </c>
      <c r="B110" s="34">
        <v>9</v>
      </c>
      <c r="C110" s="34">
        <v>3</v>
      </c>
      <c r="E110" s="34">
        <v>10</v>
      </c>
      <c r="F110" s="34">
        <v>0</v>
      </c>
      <c r="G110" s="34" t="s">
        <v>281</v>
      </c>
      <c r="H110" s="34" t="s">
        <v>106</v>
      </c>
      <c r="I110" s="34" t="s">
        <v>273</v>
      </c>
      <c r="J110" s="34">
        <v>1019</v>
      </c>
      <c r="K110" s="34">
        <v>2200</v>
      </c>
      <c r="L110" s="34">
        <v>2200</v>
      </c>
      <c r="Q110" s="110">
        <v>0</v>
      </c>
      <c r="V110" s="34">
        <v>0</v>
      </c>
    </row>
    <row r="111" spans="1:47">
      <c r="A111" s="34" t="s">
        <v>271</v>
      </c>
      <c r="B111" s="34">
        <v>10</v>
      </c>
      <c r="C111" s="34">
        <v>3</v>
      </c>
      <c r="E111" s="34">
        <v>10</v>
      </c>
      <c r="F111" s="34">
        <v>2</v>
      </c>
      <c r="G111" s="34" t="s">
        <v>282</v>
      </c>
      <c r="H111" s="34" t="s">
        <v>106</v>
      </c>
      <c r="I111" s="34" t="s">
        <v>273</v>
      </c>
      <c r="J111" s="34">
        <v>1019</v>
      </c>
      <c r="K111" s="34">
        <v>2500</v>
      </c>
      <c r="L111" s="34">
        <v>5000</v>
      </c>
      <c r="Q111" s="110">
        <v>0</v>
      </c>
      <c r="V111" s="34">
        <v>0</v>
      </c>
    </row>
    <row r="112" spans="1:47">
      <c r="A112" s="34" t="s">
        <v>271</v>
      </c>
      <c r="B112" s="34">
        <v>11</v>
      </c>
      <c r="C112" s="34">
        <v>3</v>
      </c>
      <c r="E112" s="34">
        <v>10</v>
      </c>
      <c r="F112" s="34">
        <v>2</v>
      </c>
      <c r="G112" s="34" t="s">
        <v>283</v>
      </c>
      <c r="H112" s="34" t="s">
        <v>106</v>
      </c>
      <c r="I112" s="34" t="s">
        <v>273</v>
      </c>
      <c r="J112" s="34">
        <v>1019</v>
      </c>
      <c r="K112" s="34">
        <v>3000</v>
      </c>
      <c r="L112" s="34">
        <v>6000</v>
      </c>
      <c r="Q112" s="110">
        <v>0</v>
      </c>
      <c r="V112" s="34">
        <v>0</v>
      </c>
    </row>
    <row r="113" spans="1:50">
      <c r="A113" s="34" t="s">
        <v>271</v>
      </c>
      <c r="B113" s="34">
        <v>12</v>
      </c>
      <c r="C113" s="34">
        <v>3</v>
      </c>
      <c r="E113" s="34">
        <v>10</v>
      </c>
      <c r="F113" s="34">
        <v>2</v>
      </c>
      <c r="G113" s="34" t="s">
        <v>284</v>
      </c>
      <c r="H113" s="34" t="s">
        <v>106</v>
      </c>
      <c r="I113" s="34" t="s">
        <v>273</v>
      </c>
      <c r="J113" s="34">
        <v>1019</v>
      </c>
      <c r="K113" s="34">
        <v>3500</v>
      </c>
      <c r="L113" s="34">
        <v>7000</v>
      </c>
      <c r="Q113" s="110">
        <v>0</v>
      </c>
      <c r="V113" s="34">
        <v>0</v>
      </c>
    </row>
    <row r="114" spans="1:50">
      <c r="A114" s="34" t="s">
        <v>271</v>
      </c>
      <c r="B114" s="34">
        <v>13</v>
      </c>
      <c r="C114" s="34">
        <v>3</v>
      </c>
      <c r="E114" s="34">
        <v>10</v>
      </c>
      <c r="F114" s="34">
        <v>2</v>
      </c>
      <c r="G114" s="34" t="s">
        <v>285</v>
      </c>
      <c r="H114" s="34" t="s">
        <v>106</v>
      </c>
      <c r="I114" s="34" t="s">
        <v>273</v>
      </c>
      <c r="J114" s="34">
        <v>1019</v>
      </c>
      <c r="K114" s="34">
        <v>4000</v>
      </c>
      <c r="L114" s="34">
        <v>8000</v>
      </c>
      <c r="Q114" s="110">
        <v>0</v>
      </c>
      <c r="V114" s="34">
        <v>0</v>
      </c>
    </row>
    <row r="115" spans="1:50">
      <c r="A115" s="34" t="s">
        <v>271</v>
      </c>
      <c r="B115" s="34">
        <v>14</v>
      </c>
      <c r="C115" s="34">
        <v>3</v>
      </c>
      <c r="E115" s="34">
        <v>10</v>
      </c>
      <c r="F115" s="34">
        <v>2</v>
      </c>
      <c r="G115" s="34" t="s">
        <v>286</v>
      </c>
      <c r="H115" s="34" t="s">
        <v>106</v>
      </c>
      <c r="I115" s="34" t="s">
        <v>273</v>
      </c>
      <c r="J115" s="34">
        <v>1019</v>
      </c>
      <c r="K115" s="34">
        <v>4500</v>
      </c>
      <c r="L115" s="34">
        <v>9000</v>
      </c>
      <c r="Q115" s="110">
        <v>0</v>
      </c>
      <c r="V115" s="34">
        <v>0</v>
      </c>
    </row>
    <row r="116" spans="1:50">
      <c r="A116" s="34" t="s">
        <v>271</v>
      </c>
      <c r="B116" s="34">
        <v>15</v>
      </c>
      <c r="C116" s="34">
        <v>3</v>
      </c>
      <c r="E116" s="34">
        <v>10</v>
      </c>
      <c r="F116" s="34">
        <v>2</v>
      </c>
      <c r="G116" s="34" t="s">
        <v>287</v>
      </c>
      <c r="H116" s="34" t="s">
        <v>106</v>
      </c>
      <c r="I116" s="34" t="s">
        <v>273</v>
      </c>
      <c r="J116" s="34">
        <v>1019</v>
      </c>
      <c r="K116" s="34">
        <v>5000</v>
      </c>
      <c r="L116" s="34">
        <v>10000</v>
      </c>
      <c r="Q116" s="110">
        <v>0</v>
      </c>
      <c r="V116" s="34">
        <v>0</v>
      </c>
    </row>
    <row r="117" spans="1:50">
      <c r="A117" s="34" t="s">
        <v>271</v>
      </c>
      <c r="B117" s="34">
        <v>16</v>
      </c>
      <c r="C117" s="34">
        <v>3</v>
      </c>
      <c r="E117" s="34">
        <v>10</v>
      </c>
      <c r="F117" s="34">
        <v>2</v>
      </c>
      <c r="G117" s="34" t="s">
        <v>288</v>
      </c>
      <c r="H117" s="34" t="s">
        <v>106</v>
      </c>
      <c r="I117" s="34" t="s">
        <v>273</v>
      </c>
      <c r="J117" s="34">
        <v>1019</v>
      </c>
      <c r="K117" s="34">
        <v>5600</v>
      </c>
      <c r="L117" s="34">
        <v>11200</v>
      </c>
      <c r="Q117" s="110">
        <v>0</v>
      </c>
      <c r="V117" s="34">
        <v>0</v>
      </c>
    </row>
    <row r="118" spans="1:50">
      <c r="A118" s="34" t="s">
        <v>271</v>
      </c>
      <c r="B118" s="34">
        <v>17</v>
      </c>
      <c r="C118" s="34">
        <v>3</v>
      </c>
      <c r="E118" s="34">
        <v>10</v>
      </c>
      <c r="F118" s="34">
        <v>2</v>
      </c>
      <c r="G118" s="34" t="s">
        <v>289</v>
      </c>
      <c r="H118" s="34" t="s">
        <v>106</v>
      </c>
      <c r="I118" s="34" t="s">
        <v>273</v>
      </c>
      <c r="J118" s="34">
        <v>1019</v>
      </c>
      <c r="K118" s="34">
        <v>6200</v>
      </c>
      <c r="L118" s="34">
        <v>12400</v>
      </c>
      <c r="Q118" s="110">
        <v>0</v>
      </c>
      <c r="V118" s="34">
        <v>0</v>
      </c>
    </row>
    <row r="119" spans="1:50">
      <c r="A119" s="34" t="s">
        <v>271</v>
      </c>
      <c r="B119" s="34">
        <v>18</v>
      </c>
      <c r="C119" s="34">
        <v>3</v>
      </c>
      <c r="E119" s="34">
        <v>10</v>
      </c>
      <c r="F119" s="34">
        <v>2</v>
      </c>
      <c r="G119" s="34" t="s">
        <v>290</v>
      </c>
      <c r="H119" s="34" t="s">
        <v>106</v>
      </c>
      <c r="I119" s="34" t="s">
        <v>273</v>
      </c>
      <c r="J119" s="34">
        <v>1019</v>
      </c>
      <c r="K119" s="34">
        <v>6800</v>
      </c>
      <c r="L119" s="34">
        <v>13600</v>
      </c>
      <c r="Q119" s="110">
        <v>0</v>
      </c>
      <c r="V119" s="34">
        <v>0</v>
      </c>
    </row>
    <row r="120" spans="1:50">
      <c r="A120" s="34" t="s">
        <v>271</v>
      </c>
      <c r="B120" s="34">
        <v>19</v>
      </c>
      <c r="C120" s="34">
        <v>3</v>
      </c>
      <c r="E120" s="34">
        <v>10</v>
      </c>
      <c r="F120" s="34">
        <v>2</v>
      </c>
      <c r="G120" s="34" t="s">
        <v>291</v>
      </c>
      <c r="H120" s="34" t="s">
        <v>106</v>
      </c>
      <c r="I120" s="34" t="s">
        <v>273</v>
      </c>
      <c r="J120" s="34">
        <v>1019</v>
      </c>
      <c r="K120" s="34">
        <v>7400</v>
      </c>
      <c r="L120" s="34">
        <v>14800</v>
      </c>
      <c r="Q120" s="110">
        <v>0</v>
      </c>
      <c r="V120" s="34">
        <v>0</v>
      </c>
    </row>
    <row r="121" spans="1:50">
      <c r="A121" s="34" t="s">
        <v>271</v>
      </c>
      <c r="B121" s="34">
        <v>20</v>
      </c>
      <c r="C121" s="34">
        <v>3</v>
      </c>
      <c r="E121" s="34">
        <v>10</v>
      </c>
      <c r="F121" s="34">
        <v>2</v>
      </c>
      <c r="G121" s="34" t="s">
        <v>292</v>
      </c>
      <c r="H121" s="34" t="s">
        <v>106</v>
      </c>
      <c r="I121" s="34" t="s">
        <v>273</v>
      </c>
      <c r="J121" s="34">
        <v>1019</v>
      </c>
      <c r="K121" s="34">
        <v>8000</v>
      </c>
      <c r="L121" s="34">
        <v>16000</v>
      </c>
      <c r="Q121" s="110">
        <v>0</v>
      </c>
      <c r="V121" s="34">
        <v>0</v>
      </c>
    </row>
    <row r="122" spans="1:50">
      <c r="A122" s="34" t="s">
        <v>293</v>
      </c>
      <c r="B122" s="34">
        <v>1</v>
      </c>
      <c r="G122" s="34" t="s">
        <v>294</v>
      </c>
      <c r="H122" s="34" t="s">
        <v>114</v>
      </c>
      <c r="I122" s="34" t="s">
        <v>295</v>
      </c>
      <c r="J122" s="34">
        <v>3000</v>
      </c>
      <c r="K122" s="34">
        <v>0.01</v>
      </c>
      <c r="L122" s="34">
        <v>0.01</v>
      </c>
      <c r="M122" s="110" t="s">
        <v>150</v>
      </c>
      <c r="N122" s="110" t="s">
        <v>296</v>
      </c>
      <c r="O122" s="110">
        <v>3013</v>
      </c>
      <c r="P122" s="110">
        <v>100</v>
      </c>
      <c r="Q122" s="110">
        <v>100</v>
      </c>
      <c r="V122" s="34">
        <v>0</v>
      </c>
      <c r="AQ122" t="s">
        <v>82</v>
      </c>
      <c r="AR122" t="s">
        <v>297</v>
      </c>
      <c r="AS122" t="s">
        <v>113</v>
      </c>
      <c r="AT122" t="s">
        <v>114</v>
      </c>
      <c r="AU122">
        <v>7</v>
      </c>
      <c r="AV122" t="s">
        <v>149</v>
      </c>
      <c r="AW122" t="s">
        <v>150</v>
      </c>
      <c r="AX122">
        <v>22</v>
      </c>
    </row>
    <row r="123" spans="1:50">
      <c r="A123" s="34" t="s">
        <v>293</v>
      </c>
      <c r="B123" s="34">
        <v>2</v>
      </c>
      <c r="G123" s="34" t="s">
        <v>298</v>
      </c>
      <c r="H123" s="34" t="s">
        <v>114</v>
      </c>
      <c r="I123" s="34" t="s">
        <v>295</v>
      </c>
      <c r="J123" s="34">
        <v>3000</v>
      </c>
      <c r="K123" s="34">
        <v>0.02</v>
      </c>
      <c r="L123" s="34">
        <v>0.02</v>
      </c>
      <c r="M123" s="110" t="s">
        <v>150</v>
      </c>
      <c r="N123" s="110" t="s">
        <v>296</v>
      </c>
      <c r="O123" s="110">
        <v>3013</v>
      </c>
      <c r="P123" s="110">
        <v>200</v>
      </c>
      <c r="Q123" s="110">
        <v>200</v>
      </c>
      <c r="V123" s="34">
        <v>0</v>
      </c>
    </row>
    <row r="124" spans="1:50">
      <c r="A124" s="34" t="s">
        <v>293</v>
      </c>
      <c r="B124" s="34">
        <v>3</v>
      </c>
      <c r="G124" s="34" t="s">
        <v>299</v>
      </c>
      <c r="H124" s="34" t="s">
        <v>114</v>
      </c>
      <c r="I124" s="34" t="s">
        <v>295</v>
      </c>
      <c r="J124" s="34">
        <v>3000</v>
      </c>
      <c r="K124" s="34">
        <v>0.03</v>
      </c>
      <c r="L124" s="34">
        <v>0.03</v>
      </c>
      <c r="M124" s="110" t="s">
        <v>150</v>
      </c>
      <c r="N124" s="110" t="s">
        <v>296</v>
      </c>
      <c r="O124" s="110">
        <v>3013</v>
      </c>
      <c r="P124" s="110">
        <v>400</v>
      </c>
      <c r="Q124" s="110">
        <v>400</v>
      </c>
      <c r="V124" s="34">
        <v>0</v>
      </c>
    </row>
    <row r="125" spans="1:50">
      <c r="A125" s="34" t="s">
        <v>293</v>
      </c>
      <c r="B125" s="34">
        <v>4</v>
      </c>
      <c r="G125" s="34" t="s">
        <v>300</v>
      </c>
      <c r="H125" s="34" t="s">
        <v>114</v>
      </c>
      <c r="I125" s="34" t="s">
        <v>295</v>
      </c>
      <c r="J125" s="34">
        <v>3000</v>
      </c>
      <c r="K125" s="34">
        <v>0.04</v>
      </c>
      <c r="L125" s="34">
        <v>0.04</v>
      </c>
      <c r="M125" s="110" t="s">
        <v>150</v>
      </c>
      <c r="N125" s="110" t="s">
        <v>296</v>
      </c>
      <c r="O125" s="110">
        <v>3013</v>
      </c>
      <c r="P125" s="110">
        <v>700</v>
      </c>
      <c r="Q125" s="110">
        <v>700</v>
      </c>
      <c r="V125" s="34">
        <v>0</v>
      </c>
    </row>
    <row r="126" spans="1:50">
      <c r="A126" s="34" t="s">
        <v>293</v>
      </c>
      <c r="B126" s="34">
        <v>5</v>
      </c>
      <c r="G126" s="34" t="s">
        <v>301</v>
      </c>
      <c r="H126" s="34" t="s">
        <v>114</v>
      </c>
      <c r="I126" s="34" t="s">
        <v>295</v>
      </c>
      <c r="J126" s="34">
        <v>3000</v>
      </c>
      <c r="K126" s="34">
        <v>0.05</v>
      </c>
      <c r="L126" s="34">
        <v>0.05</v>
      </c>
      <c r="M126" s="110" t="s">
        <v>150</v>
      </c>
      <c r="N126" s="110" t="s">
        <v>296</v>
      </c>
      <c r="O126" s="110">
        <v>3013</v>
      </c>
      <c r="P126" s="110">
        <v>1100</v>
      </c>
      <c r="Q126" s="110">
        <v>1100</v>
      </c>
      <c r="V126" s="34">
        <v>0</v>
      </c>
    </row>
    <row r="127" spans="1:50">
      <c r="A127" s="34" t="s">
        <v>293</v>
      </c>
      <c r="B127" s="34">
        <v>6</v>
      </c>
      <c r="G127" s="34" t="s">
        <v>302</v>
      </c>
      <c r="H127" s="34" t="s">
        <v>114</v>
      </c>
      <c r="I127" s="34" t="s">
        <v>295</v>
      </c>
      <c r="J127" s="34">
        <v>3000</v>
      </c>
      <c r="K127" s="34">
        <v>0.06</v>
      </c>
      <c r="L127" s="34">
        <v>0.06</v>
      </c>
      <c r="M127" s="110" t="s">
        <v>150</v>
      </c>
      <c r="N127" s="110" t="s">
        <v>296</v>
      </c>
      <c r="O127" s="110">
        <v>3013</v>
      </c>
      <c r="P127" s="110">
        <v>1700</v>
      </c>
      <c r="Q127" s="110">
        <v>1700</v>
      </c>
      <c r="V127" s="34">
        <v>0</v>
      </c>
    </row>
    <row r="128" spans="1:50">
      <c r="A128" s="34" t="s">
        <v>293</v>
      </c>
      <c r="B128" s="34">
        <v>7</v>
      </c>
      <c r="G128" s="34" t="s">
        <v>303</v>
      </c>
      <c r="H128" s="34" t="s">
        <v>114</v>
      </c>
      <c r="I128" s="34" t="s">
        <v>295</v>
      </c>
      <c r="J128" s="34">
        <v>3000</v>
      </c>
      <c r="K128" s="34">
        <v>7.0000000000000007E-2</v>
      </c>
      <c r="L128" s="34">
        <v>7.0000000000000007E-2</v>
      </c>
      <c r="M128" s="110" t="s">
        <v>150</v>
      </c>
      <c r="N128" s="110" t="s">
        <v>296</v>
      </c>
      <c r="O128" s="110">
        <v>3013</v>
      </c>
      <c r="P128" s="110">
        <v>2300</v>
      </c>
      <c r="Q128" s="110">
        <v>2300</v>
      </c>
      <c r="V128" s="34">
        <v>0</v>
      </c>
    </row>
    <row r="129" spans="1:50">
      <c r="A129" s="34" t="s">
        <v>293</v>
      </c>
      <c r="B129" s="34">
        <v>8</v>
      </c>
      <c r="G129" s="34" t="s">
        <v>304</v>
      </c>
      <c r="H129" s="34" t="s">
        <v>114</v>
      </c>
      <c r="I129" s="34" t="s">
        <v>295</v>
      </c>
      <c r="J129" s="34">
        <v>3000</v>
      </c>
      <c r="K129" s="34">
        <v>0.08</v>
      </c>
      <c r="L129" s="34">
        <v>0.08</v>
      </c>
      <c r="M129" s="110" t="s">
        <v>150</v>
      </c>
      <c r="N129" s="110" t="s">
        <v>296</v>
      </c>
      <c r="O129" s="110">
        <v>3013</v>
      </c>
      <c r="P129" s="110">
        <v>2900</v>
      </c>
      <c r="Q129" s="110">
        <v>2900</v>
      </c>
      <c r="V129" s="34">
        <v>0</v>
      </c>
    </row>
    <row r="130" spans="1:50">
      <c r="A130" s="34" t="s">
        <v>293</v>
      </c>
      <c r="B130" s="34">
        <v>9</v>
      </c>
      <c r="G130" s="34" t="s">
        <v>305</v>
      </c>
      <c r="H130" s="34" t="s">
        <v>114</v>
      </c>
      <c r="I130" s="34" t="s">
        <v>295</v>
      </c>
      <c r="J130" s="34">
        <v>3000</v>
      </c>
      <c r="K130" s="34">
        <v>0.09</v>
      </c>
      <c r="L130" s="34">
        <v>0.09</v>
      </c>
      <c r="M130" s="110" t="s">
        <v>150</v>
      </c>
      <c r="N130" s="110" t="s">
        <v>296</v>
      </c>
      <c r="O130" s="110">
        <v>3013</v>
      </c>
      <c r="P130" s="110">
        <v>3500</v>
      </c>
      <c r="Q130" s="110">
        <v>3500</v>
      </c>
      <c r="V130" s="34">
        <v>0</v>
      </c>
    </row>
    <row r="131" spans="1:50">
      <c r="A131" s="34" t="s">
        <v>293</v>
      </c>
      <c r="B131" s="34">
        <v>10</v>
      </c>
      <c r="G131" s="34" t="s">
        <v>306</v>
      </c>
      <c r="H131" s="34" t="s">
        <v>114</v>
      </c>
      <c r="I131" s="34" t="s">
        <v>295</v>
      </c>
      <c r="J131" s="34">
        <v>3000</v>
      </c>
      <c r="K131" s="34">
        <v>0.1</v>
      </c>
      <c r="L131" s="34">
        <v>0.1</v>
      </c>
      <c r="M131" s="110" t="s">
        <v>150</v>
      </c>
      <c r="N131" s="110" t="s">
        <v>296</v>
      </c>
      <c r="O131" s="110">
        <v>3013</v>
      </c>
      <c r="P131" s="110">
        <v>4100</v>
      </c>
      <c r="Q131" s="110">
        <v>4100</v>
      </c>
      <c r="V131" s="34">
        <v>0</v>
      </c>
    </row>
    <row r="132" spans="1:50">
      <c r="A132" s="34" t="s">
        <v>293</v>
      </c>
      <c r="B132" s="34">
        <v>11</v>
      </c>
      <c r="G132" s="34" t="s">
        <v>307</v>
      </c>
      <c r="H132" s="34" t="s">
        <v>114</v>
      </c>
      <c r="I132" s="34" t="s">
        <v>295</v>
      </c>
      <c r="J132" s="34">
        <v>3000</v>
      </c>
      <c r="K132" s="34">
        <v>0.11</v>
      </c>
      <c r="L132" s="34">
        <v>0.11</v>
      </c>
      <c r="M132" s="110" t="s">
        <v>150</v>
      </c>
      <c r="N132" s="110" t="s">
        <v>296</v>
      </c>
      <c r="O132" s="110">
        <v>3013</v>
      </c>
      <c r="P132" s="110">
        <v>5000</v>
      </c>
      <c r="Q132" s="110">
        <v>5000</v>
      </c>
      <c r="V132" s="34">
        <v>0</v>
      </c>
    </row>
    <row r="133" spans="1:50">
      <c r="A133" s="34" t="s">
        <v>293</v>
      </c>
      <c r="B133" s="34">
        <v>12</v>
      </c>
      <c r="G133" s="34" t="s">
        <v>308</v>
      </c>
      <c r="H133" s="34" t="s">
        <v>114</v>
      </c>
      <c r="I133" s="34" t="s">
        <v>295</v>
      </c>
      <c r="J133" s="34">
        <v>3000</v>
      </c>
      <c r="K133" s="34">
        <v>0.12</v>
      </c>
      <c r="L133" s="34">
        <v>0.12</v>
      </c>
      <c r="M133" s="110" t="s">
        <v>150</v>
      </c>
      <c r="N133" s="110" t="s">
        <v>296</v>
      </c>
      <c r="O133" s="110">
        <v>3013</v>
      </c>
      <c r="P133" s="110">
        <v>5900</v>
      </c>
      <c r="Q133" s="110">
        <v>5900</v>
      </c>
      <c r="V133" s="34">
        <v>0</v>
      </c>
    </row>
    <row r="134" spans="1:50">
      <c r="A134" s="34" t="s">
        <v>293</v>
      </c>
      <c r="B134" s="34">
        <v>13</v>
      </c>
      <c r="G134" s="34" t="s">
        <v>309</v>
      </c>
      <c r="H134" s="34" t="s">
        <v>114</v>
      </c>
      <c r="I134" s="34" t="s">
        <v>295</v>
      </c>
      <c r="J134" s="34">
        <v>3000</v>
      </c>
      <c r="K134" s="34">
        <v>0.13</v>
      </c>
      <c r="L134" s="34">
        <v>0.13</v>
      </c>
      <c r="M134" s="110" t="s">
        <v>150</v>
      </c>
      <c r="N134" s="110" t="s">
        <v>296</v>
      </c>
      <c r="O134" s="110">
        <v>3013</v>
      </c>
      <c r="P134" s="110">
        <v>6800</v>
      </c>
      <c r="Q134" s="110">
        <v>6800</v>
      </c>
      <c r="V134" s="34">
        <v>0</v>
      </c>
    </row>
    <row r="135" spans="1:50">
      <c r="A135" s="34" t="s">
        <v>293</v>
      </c>
      <c r="B135" s="34">
        <v>14</v>
      </c>
      <c r="G135" s="34" t="s">
        <v>310</v>
      </c>
      <c r="H135" s="34" t="s">
        <v>114</v>
      </c>
      <c r="I135" s="34" t="s">
        <v>295</v>
      </c>
      <c r="J135" s="34">
        <v>3000</v>
      </c>
      <c r="K135" s="34">
        <v>0.14000000000000001</v>
      </c>
      <c r="L135" s="34">
        <v>0.14000000000000001</v>
      </c>
      <c r="M135" s="110" t="s">
        <v>150</v>
      </c>
      <c r="N135" s="110" t="s">
        <v>296</v>
      </c>
      <c r="O135" s="110">
        <v>3013</v>
      </c>
      <c r="P135" s="110">
        <v>7700</v>
      </c>
      <c r="Q135" s="110">
        <v>7700</v>
      </c>
      <c r="V135" s="34">
        <v>0</v>
      </c>
    </row>
    <row r="136" spans="1:50">
      <c r="A136" s="34" t="s">
        <v>293</v>
      </c>
      <c r="B136" s="34">
        <v>15</v>
      </c>
      <c r="G136" s="34" t="s">
        <v>311</v>
      </c>
      <c r="H136" s="34" t="s">
        <v>114</v>
      </c>
      <c r="I136" s="34" t="s">
        <v>295</v>
      </c>
      <c r="J136" s="34">
        <v>3000</v>
      </c>
      <c r="K136" s="34">
        <v>0.15</v>
      </c>
      <c r="L136" s="34">
        <v>0.15</v>
      </c>
      <c r="M136" s="110" t="s">
        <v>150</v>
      </c>
      <c r="N136" s="110" t="s">
        <v>296</v>
      </c>
      <c r="O136" s="110">
        <v>3013</v>
      </c>
      <c r="P136" s="110">
        <v>8600</v>
      </c>
      <c r="Q136" s="110">
        <v>8600</v>
      </c>
      <c r="V136" s="34">
        <v>0</v>
      </c>
    </row>
    <row r="137" spans="1:50">
      <c r="A137" s="34" t="s">
        <v>293</v>
      </c>
      <c r="B137" s="34">
        <v>16</v>
      </c>
      <c r="G137" s="34" t="s">
        <v>312</v>
      </c>
      <c r="H137" s="34" t="s">
        <v>114</v>
      </c>
      <c r="I137" s="34" t="s">
        <v>295</v>
      </c>
      <c r="J137" s="34">
        <v>3000</v>
      </c>
      <c r="K137" s="34">
        <v>0.16</v>
      </c>
      <c r="L137" s="34">
        <v>0.16</v>
      </c>
      <c r="M137" s="110" t="s">
        <v>150</v>
      </c>
      <c r="N137" s="110" t="s">
        <v>296</v>
      </c>
      <c r="O137" s="110">
        <v>3013</v>
      </c>
      <c r="P137" s="110">
        <v>9800</v>
      </c>
      <c r="Q137" s="110">
        <v>9800</v>
      </c>
      <c r="R137" s="34" t="s">
        <v>313</v>
      </c>
      <c r="S137" s="34" t="s">
        <v>314</v>
      </c>
      <c r="T137" s="34">
        <v>6031</v>
      </c>
      <c r="U137" s="34">
        <v>0.04</v>
      </c>
      <c r="V137" s="34">
        <v>0.04</v>
      </c>
    </row>
    <row r="138" spans="1:50">
      <c r="A138" s="34" t="s">
        <v>293</v>
      </c>
      <c r="B138" s="34">
        <v>17</v>
      </c>
      <c r="G138" s="34" t="s">
        <v>315</v>
      </c>
      <c r="H138" s="34" t="s">
        <v>114</v>
      </c>
      <c r="I138" s="34" t="s">
        <v>295</v>
      </c>
      <c r="J138" s="34">
        <v>3000</v>
      </c>
      <c r="K138" s="34">
        <v>0.17</v>
      </c>
      <c r="L138" s="34">
        <v>0.17</v>
      </c>
      <c r="M138" s="110" t="s">
        <v>150</v>
      </c>
      <c r="N138" s="110" t="s">
        <v>296</v>
      </c>
      <c r="O138" s="110">
        <v>3013</v>
      </c>
      <c r="P138" s="110">
        <v>11000</v>
      </c>
      <c r="Q138" s="110">
        <v>11000</v>
      </c>
      <c r="R138" s="34" t="s">
        <v>313</v>
      </c>
      <c r="S138" s="34" t="s">
        <v>314</v>
      </c>
      <c r="T138" s="34">
        <v>6031</v>
      </c>
      <c r="U138" s="34">
        <v>0.1</v>
      </c>
      <c r="V138" s="34">
        <v>0.1</v>
      </c>
    </row>
    <row r="139" spans="1:50">
      <c r="A139" s="34" t="s">
        <v>293</v>
      </c>
      <c r="B139" s="34">
        <v>18</v>
      </c>
      <c r="G139" s="34" t="s">
        <v>316</v>
      </c>
      <c r="H139" s="34" t="s">
        <v>114</v>
      </c>
      <c r="I139" s="34" t="s">
        <v>295</v>
      </c>
      <c r="J139" s="34">
        <v>3000</v>
      </c>
      <c r="K139" s="34">
        <v>0.18</v>
      </c>
      <c r="L139" s="34">
        <v>0.18</v>
      </c>
      <c r="M139" s="110" t="s">
        <v>150</v>
      </c>
      <c r="N139" s="110" t="s">
        <v>296</v>
      </c>
      <c r="O139" s="110">
        <v>3013</v>
      </c>
      <c r="P139" s="110">
        <v>12200</v>
      </c>
      <c r="Q139" s="110">
        <v>12200</v>
      </c>
      <c r="R139" s="34" t="s">
        <v>313</v>
      </c>
      <c r="S139" s="34" t="s">
        <v>314</v>
      </c>
      <c r="T139" s="34">
        <v>6031</v>
      </c>
      <c r="U139" s="34">
        <v>0.18</v>
      </c>
      <c r="V139" s="34">
        <v>0.18</v>
      </c>
    </row>
    <row r="140" spans="1:50">
      <c r="A140" s="34" t="s">
        <v>293</v>
      </c>
      <c r="B140" s="34">
        <v>19</v>
      </c>
      <c r="G140" s="34" t="s">
        <v>317</v>
      </c>
      <c r="H140" s="34" t="s">
        <v>114</v>
      </c>
      <c r="I140" s="34" t="s">
        <v>295</v>
      </c>
      <c r="J140" s="34">
        <v>3000</v>
      </c>
      <c r="K140" s="34">
        <v>0.19</v>
      </c>
      <c r="L140" s="34">
        <v>0.19</v>
      </c>
      <c r="M140" s="110" t="s">
        <v>150</v>
      </c>
      <c r="N140" s="110" t="s">
        <v>296</v>
      </c>
      <c r="O140" s="110">
        <v>3013</v>
      </c>
      <c r="P140" s="110">
        <v>13400</v>
      </c>
      <c r="Q140" s="110">
        <v>13400</v>
      </c>
      <c r="R140" s="34" t="s">
        <v>313</v>
      </c>
      <c r="S140" s="34" t="s">
        <v>314</v>
      </c>
      <c r="T140" s="34">
        <v>6031</v>
      </c>
      <c r="U140" s="34">
        <v>0.28000000000000003</v>
      </c>
      <c r="V140" s="34">
        <v>0.28000000000000003</v>
      </c>
    </row>
    <row r="141" spans="1:50">
      <c r="A141" s="34" t="s">
        <v>293</v>
      </c>
      <c r="B141" s="34">
        <v>20</v>
      </c>
      <c r="G141" s="34" t="s">
        <v>318</v>
      </c>
      <c r="H141" s="34" t="s">
        <v>114</v>
      </c>
      <c r="I141" s="34" t="s">
        <v>295</v>
      </c>
      <c r="J141" s="34">
        <v>3000</v>
      </c>
      <c r="K141" s="34">
        <v>0.2</v>
      </c>
      <c r="L141" s="34">
        <v>0.2</v>
      </c>
      <c r="M141" s="110" t="s">
        <v>150</v>
      </c>
      <c r="N141" s="110" t="s">
        <v>296</v>
      </c>
      <c r="O141" s="110">
        <v>3013</v>
      </c>
      <c r="P141" s="110">
        <v>14600</v>
      </c>
      <c r="Q141" s="110">
        <v>14600</v>
      </c>
      <c r="R141" s="34" t="s">
        <v>313</v>
      </c>
      <c r="S141" s="34" t="s">
        <v>314</v>
      </c>
      <c r="T141" s="34">
        <v>6031</v>
      </c>
      <c r="U141" s="34">
        <v>0.4</v>
      </c>
      <c r="V141" s="34">
        <v>0.4</v>
      </c>
    </row>
    <row r="142" spans="1:50">
      <c r="A142" s="34" t="s">
        <v>319</v>
      </c>
      <c r="B142" s="34">
        <v>1</v>
      </c>
      <c r="G142" s="34" t="s">
        <v>320</v>
      </c>
      <c r="H142" s="34" t="s">
        <v>114</v>
      </c>
      <c r="I142" s="34" t="s">
        <v>295</v>
      </c>
      <c r="J142" s="34">
        <v>3000</v>
      </c>
      <c r="K142" s="34">
        <v>0.01</v>
      </c>
      <c r="L142" s="34">
        <v>0.01</v>
      </c>
      <c r="M142" s="110" t="s">
        <v>153</v>
      </c>
      <c r="N142" s="110" t="s">
        <v>321</v>
      </c>
      <c r="O142" s="110">
        <v>3016</v>
      </c>
      <c r="P142" s="110">
        <v>100</v>
      </c>
      <c r="Q142" s="110">
        <v>100</v>
      </c>
      <c r="V142" s="34">
        <v>0</v>
      </c>
      <c r="AQ142" t="s">
        <v>82</v>
      </c>
      <c r="AR142" t="s">
        <v>322</v>
      </c>
      <c r="AS142" t="s">
        <v>113</v>
      </c>
      <c r="AT142" t="s">
        <v>114</v>
      </c>
      <c r="AU142">
        <v>8</v>
      </c>
      <c r="AV142" t="s">
        <v>152</v>
      </c>
      <c r="AW142" t="s">
        <v>153</v>
      </c>
      <c r="AX142">
        <v>23</v>
      </c>
    </row>
    <row r="143" spans="1:50">
      <c r="A143" s="34" t="s">
        <v>319</v>
      </c>
      <c r="B143" s="34">
        <v>2</v>
      </c>
      <c r="G143" s="34" t="s">
        <v>323</v>
      </c>
      <c r="H143" s="34" t="s">
        <v>114</v>
      </c>
      <c r="I143" s="34" t="s">
        <v>295</v>
      </c>
      <c r="J143" s="34">
        <v>3000</v>
      </c>
      <c r="K143" s="34">
        <v>0.02</v>
      </c>
      <c r="L143" s="34">
        <v>0.02</v>
      </c>
      <c r="M143" s="110" t="s">
        <v>153</v>
      </c>
      <c r="N143" s="110" t="s">
        <v>321</v>
      </c>
      <c r="O143" s="110">
        <v>3016</v>
      </c>
      <c r="P143" s="110">
        <v>200</v>
      </c>
      <c r="Q143" s="110">
        <v>200</v>
      </c>
      <c r="V143" s="34">
        <v>0</v>
      </c>
    </row>
    <row r="144" spans="1:50">
      <c r="A144" s="34" t="s">
        <v>319</v>
      </c>
      <c r="B144" s="34">
        <v>3</v>
      </c>
      <c r="G144" s="34" t="s">
        <v>324</v>
      </c>
      <c r="H144" s="34" t="s">
        <v>114</v>
      </c>
      <c r="I144" s="34" t="s">
        <v>295</v>
      </c>
      <c r="J144" s="34">
        <v>3000</v>
      </c>
      <c r="K144" s="34">
        <v>0.03</v>
      </c>
      <c r="L144" s="34">
        <v>0.03</v>
      </c>
      <c r="M144" s="110" t="s">
        <v>153</v>
      </c>
      <c r="N144" s="110" t="s">
        <v>321</v>
      </c>
      <c r="O144" s="110">
        <v>3016</v>
      </c>
      <c r="P144" s="110">
        <v>400</v>
      </c>
      <c r="Q144" s="110">
        <v>400</v>
      </c>
      <c r="V144" s="34">
        <v>0</v>
      </c>
    </row>
    <row r="145" spans="1:22">
      <c r="A145" s="34" t="s">
        <v>319</v>
      </c>
      <c r="B145" s="34">
        <v>4</v>
      </c>
      <c r="G145" s="34" t="s">
        <v>325</v>
      </c>
      <c r="H145" s="34" t="s">
        <v>114</v>
      </c>
      <c r="I145" s="34" t="s">
        <v>295</v>
      </c>
      <c r="J145" s="34">
        <v>3000</v>
      </c>
      <c r="K145" s="34">
        <v>0.04</v>
      </c>
      <c r="L145" s="34">
        <v>0.04</v>
      </c>
      <c r="M145" s="110" t="s">
        <v>153</v>
      </c>
      <c r="N145" s="110" t="s">
        <v>321</v>
      </c>
      <c r="O145" s="110">
        <v>3016</v>
      </c>
      <c r="P145" s="110">
        <v>700</v>
      </c>
      <c r="Q145" s="110">
        <v>700</v>
      </c>
      <c r="V145" s="34">
        <v>0</v>
      </c>
    </row>
    <row r="146" spans="1:22">
      <c r="A146" s="34" t="s">
        <v>319</v>
      </c>
      <c r="B146" s="34">
        <v>5</v>
      </c>
      <c r="G146" s="34" t="s">
        <v>326</v>
      </c>
      <c r="H146" s="34" t="s">
        <v>114</v>
      </c>
      <c r="I146" s="34" t="s">
        <v>295</v>
      </c>
      <c r="J146" s="34">
        <v>3000</v>
      </c>
      <c r="K146" s="34">
        <v>0.05</v>
      </c>
      <c r="L146" s="34">
        <v>0.05</v>
      </c>
      <c r="M146" s="110" t="s">
        <v>153</v>
      </c>
      <c r="N146" s="110" t="s">
        <v>321</v>
      </c>
      <c r="O146" s="110">
        <v>3016</v>
      </c>
      <c r="P146" s="110">
        <v>1100</v>
      </c>
      <c r="Q146" s="110">
        <v>1100</v>
      </c>
      <c r="V146" s="34">
        <v>0</v>
      </c>
    </row>
    <row r="147" spans="1:22">
      <c r="A147" s="34" t="s">
        <v>319</v>
      </c>
      <c r="B147" s="34">
        <v>6</v>
      </c>
      <c r="G147" s="34" t="s">
        <v>327</v>
      </c>
      <c r="H147" s="34" t="s">
        <v>114</v>
      </c>
      <c r="I147" s="34" t="s">
        <v>295</v>
      </c>
      <c r="J147" s="34">
        <v>3000</v>
      </c>
      <c r="K147" s="34">
        <v>0.06</v>
      </c>
      <c r="L147" s="34">
        <v>0.06</v>
      </c>
      <c r="M147" s="110" t="s">
        <v>153</v>
      </c>
      <c r="N147" s="110" t="s">
        <v>321</v>
      </c>
      <c r="O147" s="110">
        <v>3016</v>
      </c>
      <c r="P147" s="110">
        <v>1700</v>
      </c>
      <c r="Q147" s="110">
        <v>1700</v>
      </c>
      <c r="V147" s="34">
        <v>0</v>
      </c>
    </row>
    <row r="148" spans="1:22">
      <c r="A148" s="34" t="s">
        <v>319</v>
      </c>
      <c r="B148" s="34">
        <v>7</v>
      </c>
      <c r="G148" s="34" t="s">
        <v>328</v>
      </c>
      <c r="H148" s="34" t="s">
        <v>114</v>
      </c>
      <c r="I148" s="34" t="s">
        <v>295</v>
      </c>
      <c r="J148" s="34">
        <v>3000</v>
      </c>
      <c r="K148" s="34">
        <v>7.0000000000000007E-2</v>
      </c>
      <c r="L148" s="34">
        <v>7.0000000000000007E-2</v>
      </c>
      <c r="M148" s="110" t="s">
        <v>153</v>
      </c>
      <c r="N148" s="110" t="s">
        <v>321</v>
      </c>
      <c r="O148" s="110">
        <v>3016</v>
      </c>
      <c r="P148" s="110">
        <v>2300</v>
      </c>
      <c r="Q148" s="110">
        <v>2300</v>
      </c>
      <c r="V148" s="34">
        <v>0</v>
      </c>
    </row>
    <row r="149" spans="1:22">
      <c r="A149" s="34" t="s">
        <v>319</v>
      </c>
      <c r="B149" s="34">
        <v>8</v>
      </c>
      <c r="G149" s="34" t="s">
        <v>329</v>
      </c>
      <c r="H149" s="34" t="s">
        <v>114</v>
      </c>
      <c r="I149" s="34" t="s">
        <v>295</v>
      </c>
      <c r="J149" s="34">
        <v>3000</v>
      </c>
      <c r="K149" s="34">
        <v>0.08</v>
      </c>
      <c r="L149" s="34">
        <v>0.08</v>
      </c>
      <c r="M149" s="110" t="s">
        <v>153</v>
      </c>
      <c r="N149" s="110" t="s">
        <v>321</v>
      </c>
      <c r="O149" s="110">
        <v>3016</v>
      </c>
      <c r="P149" s="110">
        <v>2900</v>
      </c>
      <c r="Q149" s="110">
        <v>2900</v>
      </c>
      <c r="V149" s="34">
        <v>0</v>
      </c>
    </row>
    <row r="150" spans="1:22">
      <c r="A150" s="34" t="s">
        <v>319</v>
      </c>
      <c r="B150" s="34">
        <v>9</v>
      </c>
      <c r="G150" s="34" t="s">
        <v>330</v>
      </c>
      <c r="H150" s="34" t="s">
        <v>114</v>
      </c>
      <c r="I150" s="34" t="s">
        <v>295</v>
      </c>
      <c r="J150" s="34">
        <v>3000</v>
      </c>
      <c r="K150" s="34">
        <v>0.09</v>
      </c>
      <c r="L150" s="34">
        <v>0.09</v>
      </c>
      <c r="M150" s="110" t="s">
        <v>153</v>
      </c>
      <c r="N150" s="110" t="s">
        <v>321</v>
      </c>
      <c r="O150" s="110">
        <v>3016</v>
      </c>
      <c r="P150" s="110">
        <v>3500</v>
      </c>
      <c r="Q150" s="110">
        <v>3500</v>
      </c>
      <c r="V150" s="34">
        <v>0</v>
      </c>
    </row>
    <row r="151" spans="1:22">
      <c r="A151" s="34" t="s">
        <v>319</v>
      </c>
      <c r="B151" s="34">
        <v>10</v>
      </c>
      <c r="G151" s="34" t="s">
        <v>331</v>
      </c>
      <c r="H151" s="34" t="s">
        <v>114</v>
      </c>
      <c r="I151" s="34" t="s">
        <v>295</v>
      </c>
      <c r="J151" s="34">
        <v>3000</v>
      </c>
      <c r="K151" s="34">
        <v>0.1</v>
      </c>
      <c r="L151" s="34">
        <v>0.1</v>
      </c>
      <c r="M151" s="110" t="s">
        <v>153</v>
      </c>
      <c r="N151" s="110" t="s">
        <v>321</v>
      </c>
      <c r="O151" s="110">
        <v>3016</v>
      </c>
      <c r="P151" s="110">
        <v>4100</v>
      </c>
      <c r="Q151" s="110">
        <v>4100</v>
      </c>
      <c r="V151" s="34">
        <v>0</v>
      </c>
    </row>
    <row r="152" spans="1:22">
      <c r="A152" s="34" t="s">
        <v>319</v>
      </c>
      <c r="B152" s="34">
        <v>11</v>
      </c>
      <c r="G152" s="34" t="s">
        <v>332</v>
      </c>
      <c r="H152" s="34" t="s">
        <v>114</v>
      </c>
      <c r="I152" s="34" t="s">
        <v>295</v>
      </c>
      <c r="J152" s="34">
        <v>3000</v>
      </c>
      <c r="K152" s="34">
        <v>0.11</v>
      </c>
      <c r="L152" s="34">
        <v>0.11</v>
      </c>
      <c r="M152" s="110" t="s">
        <v>153</v>
      </c>
      <c r="N152" s="110" t="s">
        <v>321</v>
      </c>
      <c r="O152" s="110">
        <v>3016</v>
      </c>
      <c r="P152" s="110">
        <v>5000</v>
      </c>
      <c r="Q152" s="110">
        <v>5000</v>
      </c>
      <c r="V152" s="34">
        <v>0</v>
      </c>
    </row>
    <row r="153" spans="1:22">
      <c r="A153" s="34" t="s">
        <v>319</v>
      </c>
      <c r="B153" s="34">
        <v>12</v>
      </c>
      <c r="G153" s="34" t="s">
        <v>333</v>
      </c>
      <c r="H153" s="34" t="s">
        <v>114</v>
      </c>
      <c r="I153" s="34" t="s">
        <v>295</v>
      </c>
      <c r="J153" s="34">
        <v>3000</v>
      </c>
      <c r="K153" s="34">
        <v>0.12</v>
      </c>
      <c r="L153" s="34">
        <v>0.12</v>
      </c>
      <c r="M153" s="110" t="s">
        <v>153</v>
      </c>
      <c r="N153" s="110" t="s">
        <v>321</v>
      </c>
      <c r="O153" s="110">
        <v>3016</v>
      </c>
      <c r="P153" s="110">
        <v>5900</v>
      </c>
      <c r="Q153" s="110">
        <v>5900</v>
      </c>
      <c r="V153" s="34">
        <v>0</v>
      </c>
    </row>
    <row r="154" spans="1:22">
      <c r="A154" s="34" t="s">
        <v>319</v>
      </c>
      <c r="B154" s="34">
        <v>13</v>
      </c>
      <c r="G154" s="34" t="s">
        <v>334</v>
      </c>
      <c r="H154" s="34" t="s">
        <v>114</v>
      </c>
      <c r="I154" s="34" t="s">
        <v>295</v>
      </c>
      <c r="J154" s="34">
        <v>3000</v>
      </c>
      <c r="K154" s="34">
        <v>0.13</v>
      </c>
      <c r="L154" s="34">
        <v>0.13</v>
      </c>
      <c r="M154" s="110" t="s">
        <v>153</v>
      </c>
      <c r="N154" s="110" t="s">
        <v>321</v>
      </c>
      <c r="O154" s="110">
        <v>3016</v>
      </c>
      <c r="P154" s="110">
        <v>6800</v>
      </c>
      <c r="Q154" s="110">
        <v>6800</v>
      </c>
      <c r="V154" s="34">
        <v>0</v>
      </c>
    </row>
    <row r="155" spans="1:22">
      <c r="A155" s="34" t="s">
        <v>319</v>
      </c>
      <c r="B155" s="34">
        <v>14</v>
      </c>
      <c r="G155" s="34" t="s">
        <v>335</v>
      </c>
      <c r="H155" s="34" t="s">
        <v>114</v>
      </c>
      <c r="I155" s="34" t="s">
        <v>295</v>
      </c>
      <c r="J155" s="34">
        <v>3000</v>
      </c>
      <c r="K155" s="34">
        <v>0.14000000000000001</v>
      </c>
      <c r="L155" s="34">
        <v>0.14000000000000001</v>
      </c>
      <c r="M155" s="110" t="s">
        <v>153</v>
      </c>
      <c r="N155" s="110" t="s">
        <v>321</v>
      </c>
      <c r="O155" s="110">
        <v>3016</v>
      </c>
      <c r="P155" s="110">
        <v>7700</v>
      </c>
      <c r="Q155" s="110">
        <v>7700</v>
      </c>
      <c r="V155" s="34">
        <v>0</v>
      </c>
    </row>
    <row r="156" spans="1:22">
      <c r="A156" s="34" t="s">
        <v>319</v>
      </c>
      <c r="B156" s="34">
        <v>15</v>
      </c>
      <c r="G156" s="34" t="s">
        <v>336</v>
      </c>
      <c r="H156" s="34" t="s">
        <v>114</v>
      </c>
      <c r="I156" s="34" t="s">
        <v>295</v>
      </c>
      <c r="J156" s="34">
        <v>3000</v>
      </c>
      <c r="K156" s="34">
        <v>0.15</v>
      </c>
      <c r="L156" s="34">
        <v>0.15</v>
      </c>
      <c r="M156" s="110" t="s">
        <v>153</v>
      </c>
      <c r="N156" s="110" t="s">
        <v>321</v>
      </c>
      <c r="O156" s="110">
        <v>3016</v>
      </c>
      <c r="P156" s="110">
        <v>8600</v>
      </c>
      <c r="Q156" s="110">
        <v>8600</v>
      </c>
      <c r="V156" s="34">
        <v>0</v>
      </c>
    </row>
    <row r="157" spans="1:22">
      <c r="A157" s="34" t="s">
        <v>319</v>
      </c>
      <c r="B157" s="34">
        <v>16</v>
      </c>
      <c r="G157" s="34" t="s">
        <v>337</v>
      </c>
      <c r="H157" s="34" t="s">
        <v>114</v>
      </c>
      <c r="I157" s="34" t="s">
        <v>295</v>
      </c>
      <c r="J157" s="34">
        <v>3000</v>
      </c>
      <c r="K157" s="34">
        <v>0.16</v>
      </c>
      <c r="L157" s="34">
        <v>0.16</v>
      </c>
      <c r="M157" s="110" t="s">
        <v>153</v>
      </c>
      <c r="N157" s="110" t="s">
        <v>321</v>
      </c>
      <c r="O157" s="110">
        <v>3016</v>
      </c>
      <c r="P157" s="110">
        <v>9800</v>
      </c>
      <c r="Q157" s="110">
        <v>9800</v>
      </c>
      <c r="R157" s="34" t="s">
        <v>338</v>
      </c>
      <c r="S157" s="34" t="s">
        <v>339</v>
      </c>
      <c r="T157" s="34">
        <v>6032</v>
      </c>
      <c r="U157" s="34">
        <v>0.04</v>
      </c>
      <c r="V157" s="34">
        <v>0.04</v>
      </c>
    </row>
    <row r="158" spans="1:22">
      <c r="A158" s="34" t="s">
        <v>319</v>
      </c>
      <c r="B158" s="34">
        <v>17</v>
      </c>
      <c r="G158" s="34" t="s">
        <v>340</v>
      </c>
      <c r="H158" s="34" t="s">
        <v>114</v>
      </c>
      <c r="I158" s="34" t="s">
        <v>295</v>
      </c>
      <c r="J158" s="34">
        <v>3000</v>
      </c>
      <c r="K158" s="34">
        <v>0.17</v>
      </c>
      <c r="L158" s="34">
        <v>0.17</v>
      </c>
      <c r="M158" s="110" t="s">
        <v>153</v>
      </c>
      <c r="N158" s="110" t="s">
        <v>321</v>
      </c>
      <c r="O158" s="110">
        <v>3016</v>
      </c>
      <c r="P158" s="110">
        <v>11000</v>
      </c>
      <c r="Q158" s="110">
        <v>11000</v>
      </c>
      <c r="R158" s="34" t="s">
        <v>338</v>
      </c>
      <c r="S158" s="34" t="s">
        <v>339</v>
      </c>
      <c r="T158" s="34">
        <v>6032</v>
      </c>
      <c r="U158" s="34">
        <v>0.1</v>
      </c>
      <c r="V158" s="34">
        <v>0.1</v>
      </c>
    </row>
    <row r="159" spans="1:22">
      <c r="A159" s="34" t="s">
        <v>319</v>
      </c>
      <c r="B159" s="34">
        <v>18</v>
      </c>
      <c r="G159" s="34" t="s">
        <v>341</v>
      </c>
      <c r="H159" s="34" t="s">
        <v>114</v>
      </c>
      <c r="I159" s="34" t="s">
        <v>295</v>
      </c>
      <c r="J159" s="34">
        <v>3000</v>
      </c>
      <c r="K159" s="34">
        <v>0.18</v>
      </c>
      <c r="L159" s="34">
        <v>0.18</v>
      </c>
      <c r="M159" s="110" t="s">
        <v>153</v>
      </c>
      <c r="N159" s="110" t="s">
        <v>321</v>
      </c>
      <c r="O159" s="110">
        <v>3016</v>
      </c>
      <c r="P159" s="110">
        <v>12200</v>
      </c>
      <c r="Q159" s="110">
        <v>12200</v>
      </c>
      <c r="R159" s="34" t="s">
        <v>338</v>
      </c>
      <c r="S159" s="34" t="s">
        <v>339</v>
      </c>
      <c r="T159" s="34">
        <v>6032</v>
      </c>
      <c r="U159" s="34">
        <v>0.18</v>
      </c>
      <c r="V159" s="34">
        <v>0.18</v>
      </c>
    </row>
    <row r="160" spans="1:22">
      <c r="A160" s="34" t="s">
        <v>319</v>
      </c>
      <c r="B160" s="34">
        <v>19</v>
      </c>
      <c r="G160" s="34" t="s">
        <v>342</v>
      </c>
      <c r="H160" s="34" t="s">
        <v>114</v>
      </c>
      <c r="I160" s="34" t="s">
        <v>295</v>
      </c>
      <c r="J160" s="34">
        <v>3000</v>
      </c>
      <c r="K160" s="34">
        <v>0.19</v>
      </c>
      <c r="L160" s="34">
        <v>0.19</v>
      </c>
      <c r="M160" s="110" t="s">
        <v>153</v>
      </c>
      <c r="N160" s="110" t="s">
        <v>321</v>
      </c>
      <c r="O160" s="110">
        <v>3016</v>
      </c>
      <c r="P160" s="110">
        <v>13400</v>
      </c>
      <c r="Q160" s="110">
        <v>13400</v>
      </c>
      <c r="R160" s="34" t="s">
        <v>338</v>
      </c>
      <c r="S160" s="34" t="s">
        <v>339</v>
      </c>
      <c r="T160" s="34">
        <v>6032</v>
      </c>
      <c r="U160" s="34">
        <v>0.28000000000000003</v>
      </c>
      <c r="V160" s="34">
        <v>0.28000000000000003</v>
      </c>
    </row>
    <row r="161" spans="1:50">
      <c r="A161" s="34" t="s">
        <v>319</v>
      </c>
      <c r="B161" s="34">
        <v>20</v>
      </c>
      <c r="G161" s="34" t="s">
        <v>343</v>
      </c>
      <c r="H161" s="34" t="s">
        <v>114</v>
      </c>
      <c r="I161" s="34" t="s">
        <v>295</v>
      </c>
      <c r="J161" s="34">
        <v>3000</v>
      </c>
      <c r="K161" s="34">
        <v>0.2</v>
      </c>
      <c r="L161" s="34">
        <v>0.2</v>
      </c>
      <c r="M161" s="110" t="s">
        <v>153</v>
      </c>
      <c r="N161" s="110" t="s">
        <v>321</v>
      </c>
      <c r="O161" s="110">
        <v>3016</v>
      </c>
      <c r="P161" s="110">
        <v>14600</v>
      </c>
      <c r="Q161" s="110">
        <v>14600</v>
      </c>
      <c r="R161" s="34" t="s">
        <v>338</v>
      </c>
      <c r="S161" s="34" t="s">
        <v>339</v>
      </c>
      <c r="T161" s="34">
        <v>6032</v>
      </c>
      <c r="U161" s="34">
        <v>0.4</v>
      </c>
      <c r="V161" s="34">
        <v>0.4</v>
      </c>
    </row>
    <row r="162" spans="1:50">
      <c r="A162" s="34" t="s">
        <v>344</v>
      </c>
      <c r="B162" s="34">
        <v>1</v>
      </c>
      <c r="G162" s="34" t="s">
        <v>345</v>
      </c>
      <c r="H162" s="34" t="s">
        <v>114</v>
      </c>
      <c r="I162" s="34" t="s">
        <v>295</v>
      </c>
      <c r="J162" s="34">
        <v>3000</v>
      </c>
      <c r="K162" s="34">
        <v>0.01</v>
      </c>
      <c r="L162" s="34">
        <v>0.01</v>
      </c>
      <c r="M162" s="110" t="s">
        <v>161</v>
      </c>
      <c r="N162" s="110" t="s">
        <v>346</v>
      </c>
      <c r="O162" s="110">
        <v>3014</v>
      </c>
      <c r="P162" s="110">
        <v>100</v>
      </c>
      <c r="Q162" s="110">
        <v>100</v>
      </c>
      <c r="V162" s="34">
        <v>0</v>
      </c>
      <c r="AQ162" t="s">
        <v>82</v>
      </c>
      <c r="AR162" t="s">
        <v>347</v>
      </c>
      <c r="AS162" t="s">
        <v>113</v>
      </c>
      <c r="AT162" t="s">
        <v>114</v>
      </c>
      <c r="AU162">
        <v>9</v>
      </c>
      <c r="AV162" t="s">
        <v>160</v>
      </c>
      <c r="AW162" t="s">
        <v>161</v>
      </c>
      <c r="AX162">
        <v>24</v>
      </c>
    </row>
    <row r="163" spans="1:50">
      <c r="A163" s="34" t="s">
        <v>344</v>
      </c>
      <c r="B163" s="34">
        <v>2</v>
      </c>
      <c r="G163" s="34" t="s">
        <v>348</v>
      </c>
      <c r="H163" s="34" t="s">
        <v>114</v>
      </c>
      <c r="I163" s="34" t="s">
        <v>295</v>
      </c>
      <c r="J163" s="34">
        <v>3000</v>
      </c>
      <c r="K163" s="34">
        <v>0.02</v>
      </c>
      <c r="L163" s="34">
        <v>0.02</v>
      </c>
      <c r="M163" s="110" t="s">
        <v>161</v>
      </c>
      <c r="N163" s="110" t="s">
        <v>346</v>
      </c>
      <c r="O163" s="110">
        <v>3014</v>
      </c>
      <c r="P163" s="110">
        <v>200</v>
      </c>
      <c r="Q163" s="110">
        <v>200</v>
      </c>
      <c r="V163" s="34">
        <v>0</v>
      </c>
    </row>
    <row r="164" spans="1:50">
      <c r="A164" s="34" t="s">
        <v>344</v>
      </c>
      <c r="B164" s="34">
        <v>3</v>
      </c>
      <c r="G164" s="34" t="s">
        <v>349</v>
      </c>
      <c r="H164" s="34" t="s">
        <v>114</v>
      </c>
      <c r="I164" s="34" t="s">
        <v>295</v>
      </c>
      <c r="J164" s="34">
        <v>3000</v>
      </c>
      <c r="K164" s="34">
        <v>0.03</v>
      </c>
      <c r="L164" s="34">
        <v>0.03</v>
      </c>
      <c r="M164" s="110" t="s">
        <v>161</v>
      </c>
      <c r="N164" s="110" t="s">
        <v>346</v>
      </c>
      <c r="O164" s="110">
        <v>3014</v>
      </c>
      <c r="P164" s="110">
        <v>400</v>
      </c>
      <c r="Q164" s="110">
        <v>400</v>
      </c>
      <c r="V164" s="34">
        <v>0</v>
      </c>
    </row>
    <row r="165" spans="1:50">
      <c r="A165" s="34" t="s">
        <v>344</v>
      </c>
      <c r="B165" s="34">
        <v>4</v>
      </c>
      <c r="G165" s="34" t="s">
        <v>350</v>
      </c>
      <c r="H165" s="34" t="s">
        <v>114</v>
      </c>
      <c r="I165" s="34" t="s">
        <v>295</v>
      </c>
      <c r="J165" s="34">
        <v>3000</v>
      </c>
      <c r="K165" s="34">
        <v>0.04</v>
      </c>
      <c r="L165" s="34">
        <v>0.04</v>
      </c>
      <c r="M165" s="110" t="s">
        <v>161</v>
      </c>
      <c r="N165" s="110" t="s">
        <v>346</v>
      </c>
      <c r="O165" s="110">
        <v>3014</v>
      </c>
      <c r="P165" s="110">
        <v>700</v>
      </c>
      <c r="Q165" s="110">
        <v>700</v>
      </c>
      <c r="V165" s="34">
        <v>0</v>
      </c>
    </row>
    <row r="166" spans="1:50">
      <c r="A166" s="34" t="s">
        <v>344</v>
      </c>
      <c r="B166" s="34">
        <v>5</v>
      </c>
      <c r="G166" s="34" t="s">
        <v>351</v>
      </c>
      <c r="H166" s="34" t="s">
        <v>114</v>
      </c>
      <c r="I166" s="34" t="s">
        <v>295</v>
      </c>
      <c r="J166" s="34">
        <v>3000</v>
      </c>
      <c r="K166" s="34">
        <v>0.05</v>
      </c>
      <c r="L166" s="34">
        <v>0.05</v>
      </c>
      <c r="M166" s="110" t="s">
        <v>161</v>
      </c>
      <c r="N166" s="110" t="s">
        <v>346</v>
      </c>
      <c r="O166" s="110">
        <v>3014</v>
      </c>
      <c r="P166" s="110">
        <v>1100</v>
      </c>
      <c r="Q166" s="110">
        <v>1100</v>
      </c>
      <c r="V166" s="34">
        <v>0</v>
      </c>
    </row>
    <row r="167" spans="1:50">
      <c r="A167" s="34" t="s">
        <v>344</v>
      </c>
      <c r="B167" s="34">
        <v>6</v>
      </c>
      <c r="G167" s="34" t="s">
        <v>352</v>
      </c>
      <c r="H167" s="34" t="s">
        <v>114</v>
      </c>
      <c r="I167" s="34" t="s">
        <v>295</v>
      </c>
      <c r="J167" s="34">
        <v>3000</v>
      </c>
      <c r="K167" s="34">
        <v>0.06</v>
      </c>
      <c r="L167" s="34">
        <v>0.06</v>
      </c>
      <c r="M167" s="110" t="s">
        <v>161</v>
      </c>
      <c r="N167" s="110" t="s">
        <v>346</v>
      </c>
      <c r="O167" s="110">
        <v>3014</v>
      </c>
      <c r="P167" s="110">
        <v>1700</v>
      </c>
      <c r="Q167" s="110">
        <v>1700</v>
      </c>
      <c r="V167" s="34">
        <v>0</v>
      </c>
    </row>
    <row r="168" spans="1:50">
      <c r="A168" s="34" t="s">
        <v>344</v>
      </c>
      <c r="B168" s="34">
        <v>7</v>
      </c>
      <c r="G168" s="34" t="s">
        <v>353</v>
      </c>
      <c r="H168" s="34" t="s">
        <v>114</v>
      </c>
      <c r="I168" s="34" t="s">
        <v>295</v>
      </c>
      <c r="J168" s="34">
        <v>3000</v>
      </c>
      <c r="K168" s="34">
        <v>7.0000000000000007E-2</v>
      </c>
      <c r="L168" s="34">
        <v>7.0000000000000007E-2</v>
      </c>
      <c r="M168" s="110" t="s">
        <v>161</v>
      </c>
      <c r="N168" s="110" t="s">
        <v>346</v>
      </c>
      <c r="O168" s="110">
        <v>3014</v>
      </c>
      <c r="P168" s="110">
        <v>2300</v>
      </c>
      <c r="Q168" s="110">
        <v>2300</v>
      </c>
      <c r="V168" s="34">
        <v>0</v>
      </c>
    </row>
    <row r="169" spans="1:50">
      <c r="A169" s="34" t="s">
        <v>344</v>
      </c>
      <c r="B169" s="34">
        <v>8</v>
      </c>
      <c r="G169" s="34" t="s">
        <v>354</v>
      </c>
      <c r="H169" s="34" t="s">
        <v>114</v>
      </c>
      <c r="I169" s="34" t="s">
        <v>295</v>
      </c>
      <c r="J169" s="34">
        <v>3000</v>
      </c>
      <c r="K169" s="34">
        <v>0.08</v>
      </c>
      <c r="L169" s="34">
        <v>0.08</v>
      </c>
      <c r="M169" s="110" t="s">
        <v>161</v>
      </c>
      <c r="N169" s="110" t="s">
        <v>346</v>
      </c>
      <c r="O169" s="110">
        <v>3014</v>
      </c>
      <c r="P169" s="110">
        <v>2900</v>
      </c>
      <c r="Q169" s="110">
        <v>2900</v>
      </c>
      <c r="V169" s="34">
        <v>0</v>
      </c>
    </row>
    <row r="170" spans="1:50">
      <c r="A170" s="34" t="s">
        <v>344</v>
      </c>
      <c r="B170" s="34">
        <v>9</v>
      </c>
      <c r="G170" s="34" t="s">
        <v>355</v>
      </c>
      <c r="H170" s="34" t="s">
        <v>114</v>
      </c>
      <c r="I170" s="34" t="s">
        <v>295</v>
      </c>
      <c r="J170" s="34">
        <v>3000</v>
      </c>
      <c r="K170" s="34">
        <v>0.09</v>
      </c>
      <c r="L170" s="34">
        <v>0.09</v>
      </c>
      <c r="M170" s="110" t="s">
        <v>161</v>
      </c>
      <c r="N170" s="110" t="s">
        <v>346</v>
      </c>
      <c r="O170" s="110">
        <v>3014</v>
      </c>
      <c r="P170" s="110">
        <v>3500</v>
      </c>
      <c r="Q170" s="110">
        <v>3500</v>
      </c>
      <c r="V170" s="34">
        <v>0</v>
      </c>
    </row>
    <row r="171" spans="1:50">
      <c r="A171" s="34" t="s">
        <v>344</v>
      </c>
      <c r="B171" s="34">
        <v>10</v>
      </c>
      <c r="G171" s="34" t="s">
        <v>356</v>
      </c>
      <c r="H171" s="34" t="s">
        <v>114</v>
      </c>
      <c r="I171" s="34" t="s">
        <v>295</v>
      </c>
      <c r="J171" s="34">
        <v>3000</v>
      </c>
      <c r="K171" s="34">
        <v>0.1</v>
      </c>
      <c r="L171" s="34">
        <v>0.1</v>
      </c>
      <c r="M171" s="110" t="s">
        <v>161</v>
      </c>
      <c r="N171" s="110" t="s">
        <v>346</v>
      </c>
      <c r="O171" s="110">
        <v>3014</v>
      </c>
      <c r="P171" s="110">
        <v>4100</v>
      </c>
      <c r="Q171" s="110">
        <v>4100</v>
      </c>
      <c r="V171" s="34">
        <v>0</v>
      </c>
    </row>
    <row r="172" spans="1:50">
      <c r="A172" s="34" t="s">
        <v>344</v>
      </c>
      <c r="B172" s="34">
        <v>11</v>
      </c>
      <c r="G172" s="34" t="s">
        <v>357</v>
      </c>
      <c r="H172" s="34" t="s">
        <v>114</v>
      </c>
      <c r="I172" s="34" t="s">
        <v>295</v>
      </c>
      <c r="J172" s="34">
        <v>3000</v>
      </c>
      <c r="K172" s="34">
        <v>0.11</v>
      </c>
      <c r="L172" s="34">
        <v>0.11</v>
      </c>
      <c r="M172" s="110" t="s">
        <v>161</v>
      </c>
      <c r="N172" s="110" t="s">
        <v>346</v>
      </c>
      <c r="O172" s="110">
        <v>3014</v>
      </c>
      <c r="P172" s="110">
        <v>5000</v>
      </c>
      <c r="Q172" s="110">
        <v>5000</v>
      </c>
      <c r="V172" s="34">
        <v>0</v>
      </c>
    </row>
    <row r="173" spans="1:50">
      <c r="A173" s="34" t="s">
        <v>344</v>
      </c>
      <c r="B173" s="34">
        <v>12</v>
      </c>
      <c r="G173" s="34" t="s">
        <v>358</v>
      </c>
      <c r="H173" s="34" t="s">
        <v>114</v>
      </c>
      <c r="I173" s="34" t="s">
        <v>295</v>
      </c>
      <c r="J173" s="34">
        <v>3000</v>
      </c>
      <c r="K173" s="34">
        <v>0.12</v>
      </c>
      <c r="L173" s="34">
        <v>0.12</v>
      </c>
      <c r="M173" s="110" t="s">
        <v>161</v>
      </c>
      <c r="N173" s="110" t="s">
        <v>346</v>
      </c>
      <c r="O173" s="110">
        <v>3014</v>
      </c>
      <c r="P173" s="110">
        <v>5900</v>
      </c>
      <c r="Q173" s="110">
        <v>5900</v>
      </c>
      <c r="V173" s="34">
        <v>0</v>
      </c>
    </row>
    <row r="174" spans="1:50">
      <c r="A174" s="34" t="s">
        <v>344</v>
      </c>
      <c r="B174" s="34">
        <v>13</v>
      </c>
      <c r="G174" s="34" t="s">
        <v>359</v>
      </c>
      <c r="H174" s="34" t="s">
        <v>114</v>
      </c>
      <c r="I174" s="34" t="s">
        <v>295</v>
      </c>
      <c r="J174" s="34">
        <v>3000</v>
      </c>
      <c r="K174" s="34">
        <v>0.13</v>
      </c>
      <c r="L174" s="34">
        <v>0.13</v>
      </c>
      <c r="M174" s="110" t="s">
        <v>161</v>
      </c>
      <c r="N174" s="110" t="s">
        <v>346</v>
      </c>
      <c r="O174" s="110">
        <v>3014</v>
      </c>
      <c r="P174" s="110">
        <v>6800</v>
      </c>
      <c r="Q174" s="110">
        <v>6800</v>
      </c>
      <c r="V174" s="34">
        <v>0</v>
      </c>
    </row>
    <row r="175" spans="1:50">
      <c r="A175" s="34" t="s">
        <v>344</v>
      </c>
      <c r="B175" s="34">
        <v>14</v>
      </c>
      <c r="G175" s="34" t="s">
        <v>360</v>
      </c>
      <c r="H175" s="34" t="s">
        <v>114</v>
      </c>
      <c r="I175" s="34" t="s">
        <v>295</v>
      </c>
      <c r="J175" s="34">
        <v>3000</v>
      </c>
      <c r="K175" s="34">
        <v>0.14000000000000001</v>
      </c>
      <c r="L175" s="34">
        <v>0.14000000000000001</v>
      </c>
      <c r="M175" s="110" t="s">
        <v>161</v>
      </c>
      <c r="N175" s="110" t="s">
        <v>346</v>
      </c>
      <c r="O175" s="110">
        <v>3014</v>
      </c>
      <c r="P175" s="110">
        <v>7700</v>
      </c>
      <c r="Q175" s="110">
        <v>7700</v>
      </c>
      <c r="V175" s="34">
        <v>0</v>
      </c>
    </row>
    <row r="176" spans="1:50">
      <c r="A176" s="34" t="s">
        <v>344</v>
      </c>
      <c r="B176" s="34">
        <v>15</v>
      </c>
      <c r="G176" s="34" t="s">
        <v>361</v>
      </c>
      <c r="H176" s="34" t="s">
        <v>114</v>
      </c>
      <c r="I176" s="34" t="s">
        <v>295</v>
      </c>
      <c r="J176" s="34">
        <v>3000</v>
      </c>
      <c r="K176" s="34">
        <v>0.15</v>
      </c>
      <c r="L176" s="34">
        <v>0.15</v>
      </c>
      <c r="M176" s="110" t="s">
        <v>161</v>
      </c>
      <c r="N176" s="110" t="s">
        <v>346</v>
      </c>
      <c r="O176" s="110">
        <v>3014</v>
      </c>
      <c r="P176" s="110">
        <v>8600</v>
      </c>
      <c r="Q176" s="110">
        <v>8600</v>
      </c>
      <c r="V176" s="34">
        <v>0</v>
      </c>
    </row>
    <row r="177" spans="1:50">
      <c r="A177" s="34" t="s">
        <v>344</v>
      </c>
      <c r="B177" s="34">
        <v>16</v>
      </c>
      <c r="G177" s="34" t="s">
        <v>362</v>
      </c>
      <c r="H177" s="34" t="s">
        <v>114</v>
      </c>
      <c r="I177" s="34" t="s">
        <v>295</v>
      </c>
      <c r="J177" s="34">
        <v>3000</v>
      </c>
      <c r="K177" s="34">
        <v>0.16</v>
      </c>
      <c r="L177" s="34">
        <v>0.16</v>
      </c>
      <c r="M177" s="110" t="s">
        <v>161</v>
      </c>
      <c r="N177" s="110" t="s">
        <v>346</v>
      </c>
      <c r="O177" s="110">
        <v>3014</v>
      </c>
      <c r="P177" s="110">
        <v>9800</v>
      </c>
      <c r="Q177" s="110">
        <v>9800</v>
      </c>
      <c r="R177" s="34" t="s">
        <v>363</v>
      </c>
      <c r="S177" s="34" t="s">
        <v>364</v>
      </c>
      <c r="T177" s="34">
        <v>6033</v>
      </c>
      <c r="U177" s="34">
        <v>0.04</v>
      </c>
      <c r="V177" s="34">
        <v>0.04</v>
      </c>
    </row>
    <row r="178" spans="1:50">
      <c r="A178" s="34" t="s">
        <v>344</v>
      </c>
      <c r="B178" s="34">
        <v>17</v>
      </c>
      <c r="G178" s="34" t="s">
        <v>365</v>
      </c>
      <c r="H178" s="34" t="s">
        <v>114</v>
      </c>
      <c r="I178" s="34" t="s">
        <v>295</v>
      </c>
      <c r="J178" s="34">
        <v>3000</v>
      </c>
      <c r="K178" s="34">
        <v>0.17</v>
      </c>
      <c r="L178" s="34">
        <v>0.17</v>
      </c>
      <c r="M178" s="110" t="s">
        <v>161</v>
      </c>
      <c r="N178" s="110" t="s">
        <v>346</v>
      </c>
      <c r="O178" s="110">
        <v>3014</v>
      </c>
      <c r="P178" s="110">
        <v>11000</v>
      </c>
      <c r="Q178" s="110">
        <v>11000</v>
      </c>
      <c r="R178" s="34" t="s">
        <v>363</v>
      </c>
      <c r="S178" s="34" t="s">
        <v>364</v>
      </c>
      <c r="T178" s="34">
        <v>6033</v>
      </c>
      <c r="U178" s="34">
        <v>0.1</v>
      </c>
      <c r="V178" s="34">
        <v>0.1</v>
      </c>
    </row>
    <row r="179" spans="1:50">
      <c r="A179" s="34" t="s">
        <v>344</v>
      </c>
      <c r="B179" s="34">
        <v>18</v>
      </c>
      <c r="G179" s="34" t="s">
        <v>366</v>
      </c>
      <c r="H179" s="34" t="s">
        <v>114</v>
      </c>
      <c r="I179" s="34" t="s">
        <v>295</v>
      </c>
      <c r="J179" s="34">
        <v>3000</v>
      </c>
      <c r="K179" s="34">
        <v>0.18</v>
      </c>
      <c r="L179" s="34">
        <v>0.18</v>
      </c>
      <c r="M179" s="110" t="s">
        <v>161</v>
      </c>
      <c r="N179" s="110" t="s">
        <v>346</v>
      </c>
      <c r="O179" s="110">
        <v>3014</v>
      </c>
      <c r="P179" s="110">
        <v>12200</v>
      </c>
      <c r="Q179" s="110">
        <v>12200</v>
      </c>
      <c r="R179" s="34" t="s">
        <v>363</v>
      </c>
      <c r="S179" s="34" t="s">
        <v>364</v>
      </c>
      <c r="T179" s="34">
        <v>6033</v>
      </c>
      <c r="U179" s="34">
        <v>0.18</v>
      </c>
      <c r="V179" s="34">
        <v>0.18</v>
      </c>
    </row>
    <row r="180" spans="1:50">
      <c r="A180" s="34" t="s">
        <v>344</v>
      </c>
      <c r="B180" s="34">
        <v>19</v>
      </c>
      <c r="G180" s="34" t="s">
        <v>367</v>
      </c>
      <c r="H180" s="34" t="s">
        <v>114</v>
      </c>
      <c r="I180" s="34" t="s">
        <v>295</v>
      </c>
      <c r="J180" s="34">
        <v>3000</v>
      </c>
      <c r="K180" s="34">
        <v>0.19</v>
      </c>
      <c r="L180" s="34">
        <v>0.19</v>
      </c>
      <c r="M180" s="110" t="s">
        <v>161</v>
      </c>
      <c r="N180" s="110" t="s">
        <v>346</v>
      </c>
      <c r="O180" s="110">
        <v>3014</v>
      </c>
      <c r="P180" s="110">
        <v>13400</v>
      </c>
      <c r="Q180" s="110">
        <v>13400</v>
      </c>
      <c r="R180" s="34" t="s">
        <v>363</v>
      </c>
      <c r="S180" s="34" t="s">
        <v>364</v>
      </c>
      <c r="T180" s="34">
        <v>6033</v>
      </c>
      <c r="U180" s="34">
        <v>0.28000000000000003</v>
      </c>
      <c r="V180" s="34">
        <v>0.28000000000000003</v>
      </c>
    </row>
    <row r="181" spans="1:50">
      <c r="A181" s="34" t="s">
        <v>344</v>
      </c>
      <c r="B181" s="34">
        <v>20</v>
      </c>
      <c r="G181" s="34" t="s">
        <v>368</v>
      </c>
      <c r="H181" s="34" t="s">
        <v>114</v>
      </c>
      <c r="I181" s="34" t="s">
        <v>295</v>
      </c>
      <c r="J181" s="34">
        <v>3000</v>
      </c>
      <c r="K181" s="34">
        <v>0.2</v>
      </c>
      <c r="L181" s="34">
        <v>0.2</v>
      </c>
      <c r="M181" s="110" t="s">
        <v>161</v>
      </c>
      <c r="N181" s="110" t="s">
        <v>346</v>
      </c>
      <c r="O181" s="110">
        <v>3014</v>
      </c>
      <c r="P181" s="110">
        <v>14600</v>
      </c>
      <c r="Q181" s="110">
        <v>14600</v>
      </c>
      <c r="R181" s="34" t="s">
        <v>363</v>
      </c>
      <c r="S181" s="34" t="s">
        <v>364</v>
      </c>
      <c r="T181" s="34">
        <v>6033</v>
      </c>
      <c r="U181" s="34">
        <v>0.4</v>
      </c>
      <c r="V181" s="34">
        <v>0.4</v>
      </c>
    </row>
    <row r="182" spans="1:50">
      <c r="A182" s="34" t="s">
        <v>369</v>
      </c>
      <c r="B182" s="34">
        <v>1</v>
      </c>
      <c r="G182" s="34" t="s">
        <v>370</v>
      </c>
      <c r="H182" s="34" t="s">
        <v>114</v>
      </c>
      <c r="I182" s="34" t="s">
        <v>295</v>
      </c>
      <c r="J182" s="34">
        <v>3000</v>
      </c>
      <c r="K182" s="34">
        <v>0.01</v>
      </c>
      <c r="L182" s="34">
        <v>0.01</v>
      </c>
      <c r="M182" s="110" t="s">
        <v>164</v>
      </c>
      <c r="N182" s="110" t="s">
        <v>371</v>
      </c>
      <c r="O182" s="110">
        <v>3015</v>
      </c>
      <c r="P182" s="110">
        <v>100</v>
      </c>
      <c r="Q182" s="110">
        <v>100</v>
      </c>
      <c r="V182" s="34">
        <v>0</v>
      </c>
      <c r="AQ182" t="s">
        <v>82</v>
      </c>
      <c r="AR182" t="s">
        <v>372</v>
      </c>
      <c r="AS182" t="s">
        <v>113</v>
      </c>
      <c r="AT182" t="s">
        <v>114</v>
      </c>
      <c r="AU182">
        <v>10</v>
      </c>
      <c r="AV182" t="s">
        <v>163</v>
      </c>
      <c r="AW182" t="s">
        <v>164</v>
      </c>
      <c r="AX182">
        <v>25</v>
      </c>
    </row>
    <row r="183" spans="1:50">
      <c r="A183" s="34" t="s">
        <v>369</v>
      </c>
      <c r="B183" s="34">
        <v>2</v>
      </c>
      <c r="G183" s="34" t="s">
        <v>373</v>
      </c>
      <c r="H183" s="34" t="s">
        <v>114</v>
      </c>
      <c r="I183" s="34" t="s">
        <v>295</v>
      </c>
      <c r="J183" s="34">
        <v>3000</v>
      </c>
      <c r="K183" s="34">
        <v>0.02</v>
      </c>
      <c r="L183" s="34">
        <v>0.02</v>
      </c>
      <c r="M183" s="110" t="s">
        <v>164</v>
      </c>
      <c r="N183" s="110" t="s">
        <v>371</v>
      </c>
      <c r="O183" s="110">
        <v>3015</v>
      </c>
      <c r="P183" s="110">
        <v>200</v>
      </c>
      <c r="Q183" s="110">
        <v>200</v>
      </c>
      <c r="V183" s="34">
        <v>0</v>
      </c>
    </row>
    <row r="184" spans="1:50">
      <c r="A184" s="34" t="s">
        <v>369</v>
      </c>
      <c r="B184" s="34">
        <v>3</v>
      </c>
      <c r="G184" s="34" t="s">
        <v>374</v>
      </c>
      <c r="H184" s="34" t="s">
        <v>114</v>
      </c>
      <c r="I184" s="34" t="s">
        <v>295</v>
      </c>
      <c r="J184" s="34">
        <v>3000</v>
      </c>
      <c r="K184" s="34">
        <v>0.03</v>
      </c>
      <c r="L184" s="34">
        <v>0.03</v>
      </c>
      <c r="M184" s="110" t="s">
        <v>164</v>
      </c>
      <c r="N184" s="110" t="s">
        <v>371</v>
      </c>
      <c r="O184" s="110">
        <v>3015</v>
      </c>
      <c r="P184" s="110">
        <v>400</v>
      </c>
      <c r="Q184" s="110">
        <v>400</v>
      </c>
      <c r="V184" s="34">
        <v>0</v>
      </c>
    </row>
    <row r="185" spans="1:50">
      <c r="A185" s="34" t="s">
        <v>369</v>
      </c>
      <c r="B185" s="34">
        <v>4</v>
      </c>
      <c r="G185" s="34" t="s">
        <v>375</v>
      </c>
      <c r="H185" s="34" t="s">
        <v>114</v>
      </c>
      <c r="I185" s="34" t="s">
        <v>295</v>
      </c>
      <c r="J185" s="34">
        <v>3000</v>
      </c>
      <c r="K185" s="34">
        <v>0.04</v>
      </c>
      <c r="L185" s="34">
        <v>0.04</v>
      </c>
      <c r="M185" s="110" t="s">
        <v>164</v>
      </c>
      <c r="N185" s="110" t="s">
        <v>371</v>
      </c>
      <c r="O185" s="110">
        <v>3015</v>
      </c>
      <c r="P185" s="110">
        <v>700</v>
      </c>
      <c r="Q185" s="110">
        <v>700</v>
      </c>
      <c r="V185" s="34">
        <v>0</v>
      </c>
    </row>
    <row r="186" spans="1:50">
      <c r="A186" s="34" t="s">
        <v>369</v>
      </c>
      <c r="B186" s="34">
        <v>5</v>
      </c>
      <c r="G186" s="34" t="s">
        <v>376</v>
      </c>
      <c r="H186" s="34" t="s">
        <v>114</v>
      </c>
      <c r="I186" s="34" t="s">
        <v>295</v>
      </c>
      <c r="J186" s="34">
        <v>3000</v>
      </c>
      <c r="K186" s="34">
        <v>0.05</v>
      </c>
      <c r="L186" s="34">
        <v>0.05</v>
      </c>
      <c r="M186" s="110" t="s">
        <v>164</v>
      </c>
      <c r="N186" s="110" t="s">
        <v>371</v>
      </c>
      <c r="O186" s="110">
        <v>3015</v>
      </c>
      <c r="P186" s="110">
        <v>1100</v>
      </c>
      <c r="Q186" s="110">
        <v>1100</v>
      </c>
      <c r="V186" s="34">
        <v>0</v>
      </c>
    </row>
    <row r="187" spans="1:50">
      <c r="A187" s="34" t="s">
        <v>369</v>
      </c>
      <c r="B187" s="34">
        <v>6</v>
      </c>
      <c r="G187" s="34" t="s">
        <v>377</v>
      </c>
      <c r="H187" s="34" t="s">
        <v>114</v>
      </c>
      <c r="I187" s="34" t="s">
        <v>295</v>
      </c>
      <c r="J187" s="34">
        <v>3000</v>
      </c>
      <c r="K187" s="34">
        <v>0.06</v>
      </c>
      <c r="L187" s="34">
        <v>0.06</v>
      </c>
      <c r="M187" s="110" t="s">
        <v>164</v>
      </c>
      <c r="N187" s="110" t="s">
        <v>371</v>
      </c>
      <c r="O187" s="110">
        <v>3015</v>
      </c>
      <c r="P187" s="110">
        <v>1700</v>
      </c>
      <c r="Q187" s="110">
        <v>1700</v>
      </c>
      <c r="V187" s="34">
        <v>0</v>
      </c>
    </row>
    <row r="188" spans="1:50">
      <c r="A188" s="34" t="s">
        <v>369</v>
      </c>
      <c r="B188" s="34">
        <v>7</v>
      </c>
      <c r="G188" s="34" t="s">
        <v>378</v>
      </c>
      <c r="H188" s="34" t="s">
        <v>114</v>
      </c>
      <c r="I188" s="34" t="s">
        <v>295</v>
      </c>
      <c r="J188" s="34">
        <v>3000</v>
      </c>
      <c r="K188" s="34">
        <v>7.0000000000000007E-2</v>
      </c>
      <c r="L188" s="34">
        <v>7.0000000000000007E-2</v>
      </c>
      <c r="M188" s="110" t="s">
        <v>164</v>
      </c>
      <c r="N188" s="110" t="s">
        <v>371</v>
      </c>
      <c r="O188" s="110">
        <v>3015</v>
      </c>
      <c r="P188" s="110">
        <v>2300</v>
      </c>
      <c r="Q188" s="110">
        <v>2300</v>
      </c>
      <c r="V188" s="34">
        <v>0</v>
      </c>
    </row>
    <row r="189" spans="1:50">
      <c r="A189" s="34" t="s">
        <v>369</v>
      </c>
      <c r="B189" s="34">
        <v>8</v>
      </c>
      <c r="G189" s="34" t="s">
        <v>379</v>
      </c>
      <c r="H189" s="34" t="s">
        <v>114</v>
      </c>
      <c r="I189" s="34" t="s">
        <v>295</v>
      </c>
      <c r="J189" s="34">
        <v>3000</v>
      </c>
      <c r="K189" s="34">
        <v>0.08</v>
      </c>
      <c r="L189" s="34">
        <v>0.08</v>
      </c>
      <c r="M189" s="110" t="s">
        <v>164</v>
      </c>
      <c r="N189" s="110" t="s">
        <v>371</v>
      </c>
      <c r="O189" s="110">
        <v>3015</v>
      </c>
      <c r="P189" s="110">
        <v>2900</v>
      </c>
      <c r="Q189" s="110">
        <v>2900</v>
      </c>
      <c r="V189" s="34">
        <v>0</v>
      </c>
    </row>
    <row r="190" spans="1:50">
      <c r="A190" s="34" t="s">
        <v>369</v>
      </c>
      <c r="B190" s="34">
        <v>9</v>
      </c>
      <c r="G190" s="34" t="s">
        <v>380</v>
      </c>
      <c r="H190" s="34" t="s">
        <v>114</v>
      </c>
      <c r="I190" s="34" t="s">
        <v>295</v>
      </c>
      <c r="J190" s="34">
        <v>3000</v>
      </c>
      <c r="K190" s="34">
        <v>0.09</v>
      </c>
      <c r="L190" s="34">
        <v>0.09</v>
      </c>
      <c r="M190" s="110" t="s">
        <v>164</v>
      </c>
      <c r="N190" s="110" t="s">
        <v>371</v>
      </c>
      <c r="O190" s="110">
        <v>3015</v>
      </c>
      <c r="P190" s="110">
        <v>3500</v>
      </c>
      <c r="Q190" s="110">
        <v>3500</v>
      </c>
      <c r="V190" s="34">
        <v>0</v>
      </c>
    </row>
    <row r="191" spans="1:50">
      <c r="A191" s="34" t="s">
        <v>369</v>
      </c>
      <c r="B191" s="34">
        <v>10</v>
      </c>
      <c r="G191" s="34" t="s">
        <v>381</v>
      </c>
      <c r="H191" s="34" t="s">
        <v>114</v>
      </c>
      <c r="I191" s="34" t="s">
        <v>295</v>
      </c>
      <c r="J191" s="34">
        <v>3000</v>
      </c>
      <c r="K191" s="34">
        <v>0.1</v>
      </c>
      <c r="L191" s="34">
        <v>0.1</v>
      </c>
      <c r="M191" s="110" t="s">
        <v>164</v>
      </c>
      <c r="N191" s="110" t="s">
        <v>371</v>
      </c>
      <c r="O191" s="110">
        <v>3015</v>
      </c>
      <c r="P191" s="110">
        <v>4100</v>
      </c>
      <c r="Q191" s="110">
        <v>4100</v>
      </c>
      <c r="V191" s="34">
        <v>0</v>
      </c>
    </row>
    <row r="192" spans="1:50">
      <c r="A192" s="34" t="s">
        <v>369</v>
      </c>
      <c r="B192" s="34">
        <v>11</v>
      </c>
      <c r="G192" s="34" t="s">
        <v>382</v>
      </c>
      <c r="H192" s="34" t="s">
        <v>114</v>
      </c>
      <c r="I192" s="34" t="s">
        <v>295</v>
      </c>
      <c r="J192" s="34">
        <v>3000</v>
      </c>
      <c r="K192" s="34">
        <v>0.11</v>
      </c>
      <c r="L192" s="34">
        <v>0.11</v>
      </c>
      <c r="M192" s="110" t="s">
        <v>164</v>
      </c>
      <c r="N192" s="110" t="s">
        <v>371</v>
      </c>
      <c r="O192" s="110">
        <v>3015</v>
      </c>
      <c r="P192" s="110">
        <v>5000</v>
      </c>
      <c r="Q192" s="110">
        <v>5000</v>
      </c>
      <c r="V192" s="34">
        <v>0</v>
      </c>
    </row>
    <row r="193" spans="1:50">
      <c r="A193" s="34" t="s">
        <v>369</v>
      </c>
      <c r="B193" s="34">
        <v>12</v>
      </c>
      <c r="G193" s="34" t="s">
        <v>383</v>
      </c>
      <c r="H193" s="34" t="s">
        <v>114</v>
      </c>
      <c r="I193" s="34" t="s">
        <v>295</v>
      </c>
      <c r="J193" s="34">
        <v>3000</v>
      </c>
      <c r="K193" s="34">
        <v>0.12</v>
      </c>
      <c r="L193" s="34">
        <v>0.12</v>
      </c>
      <c r="M193" s="110" t="s">
        <v>164</v>
      </c>
      <c r="N193" s="110" t="s">
        <v>371</v>
      </c>
      <c r="O193" s="110">
        <v>3015</v>
      </c>
      <c r="P193" s="110">
        <v>5900</v>
      </c>
      <c r="Q193" s="110">
        <v>5900</v>
      </c>
      <c r="V193" s="34">
        <v>0</v>
      </c>
    </row>
    <row r="194" spans="1:50">
      <c r="A194" s="34" t="s">
        <v>369</v>
      </c>
      <c r="B194" s="34">
        <v>13</v>
      </c>
      <c r="G194" s="34" t="s">
        <v>384</v>
      </c>
      <c r="H194" s="34" t="s">
        <v>114</v>
      </c>
      <c r="I194" s="34" t="s">
        <v>295</v>
      </c>
      <c r="J194" s="34">
        <v>3000</v>
      </c>
      <c r="K194" s="34">
        <v>0.13</v>
      </c>
      <c r="L194" s="34">
        <v>0.13</v>
      </c>
      <c r="M194" s="110" t="s">
        <v>164</v>
      </c>
      <c r="N194" s="110" t="s">
        <v>371</v>
      </c>
      <c r="O194" s="110">
        <v>3015</v>
      </c>
      <c r="P194" s="110">
        <v>6800</v>
      </c>
      <c r="Q194" s="110">
        <v>6800</v>
      </c>
      <c r="V194" s="34">
        <v>0</v>
      </c>
    </row>
    <row r="195" spans="1:50">
      <c r="A195" s="34" t="s">
        <v>369</v>
      </c>
      <c r="B195" s="34">
        <v>14</v>
      </c>
      <c r="G195" s="34" t="s">
        <v>385</v>
      </c>
      <c r="H195" s="34" t="s">
        <v>114</v>
      </c>
      <c r="I195" s="34" t="s">
        <v>295</v>
      </c>
      <c r="J195" s="34">
        <v>3000</v>
      </c>
      <c r="K195" s="34">
        <v>0.14000000000000001</v>
      </c>
      <c r="L195" s="34">
        <v>0.14000000000000001</v>
      </c>
      <c r="M195" s="110" t="s">
        <v>164</v>
      </c>
      <c r="N195" s="110" t="s">
        <v>371</v>
      </c>
      <c r="O195" s="110">
        <v>3015</v>
      </c>
      <c r="P195" s="110">
        <v>7700</v>
      </c>
      <c r="Q195" s="110">
        <v>7700</v>
      </c>
      <c r="V195" s="34">
        <v>0</v>
      </c>
    </row>
    <row r="196" spans="1:50">
      <c r="A196" s="34" t="s">
        <v>369</v>
      </c>
      <c r="B196" s="34">
        <v>15</v>
      </c>
      <c r="G196" s="34" t="s">
        <v>386</v>
      </c>
      <c r="H196" s="34" t="s">
        <v>114</v>
      </c>
      <c r="I196" s="34" t="s">
        <v>295</v>
      </c>
      <c r="J196" s="34">
        <v>3000</v>
      </c>
      <c r="K196" s="34">
        <v>0.15</v>
      </c>
      <c r="L196" s="34">
        <v>0.15</v>
      </c>
      <c r="M196" s="110" t="s">
        <v>164</v>
      </c>
      <c r="N196" s="110" t="s">
        <v>371</v>
      </c>
      <c r="O196" s="110">
        <v>3015</v>
      </c>
      <c r="P196" s="110">
        <v>8600</v>
      </c>
      <c r="Q196" s="110">
        <v>8600</v>
      </c>
      <c r="V196" s="34">
        <v>0</v>
      </c>
    </row>
    <row r="197" spans="1:50">
      <c r="A197" s="34" t="s">
        <v>369</v>
      </c>
      <c r="B197" s="34">
        <v>16</v>
      </c>
      <c r="G197" s="34" t="s">
        <v>387</v>
      </c>
      <c r="H197" s="34" t="s">
        <v>114</v>
      </c>
      <c r="I197" s="34" t="s">
        <v>295</v>
      </c>
      <c r="J197" s="34">
        <v>3000</v>
      </c>
      <c r="K197" s="34">
        <v>0.16</v>
      </c>
      <c r="L197" s="34">
        <v>0.16</v>
      </c>
      <c r="M197" s="110" t="s">
        <v>164</v>
      </c>
      <c r="N197" s="110" t="s">
        <v>371</v>
      </c>
      <c r="O197" s="110">
        <v>3015</v>
      </c>
      <c r="P197" s="110">
        <v>9800</v>
      </c>
      <c r="Q197" s="110">
        <v>9800</v>
      </c>
      <c r="R197" s="34" t="s">
        <v>388</v>
      </c>
      <c r="S197" s="34" t="s">
        <v>389</v>
      </c>
      <c r="T197" s="34">
        <v>6034</v>
      </c>
      <c r="U197" s="34">
        <v>0.04</v>
      </c>
      <c r="V197" s="34">
        <v>0.04</v>
      </c>
    </row>
    <row r="198" spans="1:50">
      <c r="A198" s="34" t="s">
        <v>369</v>
      </c>
      <c r="B198" s="34">
        <v>17</v>
      </c>
      <c r="G198" s="34" t="s">
        <v>390</v>
      </c>
      <c r="H198" s="34" t="s">
        <v>114</v>
      </c>
      <c r="I198" s="34" t="s">
        <v>295</v>
      </c>
      <c r="J198" s="34">
        <v>3000</v>
      </c>
      <c r="K198" s="34">
        <v>0.17</v>
      </c>
      <c r="L198" s="34">
        <v>0.17</v>
      </c>
      <c r="M198" s="110" t="s">
        <v>164</v>
      </c>
      <c r="N198" s="110" t="s">
        <v>371</v>
      </c>
      <c r="O198" s="110">
        <v>3015</v>
      </c>
      <c r="P198" s="110">
        <v>11000</v>
      </c>
      <c r="Q198" s="110">
        <v>11000</v>
      </c>
      <c r="R198" s="34" t="s">
        <v>388</v>
      </c>
      <c r="S198" s="34" t="s">
        <v>389</v>
      </c>
      <c r="T198" s="34">
        <v>6034</v>
      </c>
      <c r="U198" s="34">
        <v>0.1</v>
      </c>
      <c r="V198" s="34">
        <v>0.1</v>
      </c>
    </row>
    <row r="199" spans="1:50">
      <c r="A199" s="34" t="s">
        <v>369</v>
      </c>
      <c r="B199" s="34">
        <v>18</v>
      </c>
      <c r="G199" s="34" t="s">
        <v>391</v>
      </c>
      <c r="H199" s="34" t="s">
        <v>114</v>
      </c>
      <c r="I199" s="34" t="s">
        <v>295</v>
      </c>
      <c r="J199" s="34">
        <v>3000</v>
      </c>
      <c r="K199" s="34">
        <v>0.18</v>
      </c>
      <c r="L199" s="34">
        <v>0.18</v>
      </c>
      <c r="M199" s="110" t="s">
        <v>164</v>
      </c>
      <c r="N199" s="110" t="s">
        <v>371</v>
      </c>
      <c r="O199" s="110">
        <v>3015</v>
      </c>
      <c r="P199" s="110">
        <v>12200</v>
      </c>
      <c r="Q199" s="110">
        <v>12200</v>
      </c>
      <c r="R199" s="34" t="s">
        <v>388</v>
      </c>
      <c r="S199" s="34" t="s">
        <v>389</v>
      </c>
      <c r="T199" s="34">
        <v>6034</v>
      </c>
      <c r="U199" s="34">
        <v>0.18</v>
      </c>
      <c r="V199" s="34">
        <v>0.18</v>
      </c>
    </row>
    <row r="200" spans="1:50">
      <c r="A200" s="34" t="s">
        <v>369</v>
      </c>
      <c r="B200" s="34">
        <v>19</v>
      </c>
      <c r="G200" s="34" t="s">
        <v>392</v>
      </c>
      <c r="H200" s="34" t="s">
        <v>114</v>
      </c>
      <c r="I200" s="34" t="s">
        <v>295</v>
      </c>
      <c r="J200" s="34">
        <v>3000</v>
      </c>
      <c r="K200" s="34">
        <v>0.19</v>
      </c>
      <c r="L200" s="34">
        <v>0.19</v>
      </c>
      <c r="M200" s="110" t="s">
        <v>164</v>
      </c>
      <c r="N200" s="110" t="s">
        <v>371</v>
      </c>
      <c r="O200" s="110">
        <v>3015</v>
      </c>
      <c r="P200" s="110">
        <v>13400</v>
      </c>
      <c r="Q200" s="110">
        <v>13400</v>
      </c>
      <c r="R200" s="34" t="s">
        <v>388</v>
      </c>
      <c r="S200" s="34" t="s">
        <v>389</v>
      </c>
      <c r="T200" s="34">
        <v>6034</v>
      </c>
      <c r="U200" s="34">
        <v>0.28000000000000003</v>
      </c>
      <c r="V200" s="34">
        <v>0.28000000000000003</v>
      </c>
    </row>
    <row r="201" spans="1:50">
      <c r="A201" s="34" t="s">
        <v>369</v>
      </c>
      <c r="B201" s="34">
        <v>20</v>
      </c>
      <c r="G201" s="34" t="s">
        <v>393</v>
      </c>
      <c r="H201" s="34" t="s">
        <v>114</v>
      </c>
      <c r="I201" s="34" t="s">
        <v>295</v>
      </c>
      <c r="J201" s="34">
        <v>3000</v>
      </c>
      <c r="K201" s="34">
        <v>0.2</v>
      </c>
      <c r="L201" s="34">
        <v>0.2</v>
      </c>
      <c r="M201" s="110" t="s">
        <v>164</v>
      </c>
      <c r="N201" s="110" t="s">
        <v>371</v>
      </c>
      <c r="O201" s="110">
        <v>3015</v>
      </c>
      <c r="P201" s="110">
        <v>14600</v>
      </c>
      <c r="Q201" s="110">
        <v>14600</v>
      </c>
      <c r="R201" s="34" t="s">
        <v>388</v>
      </c>
      <c r="S201" s="34" t="s">
        <v>389</v>
      </c>
      <c r="T201" s="34">
        <v>6034</v>
      </c>
      <c r="U201" s="34">
        <v>0.4</v>
      </c>
      <c r="V201" s="34">
        <v>0.4</v>
      </c>
    </row>
    <row r="202" spans="1:50">
      <c r="A202" s="34" t="s">
        <v>394</v>
      </c>
      <c r="B202" s="34">
        <v>1</v>
      </c>
      <c r="G202" s="34" t="s">
        <v>395</v>
      </c>
      <c r="H202" s="34" t="s">
        <v>117</v>
      </c>
      <c r="I202" s="34" t="s">
        <v>396</v>
      </c>
      <c r="J202" s="34">
        <v>1253</v>
      </c>
      <c r="K202" s="34">
        <v>30000</v>
      </c>
      <c r="L202" s="34">
        <v>30000</v>
      </c>
      <c r="M202" s="110" t="s">
        <v>167</v>
      </c>
      <c r="N202" s="110" t="s">
        <v>397</v>
      </c>
      <c r="O202" s="110">
        <v>2555</v>
      </c>
      <c r="P202" s="110">
        <v>1</v>
      </c>
      <c r="Q202" s="110">
        <v>1</v>
      </c>
      <c r="V202" s="34">
        <v>0</v>
      </c>
      <c r="AQ202" t="s">
        <v>158</v>
      </c>
      <c r="AR202" t="s">
        <v>398</v>
      </c>
      <c r="AS202" t="s">
        <v>116</v>
      </c>
      <c r="AT202" t="s">
        <v>117</v>
      </c>
      <c r="AU202">
        <v>11</v>
      </c>
      <c r="AV202" t="s">
        <v>166</v>
      </c>
      <c r="AW202" t="s">
        <v>167</v>
      </c>
      <c r="AX202">
        <v>26</v>
      </c>
    </row>
    <row r="203" spans="1:50">
      <c r="A203" s="34" t="s">
        <v>394</v>
      </c>
      <c r="B203" s="34">
        <v>2</v>
      </c>
      <c r="G203" s="34" t="s">
        <v>399</v>
      </c>
      <c r="H203" s="34" t="s">
        <v>117</v>
      </c>
      <c r="I203" s="34" t="s">
        <v>396</v>
      </c>
      <c r="J203" s="34">
        <v>1253</v>
      </c>
      <c r="K203" s="34">
        <v>45000</v>
      </c>
      <c r="L203" s="34">
        <v>45000</v>
      </c>
      <c r="M203" s="110" t="s">
        <v>167</v>
      </c>
      <c r="N203" s="110" t="s">
        <v>397</v>
      </c>
      <c r="O203" s="110">
        <v>2555</v>
      </c>
      <c r="P203" s="110">
        <v>1</v>
      </c>
      <c r="Q203" s="110">
        <v>1</v>
      </c>
      <c r="V203" s="34">
        <v>0</v>
      </c>
    </row>
    <row r="204" spans="1:50">
      <c r="A204" s="34" t="s">
        <v>394</v>
      </c>
      <c r="B204" s="34">
        <v>3</v>
      </c>
      <c r="G204" s="34" t="s">
        <v>400</v>
      </c>
      <c r="H204" s="34" t="s">
        <v>117</v>
      </c>
      <c r="I204" s="34" t="s">
        <v>396</v>
      </c>
      <c r="J204" s="34">
        <v>1253</v>
      </c>
      <c r="K204" s="34">
        <v>60000</v>
      </c>
      <c r="L204" s="34">
        <v>60000</v>
      </c>
      <c r="M204" s="110" t="s">
        <v>167</v>
      </c>
      <c r="N204" s="110" t="s">
        <v>397</v>
      </c>
      <c r="O204" s="110">
        <v>2555</v>
      </c>
      <c r="P204" s="110">
        <v>1</v>
      </c>
      <c r="Q204" s="110">
        <v>1</v>
      </c>
      <c r="V204" s="34">
        <v>0</v>
      </c>
    </row>
    <row r="205" spans="1:50">
      <c r="A205" s="34" t="s">
        <v>394</v>
      </c>
      <c r="B205" s="34">
        <v>4</v>
      </c>
      <c r="G205" s="34" t="s">
        <v>401</v>
      </c>
      <c r="H205" s="34" t="s">
        <v>117</v>
      </c>
      <c r="I205" s="34" t="s">
        <v>396</v>
      </c>
      <c r="J205" s="34">
        <v>1253</v>
      </c>
      <c r="K205" s="34">
        <v>75000</v>
      </c>
      <c r="L205" s="34">
        <v>75000</v>
      </c>
      <c r="M205" s="110" t="s">
        <v>167</v>
      </c>
      <c r="N205" s="110" t="s">
        <v>397</v>
      </c>
      <c r="O205" s="110">
        <v>2555</v>
      </c>
      <c r="P205" s="110">
        <v>2</v>
      </c>
      <c r="Q205" s="110">
        <v>2</v>
      </c>
      <c r="V205" s="34">
        <v>0</v>
      </c>
    </row>
    <row r="206" spans="1:50">
      <c r="A206" s="34" t="s">
        <v>394</v>
      </c>
      <c r="B206" s="34">
        <v>5</v>
      </c>
      <c r="G206" s="34" t="s">
        <v>402</v>
      </c>
      <c r="H206" s="34" t="s">
        <v>117</v>
      </c>
      <c r="I206" s="34" t="s">
        <v>396</v>
      </c>
      <c r="J206" s="34">
        <v>1253</v>
      </c>
      <c r="K206" s="34">
        <v>90000</v>
      </c>
      <c r="L206" s="34">
        <v>90000</v>
      </c>
      <c r="M206" s="110" t="s">
        <v>167</v>
      </c>
      <c r="N206" s="110" t="s">
        <v>397</v>
      </c>
      <c r="O206" s="110">
        <v>2555</v>
      </c>
      <c r="P206" s="110">
        <v>2</v>
      </c>
      <c r="Q206" s="110">
        <v>2</v>
      </c>
      <c r="V206" s="34">
        <v>0</v>
      </c>
    </row>
    <row r="207" spans="1:50">
      <c r="A207" s="34" t="s">
        <v>394</v>
      </c>
      <c r="B207" s="34">
        <v>6</v>
      </c>
      <c r="G207" s="34" t="s">
        <v>403</v>
      </c>
      <c r="H207" s="34" t="s">
        <v>117</v>
      </c>
      <c r="I207" s="34" t="s">
        <v>396</v>
      </c>
      <c r="J207" s="34">
        <v>1253</v>
      </c>
      <c r="K207" s="34">
        <v>105000</v>
      </c>
      <c r="L207" s="34">
        <v>105000</v>
      </c>
      <c r="M207" s="110" t="s">
        <v>167</v>
      </c>
      <c r="N207" s="110" t="s">
        <v>397</v>
      </c>
      <c r="O207" s="110">
        <v>2555</v>
      </c>
      <c r="P207" s="110">
        <v>2</v>
      </c>
      <c r="Q207" s="110">
        <v>2</v>
      </c>
      <c r="V207" s="34">
        <v>0</v>
      </c>
    </row>
    <row r="208" spans="1:50">
      <c r="A208" s="34" t="s">
        <v>394</v>
      </c>
      <c r="B208" s="34">
        <v>7</v>
      </c>
      <c r="G208" s="34" t="s">
        <v>404</v>
      </c>
      <c r="H208" s="34" t="s">
        <v>117</v>
      </c>
      <c r="I208" s="34" t="s">
        <v>396</v>
      </c>
      <c r="J208" s="34">
        <v>1253</v>
      </c>
      <c r="K208" s="34">
        <v>120000</v>
      </c>
      <c r="L208" s="34">
        <v>120000</v>
      </c>
      <c r="M208" s="110" t="s">
        <v>167</v>
      </c>
      <c r="N208" s="110" t="s">
        <v>397</v>
      </c>
      <c r="O208" s="110">
        <v>2555</v>
      </c>
      <c r="P208" s="110">
        <v>2</v>
      </c>
      <c r="Q208" s="110">
        <v>2</v>
      </c>
      <c r="V208" s="34">
        <v>0</v>
      </c>
    </row>
    <row r="209" spans="1:50">
      <c r="A209" s="34" t="s">
        <v>394</v>
      </c>
      <c r="B209" s="34">
        <v>8</v>
      </c>
      <c r="G209" s="34" t="s">
        <v>405</v>
      </c>
      <c r="H209" s="34" t="s">
        <v>117</v>
      </c>
      <c r="I209" s="34" t="s">
        <v>396</v>
      </c>
      <c r="J209" s="34">
        <v>1253</v>
      </c>
      <c r="K209" s="34">
        <v>135000</v>
      </c>
      <c r="L209" s="34">
        <v>135000</v>
      </c>
      <c r="M209" s="110" t="s">
        <v>167</v>
      </c>
      <c r="N209" s="110" t="s">
        <v>397</v>
      </c>
      <c r="O209" s="110">
        <v>2555</v>
      </c>
      <c r="P209" s="110">
        <v>3</v>
      </c>
      <c r="Q209" s="110">
        <v>3</v>
      </c>
      <c r="V209" s="34">
        <v>0</v>
      </c>
    </row>
    <row r="210" spans="1:50">
      <c r="A210" s="34" t="s">
        <v>394</v>
      </c>
      <c r="B210" s="34">
        <v>9</v>
      </c>
      <c r="G210" s="34" t="s">
        <v>406</v>
      </c>
      <c r="H210" s="34" t="s">
        <v>117</v>
      </c>
      <c r="I210" s="34" t="s">
        <v>396</v>
      </c>
      <c r="J210" s="34">
        <v>1253</v>
      </c>
      <c r="K210" s="34">
        <v>150000</v>
      </c>
      <c r="L210" s="34">
        <v>150000</v>
      </c>
      <c r="M210" s="110" t="s">
        <v>167</v>
      </c>
      <c r="N210" s="110" t="s">
        <v>397</v>
      </c>
      <c r="O210" s="110">
        <v>2555</v>
      </c>
      <c r="P210" s="110">
        <v>3</v>
      </c>
      <c r="Q210" s="110">
        <v>3</v>
      </c>
      <c r="V210" s="34">
        <v>0</v>
      </c>
    </row>
    <row r="211" spans="1:50">
      <c r="A211" s="34" t="s">
        <v>394</v>
      </c>
      <c r="B211" s="34">
        <v>10</v>
      </c>
      <c r="G211" s="34" t="s">
        <v>407</v>
      </c>
      <c r="H211" s="34" t="s">
        <v>117</v>
      </c>
      <c r="I211" s="34" t="s">
        <v>396</v>
      </c>
      <c r="J211" s="34">
        <v>1253</v>
      </c>
      <c r="K211" s="34">
        <v>165000</v>
      </c>
      <c r="L211" s="34">
        <v>165000</v>
      </c>
      <c r="M211" s="110" t="s">
        <v>167</v>
      </c>
      <c r="N211" s="110" t="s">
        <v>397</v>
      </c>
      <c r="O211" s="110">
        <v>2555</v>
      </c>
      <c r="P211" s="110">
        <v>3</v>
      </c>
      <c r="Q211" s="110">
        <v>3</v>
      </c>
      <c r="V211" s="34">
        <v>0</v>
      </c>
    </row>
    <row r="212" spans="1:50">
      <c r="A212" s="34" t="s">
        <v>394</v>
      </c>
      <c r="B212" s="34">
        <v>11</v>
      </c>
      <c r="G212" s="34" t="s">
        <v>408</v>
      </c>
      <c r="H212" s="34" t="s">
        <v>117</v>
      </c>
      <c r="I212" s="34" t="s">
        <v>396</v>
      </c>
      <c r="J212" s="34">
        <v>1253</v>
      </c>
      <c r="K212" s="34">
        <v>180000</v>
      </c>
      <c r="L212" s="34">
        <v>180000</v>
      </c>
      <c r="M212" s="110" t="s">
        <v>167</v>
      </c>
      <c r="N212" s="110" t="s">
        <v>397</v>
      </c>
      <c r="O212" s="110">
        <v>2555</v>
      </c>
      <c r="P212" s="110">
        <v>4</v>
      </c>
      <c r="Q212" s="110">
        <v>4</v>
      </c>
      <c r="V212" s="34">
        <v>0</v>
      </c>
    </row>
    <row r="213" spans="1:50">
      <c r="A213" s="34" t="s">
        <v>394</v>
      </c>
      <c r="B213" s="34">
        <v>12</v>
      </c>
      <c r="G213" s="34" t="s">
        <v>409</v>
      </c>
      <c r="H213" s="34" t="s">
        <v>117</v>
      </c>
      <c r="I213" s="34" t="s">
        <v>396</v>
      </c>
      <c r="J213" s="34">
        <v>1253</v>
      </c>
      <c r="K213" s="34">
        <v>195000</v>
      </c>
      <c r="L213" s="34">
        <v>195000</v>
      </c>
      <c r="M213" s="110" t="s">
        <v>167</v>
      </c>
      <c r="N213" s="110" t="s">
        <v>397</v>
      </c>
      <c r="O213" s="110">
        <v>2555</v>
      </c>
      <c r="P213" s="110">
        <v>4</v>
      </c>
      <c r="Q213" s="110">
        <v>4</v>
      </c>
      <c r="V213" s="34">
        <v>0</v>
      </c>
    </row>
    <row r="214" spans="1:50">
      <c r="A214" s="34" t="s">
        <v>394</v>
      </c>
      <c r="B214" s="34">
        <v>13</v>
      </c>
      <c r="G214" s="34" t="s">
        <v>410</v>
      </c>
      <c r="H214" s="34" t="s">
        <v>117</v>
      </c>
      <c r="I214" s="34" t="s">
        <v>396</v>
      </c>
      <c r="J214" s="34">
        <v>1253</v>
      </c>
      <c r="K214" s="34">
        <v>210000</v>
      </c>
      <c r="L214" s="34">
        <v>210000</v>
      </c>
      <c r="M214" s="110" t="s">
        <v>167</v>
      </c>
      <c r="N214" s="110" t="s">
        <v>397</v>
      </c>
      <c r="O214" s="110">
        <v>2555</v>
      </c>
      <c r="P214" s="110">
        <v>4</v>
      </c>
      <c r="Q214" s="110">
        <v>4</v>
      </c>
      <c r="V214" s="34">
        <v>0</v>
      </c>
    </row>
    <row r="215" spans="1:50">
      <c r="A215" s="34" t="s">
        <v>394</v>
      </c>
      <c r="B215" s="34">
        <v>14</v>
      </c>
      <c r="G215" s="34" t="s">
        <v>411</v>
      </c>
      <c r="H215" s="34" t="s">
        <v>117</v>
      </c>
      <c r="I215" s="34" t="s">
        <v>396</v>
      </c>
      <c r="J215" s="34">
        <v>1253</v>
      </c>
      <c r="K215" s="34">
        <v>225000</v>
      </c>
      <c r="L215" s="34">
        <v>225000</v>
      </c>
      <c r="M215" s="110" t="s">
        <v>167</v>
      </c>
      <c r="N215" s="110" t="s">
        <v>397</v>
      </c>
      <c r="O215" s="110">
        <v>2555</v>
      </c>
      <c r="P215" s="110">
        <v>4</v>
      </c>
      <c r="Q215" s="110">
        <v>4</v>
      </c>
      <c r="V215" s="34">
        <v>0</v>
      </c>
    </row>
    <row r="216" spans="1:50">
      <c r="A216" s="34" t="s">
        <v>394</v>
      </c>
      <c r="B216" s="34">
        <v>15</v>
      </c>
      <c r="G216" s="34" t="s">
        <v>412</v>
      </c>
      <c r="H216" s="34" t="s">
        <v>117</v>
      </c>
      <c r="I216" s="34" t="s">
        <v>396</v>
      </c>
      <c r="J216" s="34">
        <v>1253</v>
      </c>
      <c r="K216" s="34">
        <v>240000</v>
      </c>
      <c r="L216" s="34">
        <v>240000</v>
      </c>
      <c r="M216" s="110" t="s">
        <v>167</v>
      </c>
      <c r="N216" s="110" t="s">
        <v>397</v>
      </c>
      <c r="O216" s="110">
        <v>2555</v>
      </c>
      <c r="P216" s="110">
        <v>4</v>
      </c>
      <c r="Q216" s="110">
        <v>4</v>
      </c>
      <c r="V216" s="34">
        <v>0</v>
      </c>
    </row>
    <row r="217" spans="1:50">
      <c r="A217" s="34" t="s">
        <v>394</v>
      </c>
      <c r="B217" s="34">
        <v>16</v>
      </c>
      <c r="G217" s="34" t="s">
        <v>413</v>
      </c>
      <c r="H217" s="34" t="s">
        <v>117</v>
      </c>
      <c r="I217" s="34" t="s">
        <v>396</v>
      </c>
      <c r="J217" s="34">
        <v>1253</v>
      </c>
      <c r="K217" s="34">
        <v>255000</v>
      </c>
      <c r="L217" s="34">
        <v>255000</v>
      </c>
      <c r="M217" s="110" t="s">
        <v>167</v>
      </c>
      <c r="N217" s="110" t="s">
        <v>397</v>
      </c>
      <c r="O217" s="110">
        <v>2555</v>
      </c>
      <c r="P217" s="110">
        <v>5</v>
      </c>
      <c r="Q217" s="110">
        <v>5</v>
      </c>
      <c r="V217" s="34">
        <v>0</v>
      </c>
    </row>
    <row r="218" spans="1:50">
      <c r="A218" s="34" t="s">
        <v>394</v>
      </c>
      <c r="B218" s="34">
        <v>17</v>
      </c>
      <c r="G218" s="34" t="s">
        <v>414</v>
      </c>
      <c r="H218" s="34" t="s">
        <v>117</v>
      </c>
      <c r="I218" s="34" t="s">
        <v>396</v>
      </c>
      <c r="J218" s="34">
        <v>1253</v>
      </c>
      <c r="K218" s="34">
        <v>270000</v>
      </c>
      <c r="L218" s="34">
        <v>270000</v>
      </c>
      <c r="M218" s="110" t="s">
        <v>167</v>
      </c>
      <c r="N218" s="110" t="s">
        <v>397</v>
      </c>
      <c r="O218" s="110">
        <v>2555</v>
      </c>
      <c r="P218" s="110">
        <v>5</v>
      </c>
      <c r="Q218" s="110">
        <v>5</v>
      </c>
      <c r="V218" s="34">
        <v>0</v>
      </c>
    </row>
    <row r="219" spans="1:50">
      <c r="A219" s="34" t="s">
        <v>394</v>
      </c>
      <c r="B219" s="34">
        <v>18</v>
      </c>
      <c r="G219" s="34" t="s">
        <v>415</v>
      </c>
      <c r="H219" s="34" t="s">
        <v>117</v>
      </c>
      <c r="I219" s="34" t="s">
        <v>396</v>
      </c>
      <c r="J219" s="34">
        <v>1253</v>
      </c>
      <c r="K219" s="34">
        <v>285000</v>
      </c>
      <c r="L219" s="34">
        <v>285000</v>
      </c>
      <c r="M219" s="110" t="s">
        <v>167</v>
      </c>
      <c r="N219" s="110" t="s">
        <v>397</v>
      </c>
      <c r="O219" s="110">
        <v>2555</v>
      </c>
      <c r="P219" s="110">
        <v>5</v>
      </c>
      <c r="Q219" s="110">
        <v>5</v>
      </c>
      <c r="V219" s="34">
        <v>0</v>
      </c>
    </row>
    <row r="220" spans="1:50">
      <c r="A220" s="34" t="s">
        <v>394</v>
      </c>
      <c r="B220" s="34">
        <v>19</v>
      </c>
      <c r="G220" s="34" t="s">
        <v>416</v>
      </c>
      <c r="H220" s="34" t="s">
        <v>117</v>
      </c>
      <c r="I220" s="34" t="s">
        <v>396</v>
      </c>
      <c r="J220" s="34">
        <v>1253</v>
      </c>
      <c r="K220" s="34">
        <v>300000</v>
      </c>
      <c r="L220" s="34">
        <v>300000</v>
      </c>
      <c r="M220" s="110" t="s">
        <v>167</v>
      </c>
      <c r="N220" s="110" t="s">
        <v>397</v>
      </c>
      <c r="O220" s="110">
        <v>2555</v>
      </c>
      <c r="P220" s="110">
        <v>5</v>
      </c>
      <c r="Q220" s="110">
        <v>5</v>
      </c>
      <c r="V220" s="34">
        <v>0</v>
      </c>
    </row>
    <row r="221" spans="1:50">
      <c r="A221" s="34" t="s">
        <v>394</v>
      </c>
      <c r="B221" s="34">
        <v>20</v>
      </c>
      <c r="G221" s="34" t="s">
        <v>417</v>
      </c>
      <c r="H221" s="34" t="s">
        <v>117</v>
      </c>
      <c r="I221" s="34" t="s">
        <v>396</v>
      </c>
      <c r="J221" s="34">
        <v>1253</v>
      </c>
      <c r="K221" s="34">
        <v>315000</v>
      </c>
      <c r="L221" s="34">
        <v>315000</v>
      </c>
      <c r="M221" s="110" t="s">
        <v>167</v>
      </c>
      <c r="N221" s="110" t="s">
        <v>397</v>
      </c>
      <c r="O221" s="110">
        <v>2555</v>
      </c>
      <c r="P221" s="110">
        <v>5</v>
      </c>
      <c r="Q221" s="110">
        <v>5</v>
      </c>
      <c r="V221" s="34">
        <v>0</v>
      </c>
    </row>
    <row r="222" spans="1:50">
      <c r="A222" s="34" t="s">
        <v>418</v>
      </c>
      <c r="B222" s="34">
        <v>1</v>
      </c>
      <c r="G222" s="34" t="s">
        <v>419</v>
      </c>
      <c r="H222" s="34" t="s">
        <v>122</v>
      </c>
      <c r="I222" s="34" t="s">
        <v>420</v>
      </c>
      <c r="J222" s="34">
        <v>4004</v>
      </c>
      <c r="K222" s="34">
        <v>150000</v>
      </c>
      <c r="L222" s="34">
        <v>150000</v>
      </c>
      <c r="M222" s="110" t="s">
        <v>170</v>
      </c>
      <c r="N222" s="110" t="s">
        <v>421</v>
      </c>
      <c r="O222" s="110">
        <v>1261</v>
      </c>
      <c r="P222" s="110">
        <v>10000</v>
      </c>
      <c r="Q222" s="110">
        <v>10000</v>
      </c>
      <c r="V222" s="34">
        <v>0</v>
      </c>
      <c r="AQ222" t="s">
        <v>158</v>
      </c>
      <c r="AR222" t="s">
        <v>422</v>
      </c>
      <c r="AS222" t="s">
        <v>121</v>
      </c>
      <c r="AT222" t="s">
        <v>122</v>
      </c>
      <c r="AU222">
        <v>12</v>
      </c>
      <c r="AV222" t="s">
        <v>169</v>
      </c>
      <c r="AW222" t="s">
        <v>170</v>
      </c>
      <c r="AX222">
        <v>27</v>
      </c>
    </row>
    <row r="223" spans="1:50">
      <c r="A223" s="34" t="s">
        <v>418</v>
      </c>
      <c r="B223" s="34">
        <v>2</v>
      </c>
      <c r="G223" s="34" t="s">
        <v>423</v>
      </c>
      <c r="H223" s="34" t="s">
        <v>122</v>
      </c>
      <c r="I223" s="34" t="s">
        <v>420</v>
      </c>
      <c r="J223" s="34">
        <v>4004</v>
      </c>
      <c r="K223" s="34">
        <v>170000</v>
      </c>
      <c r="L223" s="34">
        <v>170000</v>
      </c>
      <c r="M223" s="110" t="s">
        <v>170</v>
      </c>
      <c r="N223" s="110" t="s">
        <v>421</v>
      </c>
      <c r="O223" s="110">
        <v>1261</v>
      </c>
      <c r="P223" s="110">
        <v>20000</v>
      </c>
      <c r="Q223" s="110">
        <v>20000</v>
      </c>
      <c r="V223" s="34">
        <v>0</v>
      </c>
    </row>
    <row r="224" spans="1:50">
      <c r="A224" s="34" t="s">
        <v>418</v>
      </c>
      <c r="B224" s="34">
        <v>3</v>
      </c>
      <c r="G224" s="34" t="s">
        <v>424</v>
      </c>
      <c r="H224" s="34" t="s">
        <v>122</v>
      </c>
      <c r="I224" s="34" t="s">
        <v>420</v>
      </c>
      <c r="J224" s="34">
        <v>4004</v>
      </c>
      <c r="K224" s="34">
        <v>190000</v>
      </c>
      <c r="L224" s="34">
        <v>190000</v>
      </c>
      <c r="M224" s="110" t="s">
        <v>170</v>
      </c>
      <c r="N224" s="110" t="s">
        <v>421</v>
      </c>
      <c r="O224" s="110">
        <v>1261</v>
      </c>
      <c r="P224" s="110">
        <v>30000</v>
      </c>
      <c r="Q224" s="110">
        <v>30000</v>
      </c>
      <c r="V224" s="34">
        <v>0</v>
      </c>
    </row>
    <row r="225" spans="1:22">
      <c r="A225" s="34" t="s">
        <v>418</v>
      </c>
      <c r="B225" s="34">
        <v>4</v>
      </c>
      <c r="G225" s="34" t="s">
        <v>425</v>
      </c>
      <c r="H225" s="34" t="s">
        <v>122</v>
      </c>
      <c r="I225" s="34" t="s">
        <v>420</v>
      </c>
      <c r="J225" s="34">
        <v>4004</v>
      </c>
      <c r="K225" s="34">
        <v>220000</v>
      </c>
      <c r="L225" s="34">
        <v>220000</v>
      </c>
      <c r="M225" s="110" t="s">
        <v>170</v>
      </c>
      <c r="N225" s="110" t="s">
        <v>421</v>
      </c>
      <c r="O225" s="110">
        <v>1261</v>
      </c>
      <c r="P225" s="110">
        <v>40000</v>
      </c>
      <c r="Q225" s="110">
        <v>40000</v>
      </c>
      <c r="V225" s="34">
        <v>0</v>
      </c>
    </row>
    <row r="226" spans="1:22">
      <c r="A226" s="34" t="s">
        <v>418</v>
      </c>
      <c r="B226" s="34">
        <v>5</v>
      </c>
      <c r="G226" s="34" t="s">
        <v>426</v>
      </c>
      <c r="H226" s="34" t="s">
        <v>122</v>
      </c>
      <c r="I226" s="34" t="s">
        <v>420</v>
      </c>
      <c r="J226" s="34">
        <v>4004</v>
      </c>
      <c r="K226" s="34">
        <v>250000</v>
      </c>
      <c r="L226" s="34">
        <v>250000</v>
      </c>
      <c r="M226" s="110" t="s">
        <v>170</v>
      </c>
      <c r="N226" s="110" t="s">
        <v>421</v>
      </c>
      <c r="O226" s="110">
        <v>1261</v>
      </c>
      <c r="P226" s="110">
        <v>50000</v>
      </c>
      <c r="Q226" s="110">
        <v>50000</v>
      </c>
      <c r="V226" s="34">
        <v>0</v>
      </c>
    </row>
    <row r="227" spans="1:22">
      <c r="A227" s="34" t="s">
        <v>418</v>
      </c>
      <c r="B227" s="34">
        <v>6</v>
      </c>
      <c r="G227" s="34" t="s">
        <v>427</v>
      </c>
      <c r="H227" s="34" t="s">
        <v>122</v>
      </c>
      <c r="I227" s="34" t="s">
        <v>420</v>
      </c>
      <c r="J227" s="34">
        <v>4004</v>
      </c>
      <c r="K227" s="34">
        <v>280000</v>
      </c>
      <c r="L227" s="34">
        <v>280000</v>
      </c>
      <c r="M227" s="110" t="s">
        <v>170</v>
      </c>
      <c r="N227" s="110" t="s">
        <v>421</v>
      </c>
      <c r="O227" s="110">
        <v>1261</v>
      </c>
      <c r="P227" s="110">
        <v>60000</v>
      </c>
      <c r="Q227" s="110">
        <v>60000</v>
      </c>
      <c r="V227" s="34">
        <v>0</v>
      </c>
    </row>
    <row r="228" spans="1:22">
      <c r="A228" s="34" t="s">
        <v>418</v>
      </c>
      <c r="B228" s="34">
        <v>7</v>
      </c>
      <c r="G228" s="34" t="s">
        <v>428</v>
      </c>
      <c r="H228" s="34" t="s">
        <v>122</v>
      </c>
      <c r="I228" s="34" t="s">
        <v>420</v>
      </c>
      <c r="J228" s="34">
        <v>4004</v>
      </c>
      <c r="K228" s="34">
        <v>320000</v>
      </c>
      <c r="L228" s="34">
        <v>320000</v>
      </c>
      <c r="M228" s="110" t="s">
        <v>170</v>
      </c>
      <c r="N228" s="110" t="s">
        <v>421</v>
      </c>
      <c r="O228" s="110">
        <v>1261</v>
      </c>
      <c r="P228" s="110">
        <v>80000</v>
      </c>
      <c r="Q228" s="110">
        <v>80000</v>
      </c>
      <c r="V228" s="34">
        <v>0</v>
      </c>
    </row>
    <row r="229" spans="1:22">
      <c r="A229" s="34" t="s">
        <v>418</v>
      </c>
      <c r="B229" s="34">
        <v>8</v>
      </c>
      <c r="G229" s="34" t="s">
        <v>429</v>
      </c>
      <c r="H229" s="34" t="s">
        <v>122</v>
      </c>
      <c r="I229" s="34" t="s">
        <v>420</v>
      </c>
      <c r="J229" s="34">
        <v>4004</v>
      </c>
      <c r="K229" s="34">
        <v>360000</v>
      </c>
      <c r="L229" s="34">
        <v>360000</v>
      </c>
      <c r="M229" s="110" t="s">
        <v>170</v>
      </c>
      <c r="N229" s="110" t="s">
        <v>421</v>
      </c>
      <c r="O229" s="110">
        <v>1261</v>
      </c>
      <c r="P229" s="110">
        <v>100000</v>
      </c>
      <c r="Q229" s="110">
        <v>100000</v>
      </c>
      <c r="V229" s="34">
        <v>0</v>
      </c>
    </row>
    <row r="230" spans="1:22">
      <c r="A230" s="34" t="s">
        <v>418</v>
      </c>
      <c r="B230" s="34">
        <v>9</v>
      </c>
      <c r="G230" s="34" t="s">
        <v>430</v>
      </c>
      <c r="H230" s="34" t="s">
        <v>122</v>
      </c>
      <c r="I230" s="34" t="s">
        <v>420</v>
      </c>
      <c r="J230" s="34">
        <v>4004</v>
      </c>
      <c r="K230" s="34">
        <v>400000</v>
      </c>
      <c r="L230" s="34">
        <v>400000</v>
      </c>
      <c r="M230" s="110" t="s">
        <v>170</v>
      </c>
      <c r="N230" s="110" t="s">
        <v>421</v>
      </c>
      <c r="O230" s="110">
        <v>1261</v>
      </c>
      <c r="P230" s="110">
        <v>130000</v>
      </c>
      <c r="Q230" s="110">
        <v>130000</v>
      </c>
      <c r="V230" s="34">
        <v>0</v>
      </c>
    </row>
    <row r="231" spans="1:22">
      <c r="A231" s="34" t="s">
        <v>418</v>
      </c>
      <c r="B231" s="34">
        <v>10</v>
      </c>
      <c r="G231" s="34" t="s">
        <v>431</v>
      </c>
      <c r="H231" s="34" t="s">
        <v>122</v>
      </c>
      <c r="I231" s="34" t="s">
        <v>420</v>
      </c>
      <c r="J231" s="34">
        <v>4004</v>
      </c>
      <c r="K231" s="34">
        <v>440000</v>
      </c>
      <c r="L231" s="34">
        <v>440000</v>
      </c>
      <c r="M231" s="110" t="s">
        <v>170</v>
      </c>
      <c r="N231" s="110" t="s">
        <v>421</v>
      </c>
      <c r="O231" s="110">
        <v>1261</v>
      </c>
      <c r="P231" s="110">
        <v>170000</v>
      </c>
      <c r="Q231" s="110">
        <v>170000</v>
      </c>
      <c r="V231" s="34">
        <v>0</v>
      </c>
    </row>
    <row r="232" spans="1:22">
      <c r="A232" s="34" t="s">
        <v>418</v>
      </c>
      <c r="B232" s="34">
        <v>11</v>
      </c>
      <c r="G232" s="34" t="s">
        <v>432</v>
      </c>
      <c r="H232" s="34" t="s">
        <v>122</v>
      </c>
      <c r="I232" s="34" t="s">
        <v>420</v>
      </c>
      <c r="J232" s="34">
        <v>4004</v>
      </c>
      <c r="K232" s="34">
        <v>490000</v>
      </c>
      <c r="L232" s="34">
        <v>490000</v>
      </c>
      <c r="M232" s="110" t="s">
        <v>170</v>
      </c>
      <c r="N232" s="110" t="s">
        <v>421</v>
      </c>
      <c r="O232" s="110">
        <v>1261</v>
      </c>
      <c r="P232" s="110">
        <v>230000</v>
      </c>
      <c r="Q232" s="110">
        <v>230000</v>
      </c>
      <c r="V232" s="34">
        <v>0</v>
      </c>
    </row>
    <row r="233" spans="1:22">
      <c r="A233" s="34" t="s">
        <v>418</v>
      </c>
      <c r="B233" s="34">
        <v>12</v>
      </c>
      <c r="G233" s="34" t="s">
        <v>433</v>
      </c>
      <c r="H233" s="34" t="s">
        <v>122</v>
      </c>
      <c r="I233" s="34" t="s">
        <v>420</v>
      </c>
      <c r="J233" s="34">
        <v>4004</v>
      </c>
      <c r="K233" s="34">
        <v>540000</v>
      </c>
      <c r="L233" s="34">
        <v>540000</v>
      </c>
      <c r="M233" s="110" t="s">
        <v>170</v>
      </c>
      <c r="N233" s="110" t="s">
        <v>421</v>
      </c>
      <c r="O233" s="110">
        <v>1261</v>
      </c>
      <c r="P233" s="110">
        <v>290000</v>
      </c>
      <c r="Q233" s="110">
        <v>290000</v>
      </c>
      <c r="V233" s="34">
        <v>0</v>
      </c>
    </row>
    <row r="234" spans="1:22">
      <c r="A234" s="34" t="s">
        <v>418</v>
      </c>
      <c r="B234" s="34">
        <v>13</v>
      </c>
      <c r="G234" s="34" t="s">
        <v>434</v>
      </c>
      <c r="H234" s="34" t="s">
        <v>122</v>
      </c>
      <c r="I234" s="34" t="s">
        <v>420</v>
      </c>
      <c r="J234" s="34">
        <v>4004</v>
      </c>
      <c r="K234" s="34">
        <v>590000</v>
      </c>
      <c r="L234" s="34">
        <v>590000</v>
      </c>
      <c r="M234" s="110" t="s">
        <v>170</v>
      </c>
      <c r="N234" s="110" t="s">
        <v>421</v>
      </c>
      <c r="O234" s="110">
        <v>1261</v>
      </c>
      <c r="P234" s="110">
        <v>360000</v>
      </c>
      <c r="Q234" s="110">
        <v>360000</v>
      </c>
      <c r="V234" s="34">
        <v>0</v>
      </c>
    </row>
    <row r="235" spans="1:22">
      <c r="A235" s="34" t="s">
        <v>418</v>
      </c>
      <c r="B235" s="34">
        <v>14</v>
      </c>
      <c r="G235" s="34" t="s">
        <v>435</v>
      </c>
      <c r="H235" s="34" t="s">
        <v>122</v>
      </c>
      <c r="I235" s="34" t="s">
        <v>420</v>
      </c>
      <c r="J235" s="34">
        <v>4004</v>
      </c>
      <c r="K235" s="34">
        <v>640000</v>
      </c>
      <c r="L235" s="34">
        <v>640000</v>
      </c>
      <c r="M235" s="110" t="s">
        <v>170</v>
      </c>
      <c r="N235" s="110" t="s">
        <v>421</v>
      </c>
      <c r="O235" s="110">
        <v>1261</v>
      </c>
      <c r="P235" s="110">
        <v>430000</v>
      </c>
      <c r="Q235" s="110">
        <v>430000</v>
      </c>
      <c r="V235" s="34">
        <v>0</v>
      </c>
    </row>
    <row r="236" spans="1:22">
      <c r="A236" s="34" t="s">
        <v>418</v>
      </c>
      <c r="B236" s="34">
        <v>15</v>
      </c>
      <c r="G236" s="34" t="s">
        <v>436</v>
      </c>
      <c r="H236" s="34" t="s">
        <v>122</v>
      </c>
      <c r="I236" s="34" t="s">
        <v>420</v>
      </c>
      <c r="J236" s="34">
        <v>4004</v>
      </c>
      <c r="K236" s="34">
        <v>690000</v>
      </c>
      <c r="L236" s="34">
        <v>690000</v>
      </c>
      <c r="M236" s="110" t="s">
        <v>170</v>
      </c>
      <c r="N236" s="110" t="s">
        <v>421</v>
      </c>
      <c r="O236" s="110">
        <v>1261</v>
      </c>
      <c r="P236" s="110">
        <v>500000</v>
      </c>
      <c r="Q236" s="110">
        <v>500000</v>
      </c>
      <c r="V236" s="34">
        <v>0</v>
      </c>
    </row>
    <row r="237" spans="1:22">
      <c r="A237" s="34" t="s">
        <v>418</v>
      </c>
      <c r="B237" s="34">
        <v>16</v>
      </c>
      <c r="G237" s="34" t="s">
        <v>437</v>
      </c>
      <c r="H237" s="34" t="s">
        <v>122</v>
      </c>
      <c r="I237" s="34" t="s">
        <v>420</v>
      </c>
      <c r="J237" s="34">
        <v>4004</v>
      </c>
      <c r="K237" s="34">
        <v>750000</v>
      </c>
      <c r="L237" s="34">
        <v>750000</v>
      </c>
      <c r="M237" s="110" t="s">
        <v>170</v>
      </c>
      <c r="N237" s="110" t="s">
        <v>421</v>
      </c>
      <c r="O237" s="110">
        <v>1261</v>
      </c>
      <c r="P237" s="110">
        <v>600000</v>
      </c>
      <c r="Q237" s="110">
        <v>600000</v>
      </c>
      <c r="V237" s="34">
        <v>0</v>
      </c>
    </row>
    <row r="238" spans="1:22">
      <c r="A238" s="34" t="s">
        <v>418</v>
      </c>
      <c r="B238" s="34">
        <v>17</v>
      </c>
      <c r="G238" s="34" t="s">
        <v>438</v>
      </c>
      <c r="H238" s="34" t="s">
        <v>122</v>
      </c>
      <c r="I238" s="34" t="s">
        <v>420</v>
      </c>
      <c r="J238" s="34">
        <v>4004</v>
      </c>
      <c r="K238" s="34">
        <v>810000</v>
      </c>
      <c r="L238" s="34">
        <v>810000</v>
      </c>
      <c r="M238" s="110" t="s">
        <v>170</v>
      </c>
      <c r="N238" s="110" t="s">
        <v>421</v>
      </c>
      <c r="O238" s="110">
        <v>1261</v>
      </c>
      <c r="P238" s="110">
        <v>700000</v>
      </c>
      <c r="Q238" s="110">
        <v>700000</v>
      </c>
      <c r="V238" s="34">
        <v>0</v>
      </c>
    </row>
    <row r="239" spans="1:22">
      <c r="A239" s="34" t="s">
        <v>418</v>
      </c>
      <c r="B239" s="34">
        <v>18</v>
      </c>
      <c r="G239" s="34" t="s">
        <v>439</v>
      </c>
      <c r="H239" s="34" t="s">
        <v>122</v>
      </c>
      <c r="I239" s="34" t="s">
        <v>420</v>
      </c>
      <c r="J239" s="34">
        <v>4004</v>
      </c>
      <c r="K239" s="34">
        <v>870000</v>
      </c>
      <c r="L239" s="34">
        <v>870000</v>
      </c>
      <c r="M239" s="110" t="s">
        <v>170</v>
      </c>
      <c r="N239" s="110" t="s">
        <v>421</v>
      </c>
      <c r="O239" s="110">
        <v>1261</v>
      </c>
      <c r="P239" s="110">
        <v>800000</v>
      </c>
      <c r="Q239" s="110">
        <v>800000</v>
      </c>
      <c r="V239" s="34">
        <v>0</v>
      </c>
    </row>
    <row r="240" spans="1:22">
      <c r="A240" s="34" t="s">
        <v>418</v>
      </c>
      <c r="B240" s="34">
        <v>19</v>
      </c>
      <c r="G240" s="34" t="s">
        <v>440</v>
      </c>
      <c r="H240" s="34" t="s">
        <v>122</v>
      </c>
      <c r="I240" s="34" t="s">
        <v>420</v>
      </c>
      <c r="J240" s="34">
        <v>4004</v>
      </c>
      <c r="K240" s="34">
        <v>930000</v>
      </c>
      <c r="L240" s="34">
        <v>930000</v>
      </c>
      <c r="M240" s="110" t="s">
        <v>170</v>
      </c>
      <c r="N240" s="110" t="s">
        <v>421</v>
      </c>
      <c r="O240" s="110">
        <v>1261</v>
      </c>
      <c r="P240" s="110">
        <v>900000</v>
      </c>
      <c r="Q240" s="110">
        <v>900000</v>
      </c>
      <c r="V240" s="34">
        <v>0</v>
      </c>
    </row>
    <row r="241" spans="1:56">
      <c r="A241" s="34" t="s">
        <v>418</v>
      </c>
      <c r="B241" s="34">
        <v>20</v>
      </c>
      <c r="G241" s="34" t="s">
        <v>441</v>
      </c>
      <c r="H241" s="34" t="s">
        <v>122</v>
      </c>
      <c r="I241" s="34" t="s">
        <v>420</v>
      </c>
      <c r="J241" s="34">
        <v>4004</v>
      </c>
      <c r="K241" s="34">
        <v>1000000</v>
      </c>
      <c r="L241" s="34">
        <v>1000000</v>
      </c>
      <c r="M241" s="110" t="s">
        <v>170</v>
      </c>
      <c r="N241" s="110" t="s">
        <v>421</v>
      </c>
      <c r="O241" s="110">
        <v>1261</v>
      </c>
      <c r="P241" s="110">
        <v>1000000</v>
      </c>
      <c r="Q241" s="110">
        <v>1000000</v>
      </c>
      <c r="V241" s="34">
        <v>0</v>
      </c>
    </row>
    <row r="242" spans="1:56">
      <c r="A242" s="34" t="s">
        <v>442</v>
      </c>
      <c r="B242" s="34">
        <v>1</v>
      </c>
      <c r="E242" s="34">
        <v>3</v>
      </c>
      <c r="G242" s="34" t="s">
        <v>443</v>
      </c>
      <c r="H242" s="34" t="s">
        <v>125</v>
      </c>
      <c r="I242" s="34" t="s">
        <v>444</v>
      </c>
      <c r="J242" s="34">
        <v>3102</v>
      </c>
      <c r="K242" s="34">
        <v>30000</v>
      </c>
      <c r="L242" s="34">
        <v>30000</v>
      </c>
      <c r="M242" s="110" t="s">
        <v>173</v>
      </c>
      <c r="N242" s="110" t="s">
        <v>445</v>
      </c>
      <c r="O242" s="110">
        <v>3100</v>
      </c>
      <c r="P242" s="110">
        <v>0.04</v>
      </c>
      <c r="Q242" s="110">
        <v>0.04</v>
      </c>
      <c r="R242" s="34" t="s">
        <v>189</v>
      </c>
      <c r="S242" s="34" t="s">
        <v>446</v>
      </c>
      <c r="T242" s="34">
        <v>3311</v>
      </c>
      <c r="U242" s="34">
        <v>1.4583333333333301E-2</v>
      </c>
      <c r="V242" s="34">
        <v>1.4583333333333301E-2</v>
      </c>
      <c r="W242" t="s">
        <v>195</v>
      </c>
      <c r="X242" t="s">
        <v>447</v>
      </c>
      <c r="Y242">
        <v>3312</v>
      </c>
      <c r="Z242">
        <v>1800</v>
      </c>
      <c r="AA242">
        <v>1800</v>
      </c>
      <c r="AQ242" t="s">
        <v>448</v>
      </c>
      <c r="AR242" t="s">
        <v>449</v>
      </c>
      <c r="AS242" t="s">
        <v>124</v>
      </c>
      <c r="AT242" t="s">
        <v>125</v>
      </c>
      <c r="AU242">
        <v>13</v>
      </c>
      <c r="AV242" t="s">
        <v>172</v>
      </c>
      <c r="AW242" t="s">
        <v>173</v>
      </c>
      <c r="AX242">
        <v>28</v>
      </c>
      <c r="AY242" t="s">
        <v>188</v>
      </c>
      <c r="AZ242" t="s">
        <v>189</v>
      </c>
      <c r="BA242">
        <v>34</v>
      </c>
      <c r="BB242" t="s">
        <v>194</v>
      </c>
      <c r="BC242" t="s">
        <v>195</v>
      </c>
      <c r="BD242">
        <v>37</v>
      </c>
    </row>
    <row r="243" spans="1:56">
      <c r="A243" s="34" t="s">
        <v>442</v>
      </c>
      <c r="B243" s="34">
        <v>2</v>
      </c>
      <c r="E243" s="34">
        <v>3</v>
      </c>
      <c r="G243" s="34" t="s">
        <v>450</v>
      </c>
      <c r="H243" s="34" t="s">
        <v>125</v>
      </c>
      <c r="I243" s="34" t="s">
        <v>444</v>
      </c>
      <c r="J243" s="34">
        <v>3102</v>
      </c>
      <c r="K243" s="34">
        <v>36000</v>
      </c>
      <c r="L243" s="34">
        <v>36000</v>
      </c>
      <c r="M243" s="110" t="s">
        <v>173</v>
      </c>
      <c r="N243" s="110" t="s">
        <v>445</v>
      </c>
      <c r="O243" s="110">
        <v>3100</v>
      </c>
      <c r="P243" s="110">
        <v>0.08</v>
      </c>
      <c r="Q243" s="110">
        <v>0.08</v>
      </c>
      <c r="R243" s="34" t="s">
        <v>189</v>
      </c>
      <c r="S243" s="34" t="s">
        <v>446</v>
      </c>
      <c r="T243" s="34">
        <v>3311</v>
      </c>
      <c r="U243" s="34">
        <v>1.52777777777778E-2</v>
      </c>
      <c r="V243" s="34">
        <v>1.52777777777778E-2</v>
      </c>
      <c r="W243" t="s">
        <v>195</v>
      </c>
      <c r="X243" t="s">
        <v>447</v>
      </c>
      <c r="Y243">
        <v>3312</v>
      </c>
      <c r="Z243">
        <v>1860</v>
      </c>
      <c r="AA243">
        <v>1860</v>
      </c>
    </row>
    <row r="244" spans="1:56">
      <c r="A244" s="34" t="s">
        <v>442</v>
      </c>
      <c r="B244" s="34">
        <v>3</v>
      </c>
      <c r="E244" s="34">
        <v>3</v>
      </c>
      <c r="G244" s="34" t="s">
        <v>451</v>
      </c>
      <c r="H244" s="34" t="s">
        <v>125</v>
      </c>
      <c r="I244" s="34" t="s">
        <v>444</v>
      </c>
      <c r="J244" s="34">
        <v>3102</v>
      </c>
      <c r="K244" s="34">
        <v>42000</v>
      </c>
      <c r="L244" s="34">
        <v>42000</v>
      </c>
      <c r="M244" s="110" t="s">
        <v>173</v>
      </c>
      <c r="N244" s="110" t="s">
        <v>445</v>
      </c>
      <c r="O244" s="110">
        <v>3100</v>
      </c>
      <c r="P244" s="110">
        <v>0.12</v>
      </c>
      <c r="Q244" s="110">
        <v>0.12</v>
      </c>
      <c r="R244" s="34" t="s">
        <v>189</v>
      </c>
      <c r="S244" s="34" t="s">
        <v>446</v>
      </c>
      <c r="T244" s="34">
        <v>3311</v>
      </c>
      <c r="U244" s="34">
        <v>1.59722222222222E-2</v>
      </c>
      <c r="V244" s="34">
        <v>1.59722222222222E-2</v>
      </c>
      <c r="W244" t="s">
        <v>195</v>
      </c>
      <c r="X244" t="s">
        <v>447</v>
      </c>
      <c r="Y244">
        <v>3312</v>
      </c>
      <c r="Z244">
        <v>1920</v>
      </c>
      <c r="AA244">
        <v>1920</v>
      </c>
    </row>
    <row r="245" spans="1:56">
      <c r="A245" s="34" t="s">
        <v>442</v>
      </c>
      <c r="B245" s="34">
        <v>4</v>
      </c>
      <c r="E245" s="34">
        <v>3</v>
      </c>
      <c r="G245" s="34" t="s">
        <v>452</v>
      </c>
      <c r="H245" s="34" t="s">
        <v>125</v>
      </c>
      <c r="I245" s="34" t="s">
        <v>444</v>
      </c>
      <c r="J245" s="34">
        <v>3102</v>
      </c>
      <c r="K245" s="34">
        <v>48000</v>
      </c>
      <c r="L245" s="34">
        <v>48000</v>
      </c>
      <c r="M245" s="110" t="s">
        <v>173</v>
      </c>
      <c r="N245" s="110" t="s">
        <v>445</v>
      </c>
      <c r="O245" s="110">
        <v>3100</v>
      </c>
      <c r="P245" s="110">
        <v>0.16</v>
      </c>
      <c r="Q245" s="110">
        <v>0.16</v>
      </c>
      <c r="R245" s="34" t="s">
        <v>189</v>
      </c>
      <c r="S245" s="34" t="s">
        <v>446</v>
      </c>
      <c r="T245" s="34">
        <v>3311</v>
      </c>
      <c r="U245" s="34">
        <v>1.6666666666666701E-2</v>
      </c>
      <c r="V245" s="34">
        <v>1.6666666666666701E-2</v>
      </c>
      <c r="W245" t="s">
        <v>195</v>
      </c>
      <c r="X245" t="s">
        <v>447</v>
      </c>
      <c r="Y245">
        <v>3312</v>
      </c>
      <c r="Z245">
        <v>1980</v>
      </c>
      <c r="AA245">
        <v>1980</v>
      </c>
    </row>
    <row r="246" spans="1:56">
      <c r="A246" s="34" t="s">
        <v>442</v>
      </c>
      <c r="B246" s="34">
        <v>5</v>
      </c>
      <c r="E246" s="34">
        <v>3</v>
      </c>
      <c r="G246" s="34" t="s">
        <v>453</v>
      </c>
      <c r="H246" s="34" t="s">
        <v>125</v>
      </c>
      <c r="I246" s="34" t="s">
        <v>444</v>
      </c>
      <c r="J246" s="34">
        <v>3102</v>
      </c>
      <c r="K246" s="34">
        <v>54000</v>
      </c>
      <c r="L246" s="34">
        <v>54000</v>
      </c>
      <c r="M246" s="110" t="s">
        <v>173</v>
      </c>
      <c r="N246" s="110" t="s">
        <v>445</v>
      </c>
      <c r="O246" s="110">
        <v>3100</v>
      </c>
      <c r="P246" s="110">
        <v>0.2</v>
      </c>
      <c r="Q246" s="110">
        <v>0.2</v>
      </c>
      <c r="R246" s="34" t="s">
        <v>189</v>
      </c>
      <c r="S246" s="34" t="s">
        <v>446</v>
      </c>
      <c r="T246" s="34">
        <v>3311</v>
      </c>
      <c r="U246" s="34">
        <v>1.7361111111111101E-2</v>
      </c>
      <c r="V246" s="34">
        <v>1.7361111111111101E-2</v>
      </c>
      <c r="W246" t="s">
        <v>195</v>
      </c>
      <c r="X246" t="s">
        <v>447</v>
      </c>
      <c r="Y246">
        <v>3312</v>
      </c>
      <c r="Z246">
        <v>2040</v>
      </c>
      <c r="AA246">
        <v>2040</v>
      </c>
    </row>
    <row r="247" spans="1:56">
      <c r="A247" s="34" t="s">
        <v>442</v>
      </c>
      <c r="B247" s="34">
        <v>6</v>
      </c>
      <c r="E247" s="34">
        <v>3</v>
      </c>
      <c r="G247" s="34" t="s">
        <v>454</v>
      </c>
      <c r="H247" s="34" t="s">
        <v>125</v>
      </c>
      <c r="I247" s="34" t="s">
        <v>444</v>
      </c>
      <c r="J247" s="34">
        <v>3102</v>
      </c>
      <c r="K247" s="34">
        <v>60000</v>
      </c>
      <c r="L247" s="34">
        <v>60000</v>
      </c>
      <c r="M247" s="110" t="s">
        <v>173</v>
      </c>
      <c r="N247" s="110" t="s">
        <v>445</v>
      </c>
      <c r="O247" s="110">
        <v>3100</v>
      </c>
      <c r="P247" s="110">
        <v>0.24</v>
      </c>
      <c r="Q247" s="110">
        <v>0.24</v>
      </c>
      <c r="R247" s="34" t="s">
        <v>189</v>
      </c>
      <c r="S247" s="34" t="s">
        <v>446</v>
      </c>
      <c r="T247" s="34">
        <v>3311</v>
      </c>
      <c r="U247" s="34">
        <v>1.8055555555555599E-2</v>
      </c>
      <c r="V247" s="34">
        <v>1.8055555555555599E-2</v>
      </c>
      <c r="W247" t="s">
        <v>195</v>
      </c>
      <c r="X247" t="s">
        <v>447</v>
      </c>
      <c r="Y247">
        <v>3312</v>
      </c>
      <c r="Z247">
        <v>2100</v>
      </c>
      <c r="AA247">
        <v>2100</v>
      </c>
    </row>
    <row r="248" spans="1:56">
      <c r="A248" s="34" t="s">
        <v>442</v>
      </c>
      <c r="B248" s="34">
        <v>7</v>
      </c>
      <c r="E248" s="34">
        <v>3</v>
      </c>
      <c r="G248" s="34" t="s">
        <v>455</v>
      </c>
      <c r="H248" s="34" t="s">
        <v>125</v>
      </c>
      <c r="I248" s="34" t="s">
        <v>444</v>
      </c>
      <c r="J248" s="34">
        <v>3102</v>
      </c>
      <c r="K248" s="34">
        <v>66000</v>
      </c>
      <c r="L248" s="34">
        <v>66000</v>
      </c>
      <c r="M248" s="110" t="s">
        <v>173</v>
      </c>
      <c r="N248" s="110" t="s">
        <v>445</v>
      </c>
      <c r="O248" s="110">
        <v>3100</v>
      </c>
      <c r="P248" s="110">
        <v>0.28000000000000003</v>
      </c>
      <c r="Q248" s="110">
        <v>0.28000000000000003</v>
      </c>
      <c r="R248" s="34" t="s">
        <v>189</v>
      </c>
      <c r="S248" s="34" t="s">
        <v>446</v>
      </c>
      <c r="T248" s="34">
        <v>3311</v>
      </c>
      <c r="U248" s="34">
        <v>1.8749999999999999E-2</v>
      </c>
      <c r="V248" s="34">
        <v>1.8749999999999999E-2</v>
      </c>
      <c r="W248" t="s">
        <v>195</v>
      </c>
      <c r="X248" t="s">
        <v>447</v>
      </c>
      <c r="Y248">
        <v>3312</v>
      </c>
      <c r="Z248">
        <v>2160</v>
      </c>
      <c r="AA248">
        <v>2160</v>
      </c>
    </row>
    <row r="249" spans="1:56">
      <c r="A249" s="34" t="s">
        <v>442</v>
      </c>
      <c r="B249" s="34">
        <v>8</v>
      </c>
      <c r="E249" s="34">
        <v>3</v>
      </c>
      <c r="G249" s="34" t="s">
        <v>456</v>
      </c>
      <c r="H249" s="34" t="s">
        <v>125</v>
      </c>
      <c r="I249" s="34" t="s">
        <v>444</v>
      </c>
      <c r="J249" s="34">
        <v>3102</v>
      </c>
      <c r="K249" s="34">
        <v>72000</v>
      </c>
      <c r="L249" s="34">
        <v>72000</v>
      </c>
      <c r="M249" s="110" t="s">
        <v>173</v>
      </c>
      <c r="N249" s="110" t="s">
        <v>445</v>
      </c>
      <c r="O249" s="110">
        <v>3100</v>
      </c>
      <c r="P249" s="110">
        <v>0.32</v>
      </c>
      <c r="Q249" s="110">
        <v>0.32</v>
      </c>
      <c r="R249" s="34" t="s">
        <v>189</v>
      </c>
      <c r="S249" s="34" t="s">
        <v>446</v>
      </c>
      <c r="T249" s="34">
        <v>3311</v>
      </c>
      <c r="U249" s="34">
        <v>1.94444444444444E-2</v>
      </c>
      <c r="V249" s="34">
        <v>1.94444444444444E-2</v>
      </c>
      <c r="W249" t="s">
        <v>195</v>
      </c>
      <c r="X249" t="s">
        <v>447</v>
      </c>
      <c r="Y249">
        <v>3312</v>
      </c>
      <c r="Z249">
        <v>2220</v>
      </c>
      <c r="AA249">
        <v>2220</v>
      </c>
    </row>
    <row r="250" spans="1:56">
      <c r="A250" s="34" t="s">
        <v>442</v>
      </c>
      <c r="B250" s="34">
        <v>9</v>
      </c>
      <c r="E250" s="34">
        <v>3</v>
      </c>
      <c r="G250" s="34" t="s">
        <v>457</v>
      </c>
      <c r="H250" s="34" t="s">
        <v>125</v>
      </c>
      <c r="I250" s="34" t="s">
        <v>444</v>
      </c>
      <c r="J250" s="34">
        <v>3102</v>
      </c>
      <c r="K250" s="34">
        <v>78000</v>
      </c>
      <c r="L250" s="34">
        <v>78000</v>
      </c>
      <c r="M250" s="110" t="s">
        <v>173</v>
      </c>
      <c r="N250" s="110" t="s">
        <v>445</v>
      </c>
      <c r="O250" s="110">
        <v>3100</v>
      </c>
      <c r="P250" s="110">
        <v>0.36</v>
      </c>
      <c r="Q250" s="110">
        <v>0.36</v>
      </c>
      <c r="R250" s="34" t="s">
        <v>189</v>
      </c>
      <c r="S250" s="34" t="s">
        <v>446</v>
      </c>
      <c r="T250" s="34">
        <v>3311</v>
      </c>
      <c r="U250" s="34">
        <v>2.0138888888888901E-2</v>
      </c>
      <c r="V250" s="34">
        <v>2.0138888888888901E-2</v>
      </c>
      <c r="W250" t="s">
        <v>195</v>
      </c>
      <c r="X250" t="s">
        <v>447</v>
      </c>
      <c r="Y250">
        <v>3312</v>
      </c>
      <c r="Z250">
        <v>2280</v>
      </c>
      <c r="AA250">
        <v>2280</v>
      </c>
    </row>
    <row r="251" spans="1:56">
      <c r="A251" s="34" t="s">
        <v>442</v>
      </c>
      <c r="B251" s="34">
        <v>10</v>
      </c>
      <c r="E251" s="34">
        <v>3</v>
      </c>
      <c r="G251" s="34" t="s">
        <v>458</v>
      </c>
      <c r="H251" s="34" t="s">
        <v>125</v>
      </c>
      <c r="I251" s="34" t="s">
        <v>444</v>
      </c>
      <c r="J251" s="34">
        <v>3102</v>
      </c>
      <c r="K251" s="34">
        <v>84000</v>
      </c>
      <c r="L251" s="34">
        <v>84000</v>
      </c>
      <c r="M251" s="110" t="s">
        <v>173</v>
      </c>
      <c r="N251" s="110" t="s">
        <v>445</v>
      </c>
      <c r="O251" s="110">
        <v>3100</v>
      </c>
      <c r="P251" s="110">
        <v>0.4</v>
      </c>
      <c r="Q251" s="110">
        <v>0.4</v>
      </c>
      <c r="R251" s="34" t="s">
        <v>189</v>
      </c>
      <c r="S251" s="34" t="s">
        <v>446</v>
      </c>
      <c r="T251" s="34">
        <v>3311</v>
      </c>
      <c r="U251" s="34">
        <v>2.0833333333333301E-2</v>
      </c>
      <c r="V251" s="34">
        <v>2.0833333333333301E-2</v>
      </c>
      <c r="W251" t="s">
        <v>195</v>
      </c>
      <c r="X251" t="s">
        <v>447</v>
      </c>
      <c r="Y251">
        <v>3312</v>
      </c>
      <c r="Z251">
        <v>2400</v>
      </c>
      <c r="AA251">
        <v>2400</v>
      </c>
    </row>
    <row r="252" spans="1:56">
      <c r="A252" s="34" t="s">
        <v>442</v>
      </c>
      <c r="B252" s="34">
        <v>11</v>
      </c>
      <c r="E252" s="34">
        <v>3</v>
      </c>
      <c r="G252" s="34" t="s">
        <v>459</v>
      </c>
      <c r="H252" s="34" t="s">
        <v>125</v>
      </c>
      <c r="I252" s="34" t="s">
        <v>444</v>
      </c>
      <c r="J252" s="34">
        <v>3102</v>
      </c>
      <c r="K252" s="34">
        <v>90000</v>
      </c>
      <c r="L252" s="34">
        <v>90000</v>
      </c>
      <c r="M252" s="110" t="s">
        <v>173</v>
      </c>
      <c r="N252" s="110" t="s">
        <v>445</v>
      </c>
      <c r="O252" s="110">
        <v>3100</v>
      </c>
      <c r="P252" s="110">
        <v>0.44</v>
      </c>
      <c r="Q252" s="110">
        <v>0.44</v>
      </c>
      <c r="R252" s="34" t="s">
        <v>189</v>
      </c>
      <c r="S252" s="34" t="s">
        <v>446</v>
      </c>
      <c r="T252" s="34">
        <v>3311</v>
      </c>
      <c r="U252" s="34">
        <v>2.1527777777777798E-2</v>
      </c>
      <c r="V252" s="34">
        <v>2.1527777777777798E-2</v>
      </c>
      <c r="W252" t="s">
        <v>195</v>
      </c>
      <c r="X252" t="s">
        <v>447</v>
      </c>
      <c r="Y252">
        <v>3312</v>
      </c>
      <c r="Z252">
        <v>2520</v>
      </c>
      <c r="AA252">
        <v>2520</v>
      </c>
    </row>
    <row r="253" spans="1:56">
      <c r="A253" s="34" t="s">
        <v>442</v>
      </c>
      <c r="B253" s="34">
        <v>12</v>
      </c>
      <c r="E253" s="34">
        <v>3</v>
      </c>
      <c r="G253" s="34" t="s">
        <v>460</v>
      </c>
      <c r="H253" s="34" t="s">
        <v>125</v>
      </c>
      <c r="I253" s="34" t="s">
        <v>444</v>
      </c>
      <c r="J253" s="34">
        <v>3102</v>
      </c>
      <c r="K253" s="34">
        <v>96000</v>
      </c>
      <c r="L253" s="34">
        <v>96000</v>
      </c>
      <c r="M253" s="110" t="s">
        <v>173</v>
      </c>
      <c r="N253" s="110" t="s">
        <v>445</v>
      </c>
      <c r="O253" s="110">
        <v>3100</v>
      </c>
      <c r="P253" s="110">
        <v>0.48</v>
      </c>
      <c r="Q253" s="110">
        <v>0.48</v>
      </c>
      <c r="R253" s="34" t="s">
        <v>189</v>
      </c>
      <c r="S253" s="34" t="s">
        <v>446</v>
      </c>
      <c r="T253" s="34">
        <v>3311</v>
      </c>
      <c r="U253" s="34">
        <v>2.2222222222222199E-2</v>
      </c>
      <c r="V253" s="34">
        <v>2.2222222222222199E-2</v>
      </c>
      <c r="W253" t="s">
        <v>195</v>
      </c>
      <c r="X253" t="s">
        <v>447</v>
      </c>
      <c r="Y253">
        <v>3312</v>
      </c>
      <c r="Z253">
        <v>2640</v>
      </c>
      <c r="AA253">
        <v>2640</v>
      </c>
    </row>
    <row r="254" spans="1:56">
      <c r="A254" s="34" t="s">
        <v>442</v>
      </c>
      <c r="B254" s="34">
        <v>13</v>
      </c>
      <c r="E254" s="34">
        <v>3</v>
      </c>
      <c r="G254" s="34" t="s">
        <v>461</v>
      </c>
      <c r="H254" s="34" t="s">
        <v>125</v>
      </c>
      <c r="I254" s="34" t="s">
        <v>444</v>
      </c>
      <c r="J254" s="34">
        <v>3102</v>
      </c>
      <c r="K254" s="34">
        <v>102000</v>
      </c>
      <c r="L254" s="34">
        <v>102000</v>
      </c>
      <c r="M254" s="110" t="s">
        <v>173</v>
      </c>
      <c r="N254" s="110" t="s">
        <v>445</v>
      </c>
      <c r="O254" s="110">
        <v>3100</v>
      </c>
      <c r="P254" s="110">
        <v>0.52</v>
      </c>
      <c r="Q254" s="110">
        <v>0.52</v>
      </c>
      <c r="R254" s="34" t="s">
        <v>189</v>
      </c>
      <c r="S254" s="34" t="s">
        <v>446</v>
      </c>
      <c r="T254" s="34">
        <v>3311</v>
      </c>
      <c r="U254" s="34">
        <v>2.29166666666667E-2</v>
      </c>
      <c r="V254" s="34">
        <v>2.29166666666667E-2</v>
      </c>
      <c r="W254" t="s">
        <v>195</v>
      </c>
      <c r="X254" t="s">
        <v>447</v>
      </c>
      <c r="Y254">
        <v>3312</v>
      </c>
      <c r="Z254">
        <v>2760</v>
      </c>
      <c r="AA254">
        <v>2760</v>
      </c>
    </row>
    <row r="255" spans="1:56">
      <c r="A255" s="34" t="s">
        <v>442</v>
      </c>
      <c r="B255" s="34">
        <v>14</v>
      </c>
      <c r="E255" s="34">
        <v>3</v>
      </c>
      <c r="G255" s="34" t="s">
        <v>462</v>
      </c>
      <c r="H255" s="34" t="s">
        <v>125</v>
      </c>
      <c r="I255" s="34" t="s">
        <v>444</v>
      </c>
      <c r="J255" s="34">
        <v>3102</v>
      </c>
      <c r="K255" s="34">
        <v>108000</v>
      </c>
      <c r="L255" s="34">
        <v>108000</v>
      </c>
      <c r="M255" s="110" t="s">
        <v>173</v>
      </c>
      <c r="N255" s="110" t="s">
        <v>445</v>
      </c>
      <c r="O255" s="110">
        <v>3100</v>
      </c>
      <c r="P255" s="110">
        <v>0.56000000000000005</v>
      </c>
      <c r="Q255" s="110">
        <v>0.56000000000000005</v>
      </c>
      <c r="R255" s="34" t="s">
        <v>189</v>
      </c>
      <c r="S255" s="34" t="s">
        <v>446</v>
      </c>
      <c r="T255" s="34">
        <v>3311</v>
      </c>
      <c r="U255" s="34">
        <v>2.36111111111111E-2</v>
      </c>
      <c r="V255" s="34">
        <v>2.36111111111111E-2</v>
      </c>
      <c r="W255" t="s">
        <v>195</v>
      </c>
      <c r="X255" t="s">
        <v>447</v>
      </c>
      <c r="Y255">
        <v>3312</v>
      </c>
      <c r="Z255">
        <v>2880</v>
      </c>
      <c r="AA255">
        <v>2880</v>
      </c>
    </row>
    <row r="256" spans="1:56">
      <c r="A256" s="34" t="s">
        <v>442</v>
      </c>
      <c r="B256" s="34">
        <v>15</v>
      </c>
      <c r="E256" s="34">
        <v>3</v>
      </c>
      <c r="G256" s="34" t="s">
        <v>463</v>
      </c>
      <c r="H256" s="34" t="s">
        <v>125</v>
      </c>
      <c r="I256" s="34" t="s">
        <v>444</v>
      </c>
      <c r="J256" s="34">
        <v>3102</v>
      </c>
      <c r="K256" s="34">
        <v>114000</v>
      </c>
      <c r="L256" s="34">
        <v>114000</v>
      </c>
      <c r="M256" s="110" t="s">
        <v>173</v>
      </c>
      <c r="N256" s="110" t="s">
        <v>445</v>
      </c>
      <c r="O256" s="110">
        <v>3100</v>
      </c>
      <c r="P256" s="110">
        <v>0.6</v>
      </c>
      <c r="Q256" s="110">
        <v>0.6</v>
      </c>
      <c r="R256" s="34" t="s">
        <v>189</v>
      </c>
      <c r="S256" s="34" t="s">
        <v>446</v>
      </c>
      <c r="T256" s="34">
        <v>3311</v>
      </c>
      <c r="U256" s="34">
        <v>2.4305555555555601E-2</v>
      </c>
      <c r="V256" s="34">
        <v>2.4305555555555601E-2</v>
      </c>
      <c r="W256" t="s">
        <v>195</v>
      </c>
      <c r="X256" t="s">
        <v>447</v>
      </c>
      <c r="Y256">
        <v>3312</v>
      </c>
      <c r="Z256">
        <v>3000</v>
      </c>
      <c r="AA256">
        <v>3000</v>
      </c>
    </row>
    <row r="257" spans="1:50">
      <c r="A257" s="34" t="s">
        <v>442</v>
      </c>
      <c r="B257" s="34">
        <v>16</v>
      </c>
      <c r="E257" s="34">
        <v>3</v>
      </c>
      <c r="G257" s="34" t="s">
        <v>464</v>
      </c>
      <c r="H257" s="34" t="s">
        <v>125</v>
      </c>
      <c r="I257" s="34" t="s">
        <v>444</v>
      </c>
      <c r="J257" s="34">
        <v>3102</v>
      </c>
      <c r="K257" s="34">
        <v>120000</v>
      </c>
      <c r="L257" s="34">
        <v>120000</v>
      </c>
      <c r="M257" s="110" t="s">
        <v>173</v>
      </c>
      <c r="N257" s="110" t="s">
        <v>445</v>
      </c>
      <c r="O257" s="110">
        <v>3100</v>
      </c>
      <c r="P257" s="110">
        <v>0.64</v>
      </c>
      <c r="Q257" s="110">
        <v>0.64</v>
      </c>
      <c r="R257" s="34" t="s">
        <v>189</v>
      </c>
      <c r="S257" s="34" t="s">
        <v>446</v>
      </c>
      <c r="T257" s="34">
        <v>3311</v>
      </c>
      <c r="U257" s="34">
        <v>2.5000000000000001E-2</v>
      </c>
      <c r="V257" s="34">
        <v>2.5000000000000001E-2</v>
      </c>
      <c r="W257" t="s">
        <v>195</v>
      </c>
      <c r="X257" t="s">
        <v>447</v>
      </c>
      <c r="Y257">
        <v>3312</v>
      </c>
      <c r="Z257">
        <v>3120</v>
      </c>
      <c r="AA257">
        <v>3120</v>
      </c>
    </row>
    <row r="258" spans="1:50">
      <c r="A258" s="34" t="s">
        <v>442</v>
      </c>
      <c r="B258" s="34">
        <v>17</v>
      </c>
      <c r="E258" s="34">
        <v>3</v>
      </c>
      <c r="G258" s="34" t="s">
        <v>465</v>
      </c>
      <c r="H258" s="34" t="s">
        <v>125</v>
      </c>
      <c r="I258" s="34" t="s">
        <v>444</v>
      </c>
      <c r="J258" s="34">
        <v>3102</v>
      </c>
      <c r="K258" s="34">
        <v>126000</v>
      </c>
      <c r="L258" s="34">
        <v>126000</v>
      </c>
      <c r="M258" s="110" t="s">
        <v>173</v>
      </c>
      <c r="N258" s="110" t="s">
        <v>445</v>
      </c>
      <c r="O258" s="110">
        <v>3100</v>
      </c>
      <c r="P258" s="110">
        <v>0.68</v>
      </c>
      <c r="Q258" s="110">
        <v>0.68</v>
      </c>
      <c r="R258" s="34" t="s">
        <v>189</v>
      </c>
      <c r="S258" s="34" t="s">
        <v>446</v>
      </c>
      <c r="T258" s="34">
        <v>3311</v>
      </c>
      <c r="U258" s="34">
        <v>2.5694444444444402E-2</v>
      </c>
      <c r="V258" s="34">
        <v>2.5694444444444402E-2</v>
      </c>
      <c r="W258" t="s">
        <v>195</v>
      </c>
      <c r="X258" t="s">
        <v>447</v>
      </c>
      <c r="Y258">
        <v>3312</v>
      </c>
      <c r="Z258">
        <v>3240</v>
      </c>
      <c r="AA258">
        <v>3240</v>
      </c>
    </row>
    <row r="259" spans="1:50">
      <c r="A259" s="34" t="s">
        <v>442</v>
      </c>
      <c r="B259" s="34">
        <v>18</v>
      </c>
      <c r="E259" s="34">
        <v>3</v>
      </c>
      <c r="G259" s="34" t="s">
        <v>466</v>
      </c>
      <c r="H259" s="34" t="s">
        <v>125</v>
      </c>
      <c r="I259" s="34" t="s">
        <v>444</v>
      </c>
      <c r="J259" s="34">
        <v>3102</v>
      </c>
      <c r="K259" s="34">
        <v>132000</v>
      </c>
      <c r="L259" s="34">
        <v>132000</v>
      </c>
      <c r="M259" s="110" t="s">
        <v>173</v>
      </c>
      <c r="N259" s="110" t="s">
        <v>445</v>
      </c>
      <c r="O259" s="110">
        <v>3100</v>
      </c>
      <c r="P259" s="110">
        <v>0.72</v>
      </c>
      <c r="Q259" s="110">
        <v>0.72</v>
      </c>
      <c r="R259" s="34" t="s">
        <v>189</v>
      </c>
      <c r="S259" s="34" t="s">
        <v>446</v>
      </c>
      <c r="T259" s="34">
        <v>3311</v>
      </c>
      <c r="U259" s="34">
        <v>2.6388888888888899E-2</v>
      </c>
      <c r="V259" s="34">
        <v>2.6388888888888899E-2</v>
      </c>
      <c r="W259" t="s">
        <v>195</v>
      </c>
      <c r="X259" t="s">
        <v>447</v>
      </c>
      <c r="Y259">
        <v>3312</v>
      </c>
      <c r="Z259">
        <v>3360</v>
      </c>
      <c r="AA259">
        <v>3360</v>
      </c>
    </row>
    <row r="260" spans="1:50">
      <c r="A260" s="34" t="s">
        <v>442</v>
      </c>
      <c r="B260" s="34">
        <v>19</v>
      </c>
      <c r="E260" s="34">
        <v>3</v>
      </c>
      <c r="G260" s="34" t="s">
        <v>467</v>
      </c>
      <c r="H260" s="34" t="s">
        <v>125</v>
      </c>
      <c r="I260" s="34" t="s">
        <v>444</v>
      </c>
      <c r="J260" s="34">
        <v>3102</v>
      </c>
      <c r="K260" s="34">
        <v>138000</v>
      </c>
      <c r="L260" s="34">
        <v>138000</v>
      </c>
      <c r="M260" s="110" t="s">
        <v>173</v>
      </c>
      <c r="N260" s="110" t="s">
        <v>445</v>
      </c>
      <c r="O260" s="110">
        <v>3100</v>
      </c>
      <c r="P260" s="110">
        <v>0.76</v>
      </c>
      <c r="Q260" s="110">
        <v>0.76</v>
      </c>
      <c r="R260" s="34" t="s">
        <v>189</v>
      </c>
      <c r="S260" s="34" t="s">
        <v>446</v>
      </c>
      <c r="T260" s="34">
        <v>3311</v>
      </c>
      <c r="U260" s="34">
        <v>2.70833333333333E-2</v>
      </c>
      <c r="V260" s="34">
        <v>2.70833333333333E-2</v>
      </c>
      <c r="W260" t="s">
        <v>195</v>
      </c>
      <c r="X260" t="s">
        <v>447</v>
      </c>
      <c r="Y260">
        <v>3312</v>
      </c>
      <c r="Z260">
        <v>3480</v>
      </c>
      <c r="AA260">
        <v>3480</v>
      </c>
    </row>
    <row r="261" spans="1:50">
      <c r="A261" s="34" t="s">
        <v>442</v>
      </c>
      <c r="B261" s="34">
        <v>20</v>
      </c>
      <c r="E261" s="34">
        <v>3</v>
      </c>
      <c r="G261" s="34" t="s">
        <v>468</v>
      </c>
      <c r="H261" s="34" t="s">
        <v>125</v>
      </c>
      <c r="I261" s="34" t="s">
        <v>444</v>
      </c>
      <c r="J261" s="34">
        <v>3102</v>
      </c>
      <c r="K261" s="34">
        <v>144000</v>
      </c>
      <c r="L261" s="34">
        <v>144000</v>
      </c>
      <c r="M261" s="110" t="s">
        <v>173</v>
      </c>
      <c r="N261" s="110" t="s">
        <v>445</v>
      </c>
      <c r="O261" s="110">
        <v>3100</v>
      </c>
      <c r="P261" s="110">
        <v>0.8</v>
      </c>
      <c r="Q261" s="110">
        <v>0.8</v>
      </c>
      <c r="R261" s="34" t="s">
        <v>189</v>
      </c>
      <c r="S261" s="34" t="s">
        <v>446</v>
      </c>
      <c r="T261" s="34">
        <v>3311</v>
      </c>
      <c r="U261" s="34">
        <v>2.7777777777777801E-2</v>
      </c>
      <c r="V261" s="34">
        <v>2.7777777777777801E-2</v>
      </c>
      <c r="W261" t="s">
        <v>195</v>
      </c>
      <c r="X261" t="s">
        <v>447</v>
      </c>
      <c r="Y261">
        <v>3312</v>
      </c>
      <c r="Z261">
        <v>3600</v>
      </c>
      <c r="AA261">
        <v>3600</v>
      </c>
    </row>
    <row r="262" spans="1:50">
      <c r="A262" s="34" t="s">
        <v>469</v>
      </c>
      <c r="B262" s="34">
        <v>1</v>
      </c>
      <c r="G262" s="34" t="s">
        <v>470</v>
      </c>
      <c r="H262" s="34" t="s">
        <v>128</v>
      </c>
      <c r="I262" s="34" t="s">
        <v>471</v>
      </c>
      <c r="J262" s="34">
        <v>2553</v>
      </c>
      <c r="K262" s="34">
        <v>0.02</v>
      </c>
      <c r="L262" s="34">
        <v>0.02</v>
      </c>
      <c r="M262" s="110" t="s">
        <v>176</v>
      </c>
      <c r="N262" s="110" t="s">
        <v>472</v>
      </c>
      <c r="O262" s="110">
        <v>2570</v>
      </c>
      <c r="P262" s="110">
        <v>1</v>
      </c>
      <c r="Q262" s="110">
        <v>1</v>
      </c>
      <c r="V262" s="34">
        <v>0</v>
      </c>
      <c r="AQ262" t="s">
        <v>158</v>
      </c>
      <c r="AR262" t="s">
        <v>473</v>
      </c>
      <c r="AS262" t="s">
        <v>127</v>
      </c>
      <c r="AT262" t="s">
        <v>128</v>
      </c>
      <c r="AU262">
        <v>14</v>
      </c>
      <c r="AV262" t="s">
        <v>175</v>
      </c>
      <c r="AW262" t="s">
        <v>176</v>
      </c>
      <c r="AX262">
        <v>29</v>
      </c>
    </row>
    <row r="263" spans="1:50">
      <c r="A263" s="34" t="s">
        <v>469</v>
      </c>
      <c r="B263" s="34">
        <v>2</v>
      </c>
      <c r="G263" s="34" t="s">
        <v>474</v>
      </c>
      <c r="H263" s="34" t="s">
        <v>128</v>
      </c>
      <c r="I263" s="34" t="s">
        <v>471</v>
      </c>
      <c r="J263" s="34">
        <v>2553</v>
      </c>
      <c r="K263" s="34">
        <v>0.03</v>
      </c>
      <c r="L263" s="34">
        <v>0.03</v>
      </c>
      <c r="M263" s="110" t="s">
        <v>176</v>
      </c>
      <c r="N263" s="110" t="s">
        <v>472</v>
      </c>
      <c r="O263" s="110">
        <v>2570</v>
      </c>
      <c r="P263" s="110">
        <v>1</v>
      </c>
      <c r="Q263" s="110">
        <v>1</v>
      </c>
      <c r="V263" s="34">
        <v>0</v>
      </c>
    </row>
    <row r="264" spans="1:50">
      <c r="A264" s="34" t="s">
        <v>469</v>
      </c>
      <c r="B264" s="34">
        <v>3</v>
      </c>
      <c r="G264" s="34" t="s">
        <v>475</v>
      </c>
      <c r="H264" s="34" t="s">
        <v>128</v>
      </c>
      <c r="I264" s="34" t="s">
        <v>471</v>
      </c>
      <c r="J264" s="34">
        <v>2553</v>
      </c>
      <c r="K264" s="34">
        <v>0.04</v>
      </c>
      <c r="L264" s="34">
        <v>0.04</v>
      </c>
      <c r="M264" s="110" t="s">
        <v>176</v>
      </c>
      <c r="N264" s="110" t="s">
        <v>472</v>
      </c>
      <c r="O264" s="110">
        <v>2570</v>
      </c>
      <c r="P264" s="110">
        <v>1</v>
      </c>
      <c r="Q264" s="110">
        <v>1</v>
      </c>
      <c r="V264" s="34">
        <v>0</v>
      </c>
    </row>
    <row r="265" spans="1:50">
      <c r="A265" s="34" t="s">
        <v>469</v>
      </c>
      <c r="B265" s="34">
        <v>4</v>
      </c>
      <c r="G265" s="34" t="s">
        <v>476</v>
      </c>
      <c r="H265" s="34" t="s">
        <v>128</v>
      </c>
      <c r="I265" s="34" t="s">
        <v>471</v>
      </c>
      <c r="J265" s="34">
        <v>2553</v>
      </c>
      <c r="K265" s="34">
        <v>0.05</v>
      </c>
      <c r="L265" s="34">
        <v>0.05</v>
      </c>
      <c r="M265" s="110" t="s">
        <v>176</v>
      </c>
      <c r="N265" s="110" t="s">
        <v>472</v>
      </c>
      <c r="O265" s="110">
        <v>2570</v>
      </c>
      <c r="P265" s="110">
        <v>1</v>
      </c>
      <c r="Q265" s="110">
        <v>1</v>
      </c>
      <c r="V265" s="34">
        <v>0</v>
      </c>
    </row>
    <row r="266" spans="1:50">
      <c r="A266" s="34" t="s">
        <v>469</v>
      </c>
      <c r="B266" s="34">
        <v>5</v>
      </c>
      <c r="G266" s="34" t="s">
        <v>477</v>
      </c>
      <c r="H266" s="34" t="s">
        <v>128</v>
      </c>
      <c r="I266" s="34" t="s">
        <v>471</v>
      </c>
      <c r="J266" s="34">
        <v>2553</v>
      </c>
      <c r="K266" s="34">
        <v>0.06</v>
      </c>
      <c r="L266" s="34">
        <v>0.06</v>
      </c>
      <c r="M266" s="110" t="s">
        <v>176</v>
      </c>
      <c r="N266" s="110" t="s">
        <v>472</v>
      </c>
      <c r="O266" s="110">
        <v>2570</v>
      </c>
      <c r="P266" s="110">
        <v>1</v>
      </c>
      <c r="Q266" s="110">
        <v>1</v>
      </c>
      <c r="V266" s="34">
        <v>0</v>
      </c>
    </row>
    <row r="267" spans="1:50">
      <c r="A267" s="34" t="s">
        <v>469</v>
      </c>
      <c r="B267" s="34">
        <v>6</v>
      </c>
      <c r="G267" s="34" t="s">
        <v>478</v>
      </c>
      <c r="H267" s="34" t="s">
        <v>128</v>
      </c>
      <c r="I267" s="34" t="s">
        <v>471</v>
      </c>
      <c r="J267" s="34">
        <v>2553</v>
      </c>
      <c r="K267" s="34">
        <v>7.0000000000000007E-2</v>
      </c>
      <c r="L267" s="34">
        <v>7.0000000000000007E-2</v>
      </c>
      <c r="M267" s="110" t="s">
        <v>176</v>
      </c>
      <c r="N267" s="110" t="s">
        <v>472</v>
      </c>
      <c r="O267" s="110">
        <v>2570</v>
      </c>
      <c r="P267" s="110">
        <v>1</v>
      </c>
      <c r="Q267" s="110">
        <v>1</v>
      </c>
      <c r="V267" s="34">
        <v>0</v>
      </c>
    </row>
    <row r="268" spans="1:50">
      <c r="A268" s="34" t="s">
        <v>469</v>
      </c>
      <c r="B268" s="34">
        <v>7</v>
      </c>
      <c r="G268" s="34" t="s">
        <v>479</v>
      </c>
      <c r="H268" s="34" t="s">
        <v>128</v>
      </c>
      <c r="I268" s="34" t="s">
        <v>471</v>
      </c>
      <c r="J268" s="34">
        <v>2553</v>
      </c>
      <c r="K268" s="34">
        <v>0.08</v>
      </c>
      <c r="L268" s="34">
        <v>0.08</v>
      </c>
      <c r="M268" s="110" t="s">
        <v>176</v>
      </c>
      <c r="N268" s="110" t="s">
        <v>472</v>
      </c>
      <c r="O268" s="110">
        <v>2570</v>
      </c>
      <c r="P268" s="110">
        <v>2</v>
      </c>
      <c r="Q268" s="110">
        <v>2</v>
      </c>
      <c r="V268" s="34">
        <v>0</v>
      </c>
    </row>
    <row r="269" spans="1:50">
      <c r="A269" s="34" t="s">
        <v>469</v>
      </c>
      <c r="B269" s="34">
        <v>8</v>
      </c>
      <c r="G269" s="34" t="s">
        <v>480</v>
      </c>
      <c r="H269" s="34" t="s">
        <v>128</v>
      </c>
      <c r="I269" s="34" t="s">
        <v>471</v>
      </c>
      <c r="J269" s="34">
        <v>2553</v>
      </c>
      <c r="K269" s="34">
        <v>0.09</v>
      </c>
      <c r="L269" s="34">
        <v>0.09</v>
      </c>
      <c r="M269" s="110" t="s">
        <v>176</v>
      </c>
      <c r="N269" s="110" t="s">
        <v>472</v>
      </c>
      <c r="O269" s="110">
        <v>2570</v>
      </c>
      <c r="P269" s="110">
        <v>2</v>
      </c>
      <c r="Q269" s="110">
        <v>2</v>
      </c>
      <c r="V269" s="34">
        <v>0</v>
      </c>
    </row>
    <row r="270" spans="1:50">
      <c r="A270" s="34" t="s">
        <v>469</v>
      </c>
      <c r="B270" s="34">
        <v>9</v>
      </c>
      <c r="G270" s="34" t="s">
        <v>481</v>
      </c>
      <c r="H270" s="34" t="s">
        <v>128</v>
      </c>
      <c r="I270" s="34" t="s">
        <v>471</v>
      </c>
      <c r="J270" s="34">
        <v>2553</v>
      </c>
      <c r="K270" s="34">
        <v>0.1</v>
      </c>
      <c r="L270" s="34">
        <v>0.1</v>
      </c>
      <c r="M270" s="110" t="s">
        <v>176</v>
      </c>
      <c r="N270" s="110" t="s">
        <v>472</v>
      </c>
      <c r="O270" s="110">
        <v>2570</v>
      </c>
      <c r="P270" s="110">
        <v>2</v>
      </c>
      <c r="Q270" s="110">
        <v>2</v>
      </c>
      <c r="V270" s="34">
        <v>0</v>
      </c>
    </row>
    <row r="271" spans="1:50">
      <c r="A271" s="34" t="s">
        <v>469</v>
      </c>
      <c r="B271" s="34">
        <v>10</v>
      </c>
      <c r="G271" s="34" t="s">
        <v>482</v>
      </c>
      <c r="H271" s="34" t="s">
        <v>128</v>
      </c>
      <c r="I271" s="34" t="s">
        <v>471</v>
      </c>
      <c r="J271" s="34">
        <v>2553</v>
      </c>
      <c r="K271" s="34">
        <v>0.11</v>
      </c>
      <c r="L271" s="34">
        <v>0.11</v>
      </c>
      <c r="M271" s="110" t="s">
        <v>176</v>
      </c>
      <c r="N271" s="110" t="s">
        <v>472</v>
      </c>
      <c r="O271" s="110">
        <v>2570</v>
      </c>
      <c r="P271" s="110">
        <v>2</v>
      </c>
      <c r="Q271" s="110">
        <v>2</v>
      </c>
      <c r="V271" s="34">
        <v>0</v>
      </c>
    </row>
    <row r="272" spans="1:50">
      <c r="A272" s="34" t="s">
        <v>469</v>
      </c>
      <c r="B272" s="34">
        <v>11</v>
      </c>
      <c r="G272" s="34" t="s">
        <v>483</v>
      </c>
      <c r="H272" s="34" t="s">
        <v>128</v>
      </c>
      <c r="I272" s="34" t="s">
        <v>471</v>
      </c>
      <c r="J272" s="34">
        <v>2553</v>
      </c>
      <c r="K272" s="34">
        <v>0.12</v>
      </c>
      <c r="L272" s="34">
        <v>0.12</v>
      </c>
      <c r="M272" s="110" t="s">
        <v>176</v>
      </c>
      <c r="N272" s="110" t="s">
        <v>472</v>
      </c>
      <c r="O272" s="110">
        <v>2570</v>
      </c>
      <c r="P272" s="110">
        <v>2</v>
      </c>
      <c r="Q272" s="110">
        <v>2</v>
      </c>
      <c r="V272" s="34">
        <v>0</v>
      </c>
    </row>
    <row r="273" spans="1:47">
      <c r="A273" s="34" t="s">
        <v>469</v>
      </c>
      <c r="B273" s="34">
        <v>12</v>
      </c>
      <c r="G273" s="34" t="s">
        <v>484</v>
      </c>
      <c r="H273" s="34" t="s">
        <v>128</v>
      </c>
      <c r="I273" s="34" t="s">
        <v>471</v>
      </c>
      <c r="J273" s="34">
        <v>2553</v>
      </c>
      <c r="K273" s="34">
        <v>0.13</v>
      </c>
      <c r="L273" s="34">
        <v>0.13</v>
      </c>
      <c r="M273" s="110" t="s">
        <v>176</v>
      </c>
      <c r="N273" s="110" t="s">
        <v>472</v>
      </c>
      <c r="O273" s="110">
        <v>2570</v>
      </c>
      <c r="P273" s="110">
        <v>2</v>
      </c>
      <c r="Q273" s="110">
        <v>2</v>
      </c>
      <c r="V273" s="34">
        <v>0</v>
      </c>
    </row>
    <row r="274" spans="1:47">
      <c r="A274" s="34" t="s">
        <v>469</v>
      </c>
      <c r="B274" s="34">
        <v>13</v>
      </c>
      <c r="G274" s="34" t="s">
        <v>485</v>
      </c>
      <c r="H274" s="34" t="s">
        <v>128</v>
      </c>
      <c r="I274" s="34" t="s">
        <v>471</v>
      </c>
      <c r="J274" s="34">
        <v>2553</v>
      </c>
      <c r="K274" s="34">
        <v>0.14000000000000001</v>
      </c>
      <c r="L274" s="34">
        <v>0.14000000000000001</v>
      </c>
      <c r="M274" s="110" t="s">
        <v>176</v>
      </c>
      <c r="N274" s="110" t="s">
        <v>472</v>
      </c>
      <c r="O274" s="110">
        <v>2570</v>
      </c>
      <c r="P274" s="110">
        <v>2</v>
      </c>
      <c r="Q274" s="110">
        <v>2</v>
      </c>
      <c r="V274" s="34">
        <v>0</v>
      </c>
    </row>
    <row r="275" spans="1:47">
      <c r="A275" s="34" t="s">
        <v>469</v>
      </c>
      <c r="B275" s="34">
        <v>14</v>
      </c>
      <c r="G275" s="34" t="s">
        <v>486</v>
      </c>
      <c r="H275" s="34" t="s">
        <v>128</v>
      </c>
      <c r="I275" s="34" t="s">
        <v>471</v>
      </c>
      <c r="J275" s="34">
        <v>2553</v>
      </c>
      <c r="K275" s="34">
        <v>0.15</v>
      </c>
      <c r="L275" s="34">
        <v>0.15</v>
      </c>
      <c r="M275" s="110" t="s">
        <v>176</v>
      </c>
      <c r="N275" s="110" t="s">
        <v>472</v>
      </c>
      <c r="O275" s="110">
        <v>2570</v>
      </c>
      <c r="P275" s="110">
        <v>2</v>
      </c>
      <c r="Q275" s="110">
        <v>2</v>
      </c>
      <c r="V275" s="34">
        <v>0</v>
      </c>
    </row>
    <row r="276" spans="1:47">
      <c r="A276" s="34" t="s">
        <v>469</v>
      </c>
      <c r="B276" s="34">
        <v>15</v>
      </c>
      <c r="G276" s="34" t="s">
        <v>487</v>
      </c>
      <c r="H276" s="34" t="s">
        <v>128</v>
      </c>
      <c r="I276" s="34" t="s">
        <v>471</v>
      </c>
      <c r="J276" s="34">
        <v>2553</v>
      </c>
      <c r="K276" s="34">
        <v>0.16</v>
      </c>
      <c r="L276" s="34">
        <v>0.16</v>
      </c>
      <c r="M276" s="110" t="s">
        <v>176</v>
      </c>
      <c r="N276" s="110" t="s">
        <v>472</v>
      </c>
      <c r="O276" s="110">
        <v>2570</v>
      </c>
      <c r="P276" s="110">
        <v>3</v>
      </c>
      <c r="Q276" s="110">
        <v>3</v>
      </c>
      <c r="V276" s="34">
        <v>0</v>
      </c>
    </row>
    <row r="277" spans="1:47">
      <c r="A277" s="34" t="s">
        <v>469</v>
      </c>
      <c r="B277" s="34">
        <v>16</v>
      </c>
      <c r="G277" s="34" t="s">
        <v>488</v>
      </c>
      <c r="H277" s="34" t="s">
        <v>128</v>
      </c>
      <c r="I277" s="34" t="s">
        <v>471</v>
      </c>
      <c r="J277" s="34">
        <v>2553</v>
      </c>
      <c r="K277" s="34">
        <v>0.17</v>
      </c>
      <c r="L277" s="34">
        <v>0.17</v>
      </c>
      <c r="M277" s="110" t="s">
        <v>176</v>
      </c>
      <c r="N277" s="110" t="s">
        <v>472</v>
      </c>
      <c r="O277" s="110">
        <v>2570</v>
      </c>
      <c r="P277" s="110">
        <v>3</v>
      </c>
      <c r="Q277" s="110">
        <v>3</v>
      </c>
      <c r="V277" s="34">
        <v>0</v>
      </c>
    </row>
    <row r="278" spans="1:47">
      <c r="A278" s="34" t="s">
        <v>469</v>
      </c>
      <c r="B278" s="34">
        <v>17</v>
      </c>
      <c r="G278" s="34" t="s">
        <v>489</v>
      </c>
      <c r="H278" s="34" t="s">
        <v>128</v>
      </c>
      <c r="I278" s="34" t="s">
        <v>471</v>
      </c>
      <c r="J278" s="34">
        <v>2553</v>
      </c>
      <c r="K278" s="34">
        <v>0.18</v>
      </c>
      <c r="L278" s="34">
        <v>0.18</v>
      </c>
      <c r="M278" s="110" t="s">
        <v>176</v>
      </c>
      <c r="N278" s="110" t="s">
        <v>472</v>
      </c>
      <c r="O278" s="110">
        <v>2570</v>
      </c>
      <c r="P278" s="110">
        <v>3</v>
      </c>
      <c r="Q278" s="110">
        <v>3</v>
      </c>
      <c r="V278" s="34">
        <v>0</v>
      </c>
    </row>
    <row r="279" spans="1:47">
      <c r="A279" s="34" t="s">
        <v>469</v>
      </c>
      <c r="B279" s="34">
        <v>18</v>
      </c>
      <c r="G279" s="34" t="s">
        <v>490</v>
      </c>
      <c r="H279" s="34" t="s">
        <v>128</v>
      </c>
      <c r="I279" s="34" t="s">
        <v>471</v>
      </c>
      <c r="J279" s="34">
        <v>2553</v>
      </c>
      <c r="K279" s="34">
        <v>0.19</v>
      </c>
      <c r="L279" s="34">
        <v>0.19</v>
      </c>
      <c r="M279" s="110" t="s">
        <v>176</v>
      </c>
      <c r="N279" s="110" t="s">
        <v>472</v>
      </c>
      <c r="O279" s="110">
        <v>2570</v>
      </c>
      <c r="P279" s="110">
        <v>3</v>
      </c>
      <c r="Q279" s="110">
        <v>3</v>
      </c>
      <c r="V279" s="34">
        <v>0</v>
      </c>
    </row>
    <row r="280" spans="1:47">
      <c r="A280" s="34" t="s">
        <v>469</v>
      </c>
      <c r="B280" s="34">
        <v>19</v>
      </c>
      <c r="G280" s="34" t="s">
        <v>491</v>
      </c>
      <c r="H280" s="34" t="s">
        <v>128</v>
      </c>
      <c r="I280" s="34" t="s">
        <v>471</v>
      </c>
      <c r="J280" s="34">
        <v>2553</v>
      </c>
      <c r="K280" s="34">
        <v>0.2</v>
      </c>
      <c r="L280" s="34">
        <v>0.2</v>
      </c>
      <c r="M280" s="110" t="s">
        <v>176</v>
      </c>
      <c r="N280" s="110" t="s">
        <v>472</v>
      </c>
      <c r="O280" s="110">
        <v>2570</v>
      </c>
      <c r="P280" s="110">
        <v>3</v>
      </c>
      <c r="Q280" s="110">
        <v>3</v>
      </c>
      <c r="V280" s="34">
        <v>0</v>
      </c>
    </row>
    <row r="281" spans="1:47">
      <c r="A281" s="34" t="s">
        <v>469</v>
      </c>
      <c r="B281" s="34">
        <v>20</v>
      </c>
      <c r="G281" s="34" t="s">
        <v>492</v>
      </c>
      <c r="H281" s="34" t="s">
        <v>128</v>
      </c>
      <c r="I281" s="34" t="s">
        <v>471</v>
      </c>
      <c r="J281" s="34">
        <v>2553</v>
      </c>
      <c r="K281" s="34">
        <v>0.21</v>
      </c>
      <c r="L281" s="34">
        <v>0.21</v>
      </c>
      <c r="M281" s="110" t="s">
        <v>176</v>
      </c>
      <c r="N281" s="110" t="s">
        <v>472</v>
      </c>
      <c r="O281" s="110">
        <v>2570</v>
      </c>
      <c r="P281" s="110">
        <v>3</v>
      </c>
      <c r="Q281" s="110">
        <v>3</v>
      </c>
      <c r="V281" s="34">
        <v>0</v>
      </c>
    </row>
    <row r="282" spans="1:47">
      <c r="A282" s="34" t="s">
        <v>493</v>
      </c>
      <c r="B282" s="34">
        <v>1</v>
      </c>
      <c r="C282" s="34">
        <v>2</v>
      </c>
      <c r="E282" s="34">
        <v>5</v>
      </c>
      <c r="G282" s="34" t="s">
        <v>494</v>
      </c>
      <c r="H282" s="34" t="s">
        <v>131</v>
      </c>
      <c r="I282" s="34" t="s">
        <v>495</v>
      </c>
      <c r="J282" s="34">
        <v>4207</v>
      </c>
      <c r="K282" s="34">
        <v>60</v>
      </c>
      <c r="L282" s="34">
        <v>60</v>
      </c>
      <c r="Q282" s="110">
        <v>0</v>
      </c>
      <c r="V282" s="34">
        <v>0</v>
      </c>
      <c r="AQ282" t="s">
        <v>229</v>
      </c>
      <c r="AR282" t="s">
        <v>130</v>
      </c>
      <c r="AS282" t="s">
        <v>130</v>
      </c>
      <c r="AT282" t="s">
        <v>131</v>
      </c>
      <c r="AU282">
        <v>15</v>
      </c>
    </row>
    <row r="283" spans="1:47">
      <c r="A283" s="34" t="s">
        <v>493</v>
      </c>
      <c r="B283" s="34">
        <v>2</v>
      </c>
      <c r="C283" s="34">
        <v>2</v>
      </c>
      <c r="E283" s="34">
        <v>5</v>
      </c>
      <c r="G283" s="34" t="s">
        <v>496</v>
      </c>
      <c r="H283" s="34" t="s">
        <v>131</v>
      </c>
      <c r="I283" s="34" t="s">
        <v>495</v>
      </c>
      <c r="J283" s="34">
        <v>4207</v>
      </c>
      <c r="K283" s="34">
        <v>120</v>
      </c>
      <c r="L283" s="34">
        <v>120</v>
      </c>
      <c r="Q283" s="110">
        <v>0</v>
      </c>
      <c r="V283" s="34">
        <v>0</v>
      </c>
    </row>
    <row r="284" spans="1:47">
      <c r="A284" s="34" t="s">
        <v>493</v>
      </c>
      <c r="B284" s="34">
        <v>3</v>
      </c>
      <c r="C284" s="34">
        <v>2</v>
      </c>
      <c r="E284" s="34">
        <v>5</v>
      </c>
      <c r="G284" s="34" t="s">
        <v>497</v>
      </c>
      <c r="H284" s="34" t="s">
        <v>131</v>
      </c>
      <c r="I284" s="34" t="s">
        <v>495</v>
      </c>
      <c r="J284" s="34">
        <v>4207</v>
      </c>
      <c r="K284" s="34">
        <v>180</v>
      </c>
      <c r="L284" s="34">
        <v>180</v>
      </c>
      <c r="Q284" s="110">
        <v>0</v>
      </c>
      <c r="V284" s="34">
        <v>0</v>
      </c>
    </row>
    <row r="285" spans="1:47">
      <c r="A285" s="34" t="s">
        <v>493</v>
      </c>
      <c r="B285" s="34">
        <v>4</v>
      </c>
      <c r="C285" s="34">
        <v>2</v>
      </c>
      <c r="E285" s="34">
        <v>5</v>
      </c>
      <c r="G285" s="34" t="s">
        <v>498</v>
      </c>
      <c r="H285" s="34" t="s">
        <v>131</v>
      </c>
      <c r="I285" s="34" t="s">
        <v>495</v>
      </c>
      <c r="J285" s="34">
        <v>4207</v>
      </c>
      <c r="K285" s="34">
        <v>240</v>
      </c>
      <c r="L285" s="34">
        <v>240</v>
      </c>
      <c r="Q285" s="110">
        <v>0</v>
      </c>
      <c r="V285" s="34">
        <v>0</v>
      </c>
    </row>
    <row r="286" spans="1:47">
      <c r="A286" s="34" t="s">
        <v>493</v>
      </c>
      <c r="B286" s="34">
        <v>5</v>
      </c>
      <c r="C286" s="34">
        <v>2</v>
      </c>
      <c r="E286" s="34">
        <v>5</v>
      </c>
      <c r="G286" s="34" t="s">
        <v>499</v>
      </c>
      <c r="H286" s="34" t="s">
        <v>131</v>
      </c>
      <c r="I286" s="34" t="s">
        <v>495</v>
      </c>
      <c r="J286" s="34">
        <v>4207</v>
      </c>
      <c r="K286" s="34">
        <v>300</v>
      </c>
      <c r="L286" s="34">
        <v>300</v>
      </c>
      <c r="Q286" s="110">
        <v>0</v>
      </c>
      <c r="V286" s="34">
        <v>0</v>
      </c>
    </row>
    <row r="287" spans="1:47">
      <c r="A287" s="34" t="s">
        <v>493</v>
      </c>
      <c r="B287" s="34">
        <v>6</v>
      </c>
      <c r="C287" s="34">
        <v>2</v>
      </c>
      <c r="E287" s="34">
        <v>5</v>
      </c>
      <c r="G287" s="34" t="s">
        <v>500</v>
      </c>
      <c r="H287" s="34" t="s">
        <v>131</v>
      </c>
      <c r="I287" s="34" t="s">
        <v>495</v>
      </c>
      <c r="J287" s="34">
        <v>4207</v>
      </c>
      <c r="K287" s="34">
        <v>390</v>
      </c>
      <c r="L287" s="34">
        <v>390</v>
      </c>
      <c r="Q287" s="110">
        <v>0</v>
      </c>
      <c r="V287" s="34">
        <v>0</v>
      </c>
    </row>
    <row r="288" spans="1:47">
      <c r="A288" s="34" t="s">
        <v>493</v>
      </c>
      <c r="B288" s="34">
        <v>7</v>
      </c>
      <c r="C288" s="34">
        <v>2</v>
      </c>
      <c r="E288" s="34">
        <v>5</v>
      </c>
      <c r="G288" s="34" t="s">
        <v>501</v>
      </c>
      <c r="H288" s="34" t="s">
        <v>131</v>
      </c>
      <c r="I288" s="34" t="s">
        <v>495</v>
      </c>
      <c r="J288" s="34">
        <v>4207</v>
      </c>
      <c r="K288" s="34">
        <v>480</v>
      </c>
      <c r="L288" s="34">
        <v>480</v>
      </c>
      <c r="Q288" s="110">
        <v>0</v>
      </c>
      <c r="V288" s="34">
        <v>0</v>
      </c>
    </row>
    <row r="289" spans="1:50">
      <c r="A289" s="34" t="s">
        <v>493</v>
      </c>
      <c r="B289" s="34">
        <v>8</v>
      </c>
      <c r="C289" s="34">
        <v>2</v>
      </c>
      <c r="E289" s="34">
        <v>5</v>
      </c>
      <c r="G289" s="34" t="s">
        <v>502</v>
      </c>
      <c r="H289" s="34" t="s">
        <v>131</v>
      </c>
      <c r="I289" s="34" t="s">
        <v>495</v>
      </c>
      <c r="J289" s="34">
        <v>4207</v>
      </c>
      <c r="K289" s="34">
        <v>570</v>
      </c>
      <c r="L289" s="34">
        <v>570</v>
      </c>
      <c r="Q289" s="110">
        <v>0</v>
      </c>
      <c r="V289" s="34">
        <v>0</v>
      </c>
    </row>
    <row r="290" spans="1:50">
      <c r="A290" s="34" t="s">
        <v>493</v>
      </c>
      <c r="B290" s="34">
        <v>9</v>
      </c>
      <c r="C290" s="34">
        <v>2</v>
      </c>
      <c r="E290" s="34">
        <v>5</v>
      </c>
      <c r="G290" s="34" t="s">
        <v>503</v>
      </c>
      <c r="H290" s="34" t="s">
        <v>131</v>
      </c>
      <c r="I290" s="34" t="s">
        <v>495</v>
      </c>
      <c r="J290" s="34">
        <v>4207</v>
      </c>
      <c r="K290" s="34">
        <v>660</v>
      </c>
      <c r="L290" s="34">
        <v>660</v>
      </c>
      <c r="Q290" s="110">
        <v>0</v>
      </c>
      <c r="V290" s="34">
        <v>0</v>
      </c>
    </row>
    <row r="291" spans="1:50">
      <c r="A291" s="34" t="s">
        <v>493</v>
      </c>
      <c r="B291" s="34">
        <v>10</v>
      </c>
      <c r="C291" s="34">
        <v>2</v>
      </c>
      <c r="E291" s="34">
        <v>5</v>
      </c>
      <c r="G291" s="34" t="s">
        <v>504</v>
      </c>
      <c r="H291" s="34" t="s">
        <v>131</v>
      </c>
      <c r="I291" s="34" t="s">
        <v>495</v>
      </c>
      <c r="J291" s="34">
        <v>4207</v>
      </c>
      <c r="K291" s="34">
        <v>750</v>
      </c>
      <c r="L291" s="34">
        <v>750</v>
      </c>
      <c r="Q291" s="110">
        <v>0</v>
      </c>
      <c r="V291" s="34">
        <v>0</v>
      </c>
    </row>
    <row r="292" spans="1:50">
      <c r="A292" s="34" t="s">
        <v>493</v>
      </c>
      <c r="B292" s="34">
        <v>11</v>
      </c>
      <c r="C292" s="34">
        <v>2</v>
      </c>
      <c r="E292" s="34">
        <v>5</v>
      </c>
      <c r="G292" s="34" t="s">
        <v>505</v>
      </c>
      <c r="H292" s="34" t="s">
        <v>131</v>
      </c>
      <c r="I292" s="34" t="s">
        <v>495</v>
      </c>
      <c r="J292" s="34">
        <v>4207</v>
      </c>
      <c r="K292" s="34">
        <v>870</v>
      </c>
      <c r="L292" s="34">
        <v>870</v>
      </c>
      <c r="Q292" s="110">
        <v>0</v>
      </c>
      <c r="V292" s="34">
        <v>0</v>
      </c>
    </row>
    <row r="293" spans="1:50">
      <c r="A293" s="34" t="s">
        <v>493</v>
      </c>
      <c r="B293" s="34">
        <v>12</v>
      </c>
      <c r="C293" s="34">
        <v>2</v>
      </c>
      <c r="E293" s="34">
        <v>5</v>
      </c>
      <c r="G293" s="34" t="s">
        <v>506</v>
      </c>
      <c r="H293" s="34" t="s">
        <v>131</v>
      </c>
      <c r="I293" s="34" t="s">
        <v>495</v>
      </c>
      <c r="J293" s="34">
        <v>4207</v>
      </c>
      <c r="K293" s="34">
        <v>990</v>
      </c>
      <c r="L293" s="34">
        <v>990</v>
      </c>
      <c r="Q293" s="110">
        <v>0</v>
      </c>
      <c r="V293" s="34">
        <v>0</v>
      </c>
    </row>
    <row r="294" spans="1:50">
      <c r="A294" s="34" t="s">
        <v>493</v>
      </c>
      <c r="B294" s="34">
        <v>13</v>
      </c>
      <c r="C294" s="34">
        <v>2</v>
      </c>
      <c r="E294" s="34">
        <v>5</v>
      </c>
      <c r="G294" s="34" t="s">
        <v>507</v>
      </c>
      <c r="H294" s="34" t="s">
        <v>131</v>
      </c>
      <c r="I294" s="34" t="s">
        <v>495</v>
      </c>
      <c r="J294" s="34">
        <v>4207</v>
      </c>
      <c r="K294" s="34">
        <v>1110</v>
      </c>
      <c r="L294" s="34">
        <v>1110</v>
      </c>
      <c r="Q294" s="110">
        <v>0</v>
      </c>
      <c r="V294" s="34">
        <v>0</v>
      </c>
    </row>
    <row r="295" spans="1:50">
      <c r="A295" s="34" t="s">
        <v>493</v>
      </c>
      <c r="B295" s="34">
        <v>14</v>
      </c>
      <c r="C295" s="34">
        <v>2</v>
      </c>
      <c r="E295" s="34">
        <v>5</v>
      </c>
      <c r="G295" s="34" t="s">
        <v>508</v>
      </c>
      <c r="H295" s="34" t="s">
        <v>131</v>
      </c>
      <c r="I295" s="34" t="s">
        <v>495</v>
      </c>
      <c r="J295" s="34">
        <v>4207</v>
      </c>
      <c r="K295" s="34">
        <v>1230</v>
      </c>
      <c r="L295" s="34">
        <v>1230</v>
      </c>
      <c r="Q295" s="110">
        <v>0</v>
      </c>
      <c r="V295" s="34">
        <v>0</v>
      </c>
    </row>
    <row r="296" spans="1:50">
      <c r="A296" s="34" t="s">
        <v>493</v>
      </c>
      <c r="B296" s="34">
        <v>15</v>
      </c>
      <c r="C296" s="34">
        <v>2</v>
      </c>
      <c r="E296" s="34">
        <v>5</v>
      </c>
      <c r="G296" s="34" t="s">
        <v>509</v>
      </c>
      <c r="H296" s="34" t="s">
        <v>131</v>
      </c>
      <c r="I296" s="34" t="s">
        <v>495</v>
      </c>
      <c r="J296" s="34">
        <v>4207</v>
      </c>
      <c r="K296" s="34">
        <v>1350</v>
      </c>
      <c r="L296" s="34">
        <v>1350</v>
      </c>
      <c r="Q296" s="110">
        <v>0</v>
      </c>
      <c r="V296" s="34">
        <v>0</v>
      </c>
    </row>
    <row r="297" spans="1:50">
      <c r="A297" s="34" t="s">
        <v>493</v>
      </c>
      <c r="B297" s="34">
        <v>16</v>
      </c>
      <c r="C297" s="34">
        <v>2</v>
      </c>
      <c r="E297" s="34">
        <v>5</v>
      </c>
      <c r="G297" s="34" t="s">
        <v>510</v>
      </c>
      <c r="H297" s="34" t="s">
        <v>131</v>
      </c>
      <c r="I297" s="34" t="s">
        <v>495</v>
      </c>
      <c r="J297" s="34">
        <v>4207</v>
      </c>
      <c r="K297" s="34">
        <v>1500</v>
      </c>
      <c r="L297" s="34">
        <v>1500</v>
      </c>
      <c r="Q297" s="110">
        <v>0</v>
      </c>
      <c r="V297" s="34">
        <v>0</v>
      </c>
    </row>
    <row r="298" spans="1:50">
      <c r="A298" s="34" t="s">
        <v>493</v>
      </c>
      <c r="B298" s="34">
        <v>17</v>
      </c>
      <c r="C298" s="34">
        <v>2</v>
      </c>
      <c r="E298" s="34">
        <v>5</v>
      </c>
      <c r="G298" s="34" t="s">
        <v>511</v>
      </c>
      <c r="H298" s="34" t="s">
        <v>131</v>
      </c>
      <c r="I298" s="34" t="s">
        <v>495</v>
      </c>
      <c r="J298" s="34">
        <v>4207</v>
      </c>
      <c r="K298" s="34">
        <v>1650</v>
      </c>
      <c r="L298" s="34">
        <v>1650</v>
      </c>
      <c r="Q298" s="110">
        <v>0</v>
      </c>
      <c r="V298" s="34">
        <v>0</v>
      </c>
    </row>
    <row r="299" spans="1:50">
      <c r="A299" s="34" t="s">
        <v>493</v>
      </c>
      <c r="B299" s="34">
        <v>18</v>
      </c>
      <c r="C299" s="34">
        <v>2</v>
      </c>
      <c r="E299" s="34">
        <v>5</v>
      </c>
      <c r="G299" s="34" t="s">
        <v>512</v>
      </c>
      <c r="H299" s="34" t="s">
        <v>131</v>
      </c>
      <c r="I299" s="34" t="s">
        <v>495</v>
      </c>
      <c r="J299" s="34">
        <v>4207</v>
      </c>
      <c r="K299" s="34">
        <v>1800</v>
      </c>
      <c r="L299" s="34">
        <v>1800</v>
      </c>
      <c r="Q299" s="110">
        <v>0</v>
      </c>
      <c r="V299" s="34">
        <v>0</v>
      </c>
    </row>
    <row r="300" spans="1:50">
      <c r="A300" s="34" t="s">
        <v>493</v>
      </c>
      <c r="B300" s="34">
        <v>19</v>
      </c>
      <c r="C300" s="34">
        <v>2</v>
      </c>
      <c r="E300" s="34">
        <v>5</v>
      </c>
      <c r="G300" s="34" t="s">
        <v>513</v>
      </c>
      <c r="H300" s="34" t="s">
        <v>131</v>
      </c>
      <c r="I300" s="34" t="s">
        <v>495</v>
      </c>
      <c r="J300" s="34">
        <v>4207</v>
      </c>
      <c r="K300" s="34">
        <v>1950</v>
      </c>
      <c r="L300" s="34">
        <v>1950</v>
      </c>
      <c r="Q300" s="110">
        <v>0</v>
      </c>
      <c r="V300" s="34">
        <v>0</v>
      </c>
    </row>
    <row r="301" spans="1:50">
      <c r="A301" s="34" t="s">
        <v>493</v>
      </c>
      <c r="B301" s="34">
        <v>20</v>
      </c>
      <c r="C301" s="34">
        <v>2</v>
      </c>
      <c r="E301" s="34">
        <v>5</v>
      </c>
      <c r="G301" s="34" t="s">
        <v>514</v>
      </c>
      <c r="H301" s="34" t="s">
        <v>131</v>
      </c>
      <c r="I301" s="34" t="s">
        <v>495</v>
      </c>
      <c r="J301" s="34">
        <v>4207</v>
      </c>
      <c r="K301" s="34">
        <v>2100</v>
      </c>
      <c r="L301" s="34">
        <v>2100</v>
      </c>
      <c r="Q301" s="110">
        <v>0</v>
      </c>
      <c r="V301" s="34">
        <v>0</v>
      </c>
    </row>
    <row r="302" spans="1:50">
      <c r="A302" s="34" t="s">
        <v>515</v>
      </c>
      <c r="B302" s="34">
        <v>1</v>
      </c>
      <c r="C302" s="34">
        <v>3</v>
      </c>
      <c r="E302" s="34">
        <v>12</v>
      </c>
      <c r="G302" s="34" t="s">
        <v>516</v>
      </c>
      <c r="H302" s="34" t="s">
        <v>134</v>
      </c>
      <c r="I302" s="34" t="s">
        <v>517</v>
      </c>
      <c r="J302" s="34">
        <v>2575</v>
      </c>
      <c r="K302" s="34">
        <v>0.02</v>
      </c>
      <c r="L302" s="34">
        <v>0.02</v>
      </c>
      <c r="M302" s="110" t="s">
        <v>179</v>
      </c>
      <c r="N302" s="110" t="s">
        <v>518</v>
      </c>
      <c r="O302" s="110">
        <v>1254</v>
      </c>
      <c r="P302" s="110">
        <v>20000</v>
      </c>
      <c r="Q302" s="110">
        <v>20000</v>
      </c>
      <c r="V302" s="34">
        <v>0</v>
      </c>
      <c r="AQ302" t="s">
        <v>158</v>
      </c>
      <c r="AR302" t="s">
        <v>519</v>
      </c>
      <c r="AS302" t="s">
        <v>133</v>
      </c>
      <c r="AT302" t="s">
        <v>134</v>
      </c>
      <c r="AU302">
        <v>16</v>
      </c>
      <c r="AV302" t="s">
        <v>178</v>
      </c>
      <c r="AW302" t="s">
        <v>179</v>
      </c>
      <c r="AX302">
        <v>30</v>
      </c>
    </row>
    <row r="303" spans="1:50">
      <c r="A303" s="34" t="s">
        <v>515</v>
      </c>
      <c r="B303" s="34">
        <v>2</v>
      </c>
      <c r="C303" s="34">
        <v>3</v>
      </c>
      <c r="E303" s="34">
        <v>12</v>
      </c>
      <c r="G303" s="34" t="s">
        <v>520</v>
      </c>
      <c r="H303" s="34" t="s">
        <v>134</v>
      </c>
      <c r="I303" s="34" t="s">
        <v>517</v>
      </c>
      <c r="J303" s="34">
        <v>2575</v>
      </c>
      <c r="K303" s="34">
        <v>0.04</v>
      </c>
      <c r="L303" s="34">
        <v>0.04</v>
      </c>
      <c r="M303" s="110" t="s">
        <v>179</v>
      </c>
      <c r="N303" s="110" t="s">
        <v>518</v>
      </c>
      <c r="O303" s="110">
        <v>1254</v>
      </c>
      <c r="P303" s="110">
        <v>40000</v>
      </c>
      <c r="Q303" s="110">
        <v>40000</v>
      </c>
      <c r="V303" s="34">
        <v>0</v>
      </c>
    </row>
    <row r="304" spans="1:50">
      <c r="A304" s="34" t="s">
        <v>515</v>
      </c>
      <c r="B304" s="34">
        <v>3</v>
      </c>
      <c r="C304" s="34">
        <v>3</v>
      </c>
      <c r="E304" s="34">
        <v>12</v>
      </c>
      <c r="G304" s="34" t="s">
        <v>521</v>
      </c>
      <c r="H304" s="34" t="s">
        <v>134</v>
      </c>
      <c r="I304" s="34" t="s">
        <v>517</v>
      </c>
      <c r="J304" s="34">
        <v>2575</v>
      </c>
      <c r="K304" s="34">
        <v>0.06</v>
      </c>
      <c r="L304" s="34">
        <v>0.06</v>
      </c>
      <c r="M304" s="110" t="s">
        <v>179</v>
      </c>
      <c r="N304" s="110" t="s">
        <v>518</v>
      </c>
      <c r="O304" s="110">
        <v>1254</v>
      </c>
      <c r="P304" s="110">
        <v>60000</v>
      </c>
      <c r="Q304" s="110">
        <v>60000</v>
      </c>
      <c r="V304" s="34">
        <v>0</v>
      </c>
    </row>
    <row r="305" spans="1:22">
      <c r="A305" s="34" t="s">
        <v>515</v>
      </c>
      <c r="B305" s="34">
        <v>4</v>
      </c>
      <c r="C305" s="34">
        <v>3</v>
      </c>
      <c r="E305" s="34">
        <v>12</v>
      </c>
      <c r="G305" s="34" t="s">
        <v>522</v>
      </c>
      <c r="H305" s="34" t="s">
        <v>134</v>
      </c>
      <c r="I305" s="34" t="s">
        <v>517</v>
      </c>
      <c r="J305" s="34">
        <v>2575</v>
      </c>
      <c r="K305" s="34">
        <v>0.08</v>
      </c>
      <c r="L305" s="34">
        <v>0.08</v>
      </c>
      <c r="M305" s="110" t="s">
        <v>179</v>
      </c>
      <c r="N305" s="110" t="s">
        <v>518</v>
      </c>
      <c r="O305" s="110">
        <v>1254</v>
      </c>
      <c r="P305" s="110">
        <v>80000</v>
      </c>
      <c r="Q305" s="110">
        <v>80000</v>
      </c>
      <c r="V305" s="34">
        <v>0</v>
      </c>
    </row>
    <row r="306" spans="1:22">
      <c r="A306" s="34" t="s">
        <v>515</v>
      </c>
      <c r="B306" s="34">
        <v>5</v>
      </c>
      <c r="C306" s="34">
        <v>3</v>
      </c>
      <c r="E306" s="34">
        <v>12</v>
      </c>
      <c r="G306" s="34" t="s">
        <v>523</v>
      </c>
      <c r="H306" s="34" t="s">
        <v>134</v>
      </c>
      <c r="I306" s="34" t="s">
        <v>517</v>
      </c>
      <c r="J306" s="34">
        <v>2575</v>
      </c>
      <c r="K306" s="34">
        <v>0.1</v>
      </c>
      <c r="L306" s="34">
        <v>0.1</v>
      </c>
      <c r="M306" s="110" t="s">
        <v>179</v>
      </c>
      <c r="N306" s="110" t="s">
        <v>518</v>
      </c>
      <c r="O306" s="110">
        <v>1254</v>
      </c>
      <c r="P306" s="110">
        <v>100000</v>
      </c>
      <c r="Q306" s="110">
        <v>100000</v>
      </c>
      <c r="V306" s="34">
        <v>0</v>
      </c>
    </row>
    <row r="307" spans="1:22">
      <c r="A307" s="34" t="s">
        <v>515</v>
      </c>
      <c r="B307" s="34">
        <v>6</v>
      </c>
      <c r="C307" s="34">
        <v>3</v>
      </c>
      <c r="E307" s="34">
        <v>12</v>
      </c>
      <c r="G307" s="34" t="s">
        <v>524</v>
      </c>
      <c r="H307" s="34" t="s">
        <v>134</v>
      </c>
      <c r="I307" s="34" t="s">
        <v>517</v>
      </c>
      <c r="J307" s="34">
        <v>2575</v>
      </c>
      <c r="K307" s="34">
        <v>0.12</v>
      </c>
      <c r="L307" s="34">
        <v>0.12</v>
      </c>
      <c r="M307" s="110" t="s">
        <v>179</v>
      </c>
      <c r="N307" s="110" t="s">
        <v>518</v>
      </c>
      <c r="O307" s="110">
        <v>1254</v>
      </c>
      <c r="P307" s="110">
        <v>150000</v>
      </c>
      <c r="Q307" s="110">
        <v>150000</v>
      </c>
      <c r="V307" s="34">
        <v>0</v>
      </c>
    </row>
    <row r="308" spans="1:22">
      <c r="A308" s="34" t="s">
        <v>515</v>
      </c>
      <c r="B308" s="34">
        <v>7</v>
      </c>
      <c r="C308" s="34">
        <v>3</v>
      </c>
      <c r="E308" s="34">
        <v>12</v>
      </c>
      <c r="G308" s="34" t="s">
        <v>525</v>
      </c>
      <c r="H308" s="34" t="s">
        <v>134</v>
      </c>
      <c r="I308" s="34" t="s">
        <v>517</v>
      </c>
      <c r="J308" s="34">
        <v>2575</v>
      </c>
      <c r="K308" s="34">
        <v>0.14000000000000001</v>
      </c>
      <c r="L308" s="34">
        <v>0.14000000000000001</v>
      </c>
      <c r="M308" s="110" t="s">
        <v>179</v>
      </c>
      <c r="N308" s="110" t="s">
        <v>518</v>
      </c>
      <c r="O308" s="110">
        <v>1254</v>
      </c>
      <c r="P308" s="110">
        <v>200000</v>
      </c>
      <c r="Q308" s="110">
        <v>200000</v>
      </c>
      <c r="V308" s="34">
        <v>0</v>
      </c>
    </row>
    <row r="309" spans="1:22">
      <c r="A309" s="34" t="s">
        <v>515</v>
      </c>
      <c r="B309" s="34">
        <v>8</v>
      </c>
      <c r="C309" s="34">
        <v>3</v>
      </c>
      <c r="E309" s="34">
        <v>12</v>
      </c>
      <c r="G309" s="34" t="s">
        <v>526</v>
      </c>
      <c r="H309" s="34" t="s">
        <v>134</v>
      </c>
      <c r="I309" s="34" t="s">
        <v>517</v>
      </c>
      <c r="J309" s="34">
        <v>2575</v>
      </c>
      <c r="K309" s="34">
        <v>0.16</v>
      </c>
      <c r="L309" s="34">
        <v>0.16</v>
      </c>
      <c r="M309" s="110" t="s">
        <v>179</v>
      </c>
      <c r="N309" s="110" t="s">
        <v>518</v>
      </c>
      <c r="O309" s="110">
        <v>1254</v>
      </c>
      <c r="P309" s="110">
        <v>250000</v>
      </c>
      <c r="Q309" s="110">
        <v>250000</v>
      </c>
      <c r="V309" s="34">
        <v>0</v>
      </c>
    </row>
    <row r="310" spans="1:22">
      <c r="A310" s="34" t="s">
        <v>515</v>
      </c>
      <c r="B310" s="34">
        <v>9</v>
      </c>
      <c r="C310" s="34">
        <v>3</v>
      </c>
      <c r="E310" s="34">
        <v>12</v>
      </c>
      <c r="G310" s="34" t="s">
        <v>527</v>
      </c>
      <c r="H310" s="34" t="s">
        <v>134</v>
      </c>
      <c r="I310" s="34" t="s">
        <v>517</v>
      </c>
      <c r="J310" s="34">
        <v>2575</v>
      </c>
      <c r="K310" s="34">
        <v>0.18</v>
      </c>
      <c r="L310" s="34">
        <v>0.18</v>
      </c>
      <c r="M310" s="110" t="s">
        <v>179</v>
      </c>
      <c r="N310" s="110" t="s">
        <v>518</v>
      </c>
      <c r="O310" s="110">
        <v>1254</v>
      </c>
      <c r="P310" s="110">
        <v>300000</v>
      </c>
      <c r="Q310" s="110">
        <v>300000</v>
      </c>
      <c r="V310" s="34">
        <v>0</v>
      </c>
    </row>
    <row r="311" spans="1:22">
      <c r="A311" s="34" t="s">
        <v>515</v>
      </c>
      <c r="B311" s="34">
        <v>10</v>
      </c>
      <c r="C311" s="34">
        <v>3</v>
      </c>
      <c r="E311" s="34">
        <v>12</v>
      </c>
      <c r="G311" s="34" t="s">
        <v>528</v>
      </c>
      <c r="H311" s="34" t="s">
        <v>134</v>
      </c>
      <c r="I311" s="34" t="s">
        <v>517</v>
      </c>
      <c r="J311" s="34">
        <v>2575</v>
      </c>
      <c r="K311" s="34">
        <v>0.2</v>
      </c>
      <c r="L311" s="34">
        <v>0.2</v>
      </c>
      <c r="M311" s="110" t="s">
        <v>179</v>
      </c>
      <c r="N311" s="110" t="s">
        <v>518</v>
      </c>
      <c r="O311" s="110">
        <v>1254</v>
      </c>
      <c r="P311" s="110">
        <v>400000</v>
      </c>
      <c r="Q311" s="110">
        <v>400000</v>
      </c>
      <c r="V311" s="34">
        <v>0</v>
      </c>
    </row>
    <row r="312" spans="1:22">
      <c r="A312" s="34" t="s">
        <v>515</v>
      </c>
      <c r="B312" s="34">
        <v>11</v>
      </c>
      <c r="C312" s="34">
        <v>3</v>
      </c>
      <c r="E312" s="34">
        <v>12</v>
      </c>
      <c r="G312" s="34" t="s">
        <v>529</v>
      </c>
      <c r="H312" s="34" t="s">
        <v>134</v>
      </c>
      <c r="I312" s="34" t="s">
        <v>517</v>
      </c>
      <c r="J312" s="34">
        <v>2575</v>
      </c>
      <c r="K312" s="34">
        <v>0.22</v>
      </c>
      <c r="L312" s="34">
        <v>0.22</v>
      </c>
      <c r="M312" s="110" t="s">
        <v>179</v>
      </c>
      <c r="N312" s="110" t="s">
        <v>518</v>
      </c>
      <c r="O312" s="110">
        <v>1254</v>
      </c>
      <c r="P312" s="110">
        <v>500000</v>
      </c>
      <c r="Q312" s="110">
        <v>500000</v>
      </c>
      <c r="V312" s="34">
        <v>0</v>
      </c>
    </row>
    <row r="313" spans="1:22">
      <c r="A313" s="34" t="s">
        <v>515</v>
      </c>
      <c r="B313" s="34">
        <v>12</v>
      </c>
      <c r="C313" s="34">
        <v>3</v>
      </c>
      <c r="E313" s="34">
        <v>12</v>
      </c>
      <c r="G313" s="34" t="s">
        <v>530</v>
      </c>
      <c r="H313" s="34" t="s">
        <v>134</v>
      </c>
      <c r="I313" s="34" t="s">
        <v>517</v>
      </c>
      <c r="J313" s="34">
        <v>2575</v>
      </c>
      <c r="K313" s="34">
        <v>0.24</v>
      </c>
      <c r="L313" s="34">
        <v>0.24</v>
      </c>
      <c r="M313" s="110" t="s">
        <v>179</v>
      </c>
      <c r="N313" s="110" t="s">
        <v>518</v>
      </c>
      <c r="O313" s="110">
        <v>1254</v>
      </c>
      <c r="P313" s="110">
        <v>600000</v>
      </c>
      <c r="Q313" s="110">
        <v>600000</v>
      </c>
      <c r="V313" s="34">
        <v>0</v>
      </c>
    </row>
    <row r="314" spans="1:22">
      <c r="A314" s="34" t="s">
        <v>515</v>
      </c>
      <c r="B314" s="34">
        <v>13</v>
      </c>
      <c r="C314" s="34">
        <v>3</v>
      </c>
      <c r="E314" s="34">
        <v>12</v>
      </c>
      <c r="G314" s="34" t="s">
        <v>531</v>
      </c>
      <c r="H314" s="34" t="s">
        <v>134</v>
      </c>
      <c r="I314" s="34" t="s">
        <v>517</v>
      </c>
      <c r="J314" s="34">
        <v>2575</v>
      </c>
      <c r="K314" s="34">
        <v>0.26</v>
      </c>
      <c r="L314" s="34">
        <v>0.26</v>
      </c>
      <c r="M314" s="110" t="s">
        <v>179</v>
      </c>
      <c r="N314" s="110" t="s">
        <v>518</v>
      </c>
      <c r="O314" s="110">
        <v>1254</v>
      </c>
      <c r="P314" s="110">
        <v>700000</v>
      </c>
      <c r="Q314" s="110">
        <v>700000</v>
      </c>
      <c r="V314" s="34">
        <v>0</v>
      </c>
    </row>
    <row r="315" spans="1:22">
      <c r="A315" s="34" t="s">
        <v>515</v>
      </c>
      <c r="B315" s="34">
        <v>14</v>
      </c>
      <c r="C315" s="34">
        <v>3</v>
      </c>
      <c r="E315" s="34">
        <v>12</v>
      </c>
      <c r="G315" s="34" t="s">
        <v>532</v>
      </c>
      <c r="H315" s="34" t="s">
        <v>134</v>
      </c>
      <c r="I315" s="34" t="s">
        <v>517</v>
      </c>
      <c r="J315" s="34">
        <v>2575</v>
      </c>
      <c r="K315" s="34">
        <v>0.28000000000000003</v>
      </c>
      <c r="L315" s="34">
        <v>0.28000000000000003</v>
      </c>
      <c r="M315" s="110" t="s">
        <v>179</v>
      </c>
      <c r="N315" s="110" t="s">
        <v>518</v>
      </c>
      <c r="O315" s="110">
        <v>1254</v>
      </c>
      <c r="P315" s="110">
        <v>800000</v>
      </c>
      <c r="Q315" s="110">
        <v>800000</v>
      </c>
      <c r="V315" s="34">
        <v>0</v>
      </c>
    </row>
    <row r="316" spans="1:22">
      <c r="A316" s="34" t="s">
        <v>515</v>
      </c>
      <c r="B316" s="34">
        <v>15</v>
      </c>
      <c r="C316" s="34">
        <v>3</v>
      </c>
      <c r="E316" s="34">
        <v>12</v>
      </c>
      <c r="G316" s="34" t="s">
        <v>533</v>
      </c>
      <c r="H316" s="34" t="s">
        <v>134</v>
      </c>
      <c r="I316" s="34" t="s">
        <v>517</v>
      </c>
      <c r="J316" s="34">
        <v>2575</v>
      </c>
      <c r="K316" s="34">
        <v>0.3</v>
      </c>
      <c r="L316" s="34">
        <v>0.3</v>
      </c>
      <c r="M316" s="110" t="s">
        <v>179</v>
      </c>
      <c r="N316" s="110" t="s">
        <v>518</v>
      </c>
      <c r="O316" s="110">
        <v>1254</v>
      </c>
      <c r="P316" s="110">
        <v>1000000</v>
      </c>
      <c r="Q316" s="110">
        <v>1000000</v>
      </c>
      <c r="V316" s="34">
        <v>0</v>
      </c>
    </row>
    <row r="317" spans="1:22">
      <c r="A317" s="34" t="s">
        <v>515</v>
      </c>
      <c r="B317" s="34">
        <v>16</v>
      </c>
      <c r="C317" s="34">
        <v>3</v>
      </c>
      <c r="E317" s="34">
        <v>12</v>
      </c>
      <c r="G317" s="34" t="s">
        <v>534</v>
      </c>
      <c r="H317" s="34" t="s">
        <v>134</v>
      </c>
      <c r="I317" s="34" t="s">
        <v>517</v>
      </c>
      <c r="J317" s="34">
        <v>2575</v>
      </c>
      <c r="K317" s="34">
        <v>0.32</v>
      </c>
      <c r="L317" s="34">
        <v>0.32</v>
      </c>
      <c r="M317" s="110" t="s">
        <v>179</v>
      </c>
      <c r="N317" s="110" t="s">
        <v>518</v>
      </c>
      <c r="O317" s="110">
        <v>1254</v>
      </c>
      <c r="P317" s="110">
        <v>1200000</v>
      </c>
      <c r="Q317" s="110">
        <v>1200000</v>
      </c>
      <c r="V317" s="34">
        <v>0</v>
      </c>
    </row>
    <row r="318" spans="1:22">
      <c r="A318" s="34" t="s">
        <v>515</v>
      </c>
      <c r="B318" s="34">
        <v>17</v>
      </c>
      <c r="C318" s="34">
        <v>3</v>
      </c>
      <c r="E318" s="34">
        <v>12</v>
      </c>
      <c r="G318" s="34" t="s">
        <v>535</v>
      </c>
      <c r="H318" s="34" t="s">
        <v>134</v>
      </c>
      <c r="I318" s="34" t="s">
        <v>517</v>
      </c>
      <c r="J318" s="34">
        <v>2575</v>
      </c>
      <c r="K318" s="34">
        <v>0.34</v>
      </c>
      <c r="L318" s="34">
        <v>0.34</v>
      </c>
      <c r="M318" s="110" t="s">
        <v>179</v>
      </c>
      <c r="N318" s="110" t="s">
        <v>518</v>
      </c>
      <c r="O318" s="110">
        <v>1254</v>
      </c>
      <c r="P318" s="110">
        <v>1400000</v>
      </c>
      <c r="Q318" s="110">
        <v>1400000</v>
      </c>
      <c r="V318" s="34">
        <v>0</v>
      </c>
    </row>
    <row r="319" spans="1:22">
      <c r="A319" s="34" t="s">
        <v>515</v>
      </c>
      <c r="B319" s="34">
        <v>18</v>
      </c>
      <c r="C319" s="34">
        <v>3</v>
      </c>
      <c r="E319" s="34">
        <v>12</v>
      </c>
      <c r="G319" s="34" t="s">
        <v>536</v>
      </c>
      <c r="H319" s="34" t="s">
        <v>134</v>
      </c>
      <c r="I319" s="34" t="s">
        <v>517</v>
      </c>
      <c r="J319" s="34">
        <v>2575</v>
      </c>
      <c r="K319" s="34">
        <v>0.36</v>
      </c>
      <c r="L319" s="34">
        <v>0.36</v>
      </c>
      <c r="M319" s="110" t="s">
        <v>179</v>
      </c>
      <c r="N319" s="110" t="s">
        <v>518</v>
      </c>
      <c r="O319" s="110">
        <v>1254</v>
      </c>
      <c r="P319" s="110">
        <v>1600000</v>
      </c>
      <c r="Q319" s="110">
        <v>1600000</v>
      </c>
      <c r="V319" s="34">
        <v>0</v>
      </c>
    </row>
    <row r="320" spans="1:22">
      <c r="A320" s="34" t="s">
        <v>515</v>
      </c>
      <c r="B320" s="34">
        <v>19</v>
      </c>
      <c r="C320" s="34">
        <v>3</v>
      </c>
      <c r="E320" s="34">
        <v>12</v>
      </c>
      <c r="G320" s="34" t="s">
        <v>537</v>
      </c>
      <c r="H320" s="34" t="s">
        <v>134</v>
      </c>
      <c r="I320" s="34" t="s">
        <v>517</v>
      </c>
      <c r="J320" s="34">
        <v>2575</v>
      </c>
      <c r="K320" s="34">
        <v>0.38</v>
      </c>
      <c r="L320" s="34">
        <v>0.38</v>
      </c>
      <c r="M320" s="110" t="s">
        <v>179</v>
      </c>
      <c r="N320" s="110" t="s">
        <v>518</v>
      </c>
      <c r="O320" s="110">
        <v>1254</v>
      </c>
      <c r="P320" s="110">
        <v>1800000</v>
      </c>
      <c r="Q320" s="110">
        <v>1800000</v>
      </c>
      <c r="V320" s="34">
        <v>0</v>
      </c>
    </row>
    <row r="321" spans="1:53">
      <c r="A321" s="34" t="s">
        <v>515</v>
      </c>
      <c r="B321" s="34">
        <v>20</v>
      </c>
      <c r="C321" s="34">
        <v>3</v>
      </c>
      <c r="E321" s="34">
        <v>12</v>
      </c>
      <c r="G321" s="34" t="s">
        <v>538</v>
      </c>
      <c r="H321" s="34" t="s">
        <v>134</v>
      </c>
      <c r="I321" s="34" t="s">
        <v>517</v>
      </c>
      <c r="J321" s="34">
        <v>2575</v>
      </c>
      <c r="K321" s="34">
        <v>0.4</v>
      </c>
      <c r="L321" s="34">
        <v>0.4</v>
      </c>
      <c r="M321" s="110" t="s">
        <v>179</v>
      </c>
      <c r="N321" s="110" t="s">
        <v>518</v>
      </c>
      <c r="O321" s="110">
        <v>1254</v>
      </c>
      <c r="P321" s="110">
        <v>2000000</v>
      </c>
      <c r="Q321" s="110">
        <v>2000000</v>
      </c>
      <c r="V321" s="34">
        <v>0</v>
      </c>
    </row>
    <row r="322" spans="1:53">
      <c r="A322" s="34" t="s">
        <v>539</v>
      </c>
      <c r="B322" s="34">
        <v>1</v>
      </c>
      <c r="C322" s="34">
        <v>2</v>
      </c>
      <c r="E322" s="34">
        <v>8</v>
      </c>
      <c r="G322" s="34" t="s">
        <v>540</v>
      </c>
      <c r="H322" s="34" t="s">
        <v>137</v>
      </c>
      <c r="I322" s="34" t="s">
        <v>541</v>
      </c>
      <c r="J322" s="34">
        <v>2601</v>
      </c>
      <c r="K322" s="34">
        <v>50000</v>
      </c>
      <c r="L322" s="34">
        <v>50000</v>
      </c>
      <c r="M322" s="110" t="s">
        <v>182</v>
      </c>
      <c r="N322" s="110" t="s">
        <v>542</v>
      </c>
      <c r="O322" s="110">
        <v>1400</v>
      </c>
      <c r="P322" s="110">
        <v>6</v>
      </c>
      <c r="Q322" s="110">
        <v>6</v>
      </c>
      <c r="R322" s="34" t="s">
        <v>118</v>
      </c>
      <c r="S322" s="34" t="s">
        <v>543</v>
      </c>
      <c r="T322" s="34">
        <v>1403</v>
      </c>
      <c r="U322" s="34">
        <v>25</v>
      </c>
      <c r="V322" s="34">
        <v>25</v>
      </c>
      <c r="AQ322" t="s">
        <v>544</v>
      </c>
      <c r="AR322" t="s">
        <v>545</v>
      </c>
      <c r="AS322" t="s">
        <v>136</v>
      </c>
      <c r="AT322" t="s">
        <v>137</v>
      </c>
      <c r="AU322">
        <v>17</v>
      </c>
      <c r="AV322" t="s">
        <v>181</v>
      </c>
      <c r="AW322" t="s">
        <v>182</v>
      </c>
      <c r="AX322">
        <v>31</v>
      </c>
      <c r="AY322" t="s">
        <v>191</v>
      </c>
      <c r="AZ322" t="s">
        <v>118</v>
      </c>
      <c r="BA322">
        <v>35</v>
      </c>
    </row>
    <row r="323" spans="1:53">
      <c r="A323" s="34" t="s">
        <v>539</v>
      </c>
      <c r="B323" s="34">
        <v>2</v>
      </c>
      <c r="C323" s="34">
        <v>2</v>
      </c>
      <c r="E323" s="34">
        <v>8</v>
      </c>
      <c r="G323" s="34" t="s">
        <v>546</v>
      </c>
      <c r="H323" s="34" t="s">
        <v>137</v>
      </c>
      <c r="I323" s="34" t="s">
        <v>541</v>
      </c>
      <c r="J323" s="34">
        <v>2601</v>
      </c>
      <c r="K323" s="34">
        <v>100000</v>
      </c>
      <c r="L323" s="34">
        <v>100000</v>
      </c>
      <c r="M323" s="110" t="s">
        <v>182</v>
      </c>
      <c r="N323" s="110" t="s">
        <v>542</v>
      </c>
      <c r="O323" s="110">
        <v>1400</v>
      </c>
      <c r="P323" s="110">
        <v>7</v>
      </c>
      <c r="Q323" s="110">
        <v>7</v>
      </c>
      <c r="R323" s="34" t="s">
        <v>118</v>
      </c>
      <c r="S323" s="34" t="s">
        <v>543</v>
      </c>
      <c r="T323" s="34">
        <v>1403</v>
      </c>
      <c r="U323" s="34">
        <v>30</v>
      </c>
      <c r="V323" s="34">
        <v>30</v>
      </c>
    </row>
    <row r="324" spans="1:53">
      <c r="A324" s="34" t="s">
        <v>539</v>
      </c>
      <c r="B324" s="34">
        <v>3</v>
      </c>
      <c r="C324" s="34">
        <v>2</v>
      </c>
      <c r="E324" s="34">
        <v>8</v>
      </c>
      <c r="G324" s="34" t="s">
        <v>547</v>
      </c>
      <c r="H324" s="34" t="s">
        <v>137</v>
      </c>
      <c r="I324" s="34" t="s">
        <v>541</v>
      </c>
      <c r="J324" s="34">
        <v>2601</v>
      </c>
      <c r="K324" s="34">
        <v>150000</v>
      </c>
      <c r="L324" s="34">
        <v>150000</v>
      </c>
      <c r="M324" s="110" t="s">
        <v>182</v>
      </c>
      <c r="N324" s="110" t="s">
        <v>542</v>
      </c>
      <c r="O324" s="110">
        <v>1400</v>
      </c>
      <c r="P324" s="110">
        <v>8</v>
      </c>
      <c r="Q324" s="110">
        <v>8</v>
      </c>
      <c r="R324" s="34" t="s">
        <v>118</v>
      </c>
      <c r="S324" s="34" t="s">
        <v>543</v>
      </c>
      <c r="T324" s="34">
        <v>1403</v>
      </c>
      <c r="U324" s="34">
        <v>35</v>
      </c>
      <c r="V324" s="34">
        <v>35</v>
      </c>
    </row>
    <row r="325" spans="1:53">
      <c r="A325" s="34" t="s">
        <v>539</v>
      </c>
      <c r="B325" s="34">
        <v>4</v>
      </c>
      <c r="C325" s="34">
        <v>2</v>
      </c>
      <c r="E325" s="34">
        <v>8</v>
      </c>
      <c r="G325" s="34" t="s">
        <v>548</v>
      </c>
      <c r="H325" s="34" t="s">
        <v>137</v>
      </c>
      <c r="I325" s="34" t="s">
        <v>541</v>
      </c>
      <c r="J325" s="34">
        <v>2601</v>
      </c>
      <c r="K325" s="34">
        <v>200000</v>
      </c>
      <c r="L325" s="34">
        <v>200000</v>
      </c>
      <c r="M325" s="110" t="s">
        <v>182</v>
      </c>
      <c r="N325" s="110" t="s">
        <v>542</v>
      </c>
      <c r="O325" s="110">
        <v>1400</v>
      </c>
      <c r="P325" s="110">
        <v>9</v>
      </c>
      <c r="Q325" s="110">
        <v>9</v>
      </c>
      <c r="R325" s="34" t="s">
        <v>118</v>
      </c>
      <c r="S325" s="34" t="s">
        <v>543</v>
      </c>
      <c r="T325" s="34">
        <v>1403</v>
      </c>
      <c r="U325" s="34">
        <v>40</v>
      </c>
      <c r="V325" s="34">
        <v>40</v>
      </c>
    </row>
    <row r="326" spans="1:53">
      <c r="A326" s="34" t="s">
        <v>539</v>
      </c>
      <c r="B326" s="34">
        <v>5</v>
      </c>
      <c r="C326" s="34">
        <v>2</v>
      </c>
      <c r="E326" s="34">
        <v>8</v>
      </c>
      <c r="G326" s="34" t="s">
        <v>549</v>
      </c>
      <c r="H326" s="34" t="s">
        <v>137</v>
      </c>
      <c r="I326" s="34" t="s">
        <v>541</v>
      </c>
      <c r="J326" s="34">
        <v>2601</v>
      </c>
      <c r="K326" s="34">
        <v>250000</v>
      </c>
      <c r="L326" s="34">
        <v>250000</v>
      </c>
      <c r="M326" s="110" t="s">
        <v>182</v>
      </c>
      <c r="N326" s="110" t="s">
        <v>542</v>
      </c>
      <c r="O326" s="110">
        <v>1400</v>
      </c>
      <c r="P326" s="110">
        <v>10</v>
      </c>
      <c r="Q326" s="110">
        <v>10</v>
      </c>
      <c r="R326" s="34" t="s">
        <v>118</v>
      </c>
      <c r="S326" s="34" t="s">
        <v>543</v>
      </c>
      <c r="T326" s="34">
        <v>1403</v>
      </c>
      <c r="U326" s="34">
        <v>45</v>
      </c>
      <c r="V326" s="34">
        <v>45</v>
      </c>
    </row>
    <row r="327" spans="1:53">
      <c r="A327" s="34" t="s">
        <v>539</v>
      </c>
      <c r="B327" s="34">
        <v>6</v>
      </c>
      <c r="C327" s="34">
        <v>2</v>
      </c>
      <c r="E327" s="34">
        <v>8</v>
      </c>
      <c r="G327" s="34" t="s">
        <v>550</v>
      </c>
      <c r="H327" s="34" t="s">
        <v>137</v>
      </c>
      <c r="I327" s="34" t="s">
        <v>541</v>
      </c>
      <c r="J327" s="34">
        <v>2601</v>
      </c>
      <c r="K327" s="34">
        <v>300000</v>
      </c>
      <c r="L327" s="34">
        <v>300000</v>
      </c>
      <c r="M327" s="110" t="s">
        <v>182</v>
      </c>
      <c r="N327" s="110" t="s">
        <v>542</v>
      </c>
      <c r="O327" s="110">
        <v>1400</v>
      </c>
      <c r="P327" s="110">
        <v>11</v>
      </c>
      <c r="Q327" s="110">
        <v>11</v>
      </c>
      <c r="R327" s="34" t="s">
        <v>118</v>
      </c>
      <c r="S327" s="34" t="s">
        <v>543</v>
      </c>
      <c r="T327" s="34">
        <v>1403</v>
      </c>
      <c r="U327" s="34">
        <v>50</v>
      </c>
      <c r="V327" s="34">
        <v>50</v>
      </c>
    </row>
    <row r="328" spans="1:53">
      <c r="A328" s="34" t="s">
        <v>539</v>
      </c>
      <c r="B328" s="34">
        <v>7</v>
      </c>
      <c r="C328" s="34">
        <v>2</v>
      </c>
      <c r="E328" s="34">
        <v>8</v>
      </c>
      <c r="G328" s="34" t="s">
        <v>551</v>
      </c>
      <c r="H328" s="34" t="s">
        <v>137</v>
      </c>
      <c r="I328" s="34" t="s">
        <v>541</v>
      </c>
      <c r="J328" s="34">
        <v>2601</v>
      </c>
      <c r="K328" s="34">
        <v>350000</v>
      </c>
      <c r="L328" s="34">
        <v>350000</v>
      </c>
      <c r="M328" s="110" t="s">
        <v>182</v>
      </c>
      <c r="N328" s="110" t="s">
        <v>542</v>
      </c>
      <c r="O328" s="110">
        <v>1400</v>
      </c>
      <c r="P328" s="110">
        <v>12</v>
      </c>
      <c r="Q328" s="110">
        <v>12</v>
      </c>
      <c r="R328" s="34" t="s">
        <v>118</v>
      </c>
      <c r="S328" s="34" t="s">
        <v>543</v>
      </c>
      <c r="T328" s="34">
        <v>1403</v>
      </c>
      <c r="U328" s="34">
        <v>55</v>
      </c>
      <c r="V328" s="34">
        <v>55</v>
      </c>
    </row>
    <row r="329" spans="1:53">
      <c r="A329" s="34" t="s">
        <v>539</v>
      </c>
      <c r="B329" s="34">
        <v>8</v>
      </c>
      <c r="C329" s="34">
        <v>2</v>
      </c>
      <c r="E329" s="34">
        <v>8</v>
      </c>
      <c r="G329" s="34" t="s">
        <v>552</v>
      </c>
      <c r="H329" s="34" t="s">
        <v>137</v>
      </c>
      <c r="I329" s="34" t="s">
        <v>541</v>
      </c>
      <c r="J329" s="34">
        <v>2601</v>
      </c>
      <c r="K329" s="34">
        <v>400000</v>
      </c>
      <c r="L329" s="34">
        <v>400000</v>
      </c>
      <c r="M329" s="110" t="s">
        <v>182</v>
      </c>
      <c r="N329" s="110" t="s">
        <v>542</v>
      </c>
      <c r="O329" s="110">
        <v>1400</v>
      </c>
      <c r="P329" s="110">
        <v>13</v>
      </c>
      <c r="Q329" s="110">
        <v>13</v>
      </c>
      <c r="R329" s="34" t="s">
        <v>118</v>
      </c>
      <c r="S329" s="34" t="s">
        <v>543</v>
      </c>
      <c r="T329" s="34">
        <v>1403</v>
      </c>
      <c r="U329" s="34">
        <v>60</v>
      </c>
      <c r="V329" s="34">
        <v>60</v>
      </c>
    </row>
    <row r="330" spans="1:53">
      <c r="A330" s="34" t="s">
        <v>539</v>
      </c>
      <c r="B330" s="34">
        <v>9</v>
      </c>
      <c r="C330" s="34">
        <v>2</v>
      </c>
      <c r="E330" s="34">
        <v>8</v>
      </c>
      <c r="G330" s="34" t="s">
        <v>553</v>
      </c>
      <c r="H330" s="34" t="s">
        <v>137</v>
      </c>
      <c r="I330" s="34" t="s">
        <v>541</v>
      </c>
      <c r="J330" s="34">
        <v>2601</v>
      </c>
      <c r="K330" s="34">
        <v>450000</v>
      </c>
      <c r="L330" s="34">
        <v>450000</v>
      </c>
      <c r="M330" s="110" t="s">
        <v>182</v>
      </c>
      <c r="N330" s="110" t="s">
        <v>542</v>
      </c>
      <c r="O330" s="110">
        <v>1400</v>
      </c>
      <c r="P330" s="110">
        <v>14</v>
      </c>
      <c r="Q330" s="110">
        <v>14</v>
      </c>
      <c r="R330" s="34" t="s">
        <v>118</v>
      </c>
      <c r="S330" s="34" t="s">
        <v>543</v>
      </c>
      <c r="T330" s="34">
        <v>1403</v>
      </c>
      <c r="U330" s="34">
        <v>65</v>
      </c>
      <c r="V330" s="34">
        <v>65</v>
      </c>
    </row>
    <row r="331" spans="1:53">
      <c r="A331" s="34" t="s">
        <v>539</v>
      </c>
      <c r="B331" s="34">
        <v>10</v>
      </c>
      <c r="C331" s="34">
        <v>2</v>
      </c>
      <c r="E331" s="34">
        <v>8</v>
      </c>
      <c r="G331" s="34" t="s">
        <v>554</v>
      </c>
      <c r="H331" s="34" t="s">
        <v>137</v>
      </c>
      <c r="I331" s="34" t="s">
        <v>541</v>
      </c>
      <c r="J331" s="34">
        <v>2601</v>
      </c>
      <c r="K331" s="34">
        <v>500000</v>
      </c>
      <c r="L331" s="34">
        <v>500000</v>
      </c>
      <c r="M331" s="110" t="s">
        <v>182</v>
      </c>
      <c r="N331" s="110" t="s">
        <v>542</v>
      </c>
      <c r="O331" s="110">
        <v>1400</v>
      </c>
      <c r="P331" s="110">
        <v>15</v>
      </c>
      <c r="Q331" s="110">
        <v>15</v>
      </c>
      <c r="R331" s="34" t="s">
        <v>118</v>
      </c>
      <c r="S331" s="34" t="s">
        <v>543</v>
      </c>
      <c r="T331" s="34">
        <v>1403</v>
      </c>
      <c r="U331" s="34">
        <v>70</v>
      </c>
      <c r="V331" s="34">
        <v>70</v>
      </c>
    </row>
    <row r="332" spans="1:53">
      <c r="A332" s="34" t="s">
        <v>539</v>
      </c>
      <c r="B332" s="34">
        <v>11</v>
      </c>
      <c r="C332" s="34">
        <v>2</v>
      </c>
      <c r="E332" s="34">
        <v>8</v>
      </c>
      <c r="G332" s="34" t="s">
        <v>555</v>
      </c>
      <c r="H332" s="34" t="s">
        <v>137</v>
      </c>
      <c r="I332" s="34" t="s">
        <v>541</v>
      </c>
      <c r="J332" s="34">
        <v>2601</v>
      </c>
      <c r="K332" s="34">
        <v>550000</v>
      </c>
      <c r="L332" s="34">
        <v>550000</v>
      </c>
      <c r="M332" s="110" t="s">
        <v>182</v>
      </c>
      <c r="N332" s="110" t="s">
        <v>542</v>
      </c>
      <c r="O332" s="110">
        <v>1400</v>
      </c>
      <c r="P332" s="110">
        <v>16</v>
      </c>
      <c r="Q332" s="110">
        <v>16</v>
      </c>
      <c r="R332" s="34" t="s">
        <v>118</v>
      </c>
      <c r="S332" s="34" t="s">
        <v>543</v>
      </c>
      <c r="T332" s="34">
        <v>1403</v>
      </c>
      <c r="U332" s="34">
        <v>75</v>
      </c>
      <c r="V332" s="34">
        <v>75</v>
      </c>
    </row>
    <row r="333" spans="1:53">
      <c r="A333" s="34" t="s">
        <v>539</v>
      </c>
      <c r="B333" s="34">
        <v>12</v>
      </c>
      <c r="C333" s="34">
        <v>2</v>
      </c>
      <c r="E333" s="34">
        <v>8</v>
      </c>
      <c r="G333" s="34" t="s">
        <v>556</v>
      </c>
      <c r="H333" s="34" t="s">
        <v>137</v>
      </c>
      <c r="I333" s="34" t="s">
        <v>541</v>
      </c>
      <c r="J333" s="34">
        <v>2601</v>
      </c>
      <c r="K333" s="34">
        <v>600000</v>
      </c>
      <c r="L333" s="34">
        <v>600000</v>
      </c>
      <c r="M333" s="110" t="s">
        <v>182</v>
      </c>
      <c r="N333" s="110" t="s">
        <v>542</v>
      </c>
      <c r="O333" s="110">
        <v>1400</v>
      </c>
      <c r="P333" s="110">
        <v>17</v>
      </c>
      <c r="Q333" s="110">
        <v>17</v>
      </c>
      <c r="R333" s="34" t="s">
        <v>118</v>
      </c>
      <c r="S333" s="34" t="s">
        <v>543</v>
      </c>
      <c r="T333" s="34">
        <v>1403</v>
      </c>
      <c r="U333" s="34">
        <v>80</v>
      </c>
      <c r="V333" s="34">
        <v>80</v>
      </c>
    </row>
    <row r="334" spans="1:53">
      <c r="A334" s="34" t="s">
        <v>539</v>
      </c>
      <c r="B334" s="34">
        <v>13</v>
      </c>
      <c r="C334" s="34">
        <v>2</v>
      </c>
      <c r="E334" s="34">
        <v>8</v>
      </c>
      <c r="G334" s="34" t="s">
        <v>557</v>
      </c>
      <c r="H334" s="34" t="s">
        <v>137</v>
      </c>
      <c r="I334" s="34" t="s">
        <v>541</v>
      </c>
      <c r="J334" s="34">
        <v>2601</v>
      </c>
      <c r="K334" s="34">
        <v>650000</v>
      </c>
      <c r="L334" s="34">
        <v>650000</v>
      </c>
      <c r="M334" s="110" t="s">
        <v>182</v>
      </c>
      <c r="N334" s="110" t="s">
        <v>542</v>
      </c>
      <c r="O334" s="110">
        <v>1400</v>
      </c>
      <c r="P334" s="110">
        <v>18</v>
      </c>
      <c r="Q334" s="110">
        <v>18</v>
      </c>
      <c r="R334" s="34" t="s">
        <v>118</v>
      </c>
      <c r="S334" s="34" t="s">
        <v>543</v>
      </c>
      <c r="T334" s="34">
        <v>1403</v>
      </c>
      <c r="U334" s="34">
        <v>85</v>
      </c>
      <c r="V334" s="34">
        <v>85</v>
      </c>
    </row>
    <row r="335" spans="1:53">
      <c r="A335" s="34" t="s">
        <v>539</v>
      </c>
      <c r="B335" s="34">
        <v>14</v>
      </c>
      <c r="C335" s="34">
        <v>2</v>
      </c>
      <c r="E335" s="34">
        <v>8</v>
      </c>
      <c r="G335" s="34" t="s">
        <v>558</v>
      </c>
      <c r="H335" s="34" t="s">
        <v>137</v>
      </c>
      <c r="I335" s="34" t="s">
        <v>541</v>
      </c>
      <c r="J335" s="34">
        <v>2601</v>
      </c>
      <c r="K335" s="34">
        <v>700000</v>
      </c>
      <c r="L335" s="34">
        <v>700000</v>
      </c>
      <c r="M335" s="110" t="s">
        <v>182</v>
      </c>
      <c r="N335" s="110" t="s">
        <v>542</v>
      </c>
      <c r="O335" s="110">
        <v>1400</v>
      </c>
      <c r="P335" s="110">
        <v>19</v>
      </c>
      <c r="Q335" s="110">
        <v>19</v>
      </c>
      <c r="R335" s="34" t="s">
        <v>118</v>
      </c>
      <c r="S335" s="34" t="s">
        <v>543</v>
      </c>
      <c r="T335" s="34">
        <v>1403</v>
      </c>
      <c r="U335" s="34">
        <v>90</v>
      </c>
      <c r="V335" s="34">
        <v>90</v>
      </c>
    </row>
    <row r="336" spans="1:53">
      <c r="A336" s="34" t="s">
        <v>539</v>
      </c>
      <c r="B336" s="34">
        <v>15</v>
      </c>
      <c r="C336" s="34">
        <v>2</v>
      </c>
      <c r="E336" s="34">
        <v>8</v>
      </c>
      <c r="G336" s="34" t="s">
        <v>559</v>
      </c>
      <c r="H336" s="34" t="s">
        <v>137</v>
      </c>
      <c r="I336" s="34" t="s">
        <v>541</v>
      </c>
      <c r="J336" s="34">
        <v>2601</v>
      </c>
      <c r="K336" s="34">
        <v>750000</v>
      </c>
      <c r="L336" s="34">
        <v>750000</v>
      </c>
      <c r="M336" s="110" t="s">
        <v>182</v>
      </c>
      <c r="N336" s="110" t="s">
        <v>542</v>
      </c>
      <c r="O336" s="110">
        <v>1400</v>
      </c>
      <c r="P336" s="110">
        <v>20</v>
      </c>
      <c r="Q336" s="110">
        <v>20</v>
      </c>
      <c r="R336" s="34" t="s">
        <v>118</v>
      </c>
      <c r="S336" s="34" t="s">
        <v>543</v>
      </c>
      <c r="T336" s="34">
        <v>1403</v>
      </c>
      <c r="U336" s="34">
        <v>95</v>
      </c>
      <c r="V336" s="34">
        <v>95</v>
      </c>
    </row>
    <row r="337" spans="1:50">
      <c r="A337" s="34" t="s">
        <v>539</v>
      </c>
      <c r="B337" s="34">
        <v>16</v>
      </c>
      <c r="C337" s="34">
        <v>2</v>
      </c>
      <c r="E337" s="34">
        <v>8</v>
      </c>
      <c r="G337" s="34" t="s">
        <v>560</v>
      </c>
      <c r="H337" s="34" t="s">
        <v>137</v>
      </c>
      <c r="I337" s="34" t="s">
        <v>541</v>
      </c>
      <c r="J337" s="34">
        <v>2601</v>
      </c>
      <c r="K337" s="34">
        <v>800000</v>
      </c>
      <c r="L337" s="34">
        <v>800000</v>
      </c>
      <c r="M337" s="110" t="s">
        <v>182</v>
      </c>
      <c r="N337" s="110" t="s">
        <v>542</v>
      </c>
      <c r="O337" s="110">
        <v>1400</v>
      </c>
      <c r="P337" s="110">
        <v>21</v>
      </c>
      <c r="Q337" s="110">
        <v>21</v>
      </c>
      <c r="R337" s="34" t="s">
        <v>118</v>
      </c>
      <c r="S337" s="34" t="s">
        <v>543</v>
      </c>
      <c r="T337" s="34">
        <v>1403</v>
      </c>
      <c r="U337" s="34">
        <v>100</v>
      </c>
      <c r="V337" s="34">
        <v>100</v>
      </c>
    </row>
    <row r="338" spans="1:50">
      <c r="A338" s="34" t="s">
        <v>539</v>
      </c>
      <c r="B338" s="34">
        <v>17</v>
      </c>
      <c r="C338" s="34">
        <v>2</v>
      </c>
      <c r="E338" s="34">
        <v>8</v>
      </c>
      <c r="G338" s="34" t="s">
        <v>561</v>
      </c>
      <c r="H338" s="34" t="s">
        <v>137</v>
      </c>
      <c r="I338" s="34" t="s">
        <v>541</v>
      </c>
      <c r="J338" s="34">
        <v>2601</v>
      </c>
      <c r="K338" s="34">
        <v>850000</v>
      </c>
      <c r="L338" s="34">
        <v>850000</v>
      </c>
      <c r="M338" s="110" t="s">
        <v>182</v>
      </c>
      <c r="N338" s="110" t="s">
        <v>542</v>
      </c>
      <c r="O338" s="110">
        <v>1400</v>
      </c>
      <c r="P338" s="110">
        <v>22</v>
      </c>
      <c r="Q338" s="110">
        <v>22</v>
      </c>
      <c r="R338" s="34" t="s">
        <v>118</v>
      </c>
      <c r="S338" s="34" t="s">
        <v>543</v>
      </c>
      <c r="T338" s="34">
        <v>1403</v>
      </c>
      <c r="U338" s="34">
        <v>105</v>
      </c>
      <c r="V338" s="34">
        <v>105</v>
      </c>
    </row>
    <row r="339" spans="1:50">
      <c r="A339" s="34" t="s">
        <v>539</v>
      </c>
      <c r="B339" s="34">
        <v>18</v>
      </c>
      <c r="C339" s="34">
        <v>2</v>
      </c>
      <c r="E339" s="34">
        <v>8</v>
      </c>
      <c r="G339" s="34" t="s">
        <v>562</v>
      </c>
      <c r="H339" s="34" t="s">
        <v>137</v>
      </c>
      <c r="I339" s="34" t="s">
        <v>541</v>
      </c>
      <c r="J339" s="34">
        <v>2601</v>
      </c>
      <c r="K339" s="34">
        <v>900000</v>
      </c>
      <c r="L339" s="34">
        <v>900000</v>
      </c>
      <c r="M339" s="110" t="s">
        <v>182</v>
      </c>
      <c r="N339" s="110" t="s">
        <v>542</v>
      </c>
      <c r="O339" s="110">
        <v>1400</v>
      </c>
      <c r="P339" s="110">
        <v>23</v>
      </c>
      <c r="Q339" s="110">
        <v>23</v>
      </c>
      <c r="R339" s="34" t="s">
        <v>118</v>
      </c>
      <c r="S339" s="34" t="s">
        <v>543</v>
      </c>
      <c r="T339" s="34">
        <v>1403</v>
      </c>
      <c r="U339" s="34">
        <v>110</v>
      </c>
      <c r="V339" s="34">
        <v>110</v>
      </c>
    </row>
    <row r="340" spans="1:50">
      <c r="A340" s="34" t="s">
        <v>539</v>
      </c>
      <c r="B340" s="34">
        <v>19</v>
      </c>
      <c r="C340" s="34">
        <v>2</v>
      </c>
      <c r="E340" s="34">
        <v>8</v>
      </c>
      <c r="G340" s="34" t="s">
        <v>563</v>
      </c>
      <c r="H340" s="34" t="s">
        <v>137</v>
      </c>
      <c r="I340" s="34" t="s">
        <v>541</v>
      </c>
      <c r="J340" s="34">
        <v>2601</v>
      </c>
      <c r="K340" s="34">
        <v>950000</v>
      </c>
      <c r="L340" s="34">
        <v>950000</v>
      </c>
      <c r="M340" s="110" t="s">
        <v>182</v>
      </c>
      <c r="N340" s="110" t="s">
        <v>542</v>
      </c>
      <c r="O340" s="110">
        <v>1400</v>
      </c>
      <c r="P340" s="110">
        <v>24</v>
      </c>
      <c r="Q340" s="110">
        <v>24</v>
      </c>
      <c r="R340" s="34" t="s">
        <v>118</v>
      </c>
      <c r="S340" s="34" t="s">
        <v>543</v>
      </c>
      <c r="T340" s="34">
        <v>1403</v>
      </c>
      <c r="U340" s="34">
        <v>115</v>
      </c>
      <c r="V340" s="34">
        <v>115</v>
      </c>
    </row>
    <row r="341" spans="1:50">
      <c r="A341" s="34" t="s">
        <v>539</v>
      </c>
      <c r="B341" s="34">
        <v>20</v>
      </c>
      <c r="C341" s="34">
        <v>2</v>
      </c>
      <c r="E341" s="34">
        <v>8</v>
      </c>
      <c r="G341" s="34" t="s">
        <v>564</v>
      </c>
      <c r="H341" s="34" t="s">
        <v>137</v>
      </c>
      <c r="I341" s="34" t="s">
        <v>541</v>
      </c>
      <c r="J341" s="34">
        <v>2601</v>
      </c>
      <c r="K341" s="34">
        <v>1000000</v>
      </c>
      <c r="L341" s="34">
        <v>1000000</v>
      </c>
      <c r="M341" s="110" t="s">
        <v>182</v>
      </c>
      <c r="N341" s="110" t="s">
        <v>542</v>
      </c>
      <c r="O341" s="110">
        <v>1400</v>
      </c>
      <c r="P341" s="110">
        <v>25</v>
      </c>
      <c r="Q341" s="110">
        <v>25</v>
      </c>
      <c r="R341" s="34" t="s">
        <v>118</v>
      </c>
      <c r="S341" s="34" t="s">
        <v>543</v>
      </c>
      <c r="T341" s="34">
        <v>1403</v>
      </c>
      <c r="U341" s="34">
        <v>120</v>
      </c>
      <c r="V341" s="34">
        <v>120</v>
      </c>
    </row>
    <row r="342" spans="1:50">
      <c r="A342" s="34" t="s">
        <v>565</v>
      </c>
      <c r="B342" s="34">
        <v>1</v>
      </c>
      <c r="C342" s="34">
        <v>2</v>
      </c>
      <c r="E342" s="34">
        <v>9</v>
      </c>
      <c r="G342" s="34" t="s">
        <v>566</v>
      </c>
      <c r="H342" s="34" t="s">
        <v>140</v>
      </c>
      <c r="I342" s="34" t="s">
        <v>567</v>
      </c>
      <c r="J342" s="34">
        <v>3308</v>
      </c>
      <c r="K342" s="34">
        <v>1500</v>
      </c>
      <c r="L342" s="34">
        <v>1500</v>
      </c>
      <c r="M342" s="110" t="s">
        <v>185</v>
      </c>
      <c r="N342" s="110" t="s">
        <v>568</v>
      </c>
      <c r="O342" s="110">
        <v>3307</v>
      </c>
      <c r="P342" s="110">
        <v>30</v>
      </c>
      <c r="Q342" s="110">
        <v>30</v>
      </c>
      <c r="V342" s="34">
        <v>0</v>
      </c>
      <c r="AQ342" t="s">
        <v>158</v>
      </c>
      <c r="AR342" t="s">
        <v>569</v>
      </c>
      <c r="AS342" t="s">
        <v>139</v>
      </c>
      <c r="AT342" t="s">
        <v>140</v>
      </c>
      <c r="AU342">
        <v>18</v>
      </c>
      <c r="AV342" t="s">
        <v>184</v>
      </c>
      <c r="AW342" t="s">
        <v>185</v>
      </c>
      <c r="AX342">
        <v>32</v>
      </c>
    </row>
    <row r="343" spans="1:50">
      <c r="A343" s="34" t="s">
        <v>565</v>
      </c>
      <c r="B343" s="34">
        <v>2</v>
      </c>
      <c r="C343" s="34">
        <v>2</v>
      </c>
      <c r="E343" s="34">
        <v>9</v>
      </c>
      <c r="G343" s="34" t="s">
        <v>570</v>
      </c>
      <c r="H343" s="34" t="s">
        <v>140</v>
      </c>
      <c r="I343" s="34" t="s">
        <v>567</v>
      </c>
      <c r="J343" s="34">
        <v>3308</v>
      </c>
      <c r="K343" s="34">
        <v>1800</v>
      </c>
      <c r="L343" s="34">
        <v>1800</v>
      </c>
      <c r="M343" s="110" t="s">
        <v>185</v>
      </c>
      <c r="N343" s="110" t="s">
        <v>568</v>
      </c>
      <c r="O343" s="110">
        <v>3307</v>
      </c>
      <c r="P343" s="110">
        <v>35</v>
      </c>
      <c r="Q343" s="110">
        <v>35</v>
      </c>
      <c r="V343" s="34">
        <v>0</v>
      </c>
    </row>
    <row r="344" spans="1:50">
      <c r="A344" s="34" t="s">
        <v>565</v>
      </c>
      <c r="B344" s="34">
        <v>3</v>
      </c>
      <c r="C344" s="34">
        <v>2</v>
      </c>
      <c r="E344" s="34">
        <v>9</v>
      </c>
      <c r="G344" s="34" t="s">
        <v>571</v>
      </c>
      <c r="H344" s="34" t="s">
        <v>140</v>
      </c>
      <c r="I344" s="34" t="s">
        <v>567</v>
      </c>
      <c r="J344" s="34">
        <v>3308</v>
      </c>
      <c r="K344" s="34">
        <v>2100</v>
      </c>
      <c r="L344" s="34">
        <v>2100</v>
      </c>
      <c r="M344" s="110" t="s">
        <v>185</v>
      </c>
      <c r="N344" s="110" t="s">
        <v>568</v>
      </c>
      <c r="O344" s="110">
        <v>3307</v>
      </c>
      <c r="P344" s="110">
        <v>40</v>
      </c>
      <c r="Q344" s="110">
        <v>40</v>
      </c>
      <c r="V344" s="34">
        <v>0</v>
      </c>
    </row>
    <row r="345" spans="1:50">
      <c r="A345" s="34" t="s">
        <v>565</v>
      </c>
      <c r="B345" s="34">
        <v>4</v>
      </c>
      <c r="C345" s="34">
        <v>2</v>
      </c>
      <c r="E345" s="34">
        <v>9</v>
      </c>
      <c r="G345" s="34" t="s">
        <v>572</v>
      </c>
      <c r="H345" s="34" t="s">
        <v>140</v>
      </c>
      <c r="I345" s="34" t="s">
        <v>567</v>
      </c>
      <c r="J345" s="34">
        <v>3308</v>
      </c>
      <c r="K345" s="34">
        <v>2400</v>
      </c>
      <c r="L345" s="34">
        <v>2400</v>
      </c>
      <c r="M345" s="110" t="s">
        <v>185</v>
      </c>
      <c r="N345" s="110" t="s">
        <v>568</v>
      </c>
      <c r="O345" s="110">
        <v>3307</v>
      </c>
      <c r="P345" s="110">
        <v>45</v>
      </c>
      <c r="Q345" s="110">
        <v>45</v>
      </c>
      <c r="V345" s="34">
        <v>0</v>
      </c>
    </row>
    <row r="346" spans="1:50">
      <c r="A346" s="34" t="s">
        <v>565</v>
      </c>
      <c r="B346" s="34">
        <v>5</v>
      </c>
      <c r="C346" s="34">
        <v>2</v>
      </c>
      <c r="E346" s="34">
        <v>9</v>
      </c>
      <c r="G346" s="34" t="s">
        <v>573</v>
      </c>
      <c r="H346" s="34" t="s">
        <v>140</v>
      </c>
      <c r="I346" s="34" t="s">
        <v>567</v>
      </c>
      <c r="J346" s="34">
        <v>3308</v>
      </c>
      <c r="K346" s="34">
        <v>2700</v>
      </c>
      <c r="L346" s="34">
        <v>2700</v>
      </c>
      <c r="M346" s="110" t="s">
        <v>185</v>
      </c>
      <c r="N346" s="110" t="s">
        <v>568</v>
      </c>
      <c r="O346" s="110">
        <v>3307</v>
      </c>
      <c r="P346" s="110">
        <v>50</v>
      </c>
      <c r="Q346" s="110">
        <v>50</v>
      </c>
      <c r="V346" s="34">
        <v>0</v>
      </c>
    </row>
    <row r="347" spans="1:50">
      <c r="A347" s="34" t="s">
        <v>565</v>
      </c>
      <c r="B347" s="34">
        <v>6</v>
      </c>
      <c r="C347" s="34">
        <v>2</v>
      </c>
      <c r="E347" s="34">
        <v>9</v>
      </c>
      <c r="G347" s="34" t="s">
        <v>574</v>
      </c>
      <c r="H347" s="34" t="s">
        <v>140</v>
      </c>
      <c r="I347" s="34" t="s">
        <v>567</v>
      </c>
      <c r="J347" s="34">
        <v>3308</v>
      </c>
      <c r="K347" s="34">
        <v>3000</v>
      </c>
      <c r="L347" s="34">
        <v>3000</v>
      </c>
      <c r="M347" s="110" t="s">
        <v>185</v>
      </c>
      <c r="N347" s="110" t="s">
        <v>568</v>
      </c>
      <c r="O347" s="110">
        <v>3307</v>
      </c>
      <c r="P347" s="110">
        <v>55</v>
      </c>
      <c r="Q347" s="110">
        <v>55</v>
      </c>
      <c r="V347" s="34">
        <v>0</v>
      </c>
    </row>
    <row r="348" spans="1:50">
      <c r="A348" s="34" t="s">
        <v>565</v>
      </c>
      <c r="B348" s="34">
        <v>7</v>
      </c>
      <c r="C348" s="34">
        <v>2</v>
      </c>
      <c r="E348" s="34">
        <v>9</v>
      </c>
      <c r="G348" s="34" t="s">
        <v>575</v>
      </c>
      <c r="H348" s="34" t="s">
        <v>140</v>
      </c>
      <c r="I348" s="34" t="s">
        <v>567</v>
      </c>
      <c r="J348" s="34">
        <v>3308</v>
      </c>
      <c r="K348" s="34">
        <v>3300</v>
      </c>
      <c r="L348" s="34">
        <v>3300</v>
      </c>
      <c r="M348" s="110" t="s">
        <v>185</v>
      </c>
      <c r="N348" s="110" t="s">
        <v>568</v>
      </c>
      <c r="O348" s="110">
        <v>3307</v>
      </c>
      <c r="P348" s="110">
        <v>60</v>
      </c>
      <c r="Q348" s="110">
        <v>60</v>
      </c>
      <c r="V348" s="34">
        <v>0</v>
      </c>
    </row>
    <row r="349" spans="1:50">
      <c r="A349" s="34" t="s">
        <v>565</v>
      </c>
      <c r="B349" s="34">
        <v>8</v>
      </c>
      <c r="C349" s="34">
        <v>2</v>
      </c>
      <c r="E349" s="34">
        <v>9</v>
      </c>
      <c r="G349" s="34" t="s">
        <v>576</v>
      </c>
      <c r="H349" s="34" t="s">
        <v>140</v>
      </c>
      <c r="I349" s="34" t="s">
        <v>567</v>
      </c>
      <c r="J349" s="34">
        <v>3308</v>
      </c>
      <c r="K349" s="34">
        <v>3600</v>
      </c>
      <c r="L349" s="34">
        <v>3600</v>
      </c>
      <c r="M349" s="110" t="s">
        <v>185</v>
      </c>
      <c r="N349" s="110" t="s">
        <v>568</v>
      </c>
      <c r="O349" s="110">
        <v>3307</v>
      </c>
      <c r="P349" s="110">
        <v>65</v>
      </c>
      <c r="Q349" s="110">
        <v>65</v>
      </c>
      <c r="V349" s="34">
        <v>0</v>
      </c>
    </row>
    <row r="350" spans="1:50">
      <c r="A350" s="34" t="s">
        <v>565</v>
      </c>
      <c r="B350" s="34">
        <v>9</v>
      </c>
      <c r="C350" s="34">
        <v>2</v>
      </c>
      <c r="E350" s="34">
        <v>9</v>
      </c>
      <c r="G350" s="34" t="s">
        <v>577</v>
      </c>
      <c r="H350" s="34" t="s">
        <v>140</v>
      </c>
      <c r="I350" s="34" t="s">
        <v>567</v>
      </c>
      <c r="J350" s="34">
        <v>3308</v>
      </c>
      <c r="K350" s="34">
        <v>3900</v>
      </c>
      <c r="L350" s="34">
        <v>3900</v>
      </c>
      <c r="M350" s="110" t="s">
        <v>185</v>
      </c>
      <c r="N350" s="110" t="s">
        <v>568</v>
      </c>
      <c r="O350" s="110">
        <v>3307</v>
      </c>
      <c r="P350" s="110">
        <v>70</v>
      </c>
      <c r="Q350" s="110">
        <v>70</v>
      </c>
      <c r="V350" s="34">
        <v>0</v>
      </c>
    </row>
    <row r="351" spans="1:50">
      <c r="A351" s="34" t="s">
        <v>565</v>
      </c>
      <c r="B351" s="34">
        <v>10</v>
      </c>
      <c r="C351" s="34">
        <v>2</v>
      </c>
      <c r="E351" s="34">
        <v>9</v>
      </c>
      <c r="G351" s="34" t="s">
        <v>578</v>
      </c>
      <c r="H351" s="34" t="s">
        <v>140</v>
      </c>
      <c r="I351" s="34" t="s">
        <v>567</v>
      </c>
      <c r="J351" s="34">
        <v>3308</v>
      </c>
      <c r="K351" s="34">
        <v>4200</v>
      </c>
      <c r="L351" s="34">
        <v>4200</v>
      </c>
      <c r="M351" s="110" t="s">
        <v>185</v>
      </c>
      <c r="N351" s="110" t="s">
        <v>568</v>
      </c>
      <c r="O351" s="110">
        <v>3307</v>
      </c>
      <c r="P351" s="110">
        <v>75</v>
      </c>
      <c r="Q351" s="110">
        <v>75</v>
      </c>
      <c r="V351" s="34">
        <v>0</v>
      </c>
    </row>
    <row r="352" spans="1:50">
      <c r="A352" s="34" t="s">
        <v>565</v>
      </c>
      <c r="B352" s="34">
        <v>11</v>
      </c>
      <c r="C352" s="34">
        <v>2</v>
      </c>
      <c r="E352" s="34">
        <v>9</v>
      </c>
      <c r="G352" s="34" t="s">
        <v>579</v>
      </c>
      <c r="H352" s="34" t="s">
        <v>140</v>
      </c>
      <c r="I352" s="34" t="s">
        <v>567</v>
      </c>
      <c r="J352" s="34">
        <v>3308</v>
      </c>
      <c r="K352" s="34">
        <v>4500</v>
      </c>
      <c r="L352" s="34">
        <v>4500</v>
      </c>
      <c r="M352" s="110" t="s">
        <v>185</v>
      </c>
      <c r="N352" s="110" t="s">
        <v>568</v>
      </c>
      <c r="O352" s="110">
        <v>3307</v>
      </c>
      <c r="P352" s="110">
        <v>80</v>
      </c>
      <c r="Q352" s="110">
        <v>80</v>
      </c>
      <c r="V352" s="34">
        <v>0</v>
      </c>
    </row>
    <row r="353" spans="1:22">
      <c r="A353" s="34" t="s">
        <v>565</v>
      </c>
      <c r="B353" s="34">
        <v>12</v>
      </c>
      <c r="C353" s="34">
        <v>2</v>
      </c>
      <c r="E353" s="34">
        <v>9</v>
      </c>
      <c r="G353" s="34" t="s">
        <v>580</v>
      </c>
      <c r="H353" s="34" t="s">
        <v>140</v>
      </c>
      <c r="I353" s="34" t="s">
        <v>567</v>
      </c>
      <c r="J353" s="34">
        <v>3308</v>
      </c>
      <c r="K353" s="34">
        <v>4800</v>
      </c>
      <c r="L353" s="34">
        <v>4800</v>
      </c>
      <c r="M353" s="110" t="s">
        <v>185</v>
      </c>
      <c r="N353" s="110" t="s">
        <v>568</v>
      </c>
      <c r="O353" s="110">
        <v>3307</v>
      </c>
      <c r="P353" s="110">
        <v>85</v>
      </c>
      <c r="Q353" s="110">
        <v>85</v>
      </c>
      <c r="V353" s="34">
        <v>0</v>
      </c>
    </row>
    <row r="354" spans="1:22">
      <c r="A354" s="34" t="s">
        <v>565</v>
      </c>
      <c r="B354" s="34">
        <v>13</v>
      </c>
      <c r="C354" s="34">
        <v>2</v>
      </c>
      <c r="E354" s="34">
        <v>9</v>
      </c>
      <c r="G354" s="34" t="s">
        <v>581</v>
      </c>
      <c r="H354" s="34" t="s">
        <v>140</v>
      </c>
      <c r="I354" s="34" t="s">
        <v>567</v>
      </c>
      <c r="J354" s="34">
        <v>3308</v>
      </c>
      <c r="K354" s="34">
        <v>5100</v>
      </c>
      <c r="L354" s="34">
        <v>5100</v>
      </c>
      <c r="M354" s="110" t="s">
        <v>185</v>
      </c>
      <c r="N354" s="110" t="s">
        <v>568</v>
      </c>
      <c r="O354" s="110">
        <v>3307</v>
      </c>
      <c r="P354" s="110">
        <v>90</v>
      </c>
      <c r="Q354" s="110">
        <v>90</v>
      </c>
      <c r="V354" s="34">
        <v>0</v>
      </c>
    </row>
    <row r="355" spans="1:22">
      <c r="A355" s="34" t="s">
        <v>565</v>
      </c>
      <c r="B355" s="34">
        <v>14</v>
      </c>
      <c r="C355" s="34">
        <v>2</v>
      </c>
      <c r="E355" s="34">
        <v>9</v>
      </c>
      <c r="G355" s="34" t="s">
        <v>582</v>
      </c>
      <c r="H355" s="34" t="s">
        <v>140</v>
      </c>
      <c r="I355" s="34" t="s">
        <v>567</v>
      </c>
      <c r="J355" s="34">
        <v>3308</v>
      </c>
      <c r="K355" s="34">
        <v>5400</v>
      </c>
      <c r="L355" s="34">
        <v>5400</v>
      </c>
      <c r="M355" s="110" t="s">
        <v>185</v>
      </c>
      <c r="N355" s="110" t="s">
        <v>568</v>
      </c>
      <c r="O355" s="110">
        <v>3307</v>
      </c>
      <c r="P355" s="110">
        <v>95</v>
      </c>
      <c r="Q355" s="110">
        <v>95</v>
      </c>
      <c r="V355" s="34">
        <v>0</v>
      </c>
    </row>
    <row r="356" spans="1:22">
      <c r="A356" s="34" t="s">
        <v>565</v>
      </c>
      <c r="B356" s="34">
        <v>15</v>
      </c>
      <c r="C356" s="34">
        <v>2</v>
      </c>
      <c r="E356" s="34">
        <v>9</v>
      </c>
      <c r="G356" s="34" t="s">
        <v>583</v>
      </c>
      <c r="H356" s="34" t="s">
        <v>140</v>
      </c>
      <c r="I356" s="34" t="s">
        <v>567</v>
      </c>
      <c r="J356" s="34">
        <v>3308</v>
      </c>
      <c r="K356" s="34">
        <v>5700</v>
      </c>
      <c r="L356" s="34">
        <v>5700</v>
      </c>
      <c r="M356" s="110" t="s">
        <v>185</v>
      </c>
      <c r="N356" s="110" t="s">
        <v>568</v>
      </c>
      <c r="O356" s="110">
        <v>3307</v>
      </c>
      <c r="P356" s="110">
        <v>100</v>
      </c>
      <c r="Q356" s="110">
        <v>100</v>
      </c>
      <c r="V356" s="34">
        <v>0</v>
      </c>
    </row>
    <row r="357" spans="1:22">
      <c r="A357" s="34" t="s">
        <v>565</v>
      </c>
      <c r="B357" s="34">
        <v>16</v>
      </c>
      <c r="C357" s="34">
        <v>2</v>
      </c>
      <c r="E357" s="34">
        <v>9</v>
      </c>
      <c r="G357" s="34" t="s">
        <v>584</v>
      </c>
      <c r="H357" s="34" t="s">
        <v>140</v>
      </c>
      <c r="I357" s="34" t="s">
        <v>567</v>
      </c>
      <c r="J357" s="34">
        <v>3308</v>
      </c>
      <c r="K357" s="34">
        <v>6000</v>
      </c>
      <c r="L357" s="34">
        <v>6000</v>
      </c>
      <c r="M357" s="110" t="s">
        <v>185</v>
      </c>
      <c r="N357" s="110" t="s">
        <v>568</v>
      </c>
      <c r="O357" s="110">
        <v>3307</v>
      </c>
      <c r="P357" s="110">
        <v>105</v>
      </c>
      <c r="Q357" s="110">
        <v>105</v>
      </c>
      <c r="V357" s="34">
        <v>0</v>
      </c>
    </row>
    <row r="358" spans="1:22">
      <c r="A358" s="34" t="s">
        <v>565</v>
      </c>
      <c r="B358" s="34">
        <v>17</v>
      </c>
      <c r="C358" s="34">
        <v>2</v>
      </c>
      <c r="E358" s="34">
        <v>9</v>
      </c>
      <c r="G358" s="34" t="s">
        <v>585</v>
      </c>
      <c r="H358" s="34" t="s">
        <v>140</v>
      </c>
      <c r="I358" s="34" t="s">
        <v>567</v>
      </c>
      <c r="J358" s="34">
        <v>3308</v>
      </c>
      <c r="K358" s="34">
        <v>6300</v>
      </c>
      <c r="L358" s="34">
        <v>6300</v>
      </c>
      <c r="M358" s="110" t="s">
        <v>185</v>
      </c>
      <c r="N358" s="110" t="s">
        <v>568</v>
      </c>
      <c r="O358" s="110">
        <v>3307</v>
      </c>
      <c r="P358" s="110">
        <v>110</v>
      </c>
      <c r="Q358" s="110">
        <v>110</v>
      </c>
      <c r="V358" s="34">
        <v>0</v>
      </c>
    </row>
    <row r="359" spans="1:22">
      <c r="A359" s="34" t="s">
        <v>565</v>
      </c>
      <c r="B359" s="34">
        <v>18</v>
      </c>
      <c r="C359" s="34">
        <v>2</v>
      </c>
      <c r="E359" s="34">
        <v>9</v>
      </c>
      <c r="G359" s="34" t="s">
        <v>586</v>
      </c>
      <c r="H359" s="34" t="s">
        <v>140</v>
      </c>
      <c r="I359" s="34" t="s">
        <v>567</v>
      </c>
      <c r="J359" s="34">
        <v>3308</v>
      </c>
      <c r="K359" s="34">
        <v>6600</v>
      </c>
      <c r="L359" s="34">
        <v>6600</v>
      </c>
      <c r="M359" s="110" t="s">
        <v>185</v>
      </c>
      <c r="N359" s="110" t="s">
        <v>568</v>
      </c>
      <c r="O359" s="110">
        <v>3307</v>
      </c>
      <c r="P359" s="110">
        <v>115</v>
      </c>
      <c r="Q359" s="110">
        <v>115</v>
      </c>
      <c r="V359" s="34">
        <v>0</v>
      </c>
    </row>
    <row r="360" spans="1:22">
      <c r="A360" s="34" t="s">
        <v>565</v>
      </c>
      <c r="B360" s="34">
        <v>19</v>
      </c>
      <c r="C360" s="34">
        <v>2</v>
      </c>
      <c r="E360" s="34">
        <v>9</v>
      </c>
      <c r="G360" s="34" t="s">
        <v>587</v>
      </c>
      <c r="H360" s="34" t="s">
        <v>140</v>
      </c>
      <c r="I360" s="34" t="s">
        <v>567</v>
      </c>
      <c r="J360" s="34">
        <v>3308</v>
      </c>
      <c r="K360" s="34">
        <v>6900</v>
      </c>
      <c r="L360" s="34">
        <v>6900</v>
      </c>
      <c r="M360" s="110" t="s">
        <v>185</v>
      </c>
      <c r="N360" s="110" t="s">
        <v>568</v>
      </c>
      <c r="O360" s="110">
        <v>3307</v>
      </c>
      <c r="P360" s="110">
        <v>120</v>
      </c>
      <c r="Q360" s="110">
        <v>120</v>
      </c>
      <c r="V360" s="34">
        <v>0</v>
      </c>
    </row>
    <row r="361" spans="1:22">
      <c r="A361" s="34" t="s">
        <v>565</v>
      </c>
      <c r="B361" s="34">
        <v>20</v>
      </c>
      <c r="C361" s="34">
        <v>2</v>
      </c>
      <c r="E361" s="34">
        <v>9</v>
      </c>
      <c r="G361" s="34" t="s">
        <v>588</v>
      </c>
      <c r="H361" s="34" t="s">
        <v>140</v>
      </c>
      <c r="I361" s="34" t="s">
        <v>567</v>
      </c>
      <c r="J361" s="34">
        <v>3308</v>
      </c>
      <c r="K361" s="34">
        <v>7200</v>
      </c>
      <c r="L361" s="34">
        <v>7200</v>
      </c>
      <c r="M361" s="110" t="s">
        <v>185</v>
      </c>
      <c r="N361" s="110" t="s">
        <v>568</v>
      </c>
      <c r="O361" s="110">
        <v>3307</v>
      </c>
      <c r="P361" s="110">
        <v>125</v>
      </c>
      <c r="Q361" s="110">
        <v>125</v>
      </c>
      <c r="V361" s="34">
        <v>0</v>
      </c>
    </row>
    <row r="362" spans="1:22">
      <c r="A362" s="34" t="s">
        <v>589</v>
      </c>
      <c r="B362" s="34">
        <v>1</v>
      </c>
      <c r="C362" s="34">
        <v>3</v>
      </c>
      <c r="E362" s="34">
        <v>10</v>
      </c>
      <c r="G362" s="34" t="s">
        <v>590</v>
      </c>
      <c r="L362" s="34">
        <v>0</v>
      </c>
      <c r="Q362" s="110">
        <v>0</v>
      </c>
      <c r="V362" s="34">
        <v>0</v>
      </c>
    </row>
    <row r="363" spans="1:22">
      <c r="A363" s="34" t="s">
        <v>591</v>
      </c>
      <c r="B363" s="34">
        <v>1</v>
      </c>
      <c r="C363" s="34">
        <v>2</v>
      </c>
      <c r="E363" s="34">
        <v>7</v>
      </c>
      <c r="G363" s="34" t="s">
        <v>592</v>
      </c>
      <c r="L363" s="34">
        <v>0</v>
      </c>
      <c r="Q363" s="110">
        <v>0</v>
      </c>
      <c r="V363" s="34">
        <v>0</v>
      </c>
    </row>
    <row r="364" spans="1:22">
      <c r="A364" s="34" t="s">
        <v>593</v>
      </c>
      <c r="B364" s="34">
        <v>1</v>
      </c>
      <c r="C364" s="34">
        <v>3</v>
      </c>
      <c r="E364" s="34">
        <v>10</v>
      </c>
      <c r="G364" s="34" t="s">
        <v>594</v>
      </c>
      <c r="L364" s="34">
        <v>0</v>
      </c>
      <c r="Q364" s="110">
        <v>0</v>
      </c>
      <c r="V364" s="34">
        <v>0</v>
      </c>
    </row>
    <row r="365" spans="1:22">
      <c r="A365" s="34" t="s">
        <v>595</v>
      </c>
      <c r="B365" s="34">
        <v>1</v>
      </c>
      <c r="D365" s="34">
        <v>203</v>
      </c>
      <c r="E365" s="34">
        <v>1</v>
      </c>
      <c r="G365" s="34" t="s">
        <v>596</v>
      </c>
      <c r="L365" s="34">
        <v>0</v>
      </c>
      <c r="Q365" s="110">
        <v>0</v>
      </c>
      <c r="V365" s="34">
        <v>0</v>
      </c>
    </row>
    <row r="366" spans="1:22">
      <c r="A366" s="34" t="s">
        <v>597</v>
      </c>
      <c r="B366" s="34">
        <v>1</v>
      </c>
      <c r="G366" s="34" t="s">
        <v>598</v>
      </c>
      <c r="L366" s="34">
        <v>0</v>
      </c>
      <c r="Q366" s="110">
        <v>0</v>
      </c>
      <c r="V366" s="34">
        <v>0</v>
      </c>
    </row>
    <row r="367" spans="1:22">
      <c r="A367" s="34" t="s">
        <v>599</v>
      </c>
      <c r="B367" s="34">
        <v>1</v>
      </c>
      <c r="C367" s="34">
        <v>2</v>
      </c>
      <c r="E367" s="34">
        <v>8</v>
      </c>
      <c r="G367" s="34" t="s">
        <v>600</v>
      </c>
      <c r="L367" s="34">
        <v>0</v>
      </c>
      <c r="Q367" s="110">
        <v>0</v>
      </c>
      <c r="V367" s="34">
        <v>0</v>
      </c>
    </row>
    <row r="368" spans="1:22">
      <c r="A368" s="34" t="s">
        <v>601</v>
      </c>
      <c r="B368" s="34">
        <v>1</v>
      </c>
      <c r="G368" s="34" t="s">
        <v>602</v>
      </c>
      <c r="L368" s="34">
        <v>0</v>
      </c>
      <c r="Q368" s="110">
        <v>0</v>
      </c>
      <c r="V368" s="34">
        <v>0</v>
      </c>
    </row>
    <row r="369" spans="1:22">
      <c r="A369" s="34" t="s">
        <v>603</v>
      </c>
      <c r="B369" s="34">
        <v>1</v>
      </c>
      <c r="G369" s="34" t="s">
        <v>604</v>
      </c>
      <c r="L369" s="34">
        <v>0</v>
      </c>
      <c r="Q369" s="110">
        <v>0</v>
      </c>
      <c r="V369" s="34">
        <v>0</v>
      </c>
    </row>
    <row r="370" spans="1:22">
      <c r="A370" s="34" t="s">
        <v>605</v>
      </c>
      <c r="B370" s="34">
        <v>1</v>
      </c>
      <c r="C370" s="34">
        <v>2</v>
      </c>
      <c r="E370" s="34">
        <v>9</v>
      </c>
      <c r="G370" s="34" t="s">
        <v>606</v>
      </c>
      <c r="L370" s="34">
        <v>0</v>
      </c>
      <c r="Q370" s="110">
        <v>0</v>
      </c>
      <c r="V370" s="34">
        <v>0</v>
      </c>
    </row>
  </sheetData>
  <phoneticPr fontId="23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403"/>
  <sheetViews>
    <sheetView workbookViewId="0">
      <selection activeCell="L32" sqref="A1:XFD1048576"/>
    </sheetView>
  </sheetViews>
  <sheetFormatPr defaultColWidth="9" defaultRowHeight="14"/>
  <cols>
    <col min="21" max="21" width="16.33203125" customWidth="1"/>
    <col min="28" max="28" width="15.25" customWidth="1"/>
    <col min="39" max="39" width="14.33203125" customWidth="1"/>
    <col min="45" max="45" width="14.33203125" customWidth="1"/>
  </cols>
  <sheetData>
    <row r="1" spans="1:46">
      <c r="A1" t="s">
        <v>607</v>
      </c>
      <c r="B1" t="s">
        <v>1</v>
      </c>
      <c r="C1" t="s">
        <v>608</v>
      </c>
      <c r="D1" t="s">
        <v>609</v>
      </c>
      <c r="E1" t="s">
        <v>610</v>
      </c>
      <c r="L1" t="s">
        <v>611</v>
      </c>
      <c r="Z1" t="s">
        <v>612</v>
      </c>
      <c r="AG1" t="s">
        <v>613</v>
      </c>
      <c r="AJ1" t="s">
        <v>614</v>
      </c>
      <c r="AK1" t="s">
        <v>615</v>
      </c>
      <c r="AL1" t="s">
        <v>616</v>
      </c>
      <c r="AM1" t="s">
        <v>617</v>
      </c>
      <c r="AN1" t="s">
        <v>618</v>
      </c>
      <c r="AO1" t="s">
        <v>619</v>
      </c>
      <c r="AP1" t="s">
        <v>620</v>
      </c>
      <c r="AQ1" t="s">
        <v>621</v>
      </c>
      <c r="AR1" t="s">
        <v>622</v>
      </c>
      <c r="AS1" t="s">
        <v>623</v>
      </c>
      <c r="AT1" t="s">
        <v>624</v>
      </c>
    </row>
    <row r="2" spans="1:46">
      <c r="E2" t="s">
        <v>625</v>
      </c>
      <c r="F2" t="s">
        <v>626</v>
      </c>
      <c r="G2" t="s">
        <v>627</v>
      </c>
      <c r="H2" t="s">
        <v>628</v>
      </c>
      <c r="L2" t="s">
        <v>629</v>
      </c>
      <c r="P2" t="s">
        <v>630</v>
      </c>
      <c r="Q2" t="s">
        <v>631</v>
      </c>
      <c r="U2" t="s">
        <v>632</v>
      </c>
      <c r="V2" t="s">
        <v>633</v>
      </c>
      <c r="W2" t="s">
        <v>634</v>
      </c>
      <c r="X2" t="s">
        <v>635</v>
      </c>
      <c r="Y2" t="s">
        <v>636</v>
      </c>
      <c r="Z2" t="s">
        <v>637</v>
      </c>
      <c r="AA2" t="s">
        <v>638</v>
      </c>
      <c r="AB2" t="s">
        <v>639</v>
      </c>
      <c r="AC2" t="s">
        <v>640</v>
      </c>
      <c r="AD2" t="s">
        <v>641</v>
      </c>
      <c r="AE2" t="s">
        <v>642</v>
      </c>
      <c r="AF2" t="s">
        <v>643</v>
      </c>
      <c r="AG2" t="s">
        <v>644</v>
      </c>
      <c r="AH2" t="s">
        <v>645</v>
      </c>
      <c r="AI2" t="s">
        <v>646</v>
      </c>
    </row>
    <row r="3" spans="1:46">
      <c r="H3" t="s">
        <v>647</v>
      </c>
      <c r="I3" t="s">
        <v>648</v>
      </c>
      <c r="J3" t="s">
        <v>649</v>
      </c>
      <c r="K3" t="s">
        <v>650</v>
      </c>
      <c r="L3" t="s">
        <v>647</v>
      </c>
      <c r="M3" t="s">
        <v>648</v>
      </c>
      <c r="N3" t="s">
        <v>649</v>
      </c>
      <c r="O3" t="s">
        <v>650</v>
      </c>
      <c r="Q3" t="s">
        <v>647</v>
      </c>
      <c r="R3" t="s">
        <v>648</v>
      </c>
      <c r="S3" t="s">
        <v>649</v>
      </c>
      <c r="T3" t="s">
        <v>650</v>
      </c>
    </row>
    <row r="4" spans="1:46">
      <c r="A4" t="s">
        <v>66</v>
      </c>
      <c r="B4">
        <v>1</v>
      </c>
      <c r="C4" t="s">
        <v>67</v>
      </c>
      <c r="D4">
        <v>1</v>
      </c>
      <c r="E4">
        <v>0</v>
      </c>
      <c r="F4">
        <v>0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1500</v>
      </c>
      <c r="N4">
        <v>0</v>
      </c>
      <c r="O4">
        <v>0</v>
      </c>
      <c r="P4">
        <v>375</v>
      </c>
      <c r="Q4">
        <v>0</v>
      </c>
      <c r="R4">
        <v>1500</v>
      </c>
      <c r="S4">
        <v>0</v>
      </c>
      <c r="T4">
        <v>0</v>
      </c>
      <c r="U4">
        <v>1500</v>
      </c>
      <c r="V4">
        <v>1500</v>
      </c>
      <c r="W4">
        <v>1500</v>
      </c>
      <c r="X4">
        <v>0.15</v>
      </c>
      <c r="Y4">
        <v>0.15</v>
      </c>
      <c r="Z4">
        <v>120</v>
      </c>
      <c r="AA4">
        <v>1E-3</v>
      </c>
      <c r="AB4">
        <v>1</v>
      </c>
      <c r="AC4">
        <v>1</v>
      </c>
      <c r="AD4">
        <v>1</v>
      </c>
      <c r="AE4">
        <v>8.3333333333333295E-4</v>
      </c>
      <c r="AF4">
        <v>8.3333333333333295E-4</v>
      </c>
      <c r="AG4">
        <v>1</v>
      </c>
      <c r="AH4">
        <v>1</v>
      </c>
      <c r="AI4">
        <v>1</v>
      </c>
      <c r="AJ4">
        <v>0.15083333333333299</v>
      </c>
      <c r="AK4">
        <v>300</v>
      </c>
      <c r="AL4">
        <v>300</v>
      </c>
      <c r="AM4">
        <v>300</v>
      </c>
      <c r="AN4">
        <v>300</v>
      </c>
      <c r="AO4">
        <v>1988.95027624309</v>
      </c>
      <c r="AP4">
        <v>1.6666666666666701E-2</v>
      </c>
      <c r="AQ4">
        <v>2.7777777777777799E-4</v>
      </c>
      <c r="AR4">
        <v>1</v>
      </c>
      <c r="AS4">
        <v>1500</v>
      </c>
      <c r="AT4">
        <v>1500</v>
      </c>
    </row>
    <row r="5" spans="1:46">
      <c r="A5" t="s">
        <v>66</v>
      </c>
      <c r="B5">
        <v>2</v>
      </c>
      <c r="C5" t="s">
        <v>92</v>
      </c>
      <c r="D5">
        <v>1</v>
      </c>
      <c r="E5">
        <v>0</v>
      </c>
      <c r="F5">
        <v>0</v>
      </c>
      <c r="G5">
        <v>1</v>
      </c>
      <c r="H5">
        <v>0</v>
      </c>
      <c r="I5">
        <v>1</v>
      </c>
      <c r="J5">
        <v>0</v>
      </c>
      <c r="K5">
        <v>0</v>
      </c>
      <c r="L5">
        <v>0</v>
      </c>
      <c r="M5">
        <v>3000</v>
      </c>
      <c r="N5">
        <v>0</v>
      </c>
      <c r="O5">
        <v>0</v>
      </c>
      <c r="P5">
        <v>375</v>
      </c>
      <c r="Q5">
        <v>0</v>
      </c>
      <c r="R5">
        <v>3000</v>
      </c>
      <c r="S5">
        <v>0</v>
      </c>
      <c r="T5">
        <v>0</v>
      </c>
      <c r="U5">
        <v>3000</v>
      </c>
      <c r="V5">
        <v>3000</v>
      </c>
      <c r="W5">
        <v>3000</v>
      </c>
      <c r="X5">
        <v>0.3</v>
      </c>
      <c r="Y5">
        <v>0.3</v>
      </c>
      <c r="Z5">
        <v>240</v>
      </c>
      <c r="AA5">
        <v>6.0999999999999999E-2</v>
      </c>
      <c r="AB5">
        <v>15</v>
      </c>
      <c r="AC5">
        <v>15</v>
      </c>
      <c r="AD5">
        <v>15</v>
      </c>
      <c r="AE5">
        <v>1.2500000000000001E-2</v>
      </c>
      <c r="AF5">
        <v>1.2500000000000001E-2</v>
      </c>
      <c r="AG5">
        <v>15</v>
      </c>
      <c r="AH5">
        <v>15</v>
      </c>
      <c r="AI5">
        <v>16</v>
      </c>
      <c r="AJ5">
        <v>0.3125</v>
      </c>
      <c r="AK5">
        <v>360</v>
      </c>
      <c r="AL5">
        <v>360</v>
      </c>
      <c r="AM5">
        <v>660</v>
      </c>
      <c r="AN5">
        <v>660</v>
      </c>
      <c r="AO5">
        <v>1152</v>
      </c>
      <c r="AP5">
        <v>0.25</v>
      </c>
      <c r="AQ5">
        <v>4.1666666666666701E-3</v>
      </c>
      <c r="AR5">
        <v>16</v>
      </c>
      <c r="AS5">
        <v>4500</v>
      </c>
      <c r="AT5">
        <v>3000</v>
      </c>
    </row>
    <row r="6" spans="1:46">
      <c r="A6" t="s">
        <v>66</v>
      </c>
      <c r="B6">
        <v>3</v>
      </c>
      <c r="C6" t="s">
        <v>96</v>
      </c>
      <c r="D6">
        <v>1</v>
      </c>
      <c r="E6">
        <v>0</v>
      </c>
      <c r="F6">
        <v>0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6000</v>
      </c>
      <c r="N6">
        <v>0</v>
      </c>
      <c r="O6">
        <v>0</v>
      </c>
      <c r="P6">
        <v>750</v>
      </c>
      <c r="Q6">
        <v>0</v>
      </c>
      <c r="R6">
        <v>6000</v>
      </c>
      <c r="S6">
        <v>0</v>
      </c>
      <c r="T6">
        <v>0</v>
      </c>
      <c r="U6">
        <v>6000</v>
      </c>
      <c r="V6">
        <v>6000</v>
      </c>
      <c r="W6">
        <v>6000</v>
      </c>
      <c r="X6">
        <v>0.6</v>
      </c>
      <c r="Y6">
        <v>0.6</v>
      </c>
      <c r="Z6">
        <v>480</v>
      </c>
      <c r="AA6">
        <v>0.1</v>
      </c>
      <c r="AB6">
        <v>48</v>
      </c>
      <c r="AC6">
        <v>48</v>
      </c>
      <c r="AD6">
        <v>48</v>
      </c>
      <c r="AE6">
        <v>0.04</v>
      </c>
      <c r="AF6">
        <v>0.04</v>
      </c>
      <c r="AG6">
        <v>48</v>
      </c>
      <c r="AH6">
        <v>48</v>
      </c>
      <c r="AI6">
        <v>64</v>
      </c>
      <c r="AJ6">
        <v>0.64</v>
      </c>
      <c r="AK6">
        <v>430</v>
      </c>
      <c r="AL6">
        <v>430</v>
      </c>
      <c r="AM6">
        <v>1090</v>
      </c>
      <c r="AN6">
        <v>1090</v>
      </c>
      <c r="AO6">
        <v>671.875</v>
      </c>
      <c r="AP6">
        <v>0.8</v>
      </c>
      <c r="AQ6">
        <v>1.3333333333333299E-2</v>
      </c>
      <c r="AR6">
        <v>64</v>
      </c>
      <c r="AS6">
        <v>10500</v>
      </c>
      <c r="AT6">
        <v>6000</v>
      </c>
    </row>
    <row r="7" spans="1:46">
      <c r="A7" t="s">
        <v>66</v>
      </c>
      <c r="B7">
        <v>4</v>
      </c>
      <c r="C7" t="s">
        <v>100</v>
      </c>
      <c r="D7">
        <v>1</v>
      </c>
      <c r="E7">
        <v>0</v>
      </c>
      <c r="F7">
        <v>0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  <c r="M7">
        <v>12000</v>
      </c>
      <c r="N7">
        <v>0</v>
      </c>
      <c r="O7">
        <v>0</v>
      </c>
      <c r="P7">
        <v>1500</v>
      </c>
      <c r="Q7">
        <v>0</v>
      </c>
      <c r="R7">
        <v>12000</v>
      </c>
      <c r="S7">
        <v>0</v>
      </c>
      <c r="T7">
        <v>0</v>
      </c>
      <c r="U7">
        <v>12000</v>
      </c>
      <c r="V7">
        <v>12000</v>
      </c>
      <c r="W7">
        <v>18000</v>
      </c>
      <c r="X7">
        <v>1.2</v>
      </c>
      <c r="Y7">
        <v>1.2</v>
      </c>
      <c r="Z7">
        <v>960</v>
      </c>
      <c r="AA7">
        <v>0.5</v>
      </c>
      <c r="AB7">
        <v>480</v>
      </c>
      <c r="AC7">
        <v>480</v>
      </c>
      <c r="AD7">
        <v>528</v>
      </c>
      <c r="AE7">
        <v>0.4</v>
      </c>
      <c r="AF7">
        <v>0.4</v>
      </c>
      <c r="AG7">
        <v>480</v>
      </c>
      <c r="AH7">
        <v>480</v>
      </c>
      <c r="AI7">
        <v>544</v>
      </c>
      <c r="AJ7">
        <v>1.6</v>
      </c>
      <c r="AK7">
        <v>520</v>
      </c>
      <c r="AL7">
        <v>520</v>
      </c>
      <c r="AM7">
        <v>1610</v>
      </c>
      <c r="AN7">
        <v>1610</v>
      </c>
      <c r="AO7">
        <v>325</v>
      </c>
      <c r="AP7">
        <v>8</v>
      </c>
      <c r="AQ7">
        <v>0.133333333333333</v>
      </c>
      <c r="AR7">
        <v>544</v>
      </c>
      <c r="AS7">
        <v>22500</v>
      </c>
      <c r="AT7">
        <v>12000</v>
      </c>
    </row>
    <row r="8" spans="1:46">
      <c r="A8" t="s">
        <v>66</v>
      </c>
      <c r="B8">
        <v>5</v>
      </c>
      <c r="C8" t="s">
        <v>104</v>
      </c>
      <c r="D8">
        <v>1</v>
      </c>
      <c r="E8">
        <v>0</v>
      </c>
      <c r="F8">
        <v>0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24000</v>
      </c>
      <c r="N8">
        <v>0</v>
      </c>
      <c r="O8">
        <v>0</v>
      </c>
      <c r="P8">
        <v>3000</v>
      </c>
      <c r="Q8">
        <v>0</v>
      </c>
      <c r="R8">
        <v>24000</v>
      </c>
      <c r="S8">
        <v>0</v>
      </c>
      <c r="T8">
        <v>0</v>
      </c>
      <c r="U8">
        <v>24000</v>
      </c>
      <c r="V8">
        <v>24000</v>
      </c>
      <c r="W8">
        <v>42000</v>
      </c>
      <c r="X8">
        <v>2.4</v>
      </c>
      <c r="Y8">
        <v>2.4</v>
      </c>
      <c r="Z8">
        <v>1920</v>
      </c>
      <c r="AA8">
        <v>0.9</v>
      </c>
      <c r="AB8">
        <v>1728</v>
      </c>
      <c r="AC8">
        <v>1728</v>
      </c>
      <c r="AD8">
        <v>2256</v>
      </c>
      <c r="AE8">
        <v>1.44</v>
      </c>
      <c r="AF8">
        <v>1.44</v>
      </c>
      <c r="AG8">
        <v>1728</v>
      </c>
      <c r="AH8">
        <v>1728</v>
      </c>
      <c r="AI8">
        <v>2272</v>
      </c>
      <c r="AJ8">
        <v>3.84</v>
      </c>
      <c r="AK8">
        <v>620</v>
      </c>
      <c r="AL8">
        <v>620</v>
      </c>
      <c r="AM8">
        <v>2230</v>
      </c>
      <c r="AN8">
        <v>2230</v>
      </c>
      <c r="AO8">
        <v>161.458333333333</v>
      </c>
      <c r="AP8">
        <v>28.8</v>
      </c>
      <c r="AQ8">
        <v>0.48</v>
      </c>
      <c r="AR8">
        <v>2272</v>
      </c>
      <c r="AS8">
        <v>46500</v>
      </c>
      <c r="AT8">
        <v>24000</v>
      </c>
    </row>
    <row r="9" spans="1:46">
      <c r="A9" t="s">
        <v>66</v>
      </c>
      <c r="B9">
        <v>6</v>
      </c>
      <c r="C9" t="s">
        <v>108</v>
      </c>
      <c r="D9">
        <v>1</v>
      </c>
      <c r="E9">
        <v>0</v>
      </c>
      <c r="F9">
        <v>0</v>
      </c>
      <c r="G9">
        <v>1</v>
      </c>
      <c r="H9">
        <v>0</v>
      </c>
      <c r="I9">
        <v>1</v>
      </c>
      <c r="J9">
        <v>1</v>
      </c>
      <c r="K9">
        <v>0</v>
      </c>
      <c r="L9">
        <v>0</v>
      </c>
      <c r="M9">
        <v>24000</v>
      </c>
      <c r="N9">
        <v>24000</v>
      </c>
      <c r="O9">
        <v>0</v>
      </c>
      <c r="P9">
        <v>6000</v>
      </c>
      <c r="Q9">
        <v>0</v>
      </c>
      <c r="R9">
        <v>24000</v>
      </c>
      <c r="S9">
        <v>24000</v>
      </c>
      <c r="T9">
        <v>0</v>
      </c>
      <c r="U9">
        <v>48000</v>
      </c>
      <c r="V9">
        <v>48000</v>
      </c>
      <c r="W9">
        <v>90000</v>
      </c>
      <c r="X9">
        <v>4.8</v>
      </c>
      <c r="Y9">
        <v>4.8</v>
      </c>
      <c r="Z9">
        <v>3840</v>
      </c>
      <c r="AA9">
        <v>1</v>
      </c>
      <c r="AB9">
        <v>3840</v>
      </c>
      <c r="AC9">
        <v>3840</v>
      </c>
      <c r="AD9">
        <v>6096</v>
      </c>
      <c r="AE9">
        <v>3.2</v>
      </c>
      <c r="AF9">
        <v>3.2</v>
      </c>
      <c r="AG9">
        <v>3840</v>
      </c>
      <c r="AH9">
        <v>3840</v>
      </c>
      <c r="AI9">
        <v>6112</v>
      </c>
      <c r="AJ9">
        <v>8</v>
      </c>
      <c r="AK9">
        <v>740</v>
      </c>
      <c r="AL9">
        <v>740</v>
      </c>
      <c r="AM9">
        <v>2970</v>
      </c>
      <c r="AN9">
        <v>2970</v>
      </c>
      <c r="AO9">
        <v>92.5</v>
      </c>
      <c r="AP9">
        <v>64</v>
      </c>
      <c r="AQ9">
        <v>1.06666666666667</v>
      </c>
      <c r="AR9">
        <v>6112</v>
      </c>
      <c r="AS9">
        <v>94500</v>
      </c>
      <c r="AT9">
        <v>24000</v>
      </c>
    </row>
    <row r="10" spans="1:46">
      <c r="A10" t="s">
        <v>66</v>
      </c>
      <c r="B10">
        <v>7</v>
      </c>
      <c r="C10" t="s">
        <v>112</v>
      </c>
      <c r="D10">
        <v>1</v>
      </c>
      <c r="E10">
        <v>0</v>
      </c>
      <c r="F10">
        <v>0</v>
      </c>
      <c r="G10">
        <v>1</v>
      </c>
      <c r="H10">
        <v>0</v>
      </c>
      <c r="I10">
        <v>1</v>
      </c>
      <c r="J10">
        <v>1</v>
      </c>
      <c r="K10">
        <v>0</v>
      </c>
      <c r="L10">
        <v>0</v>
      </c>
      <c r="M10">
        <v>48000</v>
      </c>
      <c r="N10">
        <v>48000</v>
      </c>
      <c r="O10">
        <v>0</v>
      </c>
      <c r="P10">
        <v>12000</v>
      </c>
      <c r="Q10">
        <v>0</v>
      </c>
      <c r="R10">
        <v>48000</v>
      </c>
      <c r="S10">
        <v>48000</v>
      </c>
      <c r="T10">
        <v>0</v>
      </c>
      <c r="U10">
        <v>96000</v>
      </c>
      <c r="V10">
        <v>96000</v>
      </c>
      <c r="W10">
        <v>186000</v>
      </c>
      <c r="X10">
        <v>9.6</v>
      </c>
      <c r="Y10">
        <v>9.6</v>
      </c>
      <c r="Z10">
        <v>7680</v>
      </c>
      <c r="AA10">
        <v>1</v>
      </c>
      <c r="AB10">
        <v>7680</v>
      </c>
      <c r="AC10">
        <v>7680</v>
      </c>
      <c r="AD10">
        <v>13776</v>
      </c>
      <c r="AE10">
        <v>6.4</v>
      </c>
      <c r="AF10">
        <v>6.4</v>
      </c>
      <c r="AG10">
        <v>7680</v>
      </c>
      <c r="AH10">
        <v>7680</v>
      </c>
      <c r="AI10">
        <v>13792</v>
      </c>
      <c r="AJ10">
        <v>16</v>
      </c>
      <c r="AK10">
        <v>890</v>
      </c>
      <c r="AL10">
        <v>890</v>
      </c>
      <c r="AM10">
        <v>3860</v>
      </c>
      <c r="AN10">
        <v>3860</v>
      </c>
      <c r="AO10">
        <v>55.625</v>
      </c>
      <c r="AP10">
        <v>128</v>
      </c>
      <c r="AQ10">
        <v>2.1333333333333302</v>
      </c>
      <c r="AR10">
        <v>13792</v>
      </c>
      <c r="AS10">
        <v>190500</v>
      </c>
      <c r="AT10">
        <v>48000</v>
      </c>
    </row>
    <row r="11" spans="1:46">
      <c r="A11" t="s">
        <v>66</v>
      </c>
      <c r="B11">
        <v>8</v>
      </c>
      <c r="C11" t="s">
        <v>115</v>
      </c>
      <c r="D11">
        <v>1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0</v>
      </c>
      <c r="L11">
        <v>0</v>
      </c>
      <c r="M11">
        <v>96000</v>
      </c>
      <c r="N11">
        <v>96000</v>
      </c>
      <c r="O11">
        <v>0</v>
      </c>
      <c r="P11">
        <v>24000</v>
      </c>
      <c r="Q11">
        <v>0</v>
      </c>
      <c r="R11">
        <v>96000</v>
      </c>
      <c r="S11">
        <v>96000</v>
      </c>
      <c r="T11">
        <v>0</v>
      </c>
      <c r="U11">
        <v>192000</v>
      </c>
      <c r="V11">
        <v>192000</v>
      </c>
      <c r="W11">
        <v>378000</v>
      </c>
      <c r="X11">
        <v>19.2</v>
      </c>
      <c r="Y11">
        <v>19.2</v>
      </c>
      <c r="Z11">
        <v>15360</v>
      </c>
      <c r="AA11">
        <v>1</v>
      </c>
      <c r="AB11">
        <v>15360</v>
      </c>
      <c r="AC11">
        <v>15360</v>
      </c>
      <c r="AD11">
        <v>29136</v>
      </c>
      <c r="AE11">
        <v>12.8</v>
      </c>
      <c r="AF11">
        <v>12.8</v>
      </c>
      <c r="AG11">
        <v>15360</v>
      </c>
      <c r="AH11">
        <v>15360</v>
      </c>
      <c r="AI11">
        <v>29152</v>
      </c>
      <c r="AJ11">
        <v>32</v>
      </c>
      <c r="AK11">
        <v>1100</v>
      </c>
      <c r="AL11">
        <v>1100</v>
      </c>
      <c r="AM11">
        <v>4960</v>
      </c>
      <c r="AN11">
        <v>4960</v>
      </c>
      <c r="AO11">
        <v>34.375</v>
      </c>
      <c r="AP11">
        <v>256</v>
      </c>
      <c r="AQ11">
        <v>4.2666666666666702</v>
      </c>
      <c r="AR11">
        <v>29152</v>
      </c>
      <c r="AS11">
        <v>382500</v>
      </c>
      <c r="AT11">
        <v>96000</v>
      </c>
    </row>
    <row r="12" spans="1:46">
      <c r="A12" t="s">
        <v>66</v>
      </c>
      <c r="B12">
        <v>9</v>
      </c>
      <c r="C12" t="s">
        <v>120</v>
      </c>
      <c r="D12">
        <v>1</v>
      </c>
      <c r="E12">
        <v>0</v>
      </c>
      <c r="F12">
        <v>0</v>
      </c>
      <c r="G12">
        <v>1</v>
      </c>
      <c r="H12">
        <v>0</v>
      </c>
      <c r="I12">
        <v>1</v>
      </c>
      <c r="J12">
        <v>1</v>
      </c>
      <c r="K12">
        <v>0</v>
      </c>
      <c r="L12">
        <v>0</v>
      </c>
      <c r="M12">
        <v>160000</v>
      </c>
      <c r="N12">
        <v>160000</v>
      </c>
      <c r="O12">
        <v>0</v>
      </c>
      <c r="P12">
        <v>32000</v>
      </c>
      <c r="Q12">
        <v>0</v>
      </c>
      <c r="R12">
        <v>160000</v>
      </c>
      <c r="S12">
        <v>160000</v>
      </c>
      <c r="T12">
        <v>0</v>
      </c>
      <c r="U12">
        <v>320000</v>
      </c>
      <c r="V12">
        <v>320000</v>
      </c>
      <c r="W12">
        <v>698000</v>
      </c>
      <c r="X12">
        <v>32</v>
      </c>
      <c r="Y12">
        <v>32</v>
      </c>
      <c r="Z12">
        <v>26112</v>
      </c>
      <c r="AA12">
        <v>1</v>
      </c>
      <c r="AB12">
        <v>26112</v>
      </c>
      <c r="AC12">
        <v>26112</v>
      </c>
      <c r="AD12">
        <v>55248</v>
      </c>
      <c r="AE12">
        <v>21.76</v>
      </c>
      <c r="AF12">
        <v>21.76</v>
      </c>
      <c r="AG12">
        <v>26112</v>
      </c>
      <c r="AH12">
        <v>26112</v>
      </c>
      <c r="AI12">
        <v>55264</v>
      </c>
      <c r="AJ12">
        <v>53.76</v>
      </c>
      <c r="AK12">
        <v>1300</v>
      </c>
      <c r="AL12">
        <v>1300</v>
      </c>
      <c r="AM12">
        <v>6260</v>
      </c>
      <c r="AN12">
        <v>6260</v>
      </c>
      <c r="AO12">
        <v>24.181547619047599</v>
      </c>
      <c r="AP12">
        <v>435.2</v>
      </c>
      <c r="AQ12">
        <v>7.2533333333333303</v>
      </c>
      <c r="AR12">
        <v>55264</v>
      </c>
      <c r="AS12">
        <v>702500</v>
      </c>
      <c r="AT12">
        <v>160000</v>
      </c>
    </row>
    <row r="13" spans="1:46">
      <c r="A13" t="s">
        <v>66</v>
      </c>
      <c r="B13">
        <v>10</v>
      </c>
      <c r="C13" t="s">
        <v>123</v>
      </c>
      <c r="D13">
        <v>1</v>
      </c>
      <c r="E13">
        <v>0</v>
      </c>
      <c r="F13">
        <v>0</v>
      </c>
      <c r="G13">
        <v>1</v>
      </c>
      <c r="H13">
        <v>0</v>
      </c>
      <c r="I13">
        <v>1</v>
      </c>
      <c r="J13">
        <v>1</v>
      </c>
      <c r="K13">
        <v>0</v>
      </c>
      <c r="L13">
        <v>0</v>
      </c>
      <c r="M13">
        <v>280000</v>
      </c>
      <c r="N13">
        <v>280000</v>
      </c>
      <c r="O13">
        <v>0</v>
      </c>
      <c r="P13">
        <v>60000</v>
      </c>
      <c r="Q13">
        <v>0</v>
      </c>
      <c r="R13">
        <v>280000</v>
      </c>
      <c r="S13">
        <v>280000</v>
      </c>
      <c r="T13">
        <v>0</v>
      </c>
      <c r="U13">
        <v>560000</v>
      </c>
      <c r="V13">
        <v>560000</v>
      </c>
      <c r="W13">
        <v>1258000</v>
      </c>
      <c r="X13">
        <v>56</v>
      </c>
      <c r="Y13">
        <v>56</v>
      </c>
      <c r="Z13">
        <v>41779</v>
      </c>
      <c r="AA13">
        <v>1</v>
      </c>
      <c r="AB13">
        <v>41779</v>
      </c>
      <c r="AC13">
        <v>41779</v>
      </c>
      <c r="AD13">
        <v>97027</v>
      </c>
      <c r="AE13">
        <v>34.815833333333302</v>
      </c>
      <c r="AF13">
        <v>34.815833333333302</v>
      </c>
      <c r="AG13">
        <v>41779</v>
      </c>
      <c r="AH13">
        <v>41779</v>
      </c>
      <c r="AI13">
        <v>97043</v>
      </c>
      <c r="AJ13">
        <v>90.815833333333302</v>
      </c>
      <c r="AK13">
        <v>1600</v>
      </c>
      <c r="AL13">
        <v>1600</v>
      </c>
      <c r="AM13">
        <v>7860</v>
      </c>
      <c r="AN13">
        <v>7860</v>
      </c>
      <c r="AO13">
        <v>17.618073206764599</v>
      </c>
      <c r="AP13">
        <v>696.31666666666695</v>
      </c>
      <c r="AQ13">
        <v>11.6052777777778</v>
      </c>
      <c r="AR13">
        <v>97043</v>
      </c>
      <c r="AS13">
        <v>1262500</v>
      </c>
      <c r="AT13">
        <v>280000</v>
      </c>
    </row>
    <row r="14" spans="1:46">
      <c r="A14" t="s">
        <v>66</v>
      </c>
      <c r="B14">
        <v>11</v>
      </c>
      <c r="C14" t="s">
        <v>126</v>
      </c>
      <c r="D14">
        <v>1</v>
      </c>
      <c r="E14">
        <v>0</v>
      </c>
      <c r="F14">
        <v>0</v>
      </c>
      <c r="G14">
        <v>1</v>
      </c>
      <c r="H14">
        <v>0</v>
      </c>
      <c r="I14">
        <v>1</v>
      </c>
      <c r="J14">
        <v>1</v>
      </c>
      <c r="K14">
        <v>1</v>
      </c>
      <c r="L14">
        <v>0</v>
      </c>
      <c r="M14">
        <v>300000</v>
      </c>
      <c r="N14">
        <v>300000</v>
      </c>
      <c r="O14">
        <v>300000</v>
      </c>
      <c r="P14">
        <v>85000</v>
      </c>
      <c r="Q14">
        <v>0</v>
      </c>
      <c r="R14">
        <v>300000</v>
      </c>
      <c r="S14">
        <v>300000</v>
      </c>
      <c r="T14">
        <v>300000</v>
      </c>
      <c r="U14">
        <v>900000</v>
      </c>
      <c r="V14">
        <v>900000</v>
      </c>
      <c r="W14">
        <v>2158000</v>
      </c>
      <c r="X14">
        <v>90</v>
      </c>
      <c r="Y14">
        <v>90</v>
      </c>
      <c r="Z14">
        <v>56402</v>
      </c>
      <c r="AA14">
        <v>1</v>
      </c>
      <c r="AB14">
        <v>56402</v>
      </c>
      <c r="AC14">
        <v>56402</v>
      </c>
      <c r="AD14">
        <v>153429</v>
      </c>
      <c r="AE14">
        <v>47.001666666666701</v>
      </c>
      <c r="AF14">
        <v>47.001666666666701</v>
      </c>
      <c r="AG14">
        <v>56402</v>
      </c>
      <c r="AH14">
        <v>56402</v>
      </c>
      <c r="AI14">
        <v>153445</v>
      </c>
      <c r="AJ14">
        <v>137.00166666666701</v>
      </c>
      <c r="AK14">
        <v>2200</v>
      </c>
      <c r="AL14">
        <v>2200</v>
      </c>
      <c r="AM14">
        <v>10060</v>
      </c>
      <c r="AN14">
        <v>10060</v>
      </c>
      <c r="AO14">
        <v>16.058198805367301</v>
      </c>
      <c r="AP14">
        <v>940.03333333333296</v>
      </c>
      <c r="AQ14">
        <v>15.6672222222222</v>
      </c>
      <c r="AR14">
        <v>153445</v>
      </c>
      <c r="AS14">
        <v>2162500</v>
      </c>
      <c r="AT14">
        <v>300000</v>
      </c>
    </row>
    <row r="15" spans="1:46">
      <c r="A15" t="s">
        <v>66</v>
      </c>
      <c r="B15">
        <v>12</v>
      </c>
      <c r="C15" t="s">
        <v>129</v>
      </c>
      <c r="D15">
        <v>1</v>
      </c>
      <c r="E15">
        <v>0</v>
      </c>
      <c r="F15">
        <v>0</v>
      </c>
      <c r="G15">
        <v>1</v>
      </c>
      <c r="H15">
        <v>0</v>
      </c>
      <c r="I15">
        <v>1</v>
      </c>
      <c r="J15">
        <v>1</v>
      </c>
      <c r="K15">
        <v>1</v>
      </c>
      <c r="L15">
        <v>0</v>
      </c>
      <c r="M15">
        <v>470000</v>
      </c>
      <c r="N15">
        <v>470000</v>
      </c>
      <c r="O15">
        <v>470000</v>
      </c>
      <c r="P15">
        <v>127500</v>
      </c>
      <c r="Q15">
        <v>0</v>
      </c>
      <c r="R15">
        <v>470000</v>
      </c>
      <c r="S15">
        <v>470000</v>
      </c>
      <c r="T15">
        <v>470000</v>
      </c>
      <c r="U15">
        <v>1410000</v>
      </c>
      <c r="V15">
        <v>1410000</v>
      </c>
      <c r="W15">
        <v>3568000</v>
      </c>
      <c r="X15">
        <v>141</v>
      </c>
      <c r="Y15">
        <v>141</v>
      </c>
      <c r="Z15">
        <v>76143</v>
      </c>
      <c r="AA15">
        <v>1</v>
      </c>
      <c r="AB15">
        <v>76143</v>
      </c>
      <c r="AC15">
        <v>76143</v>
      </c>
      <c r="AD15">
        <v>229572</v>
      </c>
      <c r="AE15">
        <v>63.452500000000001</v>
      </c>
      <c r="AF15">
        <v>63.452500000000001</v>
      </c>
      <c r="AG15">
        <v>76143</v>
      </c>
      <c r="AH15">
        <v>76143</v>
      </c>
      <c r="AI15">
        <v>229588</v>
      </c>
      <c r="AJ15">
        <v>204.45249999999999</v>
      </c>
      <c r="AK15">
        <v>3000</v>
      </c>
      <c r="AL15">
        <v>3000</v>
      </c>
      <c r="AM15">
        <v>13060</v>
      </c>
      <c r="AN15">
        <v>13060</v>
      </c>
      <c r="AO15">
        <v>14.6733348821853</v>
      </c>
      <c r="AP15">
        <v>1269.05</v>
      </c>
      <c r="AQ15">
        <v>21.150833333333299</v>
      </c>
      <c r="AR15">
        <v>229588</v>
      </c>
      <c r="AS15">
        <v>3572500</v>
      </c>
      <c r="AT15">
        <v>470000</v>
      </c>
    </row>
    <row r="16" spans="1:46">
      <c r="A16" t="s">
        <v>66</v>
      </c>
      <c r="B16">
        <v>13</v>
      </c>
      <c r="C16" t="s">
        <v>132</v>
      </c>
      <c r="D16">
        <v>1</v>
      </c>
      <c r="E16">
        <v>0</v>
      </c>
      <c r="F16">
        <v>0</v>
      </c>
      <c r="G16">
        <v>1</v>
      </c>
      <c r="H16">
        <v>0</v>
      </c>
      <c r="I16">
        <v>1</v>
      </c>
      <c r="J16">
        <v>1</v>
      </c>
      <c r="K16">
        <v>1</v>
      </c>
      <c r="L16">
        <v>0</v>
      </c>
      <c r="M16">
        <v>760000</v>
      </c>
      <c r="N16">
        <v>760000</v>
      </c>
      <c r="O16">
        <v>760000</v>
      </c>
      <c r="P16">
        <v>217500</v>
      </c>
      <c r="Q16">
        <v>0</v>
      </c>
      <c r="R16">
        <v>760000</v>
      </c>
      <c r="S16">
        <v>760000</v>
      </c>
      <c r="T16">
        <v>760000</v>
      </c>
      <c r="U16">
        <v>2280000</v>
      </c>
      <c r="V16">
        <v>2280000</v>
      </c>
      <c r="W16">
        <v>5848000</v>
      </c>
      <c r="X16">
        <v>228</v>
      </c>
      <c r="Y16">
        <v>228</v>
      </c>
      <c r="Z16">
        <v>102792</v>
      </c>
      <c r="AA16">
        <v>1</v>
      </c>
      <c r="AB16">
        <v>102792</v>
      </c>
      <c r="AC16">
        <v>102792</v>
      </c>
      <c r="AD16">
        <v>332364</v>
      </c>
      <c r="AE16">
        <v>85.66</v>
      </c>
      <c r="AF16">
        <v>85.66</v>
      </c>
      <c r="AG16">
        <v>102792</v>
      </c>
      <c r="AH16">
        <v>102792</v>
      </c>
      <c r="AI16">
        <v>332380</v>
      </c>
      <c r="AJ16">
        <v>313.66000000000003</v>
      </c>
      <c r="AK16">
        <v>4100</v>
      </c>
      <c r="AL16">
        <v>4100</v>
      </c>
      <c r="AM16">
        <v>17160</v>
      </c>
      <c r="AN16">
        <v>17160</v>
      </c>
      <c r="AO16">
        <v>13.071478671172599</v>
      </c>
      <c r="AP16">
        <v>1713.2</v>
      </c>
      <c r="AQ16">
        <v>28.553333333333299</v>
      </c>
      <c r="AR16">
        <v>332380</v>
      </c>
      <c r="AS16">
        <v>5852500</v>
      </c>
      <c r="AT16">
        <v>760000</v>
      </c>
    </row>
    <row r="17" spans="1:46">
      <c r="A17" t="s">
        <v>66</v>
      </c>
      <c r="B17">
        <v>14</v>
      </c>
      <c r="C17" t="s">
        <v>135</v>
      </c>
      <c r="D17">
        <v>1</v>
      </c>
      <c r="E17">
        <v>0</v>
      </c>
      <c r="F17">
        <v>0</v>
      </c>
      <c r="G17">
        <v>1</v>
      </c>
      <c r="H17">
        <v>0</v>
      </c>
      <c r="I17">
        <v>1</v>
      </c>
      <c r="J17">
        <v>1</v>
      </c>
      <c r="K17">
        <v>1</v>
      </c>
      <c r="L17">
        <v>0</v>
      </c>
      <c r="M17">
        <v>1200000</v>
      </c>
      <c r="N17">
        <v>1200000</v>
      </c>
      <c r="O17">
        <v>1200000</v>
      </c>
      <c r="P17">
        <v>330000</v>
      </c>
      <c r="Q17">
        <v>0</v>
      </c>
      <c r="R17">
        <v>1200000</v>
      </c>
      <c r="S17">
        <v>1200000</v>
      </c>
      <c r="T17">
        <v>1200000</v>
      </c>
      <c r="U17">
        <v>3600000</v>
      </c>
      <c r="V17">
        <v>3600000</v>
      </c>
      <c r="W17">
        <v>9448000</v>
      </c>
      <c r="X17">
        <v>360</v>
      </c>
      <c r="Y17">
        <v>360</v>
      </c>
      <c r="Z17">
        <v>138770</v>
      </c>
      <c r="AA17">
        <v>1</v>
      </c>
      <c r="AB17">
        <v>138770</v>
      </c>
      <c r="AC17">
        <v>138770</v>
      </c>
      <c r="AD17">
        <v>471134</v>
      </c>
      <c r="AE17">
        <v>115.64166666666701</v>
      </c>
      <c r="AF17">
        <v>115.64166666666701</v>
      </c>
      <c r="AG17">
        <v>138770</v>
      </c>
      <c r="AH17">
        <v>138770</v>
      </c>
      <c r="AI17">
        <v>471150</v>
      </c>
      <c r="AJ17">
        <v>475.64166666666699</v>
      </c>
      <c r="AK17">
        <v>5500</v>
      </c>
      <c r="AL17">
        <v>5500</v>
      </c>
      <c r="AM17">
        <v>22660</v>
      </c>
      <c r="AN17">
        <v>22660</v>
      </c>
      <c r="AO17">
        <v>11.563326734061</v>
      </c>
      <c r="AP17">
        <v>2312.8333333333298</v>
      </c>
      <c r="AQ17">
        <v>38.547222222222203</v>
      </c>
      <c r="AR17">
        <v>471150</v>
      </c>
      <c r="AS17">
        <v>9452500</v>
      </c>
      <c r="AT17">
        <v>1200000</v>
      </c>
    </row>
    <row r="18" spans="1:46">
      <c r="A18" t="s">
        <v>66</v>
      </c>
      <c r="B18">
        <v>15</v>
      </c>
      <c r="C18" t="s">
        <v>138</v>
      </c>
      <c r="D18">
        <v>1</v>
      </c>
      <c r="E18">
        <v>0</v>
      </c>
      <c r="F18">
        <v>0</v>
      </c>
      <c r="G18">
        <v>1</v>
      </c>
      <c r="H18">
        <v>0</v>
      </c>
      <c r="I18">
        <v>1</v>
      </c>
      <c r="J18">
        <v>1</v>
      </c>
      <c r="K18">
        <v>1</v>
      </c>
      <c r="L18">
        <v>0</v>
      </c>
      <c r="M18">
        <v>1800000</v>
      </c>
      <c r="N18">
        <v>1800000</v>
      </c>
      <c r="O18">
        <v>1800000</v>
      </c>
      <c r="P18">
        <v>450000</v>
      </c>
      <c r="Q18">
        <v>0</v>
      </c>
      <c r="R18">
        <v>1800000</v>
      </c>
      <c r="S18">
        <v>1800000</v>
      </c>
      <c r="T18">
        <v>1800000</v>
      </c>
      <c r="U18">
        <v>5400000</v>
      </c>
      <c r="V18">
        <v>5400000</v>
      </c>
      <c r="W18">
        <v>14848000</v>
      </c>
      <c r="X18">
        <v>540</v>
      </c>
      <c r="Y18">
        <v>540</v>
      </c>
      <c r="Z18">
        <v>187339</v>
      </c>
      <c r="AA18">
        <v>1</v>
      </c>
      <c r="AB18">
        <v>187339</v>
      </c>
      <c r="AC18">
        <v>187339</v>
      </c>
      <c r="AD18">
        <v>658473</v>
      </c>
      <c r="AE18">
        <v>156.115833333333</v>
      </c>
      <c r="AF18">
        <v>156.115833333333</v>
      </c>
      <c r="AG18">
        <v>187339</v>
      </c>
      <c r="AH18">
        <v>187339</v>
      </c>
      <c r="AI18">
        <v>658489</v>
      </c>
      <c r="AJ18">
        <v>696.11583333333294</v>
      </c>
      <c r="AK18">
        <v>7400</v>
      </c>
      <c r="AL18">
        <v>7400</v>
      </c>
      <c r="AM18">
        <v>30060</v>
      </c>
      <c r="AN18">
        <v>30060</v>
      </c>
      <c r="AO18">
        <v>10.6304147178571</v>
      </c>
      <c r="AP18">
        <v>3122.3166666666698</v>
      </c>
      <c r="AQ18">
        <v>52.038611111111102</v>
      </c>
      <c r="AR18">
        <v>658489</v>
      </c>
      <c r="AS18">
        <v>14852500</v>
      </c>
      <c r="AT18">
        <v>1800000</v>
      </c>
    </row>
    <row r="19" spans="1:46">
      <c r="A19" t="s">
        <v>66</v>
      </c>
      <c r="B19">
        <v>16</v>
      </c>
      <c r="C19" t="s">
        <v>141</v>
      </c>
      <c r="D19">
        <v>1</v>
      </c>
      <c r="E19">
        <v>0</v>
      </c>
      <c r="F19">
        <v>0</v>
      </c>
      <c r="G19">
        <v>1</v>
      </c>
      <c r="H19">
        <v>0</v>
      </c>
      <c r="I19">
        <v>1</v>
      </c>
      <c r="J19">
        <v>1</v>
      </c>
      <c r="K19">
        <v>1</v>
      </c>
      <c r="L19">
        <v>0</v>
      </c>
      <c r="M19">
        <v>2500000</v>
      </c>
      <c r="N19">
        <v>2500000</v>
      </c>
      <c r="O19">
        <v>2500000</v>
      </c>
      <c r="P19">
        <v>525000</v>
      </c>
      <c r="Q19">
        <v>0</v>
      </c>
      <c r="R19">
        <v>2500000</v>
      </c>
      <c r="S19">
        <v>2500000</v>
      </c>
      <c r="T19">
        <v>2500000</v>
      </c>
      <c r="U19">
        <v>7500000</v>
      </c>
      <c r="V19">
        <v>7500000</v>
      </c>
      <c r="W19">
        <v>22348000</v>
      </c>
      <c r="X19">
        <v>750</v>
      </c>
      <c r="Y19">
        <v>750</v>
      </c>
      <c r="Z19">
        <v>252908</v>
      </c>
      <c r="AA19">
        <v>1</v>
      </c>
      <c r="AB19">
        <v>252908</v>
      </c>
      <c r="AC19">
        <v>252908</v>
      </c>
      <c r="AD19">
        <v>911381</v>
      </c>
      <c r="AE19">
        <v>210.756666666667</v>
      </c>
      <c r="AF19">
        <v>210.756666666667</v>
      </c>
      <c r="AG19">
        <v>252908</v>
      </c>
      <c r="AH19">
        <v>252908</v>
      </c>
      <c r="AI19">
        <v>911397</v>
      </c>
      <c r="AJ19">
        <v>960.756666666667</v>
      </c>
      <c r="AK19">
        <v>10000</v>
      </c>
      <c r="AL19">
        <v>10000</v>
      </c>
      <c r="AM19">
        <v>40060</v>
      </c>
      <c r="AN19">
        <v>40060</v>
      </c>
      <c r="AO19">
        <v>10.4084627741329</v>
      </c>
      <c r="AP19">
        <v>4215.1333333333296</v>
      </c>
      <c r="AQ19">
        <v>70.252222222222201</v>
      </c>
      <c r="AR19">
        <v>911397</v>
      </c>
      <c r="AS19">
        <v>22352500</v>
      </c>
      <c r="AT19">
        <v>2500000</v>
      </c>
    </row>
    <row r="20" spans="1:46">
      <c r="A20" t="s">
        <v>66</v>
      </c>
      <c r="B20">
        <v>17</v>
      </c>
      <c r="C20" t="s">
        <v>142</v>
      </c>
      <c r="D20">
        <v>1</v>
      </c>
      <c r="E20">
        <v>0</v>
      </c>
      <c r="F20">
        <v>0</v>
      </c>
      <c r="G20">
        <v>1</v>
      </c>
      <c r="H20">
        <v>0</v>
      </c>
      <c r="I20">
        <v>1</v>
      </c>
      <c r="J20">
        <v>1</v>
      </c>
      <c r="K20">
        <v>1</v>
      </c>
      <c r="L20">
        <v>0</v>
      </c>
      <c r="M20">
        <v>3200000</v>
      </c>
      <c r="N20">
        <v>3200000</v>
      </c>
      <c r="O20">
        <v>3200000</v>
      </c>
      <c r="P20">
        <v>525000</v>
      </c>
      <c r="Q20">
        <v>0</v>
      </c>
      <c r="R20">
        <v>3200000</v>
      </c>
      <c r="S20">
        <v>3200000</v>
      </c>
      <c r="T20">
        <v>3200000</v>
      </c>
      <c r="U20">
        <v>9600000</v>
      </c>
      <c r="V20">
        <v>9600000</v>
      </c>
      <c r="W20">
        <v>31948000</v>
      </c>
      <c r="X20">
        <v>960</v>
      </c>
      <c r="Y20">
        <v>960</v>
      </c>
      <c r="Z20">
        <v>341426</v>
      </c>
      <c r="AA20">
        <v>1</v>
      </c>
      <c r="AB20">
        <v>341426</v>
      </c>
      <c r="AC20">
        <v>341426</v>
      </c>
      <c r="AD20">
        <v>1252807</v>
      </c>
      <c r="AE20">
        <v>284.52166666666699</v>
      </c>
      <c r="AF20">
        <v>284.52166666666699</v>
      </c>
      <c r="AG20">
        <v>341426</v>
      </c>
      <c r="AH20">
        <v>341426</v>
      </c>
      <c r="AI20">
        <v>1252823</v>
      </c>
      <c r="AJ20">
        <v>1244.5216666666699</v>
      </c>
      <c r="AK20">
        <v>14000</v>
      </c>
      <c r="AL20">
        <v>14000</v>
      </c>
      <c r="AM20">
        <v>54060</v>
      </c>
      <c r="AN20">
        <v>54060</v>
      </c>
      <c r="AO20">
        <v>11.2493019406385</v>
      </c>
      <c r="AP20">
        <v>5690.4333333333298</v>
      </c>
      <c r="AQ20">
        <v>94.840555555555596</v>
      </c>
      <c r="AR20">
        <v>1252823</v>
      </c>
      <c r="AS20">
        <v>31952500</v>
      </c>
      <c r="AT20">
        <v>3200000</v>
      </c>
    </row>
    <row r="21" spans="1:46">
      <c r="A21" t="s">
        <v>66</v>
      </c>
      <c r="B21">
        <v>18</v>
      </c>
      <c r="C21" t="s">
        <v>145</v>
      </c>
      <c r="D21">
        <v>1</v>
      </c>
      <c r="E21">
        <v>0</v>
      </c>
      <c r="F21">
        <v>0</v>
      </c>
      <c r="G21">
        <v>1</v>
      </c>
      <c r="H21">
        <v>0</v>
      </c>
      <c r="I21">
        <v>1</v>
      </c>
      <c r="J21">
        <v>1</v>
      </c>
      <c r="K21">
        <v>1</v>
      </c>
      <c r="L21">
        <v>0</v>
      </c>
      <c r="M21">
        <v>4200000</v>
      </c>
      <c r="N21">
        <v>4200000</v>
      </c>
      <c r="O21">
        <v>4200000</v>
      </c>
      <c r="P21">
        <v>750000</v>
      </c>
      <c r="Q21">
        <v>0</v>
      </c>
      <c r="R21">
        <v>4200000</v>
      </c>
      <c r="S21">
        <v>4200000</v>
      </c>
      <c r="T21">
        <v>4200000</v>
      </c>
      <c r="U21">
        <v>12600000</v>
      </c>
      <c r="V21">
        <v>12600000</v>
      </c>
      <c r="W21">
        <v>44548000</v>
      </c>
      <c r="X21">
        <v>1260</v>
      </c>
      <c r="Y21">
        <v>1260</v>
      </c>
      <c r="Z21">
        <v>460925</v>
      </c>
      <c r="AA21">
        <v>1</v>
      </c>
      <c r="AB21">
        <v>460925</v>
      </c>
      <c r="AC21">
        <v>460925</v>
      </c>
      <c r="AD21">
        <v>1713732</v>
      </c>
      <c r="AE21">
        <v>384.10416666666703</v>
      </c>
      <c r="AF21">
        <v>384.10416666666703</v>
      </c>
      <c r="AG21">
        <v>460925</v>
      </c>
      <c r="AH21">
        <v>460925</v>
      </c>
      <c r="AI21">
        <v>1713748</v>
      </c>
      <c r="AJ21">
        <v>1644.1041666666699</v>
      </c>
      <c r="AK21">
        <v>19000</v>
      </c>
      <c r="AL21">
        <v>19000</v>
      </c>
      <c r="AM21">
        <v>73060</v>
      </c>
      <c r="AN21">
        <v>73060</v>
      </c>
      <c r="AO21">
        <v>11.5564453793226</v>
      </c>
      <c r="AP21">
        <v>7682.0833333333303</v>
      </c>
      <c r="AQ21">
        <v>128.034722222222</v>
      </c>
      <c r="AR21">
        <v>1713748</v>
      </c>
      <c r="AS21">
        <v>44552500</v>
      </c>
      <c r="AT21">
        <v>4200000</v>
      </c>
    </row>
    <row r="22" spans="1:46">
      <c r="A22" t="s">
        <v>66</v>
      </c>
      <c r="B22">
        <v>19</v>
      </c>
      <c r="C22" t="s">
        <v>148</v>
      </c>
      <c r="D22">
        <v>1</v>
      </c>
      <c r="E22">
        <v>0</v>
      </c>
      <c r="F22">
        <v>0</v>
      </c>
      <c r="G22">
        <v>1</v>
      </c>
      <c r="H22">
        <v>0</v>
      </c>
      <c r="I22">
        <v>1</v>
      </c>
      <c r="J22">
        <v>1</v>
      </c>
      <c r="K22">
        <v>1</v>
      </c>
      <c r="L22">
        <v>0</v>
      </c>
      <c r="M22">
        <v>5400000</v>
      </c>
      <c r="N22">
        <v>5400000</v>
      </c>
      <c r="O22">
        <v>5400000</v>
      </c>
      <c r="P22">
        <v>900000</v>
      </c>
      <c r="Q22">
        <v>0</v>
      </c>
      <c r="R22">
        <v>5400000</v>
      </c>
      <c r="S22">
        <v>5400000</v>
      </c>
      <c r="T22">
        <v>5400000</v>
      </c>
      <c r="U22">
        <v>16200000</v>
      </c>
      <c r="V22">
        <v>16200000</v>
      </c>
      <c r="W22">
        <v>60748000</v>
      </c>
      <c r="X22">
        <v>1620</v>
      </c>
      <c r="Y22">
        <v>1620</v>
      </c>
      <c r="Z22">
        <v>691388</v>
      </c>
      <c r="AA22">
        <v>1</v>
      </c>
      <c r="AB22">
        <v>691388</v>
      </c>
      <c r="AC22">
        <v>691388</v>
      </c>
      <c r="AD22">
        <v>2405120</v>
      </c>
      <c r="AE22">
        <v>576.15666666666698</v>
      </c>
      <c r="AF22">
        <v>576.15666666666698</v>
      </c>
      <c r="AG22">
        <v>691388</v>
      </c>
      <c r="AH22">
        <v>691388</v>
      </c>
      <c r="AI22">
        <v>2405136</v>
      </c>
      <c r="AJ22">
        <v>2196.1566666666699</v>
      </c>
      <c r="AK22">
        <v>26000</v>
      </c>
      <c r="AL22">
        <v>26000</v>
      </c>
      <c r="AM22">
        <v>99060</v>
      </c>
      <c r="AN22">
        <v>99060</v>
      </c>
      <c r="AO22">
        <v>11.838863954757301</v>
      </c>
      <c r="AP22">
        <v>11523.1333333333</v>
      </c>
      <c r="AQ22">
        <v>192.05222222222201</v>
      </c>
      <c r="AR22">
        <v>2405136</v>
      </c>
      <c r="AS22">
        <v>60752500</v>
      </c>
      <c r="AT22">
        <v>5400000</v>
      </c>
    </row>
    <row r="23" spans="1:46">
      <c r="A23" t="s">
        <v>66</v>
      </c>
      <c r="B23">
        <v>20</v>
      </c>
      <c r="C23" t="s">
        <v>151</v>
      </c>
      <c r="D23">
        <v>1</v>
      </c>
      <c r="E23">
        <v>0</v>
      </c>
      <c r="F23">
        <v>0</v>
      </c>
      <c r="G23">
        <v>1</v>
      </c>
      <c r="H23">
        <v>0</v>
      </c>
      <c r="I23">
        <v>1</v>
      </c>
      <c r="J23">
        <v>1</v>
      </c>
      <c r="K23">
        <v>1</v>
      </c>
      <c r="L23">
        <v>0</v>
      </c>
      <c r="M23">
        <v>7100000</v>
      </c>
      <c r="N23">
        <v>7100000</v>
      </c>
      <c r="O23">
        <v>7100000</v>
      </c>
      <c r="P23">
        <v>1275000</v>
      </c>
      <c r="Q23">
        <v>0</v>
      </c>
      <c r="R23">
        <v>7100000</v>
      </c>
      <c r="S23">
        <v>7100000</v>
      </c>
      <c r="T23">
        <v>7100000</v>
      </c>
      <c r="U23">
        <v>21300000</v>
      </c>
      <c r="V23">
        <v>21300000</v>
      </c>
      <c r="W23">
        <v>82048000</v>
      </c>
      <c r="X23">
        <v>2130</v>
      </c>
      <c r="Y23">
        <v>2130</v>
      </c>
      <c r="Z23">
        <v>1037081</v>
      </c>
      <c r="AA23">
        <v>1</v>
      </c>
      <c r="AB23">
        <v>1037081</v>
      </c>
      <c r="AC23">
        <v>1037081</v>
      </c>
      <c r="AD23">
        <v>3442201</v>
      </c>
      <c r="AE23">
        <v>864.23416666666697</v>
      </c>
      <c r="AF23">
        <v>864.23416666666697</v>
      </c>
      <c r="AG23">
        <v>1037081</v>
      </c>
      <c r="AH23">
        <v>1037081</v>
      </c>
      <c r="AI23">
        <v>3442217</v>
      </c>
      <c r="AJ23">
        <v>2994.2341666666698</v>
      </c>
      <c r="AK23">
        <v>35000</v>
      </c>
      <c r="AL23">
        <v>35000</v>
      </c>
      <c r="AM23">
        <v>134060</v>
      </c>
      <c r="AN23">
        <v>134060</v>
      </c>
      <c r="AO23">
        <v>11.689132529993101</v>
      </c>
      <c r="AP23">
        <v>17284.683333333302</v>
      </c>
      <c r="AQ23">
        <v>288.07805555555598</v>
      </c>
      <c r="AR23">
        <v>3442217</v>
      </c>
      <c r="AS23">
        <v>82052500</v>
      </c>
      <c r="AT23">
        <v>7100000</v>
      </c>
    </row>
    <row r="24" spans="1:46">
      <c r="A24" t="s">
        <v>154</v>
      </c>
      <c r="B24">
        <v>1</v>
      </c>
      <c r="C24" t="s">
        <v>155</v>
      </c>
      <c r="D24">
        <v>4</v>
      </c>
      <c r="E24">
        <v>0</v>
      </c>
      <c r="F24">
        <v>0</v>
      </c>
      <c r="G24">
        <v>1</v>
      </c>
      <c r="H24">
        <v>0</v>
      </c>
      <c r="I24">
        <v>3</v>
      </c>
      <c r="J24">
        <v>0</v>
      </c>
      <c r="K24">
        <v>0</v>
      </c>
      <c r="L24">
        <v>0</v>
      </c>
      <c r="M24">
        <v>300</v>
      </c>
      <c r="N24">
        <v>0</v>
      </c>
      <c r="O24">
        <v>0</v>
      </c>
      <c r="P24">
        <v>75</v>
      </c>
      <c r="Q24">
        <v>0</v>
      </c>
      <c r="R24">
        <v>1200</v>
      </c>
      <c r="S24">
        <v>0</v>
      </c>
      <c r="T24">
        <v>0</v>
      </c>
      <c r="U24">
        <v>300</v>
      </c>
      <c r="V24">
        <v>1200</v>
      </c>
      <c r="W24">
        <v>1200</v>
      </c>
      <c r="X24">
        <v>0.03</v>
      </c>
      <c r="Y24">
        <v>0.12</v>
      </c>
      <c r="Z24">
        <v>24</v>
      </c>
      <c r="AA24">
        <v>1E-3</v>
      </c>
      <c r="AB24">
        <v>1</v>
      </c>
      <c r="AC24">
        <v>4</v>
      </c>
      <c r="AD24">
        <v>4</v>
      </c>
      <c r="AE24">
        <v>8.3333333333333295E-4</v>
      </c>
      <c r="AF24">
        <v>3.3333333333333301E-3</v>
      </c>
      <c r="AG24">
        <v>1</v>
      </c>
      <c r="AH24">
        <v>4</v>
      </c>
      <c r="AI24">
        <v>4</v>
      </c>
      <c r="AJ24">
        <v>3.0833333333333299E-2</v>
      </c>
      <c r="AK24">
        <v>60</v>
      </c>
      <c r="AL24">
        <v>240</v>
      </c>
      <c r="AM24">
        <v>60</v>
      </c>
      <c r="AN24">
        <v>240</v>
      </c>
      <c r="AO24">
        <v>1945.9459459459499</v>
      </c>
      <c r="AP24">
        <v>1.6666666666666701E-2</v>
      </c>
      <c r="AQ24">
        <v>2.7777777777777799E-4</v>
      </c>
      <c r="AR24">
        <v>1</v>
      </c>
      <c r="AS24">
        <v>300</v>
      </c>
      <c r="AT24">
        <v>300</v>
      </c>
    </row>
    <row r="25" spans="1:46">
      <c r="A25" t="s">
        <v>154</v>
      </c>
      <c r="B25">
        <v>2</v>
      </c>
      <c r="C25" t="s">
        <v>162</v>
      </c>
      <c r="D25">
        <v>4</v>
      </c>
      <c r="E25">
        <v>0</v>
      </c>
      <c r="F25">
        <v>0</v>
      </c>
      <c r="G25">
        <v>1</v>
      </c>
      <c r="H25">
        <v>0</v>
      </c>
      <c r="I25">
        <v>3</v>
      </c>
      <c r="J25">
        <v>0</v>
      </c>
      <c r="K25">
        <v>0</v>
      </c>
      <c r="L25">
        <v>0</v>
      </c>
      <c r="M25">
        <v>600</v>
      </c>
      <c r="N25">
        <v>0</v>
      </c>
      <c r="O25">
        <v>0</v>
      </c>
      <c r="P25">
        <v>75</v>
      </c>
      <c r="Q25">
        <v>0</v>
      </c>
      <c r="R25">
        <v>2400</v>
      </c>
      <c r="S25">
        <v>0</v>
      </c>
      <c r="T25">
        <v>0</v>
      </c>
      <c r="U25">
        <v>600</v>
      </c>
      <c r="V25">
        <v>2400</v>
      </c>
      <c r="W25">
        <v>2400</v>
      </c>
      <c r="X25">
        <v>0.06</v>
      </c>
      <c r="Y25">
        <v>0.24</v>
      </c>
      <c r="Z25">
        <v>48</v>
      </c>
      <c r="AA25">
        <v>6.0999999999999999E-2</v>
      </c>
      <c r="AB25">
        <v>3</v>
      </c>
      <c r="AC25">
        <v>12</v>
      </c>
      <c r="AD25">
        <v>12</v>
      </c>
      <c r="AE25">
        <v>2.5000000000000001E-3</v>
      </c>
      <c r="AF25">
        <v>0.01</v>
      </c>
      <c r="AG25">
        <v>3</v>
      </c>
      <c r="AH25">
        <v>12</v>
      </c>
      <c r="AI25">
        <v>16</v>
      </c>
      <c r="AJ25">
        <v>6.25E-2</v>
      </c>
      <c r="AK25">
        <v>72</v>
      </c>
      <c r="AL25">
        <v>288</v>
      </c>
      <c r="AM25">
        <v>130</v>
      </c>
      <c r="AN25">
        <v>520</v>
      </c>
      <c r="AO25">
        <v>1152</v>
      </c>
      <c r="AP25">
        <v>0.05</v>
      </c>
      <c r="AQ25">
        <v>8.3333333333333295E-4</v>
      </c>
      <c r="AR25">
        <v>4</v>
      </c>
      <c r="AS25">
        <v>900</v>
      </c>
      <c r="AT25">
        <v>600</v>
      </c>
    </row>
    <row r="26" spans="1:46">
      <c r="A26" t="s">
        <v>154</v>
      </c>
      <c r="B26">
        <v>3</v>
      </c>
      <c r="C26" t="s">
        <v>165</v>
      </c>
      <c r="D26">
        <v>4</v>
      </c>
      <c r="E26">
        <v>0</v>
      </c>
      <c r="F26">
        <v>0</v>
      </c>
      <c r="G26">
        <v>1</v>
      </c>
      <c r="H26">
        <v>0</v>
      </c>
      <c r="I26">
        <v>3</v>
      </c>
      <c r="J26">
        <v>0</v>
      </c>
      <c r="K26">
        <v>0</v>
      </c>
      <c r="L26">
        <v>0</v>
      </c>
      <c r="M26">
        <v>1200</v>
      </c>
      <c r="N26">
        <v>0</v>
      </c>
      <c r="O26">
        <v>0</v>
      </c>
      <c r="P26">
        <v>150</v>
      </c>
      <c r="Q26">
        <v>0</v>
      </c>
      <c r="R26">
        <v>4800</v>
      </c>
      <c r="S26">
        <v>0</v>
      </c>
      <c r="T26">
        <v>0</v>
      </c>
      <c r="U26">
        <v>1200</v>
      </c>
      <c r="V26">
        <v>4800</v>
      </c>
      <c r="W26">
        <v>4800</v>
      </c>
      <c r="X26">
        <v>0.12</v>
      </c>
      <c r="Y26">
        <v>0.48</v>
      </c>
      <c r="Z26">
        <v>96</v>
      </c>
      <c r="AA26">
        <v>0.1</v>
      </c>
      <c r="AB26">
        <v>10</v>
      </c>
      <c r="AC26">
        <v>40</v>
      </c>
      <c r="AD26">
        <v>40</v>
      </c>
      <c r="AE26">
        <v>8.3333333333333297E-3</v>
      </c>
      <c r="AF26">
        <v>3.3333333333333298E-2</v>
      </c>
      <c r="AG26">
        <v>10</v>
      </c>
      <c r="AH26">
        <v>40</v>
      </c>
      <c r="AI26">
        <v>56</v>
      </c>
      <c r="AJ26">
        <v>0.12833333333333299</v>
      </c>
      <c r="AK26">
        <v>86</v>
      </c>
      <c r="AL26">
        <v>344</v>
      </c>
      <c r="AM26">
        <v>220</v>
      </c>
      <c r="AN26">
        <v>880</v>
      </c>
      <c r="AO26">
        <v>670.12987012987003</v>
      </c>
      <c r="AP26">
        <v>0.16666666666666699</v>
      </c>
      <c r="AQ26">
        <v>2.7777777777777801E-3</v>
      </c>
      <c r="AR26">
        <v>14</v>
      </c>
      <c r="AS26">
        <v>2100</v>
      </c>
      <c r="AT26">
        <v>1200</v>
      </c>
    </row>
    <row r="27" spans="1:46">
      <c r="A27" t="s">
        <v>154</v>
      </c>
      <c r="B27">
        <v>4</v>
      </c>
      <c r="C27" t="s">
        <v>168</v>
      </c>
      <c r="D27">
        <v>4</v>
      </c>
      <c r="E27">
        <v>0</v>
      </c>
      <c r="F27">
        <v>0</v>
      </c>
      <c r="G27">
        <v>1</v>
      </c>
      <c r="H27">
        <v>0</v>
      </c>
      <c r="I27">
        <v>3</v>
      </c>
      <c r="J27">
        <v>0</v>
      </c>
      <c r="K27">
        <v>0</v>
      </c>
      <c r="L27">
        <v>0</v>
      </c>
      <c r="M27">
        <v>2400</v>
      </c>
      <c r="N27">
        <v>0</v>
      </c>
      <c r="O27">
        <v>0</v>
      </c>
      <c r="P27">
        <v>300</v>
      </c>
      <c r="Q27">
        <v>0</v>
      </c>
      <c r="R27">
        <v>9600</v>
      </c>
      <c r="S27">
        <v>0</v>
      </c>
      <c r="T27">
        <v>0</v>
      </c>
      <c r="U27">
        <v>2400</v>
      </c>
      <c r="V27">
        <v>9600</v>
      </c>
      <c r="W27">
        <v>14400</v>
      </c>
      <c r="X27">
        <v>0.24</v>
      </c>
      <c r="Y27">
        <v>0.96</v>
      </c>
      <c r="Z27">
        <v>192</v>
      </c>
      <c r="AA27">
        <v>0.5</v>
      </c>
      <c r="AB27">
        <v>96</v>
      </c>
      <c r="AC27">
        <v>384</v>
      </c>
      <c r="AD27">
        <v>424</v>
      </c>
      <c r="AE27">
        <v>0.08</v>
      </c>
      <c r="AF27">
        <v>0.32</v>
      </c>
      <c r="AG27">
        <v>96</v>
      </c>
      <c r="AH27">
        <v>384</v>
      </c>
      <c r="AI27">
        <v>440</v>
      </c>
      <c r="AJ27">
        <v>0.32</v>
      </c>
      <c r="AK27">
        <v>104</v>
      </c>
      <c r="AL27">
        <v>416</v>
      </c>
      <c r="AM27">
        <v>320</v>
      </c>
      <c r="AN27">
        <v>1280</v>
      </c>
      <c r="AO27">
        <v>325</v>
      </c>
      <c r="AP27">
        <v>1.6</v>
      </c>
      <c r="AQ27">
        <v>2.66666666666667E-2</v>
      </c>
      <c r="AR27">
        <v>110</v>
      </c>
      <c r="AS27">
        <v>4500</v>
      </c>
      <c r="AT27">
        <v>2400</v>
      </c>
    </row>
    <row r="28" spans="1:46">
      <c r="A28" t="s">
        <v>154</v>
      </c>
      <c r="B28">
        <v>5</v>
      </c>
      <c r="C28" t="s">
        <v>171</v>
      </c>
      <c r="D28">
        <v>4</v>
      </c>
      <c r="E28">
        <v>0</v>
      </c>
      <c r="F28">
        <v>0</v>
      </c>
      <c r="G28">
        <v>1</v>
      </c>
      <c r="H28">
        <v>0</v>
      </c>
      <c r="I28">
        <v>3</v>
      </c>
      <c r="J28">
        <v>0</v>
      </c>
      <c r="K28">
        <v>0</v>
      </c>
      <c r="L28">
        <v>0</v>
      </c>
      <c r="M28">
        <v>4800</v>
      </c>
      <c r="N28">
        <v>0</v>
      </c>
      <c r="O28">
        <v>0</v>
      </c>
      <c r="P28">
        <v>600</v>
      </c>
      <c r="Q28">
        <v>0</v>
      </c>
      <c r="R28">
        <v>19200</v>
      </c>
      <c r="S28">
        <v>0</v>
      </c>
      <c r="T28">
        <v>0</v>
      </c>
      <c r="U28">
        <v>4800</v>
      </c>
      <c r="V28">
        <v>19200</v>
      </c>
      <c r="W28">
        <v>33600</v>
      </c>
      <c r="X28">
        <v>0.48</v>
      </c>
      <c r="Y28">
        <v>1.92</v>
      </c>
      <c r="Z28">
        <v>384</v>
      </c>
      <c r="AA28">
        <v>0.9</v>
      </c>
      <c r="AB28">
        <v>346</v>
      </c>
      <c r="AC28">
        <v>1384</v>
      </c>
      <c r="AD28">
        <v>1808</v>
      </c>
      <c r="AE28">
        <v>0.288333333333333</v>
      </c>
      <c r="AF28">
        <v>1.15333333333333</v>
      </c>
      <c r="AG28">
        <v>346</v>
      </c>
      <c r="AH28">
        <v>1384</v>
      </c>
      <c r="AI28">
        <v>1824</v>
      </c>
      <c r="AJ28">
        <v>0.76833333333333298</v>
      </c>
      <c r="AK28">
        <v>124</v>
      </c>
      <c r="AL28">
        <v>496</v>
      </c>
      <c r="AM28">
        <v>440</v>
      </c>
      <c r="AN28">
        <v>1760</v>
      </c>
      <c r="AO28">
        <v>161.388286334056</v>
      </c>
      <c r="AP28">
        <v>5.7666666666666702</v>
      </c>
      <c r="AQ28">
        <v>9.6111111111111105E-2</v>
      </c>
      <c r="AR28">
        <v>456</v>
      </c>
      <c r="AS28">
        <v>9300</v>
      </c>
      <c r="AT28">
        <v>4800</v>
      </c>
    </row>
    <row r="29" spans="1:46">
      <c r="A29" t="s">
        <v>154</v>
      </c>
      <c r="B29">
        <v>6</v>
      </c>
      <c r="C29" t="s">
        <v>174</v>
      </c>
      <c r="D29">
        <v>4</v>
      </c>
      <c r="E29">
        <v>0</v>
      </c>
      <c r="F29">
        <v>0</v>
      </c>
      <c r="G29">
        <v>1</v>
      </c>
      <c r="H29">
        <v>0</v>
      </c>
      <c r="I29">
        <v>3</v>
      </c>
      <c r="J29">
        <v>1</v>
      </c>
      <c r="K29">
        <v>0</v>
      </c>
      <c r="L29">
        <v>0</v>
      </c>
      <c r="M29">
        <v>7200</v>
      </c>
      <c r="N29">
        <v>2400</v>
      </c>
      <c r="O29">
        <v>0</v>
      </c>
      <c r="P29">
        <v>1200</v>
      </c>
      <c r="Q29">
        <v>0</v>
      </c>
      <c r="R29">
        <v>28800</v>
      </c>
      <c r="S29">
        <v>9600</v>
      </c>
      <c r="T29">
        <v>0</v>
      </c>
      <c r="U29">
        <v>9600</v>
      </c>
      <c r="V29">
        <v>38400</v>
      </c>
      <c r="W29">
        <v>72000</v>
      </c>
      <c r="X29">
        <v>0.96</v>
      </c>
      <c r="Y29">
        <v>3.84</v>
      </c>
      <c r="Z29">
        <v>768</v>
      </c>
      <c r="AA29">
        <v>1</v>
      </c>
      <c r="AB29">
        <v>768</v>
      </c>
      <c r="AC29">
        <v>3072</v>
      </c>
      <c r="AD29">
        <v>4880</v>
      </c>
      <c r="AE29">
        <v>0.64</v>
      </c>
      <c r="AF29">
        <v>2.56</v>
      </c>
      <c r="AG29">
        <v>768</v>
      </c>
      <c r="AH29">
        <v>3072</v>
      </c>
      <c r="AI29">
        <v>4896</v>
      </c>
      <c r="AJ29">
        <v>1.6</v>
      </c>
      <c r="AK29">
        <v>148</v>
      </c>
      <c r="AL29">
        <v>592</v>
      </c>
      <c r="AM29">
        <v>590</v>
      </c>
      <c r="AN29">
        <v>2360</v>
      </c>
      <c r="AO29">
        <v>92.5</v>
      </c>
      <c r="AP29">
        <v>12.8</v>
      </c>
      <c r="AQ29">
        <v>0.21333333333333299</v>
      </c>
      <c r="AR29">
        <v>1224</v>
      </c>
      <c r="AS29">
        <v>18900</v>
      </c>
      <c r="AT29">
        <v>7200</v>
      </c>
    </row>
    <row r="30" spans="1:46">
      <c r="A30" t="s">
        <v>154</v>
      </c>
      <c r="B30">
        <v>7</v>
      </c>
      <c r="C30" t="s">
        <v>177</v>
      </c>
      <c r="D30">
        <v>4</v>
      </c>
      <c r="E30">
        <v>0</v>
      </c>
      <c r="F30">
        <v>0</v>
      </c>
      <c r="G30">
        <v>1</v>
      </c>
      <c r="H30">
        <v>0</v>
      </c>
      <c r="I30">
        <v>3</v>
      </c>
      <c r="J30">
        <v>1</v>
      </c>
      <c r="K30">
        <v>0</v>
      </c>
      <c r="L30">
        <v>0</v>
      </c>
      <c r="M30">
        <v>14000</v>
      </c>
      <c r="N30">
        <v>4800</v>
      </c>
      <c r="O30">
        <v>0</v>
      </c>
      <c r="P30">
        <v>2300</v>
      </c>
      <c r="Q30">
        <v>0</v>
      </c>
      <c r="R30">
        <v>56000</v>
      </c>
      <c r="S30">
        <v>19200</v>
      </c>
      <c r="T30">
        <v>0</v>
      </c>
      <c r="U30">
        <v>18800</v>
      </c>
      <c r="V30">
        <v>75200</v>
      </c>
      <c r="W30">
        <v>147200</v>
      </c>
      <c r="X30">
        <v>1.88</v>
      </c>
      <c r="Y30">
        <v>7.52</v>
      </c>
      <c r="Z30">
        <v>1536</v>
      </c>
      <c r="AA30">
        <v>1</v>
      </c>
      <c r="AB30">
        <v>1536</v>
      </c>
      <c r="AC30">
        <v>6144</v>
      </c>
      <c r="AD30">
        <v>11024</v>
      </c>
      <c r="AE30">
        <v>1.28</v>
      </c>
      <c r="AF30">
        <v>5.12</v>
      </c>
      <c r="AG30">
        <v>1536</v>
      </c>
      <c r="AH30">
        <v>6144</v>
      </c>
      <c r="AI30">
        <v>11040</v>
      </c>
      <c r="AJ30">
        <v>3.16</v>
      </c>
      <c r="AK30">
        <v>178</v>
      </c>
      <c r="AL30">
        <v>712</v>
      </c>
      <c r="AM30">
        <v>770</v>
      </c>
      <c r="AN30">
        <v>3080</v>
      </c>
      <c r="AO30">
        <v>56.329113924050603</v>
      </c>
      <c r="AP30">
        <v>25.6</v>
      </c>
      <c r="AQ30">
        <v>0.42666666666666703</v>
      </c>
      <c r="AR30">
        <v>2760</v>
      </c>
      <c r="AS30">
        <v>37700</v>
      </c>
      <c r="AT30">
        <v>14000</v>
      </c>
    </row>
    <row r="31" spans="1:46">
      <c r="A31" t="s">
        <v>154</v>
      </c>
      <c r="B31">
        <v>8</v>
      </c>
      <c r="C31" t="s">
        <v>180</v>
      </c>
      <c r="D31">
        <v>4</v>
      </c>
      <c r="E31">
        <v>0</v>
      </c>
      <c r="F31">
        <v>0</v>
      </c>
      <c r="G31">
        <v>1</v>
      </c>
      <c r="H31">
        <v>0</v>
      </c>
      <c r="I31">
        <v>3</v>
      </c>
      <c r="J31">
        <v>1</v>
      </c>
      <c r="K31">
        <v>0</v>
      </c>
      <c r="L31">
        <v>0</v>
      </c>
      <c r="M31">
        <v>29000</v>
      </c>
      <c r="N31">
        <v>9600</v>
      </c>
      <c r="O31">
        <v>0</v>
      </c>
      <c r="P31">
        <v>4950</v>
      </c>
      <c r="Q31">
        <v>0</v>
      </c>
      <c r="R31">
        <v>116000</v>
      </c>
      <c r="S31">
        <v>38400</v>
      </c>
      <c r="T31">
        <v>0</v>
      </c>
      <c r="U31">
        <v>38600</v>
      </c>
      <c r="V31">
        <v>154400</v>
      </c>
      <c r="W31">
        <v>301600</v>
      </c>
      <c r="X31">
        <v>3.86</v>
      </c>
      <c r="Y31">
        <v>15.44</v>
      </c>
      <c r="Z31">
        <v>3072</v>
      </c>
      <c r="AA31">
        <v>1</v>
      </c>
      <c r="AB31">
        <v>3072</v>
      </c>
      <c r="AC31">
        <v>12288</v>
      </c>
      <c r="AD31">
        <v>23312</v>
      </c>
      <c r="AE31">
        <v>2.56</v>
      </c>
      <c r="AF31">
        <v>10.24</v>
      </c>
      <c r="AG31">
        <v>3072</v>
      </c>
      <c r="AH31">
        <v>12288</v>
      </c>
      <c r="AI31">
        <v>23328</v>
      </c>
      <c r="AJ31">
        <v>6.42</v>
      </c>
      <c r="AK31">
        <v>220</v>
      </c>
      <c r="AL31">
        <v>880</v>
      </c>
      <c r="AM31">
        <v>990</v>
      </c>
      <c r="AN31">
        <v>3960</v>
      </c>
      <c r="AO31">
        <v>34.267912772585703</v>
      </c>
      <c r="AP31">
        <v>51.2</v>
      </c>
      <c r="AQ31">
        <v>0.85333333333333306</v>
      </c>
      <c r="AR31">
        <v>5832</v>
      </c>
      <c r="AS31">
        <v>76300</v>
      </c>
      <c r="AT31">
        <v>29000</v>
      </c>
    </row>
    <row r="32" spans="1:46">
      <c r="A32" t="s">
        <v>154</v>
      </c>
      <c r="B32">
        <v>9</v>
      </c>
      <c r="C32" t="s">
        <v>183</v>
      </c>
      <c r="D32">
        <v>4</v>
      </c>
      <c r="E32">
        <v>0</v>
      </c>
      <c r="F32">
        <v>0</v>
      </c>
      <c r="G32">
        <v>1</v>
      </c>
      <c r="H32">
        <v>0</v>
      </c>
      <c r="I32">
        <v>3</v>
      </c>
      <c r="J32">
        <v>1</v>
      </c>
      <c r="K32">
        <v>0</v>
      </c>
      <c r="L32">
        <v>0</v>
      </c>
      <c r="M32">
        <v>49000</v>
      </c>
      <c r="N32">
        <v>16000</v>
      </c>
      <c r="O32">
        <v>0</v>
      </c>
      <c r="P32">
        <v>6600</v>
      </c>
      <c r="Q32">
        <v>0</v>
      </c>
      <c r="R32">
        <v>196000</v>
      </c>
      <c r="S32">
        <v>64000</v>
      </c>
      <c r="T32">
        <v>0</v>
      </c>
      <c r="U32">
        <v>65000</v>
      </c>
      <c r="V32">
        <v>260000</v>
      </c>
      <c r="W32">
        <v>561600</v>
      </c>
      <c r="X32">
        <v>6.5</v>
      </c>
      <c r="Y32">
        <v>26</v>
      </c>
      <c r="Z32">
        <v>5222</v>
      </c>
      <c r="AA32">
        <v>1</v>
      </c>
      <c r="AB32">
        <v>5222</v>
      </c>
      <c r="AC32">
        <v>20888</v>
      </c>
      <c r="AD32">
        <v>44200</v>
      </c>
      <c r="AE32">
        <v>4.3516666666666701</v>
      </c>
      <c r="AF32">
        <v>17.406666666666698</v>
      </c>
      <c r="AG32">
        <v>5222</v>
      </c>
      <c r="AH32">
        <v>20888</v>
      </c>
      <c r="AI32">
        <v>44216</v>
      </c>
      <c r="AJ32">
        <v>10.8516666666667</v>
      </c>
      <c r="AK32">
        <v>260</v>
      </c>
      <c r="AL32">
        <v>1040</v>
      </c>
      <c r="AM32">
        <v>1250</v>
      </c>
      <c r="AN32">
        <v>5000</v>
      </c>
      <c r="AO32">
        <v>23.959453232990299</v>
      </c>
      <c r="AP32">
        <v>87.033333333333303</v>
      </c>
      <c r="AQ32">
        <v>1.45055555555556</v>
      </c>
      <c r="AR32">
        <v>11054</v>
      </c>
      <c r="AS32">
        <v>141300</v>
      </c>
      <c r="AT32">
        <v>49000</v>
      </c>
    </row>
    <row r="33" spans="1:46">
      <c r="A33" t="s">
        <v>154</v>
      </c>
      <c r="B33">
        <v>10</v>
      </c>
      <c r="C33" t="s">
        <v>186</v>
      </c>
      <c r="D33">
        <v>4</v>
      </c>
      <c r="E33">
        <v>0</v>
      </c>
      <c r="F33">
        <v>0</v>
      </c>
      <c r="G33">
        <v>1</v>
      </c>
      <c r="H33">
        <v>0</v>
      </c>
      <c r="I33">
        <v>3</v>
      </c>
      <c r="J33">
        <v>1</v>
      </c>
      <c r="K33">
        <v>0</v>
      </c>
      <c r="L33">
        <v>0</v>
      </c>
      <c r="M33">
        <v>83000</v>
      </c>
      <c r="N33">
        <v>28000</v>
      </c>
      <c r="O33">
        <v>0</v>
      </c>
      <c r="P33">
        <v>11500</v>
      </c>
      <c r="Q33">
        <v>0</v>
      </c>
      <c r="R33">
        <v>332000</v>
      </c>
      <c r="S33">
        <v>112000</v>
      </c>
      <c r="T33">
        <v>0</v>
      </c>
      <c r="U33">
        <v>111000</v>
      </c>
      <c r="V33">
        <v>444000</v>
      </c>
      <c r="W33">
        <v>1005600</v>
      </c>
      <c r="X33">
        <v>11.1</v>
      </c>
      <c r="Y33">
        <v>44.4</v>
      </c>
      <c r="Z33">
        <v>8356</v>
      </c>
      <c r="AA33">
        <v>1</v>
      </c>
      <c r="AB33">
        <v>8356</v>
      </c>
      <c r="AC33">
        <v>33424</v>
      </c>
      <c r="AD33">
        <v>77624</v>
      </c>
      <c r="AE33">
        <v>6.9633333333333303</v>
      </c>
      <c r="AF33">
        <v>27.8533333333333</v>
      </c>
      <c r="AG33">
        <v>8356</v>
      </c>
      <c r="AH33">
        <v>33424</v>
      </c>
      <c r="AI33">
        <v>77640</v>
      </c>
      <c r="AJ33">
        <v>18.063333333333301</v>
      </c>
      <c r="AK33">
        <v>320</v>
      </c>
      <c r="AL33">
        <v>1280</v>
      </c>
      <c r="AM33">
        <v>1570</v>
      </c>
      <c r="AN33">
        <v>6280</v>
      </c>
      <c r="AO33">
        <v>17.7154456541797</v>
      </c>
      <c r="AP33">
        <v>139.26666666666699</v>
      </c>
      <c r="AQ33">
        <v>2.3211111111111098</v>
      </c>
      <c r="AR33">
        <v>19410</v>
      </c>
      <c r="AS33">
        <v>252300</v>
      </c>
      <c r="AT33">
        <v>83000</v>
      </c>
    </row>
    <row r="34" spans="1:46">
      <c r="A34" t="s">
        <v>154</v>
      </c>
      <c r="B34">
        <v>11</v>
      </c>
      <c r="C34" t="s">
        <v>187</v>
      </c>
      <c r="D34">
        <v>4</v>
      </c>
      <c r="E34">
        <v>0</v>
      </c>
      <c r="F34">
        <v>0</v>
      </c>
      <c r="G34">
        <v>1</v>
      </c>
      <c r="H34">
        <v>0</v>
      </c>
      <c r="I34">
        <v>3</v>
      </c>
      <c r="J34">
        <v>1</v>
      </c>
      <c r="K34">
        <v>1</v>
      </c>
      <c r="L34">
        <v>0</v>
      </c>
      <c r="M34">
        <v>110000</v>
      </c>
      <c r="N34">
        <v>36000</v>
      </c>
      <c r="O34">
        <v>36000</v>
      </c>
      <c r="P34">
        <v>17750</v>
      </c>
      <c r="Q34">
        <v>0</v>
      </c>
      <c r="R34">
        <v>440000</v>
      </c>
      <c r="S34">
        <v>144000</v>
      </c>
      <c r="T34">
        <v>144000</v>
      </c>
      <c r="U34">
        <v>182000</v>
      </c>
      <c r="V34">
        <v>728000</v>
      </c>
      <c r="W34">
        <v>1733600</v>
      </c>
      <c r="X34">
        <v>18.2</v>
      </c>
      <c r="Y34">
        <v>72.8</v>
      </c>
      <c r="Z34">
        <v>11280</v>
      </c>
      <c r="AA34">
        <v>1</v>
      </c>
      <c r="AB34">
        <v>11280</v>
      </c>
      <c r="AC34">
        <v>45120</v>
      </c>
      <c r="AD34">
        <v>122744</v>
      </c>
      <c r="AE34">
        <v>9.4</v>
      </c>
      <c r="AF34">
        <v>37.6</v>
      </c>
      <c r="AG34">
        <v>11280</v>
      </c>
      <c r="AH34">
        <v>45120</v>
      </c>
      <c r="AI34">
        <v>122760</v>
      </c>
      <c r="AJ34">
        <v>27.6</v>
      </c>
      <c r="AK34">
        <v>440</v>
      </c>
      <c r="AL34">
        <v>1760</v>
      </c>
      <c r="AM34">
        <v>2010</v>
      </c>
      <c r="AN34">
        <v>8040</v>
      </c>
      <c r="AO34">
        <v>15.9420289855072</v>
      </c>
      <c r="AP34">
        <v>188</v>
      </c>
      <c r="AQ34">
        <v>3.1333333333333302</v>
      </c>
      <c r="AR34">
        <v>30690</v>
      </c>
      <c r="AS34">
        <v>434300</v>
      </c>
      <c r="AT34">
        <v>110000</v>
      </c>
    </row>
    <row r="35" spans="1:46">
      <c r="A35" t="s">
        <v>154</v>
      </c>
      <c r="B35">
        <v>12</v>
      </c>
      <c r="C35" t="s">
        <v>190</v>
      </c>
      <c r="D35">
        <v>4</v>
      </c>
      <c r="E35">
        <v>0</v>
      </c>
      <c r="F35">
        <v>0</v>
      </c>
      <c r="G35">
        <v>1</v>
      </c>
      <c r="H35">
        <v>0</v>
      </c>
      <c r="I35">
        <v>3</v>
      </c>
      <c r="J35">
        <v>1</v>
      </c>
      <c r="K35">
        <v>1</v>
      </c>
      <c r="L35">
        <v>0</v>
      </c>
      <c r="M35">
        <v>170000</v>
      </c>
      <c r="N35">
        <v>57000</v>
      </c>
      <c r="O35">
        <v>57000</v>
      </c>
      <c r="P35">
        <v>25500</v>
      </c>
      <c r="Q35">
        <v>0</v>
      </c>
      <c r="R35">
        <v>680000</v>
      </c>
      <c r="S35">
        <v>228000</v>
      </c>
      <c r="T35">
        <v>228000</v>
      </c>
      <c r="U35">
        <v>284000</v>
      </c>
      <c r="V35">
        <v>1136000</v>
      </c>
      <c r="W35">
        <v>2869600</v>
      </c>
      <c r="X35">
        <v>28.4</v>
      </c>
      <c r="Y35">
        <v>113.6</v>
      </c>
      <c r="Z35">
        <v>15229</v>
      </c>
      <c r="AA35">
        <v>1</v>
      </c>
      <c r="AB35">
        <v>15229</v>
      </c>
      <c r="AC35">
        <v>60916</v>
      </c>
      <c r="AD35">
        <v>183660</v>
      </c>
      <c r="AE35">
        <v>12.6908333333333</v>
      </c>
      <c r="AF35">
        <v>50.7633333333333</v>
      </c>
      <c r="AG35">
        <v>15229</v>
      </c>
      <c r="AH35">
        <v>60916</v>
      </c>
      <c r="AI35">
        <v>183676</v>
      </c>
      <c r="AJ35">
        <v>41.0908333333333</v>
      </c>
      <c r="AK35">
        <v>600</v>
      </c>
      <c r="AL35">
        <v>2400</v>
      </c>
      <c r="AM35">
        <v>2610</v>
      </c>
      <c r="AN35">
        <v>10440</v>
      </c>
      <c r="AO35">
        <v>14.6017968322213</v>
      </c>
      <c r="AP35">
        <v>253.816666666667</v>
      </c>
      <c r="AQ35">
        <v>4.23027777777778</v>
      </c>
      <c r="AR35">
        <v>45919</v>
      </c>
      <c r="AS35">
        <v>718300</v>
      </c>
      <c r="AT35">
        <v>170000</v>
      </c>
    </row>
    <row r="36" spans="1:46">
      <c r="A36" t="s">
        <v>154</v>
      </c>
      <c r="B36">
        <v>13</v>
      </c>
      <c r="C36" t="s">
        <v>192</v>
      </c>
      <c r="D36">
        <v>4</v>
      </c>
      <c r="E36">
        <v>0</v>
      </c>
      <c r="F36">
        <v>0</v>
      </c>
      <c r="G36">
        <v>1</v>
      </c>
      <c r="H36">
        <v>0</v>
      </c>
      <c r="I36">
        <v>3</v>
      </c>
      <c r="J36">
        <v>1</v>
      </c>
      <c r="K36">
        <v>1</v>
      </c>
      <c r="L36">
        <v>0</v>
      </c>
      <c r="M36">
        <v>270000</v>
      </c>
      <c r="N36">
        <v>91000</v>
      </c>
      <c r="O36">
        <v>91000</v>
      </c>
      <c r="P36">
        <v>42000</v>
      </c>
      <c r="Q36">
        <v>0</v>
      </c>
      <c r="R36">
        <v>1080000</v>
      </c>
      <c r="S36">
        <v>364000</v>
      </c>
      <c r="T36">
        <v>364000</v>
      </c>
      <c r="U36">
        <v>452000</v>
      </c>
      <c r="V36">
        <v>1808000</v>
      </c>
      <c r="W36">
        <v>4677600</v>
      </c>
      <c r="X36">
        <v>45.2</v>
      </c>
      <c r="Y36">
        <v>180.8</v>
      </c>
      <c r="Z36">
        <v>20558</v>
      </c>
      <c r="AA36">
        <v>1</v>
      </c>
      <c r="AB36">
        <v>20558</v>
      </c>
      <c r="AC36">
        <v>82232</v>
      </c>
      <c r="AD36">
        <v>265892</v>
      </c>
      <c r="AE36">
        <v>17.1316666666667</v>
      </c>
      <c r="AF36">
        <v>68.526666666666699</v>
      </c>
      <c r="AG36">
        <v>20558</v>
      </c>
      <c r="AH36">
        <v>82232</v>
      </c>
      <c r="AI36">
        <v>265908</v>
      </c>
      <c r="AJ36">
        <v>62.331666666666699</v>
      </c>
      <c r="AK36">
        <v>820</v>
      </c>
      <c r="AL36">
        <v>3280</v>
      </c>
      <c r="AM36">
        <v>3430</v>
      </c>
      <c r="AN36">
        <v>13720</v>
      </c>
      <c r="AO36">
        <v>13.155431963421499</v>
      </c>
      <c r="AP36">
        <v>342.63333333333298</v>
      </c>
      <c r="AQ36">
        <v>5.71055555555556</v>
      </c>
      <c r="AR36">
        <v>66477</v>
      </c>
      <c r="AS36">
        <v>1170300</v>
      </c>
      <c r="AT36">
        <v>270000</v>
      </c>
    </row>
    <row r="37" spans="1:46">
      <c r="A37" t="s">
        <v>154</v>
      </c>
      <c r="B37">
        <v>14</v>
      </c>
      <c r="C37" t="s">
        <v>193</v>
      </c>
      <c r="D37">
        <v>4</v>
      </c>
      <c r="E37">
        <v>0</v>
      </c>
      <c r="F37">
        <v>0</v>
      </c>
      <c r="G37">
        <v>1</v>
      </c>
      <c r="H37">
        <v>0</v>
      </c>
      <c r="I37">
        <v>3</v>
      </c>
      <c r="J37">
        <v>1</v>
      </c>
      <c r="K37">
        <v>1</v>
      </c>
      <c r="L37">
        <v>0</v>
      </c>
      <c r="M37">
        <v>440000</v>
      </c>
      <c r="N37">
        <v>150000</v>
      </c>
      <c r="O37">
        <v>150000</v>
      </c>
      <c r="P37">
        <v>72000</v>
      </c>
      <c r="Q37">
        <v>0</v>
      </c>
      <c r="R37">
        <v>1760000</v>
      </c>
      <c r="S37">
        <v>600000</v>
      </c>
      <c r="T37">
        <v>600000</v>
      </c>
      <c r="U37">
        <v>740000</v>
      </c>
      <c r="V37">
        <v>2960000</v>
      </c>
      <c r="W37">
        <v>7637600</v>
      </c>
      <c r="X37">
        <v>74</v>
      </c>
      <c r="Y37">
        <v>296</v>
      </c>
      <c r="Z37">
        <v>27754</v>
      </c>
      <c r="AA37">
        <v>1</v>
      </c>
      <c r="AB37">
        <v>27754</v>
      </c>
      <c r="AC37">
        <v>111016</v>
      </c>
      <c r="AD37">
        <v>376908</v>
      </c>
      <c r="AE37">
        <v>23.128333333333298</v>
      </c>
      <c r="AF37">
        <v>92.513333333333307</v>
      </c>
      <c r="AG37">
        <v>27754</v>
      </c>
      <c r="AH37">
        <v>111016</v>
      </c>
      <c r="AI37">
        <v>376924</v>
      </c>
      <c r="AJ37">
        <v>97.128333333333302</v>
      </c>
      <c r="AK37">
        <v>1100</v>
      </c>
      <c r="AL37">
        <v>4400</v>
      </c>
      <c r="AM37">
        <v>4530</v>
      </c>
      <c r="AN37">
        <v>18120</v>
      </c>
      <c r="AO37">
        <v>11.325222643581499</v>
      </c>
      <c r="AP37">
        <v>462.566666666667</v>
      </c>
      <c r="AQ37">
        <v>7.7094444444444399</v>
      </c>
      <c r="AR37">
        <v>94231</v>
      </c>
      <c r="AS37">
        <v>1910300</v>
      </c>
      <c r="AT37">
        <v>440000</v>
      </c>
    </row>
    <row r="38" spans="1:46">
      <c r="A38" t="s">
        <v>154</v>
      </c>
      <c r="B38">
        <v>15</v>
      </c>
      <c r="C38" t="s">
        <v>196</v>
      </c>
      <c r="D38">
        <v>4</v>
      </c>
      <c r="E38">
        <v>0</v>
      </c>
      <c r="F38">
        <v>0</v>
      </c>
      <c r="G38">
        <v>1</v>
      </c>
      <c r="H38">
        <v>0</v>
      </c>
      <c r="I38">
        <v>3</v>
      </c>
      <c r="J38">
        <v>1</v>
      </c>
      <c r="K38">
        <v>1</v>
      </c>
      <c r="L38">
        <v>0</v>
      </c>
      <c r="M38">
        <v>650000</v>
      </c>
      <c r="N38">
        <v>220000</v>
      </c>
      <c r="O38">
        <v>220000</v>
      </c>
      <c r="P38">
        <v>87500</v>
      </c>
      <c r="Q38">
        <v>0</v>
      </c>
      <c r="R38">
        <v>2600000</v>
      </c>
      <c r="S38">
        <v>880000</v>
      </c>
      <c r="T38">
        <v>880000</v>
      </c>
      <c r="U38">
        <v>1090000</v>
      </c>
      <c r="V38">
        <v>4360000</v>
      </c>
      <c r="W38">
        <v>11997600</v>
      </c>
      <c r="X38">
        <v>109</v>
      </c>
      <c r="Y38">
        <v>436</v>
      </c>
      <c r="Z38">
        <v>37468</v>
      </c>
      <c r="AA38">
        <v>1</v>
      </c>
      <c r="AB38">
        <v>37468</v>
      </c>
      <c r="AC38">
        <v>149872</v>
      </c>
      <c r="AD38">
        <v>526780</v>
      </c>
      <c r="AE38">
        <v>31.223333333333301</v>
      </c>
      <c r="AF38">
        <v>124.893333333333</v>
      </c>
      <c r="AG38">
        <v>37468</v>
      </c>
      <c r="AH38">
        <v>149872</v>
      </c>
      <c r="AI38">
        <v>526796</v>
      </c>
      <c r="AJ38">
        <v>140.22333333333299</v>
      </c>
      <c r="AK38">
        <v>1480</v>
      </c>
      <c r="AL38">
        <v>5920</v>
      </c>
      <c r="AM38">
        <v>6010</v>
      </c>
      <c r="AN38">
        <v>24040</v>
      </c>
      <c r="AO38">
        <v>10.554591485012001</v>
      </c>
      <c r="AP38">
        <v>624.46666666666704</v>
      </c>
      <c r="AQ38">
        <v>10.407777777777801</v>
      </c>
      <c r="AR38">
        <v>131699</v>
      </c>
      <c r="AS38">
        <v>3000300</v>
      </c>
      <c r="AT38">
        <v>650000</v>
      </c>
    </row>
    <row r="39" spans="1:46">
      <c r="A39" t="s">
        <v>154</v>
      </c>
      <c r="B39">
        <v>16</v>
      </c>
      <c r="C39" t="s">
        <v>197</v>
      </c>
      <c r="D39">
        <v>4</v>
      </c>
      <c r="E39">
        <v>0</v>
      </c>
      <c r="F39">
        <v>0</v>
      </c>
      <c r="G39">
        <v>1</v>
      </c>
      <c r="H39">
        <v>0</v>
      </c>
      <c r="I39">
        <v>3</v>
      </c>
      <c r="J39">
        <v>1</v>
      </c>
      <c r="K39">
        <v>1</v>
      </c>
      <c r="L39">
        <v>0</v>
      </c>
      <c r="M39">
        <v>880000</v>
      </c>
      <c r="N39">
        <v>290000</v>
      </c>
      <c r="O39">
        <v>290000</v>
      </c>
      <c r="P39">
        <v>92500</v>
      </c>
      <c r="Q39">
        <v>0</v>
      </c>
      <c r="R39">
        <v>3520000</v>
      </c>
      <c r="S39">
        <v>1160000</v>
      </c>
      <c r="T39">
        <v>1160000</v>
      </c>
      <c r="U39">
        <v>1460000</v>
      </c>
      <c r="V39">
        <v>5840000</v>
      </c>
      <c r="W39">
        <v>17837600</v>
      </c>
      <c r="X39">
        <v>146</v>
      </c>
      <c r="Y39">
        <v>584</v>
      </c>
      <c r="Z39">
        <v>50582</v>
      </c>
      <c r="AA39">
        <v>1</v>
      </c>
      <c r="AB39">
        <v>50582</v>
      </c>
      <c r="AC39">
        <v>202328</v>
      </c>
      <c r="AD39">
        <v>729108</v>
      </c>
      <c r="AE39">
        <v>42.151666666666699</v>
      </c>
      <c r="AF39">
        <v>168.606666666667</v>
      </c>
      <c r="AG39">
        <v>50582</v>
      </c>
      <c r="AH39">
        <v>202328</v>
      </c>
      <c r="AI39">
        <v>729124</v>
      </c>
      <c r="AJ39">
        <v>188.15166666666701</v>
      </c>
      <c r="AK39">
        <v>2000</v>
      </c>
      <c r="AL39">
        <v>8000</v>
      </c>
      <c r="AM39">
        <v>8010</v>
      </c>
      <c r="AN39">
        <v>32040</v>
      </c>
      <c r="AO39">
        <v>10.629722475662399</v>
      </c>
      <c r="AP39">
        <v>843.03333333333296</v>
      </c>
      <c r="AQ39">
        <v>14.050555555555601</v>
      </c>
      <c r="AR39">
        <v>182281</v>
      </c>
      <c r="AS39">
        <v>4460300</v>
      </c>
      <c r="AT39">
        <v>880000</v>
      </c>
    </row>
    <row r="40" spans="1:46">
      <c r="A40" t="s">
        <v>154</v>
      </c>
      <c r="B40">
        <v>17</v>
      </c>
      <c r="C40" t="s">
        <v>198</v>
      </c>
      <c r="D40">
        <v>4</v>
      </c>
      <c r="E40">
        <v>0</v>
      </c>
      <c r="F40">
        <v>0</v>
      </c>
      <c r="G40">
        <v>1</v>
      </c>
      <c r="H40">
        <v>0</v>
      </c>
      <c r="I40">
        <v>3</v>
      </c>
      <c r="J40">
        <v>1</v>
      </c>
      <c r="K40">
        <v>1</v>
      </c>
      <c r="L40">
        <v>0</v>
      </c>
      <c r="M40">
        <v>1200000</v>
      </c>
      <c r="N40">
        <v>390000</v>
      </c>
      <c r="O40">
        <v>390000</v>
      </c>
      <c r="P40">
        <v>130000</v>
      </c>
      <c r="Q40">
        <v>0</v>
      </c>
      <c r="R40">
        <v>4800000</v>
      </c>
      <c r="S40">
        <v>1560000</v>
      </c>
      <c r="T40">
        <v>1560000</v>
      </c>
      <c r="U40">
        <v>1980000</v>
      </c>
      <c r="V40">
        <v>7920000</v>
      </c>
      <c r="W40">
        <v>25757600</v>
      </c>
      <c r="X40">
        <v>198</v>
      </c>
      <c r="Y40">
        <v>792</v>
      </c>
      <c r="Z40">
        <v>68285</v>
      </c>
      <c r="AA40">
        <v>1</v>
      </c>
      <c r="AB40">
        <v>68285</v>
      </c>
      <c r="AC40">
        <v>273140</v>
      </c>
      <c r="AD40">
        <v>1002248</v>
      </c>
      <c r="AE40">
        <v>56.904166666666697</v>
      </c>
      <c r="AF40">
        <v>227.61666666666699</v>
      </c>
      <c r="AG40">
        <v>68285</v>
      </c>
      <c r="AH40">
        <v>273140</v>
      </c>
      <c r="AI40">
        <v>1002264</v>
      </c>
      <c r="AJ40">
        <v>254.90416666666701</v>
      </c>
      <c r="AK40">
        <v>2800</v>
      </c>
      <c r="AL40">
        <v>11200</v>
      </c>
      <c r="AM40">
        <v>10810</v>
      </c>
      <c r="AN40">
        <v>43240</v>
      </c>
      <c r="AO40">
        <v>10.9845203262664</v>
      </c>
      <c r="AP40">
        <v>1138.0833333333301</v>
      </c>
      <c r="AQ40">
        <v>18.968055555555601</v>
      </c>
      <c r="AR40">
        <v>250566</v>
      </c>
      <c r="AS40">
        <v>6440300</v>
      </c>
      <c r="AT40">
        <v>1200000</v>
      </c>
    </row>
    <row r="41" spans="1:46">
      <c r="A41" t="s">
        <v>154</v>
      </c>
      <c r="B41">
        <v>18</v>
      </c>
      <c r="C41" t="s">
        <v>199</v>
      </c>
      <c r="D41">
        <v>4</v>
      </c>
      <c r="E41">
        <v>0</v>
      </c>
      <c r="F41">
        <v>0</v>
      </c>
      <c r="G41">
        <v>1</v>
      </c>
      <c r="H41">
        <v>0</v>
      </c>
      <c r="I41">
        <v>3</v>
      </c>
      <c r="J41">
        <v>1</v>
      </c>
      <c r="K41">
        <v>1</v>
      </c>
      <c r="L41">
        <v>0</v>
      </c>
      <c r="M41">
        <v>1500000</v>
      </c>
      <c r="N41">
        <v>500000</v>
      </c>
      <c r="O41">
        <v>500000</v>
      </c>
      <c r="P41">
        <v>130000</v>
      </c>
      <c r="Q41">
        <v>0</v>
      </c>
      <c r="R41">
        <v>6000000</v>
      </c>
      <c r="S41">
        <v>2000000</v>
      </c>
      <c r="T41">
        <v>2000000</v>
      </c>
      <c r="U41">
        <v>2500000</v>
      </c>
      <c r="V41">
        <v>10000000</v>
      </c>
      <c r="W41">
        <v>35757600</v>
      </c>
      <c r="X41">
        <v>250</v>
      </c>
      <c r="Y41">
        <v>1000</v>
      </c>
      <c r="Z41">
        <v>92185</v>
      </c>
      <c r="AA41">
        <v>1</v>
      </c>
      <c r="AB41">
        <v>92185</v>
      </c>
      <c r="AC41">
        <v>368740</v>
      </c>
      <c r="AD41">
        <v>1370988</v>
      </c>
      <c r="AE41">
        <v>76.820833333333297</v>
      </c>
      <c r="AF41">
        <v>307.28333333333302</v>
      </c>
      <c r="AG41">
        <v>92185</v>
      </c>
      <c r="AH41">
        <v>368740</v>
      </c>
      <c r="AI41">
        <v>1371004</v>
      </c>
      <c r="AJ41">
        <v>326.82083333333298</v>
      </c>
      <c r="AK41">
        <v>3800</v>
      </c>
      <c r="AL41">
        <v>15200</v>
      </c>
      <c r="AM41">
        <v>14610</v>
      </c>
      <c r="AN41">
        <v>58440</v>
      </c>
      <c r="AO41">
        <v>11.627165750857399</v>
      </c>
      <c r="AP41">
        <v>1536.4166666666699</v>
      </c>
      <c r="AQ41">
        <v>25.606944444444402</v>
      </c>
      <c r="AR41">
        <v>342751</v>
      </c>
      <c r="AS41">
        <v>8940300</v>
      </c>
      <c r="AT41">
        <v>1500000</v>
      </c>
    </row>
    <row r="42" spans="1:46">
      <c r="A42" t="s">
        <v>154</v>
      </c>
      <c r="B42">
        <v>19</v>
      </c>
      <c r="C42" t="s">
        <v>200</v>
      </c>
      <c r="D42">
        <v>4</v>
      </c>
      <c r="E42">
        <v>0</v>
      </c>
      <c r="F42">
        <v>0</v>
      </c>
      <c r="G42">
        <v>1</v>
      </c>
      <c r="H42">
        <v>0</v>
      </c>
      <c r="I42">
        <v>3</v>
      </c>
      <c r="J42">
        <v>1</v>
      </c>
      <c r="K42">
        <v>1</v>
      </c>
      <c r="L42">
        <v>0</v>
      </c>
      <c r="M42">
        <v>2000000</v>
      </c>
      <c r="N42">
        <v>650000</v>
      </c>
      <c r="O42">
        <v>650000</v>
      </c>
      <c r="P42">
        <v>200000</v>
      </c>
      <c r="Q42">
        <v>0</v>
      </c>
      <c r="R42">
        <v>8000000</v>
      </c>
      <c r="S42">
        <v>2600000</v>
      </c>
      <c r="T42">
        <v>2600000</v>
      </c>
      <c r="U42">
        <v>3300000</v>
      </c>
      <c r="V42">
        <v>13200000</v>
      </c>
      <c r="W42">
        <v>48957600</v>
      </c>
      <c r="X42">
        <v>330</v>
      </c>
      <c r="Y42">
        <v>1320</v>
      </c>
      <c r="Z42">
        <v>138278</v>
      </c>
      <c r="AA42">
        <v>1</v>
      </c>
      <c r="AB42">
        <v>138278</v>
      </c>
      <c r="AC42">
        <v>553112</v>
      </c>
      <c r="AD42">
        <v>1924100</v>
      </c>
      <c r="AE42">
        <v>115.231666666667</v>
      </c>
      <c r="AF42">
        <v>460.92666666666702</v>
      </c>
      <c r="AG42">
        <v>138278</v>
      </c>
      <c r="AH42">
        <v>553112</v>
      </c>
      <c r="AI42">
        <v>1924116</v>
      </c>
      <c r="AJ42">
        <v>445.23166666666702</v>
      </c>
      <c r="AK42">
        <v>5200</v>
      </c>
      <c r="AL42">
        <v>20800</v>
      </c>
      <c r="AM42">
        <v>19810</v>
      </c>
      <c r="AN42">
        <v>79240</v>
      </c>
      <c r="AO42">
        <v>11.679313016819</v>
      </c>
      <c r="AP42">
        <v>2304.63333333333</v>
      </c>
      <c r="AQ42">
        <v>38.410555555555597</v>
      </c>
      <c r="AR42">
        <v>481029</v>
      </c>
      <c r="AS42">
        <v>12240300</v>
      </c>
      <c r="AT42">
        <v>2000000</v>
      </c>
    </row>
    <row r="43" spans="1:46">
      <c r="A43" t="s">
        <v>154</v>
      </c>
      <c r="B43">
        <v>20</v>
      </c>
      <c r="C43" t="s">
        <v>201</v>
      </c>
      <c r="D43">
        <v>4</v>
      </c>
      <c r="E43">
        <v>0</v>
      </c>
      <c r="F43">
        <v>0</v>
      </c>
      <c r="G43">
        <v>1</v>
      </c>
      <c r="H43">
        <v>0</v>
      </c>
      <c r="I43">
        <v>3</v>
      </c>
      <c r="J43">
        <v>1</v>
      </c>
      <c r="K43">
        <v>1</v>
      </c>
      <c r="L43">
        <v>0</v>
      </c>
      <c r="M43">
        <v>2500000</v>
      </c>
      <c r="N43">
        <v>850000</v>
      </c>
      <c r="O43">
        <v>850000</v>
      </c>
      <c r="P43">
        <v>225000</v>
      </c>
      <c r="Q43">
        <v>0</v>
      </c>
      <c r="R43">
        <v>10000000</v>
      </c>
      <c r="S43">
        <v>3400000</v>
      </c>
      <c r="T43">
        <v>3400000</v>
      </c>
      <c r="U43">
        <v>4200000</v>
      </c>
      <c r="V43">
        <v>16800000</v>
      </c>
      <c r="W43">
        <v>65757600</v>
      </c>
      <c r="X43">
        <v>420</v>
      </c>
      <c r="Y43">
        <v>1680</v>
      </c>
      <c r="Z43">
        <v>207416</v>
      </c>
      <c r="AA43">
        <v>1</v>
      </c>
      <c r="AB43">
        <v>207416</v>
      </c>
      <c r="AC43">
        <v>829664</v>
      </c>
      <c r="AD43">
        <v>2753764</v>
      </c>
      <c r="AE43">
        <v>172.84666666666701</v>
      </c>
      <c r="AF43">
        <v>691.386666666667</v>
      </c>
      <c r="AG43">
        <v>207416</v>
      </c>
      <c r="AH43">
        <v>829664</v>
      </c>
      <c r="AI43">
        <v>2753780</v>
      </c>
      <c r="AJ43">
        <v>592.84666666666703</v>
      </c>
      <c r="AK43">
        <v>7000</v>
      </c>
      <c r="AL43">
        <v>28000</v>
      </c>
      <c r="AM43">
        <v>26810</v>
      </c>
      <c r="AN43">
        <v>107240</v>
      </c>
      <c r="AO43">
        <v>11.807437561145701</v>
      </c>
      <c r="AP43">
        <v>3456.9333333333302</v>
      </c>
      <c r="AQ43">
        <v>57.615555555555602</v>
      </c>
      <c r="AR43">
        <v>688445</v>
      </c>
      <c r="AS43">
        <v>16440300</v>
      </c>
      <c r="AT43">
        <v>2500000</v>
      </c>
    </row>
    <row r="44" spans="1:46">
      <c r="A44" t="s">
        <v>226</v>
      </c>
      <c r="B44">
        <v>1</v>
      </c>
      <c r="C44" t="s">
        <v>227</v>
      </c>
      <c r="D44">
        <v>4</v>
      </c>
      <c r="E44">
        <v>0</v>
      </c>
      <c r="F44">
        <v>0</v>
      </c>
      <c r="G44">
        <v>1</v>
      </c>
      <c r="H44">
        <v>0</v>
      </c>
      <c r="I44">
        <v>1</v>
      </c>
      <c r="J44">
        <v>0</v>
      </c>
      <c r="K44">
        <v>0</v>
      </c>
      <c r="L44">
        <v>0</v>
      </c>
      <c r="M44">
        <v>75</v>
      </c>
      <c r="N44">
        <v>0</v>
      </c>
      <c r="O44">
        <v>0</v>
      </c>
      <c r="P44">
        <v>18.75</v>
      </c>
      <c r="Q44">
        <v>0</v>
      </c>
      <c r="R44">
        <v>300</v>
      </c>
      <c r="S44">
        <v>0</v>
      </c>
      <c r="T44">
        <v>0</v>
      </c>
      <c r="U44">
        <v>75</v>
      </c>
      <c r="V44">
        <v>300</v>
      </c>
      <c r="W44">
        <v>300</v>
      </c>
      <c r="X44">
        <v>7.4999999999999997E-3</v>
      </c>
      <c r="Y44">
        <v>0.03</v>
      </c>
      <c r="Z44">
        <v>6</v>
      </c>
      <c r="AA44">
        <v>1E-3</v>
      </c>
      <c r="AB44">
        <v>1</v>
      </c>
      <c r="AC44">
        <v>4</v>
      </c>
      <c r="AD44">
        <v>4</v>
      </c>
      <c r="AE44">
        <v>8.3333333333333295E-4</v>
      </c>
      <c r="AF44">
        <v>3.3333333333333301E-3</v>
      </c>
      <c r="AG44">
        <v>1</v>
      </c>
      <c r="AH44">
        <v>4</v>
      </c>
      <c r="AI44">
        <v>4</v>
      </c>
      <c r="AJ44">
        <v>8.3333333333333297E-3</v>
      </c>
      <c r="AK44">
        <v>15</v>
      </c>
      <c r="AL44">
        <v>60</v>
      </c>
      <c r="AM44">
        <v>20</v>
      </c>
      <c r="AN44">
        <v>80</v>
      </c>
      <c r="AO44">
        <v>1800</v>
      </c>
      <c r="AP44">
        <v>1.6666666666666701E-2</v>
      </c>
      <c r="AQ44">
        <v>2.7777777777777799E-4</v>
      </c>
      <c r="AR44">
        <v>1</v>
      </c>
      <c r="AS44">
        <v>75</v>
      </c>
      <c r="AT44">
        <v>75</v>
      </c>
    </row>
    <row r="45" spans="1:46">
      <c r="A45" t="s">
        <v>226</v>
      </c>
      <c r="B45">
        <v>2</v>
      </c>
      <c r="C45" t="s">
        <v>230</v>
      </c>
      <c r="D45">
        <v>4</v>
      </c>
      <c r="E45">
        <v>0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150</v>
      </c>
      <c r="N45">
        <v>0</v>
      </c>
      <c r="O45">
        <v>0</v>
      </c>
      <c r="P45">
        <v>18.75</v>
      </c>
      <c r="Q45">
        <v>0</v>
      </c>
      <c r="R45">
        <v>600</v>
      </c>
      <c r="S45">
        <v>0</v>
      </c>
      <c r="T45">
        <v>0</v>
      </c>
      <c r="U45">
        <v>150</v>
      </c>
      <c r="V45">
        <v>600</v>
      </c>
      <c r="W45">
        <v>600</v>
      </c>
      <c r="X45">
        <v>1.4999999999999999E-2</v>
      </c>
      <c r="Y45">
        <v>0.06</v>
      </c>
      <c r="Z45">
        <v>12</v>
      </c>
      <c r="AA45">
        <v>6.0999999999999999E-2</v>
      </c>
      <c r="AB45">
        <v>1</v>
      </c>
      <c r="AC45">
        <v>4</v>
      </c>
      <c r="AD45">
        <v>4</v>
      </c>
      <c r="AE45">
        <v>8.3333333333333295E-4</v>
      </c>
      <c r="AF45">
        <v>3.3333333333333301E-3</v>
      </c>
      <c r="AG45">
        <v>1</v>
      </c>
      <c r="AH45">
        <v>4</v>
      </c>
      <c r="AI45">
        <v>8</v>
      </c>
      <c r="AJ45">
        <v>1.58333333333333E-2</v>
      </c>
      <c r="AK45">
        <v>18</v>
      </c>
      <c r="AL45">
        <v>72</v>
      </c>
      <c r="AM45">
        <v>40</v>
      </c>
      <c r="AN45">
        <v>160</v>
      </c>
      <c r="AO45">
        <v>1136.84210526316</v>
      </c>
      <c r="AP45">
        <v>1.6666666666666701E-2</v>
      </c>
      <c r="AQ45">
        <v>2.7777777777777799E-4</v>
      </c>
      <c r="AR45">
        <v>2</v>
      </c>
      <c r="AS45">
        <v>225</v>
      </c>
      <c r="AT45">
        <v>150</v>
      </c>
    </row>
    <row r="46" spans="1:46">
      <c r="A46" t="s">
        <v>226</v>
      </c>
      <c r="B46">
        <v>3</v>
      </c>
      <c r="C46" t="s">
        <v>231</v>
      </c>
      <c r="D46">
        <v>4</v>
      </c>
      <c r="E46">
        <v>0</v>
      </c>
      <c r="F46">
        <v>0</v>
      </c>
      <c r="G46">
        <v>1</v>
      </c>
      <c r="H46">
        <v>0</v>
      </c>
      <c r="I46">
        <v>1</v>
      </c>
      <c r="J46">
        <v>0</v>
      </c>
      <c r="K46">
        <v>0</v>
      </c>
      <c r="L46">
        <v>0</v>
      </c>
      <c r="M46">
        <v>300</v>
      </c>
      <c r="N46">
        <v>0</v>
      </c>
      <c r="O46">
        <v>0</v>
      </c>
      <c r="P46">
        <v>37.5</v>
      </c>
      <c r="Q46">
        <v>0</v>
      </c>
      <c r="R46">
        <v>1200</v>
      </c>
      <c r="S46">
        <v>0</v>
      </c>
      <c r="T46">
        <v>0</v>
      </c>
      <c r="U46">
        <v>300</v>
      </c>
      <c r="V46">
        <v>1200</v>
      </c>
      <c r="W46">
        <v>1200</v>
      </c>
      <c r="X46">
        <v>0.03</v>
      </c>
      <c r="Y46">
        <v>0.12</v>
      </c>
      <c r="Z46">
        <v>24</v>
      </c>
      <c r="AA46">
        <v>0.1</v>
      </c>
      <c r="AB46">
        <v>2</v>
      </c>
      <c r="AC46">
        <v>8</v>
      </c>
      <c r="AD46">
        <v>8</v>
      </c>
      <c r="AE46">
        <v>1.66666666666667E-3</v>
      </c>
      <c r="AF46">
        <v>6.6666666666666697E-3</v>
      </c>
      <c r="AG46">
        <v>2</v>
      </c>
      <c r="AH46">
        <v>8</v>
      </c>
      <c r="AI46">
        <v>16</v>
      </c>
      <c r="AJ46">
        <v>3.1666666666666697E-2</v>
      </c>
      <c r="AK46">
        <v>21</v>
      </c>
      <c r="AL46">
        <v>84</v>
      </c>
      <c r="AM46">
        <v>60</v>
      </c>
      <c r="AN46">
        <v>240</v>
      </c>
      <c r="AO46">
        <v>663.15789473684197</v>
      </c>
      <c r="AP46">
        <v>3.3333333333333298E-2</v>
      </c>
      <c r="AQ46">
        <v>5.5555555555555599E-4</v>
      </c>
      <c r="AR46">
        <v>4</v>
      </c>
      <c r="AS46">
        <v>525</v>
      </c>
      <c r="AT46">
        <v>300</v>
      </c>
    </row>
    <row r="47" spans="1:46">
      <c r="A47" t="s">
        <v>226</v>
      </c>
      <c r="B47">
        <v>4</v>
      </c>
      <c r="C47" t="s">
        <v>232</v>
      </c>
      <c r="D47">
        <v>4</v>
      </c>
      <c r="E47">
        <v>0</v>
      </c>
      <c r="F47">
        <v>0</v>
      </c>
      <c r="G47">
        <v>1</v>
      </c>
      <c r="H47">
        <v>0</v>
      </c>
      <c r="I47">
        <v>1</v>
      </c>
      <c r="J47">
        <v>0</v>
      </c>
      <c r="K47">
        <v>0</v>
      </c>
      <c r="L47">
        <v>0</v>
      </c>
      <c r="M47">
        <v>600</v>
      </c>
      <c r="N47">
        <v>0</v>
      </c>
      <c r="O47">
        <v>0</v>
      </c>
      <c r="P47">
        <v>75</v>
      </c>
      <c r="Q47">
        <v>0</v>
      </c>
      <c r="R47">
        <v>2400</v>
      </c>
      <c r="S47">
        <v>0</v>
      </c>
      <c r="T47">
        <v>0</v>
      </c>
      <c r="U47">
        <v>600</v>
      </c>
      <c r="V47">
        <v>2400</v>
      </c>
      <c r="W47">
        <v>3600</v>
      </c>
      <c r="X47">
        <v>0.06</v>
      </c>
      <c r="Y47">
        <v>0.24</v>
      </c>
      <c r="Z47">
        <v>48</v>
      </c>
      <c r="AA47">
        <v>0.5</v>
      </c>
      <c r="AB47">
        <v>24</v>
      </c>
      <c r="AC47">
        <v>96</v>
      </c>
      <c r="AD47">
        <v>104</v>
      </c>
      <c r="AE47">
        <v>0.02</v>
      </c>
      <c r="AF47">
        <v>0.08</v>
      </c>
      <c r="AG47">
        <v>24</v>
      </c>
      <c r="AH47">
        <v>96</v>
      </c>
      <c r="AI47">
        <v>112</v>
      </c>
      <c r="AJ47">
        <v>0.08</v>
      </c>
      <c r="AK47">
        <v>26</v>
      </c>
      <c r="AL47">
        <v>104</v>
      </c>
      <c r="AM47">
        <v>90</v>
      </c>
      <c r="AN47">
        <v>360</v>
      </c>
      <c r="AO47">
        <v>325</v>
      </c>
      <c r="AP47">
        <v>0.4</v>
      </c>
      <c r="AQ47">
        <v>6.6666666666666697E-3</v>
      </c>
      <c r="AR47">
        <v>28</v>
      </c>
      <c r="AS47">
        <v>1125</v>
      </c>
      <c r="AT47">
        <v>600</v>
      </c>
    </row>
    <row r="48" spans="1:46">
      <c r="A48" t="s">
        <v>226</v>
      </c>
      <c r="B48">
        <v>5</v>
      </c>
      <c r="C48" t="s">
        <v>233</v>
      </c>
      <c r="D48">
        <v>4</v>
      </c>
      <c r="E48">
        <v>0</v>
      </c>
      <c r="F48">
        <v>0</v>
      </c>
      <c r="G48">
        <v>1</v>
      </c>
      <c r="H48">
        <v>0</v>
      </c>
      <c r="I48">
        <v>1</v>
      </c>
      <c r="J48">
        <v>0</v>
      </c>
      <c r="K48">
        <v>0</v>
      </c>
      <c r="L48">
        <v>0</v>
      </c>
      <c r="M48">
        <v>1200</v>
      </c>
      <c r="N48">
        <v>0</v>
      </c>
      <c r="O48">
        <v>0</v>
      </c>
      <c r="P48">
        <v>150</v>
      </c>
      <c r="Q48">
        <v>0</v>
      </c>
      <c r="R48">
        <v>4800</v>
      </c>
      <c r="S48">
        <v>0</v>
      </c>
      <c r="T48">
        <v>0</v>
      </c>
      <c r="U48">
        <v>1200</v>
      </c>
      <c r="V48">
        <v>4800</v>
      </c>
      <c r="W48">
        <v>8400</v>
      </c>
      <c r="X48">
        <v>0.12</v>
      </c>
      <c r="Y48">
        <v>0.48</v>
      </c>
      <c r="Z48">
        <v>96</v>
      </c>
      <c r="AA48">
        <v>0.9</v>
      </c>
      <c r="AB48">
        <v>86</v>
      </c>
      <c r="AC48">
        <v>344</v>
      </c>
      <c r="AD48">
        <v>448</v>
      </c>
      <c r="AE48">
        <v>7.1666666666666698E-2</v>
      </c>
      <c r="AF48">
        <v>0.28666666666666701</v>
      </c>
      <c r="AG48">
        <v>86</v>
      </c>
      <c r="AH48">
        <v>344</v>
      </c>
      <c r="AI48">
        <v>456</v>
      </c>
      <c r="AJ48">
        <v>0.19166666666666701</v>
      </c>
      <c r="AK48">
        <v>31</v>
      </c>
      <c r="AL48">
        <v>124</v>
      </c>
      <c r="AM48">
        <v>120</v>
      </c>
      <c r="AN48">
        <v>480</v>
      </c>
      <c r="AO48">
        <v>161.73913043478299</v>
      </c>
      <c r="AP48">
        <v>1.43333333333333</v>
      </c>
      <c r="AQ48">
        <v>2.38888888888889E-2</v>
      </c>
      <c r="AR48">
        <v>114</v>
      </c>
      <c r="AS48">
        <v>2325</v>
      </c>
      <c r="AT48">
        <v>1200</v>
      </c>
    </row>
    <row r="49" spans="1:46">
      <c r="A49" t="s">
        <v>226</v>
      </c>
      <c r="B49">
        <v>6</v>
      </c>
      <c r="C49" t="s">
        <v>234</v>
      </c>
      <c r="D49">
        <v>4</v>
      </c>
      <c r="E49">
        <v>0</v>
      </c>
      <c r="F49">
        <v>0</v>
      </c>
      <c r="G49">
        <v>0.9</v>
      </c>
      <c r="H49">
        <v>0</v>
      </c>
      <c r="I49">
        <v>1</v>
      </c>
      <c r="J49">
        <v>2</v>
      </c>
      <c r="K49">
        <v>0</v>
      </c>
      <c r="L49">
        <v>0</v>
      </c>
      <c r="M49">
        <v>720</v>
      </c>
      <c r="N49">
        <v>1440</v>
      </c>
      <c r="O49">
        <v>0</v>
      </c>
      <c r="P49">
        <v>240</v>
      </c>
      <c r="Q49">
        <v>0</v>
      </c>
      <c r="R49">
        <v>2880</v>
      </c>
      <c r="S49">
        <v>5760</v>
      </c>
      <c r="T49">
        <v>0</v>
      </c>
      <c r="U49">
        <v>2160</v>
      </c>
      <c r="V49">
        <v>8640</v>
      </c>
      <c r="W49">
        <v>17040</v>
      </c>
      <c r="X49">
        <v>0.216</v>
      </c>
      <c r="Y49">
        <v>0.86399999999999999</v>
      </c>
      <c r="Z49">
        <v>192</v>
      </c>
      <c r="AA49">
        <v>1</v>
      </c>
      <c r="AB49">
        <v>192</v>
      </c>
      <c r="AC49">
        <v>768</v>
      </c>
      <c r="AD49">
        <v>1216</v>
      </c>
      <c r="AE49">
        <v>0.16</v>
      </c>
      <c r="AF49">
        <v>0.64</v>
      </c>
      <c r="AG49">
        <v>192</v>
      </c>
      <c r="AH49">
        <v>768</v>
      </c>
      <c r="AI49">
        <v>1224</v>
      </c>
      <c r="AJ49">
        <v>0.376</v>
      </c>
      <c r="AK49">
        <v>37</v>
      </c>
      <c r="AL49">
        <v>148</v>
      </c>
      <c r="AM49">
        <v>160</v>
      </c>
      <c r="AN49">
        <v>640</v>
      </c>
      <c r="AO49">
        <v>98.404255319148902</v>
      </c>
      <c r="AP49">
        <v>3.2</v>
      </c>
      <c r="AQ49">
        <v>5.3333333333333302E-2</v>
      </c>
      <c r="AR49">
        <v>306</v>
      </c>
      <c r="AS49">
        <v>4485</v>
      </c>
      <c r="AT49">
        <v>1440</v>
      </c>
    </row>
    <row r="50" spans="1:46">
      <c r="A50" t="s">
        <v>226</v>
      </c>
      <c r="B50">
        <v>7</v>
      </c>
      <c r="C50" t="s">
        <v>235</v>
      </c>
      <c r="D50">
        <v>4</v>
      </c>
      <c r="E50">
        <v>0</v>
      </c>
      <c r="F50">
        <v>0</v>
      </c>
      <c r="G50">
        <v>0.8</v>
      </c>
      <c r="H50">
        <v>0</v>
      </c>
      <c r="I50">
        <v>1</v>
      </c>
      <c r="J50">
        <v>2</v>
      </c>
      <c r="K50">
        <v>0</v>
      </c>
      <c r="L50">
        <v>0</v>
      </c>
      <c r="M50">
        <v>1280</v>
      </c>
      <c r="N50">
        <v>2560</v>
      </c>
      <c r="O50">
        <v>0</v>
      </c>
      <c r="P50">
        <v>420</v>
      </c>
      <c r="Q50">
        <v>0</v>
      </c>
      <c r="R50">
        <v>5120</v>
      </c>
      <c r="S50">
        <v>10240</v>
      </c>
      <c r="T50">
        <v>0</v>
      </c>
      <c r="U50">
        <v>3840</v>
      </c>
      <c r="V50">
        <v>15360</v>
      </c>
      <c r="W50">
        <v>32400</v>
      </c>
      <c r="X50">
        <v>0.38400000000000001</v>
      </c>
      <c r="Y50">
        <v>1.536</v>
      </c>
      <c r="Z50">
        <v>384</v>
      </c>
      <c r="AA50">
        <v>1</v>
      </c>
      <c r="AB50">
        <v>384</v>
      </c>
      <c r="AC50">
        <v>1536</v>
      </c>
      <c r="AD50">
        <v>2752</v>
      </c>
      <c r="AE50">
        <v>0.32</v>
      </c>
      <c r="AF50">
        <v>1.28</v>
      </c>
      <c r="AG50">
        <v>384</v>
      </c>
      <c r="AH50">
        <v>1536</v>
      </c>
      <c r="AI50">
        <v>2760</v>
      </c>
      <c r="AJ50">
        <v>0.70399999999999996</v>
      </c>
      <c r="AK50">
        <v>44</v>
      </c>
      <c r="AL50">
        <v>176</v>
      </c>
      <c r="AM50">
        <v>200</v>
      </c>
      <c r="AN50">
        <v>800</v>
      </c>
      <c r="AO50">
        <v>62.5</v>
      </c>
      <c r="AP50">
        <v>6.4</v>
      </c>
      <c r="AQ50">
        <v>0.10666666666666701</v>
      </c>
      <c r="AR50">
        <v>690</v>
      </c>
      <c r="AS50">
        <v>8325</v>
      </c>
      <c r="AT50">
        <v>2560</v>
      </c>
    </row>
    <row r="51" spans="1:46">
      <c r="A51" t="s">
        <v>226</v>
      </c>
      <c r="B51">
        <v>8</v>
      </c>
      <c r="C51" t="s">
        <v>236</v>
      </c>
      <c r="D51">
        <v>4</v>
      </c>
      <c r="E51">
        <v>0</v>
      </c>
      <c r="F51">
        <v>0</v>
      </c>
      <c r="G51">
        <v>0.75</v>
      </c>
      <c r="H51">
        <v>0</v>
      </c>
      <c r="I51">
        <v>1</v>
      </c>
      <c r="J51">
        <v>2</v>
      </c>
      <c r="K51">
        <v>0</v>
      </c>
      <c r="L51">
        <v>0</v>
      </c>
      <c r="M51">
        <v>2400</v>
      </c>
      <c r="N51">
        <v>4800</v>
      </c>
      <c r="O51">
        <v>0</v>
      </c>
      <c r="P51">
        <v>840</v>
      </c>
      <c r="Q51">
        <v>0</v>
      </c>
      <c r="R51">
        <v>9600</v>
      </c>
      <c r="S51">
        <v>19200</v>
      </c>
      <c r="T51">
        <v>0</v>
      </c>
      <c r="U51">
        <v>7200</v>
      </c>
      <c r="V51">
        <v>28800</v>
      </c>
      <c r="W51">
        <v>61200</v>
      </c>
      <c r="X51">
        <v>0.72</v>
      </c>
      <c r="Y51">
        <v>2.88</v>
      </c>
      <c r="Z51">
        <v>768</v>
      </c>
      <c r="AA51">
        <v>1</v>
      </c>
      <c r="AB51">
        <v>768</v>
      </c>
      <c r="AC51">
        <v>3072</v>
      </c>
      <c r="AD51">
        <v>5824</v>
      </c>
      <c r="AE51">
        <v>0.64</v>
      </c>
      <c r="AF51">
        <v>2.56</v>
      </c>
      <c r="AG51">
        <v>768</v>
      </c>
      <c r="AH51">
        <v>3072</v>
      </c>
      <c r="AI51">
        <v>5832</v>
      </c>
      <c r="AJ51">
        <v>1.36</v>
      </c>
      <c r="AK51">
        <v>55</v>
      </c>
      <c r="AL51">
        <v>220</v>
      </c>
      <c r="AM51">
        <v>260</v>
      </c>
      <c r="AN51">
        <v>1040</v>
      </c>
      <c r="AO51">
        <v>40.441176470588204</v>
      </c>
      <c r="AP51">
        <v>12.8</v>
      </c>
      <c r="AQ51">
        <v>0.21333333333333299</v>
      </c>
      <c r="AR51">
        <v>1458</v>
      </c>
      <c r="AS51">
        <v>15525</v>
      </c>
      <c r="AT51">
        <v>4800</v>
      </c>
    </row>
    <row r="52" spans="1:46">
      <c r="A52" t="s">
        <v>226</v>
      </c>
      <c r="B52">
        <v>9</v>
      </c>
      <c r="C52" t="s">
        <v>237</v>
      </c>
      <c r="D52">
        <v>4</v>
      </c>
      <c r="E52">
        <v>0</v>
      </c>
      <c r="F52">
        <v>0</v>
      </c>
      <c r="G52">
        <v>0.7</v>
      </c>
      <c r="H52">
        <v>0</v>
      </c>
      <c r="I52">
        <v>1</v>
      </c>
      <c r="J52">
        <v>2</v>
      </c>
      <c r="K52">
        <v>0</v>
      </c>
      <c r="L52">
        <v>0</v>
      </c>
      <c r="M52">
        <v>3780</v>
      </c>
      <c r="N52">
        <v>7700</v>
      </c>
      <c r="O52">
        <v>0</v>
      </c>
      <c r="P52">
        <v>1070</v>
      </c>
      <c r="Q52">
        <v>0</v>
      </c>
      <c r="R52">
        <v>15120</v>
      </c>
      <c r="S52">
        <v>30800</v>
      </c>
      <c r="T52">
        <v>0</v>
      </c>
      <c r="U52">
        <v>11480</v>
      </c>
      <c r="V52">
        <v>45920</v>
      </c>
      <c r="W52">
        <v>107120</v>
      </c>
      <c r="X52">
        <v>1.1479999999999999</v>
      </c>
      <c r="Y52">
        <v>4.5919999999999996</v>
      </c>
      <c r="Z52">
        <v>1306</v>
      </c>
      <c r="AA52">
        <v>1</v>
      </c>
      <c r="AB52">
        <v>1306</v>
      </c>
      <c r="AC52">
        <v>5224</v>
      </c>
      <c r="AD52">
        <v>11048</v>
      </c>
      <c r="AE52">
        <v>1.08833333333333</v>
      </c>
      <c r="AF52">
        <v>4.3533333333333299</v>
      </c>
      <c r="AG52">
        <v>1306</v>
      </c>
      <c r="AH52">
        <v>5224</v>
      </c>
      <c r="AI52">
        <v>11056</v>
      </c>
      <c r="AJ52">
        <v>2.23633333333333</v>
      </c>
      <c r="AK52">
        <v>65</v>
      </c>
      <c r="AL52">
        <v>260</v>
      </c>
      <c r="AM52">
        <v>330</v>
      </c>
      <c r="AN52">
        <v>1320</v>
      </c>
      <c r="AO52">
        <v>29.065434490982302</v>
      </c>
      <c r="AP52">
        <v>21.766666666666701</v>
      </c>
      <c r="AQ52">
        <v>0.36277777777777798</v>
      </c>
      <c r="AR52">
        <v>2764</v>
      </c>
      <c r="AS52">
        <v>27005</v>
      </c>
      <c r="AT52">
        <v>7700</v>
      </c>
    </row>
    <row r="53" spans="1:46">
      <c r="A53" t="s">
        <v>226</v>
      </c>
      <c r="B53">
        <v>10</v>
      </c>
      <c r="C53" t="s">
        <v>238</v>
      </c>
      <c r="D53">
        <v>4</v>
      </c>
      <c r="E53">
        <v>0</v>
      </c>
      <c r="F53">
        <v>0</v>
      </c>
      <c r="G53">
        <v>0.65</v>
      </c>
      <c r="H53">
        <v>0</v>
      </c>
      <c r="I53">
        <v>1</v>
      </c>
      <c r="J53">
        <v>2</v>
      </c>
      <c r="K53">
        <v>0</v>
      </c>
      <c r="L53">
        <v>0</v>
      </c>
      <c r="M53">
        <v>5980</v>
      </c>
      <c r="N53">
        <v>11700</v>
      </c>
      <c r="O53">
        <v>0</v>
      </c>
      <c r="P53">
        <v>1550</v>
      </c>
      <c r="Q53">
        <v>0</v>
      </c>
      <c r="R53">
        <v>23920</v>
      </c>
      <c r="S53">
        <v>46800</v>
      </c>
      <c r="T53">
        <v>0</v>
      </c>
      <c r="U53">
        <v>17680</v>
      </c>
      <c r="V53">
        <v>70720</v>
      </c>
      <c r="W53">
        <v>177840</v>
      </c>
      <c r="X53">
        <v>1.768</v>
      </c>
      <c r="Y53">
        <v>7.0720000000000001</v>
      </c>
      <c r="Z53">
        <v>2089</v>
      </c>
      <c r="AA53">
        <v>1</v>
      </c>
      <c r="AB53">
        <v>2089</v>
      </c>
      <c r="AC53">
        <v>8356</v>
      </c>
      <c r="AD53">
        <v>19404</v>
      </c>
      <c r="AE53">
        <v>1.7408333333333299</v>
      </c>
      <c r="AF53">
        <v>6.9633333333333303</v>
      </c>
      <c r="AG53">
        <v>2089</v>
      </c>
      <c r="AH53">
        <v>8356</v>
      </c>
      <c r="AI53">
        <v>19412</v>
      </c>
      <c r="AJ53">
        <v>3.5088333333333299</v>
      </c>
      <c r="AK53">
        <v>80</v>
      </c>
      <c r="AL53">
        <v>320</v>
      </c>
      <c r="AM53">
        <v>410</v>
      </c>
      <c r="AN53">
        <v>1640</v>
      </c>
      <c r="AO53">
        <v>22.7996010069824</v>
      </c>
      <c r="AP53">
        <v>34.816666666666698</v>
      </c>
      <c r="AQ53">
        <v>0.580277777777778</v>
      </c>
      <c r="AR53">
        <v>4853</v>
      </c>
      <c r="AS53">
        <v>44685</v>
      </c>
      <c r="AT53">
        <v>11700</v>
      </c>
    </row>
    <row r="54" spans="1:46">
      <c r="A54" t="s">
        <v>226</v>
      </c>
      <c r="B54">
        <v>11</v>
      </c>
      <c r="C54" t="s">
        <v>239</v>
      </c>
      <c r="D54">
        <v>4</v>
      </c>
      <c r="E54">
        <v>0</v>
      </c>
      <c r="F54">
        <v>0</v>
      </c>
      <c r="G54">
        <v>0.6</v>
      </c>
      <c r="H54">
        <v>0</v>
      </c>
      <c r="I54">
        <v>1</v>
      </c>
      <c r="J54">
        <v>2</v>
      </c>
      <c r="K54">
        <v>2</v>
      </c>
      <c r="L54">
        <v>0</v>
      </c>
      <c r="M54">
        <v>5340</v>
      </c>
      <c r="N54">
        <v>10800</v>
      </c>
      <c r="O54">
        <v>10800</v>
      </c>
      <c r="P54">
        <v>2315</v>
      </c>
      <c r="Q54">
        <v>0</v>
      </c>
      <c r="R54">
        <v>21360</v>
      </c>
      <c r="S54">
        <v>43200</v>
      </c>
      <c r="T54">
        <v>43200</v>
      </c>
      <c r="U54">
        <v>26940</v>
      </c>
      <c r="V54">
        <v>107760</v>
      </c>
      <c r="W54">
        <v>285600</v>
      </c>
      <c r="X54">
        <v>2.694</v>
      </c>
      <c r="Y54">
        <v>10.776</v>
      </c>
      <c r="Z54">
        <v>2820</v>
      </c>
      <c r="AA54">
        <v>1</v>
      </c>
      <c r="AB54">
        <v>2820</v>
      </c>
      <c r="AC54">
        <v>11280</v>
      </c>
      <c r="AD54">
        <v>30684</v>
      </c>
      <c r="AE54">
        <v>2.35</v>
      </c>
      <c r="AF54">
        <v>9.4</v>
      </c>
      <c r="AG54">
        <v>2820</v>
      </c>
      <c r="AH54">
        <v>11280</v>
      </c>
      <c r="AI54">
        <v>30692</v>
      </c>
      <c r="AJ54">
        <v>5.0439999999999996</v>
      </c>
      <c r="AK54">
        <v>110</v>
      </c>
      <c r="AL54">
        <v>440</v>
      </c>
      <c r="AM54">
        <v>520</v>
      </c>
      <c r="AN54">
        <v>2080</v>
      </c>
      <c r="AO54">
        <v>21.808088818398101</v>
      </c>
      <c r="AP54">
        <v>47</v>
      </c>
      <c r="AQ54">
        <v>0.78333333333333299</v>
      </c>
      <c r="AR54">
        <v>7673</v>
      </c>
      <c r="AS54">
        <v>71625</v>
      </c>
      <c r="AT54">
        <v>10800</v>
      </c>
    </row>
    <row r="55" spans="1:46">
      <c r="A55" t="s">
        <v>226</v>
      </c>
      <c r="B55">
        <v>12</v>
      </c>
      <c r="C55" t="s">
        <v>240</v>
      </c>
      <c r="D55">
        <v>4</v>
      </c>
      <c r="E55">
        <v>0</v>
      </c>
      <c r="F55">
        <v>0</v>
      </c>
      <c r="G55">
        <v>0.55000000000000004</v>
      </c>
      <c r="H55">
        <v>0</v>
      </c>
      <c r="I55">
        <v>1</v>
      </c>
      <c r="J55">
        <v>2</v>
      </c>
      <c r="K55">
        <v>2</v>
      </c>
      <c r="L55">
        <v>0</v>
      </c>
      <c r="M55">
        <v>7700</v>
      </c>
      <c r="N55">
        <v>15400</v>
      </c>
      <c r="O55">
        <v>15400</v>
      </c>
      <c r="P55">
        <v>2890</v>
      </c>
      <c r="Q55">
        <v>0</v>
      </c>
      <c r="R55">
        <v>30800</v>
      </c>
      <c r="S55">
        <v>61600</v>
      </c>
      <c r="T55">
        <v>61600</v>
      </c>
      <c r="U55">
        <v>38500</v>
      </c>
      <c r="V55">
        <v>154000</v>
      </c>
      <c r="W55">
        <v>439600</v>
      </c>
      <c r="X55">
        <v>3.85</v>
      </c>
      <c r="Y55">
        <v>15.4</v>
      </c>
      <c r="Z55">
        <v>3807</v>
      </c>
      <c r="AA55">
        <v>1</v>
      </c>
      <c r="AB55">
        <v>3807</v>
      </c>
      <c r="AC55">
        <v>15228</v>
      </c>
      <c r="AD55">
        <v>45912</v>
      </c>
      <c r="AE55">
        <v>3.1724999999999999</v>
      </c>
      <c r="AF55">
        <v>12.69</v>
      </c>
      <c r="AG55">
        <v>3807</v>
      </c>
      <c r="AH55">
        <v>15228</v>
      </c>
      <c r="AI55">
        <v>45920</v>
      </c>
      <c r="AJ55">
        <v>7.0225</v>
      </c>
      <c r="AK55">
        <v>150</v>
      </c>
      <c r="AL55">
        <v>600</v>
      </c>
      <c r="AM55">
        <v>670</v>
      </c>
      <c r="AN55">
        <v>2680</v>
      </c>
      <c r="AO55">
        <v>21.359914560341799</v>
      </c>
      <c r="AP55">
        <v>63.45</v>
      </c>
      <c r="AQ55">
        <v>1.0575000000000001</v>
      </c>
      <c r="AR55">
        <v>11480</v>
      </c>
      <c r="AS55">
        <v>110125</v>
      </c>
      <c r="AT55">
        <v>15400</v>
      </c>
    </row>
    <row r="56" spans="1:46">
      <c r="A56" t="s">
        <v>226</v>
      </c>
      <c r="B56">
        <v>13</v>
      </c>
      <c r="C56" t="s">
        <v>241</v>
      </c>
      <c r="D56">
        <v>4</v>
      </c>
      <c r="E56">
        <v>0</v>
      </c>
      <c r="F56">
        <v>0</v>
      </c>
      <c r="G56">
        <v>0.5</v>
      </c>
      <c r="H56">
        <v>0</v>
      </c>
      <c r="I56">
        <v>1</v>
      </c>
      <c r="J56">
        <v>2</v>
      </c>
      <c r="K56">
        <v>2</v>
      </c>
      <c r="L56">
        <v>0</v>
      </c>
      <c r="M56">
        <v>11500</v>
      </c>
      <c r="N56">
        <v>22500</v>
      </c>
      <c r="O56">
        <v>22500</v>
      </c>
      <c r="P56">
        <v>4500</v>
      </c>
      <c r="Q56">
        <v>0</v>
      </c>
      <c r="R56">
        <v>46000</v>
      </c>
      <c r="S56">
        <v>90000</v>
      </c>
      <c r="T56">
        <v>90000</v>
      </c>
      <c r="U56">
        <v>56500</v>
      </c>
      <c r="V56">
        <v>226000</v>
      </c>
      <c r="W56">
        <v>665600</v>
      </c>
      <c r="X56">
        <v>5.65</v>
      </c>
      <c r="Y56">
        <v>22.6</v>
      </c>
      <c r="Z56">
        <v>5140</v>
      </c>
      <c r="AA56">
        <v>1</v>
      </c>
      <c r="AB56">
        <v>5140</v>
      </c>
      <c r="AC56">
        <v>20560</v>
      </c>
      <c r="AD56">
        <v>66472</v>
      </c>
      <c r="AE56">
        <v>4.2833333333333297</v>
      </c>
      <c r="AF56">
        <v>17.133333333333301</v>
      </c>
      <c r="AG56">
        <v>5140</v>
      </c>
      <c r="AH56">
        <v>20560</v>
      </c>
      <c r="AI56">
        <v>66480</v>
      </c>
      <c r="AJ56">
        <v>9.93333333333333</v>
      </c>
      <c r="AK56">
        <v>205</v>
      </c>
      <c r="AL56">
        <v>820</v>
      </c>
      <c r="AM56">
        <v>880</v>
      </c>
      <c r="AN56">
        <v>3520</v>
      </c>
      <c r="AO56">
        <v>20.6375838926174</v>
      </c>
      <c r="AP56">
        <v>85.6666666666667</v>
      </c>
      <c r="AQ56">
        <v>1.42777777777778</v>
      </c>
      <c r="AR56">
        <v>16620</v>
      </c>
      <c r="AS56">
        <v>166625</v>
      </c>
      <c r="AT56">
        <v>22500</v>
      </c>
    </row>
    <row r="57" spans="1:46">
      <c r="A57" t="s">
        <v>226</v>
      </c>
      <c r="B57">
        <v>14</v>
      </c>
      <c r="C57" t="s">
        <v>242</v>
      </c>
      <c r="D57">
        <v>4</v>
      </c>
      <c r="E57">
        <v>0</v>
      </c>
      <c r="F57">
        <v>0</v>
      </c>
      <c r="G57">
        <v>0.45</v>
      </c>
      <c r="H57">
        <v>0</v>
      </c>
      <c r="I57">
        <v>1</v>
      </c>
      <c r="J57">
        <v>2</v>
      </c>
      <c r="K57">
        <v>2</v>
      </c>
      <c r="L57">
        <v>0</v>
      </c>
      <c r="M57">
        <v>16200</v>
      </c>
      <c r="N57">
        <v>32850</v>
      </c>
      <c r="O57">
        <v>32850</v>
      </c>
      <c r="P57">
        <v>6350</v>
      </c>
      <c r="Q57">
        <v>0</v>
      </c>
      <c r="R57">
        <v>64800</v>
      </c>
      <c r="S57">
        <v>131400</v>
      </c>
      <c r="T57">
        <v>131400</v>
      </c>
      <c r="U57">
        <v>81900</v>
      </c>
      <c r="V57">
        <v>327600</v>
      </c>
      <c r="W57">
        <v>993200</v>
      </c>
      <c r="X57">
        <v>8.19</v>
      </c>
      <c r="Y57">
        <v>32.76</v>
      </c>
      <c r="Z57">
        <v>6938</v>
      </c>
      <c r="AA57">
        <v>1</v>
      </c>
      <c r="AB57">
        <v>6938</v>
      </c>
      <c r="AC57">
        <v>27752</v>
      </c>
      <c r="AD57">
        <v>94224</v>
      </c>
      <c r="AE57">
        <v>5.7816666666666698</v>
      </c>
      <c r="AF57">
        <v>23.126666666666701</v>
      </c>
      <c r="AG57">
        <v>6938</v>
      </c>
      <c r="AH57">
        <v>27752</v>
      </c>
      <c r="AI57">
        <v>94232</v>
      </c>
      <c r="AJ57">
        <v>13.9716666666667</v>
      </c>
      <c r="AK57">
        <v>275</v>
      </c>
      <c r="AL57">
        <v>1100</v>
      </c>
      <c r="AM57">
        <v>1160</v>
      </c>
      <c r="AN57">
        <v>4640</v>
      </c>
      <c r="AO57">
        <v>19.6826911606823</v>
      </c>
      <c r="AP57">
        <v>115.633333333333</v>
      </c>
      <c r="AQ57">
        <v>1.9272222222222199</v>
      </c>
      <c r="AR57">
        <v>23558</v>
      </c>
      <c r="AS57">
        <v>248525</v>
      </c>
      <c r="AT57">
        <v>32850</v>
      </c>
    </row>
    <row r="58" spans="1:46">
      <c r="A58" t="s">
        <v>226</v>
      </c>
      <c r="B58">
        <v>15</v>
      </c>
      <c r="C58" t="s">
        <v>243</v>
      </c>
      <c r="D58">
        <v>4</v>
      </c>
      <c r="E58">
        <v>0</v>
      </c>
      <c r="F58">
        <v>0</v>
      </c>
      <c r="G58">
        <v>0.4</v>
      </c>
      <c r="H58">
        <v>0</v>
      </c>
      <c r="I58">
        <v>1</v>
      </c>
      <c r="J58">
        <v>2</v>
      </c>
      <c r="K58">
        <v>2</v>
      </c>
      <c r="L58">
        <v>0</v>
      </c>
      <c r="M58">
        <v>22000</v>
      </c>
      <c r="N58">
        <v>44000</v>
      </c>
      <c r="O58">
        <v>44000</v>
      </c>
      <c r="P58">
        <v>7025</v>
      </c>
      <c r="Q58">
        <v>0</v>
      </c>
      <c r="R58">
        <v>88000</v>
      </c>
      <c r="S58">
        <v>176000</v>
      </c>
      <c r="T58">
        <v>176000</v>
      </c>
      <c r="U58">
        <v>110000</v>
      </c>
      <c r="V58">
        <v>440000</v>
      </c>
      <c r="W58">
        <v>1433200</v>
      </c>
      <c r="X58">
        <v>11</v>
      </c>
      <c r="Y58">
        <v>44</v>
      </c>
      <c r="Z58">
        <v>9367</v>
      </c>
      <c r="AA58">
        <v>1</v>
      </c>
      <c r="AB58">
        <v>9367</v>
      </c>
      <c r="AC58">
        <v>37468</v>
      </c>
      <c r="AD58">
        <v>131692</v>
      </c>
      <c r="AE58">
        <v>7.8058333333333296</v>
      </c>
      <c r="AF58">
        <v>31.223333333333301</v>
      </c>
      <c r="AG58">
        <v>9367</v>
      </c>
      <c r="AH58">
        <v>37468</v>
      </c>
      <c r="AI58">
        <v>131700</v>
      </c>
      <c r="AJ58">
        <v>18.8058333333333</v>
      </c>
      <c r="AK58">
        <v>370</v>
      </c>
      <c r="AL58">
        <v>1480</v>
      </c>
      <c r="AM58">
        <v>1530</v>
      </c>
      <c r="AN58">
        <v>6120</v>
      </c>
      <c r="AO58">
        <v>19.6747463109851</v>
      </c>
      <c r="AP58">
        <v>156.11666666666699</v>
      </c>
      <c r="AQ58">
        <v>2.60194444444444</v>
      </c>
      <c r="AR58">
        <v>32925</v>
      </c>
      <c r="AS58">
        <v>358525</v>
      </c>
      <c r="AT58">
        <v>44000</v>
      </c>
    </row>
    <row r="59" spans="1:46">
      <c r="A59" t="s">
        <v>226</v>
      </c>
      <c r="B59">
        <v>16</v>
      </c>
      <c r="C59" t="s">
        <v>244</v>
      </c>
      <c r="D59">
        <v>4</v>
      </c>
      <c r="E59">
        <v>0</v>
      </c>
      <c r="F59">
        <v>0</v>
      </c>
      <c r="G59">
        <v>0.35</v>
      </c>
      <c r="H59">
        <v>0</v>
      </c>
      <c r="I59">
        <v>1</v>
      </c>
      <c r="J59">
        <v>2</v>
      </c>
      <c r="K59">
        <v>2</v>
      </c>
      <c r="L59">
        <v>0</v>
      </c>
      <c r="M59">
        <v>25900</v>
      </c>
      <c r="N59">
        <v>52500</v>
      </c>
      <c r="O59">
        <v>52500</v>
      </c>
      <c r="P59">
        <v>5225</v>
      </c>
      <c r="Q59">
        <v>0</v>
      </c>
      <c r="R59">
        <v>103600</v>
      </c>
      <c r="S59">
        <v>210000</v>
      </c>
      <c r="T59">
        <v>210000</v>
      </c>
      <c r="U59">
        <v>130900</v>
      </c>
      <c r="V59">
        <v>523600</v>
      </c>
      <c r="W59">
        <v>1956800</v>
      </c>
      <c r="X59">
        <v>13.09</v>
      </c>
      <c r="Y59">
        <v>52.36</v>
      </c>
      <c r="Z59">
        <v>12645</v>
      </c>
      <c r="AA59">
        <v>1</v>
      </c>
      <c r="AB59">
        <v>12645</v>
      </c>
      <c r="AC59">
        <v>50580</v>
      </c>
      <c r="AD59">
        <v>182272</v>
      </c>
      <c r="AE59">
        <v>10.5375</v>
      </c>
      <c r="AF59">
        <v>42.15</v>
      </c>
      <c r="AG59">
        <v>12645</v>
      </c>
      <c r="AH59">
        <v>50580</v>
      </c>
      <c r="AI59">
        <v>182280</v>
      </c>
      <c r="AJ59">
        <v>23.627500000000001</v>
      </c>
      <c r="AK59">
        <v>500</v>
      </c>
      <c r="AL59">
        <v>2000</v>
      </c>
      <c r="AM59">
        <v>2030</v>
      </c>
      <c r="AN59">
        <v>8120</v>
      </c>
      <c r="AO59">
        <v>21.161781822029401</v>
      </c>
      <c r="AP59">
        <v>210.75</v>
      </c>
      <c r="AQ59">
        <v>3.5125000000000002</v>
      </c>
      <c r="AR59">
        <v>45570</v>
      </c>
      <c r="AS59">
        <v>489425</v>
      </c>
      <c r="AT59">
        <v>52500</v>
      </c>
    </row>
    <row r="60" spans="1:46">
      <c r="A60" t="s">
        <v>226</v>
      </c>
      <c r="B60">
        <v>17</v>
      </c>
      <c r="C60" t="s">
        <v>245</v>
      </c>
      <c r="D60">
        <v>4</v>
      </c>
      <c r="E60">
        <v>0</v>
      </c>
      <c r="F60">
        <v>0</v>
      </c>
      <c r="G60">
        <v>0.3</v>
      </c>
      <c r="H60">
        <v>0</v>
      </c>
      <c r="I60">
        <v>1</v>
      </c>
      <c r="J60">
        <v>2</v>
      </c>
      <c r="K60">
        <v>2</v>
      </c>
      <c r="L60">
        <v>0</v>
      </c>
      <c r="M60">
        <v>28800</v>
      </c>
      <c r="N60">
        <v>57000</v>
      </c>
      <c r="O60">
        <v>57000</v>
      </c>
      <c r="P60">
        <v>2975</v>
      </c>
      <c r="Q60">
        <v>0</v>
      </c>
      <c r="R60">
        <v>115200</v>
      </c>
      <c r="S60">
        <v>228000</v>
      </c>
      <c r="T60">
        <v>228000</v>
      </c>
      <c r="U60">
        <v>142800</v>
      </c>
      <c r="V60">
        <v>571200</v>
      </c>
      <c r="W60">
        <v>2528000</v>
      </c>
      <c r="X60">
        <v>14.28</v>
      </c>
      <c r="Y60">
        <v>57.12</v>
      </c>
      <c r="Z60">
        <v>17071</v>
      </c>
      <c r="AA60">
        <v>1</v>
      </c>
      <c r="AB60">
        <v>17071</v>
      </c>
      <c r="AC60">
        <v>68284</v>
      </c>
      <c r="AD60">
        <v>250556</v>
      </c>
      <c r="AE60">
        <v>14.2258333333333</v>
      </c>
      <c r="AF60">
        <v>56.9033333333333</v>
      </c>
      <c r="AG60">
        <v>17071</v>
      </c>
      <c r="AH60">
        <v>68284</v>
      </c>
      <c r="AI60">
        <v>250564</v>
      </c>
      <c r="AJ60">
        <v>28.5058333333333</v>
      </c>
      <c r="AK60">
        <v>700</v>
      </c>
      <c r="AL60">
        <v>2800</v>
      </c>
      <c r="AM60">
        <v>2730</v>
      </c>
      <c r="AN60">
        <v>10920</v>
      </c>
      <c r="AO60">
        <v>24.556377349665301</v>
      </c>
      <c r="AP60">
        <v>284.51666666666699</v>
      </c>
      <c r="AQ60">
        <v>4.7419444444444396</v>
      </c>
      <c r="AR60">
        <v>62641</v>
      </c>
      <c r="AS60">
        <v>632225</v>
      </c>
      <c r="AT60">
        <v>57000</v>
      </c>
    </row>
    <row r="61" spans="1:46">
      <c r="A61" t="s">
        <v>226</v>
      </c>
      <c r="B61">
        <v>18</v>
      </c>
      <c r="C61" t="s">
        <v>246</v>
      </c>
      <c r="D61">
        <v>4</v>
      </c>
      <c r="E61">
        <v>0</v>
      </c>
      <c r="F61">
        <v>0</v>
      </c>
      <c r="G61">
        <v>0.25</v>
      </c>
      <c r="H61">
        <v>0</v>
      </c>
      <c r="I61">
        <v>1</v>
      </c>
      <c r="J61">
        <v>2</v>
      </c>
      <c r="K61">
        <v>2</v>
      </c>
      <c r="L61">
        <v>0</v>
      </c>
      <c r="M61">
        <v>32500</v>
      </c>
      <c r="N61">
        <v>62500</v>
      </c>
      <c r="O61">
        <v>62500</v>
      </c>
      <c r="P61">
        <v>3675</v>
      </c>
      <c r="Q61">
        <v>0</v>
      </c>
      <c r="R61">
        <v>130000</v>
      </c>
      <c r="S61">
        <v>250000</v>
      </c>
      <c r="T61">
        <v>250000</v>
      </c>
      <c r="U61">
        <v>157500</v>
      </c>
      <c r="V61">
        <v>630000</v>
      </c>
      <c r="W61">
        <v>3158000</v>
      </c>
      <c r="X61">
        <v>15.75</v>
      </c>
      <c r="Y61">
        <v>63</v>
      </c>
      <c r="Z61">
        <v>23046</v>
      </c>
      <c r="AA61">
        <v>1</v>
      </c>
      <c r="AB61">
        <v>23046</v>
      </c>
      <c r="AC61">
        <v>92184</v>
      </c>
      <c r="AD61">
        <v>342740</v>
      </c>
      <c r="AE61">
        <v>19.204999999999998</v>
      </c>
      <c r="AF61">
        <v>76.819999999999993</v>
      </c>
      <c r="AG61">
        <v>23046</v>
      </c>
      <c r="AH61">
        <v>92184</v>
      </c>
      <c r="AI61">
        <v>342748</v>
      </c>
      <c r="AJ61">
        <v>34.954999999999998</v>
      </c>
      <c r="AK61">
        <v>950</v>
      </c>
      <c r="AL61">
        <v>3800</v>
      </c>
      <c r="AM61">
        <v>3680</v>
      </c>
      <c r="AN61">
        <v>14720</v>
      </c>
      <c r="AO61">
        <v>27.1778000286082</v>
      </c>
      <c r="AP61">
        <v>384.1</v>
      </c>
      <c r="AQ61">
        <v>6.4016666666666699</v>
      </c>
      <c r="AR61">
        <v>85687</v>
      </c>
      <c r="AS61">
        <v>789725</v>
      </c>
      <c r="AT61">
        <v>62500</v>
      </c>
    </row>
    <row r="62" spans="1:46">
      <c r="A62" t="s">
        <v>226</v>
      </c>
      <c r="B62">
        <v>19</v>
      </c>
      <c r="C62" t="s">
        <v>247</v>
      </c>
      <c r="D62">
        <v>4</v>
      </c>
      <c r="E62">
        <v>0</v>
      </c>
      <c r="F62">
        <v>0</v>
      </c>
      <c r="G62">
        <v>0.2</v>
      </c>
      <c r="H62">
        <v>0</v>
      </c>
      <c r="I62">
        <v>1</v>
      </c>
      <c r="J62">
        <v>2</v>
      </c>
      <c r="K62">
        <v>2</v>
      </c>
      <c r="L62">
        <v>0</v>
      </c>
      <c r="M62">
        <v>32000</v>
      </c>
      <c r="N62">
        <v>66000</v>
      </c>
      <c r="O62">
        <v>66000</v>
      </c>
      <c r="P62">
        <v>1625</v>
      </c>
      <c r="Q62">
        <v>0</v>
      </c>
      <c r="R62">
        <v>128000</v>
      </c>
      <c r="S62">
        <v>264000</v>
      </c>
      <c r="T62">
        <v>264000</v>
      </c>
      <c r="U62">
        <v>164000</v>
      </c>
      <c r="V62">
        <v>656000</v>
      </c>
      <c r="W62">
        <v>3814000</v>
      </c>
      <c r="X62">
        <v>16.399999999999999</v>
      </c>
      <c r="Y62">
        <v>65.599999999999994</v>
      </c>
      <c r="Z62">
        <v>34569</v>
      </c>
      <c r="AA62">
        <v>1</v>
      </c>
      <c r="AB62">
        <v>34569</v>
      </c>
      <c r="AC62">
        <v>138276</v>
      </c>
      <c r="AD62">
        <v>481016</v>
      </c>
      <c r="AE62">
        <v>28.807500000000001</v>
      </c>
      <c r="AF62">
        <v>115.23</v>
      </c>
      <c r="AG62">
        <v>34569</v>
      </c>
      <c r="AH62">
        <v>138276</v>
      </c>
      <c r="AI62">
        <v>481024</v>
      </c>
      <c r="AJ62">
        <v>45.207500000000003</v>
      </c>
      <c r="AK62">
        <v>1300</v>
      </c>
      <c r="AL62">
        <v>5200</v>
      </c>
      <c r="AM62">
        <v>4980</v>
      </c>
      <c r="AN62">
        <v>19920</v>
      </c>
      <c r="AO62">
        <v>28.756290438533401</v>
      </c>
      <c r="AP62">
        <v>576.15</v>
      </c>
      <c r="AQ62">
        <v>9.6024999999999991</v>
      </c>
      <c r="AR62">
        <v>120256</v>
      </c>
      <c r="AS62">
        <v>953725</v>
      </c>
      <c r="AT62">
        <v>66000</v>
      </c>
    </row>
    <row r="63" spans="1:46">
      <c r="A63" t="s">
        <v>226</v>
      </c>
      <c r="B63">
        <v>20</v>
      </c>
      <c r="C63" t="s">
        <v>248</v>
      </c>
      <c r="D63">
        <v>4</v>
      </c>
      <c r="E63">
        <v>0</v>
      </c>
      <c r="F63">
        <v>0</v>
      </c>
      <c r="G63">
        <v>0.15</v>
      </c>
      <c r="H63">
        <v>0</v>
      </c>
      <c r="I63">
        <v>1</v>
      </c>
      <c r="J63">
        <v>2</v>
      </c>
      <c r="K63">
        <v>2</v>
      </c>
      <c r="L63">
        <v>0</v>
      </c>
      <c r="M63">
        <v>31500</v>
      </c>
      <c r="N63">
        <v>63000</v>
      </c>
      <c r="O63">
        <v>63000</v>
      </c>
      <c r="P63">
        <v>-1625</v>
      </c>
      <c r="Q63">
        <v>0</v>
      </c>
      <c r="R63">
        <v>126000</v>
      </c>
      <c r="S63">
        <v>252000</v>
      </c>
      <c r="T63">
        <v>252000</v>
      </c>
      <c r="U63">
        <v>157500</v>
      </c>
      <c r="V63">
        <v>630000</v>
      </c>
      <c r="W63">
        <v>4444000</v>
      </c>
      <c r="X63">
        <v>15.75</v>
      </c>
      <c r="Y63">
        <v>63</v>
      </c>
      <c r="Z63">
        <v>51854</v>
      </c>
      <c r="AA63">
        <v>1</v>
      </c>
      <c r="AB63">
        <v>51854</v>
      </c>
      <c r="AC63">
        <v>207416</v>
      </c>
      <c r="AD63">
        <v>688432</v>
      </c>
      <c r="AE63">
        <v>43.211666666666702</v>
      </c>
      <c r="AF63">
        <v>172.84666666666701</v>
      </c>
      <c r="AG63">
        <v>51854</v>
      </c>
      <c r="AH63">
        <v>207416</v>
      </c>
      <c r="AI63">
        <v>688440</v>
      </c>
      <c r="AJ63">
        <v>58.961666666666702</v>
      </c>
      <c r="AK63">
        <v>1750</v>
      </c>
      <c r="AL63">
        <v>7000</v>
      </c>
      <c r="AM63">
        <v>6730</v>
      </c>
      <c r="AN63">
        <v>26920</v>
      </c>
      <c r="AO63">
        <v>29.680300760381002</v>
      </c>
      <c r="AP63">
        <v>864.23333333333301</v>
      </c>
      <c r="AQ63">
        <v>14.403888888888901</v>
      </c>
      <c r="AR63">
        <v>172110</v>
      </c>
      <c r="AS63">
        <v>1111225</v>
      </c>
      <c r="AT63">
        <v>63000</v>
      </c>
    </row>
    <row r="64" spans="1:46">
      <c r="A64" t="s">
        <v>202</v>
      </c>
      <c r="B64">
        <v>1</v>
      </c>
      <c r="C64" t="s">
        <v>203</v>
      </c>
      <c r="D64">
        <v>4</v>
      </c>
      <c r="E64">
        <v>0</v>
      </c>
      <c r="F64">
        <v>0</v>
      </c>
      <c r="G64">
        <v>1</v>
      </c>
      <c r="H64">
        <v>0</v>
      </c>
      <c r="I64">
        <v>1</v>
      </c>
      <c r="J64">
        <v>0</v>
      </c>
      <c r="K64">
        <v>0</v>
      </c>
      <c r="L64">
        <v>0</v>
      </c>
      <c r="M64">
        <v>75</v>
      </c>
      <c r="N64">
        <v>0</v>
      </c>
      <c r="O64">
        <v>0</v>
      </c>
      <c r="P64">
        <v>18.75</v>
      </c>
      <c r="Q64">
        <v>0</v>
      </c>
      <c r="R64">
        <v>300</v>
      </c>
      <c r="S64">
        <v>0</v>
      </c>
      <c r="T64">
        <v>0</v>
      </c>
      <c r="U64">
        <v>75</v>
      </c>
      <c r="V64">
        <v>300</v>
      </c>
      <c r="W64">
        <v>300</v>
      </c>
      <c r="X64">
        <v>7.4999999999999997E-3</v>
      </c>
      <c r="Y64">
        <v>0.03</v>
      </c>
      <c r="Z64">
        <v>6</v>
      </c>
      <c r="AA64">
        <v>1E-3</v>
      </c>
      <c r="AB64">
        <v>1</v>
      </c>
      <c r="AC64">
        <v>4</v>
      </c>
      <c r="AD64">
        <v>4</v>
      </c>
      <c r="AE64">
        <v>8.3333333333333295E-4</v>
      </c>
      <c r="AF64">
        <v>3.3333333333333301E-3</v>
      </c>
      <c r="AG64">
        <v>1</v>
      </c>
      <c r="AH64">
        <v>4</v>
      </c>
      <c r="AI64">
        <v>4</v>
      </c>
      <c r="AJ64">
        <v>8.3333333333333297E-3</v>
      </c>
      <c r="AK64">
        <v>15</v>
      </c>
      <c r="AL64">
        <v>60</v>
      </c>
      <c r="AM64">
        <v>20</v>
      </c>
      <c r="AN64">
        <v>80</v>
      </c>
      <c r="AO64">
        <v>1800</v>
      </c>
      <c r="AP64">
        <v>1.6666666666666701E-2</v>
      </c>
      <c r="AQ64">
        <v>2.7777777777777799E-4</v>
      </c>
      <c r="AR64">
        <v>1</v>
      </c>
      <c r="AS64">
        <v>75</v>
      </c>
      <c r="AT64">
        <v>75</v>
      </c>
    </row>
    <row r="65" spans="1:46">
      <c r="A65" t="s">
        <v>202</v>
      </c>
      <c r="B65">
        <v>2</v>
      </c>
      <c r="C65" t="s">
        <v>207</v>
      </c>
      <c r="D65">
        <v>4</v>
      </c>
      <c r="E65">
        <v>0</v>
      </c>
      <c r="F65">
        <v>0</v>
      </c>
      <c r="G65">
        <v>1</v>
      </c>
      <c r="H65">
        <v>0</v>
      </c>
      <c r="I65">
        <v>1</v>
      </c>
      <c r="J65">
        <v>0</v>
      </c>
      <c r="K65">
        <v>0</v>
      </c>
      <c r="L65">
        <v>0</v>
      </c>
      <c r="M65">
        <v>150</v>
      </c>
      <c r="N65">
        <v>0</v>
      </c>
      <c r="O65">
        <v>0</v>
      </c>
      <c r="P65">
        <v>18.75</v>
      </c>
      <c r="Q65">
        <v>0</v>
      </c>
      <c r="R65">
        <v>600</v>
      </c>
      <c r="S65">
        <v>0</v>
      </c>
      <c r="T65">
        <v>0</v>
      </c>
      <c r="U65">
        <v>150</v>
      </c>
      <c r="V65">
        <v>600</v>
      </c>
      <c r="W65">
        <v>600</v>
      </c>
      <c r="X65">
        <v>1.4999999999999999E-2</v>
      </c>
      <c r="Y65">
        <v>0.06</v>
      </c>
      <c r="Z65">
        <v>12</v>
      </c>
      <c r="AA65">
        <v>6.0999999999999999E-2</v>
      </c>
      <c r="AB65">
        <v>1</v>
      </c>
      <c r="AC65">
        <v>4</v>
      </c>
      <c r="AD65">
        <v>4</v>
      </c>
      <c r="AE65">
        <v>8.3333333333333295E-4</v>
      </c>
      <c r="AF65">
        <v>3.3333333333333301E-3</v>
      </c>
      <c r="AG65">
        <v>1</v>
      </c>
      <c r="AH65">
        <v>4</v>
      </c>
      <c r="AI65">
        <v>8</v>
      </c>
      <c r="AJ65">
        <v>1.58333333333333E-2</v>
      </c>
      <c r="AK65">
        <v>18</v>
      </c>
      <c r="AL65">
        <v>72</v>
      </c>
      <c r="AM65">
        <v>40</v>
      </c>
      <c r="AN65">
        <v>160</v>
      </c>
      <c r="AO65">
        <v>1136.84210526316</v>
      </c>
      <c r="AP65">
        <v>1.6666666666666701E-2</v>
      </c>
      <c r="AQ65">
        <v>2.7777777777777799E-4</v>
      </c>
      <c r="AR65">
        <v>2</v>
      </c>
      <c r="AS65">
        <v>225</v>
      </c>
      <c r="AT65">
        <v>150</v>
      </c>
    </row>
    <row r="66" spans="1:46">
      <c r="A66" t="s">
        <v>202</v>
      </c>
      <c r="B66">
        <v>3</v>
      </c>
      <c r="C66" t="s">
        <v>208</v>
      </c>
      <c r="D66">
        <v>4</v>
      </c>
      <c r="E66">
        <v>0</v>
      </c>
      <c r="F66">
        <v>0</v>
      </c>
      <c r="G66">
        <v>1</v>
      </c>
      <c r="H66">
        <v>0</v>
      </c>
      <c r="I66">
        <v>1</v>
      </c>
      <c r="J66">
        <v>0</v>
      </c>
      <c r="K66">
        <v>0</v>
      </c>
      <c r="L66">
        <v>0</v>
      </c>
      <c r="M66">
        <v>300</v>
      </c>
      <c r="N66">
        <v>0</v>
      </c>
      <c r="O66">
        <v>0</v>
      </c>
      <c r="P66">
        <v>37.5</v>
      </c>
      <c r="Q66">
        <v>0</v>
      </c>
      <c r="R66">
        <v>1200</v>
      </c>
      <c r="S66">
        <v>0</v>
      </c>
      <c r="T66">
        <v>0</v>
      </c>
      <c r="U66">
        <v>300</v>
      </c>
      <c r="V66">
        <v>1200</v>
      </c>
      <c r="W66">
        <v>1200</v>
      </c>
      <c r="X66">
        <v>0.03</v>
      </c>
      <c r="Y66">
        <v>0.12</v>
      </c>
      <c r="Z66">
        <v>24</v>
      </c>
      <c r="AA66">
        <v>0.1</v>
      </c>
      <c r="AB66">
        <v>2</v>
      </c>
      <c r="AC66">
        <v>8</v>
      </c>
      <c r="AD66">
        <v>8</v>
      </c>
      <c r="AE66">
        <v>1.66666666666667E-3</v>
      </c>
      <c r="AF66">
        <v>6.6666666666666697E-3</v>
      </c>
      <c r="AG66">
        <v>2</v>
      </c>
      <c r="AH66">
        <v>8</v>
      </c>
      <c r="AI66">
        <v>16</v>
      </c>
      <c r="AJ66">
        <v>3.1666666666666697E-2</v>
      </c>
      <c r="AK66">
        <v>21</v>
      </c>
      <c r="AL66">
        <v>84</v>
      </c>
      <c r="AM66">
        <v>60</v>
      </c>
      <c r="AN66">
        <v>240</v>
      </c>
      <c r="AO66">
        <v>663.15789473684197</v>
      </c>
      <c r="AP66">
        <v>3.3333333333333298E-2</v>
      </c>
      <c r="AQ66">
        <v>5.5555555555555599E-4</v>
      </c>
      <c r="AR66">
        <v>4</v>
      </c>
      <c r="AS66">
        <v>525</v>
      </c>
      <c r="AT66">
        <v>300</v>
      </c>
    </row>
    <row r="67" spans="1:46">
      <c r="A67" t="s">
        <v>202</v>
      </c>
      <c r="B67">
        <v>4</v>
      </c>
      <c r="C67" t="s">
        <v>209</v>
      </c>
      <c r="D67">
        <v>4</v>
      </c>
      <c r="E67">
        <v>0</v>
      </c>
      <c r="F67">
        <v>0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600</v>
      </c>
      <c r="N67">
        <v>0</v>
      </c>
      <c r="O67">
        <v>0</v>
      </c>
      <c r="P67">
        <v>75</v>
      </c>
      <c r="Q67">
        <v>0</v>
      </c>
      <c r="R67">
        <v>2400</v>
      </c>
      <c r="S67">
        <v>0</v>
      </c>
      <c r="T67">
        <v>0</v>
      </c>
      <c r="U67">
        <v>600</v>
      </c>
      <c r="V67">
        <v>2400</v>
      </c>
      <c r="W67">
        <v>3600</v>
      </c>
      <c r="X67">
        <v>0.06</v>
      </c>
      <c r="Y67">
        <v>0.24</v>
      </c>
      <c r="Z67">
        <v>48</v>
      </c>
      <c r="AA67">
        <v>0.5</v>
      </c>
      <c r="AB67">
        <v>24</v>
      </c>
      <c r="AC67">
        <v>96</v>
      </c>
      <c r="AD67">
        <v>104</v>
      </c>
      <c r="AE67">
        <v>0.02</v>
      </c>
      <c r="AF67">
        <v>0.08</v>
      </c>
      <c r="AG67">
        <v>24</v>
      </c>
      <c r="AH67">
        <v>96</v>
      </c>
      <c r="AI67">
        <v>112</v>
      </c>
      <c r="AJ67">
        <v>0.08</v>
      </c>
      <c r="AK67">
        <v>26</v>
      </c>
      <c r="AL67">
        <v>104</v>
      </c>
      <c r="AM67">
        <v>90</v>
      </c>
      <c r="AN67">
        <v>360</v>
      </c>
      <c r="AO67">
        <v>325</v>
      </c>
      <c r="AP67">
        <v>0.4</v>
      </c>
      <c r="AQ67">
        <v>6.6666666666666697E-3</v>
      </c>
      <c r="AR67">
        <v>28</v>
      </c>
      <c r="AS67">
        <v>1125</v>
      </c>
      <c r="AT67">
        <v>600</v>
      </c>
    </row>
    <row r="68" spans="1:46">
      <c r="A68" t="s">
        <v>202</v>
      </c>
      <c r="B68">
        <v>5</v>
      </c>
      <c r="C68" t="s">
        <v>210</v>
      </c>
      <c r="D68">
        <v>4</v>
      </c>
      <c r="E68">
        <v>0</v>
      </c>
      <c r="F68">
        <v>0</v>
      </c>
      <c r="G68">
        <v>1</v>
      </c>
      <c r="H68">
        <v>0</v>
      </c>
      <c r="I68">
        <v>1</v>
      </c>
      <c r="J68">
        <v>0</v>
      </c>
      <c r="K68">
        <v>0</v>
      </c>
      <c r="L68">
        <v>0</v>
      </c>
      <c r="M68">
        <v>1200</v>
      </c>
      <c r="N68">
        <v>0</v>
      </c>
      <c r="O68">
        <v>0</v>
      </c>
      <c r="P68">
        <v>150</v>
      </c>
      <c r="Q68">
        <v>0</v>
      </c>
      <c r="R68">
        <v>4800</v>
      </c>
      <c r="S68">
        <v>0</v>
      </c>
      <c r="T68">
        <v>0</v>
      </c>
      <c r="U68">
        <v>1200</v>
      </c>
      <c r="V68">
        <v>4800</v>
      </c>
      <c r="W68">
        <v>8400</v>
      </c>
      <c r="X68">
        <v>0.12</v>
      </c>
      <c r="Y68">
        <v>0.48</v>
      </c>
      <c r="Z68">
        <v>96</v>
      </c>
      <c r="AA68">
        <v>0.9</v>
      </c>
      <c r="AB68">
        <v>86</v>
      </c>
      <c r="AC68">
        <v>344</v>
      </c>
      <c r="AD68">
        <v>448</v>
      </c>
      <c r="AE68">
        <v>7.1666666666666698E-2</v>
      </c>
      <c r="AF68">
        <v>0.28666666666666701</v>
      </c>
      <c r="AG68">
        <v>86</v>
      </c>
      <c r="AH68">
        <v>344</v>
      </c>
      <c r="AI68">
        <v>456</v>
      </c>
      <c r="AJ68">
        <v>0.19166666666666701</v>
      </c>
      <c r="AK68">
        <v>31</v>
      </c>
      <c r="AL68">
        <v>124</v>
      </c>
      <c r="AM68">
        <v>120</v>
      </c>
      <c r="AN68">
        <v>480</v>
      </c>
      <c r="AO68">
        <v>161.73913043478299</v>
      </c>
      <c r="AP68">
        <v>1.43333333333333</v>
      </c>
      <c r="AQ68">
        <v>2.38888888888889E-2</v>
      </c>
      <c r="AR68">
        <v>114</v>
      </c>
      <c r="AS68">
        <v>2325</v>
      </c>
      <c r="AT68">
        <v>1200</v>
      </c>
    </row>
    <row r="69" spans="1:46">
      <c r="A69" t="s">
        <v>202</v>
      </c>
      <c r="B69">
        <v>6</v>
      </c>
      <c r="C69" t="s">
        <v>211</v>
      </c>
      <c r="D69">
        <v>4</v>
      </c>
      <c r="E69">
        <v>0</v>
      </c>
      <c r="F69">
        <v>0</v>
      </c>
      <c r="G69">
        <v>0.9</v>
      </c>
      <c r="H69">
        <v>0</v>
      </c>
      <c r="I69">
        <v>1</v>
      </c>
      <c r="J69">
        <v>1</v>
      </c>
      <c r="K69">
        <v>0</v>
      </c>
      <c r="L69">
        <v>0</v>
      </c>
      <c r="M69">
        <v>1080</v>
      </c>
      <c r="N69">
        <v>1080</v>
      </c>
      <c r="O69">
        <v>0</v>
      </c>
      <c r="P69">
        <v>240</v>
      </c>
      <c r="Q69">
        <v>0</v>
      </c>
      <c r="R69">
        <v>4320</v>
      </c>
      <c r="S69">
        <v>4320</v>
      </c>
      <c r="T69">
        <v>0</v>
      </c>
      <c r="U69">
        <v>2160</v>
      </c>
      <c r="V69">
        <v>8640</v>
      </c>
      <c r="W69">
        <v>17040</v>
      </c>
      <c r="X69">
        <v>0.216</v>
      </c>
      <c r="Y69">
        <v>0.86399999999999999</v>
      </c>
      <c r="Z69">
        <v>192</v>
      </c>
      <c r="AA69">
        <v>1</v>
      </c>
      <c r="AB69">
        <v>192</v>
      </c>
      <c r="AC69">
        <v>768</v>
      </c>
      <c r="AD69">
        <v>1216</v>
      </c>
      <c r="AE69">
        <v>0.16</v>
      </c>
      <c r="AF69">
        <v>0.64</v>
      </c>
      <c r="AG69">
        <v>192</v>
      </c>
      <c r="AH69">
        <v>768</v>
      </c>
      <c r="AI69">
        <v>1224</v>
      </c>
      <c r="AJ69">
        <v>0.376</v>
      </c>
      <c r="AK69">
        <v>37</v>
      </c>
      <c r="AL69">
        <v>148</v>
      </c>
      <c r="AM69">
        <v>160</v>
      </c>
      <c r="AN69">
        <v>640</v>
      </c>
      <c r="AO69">
        <v>98.404255319148902</v>
      </c>
      <c r="AP69">
        <v>3.2</v>
      </c>
      <c r="AQ69">
        <v>5.3333333333333302E-2</v>
      </c>
      <c r="AR69">
        <v>306</v>
      </c>
      <c r="AS69">
        <v>4485</v>
      </c>
      <c r="AT69">
        <v>1080</v>
      </c>
    </row>
    <row r="70" spans="1:46">
      <c r="A70" t="s">
        <v>202</v>
      </c>
      <c r="B70">
        <v>7</v>
      </c>
      <c r="C70" t="s">
        <v>212</v>
      </c>
      <c r="D70">
        <v>4</v>
      </c>
      <c r="E70">
        <v>0</v>
      </c>
      <c r="F70">
        <v>0</v>
      </c>
      <c r="G70">
        <v>0.8</v>
      </c>
      <c r="H70">
        <v>0</v>
      </c>
      <c r="I70">
        <v>1</v>
      </c>
      <c r="J70">
        <v>1</v>
      </c>
      <c r="K70">
        <v>0</v>
      </c>
      <c r="L70">
        <v>0</v>
      </c>
      <c r="M70">
        <v>1920</v>
      </c>
      <c r="N70">
        <v>1920</v>
      </c>
      <c r="O70">
        <v>0</v>
      </c>
      <c r="P70">
        <v>420</v>
      </c>
      <c r="Q70">
        <v>0</v>
      </c>
      <c r="R70">
        <v>7680</v>
      </c>
      <c r="S70">
        <v>7680</v>
      </c>
      <c r="T70">
        <v>0</v>
      </c>
      <c r="U70">
        <v>3840</v>
      </c>
      <c r="V70">
        <v>15360</v>
      </c>
      <c r="W70">
        <v>32400</v>
      </c>
      <c r="X70">
        <v>0.38400000000000001</v>
      </c>
      <c r="Y70">
        <v>1.536</v>
      </c>
      <c r="Z70">
        <v>384</v>
      </c>
      <c r="AA70">
        <v>1</v>
      </c>
      <c r="AB70">
        <v>384</v>
      </c>
      <c r="AC70">
        <v>1536</v>
      </c>
      <c r="AD70">
        <v>2752</v>
      </c>
      <c r="AE70">
        <v>0.32</v>
      </c>
      <c r="AF70">
        <v>1.28</v>
      </c>
      <c r="AG70">
        <v>384</v>
      </c>
      <c r="AH70">
        <v>1536</v>
      </c>
      <c r="AI70">
        <v>2760</v>
      </c>
      <c r="AJ70">
        <v>0.70399999999999996</v>
      </c>
      <c r="AK70">
        <v>44</v>
      </c>
      <c r="AL70">
        <v>176</v>
      </c>
      <c r="AM70">
        <v>200</v>
      </c>
      <c r="AN70">
        <v>800</v>
      </c>
      <c r="AO70">
        <v>62.5</v>
      </c>
      <c r="AP70">
        <v>6.4</v>
      </c>
      <c r="AQ70">
        <v>0.10666666666666701</v>
      </c>
      <c r="AR70">
        <v>690</v>
      </c>
      <c r="AS70">
        <v>8325</v>
      </c>
      <c r="AT70">
        <v>1920</v>
      </c>
    </row>
    <row r="71" spans="1:46">
      <c r="A71" t="s">
        <v>202</v>
      </c>
      <c r="B71">
        <v>8</v>
      </c>
      <c r="C71" t="s">
        <v>213</v>
      </c>
      <c r="D71">
        <v>4</v>
      </c>
      <c r="E71">
        <v>0</v>
      </c>
      <c r="F71">
        <v>0</v>
      </c>
      <c r="G71">
        <v>0.75</v>
      </c>
      <c r="H71">
        <v>0</v>
      </c>
      <c r="I71">
        <v>1</v>
      </c>
      <c r="J71">
        <v>1</v>
      </c>
      <c r="K71">
        <v>0</v>
      </c>
      <c r="L71">
        <v>0</v>
      </c>
      <c r="M71">
        <v>3600</v>
      </c>
      <c r="N71">
        <v>3600</v>
      </c>
      <c r="O71">
        <v>0</v>
      </c>
      <c r="P71">
        <v>840</v>
      </c>
      <c r="Q71">
        <v>0</v>
      </c>
      <c r="R71">
        <v>14400</v>
      </c>
      <c r="S71">
        <v>14400</v>
      </c>
      <c r="T71">
        <v>0</v>
      </c>
      <c r="U71">
        <v>7200</v>
      </c>
      <c r="V71">
        <v>28800</v>
      </c>
      <c r="W71">
        <v>61200</v>
      </c>
      <c r="X71">
        <v>0.72</v>
      </c>
      <c r="Y71">
        <v>2.88</v>
      </c>
      <c r="Z71">
        <v>768</v>
      </c>
      <c r="AA71">
        <v>1</v>
      </c>
      <c r="AB71">
        <v>768</v>
      </c>
      <c r="AC71">
        <v>3072</v>
      </c>
      <c r="AD71">
        <v>5824</v>
      </c>
      <c r="AE71">
        <v>0.64</v>
      </c>
      <c r="AF71">
        <v>2.56</v>
      </c>
      <c r="AG71">
        <v>768</v>
      </c>
      <c r="AH71">
        <v>3072</v>
      </c>
      <c r="AI71">
        <v>5832</v>
      </c>
      <c r="AJ71">
        <v>1.36</v>
      </c>
      <c r="AK71">
        <v>55</v>
      </c>
      <c r="AL71">
        <v>220</v>
      </c>
      <c r="AM71">
        <v>260</v>
      </c>
      <c r="AN71">
        <v>1040</v>
      </c>
      <c r="AO71">
        <v>40.441176470588204</v>
      </c>
      <c r="AP71">
        <v>12.8</v>
      </c>
      <c r="AQ71">
        <v>0.21333333333333299</v>
      </c>
      <c r="AR71">
        <v>1458</v>
      </c>
      <c r="AS71">
        <v>15525</v>
      </c>
      <c r="AT71">
        <v>3600</v>
      </c>
    </row>
    <row r="72" spans="1:46">
      <c r="A72" t="s">
        <v>202</v>
      </c>
      <c r="B72">
        <v>9</v>
      </c>
      <c r="C72" t="s">
        <v>214</v>
      </c>
      <c r="D72">
        <v>4</v>
      </c>
      <c r="E72">
        <v>0</v>
      </c>
      <c r="F72">
        <v>0</v>
      </c>
      <c r="G72">
        <v>0.7</v>
      </c>
      <c r="H72">
        <v>0</v>
      </c>
      <c r="I72">
        <v>1</v>
      </c>
      <c r="J72">
        <v>1</v>
      </c>
      <c r="K72">
        <v>0</v>
      </c>
      <c r="L72">
        <v>0</v>
      </c>
      <c r="M72">
        <v>5740</v>
      </c>
      <c r="N72">
        <v>5740</v>
      </c>
      <c r="O72">
        <v>0</v>
      </c>
      <c r="P72">
        <v>1070</v>
      </c>
      <c r="Q72">
        <v>0</v>
      </c>
      <c r="R72">
        <v>22960</v>
      </c>
      <c r="S72">
        <v>22960</v>
      </c>
      <c r="T72">
        <v>0</v>
      </c>
      <c r="U72">
        <v>11480</v>
      </c>
      <c r="V72">
        <v>45920</v>
      </c>
      <c r="W72">
        <v>107120</v>
      </c>
      <c r="X72">
        <v>1.1479999999999999</v>
      </c>
      <c r="Y72">
        <v>4.5919999999999996</v>
      </c>
      <c r="Z72">
        <v>1306</v>
      </c>
      <c r="AA72">
        <v>1</v>
      </c>
      <c r="AB72">
        <v>1306</v>
      </c>
      <c r="AC72">
        <v>5224</v>
      </c>
      <c r="AD72">
        <v>11048</v>
      </c>
      <c r="AE72">
        <v>1.08833333333333</v>
      </c>
      <c r="AF72">
        <v>4.3533333333333299</v>
      </c>
      <c r="AG72">
        <v>1306</v>
      </c>
      <c r="AH72">
        <v>5224</v>
      </c>
      <c r="AI72">
        <v>11056</v>
      </c>
      <c r="AJ72">
        <v>2.23633333333333</v>
      </c>
      <c r="AK72">
        <v>65</v>
      </c>
      <c r="AL72">
        <v>260</v>
      </c>
      <c r="AM72">
        <v>330</v>
      </c>
      <c r="AN72">
        <v>1320</v>
      </c>
      <c r="AO72">
        <v>29.065434490982302</v>
      </c>
      <c r="AP72">
        <v>21.766666666666701</v>
      </c>
      <c r="AQ72">
        <v>0.36277777777777798</v>
      </c>
      <c r="AR72">
        <v>2764</v>
      </c>
      <c r="AS72">
        <v>27005</v>
      </c>
      <c r="AT72">
        <v>5740</v>
      </c>
    </row>
    <row r="73" spans="1:46">
      <c r="A73" t="s">
        <v>202</v>
      </c>
      <c r="B73">
        <v>10</v>
      </c>
      <c r="C73" t="s">
        <v>215</v>
      </c>
      <c r="D73">
        <v>4</v>
      </c>
      <c r="E73">
        <v>0</v>
      </c>
      <c r="F73">
        <v>0</v>
      </c>
      <c r="G73">
        <v>0.65</v>
      </c>
      <c r="H73">
        <v>0</v>
      </c>
      <c r="I73">
        <v>1</v>
      </c>
      <c r="J73">
        <v>1</v>
      </c>
      <c r="K73">
        <v>0</v>
      </c>
      <c r="L73">
        <v>0</v>
      </c>
      <c r="M73">
        <v>9100</v>
      </c>
      <c r="N73">
        <v>9100</v>
      </c>
      <c r="O73">
        <v>0</v>
      </c>
      <c r="P73">
        <v>1680</v>
      </c>
      <c r="Q73">
        <v>0</v>
      </c>
      <c r="R73">
        <v>36400</v>
      </c>
      <c r="S73">
        <v>36400</v>
      </c>
      <c r="T73">
        <v>0</v>
      </c>
      <c r="U73">
        <v>18200</v>
      </c>
      <c r="V73">
        <v>72800</v>
      </c>
      <c r="W73">
        <v>179920</v>
      </c>
      <c r="X73">
        <v>1.82</v>
      </c>
      <c r="Y73">
        <v>7.28</v>
      </c>
      <c r="Z73">
        <v>2089</v>
      </c>
      <c r="AA73">
        <v>1</v>
      </c>
      <c r="AB73">
        <v>2089</v>
      </c>
      <c r="AC73">
        <v>8356</v>
      </c>
      <c r="AD73">
        <v>19404</v>
      </c>
      <c r="AE73">
        <v>1.7408333333333299</v>
      </c>
      <c r="AF73">
        <v>6.9633333333333303</v>
      </c>
      <c r="AG73">
        <v>2089</v>
      </c>
      <c r="AH73">
        <v>8356</v>
      </c>
      <c r="AI73">
        <v>19412</v>
      </c>
      <c r="AJ73">
        <v>3.56083333333333</v>
      </c>
      <c r="AK73">
        <v>80</v>
      </c>
      <c r="AL73">
        <v>320</v>
      </c>
      <c r="AM73">
        <v>410</v>
      </c>
      <c r="AN73">
        <v>1640</v>
      </c>
      <c r="AO73">
        <v>22.466651064825701</v>
      </c>
      <c r="AP73">
        <v>34.816666666666698</v>
      </c>
      <c r="AQ73">
        <v>0.580277777777778</v>
      </c>
      <c r="AR73">
        <v>4853</v>
      </c>
      <c r="AS73">
        <v>45205</v>
      </c>
      <c r="AT73">
        <v>9100</v>
      </c>
    </row>
    <row r="74" spans="1:46">
      <c r="A74" t="s">
        <v>202</v>
      </c>
      <c r="B74">
        <v>11</v>
      </c>
      <c r="C74" t="s">
        <v>216</v>
      </c>
      <c r="D74">
        <v>4</v>
      </c>
      <c r="E74">
        <v>0</v>
      </c>
      <c r="F74">
        <v>0</v>
      </c>
      <c r="G74">
        <v>0.6</v>
      </c>
      <c r="H74">
        <v>0</v>
      </c>
      <c r="I74">
        <v>1</v>
      </c>
      <c r="J74">
        <v>1</v>
      </c>
      <c r="K74">
        <v>1</v>
      </c>
      <c r="L74">
        <v>0</v>
      </c>
      <c r="M74">
        <v>9000</v>
      </c>
      <c r="N74">
        <v>9000</v>
      </c>
      <c r="O74">
        <v>9000</v>
      </c>
      <c r="P74">
        <v>2200</v>
      </c>
      <c r="Q74">
        <v>0</v>
      </c>
      <c r="R74">
        <v>36000</v>
      </c>
      <c r="S74">
        <v>36000</v>
      </c>
      <c r="T74">
        <v>36000</v>
      </c>
      <c r="U74">
        <v>27000</v>
      </c>
      <c r="V74">
        <v>108000</v>
      </c>
      <c r="W74">
        <v>287920</v>
      </c>
      <c r="X74">
        <v>2.7</v>
      </c>
      <c r="Y74">
        <v>10.8</v>
      </c>
      <c r="Z74">
        <v>2820</v>
      </c>
      <c r="AA74">
        <v>1</v>
      </c>
      <c r="AB74">
        <v>2820</v>
      </c>
      <c r="AC74">
        <v>11280</v>
      </c>
      <c r="AD74">
        <v>30684</v>
      </c>
      <c r="AE74">
        <v>2.35</v>
      </c>
      <c r="AF74">
        <v>9.4</v>
      </c>
      <c r="AG74">
        <v>2820</v>
      </c>
      <c r="AH74">
        <v>11280</v>
      </c>
      <c r="AI74">
        <v>30692</v>
      </c>
      <c r="AJ74">
        <v>5.05</v>
      </c>
      <c r="AK74">
        <v>110</v>
      </c>
      <c r="AL74">
        <v>440</v>
      </c>
      <c r="AM74">
        <v>520</v>
      </c>
      <c r="AN74">
        <v>2080</v>
      </c>
      <c r="AO74">
        <v>21.782178217821802</v>
      </c>
      <c r="AP74">
        <v>47</v>
      </c>
      <c r="AQ74">
        <v>0.78333333333333299</v>
      </c>
      <c r="AR74">
        <v>7673</v>
      </c>
      <c r="AS74">
        <v>72205</v>
      </c>
      <c r="AT74">
        <v>9000</v>
      </c>
    </row>
    <row r="75" spans="1:46">
      <c r="A75" t="s">
        <v>202</v>
      </c>
      <c r="B75">
        <v>12</v>
      </c>
      <c r="C75" t="s">
        <v>217</v>
      </c>
      <c r="D75">
        <v>4</v>
      </c>
      <c r="E75">
        <v>0</v>
      </c>
      <c r="F75">
        <v>0</v>
      </c>
      <c r="G75">
        <v>0.55000000000000004</v>
      </c>
      <c r="H75">
        <v>0</v>
      </c>
      <c r="I75">
        <v>1</v>
      </c>
      <c r="J75">
        <v>1</v>
      </c>
      <c r="K75">
        <v>1</v>
      </c>
      <c r="L75">
        <v>0</v>
      </c>
      <c r="M75">
        <v>13200</v>
      </c>
      <c r="N75">
        <v>13200</v>
      </c>
      <c r="O75">
        <v>13200</v>
      </c>
      <c r="P75">
        <v>3150</v>
      </c>
      <c r="Q75">
        <v>0</v>
      </c>
      <c r="R75">
        <v>52800</v>
      </c>
      <c r="S75">
        <v>52800</v>
      </c>
      <c r="T75">
        <v>52800</v>
      </c>
      <c r="U75">
        <v>39600</v>
      </c>
      <c r="V75">
        <v>158400</v>
      </c>
      <c r="W75">
        <v>446320</v>
      </c>
      <c r="X75">
        <v>3.96</v>
      </c>
      <c r="Y75">
        <v>15.84</v>
      </c>
      <c r="Z75">
        <v>3807</v>
      </c>
      <c r="AA75">
        <v>1</v>
      </c>
      <c r="AB75">
        <v>3807</v>
      </c>
      <c r="AC75">
        <v>15228</v>
      </c>
      <c r="AD75">
        <v>45912</v>
      </c>
      <c r="AE75">
        <v>3.1724999999999999</v>
      </c>
      <c r="AF75">
        <v>12.69</v>
      </c>
      <c r="AG75">
        <v>3807</v>
      </c>
      <c r="AH75">
        <v>15228</v>
      </c>
      <c r="AI75">
        <v>45920</v>
      </c>
      <c r="AJ75">
        <v>7.1325000000000003</v>
      </c>
      <c r="AK75">
        <v>150</v>
      </c>
      <c r="AL75">
        <v>600</v>
      </c>
      <c r="AM75">
        <v>670</v>
      </c>
      <c r="AN75">
        <v>2680</v>
      </c>
      <c r="AO75">
        <v>21.030494216614098</v>
      </c>
      <c r="AP75">
        <v>63.45</v>
      </c>
      <c r="AQ75">
        <v>1.0575000000000001</v>
      </c>
      <c r="AR75">
        <v>11480</v>
      </c>
      <c r="AS75">
        <v>111805</v>
      </c>
      <c r="AT75">
        <v>13200</v>
      </c>
    </row>
    <row r="76" spans="1:46">
      <c r="A76" t="s">
        <v>202</v>
      </c>
      <c r="B76">
        <v>13</v>
      </c>
      <c r="C76" t="s">
        <v>218</v>
      </c>
      <c r="D76">
        <v>4</v>
      </c>
      <c r="E76">
        <v>0</v>
      </c>
      <c r="F76">
        <v>0</v>
      </c>
      <c r="G76">
        <v>0.5</v>
      </c>
      <c r="H76">
        <v>0</v>
      </c>
      <c r="I76">
        <v>1</v>
      </c>
      <c r="J76">
        <v>1</v>
      </c>
      <c r="K76">
        <v>1</v>
      </c>
      <c r="L76">
        <v>0</v>
      </c>
      <c r="M76">
        <v>19000</v>
      </c>
      <c r="N76">
        <v>19000</v>
      </c>
      <c r="O76">
        <v>19000</v>
      </c>
      <c r="P76">
        <v>4350</v>
      </c>
      <c r="Q76">
        <v>0</v>
      </c>
      <c r="R76">
        <v>76000</v>
      </c>
      <c r="S76">
        <v>76000</v>
      </c>
      <c r="T76">
        <v>76000</v>
      </c>
      <c r="U76">
        <v>57000</v>
      </c>
      <c r="V76">
        <v>228000</v>
      </c>
      <c r="W76">
        <v>674320</v>
      </c>
      <c r="X76">
        <v>5.7</v>
      </c>
      <c r="Y76">
        <v>22.8</v>
      </c>
      <c r="Z76">
        <v>5140</v>
      </c>
      <c r="AA76">
        <v>1</v>
      </c>
      <c r="AB76">
        <v>5140</v>
      </c>
      <c r="AC76">
        <v>20560</v>
      </c>
      <c r="AD76">
        <v>66472</v>
      </c>
      <c r="AE76">
        <v>4.2833333333333297</v>
      </c>
      <c r="AF76">
        <v>17.133333333333301</v>
      </c>
      <c r="AG76">
        <v>5140</v>
      </c>
      <c r="AH76">
        <v>20560</v>
      </c>
      <c r="AI76">
        <v>66480</v>
      </c>
      <c r="AJ76">
        <v>9.9833333333333307</v>
      </c>
      <c r="AK76">
        <v>205</v>
      </c>
      <c r="AL76">
        <v>820</v>
      </c>
      <c r="AM76">
        <v>880</v>
      </c>
      <c r="AN76">
        <v>3520</v>
      </c>
      <c r="AO76">
        <v>20.534223706176999</v>
      </c>
      <c r="AP76">
        <v>85.6666666666667</v>
      </c>
      <c r="AQ76">
        <v>1.42777777777778</v>
      </c>
      <c r="AR76">
        <v>16620</v>
      </c>
      <c r="AS76">
        <v>168805</v>
      </c>
      <c r="AT76">
        <v>19000</v>
      </c>
    </row>
    <row r="77" spans="1:46">
      <c r="A77" t="s">
        <v>202</v>
      </c>
      <c r="B77">
        <v>14</v>
      </c>
      <c r="C77" t="s">
        <v>219</v>
      </c>
      <c r="D77">
        <v>4</v>
      </c>
      <c r="E77">
        <v>0</v>
      </c>
      <c r="F77">
        <v>0</v>
      </c>
      <c r="G77">
        <v>0.45</v>
      </c>
      <c r="H77">
        <v>0</v>
      </c>
      <c r="I77">
        <v>1</v>
      </c>
      <c r="J77">
        <v>1</v>
      </c>
      <c r="K77">
        <v>1</v>
      </c>
      <c r="L77">
        <v>0</v>
      </c>
      <c r="M77">
        <v>27450</v>
      </c>
      <c r="N77">
        <v>27450</v>
      </c>
      <c r="O77">
        <v>27450</v>
      </c>
      <c r="P77">
        <v>6337.5</v>
      </c>
      <c r="Q77">
        <v>0</v>
      </c>
      <c r="R77">
        <v>109800</v>
      </c>
      <c r="S77">
        <v>109800</v>
      </c>
      <c r="T77">
        <v>109800</v>
      </c>
      <c r="U77">
        <v>82350</v>
      </c>
      <c r="V77">
        <v>329400</v>
      </c>
      <c r="W77">
        <v>1003720</v>
      </c>
      <c r="X77">
        <v>8.2349999999999994</v>
      </c>
      <c r="Y77">
        <v>32.94</v>
      </c>
      <c r="Z77">
        <v>6938</v>
      </c>
      <c r="AA77">
        <v>1</v>
      </c>
      <c r="AB77">
        <v>6938</v>
      </c>
      <c r="AC77">
        <v>27752</v>
      </c>
      <c r="AD77">
        <v>94224</v>
      </c>
      <c r="AE77">
        <v>5.7816666666666698</v>
      </c>
      <c r="AF77">
        <v>23.126666666666701</v>
      </c>
      <c r="AG77">
        <v>6938</v>
      </c>
      <c r="AH77">
        <v>27752</v>
      </c>
      <c r="AI77">
        <v>94232</v>
      </c>
      <c r="AJ77">
        <v>14.016666666666699</v>
      </c>
      <c r="AK77">
        <v>275</v>
      </c>
      <c r="AL77">
        <v>1100</v>
      </c>
      <c r="AM77">
        <v>1160</v>
      </c>
      <c r="AN77">
        <v>4640</v>
      </c>
      <c r="AO77">
        <v>19.619500594530301</v>
      </c>
      <c r="AP77">
        <v>115.633333333333</v>
      </c>
      <c r="AQ77">
        <v>1.9272222222222199</v>
      </c>
      <c r="AR77">
        <v>23558</v>
      </c>
      <c r="AS77">
        <v>251155</v>
      </c>
      <c r="AT77">
        <v>27450</v>
      </c>
    </row>
    <row r="78" spans="1:46">
      <c r="A78" t="s">
        <v>202</v>
      </c>
      <c r="B78">
        <v>15</v>
      </c>
      <c r="C78" t="s">
        <v>220</v>
      </c>
      <c r="D78">
        <v>4</v>
      </c>
      <c r="E78">
        <v>0</v>
      </c>
      <c r="F78">
        <v>0</v>
      </c>
      <c r="G78">
        <v>0.4</v>
      </c>
      <c r="H78">
        <v>0</v>
      </c>
      <c r="I78">
        <v>1</v>
      </c>
      <c r="J78">
        <v>1</v>
      </c>
      <c r="K78">
        <v>1</v>
      </c>
      <c r="L78">
        <v>0</v>
      </c>
      <c r="M78">
        <v>36400</v>
      </c>
      <c r="N78">
        <v>36400</v>
      </c>
      <c r="O78">
        <v>36400</v>
      </c>
      <c r="P78">
        <v>6712.5</v>
      </c>
      <c r="Q78">
        <v>0</v>
      </c>
      <c r="R78">
        <v>145600</v>
      </c>
      <c r="S78">
        <v>145600</v>
      </c>
      <c r="T78">
        <v>145600</v>
      </c>
      <c r="U78">
        <v>109200</v>
      </c>
      <c r="V78">
        <v>436800</v>
      </c>
      <c r="W78">
        <v>1440520</v>
      </c>
      <c r="X78">
        <v>10.92</v>
      </c>
      <c r="Y78">
        <v>43.68</v>
      </c>
      <c r="Z78">
        <v>9367</v>
      </c>
      <c r="AA78">
        <v>1</v>
      </c>
      <c r="AB78">
        <v>9367</v>
      </c>
      <c r="AC78">
        <v>37468</v>
      </c>
      <c r="AD78">
        <v>131692</v>
      </c>
      <c r="AE78">
        <v>7.8058333333333296</v>
      </c>
      <c r="AF78">
        <v>31.223333333333301</v>
      </c>
      <c r="AG78">
        <v>9367</v>
      </c>
      <c r="AH78">
        <v>37468</v>
      </c>
      <c r="AI78">
        <v>131700</v>
      </c>
      <c r="AJ78">
        <v>18.725833333333298</v>
      </c>
      <c r="AK78">
        <v>370</v>
      </c>
      <c r="AL78">
        <v>1480</v>
      </c>
      <c r="AM78">
        <v>1530</v>
      </c>
      <c r="AN78">
        <v>6120</v>
      </c>
      <c r="AO78">
        <v>19.758800231409399</v>
      </c>
      <c r="AP78">
        <v>156.11666666666699</v>
      </c>
      <c r="AQ78">
        <v>2.60194444444444</v>
      </c>
      <c r="AR78">
        <v>32925</v>
      </c>
      <c r="AS78">
        <v>360355</v>
      </c>
      <c r="AT78">
        <v>36400</v>
      </c>
    </row>
    <row r="79" spans="1:46">
      <c r="A79" t="s">
        <v>202</v>
      </c>
      <c r="B79">
        <v>16</v>
      </c>
      <c r="C79" t="s">
        <v>221</v>
      </c>
      <c r="D79">
        <v>4</v>
      </c>
      <c r="E79">
        <v>0</v>
      </c>
      <c r="F79">
        <v>0</v>
      </c>
      <c r="G79">
        <v>0.35</v>
      </c>
      <c r="H79">
        <v>0</v>
      </c>
      <c r="I79">
        <v>1</v>
      </c>
      <c r="J79">
        <v>1</v>
      </c>
      <c r="K79">
        <v>1</v>
      </c>
      <c r="L79">
        <v>0</v>
      </c>
      <c r="M79">
        <v>42000</v>
      </c>
      <c r="N79">
        <v>42000</v>
      </c>
      <c r="O79">
        <v>42000</v>
      </c>
      <c r="P79">
        <v>4200</v>
      </c>
      <c r="Q79">
        <v>0</v>
      </c>
      <c r="R79">
        <v>168000</v>
      </c>
      <c r="S79">
        <v>168000</v>
      </c>
      <c r="T79">
        <v>168000</v>
      </c>
      <c r="U79">
        <v>126000</v>
      </c>
      <c r="V79">
        <v>504000</v>
      </c>
      <c r="W79">
        <v>1944520</v>
      </c>
      <c r="X79">
        <v>12.6</v>
      </c>
      <c r="Y79">
        <v>50.4</v>
      </c>
      <c r="Z79">
        <v>12645</v>
      </c>
      <c r="AA79">
        <v>1</v>
      </c>
      <c r="AB79">
        <v>12645</v>
      </c>
      <c r="AC79">
        <v>50580</v>
      </c>
      <c r="AD79">
        <v>182272</v>
      </c>
      <c r="AE79">
        <v>10.5375</v>
      </c>
      <c r="AF79">
        <v>42.15</v>
      </c>
      <c r="AG79">
        <v>12645</v>
      </c>
      <c r="AH79">
        <v>50580</v>
      </c>
      <c r="AI79">
        <v>182280</v>
      </c>
      <c r="AJ79">
        <v>23.137499999999999</v>
      </c>
      <c r="AK79">
        <v>500</v>
      </c>
      <c r="AL79">
        <v>2000</v>
      </c>
      <c r="AM79">
        <v>2030</v>
      </c>
      <c r="AN79">
        <v>8120</v>
      </c>
      <c r="AO79">
        <v>21.609940572663401</v>
      </c>
      <c r="AP79">
        <v>210.75</v>
      </c>
      <c r="AQ79">
        <v>3.5125000000000002</v>
      </c>
      <c r="AR79">
        <v>45570</v>
      </c>
      <c r="AS79">
        <v>486355</v>
      </c>
      <c r="AT79">
        <v>42000</v>
      </c>
    </row>
    <row r="80" spans="1:46">
      <c r="A80" t="s">
        <v>202</v>
      </c>
      <c r="B80">
        <v>17</v>
      </c>
      <c r="C80" t="s">
        <v>222</v>
      </c>
      <c r="D80">
        <v>4</v>
      </c>
      <c r="E80">
        <v>0</v>
      </c>
      <c r="F80">
        <v>0</v>
      </c>
      <c r="G80">
        <v>0.3</v>
      </c>
      <c r="H80">
        <v>0</v>
      </c>
      <c r="I80">
        <v>1</v>
      </c>
      <c r="J80">
        <v>1</v>
      </c>
      <c r="K80">
        <v>1</v>
      </c>
      <c r="L80">
        <v>0</v>
      </c>
      <c r="M80">
        <v>48000</v>
      </c>
      <c r="N80">
        <v>48000</v>
      </c>
      <c r="O80">
        <v>48000</v>
      </c>
      <c r="P80">
        <v>4500</v>
      </c>
      <c r="Q80">
        <v>0</v>
      </c>
      <c r="R80">
        <v>192000</v>
      </c>
      <c r="S80">
        <v>192000</v>
      </c>
      <c r="T80">
        <v>192000</v>
      </c>
      <c r="U80">
        <v>144000</v>
      </c>
      <c r="V80">
        <v>576000</v>
      </c>
      <c r="W80">
        <v>2520520</v>
      </c>
      <c r="X80">
        <v>14.4</v>
      </c>
      <c r="Y80">
        <v>57.6</v>
      </c>
      <c r="Z80">
        <v>17071</v>
      </c>
      <c r="AA80">
        <v>1</v>
      </c>
      <c r="AB80">
        <v>17071</v>
      </c>
      <c r="AC80">
        <v>68284</v>
      </c>
      <c r="AD80">
        <v>250556</v>
      </c>
      <c r="AE80">
        <v>14.2258333333333</v>
      </c>
      <c r="AF80">
        <v>56.9033333333333</v>
      </c>
      <c r="AG80">
        <v>17071</v>
      </c>
      <c r="AH80">
        <v>68284</v>
      </c>
      <c r="AI80">
        <v>250564</v>
      </c>
      <c r="AJ80">
        <v>28.625833333333301</v>
      </c>
      <c r="AK80">
        <v>700</v>
      </c>
      <c r="AL80">
        <v>2800</v>
      </c>
      <c r="AM80">
        <v>2730</v>
      </c>
      <c r="AN80">
        <v>10920</v>
      </c>
      <c r="AO80">
        <v>24.4534365811767</v>
      </c>
      <c r="AP80">
        <v>284.51666666666699</v>
      </c>
      <c r="AQ80">
        <v>4.7419444444444396</v>
      </c>
      <c r="AR80">
        <v>62641</v>
      </c>
      <c r="AS80">
        <v>630355</v>
      </c>
      <c r="AT80">
        <v>48000</v>
      </c>
    </row>
    <row r="81" spans="1:46">
      <c r="A81" t="s">
        <v>202</v>
      </c>
      <c r="B81">
        <v>18</v>
      </c>
      <c r="C81" t="s">
        <v>223</v>
      </c>
      <c r="D81">
        <v>4</v>
      </c>
      <c r="E81">
        <v>0</v>
      </c>
      <c r="F81">
        <v>0</v>
      </c>
      <c r="G81">
        <v>0.25</v>
      </c>
      <c r="H81">
        <v>0</v>
      </c>
      <c r="I81">
        <v>1</v>
      </c>
      <c r="J81">
        <v>1</v>
      </c>
      <c r="K81">
        <v>1</v>
      </c>
      <c r="L81">
        <v>0</v>
      </c>
      <c r="M81">
        <v>52500</v>
      </c>
      <c r="N81">
        <v>52500</v>
      </c>
      <c r="O81">
        <v>52500</v>
      </c>
      <c r="P81">
        <v>3375</v>
      </c>
      <c r="Q81">
        <v>0</v>
      </c>
      <c r="R81">
        <v>210000</v>
      </c>
      <c r="S81">
        <v>210000</v>
      </c>
      <c r="T81">
        <v>210000</v>
      </c>
      <c r="U81">
        <v>157500</v>
      </c>
      <c r="V81">
        <v>630000</v>
      </c>
      <c r="W81">
        <v>3150520</v>
      </c>
      <c r="X81">
        <v>15.75</v>
      </c>
      <c r="Y81">
        <v>63</v>
      </c>
      <c r="Z81">
        <v>23046</v>
      </c>
      <c r="AA81">
        <v>1</v>
      </c>
      <c r="AB81">
        <v>23046</v>
      </c>
      <c r="AC81">
        <v>92184</v>
      </c>
      <c r="AD81">
        <v>342740</v>
      </c>
      <c r="AE81">
        <v>19.204999999999998</v>
      </c>
      <c r="AF81">
        <v>76.819999999999993</v>
      </c>
      <c r="AG81">
        <v>23046</v>
      </c>
      <c r="AH81">
        <v>92184</v>
      </c>
      <c r="AI81">
        <v>342748</v>
      </c>
      <c r="AJ81">
        <v>34.954999999999998</v>
      </c>
      <c r="AK81">
        <v>950</v>
      </c>
      <c r="AL81">
        <v>3800</v>
      </c>
      <c r="AM81">
        <v>3680</v>
      </c>
      <c r="AN81">
        <v>14720</v>
      </c>
      <c r="AO81">
        <v>27.1778000286082</v>
      </c>
      <c r="AP81">
        <v>384.1</v>
      </c>
      <c r="AQ81">
        <v>6.4016666666666699</v>
      </c>
      <c r="AR81">
        <v>85687</v>
      </c>
      <c r="AS81">
        <v>787855</v>
      </c>
      <c r="AT81">
        <v>52500</v>
      </c>
    </row>
    <row r="82" spans="1:46">
      <c r="A82" t="s">
        <v>202</v>
      </c>
      <c r="B82">
        <v>19</v>
      </c>
      <c r="C82" t="s">
        <v>224</v>
      </c>
      <c r="D82">
        <v>4</v>
      </c>
      <c r="E82">
        <v>0</v>
      </c>
      <c r="F82">
        <v>0</v>
      </c>
      <c r="G82">
        <v>0.2</v>
      </c>
      <c r="H82">
        <v>0</v>
      </c>
      <c r="I82">
        <v>1</v>
      </c>
      <c r="J82">
        <v>1</v>
      </c>
      <c r="K82">
        <v>1</v>
      </c>
      <c r="L82">
        <v>0</v>
      </c>
      <c r="M82">
        <v>54000</v>
      </c>
      <c r="N82">
        <v>54000</v>
      </c>
      <c r="O82">
        <v>54000</v>
      </c>
      <c r="P82">
        <v>1125</v>
      </c>
      <c r="Q82">
        <v>0</v>
      </c>
      <c r="R82">
        <v>216000</v>
      </c>
      <c r="S82">
        <v>216000</v>
      </c>
      <c r="T82">
        <v>216000</v>
      </c>
      <c r="U82">
        <v>162000</v>
      </c>
      <c r="V82">
        <v>648000</v>
      </c>
      <c r="W82">
        <v>3798520</v>
      </c>
      <c r="X82">
        <v>16.2</v>
      </c>
      <c r="Y82">
        <v>64.8</v>
      </c>
      <c r="Z82">
        <v>34569</v>
      </c>
      <c r="AA82">
        <v>1</v>
      </c>
      <c r="AB82">
        <v>34569</v>
      </c>
      <c r="AC82">
        <v>138276</v>
      </c>
      <c r="AD82">
        <v>481016</v>
      </c>
      <c r="AE82">
        <v>28.807500000000001</v>
      </c>
      <c r="AF82">
        <v>115.23</v>
      </c>
      <c r="AG82">
        <v>34569</v>
      </c>
      <c r="AH82">
        <v>138276</v>
      </c>
      <c r="AI82">
        <v>481024</v>
      </c>
      <c r="AJ82">
        <v>45.0075</v>
      </c>
      <c r="AK82">
        <v>1300</v>
      </c>
      <c r="AL82">
        <v>5200</v>
      </c>
      <c r="AM82">
        <v>4980</v>
      </c>
      <c r="AN82">
        <v>19920</v>
      </c>
      <c r="AO82">
        <v>28.8840748764095</v>
      </c>
      <c r="AP82">
        <v>576.15</v>
      </c>
      <c r="AQ82">
        <v>9.6024999999999991</v>
      </c>
      <c r="AR82">
        <v>120256</v>
      </c>
      <c r="AS82">
        <v>949855</v>
      </c>
      <c r="AT82">
        <v>54000</v>
      </c>
    </row>
    <row r="83" spans="1:46">
      <c r="A83" t="s">
        <v>202</v>
      </c>
      <c r="B83">
        <v>20</v>
      </c>
      <c r="C83" t="s">
        <v>225</v>
      </c>
      <c r="D83">
        <v>4</v>
      </c>
      <c r="E83">
        <v>0</v>
      </c>
      <c r="F83">
        <v>0</v>
      </c>
      <c r="G83">
        <v>0.15</v>
      </c>
      <c r="H83">
        <v>0</v>
      </c>
      <c r="I83">
        <v>1</v>
      </c>
      <c r="J83">
        <v>1</v>
      </c>
      <c r="K83">
        <v>1</v>
      </c>
      <c r="L83">
        <v>0</v>
      </c>
      <c r="M83">
        <v>52500</v>
      </c>
      <c r="N83">
        <v>52500</v>
      </c>
      <c r="O83">
        <v>52500</v>
      </c>
      <c r="P83">
        <v>-1125</v>
      </c>
      <c r="Q83">
        <v>0</v>
      </c>
      <c r="R83">
        <v>210000</v>
      </c>
      <c r="S83">
        <v>210000</v>
      </c>
      <c r="T83">
        <v>210000</v>
      </c>
      <c r="U83">
        <v>157500</v>
      </c>
      <c r="V83">
        <v>630000</v>
      </c>
      <c r="W83">
        <v>4428520</v>
      </c>
      <c r="X83">
        <v>15.75</v>
      </c>
      <c r="Y83">
        <v>63</v>
      </c>
      <c r="Z83">
        <v>51854</v>
      </c>
      <c r="AA83">
        <v>1</v>
      </c>
      <c r="AB83">
        <v>51854</v>
      </c>
      <c r="AC83">
        <v>207416</v>
      </c>
      <c r="AD83">
        <v>688432</v>
      </c>
      <c r="AE83">
        <v>43.211666666666702</v>
      </c>
      <c r="AF83">
        <v>172.84666666666701</v>
      </c>
      <c r="AG83">
        <v>51854</v>
      </c>
      <c r="AH83">
        <v>207416</v>
      </c>
      <c r="AI83">
        <v>688440</v>
      </c>
      <c r="AJ83">
        <v>58.961666666666702</v>
      </c>
      <c r="AK83">
        <v>1750</v>
      </c>
      <c r="AL83">
        <v>7000</v>
      </c>
      <c r="AM83">
        <v>6730</v>
      </c>
      <c r="AN83">
        <v>26920</v>
      </c>
      <c r="AO83">
        <v>29.680300760381002</v>
      </c>
      <c r="AP83">
        <v>864.23333333333301</v>
      </c>
      <c r="AQ83">
        <v>14.403888888888901</v>
      </c>
      <c r="AR83">
        <v>172110</v>
      </c>
      <c r="AS83">
        <v>1107355</v>
      </c>
      <c r="AT83">
        <v>52500</v>
      </c>
    </row>
    <row r="84" spans="1:46">
      <c r="A84" t="s">
        <v>249</v>
      </c>
      <c r="B84">
        <v>1</v>
      </c>
      <c r="C84" t="s">
        <v>250</v>
      </c>
      <c r="D84">
        <v>2</v>
      </c>
      <c r="E84">
        <v>0</v>
      </c>
      <c r="F84">
        <v>0</v>
      </c>
      <c r="G84">
        <v>1</v>
      </c>
      <c r="H84">
        <v>0</v>
      </c>
      <c r="I84">
        <v>2</v>
      </c>
      <c r="J84">
        <v>0</v>
      </c>
      <c r="K84">
        <v>0</v>
      </c>
      <c r="L84">
        <v>0</v>
      </c>
      <c r="M84">
        <v>75</v>
      </c>
      <c r="N84">
        <v>0</v>
      </c>
      <c r="O84">
        <v>0</v>
      </c>
      <c r="P84">
        <v>18.75</v>
      </c>
      <c r="Q84">
        <v>0</v>
      </c>
      <c r="R84">
        <v>150</v>
      </c>
      <c r="S84">
        <v>0</v>
      </c>
      <c r="T84">
        <v>0</v>
      </c>
      <c r="U84">
        <v>75</v>
      </c>
      <c r="V84">
        <v>150</v>
      </c>
      <c r="W84">
        <v>150</v>
      </c>
      <c r="X84">
        <v>7.4999999999999997E-3</v>
      </c>
      <c r="Y84">
        <v>1.4999999999999999E-2</v>
      </c>
      <c r="Z84">
        <v>6</v>
      </c>
      <c r="AA84">
        <v>1E-3</v>
      </c>
      <c r="AB84">
        <v>1</v>
      </c>
      <c r="AC84">
        <v>2</v>
      </c>
      <c r="AD84">
        <v>2</v>
      </c>
      <c r="AE84">
        <v>8.3333333333333295E-4</v>
      </c>
      <c r="AF84">
        <v>1.66666666666667E-3</v>
      </c>
      <c r="AG84">
        <v>1</v>
      </c>
      <c r="AH84">
        <v>2</v>
      </c>
      <c r="AI84">
        <v>2</v>
      </c>
      <c r="AJ84">
        <v>8.3333333333333297E-3</v>
      </c>
      <c r="AK84">
        <v>15</v>
      </c>
      <c r="AL84">
        <v>30</v>
      </c>
      <c r="AM84">
        <v>20</v>
      </c>
      <c r="AN84">
        <v>40</v>
      </c>
      <c r="AO84">
        <v>1800</v>
      </c>
      <c r="AP84">
        <v>1.6666666666666701E-2</v>
      </c>
      <c r="AQ84">
        <v>2.7777777777777799E-4</v>
      </c>
      <c r="AR84">
        <v>1</v>
      </c>
      <c r="AS84">
        <v>75</v>
      </c>
      <c r="AT84">
        <v>75</v>
      </c>
    </row>
    <row r="85" spans="1:46">
      <c r="A85" t="s">
        <v>249</v>
      </c>
      <c r="B85">
        <v>2</v>
      </c>
      <c r="C85" t="s">
        <v>252</v>
      </c>
      <c r="D85">
        <v>2</v>
      </c>
      <c r="E85">
        <v>0</v>
      </c>
      <c r="F85">
        <v>0</v>
      </c>
      <c r="G85">
        <v>1</v>
      </c>
      <c r="H85">
        <v>0</v>
      </c>
      <c r="I85">
        <v>2</v>
      </c>
      <c r="J85">
        <v>0</v>
      </c>
      <c r="K85">
        <v>0</v>
      </c>
      <c r="L85">
        <v>0</v>
      </c>
      <c r="M85">
        <v>150</v>
      </c>
      <c r="N85">
        <v>0</v>
      </c>
      <c r="O85">
        <v>0</v>
      </c>
      <c r="P85">
        <v>18.75</v>
      </c>
      <c r="Q85">
        <v>0</v>
      </c>
      <c r="R85">
        <v>300</v>
      </c>
      <c r="S85">
        <v>0</v>
      </c>
      <c r="T85">
        <v>0</v>
      </c>
      <c r="U85">
        <v>150</v>
      </c>
      <c r="V85">
        <v>300</v>
      </c>
      <c r="W85">
        <v>300</v>
      </c>
      <c r="X85">
        <v>1.4999999999999999E-2</v>
      </c>
      <c r="Y85">
        <v>0.03</v>
      </c>
      <c r="Z85">
        <v>12</v>
      </c>
      <c r="AA85">
        <v>6.0999999999999999E-2</v>
      </c>
      <c r="AB85">
        <v>1</v>
      </c>
      <c r="AC85">
        <v>2</v>
      </c>
      <c r="AD85">
        <v>2</v>
      </c>
      <c r="AE85">
        <v>8.3333333333333295E-4</v>
      </c>
      <c r="AF85">
        <v>1.66666666666667E-3</v>
      </c>
      <c r="AG85">
        <v>1</v>
      </c>
      <c r="AH85">
        <v>2</v>
      </c>
      <c r="AI85">
        <v>4</v>
      </c>
      <c r="AJ85">
        <v>1.58333333333333E-2</v>
      </c>
      <c r="AK85">
        <v>18</v>
      </c>
      <c r="AL85">
        <v>36</v>
      </c>
      <c r="AM85">
        <v>40</v>
      </c>
      <c r="AN85">
        <v>80</v>
      </c>
      <c r="AO85">
        <v>1136.84210526316</v>
      </c>
      <c r="AP85">
        <v>1.6666666666666701E-2</v>
      </c>
      <c r="AQ85">
        <v>2.7777777777777799E-4</v>
      </c>
      <c r="AR85">
        <v>2</v>
      </c>
      <c r="AS85">
        <v>225</v>
      </c>
      <c r="AT85">
        <v>150</v>
      </c>
    </row>
    <row r="86" spans="1:46">
      <c r="A86" t="s">
        <v>249</v>
      </c>
      <c r="B86">
        <v>3</v>
      </c>
      <c r="C86" t="s">
        <v>253</v>
      </c>
      <c r="D86">
        <v>2</v>
      </c>
      <c r="E86">
        <v>0</v>
      </c>
      <c r="F86">
        <v>0</v>
      </c>
      <c r="G86">
        <v>1</v>
      </c>
      <c r="H86">
        <v>0</v>
      </c>
      <c r="I86">
        <v>2</v>
      </c>
      <c r="J86">
        <v>0</v>
      </c>
      <c r="K86">
        <v>0</v>
      </c>
      <c r="L86">
        <v>0</v>
      </c>
      <c r="M86">
        <v>300</v>
      </c>
      <c r="N86">
        <v>0</v>
      </c>
      <c r="O86">
        <v>0</v>
      </c>
      <c r="P86">
        <v>37.5</v>
      </c>
      <c r="Q86">
        <v>0</v>
      </c>
      <c r="R86">
        <v>600</v>
      </c>
      <c r="S86">
        <v>0</v>
      </c>
      <c r="T86">
        <v>0</v>
      </c>
      <c r="U86">
        <v>300</v>
      </c>
      <c r="V86">
        <v>600</v>
      </c>
      <c r="W86">
        <v>600</v>
      </c>
      <c r="X86">
        <v>0.03</v>
      </c>
      <c r="Y86">
        <v>0.06</v>
      </c>
      <c r="Z86">
        <v>24</v>
      </c>
      <c r="AA86">
        <v>0.1</v>
      </c>
      <c r="AB86">
        <v>2</v>
      </c>
      <c r="AC86">
        <v>4</v>
      </c>
      <c r="AD86">
        <v>4</v>
      </c>
      <c r="AE86">
        <v>1.66666666666667E-3</v>
      </c>
      <c r="AF86">
        <v>3.3333333333333301E-3</v>
      </c>
      <c r="AG86">
        <v>2</v>
      </c>
      <c r="AH86">
        <v>4</v>
      </c>
      <c r="AI86">
        <v>8</v>
      </c>
      <c r="AJ86">
        <v>3.1666666666666697E-2</v>
      </c>
      <c r="AK86">
        <v>21</v>
      </c>
      <c r="AL86">
        <v>42</v>
      </c>
      <c r="AM86">
        <v>60</v>
      </c>
      <c r="AN86">
        <v>120</v>
      </c>
      <c r="AO86">
        <v>663.15789473684197</v>
      </c>
      <c r="AP86">
        <v>3.3333333333333298E-2</v>
      </c>
      <c r="AQ86">
        <v>5.5555555555555599E-4</v>
      </c>
      <c r="AR86">
        <v>4</v>
      </c>
      <c r="AS86">
        <v>525</v>
      </c>
      <c r="AT86">
        <v>300</v>
      </c>
    </row>
    <row r="87" spans="1:46">
      <c r="A87" t="s">
        <v>249</v>
      </c>
      <c r="B87">
        <v>4</v>
      </c>
      <c r="C87" t="s">
        <v>254</v>
      </c>
      <c r="D87">
        <v>2</v>
      </c>
      <c r="E87">
        <v>0</v>
      </c>
      <c r="F87">
        <v>0</v>
      </c>
      <c r="G87">
        <v>1</v>
      </c>
      <c r="H87">
        <v>0</v>
      </c>
      <c r="I87">
        <v>2</v>
      </c>
      <c r="J87">
        <v>0</v>
      </c>
      <c r="K87">
        <v>0</v>
      </c>
      <c r="L87">
        <v>0</v>
      </c>
      <c r="M87">
        <v>600</v>
      </c>
      <c r="N87">
        <v>0</v>
      </c>
      <c r="O87">
        <v>0</v>
      </c>
      <c r="P87">
        <v>75</v>
      </c>
      <c r="Q87">
        <v>0</v>
      </c>
      <c r="R87">
        <v>1200</v>
      </c>
      <c r="S87">
        <v>0</v>
      </c>
      <c r="T87">
        <v>0</v>
      </c>
      <c r="U87">
        <v>600</v>
      </c>
      <c r="V87">
        <v>1200</v>
      </c>
      <c r="W87">
        <v>1800</v>
      </c>
      <c r="X87">
        <v>0.06</v>
      </c>
      <c r="Y87">
        <v>0.12</v>
      </c>
      <c r="Z87">
        <v>48</v>
      </c>
      <c r="AA87">
        <v>0.5</v>
      </c>
      <c r="AB87">
        <v>24</v>
      </c>
      <c r="AC87">
        <v>48</v>
      </c>
      <c r="AD87">
        <v>52</v>
      </c>
      <c r="AE87">
        <v>0.02</v>
      </c>
      <c r="AF87">
        <v>0.04</v>
      </c>
      <c r="AG87">
        <v>24</v>
      </c>
      <c r="AH87">
        <v>48</v>
      </c>
      <c r="AI87">
        <v>56</v>
      </c>
      <c r="AJ87">
        <v>0.08</v>
      </c>
      <c r="AK87">
        <v>26</v>
      </c>
      <c r="AL87">
        <v>52</v>
      </c>
      <c r="AM87">
        <v>90</v>
      </c>
      <c r="AN87">
        <v>180</v>
      </c>
      <c r="AO87">
        <v>325</v>
      </c>
      <c r="AP87">
        <v>0.4</v>
      </c>
      <c r="AQ87">
        <v>6.6666666666666697E-3</v>
      </c>
      <c r="AR87">
        <v>28</v>
      </c>
      <c r="AS87">
        <v>1125</v>
      </c>
      <c r="AT87">
        <v>600</v>
      </c>
    </row>
    <row r="88" spans="1:46">
      <c r="A88" t="s">
        <v>249</v>
      </c>
      <c r="B88">
        <v>5</v>
      </c>
      <c r="C88" t="s">
        <v>255</v>
      </c>
      <c r="D88">
        <v>2</v>
      </c>
      <c r="E88">
        <v>0</v>
      </c>
      <c r="F88">
        <v>0</v>
      </c>
      <c r="G88">
        <v>1</v>
      </c>
      <c r="H88">
        <v>0</v>
      </c>
      <c r="I88">
        <v>2</v>
      </c>
      <c r="J88">
        <v>0</v>
      </c>
      <c r="K88">
        <v>0</v>
      </c>
      <c r="L88">
        <v>0</v>
      </c>
      <c r="M88">
        <v>1200</v>
      </c>
      <c r="N88">
        <v>0</v>
      </c>
      <c r="O88">
        <v>0</v>
      </c>
      <c r="P88">
        <v>150</v>
      </c>
      <c r="Q88">
        <v>0</v>
      </c>
      <c r="R88">
        <v>2400</v>
      </c>
      <c r="S88">
        <v>0</v>
      </c>
      <c r="T88">
        <v>0</v>
      </c>
      <c r="U88">
        <v>1200</v>
      </c>
      <c r="V88">
        <v>2400</v>
      </c>
      <c r="W88">
        <v>4200</v>
      </c>
      <c r="X88">
        <v>0.12</v>
      </c>
      <c r="Y88">
        <v>0.24</v>
      </c>
      <c r="Z88">
        <v>96</v>
      </c>
      <c r="AA88">
        <v>0.9</v>
      </c>
      <c r="AB88">
        <v>86</v>
      </c>
      <c r="AC88">
        <v>172</v>
      </c>
      <c r="AD88">
        <v>224</v>
      </c>
      <c r="AE88">
        <v>7.1666666666666698E-2</v>
      </c>
      <c r="AF88">
        <v>0.14333333333333301</v>
      </c>
      <c r="AG88">
        <v>86</v>
      </c>
      <c r="AH88">
        <v>172</v>
      </c>
      <c r="AI88">
        <v>228</v>
      </c>
      <c r="AJ88">
        <v>0.19166666666666701</v>
      </c>
      <c r="AK88">
        <v>31</v>
      </c>
      <c r="AL88">
        <v>62</v>
      </c>
      <c r="AM88">
        <v>120</v>
      </c>
      <c r="AN88">
        <v>240</v>
      </c>
      <c r="AO88">
        <v>161.73913043478299</v>
      </c>
      <c r="AP88">
        <v>1.43333333333333</v>
      </c>
      <c r="AQ88">
        <v>2.38888888888889E-2</v>
      </c>
      <c r="AR88">
        <v>114</v>
      </c>
      <c r="AS88">
        <v>2325</v>
      </c>
      <c r="AT88">
        <v>1200</v>
      </c>
    </row>
    <row r="89" spans="1:46">
      <c r="A89" t="s">
        <v>249</v>
      </c>
      <c r="B89">
        <v>6</v>
      </c>
      <c r="C89" t="s">
        <v>256</v>
      </c>
      <c r="D89">
        <v>2</v>
      </c>
      <c r="E89">
        <v>0</v>
      </c>
      <c r="F89">
        <v>0</v>
      </c>
      <c r="G89">
        <v>0.9</v>
      </c>
      <c r="H89">
        <v>0</v>
      </c>
      <c r="I89">
        <v>2</v>
      </c>
      <c r="J89">
        <v>1</v>
      </c>
      <c r="K89">
        <v>0</v>
      </c>
      <c r="L89">
        <v>0</v>
      </c>
      <c r="M89">
        <v>1440</v>
      </c>
      <c r="N89">
        <v>720</v>
      </c>
      <c r="O89">
        <v>0</v>
      </c>
      <c r="P89">
        <v>240</v>
      </c>
      <c r="Q89">
        <v>0</v>
      </c>
      <c r="R89">
        <v>2880</v>
      </c>
      <c r="S89">
        <v>1440</v>
      </c>
      <c r="T89">
        <v>0</v>
      </c>
      <c r="U89">
        <v>2160</v>
      </c>
      <c r="V89">
        <v>4320</v>
      </c>
      <c r="W89">
        <v>8520</v>
      </c>
      <c r="X89">
        <v>0.216</v>
      </c>
      <c r="Y89">
        <v>0.432</v>
      </c>
      <c r="Z89">
        <v>192</v>
      </c>
      <c r="AA89">
        <v>1</v>
      </c>
      <c r="AB89">
        <v>192</v>
      </c>
      <c r="AC89">
        <v>384</v>
      </c>
      <c r="AD89">
        <v>608</v>
      </c>
      <c r="AE89">
        <v>0.16</v>
      </c>
      <c r="AF89">
        <v>0.32</v>
      </c>
      <c r="AG89">
        <v>192</v>
      </c>
      <c r="AH89">
        <v>384</v>
      </c>
      <c r="AI89">
        <v>612</v>
      </c>
      <c r="AJ89">
        <v>0.376</v>
      </c>
      <c r="AK89">
        <v>37</v>
      </c>
      <c r="AL89">
        <v>74</v>
      </c>
      <c r="AM89">
        <v>160</v>
      </c>
      <c r="AN89">
        <v>320</v>
      </c>
      <c r="AO89">
        <v>98.404255319148902</v>
      </c>
      <c r="AP89">
        <v>3.2</v>
      </c>
      <c r="AQ89">
        <v>5.3333333333333302E-2</v>
      </c>
      <c r="AR89">
        <v>306</v>
      </c>
      <c r="AS89">
        <v>4485</v>
      </c>
      <c r="AT89">
        <v>1440</v>
      </c>
    </row>
    <row r="90" spans="1:46">
      <c r="A90" t="s">
        <v>249</v>
      </c>
      <c r="B90">
        <v>7</v>
      </c>
      <c r="C90" t="s">
        <v>257</v>
      </c>
      <c r="D90">
        <v>2</v>
      </c>
      <c r="E90">
        <v>0</v>
      </c>
      <c r="F90">
        <v>0</v>
      </c>
      <c r="G90">
        <v>0.8</v>
      </c>
      <c r="H90">
        <v>0</v>
      </c>
      <c r="I90">
        <v>2</v>
      </c>
      <c r="J90">
        <v>1</v>
      </c>
      <c r="K90">
        <v>0</v>
      </c>
      <c r="L90">
        <v>0</v>
      </c>
      <c r="M90">
        <v>2560</v>
      </c>
      <c r="N90">
        <v>1280</v>
      </c>
      <c r="O90">
        <v>0</v>
      </c>
      <c r="P90">
        <v>420</v>
      </c>
      <c r="Q90">
        <v>0</v>
      </c>
      <c r="R90">
        <v>5120</v>
      </c>
      <c r="S90">
        <v>2560</v>
      </c>
      <c r="T90">
        <v>0</v>
      </c>
      <c r="U90">
        <v>3840</v>
      </c>
      <c r="V90">
        <v>7680</v>
      </c>
      <c r="W90">
        <v>16200</v>
      </c>
      <c r="X90">
        <v>0.38400000000000001</v>
      </c>
      <c r="Y90">
        <v>0.76800000000000002</v>
      </c>
      <c r="Z90">
        <v>384</v>
      </c>
      <c r="AA90">
        <v>1</v>
      </c>
      <c r="AB90">
        <v>384</v>
      </c>
      <c r="AC90">
        <v>768</v>
      </c>
      <c r="AD90">
        <v>1376</v>
      </c>
      <c r="AE90">
        <v>0.32</v>
      </c>
      <c r="AF90">
        <v>0.64</v>
      </c>
      <c r="AG90">
        <v>384</v>
      </c>
      <c r="AH90">
        <v>768</v>
      </c>
      <c r="AI90">
        <v>1380</v>
      </c>
      <c r="AJ90">
        <v>0.70399999999999996</v>
      </c>
      <c r="AK90">
        <v>44</v>
      </c>
      <c r="AL90">
        <v>88</v>
      </c>
      <c r="AM90">
        <v>200</v>
      </c>
      <c r="AN90">
        <v>400</v>
      </c>
      <c r="AO90">
        <v>62.5</v>
      </c>
      <c r="AP90">
        <v>6.4</v>
      </c>
      <c r="AQ90">
        <v>0.10666666666666701</v>
      </c>
      <c r="AR90">
        <v>690</v>
      </c>
      <c r="AS90">
        <v>8325</v>
      </c>
      <c r="AT90">
        <v>2560</v>
      </c>
    </row>
    <row r="91" spans="1:46">
      <c r="A91" t="s">
        <v>249</v>
      </c>
      <c r="B91">
        <v>8</v>
      </c>
      <c r="C91" t="s">
        <v>258</v>
      </c>
      <c r="D91">
        <v>2</v>
      </c>
      <c r="E91">
        <v>0</v>
      </c>
      <c r="F91">
        <v>0</v>
      </c>
      <c r="G91">
        <v>0.75</v>
      </c>
      <c r="H91">
        <v>0</v>
      </c>
      <c r="I91">
        <v>2</v>
      </c>
      <c r="J91">
        <v>1</v>
      </c>
      <c r="K91">
        <v>0</v>
      </c>
      <c r="L91">
        <v>0</v>
      </c>
      <c r="M91">
        <v>4800</v>
      </c>
      <c r="N91">
        <v>2400</v>
      </c>
      <c r="O91">
        <v>0</v>
      </c>
      <c r="P91">
        <v>840</v>
      </c>
      <c r="Q91">
        <v>0</v>
      </c>
      <c r="R91">
        <v>9600</v>
      </c>
      <c r="S91">
        <v>4800</v>
      </c>
      <c r="T91">
        <v>0</v>
      </c>
      <c r="U91">
        <v>7200</v>
      </c>
      <c r="V91">
        <v>14400</v>
      </c>
      <c r="W91">
        <v>30600</v>
      </c>
      <c r="X91">
        <v>0.72</v>
      </c>
      <c r="Y91">
        <v>1.44</v>
      </c>
      <c r="Z91">
        <v>768</v>
      </c>
      <c r="AA91">
        <v>1</v>
      </c>
      <c r="AB91">
        <v>768</v>
      </c>
      <c r="AC91">
        <v>1536</v>
      </c>
      <c r="AD91">
        <v>2912</v>
      </c>
      <c r="AE91">
        <v>0.64</v>
      </c>
      <c r="AF91">
        <v>1.28</v>
      </c>
      <c r="AG91">
        <v>768</v>
      </c>
      <c r="AH91">
        <v>1536</v>
      </c>
      <c r="AI91">
        <v>2916</v>
      </c>
      <c r="AJ91">
        <v>1.36</v>
      </c>
      <c r="AK91">
        <v>55</v>
      </c>
      <c r="AL91">
        <v>110</v>
      </c>
      <c r="AM91">
        <v>260</v>
      </c>
      <c r="AN91">
        <v>520</v>
      </c>
      <c r="AO91">
        <v>40.441176470588204</v>
      </c>
      <c r="AP91">
        <v>12.8</v>
      </c>
      <c r="AQ91">
        <v>0.21333333333333299</v>
      </c>
      <c r="AR91">
        <v>1458</v>
      </c>
      <c r="AS91">
        <v>15525</v>
      </c>
      <c r="AT91">
        <v>4800</v>
      </c>
    </row>
    <row r="92" spans="1:46">
      <c r="A92" t="s">
        <v>249</v>
      </c>
      <c r="B92">
        <v>9</v>
      </c>
      <c r="C92" t="s">
        <v>259</v>
      </c>
      <c r="D92">
        <v>2</v>
      </c>
      <c r="E92">
        <v>0</v>
      </c>
      <c r="F92">
        <v>0</v>
      </c>
      <c r="G92">
        <v>0.7</v>
      </c>
      <c r="H92">
        <v>0</v>
      </c>
      <c r="I92">
        <v>2</v>
      </c>
      <c r="J92">
        <v>1</v>
      </c>
      <c r="K92">
        <v>0</v>
      </c>
      <c r="L92">
        <v>0</v>
      </c>
      <c r="M92">
        <v>7700</v>
      </c>
      <c r="N92">
        <v>3780</v>
      </c>
      <c r="O92">
        <v>0</v>
      </c>
      <c r="P92">
        <v>1070</v>
      </c>
      <c r="Q92">
        <v>0</v>
      </c>
      <c r="R92">
        <v>15400</v>
      </c>
      <c r="S92">
        <v>7560</v>
      </c>
      <c r="T92">
        <v>0</v>
      </c>
      <c r="U92">
        <v>11480</v>
      </c>
      <c r="V92">
        <v>22960</v>
      </c>
      <c r="W92">
        <v>53560</v>
      </c>
      <c r="X92">
        <v>1.1479999999999999</v>
      </c>
      <c r="Y92">
        <v>2.2959999999999998</v>
      </c>
      <c r="Z92">
        <v>1306</v>
      </c>
      <c r="AA92">
        <v>1</v>
      </c>
      <c r="AB92">
        <v>1306</v>
      </c>
      <c r="AC92">
        <v>2612</v>
      </c>
      <c r="AD92">
        <v>5524</v>
      </c>
      <c r="AE92">
        <v>1.08833333333333</v>
      </c>
      <c r="AF92">
        <v>2.1766666666666699</v>
      </c>
      <c r="AG92">
        <v>1306</v>
      </c>
      <c r="AH92">
        <v>2612</v>
      </c>
      <c r="AI92">
        <v>5528</v>
      </c>
      <c r="AJ92">
        <v>2.23633333333333</v>
      </c>
      <c r="AK92">
        <v>65</v>
      </c>
      <c r="AL92">
        <v>130</v>
      </c>
      <c r="AM92">
        <v>330</v>
      </c>
      <c r="AN92">
        <v>660</v>
      </c>
      <c r="AO92">
        <v>29.065434490982302</v>
      </c>
      <c r="AP92">
        <v>21.766666666666701</v>
      </c>
      <c r="AQ92">
        <v>0.36277777777777798</v>
      </c>
      <c r="AR92">
        <v>2764</v>
      </c>
      <c r="AS92">
        <v>27005</v>
      </c>
      <c r="AT92">
        <v>7700</v>
      </c>
    </row>
    <row r="93" spans="1:46">
      <c r="A93" t="s">
        <v>249</v>
      </c>
      <c r="B93">
        <v>10</v>
      </c>
      <c r="C93" t="s">
        <v>260</v>
      </c>
      <c r="D93">
        <v>2</v>
      </c>
      <c r="E93">
        <v>0</v>
      </c>
      <c r="F93">
        <v>0</v>
      </c>
      <c r="G93">
        <v>0.65</v>
      </c>
      <c r="H93">
        <v>0</v>
      </c>
      <c r="I93">
        <v>2</v>
      </c>
      <c r="J93">
        <v>1</v>
      </c>
      <c r="K93">
        <v>0</v>
      </c>
      <c r="L93">
        <v>0</v>
      </c>
      <c r="M93">
        <v>11700</v>
      </c>
      <c r="N93">
        <v>5980</v>
      </c>
      <c r="O93">
        <v>0</v>
      </c>
      <c r="P93">
        <v>1550</v>
      </c>
      <c r="Q93">
        <v>0</v>
      </c>
      <c r="R93">
        <v>23400</v>
      </c>
      <c r="S93">
        <v>11960</v>
      </c>
      <c r="T93">
        <v>0</v>
      </c>
      <c r="U93">
        <v>17680</v>
      </c>
      <c r="V93">
        <v>35360</v>
      </c>
      <c r="W93">
        <v>88920</v>
      </c>
      <c r="X93">
        <v>1.768</v>
      </c>
      <c r="Y93">
        <v>3.536</v>
      </c>
      <c r="Z93">
        <v>2089</v>
      </c>
      <c r="AA93">
        <v>1</v>
      </c>
      <c r="AB93">
        <v>2089</v>
      </c>
      <c r="AC93">
        <v>4178</v>
      </c>
      <c r="AD93">
        <v>9702</v>
      </c>
      <c r="AE93">
        <v>1.7408333333333299</v>
      </c>
      <c r="AF93">
        <v>3.48166666666667</v>
      </c>
      <c r="AG93">
        <v>2089</v>
      </c>
      <c r="AH93">
        <v>4178</v>
      </c>
      <c r="AI93">
        <v>9706</v>
      </c>
      <c r="AJ93">
        <v>3.5088333333333299</v>
      </c>
      <c r="AK93">
        <v>80</v>
      </c>
      <c r="AL93">
        <v>160</v>
      </c>
      <c r="AM93">
        <v>410</v>
      </c>
      <c r="AN93">
        <v>820</v>
      </c>
      <c r="AO93">
        <v>22.7996010069824</v>
      </c>
      <c r="AP93">
        <v>34.816666666666698</v>
      </c>
      <c r="AQ93">
        <v>0.580277777777778</v>
      </c>
      <c r="AR93">
        <v>4853</v>
      </c>
      <c r="AS93">
        <v>44685</v>
      </c>
      <c r="AT93">
        <v>11700</v>
      </c>
    </row>
    <row r="94" spans="1:46">
      <c r="A94" t="s">
        <v>249</v>
      </c>
      <c r="B94">
        <v>11</v>
      </c>
      <c r="C94" t="s">
        <v>261</v>
      </c>
      <c r="D94">
        <v>2</v>
      </c>
      <c r="E94">
        <v>0</v>
      </c>
      <c r="F94">
        <v>0</v>
      </c>
      <c r="G94">
        <v>0.6</v>
      </c>
      <c r="H94">
        <v>0</v>
      </c>
      <c r="I94">
        <v>2</v>
      </c>
      <c r="J94">
        <v>1</v>
      </c>
      <c r="K94">
        <v>2</v>
      </c>
      <c r="L94">
        <v>0</v>
      </c>
      <c r="M94">
        <v>10800</v>
      </c>
      <c r="N94">
        <v>5340</v>
      </c>
      <c r="O94">
        <v>10800</v>
      </c>
      <c r="P94">
        <v>2315</v>
      </c>
      <c r="Q94">
        <v>0</v>
      </c>
      <c r="R94">
        <v>21600</v>
      </c>
      <c r="S94">
        <v>10680</v>
      </c>
      <c r="T94">
        <v>21600</v>
      </c>
      <c r="U94">
        <v>26940</v>
      </c>
      <c r="V94">
        <v>53880</v>
      </c>
      <c r="W94">
        <v>142800</v>
      </c>
      <c r="X94">
        <v>2.694</v>
      </c>
      <c r="Y94">
        <v>5.3879999999999999</v>
      </c>
      <c r="Z94">
        <v>2820</v>
      </c>
      <c r="AA94">
        <v>1</v>
      </c>
      <c r="AB94">
        <v>2820</v>
      </c>
      <c r="AC94">
        <v>5640</v>
      </c>
      <c r="AD94">
        <v>15342</v>
      </c>
      <c r="AE94">
        <v>2.35</v>
      </c>
      <c r="AF94">
        <v>4.7</v>
      </c>
      <c r="AG94">
        <v>2820</v>
      </c>
      <c r="AH94">
        <v>5640</v>
      </c>
      <c r="AI94">
        <v>15346</v>
      </c>
      <c r="AJ94">
        <v>5.0439999999999996</v>
      </c>
      <c r="AK94">
        <v>110</v>
      </c>
      <c r="AL94">
        <v>220</v>
      </c>
      <c r="AM94">
        <v>520</v>
      </c>
      <c r="AN94">
        <v>1040</v>
      </c>
      <c r="AO94">
        <v>21.808088818398101</v>
      </c>
      <c r="AP94">
        <v>47</v>
      </c>
      <c r="AQ94">
        <v>0.78333333333333299</v>
      </c>
      <c r="AR94">
        <v>7673</v>
      </c>
      <c r="AS94">
        <v>71625</v>
      </c>
      <c r="AT94">
        <v>10800</v>
      </c>
    </row>
    <row r="95" spans="1:46">
      <c r="A95" t="s">
        <v>249</v>
      </c>
      <c r="B95">
        <v>12</v>
      </c>
      <c r="C95" t="s">
        <v>262</v>
      </c>
      <c r="D95">
        <v>2</v>
      </c>
      <c r="E95">
        <v>0</v>
      </c>
      <c r="F95">
        <v>0</v>
      </c>
      <c r="G95">
        <v>0.55000000000000004</v>
      </c>
      <c r="H95">
        <v>0</v>
      </c>
      <c r="I95">
        <v>2</v>
      </c>
      <c r="J95">
        <v>1</v>
      </c>
      <c r="K95">
        <v>2</v>
      </c>
      <c r="L95">
        <v>0</v>
      </c>
      <c r="M95">
        <v>15400</v>
      </c>
      <c r="N95">
        <v>7700</v>
      </c>
      <c r="O95">
        <v>15400</v>
      </c>
      <c r="P95">
        <v>2890</v>
      </c>
      <c r="Q95">
        <v>0</v>
      </c>
      <c r="R95">
        <v>30800</v>
      </c>
      <c r="S95">
        <v>15400</v>
      </c>
      <c r="T95">
        <v>30800</v>
      </c>
      <c r="U95">
        <v>38500</v>
      </c>
      <c r="V95">
        <v>77000</v>
      </c>
      <c r="W95">
        <v>219800</v>
      </c>
      <c r="X95">
        <v>3.85</v>
      </c>
      <c r="Y95">
        <v>7.7</v>
      </c>
      <c r="Z95">
        <v>3807</v>
      </c>
      <c r="AA95">
        <v>1</v>
      </c>
      <c r="AB95">
        <v>3807</v>
      </c>
      <c r="AC95">
        <v>7614</v>
      </c>
      <c r="AD95">
        <v>22956</v>
      </c>
      <c r="AE95">
        <v>3.1724999999999999</v>
      </c>
      <c r="AF95">
        <v>6.3449999999999998</v>
      </c>
      <c r="AG95">
        <v>3807</v>
      </c>
      <c r="AH95">
        <v>7614</v>
      </c>
      <c r="AI95">
        <v>22960</v>
      </c>
      <c r="AJ95">
        <v>7.0225</v>
      </c>
      <c r="AK95">
        <v>150</v>
      </c>
      <c r="AL95">
        <v>300</v>
      </c>
      <c r="AM95">
        <v>670</v>
      </c>
      <c r="AN95">
        <v>1340</v>
      </c>
      <c r="AO95">
        <v>21.359914560341799</v>
      </c>
      <c r="AP95">
        <v>63.45</v>
      </c>
      <c r="AQ95">
        <v>1.0575000000000001</v>
      </c>
      <c r="AR95">
        <v>11480</v>
      </c>
      <c r="AS95">
        <v>110125</v>
      </c>
      <c r="AT95">
        <v>15400</v>
      </c>
    </row>
    <row r="96" spans="1:46">
      <c r="A96" t="s">
        <v>249</v>
      </c>
      <c r="B96">
        <v>13</v>
      </c>
      <c r="C96" t="s">
        <v>263</v>
      </c>
      <c r="D96">
        <v>2</v>
      </c>
      <c r="E96">
        <v>0</v>
      </c>
      <c r="F96">
        <v>0</v>
      </c>
      <c r="G96">
        <v>0.5</v>
      </c>
      <c r="H96">
        <v>0</v>
      </c>
      <c r="I96">
        <v>2</v>
      </c>
      <c r="J96">
        <v>1</v>
      </c>
      <c r="K96">
        <v>2</v>
      </c>
      <c r="L96">
        <v>0</v>
      </c>
      <c r="M96">
        <v>22500</v>
      </c>
      <c r="N96">
        <v>11500</v>
      </c>
      <c r="O96">
        <v>22500</v>
      </c>
      <c r="P96">
        <v>4500</v>
      </c>
      <c r="Q96">
        <v>0</v>
      </c>
      <c r="R96">
        <v>45000</v>
      </c>
      <c r="S96">
        <v>23000</v>
      </c>
      <c r="T96">
        <v>45000</v>
      </c>
      <c r="U96">
        <v>56500</v>
      </c>
      <c r="V96">
        <v>113000</v>
      </c>
      <c r="W96">
        <v>332800</v>
      </c>
      <c r="X96">
        <v>5.65</v>
      </c>
      <c r="Y96">
        <v>11.3</v>
      </c>
      <c r="Z96">
        <v>5140</v>
      </c>
      <c r="AA96">
        <v>1</v>
      </c>
      <c r="AB96">
        <v>5140</v>
      </c>
      <c r="AC96">
        <v>10280</v>
      </c>
      <c r="AD96">
        <v>33236</v>
      </c>
      <c r="AE96">
        <v>4.2833333333333297</v>
      </c>
      <c r="AF96">
        <v>8.56666666666667</v>
      </c>
      <c r="AG96">
        <v>5140</v>
      </c>
      <c r="AH96">
        <v>10280</v>
      </c>
      <c r="AI96">
        <v>33240</v>
      </c>
      <c r="AJ96">
        <v>9.93333333333333</v>
      </c>
      <c r="AK96">
        <v>205</v>
      </c>
      <c r="AL96">
        <v>410</v>
      </c>
      <c r="AM96">
        <v>880</v>
      </c>
      <c r="AN96">
        <v>1760</v>
      </c>
      <c r="AO96">
        <v>20.6375838926174</v>
      </c>
      <c r="AP96">
        <v>85.6666666666667</v>
      </c>
      <c r="AQ96">
        <v>1.42777777777778</v>
      </c>
      <c r="AR96">
        <v>16620</v>
      </c>
      <c r="AS96">
        <v>166625</v>
      </c>
      <c r="AT96">
        <v>22500</v>
      </c>
    </row>
    <row r="97" spans="1:46">
      <c r="A97" t="s">
        <v>249</v>
      </c>
      <c r="B97">
        <v>14</v>
      </c>
      <c r="C97" t="s">
        <v>264</v>
      </c>
      <c r="D97">
        <v>2</v>
      </c>
      <c r="E97">
        <v>0</v>
      </c>
      <c r="F97">
        <v>0</v>
      </c>
      <c r="G97">
        <v>0.45</v>
      </c>
      <c r="H97">
        <v>0</v>
      </c>
      <c r="I97">
        <v>2</v>
      </c>
      <c r="J97">
        <v>1</v>
      </c>
      <c r="K97">
        <v>2</v>
      </c>
      <c r="L97">
        <v>0</v>
      </c>
      <c r="M97">
        <v>32850</v>
      </c>
      <c r="N97">
        <v>16200</v>
      </c>
      <c r="O97">
        <v>32850</v>
      </c>
      <c r="P97">
        <v>6350</v>
      </c>
      <c r="Q97">
        <v>0</v>
      </c>
      <c r="R97">
        <v>65700</v>
      </c>
      <c r="S97">
        <v>32400</v>
      </c>
      <c r="T97">
        <v>65700</v>
      </c>
      <c r="U97">
        <v>81900</v>
      </c>
      <c r="V97">
        <v>163800</v>
      </c>
      <c r="W97">
        <v>496600</v>
      </c>
      <c r="X97">
        <v>8.19</v>
      </c>
      <c r="Y97">
        <v>16.38</v>
      </c>
      <c r="Z97">
        <v>6938</v>
      </c>
      <c r="AA97">
        <v>1</v>
      </c>
      <c r="AB97">
        <v>6938</v>
      </c>
      <c r="AC97">
        <v>13876</v>
      </c>
      <c r="AD97">
        <v>47112</v>
      </c>
      <c r="AE97">
        <v>5.7816666666666698</v>
      </c>
      <c r="AF97">
        <v>11.563333333333301</v>
      </c>
      <c r="AG97">
        <v>6938</v>
      </c>
      <c r="AH97">
        <v>13876</v>
      </c>
      <c r="AI97">
        <v>47116</v>
      </c>
      <c r="AJ97">
        <v>13.9716666666667</v>
      </c>
      <c r="AK97">
        <v>275</v>
      </c>
      <c r="AL97">
        <v>550</v>
      </c>
      <c r="AM97">
        <v>1160</v>
      </c>
      <c r="AN97">
        <v>2320</v>
      </c>
      <c r="AO97">
        <v>19.6826911606823</v>
      </c>
      <c r="AP97">
        <v>115.633333333333</v>
      </c>
      <c r="AQ97">
        <v>1.9272222222222199</v>
      </c>
      <c r="AR97">
        <v>23558</v>
      </c>
      <c r="AS97">
        <v>248525</v>
      </c>
      <c r="AT97">
        <v>32850</v>
      </c>
    </row>
    <row r="98" spans="1:46">
      <c r="A98" t="s">
        <v>249</v>
      </c>
      <c r="B98">
        <v>15</v>
      </c>
      <c r="C98" t="s">
        <v>265</v>
      </c>
      <c r="D98">
        <v>2</v>
      </c>
      <c r="E98">
        <v>0</v>
      </c>
      <c r="F98">
        <v>0</v>
      </c>
      <c r="G98">
        <v>0.4</v>
      </c>
      <c r="H98">
        <v>0</v>
      </c>
      <c r="I98">
        <v>2</v>
      </c>
      <c r="J98">
        <v>1</v>
      </c>
      <c r="K98">
        <v>2</v>
      </c>
      <c r="L98">
        <v>0</v>
      </c>
      <c r="M98">
        <v>44000</v>
      </c>
      <c r="N98">
        <v>22000</v>
      </c>
      <c r="O98">
        <v>44000</v>
      </c>
      <c r="P98">
        <v>7025</v>
      </c>
      <c r="Q98">
        <v>0</v>
      </c>
      <c r="R98">
        <v>88000</v>
      </c>
      <c r="S98">
        <v>44000</v>
      </c>
      <c r="T98">
        <v>88000</v>
      </c>
      <c r="U98">
        <v>110000</v>
      </c>
      <c r="V98">
        <v>220000</v>
      </c>
      <c r="W98">
        <v>716600</v>
      </c>
      <c r="X98">
        <v>11</v>
      </c>
      <c r="Y98">
        <v>22</v>
      </c>
      <c r="Z98">
        <v>9367</v>
      </c>
      <c r="AA98">
        <v>1</v>
      </c>
      <c r="AB98">
        <v>9367</v>
      </c>
      <c r="AC98">
        <v>18734</v>
      </c>
      <c r="AD98">
        <v>65846</v>
      </c>
      <c r="AE98">
        <v>7.8058333333333296</v>
      </c>
      <c r="AF98">
        <v>15.6116666666667</v>
      </c>
      <c r="AG98">
        <v>9367</v>
      </c>
      <c r="AH98">
        <v>18734</v>
      </c>
      <c r="AI98">
        <v>65850</v>
      </c>
      <c r="AJ98">
        <v>18.8058333333333</v>
      </c>
      <c r="AK98">
        <v>370</v>
      </c>
      <c r="AL98">
        <v>740</v>
      </c>
      <c r="AM98">
        <v>1530</v>
      </c>
      <c r="AN98">
        <v>3060</v>
      </c>
      <c r="AO98">
        <v>19.6747463109851</v>
      </c>
      <c r="AP98">
        <v>156.11666666666699</v>
      </c>
      <c r="AQ98">
        <v>2.60194444444444</v>
      </c>
      <c r="AR98">
        <v>32925</v>
      </c>
      <c r="AS98">
        <v>358525</v>
      </c>
      <c r="AT98">
        <v>44000</v>
      </c>
    </row>
    <row r="99" spans="1:46">
      <c r="A99" t="s">
        <v>249</v>
      </c>
      <c r="B99">
        <v>16</v>
      </c>
      <c r="C99" t="s">
        <v>266</v>
      </c>
      <c r="D99">
        <v>2</v>
      </c>
      <c r="E99">
        <v>0</v>
      </c>
      <c r="F99">
        <v>0</v>
      </c>
      <c r="G99">
        <v>0.35</v>
      </c>
      <c r="H99">
        <v>0</v>
      </c>
      <c r="I99">
        <v>2</v>
      </c>
      <c r="J99">
        <v>1</v>
      </c>
      <c r="K99">
        <v>2</v>
      </c>
      <c r="L99">
        <v>0</v>
      </c>
      <c r="M99">
        <v>52500</v>
      </c>
      <c r="N99">
        <v>25900</v>
      </c>
      <c r="O99">
        <v>52500</v>
      </c>
      <c r="P99">
        <v>5225</v>
      </c>
      <c r="Q99">
        <v>0</v>
      </c>
      <c r="R99">
        <v>105000</v>
      </c>
      <c r="S99">
        <v>51800</v>
      </c>
      <c r="T99">
        <v>105000</v>
      </c>
      <c r="U99">
        <v>130900</v>
      </c>
      <c r="V99">
        <v>261800</v>
      </c>
      <c r="W99">
        <v>978400</v>
      </c>
      <c r="X99">
        <v>13.09</v>
      </c>
      <c r="Y99">
        <v>26.18</v>
      </c>
      <c r="Z99">
        <v>12645</v>
      </c>
      <c r="AA99">
        <v>1</v>
      </c>
      <c r="AB99">
        <v>12645</v>
      </c>
      <c r="AC99">
        <v>25290</v>
      </c>
      <c r="AD99">
        <v>91136</v>
      </c>
      <c r="AE99">
        <v>10.5375</v>
      </c>
      <c r="AF99">
        <v>21.074999999999999</v>
      </c>
      <c r="AG99">
        <v>12645</v>
      </c>
      <c r="AH99">
        <v>25290</v>
      </c>
      <c r="AI99">
        <v>91140</v>
      </c>
      <c r="AJ99">
        <v>23.627500000000001</v>
      </c>
      <c r="AK99">
        <v>500</v>
      </c>
      <c r="AL99">
        <v>1000</v>
      </c>
      <c r="AM99">
        <v>2030</v>
      </c>
      <c r="AN99">
        <v>4060</v>
      </c>
      <c r="AO99">
        <v>21.161781822029401</v>
      </c>
      <c r="AP99">
        <v>210.75</v>
      </c>
      <c r="AQ99">
        <v>3.5125000000000002</v>
      </c>
      <c r="AR99">
        <v>45570</v>
      </c>
      <c r="AS99">
        <v>489425</v>
      </c>
      <c r="AT99">
        <v>52500</v>
      </c>
    </row>
    <row r="100" spans="1:46">
      <c r="A100" t="s">
        <v>249</v>
      </c>
      <c r="B100">
        <v>17</v>
      </c>
      <c r="C100" t="s">
        <v>267</v>
      </c>
      <c r="D100">
        <v>2</v>
      </c>
      <c r="E100">
        <v>0</v>
      </c>
      <c r="F100">
        <v>0</v>
      </c>
      <c r="G100">
        <v>0.3</v>
      </c>
      <c r="H100">
        <v>0</v>
      </c>
      <c r="I100">
        <v>2</v>
      </c>
      <c r="J100">
        <v>1</v>
      </c>
      <c r="K100">
        <v>2</v>
      </c>
      <c r="L100">
        <v>0</v>
      </c>
      <c r="M100">
        <v>57000</v>
      </c>
      <c r="N100">
        <v>28800</v>
      </c>
      <c r="O100">
        <v>57000</v>
      </c>
      <c r="P100">
        <v>2975</v>
      </c>
      <c r="Q100">
        <v>0</v>
      </c>
      <c r="R100">
        <v>114000</v>
      </c>
      <c r="S100">
        <v>57600</v>
      </c>
      <c r="T100">
        <v>114000</v>
      </c>
      <c r="U100">
        <v>142800</v>
      </c>
      <c r="V100">
        <v>285600</v>
      </c>
      <c r="W100">
        <v>1264000</v>
      </c>
      <c r="X100">
        <v>14.28</v>
      </c>
      <c r="Y100">
        <v>28.56</v>
      </c>
      <c r="Z100">
        <v>17071</v>
      </c>
      <c r="AA100">
        <v>1</v>
      </c>
      <c r="AB100">
        <v>17071</v>
      </c>
      <c r="AC100">
        <v>34142</v>
      </c>
      <c r="AD100">
        <v>125278</v>
      </c>
      <c r="AE100">
        <v>14.2258333333333</v>
      </c>
      <c r="AF100">
        <v>28.4516666666667</v>
      </c>
      <c r="AG100">
        <v>17071</v>
      </c>
      <c r="AH100">
        <v>34142</v>
      </c>
      <c r="AI100">
        <v>125282</v>
      </c>
      <c r="AJ100">
        <v>28.5058333333333</v>
      </c>
      <c r="AK100">
        <v>700</v>
      </c>
      <c r="AL100">
        <v>1400</v>
      </c>
      <c r="AM100">
        <v>2730</v>
      </c>
      <c r="AN100">
        <v>5460</v>
      </c>
      <c r="AO100">
        <v>24.556377349665301</v>
      </c>
      <c r="AP100">
        <v>284.51666666666699</v>
      </c>
      <c r="AQ100">
        <v>4.7419444444444396</v>
      </c>
      <c r="AR100">
        <v>62641</v>
      </c>
      <c r="AS100">
        <v>632225</v>
      </c>
      <c r="AT100">
        <v>57000</v>
      </c>
    </row>
    <row r="101" spans="1:46">
      <c r="A101" t="s">
        <v>249</v>
      </c>
      <c r="B101">
        <v>18</v>
      </c>
      <c r="C101" t="s">
        <v>268</v>
      </c>
      <c r="D101">
        <v>2</v>
      </c>
      <c r="E101">
        <v>0</v>
      </c>
      <c r="F101">
        <v>0</v>
      </c>
      <c r="G101">
        <v>0.25</v>
      </c>
      <c r="H101">
        <v>0</v>
      </c>
      <c r="I101">
        <v>2</v>
      </c>
      <c r="J101">
        <v>1</v>
      </c>
      <c r="K101">
        <v>2</v>
      </c>
      <c r="L101">
        <v>0</v>
      </c>
      <c r="M101">
        <v>62500</v>
      </c>
      <c r="N101">
        <v>32500</v>
      </c>
      <c r="O101">
        <v>62500</v>
      </c>
      <c r="P101">
        <v>3675</v>
      </c>
      <c r="Q101">
        <v>0</v>
      </c>
      <c r="R101">
        <v>125000</v>
      </c>
      <c r="S101">
        <v>65000</v>
      </c>
      <c r="T101">
        <v>125000</v>
      </c>
      <c r="U101">
        <v>157500</v>
      </c>
      <c r="V101">
        <v>315000</v>
      </c>
      <c r="W101">
        <v>1579000</v>
      </c>
      <c r="X101">
        <v>15.75</v>
      </c>
      <c r="Y101">
        <v>31.5</v>
      </c>
      <c r="Z101">
        <v>23046</v>
      </c>
      <c r="AA101">
        <v>1</v>
      </c>
      <c r="AB101">
        <v>23046</v>
      </c>
      <c r="AC101">
        <v>46092</v>
      </c>
      <c r="AD101">
        <v>171370</v>
      </c>
      <c r="AE101">
        <v>19.204999999999998</v>
      </c>
      <c r="AF101">
        <v>38.409999999999997</v>
      </c>
      <c r="AG101">
        <v>23046</v>
      </c>
      <c r="AH101">
        <v>46092</v>
      </c>
      <c r="AI101">
        <v>171374</v>
      </c>
      <c r="AJ101">
        <v>34.954999999999998</v>
      </c>
      <c r="AK101">
        <v>950</v>
      </c>
      <c r="AL101">
        <v>1900</v>
      </c>
      <c r="AM101">
        <v>3680</v>
      </c>
      <c r="AN101">
        <v>7360</v>
      </c>
      <c r="AO101">
        <v>27.1778000286082</v>
      </c>
      <c r="AP101">
        <v>384.1</v>
      </c>
      <c r="AQ101">
        <v>6.4016666666666699</v>
      </c>
      <c r="AR101">
        <v>85687</v>
      </c>
      <c r="AS101">
        <v>789725</v>
      </c>
      <c r="AT101">
        <v>62500</v>
      </c>
    </row>
    <row r="102" spans="1:46">
      <c r="A102" t="s">
        <v>249</v>
      </c>
      <c r="B102">
        <v>19</v>
      </c>
      <c r="C102" t="s">
        <v>269</v>
      </c>
      <c r="D102">
        <v>2</v>
      </c>
      <c r="E102">
        <v>0</v>
      </c>
      <c r="F102">
        <v>0</v>
      </c>
      <c r="G102">
        <v>0.2</v>
      </c>
      <c r="H102">
        <v>0</v>
      </c>
      <c r="I102">
        <v>2</v>
      </c>
      <c r="J102">
        <v>1</v>
      </c>
      <c r="K102">
        <v>2</v>
      </c>
      <c r="L102">
        <v>0</v>
      </c>
      <c r="M102">
        <v>66000</v>
      </c>
      <c r="N102">
        <v>32000</v>
      </c>
      <c r="O102">
        <v>66000</v>
      </c>
      <c r="P102">
        <v>1625</v>
      </c>
      <c r="Q102">
        <v>0</v>
      </c>
      <c r="R102">
        <v>132000</v>
      </c>
      <c r="S102">
        <v>64000</v>
      </c>
      <c r="T102">
        <v>132000</v>
      </c>
      <c r="U102">
        <v>164000</v>
      </c>
      <c r="V102">
        <v>328000</v>
      </c>
      <c r="W102">
        <v>1907000</v>
      </c>
      <c r="X102">
        <v>16.399999999999999</v>
      </c>
      <c r="Y102">
        <v>32.799999999999997</v>
      </c>
      <c r="Z102">
        <v>34569</v>
      </c>
      <c r="AA102">
        <v>1</v>
      </c>
      <c r="AB102">
        <v>34569</v>
      </c>
      <c r="AC102">
        <v>69138</v>
      </c>
      <c r="AD102">
        <v>240508</v>
      </c>
      <c r="AE102">
        <v>28.807500000000001</v>
      </c>
      <c r="AF102">
        <v>57.615000000000002</v>
      </c>
      <c r="AG102">
        <v>34569</v>
      </c>
      <c r="AH102">
        <v>69138</v>
      </c>
      <c r="AI102">
        <v>240512</v>
      </c>
      <c r="AJ102">
        <v>45.207500000000003</v>
      </c>
      <c r="AK102">
        <v>1300</v>
      </c>
      <c r="AL102">
        <v>2600</v>
      </c>
      <c r="AM102">
        <v>4980</v>
      </c>
      <c r="AN102">
        <v>9960</v>
      </c>
      <c r="AO102">
        <v>28.756290438533401</v>
      </c>
      <c r="AP102">
        <v>576.15</v>
      </c>
      <c r="AQ102">
        <v>9.6024999999999991</v>
      </c>
      <c r="AR102">
        <v>120256</v>
      </c>
      <c r="AS102">
        <v>953725</v>
      </c>
      <c r="AT102">
        <v>66000</v>
      </c>
    </row>
    <row r="103" spans="1:46">
      <c r="A103" t="s">
        <v>249</v>
      </c>
      <c r="B103">
        <v>20</v>
      </c>
      <c r="C103" t="s">
        <v>270</v>
      </c>
      <c r="D103">
        <v>2</v>
      </c>
      <c r="E103">
        <v>0</v>
      </c>
      <c r="F103">
        <v>0</v>
      </c>
      <c r="G103">
        <v>0.15</v>
      </c>
      <c r="H103">
        <v>0</v>
      </c>
      <c r="I103">
        <v>2</v>
      </c>
      <c r="J103">
        <v>1</v>
      </c>
      <c r="K103">
        <v>2</v>
      </c>
      <c r="L103">
        <v>0</v>
      </c>
      <c r="M103">
        <v>63000</v>
      </c>
      <c r="N103">
        <v>31500</v>
      </c>
      <c r="O103">
        <v>63000</v>
      </c>
      <c r="P103">
        <v>-1625</v>
      </c>
      <c r="Q103">
        <v>0</v>
      </c>
      <c r="R103">
        <v>126000</v>
      </c>
      <c r="S103">
        <v>63000</v>
      </c>
      <c r="T103">
        <v>126000</v>
      </c>
      <c r="U103">
        <v>157500</v>
      </c>
      <c r="V103">
        <v>315000</v>
      </c>
      <c r="W103">
        <v>2222000</v>
      </c>
      <c r="X103">
        <v>15.75</v>
      </c>
      <c r="Y103">
        <v>31.5</v>
      </c>
      <c r="Z103">
        <v>51854</v>
      </c>
      <c r="AA103">
        <v>1</v>
      </c>
      <c r="AB103">
        <v>51854</v>
      </c>
      <c r="AC103">
        <v>103708</v>
      </c>
      <c r="AD103">
        <v>344216</v>
      </c>
      <c r="AE103">
        <v>43.211666666666702</v>
      </c>
      <c r="AF103">
        <v>86.423333333333304</v>
      </c>
      <c r="AG103">
        <v>51854</v>
      </c>
      <c r="AH103">
        <v>103708</v>
      </c>
      <c r="AI103">
        <v>344220</v>
      </c>
      <c r="AJ103">
        <v>58.961666666666702</v>
      </c>
      <c r="AK103">
        <v>1750</v>
      </c>
      <c r="AL103">
        <v>3500</v>
      </c>
      <c r="AM103">
        <v>6730</v>
      </c>
      <c r="AN103">
        <v>13460</v>
      </c>
      <c r="AO103">
        <v>29.680300760381002</v>
      </c>
      <c r="AP103">
        <v>864.23333333333301</v>
      </c>
      <c r="AQ103">
        <v>14.403888888888901</v>
      </c>
      <c r="AR103">
        <v>172110</v>
      </c>
      <c r="AS103">
        <v>1111225</v>
      </c>
      <c r="AT103">
        <v>63000</v>
      </c>
    </row>
    <row r="104" spans="1:46">
      <c r="A104" t="s">
        <v>271</v>
      </c>
      <c r="B104">
        <v>1</v>
      </c>
      <c r="C104" t="s">
        <v>272</v>
      </c>
      <c r="D104">
        <v>2</v>
      </c>
      <c r="E104">
        <v>0</v>
      </c>
      <c r="F104">
        <v>0</v>
      </c>
      <c r="G104">
        <v>1</v>
      </c>
      <c r="H104">
        <v>0</v>
      </c>
      <c r="I104">
        <v>2</v>
      </c>
      <c r="J104">
        <v>0</v>
      </c>
      <c r="K104">
        <v>0</v>
      </c>
      <c r="L104">
        <v>0</v>
      </c>
      <c r="M104">
        <v>75</v>
      </c>
      <c r="N104">
        <v>0</v>
      </c>
      <c r="O104">
        <v>0</v>
      </c>
      <c r="P104">
        <v>18.75</v>
      </c>
      <c r="Q104">
        <v>0</v>
      </c>
      <c r="R104">
        <v>150</v>
      </c>
      <c r="S104">
        <v>0</v>
      </c>
      <c r="T104">
        <v>0</v>
      </c>
      <c r="U104">
        <v>75</v>
      </c>
      <c r="V104">
        <v>150</v>
      </c>
      <c r="W104">
        <v>150</v>
      </c>
      <c r="X104">
        <v>7.4999999999999997E-3</v>
      </c>
      <c r="Y104">
        <v>1.4999999999999999E-2</v>
      </c>
      <c r="Z104">
        <v>6</v>
      </c>
      <c r="AA104">
        <v>1E-3</v>
      </c>
      <c r="AB104">
        <v>1</v>
      </c>
      <c r="AC104">
        <v>2</v>
      </c>
      <c r="AD104">
        <v>2</v>
      </c>
      <c r="AE104">
        <v>8.3333333333333295E-4</v>
      </c>
      <c r="AF104">
        <v>1.66666666666667E-3</v>
      </c>
      <c r="AG104">
        <v>1</v>
      </c>
      <c r="AH104">
        <v>2</v>
      </c>
      <c r="AI104">
        <v>2</v>
      </c>
      <c r="AJ104">
        <v>8.3333333333333297E-3</v>
      </c>
      <c r="AK104">
        <v>15</v>
      </c>
      <c r="AL104">
        <v>30</v>
      </c>
      <c r="AM104">
        <v>20</v>
      </c>
      <c r="AN104">
        <v>40</v>
      </c>
      <c r="AO104">
        <v>1800</v>
      </c>
      <c r="AP104">
        <v>1.6666666666666701E-2</v>
      </c>
      <c r="AQ104">
        <v>2.7777777777777799E-4</v>
      </c>
      <c r="AR104">
        <v>1</v>
      </c>
      <c r="AS104">
        <v>75</v>
      </c>
      <c r="AT104">
        <v>75</v>
      </c>
    </row>
    <row r="105" spans="1:46">
      <c r="A105" t="s">
        <v>271</v>
      </c>
      <c r="B105">
        <v>2</v>
      </c>
      <c r="C105" t="s">
        <v>274</v>
      </c>
      <c r="D105">
        <v>2</v>
      </c>
      <c r="E105">
        <v>0</v>
      </c>
      <c r="F105">
        <v>0</v>
      </c>
      <c r="G105">
        <v>1</v>
      </c>
      <c r="H105">
        <v>0</v>
      </c>
      <c r="I105">
        <v>2</v>
      </c>
      <c r="J105">
        <v>0</v>
      </c>
      <c r="K105">
        <v>0</v>
      </c>
      <c r="L105">
        <v>0</v>
      </c>
      <c r="M105">
        <v>150</v>
      </c>
      <c r="N105">
        <v>0</v>
      </c>
      <c r="O105">
        <v>0</v>
      </c>
      <c r="P105">
        <v>18.75</v>
      </c>
      <c r="Q105">
        <v>0</v>
      </c>
      <c r="R105">
        <v>300</v>
      </c>
      <c r="S105">
        <v>0</v>
      </c>
      <c r="T105">
        <v>0</v>
      </c>
      <c r="U105">
        <v>150</v>
      </c>
      <c r="V105">
        <v>300</v>
      </c>
      <c r="W105">
        <v>300</v>
      </c>
      <c r="X105">
        <v>1.4999999999999999E-2</v>
      </c>
      <c r="Y105">
        <v>0.03</v>
      </c>
      <c r="Z105">
        <v>12</v>
      </c>
      <c r="AA105">
        <v>6.0999999999999999E-2</v>
      </c>
      <c r="AB105">
        <v>1</v>
      </c>
      <c r="AC105">
        <v>2</v>
      </c>
      <c r="AD105">
        <v>2</v>
      </c>
      <c r="AE105">
        <v>8.3333333333333295E-4</v>
      </c>
      <c r="AF105">
        <v>1.66666666666667E-3</v>
      </c>
      <c r="AG105">
        <v>1</v>
      </c>
      <c r="AH105">
        <v>2</v>
      </c>
      <c r="AI105">
        <v>4</v>
      </c>
      <c r="AJ105">
        <v>1.58333333333333E-2</v>
      </c>
      <c r="AK105">
        <v>18</v>
      </c>
      <c r="AL105">
        <v>36</v>
      </c>
      <c r="AM105">
        <v>40</v>
      </c>
      <c r="AN105">
        <v>80</v>
      </c>
      <c r="AO105">
        <v>1136.84210526316</v>
      </c>
      <c r="AP105">
        <v>1.6666666666666701E-2</v>
      </c>
      <c r="AQ105">
        <v>2.7777777777777799E-4</v>
      </c>
      <c r="AR105">
        <v>2</v>
      </c>
      <c r="AS105">
        <v>225</v>
      </c>
      <c r="AT105">
        <v>150</v>
      </c>
    </row>
    <row r="106" spans="1:46">
      <c r="A106" t="s">
        <v>271</v>
      </c>
      <c r="B106">
        <v>3</v>
      </c>
      <c r="C106" t="s">
        <v>275</v>
      </c>
      <c r="D106">
        <v>2</v>
      </c>
      <c r="E106">
        <v>0</v>
      </c>
      <c r="F106">
        <v>0</v>
      </c>
      <c r="G106">
        <v>1</v>
      </c>
      <c r="H106">
        <v>0</v>
      </c>
      <c r="I106">
        <v>2</v>
      </c>
      <c r="J106">
        <v>0</v>
      </c>
      <c r="K106">
        <v>0</v>
      </c>
      <c r="L106">
        <v>0</v>
      </c>
      <c r="M106">
        <v>300</v>
      </c>
      <c r="N106">
        <v>0</v>
      </c>
      <c r="O106">
        <v>0</v>
      </c>
      <c r="P106">
        <v>37.5</v>
      </c>
      <c r="Q106">
        <v>0</v>
      </c>
      <c r="R106">
        <v>600</v>
      </c>
      <c r="S106">
        <v>0</v>
      </c>
      <c r="T106">
        <v>0</v>
      </c>
      <c r="U106">
        <v>300</v>
      </c>
      <c r="V106">
        <v>600</v>
      </c>
      <c r="W106">
        <v>600</v>
      </c>
      <c r="X106">
        <v>0.03</v>
      </c>
      <c r="Y106">
        <v>0.06</v>
      </c>
      <c r="Z106">
        <v>24</v>
      </c>
      <c r="AA106">
        <v>0.1</v>
      </c>
      <c r="AB106">
        <v>2</v>
      </c>
      <c r="AC106">
        <v>4</v>
      </c>
      <c r="AD106">
        <v>4</v>
      </c>
      <c r="AE106">
        <v>1.66666666666667E-3</v>
      </c>
      <c r="AF106">
        <v>3.3333333333333301E-3</v>
      </c>
      <c r="AG106">
        <v>2</v>
      </c>
      <c r="AH106">
        <v>4</v>
      </c>
      <c r="AI106">
        <v>8</v>
      </c>
      <c r="AJ106">
        <v>3.1666666666666697E-2</v>
      </c>
      <c r="AK106">
        <v>21</v>
      </c>
      <c r="AL106">
        <v>42</v>
      </c>
      <c r="AM106">
        <v>60</v>
      </c>
      <c r="AN106">
        <v>120</v>
      </c>
      <c r="AO106">
        <v>663.15789473684197</v>
      </c>
      <c r="AP106">
        <v>3.3333333333333298E-2</v>
      </c>
      <c r="AQ106">
        <v>5.5555555555555599E-4</v>
      </c>
      <c r="AR106">
        <v>4</v>
      </c>
      <c r="AS106">
        <v>525</v>
      </c>
      <c r="AT106">
        <v>300</v>
      </c>
    </row>
    <row r="107" spans="1:46">
      <c r="A107" t="s">
        <v>271</v>
      </c>
      <c r="B107">
        <v>4</v>
      </c>
      <c r="C107" t="s">
        <v>276</v>
      </c>
      <c r="D107">
        <v>2</v>
      </c>
      <c r="E107">
        <v>0</v>
      </c>
      <c r="F107">
        <v>0</v>
      </c>
      <c r="G107">
        <v>1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600</v>
      </c>
      <c r="N107">
        <v>0</v>
      </c>
      <c r="O107">
        <v>0</v>
      </c>
      <c r="P107">
        <v>75</v>
      </c>
      <c r="Q107">
        <v>0</v>
      </c>
      <c r="R107">
        <v>1200</v>
      </c>
      <c r="S107">
        <v>0</v>
      </c>
      <c r="T107">
        <v>0</v>
      </c>
      <c r="U107">
        <v>600</v>
      </c>
      <c r="V107">
        <v>1200</v>
      </c>
      <c r="W107">
        <v>1800</v>
      </c>
      <c r="X107">
        <v>0.06</v>
      </c>
      <c r="Y107">
        <v>0.12</v>
      </c>
      <c r="Z107">
        <v>48</v>
      </c>
      <c r="AA107">
        <v>0.5</v>
      </c>
      <c r="AB107">
        <v>24</v>
      </c>
      <c r="AC107">
        <v>48</v>
      </c>
      <c r="AD107">
        <v>52</v>
      </c>
      <c r="AE107">
        <v>0.02</v>
      </c>
      <c r="AF107">
        <v>0.04</v>
      </c>
      <c r="AG107">
        <v>24</v>
      </c>
      <c r="AH107">
        <v>48</v>
      </c>
      <c r="AI107">
        <v>56</v>
      </c>
      <c r="AJ107">
        <v>0.08</v>
      </c>
      <c r="AK107">
        <v>26</v>
      </c>
      <c r="AL107">
        <v>52</v>
      </c>
      <c r="AM107">
        <v>90</v>
      </c>
      <c r="AN107">
        <v>180</v>
      </c>
      <c r="AO107">
        <v>325</v>
      </c>
      <c r="AP107">
        <v>0.4</v>
      </c>
      <c r="AQ107">
        <v>6.6666666666666697E-3</v>
      </c>
      <c r="AR107">
        <v>28</v>
      </c>
      <c r="AS107">
        <v>1125</v>
      </c>
      <c r="AT107">
        <v>600</v>
      </c>
    </row>
    <row r="108" spans="1:46">
      <c r="A108" t="s">
        <v>271</v>
      </c>
      <c r="B108">
        <v>5</v>
      </c>
      <c r="C108" t="s">
        <v>277</v>
      </c>
      <c r="D108">
        <v>2</v>
      </c>
      <c r="E108">
        <v>0</v>
      </c>
      <c r="F108">
        <v>0</v>
      </c>
      <c r="G108">
        <v>1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1200</v>
      </c>
      <c r="N108">
        <v>0</v>
      </c>
      <c r="O108">
        <v>0</v>
      </c>
      <c r="P108">
        <v>150</v>
      </c>
      <c r="Q108">
        <v>0</v>
      </c>
      <c r="R108">
        <v>2400</v>
      </c>
      <c r="S108">
        <v>0</v>
      </c>
      <c r="T108">
        <v>0</v>
      </c>
      <c r="U108">
        <v>1200</v>
      </c>
      <c r="V108">
        <v>2400</v>
      </c>
      <c r="W108">
        <v>4200</v>
      </c>
      <c r="X108">
        <v>0.12</v>
      </c>
      <c r="Y108">
        <v>0.24</v>
      </c>
      <c r="Z108">
        <v>96</v>
      </c>
      <c r="AA108">
        <v>0.9</v>
      </c>
      <c r="AB108">
        <v>86</v>
      </c>
      <c r="AC108">
        <v>172</v>
      </c>
      <c r="AD108">
        <v>224</v>
      </c>
      <c r="AE108">
        <v>7.1666666666666698E-2</v>
      </c>
      <c r="AF108">
        <v>0.14333333333333301</v>
      </c>
      <c r="AG108">
        <v>86</v>
      </c>
      <c r="AH108">
        <v>172</v>
      </c>
      <c r="AI108">
        <v>228</v>
      </c>
      <c r="AJ108">
        <v>0.19166666666666701</v>
      </c>
      <c r="AK108">
        <v>31</v>
      </c>
      <c r="AL108">
        <v>62</v>
      </c>
      <c r="AM108">
        <v>120</v>
      </c>
      <c r="AN108">
        <v>240</v>
      </c>
      <c r="AO108">
        <v>161.73913043478299</v>
      </c>
      <c r="AP108">
        <v>1.43333333333333</v>
      </c>
      <c r="AQ108">
        <v>2.38888888888889E-2</v>
      </c>
      <c r="AR108">
        <v>114</v>
      </c>
      <c r="AS108">
        <v>2325</v>
      </c>
      <c r="AT108">
        <v>1200</v>
      </c>
    </row>
    <row r="109" spans="1:46">
      <c r="A109" t="s">
        <v>271</v>
      </c>
      <c r="B109">
        <v>6</v>
      </c>
      <c r="C109" t="s">
        <v>278</v>
      </c>
      <c r="D109">
        <v>2</v>
      </c>
      <c r="E109">
        <v>0</v>
      </c>
      <c r="F109">
        <v>0</v>
      </c>
      <c r="G109">
        <v>0.9</v>
      </c>
      <c r="H109">
        <v>0</v>
      </c>
      <c r="I109">
        <v>2</v>
      </c>
      <c r="J109">
        <v>2</v>
      </c>
      <c r="K109">
        <v>0</v>
      </c>
      <c r="L109">
        <v>0</v>
      </c>
      <c r="M109">
        <v>1080</v>
      </c>
      <c r="N109">
        <v>1080</v>
      </c>
      <c r="O109">
        <v>0</v>
      </c>
      <c r="P109">
        <v>240</v>
      </c>
      <c r="Q109">
        <v>0</v>
      </c>
      <c r="R109">
        <v>2160</v>
      </c>
      <c r="S109">
        <v>2160</v>
      </c>
      <c r="T109">
        <v>0</v>
      </c>
      <c r="U109">
        <v>2160</v>
      </c>
      <c r="V109">
        <v>4320</v>
      </c>
      <c r="W109">
        <v>8520</v>
      </c>
      <c r="X109">
        <v>0.216</v>
      </c>
      <c r="Y109">
        <v>0.432</v>
      </c>
      <c r="Z109">
        <v>192</v>
      </c>
      <c r="AA109">
        <v>1</v>
      </c>
      <c r="AB109">
        <v>192</v>
      </c>
      <c r="AC109">
        <v>384</v>
      </c>
      <c r="AD109">
        <v>608</v>
      </c>
      <c r="AE109">
        <v>0.16</v>
      </c>
      <c r="AF109">
        <v>0.32</v>
      </c>
      <c r="AG109">
        <v>192</v>
      </c>
      <c r="AH109">
        <v>384</v>
      </c>
      <c r="AI109">
        <v>612</v>
      </c>
      <c r="AJ109">
        <v>0.376</v>
      </c>
      <c r="AK109">
        <v>37</v>
      </c>
      <c r="AL109">
        <v>74</v>
      </c>
      <c r="AM109">
        <v>160</v>
      </c>
      <c r="AN109">
        <v>320</v>
      </c>
      <c r="AO109">
        <v>98.404255319148902</v>
      </c>
      <c r="AP109">
        <v>3.2</v>
      </c>
      <c r="AQ109">
        <v>5.3333333333333302E-2</v>
      </c>
      <c r="AR109">
        <v>306</v>
      </c>
      <c r="AS109">
        <v>4485</v>
      </c>
      <c r="AT109">
        <v>1080</v>
      </c>
    </row>
    <row r="110" spans="1:46">
      <c r="A110" t="s">
        <v>271</v>
      </c>
      <c r="B110">
        <v>7</v>
      </c>
      <c r="C110" t="s">
        <v>279</v>
      </c>
      <c r="D110">
        <v>2</v>
      </c>
      <c r="E110">
        <v>0</v>
      </c>
      <c r="F110">
        <v>0</v>
      </c>
      <c r="G110">
        <v>0.8</v>
      </c>
      <c r="H110">
        <v>0</v>
      </c>
      <c r="I110">
        <v>2</v>
      </c>
      <c r="J110">
        <v>2</v>
      </c>
      <c r="K110">
        <v>0</v>
      </c>
      <c r="L110">
        <v>0</v>
      </c>
      <c r="M110">
        <v>1920</v>
      </c>
      <c r="N110">
        <v>1920</v>
      </c>
      <c r="O110">
        <v>0</v>
      </c>
      <c r="P110">
        <v>420</v>
      </c>
      <c r="Q110">
        <v>0</v>
      </c>
      <c r="R110">
        <v>3840</v>
      </c>
      <c r="S110">
        <v>3840</v>
      </c>
      <c r="T110">
        <v>0</v>
      </c>
      <c r="U110">
        <v>3840</v>
      </c>
      <c r="V110">
        <v>7680</v>
      </c>
      <c r="W110">
        <v>16200</v>
      </c>
      <c r="X110">
        <v>0.38400000000000001</v>
      </c>
      <c r="Y110">
        <v>0.76800000000000002</v>
      </c>
      <c r="Z110">
        <v>384</v>
      </c>
      <c r="AA110">
        <v>1</v>
      </c>
      <c r="AB110">
        <v>384</v>
      </c>
      <c r="AC110">
        <v>768</v>
      </c>
      <c r="AD110">
        <v>1376</v>
      </c>
      <c r="AE110">
        <v>0.32</v>
      </c>
      <c r="AF110">
        <v>0.64</v>
      </c>
      <c r="AG110">
        <v>384</v>
      </c>
      <c r="AH110">
        <v>768</v>
      </c>
      <c r="AI110">
        <v>1380</v>
      </c>
      <c r="AJ110">
        <v>0.70399999999999996</v>
      </c>
      <c r="AK110">
        <v>44</v>
      </c>
      <c r="AL110">
        <v>88</v>
      </c>
      <c r="AM110">
        <v>200</v>
      </c>
      <c r="AN110">
        <v>400</v>
      </c>
      <c r="AO110">
        <v>62.5</v>
      </c>
      <c r="AP110">
        <v>6.4</v>
      </c>
      <c r="AQ110">
        <v>0.10666666666666701</v>
      </c>
      <c r="AR110">
        <v>690</v>
      </c>
      <c r="AS110">
        <v>8325</v>
      </c>
      <c r="AT110">
        <v>1920</v>
      </c>
    </row>
    <row r="111" spans="1:46">
      <c r="A111" t="s">
        <v>271</v>
      </c>
      <c r="B111">
        <v>8</v>
      </c>
      <c r="C111" t="s">
        <v>280</v>
      </c>
      <c r="D111">
        <v>2</v>
      </c>
      <c r="E111">
        <v>0</v>
      </c>
      <c r="F111">
        <v>0</v>
      </c>
      <c r="G111">
        <v>0.75</v>
      </c>
      <c r="H111">
        <v>0</v>
      </c>
      <c r="I111">
        <v>2</v>
      </c>
      <c r="J111">
        <v>2</v>
      </c>
      <c r="K111">
        <v>0</v>
      </c>
      <c r="L111">
        <v>0</v>
      </c>
      <c r="M111">
        <v>3600</v>
      </c>
      <c r="N111">
        <v>3600</v>
      </c>
      <c r="O111">
        <v>0</v>
      </c>
      <c r="P111">
        <v>840</v>
      </c>
      <c r="Q111">
        <v>0</v>
      </c>
      <c r="R111">
        <v>7200</v>
      </c>
      <c r="S111">
        <v>7200</v>
      </c>
      <c r="T111">
        <v>0</v>
      </c>
      <c r="U111">
        <v>7200</v>
      </c>
      <c r="V111">
        <v>14400</v>
      </c>
      <c r="W111">
        <v>30600</v>
      </c>
      <c r="X111">
        <v>0.72</v>
      </c>
      <c r="Y111">
        <v>1.44</v>
      </c>
      <c r="Z111">
        <v>768</v>
      </c>
      <c r="AA111">
        <v>1</v>
      </c>
      <c r="AB111">
        <v>768</v>
      </c>
      <c r="AC111">
        <v>1536</v>
      </c>
      <c r="AD111">
        <v>2912</v>
      </c>
      <c r="AE111">
        <v>0.64</v>
      </c>
      <c r="AF111">
        <v>1.28</v>
      </c>
      <c r="AG111">
        <v>768</v>
      </c>
      <c r="AH111">
        <v>1536</v>
      </c>
      <c r="AI111">
        <v>2916</v>
      </c>
      <c r="AJ111">
        <v>1.36</v>
      </c>
      <c r="AK111">
        <v>55</v>
      </c>
      <c r="AL111">
        <v>110</v>
      </c>
      <c r="AM111">
        <v>260</v>
      </c>
      <c r="AN111">
        <v>520</v>
      </c>
      <c r="AO111">
        <v>40.441176470588204</v>
      </c>
      <c r="AP111">
        <v>12.8</v>
      </c>
      <c r="AQ111">
        <v>0.21333333333333299</v>
      </c>
      <c r="AR111">
        <v>1458</v>
      </c>
      <c r="AS111">
        <v>15525</v>
      </c>
      <c r="AT111">
        <v>3600</v>
      </c>
    </row>
    <row r="112" spans="1:46">
      <c r="A112" t="s">
        <v>271</v>
      </c>
      <c r="B112">
        <v>9</v>
      </c>
      <c r="C112" t="s">
        <v>281</v>
      </c>
      <c r="D112">
        <v>2</v>
      </c>
      <c r="E112">
        <v>0</v>
      </c>
      <c r="F112">
        <v>0</v>
      </c>
      <c r="G112">
        <v>0.7</v>
      </c>
      <c r="H112">
        <v>0</v>
      </c>
      <c r="I112">
        <v>2</v>
      </c>
      <c r="J112">
        <v>2</v>
      </c>
      <c r="K112">
        <v>0</v>
      </c>
      <c r="L112">
        <v>0</v>
      </c>
      <c r="M112">
        <v>5740</v>
      </c>
      <c r="N112">
        <v>5740</v>
      </c>
      <c r="O112">
        <v>0</v>
      </c>
      <c r="P112">
        <v>1070</v>
      </c>
      <c r="Q112">
        <v>0</v>
      </c>
      <c r="R112">
        <v>11480</v>
      </c>
      <c r="S112">
        <v>11480</v>
      </c>
      <c r="T112">
        <v>0</v>
      </c>
      <c r="U112">
        <v>11480</v>
      </c>
      <c r="V112">
        <v>22960</v>
      </c>
      <c r="W112">
        <v>53560</v>
      </c>
      <c r="X112">
        <v>1.1479999999999999</v>
      </c>
      <c r="Y112">
        <v>2.2959999999999998</v>
      </c>
      <c r="Z112">
        <v>1306</v>
      </c>
      <c r="AA112">
        <v>1</v>
      </c>
      <c r="AB112">
        <v>1306</v>
      </c>
      <c r="AC112">
        <v>2612</v>
      </c>
      <c r="AD112">
        <v>5524</v>
      </c>
      <c r="AE112">
        <v>1.08833333333333</v>
      </c>
      <c r="AF112">
        <v>2.1766666666666699</v>
      </c>
      <c r="AG112">
        <v>1306</v>
      </c>
      <c r="AH112">
        <v>2612</v>
      </c>
      <c r="AI112">
        <v>5528</v>
      </c>
      <c r="AJ112">
        <v>2.23633333333333</v>
      </c>
      <c r="AK112">
        <v>65</v>
      </c>
      <c r="AL112">
        <v>130</v>
      </c>
      <c r="AM112">
        <v>330</v>
      </c>
      <c r="AN112">
        <v>660</v>
      </c>
      <c r="AO112">
        <v>29.065434490982302</v>
      </c>
      <c r="AP112">
        <v>21.766666666666701</v>
      </c>
      <c r="AQ112">
        <v>0.36277777777777798</v>
      </c>
      <c r="AR112">
        <v>2764</v>
      </c>
      <c r="AS112">
        <v>27005</v>
      </c>
      <c r="AT112">
        <v>5740</v>
      </c>
    </row>
    <row r="113" spans="1:46">
      <c r="A113" t="s">
        <v>271</v>
      </c>
      <c r="B113">
        <v>10</v>
      </c>
      <c r="C113" t="s">
        <v>282</v>
      </c>
      <c r="D113">
        <v>2</v>
      </c>
      <c r="E113">
        <v>0</v>
      </c>
      <c r="F113">
        <v>0</v>
      </c>
      <c r="G113">
        <v>0.65</v>
      </c>
      <c r="H113">
        <v>0</v>
      </c>
      <c r="I113">
        <v>2</v>
      </c>
      <c r="J113">
        <v>2</v>
      </c>
      <c r="K113">
        <v>0</v>
      </c>
      <c r="L113">
        <v>0</v>
      </c>
      <c r="M113">
        <v>9100</v>
      </c>
      <c r="N113">
        <v>9100</v>
      </c>
      <c r="O113">
        <v>0</v>
      </c>
      <c r="P113">
        <v>1680</v>
      </c>
      <c r="Q113">
        <v>0</v>
      </c>
      <c r="R113">
        <v>18200</v>
      </c>
      <c r="S113">
        <v>18200</v>
      </c>
      <c r="T113">
        <v>0</v>
      </c>
      <c r="U113">
        <v>18200</v>
      </c>
      <c r="V113">
        <v>36400</v>
      </c>
      <c r="W113">
        <v>89960</v>
      </c>
      <c r="X113">
        <v>1.82</v>
      </c>
      <c r="Y113">
        <v>3.64</v>
      </c>
      <c r="Z113">
        <v>2089</v>
      </c>
      <c r="AA113">
        <v>1</v>
      </c>
      <c r="AB113">
        <v>2089</v>
      </c>
      <c r="AC113">
        <v>4178</v>
      </c>
      <c r="AD113">
        <v>9702</v>
      </c>
      <c r="AE113">
        <v>1.7408333333333299</v>
      </c>
      <c r="AF113">
        <v>3.48166666666667</v>
      </c>
      <c r="AG113">
        <v>2089</v>
      </c>
      <c r="AH113">
        <v>4178</v>
      </c>
      <c r="AI113">
        <v>9706</v>
      </c>
      <c r="AJ113">
        <v>3.56083333333333</v>
      </c>
      <c r="AK113">
        <v>80</v>
      </c>
      <c r="AL113">
        <v>160</v>
      </c>
      <c r="AM113">
        <v>410</v>
      </c>
      <c r="AN113">
        <v>820</v>
      </c>
      <c r="AO113">
        <v>22.466651064825701</v>
      </c>
      <c r="AP113">
        <v>34.816666666666698</v>
      </c>
      <c r="AQ113">
        <v>0.580277777777778</v>
      </c>
      <c r="AR113">
        <v>4853</v>
      </c>
      <c r="AS113">
        <v>45205</v>
      </c>
      <c r="AT113">
        <v>9100</v>
      </c>
    </row>
    <row r="114" spans="1:46">
      <c r="A114" t="s">
        <v>271</v>
      </c>
      <c r="B114">
        <v>11</v>
      </c>
      <c r="C114" t="s">
        <v>283</v>
      </c>
      <c r="D114">
        <v>2</v>
      </c>
      <c r="E114">
        <v>0</v>
      </c>
      <c r="F114">
        <v>0</v>
      </c>
      <c r="G114">
        <v>0.6</v>
      </c>
      <c r="H114">
        <v>0</v>
      </c>
      <c r="I114">
        <v>2</v>
      </c>
      <c r="J114">
        <v>2</v>
      </c>
      <c r="K114">
        <v>1</v>
      </c>
      <c r="L114">
        <v>0</v>
      </c>
      <c r="M114">
        <v>10800</v>
      </c>
      <c r="N114">
        <v>10800</v>
      </c>
      <c r="O114">
        <v>5340</v>
      </c>
      <c r="P114">
        <v>2185</v>
      </c>
      <c r="Q114">
        <v>0</v>
      </c>
      <c r="R114">
        <v>21600</v>
      </c>
      <c r="S114">
        <v>21600</v>
      </c>
      <c r="T114">
        <v>10680</v>
      </c>
      <c r="U114">
        <v>26940</v>
      </c>
      <c r="V114">
        <v>53880</v>
      </c>
      <c r="W114">
        <v>143840</v>
      </c>
      <c r="X114">
        <v>2.694</v>
      </c>
      <c r="Y114">
        <v>5.3879999999999999</v>
      </c>
      <c r="Z114">
        <v>2820</v>
      </c>
      <c r="AA114">
        <v>1</v>
      </c>
      <c r="AB114">
        <v>2820</v>
      </c>
      <c r="AC114">
        <v>5640</v>
      </c>
      <c r="AD114">
        <v>15342</v>
      </c>
      <c r="AE114">
        <v>2.35</v>
      </c>
      <c r="AF114">
        <v>4.7</v>
      </c>
      <c r="AG114">
        <v>2820</v>
      </c>
      <c r="AH114">
        <v>5640</v>
      </c>
      <c r="AI114">
        <v>15346</v>
      </c>
      <c r="AJ114">
        <v>5.0439999999999996</v>
      </c>
      <c r="AK114">
        <v>110</v>
      </c>
      <c r="AL114">
        <v>220</v>
      </c>
      <c r="AM114">
        <v>520</v>
      </c>
      <c r="AN114">
        <v>1040</v>
      </c>
      <c r="AO114">
        <v>21.808088818398101</v>
      </c>
      <c r="AP114">
        <v>47</v>
      </c>
      <c r="AQ114">
        <v>0.78333333333333299</v>
      </c>
      <c r="AR114">
        <v>7673</v>
      </c>
      <c r="AS114">
        <v>72145</v>
      </c>
      <c r="AT114">
        <v>10800</v>
      </c>
    </row>
    <row r="115" spans="1:46">
      <c r="A115" t="s">
        <v>271</v>
      </c>
      <c r="B115">
        <v>12</v>
      </c>
      <c r="C115" t="s">
        <v>284</v>
      </c>
      <c r="D115">
        <v>2</v>
      </c>
      <c r="E115">
        <v>0</v>
      </c>
      <c r="F115">
        <v>0</v>
      </c>
      <c r="G115">
        <v>0.55000000000000004</v>
      </c>
      <c r="H115">
        <v>0</v>
      </c>
      <c r="I115">
        <v>2</v>
      </c>
      <c r="J115">
        <v>2</v>
      </c>
      <c r="K115">
        <v>1</v>
      </c>
      <c r="L115">
        <v>0</v>
      </c>
      <c r="M115">
        <v>15400</v>
      </c>
      <c r="N115">
        <v>15400</v>
      </c>
      <c r="O115">
        <v>7700</v>
      </c>
      <c r="P115">
        <v>2890</v>
      </c>
      <c r="Q115">
        <v>0</v>
      </c>
      <c r="R115">
        <v>30800</v>
      </c>
      <c r="S115">
        <v>30800</v>
      </c>
      <c r="T115">
        <v>15400</v>
      </c>
      <c r="U115">
        <v>38500</v>
      </c>
      <c r="V115">
        <v>77000</v>
      </c>
      <c r="W115">
        <v>220840</v>
      </c>
      <c r="X115">
        <v>3.85</v>
      </c>
      <c r="Y115">
        <v>7.7</v>
      </c>
      <c r="Z115">
        <v>3807</v>
      </c>
      <c r="AA115">
        <v>1</v>
      </c>
      <c r="AB115">
        <v>3807</v>
      </c>
      <c r="AC115">
        <v>7614</v>
      </c>
      <c r="AD115">
        <v>22956</v>
      </c>
      <c r="AE115">
        <v>3.1724999999999999</v>
      </c>
      <c r="AF115">
        <v>6.3449999999999998</v>
      </c>
      <c r="AG115">
        <v>3807</v>
      </c>
      <c r="AH115">
        <v>7614</v>
      </c>
      <c r="AI115">
        <v>22960</v>
      </c>
      <c r="AJ115">
        <v>7.0225</v>
      </c>
      <c r="AK115">
        <v>150</v>
      </c>
      <c r="AL115">
        <v>300</v>
      </c>
      <c r="AM115">
        <v>670</v>
      </c>
      <c r="AN115">
        <v>1340</v>
      </c>
      <c r="AO115">
        <v>21.359914560341799</v>
      </c>
      <c r="AP115">
        <v>63.45</v>
      </c>
      <c r="AQ115">
        <v>1.0575000000000001</v>
      </c>
      <c r="AR115">
        <v>11480</v>
      </c>
      <c r="AS115">
        <v>110645</v>
      </c>
      <c r="AT115">
        <v>15400</v>
      </c>
    </row>
    <row r="116" spans="1:46">
      <c r="A116" t="s">
        <v>271</v>
      </c>
      <c r="B116">
        <v>13</v>
      </c>
      <c r="C116" t="s">
        <v>285</v>
      </c>
      <c r="D116">
        <v>2</v>
      </c>
      <c r="E116">
        <v>0</v>
      </c>
      <c r="F116">
        <v>0</v>
      </c>
      <c r="G116">
        <v>0.5</v>
      </c>
      <c r="H116">
        <v>0</v>
      </c>
      <c r="I116">
        <v>2</v>
      </c>
      <c r="J116">
        <v>2</v>
      </c>
      <c r="K116">
        <v>1</v>
      </c>
      <c r="L116">
        <v>0</v>
      </c>
      <c r="M116">
        <v>22500</v>
      </c>
      <c r="N116">
        <v>22500</v>
      </c>
      <c r="O116">
        <v>11500</v>
      </c>
      <c r="P116">
        <v>4500</v>
      </c>
      <c r="Q116">
        <v>0</v>
      </c>
      <c r="R116">
        <v>45000</v>
      </c>
      <c r="S116">
        <v>45000</v>
      </c>
      <c r="T116">
        <v>23000</v>
      </c>
      <c r="U116">
        <v>56500</v>
      </c>
      <c r="V116">
        <v>113000</v>
      </c>
      <c r="W116">
        <v>333840</v>
      </c>
      <c r="X116">
        <v>5.65</v>
      </c>
      <c r="Y116">
        <v>11.3</v>
      </c>
      <c r="Z116">
        <v>5140</v>
      </c>
      <c r="AA116">
        <v>1</v>
      </c>
      <c r="AB116">
        <v>5140</v>
      </c>
      <c r="AC116">
        <v>10280</v>
      </c>
      <c r="AD116">
        <v>33236</v>
      </c>
      <c r="AE116">
        <v>4.2833333333333297</v>
      </c>
      <c r="AF116">
        <v>8.56666666666667</v>
      </c>
      <c r="AG116">
        <v>5140</v>
      </c>
      <c r="AH116">
        <v>10280</v>
      </c>
      <c r="AI116">
        <v>33240</v>
      </c>
      <c r="AJ116">
        <v>9.93333333333333</v>
      </c>
      <c r="AK116">
        <v>205</v>
      </c>
      <c r="AL116">
        <v>410</v>
      </c>
      <c r="AM116">
        <v>880</v>
      </c>
      <c r="AN116">
        <v>1760</v>
      </c>
      <c r="AO116">
        <v>20.6375838926174</v>
      </c>
      <c r="AP116">
        <v>85.6666666666667</v>
      </c>
      <c r="AQ116">
        <v>1.42777777777778</v>
      </c>
      <c r="AR116">
        <v>16620</v>
      </c>
      <c r="AS116">
        <v>167145</v>
      </c>
      <c r="AT116">
        <v>22500</v>
      </c>
    </row>
    <row r="117" spans="1:46">
      <c r="A117" t="s">
        <v>271</v>
      </c>
      <c r="B117">
        <v>14</v>
      </c>
      <c r="C117" t="s">
        <v>286</v>
      </c>
      <c r="D117">
        <v>2</v>
      </c>
      <c r="E117">
        <v>0</v>
      </c>
      <c r="F117">
        <v>0</v>
      </c>
      <c r="G117">
        <v>0.45</v>
      </c>
      <c r="H117">
        <v>0</v>
      </c>
      <c r="I117">
        <v>2</v>
      </c>
      <c r="J117">
        <v>2</v>
      </c>
      <c r="K117">
        <v>1</v>
      </c>
      <c r="L117">
        <v>0</v>
      </c>
      <c r="M117">
        <v>32850</v>
      </c>
      <c r="N117">
        <v>32850</v>
      </c>
      <c r="O117">
        <v>16200</v>
      </c>
      <c r="P117">
        <v>6350</v>
      </c>
      <c r="Q117">
        <v>0</v>
      </c>
      <c r="R117">
        <v>65700</v>
      </c>
      <c r="S117">
        <v>65700</v>
      </c>
      <c r="T117">
        <v>32400</v>
      </c>
      <c r="U117">
        <v>81900</v>
      </c>
      <c r="V117">
        <v>163800</v>
      </c>
      <c r="W117">
        <v>497640</v>
      </c>
      <c r="X117">
        <v>8.19</v>
      </c>
      <c r="Y117">
        <v>16.38</v>
      </c>
      <c r="Z117">
        <v>6938</v>
      </c>
      <c r="AA117">
        <v>1</v>
      </c>
      <c r="AB117">
        <v>6938</v>
      </c>
      <c r="AC117">
        <v>13876</v>
      </c>
      <c r="AD117">
        <v>47112</v>
      </c>
      <c r="AE117">
        <v>5.7816666666666698</v>
      </c>
      <c r="AF117">
        <v>11.563333333333301</v>
      </c>
      <c r="AG117">
        <v>6938</v>
      </c>
      <c r="AH117">
        <v>13876</v>
      </c>
      <c r="AI117">
        <v>47116</v>
      </c>
      <c r="AJ117">
        <v>13.9716666666667</v>
      </c>
      <c r="AK117">
        <v>275</v>
      </c>
      <c r="AL117">
        <v>550</v>
      </c>
      <c r="AM117">
        <v>1160</v>
      </c>
      <c r="AN117">
        <v>2320</v>
      </c>
      <c r="AO117">
        <v>19.6826911606823</v>
      </c>
      <c r="AP117">
        <v>115.633333333333</v>
      </c>
      <c r="AQ117">
        <v>1.9272222222222199</v>
      </c>
      <c r="AR117">
        <v>23558</v>
      </c>
      <c r="AS117">
        <v>249045</v>
      </c>
      <c r="AT117">
        <v>32850</v>
      </c>
    </row>
    <row r="118" spans="1:46">
      <c r="A118" t="s">
        <v>271</v>
      </c>
      <c r="B118">
        <v>15</v>
      </c>
      <c r="C118" t="s">
        <v>287</v>
      </c>
      <c r="D118">
        <v>2</v>
      </c>
      <c r="E118">
        <v>0</v>
      </c>
      <c r="F118">
        <v>0</v>
      </c>
      <c r="G118">
        <v>0.4</v>
      </c>
      <c r="H118">
        <v>0</v>
      </c>
      <c r="I118">
        <v>2</v>
      </c>
      <c r="J118">
        <v>2</v>
      </c>
      <c r="K118">
        <v>1</v>
      </c>
      <c r="L118">
        <v>0</v>
      </c>
      <c r="M118">
        <v>44000</v>
      </c>
      <c r="N118">
        <v>44000</v>
      </c>
      <c r="O118">
        <v>22000</v>
      </c>
      <c r="P118">
        <v>7025</v>
      </c>
      <c r="Q118">
        <v>0</v>
      </c>
      <c r="R118">
        <v>88000</v>
      </c>
      <c r="S118">
        <v>88000</v>
      </c>
      <c r="T118">
        <v>44000</v>
      </c>
      <c r="U118">
        <v>110000</v>
      </c>
      <c r="V118">
        <v>220000</v>
      </c>
      <c r="W118">
        <v>717640</v>
      </c>
      <c r="X118">
        <v>11</v>
      </c>
      <c r="Y118">
        <v>22</v>
      </c>
      <c r="Z118">
        <v>9367</v>
      </c>
      <c r="AA118">
        <v>1</v>
      </c>
      <c r="AB118">
        <v>9367</v>
      </c>
      <c r="AC118">
        <v>18734</v>
      </c>
      <c r="AD118">
        <v>65846</v>
      </c>
      <c r="AE118">
        <v>7.8058333333333296</v>
      </c>
      <c r="AF118">
        <v>15.6116666666667</v>
      </c>
      <c r="AG118">
        <v>9367</v>
      </c>
      <c r="AH118">
        <v>18734</v>
      </c>
      <c r="AI118">
        <v>65850</v>
      </c>
      <c r="AJ118">
        <v>18.8058333333333</v>
      </c>
      <c r="AK118">
        <v>370</v>
      </c>
      <c r="AL118">
        <v>740</v>
      </c>
      <c r="AM118">
        <v>1530</v>
      </c>
      <c r="AN118">
        <v>3060</v>
      </c>
      <c r="AO118">
        <v>19.6747463109851</v>
      </c>
      <c r="AP118">
        <v>156.11666666666699</v>
      </c>
      <c r="AQ118">
        <v>2.60194444444444</v>
      </c>
      <c r="AR118">
        <v>32925</v>
      </c>
      <c r="AS118">
        <v>359045</v>
      </c>
      <c r="AT118">
        <v>44000</v>
      </c>
    </row>
    <row r="119" spans="1:46">
      <c r="A119" t="s">
        <v>271</v>
      </c>
      <c r="B119">
        <v>16</v>
      </c>
      <c r="C119" t="s">
        <v>288</v>
      </c>
      <c r="D119">
        <v>2</v>
      </c>
      <c r="E119">
        <v>0</v>
      </c>
      <c r="F119">
        <v>0</v>
      </c>
      <c r="G119">
        <v>0.35</v>
      </c>
      <c r="H119">
        <v>0</v>
      </c>
      <c r="I119">
        <v>2</v>
      </c>
      <c r="J119">
        <v>2</v>
      </c>
      <c r="K119">
        <v>1</v>
      </c>
      <c r="L119">
        <v>0</v>
      </c>
      <c r="M119">
        <v>52500</v>
      </c>
      <c r="N119">
        <v>52500</v>
      </c>
      <c r="O119">
        <v>25900</v>
      </c>
      <c r="P119">
        <v>5225</v>
      </c>
      <c r="Q119">
        <v>0</v>
      </c>
      <c r="R119">
        <v>105000</v>
      </c>
      <c r="S119">
        <v>105000</v>
      </c>
      <c r="T119">
        <v>51800</v>
      </c>
      <c r="U119">
        <v>130900</v>
      </c>
      <c r="V119">
        <v>261800</v>
      </c>
      <c r="W119">
        <v>979440</v>
      </c>
      <c r="X119">
        <v>13.09</v>
      </c>
      <c r="Y119">
        <v>26.18</v>
      </c>
      <c r="Z119">
        <v>12645</v>
      </c>
      <c r="AA119">
        <v>1</v>
      </c>
      <c r="AB119">
        <v>12645</v>
      </c>
      <c r="AC119">
        <v>25290</v>
      </c>
      <c r="AD119">
        <v>91136</v>
      </c>
      <c r="AE119">
        <v>10.5375</v>
      </c>
      <c r="AF119">
        <v>21.074999999999999</v>
      </c>
      <c r="AG119">
        <v>12645</v>
      </c>
      <c r="AH119">
        <v>25290</v>
      </c>
      <c r="AI119">
        <v>91140</v>
      </c>
      <c r="AJ119">
        <v>23.627500000000001</v>
      </c>
      <c r="AK119">
        <v>500</v>
      </c>
      <c r="AL119">
        <v>1000</v>
      </c>
      <c r="AM119">
        <v>2030</v>
      </c>
      <c r="AN119">
        <v>4060</v>
      </c>
      <c r="AO119">
        <v>21.161781822029401</v>
      </c>
      <c r="AP119">
        <v>210.75</v>
      </c>
      <c r="AQ119">
        <v>3.5125000000000002</v>
      </c>
      <c r="AR119">
        <v>45570</v>
      </c>
      <c r="AS119">
        <v>489945</v>
      </c>
      <c r="AT119">
        <v>52500</v>
      </c>
    </row>
    <row r="120" spans="1:46">
      <c r="A120" t="s">
        <v>271</v>
      </c>
      <c r="B120">
        <v>17</v>
      </c>
      <c r="C120" t="s">
        <v>289</v>
      </c>
      <c r="D120">
        <v>2</v>
      </c>
      <c r="E120">
        <v>0</v>
      </c>
      <c r="F120">
        <v>0</v>
      </c>
      <c r="G120">
        <v>0.3</v>
      </c>
      <c r="H120">
        <v>0</v>
      </c>
      <c r="I120">
        <v>2</v>
      </c>
      <c r="J120">
        <v>2</v>
      </c>
      <c r="K120">
        <v>1</v>
      </c>
      <c r="L120">
        <v>0</v>
      </c>
      <c r="M120">
        <v>57000</v>
      </c>
      <c r="N120">
        <v>57000</v>
      </c>
      <c r="O120">
        <v>28800</v>
      </c>
      <c r="P120">
        <v>2975</v>
      </c>
      <c r="Q120">
        <v>0</v>
      </c>
      <c r="R120">
        <v>114000</v>
      </c>
      <c r="S120">
        <v>114000</v>
      </c>
      <c r="T120">
        <v>57600</v>
      </c>
      <c r="U120">
        <v>142800</v>
      </c>
      <c r="V120">
        <v>285600</v>
      </c>
      <c r="W120">
        <v>1265040</v>
      </c>
      <c r="X120">
        <v>14.28</v>
      </c>
      <c r="Y120">
        <v>28.56</v>
      </c>
      <c r="Z120">
        <v>17071</v>
      </c>
      <c r="AA120">
        <v>1</v>
      </c>
      <c r="AB120">
        <v>17071</v>
      </c>
      <c r="AC120">
        <v>34142</v>
      </c>
      <c r="AD120">
        <v>125278</v>
      </c>
      <c r="AE120">
        <v>14.2258333333333</v>
      </c>
      <c r="AF120">
        <v>28.4516666666667</v>
      </c>
      <c r="AG120">
        <v>17071</v>
      </c>
      <c r="AH120">
        <v>34142</v>
      </c>
      <c r="AI120">
        <v>125282</v>
      </c>
      <c r="AJ120">
        <v>28.5058333333333</v>
      </c>
      <c r="AK120">
        <v>700</v>
      </c>
      <c r="AL120">
        <v>1400</v>
      </c>
      <c r="AM120">
        <v>2730</v>
      </c>
      <c r="AN120">
        <v>5460</v>
      </c>
      <c r="AO120">
        <v>24.556377349665301</v>
      </c>
      <c r="AP120">
        <v>284.51666666666699</v>
      </c>
      <c r="AQ120">
        <v>4.7419444444444396</v>
      </c>
      <c r="AR120">
        <v>62641</v>
      </c>
      <c r="AS120">
        <v>632745</v>
      </c>
      <c r="AT120">
        <v>57000</v>
      </c>
    </row>
    <row r="121" spans="1:46">
      <c r="A121" t="s">
        <v>271</v>
      </c>
      <c r="B121">
        <v>18</v>
      </c>
      <c r="C121" t="s">
        <v>290</v>
      </c>
      <c r="D121">
        <v>2</v>
      </c>
      <c r="E121">
        <v>0</v>
      </c>
      <c r="F121">
        <v>0</v>
      </c>
      <c r="G121">
        <v>0.25</v>
      </c>
      <c r="H121">
        <v>0</v>
      </c>
      <c r="I121">
        <v>2</v>
      </c>
      <c r="J121">
        <v>2</v>
      </c>
      <c r="K121">
        <v>1</v>
      </c>
      <c r="L121">
        <v>0</v>
      </c>
      <c r="M121">
        <v>62500</v>
      </c>
      <c r="N121">
        <v>62500</v>
      </c>
      <c r="O121">
        <v>32500</v>
      </c>
      <c r="P121">
        <v>3675</v>
      </c>
      <c r="Q121">
        <v>0</v>
      </c>
      <c r="R121">
        <v>125000</v>
      </c>
      <c r="S121">
        <v>125000</v>
      </c>
      <c r="T121">
        <v>65000</v>
      </c>
      <c r="U121">
        <v>157500</v>
      </c>
      <c r="V121">
        <v>315000</v>
      </c>
      <c r="W121">
        <v>1580040</v>
      </c>
      <c r="X121">
        <v>15.75</v>
      </c>
      <c r="Y121">
        <v>31.5</v>
      </c>
      <c r="Z121">
        <v>23046</v>
      </c>
      <c r="AA121">
        <v>1</v>
      </c>
      <c r="AB121">
        <v>23046</v>
      </c>
      <c r="AC121">
        <v>46092</v>
      </c>
      <c r="AD121">
        <v>171370</v>
      </c>
      <c r="AE121">
        <v>19.204999999999998</v>
      </c>
      <c r="AF121">
        <v>38.409999999999997</v>
      </c>
      <c r="AG121">
        <v>23046</v>
      </c>
      <c r="AH121">
        <v>46092</v>
      </c>
      <c r="AI121">
        <v>171374</v>
      </c>
      <c r="AJ121">
        <v>34.954999999999998</v>
      </c>
      <c r="AK121">
        <v>950</v>
      </c>
      <c r="AL121">
        <v>1900</v>
      </c>
      <c r="AM121">
        <v>3680</v>
      </c>
      <c r="AN121">
        <v>7360</v>
      </c>
      <c r="AO121">
        <v>27.1778000286082</v>
      </c>
      <c r="AP121">
        <v>384.1</v>
      </c>
      <c r="AQ121">
        <v>6.4016666666666699</v>
      </c>
      <c r="AR121">
        <v>85687</v>
      </c>
      <c r="AS121">
        <v>790245</v>
      </c>
      <c r="AT121">
        <v>62500</v>
      </c>
    </row>
    <row r="122" spans="1:46">
      <c r="A122" t="s">
        <v>271</v>
      </c>
      <c r="B122">
        <v>19</v>
      </c>
      <c r="C122" t="s">
        <v>291</v>
      </c>
      <c r="D122">
        <v>2</v>
      </c>
      <c r="E122">
        <v>0</v>
      </c>
      <c r="F122">
        <v>0</v>
      </c>
      <c r="G122">
        <v>0.2</v>
      </c>
      <c r="H122">
        <v>0</v>
      </c>
      <c r="I122">
        <v>2</v>
      </c>
      <c r="J122">
        <v>2</v>
      </c>
      <c r="K122">
        <v>1</v>
      </c>
      <c r="L122">
        <v>0</v>
      </c>
      <c r="M122">
        <v>66000</v>
      </c>
      <c r="N122">
        <v>66000</v>
      </c>
      <c r="O122">
        <v>32000</v>
      </c>
      <c r="P122">
        <v>1625</v>
      </c>
      <c r="Q122">
        <v>0</v>
      </c>
      <c r="R122">
        <v>132000</v>
      </c>
      <c r="S122">
        <v>132000</v>
      </c>
      <c r="T122">
        <v>64000</v>
      </c>
      <c r="U122">
        <v>164000</v>
      </c>
      <c r="V122">
        <v>328000</v>
      </c>
      <c r="W122">
        <v>1908040</v>
      </c>
      <c r="X122">
        <v>16.399999999999999</v>
      </c>
      <c r="Y122">
        <v>32.799999999999997</v>
      </c>
      <c r="Z122">
        <v>34569</v>
      </c>
      <c r="AA122">
        <v>1</v>
      </c>
      <c r="AB122">
        <v>34569</v>
      </c>
      <c r="AC122">
        <v>69138</v>
      </c>
      <c r="AD122">
        <v>240508</v>
      </c>
      <c r="AE122">
        <v>28.807500000000001</v>
      </c>
      <c r="AF122">
        <v>57.615000000000002</v>
      </c>
      <c r="AG122">
        <v>34569</v>
      </c>
      <c r="AH122">
        <v>69138</v>
      </c>
      <c r="AI122">
        <v>240512</v>
      </c>
      <c r="AJ122">
        <v>45.207500000000003</v>
      </c>
      <c r="AK122">
        <v>1300</v>
      </c>
      <c r="AL122">
        <v>2600</v>
      </c>
      <c r="AM122">
        <v>4980</v>
      </c>
      <c r="AN122">
        <v>9960</v>
      </c>
      <c r="AO122">
        <v>28.756290438533401</v>
      </c>
      <c r="AP122">
        <v>576.15</v>
      </c>
      <c r="AQ122">
        <v>9.6024999999999991</v>
      </c>
      <c r="AR122">
        <v>120256</v>
      </c>
      <c r="AS122">
        <v>954245</v>
      </c>
      <c r="AT122">
        <v>66000</v>
      </c>
    </row>
    <row r="123" spans="1:46">
      <c r="A123" t="s">
        <v>271</v>
      </c>
      <c r="B123">
        <v>20</v>
      </c>
      <c r="C123" t="s">
        <v>292</v>
      </c>
      <c r="D123">
        <v>2</v>
      </c>
      <c r="E123">
        <v>0</v>
      </c>
      <c r="F123">
        <v>0</v>
      </c>
      <c r="G123">
        <v>0.15</v>
      </c>
      <c r="H123">
        <v>0</v>
      </c>
      <c r="I123">
        <v>2</v>
      </c>
      <c r="J123">
        <v>2</v>
      </c>
      <c r="K123">
        <v>1</v>
      </c>
      <c r="L123">
        <v>0</v>
      </c>
      <c r="M123">
        <v>63000</v>
      </c>
      <c r="N123">
        <v>63000</v>
      </c>
      <c r="O123">
        <v>31500</v>
      </c>
      <c r="P123">
        <v>-1625</v>
      </c>
      <c r="Q123">
        <v>0</v>
      </c>
      <c r="R123">
        <v>126000</v>
      </c>
      <c r="S123">
        <v>126000</v>
      </c>
      <c r="T123">
        <v>63000</v>
      </c>
      <c r="U123">
        <v>157500</v>
      </c>
      <c r="V123">
        <v>315000</v>
      </c>
      <c r="W123">
        <v>2223040</v>
      </c>
      <c r="X123">
        <v>15.75</v>
      </c>
      <c r="Y123">
        <v>31.5</v>
      </c>
      <c r="Z123">
        <v>51854</v>
      </c>
      <c r="AA123">
        <v>1</v>
      </c>
      <c r="AB123">
        <v>51854</v>
      </c>
      <c r="AC123">
        <v>103708</v>
      </c>
      <c r="AD123">
        <v>344216</v>
      </c>
      <c r="AE123">
        <v>43.211666666666702</v>
      </c>
      <c r="AF123">
        <v>86.423333333333304</v>
      </c>
      <c r="AG123">
        <v>51854</v>
      </c>
      <c r="AH123">
        <v>103708</v>
      </c>
      <c r="AI123">
        <v>344220</v>
      </c>
      <c r="AJ123">
        <v>58.961666666666702</v>
      </c>
      <c r="AK123">
        <v>1750</v>
      </c>
      <c r="AL123">
        <v>3500</v>
      </c>
      <c r="AM123">
        <v>6730</v>
      </c>
      <c r="AN123">
        <v>13460</v>
      </c>
      <c r="AO123">
        <v>29.680300760381002</v>
      </c>
      <c r="AP123">
        <v>864.23333333333301</v>
      </c>
      <c r="AQ123">
        <v>14.403888888888901</v>
      </c>
      <c r="AR123">
        <v>172110</v>
      </c>
      <c r="AS123">
        <v>1111745</v>
      </c>
      <c r="AT123">
        <v>63000</v>
      </c>
    </row>
    <row r="124" spans="1:46">
      <c r="A124" t="s">
        <v>394</v>
      </c>
      <c r="B124">
        <v>1</v>
      </c>
      <c r="C124" t="s">
        <v>395</v>
      </c>
      <c r="D124">
        <v>1</v>
      </c>
      <c r="E124">
        <v>0</v>
      </c>
      <c r="F124">
        <v>0</v>
      </c>
      <c r="G124">
        <v>1</v>
      </c>
      <c r="H124">
        <v>0</v>
      </c>
      <c r="I124">
        <v>4</v>
      </c>
      <c r="J124">
        <v>0</v>
      </c>
      <c r="K124">
        <v>0</v>
      </c>
      <c r="L124">
        <v>0</v>
      </c>
      <c r="M124">
        <v>900</v>
      </c>
      <c r="N124">
        <v>0</v>
      </c>
      <c r="O124">
        <v>0</v>
      </c>
      <c r="P124">
        <v>225</v>
      </c>
      <c r="Q124">
        <v>0</v>
      </c>
      <c r="R124">
        <v>900</v>
      </c>
      <c r="S124">
        <v>0</v>
      </c>
      <c r="T124">
        <v>0</v>
      </c>
      <c r="U124">
        <v>900</v>
      </c>
      <c r="V124">
        <v>900</v>
      </c>
      <c r="W124">
        <v>900</v>
      </c>
      <c r="X124">
        <v>0.09</v>
      </c>
      <c r="Y124">
        <v>0.09</v>
      </c>
      <c r="Z124">
        <v>72</v>
      </c>
      <c r="AA124">
        <v>1E-3</v>
      </c>
      <c r="AB124">
        <v>1</v>
      </c>
      <c r="AC124">
        <v>1</v>
      </c>
      <c r="AD124">
        <v>1</v>
      </c>
      <c r="AE124">
        <v>8.3333333333333295E-4</v>
      </c>
      <c r="AF124">
        <v>8.3333333333333295E-4</v>
      </c>
      <c r="AG124">
        <v>1</v>
      </c>
      <c r="AH124">
        <v>1</v>
      </c>
      <c r="AI124">
        <v>1</v>
      </c>
      <c r="AJ124">
        <v>9.0833333333333294E-2</v>
      </c>
      <c r="AK124">
        <v>180</v>
      </c>
      <c r="AL124">
        <v>180</v>
      </c>
      <c r="AM124">
        <v>180</v>
      </c>
      <c r="AN124">
        <v>180</v>
      </c>
      <c r="AO124">
        <v>1981.65137614679</v>
      </c>
      <c r="AP124">
        <v>1.6666666666666701E-2</v>
      </c>
      <c r="AQ124">
        <v>2.7777777777777799E-4</v>
      </c>
      <c r="AR124">
        <v>1</v>
      </c>
      <c r="AS124">
        <v>900</v>
      </c>
      <c r="AT124">
        <v>900</v>
      </c>
    </row>
    <row r="125" spans="1:46">
      <c r="A125" t="s">
        <v>394</v>
      </c>
      <c r="B125">
        <v>2</v>
      </c>
      <c r="C125" t="s">
        <v>399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4</v>
      </c>
      <c r="J125">
        <v>0</v>
      </c>
      <c r="K125">
        <v>0</v>
      </c>
      <c r="L125">
        <v>0</v>
      </c>
      <c r="M125">
        <v>1800</v>
      </c>
      <c r="N125">
        <v>0</v>
      </c>
      <c r="O125">
        <v>0</v>
      </c>
      <c r="P125">
        <v>225</v>
      </c>
      <c r="Q125">
        <v>0</v>
      </c>
      <c r="R125">
        <v>1800</v>
      </c>
      <c r="S125">
        <v>0</v>
      </c>
      <c r="T125">
        <v>0</v>
      </c>
      <c r="U125">
        <v>1800</v>
      </c>
      <c r="V125">
        <v>1800</v>
      </c>
      <c r="W125">
        <v>1800</v>
      </c>
      <c r="X125">
        <v>0.18</v>
      </c>
      <c r="Y125">
        <v>0.18</v>
      </c>
      <c r="Z125">
        <v>144</v>
      </c>
      <c r="AA125">
        <v>6.0999999999999999E-2</v>
      </c>
      <c r="AB125">
        <v>9</v>
      </c>
      <c r="AC125">
        <v>9</v>
      </c>
      <c r="AD125">
        <v>9</v>
      </c>
      <c r="AE125">
        <v>7.4999999999999997E-3</v>
      </c>
      <c r="AF125">
        <v>7.4999999999999997E-3</v>
      </c>
      <c r="AG125">
        <v>9</v>
      </c>
      <c r="AH125">
        <v>9</v>
      </c>
      <c r="AI125">
        <v>10</v>
      </c>
      <c r="AJ125">
        <v>0.1875</v>
      </c>
      <c r="AK125">
        <v>216</v>
      </c>
      <c r="AL125">
        <v>216</v>
      </c>
      <c r="AM125">
        <v>400</v>
      </c>
      <c r="AN125">
        <v>400</v>
      </c>
      <c r="AO125">
        <v>1152</v>
      </c>
      <c r="AP125">
        <v>0.15</v>
      </c>
      <c r="AQ125">
        <v>2.5000000000000001E-3</v>
      </c>
      <c r="AR125">
        <v>10</v>
      </c>
      <c r="AS125">
        <v>2700</v>
      </c>
      <c r="AT125">
        <v>1800</v>
      </c>
    </row>
    <row r="126" spans="1:46">
      <c r="A126" t="s">
        <v>394</v>
      </c>
      <c r="B126">
        <v>3</v>
      </c>
      <c r="C126" t="s">
        <v>400</v>
      </c>
      <c r="D126">
        <v>1</v>
      </c>
      <c r="E126">
        <v>0</v>
      </c>
      <c r="F126">
        <v>0</v>
      </c>
      <c r="G126">
        <v>1</v>
      </c>
      <c r="H126">
        <v>0</v>
      </c>
      <c r="I126">
        <v>4</v>
      </c>
      <c r="J126">
        <v>0</v>
      </c>
      <c r="K126">
        <v>0</v>
      </c>
      <c r="L126">
        <v>0</v>
      </c>
      <c r="M126">
        <v>3600</v>
      </c>
      <c r="N126">
        <v>0</v>
      </c>
      <c r="O126">
        <v>0</v>
      </c>
      <c r="P126">
        <v>450</v>
      </c>
      <c r="Q126">
        <v>0</v>
      </c>
      <c r="R126">
        <v>3600</v>
      </c>
      <c r="S126">
        <v>0</v>
      </c>
      <c r="T126">
        <v>0</v>
      </c>
      <c r="U126">
        <v>3600</v>
      </c>
      <c r="V126">
        <v>3600</v>
      </c>
      <c r="W126">
        <v>3600</v>
      </c>
      <c r="X126">
        <v>0.36</v>
      </c>
      <c r="Y126">
        <v>0.36</v>
      </c>
      <c r="Z126">
        <v>288</v>
      </c>
      <c r="AA126">
        <v>0.1</v>
      </c>
      <c r="AB126">
        <v>29</v>
      </c>
      <c r="AC126">
        <v>29</v>
      </c>
      <c r="AD126">
        <v>29</v>
      </c>
      <c r="AE126">
        <v>2.4166666666666701E-2</v>
      </c>
      <c r="AF126">
        <v>2.4166666666666701E-2</v>
      </c>
      <c r="AG126">
        <v>29</v>
      </c>
      <c r="AH126">
        <v>29</v>
      </c>
      <c r="AI126">
        <v>39</v>
      </c>
      <c r="AJ126">
        <v>0.38416666666666699</v>
      </c>
      <c r="AK126">
        <v>258</v>
      </c>
      <c r="AL126">
        <v>258</v>
      </c>
      <c r="AM126">
        <v>660</v>
      </c>
      <c r="AN126">
        <v>660</v>
      </c>
      <c r="AO126">
        <v>671.58351409978297</v>
      </c>
      <c r="AP126">
        <v>0.483333333333333</v>
      </c>
      <c r="AQ126">
        <v>8.0555555555555606E-3</v>
      </c>
      <c r="AR126">
        <v>39</v>
      </c>
      <c r="AS126">
        <v>6300</v>
      </c>
      <c r="AT126">
        <v>3600</v>
      </c>
    </row>
    <row r="127" spans="1:46">
      <c r="A127" t="s">
        <v>394</v>
      </c>
      <c r="B127">
        <v>4</v>
      </c>
      <c r="C127" t="s">
        <v>401</v>
      </c>
      <c r="D127">
        <v>1</v>
      </c>
      <c r="E127">
        <v>0</v>
      </c>
      <c r="F127">
        <v>0</v>
      </c>
      <c r="G127">
        <v>1</v>
      </c>
      <c r="H127">
        <v>0</v>
      </c>
      <c r="I127">
        <v>4</v>
      </c>
      <c r="J127">
        <v>0</v>
      </c>
      <c r="K127">
        <v>0</v>
      </c>
      <c r="L127">
        <v>0</v>
      </c>
      <c r="M127">
        <v>7200</v>
      </c>
      <c r="N127">
        <v>0</v>
      </c>
      <c r="O127">
        <v>0</v>
      </c>
      <c r="P127">
        <v>900</v>
      </c>
      <c r="Q127">
        <v>0</v>
      </c>
      <c r="R127">
        <v>7200</v>
      </c>
      <c r="S127">
        <v>0</v>
      </c>
      <c r="T127">
        <v>0</v>
      </c>
      <c r="U127">
        <v>7200</v>
      </c>
      <c r="V127">
        <v>7200</v>
      </c>
      <c r="W127">
        <v>10800</v>
      </c>
      <c r="X127">
        <v>0.72</v>
      </c>
      <c r="Y127">
        <v>0.72</v>
      </c>
      <c r="Z127">
        <v>576</v>
      </c>
      <c r="AA127">
        <v>0.5</v>
      </c>
      <c r="AB127">
        <v>288</v>
      </c>
      <c r="AC127">
        <v>288</v>
      </c>
      <c r="AD127">
        <v>317</v>
      </c>
      <c r="AE127">
        <v>0.24</v>
      </c>
      <c r="AF127">
        <v>0.24</v>
      </c>
      <c r="AG127">
        <v>288</v>
      </c>
      <c r="AH127">
        <v>288</v>
      </c>
      <c r="AI127">
        <v>327</v>
      </c>
      <c r="AJ127">
        <v>0.96</v>
      </c>
      <c r="AK127">
        <v>312</v>
      </c>
      <c r="AL127">
        <v>312</v>
      </c>
      <c r="AM127">
        <v>970</v>
      </c>
      <c r="AN127">
        <v>970</v>
      </c>
      <c r="AO127">
        <v>325</v>
      </c>
      <c r="AP127">
        <v>4.8</v>
      </c>
      <c r="AQ127">
        <v>0.08</v>
      </c>
      <c r="AR127">
        <v>327</v>
      </c>
      <c r="AS127">
        <v>13500</v>
      </c>
      <c r="AT127">
        <v>7200</v>
      </c>
    </row>
    <row r="128" spans="1:46">
      <c r="A128" t="s">
        <v>394</v>
      </c>
      <c r="B128">
        <v>5</v>
      </c>
      <c r="C128" t="s">
        <v>402</v>
      </c>
      <c r="D128">
        <v>1</v>
      </c>
      <c r="E128">
        <v>0</v>
      </c>
      <c r="F128">
        <v>0</v>
      </c>
      <c r="G128">
        <v>1</v>
      </c>
      <c r="H128">
        <v>0</v>
      </c>
      <c r="I128">
        <v>4</v>
      </c>
      <c r="J128">
        <v>0</v>
      </c>
      <c r="K128">
        <v>0</v>
      </c>
      <c r="L128">
        <v>0</v>
      </c>
      <c r="M128">
        <v>14000</v>
      </c>
      <c r="N128">
        <v>0</v>
      </c>
      <c r="O128">
        <v>0</v>
      </c>
      <c r="P128">
        <v>1700</v>
      </c>
      <c r="Q128">
        <v>0</v>
      </c>
      <c r="R128">
        <v>14000</v>
      </c>
      <c r="S128">
        <v>0</v>
      </c>
      <c r="T128">
        <v>0</v>
      </c>
      <c r="U128">
        <v>14000</v>
      </c>
      <c r="V128">
        <v>14000</v>
      </c>
      <c r="W128">
        <v>24800</v>
      </c>
      <c r="X128">
        <v>1.4</v>
      </c>
      <c r="Y128">
        <v>1.4</v>
      </c>
      <c r="Z128">
        <v>1152</v>
      </c>
      <c r="AA128">
        <v>0.9</v>
      </c>
      <c r="AB128">
        <v>1037</v>
      </c>
      <c r="AC128">
        <v>1037</v>
      </c>
      <c r="AD128">
        <v>1354</v>
      </c>
      <c r="AE128">
        <v>0.86416666666666697</v>
      </c>
      <c r="AF128">
        <v>0.86416666666666697</v>
      </c>
      <c r="AG128">
        <v>1037</v>
      </c>
      <c r="AH128">
        <v>1037</v>
      </c>
      <c r="AI128">
        <v>1364</v>
      </c>
      <c r="AJ128">
        <v>2.2641666666666702</v>
      </c>
      <c r="AK128">
        <v>372</v>
      </c>
      <c r="AL128">
        <v>372</v>
      </c>
      <c r="AM128">
        <v>1340</v>
      </c>
      <c r="AN128">
        <v>1340</v>
      </c>
      <c r="AO128">
        <v>164.29885903570101</v>
      </c>
      <c r="AP128">
        <v>17.283333333333299</v>
      </c>
      <c r="AQ128">
        <v>0.28805555555555601</v>
      </c>
      <c r="AR128">
        <v>1364</v>
      </c>
      <c r="AS128">
        <v>27500</v>
      </c>
      <c r="AT128">
        <v>14000</v>
      </c>
    </row>
    <row r="129" spans="1:46">
      <c r="A129" t="s">
        <v>394</v>
      </c>
      <c r="B129">
        <v>6</v>
      </c>
      <c r="C129" t="s">
        <v>403</v>
      </c>
      <c r="D129">
        <v>1</v>
      </c>
      <c r="E129">
        <v>0</v>
      </c>
      <c r="F129">
        <v>0</v>
      </c>
      <c r="G129">
        <v>1</v>
      </c>
      <c r="H129">
        <v>0</v>
      </c>
      <c r="I129">
        <v>4</v>
      </c>
      <c r="J129">
        <v>3</v>
      </c>
      <c r="K129">
        <v>0</v>
      </c>
      <c r="L129">
        <v>0</v>
      </c>
      <c r="M129">
        <v>16000</v>
      </c>
      <c r="N129">
        <v>12000</v>
      </c>
      <c r="O129">
        <v>0</v>
      </c>
      <c r="P129">
        <v>3500</v>
      </c>
      <c r="Q129">
        <v>0</v>
      </c>
      <c r="R129">
        <v>16000</v>
      </c>
      <c r="S129">
        <v>12000</v>
      </c>
      <c r="T129">
        <v>0</v>
      </c>
      <c r="U129">
        <v>28000</v>
      </c>
      <c r="V129">
        <v>28000</v>
      </c>
      <c r="W129">
        <v>52800</v>
      </c>
      <c r="X129">
        <v>2.8</v>
      </c>
      <c r="Y129">
        <v>2.8</v>
      </c>
      <c r="Z129">
        <v>2304</v>
      </c>
      <c r="AA129">
        <v>1</v>
      </c>
      <c r="AB129">
        <v>2304</v>
      </c>
      <c r="AC129">
        <v>2304</v>
      </c>
      <c r="AD129">
        <v>3658</v>
      </c>
      <c r="AE129">
        <v>1.92</v>
      </c>
      <c r="AF129">
        <v>1.92</v>
      </c>
      <c r="AG129">
        <v>2304</v>
      </c>
      <c r="AH129">
        <v>2304</v>
      </c>
      <c r="AI129">
        <v>3668</v>
      </c>
      <c r="AJ129">
        <v>4.72</v>
      </c>
      <c r="AK129">
        <v>444</v>
      </c>
      <c r="AL129">
        <v>444</v>
      </c>
      <c r="AM129">
        <v>1780</v>
      </c>
      <c r="AN129">
        <v>1780</v>
      </c>
      <c r="AO129">
        <v>94.067796610169495</v>
      </c>
      <c r="AP129">
        <v>38.4</v>
      </c>
      <c r="AQ129">
        <v>0.64</v>
      </c>
      <c r="AR129">
        <v>3668</v>
      </c>
      <c r="AS129">
        <v>55500</v>
      </c>
      <c r="AT129">
        <v>16000</v>
      </c>
    </row>
    <row r="130" spans="1:46">
      <c r="A130" t="s">
        <v>394</v>
      </c>
      <c r="B130">
        <v>7</v>
      </c>
      <c r="C130" t="s">
        <v>404</v>
      </c>
      <c r="D130">
        <v>1</v>
      </c>
      <c r="E130">
        <v>0</v>
      </c>
      <c r="F130">
        <v>0</v>
      </c>
      <c r="G130">
        <v>1</v>
      </c>
      <c r="H130">
        <v>0</v>
      </c>
      <c r="I130">
        <v>4</v>
      </c>
      <c r="J130">
        <v>3</v>
      </c>
      <c r="K130">
        <v>0</v>
      </c>
      <c r="L130">
        <v>0</v>
      </c>
      <c r="M130">
        <v>33000</v>
      </c>
      <c r="N130">
        <v>25000</v>
      </c>
      <c r="O130">
        <v>0</v>
      </c>
      <c r="P130">
        <v>7500</v>
      </c>
      <c r="Q130">
        <v>0</v>
      </c>
      <c r="R130">
        <v>33000</v>
      </c>
      <c r="S130">
        <v>25000</v>
      </c>
      <c r="T130">
        <v>0</v>
      </c>
      <c r="U130">
        <v>58000</v>
      </c>
      <c r="V130">
        <v>58000</v>
      </c>
      <c r="W130">
        <v>110800</v>
      </c>
      <c r="X130">
        <v>5.8</v>
      </c>
      <c r="Y130">
        <v>5.8</v>
      </c>
      <c r="Z130">
        <v>4608</v>
      </c>
      <c r="AA130">
        <v>1</v>
      </c>
      <c r="AB130">
        <v>4608</v>
      </c>
      <c r="AC130">
        <v>4608</v>
      </c>
      <c r="AD130">
        <v>8266</v>
      </c>
      <c r="AE130">
        <v>3.84</v>
      </c>
      <c r="AF130">
        <v>3.84</v>
      </c>
      <c r="AG130">
        <v>4608</v>
      </c>
      <c r="AH130">
        <v>4608</v>
      </c>
      <c r="AI130">
        <v>8276</v>
      </c>
      <c r="AJ130">
        <v>9.64</v>
      </c>
      <c r="AK130">
        <v>534</v>
      </c>
      <c r="AL130">
        <v>534</v>
      </c>
      <c r="AM130">
        <v>2310</v>
      </c>
      <c r="AN130">
        <v>2310</v>
      </c>
      <c r="AO130">
        <v>55.394190871369297</v>
      </c>
      <c r="AP130">
        <v>76.8</v>
      </c>
      <c r="AQ130">
        <v>1.28</v>
      </c>
      <c r="AR130">
        <v>8276</v>
      </c>
      <c r="AS130">
        <v>113500</v>
      </c>
      <c r="AT130">
        <v>33000</v>
      </c>
    </row>
    <row r="131" spans="1:46">
      <c r="A131" t="s">
        <v>394</v>
      </c>
      <c r="B131">
        <v>8</v>
      </c>
      <c r="C131" t="s">
        <v>405</v>
      </c>
      <c r="D131">
        <v>1</v>
      </c>
      <c r="E131">
        <v>0</v>
      </c>
      <c r="F131">
        <v>0</v>
      </c>
      <c r="G131">
        <v>1</v>
      </c>
      <c r="H131">
        <v>0</v>
      </c>
      <c r="I131">
        <v>4</v>
      </c>
      <c r="J131">
        <v>3</v>
      </c>
      <c r="K131">
        <v>0</v>
      </c>
      <c r="L131">
        <v>0</v>
      </c>
      <c r="M131">
        <v>66000</v>
      </c>
      <c r="N131">
        <v>49000</v>
      </c>
      <c r="O131">
        <v>0</v>
      </c>
      <c r="P131">
        <v>14250</v>
      </c>
      <c r="Q131">
        <v>0</v>
      </c>
      <c r="R131">
        <v>66000</v>
      </c>
      <c r="S131">
        <v>49000</v>
      </c>
      <c r="T131">
        <v>0</v>
      </c>
      <c r="U131">
        <v>115000</v>
      </c>
      <c r="V131">
        <v>115000</v>
      </c>
      <c r="W131">
        <v>225800</v>
      </c>
      <c r="X131">
        <v>11.5</v>
      </c>
      <c r="Y131">
        <v>11.5</v>
      </c>
      <c r="Z131">
        <v>9216</v>
      </c>
      <c r="AA131">
        <v>1</v>
      </c>
      <c r="AB131">
        <v>9216</v>
      </c>
      <c r="AC131">
        <v>9216</v>
      </c>
      <c r="AD131">
        <v>17482</v>
      </c>
      <c r="AE131">
        <v>7.68</v>
      </c>
      <c r="AF131">
        <v>7.68</v>
      </c>
      <c r="AG131">
        <v>9216</v>
      </c>
      <c r="AH131">
        <v>9216</v>
      </c>
      <c r="AI131">
        <v>17492</v>
      </c>
      <c r="AJ131">
        <v>19.18</v>
      </c>
      <c r="AK131">
        <v>660</v>
      </c>
      <c r="AL131">
        <v>660</v>
      </c>
      <c r="AM131">
        <v>2970</v>
      </c>
      <c r="AN131">
        <v>2970</v>
      </c>
      <c r="AO131">
        <v>34.410844629822698</v>
      </c>
      <c r="AP131">
        <v>153.6</v>
      </c>
      <c r="AQ131">
        <v>2.56</v>
      </c>
      <c r="AR131">
        <v>17492</v>
      </c>
      <c r="AS131">
        <v>228500</v>
      </c>
      <c r="AT131">
        <v>66000</v>
      </c>
    </row>
    <row r="132" spans="1:46">
      <c r="A132" t="s">
        <v>394</v>
      </c>
      <c r="B132">
        <v>9</v>
      </c>
      <c r="C132" t="s">
        <v>406</v>
      </c>
      <c r="D132">
        <v>1</v>
      </c>
      <c r="E132">
        <v>0</v>
      </c>
      <c r="F132">
        <v>0</v>
      </c>
      <c r="G132">
        <v>1</v>
      </c>
      <c r="H132">
        <v>0</v>
      </c>
      <c r="I132">
        <v>4</v>
      </c>
      <c r="J132">
        <v>3</v>
      </c>
      <c r="K132">
        <v>0</v>
      </c>
      <c r="L132">
        <v>0</v>
      </c>
      <c r="M132">
        <v>110000</v>
      </c>
      <c r="N132">
        <v>84000</v>
      </c>
      <c r="O132">
        <v>0</v>
      </c>
      <c r="P132">
        <v>19750</v>
      </c>
      <c r="Q132">
        <v>0</v>
      </c>
      <c r="R132">
        <v>110000</v>
      </c>
      <c r="S132">
        <v>84000</v>
      </c>
      <c r="T132">
        <v>0</v>
      </c>
      <c r="U132">
        <v>194000</v>
      </c>
      <c r="V132">
        <v>194000</v>
      </c>
      <c r="W132">
        <v>419800</v>
      </c>
      <c r="X132">
        <v>19.399999999999999</v>
      </c>
      <c r="Y132">
        <v>19.399999999999999</v>
      </c>
      <c r="Z132">
        <v>15667</v>
      </c>
      <c r="AA132">
        <v>1</v>
      </c>
      <c r="AB132">
        <v>15667</v>
      </c>
      <c r="AC132">
        <v>15667</v>
      </c>
      <c r="AD132">
        <v>33149</v>
      </c>
      <c r="AE132">
        <v>13.0558333333333</v>
      </c>
      <c r="AF132">
        <v>13.0558333333333</v>
      </c>
      <c r="AG132">
        <v>15667</v>
      </c>
      <c r="AH132">
        <v>15667</v>
      </c>
      <c r="AI132">
        <v>33159</v>
      </c>
      <c r="AJ132">
        <v>32.455833333333302</v>
      </c>
      <c r="AK132">
        <v>780</v>
      </c>
      <c r="AL132">
        <v>780</v>
      </c>
      <c r="AM132">
        <v>3750</v>
      </c>
      <c r="AN132">
        <v>3750</v>
      </c>
      <c r="AO132">
        <v>24.0326597684032</v>
      </c>
      <c r="AP132">
        <v>261.11666666666702</v>
      </c>
      <c r="AQ132">
        <v>4.35194444444444</v>
      </c>
      <c r="AR132">
        <v>33159</v>
      </c>
      <c r="AS132">
        <v>422500</v>
      </c>
      <c r="AT132">
        <v>110000</v>
      </c>
    </row>
    <row r="133" spans="1:46">
      <c r="A133" t="s">
        <v>394</v>
      </c>
      <c r="B133">
        <v>10</v>
      </c>
      <c r="C133" t="s">
        <v>407</v>
      </c>
      <c r="D133">
        <v>1</v>
      </c>
      <c r="E133">
        <v>0</v>
      </c>
      <c r="F133">
        <v>0</v>
      </c>
      <c r="G133">
        <v>1</v>
      </c>
      <c r="H133">
        <v>0</v>
      </c>
      <c r="I133">
        <v>4</v>
      </c>
      <c r="J133">
        <v>3</v>
      </c>
      <c r="K133">
        <v>0</v>
      </c>
      <c r="L133">
        <v>0</v>
      </c>
      <c r="M133">
        <v>190000</v>
      </c>
      <c r="N133">
        <v>140000</v>
      </c>
      <c r="O133">
        <v>0</v>
      </c>
      <c r="P133">
        <v>34000</v>
      </c>
      <c r="Q133">
        <v>0</v>
      </c>
      <c r="R133">
        <v>190000</v>
      </c>
      <c r="S133">
        <v>140000</v>
      </c>
      <c r="T133">
        <v>0</v>
      </c>
      <c r="U133">
        <v>330000</v>
      </c>
      <c r="V133">
        <v>330000</v>
      </c>
      <c r="W133">
        <v>749800</v>
      </c>
      <c r="X133">
        <v>33</v>
      </c>
      <c r="Y133">
        <v>33</v>
      </c>
      <c r="Z133">
        <v>25068</v>
      </c>
      <c r="AA133">
        <v>1</v>
      </c>
      <c r="AB133">
        <v>25068</v>
      </c>
      <c r="AC133">
        <v>25068</v>
      </c>
      <c r="AD133">
        <v>58217</v>
      </c>
      <c r="AE133">
        <v>20.89</v>
      </c>
      <c r="AF133">
        <v>20.89</v>
      </c>
      <c r="AG133">
        <v>25068</v>
      </c>
      <c r="AH133">
        <v>25068</v>
      </c>
      <c r="AI133">
        <v>58227</v>
      </c>
      <c r="AJ133">
        <v>53.89</v>
      </c>
      <c r="AK133">
        <v>960</v>
      </c>
      <c r="AL133">
        <v>960</v>
      </c>
      <c r="AM133">
        <v>4710</v>
      </c>
      <c r="AN133">
        <v>4710</v>
      </c>
      <c r="AO133">
        <v>17.814065689367201</v>
      </c>
      <c r="AP133">
        <v>417.8</v>
      </c>
      <c r="AQ133">
        <v>6.9633333333333303</v>
      </c>
      <c r="AR133">
        <v>58227</v>
      </c>
      <c r="AS133">
        <v>752500</v>
      </c>
      <c r="AT133">
        <v>190000</v>
      </c>
    </row>
    <row r="134" spans="1:46">
      <c r="A134" t="s">
        <v>394</v>
      </c>
      <c r="B134">
        <v>11</v>
      </c>
      <c r="C134" t="s">
        <v>408</v>
      </c>
      <c r="D134">
        <v>1</v>
      </c>
      <c r="E134">
        <v>0</v>
      </c>
      <c r="F134">
        <v>0</v>
      </c>
      <c r="G134">
        <v>1</v>
      </c>
      <c r="H134">
        <v>0</v>
      </c>
      <c r="I134">
        <v>4</v>
      </c>
      <c r="J134">
        <v>3</v>
      </c>
      <c r="K134">
        <v>3</v>
      </c>
      <c r="L134">
        <v>0</v>
      </c>
      <c r="M134">
        <v>210000</v>
      </c>
      <c r="N134">
        <v>160000</v>
      </c>
      <c r="O134">
        <v>160000</v>
      </c>
      <c r="P134">
        <v>50000</v>
      </c>
      <c r="Q134">
        <v>0</v>
      </c>
      <c r="R134">
        <v>210000</v>
      </c>
      <c r="S134">
        <v>160000</v>
      </c>
      <c r="T134">
        <v>160000</v>
      </c>
      <c r="U134">
        <v>530000</v>
      </c>
      <c r="V134">
        <v>530000</v>
      </c>
      <c r="W134">
        <v>1279800</v>
      </c>
      <c r="X134">
        <v>53</v>
      </c>
      <c r="Y134">
        <v>53</v>
      </c>
      <c r="Z134">
        <v>33841</v>
      </c>
      <c r="AA134">
        <v>1</v>
      </c>
      <c r="AB134">
        <v>33841</v>
      </c>
      <c r="AC134">
        <v>33841</v>
      </c>
      <c r="AD134">
        <v>92058</v>
      </c>
      <c r="AE134">
        <v>28.2008333333333</v>
      </c>
      <c r="AF134">
        <v>28.2008333333333</v>
      </c>
      <c r="AG134">
        <v>33841</v>
      </c>
      <c r="AH134">
        <v>33841</v>
      </c>
      <c r="AI134">
        <v>92068</v>
      </c>
      <c r="AJ134">
        <v>81.200833333333307</v>
      </c>
      <c r="AK134">
        <v>1320</v>
      </c>
      <c r="AL134">
        <v>1320</v>
      </c>
      <c r="AM134">
        <v>6030</v>
      </c>
      <c r="AN134">
        <v>6030</v>
      </c>
      <c r="AO134">
        <v>16.2559908046921</v>
      </c>
      <c r="AP134">
        <v>564.01666666666699</v>
      </c>
      <c r="AQ134">
        <v>9.4002777777777808</v>
      </c>
      <c r="AR134">
        <v>92068</v>
      </c>
      <c r="AS134">
        <v>1282500</v>
      </c>
      <c r="AT134">
        <v>210000</v>
      </c>
    </row>
    <row r="135" spans="1:46">
      <c r="A135" t="s">
        <v>394</v>
      </c>
      <c r="B135">
        <v>12</v>
      </c>
      <c r="C135" t="s">
        <v>409</v>
      </c>
      <c r="D135">
        <v>1</v>
      </c>
      <c r="E135">
        <v>0</v>
      </c>
      <c r="F135">
        <v>0</v>
      </c>
      <c r="G135">
        <v>1</v>
      </c>
      <c r="H135">
        <v>0</v>
      </c>
      <c r="I135">
        <v>4</v>
      </c>
      <c r="J135">
        <v>3</v>
      </c>
      <c r="K135">
        <v>3</v>
      </c>
      <c r="L135">
        <v>0</v>
      </c>
      <c r="M135">
        <v>340000</v>
      </c>
      <c r="N135">
        <v>260000</v>
      </c>
      <c r="O135">
        <v>260000</v>
      </c>
      <c r="P135">
        <v>82500</v>
      </c>
      <c r="Q135">
        <v>0</v>
      </c>
      <c r="R135">
        <v>340000</v>
      </c>
      <c r="S135">
        <v>260000</v>
      </c>
      <c r="T135">
        <v>260000</v>
      </c>
      <c r="U135">
        <v>860000</v>
      </c>
      <c r="V135">
        <v>860000</v>
      </c>
      <c r="W135">
        <v>2139800</v>
      </c>
      <c r="X135">
        <v>86</v>
      </c>
      <c r="Y135">
        <v>86</v>
      </c>
      <c r="Z135">
        <v>45686</v>
      </c>
      <c r="AA135">
        <v>1</v>
      </c>
      <c r="AB135">
        <v>45686</v>
      </c>
      <c r="AC135">
        <v>45686</v>
      </c>
      <c r="AD135">
        <v>137744</v>
      </c>
      <c r="AE135">
        <v>38.071666666666701</v>
      </c>
      <c r="AF135">
        <v>38.071666666666701</v>
      </c>
      <c r="AG135">
        <v>45686</v>
      </c>
      <c r="AH135">
        <v>45686</v>
      </c>
      <c r="AI135">
        <v>137754</v>
      </c>
      <c r="AJ135">
        <v>124.071666666667</v>
      </c>
      <c r="AK135">
        <v>1800</v>
      </c>
      <c r="AL135">
        <v>1800</v>
      </c>
      <c r="AM135">
        <v>7830</v>
      </c>
      <c r="AN135">
        <v>7830</v>
      </c>
      <c r="AO135">
        <v>14.507744180111001</v>
      </c>
      <c r="AP135">
        <v>761.43333333333305</v>
      </c>
      <c r="AQ135">
        <v>12.6905555555556</v>
      </c>
      <c r="AR135">
        <v>137754</v>
      </c>
      <c r="AS135">
        <v>2142500</v>
      </c>
      <c r="AT135">
        <v>340000</v>
      </c>
    </row>
    <row r="136" spans="1:46">
      <c r="A136" t="s">
        <v>394</v>
      </c>
      <c r="B136">
        <v>13</v>
      </c>
      <c r="C136" t="s">
        <v>410</v>
      </c>
      <c r="D136">
        <v>1</v>
      </c>
      <c r="E136">
        <v>0</v>
      </c>
      <c r="F136">
        <v>0</v>
      </c>
      <c r="G136">
        <v>1</v>
      </c>
      <c r="H136">
        <v>0</v>
      </c>
      <c r="I136">
        <v>4</v>
      </c>
      <c r="J136">
        <v>3</v>
      </c>
      <c r="K136">
        <v>3</v>
      </c>
      <c r="L136">
        <v>0</v>
      </c>
      <c r="M136">
        <v>550000</v>
      </c>
      <c r="N136">
        <v>410000</v>
      </c>
      <c r="O136">
        <v>410000</v>
      </c>
      <c r="P136">
        <v>127500</v>
      </c>
      <c r="Q136">
        <v>0</v>
      </c>
      <c r="R136">
        <v>550000</v>
      </c>
      <c r="S136">
        <v>410000</v>
      </c>
      <c r="T136">
        <v>410000</v>
      </c>
      <c r="U136">
        <v>1370000</v>
      </c>
      <c r="V136">
        <v>1370000</v>
      </c>
      <c r="W136">
        <v>3509800</v>
      </c>
      <c r="X136">
        <v>137</v>
      </c>
      <c r="Y136">
        <v>137</v>
      </c>
      <c r="Z136">
        <v>61675</v>
      </c>
      <c r="AA136">
        <v>1</v>
      </c>
      <c r="AB136">
        <v>61675</v>
      </c>
      <c r="AC136">
        <v>61675</v>
      </c>
      <c r="AD136">
        <v>199419</v>
      </c>
      <c r="AE136">
        <v>51.3958333333333</v>
      </c>
      <c r="AF136">
        <v>51.3958333333333</v>
      </c>
      <c r="AG136">
        <v>61675</v>
      </c>
      <c r="AH136">
        <v>61675</v>
      </c>
      <c r="AI136">
        <v>199429</v>
      </c>
      <c r="AJ136">
        <v>188.395833333333</v>
      </c>
      <c r="AK136">
        <v>2460</v>
      </c>
      <c r="AL136">
        <v>2460</v>
      </c>
      <c r="AM136">
        <v>10290</v>
      </c>
      <c r="AN136">
        <v>10290</v>
      </c>
      <c r="AO136">
        <v>13.057613623797399</v>
      </c>
      <c r="AP136">
        <v>1027.9166666666699</v>
      </c>
      <c r="AQ136">
        <v>17.1319444444444</v>
      </c>
      <c r="AR136">
        <v>199429</v>
      </c>
      <c r="AS136">
        <v>3512500</v>
      </c>
      <c r="AT136">
        <v>550000</v>
      </c>
    </row>
    <row r="137" spans="1:46">
      <c r="A137" t="s">
        <v>394</v>
      </c>
      <c r="B137">
        <v>14</v>
      </c>
      <c r="C137" t="s">
        <v>411</v>
      </c>
      <c r="D137">
        <v>1</v>
      </c>
      <c r="E137">
        <v>0</v>
      </c>
      <c r="F137">
        <v>0</v>
      </c>
      <c r="G137">
        <v>1</v>
      </c>
      <c r="H137">
        <v>0</v>
      </c>
      <c r="I137">
        <v>4</v>
      </c>
      <c r="J137">
        <v>3</v>
      </c>
      <c r="K137">
        <v>3</v>
      </c>
      <c r="L137">
        <v>0</v>
      </c>
      <c r="M137">
        <v>870000</v>
      </c>
      <c r="N137">
        <v>650000</v>
      </c>
      <c r="O137">
        <v>650000</v>
      </c>
      <c r="P137">
        <v>200000</v>
      </c>
      <c r="Q137">
        <v>0</v>
      </c>
      <c r="R137">
        <v>870000</v>
      </c>
      <c r="S137">
        <v>650000</v>
      </c>
      <c r="T137">
        <v>650000</v>
      </c>
      <c r="U137">
        <v>2170000</v>
      </c>
      <c r="V137">
        <v>2170000</v>
      </c>
      <c r="W137">
        <v>5679800</v>
      </c>
      <c r="X137">
        <v>217</v>
      </c>
      <c r="Y137">
        <v>217</v>
      </c>
      <c r="Z137">
        <v>83262</v>
      </c>
      <c r="AA137">
        <v>1</v>
      </c>
      <c r="AB137">
        <v>83262</v>
      </c>
      <c r="AC137">
        <v>83262</v>
      </c>
      <c r="AD137">
        <v>282681</v>
      </c>
      <c r="AE137">
        <v>69.385000000000005</v>
      </c>
      <c r="AF137">
        <v>69.385000000000005</v>
      </c>
      <c r="AG137">
        <v>83262</v>
      </c>
      <c r="AH137">
        <v>83262</v>
      </c>
      <c r="AI137">
        <v>282691</v>
      </c>
      <c r="AJ137">
        <v>286.38499999999999</v>
      </c>
      <c r="AK137">
        <v>3300</v>
      </c>
      <c r="AL137">
        <v>3300</v>
      </c>
      <c r="AM137">
        <v>13590</v>
      </c>
      <c r="AN137">
        <v>13590</v>
      </c>
      <c r="AO137">
        <v>11.522949875168001</v>
      </c>
      <c r="AP137">
        <v>1387.7</v>
      </c>
      <c r="AQ137">
        <v>23.128333333333298</v>
      </c>
      <c r="AR137">
        <v>282691</v>
      </c>
      <c r="AS137">
        <v>5682500</v>
      </c>
      <c r="AT137">
        <v>870000</v>
      </c>
    </row>
    <row r="138" spans="1:46">
      <c r="A138" t="s">
        <v>394</v>
      </c>
      <c r="B138">
        <v>15</v>
      </c>
      <c r="C138" t="s">
        <v>412</v>
      </c>
      <c r="D138">
        <v>1</v>
      </c>
      <c r="E138">
        <v>0</v>
      </c>
      <c r="F138">
        <v>0</v>
      </c>
      <c r="G138">
        <v>1</v>
      </c>
      <c r="H138">
        <v>0</v>
      </c>
      <c r="I138">
        <v>4</v>
      </c>
      <c r="J138">
        <v>3</v>
      </c>
      <c r="K138">
        <v>3</v>
      </c>
      <c r="L138">
        <v>0</v>
      </c>
      <c r="M138">
        <v>1300000</v>
      </c>
      <c r="N138">
        <v>980000</v>
      </c>
      <c r="O138">
        <v>980000</v>
      </c>
      <c r="P138">
        <v>272500</v>
      </c>
      <c r="Q138">
        <v>0</v>
      </c>
      <c r="R138">
        <v>1300000</v>
      </c>
      <c r="S138">
        <v>980000</v>
      </c>
      <c r="T138">
        <v>980000</v>
      </c>
      <c r="U138">
        <v>3260000</v>
      </c>
      <c r="V138">
        <v>3260000</v>
      </c>
      <c r="W138">
        <v>8939800</v>
      </c>
      <c r="X138">
        <v>326</v>
      </c>
      <c r="Y138">
        <v>326</v>
      </c>
      <c r="Z138">
        <v>112404</v>
      </c>
      <c r="AA138">
        <v>1</v>
      </c>
      <c r="AB138">
        <v>112404</v>
      </c>
      <c r="AC138">
        <v>112404</v>
      </c>
      <c r="AD138">
        <v>395085</v>
      </c>
      <c r="AE138">
        <v>93.67</v>
      </c>
      <c r="AF138">
        <v>93.67</v>
      </c>
      <c r="AG138">
        <v>112404</v>
      </c>
      <c r="AH138">
        <v>112404</v>
      </c>
      <c r="AI138">
        <v>395095</v>
      </c>
      <c r="AJ138">
        <v>419.67</v>
      </c>
      <c r="AK138">
        <v>4440</v>
      </c>
      <c r="AL138">
        <v>4440</v>
      </c>
      <c r="AM138">
        <v>18030</v>
      </c>
      <c r="AN138">
        <v>18030</v>
      </c>
      <c r="AO138">
        <v>10.5797412252484</v>
      </c>
      <c r="AP138">
        <v>1873.4</v>
      </c>
      <c r="AQ138">
        <v>31.223333333333301</v>
      </c>
      <c r="AR138">
        <v>395095</v>
      </c>
      <c r="AS138">
        <v>8942500</v>
      </c>
      <c r="AT138">
        <v>1300000</v>
      </c>
    </row>
    <row r="139" spans="1:46">
      <c r="A139" t="s">
        <v>394</v>
      </c>
      <c r="B139">
        <v>16</v>
      </c>
      <c r="C139" t="s">
        <v>413</v>
      </c>
      <c r="D139">
        <v>1</v>
      </c>
      <c r="E139">
        <v>0</v>
      </c>
      <c r="F139">
        <v>0</v>
      </c>
      <c r="G139">
        <v>1</v>
      </c>
      <c r="H139">
        <v>0</v>
      </c>
      <c r="I139">
        <v>4</v>
      </c>
      <c r="J139">
        <v>3</v>
      </c>
      <c r="K139">
        <v>3</v>
      </c>
      <c r="L139">
        <v>0</v>
      </c>
      <c r="M139">
        <v>1800000</v>
      </c>
      <c r="N139">
        <v>1300000</v>
      </c>
      <c r="O139">
        <v>1300000</v>
      </c>
      <c r="P139">
        <v>285000</v>
      </c>
      <c r="Q139">
        <v>0</v>
      </c>
      <c r="R139">
        <v>1800000</v>
      </c>
      <c r="S139">
        <v>1300000</v>
      </c>
      <c r="T139">
        <v>1300000</v>
      </c>
      <c r="U139">
        <v>4400000</v>
      </c>
      <c r="V139">
        <v>4400000</v>
      </c>
      <c r="W139">
        <v>13339800</v>
      </c>
      <c r="X139">
        <v>440</v>
      </c>
      <c r="Y139">
        <v>440</v>
      </c>
      <c r="Z139">
        <v>151745</v>
      </c>
      <c r="AA139">
        <v>1</v>
      </c>
      <c r="AB139">
        <v>151745</v>
      </c>
      <c r="AC139">
        <v>151745</v>
      </c>
      <c r="AD139">
        <v>546830</v>
      </c>
      <c r="AE139">
        <v>126.45416666666701</v>
      </c>
      <c r="AF139">
        <v>126.45416666666701</v>
      </c>
      <c r="AG139">
        <v>151745</v>
      </c>
      <c r="AH139">
        <v>151745</v>
      </c>
      <c r="AI139">
        <v>546840</v>
      </c>
      <c r="AJ139">
        <v>566.45416666666699</v>
      </c>
      <c r="AK139">
        <v>6000</v>
      </c>
      <c r="AL139">
        <v>6000</v>
      </c>
      <c r="AM139">
        <v>24030</v>
      </c>
      <c r="AN139">
        <v>24030</v>
      </c>
      <c r="AO139">
        <v>10.5922073718821</v>
      </c>
      <c r="AP139">
        <v>2529.0833333333298</v>
      </c>
      <c r="AQ139">
        <v>42.151388888888903</v>
      </c>
      <c r="AR139">
        <v>546840</v>
      </c>
      <c r="AS139">
        <v>13342500</v>
      </c>
      <c r="AT139">
        <v>1800000</v>
      </c>
    </row>
    <row r="140" spans="1:46">
      <c r="A140" t="s">
        <v>394</v>
      </c>
      <c r="B140">
        <v>17</v>
      </c>
      <c r="C140" t="s">
        <v>414</v>
      </c>
      <c r="D140">
        <v>1</v>
      </c>
      <c r="E140">
        <v>0</v>
      </c>
      <c r="F140">
        <v>0</v>
      </c>
      <c r="G140">
        <v>1</v>
      </c>
      <c r="H140">
        <v>0</v>
      </c>
      <c r="I140">
        <v>4</v>
      </c>
      <c r="J140">
        <v>3</v>
      </c>
      <c r="K140">
        <v>3</v>
      </c>
      <c r="L140">
        <v>0</v>
      </c>
      <c r="M140">
        <v>2300000</v>
      </c>
      <c r="N140">
        <v>1700000</v>
      </c>
      <c r="O140">
        <v>1700000</v>
      </c>
      <c r="P140">
        <v>325000</v>
      </c>
      <c r="Q140">
        <v>0</v>
      </c>
      <c r="R140">
        <v>2300000</v>
      </c>
      <c r="S140">
        <v>1700000</v>
      </c>
      <c r="T140">
        <v>1700000</v>
      </c>
      <c r="U140">
        <v>5700000</v>
      </c>
      <c r="V140">
        <v>5700000</v>
      </c>
      <c r="W140">
        <v>19039800</v>
      </c>
      <c r="X140">
        <v>570</v>
      </c>
      <c r="Y140">
        <v>570</v>
      </c>
      <c r="Z140">
        <v>204856</v>
      </c>
      <c r="AA140">
        <v>1</v>
      </c>
      <c r="AB140">
        <v>204856</v>
      </c>
      <c r="AC140">
        <v>204856</v>
      </c>
      <c r="AD140">
        <v>751686</v>
      </c>
      <c r="AE140">
        <v>170.713333333333</v>
      </c>
      <c r="AF140">
        <v>170.713333333333</v>
      </c>
      <c r="AG140">
        <v>204856</v>
      </c>
      <c r="AH140">
        <v>204856</v>
      </c>
      <c r="AI140">
        <v>751696</v>
      </c>
      <c r="AJ140">
        <v>740.71333333333303</v>
      </c>
      <c r="AK140">
        <v>8400</v>
      </c>
      <c r="AL140">
        <v>8400</v>
      </c>
      <c r="AM140">
        <v>32430</v>
      </c>
      <c r="AN140">
        <v>32430</v>
      </c>
      <c r="AO140">
        <v>11.340419595525001</v>
      </c>
      <c r="AP140">
        <v>3414.2666666666701</v>
      </c>
      <c r="AQ140">
        <v>56.904444444444501</v>
      </c>
      <c r="AR140">
        <v>751696</v>
      </c>
      <c r="AS140">
        <v>19042500</v>
      </c>
      <c r="AT140">
        <v>2300000</v>
      </c>
    </row>
    <row r="141" spans="1:46">
      <c r="A141" t="s">
        <v>394</v>
      </c>
      <c r="B141">
        <v>18</v>
      </c>
      <c r="C141" t="s">
        <v>415</v>
      </c>
      <c r="D141">
        <v>1</v>
      </c>
      <c r="E141">
        <v>0</v>
      </c>
      <c r="F141">
        <v>0</v>
      </c>
      <c r="G141">
        <v>1</v>
      </c>
      <c r="H141">
        <v>0</v>
      </c>
      <c r="I141">
        <v>4</v>
      </c>
      <c r="J141">
        <v>3</v>
      </c>
      <c r="K141">
        <v>3</v>
      </c>
      <c r="L141">
        <v>0</v>
      </c>
      <c r="M141">
        <v>3000000</v>
      </c>
      <c r="N141">
        <v>2300000</v>
      </c>
      <c r="O141">
        <v>2300000</v>
      </c>
      <c r="P141">
        <v>475000</v>
      </c>
      <c r="Q141">
        <v>0</v>
      </c>
      <c r="R141">
        <v>3000000</v>
      </c>
      <c r="S141">
        <v>2300000</v>
      </c>
      <c r="T141">
        <v>2300000</v>
      </c>
      <c r="U141">
        <v>7600000</v>
      </c>
      <c r="V141">
        <v>7600000</v>
      </c>
      <c r="W141">
        <v>26639800</v>
      </c>
      <c r="X141">
        <v>760</v>
      </c>
      <c r="Y141">
        <v>760</v>
      </c>
      <c r="Z141">
        <v>276555</v>
      </c>
      <c r="AA141">
        <v>1</v>
      </c>
      <c r="AB141">
        <v>276555</v>
      </c>
      <c r="AC141">
        <v>276555</v>
      </c>
      <c r="AD141">
        <v>1028241</v>
      </c>
      <c r="AE141">
        <v>230.46250000000001</v>
      </c>
      <c r="AF141">
        <v>230.46250000000001</v>
      </c>
      <c r="AG141">
        <v>276555</v>
      </c>
      <c r="AH141">
        <v>276555</v>
      </c>
      <c r="AI141">
        <v>1028251</v>
      </c>
      <c r="AJ141">
        <v>990.46249999999998</v>
      </c>
      <c r="AK141">
        <v>11400</v>
      </c>
      <c r="AL141">
        <v>11400</v>
      </c>
      <c r="AM141">
        <v>43830</v>
      </c>
      <c r="AN141">
        <v>43830</v>
      </c>
      <c r="AO141">
        <v>11.5097744740462</v>
      </c>
      <c r="AP141">
        <v>4609.25</v>
      </c>
      <c r="AQ141">
        <v>76.820833333333297</v>
      </c>
      <c r="AR141">
        <v>1028251</v>
      </c>
      <c r="AS141">
        <v>26642500</v>
      </c>
      <c r="AT141">
        <v>3000000</v>
      </c>
    </row>
    <row r="142" spans="1:46">
      <c r="A142" t="s">
        <v>394</v>
      </c>
      <c r="B142">
        <v>19</v>
      </c>
      <c r="C142" t="s">
        <v>416</v>
      </c>
      <c r="D142">
        <v>1</v>
      </c>
      <c r="E142">
        <v>0</v>
      </c>
      <c r="F142">
        <v>0</v>
      </c>
      <c r="G142">
        <v>1</v>
      </c>
      <c r="H142">
        <v>0</v>
      </c>
      <c r="I142">
        <v>4</v>
      </c>
      <c r="J142">
        <v>3</v>
      </c>
      <c r="K142">
        <v>3</v>
      </c>
      <c r="L142">
        <v>0</v>
      </c>
      <c r="M142">
        <v>3900000</v>
      </c>
      <c r="N142">
        <v>2900000</v>
      </c>
      <c r="O142">
        <v>2900000</v>
      </c>
      <c r="P142">
        <v>525000</v>
      </c>
      <c r="Q142">
        <v>0</v>
      </c>
      <c r="R142">
        <v>3900000</v>
      </c>
      <c r="S142">
        <v>2900000</v>
      </c>
      <c r="T142">
        <v>2900000</v>
      </c>
      <c r="U142">
        <v>9700000</v>
      </c>
      <c r="V142">
        <v>9700000</v>
      </c>
      <c r="W142">
        <v>36339800</v>
      </c>
      <c r="X142">
        <v>970</v>
      </c>
      <c r="Y142">
        <v>970</v>
      </c>
      <c r="Z142">
        <v>414833</v>
      </c>
      <c r="AA142">
        <v>1</v>
      </c>
      <c r="AB142">
        <v>414833</v>
      </c>
      <c r="AC142">
        <v>414833</v>
      </c>
      <c r="AD142">
        <v>1443074</v>
      </c>
      <c r="AE142">
        <v>345.694166666667</v>
      </c>
      <c r="AF142">
        <v>345.694166666667</v>
      </c>
      <c r="AG142">
        <v>414833</v>
      </c>
      <c r="AH142">
        <v>414833</v>
      </c>
      <c r="AI142">
        <v>1443084</v>
      </c>
      <c r="AJ142">
        <v>1315.6941666666701</v>
      </c>
      <c r="AK142">
        <v>15600</v>
      </c>
      <c r="AL142">
        <v>15600</v>
      </c>
      <c r="AM142">
        <v>59430</v>
      </c>
      <c r="AN142">
        <v>59430</v>
      </c>
      <c r="AO142">
        <v>11.856858831808101</v>
      </c>
      <c r="AP142">
        <v>6913.8833333333296</v>
      </c>
      <c r="AQ142">
        <v>115.231388888889</v>
      </c>
      <c r="AR142">
        <v>1443084</v>
      </c>
      <c r="AS142">
        <v>36342500</v>
      </c>
      <c r="AT142">
        <v>3900000</v>
      </c>
    </row>
    <row r="143" spans="1:46">
      <c r="A143" t="s">
        <v>394</v>
      </c>
      <c r="B143">
        <v>20</v>
      </c>
      <c r="C143" t="s">
        <v>417</v>
      </c>
      <c r="D143">
        <v>1</v>
      </c>
      <c r="E143">
        <v>0</v>
      </c>
      <c r="F143">
        <v>0</v>
      </c>
      <c r="G143">
        <v>1</v>
      </c>
      <c r="H143">
        <v>0</v>
      </c>
      <c r="I143">
        <v>4</v>
      </c>
      <c r="J143">
        <v>3</v>
      </c>
      <c r="K143">
        <v>3</v>
      </c>
      <c r="L143">
        <v>0</v>
      </c>
      <c r="M143">
        <v>5100000</v>
      </c>
      <c r="N143">
        <v>3800000</v>
      </c>
      <c r="O143">
        <v>3800000</v>
      </c>
      <c r="P143">
        <v>750000</v>
      </c>
      <c r="Q143">
        <v>0</v>
      </c>
      <c r="R143">
        <v>5100000</v>
      </c>
      <c r="S143">
        <v>3800000</v>
      </c>
      <c r="T143">
        <v>3800000</v>
      </c>
      <c r="U143">
        <v>12700000</v>
      </c>
      <c r="V143">
        <v>12700000</v>
      </c>
      <c r="W143">
        <v>49039800</v>
      </c>
      <c r="X143">
        <v>1270</v>
      </c>
      <c r="Y143">
        <v>1270</v>
      </c>
      <c r="Z143">
        <v>622249</v>
      </c>
      <c r="AA143">
        <v>1</v>
      </c>
      <c r="AB143">
        <v>622249</v>
      </c>
      <c r="AC143">
        <v>622249</v>
      </c>
      <c r="AD143">
        <v>2065323</v>
      </c>
      <c r="AE143">
        <v>518.54083333333301</v>
      </c>
      <c r="AF143">
        <v>518.54083333333301</v>
      </c>
      <c r="AG143">
        <v>622249</v>
      </c>
      <c r="AH143">
        <v>622249</v>
      </c>
      <c r="AI143">
        <v>2065333</v>
      </c>
      <c r="AJ143">
        <v>1788.5408333333301</v>
      </c>
      <c r="AK143">
        <v>21000</v>
      </c>
      <c r="AL143">
        <v>21000</v>
      </c>
      <c r="AM143">
        <v>80430</v>
      </c>
      <c r="AN143">
        <v>80430</v>
      </c>
      <c r="AO143">
        <v>11.741414905726201</v>
      </c>
      <c r="AP143">
        <v>10370.8166666667</v>
      </c>
      <c r="AQ143">
        <v>172.84694444444401</v>
      </c>
      <c r="AR143">
        <v>2065333</v>
      </c>
      <c r="AS143">
        <v>49042500</v>
      </c>
      <c r="AT143">
        <v>5100000</v>
      </c>
    </row>
    <row r="144" spans="1:46">
      <c r="A144" t="s">
        <v>293</v>
      </c>
      <c r="B144">
        <v>1</v>
      </c>
      <c r="C144" t="s">
        <v>294</v>
      </c>
      <c r="D144">
        <v>1</v>
      </c>
      <c r="E144">
        <v>0</v>
      </c>
      <c r="F144">
        <v>0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1400</v>
      </c>
      <c r="N144">
        <v>0</v>
      </c>
      <c r="O144">
        <v>0</v>
      </c>
      <c r="P144">
        <v>350</v>
      </c>
      <c r="Q144">
        <v>0</v>
      </c>
      <c r="R144">
        <v>1400</v>
      </c>
      <c r="S144">
        <v>0</v>
      </c>
      <c r="T144">
        <v>0</v>
      </c>
      <c r="U144">
        <v>1400</v>
      </c>
      <c r="V144">
        <v>1400</v>
      </c>
      <c r="W144">
        <v>1400</v>
      </c>
      <c r="X144">
        <v>0.14000000000000001</v>
      </c>
      <c r="Y144">
        <v>0.14000000000000001</v>
      </c>
      <c r="Z144">
        <v>108</v>
      </c>
      <c r="AA144">
        <v>1E-3</v>
      </c>
      <c r="AB144">
        <v>1</v>
      </c>
      <c r="AC144">
        <v>1</v>
      </c>
      <c r="AD144">
        <v>1</v>
      </c>
      <c r="AE144">
        <v>8.3333333333333295E-4</v>
      </c>
      <c r="AF144">
        <v>8.3333333333333295E-4</v>
      </c>
      <c r="AG144">
        <v>1</v>
      </c>
      <c r="AH144">
        <v>1</v>
      </c>
      <c r="AI144">
        <v>1</v>
      </c>
      <c r="AJ144">
        <v>0.14083333333333301</v>
      </c>
      <c r="AK144">
        <v>270</v>
      </c>
      <c r="AL144">
        <v>270</v>
      </c>
      <c r="AM144">
        <v>270</v>
      </c>
      <c r="AN144">
        <v>270</v>
      </c>
      <c r="AO144">
        <v>1917.15976331361</v>
      </c>
      <c r="AP144">
        <v>1.6666666666666701E-2</v>
      </c>
      <c r="AQ144">
        <v>2.7777777777777799E-4</v>
      </c>
      <c r="AR144">
        <v>1</v>
      </c>
      <c r="AS144">
        <v>1400</v>
      </c>
      <c r="AT144">
        <v>1400</v>
      </c>
    </row>
    <row r="145" spans="1:46">
      <c r="A145" t="s">
        <v>293</v>
      </c>
      <c r="B145">
        <v>2</v>
      </c>
      <c r="C145" t="s">
        <v>298</v>
      </c>
      <c r="D145">
        <v>1</v>
      </c>
      <c r="E145">
        <v>0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2700</v>
      </c>
      <c r="N145">
        <v>0</v>
      </c>
      <c r="O145">
        <v>0</v>
      </c>
      <c r="P145">
        <v>325</v>
      </c>
      <c r="Q145">
        <v>0</v>
      </c>
      <c r="R145">
        <v>2700</v>
      </c>
      <c r="S145">
        <v>0</v>
      </c>
      <c r="T145">
        <v>0</v>
      </c>
      <c r="U145">
        <v>2700</v>
      </c>
      <c r="V145">
        <v>2700</v>
      </c>
      <c r="W145">
        <v>2700</v>
      </c>
      <c r="X145">
        <v>0.27</v>
      </c>
      <c r="Y145">
        <v>0.27</v>
      </c>
      <c r="Z145">
        <v>216</v>
      </c>
      <c r="AA145">
        <v>6.0999999999999999E-2</v>
      </c>
      <c r="AB145">
        <v>13</v>
      </c>
      <c r="AC145">
        <v>13</v>
      </c>
      <c r="AD145">
        <v>13</v>
      </c>
      <c r="AE145">
        <v>1.0833333333333301E-2</v>
      </c>
      <c r="AF145">
        <v>1.0833333333333301E-2</v>
      </c>
      <c r="AG145">
        <v>13</v>
      </c>
      <c r="AH145">
        <v>13</v>
      </c>
      <c r="AI145">
        <v>14</v>
      </c>
      <c r="AJ145">
        <v>0.28083333333333299</v>
      </c>
      <c r="AK145">
        <v>324</v>
      </c>
      <c r="AL145">
        <v>324</v>
      </c>
      <c r="AM145">
        <v>590</v>
      </c>
      <c r="AN145">
        <v>590</v>
      </c>
      <c r="AO145">
        <v>1153.7091988130601</v>
      </c>
      <c r="AP145">
        <v>0.21666666666666701</v>
      </c>
      <c r="AQ145">
        <v>3.6111111111111101E-3</v>
      </c>
      <c r="AR145">
        <v>14</v>
      </c>
      <c r="AS145">
        <v>4100</v>
      </c>
      <c r="AT145">
        <v>2700</v>
      </c>
    </row>
    <row r="146" spans="1:46">
      <c r="A146" t="s">
        <v>293</v>
      </c>
      <c r="B146">
        <v>3</v>
      </c>
      <c r="C146" t="s">
        <v>299</v>
      </c>
      <c r="D146">
        <v>1</v>
      </c>
      <c r="E146">
        <v>0</v>
      </c>
      <c r="F146">
        <v>0</v>
      </c>
      <c r="G146">
        <v>1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5400</v>
      </c>
      <c r="N146">
        <v>0</v>
      </c>
      <c r="O146">
        <v>0</v>
      </c>
      <c r="P146">
        <v>675</v>
      </c>
      <c r="Q146">
        <v>0</v>
      </c>
      <c r="R146">
        <v>5400</v>
      </c>
      <c r="S146">
        <v>0</v>
      </c>
      <c r="T146">
        <v>0</v>
      </c>
      <c r="U146">
        <v>5400</v>
      </c>
      <c r="V146">
        <v>5400</v>
      </c>
      <c r="W146">
        <v>5400</v>
      </c>
      <c r="X146">
        <v>0.54</v>
      </c>
      <c r="Y146">
        <v>0.54</v>
      </c>
      <c r="Z146">
        <v>432</v>
      </c>
      <c r="AA146">
        <v>0.1</v>
      </c>
      <c r="AB146">
        <v>43</v>
      </c>
      <c r="AC146">
        <v>43</v>
      </c>
      <c r="AD146">
        <v>43</v>
      </c>
      <c r="AE146">
        <v>3.58333333333333E-2</v>
      </c>
      <c r="AF146">
        <v>3.58333333333333E-2</v>
      </c>
      <c r="AG146">
        <v>43</v>
      </c>
      <c r="AH146">
        <v>43</v>
      </c>
      <c r="AI146">
        <v>57</v>
      </c>
      <c r="AJ146">
        <v>0.57583333333333298</v>
      </c>
      <c r="AK146">
        <v>387</v>
      </c>
      <c r="AL146">
        <v>387</v>
      </c>
      <c r="AM146">
        <v>980</v>
      </c>
      <c r="AN146">
        <v>980</v>
      </c>
      <c r="AO146">
        <v>672.06946454413901</v>
      </c>
      <c r="AP146">
        <v>0.71666666666666701</v>
      </c>
      <c r="AQ146">
        <v>1.19444444444444E-2</v>
      </c>
      <c r="AR146">
        <v>57</v>
      </c>
      <c r="AS146">
        <v>9500</v>
      </c>
      <c r="AT146">
        <v>5400</v>
      </c>
    </row>
    <row r="147" spans="1:46">
      <c r="A147" t="s">
        <v>293</v>
      </c>
      <c r="B147">
        <v>4</v>
      </c>
      <c r="C147" t="s">
        <v>300</v>
      </c>
      <c r="D147">
        <v>1</v>
      </c>
      <c r="E147">
        <v>0</v>
      </c>
      <c r="F147">
        <v>0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11000</v>
      </c>
      <c r="N147">
        <v>0</v>
      </c>
      <c r="O147">
        <v>0</v>
      </c>
      <c r="P147">
        <v>1400</v>
      </c>
      <c r="Q147">
        <v>0</v>
      </c>
      <c r="R147">
        <v>11000</v>
      </c>
      <c r="S147">
        <v>0</v>
      </c>
      <c r="T147">
        <v>0</v>
      </c>
      <c r="U147">
        <v>11000</v>
      </c>
      <c r="V147">
        <v>11000</v>
      </c>
      <c r="W147">
        <v>16400</v>
      </c>
      <c r="X147">
        <v>1.1000000000000001</v>
      </c>
      <c r="Y147">
        <v>1.1000000000000001</v>
      </c>
      <c r="Z147">
        <v>864</v>
      </c>
      <c r="AA147">
        <v>0.2</v>
      </c>
      <c r="AB147">
        <v>173</v>
      </c>
      <c r="AC147">
        <v>173</v>
      </c>
      <c r="AD147">
        <v>216</v>
      </c>
      <c r="AE147">
        <v>0.144166666666667</v>
      </c>
      <c r="AF147">
        <v>0.144166666666667</v>
      </c>
      <c r="AG147">
        <v>173</v>
      </c>
      <c r="AH147">
        <v>173</v>
      </c>
      <c r="AI147">
        <v>230</v>
      </c>
      <c r="AJ147">
        <v>1.24416666666667</v>
      </c>
      <c r="AK147">
        <v>468</v>
      </c>
      <c r="AL147">
        <v>468</v>
      </c>
      <c r="AM147">
        <v>1450</v>
      </c>
      <c r="AN147">
        <v>1450</v>
      </c>
      <c r="AO147">
        <v>376.15539182853303</v>
      </c>
      <c r="AP147">
        <v>2.8833333333333302</v>
      </c>
      <c r="AQ147">
        <v>4.8055555555555601E-2</v>
      </c>
      <c r="AR147">
        <v>230</v>
      </c>
      <c r="AS147">
        <v>20500</v>
      </c>
      <c r="AT147">
        <v>11000</v>
      </c>
    </row>
    <row r="148" spans="1:46">
      <c r="A148" t="s">
        <v>293</v>
      </c>
      <c r="B148">
        <v>5</v>
      </c>
      <c r="C148" t="s">
        <v>301</v>
      </c>
      <c r="D148">
        <v>1</v>
      </c>
      <c r="E148">
        <v>0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22000</v>
      </c>
      <c r="N148">
        <v>0</v>
      </c>
      <c r="O148">
        <v>0</v>
      </c>
      <c r="P148">
        <v>2750</v>
      </c>
      <c r="Q148">
        <v>0</v>
      </c>
      <c r="R148">
        <v>22000</v>
      </c>
      <c r="S148">
        <v>0</v>
      </c>
      <c r="T148">
        <v>0</v>
      </c>
      <c r="U148">
        <v>22000</v>
      </c>
      <c r="V148">
        <v>22000</v>
      </c>
      <c r="W148">
        <v>38400</v>
      </c>
      <c r="X148">
        <v>2.2000000000000002</v>
      </c>
      <c r="Y148">
        <v>2.2000000000000002</v>
      </c>
      <c r="Z148">
        <v>1728</v>
      </c>
      <c r="AA148">
        <v>0.2</v>
      </c>
      <c r="AB148">
        <v>346</v>
      </c>
      <c r="AC148">
        <v>346</v>
      </c>
      <c r="AD148">
        <v>562</v>
      </c>
      <c r="AE148">
        <v>0.288333333333333</v>
      </c>
      <c r="AF148">
        <v>0.288333333333333</v>
      </c>
      <c r="AG148">
        <v>346</v>
      </c>
      <c r="AH148">
        <v>346</v>
      </c>
      <c r="AI148">
        <v>576</v>
      </c>
      <c r="AJ148">
        <v>2.4883333333333302</v>
      </c>
      <c r="AK148">
        <v>558</v>
      </c>
      <c r="AL148">
        <v>558</v>
      </c>
      <c r="AM148">
        <v>2010</v>
      </c>
      <c r="AN148">
        <v>2010</v>
      </c>
      <c r="AO148">
        <v>224.246483590087</v>
      </c>
      <c r="AP148">
        <v>5.7666666666666702</v>
      </c>
      <c r="AQ148">
        <v>9.6111111111111105E-2</v>
      </c>
      <c r="AR148">
        <v>576</v>
      </c>
      <c r="AS148">
        <v>42500</v>
      </c>
      <c r="AT148">
        <v>22000</v>
      </c>
    </row>
    <row r="149" spans="1:46">
      <c r="A149" t="s">
        <v>293</v>
      </c>
      <c r="B149">
        <v>6</v>
      </c>
      <c r="C149" t="s">
        <v>302</v>
      </c>
      <c r="D149">
        <v>1</v>
      </c>
      <c r="E149">
        <v>0</v>
      </c>
      <c r="F149">
        <v>0</v>
      </c>
      <c r="G149">
        <v>1</v>
      </c>
      <c r="H149">
        <v>0</v>
      </c>
      <c r="I149">
        <v>1</v>
      </c>
      <c r="J149">
        <v>1</v>
      </c>
      <c r="K149">
        <v>0</v>
      </c>
      <c r="L149">
        <v>0</v>
      </c>
      <c r="M149">
        <v>22000</v>
      </c>
      <c r="N149">
        <v>22000</v>
      </c>
      <c r="O149">
        <v>0</v>
      </c>
      <c r="P149">
        <v>5500</v>
      </c>
      <c r="Q149">
        <v>0</v>
      </c>
      <c r="R149">
        <v>22000</v>
      </c>
      <c r="S149">
        <v>22000</v>
      </c>
      <c r="T149">
        <v>0</v>
      </c>
      <c r="U149">
        <v>44000</v>
      </c>
      <c r="V149">
        <v>44000</v>
      </c>
      <c r="W149">
        <v>82400</v>
      </c>
      <c r="X149">
        <v>4.4000000000000004</v>
      </c>
      <c r="Y149">
        <v>4.4000000000000004</v>
      </c>
      <c r="Z149">
        <v>3456</v>
      </c>
      <c r="AA149">
        <v>0.5</v>
      </c>
      <c r="AB149">
        <v>1728</v>
      </c>
      <c r="AC149">
        <v>1728</v>
      </c>
      <c r="AD149">
        <v>2290</v>
      </c>
      <c r="AE149">
        <v>1.44</v>
      </c>
      <c r="AF149">
        <v>1.44</v>
      </c>
      <c r="AG149">
        <v>1728</v>
      </c>
      <c r="AH149">
        <v>1728</v>
      </c>
      <c r="AI149">
        <v>2304</v>
      </c>
      <c r="AJ149">
        <v>5.84</v>
      </c>
      <c r="AK149">
        <v>666</v>
      </c>
      <c r="AL149">
        <v>666</v>
      </c>
      <c r="AM149">
        <v>2680</v>
      </c>
      <c r="AN149">
        <v>2680</v>
      </c>
      <c r="AO149">
        <v>114.041095890411</v>
      </c>
      <c r="AP149">
        <v>28.8</v>
      </c>
      <c r="AQ149">
        <v>0.48</v>
      </c>
      <c r="AR149">
        <v>2304</v>
      </c>
      <c r="AS149">
        <v>86500</v>
      </c>
      <c r="AT149">
        <v>22000</v>
      </c>
    </row>
    <row r="150" spans="1:46">
      <c r="A150" t="s">
        <v>293</v>
      </c>
      <c r="B150">
        <v>7</v>
      </c>
      <c r="C150" t="s">
        <v>303</v>
      </c>
      <c r="D150">
        <v>1</v>
      </c>
      <c r="E150">
        <v>0</v>
      </c>
      <c r="F150">
        <v>0</v>
      </c>
      <c r="G150">
        <v>1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43000</v>
      </c>
      <c r="N150">
        <v>43000</v>
      </c>
      <c r="O150">
        <v>0</v>
      </c>
      <c r="P150">
        <v>10500</v>
      </c>
      <c r="Q150">
        <v>0</v>
      </c>
      <c r="R150">
        <v>43000</v>
      </c>
      <c r="S150">
        <v>43000</v>
      </c>
      <c r="T150">
        <v>0</v>
      </c>
      <c r="U150">
        <v>86000</v>
      </c>
      <c r="V150">
        <v>86000</v>
      </c>
      <c r="W150">
        <v>168400</v>
      </c>
      <c r="X150">
        <v>8.6</v>
      </c>
      <c r="Y150">
        <v>8.6</v>
      </c>
      <c r="Z150">
        <v>6912</v>
      </c>
      <c r="AA150">
        <v>0.8</v>
      </c>
      <c r="AB150">
        <v>5530</v>
      </c>
      <c r="AC150">
        <v>5530</v>
      </c>
      <c r="AD150">
        <v>7820</v>
      </c>
      <c r="AE150">
        <v>4.6083333333333298</v>
      </c>
      <c r="AF150">
        <v>4.6083333333333298</v>
      </c>
      <c r="AG150">
        <v>5530</v>
      </c>
      <c r="AH150">
        <v>5530</v>
      </c>
      <c r="AI150">
        <v>7834</v>
      </c>
      <c r="AJ150">
        <v>13.2083333333333</v>
      </c>
      <c r="AK150">
        <v>801</v>
      </c>
      <c r="AL150">
        <v>801</v>
      </c>
      <c r="AM150">
        <v>3480</v>
      </c>
      <c r="AN150">
        <v>3480</v>
      </c>
      <c r="AO150">
        <v>60.643533123028398</v>
      </c>
      <c r="AP150">
        <v>92.1666666666667</v>
      </c>
      <c r="AQ150">
        <v>1.5361111111111101</v>
      </c>
      <c r="AR150">
        <v>7834</v>
      </c>
      <c r="AS150">
        <v>172500</v>
      </c>
      <c r="AT150">
        <v>43000</v>
      </c>
    </row>
    <row r="151" spans="1:46">
      <c r="A151" t="s">
        <v>293</v>
      </c>
      <c r="B151">
        <v>8</v>
      </c>
      <c r="C151" t="s">
        <v>304</v>
      </c>
      <c r="D151">
        <v>1</v>
      </c>
      <c r="E151">
        <v>0</v>
      </c>
      <c r="F151">
        <v>0</v>
      </c>
      <c r="G151">
        <v>1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86000</v>
      </c>
      <c r="N151">
        <v>86000</v>
      </c>
      <c r="O151">
        <v>0</v>
      </c>
      <c r="P151">
        <v>21500</v>
      </c>
      <c r="Q151">
        <v>0</v>
      </c>
      <c r="R151">
        <v>86000</v>
      </c>
      <c r="S151">
        <v>86000</v>
      </c>
      <c r="T151">
        <v>0</v>
      </c>
      <c r="U151">
        <v>172000</v>
      </c>
      <c r="V151">
        <v>172000</v>
      </c>
      <c r="W151">
        <v>340400</v>
      </c>
      <c r="X151">
        <v>17.2</v>
      </c>
      <c r="Y151">
        <v>17.2</v>
      </c>
      <c r="Z151">
        <v>13824</v>
      </c>
      <c r="AA151">
        <v>1</v>
      </c>
      <c r="AB151">
        <v>13824</v>
      </c>
      <c r="AC151">
        <v>13824</v>
      </c>
      <c r="AD151">
        <v>21644</v>
      </c>
      <c r="AE151">
        <v>11.52</v>
      </c>
      <c r="AF151">
        <v>11.52</v>
      </c>
      <c r="AG151">
        <v>13824</v>
      </c>
      <c r="AH151">
        <v>13824</v>
      </c>
      <c r="AI151">
        <v>21658</v>
      </c>
      <c r="AJ151">
        <v>28.72</v>
      </c>
      <c r="AK151">
        <v>990</v>
      </c>
      <c r="AL151">
        <v>990</v>
      </c>
      <c r="AM151">
        <v>4470</v>
      </c>
      <c r="AN151">
        <v>4470</v>
      </c>
      <c r="AO151">
        <v>34.470752089136496</v>
      </c>
      <c r="AP151">
        <v>230.4</v>
      </c>
      <c r="AQ151">
        <v>3.84</v>
      </c>
      <c r="AR151">
        <v>21658</v>
      </c>
      <c r="AS151">
        <v>344500</v>
      </c>
      <c r="AT151">
        <v>86000</v>
      </c>
    </row>
    <row r="152" spans="1:46">
      <c r="A152" t="s">
        <v>293</v>
      </c>
      <c r="B152">
        <v>9</v>
      </c>
      <c r="C152" t="s">
        <v>305</v>
      </c>
      <c r="D152">
        <v>1</v>
      </c>
      <c r="E152">
        <v>0</v>
      </c>
      <c r="F152">
        <v>0</v>
      </c>
      <c r="G152">
        <v>1</v>
      </c>
      <c r="H152">
        <v>0</v>
      </c>
      <c r="I152">
        <v>1</v>
      </c>
      <c r="J152">
        <v>1</v>
      </c>
      <c r="K152">
        <v>0</v>
      </c>
      <c r="L152">
        <v>0</v>
      </c>
      <c r="M152">
        <v>150000</v>
      </c>
      <c r="N152">
        <v>150000</v>
      </c>
      <c r="O152">
        <v>0</v>
      </c>
      <c r="P152">
        <v>32000</v>
      </c>
      <c r="Q152">
        <v>0</v>
      </c>
      <c r="R152">
        <v>150000</v>
      </c>
      <c r="S152">
        <v>150000</v>
      </c>
      <c r="T152">
        <v>0</v>
      </c>
      <c r="U152">
        <v>300000</v>
      </c>
      <c r="V152">
        <v>300000</v>
      </c>
      <c r="W152">
        <v>640400</v>
      </c>
      <c r="X152">
        <v>30</v>
      </c>
      <c r="Y152">
        <v>30</v>
      </c>
      <c r="Z152">
        <v>23501</v>
      </c>
      <c r="AA152">
        <v>1</v>
      </c>
      <c r="AB152">
        <v>23501</v>
      </c>
      <c r="AC152">
        <v>23501</v>
      </c>
      <c r="AD152">
        <v>45145</v>
      </c>
      <c r="AE152">
        <v>19.5841666666667</v>
      </c>
      <c r="AF152">
        <v>19.5841666666667</v>
      </c>
      <c r="AG152">
        <v>23501</v>
      </c>
      <c r="AH152">
        <v>23501</v>
      </c>
      <c r="AI152">
        <v>45159</v>
      </c>
      <c r="AJ152">
        <v>49.584166666666697</v>
      </c>
      <c r="AK152">
        <v>1170</v>
      </c>
      <c r="AL152">
        <v>1170</v>
      </c>
      <c r="AM152">
        <v>5640</v>
      </c>
      <c r="AN152">
        <v>5640</v>
      </c>
      <c r="AO152">
        <v>23.596242079964998</v>
      </c>
      <c r="AP152">
        <v>391.683333333333</v>
      </c>
      <c r="AQ152">
        <v>6.5280555555555599</v>
      </c>
      <c r="AR152">
        <v>45159</v>
      </c>
      <c r="AS152">
        <v>644500</v>
      </c>
      <c r="AT152">
        <v>150000</v>
      </c>
    </row>
    <row r="153" spans="1:46">
      <c r="A153" t="s">
        <v>293</v>
      </c>
      <c r="B153">
        <v>10</v>
      </c>
      <c r="C153" t="s">
        <v>306</v>
      </c>
      <c r="D153">
        <v>1</v>
      </c>
      <c r="E153">
        <v>0</v>
      </c>
      <c r="F153">
        <v>0</v>
      </c>
      <c r="G153">
        <v>1</v>
      </c>
      <c r="H153">
        <v>0</v>
      </c>
      <c r="I153">
        <v>1</v>
      </c>
      <c r="J153">
        <v>1</v>
      </c>
      <c r="K153">
        <v>0</v>
      </c>
      <c r="L153">
        <v>0</v>
      </c>
      <c r="M153">
        <v>250000</v>
      </c>
      <c r="N153">
        <v>250000</v>
      </c>
      <c r="O153">
        <v>0</v>
      </c>
      <c r="P153">
        <v>50000</v>
      </c>
      <c r="Q153">
        <v>0</v>
      </c>
      <c r="R153">
        <v>250000</v>
      </c>
      <c r="S153">
        <v>250000</v>
      </c>
      <c r="T153">
        <v>0</v>
      </c>
      <c r="U153">
        <v>500000</v>
      </c>
      <c r="V153">
        <v>500000</v>
      </c>
      <c r="W153">
        <v>1140400</v>
      </c>
      <c r="X153">
        <v>50</v>
      </c>
      <c r="Y153">
        <v>50</v>
      </c>
      <c r="Z153">
        <v>37601</v>
      </c>
      <c r="AA153">
        <v>1</v>
      </c>
      <c r="AB153">
        <v>37601</v>
      </c>
      <c r="AC153">
        <v>37601</v>
      </c>
      <c r="AD153">
        <v>82746</v>
      </c>
      <c r="AE153">
        <v>31.3341666666667</v>
      </c>
      <c r="AF153">
        <v>31.3341666666667</v>
      </c>
      <c r="AG153">
        <v>37601</v>
      </c>
      <c r="AH153">
        <v>37601</v>
      </c>
      <c r="AI153">
        <v>82760</v>
      </c>
      <c r="AJ153">
        <v>81.334166666666704</v>
      </c>
      <c r="AK153">
        <v>1440</v>
      </c>
      <c r="AL153">
        <v>1440</v>
      </c>
      <c r="AM153">
        <v>7080</v>
      </c>
      <c r="AN153">
        <v>7080</v>
      </c>
      <c r="AO153">
        <v>17.704736631796798</v>
      </c>
      <c r="AP153">
        <v>626.68333333333305</v>
      </c>
      <c r="AQ153">
        <v>10.4447222222222</v>
      </c>
      <c r="AR153">
        <v>82760</v>
      </c>
      <c r="AS153">
        <v>1144500</v>
      </c>
      <c r="AT153">
        <v>250000</v>
      </c>
    </row>
    <row r="154" spans="1:46">
      <c r="A154" t="s">
        <v>293</v>
      </c>
      <c r="B154">
        <v>11</v>
      </c>
      <c r="C154" t="s">
        <v>307</v>
      </c>
      <c r="D154">
        <v>1</v>
      </c>
      <c r="E154">
        <v>0</v>
      </c>
      <c r="F154">
        <v>0</v>
      </c>
      <c r="G154">
        <v>1</v>
      </c>
      <c r="H154">
        <v>0</v>
      </c>
      <c r="I154">
        <v>1</v>
      </c>
      <c r="J154">
        <v>1</v>
      </c>
      <c r="K154">
        <v>1</v>
      </c>
      <c r="L154">
        <v>0</v>
      </c>
      <c r="M154">
        <v>270000</v>
      </c>
      <c r="N154">
        <v>270000</v>
      </c>
      <c r="O154">
        <v>270000</v>
      </c>
      <c r="P154">
        <v>77500</v>
      </c>
      <c r="Q154">
        <v>0</v>
      </c>
      <c r="R154">
        <v>270000</v>
      </c>
      <c r="S154">
        <v>270000</v>
      </c>
      <c r="T154">
        <v>270000</v>
      </c>
      <c r="U154">
        <v>810000</v>
      </c>
      <c r="V154">
        <v>810000</v>
      </c>
      <c r="W154">
        <v>1950400</v>
      </c>
      <c r="X154">
        <v>81</v>
      </c>
      <c r="Y154">
        <v>81</v>
      </c>
      <c r="Z154">
        <v>50762</v>
      </c>
      <c r="AA154">
        <v>1</v>
      </c>
      <c r="AB154">
        <v>50762</v>
      </c>
      <c r="AC154">
        <v>50762</v>
      </c>
      <c r="AD154">
        <v>133508</v>
      </c>
      <c r="AE154">
        <v>42.301666666666698</v>
      </c>
      <c r="AF154">
        <v>42.301666666666698</v>
      </c>
      <c r="AG154">
        <v>50762</v>
      </c>
      <c r="AH154">
        <v>50762</v>
      </c>
      <c r="AI154">
        <v>133522</v>
      </c>
      <c r="AJ154">
        <v>123.301666666667</v>
      </c>
      <c r="AK154">
        <v>1980</v>
      </c>
      <c r="AL154">
        <v>1980</v>
      </c>
      <c r="AM154">
        <v>9060</v>
      </c>
      <c r="AN154">
        <v>9060</v>
      </c>
      <c r="AO154">
        <v>16.058177099525601</v>
      </c>
      <c r="AP154">
        <v>846.03333333333296</v>
      </c>
      <c r="AQ154">
        <v>14.1005555555556</v>
      </c>
      <c r="AR154">
        <v>133522</v>
      </c>
      <c r="AS154">
        <v>1954500</v>
      </c>
      <c r="AT154">
        <v>270000</v>
      </c>
    </row>
    <row r="155" spans="1:46">
      <c r="A155" t="s">
        <v>293</v>
      </c>
      <c r="B155">
        <v>12</v>
      </c>
      <c r="C155" t="s">
        <v>308</v>
      </c>
      <c r="D155">
        <v>1</v>
      </c>
      <c r="E155">
        <v>0</v>
      </c>
      <c r="F155">
        <v>0</v>
      </c>
      <c r="G155">
        <v>1</v>
      </c>
      <c r="H155">
        <v>0</v>
      </c>
      <c r="I155">
        <v>1</v>
      </c>
      <c r="J155">
        <v>1</v>
      </c>
      <c r="K155">
        <v>1</v>
      </c>
      <c r="L155">
        <v>0</v>
      </c>
      <c r="M155">
        <v>430000</v>
      </c>
      <c r="N155">
        <v>430000</v>
      </c>
      <c r="O155">
        <v>430000</v>
      </c>
      <c r="P155">
        <v>120000</v>
      </c>
      <c r="Q155">
        <v>0</v>
      </c>
      <c r="R155">
        <v>430000</v>
      </c>
      <c r="S155">
        <v>430000</v>
      </c>
      <c r="T155">
        <v>430000</v>
      </c>
      <c r="U155">
        <v>1290000</v>
      </c>
      <c r="V155">
        <v>1290000</v>
      </c>
      <c r="W155">
        <v>3240400</v>
      </c>
      <c r="X155">
        <v>129</v>
      </c>
      <c r="Y155">
        <v>129</v>
      </c>
      <c r="Z155">
        <v>68528</v>
      </c>
      <c r="AA155">
        <v>1</v>
      </c>
      <c r="AB155">
        <v>68528</v>
      </c>
      <c r="AC155">
        <v>68528</v>
      </c>
      <c r="AD155">
        <v>202036</v>
      </c>
      <c r="AE155">
        <v>57.106666666666698</v>
      </c>
      <c r="AF155">
        <v>57.106666666666698</v>
      </c>
      <c r="AG155">
        <v>68528</v>
      </c>
      <c r="AH155">
        <v>68528</v>
      </c>
      <c r="AI155">
        <v>202050</v>
      </c>
      <c r="AJ155">
        <v>186.106666666667</v>
      </c>
      <c r="AK155">
        <v>2700</v>
      </c>
      <c r="AL155">
        <v>2700</v>
      </c>
      <c r="AM155">
        <v>11760</v>
      </c>
      <c r="AN155">
        <v>11760</v>
      </c>
      <c r="AO155">
        <v>14.507809141710799</v>
      </c>
      <c r="AP155">
        <v>1142.13333333333</v>
      </c>
      <c r="AQ155">
        <v>19.0355555555556</v>
      </c>
      <c r="AR155">
        <v>202050</v>
      </c>
      <c r="AS155">
        <v>3244500</v>
      </c>
      <c r="AT155">
        <v>430000</v>
      </c>
    </row>
    <row r="156" spans="1:46">
      <c r="A156" t="s">
        <v>293</v>
      </c>
      <c r="B156">
        <v>13</v>
      </c>
      <c r="C156" t="s">
        <v>309</v>
      </c>
      <c r="D156">
        <v>1</v>
      </c>
      <c r="E156">
        <v>0</v>
      </c>
      <c r="F156">
        <v>0</v>
      </c>
      <c r="G156">
        <v>1</v>
      </c>
      <c r="H156">
        <v>0</v>
      </c>
      <c r="I156">
        <v>1</v>
      </c>
      <c r="J156">
        <v>1</v>
      </c>
      <c r="K156">
        <v>1</v>
      </c>
      <c r="L156">
        <v>0</v>
      </c>
      <c r="M156">
        <v>680000</v>
      </c>
      <c r="N156">
        <v>680000</v>
      </c>
      <c r="O156">
        <v>680000</v>
      </c>
      <c r="P156">
        <v>187500</v>
      </c>
      <c r="Q156">
        <v>0</v>
      </c>
      <c r="R156">
        <v>680000</v>
      </c>
      <c r="S156">
        <v>680000</v>
      </c>
      <c r="T156">
        <v>680000</v>
      </c>
      <c r="U156">
        <v>2040000</v>
      </c>
      <c r="V156">
        <v>2040000</v>
      </c>
      <c r="W156">
        <v>5280400</v>
      </c>
      <c r="X156">
        <v>204</v>
      </c>
      <c r="Y156">
        <v>204</v>
      </c>
      <c r="Z156">
        <v>92513</v>
      </c>
      <c r="AA156">
        <v>1</v>
      </c>
      <c r="AB156">
        <v>92513</v>
      </c>
      <c r="AC156">
        <v>92513</v>
      </c>
      <c r="AD156">
        <v>294549</v>
      </c>
      <c r="AE156">
        <v>77.094166666666695</v>
      </c>
      <c r="AF156">
        <v>77.094166666666695</v>
      </c>
      <c r="AG156">
        <v>92513</v>
      </c>
      <c r="AH156">
        <v>92513</v>
      </c>
      <c r="AI156">
        <v>294563</v>
      </c>
      <c r="AJ156">
        <v>281.09416666666698</v>
      </c>
      <c r="AK156">
        <v>3690</v>
      </c>
      <c r="AL156">
        <v>3690</v>
      </c>
      <c r="AM156">
        <v>15450</v>
      </c>
      <c r="AN156">
        <v>15450</v>
      </c>
      <c r="AO156">
        <v>13.1272734818996</v>
      </c>
      <c r="AP156">
        <v>1541.88333333333</v>
      </c>
      <c r="AQ156">
        <v>25.698055555555602</v>
      </c>
      <c r="AR156">
        <v>294563</v>
      </c>
      <c r="AS156">
        <v>5284500</v>
      </c>
      <c r="AT156">
        <v>680000</v>
      </c>
    </row>
    <row r="157" spans="1:46">
      <c r="A157" t="s">
        <v>293</v>
      </c>
      <c r="B157">
        <v>14</v>
      </c>
      <c r="C157" t="s">
        <v>310</v>
      </c>
      <c r="D157">
        <v>1</v>
      </c>
      <c r="E157">
        <v>0</v>
      </c>
      <c r="F157">
        <v>0</v>
      </c>
      <c r="G157">
        <v>1</v>
      </c>
      <c r="H157">
        <v>0</v>
      </c>
      <c r="I157">
        <v>1</v>
      </c>
      <c r="J157">
        <v>1</v>
      </c>
      <c r="K157">
        <v>1</v>
      </c>
      <c r="L157">
        <v>0</v>
      </c>
      <c r="M157">
        <v>1100000</v>
      </c>
      <c r="N157">
        <v>1100000</v>
      </c>
      <c r="O157">
        <v>1100000</v>
      </c>
      <c r="P157">
        <v>315000</v>
      </c>
      <c r="Q157">
        <v>0</v>
      </c>
      <c r="R157">
        <v>1100000</v>
      </c>
      <c r="S157">
        <v>1100000</v>
      </c>
      <c r="T157">
        <v>1100000</v>
      </c>
      <c r="U157">
        <v>3300000</v>
      </c>
      <c r="V157">
        <v>3300000</v>
      </c>
      <c r="W157">
        <v>8580400</v>
      </c>
      <c r="X157">
        <v>330</v>
      </c>
      <c r="Y157">
        <v>330</v>
      </c>
      <c r="Z157">
        <v>124893</v>
      </c>
      <c r="AA157">
        <v>1</v>
      </c>
      <c r="AB157">
        <v>124893</v>
      </c>
      <c r="AC157">
        <v>124893</v>
      </c>
      <c r="AD157">
        <v>419442</v>
      </c>
      <c r="AE157">
        <v>104.0775</v>
      </c>
      <c r="AF157">
        <v>104.0775</v>
      </c>
      <c r="AG157">
        <v>124893</v>
      </c>
      <c r="AH157">
        <v>124893</v>
      </c>
      <c r="AI157">
        <v>419456</v>
      </c>
      <c r="AJ157">
        <v>434.07749999999999</v>
      </c>
      <c r="AK157">
        <v>4950</v>
      </c>
      <c r="AL157">
        <v>4950</v>
      </c>
      <c r="AM157">
        <v>20400</v>
      </c>
      <c r="AN157">
        <v>20400</v>
      </c>
      <c r="AO157">
        <v>11.403493615771399</v>
      </c>
      <c r="AP157">
        <v>2081.5500000000002</v>
      </c>
      <c r="AQ157">
        <v>34.692500000000003</v>
      </c>
      <c r="AR157">
        <v>419456</v>
      </c>
      <c r="AS157">
        <v>8584500</v>
      </c>
      <c r="AT157">
        <v>1100000</v>
      </c>
    </row>
    <row r="158" spans="1:46">
      <c r="A158" t="s">
        <v>293</v>
      </c>
      <c r="B158">
        <v>15</v>
      </c>
      <c r="C158" t="s">
        <v>311</v>
      </c>
      <c r="D158">
        <v>1</v>
      </c>
      <c r="E158">
        <v>0</v>
      </c>
      <c r="F158">
        <v>0</v>
      </c>
      <c r="G158">
        <v>1</v>
      </c>
      <c r="H158">
        <v>0</v>
      </c>
      <c r="I158">
        <v>1</v>
      </c>
      <c r="J158">
        <v>1</v>
      </c>
      <c r="K158">
        <v>1</v>
      </c>
      <c r="L158">
        <v>0</v>
      </c>
      <c r="M158">
        <v>1600000</v>
      </c>
      <c r="N158">
        <v>1600000</v>
      </c>
      <c r="O158">
        <v>1600000</v>
      </c>
      <c r="P158">
        <v>375000</v>
      </c>
      <c r="Q158">
        <v>0</v>
      </c>
      <c r="R158">
        <v>1600000</v>
      </c>
      <c r="S158">
        <v>1600000</v>
      </c>
      <c r="T158">
        <v>1600000</v>
      </c>
      <c r="U158">
        <v>4800000</v>
      </c>
      <c r="V158">
        <v>4800000</v>
      </c>
      <c r="W158">
        <v>13380400</v>
      </c>
      <c r="X158">
        <v>480</v>
      </c>
      <c r="Y158">
        <v>480</v>
      </c>
      <c r="Z158">
        <v>168605</v>
      </c>
      <c r="AA158">
        <v>1</v>
      </c>
      <c r="AB158">
        <v>168605</v>
      </c>
      <c r="AC158">
        <v>168605</v>
      </c>
      <c r="AD158">
        <v>588047</v>
      </c>
      <c r="AE158">
        <v>140.504166666667</v>
      </c>
      <c r="AF158">
        <v>140.504166666667</v>
      </c>
      <c r="AG158">
        <v>168605</v>
      </c>
      <c r="AH158">
        <v>168605</v>
      </c>
      <c r="AI158">
        <v>588061</v>
      </c>
      <c r="AJ158">
        <v>620.50416666666695</v>
      </c>
      <c r="AK158">
        <v>6660</v>
      </c>
      <c r="AL158">
        <v>6660</v>
      </c>
      <c r="AM158">
        <v>27060</v>
      </c>
      <c r="AN158">
        <v>27060</v>
      </c>
      <c r="AO158">
        <v>10.733207539567999</v>
      </c>
      <c r="AP158">
        <v>2810.0833333333298</v>
      </c>
      <c r="AQ158">
        <v>46.834722222222197</v>
      </c>
      <c r="AR158">
        <v>588061</v>
      </c>
      <c r="AS158">
        <v>13384500</v>
      </c>
      <c r="AT158">
        <v>1600000</v>
      </c>
    </row>
    <row r="159" spans="1:46">
      <c r="A159" t="s">
        <v>293</v>
      </c>
      <c r="B159">
        <v>16</v>
      </c>
      <c r="C159" t="s">
        <v>312</v>
      </c>
      <c r="D159">
        <v>1</v>
      </c>
      <c r="E159">
        <v>0</v>
      </c>
      <c r="F159">
        <v>0</v>
      </c>
      <c r="G159">
        <v>1</v>
      </c>
      <c r="H159">
        <v>0</v>
      </c>
      <c r="I159">
        <v>1</v>
      </c>
      <c r="J159">
        <v>1</v>
      </c>
      <c r="K159">
        <v>1</v>
      </c>
      <c r="L159">
        <v>0</v>
      </c>
      <c r="M159">
        <v>2200000</v>
      </c>
      <c r="N159">
        <v>2200000</v>
      </c>
      <c r="O159">
        <v>2200000</v>
      </c>
      <c r="P159">
        <v>450000</v>
      </c>
      <c r="Q159">
        <v>0</v>
      </c>
      <c r="R159">
        <v>2200000</v>
      </c>
      <c r="S159">
        <v>2200000</v>
      </c>
      <c r="T159">
        <v>2200000</v>
      </c>
      <c r="U159">
        <v>6600000</v>
      </c>
      <c r="V159">
        <v>6600000</v>
      </c>
      <c r="W159">
        <v>19980400</v>
      </c>
      <c r="X159">
        <v>660</v>
      </c>
      <c r="Y159">
        <v>660</v>
      </c>
      <c r="Z159">
        <v>227617</v>
      </c>
      <c r="AA159">
        <v>1</v>
      </c>
      <c r="AB159">
        <v>227617</v>
      </c>
      <c r="AC159">
        <v>227617</v>
      </c>
      <c r="AD159">
        <v>815664</v>
      </c>
      <c r="AE159">
        <v>189.680833333333</v>
      </c>
      <c r="AF159">
        <v>189.680833333333</v>
      </c>
      <c r="AG159">
        <v>227617</v>
      </c>
      <c r="AH159">
        <v>227617</v>
      </c>
      <c r="AI159">
        <v>815678</v>
      </c>
      <c r="AJ159">
        <v>849.680833333333</v>
      </c>
      <c r="AK159">
        <v>9000</v>
      </c>
      <c r="AL159">
        <v>9000</v>
      </c>
      <c r="AM159">
        <v>36060</v>
      </c>
      <c r="AN159">
        <v>36060</v>
      </c>
      <c r="AO159">
        <v>10.592212566091</v>
      </c>
      <c r="AP159">
        <v>3793.61666666667</v>
      </c>
      <c r="AQ159">
        <v>63.226944444444399</v>
      </c>
      <c r="AR159">
        <v>815678</v>
      </c>
      <c r="AS159">
        <v>19984500</v>
      </c>
      <c r="AT159">
        <v>2200000</v>
      </c>
    </row>
    <row r="160" spans="1:46">
      <c r="A160" t="s">
        <v>293</v>
      </c>
      <c r="B160">
        <v>17</v>
      </c>
      <c r="C160" t="s">
        <v>315</v>
      </c>
      <c r="D160">
        <v>1</v>
      </c>
      <c r="E160">
        <v>0</v>
      </c>
      <c r="F160">
        <v>0</v>
      </c>
      <c r="G160">
        <v>1</v>
      </c>
      <c r="H160">
        <v>0</v>
      </c>
      <c r="I160">
        <v>1</v>
      </c>
      <c r="J160">
        <v>1</v>
      </c>
      <c r="K160">
        <v>1</v>
      </c>
      <c r="L160">
        <v>0</v>
      </c>
      <c r="M160">
        <v>2900000</v>
      </c>
      <c r="N160">
        <v>2900000</v>
      </c>
      <c r="O160">
        <v>2900000</v>
      </c>
      <c r="P160">
        <v>525000</v>
      </c>
      <c r="Q160">
        <v>0</v>
      </c>
      <c r="R160">
        <v>2900000</v>
      </c>
      <c r="S160">
        <v>2900000</v>
      </c>
      <c r="T160">
        <v>2900000</v>
      </c>
      <c r="U160">
        <v>8700000</v>
      </c>
      <c r="V160">
        <v>8700000</v>
      </c>
      <c r="W160">
        <v>28680400</v>
      </c>
      <c r="X160">
        <v>870</v>
      </c>
      <c r="Y160">
        <v>870</v>
      </c>
      <c r="Z160">
        <v>307283</v>
      </c>
      <c r="AA160">
        <v>1</v>
      </c>
      <c r="AB160">
        <v>307283</v>
      </c>
      <c r="AC160">
        <v>307283</v>
      </c>
      <c r="AD160">
        <v>1122947</v>
      </c>
      <c r="AE160">
        <v>256.069166666667</v>
      </c>
      <c r="AF160">
        <v>256.069166666667</v>
      </c>
      <c r="AG160">
        <v>307283</v>
      </c>
      <c r="AH160">
        <v>307283</v>
      </c>
      <c r="AI160">
        <v>1122961</v>
      </c>
      <c r="AJ160">
        <v>1126.0691666666701</v>
      </c>
      <c r="AK160">
        <v>12600</v>
      </c>
      <c r="AL160">
        <v>12600</v>
      </c>
      <c r="AM160">
        <v>48660</v>
      </c>
      <c r="AN160">
        <v>48660</v>
      </c>
      <c r="AO160">
        <v>11.1893659581302</v>
      </c>
      <c r="AP160">
        <v>5121.3833333333296</v>
      </c>
      <c r="AQ160">
        <v>85.356388888888901</v>
      </c>
      <c r="AR160">
        <v>1122961</v>
      </c>
      <c r="AS160">
        <v>28684500</v>
      </c>
      <c r="AT160">
        <v>2900000</v>
      </c>
    </row>
    <row r="161" spans="1:46">
      <c r="A161" t="s">
        <v>293</v>
      </c>
      <c r="B161">
        <v>18</v>
      </c>
      <c r="C161" t="s">
        <v>316</v>
      </c>
      <c r="D161">
        <v>1</v>
      </c>
      <c r="E161">
        <v>0</v>
      </c>
      <c r="F161">
        <v>0</v>
      </c>
      <c r="G161">
        <v>1</v>
      </c>
      <c r="H161">
        <v>0</v>
      </c>
      <c r="I161">
        <v>1</v>
      </c>
      <c r="J161">
        <v>1</v>
      </c>
      <c r="K161">
        <v>1</v>
      </c>
      <c r="L161">
        <v>0</v>
      </c>
      <c r="M161">
        <v>3800000</v>
      </c>
      <c r="N161">
        <v>3800000</v>
      </c>
      <c r="O161">
        <v>3800000</v>
      </c>
      <c r="P161">
        <v>675000</v>
      </c>
      <c r="Q161">
        <v>0</v>
      </c>
      <c r="R161">
        <v>3800000</v>
      </c>
      <c r="S161">
        <v>3800000</v>
      </c>
      <c r="T161">
        <v>3800000</v>
      </c>
      <c r="U161">
        <v>11400000</v>
      </c>
      <c r="V161">
        <v>11400000</v>
      </c>
      <c r="W161">
        <v>40080400</v>
      </c>
      <c r="X161">
        <v>1140</v>
      </c>
      <c r="Y161">
        <v>1140</v>
      </c>
      <c r="Z161">
        <v>414833</v>
      </c>
      <c r="AA161">
        <v>1</v>
      </c>
      <c r="AB161">
        <v>414833</v>
      </c>
      <c r="AC161">
        <v>414833</v>
      </c>
      <c r="AD161">
        <v>1537780</v>
      </c>
      <c r="AE161">
        <v>345.694166666667</v>
      </c>
      <c r="AF161">
        <v>345.694166666667</v>
      </c>
      <c r="AG161">
        <v>414833</v>
      </c>
      <c r="AH161">
        <v>414833</v>
      </c>
      <c r="AI161">
        <v>1537794</v>
      </c>
      <c r="AJ161">
        <v>1485.6941666666701</v>
      </c>
      <c r="AK161">
        <v>17100</v>
      </c>
      <c r="AL161">
        <v>17100</v>
      </c>
      <c r="AM161">
        <v>65760</v>
      </c>
      <c r="AN161">
        <v>65760</v>
      </c>
      <c r="AO161">
        <v>11.509771246101</v>
      </c>
      <c r="AP161">
        <v>6913.8833333333296</v>
      </c>
      <c r="AQ161">
        <v>115.231388888889</v>
      </c>
      <c r="AR161">
        <v>1537794</v>
      </c>
      <c r="AS161">
        <v>40084500</v>
      </c>
      <c r="AT161">
        <v>3800000</v>
      </c>
    </row>
    <row r="162" spans="1:46">
      <c r="A162" t="s">
        <v>293</v>
      </c>
      <c r="B162">
        <v>19</v>
      </c>
      <c r="C162" t="s">
        <v>317</v>
      </c>
      <c r="D162">
        <v>1</v>
      </c>
      <c r="E162">
        <v>0</v>
      </c>
      <c r="F162">
        <v>0</v>
      </c>
      <c r="G162">
        <v>1</v>
      </c>
      <c r="H162">
        <v>0</v>
      </c>
      <c r="I162">
        <v>1</v>
      </c>
      <c r="J162">
        <v>1</v>
      </c>
      <c r="K162">
        <v>1</v>
      </c>
      <c r="L162">
        <v>0</v>
      </c>
      <c r="M162">
        <v>4900000</v>
      </c>
      <c r="N162">
        <v>4900000</v>
      </c>
      <c r="O162">
        <v>4900000</v>
      </c>
      <c r="P162">
        <v>825000</v>
      </c>
      <c r="Q162">
        <v>0</v>
      </c>
      <c r="R162">
        <v>4900000</v>
      </c>
      <c r="S162">
        <v>4900000</v>
      </c>
      <c r="T162">
        <v>4900000</v>
      </c>
      <c r="U162">
        <v>14700000</v>
      </c>
      <c r="V162">
        <v>14700000</v>
      </c>
      <c r="W162">
        <v>54780400</v>
      </c>
      <c r="X162">
        <v>1470</v>
      </c>
      <c r="Y162">
        <v>1470</v>
      </c>
      <c r="Z162">
        <v>622249</v>
      </c>
      <c r="AA162">
        <v>1</v>
      </c>
      <c r="AB162">
        <v>622249</v>
      </c>
      <c r="AC162">
        <v>622249</v>
      </c>
      <c r="AD162">
        <v>2160029</v>
      </c>
      <c r="AE162">
        <v>518.54083333333301</v>
      </c>
      <c r="AF162">
        <v>518.54083333333301</v>
      </c>
      <c r="AG162">
        <v>622249</v>
      </c>
      <c r="AH162">
        <v>622249</v>
      </c>
      <c r="AI162">
        <v>2160043</v>
      </c>
      <c r="AJ162">
        <v>1988.5408333333301</v>
      </c>
      <c r="AK162">
        <v>23400</v>
      </c>
      <c r="AL162">
        <v>23400</v>
      </c>
      <c r="AM162">
        <v>89160</v>
      </c>
      <c r="AN162">
        <v>89160</v>
      </c>
      <c r="AO162">
        <v>11.767422427416401</v>
      </c>
      <c r="AP162">
        <v>10370.8166666667</v>
      </c>
      <c r="AQ162">
        <v>172.84694444444401</v>
      </c>
      <c r="AR162">
        <v>2160043</v>
      </c>
      <c r="AS162">
        <v>54784500</v>
      </c>
      <c r="AT162">
        <v>4900000</v>
      </c>
    </row>
    <row r="163" spans="1:46">
      <c r="A163" t="s">
        <v>293</v>
      </c>
      <c r="B163">
        <v>20</v>
      </c>
      <c r="C163" t="s">
        <v>318</v>
      </c>
      <c r="D163">
        <v>1</v>
      </c>
      <c r="E163">
        <v>0</v>
      </c>
      <c r="F163">
        <v>0</v>
      </c>
      <c r="G163">
        <v>1</v>
      </c>
      <c r="H163">
        <v>0</v>
      </c>
      <c r="I163">
        <v>1</v>
      </c>
      <c r="J163">
        <v>1</v>
      </c>
      <c r="K163">
        <v>1</v>
      </c>
      <c r="L163">
        <v>0</v>
      </c>
      <c r="M163">
        <v>6400000</v>
      </c>
      <c r="N163">
        <v>6400000</v>
      </c>
      <c r="O163">
        <v>6400000</v>
      </c>
      <c r="P163">
        <v>1125000</v>
      </c>
      <c r="Q163">
        <v>0</v>
      </c>
      <c r="R163">
        <v>6400000</v>
      </c>
      <c r="S163">
        <v>6400000</v>
      </c>
      <c r="T163">
        <v>6400000</v>
      </c>
      <c r="U163">
        <v>19200000</v>
      </c>
      <c r="V163">
        <v>19200000</v>
      </c>
      <c r="W163">
        <v>73980400</v>
      </c>
      <c r="X163">
        <v>1920</v>
      </c>
      <c r="Y163">
        <v>1920</v>
      </c>
      <c r="Z163">
        <v>933373</v>
      </c>
      <c r="AA163">
        <v>1</v>
      </c>
      <c r="AB163">
        <v>933373</v>
      </c>
      <c r="AC163">
        <v>933373</v>
      </c>
      <c r="AD163">
        <v>3093402</v>
      </c>
      <c r="AE163">
        <v>777.81083333333299</v>
      </c>
      <c r="AF163">
        <v>777.81083333333299</v>
      </c>
      <c r="AG163">
        <v>933373</v>
      </c>
      <c r="AH163">
        <v>933373</v>
      </c>
      <c r="AI163">
        <v>3093416</v>
      </c>
      <c r="AJ163">
        <v>2697.8108333333298</v>
      </c>
      <c r="AK163">
        <v>31500</v>
      </c>
      <c r="AL163">
        <v>31500</v>
      </c>
      <c r="AM163">
        <v>120660</v>
      </c>
      <c r="AN163">
        <v>120660</v>
      </c>
      <c r="AO163">
        <v>11.6761337047044</v>
      </c>
      <c r="AP163">
        <v>15556.2166666667</v>
      </c>
      <c r="AQ163">
        <v>259.27027777777801</v>
      </c>
      <c r="AR163">
        <v>3093416</v>
      </c>
      <c r="AS163">
        <v>73984500</v>
      </c>
      <c r="AT163">
        <v>6400000</v>
      </c>
    </row>
    <row r="164" spans="1:46">
      <c r="A164" t="s">
        <v>319</v>
      </c>
      <c r="B164">
        <v>1</v>
      </c>
      <c r="C164" t="s">
        <v>320</v>
      </c>
      <c r="D164">
        <v>1</v>
      </c>
      <c r="E164">
        <v>0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1400</v>
      </c>
      <c r="N164">
        <v>0</v>
      </c>
      <c r="O164">
        <v>0</v>
      </c>
      <c r="P164">
        <v>350</v>
      </c>
      <c r="Q164">
        <v>0</v>
      </c>
      <c r="R164">
        <v>1400</v>
      </c>
      <c r="S164">
        <v>0</v>
      </c>
      <c r="T164">
        <v>0</v>
      </c>
      <c r="U164">
        <v>1400</v>
      </c>
      <c r="V164">
        <v>1400</v>
      </c>
      <c r="W164">
        <v>1400</v>
      </c>
      <c r="X164">
        <v>0.14000000000000001</v>
      </c>
      <c r="Y164">
        <v>0.14000000000000001</v>
      </c>
      <c r="Z164">
        <v>108</v>
      </c>
      <c r="AA164">
        <v>1E-3</v>
      </c>
      <c r="AB164">
        <v>1</v>
      </c>
      <c r="AC164">
        <v>1</v>
      </c>
      <c r="AD164">
        <v>1</v>
      </c>
      <c r="AE164">
        <v>8.3333333333333295E-4</v>
      </c>
      <c r="AF164">
        <v>8.3333333333333295E-4</v>
      </c>
      <c r="AG164">
        <v>1</v>
      </c>
      <c r="AH164">
        <v>1</v>
      </c>
      <c r="AI164">
        <v>1</v>
      </c>
      <c r="AJ164">
        <v>0.14083333333333301</v>
      </c>
      <c r="AK164">
        <v>270</v>
      </c>
      <c r="AL164">
        <v>270</v>
      </c>
      <c r="AM164">
        <v>270</v>
      </c>
      <c r="AN164">
        <v>270</v>
      </c>
      <c r="AO164">
        <v>1917.15976331361</v>
      </c>
      <c r="AP164">
        <v>1.6666666666666701E-2</v>
      </c>
      <c r="AQ164">
        <v>2.7777777777777799E-4</v>
      </c>
      <c r="AR164">
        <v>1</v>
      </c>
      <c r="AS164">
        <v>1400</v>
      </c>
      <c r="AT164">
        <v>1400</v>
      </c>
    </row>
    <row r="165" spans="1:46">
      <c r="A165" t="s">
        <v>319</v>
      </c>
      <c r="B165">
        <v>2</v>
      </c>
      <c r="C165" t="s">
        <v>323</v>
      </c>
      <c r="D165">
        <v>1</v>
      </c>
      <c r="E165">
        <v>0</v>
      </c>
      <c r="F165">
        <v>0</v>
      </c>
      <c r="G165">
        <v>1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2700</v>
      </c>
      <c r="N165">
        <v>0</v>
      </c>
      <c r="O165">
        <v>0</v>
      </c>
      <c r="P165">
        <v>325</v>
      </c>
      <c r="Q165">
        <v>0</v>
      </c>
      <c r="R165">
        <v>2700</v>
      </c>
      <c r="S165">
        <v>0</v>
      </c>
      <c r="T165">
        <v>0</v>
      </c>
      <c r="U165">
        <v>2700</v>
      </c>
      <c r="V165">
        <v>2700</v>
      </c>
      <c r="W165">
        <v>2700</v>
      </c>
      <c r="X165">
        <v>0.27</v>
      </c>
      <c r="Y165">
        <v>0.27</v>
      </c>
      <c r="Z165">
        <v>216</v>
      </c>
      <c r="AA165">
        <v>6.0999999999999999E-2</v>
      </c>
      <c r="AB165">
        <v>13</v>
      </c>
      <c r="AC165">
        <v>13</v>
      </c>
      <c r="AD165">
        <v>13</v>
      </c>
      <c r="AE165">
        <v>1.0833333333333301E-2</v>
      </c>
      <c r="AF165">
        <v>1.0833333333333301E-2</v>
      </c>
      <c r="AG165">
        <v>13</v>
      </c>
      <c r="AH165">
        <v>13</v>
      </c>
      <c r="AI165">
        <v>14</v>
      </c>
      <c r="AJ165">
        <v>0.28083333333333299</v>
      </c>
      <c r="AK165">
        <v>324</v>
      </c>
      <c r="AL165">
        <v>324</v>
      </c>
      <c r="AM165">
        <v>590</v>
      </c>
      <c r="AN165">
        <v>590</v>
      </c>
      <c r="AO165">
        <v>1153.7091988130601</v>
      </c>
      <c r="AP165">
        <v>0.21666666666666701</v>
      </c>
      <c r="AQ165">
        <v>3.6111111111111101E-3</v>
      </c>
      <c r="AR165">
        <v>14</v>
      </c>
      <c r="AS165">
        <v>4100</v>
      </c>
      <c r="AT165">
        <v>2700</v>
      </c>
    </row>
    <row r="166" spans="1:46">
      <c r="A166" t="s">
        <v>319</v>
      </c>
      <c r="B166">
        <v>3</v>
      </c>
      <c r="C166" t="s">
        <v>324</v>
      </c>
      <c r="D166">
        <v>1</v>
      </c>
      <c r="E166">
        <v>0</v>
      </c>
      <c r="F166">
        <v>0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5400</v>
      </c>
      <c r="N166">
        <v>0</v>
      </c>
      <c r="O166">
        <v>0</v>
      </c>
      <c r="P166">
        <v>675</v>
      </c>
      <c r="Q166">
        <v>0</v>
      </c>
      <c r="R166">
        <v>5400</v>
      </c>
      <c r="S166">
        <v>0</v>
      </c>
      <c r="T166">
        <v>0</v>
      </c>
      <c r="U166">
        <v>5400</v>
      </c>
      <c r="V166">
        <v>5400</v>
      </c>
      <c r="W166">
        <v>5400</v>
      </c>
      <c r="X166">
        <v>0.54</v>
      </c>
      <c r="Y166">
        <v>0.54</v>
      </c>
      <c r="Z166">
        <v>432</v>
      </c>
      <c r="AA166">
        <v>0.1</v>
      </c>
      <c r="AB166">
        <v>43</v>
      </c>
      <c r="AC166">
        <v>43</v>
      </c>
      <c r="AD166">
        <v>43</v>
      </c>
      <c r="AE166">
        <v>3.58333333333333E-2</v>
      </c>
      <c r="AF166">
        <v>3.58333333333333E-2</v>
      </c>
      <c r="AG166">
        <v>43</v>
      </c>
      <c r="AH166">
        <v>43</v>
      </c>
      <c r="AI166">
        <v>57</v>
      </c>
      <c r="AJ166">
        <v>0.57583333333333298</v>
      </c>
      <c r="AK166">
        <v>387</v>
      </c>
      <c r="AL166">
        <v>387</v>
      </c>
      <c r="AM166">
        <v>980</v>
      </c>
      <c r="AN166">
        <v>980</v>
      </c>
      <c r="AO166">
        <v>672.06946454413901</v>
      </c>
      <c r="AP166">
        <v>0.71666666666666701</v>
      </c>
      <c r="AQ166">
        <v>1.19444444444444E-2</v>
      </c>
      <c r="AR166">
        <v>57</v>
      </c>
      <c r="AS166">
        <v>9500</v>
      </c>
      <c r="AT166">
        <v>5400</v>
      </c>
    </row>
    <row r="167" spans="1:46">
      <c r="A167" t="s">
        <v>319</v>
      </c>
      <c r="B167">
        <v>4</v>
      </c>
      <c r="C167" t="s">
        <v>325</v>
      </c>
      <c r="D167">
        <v>1</v>
      </c>
      <c r="E167">
        <v>0</v>
      </c>
      <c r="F167">
        <v>0</v>
      </c>
      <c r="G167">
        <v>1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11000</v>
      </c>
      <c r="N167">
        <v>0</v>
      </c>
      <c r="O167">
        <v>0</v>
      </c>
      <c r="P167">
        <v>1400</v>
      </c>
      <c r="Q167">
        <v>0</v>
      </c>
      <c r="R167">
        <v>11000</v>
      </c>
      <c r="S167">
        <v>0</v>
      </c>
      <c r="T167">
        <v>0</v>
      </c>
      <c r="U167">
        <v>11000</v>
      </c>
      <c r="V167">
        <v>11000</v>
      </c>
      <c r="W167">
        <v>16400</v>
      </c>
      <c r="X167">
        <v>1.1000000000000001</v>
      </c>
      <c r="Y167">
        <v>1.1000000000000001</v>
      </c>
      <c r="Z167">
        <v>864</v>
      </c>
      <c r="AA167">
        <v>0.2</v>
      </c>
      <c r="AB167">
        <v>173</v>
      </c>
      <c r="AC167">
        <v>173</v>
      </c>
      <c r="AD167">
        <v>216</v>
      </c>
      <c r="AE167">
        <v>0.144166666666667</v>
      </c>
      <c r="AF167">
        <v>0.144166666666667</v>
      </c>
      <c r="AG167">
        <v>173</v>
      </c>
      <c r="AH167">
        <v>173</v>
      </c>
      <c r="AI167">
        <v>230</v>
      </c>
      <c r="AJ167">
        <v>1.24416666666667</v>
      </c>
      <c r="AK167">
        <v>468</v>
      </c>
      <c r="AL167">
        <v>468</v>
      </c>
      <c r="AM167">
        <v>1450</v>
      </c>
      <c r="AN167">
        <v>1450</v>
      </c>
      <c r="AO167">
        <v>376.15539182853303</v>
      </c>
      <c r="AP167">
        <v>2.8833333333333302</v>
      </c>
      <c r="AQ167">
        <v>4.8055555555555601E-2</v>
      </c>
      <c r="AR167">
        <v>230</v>
      </c>
      <c r="AS167">
        <v>20500</v>
      </c>
      <c r="AT167">
        <v>11000</v>
      </c>
    </row>
    <row r="168" spans="1:46">
      <c r="A168" t="s">
        <v>319</v>
      </c>
      <c r="B168">
        <v>5</v>
      </c>
      <c r="C168" t="s">
        <v>326</v>
      </c>
      <c r="D168">
        <v>1</v>
      </c>
      <c r="E168">
        <v>0</v>
      </c>
      <c r="F168">
        <v>0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22000</v>
      </c>
      <c r="N168">
        <v>0</v>
      </c>
      <c r="O168">
        <v>0</v>
      </c>
      <c r="P168">
        <v>2750</v>
      </c>
      <c r="Q168">
        <v>0</v>
      </c>
      <c r="R168">
        <v>22000</v>
      </c>
      <c r="S168">
        <v>0</v>
      </c>
      <c r="T168">
        <v>0</v>
      </c>
      <c r="U168">
        <v>22000</v>
      </c>
      <c r="V168">
        <v>22000</v>
      </c>
      <c r="W168">
        <v>38400</v>
      </c>
      <c r="X168">
        <v>2.2000000000000002</v>
      </c>
      <c r="Y168">
        <v>2.2000000000000002</v>
      </c>
      <c r="Z168">
        <v>1728</v>
      </c>
      <c r="AA168">
        <v>0.2</v>
      </c>
      <c r="AB168">
        <v>346</v>
      </c>
      <c r="AC168">
        <v>346</v>
      </c>
      <c r="AD168">
        <v>562</v>
      </c>
      <c r="AE168">
        <v>0.288333333333333</v>
      </c>
      <c r="AF168">
        <v>0.288333333333333</v>
      </c>
      <c r="AG168">
        <v>346</v>
      </c>
      <c r="AH168">
        <v>346</v>
      </c>
      <c r="AI168">
        <v>576</v>
      </c>
      <c r="AJ168">
        <v>2.4883333333333302</v>
      </c>
      <c r="AK168">
        <v>558</v>
      </c>
      <c r="AL168">
        <v>558</v>
      </c>
      <c r="AM168">
        <v>2010</v>
      </c>
      <c r="AN168">
        <v>2010</v>
      </c>
      <c r="AO168">
        <v>224.246483590087</v>
      </c>
      <c r="AP168">
        <v>5.7666666666666702</v>
      </c>
      <c r="AQ168">
        <v>9.6111111111111105E-2</v>
      </c>
      <c r="AR168">
        <v>576</v>
      </c>
      <c r="AS168">
        <v>42500</v>
      </c>
      <c r="AT168">
        <v>22000</v>
      </c>
    </row>
    <row r="169" spans="1:46">
      <c r="A169" t="s">
        <v>319</v>
      </c>
      <c r="B169">
        <v>6</v>
      </c>
      <c r="C169" t="s">
        <v>327</v>
      </c>
      <c r="D169">
        <v>1</v>
      </c>
      <c r="E169">
        <v>0</v>
      </c>
      <c r="F169">
        <v>0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0</v>
      </c>
      <c r="M169">
        <v>22000</v>
      </c>
      <c r="N169">
        <v>22000</v>
      </c>
      <c r="O169">
        <v>0</v>
      </c>
      <c r="P169">
        <v>5500</v>
      </c>
      <c r="Q169">
        <v>0</v>
      </c>
      <c r="R169">
        <v>22000</v>
      </c>
      <c r="S169">
        <v>22000</v>
      </c>
      <c r="T169">
        <v>0</v>
      </c>
      <c r="U169">
        <v>44000</v>
      </c>
      <c r="V169">
        <v>44000</v>
      </c>
      <c r="W169">
        <v>82400</v>
      </c>
      <c r="X169">
        <v>4.4000000000000004</v>
      </c>
      <c r="Y169">
        <v>4.4000000000000004</v>
      </c>
      <c r="Z169">
        <v>3456</v>
      </c>
      <c r="AA169">
        <v>0.5</v>
      </c>
      <c r="AB169">
        <v>1728</v>
      </c>
      <c r="AC169">
        <v>1728</v>
      </c>
      <c r="AD169">
        <v>2290</v>
      </c>
      <c r="AE169">
        <v>1.44</v>
      </c>
      <c r="AF169">
        <v>1.44</v>
      </c>
      <c r="AG169">
        <v>1728</v>
      </c>
      <c r="AH169">
        <v>1728</v>
      </c>
      <c r="AI169">
        <v>2304</v>
      </c>
      <c r="AJ169">
        <v>5.84</v>
      </c>
      <c r="AK169">
        <v>666</v>
      </c>
      <c r="AL169">
        <v>666</v>
      </c>
      <c r="AM169">
        <v>2680</v>
      </c>
      <c r="AN169">
        <v>2680</v>
      </c>
      <c r="AO169">
        <v>114.041095890411</v>
      </c>
      <c r="AP169">
        <v>28.8</v>
      </c>
      <c r="AQ169">
        <v>0.48</v>
      </c>
      <c r="AR169">
        <v>2304</v>
      </c>
      <c r="AS169">
        <v>86500</v>
      </c>
      <c r="AT169">
        <v>22000</v>
      </c>
    </row>
    <row r="170" spans="1:46">
      <c r="A170" t="s">
        <v>319</v>
      </c>
      <c r="B170">
        <v>7</v>
      </c>
      <c r="C170" t="s">
        <v>328</v>
      </c>
      <c r="D170">
        <v>1</v>
      </c>
      <c r="E170">
        <v>0</v>
      </c>
      <c r="F170">
        <v>0</v>
      </c>
      <c r="G170">
        <v>1</v>
      </c>
      <c r="H170">
        <v>0</v>
      </c>
      <c r="I170">
        <v>1</v>
      </c>
      <c r="J170">
        <v>1</v>
      </c>
      <c r="K170">
        <v>0</v>
      </c>
      <c r="L170">
        <v>0</v>
      </c>
      <c r="M170">
        <v>43000</v>
      </c>
      <c r="N170">
        <v>43000</v>
      </c>
      <c r="O170">
        <v>0</v>
      </c>
      <c r="P170">
        <v>10500</v>
      </c>
      <c r="Q170">
        <v>0</v>
      </c>
      <c r="R170">
        <v>43000</v>
      </c>
      <c r="S170">
        <v>43000</v>
      </c>
      <c r="T170">
        <v>0</v>
      </c>
      <c r="U170">
        <v>86000</v>
      </c>
      <c r="V170">
        <v>86000</v>
      </c>
      <c r="W170">
        <v>168400</v>
      </c>
      <c r="X170">
        <v>8.6</v>
      </c>
      <c r="Y170">
        <v>8.6</v>
      </c>
      <c r="Z170">
        <v>6912</v>
      </c>
      <c r="AA170">
        <v>0.8</v>
      </c>
      <c r="AB170">
        <v>5530</v>
      </c>
      <c r="AC170">
        <v>5530</v>
      </c>
      <c r="AD170">
        <v>7820</v>
      </c>
      <c r="AE170">
        <v>4.6083333333333298</v>
      </c>
      <c r="AF170">
        <v>4.6083333333333298</v>
      </c>
      <c r="AG170">
        <v>5530</v>
      </c>
      <c r="AH170">
        <v>5530</v>
      </c>
      <c r="AI170">
        <v>7834</v>
      </c>
      <c r="AJ170">
        <v>13.2083333333333</v>
      </c>
      <c r="AK170">
        <v>801</v>
      </c>
      <c r="AL170">
        <v>801</v>
      </c>
      <c r="AM170">
        <v>3480</v>
      </c>
      <c r="AN170">
        <v>3480</v>
      </c>
      <c r="AO170">
        <v>60.643533123028398</v>
      </c>
      <c r="AP170">
        <v>92.1666666666667</v>
      </c>
      <c r="AQ170">
        <v>1.5361111111111101</v>
      </c>
      <c r="AR170">
        <v>7834</v>
      </c>
      <c r="AS170">
        <v>172500</v>
      </c>
      <c r="AT170">
        <v>43000</v>
      </c>
    </row>
    <row r="171" spans="1:46">
      <c r="A171" t="s">
        <v>319</v>
      </c>
      <c r="B171">
        <v>8</v>
      </c>
      <c r="C171" t="s">
        <v>329</v>
      </c>
      <c r="D171">
        <v>1</v>
      </c>
      <c r="E171">
        <v>0</v>
      </c>
      <c r="F171">
        <v>0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86000</v>
      </c>
      <c r="N171">
        <v>86000</v>
      </c>
      <c r="O171">
        <v>0</v>
      </c>
      <c r="P171">
        <v>21500</v>
      </c>
      <c r="Q171">
        <v>0</v>
      </c>
      <c r="R171">
        <v>86000</v>
      </c>
      <c r="S171">
        <v>86000</v>
      </c>
      <c r="T171">
        <v>0</v>
      </c>
      <c r="U171">
        <v>172000</v>
      </c>
      <c r="V171">
        <v>172000</v>
      </c>
      <c r="W171">
        <v>340400</v>
      </c>
      <c r="X171">
        <v>17.2</v>
      </c>
      <c r="Y171">
        <v>17.2</v>
      </c>
      <c r="Z171">
        <v>13824</v>
      </c>
      <c r="AA171">
        <v>1</v>
      </c>
      <c r="AB171">
        <v>13824</v>
      </c>
      <c r="AC171">
        <v>13824</v>
      </c>
      <c r="AD171">
        <v>21644</v>
      </c>
      <c r="AE171">
        <v>11.52</v>
      </c>
      <c r="AF171">
        <v>11.52</v>
      </c>
      <c r="AG171">
        <v>13824</v>
      </c>
      <c r="AH171">
        <v>13824</v>
      </c>
      <c r="AI171">
        <v>21658</v>
      </c>
      <c r="AJ171">
        <v>28.72</v>
      </c>
      <c r="AK171">
        <v>990</v>
      </c>
      <c r="AL171">
        <v>990</v>
      </c>
      <c r="AM171">
        <v>4470</v>
      </c>
      <c r="AN171">
        <v>4470</v>
      </c>
      <c r="AO171">
        <v>34.470752089136496</v>
      </c>
      <c r="AP171">
        <v>230.4</v>
      </c>
      <c r="AQ171">
        <v>3.84</v>
      </c>
      <c r="AR171">
        <v>21658</v>
      </c>
      <c r="AS171">
        <v>344500</v>
      </c>
      <c r="AT171">
        <v>86000</v>
      </c>
    </row>
    <row r="172" spans="1:46">
      <c r="A172" t="s">
        <v>319</v>
      </c>
      <c r="B172">
        <v>9</v>
      </c>
      <c r="C172" t="s">
        <v>330</v>
      </c>
      <c r="D172">
        <v>1</v>
      </c>
      <c r="E172">
        <v>0</v>
      </c>
      <c r="F172">
        <v>0</v>
      </c>
      <c r="G172">
        <v>1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150000</v>
      </c>
      <c r="N172">
        <v>150000</v>
      </c>
      <c r="O172">
        <v>0</v>
      </c>
      <c r="P172">
        <v>32000</v>
      </c>
      <c r="Q172">
        <v>0</v>
      </c>
      <c r="R172">
        <v>150000</v>
      </c>
      <c r="S172">
        <v>150000</v>
      </c>
      <c r="T172">
        <v>0</v>
      </c>
      <c r="U172">
        <v>300000</v>
      </c>
      <c r="V172">
        <v>300000</v>
      </c>
      <c r="W172">
        <v>640400</v>
      </c>
      <c r="X172">
        <v>30</v>
      </c>
      <c r="Y172">
        <v>30</v>
      </c>
      <c r="Z172">
        <v>23501</v>
      </c>
      <c r="AA172">
        <v>1</v>
      </c>
      <c r="AB172">
        <v>23501</v>
      </c>
      <c r="AC172">
        <v>23501</v>
      </c>
      <c r="AD172">
        <v>45145</v>
      </c>
      <c r="AE172">
        <v>19.5841666666667</v>
      </c>
      <c r="AF172">
        <v>19.5841666666667</v>
      </c>
      <c r="AG172">
        <v>23501</v>
      </c>
      <c r="AH172">
        <v>23501</v>
      </c>
      <c r="AI172">
        <v>45159</v>
      </c>
      <c r="AJ172">
        <v>49.584166666666697</v>
      </c>
      <c r="AK172">
        <v>1170</v>
      </c>
      <c r="AL172">
        <v>1170</v>
      </c>
      <c r="AM172">
        <v>5640</v>
      </c>
      <c r="AN172">
        <v>5640</v>
      </c>
      <c r="AO172">
        <v>23.596242079964998</v>
      </c>
      <c r="AP172">
        <v>391.683333333333</v>
      </c>
      <c r="AQ172">
        <v>6.5280555555555599</v>
      </c>
      <c r="AR172">
        <v>45159</v>
      </c>
      <c r="AS172">
        <v>644500</v>
      </c>
      <c r="AT172">
        <v>150000</v>
      </c>
    </row>
    <row r="173" spans="1:46">
      <c r="A173" t="s">
        <v>319</v>
      </c>
      <c r="B173">
        <v>10</v>
      </c>
      <c r="C173" t="s">
        <v>331</v>
      </c>
      <c r="D173">
        <v>1</v>
      </c>
      <c r="E173">
        <v>0</v>
      </c>
      <c r="F173">
        <v>0</v>
      </c>
      <c r="G173">
        <v>1</v>
      </c>
      <c r="H173">
        <v>0</v>
      </c>
      <c r="I173">
        <v>1</v>
      </c>
      <c r="J173">
        <v>1</v>
      </c>
      <c r="K173">
        <v>0</v>
      </c>
      <c r="L173">
        <v>0</v>
      </c>
      <c r="M173">
        <v>250000</v>
      </c>
      <c r="N173">
        <v>250000</v>
      </c>
      <c r="O173">
        <v>0</v>
      </c>
      <c r="P173">
        <v>50000</v>
      </c>
      <c r="Q173">
        <v>0</v>
      </c>
      <c r="R173">
        <v>250000</v>
      </c>
      <c r="S173">
        <v>250000</v>
      </c>
      <c r="T173">
        <v>0</v>
      </c>
      <c r="U173">
        <v>500000</v>
      </c>
      <c r="V173">
        <v>500000</v>
      </c>
      <c r="W173">
        <v>1140400</v>
      </c>
      <c r="X173">
        <v>50</v>
      </c>
      <c r="Y173">
        <v>50</v>
      </c>
      <c r="Z173">
        <v>37601</v>
      </c>
      <c r="AA173">
        <v>1</v>
      </c>
      <c r="AB173">
        <v>37601</v>
      </c>
      <c r="AC173">
        <v>37601</v>
      </c>
      <c r="AD173">
        <v>82746</v>
      </c>
      <c r="AE173">
        <v>31.3341666666667</v>
      </c>
      <c r="AF173">
        <v>31.3341666666667</v>
      </c>
      <c r="AG173">
        <v>37601</v>
      </c>
      <c r="AH173">
        <v>37601</v>
      </c>
      <c r="AI173">
        <v>82760</v>
      </c>
      <c r="AJ173">
        <v>81.334166666666704</v>
      </c>
      <c r="AK173">
        <v>1440</v>
      </c>
      <c r="AL173">
        <v>1440</v>
      </c>
      <c r="AM173">
        <v>7080</v>
      </c>
      <c r="AN173">
        <v>7080</v>
      </c>
      <c r="AO173">
        <v>17.704736631796798</v>
      </c>
      <c r="AP173">
        <v>626.68333333333305</v>
      </c>
      <c r="AQ173">
        <v>10.4447222222222</v>
      </c>
      <c r="AR173">
        <v>82760</v>
      </c>
      <c r="AS173">
        <v>1144500</v>
      </c>
      <c r="AT173">
        <v>250000</v>
      </c>
    </row>
    <row r="174" spans="1:46">
      <c r="A174" t="s">
        <v>319</v>
      </c>
      <c r="B174">
        <v>11</v>
      </c>
      <c r="C174" t="s">
        <v>332</v>
      </c>
      <c r="D174">
        <v>1</v>
      </c>
      <c r="E174">
        <v>0</v>
      </c>
      <c r="F174">
        <v>0</v>
      </c>
      <c r="G174">
        <v>1</v>
      </c>
      <c r="H174">
        <v>0</v>
      </c>
      <c r="I174">
        <v>1</v>
      </c>
      <c r="J174">
        <v>1</v>
      </c>
      <c r="K174">
        <v>1</v>
      </c>
      <c r="L174">
        <v>0</v>
      </c>
      <c r="M174">
        <v>270000</v>
      </c>
      <c r="N174">
        <v>270000</v>
      </c>
      <c r="O174">
        <v>270000</v>
      </c>
      <c r="P174">
        <v>77500</v>
      </c>
      <c r="Q174">
        <v>0</v>
      </c>
      <c r="R174">
        <v>270000</v>
      </c>
      <c r="S174">
        <v>270000</v>
      </c>
      <c r="T174">
        <v>270000</v>
      </c>
      <c r="U174">
        <v>810000</v>
      </c>
      <c r="V174">
        <v>810000</v>
      </c>
      <c r="W174">
        <v>1950400</v>
      </c>
      <c r="X174">
        <v>81</v>
      </c>
      <c r="Y174">
        <v>81</v>
      </c>
      <c r="Z174">
        <v>50762</v>
      </c>
      <c r="AA174">
        <v>1</v>
      </c>
      <c r="AB174">
        <v>50762</v>
      </c>
      <c r="AC174">
        <v>50762</v>
      </c>
      <c r="AD174">
        <v>133508</v>
      </c>
      <c r="AE174">
        <v>42.301666666666698</v>
      </c>
      <c r="AF174">
        <v>42.301666666666698</v>
      </c>
      <c r="AG174">
        <v>50762</v>
      </c>
      <c r="AH174">
        <v>50762</v>
      </c>
      <c r="AI174">
        <v>133522</v>
      </c>
      <c r="AJ174">
        <v>123.301666666667</v>
      </c>
      <c r="AK174">
        <v>1980</v>
      </c>
      <c r="AL174">
        <v>1980</v>
      </c>
      <c r="AM174">
        <v>9060</v>
      </c>
      <c r="AN174">
        <v>9060</v>
      </c>
      <c r="AO174">
        <v>16.058177099525601</v>
      </c>
      <c r="AP174">
        <v>846.03333333333296</v>
      </c>
      <c r="AQ174">
        <v>14.1005555555556</v>
      </c>
      <c r="AR174">
        <v>133522</v>
      </c>
      <c r="AS174">
        <v>1954500</v>
      </c>
      <c r="AT174">
        <v>270000</v>
      </c>
    </row>
    <row r="175" spans="1:46">
      <c r="A175" t="s">
        <v>319</v>
      </c>
      <c r="B175">
        <v>12</v>
      </c>
      <c r="C175" t="s">
        <v>333</v>
      </c>
      <c r="D175">
        <v>1</v>
      </c>
      <c r="E175">
        <v>0</v>
      </c>
      <c r="F175">
        <v>0</v>
      </c>
      <c r="G175">
        <v>1</v>
      </c>
      <c r="H175">
        <v>0</v>
      </c>
      <c r="I175">
        <v>1</v>
      </c>
      <c r="J175">
        <v>1</v>
      </c>
      <c r="K175">
        <v>1</v>
      </c>
      <c r="L175">
        <v>0</v>
      </c>
      <c r="M175">
        <v>430000</v>
      </c>
      <c r="N175">
        <v>430000</v>
      </c>
      <c r="O175">
        <v>430000</v>
      </c>
      <c r="P175">
        <v>120000</v>
      </c>
      <c r="Q175">
        <v>0</v>
      </c>
      <c r="R175">
        <v>430000</v>
      </c>
      <c r="S175">
        <v>430000</v>
      </c>
      <c r="T175">
        <v>430000</v>
      </c>
      <c r="U175">
        <v>1290000</v>
      </c>
      <c r="V175">
        <v>1290000</v>
      </c>
      <c r="W175">
        <v>3240400</v>
      </c>
      <c r="X175">
        <v>129</v>
      </c>
      <c r="Y175">
        <v>129</v>
      </c>
      <c r="Z175">
        <v>68528</v>
      </c>
      <c r="AA175">
        <v>1</v>
      </c>
      <c r="AB175">
        <v>68528</v>
      </c>
      <c r="AC175">
        <v>68528</v>
      </c>
      <c r="AD175">
        <v>202036</v>
      </c>
      <c r="AE175">
        <v>57.106666666666698</v>
      </c>
      <c r="AF175">
        <v>57.106666666666698</v>
      </c>
      <c r="AG175">
        <v>68528</v>
      </c>
      <c r="AH175">
        <v>68528</v>
      </c>
      <c r="AI175">
        <v>202050</v>
      </c>
      <c r="AJ175">
        <v>186.106666666667</v>
      </c>
      <c r="AK175">
        <v>2700</v>
      </c>
      <c r="AL175">
        <v>2700</v>
      </c>
      <c r="AM175">
        <v>11760</v>
      </c>
      <c r="AN175">
        <v>11760</v>
      </c>
      <c r="AO175">
        <v>14.507809141710799</v>
      </c>
      <c r="AP175">
        <v>1142.13333333333</v>
      </c>
      <c r="AQ175">
        <v>19.0355555555556</v>
      </c>
      <c r="AR175">
        <v>202050</v>
      </c>
      <c r="AS175">
        <v>3244500</v>
      </c>
      <c r="AT175">
        <v>430000</v>
      </c>
    </row>
    <row r="176" spans="1:46">
      <c r="A176" t="s">
        <v>319</v>
      </c>
      <c r="B176">
        <v>13</v>
      </c>
      <c r="C176" t="s">
        <v>334</v>
      </c>
      <c r="D176">
        <v>1</v>
      </c>
      <c r="E176">
        <v>0</v>
      </c>
      <c r="F176">
        <v>0</v>
      </c>
      <c r="G176">
        <v>1</v>
      </c>
      <c r="H176">
        <v>0</v>
      </c>
      <c r="I176">
        <v>1</v>
      </c>
      <c r="J176">
        <v>1</v>
      </c>
      <c r="K176">
        <v>1</v>
      </c>
      <c r="L176">
        <v>0</v>
      </c>
      <c r="M176">
        <v>680000</v>
      </c>
      <c r="N176">
        <v>680000</v>
      </c>
      <c r="O176">
        <v>680000</v>
      </c>
      <c r="P176">
        <v>187500</v>
      </c>
      <c r="Q176">
        <v>0</v>
      </c>
      <c r="R176">
        <v>680000</v>
      </c>
      <c r="S176">
        <v>680000</v>
      </c>
      <c r="T176">
        <v>680000</v>
      </c>
      <c r="U176">
        <v>2040000</v>
      </c>
      <c r="V176">
        <v>2040000</v>
      </c>
      <c r="W176">
        <v>5280400</v>
      </c>
      <c r="X176">
        <v>204</v>
      </c>
      <c r="Y176">
        <v>204</v>
      </c>
      <c r="Z176">
        <v>92513</v>
      </c>
      <c r="AA176">
        <v>1</v>
      </c>
      <c r="AB176">
        <v>92513</v>
      </c>
      <c r="AC176">
        <v>92513</v>
      </c>
      <c r="AD176">
        <v>294549</v>
      </c>
      <c r="AE176">
        <v>77.094166666666695</v>
      </c>
      <c r="AF176">
        <v>77.094166666666695</v>
      </c>
      <c r="AG176">
        <v>92513</v>
      </c>
      <c r="AH176">
        <v>92513</v>
      </c>
      <c r="AI176">
        <v>294563</v>
      </c>
      <c r="AJ176">
        <v>281.09416666666698</v>
      </c>
      <c r="AK176">
        <v>3690</v>
      </c>
      <c r="AL176">
        <v>3690</v>
      </c>
      <c r="AM176">
        <v>15450</v>
      </c>
      <c r="AN176">
        <v>15450</v>
      </c>
      <c r="AO176">
        <v>13.1272734818996</v>
      </c>
      <c r="AP176">
        <v>1541.88333333333</v>
      </c>
      <c r="AQ176">
        <v>25.698055555555602</v>
      </c>
      <c r="AR176">
        <v>294563</v>
      </c>
      <c r="AS176">
        <v>5284500</v>
      </c>
      <c r="AT176">
        <v>680000</v>
      </c>
    </row>
    <row r="177" spans="1:46">
      <c r="A177" t="s">
        <v>319</v>
      </c>
      <c r="B177">
        <v>14</v>
      </c>
      <c r="C177" t="s">
        <v>335</v>
      </c>
      <c r="D177">
        <v>1</v>
      </c>
      <c r="E177">
        <v>0</v>
      </c>
      <c r="F177">
        <v>0</v>
      </c>
      <c r="G177">
        <v>1</v>
      </c>
      <c r="H177">
        <v>0</v>
      </c>
      <c r="I177">
        <v>1</v>
      </c>
      <c r="J177">
        <v>1</v>
      </c>
      <c r="K177">
        <v>1</v>
      </c>
      <c r="L177">
        <v>0</v>
      </c>
      <c r="M177">
        <v>1100000</v>
      </c>
      <c r="N177">
        <v>1100000</v>
      </c>
      <c r="O177">
        <v>1100000</v>
      </c>
      <c r="P177">
        <v>315000</v>
      </c>
      <c r="Q177">
        <v>0</v>
      </c>
      <c r="R177">
        <v>1100000</v>
      </c>
      <c r="S177">
        <v>1100000</v>
      </c>
      <c r="T177">
        <v>1100000</v>
      </c>
      <c r="U177">
        <v>3300000</v>
      </c>
      <c r="V177">
        <v>3300000</v>
      </c>
      <c r="W177">
        <v>8580400</v>
      </c>
      <c r="X177">
        <v>330</v>
      </c>
      <c r="Y177">
        <v>330</v>
      </c>
      <c r="Z177">
        <v>124893</v>
      </c>
      <c r="AA177">
        <v>1</v>
      </c>
      <c r="AB177">
        <v>124893</v>
      </c>
      <c r="AC177">
        <v>124893</v>
      </c>
      <c r="AD177">
        <v>419442</v>
      </c>
      <c r="AE177">
        <v>104.0775</v>
      </c>
      <c r="AF177">
        <v>104.0775</v>
      </c>
      <c r="AG177">
        <v>124893</v>
      </c>
      <c r="AH177">
        <v>124893</v>
      </c>
      <c r="AI177">
        <v>419456</v>
      </c>
      <c r="AJ177">
        <v>434.07749999999999</v>
      </c>
      <c r="AK177">
        <v>4950</v>
      </c>
      <c r="AL177">
        <v>4950</v>
      </c>
      <c r="AM177">
        <v>20400</v>
      </c>
      <c r="AN177">
        <v>20400</v>
      </c>
      <c r="AO177">
        <v>11.403493615771399</v>
      </c>
      <c r="AP177">
        <v>2081.5500000000002</v>
      </c>
      <c r="AQ177">
        <v>34.692500000000003</v>
      </c>
      <c r="AR177">
        <v>419456</v>
      </c>
      <c r="AS177">
        <v>8584500</v>
      </c>
      <c r="AT177">
        <v>1100000</v>
      </c>
    </row>
    <row r="178" spans="1:46">
      <c r="A178" t="s">
        <v>319</v>
      </c>
      <c r="B178">
        <v>15</v>
      </c>
      <c r="C178" t="s">
        <v>336</v>
      </c>
      <c r="D178">
        <v>1</v>
      </c>
      <c r="E178">
        <v>0</v>
      </c>
      <c r="F178">
        <v>0</v>
      </c>
      <c r="G178">
        <v>1</v>
      </c>
      <c r="H178">
        <v>0</v>
      </c>
      <c r="I178">
        <v>1</v>
      </c>
      <c r="J178">
        <v>1</v>
      </c>
      <c r="K178">
        <v>1</v>
      </c>
      <c r="L178">
        <v>0</v>
      </c>
      <c r="M178">
        <v>1600000</v>
      </c>
      <c r="N178">
        <v>1600000</v>
      </c>
      <c r="O178">
        <v>1600000</v>
      </c>
      <c r="P178">
        <v>375000</v>
      </c>
      <c r="Q178">
        <v>0</v>
      </c>
      <c r="R178">
        <v>1600000</v>
      </c>
      <c r="S178">
        <v>1600000</v>
      </c>
      <c r="T178">
        <v>1600000</v>
      </c>
      <c r="U178">
        <v>4800000</v>
      </c>
      <c r="V178">
        <v>4800000</v>
      </c>
      <c r="W178">
        <v>13380400</v>
      </c>
      <c r="X178">
        <v>480</v>
      </c>
      <c r="Y178">
        <v>480</v>
      </c>
      <c r="Z178">
        <v>168605</v>
      </c>
      <c r="AA178">
        <v>1</v>
      </c>
      <c r="AB178">
        <v>168605</v>
      </c>
      <c r="AC178">
        <v>168605</v>
      </c>
      <c r="AD178">
        <v>588047</v>
      </c>
      <c r="AE178">
        <v>140.504166666667</v>
      </c>
      <c r="AF178">
        <v>140.504166666667</v>
      </c>
      <c r="AG178">
        <v>168605</v>
      </c>
      <c r="AH178">
        <v>168605</v>
      </c>
      <c r="AI178">
        <v>588061</v>
      </c>
      <c r="AJ178">
        <v>620.50416666666695</v>
      </c>
      <c r="AK178">
        <v>6660</v>
      </c>
      <c r="AL178">
        <v>6660</v>
      </c>
      <c r="AM178">
        <v>27060</v>
      </c>
      <c r="AN178">
        <v>27060</v>
      </c>
      <c r="AO178">
        <v>10.733207539567999</v>
      </c>
      <c r="AP178">
        <v>2810.0833333333298</v>
      </c>
      <c r="AQ178">
        <v>46.834722222222197</v>
      </c>
      <c r="AR178">
        <v>588061</v>
      </c>
      <c r="AS178">
        <v>13384500</v>
      </c>
      <c r="AT178">
        <v>1600000</v>
      </c>
    </row>
    <row r="179" spans="1:46">
      <c r="A179" t="s">
        <v>319</v>
      </c>
      <c r="B179">
        <v>16</v>
      </c>
      <c r="C179" t="s">
        <v>337</v>
      </c>
      <c r="D179">
        <v>1</v>
      </c>
      <c r="E179">
        <v>0</v>
      </c>
      <c r="F179">
        <v>0</v>
      </c>
      <c r="G179">
        <v>1</v>
      </c>
      <c r="H179">
        <v>0</v>
      </c>
      <c r="I179">
        <v>1</v>
      </c>
      <c r="J179">
        <v>1</v>
      </c>
      <c r="K179">
        <v>1</v>
      </c>
      <c r="L179">
        <v>0</v>
      </c>
      <c r="M179">
        <v>2200000</v>
      </c>
      <c r="N179">
        <v>2200000</v>
      </c>
      <c r="O179">
        <v>2200000</v>
      </c>
      <c r="P179">
        <v>450000</v>
      </c>
      <c r="Q179">
        <v>0</v>
      </c>
      <c r="R179">
        <v>2200000</v>
      </c>
      <c r="S179">
        <v>2200000</v>
      </c>
      <c r="T179">
        <v>2200000</v>
      </c>
      <c r="U179">
        <v>6600000</v>
      </c>
      <c r="V179">
        <v>6600000</v>
      </c>
      <c r="W179">
        <v>19980400</v>
      </c>
      <c r="X179">
        <v>660</v>
      </c>
      <c r="Y179">
        <v>660</v>
      </c>
      <c r="Z179">
        <v>227617</v>
      </c>
      <c r="AA179">
        <v>1</v>
      </c>
      <c r="AB179">
        <v>227617</v>
      </c>
      <c r="AC179">
        <v>227617</v>
      </c>
      <c r="AD179">
        <v>815664</v>
      </c>
      <c r="AE179">
        <v>189.680833333333</v>
      </c>
      <c r="AF179">
        <v>189.680833333333</v>
      </c>
      <c r="AG179">
        <v>227617</v>
      </c>
      <c r="AH179">
        <v>227617</v>
      </c>
      <c r="AI179">
        <v>815678</v>
      </c>
      <c r="AJ179">
        <v>849.680833333333</v>
      </c>
      <c r="AK179">
        <v>9000</v>
      </c>
      <c r="AL179">
        <v>9000</v>
      </c>
      <c r="AM179">
        <v>36060</v>
      </c>
      <c r="AN179">
        <v>36060</v>
      </c>
      <c r="AO179">
        <v>10.592212566091</v>
      </c>
      <c r="AP179">
        <v>3793.61666666667</v>
      </c>
      <c r="AQ179">
        <v>63.226944444444399</v>
      </c>
      <c r="AR179">
        <v>815678</v>
      </c>
      <c r="AS179">
        <v>19984500</v>
      </c>
      <c r="AT179">
        <v>2200000</v>
      </c>
    </row>
    <row r="180" spans="1:46">
      <c r="A180" t="s">
        <v>319</v>
      </c>
      <c r="B180">
        <v>17</v>
      </c>
      <c r="C180" t="s">
        <v>340</v>
      </c>
      <c r="D180">
        <v>1</v>
      </c>
      <c r="E180">
        <v>0</v>
      </c>
      <c r="F180">
        <v>0</v>
      </c>
      <c r="G180">
        <v>1</v>
      </c>
      <c r="H180">
        <v>0</v>
      </c>
      <c r="I180">
        <v>1</v>
      </c>
      <c r="J180">
        <v>1</v>
      </c>
      <c r="K180">
        <v>1</v>
      </c>
      <c r="L180">
        <v>0</v>
      </c>
      <c r="M180">
        <v>2900000</v>
      </c>
      <c r="N180">
        <v>2900000</v>
      </c>
      <c r="O180">
        <v>2900000</v>
      </c>
      <c r="P180">
        <v>525000</v>
      </c>
      <c r="Q180">
        <v>0</v>
      </c>
      <c r="R180">
        <v>2900000</v>
      </c>
      <c r="S180">
        <v>2900000</v>
      </c>
      <c r="T180">
        <v>2900000</v>
      </c>
      <c r="U180">
        <v>8700000</v>
      </c>
      <c r="V180">
        <v>8700000</v>
      </c>
      <c r="W180">
        <v>28680400</v>
      </c>
      <c r="X180">
        <v>870</v>
      </c>
      <c r="Y180">
        <v>870</v>
      </c>
      <c r="Z180">
        <v>307283</v>
      </c>
      <c r="AA180">
        <v>1</v>
      </c>
      <c r="AB180">
        <v>307283</v>
      </c>
      <c r="AC180">
        <v>307283</v>
      </c>
      <c r="AD180">
        <v>1122947</v>
      </c>
      <c r="AE180">
        <v>256.069166666667</v>
      </c>
      <c r="AF180">
        <v>256.069166666667</v>
      </c>
      <c r="AG180">
        <v>307283</v>
      </c>
      <c r="AH180">
        <v>307283</v>
      </c>
      <c r="AI180">
        <v>1122961</v>
      </c>
      <c r="AJ180">
        <v>1126.0691666666701</v>
      </c>
      <c r="AK180">
        <v>12600</v>
      </c>
      <c r="AL180">
        <v>12600</v>
      </c>
      <c r="AM180">
        <v>48660</v>
      </c>
      <c r="AN180">
        <v>48660</v>
      </c>
      <c r="AO180">
        <v>11.1893659581302</v>
      </c>
      <c r="AP180">
        <v>5121.3833333333296</v>
      </c>
      <c r="AQ180">
        <v>85.356388888888901</v>
      </c>
      <c r="AR180">
        <v>1122961</v>
      </c>
      <c r="AS180">
        <v>28684500</v>
      </c>
      <c r="AT180">
        <v>2900000</v>
      </c>
    </row>
    <row r="181" spans="1:46">
      <c r="A181" t="s">
        <v>319</v>
      </c>
      <c r="B181">
        <v>18</v>
      </c>
      <c r="C181" t="s">
        <v>341</v>
      </c>
      <c r="D181">
        <v>1</v>
      </c>
      <c r="E181">
        <v>0</v>
      </c>
      <c r="F181">
        <v>0</v>
      </c>
      <c r="G181">
        <v>1</v>
      </c>
      <c r="H181">
        <v>0</v>
      </c>
      <c r="I181">
        <v>1</v>
      </c>
      <c r="J181">
        <v>1</v>
      </c>
      <c r="K181">
        <v>1</v>
      </c>
      <c r="L181">
        <v>0</v>
      </c>
      <c r="M181">
        <v>3800000</v>
      </c>
      <c r="N181">
        <v>3800000</v>
      </c>
      <c r="O181">
        <v>3800000</v>
      </c>
      <c r="P181">
        <v>675000</v>
      </c>
      <c r="Q181">
        <v>0</v>
      </c>
      <c r="R181">
        <v>3800000</v>
      </c>
      <c r="S181">
        <v>3800000</v>
      </c>
      <c r="T181">
        <v>3800000</v>
      </c>
      <c r="U181">
        <v>11400000</v>
      </c>
      <c r="V181">
        <v>11400000</v>
      </c>
      <c r="W181">
        <v>40080400</v>
      </c>
      <c r="X181">
        <v>1140</v>
      </c>
      <c r="Y181">
        <v>1140</v>
      </c>
      <c r="Z181">
        <v>414833</v>
      </c>
      <c r="AA181">
        <v>1</v>
      </c>
      <c r="AB181">
        <v>414833</v>
      </c>
      <c r="AC181">
        <v>414833</v>
      </c>
      <c r="AD181">
        <v>1537780</v>
      </c>
      <c r="AE181">
        <v>345.694166666667</v>
      </c>
      <c r="AF181">
        <v>345.694166666667</v>
      </c>
      <c r="AG181">
        <v>414833</v>
      </c>
      <c r="AH181">
        <v>414833</v>
      </c>
      <c r="AI181">
        <v>1537794</v>
      </c>
      <c r="AJ181">
        <v>1485.6941666666701</v>
      </c>
      <c r="AK181">
        <v>17100</v>
      </c>
      <c r="AL181">
        <v>17100</v>
      </c>
      <c r="AM181">
        <v>65760</v>
      </c>
      <c r="AN181">
        <v>65760</v>
      </c>
      <c r="AO181">
        <v>11.509771246101</v>
      </c>
      <c r="AP181">
        <v>6913.8833333333296</v>
      </c>
      <c r="AQ181">
        <v>115.231388888889</v>
      </c>
      <c r="AR181">
        <v>1537794</v>
      </c>
      <c r="AS181">
        <v>40084500</v>
      </c>
      <c r="AT181">
        <v>3800000</v>
      </c>
    </row>
    <row r="182" spans="1:46">
      <c r="A182" t="s">
        <v>319</v>
      </c>
      <c r="B182">
        <v>19</v>
      </c>
      <c r="C182" t="s">
        <v>342</v>
      </c>
      <c r="D182">
        <v>1</v>
      </c>
      <c r="E182">
        <v>0</v>
      </c>
      <c r="F182">
        <v>0</v>
      </c>
      <c r="G182">
        <v>1</v>
      </c>
      <c r="H182">
        <v>0</v>
      </c>
      <c r="I182">
        <v>1</v>
      </c>
      <c r="J182">
        <v>1</v>
      </c>
      <c r="K182">
        <v>1</v>
      </c>
      <c r="L182">
        <v>0</v>
      </c>
      <c r="M182">
        <v>4900000</v>
      </c>
      <c r="N182">
        <v>4900000</v>
      </c>
      <c r="O182">
        <v>4900000</v>
      </c>
      <c r="P182">
        <v>825000</v>
      </c>
      <c r="Q182">
        <v>0</v>
      </c>
      <c r="R182">
        <v>4900000</v>
      </c>
      <c r="S182">
        <v>4900000</v>
      </c>
      <c r="T182">
        <v>4900000</v>
      </c>
      <c r="U182">
        <v>14700000</v>
      </c>
      <c r="V182">
        <v>14700000</v>
      </c>
      <c r="W182">
        <v>54780400</v>
      </c>
      <c r="X182">
        <v>1470</v>
      </c>
      <c r="Y182">
        <v>1470</v>
      </c>
      <c r="Z182">
        <v>622249</v>
      </c>
      <c r="AA182">
        <v>1</v>
      </c>
      <c r="AB182">
        <v>622249</v>
      </c>
      <c r="AC182">
        <v>622249</v>
      </c>
      <c r="AD182">
        <v>2160029</v>
      </c>
      <c r="AE182">
        <v>518.54083333333301</v>
      </c>
      <c r="AF182">
        <v>518.54083333333301</v>
      </c>
      <c r="AG182">
        <v>622249</v>
      </c>
      <c r="AH182">
        <v>622249</v>
      </c>
      <c r="AI182">
        <v>2160043</v>
      </c>
      <c r="AJ182">
        <v>1988.5408333333301</v>
      </c>
      <c r="AK182">
        <v>23400</v>
      </c>
      <c r="AL182">
        <v>23400</v>
      </c>
      <c r="AM182">
        <v>89160</v>
      </c>
      <c r="AN182">
        <v>89160</v>
      </c>
      <c r="AO182">
        <v>11.767422427416401</v>
      </c>
      <c r="AP182">
        <v>10370.8166666667</v>
      </c>
      <c r="AQ182">
        <v>172.84694444444401</v>
      </c>
      <c r="AR182">
        <v>2160043</v>
      </c>
      <c r="AS182">
        <v>54784500</v>
      </c>
      <c r="AT182">
        <v>4900000</v>
      </c>
    </row>
    <row r="183" spans="1:46">
      <c r="A183" t="s">
        <v>319</v>
      </c>
      <c r="B183">
        <v>20</v>
      </c>
      <c r="C183" t="s">
        <v>343</v>
      </c>
      <c r="D183">
        <v>1</v>
      </c>
      <c r="E183">
        <v>0</v>
      </c>
      <c r="F183">
        <v>0</v>
      </c>
      <c r="G183">
        <v>1</v>
      </c>
      <c r="H183">
        <v>0</v>
      </c>
      <c r="I183">
        <v>1</v>
      </c>
      <c r="J183">
        <v>1</v>
      </c>
      <c r="K183">
        <v>1</v>
      </c>
      <c r="L183">
        <v>0</v>
      </c>
      <c r="M183">
        <v>6400000</v>
      </c>
      <c r="N183">
        <v>6400000</v>
      </c>
      <c r="O183">
        <v>6400000</v>
      </c>
      <c r="P183">
        <v>1125000</v>
      </c>
      <c r="Q183">
        <v>0</v>
      </c>
      <c r="R183">
        <v>6400000</v>
      </c>
      <c r="S183">
        <v>6400000</v>
      </c>
      <c r="T183">
        <v>6400000</v>
      </c>
      <c r="U183">
        <v>19200000</v>
      </c>
      <c r="V183">
        <v>19200000</v>
      </c>
      <c r="W183">
        <v>73980400</v>
      </c>
      <c r="X183">
        <v>1920</v>
      </c>
      <c r="Y183">
        <v>1920</v>
      </c>
      <c r="Z183">
        <v>933373</v>
      </c>
      <c r="AA183">
        <v>1</v>
      </c>
      <c r="AB183">
        <v>933373</v>
      </c>
      <c r="AC183">
        <v>933373</v>
      </c>
      <c r="AD183">
        <v>3093402</v>
      </c>
      <c r="AE183">
        <v>777.81083333333299</v>
      </c>
      <c r="AF183">
        <v>777.81083333333299</v>
      </c>
      <c r="AG183">
        <v>933373</v>
      </c>
      <c r="AH183">
        <v>933373</v>
      </c>
      <c r="AI183">
        <v>3093416</v>
      </c>
      <c r="AJ183">
        <v>2697.8108333333298</v>
      </c>
      <c r="AK183">
        <v>31500</v>
      </c>
      <c r="AL183">
        <v>31500</v>
      </c>
      <c r="AM183">
        <v>120660</v>
      </c>
      <c r="AN183">
        <v>120660</v>
      </c>
      <c r="AO183">
        <v>11.6761337047044</v>
      </c>
      <c r="AP183">
        <v>15556.2166666667</v>
      </c>
      <c r="AQ183">
        <v>259.27027777777801</v>
      </c>
      <c r="AR183">
        <v>3093416</v>
      </c>
      <c r="AS183">
        <v>73984500</v>
      </c>
      <c r="AT183">
        <v>6400000</v>
      </c>
    </row>
    <row r="184" spans="1:46">
      <c r="A184" t="s">
        <v>369</v>
      </c>
      <c r="B184">
        <v>1</v>
      </c>
      <c r="C184" t="s">
        <v>370</v>
      </c>
      <c r="D184">
        <v>1</v>
      </c>
      <c r="E184">
        <v>0</v>
      </c>
      <c r="F184">
        <v>0</v>
      </c>
      <c r="G184">
        <v>1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1400</v>
      </c>
      <c r="N184">
        <v>0</v>
      </c>
      <c r="O184">
        <v>0</v>
      </c>
      <c r="P184">
        <v>350</v>
      </c>
      <c r="Q184">
        <v>0</v>
      </c>
      <c r="R184">
        <v>1400</v>
      </c>
      <c r="S184">
        <v>0</v>
      </c>
      <c r="T184">
        <v>0</v>
      </c>
      <c r="U184">
        <v>1400</v>
      </c>
      <c r="V184">
        <v>1400</v>
      </c>
      <c r="W184">
        <v>1400</v>
      </c>
      <c r="X184">
        <v>0.14000000000000001</v>
      </c>
      <c r="Y184">
        <v>0.14000000000000001</v>
      </c>
      <c r="Z184">
        <v>108</v>
      </c>
      <c r="AA184">
        <v>1E-3</v>
      </c>
      <c r="AB184">
        <v>1</v>
      </c>
      <c r="AC184">
        <v>1</v>
      </c>
      <c r="AD184">
        <v>1</v>
      </c>
      <c r="AE184">
        <v>8.3333333333333295E-4</v>
      </c>
      <c r="AF184">
        <v>8.3333333333333295E-4</v>
      </c>
      <c r="AG184">
        <v>1</v>
      </c>
      <c r="AH184">
        <v>1</v>
      </c>
      <c r="AI184">
        <v>1</v>
      </c>
      <c r="AJ184">
        <v>0.14083333333333301</v>
      </c>
      <c r="AK184">
        <v>270</v>
      </c>
      <c r="AL184">
        <v>270</v>
      </c>
      <c r="AM184">
        <v>270</v>
      </c>
      <c r="AN184">
        <v>270</v>
      </c>
      <c r="AO184">
        <v>1917.15976331361</v>
      </c>
      <c r="AP184">
        <v>1.6666666666666701E-2</v>
      </c>
      <c r="AQ184">
        <v>2.7777777777777799E-4</v>
      </c>
      <c r="AR184">
        <v>1</v>
      </c>
      <c r="AS184">
        <v>1400</v>
      </c>
      <c r="AT184">
        <v>1400</v>
      </c>
    </row>
    <row r="185" spans="1:46">
      <c r="A185" t="s">
        <v>369</v>
      </c>
      <c r="B185">
        <v>2</v>
      </c>
      <c r="C185" t="s">
        <v>373</v>
      </c>
      <c r="D185">
        <v>1</v>
      </c>
      <c r="E185">
        <v>0</v>
      </c>
      <c r="F185">
        <v>0</v>
      </c>
      <c r="G185">
        <v>1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2700</v>
      </c>
      <c r="N185">
        <v>0</v>
      </c>
      <c r="O185">
        <v>0</v>
      </c>
      <c r="P185">
        <v>325</v>
      </c>
      <c r="Q185">
        <v>0</v>
      </c>
      <c r="R185">
        <v>2700</v>
      </c>
      <c r="S185">
        <v>0</v>
      </c>
      <c r="T185">
        <v>0</v>
      </c>
      <c r="U185">
        <v>2700</v>
      </c>
      <c r="V185">
        <v>2700</v>
      </c>
      <c r="W185">
        <v>2700</v>
      </c>
      <c r="X185">
        <v>0.27</v>
      </c>
      <c r="Y185">
        <v>0.27</v>
      </c>
      <c r="Z185">
        <v>216</v>
      </c>
      <c r="AA185">
        <v>6.0999999999999999E-2</v>
      </c>
      <c r="AB185">
        <v>13</v>
      </c>
      <c r="AC185">
        <v>13</v>
      </c>
      <c r="AD185">
        <v>13</v>
      </c>
      <c r="AE185">
        <v>1.0833333333333301E-2</v>
      </c>
      <c r="AF185">
        <v>1.0833333333333301E-2</v>
      </c>
      <c r="AG185">
        <v>13</v>
      </c>
      <c r="AH185">
        <v>13</v>
      </c>
      <c r="AI185">
        <v>14</v>
      </c>
      <c r="AJ185">
        <v>0.28083333333333299</v>
      </c>
      <c r="AK185">
        <v>324</v>
      </c>
      <c r="AL185">
        <v>324</v>
      </c>
      <c r="AM185">
        <v>590</v>
      </c>
      <c r="AN185">
        <v>590</v>
      </c>
      <c r="AO185">
        <v>1153.7091988130601</v>
      </c>
      <c r="AP185">
        <v>0.21666666666666701</v>
      </c>
      <c r="AQ185">
        <v>3.6111111111111101E-3</v>
      </c>
      <c r="AR185">
        <v>14</v>
      </c>
      <c r="AS185">
        <v>4100</v>
      </c>
      <c r="AT185">
        <v>2700</v>
      </c>
    </row>
    <row r="186" spans="1:46">
      <c r="A186" t="s">
        <v>369</v>
      </c>
      <c r="B186">
        <v>3</v>
      </c>
      <c r="C186" t="s">
        <v>374</v>
      </c>
      <c r="D186">
        <v>1</v>
      </c>
      <c r="E186">
        <v>0</v>
      </c>
      <c r="F186">
        <v>0</v>
      </c>
      <c r="G186">
        <v>1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5400</v>
      </c>
      <c r="N186">
        <v>0</v>
      </c>
      <c r="O186">
        <v>0</v>
      </c>
      <c r="P186">
        <v>675</v>
      </c>
      <c r="Q186">
        <v>0</v>
      </c>
      <c r="R186">
        <v>5400</v>
      </c>
      <c r="S186">
        <v>0</v>
      </c>
      <c r="T186">
        <v>0</v>
      </c>
      <c r="U186">
        <v>5400</v>
      </c>
      <c r="V186">
        <v>5400</v>
      </c>
      <c r="W186">
        <v>5400</v>
      </c>
      <c r="X186">
        <v>0.54</v>
      </c>
      <c r="Y186">
        <v>0.54</v>
      </c>
      <c r="Z186">
        <v>432</v>
      </c>
      <c r="AA186">
        <v>0.1</v>
      </c>
      <c r="AB186">
        <v>43</v>
      </c>
      <c r="AC186">
        <v>43</v>
      </c>
      <c r="AD186">
        <v>43</v>
      </c>
      <c r="AE186">
        <v>3.58333333333333E-2</v>
      </c>
      <c r="AF186">
        <v>3.58333333333333E-2</v>
      </c>
      <c r="AG186">
        <v>43</v>
      </c>
      <c r="AH186">
        <v>43</v>
      </c>
      <c r="AI186">
        <v>57</v>
      </c>
      <c r="AJ186">
        <v>0.57583333333333298</v>
      </c>
      <c r="AK186">
        <v>387</v>
      </c>
      <c r="AL186">
        <v>387</v>
      </c>
      <c r="AM186">
        <v>980</v>
      </c>
      <c r="AN186">
        <v>980</v>
      </c>
      <c r="AO186">
        <v>672.06946454413901</v>
      </c>
      <c r="AP186">
        <v>0.71666666666666701</v>
      </c>
      <c r="AQ186">
        <v>1.19444444444444E-2</v>
      </c>
      <c r="AR186">
        <v>57</v>
      </c>
      <c r="AS186">
        <v>9500</v>
      </c>
      <c r="AT186">
        <v>5400</v>
      </c>
    </row>
    <row r="187" spans="1:46">
      <c r="A187" t="s">
        <v>369</v>
      </c>
      <c r="B187">
        <v>4</v>
      </c>
      <c r="C187" t="s">
        <v>375</v>
      </c>
      <c r="D187">
        <v>1</v>
      </c>
      <c r="E187">
        <v>0</v>
      </c>
      <c r="F187">
        <v>0</v>
      </c>
      <c r="G187">
        <v>1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11000</v>
      </c>
      <c r="N187">
        <v>0</v>
      </c>
      <c r="O187">
        <v>0</v>
      </c>
      <c r="P187">
        <v>1400</v>
      </c>
      <c r="Q187">
        <v>0</v>
      </c>
      <c r="R187">
        <v>11000</v>
      </c>
      <c r="S187">
        <v>0</v>
      </c>
      <c r="T187">
        <v>0</v>
      </c>
      <c r="U187">
        <v>11000</v>
      </c>
      <c r="V187">
        <v>11000</v>
      </c>
      <c r="W187">
        <v>16400</v>
      </c>
      <c r="X187">
        <v>1.1000000000000001</v>
      </c>
      <c r="Y187">
        <v>1.1000000000000001</v>
      </c>
      <c r="Z187">
        <v>864</v>
      </c>
      <c r="AA187">
        <v>0.2</v>
      </c>
      <c r="AB187">
        <v>173</v>
      </c>
      <c r="AC187">
        <v>173</v>
      </c>
      <c r="AD187">
        <v>216</v>
      </c>
      <c r="AE187">
        <v>0.144166666666667</v>
      </c>
      <c r="AF187">
        <v>0.144166666666667</v>
      </c>
      <c r="AG187">
        <v>173</v>
      </c>
      <c r="AH187">
        <v>173</v>
      </c>
      <c r="AI187">
        <v>230</v>
      </c>
      <c r="AJ187">
        <v>1.24416666666667</v>
      </c>
      <c r="AK187">
        <v>468</v>
      </c>
      <c r="AL187">
        <v>468</v>
      </c>
      <c r="AM187">
        <v>1450</v>
      </c>
      <c r="AN187">
        <v>1450</v>
      </c>
      <c r="AO187">
        <v>376.15539182853303</v>
      </c>
      <c r="AP187">
        <v>2.8833333333333302</v>
      </c>
      <c r="AQ187">
        <v>4.8055555555555601E-2</v>
      </c>
      <c r="AR187">
        <v>230</v>
      </c>
      <c r="AS187">
        <v>20500</v>
      </c>
      <c r="AT187">
        <v>11000</v>
      </c>
    </row>
    <row r="188" spans="1:46">
      <c r="A188" t="s">
        <v>369</v>
      </c>
      <c r="B188">
        <v>5</v>
      </c>
      <c r="C188" t="s">
        <v>376</v>
      </c>
      <c r="D188">
        <v>1</v>
      </c>
      <c r="E188">
        <v>0</v>
      </c>
      <c r="F188">
        <v>0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22000</v>
      </c>
      <c r="N188">
        <v>0</v>
      </c>
      <c r="O188">
        <v>0</v>
      </c>
      <c r="P188">
        <v>2750</v>
      </c>
      <c r="Q188">
        <v>0</v>
      </c>
      <c r="R188">
        <v>22000</v>
      </c>
      <c r="S188">
        <v>0</v>
      </c>
      <c r="T188">
        <v>0</v>
      </c>
      <c r="U188">
        <v>22000</v>
      </c>
      <c r="V188">
        <v>22000</v>
      </c>
      <c r="W188">
        <v>38400</v>
      </c>
      <c r="X188">
        <v>2.2000000000000002</v>
      </c>
      <c r="Y188">
        <v>2.2000000000000002</v>
      </c>
      <c r="Z188">
        <v>1728</v>
      </c>
      <c r="AA188">
        <v>0.2</v>
      </c>
      <c r="AB188">
        <v>346</v>
      </c>
      <c r="AC188">
        <v>346</v>
      </c>
      <c r="AD188">
        <v>562</v>
      </c>
      <c r="AE188">
        <v>0.288333333333333</v>
      </c>
      <c r="AF188">
        <v>0.288333333333333</v>
      </c>
      <c r="AG188">
        <v>346</v>
      </c>
      <c r="AH188">
        <v>346</v>
      </c>
      <c r="AI188">
        <v>576</v>
      </c>
      <c r="AJ188">
        <v>2.4883333333333302</v>
      </c>
      <c r="AK188">
        <v>558</v>
      </c>
      <c r="AL188">
        <v>558</v>
      </c>
      <c r="AM188">
        <v>2010</v>
      </c>
      <c r="AN188">
        <v>2010</v>
      </c>
      <c r="AO188">
        <v>224.246483590087</v>
      </c>
      <c r="AP188">
        <v>5.7666666666666702</v>
      </c>
      <c r="AQ188">
        <v>9.6111111111111105E-2</v>
      </c>
      <c r="AR188">
        <v>576</v>
      </c>
      <c r="AS188">
        <v>42500</v>
      </c>
      <c r="AT188">
        <v>22000</v>
      </c>
    </row>
    <row r="189" spans="1:46">
      <c r="A189" t="s">
        <v>369</v>
      </c>
      <c r="B189">
        <v>6</v>
      </c>
      <c r="C189" t="s">
        <v>377</v>
      </c>
      <c r="D189">
        <v>1</v>
      </c>
      <c r="E189">
        <v>0</v>
      </c>
      <c r="F189">
        <v>0</v>
      </c>
      <c r="G189">
        <v>1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22000</v>
      </c>
      <c r="N189">
        <v>22000</v>
      </c>
      <c r="O189">
        <v>0</v>
      </c>
      <c r="P189">
        <v>5500</v>
      </c>
      <c r="Q189">
        <v>0</v>
      </c>
      <c r="R189">
        <v>22000</v>
      </c>
      <c r="S189">
        <v>22000</v>
      </c>
      <c r="T189">
        <v>0</v>
      </c>
      <c r="U189">
        <v>44000</v>
      </c>
      <c r="V189">
        <v>44000</v>
      </c>
      <c r="W189">
        <v>82400</v>
      </c>
      <c r="X189">
        <v>4.4000000000000004</v>
      </c>
      <c r="Y189">
        <v>4.4000000000000004</v>
      </c>
      <c r="Z189">
        <v>3456</v>
      </c>
      <c r="AA189">
        <v>0.5</v>
      </c>
      <c r="AB189">
        <v>1728</v>
      </c>
      <c r="AC189">
        <v>1728</v>
      </c>
      <c r="AD189">
        <v>2290</v>
      </c>
      <c r="AE189">
        <v>1.44</v>
      </c>
      <c r="AF189">
        <v>1.44</v>
      </c>
      <c r="AG189">
        <v>1728</v>
      </c>
      <c r="AH189">
        <v>1728</v>
      </c>
      <c r="AI189">
        <v>2304</v>
      </c>
      <c r="AJ189">
        <v>5.84</v>
      </c>
      <c r="AK189">
        <v>666</v>
      </c>
      <c r="AL189">
        <v>666</v>
      </c>
      <c r="AM189">
        <v>2680</v>
      </c>
      <c r="AN189">
        <v>2680</v>
      </c>
      <c r="AO189">
        <v>114.041095890411</v>
      </c>
      <c r="AP189">
        <v>28.8</v>
      </c>
      <c r="AQ189">
        <v>0.48</v>
      </c>
      <c r="AR189">
        <v>2304</v>
      </c>
      <c r="AS189">
        <v>86500</v>
      </c>
      <c r="AT189">
        <v>22000</v>
      </c>
    </row>
    <row r="190" spans="1:46">
      <c r="A190" t="s">
        <v>369</v>
      </c>
      <c r="B190">
        <v>7</v>
      </c>
      <c r="C190" t="s">
        <v>378</v>
      </c>
      <c r="D190">
        <v>1</v>
      </c>
      <c r="E190">
        <v>0</v>
      </c>
      <c r="F190">
        <v>0</v>
      </c>
      <c r="G190">
        <v>1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43000</v>
      </c>
      <c r="N190">
        <v>43000</v>
      </c>
      <c r="O190">
        <v>0</v>
      </c>
      <c r="P190">
        <v>10500</v>
      </c>
      <c r="Q190">
        <v>0</v>
      </c>
      <c r="R190">
        <v>43000</v>
      </c>
      <c r="S190">
        <v>43000</v>
      </c>
      <c r="T190">
        <v>0</v>
      </c>
      <c r="U190">
        <v>86000</v>
      </c>
      <c r="V190">
        <v>86000</v>
      </c>
      <c r="W190">
        <v>168400</v>
      </c>
      <c r="X190">
        <v>8.6</v>
      </c>
      <c r="Y190">
        <v>8.6</v>
      </c>
      <c r="Z190">
        <v>6912</v>
      </c>
      <c r="AA190">
        <v>0.8</v>
      </c>
      <c r="AB190">
        <v>5530</v>
      </c>
      <c r="AC190">
        <v>5530</v>
      </c>
      <c r="AD190">
        <v>7820</v>
      </c>
      <c r="AE190">
        <v>4.6083333333333298</v>
      </c>
      <c r="AF190">
        <v>4.6083333333333298</v>
      </c>
      <c r="AG190">
        <v>5530</v>
      </c>
      <c r="AH190">
        <v>5530</v>
      </c>
      <c r="AI190">
        <v>7834</v>
      </c>
      <c r="AJ190">
        <v>13.2083333333333</v>
      </c>
      <c r="AK190">
        <v>801</v>
      </c>
      <c r="AL190">
        <v>801</v>
      </c>
      <c r="AM190">
        <v>3480</v>
      </c>
      <c r="AN190">
        <v>3480</v>
      </c>
      <c r="AO190">
        <v>60.643533123028398</v>
      </c>
      <c r="AP190">
        <v>92.1666666666667</v>
      </c>
      <c r="AQ190">
        <v>1.5361111111111101</v>
      </c>
      <c r="AR190">
        <v>7834</v>
      </c>
      <c r="AS190">
        <v>172500</v>
      </c>
      <c r="AT190">
        <v>43000</v>
      </c>
    </row>
    <row r="191" spans="1:46">
      <c r="A191" t="s">
        <v>369</v>
      </c>
      <c r="B191">
        <v>8</v>
      </c>
      <c r="C191" t="s">
        <v>379</v>
      </c>
      <c r="D191">
        <v>1</v>
      </c>
      <c r="E191">
        <v>0</v>
      </c>
      <c r="F191">
        <v>0</v>
      </c>
      <c r="G191">
        <v>1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86000</v>
      </c>
      <c r="N191">
        <v>86000</v>
      </c>
      <c r="O191">
        <v>0</v>
      </c>
      <c r="P191">
        <v>21500</v>
      </c>
      <c r="Q191">
        <v>0</v>
      </c>
      <c r="R191">
        <v>86000</v>
      </c>
      <c r="S191">
        <v>86000</v>
      </c>
      <c r="T191">
        <v>0</v>
      </c>
      <c r="U191">
        <v>172000</v>
      </c>
      <c r="V191">
        <v>172000</v>
      </c>
      <c r="W191">
        <v>340400</v>
      </c>
      <c r="X191">
        <v>17.2</v>
      </c>
      <c r="Y191">
        <v>17.2</v>
      </c>
      <c r="Z191">
        <v>13824</v>
      </c>
      <c r="AA191">
        <v>1</v>
      </c>
      <c r="AB191">
        <v>13824</v>
      </c>
      <c r="AC191">
        <v>13824</v>
      </c>
      <c r="AD191">
        <v>21644</v>
      </c>
      <c r="AE191">
        <v>11.52</v>
      </c>
      <c r="AF191">
        <v>11.52</v>
      </c>
      <c r="AG191">
        <v>13824</v>
      </c>
      <c r="AH191">
        <v>13824</v>
      </c>
      <c r="AI191">
        <v>21658</v>
      </c>
      <c r="AJ191">
        <v>28.72</v>
      </c>
      <c r="AK191">
        <v>990</v>
      </c>
      <c r="AL191">
        <v>990</v>
      </c>
      <c r="AM191">
        <v>4470</v>
      </c>
      <c r="AN191">
        <v>4470</v>
      </c>
      <c r="AO191">
        <v>34.470752089136496</v>
      </c>
      <c r="AP191">
        <v>230.4</v>
      </c>
      <c r="AQ191">
        <v>3.84</v>
      </c>
      <c r="AR191">
        <v>21658</v>
      </c>
      <c r="AS191">
        <v>344500</v>
      </c>
      <c r="AT191">
        <v>86000</v>
      </c>
    </row>
    <row r="192" spans="1:46">
      <c r="A192" t="s">
        <v>369</v>
      </c>
      <c r="B192">
        <v>9</v>
      </c>
      <c r="C192" t="s">
        <v>380</v>
      </c>
      <c r="D192">
        <v>1</v>
      </c>
      <c r="E192">
        <v>0</v>
      </c>
      <c r="F192">
        <v>0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150000</v>
      </c>
      <c r="N192">
        <v>150000</v>
      </c>
      <c r="O192">
        <v>0</v>
      </c>
      <c r="P192">
        <v>32000</v>
      </c>
      <c r="Q192">
        <v>0</v>
      </c>
      <c r="R192">
        <v>150000</v>
      </c>
      <c r="S192">
        <v>150000</v>
      </c>
      <c r="T192">
        <v>0</v>
      </c>
      <c r="U192">
        <v>300000</v>
      </c>
      <c r="V192">
        <v>300000</v>
      </c>
      <c r="W192">
        <v>640400</v>
      </c>
      <c r="X192">
        <v>30</v>
      </c>
      <c r="Y192">
        <v>30</v>
      </c>
      <c r="Z192">
        <v>23501</v>
      </c>
      <c r="AA192">
        <v>1</v>
      </c>
      <c r="AB192">
        <v>23501</v>
      </c>
      <c r="AC192">
        <v>23501</v>
      </c>
      <c r="AD192">
        <v>45145</v>
      </c>
      <c r="AE192">
        <v>19.5841666666667</v>
      </c>
      <c r="AF192">
        <v>19.5841666666667</v>
      </c>
      <c r="AG192">
        <v>23501</v>
      </c>
      <c r="AH192">
        <v>23501</v>
      </c>
      <c r="AI192">
        <v>45159</v>
      </c>
      <c r="AJ192">
        <v>49.584166666666697</v>
      </c>
      <c r="AK192">
        <v>1170</v>
      </c>
      <c r="AL192">
        <v>1170</v>
      </c>
      <c r="AM192">
        <v>5640</v>
      </c>
      <c r="AN192">
        <v>5640</v>
      </c>
      <c r="AO192">
        <v>23.596242079964998</v>
      </c>
      <c r="AP192">
        <v>391.683333333333</v>
      </c>
      <c r="AQ192">
        <v>6.5280555555555599</v>
      </c>
      <c r="AR192">
        <v>45159</v>
      </c>
      <c r="AS192">
        <v>644500</v>
      </c>
      <c r="AT192">
        <v>150000</v>
      </c>
    </row>
    <row r="193" spans="1:46">
      <c r="A193" t="s">
        <v>369</v>
      </c>
      <c r="B193">
        <v>10</v>
      </c>
      <c r="C193" t="s">
        <v>381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1</v>
      </c>
      <c r="J193">
        <v>1</v>
      </c>
      <c r="K193">
        <v>0</v>
      </c>
      <c r="L193">
        <v>0</v>
      </c>
      <c r="M193">
        <v>250000</v>
      </c>
      <c r="N193">
        <v>250000</v>
      </c>
      <c r="O193">
        <v>0</v>
      </c>
      <c r="P193">
        <v>50000</v>
      </c>
      <c r="Q193">
        <v>0</v>
      </c>
      <c r="R193">
        <v>250000</v>
      </c>
      <c r="S193">
        <v>250000</v>
      </c>
      <c r="T193">
        <v>0</v>
      </c>
      <c r="U193">
        <v>500000</v>
      </c>
      <c r="V193">
        <v>500000</v>
      </c>
      <c r="W193">
        <v>1140400</v>
      </c>
      <c r="X193">
        <v>50</v>
      </c>
      <c r="Y193">
        <v>50</v>
      </c>
      <c r="Z193">
        <v>37601</v>
      </c>
      <c r="AA193">
        <v>1</v>
      </c>
      <c r="AB193">
        <v>37601</v>
      </c>
      <c r="AC193">
        <v>37601</v>
      </c>
      <c r="AD193">
        <v>82746</v>
      </c>
      <c r="AE193">
        <v>31.3341666666667</v>
      </c>
      <c r="AF193">
        <v>31.3341666666667</v>
      </c>
      <c r="AG193">
        <v>37601</v>
      </c>
      <c r="AH193">
        <v>37601</v>
      </c>
      <c r="AI193">
        <v>82760</v>
      </c>
      <c r="AJ193">
        <v>81.334166666666704</v>
      </c>
      <c r="AK193">
        <v>1440</v>
      </c>
      <c r="AL193">
        <v>1440</v>
      </c>
      <c r="AM193">
        <v>7080</v>
      </c>
      <c r="AN193">
        <v>7080</v>
      </c>
      <c r="AO193">
        <v>17.704736631796798</v>
      </c>
      <c r="AP193">
        <v>626.68333333333305</v>
      </c>
      <c r="AQ193">
        <v>10.4447222222222</v>
      </c>
      <c r="AR193">
        <v>82760</v>
      </c>
      <c r="AS193">
        <v>1144500</v>
      </c>
      <c r="AT193">
        <v>250000</v>
      </c>
    </row>
    <row r="194" spans="1:46">
      <c r="A194" t="s">
        <v>369</v>
      </c>
      <c r="B194">
        <v>11</v>
      </c>
      <c r="C194" t="s">
        <v>382</v>
      </c>
      <c r="D194">
        <v>1</v>
      </c>
      <c r="E194">
        <v>0</v>
      </c>
      <c r="F194">
        <v>0</v>
      </c>
      <c r="G194">
        <v>1</v>
      </c>
      <c r="H194">
        <v>0</v>
      </c>
      <c r="I194">
        <v>1</v>
      </c>
      <c r="J194">
        <v>1</v>
      </c>
      <c r="K194">
        <v>1</v>
      </c>
      <c r="L194">
        <v>0</v>
      </c>
      <c r="M194">
        <v>270000</v>
      </c>
      <c r="N194">
        <v>270000</v>
      </c>
      <c r="O194">
        <v>270000</v>
      </c>
      <c r="P194">
        <v>77500</v>
      </c>
      <c r="Q194">
        <v>0</v>
      </c>
      <c r="R194">
        <v>270000</v>
      </c>
      <c r="S194">
        <v>270000</v>
      </c>
      <c r="T194">
        <v>270000</v>
      </c>
      <c r="U194">
        <v>810000</v>
      </c>
      <c r="V194">
        <v>810000</v>
      </c>
      <c r="W194">
        <v>1950400</v>
      </c>
      <c r="X194">
        <v>81</v>
      </c>
      <c r="Y194">
        <v>81</v>
      </c>
      <c r="Z194">
        <v>50762</v>
      </c>
      <c r="AA194">
        <v>1</v>
      </c>
      <c r="AB194">
        <v>50762</v>
      </c>
      <c r="AC194">
        <v>50762</v>
      </c>
      <c r="AD194">
        <v>133508</v>
      </c>
      <c r="AE194">
        <v>42.301666666666698</v>
      </c>
      <c r="AF194">
        <v>42.301666666666698</v>
      </c>
      <c r="AG194">
        <v>50762</v>
      </c>
      <c r="AH194">
        <v>50762</v>
      </c>
      <c r="AI194">
        <v>133522</v>
      </c>
      <c r="AJ194">
        <v>123.301666666667</v>
      </c>
      <c r="AK194">
        <v>1980</v>
      </c>
      <c r="AL194">
        <v>1980</v>
      </c>
      <c r="AM194">
        <v>9060</v>
      </c>
      <c r="AN194">
        <v>9060</v>
      </c>
      <c r="AO194">
        <v>16.058177099525601</v>
      </c>
      <c r="AP194">
        <v>846.03333333333296</v>
      </c>
      <c r="AQ194">
        <v>14.1005555555556</v>
      </c>
      <c r="AR194">
        <v>133522</v>
      </c>
      <c r="AS194">
        <v>1954500</v>
      </c>
      <c r="AT194">
        <v>270000</v>
      </c>
    </row>
    <row r="195" spans="1:46">
      <c r="A195" t="s">
        <v>369</v>
      </c>
      <c r="B195">
        <v>12</v>
      </c>
      <c r="C195" t="s">
        <v>383</v>
      </c>
      <c r="D195">
        <v>1</v>
      </c>
      <c r="E195">
        <v>0</v>
      </c>
      <c r="F195">
        <v>0</v>
      </c>
      <c r="G195">
        <v>1</v>
      </c>
      <c r="H195">
        <v>0</v>
      </c>
      <c r="I195">
        <v>1</v>
      </c>
      <c r="J195">
        <v>1</v>
      </c>
      <c r="K195">
        <v>1</v>
      </c>
      <c r="L195">
        <v>0</v>
      </c>
      <c r="M195">
        <v>430000</v>
      </c>
      <c r="N195">
        <v>430000</v>
      </c>
      <c r="O195">
        <v>430000</v>
      </c>
      <c r="P195">
        <v>120000</v>
      </c>
      <c r="Q195">
        <v>0</v>
      </c>
      <c r="R195">
        <v>430000</v>
      </c>
      <c r="S195">
        <v>430000</v>
      </c>
      <c r="T195">
        <v>430000</v>
      </c>
      <c r="U195">
        <v>1290000</v>
      </c>
      <c r="V195">
        <v>1290000</v>
      </c>
      <c r="W195">
        <v>3240400</v>
      </c>
      <c r="X195">
        <v>129</v>
      </c>
      <c r="Y195">
        <v>129</v>
      </c>
      <c r="Z195">
        <v>68528</v>
      </c>
      <c r="AA195">
        <v>1</v>
      </c>
      <c r="AB195">
        <v>68528</v>
      </c>
      <c r="AC195">
        <v>68528</v>
      </c>
      <c r="AD195">
        <v>202036</v>
      </c>
      <c r="AE195">
        <v>57.106666666666698</v>
      </c>
      <c r="AF195">
        <v>57.106666666666698</v>
      </c>
      <c r="AG195">
        <v>68528</v>
      </c>
      <c r="AH195">
        <v>68528</v>
      </c>
      <c r="AI195">
        <v>202050</v>
      </c>
      <c r="AJ195">
        <v>186.106666666667</v>
      </c>
      <c r="AK195">
        <v>2700</v>
      </c>
      <c r="AL195">
        <v>2700</v>
      </c>
      <c r="AM195">
        <v>11760</v>
      </c>
      <c r="AN195">
        <v>11760</v>
      </c>
      <c r="AO195">
        <v>14.507809141710799</v>
      </c>
      <c r="AP195">
        <v>1142.13333333333</v>
      </c>
      <c r="AQ195">
        <v>19.0355555555556</v>
      </c>
      <c r="AR195">
        <v>202050</v>
      </c>
      <c r="AS195">
        <v>3244500</v>
      </c>
      <c r="AT195">
        <v>430000</v>
      </c>
    </row>
    <row r="196" spans="1:46">
      <c r="A196" t="s">
        <v>369</v>
      </c>
      <c r="B196">
        <v>13</v>
      </c>
      <c r="C196" t="s">
        <v>384</v>
      </c>
      <c r="D196">
        <v>1</v>
      </c>
      <c r="E196">
        <v>0</v>
      </c>
      <c r="F196">
        <v>0</v>
      </c>
      <c r="G196">
        <v>1</v>
      </c>
      <c r="H196">
        <v>0</v>
      </c>
      <c r="I196">
        <v>1</v>
      </c>
      <c r="J196">
        <v>1</v>
      </c>
      <c r="K196">
        <v>1</v>
      </c>
      <c r="L196">
        <v>0</v>
      </c>
      <c r="M196">
        <v>680000</v>
      </c>
      <c r="N196">
        <v>680000</v>
      </c>
      <c r="O196">
        <v>680000</v>
      </c>
      <c r="P196">
        <v>187500</v>
      </c>
      <c r="Q196">
        <v>0</v>
      </c>
      <c r="R196">
        <v>680000</v>
      </c>
      <c r="S196">
        <v>680000</v>
      </c>
      <c r="T196">
        <v>680000</v>
      </c>
      <c r="U196">
        <v>2040000</v>
      </c>
      <c r="V196">
        <v>2040000</v>
      </c>
      <c r="W196">
        <v>5280400</v>
      </c>
      <c r="X196">
        <v>204</v>
      </c>
      <c r="Y196">
        <v>204</v>
      </c>
      <c r="Z196">
        <v>92513</v>
      </c>
      <c r="AA196">
        <v>1</v>
      </c>
      <c r="AB196">
        <v>92513</v>
      </c>
      <c r="AC196">
        <v>92513</v>
      </c>
      <c r="AD196">
        <v>294549</v>
      </c>
      <c r="AE196">
        <v>77.094166666666695</v>
      </c>
      <c r="AF196">
        <v>77.094166666666695</v>
      </c>
      <c r="AG196">
        <v>92513</v>
      </c>
      <c r="AH196">
        <v>92513</v>
      </c>
      <c r="AI196">
        <v>294563</v>
      </c>
      <c r="AJ196">
        <v>281.09416666666698</v>
      </c>
      <c r="AK196">
        <v>3690</v>
      </c>
      <c r="AL196">
        <v>3690</v>
      </c>
      <c r="AM196">
        <v>15450</v>
      </c>
      <c r="AN196">
        <v>15450</v>
      </c>
      <c r="AO196">
        <v>13.1272734818996</v>
      </c>
      <c r="AP196">
        <v>1541.88333333333</v>
      </c>
      <c r="AQ196">
        <v>25.698055555555602</v>
      </c>
      <c r="AR196">
        <v>294563</v>
      </c>
      <c r="AS196">
        <v>5284500</v>
      </c>
      <c r="AT196">
        <v>680000</v>
      </c>
    </row>
    <row r="197" spans="1:46">
      <c r="A197" t="s">
        <v>369</v>
      </c>
      <c r="B197">
        <v>14</v>
      </c>
      <c r="C197" t="s">
        <v>385</v>
      </c>
      <c r="D197">
        <v>1</v>
      </c>
      <c r="E197">
        <v>0</v>
      </c>
      <c r="F197">
        <v>0</v>
      </c>
      <c r="G197">
        <v>1</v>
      </c>
      <c r="H197">
        <v>0</v>
      </c>
      <c r="I197">
        <v>1</v>
      </c>
      <c r="J197">
        <v>1</v>
      </c>
      <c r="K197">
        <v>1</v>
      </c>
      <c r="L197">
        <v>0</v>
      </c>
      <c r="M197">
        <v>1100000</v>
      </c>
      <c r="N197">
        <v>1100000</v>
      </c>
      <c r="O197">
        <v>1100000</v>
      </c>
      <c r="P197">
        <v>315000</v>
      </c>
      <c r="Q197">
        <v>0</v>
      </c>
      <c r="R197">
        <v>1100000</v>
      </c>
      <c r="S197">
        <v>1100000</v>
      </c>
      <c r="T197">
        <v>1100000</v>
      </c>
      <c r="U197">
        <v>3300000</v>
      </c>
      <c r="V197">
        <v>3300000</v>
      </c>
      <c r="W197">
        <v>8580400</v>
      </c>
      <c r="X197">
        <v>330</v>
      </c>
      <c r="Y197">
        <v>330</v>
      </c>
      <c r="Z197">
        <v>124893</v>
      </c>
      <c r="AA197">
        <v>1</v>
      </c>
      <c r="AB197">
        <v>124893</v>
      </c>
      <c r="AC197">
        <v>124893</v>
      </c>
      <c r="AD197">
        <v>419442</v>
      </c>
      <c r="AE197">
        <v>104.0775</v>
      </c>
      <c r="AF197">
        <v>104.0775</v>
      </c>
      <c r="AG197">
        <v>124893</v>
      </c>
      <c r="AH197">
        <v>124893</v>
      </c>
      <c r="AI197">
        <v>419456</v>
      </c>
      <c r="AJ197">
        <v>434.07749999999999</v>
      </c>
      <c r="AK197">
        <v>4950</v>
      </c>
      <c r="AL197">
        <v>4950</v>
      </c>
      <c r="AM197">
        <v>20400</v>
      </c>
      <c r="AN197">
        <v>20400</v>
      </c>
      <c r="AO197">
        <v>11.403493615771399</v>
      </c>
      <c r="AP197">
        <v>2081.5500000000002</v>
      </c>
      <c r="AQ197">
        <v>34.692500000000003</v>
      </c>
      <c r="AR197">
        <v>419456</v>
      </c>
      <c r="AS197">
        <v>8584500</v>
      </c>
      <c r="AT197">
        <v>1100000</v>
      </c>
    </row>
    <row r="198" spans="1:46">
      <c r="A198" t="s">
        <v>369</v>
      </c>
      <c r="B198">
        <v>15</v>
      </c>
      <c r="C198" t="s">
        <v>386</v>
      </c>
      <c r="D198">
        <v>1</v>
      </c>
      <c r="E198">
        <v>0</v>
      </c>
      <c r="F198">
        <v>0</v>
      </c>
      <c r="G198">
        <v>1</v>
      </c>
      <c r="H198">
        <v>0</v>
      </c>
      <c r="I198">
        <v>1</v>
      </c>
      <c r="J198">
        <v>1</v>
      </c>
      <c r="K198">
        <v>1</v>
      </c>
      <c r="L198">
        <v>0</v>
      </c>
      <c r="M198">
        <v>1600000</v>
      </c>
      <c r="N198">
        <v>1600000</v>
      </c>
      <c r="O198">
        <v>1600000</v>
      </c>
      <c r="P198">
        <v>375000</v>
      </c>
      <c r="Q198">
        <v>0</v>
      </c>
      <c r="R198">
        <v>1600000</v>
      </c>
      <c r="S198">
        <v>1600000</v>
      </c>
      <c r="T198">
        <v>1600000</v>
      </c>
      <c r="U198">
        <v>4800000</v>
      </c>
      <c r="V198">
        <v>4800000</v>
      </c>
      <c r="W198">
        <v>13380400</v>
      </c>
      <c r="X198">
        <v>480</v>
      </c>
      <c r="Y198">
        <v>480</v>
      </c>
      <c r="Z198">
        <v>168605</v>
      </c>
      <c r="AA198">
        <v>1</v>
      </c>
      <c r="AB198">
        <v>168605</v>
      </c>
      <c r="AC198">
        <v>168605</v>
      </c>
      <c r="AD198">
        <v>588047</v>
      </c>
      <c r="AE198">
        <v>140.504166666667</v>
      </c>
      <c r="AF198">
        <v>140.504166666667</v>
      </c>
      <c r="AG198">
        <v>168605</v>
      </c>
      <c r="AH198">
        <v>168605</v>
      </c>
      <c r="AI198">
        <v>588061</v>
      </c>
      <c r="AJ198">
        <v>620.50416666666695</v>
      </c>
      <c r="AK198">
        <v>6660</v>
      </c>
      <c r="AL198">
        <v>6660</v>
      </c>
      <c r="AM198">
        <v>27060</v>
      </c>
      <c r="AN198">
        <v>27060</v>
      </c>
      <c r="AO198">
        <v>10.733207539567999</v>
      </c>
      <c r="AP198">
        <v>2810.0833333333298</v>
      </c>
      <c r="AQ198">
        <v>46.834722222222197</v>
      </c>
      <c r="AR198">
        <v>588061</v>
      </c>
      <c r="AS198">
        <v>13384500</v>
      </c>
      <c r="AT198">
        <v>1600000</v>
      </c>
    </row>
    <row r="199" spans="1:46">
      <c r="A199" t="s">
        <v>369</v>
      </c>
      <c r="B199">
        <v>16</v>
      </c>
      <c r="C199" t="s">
        <v>387</v>
      </c>
      <c r="D199">
        <v>1</v>
      </c>
      <c r="E199">
        <v>0</v>
      </c>
      <c r="F199">
        <v>0</v>
      </c>
      <c r="G199">
        <v>1</v>
      </c>
      <c r="H199">
        <v>0</v>
      </c>
      <c r="I199">
        <v>1</v>
      </c>
      <c r="J199">
        <v>1</v>
      </c>
      <c r="K199">
        <v>1</v>
      </c>
      <c r="L199">
        <v>0</v>
      </c>
      <c r="M199">
        <v>2200000</v>
      </c>
      <c r="N199">
        <v>2200000</v>
      </c>
      <c r="O199">
        <v>2200000</v>
      </c>
      <c r="P199">
        <v>450000</v>
      </c>
      <c r="Q199">
        <v>0</v>
      </c>
      <c r="R199">
        <v>2200000</v>
      </c>
      <c r="S199">
        <v>2200000</v>
      </c>
      <c r="T199">
        <v>2200000</v>
      </c>
      <c r="U199">
        <v>6600000</v>
      </c>
      <c r="V199">
        <v>6600000</v>
      </c>
      <c r="W199">
        <v>19980400</v>
      </c>
      <c r="X199">
        <v>660</v>
      </c>
      <c r="Y199">
        <v>660</v>
      </c>
      <c r="Z199">
        <v>227617</v>
      </c>
      <c r="AA199">
        <v>1</v>
      </c>
      <c r="AB199">
        <v>227617</v>
      </c>
      <c r="AC199">
        <v>227617</v>
      </c>
      <c r="AD199">
        <v>815664</v>
      </c>
      <c r="AE199">
        <v>189.680833333333</v>
      </c>
      <c r="AF199">
        <v>189.680833333333</v>
      </c>
      <c r="AG199">
        <v>227617</v>
      </c>
      <c r="AH199">
        <v>227617</v>
      </c>
      <c r="AI199">
        <v>815678</v>
      </c>
      <c r="AJ199">
        <v>849.680833333333</v>
      </c>
      <c r="AK199">
        <v>9000</v>
      </c>
      <c r="AL199">
        <v>9000</v>
      </c>
      <c r="AM199">
        <v>36060</v>
      </c>
      <c r="AN199">
        <v>36060</v>
      </c>
      <c r="AO199">
        <v>10.592212566091</v>
      </c>
      <c r="AP199">
        <v>3793.61666666667</v>
      </c>
      <c r="AQ199">
        <v>63.226944444444399</v>
      </c>
      <c r="AR199">
        <v>815678</v>
      </c>
      <c r="AS199">
        <v>19984500</v>
      </c>
      <c r="AT199">
        <v>2200000</v>
      </c>
    </row>
    <row r="200" spans="1:46">
      <c r="A200" t="s">
        <v>369</v>
      </c>
      <c r="B200">
        <v>17</v>
      </c>
      <c r="C200" t="s">
        <v>390</v>
      </c>
      <c r="D200">
        <v>1</v>
      </c>
      <c r="E200">
        <v>0</v>
      </c>
      <c r="F200">
        <v>0</v>
      </c>
      <c r="G200">
        <v>1</v>
      </c>
      <c r="H200">
        <v>0</v>
      </c>
      <c r="I200">
        <v>1</v>
      </c>
      <c r="J200">
        <v>1</v>
      </c>
      <c r="K200">
        <v>1</v>
      </c>
      <c r="L200">
        <v>0</v>
      </c>
      <c r="M200">
        <v>2900000</v>
      </c>
      <c r="N200">
        <v>2900000</v>
      </c>
      <c r="O200">
        <v>2900000</v>
      </c>
      <c r="P200">
        <v>525000</v>
      </c>
      <c r="Q200">
        <v>0</v>
      </c>
      <c r="R200">
        <v>2900000</v>
      </c>
      <c r="S200">
        <v>2900000</v>
      </c>
      <c r="T200">
        <v>2900000</v>
      </c>
      <c r="U200">
        <v>8700000</v>
      </c>
      <c r="V200">
        <v>8700000</v>
      </c>
      <c r="W200">
        <v>28680400</v>
      </c>
      <c r="X200">
        <v>870</v>
      </c>
      <c r="Y200">
        <v>870</v>
      </c>
      <c r="Z200">
        <v>307283</v>
      </c>
      <c r="AA200">
        <v>1</v>
      </c>
      <c r="AB200">
        <v>307283</v>
      </c>
      <c r="AC200">
        <v>307283</v>
      </c>
      <c r="AD200">
        <v>1122947</v>
      </c>
      <c r="AE200">
        <v>256.069166666667</v>
      </c>
      <c r="AF200">
        <v>256.069166666667</v>
      </c>
      <c r="AG200">
        <v>307283</v>
      </c>
      <c r="AH200">
        <v>307283</v>
      </c>
      <c r="AI200">
        <v>1122961</v>
      </c>
      <c r="AJ200">
        <v>1126.0691666666701</v>
      </c>
      <c r="AK200">
        <v>12600</v>
      </c>
      <c r="AL200">
        <v>12600</v>
      </c>
      <c r="AM200">
        <v>48660</v>
      </c>
      <c r="AN200">
        <v>48660</v>
      </c>
      <c r="AO200">
        <v>11.1893659581302</v>
      </c>
      <c r="AP200">
        <v>5121.3833333333296</v>
      </c>
      <c r="AQ200">
        <v>85.356388888888901</v>
      </c>
      <c r="AR200">
        <v>1122961</v>
      </c>
      <c r="AS200">
        <v>28684500</v>
      </c>
      <c r="AT200">
        <v>2900000</v>
      </c>
    </row>
    <row r="201" spans="1:46">
      <c r="A201" t="s">
        <v>369</v>
      </c>
      <c r="B201">
        <v>18</v>
      </c>
      <c r="C201" t="s">
        <v>391</v>
      </c>
      <c r="D201">
        <v>1</v>
      </c>
      <c r="E201">
        <v>0</v>
      </c>
      <c r="F201">
        <v>0</v>
      </c>
      <c r="G201">
        <v>1</v>
      </c>
      <c r="H201">
        <v>0</v>
      </c>
      <c r="I201">
        <v>1</v>
      </c>
      <c r="J201">
        <v>1</v>
      </c>
      <c r="K201">
        <v>1</v>
      </c>
      <c r="L201">
        <v>0</v>
      </c>
      <c r="M201">
        <v>3800000</v>
      </c>
      <c r="N201">
        <v>3800000</v>
      </c>
      <c r="O201">
        <v>3800000</v>
      </c>
      <c r="P201">
        <v>675000</v>
      </c>
      <c r="Q201">
        <v>0</v>
      </c>
      <c r="R201">
        <v>3800000</v>
      </c>
      <c r="S201">
        <v>3800000</v>
      </c>
      <c r="T201">
        <v>3800000</v>
      </c>
      <c r="U201">
        <v>11400000</v>
      </c>
      <c r="V201">
        <v>11400000</v>
      </c>
      <c r="W201">
        <v>40080400</v>
      </c>
      <c r="X201">
        <v>1140</v>
      </c>
      <c r="Y201">
        <v>1140</v>
      </c>
      <c r="Z201">
        <v>414833</v>
      </c>
      <c r="AA201">
        <v>1</v>
      </c>
      <c r="AB201">
        <v>414833</v>
      </c>
      <c r="AC201">
        <v>414833</v>
      </c>
      <c r="AD201">
        <v>1537780</v>
      </c>
      <c r="AE201">
        <v>345.694166666667</v>
      </c>
      <c r="AF201">
        <v>345.694166666667</v>
      </c>
      <c r="AG201">
        <v>414833</v>
      </c>
      <c r="AH201">
        <v>414833</v>
      </c>
      <c r="AI201">
        <v>1537794</v>
      </c>
      <c r="AJ201">
        <v>1485.6941666666701</v>
      </c>
      <c r="AK201">
        <v>17100</v>
      </c>
      <c r="AL201">
        <v>17100</v>
      </c>
      <c r="AM201">
        <v>65760</v>
      </c>
      <c r="AN201">
        <v>65760</v>
      </c>
      <c r="AO201">
        <v>11.509771246101</v>
      </c>
      <c r="AP201">
        <v>6913.8833333333296</v>
      </c>
      <c r="AQ201">
        <v>115.231388888889</v>
      </c>
      <c r="AR201">
        <v>1537794</v>
      </c>
      <c r="AS201">
        <v>40084500</v>
      </c>
      <c r="AT201">
        <v>3800000</v>
      </c>
    </row>
    <row r="202" spans="1:46">
      <c r="A202" t="s">
        <v>369</v>
      </c>
      <c r="B202">
        <v>19</v>
      </c>
      <c r="C202" t="s">
        <v>392</v>
      </c>
      <c r="D202">
        <v>1</v>
      </c>
      <c r="E202">
        <v>0</v>
      </c>
      <c r="F202">
        <v>0</v>
      </c>
      <c r="G202">
        <v>1</v>
      </c>
      <c r="H202">
        <v>0</v>
      </c>
      <c r="I202">
        <v>1</v>
      </c>
      <c r="J202">
        <v>1</v>
      </c>
      <c r="K202">
        <v>1</v>
      </c>
      <c r="L202">
        <v>0</v>
      </c>
      <c r="M202">
        <v>4900000</v>
      </c>
      <c r="N202">
        <v>4900000</v>
      </c>
      <c r="O202">
        <v>4900000</v>
      </c>
      <c r="P202">
        <v>825000</v>
      </c>
      <c r="Q202">
        <v>0</v>
      </c>
      <c r="R202">
        <v>4900000</v>
      </c>
      <c r="S202">
        <v>4900000</v>
      </c>
      <c r="T202">
        <v>4900000</v>
      </c>
      <c r="U202">
        <v>14700000</v>
      </c>
      <c r="V202">
        <v>14700000</v>
      </c>
      <c r="W202">
        <v>54780400</v>
      </c>
      <c r="X202">
        <v>1470</v>
      </c>
      <c r="Y202">
        <v>1470</v>
      </c>
      <c r="Z202">
        <v>622249</v>
      </c>
      <c r="AA202">
        <v>1</v>
      </c>
      <c r="AB202">
        <v>622249</v>
      </c>
      <c r="AC202">
        <v>622249</v>
      </c>
      <c r="AD202">
        <v>2160029</v>
      </c>
      <c r="AE202">
        <v>518.54083333333301</v>
      </c>
      <c r="AF202">
        <v>518.54083333333301</v>
      </c>
      <c r="AG202">
        <v>622249</v>
      </c>
      <c r="AH202">
        <v>622249</v>
      </c>
      <c r="AI202">
        <v>2160043</v>
      </c>
      <c r="AJ202">
        <v>1988.5408333333301</v>
      </c>
      <c r="AK202">
        <v>23400</v>
      </c>
      <c r="AL202">
        <v>23400</v>
      </c>
      <c r="AM202">
        <v>89160</v>
      </c>
      <c r="AN202">
        <v>89160</v>
      </c>
      <c r="AO202">
        <v>11.767422427416401</v>
      </c>
      <c r="AP202">
        <v>10370.8166666667</v>
      </c>
      <c r="AQ202">
        <v>172.84694444444401</v>
      </c>
      <c r="AR202">
        <v>2160043</v>
      </c>
      <c r="AS202">
        <v>54784500</v>
      </c>
      <c r="AT202">
        <v>4900000</v>
      </c>
    </row>
    <row r="203" spans="1:46">
      <c r="A203" t="s">
        <v>369</v>
      </c>
      <c r="B203">
        <v>20</v>
      </c>
      <c r="C203" t="s">
        <v>393</v>
      </c>
      <c r="D203">
        <v>1</v>
      </c>
      <c r="E203">
        <v>0</v>
      </c>
      <c r="F203">
        <v>0</v>
      </c>
      <c r="G203">
        <v>1</v>
      </c>
      <c r="H203">
        <v>0</v>
      </c>
      <c r="I203">
        <v>1</v>
      </c>
      <c r="J203">
        <v>1</v>
      </c>
      <c r="K203">
        <v>1</v>
      </c>
      <c r="L203">
        <v>0</v>
      </c>
      <c r="M203">
        <v>6400000</v>
      </c>
      <c r="N203">
        <v>6400000</v>
      </c>
      <c r="O203">
        <v>6400000</v>
      </c>
      <c r="P203">
        <v>1125000</v>
      </c>
      <c r="Q203">
        <v>0</v>
      </c>
      <c r="R203">
        <v>6400000</v>
      </c>
      <c r="S203">
        <v>6400000</v>
      </c>
      <c r="T203">
        <v>6400000</v>
      </c>
      <c r="U203">
        <v>19200000</v>
      </c>
      <c r="V203">
        <v>19200000</v>
      </c>
      <c r="W203">
        <v>73980400</v>
      </c>
      <c r="X203">
        <v>1920</v>
      </c>
      <c r="Y203">
        <v>1920</v>
      </c>
      <c r="Z203">
        <v>933373</v>
      </c>
      <c r="AA203">
        <v>1</v>
      </c>
      <c r="AB203">
        <v>933373</v>
      </c>
      <c r="AC203">
        <v>933373</v>
      </c>
      <c r="AD203">
        <v>3093402</v>
      </c>
      <c r="AE203">
        <v>777.81083333333299</v>
      </c>
      <c r="AF203">
        <v>777.81083333333299</v>
      </c>
      <c r="AG203">
        <v>933373</v>
      </c>
      <c r="AH203">
        <v>933373</v>
      </c>
      <c r="AI203">
        <v>3093416</v>
      </c>
      <c r="AJ203">
        <v>2697.8108333333298</v>
      </c>
      <c r="AK203">
        <v>31500</v>
      </c>
      <c r="AL203">
        <v>31500</v>
      </c>
      <c r="AM203">
        <v>120660</v>
      </c>
      <c r="AN203">
        <v>120660</v>
      </c>
      <c r="AO203">
        <v>11.6761337047044</v>
      </c>
      <c r="AP203">
        <v>15556.2166666667</v>
      </c>
      <c r="AQ203">
        <v>259.27027777777801</v>
      </c>
      <c r="AR203">
        <v>3093416</v>
      </c>
      <c r="AS203">
        <v>73984500</v>
      </c>
      <c r="AT203">
        <v>6400000</v>
      </c>
    </row>
    <row r="204" spans="1:46">
      <c r="A204" t="s">
        <v>344</v>
      </c>
      <c r="B204">
        <v>1</v>
      </c>
      <c r="C204" t="s">
        <v>345</v>
      </c>
      <c r="D204">
        <v>1</v>
      </c>
      <c r="E204">
        <v>0</v>
      </c>
      <c r="F204">
        <v>0</v>
      </c>
      <c r="G204">
        <v>1</v>
      </c>
      <c r="H204">
        <v>0</v>
      </c>
      <c r="I204">
        <v>3</v>
      </c>
      <c r="J204">
        <v>0</v>
      </c>
      <c r="K204">
        <v>0</v>
      </c>
      <c r="L204">
        <v>0</v>
      </c>
      <c r="M204">
        <v>1400</v>
      </c>
      <c r="N204">
        <v>0</v>
      </c>
      <c r="O204">
        <v>0</v>
      </c>
      <c r="P204">
        <v>350</v>
      </c>
      <c r="Q204">
        <v>0</v>
      </c>
      <c r="R204">
        <v>1400</v>
      </c>
      <c r="S204">
        <v>0</v>
      </c>
      <c r="T204">
        <v>0</v>
      </c>
      <c r="U204">
        <v>1400</v>
      </c>
      <c r="V204">
        <v>1400</v>
      </c>
      <c r="W204">
        <v>1400</v>
      </c>
      <c r="X204">
        <v>0.14000000000000001</v>
      </c>
      <c r="Y204">
        <v>0.14000000000000001</v>
      </c>
      <c r="Z204">
        <v>108</v>
      </c>
      <c r="AA204">
        <v>1E-3</v>
      </c>
      <c r="AB204">
        <v>1</v>
      </c>
      <c r="AC204">
        <v>1</v>
      </c>
      <c r="AD204">
        <v>1</v>
      </c>
      <c r="AE204">
        <v>8.3333333333333295E-4</v>
      </c>
      <c r="AF204">
        <v>8.3333333333333295E-4</v>
      </c>
      <c r="AG204">
        <v>1</v>
      </c>
      <c r="AH204">
        <v>1</v>
      </c>
      <c r="AI204">
        <v>1</v>
      </c>
      <c r="AJ204">
        <v>0.14083333333333301</v>
      </c>
      <c r="AK204">
        <v>270</v>
      </c>
      <c r="AL204">
        <v>270</v>
      </c>
      <c r="AM204">
        <v>270</v>
      </c>
      <c r="AN204">
        <v>270</v>
      </c>
      <c r="AO204">
        <v>1917.15976331361</v>
      </c>
      <c r="AP204">
        <v>1.6666666666666701E-2</v>
      </c>
      <c r="AQ204">
        <v>2.7777777777777799E-4</v>
      </c>
      <c r="AR204">
        <v>1</v>
      </c>
      <c r="AS204">
        <v>1400</v>
      </c>
      <c r="AT204">
        <v>1400</v>
      </c>
    </row>
    <row r="205" spans="1:46">
      <c r="A205" t="s">
        <v>344</v>
      </c>
      <c r="B205">
        <v>2</v>
      </c>
      <c r="C205" t="s">
        <v>348</v>
      </c>
      <c r="D205">
        <v>1</v>
      </c>
      <c r="E205">
        <v>0</v>
      </c>
      <c r="F205">
        <v>0</v>
      </c>
      <c r="G205">
        <v>1</v>
      </c>
      <c r="H205">
        <v>0</v>
      </c>
      <c r="I205">
        <v>3</v>
      </c>
      <c r="J205">
        <v>0</v>
      </c>
      <c r="K205">
        <v>0</v>
      </c>
      <c r="L205">
        <v>0</v>
      </c>
      <c r="M205">
        <v>2700</v>
      </c>
      <c r="N205">
        <v>0</v>
      </c>
      <c r="O205">
        <v>0</v>
      </c>
      <c r="P205">
        <v>325</v>
      </c>
      <c r="Q205">
        <v>0</v>
      </c>
      <c r="R205">
        <v>2700</v>
      </c>
      <c r="S205">
        <v>0</v>
      </c>
      <c r="T205">
        <v>0</v>
      </c>
      <c r="U205">
        <v>2700</v>
      </c>
      <c r="V205">
        <v>2700</v>
      </c>
      <c r="W205">
        <v>2700</v>
      </c>
      <c r="X205">
        <v>0.27</v>
      </c>
      <c r="Y205">
        <v>0.27</v>
      </c>
      <c r="Z205">
        <v>216</v>
      </c>
      <c r="AA205">
        <v>6.0999999999999999E-2</v>
      </c>
      <c r="AB205">
        <v>13</v>
      </c>
      <c r="AC205">
        <v>13</v>
      </c>
      <c r="AD205">
        <v>13</v>
      </c>
      <c r="AE205">
        <v>1.0833333333333301E-2</v>
      </c>
      <c r="AF205">
        <v>1.0833333333333301E-2</v>
      </c>
      <c r="AG205">
        <v>13</v>
      </c>
      <c r="AH205">
        <v>13</v>
      </c>
      <c r="AI205">
        <v>14</v>
      </c>
      <c r="AJ205">
        <v>0.28083333333333299</v>
      </c>
      <c r="AK205">
        <v>324</v>
      </c>
      <c r="AL205">
        <v>324</v>
      </c>
      <c r="AM205">
        <v>590</v>
      </c>
      <c r="AN205">
        <v>590</v>
      </c>
      <c r="AO205">
        <v>1153.7091988130601</v>
      </c>
      <c r="AP205">
        <v>0.21666666666666701</v>
      </c>
      <c r="AQ205">
        <v>3.6111111111111101E-3</v>
      </c>
      <c r="AR205">
        <v>14</v>
      </c>
      <c r="AS205">
        <v>4100</v>
      </c>
      <c r="AT205">
        <v>2700</v>
      </c>
    </row>
    <row r="206" spans="1:46">
      <c r="A206" t="s">
        <v>344</v>
      </c>
      <c r="B206">
        <v>3</v>
      </c>
      <c r="C206" t="s">
        <v>349</v>
      </c>
      <c r="D206">
        <v>1</v>
      </c>
      <c r="E206">
        <v>0</v>
      </c>
      <c r="F206">
        <v>0</v>
      </c>
      <c r="G206">
        <v>1</v>
      </c>
      <c r="H206">
        <v>0</v>
      </c>
      <c r="I206">
        <v>3</v>
      </c>
      <c r="J206">
        <v>0</v>
      </c>
      <c r="K206">
        <v>0</v>
      </c>
      <c r="L206">
        <v>0</v>
      </c>
      <c r="M206">
        <v>5400</v>
      </c>
      <c r="N206">
        <v>0</v>
      </c>
      <c r="O206">
        <v>0</v>
      </c>
      <c r="P206">
        <v>675</v>
      </c>
      <c r="Q206">
        <v>0</v>
      </c>
      <c r="R206">
        <v>5400</v>
      </c>
      <c r="S206">
        <v>0</v>
      </c>
      <c r="T206">
        <v>0</v>
      </c>
      <c r="U206">
        <v>5400</v>
      </c>
      <c r="V206">
        <v>5400</v>
      </c>
      <c r="W206">
        <v>5400</v>
      </c>
      <c r="X206">
        <v>0.54</v>
      </c>
      <c r="Y206">
        <v>0.54</v>
      </c>
      <c r="Z206">
        <v>432</v>
      </c>
      <c r="AA206">
        <v>0.1</v>
      </c>
      <c r="AB206">
        <v>43</v>
      </c>
      <c r="AC206">
        <v>43</v>
      </c>
      <c r="AD206">
        <v>43</v>
      </c>
      <c r="AE206">
        <v>3.58333333333333E-2</v>
      </c>
      <c r="AF206">
        <v>3.58333333333333E-2</v>
      </c>
      <c r="AG206">
        <v>43</v>
      </c>
      <c r="AH206">
        <v>43</v>
      </c>
      <c r="AI206">
        <v>57</v>
      </c>
      <c r="AJ206">
        <v>0.57583333333333298</v>
      </c>
      <c r="AK206">
        <v>387</v>
      </c>
      <c r="AL206">
        <v>387</v>
      </c>
      <c r="AM206">
        <v>980</v>
      </c>
      <c r="AN206">
        <v>980</v>
      </c>
      <c r="AO206">
        <v>672.06946454413901</v>
      </c>
      <c r="AP206">
        <v>0.71666666666666701</v>
      </c>
      <c r="AQ206">
        <v>1.19444444444444E-2</v>
      </c>
      <c r="AR206">
        <v>57</v>
      </c>
      <c r="AS206">
        <v>9500</v>
      </c>
      <c r="AT206">
        <v>5400</v>
      </c>
    </row>
    <row r="207" spans="1:46">
      <c r="A207" t="s">
        <v>344</v>
      </c>
      <c r="B207">
        <v>4</v>
      </c>
      <c r="C207" t="s">
        <v>350</v>
      </c>
      <c r="D207">
        <v>1</v>
      </c>
      <c r="E207">
        <v>0</v>
      </c>
      <c r="F207">
        <v>0</v>
      </c>
      <c r="G207">
        <v>1</v>
      </c>
      <c r="H207">
        <v>0</v>
      </c>
      <c r="I207">
        <v>3</v>
      </c>
      <c r="J207">
        <v>0</v>
      </c>
      <c r="K207">
        <v>0</v>
      </c>
      <c r="L207">
        <v>0</v>
      </c>
      <c r="M207">
        <v>11000</v>
      </c>
      <c r="N207">
        <v>0</v>
      </c>
      <c r="O207">
        <v>0</v>
      </c>
      <c r="P207">
        <v>1400</v>
      </c>
      <c r="Q207">
        <v>0</v>
      </c>
      <c r="R207">
        <v>11000</v>
      </c>
      <c r="S207">
        <v>0</v>
      </c>
      <c r="T207">
        <v>0</v>
      </c>
      <c r="U207">
        <v>11000</v>
      </c>
      <c r="V207">
        <v>11000</v>
      </c>
      <c r="W207">
        <v>16400</v>
      </c>
      <c r="X207">
        <v>1.1000000000000001</v>
      </c>
      <c r="Y207">
        <v>1.1000000000000001</v>
      </c>
      <c r="Z207">
        <v>864</v>
      </c>
      <c r="AA207">
        <v>0.2</v>
      </c>
      <c r="AB207">
        <v>173</v>
      </c>
      <c r="AC207">
        <v>173</v>
      </c>
      <c r="AD207">
        <v>216</v>
      </c>
      <c r="AE207">
        <v>0.144166666666667</v>
      </c>
      <c r="AF207">
        <v>0.144166666666667</v>
      </c>
      <c r="AG207">
        <v>173</v>
      </c>
      <c r="AH207">
        <v>173</v>
      </c>
      <c r="AI207">
        <v>230</v>
      </c>
      <c r="AJ207">
        <v>1.24416666666667</v>
      </c>
      <c r="AK207">
        <v>468</v>
      </c>
      <c r="AL207">
        <v>468</v>
      </c>
      <c r="AM207">
        <v>1450</v>
      </c>
      <c r="AN207">
        <v>1450</v>
      </c>
      <c r="AO207">
        <v>376.15539182853303</v>
      </c>
      <c r="AP207">
        <v>2.8833333333333302</v>
      </c>
      <c r="AQ207">
        <v>4.8055555555555601E-2</v>
      </c>
      <c r="AR207">
        <v>230</v>
      </c>
      <c r="AS207">
        <v>20500</v>
      </c>
      <c r="AT207">
        <v>11000</v>
      </c>
    </row>
    <row r="208" spans="1:46">
      <c r="A208" t="s">
        <v>344</v>
      </c>
      <c r="B208">
        <v>5</v>
      </c>
      <c r="C208" t="s">
        <v>351</v>
      </c>
      <c r="D208">
        <v>1</v>
      </c>
      <c r="E208">
        <v>0</v>
      </c>
      <c r="F208">
        <v>0</v>
      </c>
      <c r="G208">
        <v>1</v>
      </c>
      <c r="H208">
        <v>0</v>
      </c>
      <c r="I208">
        <v>3</v>
      </c>
      <c r="J208">
        <v>0</v>
      </c>
      <c r="K208">
        <v>0</v>
      </c>
      <c r="L208">
        <v>0</v>
      </c>
      <c r="M208">
        <v>22000</v>
      </c>
      <c r="N208">
        <v>0</v>
      </c>
      <c r="O208">
        <v>0</v>
      </c>
      <c r="P208">
        <v>2750</v>
      </c>
      <c r="Q208">
        <v>0</v>
      </c>
      <c r="R208">
        <v>22000</v>
      </c>
      <c r="S208">
        <v>0</v>
      </c>
      <c r="T208">
        <v>0</v>
      </c>
      <c r="U208">
        <v>22000</v>
      </c>
      <c r="V208">
        <v>22000</v>
      </c>
      <c r="W208">
        <v>38400</v>
      </c>
      <c r="X208">
        <v>2.2000000000000002</v>
      </c>
      <c r="Y208">
        <v>2.2000000000000002</v>
      </c>
      <c r="Z208">
        <v>1728</v>
      </c>
      <c r="AA208">
        <v>0.2</v>
      </c>
      <c r="AB208">
        <v>346</v>
      </c>
      <c r="AC208">
        <v>346</v>
      </c>
      <c r="AD208">
        <v>562</v>
      </c>
      <c r="AE208">
        <v>0.288333333333333</v>
      </c>
      <c r="AF208">
        <v>0.288333333333333</v>
      </c>
      <c r="AG208">
        <v>346</v>
      </c>
      <c r="AH208">
        <v>346</v>
      </c>
      <c r="AI208">
        <v>576</v>
      </c>
      <c r="AJ208">
        <v>2.4883333333333302</v>
      </c>
      <c r="AK208">
        <v>558</v>
      </c>
      <c r="AL208">
        <v>558</v>
      </c>
      <c r="AM208">
        <v>2010</v>
      </c>
      <c r="AN208">
        <v>2010</v>
      </c>
      <c r="AO208">
        <v>224.246483590087</v>
      </c>
      <c r="AP208">
        <v>5.7666666666666702</v>
      </c>
      <c r="AQ208">
        <v>9.6111111111111105E-2</v>
      </c>
      <c r="AR208">
        <v>576</v>
      </c>
      <c r="AS208">
        <v>42500</v>
      </c>
      <c r="AT208">
        <v>22000</v>
      </c>
    </row>
    <row r="209" spans="1:46">
      <c r="A209" t="s">
        <v>344</v>
      </c>
      <c r="B209">
        <v>6</v>
      </c>
      <c r="C209" t="s">
        <v>352</v>
      </c>
      <c r="D209">
        <v>1</v>
      </c>
      <c r="E209">
        <v>0</v>
      </c>
      <c r="F209">
        <v>0</v>
      </c>
      <c r="G209">
        <v>1</v>
      </c>
      <c r="H209">
        <v>0</v>
      </c>
      <c r="I209">
        <v>3</v>
      </c>
      <c r="J209">
        <v>3</v>
      </c>
      <c r="K209">
        <v>0</v>
      </c>
      <c r="L209">
        <v>0</v>
      </c>
      <c r="M209">
        <v>22000</v>
      </c>
      <c r="N209">
        <v>22000</v>
      </c>
      <c r="O209">
        <v>0</v>
      </c>
      <c r="P209">
        <v>5500</v>
      </c>
      <c r="Q209">
        <v>0</v>
      </c>
      <c r="R209">
        <v>22000</v>
      </c>
      <c r="S209">
        <v>22000</v>
      </c>
      <c r="T209">
        <v>0</v>
      </c>
      <c r="U209">
        <v>44000</v>
      </c>
      <c r="V209">
        <v>44000</v>
      </c>
      <c r="W209">
        <v>82400</v>
      </c>
      <c r="X209">
        <v>4.4000000000000004</v>
      </c>
      <c r="Y209">
        <v>4.4000000000000004</v>
      </c>
      <c r="Z209">
        <v>3456</v>
      </c>
      <c r="AA209">
        <v>0.5</v>
      </c>
      <c r="AB209">
        <v>1728</v>
      </c>
      <c r="AC209">
        <v>1728</v>
      </c>
      <c r="AD209">
        <v>2290</v>
      </c>
      <c r="AE209">
        <v>1.44</v>
      </c>
      <c r="AF209">
        <v>1.44</v>
      </c>
      <c r="AG209">
        <v>1728</v>
      </c>
      <c r="AH209">
        <v>1728</v>
      </c>
      <c r="AI209">
        <v>2304</v>
      </c>
      <c r="AJ209">
        <v>5.84</v>
      </c>
      <c r="AK209">
        <v>666</v>
      </c>
      <c r="AL209">
        <v>666</v>
      </c>
      <c r="AM209">
        <v>2680</v>
      </c>
      <c r="AN209">
        <v>2680</v>
      </c>
      <c r="AO209">
        <v>114.041095890411</v>
      </c>
      <c r="AP209">
        <v>28.8</v>
      </c>
      <c r="AQ209">
        <v>0.48</v>
      </c>
      <c r="AR209">
        <v>2304</v>
      </c>
      <c r="AS209">
        <v>86500</v>
      </c>
      <c r="AT209">
        <v>22000</v>
      </c>
    </row>
    <row r="210" spans="1:46">
      <c r="A210" t="s">
        <v>344</v>
      </c>
      <c r="B210">
        <v>7</v>
      </c>
      <c r="C210" t="s">
        <v>353</v>
      </c>
      <c r="D210">
        <v>1</v>
      </c>
      <c r="E210">
        <v>0</v>
      </c>
      <c r="F210">
        <v>0</v>
      </c>
      <c r="G210">
        <v>1</v>
      </c>
      <c r="H210">
        <v>0</v>
      </c>
      <c r="I210">
        <v>3</v>
      </c>
      <c r="J210">
        <v>3</v>
      </c>
      <c r="K210">
        <v>0</v>
      </c>
      <c r="L210">
        <v>0</v>
      </c>
      <c r="M210">
        <v>43000</v>
      </c>
      <c r="N210">
        <v>43000</v>
      </c>
      <c r="O210">
        <v>0</v>
      </c>
      <c r="P210">
        <v>10500</v>
      </c>
      <c r="Q210">
        <v>0</v>
      </c>
      <c r="R210">
        <v>43000</v>
      </c>
      <c r="S210">
        <v>43000</v>
      </c>
      <c r="T210">
        <v>0</v>
      </c>
      <c r="U210">
        <v>86000</v>
      </c>
      <c r="V210">
        <v>86000</v>
      </c>
      <c r="W210">
        <v>168400</v>
      </c>
      <c r="X210">
        <v>8.6</v>
      </c>
      <c r="Y210">
        <v>8.6</v>
      </c>
      <c r="Z210">
        <v>6912</v>
      </c>
      <c r="AA210">
        <v>0.8</v>
      </c>
      <c r="AB210">
        <v>5530</v>
      </c>
      <c r="AC210">
        <v>5530</v>
      </c>
      <c r="AD210">
        <v>7820</v>
      </c>
      <c r="AE210">
        <v>4.6083333333333298</v>
      </c>
      <c r="AF210">
        <v>4.6083333333333298</v>
      </c>
      <c r="AG210">
        <v>5530</v>
      </c>
      <c r="AH210">
        <v>5530</v>
      </c>
      <c r="AI210">
        <v>7834</v>
      </c>
      <c r="AJ210">
        <v>13.2083333333333</v>
      </c>
      <c r="AK210">
        <v>801</v>
      </c>
      <c r="AL210">
        <v>801</v>
      </c>
      <c r="AM210">
        <v>3480</v>
      </c>
      <c r="AN210">
        <v>3480</v>
      </c>
      <c r="AO210">
        <v>60.643533123028398</v>
      </c>
      <c r="AP210">
        <v>92.1666666666667</v>
      </c>
      <c r="AQ210">
        <v>1.5361111111111101</v>
      </c>
      <c r="AR210">
        <v>7834</v>
      </c>
      <c r="AS210">
        <v>172500</v>
      </c>
      <c r="AT210">
        <v>43000</v>
      </c>
    </row>
    <row r="211" spans="1:46">
      <c r="A211" t="s">
        <v>344</v>
      </c>
      <c r="B211">
        <v>8</v>
      </c>
      <c r="C211" t="s">
        <v>354</v>
      </c>
      <c r="D211">
        <v>1</v>
      </c>
      <c r="E211">
        <v>0</v>
      </c>
      <c r="F211">
        <v>0</v>
      </c>
      <c r="G211">
        <v>1</v>
      </c>
      <c r="H211">
        <v>0</v>
      </c>
      <c r="I211">
        <v>3</v>
      </c>
      <c r="J211">
        <v>3</v>
      </c>
      <c r="K211">
        <v>0</v>
      </c>
      <c r="L211">
        <v>0</v>
      </c>
      <c r="M211">
        <v>86000</v>
      </c>
      <c r="N211">
        <v>86000</v>
      </c>
      <c r="O211">
        <v>0</v>
      </c>
      <c r="P211">
        <v>21500</v>
      </c>
      <c r="Q211">
        <v>0</v>
      </c>
      <c r="R211">
        <v>86000</v>
      </c>
      <c r="S211">
        <v>86000</v>
      </c>
      <c r="T211">
        <v>0</v>
      </c>
      <c r="U211">
        <v>172000</v>
      </c>
      <c r="V211">
        <v>172000</v>
      </c>
      <c r="W211">
        <v>340400</v>
      </c>
      <c r="X211">
        <v>17.2</v>
      </c>
      <c r="Y211">
        <v>17.2</v>
      </c>
      <c r="Z211">
        <v>13824</v>
      </c>
      <c r="AA211">
        <v>1</v>
      </c>
      <c r="AB211">
        <v>13824</v>
      </c>
      <c r="AC211">
        <v>13824</v>
      </c>
      <c r="AD211">
        <v>21644</v>
      </c>
      <c r="AE211">
        <v>11.52</v>
      </c>
      <c r="AF211">
        <v>11.52</v>
      </c>
      <c r="AG211">
        <v>13824</v>
      </c>
      <c r="AH211">
        <v>13824</v>
      </c>
      <c r="AI211">
        <v>21658</v>
      </c>
      <c r="AJ211">
        <v>28.72</v>
      </c>
      <c r="AK211">
        <v>990</v>
      </c>
      <c r="AL211">
        <v>990</v>
      </c>
      <c r="AM211">
        <v>4470</v>
      </c>
      <c r="AN211">
        <v>4470</v>
      </c>
      <c r="AO211">
        <v>34.470752089136496</v>
      </c>
      <c r="AP211">
        <v>230.4</v>
      </c>
      <c r="AQ211">
        <v>3.84</v>
      </c>
      <c r="AR211">
        <v>21658</v>
      </c>
      <c r="AS211">
        <v>344500</v>
      </c>
      <c r="AT211">
        <v>86000</v>
      </c>
    </row>
    <row r="212" spans="1:46">
      <c r="A212" t="s">
        <v>344</v>
      </c>
      <c r="B212">
        <v>9</v>
      </c>
      <c r="C212" t="s">
        <v>355</v>
      </c>
      <c r="D212">
        <v>1</v>
      </c>
      <c r="E212">
        <v>0</v>
      </c>
      <c r="F212">
        <v>0</v>
      </c>
      <c r="G212">
        <v>1</v>
      </c>
      <c r="H212">
        <v>0</v>
      </c>
      <c r="I212">
        <v>3</v>
      </c>
      <c r="J212">
        <v>3</v>
      </c>
      <c r="K212">
        <v>0</v>
      </c>
      <c r="L212">
        <v>0</v>
      </c>
      <c r="M212">
        <v>150000</v>
      </c>
      <c r="N212">
        <v>150000</v>
      </c>
      <c r="O212">
        <v>0</v>
      </c>
      <c r="P212">
        <v>32000</v>
      </c>
      <c r="Q212">
        <v>0</v>
      </c>
      <c r="R212">
        <v>150000</v>
      </c>
      <c r="S212">
        <v>150000</v>
      </c>
      <c r="T212">
        <v>0</v>
      </c>
      <c r="U212">
        <v>300000</v>
      </c>
      <c r="V212">
        <v>300000</v>
      </c>
      <c r="W212">
        <v>640400</v>
      </c>
      <c r="X212">
        <v>30</v>
      </c>
      <c r="Y212">
        <v>30</v>
      </c>
      <c r="Z212">
        <v>23501</v>
      </c>
      <c r="AA212">
        <v>1</v>
      </c>
      <c r="AB212">
        <v>23501</v>
      </c>
      <c r="AC212">
        <v>23501</v>
      </c>
      <c r="AD212">
        <v>45145</v>
      </c>
      <c r="AE212">
        <v>19.5841666666667</v>
      </c>
      <c r="AF212">
        <v>19.5841666666667</v>
      </c>
      <c r="AG212">
        <v>23501</v>
      </c>
      <c r="AH212">
        <v>23501</v>
      </c>
      <c r="AI212">
        <v>45159</v>
      </c>
      <c r="AJ212">
        <v>49.584166666666697</v>
      </c>
      <c r="AK212">
        <v>1170</v>
      </c>
      <c r="AL212">
        <v>1170</v>
      </c>
      <c r="AM212">
        <v>5640</v>
      </c>
      <c r="AN212">
        <v>5640</v>
      </c>
      <c r="AO212">
        <v>23.596242079964998</v>
      </c>
      <c r="AP212">
        <v>391.683333333333</v>
      </c>
      <c r="AQ212">
        <v>6.5280555555555599</v>
      </c>
      <c r="AR212">
        <v>45159</v>
      </c>
      <c r="AS212">
        <v>644500</v>
      </c>
      <c r="AT212">
        <v>150000</v>
      </c>
    </row>
    <row r="213" spans="1:46">
      <c r="A213" t="s">
        <v>344</v>
      </c>
      <c r="B213">
        <v>10</v>
      </c>
      <c r="C213" t="s">
        <v>356</v>
      </c>
      <c r="D213">
        <v>1</v>
      </c>
      <c r="E213">
        <v>0</v>
      </c>
      <c r="F213">
        <v>0</v>
      </c>
      <c r="G213">
        <v>1</v>
      </c>
      <c r="H213">
        <v>0</v>
      </c>
      <c r="I213">
        <v>3</v>
      </c>
      <c r="J213">
        <v>3</v>
      </c>
      <c r="K213">
        <v>0</v>
      </c>
      <c r="L213">
        <v>0</v>
      </c>
      <c r="M213">
        <v>250000</v>
      </c>
      <c r="N213">
        <v>250000</v>
      </c>
      <c r="O213">
        <v>0</v>
      </c>
      <c r="P213">
        <v>50000</v>
      </c>
      <c r="Q213">
        <v>0</v>
      </c>
      <c r="R213">
        <v>250000</v>
      </c>
      <c r="S213">
        <v>250000</v>
      </c>
      <c r="T213">
        <v>0</v>
      </c>
      <c r="U213">
        <v>500000</v>
      </c>
      <c r="V213">
        <v>500000</v>
      </c>
      <c r="W213">
        <v>1140400</v>
      </c>
      <c r="X213">
        <v>50</v>
      </c>
      <c r="Y213">
        <v>50</v>
      </c>
      <c r="Z213">
        <v>37601</v>
      </c>
      <c r="AA213">
        <v>1</v>
      </c>
      <c r="AB213">
        <v>37601</v>
      </c>
      <c r="AC213">
        <v>37601</v>
      </c>
      <c r="AD213">
        <v>82746</v>
      </c>
      <c r="AE213">
        <v>31.3341666666667</v>
      </c>
      <c r="AF213">
        <v>31.3341666666667</v>
      </c>
      <c r="AG213">
        <v>37601</v>
      </c>
      <c r="AH213">
        <v>37601</v>
      </c>
      <c r="AI213">
        <v>82760</v>
      </c>
      <c r="AJ213">
        <v>81.334166666666704</v>
      </c>
      <c r="AK213">
        <v>1440</v>
      </c>
      <c r="AL213">
        <v>1440</v>
      </c>
      <c r="AM213">
        <v>7080</v>
      </c>
      <c r="AN213">
        <v>7080</v>
      </c>
      <c r="AO213">
        <v>17.704736631796798</v>
      </c>
      <c r="AP213">
        <v>626.68333333333305</v>
      </c>
      <c r="AQ213">
        <v>10.4447222222222</v>
      </c>
      <c r="AR213">
        <v>82760</v>
      </c>
      <c r="AS213">
        <v>1144500</v>
      </c>
      <c r="AT213">
        <v>250000</v>
      </c>
    </row>
    <row r="214" spans="1:46">
      <c r="A214" t="s">
        <v>344</v>
      </c>
      <c r="B214">
        <v>11</v>
      </c>
      <c r="C214" t="s">
        <v>357</v>
      </c>
      <c r="D214">
        <v>1</v>
      </c>
      <c r="E214">
        <v>0</v>
      </c>
      <c r="F214">
        <v>0</v>
      </c>
      <c r="G214">
        <v>1</v>
      </c>
      <c r="H214">
        <v>0</v>
      </c>
      <c r="I214">
        <v>3</v>
      </c>
      <c r="J214">
        <v>3</v>
      </c>
      <c r="K214">
        <v>3</v>
      </c>
      <c r="L214">
        <v>0</v>
      </c>
      <c r="M214">
        <v>270000</v>
      </c>
      <c r="N214">
        <v>270000</v>
      </c>
      <c r="O214">
        <v>270000</v>
      </c>
      <c r="P214">
        <v>77500</v>
      </c>
      <c r="Q214">
        <v>0</v>
      </c>
      <c r="R214">
        <v>270000</v>
      </c>
      <c r="S214">
        <v>270000</v>
      </c>
      <c r="T214">
        <v>270000</v>
      </c>
      <c r="U214">
        <v>810000</v>
      </c>
      <c r="V214">
        <v>810000</v>
      </c>
      <c r="W214">
        <v>1950400</v>
      </c>
      <c r="X214">
        <v>81</v>
      </c>
      <c r="Y214">
        <v>81</v>
      </c>
      <c r="Z214">
        <v>50762</v>
      </c>
      <c r="AA214">
        <v>1</v>
      </c>
      <c r="AB214">
        <v>50762</v>
      </c>
      <c r="AC214">
        <v>50762</v>
      </c>
      <c r="AD214">
        <v>133508</v>
      </c>
      <c r="AE214">
        <v>42.301666666666698</v>
      </c>
      <c r="AF214">
        <v>42.301666666666698</v>
      </c>
      <c r="AG214">
        <v>50762</v>
      </c>
      <c r="AH214">
        <v>50762</v>
      </c>
      <c r="AI214">
        <v>133522</v>
      </c>
      <c r="AJ214">
        <v>123.301666666667</v>
      </c>
      <c r="AK214">
        <v>1980</v>
      </c>
      <c r="AL214">
        <v>1980</v>
      </c>
      <c r="AM214">
        <v>9060</v>
      </c>
      <c r="AN214">
        <v>9060</v>
      </c>
      <c r="AO214">
        <v>16.058177099525601</v>
      </c>
      <c r="AP214">
        <v>846.03333333333296</v>
      </c>
      <c r="AQ214">
        <v>14.1005555555556</v>
      </c>
      <c r="AR214">
        <v>133522</v>
      </c>
      <c r="AS214">
        <v>1954500</v>
      </c>
      <c r="AT214">
        <v>270000</v>
      </c>
    </row>
    <row r="215" spans="1:46">
      <c r="A215" t="s">
        <v>344</v>
      </c>
      <c r="B215">
        <v>12</v>
      </c>
      <c r="C215" t="s">
        <v>358</v>
      </c>
      <c r="D215">
        <v>1</v>
      </c>
      <c r="E215">
        <v>0</v>
      </c>
      <c r="F215">
        <v>0</v>
      </c>
      <c r="G215">
        <v>1</v>
      </c>
      <c r="H215">
        <v>0</v>
      </c>
      <c r="I215">
        <v>3</v>
      </c>
      <c r="J215">
        <v>3</v>
      </c>
      <c r="K215">
        <v>3</v>
      </c>
      <c r="L215">
        <v>0</v>
      </c>
      <c r="M215">
        <v>430000</v>
      </c>
      <c r="N215">
        <v>430000</v>
      </c>
      <c r="O215">
        <v>430000</v>
      </c>
      <c r="P215">
        <v>120000</v>
      </c>
      <c r="Q215">
        <v>0</v>
      </c>
      <c r="R215">
        <v>430000</v>
      </c>
      <c r="S215">
        <v>430000</v>
      </c>
      <c r="T215">
        <v>430000</v>
      </c>
      <c r="U215">
        <v>1290000</v>
      </c>
      <c r="V215">
        <v>1290000</v>
      </c>
      <c r="W215">
        <v>3240400</v>
      </c>
      <c r="X215">
        <v>129</v>
      </c>
      <c r="Y215">
        <v>129</v>
      </c>
      <c r="Z215">
        <v>68528</v>
      </c>
      <c r="AA215">
        <v>1</v>
      </c>
      <c r="AB215">
        <v>68528</v>
      </c>
      <c r="AC215">
        <v>68528</v>
      </c>
      <c r="AD215">
        <v>202036</v>
      </c>
      <c r="AE215">
        <v>57.106666666666698</v>
      </c>
      <c r="AF215">
        <v>57.106666666666698</v>
      </c>
      <c r="AG215">
        <v>68528</v>
      </c>
      <c r="AH215">
        <v>68528</v>
      </c>
      <c r="AI215">
        <v>202050</v>
      </c>
      <c r="AJ215">
        <v>186.106666666667</v>
      </c>
      <c r="AK215">
        <v>2700</v>
      </c>
      <c r="AL215">
        <v>2700</v>
      </c>
      <c r="AM215">
        <v>11760</v>
      </c>
      <c r="AN215">
        <v>11760</v>
      </c>
      <c r="AO215">
        <v>14.507809141710799</v>
      </c>
      <c r="AP215">
        <v>1142.13333333333</v>
      </c>
      <c r="AQ215">
        <v>19.0355555555556</v>
      </c>
      <c r="AR215">
        <v>202050</v>
      </c>
      <c r="AS215">
        <v>3244500</v>
      </c>
      <c r="AT215">
        <v>430000</v>
      </c>
    </row>
    <row r="216" spans="1:46">
      <c r="A216" t="s">
        <v>344</v>
      </c>
      <c r="B216">
        <v>13</v>
      </c>
      <c r="C216" t="s">
        <v>359</v>
      </c>
      <c r="D216">
        <v>1</v>
      </c>
      <c r="E216">
        <v>0</v>
      </c>
      <c r="F216">
        <v>0</v>
      </c>
      <c r="G216">
        <v>1</v>
      </c>
      <c r="H216">
        <v>0</v>
      </c>
      <c r="I216">
        <v>3</v>
      </c>
      <c r="J216">
        <v>3</v>
      </c>
      <c r="K216">
        <v>3</v>
      </c>
      <c r="L216">
        <v>0</v>
      </c>
      <c r="M216">
        <v>680000</v>
      </c>
      <c r="N216">
        <v>680000</v>
      </c>
      <c r="O216">
        <v>680000</v>
      </c>
      <c r="P216">
        <v>187500</v>
      </c>
      <c r="Q216">
        <v>0</v>
      </c>
      <c r="R216">
        <v>680000</v>
      </c>
      <c r="S216">
        <v>680000</v>
      </c>
      <c r="T216">
        <v>680000</v>
      </c>
      <c r="U216">
        <v>2040000</v>
      </c>
      <c r="V216">
        <v>2040000</v>
      </c>
      <c r="W216">
        <v>5280400</v>
      </c>
      <c r="X216">
        <v>204</v>
      </c>
      <c r="Y216">
        <v>204</v>
      </c>
      <c r="Z216">
        <v>92513</v>
      </c>
      <c r="AA216">
        <v>1</v>
      </c>
      <c r="AB216">
        <v>92513</v>
      </c>
      <c r="AC216">
        <v>92513</v>
      </c>
      <c r="AD216">
        <v>294549</v>
      </c>
      <c r="AE216">
        <v>77.094166666666695</v>
      </c>
      <c r="AF216">
        <v>77.094166666666695</v>
      </c>
      <c r="AG216">
        <v>92513</v>
      </c>
      <c r="AH216">
        <v>92513</v>
      </c>
      <c r="AI216">
        <v>294563</v>
      </c>
      <c r="AJ216">
        <v>281.09416666666698</v>
      </c>
      <c r="AK216">
        <v>3690</v>
      </c>
      <c r="AL216">
        <v>3690</v>
      </c>
      <c r="AM216">
        <v>15450</v>
      </c>
      <c r="AN216">
        <v>15450</v>
      </c>
      <c r="AO216">
        <v>13.1272734818996</v>
      </c>
      <c r="AP216">
        <v>1541.88333333333</v>
      </c>
      <c r="AQ216">
        <v>25.698055555555602</v>
      </c>
      <c r="AR216">
        <v>294563</v>
      </c>
      <c r="AS216">
        <v>5284500</v>
      </c>
      <c r="AT216">
        <v>680000</v>
      </c>
    </row>
    <row r="217" spans="1:46">
      <c r="A217" t="s">
        <v>344</v>
      </c>
      <c r="B217">
        <v>14</v>
      </c>
      <c r="C217" t="s">
        <v>360</v>
      </c>
      <c r="D217">
        <v>1</v>
      </c>
      <c r="E217">
        <v>0</v>
      </c>
      <c r="F217">
        <v>0</v>
      </c>
      <c r="G217">
        <v>1</v>
      </c>
      <c r="H217">
        <v>0</v>
      </c>
      <c r="I217">
        <v>3</v>
      </c>
      <c r="J217">
        <v>3</v>
      </c>
      <c r="K217">
        <v>3</v>
      </c>
      <c r="L217">
        <v>0</v>
      </c>
      <c r="M217">
        <v>1100000</v>
      </c>
      <c r="N217">
        <v>1100000</v>
      </c>
      <c r="O217">
        <v>1100000</v>
      </c>
      <c r="P217">
        <v>315000</v>
      </c>
      <c r="Q217">
        <v>0</v>
      </c>
      <c r="R217">
        <v>1100000</v>
      </c>
      <c r="S217">
        <v>1100000</v>
      </c>
      <c r="T217">
        <v>1100000</v>
      </c>
      <c r="U217">
        <v>3300000</v>
      </c>
      <c r="V217">
        <v>3300000</v>
      </c>
      <c r="W217">
        <v>8580400</v>
      </c>
      <c r="X217">
        <v>330</v>
      </c>
      <c r="Y217">
        <v>330</v>
      </c>
      <c r="Z217">
        <v>124893</v>
      </c>
      <c r="AA217">
        <v>1</v>
      </c>
      <c r="AB217">
        <v>124893</v>
      </c>
      <c r="AC217">
        <v>124893</v>
      </c>
      <c r="AD217">
        <v>419442</v>
      </c>
      <c r="AE217">
        <v>104.0775</v>
      </c>
      <c r="AF217">
        <v>104.0775</v>
      </c>
      <c r="AG217">
        <v>124893</v>
      </c>
      <c r="AH217">
        <v>124893</v>
      </c>
      <c r="AI217">
        <v>419456</v>
      </c>
      <c r="AJ217">
        <v>434.07749999999999</v>
      </c>
      <c r="AK217">
        <v>4950</v>
      </c>
      <c r="AL217">
        <v>4950</v>
      </c>
      <c r="AM217">
        <v>20400</v>
      </c>
      <c r="AN217">
        <v>20400</v>
      </c>
      <c r="AO217">
        <v>11.403493615771399</v>
      </c>
      <c r="AP217">
        <v>2081.5500000000002</v>
      </c>
      <c r="AQ217">
        <v>34.692500000000003</v>
      </c>
      <c r="AR217">
        <v>419456</v>
      </c>
      <c r="AS217">
        <v>8584500</v>
      </c>
      <c r="AT217">
        <v>1100000</v>
      </c>
    </row>
    <row r="218" spans="1:46">
      <c r="A218" t="s">
        <v>344</v>
      </c>
      <c r="B218">
        <v>15</v>
      </c>
      <c r="C218" t="s">
        <v>361</v>
      </c>
      <c r="D218">
        <v>1</v>
      </c>
      <c r="E218">
        <v>0</v>
      </c>
      <c r="F218">
        <v>0</v>
      </c>
      <c r="G218">
        <v>1</v>
      </c>
      <c r="H218">
        <v>0</v>
      </c>
      <c r="I218">
        <v>3</v>
      </c>
      <c r="J218">
        <v>3</v>
      </c>
      <c r="K218">
        <v>3</v>
      </c>
      <c r="L218">
        <v>0</v>
      </c>
      <c r="M218">
        <v>1600000</v>
      </c>
      <c r="N218">
        <v>1600000</v>
      </c>
      <c r="O218">
        <v>1600000</v>
      </c>
      <c r="P218">
        <v>375000</v>
      </c>
      <c r="Q218">
        <v>0</v>
      </c>
      <c r="R218">
        <v>1600000</v>
      </c>
      <c r="S218">
        <v>1600000</v>
      </c>
      <c r="T218">
        <v>1600000</v>
      </c>
      <c r="U218">
        <v>4800000</v>
      </c>
      <c r="V218">
        <v>4800000</v>
      </c>
      <c r="W218">
        <v>13380400</v>
      </c>
      <c r="X218">
        <v>480</v>
      </c>
      <c r="Y218">
        <v>480</v>
      </c>
      <c r="Z218">
        <v>168605</v>
      </c>
      <c r="AA218">
        <v>1</v>
      </c>
      <c r="AB218">
        <v>168605</v>
      </c>
      <c r="AC218">
        <v>168605</v>
      </c>
      <c r="AD218">
        <v>588047</v>
      </c>
      <c r="AE218">
        <v>140.504166666667</v>
      </c>
      <c r="AF218">
        <v>140.504166666667</v>
      </c>
      <c r="AG218">
        <v>168605</v>
      </c>
      <c r="AH218">
        <v>168605</v>
      </c>
      <c r="AI218">
        <v>588061</v>
      </c>
      <c r="AJ218">
        <v>620.50416666666695</v>
      </c>
      <c r="AK218">
        <v>6660</v>
      </c>
      <c r="AL218">
        <v>6660</v>
      </c>
      <c r="AM218">
        <v>27060</v>
      </c>
      <c r="AN218">
        <v>27060</v>
      </c>
      <c r="AO218">
        <v>10.733207539567999</v>
      </c>
      <c r="AP218">
        <v>2810.0833333333298</v>
      </c>
      <c r="AQ218">
        <v>46.834722222222197</v>
      </c>
      <c r="AR218">
        <v>588061</v>
      </c>
      <c r="AS218">
        <v>13384500</v>
      </c>
      <c r="AT218">
        <v>1600000</v>
      </c>
    </row>
    <row r="219" spans="1:46">
      <c r="A219" t="s">
        <v>344</v>
      </c>
      <c r="B219">
        <v>16</v>
      </c>
      <c r="C219" t="s">
        <v>362</v>
      </c>
      <c r="D219">
        <v>1</v>
      </c>
      <c r="E219">
        <v>0</v>
      </c>
      <c r="F219">
        <v>0</v>
      </c>
      <c r="G219">
        <v>1</v>
      </c>
      <c r="H219">
        <v>0</v>
      </c>
      <c r="I219">
        <v>3</v>
      </c>
      <c r="J219">
        <v>3</v>
      </c>
      <c r="K219">
        <v>3</v>
      </c>
      <c r="L219">
        <v>0</v>
      </c>
      <c r="M219">
        <v>2200000</v>
      </c>
      <c r="N219">
        <v>2200000</v>
      </c>
      <c r="O219">
        <v>2200000</v>
      </c>
      <c r="P219">
        <v>450000</v>
      </c>
      <c r="Q219">
        <v>0</v>
      </c>
      <c r="R219">
        <v>2200000</v>
      </c>
      <c r="S219">
        <v>2200000</v>
      </c>
      <c r="T219">
        <v>2200000</v>
      </c>
      <c r="U219">
        <v>6600000</v>
      </c>
      <c r="V219">
        <v>6600000</v>
      </c>
      <c r="W219">
        <v>19980400</v>
      </c>
      <c r="X219">
        <v>660</v>
      </c>
      <c r="Y219">
        <v>660</v>
      </c>
      <c r="Z219">
        <v>227617</v>
      </c>
      <c r="AA219">
        <v>1</v>
      </c>
      <c r="AB219">
        <v>227617</v>
      </c>
      <c r="AC219">
        <v>227617</v>
      </c>
      <c r="AD219">
        <v>815664</v>
      </c>
      <c r="AE219">
        <v>189.680833333333</v>
      </c>
      <c r="AF219">
        <v>189.680833333333</v>
      </c>
      <c r="AG219">
        <v>227617</v>
      </c>
      <c r="AH219">
        <v>227617</v>
      </c>
      <c r="AI219">
        <v>815678</v>
      </c>
      <c r="AJ219">
        <v>849.680833333333</v>
      </c>
      <c r="AK219">
        <v>9000</v>
      </c>
      <c r="AL219">
        <v>9000</v>
      </c>
      <c r="AM219">
        <v>36060</v>
      </c>
      <c r="AN219">
        <v>36060</v>
      </c>
      <c r="AO219">
        <v>10.592212566091</v>
      </c>
      <c r="AP219">
        <v>3793.61666666667</v>
      </c>
      <c r="AQ219">
        <v>63.226944444444399</v>
      </c>
      <c r="AR219">
        <v>815678</v>
      </c>
      <c r="AS219">
        <v>19984500</v>
      </c>
      <c r="AT219">
        <v>2200000</v>
      </c>
    </row>
    <row r="220" spans="1:46">
      <c r="A220" t="s">
        <v>344</v>
      </c>
      <c r="B220">
        <v>17</v>
      </c>
      <c r="C220" t="s">
        <v>365</v>
      </c>
      <c r="D220">
        <v>1</v>
      </c>
      <c r="E220">
        <v>0</v>
      </c>
      <c r="F220">
        <v>0</v>
      </c>
      <c r="G220">
        <v>1</v>
      </c>
      <c r="H220">
        <v>0</v>
      </c>
      <c r="I220">
        <v>3</v>
      </c>
      <c r="J220">
        <v>3</v>
      </c>
      <c r="K220">
        <v>3</v>
      </c>
      <c r="L220">
        <v>0</v>
      </c>
      <c r="M220">
        <v>2900000</v>
      </c>
      <c r="N220">
        <v>2900000</v>
      </c>
      <c r="O220">
        <v>2900000</v>
      </c>
      <c r="P220">
        <v>525000</v>
      </c>
      <c r="Q220">
        <v>0</v>
      </c>
      <c r="R220">
        <v>2900000</v>
      </c>
      <c r="S220">
        <v>2900000</v>
      </c>
      <c r="T220">
        <v>2900000</v>
      </c>
      <c r="U220">
        <v>8700000</v>
      </c>
      <c r="V220">
        <v>8700000</v>
      </c>
      <c r="W220">
        <v>28680400</v>
      </c>
      <c r="X220">
        <v>870</v>
      </c>
      <c r="Y220">
        <v>870</v>
      </c>
      <c r="Z220">
        <v>307283</v>
      </c>
      <c r="AA220">
        <v>1</v>
      </c>
      <c r="AB220">
        <v>307283</v>
      </c>
      <c r="AC220">
        <v>307283</v>
      </c>
      <c r="AD220">
        <v>1122947</v>
      </c>
      <c r="AE220">
        <v>256.069166666667</v>
      </c>
      <c r="AF220">
        <v>256.069166666667</v>
      </c>
      <c r="AG220">
        <v>307283</v>
      </c>
      <c r="AH220">
        <v>307283</v>
      </c>
      <c r="AI220">
        <v>1122961</v>
      </c>
      <c r="AJ220">
        <v>1126.0691666666701</v>
      </c>
      <c r="AK220">
        <v>12600</v>
      </c>
      <c r="AL220">
        <v>12600</v>
      </c>
      <c r="AM220">
        <v>48660</v>
      </c>
      <c r="AN220">
        <v>48660</v>
      </c>
      <c r="AO220">
        <v>11.1893659581302</v>
      </c>
      <c r="AP220">
        <v>5121.3833333333296</v>
      </c>
      <c r="AQ220">
        <v>85.356388888888901</v>
      </c>
      <c r="AR220">
        <v>1122961</v>
      </c>
      <c r="AS220">
        <v>28684500</v>
      </c>
      <c r="AT220">
        <v>2900000</v>
      </c>
    </row>
    <row r="221" spans="1:46">
      <c r="A221" t="s">
        <v>344</v>
      </c>
      <c r="B221">
        <v>18</v>
      </c>
      <c r="C221" t="s">
        <v>366</v>
      </c>
      <c r="D221">
        <v>1</v>
      </c>
      <c r="E221">
        <v>0</v>
      </c>
      <c r="F221">
        <v>0</v>
      </c>
      <c r="G221">
        <v>1</v>
      </c>
      <c r="H221">
        <v>0</v>
      </c>
      <c r="I221">
        <v>3</v>
      </c>
      <c r="J221">
        <v>3</v>
      </c>
      <c r="K221">
        <v>3</v>
      </c>
      <c r="L221">
        <v>0</v>
      </c>
      <c r="M221">
        <v>3800000</v>
      </c>
      <c r="N221">
        <v>3800000</v>
      </c>
      <c r="O221">
        <v>3800000</v>
      </c>
      <c r="P221">
        <v>675000</v>
      </c>
      <c r="Q221">
        <v>0</v>
      </c>
      <c r="R221">
        <v>3800000</v>
      </c>
      <c r="S221">
        <v>3800000</v>
      </c>
      <c r="T221">
        <v>3800000</v>
      </c>
      <c r="U221">
        <v>11400000</v>
      </c>
      <c r="V221">
        <v>11400000</v>
      </c>
      <c r="W221">
        <v>40080400</v>
      </c>
      <c r="X221">
        <v>1140</v>
      </c>
      <c r="Y221">
        <v>1140</v>
      </c>
      <c r="Z221">
        <v>414833</v>
      </c>
      <c r="AA221">
        <v>1</v>
      </c>
      <c r="AB221">
        <v>414833</v>
      </c>
      <c r="AC221">
        <v>414833</v>
      </c>
      <c r="AD221">
        <v>1537780</v>
      </c>
      <c r="AE221">
        <v>345.694166666667</v>
      </c>
      <c r="AF221">
        <v>345.694166666667</v>
      </c>
      <c r="AG221">
        <v>414833</v>
      </c>
      <c r="AH221">
        <v>414833</v>
      </c>
      <c r="AI221">
        <v>1537794</v>
      </c>
      <c r="AJ221">
        <v>1485.6941666666701</v>
      </c>
      <c r="AK221">
        <v>17100</v>
      </c>
      <c r="AL221">
        <v>17100</v>
      </c>
      <c r="AM221">
        <v>65760</v>
      </c>
      <c r="AN221">
        <v>65760</v>
      </c>
      <c r="AO221">
        <v>11.509771246101</v>
      </c>
      <c r="AP221">
        <v>6913.8833333333296</v>
      </c>
      <c r="AQ221">
        <v>115.231388888889</v>
      </c>
      <c r="AR221">
        <v>1537794</v>
      </c>
      <c r="AS221">
        <v>40084500</v>
      </c>
      <c r="AT221">
        <v>3800000</v>
      </c>
    </row>
    <row r="222" spans="1:46">
      <c r="A222" t="s">
        <v>344</v>
      </c>
      <c r="B222">
        <v>19</v>
      </c>
      <c r="C222" t="s">
        <v>367</v>
      </c>
      <c r="D222">
        <v>1</v>
      </c>
      <c r="E222">
        <v>0</v>
      </c>
      <c r="F222">
        <v>0</v>
      </c>
      <c r="G222">
        <v>1</v>
      </c>
      <c r="H222">
        <v>0</v>
      </c>
      <c r="I222">
        <v>3</v>
      </c>
      <c r="J222">
        <v>3</v>
      </c>
      <c r="K222">
        <v>3</v>
      </c>
      <c r="L222">
        <v>0</v>
      </c>
      <c r="M222">
        <v>4900000</v>
      </c>
      <c r="N222">
        <v>4900000</v>
      </c>
      <c r="O222">
        <v>4900000</v>
      </c>
      <c r="P222">
        <v>825000</v>
      </c>
      <c r="Q222">
        <v>0</v>
      </c>
      <c r="R222">
        <v>4900000</v>
      </c>
      <c r="S222">
        <v>4900000</v>
      </c>
      <c r="T222">
        <v>4900000</v>
      </c>
      <c r="U222">
        <v>14700000</v>
      </c>
      <c r="V222">
        <v>14700000</v>
      </c>
      <c r="W222">
        <v>54780400</v>
      </c>
      <c r="X222">
        <v>1470</v>
      </c>
      <c r="Y222">
        <v>1470</v>
      </c>
      <c r="Z222">
        <v>622249</v>
      </c>
      <c r="AA222">
        <v>1</v>
      </c>
      <c r="AB222">
        <v>622249</v>
      </c>
      <c r="AC222">
        <v>622249</v>
      </c>
      <c r="AD222">
        <v>2160029</v>
      </c>
      <c r="AE222">
        <v>518.54083333333301</v>
      </c>
      <c r="AF222">
        <v>518.54083333333301</v>
      </c>
      <c r="AG222">
        <v>622249</v>
      </c>
      <c r="AH222">
        <v>622249</v>
      </c>
      <c r="AI222">
        <v>2160043</v>
      </c>
      <c r="AJ222">
        <v>1988.5408333333301</v>
      </c>
      <c r="AK222">
        <v>23400</v>
      </c>
      <c r="AL222">
        <v>23400</v>
      </c>
      <c r="AM222">
        <v>89160</v>
      </c>
      <c r="AN222">
        <v>89160</v>
      </c>
      <c r="AO222">
        <v>11.767422427416401</v>
      </c>
      <c r="AP222">
        <v>10370.8166666667</v>
      </c>
      <c r="AQ222">
        <v>172.84694444444401</v>
      </c>
      <c r="AR222">
        <v>2160043</v>
      </c>
      <c r="AS222">
        <v>54784500</v>
      </c>
      <c r="AT222">
        <v>4900000</v>
      </c>
    </row>
    <row r="223" spans="1:46">
      <c r="A223" t="s">
        <v>344</v>
      </c>
      <c r="B223">
        <v>20</v>
      </c>
      <c r="C223" t="s">
        <v>368</v>
      </c>
      <c r="D223">
        <v>1</v>
      </c>
      <c r="E223">
        <v>0</v>
      </c>
      <c r="F223">
        <v>0</v>
      </c>
      <c r="G223">
        <v>1</v>
      </c>
      <c r="H223">
        <v>0</v>
      </c>
      <c r="I223">
        <v>3</v>
      </c>
      <c r="J223">
        <v>3</v>
      </c>
      <c r="K223">
        <v>3</v>
      </c>
      <c r="L223">
        <v>0</v>
      </c>
      <c r="M223">
        <v>6400000</v>
      </c>
      <c r="N223">
        <v>6400000</v>
      </c>
      <c r="O223">
        <v>6400000</v>
      </c>
      <c r="P223">
        <v>1125000</v>
      </c>
      <c r="Q223">
        <v>0</v>
      </c>
      <c r="R223">
        <v>6400000</v>
      </c>
      <c r="S223">
        <v>6400000</v>
      </c>
      <c r="T223">
        <v>6400000</v>
      </c>
      <c r="U223">
        <v>19200000</v>
      </c>
      <c r="V223">
        <v>19200000</v>
      </c>
      <c r="W223">
        <v>73980400</v>
      </c>
      <c r="X223">
        <v>1920</v>
      </c>
      <c r="Y223">
        <v>1920</v>
      </c>
      <c r="Z223">
        <v>933373</v>
      </c>
      <c r="AA223">
        <v>1</v>
      </c>
      <c r="AB223">
        <v>933373</v>
      </c>
      <c r="AC223">
        <v>933373</v>
      </c>
      <c r="AD223">
        <v>3093402</v>
      </c>
      <c r="AE223">
        <v>777.81083333333299</v>
      </c>
      <c r="AF223">
        <v>777.81083333333299</v>
      </c>
      <c r="AG223">
        <v>933373</v>
      </c>
      <c r="AH223">
        <v>933373</v>
      </c>
      <c r="AI223">
        <v>3093416</v>
      </c>
      <c r="AJ223">
        <v>2697.8108333333298</v>
      </c>
      <c r="AK223">
        <v>31500</v>
      </c>
      <c r="AL223">
        <v>31500</v>
      </c>
      <c r="AM223">
        <v>120660</v>
      </c>
      <c r="AN223">
        <v>120660</v>
      </c>
      <c r="AO223">
        <v>11.6761337047044</v>
      </c>
      <c r="AP223">
        <v>15556.2166666667</v>
      </c>
      <c r="AQ223">
        <v>259.27027777777801</v>
      </c>
      <c r="AR223">
        <v>3093416</v>
      </c>
      <c r="AS223">
        <v>73984500</v>
      </c>
      <c r="AT223">
        <v>6400000</v>
      </c>
    </row>
    <row r="224" spans="1:46">
      <c r="A224" t="s">
        <v>418</v>
      </c>
      <c r="B224">
        <v>1</v>
      </c>
      <c r="C224" t="s">
        <v>419</v>
      </c>
      <c r="D224">
        <v>1</v>
      </c>
      <c r="E224">
        <v>0</v>
      </c>
      <c r="F224">
        <v>0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750</v>
      </c>
      <c r="N224">
        <v>0</v>
      </c>
      <c r="O224">
        <v>0</v>
      </c>
      <c r="P224">
        <v>187.5</v>
      </c>
      <c r="Q224">
        <v>0</v>
      </c>
      <c r="R224">
        <v>750</v>
      </c>
      <c r="S224">
        <v>0</v>
      </c>
      <c r="T224">
        <v>0</v>
      </c>
      <c r="U224">
        <v>750</v>
      </c>
      <c r="V224">
        <v>750</v>
      </c>
      <c r="W224">
        <v>750</v>
      </c>
      <c r="X224">
        <v>7.4999999999999997E-2</v>
      </c>
      <c r="Y224">
        <v>7.4999999999999997E-2</v>
      </c>
      <c r="Z224">
        <v>60</v>
      </c>
      <c r="AA224">
        <v>1E-3</v>
      </c>
      <c r="AB224">
        <v>1</v>
      </c>
      <c r="AC224">
        <v>1</v>
      </c>
      <c r="AD224">
        <v>1</v>
      </c>
      <c r="AE224">
        <v>8.3333333333333295E-4</v>
      </c>
      <c r="AF224">
        <v>8.3333333333333295E-4</v>
      </c>
      <c r="AG224">
        <v>1</v>
      </c>
      <c r="AH224">
        <v>1</v>
      </c>
      <c r="AI224">
        <v>1</v>
      </c>
      <c r="AJ224">
        <v>7.5833333333333294E-2</v>
      </c>
      <c r="AK224">
        <v>150</v>
      </c>
      <c r="AL224">
        <v>150</v>
      </c>
      <c r="AM224">
        <v>150</v>
      </c>
      <c r="AN224">
        <v>150</v>
      </c>
      <c r="AO224">
        <v>1978.02197802198</v>
      </c>
      <c r="AP224">
        <v>1.6666666666666701E-2</v>
      </c>
      <c r="AQ224">
        <v>2.7777777777777799E-4</v>
      </c>
      <c r="AR224">
        <v>1</v>
      </c>
      <c r="AS224">
        <v>750</v>
      </c>
      <c r="AT224">
        <v>750</v>
      </c>
    </row>
    <row r="225" spans="1:46">
      <c r="A225" t="s">
        <v>418</v>
      </c>
      <c r="B225">
        <v>2</v>
      </c>
      <c r="C225" t="s">
        <v>423</v>
      </c>
      <c r="D225">
        <v>1</v>
      </c>
      <c r="E225">
        <v>0</v>
      </c>
      <c r="F225">
        <v>0</v>
      </c>
      <c r="G225">
        <v>1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1500</v>
      </c>
      <c r="N225">
        <v>0</v>
      </c>
      <c r="O225">
        <v>0</v>
      </c>
      <c r="P225">
        <v>187.5</v>
      </c>
      <c r="Q225">
        <v>0</v>
      </c>
      <c r="R225">
        <v>1500</v>
      </c>
      <c r="S225">
        <v>0</v>
      </c>
      <c r="T225">
        <v>0</v>
      </c>
      <c r="U225">
        <v>1500</v>
      </c>
      <c r="V225">
        <v>1500</v>
      </c>
      <c r="W225">
        <v>1500</v>
      </c>
      <c r="X225">
        <v>0.15</v>
      </c>
      <c r="Y225">
        <v>0.15</v>
      </c>
      <c r="Z225">
        <v>120</v>
      </c>
      <c r="AA225">
        <v>6.0999999999999999E-2</v>
      </c>
      <c r="AB225">
        <v>7</v>
      </c>
      <c r="AC225">
        <v>7</v>
      </c>
      <c r="AD225">
        <v>7</v>
      </c>
      <c r="AE225">
        <v>5.8333333333333301E-3</v>
      </c>
      <c r="AF225">
        <v>5.8333333333333301E-3</v>
      </c>
      <c r="AG225">
        <v>7</v>
      </c>
      <c r="AH225">
        <v>7</v>
      </c>
      <c r="AI225">
        <v>8</v>
      </c>
      <c r="AJ225">
        <v>0.15583333333333299</v>
      </c>
      <c r="AK225">
        <v>180</v>
      </c>
      <c r="AL225">
        <v>180</v>
      </c>
      <c r="AM225">
        <v>330</v>
      </c>
      <c r="AN225">
        <v>330</v>
      </c>
      <c r="AO225">
        <v>1155.0802139037401</v>
      </c>
      <c r="AP225">
        <v>0.116666666666667</v>
      </c>
      <c r="AQ225">
        <v>1.9444444444444401E-3</v>
      </c>
      <c r="AR225">
        <v>8</v>
      </c>
      <c r="AS225">
        <v>2250</v>
      </c>
      <c r="AT225">
        <v>1500</v>
      </c>
    </row>
    <row r="226" spans="1:46">
      <c r="A226" t="s">
        <v>418</v>
      </c>
      <c r="B226">
        <v>3</v>
      </c>
      <c r="C226" t="s">
        <v>424</v>
      </c>
      <c r="D226">
        <v>1</v>
      </c>
      <c r="E226">
        <v>0</v>
      </c>
      <c r="F226">
        <v>0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3000</v>
      </c>
      <c r="N226">
        <v>0</v>
      </c>
      <c r="O226">
        <v>0</v>
      </c>
      <c r="P226">
        <v>375</v>
      </c>
      <c r="Q226">
        <v>0</v>
      </c>
      <c r="R226">
        <v>3000</v>
      </c>
      <c r="S226">
        <v>0</v>
      </c>
      <c r="T226">
        <v>0</v>
      </c>
      <c r="U226">
        <v>3000</v>
      </c>
      <c r="V226">
        <v>3000</v>
      </c>
      <c r="W226">
        <v>3000</v>
      </c>
      <c r="X226">
        <v>0.3</v>
      </c>
      <c r="Y226">
        <v>0.3</v>
      </c>
      <c r="Z226">
        <v>240</v>
      </c>
      <c r="AA226">
        <v>0.1</v>
      </c>
      <c r="AB226">
        <v>24</v>
      </c>
      <c r="AC226">
        <v>24</v>
      </c>
      <c r="AD226">
        <v>24</v>
      </c>
      <c r="AE226">
        <v>0.02</v>
      </c>
      <c r="AF226">
        <v>0.02</v>
      </c>
      <c r="AG226">
        <v>24</v>
      </c>
      <c r="AH226">
        <v>24</v>
      </c>
      <c r="AI226">
        <v>32</v>
      </c>
      <c r="AJ226">
        <v>0.32</v>
      </c>
      <c r="AK226">
        <v>215</v>
      </c>
      <c r="AL226">
        <v>215</v>
      </c>
      <c r="AM226">
        <v>550</v>
      </c>
      <c r="AN226">
        <v>550</v>
      </c>
      <c r="AO226">
        <v>671.875</v>
      </c>
      <c r="AP226">
        <v>0.4</v>
      </c>
      <c r="AQ226">
        <v>6.6666666666666697E-3</v>
      </c>
      <c r="AR226">
        <v>32</v>
      </c>
      <c r="AS226">
        <v>5250</v>
      </c>
      <c r="AT226">
        <v>3000</v>
      </c>
    </row>
    <row r="227" spans="1:46">
      <c r="A227" t="s">
        <v>418</v>
      </c>
      <c r="B227">
        <v>4</v>
      </c>
      <c r="C227" t="s">
        <v>425</v>
      </c>
      <c r="D227">
        <v>1</v>
      </c>
      <c r="E227">
        <v>0</v>
      </c>
      <c r="F227">
        <v>0</v>
      </c>
      <c r="G227">
        <v>1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6000</v>
      </c>
      <c r="N227">
        <v>0</v>
      </c>
      <c r="O227">
        <v>0</v>
      </c>
      <c r="P227">
        <v>750</v>
      </c>
      <c r="Q227">
        <v>0</v>
      </c>
      <c r="R227">
        <v>6000</v>
      </c>
      <c r="S227">
        <v>0</v>
      </c>
      <c r="T227">
        <v>0</v>
      </c>
      <c r="U227">
        <v>6000</v>
      </c>
      <c r="V227">
        <v>6000</v>
      </c>
      <c r="W227">
        <v>9000</v>
      </c>
      <c r="X227">
        <v>0.6</v>
      </c>
      <c r="Y227">
        <v>0.6</v>
      </c>
      <c r="Z227">
        <v>480</v>
      </c>
      <c r="AA227">
        <v>0.5</v>
      </c>
      <c r="AB227">
        <v>240</v>
      </c>
      <c r="AC227">
        <v>240</v>
      </c>
      <c r="AD227">
        <v>264</v>
      </c>
      <c r="AE227">
        <v>0.2</v>
      </c>
      <c r="AF227">
        <v>0.2</v>
      </c>
      <c r="AG227">
        <v>240</v>
      </c>
      <c r="AH227">
        <v>240</v>
      </c>
      <c r="AI227">
        <v>272</v>
      </c>
      <c r="AJ227">
        <v>0.8</v>
      </c>
      <c r="AK227">
        <v>260</v>
      </c>
      <c r="AL227">
        <v>260</v>
      </c>
      <c r="AM227">
        <v>810</v>
      </c>
      <c r="AN227">
        <v>810</v>
      </c>
      <c r="AO227">
        <v>325</v>
      </c>
      <c r="AP227">
        <v>4</v>
      </c>
      <c r="AQ227">
        <v>6.6666666666666693E-2</v>
      </c>
      <c r="AR227">
        <v>272</v>
      </c>
      <c r="AS227">
        <v>11250</v>
      </c>
      <c r="AT227">
        <v>6000</v>
      </c>
    </row>
    <row r="228" spans="1:46">
      <c r="A228" t="s">
        <v>418</v>
      </c>
      <c r="B228">
        <v>5</v>
      </c>
      <c r="C228" t="s">
        <v>426</v>
      </c>
      <c r="D228">
        <v>1</v>
      </c>
      <c r="E228">
        <v>0</v>
      </c>
      <c r="F228">
        <v>0</v>
      </c>
      <c r="G228">
        <v>1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12000</v>
      </c>
      <c r="N228">
        <v>0</v>
      </c>
      <c r="O228">
        <v>0</v>
      </c>
      <c r="P228">
        <v>1500</v>
      </c>
      <c r="Q228">
        <v>0</v>
      </c>
      <c r="R228">
        <v>12000</v>
      </c>
      <c r="S228">
        <v>0</v>
      </c>
      <c r="T228">
        <v>0</v>
      </c>
      <c r="U228">
        <v>12000</v>
      </c>
      <c r="V228">
        <v>12000</v>
      </c>
      <c r="W228">
        <v>21000</v>
      </c>
      <c r="X228">
        <v>1.2</v>
      </c>
      <c r="Y228">
        <v>1.2</v>
      </c>
      <c r="Z228">
        <v>960</v>
      </c>
      <c r="AA228">
        <v>0.9</v>
      </c>
      <c r="AB228">
        <v>864</v>
      </c>
      <c r="AC228">
        <v>864</v>
      </c>
      <c r="AD228">
        <v>1128</v>
      </c>
      <c r="AE228">
        <v>0.72</v>
      </c>
      <c r="AF228">
        <v>0.72</v>
      </c>
      <c r="AG228">
        <v>864</v>
      </c>
      <c r="AH228">
        <v>864</v>
      </c>
      <c r="AI228">
        <v>1136</v>
      </c>
      <c r="AJ228">
        <v>1.92</v>
      </c>
      <c r="AK228">
        <v>310</v>
      </c>
      <c r="AL228">
        <v>310</v>
      </c>
      <c r="AM228">
        <v>1120</v>
      </c>
      <c r="AN228">
        <v>1120</v>
      </c>
      <c r="AO228">
        <v>161.458333333333</v>
      </c>
      <c r="AP228">
        <v>14.4</v>
      </c>
      <c r="AQ228">
        <v>0.24</v>
      </c>
      <c r="AR228">
        <v>1136</v>
      </c>
      <c r="AS228">
        <v>23250</v>
      </c>
      <c r="AT228">
        <v>12000</v>
      </c>
    </row>
    <row r="229" spans="1:46">
      <c r="A229" t="s">
        <v>418</v>
      </c>
      <c r="B229">
        <v>6</v>
      </c>
      <c r="C229" t="s">
        <v>427</v>
      </c>
      <c r="D229">
        <v>1</v>
      </c>
      <c r="E229">
        <v>0</v>
      </c>
      <c r="F229">
        <v>0</v>
      </c>
      <c r="G229">
        <v>1</v>
      </c>
      <c r="H229">
        <v>0</v>
      </c>
      <c r="I229">
        <v>1</v>
      </c>
      <c r="J229">
        <v>1</v>
      </c>
      <c r="K229">
        <v>0</v>
      </c>
      <c r="L229">
        <v>0</v>
      </c>
      <c r="M229">
        <v>12000</v>
      </c>
      <c r="N229">
        <v>12000</v>
      </c>
      <c r="O229">
        <v>0</v>
      </c>
      <c r="P229">
        <v>3000</v>
      </c>
      <c r="Q229">
        <v>0</v>
      </c>
      <c r="R229">
        <v>12000</v>
      </c>
      <c r="S229">
        <v>12000</v>
      </c>
      <c r="T229">
        <v>0</v>
      </c>
      <c r="U229">
        <v>24000</v>
      </c>
      <c r="V229">
        <v>24000</v>
      </c>
      <c r="W229">
        <v>45000</v>
      </c>
      <c r="X229">
        <v>2.4</v>
      </c>
      <c r="Y229">
        <v>2.4</v>
      </c>
      <c r="Z229">
        <v>1920</v>
      </c>
      <c r="AA229">
        <v>1</v>
      </c>
      <c r="AB229">
        <v>1920</v>
      </c>
      <c r="AC229">
        <v>1920</v>
      </c>
      <c r="AD229">
        <v>3048</v>
      </c>
      <c r="AE229">
        <v>1.6</v>
      </c>
      <c r="AF229">
        <v>1.6</v>
      </c>
      <c r="AG229">
        <v>1920</v>
      </c>
      <c r="AH229">
        <v>1920</v>
      </c>
      <c r="AI229">
        <v>3056</v>
      </c>
      <c r="AJ229">
        <v>4</v>
      </c>
      <c r="AK229">
        <v>370</v>
      </c>
      <c r="AL229">
        <v>370</v>
      </c>
      <c r="AM229">
        <v>1490</v>
      </c>
      <c r="AN229">
        <v>1490</v>
      </c>
      <c r="AO229">
        <v>92.5</v>
      </c>
      <c r="AP229">
        <v>32</v>
      </c>
      <c r="AQ229">
        <v>0.53333333333333299</v>
      </c>
      <c r="AR229">
        <v>3056</v>
      </c>
      <c r="AS229">
        <v>47250</v>
      </c>
      <c r="AT229">
        <v>12000</v>
      </c>
    </row>
    <row r="230" spans="1:46">
      <c r="A230" t="s">
        <v>418</v>
      </c>
      <c r="B230">
        <v>7</v>
      </c>
      <c r="C230" t="s">
        <v>428</v>
      </c>
      <c r="D230">
        <v>1</v>
      </c>
      <c r="E230">
        <v>0</v>
      </c>
      <c r="F230">
        <v>0</v>
      </c>
      <c r="G230">
        <v>1</v>
      </c>
      <c r="H230">
        <v>0</v>
      </c>
      <c r="I230">
        <v>1</v>
      </c>
      <c r="J230">
        <v>1</v>
      </c>
      <c r="K230">
        <v>0</v>
      </c>
      <c r="L230">
        <v>0</v>
      </c>
      <c r="M230">
        <v>24000</v>
      </c>
      <c r="N230">
        <v>24000</v>
      </c>
      <c r="O230">
        <v>0</v>
      </c>
      <c r="P230">
        <v>6000</v>
      </c>
      <c r="Q230">
        <v>0</v>
      </c>
      <c r="R230">
        <v>24000</v>
      </c>
      <c r="S230">
        <v>24000</v>
      </c>
      <c r="T230">
        <v>0</v>
      </c>
      <c r="U230">
        <v>48000</v>
      </c>
      <c r="V230">
        <v>48000</v>
      </c>
      <c r="W230">
        <v>93000</v>
      </c>
      <c r="X230">
        <v>4.8</v>
      </c>
      <c r="Y230">
        <v>4.8</v>
      </c>
      <c r="Z230">
        <v>3840</v>
      </c>
      <c r="AA230">
        <v>1</v>
      </c>
      <c r="AB230">
        <v>3840</v>
      </c>
      <c r="AC230">
        <v>3840</v>
      </c>
      <c r="AD230">
        <v>6888</v>
      </c>
      <c r="AE230">
        <v>3.2</v>
      </c>
      <c r="AF230">
        <v>3.2</v>
      </c>
      <c r="AG230">
        <v>3840</v>
      </c>
      <c r="AH230">
        <v>3840</v>
      </c>
      <c r="AI230">
        <v>6896</v>
      </c>
      <c r="AJ230">
        <v>8</v>
      </c>
      <c r="AK230">
        <v>445</v>
      </c>
      <c r="AL230">
        <v>445</v>
      </c>
      <c r="AM230">
        <v>1940</v>
      </c>
      <c r="AN230">
        <v>1940</v>
      </c>
      <c r="AO230">
        <v>55.625</v>
      </c>
      <c r="AP230">
        <v>64</v>
      </c>
      <c r="AQ230">
        <v>1.06666666666667</v>
      </c>
      <c r="AR230">
        <v>6896</v>
      </c>
      <c r="AS230">
        <v>95250</v>
      </c>
      <c r="AT230">
        <v>24000</v>
      </c>
    </row>
    <row r="231" spans="1:46">
      <c r="A231" t="s">
        <v>418</v>
      </c>
      <c r="B231">
        <v>8</v>
      </c>
      <c r="C231" t="s">
        <v>429</v>
      </c>
      <c r="D231">
        <v>1</v>
      </c>
      <c r="E231">
        <v>0</v>
      </c>
      <c r="F231">
        <v>0</v>
      </c>
      <c r="G231">
        <v>1</v>
      </c>
      <c r="H231">
        <v>0</v>
      </c>
      <c r="I231">
        <v>1</v>
      </c>
      <c r="J231">
        <v>1</v>
      </c>
      <c r="K231">
        <v>0</v>
      </c>
      <c r="L231">
        <v>0</v>
      </c>
      <c r="M231">
        <v>48000</v>
      </c>
      <c r="N231">
        <v>48000</v>
      </c>
      <c r="O231">
        <v>0</v>
      </c>
      <c r="P231">
        <v>12000</v>
      </c>
      <c r="Q231">
        <v>0</v>
      </c>
      <c r="R231">
        <v>48000</v>
      </c>
      <c r="S231">
        <v>48000</v>
      </c>
      <c r="T231">
        <v>0</v>
      </c>
      <c r="U231">
        <v>96000</v>
      </c>
      <c r="V231">
        <v>96000</v>
      </c>
      <c r="W231">
        <v>189000</v>
      </c>
      <c r="X231">
        <v>9.6</v>
      </c>
      <c r="Y231">
        <v>9.6</v>
      </c>
      <c r="Z231">
        <v>7680</v>
      </c>
      <c r="AA231">
        <v>1</v>
      </c>
      <c r="AB231">
        <v>7680</v>
      </c>
      <c r="AC231">
        <v>7680</v>
      </c>
      <c r="AD231">
        <v>14568</v>
      </c>
      <c r="AE231">
        <v>6.4</v>
      </c>
      <c r="AF231">
        <v>6.4</v>
      </c>
      <c r="AG231">
        <v>7680</v>
      </c>
      <c r="AH231">
        <v>7680</v>
      </c>
      <c r="AI231">
        <v>14576</v>
      </c>
      <c r="AJ231">
        <v>16</v>
      </c>
      <c r="AK231">
        <v>550</v>
      </c>
      <c r="AL231">
        <v>550</v>
      </c>
      <c r="AM231">
        <v>2490</v>
      </c>
      <c r="AN231">
        <v>2490</v>
      </c>
      <c r="AO231">
        <v>34.375</v>
      </c>
      <c r="AP231">
        <v>128</v>
      </c>
      <c r="AQ231">
        <v>2.1333333333333302</v>
      </c>
      <c r="AR231">
        <v>14576</v>
      </c>
      <c r="AS231">
        <v>191250</v>
      </c>
      <c r="AT231">
        <v>48000</v>
      </c>
    </row>
    <row r="232" spans="1:46">
      <c r="A232" t="s">
        <v>418</v>
      </c>
      <c r="B232">
        <v>9</v>
      </c>
      <c r="C232" t="s">
        <v>430</v>
      </c>
      <c r="D232">
        <v>1</v>
      </c>
      <c r="E232">
        <v>0</v>
      </c>
      <c r="F232">
        <v>0</v>
      </c>
      <c r="G232">
        <v>1</v>
      </c>
      <c r="H232">
        <v>0</v>
      </c>
      <c r="I232">
        <v>1</v>
      </c>
      <c r="J232">
        <v>1</v>
      </c>
      <c r="K232">
        <v>0</v>
      </c>
      <c r="L232">
        <v>0</v>
      </c>
      <c r="M232">
        <v>82000</v>
      </c>
      <c r="N232">
        <v>82000</v>
      </c>
      <c r="O232">
        <v>0</v>
      </c>
      <c r="P232">
        <v>17000</v>
      </c>
      <c r="Q232">
        <v>0</v>
      </c>
      <c r="R232">
        <v>82000</v>
      </c>
      <c r="S232">
        <v>82000</v>
      </c>
      <c r="T232">
        <v>0</v>
      </c>
      <c r="U232">
        <v>164000</v>
      </c>
      <c r="V232">
        <v>164000</v>
      </c>
      <c r="W232">
        <v>353000</v>
      </c>
      <c r="X232">
        <v>16.399999999999999</v>
      </c>
      <c r="Y232">
        <v>16.399999999999999</v>
      </c>
      <c r="Z232">
        <v>13056</v>
      </c>
      <c r="AA232">
        <v>1</v>
      </c>
      <c r="AB232">
        <v>13056</v>
      </c>
      <c r="AC232">
        <v>13056</v>
      </c>
      <c r="AD232">
        <v>27624</v>
      </c>
      <c r="AE232">
        <v>10.88</v>
      </c>
      <c r="AF232">
        <v>10.88</v>
      </c>
      <c r="AG232">
        <v>13056</v>
      </c>
      <c r="AH232">
        <v>13056</v>
      </c>
      <c r="AI232">
        <v>27632</v>
      </c>
      <c r="AJ232">
        <v>27.28</v>
      </c>
      <c r="AK232">
        <v>650</v>
      </c>
      <c r="AL232">
        <v>650</v>
      </c>
      <c r="AM232">
        <v>3140</v>
      </c>
      <c r="AN232">
        <v>3140</v>
      </c>
      <c r="AO232">
        <v>23.826979472140799</v>
      </c>
      <c r="AP232">
        <v>217.6</v>
      </c>
      <c r="AQ232">
        <v>3.62666666666667</v>
      </c>
      <c r="AR232">
        <v>27632</v>
      </c>
      <c r="AS232">
        <v>355250</v>
      </c>
      <c r="AT232">
        <v>82000</v>
      </c>
    </row>
    <row r="233" spans="1:46">
      <c r="A233" t="s">
        <v>418</v>
      </c>
      <c r="B233">
        <v>10</v>
      </c>
      <c r="C233" t="s">
        <v>431</v>
      </c>
      <c r="D233">
        <v>1</v>
      </c>
      <c r="E233">
        <v>0</v>
      </c>
      <c r="F233">
        <v>0</v>
      </c>
      <c r="G233">
        <v>1</v>
      </c>
      <c r="H233">
        <v>0</v>
      </c>
      <c r="I233">
        <v>1</v>
      </c>
      <c r="J233">
        <v>1</v>
      </c>
      <c r="K233">
        <v>0</v>
      </c>
      <c r="L233">
        <v>0</v>
      </c>
      <c r="M233">
        <v>140000</v>
      </c>
      <c r="N233">
        <v>140000</v>
      </c>
      <c r="O233">
        <v>0</v>
      </c>
      <c r="P233">
        <v>29000</v>
      </c>
      <c r="Q233">
        <v>0</v>
      </c>
      <c r="R233">
        <v>140000</v>
      </c>
      <c r="S233">
        <v>140000</v>
      </c>
      <c r="T233">
        <v>0</v>
      </c>
      <c r="U233">
        <v>280000</v>
      </c>
      <c r="V233">
        <v>280000</v>
      </c>
      <c r="W233">
        <v>633000</v>
      </c>
      <c r="X233">
        <v>28</v>
      </c>
      <c r="Y233">
        <v>28</v>
      </c>
      <c r="Z233">
        <v>20890</v>
      </c>
      <c r="AA233">
        <v>1</v>
      </c>
      <c r="AB233">
        <v>20890</v>
      </c>
      <c r="AC233">
        <v>20890</v>
      </c>
      <c r="AD233">
        <v>48514</v>
      </c>
      <c r="AE233">
        <v>17.408333333333299</v>
      </c>
      <c r="AF233">
        <v>17.408333333333299</v>
      </c>
      <c r="AG233">
        <v>20890</v>
      </c>
      <c r="AH233">
        <v>20890</v>
      </c>
      <c r="AI233">
        <v>48522</v>
      </c>
      <c r="AJ233">
        <v>45.408333333333303</v>
      </c>
      <c r="AK233">
        <v>800</v>
      </c>
      <c r="AL233">
        <v>800</v>
      </c>
      <c r="AM233">
        <v>3940</v>
      </c>
      <c r="AN233">
        <v>3940</v>
      </c>
      <c r="AO233">
        <v>17.617911543402499</v>
      </c>
      <c r="AP233">
        <v>348.16666666666703</v>
      </c>
      <c r="AQ233">
        <v>5.8027777777777798</v>
      </c>
      <c r="AR233">
        <v>48522</v>
      </c>
      <c r="AS233">
        <v>635250</v>
      </c>
      <c r="AT233">
        <v>140000</v>
      </c>
    </row>
    <row r="234" spans="1:46">
      <c r="A234" t="s">
        <v>418</v>
      </c>
      <c r="B234">
        <v>11</v>
      </c>
      <c r="C234" t="s">
        <v>432</v>
      </c>
      <c r="D234">
        <v>1</v>
      </c>
      <c r="E234">
        <v>0</v>
      </c>
      <c r="F234">
        <v>0</v>
      </c>
      <c r="G234">
        <v>1</v>
      </c>
      <c r="H234">
        <v>0</v>
      </c>
      <c r="I234">
        <v>1</v>
      </c>
      <c r="J234">
        <v>1</v>
      </c>
      <c r="K234">
        <v>3</v>
      </c>
      <c r="L234">
        <v>0</v>
      </c>
      <c r="M234">
        <v>89000</v>
      </c>
      <c r="N234">
        <v>89000</v>
      </c>
      <c r="O234">
        <v>270000</v>
      </c>
      <c r="P234">
        <v>42000</v>
      </c>
      <c r="Q234">
        <v>0</v>
      </c>
      <c r="R234">
        <v>89000</v>
      </c>
      <c r="S234">
        <v>89000</v>
      </c>
      <c r="T234">
        <v>270000</v>
      </c>
      <c r="U234">
        <v>448000</v>
      </c>
      <c r="V234">
        <v>448000</v>
      </c>
      <c r="W234">
        <v>1081000</v>
      </c>
      <c r="X234">
        <v>44.8</v>
      </c>
      <c r="Y234">
        <v>44.8</v>
      </c>
      <c r="Z234">
        <v>28201</v>
      </c>
      <c r="AA234">
        <v>1</v>
      </c>
      <c r="AB234">
        <v>28201</v>
      </c>
      <c r="AC234">
        <v>28201</v>
      </c>
      <c r="AD234">
        <v>76715</v>
      </c>
      <c r="AE234">
        <v>23.500833333333301</v>
      </c>
      <c r="AF234">
        <v>23.500833333333301</v>
      </c>
      <c r="AG234">
        <v>28201</v>
      </c>
      <c r="AH234">
        <v>28201</v>
      </c>
      <c r="AI234">
        <v>76723</v>
      </c>
      <c r="AJ234">
        <v>68.300833333333301</v>
      </c>
      <c r="AK234">
        <v>1100</v>
      </c>
      <c r="AL234">
        <v>1100</v>
      </c>
      <c r="AM234">
        <v>5040</v>
      </c>
      <c r="AN234">
        <v>5040</v>
      </c>
      <c r="AO234">
        <v>16.1052207757348</v>
      </c>
      <c r="AP234">
        <v>470.01666666666699</v>
      </c>
      <c r="AQ234">
        <v>7.83361111111111</v>
      </c>
      <c r="AR234">
        <v>76723</v>
      </c>
      <c r="AS234">
        <v>1083250</v>
      </c>
      <c r="AT234">
        <v>270000</v>
      </c>
    </row>
    <row r="235" spans="1:46">
      <c r="A235" t="s">
        <v>418</v>
      </c>
      <c r="B235">
        <v>12</v>
      </c>
      <c r="C235" t="s">
        <v>433</v>
      </c>
      <c r="D235">
        <v>1</v>
      </c>
      <c r="E235">
        <v>0</v>
      </c>
      <c r="F235">
        <v>0</v>
      </c>
      <c r="G235">
        <v>1</v>
      </c>
      <c r="H235">
        <v>0</v>
      </c>
      <c r="I235">
        <v>1</v>
      </c>
      <c r="J235">
        <v>1</v>
      </c>
      <c r="K235">
        <v>3</v>
      </c>
      <c r="L235">
        <v>0</v>
      </c>
      <c r="M235">
        <v>140000</v>
      </c>
      <c r="N235">
        <v>140000</v>
      </c>
      <c r="O235">
        <v>430000</v>
      </c>
      <c r="P235">
        <v>65500</v>
      </c>
      <c r="Q235">
        <v>0</v>
      </c>
      <c r="R235">
        <v>140000</v>
      </c>
      <c r="S235">
        <v>140000</v>
      </c>
      <c r="T235">
        <v>430000</v>
      </c>
      <c r="U235">
        <v>710000</v>
      </c>
      <c r="V235">
        <v>710000</v>
      </c>
      <c r="W235">
        <v>1791000</v>
      </c>
      <c r="X235">
        <v>71</v>
      </c>
      <c r="Y235">
        <v>71</v>
      </c>
      <c r="Z235">
        <v>38071</v>
      </c>
      <c r="AA235">
        <v>1</v>
      </c>
      <c r="AB235">
        <v>38071</v>
      </c>
      <c r="AC235">
        <v>38071</v>
      </c>
      <c r="AD235">
        <v>114786</v>
      </c>
      <c r="AE235">
        <v>31.725833333333298</v>
      </c>
      <c r="AF235">
        <v>31.725833333333298</v>
      </c>
      <c r="AG235">
        <v>38071</v>
      </c>
      <c r="AH235">
        <v>38071</v>
      </c>
      <c r="AI235">
        <v>114794</v>
      </c>
      <c r="AJ235">
        <v>102.725833333333</v>
      </c>
      <c r="AK235">
        <v>1500</v>
      </c>
      <c r="AL235">
        <v>1500</v>
      </c>
      <c r="AM235">
        <v>6540</v>
      </c>
      <c r="AN235">
        <v>6540</v>
      </c>
      <c r="AO235">
        <v>14.6019745114423</v>
      </c>
      <c r="AP235">
        <v>634.51666666666699</v>
      </c>
      <c r="AQ235">
        <v>10.575277777777799</v>
      </c>
      <c r="AR235">
        <v>114794</v>
      </c>
      <c r="AS235">
        <v>1793250</v>
      </c>
      <c r="AT235">
        <v>430000</v>
      </c>
    </row>
    <row r="236" spans="1:46">
      <c r="A236" t="s">
        <v>418</v>
      </c>
      <c r="B236">
        <v>13</v>
      </c>
      <c r="C236" t="s">
        <v>434</v>
      </c>
      <c r="D236">
        <v>1</v>
      </c>
      <c r="E236">
        <v>0</v>
      </c>
      <c r="F236">
        <v>0</v>
      </c>
      <c r="G236">
        <v>1</v>
      </c>
      <c r="H236">
        <v>0</v>
      </c>
      <c r="I236">
        <v>1</v>
      </c>
      <c r="J236">
        <v>1</v>
      </c>
      <c r="K236">
        <v>3</v>
      </c>
      <c r="L236">
        <v>0</v>
      </c>
      <c r="M236">
        <v>230000</v>
      </c>
      <c r="N236">
        <v>230000</v>
      </c>
      <c r="O236">
        <v>680000</v>
      </c>
      <c r="P236">
        <v>107500</v>
      </c>
      <c r="Q236">
        <v>0</v>
      </c>
      <c r="R236">
        <v>230000</v>
      </c>
      <c r="S236">
        <v>230000</v>
      </c>
      <c r="T236">
        <v>680000</v>
      </c>
      <c r="U236">
        <v>1140000</v>
      </c>
      <c r="V236">
        <v>1140000</v>
      </c>
      <c r="W236">
        <v>2931000</v>
      </c>
      <c r="X236">
        <v>114</v>
      </c>
      <c r="Y236">
        <v>114</v>
      </c>
      <c r="Z236">
        <v>51396</v>
      </c>
      <c r="AA236">
        <v>1</v>
      </c>
      <c r="AB236">
        <v>51396</v>
      </c>
      <c r="AC236">
        <v>51396</v>
      </c>
      <c r="AD236">
        <v>166182</v>
      </c>
      <c r="AE236">
        <v>42.83</v>
      </c>
      <c r="AF236">
        <v>42.83</v>
      </c>
      <c r="AG236">
        <v>51396</v>
      </c>
      <c r="AH236">
        <v>51396</v>
      </c>
      <c r="AI236">
        <v>166190</v>
      </c>
      <c r="AJ236">
        <v>156.83000000000001</v>
      </c>
      <c r="AK236">
        <v>2050</v>
      </c>
      <c r="AL236">
        <v>2050</v>
      </c>
      <c r="AM236">
        <v>8590</v>
      </c>
      <c r="AN236">
        <v>8590</v>
      </c>
      <c r="AO236">
        <v>13.071478671172599</v>
      </c>
      <c r="AP236">
        <v>856.6</v>
      </c>
      <c r="AQ236">
        <v>14.276666666666699</v>
      </c>
      <c r="AR236">
        <v>166190</v>
      </c>
      <c r="AS236">
        <v>2933250</v>
      </c>
      <c r="AT236">
        <v>680000</v>
      </c>
    </row>
    <row r="237" spans="1:46">
      <c r="A237" t="s">
        <v>418</v>
      </c>
      <c r="B237">
        <v>14</v>
      </c>
      <c r="C237" t="s">
        <v>435</v>
      </c>
      <c r="D237">
        <v>1</v>
      </c>
      <c r="E237">
        <v>0</v>
      </c>
      <c r="F237">
        <v>0</v>
      </c>
      <c r="G237">
        <v>1</v>
      </c>
      <c r="H237">
        <v>0</v>
      </c>
      <c r="I237">
        <v>1</v>
      </c>
      <c r="J237">
        <v>1</v>
      </c>
      <c r="K237">
        <v>3</v>
      </c>
      <c r="L237">
        <v>0</v>
      </c>
      <c r="M237">
        <v>360000</v>
      </c>
      <c r="N237">
        <v>360000</v>
      </c>
      <c r="O237">
        <v>1100000</v>
      </c>
      <c r="P237">
        <v>170000</v>
      </c>
      <c r="Q237">
        <v>0</v>
      </c>
      <c r="R237">
        <v>360000</v>
      </c>
      <c r="S237">
        <v>360000</v>
      </c>
      <c r="T237">
        <v>1100000</v>
      </c>
      <c r="U237">
        <v>1820000</v>
      </c>
      <c r="V237">
        <v>1820000</v>
      </c>
      <c r="W237">
        <v>4751000</v>
      </c>
      <c r="X237">
        <v>182</v>
      </c>
      <c r="Y237">
        <v>182</v>
      </c>
      <c r="Z237">
        <v>69385</v>
      </c>
      <c r="AA237">
        <v>1</v>
      </c>
      <c r="AB237">
        <v>69385</v>
      </c>
      <c r="AC237">
        <v>69385</v>
      </c>
      <c r="AD237">
        <v>235567</v>
      </c>
      <c r="AE237">
        <v>57.820833333333297</v>
      </c>
      <c r="AF237">
        <v>57.820833333333297</v>
      </c>
      <c r="AG237">
        <v>69385</v>
      </c>
      <c r="AH237">
        <v>69385</v>
      </c>
      <c r="AI237">
        <v>235575</v>
      </c>
      <c r="AJ237">
        <v>239.82083333333301</v>
      </c>
      <c r="AK237">
        <v>2750</v>
      </c>
      <c r="AL237">
        <v>2750</v>
      </c>
      <c r="AM237">
        <v>11340</v>
      </c>
      <c r="AN237">
        <v>11340</v>
      </c>
      <c r="AO237">
        <v>11.466893687996199</v>
      </c>
      <c r="AP237">
        <v>1156.4166666666699</v>
      </c>
      <c r="AQ237">
        <v>19.273611111111101</v>
      </c>
      <c r="AR237">
        <v>235575</v>
      </c>
      <c r="AS237">
        <v>4753250</v>
      </c>
      <c r="AT237">
        <v>1100000</v>
      </c>
    </row>
    <row r="238" spans="1:46">
      <c r="A238" t="s">
        <v>418</v>
      </c>
      <c r="B238">
        <v>15</v>
      </c>
      <c r="C238" t="s">
        <v>436</v>
      </c>
      <c r="D238">
        <v>1</v>
      </c>
      <c r="E238">
        <v>0</v>
      </c>
      <c r="F238">
        <v>0</v>
      </c>
      <c r="G238">
        <v>1</v>
      </c>
      <c r="H238">
        <v>0</v>
      </c>
      <c r="I238">
        <v>1</v>
      </c>
      <c r="J238">
        <v>1</v>
      </c>
      <c r="K238">
        <v>3</v>
      </c>
      <c r="L238">
        <v>0</v>
      </c>
      <c r="M238">
        <v>550000</v>
      </c>
      <c r="N238">
        <v>550000</v>
      </c>
      <c r="O238">
        <v>1600000</v>
      </c>
      <c r="P238">
        <v>220000</v>
      </c>
      <c r="Q238">
        <v>0</v>
      </c>
      <c r="R238">
        <v>550000</v>
      </c>
      <c r="S238">
        <v>550000</v>
      </c>
      <c r="T238">
        <v>1600000</v>
      </c>
      <c r="U238">
        <v>2700000</v>
      </c>
      <c r="V238">
        <v>2700000</v>
      </c>
      <c r="W238">
        <v>7451000</v>
      </c>
      <c r="X238">
        <v>270</v>
      </c>
      <c r="Y238">
        <v>270</v>
      </c>
      <c r="Z238">
        <v>93670</v>
      </c>
      <c r="AA238">
        <v>1</v>
      </c>
      <c r="AB238">
        <v>93670</v>
      </c>
      <c r="AC238">
        <v>93670</v>
      </c>
      <c r="AD238">
        <v>329237</v>
      </c>
      <c r="AE238">
        <v>78.058333333333294</v>
      </c>
      <c r="AF238">
        <v>78.058333333333294</v>
      </c>
      <c r="AG238">
        <v>93670</v>
      </c>
      <c r="AH238">
        <v>93670</v>
      </c>
      <c r="AI238">
        <v>329245</v>
      </c>
      <c r="AJ238">
        <v>348.058333333333</v>
      </c>
      <c r="AK238">
        <v>3700</v>
      </c>
      <c r="AL238">
        <v>3700</v>
      </c>
      <c r="AM238">
        <v>15040</v>
      </c>
      <c r="AN238">
        <v>15040</v>
      </c>
      <c r="AO238">
        <v>10.6304019920033</v>
      </c>
      <c r="AP238">
        <v>1561.1666666666699</v>
      </c>
      <c r="AQ238">
        <v>26.0194444444444</v>
      </c>
      <c r="AR238">
        <v>329245</v>
      </c>
      <c r="AS238">
        <v>7453250</v>
      </c>
      <c r="AT238">
        <v>1600000</v>
      </c>
    </row>
    <row r="239" spans="1:46">
      <c r="A239" t="s">
        <v>418</v>
      </c>
      <c r="B239">
        <v>16</v>
      </c>
      <c r="C239" t="s">
        <v>437</v>
      </c>
      <c r="D239">
        <v>1</v>
      </c>
      <c r="E239">
        <v>0</v>
      </c>
      <c r="F239">
        <v>0</v>
      </c>
      <c r="G239">
        <v>1</v>
      </c>
      <c r="H239">
        <v>0</v>
      </c>
      <c r="I239">
        <v>1</v>
      </c>
      <c r="J239">
        <v>1</v>
      </c>
      <c r="K239">
        <v>3</v>
      </c>
      <c r="L239">
        <v>0</v>
      </c>
      <c r="M239">
        <v>740000</v>
      </c>
      <c r="N239">
        <v>740000</v>
      </c>
      <c r="O239">
        <v>2200000</v>
      </c>
      <c r="P239">
        <v>245000</v>
      </c>
      <c r="Q239">
        <v>0</v>
      </c>
      <c r="R239">
        <v>740000</v>
      </c>
      <c r="S239">
        <v>740000</v>
      </c>
      <c r="T239">
        <v>2200000</v>
      </c>
      <c r="U239">
        <v>3680000</v>
      </c>
      <c r="V239">
        <v>3680000</v>
      </c>
      <c r="W239">
        <v>11131000</v>
      </c>
      <c r="X239">
        <v>368</v>
      </c>
      <c r="Y239">
        <v>368</v>
      </c>
      <c r="Z239">
        <v>126454</v>
      </c>
      <c r="AA239">
        <v>1</v>
      </c>
      <c r="AB239">
        <v>126454</v>
      </c>
      <c r="AC239">
        <v>126454</v>
      </c>
      <c r="AD239">
        <v>455691</v>
      </c>
      <c r="AE239">
        <v>105.378333333333</v>
      </c>
      <c r="AF239">
        <v>105.378333333333</v>
      </c>
      <c r="AG239">
        <v>126454</v>
      </c>
      <c r="AH239">
        <v>126454</v>
      </c>
      <c r="AI239">
        <v>455699</v>
      </c>
      <c r="AJ239">
        <v>473.37833333333299</v>
      </c>
      <c r="AK239">
        <v>5000</v>
      </c>
      <c r="AL239">
        <v>5000</v>
      </c>
      <c r="AM239">
        <v>20040</v>
      </c>
      <c r="AN239">
        <v>20040</v>
      </c>
      <c r="AO239">
        <v>10.562376112130201</v>
      </c>
      <c r="AP239">
        <v>2107.5666666666698</v>
      </c>
      <c r="AQ239">
        <v>35.126111111111101</v>
      </c>
      <c r="AR239">
        <v>455699</v>
      </c>
      <c r="AS239">
        <v>11133250</v>
      </c>
      <c r="AT239">
        <v>2200000</v>
      </c>
    </row>
    <row r="240" spans="1:46">
      <c r="A240" t="s">
        <v>418</v>
      </c>
      <c r="B240">
        <v>17</v>
      </c>
      <c r="C240" t="s">
        <v>438</v>
      </c>
      <c r="D240">
        <v>1</v>
      </c>
      <c r="E240">
        <v>0</v>
      </c>
      <c r="F240">
        <v>0</v>
      </c>
      <c r="G240">
        <v>1</v>
      </c>
      <c r="H240">
        <v>0</v>
      </c>
      <c r="I240">
        <v>1</v>
      </c>
      <c r="J240">
        <v>1</v>
      </c>
      <c r="K240">
        <v>3</v>
      </c>
      <c r="L240">
        <v>0</v>
      </c>
      <c r="M240">
        <v>960000</v>
      </c>
      <c r="N240">
        <v>960000</v>
      </c>
      <c r="O240">
        <v>2900000</v>
      </c>
      <c r="P240">
        <v>285000</v>
      </c>
      <c r="Q240">
        <v>0</v>
      </c>
      <c r="R240">
        <v>960000</v>
      </c>
      <c r="S240">
        <v>960000</v>
      </c>
      <c r="T240">
        <v>2900000</v>
      </c>
      <c r="U240">
        <v>4820000</v>
      </c>
      <c r="V240">
        <v>4820000</v>
      </c>
      <c r="W240">
        <v>15951000</v>
      </c>
      <c r="X240">
        <v>482</v>
      </c>
      <c r="Y240">
        <v>482</v>
      </c>
      <c r="Z240">
        <v>170713</v>
      </c>
      <c r="AA240">
        <v>1</v>
      </c>
      <c r="AB240">
        <v>170713</v>
      </c>
      <c r="AC240">
        <v>170713</v>
      </c>
      <c r="AD240">
        <v>626404</v>
      </c>
      <c r="AE240">
        <v>142.26083333333301</v>
      </c>
      <c r="AF240">
        <v>142.26083333333301</v>
      </c>
      <c r="AG240">
        <v>170713</v>
      </c>
      <c r="AH240">
        <v>170713</v>
      </c>
      <c r="AI240">
        <v>626412</v>
      </c>
      <c r="AJ240">
        <v>624.26083333333304</v>
      </c>
      <c r="AK240">
        <v>7000</v>
      </c>
      <c r="AL240">
        <v>7000</v>
      </c>
      <c r="AM240">
        <v>27040</v>
      </c>
      <c r="AN240">
        <v>27040</v>
      </c>
      <c r="AO240">
        <v>11.213261550660601</v>
      </c>
      <c r="AP240">
        <v>2845.2166666666699</v>
      </c>
      <c r="AQ240">
        <v>47.420277777777798</v>
      </c>
      <c r="AR240">
        <v>626412</v>
      </c>
      <c r="AS240">
        <v>15953250</v>
      </c>
      <c r="AT240">
        <v>2900000</v>
      </c>
    </row>
    <row r="241" spans="1:46">
      <c r="A241" t="s">
        <v>418</v>
      </c>
      <c r="B241">
        <v>18</v>
      </c>
      <c r="C241" t="s">
        <v>439</v>
      </c>
      <c r="D241">
        <v>1</v>
      </c>
      <c r="E241">
        <v>0</v>
      </c>
      <c r="F241">
        <v>0</v>
      </c>
      <c r="G241">
        <v>1</v>
      </c>
      <c r="H241">
        <v>0</v>
      </c>
      <c r="I241">
        <v>1</v>
      </c>
      <c r="J241">
        <v>1</v>
      </c>
      <c r="K241">
        <v>3</v>
      </c>
      <c r="L241">
        <v>0</v>
      </c>
      <c r="M241">
        <v>1300000</v>
      </c>
      <c r="N241">
        <v>1300000</v>
      </c>
      <c r="O241">
        <v>3800000</v>
      </c>
      <c r="P241">
        <v>395000</v>
      </c>
      <c r="Q241">
        <v>0</v>
      </c>
      <c r="R241">
        <v>1300000</v>
      </c>
      <c r="S241">
        <v>1300000</v>
      </c>
      <c r="T241">
        <v>3800000</v>
      </c>
      <c r="U241">
        <v>6400000</v>
      </c>
      <c r="V241">
        <v>6400000</v>
      </c>
      <c r="W241">
        <v>22351000</v>
      </c>
      <c r="X241">
        <v>640</v>
      </c>
      <c r="Y241">
        <v>640</v>
      </c>
      <c r="Z241">
        <v>230463</v>
      </c>
      <c r="AA241">
        <v>1</v>
      </c>
      <c r="AB241">
        <v>230463</v>
      </c>
      <c r="AC241">
        <v>230463</v>
      </c>
      <c r="AD241">
        <v>856867</v>
      </c>
      <c r="AE241">
        <v>192.05250000000001</v>
      </c>
      <c r="AF241">
        <v>192.05250000000001</v>
      </c>
      <c r="AG241">
        <v>230463</v>
      </c>
      <c r="AH241">
        <v>230463</v>
      </c>
      <c r="AI241">
        <v>856875</v>
      </c>
      <c r="AJ241">
        <v>832.05250000000001</v>
      </c>
      <c r="AK241">
        <v>9500</v>
      </c>
      <c r="AL241">
        <v>9500</v>
      </c>
      <c r="AM241">
        <v>36540</v>
      </c>
      <c r="AN241">
        <v>36540</v>
      </c>
      <c r="AO241">
        <v>11.4175487724633</v>
      </c>
      <c r="AP241">
        <v>3841.05</v>
      </c>
      <c r="AQ241">
        <v>64.017499999999998</v>
      </c>
      <c r="AR241">
        <v>856875</v>
      </c>
      <c r="AS241">
        <v>22353250</v>
      </c>
      <c r="AT241">
        <v>3800000</v>
      </c>
    </row>
    <row r="242" spans="1:46">
      <c r="A242" t="s">
        <v>418</v>
      </c>
      <c r="B242">
        <v>19</v>
      </c>
      <c r="C242" t="s">
        <v>440</v>
      </c>
      <c r="D242">
        <v>1</v>
      </c>
      <c r="E242">
        <v>0</v>
      </c>
      <c r="F242">
        <v>0</v>
      </c>
      <c r="G242">
        <v>1</v>
      </c>
      <c r="H242">
        <v>0</v>
      </c>
      <c r="I242">
        <v>1</v>
      </c>
      <c r="J242">
        <v>1</v>
      </c>
      <c r="K242">
        <v>3</v>
      </c>
      <c r="L242">
        <v>0</v>
      </c>
      <c r="M242">
        <v>1600000</v>
      </c>
      <c r="N242">
        <v>1600000</v>
      </c>
      <c r="O242">
        <v>4900000</v>
      </c>
      <c r="P242">
        <v>425000</v>
      </c>
      <c r="Q242">
        <v>0</v>
      </c>
      <c r="R242">
        <v>1600000</v>
      </c>
      <c r="S242">
        <v>1600000</v>
      </c>
      <c r="T242">
        <v>4900000</v>
      </c>
      <c r="U242">
        <v>8100000</v>
      </c>
      <c r="V242">
        <v>8100000</v>
      </c>
      <c r="W242">
        <v>30451000</v>
      </c>
      <c r="X242">
        <v>810</v>
      </c>
      <c r="Y242">
        <v>810</v>
      </c>
      <c r="Z242">
        <v>345694</v>
      </c>
      <c r="AA242">
        <v>1</v>
      </c>
      <c r="AB242">
        <v>345694</v>
      </c>
      <c r="AC242">
        <v>345694</v>
      </c>
      <c r="AD242">
        <v>1202561</v>
      </c>
      <c r="AE242">
        <v>288.07833333333298</v>
      </c>
      <c r="AF242">
        <v>288.07833333333298</v>
      </c>
      <c r="AG242">
        <v>345694</v>
      </c>
      <c r="AH242">
        <v>345694</v>
      </c>
      <c r="AI242">
        <v>1202569</v>
      </c>
      <c r="AJ242">
        <v>1098.07833333333</v>
      </c>
      <c r="AK242">
        <v>13000</v>
      </c>
      <c r="AL242">
        <v>13000</v>
      </c>
      <c r="AM242">
        <v>49540</v>
      </c>
      <c r="AN242">
        <v>49540</v>
      </c>
      <c r="AO242">
        <v>11.838863954757301</v>
      </c>
      <c r="AP242">
        <v>5761.5666666666702</v>
      </c>
      <c r="AQ242">
        <v>96.026111111111106</v>
      </c>
      <c r="AR242">
        <v>1202569</v>
      </c>
      <c r="AS242">
        <v>30453250</v>
      </c>
      <c r="AT242">
        <v>4900000</v>
      </c>
    </row>
    <row r="243" spans="1:46">
      <c r="A243" t="s">
        <v>418</v>
      </c>
      <c r="B243">
        <v>20</v>
      </c>
      <c r="C243" t="s">
        <v>441</v>
      </c>
      <c r="D243">
        <v>1</v>
      </c>
      <c r="E243">
        <v>0</v>
      </c>
      <c r="F243">
        <v>0</v>
      </c>
      <c r="G243">
        <v>1</v>
      </c>
      <c r="H243">
        <v>0</v>
      </c>
      <c r="I243">
        <v>1</v>
      </c>
      <c r="J243">
        <v>1</v>
      </c>
      <c r="K243">
        <v>3</v>
      </c>
      <c r="L243">
        <v>0</v>
      </c>
      <c r="M243">
        <v>2100000</v>
      </c>
      <c r="N243">
        <v>2100000</v>
      </c>
      <c r="O243">
        <v>6400000</v>
      </c>
      <c r="P243">
        <v>625000</v>
      </c>
      <c r="Q243">
        <v>0</v>
      </c>
      <c r="R243">
        <v>2100000</v>
      </c>
      <c r="S243">
        <v>2100000</v>
      </c>
      <c r="T243">
        <v>6400000</v>
      </c>
      <c r="U243">
        <v>10600000</v>
      </c>
      <c r="V243">
        <v>10600000</v>
      </c>
      <c r="W243">
        <v>41051000</v>
      </c>
      <c r="X243">
        <v>1060</v>
      </c>
      <c r="Y243">
        <v>1060</v>
      </c>
      <c r="Z243">
        <v>518541</v>
      </c>
      <c r="AA243">
        <v>1</v>
      </c>
      <c r="AB243">
        <v>518541</v>
      </c>
      <c r="AC243">
        <v>518541</v>
      </c>
      <c r="AD243">
        <v>1721102</v>
      </c>
      <c r="AE243">
        <v>432.11750000000001</v>
      </c>
      <c r="AF243">
        <v>432.11750000000001</v>
      </c>
      <c r="AG243">
        <v>518541</v>
      </c>
      <c r="AH243">
        <v>518541</v>
      </c>
      <c r="AI243">
        <v>1721110</v>
      </c>
      <c r="AJ243">
        <v>1492.1175000000001</v>
      </c>
      <c r="AK243">
        <v>17500</v>
      </c>
      <c r="AL243">
        <v>17500</v>
      </c>
      <c r="AM243">
        <v>67040</v>
      </c>
      <c r="AN243">
        <v>67040</v>
      </c>
      <c r="AO243">
        <v>11.728298877266701</v>
      </c>
      <c r="AP243">
        <v>8642.35</v>
      </c>
      <c r="AQ243">
        <v>144.039166666667</v>
      </c>
      <c r="AR243">
        <v>1721110</v>
      </c>
      <c r="AS243">
        <v>41053250</v>
      </c>
      <c r="AT243">
        <v>6400000</v>
      </c>
    </row>
    <row r="244" spans="1:46">
      <c r="A244" t="s">
        <v>493</v>
      </c>
      <c r="B244">
        <v>1</v>
      </c>
      <c r="C244" t="s">
        <v>494</v>
      </c>
      <c r="D244">
        <v>2</v>
      </c>
      <c r="E244">
        <v>0</v>
      </c>
      <c r="F244">
        <v>0</v>
      </c>
      <c r="G244">
        <v>1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600</v>
      </c>
      <c r="N244">
        <v>0</v>
      </c>
      <c r="O244">
        <v>0</v>
      </c>
      <c r="P244">
        <v>150</v>
      </c>
      <c r="Q244">
        <v>0</v>
      </c>
      <c r="R244">
        <v>1200</v>
      </c>
      <c r="S244">
        <v>0</v>
      </c>
      <c r="T244">
        <v>0</v>
      </c>
      <c r="U244">
        <v>600</v>
      </c>
      <c r="V244">
        <v>1200</v>
      </c>
      <c r="W244">
        <v>1200</v>
      </c>
      <c r="X244">
        <v>0.06</v>
      </c>
      <c r="Y244">
        <v>0.12</v>
      </c>
      <c r="Z244">
        <v>48</v>
      </c>
      <c r="AA244">
        <v>1E-3</v>
      </c>
      <c r="AB244">
        <v>1</v>
      </c>
      <c r="AC244">
        <v>2</v>
      </c>
      <c r="AD244">
        <v>2</v>
      </c>
      <c r="AE244">
        <v>8.3333333333333295E-4</v>
      </c>
      <c r="AF244">
        <v>1.66666666666667E-3</v>
      </c>
      <c r="AG244">
        <v>1</v>
      </c>
      <c r="AH244">
        <v>2</v>
      </c>
      <c r="AI244">
        <v>2</v>
      </c>
      <c r="AJ244">
        <v>6.0833333333333302E-2</v>
      </c>
      <c r="AK244">
        <v>120</v>
      </c>
      <c r="AL244">
        <v>240</v>
      </c>
      <c r="AM244">
        <v>120</v>
      </c>
      <c r="AN244">
        <v>240</v>
      </c>
      <c r="AO244">
        <v>1972.60273972603</v>
      </c>
      <c r="AP244">
        <v>1.6666666666666701E-2</v>
      </c>
      <c r="AQ244">
        <v>2.7777777777777799E-4</v>
      </c>
      <c r="AR244">
        <v>1</v>
      </c>
      <c r="AS244">
        <v>600</v>
      </c>
      <c r="AT244">
        <v>600</v>
      </c>
    </row>
    <row r="245" spans="1:46">
      <c r="A245" t="s">
        <v>493</v>
      </c>
      <c r="B245">
        <v>2</v>
      </c>
      <c r="C245" t="s">
        <v>496</v>
      </c>
      <c r="D245">
        <v>2</v>
      </c>
      <c r="E245">
        <v>0</v>
      </c>
      <c r="F245">
        <v>0</v>
      </c>
      <c r="G245">
        <v>1</v>
      </c>
      <c r="H245">
        <v>0</v>
      </c>
      <c r="I245">
        <v>2</v>
      </c>
      <c r="J245">
        <v>0</v>
      </c>
      <c r="K245">
        <v>0</v>
      </c>
      <c r="L245">
        <v>0</v>
      </c>
      <c r="M245">
        <v>1200</v>
      </c>
      <c r="N245">
        <v>0</v>
      </c>
      <c r="O245">
        <v>0</v>
      </c>
      <c r="P245">
        <v>150</v>
      </c>
      <c r="Q245">
        <v>0</v>
      </c>
      <c r="R245">
        <v>2400</v>
      </c>
      <c r="S245">
        <v>0</v>
      </c>
      <c r="T245">
        <v>0</v>
      </c>
      <c r="U245">
        <v>1200</v>
      </c>
      <c r="V245">
        <v>2400</v>
      </c>
      <c r="W245">
        <v>2400</v>
      </c>
      <c r="X245">
        <v>0.12</v>
      </c>
      <c r="Y245">
        <v>0.24</v>
      </c>
      <c r="Z245">
        <v>96</v>
      </c>
      <c r="AA245">
        <v>6.0999999999999999E-2</v>
      </c>
      <c r="AB245">
        <v>6</v>
      </c>
      <c r="AC245">
        <v>12</v>
      </c>
      <c r="AD245">
        <v>12</v>
      </c>
      <c r="AE245">
        <v>5.0000000000000001E-3</v>
      </c>
      <c r="AF245">
        <v>0.01</v>
      </c>
      <c r="AG245">
        <v>6</v>
      </c>
      <c r="AH245">
        <v>12</v>
      </c>
      <c r="AI245">
        <v>14</v>
      </c>
      <c r="AJ245">
        <v>0.125</v>
      </c>
      <c r="AK245">
        <v>144</v>
      </c>
      <c r="AL245">
        <v>288</v>
      </c>
      <c r="AM245">
        <v>260</v>
      </c>
      <c r="AN245">
        <v>520</v>
      </c>
      <c r="AO245">
        <v>1152</v>
      </c>
      <c r="AP245">
        <v>0.1</v>
      </c>
      <c r="AQ245">
        <v>1.66666666666667E-3</v>
      </c>
      <c r="AR245">
        <v>7</v>
      </c>
      <c r="AS245">
        <v>1800</v>
      </c>
      <c r="AT245">
        <v>1200</v>
      </c>
    </row>
    <row r="246" spans="1:46">
      <c r="A246" t="s">
        <v>493</v>
      </c>
      <c r="B246">
        <v>3</v>
      </c>
      <c r="C246" t="s">
        <v>497</v>
      </c>
      <c r="D246">
        <v>2</v>
      </c>
      <c r="E246">
        <v>0</v>
      </c>
      <c r="F246">
        <v>0</v>
      </c>
      <c r="G246">
        <v>1</v>
      </c>
      <c r="H246">
        <v>0</v>
      </c>
      <c r="I246">
        <v>2</v>
      </c>
      <c r="J246">
        <v>0</v>
      </c>
      <c r="K246">
        <v>0</v>
      </c>
      <c r="L246">
        <v>0</v>
      </c>
      <c r="M246">
        <v>2400</v>
      </c>
      <c r="N246">
        <v>0</v>
      </c>
      <c r="O246">
        <v>0</v>
      </c>
      <c r="P246">
        <v>300</v>
      </c>
      <c r="Q246">
        <v>0</v>
      </c>
      <c r="R246">
        <v>4800</v>
      </c>
      <c r="S246">
        <v>0</v>
      </c>
      <c r="T246">
        <v>0</v>
      </c>
      <c r="U246">
        <v>2400</v>
      </c>
      <c r="V246">
        <v>4800</v>
      </c>
      <c r="W246">
        <v>4800</v>
      </c>
      <c r="X246">
        <v>0.24</v>
      </c>
      <c r="Y246">
        <v>0.48</v>
      </c>
      <c r="Z246">
        <v>192</v>
      </c>
      <c r="AA246">
        <v>0.1</v>
      </c>
      <c r="AB246">
        <v>19</v>
      </c>
      <c r="AC246">
        <v>38</v>
      </c>
      <c r="AD246">
        <v>38</v>
      </c>
      <c r="AE246">
        <v>1.58333333333333E-2</v>
      </c>
      <c r="AF246">
        <v>3.1666666666666697E-2</v>
      </c>
      <c r="AG246">
        <v>19</v>
      </c>
      <c r="AH246">
        <v>38</v>
      </c>
      <c r="AI246">
        <v>52</v>
      </c>
      <c r="AJ246">
        <v>0.25583333333333302</v>
      </c>
      <c r="AK246">
        <v>172</v>
      </c>
      <c r="AL246">
        <v>344</v>
      </c>
      <c r="AM246">
        <v>430</v>
      </c>
      <c r="AN246">
        <v>860</v>
      </c>
      <c r="AO246">
        <v>672.31270358306199</v>
      </c>
      <c r="AP246">
        <v>0.31666666666666698</v>
      </c>
      <c r="AQ246">
        <v>5.2777777777777797E-3</v>
      </c>
      <c r="AR246">
        <v>26</v>
      </c>
      <c r="AS246">
        <v>4200</v>
      </c>
      <c r="AT246">
        <v>2400</v>
      </c>
    </row>
    <row r="247" spans="1:46">
      <c r="A247" t="s">
        <v>493</v>
      </c>
      <c r="B247">
        <v>4</v>
      </c>
      <c r="C247" t="s">
        <v>498</v>
      </c>
      <c r="D247">
        <v>2</v>
      </c>
      <c r="E247">
        <v>0</v>
      </c>
      <c r="F247">
        <v>0</v>
      </c>
      <c r="G247">
        <v>1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4800</v>
      </c>
      <c r="N247">
        <v>0</v>
      </c>
      <c r="O247">
        <v>0</v>
      </c>
      <c r="P247">
        <v>600</v>
      </c>
      <c r="Q247">
        <v>0</v>
      </c>
      <c r="R247">
        <v>9600</v>
      </c>
      <c r="S247">
        <v>0</v>
      </c>
      <c r="T247">
        <v>0</v>
      </c>
      <c r="U247">
        <v>4800</v>
      </c>
      <c r="V247">
        <v>9600</v>
      </c>
      <c r="W247">
        <v>14400</v>
      </c>
      <c r="X247">
        <v>0.48</v>
      </c>
      <c r="Y247">
        <v>0.96</v>
      </c>
      <c r="Z247">
        <v>384</v>
      </c>
      <c r="AA247">
        <v>0.5</v>
      </c>
      <c r="AB247">
        <v>192</v>
      </c>
      <c r="AC247">
        <v>384</v>
      </c>
      <c r="AD247">
        <v>422</v>
      </c>
      <c r="AE247">
        <v>0.16</v>
      </c>
      <c r="AF247">
        <v>0.32</v>
      </c>
      <c r="AG247">
        <v>192</v>
      </c>
      <c r="AH247">
        <v>384</v>
      </c>
      <c r="AI247">
        <v>436</v>
      </c>
      <c r="AJ247">
        <v>0.64</v>
      </c>
      <c r="AK247">
        <v>208</v>
      </c>
      <c r="AL247">
        <v>416</v>
      </c>
      <c r="AM247">
        <v>640</v>
      </c>
      <c r="AN247">
        <v>1280</v>
      </c>
      <c r="AO247">
        <v>325</v>
      </c>
      <c r="AP247">
        <v>3.2</v>
      </c>
      <c r="AQ247">
        <v>5.3333333333333302E-2</v>
      </c>
      <c r="AR247">
        <v>218</v>
      </c>
      <c r="AS247">
        <v>9000</v>
      </c>
      <c r="AT247">
        <v>4800</v>
      </c>
    </row>
    <row r="248" spans="1:46">
      <c r="A248" t="s">
        <v>493</v>
      </c>
      <c r="B248">
        <v>5</v>
      </c>
      <c r="C248" t="s">
        <v>499</v>
      </c>
      <c r="D248">
        <v>2</v>
      </c>
      <c r="E248">
        <v>0</v>
      </c>
      <c r="F248">
        <v>0</v>
      </c>
      <c r="G248">
        <v>1</v>
      </c>
      <c r="H248">
        <v>0</v>
      </c>
      <c r="I248">
        <v>2</v>
      </c>
      <c r="J248">
        <v>0</v>
      </c>
      <c r="K248">
        <v>0</v>
      </c>
      <c r="L248">
        <v>0</v>
      </c>
      <c r="M248">
        <v>9600</v>
      </c>
      <c r="N248">
        <v>0</v>
      </c>
      <c r="O248">
        <v>0</v>
      </c>
      <c r="P248">
        <v>1200</v>
      </c>
      <c r="Q248">
        <v>0</v>
      </c>
      <c r="R248">
        <v>19200</v>
      </c>
      <c r="S248">
        <v>0</v>
      </c>
      <c r="T248">
        <v>0</v>
      </c>
      <c r="U248">
        <v>9600</v>
      </c>
      <c r="V248">
        <v>19200</v>
      </c>
      <c r="W248">
        <v>33600</v>
      </c>
      <c r="X248">
        <v>0.96</v>
      </c>
      <c r="Y248">
        <v>1.92</v>
      </c>
      <c r="Z248">
        <v>768</v>
      </c>
      <c r="AA248">
        <v>0.9</v>
      </c>
      <c r="AB248">
        <v>691</v>
      </c>
      <c r="AC248">
        <v>1382</v>
      </c>
      <c r="AD248">
        <v>1804</v>
      </c>
      <c r="AE248">
        <v>0.57583333333333298</v>
      </c>
      <c r="AF248">
        <v>1.1516666666666699</v>
      </c>
      <c r="AG248">
        <v>691</v>
      </c>
      <c r="AH248">
        <v>1382</v>
      </c>
      <c r="AI248">
        <v>1818</v>
      </c>
      <c r="AJ248">
        <v>1.5358333333333301</v>
      </c>
      <c r="AK248">
        <v>248</v>
      </c>
      <c r="AL248">
        <v>496</v>
      </c>
      <c r="AM248">
        <v>890</v>
      </c>
      <c r="AN248">
        <v>1780</v>
      </c>
      <c r="AO248">
        <v>161.47585458491599</v>
      </c>
      <c r="AP248">
        <v>11.516666666666699</v>
      </c>
      <c r="AQ248">
        <v>0.191944444444444</v>
      </c>
      <c r="AR248">
        <v>909</v>
      </c>
      <c r="AS248">
        <v>18600</v>
      </c>
      <c r="AT248">
        <v>9600</v>
      </c>
    </row>
    <row r="249" spans="1:46">
      <c r="A249" t="s">
        <v>493</v>
      </c>
      <c r="B249">
        <v>6</v>
      </c>
      <c r="C249" t="s">
        <v>500</v>
      </c>
      <c r="D249">
        <v>2</v>
      </c>
      <c r="E249">
        <v>0</v>
      </c>
      <c r="F249">
        <v>0</v>
      </c>
      <c r="G249">
        <v>1</v>
      </c>
      <c r="H249">
        <v>0</v>
      </c>
      <c r="I249">
        <v>2</v>
      </c>
      <c r="J249">
        <v>3</v>
      </c>
      <c r="K249">
        <v>0</v>
      </c>
      <c r="L249">
        <v>0</v>
      </c>
      <c r="M249">
        <v>7700</v>
      </c>
      <c r="N249">
        <v>12000</v>
      </c>
      <c r="O249">
        <v>0</v>
      </c>
      <c r="P249">
        <v>2525</v>
      </c>
      <c r="Q249">
        <v>0</v>
      </c>
      <c r="R249">
        <v>15400</v>
      </c>
      <c r="S249">
        <v>24000</v>
      </c>
      <c r="T249">
        <v>0</v>
      </c>
      <c r="U249">
        <v>19700</v>
      </c>
      <c r="V249">
        <v>39400</v>
      </c>
      <c r="W249">
        <v>73000</v>
      </c>
      <c r="X249">
        <v>1.97</v>
      </c>
      <c r="Y249">
        <v>3.94</v>
      </c>
      <c r="Z249">
        <v>1536</v>
      </c>
      <c r="AA249">
        <v>1</v>
      </c>
      <c r="AB249">
        <v>1536</v>
      </c>
      <c r="AC249">
        <v>3072</v>
      </c>
      <c r="AD249">
        <v>4876</v>
      </c>
      <c r="AE249">
        <v>1.28</v>
      </c>
      <c r="AF249">
        <v>2.56</v>
      </c>
      <c r="AG249">
        <v>1536</v>
      </c>
      <c r="AH249">
        <v>3072</v>
      </c>
      <c r="AI249">
        <v>4890</v>
      </c>
      <c r="AJ249">
        <v>3.25</v>
      </c>
      <c r="AK249">
        <v>296</v>
      </c>
      <c r="AL249">
        <v>592</v>
      </c>
      <c r="AM249">
        <v>1190</v>
      </c>
      <c r="AN249">
        <v>2380</v>
      </c>
      <c r="AO249">
        <v>91.076923076923094</v>
      </c>
      <c r="AP249">
        <v>25.6</v>
      </c>
      <c r="AQ249">
        <v>0.42666666666666703</v>
      </c>
      <c r="AR249">
        <v>2445</v>
      </c>
      <c r="AS249">
        <v>38300</v>
      </c>
      <c r="AT249">
        <v>12000</v>
      </c>
    </row>
    <row r="250" spans="1:46">
      <c r="A250" t="s">
        <v>493</v>
      </c>
      <c r="B250">
        <v>7</v>
      </c>
      <c r="C250" t="s">
        <v>501</v>
      </c>
      <c r="D250">
        <v>2</v>
      </c>
      <c r="E250">
        <v>0</v>
      </c>
      <c r="F250">
        <v>0</v>
      </c>
      <c r="G250">
        <v>1</v>
      </c>
      <c r="H250">
        <v>0</v>
      </c>
      <c r="I250">
        <v>2</v>
      </c>
      <c r="J250">
        <v>3</v>
      </c>
      <c r="K250">
        <v>0</v>
      </c>
      <c r="L250">
        <v>0</v>
      </c>
      <c r="M250">
        <v>15000</v>
      </c>
      <c r="N250">
        <v>23000</v>
      </c>
      <c r="O250">
        <v>0</v>
      </c>
      <c r="P250">
        <v>4575</v>
      </c>
      <c r="Q250">
        <v>0</v>
      </c>
      <c r="R250">
        <v>30000</v>
      </c>
      <c r="S250">
        <v>46000</v>
      </c>
      <c r="T250">
        <v>0</v>
      </c>
      <c r="U250">
        <v>38000</v>
      </c>
      <c r="V250">
        <v>76000</v>
      </c>
      <c r="W250">
        <v>149000</v>
      </c>
      <c r="X250">
        <v>3.8</v>
      </c>
      <c r="Y250">
        <v>7.6</v>
      </c>
      <c r="Z250">
        <v>3072</v>
      </c>
      <c r="AA250">
        <v>1</v>
      </c>
      <c r="AB250">
        <v>3072</v>
      </c>
      <c r="AC250">
        <v>6144</v>
      </c>
      <c r="AD250">
        <v>11020</v>
      </c>
      <c r="AE250">
        <v>2.56</v>
      </c>
      <c r="AF250">
        <v>5.12</v>
      </c>
      <c r="AG250">
        <v>3072</v>
      </c>
      <c r="AH250">
        <v>6144</v>
      </c>
      <c r="AI250">
        <v>11034</v>
      </c>
      <c r="AJ250">
        <v>6.36</v>
      </c>
      <c r="AK250">
        <v>356</v>
      </c>
      <c r="AL250">
        <v>712</v>
      </c>
      <c r="AM250">
        <v>1550</v>
      </c>
      <c r="AN250">
        <v>3100</v>
      </c>
      <c r="AO250">
        <v>55.974842767295598</v>
      </c>
      <c r="AP250">
        <v>51.2</v>
      </c>
      <c r="AQ250">
        <v>0.85333333333333306</v>
      </c>
      <c r="AR250">
        <v>5517</v>
      </c>
      <c r="AS250">
        <v>76300</v>
      </c>
      <c r="AT250">
        <v>23000</v>
      </c>
    </row>
    <row r="251" spans="1:46">
      <c r="A251" t="s">
        <v>493</v>
      </c>
      <c r="B251">
        <v>8</v>
      </c>
      <c r="C251" t="s">
        <v>502</v>
      </c>
      <c r="D251">
        <v>2</v>
      </c>
      <c r="E251">
        <v>0</v>
      </c>
      <c r="F251">
        <v>0</v>
      </c>
      <c r="G251">
        <v>1</v>
      </c>
      <c r="H251">
        <v>0</v>
      </c>
      <c r="I251">
        <v>2</v>
      </c>
      <c r="J251">
        <v>3</v>
      </c>
      <c r="K251">
        <v>0</v>
      </c>
      <c r="L251">
        <v>0</v>
      </c>
      <c r="M251">
        <v>31000</v>
      </c>
      <c r="N251">
        <v>46000</v>
      </c>
      <c r="O251">
        <v>0</v>
      </c>
      <c r="P251">
        <v>9750</v>
      </c>
      <c r="Q251">
        <v>0</v>
      </c>
      <c r="R251">
        <v>62000</v>
      </c>
      <c r="S251">
        <v>92000</v>
      </c>
      <c r="T251">
        <v>0</v>
      </c>
      <c r="U251">
        <v>77000</v>
      </c>
      <c r="V251">
        <v>154000</v>
      </c>
      <c r="W251">
        <v>303000</v>
      </c>
      <c r="X251">
        <v>7.7</v>
      </c>
      <c r="Y251">
        <v>15.4</v>
      </c>
      <c r="Z251">
        <v>6144</v>
      </c>
      <c r="AA251">
        <v>1</v>
      </c>
      <c r="AB251">
        <v>6144</v>
      </c>
      <c r="AC251">
        <v>12288</v>
      </c>
      <c r="AD251">
        <v>23308</v>
      </c>
      <c r="AE251">
        <v>5.12</v>
      </c>
      <c r="AF251">
        <v>10.24</v>
      </c>
      <c r="AG251">
        <v>6144</v>
      </c>
      <c r="AH251">
        <v>12288</v>
      </c>
      <c r="AI251">
        <v>23322</v>
      </c>
      <c r="AJ251">
        <v>12.82</v>
      </c>
      <c r="AK251">
        <v>440</v>
      </c>
      <c r="AL251">
        <v>880</v>
      </c>
      <c r="AM251">
        <v>1990</v>
      </c>
      <c r="AN251">
        <v>3980</v>
      </c>
      <c r="AO251">
        <v>34.321372854914202</v>
      </c>
      <c r="AP251">
        <v>102.4</v>
      </c>
      <c r="AQ251">
        <v>1.7066666666666701</v>
      </c>
      <c r="AR251">
        <v>11661</v>
      </c>
      <c r="AS251">
        <v>153300</v>
      </c>
      <c r="AT251">
        <v>46000</v>
      </c>
    </row>
    <row r="252" spans="1:46">
      <c r="A252" t="s">
        <v>493</v>
      </c>
      <c r="B252">
        <v>9</v>
      </c>
      <c r="C252" t="s">
        <v>503</v>
      </c>
      <c r="D252">
        <v>2</v>
      </c>
      <c r="E252">
        <v>0</v>
      </c>
      <c r="F252">
        <v>0</v>
      </c>
      <c r="G252">
        <v>1</v>
      </c>
      <c r="H252">
        <v>0</v>
      </c>
      <c r="I252">
        <v>2</v>
      </c>
      <c r="J252">
        <v>3</v>
      </c>
      <c r="K252">
        <v>0</v>
      </c>
      <c r="L252">
        <v>0</v>
      </c>
      <c r="M252">
        <v>52000</v>
      </c>
      <c r="N252">
        <v>78000</v>
      </c>
      <c r="O252">
        <v>0</v>
      </c>
      <c r="P252">
        <v>13250</v>
      </c>
      <c r="Q252">
        <v>0</v>
      </c>
      <c r="R252">
        <v>104000</v>
      </c>
      <c r="S252">
        <v>156000</v>
      </c>
      <c r="T252">
        <v>0</v>
      </c>
      <c r="U252">
        <v>130000</v>
      </c>
      <c r="V252">
        <v>260000</v>
      </c>
      <c r="W252">
        <v>563000</v>
      </c>
      <c r="X252">
        <v>13</v>
      </c>
      <c r="Y252">
        <v>26</v>
      </c>
      <c r="Z252">
        <v>10445</v>
      </c>
      <c r="AA252">
        <v>1</v>
      </c>
      <c r="AB252">
        <v>10445</v>
      </c>
      <c r="AC252">
        <v>20890</v>
      </c>
      <c r="AD252">
        <v>44198</v>
      </c>
      <c r="AE252">
        <v>8.7041666666666693</v>
      </c>
      <c r="AF252">
        <v>17.408333333333299</v>
      </c>
      <c r="AG252">
        <v>10445</v>
      </c>
      <c r="AH252">
        <v>20890</v>
      </c>
      <c r="AI252">
        <v>44212</v>
      </c>
      <c r="AJ252">
        <v>21.704166666666701</v>
      </c>
      <c r="AK252">
        <v>520</v>
      </c>
      <c r="AL252">
        <v>1040</v>
      </c>
      <c r="AM252">
        <v>2510</v>
      </c>
      <c r="AN252">
        <v>5020</v>
      </c>
      <c r="AO252">
        <v>23.958533307736602</v>
      </c>
      <c r="AP252">
        <v>174.083333333333</v>
      </c>
      <c r="AQ252">
        <v>2.9013888888888899</v>
      </c>
      <c r="AR252">
        <v>22106</v>
      </c>
      <c r="AS252">
        <v>283300</v>
      </c>
      <c r="AT252">
        <v>78000</v>
      </c>
    </row>
    <row r="253" spans="1:46">
      <c r="A253" t="s">
        <v>493</v>
      </c>
      <c r="B253">
        <v>10</v>
      </c>
      <c r="C253" t="s">
        <v>504</v>
      </c>
      <c r="D253">
        <v>2</v>
      </c>
      <c r="E253">
        <v>0</v>
      </c>
      <c r="F253">
        <v>0</v>
      </c>
      <c r="G253">
        <v>1</v>
      </c>
      <c r="H253">
        <v>0</v>
      </c>
      <c r="I253">
        <v>2</v>
      </c>
      <c r="J253">
        <v>3</v>
      </c>
      <c r="K253">
        <v>0</v>
      </c>
      <c r="L253">
        <v>0</v>
      </c>
      <c r="M253">
        <v>89000</v>
      </c>
      <c r="N253">
        <v>130000</v>
      </c>
      <c r="O253">
        <v>0</v>
      </c>
      <c r="P253">
        <v>22250</v>
      </c>
      <c r="Q253">
        <v>0</v>
      </c>
      <c r="R253">
        <v>178000</v>
      </c>
      <c r="S253">
        <v>260000</v>
      </c>
      <c r="T253">
        <v>0</v>
      </c>
      <c r="U253">
        <v>219000</v>
      </c>
      <c r="V253">
        <v>438000</v>
      </c>
      <c r="W253">
        <v>1001000</v>
      </c>
      <c r="X253">
        <v>21.9</v>
      </c>
      <c r="Y253">
        <v>43.8</v>
      </c>
      <c r="Z253">
        <v>16712</v>
      </c>
      <c r="AA253">
        <v>1</v>
      </c>
      <c r="AB253">
        <v>16712</v>
      </c>
      <c r="AC253">
        <v>33424</v>
      </c>
      <c r="AD253">
        <v>77622</v>
      </c>
      <c r="AE253">
        <v>13.9266666666667</v>
      </c>
      <c r="AF253">
        <v>27.8533333333333</v>
      </c>
      <c r="AG253">
        <v>16712</v>
      </c>
      <c r="AH253">
        <v>33424</v>
      </c>
      <c r="AI253">
        <v>77636</v>
      </c>
      <c r="AJ253">
        <v>35.826666666666704</v>
      </c>
      <c r="AK253">
        <v>640</v>
      </c>
      <c r="AL253">
        <v>1280</v>
      </c>
      <c r="AM253">
        <v>3150</v>
      </c>
      <c r="AN253">
        <v>6300</v>
      </c>
      <c r="AO253">
        <v>17.863788611834799</v>
      </c>
      <c r="AP253">
        <v>278.53333333333302</v>
      </c>
      <c r="AQ253">
        <v>4.6422222222222196</v>
      </c>
      <c r="AR253">
        <v>38818</v>
      </c>
      <c r="AS253">
        <v>502300</v>
      </c>
      <c r="AT253">
        <v>130000</v>
      </c>
    </row>
    <row r="254" spans="1:46">
      <c r="A254" t="s">
        <v>493</v>
      </c>
      <c r="B254">
        <v>11</v>
      </c>
      <c r="C254" t="s">
        <v>505</v>
      </c>
      <c r="D254">
        <v>2</v>
      </c>
      <c r="E254">
        <v>0</v>
      </c>
      <c r="F254">
        <v>0</v>
      </c>
      <c r="G254">
        <v>1</v>
      </c>
      <c r="H254">
        <v>0</v>
      </c>
      <c r="I254">
        <v>2</v>
      </c>
      <c r="J254">
        <v>3</v>
      </c>
      <c r="K254">
        <v>2</v>
      </c>
      <c r="L254">
        <v>0</v>
      </c>
      <c r="M254">
        <v>100000</v>
      </c>
      <c r="N254">
        <v>150000</v>
      </c>
      <c r="O254">
        <v>100000</v>
      </c>
      <c r="P254">
        <v>32750</v>
      </c>
      <c r="Q254">
        <v>0</v>
      </c>
      <c r="R254">
        <v>200000</v>
      </c>
      <c r="S254">
        <v>300000</v>
      </c>
      <c r="T254">
        <v>200000</v>
      </c>
      <c r="U254">
        <v>350000</v>
      </c>
      <c r="V254">
        <v>700000</v>
      </c>
      <c r="W254">
        <v>1701000</v>
      </c>
      <c r="X254">
        <v>35</v>
      </c>
      <c r="Y254">
        <v>70</v>
      </c>
      <c r="Z254">
        <v>22561</v>
      </c>
      <c r="AA254">
        <v>1</v>
      </c>
      <c r="AB254">
        <v>22561</v>
      </c>
      <c r="AC254">
        <v>45122</v>
      </c>
      <c r="AD254">
        <v>122744</v>
      </c>
      <c r="AE254">
        <v>18.800833333333301</v>
      </c>
      <c r="AF254">
        <v>37.601666666666702</v>
      </c>
      <c r="AG254">
        <v>22561</v>
      </c>
      <c r="AH254">
        <v>45122</v>
      </c>
      <c r="AI254">
        <v>122758</v>
      </c>
      <c r="AJ254">
        <v>53.800833333333301</v>
      </c>
      <c r="AK254">
        <v>880</v>
      </c>
      <c r="AL254">
        <v>1760</v>
      </c>
      <c r="AM254">
        <v>4030</v>
      </c>
      <c r="AN254">
        <v>8060</v>
      </c>
      <c r="AO254">
        <v>16.356623968030199</v>
      </c>
      <c r="AP254">
        <v>376.01666666666699</v>
      </c>
      <c r="AQ254">
        <v>6.26694444444444</v>
      </c>
      <c r="AR254">
        <v>61379</v>
      </c>
      <c r="AS254">
        <v>852300</v>
      </c>
      <c r="AT254">
        <v>150000</v>
      </c>
    </row>
    <row r="255" spans="1:46">
      <c r="A255" t="s">
        <v>493</v>
      </c>
      <c r="B255">
        <v>12</v>
      </c>
      <c r="C255" t="s">
        <v>506</v>
      </c>
      <c r="D255">
        <v>2</v>
      </c>
      <c r="E255">
        <v>0</v>
      </c>
      <c r="F255">
        <v>0</v>
      </c>
      <c r="G255">
        <v>1</v>
      </c>
      <c r="H255">
        <v>0</v>
      </c>
      <c r="I255">
        <v>2</v>
      </c>
      <c r="J255">
        <v>3</v>
      </c>
      <c r="K255">
        <v>2</v>
      </c>
      <c r="L255">
        <v>0</v>
      </c>
      <c r="M255">
        <v>160000</v>
      </c>
      <c r="N255">
        <v>240000</v>
      </c>
      <c r="O255">
        <v>160000</v>
      </c>
      <c r="P255">
        <v>52500</v>
      </c>
      <c r="Q255">
        <v>0</v>
      </c>
      <c r="R255">
        <v>320000</v>
      </c>
      <c r="S255">
        <v>480000</v>
      </c>
      <c r="T255">
        <v>320000</v>
      </c>
      <c r="U255">
        <v>560000</v>
      </c>
      <c r="V255">
        <v>1120000</v>
      </c>
      <c r="W255">
        <v>2821000</v>
      </c>
      <c r="X255">
        <v>56</v>
      </c>
      <c r="Y255">
        <v>112</v>
      </c>
      <c r="Z255">
        <v>30457</v>
      </c>
      <c r="AA255">
        <v>1</v>
      </c>
      <c r="AB255">
        <v>30457</v>
      </c>
      <c r="AC255">
        <v>60914</v>
      </c>
      <c r="AD255">
        <v>183658</v>
      </c>
      <c r="AE255">
        <v>25.3808333333333</v>
      </c>
      <c r="AF255">
        <v>50.761666666666699</v>
      </c>
      <c r="AG255">
        <v>30457</v>
      </c>
      <c r="AH255">
        <v>60914</v>
      </c>
      <c r="AI255">
        <v>183672</v>
      </c>
      <c r="AJ255">
        <v>81.3808333333333</v>
      </c>
      <c r="AK255">
        <v>1200</v>
      </c>
      <c r="AL255">
        <v>2400</v>
      </c>
      <c r="AM255">
        <v>5230</v>
      </c>
      <c r="AN255">
        <v>10460</v>
      </c>
      <c r="AO255">
        <v>14.7454867546617</v>
      </c>
      <c r="AP255">
        <v>507.61666666666702</v>
      </c>
      <c r="AQ255">
        <v>8.4602777777777796</v>
      </c>
      <c r="AR255">
        <v>91836</v>
      </c>
      <c r="AS255">
        <v>1412300</v>
      </c>
      <c r="AT255">
        <v>240000</v>
      </c>
    </row>
    <row r="256" spans="1:46">
      <c r="A256" t="s">
        <v>493</v>
      </c>
      <c r="B256">
        <v>13</v>
      </c>
      <c r="C256" t="s">
        <v>507</v>
      </c>
      <c r="D256">
        <v>2</v>
      </c>
      <c r="E256">
        <v>0</v>
      </c>
      <c r="F256">
        <v>0</v>
      </c>
      <c r="G256">
        <v>1</v>
      </c>
      <c r="H256">
        <v>0</v>
      </c>
      <c r="I256">
        <v>2</v>
      </c>
      <c r="J256">
        <v>3</v>
      </c>
      <c r="K256">
        <v>2</v>
      </c>
      <c r="L256">
        <v>0</v>
      </c>
      <c r="M256">
        <v>260000</v>
      </c>
      <c r="N256">
        <v>390000</v>
      </c>
      <c r="O256">
        <v>260000</v>
      </c>
      <c r="P256">
        <v>87500</v>
      </c>
      <c r="Q256">
        <v>0</v>
      </c>
      <c r="R256">
        <v>520000</v>
      </c>
      <c r="S256">
        <v>780000</v>
      </c>
      <c r="T256">
        <v>520000</v>
      </c>
      <c r="U256">
        <v>910000</v>
      </c>
      <c r="V256">
        <v>1820000</v>
      </c>
      <c r="W256">
        <v>4641000</v>
      </c>
      <c r="X256">
        <v>91</v>
      </c>
      <c r="Y256">
        <v>182</v>
      </c>
      <c r="Z256">
        <v>41117</v>
      </c>
      <c r="AA256">
        <v>1</v>
      </c>
      <c r="AB256">
        <v>41117</v>
      </c>
      <c r="AC256">
        <v>82234</v>
      </c>
      <c r="AD256">
        <v>265892</v>
      </c>
      <c r="AE256">
        <v>34.264166666666704</v>
      </c>
      <c r="AF256">
        <v>68.528333333333293</v>
      </c>
      <c r="AG256">
        <v>41117</v>
      </c>
      <c r="AH256">
        <v>82234</v>
      </c>
      <c r="AI256">
        <v>265906</v>
      </c>
      <c r="AJ256">
        <v>125.26416666666699</v>
      </c>
      <c r="AK256">
        <v>1640</v>
      </c>
      <c r="AL256">
        <v>3280</v>
      </c>
      <c r="AM256">
        <v>6870</v>
      </c>
      <c r="AN256">
        <v>13740</v>
      </c>
      <c r="AO256">
        <v>13.0923315393468</v>
      </c>
      <c r="AP256">
        <v>685.28333333333296</v>
      </c>
      <c r="AQ256">
        <v>11.421388888888901</v>
      </c>
      <c r="AR256">
        <v>132953</v>
      </c>
      <c r="AS256">
        <v>2322300</v>
      </c>
      <c r="AT256">
        <v>390000</v>
      </c>
    </row>
    <row r="257" spans="1:46">
      <c r="A257" t="s">
        <v>493</v>
      </c>
      <c r="B257">
        <v>14</v>
      </c>
      <c r="C257" t="s">
        <v>508</v>
      </c>
      <c r="D257">
        <v>2</v>
      </c>
      <c r="E257">
        <v>0</v>
      </c>
      <c r="F257">
        <v>0</v>
      </c>
      <c r="G257">
        <v>1</v>
      </c>
      <c r="H257">
        <v>0</v>
      </c>
      <c r="I257">
        <v>2</v>
      </c>
      <c r="J257">
        <v>3</v>
      </c>
      <c r="K257">
        <v>2</v>
      </c>
      <c r="L257">
        <v>0</v>
      </c>
      <c r="M257">
        <v>420000</v>
      </c>
      <c r="N257">
        <v>620000</v>
      </c>
      <c r="O257">
        <v>420000</v>
      </c>
      <c r="P257">
        <v>137500</v>
      </c>
      <c r="Q257">
        <v>0</v>
      </c>
      <c r="R257">
        <v>840000</v>
      </c>
      <c r="S257">
        <v>1240000</v>
      </c>
      <c r="T257">
        <v>840000</v>
      </c>
      <c r="U257">
        <v>1460000</v>
      </c>
      <c r="V257">
        <v>2920000</v>
      </c>
      <c r="W257">
        <v>7561000</v>
      </c>
      <c r="X257">
        <v>146</v>
      </c>
      <c r="Y257">
        <v>292</v>
      </c>
      <c r="Z257">
        <v>55508</v>
      </c>
      <c r="AA257">
        <v>1</v>
      </c>
      <c r="AB257">
        <v>55508</v>
      </c>
      <c r="AC257">
        <v>111016</v>
      </c>
      <c r="AD257">
        <v>376908</v>
      </c>
      <c r="AE257">
        <v>46.256666666666703</v>
      </c>
      <c r="AF257">
        <v>92.513333333333307</v>
      </c>
      <c r="AG257">
        <v>55508</v>
      </c>
      <c r="AH257">
        <v>111016</v>
      </c>
      <c r="AI257">
        <v>376922</v>
      </c>
      <c r="AJ257">
        <v>192.256666666667</v>
      </c>
      <c r="AK257">
        <v>2200</v>
      </c>
      <c r="AL257">
        <v>4400</v>
      </c>
      <c r="AM257">
        <v>9070</v>
      </c>
      <c r="AN257">
        <v>18140</v>
      </c>
      <c r="AO257">
        <v>11.4430362189434</v>
      </c>
      <c r="AP257">
        <v>925.13333333333298</v>
      </c>
      <c r="AQ257">
        <v>15.418888888888899</v>
      </c>
      <c r="AR257">
        <v>188461</v>
      </c>
      <c r="AS257">
        <v>3782300</v>
      </c>
      <c r="AT257">
        <v>620000</v>
      </c>
    </row>
    <row r="258" spans="1:46">
      <c r="A258" t="s">
        <v>493</v>
      </c>
      <c r="B258">
        <v>15</v>
      </c>
      <c r="C258" t="s">
        <v>509</v>
      </c>
      <c r="D258">
        <v>2</v>
      </c>
      <c r="E258">
        <v>0</v>
      </c>
      <c r="F258">
        <v>0</v>
      </c>
      <c r="G258">
        <v>1</v>
      </c>
      <c r="H258">
        <v>0</v>
      </c>
      <c r="I258">
        <v>2</v>
      </c>
      <c r="J258">
        <v>3</v>
      </c>
      <c r="K258">
        <v>2</v>
      </c>
      <c r="L258">
        <v>0</v>
      </c>
      <c r="M258">
        <v>620000</v>
      </c>
      <c r="N258">
        <v>940000</v>
      </c>
      <c r="O258">
        <v>620000</v>
      </c>
      <c r="P258">
        <v>180000</v>
      </c>
      <c r="Q258">
        <v>0</v>
      </c>
      <c r="R258">
        <v>1240000</v>
      </c>
      <c r="S258">
        <v>1880000</v>
      </c>
      <c r="T258">
        <v>1240000</v>
      </c>
      <c r="U258">
        <v>2180000</v>
      </c>
      <c r="V258">
        <v>4360000</v>
      </c>
      <c r="W258">
        <v>11921000</v>
      </c>
      <c r="X258">
        <v>218</v>
      </c>
      <c r="Y258">
        <v>436</v>
      </c>
      <c r="Z258">
        <v>74936</v>
      </c>
      <c r="AA258">
        <v>1</v>
      </c>
      <c r="AB258">
        <v>74936</v>
      </c>
      <c r="AC258">
        <v>149872</v>
      </c>
      <c r="AD258">
        <v>526780</v>
      </c>
      <c r="AE258">
        <v>62.446666666666701</v>
      </c>
      <c r="AF258">
        <v>124.893333333333</v>
      </c>
      <c r="AG258">
        <v>74936</v>
      </c>
      <c r="AH258">
        <v>149872</v>
      </c>
      <c r="AI258">
        <v>526794</v>
      </c>
      <c r="AJ258">
        <v>280.446666666667</v>
      </c>
      <c r="AK258">
        <v>2960</v>
      </c>
      <c r="AL258">
        <v>5920</v>
      </c>
      <c r="AM258">
        <v>12030</v>
      </c>
      <c r="AN258">
        <v>24060</v>
      </c>
      <c r="AO258">
        <v>10.554591485012001</v>
      </c>
      <c r="AP258">
        <v>1248.93333333333</v>
      </c>
      <c r="AQ258">
        <v>20.815555555555601</v>
      </c>
      <c r="AR258">
        <v>263397</v>
      </c>
      <c r="AS258">
        <v>5962300</v>
      </c>
      <c r="AT258">
        <v>940000</v>
      </c>
    </row>
    <row r="259" spans="1:46">
      <c r="A259" t="s">
        <v>493</v>
      </c>
      <c r="B259">
        <v>16</v>
      </c>
      <c r="C259" t="s">
        <v>510</v>
      </c>
      <c r="D259">
        <v>2</v>
      </c>
      <c r="E259">
        <v>0</v>
      </c>
      <c r="F259">
        <v>0</v>
      </c>
      <c r="G259">
        <v>1</v>
      </c>
      <c r="H259">
        <v>0</v>
      </c>
      <c r="I259">
        <v>2</v>
      </c>
      <c r="J259">
        <v>3</v>
      </c>
      <c r="K259">
        <v>2</v>
      </c>
      <c r="L259">
        <v>0</v>
      </c>
      <c r="M259">
        <v>840000</v>
      </c>
      <c r="N259">
        <v>1300000</v>
      </c>
      <c r="O259">
        <v>840000</v>
      </c>
      <c r="P259">
        <v>200000</v>
      </c>
      <c r="Q259">
        <v>0</v>
      </c>
      <c r="R259">
        <v>1680000</v>
      </c>
      <c r="S259">
        <v>2600000</v>
      </c>
      <c r="T259">
        <v>1680000</v>
      </c>
      <c r="U259">
        <v>2980000</v>
      </c>
      <c r="V259">
        <v>5960000</v>
      </c>
      <c r="W259">
        <v>17881000</v>
      </c>
      <c r="X259">
        <v>298</v>
      </c>
      <c r="Y259">
        <v>596</v>
      </c>
      <c r="Z259">
        <v>101163</v>
      </c>
      <c r="AA259">
        <v>1</v>
      </c>
      <c r="AB259">
        <v>101163</v>
      </c>
      <c r="AC259">
        <v>202326</v>
      </c>
      <c r="AD259">
        <v>729106</v>
      </c>
      <c r="AE259">
        <v>84.302499999999995</v>
      </c>
      <c r="AF259">
        <v>168.60499999999999</v>
      </c>
      <c r="AG259">
        <v>101163</v>
      </c>
      <c r="AH259">
        <v>202326</v>
      </c>
      <c r="AI259">
        <v>729120</v>
      </c>
      <c r="AJ259">
        <v>382.30250000000001</v>
      </c>
      <c r="AK259">
        <v>4000</v>
      </c>
      <c r="AL259">
        <v>8000</v>
      </c>
      <c r="AM259">
        <v>16030</v>
      </c>
      <c r="AN259">
        <v>32060</v>
      </c>
      <c r="AO259">
        <v>10.4629187619751</v>
      </c>
      <c r="AP259">
        <v>1686.05</v>
      </c>
      <c r="AQ259">
        <v>28.100833333333298</v>
      </c>
      <c r="AR259">
        <v>364560</v>
      </c>
      <c r="AS259">
        <v>8942300</v>
      </c>
      <c r="AT259">
        <v>1300000</v>
      </c>
    </row>
    <row r="260" spans="1:46">
      <c r="A260" t="s">
        <v>493</v>
      </c>
      <c r="B260">
        <v>17</v>
      </c>
      <c r="C260" t="s">
        <v>511</v>
      </c>
      <c r="D260">
        <v>2</v>
      </c>
      <c r="E260">
        <v>0</v>
      </c>
      <c r="F260">
        <v>0</v>
      </c>
      <c r="G260">
        <v>1</v>
      </c>
      <c r="H260">
        <v>0</v>
      </c>
      <c r="I260">
        <v>2</v>
      </c>
      <c r="J260">
        <v>3</v>
      </c>
      <c r="K260">
        <v>2</v>
      </c>
      <c r="L260">
        <v>0</v>
      </c>
      <c r="M260">
        <v>1100000</v>
      </c>
      <c r="N260">
        <v>1700000</v>
      </c>
      <c r="O260">
        <v>1100000</v>
      </c>
      <c r="P260">
        <v>230000</v>
      </c>
      <c r="Q260">
        <v>0</v>
      </c>
      <c r="R260">
        <v>2200000</v>
      </c>
      <c r="S260">
        <v>3400000</v>
      </c>
      <c r="T260">
        <v>2200000</v>
      </c>
      <c r="U260">
        <v>3900000</v>
      </c>
      <c r="V260">
        <v>7800000</v>
      </c>
      <c r="W260">
        <v>25681000</v>
      </c>
      <c r="X260">
        <v>390</v>
      </c>
      <c r="Y260">
        <v>780</v>
      </c>
      <c r="Z260">
        <v>136570</v>
      </c>
      <c r="AA260">
        <v>1</v>
      </c>
      <c r="AB260">
        <v>136570</v>
      </c>
      <c r="AC260">
        <v>273140</v>
      </c>
      <c r="AD260">
        <v>1002246</v>
      </c>
      <c r="AE260">
        <v>113.808333333333</v>
      </c>
      <c r="AF260">
        <v>227.61666666666699</v>
      </c>
      <c r="AG260">
        <v>136570</v>
      </c>
      <c r="AH260">
        <v>273140</v>
      </c>
      <c r="AI260">
        <v>1002260</v>
      </c>
      <c r="AJ260">
        <v>503.808333333333</v>
      </c>
      <c r="AK260">
        <v>5600</v>
      </c>
      <c r="AL260">
        <v>11200</v>
      </c>
      <c r="AM260">
        <v>21630</v>
      </c>
      <c r="AN260">
        <v>43260</v>
      </c>
      <c r="AO260">
        <v>11.115338174239501</v>
      </c>
      <c r="AP260">
        <v>2276.1666666666702</v>
      </c>
      <c r="AQ260">
        <v>37.936111111111103</v>
      </c>
      <c r="AR260">
        <v>501130</v>
      </c>
      <c r="AS260">
        <v>12842300</v>
      </c>
      <c r="AT260">
        <v>1700000</v>
      </c>
    </row>
    <row r="261" spans="1:46">
      <c r="A261" t="s">
        <v>493</v>
      </c>
      <c r="B261">
        <v>18</v>
      </c>
      <c r="C261" t="s">
        <v>512</v>
      </c>
      <c r="D261">
        <v>2</v>
      </c>
      <c r="E261">
        <v>0</v>
      </c>
      <c r="F261">
        <v>0</v>
      </c>
      <c r="G261">
        <v>1</v>
      </c>
      <c r="H261">
        <v>0</v>
      </c>
      <c r="I261">
        <v>2</v>
      </c>
      <c r="J261">
        <v>3</v>
      </c>
      <c r="K261">
        <v>2</v>
      </c>
      <c r="L261">
        <v>0</v>
      </c>
      <c r="M261">
        <v>1400000</v>
      </c>
      <c r="N261">
        <v>2100000</v>
      </c>
      <c r="O261">
        <v>1400000</v>
      </c>
      <c r="P261">
        <v>250000</v>
      </c>
      <c r="Q261">
        <v>0</v>
      </c>
      <c r="R261">
        <v>2800000</v>
      </c>
      <c r="S261">
        <v>4200000</v>
      </c>
      <c r="T261">
        <v>2800000</v>
      </c>
      <c r="U261">
        <v>4900000</v>
      </c>
      <c r="V261">
        <v>9800000</v>
      </c>
      <c r="W261">
        <v>35481000</v>
      </c>
      <c r="X261">
        <v>490</v>
      </c>
      <c r="Y261">
        <v>980</v>
      </c>
      <c r="Z261">
        <v>184370</v>
      </c>
      <c r="AA261">
        <v>1</v>
      </c>
      <c r="AB261">
        <v>184370</v>
      </c>
      <c r="AC261">
        <v>368740</v>
      </c>
      <c r="AD261">
        <v>1370986</v>
      </c>
      <c r="AE261">
        <v>153.64166666666699</v>
      </c>
      <c r="AF261">
        <v>307.28333333333302</v>
      </c>
      <c r="AG261">
        <v>184370</v>
      </c>
      <c r="AH261">
        <v>368740</v>
      </c>
      <c r="AI261">
        <v>1371000</v>
      </c>
      <c r="AJ261">
        <v>643.64166666666699</v>
      </c>
      <c r="AK261">
        <v>7600</v>
      </c>
      <c r="AL261">
        <v>15200</v>
      </c>
      <c r="AM261">
        <v>29230</v>
      </c>
      <c r="AN261">
        <v>58460</v>
      </c>
      <c r="AO261">
        <v>11.8078123179305</v>
      </c>
      <c r="AP261">
        <v>3072.8333333333298</v>
      </c>
      <c r="AQ261">
        <v>51.213888888888903</v>
      </c>
      <c r="AR261">
        <v>685500</v>
      </c>
      <c r="AS261">
        <v>17742300</v>
      </c>
      <c r="AT261">
        <v>2100000</v>
      </c>
    </row>
    <row r="262" spans="1:46">
      <c r="A262" t="s">
        <v>493</v>
      </c>
      <c r="B262">
        <v>19</v>
      </c>
      <c r="C262" t="s">
        <v>513</v>
      </c>
      <c r="D262">
        <v>2</v>
      </c>
      <c r="E262">
        <v>0</v>
      </c>
      <c r="F262">
        <v>0</v>
      </c>
      <c r="G262">
        <v>1</v>
      </c>
      <c r="H262">
        <v>0</v>
      </c>
      <c r="I262">
        <v>2</v>
      </c>
      <c r="J262">
        <v>3</v>
      </c>
      <c r="K262">
        <v>2</v>
      </c>
      <c r="L262">
        <v>0</v>
      </c>
      <c r="M262">
        <v>1900000</v>
      </c>
      <c r="N262">
        <v>2800000</v>
      </c>
      <c r="O262">
        <v>1900000</v>
      </c>
      <c r="P262">
        <v>425000</v>
      </c>
      <c r="Q262">
        <v>0</v>
      </c>
      <c r="R262">
        <v>3800000</v>
      </c>
      <c r="S262">
        <v>5600000</v>
      </c>
      <c r="T262">
        <v>3800000</v>
      </c>
      <c r="U262">
        <v>6600000</v>
      </c>
      <c r="V262">
        <v>13200000</v>
      </c>
      <c r="W262">
        <v>48681000</v>
      </c>
      <c r="X262">
        <v>660</v>
      </c>
      <c r="Y262">
        <v>1320</v>
      </c>
      <c r="Z262">
        <v>276555</v>
      </c>
      <c r="AA262">
        <v>1</v>
      </c>
      <c r="AB262">
        <v>276555</v>
      </c>
      <c r="AC262">
        <v>553110</v>
      </c>
      <c r="AD262">
        <v>1924096</v>
      </c>
      <c r="AE262">
        <v>230.46250000000001</v>
      </c>
      <c r="AF262">
        <v>460.92500000000001</v>
      </c>
      <c r="AG262">
        <v>276555</v>
      </c>
      <c r="AH262">
        <v>553110</v>
      </c>
      <c r="AI262">
        <v>1924110</v>
      </c>
      <c r="AJ262">
        <v>890.46249999999998</v>
      </c>
      <c r="AK262">
        <v>10400</v>
      </c>
      <c r="AL262">
        <v>20800</v>
      </c>
      <c r="AM262">
        <v>39630</v>
      </c>
      <c r="AN262">
        <v>79260</v>
      </c>
      <c r="AO262">
        <v>11.6793239468254</v>
      </c>
      <c r="AP262">
        <v>4609.25</v>
      </c>
      <c r="AQ262">
        <v>76.820833333333297</v>
      </c>
      <c r="AR262">
        <v>962055</v>
      </c>
      <c r="AS262">
        <v>24342300</v>
      </c>
      <c r="AT262">
        <v>2800000</v>
      </c>
    </row>
    <row r="263" spans="1:46">
      <c r="A263" t="s">
        <v>493</v>
      </c>
      <c r="B263">
        <v>20</v>
      </c>
      <c r="C263" t="s">
        <v>514</v>
      </c>
      <c r="D263">
        <v>2</v>
      </c>
      <c r="E263">
        <v>0</v>
      </c>
      <c r="F263">
        <v>0</v>
      </c>
      <c r="G263">
        <v>1</v>
      </c>
      <c r="H263">
        <v>0</v>
      </c>
      <c r="I263">
        <v>2</v>
      </c>
      <c r="J263">
        <v>3</v>
      </c>
      <c r="K263">
        <v>2</v>
      </c>
      <c r="L263">
        <v>0</v>
      </c>
      <c r="M263">
        <v>2400000</v>
      </c>
      <c r="N263">
        <v>3600000</v>
      </c>
      <c r="O263">
        <v>2400000</v>
      </c>
      <c r="P263">
        <v>450000</v>
      </c>
      <c r="Q263">
        <v>0</v>
      </c>
      <c r="R263">
        <v>4800000</v>
      </c>
      <c r="S263">
        <v>7200000</v>
      </c>
      <c r="T263">
        <v>4800000</v>
      </c>
      <c r="U263">
        <v>8400000</v>
      </c>
      <c r="V263">
        <v>16800000</v>
      </c>
      <c r="W263">
        <v>65481000</v>
      </c>
      <c r="X263">
        <v>840</v>
      </c>
      <c r="Y263">
        <v>1680</v>
      </c>
      <c r="Z263">
        <v>414833</v>
      </c>
      <c r="AA263">
        <v>1</v>
      </c>
      <c r="AB263">
        <v>414833</v>
      </c>
      <c r="AC263">
        <v>829666</v>
      </c>
      <c r="AD263">
        <v>2753762</v>
      </c>
      <c r="AE263">
        <v>345.694166666667</v>
      </c>
      <c r="AF263">
        <v>691.38833333333298</v>
      </c>
      <c r="AG263">
        <v>414833</v>
      </c>
      <c r="AH263">
        <v>829666</v>
      </c>
      <c r="AI263">
        <v>2753776</v>
      </c>
      <c r="AJ263">
        <v>1185.6941666666701</v>
      </c>
      <c r="AK263">
        <v>14000</v>
      </c>
      <c r="AL263">
        <v>28000</v>
      </c>
      <c r="AM263">
        <v>53630</v>
      </c>
      <c r="AN263">
        <v>107260</v>
      </c>
      <c r="AO263">
        <v>11.807429262605</v>
      </c>
      <c r="AP263">
        <v>6913.8833333333296</v>
      </c>
      <c r="AQ263">
        <v>115.231388888889</v>
      </c>
      <c r="AR263">
        <v>1376888</v>
      </c>
      <c r="AS263">
        <v>32742300</v>
      </c>
      <c r="AT263">
        <v>3600000</v>
      </c>
    </row>
    <row r="264" spans="1:46">
      <c r="A264" t="s">
        <v>469</v>
      </c>
      <c r="B264">
        <v>1</v>
      </c>
      <c r="C264" t="s">
        <v>470</v>
      </c>
      <c r="D264">
        <v>1</v>
      </c>
      <c r="E264">
        <v>0</v>
      </c>
      <c r="F264">
        <v>0</v>
      </c>
      <c r="G264">
        <v>1</v>
      </c>
      <c r="H264">
        <v>0</v>
      </c>
      <c r="I264">
        <v>2</v>
      </c>
      <c r="J264">
        <v>0</v>
      </c>
      <c r="K264">
        <v>0</v>
      </c>
      <c r="L264">
        <v>0</v>
      </c>
      <c r="M264">
        <v>600</v>
      </c>
      <c r="N264">
        <v>0</v>
      </c>
      <c r="O264">
        <v>0</v>
      </c>
      <c r="P264">
        <v>150</v>
      </c>
      <c r="Q264">
        <v>0</v>
      </c>
      <c r="R264">
        <v>600</v>
      </c>
      <c r="S264">
        <v>0</v>
      </c>
      <c r="T264">
        <v>0</v>
      </c>
      <c r="U264">
        <v>600</v>
      </c>
      <c r="V264">
        <v>600</v>
      </c>
      <c r="W264">
        <v>600</v>
      </c>
      <c r="X264">
        <v>0.06</v>
      </c>
      <c r="Y264">
        <v>0.06</v>
      </c>
      <c r="Z264">
        <v>48</v>
      </c>
      <c r="AA264">
        <v>1E-3</v>
      </c>
      <c r="AB264">
        <v>1</v>
      </c>
      <c r="AC264">
        <v>1</v>
      </c>
      <c r="AD264">
        <v>1</v>
      </c>
      <c r="AE264">
        <v>8.3333333333333295E-4</v>
      </c>
      <c r="AF264">
        <v>8.3333333333333295E-4</v>
      </c>
      <c r="AG264">
        <v>1</v>
      </c>
      <c r="AH264">
        <v>1</v>
      </c>
      <c r="AI264">
        <v>1</v>
      </c>
      <c r="AJ264">
        <v>6.0833333333333302E-2</v>
      </c>
      <c r="AK264">
        <v>120</v>
      </c>
      <c r="AL264">
        <v>120</v>
      </c>
      <c r="AM264">
        <v>120</v>
      </c>
      <c r="AN264">
        <v>120</v>
      </c>
      <c r="AO264">
        <v>1972.60273972603</v>
      </c>
      <c r="AP264">
        <v>1.6666666666666701E-2</v>
      </c>
      <c r="AQ264">
        <v>2.7777777777777799E-4</v>
      </c>
      <c r="AR264">
        <v>1</v>
      </c>
      <c r="AS264">
        <v>600</v>
      </c>
      <c r="AT264">
        <v>600</v>
      </c>
    </row>
    <row r="265" spans="1:46">
      <c r="A265" t="s">
        <v>469</v>
      </c>
      <c r="B265">
        <v>2</v>
      </c>
      <c r="C265" t="s">
        <v>474</v>
      </c>
      <c r="D265">
        <v>1</v>
      </c>
      <c r="E265">
        <v>0</v>
      </c>
      <c r="F265">
        <v>0</v>
      </c>
      <c r="G265">
        <v>1</v>
      </c>
      <c r="H265">
        <v>0</v>
      </c>
      <c r="I265">
        <v>2</v>
      </c>
      <c r="J265">
        <v>0</v>
      </c>
      <c r="K265">
        <v>0</v>
      </c>
      <c r="L265">
        <v>0</v>
      </c>
      <c r="M265">
        <v>1200</v>
      </c>
      <c r="N265">
        <v>0</v>
      </c>
      <c r="O265">
        <v>0</v>
      </c>
      <c r="P265">
        <v>150</v>
      </c>
      <c r="Q265">
        <v>0</v>
      </c>
      <c r="R265">
        <v>1200</v>
      </c>
      <c r="S265">
        <v>0</v>
      </c>
      <c r="T265">
        <v>0</v>
      </c>
      <c r="U265">
        <v>1200</v>
      </c>
      <c r="V265">
        <v>1200</v>
      </c>
      <c r="W265">
        <v>1200</v>
      </c>
      <c r="X265">
        <v>0.12</v>
      </c>
      <c r="Y265">
        <v>0.12</v>
      </c>
      <c r="Z265">
        <v>96</v>
      </c>
      <c r="AA265">
        <v>6.0999999999999999E-2</v>
      </c>
      <c r="AB265">
        <v>6</v>
      </c>
      <c r="AC265">
        <v>6</v>
      </c>
      <c r="AD265">
        <v>6</v>
      </c>
      <c r="AE265">
        <v>5.0000000000000001E-3</v>
      </c>
      <c r="AF265">
        <v>5.0000000000000001E-3</v>
      </c>
      <c r="AG265">
        <v>6</v>
      </c>
      <c r="AH265">
        <v>6</v>
      </c>
      <c r="AI265">
        <v>7</v>
      </c>
      <c r="AJ265">
        <v>0.125</v>
      </c>
      <c r="AK265">
        <v>144</v>
      </c>
      <c r="AL265">
        <v>144</v>
      </c>
      <c r="AM265">
        <v>260</v>
      </c>
      <c r="AN265">
        <v>260</v>
      </c>
      <c r="AO265">
        <v>1152</v>
      </c>
      <c r="AP265">
        <v>0.1</v>
      </c>
      <c r="AQ265">
        <v>1.66666666666667E-3</v>
      </c>
      <c r="AR265">
        <v>7</v>
      </c>
      <c r="AS265">
        <v>1800</v>
      </c>
      <c r="AT265">
        <v>1200</v>
      </c>
    </row>
    <row r="266" spans="1:46">
      <c r="A266" t="s">
        <v>469</v>
      </c>
      <c r="B266">
        <v>3</v>
      </c>
      <c r="C266" t="s">
        <v>475</v>
      </c>
      <c r="D266">
        <v>1</v>
      </c>
      <c r="E266">
        <v>0</v>
      </c>
      <c r="F266">
        <v>0</v>
      </c>
      <c r="G266">
        <v>1</v>
      </c>
      <c r="H266">
        <v>0</v>
      </c>
      <c r="I266">
        <v>2</v>
      </c>
      <c r="J266">
        <v>0</v>
      </c>
      <c r="K266">
        <v>0</v>
      </c>
      <c r="L266">
        <v>0</v>
      </c>
      <c r="M266">
        <v>2400</v>
      </c>
      <c r="N266">
        <v>0</v>
      </c>
      <c r="O266">
        <v>0</v>
      </c>
      <c r="P266">
        <v>300</v>
      </c>
      <c r="Q266">
        <v>0</v>
      </c>
      <c r="R266">
        <v>2400</v>
      </c>
      <c r="S266">
        <v>0</v>
      </c>
      <c r="T266">
        <v>0</v>
      </c>
      <c r="U266">
        <v>2400</v>
      </c>
      <c r="V266">
        <v>2400</v>
      </c>
      <c r="W266">
        <v>2400</v>
      </c>
      <c r="X266">
        <v>0.24</v>
      </c>
      <c r="Y266">
        <v>0.24</v>
      </c>
      <c r="Z266">
        <v>192</v>
      </c>
      <c r="AA266">
        <v>0.1</v>
      </c>
      <c r="AB266">
        <v>19</v>
      </c>
      <c r="AC266">
        <v>19</v>
      </c>
      <c r="AD266">
        <v>19</v>
      </c>
      <c r="AE266">
        <v>1.58333333333333E-2</v>
      </c>
      <c r="AF266">
        <v>1.58333333333333E-2</v>
      </c>
      <c r="AG266">
        <v>19</v>
      </c>
      <c r="AH266">
        <v>19</v>
      </c>
      <c r="AI266">
        <v>26</v>
      </c>
      <c r="AJ266">
        <v>0.25583333333333302</v>
      </c>
      <c r="AK266">
        <v>172</v>
      </c>
      <c r="AL266">
        <v>172</v>
      </c>
      <c r="AM266">
        <v>430</v>
      </c>
      <c r="AN266">
        <v>430</v>
      </c>
      <c r="AO266">
        <v>672.31270358306199</v>
      </c>
      <c r="AP266">
        <v>0.31666666666666698</v>
      </c>
      <c r="AQ266">
        <v>5.2777777777777797E-3</v>
      </c>
      <c r="AR266">
        <v>26</v>
      </c>
      <c r="AS266">
        <v>4200</v>
      </c>
      <c r="AT266">
        <v>2400</v>
      </c>
    </row>
    <row r="267" spans="1:46">
      <c r="A267" t="s">
        <v>469</v>
      </c>
      <c r="B267">
        <v>4</v>
      </c>
      <c r="C267" t="s">
        <v>476</v>
      </c>
      <c r="D267">
        <v>1</v>
      </c>
      <c r="E267">
        <v>0</v>
      </c>
      <c r="F267">
        <v>0</v>
      </c>
      <c r="G267">
        <v>1</v>
      </c>
      <c r="H267">
        <v>0</v>
      </c>
      <c r="I267">
        <v>2</v>
      </c>
      <c r="J267">
        <v>0</v>
      </c>
      <c r="K267">
        <v>0</v>
      </c>
      <c r="L267">
        <v>0</v>
      </c>
      <c r="M267">
        <v>4800</v>
      </c>
      <c r="N267">
        <v>0</v>
      </c>
      <c r="O267">
        <v>0</v>
      </c>
      <c r="P267">
        <v>600</v>
      </c>
      <c r="Q267">
        <v>0</v>
      </c>
      <c r="R267">
        <v>4800</v>
      </c>
      <c r="S267">
        <v>0</v>
      </c>
      <c r="T267">
        <v>0</v>
      </c>
      <c r="U267">
        <v>4800</v>
      </c>
      <c r="V267">
        <v>4800</v>
      </c>
      <c r="W267">
        <v>7200</v>
      </c>
      <c r="X267">
        <v>0.48</v>
      </c>
      <c r="Y267">
        <v>0.48</v>
      </c>
      <c r="Z267">
        <v>384</v>
      </c>
      <c r="AA267">
        <v>0.5</v>
      </c>
      <c r="AB267">
        <v>192</v>
      </c>
      <c r="AC267">
        <v>192</v>
      </c>
      <c r="AD267">
        <v>211</v>
      </c>
      <c r="AE267">
        <v>0.16</v>
      </c>
      <c r="AF267">
        <v>0.16</v>
      </c>
      <c r="AG267">
        <v>192</v>
      </c>
      <c r="AH267">
        <v>192</v>
      </c>
      <c r="AI267">
        <v>218</v>
      </c>
      <c r="AJ267">
        <v>0.64</v>
      </c>
      <c r="AK267">
        <v>208</v>
      </c>
      <c r="AL267">
        <v>208</v>
      </c>
      <c r="AM267">
        <v>640</v>
      </c>
      <c r="AN267">
        <v>640</v>
      </c>
      <c r="AO267">
        <v>325</v>
      </c>
      <c r="AP267">
        <v>3.2</v>
      </c>
      <c r="AQ267">
        <v>5.3333333333333302E-2</v>
      </c>
      <c r="AR267">
        <v>218</v>
      </c>
      <c r="AS267">
        <v>9000</v>
      </c>
      <c r="AT267">
        <v>4800</v>
      </c>
    </row>
    <row r="268" spans="1:46">
      <c r="A268" t="s">
        <v>469</v>
      </c>
      <c r="B268">
        <v>5</v>
      </c>
      <c r="C268" t="s">
        <v>477</v>
      </c>
      <c r="D268">
        <v>1</v>
      </c>
      <c r="E268">
        <v>0</v>
      </c>
      <c r="F268">
        <v>0</v>
      </c>
      <c r="G268">
        <v>1</v>
      </c>
      <c r="H268">
        <v>0</v>
      </c>
      <c r="I268">
        <v>2</v>
      </c>
      <c r="J268">
        <v>0</v>
      </c>
      <c r="K268">
        <v>0</v>
      </c>
      <c r="L268">
        <v>0</v>
      </c>
      <c r="M268">
        <v>9600</v>
      </c>
      <c r="N268">
        <v>0</v>
      </c>
      <c r="O268">
        <v>0</v>
      </c>
      <c r="P268">
        <v>1200</v>
      </c>
      <c r="Q268">
        <v>0</v>
      </c>
      <c r="R268">
        <v>9600</v>
      </c>
      <c r="S268">
        <v>0</v>
      </c>
      <c r="T268">
        <v>0</v>
      </c>
      <c r="U268">
        <v>9600</v>
      </c>
      <c r="V268">
        <v>9600</v>
      </c>
      <c r="W268">
        <v>16800</v>
      </c>
      <c r="X268">
        <v>0.96</v>
      </c>
      <c r="Y268">
        <v>0.96</v>
      </c>
      <c r="Z268">
        <v>768</v>
      </c>
      <c r="AA268">
        <v>0.9</v>
      </c>
      <c r="AB268">
        <v>691</v>
      </c>
      <c r="AC268">
        <v>691</v>
      </c>
      <c r="AD268">
        <v>902</v>
      </c>
      <c r="AE268">
        <v>0.57583333333333298</v>
      </c>
      <c r="AF268">
        <v>0.57583333333333298</v>
      </c>
      <c r="AG268">
        <v>691</v>
      </c>
      <c r="AH268">
        <v>691</v>
      </c>
      <c r="AI268">
        <v>909</v>
      </c>
      <c r="AJ268">
        <v>1.5358333333333301</v>
      </c>
      <c r="AK268">
        <v>248</v>
      </c>
      <c r="AL268">
        <v>248</v>
      </c>
      <c r="AM268">
        <v>890</v>
      </c>
      <c r="AN268">
        <v>890</v>
      </c>
      <c r="AO268">
        <v>161.47585458491599</v>
      </c>
      <c r="AP268">
        <v>11.516666666666699</v>
      </c>
      <c r="AQ268">
        <v>0.191944444444444</v>
      </c>
      <c r="AR268">
        <v>909</v>
      </c>
      <c r="AS268">
        <v>18600</v>
      </c>
      <c r="AT268">
        <v>9600</v>
      </c>
    </row>
    <row r="269" spans="1:46">
      <c r="A269" t="s">
        <v>469</v>
      </c>
      <c r="B269">
        <v>6</v>
      </c>
      <c r="C269" t="s">
        <v>478</v>
      </c>
      <c r="D269">
        <v>1</v>
      </c>
      <c r="E269">
        <v>0</v>
      </c>
      <c r="F269">
        <v>0</v>
      </c>
      <c r="G269">
        <v>1</v>
      </c>
      <c r="H269">
        <v>0</v>
      </c>
      <c r="I269">
        <v>2</v>
      </c>
      <c r="J269">
        <v>3</v>
      </c>
      <c r="K269">
        <v>0</v>
      </c>
      <c r="L269">
        <v>0</v>
      </c>
      <c r="M269">
        <v>7700</v>
      </c>
      <c r="N269">
        <v>12000</v>
      </c>
      <c r="O269">
        <v>0</v>
      </c>
      <c r="P269">
        <v>2525</v>
      </c>
      <c r="Q269">
        <v>0</v>
      </c>
      <c r="R269">
        <v>7700</v>
      </c>
      <c r="S269">
        <v>12000</v>
      </c>
      <c r="T269">
        <v>0</v>
      </c>
      <c r="U269">
        <v>19700</v>
      </c>
      <c r="V269">
        <v>19700</v>
      </c>
      <c r="W269">
        <v>36500</v>
      </c>
      <c r="X269">
        <v>1.97</v>
      </c>
      <c r="Y269">
        <v>1.97</v>
      </c>
      <c r="Z269">
        <v>1536</v>
      </c>
      <c r="AA269">
        <v>1</v>
      </c>
      <c r="AB269">
        <v>1536</v>
      </c>
      <c r="AC269">
        <v>1536</v>
      </c>
      <c r="AD269">
        <v>2438</v>
      </c>
      <c r="AE269">
        <v>1.28</v>
      </c>
      <c r="AF269">
        <v>1.28</v>
      </c>
      <c r="AG269">
        <v>1536</v>
      </c>
      <c r="AH269">
        <v>1536</v>
      </c>
      <c r="AI269">
        <v>2445</v>
      </c>
      <c r="AJ269">
        <v>3.25</v>
      </c>
      <c r="AK269">
        <v>296</v>
      </c>
      <c r="AL269">
        <v>296</v>
      </c>
      <c r="AM269">
        <v>1190</v>
      </c>
      <c r="AN269">
        <v>1190</v>
      </c>
      <c r="AO269">
        <v>91.076923076923094</v>
      </c>
      <c r="AP269">
        <v>25.6</v>
      </c>
      <c r="AQ269">
        <v>0.42666666666666703</v>
      </c>
      <c r="AR269">
        <v>2445</v>
      </c>
      <c r="AS269">
        <v>38300</v>
      </c>
      <c r="AT269">
        <v>12000</v>
      </c>
    </row>
    <row r="270" spans="1:46">
      <c r="A270" t="s">
        <v>469</v>
      </c>
      <c r="B270">
        <v>7</v>
      </c>
      <c r="C270" t="s">
        <v>479</v>
      </c>
      <c r="D270">
        <v>1</v>
      </c>
      <c r="E270">
        <v>0</v>
      </c>
      <c r="F270">
        <v>0</v>
      </c>
      <c r="G270">
        <v>1</v>
      </c>
      <c r="H270">
        <v>0</v>
      </c>
      <c r="I270">
        <v>2</v>
      </c>
      <c r="J270">
        <v>3</v>
      </c>
      <c r="K270">
        <v>0</v>
      </c>
      <c r="L270">
        <v>0</v>
      </c>
      <c r="M270">
        <v>15000</v>
      </c>
      <c r="N270">
        <v>23000</v>
      </c>
      <c r="O270">
        <v>0</v>
      </c>
      <c r="P270">
        <v>4575</v>
      </c>
      <c r="Q270">
        <v>0</v>
      </c>
      <c r="R270">
        <v>15000</v>
      </c>
      <c r="S270">
        <v>23000</v>
      </c>
      <c r="T270">
        <v>0</v>
      </c>
      <c r="U270">
        <v>38000</v>
      </c>
      <c r="V270">
        <v>38000</v>
      </c>
      <c r="W270">
        <v>74500</v>
      </c>
      <c r="X270">
        <v>3.8</v>
      </c>
      <c r="Y270">
        <v>3.8</v>
      </c>
      <c r="Z270">
        <v>3072</v>
      </c>
      <c r="AA270">
        <v>1</v>
      </c>
      <c r="AB270">
        <v>3072</v>
      </c>
      <c r="AC270">
        <v>3072</v>
      </c>
      <c r="AD270">
        <v>5510</v>
      </c>
      <c r="AE270">
        <v>2.56</v>
      </c>
      <c r="AF270">
        <v>2.56</v>
      </c>
      <c r="AG270">
        <v>3072</v>
      </c>
      <c r="AH270">
        <v>3072</v>
      </c>
      <c r="AI270">
        <v>5517</v>
      </c>
      <c r="AJ270">
        <v>6.36</v>
      </c>
      <c r="AK270">
        <v>356</v>
      </c>
      <c r="AL270">
        <v>356</v>
      </c>
      <c r="AM270">
        <v>1550</v>
      </c>
      <c r="AN270">
        <v>1550</v>
      </c>
      <c r="AO270">
        <v>55.974842767295598</v>
      </c>
      <c r="AP270">
        <v>51.2</v>
      </c>
      <c r="AQ270">
        <v>0.85333333333333306</v>
      </c>
      <c r="AR270">
        <v>5517</v>
      </c>
      <c r="AS270">
        <v>76300</v>
      </c>
      <c r="AT270">
        <v>23000</v>
      </c>
    </row>
    <row r="271" spans="1:46">
      <c r="A271" t="s">
        <v>469</v>
      </c>
      <c r="B271">
        <v>8</v>
      </c>
      <c r="C271" t="s">
        <v>480</v>
      </c>
      <c r="D271">
        <v>1</v>
      </c>
      <c r="E271">
        <v>0</v>
      </c>
      <c r="F271">
        <v>0</v>
      </c>
      <c r="G271">
        <v>1</v>
      </c>
      <c r="H271">
        <v>0</v>
      </c>
      <c r="I271">
        <v>2</v>
      </c>
      <c r="J271">
        <v>3</v>
      </c>
      <c r="K271">
        <v>0</v>
      </c>
      <c r="L271">
        <v>0</v>
      </c>
      <c r="M271">
        <v>31000</v>
      </c>
      <c r="N271">
        <v>46000</v>
      </c>
      <c r="O271">
        <v>0</v>
      </c>
      <c r="P271">
        <v>9750</v>
      </c>
      <c r="Q271">
        <v>0</v>
      </c>
      <c r="R271">
        <v>31000</v>
      </c>
      <c r="S271">
        <v>46000</v>
      </c>
      <c r="T271">
        <v>0</v>
      </c>
      <c r="U271">
        <v>77000</v>
      </c>
      <c r="V271">
        <v>77000</v>
      </c>
      <c r="W271">
        <v>151500</v>
      </c>
      <c r="X271">
        <v>7.7</v>
      </c>
      <c r="Y271">
        <v>7.7</v>
      </c>
      <c r="Z271">
        <v>6144</v>
      </c>
      <c r="AA271">
        <v>1</v>
      </c>
      <c r="AB271">
        <v>6144</v>
      </c>
      <c r="AC271">
        <v>6144</v>
      </c>
      <c r="AD271">
        <v>11654</v>
      </c>
      <c r="AE271">
        <v>5.12</v>
      </c>
      <c r="AF271">
        <v>5.12</v>
      </c>
      <c r="AG271">
        <v>6144</v>
      </c>
      <c r="AH271">
        <v>6144</v>
      </c>
      <c r="AI271">
        <v>11661</v>
      </c>
      <c r="AJ271">
        <v>12.82</v>
      </c>
      <c r="AK271">
        <v>440</v>
      </c>
      <c r="AL271">
        <v>440</v>
      </c>
      <c r="AM271">
        <v>1990</v>
      </c>
      <c r="AN271">
        <v>1990</v>
      </c>
      <c r="AO271">
        <v>34.321372854914202</v>
      </c>
      <c r="AP271">
        <v>102.4</v>
      </c>
      <c r="AQ271">
        <v>1.7066666666666701</v>
      </c>
      <c r="AR271">
        <v>11661</v>
      </c>
      <c r="AS271">
        <v>153300</v>
      </c>
      <c r="AT271">
        <v>46000</v>
      </c>
    </row>
    <row r="272" spans="1:46">
      <c r="A272" t="s">
        <v>469</v>
      </c>
      <c r="B272">
        <v>9</v>
      </c>
      <c r="C272" t="s">
        <v>481</v>
      </c>
      <c r="D272">
        <v>1</v>
      </c>
      <c r="E272">
        <v>0</v>
      </c>
      <c r="F272">
        <v>0</v>
      </c>
      <c r="G272">
        <v>1</v>
      </c>
      <c r="H272">
        <v>0</v>
      </c>
      <c r="I272">
        <v>2</v>
      </c>
      <c r="J272">
        <v>3</v>
      </c>
      <c r="K272">
        <v>0</v>
      </c>
      <c r="L272">
        <v>0</v>
      </c>
      <c r="M272">
        <v>52000</v>
      </c>
      <c r="N272">
        <v>78000</v>
      </c>
      <c r="O272">
        <v>0</v>
      </c>
      <c r="P272">
        <v>13250</v>
      </c>
      <c r="Q272">
        <v>0</v>
      </c>
      <c r="R272">
        <v>52000</v>
      </c>
      <c r="S272">
        <v>78000</v>
      </c>
      <c r="T272">
        <v>0</v>
      </c>
      <c r="U272">
        <v>130000</v>
      </c>
      <c r="V272">
        <v>130000</v>
      </c>
      <c r="W272">
        <v>281500</v>
      </c>
      <c r="X272">
        <v>13</v>
      </c>
      <c r="Y272">
        <v>13</v>
      </c>
      <c r="Z272">
        <v>10445</v>
      </c>
      <c r="AA272">
        <v>1</v>
      </c>
      <c r="AB272">
        <v>10445</v>
      </c>
      <c r="AC272">
        <v>10445</v>
      </c>
      <c r="AD272">
        <v>22099</v>
      </c>
      <c r="AE272">
        <v>8.7041666666666693</v>
      </c>
      <c r="AF272">
        <v>8.7041666666666693</v>
      </c>
      <c r="AG272">
        <v>10445</v>
      </c>
      <c r="AH272">
        <v>10445</v>
      </c>
      <c r="AI272">
        <v>22106</v>
      </c>
      <c r="AJ272">
        <v>21.704166666666701</v>
      </c>
      <c r="AK272">
        <v>520</v>
      </c>
      <c r="AL272">
        <v>520</v>
      </c>
      <c r="AM272">
        <v>2510</v>
      </c>
      <c r="AN272">
        <v>2510</v>
      </c>
      <c r="AO272">
        <v>23.958533307736602</v>
      </c>
      <c r="AP272">
        <v>174.083333333333</v>
      </c>
      <c r="AQ272">
        <v>2.9013888888888899</v>
      </c>
      <c r="AR272">
        <v>22106</v>
      </c>
      <c r="AS272">
        <v>283300</v>
      </c>
      <c r="AT272">
        <v>78000</v>
      </c>
    </row>
    <row r="273" spans="1:46">
      <c r="A273" t="s">
        <v>469</v>
      </c>
      <c r="B273">
        <v>10</v>
      </c>
      <c r="C273" t="s">
        <v>482</v>
      </c>
      <c r="D273">
        <v>1</v>
      </c>
      <c r="E273">
        <v>0</v>
      </c>
      <c r="F273">
        <v>0</v>
      </c>
      <c r="G273">
        <v>1</v>
      </c>
      <c r="H273">
        <v>0</v>
      </c>
      <c r="I273">
        <v>2</v>
      </c>
      <c r="J273">
        <v>3</v>
      </c>
      <c r="K273">
        <v>0</v>
      </c>
      <c r="L273">
        <v>0</v>
      </c>
      <c r="M273">
        <v>89000</v>
      </c>
      <c r="N273">
        <v>130000</v>
      </c>
      <c r="O273">
        <v>0</v>
      </c>
      <c r="P273">
        <v>22250</v>
      </c>
      <c r="Q273">
        <v>0</v>
      </c>
      <c r="R273">
        <v>89000</v>
      </c>
      <c r="S273">
        <v>130000</v>
      </c>
      <c r="T273">
        <v>0</v>
      </c>
      <c r="U273">
        <v>219000</v>
      </c>
      <c r="V273">
        <v>219000</v>
      </c>
      <c r="W273">
        <v>500500</v>
      </c>
      <c r="X273">
        <v>21.9</v>
      </c>
      <c r="Y273">
        <v>21.9</v>
      </c>
      <c r="Z273">
        <v>16712</v>
      </c>
      <c r="AA273">
        <v>1</v>
      </c>
      <c r="AB273">
        <v>16712</v>
      </c>
      <c r="AC273">
        <v>16712</v>
      </c>
      <c r="AD273">
        <v>38811</v>
      </c>
      <c r="AE273">
        <v>13.9266666666667</v>
      </c>
      <c r="AF273">
        <v>13.9266666666667</v>
      </c>
      <c r="AG273">
        <v>16712</v>
      </c>
      <c r="AH273">
        <v>16712</v>
      </c>
      <c r="AI273">
        <v>38818</v>
      </c>
      <c r="AJ273">
        <v>35.826666666666704</v>
      </c>
      <c r="AK273">
        <v>640</v>
      </c>
      <c r="AL273">
        <v>640</v>
      </c>
      <c r="AM273">
        <v>3150</v>
      </c>
      <c r="AN273">
        <v>3150</v>
      </c>
      <c r="AO273">
        <v>17.863788611834799</v>
      </c>
      <c r="AP273">
        <v>278.53333333333302</v>
      </c>
      <c r="AQ273">
        <v>4.6422222222222196</v>
      </c>
      <c r="AR273">
        <v>38818</v>
      </c>
      <c r="AS273">
        <v>502300</v>
      </c>
      <c r="AT273">
        <v>130000</v>
      </c>
    </row>
    <row r="274" spans="1:46">
      <c r="A274" t="s">
        <v>469</v>
      </c>
      <c r="B274">
        <v>11</v>
      </c>
      <c r="C274" t="s">
        <v>483</v>
      </c>
      <c r="D274">
        <v>1</v>
      </c>
      <c r="E274">
        <v>0</v>
      </c>
      <c r="F274">
        <v>0</v>
      </c>
      <c r="G274">
        <v>1</v>
      </c>
      <c r="H274">
        <v>0</v>
      </c>
      <c r="I274">
        <v>2</v>
      </c>
      <c r="J274">
        <v>3</v>
      </c>
      <c r="K274">
        <v>2</v>
      </c>
      <c r="L274">
        <v>0</v>
      </c>
      <c r="M274">
        <v>100000</v>
      </c>
      <c r="N274">
        <v>150000</v>
      </c>
      <c r="O274">
        <v>100000</v>
      </c>
      <c r="P274">
        <v>32750</v>
      </c>
      <c r="Q274">
        <v>0</v>
      </c>
      <c r="R274">
        <v>100000</v>
      </c>
      <c r="S274">
        <v>150000</v>
      </c>
      <c r="T274">
        <v>100000</v>
      </c>
      <c r="U274">
        <v>350000</v>
      </c>
      <c r="V274">
        <v>350000</v>
      </c>
      <c r="W274">
        <v>850500</v>
      </c>
      <c r="X274">
        <v>35</v>
      </c>
      <c r="Y274">
        <v>35</v>
      </c>
      <c r="Z274">
        <v>22561</v>
      </c>
      <c r="AA274">
        <v>1</v>
      </c>
      <c r="AB274">
        <v>22561</v>
      </c>
      <c r="AC274">
        <v>22561</v>
      </c>
      <c r="AD274">
        <v>61372</v>
      </c>
      <c r="AE274">
        <v>18.800833333333301</v>
      </c>
      <c r="AF274">
        <v>18.800833333333301</v>
      </c>
      <c r="AG274">
        <v>22561</v>
      </c>
      <c r="AH274">
        <v>22561</v>
      </c>
      <c r="AI274">
        <v>61379</v>
      </c>
      <c r="AJ274">
        <v>53.800833333333301</v>
      </c>
      <c r="AK274">
        <v>880</v>
      </c>
      <c r="AL274">
        <v>880</v>
      </c>
      <c r="AM274">
        <v>4030</v>
      </c>
      <c r="AN274">
        <v>4030</v>
      </c>
      <c r="AO274">
        <v>16.356623968030199</v>
      </c>
      <c r="AP274">
        <v>376.01666666666699</v>
      </c>
      <c r="AQ274">
        <v>6.26694444444444</v>
      </c>
      <c r="AR274">
        <v>61379</v>
      </c>
      <c r="AS274">
        <v>852300</v>
      </c>
      <c r="AT274">
        <v>150000</v>
      </c>
    </row>
    <row r="275" spans="1:46">
      <c r="A275" t="s">
        <v>469</v>
      </c>
      <c r="B275">
        <v>12</v>
      </c>
      <c r="C275" t="s">
        <v>484</v>
      </c>
      <c r="D275">
        <v>1</v>
      </c>
      <c r="E275">
        <v>0</v>
      </c>
      <c r="F275">
        <v>0</v>
      </c>
      <c r="G275">
        <v>1</v>
      </c>
      <c r="H275">
        <v>0</v>
      </c>
      <c r="I275">
        <v>2</v>
      </c>
      <c r="J275">
        <v>3</v>
      </c>
      <c r="K275">
        <v>2</v>
      </c>
      <c r="L275">
        <v>0</v>
      </c>
      <c r="M275">
        <v>160000</v>
      </c>
      <c r="N275">
        <v>240000</v>
      </c>
      <c r="O275">
        <v>160000</v>
      </c>
      <c r="P275">
        <v>52500</v>
      </c>
      <c r="Q275">
        <v>0</v>
      </c>
      <c r="R275">
        <v>160000</v>
      </c>
      <c r="S275">
        <v>240000</v>
      </c>
      <c r="T275">
        <v>160000</v>
      </c>
      <c r="U275">
        <v>560000</v>
      </c>
      <c r="V275">
        <v>560000</v>
      </c>
      <c r="W275">
        <v>1410500</v>
      </c>
      <c r="X275">
        <v>56</v>
      </c>
      <c r="Y275">
        <v>56</v>
      </c>
      <c r="Z275">
        <v>30457</v>
      </c>
      <c r="AA275">
        <v>1</v>
      </c>
      <c r="AB275">
        <v>30457</v>
      </c>
      <c r="AC275">
        <v>30457</v>
      </c>
      <c r="AD275">
        <v>91829</v>
      </c>
      <c r="AE275">
        <v>25.3808333333333</v>
      </c>
      <c r="AF275">
        <v>25.3808333333333</v>
      </c>
      <c r="AG275">
        <v>30457</v>
      </c>
      <c r="AH275">
        <v>30457</v>
      </c>
      <c r="AI275">
        <v>91836</v>
      </c>
      <c r="AJ275">
        <v>81.3808333333333</v>
      </c>
      <c r="AK275">
        <v>1200</v>
      </c>
      <c r="AL275">
        <v>1200</v>
      </c>
      <c r="AM275">
        <v>5230</v>
      </c>
      <c r="AN275">
        <v>5230</v>
      </c>
      <c r="AO275">
        <v>14.7454867546617</v>
      </c>
      <c r="AP275">
        <v>507.61666666666702</v>
      </c>
      <c r="AQ275">
        <v>8.4602777777777796</v>
      </c>
      <c r="AR275">
        <v>91836</v>
      </c>
      <c r="AS275">
        <v>1412300</v>
      </c>
      <c r="AT275">
        <v>240000</v>
      </c>
    </row>
    <row r="276" spans="1:46">
      <c r="A276" t="s">
        <v>469</v>
      </c>
      <c r="B276">
        <v>13</v>
      </c>
      <c r="C276" t="s">
        <v>485</v>
      </c>
      <c r="D276">
        <v>1</v>
      </c>
      <c r="E276">
        <v>0</v>
      </c>
      <c r="F276">
        <v>0</v>
      </c>
      <c r="G276">
        <v>1</v>
      </c>
      <c r="H276">
        <v>0</v>
      </c>
      <c r="I276">
        <v>2</v>
      </c>
      <c r="J276">
        <v>3</v>
      </c>
      <c r="K276">
        <v>2</v>
      </c>
      <c r="L276">
        <v>0</v>
      </c>
      <c r="M276">
        <v>260000</v>
      </c>
      <c r="N276">
        <v>390000</v>
      </c>
      <c r="O276">
        <v>260000</v>
      </c>
      <c r="P276">
        <v>87500</v>
      </c>
      <c r="Q276">
        <v>0</v>
      </c>
      <c r="R276">
        <v>260000</v>
      </c>
      <c r="S276">
        <v>390000</v>
      </c>
      <c r="T276">
        <v>260000</v>
      </c>
      <c r="U276">
        <v>910000</v>
      </c>
      <c r="V276">
        <v>910000</v>
      </c>
      <c r="W276">
        <v>2320500</v>
      </c>
      <c r="X276">
        <v>91</v>
      </c>
      <c r="Y276">
        <v>91</v>
      </c>
      <c r="Z276">
        <v>41117</v>
      </c>
      <c r="AA276">
        <v>1</v>
      </c>
      <c r="AB276">
        <v>41117</v>
      </c>
      <c r="AC276">
        <v>41117</v>
      </c>
      <c r="AD276">
        <v>132946</v>
      </c>
      <c r="AE276">
        <v>34.264166666666704</v>
      </c>
      <c r="AF276">
        <v>34.264166666666704</v>
      </c>
      <c r="AG276">
        <v>41117</v>
      </c>
      <c r="AH276">
        <v>41117</v>
      </c>
      <c r="AI276">
        <v>132953</v>
      </c>
      <c r="AJ276">
        <v>125.26416666666699</v>
      </c>
      <c r="AK276">
        <v>1640</v>
      </c>
      <c r="AL276">
        <v>1640</v>
      </c>
      <c r="AM276">
        <v>6870</v>
      </c>
      <c r="AN276">
        <v>6870</v>
      </c>
      <c r="AO276">
        <v>13.0923315393468</v>
      </c>
      <c r="AP276">
        <v>685.28333333333296</v>
      </c>
      <c r="AQ276">
        <v>11.421388888888901</v>
      </c>
      <c r="AR276">
        <v>132953</v>
      </c>
      <c r="AS276">
        <v>2322300</v>
      </c>
      <c r="AT276">
        <v>390000</v>
      </c>
    </row>
    <row r="277" spans="1:46">
      <c r="A277" t="s">
        <v>469</v>
      </c>
      <c r="B277">
        <v>14</v>
      </c>
      <c r="C277" t="s">
        <v>486</v>
      </c>
      <c r="D277">
        <v>1</v>
      </c>
      <c r="E277">
        <v>0</v>
      </c>
      <c r="F277">
        <v>0</v>
      </c>
      <c r="G277">
        <v>1</v>
      </c>
      <c r="H277">
        <v>0</v>
      </c>
      <c r="I277">
        <v>2</v>
      </c>
      <c r="J277">
        <v>3</v>
      </c>
      <c r="K277">
        <v>2</v>
      </c>
      <c r="L277">
        <v>0</v>
      </c>
      <c r="M277">
        <v>420000</v>
      </c>
      <c r="N277">
        <v>620000</v>
      </c>
      <c r="O277">
        <v>420000</v>
      </c>
      <c r="P277">
        <v>137500</v>
      </c>
      <c r="Q277">
        <v>0</v>
      </c>
      <c r="R277">
        <v>420000</v>
      </c>
      <c r="S277">
        <v>620000</v>
      </c>
      <c r="T277">
        <v>420000</v>
      </c>
      <c r="U277">
        <v>1460000</v>
      </c>
      <c r="V277">
        <v>1460000</v>
      </c>
      <c r="W277">
        <v>3780500</v>
      </c>
      <c r="X277">
        <v>146</v>
      </c>
      <c r="Y277">
        <v>146</v>
      </c>
      <c r="Z277">
        <v>55508</v>
      </c>
      <c r="AA277">
        <v>1</v>
      </c>
      <c r="AB277">
        <v>55508</v>
      </c>
      <c r="AC277">
        <v>55508</v>
      </c>
      <c r="AD277">
        <v>188454</v>
      </c>
      <c r="AE277">
        <v>46.256666666666703</v>
      </c>
      <c r="AF277">
        <v>46.256666666666703</v>
      </c>
      <c r="AG277">
        <v>55508</v>
      </c>
      <c r="AH277">
        <v>55508</v>
      </c>
      <c r="AI277">
        <v>188461</v>
      </c>
      <c r="AJ277">
        <v>192.256666666667</v>
      </c>
      <c r="AK277">
        <v>2200</v>
      </c>
      <c r="AL277">
        <v>2200</v>
      </c>
      <c r="AM277">
        <v>9070</v>
      </c>
      <c r="AN277">
        <v>9070</v>
      </c>
      <c r="AO277">
        <v>11.4430362189434</v>
      </c>
      <c r="AP277">
        <v>925.13333333333298</v>
      </c>
      <c r="AQ277">
        <v>15.418888888888899</v>
      </c>
      <c r="AR277">
        <v>188461</v>
      </c>
      <c r="AS277">
        <v>3782300</v>
      </c>
      <c r="AT277">
        <v>620000</v>
      </c>
    </row>
    <row r="278" spans="1:46">
      <c r="A278" t="s">
        <v>469</v>
      </c>
      <c r="B278">
        <v>15</v>
      </c>
      <c r="C278" t="s">
        <v>487</v>
      </c>
      <c r="D278">
        <v>1</v>
      </c>
      <c r="E278">
        <v>0</v>
      </c>
      <c r="F278">
        <v>0</v>
      </c>
      <c r="G278">
        <v>1</v>
      </c>
      <c r="H278">
        <v>0</v>
      </c>
      <c r="I278">
        <v>2</v>
      </c>
      <c r="J278">
        <v>3</v>
      </c>
      <c r="K278">
        <v>2</v>
      </c>
      <c r="L278">
        <v>0</v>
      </c>
      <c r="M278">
        <v>620000</v>
      </c>
      <c r="N278">
        <v>940000</v>
      </c>
      <c r="O278">
        <v>620000</v>
      </c>
      <c r="P278">
        <v>180000</v>
      </c>
      <c r="Q278">
        <v>0</v>
      </c>
      <c r="R278">
        <v>620000</v>
      </c>
      <c r="S278">
        <v>940000</v>
      </c>
      <c r="T278">
        <v>620000</v>
      </c>
      <c r="U278">
        <v>2180000</v>
      </c>
      <c r="V278">
        <v>2180000</v>
      </c>
      <c r="W278">
        <v>5960500</v>
      </c>
      <c r="X278">
        <v>218</v>
      </c>
      <c r="Y278">
        <v>218</v>
      </c>
      <c r="Z278">
        <v>74936</v>
      </c>
      <c r="AA278">
        <v>1</v>
      </c>
      <c r="AB278">
        <v>74936</v>
      </c>
      <c r="AC278">
        <v>74936</v>
      </c>
      <c r="AD278">
        <v>263390</v>
      </c>
      <c r="AE278">
        <v>62.446666666666701</v>
      </c>
      <c r="AF278">
        <v>62.446666666666701</v>
      </c>
      <c r="AG278">
        <v>74936</v>
      </c>
      <c r="AH278">
        <v>74936</v>
      </c>
      <c r="AI278">
        <v>263397</v>
      </c>
      <c r="AJ278">
        <v>280.446666666667</v>
      </c>
      <c r="AK278">
        <v>2960</v>
      </c>
      <c r="AL278">
        <v>2960</v>
      </c>
      <c r="AM278">
        <v>12030</v>
      </c>
      <c r="AN278">
        <v>12030</v>
      </c>
      <c r="AO278">
        <v>10.554591485012001</v>
      </c>
      <c r="AP278">
        <v>1248.93333333333</v>
      </c>
      <c r="AQ278">
        <v>20.815555555555601</v>
      </c>
      <c r="AR278">
        <v>263397</v>
      </c>
      <c r="AS278">
        <v>5962300</v>
      </c>
      <c r="AT278">
        <v>940000</v>
      </c>
    </row>
    <row r="279" spans="1:46">
      <c r="A279" t="s">
        <v>469</v>
      </c>
      <c r="B279">
        <v>16</v>
      </c>
      <c r="C279" t="s">
        <v>488</v>
      </c>
      <c r="D279">
        <v>1</v>
      </c>
      <c r="E279">
        <v>0</v>
      </c>
      <c r="F279">
        <v>0</v>
      </c>
      <c r="G279">
        <v>1</v>
      </c>
      <c r="H279">
        <v>0</v>
      </c>
      <c r="I279">
        <v>2</v>
      </c>
      <c r="J279">
        <v>3</v>
      </c>
      <c r="K279">
        <v>2</v>
      </c>
      <c r="L279">
        <v>0</v>
      </c>
      <c r="M279">
        <v>840000</v>
      </c>
      <c r="N279">
        <v>1300000</v>
      </c>
      <c r="O279">
        <v>840000</v>
      </c>
      <c r="P279">
        <v>200000</v>
      </c>
      <c r="Q279">
        <v>0</v>
      </c>
      <c r="R279">
        <v>840000</v>
      </c>
      <c r="S279">
        <v>1300000</v>
      </c>
      <c r="T279">
        <v>840000</v>
      </c>
      <c r="U279">
        <v>2980000</v>
      </c>
      <c r="V279">
        <v>2980000</v>
      </c>
      <c r="W279">
        <v>8940500</v>
      </c>
      <c r="X279">
        <v>298</v>
      </c>
      <c r="Y279">
        <v>298</v>
      </c>
      <c r="Z279">
        <v>101163</v>
      </c>
      <c r="AA279">
        <v>1</v>
      </c>
      <c r="AB279">
        <v>101163</v>
      </c>
      <c r="AC279">
        <v>101163</v>
      </c>
      <c r="AD279">
        <v>364553</v>
      </c>
      <c r="AE279">
        <v>84.302499999999995</v>
      </c>
      <c r="AF279">
        <v>84.302499999999995</v>
      </c>
      <c r="AG279">
        <v>101163</v>
      </c>
      <c r="AH279">
        <v>101163</v>
      </c>
      <c r="AI279">
        <v>364560</v>
      </c>
      <c r="AJ279">
        <v>382.30250000000001</v>
      </c>
      <c r="AK279">
        <v>4000</v>
      </c>
      <c r="AL279">
        <v>4000</v>
      </c>
      <c r="AM279">
        <v>16030</v>
      </c>
      <c r="AN279">
        <v>16030</v>
      </c>
      <c r="AO279">
        <v>10.4629187619751</v>
      </c>
      <c r="AP279">
        <v>1686.05</v>
      </c>
      <c r="AQ279">
        <v>28.100833333333298</v>
      </c>
      <c r="AR279">
        <v>364560</v>
      </c>
      <c r="AS279">
        <v>8942300</v>
      </c>
      <c r="AT279">
        <v>1300000</v>
      </c>
    </row>
    <row r="280" spans="1:46">
      <c r="A280" t="s">
        <v>469</v>
      </c>
      <c r="B280">
        <v>17</v>
      </c>
      <c r="C280" t="s">
        <v>489</v>
      </c>
      <c r="D280">
        <v>1</v>
      </c>
      <c r="E280">
        <v>0</v>
      </c>
      <c r="F280">
        <v>0</v>
      </c>
      <c r="G280">
        <v>1</v>
      </c>
      <c r="H280">
        <v>0</v>
      </c>
      <c r="I280">
        <v>2</v>
      </c>
      <c r="J280">
        <v>3</v>
      </c>
      <c r="K280">
        <v>2</v>
      </c>
      <c r="L280">
        <v>0</v>
      </c>
      <c r="M280">
        <v>1100000</v>
      </c>
      <c r="N280">
        <v>1700000</v>
      </c>
      <c r="O280">
        <v>1100000</v>
      </c>
      <c r="P280">
        <v>230000</v>
      </c>
      <c r="Q280">
        <v>0</v>
      </c>
      <c r="R280">
        <v>1100000</v>
      </c>
      <c r="S280">
        <v>1700000</v>
      </c>
      <c r="T280">
        <v>1100000</v>
      </c>
      <c r="U280">
        <v>3900000</v>
      </c>
      <c r="V280">
        <v>3900000</v>
      </c>
      <c r="W280">
        <v>12840500</v>
      </c>
      <c r="X280">
        <v>390</v>
      </c>
      <c r="Y280">
        <v>390</v>
      </c>
      <c r="Z280">
        <v>136570</v>
      </c>
      <c r="AA280">
        <v>1</v>
      </c>
      <c r="AB280">
        <v>136570</v>
      </c>
      <c r="AC280">
        <v>136570</v>
      </c>
      <c r="AD280">
        <v>501123</v>
      </c>
      <c r="AE280">
        <v>113.808333333333</v>
      </c>
      <c r="AF280">
        <v>113.808333333333</v>
      </c>
      <c r="AG280">
        <v>136570</v>
      </c>
      <c r="AH280">
        <v>136570</v>
      </c>
      <c r="AI280">
        <v>501130</v>
      </c>
      <c r="AJ280">
        <v>503.808333333333</v>
      </c>
      <c r="AK280">
        <v>5600</v>
      </c>
      <c r="AL280">
        <v>5600</v>
      </c>
      <c r="AM280">
        <v>21630</v>
      </c>
      <c r="AN280">
        <v>21630</v>
      </c>
      <c r="AO280">
        <v>11.115338174239501</v>
      </c>
      <c r="AP280">
        <v>2276.1666666666702</v>
      </c>
      <c r="AQ280">
        <v>37.936111111111103</v>
      </c>
      <c r="AR280">
        <v>501130</v>
      </c>
      <c r="AS280">
        <v>12842300</v>
      </c>
      <c r="AT280">
        <v>1700000</v>
      </c>
    </row>
    <row r="281" spans="1:46">
      <c r="A281" t="s">
        <v>469</v>
      </c>
      <c r="B281">
        <v>18</v>
      </c>
      <c r="C281" t="s">
        <v>490</v>
      </c>
      <c r="D281">
        <v>1</v>
      </c>
      <c r="E281">
        <v>0</v>
      </c>
      <c r="F281">
        <v>0</v>
      </c>
      <c r="G281">
        <v>1</v>
      </c>
      <c r="H281">
        <v>0</v>
      </c>
      <c r="I281">
        <v>2</v>
      </c>
      <c r="J281">
        <v>3</v>
      </c>
      <c r="K281">
        <v>2</v>
      </c>
      <c r="L281">
        <v>0</v>
      </c>
      <c r="M281">
        <v>1400000</v>
      </c>
      <c r="N281">
        <v>2100000</v>
      </c>
      <c r="O281">
        <v>1400000</v>
      </c>
      <c r="P281">
        <v>250000</v>
      </c>
      <c r="Q281">
        <v>0</v>
      </c>
      <c r="R281">
        <v>1400000</v>
      </c>
      <c r="S281">
        <v>2100000</v>
      </c>
      <c r="T281">
        <v>1400000</v>
      </c>
      <c r="U281">
        <v>4900000</v>
      </c>
      <c r="V281">
        <v>4900000</v>
      </c>
      <c r="W281">
        <v>17740500</v>
      </c>
      <c r="X281">
        <v>490</v>
      </c>
      <c r="Y281">
        <v>490</v>
      </c>
      <c r="Z281">
        <v>184370</v>
      </c>
      <c r="AA281">
        <v>1</v>
      </c>
      <c r="AB281">
        <v>184370</v>
      </c>
      <c r="AC281">
        <v>184370</v>
      </c>
      <c r="AD281">
        <v>685493</v>
      </c>
      <c r="AE281">
        <v>153.64166666666699</v>
      </c>
      <c r="AF281">
        <v>153.64166666666699</v>
      </c>
      <c r="AG281">
        <v>184370</v>
      </c>
      <c r="AH281">
        <v>184370</v>
      </c>
      <c r="AI281">
        <v>685500</v>
      </c>
      <c r="AJ281">
        <v>643.64166666666699</v>
      </c>
      <c r="AK281">
        <v>7600</v>
      </c>
      <c r="AL281">
        <v>7600</v>
      </c>
      <c r="AM281">
        <v>29230</v>
      </c>
      <c r="AN281">
        <v>29230</v>
      </c>
      <c r="AO281">
        <v>11.8078123179305</v>
      </c>
      <c r="AP281">
        <v>3072.8333333333298</v>
      </c>
      <c r="AQ281">
        <v>51.213888888888903</v>
      </c>
      <c r="AR281">
        <v>685500</v>
      </c>
      <c r="AS281">
        <v>17742300</v>
      </c>
      <c r="AT281">
        <v>2100000</v>
      </c>
    </row>
    <row r="282" spans="1:46">
      <c r="A282" t="s">
        <v>469</v>
      </c>
      <c r="B282">
        <v>19</v>
      </c>
      <c r="C282" t="s">
        <v>491</v>
      </c>
      <c r="D282">
        <v>1</v>
      </c>
      <c r="E282">
        <v>0</v>
      </c>
      <c r="F282">
        <v>0</v>
      </c>
      <c r="G282">
        <v>1</v>
      </c>
      <c r="H282">
        <v>0</v>
      </c>
      <c r="I282">
        <v>2</v>
      </c>
      <c r="J282">
        <v>3</v>
      </c>
      <c r="K282">
        <v>2</v>
      </c>
      <c r="L282">
        <v>0</v>
      </c>
      <c r="M282">
        <v>1900000</v>
      </c>
      <c r="N282">
        <v>2800000</v>
      </c>
      <c r="O282">
        <v>1900000</v>
      </c>
      <c r="P282">
        <v>425000</v>
      </c>
      <c r="Q282">
        <v>0</v>
      </c>
      <c r="R282">
        <v>1900000</v>
      </c>
      <c r="S282">
        <v>2800000</v>
      </c>
      <c r="T282">
        <v>1900000</v>
      </c>
      <c r="U282">
        <v>6600000</v>
      </c>
      <c r="V282">
        <v>6600000</v>
      </c>
      <c r="W282">
        <v>24340500</v>
      </c>
      <c r="X282">
        <v>660</v>
      </c>
      <c r="Y282">
        <v>660</v>
      </c>
      <c r="Z282">
        <v>276555</v>
      </c>
      <c r="AA282">
        <v>1</v>
      </c>
      <c r="AB282">
        <v>276555</v>
      </c>
      <c r="AC282">
        <v>276555</v>
      </c>
      <c r="AD282">
        <v>962048</v>
      </c>
      <c r="AE282">
        <v>230.46250000000001</v>
      </c>
      <c r="AF282">
        <v>230.46250000000001</v>
      </c>
      <c r="AG282">
        <v>276555</v>
      </c>
      <c r="AH282">
        <v>276555</v>
      </c>
      <c r="AI282">
        <v>962055</v>
      </c>
      <c r="AJ282">
        <v>890.46249999999998</v>
      </c>
      <c r="AK282">
        <v>10400</v>
      </c>
      <c r="AL282">
        <v>10400</v>
      </c>
      <c r="AM282">
        <v>39630</v>
      </c>
      <c r="AN282">
        <v>39630</v>
      </c>
      <c r="AO282">
        <v>11.6793239468254</v>
      </c>
      <c r="AP282">
        <v>4609.25</v>
      </c>
      <c r="AQ282">
        <v>76.820833333333297</v>
      </c>
      <c r="AR282">
        <v>962055</v>
      </c>
      <c r="AS282">
        <v>24342300</v>
      </c>
      <c r="AT282">
        <v>2800000</v>
      </c>
    </row>
    <row r="283" spans="1:46">
      <c r="A283" t="s">
        <v>469</v>
      </c>
      <c r="B283">
        <v>20</v>
      </c>
      <c r="C283" t="s">
        <v>492</v>
      </c>
      <c r="D283">
        <v>1</v>
      </c>
      <c r="E283">
        <v>0</v>
      </c>
      <c r="F283">
        <v>0</v>
      </c>
      <c r="G283">
        <v>1</v>
      </c>
      <c r="H283">
        <v>0</v>
      </c>
      <c r="I283">
        <v>2</v>
      </c>
      <c r="J283">
        <v>3</v>
      </c>
      <c r="K283">
        <v>2</v>
      </c>
      <c r="L283">
        <v>0</v>
      </c>
      <c r="M283">
        <v>2400000</v>
      </c>
      <c r="N283">
        <v>3600000</v>
      </c>
      <c r="O283">
        <v>2400000</v>
      </c>
      <c r="P283">
        <v>450000</v>
      </c>
      <c r="Q283">
        <v>0</v>
      </c>
      <c r="R283">
        <v>2400000</v>
      </c>
      <c r="S283">
        <v>3600000</v>
      </c>
      <c r="T283">
        <v>2400000</v>
      </c>
      <c r="U283">
        <v>8400000</v>
      </c>
      <c r="V283">
        <v>8400000</v>
      </c>
      <c r="W283">
        <v>32740500</v>
      </c>
      <c r="X283">
        <v>840</v>
      </c>
      <c r="Y283">
        <v>840</v>
      </c>
      <c r="Z283">
        <v>414833</v>
      </c>
      <c r="AA283">
        <v>1</v>
      </c>
      <c r="AB283">
        <v>414833</v>
      </c>
      <c r="AC283">
        <v>414833</v>
      </c>
      <c r="AD283">
        <v>1376881</v>
      </c>
      <c r="AE283">
        <v>345.694166666667</v>
      </c>
      <c r="AF283">
        <v>345.694166666667</v>
      </c>
      <c r="AG283">
        <v>414833</v>
      </c>
      <c r="AH283">
        <v>414833</v>
      </c>
      <c r="AI283">
        <v>1376888</v>
      </c>
      <c r="AJ283">
        <v>1185.6941666666701</v>
      </c>
      <c r="AK283">
        <v>14000</v>
      </c>
      <c r="AL283">
        <v>14000</v>
      </c>
      <c r="AM283">
        <v>53630</v>
      </c>
      <c r="AN283">
        <v>53630</v>
      </c>
      <c r="AO283">
        <v>11.807429262605</v>
      </c>
      <c r="AP283">
        <v>6913.8833333333296</v>
      </c>
      <c r="AQ283">
        <v>115.231388888889</v>
      </c>
      <c r="AR283">
        <v>1376888</v>
      </c>
      <c r="AS283">
        <v>32742300</v>
      </c>
      <c r="AT283">
        <v>3600000</v>
      </c>
    </row>
    <row r="284" spans="1:46">
      <c r="A284" t="s">
        <v>442</v>
      </c>
      <c r="B284">
        <v>1</v>
      </c>
      <c r="C284" t="s">
        <v>443</v>
      </c>
      <c r="D284">
        <v>1</v>
      </c>
      <c r="E284">
        <v>0</v>
      </c>
      <c r="F284">
        <v>0</v>
      </c>
      <c r="G284">
        <v>1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600</v>
      </c>
      <c r="N284">
        <v>0</v>
      </c>
      <c r="O284">
        <v>0</v>
      </c>
      <c r="P284">
        <v>150</v>
      </c>
      <c r="Q284">
        <v>0</v>
      </c>
      <c r="R284">
        <v>600</v>
      </c>
      <c r="S284">
        <v>0</v>
      </c>
      <c r="T284">
        <v>0</v>
      </c>
      <c r="U284">
        <v>600</v>
      </c>
      <c r="V284">
        <v>600</v>
      </c>
      <c r="W284">
        <v>600</v>
      </c>
      <c r="X284">
        <v>0.06</v>
      </c>
      <c r="Y284">
        <v>0.06</v>
      </c>
      <c r="Z284">
        <v>48</v>
      </c>
      <c r="AA284">
        <v>1E-3</v>
      </c>
      <c r="AB284">
        <v>1</v>
      </c>
      <c r="AC284">
        <v>1</v>
      </c>
      <c r="AD284">
        <v>1</v>
      </c>
      <c r="AE284">
        <v>8.3333333333333295E-4</v>
      </c>
      <c r="AF284">
        <v>8.3333333333333295E-4</v>
      </c>
      <c r="AG284">
        <v>1</v>
      </c>
      <c r="AH284">
        <v>1</v>
      </c>
      <c r="AI284">
        <v>1</v>
      </c>
      <c r="AJ284">
        <v>6.0833333333333302E-2</v>
      </c>
      <c r="AK284">
        <v>120</v>
      </c>
      <c r="AL284">
        <v>120</v>
      </c>
      <c r="AM284">
        <v>120</v>
      </c>
      <c r="AN284">
        <v>120</v>
      </c>
      <c r="AO284">
        <v>1972.60273972603</v>
      </c>
      <c r="AP284">
        <v>1.6666666666666701E-2</v>
      </c>
      <c r="AQ284">
        <v>2.7777777777777799E-4</v>
      </c>
      <c r="AR284">
        <v>1</v>
      </c>
      <c r="AS284">
        <v>600</v>
      </c>
      <c r="AT284">
        <v>600</v>
      </c>
    </row>
    <row r="285" spans="1:46">
      <c r="A285" t="s">
        <v>442</v>
      </c>
      <c r="B285">
        <v>2</v>
      </c>
      <c r="C285" t="s">
        <v>450</v>
      </c>
      <c r="D285">
        <v>1</v>
      </c>
      <c r="E285">
        <v>0</v>
      </c>
      <c r="F285">
        <v>0</v>
      </c>
      <c r="G285">
        <v>1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1200</v>
      </c>
      <c r="N285">
        <v>0</v>
      </c>
      <c r="O285">
        <v>0</v>
      </c>
      <c r="P285">
        <v>150</v>
      </c>
      <c r="Q285">
        <v>0</v>
      </c>
      <c r="R285">
        <v>1200</v>
      </c>
      <c r="S285">
        <v>0</v>
      </c>
      <c r="T285">
        <v>0</v>
      </c>
      <c r="U285">
        <v>1200</v>
      </c>
      <c r="V285">
        <v>1200</v>
      </c>
      <c r="W285">
        <v>1200</v>
      </c>
      <c r="X285">
        <v>0.12</v>
      </c>
      <c r="Y285">
        <v>0.12</v>
      </c>
      <c r="Z285">
        <v>96</v>
      </c>
      <c r="AA285">
        <v>6.0999999999999999E-2</v>
      </c>
      <c r="AB285">
        <v>6</v>
      </c>
      <c r="AC285">
        <v>6</v>
      </c>
      <c r="AD285">
        <v>6</v>
      </c>
      <c r="AE285">
        <v>5.0000000000000001E-3</v>
      </c>
      <c r="AF285">
        <v>5.0000000000000001E-3</v>
      </c>
      <c r="AG285">
        <v>6</v>
      </c>
      <c r="AH285">
        <v>6</v>
      </c>
      <c r="AI285">
        <v>7</v>
      </c>
      <c r="AJ285">
        <v>0.125</v>
      </c>
      <c r="AK285">
        <v>144</v>
      </c>
      <c r="AL285">
        <v>144</v>
      </c>
      <c r="AM285">
        <v>260</v>
      </c>
      <c r="AN285">
        <v>260</v>
      </c>
      <c r="AO285">
        <v>1152</v>
      </c>
      <c r="AP285">
        <v>0.1</v>
      </c>
      <c r="AQ285">
        <v>1.66666666666667E-3</v>
      </c>
      <c r="AR285">
        <v>7</v>
      </c>
      <c r="AS285">
        <v>1800</v>
      </c>
      <c r="AT285">
        <v>1200</v>
      </c>
    </row>
    <row r="286" spans="1:46">
      <c r="A286" t="s">
        <v>442</v>
      </c>
      <c r="B286">
        <v>3</v>
      </c>
      <c r="C286" t="s">
        <v>451</v>
      </c>
      <c r="D286">
        <v>1</v>
      </c>
      <c r="E286">
        <v>0</v>
      </c>
      <c r="F286">
        <v>0</v>
      </c>
      <c r="G286">
        <v>1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2400</v>
      </c>
      <c r="N286">
        <v>0</v>
      </c>
      <c r="O286">
        <v>0</v>
      </c>
      <c r="P286">
        <v>300</v>
      </c>
      <c r="Q286">
        <v>0</v>
      </c>
      <c r="R286">
        <v>2400</v>
      </c>
      <c r="S286">
        <v>0</v>
      </c>
      <c r="T286">
        <v>0</v>
      </c>
      <c r="U286">
        <v>2400</v>
      </c>
      <c r="V286">
        <v>2400</v>
      </c>
      <c r="W286">
        <v>2400</v>
      </c>
      <c r="X286">
        <v>0.24</v>
      </c>
      <c r="Y286">
        <v>0.24</v>
      </c>
      <c r="Z286">
        <v>192</v>
      </c>
      <c r="AA286">
        <v>0.1</v>
      </c>
      <c r="AB286">
        <v>19</v>
      </c>
      <c r="AC286">
        <v>19</v>
      </c>
      <c r="AD286">
        <v>19</v>
      </c>
      <c r="AE286">
        <v>1.58333333333333E-2</v>
      </c>
      <c r="AF286">
        <v>1.58333333333333E-2</v>
      </c>
      <c r="AG286">
        <v>19</v>
      </c>
      <c r="AH286">
        <v>19</v>
      </c>
      <c r="AI286">
        <v>26</v>
      </c>
      <c r="AJ286">
        <v>0.25583333333333302</v>
      </c>
      <c r="AK286">
        <v>172</v>
      </c>
      <c r="AL286">
        <v>172</v>
      </c>
      <c r="AM286">
        <v>430</v>
      </c>
      <c r="AN286">
        <v>430</v>
      </c>
      <c r="AO286">
        <v>672.31270358306199</v>
      </c>
      <c r="AP286">
        <v>0.31666666666666698</v>
      </c>
      <c r="AQ286">
        <v>5.2777777777777797E-3</v>
      </c>
      <c r="AR286">
        <v>26</v>
      </c>
      <c r="AS286">
        <v>4200</v>
      </c>
      <c r="AT286">
        <v>2400</v>
      </c>
    </row>
    <row r="287" spans="1:46">
      <c r="A287" t="s">
        <v>442</v>
      </c>
      <c r="B287">
        <v>4</v>
      </c>
      <c r="C287" t="s">
        <v>452</v>
      </c>
      <c r="D287">
        <v>1</v>
      </c>
      <c r="E287">
        <v>0</v>
      </c>
      <c r="F287">
        <v>0</v>
      </c>
      <c r="G287">
        <v>1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4800</v>
      </c>
      <c r="N287">
        <v>0</v>
      </c>
      <c r="O287">
        <v>0</v>
      </c>
      <c r="P287">
        <v>600</v>
      </c>
      <c r="Q287">
        <v>0</v>
      </c>
      <c r="R287">
        <v>4800</v>
      </c>
      <c r="S287">
        <v>0</v>
      </c>
      <c r="T287">
        <v>0</v>
      </c>
      <c r="U287">
        <v>4800</v>
      </c>
      <c r="V287">
        <v>4800</v>
      </c>
      <c r="W287">
        <v>7200</v>
      </c>
      <c r="X287">
        <v>0.48</v>
      </c>
      <c r="Y287">
        <v>0.48</v>
      </c>
      <c r="Z287">
        <v>384</v>
      </c>
      <c r="AA287">
        <v>0.5</v>
      </c>
      <c r="AB287">
        <v>192</v>
      </c>
      <c r="AC287">
        <v>192</v>
      </c>
      <c r="AD287">
        <v>211</v>
      </c>
      <c r="AE287">
        <v>0.16</v>
      </c>
      <c r="AF287">
        <v>0.16</v>
      </c>
      <c r="AG287">
        <v>192</v>
      </c>
      <c r="AH287">
        <v>192</v>
      </c>
      <c r="AI287">
        <v>218</v>
      </c>
      <c r="AJ287">
        <v>0.64</v>
      </c>
      <c r="AK287">
        <v>208</v>
      </c>
      <c r="AL287">
        <v>208</v>
      </c>
      <c r="AM287">
        <v>640</v>
      </c>
      <c r="AN287">
        <v>640</v>
      </c>
      <c r="AO287">
        <v>325</v>
      </c>
      <c r="AP287">
        <v>3.2</v>
      </c>
      <c r="AQ287">
        <v>5.3333333333333302E-2</v>
      </c>
      <c r="AR287">
        <v>218</v>
      </c>
      <c r="AS287">
        <v>9000</v>
      </c>
      <c r="AT287">
        <v>4800</v>
      </c>
    </row>
    <row r="288" spans="1:46">
      <c r="A288" t="s">
        <v>442</v>
      </c>
      <c r="B288">
        <v>5</v>
      </c>
      <c r="C288" t="s">
        <v>453</v>
      </c>
      <c r="D288">
        <v>1</v>
      </c>
      <c r="E288">
        <v>0</v>
      </c>
      <c r="F288">
        <v>0</v>
      </c>
      <c r="G288">
        <v>1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9600</v>
      </c>
      <c r="N288">
        <v>0</v>
      </c>
      <c r="O288">
        <v>0</v>
      </c>
      <c r="P288">
        <v>1200</v>
      </c>
      <c r="Q288">
        <v>0</v>
      </c>
      <c r="R288">
        <v>9600</v>
      </c>
      <c r="S288">
        <v>0</v>
      </c>
      <c r="T288">
        <v>0</v>
      </c>
      <c r="U288">
        <v>9600</v>
      </c>
      <c r="V288">
        <v>9600</v>
      </c>
      <c r="W288">
        <v>16800</v>
      </c>
      <c r="X288">
        <v>0.96</v>
      </c>
      <c r="Y288">
        <v>0.96</v>
      </c>
      <c r="Z288">
        <v>768</v>
      </c>
      <c r="AA288">
        <v>0.9</v>
      </c>
      <c r="AB288">
        <v>691</v>
      </c>
      <c r="AC288">
        <v>691</v>
      </c>
      <c r="AD288">
        <v>902</v>
      </c>
      <c r="AE288">
        <v>0.57583333333333298</v>
      </c>
      <c r="AF288">
        <v>0.57583333333333298</v>
      </c>
      <c r="AG288">
        <v>691</v>
      </c>
      <c r="AH288">
        <v>691</v>
      </c>
      <c r="AI288">
        <v>909</v>
      </c>
      <c r="AJ288">
        <v>1.5358333333333301</v>
      </c>
      <c r="AK288">
        <v>248</v>
      </c>
      <c r="AL288">
        <v>248</v>
      </c>
      <c r="AM288">
        <v>890</v>
      </c>
      <c r="AN288">
        <v>890</v>
      </c>
      <c r="AO288">
        <v>161.47585458491599</v>
      </c>
      <c r="AP288">
        <v>11.516666666666699</v>
      </c>
      <c r="AQ288">
        <v>0.191944444444444</v>
      </c>
      <c r="AR288">
        <v>909</v>
      </c>
      <c r="AS288">
        <v>18600</v>
      </c>
      <c r="AT288">
        <v>9600</v>
      </c>
    </row>
    <row r="289" spans="1:46">
      <c r="A289" t="s">
        <v>442</v>
      </c>
      <c r="B289">
        <v>6</v>
      </c>
      <c r="C289" t="s">
        <v>454</v>
      </c>
      <c r="D289">
        <v>1</v>
      </c>
      <c r="E289">
        <v>0</v>
      </c>
      <c r="F289">
        <v>0</v>
      </c>
      <c r="G289">
        <v>1</v>
      </c>
      <c r="H289">
        <v>0</v>
      </c>
      <c r="I289">
        <v>1</v>
      </c>
      <c r="J289">
        <v>1</v>
      </c>
      <c r="K289">
        <v>0</v>
      </c>
      <c r="L289">
        <v>0</v>
      </c>
      <c r="M289">
        <v>9600</v>
      </c>
      <c r="N289">
        <v>9600</v>
      </c>
      <c r="O289">
        <v>0</v>
      </c>
      <c r="P289">
        <v>2400</v>
      </c>
      <c r="Q289">
        <v>0</v>
      </c>
      <c r="R289">
        <v>9600</v>
      </c>
      <c r="S289">
        <v>9600</v>
      </c>
      <c r="T289">
        <v>0</v>
      </c>
      <c r="U289">
        <v>19200</v>
      </c>
      <c r="V289">
        <v>19200</v>
      </c>
      <c r="W289">
        <v>36000</v>
      </c>
      <c r="X289">
        <v>1.92</v>
      </c>
      <c r="Y289">
        <v>1.92</v>
      </c>
      <c r="Z289">
        <v>1536</v>
      </c>
      <c r="AA289">
        <v>1</v>
      </c>
      <c r="AB289">
        <v>1536</v>
      </c>
      <c r="AC289">
        <v>1536</v>
      </c>
      <c r="AD289">
        <v>2438</v>
      </c>
      <c r="AE289">
        <v>1.28</v>
      </c>
      <c r="AF289">
        <v>1.28</v>
      </c>
      <c r="AG289">
        <v>1536</v>
      </c>
      <c r="AH289">
        <v>1536</v>
      </c>
      <c r="AI289">
        <v>2445</v>
      </c>
      <c r="AJ289">
        <v>3.2</v>
      </c>
      <c r="AK289">
        <v>296</v>
      </c>
      <c r="AL289">
        <v>296</v>
      </c>
      <c r="AM289">
        <v>1190</v>
      </c>
      <c r="AN289">
        <v>1190</v>
      </c>
      <c r="AO289">
        <v>92.5</v>
      </c>
      <c r="AP289">
        <v>25.6</v>
      </c>
      <c r="AQ289">
        <v>0.42666666666666703</v>
      </c>
      <c r="AR289">
        <v>2445</v>
      </c>
      <c r="AS289">
        <v>37800</v>
      </c>
      <c r="AT289">
        <v>9600</v>
      </c>
    </row>
    <row r="290" spans="1:46">
      <c r="A290" t="s">
        <v>442</v>
      </c>
      <c r="B290">
        <v>7</v>
      </c>
      <c r="C290" t="s">
        <v>455</v>
      </c>
      <c r="D290">
        <v>1</v>
      </c>
      <c r="E290">
        <v>0</v>
      </c>
      <c r="F290">
        <v>0</v>
      </c>
      <c r="G290">
        <v>1</v>
      </c>
      <c r="H290">
        <v>0</v>
      </c>
      <c r="I290">
        <v>1</v>
      </c>
      <c r="J290">
        <v>1</v>
      </c>
      <c r="K290">
        <v>0</v>
      </c>
      <c r="L290">
        <v>0</v>
      </c>
      <c r="M290">
        <v>19000</v>
      </c>
      <c r="N290">
        <v>19000</v>
      </c>
      <c r="O290">
        <v>0</v>
      </c>
      <c r="P290">
        <v>4700</v>
      </c>
      <c r="Q290">
        <v>0</v>
      </c>
      <c r="R290">
        <v>19000</v>
      </c>
      <c r="S290">
        <v>19000</v>
      </c>
      <c r="T290">
        <v>0</v>
      </c>
      <c r="U290">
        <v>38000</v>
      </c>
      <c r="V290">
        <v>38000</v>
      </c>
      <c r="W290">
        <v>74000</v>
      </c>
      <c r="X290">
        <v>3.8</v>
      </c>
      <c r="Y290">
        <v>3.8</v>
      </c>
      <c r="Z290">
        <v>3072</v>
      </c>
      <c r="AA290">
        <v>1</v>
      </c>
      <c r="AB290">
        <v>3072</v>
      </c>
      <c r="AC290">
        <v>3072</v>
      </c>
      <c r="AD290">
        <v>5510</v>
      </c>
      <c r="AE290">
        <v>2.56</v>
      </c>
      <c r="AF290">
        <v>2.56</v>
      </c>
      <c r="AG290">
        <v>3072</v>
      </c>
      <c r="AH290">
        <v>3072</v>
      </c>
      <c r="AI290">
        <v>5517</v>
      </c>
      <c r="AJ290">
        <v>6.36</v>
      </c>
      <c r="AK290">
        <v>356</v>
      </c>
      <c r="AL290">
        <v>356</v>
      </c>
      <c r="AM290">
        <v>1550</v>
      </c>
      <c r="AN290">
        <v>1550</v>
      </c>
      <c r="AO290">
        <v>55.974842767295598</v>
      </c>
      <c r="AP290">
        <v>51.2</v>
      </c>
      <c r="AQ290">
        <v>0.85333333333333306</v>
      </c>
      <c r="AR290">
        <v>5517</v>
      </c>
      <c r="AS290">
        <v>75800</v>
      </c>
      <c r="AT290">
        <v>19000</v>
      </c>
    </row>
    <row r="291" spans="1:46">
      <c r="A291" t="s">
        <v>442</v>
      </c>
      <c r="B291">
        <v>8</v>
      </c>
      <c r="C291" t="s">
        <v>456</v>
      </c>
      <c r="D291">
        <v>1</v>
      </c>
      <c r="E291">
        <v>0</v>
      </c>
      <c r="F291">
        <v>0</v>
      </c>
      <c r="G291">
        <v>1</v>
      </c>
      <c r="H291">
        <v>0</v>
      </c>
      <c r="I291">
        <v>1</v>
      </c>
      <c r="J291">
        <v>1</v>
      </c>
      <c r="K291">
        <v>0</v>
      </c>
      <c r="L291">
        <v>0</v>
      </c>
      <c r="M291">
        <v>38000</v>
      </c>
      <c r="N291">
        <v>38000</v>
      </c>
      <c r="O291">
        <v>0</v>
      </c>
      <c r="P291">
        <v>9500</v>
      </c>
      <c r="Q291">
        <v>0</v>
      </c>
      <c r="R291">
        <v>38000</v>
      </c>
      <c r="S291">
        <v>38000</v>
      </c>
      <c r="T291">
        <v>0</v>
      </c>
      <c r="U291">
        <v>76000</v>
      </c>
      <c r="V291">
        <v>76000</v>
      </c>
      <c r="W291">
        <v>150000</v>
      </c>
      <c r="X291">
        <v>7.6</v>
      </c>
      <c r="Y291">
        <v>7.6</v>
      </c>
      <c r="Z291">
        <v>6144</v>
      </c>
      <c r="AA291">
        <v>1</v>
      </c>
      <c r="AB291">
        <v>6144</v>
      </c>
      <c r="AC291">
        <v>6144</v>
      </c>
      <c r="AD291">
        <v>11654</v>
      </c>
      <c r="AE291">
        <v>5.12</v>
      </c>
      <c r="AF291">
        <v>5.12</v>
      </c>
      <c r="AG291">
        <v>6144</v>
      </c>
      <c r="AH291">
        <v>6144</v>
      </c>
      <c r="AI291">
        <v>11661</v>
      </c>
      <c r="AJ291">
        <v>12.72</v>
      </c>
      <c r="AK291">
        <v>440</v>
      </c>
      <c r="AL291">
        <v>440</v>
      </c>
      <c r="AM291">
        <v>1990</v>
      </c>
      <c r="AN291">
        <v>1990</v>
      </c>
      <c r="AO291">
        <v>34.591194968553502</v>
      </c>
      <c r="AP291">
        <v>102.4</v>
      </c>
      <c r="AQ291">
        <v>1.7066666666666701</v>
      </c>
      <c r="AR291">
        <v>11661</v>
      </c>
      <c r="AS291">
        <v>151800</v>
      </c>
      <c r="AT291">
        <v>38000</v>
      </c>
    </row>
    <row r="292" spans="1:46">
      <c r="A292" t="s">
        <v>442</v>
      </c>
      <c r="B292">
        <v>9</v>
      </c>
      <c r="C292" t="s">
        <v>457</v>
      </c>
      <c r="D292">
        <v>1</v>
      </c>
      <c r="E292">
        <v>0</v>
      </c>
      <c r="F292">
        <v>0</v>
      </c>
      <c r="G292">
        <v>1</v>
      </c>
      <c r="H292">
        <v>0</v>
      </c>
      <c r="I292">
        <v>1</v>
      </c>
      <c r="J292">
        <v>1</v>
      </c>
      <c r="K292">
        <v>0</v>
      </c>
      <c r="L292">
        <v>0</v>
      </c>
      <c r="M292">
        <v>65000</v>
      </c>
      <c r="N292">
        <v>65000</v>
      </c>
      <c r="O292">
        <v>0</v>
      </c>
      <c r="P292">
        <v>13500</v>
      </c>
      <c r="Q292">
        <v>0</v>
      </c>
      <c r="R292">
        <v>65000</v>
      </c>
      <c r="S292">
        <v>65000</v>
      </c>
      <c r="T292">
        <v>0</v>
      </c>
      <c r="U292">
        <v>130000</v>
      </c>
      <c r="V292">
        <v>130000</v>
      </c>
      <c r="W292">
        <v>280000</v>
      </c>
      <c r="X292">
        <v>13</v>
      </c>
      <c r="Y292">
        <v>13</v>
      </c>
      <c r="Z292">
        <v>10445</v>
      </c>
      <c r="AA292">
        <v>1</v>
      </c>
      <c r="AB292">
        <v>10445</v>
      </c>
      <c r="AC292">
        <v>10445</v>
      </c>
      <c r="AD292">
        <v>22099</v>
      </c>
      <c r="AE292">
        <v>8.7041666666666693</v>
      </c>
      <c r="AF292">
        <v>8.7041666666666693</v>
      </c>
      <c r="AG292">
        <v>10445</v>
      </c>
      <c r="AH292">
        <v>10445</v>
      </c>
      <c r="AI292">
        <v>22106</v>
      </c>
      <c r="AJ292">
        <v>21.704166666666701</v>
      </c>
      <c r="AK292">
        <v>520</v>
      </c>
      <c r="AL292">
        <v>520</v>
      </c>
      <c r="AM292">
        <v>2510</v>
      </c>
      <c r="AN292">
        <v>2510</v>
      </c>
      <c r="AO292">
        <v>23.958533307736602</v>
      </c>
      <c r="AP292">
        <v>174.083333333333</v>
      </c>
      <c r="AQ292">
        <v>2.9013888888888899</v>
      </c>
      <c r="AR292">
        <v>22106</v>
      </c>
      <c r="AS292">
        <v>281800</v>
      </c>
      <c r="AT292">
        <v>65000</v>
      </c>
    </row>
    <row r="293" spans="1:46">
      <c r="A293" t="s">
        <v>442</v>
      </c>
      <c r="B293">
        <v>10</v>
      </c>
      <c r="C293" t="s">
        <v>458</v>
      </c>
      <c r="D293">
        <v>1</v>
      </c>
      <c r="E293">
        <v>0</v>
      </c>
      <c r="F293">
        <v>0</v>
      </c>
      <c r="G293">
        <v>1</v>
      </c>
      <c r="H293">
        <v>0</v>
      </c>
      <c r="I293">
        <v>1</v>
      </c>
      <c r="J293">
        <v>1</v>
      </c>
      <c r="K293">
        <v>0</v>
      </c>
      <c r="L293">
        <v>0</v>
      </c>
      <c r="M293">
        <v>110000</v>
      </c>
      <c r="N293">
        <v>110000</v>
      </c>
      <c r="O293">
        <v>0</v>
      </c>
      <c r="P293">
        <v>22500</v>
      </c>
      <c r="Q293">
        <v>0</v>
      </c>
      <c r="R293">
        <v>110000</v>
      </c>
      <c r="S293">
        <v>110000</v>
      </c>
      <c r="T293">
        <v>0</v>
      </c>
      <c r="U293">
        <v>220000</v>
      </c>
      <c r="V293">
        <v>220000</v>
      </c>
      <c r="W293">
        <v>500000</v>
      </c>
      <c r="X293">
        <v>22</v>
      </c>
      <c r="Y293">
        <v>22</v>
      </c>
      <c r="Z293">
        <v>16712</v>
      </c>
      <c r="AA293">
        <v>1</v>
      </c>
      <c r="AB293">
        <v>16712</v>
      </c>
      <c r="AC293">
        <v>16712</v>
      </c>
      <c r="AD293">
        <v>38811</v>
      </c>
      <c r="AE293">
        <v>13.9266666666667</v>
      </c>
      <c r="AF293">
        <v>13.9266666666667</v>
      </c>
      <c r="AG293">
        <v>16712</v>
      </c>
      <c r="AH293">
        <v>16712</v>
      </c>
      <c r="AI293">
        <v>38818</v>
      </c>
      <c r="AJ293">
        <v>35.926666666666698</v>
      </c>
      <c r="AK293">
        <v>640</v>
      </c>
      <c r="AL293">
        <v>640</v>
      </c>
      <c r="AM293">
        <v>3150</v>
      </c>
      <c r="AN293">
        <v>3150</v>
      </c>
      <c r="AO293">
        <v>17.814065689367201</v>
      </c>
      <c r="AP293">
        <v>278.53333333333302</v>
      </c>
      <c r="AQ293">
        <v>4.6422222222222196</v>
      </c>
      <c r="AR293">
        <v>38818</v>
      </c>
      <c r="AS293">
        <v>501800</v>
      </c>
      <c r="AT293">
        <v>110000</v>
      </c>
    </row>
    <row r="294" spans="1:46">
      <c r="A294" t="s">
        <v>442</v>
      </c>
      <c r="B294">
        <v>11</v>
      </c>
      <c r="C294" t="s">
        <v>459</v>
      </c>
      <c r="D294">
        <v>1</v>
      </c>
      <c r="E294">
        <v>0</v>
      </c>
      <c r="F294">
        <v>0</v>
      </c>
      <c r="G294">
        <v>1</v>
      </c>
      <c r="H294">
        <v>0</v>
      </c>
      <c r="I294">
        <v>1</v>
      </c>
      <c r="J294">
        <v>1</v>
      </c>
      <c r="K294">
        <v>3</v>
      </c>
      <c r="L294">
        <v>0</v>
      </c>
      <c r="M294">
        <v>71000</v>
      </c>
      <c r="N294">
        <v>71000</v>
      </c>
      <c r="O294">
        <v>210000</v>
      </c>
      <c r="P294">
        <v>33000</v>
      </c>
      <c r="Q294">
        <v>0</v>
      </c>
      <c r="R294">
        <v>71000</v>
      </c>
      <c r="S294">
        <v>71000</v>
      </c>
      <c r="T294">
        <v>210000</v>
      </c>
      <c r="U294">
        <v>352000</v>
      </c>
      <c r="V294">
        <v>352000</v>
      </c>
      <c r="W294">
        <v>852000</v>
      </c>
      <c r="X294">
        <v>35.200000000000003</v>
      </c>
      <c r="Y294">
        <v>35.200000000000003</v>
      </c>
      <c r="Z294">
        <v>22561</v>
      </c>
      <c r="AA294">
        <v>1</v>
      </c>
      <c r="AB294">
        <v>22561</v>
      </c>
      <c r="AC294">
        <v>22561</v>
      </c>
      <c r="AD294">
        <v>61372</v>
      </c>
      <c r="AE294">
        <v>18.800833333333301</v>
      </c>
      <c r="AF294">
        <v>18.800833333333301</v>
      </c>
      <c r="AG294">
        <v>22561</v>
      </c>
      <c r="AH294">
        <v>22561</v>
      </c>
      <c r="AI294">
        <v>61379</v>
      </c>
      <c r="AJ294">
        <v>54.000833333333297</v>
      </c>
      <c r="AK294">
        <v>880</v>
      </c>
      <c r="AL294">
        <v>880</v>
      </c>
      <c r="AM294">
        <v>4030</v>
      </c>
      <c r="AN294">
        <v>4030</v>
      </c>
      <c r="AO294">
        <v>16.296044814123199</v>
      </c>
      <c r="AP294">
        <v>376.01666666666699</v>
      </c>
      <c r="AQ294">
        <v>6.26694444444444</v>
      </c>
      <c r="AR294">
        <v>61379</v>
      </c>
      <c r="AS294">
        <v>853800</v>
      </c>
      <c r="AT294">
        <v>210000</v>
      </c>
    </row>
    <row r="295" spans="1:46">
      <c r="A295" t="s">
        <v>442</v>
      </c>
      <c r="B295">
        <v>12</v>
      </c>
      <c r="C295" t="s">
        <v>460</v>
      </c>
      <c r="D295">
        <v>1</v>
      </c>
      <c r="E295">
        <v>0</v>
      </c>
      <c r="F295">
        <v>0</v>
      </c>
      <c r="G295">
        <v>1</v>
      </c>
      <c r="H295">
        <v>0</v>
      </c>
      <c r="I295">
        <v>1</v>
      </c>
      <c r="J295">
        <v>1</v>
      </c>
      <c r="K295">
        <v>3</v>
      </c>
      <c r="L295">
        <v>0</v>
      </c>
      <c r="M295">
        <v>110000</v>
      </c>
      <c r="N295">
        <v>110000</v>
      </c>
      <c r="O295">
        <v>340000</v>
      </c>
      <c r="P295">
        <v>52000</v>
      </c>
      <c r="Q295">
        <v>0</v>
      </c>
      <c r="R295">
        <v>110000</v>
      </c>
      <c r="S295">
        <v>110000</v>
      </c>
      <c r="T295">
        <v>340000</v>
      </c>
      <c r="U295">
        <v>560000</v>
      </c>
      <c r="V295">
        <v>560000</v>
      </c>
      <c r="W295">
        <v>1412000</v>
      </c>
      <c r="X295">
        <v>56</v>
      </c>
      <c r="Y295">
        <v>56</v>
      </c>
      <c r="Z295">
        <v>30457</v>
      </c>
      <c r="AA295">
        <v>1</v>
      </c>
      <c r="AB295">
        <v>30457</v>
      </c>
      <c r="AC295">
        <v>30457</v>
      </c>
      <c r="AD295">
        <v>91829</v>
      </c>
      <c r="AE295">
        <v>25.3808333333333</v>
      </c>
      <c r="AF295">
        <v>25.3808333333333</v>
      </c>
      <c r="AG295">
        <v>30457</v>
      </c>
      <c r="AH295">
        <v>30457</v>
      </c>
      <c r="AI295">
        <v>91836</v>
      </c>
      <c r="AJ295">
        <v>81.3808333333333</v>
      </c>
      <c r="AK295">
        <v>1200</v>
      </c>
      <c r="AL295">
        <v>1200</v>
      </c>
      <c r="AM295">
        <v>5230</v>
      </c>
      <c r="AN295">
        <v>5230</v>
      </c>
      <c r="AO295">
        <v>14.7454867546617</v>
      </c>
      <c r="AP295">
        <v>507.61666666666702</v>
      </c>
      <c r="AQ295">
        <v>8.4602777777777796</v>
      </c>
      <c r="AR295">
        <v>91836</v>
      </c>
      <c r="AS295">
        <v>1413800</v>
      </c>
      <c r="AT295">
        <v>340000</v>
      </c>
    </row>
    <row r="296" spans="1:46">
      <c r="A296" t="s">
        <v>442</v>
      </c>
      <c r="B296">
        <v>13</v>
      </c>
      <c r="C296" t="s">
        <v>461</v>
      </c>
      <c r="D296">
        <v>1</v>
      </c>
      <c r="E296">
        <v>0</v>
      </c>
      <c r="F296">
        <v>0</v>
      </c>
      <c r="G296">
        <v>1</v>
      </c>
      <c r="H296">
        <v>0</v>
      </c>
      <c r="I296">
        <v>1</v>
      </c>
      <c r="J296">
        <v>1</v>
      </c>
      <c r="K296">
        <v>3</v>
      </c>
      <c r="L296">
        <v>0</v>
      </c>
      <c r="M296">
        <v>180000</v>
      </c>
      <c r="N296">
        <v>180000</v>
      </c>
      <c r="O296">
        <v>550000</v>
      </c>
      <c r="P296">
        <v>87500</v>
      </c>
      <c r="Q296">
        <v>0</v>
      </c>
      <c r="R296">
        <v>180000</v>
      </c>
      <c r="S296">
        <v>180000</v>
      </c>
      <c r="T296">
        <v>550000</v>
      </c>
      <c r="U296">
        <v>910000</v>
      </c>
      <c r="V296">
        <v>910000</v>
      </c>
      <c r="W296">
        <v>2322000</v>
      </c>
      <c r="X296">
        <v>91</v>
      </c>
      <c r="Y296">
        <v>91</v>
      </c>
      <c r="Z296">
        <v>41117</v>
      </c>
      <c r="AA296">
        <v>1</v>
      </c>
      <c r="AB296">
        <v>41117</v>
      </c>
      <c r="AC296">
        <v>41117</v>
      </c>
      <c r="AD296">
        <v>132946</v>
      </c>
      <c r="AE296">
        <v>34.264166666666704</v>
      </c>
      <c r="AF296">
        <v>34.264166666666704</v>
      </c>
      <c r="AG296">
        <v>41117</v>
      </c>
      <c r="AH296">
        <v>41117</v>
      </c>
      <c r="AI296">
        <v>132953</v>
      </c>
      <c r="AJ296">
        <v>125.26416666666699</v>
      </c>
      <c r="AK296">
        <v>1640</v>
      </c>
      <c r="AL296">
        <v>1640</v>
      </c>
      <c r="AM296">
        <v>6870</v>
      </c>
      <c r="AN296">
        <v>6870</v>
      </c>
      <c r="AO296">
        <v>13.0923315393468</v>
      </c>
      <c r="AP296">
        <v>685.28333333333296</v>
      </c>
      <c r="AQ296">
        <v>11.421388888888901</v>
      </c>
      <c r="AR296">
        <v>132953</v>
      </c>
      <c r="AS296">
        <v>2323800</v>
      </c>
      <c r="AT296">
        <v>550000</v>
      </c>
    </row>
    <row r="297" spans="1:46">
      <c r="A297" t="s">
        <v>442</v>
      </c>
      <c r="B297">
        <v>14</v>
      </c>
      <c r="C297" t="s">
        <v>462</v>
      </c>
      <c r="D297">
        <v>1</v>
      </c>
      <c r="E297">
        <v>0</v>
      </c>
      <c r="F297">
        <v>0</v>
      </c>
      <c r="G297">
        <v>1</v>
      </c>
      <c r="H297">
        <v>0</v>
      </c>
      <c r="I297">
        <v>1</v>
      </c>
      <c r="J297">
        <v>1</v>
      </c>
      <c r="K297">
        <v>3</v>
      </c>
      <c r="L297">
        <v>0</v>
      </c>
      <c r="M297">
        <v>290000</v>
      </c>
      <c r="N297">
        <v>290000</v>
      </c>
      <c r="O297">
        <v>870000</v>
      </c>
      <c r="P297">
        <v>135000</v>
      </c>
      <c r="Q297">
        <v>0</v>
      </c>
      <c r="R297">
        <v>290000</v>
      </c>
      <c r="S297">
        <v>290000</v>
      </c>
      <c r="T297">
        <v>870000</v>
      </c>
      <c r="U297">
        <v>1450000</v>
      </c>
      <c r="V297">
        <v>1450000</v>
      </c>
      <c r="W297">
        <v>3772000</v>
      </c>
      <c r="X297">
        <v>145</v>
      </c>
      <c r="Y297">
        <v>145</v>
      </c>
      <c r="Z297">
        <v>55508</v>
      </c>
      <c r="AA297">
        <v>1</v>
      </c>
      <c r="AB297">
        <v>55508</v>
      </c>
      <c r="AC297">
        <v>55508</v>
      </c>
      <c r="AD297">
        <v>188454</v>
      </c>
      <c r="AE297">
        <v>46.256666666666703</v>
      </c>
      <c r="AF297">
        <v>46.256666666666703</v>
      </c>
      <c r="AG297">
        <v>55508</v>
      </c>
      <c r="AH297">
        <v>55508</v>
      </c>
      <c r="AI297">
        <v>188461</v>
      </c>
      <c r="AJ297">
        <v>191.256666666667</v>
      </c>
      <c r="AK297">
        <v>2200</v>
      </c>
      <c r="AL297">
        <v>2200</v>
      </c>
      <c r="AM297">
        <v>9070</v>
      </c>
      <c r="AN297">
        <v>9070</v>
      </c>
      <c r="AO297">
        <v>11.5028670024574</v>
      </c>
      <c r="AP297">
        <v>925.13333333333298</v>
      </c>
      <c r="AQ297">
        <v>15.418888888888899</v>
      </c>
      <c r="AR297">
        <v>188461</v>
      </c>
      <c r="AS297">
        <v>3773800</v>
      </c>
      <c r="AT297">
        <v>870000</v>
      </c>
    </row>
    <row r="298" spans="1:46">
      <c r="A298" t="s">
        <v>442</v>
      </c>
      <c r="B298">
        <v>15</v>
      </c>
      <c r="C298" t="s">
        <v>463</v>
      </c>
      <c r="D298">
        <v>1</v>
      </c>
      <c r="E298">
        <v>0</v>
      </c>
      <c r="F298">
        <v>0</v>
      </c>
      <c r="G298">
        <v>1</v>
      </c>
      <c r="H298">
        <v>0</v>
      </c>
      <c r="I298">
        <v>1</v>
      </c>
      <c r="J298">
        <v>1</v>
      </c>
      <c r="K298">
        <v>3</v>
      </c>
      <c r="L298">
        <v>0</v>
      </c>
      <c r="M298">
        <v>440000</v>
      </c>
      <c r="N298">
        <v>440000</v>
      </c>
      <c r="O298">
        <v>1300000</v>
      </c>
      <c r="P298">
        <v>182500</v>
      </c>
      <c r="Q298">
        <v>0</v>
      </c>
      <c r="R298">
        <v>440000</v>
      </c>
      <c r="S298">
        <v>440000</v>
      </c>
      <c r="T298">
        <v>1300000</v>
      </c>
      <c r="U298">
        <v>2180000</v>
      </c>
      <c r="V298">
        <v>2180000</v>
      </c>
      <c r="W298">
        <v>5952000</v>
      </c>
      <c r="X298">
        <v>218</v>
      </c>
      <c r="Y298">
        <v>218</v>
      </c>
      <c r="Z298">
        <v>74936</v>
      </c>
      <c r="AA298">
        <v>1</v>
      </c>
      <c r="AB298">
        <v>74936</v>
      </c>
      <c r="AC298">
        <v>74936</v>
      </c>
      <c r="AD298">
        <v>263390</v>
      </c>
      <c r="AE298">
        <v>62.446666666666701</v>
      </c>
      <c r="AF298">
        <v>62.446666666666701</v>
      </c>
      <c r="AG298">
        <v>74936</v>
      </c>
      <c r="AH298">
        <v>74936</v>
      </c>
      <c r="AI298">
        <v>263397</v>
      </c>
      <c r="AJ298">
        <v>280.446666666667</v>
      </c>
      <c r="AK298">
        <v>2960</v>
      </c>
      <c r="AL298">
        <v>2960</v>
      </c>
      <c r="AM298">
        <v>12030</v>
      </c>
      <c r="AN298">
        <v>12030</v>
      </c>
      <c r="AO298">
        <v>10.554591485012001</v>
      </c>
      <c r="AP298">
        <v>1248.93333333333</v>
      </c>
      <c r="AQ298">
        <v>20.815555555555601</v>
      </c>
      <c r="AR298">
        <v>263397</v>
      </c>
      <c r="AS298">
        <v>5953800</v>
      </c>
      <c r="AT298">
        <v>1300000</v>
      </c>
    </row>
    <row r="299" spans="1:46">
      <c r="A299" t="s">
        <v>442</v>
      </c>
      <c r="B299">
        <v>16</v>
      </c>
      <c r="C299" t="s">
        <v>464</v>
      </c>
      <c r="D299">
        <v>1</v>
      </c>
      <c r="E299">
        <v>0</v>
      </c>
      <c r="F299">
        <v>0</v>
      </c>
      <c r="G299">
        <v>1</v>
      </c>
      <c r="H299">
        <v>0</v>
      </c>
      <c r="I299">
        <v>1</v>
      </c>
      <c r="J299">
        <v>1</v>
      </c>
      <c r="K299">
        <v>3</v>
      </c>
      <c r="L299">
        <v>0</v>
      </c>
      <c r="M299">
        <v>590000</v>
      </c>
      <c r="N299">
        <v>590000</v>
      </c>
      <c r="O299">
        <v>1800000</v>
      </c>
      <c r="P299">
        <v>200000</v>
      </c>
      <c r="Q299">
        <v>0</v>
      </c>
      <c r="R299">
        <v>590000</v>
      </c>
      <c r="S299">
        <v>590000</v>
      </c>
      <c r="T299">
        <v>1800000</v>
      </c>
      <c r="U299">
        <v>2980000</v>
      </c>
      <c r="V299">
        <v>2980000</v>
      </c>
      <c r="W299">
        <v>8932000</v>
      </c>
      <c r="X299">
        <v>298</v>
      </c>
      <c r="Y299">
        <v>298</v>
      </c>
      <c r="Z299">
        <v>101163</v>
      </c>
      <c r="AA299">
        <v>1</v>
      </c>
      <c r="AB299">
        <v>101163</v>
      </c>
      <c r="AC299">
        <v>101163</v>
      </c>
      <c r="AD299">
        <v>364553</v>
      </c>
      <c r="AE299">
        <v>84.302499999999995</v>
      </c>
      <c r="AF299">
        <v>84.302499999999995</v>
      </c>
      <c r="AG299">
        <v>101163</v>
      </c>
      <c r="AH299">
        <v>101163</v>
      </c>
      <c r="AI299">
        <v>364560</v>
      </c>
      <c r="AJ299">
        <v>382.30250000000001</v>
      </c>
      <c r="AK299">
        <v>4000</v>
      </c>
      <c r="AL299">
        <v>4000</v>
      </c>
      <c r="AM299">
        <v>16030</v>
      </c>
      <c r="AN299">
        <v>16030</v>
      </c>
      <c r="AO299">
        <v>10.4629187619751</v>
      </c>
      <c r="AP299">
        <v>1686.05</v>
      </c>
      <c r="AQ299">
        <v>28.100833333333298</v>
      </c>
      <c r="AR299">
        <v>364560</v>
      </c>
      <c r="AS299">
        <v>8933800</v>
      </c>
      <c r="AT299">
        <v>1800000</v>
      </c>
    </row>
    <row r="300" spans="1:46">
      <c r="A300" t="s">
        <v>442</v>
      </c>
      <c r="B300">
        <v>17</v>
      </c>
      <c r="C300" t="s">
        <v>465</v>
      </c>
      <c r="D300">
        <v>1</v>
      </c>
      <c r="E300">
        <v>0</v>
      </c>
      <c r="F300">
        <v>0</v>
      </c>
      <c r="G300">
        <v>1</v>
      </c>
      <c r="H300">
        <v>0</v>
      </c>
      <c r="I300">
        <v>1</v>
      </c>
      <c r="J300">
        <v>1</v>
      </c>
      <c r="K300">
        <v>3</v>
      </c>
      <c r="L300">
        <v>0</v>
      </c>
      <c r="M300">
        <v>770000</v>
      </c>
      <c r="N300">
        <v>770000</v>
      </c>
      <c r="O300">
        <v>2300000</v>
      </c>
      <c r="P300">
        <v>215000</v>
      </c>
      <c r="Q300">
        <v>0</v>
      </c>
      <c r="R300">
        <v>770000</v>
      </c>
      <c r="S300">
        <v>770000</v>
      </c>
      <c r="T300">
        <v>2300000</v>
      </c>
      <c r="U300">
        <v>3840000</v>
      </c>
      <c r="V300">
        <v>3840000</v>
      </c>
      <c r="W300">
        <v>12772000</v>
      </c>
      <c r="X300">
        <v>384</v>
      </c>
      <c r="Y300">
        <v>384</v>
      </c>
      <c r="Z300">
        <v>136570</v>
      </c>
      <c r="AA300">
        <v>1</v>
      </c>
      <c r="AB300">
        <v>136570</v>
      </c>
      <c r="AC300">
        <v>136570</v>
      </c>
      <c r="AD300">
        <v>501123</v>
      </c>
      <c r="AE300">
        <v>113.808333333333</v>
      </c>
      <c r="AF300">
        <v>113.808333333333</v>
      </c>
      <c r="AG300">
        <v>136570</v>
      </c>
      <c r="AH300">
        <v>136570</v>
      </c>
      <c r="AI300">
        <v>501130</v>
      </c>
      <c r="AJ300">
        <v>497.808333333333</v>
      </c>
      <c r="AK300">
        <v>5600</v>
      </c>
      <c r="AL300">
        <v>5600</v>
      </c>
      <c r="AM300">
        <v>21630</v>
      </c>
      <c r="AN300">
        <v>21630</v>
      </c>
      <c r="AO300">
        <v>11.249309473190801</v>
      </c>
      <c r="AP300">
        <v>2276.1666666666702</v>
      </c>
      <c r="AQ300">
        <v>37.936111111111103</v>
      </c>
      <c r="AR300">
        <v>501130</v>
      </c>
      <c r="AS300">
        <v>12773800</v>
      </c>
      <c r="AT300">
        <v>2300000</v>
      </c>
    </row>
    <row r="301" spans="1:46">
      <c r="A301" t="s">
        <v>442</v>
      </c>
      <c r="B301">
        <v>18</v>
      </c>
      <c r="C301" t="s">
        <v>466</v>
      </c>
      <c r="D301">
        <v>1</v>
      </c>
      <c r="E301">
        <v>0</v>
      </c>
      <c r="F301">
        <v>0</v>
      </c>
      <c r="G301">
        <v>1</v>
      </c>
      <c r="H301">
        <v>0</v>
      </c>
      <c r="I301">
        <v>1</v>
      </c>
      <c r="J301">
        <v>1</v>
      </c>
      <c r="K301">
        <v>3</v>
      </c>
      <c r="L301">
        <v>0</v>
      </c>
      <c r="M301">
        <v>1000000</v>
      </c>
      <c r="N301">
        <v>1000000</v>
      </c>
      <c r="O301">
        <v>3000000</v>
      </c>
      <c r="P301">
        <v>290000</v>
      </c>
      <c r="Q301">
        <v>0</v>
      </c>
      <c r="R301">
        <v>1000000</v>
      </c>
      <c r="S301">
        <v>1000000</v>
      </c>
      <c r="T301">
        <v>3000000</v>
      </c>
      <c r="U301">
        <v>5000000</v>
      </c>
      <c r="V301">
        <v>5000000</v>
      </c>
      <c r="W301">
        <v>17772000</v>
      </c>
      <c r="X301">
        <v>500</v>
      </c>
      <c r="Y301">
        <v>500</v>
      </c>
      <c r="Z301">
        <v>184370</v>
      </c>
      <c r="AA301">
        <v>1</v>
      </c>
      <c r="AB301">
        <v>184370</v>
      </c>
      <c r="AC301">
        <v>184370</v>
      </c>
      <c r="AD301">
        <v>685493</v>
      </c>
      <c r="AE301">
        <v>153.64166666666699</v>
      </c>
      <c r="AF301">
        <v>153.64166666666699</v>
      </c>
      <c r="AG301">
        <v>184370</v>
      </c>
      <c r="AH301">
        <v>184370</v>
      </c>
      <c r="AI301">
        <v>685500</v>
      </c>
      <c r="AJ301">
        <v>653.64166666666699</v>
      </c>
      <c r="AK301">
        <v>7600</v>
      </c>
      <c r="AL301">
        <v>7600</v>
      </c>
      <c r="AM301">
        <v>29230</v>
      </c>
      <c r="AN301">
        <v>29230</v>
      </c>
      <c r="AO301">
        <v>11.627165750857399</v>
      </c>
      <c r="AP301">
        <v>3072.8333333333298</v>
      </c>
      <c r="AQ301">
        <v>51.213888888888903</v>
      </c>
      <c r="AR301">
        <v>685500</v>
      </c>
      <c r="AS301">
        <v>17773800</v>
      </c>
      <c r="AT301">
        <v>3000000</v>
      </c>
    </row>
    <row r="302" spans="1:46">
      <c r="A302" t="s">
        <v>442</v>
      </c>
      <c r="B302">
        <v>19</v>
      </c>
      <c r="C302" t="s">
        <v>467</v>
      </c>
      <c r="D302">
        <v>1</v>
      </c>
      <c r="E302">
        <v>0</v>
      </c>
      <c r="F302">
        <v>0</v>
      </c>
      <c r="G302">
        <v>1</v>
      </c>
      <c r="H302">
        <v>0</v>
      </c>
      <c r="I302">
        <v>1</v>
      </c>
      <c r="J302">
        <v>1</v>
      </c>
      <c r="K302">
        <v>3</v>
      </c>
      <c r="L302">
        <v>0</v>
      </c>
      <c r="M302">
        <v>1300000</v>
      </c>
      <c r="N302">
        <v>1300000</v>
      </c>
      <c r="O302">
        <v>3900000</v>
      </c>
      <c r="P302">
        <v>375000</v>
      </c>
      <c r="Q302">
        <v>0</v>
      </c>
      <c r="R302">
        <v>1300000</v>
      </c>
      <c r="S302">
        <v>1300000</v>
      </c>
      <c r="T302">
        <v>3900000</v>
      </c>
      <c r="U302">
        <v>6500000</v>
      </c>
      <c r="V302">
        <v>6500000</v>
      </c>
      <c r="W302">
        <v>24272000</v>
      </c>
      <c r="X302">
        <v>650</v>
      </c>
      <c r="Y302">
        <v>650</v>
      </c>
      <c r="Z302">
        <v>276555</v>
      </c>
      <c r="AA302">
        <v>1</v>
      </c>
      <c r="AB302">
        <v>276555</v>
      </c>
      <c r="AC302">
        <v>276555</v>
      </c>
      <c r="AD302">
        <v>962048</v>
      </c>
      <c r="AE302">
        <v>230.46250000000001</v>
      </c>
      <c r="AF302">
        <v>230.46250000000001</v>
      </c>
      <c r="AG302">
        <v>276555</v>
      </c>
      <c r="AH302">
        <v>276555</v>
      </c>
      <c r="AI302">
        <v>962055</v>
      </c>
      <c r="AJ302">
        <v>880.46249999999998</v>
      </c>
      <c r="AK302">
        <v>10400</v>
      </c>
      <c r="AL302">
        <v>10400</v>
      </c>
      <c r="AM302">
        <v>39630</v>
      </c>
      <c r="AN302">
        <v>39630</v>
      </c>
      <c r="AO302">
        <v>11.8119738205773</v>
      </c>
      <c r="AP302">
        <v>4609.25</v>
      </c>
      <c r="AQ302">
        <v>76.820833333333297</v>
      </c>
      <c r="AR302">
        <v>962055</v>
      </c>
      <c r="AS302">
        <v>24273800</v>
      </c>
      <c r="AT302">
        <v>3900000</v>
      </c>
    </row>
    <row r="303" spans="1:46">
      <c r="A303" t="s">
        <v>442</v>
      </c>
      <c r="B303">
        <v>20</v>
      </c>
      <c r="C303" t="s">
        <v>468</v>
      </c>
      <c r="D303">
        <v>1</v>
      </c>
      <c r="E303">
        <v>0</v>
      </c>
      <c r="F303">
        <v>0</v>
      </c>
      <c r="G303">
        <v>1</v>
      </c>
      <c r="H303">
        <v>0</v>
      </c>
      <c r="I303">
        <v>1</v>
      </c>
      <c r="J303">
        <v>1</v>
      </c>
      <c r="K303">
        <v>3</v>
      </c>
      <c r="L303">
        <v>0</v>
      </c>
      <c r="M303">
        <v>1700000</v>
      </c>
      <c r="N303">
        <v>1700000</v>
      </c>
      <c r="O303">
        <v>5100000</v>
      </c>
      <c r="P303">
        <v>500000</v>
      </c>
      <c r="Q303">
        <v>0</v>
      </c>
      <c r="R303">
        <v>1700000</v>
      </c>
      <c r="S303">
        <v>1700000</v>
      </c>
      <c r="T303">
        <v>5100000</v>
      </c>
      <c r="U303">
        <v>8500000</v>
      </c>
      <c r="V303">
        <v>8500000</v>
      </c>
      <c r="W303">
        <v>32772000</v>
      </c>
      <c r="X303">
        <v>850</v>
      </c>
      <c r="Y303">
        <v>850</v>
      </c>
      <c r="Z303">
        <v>414833</v>
      </c>
      <c r="AA303">
        <v>1</v>
      </c>
      <c r="AB303">
        <v>414833</v>
      </c>
      <c r="AC303">
        <v>414833</v>
      </c>
      <c r="AD303">
        <v>1376881</v>
      </c>
      <c r="AE303">
        <v>345.694166666667</v>
      </c>
      <c r="AF303">
        <v>345.694166666667</v>
      </c>
      <c r="AG303">
        <v>414833</v>
      </c>
      <c r="AH303">
        <v>414833</v>
      </c>
      <c r="AI303">
        <v>1376888</v>
      </c>
      <c r="AJ303">
        <v>1195.6941666666701</v>
      </c>
      <c r="AK303">
        <v>14000</v>
      </c>
      <c r="AL303">
        <v>14000</v>
      </c>
      <c r="AM303">
        <v>53630</v>
      </c>
      <c r="AN303">
        <v>53630</v>
      </c>
      <c r="AO303">
        <v>11.708679686068001</v>
      </c>
      <c r="AP303">
        <v>6913.8833333333296</v>
      </c>
      <c r="AQ303">
        <v>115.231388888889</v>
      </c>
      <c r="AR303">
        <v>1376888</v>
      </c>
      <c r="AS303">
        <v>32773800</v>
      </c>
      <c r="AT303">
        <v>5100000</v>
      </c>
    </row>
    <row r="304" spans="1:46">
      <c r="A304" t="s">
        <v>539</v>
      </c>
      <c r="B304">
        <v>1</v>
      </c>
      <c r="C304" t="s">
        <v>540</v>
      </c>
      <c r="D304">
        <v>1</v>
      </c>
      <c r="E304">
        <v>0</v>
      </c>
      <c r="F304">
        <v>0</v>
      </c>
      <c r="G304">
        <v>1</v>
      </c>
      <c r="H304">
        <v>0</v>
      </c>
      <c r="I304">
        <v>2</v>
      </c>
      <c r="J304">
        <v>0</v>
      </c>
      <c r="K304">
        <v>0</v>
      </c>
      <c r="L304">
        <v>0</v>
      </c>
      <c r="M304">
        <v>900</v>
      </c>
      <c r="N304">
        <v>0</v>
      </c>
      <c r="O304">
        <v>0</v>
      </c>
      <c r="P304" t="e">
        <v>#REF!</v>
      </c>
      <c r="Q304">
        <v>0</v>
      </c>
      <c r="R304">
        <v>900</v>
      </c>
      <c r="S304">
        <v>0</v>
      </c>
      <c r="T304">
        <v>0</v>
      </c>
      <c r="U304">
        <v>900</v>
      </c>
      <c r="V304">
        <v>900</v>
      </c>
      <c r="W304">
        <v>900</v>
      </c>
      <c r="X304">
        <v>0.09</v>
      </c>
      <c r="Y304">
        <v>0.09</v>
      </c>
      <c r="Z304">
        <v>72</v>
      </c>
      <c r="AA304">
        <v>1E-3</v>
      </c>
      <c r="AB304">
        <v>1</v>
      </c>
      <c r="AC304">
        <v>1</v>
      </c>
      <c r="AD304">
        <v>1</v>
      </c>
      <c r="AE304">
        <v>8.3333333333333295E-4</v>
      </c>
      <c r="AF304">
        <v>8.3333333333333295E-4</v>
      </c>
      <c r="AG304">
        <v>1</v>
      </c>
      <c r="AH304">
        <v>1</v>
      </c>
      <c r="AI304">
        <v>1</v>
      </c>
      <c r="AJ304">
        <v>9.0833333333333294E-2</v>
      </c>
      <c r="AK304">
        <v>180</v>
      </c>
      <c r="AL304">
        <v>180</v>
      </c>
      <c r="AM304">
        <v>180</v>
      </c>
      <c r="AN304">
        <v>180</v>
      </c>
      <c r="AO304">
        <v>1981.65137614679</v>
      </c>
      <c r="AP304">
        <v>1.6666666666666701E-2</v>
      </c>
      <c r="AQ304">
        <v>2.7777777777777799E-4</v>
      </c>
      <c r="AR304">
        <v>1</v>
      </c>
      <c r="AS304">
        <v>900</v>
      </c>
      <c r="AT304">
        <v>900</v>
      </c>
    </row>
    <row r="305" spans="1:46">
      <c r="A305" t="s">
        <v>539</v>
      </c>
      <c r="B305">
        <v>2</v>
      </c>
      <c r="C305" t="s">
        <v>546</v>
      </c>
      <c r="D305">
        <v>1</v>
      </c>
      <c r="E305">
        <v>0</v>
      </c>
      <c r="F305">
        <v>0</v>
      </c>
      <c r="G305">
        <v>1</v>
      </c>
      <c r="H305">
        <v>0</v>
      </c>
      <c r="I305">
        <v>2</v>
      </c>
      <c r="J305">
        <v>0</v>
      </c>
      <c r="K305">
        <v>0</v>
      </c>
      <c r="L305">
        <v>0</v>
      </c>
      <c r="M305">
        <v>1800</v>
      </c>
      <c r="N305">
        <v>0</v>
      </c>
      <c r="O305">
        <v>0</v>
      </c>
      <c r="P305">
        <v>225</v>
      </c>
      <c r="Q305">
        <v>0</v>
      </c>
      <c r="R305">
        <v>1800</v>
      </c>
      <c r="S305">
        <v>0</v>
      </c>
      <c r="T305">
        <v>0</v>
      </c>
      <c r="U305">
        <v>1800</v>
      </c>
      <c r="V305">
        <v>1800</v>
      </c>
      <c r="W305">
        <v>1800</v>
      </c>
      <c r="X305">
        <v>0.18</v>
      </c>
      <c r="Y305">
        <v>0.18</v>
      </c>
      <c r="Z305">
        <v>144</v>
      </c>
      <c r="AA305">
        <v>6.0999999999999999E-2</v>
      </c>
      <c r="AB305">
        <v>9</v>
      </c>
      <c r="AC305">
        <v>9</v>
      </c>
      <c r="AD305">
        <v>9</v>
      </c>
      <c r="AE305">
        <v>7.4999999999999997E-3</v>
      </c>
      <c r="AF305">
        <v>7.4999999999999997E-3</v>
      </c>
      <c r="AG305">
        <v>9</v>
      </c>
      <c r="AH305">
        <v>9</v>
      </c>
      <c r="AI305">
        <v>10</v>
      </c>
      <c r="AJ305">
        <v>0.1875</v>
      </c>
      <c r="AK305">
        <v>216</v>
      </c>
      <c r="AL305">
        <v>216</v>
      </c>
      <c r="AM305">
        <v>400</v>
      </c>
      <c r="AN305">
        <v>400</v>
      </c>
      <c r="AO305">
        <v>1152</v>
      </c>
      <c r="AP305">
        <v>0.15</v>
      </c>
      <c r="AQ305">
        <v>2.5000000000000001E-3</v>
      </c>
      <c r="AR305">
        <v>10</v>
      </c>
      <c r="AS305">
        <v>2700</v>
      </c>
      <c r="AT305">
        <v>1800</v>
      </c>
    </row>
    <row r="306" spans="1:46">
      <c r="A306" t="s">
        <v>539</v>
      </c>
      <c r="B306">
        <v>3</v>
      </c>
      <c r="C306" t="s">
        <v>547</v>
      </c>
      <c r="D306">
        <v>1</v>
      </c>
      <c r="E306">
        <v>0</v>
      </c>
      <c r="F306">
        <v>0</v>
      </c>
      <c r="G306">
        <v>1</v>
      </c>
      <c r="H306">
        <v>0</v>
      </c>
      <c r="I306">
        <v>2</v>
      </c>
      <c r="J306">
        <v>0</v>
      </c>
      <c r="K306">
        <v>0</v>
      </c>
      <c r="L306">
        <v>0</v>
      </c>
      <c r="M306">
        <v>3600</v>
      </c>
      <c r="N306">
        <v>0</v>
      </c>
      <c r="O306">
        <v>0</v>
      </c>
      <c r="P306">
        <v>450</v>
      </c>
      <c r="Q306">
        <v>0</v>
      </c>
      <c r="R306">
        <v>3600</v>
      </c>
      <c r="S306">
        <v>0</v>
      </c>
      <c r="T306">
        <v>0</v>
      </c>
      <c r="U306">
        <v>3600</v>
      </c>
      <c r="V306">
        <v>3600</v>
      </c>
      <c r="W306">
        <v>3600</v>
      </c>
      <c r="X306">
        <v>0.36</v>
      </c>
      <c r="Y306">
        <v>0.36</v>
      </c>
      <c r="Z306">
        <v>288</v>
      </c>
      <c r="AA306">
        <v>0.1</v>
      </c>
      <c r="AB306">
        <v>29</v>
      </c>
      <c r="AC306">
        <v>29</v>
      </c>
      <c r="AD306">
        <v>29</v>
      </c>
      <c r="AE306">
        <v>2.4166666666666701E-2</v>
      </c>
      <c r="AF306">
        <v>2.4166666666666701E-2</v>
      </c>
      <c r="AG306">
        <v>29</v>
      </c>
      <c r="AH306">
        <v>29</v>
      </c>
      <c r="AI306">
        <v>39</v>
      </c>
      <c r="AJ306">
        <v>0.38416666666666699</v>
      </c>
      <c r="AK306">
        <v>258</v>
      </c>
      <c r="AL306">
        <v>258</v>
      </c>
      <c r="AM306">
        <v>660</v>
      </c>
      <c r="AN306">
        <v>660</v>
      </c>
      <c r="AO306">
        <v>671.58351409978297</v>
      </c>
      <c r="AP306">
        <v>0.483333333333333</v>
      </c>
      <c r="AQ306">
        <v>8.0555555555555606E-3</v>
      </c>
      <c r="AR306">
        <v>39</v>
      </c>
      <c r="AS306">
        <v>6300</v>
      </c>
      <c r="AT306">
        <v>3600</v>
      </c>
    </row>
    <row r="307" spans="1:46">
      <c r="A307" t="s">
        <v>539</v>
      </c>
      <c r="B307">
        <v>4</v>
      </c>
      <c r="C307" t="s">
        <v>548</v>
      </c>
      <c r="D307">
        <v>1</v>
      </c>
      <c r="E307">
        <v>0</v>
      </c>
      <c r="F307">
        <v>0</v>
      </c>
      <c r="G307">
        <v>1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7200</v>
      </c>
      <c r="N307">
        <v>0</v>
      </c>
      <c r="O307">
        <v>0</v>
      </c>
      <c r="P307">
        <v>900</v>
      </c>
      <c r="Q307">
        <v>0</v>
      </c>
      <c r="R307">
        <v>7200</v>
      </c>
      <c r="S307">
        <v>0</v>
      </c>
      <c r="T307">
        <v>0</v>
      </c>
      <c r="U307">
        <v>7200</v>
      </c>
      <c r="V307">
        <v>7200</v>
      </c>
      <c r="W307">
        <v>10800</v>
      </c>
      <c r="X307">
        <v>0.72</v>
      </c>
      <c r="Y307">
        <v>0.72</v>
      </c>
      <c r="Z307">
        <v>576</v>
      </c>
      <c r="AA307">
        <v>0.5</v>
      </c>
      <c r="AB307">
        <v>288</v>
      </c>
      <c r="AC307">
        <v>288</v>
      </c>
      <c r="AD307">
        <v>317</v>
      </c>
      <c r="AE307">
        <v>0.24</v>
      </c>
      <c r="AF307">
        <v>0.24</v>
      </c>
      <c r="AG307">
        <v>288</v>
      </c>
      <c r="AH307">
        <v>288</v>
      </c>
      <c r="AI307">
        <v>327</v>
      </c>
      <c r="AJ307">
        <v>0.96</v>
      </c>
      <c r="AK307">
        <v>312</v>
      </c>
      <c r="AL307">
        <v>312</v>
      </c>
      <c r="AM307">
        <v>970</v>
      </c>
      <c r="AN307">
        <v>970</v>
      </c>
      <c r="AO307">
        <v>325</v>
      </c>
      <c r="AP307">
        <v>4.8</v>
      </c>
      <c r="AQ307">
        <v>0.08</v>
      </c>
      <c r="AR307">
        <v>327</v>
      </c>
      <c r="AS307">
        <v>13500</v>
      </c>
      <c r="AT307">
        <v>7200</v>
      </c>
    </row>
    <row r="308" spans="1:46">
      <c r="A308" t="s">
        <v>539</v>
      </c>
      <c r="B308">
        <v>5</v>
      </c>
      <c r="C308" t="s">
        <v>549</v>
      </c>
      <c r="D308">
        <v>1</v>
      </c>
      <c r="E308">
        <v>0</v>
      </c>
      <c r="F308">
        <v>0</v>
      </c>
      <c r="G308">
        <v>1</v>
      </c>
      <c r="H308">
        <v>0</v>
      </c>
      <c r="I308">
        <v>2</v>
      </c>
      <c r="J308">
        <v>0</v>
      </c>
      <c r="K308">
        <v>0</v>
      </c>
      <c r="L308">
        <v>0</v>
      </c>
      <c r="M308">
        <v>14000</v>
      </c>
      <c r="N308">
        <v>0</v>
      </c>
      <c r="O308">
        <v>0</v>
      </c>
      <c r="P308">
        <v>1700</v>
      </c>
      <c r="Q308">
        <v>0</v>
      </c>
      <c r="R308">
        <v>14000</v>
      </c>
      <c r="S308">
        <v>0</v>
      </c>
      <c r="T308">
        <v>0</v>
      </c>
      <c r="U308">
        <v>14000</v>
      </c>
      <c r="V308">
        <v>14000</v>
      </c>
      <c r="W308">
        <v>24800</v>
      </c>
      <c r="X308">
        <v>1.4</v>
      </c>
      <c r="Y308">
        <v>1.4</v>
      </c>
      <c r="Z308">
        <v>1152</v>
      </c>
      <c r="AA308">
        <v>0.9</v>
      </c>
      <c r="AB308">
        <v>1037</v>
      </c>
      <c r="AC308">
        <v>1037</v>
      </c>
      <c r="AD308">
        <v>1354</v>
      </c>
      <c r="AE308">
        <v>0.86416666666666697</v>
      </c>
      <c r="AF308">
        <v>0.86416666666666697</v>
      </c>
      <c r="AG308">
        <v>1037</v>
      </c>
      <c r="AH308">
        <v>1037</v>
      </c>
      <c r="AI308">
        <v>1364</v>
      </c>
      <c r="AJ308">
        <v>2.2641666666666702</v>
      </c>
      <c r="AK308">
        <v>372</v>
      </c>
      <c r="AL308">
        <v>372</v>
      </c>
      <c r="AM308">
        <v>1340</v>
      </c>
      <c r="AN308">
        <v>1340</v>
      </c>
      <c r="AO308">
        <v>164.29885903570101</v>
      </c>
      <c r="AP308">
        <v>17.283333333333299</v>
      </c>
      <c r="AQ308">
        <v>0.28805555555555601</v>
      </c>
      <c r="AR308">
        <v>1364</v>
      </c>
      <c r="AS308">
        <v>27500</v>
      </c>
      <c r="AT308">
        <v>14000</v>
      </c>
    </row>
    <row r="309" spans="1:46">
      <c r="A309" t="s">
        <v>539</v>
      </c>
      <c r="B309">
        <v>6</v>
      </c>
      <c r="C309" t="s">
        <v>550</v>
      </c>
      <c r="D309">
        <v>1</v>
      </c>
      <c r="E309">
        <v>0</v>
      </c>
      <c r="F309">
        <v>0</v>
      </c>
      <c r="G309">
        <v>1</v>
      </c>
      <c r="H309">
        <v>0</v>
      </c>
      <c r="I309">
        <v>2</v>
      </c>
      <c r="J309">
        <v>2</v>
      </c>
      <c r="K309">
        <v>0</v>
      </c>
      <c r="L309">
        <v>0</v>
      </c>
      <c r="M309">
        <v>14000</v>
      </c>
      <c r="N309">
        <v>14000</v>
      </c>
      <c r="O309">
        <v>0</v>
      </c>
      <c r="P309">
        <v>3500</v>
      </c>
      <c r="Q309">
        <v>0</v>
      </c>
      <c r="R309">
        <v>14000</v>
      </c>
      <c r="S309">
        <v>14000</v>
      </c>
      <c r="T309">
        <v>0</v>
      </c>
      <c r="U309">
        <v>28000</v>
      </c>
      <c r="V309">
        <v>28000</v>
      </c>
      <c r="W309">
        <v>52800</v>
      </c>
      <c r="X309">
        <v>2.8</v>
      </c>
      <c r="Y309">
        <v>2.8</v>
      </c>
      <c r="Z309">
        <v>2304</v>
      </c>
      <c r="AA309">
        <v>1</v>
      </c>
      <c r="AB309">
        <v>2304</v>
      </c>
      <c r="AC309">
        <v>2304</v>
      </c>
      <c r="AD309">
        <v>3658</v>
      </c>
      <c r="AE309">
        <v>1.92</v>
      </c>
      <c r="AF309">
        <v>1.92</v>
      </c>
      <c r="AG309">
        <v>2304</v>
      </c>
      <c r="AH309">
        <v>2304</v>
      </c>
      <c r="AI309">
        <v>3668</v>
      </c>
      <c r="AJ309">
        <v>4.72</v>
      </c>
      <c r="AK309">
        <v>444</v>
      </c>
      <c r="AL309">
        <v>444</v>
      </c>
      <c r="AM309">
        <v>1780</v>
      </c>
      <c r="AN309">
        <v>1780</v>
      </c>
      <c r="AO309">
        <v>94.067796610169495</v>
      </c>
      <c r="AP309">
        <v>38.4</v>
      </c>
      <c r="AQ309">
        <v>0.64</v>
      </c>
      <c r="AR309">
        <v>3668</v>
      </c>
      <c r="AS309">
        <v>55500</v>
      </c>
      <c r="AT309">
        <v>14000</v>
      </c>
    </row>
    <row r="310" spans="1:46">
      <c r="A310" t="s">
        <v>539</v>
      </c>
      <c r="B310">
        <v>7</v>
      </c>
      <c r="C310" t="s">
        <v>551</v>
      </c>
      <c r="D310">
        <v>1</v>
      </c>
      <c r="E310">
        <v>0</v>
      </c>
      <c r="F310">
        <v>0</v>
      </c>
      <c r="G310">
        <v>1</v>
      </c>
      <c r="H310">
        <v>0</v>
      </c>
      <c r="I310">
        <v>2</v>
      </c>
      <c r="J310">
        <v>2</v>
      </c>
      <c r="K310">
        <v>0</v>
      </c>
      <c r="L310">
        <v>0</v>
      </c>
      <c r="M310">
        <v>29000</v>
      </c>
      <c r="N310">
        <v>29000</v>
      </c>
      <c r="O310">
        <v>0</v>
      </c>
      <c r="P310">
        <v>7500</v>
      </c>
      <c r="Q310">
        <v>0</v>
      </c>
      <c r="R310">
        <v>29000</v>
      </c>
      <c r="S310">
        <v>29000</v>
      </c>
      <c r="T310">
        <v>0</v>
      </c>
      <c r="U310">
        <v>58000</v>
      </c>
      <c r="V310">
        <v>58000</v>
      </c>
      <c r="W310">
        <v>110800</v>
      </c>
      <c r="X310">
        <v>5.8</v>
      </c>
      <c r="Y310">
        <v>5.8</v>
      </c>
      <c r="Z310">
        <v>4608</v>
      </c>
      <c r="AA310">
        <v>1</v>
      </c>
      <c r="AB310">
        <v>4608</v>
      </c>
      <c r="AC310">
        <v>4608</v>
      </c>
      <c r="AD310">
        <v>8266</v>
      </c>
      <c r="AE310">
        <v>3.84</v>
      </c>
      <c r="AF310">
        <v>3.84</v>
      </c>
      <c r="AG310">
        <v>4608</v>
      </c>
      <c r="AH310">
        <v>4608</v>
      </c>
      <c r="AI310">
        <v>8276</v>
      </c>
      <c r="AJ310">
        <v>9.64</v>
      </c>
      <c r="AK310">
        <v>534</v>
      </c>
      <c r="AL310">
        <v>534</v>
      </c>
      <c r="AM310">
        <v>2310</v>
      </c>
      <c r="AN310">
        <v>2310</v>
      </c>
      <c r="AO310">
        <v>55.394190871369297</v>
      </c>
      <c r="AP310">
        <v>76.8</v>
      </c>
      <c r="AQ310">
        <v>1.28</v>
      </c>
      <c r="AR310">
        <v>8276</v>
      </c>
      <c r="AS310">
        <v>113500</v>
      </c>
      <c r="AT310">
        <v>29000</v>
      </c>
    </row>
    <row r="311" spans="1:46">
      <c r="A311" t="s">
        <v>539</v>
      </c>
      <c r="B311">
        <v>8</v>
      </c>
      <c r="C311" t="s">
        <v>552</v>
      </c>
      <c r="D311">
        <v>1</v>
      </c>
      <c r="E311">
        <v>0</v>
      </c>
      <c r="F311">
        <v>0</v>
      </c>
      <c r="G311">
        <v>1</v>
      </c>
      <c r="H311">
        <v>0</v>
      </c>
      <c r="I311">
        <v>2</v>
      </c>
      <c r="J311">
        <v>2</v>
      </c>
      <c r="K311">
        <v>0</v>
      </c>
      <c r="L311">
        <v>0</v>
      </c>
      <c r="M311">
        <v>58000</v>
      </c>
      <c r="N311">
        <v>58000</v>
      </c>
      <c r="O311">
        <v>0</v>
      </c>
      <c r="P311">
        <v>14500</v>
      </c>
      <c r="Q311">
        <v>0</v>
      </c>
      <c r="R311">
        <v>58000</v>
      </c>
      <c r="S311">
        <v>58000</v>
      </c>
      <c r="T311">
        <v>0</v>
      </c>
      <c r="U311">
        <v>116000</v>
      </c>
      <c r="V311">
        <v>116000</v>
      </c>
      <c r="W311">
        <v>226800</v>
      </c>
      <c r="X311">
        <v>11.6</v>
      </c>
      <c r="Y311">
        <v>11.6</v>
      </c>
      <c r="Z311">
        <v>9216</v>
      </c>
      <c r="AA311">
        <v>1</v>
      </c>
      <c r="AB311">
        <v>9216</v>
      </c>
      <c r="AC311">
        <v>9216</v>
      </c>
      <c r="AD311">
        <v>17482</v>
      </c>
      <c r="AE311">
        <v>7.68</v>
      </c>
      <c r="AF311">
        <v>7.68</v>
      </c>
      <c r="AG311">
        <v>9216</v>
      </c>
      <c r="AH311">
        <v>9216</v>
      </c>
      <c r="AI311">
        <v>17492</v>
      </c>
      <c r="AJ311">
        <v>19.28</v>
      </c>
      <c r="AK311">
        <v>660</v>
      </c>
      <c r="AL311">
        <v>660</v>
      </c>
      <c r="AM311">
        <v>2970</v>
      </c>
      <c r="AN311">
        <v>2970</v>
      </c>
      <c r="AO311">
        <v>34.232365145228201</v>
      </c>
      <c r="AP311">
        <v>153.6</v>
      </c>
      <c r="AQ311">
        <v>2.56</v>
      </c>
      <c r="AR311">
        <v>17492</v>
      </c>
      <c r="AS311">
        <v>229500</v>
      </c>
      <c r="AT311">
        <v>58000</v>
      </c>
    </row>
    <row r="312" spans="1:46">
      <c r="A312" t="s">
        <v>539</v>
      </c>
      <c r="B312">
        <v>9</v>
      </c>
      <c r="C312" t="s">
        <v>553</v>
      </c>
      <c r="D312">
        <v>1</v>
      </c>
      <c r="E312">
        <v>0</v>
      </c>
      <c r="F312">
        <v>0</v>
      </c>
      <c r="G312">
        <v>1</v>
      </c>
      <c r="H312">
        <v>0</v>
      </c>
      <c r="I312">
        <v>2</v>
      </c>
      <c r="J312">
        <v>2</v>
      </c>
      <c r="K312">
        <v>0</v>
      </c>
      <c r="L312">
        <v>0</v>
      </c>
      <c r="M312">
        <v>98000</v>
      </c>
      <c r="N312">
        <v>98000</v>
      </c>
      <c r="O312">
        <v>0</v>
      </c>
      <c r="P312">
        <v>20000</v>
      </c>
      <c r="Q312">
        <v>0</v>
      </c>
      <c r="R312">
        <v>98000</v>
      </c>
      <c r="S312">
        <v>98000</v>
      </c>
      <c r="T312">
        <v>0</v>
      </c>
      <c r="U312">
        <v>196000</v>
      </c>
      <c r="V312">
        <v>196000</v>
      </c>
      <c r="W312">
        <v>422800</v>
      </c>
      <c r="X312">
        <v>19.600000000000001</v>
      </c>
      <c r="Y312">
        <v>19.600000000000001</v>
      </c>
      <c r="Z312">
        <v>15667</v>
      </c>
      <c r="AA312">
        <v>1</v>
      </c>
      <c r="AB312">
        <v>15667</v>
      </c>
      <c r="AC312">
        <v>15667</v>
      </c>
      <c r="AD312">
        <v>33149</v>
      </c>
      <c r="AE312">
        <v>13.0558333333333</v>
      </c>
      <c r="AF312">
        <v>13.0558333333333</v>
      </c>
      <c r="AG312">
        <v>15667</v>
      </c>
      <c r="AH312">
        <v>15667</v>
      </c>
      <c r="AI312">
        <v>33159</v>
      </c>
      <c r="AJ312">
        <v>32.655833333333298</v>
      </c>
      <c r="AK312">
        <v>780</v>
      </c>
      <c r="AL312">
        <v>780</v>
      </c>
      <c r="AM312">
        <v>3750</v>
      </c>
      <c r="AN312">
        <v>3750</v>
      </c>
      <c r="AO312">
        <v>23.885472222931099</v>
      </c>
      <c r="AP312">
        <v>261.11666666666702</v>
      </c>
      <c r="AQ312">
        <v>4.35194444444444</v>
      </c>
      <c r="AR312">
        <v>33159</v>
      </c>
      <c r="AS312">
        <v>425500</v>
      </c>
      <c r="AT312">
        <v>98000</v>
      </c>
    </row>
    <row r="313" spans="1:46">
      <c r="A313" t="s">
        <v>539</v>
      </c>
      <c r="B313">
        <v>10</v>
      </c>
      <c r="C313" t="s">
        <v>554</v>
      </c>
      <c r="D313">
        <v>1</v>
      </c>
      <c r="E313">
        <v>0</v>
      </c>
      <c r="F313">
        <v>0</v>
      </c>
      <c r="G313">
        <v>1</v>
      </c>
      <c r="H313">
        <v>0</v>
      </c>
      <c r="I313">
        <v>2</v>
      </c>
      <c r="J313">
        <v>2</v>
      </c>
      <c r="K313">
        <v>0</v>
      </c>
      <c r="L313">
        <v>0</v>
      </c>
      <c r="M313">
        <v>170000</v>
      </c>
      <c r="N313">
        <v>170000</v>
      </c>
      <c r="O313">
        <v>0</v>
      </c>
      <c r="P313">
        <v>36000</v>
      </c>
      <c r="Q313">
        <v>0</v>
      </c>
      <c r="R313">
        <v>170000</v>
      </c>
      <c r="S313">
        <v>170000</v>
      </c>
      <c r="T313">
        <v>0</v>
      </c>
      <c r="U313">
        <v>340000</v>
      </c>
      <c r="V313">
        <v>340000</v>
      </c>
      <c r="W313">
        <v>762800</v>
      </c>
      <c r="X313">
        <v>34</v>
      </c>
      <c r="Y313">
        <v>34</v>
      </c>
      <c r="Z313">
        <v>25068</v>
      </c>
      <c r="AA313">
        <v>1</v>
      </c>
      <c r="AB313">
        <v>25068</v>
      </c>
      <c r="AC313">
        <v>25068</v>
      </c>
      <c r="AD313">
        <v>58217</v>
      </c>
      <c r="AE313">
        <v>20.89</v>
      </c>
      <c r="AF313">
        <v>20.89</v>
      </c>
      <c r="AG313">
        <v>25068</v>
      </c>
      <c r="AH313">
        <v>25068</v>
      </c>
      <c r="AI313">
        <v>58227</v>
      </c>
      <c r="AJ313">
        <v>54.89</v>
      </c>
      <c r="AK313">
        <v>960</v>
      </c>
      <c r="AL313">
        <v>960</v>
      </c>
      <c r="AM313">
        <v>4710</v>
      </c>
      <c r="AN313">
        <v>4710</v>
      </c>
      <c r="AO313">
        <v>17.489524503552602</v>
      </c>
      <c r="AP313">
        <v>417.8</v>
      </c>
      <c r="AQ313">
        <v>6.9633333333333303</v>
      </c>
      <c r="AR313">
        <v>58227</v>
      </c>
      <c r="AS313">
        <v>765500</v>
      </c>
      <c r="AT313">
        <v>170000</v>
      </c>
    </row>
    <row r="314" spans="1:46">
      <c r="A314" t="s">
        <v>539</v>
      </c>
      <c r="B314">
        <v>11</v>
      </c>
      <c r="C314" t="s">
        <v>555</v>
      </c>
      <c r="D314">
        <v>1</v>
      </c>
      <c r="E314">
        <v>0</v>
      </c>
      <c r="F314">
        <v>0</v>
      </c>
      <c r="G314">
        <v>1</v>
      </c>
      <c r="H314">
        <v>0</v>
      </c>
      <c r="I314">
        <v>2</v>
      </c>
      <c r="J314">
        <v>2</v>
      </c>
      <c r="K314">
        <v>3</v>
      </c>
      <c r="L314">
        <v>0</v>
      </c>
      <c r="M314">
        <v>150000</v>
      </c>
      <c r="N314">
        <v>150000</v>
      </c>
      <c r="O314">
        <v>230000</v>
      </c>
      <c r="P314">
        <v>47500</v>
      </c>
      <c r="Q314">
        <v>0</v>
      </c>
      <c r="R314">
        <v>150000</v>
      </c>
      <c r="S314">
        <v>150000</v>
      </c>
      <c r="T314">
        <v>230000</v>
      </c>
      <c r="U314">
        <v>530000</v>
      </c>
      <c r="V314">
        <v>530000</v>
      </c>
      <c r="W314">
        <v>1292800</v>
      </c>
      <c r="X314">
        <v>53</v>
      </c>
      <c r="Y314">
        <v>53</v>
      </c>
      <c r="Z314">
        <v>33841</v>
      </c>
      <c r="AA314">
        <v>1</v>
      </c>
      <c r="AB314">
        <v>33841</v>
      </c>
      <c r="AC314">
        <v>33841</v>
      </c>
      <c r="AD314">
        <v>92058</v>
      </c>
      <c r="AE314">
        <v>28.2008333333333</v>
      </c>
      <c r="AF314">
        <v>28.2008333333333</v>
      </c>
      <c r="AG314">
        <v>33841</v>
      </c>
      <c r="AH314">
        <v>33841</v>
      </c>
      <c r="AI314">
        <v>92068</v>
      </c>
      <c r="AJ314">
        <v>81.200833333333307</v>
      </c>
      <c r="AK314">
        <v>1320</v>
      </c>
      <c r="AL314">
        <v>1320</v>
      </c>
      <c r="AM314">
        <v>6030</v>
      </c>
      <c r="AN314">
        <v>6030</v>
      </c>
      <c r="AO314">
        <v>16.2559908046921</v>
      </c>
      <c r="AP314">
        <v>564.01666666666699</v>
      </c>
      <c r="AQ314">
        <v>9.4002777777777808</v>
      </c>
      <c r="AR314">
        <v>92068</v>
      </c>
      <c r="AS314">
        <v>1295500</v>
      </c>
      <c r="AT314">
        <v>230000</v>
      </c>
    </row>
    <row r="315" spans="1:46">
      <c r="A315" t="s">
        <v>539</v>
      </c>
      <c r="B315">
        <v>12</v>
      </c>
      <c r="C315" t="s">
        <v>556</v>
      </c>
      <c r="D315">
        <v>1</v>
      </c>
      <c r="E315">
        <v>0</v>
      </c>
      <c r="F315">
        <v>0</v>
      </c>
      <c r="G315">
        <v>1</v>
      </c>
      <c r="H315">
        <v>0</v>
      </c>
      <c r="I315">
        <v>2</v>
      </c>
      <c r="J315">
        <v>2</v>
      </c>
      <c r="K315">
        <v>3</v>
      </c>
      <c r="L315">
        <v>0</v>
      </c>
      <c r="M315">
        <v>240000</v>
      </c>
      <c r="N315">
        <v>240000</v>
      </c>
      <c r="O315">
        <v>370000</v>
      </c>
      <c r="P315">
        <v>80000</v>
      </c>
      <c r="Q315">
        <v>0</v>
      </c>
      <c r="R315">
        <v>240000</v>
      </c>
      <c r="S315">
        <v>240000</v>
      </c>
      <c r="T315">
        <v>370000</v>
      </c>
      <c r="U315">
        <v>850000</v>
      </c>
      <c r="V315">
        <v>850000</v>
      </c>
      <c r="W315">
        <v>2142800</v>
      </c>
      <c r="X315">
        <v>85</v>
      </c>
      <c r="Y315">
        <v>85</v>
      </c>
      <c r="Z315">
        <v>45686</v>
      </c>
      <c r="AA315">
        <v>1</v>
      </c>
      <c r="AB315">
        <v>45686</v>
      </c>
      <c r="AC315">
        <v>45686</v>
      </c>
      <c r="AD315">
        <v>137744</v>
      </c>
      <c r="AE315">
        <v>38.071666666666701</v>
      </c>
      <c r="AF315">
        <v>38.071666666666701</v>
      </c>
      <c r="AG315">
        <v>45686</v>
      </c>
      <c r="AH315">
        <v>45686</v>
      </c>
      <c r="AI315">
        <v>137754</v>
      </c>
      <c r="AJ315">
        <v>123.071666666667</v>
      </c>
      <c r="AK315">
        <v>1800</v>
      </c>
      <c r="AL315">
        <v>1800</v>
      </c>
      <c r="AM315">
        <v>7830</v>
      </c>
      <c r="AN315">
        <v>7830</v>
      </c>
      <c r="AO315">
        <v>14.6256246360522</v>
      </c>
      <c r="AP315">
        <v>761.43333333333305</v>
      </c>
      <c r="AQ315">
        <v>12.6905555555556</v>
      </c>
      <c r="AR315">
        <v>137754</v>
      </c>
      <c r="AS315">
        <v>2145500</v>
      </c>
      <c r="AT315">
        <v>370000</v>
      </c>
    </row>
    <row r="316" spans="1:46">
      <c r="A316" t="s">
        <v>539</v>
      </c>
      <c r="B316">
        <v>13</v>
      </c>
      <c r="C316" t="s">
        <v>557</v>
      </c>
      <c r="D316">
        <v>1</v>
      </c>
      <c r="E316">
        <v>0</v>
      </c>
      <c r="F316">
        <v>0</v>
      </c>
      <c r="G316">
        <v>1</v>
      </c>
      <c r="H316">
        <v>0</v>
      </c>
      <c r="I316">
        <v>2</v>
      </c>
      <c r="J316">
        <v>2</v>
      </c>
      <c r="K316">
        <v>3</v>
      </c>
      <c r="L316">
        <v>0</v>
      </c>
      <c r="M316">
        <v>390000</v>
      </c>
      <c r="N316">
        <v>390000</v>
      </c>
      <c r="O316">
        <v>580000</v>
      </c>
      <c r="P316">
        <v>127500</v>
      </c>
      <c r="Q316">
        <v>0</v>
      </c>
      <c r="R316">
        <v>390000</v>
      </c>
      <c r="S316">
        <v>390000</v>
      </c>
      <c r="T316">
        <v>580000</v>
      </c>
      <c r="U316">
        <v>1360000</v>
      </c>
      <c r="V316">
        <v>1360000</v>
      </c>
      <c r="W316">
        <v>3502800</v>
      </c>
      <c r="X316">
        <v>136</v>
      </c>
      <c r="Y316">
        <v>136</v>
      </c>
      <c r="Z316">
        <v>61675</v>
      </c>
      <c r="AA316">
        <v>1</v>
      </c>
      <c r="AB316">
        <v>61675</v>
      </c>
      <c r="AC316">
        <v>61675</v>
      </c>
      <c r="AD316">
        <v>199419</v>
      </c>
      <c r="AE316">
        <v>51.3958333333333</v>
      </c>
      <c r="AF316">
        <v>51.3958333333333</v>
      </c>
      <c r="AG316">
        <v>61675</v>
      </c>
      <c r="AH316">
        <v>61675</v>
      </c>
      <c r="AI316">
        <v>199429</v>
      </c>
      <c r="AJ316">
        <v>187.395833333333</v>
      </c>
      <c r="AK316">
        <v>2460</v>
      </c>
      <c r="AL316">
        <v>2460</v>
      </c>
      <c r="AM316">
        <v>10290</v>
      </c>
      <c r="AN316">
        <v>10290</v>
      </c>
      <c r="AO316">
        <v>13.1272929405225</v>
      </c>
      <c r="AP316">
        <v>1027.9166666666699</v>
      </c>
      <c r="AQ316">
        <v>17.1319444444444</v>
      </c>
      <c r="AR316">
        <v>199429</v>
      </c>
      <c r="AS316">
        <v>3505500</v>
      </c>
      <c r="AT316">
        <v>580000</v>
      </c>
    </row>
    <row r="317" spans="1:46">
      <c r="A317" t="s">
        <v>539</v>
      </c>
      <c r="B317">
        <v>14</v>
      </c>
      <c r="C317" t="s">
        <v>558</v>
      </c>
      <c r="D317">
        <v>1</v>
      </c>
      <c r="E317">
        <v>0</v>
      </c>
      <c r="F317">
        <v>0</v>
      </c>
      <c r="G317">
        <v>1</v>
      </c>
      <c r="H317">
        <v>0</v>
      </c>
      <c r="I317">
        <v>2</v>
      </c>
      <c r="J317">
        <v>2</v>
      </c>
      <c r="K317">
        <v>3</v>
      </c>
      <c r="L317">
        <v>0</v>
      </c>
      <c r="M317">
        <v>620000</v>
      </c>
      <c r="N317">
        <v>620000</v>
      </c>
      <c r="O317">
        <v>940000</v>
      </c>
      <c r="P317">
        <v>205000</v>
      </c>
      <c r="Q317">
        <v>0</v>
      </c>
      <c r="R317">
        <v>620000</v>
      </c>
      <c r="S317">
        <v>620000</v>
      </c>
      <c r="T317">
        <v>940000</v>
      </c>
      <c r="U317">
        <v>2180000</v>
      </c>
      <c r="V317">
        <v>2180000</v>
      </c>
      <c r="W317">
        <v>5682800</v>
      </c>
      <c r="X317">
        <v>218</v>
      </c>
      <c r="Y317">
        <v>218</v>
      </c>
      <c r="Z317">
        <v>83262</v>
      </c>
      <c r="AA317">
        <v>1</v>
      </c>
      <c r="AB317">
        <v>83262</v>
      </c>
      <c r="AC317">
        <v>83262</v>
      </c>
      <c r="AD317">
        <v>282681</v>
      </c>
      <c r="AE317">
        <v>69.385000000000005</v>
      </c>
      <c r="AF317">
        <v>69.385000000000005</v>
      </c>
      <c r="AG317">
        <v>83262</v>
      </c>
      <c r="AH317">
        <v>83262</v>
      </c>
      <c r="AI317">
        <v>282691</v>
      </c>
      <c r="AJ317">
        <v>287.38499999999999</v>
      </c>
      <c r="AK317">
        <v>3300</v>
      </c>
      <c r="AL317">
        <v>3300</v>
      </c>
      <c r="AM317">
        <v>13590</v>
      </c>
      <c r="AN317">
        <v>13590</v>
      </c>
      <c r="AO317">
        <v>11.4828540111697</v>
      </c>
      <c r="AP317">
        <v>1387.7</v>
      </c>
      <c r="AQ317">
        <v>23.128333333333298</v>
      </c>
      <c r="AR317">
        <v>282691</v>
      </c>
      <c r="AS317">
        <v>5685500</v>
      </c>
      <c r="AT317">
        <v>940000</v>
      </c>
    </row>
    <row r="318" spans="1:46">
      <c r="A318" t="s">
        <v>539</v>
      </c>
      <c r="B318">
        <v>15</v>
      </c>
      <c r="C318" t="s">
        <v>559</v>
      </c>
      <c r="D318">
        <v>1</v>
      </c>
      <c r="E318">
        <v>0</v>
      </c>
      <c r="F318">
        <v>0</v>
      </c>
      <c r="G318">
        <v>1</v>
      </c>
      <c r="H318">
        <v>0</v>
      </c>
      <c r="I318">
        <v>2</v>
      </c>
      <c r="J318">
        <v>2</v>
      </c>
      <c r="K318">
        <v>3</v>
      </c>
      <c r="L318">
        <v>0</v>
      </c>
      <c r="M318">
        <v>940000</v>
      </c>
      <c r="N318">
        <v>940000</v>
      </c>
      <c r="O318">
        <v>1400000</v>
      </c>
      <c r="P318">
        <v>275000</v>
      </c>
      <c r="Q318">
        <v>0</v>
      </c>
      <c r="R318">
        <v>940000</v>
      </c>
      <c r="S318">
        <v>940000</v>
      </c>
      <c r="T318">
        <v>1400000</v>
      </c>
      <c r="U318">
        <v>3280000</v>
      </c>
      <c r="V318">
        <v>3280000</v>
      </c>
      <c r="W318">
        <v>8962800</v>
      </c>
      <c r="X318">
        <v>328</v>
      </c>
      <c r="Y318">
        <v>328</v>
      </c>
      <c r="Z318">
        <v>112404</v>
      </c>
      <c r="AA318">
        <v>1</v>
      </c>
      <c r="AB318">
        <v>112404</v>
      </c>
      <c r="AC318">
        <v>112404</v>
      </c>
      <c r="AD318">
        <v>395085</v>
      </c>
      <c r="AE318">
        <v>93.67</v>
      </c>
      <c r="AF318">
        <v>93.67</v>
      </c>
      <c r="AG318">
        <v>112404</v>
      </c>
      <c r="AH318">
        <v>112404</v>
      </c>
      <c r="AI318">
        <v>395095</v>
      </c>
      <c r="AJ318">
        <v>421.67</v>
      </c>
      <c r="AK318">
        <v>4440</v>
      </c>
      <c r="AL318">
        <v>4440</v>
      </c>
      <c r="AM318">
        <v>18030</v>
      </c>
      <c r="AN318">
        <v>18030</v>
      </c>
      <c r="AO318">
        <v>10.529561031138099</v>
      </c>
      <c r="AP318">
        <v>1873.4</v>
      </c>
      <c r="AQ318">
        <v>31.223333333333301</v>
      </c>
      <c r="AR318">
        <v>395095</v>
      </c>
      <c r="AS318">
        <v>8965500</v>
      </c>
      <c r="AT318">
        <v>1400000</v>
      </c>
    </row>
    <row r="319" spans="1:46">
      <c r="A319" t="s">
        <v>539</v>
      </c>
      <c r="B319">
        <v>16</v>
      </c>
      <c r="C319" t="s">
        <v>560</v>
      </c>
      <c r="D319">
        <v>1</v>
      </c>
      <c r="E319">
        <v>0</v>
      </c>
      <c r="F319">
        <v>0</v>
      </c>
      <c r="G319">
        <v>1</v>
      </c>
      <c r="H319">
        <v>0</v>
      </c>
      <c r="I319">
        <v>2</v>
      </c>
      <c r="J319">
        <v>2</v>
      </c>
      <c r="K319">
        <v>3</v>
      </c>
      <c r="L319">
        <v>0</v>
      </c>
      <c r="M319">
        <v>1300000</v>
      </c>
      <c r="N319">
        <v>1300000</v>
      </c>
      <c r="O319">
        <v>1900000</v>
      </c>
      <c r="P319">
        <v>305000</v>
      </c>
      <c r="Q319">
        <v>0</v>
      </c>
      <c r="R319">
        <v>1300000</v>
      </c>
      <c r="S319">
        <v>1300000</v>
      </c>
      <c r="T319">
        <v>1900000</v>
      </c>
      <c r="U319">
        <v>4500000</v>
      </c>
      <c r="V319">
        <v>4500000</v>
      </c>
      <c r="W319">
        <v>13462800</v>
      </c>
      <c r="X319">
        <v>450</v>
      </c>
      <c r="Y319">
        <v>450</v>
      </c>
      <c r="Z319">
        <v>151745</v>
      </c>
      <c r="AA319">
        <v>1</v>
      </c>
      <c r="AB319">
        <v>151745</v>
      </c>
      <c r="AC319">
        <v>151745</v>
      </c>
      <c r="AD319">
        <v>546830</v>
      </c>
      <c r="AE319">
        <v>126.45416666666701</v>
      </c>
      <c r="AF319">
        <v>126.45416666666701</v>
      </c>
      <c r="AG319">
        <v>151745</v>
      </c>
      <c r="AH319">
        <v>151745</v>
      </c>
      <c r="AI319">
        <v>546840</v>
      </c>
      <c r="AJ319">
        <v>576.45416666666699</v>
      </c>
      <c r="AK319">
        <v>6000</v>
      </c>
      <c r="AL319">
        <v>6000</v>
      </c>
      <c r="AM319">
        <v>24030</v>
      </c>
      <c r="AN319">
        <v>24030</v>
      </c>
      <c r="AO319">
        <v>10.4084597647977</v>
      </c>
      <c r="AP319">
        <v>2529.0833333333298</v>
      </c>
      <c r="AQ319">
        <v>42.151388888888903</v>
      </c>
      <c r="AR319">
        <v>546840</v>
      </c>
      <c r="AS319">
        <v>13465500</v>
      </c>
      <c r="AT319">
        <v>1900000</v>
      </c>
    </row>
    <row r="320" spans="1:46">
      <c r="A320" t="s">
        <v>539</v>
      </c>
      <c r="B320">
        <v>17</v>
      </c>
      <c r="C320" t="s">
        <v>561</v>
      </c>
      <c r="D320">
        <v>1</v>
      </c>
      <c r="E320">
        <v>0</v>
      </c>
      <c r="F320">
        <v>0</v>
      </c>
      <c r="G320">
        <v>1</v>
      </c>
      <c r="H320">
        <v>0</v>
      </c>
      <c r="I320">
        <v>2</v>
      </c>
      <c r="J320">
        <v>2</v>
      </c>
      <c r="K320">
        <v>3</v>
      </c>
      <c r="L320">
        <v>0</v>
      </c>
      <c r="M320">
        <v>1700000</v>
      </c>
      <c r="N320">
        <v>1700000</v>
      </c>
      <c r="O320">
        <v>2500000</v>
      </c>
      <c r="P320">
        <v>350000</v>
      </c>
      <c r="Q320">
        <v>0</v>
      </c>
      <c r="R320">
        <v>1700000</v>
      </c>
      <c r="S320">
        <v>1700000</v>
      </c>
      <c r="T320">
        <v>2500000</v>
      </c>
      <c r="U320">
        <v>5900000</v>
      </c>
      <c r="V320">
        <v>5900000</v>
      </c>
      <c r="W320">
        <v>19362800</v>
      </c>
      <c r="X320">
        <v>590</v>
      </c>
      <c r="Y320">
        <v>590</v>
      </c>
      <c r="Z320">
        <v>204856</v>
      </c>
      <c r="AA320">
        <v>1</v>
      </c>
      <c r="AB320">
        <v>204856</v>
      </c>
      <c r="AC320">
        <v>204856</v>
      </c>
      <c r="AD320">
        <v>751686</v>
      </c>
      <c r="AE320">
        <v>170.713333333333</v>
      </c>
      <c r="AF320">
        <v>170.713333333333</v>
      </c>
      <c r="AG320">
        <v>204856</v>
      </c>
      <c r="AH320">
        <v>204856</v>
      </c>
      <c r="AI320">
        <v>751696</v>
      </c>
      <c r="AJ320">
        <v>760.71333333333303</v>
      </c>
      <c r="AK320">
        <v>8400</v>
      </c>
      <c r="AL320">
        <v>8400</v>
      </c>
      <c r="AM320">
        <v>32430</v>
      </c>
      <c r="AN320">
        <v>32430</v>
      </c>
      <c r="AO320">
        <v>11.0422673455616</v>
      </c>
      <c r="AP320">
        <v>3414.2666666666701</v>
      </c>
      <c r="AQ320">
        <v>56.904444444444501</v>
      </c>
      <c r="AR320">
        <v>751696</v>
      </c>
      <c r="AS320">
        <v>19365500</v>
      </c>
      <c r="AT320">
        <v>2500000</v>
      </c>
    </row>
    <row r="321" spans="1:50">
      <c r="A321" t="s">
        <v>539</v>
      </c>
      <c r="B321">
        <v>18</v>
      </c>
      <c r="C321" t="s">
        <v>562</v>
      </c>
      <c r="D321">
        <v>1</v>
      </c>
      <c r="E321">
        <v>0</v>
      </c>
      <c r="F321">
        <v>0</v>
      </c>
      <c r="G321">
        <v>1</v>
      </c>
      <c r="H321">
        <v>0</v>
      </c>
      <c r="I321">
        <v>2</v>
      </c>
      <c r="J321">
        <v>2</v>
      </c>
      <c r="K321">
        <v>3</v>
      </c>
      <c r="L321">
        <v>0</v>
      </c>
      <c r="M321">
        <v>2100000</v>
      </c>
      <c r="N321">
        <v>2100000</v>
      </c>
      <c r="O321">
        <v>3200000</v>
      </c>
      <c r="P321">
        <v>375000</v>
      </c>
      <c r="Q321">
        <v>0</v>
      </c>
      <c r="R321">
        <v>2100000</v>
      </c>
      <c r="S321">
        <v>2100000</v>
      </c>
      <c r="T321">
        <v>3200000</v>
      </c>
      <c r="U321">
        <v>7400000</v>
      </c>
      <c r="V321">
        <v>7400000</v>
      </c>
      <c r="W321">
        <v>26762800</v>
      </c>
      <c r="X321">
        <v>740</v>
      </c>
      <c r="Y321">
        <v>740</v>
      </c>
      <c r="Z321">
        <v>276555</v>
      </c>
      <c r="AA321">
        <v>1</v>
      </c>
      <c r="AB321">
        <v>276555</v>
      </c>
      <c r="AC321">
        <v>276555</v>
      </c>
      <c r="AD321">
        <v>1028241</v>
      </c>
      <c r="AE321">
        <v>230.46250000000001</v>
      </c>
      <c r="AF321">
        <v>230.46250000000001</v>
      </c>
      <c r="AG321">
        <v>276555</v>
      </c>
      <c r="AH321">
        <v>276555</v>
      </c>
      <c r="AI321">
        <v>1028251</v>
      </c>
      <c r="AJ321">
        <v>970.46249999999998</v>
      </c>
      <c r="AK321">
        <v>11400</v>
      </c>
      <c r="AL321">
        <v>11400</v>
      </c>
      <c r="AM321">
        <v>43830</v>
      </c>
      <c r="AN321">
        <v>43830</v>
      </c>
      <c r="AO321">
        <v>11.7469763128405</v>
      </c>
      <c r="AP321">
        <v>4609.25</v>
      </c>
      <c r="AQ321">
        <v>76.820833333333297</v>
      </c>
      <c r="AR321">
        <v>1028251</v>
      </c>
      <c r="AS321">
        <v>26765500</v>
      </c>
      <c r="AT321">
        <v>3200000</v>
      </c>
    </row>
    <row r="322" spans="1:50">
      <c r="A322" t="s">
        <v>539</v>
      </c>
      <c r="B322">
        <v>19</v>
      </c>
      <c r="C322" t="s">
        <v>563</v>
      </c>
      <c r="D322">
        <v>1</v>
      </c>
      <c r="E322">
        <v>0</v>
      </c>
      <c r="F322">
        <v>0</v>
      </c>
      <c r="G322">
        <v>1</v>
      </c>
      <c r="H322">
        <v>0</v>
      </c>
      <c r="I322">
        <v>2</v>
      </c>
      <c r="J322">
        <v>2</v>
      </c>
      <c r="K322">
        <v>3</v>
      </c>
      <c r="L322">
        <v>0</v>
      </c>
      <c r="M322">
        <v>2800000</v>
      </c>
      <c r="N322">
        <v>2800000</v>
      </c>
      <c r="O322">
        <v>4200000</v>
      </c>
      <c r="P322">
        <v>600000</v>
      </c>
      <c r="Q322">
        <v>0</v>
      </c>
      <c r="R322">
        <v>2800000</v>
      </c>
      <c r="S322">
        <v>2800000</v>
      </c>
      <c r="T322">
        <v>4200000</v>
      </c>
      <c r="U322">
        <v>9800000</v>
      </c>
      <c r="V322">
        <v>9800000</v>
      </c>
      <c r="W322">
        <v>36562800</v>
      </c>
      <c r="X322">
        <v>980</v>
      </c>
      <c r="Y322">
        <v>980</v>
      </c>
      <c r="Z322">
        <v>414833</v>
      </c>
      <c r="AA322">
        <v>1</v>
      </c>
      <c r="AB322">
        <v>414833</v>
      </c>
      <c r="AC322">
        <v>414833</v>
      </c>
      <c r="AD322">
        <v>1443074</v>
      </c>
      <c r="AE322">
        <v>345.694166666667</v>
      </c>
      <c r="AF322">
        <v>345.694166666667</v>
      </c>
      <c r="AG322">
        <v>414833</v>
      </c>
      <c r="AH322">
        <v>414833</v>
      </c>
      <c r="AI322">
        <v>1443084</v>
      </c>
      <c r="AJ322">
        <v>1325.6941666666701</v>
      </c>
      <c r="AK322">
        <v>15600</v>
      </c>
      <c r="AL322">
        <v>15600</v>
      </c>
      <c r="AM322">
        <v>59430</v>
      </c>
      <c r="AN322">
        <v>59430</v>
      </c>
      <c r="AO322">
        <v>11.7674199617433</v>
      </c>
      <c r="AP322">
        <v>6913.8833333333296</v>
      </c>
      <c r="AQ322">
        <v>115.231388888889</v>
      </c>
      <c r="AR322">
        <v>1443084</v>
      </c>
      <c r="AS322">
        <v>36565500</v>
      </c>
      <c r="AT322">
        <v>4200000</v>
      </c>
    </row>
    <row r="323" spans="1:50">
      <c r="A323" t="s">
        <v>539</v>
      </c>
      <c r="B323">
        <v>20</v>
      </c>
      <c r="C323" t="s">
        <v>564</v>
      </c>
      <c r="D323">
        <v>1</v>
      </c>
      <c r="E323">
        <v>0</v>
      </c>
      <c r="F323">
        <v>0</v>
      </c>
      <c r="G323">
        <v>1</v>
      </c>
      <c r="H323">
        <v>0</v>
      </c>
      <c r="I323">
        <v>2</v>
      </c>
      <c r="J323">
        <v>2</v>
      </c>
      <c r="K323">
        <v>3</v>
      </c>
      <c r="L323">
        <v>0</v>
      </c>
      <c r="M323">
        <v>3600000</v>
      </c>
      <c r="N323">
        <v>3600000</v>
      </c>
      <c r="O323">
        <v>5400000</v>
      </c>
      <c r="P323">
        <v>700000</v>
      </c>
      <c r="Q323">
        <v>0</v>
      </c>
      <c r="R323">
        <v>3600000</v>
      </c>
      <c r="S323">
        <v>3600000</v>
      </c>
      <c r="T323">
        <v>5400000</v>
      </c>
      <c r="U323">
        <v>12600000</v>
      </c>
      <c r="V323">
        <v>12600000</v>
      </c>
      <c r="W323">
        <v>49162800</v>
      </c>
      <c r="X323">
        <v>1260</v>
      </c>
      <c r="Y323">
        <v>1260</v>
      </c>
      <c r="Z323">
        <v>622249</v>
      </c>
      <c r="AA323">
        <v>1</v>
      </c>
      <c r="AB323">
        <v>622249</v>
      </c>
      <c r="AC323">
        <v>622249</v>
      </c>
      <c r="AD323">
        <v>2065323</v>
      </c>
      <c r="AE323">
        <v>518.54083333333301</v>
      </c>
      <c r="AF323">
        <v>518.54083333333301</v>
      </c>
      <c r="AG323">
        <v>622249</v>
      </c>
      <c r="AH323">
        <v>622249</v>
      </c>
      <c r="AI323">
        <v>2065333</v>
      </c>
      <c r="AJ323">
        <v>1778.5408333333301</v>
      </c>
      <c r="AK323">
        <v>21000</v>
      </c>
      <c r="AL323">
        <v>21000</v>
      </c>
      <c r="AM323">
        <v>80430</v>
      </c>
      <c r="AN323">
        <v>80430</v>
      </c>
      <c r="AO323">
        <v>11.8074320287839</v>
      </c>
      <c r="AP323">
        <v>10370.8166666667</v>
      </c>
      <c r="AQ323">
        <v>172.84694444444401</v>
      </c>
      <c r="AR323">
        <v>2065333</v>
      </c>
      <c r="AS323">
        <v>49165500</v>
      </c>
      <c r="AT323">
        <v>5400000</v>
      </c>
    </row>
    <row r="324" spans="1:50">
      <c r="A324" t="s">
        <v>515</v>
      </c>
      <c r="B324">
        <v>1</v>
      </c>
      <c r="C324" t="s">
        <v>516</v>
      </c>
      <c r="D324">
        <v>1</v>
      </c>
      <c r="E324">
        <v>0</v>
      </c>
      <c r="F324">
        <v>0</v>
      </c>
      <c r="G324">
        <v>1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450</v>
      </c>
      <c r="N324">
        <v>0</v>
      </c>
      <c r="O324">
        <v>0</v>
      </c>
      <c r="P324">
        <v>112.5</v>
      </c>
      <c r="Q324">
        <v>0</v>
      </c>
      <c r="R324">
        <v>450</v>
      </c>
      <c r="S324">
        <v>0</v>
      </c>
      <c r="T324">
        <v>0</v>
      </c>
      <c r="U324">
        <v>450</v>
      </c>
      <c r="V324">
        <v>450</v>
      </c>
      <c r="W324">
        <v>450</v>
      </c>
      <c r="X324">
        <v>4.4999999999999998E-2</v>
      </c>
      <c r="Y324">
        <v>4.4999999999999998E-2</v>
      </c>
      <c r="Z324">
        <v>36</v>
      </c>
      <c r="AA324">
        <v>1E-3</v>
      </c>
      <c r="AB324">
        <v>1</v>
      </c>
      <c r="AC324">
        <v>1</v>
      </c>
      <c r="AD324">
        <v>1</v>
      </c>
      <c r="AE324">
        <v>8.3333333333333295E-4</v>
      </c>
      <c r="AF324">
        <v>8.3333333333333295E-4</v>
      </c>
      <c r="AG324">
        <v>1</v>
      </c>
      <c r="AH324">
        <v>1</v>
      </c>
      <c r="AI324">
        <v>1</v>
      </c>
      <c r="AJ324">
        <v>4.5833333333333302E-2</v>
      </c>
      <c r="AK324">
        <v>90</v>
      </c>
      <c r="AL324">
        <v>90</v>
      </c>
      <c r="AM324">
        <v>90</v>
      </c>
      <c r="AN324">
        <v>90</v>
      </c>
      <c r="AO324">
        <v>1963.6363636363601</v>
      </c>
      <c r="AP324">
        <v>1.6666666666666701E-2</v>
      </c>
      <c r="AQ324">
        <v>2.7777777777777799E-4</v>
      </c>
      <c r="AR324">
        <v>1</v>
      </c>
      <c r="AS324">
        <v>450</v>
      </c>
      <c r="AT324">
        <v>450</v>
      </c>
    </row>
    <row r="325" spans="1:50">
      <c r="A325" t="s">
        <v>515</v>
      </c>
      <c r="B325">
        <v>2</v>
      </c>
      <c r="C325" t="s">
        <v>520</v>
      </c>
      <c r="D325">
        <v>1</v>
      </c>
      <c r="E325">
        <v>0</v>
      </c>
      <c r="F325">
        <v>0</v>
      </c>
      <c r="G325">
        <v>1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900</v>
      </c>
      <c r="N325">
        <v>0</v>
      </c>
      <c r="O325">
        <v>0</v>
      </c>
      <c r="P325">
        <v>112.5</v>
      </c>
      <c r="Q325">
        <v>0</v>
      </c>
      <c r="R325">
        <v>900</v>
      </c>
      <c r="S325">
        <v>0</v>
      </c>
      <c r="T325">
        <v>0</v>
      </c>
      <c r="U325">
        <v>900</v>
      </c>
      <c r="V325">
        <v>900</v>
      </c>
      <c r="W325">
        <v>900</v>
      </c>
      <c r="X325">
        <v>0.09</v>
      </c>
      <c r="Y325">
        <v>0.09</v>
      </c>
      <c r="Z325">
        <v>72</v>
      </c>
      <c r="AA325">
        <v>6.0999999999999999E-2</v>
      </c>
      <c r="AB325">
        <v>4</v>
      </c>
      <c r="AC325">
        <v>4</v>
      </c>
      <c r="AD325">
        <v>4</v>
      </c>
      <c r="AE325">
        <v>3.3333333333333301E-3</v>
      </c>
      <c r="AF325">
        <v>3.3333333333333301E-3</v>
      </c>
      <c r="AG325">
        <v>4</v>
      </c>
      <c r="AH325">
        <v>4</v>
      </c>
      <c r="AI325">
        <v>5</v>
      </c>
      <c r="AJ325">
        <v>9.3333333333333296E-2</v>
      </c>
      <c r="AK325">
        <v>108</v>
      </c>
      <c r="AL325">
        <v>108</v>
      </c>
      <c r="AM325">
        <v>200</v>
      </c>
      <c r="AN325">
        <v>200</v>
      </c>
      <c r="AO325">
        <v>1157.1428571428601</v>
      </c>
      <c r="AP325">
        <v>6.6666666666666693E-2</v>
      </c>
      <c r="AQ325">
        <v>1.11111111111111E-3</v>
      </c>
      <c r="AR325">
        <v>5</v>
      </c>
      <c r="AS325">
        <v>1350</v>
      </c>
      <c r="AT325">
        <v>900</v>
      </c>
    </row>
    <row r="326" spans="1:50">
      <c r="A326" t="s">
        <v>515</v>
      </c>
      <c r="B326">
        <v>3</v>
      </c>
      <c r="C326" t="s">
        <v>521</v>
      </c>
      <c r="D326">
        <v>1</v>
      </c>
      <c r="E326">
        <v>0</v>
      </c>
      <c r="F326">
        <v>0</v>
      </c>
      <c r="G326">
        <v>1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1800</v>
      </c>
      <c r="N326">
        <v>0</v>
      </c>
      <c r="O326">
        <v>0</v>
      </c>
      <c r="P326">
        <v>225</v>
      </c>
      <c r="Q326">
        <v>0</v>
      </c>
      <c r="R326">
        <v>1800</v>
      </c>
      <c r="S326">
        <v>0</v>
      </c>
      <c r="T326">
        <v>0</v>
      </c>
      <c r="U326">
        <v>1800</v>
      </c>
      <c r="V326">
        <v>1800</v>
      </c>
      <c r="W326">
        <v>1800</v>
      </c>
      <c r="X326">
        <v>0.18</v>
      </c>
      <c r="Y326">
        <v>0.18</v>
      </c>
      <c r="Z326">
        <v>144</v>
      </c>
      <c r="AA326">
        <v>0.1</v>
      </c>
      <c r="AB326">
        <v>14</v>
      </c>
      <c r="AC326">
        <v>14</v>
      </c>
      <c r="AD326">
        <v>14</v>
      </c>
      <c r="AE326">
        <v>1.16666666666667E-2</v>
      </c>
      <c r="AF326">
        <v>1.16666666666667E-2</v>
      </c>
      <c r="AG326">
        <v>14</v>
      </c>
      <c r="AH326">
        <v>14</v>
      </c>
      <c r="AI326">
        <v>19</v>
      </c>
      <c r="AJ326">
        <v>0.19166666666666701</v>
      </c>
      <c r="AK326">
        <v>129</v>
      </c>
      <c r="AL326">
        <v>129</v>
      </c>
      <c r="AM326">
        <v>330</v>
      </c>
      <c r="AN326">
        <v>330</v>
      </c>
      <c r="AO326">
        <v>673.04347826086996</v>
      </c>
      <c r="AP326">
        <v>0.233333333333333</v>
      </c>
      <c r="AQ326">
        <v>3.8888888888888901E-3</v>
      </c>
      <c r="AR326">
        <v>19</v>
      </c>
      <c r="AS326">
        <v>3150</v>
      </c>
      <c r="AT326">
        <v>1800</v>
      </c>
    </row>
    <row r="327" spans="1:50">
      <c r="A327" t="s">
        <v>515</v>
      </c>
      <c r="B327">
        <v>4</v>
      </c>
      <c r="C327" t="s">
        <v>522</v>
      </c>
      <c r="D327">
        <v>1</v>
      </c>
      <c r="E327">
        <v>0</v>
      </c>
      <c r="F327">
        <v>0</v>
      </c>
      <c r="G327">
        <v>1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3600</v>
      </c>
      <c r="N327">
        <v>0</v>
      </c>
      <c r="O327">
        <v>0</v>
      </c>
      <c r="P327">
        <v>450</v>
      </c>
      <c r="Q327">
        <v>0</v>
      </c>
      <c r="R327">
        <v>3600</v>
      </c>
      <c r="S327">
        <v>0</v>
      </c>
      <c r="T327">
        <v>0</v>
      </c>
      <c r="U327">
        <v>3600</v>
      </c>
      <c r="V327">
        <v>3600</v>
      </c>
      <c r="W327">
        <v>5400</v>
      </c>
      <c r="X327">
        <v>0.36</v>
      </c>
      <c r="Y327">
        <v>0.36</v>
      </c>
      <c r="Z327">
        <v>288</v>
      </c>
      <c r="AA327">
        <v>0.5</v>
      </c>
      <c r="AB327">
        <v>144</v>
      </c>
      <c r="AC327">
        <v>144</v>
      </c>
      <c r="AD327">
        <v>158</v>
      </c>
      <c r="AE327">
        <v>0.12</v>
      </c>
      <c r="AF327">
        <v>0.12</v>
      </c>
      <c r="AG327">
        <v>144</v>
      </c>
      <c r="AH327">
        <v>144</v>
      </c>
      <c r="AI327">
        <v>163</v>
      </c>
      <c r="AJ327">
        <v>0.48</v>
      </c>
      <c r="AK327">
        <v>156</v>
      </c>
      <c r="AL327">
        <v>156</v>
      </c>
      <c r="AM327">
        <v>490</v>
      </c>
      <c r="AN327">
        <v>490</v>
      </c>
      <c r="AO327">
        <v>325</v>
      </c>
      <c r="AP327">
        <v>2.4</v>
      </c>
      <c r="AQ327">
        <v>0.04</v>
      </c>
      <c r="AR327">
        <v>163</v>
      </c>
      <c r="AS327">
        <v>6750</v>
      </c>
      <c r="AT327">
        <v>3600</v>
      </c>
    </row>
    <row r="328" spans="1:50">
      <c r="A328" t="s">
        <v>515</v>
      </c>
      <c r="B328">
        <v>5</v>
      </c>
      <c r="C328" t="s">
        <v>523</v>
      </c>
      <c r="D328">
        <v>1</v>
      </c>
      <c r="E328">
        <v>0</v>
      </c>
      <c r="F328">
        <v>0</v>
      </c>
      <c r="G328">
        <v>1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7200</v>
      </c>
      <c r="N328">
        <v>0</v>
      </c>
      <c r="O328">
        <v>0</v>
      </c>
      <c r="P328">
        <v>900</v>
      </c>
      <c r="Q328">
        <v>0</v>
      </c>
      <c r="R328">
        <v>7200</v>
      </c>
      <c r="S328">
        <v>0</v>
      </c>
      <c r="T328">
        <v>0</v>
      </c>
      <c r="U328">
        <v>7200</v>
      </c>
      <c r="V328">
        <v>7200</v>
      </c>
      <c r="W328">
        <v>12600</v>
      </c>
      <c r="X328">
        <v>0.72</v>
      </c>
      <c r="Y328">
        <v>0.72</v>
      </c>
      <c r="Z328">
        <v>576</v>
      </c>
      <c r="AA328">
        <v>0.9</v>
      </c>
      <c r="AB328">
        <v>518</v>
      </c>
      <c r="AC328">
        <v>518</v>
      </c>
      <c r="AD328">
        <v>676</v>
      </c>
      <c r="AE328">
        <v>0.43166666666666698</v>
      </c>
      <c r="AF328">
        <v>0.43166666666666698</v>
      </c>
      <c r="AG328">
        <v>518</v>
      </c>
      <c r="AH328">
        <v>518</v>
      </c>
      <c r="AI328">
        <v>681</v>
      </c>
      <c r="AJ328">
        <v>1.1516666666666699</v>
      </c>
      <c r="AK328">
        <v>186</v>
      </c>
      <c r="AL328">
        <v>186</v>
      </c>
      <c r="AM328">
        <v>680</v>
      </c>
      <c r="AN328">
        <v>680</v>
      </c>
      <c r="AO328">
        <v>161.50506512301001</v>
      </c>
      <c r="AP328">
        <v>8.6333333333333293</v>
      </c>
      <c r="AQ328">
        <v>0.14388888888888901</v>
      </c>
      <c r="AR328">
        <v>681</v>
      </c>
      <c r="AS328">
        <v>13950</v>
      </c>
      <c r="AT328">
        <v>7200</v>
      </c>
    </row>
    <row r="329" spans="1:50">
      <c r="A329" t="s">
        <v>515</v>
      </c>
      <c r="B329">
        <v>6</v>
      </c>
      <c r="C329" t="s">
        <v>524</v>
      </c>
      <c r="D329">
        <v>1</v>
      </c>
      <c r="E329">
        <v>0</v>
      </c>
      <c r="F329">
        <v>0</v>
      </c>
      <c r="G329">
        <v>1</v>
      </c>
      <c r="H329">
        <v>0</v>
      </c>
      <c r="I329">
        <v>1</v>
      </c>
      <c r="J329">
        <v>3</v>
      </c>
      <c r="K329">
        <v>0</v>
      </c>
      <c r="L329">
        <v>0</v>
      </c>
      <c r="M329">
        <v>3600</v>
      </c>
      <c r="N329">
        <v>11000</v>
      </c>
      <c r="O329">
        <v>0</v>
      </c>
      <c r="P329">
        <v>1850</v>
      </c>
      <c r="Q329">
        <v>0</v>
      </c>
      <c r="R329">
        <v>3600</v>
      </c>
      <c r="S329">
        <v>11000</v>
      </c>
      <c r="T329">
        <v>0</v>
      </c>
      <c r="U329">
        <v>14600</v>
      </c>
      <c r="V329">
        <v>14600</v>
      </c>
      <c r="W329">
        <v>27200</v>
      </c>
      <c r="X329">
        <v>1.46</v>
      </c>
      <c r="Y329">
        <v>1.46</v>
      </c>
      <c r="Z329">
        <v>1152</v>
      </c>
      <c r="AA329">
        <v>1</v>
      </c>
      <c r="AB329">
        <v>1152</v>
      </c>
      <c r="AC329">
        <v>1152</v>
      </c>
      <c r="AD329">
        <v>1828</v>
      </c>
      <c r="AE329">
        <v>0.96</v>
      </c>
      <c r="AF329">
        <v>0.96</v>
      </c>
      <c r="AG329">
        <v>1152</v>
      </c>
      <c r="AH329">
        <v>1152</v>
      </c>
      <c r="AI329">
        <v>1833</v>
      </c>
      <c r="AJ329">
        <v>2.42</v>
      </c>
      <c r="AK329">
        <v>222</v>
      </c>
      <c r="AL329">
        <v>222</v>
      </c>
      <c r="AM329">
        <v>900</v>
      </c>
      <c r="AN329">
        <v>900</v>
      </c>
      <c r="AO329">
        <v>91.735537190082695</v>
      </c>
      <c r="AP329">
        <v>19.2</v>
      </c>
      <c r="AQ329">
        <v>0.32</v>
      </c>
      <c r="AR329">
        <v>1833</v>
      </c>
      <c r="AS329">
        <v>28550</v>
      </c>
      <c r="AT329">
        <v>11000</v>
      </c>
    </row>
    <row r="330" spans="1:50">
      <c r="A330" t="s">
        <v>515</v>
      </c>
      <c r="B330">
        <v>7</v>
      </c>
      <c r="C330" t="s">
        <v>525</v>
      </c>
      <c r="D330">
        <v>1</v>
      </c>
      <c r="E330">
        <v>0</v>
      </c>
      <c r="F330">
        <v>0</v>
      </c>
      <c r="G330">
        <v>1</v>
      </c>
      <c r="H330">
        <v>0</v>
      </c>
      <c r="I330">
        <v>1</v>
      </c>
      <c r="J330">
        <v>3</v>
      </c>
      <c r="K330">
        <v>0</v>
      </c>
      <c r="L330">
        <v>0</v>
      </c>
      <c r="M330">
        <v>7200</v>
      </c>
      <c r="N330">
        <v>22000</v>
      </c>
      <c r="O330">
        <v>0</v>
      </c>
      <c r="P330">
        <v>3650</v>
      </c>
      <c r="Q330">
        <v>0</v>
      </c>
      <c r="R330">
        <v>7200</v>
      </c>
      <c r="S330">
        <v>22000</v>
      </c>
      <c r="T330">
        <v>0</v>
      </c>
      <c r="U330">
        <v>29200</v>
      </c>
      <c r="V330">
        <v>29200</v>
      </c>
      <c r="W330">
        <v>56400</v>
      </c>
      <c r="X330">
        <v>2.92</v>
      </c>
      <c r="Y330">
        <v>2.92</v>
      </c>
      <c r="Z330">
        <v>2304</v>
      </c>
      <c r="AA330">
        <v>1</v>
      </c>
      <c r="AB330">
        <v>2304</v>
      </c>
      <c r="AC330">
        <v>2304</v>
      </c>
      <c r="AD330">
        <v>4132</v>
      </c>
      <c r="AE330">
        <v>1.92</v>
      </c>
      <c r="AF330">
        <v>1.92</v>
      </c>
      <c r="AG330">
        <v>2304</v>
      </c>
      <c r="AH330">
        <v>2304</v>
      </c>
      <c r="AI330">
        <v>4137</v>
      </c>
      <c r="AJ330">
        <v>4.84</v>
      </c>
      <c r="AK330">
        <v>267</v>
      </c>
      <c r="AL330">
        <v>267</v>
      </c>
      <c r="AM330">
        <v>1170</v>
      </c>
      <c r="AN330">
        <v>1170</v>
      </c>
      <c r="AO330">
        <v>55.165289256198299</v>
      </c>
      <c r="AP330">
        <v>38.4</v>
      </c>
      <c r="AQ330">
        <v>0.64</v>
      </c>
      <c r="AR330">
        <v>4137</v>
      </c>
      <c r="AS330">
        <v>57750</v>
      </c>
      <c r="AT330">
        <v>22000</v>
      </c>
    </row>
    <row r="331" spans="1:50">
      <c r="A331" t="s">
        <v>515</v>
      </c>
      <c r="B331">
        <v>8</v>
      </c>
      <c r="C331" t="s">
        <v>526</v>
      </c>
      <c r="D331">
        <v>1</v>
      </c>
      <c r="E331">
        <v>0</v>
      </c>
      <c r="F331">
        <v>0</v>
      </c>
      <c r="G331">
        <v>1</v>
      </c>
      <c r="H331">
        <v>0</v>
      </c>
      <c r="I331">
        <v>1</v>
      </c>
      <c r="J331">
        <v>3</v>
      </c>
      <c r="K331">
        <v>0</v>
      </c>
      <c r="L331">
        <v>0</v>
      </c>
      <c r="M331">
        <v>14000</v>
      </c>
      <c r="N331">
        <v>43000</v>
      </c>
      <c r="O331">
        <v>0</v>
      </c>
      <c r="P331">
        <v>6950</v>
      </c>
      <c r="Q331">
        <v>0</v>
      </c>
      <c r="R331">
        <v>14000</v>
      </c>
      <c r="S331">
        <v>43000</v>
      </c>
      <c r="T331">
        <v>0</v>
      </c>
      <c r="U331">
        <v>57000</v>
      </c>
      <c r="V331">
        <v>57000</v>
      </c>
      <c r="W331">
        <v>113400</v>
      </c>
      <c r="X331">
        <v>5.7</v>
      </c>
      <c r="Y331">
        <v>5.7</v>
      </c>
      <c r="Z331">
        <v>4608</v>
      </c>
      <c r="AA331">
        <v>1</v>
      </c>
      <c r="AB331">
        <v>4608</v>
      </c>
      <c r="AC331">
        <v>4608</v>
      </c>
      <c r="AD331">
        <v>8740</v>
      </c>
      <c r="AE331">
        <v>3.84</v>
      </c>
      <c r="AF331">
        <v>3.84</v>
      </c>
      <c r="AG331">
        <v>4608</v>
      </c>
      <c r="AH331">
        <v>4608</v>
      </c>
      <c r="AI331">
        <v>8745</v>
      </c>
      <c r="AJ331">
        <v>9.5399999999999991</v>
      </c>
      <c r="AK331">
        <v>330</v>
      </c>
      <c r="AL331">
        <v>330</v>
      </c>
      <c r="AM331">
        <v>1500</v>
      </c>
      <c r="AN331">
        <v>1500</v>
      </c>
      <c r="AO331">
        <v>34.591194968553502</v>
      </c>
      <c r="AP331">
        <v>76.8</v>
      </c>
      <c r="AQ331">
        <v>1.28</v>
      </c>
      <c r="AR331">
        <v>8745</v>
      </c>
      <c r="AS331">
        <v>114750</v>
      </c>
      <c r="AT331">
        <v>43000</v>
      </c>
    </row>
    <row r="332" spans="1:50">
      <c r="A332" t="s">
        <v>515</v>
      </c>
      <c r="B332">
        <v>9</v>
      </c>
      <c r="C332" t="s">
        <v>527</v>
      </c>
      <c r="D332">
        <v>1</v>
      </c>
      <c r="E332">
        <v>0</v>
      </c>
      <c r="F332">
        <v>0</v>
      </c>
      <c r="G332">
        <v>1</v>
      </c>
      <c r="H332">
        <v>0</v>
      </c>
      <c r="I332">
        <v>1</v>
      </c>
      <c r="J332">
        <v>3</v>
      </c>
      <c r="K332">
        <v>0</v>
      </c>
      <c r="L332">
        <v>0</v>
      </c>
      <c r="M332">
        <v>24000</v>
      </c>
      <c r="N332">
        <v>73000</v>
      </c>
      <c r="O332">
        <v>0</v>
      </c>
      <c r="P332">
        <v>10000</v>
      </c>
      <c r="Q332">
        <v>0</v>
      </c>
      <c r="R332">
        <v>24000</v>
      </c>
      <c r="S332">
        <v>73000</v>
      </c>
      <c r="T332">
        <v>0</v>
      </c>
      <c r="U332">
        <v>97000</v>
      </c>
      <c r="V332">
        <v>97000</v>
      </c>
      <c r="W332">
        <v>210400</v>
      </c>
      <c r="X332">
        <v>9.6999999999999993</v>
      </c>
      <c r="Y332">
        <v>9.6999999999999993</v>
      </c>
      <c r="Z332">
        <v>7834</v>
      </c>
      <c r="AA332">
        <v>1</v>
      </c>
      <c r="AB332">
        <v>7834</v>
      </c>
      <c r="AC332">
        <v>7834</v>
      </c>
      <c r="AD332">
        <v>16574</v>
      </c>
      <c r="AE332">
        <v>6.5283333333333298</v>
      </c>
      <c r="AF332">
        <v>6.5283333333333298</v>
      </c>
      <c r="AG332">
        <v>7834</v>
      </c>
      <c r="AH332">
        <v>7834</v>
      </c>
      <c r="AI332">
        <v>16579</v>
      </c>
      <c r="AJ332">
        <v>16.2283333333333</v>
      </c>
      <c r="AK332">
        <v>390</v>
      </c>
      <c r="AL332">
        <v>390</v>
      </c>
      <c r="AM332">
        <v>1890</v>
      </c>
      <c r="AN332">
        <v>1890</v>
      </c>
      <c r="AO332">
        <v>24.032042723631498</v>
      </c>
      <c r="AP332">
        <v>130.566666666667</v>
      </c>
      <c r="AQ332">
        <v>2.1761111111111102</v>
      </c>
      <c r="AR332">
        <v>16579</v>
      </c>
      <c r="AS332">
        <v>211750</v>
      </c>
      <c r="AT332">
        <v>73000</v>
      </c>
    </row>
    <row r="333" spans="1:50">
      <c r="A333" t="s">
        <v>515</v>
      </c>
      <c r="B333">
        <v>10</v>
      </c>
      <c r="C333" t="s">
        <v>528</v>
      </c>
      <c r="D333">
        <v>1</v>
      </c>
      <c r="E333">
        <v>0</v>
      </c>
      <c r="F333">
        <v>0</v>
      </c>
      <c r="G333">
        <v>1</v>
      </c>
      <c r="H333">
        <v>0</v>
      </c>
      <c r="I333">
        <v>1</v>
      </c>
      <c r="J333">
        <v>3</v>
      </c>
      <c r="K333">
        <v>0</v>
      </c>
      <c r="L333">
        <v>0</v>
      </c>
      <c r="M333">
        <v>42000</v>
      </c>
      <c r="N333">
        <v>120000</v>
      </c>
      <c r="O333">
        <v>0</v>
      </c>
      <c r="P333">
        <v>16250</v>
      </c>
      <c r="Q333">
        <v>0</v>
      </c>
      <c r="R333">
        <v>42000</v>
      </c>
      <c r="S333">
        <v>120000</v>
      </c>
      <c r="T333">
        <v>0</v>
      </c>
      <c r="U333">
        <v>162000</v>
      </c>
      <c r="V333">
        <v>162000</v>
      </c>
      <c r="W333">
        <v>372400</v>
      </c>
      <c r="X333">
        <v>16.2</v>
      </c>
      <c r="Y333">
        <v>16.2</v>
      </c>
      <c r="Z333">
        <v>12534</v>
      </c>
      <c r="AA333">
        <v>1</v>
      </c>
      <c r="AB333">
        <v>12534</v>
      </c>
      <c r="AC333">
        <v>12534</v>
      </c>
      <c r="AD333">
        <v>29108</v>
      </c>
      <c r="AE333">
        <v>10.445</v>
      </c>
      <c r="AF333">
        <v>10.445</v>
      </c>
      <c r="AG333">
        <v>12534</v>
      </c>
      <c r="AH333">
        <v>12534</v>
      </c>
      <c r="AI333">
        <v>29113</v>
      </c>
      <c r="AJ333">
        <v>26.645</v>
      </c>
      <c r="AK333">
        <v>480</v>
      </c>
      <c r="AL333">
        <v>480</v>
      </c>
      <c r="AM333">
        <v>2370</v>
      </c>
      <c r="AN333">
        <v>2370</v>
      </c>
      <c r="AO333">
        <v>18.014636892475099</v>
      </c>
      <c r="AP333">
        <v>208.9</v>
      </c>
      <c r="AQ333">
        <v>3.48166666666667</v>
      </c>
      <c r="AR333">
        <v>29113</v>
      </c>
      <c r="AS333">
        <v>373750</v>
      </c>
      <c r="AT333">
        <v>120000</v>
      </c>
    </row>
    <row r="334" spans="1:50">
      <c r="A334" t="s">
        <v>515</v>
      </c>
      <c r="B334">
        <v>11</v>
      </c>
      <c r="C334" t="s">
        <v>529</v>
      </c>
      <c r="D334">
        <v>1</v>
      </c>
      <c r="E334">
        <v>0</v>
      </c>
      <c r="F334">
        <v>0</v>
      </c>
      <c r="G334">
        <v>1</v>
      </c>
      <c r="H334">
        <v>0</v>
      </c>
      <c r="I334">
        <v>1</v>
      </c>
      <c r="J334">
        <v>3</v>
      </c>
      <c r="K334">
        <v>1</v>
      </c>
      <c r="L334">
        <v>0</v>
      </c>
      <c r="M334">
        <v>53000</v>
      </c>
      <c r="N334">
        <v>160000</v>
      </c>
      <c r="O334">
        <v>53000</v>
      </c>
      <c r="P334">
        <v>26000</v>
      </c>
      <c r="Q334">
        <v>0</v>
      </c>
      <c r="R334">
        <v>53000</v>
      </c>
      <c r="S334">
        <v>160000</v>
      </c>
      <c r="T334">
        <v>53000</v>
      </c>
      <c r="U334">
        <v>266000</v>
      </c>
      <c r="V334">
        <v>266000</v>
      </c>
      <c r="W334">
        <v>638400</v>
      </c>
      <c r="X334">
        <v>26.6</v>
      </c>
      <c r="Y334">
        <v>26.6</v>
      </c>
      <c r="Z334">
        <v>16921</v>
      </c>
      <c r="AA334">
        <v>1</v>
      </c>
      <c r="AB334">
        <v>16921</v>
      </c>
      <c r="AC334">
        <v>16921</v>
      </c>
      <c r="AD334">
        <v>46029</v>
      </c>
      <c r="AE334">
        <v>14.1008333333333</v>
      </c>
      <c r="AF334">
        <v>14.1008333333333</v>
      </c>
      <c r="AG334">
        <v>16921</v>
      </c>
      <c r="AH334">
        <v>16921</v>
      </c>
      <c r="AI334">
        <v>46034</v>
      </c>
      <c r="AJ334">
        <v>40.7008333333333</v>
      </c>
      <c r="AK334">
        <v>660</v>
      </c>
      <c r="AL334">
        <v>660</v>
      </c>
      <c r="AM334">
        <v>3030</v>
      </c>
      <c r="AN334">
        <v>3030</v>
      </c>
      <c r="AO334">
        <v>16.215884195655299</v>
      </c>
      <c r="AP334">
        <v>282.01666666666699</v>
      </c>
      <c r="AQ334">
        <v>4.7002777777777798</v>
      </c>
      <c r="AR334">
        <v>46034</v>
      </c>
      <c r="AS334">
        <v>639750</v>
      </c>
      <c r="AT334">
        <v>160000</v>
      </c>
    </row>
    <row r="335" spans="1:50">
      <c r="A335" t="s">
        <v>515</v>
      </c>
      <c r="B335">
        <v>12</v>
      </c>
      <c r="C335" t="s">
        <v>530</v>
      </c>
      <c r="D335">
        <v>1</v>
      </c>
      <c r="E335">
        <v>0</v>
      </c>
      <c r="F335">
        <v>0</v>
      </c>
      <c r="G335">
        <v>1</v>
      </c>
      <c r="H335">
        <v>0</v>
      </c>
      <c r="I335">
        <v>1</v>
      </c>
      <c r="J335">
        <v>3</v>
      </c>
      <c r="K335">
        <v>1</v>
      </c>
      <c r="L335">
        <v>0</v>
      </c>
      <c r="M335">
        <v>85000</v>
      </c>
      <c r="N335">
        <v>260000</v>
      </c>
      <c r="O335">
        <v>85000</v>
      </c>
      <c r="P335">
        <v>41000</v>
      </c>
      <c r="Q335">
        <v>0</v>
      </c>
      <c r="R335">
        <v>85000</v>
      </c>
      <c r="S335">
        <v>260000</v>
      </c>
      <c r="T335">
        <v>85000</v>
      </c>
      <c r="U335">
        <v>430000</v>
      </c>
      <c r="V335">
        <v>430000</v>
      </c>
      <c r="W335">
        <v>1068400</v>
      </c>
      <c r="X335">
        <v>43</v>
      </c>
      <c r="Y335">
        <v>43</v>
      </c>
      <c r="Z335">
        <v>22843</v>
      </c>
      <c r="AA335">
        <v>1</v>
      </c>
      <c r="AB335">
        <v>22843</v>
      </c>
      <c r="AC335">
        <v>22843</v>
      </c>
      <c r="AD335">
        <v>68872</v>
      </c>
      <c r="AE335">
        <v>19.035833333333301</v>
      </c>
      <c r="AF335">
        <v>19.035833333333301</v>
      </c>
      <c r="AG335">
        <v>22843</v>
      </c>
      <c r="AH335">
        <v>22843</v>
      </c>
      <c r="AI335">
        <v>68877</v>
      </c>
      <c r="AJ335">
        <v>62.035833333333301</v>
      </c>
      <c r="AK335">
        <v>900</v>
      </c>
      <c r="AL335">
        <v>900</v>
      </c>
      <c r="AM335">
        <v>3930</v>
      </c>
      <c r="AN335">
        <v>3930</v>
      </c>
      <c r="AO335">
        <v>14.507744180111001</v>
      </c>
      <c r="AP335">
        <v>380.71666666666698</v>
      </c>
      <c r="AQ335">
        <v>6.3452777777777802</v>
      </c>
      <c r="AR335">
        <v>68877</v>
      </c>
      <c r="AS335">
        <v>1069750</v>
      </c>
      <c r="AT335">
        <v>260000</v>
      </c>
    </row>
    <row r="336" spans="1:50">
      <c r="A336" t="s">
        <v>515</v>
      </c>
      <c r="B336">
        <v>13</v>
      </c>
      <c r="C336" t="s">
        <v>531</v>
      </c>
      <c r="D336">
        <v>1</v>
      </c>
      <c r="E336">
        <v>0</v>
      </c>
      <c r="F336">
        <v>0</v>
      </c>
      <c r="G336">
        <v>1</v>
      </c>
      <c r="H336">
        <v>0</v>
      </c>
      <c r="I336">
        <v>1</v>
      </c>
      <c r="J336">
        <v>3</v>
      </c>
      <c r="K336">
        <v>1</v>
      </c>
      <c r="L336">
        <v>0</v>
      </c>
      <c r="M336">
        <v>140000</v>
      </c>
      <c r="N336">
        <v>410000</v>
      </c>
      <c r="O336">
        <v>140000</v>
      </c>
      <c r="P336">
        <v>65000</v>
      </c>
      <c r="Q336">
        <v>0</v>
      </c>
      <c r="R336">
        <v>140000</v>
      </c>
      <c r="S336">
        <v>410000</v>
      </c>
      <c r="T336">
        <v>140000</v>
      </c>
      <c r="U336">
        <v>690000</v>
      </c>
      <c r="V336">
        <v>690000</v>
      </c>
      <c r="W336">
        <v>1758400</v>
      </c>
      <c r="X336">
        <v>69</v>
      </c>
      <c r="Y336">
        <v>69</v>
      </c>
      <c r="Z336">
        <v>30838</v>
      </c>
      <c r="AA336">
        <v>1</v>
      </c>
      <c r="AB336">
        <v>30838</v>
      </c>
      <c r="AC336">
        <v>30838</v>
      </c>
      <c r="AD336">
        <v>99710</v>
      </c>
      <c r="AE336">
        <v>25.698333333333299</v>
      </c>
      <c r="AF336">
        <v>25.698333333333299</v>
      </c>
      <c r="AG336">
        <v>30838</v>
      </c>
      <c r="AH336">
        <v>30838</v>
      </c>
      <c r="AI336">
        <v>99715</v>
      </c>
      <c r="AJ336">
        <v>94.698333333333295</v>
      </c>
      <c r="AK336">
        <v>1230</v>
      </c>
      <c r="AL336">
        <v>1230</v>
      </c>
      <c r="AM336">
        <v>5160</v>
      </c>
      <c r="AN336">
        <v>5160</v>
      </c>
      <c r="AO336">
        <v>12.988612963973299</v>
      </c>
      <c r="AP336">
        <v>513.96666666666704</v>
      </c>
      <c r="AQ336">
        <v>8.5661111111111108</v>
      </c>
      <c r="AR336">
        <v>99715</v>
      </c>
      <c r="AS336">
        <v>1759750</v>
      </c>
      <c r="AT336">
        <v>410000</v>
      </c>
      <c r="AW336">
        <v>100986311</v>
      </c>
      <c r="AX336">
        <v>28051.7530555556</v>
      </c>
    </row>
    <row r="337" spans="1:50">
      <c r="A337" t="s">
        <v>515</v>
      </c>
      <c r="B337">
        <v>14</v>
      </c>
      <c r="C337" t="s">
        <v>532</v>
      </c>
      <c r="D337">
        <v>1</v>
      </c>
      <c r="E337">
        <v>0</v>
      </c>
      <c r="F337">
        <v>0</v>
      </c>
      <c r="G337">
        <v>1</v>
      </c>
      <c r="H337">
        <v>0</v>
      </c>
      <c r="I337">
        <v>1</v>
      </c>
      <c r="J337">
        <v>3</v>
      </c>
      <c r="K337">
        <v>1</v>
      </c>
      <c r="L337">
        <v>0</v>
      </c>
      <c r="M337">
        <v>220000</v>
      </c>
      <c r="N337">
        <v>650000</v>
      </c>
      <c r="O337">
        <v>220000</v>
      </c>
      <c r="P337">
        <v>100000</v>
      </c>
      <c r="Q337">
        <v>0</v>
      </c>
      <c r="R337">
        <v>220000</v>
      </c>
      <c r="S337">
        <v>650000</v>
      </c>
      <c r="T337">
        <v>220000</v>
      </c>
      <c r="U337">
        <v>1090000</v>
      </c>
      <c r="V337">
        <v>1090000</v>
      </c>
      <c r="W337">
        <v>2848400</v>
      </c>
      <c r="X337">
        <v>109</v>
      </c>
      <c r="Y337">
        <v>109</v>
      </c>
      <c r="Z337">
        <v>41631</v>
      </c>
      <c r="AA337">
        <v>1</v>
      </c>
      <c r="AB337">
        <v>41631</v>
      </c>
      <c r="AC337">
        <v>41631</v>
      </c>
      <c r="AD337">
        <v>141341</v>
      </c>
      <c r="AE337">
        <v>34.692500000000003</v>
      </c>
      <c r="AF337">
        <v>34.692500000000003</v>
      </c>
      <c r="AG337">
        <v>41631</v>
      </c>
      <c r="AH337">
        <v>41631</v>
      </c>
      <c r="AI337">
        <v>141346</v>
      </c>
      <c r="AJ337">
        <v>143.6925</v>
      </c>
      <c r="AK337">
        <v>1650</v>
      </c>
      <c r="AL337">
        <v>1650</v>
      </c>
      <c r="AM337">
        <v>6810</v>
      </c>
      <c r="AN337">
        <v>6810</v>
      </c>
      <c r="AO337">
        <v>11.4828540111697</v>
      </c>
      <c r="AP337">
        <v>693.85</v>
      </c>
      <c r="AQ337">
        <v>11.564166666666701</v>
      </c>
      <c r="AR337">
        <v>141346</v>
      </c>
      <c r="AS337">
        <v>2849750</v>
      </c>
      <c r="AT337">
        <v>650000</v>
      </c>
    </row>
    <row r="338" spans="1:50">
      <c r="A338" t="s">
        <v>515</v>
      </c>
      <c r="B338">
        <v>15</v>
      </c>
      <c r="C338" t="s">
        <v>533</v>
      </c>
      <c r="D338">
        <v>1</v>
      </c>
      <c r="E338">
        <v>0</v>
      </c>
      <c r="F338">
        <v>0</v>
      </c>
      <c r="G338">
        <v>1</v>
      </c>
      <c r="H338">
        <v>0</v>
      </c>
      <c r="I338">
        <v>1</v>
      </c>
      <c r="J338">
        <v>3</v>
      </c>
      <c r="K338">
        <v>1</v>
      </c>
      <c r="L338">
        <v>0</v>
      </c>
      <c r="M338">
        <v>330000</v>
      </c>
      <c r="N338">
        <v>980000</v>
      </c>
      <c r="O338">
        <v>330000</v>
      </c>
      <c r="P338">
        <v>137500</v>
      </c>
      <c r="Q338">
        <v>0</v>
      </c>
      <c r="R338">
        <v>330000</v>
      </c>
      <c r="S338">
        <v>980000</v>
      </c>
      <c r="T338">
        <v>330000</v>
      </c>
      <c r="U338">
        <v>1640000</v>
      </c>
      <c r="V338">
        <v>1640000</v>
      </c>
      <c r="W338">
        <v>4488400</v>
      </c>
      <c r="X338">
        <v>164</v>
      </c>
      <c r="Y338">
        <v>164</v>
      </c>
      <c r="Z338">
        <v>56202</v>
      </c>
      <c r="AA338">
        <v>1</v>
      </c>
      <c r="AB338">
        <v>56202</v>
      </c>
      <c r="AC338">
        <v>56202</v>
      </c>
      <c r="AD338">
        <v>197543</v>
      </c>
      <c r="AE338">
        <v>46.835000000000001</v>
      </c>
      <c r="AF338">
        <v>46.835000000000001</v>
      </c>
      <c r="AG338">
        <v>56202</v>
      </c>
      <c r="AH338">
        <v>56202</v>
      </c>
      <c r="AI338">
        <v>197548</v>
      </c>
      <c r="AJ338">
        <v>210.83500000000001</v>
      </c>
      <c r="AK338">
        <v>2220</v>
      </c>
      <c r="AL338">
        <v>2220</v>
      </c>
      <c r="AM338">
        <v>9030</v>
      </c>
      <c r="AN338">
        <v>9030</v>
      </c>
      <c r="AO338">
        <v>10.529561031138099</v>
      </c>
      <c r="AP338">
        <v>936.7</v>
      </c>
      <c r="AQ338">
        <v>15.6116666666667</v>
      </c>
      <c r="AR338">
        <v>197548</v>
      </c>
      <c r="AS338">
        <v>4489750</v>
      </c>
      <c r="AT338">
        <v>980000</v>
      </c>
    </row>
    <row r="339" spans="1:50">
      <c r="A339" t="s">
        <v>515</v>
      </c>
      <c r="B339">
        <v>16</v>
      </c>
      <c r="C339" t="s">
        <v>534</v>
      </c>
      <c r="D339">
        <v>1</v>
      </c>
      <c r="E339">
        <v>0</v>
      </c>
      <c r="F339">
        <v>0</v>
      </c>
      <c r="G339">
        <v>1</v>
      </c>
      <c r="H339">
        <v>0</v>
      </c>
      <c r="I339">
        <v>1</v>
      </c>
      <c r="J339">
        <v>3</v>
      </c>
      <c r="K339">
        <v>1</v>
      </c>
      <c r="L339">
        <v>0</v>
      </c>
      <c r="M339">
        <v>440000</v>
      </c>
      <c r="N339">
        <v>1300000</v>
      </c>
      <c r="O339">
        <v>440000</v>
      </c>
      <c r="P339">
        <v>135000</v>
      </c>
      <c r="Q339">
        <v>0</v>
      </c>
      <c r="R339">
        <v>440000</v>
      </c>
      <c r="S339">
        <v>1300000</v>
      </c>
      <c r="T339">
        <v>440000</v>
      </c>
      <c r="U339">
        <v>2180000</v>
      </c>
      <c r="V339">
        <v>2180000</v>
      </c>
      <c r="W339">
        <v>6668400</v>
      </c>
      <c r="X339">
        <v>218</v>
      </c>
      <c r="Y339">
        <v>218</v>
      </c>
      <c r="Z339">
        <v>75872</v>
      </c>
      <c r="AA339">
        <v>1</v>
      </c>
      <c r="AB339">
        <v>75872</v>
      </c>
      <c r="AC339">
        <v>75872</v>
      </c>
      <c r="AD339">
        <v>273415</v>
      </c>
      <c r="AE339">
        <v>63.226666666666702</v>
      </c>
      <c r="AF339">
        <v>63.226666666666702</v>
      </c>
      <c r="AG339">
        <v>75872</v>
      </c>
      <c r="AH339">
        <v>75872</v>
      </c>
      <c r="AI339">
        <v>273420</v>
      </c>
      <c r="AJ339">
        <v>281.22666666666697</v>
      </c>
      <c r="AK339">
        <v>3000</v>
      </c>
      <c r="AL339">
        <v>3000</v>
      </c>
      <c r="AM339">
        <v>12030</v>
      </c>
      <c r="AN339">
        <v>12030</v>
      </c>
      <c r="AO339">
        <v>10.6675516783615</v>
      </c>
      <c r="AP339">
        <v>1264.5333333333299</v>
      </c>
      <c r="AQ339">
        <v>21.075555555555599</v>
      </c>
      <c r="AR339">
        <v>273420</v>
      </c>
      <c r="AS339">
        <v>6669750</v>
      </c>
      <c r="AT339">
        <v>1300000</v>
      </c>
      <c r="AW339">
        <v>29584800</v>
      </c>
      <c r="AX339">
        <v>8218</v>
      </c>
    </row>
    <row r="340" spans="1:50">
      <c r="A340" t="s">
        <v>515</v>
      </c>
      <c r="B340">
        <v>17</v>
      </c>
      <c r="C340" t="s">
        <v>535</v>
      </c>
      <c r="D340">
        <v>1</v>
      </c>
      <c r="E340">
        <v>0</v>
      </c>
      <c r="F340">
        <v>0</v>
      </c>
      <c r="G340">
        <v>1</v>
      </c>
      <c r="H340">
        <v>0</v>
      </c>
      <c r="I340">
        <v>1</v>
      </c>
      <c r="J340">
        <v>3</v>
      </c>
      <c r="K340">
        <v>1</v>
      </c>
      <c r="L340">
        <v>0</v>
      </c>
      <c r="M340">
        <v>580000</v>
      </c>
      <c r="N340">
        <v>1700000</v>
      </c>
      <c r="O340">
        <v>580000</v>
      </c>
      <c r="P340">
        <v>170000</v>
      </c>
      <c r="Q340">
        <v>0</v>
      </c>
      <c r="R340">
        <v>580000</v>
      </c>
      <c r="S340">
        <v>1700000</v>
      </c>
      <c r="T340">
        <v>580000</v>
      </c>
      <c r="U340">
        <v>2860000</v>
      </c>
      <c r="V340">
        <v>2860000</v>
      </c>
      <c r="W340">
        <v>9528400</v>
      </c>
      <c r="X340">
        <v>286</v>
      </c>
      <c r="Y340">
        <v>286</v>
      </c>
      <c r="Z340">
        <v>102428</v>
      </c>
      <c r="AA340">
        <v>1</v>
      </c>
      <c r="AB340">
        <v>102428</v>
      </c>
      <c r="AC340">
        <v>102428</v>
      </c>
      <c r="AD340">
        <v>375843</v>
      </c>
      <c r="AE340">
        <v>85.356666666666698</v>
      </c>
      <c r="AF340">
        <v>85.356666666666698</v>
      </c>
      <c r="AG340">
        <v>102428</v>
      </c>
      <c r="AH340">
        <v>102428</v>
      </c>
      <c r="AI340">
        <v>375848</v>
      </c>
      <c r="AJ340">
        <v>371.35666666666702</v>
      </c>
      <c r="AK340">
        <v>4200</v>
      </c>
      <c r="AL340">
        <v>4200</v>
      </c>
      <c r="AM340">
        <v>16230</v>
      </c>
      <c r="AN340">
        <v>16230</v>
      </c>
      <c r="AO340">
        <v>11.3098817848071</v>
      </c>
      <c r="AP340">
        <v>1707.13333333333</v>
      </c>
      <c r="AQ340">
        <v>28.452222222222201</v>
      </c>
      <c r="AR340">
        <v>375848</v>
      </c>
      <c r="AS340">
        <v>9529750</v>
      </c>
      <c r="AT340">
        <v>1700000</v>
      </c>
    </row>
    <row r="341" spans="1:50">
      <c r="A341" t="s">
        <v>515</v>
      </c>
      <c r="B341">
        <v>18</v>
      </c>
      <c r="C341" t="s">
        <v>536</v>
      </c>
      <c r="D341">
        <v>1</v>
      </c>
      <c r="E341">
        <v>0</v>
      </c>
      <c r="F341">
        <v>0</v>
      </c>
      <c r="G341">
        <v>1</v>
      </c>
      <c r="H341">
        <v>0</v>
      </c>
      <c r="I341">
        <v>1</v>
      </c>
      <c r="J341">
        <v>3</v>
      </c>
      <c r="K341">
        <v>1</v>
      </c>
      <c r="L341">
        <v>0</v>
      </c>
      <c r="M341">
        <v>750000</v>
      </c>
      <c r="N341">
        <v>2300000</v>
      </c>
      <c r="O341">
        <v>750000</v>
      </c>
      <c r="P341">
        <v>235000</v>
      </c>
      <c r="Q341">
        <v>0</v>
      </c>
      <c r="R341">
        <v>750000</v>
      </c>
      <c r="S341">
        <v>2300000</v>
      </c>
      <c r="T341">
        <v>750000</v>
      </c>
      <c r="U341">
        <v>3800000</v>
      </c>
      <c r="V341">
        <v>3800000</v>
      </c>
      <c r="W341">
        <v>13328400</v>
      </c>
      <c r="X341">
        <v>380</v>
      </c>
      <c r="Y341">
        <v>380</v>
      </c>
      <c r="Z341">
        <v>138278</v>
      </c>
      <c r="AA341">
        <v>1</v>
      </c>
      <c r="AB341">
        <v>138278</v>
      </c>
      <c r="AC341">
        <v>138278</v>
      </c>
      <c r="AD341">
        <v>514121</v>
      </c>
      <c r="AE341">
        <v>115.231666666667</v>
      </c>
      <c r="AF341">
        <v>115.231666666667</v>
      </c>
      <c r="AG341">
        <v>138278</v>
      </c>
      <c r="AH341">
        <v>138278</v>
      </c>
      <c r="AI341">
        <v>514126</v>
      </c>
      <c r="AJ341">
        <v>495.23166666666702</v>
      </c>
      <c r="AK341">
        <v>5700</v>
      </c>
      <c r="AL341">
        <v>5700</v>
      </c>
      <c r="AM341">
        <v>21930</v>
      </c>
      <c r="AN341">
        <v>21930</v>
      </c>
      <c r="AO341">
        <v>11.509764790216</v>
      </c>
      <c r="AP341">
        <v>2304.63333333333</v>
      </c>
      <c r="AQ341">
        <v>38.410555555555597</v>
      </c>
      <c r="AR341">
        <v>514126</v>
      </c>
      <c r="AS341">
        <v>13329750</v>
      </c>
      <c r="AT341">
        <v>2300000</v>
      </c>
    </row>
    <row r="342" spans="1:50">
      <c r="A342" t="s">
        <v>515</v>
      </c>
      <c r="B342">
        <v>19</v>
      </c>
      <c r="C342" t="s">
        <v>537</v>
      </c>
      <c r="D342">
        <v>1</v>
      </c>
      <c r="E342">
        <v>0</v>
      </c>
      <c r="F342">
        <v>0</v>
      </c>
      <c r="G342">
        <v>1</v>
      </c>
      <c r="H342">
        <v>0</v>
      </c>
      <c r="I342">
        <v>1</v>
      </c>
      <c r="J342">
        <v>3</v>
      </c>
      <c r="K342">
        <v>1</v>
      </c>
      <c r="L342">
        <v>0</v>
      </c>
      <c r="M342">
        <v>980000</v>
      </c>
      <c r="N342">
        <v>2900000</v>
      </c>
      <c r="O342">
        <v>980000</v>
      </c>
      <c r="P342">
        <v>265000</v>
      </c>
      <c r="Q342">
        <v>0</v>
      </c>
      <c r="R342">
        <v>980000</v>
      </c>
      <c r="S342">
        <v>2900000</v>
      </c>
      <c r="T342">
        <v>980000</v>
      </c>
      <c r="U342">
        <v>4860000</v>
      </c>
      <c r="V342">
        <v>4860000</v>
      </c>
      <c r="W342">
        <v>18188400</v>
      </c>
      <c r="X342">
        <v>486</v>
      </c>
      <c r="Y342">
        <v>486</v>
      </c>
      <c r="Z342">
        <v>207416</v>
      </c>
      <c r="AA342">
        <v>1</v>
      </c>
      <c r="AB342">
        <v>207416</v>
      </c>
      <c r="AC342">
        <v>207416</v>
      </c>
      <c r="AD342">
        <v>721537</v>
      </c>
      <c r="AE342">
        <v>172.84666666666701</v>
      </c>
      <c r="AF342">
        <v>172.84666666666701</v>
      </c>
      <c r="AG342">
        <v>207416</v>
      </c>
      <c r="AH342">
        <v>207416</v>
      </c>
      <c r="AI342">
        <v>721542</v>
      </c>
      <c r="AJ342">
        <v>658.84666666666703</v>
      </c>
      <c r="AK342">
        <v>7800</v>
      </c>
      <c r="AL342">
        <v>7800</v>
      </c>
      <c r="AM342">
        <v>29730</v>
      </c>
      <c r="AN342">
        <v>29730</v>
      </c>
      <c r="AO342">
        <v>11.838869944448399</v>
      </c>
      <c r="AP342">
        <v>3456.9333333333302</v>
      </c>
      <c r="AQ342">
        <v>57.615555555555602</v>
      </c>
      <c r="AR342">
        <v>721542</v>
      </c>
      <c r="AS342">
        <v>18189750</v>
      </c>
      <c r="AT342">
        <v>2900000</v>
      </c>
    </row>
    <row r="343" spans="1:50">
      <c r="A343" t="s">
        <v>515</v>
      </c>
      <c r="B343">
        <v>20</v>
      </c>
      <c r="C343" t="s">
        <v>538</v>
      </c>
      <c r="D343">
        <v>1</v>
      </c>
      <c r="E343">
        <v>0</v>
      </c>
      <c r="F343">
        <v>0</v>
      </c>
      <c r="G343">
        <v>1</v>
      </c>
      <c r="H343">
        <v>0</v>
      </c>
      <c r="I343">
        <v>1</v>
      </c>
      <c r="J343">
        <v>3</v>
      </c>
      <c r="K343">
        <v>1</v>
      </c>
      <c r="L343">
        <v>0</v>
      </c>
      <c r="M343">
        <v>1300000</v>
      </c>
      <c r="N343">
        <v>3800000</v>
      </c>
      <c r="O343">
        <v>1300000</v>
      </c>
      <c r="P343">
        <v>385000</v>
      </c>
      <c r="Q343">
        <v>0</v>
      </c>
      <c r="R343">
        <v>1300000</v>
      </c>
      <c r="S343">
        <v>3800000</v>
      </c>
      <c r="T343">
        <v>1300000</v>
      </c>
      <c r="U343">
        <v>6400000</v>
      </c>
      <c r="V343">
        <v>6400000</v>
      </c>
      <c r="W343">
        <v>24588400</v>
      </c>
      <c r="X343">
        <v>640</v>
      </c>
      <c r="Y343">
        <v>640</v>
      </c>
      <c r="Z343">
        <v>311124</v>
      </c>
      <c r="AA343">
        <v>1</v>
      </c>
      <c r="AB343">
        <v>311124</v>
      </c>
      <c r="AC343">
        <v>311124</v>
      </c>
      <c r="AD343">
        <v>1032661</v>
      </c>
      <c r="AE343">
        <v>259.27</v>
      </c>
      <c r="AF343">
        <v>259.27</v>
      </c>
      <c r="AG343">
        <v>311124</v>
      </c>
      <c r="AH343">
        <v>311124</v>
      </c>
      <c r="AI343">
        <v>1032666</v>
      </c>
      <c r="AJ343">
        <v>899.27</v>
      </c>
      <c r="AK343">
        <v>10500</v>
      </c>
      <c r="AL343">
        <v>10500</v>
      </c>
      <c r="AM343">
        <v>40230</v>
      </c>
      <c r="AN343">
        <v>40230</v>
      </c>
      <c r="AO343">
        <v>11.6761373113748</v>
      </c>
      <c r="AP343">
        <v>5185.3999999999996</v>
      </c>
      <c r="AQ343">
        <v>86.423333333333304</v>
      </c>
      <c r="AR343">
        <v>1032666</v>
      </c>
      <c r="AS343">
        <v>24589750</v>
      </c>
      <c r="AT343">
        <v>3800000</v>
      </c>
    </row>
    <row r="344" spans="1:50">
      <c r="A344" t="s">
        <v>589</v>
      </c>
      <c r="B344">
        <v>1</v>
      </c>
      <c r="C344" t="s">
        <v>590</v>
      </c>
      <c r="D344">
        <v>1</v>
      </c>
      <c r="E344">
        <v>0</v>
      </c>
      <c r="F344">
        <v>0</v>
      </c>
      <c r="G344">
        <v>1</v>
      </c>
      <c r="H344">
        <v>0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1E-3</v>
      </c>
      <c r="AB344">
        <v>1</v>
      </c>
      <c r="AC344">
        <v>1</v>
      </c>
      <c r="AD344">
        <v>1</v>
      </c>
      <c r="AE344">
        <v>8.3333333333333295E-4</v>
      </c>
      <c r="AF344">
        <v>8.3333333333333295E-4</v>
      </c>
      <c r="AG344">
        <v>1</v>
      </c>
      <c r="AH344">
        <v>1</v>
      </c>
      <c r="AI344">
        <v>1</v>
      </c>
      <c r="AJ344">
        <v>8.3333333333333295E-4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1.6666666666666701E-2</v>
      </c>
      <c r="AQ344">
        <v>2.7777777777777799E-4</v>
      </c>
      <c r="AR344">
        <v>1</v>
      </c>
      <c r="AS344">
        <v>0</v>
      </c>
      <c r="AT344">
        <v>0</v>
      </c>
    </row>
    <row r="345" spans="1:50">
      <c r="A345" t="s">
        <v>589</v>
      </c>
      <c r="B345">
        <v>2</v>
      </c>
      <c r="C345" t="s">
        <v>651</v>
      </c>
      <c r="D345">
        <v>1</v>
      </c>
      <c r="E345">
        <v>0</v>
      </c>
      <c r="F345">
        <v>0</v>
      </c>
      <c r="G345">
        <v>1</v>
      </c>
      <c r="H345">
        <v>0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6.0999999999999999E-2</v>
      </c>
      <c r="AB345">
        <v>1</v>
      </c>
      <c r="AC345">
        <v>1</v>
      </c>
      <c r="AD345">
        <v>1</v>
      </c>
      <c r="AE345">
        <v>8.3333333333333295E-4</v>
      </c>
      <c r="AF345">
        <v>8.3333333333333295E-4</v>
      </c>
      <c r="AG345">
        <v>1</v>
      </c>
      <c r="AH345">
        <v>1</v>
      </c>
      <c r="AI345">
        <v>2</v>
      </c>
      <c r="AJ345">
        <v>8.3333333333333295E-4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1.6666666666666701E-2</v>
      </c>
      <c r="AQ345">
        <v>2.7777777777777799E-4</v>
      </c>
      <c r="AR345">
        <v>2</v>
      </c>
      <c r="AS345">
        <v>0</v>
      </c>
      <c r="AT345">
        <v>0</v>
      </c>
    </row>
    <row r="346" spans="1:50">
      <c r="A346" t="s">
        <v>589</v>
      </c>
      <c r="B346">
        <v>3</v>
      </c>
      <c r="C346" t="s">
        <v>652</v>
      </c>
      <c r="D346">
        <v>1</v>
      </c>
      <c r="E346">
        <v>0</v>
      </c>
      <c r="F346">
        <v>0</v>
      </c>
      <c r="G346">
        <v>1</v>
      </c>
      <c r="H346">
        <v>0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0.1</v>
      </c>
      <c r="AB346">
        <v>1</v>
      </c>
      <c r="AC346">
        <v>1</v>
      </c>
      <c r="AD346">
        <v>1</v>
      </c>
      <c r="AE346">
        <v>8.3333333333333295E-4</v>
      </c>
      <c r="AF346">
        <v>8.3333333333333295E-4</v>
      </c>
      <c r="AG346">
        <v>1</v>
      </c>
      <c r="AH346">
        <v>1</v>
      </c>
      <c r="AI346">
        <v>3</v>
      </c>
      <c r="AJ346">
        <v>8.3333333333333295E-4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1.6666666666666701E-2</v>
      </c>
      <c r="AQ346">
        <v>2.7777777777777799E-4</v>
      </c>
      <c r="AR346">
        <v>3</v>
      </c>
      <c r="AS346">
        <v>0</v>
      </c>
      <c r="AT346">
        <v>0</v>
      </c>
    </row>
    <row r="347" spans="1:50">
      <c r="A347" t="s">
        <v>589</v>
      </c>
      <c r="B347">
        <v>4</v>
      </c>
      <c r="C347" t="s">
        <v>653</v>
      </c>
      <c r="D347">
        <v>1</v>
      </c>
      <c r="E347">
        <v>0</v>
      </c>
      <c r="F347">
        <v>0</v>
      </c>
      <c r="G347">
        <v>1</v>
      </c>
      <c r="H347">
        <v>0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0.5</v>
      </c>
      <c r="AB347">
        <v>1</v>
      </c>
      <c r="AC347">
        <v>1</v>
      </c>
      <c r="AD347">
        <v>2</v>
      </c>
      <c r="AE347">
        <v>8.3333333333333295E-4</v>
      </c>
      <c r="AF347">
        <v>8.3333333333333295E-4</v>
      </c>
      <c r="AG347">
        <v>1</v>
      </c>
      <c r="AH347">
        <v>1</v>
      </c>
      <c r="AI347">
        <v>4</v>
      </c>
      <c r="AJ347">
        <v>8.3333333333333295E-4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1.6666666666666701E-2</v>
      </c>
      <c r="AQ347">
        <v>2.7777777777777799E-4</v>
      </c>
      <c r="AR347">
        <v>4</v>
      </c>
      <c r="AS347">
        <v>0</v>
      </c>
      <c r="AT347">
        <v>0</v>
      </c>
    </row>
    <row r="348" spans="1:50">
      <c r="A348" t="s">
        <v>589</v>
      </c>
      <c r="B348">
        <v>5</v>
      </c>
      <c r="C348" t="s">
        <v>654</v>
      </c>
      <c r="D348">
        <v>1</v>
      </c>
      <c r="E348">
        <v>0</v>
      </c>
      <c r="F348">
        <v>0</v>
      </c>
      <c r="G348">
        <v>1</v>
      </c>
      <c r="H348">
        <v>0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0.9</v>
      </c>
      <c r="AB348">
        <v>1</v>
      </c>
      <c r="AC348">
        <v>1</v>
      </c>
      <c r="AD348">
        <v>3</v>
      </c>
      <c r="AE348">
        <v>8.3333333333333295E-4</v>
      </c>
      <c r="AF348">
        <v>8.3333333333333295E-4</v>
      </c>
      <c r="AG348">
        <v>1</v>
      </c>
      <c r="AH348">
        <v>1</v>
      </c>
      <c r="AI348">
        <v>5</v>
      </c>
      <c r="AJ348">
        <v>8.3333333333333295E-4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1.6666666666666701E-2</v>
      </c>
      <c r="AQ348">
        <v>2.7777777777777799E-4</v>
      </c>
      <c r="AR348">
        <v>5</v>
      </c>
      <c r="AS348">
        <v>0</v>
      </c>
      <c r="AT348">
        <v>0</v>
      </c>
    </row>
    <row r="349" spans="1:50">
      <c r="A349" t="s">
        <v>589</v>
      </c>
      <c r="B349">
        <v>6</v>
      </c>
      <c r="C349" t="s">
        <v>655</v>
      </c>
      <c r="D349">
        <v>1</v>
      </c>
      <c r="E349">
        <v>0</v>
      </c>
      <c r="F349">
        <v>0</v>
      </c>
      <c r="G349">
        <v>1</v>
      </c>
      <c r="H349">
        <v>0</v>
      </c>
      <c r="I349">
        <v>2</v>
      </c>
      <c r="J349">
        <v>3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1</v>
      </c>
      <c r="AC349">
        <v>1</v>
      </c>
      <c r="AD349">
        <v>4</v>
      </c>
      <c r="AE349">
        <v>8.3333333333333295E-4</v>
      </c>
      <c r="AF349">
        <v>8.3333333333333295E-4</v>
      </c>
      <c r="AG349">
        <v>1</v>
      </c>
      <c r="AH349">
        <v>1</v>
      </c>
      <c r="AI349">
        <v>6</v>
      </c>
      <c r="AJ349">
        <v>8.3333333333333295E-4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1.6666666666666701E-2</v>
      </c>
      <c r="AQ349">
        <v>2.7777777777777799E-4</v>
      </c>
      <c r="AR349">
        <v>6</v>
      </c>
      <c r="AS349">
        <v>0</v>
      </c>
      <c r="AT349">
        <v>0</v>
      </c>
    </row>
    <row r="350" spans="1:50">
      <c r="A350" t="s">
        <v>589</v>
      </c>
      <c r="B350">
        <v>7</v>
      </c>
      <c r="C350" t="s">
        <v>656</v>
      </c>
      <c r="D350">
        <v>1</v>
      </c>
      <c r="E350">
        <v>0</v>
      </c>
      <c r="F350">
        <v>0</v>
      </c>
      <c r="G350">
        <v>1</v>
      </c>
      <c r="H350">
        <v>0</v>
      </c>
      <c r="I350">
        <v>2</v>
      </c>
      <c r="J350">
        <v>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1</v>
      </c>
      <c r="AC350">
        <v>1</v>
      </c>
      <c r="AD350">
        <v>5</v>
      </c>
      <c r="AE350">
        <v>8.3333333333333295E-4</v>
      </c>
      <c r="AF350">
        <v>8.3333333333333295E-4</v>
      </c>
      <c r="AG350">
        <v>1</v>
      </c>
      <c r="AH350">
        <v>1</v>
      </c>
      <c r="AI350">
        <v>7</v>
      </c>
      <c r="AJ350">
        <v>8.3333333333333295E-4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1.6666666666666701E-2</v>
      </c>
      <c r="AQ350">
        <v>2.7777777777777799E-4</v>
      </c>
      <c r="AR350">
        <v>7</v>
      </c>
      <c r="AS350">
        <v>0</v>
      </c>
      <c r="AT350">
        <v>0</v>
      </c>
    </row>
    <row r="351" spans="1:50">
      <c r="A351" t="s">
        <v>589</v>
      </c>
      <c r="B351">
        <v>8</v>
      </c>
      <c r="C351" t="s">
        <v>657</v>
      </c>
      <c r="D351">
        <v>1</v>
      </c>
      <c r="E351">
        <v>0</v>
      </c>
      <c r="F351">
        <v>0</v>
      </c>
      <c r="G351">
        <v>1</v>
      </c>
      <c r="H351">
        <v>0</v>
      </c>
      <c r="I351">
        <v>2</v>
      </c>
      <c r="J351">
        <v>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1</v>
      </c>
      <c r="AC351">
        <v>1</v>
      </c>
      <c r="AD351">
        <v>6</v>
      </c>
      <c r="AE351">
        <v>8.3333333333333295E-4</v>
      </c>
      <c r="AF351">
        <v>8.3333333333333295E-4</v>
      </c>
      <c r="AG351">
        <v>1</v>
      </c>
      <c r="AH351">
        <v>1</v>
      </c>
      <c r="AI351">
        <v>8</v>
      </c>
      <c r="AJ351">
        <v>8.3333333333333295E-4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1.6666666666666701E-2</v>
      </c>
      <c r="AQ351">
        <v>2.7777777777777799E-4</v>
      </c>
      <c r="AR351">
        <v>8</v>
      </c>
      <c r="AS351">
        <v>0</v>
      </c>
      <c r="AT351">
        <v>0</v>
      </c>
    </row>
    <row r="352" spans="1:50">
      <c r="A352" t="s">
        <v>589</v>
      </c>
      <c r="B352">
        <v>9</v>
      </c>
      <c r="C352" t="s">
        <v>658</v>
      </c>
      <c r="D352">
        <v>1</v>
      </c>
      <c r="E352">
        <v>0</v>
      </c>
      <c r="F352">
        <v>0</v>
      </c>
      <c r="G352">
        <v>1</v>
      </c>
      <c r="H352">
        <v>0</v>
      </c>
      <c r="I352">
        <v>2</v>
      </c>
      <c r="J352">
        <v>3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1</v>
      </c>
      <c r="AC352">
        <v>1</v>
      </c>
      <c r="AD352">
        <v>7</v>
      </c>
      <c r="AE352">
        <v>8.3333333333333295E-4</v>
      </c>
      <c r="AF352">
        <v>8.3333333333333295E-4</v>
      </c>
      <c r="AG352">
        <v>1</v>
      </c>
      <c r="AH352">
        <v>1</v>
      </c>
      <c r="AI352">
        <v>9</v>
      </c>
      <c r="AJ352">
        <v>8.3333333333333295E-4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1.6666666666666701E-2</v>
      </c>
      <c r="AQ352">
        <v>2.7777777777777799E-4</v>
      </c>
      <c r="AR352">
        <v>9</v>
      </c>
      <c r="AS352">
        <v>0</v>
      </c>
      <c r="AT352">
        <v>0</v>
      </c>
    </row>
    <row r="353" spans="1:46">
      <c r="A353" t="s">
        <v>589</v>
      </c>
      <c r="B353">
        <v>10</v>
      </c>
      <c r="C353" t="s">
        <v>659</v>
      </c>
      <c r="D353">
        <v>1</v>
      </c>
      <c r="E353">
        <v>0</v>
      </c>
      <c r="F353">
        <v>0</v>
      </c>
      <c r="G353">
        <v>1</v>
      </c>
      <c r="H353">
        <v>0</v>
      </c>
      <c r="I353">
        <v>2</v>
      </c>
      <c r="J353">
        <v>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1</v>
      </c>
      <c r="AC353">
        <v>1</v>
      </c>
      <c r="AD353">
        <v>8</v>
      </c>
      <c r="AE353">
        <v>8.3333333333333295E-4</v>
      </c>
      <c r="AF353">
        <v>8.3333333333333295E-4</v>
      </c>
      <c r="AG353">
        <v>1</v>
      </c>
      <c r="AH353">
        <v>1</v>
      </c>
      <c r="AI353">
        <v>10</v>
      </c>
      <c r="AJ353">
        <v>8.3333333333333295E-4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1.6666666666666701E-2</v>
      </c>
      <c r="AQ353">
        <v>2.7777777777777799E-4</v>
      </c>
      <c r="AR353">
        <v>10</v>
      </c>
      <c r="AS353">
        <v>0</v>
      </c>
      <c r="AT353">
        <v>0</v>
      </c>
    </row>
    <row r="354" spans="1:46">
      <c r="A354" t="s">
        <v>589</v>
      </c>
      <c r="B354">
        <v>11</v>
      </c>
      <c r="C354" t="s">
        <v>660</v>
      </c>
      <c r="D354">
        <v>1</v>
      </c>
      <c r="E354">
        <v>0</v>
      </c>
      <c r="F354">
        <v>0</v>
      </c>
      <c r="G354">
        <v>1</v>
      </c>
      <c r="H354">
        <v>0</v>
      </c>
      <c r="I354">
        <v>2</v>
      </c>
      <c r="J354">
        <v>3</v>
      </c>
      <c r="K354">
        <v>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1</v>
      </c>
      <c r="AC354">
        <v>1</v>
      </c>
      <c r="AD354">
        <v>9</v>
      </c>
      <c r="AE354">
        <v>8.3333333333333295E-4</v>
      </c>
      <c r="AF354">
        <v>8.3333333333333295E-4</v>
      </c>
      <c r="AG354">
        <v>1</v>
      </c>
      <c r="AH354">
        <v>1</v>
      </c>
      <c r="AI354">
        <v>11</v>
      </c>
      <c r="AJ354">
        <v>8.3333333333333295E-4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1.6666666666666701E-2</v>
      </c>
      <c r="AQ354">
        <v>2.7777777777777799E-4</v>
      </c>
      <c r="AR354">
        <v>11</v>
      </c>
      <c r="AS354">
        <v>0</v>
      </c>
      <c r="AT354">
        <v>0</v>
      </c>
    </row>
    <row r="355" spans="1:46">
      <c r="A355" t="s">
        <v>589</v>
      </c>
      <c r="B355">
        <v>12</v>
      </c>
      <c r="C355" t="s">
        <v>661</v>
      </c>
      <c r="D355">
        <v>1</v>
      </c>
      <c r="E355">
        <v>0</v>
      </c>
      <c r="F355">
        <v>0</v>
      </c>
      <c r="G355">
        <v>1</v>
      </c>
      <c r="H355">
        <v>0</v>
      </c>
      <c r="I355">
        <v>2</v>
      </c>
      <c r="J355">
        <v>3</v>
      </c>
      <c r="K355">
        <v>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1</v>
      </c>
      <c r="AC355">
        <v>1</v>
      </c>
      <c r="AD355">
        <v>10</v>
      </c>
      <c r="AE355">
        <v>8.3333333333333295E-4</v>
      </c>
      <c r="AF355">
        <v>8.3333333333333295E-4</v>
      </c>
      <c r="AG355">
        <v>1</v>
      </c>
      <c r="AH355">
        <v>1</v>
      </c>
      <c r="AI355">
        <v>12</v>
      </c>
      <c r="AJ355">
        <v>8.3333333333333295E-4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1.6666666666666701E-2</v>
      </c>
      <c r="AQ355">
        <v>2.7777777777777799E-4</v>
      </c>
      <c r="AR355">
        <v>12</v>
      </c>
      <c r="AS355">
        <v>0</v>
      </c>
      <c r="AT355">
        <v>0</v>
      </c>
    </row>
    <row r="356" spans="1:46">
      <c r="A356" t="s">
        <v>589</v>
      </c>
      <c r="B356">
        <v>13</v>
      </c>
      <c r="C356" t="s">
        <v>662</v>
      </c>
      <c r="D356">
        <v>1</v>
      </c>
      <c r="E356">
        <v>0</v>
      </c>
      <c r="F356">
        <v>0</v>
      </c>
      <c r="G356">
        <v>1</v>
      </c>
      <c r="H356">
        <v>0</v>
      </c>
      <c r="I356">
        <v>2</v>
      </c>
      <c r="J356">
        <v>3</v>
      </c>
      <c r="K356">
        <v>2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1</v>
      </c>
      <c r="AC356">
        <v>1</v>
      </c>
      <c r="AD356">
        <v>11</v>
      </c>
      <c r="AE356">
        <v>8.3333333333333295E-4</v>
      </c>
      <c r="AF356">
        <v>8.3333333333333295E-4</v>
      </c>
      <c r="AG356">
        <v>1</v>
      </c>
      <c r="AH356">
        <v>1</v>
      </c>
      <c r="AI356">
        <v>13</v>
      </c>
      <c r="AJ356">
        <v>8.3333333333333295E-4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1.6666666666666701E-2</v>
      </c>
      <c r="AQ356">
        <v>2.7777777777777799E-4</v>
      </c>
      <c r="AR356">
        <v>13</v>
      </c>
      <c r="AS356">
        <v>0</v>
      </c>
      <c r="AT356">
        <v>0</v>
      </c>
    </row>
    <row r="357" spans="1:46">
      <c r="A357" t="s">
        <v>589</v>
      </c>
      <c r="B357">
        <v>14</v>
      </c>
      <c r="C357" t="s">
        <v>663</v>
      </c>
      <c r="D357">
        <v>1</v>
      </c>
      <c r="E357">
        <v>0</v>
      </c>
      <c r="F357">
        <v>0</v>
      </c>
      <c r="G357">
        <v>1</v>
      </c>
      <c r="H357">
        <v>0</v>
      </c>
      <c r="I357">
        <v>2</v>
      </c>
      <c r="J357">
        <v>3</v>
      </c>
      <c r="K357">
        <v>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1</v>
      </c>
      <c r="AC357">
        <v>1</v>
      </c>
      <c r="AD357">
        <v>12</v>
      </c>
      <c r="AE357">
        <v>8.3333333333333295E-4</v>
      </c>
      <c r="AF357">
        <v>8.3333333333333295E-4</v>
      </c>
      <c r="AG357">
        <v>1</v>
      </c>
      <c r="AH357">
        <v>1</v>
      </c>
      <c r="AI357">
        <v>14</v>
      </c>
      <c r="AJ357">
        <v>8.3333333333333295E-4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1.6666666666666701E-2</v>
      </c>
      <c r="AQ357">
        <v>2.7777777777777799E-4</v>
      </c>
      <c r="AR357">
        <v>14</v>
      </c>
      <c r="AS357">
        <v>0</v>
      </c>
      <c r="AT357">
        <v>0</v>
      </c>
    </row>
    <row r="358" spans="1:46">
      <c r="A358" t="s">
        <v>589</v>
      </c>
      <c r="B358">
        <v>15</v>
      </c>
      <c r="C358" t="s">
        <v>664</v>
      </c>
      <c r="D358">
        <v>1</v>
      </c>
      <c r="E358">
        <v>0</v>
      </c>
      <c r="F358">
        <v>0</v>
      </c>
      <c r="G358">
        <v>1</v>
      </c>
      <c r="H358">
        <v>0</v>
      </c>
      <c r="I358">
        <v>2</v>
      </c>
      <c r="J358">
        <v>3</v>
      </c>
      <c r="K358">
        <v>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1</v>
      </c>
      <c r="AC358">
        <v>1</v>
      </c>
      <c r="AD358">
        <v>13</v>
      </c>
      <c r="AE358">
        <v>8.3333333333333295E-4</v>
      </c>
      <c r="AF358">
        <v>8.3333333333333295E-4</v>
      </c>
      <c r="AG358">
        <v>1</v>
      </c>
      <c r="AH358">
        <v>1</v>
      </c>
      <c r="AI358">
        <v>15</v>
      </c>
      <c r="AJ358">
        <v>8.3333333333333295E-4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1.6666666666666701E-2</v>
      </c>
      <c r="AQ358">
        <v>2.7777777777777799E-4</v>
      </c>
      <c r="AR358">
        <v>15</v>
      </c>
      <c r="AS358">
        <v>0</v>
      </c>
      <c r="AT358">
        <v>0</v>
      </c>
    </row>
    <row r="359" spans="1:46">
      <c r="A359" t="s">
        <v>589</v>
      </c>
      <c r="B359">
        <v>16</v>
      </c>
      <c r="C359" t="s">
        <v>665</v>
      </c>
      <c r="D359">
        <v>1</v>
      </c>
      <c r="E359">
        <v>0</v>
      </c>
      <c r="F359">
        <v>0</v>
      </c>
      <c r="G359">
        <v>1</v>
      </c>
      <c r="H359">
        <v>0</v>
      </c>
      <c r="I359">
        <v>2</v>
      </c>
      <c r="J359">
        <v>3</v>
      </c>
      <c r="K359">
        <v>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1</v>
      </c>
      <c r="AC359">
        <v>1</v>
      </c>
      <c r="AD359">
        <v>14</v>
      </c>
      <c r="AE359">
        <v>8.3333333333333295E-4</v>
      </c>
      <c r="AF359">
        <v>8.3333333333333295E-4</v>
      </c>
      <c r="AG359">
        <v>1</v>
      </c>
      <c r="AH359">
        <v>1</v>
      </c>
      <c r="AI359">
        <v>16</v>
      </c>
      <c r="AJ359">
        <v>8.3333333333333295E-4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1.6666666666666701E-2</v>
      </c>
      <c r="AQ359">
        <v>2.7777777777777799E-4</v>
      </c>
      <c r="AR359">
        <v>16</v>
      </c>
      <c r="AS359">
        <v>0</v>
      </c>
      <c r="AT359">
        <v>0</v>
      </c>
    </row>
    <row r="360" spans="1:46">
      <c r="A360" t="s">
        <v>589</v>
      </c>
      <c r="B360">
        <v>17</v>
      </c>
      <c r="C360" t="s">
        <v>666</v>
      </c>
      <c r="D360">
        <v>1</v>
      </c>
      <c r="E360">
        <v>0</v>
      </c>
      <c r="F360">
        <v>0</v>
      </c>
      <c r="G360">
        <v>1</v>
      </c>
      <c r="H360">
        <v>0</v>
      </c>
      <c r="I360">
        <v>2</v>
      </c>
      <c r="J360">
        <v>3</v>
      </c>
      <c r="K360">
        <v>2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1</v>
      </c>
      <c r="AC360">
        <v>1</v>
      </c>
      <c r="AD360">
        <v>15</v>
      </c>
      <c r="AE360">
        <v>8.3333333333333295E-4</v>
      </c>
      <c r="AF360">
        <v>8.3333333333333295E-4</v>
      </c>
      <c r="AG360">
        <v>1</v>
      </c>
      <c r="AH360">
        <v>1</v>
      </c>
      <c r="AI360">
        <v>17</v>
      </c>
      <c r="AJ360">
        <v>8.3333333333333295E-4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1.6666666666666701E-2</v>
      </c>
      <c r="AQ360">
        <v>2.7777777777777799E-4</v>
      </c>
      <c r="AR360">
        <v>17</v>
      </c>
      <c r="AS360">
        <v>0</v>
      </c>
      <c r="AT360">
        <v>0</v>
      </c>
    </row>
    <row r="361" spans="1:46">
      <c r="A361" t="s">
        <v>589</v>
      </c>
      <c r="B361">
        <v>18</v>
      </c>
      <c r="C361" t="s">
        <v>667</v>
      </c>
      <c r="D361">
        <v>1</v>
      </c>
      <c r="E361">
        <v>0</v>
      </c>
      <c r="F361">
        <v>0</v>
      </c>
      <c r="G361">
        <v>1</v>
      </c>
      <c r="H361">
        <v>0</v>
      </c>
      <c r="I361">
        <v>2</v>
      </c>
      <c r="J361">
        <v>3</v>
      </c>
      <c r="K361">
        <v>2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1</v>
      </c>
      <c r="AC361">
        <v>1</v>
      </c>
      <c r="AD361">
        <v>16</v>
      </c>
      <c r="AE361">
        <v>8.3333333333333295E-4</v>
      </c>
      <c r="AF361">
        <v>8.3333333333333295E-4</v>
      </c>
      <c r="AG361">
        <v>1</v>
      </c>
      <c r="AH361">
        <v>1</v>
      </c>
      <c r="AI361">
        <v>18</v>
      </c>
      <c r="AJ361">
        <v>8.3333333333333295E-4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1.6666666666666701E-2</v>
      </c>
      <c r="AQ361">
        <v>2.7777777777777799E-4</v>
      </c>
      <c r="AR361">
        <v>18</v>
      </c>
      <c r="AS361">
        <v>0</v>
      </c>
      <c r="AT361">
        <v>0</v>
      </c>
    </row>
    <row r="362" spans="1:46">
      <c r="A362" t="s">
        <v>589</v>
      </c>
      <c r="B362">
        <v>19</v>
      </c>
      <c r="C362" t="s">
        <v>668</v>
      </c>
      <c r="D362">
        <v>1</v>
      </c>
      <c r="E362">
        <v>0</v>
      </c>
      <c r="F362">
        <v>0</v>
      </c>
      <c r="G362">
        <v>1</v>
      </c>
      <c r="H362">
        <v>0</v>
      </c>
      <c r="I362">
        <v>2</v>
      </c>
      <c r="J362">
        <v>3</v>
      </c>
      <c r="K362">
        <v>2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1</v>
      </c>
      <c r="AC362">
        <v>1</v>
      </c>
      <c r="AD362">
        <v>17</v>
      </c>
      <c r="AE362">
        <v>8.3333333333333295E-4</v>
      </c>
      <c r="AF362">
        <v>8.3333333333333295E-4</v>
      </c>
      <c r="AG362">
        <v>1</v>
      </c>
      <c r="AH362">
        <v>1</v>
      </c>
      <c r="AI362">
        <v>19</v>
      </c>
      <c r="AJ362">
        <v>8.3333333333333295E-4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1.6666666666666701E-2</v>
      </c>
      <c r="AQ362">
        <v>2.7777777777777799E-4</v>
      </c>
      <c r="AR362">
        <v>19</v>
      </c>
      <c r="AS362">
        <v>0</v>
      </c>
      <c r="AT362">
        <v>0</v>
      </c>
    </row>
    <row r="363" spans="1:46">
      <c r="A363" t="s">
        <v>589</v>
      </c>
      <c r="B363">
        <v>20</v>
      </c>
      <c r="C363" t="s">
        <v>669</v>
      </c>
      <c r="D363">
        <v>1</v>
      </c>
      <c r="E363">
        <v>0</v>
      </c>
      <c r="F363">
        <v>0</v>
      </c>
      <c r="G363">
        <v>1</v>
      </c>
      <c r="H363">
        <v>0</v>
      </c>
      <c r="I363">
        <v>2</v>
      </c>
      <c r="J363">
        <v>3</v>
      </c>
      <c r="K363">
        <v>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1</v>
      </c>
      <c r="AC363">
        <v>1</v>
      </c>
      <c r="AD363">
        <v>18</v>
      </c>
      <c r="AE363">
        <v>8.3333333333333295E-4</v>
      </c>
      <c r="AF363">
        <v>8.3333333333333295E-4</v>
      </c>
      <c r="AG363">
        <v>1</v>
      </c>
      <c r="AH363">
        <v>1</v>
      </c>
      <c r="AI363">
        <v>20</v>
      </c>
      <c r="AJ363">
        <v>8.3333333333333295E-4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1.6666666666666701E-2</v>
      </c>
      <c r="AQ363">
        <v>2.7777777777777799E-4</v>
      </c>
      <c r="AR363">
        <v>20</v>
      </c>
      <c r="AS363">
        <v>0</v>
      </c>
      <c r="AT363">
        <v>0</v>
      </c>
    </row>
    <row r="364" spans="1:46">
      <c r="A364" t="s">
        <v>565</v>
      </c>
      <c r="B364">
        <v>1</v>
      </c>
      <c r="C364" t="s">
        <v>566</v>
      </c>
      <c r="D364">
        <v>1</v>
      </c>
      <c r="E364">
        <v>0</v>
      </c>
      <c r="F364">
        <v>0</v>
      </c>
      <c r="G364">
        <v>1</v>
      </c>
      <c r="H364">
        <v>0</v>
      </c>
      <c r="I364">
        <v>2</v>
      </c>
      <c r="J364">
        <v>0</v>
      </c>
      <c r="K364">
        <v>0</v>
      </c>
      <c r="L364">
        <v>0</v>
      </c>
      <c r="M364">
        <v>600</v>
      </c>
      <c r="N364">
        <v>0</v>
      </c>
      <c r="O364">
        <v>0</v>
      </c>
      <c r="P364">
        <v>150</v>
      </c>
      <c r="Q364">
        <v>0</v>
      </c>
      <c r="R364">
        <v>600</v>
      </c>
      <c r="S364">
        <v>0</v>
      </c>
      <c r="T364">
        <v>0</v>
      </c>
      <c r="U364">
        <v>600</v>
      </c>
      <c r="V364">
        <v>600</v>
      </c>
      <c r="W364">
        <v>600</v>
      </c>
      <c r="X364">
        <v>0.06</v>
      </c>
      <c r="Y364">
        <v>0.06</v>
      </c>
      <c r="Z364">
        <v>48</v>
      </c>
      <c r="AA364">
        <v>1E-3</v>
      </c>
      <c r="AB364">
        <v>1</v>
      </c>
      <c r="AC364">
        <v>1</v>
      </c>
      <c r="AD364">
        <v>1</v>
      </c>
      <c r="AE364">
        <v>8.3333333333333295E-4</v>
      </c>
      <c r="AF364">
        <v>8.3333333333333295E-4</v>
      </c>
      <c r="AG364">
        <v>1</v>
      </c>
      <c r="AH364">
        <v>1</v>
      </c>
      <c r="AI364">
        <v>1</v>
      </c>
      <c r="AJ364">
        <v>6.0833333333333302E-2</v>
      </c>
      <c r="AK364">
        <v>120</v>
      </c>
      <c r="AL364">
        <v>120</v>
      </c>
      <c r="AM364">
        <v>120</v>
      </c>
      <c r="AN364">
        <v>120</v>
      </c>
      <c r="AO364">
        <v>1972.60273972603</v>
      </c>
      <c r="AP364">
        <v>1.6666666666666701E-2</v>
      </c>
      <c r="AQ364">
        <v>2.7777777777777799E-4</v>
      </c>
      <c r="AR364">
        <v>1</v>
      </c>
      <c r="AS364">
        <v>600</v>
      </c>
      <c r="AT364">
        <v>600</v>
      </c>
    </row>
    <row r="365" spans="1:46">
      <c r="A365" t="s">
        <v>565</v>
      </c>
      <c r="B365">
        <v>2</v>
      </c>
      <c r="C365" t="s">
        <v>570</v>
      </c>
      <c r="D365">
        <v>1</v>
      </c>
      <c r="E365">
        <v>0</v>
      </c>
      <c r="F365">
        <v>0</v>
      </c>
      <c r="G365">
        <v>1</v>
      </c>
      <c r="H365">
        <v>0</v>
      </c>
      <c r="I365">
        <v>2</v>
      </c>
      <c r="J365">
        <v>0</v>
      </c>
      <c r="K365">
        <v>0</v>
      </c>
      <c r="L365">
        <v>0</v>
      </c>
      <c r="M365">
        <v>1200</v>
      </c>
      <c r="N365">
        <v>0</v>
      </c>
      <c r="O365">
        <v>0</v>
      </c>
      <c r="P365">
        <v>150</v>
      </c>
      <c r="Q365">
        <v>0</v>
      </c>
      <c r="R365">
        <v>1200</v>
      </c>
      <c r="S365">
        <v>0</v>
      </c>
      <c r="T365">
        <v>0</v>
      </c>
      <c r="U365">
        <v>1200</v>
      </c>
      <c r="V365">
        <v>1200</v>
      </c>
      <c r="W365">
        <v>1200</v>
      </c>
      <c r="X365">
        <v>0.12</v>
      </c>
      <c r="Y365">
        <v>0.12</v>
      </c>
      <c r="Z365">
        <v>96</v>
      </c>
      <c r="AA365">
        <v>6.0999999999999999E-2</v>
      </c>
      <c r="AB365">
        <v>6</v>
      </c>
      <c r="AC365">
        <v>6</v>
      </c>
      <c r="AD365">
        <v>6</v>
      </c>
      <c r="AE365">
        <v>5.0000000000000001E-3</v>
      </c>
      <c r="AF365">
        <v>5.0000000000000001E-3</v>
      </c>
      <c r="AG365">
        <v>6</v>
      </c>
      <c r="AH365">
        <v>6</v>
      </c>
      <c r="AI365">
        <v>7</v>
      </c>
      <c r="AJ365">
        <v>0.125</v>
      </c>
      <c r="AK365">
        <v>144</v>
      </c>
      <c r="AL365">
        <v>144</v>
      </c>
      <c r="AM365">
        <v>260</v>
      </c>
      <c r="AN365">
        <v>260</v>
      </c>
      <c r="AO365">
        <v>1152</v>
      </c>
      <c r="AP365">
        <v>0.1</v>
      </c>
      <c r="AQ365">
        <v>1.66666666666667E-3</v>
      </c>
      <c r="AR365">
        <v>7</v>
      </c>
      <c r="AS365">
        <v>1800</v>
      </c>
      <c r="AT365">
        <v>1200</v>
      </c>
    </row>
    <row r="366" spans="1:46">
      <c r="A366" t="s">
        <v>565</v>
      </c>
      <c r="B366">
        <v>3</v>
      </c>
      <c r="C366" t="s">
        <v>571</v>
      </c>
      <c r="D366">
        <v>1</v>
      </c>
      <c r="E366">
        <v>0</v>
      </c>
      <c r="F366">
        <v>0</v>
      </c>
      <c r="G366">
        <v>1</v>
      </c>
      <c r="H366">
        <v>0</v>
      </c>
      <c r="I366">
        <v>2</v>
      </c>
      <c r="J366">
        <v>0</v>
      </c>
      <c r="K366">
        <v>0</v>
      </c>
      <c r="L366">
        <v>0</v>
      </c>
      <c r="M366">
        <v>2400</v>
      </c>
      <c r="N366">
        <v>0</v>
      </c>
      <c r="O366">
        <v>0</v>
      </c>
      <c r="P366">
        <v>300</v>
      </c>
      <c r="Q366">
        <v>0</v>
      </c>
      <c r="R366">
        <v>2400</v>
      </c>
      <c r="S366">
        <v>0</v>
      </c>
      <c r="T366">
        <v>0</v>
      </c>
      <c r="U366">
        <v>2400</v>
      </c>
      <c r="V366">
        <v>2400</v>
      </c>
      <c r="W366">
        <v>2400</v>
      </c>
      <c r="X366">
        <v>0.24</v>
      </c>
      <c r="Y366">
        <v>0.24</v>
      </c>
      <c r="Z366">
        <v>192</v>
      </c>
      <c r="AA366">
        <v>0.1</v>
      </c>
      <c r="AB366">
        <v>19</v>
      </c>
      <c r="AC366">
        <v>19</v>
      </c>
      <c r="AD366">
        <v>19</v>
      </c>
      <c r="AE366">
        <v>1.58333333333333E-2</v>
      </c>
      <c r="AF366">
        <v>1.58333333333333E-2</v>
      </c>
      <c r="AG366">
        <v>19</v>
      </c>
      <c r="AH366">
        <v>19</v>
      </c>
      <c r="AI366">
        <v>26</v>
      </c>
      <c r="AJ366">
        <v>0.25583333333333302</v>
      </c>
      <c r="AK366">
        <v>172</v>
      </c>
      <c r="AL366">
        <v>172</v>
      </c>
      <c r="AM366">
        <v>430</v>
      </c>
      <c r="AN366">
        <v>430</v>
      </c>
      <c r="AO366">
        <v>672.31270358306199</v>
      </c>
      <c r="AP366">
        <v>0.31666666666666698</v>
      </c>
      <c r="AQ366">
        <v>5.2777777777777797E-3</v>
      </c>
      <c r="AR366">
        <v>26</v>
      </c>
      <c r="AS366">
        <v>4200</v>
      </c>
      <c r="AT366">
        <v>2400</v>
      </c>
    </row>
    <row r="367" spans="1:46">
      <c r="A367" t="s">
        <v>565</v>
      </c>
      <c r="B367">
        <v>4</v>
      </c>
      <c r="C367" t="s">
        <v>572</v>
      </c>
      <c r="D367">
        <v>1</v>
      </c>
      <c r="E367">
        <v>0</v>
      </c>
      <c r="F367">
        <v>0</v>
      </c>
      <c r="G367">
        <v>1</v>
      </c>
      <c r="H367">
        <v>0</v>
      </c>
      <c r="I367">
        <v>2</v>
      </c>
      <c r="J367">
        <v>0</v>
      </c>
      <c r="K367">
        <v>0</v>
      </c>
      <c r="L367">
        <v>0</v>
      </c>
      <c r="M367">
        <v>4800</v>
      </c>
      <c r="N367">
        <v>0</v>
      </c>
      <c r="O367">
        <v>0</v>
      </c>
      <c r="P367">
        <v>600</v>
      </c>
      <c r="Q367">
        <v>0</v>
      </c>
      <c r="R367">
        <v>4800</v>
      </c>
      <c r="S367">
        <v>0</v>
      </c>
      <c r="T367">
        <v>0</v>
      </c>
      <c r="U367">
        <v>4800</v>
      </c>
      <c r="V367">
        <v>4800</v>
      </c>
      <c r="W367">
        <v>7200</v>
      </c>
      <c r="X367">
        <v>0.48</v>
      </c>
      <c r="Y367">
        <v>0.48</v>
      </c>
      <c r="Z367">
        <v>384</v>
      </c>
      <c r="AA367">
        <v>0.5</v>
      </c>
      <c r="AB367">
        <v>192</v>
      </c>
      <c r="AC367">
        <v>192</v>
      </c>
      <c r="AD367">
        <v>211</v>
      </c>
      <c r="AE367">
        <v>0.16</v>
      </c>
      <c r="AF367">
        <v>0.16</v>
      </c>
      <c r="AG367">
        <v>192</v>
      </c>
      <c r="AH367">
        <v>192</v>
      </c>
      <c r="AI367">
        <v>218</v>
      </c>
      <c r="AJ367">
        <v>0.64</v>
      </c>
      <c r="AK367">
        <v>208</v>
      </c>
      <c r="AL367">
        <v>208</v>
      </c>
      <c r="AM367">
        <v>640</v>
      </c>
      <c r="AN367">
        <v>640</v>
      </c>
      <c r="AO367">
        <v>325</v>
      </c>
      <c r="AP367">
        <v>3.2</v>
      </c>
      <c r="AQ367">
        <v>5.3333333333333302E-2</v>
      </c>
      <c r="AR367">
        <v>218</v>
      </c>
      <c r="AS367">
        <v>9000</v>
      </c>
      <c r="AT367">
        <v>4800</v>
      </c>
    </row>
    <row r="368" spans="1:46">
      <c r="A368" t="s">
        <v>565</v>
      </c>
      <c r="B368">
        <v>5</v>
      </c>
      <c r="C368" t="s">
        <v>573</v>
      </c>
      <c r="D368">
        <v>1</v>
      </c>
      <c r="E368">
        <v>0</v>
      </c>
      <c r="F368">
        <v>0</v>
      </c>
      <c r="G368">
        <v>1</v>
      </c>
      <c r="H368">
        <v>0</v>
      </c>
      <c r="I368">
        <v>2</v>
      </c>
      <c r="J368">
        <v>0</v>
      </c>
      <c r="K368">
        <v>0</v>
      </c>
      <c r="L368">
        <v>0</v>
      </c>
      <c r="M368">
        <v>9600</v>
      </c>
      <c r="N368">
        <v>0</v>
      </c>
      <c r="O368">
        <v>0</v>
      </c>
      <c r="P368">
        <v>1200</v>
      </c>
      <c r="Q368">
        <v>0</v>
      </c>
      <c r="R368">
        <v>9600</v>
      </c>
      <c r="S368">
        <v>0</v>
      </c>
      <c r="T368">
        <v>0</v>
      </c>
      <c r="U368">
        <v>9600</v>
      </c>
      <c r="V368">
        <v>9600</v>
      </c>
      <c r="W368">
        <v>16800</v>
      </c>
      <c r="X368">
        <v>0.96</v>
      </c>
      <c r="Y368">
        <v>0.96</v>
      </c>
      <c r="Z368">
        <v>768</v>
      </c>
      <c r="AA368">
        <v>0.9</v>
      </c>
      <c r="AB368">
        <v>691</v>
      </c>
      <c r="AC368">
        <v>691</v>
      </c>
      <c r="AD368">
        <v>902</v>
      </c>
      <c r="AE368">
        <v>0.57583333333333298</v>
      </c>
      <c r="AF368">
        <v>0.57583333333333298</v>
      </c>
      <c r="AG368">
        <v>691</v>
      </c>
      <c r="AH368">
        <v>691</v>
      </c>
      <c r="AI368">
        <v>909</v>
      </c>
      <c r="AJ368">
        <v>1.5358333333333301</v>
      </c>
      <c r="AK368">
        <v>248</v>
      </c>
      <c r="AL368">
        <v>248</v>
      </c>
      <c r="AM368">
        <v>890</v>
      </c>
      <c r="AN368">
        <v>890</v>
      </c>
      <c r="AO368">
        <v>161.47585458491599</v>
      </c>
      <c r="AP368">
        <v>11.516666666666699</v>
      </c>
      <c r="AQ368">
        <v>0.191944444444444</v>
      </c>
      <c r="AR368">
        <v>909</v>
      </c>
      <c r="AS368">
        <v>18600</v>
      </c>
      <c r="AT368">
        <v>9600</v>
      </c>
    </row>
    <row r="369" spans="1:46">
      <c r="A369" t="s">
        <v>565</v>
      </c>
      <c r="B369">
        <v>6</v>
      </c>
      <c r="C369" t="s">
        <v>574</v>
      </c>
      <c r="D369">
        <v>1</v>
      </c>
      <c r="E369">
        <v>0</v>
      </c>
      <c r="F369">
        <v>0</v>
      </c>
      <c r="G369">
        <v>1</v>
      </c>
      <c r="H369">
        <v>0</v>
      </c>
      <c r="I369">
        <v>2</v>
      </c>
      <c r="J369">
        <v>2</v>
      </c>
      <c r="K369">
        <v>0</v>
      </c>
      <c r="L369">
        <v>0</v>
      </c>
      <c r="M369">
        <v>9600</v>
      </c>
      <c r="N369">
        <v>9600</v>
      </c>
      <c r="O369">
        <v>0</v>
      </c>
      <c r="P369">
        <v>2400</v>
      </c>
      <c r="Q369">
        <v>0</v>
      </c>
      <c r="R369">
        <v>9600</v>
      </c>
      <c r="S369">
        <v>9600</v>
      </c>
      <c r="T369">
        <v>0</v>
      </c>
      <c r="U369">
        <v>19200</v>
      </c>
      <c r="V369">
        <v>19200</v>
      </c>
      <c r="W369">
        <v>36000</v>
      </c>
      <c r="X369">
        <v>1.92</v>
      </c>
      <c r="Y369">
        <v>1.92</v>
      </c>
      <c r="Z369">
        <v>1536</v>
      </c>
      <c r="AA369">
        <v>1</v>
      </c>
      <c r="AB369">
        <v>1536</v>
      </c>
      <c r="AC369">
        <v>1536</v>
      </c>
      <c r="AD369">
        <v>2438</v>
      </c>
      <c r="AE369">
        <v>1.28</v>
      </c>
      <c r="AF369">
        <v>1.28</v>
      </c>
      <c r="AG369">
        <v>1536</v>
      </c>
      <c r="AH369">
        <v>1536</v>
      </c>
      <c r="AI369">
        <v>2445</v>
      </c>
      <c r="AJ369">
        <v>3.2</v>
      </c>
      <c r="AK369">
        <v>296</v>
      </c>
      <c r="AL369">
        <v>296</v>
      </c>
      <c r="AM369">
        <v>1190</v>
      </c>
      <c r="AN369">
        <v>1190</v>
      </c>
      <c r="AO369">
        <v>92.5</v>
      </c>
      <c r="AP369">
        <v>25.6</v>
      </c>
      <c r="AQ369">
        <v>0.42666666666666703</v>
      </c>
      <c r="AR369">
        <v>2445</v>
      </c>
      <c r="AS369">
        <v>37800</v>
      </c>
      <c r="AT369">
        <v>9600</v>
      </c>
    </row>
    <row r="370" spans="1:46">
      <c r="A370" t="s">
        <v>565</v>
      </c>
      <c r="B370">
        <v>7</v>
      </c>
      <c r="C370" t="s">
        <v>575</v>
      </c>
      <c r="D370">
        <v>1</v>
      </c>
      <c r="E370">
        <v>0</v>
      </c>
      <c r="F370">
        <v>0</v>
      </c>
      <c r="G370">
        <v>1</v>
      </c>
      <c r="H370">
        <v>0</v>
      </c>
      <c r="I370">
        <v>2</v>
      </c>
      <c r="J370">
        <v>2</v>
      </c>
      <c r="K370">
        <v>0</v>
      </c>
      <c r="L370">
        <v>0</v>
      </c>
      <c r="M370">
        <v>19000</v>
      </c>
      <c r="N370">
        <v>19000</v>
      </c>
      <c r="O370">
        <v>0</v>
      </c>
      <c r="P370">
        <v>4700</v>
      </c>
      <c r="Q370">
        <v>0</v>
      </c>
      <c r="R370">
        <v>19000</v>
      </c>
      <c r="S370">
        <v>19000</v>
      </c>
      <c r="T370">
        <v>0</v>
      </c>
      <c r="U370">
        <v>38000</v>
      </c>
      <c r="V370">
        <v>38000</v>
      </c>
      <c r="W370">
        <v>74000</v>
      </c>
      <c r="X370">
        <v>3.8</v>
      </c>
      <c r="Y370">
        <v>3.8</v>
      </c>
      <c r="Z370">
        <v>3072</v>
      </c>
      <c r="AA370">
        <v>1</v>
      </c>
      <c r="AB370">
        <v>3072</v>
      </c>
      <c r="AC370">
        <v>3072</v>
      </c>
      <c r="AD370">
        <v>5510</v>
      </c>
      <c r="AE370">
        <v>2.56</v>
      </c>
      <c r="AF370">
        <v>2.56</v>
      </c>
      <c r="AG370">
        <v>3072</v>
      </c>
      <c r="AH370">
        <v>3072</v>
      </c>
      <c r="AI370">
        <v>5517</v>
      </c>
      <c r="AJ370">
        <v>6.36</v>
      </c>
      <c r="AK370">
        <v>356</v>
      </c>
      <c r="AL370">
        <v>356</v>
      </c>
      <c r="AM370">
        <v>1550</v>
      </c>
      <c r="AN370">
        <v>1550</v>
      </c>
      <c r="AO370">
        <v>55.974842767295598</v>
      </c>
      <c r="AP370">
        <v>51.2</v>
      </c>
      <c r="AQ370">
        <v>0.85333333333333306</v>
      </c>
      <c r="AR370">
        <v>5517</v>
      </c>
      <c r="AS370">
        <v>75800</v>
      </c>
      <c r="AT370">
        <v>19000</v>
      </c>
    </row>
    <row r="371" spans="1:46">
      <c r="A371" t="s">
        <v>565</v>
      </c>
      <c r="B371">
        <v>8</v>
      </c>
      <c r="C371" t="s">
        <v>576</v>
      </c>
      <c r="D371">
        <v>1</v>
      </c>
      <c r="E371">
        <v>0</v>
      </c>
      <c r="F371">
        <v>0</v>
      </c>
      <c r="G371">
        <v>1</v>
      </c>
      <c r="H371">
        <v>0</v>
      </c>
      <c r="I371">
        <v>2</v>
      </c>
      <c r="J371">
        <v>2</v>
      </c>
      <c r="K371">
        <v>0</v>
      </c>
      <c r="L371">
        <v>0</v>
      </c>
      <c r="M371">
        <v>38000</v>
      </c>
      <c r="N371">
        <v>38000</v>
      </c>
      <c r="O371">
        <v>0</v>
      </c>
      <c r="P371">
        <v>9500</v>
      </c>
      <c r="Q371">
        <v>0</v>
      </c>
      <c r="R371">
        <v>38000</v>
      </c>
      <c r="S371">
        <v>38000</v>
      </c>
      <c r="T371">
        <v>0</v>
      </c>
      <c r="U371">
        <v>76000</v>
      </c>
      <c r="V371">
        <v>76000</v>
      </c>
      <c r="W371">
        <v>150000</v>
      </c>
      <c r="X371">
        <v>7.6</v>
      </c>
      <c r="Y371">
        <v>7.6</v>
      </c>
      <c r="Z371">
        <v>6144</v>
      </c>
      <c r="AA371">
        <v>1</v>
      </c>
      <c r="AB371">
        <v>6144</v>
      </c>
      <c r="AC371">
        <v>6144</v>
      </c>
      <c r="AD371">
        <v>11654</v>
      </c>
      <c r="AE371">
        <v>5.12</v>
      </c>
      <c r="AF371">
        <v>5.12</v>
      </c>
      <c r="AG371">
        <v>6144</v>
      </c>
      <c r="AH371">
        <v>6144</v>
      </c>
      <c r="AI371">
        <v>11661</v>
      </c>
      <c r="AJ371">
        <v>12.72</v>
      </c>
      <c r="AK371">
        <v>440</v>
      </c>
      <c r="AL371">
        <v>440</v>
      </c>
      <c r="AM371">
        <v>1990</v>
      </c>
      <c r="AN371">
        <v>1990</v>
      </c>
      <c r="AO371">
        <v>34.591194968553502</v>
      </c>
      <c r="AP371">
        <v>102.4</v>
      </c>
      <c r="AQ371">
        <v>1.7066666666666701</v>
      </c>
      <c r="AR371">
        <v>11661</v>
      </c>
      <c r="AS371">
        <v>151800</v>
      </c>
      <c r="AT371">
        <v>38000</v>
      </c>
    </row>
    <row r="372" spans="1:46">
      <c r="A372" t="s">
        <v>565</v>
      </c>
      <c r="B372">
        <v>9</v>
      </c>
      <c r="C372" t="s">
        <v>577</v>
      </c>
      <c r="D372">
        <v>1</v>
      </c>
      <c r="E372">
        <v>0</v>
      </c>
      <c r="F372">
        <v>0</v>
      </c>
      <c r="G372">
        <v>1</v>
      </c>
      <c r="H372">
        <v>0</v>
      </c>
      <c r="I372">
        <v>2</v>
      </c>
      <c r="J372">
        <v>2</v>
      </c>
      <c r="K372">
        <v>0</v>
      </c>
      <c r="L372">
        <v>0</v>
      </c>
      <c r="M372">
        <v>65000</v>
      </c>
      <c r="N372">
        <v>65000</v>
      </c>
      <c r="O372">
        <v>0</v>
      </c>
      <c r="P372">
        <v>13500</v>
      </c>
      <c r="Q372">
        <v>0</v>
      </c>
      <c r="R372">
        <v>65000</v>
      </c>
      <c r="S372">
        <v>65000</v>
      </c>
      <c r="T372">
        <v>0</v>
      </c>
      <c r="U372">
        <v>130000</v>
      </c>
      <c r="V372">
        <v>130000</v>
      </c>
      <c r="W372">
        <v>280000</v>
      </c>
      <c r="X372">
        <v>13</v>
      </c>
      <c r="Y372">
        <v>13</v>
      </c>
      <c r="Z372">
        <v>10445</v>
      </c>
      <c r="AA372">
        <v>1</v>
      </c>
      <c r="AB372">
        <v>10445</v>
      </c>
      <c r="AC372">
        <v>10445</v>
      </c>
      <c r="AD372">
        <v>22099</v>
      </c>
      <c r="AE372">
        <v>8.7041666666666693</v>
      </c>
      <c r="AF372">
        <v>8.7041666666666693</v>
      </c>
      <c r="AG372">
        <v>10445</v>
      </c>
      <c r="AH372">
        <v>10445</v>
      </c>
      <c r="AI372">
        <v>22106</v>
      </c>
      <c r="AJ372">
        <v>21.704166666666701</v>
      </c>
      <c r="AK372">
        <v>520</v>
      </c>
      <c r="AL372">
        <v>520</v>
      </c>
      <c r="AM372">
        <v>2510</v>
      </c>
      <c r="AN372">
        <v>2510</v>
      </c>
      <c r="AO372">
        <v>23.958533307736602</v>
      </c>
      <c r="AP372">
        <v>174.083333333333</v>
      </c>
      <c r="AQ372">
        <v>2.9013888888888899</v>
      </c>
      <c r="AR372">
        <v>22106</v>
      </c>
      <c r="AS372">
        <v>281800</v>
      </c>
      <c r="AT372">
        <v>65000</v>
      </c>
    </row>
    <row r="373" spans="1:46">
      <c r="A373" t="s">
        <v>565</v>
      </c>
      <c r="B373">
        <v>10</v>
      </c>
      <c r="C373" t="s">
        <v>578</v>
      </c>
      <c r="D373">
        <v>1</v>
      </c>
      <c r="E373">
        <v>0</v>
      </c>
      <c r="F373">
        <v>0</v>
      </c>
      <c r="G373">
        <v>1</v>
      </c>
      <c r="H373">
        <v>0</v>
      </c>
      <c r="I373">
        <v>2</v>
      </c>
      <c r="J373">
        <v>2</v>
      </c>
      <c r="K373">
        <v>0</v>
      </c>
      <c r="L373">
        <v>0</v>
      </c>
      <c r="M373">
        <v>110000</v>
      </c>
      <c r="N373">
        <v>110000</v>
      </c>
      <c r="O373">
        <v>0</v>
      </c>
      <c r="P373">
        <v>22500</v>
      </c>
      <c r="Q373">
        <v>0</v>
      </c>
      <c r="R373">
        <v>110000</v>
      </c>
      <c r="S373">
        <v>110000</v>
      </c>
      <c r="T373">
        <v>0</v>
      </c>
      <c r="U373">
        <v>220000</v>
      </c>
      <c r="V373">
        <v>220000</v>
      </c>
      <c r="W373">
        <v>500000</v>
      </c>
      <c r="X373">
        <v>22</v>
      </c>
      <c r="Y373">
        <v>22</v>
      </c>
      <c r="Z373">
        <v>16712</v>
      </c>
      <c r="AA373">
        <v>1</v>
      </c>
      <c r="AB373">
        <v>16712</v>
      </c>
      <c r="AC373">
        <v>16712</v>
      </c>
      <c r="AD373">
        <v>38811</v>
      </c>
      <c r="AE373">
        <v>13.9266666666667</v>
      </c>
      <c r="AF373">
        <v>13.9266666666667</v>
      </c>
      <c r="AG373">
        <v>16712</v>
      </c>
      <c r="AH373">
        <v>16712</v>
      </c>
      <c r="AI373">
        <v>38818</v>
      </c>
      <c r="AJ373">
        <v>35.926666666666698</v>
      </c>
      <c r="AK373">
        <v>640</v>
      </c>
      <c r="AL373">
        <v>640</v>
      </c>
      <c r="AM373">
        <v>3150</v>
      </c>
      <c r="AN373">
        <v>3150</v>
      </c>
      <c r="AO373">
        <v>17.814065689367201</v>
      </c>
      <c r="AP373">
        <v>278.53333333333302</v>
      </c>
      <c r="AQ373">
        <v>4.6422222222222196</v>
      </c>
      <c r="AR373">
        <v>38818</v>
      </c>
      <c r="AS373">
        <v>501800</v>
      </c>
      <c r="AT373">
        <v>110000</v>
      </c>
    </row>
    <row r="374" spans="1:46">
      <c r="A374" t="s">
        <v>565</v>
      </c>
      <c r="B374">
        <v>11</v>
      </c>
      <c r="C374" t="s">
        <v>579</v>
      </c>
      <c r="D374">
        <v>1</v>
      </c>
      <c r="E374">
        <v>0</v>
      </c>
      <c r="F374">
        <v>0</v>
      </c>
      <c r="G374">
        <v>1</v>
      </c>
      <c r="H374">
        <v>0</v>
      </c>
      <c r="I374">
        <v>2</v>
      </c>
      <c r="J374">
        <v>2</v>
      </c>
      <c r="K374">
        <v>2</v>
      </c>
      <c r="L374">
        <v>0</v>
      </c>
      <c r="M374">
        <v>120000</v>
      </c>
      <c r="N374">
        <v>120000</v>
      </c>
      <c r="O374">
        <v>120000</v>
      </c>
      <c r="P374">
        <v>35000</v>
      </c>
      <c r="Q374">
        <v>0</v>
      </c>
      <c r="R374">
        <v>120000</v>
      </c>
      <c r="S374">
        <v>120000</v>
      </c>
      <c r="T374">
        <v>120000</v>
      </c>
      <c r="U374">
        <v>360000</v>
      </c>
      <c r="V374">
        <v>360000</v>
      </c>
      <c r="W374">
        <v>860000</v>
      </c>
      <c r="X374">
        <v>36</v>
      </c>
      <c r="Y374">
        <v>36</v>
      </c>
      <c r="Z374">
        <v>22561</v>
      </c>
      <c r="AA374">
        <v>1</v>
      </c>
      <c r="AB374">
        <v>22561</v>
      </c>
      <c r="AC374">
        <v>22561</v>
      </c>
      <c r="AD374">
        <v>61372</v>
      </c>
      <c r="AE374">
        <v>18.800833333333301</v>
      </c>
      <c r="AF374">
        <v>18.800833333333301</v>
      </c>
      <c r="AG374">
        <v>22561</v>
      </c>
      <c r="AH374">
        <v>22561</v>
      </c>
      <c r="AI374">
        <v>61379</v>
      </c>
      <c r="AJ374">
        <v>54.800833333333301</v>
      </c>
      <c r="AK374">
        <v>880</v>
      </c>
      <c r="AL374">
        <v>880</v>
      </c>
      <c r="AM374">
        <v>4030</v>
      </c>
      <c r="AN374">
        <v>4030</v>
      </c>
      <c r="AO374">
        <v>16.058149967305901</v>
      </c>
      <c r="AP374">
        <v>376.01666666666699</v>
      </c>
      <c r="AQ374">
        <v>6.26694444444444</v>
      </c>
      <c r="AR374">
        <v>61379</v>
      </c>
      <c r="AS374">
        <v>861800</v>
      </c>
      <c r="AT374">
        <v>120000</v>
      </c>
    </row>
    <row r="375" spans="1:46">
      <c r="A375" t="s">
        <v>565</v>
      </c>
      <c r="B375">
        <v>12</v>
      </c>
      <c r="C375" t="s">
        <v>580</v>
      </c>
      <c r="D375">
        <v>1</v>
      </c>
      <c r="E375">
        <v>0</v>
      </c>
      <c r="F375">
        <v>0</v>
      </c>
      <c r="G375">
        <v>1</v>
      </c>
      <c r="H375">
        <v>0</v>
      </c>
      <c r="I375">
        <v>2</v>
      </c>
      <c r="J375">
        <v>2</v>
      </c>
      <c r="K375">
        <v>2</v>
      </c>
      <c r="L375">
        <v>0</v>
      </c>
      <c r="M375">
        <v>190000</v>
      </c>
      <c r="N375">
        <v>190000</v>
      </c>
      <c r="O375">
        <v>190000</v>
      </c>
      <c r="P375">
        <v>52500</v>
      </c>
      <c r="Q375">
        <v>0</v>
      </c>
      <c r="R375">
        <v>190000</v>
      </c>
      <c r="S375">
        <v>190000</v>
      </c>
      <c r="T375">
        <v>190000</v>
      </c>
      <c r="U375">
        <v>570000</v>
      </c>
      <c r="V375">
        <v>570000</v>
      </c>
      <c r="W375">
        <v>1430000</v>
      </c>
      <c r="X375">
        <v>57</v>
      </c>
      <c r="Y375">
        <v>57</v>
      </c>
      <c r="Z375">
        <v>30457</v>
      </c>
      <c r="AA375">
        <v>1</v>
      </c>
      <c r="AB375">
        <v>30457</v>
      </c>
      <c r="AC375">
        <v>30457</v>
      </c>
      <c r="AD375">
        <v>91829</v>
      </c>
      <c r="AE375">
        <v>25.3808333333333</v>
      </c>
      <c r="AF375">
        <v>25.3808333333333</v>
      </c>
      <c r="AG375">
        <v>30457</v>
      </c>
      <c r="AH375">
        <v>30457</v>
      </c>
      <c r="AI375">
        <v>91836</v>
      </c>
      <c r="AJ375">
        <v>82.3808333333333</v>
      </c>
      <c r="AK375">
        <v>1200</v>
      </c>
      <c r="AL375">
        <v>1200</v>
      </c>
      <c r="AM375">
        <v>5230</v>
      </c>
      <c r="AN375">
        <v>5230</v>
      </c>
      <c r="AO375">
        <v>14.5664950382876</v>
      </c>
      <c r="AP375">
        <v>507.61666666666702</v>
      </c>
      <c r="AQ375">
        <v>8.4602777777777796</v>
      </c>
      <c r="AR375">
        <v>91836</v>
      </c>
      <c r="AS375">
        <v>1431800</v>
      </c>
      <c r="AT375">
        <v>190000</v>
      </c>
    </row>
    <row r="376" spans="1:46">
      <c r="A376" t="s">
        <v>565</v>
      </c>
      <c r="B376">
        <v>13</v>
      </c>
      <c r="C376" t="s">
        <v>581</v>
      </c>
      <c r="D376">
        <v>1</v>
      </c>
      <c r="E376">
        <v>0</v>
      </c>
      <c r="F376">
        <v>0</v>
      </c>
      <c r="G376">
        <v>1</v>
      </c>
      <c r="H376">
        <v>0</v>
      </c>
      <c r="I376">
        <v>2</v>
      </c>
      <c r="J376">
        <v>2</v>
      </c>
      <c r="K376">
        <v>2</v>
      </c>
      <c r="L376">
        <v>0</v>
      </c>
      <c r="M376">
        <v>300000</v>
      </c>
      <c r="N376">
        <v>300000</v>
      </c>
      <c r="O376">
        <v>300000</v>
      </c>
      <c r="P376">
        <v>82500</v>
      </c>
      <c r="Q376">
        <v>0</v>
      </c>
      <c r="R376">
        <v>300000</v>
      </c>
      <c r="S376">
        <v>300000</v>
      </c>
      <c r="T376">
        <v>300000</v>
      </c>
      <c r="U376">
        <v>900000</v>
      </c>
      <c r="V376">
        <v>900000</v>
      </c>
      <c r="W376">
        <v>2330000</v>
      </c>
      <c r="X376">
        <v>90</v>
      </c>
      <c r="Y376">
        <v>90</v>
      </c>
      <c r="Z376">
        <v>41117</v>
      </c>
      <c r="AA376">
        <v>1</v>
      </c>
      <c r="AB376">
        <v>41117</v>
      </c>
      <c r="AC376">
        <v>41117</v>
      </c>
      <c r="AD376">
        <v>132946</v>
      </c>
      <c r="AE376">
        <v>34.264166666666704</v>
      </c>
      <c r="AF376">
        <v>34.264166666666704</v>
      </c>
      <c r="AG376">
        <v>41117</v>
      </c>
      <c r="AH376">
        <v>41117</v>
      </c>
      <c r="AI376">
        <v>132953</v>
      </c>
      <c r="AJ376">
        <v>124.26416666666699</v>
      </c>
      <c r="AK376">
        <v>1640</v>
      </c>
      <c r="AL376">
        <v>1640</v>
      </c>
      <c r="AM376">
        <v>6870</v>
      </c>
      <c r="AN376">
        <v>6870</v>
      </c>
      <c r="AO376">
        <v>13.1976904041793</v>
      </c>
      <c r="AP376">
        <v>685.28333333333296</v>
      </c>
      <c r="AQ376">
        <v>11.421388888888901</v>
      </c>
      <c r="AR376">
        <v>132953</v>
      </c>
      <c r="AS376">
        <v>2331800</v>
      </c>
      <c r="AT376">
        <v>300000</v>
      </c>
    </row>
    <row r="377" spans="1:46">
      <c r="A377" t="s">
        <v>565</v>
      </c>
      <c r="B377">
        <v>14</v>
      </c>
      <c r="C377" t="s">
        <v>582</v>
      </c>
      <c r="D377">
        <v>1</v>
      </c>
      <c r="E377">
        <v>0</v>
      </c>
      <c r="F377">
        <v>0</v>
      </c>
      <c r="G377">
        <v>1</v>
      </c>
      <c r="H377">
        <v>0</v>
      </c>
      <c r="I377">
        <v>2</v>
      </c>
      <c r="J377">
        <v>2</v>
      </c>
      <c r="K377">
        <v>2</v>
      </c>
      <c r="L377">
        <v>0</v>
      </c>
      <c r="M377">
        <v>480000</v>
      </c>
      <c r="N377">
        <v>480000</v>
      </c>
      <c r="O377">
        <v>480000</v>
      </c>
      <c r="P377">
        <v>135000</v>
      </c>
      <c r="Q377">
        <v>0</v>
      </c>
      <c r="R377">
        <v>480000</v>
      </c>
      <c r="S377">
        <v>480000</v>
      </c>
      <c r="T377">
        <v>480000</v>
      </c>
      <c r="U377">
        <v>1440000</v>
      </c>
      <c r="V377">
        <v>1440000</v>
      </c>
      <c r="W377">
        <v>3770000</v>
      </c>
      <c r="X377">
        <v>144</v>
      </c>
      <c r="Y377">
        <v>144</v>
      </c>
      <c r="Z377">
        <v>55508</v>
      </c>
      <c r="AA377">
        <v>1</v>
      </c>
      <c r="AB377">
        <v>55508</v>
      </c>
      <c r="AC377">
        <v>55508</v>
      </c>
      <c r="AD377">
        <v>188454</v>
      </c>
      <c r="AE377">
        <v>46.256666666666703</v>
      </c>
      <c r="AF377">
        <v>46.256666666666703</v>
      </c>
      <c r="AG377">
        <v>55508</v>
      </c>
      <c r="AH377">
        <v>55508</v>
      </c>
      <c r="AI377">
        <v>188461</v>
      </c>
      <c r="AJ377">
        <v>190.256666666667</v>
      </c>
      <c r="AK377">
        <v>2200</v>
      </c>
      <c r="AL377">
        <v>2200</v>
      </c>
      <c r="AM377">
        <v>9070</v>
      </c>
      <c r="AN377">
        <v>9070</v>
      </c>
      <c r="AO377">
        <v>11.563326734061</v>
      </c>
      <c r="AP377">
        <v>925.13333333333298</v>
      </c>
      <c r="AQ377">
        <v>15.418888888888899</v>
      </c>
      <c r="AR377">
        <v>188461</v>
      </c>
      <c r="AS377">
        <v>3771800</v>
      </c>
      <c r="AT377">
        <v>480000</v>
      </c>
    </row>
    <row r="378" spans="1:46">
      <c r="A378" t="s">
        <v>565</v>
      </c>
      <c r="B378">
        <v>15</v>
      </c>
      <c r="C378" t="s">
        <v>583</v>
      </c>
      <c r="D378">
        <v>1</v>
      </c>
      <c r="E378">
        <v>0</v>
      </c>
      <c r="F378">
        <v>0</v>
      </c>
      <c r="G378">
        <v>1</v>
      </c>
      <c r="H378">
        <v>0</v>
      </c>
      <c r="I378">
        <v>2</v>
      </c>
      <c r="J378">
        <v>2</v>
      </c>
      <c r="K378">
        <v>2</v>
      </c>
      <c r="L378">
        <v>0</v>
      </c>
      <c r="M378">
        <v>730000</v>
      </c>
      <c r="N378">
        <v>730000</v>
      </c>
      <c r="O378">
        <v>730000</v>
      </c>
      <c r="P378">
        <v>187500</v>
      </c>
      <c r="Q378">
        <v>0</v>
      </c>
      <c r="R378">
        <v>730000</v>
      </c>
      <c r="S378">
        <v>730000</v>
      </c>
      <c r="T378">
        <v>730000</v>
      </c>
      <c r="U378">
        <v>2190000</v>
      </c>
      <c r="V378">
        <v>2190000</v>
      </c>
      <c r="W378">
        <v>5960000</v>
      </c>
      <c r="X378">
        <v>219</v>
      </c>
      <c r="Y378">
        <v>219</v>
      </c>
      <c r="Z378">
        <v>74936</v>
      </c>
      <c r="AA378">
        <v>1</v>
      </c>
      <c r="AB378">
        <v>74936</v>
      </c>
      <c r="AC378">
        <v>74936</v>
      </c>
      <c r="AD378">
        <v>263390</v>
      </c>
      <c r="AE378">
        <v>62.446666666666701</v>
      </c>
      <c r="AF378">
        <v>62.446666666666701</v>
      </c>
      <c r="AG378">
        <v>74936</v>
      </c>
      <c r="AH378">
        <v>74936</v>
      </c>
      <c r="AI378">
        <v>263397</v>
      </c>
      <c r="AJ378">
        <v>281.446666666667</v>
      </c>
      <c r="AK378">
        <v>2960</v>
      </c>
      <c r="AL378">
        <v>2960</v>
      </c>
      <c r="AM378">
        <v>12030</v>
      </c>
      <c r="AN378">
        <v>12030</v>
      </c>
      <c r="AO378">
        <v>10.517090271691499</v>
      </c>
      <c r="AP378">
        <v>1248.93333333333</v>
      </c>
      <c r="AQ378">
        <v>20.815555555555601</v>
      </c>
      <c r="AR378">
        <v>263397</v>
      </c>
      <c r="AS378">
        <v>5961800</v>
      </c>
      <c r="AT378">
        <v>730000</v>
      </c>
    </row>
    <row r="379" spans="1:46">
      <c r="A379" t="s">
        <v>565</v>
      </c>
      <c r="B379">
        <v>16</v>
      </c>
      <c r="C379" t="s">
        <v>584</v>
      </c>
      <c r="D379">
        <v>1</v>
      </c>
      <c r="E379">
        <v>0</v>
      </c>
      <c r="F379">
        <v>0</v>
      </c>
      <c r="G379">
        <v>1</v>
      </c>
      <c r="H379">
        <v>0</v>
      </c>
      <c r="I379">
        <v>2</v>
      </c>
      <c r="J379">
        <v>2</v>
      </c>
      <c r="K379">
        <v>2</v>
      </c>
      <c r="L379">
        <v>0</v>
      </c>
      <c r="M379">
        <v>980000</v>
      </c>
      <c r="N379">
        <v>980000</v>
      </c>
      <c r="O379">
        <v>980000</v>
      </c>
      <c r="P379">
        <v>187500</v>
      </c>
      <c r="Q379">
        <v>0</v>
      </c>
      <c r="R379">
        <v>980000</v>
      </c>
      <c r="S379">
        <v>980000</v>
      </c>
      <c r="T379">
        <v>980000</v>
      </c>
      <c r="U379">
        <v>2940000</v>
      </c>
      <c r="V379">
        <v>2940000</v>
      </c>
      <c r="W379">
        <v>8900000</v>
      </c>
      <c r="X379">
        <v>294</v>
      </c>
      <c r="Y379">
        <v>294</v>
      </c>
      <c r="Z379">
        <v>101163</v>
      </c>
      <c r="AA379">
        <v>1</v>
      </c>
      <c r="AB379">
        <v>101163</v>
      </c>
      <c r="AC379">
        <v>101163</v>
      </c>
      <c r="AD379">
        <v>364553</v>
      </c>
      <c r="AE379">
        <v>84.302499999999995</v>
      </c>
      <c r="AF379">
        <v>84.302499999999995</v>
      </c>
      <c r="AG379">
        <v>101163</v>
      </c>
      <c r="AH379">
        <v>101163</v>
      </c>
      <c r="AI379">
        <v>364560</v>
      </c>
      <c r="AJ379">
        <v>378.30250000000001</v>
      </c>
      <c r="AK379">
        <v>4000</v>
      </c>
      <c r="AL379">
        <v>4000</v>
      </c>
      <c r="AM379">
        <v>16030</v>
      </c>
      <c r="AN379">
        <v>16030</v>
      </c>
      <c r="AO379">
        <v>10.573548945618899</v>
      </c>
      <c r="AP379">
        <v>1686.05</v>
      </c>
      <c r="AQ379">
        <v>28.100833333333298</v>
      </c>
      <c r="AR379">
        <v>364560</v>
      </c>
      <c r="AS379">
        <v>8901800</v>
      </c>
      <c r="AT379">
        <v>980000</v>
      </c>
    </row>
    <row r="380" spans="1:46">
      <c r="A380" t="s">
        <v>565</v>
      </c>
      <c r="B380">
        <v>17</v>
      </c>
      <c r="C380" t="s">
        <v>585</v>
      </c>
      <c r="D380">
        <v>1</v>
      </c>
      <c r="E380">
        <v>0</v>
      </c>
      <c r="F380">
        <v>0</v>
      </c>
      <c r="G380">
        <v>1</v>
      </c>
      <c r="H380">
        <v>0</v>
      </c>
      <c r="I380">
        <v>2</v>
      </c>
      <c r="J380">
        <v>2</v>
      </c>
      <c r="K380">
        <v>2</v>
      </c>
      <c r="L380">
        <v>0</v>
      </c>
      <c r="M380">
        <v>1300000</v>
      </c>
      <c r="N380">
        <v>1300000</v>
      </c>
      <c r="O380">
        <v>1300000</v>
      </c>
      <c r="P380">
        <v>240000</v>
      </c>
      <c r="Q380">
        <v>0</v>
      </c>
      <c r="R380">
        <v>1300000</v>
      </c>
      <c r="S380">
        <v>1300000</v>
      </c>
      <c r="T380">
        <v>1300000</v>
      </c>
      <c r="U380">
        <v>3900000</v>
      </c>
      <c r="V380">
        <v>3900000</v>
      </c>
      <c r="W380">
        <v>12800000</v>
      </c>
      <c r="X380">
        <v>390</v>
      </c>
      <c r="Y380">
        <v>390</v>
      </c>
      <c r="Z380">
        <v>136570</v>
      </c>
      <c r="AA380">
        <v>1</v>
      </c>
      <c r="AB380">
        <v>136570</v>
      </c>
      <c r="AC380">
        <v>136570</v>
      </c>
      <c r="AD380">
        <v>501123</v>
      </c>
      <c r="AE380">
        <v>113.808333333333</v>
      </c>
      <c r="AF380">
        <v>113.808333333333</v>
      </c>
      <c r="AG380">
        <v>136570</v>
      </c>
      <c r="AH380">
        <v>136570</v>
      </c>
      <c r="AI380">
        <v>501130</v>
      </c>
      <c r="AJ380">
        <v>503.808333333333</v>
      </c>
      <c r="AK380">
        <v>5600</v>
      </c>
      <c r="AL380">
        <v>5600</v>
      </c>
      <c r="AM380">
        <v>21630</v>
      </c>
      <c r="AN380">
        <v>21630</v>
      </c>
      <c r="AO380">
        <v>11.115338174239501</v>
      </c>
      <c r="AP380">
        <v>2276.1666666666702</v>
      </c>
      <c r="AQ380">
        <v>37.936111111111103</v>
      </c>
      <c r="AR380">
        <v>501130</v>
      </c>
      <c r="AS380">
        <v>12801800</v>
      </c>
      <c r="AT380">
        <v>1300000</v>
      </c>
    </row>
    <row r="381" spans="1:46">
      <c r="A381" t="s">
        <v>565</v>
      </c>
      <c r="B381">
        <v>18</v>
      </c>
      <c r="C381" t="s">
        <v>586</v>
      </c>
      <c r="D381">
        <v>1</v>
      </c>
      <c r="E381">
        <v>0</v>
      </c>
      <c r="F381">
        <v>0</v>
      </c>
      <c r="G381">
        <v>1</v>
      </c>
      <c r="H381">
        <v>0</v>
      </c>
      <c r="I381">
        <v>2</v>
      </c>
      <c r="J381">
        <v>2</v>
      </c>
      <c r="K381">
        <v>2</v>
      </c>
      <c r="L381">
        <v>0</v>
      </c>
      <c r="M381">
        <v>1700000</v>
      </c>
      <c r="N381">
        <v>1700000</v>
      </c>
      <c r="O381">
        <v>1700000</v>
      </c>
      <c r="P381">
        <v>300000</v>
      </c>
      <c r="Q381">
        <v>0</v>
      </c>
      <c r="R381">
        <v>1700000</v>
      </c>
      <c r="S381">
        <v>1700000</v>
      </c>
      <c r="T381">
        <v>1700000</v>
      </c>
      <c r="U381">
        <v>5100000</v>
      </c>
      <c r="V381">
        <v>5100000</v>
      </c>
      <c r="W381">
        <v>17900000</v>
      </c>
      <c r="X381">
        <v>510</v>
      </c>
      <c r="Y381">
        <v>510</v>
      </c>
      <c r="Z381">
        <v>184370</v>
      </c>
      <c r="AA381">
        <v>1</v>
      </c>
      <c r="AB381">
        <v>184370</v>
      </c>
      <c r="AC381">
        <v>184370</v>
      </c>
      <c r="AD381">
        <v>685493</v>
      </c>
      <c r="AE381">
        <v>153.64166666666699</v>
      </c>
      <c r="AF381">
        <v>153.64166666666699</v>
      </c>
      <c r="AG381">
        <v>184370</v>
      </c>
      <c r="AH381">
        <v>184370</v>
      </c>
      <c r="AI381">
        <v>685500</v>
      </c>
      <c r="AJ381">
        <v>663.64166666666699</v>
      </c>
      <c r="AK381">
        <v>7600</v>
      </c>
      <c r="AL381">
        <v>7600</v>
      </c>
      <c r="AM381">
        <v>29230</v>
      </c>
      <c r="AN381">
        <v>29230</v>
      </c>
      <c r="AO381">
        <v>11.451963283398401</v>
      </c>
      <c r="AP381">
        <v>3072.8333333333298</v>
      </c>
      <c r="AQ381">
        <v>51.213888888888903</v>
      </c>
      <c r="AR381">
        <v>685500</v>
      </c>
      <c r="AS381">
        <v>17901800</v>
      </c>
      <c r="AT381">
        <v>1700000</v>
      </c>
    </row>
    <row r="382" spans="1:46">
      <c r="A382" t="s">
        <v>565</v>
      </c>
      <c r="B382">
        <v>19</v>
      </c>
      <c r="C382" t="s">
        <v>587</v>
      </c>
      <c r="D382">
        <v>1</v>
      </c>
      <c r="E382">
        <v>0</v>
      </c>
      <c r="F382">
        <v>0</v>
      </c>
      <c r="G382">
        <v>1</v>
      </c>
      <c r="H382">
        <v>0</v>
      </c>
      <c r="I382">
        <v>2</v>
      </c>
      <c r="J382">
        <v>2</v>
      </c>
      <c r="K382">
        <v>2</v>
      </c>
      <c r="L382">
        <v>0</v>
      </c>
      <c r="M382">
        <v>2200000</v>
      </c>
      <c r="N382">
        <v>2200000</v>
      </c>
      <c r="O382">
        <v>2200000</v>
      </c>
      <c r="P382">
        <v>375000</v>
      </c>
      <c r="Q382">
        <v>0</v>
      </c>
      <c r="R382">
        <v>2200000</v>
      </c>
      <c r="S382">
        <v>2200000</v>
      </c>
      <c r="T382">
        <v>2200000</v>
      </c>
      <c r="U382">
        <v>6600000</v>
      </c>
      <c r="V382">
        <v>6600000</v>
      </c>
      <c r="W382">
        <v>24500000</v>
      </c>
      <c r="X382">
        <v>660</v>
      </c>
      <c r="Y382">
        <v>660</v>
      </c>
      <c r="Z382">
        <v>276555</v>
      </c>
      <c r="AA382">
        <v>1</v>
      </c>
      <c r="AB382">
        <v>276555</v>
      </c>
      <c r="AC382">
        <v>276555</v>
      </c>
      <c r="AD382">
        <v>962048</v>
      </c>
      <c r="AE382">
        <v>230.46250000000001</v>
      </c>
      <c r="AF382">
        <v>230.46250000000001</v>
      </c>
      <c r="AG382">
        <v>276555</v>
      </c>
      <c r="AH382">
        <v>276555</v>
      </c>
      <c r="AI382">
        <v>962055</v>
      </c>
      <c r="AJ382">
        <v>890.46249999999998</v>
      </c>
      <c r="AK382">
        <v>10400</v>
      </c>
      <c r="AL382">
        <v>10400</v>
      </c>
      <c r="AM382">
        <v>39630</v>
      </c>
      <c r="AN382">
        <v>39630</v>
      </c>
      <c r="AO382">
        <v>11.6793239468254</v>
      </c>
      <c r="AP382">
        <v>4609.25</v>
      </c>
      <c r="AQ382">
        <v>76.820833333333297</v>
      </c>
      <c r="AR382">
        <v>962055</v>
      </c>
      <c r="AS382">
        <v>24501800</v>
      </c>
      <c r="AT382">
        <v>2200000</v>
      </c>
    </row>
    <row r="383" spans="1:46">
      <c r="A383" t="s">
        <v>565</v>
      </c>
      <c r="B383">
        <v>20</v>
      </c>
      <c r="C383" t="s">
        <v>588</v>
      </c>
      <c r="D383">
        <v>1</v>
      </c>
      <c r="E383">
        <v>0</v>
      </c>
      <c r="F383">
        <v>0</v>
      </c>
      <c r="G383">
        <v>1</v>
      </c>
      <c r="H383">
        <v>0</v>
      </c>
      <c r="I383">
        <v>2</v>
      </c>
      <c r="J383">
        <v>2</v>
      </c>
      <c r="K383">
        <v>2</v>
      </c>
      <c r="L383">
        <v>0</v>
      </c>
      <c r="M383">
        <v>2800000</v>
      </c>
      <c r="N383">
        <v>2800000</v>
      </c>
      <c r="O383">
        <v>2800000</v>
      </c>
      <c r="P383">
        <v>450000</v>
      </c>
      <c r="Q383">
        <v>0</v>
      </c>
      <c r="R383">
        <v>2800000</v>
      </c>
      <c r="S383">
        <v>2800000</v>
      </c>
      <c r="T383">
        <v>2800000</v>
      </c>
      <c r="U383">
        <v>8400000</v>
      </c>
      <c r="V383">
        <v>8400000</v>
      </c>
      <c r="W383">
        <v>32900000</v>
      </c>
      <c r="X383">
        <v>840</v>
      </c>
      <c r="Y383">
        <v>840</v>
      </c>
      <c r="Z383">
        <v>414833</v>
      </c>
      <c r="AA383">
        <v>1</v>
      </c>
      <c r="AB383">
        <v>414833</v>
      </c>
      <c r="AC383">
        <v>414833</v>
      </c>
      <c r="AD383">
        <v>1376881</v>
      </c>
      <c r="AE383">
        <v>345.694166666667</v>
      </c>
      <c r="AF383">
        <v>345.694166666667</v>
      </c>
      <c r="AG383">
        <v>414833</v>
      </c>
      <c r="AH383">
        <v>414833</v>
      </c>
      <c r="AI383">
        <v>1376888</v>
      </c>
      <c r="AJ383">
        <v>1185.6941666666701</v>
      </c>
      <c r="AK383">
        <v>14000</v>
      </c>
      <c r="AL383">
        <v>14000</v>
      </c>
      <c r="AM383">
        <v>53630</v>
      </c>
      <c r="AN383">
        <v>53630</v>
      </c>
      <c r="AO383">
        <v>11.807429262605</v>
      </c>
      <c r="AP383">
        <v>6913.8833333333296</v>
      </c>
      <c r="AQ383">
        <v>115.231388888889</v>
      </c>
      <c r="AR383">
        <v>1376888</v>
      </c>
      <c r="AS383">
        <v>32901800</v>
      </c>
      <c r="AT383">
        <v>2800000</v>
      </c>
    </row>
    <row r="384" spans="1:46">
      <c r="A384" t="s">
        <v>593</v>
      </c>
      <c r="B384">
        <v>1</v>
      </c>
      <c r="C384" t="s">
        <v>594</v>
      </c>
      <c r="D384">
        <v>1</v>
      </c>
      <c r="E384">
        <v>0</v>
      </c>
      <c r="F384">
        <v>0</v>
      </c>
      <c r="G384">
        <v>1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1E-3</v>
      </c>
      <c r="AB384">
        <v>1</v>
      </c>
      <c r="AC384">
        <v>1</v>
      </c>
      <c r="AD384">
        <v>1</v>
      </c>
      <c r="AE384">
        <v>8.3333333333333295E-4</v>
      </c>
      <c r="AF384">
        <v>8.3333333333333295E-4</v>
      </c>
      <c r="AG384">
        <v>1</v>
      </c>
      <c r="AH384">
        <v>1</v>
      </c>
      <c r="AI384">
        <v>1</v>
      </c>
      <c r="AJ384">
        <v>8.3333333333333295E-4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1.6666666666666701E-2</v>
      </c>
      <c r="AQ384">
        <v>2.7777777777777799E-4</v>
      </c>
      <c r="AR384">
        <v>1</v>
      </c>
      <c r="AS384">
        <v>0</v>
      </c>
      <c r="AT384">
        <v>0</v>
      </c>
    </row>
    <row r="385" spans="1:46">
      <c r="A385" t="s">
        <v>593</v>
      </c>
      <c r="B385">
        <v>2</v>
      </c>
      <c r="C385" t="s">
        <v>670</v>
      </c>
      <c r="D385">
        <v>1</v>
      </c>
      <c r="E385">
        <v>0</v>
      </c>
      <c r="F385">
        <v>0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6.0999999999999999E-2</v>
      </c>
      <c r="AB385">
        <v>1</v>
      </c>
      <c r="AC385">
        <v>1</v>
      </c>
      <c r="AD385">
        <v>1</v>
      </c>
      <c r="AE385">
        <v>8.3333333333333295E-4</v>
      </c>
      <c r="AF385">
        <v>8.3333333333333295E-4</v>
      </c>
      <c r="AG385">
        <v>1</v>
      </c>
      <c r="AH385">
        <v>1</v>
      </c>
      <c r="AI385">
        <v>2</v>
      </c>
      <c r="AJ385">
        <v>8.3333333333333295E-4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1.6666666666666701E-2</v>
      </c>
      <c r="AQ385">
        <v>2.7777777777777799E-4</v>
      </c>
      <c r="AR385">
        <v>2</v>
      </c>
      <c r="AS385">
        <v>0</v>
      </c>
      <c r="AT385">
        <v>0</v>
      </c>
    </row>
    <row r="386" spans="1:46">
      <c r="A386" t="s">
        <v>593</v>
      </c>
      <c r="B386">
        <v>3</v>
      </c>
      <c r="C386" t="s">
        <v>671</v>
      </c>
      <c r="D386">
        <v>1</v>
      </c>
      <c r="E386">
        <v>0</v>
      </c>
      <c r="F386">
        <v>0</v>
      </c>
      <c r="G386">
        <v>1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0.1</v>
      </c>
      <c r="AB386">
        <v>1</v>
      </c>
      <c r="AC386">
        <v>1</v>
      </c>
      <c r="AD386">
        <v>1</v>
      </c>
      <c r="AE386">
        <v>8.3333333333333295E-4</v>
      </c>
      <c r="AF386">
        <v>8.3333333333333295E-4</v>
      </c>
      <c r="AG386">
        <v>1</v>
      </c>
      <c r="AH386">
        <v>1</v>
      </c>
      <c r="AI386">
        <v>3</v>
      </c>
      <c r="AJ386">
        <v>8.3333333333333295E-4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1.6666666666666701E-2</v>
      </c>
      <c r="AQ386">
        <v>2.7777777777777799E-4</v>
      </c>
      <c r="AR386">
        <v>3</v>
      </c>
      <c r="AS386">
        <v>0</v>
      </c>
      <c r="AT386">
        <v>0</v>
      </c>
    </row>
    <row r="387" spans="1:46">
      <c r="A387" t="s">
        <v>593</v>
      </c>
      <c r="B387">
        <v>4</v>
      </c>
      <c r="C387" t="s">
        <v>672</v>
      </c>
      <c r="D387">
        <v>1</v>
      </c>
      <c r="E387">
        <v>0</v>
      </c>
      <c r="F387">
        <v>0</v>
      </c>
      <c r="G387">
        <v>1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0.5</v>
      </c>
      <c r="AB387">
        <v>1</v>
      </c>
      <c r="AC387">
        <v>1</v>
      </c>
      <c r="AD387">
        <v>2</v>
      </c>
      <c r="AE387">
        <v>8.3333333333333295E-4</v>
      </c>
      <c r="AF387">
        <v>8.3333333333333295E-4</v>
      </c>
      <c r="AG387">
        <v>1</v>
      </c>
      <c r="AH387">
        <v>1</v>
      </c>
      <c r="AI387">
        <v>4</v>
      </c>
      <c r="AJ387">
        <v>8.3333333333333295E-4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1.6666666666666701E-2</v>
      </c>
      <c r="AQ387">
        <v>2.7777777777777799E-4</v>
      </c>
      <c r="AR387">
        <v>4</v>
      </c>
      <c r="AS387">
        <v>0</v>
      </c>
      <c r="AT387">
        <v>0</v>
      </c>
    </row>
    <row r="388" spans="1:46">
      <c r="A388" t="s">
        <v>593</v>
      </c>
      <c r="B388">
        <v>5</v>
      </c>
      <c r="C388" t="s">
        <v>673</v>
      </c>
      <c r="D388">
        <v>1</v>
      </c>
      <c r="E388">
        <v>0</v>
      </c>
      <c r="F388">
        <v>0</v>
      </c>
      <c r="G388">
        <v>1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0.9</v>
      </c>
      <c r="AB388">
        <v>1</v>
      </c>
      <c r="AC388">
        <v>1</v>
      </c>
      <c r="AD388">
        <v>3</v>
      </c>
      <c r="AE388">
        <v>8.3333333333333295E-4</v>
      </c>
      <c r="AF388">
        <v>8.3333333333333295E-4</v>
      </c>
      <c r="AG388">
        <v>1</v>
      </c>
      <c r="AH388">
        <v>1</v>
      </c>
      <c r="AI388">
        <v>5</v>
      </c>
      <c r="AJ388">
        <v>8.3333333333333295E-4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1.6666666666666701E-2</v>
      </c>
      <c r="AQ388">
        <v>2.7777777777777799E-4</v>
      </c>
      <c r="AR388">
        <v>5</v>
      </c>
      <c r="AS388">
        <v>0</v>
      </c>
      <c r="AT388">
        <v>0</v>
      </c>
    </row>
    <row r="389" spans="1:46">
      <c r="A389" t="s">
        <v>593</v>
      </c>
      <c r="B389">
        <v>6</v>
      </c>
      <c r="C389" t="s">
        <v>674</v>
      </c>
      <c r="D389">
        <v>1</v>
      </c>
      <c r="E389">
        <v>0</v>
      </c>
      <c r="F389">
        <v>0</v>
      </c>
      <c r="G389">
        <v>1</v>
      </c>
      <c r="H389">
        <v>0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1</v>
      </c>
      <c r="AC389">
        <v>1</v>
      </c>
      <c r="AD389">
        <v>4</v>
      </c>
      <c r="AE389">
        <v>8.3333333333333295E-4</v>
      </c>
      <c r="AF389">
        <v>8.3333333333333295E-4</v>
      </c>
      <c r="AG389">
        <v>1</v>
      </c>
      <c r="AH389">
        <v>1</v>
      </c>
      <c r="AI389">
        <v>6</v>
      </c>
      <c r="AJ389">
        <v>8.3333333333333295E-4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1.6666666666666701E-2</v>
      </c>
      <c r="AQ389">
        <v>2.7777777777777799E-4</v>
      </c>
      <c r="AR389">
        <v>6</v>
      </c>
      <c r="AS389">
        <v>0</v>
      </c>
      <c r="AT389">
        <v>0</v>
      </c>
    </row>
    <row r="390" spans="1:46">
      <c r="A390" t="s">
        <v>593</v>
      </c>
      <c r="B390">
        <v>7</v>
      </c>
      <c r="C390" t="s">
        <v>675</v>
      </c>
      <c r="D390">
        <v>1</v>
      </c>
      <c r="E390">
        <v>0</v>
      </c>
      <c r="F390">
        <v>0</v>
      </c>
      <c r="G390">
        <v>1</v>
      </c>
      <c r="H390">
        <v>0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1</v>
      </c>
      <c r="AC390">
        <v>1</v>
      </c>
      <c r="AD390">
        <v>5</v>
      </c>
      <c r="AE390">
        <v>8.3333333333333295E-4</v>
      </c>
      <c r="AF390">
        <v>8.3333333333333295E-4</v>
      </c>
      <c r="AG390">
        <v>1</v>
      </c>
      <c r="AH390">
        <v>1</v>
      </c>
      <c r="AI390">
        <v>7</v>
      </c>
      <c r="AJ390">
        <v>8.3333333333333295E-4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1.6666666666666701E-2</v>
      </c>
      <c r="AQ390">
        <v>2.7777777777777799E-4</v>
      </c>
      <c r="AR390">
        <v>7</v>
      </c>
      <c r="AS390">
        <v>0</v>
      </c>
      <c r="AT390">
        <v>0</v>
      </c>
    </row>
    <row r="391" spans="1:46">
      <c r="A391" t="s">
        <v>593</v>
      </c>
      <c r="B391">
        <v>8</v>
      </c>
      <c r="C391" t="s">
        <v>676</v>
      </c>
      <c r="D391">
        <v>1</v>
      </c>
      <c r="E391">
        <v>0</v>
      </c>
      <c r="F391">
        <v>0</v>
      </c>
      <c r="G391">
        <v>1</v>
      </c>
      <c r="H391">
        <v>0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1</v>
      </c>
      <c r="AC391">
        <v>1</v>
      </c>
      <c r="AD391">
        <v>6</v>
      </c>
      <c r="AE391">
        <v>8.3333333333333295E-4</v>
      </c>
      <c r="AF391">
        <v>8.3333333333333295E-4</v>
      </c>
      <c r="AG391">
        <v>1</v>
      </c>
      <c r="AH391">
        <v>1</v>
      </c>
      <c r="AI391">
        <v>8</v>
      </c>
      <c r="AJ391">
        <v>8.3333333333333295E-4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1.6666666666666701E-2</v>
      </c>
      <c r="AQ391">
        <v>2.7777777777777799E-4</v>
      </c>
      <c r="AR391">
        <v>8</v>
      </c>
      <c r="AS391">
        <v>0</v>
      </c>
      <c r="AT391">
        <v>0</v>
      </c>
    </row>
    <row r="392" spans="1:46">
      <c r="A392" t="s">
        <v>593</v>
      </c>
      <c r="B392">
        <v>9</v>
      </c>
      <c r="C392" t="s">
        <v>677</v>
      </c>
      <c r="D392">
        <v>1</v>
      </c>
      <c r="E392">
        <v>0</v>
      </c>
      <c r="F392">
        <v>0</v>
      </c>
      <c r="G392">
        <v>1</v>
      </c>
      <c r="H392">
        <v>0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1</v>
      </c>
      <c r="AC392">
        <v>1</v>
      </c>
      <c r="AD392">
        <v>7</v>
      </c>
      <c r="AE392">
        <v>8.3333333333333295E-4</v>
      </c>
      <c r="AF392">
        <v>8.3333333333333295E-4</v>
      </c>
      <c r="AG392">
        <v>1</v>
      </c>
      <c r="AH392">
        <v>1</v>
      </c>
      <c r="AI392">
        <v>9</v>
      </c>
      <c r="AJ392">
        <v>8.3333333333333295E-4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1.6666666666666701E-2</v>
      </c>
      <c r="AQ392">
        <v>2.7777777777777799E-4</v>
      </c>
      <c r="AR392">
        <v>9</v>
      </c>
      <c r="AS392">
        <v>0</v>
      </c>
      <c r="AT392">
        <v>0</v>
      </c>
    </row>
    <row r="393" spans="1:46">
      <c r="A393" t="s">
        <v>593</v>
      </c>
      <c r="B393">
        <v>10</v>
      </c>
      <c r="C393" t="s">
        <v>678</v>
      </c>
      <c r="D393">
        <v>1</v>
      </c>
      <c r="E393">
        <v>0</v>
      </c>
      <c r="F393">
        <v>0</v>
      </c>
      <c r="G393">
        <v>1</v>
      </c>
      <c r="H393">
        <v>0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1</v>
      </c>
      <c r="AC393">
        <v>1</v>
      </c>
      <c r="AD393">
        <v>8</v>
      </c>
      <c r="AE393">
        <v>8.3333333333333295E-4</v>
      </c>
      <c r="AF393">
        <v>8.3333333333333295E-4</v>
      </c>
      <c r="AG393">
        <v>1</v>
      </c>
      <c r="AH393">
        <v>1</v>
      </c>
      <c r="AI393">
        <v>10</v>
      </c>
      <c r="AJ393">
        <v>8.3333333333333295E-4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1.6666666666666701E-2</v>
      </c>
      <c r="AQ393">
        <v>2.7777777777777799E-4</v>
      </c>
      <c r="AR393">
        <v>10</v>
      </c>
      <c r="AS393">
        <v>0</v>
      </c>
      <c r="AT393">
        <v>0</v>
      </c>
    </row>
    <row r="394" spans="1:46">
      <c r="A394" t="s">
        <v>593</v>
      </c>
      <c r="B394">
        <v>11</v>
      </c>
      <c r="C394" t="s">
        <v>679</v>
      </c>
      <c r="D394">
        <v>1</v>
      </c>
      <c r="E394">
        <v>0</v>
      </c>
      <c r="F394">
        <v>0</v>
      </c>
      <c r="G394">
        <v>1</v>
      </c>
      <c r="H394">
        <v>0</v>
      </c>
      <c r="I394">
        <v>1</v>
      </c>
      <c r="J394">
        <v>1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1</v>
      </c>
      <c r="AC394">
        <v>1</v>
      </c>
      <c r="AD394">
        <v>9</v>
      </c>
      <c r="AE394">
        <v>8.3333333333333295E-4</v>
      </c>
      <c r="AF394">
        <v>8.3333333333333295E-4</v>
      </c>
      <c r="AG394">
        <v>1</v>
      </c>
      <c r="AH394">
        <v>1</v>
      </c>
      <c r="AI394">
        <v>11</v>
      </c>
      <c r="AJ394">
        <v>8.3333333333333295E-4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1.6666666666666701E-2</v>
      </c>
      <c r="AQ394">
        <v>2.7777777777777799E-4</v>
      </c>
      <c r="AR394">
        <v>11</v>
      </c>
      <c r="AS394">
        <v>0</v>
      </c>
      <c r="AT394">
        <v>0</v>
      </c>
    </row>
    <row r="395" spans="1:46">
      <c r="A395" t="s">
        <v>593</v>
      </c>
      <c r="B395">
        <v>12</v>
      </c>
      <c r="C395" t="s">
        <v>680</v>
      </c>
      <c r="D395">
        <v>1</v>
      </c>
      <c r="E395">
        <v>0</v>
      </c>
      <c r="F395">
        <v>0</v>
      </c>
      <c r="G395">
        <v>1</v>
      </c>
      <c r="H395">
        <v>0</v>
      </c>
      <c r="I395">
        <v>1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1</v>
      </c>
      <c r="AC395">
        <v>1</v>
      </c>
      <c r="AD395">
        <v>10</v>
      </c>
      <c r="AE395">
        <v>8.3333333333333295E-4</v>
      </c>
      <c r="AF395">
        <v>8.3333333333333295E-4</v>
      </c>
      <c r="AG395">
        <v>1</v>
      </c>
      <c r="AH395">
        <v>1</v>
      </c>
      <c r="AI395">
        <v>12</v>
      </c>
      <c r="AJ395">
        <v>8.3333333333333295E-4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1.6666666666666701E-2</v>
      </c>
      <c r="AQ395">
        <v>2.7777777777777799E-4</v>
      </c>
      <c r="AR395">
        <v>12</v>
      </c>
      <c r="AS395">
        <v>0</v>
      </c>
      <c r="AT395">
        <v>0</v>
      </c>
    </row>
    <row r="396" spans="1:46">
      <c r="A396" t="s">
        <v>593</v>
      </c>
      <c r="B396">
        <v>13</v>
      </c>
      <c r="C396" t="s">
        <v>681</v>
      </c>
      <c r="D396">
        <v>1</v>
      </c>
      <c r="E396">
        <v>0</v>
      </c>
      <c r="F396">
        <v>0</v>
      </c>
      <c r="G396">
        <v>1</v>
      </c>
      <c r="H396">
        <v>0</v>
      </c>
      <c r="I396">
        <v>1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1</v>
      </c>
      <c r="AC396">
        <v>1</v>
      </c>
      <c r="AD396">
        <v>11</v>
      </c>
      <c r="AE396">
        <v>8.3333333333333295E-4</v>
      </c>
      <c r="AF396">
        <v>8.3333333333333295E-4</v>
      </c>
      <c r="AG396">
        <v>1</v>
      </c>
      <c r="AH396">
        <v>1</v>
      </c>
      <c r="AI396">
        <v>13</v>
      </c>
      <c r="AJ396">
        <v>8.3333333333333295E-4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1.6666666666666701E-2</v>
      </c>
      <c r="AQ396">
        <v>2.7777777777777799E-4</v>
      </c>
      <c r="AR396">
        <v>13</v>
      </c>
      <c r="AS396">
        <v>0</v>
      </c>
      <c r="AT396">
        <v>0</v>
      </c>
    </row>
    <row r="397" spans="1:46">
      <c r="A397" t="s">
        <v>593</v>
      </c>
      <c r="B397">
        <v>14</v>
      </c>
      <c r="C397" t="s">
        <v>682</v>
      </c>
      <c r="D397">
        <v>1</v>
      </c>
      <c r="E397">
        <v>0</v>
      </c>
      <c r="F397">
        <v>0</v>
      </c>
      <c r="G397">
        <v>1</v>
      </c>
      <c r="H397">
        <v>0</v>
      </c>
      <c r="I397">
        <v>1</v>
      </c>
      <c r="J397">
        <v>1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1</v>
      </c>
      <c r="AC397">
        <v>1</v>
      </c>
      <c r="AD397">
        <v>12</v>
      </c>
      <c r="AE397">
        <v>8.3333333333333295E-4</v>
      </c>
      <c r="AF397">
        <v>8.3333333333333295E-4</v>
      </c>
      <c r="AG397">
        <v>1</v>
      </c>
      <c r="AH397">
        <v>1</v>
      </c>
      <c r="AI397">
        <v>14</v>
      </c>
      <c r="AJ397">
        <v>8.3333333333333295E-4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1.6666666666666701E-2</v>
      </c>
      <c r="AQ397">
        <v>2.7777777777777799E-4</v>
      </c>
      <c r="AR397">
        <v>14</v>
      </c>
      <c r="AS397">
        <v>0</v>
      </c>
      <c r="AT397">
        <v>0</v>
      </c>
    </row>
    <row r="398" spans="1:46">
      <c r="A398" t="s">
        <v>593</v>
      </c>
      <c r="B398">
        <v>15</v>
      </c>
      <c r="C398" t="s">
        <v>683</v>
      </c>
      <c r="D398">
        <v>1</v>
      </c>
      <c r="E398">
        <v>0</v>
      </c>
      <c r="F398">
        <v>0</v>
      </c>
      <c r="G398">
        <v>1</v>
      </c>
      <c r="H398">
        <v>0</v>
      </c>
      <c r="I398">
        <v>1</v>
      </c>
      <c r="J398">
        <v>1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1</v>
      </c>
      <c r="AC398">
        <v>1</v>
      </c>
      <c r="AD398">
        <v>13</v>
      </c>
      <c r="AE398">
        <v>8.3333333333333295E-4</v>
      </c>
      <c r="AF398">
        <v>8.3333333333333295E-4</v>
      </c>
      <c r="AG398">
        <v>1</v>
      </c>
      <c r="AH398">
        <v>1</v>
      </c>
      <c r="AI398">
        <v>15</v>
      </c>
      <c r="AJ398">
        <v>8.3333333333333295E-4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1.6666666666666701E-2</v>
      </c>
      <c r="AQ398">
        <v>2.7777777777777799E-4</v>
      </c>
      <c r="AR398">
        <v>15</v>
      </c>
      <c r="AS398">
        <v>0</v>
      </c>
      <c r="AT398">
        <v>0</v>
      </c>
    </row>
    <row r="399" spans="1:46">
      <c r="A399" t="s">
        <v>593</v>
      </c>
      <c r="B399">
        <v>16</v>
      </c>
      <c r="C399" t="s">
        <v>684</v>
      </c>
      <c r="D399">
        <v>1</v>
      </c>
      <c r="E399">
        <v>0</v>
      </c>
      <c r="F399">
        <v>0</v>
      </c>
      <c r="G399">
        <v>1</v>
      </c>
      <c r="H399">
        <v>0</v>
      </c>
      <c r="I399">
        <v>1</v>
      </c>
      <c r="J399">
        <v>1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1</v>
      </c>
      <c r="AC399">
        <v>1</v>
      </c>
      <c r="AD399">
        <v>14</v>
      </c>
      <c r="AE399">
        <v>8.3333333333333295E-4</v>
      </c>
      <c r="AF399">
        <v>8.3333333333333295E-4</v>
      </c>
      <c r="AG399">
        <v>1</v>
      </c>
      <c r="AH399">
        <v>1</v>
      </c>
      <c r="AI399">
        <v>16</v>
      </c>
      <c r="AJ399">
        <v>8.3333333333333295E-4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1.6666666666666701E-2</v>
      </c>
      <c r="AQ399">
        <v>2.7777777777777799E-4</v>
      </c>
      <c r="AR399">
        <v>16</v>
      </c>
      <c r="AS399">
        <v>0</v>
      </c>
      <c r="AT399">
        <v>0</v>
      </c>
    </row>
    <row r="400" spans="1:46">
      <c r="A400" t="s">
        <v>593</v>
      </c>
      <c r="B400">
        <v>17</v>
      </c>
      <c r="C400" t="s">
        <v>685</v>
      </c>
      <c r="D400">
        <v>1</v>
      </c>
      <c r="E400">
        <v>0</v>
      </c>
      <c r="F400">
        <v>0</v>
      </c>
      <c r="G400">
        <v>1</v>
      </c>
      <c r="H400">
        <v>0</v>
      </c>
      <c r="I400">
        <v>1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1</v>
      </c>
      <c r="AC400">
        <v>1</v>
      </c>
      <c r="AD400">
        <v>15</v>
      </c>
      <c r="AE400">
        <v>8.3333333333333295E-4</v>
      </c>
      <c r="AF400">
        <v>8.3333333333333295E-4</v>
      </c>
      <c r="AG400">
        <v>1</v>
      </c>
      <c r="AH400">
        <v>1</v>
      </c>
      <c r="AI400">
        <v>17</v>
      </c>
      <c r="AJ400">
        <v>8.3333333333333295E-4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1.6666666666666701E-2</v>
      </c>
      <c r="AQ400">
        <v>2.7777777777777799E-4</v>
      </c>
      <c r="AR400">
        <v>17</v>
      </c>
      <c r="AS400">
        <v>0</v>
      </c>
      <c r="AT400">
        <v>0</v>
      </c>
    </row>
    <row r="401" spans="1:46">
      <c r="A401" t="s">
        <v>593</v>
      </c>
      <c r="B401">
        <v>18</v>
      </c>
      <c r="C401" t="s">
        <v>686</v>
      </c>
      <c r="D401">
        <v>1</v>
      </c>
      <c r="E401">
        <v>0</v>
      </c>
      <c r="F401">
        <v>0</v>
      </c>
      <c r="G401">
        <v>1</v>
      </c>
      <c r="H401">
        <v>0</v>
      </c>
      <c r="I401">
        <v>1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1</v>
      </c>
      <c r="AC401">
        <v>1</v>
      </c>
      <c r="AD401">
        <v>16</v>
      </c>
      <c r="AE401">
        <v>8.3333333333333295E-4</v>
      </c>
      <c r="AF401">
        <v>8.3333333333333295E-4</v>
      </c>
      <c r="AG401">
        <v>1</v>
      </c>
      <c r="AH401">
        <v>1</v>
      </c>
      <c r="AI401">
        <v>18</v>
      </c>
      <c r="AJ401">
        <v>8.3333333333333295E-4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1.6666666666666701E-2</v>
      </c>
      <c r="AQ401">
        <v>2.7777777777777799E-4</v>
      </c>
      <c r="AR401">
        <v>18</v>
      </c>
      <c r="AS401">
        <v>0</v>
      </c>
      <c r="AT401">
        <v>0</v>
      </c>
    </row>
    <row r="402" spans="1:46">
      <c r="A402" t="s">
        <v>593</v>
      </c>
      <c r="B402">
        <v>19</v>
      </c>
      <c r="C402" t="s">
        <v>687</v>
      </c>
      <c r="D402">
        <v>1</v>
      </c>
      <c r="E402">
        <v>0</v>
      </c>
      <c r="F402">
        <v>0</v>
      </c>
      <c r="G402">
        <v>1</v>
      </c>
      <c r="H402">
        <v>0</v>
      </c>
      <c r="I402">
        <v>1</v>
      </c>
      <c r="J402">
        <v>1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1</v>
      </c>
      <c r="AC402">
        <v>1</v>
      </c>
      <c r="AD402">
        <v>17</v>
      </c>
      <c r="AE402">
        <v>8.3333333333333295E-4</v>
      </c>
      <c r="AF402">
        <v>8.3333333333333295E-4</v>
      </c>
      <c r="AG402">
        <v>1</v>
      </c>
      <c r="AH402">
        <v>1</v>
      </c>
      <c r="AI402">
        <v>19</v>
      </c>
      <c r="AJ402">
        <v>8.3333333333333295E-4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1.6666666666666701E-2</v>
      </c>
      <c r="AQ402">
        <v>2.7777777777777799E-4</v>
      </c>
      <c r="AR402">
        <v>19</v>
      </c>
      <c r="AS402">
        <v>0</v>
      </c>
      <c r="AT402">
        <v>0</v>
      </c>
    </row>
    <row r="403" spans="1:46">
      <c r="A403" t="s">
        <v>593</v>
      </c>
      <c r="B403">
        <v>20</v>
      </c>
      <c r="C403" t="s">
        <v>688</v>
      </c>
      <c r="D403">
        <v>1</v>
      </c>
      <c r="E403">
        <v>0</v>
      </c>
      <c r="F403">
        <v>0</v>
      </c>
      <c r="G403">
        <v>1</v>
      </c>
      <c r="H403">
        <v>0</v>
      </c>
      <c r="I403">
        <v>1</v>
      </c>
      <c r="J403">
        <v>1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1</v>
      </c>
      <c r="AC403">
        <v>1</v>
      </c>
      <c r="AD403">
        <v>18</v>
      </c>
      <c r="AE403">
        <v>8.3333333333333295E-4</v>
      </c>
      <c r="AF403">
        <v>8.3333333333333295E-4</v>
      </c>
      <c r="AG403">
        <v>1</v>
      </c>
      <c r="AH403">
        <v>1</v>
      </c>
      <c r="AI403">
        <v>20</v>
      </c>
      <c r="AJ403">
        <v>8.3333333333333295E-4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1.6666666666666701E-2</v>
      </c>
      <c r="AQ403">
        <v>2.7777777777777799E-4</v>
      </c>
      <c r="AR403">
        <v>20</v>
      </c>
      <c r="AS403">
        <v>0</v>
      </c>
      <c r="AT403">
        <v>0</v>
      </c>
    </row>
  </sheetData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workbookViewId="0">
      <selection activeCell="G14" sqref="G14"/>
    </sheetView>
  </sheetViews>
  <sheetFormatPr defaultColWidth="8.58203125" defaultRowHeight="14"/>
  <cols>
    <col min="1" max="1" width="13.83203125" customWidth="1"/>
    <col min="3" max="3" width="13.33203125" customWidth="1"/>
    <col min="4" max="12" width="17.58203125" customWidth="1"/>
  </cols>
  <sheetData>
    <row r="1" spans="1:12">
      <c r="A1" t="s">
        <v>689</v>
      </c>
    </row>
    <row r="2" spans="1:12" s="41" customFormat="1" ht="16.5" customHeight="1">
      <c r="A2" s="41" t="s">
        <v>690</v>
      </c>
      <c r="B2" s="3" t="s">
        <v>691</v>
      </c>
      <c r="C2" s="3" t="s">
        <v>692</v>
      </c>
      <c r="D2" s="3" t="s">
        <v>693</v>
      </c>
      <c r="E2" s="3" t="s">
        <v>694</v>
      </c>
      <c r="F2" s="3" t="s">
        <v>695</v>
      </c>
      <c r="G2" s="3" t="s">
        <v>696</v>
      </c>
      <c r="H2" s="3" t="s">
        <v>697</v>
      </c>
      <c r="I2" s="3" t="s">
        <v>698</v>
      </c>
      <c r="J2" s="3" t="s">
        <v>699</v>
      </c>
      <c r="K2" s="3" t="s">
        <v>700</v>
      </c>
      <c r="L2" s="3" t="s">
        <v>701</v>
      </c>
    </row>
    <row r="3" spans="1:12" s="41" customFormat="1" ht="16.5" customHeight="1">
      <c r="A3" s="41" t="s">
        <v>702</v>
      </c>
      <c r="B3" s="3" t="s">
        <v>703</v>
      </c>
      <c r="C3" s="3"/>
      <c r="D3" s="3" t="s">
        <v>704</v>
      </c>
      <c r="E3" s="3" t="s">
        <v>705</v>
      </c>
      <c r="F3" s="3" t="s">
        <v>706</v>
      </c>
      <c r="G3" s="3" t="s">
        <v>707</v>
      </c>
      <c r="H3" s="3" t="s">
        <v>708</v>
      </c>
      <c r="I3" s="3" t="s">
        <v>709</v>
      </c>
      <c r="J3" s="3" t="s">
        <v>710</v>
      </c>
      <c r="K3" s="3" t="s">
        <v>711</v>
      </c>
      <c r="L3" s="3" t="s">
        <v>712</v>
      </c>
    </row>
    <row r="4" spans="1:12" s="41" customFormat="1" ht="16.5" customHeight="1">
      <c r="A4" s="217">
        <v>15</v>
      </c>
      <c r="B4" s="218">
        <v>201</v>
      </c>
      <c r="C4" s="90" t="s">
        <v>66</v>
      </c>
      <c r="D4" s="219">
        <v>50</v>
      </c>
      <c r="E4" s="219">
        <v>30</v>
      </c>
      <c r="F4" s="219">
        <v>10</v>
      </c>
      <c r="G4" s="219">
        <v>30</v>
      </c>
      <c r="H4" s="219">
        <v>40</v>
      </c>
      <c r="I4" s="219">
        <v>60</v>
      </c>
      <c r="J4" s="219">
        <v>65</v>
      </c>
      <c r="K4" s="220" t="s">
        <v>229</v>
      </c>
      <c r="L4" s="219">
        <v>3</v>
      </c>
    </row>
  </sheetData>
  <phoneticPr fontId="23" type="noConversion"/>
  <conditionalFormatting sqref="B4">
    <cfRule type="duplicateValues" dxfId="16" priority="1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75"/>
  <sheetViews>
    <sheetView tabSelected="1" topLeftCell="AL1" workbookViewId="0">
      <selection activeCell="AW41" sqref="AW41"/>
    </sheetView>
  </sheetViews>
  <sheetFormatPr defaultColWidth="9" defaultRowHeight="14"/>
  <cols>
    <col min="1" max="1" width="9.33203125" customWidth="1"/>
    <col min="2" max="2" width="14.58203125" customWidth="1"/>
    <col min="3" max="3" width="19.83203125" customWidth="1"/>
    <col min="4" max="4" width="25.58203125" customWidth="1"/>
    <col min="5" max="5" width="64.83203125" customWidth="1"/>
    <col min="6" max="6" width="14" customWidth="1"/>
    <col min="7" max="7" width="19.33203125" customWidth="1"/>
    <col min="8" max="8" width="12" customWidth="1"/>
    <col min="9" max="9" width="9.33203125" customWidth="1"/>
    <col min="10" max="10" width="14.75" customWidth="1"/>
    <col min="11" max="11" width="8.25" customWidth="1"/>
    <col min="12" max="12" width="9.33203125" customWidth="1"/>
    <col min="13" max="13" width="8.25" customWidth="1"/>
    <col min="14" max="14" width="9.33203125" customWidth="1"/>
    <col min="15" max="15" width="11.25" customWidth="1"/>
    <col min="16" max="16" width="47.5" customWidth="1"/>
    <col min="17" max="17" width="10.33203125" customWidth="1"/>
    <col min="18" max="18" width="32.08203125" customWidth="1"/>
    <col min="19" max="19" width="10.33203125" customWidth="1"/>
    <col min="20" max="20" width="8.33203125" customWidth="1"/>
    <col min="21" max="21" width="9.33203125" customWidth="1"/>
    <col min="22" max="22" width="13" customWidth="1"/>
    <col min="23" max="23" width="10.33203125" customWidth="1"/>
    <col min="24" max="24" width="9" customWidth="1"/>
    <col min="25" max="25" width="10.33203125" customWidth="1"/>
    <col min="26" max="26" width="9.33203125" customWidth="1"/>
    <col min="27" max="27" width="11.33203125" customWidth="1"/>
    <col min="28" max="28" width="14" customWidth="1"/>
    <col min="29" max="29" width="12.33203125" customWidth="1"/>
    <col min="30" max="30" width="7.58203125" customWidth="1"/>
    <col min="31" max="31" width="12.58203125" customWidth="1"/>
    <col min="32" max="32" width="10.58203125" customWidth="1"/>
    <col min="33" max="33" width="12.33203125" customWidth="1"/>
    <col min="34" max="34" width="10.33203125" customWidth="1"/>
    <col min="35" max="35" width="16.33203125" customWidth="1"/>
    <col min="36" max="36" width="16" customWidth="1"/>
    <col min="37" max="37" width="16.33203125" customWidth="1"/>
    <col min="38" max="38" width="15.33203125" customWidth="1"/>
    <col min="39" max="39" width="16.08203125" customWidth="1"/>
    <col min="40" max="40" width="19.33203125" customWidth="1"/>
    <col min="41" max="41" width="17" customWidth="1"/>
    <col min="42" max="42" width="15.58203125" customWidth="1"/>
    <col min="43" max="43" width="17.33203125" customWidth="1"/>
    <col min="44" max="44" width="21.33203125" customWidth="1"/>
    <col min="45" max="45" width="10.33203125" customWidth="1"/>
    <col min="46" max="46" width="11.58203125" customWidth="1"/>
    <col min="47" max="47" width="8.33203125" customWidth="1"/>
    <col min="48" max="48" width="10" customWidth="1"/>
    <col min="49" max="49" width="13" customWidth="1"/>
    <col min="50" max="50" width="12.33203125" customWidth="1"/>
    <col min="51" max="51" width="14.83203125" customWidth="1"/>
    <col min="52" max="52" width="15.33203125" customWidth="1"/>
  </cols>
  <sheetData>
    <row r="1" spans="1:53" ht="14.5">
      <c r="A1" s="119" t="s">
        <v>713</v>
      </c>
      <c r="T1" s="169"/>
    </row>
    <row r="2" spans="1:53" ht="14.5">
      <c r="A2" s="45" t="s">
        <v>691</v>
      </c>
      <c r="B2" s="45" t="s">
        <v>692</v>
      </c>
      <c r="C2" s="45" t="s">
        <v>714</v>
      </c>
      <c r="D2" s="45" t="s">
        <v>715</v>
      </c>
      <c r="E2" s="45" t="s">
        <v>716</v>
      </c>
      <c r="F2" s="45" t="s">
        <v>717</v>
      </c>
      <c r="G2" s="45" t="s">
        <v>718</v>
      </c>
      <c r="H2" s="45" t="s">
        <v>719</v>
      </c>
      <c r="I2" s="45" t="s">
        <v>720</v>
      </c>
      <c r="J2" s="45" t="s">
        <v>721</v>
      </c>
      <c r="K2" s="45" t="s">
        <v>722</v>
      </c>
      <c r="L2" s="45" t="s">
        <v>723</v>
      </c>
      <c r="M2" s="45" t="s">
        <v>724</v>
      </c>
      <c r="N2" s="45" t="s">
        <v>725</v>
      </c>
      <c r="O2" s="45" t="s">
        <v>726</v>
      </c>
      <c r="P2" s="45" t="s">
        <v>727</v>
      </c>
      <c r="Q2" s="45" t="s">
        <v>728</v>
      </c>
      <c r="R2" s="45" t="s">
        <v>729</v>
      </c>
      <c r="S2" s="45" t="s">
        <v>730</v>
      </c>
      <c r="T2" s="170" t="s">
        <v>731</v>
      </c>
      <c r="U2" s="45" t="s">
        <v>732</v>
      </c>
      <c r="V2" s="45" t="s">
        <v>693</v>
      </c>
      <c r="W2" s="45" t="s">
        <v>694</v>
      </c>
      <c r="X2" s="45" t="s">
        <v>695</v>
      </c>
      <c r="Y2" s="45" t="s">
        <v>733</v>
      </c>
      <c r="Z2" s="45" t="s">
        <v>696</v>
      </c>
      <c r="AA2" s="45" t="s">
        <v>697</v>
      </c>
      <c r="AB2" s="45" t="s">
        <v>698</v>
      </c>
      <c r="AC2" s="45" t="s">
        <v>699</v>
      </c>
      <c r="AD2" s="45" t="s">
        <v>700</v>
      </c>
      <c r="AE2" s="45" t="s">
        <v>701</v>
      </c>
      <c r="AF2" s="45" t="s">
        <v>734</v>
      </c>
      <c r="AG2" s="45" t="s">
        <v>735</v>
      </c>
      <c r="AH2" s="45" t="s">
        <v>736</v>
      </c>
      <c r="AI2" s="45" t="s">
        <v>737</v>
      </c>
      <c r="AJ2" s="45" t="s">
        <v>738</v>
      </c>
      <c r="AK2" s="45" t="s">
        <v>739</v>
      </c>
      <c r="AL2" s="45" t="s">
        <v>740</v>
      </c>
      <c r="AM2" s="45" t="s">
        <v>741</v>
      </c>
      <c r="AN2" s="45" t="s">
        <v>742</v>
      </c>
      <c r="AO2" s="45" t="s">
        <v>743</v>
      </c>
      <c r="AP2" s="45" t="s">
        <v>744</v>
      </c>
      <c r="AQ2" s="45" t="s">
        <v>745</v>
      </c>
      <c r="AR2" s="45" t="s">
        <v>746</v>
      </c>
      <c r="AS2" s="45" t="s">
        <v>747</v>
      </c>
      <c r="AT2" s="45" t="s">
        <v>748</v>
      </c>
      <c r="AU2" s="45" t="s">
        <v>749</v>
      </c>
      <c r="AV2" s="45" t="s">
        <v>750</v>
      </c>
      <c r="AW2" s="45" t="s">
        <v>751</v>
      </c>
      <c r="AX2" s="45" t="s">
        <v>752</v>
      </c>
      <c r="AY2" s="45" t="s">
        <v>753</v>
      </c>
      <c r="AZ2" s="45" t="s">
        <v>754</v>
      </c>
      <c r="BA2" s="45" t="s">
        <v>755</v>
      </c>
    </row>
    <row r="3" spans="1:53" ht="14.5">
      <c r="A3" s="89" t="s">
        <v>702</v>
      </c>
      <c r="C3" s="89" t="s">
        <v>756</v>
      </c>
      <c r="D3" s="89" t="s">
        <v>757</v>
      </c>
      <c r="E3" s="89" t="s">
        <v>758</v>
      </c>
      <c r="F3" s="89" t="s">
        <v>759</v>
      </c>
      <c r="G3" s="89" t="s">
        <v>760</v>
      </c>
      <c r="H3" s="89" t="s">
        <v>761</v>
      </c>
      <c r="I3" s="89" t="s">
        <v>762</v>
      </c>
      <c r="J3" s="89" t="s">
        <v>763</v>
      </c>
      <c r="K3" s="89" t="s">
        <v>764</v>
      </c>
      <c r="L3" s="89" t="s">
        <v>765</v>
      </c>
      <c r="M3" s="89" t="s">
        <v>766</v>
      </c>
      <c r="N3" s="89" t="s">
        <v>767</v>
      </c>
      <c r="O3" s="89" t="s">
        <v>768</v>
      </c>
      <c r="P3" s="89" t="s">
        <v>769</v>
      </c>
      <c r="Q3" s="89" t="s">
        <v>770</v>
      </c>
      <c r="R3" s="89" t="s">
        <v>771</v>
      </c>
      <c r="S3" s="89" t="s">
        <v>772</v>
      </c>
      <c r="T3" s="171" t="s">
        <v>773</v>
      </c>
      <c r="U3" s="89" t="s">
        <v>774</v>
      </c>
      <c r="V3" s="89" t="s">
        <v>775</v>
      </c>
      <c r="W3" s="89" t="s">
        <v>776</v>
      </c>
      <c r="X3" s="89" t="s">
        <v>777</v>
      </c>
      <c r="Y3" s="89" t="s">
        <v>778</v>
      </c>
      <c r="Z3" s="89" t="s">
        <v>779</v>
      </c>
      <c r="AA3" s="89" t="s">
        <v>780</v>
      </c>
      <c r="AB3" s="89" t="s">
        <v>781</v>
      </c>
      <c r="AC3" s="89" t="s">
        <v>782</v>
      </c>
      <c r="AD3" s="89" t="s">
        <v>783</v>
      </c>
      <c r="AE3" s="89" t="s">
        <v>784</v>
      </c>
      <c r="AF3" s="89" t="s">
        <v>785</v>
      </c>
      <c r="AG3" s="89" t="s">
        <v>786</v>
      </c>
      <c r="AH3" s="89" t="s">
        <v>787</v>
      </c>
      <c r="AI3" s="89" t="s">
        <v>788</v>
      </c>
      <c r="AJ3" s="89" t="s">
        <v>789</v>
      </c>
      <c r="AK3" s="89" t="s">
        <v>790</v>
      </c>
      <c r="AL3" s="89" t="s">
        <v>791</v>
      </c>
      <c r="AM3" s="89" t="s">
        <v>792</v>
      </c>
      <c r="AN3" s="89" t="s">
        <v>793</v>
      </c>
      <c r="AO3" s="89" t="s">
        <v>794</v>
      </c>
      <c r="AP3" s="89" t="s">
        <v>795</v>
      </c>
      <c r="AQ3" s="89" t="s">
        <v>796</v>
      </c>
      <c r="AR3" s="89" t="s">
        <v>797</v>
      </c>
      <c r="AS3" s="89" t="s">
        <v>798</v>
      </c>
      <c r="AT3" s="89" t="s">
        <v>771</v>
      </c>
      <c r="AU3" s="89" t="s">
        <v>799</v>
      </c>
      <c r="AV3" s="89" t="s">
        <v>800</v>
      </c>
      <c r="AW3" s="89" t="s">
        <v>801</v>
      </c>
      <c r="AX3" s="89" t="s">
        <v>802</v>
      </c>
      <c r="AY3" s="89" t="s">
        <v>803</v>
      </c>
      <c r="AZ3" s="89" t="s">
        <v>804</v>
      </c>
      <c r="BA3" s="216" t="s">
        <v>805</v>
      </c>
    </row>
    <row r="4" spans="1:53" ht="14.5">
      <c r="A4" s="91">
        <v>201</v>
      </c>
      <c r="B4" s="91" t="s">
        <v>66</v>
      </c>
      <c r="C4" s="47">
        <v>1</v>
      </c>
      <c r="D4" s="91">
        <v>1</v>
      </c>
      <c r="E4" s="91" t="s">
        <v>806</v>
      </c>
      <c r="F4" s="91">
        <v>111</v>
      </c>
      <c r="G4" s="91"/>
      <c r="H4" s="91">
        <v>100</v>
      </c>
      <c r="I4" s="91">
        <v>0</v>
      </c>
      <c r="J4" s="91">
        <v>6</v>
      </c>
      <c r="K4" s="91">
        <v>6</v>
      </c>
      <c r="L4" s="91">
        <v>5</v>
      </c>
      <c r="M4" s="91">
        <v>5</v>
      </c>
      <c r="N4" s="91">
        <v>6</v>
      </c>
      <c r="O4" s="91">
        <v>6</v>
      </c>
      <c r="P4" s="91" t="s">
        <v>807</v>
      </c>
      <c r="Q4" s="91" t="s">
        <v>808</v>
      </c>
      <c r="R4" s="91"/>
      <c r="S4" s="125" t="s">
        <v>809</v>
      </c>
      <c r="T4" s="125" t="s">
        <v>810</v>
      </c>
      <c r="U4" s="125" t="s">
        <v>811</v>
      </c>
      <c r="V4" s="126">
        <v>50</v>
      </c>
      <c r="W4" s="126">
        <v>30</v>
      </c>
      <c r="X4" s="126">
        <v>10</v>
      </c>
      <c r="Y4" s="91">
        <v>15</v>
      </c>
      <c r="Z4" s="126">
        <v>30</v>
      </c>
      <c r="AA4" s="126">
        <v>40</v>
      </c>
      <c r="AB4" s="126">
        <v>60</v>
      </c>
      <c r="AC4" s="126">
        <v>65</v>
      </c>
      <c r="AD4" s="125" t="s">
        <v>229</v>
      </c>
      <c r="AE4" s="126">
        <v>3</v>
      </c>
      <c r="AF4" s="128" t="s">
        <v>812</v>
      </c>
      <c r="AG4" s="128" t="s">
        <v>813</v>
      </c>
      <c r="AH4" s="172" t="s">
        <v>814</v>
      </c>
      <c r="AI4" s="91" t="s">
        <v>815</v>
      </c>
      <c r="AJ4" s="212" t="s">
        <v>816</v>
      </c>
      <c r="AK4" s="212" t="s">
        <v>817</v>
      </c>
      <c r="AL4" s="212" t="s">
        <v>818</v>
      </c>
      <c r="AM4" s="91" t="s">
        <v>815</v>
      </c>
      <c r="AN4" s="212" t="s">
        <v>819</v>
      </c>
      <c r="AO4" s="212" t="s">
        <v>817</v>
      </c>
      <c r="AP4" s="212" t="s">
        <v>819</v>
      </c>
      <c r="AQ4" s="91" t="s">
        <v>820</v>
      </c>
      <c r="AR4" s="91" t="s">
        <v>820</v>
      </c>
      <c r="AS4" s="212">
        <v>0</v>
      </c>
      <c r="AT4" s="212"/>
      <c r="AU4" s="212">
        <v>24</v>
      </c>
      <c r="AV4" s="212">
        <v>2011</v>
      </c>
      <c r="AW4" s="212">
        <v>0</v>
      </c>
      <c r="AX4" s="212"/>
      <c r="AZ4" s="47">
        <v>80</v>
      </c>
    </row>
    <row r="5" spans="1:53" ht="14.5">
      <c r="A5" s="47">
        <v>202</v>
      </c>
      <c r="B5" s="47" t="s">
        <v>154</v>
      </c>
      <c r="C5" s="47">
        <v>2</v>
      </c>
      <c r="D5" s="47">
        <v>1</v>
      </c>
      <c r="E5" s="47" t="s">
        <v>821</v>
      </c>
      <c r="H5" s="47">
        <v>95</v>
      </c>
      <c r="I5" s="47">
        <v>0</v>
      </c>
      <c r="J5" s="47">
        <v>4</v>
      </c>
      <c r="K5" s="47">
        <v>4</v>
      </c>
      <c r="L5" s="91">
        <v>3</v>
      </c>
      <c r="M5" s="91">
        <v>3</v>
      </c>
      <c r="N5" s="47">
        <v>3</v>
      </c>
      <c r="O5" s="47">
        <v>3</v>
      </c>
      <c r="P5" s="91" t="s">
        <v>822</v>
      </c>
      <c r="Q5" s="47" t="s">
        <v>823</v>
      </c>
      <c r="S5" s="205" t="s">
        <v>809</v>
      </c>
      <c r="T5" s="206" t="s">
        <v>824</v>
      </c>
      <c r="U5" s="205" t="s">
        <v>825</v>
      </c>
      <c r="V5" s="126">
        <v>28</v>
      </c>
      <c r="W5" s="126">
        <v>30</v>
      </c>
      <c r="X5" s="126">
        <v>10</v>
      </c>
      <c r="Y5" s="126">
        <v>15</v>
      </c>
      <c r="Z5" s="126">
        <v>17</v>
      </c>
      <c r="AA5" s="126">
        <v>22</v>
      </c>
      <c r="AB5" s="126">
        <v>33</v>
      </c>
      <c r="AC5" s="126">
        <v>38</v>
      </c>
      <c r="AD5" s="125" t="s">
        <v>229</v>
      </c>
      <c r="AE5" s="126">
        <v>2</v>
      </c>
      <c r="AF5" s="127" t="s">
        <v>826</v>
      </c>
      <c r="AG5" s="127" t="s">
        <v>827</v>
      </c>
      <c r="AH5" s="172" t="s">
        <v>828</v>
      </c>
      <c r="AI5" s="47" t="s">
        <v>815</v>
      </c>
      <c r="AJ5" s="47" t="s">
        <v>816</v>
      </c>
      <c r="AK5" s="213" t="s">
        <v>817</v>
      </c>
      <c r="AL5" s="213" t="s">
        <v>818</v>
      </c>
      <c r="AM5" s="47" t="s">
        <v>815</v>
      </c>
      <c r="AN5" s="213" t="s">
        <v>819</v>
      </c>
      <c r="AO5" s="213" t="s">
        <v>817</v>
      </c>
      <c r="AP5" s="213" t="s">
        <v>819</v>
      </c>
      <c r="AQ5" s="47" t="s">
        <v>820</v>
      </c>
      <c r="AR5" s="47" t="s">
        <v>820</v>
      </c>
      <c r="AS5" s="213">
        <v>1</v>
      </c>
      <c r="AT5" s="213"/>
      <c r="AU5" s="213">
        <v>8</v>
      </c>
      <c r="AV5" s="213">
        <v>2021</v>
      </c>
      <c r="AW5" s="213">
        <v>2022</v>
      </c>
      <c r="AX5" s="213"/>
      <c r="AY5" s="91"/>
      <c r="AZ5" s="91">
        <v>30</v>
      </c>
    </row>
    <row r="6" spans="1:53" ht="14.5">
      <c r="A6" s="91">
        <v>203</v>
      </c>
      <c r="B6" s="91" t="s">
        <v>202</v>
      </c>
      <c r="C6" s="91">
        <v>3</v>
      </c>
      <c r="D6" s="91">
        <v>1</v>
      </c>
      <c r="E6" s="91" t="s">
        <v>829</v>
      </c>
      <c r="H6" s="91">
        <v>71</v>
      </c>
      <c r="I6" s="91">
        <v>0</v>
      </c>
      <c r="J6" s="91">
        <v>4</v>
      </c>
      <c r="K6" s="91">
        <v>4</v>
      </c>
      <c r="L6" s="91">
        <v>3</v>
      </c>
      <c r="M6" s="91">
        <v>3</v>
      </c>
      <c r="N6" s="91">
        <v>2</v>
      </c>
      <c r="O6" s="91">
        <v>2</v>
      </c>
      <c r="P6" s="91" t="s">
        <v>830</v>
      </c>
      <c r="Q6" s="91" t="s">
        <v>831</v>
      </c>
      <c r="S6" s="125" t="s">
        <v>809</v>
      </c>
      <c r="T6" s="125" t="s">
        <v>832</v>
      </c>
      <c r="U6" s="125" t="s">
        <v>825</v>
      </c>
      <c r="V6" s="126">
        <v>38</v>
      </c>
      <c r="W6" s="126">
        <v>30</v>
      </c>
      <c r="X6" s="126">
        <v>10</v>
      </c>
      <c r="Y6" s="91">
        <v>15</v>
      </c>
      <c r="Z6" s="126">
        <v>25</v>
      </c>
      <c r="AA6" s="126">
        <v>30</v>
      </c>
      <c r="AB6" s="126">
        <v>45</v>
      </c>
      <c r="AC6" s="126">
        <v>50</v>
      </c>
      <c r="AD6" s="125" t="s">
        <v>229</v>
      </c>
      <c r="AE6" s="126">
        <v>3</v>
      </c>
      <c r="AF6" s="128" t="s">
        <v>833</v>
      </c>
      <c r="AG6" s="128" t="s">
        <v>834</v>
      </c>
      <c r="AH6" s="172" t="s">
        <v>835</v>
      </c>
      <c r="AI6" s="91" t="s">
        <v>815</v>
      </c>
      <c r="AJ6" s="91" t="s">
        <v>816</v>
      </c>
      <c r="AK6" s="212" t="s">
        <v>817</v>
      </c>
      <c r="AL6" s="212" t="s">
        <v>818</v>
      </c>
      <c r="AM6" s="91" t="s">
        <v>815</v>
      </c>
      <c r="AN6" s="212" t="s">
        <v>819</v>
      </c>
      <c r="AO6" s="212" t="s">
        <v>817</v>
      </c>
      <c r="AP6" s="212" t="s">
        <v>819</v>
      </c>
      <c r="AQ6" s="91" t="s">
        <v>820</v>
      </c>
      <c r="AR6" s="91" t="s">
        <v>820</v>
      </c>
      <c r="AS6" s="212">
        <v>0</v>
      </c>
      <c r="AT6" s="212"/>
      <c r="AU6" s="212">
        <v>9</v>
      </c>
      <c r="AV6" s="212">
        <v>2031</v>
      </c>
      <c r="AW6" s="212">
        <v>0</v>
      </c>
      <c r="AX6" s="212"/>
      <c r="AY6" t="s">
        <v>836</v>
      </c>
      <c r="AZ6" s="47">
        <v>30</v>
      </c>
    </row>
    <row r="7" spans="1:53" ht="14.5">
      <c r="A7" s="47">
        <v>204</v>
      </c>
      <c r="B7" s="47" t="s">
        <v>226</v>
      </c>
      <c r="C7" s="47">
        <v>5</v>
      </c>
      <c r="D7" s="47">
        <v>1</v>
      </c>
      <c r="E7" s="47" t="s">
        <v>837</v>
      </c>
      <c r="H7" s="47">
        <v>74</v>
      </c>
      <c r="I7" s="47">
        <v>0</v>
      </c>
      <c r="J7" s="47">
        <v>4</v>
      </c>
      <c r="K7" s="47">
        <v>4</v>
      </c>
      <c r="L7" s="91">
        <v>3</v>
      </c>
      <c r="M7" s="91">
        <v>3</v>
      </c>
      <c r="N7" s="47">
        <v>2</v>
      </c>
      <c r="O7" s="47">
        <v>2</v>
      </c>
      <c r="P7" s="91" t="s">
        <v>838</v>
      </c>
      <c r="Q7" s="47" t="s">
        <v>839</v>
      </c>
      <c r="S7" s="205" t="s">
        <v>809</v>
      </c>
      <c r="T7" s="206" t="s">
        <v>840</v>
      </c>
      <c r="U7" s="205" t="s">
        <v>825</v>
      </c>
      <c r="V7" s="126">
        <v>28</v>
      </c>
      <c r="W7" s="126">
        <v>30</v>
      </c>
      <c r="X7" s="126">
        <v>10</v>
      </c>
      <c r="Y7" s="126">
        <v>15</v>
      </c>
      <c r="Z7" s="126">
        <v>17</v>
      </c>
      <c r="AA7" s="126">
        <v>22</v>
      </c>
      <c r="AB7" s="126">
        <v>33</v>
      </c>
      <c r="AC7" s="126">
        <v>38</v>
      </c>
      <c r="AD7" s="125" t="s">
        <v>229</v>
      </c>
      <c r="AE7" s="126">
        <v>3</v>
      </c>
      <c r="AF7" s="127" t="s">
        <v>841</v>
      </c>
      <c r="AG7" s="127" t="s">
        <v>842</v>
      </c>
      <c r="AH7" s="172" t="s">
        <v>843</v>
      </c>
      <c r="AI7" s="47" t="s">
        <v>815</v>
      </c>
      <c r="AJ7" s="47" t="s">
        <v>816</v>
      </c>
      <c r="AK7" s="213" t="s">
        <v>817</v>
      </c>
      <c r="AL7" s="213" t="s">
        <v>818</v>
      </c>
      <c r="AM7" s="47" t="s">
        <v>815</v>
      </c>
      <c r="AN7" s="213" t="s">
        <v>819</v>
      </c>
      <c r="AO7" s="213" t="s">
        <v>817</v>
      </c>
      <c r="AP7" s="213" t="s">
        <v>819</v>
      </c>
      <c r="AQ7" s="47" t="s">
        <v>820</v>
      </c>
      <c r="AR7" s="47" t="s">
        <v>820</v>
      </c>
      <c r="AS7" s="213">
        <v>0</v>
      </c>
      <c r="AT7" s="213"/>
      <c r="AU7" s="213">
        <v>3</v>
      </c>
      <c r="AV7" s="213">
        <v>2041</v>
      </c>
      <c r="AW7" s="213">
        <v>0</v>
      </c>
      <c r="AX7" s="213"/>
      <c r="AY7" t="s">
        <v>844</v>
      </c>
      <c r="AZ7" s="91">
        <v>30</v>
      </c>
    </row>
    <row r="8" spans="1:53" ht="14.5">
      <c r="A8" s="47">
        <v>205</v>
      </c>
      <c r="B8" s="47" t="s">
        <v>249</v>
      </c>
      <c r="C8" s="47">
        <v>6</v>
      </c>
      <c r="D8" s="47">
        <v>1</v>
      </c>
      <c r="E8" s="47" t="s">
        <v>845</v>
      </c>
      <c r="F8" s="47"/>
      <c r="G8" s="47"/>
      <c r="H8" s="126">
        <v>73</v>
      </c>
      <c r="I8" s="47">
        <v>0</v>
      </c>
      <c r="J8" s="47">
        <v>4</v>
      </c>
      <c r="K8" s="47">
        <v>4</v>
      </c>
      <c r="L8" s="91">
        <v>3</v>
      </c>
      <c r="M8" s="91">
        <v>3</v>
      </c>
      <c r="N8" s="47">
        <v>2</v>
      </c>
      <c r="O8" s="47">
        <v>2</v>
      </c>
      <c r="P8" s="91" t="s">
        <v>846</v>
      </c>
      <c r="Q8" s="47" t="s">
        <v>847</v>
      </c>
      <c r="R8" s="47"/>
      <c r="S8" s="205" t="s">
        <v>809</v>
      </c>
      <c r="T8" s="206" t="s">
        <v>840</v>
      </c>
      <c r="U8" s="205" t="s">
        <v>825</v>
      </c>
      <c r="V8" s="126">
        <v>28</v>
      </c>
      <c r="W8" s="126">
        <v>30</v>
      </c>
      <c r="X8" s="126">
        <v>10</v>
      </c>
      <c r="Y8" s="126">
        <v>15</v>
      </c>
      <c r="Z8" s="126">
        <v>17</v>
      </c>
      <c r="AA8" s="126">
        <v>22</v>
      </c>
      <c r="AB8" s="126">
        <v>33</v>
      </c>
      <c r="AC8" s="126">
        <v>38</v>
      </c>
      <c r="AD8" s="125" t="s">
        <v>229</v>
      </c>
      <c r="AE8" s="126">
        <v>2</v>
      </c>
      <c r="AF8" s="127" t="s">
        <v>848</v>
      </c>
      <c r="AG8" s="127" t="s">
        <v>849</v>
      </c>
      <c r="AH8" s="172" t="s">
        <v>850</v>
      </c>
      <c r="AI8" s="47" t="s">
        <v>815</v>
      </c>
      <c r="AJ8" s="47" t="s">
        <v>816</v>
      </c>
      <c r="AK8" s="213" t="s">
        <v>817</v>
      </c>
      <c r="AL8" s="213" t="s">
        <v>818</v>
      </c>
      <c r="AM8" s="47" t="s">
        <v>815</v>
      </c>
      <c r="AN8" s="213" t="s">
        <v>819</v>
      </c>
      <c r="AO8" s="213" t="s">
        <v>817</v>
      </c>
      <c r="AP8" s="213" t="s">
        <v>819</v>
      </c>
      <c r="AQ8" s="47" t="s">
        <v>820</v>
      </c>
      <c r="AR8" s="47" t="s">
        <v>820</v>
      </c>
      <c r="AS8" s="213">
        <v>0</v>
      </c>
      <c r="AT8" s="213"/>
      <c r="AU8" s="213">
        <v>10</v>
      </c>
      <c r="AV8" s="213">
        <v>2051</v>
      </c>
      <c r="AW8" s="213">
        <v>0</v>
      </c>
      <c r="AX8" s="213"/>
      <c r="AY8" t="s">
        <v>851</v>
      </c>
      <c r="AZ8" s="47">
        <v>30</v>
      </c>
    </row>
    <row r="9" spans="1:53" ht="14.5">
      <c r="A9" s="91">
        <v>206</v>
      </c>
      <c r="B9" s="91" t="s">
        <v>293</v>
      </c>
      <c r="C9" s="91">
        <v>101</v>
      </c>
      <c r="D9" s="91">
        <v>2</v>
      </c>
      <c r="E9" s="91" t="s">
        <v>852</v>
      </c>
      <c r="F9" s="91"/>
      <c r="G9" s="91"/>
      <c r="H9" s="91">
        <v>93</v>
      </c>
      <c r="I9" s="91">
        <v>0</v>
      </c>
      <c r="J9" s="91">
        <v>6</v>
      </c>
      <c r="K9" s="91">
        <v>6</v>
      </c>
      <c r="L9" s="91">
        <v>4</v>
      </c>
      <c r="M9" s="91">
        <v>4</v>
      </c>
      <c r="N9" s="47">
        <v>3</v>
      </c>
      <c r="O9" s="47">
        <v>3</v>
      </c>
      <c r="P9" s="91" t="s">
        <v>853</v>
      </c>
      <c r="Q9" s="91" t="s">
        <v>854</v>
      </c>
      <c r="R9" s="91"/>
      <c r="S9" s="125" t="s">
        <v>809</v>
      </c>
      <c r="T9" s="125" t="s">
        <v>855</v>
      </c>
      <c r="U9" s="125" t="s">
        <v>825</v>
      </c>
      <c r="V9" s="91">
        <v>38</v>
      </c>
      <c r="W9" s="91">
        <v>30</v>
      </c>
      <c r="X9" s="91">
        <v>10</v>
      </c>
      <c r="Y9" s="91">
        <v>15</v>
      </c>
      <c r="Z9" s="91">
        <v>25</v>
      </c>
      <c r="AA9" s="91">
        <v>30</v>
      </c>
      <c r="AB9" s="91">
        <v>45</v>
      </c>
      <c r="AC9" s="91">
        <v>50</v>
      </c>
      <c r="AD9" s="125" t="s">
        <v>229</v>
      </c>
      <c r="AE9" s="91">
        <v>3</v>
      </c>
      <c r="AF9" s="128" t="s">
        <v>856</v>
      </c>
      <c r="AG9" s="128" t="s">
        <v>857</v>
      </c>
      <c r="AH9" s="187" t="s">
        <v>858</v>
      </c>
      <c r="AI9" s="91" t="s">
        <v>815</v>
      </c>
      <c r="AJ9" s="91" t="s">
        <v>859</v>
      </c>
      <c r="AK9" s="212" t="s">
        <v>817</v>
      </c>
      <c r="AL9" s="212" t="s">
        <v>818</v>
      </c>
      <c r="AM9" s="91" t="s">
        <v>815</v>
      </c>
      <c r="AN9" s="212" t="s">
        <v>819</v>
      </c>
      <c r="AO9" s="212" t="s">
        <v>817</v>
      </c>
      <c r="AP9" s="212" t="s">
        <v>860</v>
      </c>
      <c r="AQ9" s="91" t="s">
        <v>820</v>
      </c>
      <c r="AR9" s="91" t="s">
        <v>820</v>
      </c>
      <c r="AS9" s="212">
        <v>1</v>
      </c>
      <c r="AT9" s="212"/>
      <c r="AU9" s="212">
        <v>20</v>
      </c>
      <c r="AV9" s="212">
        <v>2061</v>
      </c>
      <c r="AW9" s="212">
        <v>0</v>
      </c>
      <c r="AX9" s="212"/>
      <c r="AY9" t="s">
        <v>861</v>
      </c>
      <c r="AZ9" s="91">
        <v>40</v>
      </c>
    </row>
    <row r="10" spans="1:53" ht="14.5">
      <c r="A10" s="47">
        <v>207</v>
      </c>
      <c r="B10" s="47" t="s">
        <v>595</v>
      </c>
      <c r="C10" s="91">
        <v>4</v>
      </c>
      <c r="D10" s="47">
        <v>1</v>
      </c>
      <c r="E10" s="47" t="s">
        <v>862</v>
      </c>
      <c r="F10" s="47"/>
      <c r="G10" s="47"/>
      <c r="H10" s="126">
        <v>0</v>
      </c>
      <c r="I10" s="47">
        <v>1</v>
      </c>
      <c r="J10" s="91">
        <v>4</v>
      </c>
      <c r="K10" s="91">
        <v>4</v>
      </c>
      <c r="L10" s="91">
        <v>3</v>
      </c>
      <c r="M10" s="91">
        <v>3</v>
      </c>
      <c r="N10" s="47">
        <v>3</v>
      </c>
      <c r="O10" s="47">
        <v>3</v>
      </c>
      <c r="P10" s="91" t="s">
        <v>863</v>
      </c>
      <c r="Q10" s="47" t="s">
        <v>864</v>
      </c>
      <c r="R10" s="47"/>
      <c r="S10" s="205" t="s">
        <v>809</v>
      </c>
      <c r="T10" s="206" t="s">
        <v>855</v>
      </c>
      <c r="U10" s="205" t="s">
        <v>825</v>
      </c>
      <c r="V10" s="207">
        <v>50</v>
      </c>
      <c r="W10" s="126">
        <v>30</v>
      </c>
      <c r="X10" s="126">
        <v>10</v>
      </c>
      <c r="Y10" s="91">
        <v>15</v>
      </c>
      <c r="Z10" s="126">
        <v>30</v>
      </c>
      <c r="AA10" s="126">
        <v>40</v>
      </c>
      <c r="AB10" s="126">
        <v>60</v>
      </c>
      <c r="AC10" s="126">
        <v>65</v>
      </c>
      <c r="AD10" s="125" t="s">
        <v>229</v>
      </c>
      <c r="AE10" s="126">
        <v>3</v>
      </c>
      <c r="AF10" s="127" t="s">
        <v>865</v>
      </c>
      <c r="AG10" s="127"/>
      <c r="AH10" s="172"/>
      <c r="AI10" s="47" t="s">
        <v>815</v>
      </c>
      <c r="AJ10" s="213" t="s">
        <v>866</v>
      </c>
      <c r="AK10" s="213" t="s">
        <v>817</v>
      </c>
      <c r="AL10" s="213" t="s">
        <v>866</v>
      </c>
      <c r="AM10" s="47" t="s">
        <v>815</v>
      </c>
      <c r="AN10" s="213" t="s">
        <v>819</v>
      </c>
      <c r="AO10" s="213" t="s">
        <v>817</v>
      </c>
      <c r="AP10" s="213" t="s">
        <v>819</v>
      </c>
      <c r="AQ10" s="47" t="s">
        <v>820</v>
      </c>
      <c r="AR10" s="47" t="s">
        <v>820</v>
      </c>
      <c r="AS10" s="213">
        <v>0</v>
      </c>
      <c r="AT10" s="213"/>
      <c r="AU10" s="213">
        <v>11</v>
      </c>
      <c r="AV10" s="213">
        <v>0</v>
      </c>
      <c r="AW10" s="213">
        <v>0</v>
      </c>
      <c r="AX10" s="213"/>
      <c r="AY10" t="s">
        <v>867</v>
      </c>
      <c r="AZ10" s="91">
        <v>20</v>
      </c>
    </row>
    <row r="11" spans="1:53" ht="14.5">
      <c r="A11" s="47">
        <v>208</v>
      </c>
      <c r="B11" s="47" t="s">
        <v>589</v>
      </c>
      <c r="C11" s="47">
        <v>107</v>
      </c>
      <c r="D11" s="47">
        <v>2</v>
      </c>
      <c r="E11" s="47" t="s">
        <v>868</v>
      </c>
      <c r="F11" s="47"/>
      <c r="G11" s="47" t="s">
        <v>869</v>
      </c>
      <c r="H11" s="47">
        <v>65</v>
      </c>
      <c r="I11" s="47">
        <v>1</v>
      </c>
      <c r="J11" s="47">
        <v>4</v>
      </c>
      <c r="K11" s="47">
        <v>4</v>
      </c>
      <c r="L11" s="91">
        <v>3</v>
      </c>
      <c r="M11" s="91">
        <v>3</v>
      </c>
      <c r="N11" s="47">
        <v>3</v>
      </c>
      <c r="O11" s="47">
        <v>3</v>
      </c>
      <c r="P11" s="91" t="s">
        <v>870</v>
      </c>
      <c r="Q11" s="47" t="s">
        <v>871</v>
      </c>
      <c r="R11" s="47"/>
      <c r="S11" s="205" t="s">
        <v>809</v>
      </c>
      <c r="T11" s="206" t="s">
        <v>872</v>
      </c>
      <c r="U11" s="205" t="s">
        <v>825</v>
      </c>
      <c r="V11" s="126">
        <v>50</v>
      </c>
      <c r="W11" s="126">
        <v>30</v>
      </c>
      <c r="X11" s="126">
        <v>10</v>
      </c>
      <c r="Y11" s="126">
        <v>15</v>
      </c>
      <c r="Z11" s="126">
        <v>30</v>
      </c>
      <c r="AA11" s="126">
        <v>40</v>
      </c>
      <c r="AB11" s="126">
        <v>60</v>
      </c>
      <c r="AC11" s="126">
        <v>65</v>
      </c>
      <c r="AD11" s="125" t="s">
        <v>229</v>
      </c>
      <c r="AE11" s="126">
        <v>8</v>
      </c>
      <c r="AF11" s="127" t="s">
        <v>873</v>
      </c>
      <c r="AG11" s="127" t="s">
        <v>874</v>
      </c>
      <c r="AH11" s="172"/>
      <c r="AI11" s="47" t="s">
        <v>815</v>
      </c>
      <c r="AJ11" s="47" t="s">
        <v>818</v>
      </c>
      <c r="AK11" s="213" t="s">
        <v>817</v>
      </c>
      <c r="AL11" s="213" t="s">
        <v>818</v>
      </c>
      <c r="AM11" s="47" t="s">
        <v>815</v>
      </c>
      <c r="AN11" s="213" t="s">
        <v>875</v>
      </c>
      <c r="AO11" s="213" t="s">
        <v>817</v>
      </c>
      <c r="AP11" s="213" t="s">
        <v>875</v>
      </c>
      <c r="AQ11" s="47" t="s">
        <v>820</v>
      </c>
      <c r="AR11" s="47" t="s">
        <v>820</v>
      </c>
      <c r="AS11" s="213">
        <v>0</v>
      </c>
      <c r="AT11" s="213"/>
      <c r="AU11" s="213">
        <v>12</v>
      </c>
      <c r="AV11" s="213">
        <v>0</v>
      </c>
      <c r="AW11" s="213">
        <v>0</v>
      </c>
      <c r="AX11" s="213"/>
      <c r="AY11" t="s">
        <v>876</v>
      </c>
      <c r="AZ11" s="47"/>
    </row>
    <row r="12" spans="1:53" ht="14.5">
      <c r="A12" s="91">
        <v>209</v>
      </c>
      <c r="B12" s="91" t="s">
        <v>344</v>
      </c>
      <c r="C12" s="91">
        <v>103</v>
      </c>
      <c r="D12" s="91">
        <v>2</v>
      </c>
      <c r="E12" s="91" t="s">
        <v>877</v>
      </c>
      <c r="F12" s="91"/>
      <c r="G12" s="91"/>
      <c r="H12" s="91">
        <v>90</v>
      </c>
      <c r="I12" s="91">
        <v>0</v>
      </c>
      <c r="J12" s="47">
        <v>4</v>
      </c>
      <c r="K12" s="47">
        <v>4</v>
      </c>
      <c r="L12" s="91">
        <v>3</v>
      </c>
      <c r="M12" s="91">
        <v>3</v>
      </c>
      <c r="N12" s="91">
        <v>3</v>
      </c>
      <c r="O12" s="91">
        <v>3</v>
      </c>
      <c r="P12" s="91" t="s">
        <v>878</v>
      </c>
      <c r="Q12" s="91" t="s">
        <v>879</v>
      </c>
      <c r="R12" s="91"/>
      <c r="S12" s="125" t="s">
        <v>809</v>
      </c>
      <c r="T12" s="125" t="s">
        <v>855</v>
      </c>
      <c r="U12" s="125" t="s">
        <v>825</v>
      </c>
      <c r="V12" s="91">
        <v>38</v>
      </c>
      <c r="W12" s="91">
        <v>30</v>
      </c>
      <c r="X12" s="91">
        <v>10</v>
      </c>
      <c r="Y12" s="91">
        <v>15</v>
      </c>
      <c r="Z12" s="91">
        <v>25</v>
      </c>
      <c r="AA12" s="91">
        <v>30</v>
      </c>
      <c r="AB12" s="91">
        <v>45</v>
      </c>
      <c r="AC12" s="91">
        <v>50</v>
      </c>
      <c r="AD12" s="125" t="s">
        <v>229</v>
      </c>
      <c r="AE12" s="91">
        <v>3</v>
      </c>
      <c r="AF12" s="128" t="s">
        <v>880</v>
      </c>
      <c r="AG12" s="128" t="s">
        <v>881</v>
      </c>
      <c r="AH12" s="187" t="s">
        <v>882</v>
      </c>
      <c r="AI12" s="91" t="s">
        <v>815</v>
      </c>
      <c r="AJ12" s="91" t="s">
        <v>883</v>
      </c>
      <c r="AK12" s="212" t="s">
        <v>817</v>
      </c>
      <c r="AL12" s="212" t="s">
        <v>818</v>
      </c>
      <c r="AM12" s="91" t="s">
        <v>815</v>
      </c>
      <c r="AN12" s="212" t="s">
        <v>819</v>
      </c>
      <c r="AO12" s="212" t="s">
        <v>817</v>
      </c>
      <c r="AP12" s="212" t="s">
        <v>860</v>
      </c>
      <c r="AQ12" s="91" t="s">
        <v>820</v>
      </c>
      <c r="AR12" s="91" t="s">
        <v>820</v>
      </c>
      <c r="AS12" s="212">
        <v>1</v>
      </c>
      <c r="AT12" s="212"/>
      <c r="AU12" s="212">
        <v>21</v>
      </c>
      <c r="AV12" s="212">
        <v>2091</v>
      </c>
      <c r="AW12" s="212">
        <v>0</v>
      </c>
      <c r="AX12" s="212"/>
      <c r="AY12" t="s">
        <v>884</v>
      </c>
      <c r="AZ12" s="91">
        <v>30</v>
      </c>
    </row>
    <row r="13" spans="1:53" ht="14.5">
      <c r="A13" s="204">
        <v>211</v>
      </c>
      <c r="B13" s="204" t="s">
        <v>605</v>
      </c>
      <c r="C13" s="204">
        <v>11</v>
      </c>
      <c r="D13" s="204">
        <v>1</v>
      </c>
      <c r="E13" s="204" t="s">
        <v>885</v>
      </c>
      <c r="H13" s="204">
        <v>55</v>
      </c>
      <c r="I13" s="204">
        <v>0</v>
      </c>
      <c r="J13" s="204">
        <v>5</v>
      </c>
      <c r="K13" s="204">
        <v>5</v>
      </c>
      <c r="L13" s="204">
        <v>5</v>
      </c>
      <c r="M13" s="204">
        <v>5</v>
      </c>
      <c r="N13" s="204">
        <v>3</v>
      </c>
      <c r="O13" s="204">
        <v>3</v>
      </c>
      <c r="P13" s="204" t="s">
        <v>886</v>
      </c>
      <c r="Q13" s="204" t="s">
        <v>887</v>
      </c>
      <c r="S13" s="208" t="s">
        <v>809</v>
      </c>
      <c r="T13" s="208" t="s">
        <v>888</v>
      </c>
      <c r="U13" s="208" t="s">
        <v>825</v>
      </c>
      <c r="V13" s="204">
        <v>50</v>
      </c>
      <c r="W13" s="204">
        <v>30</v>
      </c>
      <c r="X13" s="204">
        <v>10</v>
      </c>
      <c r="Y13" s="204">
        <v>15</v>
      </c>
      <c r="Z13" s="204">
        <v>33</v>
      </c>
      <c r="AA13" s="204">
        <v>38</v>
      </c>
      <c r="AB13" s="204">
        <v>58</v>
      </c>
      <c r="AC13" s="204">
        <v>63</v>
      </c>
      <c r="AD13" s="208" t="s">
        <v>229</v>
      </c>
      <c r="AE13" s="204">
        <v>3</v>
      </c>
      <c r="AF13" s="210" t="s">
        <v>889</v>
      </c>
      <c r="AG13" s="210" t="s">
        <v>890</v>
      </c>
      <c r="AH13" s="214"/>
      <c r="AI13" s="204" t="s">
        <v>815</v>
      </c>
      <c r="AJ13" s="204" t="s">
        <v>818</v>
      </c>
      <c r="AK13" s="215" t="s">
        <v>817</v>
      </c>
      <c r="AL13" s="215" t="s">
        <v>818</v>
      </c>
      <c r="AM13" s="204" t="s">
        <v>815</v>
      </c>
      <c r="AN13" s="215" t="s">
        <v>875</v>
      </c>
      <c r="AO13" s="215" t="s">
        <v>817</v>
      </c>
      <c r="AP13" s="215" t="s">
        <v>875</v>
      </c>
      <c r="AQ13" s="204" t="s">
        <v>820</v>
      </c>
      <c r="AR13" s="204" t="s">
        <v>820</v>
      </c>
      <c r="AS13" s="215">
        <v>1</v>
      </c>
      <c r="AT13" s="215"/>
      <c r="AU13" s="215">
        <v>25</v>
      </c>
      <c r="AV13" s="215">
        <v>2111</v>
      </c>
      <c r="AW13" s="215">
        <v>0</v>
      </c>
      <c r="AX13" s="215"/>
      <c r="AY13" s="126" t="s">
        <v>891</v>
      </c>
      <c r="AZ13" s="204">
        <v>20</v>
      </c>
    </row>
    <row r="14" spans="1:53" ht="14.5">
      <c r="A14" s="47">
        <v>212</v>
      </c>
      <c r="B14" s="47" t="s">
        <v>394</v>
      </c>
      <c r="C14" s="47">
        <v>106</v>
      </c>
      <c r="D14" s="47">
        <v>2</v>
      </c>
      <c r="E14" s="47" t="s">
        <v>892</v>
      </c>
      <c r="H14" s="126">
        <v>60</v>
      </c>
      <c r="I14" s="47">
        <v>1</v>
      </c>
      <c r="J14" s="47">
        <v>10</v>
      </c>
      <c r="K14" s="47">
        <v>14</v>
      </c>
      <c r="L14" s="47">
        <v>10</v>
      </c>
      <c r="M14" s="47">
        <v>14</v>
      </c>
      <c r="N14" s="47">
        <v>10</v>
      </c>
      <c r="O14" s="47">
        <v>14</v>
      </c>
      <c r="P14" s="91" t="s">
        <v>893</v>
      </c>
      <c r="Q14" s="47" t="s">
        <v>894</v>
      </c>
      <c r="S14" s="205" t="s">
        <v>809</v>
      </c>
      <c r="T14" s="206" t="s">
        <v>895</v>
      </c>
      <c r="U14" s="205" t="s">
        <v>825</v>
      </c>
      <c r="V14" s="126">
        <v>48</v>
      </c>
      <c r="W14" s="126">
        <v>30</v>
      </c>
      <c r="X14" s="126">
        <v>10</v>
      </c>
      <c r="Y14" s="126">
        <v>15</v>
      </c>
      <c r="Z14" s="126">
        <v>20</v>
      </c>
      <c r="AA14" s="126">
        <v>37</v>
      </c>
      <c r="AB14" s="126">
        <v>60</v>
      </c>
      <c r="AC14" s="126">
        <v>100</v>
      </c>
      <c r="AD14" s="125" t="s">
        <v>229</v>
      </c>
      <c r="AE14" s="126">
        <v>3</v>
      </c>
      <c r="AF14" s="127" t="s">
        <v>896</v>
      </c>
      <c r="AG14" s="127" t="s">
        <v>897</v>
      </c>
      <c r="AH14" s="172"/>
      <c r="AI14" s="47" t="s">
        <v>815</v>
      </c>
      <c r="AJ14" s="47" t="s">
        <v>816</v>
      </c>
      <c r="AK14" s="213" t="s">
        <v>817</v>
      </c>
      <c r="AL14" s="213" t="s">
        <v>818</v>
      </c>
      <c r="AM14" s="47" t="s">
        <v>815</v>
      </c>
      <c r="AN14" s="213" t="s">
        <v>819</v>
      </c>
      <c r="AO14" s="213" t="s">
        <v>817</v>
      </c>
      <c r="AP14" s="213" t="s">
        <v>819</v>
      </c>
      <c r="AQ14" s="47" t="s">
        <v>820</v>
      </c>
      <c r="AR14" s="47" t="s">
        <v>820</v>
      </c>
      <c r="AS14" s="213">
        <v>0</v>
      </c>
      <c r="AT14" s="213"/>
      <c r="AU14" s="213">
        <v>1</v>
      </c>
      <c r="AV14" s="213">
        <v>2121</v>
      </c>
      <c r="AW14" s="213">
        <v>0</v>
      </c>
      <c r="AX14" s="213"/>
      <c r="AY14" t="s">
        <v>898</v>
      </c>
    </row>
    <row r="15" spans="1:53" ht="14.5">
      <c r="A15" s="47">
        <v>213</v>
      </c>
      <c r="B15" s="47" t="s">
        <v>599</v>
      </c>
      <c r="C15" s="47">
        <v>9</v>
      </c>
      <c r="D15" s="47">
        <v>1</v>
      </c>
      <c r="E15" s="47" t="s">
        <v>899</v>
      </c>
      <c r="F15" s="47"/>
      <c r="G15" s="47"/>
      <c r="H15" s="47">
        <v>35</v>
      </c>
      <c r="I15" s="47">
        <v>1</v>
      </c>
      <c r="J15" s="47">
        <v>7</v>
      </c>
      <c r="K15" s="47">
        <v>7</v>
      </c>
      <c r="L15" s="91">
        <v>6</v>
      </c>
      <c r="M15" s="91">
        <v>6</v>
      </c>
      <c r="N15" s="47">
        <v>6</v>
      </c>
      <c r="O15" s="47">
        <v>6</v>
      </c>
      <c r="P15" s="91" t="s">
        <v>900</v>
      </c>
      <c r="Q15" s="47" t="s">
        <v>901</v>
      </c>
      <c r="R15" s="47"/>
      <c r="S15" s="205" t="s">
        <v>809</v>
      </c>
      <c r="T15" s="206" t="s">
        <v>895</v>
      </c>
      <c r="U15" s="205" t="s">
        <v>825</v>
      </c>
      <c r="V15" s="126">
        <v>63</v>
      </c>
      <c r="W15" s="126">
        <v>30</v>
      </c>
      <c r="X15" s="126">
        <v>10</v>
      </c>
      <c r="Y15" s="126">
        <v>15</v>
      </c>
      <c r="Z15" s="126">
        <v>48</v>
      </c>
      <c r="AA15" s="126">
        <v>53</v>
      </c>
      <c r="AB15" s="126">
        <v>73</v>
      </c>
      <c r="AC15" s="126">
        <v>78</v>
      </c>
      <c r="AD15" s="125" t="s">
        <v>229</v>
      </c>
      <c r="AE15" s="126">
        <v>6</v>
      </c>
      <c r="AF15" s="127" t="s">
        <v>902</v>
      </c>
      <c r="AG15" s="127"/>
      <c r="AH15" s="172" t="s">
        <v>903</v>
      </c>
      <c r="AI15" s="47" t="s">
        <v>815</v>
      </c>
      <c r="AJ15" s="47" t="s">
        <v>816</v>
      </c>
      <c r="AK15" s="213" t="s">
        <v>817</v>
      </c>
      <c r="AL15" s="213" t="s">
        <v>818</v>
      </c>
      <c r="AM15" s="47" t="s">
        <v>815</v>
      </c>
      <c r="AN15" s="213" t="s">
        <v>819</v>
      </c>
      <c r="AO15" s="213" t="s">
        <v>817</v>
      </c>
      <c r="AP15" s="213" t="s">
        <v>819</v>
      </c>
      <c r="AQ15" s="47" t="s">
        <v>820</v>
      </c>
      <c r="AR15" s="47" t="s">
        <v>820</v>
      </c>
      <c r="AS15" s="213">
        <v>0</v>
      </c>
      <c r="AT15" s="213"/>
      <c r="AU15" s="213">
        <v>26</v>
      </c>
      <c r="AV15" s="213">
        <v>0</v>
      </c>
      <c r="AW15" s="213">
        <v>0</v>
      </c>
      <c r="AX15" s="213"/>
      <c r="AY15" s="126" t="s">
        <v>904</v>
      </c>
      <c r="AZ15" s="47"/>
    </row>
    <row r="16" spans="1:53" ht="14.5">
      <c r="A16" s="91">
        <v>215</v>
      </c>
      <c r="B16" s="91" t="s">
        <v>418</v>
      </c>
      <c r="C16" s="91">
        <v>110</v>
      </c>
      <c r="D16" s="91">
        <v>2</v>
      </c>
      <c r="E16" s="91" t="s">
        <v>905</v>
      </c>
      <c r="H16" s="91">
        <v>30</v>
      </c>
      <c r="I16" s="91">
        <v>0</v>
      </c>
      <c r="J16" s="91">
        <v>4</v>
      </c>
      <c r="K16" s="91">
        <v>4</v>
      </c>
      <c r="L16" s="91">
        <v>3</v>
      </c>
      <c r="M16" s="91">
        <v>3</v>
      </c>
      <c r="N16" s="91">
        <v>0</v>
      </c>
      <c r="O16" s="91">
        <v>0</v>
      </c>
      <c r="P16" s="91" t="s">
        <v>906</v>
      </c>
      <c r="Q16" s="91" t="s">
        <v>907</v>
      </c>
      <c r="S16" s="125" t="s">
        <v>809</v>
      </c>
      <c r="T16" s="125" t="s">
        <v>895</v>
      </c>
      <c r="U16" s="125" t="s">
        <v>825</v>
      </c>
      <c r="V16" s="91">
        <v>60</v>
      </c>
      <c r="W16" s="91">
        <v>30</v>
      </c>
      <c r="X16" s="91">
        <v>10</v>
      </c>
      <c r="Y16" s="91">
        <v>15</v>
      </c>
      <c r="Z16" s="91">
        <v>45</v>
      </c>
      <c r="AA16" s="91">
        <v>50</v>
      </c>
      <c r="AB16" s="91">
        <v>65</v>
      </c>
      <c r="AC16" s="91">
        <v>70</v>
      </c>
      <c r="AD16" s="125" t="s">
        <v>229</v>
      </c>
      <c r="AE16" s="91">
        <v>5</v>
      </c>
      <c r="AF16" s="128" t="s">
        <v>908</v>
      </c>
      <c r="AG16" s="128" t="s">
        <v>909</v>
      </c>
      <c r="AH16" s="187"/>
      <c r="AI16" s="91" t="s">
        <v>815</v>
      </c>
      <c r="AJ16" s="91" t="s">
        <v>816</v>
      </c>
      <c r="AK16" s="212" t="s">
        <v>817</v>
      </c>
      <c r="AL16" s="212" t="s">
        <v>818</v>
      </c>
      <c r="AM16" s="91" t="s">
        <v>815</v>
      </c>
      <c r="AN16" s="212" t="s">
        <v>819</v>
      </c>
      <c r="AO16" s="212" t="s">
        <v>817</v>
      </c>
      <c r="AP16" s="212" t="s">
        <v>819</v>
      </c>
      <c r="AQ16" s="91" t="s">
        <v>820</v>
      </c>
      <c r="AR16" s="91" t="s">
        <v>820</v>
      </c>
      <c r="AS16" s="212">
        <v>0</v>
      </c>
      <c r="AT16" s="212"/>
      <c r="AU16" s="212">
        <v>2</v>
      </c>
      <c r="AV16" s="212">
        <v>2151</v>
      </c>
      <c r="AW16" s="212">
        <v>0</v>
      </c>
      <c r="AX16" s="212"/>
      <c r="AY16" t="s">
        <v>910</v>
      </c>
    </row>
    <row r="17" spans="1:52" ht="14.5">
      <c r="A17" s="47">
        <v>222</v>
      </c>
      <c r="B17" s="47" t="s">
        <v>442</v>
      </c>
      <c r="C17" s="91">
        <v>105</v>
      </c>
      <c r="D17" s="47">
        <v>2</v>
      </c>
      <c r="E17" s="47" t="s">
        <v>911</v>
      </c>
      <c r="H17" s="126">
        <v>80</v>
      </c>
      <c r="I17" s="47">
        <v>0</v>
      </c>
      <c r="J17" s="91">
        <v>4</v>
      </c>
      <c r="K17" s="91">
        <v>4</v>
      </c>
      <c r="L17" s="91">
        <v>3</v>
      </c>
      <c r="M17" s="91">
        <v>3</v>
      </c>
      <c r="N17" s="47">
        <v>3</v>
      </c>
      <c r="O17" s="47">
        <v>3</v>
      </c>
      <c r="P17" s="91" t="s">
        <v>912</v>
      </c>
      <c r="Q17" s="47" t="s">
        <v>913</v>
      </c>
      <c r="S17" s="205" t="s">
        <v>809</v>
      </c>
      <c r="T17" s="206" t="s">
        <v>914</v>
      </c>
      <c r="U17" s="205" t="s">
        <v>825</v>
      </c>
      <c r="V17" s="126">
        <v>28</v>
      </c>
      <c r="W17" s="126">
        <v>30</v>
      </c>
      <c r="X17" s="126">
        <v>10</v>
      </c>
      <c r="Y17" s="126">
        <v>15</v>
      </c>
      <c r="Z17" s="126">
        <v>17</v>
      </c>
      <c r="AA17" s="126">
        <v>22</v>
      </c>
      <c r="AB17" s="126">
        <v>33</v>
      </c>
      <c r="AC17" s="126">
        <v>38</v>
      </c>
      <c r="AD17" s="125" t="s">
        <v>229</v>
      </c>
      <c r="AE17" s="126">
        <v>2</v>
      </c>
      <c r="AF17" s="127" t="s">
        <v>915</v>
      </c>
      <c r="AG17" s="127" t="s">
        <v>916</v>
      </c>
      <c r="AH17" s="172"/>
      <c r="AI17" s="47" t="s">
        <v>815</v>
      </c>
      <c r="AJ17" s="47" t="s">
        <v>816</v>
      </c>
      <c r="AK17" s="213" t="s">
        <v>817</v>
      </c>
      <c r="AL17" s="213" t="s">
        <v>818</v>
      </c>
      <c r="AM17" s="47" t="s">
        <v>815</v>
      </c>
      <c r="AN17" s="213" t="s">
        <v>819</v>
      </c>
      <c r="AO17" s="213" t="s">
        <v>817</v>
      </c>
      <c r="AP17" s="213" t="s">
        <v>819</v>
      </c>
      <c r="AQ17" s="47" t="s">
        <v>820</v>
      </c>
      <c r="AR17" s="47" t="s">
        <v>820</v>
      </c>
      <c r="AS17" s="213">
        <v>1</v>
      </c>
      <c r="AT17" s="213"/>
      <c r="AU17" s="213">
        <v>4</v>
      </c>
      <c r="AV17" s="213">
        <v>2221</v>
      </c>
      <c r="AW17" s="213">
        <v>0</v>
      </c>
      <c r="AX17" s="213"/>
      <c r="AY17" s="47" t="s">
        <v>917</v>
      </c>
      <c r="AZ17" s="47">
        <v>30</v>
      </c>
    </row>
    <row r="18" spans="1:52" ht="14.5">
      <c r="A18" s="204">
        <v>223</v>
      </c>
      <c r="B18" s="204" t="s">
        <v>918</v>
      </c>
      <c r="C18" s="204">
        <v>113</v>
      </c>
      <c r="D18" s="204">
        <v>2</v>
      </c>
      <c r="E18" s="204" t="s">
        <v>919</v>
      </c>
      <c r="H18" s="204">
        <v>50</v>
      </c>
      <c r="I18" s="204">
        <v>1</v>
      </c>
      <c r="J18" s="204">
        <v>4</v>
      </c>
      <c r="K18" s="204">
        <v>4</v>
      </c>
      <c r="L18" s="204">
        <v>3</v>
      </c>
      <c r="M18" s="204">
        <v>3</v>
      </c>
      <c r="N18" s="204">
        <v>4</v>
      </c>
      <c r="O18" s="204">
        <v>4</v>
      </c>
      <c r="P18" s="204" t="s">
        <v>920</v>
      </c>
      <c r="Q18" s="204" t="s">
        <v>921</v>
      </c>
      <c r="S18" s="208" t="s">
        <v>809</v>
      </c>
      <c r="T18" s="208" t="s">
        <v>855</v>
      </c>
      <c r="U18" s="208" t="s">
        <v>825</v>
      </c>
      <c r="V18" s="204">
        <v>28</v>
      </c>
      <c r="W18" s="204">
        <v>30</v>
      </c>
      <c r="X18" s="204">
        <v>10</v>
      </c>
      <c r="Y18" s="204">
        <v>15</v>
      </c>
      <c r="Z18" s="204">
        <v>17</v>
      </c>
      <c r="AA18" s="204">
        <v>22</v>
      </c>
      <c r="AB18" s="204">
        <v>33</v>
      </c>
      <c r="AC18" s="204">
        <v>38</v>
      </c>
      <c r="AD18" s="208" t="s">
        <v>229</v>
      </c>
      <c r="AE18" s="204">
        <v>2</v>
      </c>
      <c r="AF18" s="210" t="s">
        <v>922</v>
      </c>
      <c r="AG18" s="210" t="s">
        <v>923</v>
      </c>
      <c r="AH18" s="214"/>
      <c r="AI18" s="204" t="s">
        <v>815</v>
      </c>
      <c r="AJ18" s="204" t="s">
        <v>816</v>
      </c>
      <c r="AK18" s="215" t="s">
        <v>817</v>
      </c>
      <c r="AL18" s="215" t="s">
        <v>818</v>
      </c>
      <c r="AM18" s="204" t="s">
        <v>815</v>
      </c>
      <c r="AN18" s="215" t="s">
        <v>819</v>
      </c>
      <c r="AO18" s="215" t="s">
        <v>817</v>
      </c>
      <c r="AP18" s="215" t="s">
        <v>819</v>
      </c>
      <c r="AQ18" s="204" t="s">
        <v>820</v>
      </c>
      <c r="AR18" s="204" t="s">
        <v>820</v>
      </c>
      <c r="AS18" s="215">
        <v>1</v>
      </c>
      <c r="AT18" s="215"/>
      <c r="AU18" s="215">
        <v>5</v>
      </c>
      <c r="AV18" s="215">
        <v>0</v>
      </c>
      <c r="AW18" s="215">
        <v>0</v>
      </c>
      <c r="AX18" s="215"/>
      <c r="AZ18" s="204">
        <v>20</v>
      </c>
    </row>
    <row r="19" spans="1:52" ht="14.5">
      <c r="A19" s="91">
        <v>224</v>
      </c>
      <c r="B19" s="91" t="s">
        <v>369</v>
      </c>
      <c r="C19" s="91">
        <v>104</v>
      </c>
      <c r="D19" s="91">
        <v>2</v>
      </c>
      <c r="E19" s="91" t="s">
        <v>924</v>
      </c>
      <c r="H19" s="91">
        <v>92</v>
      </c>
      <c r="I19" s="91">
        <v>0</v>
      </c>
      <c r="J19" s="91">
        <v>4</v>
      </c>
      <c r="K19" s="91">
        <v>4</v>
      </c>
      <c r="L19" s="91">
        <v>3</v>
      </c>
      <c r="M19" s="91">
        <v>3</v>
      </c>
      <c r="N19" s="47">
        <v>3</v>
      </c>
      <c r="O19" s="47">
        <v>3</v>
      </c>
      <c r="P19" s="91" t="s">
        <v>925</v>
      </c>
      <c r="Q19" s="91" t="s">
        <v>926</v>
      </c>
      <c r="S19" s="125" t="s">
        <v>809</v>
      </c>
      <c r="T19" s="125" t="s">
        <v>855</v>
      </c>
      <c r="U19" s="125" t="s">
        <v>825</v>
      </c>
      <c r="V19" s="91">
        <v>38</v>
      </c>
      <c r="W19" s="91">
        <v>30</v>
      </c>
      <c r="X19" s="91">
        <v>10</v>
      </c>
      <c r="Y19" s="91">
        <v>15</v>
      </c>
      <c r="Z19" s="91">
        <v>25</v>
      </c>
      <c r="AA19" s="91">
        <v>30</v>
      </c>
      <c r="AB19" s="91">
        <v>45</v>
      </c>
      <c r="AC19" s="91">
        <v>50</v>
      </c>
      <c r="AD19" s="125" t="s">
        <v>229</v>
      </c>
      <c r="AE19" s="91">
        <v>3</v>
      </c>
      <c r="AF19" s="128" t="s">
        <v>927</v>
      </c>
      <c r="AG19" s="128" t="s">
        <v>928</v>
      </c>
      <c r="AH19" s="187" t="s">
        <v>929</v>
      </c>
      <c r="AI19" s="91" t="s">
        <v>815</v>
      </c>
      <c r="AJ19" s="91" t="s">
        <v>930</v>
      </c>
      <c r="AK19" s="212" t="s">
        <v>817</v>
      </c>
      <c r="AL19" s="212" t="s">
        <v>818</v>
      </c>
      <c r="AM19" s="91" t="s">
        <v>815</v>
      </c>
      <c r="AN19" s="212" t="s">
        <v>819</v>
      </c>
      <c r="AO19" s="212" t="s">
        <v>817</v>
      </c>
      <c r="AP19" s="212" t="s">
        <v>860</v>
      </c>
      <c r="AQ19" s="91" t="s">
        <v>820</v>
      </c>
      <c r="AR19" s="91" t="s">
        <v>820</v>
      </c>
      <c r="AS19" s="212">
        <v>1</v>
      </c>
      <c r="AT19" s="212"/>
      <c r="AU19" s="212">
        <v>22</v>
      </c>
      <c r="AV19" s="212">
        <v>2241</v>
      </c>
      <c r="AW19" s="212">
        <v>0</v>
      </c>
      <c r="AX19" s="212"/>
      <c r="AY19" t="s">
        <v>931</v>
      </c>
      <c r="AZ19" s="91">
        <v>30</v>
      </c>
    </row>
    <row r="20" spans="1:52" ht="14.5">
      <c r="A20" s="47">
        <v>226</v>
      </c>
      <c r="B20" s="127" t="s">
        <v>469</v>
      </c>
      <c r="C20" s="47">
        <v>111</v>
      </c>
      <c r="D20" s="127">
        <v>2</v>
      </c>
      <c r="E20" s="47" t="s">
        <v>932</v>
      </c>
      <c r="G20" s="47" t="s">
        <v>933</v>
      </c>
      <c r="H20" s="47">
        <v>45</v>
      </c>
      <c r="I20" s="47">
        <v>0</v>
      </c>
      <c r="J20" s="47">
        <v>4</v>
      </c>
      <c r="K20" s="47">
        <v>4</v>
      </c>
      <c r="L20" s="91">
        <v>3</v>
      </c>
      <c r="M20" s="91">
        <v>3</v>
      </c>
      <c r="N20" s="47">
        <v>3</v>
      </c>
      <c r="O20" s="47">
        <v>3</v>
      </c>
      <c r="P20" s="91" t="s">
        <v>934</v>
      </c>
      <c r="Q20" s="47" t="s">
        <v>935</v>
      </c>
      <c r="S20" s="205" t="s">
        <v>809</v>
      </c>
      <c r="T20" s="206" t="s">
        <v>895</v>
      </c>
      <c r="U20" s="205" t="s">
        <v>825</v>
      </c>
      <c r="V20" s="126">
        <v>50</v>
      </c>
      <c r="W20" s="126">
        <v>30</v>
      </c>
      <c r="X20" s="126">
        <v>10</v>
      </c>
      <c r="Y20" s="126">
        <v>15</v>
      </c>
      <c r="Z20" s="126">
        <v>40</v>
      </c>
      <c r="AA20" s="126">
        <v>45</v>
      </c>
      <c r="AB20" s="126">
        <v>60</v>
      </c>
      <c r="AC20" s="126">
        <v>65</v>
      </c>
      <c r="AD20" s="125" t="s">
        <v>229</v>
      </c>
      <c r="AE20" s="126">
        <v>9</v>
      </c>
      <c r="AF20" s="127" t="s">
        <v>936</v>
      </c>
      <c r="AG20" s="127" t="s">
        <v>937</v>
      </c>
      <c r="AH20" s="172"/>
      <c r="AI20" s="47" t="s">
        <v>815</v>
      </c>
      <c r="AJ20" s="47" t="s">
        <v>818</v>
      </c>
      <c r="AK20" s="213" t="s">
        <v>817</v>
      </c>
      <c r="AL20" s="213" t="s">
        <v>818</v>
      </c>
      <c r="AM20" s="47" t="s">
        <v>815</v>
      </c>
      <c r="AN20" s="213" t="s">
        <v>819</v>
      </c>
      <c r="AO20" s="213" t="s">
        <v>817</v>
      </c>
      <c r="AP20" s="213" t="s">
        <v>819</v>
      </c>
      <c r="AQ20" s="47" t="s">
        <v>820</v>
      </c>
      <c r="AR20" s="47" t="s">
        <v>820</v>
      </c>
      <c r="AS20" s="213">
        <v>0</v>
      </c>
      <c r="AT20" s="213" t="s">
        <v>938</v>
      </c>
      <c r="AU20" s="213">
        <v>14</v>
      </c>
      <c r="AV20" s="213">
        <v>0</v>
      </c>
      <c r="AW20" s="213">
        <v>0</v>
      </c>
      <c r="AX20" s="213"/>
      <c r="AY20" s="47" t="s">
        <v>939</v>
      </c>
    </row>
    <row r="21" spans="1:52" ht="14.5">
      <c r="A21" s="91">
        <v>227</v>
      </c>
      <c r="B21" s="128" t="s">
        <v>940</v>
      </c>
      <c r="C21" s="91">
        <v>112</v>
      </c>
      <c r="D21" s="128">
        <v>2</v>
      </c>
      <c r="E21" s="91" t="s">
        <v>941</v>
      </c>
      <c r="F21" s="91"/>
      <c r="G21" s="91"/>
      <c r="H21" s="91">
        <v>40</v>
      </c>
      <c r="I21" s="91">
        <v>0</v>
      </c>
      <c r="J21" s="47">
        <v>4</v>
      </c>
      <c r="K21" s="47">
        <v>4</v>
      </c>
      <c r="L21" s="91">
        <v>3</v>
      </c>
      <c r="M21" s="91">
        <v>3</v>
      </c>
      <c r="N21" s="47">
        <v>3</v>
      </c>
      <c r="O21" s="47">
        <v>3</v>
      </c>
      <c r="P21" s="91" t="s">
        <v>942</v>
      </c>
      <c r="Q21" s="91" t="s">
        <v>943</v>
      </c>
      <c r="R21" s="91"/>
      <c r="S21" s="125" t="s">
        <v>809</v>
      </c>
      <c r="T21" s="125" t="s">
        <v>840</v>
      </c>
      <c r="U21" s="125" t="s">
        <v>825</v>
      </c>
      <c r="V21" s="126">
        <v>50</v>
      </c>
      <c r="W21" s="126">
        <v>30</v>
      </c>
      <c r="X21" s="126">
        <v>10</v>
      </c>
      <c r="Y21" s="126">
        <v>15</v>
      </c>
      <c r="Z21" s="126">
        <v>40</v>
      </c>
      <c r="AA21" s="126">
        <v>45</v>
      </c>
      <c r="AB21" s="126">
        <v>60</v>
      </c>
      <c r="AC21" s="126">
        <v>65</v>
      </c>
      <c r="AD21" s="125" t="s">
        <v>229</v>
      </c>
      <c r="AE21" s="126">
        <v>5</v>
      </c>
      <c r="AF21" s="128" t="s">
        <v>944</v>
      </c>
      <c r="AG21" s="128" t="s">
        <v>945</v>
      </c>
      <c r="AH21" s="172"/>
      <c r="AI21" s="91" t="s">
        <v>815</v>
      </c>
      <c r="AJ21" s="91" t="s">
        <v>818</v>
      </c>
      <c r="AK21" s="212" t="s">
        <v>817</v>
      </c>
      <c r="AL21" s="212" t="s">
        <v>866</v>
      </c>
      <c r="AM21" s="91" t="s">
        <v>815</v>
      </c>
      <c r="AN21" s="212" t="s">
        <v>819</v>
      </c>
      <c r="AO21" s="212" t="s">
        <v>817</v>
      </c>
      <c r="AP21" s="212" t="s">
        <v>819</v>
      </c>
      <c r="AQ21" s="212" t="s">
        <v>946</v>
      </c>
      <c r="AR21" s="212" t="s">
        <v>946</v>
      </c>
      <c r="AS21" s="212">
        <v>0</v>
      </c>
      <c r="AT21" s="212"/>
      <c r="AU21" s="212">
        <v>6</v>
      </c>
      <c r="AV21" s="212">
        <v>0</v>
      </c>
      <c r="AW21" s="212">
        <v>0</v>
      </c>
      <c r="AX21" s="212"/>
      <c r="AY21" s="47" t="s">
        <v>947</v>
      </c>
      <c r="AZ21" s="47">
        <v>30</v>
      </c>
    </row>
    <row r="22" spans="1:52" ht="14.5">
      <c r="A22" s="91">
        <v>228</v>
      </c>
      <c r="B22" s="128" t="s">
        <v>948</v>
      </c>
      <c r="C22" s="91">
        <v>113</v>
      </c>
      <c r="D22" s="128">
        <v>2</v>
      </c>
      <c r="E22" s="91" t="s">
        <v>949</v>
      </c>
      <c r="F22" s="91"/>
      <c r="G22" s="91"/>
      <c r="H22" s="91">
        <v>0</v>
      </c>
      <c r="I22" s="91">
        <v>0</v>
      </c>
      <c r="J22" s="47">
        <v>4</v>
      </c>
      <c r="K22" s="47">
        <v>4</v>
      </c>
      <c r="L22" s="91">
        <v>3</v>
      </c>
      <c r="M22" s="91">
        <v>3</v>
      </c>
      <c r="N22" s="47">
        <v>3</v>
      </c>
      <c r="O22" s="47">
        <v>3</v>
      </c>
      <c r="P22" s="91" t="s">
        <v>950</v>
      </c>
      <c r="Q22" s="91" t="s">
        <v>951</v>
      </c>
      <c r="R22" s="91"/>
      <c r="S22" s="125" t="s">
        <v>809</v>
      </c>
      <c r="T22" s="125" t="s">
        <v>840</v>
      </c>
      <c r="U22" s="125" t="s">
        <v>825</v>
      </c>
      <c r="V22" s="126">
        <v>50</v>
      </c>
      <c r="W22" s="126">
        <v>30</v>
      </c>
      <c r="X22" s="126">
        <v>10</v>
      </c>
      <c r="Y22" s="126">
        <v>15</v>
      </c>
      <c r="Z22" s="126">
        <v>40</v>
      </c>
      <c r="AA22" s="126">
        <v>45</v>
      </c>
      <c r="AB22" s="126">
        <v>60</v>
      </c>
      <c r="AC22" s="126">
        <v>65</v>
      </c>
      <c r="AD22" s="125" t="s">
        <v>229</v>
      </c>
      <c r="AE22" s="126">
        <v>5</v>
      </c>
      <c r="AF22" s="128" t="s">
        <v>944</v>
      </c>
      <c r="AG22" s="128" t="s">
        <v>945</v>
      </c>
      <c r="AH22" s="172"/>
      <c r="AI22" s="91" t="s">
        <v>815</v>
      </c>
      <c r="AJ22" s="91" t="s">
        <v>818</v>
      </c>
      <c r="AK22" s="212" t="s">
        <v>817</v>
      </c>
      <c r="AL22" s="212" t="s">
        <v>866</v>
      </c>
      <c r="AM22" s="91" t="s">
        <v>815</v>
      </c>
      <c r="AN22" s="212" t="s">
        <v>819</v>
      </c>
      <c r="AO22" s="212" t="s">
        <v>817</v>
      </c>
      <c r="AP22" s="212" t="s">
        <v>819</v>
      </c>
      <c r="AQ22" s="212" t="s">
        <v>946</v>
      </c>
      <c r="AR22" s="212" t="s">
        <v>946</v>
      </c>
      <c r="AS22" s="212">
        <v>0</v>
      </c>
      <c r="AT22" s="212"/>
      <c r="AU22" s="212">
        <v>6</v>
      </c>
      <c r="AV22" s="212">
        <v>0</v>
      </c>
      <c r="AW22" s="212">
        <v>0</v>
      </c>
      <c r="AX22" s="212"/>
      <c r="AY22" s="47" t="s">
        <v>952</v>
      </c>
      <c r="AZ22" s="47"/>
    </row>
    <row r="23" spans="1:52" ht="14.5">
      <c r="A23" s="47">
        <v>229</v>
      </c>
      <c r="B23" s="47" t="s">
        <v>515</v>
      </c>
      <c r="C23" s="47">
        <v>109</v>
      </c>
      <c r="D23" s="47">
        <v>2</v>
      </c>
      <c r="E23" s="47" t="s">
        <v>953</v>
      </c>
      <c r="F23" s="47"/>
      <c r="G23" s="47"/>
      <c r="H23" s="47">
        <v>0</v>
      </c>
      <c r="I23" s="47">
        <v>0</v>
      </c>
      <c r="J23" s="91">
        <v>4</v>
      </c>
      <c r="K23" s="91">
        <v>4</v>
      </c>
      <c r="L23" s="91">
        <v>4</v>
      </c>
      <c r="M23" s="91">
        <v>4</v>
      </c>
      <c r="N23" s="47">
        <v>3</v>
      </c>
      <c r="O23" s="47">
        <v>3</v>
      </c>
      <c r="P23" s="91" t="s">
        <v>954</v>
      </c>
      <c r="Q23" s="47" t="s">
        <v>955</v>
      </c>
      <c r="R23" s="47"/>
      <c r="S23" s="205" t="s">
        <v>809</v>
      </c>
      <c r="T23" s="205" t="s">
        <v>810</v>
      </c>
      <c r="U23" s="205" t="s">
        <v>825</v>
      </c>
      <c r="V23" s="126">
        <v>50</v>
      </c>
      <c r="W23" s="126">
        <v>30</v>
      </c>
      <c r="X23" s="126">
        <v>10</v>
      </c>
      <c r="Y23" s="126">
        <v>15</v>
      </c>
      <c r="Z23" s="126">
        <v>30</v>
      </c>
      <c r="AA23" s="126">
        <v>40</v>
      </c>
      <c r="AB23" s="126">
        <v>60</v>
      </c>
      <c r="AC23" s="126">
        <v>65</v>
      </c>
      <c r="AD23" s="125" t="s">
        <v>229</v>
      </c>
      <c r="AE23" s="126">
        <v>3</v>
      </c>
      <c r="AF23" s="127" t="s">
        <v>956</v>
      </c>
      <c r="AG23" s="127" t="s">
        <v>957</v>
      </c>
      <c r="AH23" s="172"/>
      <c r="AI23" s="47" t="s">
        <v>815</v>
      </c>
      <c r="AJ23" s="47" t="s">
        <v>818</v>
      </c>
      <c r="AK23" s="213" t="s">
        <v>817</v>
      </c>
      <c r="AL23" s="213" t="s">
        <v>818</v>
      </c>
      <c r="AM23" s="47" t="s">
        <v>815</v>
      </c>
      <c r="AN23" s="213" t="s">
        <v>875</v>
      </c>
      <c r="AO23" s="213" t="s">
        <v>817</v>
      </c>
      <c r="AP23" s="213" t="s">
        <v>875</v>
      </c>
      <c r="AQ23" s="47" t="s">
        <v>820</v>
      </c>
      <c r="AR23" s="47" t="s">
        <v>820</v>
      </c>
      <c r="AS23" s="213">
        <v>1</v>
      </c>
      <c r="AT23" s="213"/>
      <c r="AU23" s="213">
        <v>18</v>
      </c>
      <c r="AV23" s="213">
        <v>0</v>
      </c>
      <c r="AW23" s="213">
        <v>0</v>
      </c>
      <c r="AX23" s="213"/>
      <c r="AY23" s="91" t="s">
        <v>958</v>
      </c>
      <c r="AZ23" s="47">
        <v>30</v>
      </c>
    </row>
    <row r="24" spans="1:52" ht="14.5">
      <c r="A24" s="47">
        <v>230</v>
      </c>
      <c r="B24" s="47" t="s">
        <v>539</v>
      </c>
      <c r="C24" s="47">
        <v>108</v>
      </c>
      <c r="D24" s="47">
        <v>2</v>
      </c>
      <c r="E24" s="47" t="s">
        <v>959</v>
      </c>
      <c r="H24" s="126">
        <v>75</v>
      </c>
      <c r="I24" s="47">
        <v>0</v>
      </c>
      <c r="J24" s="91">
        <v>4</v>
      </c>
      <c r="K24" s="91">
        <v>4</v>
      </c>
      <c r="L24" s="91">
        <v>4</v>
      </c>
      <c r="M24" s="91">
        <v>4</v>
      </c>
      <c r="N24" s="47">
        <v>3</v>
      </c>
      <c r="O24" s="47">
        <v>3</v>
      </c>
      <c r="P24" s="91" t="s">
        <v>960</v>
      </c>
      <c r="Q24" s="47" t="s">
        <v>961</v>
      </c>
      <c r="S24" s="205" t="s">
        <v>809</v>
      </c>
      <c r="T24" s="206" t="s">
        <v>810</v>
      </c>
      <c r="U24" s="205" t="s">
        <v>825</v>
      </c>
      <c r="V24" s="126">
        <v>48</v>
      </c>
      <c r="W24" s="126">
        <v>30</v>
      </c>
      <c r="X24" s="126">
        <v>10</v>
      </c>
      <c r="Y24" s="126">
        <v>15</v>
      </c>
      <c r="Z24" s="126">
        <v>33</v>
      </c>
      <c r="AA24" s="126">
        <v>38</v>
      </c>
      <c r="AB24" s="126">
        <v>58</v>
      </c>
      <c r="AC24" s="126">
        <v>63</v>
      </c>
      <c r="AD24" s="125" t="s">
        <v>229</v>
      </c>
      <c r="AE24" s="126">
        <v>4</v>
      </c>
      <c r="AF24" s="127" t="s">
        <v>962</v>
      </c>
      <c r="AG24" s="127" t="s">
        <v>963</v>
      </c>
      <c r="AH24" s="172"/>
      <c r="AI24" s="47" t="s">
        <v>815</v>
      </c>
      <c r="AJ24" s="47" t="s">
        <v>818</v>
      </c>
      <c r="AK24" s="213" t="s">
        <v>817</v>
      </c>
      <c r="AL24" s="213" t="s">
        <v>818</v>
      </c>
      <c r="AM24" s="47" t="s">
        <v>815</v>
      </c>
      <c r="AN24" s="213" t="s">
        <v>819</v>
      </c>
      <c r="AO24" s="213" t="s">
        <v>817</v>
      </c>
      <c r="AP24" s="213" t="s">
        <v>819</v>
      </c>
      <c r="AQ24" s="47" t="s">
        <v>820</v>
      </c>
      <c r="AR24" s="47" t="s">
        <v>820</v>
      </c>
      <c r="AS24" s="213">
        <v>1</v>
      </c>
      <c r="AT24" s="213"/>
      <c r="AU24" s="213">
        <v>19</v>
      </c>
      <c r="AV24" s="213">
        <v>0</v>
      </c>
      <c r="AW24" s="213">
        <v>0</v>
      </c>
      <c r="AX24" s="213"/>
      <c r="AY24" s="126" t="s">
        <v>964</v>
      </c>
      <c r="AZ24" s="47">
        <v>30</v>
      </c>
    </row>
    <row r="25" spans="1:52" ht="14.5">
      <c r="A25" s="187">
        <v>231</v>
      </c>
      <c r="B25" s="187" t="s">
        <v>591</v>
      </c>
      <c r="C25" s="187">
        <v>10</v>
      </c>
      <c r="D25" s="187">
        <v>1</v>
      </c>
      <c r="E25" s="187" t="s">
        <v>965</v>
      </c>
      <c r="H25" s="187">
        <v>20</v>
      </c>
      <c r="I25" s="187">
        <v>0</v>
      </c>
      <c r="J25" s="91">
        <v>4</v>
      </c>
      <c r="K25" s="91">
        <v>4</v>
      </c>
      <c r="L25" s="91">
        <v>4</v>
      </c>
      <c r="M25" s="91">
        <v>4</v>
      </c>
      <c r="N25" s="47">
        <v>3</v>
      </c>
      <c r="O25" s="47">
        <v>3</v>
      </c>
      <c r="P25" s="187" t="s">
        <v>966</v>
      </c>
      <c r="Q25" s="187" t="s">
        <v>967</v>
      </c>
      <c r="S25" s="209" t="s">
        <v>809</v>
      </c>
      <c r="T25" s="209" t="s">
        <v>810</v>
      </c>
      <c r="U25" s="209" t="s">
        <v>825</v>
      </c>
      <c r="V25" s="187">
        <v>50</v>
      </c>
      <c r="W25" s="187">
        <v>30</v>
      </c>
      <c r="X25" s="187">
        <v>10</v>
      </c>
      <c r="Y25" s="187">
        <v>15</v>
      </c>
      <c r="Z25" s="187">
        <v>30</v>
      </c>
      <c r="AA25" s="187">
        <v>40</v>
      </c>
      <c r="AB25" s="187">
        <v>60</v>
      </c>
      <c r="AC25" s="187">
        <v>65</v>
      </c>
      <c r="AD25" s="209" t="s">
        <v>229</v>
      </c>
      <c r="AE25" s="187">
        <v>3</v>
      </c>
      <c r="AF25" s="187" t="s">
        <v>968</v>
      </c>
      <c r="AG25" s="187" t="s">
        <v>969</v>
      </c>
      <c r="AI25" s="187" t="s">
        <v>815</v>
      </c>
      <c r="AJ25" s="187" t="s">
        <v>818</v>
      </c>
      <c r="AK25" s="187" t="s">
        <v>817</v>
      </c>
      <c r="AL25" s="187" t="s">
        <v>818</v>
      </c>
      <c r="AM25" s="187" t="s">
        <v>815</v>
      </c>
      <c r="AN25" s="187" t="s">
        <v>819</v>
      </c>
      <c r="AO25" s="187" t="s">
        <v>817</v>
      </c>
      <c r="AP25" s="187" t="s">
        <v>819</v>
      </c>
      <c r="AQ25" s="187" t="s">
        <v>820</v>
      </c>
      <c r="AR25" s="187" t="s">
        <v>820</v>
      </c>
      <c r="AS25" s="187">
        <v>1</v>
      </c>
      <c r="AU25" s="187">
        <v>27</v>
      </c>
      <c r="AV25" s="187">
        <v>0</v>
      </c>
      <c r="AW25" s="187">
        <v>0</v>
      </c>
      <c r="AY25" s="191" t="s">
        <v>970</v>
      </c>
      <c r="AZ25" s="187">
        <v>30</v>
      </c>
    </row>
    <row r="26" spans="1:52" ht="14.5">
      <c r="A26" s="91">
        <v>232</v>
      </c>
      <c r="B26" s="91" t="s">
        <v>319</v>
      </c>
      <c r="C26" s="91">
        <v>102</v>
      </c>
      <c r="D26" s="91">
        <v>2</v>
      </c>
      <c r="E26" s="91" t="s">
        <v>971</v>
      </c>
      <c r="H26" s="91">
        <v>91</v>
      </c>
      <c r="I26" s="91">
        <v>0</v>
      </c>
      <c r="J26" s="47">
        <v>4</v>
      </c>
      <c r="K26" s="47">
        <v>4</v>
      </c>
      <c r="L26" s="91">
        <v>4</v>
      </c>
      <c r="M26" s="91">
        <v>4</v>
      </c>
      <c r="N26" s="47">
        <v>3</v>
      </c>
      <c r="O26" s="47">
        <v>3</v>
      </c>
      <c r="P26" s="91" t="s">
        <v>972</v>
      </c>
      <c r="Q26" s="91" t="s">
        <v>973</v>
      </c>
      <c r="S26" s="125" t="s">
        <v>809</v>
      </c>
      <c r="T26" s="125" t="s">
        <v>855</v>
      </c>
      <c r="U26" s="125" t="s">
        <v>825</v>
      </c>
      <c r="V26" s="91">
        <v>38</v>
      </c>
      <c r="W26" s="91">
        <v>30</v>
      </c>
      <c r="X26" s="91">
        <v>10</v>
      </c>
      <c r="Y26" s="91">
        <v>15</v>
      </c>
      <c r="Z26" s="91">
        <v>25</v>
      </c>
      <c r="AA26" s="91">
        <v>30</v>
      </c>
      <c r="AB26" s="91">
        <v>45</v>
      </c>
      <c r="AC26" s="91">
        <v>50</v>
      </c>
      <c r="AD26" s="125" t="s">
        <v>229</v>
      </c>
      <c r="AE26" s="91">
        <v>3</v>
      </c>
      <c r="AF26" s="128" t="s">
        <v>974</v>
      </c>
      <c r="AG26" s="128" t="s">
        <v>975</v>
      </c>
      <c r="AH26" s="187" t="s">
        <v>858</v>
      </c>
      <c r="AI26" s="91" t="s">
        <v>815</v>
      </c>
      <c r="AJ26" s="91" t="s">
        <v>976</v>
      </c>
      <c r="AK26" s="212" t="s">
        <v>817</v>
      </c>
      <c r="AL26" s="212" t="s">
        <v>818</v>
      </c>
      <c r="AM26" s="91" t="s">
        <v>815</v>
      </c>
      <c r="AN26" s="212" t="s">
        <v>819</v>
      </c>
      <c r="AO26" s="212" t="s">
        <v>817</v>
      </c>
      <c r="AP26" s="212" t="s">
        <v>860</v>
      </c>
      <c r="AQ26" s="91" t="s">
        <v>820</v>
      </c>
      <c r="AR26" s="91" t="s">
        <v>820</v>
      </c>
      <c r="AS26" s="212">
        <v>1</v>
      </c>
      <c r="AT26" s="212"/>
      <c r="AU26" s="212">
        <v>23</v>
      </c>
      <c r="AV26" s="212">
        <v>2321</v>
      </c>
      <c r="AW26" s="212">
        <v>0</v>
      </c>
      <c r="AX26" s="212"/>
      <c r="AY26" s="91" t="s">
        <v>977</v>
      </c>
      <c r="AZ26" s="91">
        <v>30</v>
      </c>
    </row>
    <row r="27" spans="1:52" ht="14.5">
      <c r="A27" s="204">
        <v>233</v>
      </c>
      <c r="B27" s="204" t="s">
        <v>593</v>
      </c>
      <c r="C27" s="204">
        <v>12</v>
      </c>
      <c r="D27" s="204">
        <v>1</v>
      </c>
      <c r="E27" s="204" t="s">
        <v>978</v>
      </c>
      <c r="I27" s="204">
        <v>1</v>
      </c>
      <c r="J27" s="91">
        <v>4</v>
      </c>
      <c r="K27" s="91">
        <v>4</v>
      </c>
      <c r="L27" s="91">
        <v>4</v>
      </c>
      <c r="M27" s="91">
        <v>4</v>
      </c>
      <c r="N27" s="47">
        <v>3</v>
      </c>
      <c r="O27" s="47">
        <v>3</v>
      </c>
      <c r="P27" s="204" t="s">
        <v>979</v>
      </c>
      <c r="Q27" s="204" t="s">
        <v>980</v>
      </c>
      <c r="S27" s="208" t="s">
        <v>809</v>
      </c>
      <c r="T27" s="208" t="s">
        <v>895</v>
      </c>
      <c r="U27" s="208" t="s">
        <v>825</v>
      </c>
      <c r="V27" s="204">
        <v>50</v>
      </c>
      <c r="W27" s="204">
        <v>30</v>
      </c>
      <c r="X27" s="204">
        <v>10</v>
      </c>
      <c r="Y27" s="204">
        <v>15</v>
      </c>
      <c r="Z27" s="204">
        <v>30</v>
      </c>
      <c r="AA27" s="204">
        <v>40</v>
      </c>
      <c r="AB27" s="204">
        <v>60</v>
      </c>
      <c r="AC27" s="204">
        <v>65</v>
      </c>
      <c r="AD27" s="208" t="s">
        <v>229</v>
      </c>
      <c r="AE27" s="204">
        <v>3</v>
      </c>
      <c r="AF27" s="204" t="s">
        <v>981</v>
      </c>
      <c r="AG27" s="204" t="s">
        <v>982</v>
      </c>
      <c r="AH27" s="214"/>
      <c r="AI27" s="215" t="s">
        <v>817</v>
      </c>
      <c r="AJ27" s="215" t="s">
        <v>818</v>
      </c>
      <c r="AK27" s="215" t="s">
        <v>983</v>
      </c>
      <c r="AL27" s="204" t="s">
        <v>984</v>
      </c>
      <c r="AM27" s="204" t="s">
        <v>985</v>
      </c>
      <c r="AN27" s="210" t="s">
        <v>889</v>
      </c>
      <c r="AO27" s="204" t="s">
        <v>986</v>
      </c>
      <c r="AP27" s="204" t="s">
        <v>816</v>
      </c>
      <c r="AQ27" s="215" t="s">
        <v>817</v>
      </c>
      <c r="AR27" s="215" t="s">
        <v>818</v>
      </c>
      <c r="AS27" s="215">
        <v>10551</v>
      </c>
      <c r="AT27" s="215">
        <v>10552</v>
      </c>
      <c r="AU27" s="215">
        <v>10555</v>
      </c>
      <c r="AV27" s="215">
        <v>0</v>
      </c>
      <c r="AW27" s="204">
        <v>0</v>
      </c>
      <c r="AY27" s="204" t="s">
        <v>987</v>
      </c>
      <c r="AZ27" s="204">
        <v>20</v>
      </c>
    </row>
    <row r="28" spans="1:52" ht="14.5">
      <c r="A28" s="47">
        <v>234</v>
      </c>
      <c r="B28" s="47" t="s">
        <v>271</v>
      </c>
      <c r="C28" s="47">
        <v>7</v>
      </c>
      <c r="D28" s="47">
        <v>1</v>
      </c>
      <c r="E28" s="47" t="s">
        <v>988</v>
      </c>
      <c r="H28" s="126">
        <v>70</v>
      </c>
      <c r="I28" s="47">
        <v>0</v>
      </c>
      <c r="J28" s="47">
        <v>4</v>
      </c>
      <c r="K28" s="47">
        <v>4</v>
      </c>
      <c r="L28" s="91">
        <v>3</v>
      </c>
      <c r="M28" s="91">
        <v>3</v>
      </c>
      <c r="N28" s="47">
        <v>3</v>
      </c>
      <c r="O28" s="47">
        <v>3</v>
      </c>
      <c r="P28" s="91" t="s">
        <v>989</v>
      </c>
      <c r="Q28" s="47" t="s">
        <v>990</v>
      </c>
      <c r="S28" s="205" t="s">
        <v>809</v>
      </c>
      <c r="T28" s="206" t="s">
        <v>840</v>
      </c>
      <c r="U28" s="205" t="s">
        <v>825</v>
      </c>
      <c r="V28" s="126">
        <v>28</v>
      </c>
      <c r="W28" s="126">
        <v>30</v>
      </c>
      <c r="X28" s="126">
        <v>10</v>
      </c>
      <c r="Y28" s="126">
        <v>15</v>
      </c>
      <c r="Z28" s="126">
        <v>17</v>
      </c>
      <c r="AA28" s="126">
        <v>22</v>
      </c>
      <c r="AB28" s="126">
        <v>33</v>
      </c>
      <c r="AC28" s="126">
        <v>38</v>
      </c>
      <c r="AD28" s="125" t="s">
        <v>229</v>
      </c>
      <c r="AE28" s="126">
        <v>2</v>
      </c>
      <c r="AF28" s="127" t="s">
        <v>991</v>
      </c>
      <c r="AG28" s="127" t="s">
        <v>992</v>
      </c>
      <c r="AH28" s="172" t="s">
        <v>850</v>
      </c>
      <c r="AI28" s="47" t="s">
        <v>815</v>
      </c>
      <c r="AJ28" s="47" t="s">
        <v>816</v>
      </c>
      <c r="AK28" s="213" t="s">
        <v>817</v>
      </c>
      <c r="AL28" s="213" t="s">
        <v>818</v>
      </c>
      <c r="AM28" s="47" t="s">
        <v>815</v>
      </c>
      <c r="AN28" s="213" t="s">
        <v>819</v>
      </c>
      <c r="AO28" s="213" t="s">
        <v>817</v>
      </c>
      <c r="AP28" s="213" t="s">
        <v>819</v>
      </c>
      <c r="AQ28" s="47" t="s">
        <v>820</v>
      </c>
      <c r="AR28" s="47" t="s">
        <v>820</v>
      </c>
      <c r="AS28" s="213">
        <v>0</v>
      </c>
      <c r="AT28" s="213"/>
      <c r="AU28" s="213">
        <v>7</v>
      </c>
      <c r="AV28" s="213">
        <v>2341</v>
      </c>
      <c r="AW28" s="213">
        <v>0</v>
      </c>
      <c r="AX28" s="213"/>
      <c r="AY28" s="47" t="s">
        <v>993</v>
      </c>
      <c r="AZ28" s="47">
        <v>30</v>
      </c>
    </row>
    <row r="29" spans="1:52" ht="49.5" customHeight="1">
      <c r="A29" s="47">
        <v>235</v>
      </c>
      <c r="B29" s="47" t="s">
        <v>994</v>
      </c>
      <c r="C29" s="47">
        <v>100</v>
      </c>
      <c r="D29" s="47">
        <v>2</v>
      </c>
      <c r="E29" s="47" t="s">
        <v>995</v>
      </c>
      <c r="H29" s="47">
        <v>10</v>
      </c>
      <c r="I29" s="47">
        <v>1</v>
      </c>
      <c r="J29" s="47">
        <v>4</v>
      </c>
      <c r="K29" s="47">
        <v>4</v>
      </c>
      <c r="L29" s="91">
        <v>3</v>
      </c>
      <c r="M29" s="91">
        <v>3</v>
      </c>
      <c r="N29" s="47">
        <v>3</v>
      </c>
      <c r="O29" s="47">
        <v>3</v>
      </c>
      <c r="P29" s="91" t="s">
        <v>996</v>
      </c>
      <c r="Q29" s="47" t="s">
        <v>997</v>
      </c>
      <c r="S29" s="205" t="s">
        <v>809</v>
      </c>
      <c r="T29" s="206" t="s">
        <v>810</v>
      </c>
      <c r="U29" s="205" t="s">
        <v>825</v>
      </c>
      <c r="V29" s="207">
        <v>50</v>
      </c>
      <c r="W29" s="126">
        <v>30</v>
      </c>
      <c r="X29" s="126">
        <v>10</v>
      </c>
      <c r="Y29" s="91">
        <v>15</v>
      </c>
      <c r="Z29" s="126">
        <v>30</v>
      </c>
      <c r="AA29" s="126">
        <v>40</v>
      </c>
      <c r="AB29" s="126">
        <v>60</v>
      </c>
      <c r="AC29" s="126">
        <v>65</v>
      </c>
      <c r="AD29" s="125" t="s">
        <v>229</v>
      </c>
      <c r="AE29" s="126">
        <v>3</v>
      </c>
      <c r="AF29" s="211" t="s">
        <v>998</v>
      </c>
      <c r="AG29" s="211"/>
      <c r="AH29" s="172"/>
      <c r="AI29" s="47" t="s">
        <v>815</v>
      </c>
      <c r="AJ29" s="47" t="s">
        <v>816</v>
      </c>
      <c r="AK29" s="213" t="s">
        <v>817</v>
      </c>
      <c r="AL29" s="213" t="s">
        <v>818</v>
      </c>
      <c r="AM29" s="47" t="s">
        <v>815</v>
      </c>
      <c r="AN29" s="213" t="s">
        <v>819</v>
      </c>
      <c r="AO29" s="213" t="s">
        <v>817</v>
      </c>
      <c r="AP29" s="213" t="s">
        <v>819</v>
      </c>
      <c r="AQ29" s="47" t="s">
        <v>820</v>
      </c>
      <c r="AR29" s="47" t="s">
        <v>820</v>
      </c>
      <c r="AS29" s="213">
        <v>0</v>
      </c>
      <c r="AT29" s="213"/>
      <c r="AU29" s="213">
        <v>15</v>
      </c>
      <c r="AV29" s="213">
        <v>0</v>
      </c>
      <c r="AW29" s="213">
        <v>0</v>
      </c>
      <c r="AX29" s="213"/>
    </row>
    <row r="30" spans="1:52" ht="14.5">
      <c r="A30" s="47">
        <v>236</v>
      </c>
      <c r="B30" s="47" t="s">
        <v>999</v>
      </c>
      <c r="C30" s="91">
        <v>8</v>
      </c>
      <c r="D30" s="47">
        <v>1</v>
      </c>
      <c r="E30" s="47" t="s">
        <v>1000</v>
      </c>
      <c r="H30" s="47">
        <v>10</v>
      </c>
      <c r="I30" s="47">
        <v>1</v>
      </c>
      <c r="J30" s="47">
        <v>4</v>
      </c>
      <c r="K30" s="47">
        <v>4</v>
      </c>
      <c r="L30" s="91">
        <v>3</v>
      </c>
      <c r="M30" s="91">
        <v>3</v>
      </c>
      <c r="N30" s="47">
        <v>3</v>
      </c>
      <c r="O30" s="47">
        <v>3</v>
      </c>
      <c r="P30" s="91" t="s">
        <v>1001</v>
      </c>
      <c r="Q30" s="47" t="s">
        <v>1002</v>
      </c>
      <c r="S30" s="205" t="s">
        <v>809</v>
      </c>
      <c r="T30" s="206" t="s">
        <v>888</v>
      </c>
      <c r="U30" s="205" t="s">
        <v>825</v>
      </c>
      <c r="V30" s="207">
        <v>50</v>
      </c>
      <c r="W30" s="126">
        <v>30</v>
      </c>
      <c r="X30" s="126">
        <v>10</v>
      </c>
      <c r="Y30" s="91">
        <v>15</v>
      </c>
      <c r="Z30" s="126">
        <v>30</v>
      </c>
      <c r="AA30" s="126">
        <v>40</v>
      </c>
      <c r="AB30" s="126">
        <v>60</v>
      </c>
      <c r="AC30" s="126">
        <v>65</v>
      </c>
      <c r="AD30" s="125" t="s">
        <v>229</v>
      </c>
      <c r="AE30" s="126">
        <v>3</v>
      </c>
      <c r="AF30" s="127" t="s">
        <v>873</v>
      </c>
      <c r="AG30" s="127"/>
      <c r="AH30" s="172"/>
      <c r="AI30" s="47" t="s">
        <v>815</v>
      </c>
      <c r="AJ30" s="47" t="s">
        <v>816</v>
      </c>
      <c r="AK30" s="213" t="s">
        <v>817</v>
      </c>
      <c r="AL30" s="213" t="s">
        <v>818</v>
      </c>
      <c r="AM30" s="47" t="s">
        <v>815</v>
      </c>
      <c r="AN30" s="213" t="s">
        <v>819</v>
      </c>
      <c r="AO30" s="213" t="s">
        <v>817</v>
      </c>
      <c r="AP30" s="213" t="s">
        <v>819</v>
      </c>
      <c r="AQ30" s="47" t="s">
        <v>820</v>
      </c>
      <c r="AR30" s="47" t="s">
        <v>820</v>
      </c>
      <c r="AS30" s="213">
        <v>0</v>
      </c>
      <c r="AT30" s="213"/>
      <c r="AU30" s="213">
        <v>16</v>
      </c>
      <c r="AV30" s="213">
        <v>0</v>
      </c>
      <c r="AW30" s="213">
        <v>0</v>
      </c>
      <c r="AX30" s="213"/>
      <c r="AY30" s="47" t="s">
        <v>1003</v>
      </c>
    </row>
    <row r="31" spans="1:52" ht="14.5">
      <c r="A31" s="204">
        <v>237</v>
      </c>
      <c r="B31" s="204" t="s">
        <v>565</v>
      </c>
      <c r="C31" s="204">
        <v>13</v>
      </c>
      <c r="D31" s="204">
        <v>1</v>
      </c>
      <c r="E31" s="204" t="s">
        <v>1004</v>
      </c>
      <c r="H31" s="204">
        <v>10</v>
      </c>
      <c r="I31" s="204">
        <v>0</v>
      </c>
      <c r="J31" s="47">
        <v>4</v>
      </c>
      <c r="K31" s="47">
        <v>4</v>
      </c>
      <c r="L31" s="91">
        <v>3</v>
      </c>
      <c r="M31" s="91">
        <v>3</v>
      </c>
      <c r="N31" s="47">
        <v>3</v>
      </c>
      <c r="O31" s="47">
        <v>3</v>
      </c>
      <c r="P31" s="204" t="s">
        <v>1005</v>
      </c>
      <c r="Q31" s="204" t="s">
        <v>1006</v>
      </c>
      <c r="S31" s="208" t="s">
        <v>809</v>
      </c>
      <c r="T31" s="208" t="s">
        <v>832</v>
      </c>
      <c r="U31" s="208" t="s">
        <v>825</v>
      </c>
      <c r="V31" s="204">
        <v>42</v>
      </c>
      <c r="W31" s="204">
        <v>30</v>
      </c>
      <c r="X31" s="204">
        <v>10</v>
      </c>
      <c r="Y31" s="204">
        <v>15</v>
      </c>
      <c r="Z31" s="204">
        <v>27</v>
      </c>
      <c r="AA31" s="204">
        <v>32</v>
      </c>
      <c r="AB31" s="204">
        <v>52</v>
      </c>
      <c r="AC31" s="204">
        <v>57</v>
      </c>
      <c r="AD31" s="208" t="s">
        <v>229</v>
      </c>
      <c r="AE31" s="204">
        <v>3</v>
      </c>
      <c r="AF31" s="210" t="s">
        <v>1007</v>
      </c>
      <c r="AG31" s="210" t="s">
        <v>1008</v>
      </c>
      <c r="AH31" s="214" t="s">
        <v>1009</v>
      </c>
      <c r="AI31" s="204" t="s">
        <v>815</v>
      </c>
      <c r="AJ31" s="204" t="s">
        <v>818</v>
      </c>
      <c r="AK31" s="215" t="s">
        <v>817</v>
      </c>
      <c r="AL31" s="215" t="s">
        <v>818</v>
      </c>
      <c r="AM31" s="204" t="s">
        <v>815</v>
      </c>
      <c r="AN31" s="215" t="s">
        <v>875</v>
      </c>
      <c r="AO31" s="215" t="s">
        <v>817</v>
      </c>
      <c r="AP31" s="215" t="s">
        <v>875</v>
      </c>
      <c r="AQ31" s="204" t="s">
        <v>820</v>
      </c>
      <c r="AR31" s="204" t="s">
        <v>820</v>
      </c>
      <c r="AS31" s="215">
        <v>1</v>
      </c>
      <c r="AT31" s="215"/>
      <c r="AU31" s="215">
        <v>17</v>
      </c>
      <c r="AV31" s="215">
        <v>2371</v>
      </c>
      <c r="AW31" s="215">
        <v>0</v>
      </c>
      <c r="AX31" s="215"/>
      <c r="AZ31" s="204"/>
    </row>
    <row r="32" spans="1:52" ht="14.5">
      <c r="A32" s="47">
        <v>300</v>
      </c>
      <c r="B32" s="47" t="s">
        <v>1010</v>
      </c>
      <c r="C32" s="91">
        <v>120</v>
      </c>
      <c r="D32" s="47">
        <v>2</v>
      </c>
      <c r="E32" s="47" t="s">
        <v>1011</v>
      </c>
      <c r="H32" s="47">
        <v>10</v>
      </c>
      <c r="I32" s="47">
        <v>1</v>
      </c>
      <c r="J32" s="47">
        <v>4</v>
      </c>
      <c r="K32" s="47">
        <v>4</v>
      </c>
      <c r="L32" s="91">
        <v>4</v>
      </c>
      <c r="M32" s="91">
        <v>4</v>
      </c>
      <c r="N32" s="47">
        <v>4</v>
      </c>
      <c r="O32" s="47">
        <v>4</v>
      </c>
      <c r="P32" s="91" t="s">
        <v>1012</v>
      </c>
      <c r="Q32" s="47" t="s">
        <v>1013</v>
      </c>
      <c r="S32" s="205" t="s">
        <v>809</v>
      </c>
      <c r="T32" s="206" t="s">
        <v>888</v>
      </c>
      <c r="U32" s="205" t="s">
        <v>825</v>
      </c>
      <c r="V32" s="126">
        <v>42</v>
      </c>
      <c r="W32" s="126">
        <v>30</v>
      </c>
      <c r="X32" s="126">
        <v>10</v>
      </c>
      <c r="Y32" s="126">
        <v>15</v>
      </c>
      <c r="Z32" s="126">
        <v>27</v>
      </c>
      <c r="AA32" s="126">
        <v>32</v>
      </c>
      <c r="AB32" s="126">
        <v>52</v>
      </c>
      <c r="AC32" s="126">
        <v>57</v>
      </c>
      <c r="AD32" s="125" t="s">
        <v>229</v>
      </c>
      <c r="AE32" s="126">
        <v>3</v>
      </c>
      <c r="AF32" s="127" t="s">
        <v>873</v>
      </c>
      <c r="AG32" s="127"/>
      <c r="AH32" s="172"/>
      <c r="AI32" s="47" t="s">
        <v>815</v>
      </c>
      <c r="AJ32" s="47" t="s">
        <v>816</v>
      </c>
      <c r="AK32" s="213" t="s">
        <v>817</v>
      </c>
      <c r="AL32" s="213" t="s">
        <v>818</v>
      </c>
      <c r="AM32" s="47" t="s">
        <v>815</v>
      </c>
      <c r="AN32" s="213" t="s">
        <v>819</v>
      </c>
      <c r="AO32" s="213" t="s">
        <v>817</v>
      </c>
      <c r="AP32" s="213" t="s">
        <v>819</v>
      </c>
      <c r="AQ32" s="47" t="s">
        <v>820</v>
      </c>
      <c r="AR32" s="47" t="s">
        <v>820</v>
      </c>
      <c r="AS32" s="213">
        <v>0</v>
      </c>
      <c r="AT32" s="213"/>
      <c r="AU32" s="213">
        <v>16</v>
      </c>
      <c r="AV32" s="213">
        <v>0</v>
      </c>
      <c r="AW32" s="213">
        <v>0</v>
      </c>
      <c r="AX32" s="213"/>
      <c r="AZ32" s="47"/>
    </row>
    <row r="33" spans="1:53" ht="14.5">
      <c r="A33" s="47">
        <v>400</v>
      </c>
      <c r="B33" s="47" t="s">
        <v>1014</v>
      </c>
      <c r="C33" s="47">
        <v>121</v>
      </c>
      <c r="D33" s="47">
        <v>1</v>
      </c>
      <c r="E33" s="1" t="s">
        <v>1015</v>
      </c>
      <c r="H33" s="47">
        <v>10</v>
      </c>
      <c r="I33" s="47">
        <v>0</v>
      </c>
      <c r="J33" s="47">
        <v>4</v>
      </c>
      <c r="K33" s="47">
        <v>4</v>
      </c>
      <c r="L33" s="91">
        <v>3</v>
      </c>
      <c r="M33" s="91">
        <v>3</v>
      </c>
      <c r="N33" s="47">
        <v>3</v>
      </c>
      <c r="O33" s="47">
        <v>3</v>
      </c>
      <c r="P33" s="47" t="s">
        <v>1016</v>
      </c>
      <c r="Q33" s="47" t="s">
        <v>1017</v>
      </c>
      <c r="S33" s="205" t="s">
        <v>809</v>
      </c>
      <c r="T33" s="206" t="s">
        <v>888</v>
      </c>
      <c r="U33" s="205" t="s">
        <v>825</v>
      </c>
      <c r="V33" s="126">
        <v>42</v>
      </c>
      <c r="W33" s="126">
        <v>30</v>
      </c>
      <c r="X33" s="126">
        <v>10</v>
      </c>
      <c r="Y33" s="126">
        <v>15</v>
      </c>
      <c r="Z33" s="126">
        <v>27</v>
      </c>
      <c r="AA33" s="126">
        <v>32</v>
      </c>
      <c r="AB33" s="126">
        <v>52</v>
      </c>
      <c r="AC33" s="126">
        <v>57</v>
      </c>
      <c r="AD33" s="125" t="s">
        <v>229</v>
      </c>
      <c r="AE33" s="126">
        <v>3</v>
      </c>
      <c r="AF33" s="127" t="s">
        <v>873</v>
      </c>
      <c r="AI33" s="47" t="s">
        <v>815</v>
      </c>
      <c r="AJ33" s="47" t="s">
        <v>816</v>
      </c>
      <c r="AK33" s="213" t="s">
        <v>817</v>
      </c>
      <c r="AL33" s="213" t="s">
        <v>818</v>
      </c>
      <c r="AM33" s="47" t="s">
        <v>815</v>
      </c>
      <c r="AN33" s="213" t="s">
        <v>819</v>
      </c>
      <c r="AO33" s="213" t="s">
        <v>817</v>
      </c>
      <c r="AP33" s="213" t="s">
        <v>819</v>
      </c>
      <c r="AQ33" s="47" t="s">
        <v>820</v>
      </c>
      <c r="AR33" s="47" t="s">
        <v>820</v>
      </c>
      <c r="AS33" s="47">
        <v>0</v>
      </c>
      <c r="AU33" s="47">
        <v>16</v>
      </c>
      <c r="AV33" s="47">
        <v>0</v>
      </c>
      <c r="AW33" s="47">
        <v>0</v>
      </c>
      <c r="AY33" s="47" t="s">
        <v>1018</v>
      </c>
      <c r="AZ33" s="47"/>
    </row>
    <row r="34" spans="1:53" ht="14.5">
      <c r="A34" s="47">
        <v>404</v>
      </c>
      <c r="B34" s="47" t="s">
        <v>1019</v>
      </c>
      <c r="C34" s="91">
        <v>130</v>
      </c>
      <c r="D34" s="47">
        <v>2</v>
      </c>
      <c r="E34" s="47" t="s">
        <v>1020</v>
      </c>
      <c r="H34" s="47">
        <v>10</v>
      </c>
      <c r="I34" s="47">
        <v>1</v>
      </c>
      <c r="J34" s="47">
        <v>4</v>
      </c>
      <c r="K34" s="47">
        <v>4</v>
      </c>
      <c r="L34" s="91">
        <v>4</v>
      </c>
      <c r="M34" s="91">
        <v>4</v>
      </c>
      <c r="N34" s="47">
        <v>4</v>
      </c>
      <c r="O34" s="47">
        <v>4</v>
      </c>
      <c r="P34" s="91" t="s">
        <v>1021</v>
      </c>
      <c r="Q34" s="47" t="s">
        <v>1022</v>
      </c>
      <c r="S34" s="205" t="s">
        <v>809</v>
      </c>
      <c r="T34" s="206" t="s">
        <v>888</v>
      </c>
      <c r="U34" s="205" t="s">
        <v>825</v>
      </c>
      <c r="V34" s="126">
        <v>63</v>
      </c>
      <c r="W34" s="126">
        <v>30</v>
      </c>
      <c r="X34" s="126">
        <v>10</v>
      </c>
      <c r="Y34" s="126">
        <v>15</v>
      </c>
      <c r="Z34" s="126">
        <v>48</v>
      </c>
      <c r="AA34" s="126">
        <v>53</v>
      </c>
      <c r="AB34" s="126">
        <v>73</v>
      </c>
      <c r="AC34" s="126">
        <v>78</v>
      </c>
      <c r="AD34" s="125" t="s">
        <v>229</v>
      </c>
      <c r="AE34" s="126">
        <v>6</v>
      </c>
      <c r="AF34" s="127" t="s">
        <v>873</v>
      </c>
      <c r="AG34" s="127"/>
      <c r="AH34" s="172"/>
      <c r="AI34" s="47" t="s">
        <v>815</v>
      </c>
      <c r="AJ34" s="47" t="s">
        <v>816</v>
      </c>
      <c r="AK34" s="213" t="s">
        <v>817</v>
      </c>
      <c r="AL34" s="213" t="s">
        <v>818</v>
      </c>
      <c r="AM34" s="47" t="s">
        <v>815</v>
      </c>
      <c r="AN34" s="213" t="s">
        <v>819</v>
      </c>
      <c r="AO34" s="213" t="s">
        <v>817</v>
      </c>
      <c r="AP34" s="213" t="s">
        <v>819</v>
      </c>
      <c r="AQ34" s="47" t="s">
        <v>820</v>
      </c>
      <c r="AR34" s="47" t="s">
        <v>820</v>
      </c>
      <c r="AS34" s="213">
        <v>0</v>
      </c>
      <c r="AT34" s="213"/>
      <c r="AU34" s="213">
        <v>16</v>
      </c>
      <c r="AV34" s="213">
        <v>0</v>
      </c>
      <c r="AW34" s="213">
        <v>0</v>
      </c>
      <c r="AX34" s="213"/>
      <c r="BA34">
        <v>1</v>
      </c>
    </row>
    <row r="35" spans="1:53" ht="14.5">
      <c r="A35" s="47">
        <v>409</v>
      </c>
      <c r="B35" s="47" t="s">
        <v>1023</v>
      </c>
      <c r="C35" s="91">
        <v>130</v>
      </c>
      <c r="D35" s="47">
        <v>2</v>
      </c>
      <c r="E35" s="47" t="s">
        <v>1020</v>
      </c>
      <c r="H35" s="47">
        <v>10</v>
      </c>
      <c r="I35" s="47">
        <v>1</v>
      </c>
      <c r="J35" s="47">
        <v>4</v>
      </c>
      <c r="K35" s="47">
        <v>4</v>
      </c>
      <c r="L35" s="91">
        <v>4</v>
      </c>
      <c r="M35" s="91">
        <v>4</v>
      </c>
      <c r="N35" s="47">
        <v>4</v>
      </c>
      <c r="O35" s="47">
        <v>4</v>
      </c>
      <c r="P35" s="91" t="s">
        <v>900</v>
      </c>
      <c r="Q35" s="47" t="s">
        <v>901</v>
      </c>
      <c r="S35" s="205" t="s">
        <v>809</v>
      </c>
      <c r="T35" s="206" t="s">
        <v>888</v>
      </c>
      <c r="U35" s="205" t="s">
        <v>825</v>
      </c>
      <c r="V35" s="126">
        <v>63</v>
      </c>
      <c r="W35" s="126">
        <v>30</v>
      </c>
      <c r="X35" s="126">
        <v>10</v>
      </c>
      <c r="Y35" s="126">
        <v>15</v>
      </c>
      <c r="Z35" s="126">
        <v>48</v>
      </c>
      <c r="AA35" s="126">
        <v>53</v>
      </c>
      <c r="AB35" s="126">
        <v>73</v>
      </c>
      <c r="AC35" s="126">
        <v>78</v>
      </c>
      <c r="AD35" s="125" t="s">
        <v>229</v>
      </c>
      <c r="AE35" s="126">
        <v>6</v>
      </c>
      <c r="AF35" s="127" t="s">
        <v>873</v>
      </c>
      <c r="AG35" s="127"/>
      <c r="AH35" s="172"/>
      <c r="AI35" s="47" t="s">
        <v>815</v>
      </c>
      <c r="AJ35" s="47" t="s">
        <v>816</v>
      </c>
      <c r="AK35" s="213" t="s">
        <v>817</v>
      </c>
      <c r="AL35" s="213" t="s">
        <v>818</v>
      </c>
      <c r="AM35" s="47" t="s">
        <v>815</v>
      </c>
      <c r="AN35" s="213" t="s">
        <v>819</v>
      </c>
      <c r="AO35" s="213" t="s">
        <v>817</v>
      </c>
      <c r="AP35" s="213" t="s">
        <v>819</v>
      </c>
      <c r="AQ35" s="47" t="s">
        <v>820</v>
      </c>
      <c r="AR35" s="47" t="s">
        <v>820</v>
      </c>
      <c r="AS35" s="213">
        <v>0</v>
      </c>
      <c r="AT35" s="213"/>
      <c r="AU35" s="213">
        <v>16</v>
      </c>
      <c r="AV35" s="213">
        <v>0</v>
      </c>
      <c r="AW35" s="213">
        <v>0</v>
      </c>
      <c r="AX35" s="213"/>
      <c r="BA35">
        <v>1</v>
      </c>
    </row>
    <row r="36" spans="1:53" ht="14.5">
      <c r="A36" s="223">
        <v>410</v>
      </c>
      <c r="B36" s="223" t="s">
        <v>2308</v>
      </c>
      <c r="C36" s="224">
        <v>114</v>
      </c>
      <c r="D36" s="223">
        <v>2</v>
      </c>
      <c r="E36" s="47" t="s">
        <v>2311</v>
      </c>
      <c r="H36" s="223">
        <v>10</v>
      </c>
      <c r="I36" s="223">
        <v>1</v>
      </c>
      <c r="J36" s="47">
        <v>4</v>
      </c>
      <c r="K36" s="47">
        <v>4</v>
      </c>
      <c r="L36" s="91">
        <v>4</v>
      </c>
      <c r="M36" s="91">
        <v>4</v>
      </c>
      <c r="N36" s="47">
        <v>4</v>
      </c>
      <c r="O36" s="47">
        <v>4</v>
      </c>
      <c r="P36" s="91" t="s">
        <v>2312</v>
      </c>
      <c r="Q36" s="47" t="s">
        <v>2313</v>
      </c>
      <c r="S36" s="125" t="s">
        <v>809</v>
      </c>
      <c r="T36" s="125" t="s">
        <v>840</v>
      </c>
      <c r="U36" s="125" t="s">
        <v>825</v>
      </c>
      <c r="V36" s="126">
        <v>50</v>
      </c>
      <c r="W36" s="126">
        <v>30</v>
      </c>
      <c r="X36" s="126">
        <v>10</v>
      </c>
      <c r="Y36" s="126">
        <v>15</v>
      </c>
      <c r="Z36" s="126">
        <v>40</v>
      </c>
      <c r="AA36" s="126">
        <v>45</v>
      </c>
      <c r="AB36" s="126">
        <v>60</v>
      </c>
      <c r="AC36" s="126">
        <v>65</v>
      </c>
      <c r="AD36" s="125" t="s">
        <v>229</v>
      </c>
      <c r="AE36" s="126">
        <v>5</v>
      </c>
      <c r="AF36" s="127" t="s">
        <v>2314</v>
      </c>
      <c r="AG36" s="127" t="s">
        <v>2315</v>
      </c>
      <c r="AI36" s="47" t="s">
        <v>815</v>
      </c>
      <c r="AJ36" s="47" t="s">
        <v>818</v>
      </c>
      <c r="AK36" s="213" t="s">
        <v>817</v>
      </c>
      <c r="AL36" s="213" t="s">
        <v>818</v>
      </c>
      <c r="AM36" s="47" t="s">
        <v>815</v>
      </c>
      <c r="AN36" s="213" t="s">
        <v>819</v>
      </c>
      <c r="AO36" s="213" t="s">
        <v>817</v>
      </c>
      <c r="AP36" s="213" t="s">
        <v>819</v>
      </c>
      <c r="AQ36" s="47" t="s">
        <v>820</v>
      </c>
      <c r="AR36" s="47" t="s">
        <v>820</v>
      </c>
      <c r="AS36" s="225">
        <v>0</v>
      </c>
      <c r="AU36" s="213">
        <v>16</v>
      </c>
      <c r="AV36" s="213">
        <v>0</v>
      </c>
      <c r="AW36" s="213">
        <v>0</v>
      </c>
      <c r="AY36" s="104"/>
    </row>
    <row r="44" spans="1:53" ht="14.5">
      <c r="P44" s="127"/>
      <c r="Q44" s="127"/>
    </row>
    <row r="45" spans="1:53" ht="14.5">
      <c r="P45" s="127"/>
      <c r="Q45" s="127"/>
    </row>
    <row r="46" spans="1:53" ht="14.5">
      <c r="P46" s="127"/>
      <c r="Q46" s="127"/>
    </row>
    <row r="47" spans="1:53" ht="14.5">
      <c r="P47" s="127"/>
      <c r="Q47" s="127"/>
    </row>
    <row r="48" spans="1:53" ht="14.5">
      <c r="P48" s="127"/>
      <c r="Q48" s="127"/>
    </row>
    <row r="49" spans="16:17" ht="14.5">
      <c r="P49" s="127"/>
      <c r="Q49" s="127"/>
    </row>
    <row r="50" spans="16:17" ht="14.5">
      <c r="P50" s="127"/>
      <c r="Q50" s="127"/>
    </row>
    <row r="51" spans="16:17" ht="14.5">
      <c r="P51" s="127"/>
      <c r="Q51" s="127"/>
    </row>
    <row r="52" spans="16:17" ht="14.5">
      <c r="P52" s="127"/>
      <c r="Q52" s="127"/>
    </row>
    <row r="53" spans="16:17" ht="14.5">
      <c r="P53" s="127"/>
      <c r="Q53" s="127"/>
    </row>
    <row r="54" spans="16:17" ht="14.5">
      <c r="P54" s="127"/>
      <c r="Q54" s="127"/>
    </row>
    <row r="55" spans="16:17" ht="14.5">
      <c r="P55" s="127"/>
      <c r="Q55" s="127"/>
    </row>
    <row r="56" spans="16:17" ht="14.5">
      <c r="P56" s="127"/>
      <c r="Q56" s="127"/>
    </row>
    <row r="57" spans="16:17" ht="14.5">
      <c r="P57" s="127"/>
      <c r="Q57" s="127"/>
    </row>
    <row r="58" spans="16:17" ht="14.5">
      <c r="P58" s="127"/>
      <c r="Q58" s="127"/>
    </row>
    <row r="59" spans="16:17" ht="14.5">
      <c r="P59" s="127"/>
      <c r="Q59" s="127"/>
    </row>
    <row r="60" spans="16:17" ht="14.5">
      <c r="P60" s="127"/>
      <c r="Q60" s="127"/>
    </row>
    <row r="61" spans="16:17" ht="14.5">
      <c r="P61" s="127"/>
      <c r="Q61" s="127"/>
    </row>
    <row r="62" spans="16:17" ht="14.5">
      <c r="P62" s="127"/>
      <c r="Q62" s="127"/>
    </row>
    <row r="63" spans="16:17" ht="14.5">
      <c r="P63" s="127"/>
      <c r="Q63" s="127"/>
    </row>
    <row r="64" spans="16:17" ht="14.5">
      <c r="P64" s="127"/>
      <c r="Q64" s="127"/>
    </row>
    <row r="65" spans="16:17" ht="14.5">
      <c r="P65" s="127"/>
      <c r="Q65" s="127"/>
    </row>
    <row r="66" spans="16:17" ht="14.5">
      <c r="P66" s="127"/>
      <c r="Q66" s="127"/>
    </row>
    <row r="67" spans="16:17" ht="14.5">
      <c r="P67" s="127"/>
      <c r="Q67" s="127"/>
    </row>
    <row r="68" spans="16:17" ht="14.5">
      <c r="P68" s="127"/>
      <c r="Q68" s="127"/>
    </row>
    <row r="69" spans="16:17" ht="14.5">
      <c r="P69" s="127"/>
      <c r="Q69" s="127"/>
    </row>
    <row r="70" spans="16:17" ht="14.5">
      <c r="P70" s="127"/>
      <c r="Q70" s="127"/>
    </row>
    <row r="71" spans="16:17" ht="14.5">
      <c r="Q71" s="127"/>
    </row>
    <row r="74" spans="16:17" ht="14.5">
      <c r="Q74" s="127"/>
    </row>
    <row r="75" spans="16:17" ht="14.5">
      <c r="Q75" s="127"/>
    </row>
  </sheetData>
  <phoneticPr fontId="2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30"/>
  <sheetViews>
    <sheetView workbookViewId="0">
      <selection activeCell="N31" sqref="N31"/>
    </sheetView>
  </sheetViews>
  <sheetFormatPr defaultColWidth="9" defaultRowHeight="14"/>
  <cols>
    <col min="1" max="1" width="9.58203125" customWidth="1"/>
    <col min="2" max="2" width="13" customWidth="1"/>
    <col min="3" max="3" width="12.33203125" customWidth="1"/>
    <col min="4" max="4" width="13.58203125" customWidth="1"/>
    <col min="5" max="5" width="13.33203125" customWidth="1"/>
    <col min="6" max="6" width="13.58203125" customWidth="1"/>
    <col min="7" max="7" width="14.33203125" customWidth="1"/>
    <col min="8" max="8" width="13.08203125" customWidth="1"/>
    <col min="9" max="9" width="14.33203125" customWidth="1"/>
    <col min="10" max="10" width="13" customWidth="1"/>
    <col min="11" max="11" width="18.08203125" customWidth="1"/>
    <col min="12" max="12" width="29" customWidth="1"/>
    <col min="13" max="13" width="15.33203125" customWidth="1"/>
    <col min="14" max="14" width="13" customWidth="1"/>
    <col min="15" max="15" width="13.33203125" customWidth="1"/>
    <col min="16" max="16" width="14.33203125" customWidth="1"/>
    <col min="17" max="17" width="22.83203125" customWidth="1"/>
    <col min="18" max="18" width="35.08203125" customWidth="1"/>
    <col min="19" max="19" width="8" customWidth="1"/>
    <col min="20" max="20" width="12.58203125" customWidth="1"/>
    <col min="21" max="21" width="12.83203125" customWidth="1"/>
    <col min="22" max="22" width="10.33203125" customWidth="1"/>
    <col min="23" max="25" width="13" customWidth="1"/>
    <col min="26" max="26" width="9" customWidth="1"/>
    <col min="27" max="28" width="13" customWidth="1"/>
    <col min="29" max="29" width="29.75" customWidth="1"/>
  </cols>
  <sheetData>
    <row r="1" spans="1:29" ht="14.5">
      <c r="A1" s="119" t="s">
        <v>1024</v>
      </c>
      <c r="B1" s="119"/>
    </row>
    <row r="2" spans="1:29" ht="16.5">
      <c r="A2" s="48" t="s">
        <v>1025</v>
      </c>
      <c r="B2" s="48" t="s">
        <v>607</v>
      </c>
      <c r="C2" s="48" t="s">
        <v>1026</v>
      </c>
      <c r="D2" s="48" t="s">
        <v>1027</v>
      </c>
      <c r="E2" s="48" t="s">
        <v>1028</v>
      </c>
      <c r="F2" s="48" t="s">
        <v>1029</v>
      </c>
      <c r="G2" s="48" t="s">
        <v>1030</v>
      </c>
      <c r="H2" s="48" t="s">
        <v>1031</v>
      </c>
      <c r="I2" s="48" t="s">
        <v>1032</v>
      </c>
      <c r="J2" s="48" t="s">
        <v>1033</v>
      </c>
      <c r="K2" s="199" t="s">
        <v>1034</v>
      </c>
      <c r="L2" s="199" t="s">
        <v>1035</v>
      </c>
      <c r="M2" s="48" t="s">
        <v>1036</v>
      </c>
      <c r="N2" s="48" t="s">
        <v>1037</v>
      </c>
      <c r="O2" s="48" t="s">
        <v>1038</v>
      </c>
      <c r="P2" s="48" t="s">
        <v>1039</v>
      </c>
      <c r="Q2" s="48" t="s">
        <v>1040</v>
      </c>
      <c r="R2" s="48" t="s">
        <v>1041</v>
      </c>
      <c r="S2" s="48" t="s">
        <v>1042</v>
      </c>
      <c r="T2" s="202" t="s">
        <v>1043</v>
      </c>
      <c r="U2" s="121"/>
      <c r="V2" s="124"/>
      <c r="W2" s="202" t="s">
        <v>1044</v>
      </c>
      <c r="X2" s="121"/>
      <c r="Y2" s="124"/>
      <c r="Z2" s="202" t="s">
        <v>1045</v>
      </c>
      <c r="AA2" s="121"/>
      <c r="AB2" s="124"/>
      <c r="AC2" s="48" t="s">
        <v>1046</v>
      </c>
    </row>
    <row r="3" spans="1:29" ht="16.5">
      <c r="A3" s="63" t="s">
        <v>702</v>
      </c>
      <c r="C3" s="63" t="s">
        <v>1047</v>
      </c>
      <c r="D3" s="63" t="s">
        <v>1048</v>
      </c>
      <c r="E3" s="63" t="s">
        <v>1049</v>
      </c>
      <c r="F3" s="63" t="s">
        <v>1050</v>
      </c>
      <c r="G3" s="63" t="s">
        <v>1051</v>
      </c>
      <c r="H3" s="63" t="s">
        <v>1052</v>
      </c>
      <c r="I3" s="63" t="s">
        <v>1053</v>
      </c>
      <c r="J3" s="63" t="s">
        <v>1054</v>
      </c>
      <c r="K3" s="171" t="s">
        <v>1055</v>
      </c>
      <c r="L3" s="171" t="s">
        <v>1056</v>
      </c>
      <c r="M3" s="200"/>
      <c r="N3" s="200"/>
      <c r="O3" s="200"/>
      <c r="P3" s="63" t="s">
        <v>1057</v>
      </c>
      <c r="Q3" s="63" t="s">
        <v>1058</v>
      </c>
      <c r="R3" s="63" t="s">
        <v>1059</v>
      </c>
      <c r="S3" s="63" t="s">
        <v>1060</v>
      </c>
      <c r="T3" s="63" t="s">
        <v>1061</v>
      </c>
      <c r="U3" s="63" t="s">
        <v>1062</v>
      </c>
      <c r="V3" s="63" t="s">
        <v>1063</v>
      </c>
      <c r="W3" s="63" t="s">
        <v>1064</v>
      </c>
      <c r="X3" s="63" t="s">
        <v>1065</v>
      </c>
      <c r="Y3" s="63" t="s">
        <v>1066</v>
      </c>
      <c r="Z3" s="63" t="s">
        <v>1067</v>
      </c>
      <c r="AA3" s="63" t="s">
        <v>1068</v>
      </c>
      <c r="AB3" s="63" t="s">
        <v>1069</v>
      </c>
      <c r="AC3" s="63" t="s">
        <v>1070</v>
      </c>
    </row>
    <row r="4" spans="1:29" ht="16.5">
      <c r="A4" s="197">
        <v>201</v>
      </c>
      <c r="B4" s="123" t="s">
        <v>66</v>
      </c>
      <c r="C4" s="198">
        <v>13</v>
      </c>
      <c r="D4" s="198">
        <v>0</v>
      </c>
      <c r="E4" s="198">
        <v>200</v>
      </c>
      <c r="F4" s="198">
        <v>0</v>
      </c>
      <c r="G4" s="198">
        <v>0</v>
      </c>
      <c r="H4" s="198"/>
      <c r="I4" s="198"/>
      <c r="J4" s="50" t="s">
        <v>1071</v>
      </c>
      <c r="K4" s="50" t="s">
        <v>1072</v>
      </c>
      <c r="L4" s="50" t="s">
        <v>1073</v>
      </c>
      <c r="M4" s="201" t="s">
        <v>1074</v>
      </c>
      <c r="N4" s="201" t="s">
        <v>1075</v>
      </c>
      <c r="O4" s="201"/>
      <c r="P4" s="50" t="s">
        <v>1076</v>
      </c>
      <c r="Q4" s="50" t="s">
        <v>1077</v>
      </c>
    </row>
    <row r="5" spans="1:29" ht="16.5">
      <c r="A5" s="122">
        <v>202</v>
      </c>
      <c r="B5" s="123" t="s">
        <v>154</v>
      </c>
      <c r="C5" s="198">
        <v>13</v>
      </c>
      <c r="D5" s="198">
        <v>0</v>
      </c>
      <c r="E5" s="198">
        <v>0</v>
      </c>
      <c r="F5" s="198">
        <v>0</v>
      </c>
      <c r="G5" s="198">
        <v>0</v>
      </c>
      <c r="H5" s="198"/>
      <c r="I5" s="198"/>
      <c r="J5" s="50" t="s">
        <v>1071</v>
      </c>
      <c r="K5" s="50" t="s">
        <v>1072</v>
      </c>
      <c r="L5" s="50" t="s">
        <v>1078</v>
      </c>
      <c r="M5" s="201" t="s">
        <v>1079</v>
      </c>
      <c r="N5" s="201" t="s">
        <v>1075</v>
      </c>
      <c r="O5" s="201" t="s">
        <v>1080</v>
      </c>
      <c r="P5" s="50" t="s">
        <v>1081</v>
      </c>
      <c r="Q5" s="50" t="s">
        <v>1082</v>
      </c>
      <c r="W5" s="50">
        <v>103</v>
      </c>
      <c r="X5" s="50">
        <v>-9.1</v>
      </c>
      <c r="Y5" s="50">
        <v>-87</v>
      </c>
      <c r="Z5" s="50">
        <v>93.89</v>
      </c>
      <c r="AA5" s="50">
        <v>-9.1</v>
      </c>
      <c r="AB5" s="50">
        <v>-97.27</v>
      </c>
      <c r="AC5" s="50" t="s">
        <v>1083</v>
      </c>
    </row>
    <row r="6" spans="1:29" ht="16.5">
      <c r="A6" s="122"/>
      <c r="B6" s="123"/>
      <c r="C6" s="198"/>
      <c r="D6" s="198"/>
      <c r="E6" s="198"/>
      <c r="F6" s="198"/>
      <c r="G6" s="198"/>
      <c r="H6" s="198"/>
      <c r="I6" s="198"/>
      <c r="M6" s="201"/>
      <c r="N6" s="201"/>
      <c r="O6" s="201"/>
      <c r="W6" s="50">
        <v>100</v>
      </c>
      <c r="X6" s="50">
        <v>-9.1</v>
      </c>
      <c r="Y6" s="50">
        <v>-91</v>
      </c>
      <c r="Z6" s="50">
        <v>104.31</v>
      </c>
      <c r="AA6" s="50">
        <v>-9.1</v>
      </c>
      <c r="AB6" s="50">
        <v>-94.87</v>
      </c>
      <c r="AC6" s="50" t="s">
        <v>1084</v>
      </c>
    </row>
    <row r="7" spans="1:29" ht="16.5">
      <c r="A7" s="197">
        <v>206</v>
      </c>
      <c r="B7" s="123" t="s">
        <v>293</v>
      </c>
      <c r="C7" s="198">
        <v>13</v>
      </c>
      <c r="D7" s="198">
        <v>0</v>
      </c>
      <c r="E7" s="198">
        <v>400</v>
      </c>
      <c r="F7" s="198">
        <v>0</v>
      </c>
      <c r="G7" s="198">
        <v>0</v>
      </c>
      <c r="H7" s="198"/>
      <c r="I7" s="198"/>
      <c r="J7" s="50" t="s">
        <v>1071</v>
      </c>
      <c r="K7" s="50" t="s">
        <v>1072</v>
      </c>
      <c r="L7" s="50" t="s">
        <v>1085</v>
      </c>
      <c r="M7" s="201" t="s">
        <v>1079</v>
      </c>
      <c r="N7" s="201"/>
      <c r="O7" s="201"/>
      <c r="P7" s="50" t="s">
        <v>1086</v>
      </c>
      <c r="Q7" s="50" t="s">
        <v>1087</v>
      </c>
      <c r="T7" s="50">
        <v>130.62</v>
      </c>
      <c r="U7" s="50">
        <v>-9.1</v>
      </c>
      <c r="V7" s="50">
        <v>-46</v>
      </c>
      <c r="W7" s="50">
        <v>119.84</v>
      </c>
      <c r="X7" s="50">
        <v>-9.1</v>
      </c>
      <c r="Y7" s="50">
        <v>-40.76</v>
      </c>
      <c r="Z7" s="203">
        <v>125</v>
      </c>
      <c r="AA7" s="203">
        <v>-9.1</v>
      </c>
      <c r="AB7" s="203">
        <v>-55</v>
      </c>
      <c r="AC7" s="50" t="s">
        <v>1083</v>
      </c>
    </row>
    <row r="8" spans="1:29" ht="16.5">
      <c r="A8" s="197"/>
      <c r="B8" s="123"/>
      <c r="C8" s="198"/>
      <c r="D8" s="198"/>
      <c r="E8" s="198"/>
      <c r="F8" s="198"/>
      <c r="G8" s="198"/>
      <c r="H8" s="198"/>
      <c r="I8" s="198"/>
      <c r="L8" s="50"/>
      <c r="M8" s="201"/>
      <c r="N8" s="201"/>
      <c r="O8" s="201"/>
      <c r="T8" s="50">
        <v>134</v>
      </c>
      <c r="U8" s="50">
        <v>-9.1</v>
      </c>
      <c r="V8" s="50">
        <v>-37.33</v>
      </c>
      <c r="W8" s="50">
        <v>126.67</v>
      </c>
      <c r="X8" s="50">
        <v>-9.1</v>
      </c>
      <c r="Y8" s="50">
        <v>-37</v>
      </c>
      <c r="Z8" s="203">
        <v>152.9</v>
      </c>
      <c r="AA8" s="203">
        <v>-8.9</v>
      </c>
      <c r="AB8" s="203">
        <v>-9.4</v>
      </c>
      <c r="AC8" s="50" t="s">
        <v>1084</v>
      </c>
    </row>
    <row r="9" spans="1:29" ht="16.5">
      <c r="A9" s="197"/>
      <c r="B9" s="123"/>
      <c r="C9" s="198"/>
      <c r="D9" s="198"/>
      <c r="E9" s="198"/>
      <c r="F9" s="198"/>
      <c r="G9" s="198"/>
      <c r="H9" s="198"/>
      <c r="I9" s="198"/>
      <c r="L9" s="50"/>
      <c r="M9" s="201"/>
      <c r="N9" s="201"/>
      <c r="O9" s="201"/>
      <c r="T9" s="50">
        <v>134.5</v>
      </c>
      <c r="U9" s="50">
        <v>-9.1</v>
      </c>
      <c r="V9" s="50">
        <v>-27.5</v>
      </c>
      <c r="W9" s="50">
        <v>126.87</v>
      </c>
      <c r="X9" s="50">
        <v>-9.1</v>
      </c>
      <c r="Y9" s="50">
        <v>-31.61</v>
      </c>
      <c r="Z9" s="203">
        <v>144.4</v>
      </c>
      <c r="AA9" s="203">
        <v>-8.9</v>
      </c>
      <c r="AB9" s="203">
        <v>-27.8</v>
      </c>
      <c r="AC9" s="50" t="s">
        <v>1083</v>
      </c>
    </row>
    <row r="10" spans="1:29" ht="16.5">
      <c r="A10" s="197"/>
      <c r="B10" s="123"/>
      <c r="C10" s="198"/>
      <c r="D10" s="198"/>
      <c r="E10" s="198"/>
      <c r="F10" s="198"/>
      <c r="G10" s="198"/>
      <c r="H10" s="198"/>
      <c r="I10" s="198"/>
      <c r="L10" s="50"/>
      <c r="M10" s="201"/>
      <c r="N10" s="201"/>
      <c r="O10" s="201"/>
      <c r="T10" s="50">
        <v>123.6</v>
      </c>
      <c r="U10" s="50">
        <v>-9.1</v>
      </c>
      <c r="V10" s="50">
        <v>-50.3</v>
      </c>
      <c r="W10" s="50">
        <v>121.04</v>
      </c>
      <c r="X10" s="50">
        <v>-9.1</v>
      </c>
      <c r="Y10" s="50">
        <v>-40.47</v>
      </c>
      <c r="Z10" s="203">
        <v>149.19999999999999</v>
      </c>
      <c r="AA10" s="203">
        <v>-9.1</v>
      </c>
      <c r="AB10" s="203">
        <v>-27.5</v>
      </c>
      <c r="AC10" s="50" t="s">
        <v>1084</v>
      </c>
    </row>
    <row r="11" spans="1:29" ht="16.5">
      <c r="A11" s="198"/>
      <c r="B11" s="198"/>
      <c r="C11" s="198"/>
      <c r="D11" s="198"/>
      <c r="E11" s="198"/>
      <c r="F11" s="198"/>
      <c r="G11" s="198"/>
      <c r="H11" s="198"/>
      <c r="I11" s="198"/>
    </row>
    <row r="12" spans="1:29" ht="16.5">
      <c r="A12" s="198"/>
      <c r="B12" s="198"/>
      <c r="C12" s="198"/>
      <c r="D12" s="198"/>
      <c r="E12" s="198"/>
      <c r="F12" s="198"/>
      <c r="G12" s="198"/>
      <c r="H12" s="198"/>
      <c r="I12" s="198"/>
    </row>
    <row r="13" spans="1:29" ht="16.5">
      <c r="A13" s="198"/>
      <c r="B13" s="198"/>
      <c r="C13" s="198"/>
      <c r="D13" s="198"/>
      <c r="E13" s="198"/>
      <c r="F13" s="198"/>
      <c r="G13" s="198"/>
      <c r="H13" s="198"/>
      <c r="I13" s="198"/>
    </row>
    <row r="14" spans="1:29" ht="16.5">
      <c r="A14" s="198"/>
      <c r="B14" s="198"/>
      <c r="C14" s="198"/>
      <c r="D14" s="198"/>
      <c r="E14" s="198"/>
      <c r="F14" s="198"/>
      <c r="G14" s="198"/>
      <c r="H14" s="198"/>
      <c r="I14" s="198"/>
    </row>
    <row r="15" spans="1:29" ht="16.5">
      <c r="A15" s="198"/>
      <c r="B15" s="198"/>
      <c r="C15" s="198"/>
      <c r="D15" s="198"/>
      <c r="E15" s="198"/>
      <c r="F15" s="198"/>
      <c r="G15" s="198"/>
      <c r="H15" s="198"/>
      <c r="I15" s="198"/>
    </row>
    <row r="16" spans="1:29" ht="16.5">
      <c r="A16" s="198"/>
      <c r="B16" s="198"/>
      <c r="C16" s="198"/>
      <c r="D16" s="198"/>
      <c r="E16" s="198"/>
      <c r="F16" s="198"/>
      <c r="G16" s="198"/>
      <c r="H16" s="198"/>
      <c r="I16" s="198"/>
    </row>
    <row r="17" spans="1:9" ht="16.5">
      <c r="A17" s="198"/>
      <c r="B17" s="198"/>
      <c r="C17" s="198"/>
      <c r="D17" s="198"/>
      <c r="E17" s="198"/>
      <c r="F17" s="198"/>
      <c r="G17" s="198"/>
      <c r="H17" s="198"/>
      <c r="I17" s="198"/>
    </row>
    <row r="18" spans="1:9" ht="16.5">
      <c r="A18" s="198"/>
      <c r="B18" s="198"/>
      <c r="C18" s="198"/>
      <c r="D18" s="198"/>
      <c r="E18" s="198"/>
      <c r="F18" s="198"/>
      <c r="G18" s="198"/>
      <c r="H18" s="198"/>
      <c r="I18" s="198"/>
    </row>
    <row r="19" spans="1:9" ht="16.5">
      <c r="A19" s="198"/>
      <c r="B19" s="198"/>
      <c r="C19" s="198"/>
      <c r="D19" s="198"/>
      <c r="E19" s="198"/>
      <c r="F19" s="198"/>
      <c r="G19" s="198"/>
      <c r="H19" s="198"/>
      <c r="I19" s="198"/>
    </row>
    <row r="20" spans="1:9" ht="16.5">
      <c r="A20" s="198"/>
      <c r="B20" s="198"/>
      <c r="C20" s="198"/>
      <c r="D20" s="198"/>
      <c r="E20" s="198"/>
      <c r="F20" s="198"/>
      <c r="G20" s="198"/>
      <c r="H20" s="198"/>
      <c r="I20" s="198"/>
    </row>
    <row r="21" spans="1:9" ht="16.5">
      <c r="A21" s="198"/>
      <c r="B21" s="198"/>
      <c r="C21" s="198"/>
      <c r="D21" s="198"/>
      <c r="E21" s="198"/>
      <c r="F21" s="198"/>
      <c r="G21" s="198"/>
      <c r="H21" s="198"/>
      <c r="I21" s="198"/>
    </row>
    <row r="22" spans="1:9" ht="16.5">
      <c r="A22" s="198"/>
      <c r="B22" s="198"/>
      <c r="C22" s="198"/>
      <c r="D22" s="198"/>
      <c r="E22" s="198"/>
      <c r="F22" s="198"/>
      <c r="G22" s="198"/>
      <c r="H22" s="198"/>
      <c r="I22" s="198"/>
    </row>
    <row r="23" spans="1:9" ht="16.5">
      <c r="A23" s="198"/>
      <c r="B23" s="198"/>
      <c r="C23" s="198"/>
      <c r="D23" s="198"/>
      <c r="E23" s="198"/>
      <c r="F23" s="198"/>
      <c r="G23" s="198"/>
      <c r="H23" s="198"/>
      <c r="I23" s="198"/>
    </row>
    <row r="24" spans="1:9" ht="16.5">
      <c r="A24" s="198"/>
      <c r="B24" s="198"/>
      <c r="C24" s="198"/>
      <c r="D24" s="198"/>
      <c r="E24" s="198"/>
      <c r="F24" s="198"/>
      <c r="G24" s="198"/>
      <c r="H24" s="198"/>
      <c r="I24" s="198"/>
    </row>
    <row r="25" spans="1:9" ht="16.5">
      <c r="A25" s="198"/>
      <c r="B25" s="198"/>
      <c r="C25" s="198"/>
      <c r="D25" s="198"/>
      <c r="E25" s="198"/>
      <c r="F25" s="198"/>
      <c r="G25" s="198"/>
      <c r="H25" s="198"/>
      <c r="I25" s="198"/>
    </row>
    <row r="26" spans="1:9" ht="16.5">
      <c r="A26" s="198"/>
      <c r="B26" s="198"/>
      <c r="C26" s="198"/>
      <c r="D26" s="198"/>
      <c r="E26" s="198"/>
      <c r="F26" s="198"/>
      <c r="G26" s="198"/>
      <c r="H26" s="198"/>
      <c r="I26" s="198"/>
    </row>
    <row r="27" spans="1:9" ht="16.5">
      <c r="A27" s="198"/>
      <c r="B27" s="198"/>
      <c r="C27" s="198"/>
      <c r="D27" s="198"/>
      <c r="E27" s="198"/>
      <c r="F27" s="198"/>
      <c r="G27" s="198"/>
      <c r="H27" s="198"/>
      <c r="I27" s="198"/>
    </row>
    <row r="28" spans="1:9" ht="16.5">
      <c r="A28" s="198"/>
      <c r="B28" s="198"/>
      <c r="C28" s="198"/>
      <c r="D28" s="198"/>
      <c r="E28" s="198"/>
      <c r="F28" s="198"/>
      <c r="G28" s="198"/>
      <c r="H28" s="198"/>
      <c r="I28" s="198"/>
    </row>
    <row r="29" spans="1:9" ht="16.5">
      <c r="A29" s="198"/>
      <c r="B29" s="198"/>
      <c r="C29" s="198"/>
      <c r="D29" s="198"/>
      <c r="E29" s="198"/>
      <c r="F29" s="198"/>
      <c r="G29" s="198"/>
      <c r="H29" s="198"/>
      <c r="I29" s="198"/>
    </row>
    <row r="30" spans="1:9" ht="16.5">
      <c r="A30" s="198"/>
      <c r="B30" s="198"/>
      <c r="C30" s="198"/>
      <c r="D30" s="198"/>
      <c r="E30" s="198"/>
      <c r="F30" s="198"/>
      <c r="G30" s="198"/>
      <c r="H30" s="198"/>
      <c r="I30" s="198"/>
    </row>
  </sheetData>
  <phoneticPr fontId="2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617"/>
  <sheetViews>
    <sheetView workbookViewId="0">
      <selection activeCell="I42" sqref="I42"/>
    </sheetView>
  </sheetViews>
  <sheetFormatPr defaultColWidth="9" defaultRowHeight="14"/>
  <cols>
    <col min="1" max="1" width="11.33203125" customWidth="1"/>
    <col min="2" max="2" width="6.33203125" customWidth="1"/>
    <col min="3" max="3" width="8.33203125" customWidth="1"/>
    <col min="4" max="4" width="9" customWidth="1"/>
    <col min="5" max="5" width="13" customWidth="1"/>
    <col min="6" max="6" width="10" customWidth="1"/>
    <col min="7" max="7" width="18.83203125" customWidth="1"/>
    <col min="8" max="8" width="20.75" customWidth="1"/>
    <col min="9" max="9" width="9" customWidth="1"/>
    <col min="10" max="10" width="12.25" customWidth="1"/>
    <col min="11" max="11" width="10" customWidth="1"/>
    <col min="12" max="14" width="13" customWidth="1"/>
    <col min="15" max="15" width="10.33203125" customWidth="1"/>
    <col min="16" max="16" width="12.33203125" customWidth="1"/>
    <col min="17" max="17" width="20.75" customWidth="1"/>
    <col min="18" max="18" width="22.83203125" customWidth="1"/>
    <col min="19" max="19" width="12.25" customWidth="1"/>
    <col min="20" max="20" width="14.33203125" customWidth="1"/>
    <col min="21" max="21" width="11.33203125" customWidth="1"/>
    <col min="22" max="22" width="13" customWidth="1"/>
    <col min="23" max="23" width="63.83203125" customWidth="1"/>
    <col min="24" max="24" width="61.83203125" customWidth="1"/>
    <col min="25" max="25" width="23.83203125" customWidth="1"/>
    <col min="26" max="26" width="13.25" customWidth="1"/>
    <col min="27" max="27" width="12.33203125" customWidth="1"/>
    <col min="28" max="28" width="18" customWidth="1"/>
    <col min="29" max="29" width="13" customWidth="1"/>
    <col min="30" max="30" width="13.08203125" customWidth="1"/>
    <col min="31" max="31" width="12.33203125" customWidth="1"/>
    <col min="32" max="32" width="13" customWidth="1"/>
    <col min="33" max="33" width="13.08203125" customWidth="1"/>
    <col min="34" max="34" width="13.33203125" customWidth="1"/>
    <col min="35" max="35" width="12.33203125" customWidth="1"/>
    <col min="36" max="36" width="13" customWidth="1"/>
    <col min="37" max="37" width="13.08203125" customWidth="1"/>
    <col min="38" max="38" width="13.33203125" customWidth="1"/>
    <col min="39" max="39" width="12.33203125" customWidth="1"/>
    <col min="40" max="40" width="13" customWidth="1"/>
    <col min="41" max="41" width="13.08203125" customWidth="1"/>
    <col min="42" max="42" width="13.33203125" customWidth="1"/>
    <col min="43" max="43" width="12.33203125" customWidth="1"/>
    <col min="44" max="44" width="13" customWidth="1"/>
    <col min="45" max="45" width="13.08203125" customWidth="1"/>
    <col min="46" max="46" width="13.33203125" customWidth="1"/>
    <col min="47" max="47" width="12.33203125" customWidth="1"/>
    <col min="48" max="48" width="13" customWidth="1"/>
    <col min="49" max="49" width="13.08203125" customWidth="1"/>
    <col min="50" max="50" width="13.33203125" customWidth="1"/>
    <col min="51" max="51" width="12.33203125" customWidth="1"/>
    <col min="52" max="52" width="13" customWidth="1"/>
    <col min="53" max="53" width="13.08203125" customWidth="1"/>
    <col min="54" max="54" width="13.33203125" customWidth="1"/>
    <col min="55" max="55" width="12.33203125" customWidth="1"/>
    <col min="56" max="56" width="13" customWidth="1"/>
    <col min="57" max="57" width="13.08203125" customWidth="1"/>
    <col min="58" max="58" width="13.33203125" customWidth="1"/>
    <col min="59" max="59" width="9" customWidth="1"/>
    <col min="60" max="60" width="9.33203125" customWidth="1"/>
    <col min="61" max="61" width="21.83203125" customWidth="1"/>
    <col min="62" max="63" width="9" customWidth="1"/>
    <col min="64" max="64" width="13" customWidth="1"/>
    <col min="65" max="65" width="23.83203125" customWidth="1"/>
    <col min="66" max="66" width="31.08203125" customWidth="1"/>
    <col min="67" max="67" width="27.08203125" customWidth="1"/>
    <col min="68" max="68" width="29.33203125" customWidth="1"/>
    <col min="69" max="69" width="26.83203125" customWidth="1"/>
  </cols>
  <sheetData>
    <row r="1" spans="1:69" ht="16.5" customHeight="1">
      <c r="A1" s="119" t="s">
        <v>1088</v>
      </c>
      <c r="H1" s="169"/>
      <c r="J1" s="174"/>
      <c r="K1" s="174"/>
      <c r="L1" s="174"/>
      <c r="M1" s="174"/>
      <c r="N1" s="174"/>
      <c r="Q1" s="169"/>
      <c r="R1" s="169"/>
    </row>
    <row r="2" spans="1:69" ht="16.5" customHeight="1">
      <c r="A2" s="45" t="s">
        <v>690</v>
      </c>
      <c r="B2" s="45" t="s">
        <v>1089</v>
      </c>
      <c r="C2" s="45" t="s">
        <v>1090</v>
      </c>
      <c r="D2" s="45" t="s">
        <v>0</v>
      </c>
      <c r="E2" s="45" t="s">
        <v>1</v>
      </c>
      <c r="G2" s="45" t="s">
        <v>1091</v>
      </c>
      <c r="H2" s="170" t="s">
        <v>1092</v>
      </c>
      <c r="I2" s="45" t="s">
        <v>1093</v>
      </c>
      <c r="J2" s="175" t="s">
        <v>1094</v>
      </c>
      <c r="K2" s="175" t="s">
        <v>1095</v>
      </c>
      <c r="L2" s="175" t="s">
        <v>1096</v>
      </c>
      <c r="M2" s="175" t="s">
        <v>1097</v>
      </c>
      <c r="N2" s="175" t="s">
        <v>1098</v>
      </c>
      <c r="O2" s="45" t="s">
        <v>1099</v>
      </c>
      <c r="P2" s="45" t="s">
        <v>1100</v>
      </c>
      <c r="Q2" s="170" t="s">
        <v>1101</v>
      </c>
      <c r="R2" s="170" t="s">
        <v>1102</v>
      </c>
      <c r="S2" s="45" t="s">
        <v>1103</v>
      </c>
      <c r="T2" s="45" t="s">
        <v>1104</v>
      </c>
      <c r="U2" s="45" t="s">
        <v>1105</v>
      </c>
      <c r="V2" s="45" t="s">
        <v>42</v>
      </c>
      <c r="W2" s="45" t="s">
        <v>43</v>
      </c>
      <c r="X2" s="45" t="s">
        <v>1106</v>
      </c>
      <c r="Y2" s="45" t="s">
        <v>1107</v>
      </c>
      <c r="Z2" s="178" t="s">
        <v>1108</v>
      </c>
      <c r="AA2" s="45" t="s">
        <v>1109</v>
      </c>
      <c r="AB2" s="45" t="s">
        <v>1110</v>
      </c>
      <c r="AC2" s="45" t="s">
        <v>1111</v>
      </c>
      <c r="AD2" s="45" t="s">
        <v>1112</v>
      </c>
      <c r="AE2" s="45" t="s">
        <v>1113</v>
      </c>
      <c r="AF2" s="45" t="s">
        <v>1114</v>
      </c>
      <c r="AG2" s="45" t="s">
        <v>1115</v>
      </c>
      <c r="AH2" s="45" t="s">
        <v>1116</v>
      </c>
      <c r="AI2" s="45" t="s">
        <v>1117</v>
      </c>
      <c r="AJ2" s="45" t="s">
        <v>1118</v>
      </c>
      <c r="AK2" s="45" t="s">
        <v>1119</v>
      </c>
      <c r="AL2" s="45" t="s">
        <v>1120</v>
      </c>
      <c r="AM2" s="45" t="s">
        <v>1121</v>
      </c>
      <c r="AN2" s="45" t="s">
        <v>1122</v>
      </c>
      <c r="AO2" s="45" t="s">
        <v>1123</v>
      </c>
      <c r="AP2" s="45" t="s">
        <v>1124</v>
      </c>
      <c r="AQ2" s="45" t="s">
        <v>1125</v>
      </c>
      <c r="AR2" s="45" t="s">
        <v>1126</v>
      </c>
      <c r="AS2" s="45" t="s">
        <v>1127</v>
      </c>
      <c r="AT2" s="45" t="s">
        <v>1128</v>
      </c>
      <c r="AU2" s="45" t="s">
        <v>1129</v>
      </c>
      <c r="AV2" s="45" t="s">
        <v>1130</v>
      </c>
      <c r="AW2" s="45" t="s">
        <v>1131</v>
      </c>
      <c r="AX2" s="45" t="s">
        <v>1132</v>
      </c>
      <c r="AY2" s="45" t="s">
        <v>1133</v>
      </c>
      <c r="AZ2" s="45" t="s">
        <v>1134</v>
      </c>
      <c r="BA2" s="45" t="s">
        <v>1135</v>
      </c>
      <c r="BB2" s="45" t="s">
        <v>1136</v>
      </c>
      <c r="BC2" s="45" t="s">
        <v>1137</v>
      </c>
      <c r="BD2" s="45" t="s">
        <v>1138</v>
      </c>
      <c r="BE2" s="45" t="s">
        <v>1139</v>
      </c>
      <c r="BF2" s="45" t="s">
        <v>1140</v>
      </c>
      <c r="BG2" s="45" t="s">
        <v>1141</v>
      </c>
      <c r="BH2" s="45" t="s">
        <v>1142</v>
      </c>
      <c r="BI2" s="45" t="s">
        <v>1143</v>
      </c>
      <c r="BJ2" s="45" t="s">
        <v>1144</v>
      </c>
      <c r="BK2" s="45" t="s">
        <v>1145</v>
      </c>
      <c r="BM2" s="45" t="s">
        <v>1146</v>
      </c>
      <c r="BN2" s="45" t="s">
        <v>1147</v>
      </c>
      <c r="BO2" s="45" t="s">
        <v>1148</v>
      </c>
      <c r="BP2" s="45" t="s">
        <v>1149</v>
      </c>
      <c r="BQ2" s="45" t="s">
        <v>1150</v>
      </c>
    </row>
    <row r="3" spans="1:69" ht="14.5">
      <c r="A3" s="89" t="s">
        <v>702</v>
      </c>
      <c r="C3" s="89" t="s">
        <v>1151</v>
      </c>
      <c r="E3" s="89" t="s">
        <v>1152</v>
      </c>
      <c r="G3" s="89" t="s">
        <v>1153</v>
      </c>
      <c r="H3" s="171" t="s">
        <v>1154</v>
      </c>
      <c r="I3" s="89" t="s">
        <v>1155</v>
      </c>
      <c r="J3" s="176" t="s">
        <v>1047</v>
      </c>
      <c r="K3" s="176" t="s">
        <v>1048</v>
      </c>
      <c r="L3" s="176" t="s">
        <v>1049</v>
      </c>
      <c r="M3" s="176" t="s">
        <v>1050</v>
      </c>
      <c r="N3" s="176" t="s">
        <v>1051</v>
      </c>
      <c r="O3" s="89" t="s">
        <v>1052</v>
      </c>
      <c r="P3" s="89" t="s">
        <v>1053</v>
      </c>
      <c r="Q3" s="171" t="s">
        <v>1156</v>
      </c>
      <c r="R3" s="171" t="s">
        <v>1157</v>
      </c>
      <c r="S3" s="89" t="s">
        <v>1158</v>
      </c>
      <c r="T3" s="89" t="s">
        <v>1159</v>
      </c>
      <c r="U3" s="89" t="s">
        <v>1160</v>
      </c>
      <c r="V3" s="89" t="s">
        <v>1161</v>
      </c>
      <c r="W3" s="89" t="s">
        <v>1162</v>
      </c>
      <c r="X3" s="89" t="s">
        <v>1163</v>
      </c>
      <c r="Z3" s="179" t="s">
        <v>1164</v>
      </c>
      <c r="AA3" s="89" t="s">
        <v>1165</v>
      </c>
      <c r="AB3" s="89" t="s">
        <v>1166</v>
      </c>
      <c r="AC3" s="89" t="s">
        <v>1167</v>
      </c>
      <c r="AD3" s="89" t="s">
        <v>1168</v>
      </c>
      <c r="AE3" s="89" t="s">
        <v>1169</v>
      </c>
      <c r="AF3" s="89" t="s">
        <v>1170</v>
      </c>
      <c r="AG3" s="89" t="s">
        <v>1171</v>
      </c>
      <c r="AH3" s="89" t="s">
        <v>1172</v>
      </c>
      <c r="AI3" s="89" t="s">
        <v>1173</v>
      </c>
      <c r="AJ3" s="89" t="s">
        <v>1174</v>
      </c>
      <c r="AK3" s="89" t="s">
        <v>1175</v>
      </c>
      <c r="AL3" s="89" t="s">
        <v>1176</v>
      </c>
      <c r="AM3" s="89" t="s">
        <v>1177</v>
      </c>
      <c r="AN3" s="89" t="s">
        <v>1178</v>
      </c>
      <c r="AO3" s="89" t="s">
        <v>1179</v>
      </c>
      <c r="AP3" s="89" t="s">
        <v>1180</v>
      </c>
      <c r="AQ3" s="89" t="s">
        <v>1181</v>
      </c>
      <c r="AR3" s="89" t="s">
        <v>1182</v>
      </c>
      <c r="AS3" s="89" t="s">
        <v>1183</v>
      </c>
      <c r="AT3" s="89" t="s">
        <v>1184</v>
      </c>
      <c r="AU3" s="89" t="s">
        <v>1185</v>
      </c>
      <c r="AV3" s="89" t="s">
        <v>1186</v>
      </c>
      <c r="AW3" s="89" t="s">
        <v>1187</v>
      </c>
      <c r="AX3" s="89" t="s">
        <v>1188</v>
      </c>
      <c r="AY3" s="89" t="s">
        <v>1189</v>
      </c>
      <c r="AZ3" s="89" t="s">
        <v>1190</v>
      </c>
      <c r="BA3" s="89" t="s">
        <v>1191</v>
      </c>
      <c r="BB3" s="89" t="s">
        <v>1192</v>
      </c>
      <c r="BC3" s="89" t="s">
        <v>1193</v>
      </c>
      <c r="BD3" s="89" t="s">
        <v>1194</v>
      </c>
      <c r="BE3" s="89" t="s">
        <v>1195</v>
      </c>
      <c r="BF3" s="89" t="s">
        <v>1196</v>
      </c>
      <c r="BI3" s="89" t="s">
        <v>1197</v>
      </c>
      <c r="BJ3" s="89" t="s">
        <v>1198</v>
      </c>
      <c r="BK3" s="89" t="s">
        <v>1199</v>
      </c>
      <c r="BM3" s="89" t="s">
        <v>1200</v>
      </c>
      <c r="BN3" s="89" t="s">
        <v>1201</v>
      </c>
      <c r="BO3" s="89" t="s">
        <v>1202</v>
      </c>
      <c r="BP3" s="89" t="s">
        <v>1203</v>
      </c>
      <c r="BQ3" s="89" t="s">
        <v>1204</v>
      </c>
    </row>
    <row r="4" spans="1:69" ht="16.5">
      <c r="A4" s="172">
        <v>2010001</v>
      </c>
      <c r="B4" s="172">
        <v>1</v>
      </c>
      <c r="C4" s="172">
        <v>201</v>
      </c>
      <c r="D4" s="172" t="s">
        <v>66</v>
      </c>
      <c r="E4" s="172">
        <v>1</v>
      </c>
      <c r="F4" s="172" t="s">
        <v>67</v>
      </c>
      <c r="H4" s="173"/>
      <c r="I4" s="172" t="s">
        <v>1205</v>
      </c>
      <c r="J4" s="177">
        <v>25</v>
      </c>
      <c r="K4" s="177">
        <v>2500</v>
      </c>
      <c r="L4" s="177">
        <v>2500</v>
      </c>
      <c r="M4" s="177">
        <v>0</v>
      </c>
      <c r="N4" s="177">
        <v>0</v>
      </c>
      <c r="O4" s="177"/>
      <c r="P4" s="177"/>
      <c r="Q4" s="172"/>
      <c r="R4" s="172"/>
      <c r="S4" s="172">
        <v>1</v>
      </c>
      <c r="T4" s="50">
        <v>0</v>
      </c>
      <c r="U4" s="172">
        <v>0</v>
      </c>
      <c r="V4" s="172" t="s">
        <v>1206</v>
      </c>
      <c r="W4" s="172" t="s">
        <v>1207</v>
      </c>
      <c r="Z4" s="177">
        <v>10</v>
      </c>
      <c r="AA4" s="172">
        <v>6001</v>
      </c>
      <c r="AB4" s="172">
        <v>100</v>
      </c>
      <c r="AE4" s="172">
        <v>8025</v>
      </c>
      <c r="AF4" s="172">
        <v>0</v>
      </c>
      <c r="AI4" s="172">
        <v>1202</v>
      </c>
      <c r="AJ4" s="172">
        <v>2</v>
      </c>
      <c r="AM4" s="172">
        <v>1205</v>
      </c>
      <c r="AN4" s="172">
        <v>1</v>
      </c>
      <c r="AQ4" s="172">
        <v>1209</v>
      </c>
      <c r="AR4" s="172">
        <v>1</v>
      </c>
      <c r="AU4" s="172">
        <v>1210</v>
      </c>
      <c r="AV4" s="172">
        <v>0</v>
      </c>
      <c r="AY4" s="172">
        <v>1237</v>
      </c>
      <c r="AZ4" s="172">
        <v>0</v>
      </c>
      <c r="BC4" s="172"/>
      <c r="BD4" s="172"/>
      <c r="BH4" s="172">
        <v>1</v>
      </c>
      <c r="BK4" s="172" t="s">
        <v>1208</v>
      </c>
      <c r="BL4" s="47">
        <v>0</v>
      </c>
    </row>
    <row r="5" spans="1:69" ht="16.5">
      <c r="A5" s="172">
        <v>2010002</v>
      </c>
      <c r="B5" s="172">
        <v>2</v>
      </c>
      <c r="C5" s="172">
        <v>201</v>
      </c>
      <c r="D5" s="172" t="s">
        <v>66</v>
      </c>
      <c r="E5" s="172">
        <v>2</v>
      </c>
      <c r="F5" s="172" t="s">
        <v>92</v>
      </c>
      <c r="G5" s="172" t="s">
        <v>1209</v>
      </c>
      <c r="H5" s="172" t="s">
        <v>1210</v>
      </c>
      <c r="I5" s="172" t="s">
        <v>1205</v>
      </c>
      <c r="J5" s="177">
        <v>180</v>
      </c>
      <c r="K5" s="177">
        <v>5000</v>
      </c>
      <c r="L5" s="177">
        <v>5000</v>
      </c>
      <c r="M5" s="177">
        <v>0</v>
      </c>
      <c r="N5" s="177">
        <v>0</v>
      </c>
      <c r="O5" s="172"/>
      <c r="P5" s="172"/>
      <c r="Q5" s="172"/>
      <c r="R5" s="172"/>
      <c r="S5" s="172">
        <v>1</v>
      </c>
      <c r="T5" s="50">
        <v>0</v>
      </c>
      <c r="U5" s="172">
        <v>0</v>
      </c>
      <c r="V5" s="172"/>
      <c r="W5" s="172"/>
      <c r="X5" s="172" t="s">
        <v>1211</v>
      </c>
      <c r="Y5" s="172" t="s">
        <v>442</v>
      </c>
      <c r="Z5" s="172">
        <v>30</v>
      </c>
      <c r="AA5" s="172">
        <v>6001</v>
      </c>
      <c r="AB5" s="172">
        <v>200</v>
      </c>
      <c r="AE5" s="172">
        <v>8025</v>
      </c>
      <c r="AF5" s="172">
        <v>0</v>
      </c>
      <c r="AI5" s="172">
        <v>1202</v>
      </c>
      <c r="AJ5" s="172">
        <v>3</v>
      </c>
      <c r="AM5" s="172">
        <v>1205</v>
      </c>
      <c r="AN5" s="172">
        <v>1</v>
      </c>
      <c r="AQ5" s="172">
        <v>1209</v>
      </c>
      <c r="AR5" s="172">
        <v>1</v>
      </c>
      <c r="AU5" s="172">
        <v>1210</v>
      </c>
      <c r="AV5" s="172">
        <v>0</v>
      </c>
      <c r="AY5" s="172">
        <v>1237</v>
      </c>
      <c r="AZ5" s="172">
        <v>0</v>
      </c>
      <c r="BC5" s="172"/>
      <c r="BD5" s="172"/>
      <c r="BH5" s="172">
        <v>1</v>
      </c>
      <c r="BL5" s="47">
        <v>480</v>
      </c>
    </row>
    <row r="6" spans="1:69" ht="16.5">
      <c r="A6" s="172">
        <v>2010003</v>
      </c>
      <c r="B6" s="172">
        <v>3</v>
      </c>
      <c r="C6" s="172">
        <v>201</v>
      </c>
      <c r="D6" s="172" t="s">
        <v>66</v>
      </c>
      <c r="E6" s="172">
        <v>3</v>
      </c>
      <c r="F6" s="172" t="s">
        <v>96</v>
      </c>
      <c r="G6" s="172" t="s">
        <v>1212</v>
      </c>
      <c r="H6" s="172" t="s">
        <v>1213</v>
      </c>
      <c r="I6" s="172" t="s">
        <v>1205</v>
      </c>
      <c r="J6" s="177">
        <v>360</v>
      </c>
      <c r="K6" s="177">
        <v>10000</v>
      </c>
      <c r="L6" s="177">
        <v>10000</v>
      </c>
      <c r="M6" s="177">
        <v>0</v>
      </c>
      <c r="N6" s="177">
        <v>0</v>
      </c>
      <c r="O6" s="172"/>
      <c r="P6" s="172"/>
      <c r="Q6" s="172"/>
      <c r="R6" s="172"/>
      <c r="S6" s="172">
        <v>1</v>
      </c>
      <c r="T6" s="50">
        <v>0</v>
      </c>
      <c r="U6" s="172">
        <v>0</v>
      </c>
      <c r="V6" s="172"/>
      <c r="W6" s="172"/>
      <c r="Z6" s="172">
        <v>70</v>
      </c>
      <c r="AA6" s="172">
        <v>6001</v>
      </c>
      <c r="AB6" s="172">
        <v>300</v>
      </c>
      <c r="AE6" s="172">
        <v>8025</v>
      </c>
      <c r="AF6" s="172">
        <v>0</v>
      </c>
      <c r="AI6" s="172">
        <v>1202</v>
      </c>
      <c r="AJ6" s="172">
        <v>4</v>
      </c>
      <c r="AM6" s="172">
        <v>1205</v>
      </c>
      <c r="AN6" s="172">
        <v>2</v>
      </c>
      <c r="AQ6" s="172">
        <v>1209</v>
      </c>
      <c r="AR6" s="172">
        <v>2</v>
      </c>
      <c r="AU6" s="172">
        <v>1210</v>
      </c>
      <c r="AV6" s="172">
        <v>0</v>
      </c>
      <c r="AY6" s="172">
        <v>1237</v>
      </c>
      <c r="AZ6" s="172">
        <v>0</v>
      </c>
      <c r="BC6" s="172"/>
      <c r="BD6" s="172"/>
      <c r="BH6" s="172">
        <v>1</v>
      </c>
      <c r="BL6" s="47">
        <v>2000</v>
      </c>
    </row>
    <row r="7" spans="1:69" ht="16.5">
      <c r="A7" s="172">
        <v>2010004</v>
      </c>
      <c r="B7" s="172">
        <v>4</v>
      </c>
      <c r="C7" s="172">
        <v>201</v>
      </c>
      <c r="D7" s="172" t="s">
        <v>66</v>
      </c>
      <c r="E7" s="172">
        <v>4</v>
      </c>
      <c r="F7" s="172" t="s">
        <v>100</v>
      </c>
      <c r="G7" s="172" t="s">
        <v>1214</v>
      </c>
      <c r="H7" s="172" t="s">
        <v>1215</v>
      </c>
      <c r="I7" s="172" t="s">
        <v>1205</v>
      </c>
      <c r="J7" s="177">
        <v>720</v>
      </c>
      <c r="K7" s="177">
        <v>20000</v>
      </c>
      <c r="L7" s="177">
        <v>20000</v>
      </c>
      <c r="M7" s="177">
        <v>0</v>
      </c>
      <c r="N7" s="177">
        <v>0</v>
      </c>
      <c r="O7" s="172"/>
      <c r="P7" s="172"/>
      <c r="Q7" s="172"/>
      <c r="R7" s="172"/>
      <c r="S7" s="172">
        <v>1</v>
      </c>
      <c r="T7" s="50">
        <v>0</v>
      </c>
      <c r="U7" s="172">
        <v>0</v>
      </c>
      <c r="V7" s="172"/>
      <c r="W7" s="172"/>
      <c r="X7" s="172" t="s">
        <v>1216</v>
      </c>
      <c r="Y7" s="172" t="s">
        <v>1014</v>
      </c>
      <c r="Z7" s="172">
        <v>150</v>
      </c>
      <c r="AA7" s="172">
        <v>6001</v>
      </c>
      <c r="AB7" s="172">
        <v>400</v>
      </c>
      <c r="AE7" s="172">
        <v>8025</v>
      </c>
      <c r="AF7" s="172">
        <v>0</v>
      </c>
      <c r="AI7" s="172">
        <v>1202</v>
      </c>
      <c r="AJ7" s="172">
        <v>4</v>
      </c>
      <c r="AM7" s="172">
        <v>1205</v>
      </c>
      <c r="AN7" s="172">
        <v>2</v>
      </c>
      <c r="AQ7" s="172">
        <v>1209</v>
      </c>
      <c r="AR7" s="172">
        <v>2</v>
      </c>
      <c r="AU7" s="172">
        <v>1210</v>
      </c>
      <c r="AV7" s="172">
        <v>1</v>
      </c>
      <c r="AY7" s="172">
        <v>1237</v>
      </c>
      <c r="AZ7" s="172">
        <v>0</v>
      </c>
      <c r="BC7" s="172"/>
      <c r="BD7" s="172"/>
      <c r="BH7" s="172">
        <v>1</v>
      </c>
      <c r="BL7" s="47">
        <v>3300</v>
      </c>
    </row>
    <row r="8" spans="1:69" ht="16.5">
      <c r="A8" s="172">
        <v>2010005</v>
      </c>
      <c r="B8" s="172">
        <v>5</v>
      </c>
      <c r="C8" s="172">
        <v>201</v>
      </c>
      <c r="D8" s="172" t="s">
        <v>66</v>
      </c>
      <c r="E8" s="172">
        <v>5</v>
      </c>
      <c r="F8" s="172" t="s">
        <v>104</v>
      </c>
      <c r="G8" s="172" t="s">
        <v>1217</v>
      </c>
      <c r="H8" s="172" t="s">
        <v>1218</v>
      </c>
      <c r="I8" s="172">
        <v>1</v>
      </c>
      <c r="J8" s="177">
        <v>1500</v>
      </c>
      <c r="K8" s="177">
        <v>26000</v>
      </c>
      <c r="L8" s="177">
        <v>26000</v>
      </c>
      <c r="M8" s="177">
        <v>26000</v>
      </c>
      <c r="N8" s="177">
        <v>0</v>
      </c>
      <c r="O8" s="172"/>
      <c r="P8" s="172"/>
      <c r="Q8" s="172" t="s">
        <v>1219</v>
      </c>
      <c r="R8" s="172" t="s">
        <v>1220</v>
      </c>
      <c r="S8" s="172">
        <v>2</v>
      </c>
      <c r="T8" s="50">
        <v>0</v>
      </c>
      <c r="U8" s="172">
        <v>0</v>
      </c>
      <c r="V8" s="172"/>
      <c r="W8" s="172"/>
      <c r="X8" s="172" t="s">
        <v>1221</v>
      </c>
      <c r="Y8" s="172" t="s">
        <v>493</v>
      </c>
      <c r="Z8" s="172">
        <v>304</v>
      </c>
      <c r="AA8" s="172">
        <v>6001</v>
      </c>
      <c r="AB8" s="172">
        <v>700</v>
      </c>
      <c r="AE8" s="172">
        <v>8025</v>
      </c>
      <c r="AF8" s="172">
        <v>0</v>
      </c>
      <c r="AI8" s="172">
        <v>1202</v>
      </c>
      <c r="AJ8" s="172">
        <v>4</v>
      </c>
      <c r="AM8" s="172">
        <v>1205</v>
      </c>
      <c r="AN8" s="172">
        <v>2</v>
      </c>
      <c r="AQ8" s="172">
        <v>1209</v>
      </c>
      <c r="AR8" s="172">
        <v>2</v>
      </c>
      <c r="AU8" s="172">
        <v>1210</v>
      </c>
      <c r="AV8" s="172">
        <v>1</v>
      </c>
      <c r="AY8" s="172">
        <v>1237</v>
      </c>
      <c r="AZ8" s="172">
        <v>0</v>
      </c>
      <c r="BC8" s="172"/>
      <c r="BD8" s="172"/>
      <c r="BH8" s="172">
        <v>1</v>
      </c>
      <c r="BJ8" s="172">
        <v>20001</v>
      </c>
      <c r="BL8" s="47">
        <v>6000</v>
      </c>
    </row>
    <row r="9" spans="1:69" ht="16.5">
      <c r="A9" s="172">
        <v>2010006</v>
      </c>
      <c r="B9" s="172">
        <v>6</v>
      </c>
      <c r="C9" s="172">
        <v>201</v>
      </c>
      <c r="D9" s="172" t="s">
        <v>66</v>
      </c>
      <c r="E9" s="172">
        <v>6</v>
      </c>
      <c r="F9" s="172" t="s">
        <v>108</v>
      </c>
      <c r="G9" s="172" t="s">
        <v>1222</v>
      </c>
      <c r="H9" s="172" t="s">
        <v>1223</v>
      </c>
      <c r="I9" s="172">
        <v>1</v>
      </c>
      <c r="J9" s="177">
        <v>2700</v>
      </c>
      <c r="K9" s="177">
        <v>48000</v>
      </c>
      <c r="L9" s="177">
        <v>48000</v>
      </c>
      <c r="M9" s="177">
        <v>48000</v>
      </c>
      <c r="N9" s="177">
        <v>0</v>
      </c>
      <c r="O9" s="172"/>
      <c r="P9" s="172"/>
      <c r="Q9" s="172" t="s">
        <v>1224</v>
      </c>
      <c r="R9" s="172" t="s">
        <v>1225</v>
      </c>
      <c r="S9" s="172">
        <v>2</v>
      </c>
      <c r="T9" s="50">
        <v>0</v>
      </c>
      <c r="U9" s="172">
        <v>0</v>
      </c>
      <c r="V9" s="172"/>
      <c r="W9" s="172"/>
      <c r="X9" s="172" t="s">
        <v>1226</v>
      </c>
      <c r="Y9" s="172" t="s">
        <v>591</v>
      </c>
      <c r="Z9" s="172">
        <v>591</v>
      </c>
      <c r="AA9" s="172">
        <v>6001</v>
      </c>
      <c r="AB9" s="172">
        <v>1000</v>
      </c>
      <c r="AE9" s="172">
        <v>8025</v>
      </c>
      <c r="AF9" s="172">
        <v>0</v>
      </c>
      <c r="AI9" s="172">
        <v>1202</v>
      </c>
      <c r="AJ9" s="172">
        <v>4</v>
      </c>
      <c r="AM9" s="172">
        <v>1205</v>
      </c>
      <c r="AN9" s="172">
        <v>2</v>
      </c>
      <c r="AQ9" s="172">
        <v>1209</v>
      </c>
      <c r="AR9" s="172">
        <v>2</v>
      </c>
      <c r="AU9" s="172">
        <v>1210</v>
      </c>
      <c r="AV9" s="172">
        <v>1</v>
      </c>
      <c r="AY9" s="172">
        <v>1237</v>
      </c>
      <c r="AZ9" s="172">
        <v>0</v>
      </c>
      <c r="BC9" s="172"/>
      <c r="BD9" s="172"/>
      <c r="BH9" s="172">
        <v>1</v>
      </c>
      <c r="BJ9" s="172">
        <v>20002</v>
      </c>
      <c r="BL9" s="47">
        <v>9000</v>
      </c>
    </row>
    <row r="10" spans="1:69" ht="16.5">
      <c r="A10" s="172">
        <v>2010007</v>
      </c>
      <c r="B10" s="172">
        <v>7</v>
      </c>
      <c r="C10" s="172">
        <v>201</v>
      </c>
      <c r="D10" s="172" t="s">
        <v>66</v>
      </c>
      <c r="E10" s="172">
        <v>7</v>
      </c>
      <c r="F10" s="172" t="s">
        <v>112</v>
      </c>
      <c r="G10" s="172" t="s">
        <v>1227</v>
      </c>
      <c r="H10" s="172" t="s">
        <v>1228</v>
      </c>
      <c r="I10" s="172">
        <v>1</v>
      </c>
      <c r="J10" s="177">
        <v>4500</v>
      </c>
      <c r="K10" s="177">
        <v>86000</v>
      </c>
      <c r="L10" s="177">
        <v>86000</v>
      </c>
      <c r="M10" s="177">
        <v>86000</v>
      </c>
      <c r="N10" s="177">
        <v>0</v>
      </c>
      <c r="O10" s="172"/>
      <c r="P10" s="172"/>
      <c r="Q10" s="172" t="s">
        <v>1229</v>
      </c>
      <c r="R10" s="172" t="s">
        <v>1230</v>
      </c>
      <c r="S10" s="172">
        <v>2</v>
      </c>
      <c r="T10" s="50">
        <v>0</v>
      </c>
      <c r="U10" s="172">
        <v>0</v>
      </c>
      <c r="V10" s="172"/>
      <c r="W10" s="172"/>
      <c r="X10" s="172" t="s">
        <v>1231</v>
      </c>
      <c r="Y10" s="172" t="s">
        <v>599</v>
      </c>
      <c r="Z10" s="172">
        <v>1105</v>
      </c>
      <c r="AA10" s="172">
        <v>6001</v>
      </c>
      <c r="AB10" s="172">
        <v>1500</v>
      </c>
      <c r="AE10" s="172">
        <v>8025</v>
      </c>
      <c r="AF10" s="172">
        <v>0</v>
      </c>
      <c r="AI10" s="172">
        <v>1202</v>
      </c>
      <c r="AJ10" s="172">
        <v>4</v>
      </c>
      <c r="AM10" s="172">
        <v>1205</v>
      </c>
      <c r="AN10" s="172">
        <v>2</v>
      </c>
      <c r="AQ10" s="172">
        <v>1209</v>
      </c>
      <c r="AR10" s="172">
        <v>2</v>
      </c>
      <c r="AU10" s="172">
        <v>1210</v>
      </c>
      <c r="AV10" s="172">
        <v>1</v>
      </c>
      <c r="AY10" s="172">
        <v>1237</v>
      </c>
      <c r="AZ10" s="172">
        <v>0</v>
      </c>
      <c r="BC10" s="172"/>
      <c r="BD10" s="172"/>
      <c r="BH10" s="172">
        <v>1</v>
      </c>
      <c r="BJ10" s="172">
        <v>20003</v>
      </c>
      <c r="BL10" s="47">
        <v>12000</v>
      </c>
    </row>
    <row r="11" spans="1:69" ht="16.5">
      <c r="A11" s="172">
        <v>2010008</v>
      </c>
      <c r="B11" s="172">
        <v>8</v>
      </c>
      <c r="C11" s="172">
        <v>201</v>
      </c>
      <c r="D11" s="172" t="s">
        <v>66</v>
      </c>
      <c r="E11" s="172">
        <v>8</v>
      </c>
      <c r="F11" s="172" t="s">
        <v>115</v>
      </c>
      <c r="G11" s="172" t="s">
        <v>1227</v>
      </c>
      <c r="H11" s="172" t="s">
        <v>1232</v>
      </c>
      <c r="I11" s="172">
        <v>1</v>
      </c>
      <c r="J11" s="177">
        <v>7200</v>
      </c>
      <c r="K11" s="177">
        <v>150000</v>
      </c>
      <c r="L11" s="177">
        <v>150000</v>
      </c>
      <c r="M11" s="177">
        <v>150000</v>
      </c>
      <c r="N11" s="177">
        <v>0</v>
      </c>
      <c r="O11" s="172"/>
      <c r="P11" s="172"/>
      <c r="Q11" s="172" t="s">
        <v>1233</v>
      </c>
      <c r="R11" s="172" t="s">
        <v>1234</v>
      </c>
      <c r="S11" s="172">
        <v>2</v>
      </c>
      <c r="T11" s="50">
        <v>0</v>
      </c>
      <c r="U11" s="172">
        <v>0</v>
      </c>
      <c r="V11" s="172"/>
      <c r="W11" s="172"/>
      <c r="X11" s="172" t="s">
        <v>1235</v>
      </c>
      <c r="Y11" s="172" t="s">
        <v>539</v>
      </c>
      <c r="Z11" s="172">
        <v>1989</v>
      </c>
      <c r="AA11" s="172">
        <v>6001</v>
      </c>
      <c r="AB11" s="172">
        <v>2000</v>
      </c>
      <c r="AE11" s="172">
        <v>8025</v>
      </c>
      <c r="AF11" s="172">
        <v>0</v>
      </c>
      <c r="AI11" s="172">
        <v>1202</v>
      </c>
      <c r="AJ11" s="172">
        <v>4</v>
      </c>
      <c r="AM11" s="172">
        <v>1205</v>
      </c>
      <c r="AN11" s="172">
        <v>2</v>
      </c>
      <c r="AQ11" s="172">
        <v>1209</v>
      </c>
      <c r="AR11" s="172">
        <v>2</v>
      </c>
      <c r="AU11" s="172">
        <v>1210</v>
      </c>
      <c r="AV11" s="172">
        <v>1</v>
      </c>
      <c r="AY11" s="172">
        <v>1237</v>
      </c>
      <c r="AZ11" s="172">
        <v>0</v>
      </c>
      <c r="BC11" s="172"/>
      <c r="BD11" s="172"/>
      <c r="BH11" s="172">
        <v>1</v>
      </c>
      <c r="BJ11" s="172">
        <v>20004</v>
      </c>
      <c r="BL11" s="47">
        <v>15000</v>
      </c>
    </row>
    <row r="12" spans="1:69" ht="16.5">
      <c r="A12" s="172">
        <v>2010009</v>
      </c>
      <c r="B12" s="172">
        <v>9</v>
      </c>
      <c r="C12" s="172">
        <v>201</v>
      </c>
      <c r="D12" s="172" t="s">
        <v>66</v>
      </c>
      <c r="E12" s="172">
        <v>9</v>
      </c>
      <c r="F12" s="172" t="s">
        <v>120</v>
      </c>
      <c r="G12" s="172" t="s">
        <v>1236</v>
      </c>
      <c r="H12" s="172" t="s">
        <v>1237</v>
      </c>
      <c r="I12" s="172">
        <v>1</v>
      </c>
      <c r="J12" s="177">
        <v>14400</v>
      </c>
      <c r="K12" s="177">
        <v>240000</v>
      </c>
      <c r="L12" s="177">
        <v>240000</v>
      </c>
      <c r="M12" s="177">
        <v>240000</v>
      </c>
      <c r="N12" s="177">
        <v>0</v>
      </c>
      <c r="O12" s="172"/>
      <c r="P12" s="172"/>
      <c r="Q12" s="172" t="s">
        <v>1238</v>
      </c>
      <c r="R12" s="172" t="s">
        <v>1239</v>
      </c>
      <c r="S12" s="172">
        <v>2</v>
      </c>
      <c r="T12" s="50">
        <v>0</v>
      </c>
      <c r="U12" s="172">
        <v>0</v>
      </c>
      <c r="V12" s="172"/>
      <c r="W12" s="172"/>
      <c r="X12" s="172" t="s">
        <v>1240</v>
      </c>
      <c r="Y12" s="172" t="s">
        <v>1241</v>
      </c>
      <c r="Z12" s="172">
        <v>3448</v>
      </c>
      <c r="AA12" s="172">
        <v>6001</v>
      </c>
      <c r="AB12" s="172">
        <v>2500</v>
      </c>
      <c r="AE12" s="172">
        <v>8025</v>
      </c>
      <c r="AF12" s="172">
        <v>0</v>
      </c>
      <c r="AI12" s="172">
        <v>1202</v>
      </c>
      <c r="AJ12" s="172">
        <v>4</v>
      </c>
      <c r="AM12" s="172">
        <v>1205</v>
      </c>
      <c r="AN12" s="172">
        <v>2</v>
      </c>
      <c r="AQ12" s="172">
        <v>1209</v>
      </c>
      <c r="AR12" s="172">
        <v>2</v>
      </c>
      <c r="AU12" s="172">
        <v>1210</v>
      </c>
      <c r="AV12" s="172">
        <v>2</v>
      </c>
      <c r="AY12" s="172">
        <v>1237</v>
      </c>
      <c r="AZ12" s="172">
        <v>0</v>
      </c>
      <c r="BC12" s="172"/>
      <c r="BD12" s="172"/>
      <c r="BH12" s="172">
        <v>1</v>
      </c>
      <c r="BJ12" s="172">
        <v>20005</v>
      </c>
      <c r="BL12" s="47">
        <v>20000</v>
      </c>
    </row>
    <row r="13" spans="1:69" ht="16.5">
      <c r="A13" s="172">
        <v>2010010</v>
      </c>
      <c r="B13" s="172">
        <v>10</v>
      </c>
      <c r="C13" s="172">
        <v>201</v>
      </c>
      <c r="D13" s="172" t="s">
        <v>66</v>
      </c>
      <c r="E13" s="172">
        <v>10</v>
      </c>
      <c r="F13" s="172" t="s">
        <v>123</v>
      </c>
      <c r="G13" s="172" t="s">
        <v>1236</v>
      </c>
      <c r="H13" s="172" t="s">
        <v>1242</v>
      </c>
      <c r="I13" s="172">
        <v>1</v>
      </c>
      <c r="J13" s="177">
        <v>21600</v>
      </c>
      <c r="K13" s="177">
        <v>290000</v>
      </c>
      <c r="L13" s="177">
        <v>290000</v>
      </c>
      <c r="M13" s="177">
        <v>290000</v>
      </c>
      <c r="N13" s="177">
        <v>290000</v>
      </c>
      <c r="O13" s="172"/>
      <c r="P13" s="172"/>
      <c r="Q13" s="172" t="s">
        <v>1243</v>
      </c>
      <c r="R13" s="172" t="s">
        <v>1244</v>
      </c>
      <c r="S13" s="172">
        <v>2</v>
      </c>
      <c r="T13" s="50">
        <v>0</v>
      </c>
      <c r="U13" s="172">
        <v>0</v>
      </c>
      <c r="V13" s="172"/>
      <c r="W13" s="172"/>
      <c r="Z13" s="172">
        <v>5753</v>
      </c>
      <c r="AA13" s="172">
        <v>6001</v>
      </c>
      <c r="AB13" s="172">
        <v>3000</v>
      </c>
      <c r="AE13" s="172">
        <v>8025</v>
      </c>
      <c r="AF13" s="172">
        <v>0</v>
      </c>
      <c r="AI13" s="172">
        <v>1202</v>
      </c>
      <c r="AJ13" s="172">
        <v>4</v>
      </c>
      <c r="AM13" s="172">
        <v>1205</v>
      </c>
      <c r="AN13" s="172">
        <v>2</v>
      </c>
      <c r="AQ13" s="172">
        <v>1209</v>
      </c>
      <c r="AR13" s="172">
        <v>2</v>
      </c>
      <c r="AU13" s="172">
        <v>1210</v>
      </c>
      <c r="AV13" s="172">
        <v>2</v>
      </c>
      <c r="AY13" s="172">
        <v>1237</v>
      </c>
      <c r="AZ13" s="172">
        <v>1</v>
      </c>
      <c r="BC13" s="172"/>
      <c r="BD13" s="172"/>
      <c r="BH13" s="172">
        <v>1</v>
      </c>
      <c r="BJ13" s="172">
        <v>20006</v>
      </c>
      <c r="BL13" s="47">
        <v>27000</v>
      </c>
    </row>
    <row r="14" spans="1:69" ht="16.5">
      <c r="A14" s="172">
        <v>2010011</v>
      </c>
      <c r="B14" s="172">
        <v>11</v>
      </c>
      <c r="C14" s="172">
        <v>201</v>
      </c>
      <c r="D14" s="172" t="s">
        <v>66</v>
      </c>
      <c r="E14" s="172">
        <v>11</v>
      </c>
      <c r="F14" s="172" t="s">
        <v>126</v>
      </c>
      <c r="G14" s="172" t="s">
        <v>1245</v>
      </c>
      <c r="H14" s="172" t="s">
        <v>1246</v>
      </c>
      <c r="I14" s="172">
        <v>1</v>
      </c>
      <c r="J14" s="177">
        <v>32400</v>
      </c>
      <c r="K14" s="177">
        <v>440000</v>
      </c>
      <c r="L14" s="177">
        <v>440000</v>
      </c>
      <c r="M14" s="177">
        <v>440000</v>
      </c>
      <c r="N14" s="177">
        <v>440000</v>
      </c>
      <c r="O14" s="172"/>
      <c r="P14" s="172"/>
      <c r="Q14" s="172" t="s">
        <v>1219</v>
      </c>
      <c r="R14" s="172" t="s">
        <v>1247</v>
      </c>
      <c r="S14" s="172">
        <v>3</v>
      </c>
      <c r="T14" s="50">
        <v>0</v>
      </c>
      <c r="U14" s="172">
        <v>0</v>
      </c>
      <c r="V14" s="172"/>
      <c r="W14" s="172"/>
      <c r="X14" s="172" t="s">
        <v>1248</v>
      </c>
      <c r="Y14" s="172" t="s">
        <v>1249</v>
      </c>
      <c r="Z14" s="172">
        <v>9234</v>
      </c>
      <c r="AA14" s="172">
        <v>6001</v>
      </c>
      <c r="AB14" s="172">
        <v>4000</v>
      </c>
      <c r="AE14" s="172">
        <v>8025</v>
      </c>
      <c r="AF14" s="172">
        <v>0</v>
      </c>
      <c r="AI14" s="172">
        <v>1202</v>
      </c>
      <c r="AJ14" s="172">
        <v>4</v>
      </c>
      <c r="AM14" s="172">
        <v>1205</v>
      </c>
      <c r="AN14" s="172">
        <v>2</v>
      </c>
      <c r="AQ14" s="172">
        <v>1209</v>
      </c>
      <c r="AR14" s="172">
        <v>2</v>
      </c>
      <c r="AU14" s="172">
        <v>1210</v>
      </c>
      <c r="AV14" s="172">
        <v>2</v>
      </c>
      <c r="AY14" s="172">
        <v>1237</v>
      </c>
      <c r="AZ14" s="172">
        <v>1</v>
      </c>
      <c r="BC14" s="172"/>
      <c r="BD14" s="172"/>
      <c r="BH14" s="172">
        <v>1</v>
      </c>
      <c r="BJ14" s="172">
        <v>20007</v>
      </c>
      <c r="BL14" s="47">
        <v>35000</v>
      </c>
    </row>
    <row r="15" spans="1:69" ht="16.5">
      <c r="A15" s="172">
        <v>2010012</v>
      </c>
      <c r="B15" s="172">
        <v>12</v>
      </c>
      <c r="C15" s="172">
        <v>201</v>
      </c>
      <c r="D15" s="172" t="s">
        <v>66</v>
      </c>
      <c r="E15" s="172">
        <v>12</v>
      </c>
      <c r="F15" s="172" t="s">
        <v>129</v>
      </c>
      <c r="G15" s="172" t="s">
        <v>1250</v>
      </c>
      <c r="H15" s="172" t="s">
        <v>1251</v>
      </c>
      <c r="I15" s="172">
        <v>2</v>
      </c>
      <c r="J15" s="177">
        <v>43200</v>
      </c>
      <c r="K15" s="177">
        <v>630000</v>
      </c>
      <c r="L15" s="177">
        <v>630000</v>
      </c>
      <c r="M15" s="177">
        <v>630000</v>
      </c>
      <c r="N15" s="177">
        <v>630000</v>
      </c>
      <c r="O15" s="172"/>
      <c r="P15" s="172"/>
      <c r="Q15" s="172" t="s">
        <v>1229</v>
      </c>
      <c r="R15" s="172" t="s">
        <v>1252</v>
      </c>
      <c r="S15" s="172">
        <v>3</v>
      </c>
      <c r="T15" s="50">
        <v>0</v>
      </c>
      <c r="U15" s="172">
        <v>0</v>
      </c>
      <c r="V15" s="172"/>
      <c r="W15" s="172"/>
      <c r="X15" s="172" t="s">
        <v>1253</v>
      </c>
      <c r="Y15" s="172" t="s">
        <v>1254</v>
      </c>
      <c r="Z15" s="172">
        <v>14246</v>
      </c>
      <c r="AA15" s="172">
        <v>6001</v>
      </c>
      <c r="AB15" s="172">
        <v>5000</v>
      </c>
      <c r="AE15" s="172">
        <v>8025</v>
      </c>
      <c r="AF15" s="172">
        <v>1</v>
      </c>
      <c r="AI15" s="172">
        <v>1202</v>
      </c>
      <c r="AJ15" s="172">
        <v>4</v>
      </c>
      <c r="AM15" s="172">
        <v>1205</v>
      </c>
      <c r="AN15" s="172">
        <v>2</v>
      </c>
      <c r="AQ15" s="172">
        <v>1209</v>
      </c>
      <c r="AR15" s="172">
        <v>3</v>
      </c>
      <c r="AU15" s="172">
        <v>1210</v>
      </c>
      <c r="AV15" s="172">
        <v>2</v>
      </c>
      <c r="AY15" s="172">
        <v>1237</v>
      </c>
      <c r="AZ15" s="172">
        <v>1</v>
      </c>
      <c r="BC15" s="172"/>
      <c r="BD15" s="172"/>
      <c r="BH15" s="172">
        <v>1</v>
      </c>
      <c r="BJ15" s="172">
        <v>20008</v>
      </c>
      <c r="BL15" s="47">
        <v>45000</v>
      </c>
    </row>
    <row r="16" spans="1:69" ht="16.5">
      <c r="A16" s="172">
        <v>2010013</v>
      </c>
      <c r="B16" s="172">
        <v>13</v>
      </c>
      <c r="C16" s="172">
        <v>201</v>
      </c>
      <c r="D16" s="172" t="s">
        <v>66</v>
      </c>
      <c r="E16" s="172">
        <v>13</v>
      </c>
      <c r="F16" s="172" t="s">
        <v>132</v>
      </c>
      <c r="G16" s="172" t="s">
        <v>1255</v>
      </c>
      <c r="H16" s="172" t="s">
        <v>1256</v>
      </c>
      <c r="I16" s="172">
        <v>2</v>
      </c>
      <c r="J16" s="177">
        <v>57600</v>
      </c>
      <c r="K16" s="177">
        <v>860000</v>
      </c>
      <c r="L16" s="177">
        <v>860000</v>
      </c>
      <c r="M16" s="177">
        <v>860000</v>
      </c>
      <c r="N16" s="177">
        <v>860000</v>
      </c>
      <c r="O16" s="172"/>
      <c r="P16" s="172"/>
      <c r="Q16" s="172" t="s">
        <v>1257</v>
      </c>
      <c r="R16" s="172" t="s">
        <v>1258</v>
      </c>
      <c r="S16" s="172">
        <v>3</v>
      </c>
      <c r="T16" s="50">
        <v>0</v>
      </c>
      <c r="U16" s="172">
        <v>0</v>
      </c>
      <c r="V16" s="172"/>
      <c r="W16" s="172"/>
      <c r="X16" s="172" t="s">
        <v>1259</v>
      </c>
      <c r="Y16" s="172" t="s">
        <v>1260</v>
      </c>
      <c r="Z16" s="172">
        <v>21113</v>
      </c>
      <c r="AA16" s="172">
        <v>6001</v>
      </c>
      <c r="AB16" s="172">
        <v>6000</v>
      </c>
      <c r="AE16" s="172">
        <v>8025</v>
      </c>
      <c r="AF16" s="172">
        <v>1</v>
      </c>
      <c r="AI16" s="172">
        <v>1202</v>
      </c>
      <c r="AJ16" s="172">
        <v>4</v>
      </c>
      <c r="AM16" s="172">
        <v>1205</v>
      </c>
      <c r="AN16" s="172">
        <v>3</v>
      </c>
      <c r="AQ16" s="172">
        <v>1209</v>
      </c>
      <c r="AR16" s="172">
        <v>3</v>
      </c>
      <c r="AU16" s="172">
        <v>1210</v>
      </c>
      <c r="AV16" s="172">
        <v>2</v>
      </c>
      <c r="AY16" s="172">
        <v>1237</v>
      </c>
      <c r="AZ16" s="172">
        <v>1</v>
      </c>
      <c r="BC16" s="172"/>
      <c r="BD16" s="172"/>
      <c r="BH16" s="172">
        <v>1</v>
      </c>
      <c r="BJ16" s="172">
        <v>20009</v>
      </c>
    </row>
    <row r="17" spans="1:64" ht="16.5">
      <c r="A17" s="172">
        <v>2010014</v>
      </c>
      <c r="B17" s="172">
        <v>14</v>
      </c>
      <c r="C17" s="172">
        <v>201</v>
      </c>
      <c r="D17" s="172" t="s">
        <v>66</v>
      </c>
      <c r="E17" s="172">
        <v>14</v>
      </c>
      <c r="F17" s="172" t="s">
        <v>135</v>
      </c>
      <c r="G17" s="172" t="s">
        <v>1255</v>
      </c>
      <c r="H17" s="172" t="s">
        <v>1261</v>
      </c>
      <c r="I17" s="172">
        <v>2</v>
      </c>
      <c r="J17" s="177">
        <v>72000</v>
      </c>
      <c r="K17" s="177">
        <v>1100000</v>
      </c>
      <c r="L17" s="177">
        <v>1100000</v>
      </c>
      <c r="M17" s="177">
        <v>1100000</v>
      </c>
      <c r="N17" s="177">
        <v>1100000</v>
      </c>
      <c r="O17" s="172"/>
      <c r="P17" s="172"/>
      <c r="Q17" s="172" t="s">
        <v>1238</v>
      </c>
      <c r="R17" s="172" t="s">
        <v>1262</v>
      </c>
      <c r="S17" s="172">
        <v>3</v>
      </c>
      <c r="T17" s="50">
        <v>0</v>
      </c>
      <c r="U17" s="172">
        <v>0</v>
      </c>
      <c r="V17" s="172"/>
      <c r="W17" s="172"/>
      <c r="Z17" s="172">
        <v>30039</v>
      </c>
      <c r="AA17" s="172">
        <v>6001</v>
      </c>
      <c r="AB17" s="172">
        <v>7000</v>
      </c>
      <c r="AE17" s="172">
        <v>8025</v>
      </c>
      <c r="AF17" s="172">
        <v>1</v>
      </c>
      <c r="AI17" s="172">
        <v>1202</v>
      </c>
      <c r="AJ17" s="172">
        <v>4</v>
      </c>
      <c r="AM17" s="172">
        <v>1205</v>
      </c>
      <c r="AN17" s="172">
        <v>3</v>
      </c>
      <c r="AQ17" s="172">
        <v>1209</v>
      </c>
      <c r="AR17" s="172">
        <v>3</v>
      </c>
      <c r="AU17" s="172">
        <v>1210</v>
      </c>
      <c r="AV17" s="172">
        <v>2</v>
      </c>
      <c r="AY17" s="172">
        <v>1237</v>
      </c>
      <c r="AZ17" s="172">
        <v>1</v>
      </c>
      <c r="BC17" s="172"/>
      <c r="BD17" s="172"/>
      <c r="BH17" s="172">
        <v>1</v>
      </c>
      <c r="BJ17" s="172">
        <v>20010</v>
      </c>
    </row>
    <row r="18" spans="1:64" ht="16.5">
      <c r="A18" s="172">
        <v>2010015</v>
      </c>
      <c r="B18" s="172">
        <v>15</v>
      </c>
      <c r="C18" s="172">
        <v>201</v>
      </c>
      <c r="D18" s="172" t="s">
        <v>66</v>
      </c>
      <c r="E18" s="172">
        <v>15</v>
      </c>
      <c r="F18" s="172" t="s">
        <v>138</v>
      </c>
      <c r="G18" s="172" t="s">
        <v>1263</v>
      </c>
      <c r="H18" s="172" t="s">
        <v>1264</v>
      </c>
      <c r="I18" s="172">
        <v>2</v>
      </c>
      <c r="J18" s="177">
        <v>86400</v>
      </c>
      <c r="K18" s="177">
        <v>1400000</v>
      </c>
      <c r="L18" s="177">
        <v>1400000</v>
      </c>
      <c r="M18" s="177">
        <v>1400000</v>
      </c>
      <c r="N18" s="177">
        <v>1400000</v>
      </c>
      <c r="O18" s="172"/>
      <c r="P18" s="172"/>
      <c r="Q18" s="172" t="s">
        <v>1243</v>
      </c>
      <c r="R18" s="172" t="s">
        <v>1265</v>
      </c>
      <c r="S18" s="172">
        <v>3</v>
      </c>
      <c r="T18" s="50">
        <v>0</v>
      </c>
      <c r="U18" s="172">
        <v>0</v>
      </c>
      <c r="V18" s="172"/>
      <c r="W18" s="172"/>
      <c r="X18" s="172" t="s">
        <v>1266</v>
      </c>
      <c r="Y18" s="172" t="s">
        <v>1267</v>
      </c>
      <c r="Z18" s="172">
        <v>41465</v>
      </c>
      <c r="AA18" s="172">
        <v>6001</v>
      </c>
      <c r="AB18" s="172">
        <v>8000</v>
      </c>
      <c r="AE18" s="172">
        <v>8025</v>
      </c>
      <c r="AF18" s="172">
        <v>1</v>
      </c>
      <c r="AI18" s="172">
        <v>1202</v>
      </c>
      <c r="AJ18" s="172">
        <v>4</v>
      </c>
      <c r="AM18" s="172">
        <v>1205</v>
      </c>
      <c r="AN18" s="172">
        <v>3</v>
      </c>
      <c r="AQ18" s="172">
        <v>1209</v>
      </c>
      <c r="AR18" s="172">
        <v>3</v>
      </c>
      <c r="AU18" s="172">
        <v>1210</v>
      </c>
      <c r="AV18" s="172">
        <v>2</v>
      </c>
      <c r="AY18" s="172">
        <v>1237</v>
      </c>
      <c r="AZ18" s="172">
        <v>2</v>
      </c>
      <c r="BC18" s="172"/>
      <c r="BD18" s="172"/>
      <c r="BH18" s="172">
        <v>1</v>
      </c>
      <c r="BJ18" s="172">
        <v>20011</v>
      </c>
    </row>
    <row r="19" spans="1:64" ht="16.5">
      <c r="A19" s="172">
        <v>2010016</v>
      </c>
      <c r="B19" s="172">
        <v>16</v>
      </c>
      <c r="C19" s="172">
        <v>201</v>
      </c>
      <c r="D19" s="172" t="s">
        <v>66</v>
      </c>
      <c r="E19" s="172">
        <v>16</v>
      </c>
      <c r="F19" s="172" t="s">
        <v>141</v>
      </c>
      <c r="G19" s="172" t="s">
        <v>1263</v>
      </c>
      <c r="H19" s="172" t="s">
        <v>1268</v>
      </c>
      <c r="I19" s="172">
        <v>2</v>
      </c>
      <c r="J19" s="177">
        <v>108000</v>
      </c>
      <c r="K19" s="177">
        <v>1800000</v>
      </c>
      <c r="L19" s="177">
        <v>1800000</v>
      </c>
      <c r="M19" s="177">
        <v>1800000</v>
      </c>
      <c r="N19" s="177">
        <v>1800000</v>
      </c>
      <c r="O19" s="172"/>
      <c r="P19" s="172"/>
      <c r="Q19" s="172" t="s">
        <v>1219</v>
      </c>
      <c r="R19" s="172" t="s">
        <v>1269</v>
      </c>
      <c r="S19" s="172">
        <v>4</v>
      </c>
      <c r="T19" s="50">
        <v>0</v>
      </c>
      <c r="U19" s="172">
        <v>0</v>
      </c>
      <c r="V19" s="172"/>
      <c r="W19" s="172"/>
      <c r="X19" s="172" t="s">
        <v>1270</v>
      </c>
      <c r="Y19" s="172" t="s">
        <v>1241</v>
      </c>
      <c r="Z19" s="172">
        <v>56091</v>
      </c>
      <c r="AA19" s="172">
        <v>6001</v>
      </c>
      <c r="AB19" s="172">
        <v>9500</v>
      </c>
      <c r="AE19" s="172">
        <v>8025</v>
      </c>
      <c r="AF19" s="172">
        <v>1</v>
      </c>
      <c r="AI19" s="172">
        <v>1202</v>
      </c>
      <c r="AJ19" s="172">
        <v>4</v>
      </c>
      <c r="AM19" s="172">
        <v>1205</v>
      </c>
      <c r="AN19" s="172">
        <v>3</v>
      </c>
      <c r="AQ19" s="172">
        <v>1209</v>
      </c>
      <c r="AR19" s="172">
        <v>3</v>
      </c>
      <c r="AU19" s="172">
        <v>1210</v>
      </c>
      <c r="AV19" s="172">
        <v>3</v>
      </c>
      <c r="AY19" s="172">
        <v>1237</v>
      </c>
      <c r="AZ19" s="172">
        <v>2</v>
      </c>
      <c r="BC19" s="172"/>
      <c r="BD19" s="172"/>
      <c r="BH19" s="172">
        <v>1</v>
      </c>
      <c r="BJ19" s="172">
        <v>20012</v>
      </c>
    </row>
    <row r="20" spans="1:64" ht="16.5">
      <c r="A20" s="172">
        <v>2010017</v>
      </c>
      <c r="B20" s="172">
        <v>17</v>
      </c>
      <c r="C20" s="172">
        <v>201</v>
      </c>
      <c r="D20" s="172" t="s">
        <v>66</v>
      </c>
      <c r="E20" s="172">
        <v>17</v>
      </c>
      <c r="F20" s="172" t="s">
        <v>142</v>
      </c>
      <c r="G20" s="172" t="s">
        <v>1263</v>
      </c>
      <c r="H20" s="172" t="s">
        <v>1271</v>
      </c>
      <c r="I20" s="172">
        <v>2</v>
      </c>
      <c r="J20" s="177">
        <v>144000</v>
      </c>
      <c r="K20" s="177">
        <v>2300000</v>
      </c>
      <c r="L20" s="177">
        <v>2300000</v>
      </c>
      <c r="M20" s="177">
        <v>2300000</v>
      </c>
      <c r="N20" s="177">
        <v>2300000</v>
      </c>
      <c r="O20" s="172"/>
      <c r="P20" s="172"/>
      <c r="Q20" s="172" t="s">
        <v>1229</v>
      </c>
      <c r="R20" s="172" t="s">
        <v>1272</v>
      </c>
      <c r="S20" s="172">
        <v>4</v>
      </c>
      <c r="T20" s="50">
        <v>0</v>
      </c>
      <c r="U20" s="172">
        <v>0</v>
      </c>
      <c r="V20" s="172"/>
      <c r="W20" s="172"/>
      <c r="X20" s="172" t="s">
        <v>1273</v>
      </c>
      <c r="Y20" s="172" t="s">
        <v>1274</v>
      </c>
      <c r="Z20" s="172">
        <v>74811</v>
      </c>
      <c r="AA20" s="172">
        <v>6001</v>
      </c>
      <c r="AB20" s="172">
        <v>11000</v>
      </c>
      <c r="AE20" s="172">
        <v>8025</v>
      </c>
      <c r="AF20" s="172">
        <v>2</v>
      </c>
      <c r="AI20" s="172">
        <v>1202</v>
      </c>
      <c r="AJ20" s="172">
        <v>4</v>
      </c>
      <c r="AM20" s="172">
        <v>1205</v>
      </c>
      <c r="AN20" s="172">
        <v>3</v>
      </c>
      <c r="AQ20" s="172">
        <v>1209</v>
      </c>
      <c r="AR20" s="172">
        <v>4</v>
      </c>
      <c r="AU20" s="172">
        <v>1210</v>
      </c>
      <c r="AV20" s="172">
        <v>3</v>
      </c>
      <c r="AY20" s="172">
        <v>1237</v>
      </c>
      <c r="AZ20" s="172">
        <v>2</v>
      </c>
      <c r="BC20" s="172"/>
      <c r="BD20" s="172"/>
      <c r="BH20" s="172">
        <v>1</v>
      </c>
      <c r="BJ20" s="172">
        <v>20013</v>
      </c>
    </row>
    <row r="21" spans="1:64" ht="16.5">
      <c r="A21" s="172">
        <v>2010018</v>
      </c>
      <c r="B21" s="172">
        <v>18</v>
      </c>
      <c r="C21" s="172">
        <v>201</v>
      </c>
      <c r="D21" s="172" t="s">
        <v>66</v>
      </c>
      <c r="E21" s="172">
        <v>18</v>
      </c>
      <c r="F21" s="172" t="s">
        <v>145</v>
      </c>
      <c r="G21" s="172" t="s">
        <v>1275</v>
      </c>
      <c r="H21" s="172" t="s">
        <v>1276</v>
      </c>
      <c r="I21" s="172">
        <v>2</v>
      </c>
      <c r="J21" s="177">
        <v>187200</v>
      </c>
      <c r="K21" s="177">
        <v>3000000</v>
      </c>
      <c r="L21" s="177">
        <v>3000000</v>
      </c>
      <c r="M21" s="177">
        <v>3000000</v>
      </c>
      <c r="N21" s="177">
        <v>3000000</v>
      </c>
      <c r="O21" s="172"/>
      <c r="P21" s="172"/>
      <c r="Q21" s="172" t="s">
        <v>1277</v>
      </c>
      <c r="R21" s="172" t="s">
        <v>1278</v>
      </c>
      <c r="S21" s="172">
        <v>4</v>
      </c>
      <c r="T21" s="50">
        <v>0</v>
      </c>
      <c r="U21" s="172">
        <v>0</v>
      </c>
      <c r="V21" s="172"/>
      <c r="W21" s="172"/>
      <c r="X21" s="172" t="s">
        <v>1279</v>
      </c>
      <c r="Y21" s="172" t="s">
        <v>1260</v>
      </c>
      <c r="Z21" s="172">
        <v>98773</v>
      </c>
      <c r="AA21" s="172">
        <v>6001</v>
      </c>
      <c r="AB21" s="172">
        <v>12500</v>
      </c>
      <c r="AE21" s="172">
        <v>8025</v>
      </c>
      <c r="AF21" s="172">
        <v>2</v>
      </c>
      <c r="AI21" s="172">
        <v>1202</v>
      </c>
      <c r="AJ21" s="172">
        <v>4</v>
      </c>
      <c r="AM21" s="172">
        <v>1205</v>
      </c>
      <c r="AN21" s="172">
        <v>4</v>
      </c>
      <c r="AQ21" s="172">
        <v>1209</v>
      </c>
      <c r="AR21" s="172">
        <v>4</v>
      </c>
      <c r="AU21" s="172">
        <v>1210</v>
      </c>
      <c r="AV21" s="172">
        <v>3</v>
      </c>
      <c r="AY21" s="172">
        <v>1237</v>
      </c>
      <c r="AZ21" s="172">
        <v>2</v>
      </c>
      <c r="BC21" s="172"/>
      <c r="BD21" s="172"/>
      <c r="BH21" s="172">
        <v>1</v>
      </c>
      <c r="BJ21" s="172">
        <v>20014</v>
      </c>
    </row>
    <row r="22" spans="1:64" ht="16.5">
      <c r="A22" s="172">
        <v>2010019</v>
      </c>
      <c r="B22" s="172">
        <v>19</v>
      </c>
      <c r="C22" s="172">
        <v>201</v>
      </c>
      <c r="D22" s="172" t="s">
        <v>66</v>
      </c>
      <c r="E22" s="172">
        <v>19</v>
      </c>
      <c r="F22" s="172" t="s">
        <v>148</v>
      </c>
      <c r="G22" s="172" t="s">
        <v>1275</v>
      </c>
      <c r="H22" s="172" t="s">
        <v>1280</v>
      </c>
      <c r="I22" s="172">
        <v>2</v>
      </c>
      <c r="J22" s="177">
        <v>244800</v>
      </c>
      <c r="K22" s="177">
        <v>3800000</v>
      </c>
      <c r="L22" s="177">
        <v>3800000</v>
      </c>
      <c r="M22" s="177">
        <v>3800000</v>
      </c>
      <c r="N22" s="177">
        <v>3800000</v>
      </c>
      <c r="O22" s="172"/>
      <c r="P22" s="172"/>
      <c r="Q22" s="172" t="s">
        <v>1238</v>
      </c>
      <c r="R22" s="172" t="s">
        <v>1281</v>
      </c>
      <c r="S22" s="172">
        <v>4</v>
      </c>
      <c r="T22" s="50">
        <v>0</v>
      </c>
      <c r="U22" s="172">
        <v>0</v>
      </c>
      <c r="V22" s="172"/>
      <c r="W22" s="172"/>
      <c r="Z22" s="172">
        <v>129445</v>
      </c>
      <c r="AA22" s="172">
        <v>6001</v>
      </c>
      <c r="AB22" s="172">
        <v>14000</v>
      </c>
      <c r="AE22" s="172">
        <v>8025</v>
      </c>
      <c r="AF22" s="172">
        <v>2</v>
      </c>
      <c r="AI22" s="172">
        <v>1202</v>
      </c>
      <c r="AJ22" s="172">
        <v>4</v>
      </c>
      <c r="AM22" s="172">
        <v>1205</v>
      </c>
      <c r="AN22" s="172">
        <v>4</v>
      </c>
      <c r="AQ22" s="172">
        <v>1209</v>
      </c>
      <c r="AR22" s="172">
        <v>4</v>
      </c>
      <c r="AU22" s="172">
        <v>1210</v>
      </c>
      <c r="AV22" s="172">
        <v>3</v>
      </c>
      <c r="AY22" s="172">
        <v>1237</v>
      </c>
      <c r="AZ22" s="172">
        <v>2</v>
      </c>
      <c r="BC22" s="172"/>
      <c r="BD22" s="172"/>
      <c r="BH22" s="172">
        <v>1</v>
      </c>
      <c r="BJ22" s="172">
        <v>20015</v>
      </c>
    </row>
    <row r="23" spans="1:64" ht="16.5">
      <c r="A23" s="172">
        <v>2010020</v>
      </c>
      <c r="B23" s="172">
        <v>20</v>
      </c>
      <c r="C23" s="172">
        <v>201</v>
      </c>
      <c r="D23" s="172" t="s">
        <v>66</v>
      </c>
      <c r="E23" s="172">
        <v>20</v>
      </c>
      <c r="F23" s="172" t="s">
        <v>151</v>
      </c>
      <c r="G23" s="172" t="s">
        <v>1275</v>
      </c>
      <c r="H23" s="172" t="s">
        <v>1282</v>
      </c>
      <c r="I23" s="172">
        <v>3</v>
      </c>
      <c r="J23" s="177">
        <v>345600</v>
      </c>
      <c r="K23" s="177">
        <v>4900000</v>
      </c>
      <c r="L23" s="177">
        <v>4900000</v>
      </c>
      <c r="M23" s="177">
        <v>4900000</v>
      </c>
      <c r="N23" s="177">
        <v>4900000</v>
      </c>
      <c r="O23" s="172"/>
      <c r="P23" s="172"/>
      <c r="Q23" s="172" t="s">
        <v>1243</v>
      </c>
      <c r="R23" s="172" t="s">
        <v>1283</v>
      </c>
      <c r="S23" s="172">
        <v>4</v>
      </c>
      <c r="T23" s="50">
        <v>0</v>
      </c>
      <c r="U23" s="172">
        <v>0</v>
      </c>
      <c r="V23" s="172"/>
      <c r="W23" s="172"/>
      <c r="X23" s="172" t="s">
        <v>1284</v>
      </c>
      <c r="Y23" s="172" t="s">
        <v>1267</v>
      </c>
      <c r="Z23" s="172">
        <v>168704</v>
      </c>
      <c r="AA23" s="172">
        <v>6001</v>
      </c>
      <c r="AB23" s="172">
        <v>16000</v>
      </c>
      <c r="AE23" s="172">
        <v>8025</v>
      </c>
      <c r="AF23" s="172">
        <v>2</v>
      </c>
      <c r="AI23" s="172">
        <v>1202</v>
      </c>
      <c r="AJ23" s="172">
        <v>4</v>
      </c>
      <c r="AM23" s="172">
        <v>1205</v>
      </c>
      <c r="AN23" s="172">
        <v>4</v>
      </c>
      <c r="AQ23" s="172">
        <v>1209</v>
      </c>
      <c r="AR23" s="172">
        <v>4</v>
      </c>
      <c r="AU23" s="172">
        <v>1210</v>
      </c>
      <c r="AV23" s="172">
        <v>3</v>
      </c>
      <c r="AY23" s="172">
        <v>1237</v>
      </c>
      <c r="AZ23" s="172">
        <v>3</v>
      </c>
      <c r="BC23" s="172"/>
      <c r="BD23" s="172"/>
      <c r="BH23" s="172">
        <v>1</v>
      </c>
      <c r="BJ23" s="172">
        <v>20016</v>
      </c>
    </row>
    <row r="24" spans="1:64" ht="16.5">
      <c r="A24" s="172">
        <v>2010021</v>
      </c>
      <c r="B24" s="172">
        <v>21</v>
      </c>
      <c r="C24" s="172">
        <v>201</v>
      </c>
      <c r="D24" s="172" t="s">
        <v>66</v>
      </c>
      <c r="E24" s="172">
        <v>21</v>
      </c>
      <c r="F24" s="172" t="s">
        <v>1285</v>
      </c>
      <c r="G24" s="172" t="s">
        <v>1275</v>
      </c>
      <c r="H24" s="172" t="s">
        <v>1286</v>
      </c>
      <c r="I24" s="172">
        <v>3</v>
      </c>
      <c r="J24" s="177">
        <v>460800</v>
      </c>
      <c r="K24" s="177">
        <v>6300000</v>
      </c>
      <c r="L24" s="177">
        <v>6300000</v>
      </c>
      <c r="M24" s="177">
        <v>6300000</v>
      </c>
      <c r="N24" s="177">
        <v>6300000</v>
      </c>
      <c r="O24" s="172"/>
      <c r="P24" s="172"/>
      <c r="Q24" s="172" t="s">
        <v>1219</v>
      </c>
      <c r="R24" s="172" t="s">
        <v>1287</v>
      </c>
      <c r="S24" s="172">
        <v>4</v>
      </c>
      <c r="T24" s="50">
        <v>0</v>
      </c>
      <c r="U24" s="172">
        <v>0</v>
      </c>
      <c r="V24" s="172"/>
      <c r="W24" s="172"/>
      <c r="X24" s="172" t="s">
        <v>1288</v>
      </c>
      <c r="Y24" s="172" t="s">
        <v>1241</v>
      </c>
      <c r="Z24" s="172">
        <v>218957</v>
      </c>
      <c r="AA24" s="172">
        <v>6001</v>
      </c>
      <c r="AB24" s="172">
        <v>18000</v>
      </c>
      <c r="AE24" s="172">
        <v>8025</v>
      </c>
      <c r="AF24" s="172">
        <v>2</v>
      </c>
      <c r="AI24" s="172">
        <v>1202</v>
      </c>
      <c r="AJ24" s="172">
        <v>4</v>
      </c>
      <c r="AM24" s="172">
        <v>1205</v>
      </c>
      <c r="AN24" s="172">
        <v>4</v>
      </c>
      <c r="AQ24" s="172">
        <v>1209</v>
      </c>
      <c r="AR24" s="172">
        <v>4</v>
      </c>
      <c r="AU24" s="172">
        <v>1210</v>
      </c>
      <c r="AV24" s="172">
        <v>4</v>
      </c>
      <c r="AY24" s="172">
        <v>1237</v>
      </c>
      <c r="AZ24" s="172">
        <v>3</v>
      </c>
      <c r="BC24" s="172"/>
      <c r="BD24" s="172"/>
      <c r="BH24" s="172">
        <v>1</v>
      </c>
      <c r="BJ24" s="172">
        <v>20017</v>
      </c>
      <c r="BL24" s="47"/>
    </row>
    <row r="25" spans="1:64" ht="16.5">
      <c r="A25" s="172">
        <v>2010022</v>
      </c>
      <c r="B25" s="172">
        <v>22</v>
      </c>
      <c r="C25" s="172">
        <v>201</v>
      </c>
      <c r="D25" s="172" t="s">
        <v>66</v>
      </c>
      <c r="E25" s="172">
        <v>22</v>
      </c>
      <c r="F25" s="172" t="s">
        <v>1289</v>
      </c>
      <c r="G25" s="172" t="s">
        <v>1275</v>
      </c>
      <c r="H25" s="172" t="s">
        <v>1290</v>
      </c>
      <c r="I25" s="172">
        <v>3</v>
      </c>
      <c r="J25" s="177">
        <v>604800</v>
      </c>
      <c r="K25" s="177">
        <v>8000000</v>
      </c>
      <c r="L25" s="177">
        <v>8000000</v>
      </c>
      <c r="M25" s="177">
        <v>8000000</v>
      </c>
      <c r="N25" s="177">
        <v>8000000</v>
      </c>
      <c r="O25" s="172"/>
      <c r="P25" s="172"/>
      <c r="Q25" s="172" t="s">
        <v>1229</v>
      </c>
      <c r="R25" s="172" t="s">
        <v>1291</v>
      </c>
      <c r="S25" s="172">
        <v>4</v>
      </c>
      <c r="T25" s="50">
        <v>0</v>
      </c>
      <c r="U25" s="172">
        <v>0</v>
      </c>
      <c r="V25" s="172"/>
      <c r="W25" s="172"/>
      <c r="Z25" s="172">
        <v>283280</v>
      </c>
      <c r="AA25" s="172">
        <v>6001</v>
      </c>
      <c r="AB25" s="172">
        <v>20000</v>
      </c>
      <c r="AE25" s="172">
        <v>8025</v>
      </c>
      <c r="AF25" s="172">
        <v>2</v>
      </c>
      <c r="AI25" s="172">
        <v>1202</v>
      </c>
      <c r="AJ25" s="172">
        <v>4</v>
      </c>
      <c r="AM25" s="172">
        <v>1205</v>
      </c>
      <c r="AN25" s="172">
        <v>4</v>
      </c>
      <c r="AQ25" s="172">
        <v>1209</v>
      </c>
      <c r="AR25" s="172">
        <v>4</v>
      </c>
      <c r="AU25" s="172">
        <v>1210</v>
      </c>
      <c r="AV25" s="172">
        <v>4</v>
      </c>
      <c r="AY25" s="172">
        <v>1237</v>
      </c>
      <c r="AZ25" s="172">
        <v>3</v>
      </c>
      <c r="BC25" s="172"/>
      <c r="BD25" s="172"/>
      <c r="BH25" s="172">
        <v>1</v>
      </c>
      <c r="BJ25" s="172">
        <v>20018</v>
      </c>
      <c r="BL25" s="47"/>
    </row>
    <row r="26" spans="1:64" ht="16.5">
      <c r="A26" s="172">
        <v>2010023</v>
      </c>
      <c r="B26" s="172">
        <v>23</v>
      </c>
      <c r="C26" s="172">
        <v>201</v>
      </c>
      <c r="D26" s="172" t="s">
        <v>66</v>
      </c>
      <c r="E26" s="172">
        <v>23</v>
      </c>
      <c r="F26" s="172" t="s">
        <v>1292</v>
      </c>
      <c r="G26" s="172" t="s">
        <v>1275</v>
      </c>
      <c r="H26" s="172" t="s">
        <v>1293</v>
      </c>
      <c r="I26" s="172">
        <v>3</v>
      </c>
      <c r="J26" s="177">
        <v>777600</v>
      </c>
      <c r="K26" s="177">
        <v>10000000</v>
      </c>
      <c r="L26" s="177">
        <v>10000000</v>
      </c>
      <c r="M26" s="177">
        <v>10000000</v>
      </c>
      <c r="N26" s="177">
        <v>10000000</v>
      </c>
      <c r="O26" s="172"/>
      <c r="P26" s="172"/>
      <c r="Q26" s="172" t="s">
        <v>1294</v>
      </c>
      <c r="R26" s="172" t="s">
        <v>1295</v>
      </c>
      <c r="S26" s="172">
        <v>4</v>
      </c>
      <c r="T26" s="50">
        <v>0</v>
      </c>
      <c r="U26" s="172">
        <v>0</v>
      </c>
      <c r="V26" s="172"/>
      <c r="W26" s="172"/>
      <c r="Z26" s="172">
        <v>365613</v>
      </c>
      <c r="AA26" s="172">
        <v>6001</v>
      </c>
      <c r="AB26" s="172">
        <v>22000</v>
      </c>
      <c r="AE26" s="172">
        <v>8025</v>
      </c>
      <c r="AF26" s="172">
        <v>2</v>
      </c>
      <c r="AI26" s="172">
        <v>1202</v>
      </c>
      <c r="AJ26" s="172">
        <v>4</v>
      </c>
      <c r="AM26" s="172">
        <v>1205</v>
      </c>
      <c r="AN26" s="172">
        <v>4</v>
      </c>
      <c r="AQ26" s="172">
        <v>1209</v>
      </c>
      <c r="AR26" s="172">
        <v>4</v>
      </c>
      <c r="AU26" s="172">
        <v>1210</v>
      </c>
      <c r="AV26" s="172">
        <v>4</v>
      </c>
      <c r="AY26" s="172">
        <v>1237</v>
      </c>
      <c r="AZ26" s="172">
        <v>3</v>
      </c>
      <c r="BC26" s="172"/>
      <c r="BD26" s="172"/>
      <c r="BH26" s="172">
        <v>1</v>
      </c>
      <c r="BJ26" s="172">
        <v>20019</v>
      </c>
    </row>
    <row r="27" spans="1:64" ht="16.5">
      <c r="A27" s="172">
        <v>2010024</v>
      </c>
      <c r="B27" s="172">
        <v>24</v>
      </c>
      <c r="C27" s="172">
        <v>201</v>
      </c>
      <c r="D27" s="172" t="s">
        <v>66</v>
      </c>
      <c r="E27" s="172">
        <v>24</v>
      </c>
      <c r="F27" s="172" t="s">
        <v>1296</v>
      </c>
      <c r="G27" s="172" t="s">
        <v>1275</v>
      </c>
      <c r="H27" s="172" t="s">
        <v>1297</v>
      </c>
      <c r="I27" s="172">
        <v>3</v>
      </c>
      <c r="J27" s="177">
        <v>993600</v>
      </c>
      <c r="K27" s="177">
        <v>13000000</v>
      </c>
      <c r="L27" s="177">
        <v>13000000</v>
      </c>
      <c r="M27" s="177">
        <v>13000000</v>
      </c>
      <c r="N27" s="177">
        <v>13000000</v>
      </c>
      <c r="O27" s="172"/>
      <c r="P27" s="172"/>
      <c r="Q27" s="172" t="s">
        <v>1238</v>
      </c>
      <c r="R27" s="172" t="s">
        <v>1298</v>
      </c>
      <c r="S27" s="172">
        <v>4</v>
      </c>
      <c r="T27" s="50">
        <v>0</v>
      </c>
      <c r="U27" s="172">
        <v>0</v>
      </c>
      <c r="V27" s="172"/>
      <c r="W27" s="172"/>
      <c r="X27" s="172" t="s">
        <v>1299</v>
      </c>
      <c r="Y27" s="172" t="s">
        <v>1267</v>
      </c>
      <c r="Z27" s="172">
        <v>471000</v>
      </c>
      <c r="AA27" s="172">
        <v>6001</v>
      </c>
      <c r="AB27" s="172">
        <v>24000</v>
      </c>
      <c r="AE27" s="172">
        <v>8025</v>
      </c>
      <c r="AF27" s="172">
        <v>2</v>
      </c>
      <c r="AI27" s="172">
        <v>1202</v>
      </c>
      <c r="AJ27" s="172">
        <v>4</v>
      </c>
      <c r="AM27" s="172">
        <v>1205</v>
      </c>
      <c r="AN27" s="172">
        <v>4</v>
      </c>
      <c r="AQ27" s="172">
        <v>1209</v>
      </c>
      <c r="AR27" s="172">
        <v>4</v>
      </c>
      <c r="AU27" s="172">
        <v>1210</v>
      </c>
      <c r="AV27" s="172">
        <v>4</v>
      </c>
      <c r="AY27" s="172">
        <v>1237</v>
      </c>
      <c r="AZ27" s="172">
        <v>4</v>
      </c>
      <c r="BC27" s="172"/>
      <c r="BD27" s="172"/>
      <c r="BH27" s="172">
        <v>1</v>
      </c>
      <c r="BJ27" s="172">
        <v>20020</v>
      </c>
    </row>
    <row r="28" spans="1:64" ht="16.5">
      <c r="A28" s="172">
        <v>2010025</v>
      </c>
      <c r="B28" s="172">
        <v>25</v>
      </c>
      <c r="C28" s="172">
        <v>201</v>
      </c>
      <c r="D28" s="172" t="s">
        <v>66</v>
      </c>
      <c r="E28" s="172">
        <v>25</v>
      </c>
      <c r="F28" s="172" t="s">
        <v>1300</v>
      </c>
      <c r="G28" s="172" t="s">
        <v>1275</v>
      </c>
      <c r="H28" s="172" t="s">
        <v>1301</v>
      </c>
      <c r="I28" s="172">
        <v>3</v>
      </c>
      <c r="J28" s="177">
        <v>1252800</v>
      </c>
      <c r="K28" s="177">
        <v>17000000</v>
      </c>
      <c r="L28" s="177">
        <v>17000000</v>
      </c>
      <c r="M28" s="177">
        <v>17000000</v>
      </c>
      <c r="N28" s="177">
        <v>17000000</v>
      </c>
      <c r="O28" s="172"/>
      <c r="P28" s="172"/>
      <c r="Q28" s="172" t="s">
        <v>1243</v>
      </c>
      <c r="R28" s="172" t="s">
        <v>1302</v>
      </c>
      <c r="S28" s="172">
        <v>4</v>
      </c>
      <c r="T28" s="50">
        <v>0</v>
      </c>
      <c r="U28" s="172">
        <v>0</v>
      </c>
      <c r="V28" s="172"/>
      <c r="W28" s="172"/>
      <c r="Z28" s="172">
        <v>605895</v>
      </c>
      <c r="AA28" s="172">
        <v>6001</v>
      </c>
      <c r="AB28" s="172">
        <v>26000</v>
      </c>
      <c r="AE28" s="172">
        <v>8025</v>
      </c>
      <c r="AF28" s="172">
        <v>2</v>
      </c>
      <c r="AI28" s="172">
        <v>1202</v>
      </c>
      <c r="AJ28" s="172">
        <v>4</v>
      </c>
      <c r="AM28" s="172">
        <v>1205</v>
      </c>
      <c r="AN28" s="172">
        <v>4</v>
      </c>
      <c r="AQ28" s="172">
        <v>1209</v>
      </c>
      <c r="AR28" s="172">
        <v>4</v>
      </c>
      <c r="AU28" s="172">
        <v>1210</v>
      </c>
      <c r="AV28" s="172">
        <v>4</v>
      </c>
      <c r="AY28" s="172">
        <v>1237</v>
      </c>
      <c r="AZ28" s="172">
        <v>4</v>
      </c>
      <c r="BC28" s="172"/>
      <c r="BD28" s="172"/>
      <c r="BH28" s="172">
        <v>1</v>
      </c>
      <c r="BJ28" s="172">
        <v>20021</v>
      </c>
    </row>
    <row r="29" spans="1:64" ht="16.5">
      <c r="A29" s="172">
        <v>2010026</v>
      </c>
      <c r="B29" s="172">
        <v>26</v>
      </c>
      <c r="C29" s="172">
        <v>201</v>
      </c>
      <c r="D29" s="172" t="s">
        <v>66</v>
      </c>
      <c r="E29" s="172">
        <v>26</v>
      </c>
      <c r="F29" s="172" t="s">
        <v>1303</v>
      </c>
      <c r="G29" s="172" t="s">
        <v>1275</v>
      </c>
      <c r="H29" s="172" t="s">
        <v>1304</v>
      </c>
      <c r="I29" s="172">
        <v>3</v>
      </c>
      <c r="J29" s="177">
        <v>1555200</v>
      </c>
      <c r="K29" s="177">
        <v>22000000</v>
      </c>
      <c r="L29" s="177">
        <v>22000000</v>
      </c>
      <c r="M29" s="177">
        <v>22000000</v>
      </c>
      <c r="N29" s="177">
        <v>22000000</v>
      </c>
      <c r="O29" s="172"/>
      <c r="P29" s="172"/>
      <c r="Q29" s="172" t="s">
        <v>1224</v>
      </c>
      <c r="R29" s="172" t="s">
        <v>1305</v>
      </c>
      <c r="S29" s="172">
        <v>4</v>
      </c>
      <c r="T29" s="50">
        <v>0</v>
      </c>
      <c r="U29" s="172">
        <v>0</v>
      </c>
      <c r="V29" s="172"/>
      <c r="W29" s="172"/>
      <c r="Z29" s="172">
        <v>778560</v>
      </c>
      <c r="AA29" s="172">
        <v>6001</v>
      </c>
      <c r="AB29" s="172">
        <v>28500</v>
      </c>
      <c r="AE29" s="172">
        <v>8025</v>
      </c>
      <c r="AF29" s="172">
        <v>2</v>
      </c>
      <c r="AI29" s="172">
        <v>1202</v>
      </c>
      <c r="AJ29" s="172">
        <v>4</v>
      </c>
      <c r="AM29" s="172">
        <v>1205</v>
      </c>
      <c r="AN29" s="172">
        <v>4</v>
      </c>
      <c r="AQ29" s="172">
        <v>1209</v>
      </c>
      <c r="AR29" s="172">
        <v>4</v>
      </c>
      <c r="AU29" s="172">
        <v>1210</v>
      </c>
      <c r="AV29" s="172">
        <v>4</v>
      </c>
      <c r="AY29" s="172">
        <v>1237</v>
      </c>
      <c r="AZ29" s="172">
        <v>4</v>
      </c>
      <c r="BC29" s="172"/>
      <c r="BD29" s="172"/>
      <c r="BH29" s="172">
        <v>1</v>
      </c>
      <c r="BJ29" s="172">
        <v>20022</v>
      </c>
    </row>
    <row r="30" spans="1:64" ht="16.5">
      <c r="A30" s="172">
        <v>2010027</v>
      </c>
      <c r="B30" s="172">
        <v>27</v>
      </c>
      <c r="C30" s="172">
        <v>201</v>
      </c>
      <c r="D30" s="172" t="s">
        <v>66</v>
      </c>
      <c r="E30" s="172">
        <v>27</v>
      </c>
      <c r="F30" s="172" t="s">
        <v>1306</v>
      </c>
      <c r="G30" s="172" t="s">
        <v>1275</v>
      </c>
      <c r="H30" s="172" t="s">
        <v>1307</v>
      </c>
      <c r="I30" s="172">
        <v>3</v>
      </c>
      <c r="J30" s="177">
        <v>1900800</v>
      </c>
      <c r="K30" s="177">
        <v>28000000</v>
      </c>
      <c r="L30" s="177">
        <v>28000000</v>
      </c>
      <c r="M30" s="177">
        <v>28000000</v>
      </c>
      <c r="N30" s="177">
        <v>28000000</v>
      </c>
      <c r="O30" s="172"/>
      <c r="P30" s="172"/>
      <c r="Q30" s="172" t="s">
        <v>1229</v>
      </c>
      <c r="R30" s="172" t="s">
        <v>1308</v>
      </c>
      <c r="S30" s="172">
        <v>4</v>
      </c>
      <c r="T30" s="50">
        <v>0</v>
      </c>
      <c r="U30" s="172">
        <v>0</v>
      </c>
      <c r="V30" s="172"/>
      <c r="W30" s="172"/>
      <c r="Z30" s="172">
        <v>999572</v>
      </c>
      <c r="AA30" s="172">
        <v>6001</v>
      </c>
      <c r="AB30" s="172">
        <v>31000</v>
      </c>
      <c r="AE30" s="172">
        <v>8025</v>
      </c>
      <c r="AF30" s="172">
        <v>2</v>
      </c>
      <c r="AI30" s="172">
        <v>1202</v>
      </c>
      <c r="AJ30" s="172">
        <v>4</v>
      </c>
      <c r="AM30" s="172">
        <v>1205</v>
      </c>
      <c r="AN30" s="172">
        <v>4</v>
      </c>
      <c r="AQ30" s="172">
        <v>1209</v>
      </c>
      <c r="AR30" s="172">
        <v>4</v>
      </c>
      <c r="AU30" s="172">
        <v>1210</v>
      </c>
      <c r="AV30" s="172">
        <v>4</v>
      </c>
      <c r="AY30" s="172">
        <v>1237</v>
      </c>
      <c r="AZ30" s="172">
        <v>4</v>
      </c>
      <c r="BC30" s="172"/>
      <c r="BD30" s="172"/>
      <c r="BH30" s="172">
        <v>1</v>
      </c>
      <c r="BJ30" s="172">
        <v>20023</v>
      </c>
    </row>
    <row r="31" spans="1:64" ht="16.5">
      <c r="A31" s="172">
        <v>2010028</v>
      </c>
      <c r="B31" s="172">
        <v>28</v>
      </c>
      <c r="C31" s="172">
        <v>201</v>
      </c>
      <c r="D31" s="172" t="s">
        <v>66</v>
      </c>
      <c r="E31" s="172">
        <v>28</v>
      </c>
      <c r="F31" s="172" t="s">
        <v>1309</v>
      </c>
      <c r="G31" s="172" t="s">
        <v>1275</v>
      </c>
      <c r="H31" s="172" t="s">
        <v>1310</v>
      </c>
      <c r="I31" s="172">
        <v>3</v>
      </c>
      <c r="J31" s="177">
        <v>2332800</v>
      </c>
      <c r="K31" s="177">
        <v>35000000</v>
      </c>
      <c r="L31" s="177">
        <v>35000000</v>
      </c>
      <c r="M31" s="177">
        <v>35000000</v>
      </c>
      <c r="N31" s="177">
        <v>35000000</v>
      </c>
      <c r="O31" s="172"/>
      <c r="P31" s="172"/>
      <c r="Q31" s="172" t="s">
        <v>1219</v>
      </c>
      <c r="R31" s="172" t="s">
        <v>1311</v>
      </c>
      <c r="S31" s="172">
        <v>4</v>
      </c>
      <c r="T31" s="50">
        <v>0</v>
      </c>
      <c r="U31" s="172">
        <v>0</v>
      </c>
      <c r="V31" s="172"/>
      <c r="W31" s="172"/>
      <c r="Z31" s="172">
        <v>1282467</v>
      </c>
      <c r="AA31" s="172">
        <v>6001</v>
      </c>
      <c r="AB31" s="172">
        <v>33500</v>
      </c>
      <c r="AE31" s="172">
        <v>8025</v>
      </c>
      <c r="AF31" s="172">
        <v>2</v>
      </c>
      <c r="AI31" s="172">
        <v>1202</v>
      </c>
      <c r="AJ31" s="172">
        <v>4</v>
      </c>
      <c r="AM31" s="172">
        <v>1205</v>
      </c>
      <c r="AN31" s="172">
        <v>4</v>
      </c>
      <c r="AQ31" s="172">
        <v>1209</v>
      </c>
      <c r="AR31" s="172">
        <v>4</v>
      </c>
      <c r="AU31" s="172">
        <v>1210</v>
      </c>
      <c r="AV31" s="172">
        <v>4</v>
      </c>
      <c r="AY31" s="172">
        <v>1237</v>
      </c>
      <c r="AZ31" s="172">
        <v>4</v>
      </c>
      <c r="BC31" s="172"/>
      <c r="BD31" s="172"/>
      <c r="BH31" s="172">
        <v>1</v>
      </c>
      <c r="BJ31" s="172">
        <v>20024</v>
      </c>
    </row>
    <row r="32" spans="1:64" ht="16.5">
      <c r="A32" s="172">
        <v>2010029</v>
      </c>
      <c r="B32" s="172">
        <v>29</v>
      </c>
      <c r="C32" s="172">
        <v>201</v>
      </c>
      <c r="D32" s="172" t="s">
        <v>66</v>
      </c>
      <c r="E32" s="172">
        <v>29</v>
      </c>
      <c r="F32" s="172" t="s">
        <v>1312</v>
      </c>
      <c r="G32" s="172" t="s">
        <v>1275</v>
      </c>
      <c r="H32" s="172" t="s">
        <v>1313</v>
      </c>
      <c r="I32" s="172">
        <v>3</v>
      </c>
      <c r="J32" s="177">
        <v>2851200</v>
      </c>
      <c r="K32" s="177">
        <v>45000000</v>
      </c>
      <c r="L32" s="177">
        <v>45000000</v>
      </c>
      <c r="M32" s="177">
        <v>45000000</v>
      </c>
      <c r="N32" s="177">
        <v>45000000</v>
      </c>
      <c r="O32" s="172"/>
      <c r="P32" s="172"/>
      <c r="Q32" s="172" t="s">
        <v>1238</v>
      </c>
      <c r="R32" s="172" t="s">
        <v>1314</v>
      </c>
      <c r="S32" s="172">
        <v>4</v>
      </c>
      <c r="T32" s="50">
        <v>0</v>
      </c>
      <c r="U32" s="172">
        <v>0</v>
      </c>
      <c r="V32" s="172"/>
      <c r="W32" s="172"/>
      <c r="Z32" s="172">
        <v>1644573</v>
      </c>
      <c r="AA32" s="172">
        <v>6001</v>
      </c>
      <c r="AB32" s="172">
        <v>36500</v>
      </c>
      <c r="AE32" s="172">
        <v>8025</v>
      </c>
      <c r="AF32" s="172">
        <v>2</v>
      </c>
      <c r="AI32" s="172">
        <v>1202</v>
      </c>
      <c r="AJ32" s="172">
        <v>4</v>
      </c>
      <c r="AM32" s="172">
        <v>1205</v>
      </c>
      <c r="AN32" s="172">
        <v>4</v>
      </c>
      <c r="AQ32" s="172">
        <v>1209</v>
      </c>
      <c r="AR32" s="172">
        <v>4</v>
      </c>
      <c r="AU32" s="172">
        <v>1210</v>
      </c>
      <c r="AV32" s="172">
        <v>4</v>
      </c>
      <c r="AY32" s="172">
        <v>1237</v>
      </c>
      <c r="AZ32" s="172">
        <v>4</v>
      </c>
      <c r="BC32" s="172"/>
      <c r="BD32" s="172"/>
      <c r="BH32" s="172">
        <v>1</v>
      </c>
      <c r="BJ32" s="172">
        <v>20025</v>
      </c>
    </row>
    <row r="33" spans="1:65" ht="16.5">
      <c r="A33" s="172">
        <v>2010030</v>
      </c>
      <c r="B33" s="172">
        <v>30</v>
      </c>
      <c r="C33" s="172">
        <v>201</v>
      </c>
      <c r="D33" s="172" t="s">
        <v>66</v>
      </c>
      <c r="E33" s="172">
        <v>30</v>
      </c>
      <c r="F33" s="172" t="s">
        <v>1315</v>
      </c>
      <c r="G33" s="172" t="s">
        <v>1275</v>
      </c>
      <c r="H33" s="173" t="s">
        <v>1316</v>
      </c>
      <c r="I33" s="172">
        <v>3</v>
      </c>
      <c r="J33" s="177">
        <v>3456000</v>
      </c>
      <c r="K33" s="177">
        <v>58000000</v>
      </c>
      <c r="L33" s="177">
        <v>58000000</v>
      </c>
      <c r="M33" s="177">
        <v>58000000</v>
      </c>
      <c r="N33" s="177">
        <v>58000000</v>
      </c>
      <c r="O33" s="172"/>
      <c r="P33" s="172"/>
      <c r="Q33" s="172" t="s">
        <v>1243</v>
      </c>
      <c r="R33" s="172" t="s">
        <v>1317</v>
      </c>
      <c r="S33" s="172">
        <v>4</v>
      </c>
      <c r="T33" s="50">
        <v>0</v>
      </c>
      <c r="U33" s="172">
        <v>0</v>
      </c>
      <c r="V33" s="172"/>
      <c r="W33" s="172"/>
      <c r="Z33" s="172">
        <v>2108069</v>
      </c>
      <c r="AA33" s="172">
        <v>6001</v>
      </c>
      <c r="AB33" s="172">
        <v>40000</v>
      </c>
      <c r="AE33" s="172">
        <v>8025</v>
      </c>
      <c r="AF33" s="172">
        <v>2</v>
      </c>
      <c r="AI33" s="172">
        <v>1202</v>
      </c>
      <c r="AJ33" s="172">
        <v>4</v>
      </c>
      <c r="AM33" s="172">
        <v>1205</v>
      </c>
      <c r="AN33" s="172">
        <v>4</v>
      </c>
      <c r="AQ33" s="172">
        <v>1209</v>
      </c>
      <c r="AR33" s="172">
        <v>4</v>
      </c>
      <c r="AU33" s="172">
        <v>1210</v>
      </c>
      <c r="AV33" s="172">
        <v>4</v>
      </c>
      <c r="AY33" s="172">
        <v>1237</v>
      </c>
      <c r="AZ33" s="172">
        <v>4</v>
      </c>
      <c r="BC33" s="172"/>
      <c r="BD33" s="172"/>
      <c r="BH33" s="172">
        <v>1</v>
      </c>
      <c r="BJ33" s="172">
        <v>20026</v>
      </c>
    </row>
    <row r="34" spans="1:65" ht="14.5">
      <c r="A34" s="172">
        <v>2020001</v>
      </c>
      <c r="B34" s="172">
        <v>31</v>
      </c>
      <c r="C34" s="172">
        <v>202</v>
      </c>
      <c r="D34" s="172" t="s">
        <v>154</v>
      </c>
      <c r="E34" s="172">
        <v>1</v>
      </c>
      <c r="F34" s="172" t="s">
        <v>155</v>
      </c>
      <c r="H34" s="173"/>
      <c r="I34" s="172" t="s">
        <v>1205</v>
      </c>
      <c r="J34" s="177">
        <v>25</v>
      </c>
      <c r="K34" s="177">
        <v>250</v>
      </c>
      <c r="L34" s="177">
        <v>500</v>
      </c>
      <c r="M34" s="177">
        <v>0</v>
      </c>
      <c r="N34" s="177">
        <v>0</v>
      </c>
      <c r="O34" s="172"/>
      <c r="P34" s="172"/>
      <c r="Q34" s="172" t="s">
        <v>1318</v>
      </c>
      <c r="R34" s="172" t="s">
        <v>229</v>
      </c>
      <c r="S34" s="172">
        <v>1</v>
      </c>
      <c r="T34" s="47">
        <v>0</v>
      </c>
      <c r="U34" s="172">
        <v>0</v>
      </c>
      <c r="V34" s="172" t="s">
        <v>229</v>
      </c>
      <c r="W34" s="172" t="s">
        <v>1319</v>
      </c>
      <c r="Z34" s="172">
        <v>1</v>
      </c>
      <c r="AA34" s="172">
        <v>1200</v>
      </c>
      <c r="AB34" s="172">
        <v>1</v>
      </c>
      <c r="AE34" s="172"/>
      <c r="AF34" s="172"/>
      <c r="AI34" s="172"/>
      <c r="AJ34" s="172"/>
      <c r="AM34" s="172"/>
      <c r="AN34" s="172"/>
      <c r="AQ34" s="172"/>
      <c r="AR34" s="172"/>
      <c r="AU34" s="172"/>
      <c r="AV34" s="172"/>
      <c r="AY34" s="172"/>
      <c r="AZ34" s="172"/>
      <c r="BC34" s="172"/>
      <c r="BD34" s="172"/>
      <c r="BH34" s="172">
        <v>2</v>
      </c>
      <c r="BM34" s="172">
        <v>3</v>
      </c>
    </row>
    <row r="35" spans="1:65" ht="14.5">
      <c r="A35" s="172">
        <v>2020002</v>
      </c>
      <c r="B35" s="172">
        <v>32</v>
      </c>
      <c r="C35" s="172">
        <v>202</v>
      </c>
      <c r="D35" s="172" t="s">
        <v>154</v>
      </c>
      <c r="E35" s="172">
        <v>2</v>
      </c>
      <c r="F35" s="172" t="s">
        <v>162</v>
      </c>
      <c r="H35" s="173"/>
      <c r="I35" s="172" t="s">
        <v>1205</v>
      </c>
      <c r="J35" s="177">
        <v>27</v>
      </c>
      <c r="K35" s="177">
        <v>500</v>
      </c>
      <c r="L35" s="177">
        <v>1000</v>
      </c>
      <c r="M35" s="177">
        <v>0</v>
      </c>
      <c r="N35" s="177">
        <v>0</v>
      </c>
      <c r="O35" s="172"/>
      <c r="P35" s="172"/>
      <c r="Q35" s="172" t="s">
        <v>1318</v>
      </c>
      <c r="R35" s="172" t="s">
        <v>1320</v>
      </c>
      <c r="S35" s="172">
        <v>1</v>
      </c>
      <c r="T35" s="172">
        <v>0</v>
      </c>
      <c r="U35" s="172">
        <v>0</v>
      </c>
      <c r="V35" s="172"/>
      <c r="W35" s="172"/>
      <c r="Z35" s="172">
        <v>4</v>
      </c>
      <c r="AA35" s="172">
        <v>1200</v>
      </c>
      <c r="AB35" s="172">
        <v>2</v>
      </c>
      <c r="AE35" s="172"/>
      <c r="AF35" s="172"/>
      <c r="AI35" s="172"/>
      <c r="AJ35" s="172"/>
      <c r="AM35" s="172"/>
      <c r="AN35" s="172"/>
      <c r="AQ35" s="172"/>
      <c r="AR35" s="172"/>
      <c r="AU35" s="172"/>
      <c r="AV35" s="172"/>
      <c r="AY35" s="172"/>
      <c r="AZ35" s="172"/>
      <c r="BC35" s="172"/>
      <c r="BD35" s="172"/>
      <c r="BH35" s="172">
        <v>2</v>
      </c>
    </row>
    <row r="36" spans="1:65" ht="14.5">
      <c r="A36" s="172">
        <v>2020003</v>
      </c>
      <c r="B36" s="172">
        <v>33</v>
      </c>
      <c r="C36" s="172">
        <v>202</v>
      </c>
      <c r="D36" s="172" t="s">
        <v>154</v>
      </c>
      <c r="E36" s="172">
        <v>3</v>
      </c>
      <c r="F36" s="172" t="s">
        <v>165</v>
      </c>
      <c r="H36" s="173"/>
      <c r="I36" s="172" t="s">
        <v>1205</v>
      </c>
      <c r="J36" s="177">
        <v>54</v>
      </c>
      <c r="K36" s="177">
        <v>1000</v>
      </c>
      <c r="L36" s="177">
        <v>2000</v>
      </c>
      <c r="M36" s="177">
        <v>0</v>
      </c>
      <c r="N36" s="177">
        <v>0</v>
      </c>
      <c r="O36" s="172"/>
      <c r="P36" s="172"/>
      <c r="Q36" s="172" t="s">
        <v>1318</v>
      </c>
      <c r="R36" s="172" t="s">
        <v>1321</v>
      </c>
      <c r="S36" s="172">
        <v>1</v>
      </c>
      <c r="T36" s="172">
        <v>0</v>
      </c>
      <c r="U36" s="172">
        <v>0</v>
      </c>
      <c r="V36" s="172"/>
      <c r="W36" s="172"/>
      <c r="Z36" s="172">
        <v>10</v>
      </c>
      <c r="AA36" s="172">
        <v>1200</v>
      </c>
      <c r="AB36" s="172">
        <v>3</v>
      </c>
      <c r="AE36" s="172"/>
      <c r="AF36" s="172"/>
      <c r="AI36" s="172"/>
      <c r="AJ36" s="172"/>
      <c r="AM36" s="172"/>
      <c r="AN36" s="172"/>
      <c r="AQ36" s="172"/>
      <c r="AR36" s="172"/>
      <c r="AU36" s="172"/>
      <c r="AV36" s="172"/>
      <c r="AY36" s="172"/>
      <c r="AZ36" s="172"/>
      <c r="BC36" s="172"/>
      <c r="BD36" s="172"/>
      <c r="BH36" s="172">
        <v>2</v>
      </c>
    </row>
    <row r="37" spans="1:65" ht="14.5">
      <c r="A37" s="172">
        <v>2020004</v>
      </c>
      <c r="B37" s="172">
        <v>34</v>
      </c>
      <c r="C37" s="172">
        <v>202</v>
      </c>
      <c r="D37" s="172" t="s">
        <v>154</v>
      </c>
      <c r="E37" s="172">
        <v>4</v>
      </c>
      <c r="F37" s="172" t="s">
        <v>168</v>
      </c>
      <c r="H37" s="173"/>
      <c r="I37" s="172" t="s">
        <v>1205</v>
      </c>
      <c r="J37" s="177">
        <v>108</v>
      </c>
      <c r="K37" s="177">
        <v>2000</v>
      </c>
      <c r="L37" s="177">
        <v>4000</v>
      </c>
      <c r="M37" s="177">
        <v>0</v>
      </c>
      <c r="N37" s="177">
        <v>0</v>
      </c>
      <c r="O37" s="172"/>
      <c r="P37" s="172"/>
      <c r="Q37" s="172" t="s">
        <v>1318</v>
      </c>
      <c r="R37" s="172" t="s">
        <v>1322</v>
      </c>
      <c r="S37" s="172">
        <v>1</v>
      </c>
      <c r="T37" s="172">
        <v>0</v>
      </c>
      <c r="U37" s="172">
        <v>0</v>
      </c>
      <c r="V37" s="172"/>
      <c r="W37" s="172"/>
      <c r="Z37" s="172">
        <v>22</v>
      </c>
      <c r="AA37" s="172">
        <v>1200</v>
      </c>
      <c r="AB37" s="172">
        <v>4</v>
      </c>
      <c r="AE37" s="172"/>
      <c r="AF37" s="172"/>
      <c r="AI37" s="172"/>
      <c r="AJ37" s="172"/>
      <c r="AM37" s="172"/>
      <c r="AN37" s="172"/>
      <c r="AQ37" s="172"/>
      <c r="AR37" s="172"/>
      <c r="AU37" s="172"/>
      <c r="AV37" s="172"/>
      <c r="AY37" s="172"/>
      <c r="AZ37" s="172"/>
      <c r="BC37" s="172"/>
      <c r="BD37" s="172"/>
      <c r="BH37" s="172">
        <v>2</v>
      </c>
    </row>
    <row r="38" spans="1:65" ht="14.5">
      <c r="A38" s="172">
        <v>2020005</v>
      </c>
      <c r="B38" s="172">
        <v>35</v>
      </c>
      <c r="C38" s="172">
        <v>202</v>
      </c>
      <c r="D38" s="172" t="s">
        <v>154</v>
      </c>
      <c r="E38" s="172">
        <v>5</v>
      </c>
      <c r="F38" s="172" t="s">
        <v>171</v>
      </c>
      <c r="H38" s="173"/>
      <c r="I38" s="172">
        <v>1</v>
      </c>
      <c r="J38" s="177">
        <v>225</v>
      </c>
      <c r="K38" s="177">
        <v>2900</v>
      </c>
      <c r="L38" s="177">
        <v>5800</v>
      </c>
      <c r="M38" s="177">
        <v>2900</v>
      </c>
      <c r="N38" s="177">
        <v>0</v>
      </c>
      <c r="O38" s="172"/>
      <c r="P38" s="172"/>
      <c r="Q38" s="172" t="s">
        <v>1318</v>
      </c>
      <c r="R38" s="172" t="s">
        <v>1323</v>
      </c>
      <c r="S38" s="172">
        <v>1</v>
      </c>
      <c r="T38" s="172">
        <v>0</v>
      </c>
      <c r="U38" s="172">
        <v>0</v>
      </c>
      <c r="V38" s="172"/>
      <c r="W38" s="172"/>
      <c r="Z38" s="172">
        <v>45</v>
      </c>
      <c r="AA38" s="172">
        <v>1200</v>
      </c>
      <c r="AB38" s="172">
        <v>5</v>
      </c>
      <c r="AE38" s="172"/>
      <c r="AF38" s="172"/>
      <c r="AI38" s="172"/>
      <c r="AJ38" s="172"/>
      <c r="AM38" s="172"/>
      <c r="AN38" s="172"/>
      <c r="AQ38" s="172"/>
      <c r="AR38" s="172"/>
      <c r="AU38" s="172"/>
      <c r="AV38" s="172"/>
      <c r="AY38" s="172"/>
      <c r="AZ38" s="172"/>
      <c r="BC38" s="172"/>
      <c r="BD38" s="172"/>
      <c r="BH38" s="172">
        <v>2</v>
      </c>
      <c r="BI38" s="172">
        <v>299</v>
      </c>
    </row>
    <row r="39" spans="1:65" ht="14.5">
      <c r="A39" s="172">
        <v>2020006</v>
      </c>
      <c r="B39" s="172">
        <v>36</v>
      </c>
      <c r="C39" s="172">
        <v>202</v>
      </c>
      <c r="D39" s="172" t="s">
        <v>154</v>
      </c>
      <c r="E39" s="172">
        <v>6</v>
      </c>
      <c r="F39" s="172" t="s">
        <v>174</v>
      </c>
      <c r="H39" s="173"/>
      <c r="I39" s="172">
        <v>1</v>
      </c>
      <c r="J39" s="177">
        <v>405</v>
      </c>
      <c r="K39" s="177">
        <v>5400</v>
      </c>
      <c r="L39" s="177">
        <v>11000</v>
      </c>
      <c r="M39" s="177">
        <v>5400</v>
      </c>
      <c r="N39" s="177">
        <v>0</v>
      </c>
      <c r="O39" s="172"/>
      <c r="P39" s="172"/>
      <c r="Q39" s="172" t="s">
        <v>1318</v>
      </c>
      <c r="R39" s="172" t="s">
        <v>1324</v>
      </c>
      <c r="S39" s="172">
        <v>1</v>
      </c>
      <c r="T39" s="172">
        <v>0</v>
      </c>
      <c r="U39" s="172">
        <v>0</v>
      </c>
      <c r="V39" s="172"/>
      <c r="W39" s="172"/>
      <c r="Z39" s="172">
        <v>88</v>
      </c>
      <c r="AA39" s="172">
        <v>1200</v>
      </c>
      <c r="AB39" s="172">
        <v>6</v>
      </c>
      <c r="AE39" s="172"/>
      <c r="AF39" s="172"/>
      <c r="AI39" s="172"/>
      <c r="AJ39" s="172"/>
      <c r="AM39" s="172"/>
      <c r="AN39" s="172"/>
      <c r="AQ39" s="172"/>
      <c r="AR39" s="172"/>
      <c r="AU39" s="172"/>
      <c r="AV39" s="172"/>
      <c r="AY39" s="172"/>
      <c r="AZ39" s="172"/>
      <c r="BC39" s="172"/>
      <c r="BD39" s="172"/>
      <c r="BH39" s="172">
        <v>2</v>
      </c>
      <c r="BI39" s="172">
        <v>299</v>
      </c>
    </row>
    <row r="40" spans="1:65" ht="14.5">
      <c r="A40" s="172">
        <v>2020007</v>
      </c>
      <c r="B40" s="172">
        <v>37</v>
      </c>
      <c r="C40" s="172">
        <v>202</v>
      </c>
      <c r="D40" s="172" t="s">
        <v>154</v>
      </c>
      <c r="E40" s="172">
        <v>7</v>
      </c>
      <c r="F40" s="172" t="s">
        <v>177</v>
      </c>
      <c r="H40" s="173"/>
      <c r="I40" s="172">
        <v>1</v>
      </c>
      <c r="J40" s="177">
        <v>675</v>
      </c>
      <c r="K40" s="177">
        <v>9600</v>
      </c>
      <c r="L40" s="177">
        <v>19000</v>
      </c>
      <c r="M40" s="177">
        <v>9600</v>
      </c>
      <c r="N40" s="177">
        <v>0</v>
      </c>
      <c r="O40" s="172"/>
      <c r="P40" s="172"/>
      <c r="Q40" s="172" t="s">
        <v>1318</v>
      </c>
      <c r="R40" s="172" t="s">
        <v>1325</v>
      </c>
      <c r="S40" s="172">
        <v>1</v>
      </c>
      <c r="T40" s="172">
        <v>0</v>
      </c>
      <c r="U40" s="172">
        <v>0</v>
      </c>
      <c r="V40" s="172"/>
      <c r="W40" s="172"/>
      <c r="Z40" s="172">
        <v>165</v>
      </c>
      <c r="AA40" s="172">
        <v>1200</v>
      </c>
      <c r="AB40" s="172">
        <v>7</v>
      </c>
      <c r="AE40" s="172"/>
      <c r="AF40" s="172"/>
      <c r="AI40" s="172"/>
      <c r="AJ40" s="172"/>
      <c r="AM40" s="172"/>
      <c r="AN40" s="172"/>
      <c r="AQ40" s="172"/>
      <c r="AR40" s="172"/>
      <c r="AU40" s="172"/>
      <c r="AV40" s="172"/>
      <c r="AY40" s="172"/>
      <c r="AZ40" s="172"/>
      <c r="BC40" s="172"/>
      <c r="BD40" s="172"/>
      <c r="BH40" s="172">
        <v>2</v>
      </c>
      <c r="BI40" s="172">
        <v>299</v>
      </c>
    </row>
    <row r="41" spans="1:65" ht="14.5">
      <c r="A41" s="172">
        <v>2020008</v>
      </c>
      <c r="B41" s="172">
        <v>38</v>
      </c>
      <c r="C41" s="172">
        <v>202</v>
      </c>
      <c r="D41" s="172" t="s">
        <v>154</v>
      </c>
      <c r="E41" s="172">
        <v>8</v>
      </c>
      <c r="F41" s="172" t="s">
        <v>180</v>
      </c>
      <c r="H41" s="173"/>
      <c r="I41" s="172">
        <v>1</v>
      </c>
      <c r="J41" s="177">
        <v>1080</v>
      </c>
      <c r="K41" s="177">
        <v>17000</v>
      </c>
      <c r="L41" s="177">
        <v>33000</v>
      </c>
      <c r="M41" s="177">
        <v>17000</v>
      </c>
      <c r="N41" s="177">
        <v>0</v>
      </c>
      <c r="O41" s="172"/>
      <c r="P41" s="172"/>
      <c r="Q41" s="172" t="s">
        <v>1318</v>
      </c>
      <c r="R41" s="172" t="s">
        <v>1326</v>
      </c>
      <c r="S41" s="172">
        <v>1</v>
      </c>
      <c r="T41" s="172">
        <v>0</v>
      </c>
      <c r="U41" s="172">
        <v>0</v>
      </c>
      <c r="V41" s="172"/>
      <c r="W41" s="172"/>
      <c r="Z41" s="172">
        <v>298</v>
      </c>
      <c r="AA41" s="172">
        <v>1200</v>
      </c>
      <c r="AB41" s="172">
        <v>8</v>
      </c>
      <c r="AE41" s="172"/>
      <c r="AF41" s="172"/>
      <c r="AI41" s="172"/>
      <c r="AJ41" s="172"/>
      <c r="AM41" s="172"/>
      <c r="AN41" s="172"/>
      <c r="AQ41" s="172"/>
      <c r="AR41" s="172"/>
      <c r="AU41" s="172"/>
      <c r="AV41" s="172"/>
      <c r="AY41" s="172"/>
      <c r="AZ41" s="172"/>
      <c r="BC41" s="172"/>
      <c r="BD41" s="172"/>
      <c r="BH41" s="172">
        <v>2</v>
      </c>
      <c r="BI41" s="172">
        <v>299</v>
      </c>
    </row>
    <row r="42" spans="1:65" ht="14.5">
      <c r="A42" s="172">
        <v>2020009</v>
      </c>
      <c r="B42" s="172">
        <v>39</v>
      </c>
      <c r="C42" s="172">
        <v>202</v>
      </c>
      <c r="D42" s="172" t="s">
        <v>154</v>
      </c>
      <c r="E42" s="172">
        <v>9</v>
      </c>
      <c r="F42" s="172" t="s">
        <v>183</v>
      </c>
      <c r="H42" s="173"/>
      <c r="I42" s="172">
        <v>1</v>
      </c>
      <c r="J42" s="177">
        <v>2160</v>
      </c>
      <c r="K42" s="177">
        <v>27000</v>
      </c>
      <c r="L42" s="177">
        <v>55000</v>
      </c>
      <c r="M42" s="177">
        <v>27000</v>
      </c>
      <c r="N42" s="177">
        <v>0</v>
      </c>
      <c r="O42" s="172"/>
      <c r="P42" s="172"/>
      <c r="Q42" s="172" t="s">
        <v>1318</v>
      </c>
      <c r="R42" s="172" t="s">
        <v>1327</v>
      </c>
      <c r="S42" s="172">
        <v>1</v>
      </c>
      <c r="T42" s="172">
        <v>0</v>
      </c>
      <c r="U42" s="172">
        <v>0</v>
      </c>
      <c r="V42" s="172"/>
      <c r="W42" s="172"/>
      <c r="Z42" s="172">
        <v>517</v>
      </c>
      <c r="AA42" s="172">
        <v>1200</v>
      </c>
      <c r="AB42" s="172">
        <v>9</v>
      </c>
      <c r="AE42" s="172"/>
      <c r="AF42" s="172"/>
      <c r="AI42" s="172"/>
      <c r="AJ42" s="172"/>
      <c r="AM42" s="172"/>
      <c r="AN42" s="172"/>
      <c r="AQ42" s="172"/>
      <c r="AR42" s="172"/>
      <c r="AU42" s="172"/>
      <c r="AV42" s="172"/>
      <c r="AY42" s="172"/>
      <c r="AZ42" s="172"/>
      <c r="BC42" s="172"/>
      <c r="BD42" s="172"/>
      <c r="BH42" s="172">
        <v>2</v>
      </c>
      <c r="BI42" s="172">
        <v>299</v>
      </c>
    </row>
    <row r="43" spans="1:65" ht="14.5">
      <c r="A43" s="172">
        <v>2020010</v>
      </c>
      <c r="B43" s="172">
        <v>40</v>
      </c>
      <c r="C43" s="172">
        <v>202</v>
      </c>
      <c r="D43" s="172" t="s">
        <v>154</v>
      </c>
      <c r="E43" s="172">
        <v>10</v>
      </c>
      <c r="F43" s="172" t="s">
        <v>186</v>
      </c>
      <c r="H43" s="173"/>
      <c r="I43" s="172">
        <v>1</v>
      </c>
      <c r="J43" s="177">
        <v>3240</v>
      </c>
      <c r="K43" s="177">
        <v>35000</v>
      </c>
      <c r="L43" s="177">
        <v>69000</v>
      </c>
      <c r="M43" s="177">
        <v>35000</v>
      </c>
      <c r="N43" s="177">
        <v>35000</v>
      </c>
      <c r="O43" s="172"/>
      <c r="P43" s="172"/>
      <c r="Q43" s="172" t="s">
        <v>1318</v>
      </c>
      <c r="R43" s="172" t="s">
        <v>1328</v>
      </c>
      <c r="S43" s="172">
        <v>1</v>
      </c>
      <c r="T43" s="172">
        <v>0</v>
      </c>
      <c r="U43" s="172">
        <v>0</v>
      </c>
      <c r="V43" s="172"/>
      <c r="W43" s="172"/>
      <c r="Z43" s="172">
        <v>863</v>
      </c>
      <c r="AA43" s="172">
        <v>1200</v>
      </c>
      <c r="AB43" s="172">
        <v>10</v>
      </c>
      <c r="AE43" s="172"/>
      <c r="AF43" s="172"/>
      <c r="AI43" s="172"/>
      <c r="AJ43" s="172"/>
      <c r="AM43" s="172"/>
      <c r="AN43" s="172"/>
      <c r="AQ43" s="172"/>
      <c r="AR43" s="172"/>
      <c r="AU43" s="172"/>
      <c r="AV43" s="172"/>
      <c r="AY43" s="172"/>
      <c r="AZ43" s="172"/>
      <c r="BC43" s="172"/>
      <c r="BD43" s="172"/>
      <c r="BH43" s="172">
        <v>2</v>
      </c>
    </row>
    <row r="44" spans="1:65" ht="14.5">
      <c r="A44" s="172">
        <v>2020011</v>
      </c>
      <c r="B44" s="172">
        <v>41</v>
      </c>
      <c r="C44" s="172">
        <v>202</v>
      </c>
      <c r="D44" s="172" t="s">
        <v>154</v>
      </c>
      <c r="E44" s="172">
        <v>11</v>
      </c>
      <c r="F44" s="172" t="s">
        <v>187</v>
      </c>
      <c r="H44" s="173"/>
      <c r="I44" s="172">
        <v>1</v>
      </c>
      <c r="J44" s="177">
        <v>4860</v>
      </c>
      <c r="K44" s="177">
        <v>52000</v>
      </c>
      <c r="L44" s="177">
        <v>100000</v>
      </c>
      <c r="M44" s="177">
        <v>52000</v>
      </c>
      <c r="N44" s="177">
        <v>52000</v>
      </c>
      <c r="O44" s="172"/>
      <c r="P44" s="172"/>
      <c r="Q44" s="172" t="s">
        <v>1318</v>
      </c>
      <c r="R44" s="172" t="s">
        <v>1329</v>
      </c>
      <c r="S44" s="172">
        <v>1</v>
      </c>
      <c r="T44" s="172">
        <v>0</v>
      </c>
      <c r="U44" s="172">
        <v>0</v>
      </c>
      <c r="V44" s="172"/>
      <c r="W44" s="172"/>
      <c r="Z44" s="172">
        <v>1385</v>
      </c>
      <c r="AA44" s="172">
        <v>1200</v>
      </c>
      <c r="AB44" s="172">
        <v>11</v>
      </c>
      <c r="AE44" s="172"/>
      <c r="AF44" s="172"/>
      <c r="AI44" s="172"/>
      <c r="AJ44" s="172"/>
      <c r="AM44" s="172"/>
      <c r="AN44" s="172"/>
      <c r="AQ44" s="172"/>
      <c r="AR44" s="172"/>
      <c r="AU44" s="172"/>
      <c r="AV44" s="172"/>
      <c r="AY44" s="172"/>
      <c r="AZ44" s="172"/>
      <c r="BC44" s="172"/>
      <c r="BD44" s="172"/>
      <c r="BH44" s="172">
        <v>2</v>
      </c>
    </row>
    <row r="45" spans="1:65" ht="14.5">
      <c r="A45" s="172">
        <v>2020012</v>
      </c>
      <c r="B45" s="172">
        <v>42</v>
      </c>
      <c r="C45" s="172">
        <v>202</v>
      </c>
      <c r="D45" s="172" t="s">
        <v>154</v>
      </c>
      <c r="E45" s="172">
        <v>12</v>
      </c>
      <c r="F45" s="172" t="s">
        <v>190</v>
      </c>
      <c r="H45" s="173"/>
      <c r="I45" s="172">
        <v>2</v>
      </c>
      <c r="J45" s="177">
        <v>6480</v>
      </c>
      <c r="K45" s="177">
        <v>75000</v>
      </c>
      <c r="L45" s="177">
        <v>150000</v>
      </c>
      <c r="M45" s="177">
        <v>75000</v>
      </c>
      <c r="N45" s="177">
        <v>75000</v>
      </c>
      <c r="O45" s="172"/>
      <c r="P45" s="172"/>
      <c r="Q45" s="172" t="s">
        <v>1318</v>
      </c>
      <c r="R45" s="172" t="s">
        <v>1330</v>
      </c>
      <c r="S45" s="172">
        <v>1</v>
      </c>
      <c r="T45" s="172">
        <v>0</v>
      </c>
      <c r="U45" s="172">
        <v>0</v>
      </c>
      <c r="V45" s="172"/>
      <c r="W45" s="172"/>
      <c r="Z45" s="172">
        <v>2136</v>
      </c>
      <c r="AA45" s="172">
        <v>1200</v>
      </c>
      <c r="AB45" s="172">
        <v>12</v>
      </c>
      <c r="AE45" s="172"/>
      <c r="AF45" s="172"/>
      <c r="AI45" s="172"/>
      <c r="AJ45" s="172"/>
      <c r="AM45" s="172"/>
      <c r="AN45" s="172"/>
      <c r="AQ45" s="172"/>
      <c r="AR45" s="172"/>
      <c r="AU45" s="172"/>
      <c r="AV45" s="172"/>
      <c r="AY45" s="172"/>
      <c r="AZ45" s="172"/>
      <c r="BC45" s="172"/>
      <c r="BD45" s="172"/>
      <c r="BH45" s="172">
        <v>2</v>
      </c>
    </row>
    <row r="46" spans="1:65" ht="14.5">
      <c r="A46" s="172">
        <v>2020013</v>
      </c>
      <c r="B46" s="172">
        <v>43</v>
      </c>
      <c r="C46" s="172">
        <v>202</v>
      </c>
      <c r="D46" s="172" t="s">
        <v>154</v>
      </c>
      <c r="E46" s="172">
        <v>13</v>
      </c>
      <c r="F46" s="172" t="s">
        <v>192</v>
      </c>
      <c r="H46" s="173"/>
      <c r="I46" s="172">
        <v>2</v>
      </c>
      <c r="J46" s="177">
        <v>8640</v>
      </c>
      <c r="K46" s="177">
        <v>100000</v>
      </c>
      <c r="L46" s="177">
        <v>210000</v>
      </c>
      <c r="M46" s="177">
        <v>100000</v>
      </c>
      <c r="N46" s="177">
        <v>100000</v>
      </c>
      <c r="O46" s="172"/>
      <c r="P46" s="172"/>
      <c r="Q46" s="172" t="s">
        <v>1318</v>
      </c>
      <c r="R46" s="172" t="s">
        <v>1331</v>
      </c>
      <c r="S46" s="172">
        <v>1</v>
      </c>
      <c r="T46" s="172">
        <v>0</v>
      </c>
      <c r="U46" s="172">
        <v>0</v>
      </c>
      <c r="V46" s="172"/>
      <c r="W46" s="172"/>
      <c r="Z46" s="172">
        <v>3166</v>
      </c>
      <c r="AA46" s="172">
        <v>1200</v>
      </c>
      <c r="AB46" s="172">
        <v>13</v>
      </c>
      <c r="AE46" s="172"/>
      <c r="AF46" s="172"/>
      <c r="AI46" s="172"/>
      <c r="AJ46" s="172"/>
      <c r="AM46" s="172"/>
      <c r="AN46" s="172"/>
      <c r="AQ46" s="172"/>
      <c r="AR46" s="172"/>
      <c r="AU46" s="172"/>
      <c r="AV46" s="172"/>
      <c r="AY46" s="172"/>
      <c r="AZ46" s="172"/>
      <c r="BC46" s="172"/>
      <c r="BD46" s="172"/>
      <c r="BH46" s="172">
        <v>2</v>
      </c>
    </row>
    <row r="47" spans="1:65" ht="14.5">
      <c r="A47" s="172">
        <v>2020014</v>
      </c>
      <c r="B47" s="172">
        <v>44</v>
      </c>
      <c r="C47" s="172">
        <v>202</v>
      </c>
      <c r="D47" s="172" t="s">
        <v>154</v>
      </c>
      <c r="E47" s="172">
        <v>14</v>
      </c>
      <c r="F47" s="172" t="s">
        <v>193</v>
      </c>
      <c r="H47" s="173"/>
      <c r="I47" s="172">
        <v>2</v>
      </c>
      <c r="J47" s="177">
        <v>10800</v>
      </c>
      <c r="K47" s="177">
        <v>130000</v>
      </c>
      <c r="L47" s="177">
        <v>270000</v>
      </c>
      <c r="M47" s="177">
        <v>130000</v>
      </c>
      <c r="N47" s="177">
        <v>130000</v>
      </c>
      <c r="O47" s="172"/>
      <c r="P47" s="172"/>
      <c r="Q47" s="172" t="s">
        <v>1318</v>
      </c>
      <c r="R47" s="172" t="s">
        <v>1332</v>
      </c>
      <c r="S47" s="172">
        <v>1</v>
      </c>
      <c r="T47" s="172">
        <v>0</v>
      </c>
      <c r="U47" s="172">
        <v>0</v>
      </c>
      <c r="V47" s="172"/>
      <c r="W47" s="172"/>
      <c r="Z47" s="172">
        <v>4505</v>
      </c>
      <c r="AA47" s="172">
        <v>1200</v>
      </c>
      <c r="AB47" s="172">
        <v>14</v>
      </c>
      <c r="AE47" s="172"/>
      <c r="AF47" s="172"/>
      <c r="AI47" s="172"/>
      <c r="AJ47" s="172"/>
      <c r="AM47" s="172"/>
      <c r="AN47" s="172"/>
      <c r="AQ47" s="172"/>
      <c r="AR47" s="172"/>
      <c r="AU47" s="172"/>
      <c r="AV47" s="172"/>
      <c r="AY47" s="172"/>
      <c r="AZ47" s="172"/>
      <c r="BC47" s="172"/>
      <c r="BD47" s="172"/>
      <c r="BH47" s="172">
        <v>2</v>
      </c>
    </row>
    <row r="48" spans="1:65" ht="14.5">
      <c r="A48" s="172">
        <v>2020015</v>
      </c>
      <c r="B48" s="172">
        <v>45</v>
      </c>
      <c r="C48" s="172">
        <v>202</v>
      </c>
      <c r="D48" s="172" t="s">
        <v>154</v>
      </c>
      <c r="E48" s="172">
        <v>15</v>
      </c>
      <c r="F48" s="172" t="s">
        <v>196</v>
      </c>
      <c r="H48" s="173"/>
      <c r="I48" s="172">
        <v>2</v>
      </c>
      <c r="J48" s="177">
        <v>12960</v>
      </c>
      <c r="K48" s="177">
        <v>170000</v>
      </c>
      <c r="L48" s="177">
        <v>340000</v>
      </c>
      <c r="M48" s="177">
        <v>170000</v>
      </c>
      <c r="N48" s="177">
        <v>170000</v>
      </c>
      <c r="O48" s="172"/>
      <c r="P48" s="172"/>
      <c r="Q48" s="172" t="s">
        <v>1318</v>
      </c>
      <c r="R48" s="172" t="s">
        <v>1333</v>
      </c>
      <c r="S48" s="172">
        <v>1</v>
      </c>
      <c r="T48" s="172">
        <v>0</v>
      </c>
      <c r="U48" s="172">
        <v>0</v>
      </c>
      <c r="V48" s="172"/>
      <c r="W48" s="172"/>
      <c r="Z48" s="172">
        <v>6219</v>
      </c>
      <c r="AA48" s="172">
        <v>1200</v>
      </c>
      <c r="AB48" s="172">
        <v>15</v>
      </c>
      <c r="AE48" s="172"/>
      <c r="AF48" s="172"/>
      <c r="AI48" s="172"/>
      <c r="AJ48" s="172"/>
      <c r="AM48" s="172"/>
      <c r="AN48" s="172"/>
      <c r="AQ48" s="172"/>
      <c r="AR48" s="172"/>
      <c r="AU48" s="172"/>
      <c r="AV48" s="172"/>
      <c r="AY48" s="172"/>
      <c r="AZ48" s="172"/>
      <c r="BC48" s="172"/>
      <c r="BD48" s="172"/>
      <c r="BH48" s="172">
        <v>2</v>
      </c>
    </row>
    <row r="49" spans="1:69" ht="14.5">
      <c r="A49" s="172">
        <v>2020016</v>
      </c>
      <c r="B49" s="172">
        <v>46</v>
      </c>
      <c r="C49" s="172">
        <v>202</v>
      </c>
      <c r="D49" s="172" t="s">
        <v>154</v>
      </c>
      <c r="E49" s="172">
        <v>16</v>
      </c>
      <c r="F49" s="172" t="s">
        <v>197</v>
      </c>
      <c r="H49" s="173"/>
      <c r="I49" s="172">
        <v>2</v>
      </c>
      <c r="J49" s="177">
        <v>16200</v>
      </c>
      <c r="K49" s="177">
        <v>220000</v>
      </c>
      <c r="L49" s="177">
        <v>440000</v>
      </c>
      <c r="M49" s="177">
        <v>220000</v>
      </c>
      <c r="N49" s="177">
        <v>220000</v>
      </c>
      <c r="O49" s="172"/>
      <c r="P49" s="172"/>
      <c r="Q49" s="172" t="s">
        <v>1318</v>
      </c>
      <c r="R49" s="172" t="s">
        <v>1334</v>
      </c>
      <c r="S49" s="172">
        <v>1</v>
      </c>
      <c r="T49" s="172">
        <v>0</v>
      </c>
      <c r="U49" s="172">
        <v>0</v>
      </c>
      <c r="V49" s="172"/>
      <c r="W49" s="172"/>
      <c r="Z49" s="172">
        <v>8413</v>
      </c>
      <c r="AA49" s="172">
        <v>1200</v>
      </c>
      <c r="AB49" s="172">
        <v>16</v>
      </c>
      <c r="AE49" s="172"/>
      <c r="AF49" s="172"/>
      <c r="AI49" s="172"/>
      <c r="AJ49" s="172"/>
      <c r="AM49" s="172"/>
      <c r="AN49" s="172"/>
      <c r="AQ49" s="172"/>
      <c r="AR49" s="172"/>
      <c r="AU49" s="172"/>
      <c r="AV49" s="172"/>
      <c r="AY49" s="172"/>
      <c r="AZ49" s="172"/>
      <c r="BC49" s="172"/>
      <c r="BD49" s="172"/>
      <c r="BH49" s="172">
        <v>2</v>
      </c>
    </row>
    <row r="50" spans="1:69" ht="14.5">
      <c r="A50" s="172">
        <v>2020017</v>
      </c>
      <c r="B50" s="172">
        <v>47</v>
      </c>
      <c r="C50" s="172">
        <v>202</v>
      </c>
      <c r="D50" s="172" t="s">
        <v>154</v>
      </c>
      <c r="E50" s="172">
        <v>17</v>
      </c>
      <c r="F50" s="172" t="s">
        <v>198</v>
      </c>
      <c r="H50" s="173"/>
      <c r="I50" s="172">
        <v>2</v>
      </c>
      <c r="J50" s="177">
        <v>21600</v>
      </c>
      <c r="K50" s="177">
        <v>280000</v>
      </c>
      <c r="L50" s="177">
        <v>560000</v>
      </c>
      <c r="M50" s="177">
        <v>280000</v>
      </c>
      <c r="N50" s="177">
        <v>280000</v>
      </c>
      <c r="O50" s="172"/>
      <c r="P50" s="172"/>
      <c r="Q50" s="172" t="s">
        <v>1318</v>
      </c>
      <c r="R50" s="172" t="s">
        <v>1335</v>
      </c>
      <c r="S50" s="172">
        <v>1</v>
      </c>
      <c r="T50" s="172">
        <v>0</v>
      </c>
      <c r="U50" s="172">
        <v>0</v>
      </c>
      <c r="V50" s="172"/>
      <c r="W50" s="172"/>
      <c r="Z50" s="172">
        <v>11221</v>
      </c>
      <c r="AA50" s="172">
        <v>1200</v>
      </c>
      <c r="AB50" s="172">
        <v>17</v>
      </c>
      <c r="AE50" s="172"/>
      <c r="AF50" s="172"/>
      <c r="AI50" s="172"/>
      <c r="AJ50" s="172"/>
      <c r="AM50" s="172"/>
      <c r="AN50" s="172"/>
      <c r="AQ50" s="172"/>
      <c r="AR50" s="172"/>
      <c r="AU50" s="172"/>
      <c r="AV50" s="172"/>
      <c r="AY50" s="172"/>
      <c r="AZ50" s="172"/>
      <c r="BC50" s="172"/>
      <c r="BD50" s="172"/>
      <c r="BH50" s="172">
        <v>2</v>
      </c>
    </row>
    <row r="51" spans="1:69" ht="14.5">
      <c r="A51" s="172">
        <v>2020018</v>
      </c>
      <c r="B51" s="172">
        <v>48</v>
      </c>
      <c r="C51" s="172">
        <v>202</v>
      </c>
      <c r="D51" s="172" t="s">
        <v>154</v>
      </c>
      <c r="E51" s="172">
        <v>18</v>
      </c>
      <c r="F51" s="172" t="s">
        <v>199</v>
      </c>
      <c r="H51" s="173"/>
      <c r="I51" s="172">
        <v>2</v>
      </c>
      <c r="J51" s="177">
        <v>28080</v>
      </c>
      <c r="K51" s="177">
        <v>360000</v>
      </c>
      <c r="L51" s="177">
        <v>720000</v>
      </c>
      <c r="M51" s="177">
        <v>360000</v>
      </c>
      <c r="N51" s="177">
        <v>360000</v>
      </c>
      <c r="O51" s="172"/>
      <c r="P51" s="172"/>
      <c r="Q51" s="172" t="s">
        <v>1318</v>
      </c>
      <c r="R51" s="172" t="s">
        <v>1336</v>
      </c>
      <c r="S51" s="172">
        <v>1</v>
      </c>
      <c r="T51" s="172">
        <v>0</v>
      </c>
      <c r="U51" s="172">
        <v>0</v>
      </c>
      <c r="V51" s="172"/>
      <c r="W51" s="172"/>
      <c r="Z51" s="172">
        <v>14816</v>
      </c>
      <c r="AA51" s="172">
        <v>1200</v>
      </c>
      <c r="AB51" s="172">
        <v>18</v>
      </c>
      <c r="AE51" s="172"/>
      <c r="AF51" s="172"/>
      <c r="AI51" s="172"/>
      <c r="AJ51" s="172"/>
      <c r="AM51" s="172"/>
      <c r="AN51" s="172"/>
      <c r="AQ51" s="172"/>
      <c r="AR51" s="172"/>
      <c r="AU51" s="172"/>
      <c r="AV51" s="172"/>
      <c r="AY51" s="172"/>
      <c r="AZ51" s="172"/>
      <c r="BC51" s="172"/>
      <c r="BD51" s="172"/>
      <c r="BH51" s="172">
        <v>2</v>
      </c>
    </row>
    <row r="52" spans="1:69" ht="14.5">
      <c r="A52" s="172">
        <v>2020019</v>
      </c>
      <c r="B52" s="172">
        <v>49</v>
      </c>
      <c r="C52" s="172">
        <v>202</v>
      </c>
      <c r="D52" s="172" t="s">
        <v>154</v>
      </c>
      <c r="E52" s="172">
        <v>19</v>
      </c>
      <c r="F52" s="172" t="s">
        <v>200</v>
      </c>
      <c r="H52" s="173"/>
      <c r="I52" s="172">
        <v>2</v>
      </c>
      <c r="J52" s="177">
        <v>36720</v>
      </c>
      <c r="K52" s="177">
        <v>460000</v>
      </c>
      <c r="L52" s="177">
        <v>920000</v>
      </c>
      <c r="M52" s="177">
        <v>460000</v>
      </c>
      <c r="N52" s="177">
        <v>460000</v>
      </c>
      <c r="O52" s="172"/>
      <c r="P52" s="172"/>
      <c r="Q52" s="172" t="s">
        <v>1318</v>
      </c>
      <c r="R52" s="172" t="s">
        <v>1337</v>
      </c>
      <c r="S52" s="172">
        <v>1</v>
      </c>
      <c r="T52" s="172">
        <v>0</v>
      </c>
      <c r="U52" s="172">
        <v>0</v>
      </c>
      <c r="V52" s="172"/>
      <c r="W52" s="172"/>
      <c r="Z52" s="172">
        <v>19416</v>
      </c>
      <c r="AA52" s="172">
        <v>1200</v>
      </c>
      <c r="AB52" s="172">
        <v>19</v>
      </c>
      <c r="AE52" s="172"/>
      <c r="AF52" s="172"/>
      <c r="AI52" s="172"/>
      <c r="AJ52" s="172"/>
      <c r="AM52" s="172"/>
      <c r="AN52" s="172"/>
      <c r="AQ52" s="172"/>
      <c r="AR52" s="172"/>
      <c r="AU52" s="172"/>
      <c r="AV52" s="172"/>
      <c r="AY52" s="172"/>
      <c r="AZ52" s="172"/>
      <c r="BC52" s="172"/>
      <c r="BD52" s="172"/>
      <c r="BH52" s="172">
        <v>2</v>
      </c>
    </row>
    <row r="53" spans="1:69" ht="14.5">
      <c r="A53" s="172">
        <v>2020020</v>
      </c>
      <c r="B53" s="172">
        <v>50</v>
      </c>
      <c r="C53" s="172">
        <v>202</v>
      </c>
      <c r="D53" s="172" t="s">
        <v>154</v>
      </c>
      <c r="E53" s="172">
        <v>20</v>
      </c>
      <c r="F53" s="172" t="s">
        <v>201</v>
      </c>
      <c r="H53" s="173"/>
      <c r="I53" s="172">
        <v>3</v>
      </c>
      <c r="J53" s="177">
        <v>51840</v>
      </c>
      <c r="K53" s="177">
        <v>590000</v>
      </c>
      <c r="L53" s="177">
        <v>1200000</v>
      </c>
      <c r="M53" s="177">
        <v>590000</v>
      </c>
      <c r="N53" s="177">
        <v>590000</v>
      </c>
      <c r="O53" s="172"/>
      <c r="P53" s="172"/>
      <c r="Q53" s="172" t="s">
        <v>1318</v>
      </c>
      <c r="R53" s="172" t="s">
        <v>1338</v>
      </c>
      <c r="S53" s="172">
        <v>1</v>
      </c>
      <c r="T53" s="172">
        <v>0</v>
      </c>
      <c r="U53" s="172">
        <v>0</v>
      </c>
      <c r="V53" s="172"/>
      <c r="W53" s="172"/>
      <c r="Z53" s="172">
        <v>25305</v>
      </c>
      <c r="AA53" s="172">
        <v>1200</v>
      </c>
      <c r="AB53" s="172">
        <v>20</v>
      </c>
      <c r="AE53" s="172"/>
      <c r="AF53" s="172"/>
      <c r="AI53" s="172"/>
      <c r="AJ53" s="172"/>
      <c r="AM53" s="172"/>
      <c r="AN53" s="172"/>
      <c r="AQ53" s="172"/>
      <c r="AR53" s="172"/>
      <c r="AU53" s="172"/>
      <c r="AV53" s="172"/>
      <c r="AY53" s="172"/>
      <c r="AZ53" s="172"/>
      <c r="BC53" s="172"/>
      <c r="BD53" s="172"/>
      <c r="BH53" s="172">
        <v>2</v>
      </c>
    </row>
    <row r="54" spans="1:69" ht="14.5">
      <c r="A54" s="172">
        <v>2020021</v>
      </c>
      <c r="B54" s="172">
        <v>51</v>
      </c>
      <c r="C54" s="172">
        <v>202</v>
      </c>
      <c r="D54" s="172" t="s">
        <v>154</v>
      </c>
      <c r="E54" s="172">
        <v>21</v>
      </c>
      <c r="F54" s="172" t="s">
        <v>1339</v>
      </c>
      <c r="H54" s="173"/>
      <c r="I54" s="172">
        <v>3</v>
      </c>
      <c r="J54" s="177">
        <v>69120</v>
      </c>
      <c r="K54" s="177">
        <v>750000</v>
      </c>
      <c r="L54" s="177">
        <v>1500000</v>
      </c>
      <c r="M54" s="177">
        <v>750000</v>
      </c>
      <c r="N54" s="177">
        <v>750000</v>
      </c>
      <c r="O54" s="172"/>
      <c r="P54" s="172"/>
      <c r="Q54" s="172" t="s">
        <v>1318</v>
      </c>
      <c r="R54" s="172" t="s">
        <v>1340</v>
      </c>
      <c r="S54" s="172">
        <v>1</v>
      </c>
      <c r="T54" s="172">
        <v>0</v>
      </c>
      <c r="U54" s="172">
        <v>0</v>
      </c>
      <c r="V54" s="172"/>
      <c r="W54" s="172"/>
      <c r="Z54" s="172">
        <v>32843</v>
      </c>
      <c r="AA54" s="172">
        <v>1200</v>
      </c>
      <c r="AB54" s="172">
        <v>21</v>
      </c>
      <c r="AE54" s="172"/>
      <c r="AF54" s="172"/>
      <c r="AI54" s="172"/>
      <c r="AJ54" s="172"/>
      <c r="AM54" s="172"/>
      <c r="AN54" s="172"/>
      <c r="AQ54" s="172"/>
      <c r="AR54" s="172"/>
      <c r="AU54" s="172"/>
      <c r="AV54" s="172"/>
      <c r="AY54" s="172"/>
      <c r="AZ54" s="172"/>
      <c r="BC54" s="172"/>
      <c r="BD54" s="172"/>
      <c r="BH54" s="172">
        <v>2</v>
      </c>
    </row>
    <row r="55" spans="1:69" ht="14.5">
      <c r="A55" s="172">
        <v>2020022</v>
      </c>
      <c r="B55" s="172">
        <v>52</v>
      </c>
      <c r="C55" s="172">
        <v>202</v>
      </c>
      <c r="D55" s="172" t="s">
        <v>154</v>
      </c>
      <c r="E55" s="172">
        <v>22</v>
      </c>
      <c r="F55" s="172" t="s">
        <v>1341</v>
      </c>
      <c r="H55" s="173"/>
      <c r="I55" s="172">
        <v>3</v>
      </c>
      <c r="J55" s="177">
        <v>90720</v>
      </c>
      <c r="K55" s="177">
        <v>960000</v>
      </c>
      <c r="L55" s="177">
        <v>1900000</v>
      </c>
      <c r="M55" s="177">
        <v>960000</v>
      </c>
      <c r="N55" s="177">
        <v>960000</v>
      </c>
      <c r="O55" s="172"/>
      <c r="P55" s="172"/>
      <c r="Q55" s="172" t="s">
        <v>1318</v>
      </c>
      <c r="R55" s="172" t="s">
        <v>1342</v>
      </c>
      <c r="S55" s="172">
        <v>1</v>
      </c>
      <c r="T55" s="172">
        <v>0</v>
      </c>
      <c r="U55" s="172">
        <v>0</v>
      </c>
      <c r="V55" s="172"/>
      <c r="W55" s="172"/>
      <c r="Z55" s="172">
        <v>42492</v>
      </c>
      <c r="AA55" s="172">
        <v>1200</v>
      </c>
      <c r="AB55" s="172">
        <v>22</v>
      </c>
      <c r="AE55" s="172"/>
      <c r="AF55" s="172"/>
      <c r="AI55" s="172"/>
      <c r="AJ55" s="172"/>
      <c r="AM55" s="172"/>
      <c r="AN55" s="172"/>
      <c r="AQ55" s="172"/>
      <c r="AR55" s="172"/>
      <c r="AU55" s="172"/>
      <c r="AV55" s="172"/>
      <c r="AY55" s="172"/>
      <c r="AZ55" s="172"/>
      <c r="BC55" s="172"/>
      <c r="BD55" s="172"/>
      <c r="BH55" s="172">
        <v>2</v>
      </c>
    </row>
    <row r="56" spans="1:69" ht="14.5">
      <c r="A56" s="172">
        <v>2020023</v>
      </c>
      <c r="B56" s="172">
        <v>53</v>
      </c>
      <c r="C56" s="172">
        <v>202</v>
      </c>
      <c r="D56" s="172" t="s">
        <v>154</v>
      </c>
      <c r="E56" s="172">
        <v>23</v>
      </c>
      <c r="F56" s="172" t="s">
        <v>1343</v>
      </c>
      <c r="H56" s="173"/>
      <c r="I56" s="172">
        <v>3</v>
      </c>
      <c r="J56" s="177">
        <v>116640</v>
      </c>
      <c r="K56" s="177">
        <v>1200000</v>
      </c>
      <c r="L56" s="177">
        <v>2500000</v>
      </c>
      <c r="M56" s="177">
        <v>1200000</v>
      </c>
      <c r="N56" s="177">
        <v>1200000</v>
      </c>
      <c r="O56" s="172"/>
      <c r="P56" s="172"/>
      <c r="Q56" s="172" t="s">
        <v>1318</v>
      </c>
      <c r="R56" s="172" t="s">
        <v>1344</v>
      </c>
      <c r="S56" s="172">
        <v>1</v>
      </c>
      <c r="T56" s="172">
        <v>0</v>
      </c>
      <c r="U56" s="172">
        <v>0</v>
      </c>
      <c r="V56" s="172"/>
      <c r="W56" s="172"/>
      <c r="Z56" s="172">
        <v>54842</v>
      </c>
      <c r="AA56" s="172">
        <v>1200</v>
      </c>
      <c r="AB56" s="172">
        <v>23</v>
      </c>
      <c r="AE56" s="172"/>
      <c r="AF56" s="172"/>
      <c r="AI56" s="172"/>
      <c r="AJ56" s="172"/>
      <c r="AM56" s="172"/>
      <c r="AN56" s="172"/>
      <c r="AQ56" s="172"/>
      <c r="AR56" s="172"/>
      <c r="AU56" s="172"/>
      <c r="AV56" s="172"/>
      <c r="AY56" s="172"/>
      <c r="AZ56" s="172"/>
      <c r="BC56" s="172"/>
      <c r="BD56" s="172"/>
      <c r="BH56" s="172">
        <v>2</v>
      </c>
    </row>
    <row r="57" spans="1:69" ht="14.5">
      <c r="A57" s="172">
        <v>2020024</v>
      </c>
      <c r="B57" s="172">
        <v>54</v>
      </c>
      <c r="C57" s="172">
        <v>202</v>
      </c>
      <c r="D57" s="172" t="s">
        <v>154</v>
      </c>
      <c r="E57" s="172">
        <v>24</v>
      </c>
      <c r="F57" s="172" t="s">
        <v>1345</v>
      </c>
      <c r="H57" s="173"/>
      <c r="I57" s="172">
        <v>3</v>
      </c>
      <c r="J57" s="177">
        <v>149040</v>
      </c>
      <c r="K57" s="177">
        <v>1600000</v>
      </c>
      <c r="L57" s="177">
        <v>3200000</v>
      </c>
      <c r="M57" s="177">
        <v>1600000</v>
      </c>
      <c r="N57" s="177">
        <v>1600000</v>
      </c>
      <c r="O57" s="172"/>
      <c r="P57" s="172"/>
      <c r="Q57" s="172" t="s">
        <v>1318</v>
      </c>
      <c r="R57" s="172" t="s">
        <v>1346</v>
      </c>
      <c r="S57" s="172">
        <v>1</v>
      </c>
      <c r="T57" s="172">
        <v>0</v>
      </c>
      <c r="U57" s="172">
        <v>0</v>
      </c>
      <c r="V57" s="172"/>
      <c r="W57" s="172"/>
      <c r="Z57" s="172">
        <v>70650</v>
      </c>
      <c r="AA57" s="172">
        <v>1200</v>
      </c>
      <c r="AB57" s="172">
        <v>24</v>
      </c>
      <c r="AE57" s="172"/>
      <c r="AF57" s="172"/>
      <c r="AI57" s="172"/>
      <c r="AJ57" s="172"/>
      <c r="AM57" s="172"/>
      <c r="AN57" s="172"/>
      <c r="AQ57" s="172"/>
      <c r="AR57" s="172"/>
      <c r="AU57" s="172"/>
      <c r="AV57" s="172"/>
      <c r="AY57" s="172"/>
      <c r="AZ57" s="172"/>
      <c r="BC57" s="172"/>
      <c r="BD57" s="172"/>
      <c r="BH57" s="172">
        <v>2</v>
      </c>
    </row>
    <row r="58" spans="1:69" ht="14.5">
      <c r="A58" s="172">
        <v>2020025</v>
      </c>
      <c r="B58" s="172">
        <v>55</v>
      </c>
      <c r="C58" s="172">
        <v>202</v>
      </c>
      <c r="D58" s="172" t="s">
        <v>154</v>
      </c>
      <c r="E58" s="172">
        <v>25</v>
      </c>
      <c r="F58" s="172" t="s">
        <v>1347</v>
      </c>
      <c r="H58" s="173"/>
      <c r="I58" s="172">
        <v>3</v>
      </c>
      <c r="J58" s="177">
        <v>187920</v>
      </c>
      <c r="K58" s="177">
        <v>2000000</v>
      </c>
      <c r="L58" s="177">
        <v>4000000</v>
      </c>
      <c r="M58" s="177">
        <v>2000000</v>
      </c>
      <c r="N58" s="177">
        <v>2000000</v>
      </c>
      <c r="O58" s="172"/>
      <c r="P58" s="172"/>
      <c r="Q58" s="172" t="s">
        <v>1318</v>
      </c>
      <c r="R58" s="172" t="s">
        <v>1348</v>
      </c>
      <c r="S58" s="172">
        <v>1</v>
      </c>
      <c r="T58" s="172">
        <v>0</v>
      </c>
      <c r="U58" s="172">
        <v>0</v>
      </c>
      <c r="V58" s="172"/>
      <c r="W58" s="172"/>
      <c r="Z58" s="172">
        <v>90884</v>
      </c>
      <c r="AA58" s="172">
        <v>1200</v>
      </c>
      <c r="AB58" s="172">
        <v>25</v>
      </c>
      <c r="AE58" s="172"/>
      <c r="AF58" s="172"/>
      <c r="AI58" s="172"/>
      <c r="AJ58" s="172"/>
      <c r="AM58" s="172"/>
      <c r="AN58" s="172"/>
      <c r="AQ58" s="172"/>
      <c r="AR58" s="172"/>
      <c r="AU58" s="172"/>
      <c r="AV58" s="172"/>
      <c r="AY58" s="172"/>
      <c r="AZ58" s="172"/>
      <c r="BC58" s="172"/>
      <c r="BD58" s="172"/>
      <c r="BH58" s="172">
        <v>2</v>
      </c>
    </row>
    <row r="59" spans="1:69" ht="14.5">
      <c r="A59" s="172">
        <v>2020026</v>
      </c>
      <c r="B59" s="172">
        <v>56</v>
      </c>
      <c r="C59" s="172">
        <v>202</v>
      </c>
      <c r="D59" s="172" t="s">
        <v>154</v>
      </c>
      <c r="E59" s="172">
        <v>26</v>
      </c>
      <c r="F59" s="172" t="s">
        <v>1349</v>
      </c>
      <c r="H59" s="173"/>
      <c r="I59" s="172">
        <v>3</v>
      </c>
      <c r="J59" s="177">
        <v>233280</v>
      </c>
      <c r="K59" s="177">
        <v>2600000</v>
      </c>
      <c r="L59" s="177">
        <v>5200000</v>
      </c>
      <c r="M59" s="177">
        <v>2600000</v>
      </c>
      <c r="N59" s="177">
        <v>2600000</v>
      </c>
      <c r="O59" s="172"/>
      <c r="P59" s="172"/>
      <c r="Q59" s="172" t="s">
        <v>1318</v>
      </c>
      <c r="R59" s="172" t="s">
        <v>1350</v>
      </c>
      <c r="S59" s="172">
        <v>1</v>
      </c>
      <c r="T59" s="172">
        <v>0</v>
      </c>
      <c r="U59" s="172">
        <v>0</v>
      </c>
      <c r="V59" s="172"/>
      <c r="W59" s="172"/>
      <c r="Z59" s="172">
        <v>116784</v>
      </c>
      <c r="AA59" s="172">
        <v>1200</v>
      </c>
      <c r="AB59" s="172">
        <v>27</v>
      </c>
      <c r="AE59" s="172"/>
      <c r="AF59" s="172"/>
      <c r="AI59" s="172"/>
      <c r="AJ59" s="172"/>
      <c r="AM59" s="172"/>
      <c r="AN59" s="172"/>
      <c r="AQ59" s="172"/>
      <c r="AR59" s="172"/>
      <c r="AU59" s="172"/>
      <c r="AV59" s="172"/>
      <c r="AY59" s="172"/>
      <c r="AZ59" s="172"/>
      <c r="BC59" s="172"/>
      <c r="BD59" s="172"/>
      <c r="BH59" s="172">
        <v>2</v>
      </c>
    </row>
    <row r="60" spans="1:69" ht="14.5">
      <c r="A60" s="172">
        <v>2020027</v>
      </c>
      <c r="B60" s="172">
        <v>57</v>
      </c>
      <c r="C60" s="172">
        <v>202</v>
      </c>
      <c r="D60" s="172" t="s">
        <v>154</v>
      </c>
      <c r="E60" s="172">
        <v>27</v>
      </c>
      <c r="F60" s="172" t="s">
        <v>1351</v>
      </c>
      <c r="H60" s="173"/>
      <c r="I60" s="172">
        <v>3</v>
      </c>
      <c r="J60" s="177">
        <v>285120</v>
      </c>
      <c r="K60" s="177">
        <v>3300000</v>
      </c>
      <c r="L60" s="177">
        <v>6600000</v>
      </c>
      <c r="M60" s="177">
        <v>3300000</v>
      </c>
      <c r="N60" s="177">
        <v>3300000</v>
      </c>
      <c r="O60" s="172"/>
      <c r="P60" s="172"/>
      <c r="Q60" s="172" t="s">
        <v>1318</v>
      </c>
      <c r="R60" s="172" t="s">
        <v>1352</v>
      </c>
      <c r="S60" s="172">
        <v>1</v>
      </c>
      <c r="T60" s="172">
        <v>0</v>
      </c>
      <c r="U60" s="172">
        <v>0</v>
      </c>
      <c r="V60" s="172"/>
      <c r="W60" s="172"/>
      <c r="Z60" s="172">
        <v>149935</v>
      </c>
      <c r="AA60" s="172">
        <v>1200</v>
      </c>
      <c r="AB60" s="172">
        <v>29</v>
      </c>
      <c r="AE60" s="172"/>
      <c r="AF60" s="172"/>
      <c r="AI60" s="172"/>
      <c r="AJ60" s="172"/>
      <c r="AM60" s="172"/>
      <c r="AN60" s="172"/>
      <c r="AQ60" s="172"/>
      <c r="AR60" s="172"/>
      <c r="AU60" s="172"/>
      <c r="AV60" s="172"/>
      <c r="AY60" s="172"/>
      <c r="AZ60" s="172"/>
      <c r="BC60" s="172"/>
      <c r="BD60" s="172"/>
      <c r="BH60" s="172">
        <v>2</v>
      </c>
    </row>
    <row r="61" spans="1:69" ht="14.5">
      <c r="A61" s="172">
        <v>2020028</v>
      </c>
      <c r="B61" s="172">
        <v>58</v>
      </c>
      <c r="C61" s="172">
        <v>202</v>
      </c>
      <c r="D61" s="172" t="s">
        <v>154</v>
      </c>
      <c r="E61" s="172">
        <v>28</v>
      </c>
      <c r="F61" s="172" t="s">
        <v>1353</v>
      </c>
      <c r="H61" s="173"/>
      <c r="I61" s="172">
        <v>3</v>
      </c>
      <c r="J61" s="177">
        <v>349920</v>
      </c>
      <c r="K61" s="177">
        <v>4200000</v>
      </c>
      <c r="L61" s="177">
        <v>8500000</v>
      </c>
      <c r="M61" s="177">
        <v>4200000</v>
      </c>
      <c r="N61" s="177">
        <v>4200000</v>
      </c>
      <c r="O61" s="172"/>
      <c r="P61" s="172"/>
      <c r="Q61" s="172" t="s">
        <v>1318</v>
      </c>
      <c r="R61" s="172" t="s">
        <v>1354</v>
      </c>
      <c r="S61" s="172">
        <v>1</v>
      </c>
      <c r="T61" s="172">
        <v>0</v>
      </c>
      <c r="U61" s="172">
        <v>0</v>
      </c>
      <c r="V61" s="172"/>
      <c r="W61" s="172"/>
      <c r="Z61" s="172">
        <v>192370</v>
      </c>
      <c r="AA61" s="172">
        <v>1200</v>
      </c>
      <c r="AB61" s="172">
        <v>31</v>
      </c>
      <c r="AE61" s="172"/>
      <c r="AF61" s="172"/>
      <c r="AI61" s="172"/>
      <c r="AJ61" s="172"/>
      <c r="AM61" s="172"/>
      <c r="AN61" s="172"/>
      <c r="AQ61" s="172"/>
      <c r="AR61" s="172"/>
      <c r="AU61" s="172"/>
      <c r="AV61" s="172"/>
      <c r="AY61" s="172"/>
      <c r="AZ61" s="172"/>
      <c r="BC61" s="172"/>
      <c r="BD61" s="172"/>
      <c r="BH61" s="172">
        <v>2</v>
      </c>
    </row>
    <row r="62" spans="1:69" ht="14.5">
      <c r="A62" s="172">
        <v>2020029</v>
      </c>
      <c r="B62" s="172">
        <v>59</v>
      </c>
      <c r="C62" s="172">
        <v>202</v>
      </c>
      <c r="D62" s="172" t="s">
        <v>154</v>
      </c>
      <c r="E62" s="172">
        <v>29</v>
      </c>
      <c r="F62" s="172" t="s">
        <v>1355</v>
      </c>
      <c r="H62" s="173"/>
      <c r="I62" s="172">
        <v>3</v>
      </c>
      <c r="J62" s="177">
        <v>427680</v>
      </c>
      <c r="K62" s="177">
        <v>5400000</v>
      </c>
      <c r="L62" s="177">
        <v>11000000</v>
      </c>
      <c r="M62" s="177">
        <v>5400000</v>
      </c>
      <c r="N62" s="177">
        <v>5400000</v>
      </c>
      <c r="O62" s="172"/>
      <c r="P62" s="172"/>
      <c r="Q62" s="172" t="s">
        <v>1318</v>
      </c>
      <c r="R62" s="172" t="s">
        <v>1356</v>
      </c>
      <c r="S62" s="172">
        <v>1</v>
      </c>
      <c r="T62" s="172">
        <v>0</v>
      </c>
      <c r="U62" s="172">
        <v>0</v>
      </c>
      <c r="V62" s="172"/>
      <c r="W62" s="172"/>
      <c r="Z62" s="172">
        <v>246686</v>
      </c>
      <c r="AA62" s="172">
        <v>1200</v>
      </c>
      <c r="AB62" s="172">
        <v>33</v>
      </c>
      <c r="AE62" s="172"/>
      <c r="AF62" s="172"/>
      <c r="AI62" s="172"/>
      <c r="AJ62" s="172"/>
      <c r="AM62" s="172"/>
      <c r="AN62" s="172"/>
      <c r="AQ62" s="172"/>
      <c r="AR62" s="172"/>
      <c r="AU62" s="172"/>
      <c r="AV62" s="172"/>
      <c r="AY62" s="172"/>
      <c r="AZ62" s="172"/>
      <c r="BC62" s="172"/>
      <c r="BD62" s="172"/>
      <c r="BH62" s="172">
        <v>2</v>
      </c>
    </row>
    <row r="63" spans="1:69" ht="14.5">
      <c r="A63" s="172">
        <v>2020030</v>
      </c>
      <c r="B63" s="172">
        <v>60</v>
      </c>
      <c r="C63" s="172">
        <v>202</v>
      </c>
      <c r="D63" s="172" t="s">
        <v>154</v>
      </c>
      <c r="E63" s="172">
        <v>30</v>
      </c>
      <c r="F63" s="172" t="s">
        <v>1357</v>
      </c>
      <c r="H63" s="173"/>
      <c r="I63" s="172">
        <v>3</v>
      </c>
      <c r="J63" s="177">
        <v>518400</v>
      </c>
      <c r="K63" s="177">
        <v>7000000</v>
      </c>
      <c r="L63" s="177">
        <v>14000000</v>
      </c>
      <c r="M63" s="177">
        <v>7000000</v>
      </c>
      <c r="N63" s="177">
        <v>7000000</v>
      </c>
      <c r="O63" s="172"/>
      <c r="P63" s="172"/>
      <c r="Q63" s="172" t="s">
        <v>1318</v>
      </c>
      <c r="R63" s="172" t="s">
        <v>1358</v>
      </c>
      <c r="S63" s="172">
        <v>1</v>
      </c>
      <c r="T63" s="172">
        <v>0</v>
      </c>
      <c r="U63" s="172">
        <v>0</v>
      </c>
      <c r="V63" s="172"/>
      <c r="W63" s="172"/>
      <c r="Z63" s="172">
        <v>316210</v>
      </c>
      <c r="AA63" s="172">
        <v>1200</v>
      </c>
      <c r="AB63" s="172">
        <v>35</v>
      </c>
      <c r="AE63" s="172"/>
      <c r="AF63" s="172"/>
      <c r="AI63" s="172"/>
      <c r="AJ63" s="172"/>
      <c r="AM63" s="172"/>
      <c r="AN63" s="172"/>
      <c r="AQ63" s="172"/>
      <c r="AR63" s="172"/>
      <c r="AU63" s="172"/>
      <c r="AV63" s="172"/>
      <c r="AY63" s="172"/>
      <c r="AZ63" s="172"/>
      <c r="BC63" s="172"/>
      <c r="BD63" s="172"/>
      <c r="BH63" s="172">
        <v>2</v>
      </c>
    </row>
    <row r="64" spans="1:69" ht="14.5">
      <c r="A64" s="172">
        <v>2030001</v>
      </c>
      <c r="B64" s="172">
        <v>61</v>
      </c>
      <c r="C64" s="172">
        <v>203</v>
      </c>
      <c r="D64" s="172" t="s">
        <v>202</v>
      </c>
      <c r="E64" s="172">
        <v>1</v>
      </c>
      <c r="F64" s="172" t="s">
        <v>203</v>
      </c>
      <c r="H64" s="173"/>
      <c r="I64" s="172" t="s">
        <v>1205</v>
      </c>
      <c r="J64" s="177">
        <v>25</v>
      </c>
      <c r="K64" s="177">
        <v>0</v>
      </c>
      <c r="L64" s="177">
        <v>500</v>
      </c>
      <c r="M64" s="177">
        <v>0</v>
      </c>
      <c r="N64" s="177">
        <v>0</v>
      </c>
      <c r="O64" s="172"/>
      <c r="P64" s="172"/>
      <c r="Q64" s="172" t="s">
        <v>1318</v>
      </c>
      <c r="R64" s="172" t="s">
        <v>229</v>
      </c>
      <c r="S64" s="172">
        <v>1</v>
      </c>
      <c r="T64" s="172">
        <v>0</v>
      </c>
      <c r="U64" s="172">
        <v>0</v>
      </c>
      <c r="V64" s="172" t="s">
        <v>158</v>
      </c>
      <c r="W64" s="172" t="s">
        <v>1359</v>
      </c>
      <c r="Z64" s="172">
        <v>1</v>
      </c>
      <c r="AA64" s="172">
        <v>1015</v>
      </c>
      <c r="AB64" s="172">
        <v>400</v>
      </c>
      <c r="AE64" s="172">
        <v>1206</v>
      </c>
      <c r="AF64" s="172">
        <v>1</v>
      </c>
      <c r="AI64" s="172"/>
      <c r="AJ64" s="172"/>
      <c r="AM64" s="172"/>
      <c r="AN64" s="172"/>
      <c r="AQ64" s="172"/>
      <c r="AR64" s="172"/>
      <c r="AU64" s="172"/>
      <c r="AV64" s="172"/>
      <c r="AY64" s="172"/>
      <c r="AZ64" s="172"/>
      <c r="BC64" s="172"/>
      <c r="BD64" s="172"/>
      <c r="BH64" s="172">
        <v>5</v>
      </c>
      <c r="BM64" s="172">
        <v>3</v>
      </c>
      <c r="BN64" s="172">
        <v>3</v>
      </c>
      <c r="BO64" s="172" t="s">
        <v>1360</v>
      </c>
      <c r="BP64" s="172">
        <v>10003604</v>
      </c>
      <c r="BQ64" s="172">
        <v>300</v>
      </c>
    </row>
    <row r="65" spans="1:69" ht="14.5">
      <c r="A65" s="172">
        <v>2030002</v>
      </c>
      <c r="B65" s="172">
        <v>62</v>
      </c>
      <c r="C65" s="172">
        <v>203</v>
      </c>
      <c r="D65" s="172" t="s">
        <v>202</v>
      </c>
      <c r="E65" s="172">
        <v>2</v>
      </c>
      <c r="F65" s="172" t="s">
        <v>207</v>
      </c>
      <c r="H65" s="173"/>
      <c r="I65" s="172" t="s">
        <v>1205</v>
      </c>
      <c r="J65" s="177">
        <v>25</v>
      </c>
      <c r="K65" s="177">
        <v>0</v>
      </c>
      <c r="L65" s="177">
        <v>1000</v>
      </c>
      <c r="M65" s="177">
        <v>0</v>
      </c>
      <c r="N65" s="177">
        <v>0</v>
      </c>
      <c r="O65" s="172"/>
      <c r="P65" s="172"/>
      <c r="Q65" s="172" t="s">
        <v>1318</v>
      </c>
      <c r="R65" s="172" t="s">
        <v>1320</v>
      </c>
      <c r="S65" s="172">
        <v>1</v>
      </c>
      <c r="T65" s="172">
        <v>0</v>
      </c>
      <c r="U65" s="172">
        <v>0</v>
      </c>
      <c r="V65" s="172"/>
      <c r="W65" s="172"/>
      <c r="Z65" s="172">
        <v>3</v>
      </c>
      <c r="AA65" s="172">
        <v>1015</v>
      </c>
      <c r="AB65" s="172">
        <v>600</v>
      </c>
      <c r="AE65" s="172">
        <v>1206</v>
      </c>
      <c r="AF65" s="172">
        <v>1</v>
      </c>
      <c r="AI65" s="172"/>
      <c r="AJ65" s="172"/>
      <c r="AM65" s="172"/>
      <c r="AN65" s="172"/>
      <c r="AQ65" s="172"/>
      <c r="AR65" s="172"/>
      <c r="AU65" s="172"/>
      <c r="AV65" s="172"/>
      <c r="AY65" s="172"/>
      <c r="AZ65" s="172"/>
      <c r="BC65" s="172"/>
      <c r="BD65" s="172"/>
      <c r="BH65" s="172">
        <v>5</v>
      </c>
      <c r="BN65" s="172">
        <v>3</v>
      </c>
      <c r="BO65" s="172" t="s">
        <v>1360</v>
      </c>
      <c r="BP65" s="172">
        <v>10003604</v>
      </c>
      <c r="BQ65" s="172">
        <v>300</v>
      </c>
    </row>
    <row r="66" spans="1:69" ht="14.5">
      <c r="A66" s="172">
        <v>2030003</v>
      </c>
      <c r="B66" s="172">
        <v>63</v>
      </c>
      <c r="C66" s="172">
        <v>203</v>
      </c>
      <c r="D66" s="172" t="s">
        <v>202</v>
      </c>
      <c r="E66" s="172">
        <v>3</v>
      </c>
      <c r="F66" s="172" t="s">
        <v>208</v>
      </c>
      <c r="H66" s="173"/>
      <c r="I66" s="172" t="s">
        <v>1205</v>
      </c>
      <c r="J66" s="177">
        <v>36</v>
      </c>
      <c r="K66" s="177">
        <v>0</v>
      </c>
      <c r="L66" s="177">
        <v>2000</v>
      </c>
      <c r="M66" s="177">
        <v>0</v>
      </c>
      <c r="N66" s="177">
        <v>0</v>
      </c>
      <c r="O66" s="172"/>
      <c r="P66" s="172"/>
      <c r="Q66" s="172" t="s">
        <v>1318</v>
      </c>
      <c r="R66" s="172" t="s">
        <v>1321</v>
      </c>
      <c r="S66" s="172">
        <v>1</v>
      </c>
      <c r="T66" s="172">
        <v>0</v>
      </c>
      <c r="U66" s="172">
        <v>0</v>
      </c>
      <c r="V66" s="172"/>
      <c r="W66" s="172"/>
      <c r="Z66" s="172">
        <v>7</v>
      </c>
      <c r="AA66" s="172">
        <v>1015</v>
      </c>
      <c r="AB66" s="172">
        <v>800</v>
      </c>
      <c r="AE66" s="172">
        <v>1206</v>
      </c>
      <c r="AF66" s="172">
        <v>1</v>
      </c>
      <c r="AI66" s="172"/>
      <c r="AJ66" s="172"/>
      <c r="AM66" s="172"/>
      <c r="AN66" s="172"/>
      <c r="AQ66" s="172"/>
      <c r="AR66" s="172"/>
      <c r="AU66" s="172"/>
      <c r="AV66" s="172"/>
      <c r="AY66" s="172"/>
      <c r="AZ66" s="172"/>
      <c r="BC66" s="172"/>
      <c r="BD66" s="172"/>
      <c r="BH66" s="172">
        <v>5</v>
      </c>
      <c r="BN66" s="172">
        <v>3</v>
      </c>
      <c r="BO66" s="172" t="s">
        <v>1360</v>
      </c>
      <c r="BP66" s="172">
        <v>10003604</v>
      </c>
      <c r="BQ66" s="172">
        <v>300</v>
      </c>
    </row>
    <row r="67" spans="1:69" ht="14.5">
      <c r="A67" s="172">
        <v>2030004</v>
      </c>
      <c r="B67" s="172">
        <v>64</v>
      </c>
      <c r="C67" s="172">
        <v>203</v>
      </c>
      <c r="D67" s="172" t="s">
        <v>202</v>
      </c>
      <c r="E67" s="172">
        <v>4</v>
      </c>
      <c r="F67" s="172" t="s">
        <v>209</v>
      </c>
      <c r="H67" s="173"/>
      <c r="I67" s="172" t="s">
        <v>1205</v>
      </c>
      <c r="J67" s="177">
        <v>72</v>
      </c>
      <c r="K67" s="177">
        <v>0</v>
      </c>
      <c r="L67" s="177">
        <v>4000</v>
      </c>
      <c r="M67" s="177">
        <v>0</v>
      </c>
      <c r="N67" s="177">
        <v>0</v>
      </c>
      <c r="O67" s="172"/>
      <c r="P67" s="172"/>
      <c r="Q67" s="172" t="s">
        <v>1318</v>
      </c>
      <c r="R67" s="172" t="s">
        <v>1322</v>
      </c>
      <c r="S67" s="172">
        <v>1</v>
      </c>
      <c r="T67" s="172">
        <v>0</v>
      </c>
      <c r="U67" s="172">
        <v>0</v>
      </c>
      <c r="V67" s="172"/>
      <c r="W67" s="172"/>
      <c r="Z67" s="172">
        <v>15</v>
      </c>
      <c r="AA67" s="172">
        <v>1015</v>
      </c>
      <c r="AB67" s="172">
        <v>1000</v>
      </c>
      <c r="AE67" s="172">
        <v>1206</v>
      </c>
      <c r="AF67" s="172">
        <v>1</v>
      </c>
      <c r="AI67" s="172"/>
      <c r="AJ67" s="172"/>
      <c r="AM67" s="172"/>
      <c r="AN67" s="172"/>
      <c r="AQ67" s="172"/>
      <c r="AR67" s="172"/>
      <c r="AU67" s="172"/>
      <c r="AV67" s="172"/>
      <c r="AY67" s="172"/>
      <c r="AZ67" s="172"/>
      <c r="BC67" s="172"/>
      <c r="BD67" s="172"/>
      <c r="BH67" s="172">
        <v>5</v>
      </c>
      <c r="BN67" s="172">
        <v>3</v>
      </c>
      <c r="BO67" s="172" t="s">
        <v>1360</v>
      </c>
      <c r="BP67" s="172">
        <v>10003604</v>
      </c>
      <c r="BQ67" s="172">
        <v>300</v>
      </c>
    </row>
    <row r="68" spans="1:69" ht="14.5">
      <c r="A68" s="172">
        <v>2030005</v>
      </c>
      <c r="B68" s="172">
        <v>65</v>
      </c>
      <c r="C68" s="172">
        <v>203</v>
      </c>
      <c r="D68" s="172" t="s">
        <v>202</v>
      </c>
      <c r="E68" s="172">
        <v>5</v>
      </c>
      <c r="F68" s="172" t="s">
        <v>210</v>
      </c>
      <c r="H68" s="173"/>
      <c r="I68" s="172">
        <v>1</v>
      </c>
      <c r="J68" s="177">
        <v>150</v>
      </c>
      <c r="K68" s="177">
        <v>0</v>
      </c>
      <c r="L68" s="177">
        <v>3900</v>
      </c>
      <c r="M68" s="177">
        <v>3900</v>
      </c>
      <c r="N68" s="177">
        <v>0</v>
      </c>
      <c r="O68" s="172"/>
      <c r="P68" s="172"/>
      <c r="Q68" s="172" t="s">
        <v>1318</v>
      </c>
      <c r="R68" s="172" t="s">
        <v>1323</v>
      </c>
      <c r="S68" s="172">
        <v>1</v>
      </c>
      <c r="T68" s="172">
        <v>0</v>
      </c>
      <c r="U68" s="172">
        <v>0</v>
      </c>
      <c r="V68" s="172"/>
      <c r="W68" s="172"/>
      <c r="Z68" s="172">
        <v>30</v>
      </c>
      <c r="AA68" s="172">
        <v>1015</v>
      </c>
      <c r="AB68" s="172">
        <v>1350</v>
      </c>
      <c r="AE68" s="172">
        <v>1206</v>
      </c>
      <c r="AF68" s="172">
        <v>1</v>
      </c>
      <c r="AI68" s="172"/>
      <c r="AJ68" s="172"/>
      <c r="AM68" s="172"/>
      <c r="AN68" s="172"/>
      <c r="AQ68" s="172"/>
      <c r="AR68" s="172"/>
      <c r="AU68" s="172"/>
      <c r="AV68" s="172"/>
      <c r="AY68" s="172"/>
      <c r="AZ68" s="172"/>
      <c r="BC68" s="172"/>
      <c r="BD68" s="172"/>
      <c r="BH68" s="172">
        <v>5</v>
      </c>
      <c r="BN68" s="172">
        <v>3</v>
      </c>
      <c r="BO68" s="172" t="s">
        <v>1360</v>
      </c>
      <c r="BP68" s="172">
        <v>10003604</v>
      </c>
      <c r="BQ68" s="172">
        <v>300</v>
      </c>
    </row>
    <row r="69" spans="1:69" ht="14.5">
      <c r="A69" s="172">
        <v>2030006</v>
      </c>
      <c r="B69" s="172">
        <v>66</v>
      </c>
      <c r="C69" s="172">
        <v>203</v>
      </c>
      <c r="D69" s="172" t="s">
        <v>202</v>
      </c>
      <c r="E69" s="172">
        <v>6</v>
      </c>
      <c r="F69" s="172" t="s">
        <v>211</v>
      </c>
      <c r="H69" s="173"/>
      <c r="I69" s="172">
        <v>1</v>
      </c>
      <c r="J69" s="177">
        <v>270</v>
      </c>
      <c r="K69" s="177">
        <v>0</v>
      </c>
      <c r="L69" s="177">
        <v>7200</v>
      </c>
      <c r="M69" s="177">
        <v>7200</v>
      </c>
      <c r="N69" s="177">
        <v>0</v>
      </c>
      <c r="O69" s="172"/>
      <c r="P69" s="172"/>
      <c r="Q69" s="172" t="s">
        <v>1318</v>
      </c>
      <c r="R69" s="172" t="s">
        <v>1324</v>
      </c>
      <c r="S69" s="172">
        <v>1</v>
      </c>
      <c r="T69" s="172">
        <v>0</v>
      </c>
      <c r="U69" s="172">
        <v>0</v>
      </c>
      <c r="V69" s="172"/>
      <c r="W69" s="172"/>
      <c r="Z69" s="172">
        <v>59</v>
      </c>
      <c r="AA69" s="172">
        <v>1015</v>
      </c>
      <c r="AB69" s="172">
        <v>1700</v>
      </c>
      <c r="AE69" s="172">
        <v>1206</v>
      </c>
      <c r="AF69" s="172">
        <v>1</v>
      </c>
      <c r="AI69" s="172"/>
      <c r="AJ69" s="172"/>
      <c r="AM69" s="172"/>
      <c r="AN69" s="172"/>
      <c r="AQ69" s="172"/>
      <c r="AR69" s="172"/>
      <c r="AU69" s="172"/>
      <c r="AV69" s="172"/>
      <c r="AY69" s="172"/>
      <c r="AZ69" s="172"/>
      <c r="BC69" s="172"/>
      <c r="BD69" s="172"/>
      <c r="BH69" s="172">
        <v>5</v>
      </c>
      <c r="BN69" s="172">
        <v>3</v>
      </c>
      <c r="BO69" s="172" t="s">
        <v>1360</v>
      </c>
      <c r="BP69" s="172">
        <v>10003604</v>
      </c>
      <c r="BQ69" s="172">
        <v>300</v>
      </c>
    </row>
    <row r="70" spans="1:69" ht="14.5">
      <c r="A70" s="172">
        <v>2030007</v>
      </c>
      <c r="B70" s="172">
        <v>67</v>
      </c>
      <c r="C70" s="172">
        <v>203</v>
      </c>
      <c r="D70" s="172" t="s">
        <v>202</v>
      </c>
      <c r="E70" s="172">
        <v>7</v>
      </c>
      <c r="F70" s="172" t="s">
        <v>212</v>
      </c>
      <c r="H70" s="173"/>
      <c r="I70" s="172">
        <v>1</v>
      </c>
      <c r="J70" s="177">
        <v>450</v>
      </c>
      <c r="K70" s="177">
        <v>0</v>
      </c>
      <c r="L70" s="177">
        <v>13000</v>
      </c>
      <c r="M70" s="177">
        <v>13000</v>
      </c>
      <c r="N70" s="177">
        <v>0</v>
      </c>
      <c r="O70" s="172"/>
      <c r="P70" s="172"/>
      <c r="Q70" s="172" t="s">
        <v>1318</v>
      </c>
      <c r="R70" s="172" t="s">
        <v>1325</v>
      </c>
      <c r="S70" s="172">
        <v>1</v>
      </c>
      <c r="T70" s="172">
        <v>0</v>
      </c>
      <c r="U70" s="172">
        <v>0</v>
      </c>
      <c r="V70" s="172"/>
      <c r="W70" s="172"/>
      <c r="Z70" s="172">
        <v>110</v>
      </c>
      <c r="AA70" s="172">
        <v>1015</v>
      </c>
      <c r="AB70" s="172">
        <v>2050</v>
      </c>
      <c r="AE70" s="172">
        <v>1206</v>
      </c>
      <c r="AF70" s="172">
        <v>1</v>
      </c>
      <c r="AI70" s="172"/>
      <c r="AJ70" s="172"/>
      <c r="AM70" s="172"/>
      <c r="AN70" s="172"/>
      <c r="AQ70" s="172"/>
      <c r="AR70" s="172"/>
      <c r="AU70" s="172"/>
      <c r="AV70" s="172"/>
      <c r="AY70" s="172"/>
      <c r="AZ70" s="172"/>
      <c r="BC70" s="172"/>
      <c r="BD70" s="172"/>
      <c r="BH70" s="172">
        <v>5</v>
      </c>
      <c r="BI70" s="172">
        <v>299</v>
      </c>
      <c r="BN70" s="172">
        <v>3</v>
      </c>
      <c r="BO70" s="172" t="s">
        <v>1360</v>
      </c>
      <c r="BP70" s="172">
        <v>10003604</v>
      </c>
      <c r="BQ70" s="172">
        <v>300</v>
      </c>
    </row>
    <row r="71" spans="1:69" ht="14.5">
      <c r="A71" s="172">
        <v>2030008</v>
      </c>
      <c r="B71" s="172">
        <v>68</v>
      </c>
      <c r="C71" s="172">
        <v>203</v>
      </c>
      <c r="D71" s="172" t="s">
        <v>202</v>
      </c>
      <c r="E71" s="172">
        <v>8</v>
      </c>
      <c r="F71" s="172" t="s">
        <v>213</v>
      </c>
      <c r="H71" s="173"/>
      <c r="I71" s="172">
        <v>1</v>
      </c>
      <c r="J71" s="177">
        <v>720</v>
      </c>
      <c r="K71" s="177">
        <v>0</v>
      </c>
      <c r="L71" s="177">
        <v>22000</v>
      </c>
      <c r="M71" s="177">
        <v>22000</v>
      </c>
      <c r="N71" s="177">
        <v>0</v>
      </c>
      <c r="O71" s="172"/>
      <c r="P71" s="172"/>
      <c r="Q71" s="172" t="s">
        <v>1318</v>
      </c>
      <c r="R71" s="172" t="s">
        <v>1326</v>
      </c>
      <c r="S71" s="172">
        <v>1</v>
      </c>
      <c r="T71" s="172">
        <v>0</v>
      </c>
      <c r="U71" s="172">
        <v>0</v>
      </c>
      <c r="V71" s="172"/>
      <c r="W71" s="172"/>
      <c r="Z71" s="172">
        <v>198</v>
      </c>
      <c r="AA71" s="172">
        <v>1015</v>
      </c>
      <c r="AB71" s="172">
        <v>2400</v>
      </c>
      <c r="AE71" s="172">
        <v>1206</v>
      </c>
      <c r="AF71" s="172">
        <v>2</v>
      </c>
      <c r="AI71" s="172"/>
      <c r="AJ71" s="172"/>
      <c r="AM71" s="172"/>
      <c r="AN71" s="172"/>
      <c r="AQ71" s="172"/>
      <c r="AR71" s="172"/>
      <c r="AU71" s="172"/>
      <c r="AV71" s="172"/>
      <c r="AY71" s="172"/>
      <c r="AZ71" s="172"/>
      <c r="BC71" s="172"/>
      <c r="BD71" s="172"/>
      <c r="BH71" s="172">
        <v>5</v>
      </c>
      <c r="BI71" s="172">
        <v>299</v>
      </c>
      <c r="BN71" s="172">
        <v>3</v>
      </c>
      <c r="BO71" s="172" t="s">
        <v>1360</v>
      </c>
      <c r="BP71" s="172">
        <v>10003604</v>
      </c>
      <c r="BQ71" s="172">
        <v>300</v>
      </c>
    </row>
    <row r="72" spans="1:69" ht="14.5">
      <c r="A72" s="172">
        <v>2030009</v>
      </c>
      <c r="B72" s="172">
        <v>69</v>
      </c>
      <c r="C72" s="172">
        <v>203</v>
      </c>
      <c r="D72" s="172" t="s">
        <v>202</v>
      </c>
      <c r="E72" s="172">
        <v>9</v>
      </c>
      <c r="F72" s="172" t="s">
        <v>214</v>
      </c>
      <c r="H72" s="173"/>
      <c r="I72" s="172">
        <v>1</v>
      </c>
      <c r="J72" s="177">
        <v>1440</v>
      </c>
      <c r="K72" s="177">
        <v>0</v>
      </c>
      <c r="L72" s="177">
        <v>36000</v>
      </c>
      <c r="M72" s="177">
        <v>36000</v>
      </c>
      <c r="N72" s="177">
        <v>0</v>
      </c>
      <c r="O72" s="172"/>
      <c r="P72" s="172"/>
      <c r="Q72" s="172" t="s">
        <v>1318</v>
      </c>
      <c r="R72" s="172" t="s">
        <v>1327</v>
      </c>
      <c r="S72" s="172">
        <v>1</v>
      </c>
      <c r="T72" s="172">
        <v>0</v>
      </c>
      <c r="U72" s="172">
        <v>0</v>
      </c>
      <c r="V72" s="172"/>
      <c r="W72" s="172"/>
      <c r="Z72" s="172">
        <v>344</v>
      </c>
      <c r="AA72" s="172">
        <v>1015</v>
      </c>
      <c r="AB72" s="172">
        <v>2750</v>
      </c>
      <c r="AE72" s="172">
        <v>1206</v>
      </c>
      <c r="AF72" s="172">
        <v>2</v>
      </c>
      <c r="AI72" s="172"/>
      <c r="AJ72" s="172"/>
      <c r="AM72" s="172"/>
      <c r="AN72" s="172"/>
      <c r="AQ72" s="172"/>
      <c r="AR72" s="172"/>
      <c r="AU72" s="172"/>
      <c r="AV72" s="172"/>
      <c r="AY72" s="172"/>
      <c r="AZ72" s="172"/>
      <c r="BC72" s="172"/>
      <c r="BD72" s="172"/>
      <c r="BH72" s="172">
        <v>5</v>
      </c>
      <c r="BI72" s="172">
        <v>299</v>
      </c>
      <c r="BN72" s="172">
        <v>3</v>
      </c>
      <c r="BO72" s="172" t="s">
        <v>1360</v>
      </c>
      <c r="BP72" s="172">
        <v>10003604</v>
      </c>
      <c r="BQ72" s="172">
        <v>300</v>
      </c>
    </row>
    <row r="73" spans="1:69" ht="14.5">
      <c r="A73" s="172">
        <v>2030010</v>
      </c>
      <c r="B73" s="172">
        <v>70</v>
      </c>
      <c r="C73" s="172">
        <v>203</v>
      </c>
      <c r="D73" s="172" t="s">
        <v>202</v>
      </c>
      <c r="E73" s="172">
        <v>10</v>
      </c>
      <c r="F73" s="172" t="s">
        <v>215</v>
      </c>
      <c r="H73" s="173"/>
      <c r="I73" s="172">
        <v>1</v>
      </c>
      <c r="J73" s="177">
        <v>2160</v>
      </c>
      <c r="K73" s="177">
        <v>0</v>
      </c>
      <c r="L73" s="177">
        <v>38000</v>
      </c>
      <c r="M73" s="177">
        <v>38000</v>
      </c>
      <c r="N73" s="177">
        <v>38000</v>
      </c>
      <c r="O73" s="172"/>
      <c r="P73" s="172"/>
      <c r="Q73" s="172" t="s">
        <v>1318</v>
      </c>
      <c r="R73" s="172" t="s">
        <v>1328</v>
      </c>
      <c r="S73" s="172">
        <v>1</v>
      </c>
      <c r="T73" s="172">
        <v>0</v>
      </c>
      <c r="U73" s="172">
        <v>0</v>
      </c>
      <c r="V73" s="172"/>
      <c r="W73" s="172"/>
      <c r="Z73" s="172">
        <v>575</v>
      </c>
      <c r="AA73" s="172">
        <v>1015</v>
      </c>
      <c r="AB73" s="172">
        <v>3100</v>
      </c>
      <c r="AE73" s="172">
        <v>1206</v>
      </c>
      <c r="AF73" s="172">
        <v>2</v>
      </c>
      <c r="AI73" s="172"/>
      <c r="AJ73" s="172"/>
      <c r="AM73" s="172"/>
      <c r="AN73" s="172"/>
      <c r="AQ73" s="172"/>
      <c r="AR73" s="172"/>
      <c r="AU73" s="172"/>
      <c r="AV73" s="172"/>
      <c r="AY73" s="172"/>
      <c r="AZ73" s="172"/>
      <c r="BC73" s="172"/>
      <c r="BD73" s="172"/>
      <c r="BH73" s="172">
        <v>5</v>
      </c>
      <c r="BN73" s="172">
        <v>4</v>
      </c>
      <c r="BO73" s="172" t="s">
        <v>1360</v>
      </c>
      <c r="BP73" s="172">
        <v>10003604</v>
      </c>
      <c r="BQ73" s="172">
        <v>300</v>
      </c>
    </row>
    <row r="74" spans="1:69" ht="14.5">
      <c r="A74" s="172">
        <v>2030011</v>
      </c>
      <c r="B74" s="172">
        <v>71</v>
      </c>
      <c r="C74" s="172">
        <v>203</v>
      </c>
      <c r="D74" s="172" t="s">
        <v>202</v>
      </c>
      <c r="E74" s="172">
        <v>11</v>
      </c>
      <c r="F74" s="172" t="s">
        <v>216</v>
      </c>
      <c r="H74" s="173"/>
      <c r="I74" s="172">
        <v>1</v>
      </c>
      <c r="J74" s="177">
        <v>3240</v>
      </c>
      <c r="K74" s="177">
        <v>0</v>
      </c>
      <c r="L74" s="177">
        <v>58000</v>
      </c>
      <c r="M74" s="177">
        <v>58000</v>
      </c>
      <c r="N74" s="177">
        <v>58000</v>
      </c>
      <c r="O74" s="172"/>
      <c r="P74" s="172"/>
      <c r="Q74" s="172" t="s">
        <v>1318</v>
      </c>
      <c r="R74" s="172" t="s">
        <v>1329</v>
      </c>
      <c r="S74" s="172">
        <v>1</v>
      </c>
      <c r="T74" s="172">
        <v>0</v>
      </c>
      <c r="U74" s="172">
        <v>0</v>
      </c>
      <c r="V74" s="172"/>
      <c r="W74" s="172"/>
      <c r="Z74" s="172">
        <v>923</v>
      </c>
      <c r="AA74" s="172">
        <v>1015</v>
      </c>
      <c r="AB74" s="172">
        <v>3600</v>
      </c>
      <c r="AE74" s="172">
        <v>1206</v>
      </c>
      <c r="AF74" s="172">
        <v>2</v>
      </c>
      <c r="AI74" s="172"/>
      <c r="AJ74" s="172"/>
      <c r="AM74" s="172"/>
      <c r="AN74" s="172"/>
      <c r="AQ74" s="172"/>
      <c r="AR74" s="172"/>
      <c r="AU74" s="172"/>
      <c r="AV74" s="172"/>
      <c r="AY74" s="172"/>
      <c r="AZ74" s="172"/>
      <c r="BC74" s="172"/>
      <c r="BD74" s="172"/>
      <c r="BH74" s="172">
        <v>5</v>
      </c>
      <c r="BN74" s="172">
        <v>4</v>
      </c>
      <c r="BO74" s="172" t="s">
        <v>1360</v>
      </c>
      <c r="BP74" s="172">
        <v>10003604</v>
      </c>
      <c r="BQ74" s="172">
        <v>300</v>
      </c>
    </row>
    <row r="75" spans="1:69" ht="14.5">
      <c r="A75" s="172">
        <v>2030012</v>
      </c>
      <c r="B75" s="172">
        <v>72</v>
      </c>
      <c r="C75" s="172">
        <v>203</v>
      </c>
      <c r="D75" s="172" t="s">
        <v>202</v>
      </c>
      <c r="E75" s="172">
        <v>12</v>
      </c>
      <c r="F75" s="172" t="s">
        <v>217</v>
      </c>
      <c r="H75" s="173"/>
      <c r="I75" s="172">
        <v>2</v>
      </c>
      <c r="J75" s="177">
        <v>4320</v>
      </c>
      <c r="K75" s="177">
        <v>0</v>
      </c>
      <c r="L75" s="177">
        <v>84000</v>
      </c>
      <c r="M75" s="177">
        <v>84000</v>
      </c>
      <c r="N75" s="177">
        <v>84000</v>
      </c>
      <c r="O75" s="172"/>
      <c r="P75" s="172"/>
      <c r="Q75" s="172" t="s">
        <v>1318</v>
      </c>
      <c r="R75" s="172" t="s">
        <v>1330</v>
      </c>
      <c r="S75" s="172">
        <v>1</v>
      </c>
      <c r="T75" s="172">
        <v>0</v>
      </c>
      <c r="U75" s="172">
        <v>0</v>
      </c>
      <c r="V75" s="172"/>
      <c r="W75" s="172"/>
      <c r="Z75" s="172">
        <v>1424</v>
      </c>
      <c r="AA75" s="172">
        <v>1015</v>
      </c>
      <c r="AB75" s="172">
        <v>4100</v>
      </c>
      <c r="AE75" s="172">
        <v>1206</v>
      </c>
      <c r="AF75" s="172">
        <v>2</v>
      </c>
      <c r="AI75" s="172"/>
      <c r="AJ75" s="172"/>
      <c r="AM75" s="172"/>
      <c r="AN75" s="172"/>
      <c r="AQ75" s="172"/>
      <c r="AR75" s="172"/>
      <c r="AU75" s="172"/>
      <c r="AV75" s="172"/>
      <c r="AY75" s="172"/>
      <c r="AZ75" s="172"/>
      <c r="BC75" s="172"/>
      <c r="BD75" s="172"/>
      <c r="BH75" s="172">
        <v>5</v>
      </c>
      <c r="BN75" s="172">
        <v>4</v>
      </c>
      <c r="BO75" s="172" t="s">
        <v>1360</v>
      </c>
      <c r="BP75" s="172">
        <v>10003604</v>
      </c>
      <c r="BQ75" s="172">
        <v>300</v>
      </c>
    </row>
    <row r="76" spans="1:69" ht="14.5">
      <c r="A76" s="172">
        <v>2030013</v>
      </c>
      <c r="B76" s="172">
        <v>73</v>
      </c>
      <c r="C76" s="172">
        <v>203</v>
      </c>
      <c r="D76" s="172" t="s">
        <v>202</v>
      </c>
      <c r="E76" s="172">
        <v>13</v>
      </c>
      <c r="F76" s="172" t="s">
        <v>218</v>
      </c>
      <c r="H76" s="173"/>
      <c r="I76" s="172">
        <v>2</v>
      </c>
      <c r="J76" s="177">
        <v>5760</v>
      </c>
      <c r="K76" s="177">
        <v>0</v>
      </c>
      <c r="L76" s="177">
        <v>110000</v>
      </c>
      <c r="M76" s="177">
        <v>110000</v>
      </c>
      <c r="N76" s="177">
        <v>110000</v>
      </c>
      <c r="O76" s="172"/>
      <c r="P76" s="172"/>
      <c r="Q76" s="172" t="s">
        <v>1318</v>
      </c>
      <c r="R76" s="172" t="s">
        <v>1331</v>
      </c>
      <c r="S76" s="172">
        <v>1</v>
      </c>
      <c r="T76" s="172">
        <v>0</v>
      </c>
      <c r="U76" s="172">
        <v>0</v>
      </c>
      <c r="V76" s="172"/>
      <c r="W76" s="172"/>
      <c r="Z76" s="172">
        <v>2111</v>
      </c>
      <c r="AA76" s="172">
        <v>1015</v>
      </c>
      <c r="AB76" s="172">
        <v>4600</v>
      </c>
      <c r="AE76" s="172">
        <v>1206</v>
      </c>
      <c r="AF76" s="172">
        <v>2</v>
      </c>
      <c r="AI76" s="172"/>
      <c r="AJ76" s="172"/>
      <c r="AM76" s="172"/>
      <c r="AN76" s="172"/>
      <c r="AQ76" s="172"/>
      <c r="AR76" s="172"/>
      <c r="AU76" s="172"/>
      <c r="AV76" s="172"/>
      <c r="AY76" s="172"/>
      <c r="AZ76" s="172"/>
      <c r="BC76" s="172"/>
      <c r="BD76" s="172"/>
      <c r="BH76" s="172">
        <v>5</v>
      </c>
      <c r="BN76" s="172">
        <v>4</v>
      </c>
      <c r="BO76" s="172" t="s">
        <v>1360</v>
      </c>
      <c r="BP76" s="172">
        <v>10003604</v>
      </c>
      <c r="BQ76" s="172">
        <v>300</v>
      </c>
    </row>
    <row r="77" spans="1:69" ht="14.5">
      <c r="A77" s="172">
        <v>2030014</v>
      </c>
      <c r="B77" s="172">
        <v>74</v>
      </c>
      <c r="C77" s="172">
        <v>203</v>
      </c>
      <c r="D77" s="172" t="s">
        <v>202</v>
      </c>
      <c r="E77" s="172">
        <v>14</v>
      </c>
      <c r="F77" s="172" t="s">
        <v>219</v>
      </c>
      <c r="H77" s="173"/>
      <c r="I77" s="172">
        <v>2</v>
      </c>
      <c r="J77" s="177">
        <v>7200</v>
      </c>
      <c r="K77" s="177">
        <v>0</v>
      </c>
      <c r="L77" s="177">
        <v>150000</v>
      </c>
      <c r="M77" s="177">
        <v>150000</v>
      </c>
      <c r="N77" s="177">
        <v>150000</v>
      </c>
      <c r="O77" s="172"/>
      <c r="P77" s="172"/>
      <c r="Q77" s="172" t="s">
        <v>1318</v>
      </c>
      <c r="R77" s="172" t="s">
        <v>1332</v>
      </c>
      <c r="S77" s="172">
        <v>1</v>
      </c>
      <c r="T77" s="172">
        <v>0</v>
      </c>
      <c r="U77" s="172">
        <v>0</v>
      </c>
      <c r="V77" s="172"/>
      <c r="W77" s="172"/>
      <c r="Z77" s="172">
        <v>3003</v>
      </c>
      <c r="AA77" s="172">
        <v>1015</v>
      </c>
      <c r="AB77" s="172">
        <v>5100</v>
      </c>
      <c r="AE77" s="172">
        <v>1206</v>
      </c>
      <c r="AF77" s="172">
        <v>2</v>
      </c>
      <c r="AI77" s="172"/>
      <c r="AJ77" s="172"/>
      <c r="AM77" s="172"/>
      <c r="AN77" s="172"/>
      <c r="AQ77" s="172"/>
      <c r="AR77" s="172"/>
      <c r="AU77" s="172"/>
      <c r="AV77" s="172"/>
      <c r="AY77" s="172"/>
      <c r="AZ77" s="172"/>
      <c r="BC77" s="172"/>
      <c r="BD77" s="172"/>
      <c r="BH77" s="172">
        <v>5</v>
      </c>
      <c r="BN77" s="172">
        <v>4</v>
      </c>
      <c r="BO77" s="172" t="s">
        <v>1360</v>
      </c>
      <c r="BP77" s="172">
        <v>10003604</v>
      </c>
      <c r="BQ77" s="172">
        <v>300</v>
      </c>
    </row>
    <row r="78" spans="1:69" ht="14.5">
      <c r="A78" s="172">
        <v>2030015</v>
      </c>
      <c r="B78" s="172">
        <v>75</v>
      </c>
      <c r="C78" s="172">
        <v>203</v>
      </c>
      <c r="D78" s="172" t="s">
        <v>202</v>
      </c>
      <c r="E78" s="172">
        <v>15</v>
      </c>
      <c r="F78" s="172" t="s">
        <v>220</v>
      </c>
      <c r="H78" s="173"/>
      <c r="I78" s="172">
        <v>2</v>
      </c>
      <c r="J78" s="177">
        <v>8640</v>
      </c>
      <c r="K78" s="177">
        <v>0</v>
      </c>
      <c r="L78" s="177">
        <v>190000</v>
      </c>
      <c r="M78" s="177">
        <v>190000</v>
      </c>
      <c r="N78" s="177">
        <v>190000</v>
      </c>
      <c r="O78" s="172"/>
      <c r="P78" s="172"/>
      <c r="Q78" s="172" t="s">
        <v>1318</v>
      </c>
      <c r="R78" s="172" t="s">
        <v>1333</v>
      </c>
      <c r="S78" s="172">
        <v>1</v>
      </c>
      <c r="T78" s="172">
        <v>0</v>
      </c>
      <c r="U78" s="172">
        <v>0</v>
      </c>
      <c r="V78" s="172"/>
      <c r="W78" s="172"/>
      <c r="Z78" s="172">
        <v>4146</v>
      </c>
      <c r="AA78" s="172">
        <v>1015</v>
      </c>
      <c r="AB78" s="172">
        <v>5600</v>
      </c>
      <c r="AE78" s="172">
        <v>1206</v>
      </c>
      <c r="AF78" s="172">
        <v>2</v>
      </c>
      <c r="AI78" s="172"/>
      <c r="AJ78" s="172"/>
      <c r="AM78" s="172"/>
      <c r="AN78" s="172"/>
      <c r="AQ78" s="172"/>
      <c r="AR78" s="172"/>
      <c r="AU78" s="172"/>
      <c r="AV78" s="172"/>
      <c r="AY78" s="172"/>
      <c r="AZ78" s="172"/>
      <c r="BC78" s="172"/>
      <c r="BD78" s="172"/>
      <c r="BH78" s="172">
        <v>5</v>
      </c>
      <c r="BN78" s="172">
        <v>4</v>
      </c>
      <c r="BO78" s="172" t="s">
        <v>1360</v>
      </c>
      <c r="BP78" s="172">
        <v>10003604</v>
      </c>
      <c r="BQ78" s="172">
        <v>300</v>
      </c>
    </row>
    <row r="79" spans="1:69" ht="14.5">
      <c r="A79" s="172">
        <v>2030016</v>
      </c>
      <c r="B79" s="172">
        <v>76</v>
      </c>
      <c r="C79" s="172">
        <v>203</v>
      </c>
      <c r="D79" s="172" t="s">
        <v>202</v>
      </c>
      <c r="E79" s="172">
        <v>16</v>
      </c>
      <c r="F79" s="172" t="s">
        <v>221</v>
      </c>
      <c r="H79" s="173"/>
      <c r="I79" s="172">
        <v>2</v>
      </c>
      <c r="J79" s="177">
        <v>10800</v>
      </c>
      <c r="K79" s="177">
        <v>0</v>
      </c>
      <c r="L79" s="177">
        <v>240000</v>
      </c>
      <c r="M79" s="177">
        <v>240000</v>
      </c>
      <c r="N79" s="177">
        <v>240000</v>
      </c>
      <c r="O79" s="172"/>
      <c r="P79" s="172"/>
      <c r="Q79" s="172" t="s">
        <v>1318</v>
      </c>
      <c r="R79" s="172" t="s">
        <v>1334</v>
      </c>
      <c r="S79" s="172">
        <v>1</v>
      </c>
      <c r="T79" s="172">
        <v>0</v>
      </c>
      <c r="U79" s="172">
        <v>0</v>
      </c>
      <c r="V79" s="172"/>
      <c r="W79" s="172"/>
      <c r="Z79" s="172">
        <v>5609</v>
      </c>
      <c r="AA79" s="172">
        <v>1015</v>
      </c>
      <c r="AB79" s="172">
        <v>6250</v>
      </c>
      <c r="AE79" s="172">
        <v>1206</v>
      </c>
      <c r="AF79" s="172">
        <v>3</v>
      </c>
      <c r="AI79" s="172"/>
      <c r="AJ79" s="172"/>
      <c r="AM79" s="172"/>
      <c r="AN79" s="172"/>
      <c r="AQ79" s="172"/>
      <c r="AR79" s="172"/>
      <c r="AU79" s="172"/>
      <c r="AV79" s="172"/>
      <c r="AY79" s="172"/>
      <c r="AZ79" s="172"/>
      <c r="BC79" s="172"/>
      <c r="BD79" s="172"/>
      <c r="BH79" s="172">
        <v>5</v>
      </c>
      <c r="BN79" s="172">
        <v>4</v>
      </c>
      <c r="BO79" s="172" t="s">
        <v>1360</v>
      </c>
      <c r="BP79" s="172">
        <v>10003604</v>
      </c>
      <c r="BQ79" s="172">
        <v>300</v>
      </c>
    </row>
    <row r="80" spans="1:69" ht="14.5">
      <c r="A80" s="172">
        <v>2030017</v>
      </c>
      <c r="B80" s="172">
        <v>77</v>
      </c>
      <c r="C80" s="172">
        <v>203</v>
      </c>
      <c r="D80" s="172" t="s">
        <v>202</v>
      </c>
      <c r="E80" s="172">
        <v>17</v>
      </c>
      <c r="F80" s="172" t="s">
        <v>222</v>
      </c>
      <c r="H80" s="173"/>
      <c r="I80" s="172">
        <v>2</v>
      </c>
      <c r="J80" s="177">
        <v>14400</v>
      </c>
      <c r="K80" s="177">
        <v>0</v>
      </c>
      <c r="L80" s="177">
        <v>310000</v>
      </c>
      <c r="M80" s="177">
        <v>310000</v>
      </c>
      <c r="N80" s="177">
        <v>310000</v>
      </c>
      <c r="O80" s="172"/>
      <c r="P80" s="172"/>
      <c r="Q80" s="172" t="s">
        <v>1318</v>
      </c>
      <c r="R80" s="172" t="s">
        <v>1335</v>
      </c>
      <c r="S80" s="172">
        <v>1</v>
      </c>
      <c r="T80" s="172">
        <v>0</v>
      </c>
      <c r="U80" s="172">
        <v>0</v>
      </c>
      <c r="V80" s="172"/>
      <c r="W80" s="172"/>
      <c r="Z80" s="172">
        <v>7481</v>
      </c>
      <c r="AA80" s="172">
        <v>1015</v>
      </c>
      <c r="AB80" s="172">
        <v>6900</v>
      </c>
      <c r="AE80" s="172">
        <v>1206</v>
      </c>
      <c r="AF80" s="172">
        <v>3</v>
      </c>
      <c r="AI80" s="172"/>
      <c r="AJ80" s="172"/>
      <c r="AM80" s="172"/>
      <c r="AN80" s="172"/>
      <c r="AQ80" s="172"/>
      <c r="AR80" s="172"/>
      <c r="AU80" s="172"/>
      <c r="AV80" s="172"/>
      <c r="AY80" s="172"/>
      <c r="AZ80" s="172"/>
      <c r="BC80" s="172"/>
      <c r="BD80" s="172"/>
      <c r="BH80" s="172">
        <v>5</v>
      </c>
      <c r="BN80" s="172">
        <v>4</v>
      </c>
      <c r="BO80" s="172" t="s">
        <v>1360</v>
      </c>
      <c r="BP80" s="172">
        <v>10003604</v>
      </c>
      <c r="BQ80" s="172">
        <v>300</v>
      </c>
    </row>
    <row r="81" spans="1:69" ht="14.5">
      <c r="A81" s="172">
        <v>2030018</v>
      </c>
      <c r="B81" s="172">
        <v>78</v>
      </c>
      <c r="C81" s="172">
        <v>203</v>
      </c>
      <c r="D81" s="172" t="s">
        <v>202</v>
      </c>
      <c r="E81" s="172">
        <v>18</v>
      </c>
      <c r="F81" s="172" t="s">
        <v>223</v>
      </c>
      <c r="H81" s="173"/>
      <c r="I81" s="172">
        <v>2</v>
      </c>
      <c r="J81" s="177">
        <v>18720</v>
      </c>
      <c r="K81" s="177">
        <v>0</v>
      </c>
      <c r="L81" s="177">
        <v>400000</v>
      </c>
      <c r="M81" s="177">
        <v>400000</v>
      </c>
      <c r="N81" s="177">
        <v>400000</v>
      </c>
      <c r="O81" s="172"/>
      <c r="P81" s="172"/>
      <c r="Q81" s="172" t="s">
        <v>1318</v>
      </c>
      <c r="R81" s="172" t="s">
        <v>1336</v>
      </c>
      <c r="S81" s="172">
        <v>1</v>
      </c>
      <c r="T81" s="172">
        <v>0</v>
      </c>
      <c r="U81" s="172">
        <v>0</v>
      </c>
      <c r="V81" s="172"/>
      <c r="W81" s="172"/>
      <c r="Z81" s="172">
        <v>9877</v>
      </c>
      <c r="AA81" s="172">
        <v>1015</v>
      </c>
      <c r="AB81" s="172">
        <v>7600</v>
      </c>
      <c r="AE81" s="172">
        <v>1206</v>
      </c>
      <c r="AF81" s="172">
        <v>3</v>
      </c>
      <c r="AI81" s="172"/>
      <c r="AJ81" s="172"/>
      <c r="AM81" s="172"/>
      <c r="AN81" s="172"/>
      <c r="AQ81" s="172"/>
      <c r="AR81" s="172"/>
      <c r="AU81" s="172"/>
      <c r="AV81" s="172"/>
      <c r="AY81" s="172"/>
      <c r="AZ81" s="172"/>
      <c r="BC81" s="172"/>
      <c r="BD81" s="172"/>
      <c r="BH81" s="172">
        <v>5</v>
      </c>
      <c r="BN81" s="172">
        <v>4</v>
      </c>
      <c r="BO81" s="172" t="s">
        <v>1360</v>
      </c>
      <c r="BP81" s="172">
        <v>10003604</v>
      </c>
      <c r="BQ81" s="172">
        <v>300</v>
      </c>
    </row>
    <row r="82" spans="1:69" ht="14.5">
      <c r="A82" s="172">
        <v>2030019</v>
      </c>
      <c r="B82" s="172">
        <v>79</v>
      </c>
      <c r="C82" s="172">
        <v>203</v>
      </c>
      <c r="D82" s="172" t="s">
        <v>202</v>
      </c>
      <c r="E82" s="172">
        <v>19</v>
      </c>
      <c r="F82" s="172" t="s">
        <v>224</v>
      </c>
      <c r="H82" s="173"/>
      <c r="I82" s="172">
        <v>2</v>
      </c>
      <c r="J82" s="177">
        <v>24480</v>
      </c>
      <c r="K82" s="177">
        <v>0</v>
      </c>
      <c r="L82" s="177">
        <v>510000</v>
      </c>
      <c r="M82" s="177">
        <v>510000</v>
      </c>
      <c r="N82" s="177">
        <v>510000</v>
      </c>
      <c r="O82" s="172"/>
      <c r="P82" s="172"/>
      <c r="Q82" s="172" t="s">
        <v>1318</v>
      </c>
      <c r="R82" s="172" t="s">
        <v>1337</v>
      </c>
      <c r="S82" s="172">
        <v>1</v>
      </c>
      <c r="T82" s="172">
        <v>0</v>
      </c>
      <c r="U82" s="172">
        <v>0</v>
      </c>
      <c r="V82" s="172"/>
      <c r="W82" s="172"/>
      <c r="Z82" s="172">
        <v>12944</v>
      </c>
      <c r="AA82" s="172">
        <v>1015</v>
      </c>
      <c r="AB82" s="172">
        <v>8300</v>
      </c>
      <c r="AE82" s="172">
        <v>1206</v>
      </c>
      <c r="AF82" s="172">
        <v>3</v>
      </c>
      <c r="AI82" s="172"/>
      <c r="AJ82" s="172"/>
      <c r="AM82" s="172"/>
      <c r="AN82" s="172"/>
      <c r="AQ82" s="172"/>
      <c r="AR82" s="172"/>
      <c r="AU82" s="172"/>
      <c r="AV82" s="172"/>
      <c r="AY82" s="172"/>
      <c r="AZ82" s="172"/>
      <c r="BC82" s="172"/>
      <c r="BD82" s="172"/>
      <c r="BH82" s="172">
        <v>5</v>
      </c>
      <c r="BN82" s="172">
        <v>4</v>
      </c>
      <c r="BO82" s="172" t="s">
        <v>1360</v>
      </c>
      <c r="BP82" s="172">
        <v>10003604</v>
      </c>
      <c r="BQ82" s="172">
        <v>300</v>
      </c>
    </row>
    <row r="83" spans="1:69" ht="14.5">
      <c r="A83" s="172">
        <v>2030020</v>
      </c>
      <c r="B83" s="172">
        <v>80</v>
      </c>
      <c r="C83" s="172">
        <v>203</v>
      </c>
      <c r="D83" s="172" t="s">
        <v>202</v>
      </c>
      <c r="E83" s="172">
        <v>20</v>
      </c>
      <c r="F83" s="172" t="s">
        <v>225</v>
      </c>
      <c r="H83" s="173"/>
      <c r="I83" s="172">
        <v>3</v>
      </c>
      <c r="J83" s="177">
        <v>34560</v>
      </c>
      <c r="K83" s="177">
        <v>0</v>
      </c>
      <c r="L83" s="177">
        <v>650000</v>
      </c>
      <c r="M83" s="177">
        <v>650000</v>
      </c>
      <c r="N83" s="177">
        <v>650000</v>
      </c>
      <c r="O83" s="172"/>
      <c r="P83" s="172"/>
      <c r="Q83" s="172" t="s">
        <v>1318</v>
      </c>
      <c r="R83" s="172" t="s">
        <v>1338</v>
      </c>
      <c r="S83" s="172">
        <v>1</v>
      </c>
      <c r="T83" s="172">
        <v>0</v>
      </c>
      <c r="U83" s="172">
        <v>0</v>
      </c>
      <c r="V83" s="172"/>
      <c r="W83" s="172"/>
      <c r="Z83" s="172">
        <v>16870</v>
      </c>
      <c r="AA83" s="172">
        <v>1015</v>
      </c>
      <c r="AB83" s="172">
        <v>9000</v>
      </c>
      <c r="AE83" s="172">
        <v>1206</v>
      </c>
      <c r="AF83" s="172">
        <v>3</v>
      </c>
      <c r="AI83" s="172"/>
      <c r="AJ83" s="172"/>
      <c r="AM83" s="172"/>
      <c r="AN83" s="172"/>
      <c r="AQ83" s="172"/>
      <c r="AR83" s="172"/>
      <c r="AU83" s="172"/>
      <c r="AV83" s="172"/>
      <c r="AY83" s="172"/>
      <c r="AZ83" s="172"/>
      <c r="BC83" s="172"/>
      <c r="BD83" s="172"/>
      <c r="BH83" s="172">
        <v>5</v>
      </c>
      <c r="BN83" s="172">
        <v>5</v>
      </c>
      <c r="BO83" s="172" t="s">
        <v>1360</v>
      </c>
      <c r="BP83" s="172">
        <v>10003604</v>
      </c>
      <c r="BQ83" s="172">
        <v>300</v>
      </c>
    </row>
    <row r="84" spans="1:69" ht="14.5">
      <c r="A84" s="172">
        <v>2030021</v>
      </c>
      <c r="B84" s="172">
        <v>81</v>
      </c>
      <c r="C84" s="172">
        <v>203</v>
      </c>
      <c r="D84" s="172" t="s">
        <v>202</v>
      </c>
      <c r="E84" s="172">
        <v>21</v>
      </c>
      <c r="F84" s="172" t="s">
        <v>1361</v>
      </c>
      <c r="H84" s="173"/>
      <c r="I84" s="172">
        <v>3</v>
      </c>
      <c r="J84" s="177">
        <v>46080</v>
      </c>
      <c r="K84" s="177">
        <v>0</v>
      </c>
      <c r="L84" s="177">
        <v>840000</v>
      </c>
      <c r="M84" s="177">
        <v>840000</v>
      </c>
      <c r="N84" s="177">
        <v>840000</v>
      </c>
      <c r="O84" s="172"/>
      <c r="P84" s="172"/>
      <c r="Q84" s="172" t="s">
        <v>1318</v>
      </c>
      <c r="R84" s="172" t="s">
        <v>1340</v>
      </c>
      <c r="S84" s="172">
        <v>1</v>
      </c>
      <c r="T84" s="172">
        <v>0</v>
      </c>
      <c r="U84" s="172">
        <v>0</v>
      </c>
      <c r="V84" s="172"/>
      <c r="W84" s="172"/>
      <c r="Z84" s="172">
        <v>21895</v>
      </c>
      <c r="AA84" s="172">
        <v>1015</v>
      </c>
      <c r="AB84" s="172">
        <v>9800</v>
      </c>
      <c r="AE84" s="172">
        <v>1206</v>
      </c>
      <c r="AF84" s="172">
        <v>3</v>
      </c>
      <c r="AI84" s="172"/>
      <c r="AJ84" s="172"/>
      <c r="AM84" s="172"/>
      <c r="AN84" s="172"/>
      <c r="AQ84" s="172"/>
      <c r="AR84" s="172"/>
      <c r="AU84" s="172"/>
      <c r="AV84" s="172"/>
      <c r="AY84" s="172"/>
      <c r="AZ84" s="172"/>
      <c r="BC84" s="172"/>
      <c r="BD84" s="172"/>
      <c r="BH84" s="172">
        <v>5</v>
      </c>
      <c r="BN84" s="172">
        <v>5</v>
      </c>
      <c r="BO84" s="172" t="s">
        <v>1360</v>
      </c>
      <c r="BP84" s="172">
        <v>10003604</v>
      </c>
      <c r="BQ84" s="172">
        <v>300</v>
      </c>
    </row>
    <row r="85" spans="1:69" ht="14.5">
      <c r="A85" s="172">
        <v>2030022</v>
      </c>
      <c r="B85" s="172">
        <v>82</v>
      </c>
      <c r="C85" s="172">
        <v>203</v>
      </c>
      <c r="D85" s="172" t="s">
        <v>202</v>
      </c>
      <c r="E85" s="172">
        <v>22</v>
      </c>
      <c r="F85" s="172" t="s">
        <v>1362</v>
      </c>
      <c r="H85" s="173"/>
      <c r="I85" s="172">
        <v>3</v>
      </c>
      <c r="J85" s="177">
        <v>60480</v>
      </c>
      <c r="K85" s="177">
        <v>0</v>
      </c>
      <c r="L85" s="177">
        <v>1100000</v>
      </c>
      <c r="M85" s="177">
        <v>1100000</v>
      </c>
      <c r="N85" s="177">
        <v>1100000</v>
      </c>
      <c r="O85" s="172"/>
      <c r="P85" s="172"/>
      <c r="Q85" s="172" t="s">
        <v>1318</v>
      </c>
      <c r="R85" s="172" t="s">
        <v>1342</v>
      </c>
      <c r="S85" s="172">
        <v>1</v>
      </c>
      <c r="T85" s="172">
        <v>0</v>
      </c>
      <c r="U85" s="172">
        <v>0</v>
      </c>
      <c r="V85" s="172"/>
      <c r="W85" s="172"/>
      <c r="Z85" s="172">
        <v>28328</v>
      </c>
      <c r="AA85" s="172">
        <v>1015</v>
      </c>
      <c r="AB85" s="172">
        <v>10600</v>
      </c>
      <c r="AE85" s="172">
        <v>1206</v>
      </c>
      <c r="AF85" s="172">
        <v>3</v>
      </c>
      <c r="AI85" s="172"/>
      <c r="AJ85" s="172"/>
      <c r="AM85" s="172"/>
      <c r="AN85" s="172"/>
      <c r="AQ85" s="172"/>
      <c r="AR85" s="172"/>
      <c r="AU85" s="172"/>
      <c r="AV85" s="172"/>
      <c r="AY85" s="172"/>
      <c r="AZ85" s="172"/>
      <c r="BC85" s="172"/>
      <c r="BD85" s="172"/>
      <c r="BH85" s="172">
        <v>5</v>
      </c>
      <c r="BN85" s="172">
        <v>5</v>
      </c>
      <c r="BO85" s="172" t="s">
        <v>1360</v>
      </c>
      <c r="BP85" s="172">
        <v>10003604</v>
      </c>
      <c r="BQ85" s="172">
        <v>300</v>
      </c>
    </row>
    <row r="86" spans="1:69" ht="14.5">
      <c r="A86" s="172">
        <v>2030023</v>
      </c>
      <c r="B86" s="172">
        <v>83</v>
      </c>
      <c r="C86" s="172">
        <v>203</v>
      </c>
      <c r="D86" s="172" t="s">
        <v>202</v>
      </c>
      <c r="E86" s="172">
        <v>23</v>
      </c>
      <c r="F86" s="172" t="s">
        <v>1363</v>
      </c>
      <c r="H86" s="173"/>
      <c r="I86" s="172">
        <v>3</v>
      </c>
      <c r="J86" s="177">
        <v>77760</v>
      </c>
      <c r="K86" s="177">
        <v>0</v>
      </c>
      <c r="L86" s="177">
        <v>1400000</v>
      </c>
      <c r="M86" s="177">
        <v>1400000</v>
      </c>
      <c r="N86" s="177">
        <v>1400000</v>
      </c>
      <c r="O86" s="172"/>
      <c r="P86" s="172"/>
      <c r="Q86" s="172" t="s">
        <v>1318</v>
      </c>
      <c r="R86" s="172" t="s">
        <v>1344</v>
      </c>
      <c r="S86" s="172">
        <v>1</v>
      </c>
      <c r="T86" s="172">
        <v>0</v>
      </c>
      <c r="U86" s="172">
        <v>0</v>
      </c>
      <c r="V86" s="172"/>
      <c r="W86" s="172"/>
      <c r="Z86" s="172">
        <v>36561</v>
      </c>
      <c r="AA86" s="172">
        <v>1015</v>
      </c>
      <c r="AB86" s="172">
        <v>11400</v>
      </c>
      <c r="AE86" s="172">
        <v>1206</v>
      </c>
      <c r="AF86" s="172">
        <v>3</v>
      </c>
      <c r="AI86" s="172"/>
      <c r="AJ86" s="172"/>
      <c r="AM86" s="172"/>
      <c r="AN86" s="172"/>
      <c r="AQ86" s="172"/>
      <c r="AR86" s="172"/>
      <c r="AU86" s="172"/>
      <c r="AV86" s="172"/>
      <c r="AY86" s="172"/>
      <c r="AZ86" s="172"/>
      <c r="BC86" s="172"/>
      <c r="BD86" s="172"/>
      <c r="BH86" s="172">
        <v>5</v>
      </c>
      <c r="BN86" s="172">
        <v>5</v>
      </c>
      <c r="BO86" s="172" t="s">
        <v>1360</v>
      </c>
      <c r="BP86" s="172">
        <v>10003604</v>
      </c>
      <c r="BQ86" s="172">
        <v>300</v>
      </c>
    </row>
    <row r="87" spans="1:69" ht="14.5">
      <c r="A87" s="172">
        <v>2030024</v>
      </c>
      <c r="B87" s="172">
        <v>84</v>
      </c>
      <c r="C87" s="172">
        <v>203</v>
      </c>
      <c r="D87" s="172" t="s">
        <v>202</v>
      </c>
      <c r="E87" s="172">
        <v>24</v>
      </c>
      <c r="F87" s="172" t="s">
        <v>1364</v>
      </c>
      <c r="H87" s="173"/>
      <c r="I87" s="172">
        <v>3</v>
      </c>
      <c r="J87" s="177">
        <v>99360</v>
      </c>
      <c r="K87" s="177">
        <v>0</v>
      </c>
      <c r="L87" s="177">
        <v>1800000</v>
      </c>
      <c r="M87" s="177">
        <v>1800000</v>
      </c>
      <c r="N87" s="177">
        <v>1800000</v>
      </c>
      <c r="O87" s="172"/>
      <c r="P87" s="172"/>
      <c r="Q87" s="172" t="s">
        <v>1318</v>
      </c>
      <c r="R87" s="172" t="s">
        <v>1346</v>
      </c>
      <c r="S87" s="172">
        <v>1</v>
      </c>
      <c r="T87" s="172">
        <v>0</v>
      </c>
      <c r="U87" s="172">
        <v>0</v>
      </c>
      <c r="V87" s="172"/>
      <c r="W87" s="172"/>
      <c r="Z87" s="172">
        <v>47100</v>
      </c>
      <c r="AA87" s="172">
        <v>1015</v>
      </c>
      <c r="AB87" s="172">
        <v>12200</v>
      </c>
      <c r="AE87" s="172">
        <v>1206</v>
      </c>
      <c r="AF87" s="172">
        <v>3</v>
      </c>
      <c r="AI87" s="172"/>
      <c r="AJ87" s="172"/>
      <c r="AM87" s="172"/>
      <c r="AN87" s="172"/>
      <c r="AQ87" s="172"/>
      <c r="AR87" s="172"/>
      <c r="AU87" s="172"/>
      <c r="AV87" s="172"/>
      <c r="AY87" s="172"/>
      <c r="AZ87" s="172"/>
      <c r="BC87" s="172"/>
      <c r="BD87" s="172"/>
      <c r="BH87" s="172">
        <v>5</v>
      </c>
      <c r="BN87" s="172">
        <v>5</v>
      </c>
      <c r="BO87" s="172" t="s">
        <v>1360</v>
      </c>
      <c r="BP87" s="172">
        <v>10003604</v>
      </c>
      <c r="BQ87" s="172">
        <v>300</v>
      </c>
    </row>
    <row r="88" spans="1:69" ht="14.5">
      <c r="A88" s="172">
        <v>2030025</v>
      </c>
      <c r="B88" s="172">
        <v>85</v>
      </c>
      <c r="C88" s="172">
        <v>203</v>
      </c>
      <c r="D88" s="172" t="s">
        <v>202</v>
      </c>
      <c r="E88" s="172">
        <v>25</v>
      </c>
      <c r="F88" s="172" t="s">
        <v>1365</v>
      </c>
      <c r="H88" s="173"/>
      <c r="I88" s="172">
        <v>3</v>
      </c>
      <c r="J88" s="177">
        <v>125280</v>
      </c>
      <c r="K88" s="177">
        <v>0</v>
      </c>
      <c r="L88" s="177">
        <v>2200000</v>
      </c>
      <c r="M88" s="177">
        <v>2200000</v>
      </c>
      <c r="N88" s="177">
        <v>2200000</v>
      </c>
      <c r="O88" s="172"/>
      <c r="P88" s="172"/>
      <c r="Q88" s="172" t="s">
        <v>1318</v>
      </c>
      <c r="R88" s="172" t="s">
        <v>1348</v>
      </c>
      <c r="S88" s="172">
        <v>1</v>
      </c>
      <c r="T88" s="172">
        <v>0</v>
      </c>
      <c r="U88" s="172">
        <v>0</v>
      </c>
      <c r="V88" s="172"/>
      <c r="W88" s="172"/>
      <c r="Z88" s="172">
        <v>60589</v>
      </c>
      <c r="AA88" s="172">
        <v>1015</v>
      </c>
      <c r="AB88" s="172">
        <v>13000</v>
      </c>
      <c r="AE88" s="172">
        <v>1206</v>
      </c>
      <c r="AF88" s="172">
        <v>3</v>
      </c>
      <c r="AI88" s="172"/>
      <c r="AJ88" s="172"/>
      <c r="AM88" s="172"/>
      <c r="AN88" s="172"/>
      <c r="AQ88" s="172"/>
      <c r="AR88" s="172"/>
      <c r="AU88" s="172"/>
      <c r="AV88" s="172"/>
      <c r="AY88" s="172"/>
      <c r="AZ88" s="172"/>
      <c r="BC88" s="172"/>
      <c r="BD88" s="172"/>
      <c r="BH88" s="172">
        <v>5</v>
      </c>
      <c r="BN88" s="172">
        <v>5</v>
      </c>
      <c r="BO88" s="172" t="s">
        <v>1360</v>
      </c>
      <c r="BP88" s="172">
        <v>10003604</v>
      </c>
      <c r="BQ88" s="172">
        <v>300</v>
      </c>
    </row>
    <row r="89" spans="1:69" ht="14.5">
      <c r="A89" s="172">
        <v>2030026</v>
      </c>
      <c r="B89" s="172">
        <v>86</v>
      </c>
      <c r="C89" s="172">
        <v>203</v>
      </c>
      <c r="D89" s="172" t="s">
        <v>202</v>
      </c>
      <c r="E89" s="172">
        <v>26</v>
      </c>
      <c r="F89" s="172" t="s">
        <v>1366</v>
      </c>
      <c r="H89" s="173"/>
      <c r="I89" s="172">
        <v>3</v>
      </c>
      <c r="J89" s="177">
        <v>155520</v>
      </c>
      <c r="K89" s="177">
        <v>0</v>
      </c>
      <c r="L89" s="177">
        <v>2900000</v>
      </c>
      <c r="M89" s="177">
        <v>2900000</v>
      </c>
      <c r="N89" s="177">
        <v>2900000</v>
      </c>
      <c r="O89" s="172"/>
      <c r="P89" s="172"/>
      <c r="Q89" s="172" t="s">
        <v>1318</v>
      </c>
      <c r="R89" s="172" t="s">
        <v>1350</v>
      </c>
      <c r="S89" s="172">
        <v>1</v>
      </c>
      <c r="T89" s="172">
        <v>0</v>
      </c>
      <c r="U89" s="172">
        <v>0</v>
      </c>
      <c r="V89" s="172"/>
      <c r="W89" s="172"/>
      <c r="Z89" s="172">
        <v>77856</v>
      </c>
      <c r="AA89" s="172">
        <v>1015</v>
      </c>
      <c r="AB89" s="172">
        <v>14000</v>
      </c>
      <c r="AE89" s="172">
        <v>1206</v>
      </c>
      <c r="AF89" s="172">
        <v>4</v>
      </c>
      <c r="AI89" s="172"/>
      <c r="AJ89" s="172"/>
      <c r="AM89" s="172"/>
      <c r="AN89" s="172"/>
      <c r="AQ89" s="172"/>
      <c r="AR89" s="172"/>
      <c r="AU89" s="172"/>
      <c r="AV89" s="172"/>
      <c r="AY89" s="172"/>
      <c r="AZ89" s="172"/>
      <c r="BC89" s="172"/>
      <c r="BD89" s="172"/>
      <c r="BH89" s="172">
        <v>5</v>
      </c>
      <c r="BN89" s="172">
        <v>5</v>
      </c>
      <c r="BO89" s="172" t="s">
        <v>1360</v>
      </c>
      <c r="BP89" s="172">
        <v>10003604</v>
      </c>
      <c r="BQ89" s="172">
        <v>300</v>
      </c>
    </row>
    <row r="90" spans="1:69" ht="14.5">
      <c r="A90" s="172">
        <v>2030027</v>
      </c>
      <c r="B90" s="172">
        <v>87</v>
      </c>
      <c r="C90" s="172">
        <v>203</v>
      </c>
      <c r="D90" s="172" t="s">
        <v>202</v>
      </c>
      <c r="E90" s="172">
        <v>27</v>
      </c>
      <c r="F90" s="172" t="s">
        <v>1367</v>
      </c>
      <c r="H90" s="173"/>
      <c r="I90" s="172">
        <v>3</v>
      </c>
      <c r="J90" s="177">
        <v>190080</v>
      </c>
      <c r="K90" s="177">
        <v>0</v>
      </c>
      <c r="L90" s="177">
        <v>3700000</v>
      </c>
      <c r="M90" s="177">
        <v>3700000</v>
      </c>
      <c r="N90" s="177">
        <v>3700000</v>
      </c>
      <c r="O90" s="172"/>
      <c r="P90" s="172"/>
      <c r="Q90" s="172" t="s">
        <v>1318</v>
      </c>
      <c r="R90" s="172" t="s">
        <v>1352</v>
      </c>
      <c r="S90" s="172">
        <v>1</v>
      </c>
      <c r="T90" s="172">
        <v>0</v>
      </c>
      <c r="U90" s="172">
        <v>0</v>
      </c>
      <c r="V90" s="172"/>
      <c r="W90" s="172"/>
      <c r="Z90" s="172">
        <v>99957</v>
      </c>
      <c r="AA90" s="172">
        <v>1015</v>
      </c>
      <c r="AB90" s="172">
        <v>15200</v>
      </c>
      <c r="AE90" s="172">
        <v>1206</v>
      </c>
      <c r="AF90" s="172">
        <v>4</v>
      </c>
      <c r="AI90" s="172"/>
      <c r="AJ90" s="172"/>
      <c r="AM90" s="172"/>
      <c r="AN90" s="172"/>
      <c r="AQ90" s="172"/>
      <c r="AR90" s="172"/>
      <c r="AU90" s="172"/>
      <c r="AV90" s="172"/>
      <c r="AY90" s="172"/>
      <c r="AZ90" s="172"/>
      <c r="BC90" s="172"/>
      <c r="BD90" s="172"/>
      <c r="BH90" s="172">
        <v>5</v>
      </c>
      <c r="BN90" s="172">
        <v>5</v>
      </c>
      <c r="BO90" s="172" t="s">
        <v>1360</v>
      </c>
      <c r="BP90" s="172">
        <v>10003604</v>
      </c>
      <c r="BQ90" s="172">
        <v>300</v>
      </c>
    </row>
    <row r="91" spans="1:69" ht="14.5">
      <c r="A91" s="172">
        <v>2030028</v>
      </c>
      <c r="B91" s="172">
        <v>88</v>
      </c>
      <c r="C91" s="172">
        <v>203</v>
      </c>
      <c r="D91" s="172" t="s">
        <v>202</v>
      </c>
      <c r="E91" s="172">
        <v>28</v>
      </c>
      <c r="F91" s="172" t="s">
        <v>1368</v>
      </c>
      <c r="H91" s="173"/>
      <c r="I91" s="172">
        <v>3</v>
      </c>
      <c r="J91" s="177">
        <v>233280</v>
      </c>
      <c r="K91" s="177">
        <v>0</v>
      </c>
      <c r="L91" s="177">
        <v>4700000</v>
      </c>
      <c r="M91" s="177">
        <v>4700000</v>
      </c>
      <c r="N91" s="177">
        <v>4700000</v>
      </c>
      <c r="O91" s="172"/>
      <c r="P91" s="172"/>
      <c r="Q91" s="172" t="s">
        <v>1318</v>
      </c>
      <c r="R91" s="172" t="s">
        <v>1354</v>
      </c>
      <c r="S91" s="172">
        <v>1</v>
      </c>
      <c r="T91" s="172">
        <v>0</v>
      </c>
      <c r="U91" s="172">
        <v>0</v>
      </c>
      <c r="V91" s="172"/>
      <c r="W91" s="172"/>
      <c r="Z91" s="172">
        <v>128246</v>
      </c>
      <c r="AA91" s="172">
        <v>1015</v>
      </c>
      <c r="AB91" s="172">
        <v>16600</v>
      </c>
      <c r="AE91" s="172">
        <v>1206</v>
      </c>
      <c r="AF91" s="172">
        <v>4</v>
      </c>
      <c r="AI91" s="172"/>
      <c r="AJ91" s="172"/>
      <c r="AM91" s="172"/>
      <c r="AN91" s="172"/>
      <c r="AQ91" s="172"/>
      <c r="AR91" s="172"/>
      <c r="AU91" s="172"/>
      <c r="AV91" s="172"/>
      <c r="AY91" s="172"/>
      <c r="AZ91" s="172"/>
      <c r="BC91" s="172"/>
      <c r="BD91" s="172"/>
      <c r="BH91" s="172">
        <v>5</v>
      </c>
      <c r="BN91" s="172">
        <v>5</v>
      </c>
      <c r="BO91" s="172" t="s">
        <v>1360</v>
      </c>
      <c r="BP91" s="172">
        <v>10003604</v>
      </c>
      <c r="BQ91" s="172">
        <v>300</v>
      </c>
    </row>
    <row r="92" spans="1:69" ht="14.5">
      <c r="A92" s="172">
        <v>2030029</v>
      </c>
      <c r="B92" s="172">
        <v>89</v>
      </c>
      <c r="C92" s="172">
        <v>203</v>
      </c>
      <c r="D92" s="172" t="s">
        <v>202</v>
      </c>
      <c r="E92" s="172">
        <v>29</v>
      </c>
      <c r="F92" s="172" t="s">
        <v>1369</v>
      </c>
      <c r="H92" s="173"/>
      <c r="I92" s="172">
        <v>3</v>
      </c>
      <c r="J92" s="177">
        <v>285120</v>
      </c>
      <c r="K92" s="177">
        <v>0</v>
      </c>
      <c r="L92" s="177">
        <v>6000000</v>
      </c>
      <c r="M92" s="177">
        <v>6000000</v>
      </c>
      <c r="N92" s="177">
        <v>6000000</v>
      </c>
      <c r="O92" s="172"/>
      <c r="P92" s="172"/>
      <c r="Q92" s="172" t="s">
        <v>1318</v>
      </c>
      <c r="R92" s="172" t="s">
        <v>1356</v>
      </c>
      <c r="S92" s="172">
        <v>1</v>
      </c>
      <c r="T92" s="172">
        <v>0</v>
      </c>
      <c r="U92" s="172">
        <v>0</v>
      </c>
      <c r="V92" s="172"/>
      <c r="W92" s="172"/>
      <c r="Z92" s="172">
        <v>164457</v>
      </c>
      <c r="AA92" s="172">
        <v>1015</v>
      </c>
      <c r="AB92" s="172">
        <v>18200</v>
      </c>
      <c r="AE92" s="172">
        <v>1206</v>
      </c>
      <c r="AF92" s="172">
        <v>4</v>
      </c>
      <c r="AI92" s="172"/>
      <c r="AJ92" s="172"/>
      <c r="AM92" s="172"/>
      <c r="AN92" s="172"/>
      <c r="AQ92" s="172"/>
      <c r="AR92" s="172"/>
      <c r="AU92" s="172"/>
      <c r="AV92" s="172"/>
      <c r="AY92" s="172"/>
      <c r="AZ92" s="172"/>
      <c r="BC92" s="172"/>
      <c r="BD92" s="172"/>
      <c r="BH92" s="172">
        <v>5</v>
      </c>
      <c r="BN92" s="172">
        <v>5</v>
      </c>
      <c r="BO92" s="172" t="s">
        <v>1360</v>
      </c>
      <c r="BP92" s="172">
        <v>10003604</v>
      </c>
      <c r="BQ92" s="172">
        <v>300</v>
      </c>
    </row>
    <row r="93" spans="1:69" ht="14.5">
      <c r="A93" s="172">
        <v>2030030</v>
      </c>
      <c r="B93" s="172">
        <v>90</v>
      </c>
      <c r="C93" s="172">
        <v>203</v>
      </c>
      <c r="D93" s="172" t="s">
        <v>202</v>
      </c>
      <c r="E93" s="172">
        <v>30</v>
      </c>
      <c r="F93" s="172" t="s">
        <v>1370</v>
      </c>
      <c r="H93" s="173"/>
      <c r="I93" s="172">
        <v>3</v>
      </c>
      <c r="J93" s="177">
        <v>345600</v>
      </c>
      <c r="K93" s="177">
        <v>0</v>
      </c>
      <c r="L93" s="177">
        <v>7700000</v>
      </c>
      <c r="M93" s="177">
        <v>7700000</v>
      </c>
      <c r="N93" s="177">
        <v>7700000</v>
      </c>
      <c r="O93" s="172"/>
      <c r="P93" s="172"/>
      <c r="Q93" s="172" t="s">
        <v>1318</v>
      </c>
      <c r="R93" s="172" t="s">
        <v>1358</v>
      </c>
      <c r="S93" s="172">
        <v>1</v>
      </c>
      <c r="T93" s="172">
        <v>0</v>
      </c>
      <c r="U93" s="172">
        <v>0</v>
      </c>
      <c r="V93" s="172"/>
      <c r="W93" s="172"/>
      <c r="Z93" s="172">
        <v>210806</v>
      </c>
      <c r="AA93" s="172">
        <v>1015</v>
      </c>
      <c r="AB93" s="172">
        <v>20000</v>
      </c>
      <c r="AE93" s="172">
        <v>1206</v>
      </c>
      <c r="AF93" s="172">
        <v>4</v>
      </c>
      <c r="AI93" s="172"/>
      <c r="AJ93" s="172"/>
      <c r="AM93" s="172"/>
      <c r="AN93" s="172"/>
      <c r="AQ93" s="172"/>
      <c r="AR93" s="172"/>
      <c r="AU93" s="172"/>
      <c r="AV93" s="172"/>
      <c r="AY93" s="172"/>
      <c r="AZ93" s="172"/>
      <c r="BC93" s="172"/>
      <c r="BD93" s="172"/>
      <c r="BH93" s="172">
        <v>5</v>
      </c>
      <c r="BN93" s="172">
        <v>5</v>
      </c>
      <c r="BO93" s="172" t="s">
        <v>1360</v>
      </c>
      <c r="BP93" s="172">
        <v>10003604</v>
      </c>
      <c r="BQ93" s="172">
        <v>300</v>
      </c>
    </row>
    <row r="94" spans="1:69" ht="14.5">
      <c r="A94" s="172">
        <v>2040001</v>
      </c>
      <c r="B94" s="172">
        <v>91</v>
      </c>
      <c r="C94" s="172">
        <v>204</v>
      </c>
      <c r="D94" s="172" t="s">
        <v>226</v>
      </c>
      <c r="E94" s="172">
        <v>1</v>
      </c>
      <c r="F94" s="172" t="s">
        <v>227</v>
      </c>
      <c r="H94" s="173"/>
      <c r="I94" s="172" t="s">
        <v>1205</v>
      </c>
      <c r="J94" s="177">
        <v>25</v>
      </c>
      <c r="K94" s="177">
        <v>500</v>
      </c>
      <c r="L94" s="177">
        <v>0</v>
      </c>
      <c r="M94" s="177">
        <v>0</v>
      </c>
      <c r="N94" s="177">
        <v>0</v>
      </c>
      <c r="O94" s="172"/>
      <c r="P94" s="172"/>
      <c r="Q94" s="172" t="s">
        <v>1318</v>
      </c>
      <c r="R94" s="172" t="s">
        <v>229</v>
      </c>
      <c r="S94" s="172">
        <v>1</v>
      </c>
      <c r="T94" s="172">
        <v>0</v>
      </c>
      <c r="U94" s="172">
        <v>0</v>
      </c>
      <c r="V94" s="172" t="s">
        <v>229</v>
      </c>
      <c r="W94" s="172" t="s">
        <v>1371</v>
      </c>
      <c r="Z94" s="172">
        <v>1</v>
      </c>
      <c r="AA94" s="172">
        <v>1017</v>
      </c>
      <c r="AB94" s="172">
        <v>400</v>
      </c>
      <c r="AE94" s="172"/>
      <c r="AF94" s="172"/>
      <c r="AI94" s="172"/>
      <c r="AJ94" s="172"/>
      <c r="AM94" s="172"/>
      <c r="AN94" s="172"/>
      <c r="AQ94" s="172"/>
      <c r="AR94" s="172"/>
      <c r="AU94" s="172"/>
      <c r="AV94" s="172"/>
      <c r="AY94" s="172"/>
      <c r="AZ94" s="172"/>
      <c r="BC94" s="172"/>
      <c r="BD94" s="172"/>
      <c r="BH94" s="172">
        <v>7</v>
      </c>
      <c r="BM94" s="172">
        <v>3</v>
      </c>
      <c r="BN94" s="172">
        <v>3</v>
      </c>
      <c r="BO94" s="172" t="s">
        <v>1360</v>
      </c>
      <c r="BP94" s="172">
        <v>10003601</v>
      </c>
      <c r="BQ94" s="172">
        <v>300</v>
      </c>
    </row>
    <row r="95" spans="1:69" ht="14.5">
      <c r="A95" s="172">
        <v>2040002</v>
      </c>
      <c r="B95" s="172">
        <v>92</v>
      </c>
      <c r="C95" s="172">
        <v>204</v>
      </c>
      <c r="D95" s="172" t="s">
        <v>226</v>
      </c>
      <c r="E95" s="172">
        <v>2</v>
      </c>
      <c r="F95" s="172" t="s">
        <v>230</v>
      </c>
      <c r="H95" s="173"/>
      <c r="I95" s="172" t="s">
        <v>1205</v>
      </c>
      <c r="J95" s="177">
        <v>25</v>
      </c>
      <c r="K95" s="177">
        <v>1000</v>
      </c>
      <c r="L95" s="177">
        <v>0</v>
      </c>
      <c r="M95" s="177">
        <v>0</v>
      </c>
      <c r="N95" s="177">
        <v>0</v>
      </c>
      <c r="O95" s="172"/>
      <c r="P95" s="172"/>
      <c r="Q95" s="172" t="s">
        <v>1318</v>
      </c>
      <c r="R95" s="172" t="s">
        <v>1320</v>
      </c>
      <c r="S95" s="172">
        <v>1</v>
      </c>
      <c r="T95" s="172">
        <v>0</v>
      </c>
      <c r="U95" s="172">
        <v>0</v>
      </c>
      <c r="V95" s="172"/>
      <c r="W95" s="172"/>
      <c r="Z95" s="172">
        <v>3</v>
      </c>
      <c r="AA95" s="172">
        <v>1017</v>
      </c>
      <c r="AB95" s="172">
        <v>600</v>
      </c>
      <c r="AE95" s="172"/>
      <c r="AF95" s="172"/>
      <c r="AI95" s="172"/>
      <c r="AJ95" s="172"/>
      <c r="AM95" s="172"/>
      <c r="AN95" s="172"/>
      <c r="AQ95" s="172"/>
      <c r="AR95" s="172"/>
      <c r="AU95" s="172"/>
      <c r="AV95" s="172"/>
      <c r="AY95" s="172"/>
      <c r="AZ95" s="172"/>
      <c r="BC95" s="172"/>
      <c r="BD95" s="172"/>
      <c r="BH95" s="172">
        <v>7</v>
      </c>
      <c r="BN95" s="172">
        <v>3</v>
      </c>
      <c r="BO95" s="172" t="s">
        <v>1360</v>
      </c>
      <c r="BP95" s="172">
        <v>10003601</v>
      </c>
      <c r="BQ95" s="172">
        <v>300</v>
      </c>
    </row>
    <row r="96" spans="1:69" ht="14.5">
      <c r="A96" s="172">
        <v>2040003</v>
      </c>
      <c r="B96" s="172">
        <v>93</v>
      </c>
      <c r="C96" s="172">
        <v>204</v>
      </c>
      <c r="D96" s="172" t="s">
        <v>226</v>
      </c>
      <c r="E96" s="172">
        <v>3</v>
      </c>
      <c r="F96" s="172" t="s">
        <v>231</v>
      </c>
      <c r="H96" s="173"/>
      <c r="I96" s="172" t="s">
        <v>1205</v>
      </c>
      <c r="J96" s="177">
        <v>36</v>
      </c>
      <c r="K96" s="177">
        <v>2000</v>
      </c>
      <c r="L96" s="177">
        <v>0</v>
      </c>
      <c r="M96" s="177">
        <v>0</v>
      </c>
      <c r="N96" s="177">
        <v>0</v>
      </c>
      <c r="O96" s="172"/>
      <c r="P96" s="172"/>
      <c r="Q96" s="172" t="s">
        <v>1318</v>
      </c>
      <c r="R96" s="172" t="s">
        <v>1321</v>
      </c>
      <c r="S96" s="172">
        <v>1</v>
      </c>
      <c r="T96" s="172">
        <v>0</v>
      </c>
      <c r="U96" s="172">
        <v>0</v>
      </c>
      <c r="V96" s="172"/>
      <c r="W96" s="172"/>
      <c r="Z96" s="172">
        <v>7</v>
      </c>
      <c r="AA96" s="172">
        <v>1017</v>
      </c>
      <c r="AB96" s="172">
        <v>800</v>
      </c>
      <c r="AE96" s="172"/>
      <c r="AF96" s="172"/>
      <c r="AI96" s="172"/>
      <c r="AJ96" s="172"/>
      <c r="AM96" s="172"/>
      <c r="AN96" s="172"/>
      <c r="AQ96" s="172"/>
      <c r="AR96" s="172"/>
      <c r="AU96" s="172"/>
      <c r="AV96" s="172"/>
      <c r="AY96" s="172"/>
      <c r="AZ96" s="172"/>
      <c r="BC96" s="172"/>
      <c r="BD96" s="172"/>
      <c r="BH96" s="172">
        <v>7</v>
      </c>
      <c r="BN96" s="172">
        <v>3</v>
      </c>
      <c r="BO96" s="172" t="s">
        <v>1360</v>
      </c>
      <c r="BP96" s="172">
        <v>10003601</v>
      </c>
      <c r="BQ96" s="172">
        <v>300</v>
      </c>
    </row>
    <row r="97" spans="1:69" ht="14.5">
      <c r="A97" s="172">
        <v>2040004</v>
      </c>
      <c r="B97" s="172">
        <v>94</v>
      </c>
      <c r="C97" s="172">
        <v>204</v>
      </c>
      <c r="D97" s="172" t="s">
        <v>226</v>
      </c>
      <c r="E97" s="172">
        <v>4</v>
      </c>
      <c r="F97" s="172" t="s">
        <v>232</v>
      </c>
      <c r="H97" s="173"/>
      <c r="I97" s="172" t="s">
        <v>1205</v>
      </c>
      <c r="J97" s="177">
        <v>72</v>
      </c>
      <c r="K97" s="177">
        <v>4000</v>
      </c>
      <c r="L97" s="177">
        <v>0</v>
      </c>
      <c r="M97" s="177">
        <v>0</v>
      </c>
      <c r="N97" s="177">
        <v>0</v>
      </c>
      <c r="O97" s="172"/>
      <c r="P97" s="172"/>
      <c r="Q97" s="172" t="s">
        <v>1318</v>
      </c>
      <c r="R97" s="172" t="s">
        <v>1322</v>
      </c>
      <c r="S97" s="172">
        <v>1</v>
      </c>
      <c r="T97" s="172">
        <v>0</v>
      </c>
      <c r="U97" s="172">
        <v>0</v>
      </c>
      <c r="V97" s="172"/>
      <c r="W97" s="172"/>
      <c r="Z97" s="172">
        <v>15</v>
      </c>
      <c r="AA97" s="172">
        <v>1017</v>
      </c>
      <c r="AB97" s="172">
        <v>1000</v>
      </c>
      <c r="AE97" s="172"/>
      <c r="AF97" s="172"/>
      <c r="AI97" s="172"/>
      <c r="AJ97" s="172"/>
      <c r="AM97" s="172"/>
      <c r="AN97" s="172"/>
      <c r="AQ97" s="172"/>
      <c r="AR97" s="172"/>
      <c r="AU97" s="172"/>
      <c r="AV97" s="172"/>
      <c r="AY97" s="172"/>
      <c r="AZ97" s="172"/>
      <c r="BC97" s="172"/>
      <c r="BD97" s="172"/>
      <c r="BH97" s="172">
        <v>7</v>
      </c>
      <c r="BN97" s="172">
        <v>3</v>
      </c>
      <c r="BO97" s="172" t="s">
        <v>1360</v>
      </c>
      <c r="BP97" s="172">
        <v>10003601</v>
      </c>
      <c r="BQ97" s="172">
        <v>300</v>
      </c>
    </row>
    <row r="98" spans="1:69" ht="14.5">
      <c r="A98" s="172">
        <v>2040005</v>
      </c>
      <c r="B98" s="172">
        <v>95</v>
      </c>
      <c r="C98" s="172">
        <v>204</v>
      </c>
      <c r="D98" s="172" t="s">
        <v>226</v>
      </c>
      <c r="E98" s="172">
        <v>5</v>
      </c>
      <c r="F98" s="172" t="s">
        <v>233</v>
      </c>
      <c r="H98" s="173"/>
      <c r="I98" s="172">
        <v>1</v>
      </c>
      <c r="J98" s="177">
        <v>150</v>
      </c>
      <c r="K98" s="177">
        <v>3900</v>
      </c>
      <c r="L98" s="177">
        <v>0</v>
      </c>
      <c r="M98" s="177">
        <v>3900</v>
      </c>
      <c r="N98" s="177">
        <v>0</v>
      </c>
      <c r="O98" s="172"/>
      <c r="P98" s="172"/>
      <c r="Q98" s="172" t="s">
        <v>1318</v>
      </c>
      <c r="R98" s="172" t="s">
        <v>1323</v>
      </c>
      <c r="S98" s="172">
        <v>1</v>
      </c>
      <c r="T98" s="172">
        <v>0</v>
      </c>
      <c r="U98" s="172">
        <v>0</v>
      </c>
      <c r="V98" s="172"/>
      <c r="W98" s="172"/>
      <c r="Z98" s="172">
        <v>30</v>
      </c>
      <c r="AA98" s="172">
        <v>1017</v>
      </c>
      <c r="AB98" s="172">
        <v>1350</v>
      </c>
      <c r="AE98" s="172"/>
      <c r="AF98" s="172"/>
      <c r="AI98" s="172"/>
      <c r="AJ98" s="172"/>
      <c r="AM98" s="172"/>
      <c r="AN98" s="172"/>
      <c r="AQ98" s="172"/>
      <c r="AR98" s="172"/>
      <c r="AU98" s="172"/>
      <c r="AV98" s="172"/>
      <c r="AY98" s="172"/>
      <c r="AZ98" s="172"/>
      <c r="BC98" s="172"/>
      <c r="BD98" s="172"/>
      <c r="BH98" s="172">
        <v>7</v>
      </c>
      <c r="BN98" s="172">
        <v>3</v>
      </c>
      <c r="BO98" s="172" t="s">
        <v>1360</v>
      </c>
      <c r="BP98" s="172">
        <v>10003601</v>
      </c>
      <c r="BQ98" s="172">
        <v>300</v>
      </c>
    </row>
    <row r="99" spans="1:69" ht="14.5">
      <c r="A99" s="172">
        <v>2040006</v>
      </c>
      <c r="B99" s="172">
        <v>96</v>
      </c>
      <c r="C99" s="172">
        <v>204</v>
      </c>
      <c r="D99" s="172" t="s">
        <v>226</v>
      </c>
      <c r="E99" s="172">
        <v>6</v>
      </c>
      <c r="F99" s="172" t="s">
        <v>234</v>
      </c>
      <c r="H99" s="173"/>
      <c r="I99" s="172">
        <v>1</v>
      </c>
      <c r="J99" s="177">
        <v>270</v>
      </c>
      <c r="K99" s="177">
        <v>7200</v>
      </c>
      <c r="L99" s="177">
        <v>0</v>
      </c>
      <c r="M99" s="177">
        <v>7200</v>
      </c>
      <c r="N99" s="177">
        <v>0</v>
      </c>
      <c r="O99" s="172"/>
      <c r="P99" s="172"/>
      <c r="Q99" s="172" t="s">
        <v>1318</v>
      </c>
      <c r="R99" s="172" t="s">
        <v>1324</v>
      </c>
      <c r="S99" s="172">
        <v>1</v>
      </c>
      <c r="T99" s="172">
        <v>0</v>
      </c>
      <c r="U99" s="172">
        <v>0</v>
      </c>
      <c r="V99" s="172"/>
      <c r="W99" s="172"/>
      <c r="Z99" s="172">
        <v>59</v>
      </c>
      <c r="AA99" s="172">
        <v>1017</v>
      </c>
      <c r="AB99" s="172">
        <v>1700</v>
      </c>
      <c r="AE99" s="172"/>
      <c r="AF99" s="172"/>
      <c r="AI99" s="172"/>
      <c r="AJ99" s="172"/>
      <c r="AM99" s="172"/>
      <c r="AN99" s="172"/>
      <c r="AQ99" s="172"/>
      <c r="AR99" s="172"/>
      <c r="AU99" s="172"/>
      <c r="AV99" s="172"/>
      <c r="AY99" s="172"/>
      <c r="AZ99" s="172"/>
      <c r="BC99" s="172"/>
      <c r="BD99" s="172"/>
      <c r="BH99" s="172">
        <v>7</v>
      </c>
      <c r="BN99" s="172">
        <v>3</v>
      </c>
      <c r="BO99" s="172" t="s">
        <v>1360</v>
      </c>
      <c r="BP99" s="172">
        <v>10003601</v>
      </c>
      <c r="BQ99" s="172">
        <v>300</v>
      </c>
    </row>
    <row r="100" spans="1:69" ht="14.5">
      <c r="A100" s="172">
        <v>2040007</v>
      </c>
      <c r="B100" s="172">
        <v>97</v>
      </c>
      <c r="C100" s="172">
        <v>204</v>
      </c>
      <c r="D100" s="172" t="s">
        <v>226</v>
      </c>
      <c r="E100" s="172">
        <v>7</v>
      </c>
      <c r="F100" s="172" t="s">
        <v>235</v>
      </c>
      <c r="H100" s="173"/>
      <c r="I100" s="172">
        <v>1</v>
      </c>
      <c r="J100" s="177">
        <v>450</v>
      </c>
      <c r="K100" s="177">
        <v>13000</v>
      </c>
      <c r="L100" s="177">
        <v>0</v>
      </c>
      <c r="M100" s="177">
        <v>13000</v>
      </c>
      <c r="N100" s="177">
        <v>0</v>
      </c>
      <c r="O100" s="172"/>
      <c r="P100" s="172"/>
      <c r="Q100" s="172" t="s">
        <v>1318</v>
      </c>
      <c r="R100" s="172" t="s">
        <v>1325</v>
      </c>
      <c r="S100" s="172">
        <v>1</v>
      </c>
      <c r="T100" s="172">
        <v>0</v>
      </c>
      <c r="U100" s="172">
        <v>0</v>
      </c>
      <c r="V100" s="172"/>
      <c r="W100" s="172"/>
      <c r="Z100" s="172">
        <v>110</v>
      </c>
      <c r="AA100" s="172">
        <v>1017</v>
      </c>
      <c r="AB100" s="172">
        <v>2050</v>
      </c>
      <c r="AE100" s="172"/>
      <c r="AF100" s="172"/>
      <c r="AI100" s="172"/>
      <c r="AJ100" s="172"/>
      <c r="AM100" s="172"/>
      <c r="AN100" s="172"/>
      <c r="AQ100" s="172"/>
      <c r="AR100" s="172"/>
      <c r="AU100" s="172"/>
      <c r="AV100" s="172"/>
      <c r="AY100" s="172"/>
      <c r="AZ100" s="172"/>
      <c r="BC100" s="172"/>
      <c r="BD100" s="172"/>
      <c r="BH100" s="172">
        <v>7</v>
      </c>
      <c r="BI100" s="172">
        <v>299</v>
      </c>
      <c r="BN100" s="172">
        <v>3</v>
      </c>
      <c r="BO100" s="172" t="s">
        <v>1360</v>
      </c>
      <c r="BP100" s="172">
        <v>10003601</v>
      </c>
      <c r="BQ100" s="172">
        <v>300</v>
      </c>
    </row>
    <row r="101" spans="1:69" ht="14.5">
      <c r="A101" s="172">
        <v>2040008</v>
      </c>
      <c r="B101" s="172">
        <v>98</v>
      </c>
      <c r="C101" s="172">
        <v>204</v>
      </c>
      <c r="D101" s="172" t="s">
        <v>226</v>
      </c>
      <c r="E101" s="172">
        <v>8</v>
      </c>
      <c r="F101" s="172" t="s">
        <v>236</v>
      </c>
      <c r="H101" s="173"/>
      <c r="I101" s="172">
        <v>1</v>
      </c>
      <c r="J101" s="177">
        <v>720</v>
      </c>
      <c r="K101" s="177">
        <v>22000</v>
      </c>
      <c r="L101" s="177">
        <v>0</v>
      </c>
      <c r="M101" s="177">
        <v>22000</v>
      </c>
      <c r="N101" s="177">
        <v>0</v>
      </c>
      <c r="O101" s="172"/>
      <c r="P101" s="172"/>
      <c r="Q101" s="172" t="s">
        <v>1318</v>
      </c>
      <c r="R101" s="172" t="s">
        <v>1326</v>
      </c>
      <c r="S101" s="172">
        <v>1</v>
      </c>
      <c r="T101" s="172">
        <v>0</v>
      </c>
      <c r="U101" s="172">
        <v>0</v>
      </c>
      <c r="V101" s="172"/>
      <c r="W101" s="172"/>
      <c r="Z101" s="172">
        <v>198</v>
      </c>
      <c r="AA101" s="172">
        <v>1017</v>
      </c>
      <c r="AB101" s="172">
        <v>2400</v>
      </c>
      <c r="AE101" s="172"/>
      <c r="AF101" s="172"/>
      <c r="AI101" s="172"/>
      <c r="AJ101" s="172"/>
      <c r="AM101" s="172"/>
      <c r="AN101" s="172"/>
      <c r="AQ101" s="172"/>
      <c r="AR101" s="172"/>
      <c r="AU101" s="172"/>
      <c r="AV101" s="172"/>
      <c r="AY101" s="172"/>
      <c r="AZ101" s="172"/>
      <c r="BC101" s="172"/>
      <c r="BD101" s="172"/>
      <c r="BH101" s="172">
        <v>7</v>
      </c>
      <c r="BI101" s="172">
        <v>299</v>
      </c>
      <c r="BN101" s="172">
        <v>3</v>
      </c>
      <c r="BO101" s="172" t="s">
        <v>1360</v>
      </c>
      <c r="BP101" s="172">
        <v>10003601</v>
      </c>
      <c r="BQ101" s="172">
        <v>300</v>
      </c>
    </row>
    <row r="102" spans="1:69" ht="14.5">
      <c r="A102" s="172">
        <v>2040009</v>
      </c>
      <c r="B102" s="172">
        <v>99</v>
      </c>
      <c r="C102" s="172">
        <v>204</v>
      </c>
      <c r="D102" s="172" t="s">
        <v>226</v>
      </c>
      <c r="E102" s="172">
        <v>9</v>
      </c>
      <c r="F102" s="172" t="s">
        <v>237</v>
      </c>
      <c r="H102" s="173"/>
      <c r="I102" s="172">
        <v>1</v>
      </c>
      <c r="J102" s="177">
        <v>1440</v>
      </c>
      <c r="K102" s="177">
        <v>36000</v>
      </c>
      <c r="L102" s="177">
        <v>0</v>
      </c>
      <c r="M102" s="177">
        <v>36000</v>
      </c>
      <c r="N102" s="177">
        <v>0</v>
      </c>
      <c r="O102" s="172"/>
      <c r="P102" s="172"/>
      <c r="Q102" s="172" t="s">
        <v>1318</v>
      </c>
      <c r="R102" s="172" t="s">
        <v>1327</v>
      </c>
      <c r="S102" s="172">
        <v>1</v>
      </c>
      <c r="T102" s="172">
        <v>0</v>
      </c>
      <c r="U102" s="172">
        <v>0</v>
      </c>
      <c r="V102" s="172"/>
      <c r="W102" s="172"/>
      <c r="Z102" s="172">
        <v>344</v>
      </c>
      <c r="AA102" s="172">
        <v>1017</v>
      </c>
      <c r="AB102" s="172">
        <v>2750</v>
      </c>
      <c r="AE102" s="172"/>
      <c r="AF102" s="172"/>
      <c r="AI102" s="172"/>
      <c r="AJ102" s="172"/>
      <c r="AM102" s="172"/>
      <c r="AN102" s="172"/>
      <c r="AQ102" s="172"/>
      <c r="AR102" s="172"/>
      <c r="AU102" s="172"/>
      <c r="AV102" s="172"/>
      <c r="AY102" s="172"/>
      <c r="AZ102" s="172"/>
      <c r="BC102" s="172"/>
      <c r="BD102" s="172"/>
      <c r="BH102" s="172">
        <v>7</v>
      </c>
      <c r="BI102" s="172">
        <v>299</v>
      </c>
      <c r="BN102" s="172">
        <v>3</v>
      </c>
      <c r="BO102" s="172" t="s">
        <v>1360</v>
      </c>
      <c r="BP102" s="172">
        <v>10003601</v>
      </c>
      <c r="BQ102" s="172">
        <v>300</v>
      </c>
    </row>
    <row r="103" spans="1:69" ht="14.5">
      <c r="A103" s="172">
        <v>2040010</v>
      </c>
      <c r="B103" s="172">
        <v>100</v>
      </c>
      <c r="C103" s="172">
        <v>204</v>
      </c>
      <c r="D103" s="172" t="s">
        <v>226</v>
      </c>
      <c r="E103" s="172">
        <v>10</v>
      </c>
      <c r="F103" s="172" t="s">
        <v>238</v>
      </c>
      <c r="H103" s="173"/>
      <c r="I103" s="172">
        <v>1</v>
      </c>
      <c r="J103" s="177">
        <v>2160</v>
      </c>
      <c r="K103" s="177">
        <v>38000</v>
      </c>
      <c r="L103" s="177">
        <v>0</v>
      </c>
      <c r="M103" s="177">
        <v>38000</v>
      </c>
      <c r="N103" s="177">
        <v>38000</v>
      </c>
      <c r="O103" s="172"/>
      <c r="P103" s="172"/>
      <c r="Q103" s="172" t="s">
        <v>1318</v>
      </c>
      <c r="R103" s="172" t="s">
        <v>1328</v>
      </c>
      <c r="S103" s="172">
        <v>1</v>
      </c>
      <c r="T103" s="172">
        <v>0</v>
      </c>
      <c r="U103" s="172">
        <v>0</v>
      </c>
      <c r="V103" s="172"/>
      <c r="W103" s="172"/>
      <c r="Z103" s="172">
        <v>575</v>
      </c>
      <c r="AA103" s="172">
        <v>1017</v>
      </c>
      <c r="AB103" s="172">
        <v>3100</v>
      </c>
      <c r="AE103" s="172"/>
      <c r="AF103" s="172"/>
      <c r="AI103" s="172"/>
      <c r="AJ103" s="172"/>
      <c r="AM103" s="172"/>
      <c r="AN103" s="172"/>
      <c r="AQ103" s="172"/>
      <c r="AR103" s="172"/>
      <c r="AU103" s="172"/>
      <c r="AV103" s="172"/>
      <c r="AY103" s="172"/>
      <c r="AZ103" s="172"/>
      <c r="BC103" s="172"/>
      <c r="BD103" s="172"/>
      <c r="BH103" s="172">
        <v>7</v>
      </c>
      <c r="BN103" s="172">
        <v>4</v>
      </c>
      <c r="BO103" s="172" t="s">
        <v>1360</v>
      </c>
      <c r="BP103" s="172">
        <v>10003601</v>
      </c>
      <c r="BQ103" s="172">
        <v>300</v>
      </c>
    </row>
    <row r="104" spans="1:69" ht="14.5">
      <c r="A104" s="172">
        <v>2040011</v>
      </c>
      <c r="B104" s="172">
        <v>101</v>
      </c>
      <c r="C104" s="172">
        <v>204</v>
      </c>
      <c r="D104" s="172" t="s">
        <v>226</v>
      </c>
      <c r="E104" s="172">
        <v>11</v>
      </c>
      <c r="F104" s="172" t="s">
        <v>239</v>
      </c>
      <c r="H104" s="173"/>
      <c r="I104" s="172">
        <v>1</v>
      </c>
      <c r="J104" s="177">
        <v>3240</v>
      </c>
      <c r="K104" s="177">
        <v>58000</v>
      </c>
      <c r="L104" s="177">
        <v>0</v>
      </c>
      <c r="M104" s="177">
        <v>58000</v>
      </c>
      <c r="N104" s="177">
        <v>58000</v>
      </c>
      <c r="O104" s="172"/>
      <c r="P104" s="172"/>
      <c r="Q104" s="172" t="s">
        <v>1318</v>
      </c>
      <c r="R104" s="172" t="s">
        <v>1329</v>
      </c>
      <c r="S104" s="172">
        <v>1</v>
      </c>
      <c r="T104" s="172">
        <v>0</v>
      </c>
      <c r="U104" s="172">
        <v>0</v>
      </c>
      <c r="V104" s="172"/>
      <c r="W104" s="172"/>
      <c r="Z104" s="172">
        <v>923</v>
      </c>
      <c r="AA104" s="172">
        <v>1017</v>
      </c>
      <c r="AB104" s="172">
        <v>3600</v>
      </c>
      <c r="AE104" s="172"/>
      <c r="AF104" s="172"/>
      <c r="AI104" s="172"/>
      <c r="AJ104" s="172"/>
      <c r="AM104" s="172"/>
      <c r="AN104" s="172"/>
      <c r="AQ104" s="172"/>
      <c r="AR104" s="172"/>
      <c r="AU104" s="172"/>
      <c r="AV104" s="172"/>
      <c r="AY104" s="172"/>
      <c r="AZ104" s="172"/>
      <c r="BC104" s="172"/>
      <c r="BD104" s="172"/>
      <c r="BH104" s="172">
        <v>7</v>
      </c>
      <c r="BN104" s="172">
        <v>4</v>
      </c>
      <c r="BO104" s="172" t="s">
        <v>1360</v>
      </c>
      <c r="BP104" s="172">
        <v>10003601</v>
      </c>
      <c r="BQ104" s="172">
        <v>300</v>
      </c>
    </row>
    <row r="105" spans="1:69" ht="14.5">
      <c r="A105" s="172">
        <v>2040012</v>
      </c>
      <c r="B105" s="172">
        <v>102</v>
      </c>
      <c r="C105" s="172">
        <v>204</v>
      </c>
      <c r="D105" s="172" t="s">
        <v>226</v>
      </c>
      <c r="E105" s="172">
        <v>12</v>
      </c>
      <c r="F105" s="172" t="s">
        <v>240</v>
      </c>
      <c r="H105" s="173"/>
      <c r="I105" s="172">
        <v>2</v>
      </c>
      <c r="J105" s="177">
        <v>4320</v>
      </c>
      <c r="K105" s="177">
        <v>84000</v>
      </c>
      <c r="L105" s="177">
        <v>0</v>
      </c>
      <c r="M105" s="177">
        <v>84000</v>
      </c>
      <c r="N105" s="177">
        <v>84000</v>
      </c>
      <c r="O105" s="172"/>
      <c r="P105" s="172"/>
      <c r="Q105" s="172" t="s">
        <v>1318</v>
      </c>
      <c r="R105" s="172" t="s">
        <v>1330</v>
      </c>
      <c r="S105" s="172">
        <v>1</v>
      </c>
      <c r="T105" s="172">
        <v>0</v>
      </c>
      <c r="U105" s="172">
        <v>0</v>
      </c>
      <c r="V105" s="172"/>
      <c r="W105" s="172"/>
      <c r="Z105" s="172">
        <v>1424</v>
      </c>
      <c r="AA105" s="172">
        <v>1017</v>
      </c>
      <c r="AB105" s="172">
        <v>4100</v>
      </c>
      <c r="AE105" s="172"/>
      <c r="AF105" s="172"/>
      <c r="AI105" s="172"/>
      <c r="AJ105" s="172"/>
      <c r="AM105" s="172"/>
      <c r="AN105" s="172"/>
      <c r="AQ105" s="172"/>
      <c r="AR105" s="172"/>
      <c r="AU105" s="172"/>
      <c r="AV105" s="172"/>
      <c r="AY105" s="172"/>
      <c r="AZ105" s="172"/>
      <c r="BC105" s="172"/>
      <c r="BD105" s="172"/>
      <c r="BH105" s="172">
        <v>7</v>
      </c>
      <c r="BN105" s="172">
        <v>4</v>
      </c>
      <c r="BO105" s="172" t="s">
        <v>1360</v>
      </c>
      <c r="BP105" s="172">
        <v>10003601</v>
      </c>
      <c r="BQ105" s="172">
        <v>300</v>
      </c>
    </row>
    <row r="106" spans="1:69" ht="14.5">
      <c r="A106" s="172">
        <v>2040013</v>
      </c>
      <c r="B106" s="172">
        <v>103</v>
      </c>
      <c r="C106" s="172">
        <v>204</v>
      </c>
      <c r="D106" s="172" t="s">
        <v>226</v>
      </c>
      <c r="E106" s="172">
        <v>13</v>
      </c>
      <c r="F106" s="172" t="s">
        <v>241</v>
      </c>
      <c r="H106" s="173"/>
      <c r="I106" s="172">
        <v>2</v>
      </c>
      <c r="J106" s="177">
        <v>5760</v>
      </c>
      <c r="K106" s="177">
        <v>110000</v>
      </c>
      <c r="L106" s="177">
        <v>0</v>
      </c>
      <c r="M106" s="177">
        <v>110000</v>
      </c>
      <c r="N106" s="177">
        <v>110000</v>
      </c>
      <c r="O106" s="172"/>
      <c r="P106" s="172"/>
      <c r="Q106" s="172" t="s">
        <v>1318</v>
      </c>
      <c r="R106" s="172" t="s">
        <v>1331</v>
      </c>
      <c r="S106" s="172">
        <v>1</v>
      </c>
      <c r="T106" s="172">
        <v>0</v>
      </c>
      <c r="U106" s="172">
        <v>0</v>
      </c>
      <c r="V106" s="172"/>
      <c r="W106" s="172"/>
      <c r="Z106" s="172">
        <v>2111</v>
      </c>
      <c r="AA106" s="172">
        <v>1017</v>
      </c>
      <c r="AB106" s="172">
        <v>4600</v>
      </c>
      <c r="AE106" s="172"/>
      <c r="AF106" s="172"/>
      <c r="AI106" s="172"/>
      <c r="AJ106" s="172"/>
      <c r="AM106" s="172"/>
      <c r="AN106" s="172"/>
      <c r="AQ106" s="172"/>
      <c r="AR106" s="172"/>
      <c r="AU106" s="172"/>
      <c r="AV106" s="172"/>
      <c r="AY106" s="172"/>
      <c r="AZ106" s="172"/>
      <c r="BC106" s="172"/>
      <c r="BD106" s="172"/>
      <c r="BH106" s="172">
        <v>7</v>
      </c>
      <c r="BN106" s="172">
        <v>4</v>
      </c>
      <c r="BO106" s="172" t="s">
        <v>1360</v>
      </c>
      <c r="BP106" s="172">
        <v>10003601</v>
      </c>
      <c r="BQ106" s="172">
        <v>300</v>
      </c>
    </row>
    <row r="107" spans="1:69" ht="14.5">
      <c r="A107" s="172">
        <v>2040014</v>
      </c>
      <c r="B107" s="172">
        <v>104</v>
      </c>
      <c r="C107" s="172">
        <v>204</v>
      </c>
      <c r="D107" s="172" t="s">
        <v>226</v>
      </c>
      <c r="E107" s="172">
        <v>14</v>
      </c>
      <c r="F107" s="172" t="s">
        <v>242</v>
      </c>
      <c r="H107" s="173"/>
      <c r="I107" s="172">
        <v>2</v>
      </c>
      <c r="J107" s="177">
        <v>7200</v>
      </c>
      <c r="K107" s="177">
        <v>150000</v>
      </c>
      <c r="L107" s="177">
        <v>0</v>
      </c>
      <c r="M107" s="177">
        <v>150000</v>
      </c>
      <c r="N107" s="177">
        <v>150000</v>
      </c>
      <c r="O107" s="172"/>
      <c r="P107" s="172"/>
      <c r="Q107" s="172" t="s">
        <v>1318</v>
      </c>
      <c r="R107" s="172" t="s">
        <v>1332</v>
      </c>
      <c r="S107" s="172">
        <v>1</v>
      </c>
      <c r="T107" s="172">
        <v>0</v>
      </c>
      <c r="U107" s="172">
        <v>0</v>
      </c>
      <c r="V107" s="172"/>
      <c r="W107" s="172"/>
      <c r="Z107" s="172">
        <v>3003</v>
      </c>
      <c r="AA107" s="172">
        <v>1017</v>
      </c>
      <c r="AB107" s="172">
        <v>5100</v>
      </c>
      <c r="AE107" s="172"/>
      <c r="AF107" s="172"/>
      <c r="AI107" s="172"/>
      <c r="AJ107" s="172"/>
      <c r="AM107" s="172"/>
      <c r="AN107" s="172"/>
      <c r="AQ107" s="172"/>
      <c r="AR107" s="172"/>
      <c r="AU107" s="172"/>
      <c r="AV107" s="172"/>
      <c r="AY107" s="172"/>
      <c r="AZ107" s="172"/>
      <c r="BC107" s="172"/>
      <c r="BD107" s="172"/>
      <c r="BH107" s="172">
        <v>7</v>
      </c>
      <c r="BN107" s="172">
        <v>4</v>
      </c>
      <c r="BO107" s="172" t="s">
        <v>1360</v>
      </c>
      <c r="BP107" s="172">
        <v>10003601</v>
      </c>
      <c r="BQ107" s="172">
        <v>300</v>
      </c>
    </row>
    <row r="108" spans="1:69" ht="14.5">
      <c r="A108" s="172">
        <v>2040015</v>
      </c>
      <c r="B108" s="172">
        <v>105</v>
      </c>
      <c r="C108" s="172">
        <v>204</v>
      </c>
      <c r="D108" s="172" t="s">
        <v>226</v>
      </c>
      <c r="E108" s="172">
        <v>15</v>
      </c>
      <c r="F108" s="172" t="s">
        <v>243</v>
      </c>
      <c r="H108" s="173"/>
      <c r="I108" s="172">
        <v>2</v>
      </c>
      <c r="J108" s="177">
        <v>8640</v>
      </c>
      <c r="K108" s="177">
        <v>190000</v>
      </c>
      <c r="L108" s="177">
        <v>0</v>
      </c>
      <c r="M108" s="177">
        <v>190000</v>
      </c>
      <c r="N108" s="177">
        <v>190000</v>
      </c>
      <c r="O108" s="172"/>
      <c r="P108" s="172"/>
      <c r="Q108" s="172" t="s">
        <v>1318</v>
      </c>
      <c r="R108" s="172" t="s">
        <v>1333</v>
      </c>
      <c r="S108" s="172">
        <v>1</v>
      </c>
      <c r="T108" s="172">
        <v>0</v>
      </c>
      <c r="U108" s="172">
        <v>0</v>
      </c>
      <c r="V108" s="172"/>
      <c r="W108" s="172"/>
      <c r="Z108" s="172">
        <v>4146</v>
      </c>
      <c r="AA108" s="172">
        <v>1017</v>
      </c>
      <c r="AB108" s="172">
        <v>5600</v>
      </c>
      <c r="AE108" s="172"/>
      <c r="AF108" s="172"/>
      <c r="AI108" s="172"/>
      <c r="AJ108" s="172"/>
      <c r="AM108" s="172"/>
      <c r="AN108" s="172"/>
      <c r="AQ108" s="172"/>
      <c r="AR108" s="172"/>
      <c r="AU108" s="172"/>
      <c r="AV108" s="172"/>
      <c r="AY108" s="172"/>
      <c r="AZ108" s="172"/>
      <c r="BC108" s="172"/>
      <c r="BD108" s="172"/>
      <c r="BH108" s="172">
        <v>7</v>
      </c>
      <c r="BN108" s="172">
        <v>4</v>
      </c>
      <c r="BO108" s="172" t="s">
        <v>1360</v>
      </c>
      <c r="BP108" s="172">
        <v>10003601</v>
      </c>
      <c r="BQ108" s="172">
        <v>300</v>
      </c>
    </row>
    <row r="109" spans="1:69" ht="14.5">
      <c r="A109" s="172">
        <v>2040016</v>
      </c>
      <c r="B109" s="172">
        <v>106</v>
      </c>
      <c r="C109" s="172">
        <v>204</v>
      </c>
      <c r="D109" s="172" t="s">
        <v>226</v>
      </c>
      <c r="E109" s="172">
        <v>16</v>
      </c>
      <c r="F109" s="172" t="s">
        <v>244</v>
      </c>
      <c r="H109" s="173"/>
      <c r="I109" s="172">
        <v>2</v>
      </c>
      <c r="J109" s="177">
        <v>10800</v>
      </c>
      <c r="K109" s="177">
        <v>240000</v>
      </c>
      <c r="L109" s="177">
        <v>0</v>
      </c>
      <c r="M109" s="177">
        <v>240000</v>
      </c>
      <c r="N109" s="177">
        <v>240000</v>
      </c>
      <c r="O109" s="172"/>
      <c r="P109" s="172"/>
      <c r="Q109" s="172" t="s">
        <v>1318</v>
      </c>
      <c r="R109" s="172" t="s">
        <v>1334</v>
      </c>
      <c r="S109" s="172">
        <v>1</v>
      </c>
      <c r="T109" s="172">
        <v>0</v>
      </c>
      <c r="U109" s="172">
        <v>0</v>
      </c>
      <c r="V109" s="172"/>
      <c r="W109" s="172"/>
      <c r="Z109" s="172">
        <v>5609</v>
      </c>
      <c r="AA109" s="172">
        <v>1017</v>
      </c>
      <c r="AB109" s="172">
        <v>6250</v>
      </c>
      <c r="AE109" s="172"/>
      <c r="AF109" s="172"/>
      <c r="AI109" s="172"/>
      <c r="AJ109" s="172"/>
      <c r="AM109" s="172"/>
      <c r="AN109" s="172"/>
      <c r="AQ109" s="172"/>
      <c r="AR109" s="172"/>
      <c r="AU109" s="172"/>
      <c r="AV109" s="172"/>
      <c r="AY109" s="172"/>
      <c r="AZ109" s="172"/>
      <c r="BC109" s="172"/>
      <c r="BD109" s="172"/>
      <c r="BH109" s="172">
        <v>7</v>
      </c>
      <c r="BN109" s="172">
        <v>4</v>
      </c>
      <c r="BO109" s="172" t="s">
        <v>1360</v>
      </c>
      <c r="BP109" s="172">
        <v>10003601</v>
      </c>
      <c r="BQ109" s="172">
        <v>300</v>
      </c>
    </row>
    <row r="110" spans="1:69" ht="14.5">
      <c r="A110" s="172">
        <v>2040017</v>
      </c>
      <c r="B110" s="172">
        <v>107</v>
      </c>
      <c r="C110" s="172">
        <v>204</v>
      </c>
      <c r="D110" s="172" t="s">
        <v>226</v>
      </c>
      <c r="E110" s="172">
        <v>17</v>
      </c>
      <c r="F110" s="172" t="s">
        <v>245</v>
      </c>
      <c r="H110" s="173"/>
      <c r="I110" s="172">
        <v>2</v>
      </c>
      <c r="J110" s="177">
        <v>14400</v>
      </c>
      <c r="K110" s="177">
        <v>310000</v>
      </c>
      <c r="L110" s="177">
        <v>0</v>
      </c>
      <c r="M110" s="177">
        <v>310000</v>
      </c>
      <c r="N110" s="177">
        <v>310000</v>
      </c>
      <c r="O110" s="172"/>
      <c r="P110" s="172"/>
      <c r="Q110" s="172" t="s">
        <v>1318</v>
      </c>
      <c r="R110" s="172" t="s">
        <v>1335</v>
      </c>
      <c r="S110" s="172">
        <v>1</v>
      </c>
      <c r="T110" s="172">
        <v>0</v>
      </c>
      <c r="U110" s="172">
        <v>0</v>
      </c>
      <c r="V110" s="172"/>
      <c r="W110" s="172"/>
      <c r="Z110" s="172">
        <v>7481</v>
      </c>
      <c r="AA110" s="172">
        <v>1017</v>
      </c>
      <c r="AB110" s="172">
        <v>6900</v>
      </c>
      <c r="AE110" s="172"/>
      <c r="AF110" s="172"/>
      <c r="AI110" s="172"/>
      <c r="AJ110" s="172"/>
      <c r="AM110" s="172"/>
      <c r="AN110" s="172"/>
      <c r="AQ110" s="172"/>
      <c r="AR110" s="172"/>
      <c r="AU110" s="172"/>
      <c r="AV110" s="172"/>
      <c r="AY110" s="172"/>
      <c r="AZ110" s="172"/>
      <c r="BC110" s="172"/>
      <c r="BD110" s="172"/>
      <c r="BH110" s="172">
        <v>7</v>
      </c>
      <c r="BN110" s="172">
        <v>4</v>
      </c>
      <c r="BO110" s="172" t="s">
        <v>1360</v>
      </c>
      <c r="BP110" s="172">
        <v>10003601</v>
      </c>
      <c r="BQ110" s="172">
        <v>300</v>
      </c>
    </row>
    <row r="111" spans="1:69" ht="14.5">
      <c r="A111" s="172">
        <v>2040018</v>
      </c>
      <c r="B111" s="172">
        <v>108</v>
      </c>
      <c r="C111" s="172">
        <v>204</v>
      </c>
      <c r="D111" s="172" t="s">
        <v>226</v>
      </c>
      <c r="E111" s="172">
        <v>18</v>
      </c>
      <c r="F111" s="172" t="s">
        <v>246</v>
      </c>
      <c r="H111" s="173"/>
      <c r="I111" s="172">
        <v>2</v>
      </c>
      <c r="J111" s="177">
        <v>18720</v>
      </c>
      <c r="K111" s="177">
        <v>400000</v>
      </c>
      <c r="L111" s="177">
        <v>0</v>
      </c>
      <c r="M111" s="177">
        <v>400000</v>
      </c>
      <c r="N111" s="177">
        <v>400000</v>
      </c>
      <c r="O111" s="172"/>
      <c r="P111" s="172"/>
      <c r="Q111" s="172" t="s">
        <v>1318</v>
      </c>
      <c r="R111" s="172" t="s">
        <v>1336</v>
      </c>
      <c r="S111" s="172">
        <v>1</v>
      </c>
      <c r="T111" s="172">
        <v>0</v>
      </c>
      <c r="U111" s="172">
        <v>0</v>
      </c>
      <c r="V111" s="172"/>
      <c r="W111" s="172"/>
      <c r="Z111" s="172">
        <v>9877</v>
      </c>
      <c r="AA111" s="172">
        <v>1017</v>
      </c>
      <c r="AB111" s="172">
        <v>7600</v>
      </c>
      <c r="AE111" s="172"/>
      <c r="AF111" s="172"/>
      <c r="AI111" s="172"/>
      <c r="AJ111" s="172"/>
      <c r="AM111" s="172"/>
      <c r="AN111" s="172"/>
      <c r="AQ111" s="172"/>
      <c r="AR111" s="172"/>
      <c r="AU111" s="172"/>
      <c r="AV111" s="172"/>
      <c r="AY111" s="172"/>
      <c r="AZ111" s="172"/>
      <c r="BC111" s="172"/>
      <c r="BD111" s="172"/>
      <c r="BH111" s="172">
        <v>7</v>
      </c>
      <c r="BN111" s="172">
        <v>4</v>
      </c>
      <c r="BO111" s="172" t="s">
        <v>1360</v>
      </c>
      <c r="BP111" s="172">
        <v>10003601</v>
      </c>
      <c r="BQ111" s="172">
        <v>300</v>
      </c>
    </row>
    <row r="112" spans="1:69" ht="14.5">
      <c r="A112" s="172">
        <v>2040019</v>
      </c>
      <c r="B112" s="172">
        <v>109</v>
      </c>
      <c r="C112" s="172">
        <v>204</v>
      </c>
      <c r="D112" s="172" t="s">
        <v>226</v>
      </c>
      <c r="E112" s="172">
        <v>19</v>
      </c>
      <c r="F112" s="172" t="s">
        <v>247</v>
      </c>
      <c r="H112" s="173"/>
      <c r="I112" s="172">
        <v>2</v>
      </c>
      <c r="J112" s="177">
        <v>24480</v>
      </c>
      <c r="K112" s="177">
        <v>510000</v>
      </c>
      <c r="L112" s="177">
        <v>0</v>
      </c>
      <c r="M112" s="177">
        <v>510000</v>
      </c>
      <c r="N112" s="177">
        <v>510000</v>
      </c>
      <c r="O112" s="172"/>
      <c r="P112" s="172"/>
      <c r="Q112" s="172" t="s">
        <v>1318</v>
      </c>
      <c r="R112" s="172" t="s">
        <v>1337</v>
      </c>
      <c r="S112" s="172">
        <v>1</v>
      </c>
      <c r="T112" s="172">
        <v>0</v>
      </c>
      <c r="U112" s="172">
        <v>0</v>
      </c>
      <c r="V112" s="172"/>
      <c r="W112" s="172"/>
      <c r="Z112" s="172">
        <v>12944</v>
      </c>
      <c r="AA112" s="172">
        <v>1017</v>
      </c>
      <c r="AB112" s="172">
        <v>8300</v>
      </c>
      <c r="AE112" s="172"/>
      <c r="AF112" s="172"/>
      <c r="AI112" s="172"/>
      <c r="AJ112" s="172"/>
      <c r="AM112" s="172"/>
      <c r="AN112" s="172"/>
      <c r="AQ112" s="172"/>
      <c r="AR112" s="172"/>
      <c r="AU112" s="172"/>
      <c r="AV112" s="172"/>
      <c r="AY112" s="172"/>
      <c r="AZ112" s="172"/>
      <c r="BC112" s="172"/>
      <c r="BD112" s="172"/>
      <c r="BH112" s="172">
        <v>7</v>
      </c>
      <c r="BN112" s="172">
        <v>4</v>
      </c>
      <c r="BO112" s="172" t="s">
        <v>1360</v>
      </c>
      <c r="BP112" s="172">
        <v>10003601</v>
      </c>
      <c r="BQ112" s="172">
        <v>300</v>
      </c>
    </row>
    <row r="113" spans="1:69" ht="14.5">
      <c r="A113" s="172">
        <v>2040020</v>
      </c>
      <c r="B113" s="172">
        <v>110</v>
      </c>
      <c r="C113" s="172">
        <v>204</v>
      </c>
      <c r="D113" s="172" t="s">
        <v>226</v>
      </c>
      <c r="E113" s="172">
        <v>20</v>
      </c>
      <c r="F113" s="172" t="s">
        <v>248</v>
      </c>
      <c r="H113" s="173"/>
      <c r="I113" s="172">
        <v>3</v>
      </c>
      <c r="J113" s="177">
        <v>34560</v>
      </c>
      <c r="K113" s="177">
        <v>650000</v>
      </c>
      <c r="L113" s="177">
        <v>0</v>
      </c>
      <c r="M113" s="177">
        <v>650000</v>
      </c>
      <c r="N113" s="177">
        <v>650000</v>
      </c>
      <c r="O113" s="172"/>
      <c r="P113" s="172"/>
      <c r="Q113" s="172" t="s">
        <v>1318</v>
      </c>
      <c r="R113" s="172" t="s">
        <v>1338</v>
      </c>
      <c r="S113" s="172">
        <v>1</v>
      </c>
      <c r="T113" s="172">
        <v>0</v>
      </c>
      <c r="U113" s="172">
        <v>0</v>
      </c>
      <c r="V113" s="172"/>
      <c r="W113" s="172"/>
      <c r="Z113" s="172">
        <v>16870</v>
      </c>
      <c r="AA113" s="172">
        <v>1017</v>
      </c>
      <c r="AB113" s="172">
        <v>9000</v>
      </c>
      <c r="AE113" s="172"/>
      <c r="AF113" s="172"/>
      <c r="AI113" s="172"/>
      <c r="AJ113" s="172"/>
      <c r="AM113" s="172"/>
      <c r="AN113" s="172"/>
      <c r="AQ113" s="172"/>
      <c r="AR113" s="172"/>
      <c r="AU113" s="172"/>
      <c r="AV113" s="172"/>
      <c r="AY113" s="172"/>
      <c r="AZ113" s="172"/>
      <c r="BC113" s="172"/>
      <c r="BD113" s="172"/>
      <c r="BH113" s="172">
        <v>7</v>
      </c>
      <c r="BN113" s="172">
        <v>5</v>
      </c>
      <c r="BO113" s="172" t="s">
        <v>1360</v>
      </c>
      <c r="BP113" s="172">
        <v>10003601</v>
      </c>
      <c r="BQ113" s="172">
        <v>300</v>
      </c>
    </row>
    <row r="114" spans="1:69" ht="14.5">
      <c r="A114" s="172">
        <v>2040021</v>
      </c>
      <c r="B114" s="172">
        <v>111</v>
      </c>
      <c r="C114" s="172">
        <v>204</v>
      </c>
      <c r="D114" s="172" t="s">
        <v>226</v>
      </c>
      <c r="E114" s="172">
        <v>21</v>
      </c>
      <c r="F114" s="172" t="s">
        <v>1372</v>
      </c>
      <c r="H114" s="173"/>
      <c r="I114" s="172">
        <v>3</v>
      </c>
      <c r="J114" s="177">
        <v>46080</v>
      </c>
      <c r="K114" s="177">
        <v>840000</v>
      </c>
      <c r="L114" s="177">
        <v>0</v>
      </c>
      <c r="M114" s="177">
        <v>840000</v>
      </c>
      <c r="N114" s="177">
        <v>840000</v>
      </c>
      <c r="O114" s="172"/>
      <c r="P114" s="172"/>
      <c r="Q114" s="172" t="s">
        <v>1318</v>
      </c>
      <c r="R114" s="172" t="s">
        <v>1340</v>
      </c>
      <c r="S114" s="172">
        <v>1</v>
      </c>
      <c r="T114" s="172">
        <v>0</v>
      </c>
      <c r="U114" s="172">
        <v>0</v>
      </c>
      <c r="V114" s="172"/>
      <c r="W114" s="172"/>
      <c r="Z114" s="172">
        <v>21895</v>
      </c>
      <c r="AA114" s="172">
        <v>1017</v>
      </c>
      <c r="AB114" s="172">
        <v>9800</v>
      </c>
      <c r="AE114" s="172"/>
      <c r="AF114" s="172"/>
      <c r="AI114" s="172"/>
      <c r="AJ114" s="172"/>
      <c r="AM114" s="172"/>
      <c r="AN114" s="172"/>
      <c r="AQ114" s="172"/>
      <c r="AR114" s="172"/>
      <c r="AU114" s="172"/>
      <c r="AV114" s="172"/>
      <c r="AY114" s="172"/>
      <c r="AZ114" s="172"/>
      <c r="BC114" s="172"/>
      <c r="BD114" s="172"/>
      <c r="BH114" s="172">
        <v>7</v>
      </c>
      <c r="BN114" s="172">
        <v>5</v>
      </c>
      <c r="BO114" s="172" t="s">
        <v>1360</v>
      </c>
      <c r="BP114" s="172">
        <v>10003601</v>
      </c>
      <c r="BQ114" s="172">
        <v>300</v>
      </c>
    </row>
    <row r="115" spans="1:69" ht="14.5">
      <c r="A115" s="172">
        <v>2040022</v>
      </c>
      <c r="B115" s="172">
        <v>112</v>
      </c>
      <c r="C115" s="172">
        <v>204</v>
      </c>
      <c r="D115" s="172" t="s">
        <v>226</v>
      </c>
      <c r="E115" s="172">
        <v>22</v>
      </c>
      <c r="F115" s="172" t="s">
        <v>1373</v>
      </c>
      <c r="H115" s="173"/>
      <c r="I115" s="172">
        <v>3</v>
      </c>
      <c r="J115" s="177">
        <v>60480</v>
      </c>
      <c r="K115" s="177">
        <v>1100000</v>
      </c>
      <c r="L115" s="177">
        <v>0</v>
      </c>
      <c r="M115" s="177">
        <v>1100000</v>
      </c>
      <c r="N115" s="177">
        <v>1100000</v>
      </c>
      <c r="O115" s="172"/>
      <c r="P115" s="172"/>
      <c r="Q115" s="172" t="s">
        <v>1318</v>
      </c>
      <c r="R115" s="172" t="s">
        <v>1342</v>
      </c>
      <c r="S115" s="172">
        <v>1</v>
      </c>
      <c r="T115" s="172">
        <v>0</v>
      </c>
      <c r="U115" s="172">
        <v>0</v>
      </c>
      <c r="V115" s="172"/>
      <c r="W115" s="172"/>
      <c r="Z115" s="172">
        <v>28328</v>
      </c>
      <c r="AA115" s="172">
        <v>1017</v>
      </c>
      <c r="AB115" s="172">
        <v>10600</v>
      </c>
      <c r="AE115" s="172"/>
      <c r="AF115" s="172"/>
      <c r="AI115" s="172"/>
      <c r="AJ115" s="172"/>
      <c r="AM115" s="172"/>
      <c r="AN115" s="172"/>
      <c r="AQ115" s="172"/>
      <c r="AR115" s="172"/>
      <c r="AU115" s="172"/>
      <c r="AV115" s="172"/>
      <c r="AY115" s="172"/>
      <c r="AZ115" s="172"/>
      <c r="BC115" s="172"/>
      <c r="BD115" s="172"/>
      <c r="BH115" s="172">
        <v>7</v>
      </c>
      <c r="BN115" s="172">
        <v>5</v>
      </c>
      <c r="BO115" s="172" t="s">
        <v>1360</v>
      </c>
      <c r="BP115" s="172">
        <v>10003601</v>
      </c>
      <c r="BQ115" s="172">
        <v>300</v>
      </c>
    </row>
    <row r="116" spans="1:69" ht="14.5">
      <c r="A116" s="172">
        <v>2040023</v>
      </c>
      <c r="B116" s="172">
        <v>113</v>
      </c>
      <c r="C116" s="172">
        <v>204</v>
      </c>
      <c r="D116" s="172" t="s">
        <v>226</v>
      </c>
      <c r="E116" s="172">
        <v>23</v>
      </c>
      <c r="F116" s="172" t="s">
        <v>1374</v>
      </c>
      <c r="H116" s="173"/>
      <c r="I116" s="172">
        <v>3</v>
      </c>
      <c r="J116" s="177">
        <v>77760</v>
      </c>
      <c r="K116" s="177">
        <v>1400000</v>
      </c>
      <c r="L116" s="177">
        <v>0</v>
      </c>
      <c r="M116" s="177">
        <v>1400000</v>
      </c>
      <c r="N116" s="177">
        <v>1400000</v>
      </c>
      <c r="O116" s="172"/>
      <c r="P116" s="172"/>
      <c r="Q116" s="172" t="s">
        <v>1318</v>
      </c>
      <c r="R116" s="172" t="s">
        <v>1344</v>
      </c>
      <c r="S116" s="172">
        <v>1</v>
      </c>
      <c r="T116" s="172">
        <v>0</v>
      </c>
      <c r="U116" s="172">
        <v>0</v>
      </c>
      <c r="V116" s="172"/>
      <c r="W116" s="172"/>
      <c r="Z116" s="172">
        <v>36561</v>
      </c>
      <c r="AA116" s="172">
        <v>1017</v>
      </c>
      <c r="AB116" s="172">
        <v>11400</v>
      </c>
      <c r="AE116" s="172"/>
      <c r="AF116" s="172"/>
      <c r="AI116" s="172"/>
      <c r="AJ116" s="172"/>
      <c r="AM116" s="172"/>
      <c r="AN116" s="172"/>
      <c r="AQ116" s="172"/>
      <c r="AR116" s="172"/>
      <c r="AU116" s="172"/>
      <c r="AV116" s="172"/>
      <c r="AY116" s="172"/>
      <c r="AZ116" s="172"/>
      <c r="BC116" s="172"/>
      <c r="BD116" s="172"/>
      <c r="BH116" s="172">
        <v>7</v>
      </c>
      <c r="BN116" s="172">
        <v>5</v>
      </c>
      <c r="BO116" s="172" t="s">
        <v>1360</v>
      </c>
      <c r="BP116" s="172">
        <v>10003601</v>
      </c>
      <c r="BQ116" s="172">
        <v>300</v>
      </c>
    </row>
    <row r="117" spans="1:69" ht="14.5">
      <c r="A117" s="172">
        <v>2040024</v>
      </c>
      <c r="B117" s="172">
        <v>114</v>
      </c>
      <c r="C117" s="172">
        <v>204</v>
      </c>
      <c r="D117" s="172" t="s">
        <v>226</v>
      </c>
      <c r="E117" s="172">
        <v>24</v>
      </c>
      <c r="F117" s="172" t="s">
        <v>1375</v>
      </c>
      <c r="H117" s="173"/>
      <c r="I117" s="172">
        <v>3</v>
      </c>
      <c r="J117" s="177">
        <v>99360</v>
      </c>
      <c r="K117" s="177">
        <v>1800000</v>
      </c>
      <c r="L117" s="177">
        <v>0</v>
      </c>
      <c r="M117" s="177">
        <v>1800000</v>
      </c>
      <c r="N117" s="177">
        <v>1800000</v>
      </c>
      <c r="O117" s="172"/>
      <c r="P117" s="172"/>
      <c r="Q117" s="172" t="s">
        <v>1318</v>
      </c>
      <c r="R117" s="172" t="s">
        <v>1346</v>
      </c>
      <c r="S117" s="172">
        <v>1</v>
      </c>
      <c r="T117" s="172">
        <v>0</v>
      </c>
      <c r="U117" s="172">
        <v>0</v>
      </c>
      <c r="V117" s="172"/>
      <c r="W117" s="172"/>
      <c r="Z117" s="172">
        <v>47100</v>
      </c>
      <c r="AA117" s="172">
        <v>1017</v>
      </c>
      <c r="AB117" s="172">
        <v>12200</v>
      </c>
      <c r="AE117" s="172"/>
      <c r="AF117" s="172"/>
      <c r="AI117" s="172"/>
      <c r="AJ117" s="172"/>
      <c r="AM117" s="172"/>
      <c r="AN117" s="172"/>
      <c r="AQ117" s="172"/>
      <c r="AR117" s="172"/>
      <c r="AU117" s="172"/>
      <c r="AV117" s="172"/>
      <c r="AY117" s="172"/>
      <c r="AZ117" s="172"/>
      <c r="BC117" s="172"/>
      <c r="BD117" s="172"/>
      <c r="BH117" s="172">
        <v>7</v>
      </c>
      <c r="BN117" s="172">
        <v>5</v>
      </c>
      <c r="BO117" s="172" t="s">
        <v>1360</v>
      </c>
      <c r="BP117" s="172">
        <v>10003601</v>
      </c>
      <c r="BQ117" s="172">
        <v>300</v>
      </c>
    </row>
    <row r="118" spans="1:69" ht="14.5">
      <c r="A118" s="172">
        <v>2040025</v>
      </c>
      <c r="B118" s="172">
        <v>115</v>
      </c>
      <c r="C118" s="172">
        <v>204</v>
      </c>
      <c r="D118" s="172" t="s">
        <v>226</v>
      </c>
      <c r="E118" s="172">
        <v>25</v>
      </c>
      <c r="F118" s="172" t="s">
        <v>1376</v>
      </c>
      <c r="H118" s="173"/>
      <c r="I118" s="172">
        <v>3</v>
      </c>
      <c r="J118" s="177">
        <v>125280</v>
      </c>
      <c r="K118" s="177">
        <v>2200000</v>
      </c>
      <c r="L118" s="177">
        <v>0</v>
      </c>
      <c r="M118" s="177">
        <v>2200000</v>
      </c>
      <c r="N118" s="177">
        <v>2200000</v>
      </c>
      <c r="O118" s="172"/>
      <c r="P118" s="172"/>
      <c r="Q118" s="172" t="s">
        <v>1318</v>
      </c>
      <c r="R118" s="172" t="s">
        <v>1348</v>
      </c>
      <c r="S118" s="172">
        <v>1</v>
      </c>
      <c r="T118" s="172">
        <v>0</v>
      </c>
      <c r="U118" s="172">
        <v>0</v>
      </c>
      <c r="V118" s="172"/>
      <c r="W118" s="172"/>
      <c r="Z118" s="172">
        <v>60589</v>
      </c>
      <c r="AA118" s="172">
        <v>1017</v>
      </c>
      <c r="AB118" s="172">
        <v>13000</v>
      </c>
      <c r="AE118" s="172"/>
      <c r="AF118" s="172"/>
      <c r="AI118" s="172"/>
      <c r="AJ118" s="172"/>
      <c r="AM118" s="172"/>
      <c r="AN118" s="172"/>
      <c r="AQ118" s="172"/>
      <c r="AR118" s="172"/>
      <c r="AU118" s="172"/>
      <c r="AV118" s="172"/>
      <c r="AY118" s="172"/>
      <c r="AZ118" s="172"/>
      <c r="BC118" s="172"/>
      <c r="BD118" s="172"/>
      <c r="BH118" s="172">
        <v>7</v>
      </c>
      <c r="BN118" s="172">
        <v>5</v>
      </c>
      <c r="BO118" s="172" t="s">
        <v>1360</v>
      </c>
      <c r="BP118" s="172">
        <v>10003601</v>
      </c>
      <c r="BQ118" s="172">
        <v>300</v>
      </c>
    </row>
    <row r="119" spans="1:69" ht="14.5">
      <c r="A119" s="172">
        <v>2040026</v>
      </c>
      <c r="B119" s="172">
        <v>116</v>
      </c>
      <c r="C119" s="172">
        <v>204</v>
      </c>
      <c r="D119" s="172" t="s">
        <v>226</v>
      </c>
      <c r="E119" s="172">
        <v>26</v>
      </c>
      <c r="F119" s="172" t="s">
        <v>1377</v>
      </c>
      <c r="H119" s="173"/>
      <c r="I119" s="172">
        <v>3</v>
      </c>
      <c r="J119" s="177">
        <v>155520</v>
      </c>
      <c r="K119" s="177">
        <v>2900000</v>
      </c>
      <c r="L119" s="177">
        <v>0</v>
      </c>
      <c r="M119" s="177">
        <v>2900000</v>
      </c>
      <c r="N119" s="177">
        <v>2900000</v>
      </c>
      <c r="O119" s="172"/>
      <c r="P119" s="172"/>
      <c r="Q119" s="172" t="s">
        <v>1318</v>
      </c>
      <c r="R119" s="172" t="s">
        <v>1350</v>
      </c>
      <c r="S119" s="172">
        <v>1</v>
      </c>
      <c r="T119" s="172">
        <v>0</v>
      </c>
      <c r="U119" s="172">
        <v>0</v>
      </c>
      <c r="V119" s="172"/>
      <c r="W119" s="172"/>
      <c r="Z119" s="172">
        <v>77856</v>
      </c>
      <c r="AA119" s="172">
        <v>1017</v>
      </c>
      <c r="AB119" s="172">
        <v>14000</v>
      </c>
      <c r="AE119" s="172"/>
      <c r="AF119" s="172"/>
      <c r="AI119" s="172"/>
      <c r="AJ119" s="172"/>
      <c r="AM119" s="172"/>
      <c r="AN119" s="172"/>
      <c r="AQ119" s="172"/>
      <c r="AR119" s="172"/>
      <c r="AU119" s="172"/>
      <c r="AV119" s="172"/>
      <c r="AY119" s="172"/>
      <c r="AZ119" s="172"/>
      <c r="BC119" s="172"/>
      <c r="BD119" s="172"/>
      <c r="BH119" s="172">
        <v>7</v>
      </c>
      <c r="BN119" s="172">
        <v>5</v>
      </c>
      <c r="BO119" s="172" t="s">
        <v>1360</v>
      </c>
      <c r="BP119" s="172">
        <v>10003601</v>
      </c>
      <c r="BQ119" s="172">
        <v>300</v>
      </c>
    </row>
    <row r="120" spans="1:69" ht="14.5">
      <c r="A120" s="172">
        <v>2040027</v>
      </c>
      <c r="B120" s="172">
        <v>117</v>
      </c>
      <c r="C120" s="172">
        <v>204</v>
      </c>
      <c r="D120" s="172" t="s">
        <v>226</v>
      </c>
      <c r="E120" s="172">
        <v>27</v>
      </c>
      <c r="F120" s="172" t="s">
        <v>1378</v>
      </c>
      <c r="H120" s="173"/>
      <c r="I120" s="172">
        <v>3</v>
      </c>
      <c r="J120" s="177">
        <v>190080</v>
      </c>
      <c r="K120" s="177">
        <v>3700000</v>
      </c>
      <c r="L120" s="177">
        <v>0</v>
      </c>
      <c r="M120" s="177">
        <v>3700000</v>
      </c>
      <c r="N120" s="177">
        <v>3700000</v>
      </c>
      <c r="O120" s="172"/>
      <c r="P120" s="172"/>
      <c r="Q120" s="172" t="s">
        <v>1318</v>
      </c>
      <c r="R120" s="172" t="s">
        <v>1352</v>
      </c>
      <c r="S120" s="172">
        <v>1</v>
      </c>
      <c r="T120" s="172">
        <v>0</v>
      </c>
      <c r="U120" s="172">
        <v>0</v>
      </c>
      <c r="V120" s="172"/>
      <c r="W120" s="172"/>
      <c r="Z120" s="172">
        <v>99957</v>
      </c>
      <c r="AA120" s="172">
        <v>1017</v>
      </c>
      <c r="AB120" s="172">
        <v>15200</v>
      </c>
      <c r="AE120" s="172"/>
      <c r="AF120" s="172"/>
      <c r="AI120" s="172"/>
      <c r="AJ120" s="172"/>
      <c r="AM120" s="172"/>
      <c r="AN120" s="172"/>
      <c r="AQ120" s="172"/>
      <c r="AR120" s="172"/>
      <c r="AU120" s="172"/>
      <c r="AV120" s="172"/>
      <c r="AY120" s="172"/>
      <c r="AZ120" s="172"/>
      <c r="BC120" s="172"/>
      <c r="BD120" s="172"/>
      <c r="BH120" s="172">
        <v>7</v>
      </c>
      <c r="BN120" s="172">
        <v>5</v>
      </c>
      <c r="BO120" s="172" t="s">
        <v>1360</v>
      </c>
      <c r="BP120" s="172">
        <v>10003601</v>
      </c>
      <c r="BQ120" s="172">
        <v>300</v>
      </c>
    </row>
    <row r="121" spans="1:69" ht="14.5">
      <c r="A121" s="172">
        <v>2040028</v>
      </c>
      <c r="B121" s="172">
        <v>118</v>
      </c>
      <c r="C121" s="172">
        <v>204</v>
      </c>
      <c r="D121" s="172" t="s">
        <v>226</v>
      </c>
      <c r="E121" s="172">
        <v>28</v>
      </c>
      <c r="F121" s="172" t="s">
        <v>1379</v>
      </c>
      <c r="H121" s="173"/>
      <c r="I121" s="172">
        <v>3</v>
      </c>
      <c r="J121" s="177">
        <v>233280</v>
      </c>
      <c r="K121" s="177">
        <v>4700000</v>
      </c>
      <c r="L121" s="177">
        <v>0</v>
      </c>
      <c r="M121" s="177">
        <v>4700000</v>
      </c>
      <c r="N121" s="177">
        <v>4700000</v>
      </c>
      <c r="O121" s="172"/>
      <c r="P121" s="172"/>
      <c r="Q121" s="172" t="s">
        <v>1318</v>
      </c>
      <c r="R121" s="172" t="s">
        <v>1354</v>
      </c>
      <c r="S121" s="172">
        <v>1</v>
      </c>
      <c r="T121" s="172">
        <v>0</v>
      </c>
      <c r="U121" s="172">
        <v>0</v>
      </c>
      <c r="V121" s="172"/>
      <c r="W121" s="172"/>
      <c r="Z121" s="172">
        <v>128246</v>
      </c>
      <c r="AA121" s="172">
        <v>1017</v>
      </c>
      <c r="AB121" s="172">
        <v>16600</v>
      </c>
      <c r="AE121" s="172"/>
      <c r="AF121" s="172"/>
      <c r="AI121" s="172"/>
      <c r="AJ121" s="172"/>
      <c r="AM121" s="172"/>
      <c r="AN121" s="172"/>
      <c r="AQ121" s="172"/>
      <c r="AR121" s="172"/>
      <c r="AU121" s="172"/>
      <c r="AV121" s="172"/>
      <c r="AY121" s="172"/>
      <c r="AZ121" s="172"/>
      <c r="BC121" s="172"/>
      <c r="BD121" s="172"/>
      <c r="BH121" s="172">
        <v>7</v>
      </c>
      <c r="BN121" s="172">
        <v>5</v>
      </c>
      <c r="BO121" s="172" t="s">
        <v>1360</v>
      </c>
      <c r="BP121" s="172">
        <v>10003601</v>
      </c>
      <c r="BQ121" s="172">
        <v>300</v>
      </c>
    </row>
    <row r="122" spans="1:69" ht="14.5">
      <c r="A122" s="172">
        <v>2040029</v>
      </c>
      <c r="B122" s="172">
        <v>119</v>
      </c>
      <c r="C122" s="172">
        <v>204</v>
      </c>
      <c r="D122" s="172" t="s">
        <v>226</v>
      </c>
      <c r="E122" s="172">
        <v>29</v>
      </c>
      <c r="F122" s="172" t="s">
        <v>1380</v>
      </c>
      <c r="H122" s="173"/>
      <c r="I122" s="172">
        <v>3</v>
      </c>
      <c r="J122" s="177">
        <v>285120</v>
      </c>
      <c r="K122" s="177">
        <v>6000000</v>
      </c>
      <c r="L122" s="177">
        <v>0</v>
      </c>
      <c r="M122" s="177">
        <v>6000000</v>
      </c>
      <c r="N122" s="177">
        <v>6000000</v>
      </c>
      <c r="O122" s="172"/>
      <c r="P122" s="172"/>
      <c r="Q122" s="172" t="s">
        <v>1318</v>
      </c>
      <c r="R122" s="172" t="s">
        <v>1356</v>
      </c>
      <c r="S122" s="172">
        <v>1</v>
      </c>
      <c r="T122" s="172">
        <v>0</v>
      </c>
      <c r="U122" s="172">
        <v>0</v>
      </c>
      <c r="V122" s="172"/>
      <c r="W122" s="172"/>
      <c r="Z122" s="172">
        <v>164457</v>
      </c>
      <c r="AA122" s="172">
        <v>1017</v>
      </c>
      <c r="AB122" s="172">
        <v>18200</v>
      </c>
      <c r="AE122" s="172"/>
      <c r="AF122" s="172"/>
      <c r="AI122" s="172"/>
      <c r="AJ122" s="172"/>
      <c r="AM122" s="172"/>
      <c r="AN122" s="172"/>
      <c r="AQ122" s="172"/>
      <c r="AR122" s="172"/>
      <c r="AU122" s="172"/>
      <c r="AV122" s="172"/>
      <c r="AY122" s="172"/>
      <c r="AZ122" s="172"/>
      <c r="BC122" s="172"/>
      <c r="BD122" s="172"/>
      <c r="BH122" s="172">
        <v>7</v>
      </c>
      <c r="BN122" s="172">
        <v>5</v>
      </c>
      <c r="BO122" s="172" t="s">
        <v>1360</v>
      </c>
      <c r="BP122" s="172">
        <v>10003601</v>
      </c>
      <c r="BQ122" s="172">
        <v>300</v>
      </c>
    </row>
    <row r="123" spans="1:69" ht="14.5">
      <c r="A123" s="172">
        <v>2040030</v>
      </c>
      <c r="B123" s="172">
        <v>120</v>
      </c>
      <c r="C123" s="172">
        <v>204</v>
      </c>
      <c r="D123" s="172" t="s">
        <v>226</v>
      </c>
      <c r="E123" s="172">
        <v>30</v>
      </c>
      <c r="F123" s="172" t="s">
        <v>1381</v>
      </c>
      <c r="H123" s="173"/>
      <c r="I123" s="172">
        <v>3</v>
      </c>
      <c r="J123" s="177">
        <v>345600</v>
      </c>
      <c r="K123" s="177">
        <v>7700000</v>
      </c>
      <c r="L123" s="177">
        <v>0</v>
      </c>
      <c r="M123" s="177">
        <v>7700000</v>
      </c>
      <c r="N123" s="177">
        <v>7700000</v>
      </c>
      <c r="O123" s="172"/>
      <c r="P123" s="172"/>
      <c r="Q123" s="172" t="s">
        <v>1318</v>
      </c>
      <c r="R123" s="172" t="s">
        <v>1358</v>
      </c>
      <c r="S123" s="172">
        <v>1</v>
      </c>
      <c r="T123" s="172">
        <v>0</v>
      </c>
      <c r="U123" s="172">
        <v>0</v>
      </c>
      <c r="V123" s="172"/>
      <c r="W123" s="172"/>
      <c r="Z123" s="172">
        <v>210806</v>
      </c>
      <c r="AA123" s="172">
        <v>1017</v>
      </c>
      <c r="AB123" s="172">
        <v>20000</v>
      </c>
      <c r="AE123" s="172"/>
      <c r="AF123" s="172"/>
      <c r="AI123" s="172"/>
      <c r="AJ123" s="172"/>
      <c r="AM123" s="172"/>
      <c r="AN123" s="172"/>
      <c r="AQ123" s="172"/>
      <c r="AR123" s="172"/>
      <c r="AU123" s="172"/>
      <c r="AV123" s="172"/>
      <c r="AY123" s="172"/>
      <c r="AZ123" s="172"/>
      <c r="BC123" s="172"/>
      <c r="BD123" s="172"/>
      <c r="BH123" s="172">
        <v>7</v>
      </c>
      <c r="BN123" s="172">
        <v>5</v>
      </c>
      <c r="BO123" s="172" t="s">
        <v>1360</v>
      </c>
      <c r="BP123" s="172">
        <v>10003601</v>
      </c>
      <c r="BQ123" s="172">
        <v>300</v>
      </c>
    </row>
    <row r="124" spans="1:69" ht="14.5">
      <c r="A124" s="172">
        <v>2050001</v>
      </c>
      <c r="B124" s="172">
        <v>121</v>
      </c>
      <c r="C124" s="172">
        <v>205</v>
      </c>
      <c r="D124" s="172" t="s">
        <v>249</v>
      </c>
      <c r="E124" s="172">
        <v>1</v>
      </c>
      <c r="F124" s="172" t="s">
        <v>250</v>
      </c>
      <c r="H124" s="173"/>
      <c r="I124" s="172" t="s">
        <v>1205</v>
      </c>
      <c r="J124" s="177">
        <v>25</v>
      </c>
      <c r="K124" s="177">
        <v>250</v>
      </c>
      <c r="L124" s="177">
        <v>250</v>
      </c>
      <c r="M124" s="177">
        <v>0</v>
      </c>
      <c r="N124" s="177">
        <v>0</v>
      </c>
      <c r="O124" s="172"/>
      <c r="P124" s="172"/>
      <c r="Q124" s="172" t="s">
        <v>1318</v>
      </c>
      <c r="R124" s="172" t="s">
        <v>1322</v>
      </c>
      <c r="S124" s="172">
        <v>2</v>
      </c>
      <c r="T124" s="172">
        <v>0</v>
      </c>
      <c r="U124" s="172">
        <v>0</v>
      </c>
      <c r="V124" s="172" t="s">
        <v>229</v>
      </c>
      <c r="W124" s="172" t="s">
        <v>1382</v>
      </c>
      <c r="Z124" s="172">
        <v>1</v>
      </c>
      <c r="AA124" s="172">
        <v>1018</v>
      </c>
      <c r="AB124" s="172">
        <v>400</v>
      </c>
      <c r="AE124" s="172"/>
      <c r="AF124" s="172"/>
      <c r="AI124" s="172"/>
      <c r="AJ124" s="172"/>
      <c r="AM124" s="172"/>
      <c r="AN124" s="172"/>
      <c r="AQ124" s="172"/>
      <c r="AR124" s="172"/>
      <c r="AU124" s="172"/>
      <c r="AV124" s="172"/>
      <c r="AY124" s="172"/>
      <c r="AZ124" s="172"/>
      <c r="BC124" s="172"/>
      <c r="BD124" s="172"/>
      <c r="BH124" s="172">
        <v>8</v>
      </c>
      <c r="BM124" s="172">
        <v>3</v>
      </c>
      <c r="BN124" s="172">
        <v>3</v>
      </c>
      <c r="BO124" s="172" t="s">
        <v>1360</v>
      </c>
      <c r="BP124" s="172">
        <v>10003602</v>
      </c>
      <c r="BQ124" s="172">
        <v>300</v>
      </c>
    </row>
    <row r="125" spans="1:69" ht="14.5">
      <c r="A125" s="172">
        <v>2050002</v>
      </c>
      <c r="B125" s="172">
        <v>122</v>
      </c>
      <c r="C125" s="172">
        <v>205</v>
      </c>
      <c r="D125" s="172" t="s">
        <v>249</v>
      </c>
      <c r="E125" s="172">
        <v>2</v>
      </c>
      <c r="F125" s="172" t="s">
        <v>252</v>
      </c>
      <c r="H125" s="173"/>
      <c r="I125" s="172" t="s">
        <v>1205</v>
      </c>
      <c r="J125" s="177">
        <v>25</v>
      </c>
      <c r="K125" s="177">
        <v>500</v>
      </c>
      <c r="L125" s="177">
        <v>500</v>
      </c>
      <c r="M125" s="177">
        <v>0</v>
      </c>
      <c r="N125" s="177">
        <v>0</v>
      </c>
      <c r="O125" s="172"/>
      <c r="P125" s="172"/>
      <c r="Q125" s="172" t="s">
        <v>1318</v>
      </c>
      <c r="R125" s="172" t="s">
        <v>1322</v>
      </c>
      <c r="S125" s="172">
        <v>2</v>
      </c>
      <c r="T125" s="172">
        <v>0</v>
      </c>
      <c r="U125" s="172">
        <v>0</v>
      </c>
      <c r="V125" s="172"/>
      <c r="W125" s="172"/>
      <c r="Z125" s="172">
        <v>3</v>
      </c>
      <c r="AA125" s="172">
        <v>1018</v>
      </c>
      <c r="AB125" s="172">
        <v>600</v>
      </c>
      <c r="AE125" s="172"/>
      <c r="AF125" s="172"/>
      <c r="AI125" s="172"/>
      <c r="AJ125" s="172"/>
      <c r="AM125" s="172"/>
      <c r="AN125" s="172"/>
      <c r="AQ125" s="172"/>
      <c r="AR125" s="172"/>
      <c r="AU125" s="172"/>
      <c r="AV125" s="172"/>
      <c r="AY125" s="172"/>
      <c r="AZ125" s="172"/>
      <c r="BC125" s="172"/>
      <c r="BD125" s="172"/>
      <c r="BH125" s="172">
        <v>8</v>
      </c>
      <c r="BN125" s="172">
        <v>3</v>
      </c>
      <c r="BO125" s="172" t="s">
        <v>1360</v>
      </c>
      <c r="BP125" s="172">
        <v>10003602</v>
      </c>
      <c r="BQ125" s="172">
        <v>300</v>
      </c>
    </row>
    <row r="126" spans="1:69" ht="14.5">
      <c r="A126" s="172">
        <v>2050003</v>
      </c>
      <c r="B126" s="172">
        <v>123</v>
      </c>
      <c r="C126" s="172">
        <v>205</v>
      </c>
      <c r="D126" s="172" t="s">
        <v>249</v>
      </c>
      <c r="E126" s="172">
        <v>3</v>
      </c>
      <c r="F126" s="172" t="s">
        <v>253</v>
      </c>
      <c r="H126" s="173"/>
      <c r="I126" s="172" t="s">
        <v>1205</v>
      </c>
      <c r="J126" s="177">
        <v>36</v>
      </c>
      <c r="K126" s="177">
        <v>1000</v>
      </c>
      <c r="L126" s="177">
        <v>1000</v>
      </c>
      <c r="M126" s="177">
        <v>0</v>
      </c>
      <c r="N126" s="177">
        <v>0</v>
      </c>
      <c r="O126" s="172"/>
      <c r="P126" s="172"/>
      <c r="Q126" s="172" t="s">
        <v>1318</v>
      </c>
      <c r="R126" s="172" t="s">
        <v>1322</v>
      </c>
      <c r="S126" s="172">
        <v>2</v>
      </c>
      <c r="T126" s="172">
        <v>0</v>
      </c>
      <c r="U126" s="172">
        <v>0</v>
      </c>
      <c r="V126" s="172"/>
      <c r="W126" s="172"/>
      <c r="Z126" s="172">
        <v>7</v>
      </c>
      <c r="AA126" s="172">
        <v>1018</v>
      </c>
      <c r="AB126" s="172">
        <v>800</v>
      </c>
      <c r="AE126" s="172"/>
      <c r="AF126" s="172"/>
      <c r="AI126" s="172"/>
      <c r="AJ126" s="172"/>
      <c r="AM126" s="172"/>
      <c r="AN126" s="172"/>
      <c r="AQ126" s="172"/>
      <c r="AR126" s="172"/>
      <c r="AU126" s="172"/>
      <c r="AV126" s="172"/>
      <c r="AY126" s="172"/>
      <c r="AZ126" s="172"/>
      <c r="BC126" s="172"/>
      <c r="BD126" s="172"/>
      <c r="BH126" s="172">
        <v>8</v>
      </c>
      <c r="BN126" s="172">
        <v>3</v>
      </c>
      <c r="BO126" s="172" t="s">
        <v>1360</v>
      </c>
      <c r="BP126" s="172">
        <v>10003602</v>
      </c>
      <c r="BQ126" s="172">
        <v>300</v>
      </c>
    </row>
    <row r="127" spans="1:69" ht="14.5">
      <c r="A127" s="172">
        <v>2050004</v>
      </c>
      <c r="B127" s="172">
        <v>124</v>
      </c>
      <c r="C127" s="172">
        <v>205</v>
      </c>
      <c r="D127" s="172" t="s">
        <v>249</v>
      </c>
      <c r="E127" s="172">
        <v>4</v>
      </c>
      <c r="F127" s="172" t="s">
        <v>254</v>
      </c>
      <c r="H127" s="173"/>
      <c r="I127" s="172" t="s">
        <v>1205</v>
      </c>
      <c r="J127" s="177">
        <v>72</v>
      </c>
      <c r="K127" s="177">
        <v>2000</v>
      </c>
      <c r="L127" s="177">
        <v>2000</v>
      </c>
      <c r="M127" s="177">
        <v>0</v>
      </c>
      <c r="N127" s="177">
        <v>0</v>
      </c>
      <c r="O127" s="172"/>
      <c r="P127" s="172"/>
      <c r="Q127" s="172" t="s">
        <v>1318</v>
      </c>
      <c r="R127" s="172" t="s">
        <v>1322</v>
      </c>
      <c r="S127" s="172">
        <v>2</v>
      </c>
      <c r="T127" s="172">
        <v>0</v>
      </c>
      <c r="U127" s="172">
        <v>0</v>
      </c>
      <c r="V127" s="172"/>
      <c r="W127" s="172"/>
      <c r="Z127" s="172">
        <v>15</v>
      </c>
      <c r="AA127" s="172">
        <v>1018</v>
      </c>
      <c r="AB127" s="172">
        <v>1000</v>
      </c>
      <c r="AE127" s="172"/>
      <c r="AF127" s="172"/>
      <c r="AI127" s="172"/>
      <c r="AJ127" s="172"/>
      <c r="AM127" s="172"/>
      <c r="AN127" s="172"/>
      <c r="AQ127" s="172"/>
      <c r="AR127" s="172"/>
      <c r="AU127" s="172"/>
      <c r="AV127" s="172"/>
      <c r="AY127" s="172"/>
      <c r="AZ127" s="172"/>
      <c r="BC127" s="172"/>
      <c r="BD127" s="172"/>
      <c r="BH127" s="172">
        <v>8</v>
      </c>
      <c r="BN127" s="172">
        <v>3</v>
      </c>
      <c r="BO127" s="172" t="s">
        <v>1360</v>
      </c>
      <c r="BP127" s="172">
        <v>10003602</v>
      </c>
      <c r="BQ127" s="172">
        <v>300</v>
      </c>
    </row>
    <row r="128" spans="1:69" ht="14.5">
      <c r="A128" s="172">
        <v>2050005</v>
      </c>
      <c r="B128" s="172">
        <v>125</v>
      </c>
      <c r="C128" s="172">
        <v>205</v>
      </c>
      <c r="D128" s="172" t="s">
        <v>249</v>
      </c>
      <c r="E128" s="172">
        <v>5</v>
      </c>
      <c r="F128" s="172" t="s">
        <v>255</v>
      </c>
      <c r="H128" s="173"/>
      <c r="I128" s="172">
        <v>1</v>
      </c>
      <c r="J128" s="177">
        <v>150</v>
      </c>
      <c r="K128" s="177">
        <v>3900</v>
      </c>
      <c r="L128" s="177">
        <v>3900</v>
      </c>
      <c r="M128" s="177">
        <v>0</v>
      </c>
      <c r="N128" s="177">
        <v>0</v>
      </c>
      <c r="O128" s="172"/>
      <c r="P128" s="172"/>
      <c r="Q128" s="172" t="s">
        <v>1318</v>
      </c>
      <c r="R128" s="172" t="s">
        <v>1323</v>
      </c>
      <c r="S128" s="172">
        <v>2</v>
      </c>
      <c r="T128" s="172">
        <v>0</v>
      </c>
      <c r="U128" s="172">
        <v>0</v>
      </c>
      <c r="V128" s="172"/>
      <c r="W128" s="172"/>
      <c r="Z128" s="172">
        <v>30</v>
      </c>
      <c r="AA128" s="172">
        <v>1018</v>
      </c>
      <c r="AB128" s="172">
        <v>1350</v>
      </c>
      <c r="AE128" s="172"/>
      <c r="AF128" s="172"/>
      <c r="AI128" s="172"/>
      <c r="AJ128" s="172"/>
      <c r="AM128" s="172"/>
      <c r="AN128" s="172"/>
      <c r="AQ128" s="172"/>
      <c r="AR128" s="172"/>
      <c r="AU128" s="172"/>
      <c r="AV128" s="172"/>
      <c r="AY128" s="172"/>
      <c r="AZ128" s="172"/>
      <c r="BC128" s="172"/>
      <c r="BD128" s="172"/>
      <c r="BH128" s="172">
        <v>8</v>
      </c>
      <c r="BN128" s="172">
        <v>3</v>
      </c>
      <c r="BO128" s="172" t="s">
        <v>1360</v>
      </c>
      <c r="BP128" s="172">
        <v>10003602</v>
      </c>
      <c r="BQ128" s="172">
        <v>300</v>
      </c>
    </row>
    <row r="129" spans="1:69" ht="14.5">
      <c r="A129" s="172">
        <v>2050006</v>
      </c>
      <c r="B129" s="172">
        <v>126</v>
      </c>
      <c r="C129" s="172">
        <v>205</v>
      </c>
      <c r="D129" s="172" t="s">
        <v>249</v>
      </c>
      <c r="E129" s="172">
        <v>6</v>
      </c>
      <c r="F129" s="172" t="s">
        <v>256</v>
      </c>
      <c r="H129" s="173"/>
      <c r="I129" s="172">
        <v>1</v>
      </c>
      <c r="J129" s="177">
        <v>270</v>
      </c>
      <c r="K129" s="177">
        <v>7200</v>
      </c>
      <c r="L129" s="177">
        <v>7200</v>
      </c>
      <c r="M129" s="177">
        <v>0</v>
      </c>
      <c r="N129" s="177">
        <v>0</v>
      </c>
      <c r="O129" s="172"/>
      <c r="P129" s="172"/>
      <c r="Q129" s="172" t="s">
        <v>1318</v>
      </c>
      <c r="R129" s="172" t="s">
        <v>1324</v>
      </c>
      <c r="S129" s="172">
        <v>2</v>
      </c>
      <c r="T129" s="172">
        <v>0</v>
      </c>
      <c r="U129" s="172">
        <v>0</v>
      </c>
      <c r="V129" s="172"/>
      <c r="W129" s="172"/>
      <c r="Z129" s="172">
        <v>59</v>
      </c>
      <c r="AA129" s="172">
        <v>1018</v>
      </c>
      <c r="AB129" s="172">
        <v>1700</v>
      </c>
      <c r="AE129" s="172"/>
      <c r="AF129" s="172"/>
      <c r="AI129" s="172"/>
      <c r="AJ129" s="172"/>
      <c r="AM129" s="172"/>
      <c r="AN129" s="172"/>
      <c r="AQ129" s="172"/>
      <c r="AR129" s="172"/>
      <c r="AU129" s="172"/>
      <c r="AV129" s="172"/>
      <c r="AY129" s="172"/>
      <c r="AZ129" s="172"/>
      <c r="BC129" s="172"/>
      <c r="BD129" s="172"/>
      <c r="BH129" s="172">
        <v>8</v>
      </c>
      <c r="BN129" s="172">
        <v>3</v>
      </c>
      <c r="BO129" s="172" t="s">
        <v>1360</v>
      </c>
      <c r="BP129" s="172">
        <v>10003602</v>
      </c>
      <c r="BQ129" s="172">
        <v>300</v>
      </c>
    </row>
    <row r="130" spans="1:69" ht="14.5">
      <c r="A130" s="172">
        <v>2050007</v>
      </c>
      <c r="B130" s="172">
        <v>127</v>
      </c>
      <c r="C130" s="172">
        <v>205</v>
      </c>
      <c r="D130" s="172" t="s">
        <v>249</v>
      </c>
      <c r="E130" s="172">
        <v>7</v>
      </c>
      <c r="F130" s="172" t="s">
        <v>257</v>
      </c>
      <c r="H130" s="173"/>
      <c r="I130" s="172">
        <v>1</v>
      </c>
      <c r="J130" s="177">
        <v>450</v>
      </c>
      <c r="K130" s="177">
        <v>13000</v>
      </c>
      <c r="L130" s="177">
        <v>13000</v>
      </c>
      <c r="M130" s="177">
        <v>0</v>
      </c>
      <c r="N130" s="177">
        <v>0</v>
      </c>
      <c r="O130" s="172"/>
      <c r="P130" s="172"/>
      <c r="Q130" s="172" t="s">
        <v>1318</v>
      </c>
      <c r="R130" s="172" t="s">
        <v>1325</v>
      </c>
      <c r="S130" s="172">
        <v>2</v>
      </c>
      <c r="T130" s="172">
        <v>0</v>
      </c>
      <c r="U130" s="172">
        <v>0</v>
      </c>
      <c r="V130" s="172"/>
      <c r="W130" s="172"/>
      <c r="Z130" s="172">
        <v>110</v>
      </c>
      <c r="AA130" s="172">
        <v>1018</v>
      </c>
      <c r="AB130" s="172">
        <v>2050</v>
      </c>
      <c r="AE130" s="172"/>
      <c r="AF130" s="172"/>
      <c r="AI130" s="172"/>
      <c r="AJ130" s="172"/>
      <c r="AM130" s="172"/>
      <c r="AN130" s="172"/>
      <c r="AQ130" s="172"/>
      <c r="AR130" s="172"/>
      <c r="AU130" s="172"/>
      <c r="AV130" s="172"/>
      <c r="AY130" s="172"/>
      <c r="AZ130" s="172"/>
      <c r="BC130" s="172"/>
      <c r="BD130" s="172"/>
      <c r="BH130" s="172">
        <v>8</v>
      </c>
      <c r="BI130" s="172">
        <v>299</v>
      </c>
      <c r="BN130" s="172">
        <v>3</v>
      </c>
      <c r="BO130" s="172" t="s">
        <v>1360</v>
      </c>
      <c r="BP130" s="172">
        <v>10003602</v>
      </c>
      <c r="BQ130" s="172">
        <v>300</v>
      </c>
    </row>
    <row r="131" spans="1:69" ht="14.5">
      <c r="A131" s="172">
        <v>2050008</v>
      </c>
      <c r="B131" s="172">
        <v>128</v>
      </c>
      <c r="C131" s="172">
        <v>205</v>
      </c>
      <c r="D131" s="172" t="s">
        <v>249</v>
      </c>
      <c r="E131" s="172">
        <v>8</v>
      </c>
      <c r="F131" s="172" t="s">
        <v>258</v>
      </c>
      <c r="H131" s="173"/>
      <c r="I131" s="172">
        <v>1</v>
      </c>
      <c r="J131" s="177">
        <v>720</v>
      </c>
      <c r="K131" s="177">
        <v>22000</v>
      </c>
      <c r="L131" s="177">
        <v>22000</v>
      </c>
      <c r="M131" s="177">
        <v>0</v>
      </c>
      <c r="N131" s="177">
        <v>0</v>
      </c>
      <c r="O131" s="172"/>
      <c r="P131" s="172"/>
      <c r="Q131" s="172" t="s">
        <v>1318</v>
      </c>
      <c r="R131" s="172" t="s">
        <v>1326</v>
      </c>
      <c r="S131" s="172">
        <v>2</v>
      </c>
      <c r="T131" s="172">
        <v>0</v>
      </c>
      <c r="U131" s="172">
        <v>0</v>
      </c>
      <c r="V131" s="172"/>
      <c r="W131" s="172"/>
      <c r="Z131" s="172">
        <v>198</v>
      </c>
      <c r="AA131" s="172">
        <v>1018</v>
      </c>
      <c r="AB131" s="172">
        <v>2400</v>
      </c>
      <c r="AE131" s="172"/>
      <c r="AF131" s="172"/>
      <c r="AI131" s="172"/>
      <c r="AJ131" s="172"/>
      <c r="AM131" s="172"/>
      <c r="AN131" s="172"/>
      <c r="AQ131" s="172"/>
      <c r="AR131" s="172"/>
      <c r="AU131" s="172"/>
      <c r="AV131" s="172"/>
      <c r="AY131" s="172"/>
      <c r="AZ131" s="172"/>
      <c r="BC131" s="172"/>
      <c r="BD131" s="172"/>
      <c r="BH131" s="172">
        <v>8</v>
      </c>
      <c r="BI131" s="172">
        <v>299</v>
      </c>
      <c r="BN131" s="172">
        <v>3</v>
      </c>
      <c r="BO131" s="172" t="s">
        <v>1360</v>
      </c>
      <c r="BP131" s="172">
        <v>10003602</v>
      </c>
      <c r="BQ131" s="172">
        <v>300</v>
      </c>
    </row>
    <row r="132" spans="1:69" ht="14.5">
      <c r="A132" s="172">
        <v>2050009</v>
      </c>
      <c r="B132" s="172">
        <v>129</v>
      </c>
      <c r="C132" s="172">
        <v>205</v>
      </c>
      <c r="D132" s="172" t="s">
        <v>249</v>
      </c>
      <c r="E132" s="172">
        <v>9</v>
      </c>
      <c r="F132" s="172" t="s">
        <v>259</v>
      </c>
      <c r="H132" s="173"/>
      <c r="I132" s="172">
        <v>1</v>
      </c>
      <c r="J132" s="177">
        <v>1440</v>
      </c>
      <c r="K132" s="177">
        <v>36000</v>
      </c>
      <c r="L132" s="177">
        <v>36000</v>
      </c>
      <c r="M132" s="177">
        <v>0</v>
      </c>
      <c r="N132" s="177">
        <v>0</v>
      </c>
      <c r="O132" s="172"/>
      <c r="P132" s="172"/>
      <c r="Q132" s="172" t="s">
        <v>1318</v>
      </c>
      <c r="R132" s="172" t="s">
        <v>1327</v>
      </c>
      <c r="S132" s="172">
        <v>2</v>
      </c>
      <c r="T132" s="172">
        <v>0</v>
      </c>
      <c r="U132" s="172">
        <v>0</v>
      </c>
      <c r="V132" s="172"/>
      <c r="W132" s="172"/>
      <c r="Z132" s="172">
        <v>344</v>
      </c>
      <c r="AA132" s="172">
        <v>1018</v>
      </c>
      <c r="AB132" s="172">
        <v>2750</v>
      </c>
      <c r="AE132" s="172"/>
      <c r="AF132" s="172"/>
      <c r="AI132" s="172"/>
      <c r="AJ132" s="172"/>
      <c r="AM132" s="172"/>
      <c r="AN132" s="172"/>
      <c r="AQ132" s="172"/>
      <c r="AR132" s="172"/>
      <c r="AU132" s="172"/>
      <c r="AV132" s="172"/>
      <c r="AY132" s="172"/>
      <c r="AZ132" s="172"/>
      <c r="BC132" s="172"/>
      <c r="BD132" s="172"/>
      <c r="BH132" s="172">
        <v>8</v>
      </c>
      <c r="BI132" s="172">
        <v>299</v>
      </c>
      <c r="BN132" s="172">
        <v>3</v>
      </c>
      <c r="BO132" s="172" t="s">
        <v>1360</v>
      </c>
      <c r="BP132" s="172">
        <v>10003602</v>
      </c>
      <c r="BQ132" s="172">
        <v>300</v>
      </c>
    </row>
    <row r="133" spans="1:69" ht="14.5">
      <c r="A133" s="172">
        <v>2050010</v>
      </c>
      <c r="B133" s="172">
        <v>130</v>
      </c>
      <c r="C133" s="172">
        <v>205</v>
      </c>
      <c r="D133" s="172" t="s">
        <v>249</v>
      </c>
      <c r="E133" s="172">
        <v>10</v>
      </c>
      <c r="F133" s="172" t="s">
        <v>260</v>
      </c>
      <c r="H133" s="173"/>
      <c r="I133" s="172">
        <v>1</v>
      </c>
      <c r="J133" s="177">
        <v>2160</v>
      </c>
      <c r="K133" s="177">
        <v>38000</v>
      </c>
      <c r="L133" s="177">
        <v>38000</v>
      </c>
      <c r="M133" s="177">
        <v>0</v>
      </c>
      <c r="N133" s="177">
        <v>38000</v>
      </c>
      <c r="O133" s="172"/>
      <c r="P133" s="172"/>
      <c r="Q133" s="172" t="s">
        <v>1318</v>
      </c>
      <c r="R133" s="172" t="s">
        <v>1328</v>
      </c>
      <c r="S133" s="172">
        <v>2</v>
      </c>
      <c r="T133" s="172">
        <v>0</v>
      </c>
      <c r="U133" s="172">
        <v>0</v>
      </c>
      <c r="V133" s="172"/>
      <c r="W133" s="172"/>
      <c r="Z133" s="172">
        <v>575</v>
      </c>
      <c r="AA133" s="172">
        <v>1018</v>
      </c>
      <c r="AB133" s="172">
        <v>3100</v>
      </c>
      <c r="AE133" s="172"/>
      <c r="AF133" s="172"/>
      <c r="AI133" s="172"/>
      <c r="AJ133" s="172"/>
      <c r="AM133" s="172"/>
      <c r="AN133" s="172"/>
      <c r="AQ133" s="172"/>
      <c r="AR133" s="172"/>
      <c r="AU133" s="172"/>
      <c r="AV133" s="172"/>
      <c r="AY133" s="172"/>
      <c r="AZ133" s="172"/>
      <c r="BC133" s="172"/>
      <c r="BD133" s="172"/>
      <c r="BH133" s="172">
        <v>8</v>
      </c>
      <c r="BN133" s="172">
        <v>4</v>
      </c>
      <c r="BO133" s="172" t="s">
        <v>1360</v>
      </c>
      <c r="BP133" s="172">
        <v>10003602</v>
      </c>
      <c r="BQ133" s="172">
        <v>300</v>
      </c>
    </row>
    <row r="134" spans="1:69" ht="14.5">
      <c r="A134" s="172">
        <v>2050011</v>
      </c>
      <c r="B134" s="172">
        <v>131</v>
      </c>
      <c r="C134" s="172">
        <v>205</v>
      </c>
      <c r="D134" s="172" t="s">
        <v>249</v>
      </c>
      <c r="E134" s="172">
        <v>11</v>
      </c>
      <c r="F134" s="172" t="s">
        <v>261</v>
      </c>
      <c r="H134" s="173"/>
      <c r="I134" s="172">
        <v>1</v>
      </c>
      <c r="J134" s="177">
        <v>3240</v>
      </c>
      <c r="K134" s="177">
        <v>58000</v>
      </c>
      <c r="L134" s="177">
        <v>58000</v>
      </c>
      <c r="M134" s="177">
        <v>0</v>
      </c>
      <c r="N134" s="177">
        <v>58000</v>
      </c>
      <c r="O134" s="172"/>
      <c r="P134" s="172"/>
      <c r="Q134" s="172" t="s">
        <v>1318</v>
      </c>
      <c r="R134" s="172" t="s">
        <v>1329</v>
      </c>
      <c r="S134" s="172">
        <v>2</v>
      </c>
      <c r="T134" s="172">
        <v>0</v>
      </c>
      <c r="U134" s="172">
        <v>0</v>
      </c>
      <c r="V134" s="172"/>
      <c r="W134" s="172"/>
      <c r="Z134" s="172">
        <v>923</v>
      </c>
      <c r="AA134" s="172">
        <v>1018</v>
      </c>
      <c r="AB134" s="172">
        <v>3600</v>
      </c>
      <c r="AE134" s="172"/>
      <c r="AF134" s="172"/>
      <c r="AI134" s="172"/>
      <c r="AJ134" s="172"/>
      <c r="AM134" s="172"/>
      <c r="AN134" s="172"/>
      <c r="AQ134" s="172"/>
      <c r="AR134" s="172"/>
      <c r="AU134" s="172"/>
      <c r="AV134" s="172"/>
      <c r="AY134" s="172"/>
      <c r="AZ134" s="172"/>
      <c r="BC134" s="172"/>
      <c r="BD134" s="172"/>
      <c r="BH134" s="172">
        <v>8</v>
      </c>
      <c r="BN134" s="172">
        <v>4</v>
      </c>
      <c r="BO134" s="172" t="s">
        <v>1360</v>
      </c>
      <c r="BP134" s="172">
        <v>10003602</v>
      </c>
      <c r="BQ134" s="172">
        <v>300</v>
      </c>
    </row>
    <row r="135" spans="1:69" ht="14.5">
      <c r="A135" s="172">
        <v>2050012</v>
      </c>
      <c r="B135" s="172">
        <v>132</v>
      </c>
      <c r="C135" s="172">
        <v>205</v>
      </c>
      <c r="D135" s="172" t="s">
        <v>249</v>
      </c>
      <c r="E135" s="172">
        <v>12</v>
      </c>
      <c r="F135" s="172" t="s">
        <v>262</v>
      </c>
      <c r="H135" s="173"/>
      <c r="I135" s="172">
        <v>2</v>
      </c>
      <c r="J135" s="177">
        <v>4320</v>
      </c>
      <c r="K135" s="177">
        <v>84000</v>
      </c>
      <c r="L135" s="177">
        <v>84000</v>
      </c>
      <c r="M135" s="177">
        <v>0</v>
      </c>
      <c r="N135" s="177">
        <v>84000</v>
      </c>
      <c r="O135" s="172"/>
      <c r="P135" s="172"/>
      <c r="Q135" s="172" t="s">
        <v>1318</v>
      </c>
      <c r="R135" s="172" t="s">
        <v>1330</v>
      </c>
      <c r="S135" s="172">
        <v>2</v>
      </c>
      <c r="T135" s="172">
        <v>0</v>
      </c>
      <c r="U135" s="172">
        <v>0</v>
      </c>
      <c r="V135" s="172"/>
      <c r="W135" s="172"/>
      <c r="Z135" s="172">
        <v>1424</v>
      </c>
      <c r="AA135" s="172">
        <v>1018</v>
      </c>
      <c r="AB135" s="172">
        <v>4100</v>
      </c>
      <c r="AE135" s="172"/>
      <c r="AF135" s="172"/>
      <c r="AI135" s="172"/>
      <c r="AJ135" s="172"/>
      <c r="AM135" s="172"/>
      <c r="AN135" s="172"/>
      <c r="AQ135" s="172"/>
      <c r="AR135" s="172"/>
      <c r="AU135" s="172"/>
      <c r="AV135" s="172"/>
      <c r="AY135" s="172"/>
      <c r="AZ135" s="172"/>
      <c r="BC135" s="172"/>
      <c r="BD135" s="172"/>
      <c r="BH135" s="172">
        <v>8</v>
      </c>
      <c r="BN135" s="172">
        <v>4</v>
      </c>
      <c r="BO135" s="172" t="s">
        <v>1360</v>
      </c>
      <c r="BP135" s="172">
        <v>10003602</v>
      </c>
      <c r="BQ135" s="172">
        <v>300</v>
      </c>
    </row>
    <row r="136" spans="1:69" ht="14.5">
      <c r="A136" s="172">
        <v>2050013</v>
      </c>
      <c r="B136" s="172">
        <v>133</v>
      </c>
      <c r="C136" s="172">
        <v>205</v>
      </c>
      <c r="D136" s="172" t="s">
        <v>249</v>
      </c>
      <c r="E136" s="172">
        <v>13</v>
      </c>
      <c r="F136" s="172" t="s">
        <v>263</v>
      </c>
      <c r="H136" s="173"/>
      <c r="I136" s="172">
        <v>2</v>
      </c>
      <c r="J136" s="177">
        <v>5760</v>
      </c>
      <c r="K136" s="177">
        <v>110000</v>
      </c>
      <c r="L136" s="177">
        <v>110000</v>
      </c>
      <c r="M136" s="177">
        <v>0</v>
      </c>
      <c r="N136" s="177">
        <v>110000</v>
      </c>
      <c r="O136" s="172"/>
      <c r="P136" s="172"/>
      <c r="Q136" s="172" t="s">
        <v>1318</v>
      </c>
      <c r="R136" s="172" t="s">
        <v>1331</v>
      </c>
      <c r="S136" s="172">
        <v>2</v>
      </c>
      <c r="T136" s="172">
        <v>0</v>
      </c>
      <c r="U136" s="172">
        <v>0</v>
      </c>
      <c r="V136" s="172"/>
      <c r="W136" s="172"/>
      <c r="Z136" s="172">
        <v>2111</v>
      </c>
      <c r="AA136" s="172">
        <v>1018</v>
      </c>
      <c r="AB136" s="172">
        <v>4600</v>
      </c>
      <c r="AE136" s="172"/>
      <c r="AF136" s="172"/>
      <c r="AI136" s="172"/>
      <c r="AJ136" s="172"/>
      <c r="AM136" s="172"/>
      <c r="AN136" s="172"/>
      <c r="AQ136" s="172"/>
      <c r="AR136" s="172"/>
      <c r="AU136" s="172"/>
      <c r="AV136" s="172"/>
      <c r="AY136" s="172"/>
      <c r="AZ136" s="172"/>
      <c r="BC136" s="172"/>
      <c r="BD136" s="172"/>
      <c r="BH136" s="172">
        <v>8</v>
      </c>
      <c r="BN136" s="172">
        <v>4</v>
      </c>
      <c r="BO136" s="172" t="s">
        <v>1360</v>
      </c>
      <c r="BP136" s="172">
        <v>10003602</v>
      </c>
      <c r="BQ136" s="172">
        <v>300</v>
      </c>
    </row>
    <row r="137" spans="1:69" ht="14.5">
      <c r="A137" s="172">
        <v>2050014</v>
      </c>
      <c r="B137" s="172">
        <v>134</v>
      </c>
      <c r="C137" s="172">
        <v>205</v>
      </c>
      <c r="D137" s="172" t="s">
        <v>249</v>
      </c>
      <c r="E137" s="172">
        <v>14</v>
      </c>
      <c r="F137" s="172" t="s">
        <v>264</v>
      </c>
      <c r="H137" s="173"/>
      <c r="I137" s="172">
        <v>2</v>
      </c>
      <c r="J137" s="177">
        <v>7200</v>
      </c>
      <c r="K137" s="177">
        <v>150000</v>
      </c>
      <c r="L137" s="177">
        <v>150000</v>
      </c>
      <c r="M137" s="177">
        <v>0</v>
      </c>
      <c r="N137" s="177">
        <v>150000</v>
      </c>
      <c r="O137" s="172"/>
      <c r="P137" s="172"/>
      <c r="Q137" s="172" t="s">
        <v>1318</v>
      </c>
      <c r="R137" s="172" t="s">
        <v>1332</v>
      </c>
      <c r="S137" s="172">
        <v>2</v>
      </c>
      <c r="T137" s="172">
        <v>0</v>
      </c>
      <c r="U137" s="172">
        <v>0</v>
      </c>
      <c r="V137" s="172"/>
      <c r="W137" s="172"/>
      <c r="Z137" s="172">
        <v>3003</v>
      </c>
      <c r="AA137" s="172">
        <v>1018</v>
      </c>
      <c r="AB137" s="172">
        <v>5100</v>
      </c>
      <c r="AE137" s="172"/>
      <c r="AF137" s="172"/>
      <c r="AI137" s="172"/>
      <c r="AJ137" s="172"/>
      <c r="AM137" s="172"/>
      <c r="AN137" s="172"/>
      <c r="AQ137" s="172"/>
      <c r="AR137" s="172"/>
      <c r="AU137" s="172"/>
      <c r="AV137" s="172"/>
      <c r="AY137" s="172"/>
      <c r="AZ137" s="172"/>
      <c r="BC137" s="172"/>
      <c r="BD137" s="172"/>
      <c r="BH137" s="172">
        <v>8</v>
      </c>
      <c r="BN137" s="172">
        <v>4</v>
      </c>
      <c r="BO137" s="172" t="s">
        <v>1360</v>
      </c>
      <c r="BP137" s="172">
        <v>10003602</v>
      </c>
      <c r="BQ137" s="172">
        <v>300</v>
      </c>
    </row>
    <row r="138" spans="1:69" ht="14.5">
      <c r="A138" s="172">
        <v>2050015</v>
      </c>
      <c r="B138" s="172">
        <v>135</v>
      </c>
      <c r="C138" s="172">
        <v>205</v>
      </c>
      <c r="D138" s="172" t="s">
        <v>249</v>
      </c>
      <c r="E138" s="172">
        <v>15</v>
      </c>
      <c r="F138" s="172" t="s">
        <v>265</v>
      </c>
      <c r="H138" s="173"/>
      <c r="I138" s="172">
        <v>2</v>
      </c>
      <c r="J138" s="177">
        <v>8640</v>
      </c>
      <c r="K138" s="177">
        <v>190000</v>
      </c>
      <c r="L138" s="177">
        <v>190000</v>
      </c>
      <c r="M138" s="177">
        <v>0</v>
      </c>
      <c r="N138" s="177">
        <v>190000</v>
      </c>
      <c r="O138" s="172"/>
      <c r="P138" s="172"/>
      <c r="Q138" s="172" t="s">
        <v>1318</v>
      </c>
      <c r="R138" s="172" t="s">
        <v>1333</v>
      </c>
      <c r="S138" s="172">
        <v>2</v>
      </c>
      <c r="T138" s="172">
        <v>0</v>
      </c>
      <c r="U138" s="172">
        <v>0</v>
      </c>
      <c r="V138" s="172"/>
      <c r="W138" s="172"/>
      <c r="Z138" s="172">
        <v>4146</v>
      </c>
      <c r="AA138" s="172">
        <v>1018</v>
      </c>
      <c r="AB138" s="172">
        <v>5600</v>
      </c>
      <c r="AE138" s="172"/>
      <c r="AF138" s="172"/>
      <c r="AI138" s="172"/>
      <c r="AJ138" s="172"/>
      <c r="AM138" s="172"/>
      <c r="AN138" s="172"/>
      <c r="AQ138" s="172"/>
      <c r="AR138" s="172"/>
      <c r="AU138" s="172"/>
      <c r="AV138" s="172"/>
      <c r="AY138" s="172"/>
      <c r="AZ138" s="172"/>
      <c r="BC138" s="172"/>
      <c r="BD138" s="172"/>
      <c r="BH138" s="172">
        <v>8</v>
      </c>
      <c r="BN138" s="172">
        <v>4</v>
      </c>
      <c r="BO138" s="172" t="s">
        <v>1360</v>
      </c>
      <c r="BP138" s="172">
        <v>10003602</v>
      </c>
      <c r="BQ138" s="172">
        <v>300</v>
      </c>
    </row>
    <row r="139" spans="1:69" ht="14.5">
      <c r="A139" s="172">
        <v>2050016</v>
      </c>
      <c r="B139" s="172">
        <v>136</v>
      </c>
      <c r="C139" s="172">
        <v>205</v>
      </c>
      <c r="D139" s="172" t="s">
        <v>249</v>
      </c>
      <c r="E139" s="172">
        <v>16</v>
      </c>
      <c r="F139" s="172" t="s">
        <v>266</v>
      </c>
      <c r="H139" s="173"/>
      <c r="I139" s="172">
        <v>2</v>
      </c>
      <c r="J139" s="177">
        <v>10800</v>
      </c>
      <c r="K139" s="177">
        <v>240000</v>
      </c>
      <c r="L139" s="177">
        <v>240000</v>
      </c>
      <c r="M139" s="177">
        <v>0</v>
      </c>
      <c r="N139" s="177">
        <v>240000</v>
      </c>
      <c r="O139" s="172"/>
      <c r="P139" s="172"/>
      <c r="Q139" s="172" t="s">
        <v>1318</v>
      </c>
      <c r="R139" s="172" t="s">
        <v>1334</v>
      </c>
      <c r="S139" s="172">
        <v>2</v>
      </c>
      <c r="T139" s="172">
        <v>0</v>
      </c>
      <c r="U139" s="172">
        <v>0</v>
      </c>
      <c r="V139" s="172"/>
      <c r="W139" s="172"/>
      <c r="Z139" s="172">
        <v>5609</v>
      </c>
      <c r="AA139" s="172">
        <v>1018</v>
      </c>
      <c r="AB139" s="172">
        <v>6250</v>
      </c>
      <c r="AE139" s="172"/>
      <c r="AF139" s="172"/>
      <c r="AI139" s="172"/>
      <c r="AJ139" s="172"/>
      <c r="AM139" s="172"/>
      <c r="AN139" s="172"/>
      <c r="AQ139" s="172"/>
      <c r="AR139" s="172"/>
      <c r="AU139" s="172"/>
      <c r="AV139" s="172"/>
      <c r="AY139" s="172"/>
      <c r="AZ139" s="172"/>
      <c r="BC139" s="172"/>
      <c r="BD139" s="172"/>
      <c r="BH139" s="172">
        <v>8</v>
      </c>
      <c r="BN139" s="172">
        <v>4</v>
      </c>
      <c r="BO139" s="172" t="s">
        <v>1360</v>
      </c>
      <c r="BP139" s="172">
        <v>10003602</v>
      </c>
      <c r="BQ139" s="172">
        <v>300</v>
      </c>
    </row>
    <row r="140" spans="1:69" ht="14.5">
      <c r="A140" s="172">
        <v>2050017</v>
      </c>
      <c r="B140" s="172">
        <v>137</v>
      </c>
      <c r="C140" s="172">
        <v>205</v>
      </c>
      <c r="D140" s="172" t="s">
        <v>249</v>
      </c>
      <c r="E140" s="172">
        <v>17</v>
      </c>
      <c r="F140" s="172" t="s">
        <v>267</v>
      </c>
      <c r="H140" s="173"/>
      <c r="I140" s="172">
        <v>2</v>
      </c>
      <c r="J140" s="177">
        <v>14400</v>
      </c>
      <c r="K140" s="177">
        <v>310000</v>
      </c>
      <c r="L140" s="177">
        <v>310000</v>
      </c>
      <c r="M140" s="177">
        <v>0</v>
      </c>
      <c r="N140" s="177">
        <v>310000</v>
      </c>
      <c r="O140" s="172"/>
      <c r="P140" s="172"/>
      <c r="Q140" s="172" t="s">
        <v>1318</v>
      </c>
      <c r="R140" s="172" t="s">
        <v>1335</v>
      </c>
      <c r="S140" s="172">
        <v>2</v>
      </c>
      <c r="T140" s="172">
        <v>0</v>
      </c>
      <c r="U140" s="172">
        <v>0</v>
      </c>
      <c r="V140" s="172"/>
      <c r="W140" s="172"/>
      <c r="Z140" s="172">
        <v>7481</v>
      </c>
      <c r="AA140" s="172">
        <v>1018</v>
      </c>
      <c r="AB140" s="172">
        <v>6900</v>
      </c>
      <c r="AE140" s="172"/>
      <c r="AF140" s="172"/>
      <c r="AI140" s="172"/>
      <c r="AJ140" s="172"/>
      <c r="AM140" s="172"/>
      <c r="AN140" s="172"/>
      <c r="AQ140" s="172"/>
      <c r="AR140" s="172"/>
      <c r="AU140" s="172"/>
      <c r="AV140" s="172"/>
      <c r="AY140" s="172"/>
      <c r="AZ140" s="172"/>
      <c r="BC140" s="172"/>
      <c r="BD140" s="172"/>
      <c r="BH140" s="172">
        <v>8</v>
      </c>
      <c r="BN140" s="172">
        <v>4</v>
      </c>
      <c r="BO140" s="172" t="s">
        <v>1360</v>
      </c>
      <c r="BP140" s="172">
        <v>10003602</v>
      </c>
      <c r="BQ140" s="172">
        <v>300</v>
      </c>
    </row>
    <row r="141" spans="1:69" ht="14.5">
      <c r="A141" s="172">
        <v>2050018</v>
      </c>
      <c r="B141" s="172">
        <v>138</v>
      </c>
      <c r="C141" s="172">
        <v>205</v>
      </c>
      <c r="D141" s="172" t="s">
        <v>249</v>
      </c>
      <c r="E141" s="172">
        <v>18</v>
      </c>
      <c r="F141" s="172" t="s">
        <v>268</v>
      </c>
      <c r="H141" s="173"/>
      <c r="I141" s="172">
        <v>2</v>
      </c>
      <c r="J141" s="177">
        <v>18720</v>
      </c>
      <c r="K141" s="177">
        <v>400000</v>
      </c>
      <c r="L141" s="177">
        <v>400000</v>
      </c>
      <c r="M141" s="177">
        <v>0</v>
      </c>
      <c r="N141" s="177">
        <v>400000</v>
      </c>
      <c r="O141" s="172"/>
      <c r="P141" s="172"/>
      <c r="Q141" s="172" t="s">
        <v>1318</v>
      </c>
      <c r="R141" s="172" t="s">
        <v>1336</v>
      </c>
      <c r="S141" s="172">
        <v>2</v>
      </c>
      <c r="T141" s="172">
        <v>0</v>
      </c>
      <c r="U141" s="172">
        <v>0</v>
      </c>
      <c r="V141" s="172"/>
      <c r="W141" s="172"/>
      <c r="Z141" s="172">
        <v>9877</v>
      </c>
      <c r="AA141" s="172">
        <v>1018</v>
      </c>
      <c r="AB141" s="172">
        <v>7600</v>
      </c>
      <c r="AE141" s="172"/>
      <c r="AF141" s="172"/>
      <c r="AI141" s="172"/>
      <c r="AJ141" s="172"/>
      <c r="AM141" s="172"/>
      <c r="AN141" s="172"/>
      <c r="AQ141" s="172"/>
      <c r="AR141" s="172"/>
      <c r="AU141" s="172"/>
      <c r="AV141" s="172"/>
      <c r="AY141" s="172"/>
      <c r="AZ141" s="172"/>
      <c r="BC141" s="172"/>
      <c r="BD141" s="172"/>
      <c r="BH141" s="172">
        <v>8</v>
      </c>
      <c r="BN141" s="172">
        <v>4</v>
      </c>
      <c r="BO141" s="172" t="s">
        <v>1360</v>
      </c>
      <c r="BP141" s="172">
        <v>10003602</v>
      </c>
      <c r="BQ141" s="172">
        <v>300</v>
      </c>
    </row>
    <row r="142" spans="1:69" ht="14.5">
      <c r="A142" s="172">
        <v>2050019</v>
      </c>
      <c r="B142" s="172">
        <v>139</v>
      </c>
      <c r="C142" s="172">
        <v>205</v>
      </c>
      <c r="D142" s="172" t="s">
        <v>249</v>
      </c>
      <c r="E142" s="172">
        <v>19</v>
      </c>
      <c r="F142" s="172" t="s">
        <v>269</v>
      </c>
      <c r="H142" s="173"/>
      <c r="I142" s="172">
        <v>2</v>
      </c>
      <c r="J142" s="177">
        <v>24480</v>
      </c>
      <c r="K142" s="177">
        <v>510000</v>
      </c>
      <c r="L142" s="177">
        <v>510000</v>
      </c>
      <c r="M142" s="177">
        <v>0</v>
      </c>
      <c r="N142" s="177">
        <v>510000</v>
      </c>
      <c r="O142" s="172"/>
      <c r="P142" s="172"/>
      <c r="Q142" s="172" t="s">
        <v>1318</v>
      </c>
      <c r="R142" s="172" t="s">
        <v>1337</v>
      </c>
      <c r="S142" s="172">
        <v>2</v>
      </c>
      <c r="T142" s="172">
        <v>0</v>
      </c>
      <c r="U142" s="172">
        <v>0</v>
      </c>
      <c r="V142" s="172"/>
      <c r="W142" s="172"/>
      <c r="Z142" s="172">
        <v>12944</v>
      </c>
      <c r="AA142" s="172">
        <v>1018</v>
      </c>
      <c r="AB142" s="172">
        <v>8300</v>
      </c>
      <c r="AE142" s="172"/>
      <c r="AF142" s="172"/>
      <c r="AI142" s="172"/>
      <c r="AJ142" s="172"/>
      <c r="AM142" s="172"/>
      <c r="AN142" s="172"/>
      <c r="AQ142" s="172"/>
      <c r="AR142" s="172"/>
      <c r="AU142" s="172"/>
      <c r="AV142" s="172"/>
      <c r="AY142" s="172"/>
      <c r="AZ142" s="172"/>
      <c r="BC142" s="172"/>
      <c r="BD142" s="172"/>
      <c r="BH142" s="172">
        <v>8</v>
      </c>
      <c r="BN142" s="172">
        <v>4</v>
      </c>
      <c r="BO142" s="172" t="s">
        <v>1360</v>
      </c>
      <c r="BP142" s="172">
        <v>10003602</v>
      </c>
      <c r="BQ142" s="172">
        <v>300</v>
      </c>
    </row>
    <row r="143" spans="1:69" ht="14.5">
      <c r="A143" s="172">
        <v>2050020</v>
      </c>
      <c r="B143" s="172">
        <v>140</v>
      </c>
      <c r="C143" s="172">
        <v>205</v>
      </c>
      <c r="D143" s="172" t="s">
        <v>249</v>
      </c>
      <c r="E143" s="172">
        <v>20</v>
      </c>
      <c r="F143" s="172" t="s">
        <v>270</v>
      </c>
      <c r="H143" s="173"/>
      <c r="I143" s="172">
        <v>3</v>
      </c>
      <c r="J143" s="177">
        <v>34560</v>
      </c>
      <c r="K143" s="177">
        <v>650000</v>
      </c>
      <c r="L143" s="177">
        <v>650000</v>
      </c>
      <c r="M143" s="177">
        <v>0</v>
      </c>
      <c r="N143" s="177">
        <v>650000</v>
      </c>
      <c r="O143" s="172"/>
      <c r="P143" s="172"/>
      <c r="Q143" s="172" t="s">
        <v>1318</v>
      </c>
      <c r="R143" s="172" t="s">
        <v>1338</v>
      </c>
      <c r="S143" s="172">
        <v>2</v>
      </c>
      <c r="T143" s="172">
        <v>0</v>
      </c>
      <c r="U143" s="172">
        <v>0</v>
      </c>
      <c r="V143" s="172"/>
      <c r="W143" s="172"/>
      <c r="Z143" s="172">
        <v>16870</v>
      </c>
      <c r="AA143" s="172">
        <v>1018</v>
      </c>
      <c r="AB143" s="172">
        <v>9000</v>
      </c>
      <c r="AE143" s="172"/>
      <c r="AF143" s="172"/>
      <c r="AI143" s="172"/>
      <c r="AJ143" s="172"/>
      <c r="AM143" s="172"/>
      <c r="AN143" s="172"/>
      <c r="AQ143" s="172"/>
      <c r="AR143" s="172"/>
      <c r="AU143" s="172"/>
      <c r="AV143" s="172"/>
      <c r="AY143" s="172"/>
      <c r="AZ143" s="172"/>
      <c r="BC143" s="172"/>
      <c r="BD143" s="172"/>
      <c r="BH143" s="172">
        <v>8</v>
      </c>
      <c r="BN143" s="172">
        <v>5</v>
      </c>
      <c r="BO143" s="172" t="s">
        <v>1360</v>
      </c>
      <c r="BP143" s="172">
        <v>10003602</v>
      </c>
      <c r="BQ143" s="172">
        <v>300</v>
      </c>
    </row>
    <row r="144" spans="1:69" ht="14.5">
      <c r="A144" s="172">
        <v>2050021</v>
      </c>
      <c r="B144" s="172">
        <v>141</v>
      </c>
      <c r="C144" s="172">
        <v>205</v>
      </c>
      <c r="D144" s="172" t="s">
        <v>249</v>
      </c>
      <c r="E144" s="172">
        <v>21</v>
      </c>
      <c r="F144" s="172" t="s">
        <v>1383</v>
      </c>
      <c r="H144" s="173"/>
      <c r="I144" s="172">
        <v>3</v>
      </c>
      <c r="J144" s="177">
        <v>46080</v>
      </c>
      <c r="K144" s="177">
        <v>840000</v>
      </c>
      <c r="L144" s="177">
        <v>840000</v>
      </c>
      <c r="M144" s="177">
        <v>0</v>
      </c>
      <c r="N144" s="177">
        <v>840000</v>
      </c>
      <c r="O144" s="172"/>
      <c r="P144" s="172"/>
      <c r="Q144" s="172" t="s">
        <v>1318</v>
      </c>
      <c r="R144" s="172" t="s">
        <v>1340</v>
      </c>
      <c r="S144" s="172">
        <v>2</v>
      </c>
      <c r="T144" s="172">
        <v>0</v>
      </c>
      <c r="U144" s="172">
        <v>0</v>
      </c>
      <c r="V144" s="172"/>
      <c r="W144" s="172"/>
      <c r="Z144" s="172">
        <v>21895</v>
      </c>
      <c r="AA144" s="172">
        <v>1018</v>
      </c>
      <c r="AB144" s="172">
        <v>9800</v>
      </c>
      <c r="AE144" s="172"/>
      <c r="AF144" s="172"/>
      <c r="AI144" s="172"/>
      <c r="AJ144" s="172"/>
      <c r="AM144" s="172"/>
      <c r="AN144" s="172"/>
      <c r="AQ144" s="172"/>
      <c r="AR144" s="172"/>
      <c r="AU144" s="172"/>
      <c r="AV144" s="172"/>
      <c r="AY144" s="172"/>
      <c r="AZ144" s="172"/>
      <c r="BC144" s="172"/>
      <c r="BD144" s="172"/>
      <c r="BH144" s="172">
        <v>8</v>
      </c>
      <c r="BN144" s="172">
        <v>5</v>
      </c>
      <c r="BO144" s="172" t="s">
        <v>1360</v>
      </c>
      <c r="BP144" s="172">
        <v>10003602</v>
      </c>
      <c r="BQ144" s="172">
        <v>300</v>
      </c>
    </row>
    <row r="145" spans="1:69" ht="14.5">
      <c r="A145" s="172">
        <v>2050022</v>
      </c>
      <c r="B145" s="172">
        <v>142</v>
      </c>
      <c r="C145" s="172">
        <v>205</v>
      </c>
      <c r="D145" s="172" t="s">
        <v>249</v>
      </c>
      <c r="E145" s="172">
        <v>22</v>
      </c>
      <c r="F145" s="172" t="s">
        <v>1384</v>
      </c>
      <c r="H145" s="173"/>
      <c r="I145" s="172">
        <v>3</v>
      </c>
      <c r="J145" s="177">
        <v>60480</v>
      </c>
      <c r="K145" s="177">
        <v>1100000</v>
      </c>
      <c r="L145" s="177">
        <v>1100000</v>
      </c>
      <c r="M145" s="177">
        <v>0</v>
      </c>
      <c r="N145" s="177">
        <v>1100000</v>
      </c>
      <c r="O145" s="172"/>
      <c r="P145" s="172"/>
      <c r="Q145" s="172" t="s">
        <v>1318</v>
      </c>
      <c r="R145" s="172" t="s">
        <v>1342</v>
      </c>
      <c r="S145" s="172">
        <v>2</v>
      </c>
      <c r="T145" s="172">
        <v>0</v>
      </c>
      <c r="U145" s="172">
        <v>0</v>
      </c>
      <c r="V145" s="172"/>
      <c r="W145" s="172"/>
      <c r="Z145" s="172">
        <v>28328</v>
      </c>
      <c r="AA145" s="172">
        <v>1018</v>
      </c>
      <c r="AB145" s="172">
        <v>10600</v>
      </c>
      <c r="AE145" s="172"/>
      <c r="AF145" s="172"/>
      <c r="AI145" s="172"/>
      <c r="AJ145" s="172"/>
      <c r="AM145" s="172"/>
      <c r="AN145" s="172"/>
      <c r="AQ145" s="172"/>
      <c r="AR145" s="172"/>
      <c r="AU145" s="172"/>
      <c r="AV145" s="172"/>
      <c r="AY145" s="172"/>
      <c r="AZ145" s="172"/>
      <c r="BC145" s="172"/>
      <c r="BD145" s="172"/>
      <c r="BH145" s="172">
        <v>8</v>
      </c>
      <c r="BN145" s="172">
        <v>5</v>
      </c>
      <c r="BO145" s="172" t="s">
        <v>1360</v>
      </c>
      <c r="BP145" s="172">
        <v>10003602</v>
      </c>
      <c r="BQ145" s="172">
        <v>300</v>
      </c>
    </row>
    <row r="146" spans="1:69" ht="14.5">
      <c r="A146" s="172">
        <v>2050023</v>
      </c>
      <c r="B146" s="172">
        <v>143</v>
      </c>
      <c r="C146" s="172">
        <v>205</v>
      </c>
      <c r="D146" s="172" t="s">
        <v>249</v>
      </c>
      <c r="E146" s="172">
        <v>23</v>
      </c>
      <c r="F146" s="172" t="s">
        <v>1385</v>
      </c>
      <c r="H146" s="173"/>
      <c r="I146" s="172">
        <v>3</v>
      </c>
      <c r="J146" s="177">
        <v>77760</v>
      </c>
      <c r="K146" s="177">
        <v>1400000</v>
      </c>
      <c r="L146" s="177">
        <v>1400000</v>
      </c>
      <c r="M146" s="177">
        <v>0</v>
      </c>
      <c r="N146" s="177">
        <v>1400000</v>
      </c>
      <c r="O146" s="172"/>
      <c r="P146" s="172"/>
      <c r="Q146" s="172" t="s">
        <v>1318</v>
      </c>
      <c r="R146" s="172" t="s">
        <v>1344</v>
      </c>
      <c r="S146" s="172">
        <v>2</v>
      </c>
      <c r="T146" s="172">
        <v>0</v>
      </c>
      <c r="U146" s="172">
        <v>0</v>
      </c>
      <c r="V146" s="172"/>
      <c r="W146" s="172"/>
      <c r="Z146" s="172">
        <v>36561</v>
      </c>
      <c r="AA146" s="172">
        <v>1018</v>
      </c>
      <c r="AB146" s="172">
        <v>11400</v>
      </c>
      <c r="AE146" s="172"/>
      <c r="AF146" s="172"/>
      <c r="AI146" s="172"/>
      <c r="AJ146" s="172"/>
      <c r="AM146" s="172"/>
      <c r="AN146" s="172"/>
      <c r="AQ146" s="172"/>
      <c r="AR146" s="172"/>
      <c r="AU146" s="172"/>
      <c r="AV146" s="172"/>
      <c r="AY146" s="172"/>
      <c r="AZ146" s="172"/>
      <c r="BC146" s="172"/>
      <c r="BD146" s="172"/>
      <c r="BH146" s="172">
        <v>8</v>
      </c>
      <c r="BN146" s="172">
        <v>5</v>
      </c>
      <c r="BO146" s="172" t="s">
        <v>1360</v>
      </c>
      <c r="BP146" s="172">
        <v>10003602</v>
      </c>
      <c r="BQ146" s="172">
        <v>300</v>
      </c>
    </row>
    <row r="147" spans="1:69" ht="14.5">
      <c r="A147" s="172">
        <v>2050024</v>
      </c>
      <c r="B147" s="172">
        <v>144</v>
      </c>
      <c r="C147" s="172">
        <v>205</v>
      </c>
      <c r="D147" s="172" t="s">
        <v>249</v>
      </c>
      <c r="E147" s="172">
        <v>24</v>
      </c>
      <c r="F147" s="172" t="s">
        <v>1386</v>
      </c>
      <c r="H147" s="173"/>
      <c r="I147" s="172">
        <v>3</v>
      </c>
      <c r="J147" s="177">
        <v>99360</v>
      </c>
      <c r="K147" s="177">
        <v>1800000</v>
      </c>
      <c r="L147" s="177">
        <v>1800000</v>
      </c>
      <c r="M147" s="177">
        <v>0</v>
      </c>
      <c r="N147" s="177">
        <v>1800000</v>
      </c>
      <c r="O147" s="172"/>
      <c r="P147" s="172"/>
      <c r="Q147" s="172" t="s">
        <v>1318</v>
      </c>
      <c r="R147" s="172" t="s">
        <v>1346</v>
      </c>
      <c r="S147" s="172">
        <v>2</v>
      </c>
      <c r="T147" s="172">
        <v>0</v>
      </c>
      <c r="U147" s="172">
        <v>0</v>
      </c>
      <c r="V147" s="172"/>
      <c r="W147" s="172"/>
      <c r="Z147" s="172">
        <v>47100</v>
      </c>
      <c r="AA147" s="172">
        <v>1018</v>
      </c>
      <c r="AB147" s="172">
        <v>12200</v>
      </c>
      <c r="AE147" s="172"/>
      <c r="AF147" s="172"/>
      <c r="AI147" s="172"/>
      <c r="AJ147" s="172"/>
      <c r="AM147" s="172"/>
      <c r="AN147" s="172"/>
      <c r="AQ147" s="172"/>
      <c r="AR147" s="172"/>
      <c r="AU147" s="172"/>
      <c r="AV147" s="172"/>
      <c r="AY147" s="172"/>
      <c r="AZ147" s="172"/>
      <c r="BC147" s="172"/>
      <c r="BD147" s="172"/>
      <c r="BH147" s="172">
        <v>8</v>
      </c>
      <c r="BN147" s="172">
        <v>5</v>
      </c>
      <c r="BO147" s="172" t="s">
        <v>1360</v>
      </c>
      <c r="BP147" s="172">
        <v>10003602</v>
      </c>
      <c r="BQ147" s="172">
        <v>300</v>
      </c>
    </row>
    <row r="148" spans="1:69" ht="14.5">
      <c r="A148" s="172">
        <v>2050025</v>
      </c>
      <c r="B148" s="172">
        <v>145</v>
      </c>
      <c r="C148" s="172">
        <v>205</v>
      </c>
      <c r="D148" s="172" t="s">
        <v>249</v>
      </c>
      <c r="E148" s="172">
        <v>25</v>
      </c>
      <c r="F148" s="172" t="s">
        <v>1387</v>
      </c>
      <c r="H148" s="173"/>
      <c r="I148" s="172">
        <v>3</v>
      </c>
      <c r="J148" s="177">
        <v>125280</v>
      </c>
      <c r="K148" s="177">
        <v>2200000</v>
      </c>
      <c r="L148" s="177">
        <v>2200000</v>
      </c>
      <c r="M148" s="177">
        <v>0</v>
      </c>
      <c r="N148" s="177">
        <v>2200000</v>
      </c>
      <c r="O148" s="172"/>
      <c r="P148" s="172"/>
      <c r="Q148" s="172" t="s">
        <v>1318</v>
      </c>
      <c r="R148" s="172" t="s">
        <v>1348</v>
      </c>
      <c r="S148" s="172">
        <v>2</v>
      </c>
      <c r="T148" s="172">
        <v>0</v>
      </c>
      <c r="U148" s="172">
        <v>0</v>
      </c>
      <c r="V148" s="172"/>
      <c r="W148" s="172"/>
      <c r="Z148" s="172">
        <v>60589</v>
      </c>
      <c r="AA148" s="172">
        <v>1018</v>
      </c>
      <c r="AB148" s="172">
        <v>13000</v>
      </c>
      <c r="AE148" s="172"/>
      <c r="AF148" s="172"/>
      <c r="AI148" s="172"/>
      <c r="AJ148" s="172"/>
      <c r="AM148" s="172"/>
      <c r="AN148" s="172"/>
      <c r="AQ148" s="172"/>
      <c r="AR148" s="172"/>
      <c r="AU148" s="172"/>
      <c r="AV148" s="172"/>
      <c r="AY148" s="172"/>
      <c r="AZ148" s="172"/>
      <c r="BC148" s="172"/>
      <c r="BD148" s="172"/>
      <c r="BH148" s="172">
        <v>8</v>
      </c>
      <c r="BN148" s="172">
        <v>5</v>
      </c>
      <c r="BO148" s="172" t="s">
        <v>1360</v>
      </c>
      <c r="BP148" s="172">
        <v>10003602</v>
      </c>
      <c r="BQ148" s="172">
        <v>300</v>
      </c>
    </row>
    <row r="149" spans="1:69" ht="14.5">
      <c r="A149" s="172">
        <v>2050026</v>
      </c>
      <c r="B149" s="172">
        <v>146</v>
      </c>
      <c r="C149" s="172">
        <v>205</v>
      </c>
      <c r="D149" s="172" t="s">
        <v>249</v>
      </c>
      <c r="E149" s="172">
        <v>26</v>
      </c>
      <c r="F149" s="172" t="s">
        <v>1388</v>
      </c>
      <c r="H149" s="173"/>
      <c r="I149" s="172">
        <v>3</v>
      </c>
      <c r="J149" s="177">
        <v>155520</v>
      </c>
      <c r="K149" s="177">
        <v>2900000</v>
      </c>
      <c r="L149" s="177">
        <v>2900000</v>
      </c>
      <c r="M149" s="177">
        <v>0</v>
      </c>
      <c r="N149" s="177">
        <v>2900000</v>
      </c>
      <c r="O149" s="172"/>
      <c r="P149" s="172"/>
      <c r="Q149" s="172" t="s">
        <v>1318</v>
      </c>
      <c r="R149" s="172" t="s">
        <v>1350</v>
      </c>
      <c r="S149" s="172">
        <v>2</v>
      </c>
      <c r="T149" s="172">
        <v>0</v>
      </c>
      <c r="U149" s="172">
        <v>0</v>
      </c>
      <c r="V149" s="172"/>
      <c r="W149" s="172"/>
      <c r="Z149" s="172">
        <v>77856</v>
      </c>
      <c r="AA149" s="172">
        <v>1018</v>
      </c>
      <c r="AB149" s="172">
        <v>14000</v>
      </c>
      <c r="AE149" s="172"/>
      <c r="AF149" s="172"/>
      <c r="AI149" s="172"/>
      <c r="AJ149" s="172"/>
      <c r="AM149" s="172"/>
      <c r="AN149" s="172"/>
      <c r="AQ149" s="172"/>
      <c r="AR149" s="172"/>
      <c r="AU149" s="172"/>
      <c r="AV149" s="172"/>
      <c r="AY149" s="172"/>
      <c r="AZ149" s="172"/>
      <c r="BC149" s="172"/>
      <c r="BD149" s="172"/>
      <c r="BH149" s="172">
        <v>8</v>
      </c>
      <c r="BN149" s="172">
        <v>5</v>
      </c>
      <c r="BO149" s="172" t="s">
        <v>1360</v>
      </c>
      <c r="BP149" s="172">
        <v>10003602</v>
      </c>
      <c r="BQ149" s="172">
        <v>300</v>
      </c>
    </row>
    <row r="150" spans="1:69" ht="14.5">
      <c r="A150" s="172">
        <v>2050027</v>
      </c>
      <c r="B150" s="172">
        <v>147</v>
      </c>
      <c r="C150" s="172">
        <v>205</v>
      </c>
      <c r="D150" s="172" t="s">
        <v>249</v>
      </c>
      <c r="E150" s="172">
        <v>27</v>
      </c>
      <c r="F150" s="172" t="s">
        <v>1389</v>
      </c>
      <c r="H150" s="173"/>
      <c r="I150" s="172">
        <v>3</v>
      </c>
      <c r="J150" s="177">
        <v>190080</v>
      </c>
      <c r="K150" s="177">
        <v>3700000</v>
      </c>
      <c r="L150" s="177">
        <v>3700000</v>
      </c>
      <c r="M150" s="177">
        <v>0</v>
      </c>
      <c r="N150" s="177">
        <v>3700000</v>
      </c>
      <c r="O150" s="172"/>
      <c r="P150" s="172"/>
      <c r="Q150" s="172" t="s">
        <v>1318</v>
      </c>
      <c r="R150" s="172" t="s">
        <v>1352</v>
      </c>
      <c r="S150" s="172">
        <v>2</v>
      </c>
      <c r="T150" s="172">
        <v>0</v>
      </c>
      <c r="U150" s="172">
        <v>0</v>
      </c>
      <c r="V150" s="172"/>
      <c r="W150" s="172"/>
      <c r="Z150" s="172">
        <v>99957</v>
      </c>
      <c r="AA150" s="172">
        <v>1018</v>
      </c>
      <c r="AB150" s="172">
        <v>15200</v>
      </c>
      <c r="AE150" s="172"/>
      <c r="AF150" s="172"/>
      <c r="AI150" s="172"/>
      <c r="AJ150" s="172"/>
      <c r="AM150" s="172"/>
      <c r="AN150" s="172"/>
      <c r="AQ150" s="172"/>
      <c r="AR150" s="172"/>
      <c r="AU150" s="172"/>
      <c r="AV150" s="172"/>
      <c r="AY150" s="172"/>
      <c r="AZ150" s="172"/>
      <c r="BC150" s="172"/>
      <c r="BD150" s="172"/>
      <c r="BH150" s="172">
        <v>8</v>
      </c>
      <c r="BN150" s="172">
        <v>5</v>
      </c>
      <c r="BO150" s="172" t="s">
        <v>1360</v>
      </c>
      <c r="BP150" s="172">
        <v>10003602</v>
      </c>
      <c r="BQ150" s="172">
        <v>300</v>
      </c>
    </row>
    <row r="151" spans="1:69" ht="14.5">
      <c r="A151" s="172">
        <v>2050028</v>
      </c>
      <c r="B151" s="172">
        <v>148</v>
      </c>
      <c r="C151" s="172">
        <v>205</v>
      </c>
      <c r="D151" s="172" t="s">
        <v>249</v>
      </c>
      <c r="E151" s="172">
        <v>28</v>
      </c>
      <c r="F151" s="172" t="s">
        <v>1390</v>
      </c>
      <c r="H151" s="173"/>
      <c r="I151" s="172">
        <v>3</v>
      </c>
      <c r="J151" s="177">
        <v>233280</v>
      </c>
      <c r="K151" s="177">
        <v>4700000</v>
      </c>
      <c r="L151" s="177">
        <v>4700000</v>
      </c>
      <c r="M151" s="177">
        <v>0</v>
      </c>
      <c r="N151" s="177">
        <v>4700000</v>
      </c>
      <c r="O151" s="172"/>
      <c r="P151" s="172"/>
      <c r="Q151" s="172" t="s">
        <v>1318</v>
      </c>
      <c r="R151" s="172" t="s">
        <v>1354</v>
      </c>
      <c r="S151" s="172">
        <v>2</v>
      </c>
      <c r="T151" s="172">
        <v>0</v>
      </c>
      <c r="U151" s="172">
        <v>0</v>
      </c>
      <c r="V151" s="172"/>
      <c r="W151" s="172"/>
      <c r="Z151" s="172">
        <v>128246</v>
      </c>
      <c r="AA151" s="172">
        <v>1018</v>
      </c>
      <c r="AB151" s="172">
        <v>16600</v>
      </c>
      <c r="AE151" s="172"/>
      <c r="AF151" s="172"/>
      <c r="AI151" s="172"/>
      <c r="AJ151" s="172"/>
      <c r="AM151" s="172"/>
      <c r="AN151" s="172"/>
      <c r="AQ151" s="172"/>
      <c r="AR151" s="172"/>
      <c r="AU151" s="172"/>
      <c r="AV151" s="172"/>
      <c r="AY151" s="172"/>
      <c r="AZ151" s="172"/>
      <c r="BC151" s="172"/>
      <c r="BD151" s="172"/>
      <c r="BH151" s="172">
        <v>8</v>
      </c>
      <c r="BN151" s="172">
        <v>5</v>
      </c>
      <c r="BO151" s="172" t="s">
        <v>1360</v>
      </c>
      <c r="BP151" s="172">
        <v>10003602</v>
      </c>
      <c r="BQ151" s="172">
        <v>300</v>
      </c>
    </row>
    <row r="152" spans="1:69" ht="14.5">
      <c r="A152" s="172">
        <v>2050029</v>
      </c>
      <c r="B152" s="172">
        <v>149</v>
      </c>
      <c r="C152" s="172">
        <v>205</v>
      </c>
      <c r="D152" s="172" t="s">
        <v>249</v>
      </c>
      <c r="E152" s="172">
        <v>29</v>
      </c>
      <c r="F152" s="172" t="s">
        <v>1391</v>
      </c>
      <c r="H152" s="173"/>
      <c r="I152" s="172">
        <v>3</v>
      </c>
      <c r="J152" s="177">
        <v>285120</v>
      </c>
      <c r="K152" s="177">
        <v>6000000</v>
      </c>
      <c r="L152" s="177">
        <v>6000000</v>
      </c>
      <c r="M152" s="177">
        <v>0</v>
      </c>
      <c r="N152" s="177">
        <v>6000000</v>
      </c>
      <c r="O152" s="172"/>
      <c r="P152" s="172"/>
      <c r="Q152" s="172" t="s">
        <v>1318</v>
      </c>
      <c r="R152" s="172" t="s">
        <v>1356</v>
      </c>
      <c r="S152" s="172">
        <v>2</v>
      </c>
      <c r="T152" s="172">
        <v>0</v>
      </c>
      <c r="U152" s="172">
        <v>0</v>
      </c>
      <c r="V152" s="172"/>
      <c r="W152" s="172"/>
      <c r="Z152" s="172">
        <v>164457</v>
      </c>
      <c r="AA152" s="172">
        <v>1018</v>
      </c>
      <c r="AB152" s="172">
        <v>18200</v>
      </c>
      <c r="AE152" s="172"/>
      <c r="AF152" s="172"/>
      <c r="AI152" s="172"/>
      <c r="AJ152" s="172"/>
      <c r="AM152" s="172"/>
      <c r="AN152" s="172"/>
      <c r="AQ152" s="172"/>
      <c r="AR152" s="172"/>
      <c r="AU152" s="172"/>
      <c r="AV152" s="172"/>
      <c r="AY152" s="172"/>
      <c r="AZ152" s="172"/>
      <c r="BC152" s="172"/>
      <c r="BD152" s="172"/>
      <c r="BH152" s="172">
        <v>8</v>
      </c>
      <c r="BN152" s="172">
        <v>5</v>
      </c>
      <c r="BO152" s="172" t="s">
        <v>1360</v>
      </c>
      <c r="BP152" s="172">
        <v>10003602</v>
      </c>
      <c r="BQ152" s="172">
        <v>300</v>
      </c>
    </row>
    <row r="153" spans="1:69" ht="14.5">
      <c r="A153" s="172">
        <v>2050030</v>
      </c>
      <c r="B153" s="172">
        <v>150</v>
      </c>
      <c r="C153" s="172">
        <v>205</v>
      </c>
      <c r="D153" s="172" t="s">
        <v>249</v>
      </c>
      <c r="E153" s="172">
        <v>30</v>
      </c>
      <c r="F153" s="172" t="s">
        <v>1392</v>
      </c>
      <c r="H153" s="173"/>
      <c r="I153" s="172">
        <v>3</v>
      </c>
      <c r="J153" s="177">
        <v>345600</v>
      </c>
      <c r="K153" s="177">
        <v>7700000</v>
      </c>
      <c r="L153" s="177">
        <v>7700000</v>
      </c>
      <c r="M153" s="177">
        <v>0</v>
      </c>
      <c r="N153" s="177">
        <v>7700000</v>
      </c>
      <c r="O153" s="172"/>
      <c r="P153" s="172"/>
      <c r="Q153" s="172" t="s">
        <v>1318</v>
      </c>
      <c r="R153" s="172" t="s">
        <v>1358</v>
      </c>
      <c r="S153" s="172">
        <v>2</v>
      </c>
      <c r="T153" s="172">
        <v>0</v>
      </c>
      <c r="U153" s="172">
        <v>0</v>
      </c>
      <c r="V153" s="172"/>
      <c r="W153" s="172"/>
      <c r="Z153" s="172">
        <v>210806</v>
      </c>
      <c r="AA153" s="172">
        <v>1018</v>
      </c>
      <c r="AB153" s="172">
        <v>20000</v>
      </c>
      <c r="AE153" s="172"/>
      <c r="AF153" s="172"/>
      <c r="AI153" s="172"/>
      <c r="AJ153" s="172"/>
      <c r="AM153" s="172"/>
      <c r="AN153" s="172"/>
      <c r="AQ153" s="172"/>
      <c r="AR153" s="172"/>
      <c r="AU153" s="172"/>
      <c r="AV153" s="172"/>
      <c r="AY153" s="172"/>
      <c r="AZ153" s="172"/>
      <c r="BC153" s="172"/>
      <c r="BD153" s="172"/>
      <c r="BH153" s="172">
        <v>8</v>
      </c>
      <c r="BN153" s="172">
        <v>5</v>
      </c>
      <c r="BO153" s="172" t="s">
        <v>1360</v>
      </c>
      <c r="BP153" s="172">
        <v>10003602</v>
      </c>
      <c r="BQ153" s="172">
        <v>300</v>
      </c>
    </row>
    <row r="154" spans="1:69" ht="14.5">
      <c r="A154" s="172">
        <v>2060001</v>
      </c>
      <c r="B154" s="172">
        <v>151</v>
      </c>
      <c r="C154" s="172">
        <v>206</v>
      </c>
      <c r="D154" s="172" t="s">
        <v>293</v>
      </c>
      <c r="E154" s="172">
        <v>1</v>
      </c>
      <c r="F154" s="172" t="s">
        <v>294</v>
      </c>
      <c r="H154" s="173"/>
      <c r="I154" s="172" t="s">
        <v>1205</v>
      </c>
      <c r="J154" s="177">
        <v>25</v>
      </c>
      <c r="K154" s="177">
        <v>750</v>
      </c>
      <c r="L154" s="177">
        <v>750</v>
      </c>
      <c r="M154" s="177">
        <v>0</v>
      </c>
      <c r="N154" s="177">
        <v>0</v>
      </c>
      <c r="O154" s="172"/>
      <c r="P154" s="172"/>
      <c r="Q154" s="172" t="s">
        <v>1318</v>
      </c>
      <c r="R154" s="172" t="s">
        <v>229</v>
      </c>
      <c r="S154" s="172">
        <v>1</v>
      </c>
      <c r="T154" s="172">
        <v>0</v>
      </c>
      <c r="U154" s="172">
        <v>0</v>
      </c>
      <c r="V154" s="172" t="s">
        <v>158</v>
      </c>
      <c r="W154" s="172" t="s">
        <v>1393</v>
      </c>
      <c r="Z154" s="172">
        <v>3</v>
      </c>
      <c r="AA154" s="172">
        <v>3000</v>
      </c>
      <c r="AB154" s="172">
        <v>2E-3</v>
      </c>
      <c r="AE154" s="172">
        <v>3013</v>
      </c>
      <c r="AF154" s="172">
        <v>20</v>
      </c>
      <c r="AI154" s="172"/>
      <c r="AJ154" s="172"/>
      <c r="AM154" s="172"/>
      <c r="AN154" s="172"/>
      <c r="AQ154" s="172"/>
      <c r="AR154" s="172"/>
      <c r="AU154" s="172"/>
      <c r="AV154" s="172"/>
      <c r="AY154" s="172"/>
      <c r="AZ154" s="172"/>
      <c r="BC154" s="172"/>
      <c r="BD154" s="172"/>
      <c r="BH154" s="172">
        <v>9</v>
      </c>
      <c r="BM154" s="172">
        <v>3</v>
      </c>
    </row>
    <row r="155" spans="1:69" ht="14.5">
      <c r="A155" s="172">
        <v>2060002</v>
      </c>
      <c r="B155" s="172">
        <v>152</v>
      </c>
      <c r="C155" s="172">
        <v>206</v>
      </c>
      <c r="D155" s="172" t="s">
        <v>293</v>
      </c>
      <c r="E155" s="172">
        <v>2</v>
      </c>
      <c r="F155" s="172" t="s">
        <v>298</v>
      </c>
      <c r="H155" s="173"/>
      <c r="I155" s="172" t="s">
        <v>1205</v>
      </c>
      <c r="J155" s="177">
        <v>54</v>
      </c>
      <c r="K155" s="177">
        <v>1500</v>
      </c>
      <c r="L155" s="177">
        <v>1500</v>
      </c>
      <c r="M155" s="177">
        <v>0</v>
      </c>
      <c r="N155" s="177">
        <v>0</v>
      </c>
      <c r="O155" s="172"/>
      <c r="P155" s="172"/>
      <c r="Q155" s="172" t="s">
        <v>1318</v>
      </c>
      <c r="R155" s="172" t="s">
        <v>1320</v>
      </c>
      <c r="S155" s="172">
        <v>1</v>
      </c>
      <c r="T155" s="172">
        <v>0</v>
      </c>
      <c r="U155" s="172">
        <v>0</v>
      </c>
      <c r="V155" s="172"/>
      <c r="W155" s="172"/>
      <c r="Z155" s="172">
        <v>9</v>
      </c>
      <c r="AA155" s="172">
        <v>3000</v>
      </c>
      <c r="AB155" s="172">
        <v>5.0000000000000001E-3</v>
      </c>
      <c r="AE155" s="172">
        <v>3013</v>
      </c>
      <c r="AF155" s="172">
        <v>50</v>
      </c>
      <c r="AI155" s="172"/>
      <c r="AJ155" s="172"/>
      <c r="AM155" s="172"/>
      <c r="AN155" s="172"/>
      <c r="AQ155" s="172"/>
      <c r="AR155" s="172"/>
      <c r="AU155" s="172"/>
      <c r="AV155" s="172"/>
      <c r="AY155" s="172"/>
      <c r="AZ155" s="172"/>
      <c r="BC155" s="172"/>
      <c r="BD155" s="172"/>
      <c r="BH155" s="172">
        <v>9</v>
      </c>
    </row>
    <row r="156" spans="1:69" ht="14.5">
      <c r="A156" s="172">
        <v>2060003</v>
      </c>
      <c r="B156" s="172">
        <v>153</v>
      </c>
      <c r="C156" s="172">
        <v>206</v>
      </c>
      <c r="D156" s="172" t="s">
        <v>293</v>
      </c>
      <c r="E156" s="172">
        <v>3</v>
      </c>
      <c r="F156" s="172" t="s">
        <v>299</v>
      </c>
      <c r="H156" s="173"/>
      <c r="I156" s="172" t="s">
        <v>1205</v>
      </c>
      <c r="J156" s="177">
        <v>108</v>
      </c>
      <c r="K156" s="177">
        <v>3000</v>
      </c>
      <c r="L156" s="177">
        <v>3000</v>
      </c>
      <c r="M156" s="177">
        <v>0</v>
      </c>
      <c r="N156" s="177">
        <v>0</v>
      </c>
      <c r="O156" s="172"/>
      <c r="P156" s="172"/>
      <c r="Q156" s="172" t="s">
        <v>1318</v>
      </c>
      <c r="R156" s="172" t="s">
        <v>1321</v>
      </c>
      <c r="S156" s="172">
        <v>1</v>
      </c>
      <c r="T156" s="172">
        <v>0</v>
      </c>
      <c r="U156" s="172">
        <v>0</v>
      </c>
      <c r="V156" s="172"/>
      <c r="W156" s="172"/>
      <c r="Z156" s="172">
        <v>21</v>
      </c>
      <c r="AA156" s="172">
        <v>3000</v>
      </c>
      <c r="AB156" s="172">
        <v>0.01</v>
      </c>
      <c r="AE156" s="172">
        <v>3013</v>
      </c>
      <c r="AF156" s="172">
        <v>100</v>
      </c>
      <c r="AI156" s="172"/>
      <c r="AJ156" s="172"/>
      <c r="AM156" s="172"/>
      <c r="AN156" s="172"/>
      <c r="AQ156" s="172"/>
      <c r="AR156" s="172"/>
      <c r="AU156" s="172"/>
      <c r="AV156" s="172"/>
      <c r="AY156" s="172"/>
      <c r="AZ156" s="172"/>
      <c r="BC156" s="172"/>
      <c r="BD156" s="172"/>
      <c r="BH156" s="172">
        <v>9</v>
      </c>
    </row>
    <row r="157" spans="1:69" ht="14.5">
      <c r="A157" s="172">
        <v>2060004</v>
      </c>
      <c r="B157" s="172">
        <v>154</v>
      </c>
      <c r="C157" s="172">
        <v>206</v>
      </c>
      <c r="D157" s="172" t="s">
        <v>293</v>
      </c>
      <c r="E157" s="172">
        <v>4</v>
      </c>
      <c r="F157" s="172" t="s">
        <v>300</v>
      </c>
      <c r="H157" s="173"/>
      <c r="I157" s="172" t="s">
        <v>1205</v>
      </c>
      <c r="J157" s="177">
        <v>216</v>
      </c>
      <c r="K157" s="177">
        <v>6000</v>
      </c>
      <c r="L157" s="177">
        <v>6000</v>
      </c>
      <c r="M157" s="177">
        <v>0</v>
      </c>
      <c r="N157" s="177">
        <v>0</v>
      </c>
      <c r="O157" s="172"/>
      <c r="P157" s="172"/>
      <c r="Q157" s="172" t="s">
        <v>1318</v>
      </c>
      <c r="R157" s="172" t="s">
        <v>1322</v>
      </c>
      <c r="S157" s="172">
        <v>1</v>
      </c>
      <c r="T157" s="172">
        <v>0</v>
      </c>
      <c r="U157" s="172">
        <v>0</v>
      </c>
      <c r="V157" s="172"/>
      <c r="W157" s="172"/>
      <c r="Z157" s="172">
        <v>45</v>
      </c>
      <c r="AA157" s="172">
        <v>3000</v>
      </c>
      <c r="AB157" s="172">
        <v>1.4999999999999999E-2</v>
      </c>
      <c r="AE157" s="172">
        <v>3013</v>
      </c>
      <c r="AF157" s="172">
        <v>150</v>
      </c>
      <c r="AI157" s="172"/>
      <c r="AJ157" s="172"/>
      <c r="AM157" s="172"/>
      <c r="AN157" s="172"/>
      <c r="AQ157" s="172"/>
      <c r="AR157" s="172"/>
      <c r="AU157" s="172"/>
      <c r="AV157" s="172"/>
      <c r="AY157" s="172"/>
      <c r="AZ157" s="172"/>
      <c r="BC157" s="172"/>
      <c r="BD157" s="172"/>
      <c r="BH157" s="172">
        <v>9</v>
      </c>
    </row>
    <row r="158" spans="1:69" ht="14.5">
      <c r="A158" s="172">
        <v>2060005</v>
      </c>
      <c r="B158" s="172">
        <v>155</v>
      </c>
      <c r="C158" s="172">
        <v>206</v>
      </c>
      <c r="D158" s="172" t="s">
        <v>293</v>
      </c>
      <c r="E158" s="172">
        <v>5</v>
      </c>
      <c r="F158" s="172" t="s">
        <v>301</v>
      </c>
      <c r="H158" s="173"/>
      <c r="I158" s="172">
        <v>1</v>
      </c>
      <c r="J158" s="177">
        <v>450</v>
      </c>
      <c r="K158" s="177">
        <v>7700</v>
      </c>
      <c r="L158" s="177">
        <v>7700</v>
      </c>
      <c r="M158" s="177">
        <v>7700</v>
      </c>
      <c r="N158" s="177">
        <v>0</v>
      </c>
      <c r="O158" s="172"/>
      <c r="P158" s="172"/>
      <c r="Q158" s="172" t="s">
        <v>1394</v>
      </c>
      <c r="R158" s="172" t="s">
        <v>1225</v>
      </c>
      <c r="S158" s="172">
        <v>1</v>
      </c>
      <c r="T158" s="172">
        <v>0</v>
      </c>
      <c r="U158" s="172">
        <v>0</v>
      </c>
      <c r="V158" s="172"/>
      <c r="W158" s="172"/>
      <c r="Z158" s="172">
        <v>91</v>
      </c>
      <c r="AA158" s="172">
        <v>3000</v>
      </c>
      <c r="AB158" s="172">
        <v>0.02</v>
      </c>
      <c r="AE158" s="172">
        <v>3013</v>
      </c>
      <c r="AF158" s="172">
        <v>200</v>
      </c>
      <c r="AI158" s="172"/>
      <c r="AJ158" s="172"/>
      <c r="AM158" s="172"/>
      <c r="AN158" s="172"/>
      <c r="AQ158" s="172"/>
      <c r="AR158" s="172"/>
      <c r="AU158" s="172"/>
      <c r="AV158" s="172"/>
      <c r="AY158" s="172"/>
      <c r="AZ158" s="172"/>
      <c r="BC158" s="172"/>
      <c r="BD158" s="172"/>
      <c r="BH158" s="172">
        <v>9</v>
      </c>
      <c r="BI158" s="172">
        <v>299</v>
      </c>
    </row>
    <row r="159" spans="1:69" ht="14.5">
      <c r="A159" s="172">
        <v>2060006</v>
      </c>
      <c r="B159" s="172">
        <v>156</v>
      </c>
      <c r="C159" s="172">
        <v>206</v>
      </c>
      <c r="D159" s="172" t="s">
        <v>293</v>
      </c>
      <c r="E159" s="172">
        <v>6</v>
      </c>
      <c r="F159" s="172" t="s">
        <v>302</v>
      </c>
      <c r="H159" s="173"/>
      <c r="I159" s="172">
        <v>1</v>
      </c>
      <c r="J159" s="177">
        <v>810</v>
      </c>
      <c r="K159" s="177">
        <v>14000</v>
      </c>
      <c r="L159" s="177">
        <v>14000</v>
      </c>
      <c r="M159" s="177">
        <v>14000</v>
      </c>
      <c r="N159" s="177">
        <v>0</v>
      </c>
      <c r="O159" s="172"/>
      <c r="P159" s="172"/>
      <c r="Q159" s="172" t="s">
        <v>1394</v>
      </c>
      <c r="R159" s="172" t="s">
        <v>1230</v>
      </c>
      <c r="S159" s="172">
        <v>1</v>
      </c>
      <c r="T159" s="172">
        <v>0</v>
      </c>
      <c r="U159" s="172">
        <v>0</v>
      </c>
      <c r="V159" s="172"/>
      <c r="W159" s="172"/>
      <c r="Z159" s="172">
        <v>177</v>
      </c>
      <c r="AA159" s="172">
        <v>3000</v>
      </c>
      <c r="AB159" s="172">
        <v>2.5000000000000001E-2</v>
      </c>
      <c r="AE159" s="172">
        <v>3013</v>
      </c>
      <c r="AF159" s="172">
        <v>250</v>
      </c>
      <c r="AI159" s="172"/>
      <c r="AJ159" s="172"/>
      <c r="AM159" s="172"/>
      <c r="AN159" s="172"/>
      <c r="AQ159" s="172"/>
      <c r="AR159" s="172"/>
      <c r="AU159" s="172"/>
      <c r="AV159" s="172"/>
      <c r="AY159" s="172"/>
      <c r="AZ159" s="172"/>
      <c r="BC159" s="172"/>
      <c r="BD159" s="172"/>
      <c r="BH159" s="172">
        <v>9</v>
      </c>
      <c r="BI159" s="172">
        <v>299</v>
      </c>
    </row>
    <row r="160" spans="1:69" ht="14.5">
      <c r="A160" s="172">
        <v>2060007</v>
      </c>
      <c r="B160" s="172">
        <v>157</v>
      </c>
      <c r="C160" s="172">
        <v>206</v>
      </c>
      <c r="D160" s="172" t="s">
        <v>293</v>
      </c>
      <c r="E160" s="172">
        <v>7</v>
      </c>
      <c r="F160" s="172" t="s">
        <v>303</v>
      </c>
      <c r="H160" s="173"/>
      <c r="I160" s="172">
        <v>1</v>
      </c>
      <c r="J160" s="177">
        <v>1350</v>
      </c>
      <c r="K160" s="177">
        <v>26000</v>
      </c>
      <c r="L160" s="177">
        <v>26000</v>
      </c>
      <c r="M160" s="177">
        <v>26000</v>
      </c>
      <c r="N160" s="177">
        <v>0</v>
      </c>
      <c r="O160" s="172"/>
      <c r="P160" s="172"/>
      <c r="Q160" s="172" t="s">
        <v>1394</v>
      </c>
      <c r="R160" s="172" t="s">
        <v>1234</v>
      </c>
      <c r="S160" s="172">
        <v>1</v>
      </c>
      <c r="T160" s="172">
        <v>0</v>
      </c>
      <c r="U160" s="172">
        <v>0</v>
      </c>
      <c r="V160" s="172"/>
      <c r="W160" s="172"/>
      <c r="Z160" s="172">
        <v>331</v>
      </c>
      <c r="AA160" s="172">
        <v>3000</v>
      </c>
      <c r="AB160" s="172">
        <v>0.03</v>
      </c>
      <c r="AE160" s="172">
        <v>3013</v>
      </c>
      <c r="AF160" s="172">
        <v>300</v>
      </c>
      <c r="AI160" s="172"/>
      <c r="AJ160" s="172"/>
      <c r="AM160" s="172"/>
      <c r="AN160" s="172"/>
      <c r="AQ160" s="172"/>
      <c r="AR160" s="172"/>
      <c r="AU160" s="172"/>
      <c r="AV160" s="172"/>
      <c r="AY160" s="172"/>
      <c r="AZ160" s="172"/>
      <c r="BC160" s="172"/>
      <c r="BD160" s="172"/>
      <c r="BH160" s="172">
        <v>9</v>
      </c>
      <c r="BI160" s="172">
        <v>299</v>
      </c>
    </row>
    <row r="161" spans="1:61" ht="14.5">
      <c r="A161" s="172">
        <v>2060008</v>
      </c>
      <c r="B161" s="172">
        <v>158</v>
      </c>
      <c r="C161" s="172">
        <v>206</v>
      </c>
      <c r="D161" s="172" t="s">
        <v>293</v>
      </c>
      <c r="E161" s="172">
        <v>8</v>
      </c>
      <c r="F161" s="172" t="s">
        <v>304</v>
      </c>
      <c r="H161" s="173"/>
      <c r="I161" s="172">
        <v>1</v>
      </c>
      <c r="J161" s="177">
        <v>2160</v>
      </c>
      <c r="K161" s="177">
        <v>44000</v>
      </c>
      <c r="L161" s="177">
        <v>44000</v>
      </c>
      <c r="M161" s="177">
        <v>44000</v>
      </c>
      <c r="N161" s="177">
        <v>0</v>
      </c>
      <c r="O161" s="172"/>
      <c r="P161" s="172"/>
      <c r="Q161" s="172" t="s">
        <v>1394</v>
      </c>
      <c r="R161" s="172" t="s">
        <v>1239</v>
      </c>
      <c r="S161" s="172">
        <v>1</v>
      </c>
      <c r="T161" s="172">
        <v>0</v>
      </c>
      <c r="U161" s="172">
        <v>0</v>
      </c>
      <c r="V161" s="172"/>
      <c r="W161" s="172"/>
      <c r="Z161" s="172">
        <v>596</v>
      </c>
      <c r="AA161" s="172">
        <v>3000</v>
      </c>
      <c r="AB161" s="172">
        <v>3.5000000000000003E-2</v>
      </c>
      <c r="AE161" s="172">
        <v>3013</v>
      </c>
      <c r="AF161" s="172">
        <v>350</v>
      </c>
      <c r="AI161" s="172"/>
      <c r="AJ161" s="172"/>
      <c r="AM161" s="172"/>
      <c r="AN161" s="172"/>
      <c r="AQ161" s="172"/>
      <c r="AR161" s="172"/>
      <c r="AU161" s="172"/>
      <c r="AV161" s="172"/>
      <c r="AY161" s="172"/>
      <c r="AZ161" s="172"/>
      <c r="BC161" s="172"/>
      <c r="BD161" s="172"/>
      <c r="BH161" s="172">
        <v>9</v>
      </c>
      <c r="BI161" s="172">
        <v>299</v>
      </c>
    </row>
    <row r="162" spans="1:61" ht="14.5">
      <c r="A162" s="172">
        <v>2060009</v>
      </c>
      <c r="B162" s="172">
        <v>159</v>
      </c>
      <c r="C162" s="172">
        <v>206</v>
      </c>
      <c r="D162" s="172" t="s">
        <v>293</v>
      </c>
      <c r="E162" s="172">
        <v>9</v>
      </c>
      <c r="F162" s="172" t="s">
        <v>305</v>
      </c>
      <c r="H162" s="173"/>
      <c r="I162" s="172">
        <v>1</v>
      </c>
      <c r="J162" s="177">
        <v>4320</v>
      </c>
      <c r="K162" s="177">
        <v>73000</v>
      </c>
      <c r="L162" s="177">
        <v>73000</v>
      </c>
      <c r="M162" s="177">
        <v>73000</v>
      </c>
      <c r="N162" s="177">
        <v>0</v>
      </c>
      <c r="O162" s="172"/>
      <c r="P162" s="172"/>
      <c r="Q162" s="172" t="s">
        <v>1394</v>
      </c>
      <c r="R162" s="172" t="s">
        <v>1244</v>
      </c>
      <c r="S162" s="172">
        <v>1</v>
      </c>
      <c r="T162" s="172">
        <v>0</v>
      </c>
      <c r="U162" s="172">
        <v>0</v>
      </c>
      <c r="V162" s="172"/>
      <c r="W162" s="172"/>
      <c r="Z162" s="172">
        <v>1034</v>
      </c>
      <c r="AA162" s="172">
        <v>3000</v>
      </c>
      <c r="AB162" s="172">
        <v>0.04</v>
      </c>
      <c r="AE162" s="172">
        <v>3013</v>
      </c>
      <c r="AF162" s="172">
        <v>400</v>
      </c>
      <c r="AI162" s="172"/>
      <c r="AJ162" s="172"/>
      <c r="AM162" s="172"/>
      <c r="AN162" s="172"/>
      <c r="AQ162" s="172"/>
      <c r="AR162" s="172"/>
      <c r="AU162" s="172"/>
      <c r="AV162" s="172"/>
      <c r="AY162" s="172"/>
      <c r="AZ162" s="172"/>
      <c r="BC162" s="172"/>
      <c r="BD162" s="172"/>
      <c r="BH162" s="172">
        <v>9</v>
      </c>
      <c r="BI162" s="172">
        <v>299</v>
      </c>
    </row>
    <row r="163" spans="1:61" ht="14.5">
      <c r="A163" s="172">
        <v>2060010</v>
      </c>
      <c r="B163" s="172">
        <v>160</v>
      </c>
      <c r="C163" s="172">
        <v>206</v>
      </c>
      <c r="D163" s="172" t="s">
        <v>293</v>
      </c>
      <c r="E163" s="172">
        <v>10</v>
      </c>
      <c r="F163" s="172" t="s">
        <v>306</v>
      </c>
      <c r="H163" s="173"/>
      <c r="I163" s="172">
        <v>1</v>
      </c>
      <c r="J163" s="177">
        <v>6480</v>
      </c>
      <c r="K163" s="177">
        <v>86000</v>
      </c>
      <c r="L163" s="177">
        <v>86000</v>
      </c>
      <c r="M163" s="177">
        <v>86000</v>
      </c>
      <c r="N163" s="177">
        <v>86000</v>
      </c>
      <c r="O163" s="172"/>
      <c r="P163" s="172"/>
      <c r="Q163" s="172" t="s">
        <v>1394</v>
      </c>
      <c r="R163" s="172" t="s">
        <v>1247</v>
      </c>
      <c r="S163" s="172">
        <v>1</v>
      </c>
      <c r="T163" s="172">
        <v>0</v>
      </c>
      <c r="U163" s="172">
        <v>0</v>
      </c>
      <c r="V163" s="172"/>
      <c r="W163" s="172"/>
      <c r="Z163" s="172">
        <v>1726</v>
      </c>
      <c r="AA163" s="172">
        <v>3000</v>
      </c>
      <c r="AB163" s="172">
        <v>4.4999999999999998E-2</v>
      </c>
      <c r="AE163" s="172">
        <v>3013</v>
      </c>
      <c r="AF163" s="172">
        <v>450</v>
      </c>
      <c r="AI163" s="172"/>
      <c r="AJ163" s="172"/>
      <c r="AM163" s="172"/>
      <c r="AN163" s="172"/>
      <c r="AQ163" s="172"/>
      <c r="AR163" s="172"/>
      <c r="AU163" s="172"/>
      <c r="AV163" s="172"/>
      <c r="AY163" s="172"/>
      <c r="AZ163" s="172"/>
      <c r="BC163" s="172"/>
      <c r="BD163" s="172"/>
      <c r="BH163" s="172">
        <v>9</v>
      </c>
    </row>
    <row r="164" spans="1:61" ht="14.5">
      <c r="A164" s="172">
        <v>2060011</v>
      </c>
      <c r="B164" s="172">
        <v>161</v>
      </c>
      <c r="C164" s="172">
        <v>206</v>
      </c>
      <c r="D164" s="172" t="s">
        <v>293</v>
      </c>
      <c r="E164" s="172">
        <v>11</v>
      </c>
      <c r="F164" s="172" t="s">
        <v>307</v>
      </c>
      <c r="H164" s="173"/>
      <c r="I164" s="172">
        <v>1</v>
      </c>
      <c r="J164" s="177">
        <v>9720</v>
      </c>
      <c r="K164" s="177">
        <v>130000</v>
      </c>
      <c r="L164" s="177">
        <v>130000</v>
      </c>
      <c r="M164" s="177">
        <v>130000</v>
      </c>
      <c r="N164" s="177">
        <v>130000</v>
      </c>
      <c r="O164" s="172"/>
      <c r="P164" s="172"/>
      <c r="Q164" s="172" t="s">
        <v>1394</v>
      </c>
      <c r="R164" s="172" t="s">
        <v>1252</v>
      </c>
      <c r="S164" s="172">
        <v>1</v>
      </c>
      <c r="T164" s="172">
        <v>0</v>
      </c>
      <c r="U164" s="172">
        <v>0</v>
      </c>
      <c r="V164" s="172"/>
      <c r="W164" s="172"/>
      <c r="Z164" s="172">
        <v>2770</v>
      </c>
      <c r="AA164" s="172">
        <v>3000</v>
      </c>
      <c r="AB164" s="172">
        <v>0.05</v>
      </c>
      <c r="AE164" s="172">
        <v>3013</v>
      </c>
      <c r="AF164" s="172">
        <v>500</v>
      </c>
      <c r="AI164" s="172"/>
      <c r="AJ164" s="172"/>
      <c r="AM164" s="172"/>
      <c r="AN164" s="172"/>
      <c r="AQ164" s="172"/>
      <c r="AR164" s="172"/>
      <c r="AU164" s="172"/>
      <c r="AV164" s="172"/>
      <c r="AY164" s="172"/>
      <c r="AZ164" s="172"/>
      <c r="BC164" s="172"/>
      <c r="BD164" s="172"/>
      <c r="BH164" s="172">
        <v>9</v>
      </c>
    </row>
    <row r="165" spans="1:61" ht="14.5">
      <c r="A165" s="172">
        <v>2060012</v>
      </c>
      <c r="B165" s="172">
        <v>162</v>
      </c>
      <c r="C165" s="172">
        <v>206</v>
      </c>
      <c r="D165" s="172" t="s">
        <v>293</v>
      </c>
      <c r="E165" s="172">
        <v>12</v>
      </c>
      <c r="F165" s="172" t="s">
        <v>308</v>
      </c>
      <c r="H165" s="173"/>
      <c r="I165" s="172">
        <v>2</v>
      </c>
      <c r="J165" s="177">
        <v>12960</v>
      </c>
      <c r="K165" s="177">
        <v>190000</v>
      </c>
      <c r="L165" s="177">
        <v>190000</v>
      </c>
      <c r="M165" s="177">
        <v>190000</v>
      </c>
      <c r="N165" s="177">
        <v>190000</v>
      </c>
      <c r="O165" s="172"/>
      <c r="P165" s="172"/>
      <c r="Q165" s="172" t="s">
        <v>1394</v>
      </c>
      <c r="R165" s="172" t="s">
        <v>1258</v>
      </c>
      <c r="S165" s="172">
        <v>1</v>
      </c>
      <c r="T165" s="172">
        <v>0</v>
      </c>
      <c r="U165" s="172">
        <v>0</v>
      </c>
      <c r="V165" s="172"/>
      <c r="W165" s="172"/>
      <c r="Z165" s="172">
        <v>4273</v>
      </c>
      <c r="AA165" s="172">
        <v>3000</v>
      </c>
      <c r="AB165" s="172">
        <v>5.5E-2</v>
      </c>
      <c r="AE165" s="172">
        <v>3013</v>
      </c>
      <c r="AF165" s="172">
        <v>550</v>
      </c>
      <c r="AI165" s="172"/>
      <c r="AJ165" s="172"/>
      <c r="AM165" s="172"/>
      <c r="AN165" s="172"/>
      <c r="AQ165" s="172"/>
      <c r="AR165" s="172"/>
      <c r="AU165" s="172"/>
      <c r="AV165" s="172"/>
      <c r="AY165" s="172"/>
      <c r="AZ165" s="172"/>
      <c r="BC165" s="172"/>
      <c r="BD165" s="172"/>
      <c r="BH165" s="172">
        <v>9</v>
      </c>
    </row>
    <row r="166" spans="1:61" ht="14.5">
      <c r="A166" s="172">
        <v>2060013</v>
      </c>
      <c r="B166" s="172">
        <v>163</v>
      </c>
      <c r="C166" s="172">
        <v>206</v>
      </c>
      <c r="D166" s="172" t="s">
        <v>293</v>
      </c>
      <c r="E166" s="172">
        <v>13</v>
      </c>
      <c r="F166" s="172" t="s">
        <v>309</v>
      </c>
      <c r="H166" s="173"/>
      <c r="I166" s="172">
        <v>2</v>
      </c>
      <c r="J166" s="177">
        <v>17280</v>
      </c>
      <c r="K166" s="177">
        <v>260000</v>
      </c>
      <c r="L166" s="177">
        <v>260000</v>
      </c>
      <c r="M166" s="177">
        <v>260000</v>
      </c>
      <c r="N166" s="177">
        <v>260000</v>
      </c>
      <c r="O166" s="172"/>
      <c r="P166" s="172"/>
      <c r="Q166" s="172" t="s">
        <v>1394</v>
      </c>
      <c r="R166" s="172" t="s">
        <v>1262</v>
      </c>
      <c r="S166" s="172">
        <v>1</v>
      </c>
      <c r="T166" s="172">
        <v>0</v>
      </c>
      <c r="U166" s="172">
        <v>0</v>
      </c>
      <c r="V166" s="172"/>
      <c r="W166" s="172"/>
      <c r="Z166" s="172">
        <v>6333</v>
      </c>
      <c r="AA166" s="172">
        <v>3000</v>
      </c>
      <c r="AB166" s="172">
        <v>0.06</v>
      </c>
      <c r="AE166" s="172">
        <v>3013</v>
      </c>
      <c r="AF166" s="172">
        <v>600</v>
      </c>
      <c r="AI166" s="172"/>
      <c r="AJ166" s="172"/>
      <c r="AM166" s="172"/>
      <c r="AN166" s="172"/>
      <c r="AQ166" s="172"/>
      <c r="AR166" s="172"/>
      <c r="AU166" s="172"/>
      <c r="AV166" s="172"/>
      <c r="AY166" s="172"/>
      <c r="AZ166" s="172"/>
      <c r="BC166" s="172"/>
      <c r="BD166" s="172"/>
      <c r="BH166" s="172">
        <v>9</v>
      </c>
    </row>
    <row r="167" spans="1:61" ht="14.5">
      <c r="A167" s="172">
        <v>2060014</v>
      </c>
      <c r="B167" s="172">
        <v>164</v>
      </c>
      <c r="C167" s="172">
        <v>206</v>
      </c>
      <c r="D167" s="172" t="s">
        <v>293</v>
      </c>
      <c r="E167" s="172">
        <v>14</v>
      </c>
      <c r="F167" s="172" t="s">
        <v>310</v>
      </c>
      <c r="H167" s="173"/>
      <c r="I167" s="172">
        <v>2</v>
      </c>
      <c r="J167" s="177">
        <v>21600</v>
      </c>
      <c r="K167" s="177">
        <v>330000</v>
      </c>
      <c r="L167" s="177">
        <v>330000</v>
      </c>
      <c r="M167" s="177">
        <v>330000</v>
      </c>
      <c r="N167" s="177">
        <v>330000</v>
      </c>
      <c r="O167" s="172"/>
      <c r="P167" s="172"/>
      <c r="Q167" s="172" t="s">
        <v>1394</v>
      </c>
      <c r="R167" s="172" t="s">
        <v>1265</v>
      </c>
      <c r="S167" s="172">
        <v>1</v>
      </c>
      <c r="T167" s="172">
        <v>0</v>
      </c>
      <c r="U167" s="172">
        <v>0</v>
      </c>
      <c r="V167" s="172"/>
      <c r="W167" s="172"/>
      <c r="Z167" s="172">
        <v>9011</v>
      </c>
      <c r="AA167" s="172">
        <v>3000</v>
      </c>
      <c r="AB167" s="172">
        <v>6.5000000000000002E-2</v>
      </c>
      <c r="AE167" s="172">
        <v>3013</v>
      </c>
      <c r="AF167" s="172">
        <v>650</v>
      </c>
      <c r="AI167" s="172"/>
      <c r="AJ167" s="172"/>
      <c r="AM167" s="172"/>
      <c r="AN167" s="172"/>
      <c r="AQ167" s="172"/>
      <c r="AR167" s="172"/>
      <c r="AU167" s="172"/>
      <c r="AV167" s="172"/>
      <c r="AY167" s="172"/>
      <c r="AZ167" s="172"/>
      <c r="BC167" s="172"/>
      <c r="BD167" s="172"/>
      <c r="BH167" s="172">
        <v>9</v>
      </c>
    </row>
    <row r="168" spans="1:61" ht="14.5">
      <c r="A168" s="172">
        <v>2060015</v>
      </c>
      <c r="B168" s="172">
        <v>165</v>
      </c>
      <c r="C168" s="172">
        <v>206</v>
      </c>
      <c r="D168" s="172" t="s">
        <v>293</v>
      </c>
      <c r="E168" s="172">
        <v>15</v>
      </c>
      <c r="F168" s="172" t="s">
        <v>311</v>
      </c>
      <c r="H168" s="173"/>
      <c r="I168" s="172">
        <v>2</v>
      </c>
      <c r="J168" s="177">
        <v>25920</v>
      </c>
      <c r="K168" s="177">
        <v>430000</v>
      </c>
      <c r="L168" s="177">
        <v>430000</v>
      </c>
      <c r="M168" s="177">
        <v>430000</v>
      </c>
      <c r="N168" s="177">
        <v>430000</v>
      </c>
      <c r="O168" s="172"/>
      <c r="P168" s="172"/>
      <c r="Q168" s="172" t="s">
        <v>1394</v>
      </c>
      <c r="R168" s="172" t="s">
        <v>1269</v>
      </c>
      <c r="S168" s="172">
        <v>1</v>
      </c>
      <c r="T168" s="172">
        <v>0</v>
      </c>
      <c r="U168" s="172">
        <v>0</v>
      </c>
      <c r="V168" s="172"/>
      <c r="W168" s="172"/>
      <c r="Z168" s="172">
        <v>12439</v>
      </c>
      <c r="AA168" s="172">
        <v>3000</v>
      </c>
      <c r="AB168" s="172">
        <v>7.0000000000000007E-2</v>
      </c>
      <c r="AE168" s="172">
        <v>3013</v>
      </c>
      <c r="AF168" s="172">
        <v>700</v>
      </c>
      <c r="AI168" s="172"/>
      <c r="AJ168" s="172"/>
      <c r="AM168" s="172"/>
      <c r="AN168" s="172"/>
      <c r="AQ168" s="172"/>
      <c r="AR168" s="172"/>
      <c r="AU168" s="172"/>
      <c r="AV168" s="172"/>
      <c r="AY168" s="172"/>
      <c r="AZ168" s="172"/>
      <c r="BC168" s="172"/>
      <c r="BD168" s="172"/>
      <c r="BH168" s="172">
        <v>9</v>
      </c>
    </row>
    <row r="169" spans="1:61" ht="14.5">
      <c r="A169" s="172">
        <v>2060016</v>
      </c>
      <c r="B169" s="172">
        <v>166</v>
      </c>
      <c r="C169" s="172">
        <v>206</v>
      </c>
      <c r="D169" s="172" t="s">
        <v>293</v>
      </c>
      <c r="E169" s="172">
        <v>16</v>
      </c>
      <c r="F169" s="172" t="s">
        <v>312</v>
      </c>
      <c r="H169" s="173"/>
      <c r="I169" s="172">
        <v>2</v>
      </c>
      <c r="J169" s="177">
        <v>32400</v>
      </c>
      <c r="K169" s="177">
        <v>550000</v>
      </c>
      <c r="L169" s="177">
        <v>550000</v>
      </c>
      <c r="M169" s="177">
        <v>550000</v>
      </c>
      <c r="N169" s="177">
        <v>550000</v>
      </c>
      <c r="O169" s="172"/>
      <c r="P169" s="172"/>
      <c r="Q169" s="172" t="s">
        <v>1394</v>
      </c>
      <c r="R169" s="172" t="s">
        <v>1272</v>
      </c>
      <c r="S169" s="172">
        <v>1</v>
      </c>
      <c r="T169" s="172">
        <v>0</v>
      </c>
      <c r="U169" s="172">
        <v>0</v>
      </c>
      <c r="V169" s="172"/>
      <c r="W169" s="172"/>
      <c r="X169" s="172" t="s">
        <v>1395</v>
      </c>
      <c r="Z169" s="172">
        <v>16827</v>
      </c>
      <c r="AA169" s="172">
        <v>3000</v>
      </c>
      <c r="AB169" s="172">
        <v>7.4999999999999997E-2</v>
      </c>
      <c r="AE169" s="172">
        <v>3013</v>
      </c>
      <c r="AF169" s="172">
        <v>750</v>
      </c>
      <c r="AI169" s="172"/>
      <c r="AJ169" s="172"/>
      <c r="AM169" s="172"/>
      <c r="AN169" s="172"/>
      <c r="AQ169" s="172"/>
      <c r="AR169" s="172"/>
      <c r="AU169" s="172"/>
      <c r="AV169" s="172"/>
      <c r="AY169" s="172"/>
      <c r="AZ169" s="172"/>
      <c r="BC169" s="172"/>
      <c r="BD169" s="172"/>
      <c r="BH169" s="172">
        <v>9</v>
      </c>
    </row>
    <row r="170" spans="1:61" ht="14.5">
      <c r="A170" s="172">
        <v>2060017</v>
      </c>
      <c r="B170" s="172">
        <v>167</v>
      </c>
      <c r="C170" s="172">
        <v>206</v>
      </c>
      <c r="D170" s="172" t="s">
        <v>293</v>
      </c>
      <c r="E170" s="172">
        <v>17</v>
      </c>
      <c r="F170" s="172" t="s">
        <v>315</v>
      </c>
      <c r="H170" s="173"/>
      <c r="I170" s="172">
        <v>2</v>
      </c>
      <c r="J170" s="177">
        <v>43200</v>
      </c>
      <c r="K170" s="177">
        <v>700000</v>
      </c>
      <c r="L170" s="177">
        <v>700000</v>
      </c>
      <c r="M170" s="177">
        <v>700000</v>
      </c>
      <c r="N170" s="177">
        <v>700000</v>
      </c>
      <c r="O170" s="172"/>
      <c r="P170" s="172"/>
      <c r="Q170" s="172" t="s">
        <v>1394</v>
      </c>
      <c r="R170" s="172" t="s">
        <v>1278</v>
      </c>
      <c r="S170" s="172">
        <v>1</v>
      </c>
      <c r="T170" s="172">
        <v>0</v>
      </c>
      <c r="U170" s="172">
        <v>0</v>
      </c>
      <c r="V170" s="172"/>
      <c r="W170" s="172"/>
      <c r="X170" s="172" t="s">
        <v>1395</v>
      </c>
      <c r="Z170" s="172">
        <v>22443</v>
      </c>
      <c r="AA170" s="172">
        <v>3000</v>
      </c>
      <c r="AB170" s="172">
        <v>0.08</v>
      </c>
      <c r="AE170" s="172">
        <v>3013</v>
      </c>
      <c r="AF170" s="172">
        <v>800</v>
      </c>
      <c r="AI170" s="172"/>
      <c r="AJ170" s="172"/>
      <c r="AM170" s="172"/>
      <c r="AN170" s="172"/>
      <c r="AQ170" s="172"/>
      <c r="AR170" s="172"/>
      <c r="AU170" s="172"/>
      <c r="AV170" s="172"/>
      <c r="AY170" s="172"/>
      <c r="AZ170" s="172"/>
      <c r="BC170" s="172"/>
      <c r="BD170" s="172"/>
      <c r="BH170" s="172">
        <v>9</v>
      </c>
    </row>
    <row r="171" spans="1:61" ht="14.5">
      <c r="A171" s="172">
        <v>2060018</v>
      </c>
      <c r="B171" s="172">
        <v>168</v>
      </c>
      <c r="C171" s="172">
        <v>206</v>
      </c>
      <c r="D171" s="172" t="s">
        <v>293</v>
      </c>
      <c r="E171" s="172">
        <v>18</v>
      </c>
      <c r="F171" s="172" t="s">
        <v>316</v>
      </c>
      <c r="H171" s="173"/>
      <c r="I171" s="172">
        <v>2</v>
      </c>
      <c r="J171" s="177">
        <v>56160</v>
      </c>
      <c r="K171" s="177">
        <v>900000</v>
      </c>
      <c r="L171" s="177">
        <v>900000</v>
      </c>
      <c r="M171" s="177">
        <v>900000</v>
      </c>
      <c r="N171" s="177">
        <v>900000</v>
      </c>
      <c r="O171" s="172"/>
      <c r="P171" s="172"/>
      <c r="Q171" s="172" t="s">
        <v>1394</v>
      </c>
      <c r="R171" s="172" t="s">
        <v>1281</v>
      </c>
      <c r="S171" s="172">
        <v>1</v>
      </c>
      <c r="T171" s="172">
        <v>0</v>
      </c>
      <c r="U171" s="172">
        <v>0</v>
      </c>
      <c r="V171" s="172"/>
      <c r="W171" s="172"/>
      <c r="X171" s="172" t="s">
        <v>1395</v>
      </c>
      <c r="Z171" s="172">
        <v>29632</v>
      </c>
      <c r="AA171" s="172">
        <v>3000</v>
      </c>
      <c r="AB171" s="172">
        <v>8.5000000000000006E-2</v>
      </c>
      <c r="AE171" s="172">
        <v>3013</v>
      </c>
      <c r="AF171" s="172">
        <v>850</v>
      </c>
      <c r="AI171" s="172"/>
      <c r="AJ171" s="172"/>
      <c r="AM171" s="172"/>
      <c r="AN171" s="172"/>
      <c r="AQ171" s="172"/>
      <c r="AR171" s="172"/>
      <c r="AU171" s="172"/>
      <c r="AV171" s="172"/>
      <c r="AY171" s="172"/>
      <c r="AZ171" s="172"/>
      <c r="BC171" s="172"/>
      <c r="BD171" s="172"/>
      <c r="BH171" s="172">
        <v>9</v>
      </c>
    </row>
    <row r="172" spans="1:61" ht="14.5">
      <c r="A172" s="172">
        <v>2060019</v>
      </c>
      <c r="B172" s="172">
        <v>169</v>
      </c>
      <c r="C172" s="172">
        <v>206</v>
      </c>
      <c r="D172" s="172" t="s">
        <v>293</v>
      </c>
      <c r="E172" s="172">
        <v>19</v>
      </c>
      <c r="F172" s="172" t="s">
        <v>317</v>
      </c>
      <c r="H172" s="173"/>
      <c r="I172" s="172">
        <v>2</v>
      </c>
      <c r="J172" s="177">
        <v>73440</v>
      </c>
      <c r="K172" s="177">
        <v>1200000</v>
      </c>
      <c r="L172" s="177">
        <v>1200000</v>
      </c>
      <c r="M172" s="177">
        <v>1200000</v>
      </c>
      <c r="N172" s="177">
        <v>1200000</v>
      </c>
      <c r="O172" s="172"/>
      <c r="P172" s="172"/>
      <c r="Q172" s="172" t="s">
        <v>1394</v>
      </c>
      <c r="R172" s="172" t="s">
        <v>1283</v>
      </c>
      <c r="S172" s="172">
        <v>1</v>
      </c>
      <c r="T172" s="172">
        <v>0</v>
      </c>
      <c r="U172" s="172">
        <v>0</v>
      </c>
      <c r="V172" s="172"/>
      <c r="W172" s="172"/>
      <c r="X172" s="172" t="s">
        <v>1395</v>
      </c>
      <c r="Z172" s="172">
        <v>38833</v>
      </c>
      <c r="AA172" s="172">
        <v>3000</v>
      </c>
      <c r="AB172" s="172">
        <v>0.09</v>
      </c>
      <c r="AE172" s="172">
        <v>3013</v>
      </c>
      <c r="AF172" s="172">
        <v>900</v>
      </c>
      <c r="AI172" s="172"/>
      <c r="AJ172" s="172"/>
      <c r="AM172" s="172"/>
      <c r="AN172" s="172"/>
      <c r="AQ172" s="172"/>
      <c r="AR172" s="172"/>
      <c r="AU172" s="172"/>
      <c r="AV172" s="172"/>
      <c r="AY172" s="172"/>
      <c r="AZ172" s="172"/>
      <c r="BC172" s="172"/>
      <c r="BD172" s="172"/>
      <c r="BH172" s="172">
        <v>9</v>
      </c>
    </row>
    <row r="173" spans="1:61" ht="14.5">
      <c r="A173" s="172">
        <v>2060020</v>
      </c>
      <c r="B173" s="172">
        <v>170</v>
      </c>
      <c r="C173" s="172">
        <v>206</v>
      </c>
      <c r="D173" s="172" t="s">
        <v>293</v>
      </c>
      <c r="E173" s="172">
        <v>20</v>
      </c>
      <c r="F173" s="172" t="s">
        <v>318</v>
      </c>
      <c r="H173" s="173"/>
      <c r="I173" s="172">
        <v>3</v>
      </c>
      <c r="J173" s="177">
        <v>103680</v>
      </c>
      <c r="K173" s="177">
        <v>1500000</v>
      </c>
      <c r="L173" s="177">
        <v>1500000</v>
      </c>
      <c r="M173" s="177">
        <v>1500000</v>
      </c>
      <c r="N173" s="177">
        <v>1500000</v>
      </c>
      <c r="O173" s="172"/>
      <c r="P173" s="172"/>
      <c r="Q173" s="172" t="s">
        <v>1394</v>
      </c>
      <c r="R173" s="172" t="s">
        <v>1287</v>
      </c>
      <c r="S173" s="172">
        <v>1</v>
      </c>
      <c r="T173" s="172">
        <v>0</v>
      </c>
      <c r="U173" s="172">
        <v>0</v>
      </c>
      <c r="V173" s="172"/>
      <c r="W173" s="172"/>
      <c r="X173" s="172" t="s">
        <v>1395</v>
      </c>
      <c r="Z173" s="172">
        <v>50611</v>
      </c>
      <c r="AA173" s="172">
        <v>3000</v>
      </c>
      <c r="AB173" s="172">
        <v>9.5000000000000001E-2</v>
      </c>
      <c r="AE173" s="172">
        <v>3013</v>
      </c>
      <c r="AF173" s="172">
        <v>950</v>
      </c>
      <c r="AI173" s="172"/>
      <c r="AJ173" s="172"/>
      <c r="AM173" s="172"/>
      <c r="AN173" s="172"/>
      <c r="AQ173" s="172"/>
      <c r="AR173" s="172"/>
      <c r="AU173" s="172"/>
      <c r="AV173" s="172"/>
      <c r="AY173" s="172"/>
      <c r="AZ173" s="172"/>
      <c r="BC173" s="172"/>
      <c r="BD173" s="172"/>
      <c r="BH173" s="172">
        <v>9</v>
      </c>
    </row>
    <row r="174" spans="1:61" ht="14.5">
      <c r="A174" s="172">
        <v>2060021</v>
      </c>
      <c r="B174" s="172">
        <v>171</v>
      </c>
      <c r="C174" s="172">
        <v>206</v>
      </c>
      <c r="D174" s="172" t="s">
        <v>293</v>
      </c>
      <c r="E174" s="172">
        <v>21</v>
      </c>
      <c r="F174" s="172" t="s">
        <v>1396</v>
      </c>
      <c r="H174" s="173"/>
      <c r="I174" s="172">
        <v>3</v>
      </c>
      <c r="J174" s="177">
        <v>138240</v>
      </c>
      <c r="K174" s="177">
        <v>1900000</v>
      </c>
      <c r="L174" s="177">
        <v>1900000</v>
      </c>
      <c r="M174" s="177">
        <v>1900000</v>
      </c>
      <c r="N174" s="177">
        <v>1900000</v>
      </c>
      <c r="O174" s="172"/>
      <c r="P174" s="172"/>
      <c r="Q174" s="172" t="s">
        <v>1394</v>
      </c>
      <c r="R174" s="172" t="s">
        <v>1291</v>
      </c>
      <c r="S174" s="172">
        <v>1</v>
      </c>
      <c r="T174" s="172">
        <v>0</v>
      </c>
      <c r="U174" s="172">
        <v>0</v>
      </c>
      <c r="V174" s="172"/>
      <c r="W174" s="172"/>
      <c r="Z174" s="172">
        <v>65687</v>
      </c>
      <c r="AA174" s="172">
        <v>3000</v>
      </c>
      <c r="AB174" s="172">
        <v>0.1</v>
      </c>
      <c r="AE174" s="172">
        <v>3013</v>
      </c>
      <c r="AF174" s="172">
        <v>1000</v>
      </c>
      <c r="AI174" s="172"/>
      <c r="AJ174" s="172"/>
      <c r="AM174" s="172"/>
      <c r="AN174" s="172"/>
      <c r="AQ174" s="172"/>
      <c r="AR174" s="172"/>
      <c r="AU174" s="172"/>
      <c r="AV174" s="172"/>
      <c r="AY174" s="172"/>
      <c r="AZ174" s="172"/>
      <c r="BC174" s="172"/>
      <c r="BD174" s="172"/>
      <c r="BH174" s="172">
        <v>9</v>
      </c>
    </row>
    <row r="175" spans="1:61" ht="14.5">
      <c r="A175" s="172">
        <v>2060022</v>
      </c>
      <c r="B175" s="172">
        <v>172</v>
      </c>
      <c r="C175" s="172">
        <v>206</v>
      </c>
      <c r="D175" s="172" t="s">
        <v>293</v>
      </c>
      <c r="E175" s="172">
        <v>22</v>
      </c>
      <c r="F175" s="172" t="s">
        <v>1397</v>
      </c>
      <c r="H175" s="173"/>
      <c r="I175" s="172">
        <v>3</v>
      </c>
      <c r="J175" s="177">
        <v>181440</v>
      </c>
      <c r="K175" s="177">
        <v>2400000</v>
      </c>
      <c r="L175" s="177">
        <v>2400000</v>
      </c>
      <c r="M175" s="177">
        <v>2400000</v>
      </c>
      <c r="N175" s="177">
        <v>2400000</v>
      </c>
      <c r="O175" s="172"/>
      <c r="P175" s="172"/>
      <c r="Q175" s="172" t="s">
        <v>1394</v>
      </c>
      <c r="R175" s="172" t="s">
        <v>1295</v>
      </c>
      <c r="S175" s="172">
        <v>1</v>
      </c>
      <c r="T175" s="172">
        <v>0</v>
      </c>
      <c r="U175" s="172">
        <v>0</v>
      </c>
      <c r="V175" s="172"/>
      <c r="W175" s="172"/>
      <c r="Z175" s="172">
        <v>84984</v>
      </c>
      <c r="AA175" s="172">
        <v>3000</v>
      </c>
      <c r="AB175" s="172">
        <v>0.105</v>
      </c>
      <c r="AE175" s="172">
        <v>3013</v>
      </c>
      <c r="AF175" s="172">
        <v>1050</v>
      </c>
      <c r="AI175" s="172"/>
      <c r="AJ175" s="172"/>
      <c r="AM175" s="172"/>
      <c r="AN175" s="172"/>
      <c r="AQ175" s="172"/>
      <c r="AR175" s="172"/>
      <c r="AU175" s="172"/>
      <c r="AV175" s="172"/>
      <c r="AY175" s="172"/>
      <c r="AZ175" s="172"/>
      <c r="BC175" s="172"/>
      <c r="BD175" s="172"/>
      <c r="BH175" s="172">
        <v>9</v>
      </c>
    </row>
    <row r="176" spans="1:61" ht="14.5">
      <c r="A176" s="172">
        <v>2060023</v>
      </c>
      <c r="B176" s="172">
        <v>173</v>
      </c>
      <c r="C176" s="172">
        <v>206</v>
      </c>
      <c r="D176" s="172" t="s">
        <v>293</v>
      </c>
      <c r="E176" s="172">
        <v>23</v>
      </c>
      <c r="F176" s="172" t="s">
        <v>1398</v>
      </c>
      <c r="H176" s="173"/>
      <c r="I176" s="172">
        <v>3</v>
      </c>
      <c r="J176" s="177">
        <v>233280</v>
      </c>
      <c r="K176" s="177">
        <v>3100000</v>
      </c>
      <c r="L176" s="177">
        <v>3100000</v>
      </c>
      <c r="M176" s="177">
        <v>3100000</v>
      </c>
      <c r="N176" s="177">
        <v>3100000</v>
      </c>
      <c r="O176" s="172"/>
      <c r="P176" s="172"/>
      <c r="Q176" s="172" t="s">
        <v>1394</v>
      </c>
      <c r="R176" s="172" t="s">
        <v>1298</v>
      </c>
      <c r="S176" s="172">
        <v>1</v>
      </c>
      <c r="T176" s="172">
        <v>0</v>
      </c>
      <c r="U176" s="172">
        <v>0</v>
      </c>
      <c r="V176" s="172"/>
      <c r="W176" s="172"/>
      <c r="Z176" s="172">
        <v>109684</v>
      </c>
      <c r="AA176" s="172">
        <v>3000</v>
      </c>
      <c r="AB176" s="172">
        <v>0.11</v>
      </c>
      <c r="AE176" s="172">
        <v>3013</v>
      </c>
      <c r="AF176" s="172">
        <v>1100</v>
      </c>
      <c r="AI176" s="172"/>
      <c r="AJ176" s="172"/>
      <c r="AM176" s="172"/>
      <c r="AN176" s="172"/>
      <c r="AQ176" s="172"/>
      <c r="AR176" s="172"/>
      <c r="AU176" s="172"/>
      <c r="AV176" s="172"/>
      <c r="AY176" s="172"/>
      <c r="AZ176" s="172"/>
      <c r="BC176" s="172"/>
      <c r="BD176" s="172"/>
      <c r="BH176" s="172">
        <v>9</v>
      </c>
    </row>
    <row r="177" spans="1:65" ht="14.5">
      <c r="A177" s="172">
        <v>2060024</v>
      </c>
      <c r="B177" s="172">
        <v>174</v>
      </c>
      <c r="C177" s="172">
        <v>206</v>
      </c>
      <c r="D177" s="172" t="s">
        <v>293</v>
      </c>
      <c r="E177" s="172">
        <v>24</v>
      </c>
      <c r="F177" s="172" t="s">
        <v>1399</v>
      </c>
      <c r="H177" s="173"/>
      <c r="I177" s="172">
        <v>3</v>
      </c>
      <c r="J177" s="177">
        <v>298080</v>
      </c>
      <c r="K177" s="177">
        <v>4000000</v>
      </c>
      <c r="L177" s="177">
        <v>4000000</v>
      </c>
      <c r="M177" s="177">
        <v>4000000</v>
      </c>
      <c r="N177" s="177">
        <v>4000000</v>
      </c>
      <c r="O177" s="172"/>
      <c r="P177" s="172"/>
      <c r="Q177" s="172" t="s">
        <v>1394</v>
      </c>
      <c r="R177" s="172" t="s">
        <v>1302</v>
      </c>
      <c r="S177" s="172">
        <v>1</v>
      </c>
      <c r="T177" s="172">
        <v>0</v>
      </c>
      <c r="U177" s="172">
        <v>0</v>
      </c>
      <c r="V177" s="172"/>
      <c r="W177" s="172"/>
      <c r="Z177" s="172">
        <v>141300</v>
      </c>
      <c r="AA177" s="172">
        <v>3000</v>
      </c>
      <c r="AB177" s="172">
        <v>0.115</v>
      </c>
      <c r="AE177" s="172">
        <v>3013</v>
      </c>
      <c r="AF177" s="172">
        <v>1150</v>
      </c>
      <c r="AI177" s="172"/>
      <c r="AJ177" s="172"/>
      <c r="AM177" s="172"/>
      <c r="AN177" s="172"/>
      <c r="AQ177" s="172"/>
      <c r="AR177" s="172"/>
      <c r="AU177" s="172"/>
      <c r="AV177" s="172"/>
      <c r="AY177" s="172"/>
      <c r="AZ177" s="172"/>
      <c r="BC177" s="172"/>
      <c r="BD177" s="172"/>
      <c r="BH177" s="172">
        <v>9</v>
      </c>
    </row>
    <row r="178" spans="1:65" ht="14.5">
      <c r="A178" s="172">
        <v>2060025</v>
      </c>
      <c r="B178" s="172">
        <v>175</v>
      </c>
      <c r="C178" s="172">
        <v>206</v>
      </c>
      <c r="D178" s="172" t="s">
        <v>293</v>
      </c>
      <c r="E178" s="172">
        <v>25</v>
      </c>
      <c r="F178" s="172" t="s">
        <v>1400</v>
      </c>
      <c r="H178" s="173"/>
      <c r="I178" s="172">
        <v>3</v>
      </c>
      <c r="J178" s="177">
        <v>375840</v>
      </c>
      <c r="K178" s="177">
        <v>5100000</v>
      </c>
      <c r="L178" s="177">
        <v>5100000</v>
      </c>
      <c r="M178" s="177">
        <v>5100000</v>
      </c>
      <c r="N178" s="177">
        <v>5100000</v>
      </c>
      <c r="O178" s="172"/>
      <c r="P178" s="172"/>
      <c r="Q178" s="172" t="s">
        <v>1394</v>
      </c>
      <c r="R178" s="172" t="s">
        <v>1305</v>
      </c>
      <c r="S178" s="172">
        <v>1</v>
      </c>
      <c r="T178" s="172">
        <v>0</v>
      </c>
      <c r="U178" s="172">
        <v>0</v>
      </c>
      <c r="V178" s="172"/>
      <c r="W178" s="172"/>
      <c r="Z178" s="172">
        <v>181768</v>
      </c>
      <c r="AA178" s="172">
        <v>3000</v>
      </c>
      <c r="AB178" s="172">
        <v>0.12</v>
      </c>
      <c r="AE178" s="172">
        <v>3013</v>
      </c>
      <c r="AF178" s="172">
        <v>1200</v>
      </c>
      <c r="AI178" s="172"/>
      <c r="AJ178" s="172"/>
      <c r="AM178" s="172"/>
      <c r="AN178" s="172"/>
      <c r="AQ178" s="172"/>
      <c r="AR178" s="172"/>
      <c r="AU178" s="172"/>
      <c r="AV178" s="172"/>
      <c r="AY178" s="172"/>
      <c r="AZ178" s="172"/>
      <c r="BC178" s="172"/>
      <c r="BD178" s="172"/>
      <c r="BH178" s="172">
        <v>9</v>
      </c>
    </row>
    <row r="179" spans="1:65" ht="14.5">
      <c r="A179" s="172">
        <v>2060026</v>
      </c>
      <c r="B179" s="172">
        <v>176</v>
      </c>
      <c r="C179" s="172">
        <v>206</v>
      </c>
      <c r="D179" s="172" t="s">
        <v>293</v>
      </c>
      <c r="E179" s="172">
        <v>26</v>
      </c>
      <c r="F179" s="172" t="s">
        <v>1401</v>
      </c>
      <c r="H179" s="173"/>
      <c r="I179" s="172">
        <v>3</v>
      </c>
      <c r="J179" s="177">
        <v>466560</v>
      </c>
      <c r="K179" s="177">
        <v>6500000</v>
      </c>
      <c r="L179" s="177">
        <v>6500000</v>
      </c>
      <c r="M179" s="177">
        <v>6500000</v>
      </c>
      <c r="N179" s="177">
        <v>6500000</v>
      </c>
      <c r="O179" s="172"/>
      <c r="P179" s="172"/>
      <c r="Q179" s="172" t="s">
        <v>1394</v>
      </c>
      <c r="R179" s="172" t="s">
        <v>1308</v>
      </c>
      <c r="S179" s="172">
        <v>1</v>
      </c>
      <c r="T179" s="172">
        <v>0</v>
      </c>
      <c r="U179" s="172">
        <v>0</v>
      </c>
      <c r="V179" s="172"/>
      <c r="W179" s="172"/>
      <c r="X179" s="172" t="s">
        <v>1395</v>
      </c>
      <c r="Z179" s="172">
        <v>233568</v>
      </c>
      <c r="AA179" s="172">
        <v>3000</v>
      </c>
      <c r="AB179" s="172">
        <v>0.13</v>
      </c>
      <c r="AE179" s="172">
        <v>3013</v>
      </c>
      <c r="AF179" s="172">
        <v>1300</v>
      </c>
      <c r="AI179" s="172"/>
      <c r="AJ179" s="172"/>
      <c r="AM179" s="172"/>
      <c r="AN179" s="172"/>
      <c r="AQ179" s="172"/>
      <c r="AR179" s="172"/>
      <c r="AU179" s="172"/>
      <c r="AV179" s="172"/>
      <c r="AY179" s="172"/>
      <c r="AZ179" s="172"/>
      <c r="BC179" s="172"/>
      <c r="BD179" s="172"/>
      <c r="BH179" s="172">
        <v>9</v>
      </c>
    </row>
    <row r="180" spans="1:65" ht="14.5">
      <c r="A180" s="172">
        <v>2060027</v>
      </c>
      <c r="B180" s="172">
        <v>177</v>
      </c>
      <c r="C180" s="172">
        <v>206</v>
      </c>
      <c r="D180" s="172" t="s">
        <v>293</v>
      </c>
      <c r="E180" s="172">
        <v>27</v>
      </c>
      <c r="F180" s="172" t="s">
        <v>1402</v>
      </c>
      <c r="H180" s="173"/>
      <c r="I180" s="172">
        <v>3</v>
      </c>
      <c r="J180" s="177">
        <v>570240</v>
      </c>
      <c r="K180" s="177">
        <v>8300000</v>
      </c>
      <c r="L180" s="177">
        <v>8300000</v>
      </c>
      <c r="M180" s="177">
        <v>8300000</v>
      </c>
      <c r="N180" s="177">
        <v>8300000</v>
      </c>
      <c r="O180" s="172"/>
      <c r="P180" s="172"/>
      <c r="Q180" s="172" t="s">
        <v>1394</v>
      </c>
      <c r="R180" s="172" t="s">
        <v>1311</v>
      </c>
      <c r="S180" s="172">
        <v>1</v>
      </c>
      <c r="T180" s="172">
        <v>0</v>
      </c>
      <c r="U180" s="172">
        <v>0</v>
      </c>
      <c r="V180" s="172"/>
      <c r="W180" s="172"/>
      <c r="X180" s="172" t="s">
        <v>1395</v>
      </c>
      <c r="Z180" s="172">
        <v>299871</v>
      </c>
      <c r="AA180" s="172">
        <v>3000</v>
      </c>
      <c r="AB180" s="172">
        <v>0.14000000000000001</v>
      </c>
      <c r="AE180" s="172">
        <v>3013</v>
      </c>
      <c r="AF180" s="172">
        <v>1400</v>
      </c>
      <c r="AI180" s="172"/>
      <c r="AJ180" s="172"/>
      <c r="AM180" s="172"/>
      <c r="AN180" s="172"/>
      <c r="AQ180" s="172"/>
      <c r="AR180" s="172"/>
      <c r="AU180" s="172"/>
      <c r="AV180" s="172"/>
      <c r="AY180" s="172"/>
      <c r="AZ180" s="172"/>
      <c r="BC180" s="172"/>
      <c r="BD180" s="172"/>
      <c r="BH180" s="172">
        <v>9</v>
      </c>
    </row>
    <row r="181" spans="1:65" ht="14.5">
      <c r="A181" s="172">
        <v>2060028</v>
      </c>
      <c r="B181" s="172">
        <v>178</v>
      </c>
      <c r="C181" s="172">
        <v>206</v>
      </c>
      <c r="D181" s="172" t="s">
        <v>293</v>
      </c>
      <c r="E181" s="172">
        <v>28</v>
      </c>
      <c r="F181" s="172" t="s">
        <v>1403</v>
      </c>
      <c r="H181" s="173"/>
      <c r="I181" s="172">
        <v>3</v>
      </c>
      <c r="J181" s="177">
        <v>699840</v>
      </c>
      <c r="K181" s="177">
        <v>11000000</v>
      </c>
      <c r="L181" s="177">
        <v>11000000</v>
      </c>
      <c r="M181" s="177">
        <v>11000000</v>
      </c>
      <c r="N181" s="177">
        <v>11000000</v>
      </c>
      <c r="O181" s="172"/>
      <c r="P181" s="172"/>
      <c r="Q181" s="172" t="s">
        <v>1394</v>
      </c>
      <c r="R181" s="172" t="s">
        <v>1314</v>
      </c>
      <c r="S181" s="172">
        <v>1</v>
      </c>
      <c r="T181" s="172">
        <v>0</v>
      </c>
      <c r="U181" s="172">
        <v>0</v>
      </c>
      <c r="V181" s="172"/>
      <c r="W181" s="172"/>
      <c r="X181" s="172" t="s">
        <v>1395</v>
      </c>
      <c r="Z181" s="172">
        <v>384740</v>
      </c>
      <c r="AA181" s="172">
        <v>3000</v>
      </c>
      <c r="AB181" s="172">
        <v>0.15</v>
      </c>
      <c r="AE181" s="172">
        <v>3013</v>
      </c>
      <c r="AF181" s="172">
        <v>1500</v>
      </c>
      <c r="AI181" s="172"/>
      <c r="AJ181" s="172"/>
      <c r="AM181" s="172"/>
      <c r="AN181" s="172"/>
      <c r="AQ181" s="172"/>
      <c r="AR181" s="172"/>
      <c r="AU181" s="172"/>
      <c r="AV181" s="172"/>
      <c r="AY181" s="172"/>
      <c r="AZ181" s="172"/>
      <c r="BC181" s="172"/>
      <c r="BD181" s="172"/>
      <c r="BH181" s="172">
        <v>9</v>
      </c>
    </row>
    <row r="182" spans="1:65" ht="14.5">
      <c r="A182" s="172">
        <v>2060029</v>
      </c>
      <c r="B182" s="172">
        <v>179</v>
      </c>
      <c r="C182" s="172">
        <v>206</v>
      </c>
      <c r="D182" s="172" t="s">
        <v>293</v>
      </c>
      <c r="E182" s="172">
        <v>29</v>
      </c>
      <c r="F182" s="172" t="s">
        <v>1404</v>
      </c>
      <c r="H182" s="173"/>
      <c r="I182" s="172">
        <v>3</v>
      </c>
      <c r="J182" s="177">
        <v>855360</v>
      </c>
      <c r="K182" s="177">
        <v>14000000</v>
      </c>
      <c r="L182" s="177">
        <v>14000000</v>
      </c>
      <c r="M182" s="177">
        <v>14000000</v>
      </c>
      <c r="N182" s="177">
        <v>14000000</v>
      </c>
      <c r="O182" s="172"/>
      <c r="P182" s="172"/>
      <c r="Q182" s="172" t="s">
        <v>1394</v>
      </c>
      <c r="R182" s="172" t="s">
        <v>1317</v>
      </c>
      <c r="S182" s="172">
        <v>1</v>
      </c>
      <c r="T182" s="172">
        <v>0</v>
      </c>
      <c r="U182" s="172">
        <v>0</v>
      </c>
      <c r="V182" s="172"/>
      <c r="W182" s="172"/>
      <c r="X182" s="172" t="s">
        <v>1395</v>
      </c>
      <c r="Z182" s="172">
        <v>493372</v>
      </c>
      <c r="AA182" s="172">
        <v>3000</v>
      </c>
      <c r="AB182" s="172">
        <v>0.16</v>
      </c>
      <c r="AE182" s="172">
        <v>3013</v>
      </c>
      <c r="AF182" s="172">
        <v>1600</v>
      </c>
      <c r="AI182" s="172"/>
      <c r="AJ182" s="172"/>
      <c r="AM182" s="172"/>
      <c r="AN182" s="172"/>
      <c r="AQ182" s="172"/>
      <c r="AR182" s="172"/>
      <c r="AU182" s="172"/>
      <c r="AV182" s="172"/>
      <c r="AY182" s="172"/>
      <c r="AZ182" s="172"/>
      <c r="BC182" s="172"/>
      <c r="BD182" s="172"/>
      <c r="BH182" s="172">
        <v>9</v>
      </c>
    </row>
    <row r="183" spans="1:65" ht="14.5">
      <c r="A183" s="172">
        <v>2060030</v>
      </c>
      <c r="B183" s="172">
        <v>180</v>
      </c>
      <c r="C183" s="172">
        <v>206</v>
      </c>
      <c r="D183" s="172" t="s">
        <v>293</v>
      </c>
      <c r="E183" s="172">
        <v>30</v>
      </c>
      <c r="F183" s="172" t="s">
        <v>1405</v>
      </c>
      <c r="H183" s="173"/>
      <c r="I183" s="172">
        <v>3</v>
      </c>
      <c r="J183" s="177">
        <v>1036800</v>
      </c>
      <c r="K183" s="177">
        <v>17000000</v>
      </c>
      <c r="L183" s="177">
        <v>17000000</v>
      </c>
      <c r="M183" s="177">
        <v>17000000</v>
      </c>
      <c r="N183" s="177">
        <v>17000000</v>
      </c>
      <c r="O183" s="172"/>
      <c r="P183" s="172"/>
      <c r="Q183" s="172" t="s">
        <v>1394</v>
      </c>
      <c r="R183" s="172" t="s">
        <v>1406</v>
      </c>
      <c r="S183" s="172">
        <v>1</v>
      </c>
      <c r="T183" s="172">
        <v>0</v>
      </c>
      <c r="U183" s="172">
        <v>0</v>
      </c>
      <c r="V183" s="172"/>
      <c r="W183" s="172"/>
      <c r="X183" s="172" t="s">
        <v>1395</v>
      </c>
      <c r="Z183" s="172">
        <v>632420</v>
      </c>
      <c r="AA183" s="172">
        <v>3000</v>
      </c>
      <c r="AB183" s="172">
        <v>0.17</v>
      </c>
      <c r="AE183" s="172">
        <v>3013</v>
      </c>
      <c r="AF183" s="172">
        <v>1700</v>
      </c>
      <c r="AI183" s="172"/>
      <c r="AJ183" s="172"/>
      <c r="AM183" s="172"/>
      <c r="AN183" s="172"/>
      <c r="AQ183" s="172"/>
      <c r="AR183" s="172"/>
      <c r="AU183" s="172"/>
      <c r="AV183" s="172"/>
      <c r="AY183" s="172"/>
      <c r="AZ183" s="172"/>
      <c r="BC183" s="172"/>
      <c r="BD183" s="172"/>
      <c r="BH183" s="172">
        <v>9</v>
      </c>
    </row>
    <row r="184" spans="1:65" ht="14.5">
      <c r="A184" s="180">
        <v>2080001</v>
      </c>
      <c r="B184" s="180">
        <v>181</v>
      </c>
      <c r="C184" s="180">
        <v>208</v>
      </c>
      <c r="D184" s="180" t="s">
        <v>589</v>
      </c>
      <c r="E184" s="180">
        <v>1</v>
      </c>
      <c r="F184" s="180" t="s">
        <v>590</v>
      </c>
      <c r="H184" s="181"/>
      <c r="I184" s="180" t="s">
        <v>1205</v>
      </c>
      <c r="J184" s="182">
        <v>25</v>
      </c>
      <c r="K184" s="182">
        <v>0</v>
      </c>
      <c r="L184" s="182">
        <v>0</v>
      </c>
      <c r="M184" s="182">
        <v>0</v>
      </c>
      <c r="N184" s="182">
        <v>0</v>
      </c>
      <c r="O184" s="180"/>
      <c r="P184" s="180"/>
      <c r="Q184" s="180" t="s">
        <v>1318</v>
      </c>
      <c r="R184" s="180" t="s">
        <v>229</v>
      </c>
      <c r="S184" s="180">
        <v>1</v>
      </c>
      <c r="T184" s="180">
        <v>0</v>
      </c>
      <c r="U184" s="180">
        <v>0</v>
      </c>
      <c r="V184" s="180"/>
      <c r="W184" s="180"/>
      <c r="Z184" s="180">
        <v>0</v>
      </c>
      <c r="AA184" s="180"/>
      <c r="AB184" s="180"/>
      <c r="AE184" s="180"/>
      <c r="AF184" s="180"/>
      <c r="AI184" s="172"/>
      <c r="AJ184" s="172"/>
      <c r="AK184" s="172"/>
      <c r="AL184" s="172"/>
      <c r="AM184" s="172"/>
      <c r="AN184" s="172"/>
      <c r="AO184" s="172"/>
      <c r="AP184" s="172"/>
      <c r="AQ184" s="172"/>
      <c r="AR184" s="172"/>
      <c r="AS184" s="172"/>
      <c r="AT184" s="172"/>
      <c r="AU184" s="172"/>
      <c r="AV184" s="172"/>
      <c r="AW184" s="172"/>
      <c r="AX184" s="172"/>
      <c r="AY184" s="172"/>
      <c r="AZ184" s="172"/>
      <c r="BA184" s="172"/>
      <c r="BB184" s="172"/>
      <c r="BC184" s="172"/>
      <c r="BD184" s="172"/>
      <c r="BE184" s="172"/>
      <c r="BF184" s="172"/>
      <c r="BH184" s="180">
        <v>26</v>
      </c>
    </row>
    <row r="185" spans="1:65" ht="14.5">
      <c r="A185" s="172">
        <v>2090001</v>
      </c>
      <c r="B185" s="172">
        <v>182</v>
      </c>
      <c r="C185" s="172">
        <v>209</v>
      </c>
      <c r="D185" s="172" t="s">
        <v>344</v>
      </c>
      <c r="E185" s="172">
        <v>1</v>
      </c>
      <c r="F185" s="172" t="s">
        <v>345</v>
      </c>
      <c r="H185" s="173"/>
      <c r="I185" s="172" t="s">
        <v>1205</v>
      </c>
      <c r="J185" s="177">
        <v>25</v>
      </c>
      <c r="K185" s="177">
        <v>750</v>
      </c>
      <c r="L185" s="177">
        <v>750</v>
      </c>
      <c r="M185" s="177">
        <v>0</v>
      </c>
      <c r="N185" s="177">
        <v>0</v>
      </c>
      <c r="O185" s="172"/>
      <c r="P185" s="172"/>
      <c r="Q185" s="172" t="s">
        <v>1318</v>
      </c>
      <c r="R185" s="172" t="s">
        <v>1322</v>
      </c>
      <c r="S185" s="172">
        <v>2</v>
      </c>
      <c r="T185" s="172">
        <v>0</v>
      </c>
      <c r="U185" s="172">
        <v>0</v>
      </c>
      <c r="V185" s="172" t="s">
        <v>158</v>
      </c>
      <c r="W185" s="172" t="s">
        <v>1407</v>
      </c>
      <c r="Z185" s="172">
        <v>3</v>
      </c>
      <c r="AA185" s="172">
        <v>3000</v>
      </c>
      <c r="AB185" s="172">
        <v>2E-3</v>
      </c>
      <c r="AE185" s="172">
        <v>3014</v>
      </c>
      <c r="AF185" s="172">
        <v>20</v>
      </c>
      <c r="AI185" s="172"/>
      <c r="AJ185" s="172"/>
      <c r="AM185" s="172"/>
      <c r="AN185" s="172"/>
      <c r="AQ185" s="172"/>
      <c r="AR185" s="172"/>
      <c r="AU185" s="172"/>
      <c r="AV185" s="172"/>
      <c r="AY185" s="172"/>
      <c r="AZ185" s="172"/>
      <c r="BC185" s="172"/>
      <c r="BD185" s="172"/>
      <c r="BH185" s="172">
        <v>11</v>
      </c>
      <c r="BM185" s="172">
        <v>3</v>
      </c>
    </row>
    <row r="186" spans="1:65" ht="14.5">
      <c r="A186" s="172">
        <v>2090002</v>
      </c>
      <c r="B186" s="172">
        <v>183</v>
      </c>
      <c r="C186" s="172">
        <v>209</v>
      </c>
      <c r="D186" s="172" t="s">
        <v>344</v>
      </c>
      <c r="E186" s="172">
        <v>2</v>
      </c>
      <c r="F186" s="172" t="s">
        <v>348</v>
      </c>
      <c r="H186" s="173"/>
      <c r="I186" s="172" t="s">
        <v>1205</v>
      </c>
      <c r="J186" s="177">
        <v>54</v>
      </c>
      <c r="K186" s="177">
        <v>1500</v>
      </c>
      <c r="L186" s="177">
        <v>1500</v>
      </c>
      <c r="M186" s="177">
        <v>0</v>
      </c>
      <c r="N186" s="177">
        <v>0</v>
      </c>
      <c r="O186" s="172"/>
      <c r="P186" s="172"/>
      <c r="Q186" s="172" t="s">
        <v>1318</v>
      </c>
      <c r="R186" s="172" t="s">
        <v>1322</v>
      </c>
      <c r="S186" s="172">
        <v>2</v>
      </c>
      <c r="T186" s="172">
        <v>0</v>
      </c>
      <c r="U186" s="172">
        <v>0</v>
      </c>
      <c r="V186" s="172"/>
      <c r="W186" s="172"/>
      <c r="Z186" s="172">
        <v>9</v>
      </c>
      <c r="AA186" s="172">
        <v>3000</v>
      </c>
      <c r="AB186" s="172">
        <v>5.0000000000000001E-3</v>
      </c>
      <c r="AE186" s="172">
        <v>3014</v>
      </c>
      <c r="AF186" s="172">
        <v>50</v>
      </c>
      <c r="AI186" s="172"/>
      <c r="AJ186" s="172"/>
      <c r="AM186" s="172"/>
      <c r="AN186" s="172"/>
      <c r="AQ186" s="172"/>
      <c r="AR186" s="172"/>
      <c r="AU186" s="172"/>
      <c r="AV186" s="172"/>
      <c r="AY186" s="172"/>
      <c r="AZ186" s="172"/>
      <c r="BC186" s="172"/>
      <c r="BD186" s="172"/>
      <c r="BH186" s="172">
        <v>11</v>
      </c>
    </row>
    <row r="187" spans="1:65" ht="14.5">
      <c r="A187" s="172">
        <v>2090003</v>
      </c>
      <c r="B187" s="172">
        <v>184</v>
      </c>
      <c r="C187" s="172">
        <v>209</v>
      </c>
      <c r="D187" s="172" t="s">
        <v>344</v>
      </c>
      <c r="E187" s="172">
        <v>3</v>
      </c>
      <c r="F187" s="172" t="s">
        <v>349</v>
      </c>
      <c r="H187" s="173"/>
      <c r="I187" s="172" t="s">
        <v>1205</v>
      </c>
      <c r="J187" s="177">
        <v>108</v>
      </c>
      <c r="K187" s="177">
        <v>3000</v>
      </c>
      <c r="L187" s="177">
        <v>3000</v>
      </c>
      <c r="M187" s="177">
        <v>0</v>
      </c>
      <c r="N187" s="177">
        <v>0</v>
      </c>
      <c r="O187" s="172"/>
      <c r="P187" s="172"/>
      <c r="Q187" s="172" t="s">
        <v>1318</v>
      </c>
      <c r="R187" s="172" t="s">
        <v>1322</v>
      </c>
      <c r="S187" s="172">
        <v>2</v>
      </c>
      <c r="T187" s="172">
        <v>0</v>
      </c>
      <c r="U187" s="172">
        <v>0</v>
      </c>
      <c r="V187" s="172"/>
      <c r="W187" s="172"/>
      <c r="Z187" s="172">
        <v>21</v>
      </c>
      <c r="AA187" s="172">
        <v>3000</v>
      </c>
      <c r="AB187" s="172">
        <v>0.01</v>
      </c>
      <c r="AE187" s="172">
        <v>3014</v>
      </c>
      <c r="AF187" s="172">
        <v>100</v>
      </c>
      <c r="AI187" s="172"/>
      <c r="AJ187" s="172"/>
      <c r="AM187" s="172"/>
      <c r="AN187" s="172"/>
      <c r="AQ187" s="172"/>
      <c r="AR187" s="172"/>
      <c r="AU187" s="172"/>
      <c r="AV187" s="172"/>
      <c r="AY187" s="172"/>
      <c r="AZ187" s="172"/>
      <c r="BC187" s="172"/>
      <c r="BD187" s="172"/>
      <c r="BH187" s="172">
        <v>11</v>
      </c>
    </row>
    <row r="188" spans="1:65" ht="14.5">
      <c r="A188" s="172">
        <v>2090004</v>
      </c>
      <c r="B188" s="172">
        <v>185</v>
      </c>
      <c r="C188" s="172">
        <v>209</v>
      </c>
      <c r="D188" s="172" t="s">
        <v>344</v>
      </c>
      <c r="E188" s="172">
        <v>4</v>
      </c>
      <c r="F188" s="172" t="s">
        <v>350</v>
      </c>
      <c r="H188" s="173"/>
      <c r="I188" s="172" t="s">
        <v>1205</v>
      </c>
      <c r="J188" s="177">
        <v>216</v>
      </c>
      <c r="K188" s="177">
        <v>6000</v>
      </c>
      <c r="L188" s="177">
        <v>6000</v>
      </c>
      <c r="M188" s="177">
        <v>0</v>
      </c>
      <c r="N188" s="177">
        <v>0</v>
      </c>
      <c r="O188" s="172"/>
      <c r="P188" s="172"/>
      <c r="Q188" s="172" t="s">
        <v>1318</v>
      </c>
      <c r="R188" s="172" t="s">
        <v>1322</v>
      </c>
      <c r="S188" s="172">
        <v>2</v>
      </c>
      <c r="T188" s="172">
        <v>0</v>
      </c>
      <c r="U188" s="172">
        <v>0</v>
      </c>
      <c r="V188" s="172"/>
      <c r="W188" s="172"/>
      <c r="Z188" s="172">
        <v>45</v>
      </c>
      <c r="AA188" s="172">
        <v>3000</v>
      </c>
      <c r="AB188" s="172">
        <v>1.4999999999999999E-2</v>
      </c>
      <c r="AE188" s="172">
        <v>3014</v>
      </c>
      <c r="AF188" s="172">
        <v>150</v>
      </c>
      <c r="AI188" s="172"/>
      <c r="AJ188" s="172"/>
      <c r="AM188" s="172"/>
      <c r="AN188" s="172"/>
      <c r="AQ188" s="172"/>
      <c r="AR188" s="172"/>
      <c r="AU188" s="172"/>
      <c r="AV188" s="172"/>
      <c r="AY188" s="172"/>
      <c r="AZ188" s="172"/>
      <c r="BC188" s="172"/>
      <c r="BD188" s="172"/>
      <c r="BH188" s="172">
        <v>11</v>
      </c>
    </row>
    <row r="189" spans="1:65" ht="14.5">
      <c r="A189" s="172">
        <v>2090005</v>
      </c>
      <c r="B189" s="172">
        <v>186</v>
      </c>
      <c r="C189" s="172">
        <v>209</v>
      </c>
      <c r="D189" s="172" t="s">
        <v>344</v>
      </c>
      <c r="E189" s="172">
        <v>5</v>
      </c>
      <c r="F189" s="172" t="s">
        <v>351</v>
      </c>
      <c r="H189" s="173"/>
      <c r="I189" s="172">
        <v>1</v>
      </c>
      <c r="J189" s="177">
        <v>450</v>
      </c>
      <c r="K189" s="177">
        <v>7700</v>
      </c>
      <c r="L189" s="177">
        <v>7700</v>
      </c>
      <c r="M189" s="177">
        <v>7700</v>
      </c>
      <c r="N189" s="177">
        <v>0</v>
      </c>
      <c r="O189" s="172"/>
      <c r="P189" s="172"/>
      <c r="Q189" s="172" t="s">
        <v>1408</v>
      </c>
      <c r="R189" s="172" t="s">
        <v>1225</v>
      </c>
      <c r="S189" s="172">
        <v>2</v>
      </c>
      <c r="T189" s="172">
        <v>0</v>
      </c>
      <c r="U189" s="172">
        <v>0</v>
      </c>
      <c r="V189" s="172"/>
      <c r="W189" s="172"/>
      <c r="Z189" s="172">
        <v>91</v>
      </c>
      <c r="AA189" s="172">
        <v>3000</v>
      </c>
      <c r="AB189" s="172">
        <v>0.02</v>
      </c>
      <c r="AE189" s="172">
        <v>3014</v>
      </c>
      <c r="AF189" s="172">
        <v>200</v>
      </c>
      <c r="AI189" s="172"/>
      <c r="AJ189" s="172"/>
      <c r="AM189" s="172"/>
      <c r="AN189" s="172"/>
      <c r="AQ189" s="172"/>
      <c r="AR189" s="172"/>
      <c r="AU189" s="172"/>
      <c r="AV189" s="172"/>
      <c r="AY189" s="172"/>
      <c r="AZ189" s="172"/>
      <c r="BC189" s="172"/>
      <c r="BD189" s="172"/>
      <c r="BH189" s="172">
        <v>11</v>
      </c>
      <c r="BI189" s="172">
        <v>299</v>
      </c>
    </row>
    <row r="190" spans="1:65" ht="14.5">
      <c r="A190" s="172">
        <v>2090006</v>
      </c>
      <c r="B190" s="172">
        <v>187</v>
      </c>
      <c r="C190" s="172">
        <v>209</v>
      </c>
      <c r="D190" s="172" t="s">
        <v>344</v>
      </c>
      <c r="E190" s="172">
        <v>6</v>
      </c>
      <c r="F190" s="172" t="s">
        <v>352</v>
      </c>
      <c r="H190" s="173"/>
      <c r="I190" s="172">
        <v>1</v>
      </c>
      <c r="J190" s="177">
        <v>810</v>
      </c>
      <c r="K190" s="177">
        <v>14000</v>
      </c>
      <c r="L190" s="177">
        <v>14000</v>
      </c>
      <c r="M190" s="177">
        <v>14000</v>
      </c>
      <c r="N190" s="177">
        <v>0</v>
      </c>
      <c r="O190" s="172"/>
      <c r="P190" s="172"/>
      <c r="Q190" s="172" t="s">
        <v>1408</v>
      </c>
      <c r="R190" s="172" t="s">
        <v>1230</v>
      </c>
      <c r="S190" s="172">
        <v>2</v>
      </c>
      <c r="T190" s="172">
        <v>0</v>
      </c>
      <c r="U190" s="172">
        <v>0</v>
      </c>
      <c r="V190" s="172"/>
      <c r="W190" s="172"/>
      <c r="Z190" s="172">
        <v>177</v>
      </c>
      <c r="AA190" s="172">
        <v>3000</v>
      </c>
      <c r="AB190" s="172">
        <v>2.5000000000000001E-2</v>
      </c>
      <c r="AE190" s="172">
        <v>3014</v>
      </c>
      <c r="AF190" s="172">
        <v>250</v>
      </c>
      <c r="AI190" s="172"/>
      <c r="AJ190" s="172"/>
      <c r="AM190" s="172"/>
      <c r="AN190" s="172"/>
      <c r="AQ190" s="172"/>
      <c r="AR190" s="172"/>
      <c r="AU190" s="172"/>
      <c r="AV190" s="172"/>
      <c r="AY190" s="172"/>
      <c r="AZ190" s="172"/>
      <c r="BC190" s="172"/>
      <c r="BD190" s="172"/>
      <c r="BH190" s="172">
        <v>11</v>
      </c>
      <c r="BI190" s="172">
        <v>299</v>
      </c>
    </row>
    <row r="191" spans="1:65" ht="14.5">
      <c r="A191" s="172">
        <v>2090007</v>
      </c>
      <c r="B191" s="172">
        <v>188</v>
      </c>
      <c r="C191" s="172">
        <v>209</v>
      </c>
      <c r="D191" s="172" t="s">
        <v>344</v>
      </c>
      <c r="E191" s="172">
        <v>7</v>
      </c>
      <c r="F191" s="172" t="s">
        <v>353</v>
      </c>
      <c r="H191" s="173"/>
      <c r="I191" s="172">
        <v>1</v>
      </c>
      <c r="J191" s="177">
        <v>1350</v>
      </c>
      <c r="K191" s="177">
        <v>26000</v>
      </c>
      <c r="L191" s="177">
        <v>26000</v>
      </c>
      <c r="M191" s="177">
        <v>26000</v>
      </c>
      <c r="N191" s="177">
        <v>0</v>
      </c>
      <c r="O191" s="172"/>
      <c r="P191" s="172"/>
      <c r="Q191" s="172" t="s">
        <v>1408</v>
      </c>
      <c r="R191" s="172" t="s">
        <v>1234</v>
      </c>
      <c r="S191" s="172">
        <v>2</v>
      </c>
      <c r="T191" s="172">
        <v>0</v>
      </c>
      <c r="U191" s="172">
        <v>0</v>
      </c>
      <c r="V191" s="172"/>
      <c r="W191" s="172"/>
      <c r="Z191" s="172">
        <v>331</v>
      </c>
      <c r="AA191" s="172">
        <v>3000</v>
      </c>
      <c r="AB191" s="172">
        <v>0.03</v>
      </c>
      <c r="AE191" s="172">
        <v>3014</v>
      </c>
      <c r="AF191" s="172">
        <v>300</v>
      </c>
      <c r="AI191" s="172"/>
      <c r="AJ191" s="172"/>
      <c r="AM191" s="172"/>
      <c r="AN191" s="172"/>
      <c r="AQ191" s="172"/>
      <c r="AR191" s="172"/>
      <c r="AU191" s="172"/>
      <c r="AV191" s="172"/>
      <c r="AY191" s="172"/>
      <c r="AZ191" s="172"/>
      <c r="BC191" s="172"/>
      <c r="BD191" s="172"/>
      <c r="BH191" s="172">
        <v>11</v>
      </c>
      <c r="BI191" s="172">
        <v>299</v>
      </c>
    </row>
    <row r="192" spans="1:65" ht="14.5">
      <c r="A192" s="172">
        <v>2090008</v>
      </c>
      <c r="B192" s="172">
        <v>189</v>
      </c>
      <c r="C192" s="172">
        <v>209</v>
      </c>
      <c r="D192" s="172" t="s">
        <v>344</v>
      </c>
      <c r="E192" s="172">
        <v>8</v>
      </c>
      <c r="F192" s="172" t="s">
        <v>354</v>
      </c>
      <c r="H192" s="173"/>
      <c r="I192" s="172">
        <v>1</v>
      </c>
      <c r="J192" s="177">
        <v>2160</v>
      </c>
      <c r="K192" s="177">
        <v>44000</v>
      </c>
      <c r="L192" s="177">
        <v>44000</v>
      </c>
      <c r="M192" s="177">
        <v>44000</v>
      </c>
      <c r="N192" s="177">
        <v>0</v>
      </c>
      <c r="O192" s="172"/>
      <c r="P192" s="172"/>
      <c r="Q192" s="172" t="s">
        <v>1408</v>
      </c>
      <c r="R192" s="172" t="s">
        <v>1239</v>
      </c>
      <c r="S192" s="172">
        <v>2</v>
      </c>
      <c r="T192" s="172">
        <v>0</v>
      </c>
      <c r="U192" s="172">
        <v>0</v>
      </c>
      <c r="V192" s="172"/>
      <c r="W192" s="172"/>
      <c r="Z192" s="172">
        <v>596</v>
      </c>
      <c r="AA192" s="172">
        <v>3000</v>
      </c>
      <c r="AB192" s="172">
        <v>3.5000000000000003E-2</v>
      </c>
      <c r="AE192" s="172">
        <v>3014</v>
      </c>
      <c r="AF192" s="172">
        <v>350</v>
      </c>
      <c r="AI192" s="172"/>
      <c r="AJ192" s="172"/>
      <c r="AM192" s="172"/>
      <c r="AN192" s="172"/>
      <c r="AQ192" s="172"/>
      <c r="AR192" s="172"/>
      <c r="AU192" s="172"/>
      <c r="AV192" s="172"/>
      <c r="AY192" s="172"/>
      <c r="AZ192" s="172"/>
      <c r="BC192" s="172"/>
      <c r="BD192" s="172"/>
      <c r="BH192" s="172">
        <v>11</v>
      </c>
      <c r="BI192" s="172">
        <v>299</v>
      </c>
    </row>
    <row r="193" spans="1:61" ht="14.5">
      <c r="A193" s="172">
        <v>2090009</v>
      </c>
      <c r="B193" s="172">
        <v>190</v>
      </c>
      <c r="C193" s="172">
        <v>209</v>
      </c>
      <c r="D193" s="172" t="s">
        <v>344</v>
      </c>
      <c r="E193" s="172">
        <v>9</v>
      </c>
      <c r="F193" s="172" t="s">
        <v>355</v>
      </c>
      <c r="H193" s="173"/>
      <c r="I193" s="172">
        <v>1</v>
      </c>
      <c r="J193" s="177">
        <v>4320</v>
      </c>
      <c r="K193" s="177">
        <v>73000</v>
      </c>
      <c r="L193" s="177">
        <v>73000</v>
      </c>
      <c r="M193" s="177">
        <v>73000</v>
      </c>
      <c r="N193" s="177">
        <v>0</v>
      </c>
      <c r="O193" s="172"/>
      <c r="P193" s="172"/>
      <c r="Q193" s="172" t="s">
        <v>1408</v>
      </c>
      <c r="R193" s="172" t="s">
        <v>1244</v>
      </c>
      <c r="S193" s="172">
        <v>2</v>
      </c>
      <c r="T193" s="172">
        <v>0</v>
      </c>
      <c r="U193" s="172">
        <v>0</v>
      </c>
      <c r="V193" s="172"/>
      <c r="W193" s="172"/>
      <c r="Z193" s="172">
        <v>1034</v>
      </c>
      <c r="AA193" s="172">
        <v>3000</v>
      </c>
      <c r="AB193" s="172">
        <v>0.04</v>
      </c>
      <c r="AE193" s="172">
        <v>3014</v>
      </c>
      <c r="AF193" s="172">
        <v>400</v>
      </c>
      <c r="AI193" s="172"/>
      <c r="AJ193" s="172"/>
      <c r="AM193" s="172"/>
      <c r="AN193" s="172"/>
      <c r="AQ193" s="172"/>
      <c r="AR193" s="172"/>
      <c r="AU193" s="172"/>
      <c r="AV193" s="172"/>
      <c r="AY193" s="172"/>
      <c r="AZ193" s="172"/>
      <c r="BC193" s="172"/>
      <c r="BD193" s="172"/>
      <c r="BH193" s="172">
        <v>11</v>
      </c>
      <c r="BI193" s="172">
        <v>299</v>
      </c>
    </row>
    <row r="194" spans="1:61" ht="14.5">
      <c r="A194" s="172">
        <v>2090010</v>
      </c>
      <c r="B194" s="172">
        <v>191</v>
      </c>
      <c r="C194" s="172">
        <v>209</v>
      </c>
      <c r="D194" s="172" t="s">
        <v>344</v>
      </c>
      <c r="E194" s="172">
        <v>10</v>
      </c>
      <c r="F194" s="172" t="s">
        <v>356</v>
      </c>
      <c r="H194" s="173"/>
      <c r="I194" s="172">
        <v>1</v>
      </c>
      <c r="J194" s="177">
        <v>6480</v>
      </c>
      <c r="K194" s="177">
        <v>86000</v>
      </c>
      <c r="L194" s="177">
        <v>86000</v>
      </c>
      <c r="M194" s="177">
        <v>86000</v>
      </c>
      <c r="N194" s="177">
        <v>86000</v>
      </c>
      <c r="O194" s="172"/>
      <c r="P194" s="172"/>
      <c r="Q194" s="172" t="s">
        <v>1408</v>
      </c>
      <c r="R194" s="172" t="s">
        <v>1247</v>
      </c>
      <c r="S194" s="172">
        <v>2</v>
      </c>
      <c r="T194" s="172">
        <v>0</v>
      </c>
      <c r="U194" s="172">
        <v>0</v>
      </c>
      <c r="V194" s="172"/>
      <c r="W194" s="172"/>
      <c r="Z194" s="172">
        <v>1726</v>
      </c>
      <c r="AA194" s="172">
        <v>3000</v>
      </c>
      <c r="AB194" s="172">
        <v>4.4999999999999998E-2</v>
      </c>
      <c r="AE194" s="172">
        <v>3014</v>
      </c>
      <c r="AF194" s="172">
        <v>450</v>
      </c>
      <c r="AI194" s="172"/>
      <c r="AJ194" s="172"/>
      <c r="AM194" s="172"/>
      <c r="AN194" s="172"/>
      <c r="AQ194" s="172"/>
      <c r="AR194" s="172"/>
      <c r="AU194" s="172"/>
      <c r="AV194" s="172"/>
      <c r="AY194" s="172"/>
      <c r="AZ194" s="172"/>
      <c r="BC194" s="172"/>
      <c r="BD194" s="172"/>
      <c r="BH194" s="172">
        <v>11</v>
      </c>
    </row>
    <row r="195" spans="1:61" ht="14.5">
      <c r="A195" s="172">
        <v>2090011</v>
      </c>
      <c r="B195" s="172">
        <v>192</v>
      </c>
      <c r="C195" s="172">
        <v>209</v>
      </c>
      <c r="D195" s="172" t="s">
        <v>344</v>
      </c>
      <c r="E195" s="172">
        <v>11</v>
      </c>
      <c r="F195" s="172" t="s">
        <v>357</v>
      </c>
      <c r="H195" s="173"/>
      <c r="I195" s="172">
        <v>1</v>
      </c>
      <c r="J195" s="177">
        <v>9720</v>
      </c>
      <c r="K195" s="177">
        <v>130000</v>
      </c>
      <c r="L195" s="177">
        <v>130000</v>
      </c>
      <c r="M195" s="177">
        <v>130000</v>
      </c>
      <c r="N195" s="177">
        <v>130000</v>
      </c>
      <c r="O195" s="172"/>
      <c r="P195" s="172"/>
      <c r="Q195" s="172" t="s">
        <v>1408</v>
      </c>
      <c r="R195" s="172" t="s">
        <v>1252</v>
      </c>
      <c r="S195" s="172">
        <v>2</v>
      </c>
      <c r="T195" s="172">
        <v>0</v>
      </c>
      <c r="U195" s="172">
        <v>0</v>
      </c>
      <c r="V195" s="172"/>
      <c r="W195" s="172"/>
      <c r="Z195" s="172">
        <v>2770</v>
      </c>
      <c r="AA195" s="172">
        <v>3000</v>
      </c>
      <c r="AB195" s="172">
        <v>0.05</v>
      </c>
      <c r="AE195" s="172">
        <v>3014</v>
      </c>
      <c r="AF195" s="172">
        <v>500</v>
      </c>
      <c r="AI195" s="172"/>
      <c r="AJ195" s="172"/>
      <c r="AM195" s="172"/>
      <c r="AN195" s="172"/>
      <c r="AQ195" s="172"/>
      <c r="AR195" s="172"/>
      <c r="AU195" s="172"/>
      <c r="AV195" s="172"/>
      <c r="AY195" s="172"/>
      <c r="AZ195" s="172"/>
      <c r="BC195" s="172"/>
      <c r="BD195" s="172"/>
      <c r="BH195" s="172">
        <v>11</v>
      </c>
    </row>
    <row r="196" spans="1:61" ht="14.5">
      <c r="A196" s="172">
        <v>2090012</v>
      </c>
      <c r="B196" s="172">
        <v>193</v>
      </c>
      <c r="C196" s="172">
        <v>209</v>
      </c>
      <c r="D196" s="172" t="s">
        <v>344</v>
      </c>
      <c r="E196" s="172">
        <v>12</v>
      </c>
      <c r="F196" s="172" t="s">
        <v>358</v>
      </c>
      <c r="H196" s="173"/>
      <c r="I196" s="172">
        <v>2</v>
      </c>
      <c r="J196" s="177">
        <v>12960</v>
      </c>
      <c r="K196" s="177">
        <v>190000</v>
      </c>
      <c r="L196" s="177">
        <v>190000</v>
      </c>
      <c r="M196" s="177">
        <v>190000</v>
      </c>
      <c r="N196" s="177">
        <v>190000</v>
      </c>
      <c r="O196" s="172"/>
      <c r="P196" s="172"/>
      <c r="Q196" s="172" t="s">
        <v>1408</v>
      </c>
      <c r="R196" s="172" t="s">
        <v>1258</v>
      </c>
      <c r="S196" s="172">
        <v>2</v>
      </c>
      <c r="T196" s="172">
        <v>0</v>
      </c>
      <c r="U196" s="172">
        <v>0</v>
      </c>
      <c r="V196" s="172"/>
      <c r="W196" s="172"/>
      <c r="Z196" s="172">
        <v>4273</v>
      </c>
      <c r="AA196" s="172">
        <v>3000</v>
      </c>
      <c r="AB196" s="172">
        <v>5.5E-2</v>
      </c>
      <c r="AE196" s="172">
        <v>3014</v>
      </c>
      <c r="AF196" s="172">
        <v>550</v>
      </c>
      <c r="AI196" s="172"/>
      <c r="AJ196" s="172"/>
      <c r="AM196" s="172"/>
      <c r="AN196" s="172"/>
      <c r="AQ196" s="172"/>
      <c r="AR196" s="172"/>
      <c r="AU196" s="172"/>
      <c r="AV196" s="172"/>
      <c r="AY196" s="172"/>
      <c r="AZ196" s="172"/>
      <c r="BC196" s="172"/>
      <c r="BD196" s="172"/>
      <c r="BH196" s="172">
        <v>11</v>
      </c>
    </row>
    <row r="197" spans="1:61" ht="14.5">
      <c r="A197" s="172">
        <v>2090013</v>
      </c>
      <c r="B197" s="172">
        <v>194</v>
      </c>
      <c r="C197" s="172">
        <v>209</v>
      </c>
      <c r="D197" s="172" t="s">
        <v>344</v>
      </c>
      <c r="E197" s="172">
        <v>13</v>
      </c>
      <c r="F197" s="172" t="s">
        <v>359</v>
      </c>
      <c r="H197" s="173"/>
      <c r="I197" s="172">
        <v>2</v>
      </c>
      <c r="J197" s="177">
        <v>17280</v>
      </c>
      <c r="K197" s="177">
        <v>260000</v>
      </c>
      <c r="L197" s="177">
        <v>260000</v>
      </c>
      <c r="M197" s="177">
        <v>260000</v>
      </c>
      <c r="N197" s="177">
        <v>260000</v>
      </c>
      <c r="O197" s="172"/>
      <c r="P197" s="172"/>
      <c r="Q197" s="172" t="s">
        <v>1408</v>
      </c>
      <c r="R197" s="172" t="s">
        <v>1262</v>
      </c>
      <c r="S197" s="172">
        <v>2</v>
      </c>
      <c r="T197" s="172">
        <v>0</v>
      </c>
      <c r="U197" s="172">
        <v>0</v>
      </c>
      <c r="V197" s="172"/>
      <c r="W197" s="172"/>
      <c r="Z197" s="172">
        <v>6333</v>
      </c>
      <c r="AA197" s="172">
        <v>3000</v>
      </c>
      <c r="AB197" s="172">
        <v>0.06</v>
      </c>
      <c r="AE197" s="172">
        <v>3014</v>
      </c>
      <c r="AF197" s="172">
        <v>600</v>
      </c>
      <c r="AI197" s="172"/>
      <c r="AJ197" s="172"/>
      <c r="AM197" s="172"/>
      <c r="AN197" s="172"/>
      <c r="AQ197" s="172"/>
      <c r="AR197" s="172"/>
      <c r="AU197" s="172"/>
      <c r="AV197" s="172"/>
      <c r="AY197" s="172"/>
      <c r="AZ197" s="172"/>
      <c r="BC197" s="172"/>
      <c r="BD197" s="172"/>
      <c r="BH197" s="172">
        <v>11</v>
      </c>
    </row>
    <row r="198" spans="1:61" ht="14.5">
      <c r="A198" s="172">
        <v>2090014</v>
      </c>
      <c r="B198" s="172">
        <v>195</v>
      </c>
      <c r="C198" s="172">
        <v>209</v>
      </c>
      <c r="D198" s="172" t="s">
        <v>344</v>
      </c>
      <c r="E198" s="172">
        <v>14</v>
      </c>
      <c r="F198" s="172" t="s">
        <v>360</v>
      </c>
      <c r="H198" s="173"/>
      <c r="I198" s="172">
        <v>2</v>
      </c>
      <c r="J198" s="177">
        <v>21600</v>
      </c>
      <c r="K198" s="177">
        <v>330000</v>
      </c>
      <c r="L198" s="177">
        <v>330000</v>
      </c>
      <c r="M198" s="177">
        <v>330000</v>
      </c>
      <c r="N198" s="177">
        <v>330000</v>
      </c>
      <c r="O198" s="172"/>
      <c r="P198" s="172"/>
      <c r="Q198" s="172" t="s">
        <v>1408</v>
      </c>
      <c r="R198" s="172" t="s">
        <v>1265</v>
      </c>
      <c r="S198" s="172">
        <v>2</v>
      </c>
      <c r="T198" s="172">
        <v>0</v>
      </c>
      <c r="U198" s="172">
        <v>0</v>
      </c>
      <c r="V198" s="172"/>
      <c r="W198" s="172"/>
      <c r="Z198" s="172">
        <v>9011</v>
      </c>
      <c r="AA198" s="172">
        <v>3000</v>
      </c>
      <c r="AB198" s="172">
        <v>6.5000000000000002E-2</v>
      </c>
      <c r="AE198" s="172">
        <v>3014</v>
      </c>
      <c r="AF198" s="172">
        <v>650</v>
      </c>
      <c r="AI198" s="172"/>
      <c r="AJ198" s="172"/>
      <c r="AM198" s="172"/>
      <c r="AN198" s="172"/>
      <c r="AQ198" s="172"/>
      <c r="AR198" s="172"/>
      <c r="AU198" s="172"/>
      <c r="AV198" s="172"/>
      <c r="AY198" s="172"/>
      <c r="AZ198" s="172"/>
      <c r="BC198" s="172"/>
      <c r="BD198" s="172"/>
      <c r="BH198" s="172">
        <v>11</v>
      </c>
    </row>
    <row r="199" spans="1:61" ht="14.5">
      <c r="A199" s="172">
        <v>2090015</v>
      </c>
      <c r="B199" s="172">
        <v>196</v>
      </c>
      <c r="C199" s="172">
        <v>209</v>
      </c>
      <c r="D199" s="172" t="s">
        <v>344</v>
      </c>
      <c r="E199" s="172">
        <v>15</v>
      </c>
      <c r="F199" s="172" t="s">
        <v>361</v>
      </c>
      <c r="H199" s="173"/>
      <c r="I199" s="172">
        <v>2</v>
      </c>
      <c r="J199" s="177">
        <v>25920</v>
      </c>
      <c r="K199" s="177">
        <v>430000</v>
      </c>
      <c r="L199" s="177">
        <v>430000</v>
      </c>
      <c r="M199" s="177">
        <v>430000</v>
      </c>
      <c r="N199" s="177">
        <v>430000</v>
      </c>
      <c r="O199" s="172"/>
      <c r="P199" s="172"/>
      <c r="Q199" s="172" t="s">
        <v>1408</v>
      </c>
      <c r="R199" s="172" t="s">
        <v>1269</v>
      </c>
      <c r="S199" s="172">
        <v>2</v>
      </c>
      <c r="T199" s="172">
        <v>0</v>
      </c>
      <c r="U199" s="172">
        <v>0</v>
      </c>
      <c r="V199" s="172"/>
      <c r="W199" s="172"/>
      <c r="Z199" s="172">
        <v>12439</v>
      </c>
      <c r="AA199" s="172">
        <v>3000</v>
      </c>
      <c r="AB199" s="172">
        <v>7.0000000000000007E-2</v>
      </c>
      <c r="AE199" s="172">
        <v>3014</v>
      </c>
      <c r="AF199" s="172">
        <v>700</v>
      </c>
      <c r="AI199" s="172"/>
      <c r="AJ199" s="172"/>
      <c r="AM199" s="172"/>
      <c r="AN199" s="172"/>
      <c r="AQ199" s="172"/>
      <c r="AR199" s="172"/>
      <c r="AU199" s="172"/>
      <c r="AV199" s="172"/>
      <c r="AY199" s="172"/>
      <c r="AZ199" s="172"/>
      <c r="BC199" s="172"/>
      <c r="BD199" s="172"/>
      <c r="BH199" s="172">
        <v>11</v>
      </c>
    </row>
    <row r="200" spans="1:61" ht="14.5">
      <c r="A200" s="172">
        <v>2090016</v>
      </c>
      <c r="B200" s="172">
        <v>197</v>
      </c>
      <c r="C200" s="172">
        <v>209</v>
      </c>
      <c r="D200" s="172" t="s">
        <v>344</v>
      </c>
      <c r="E200" s="172">
        <v>16</v>
      </c>
      <c r="F200" s="172" t="s">
        <v>362</v>
      </c>
      <c r="H200" s="173"/>
      <c r="I200" s="172">
        <v>2</v>
      </c>
      <c r="J200" s="177">
        <v>32400</v>
      </c>
      <c r="K200" s="177">
        <v>550000</v>
      </c>
      <c r="L200" s="177">
        <v>550000</v>
      </c>
      <c r="M200" s="177">
        <v>550000</v>
      </c>
      <c r="N200" s="177">
        <v>550000</v>
      </c>
      <c r="O200" s="172"/>
      <c r="P200" s="172"/>
      <c r="Q200" s="172" t="s">
        <v>1408</v>
      </c>
      <c r="R200" s="172" t="s">
        <v>1272</v>
      </c>
      <c r="S200" s="172">
        <v>2</v>
      </c>
      <c r="T200" s="172">
        <v>0</v>
      </c>
      <c r="U200" s="172">
        <v>0</v>
      </c>
      <c r="V200" s="172"/>
      <c r="W200" s="172"/>
      <c r="X200" s="172" t="s">
        <v>1395</v>
      </c>
      <c r="Z200" s="172">
        <v>16827</v>
      </c>
      <c r="AA200" s="172">
        <v>3000</v>
      </c>
      <c r="AB200" s="172">
        <v>7.4999999999999997E-2</v>
      </c>
      <c r="AE200" s="172">
        <v>3014</v>
      </c>
      <c r="AF200" s="172">
        <v>750</v>
      </c>
      <c r="AI200" s="172"/>
      <c r="AJ200" s="172"/>
      <c r="AM200" s="172"/>
      <c r="AN200" s="172"/>
      <c r="AQ200" s="172"/>
      <c r="AR200" s="172"/>
      <c r="AU200" s="172"/>
      <c r="AV200" s="172"/>
      <c r="AY200" s="172"/>
      <c r="AZ200" s="172"/>
      <c r="BC200" s="172"/>
      <c r="BD200" s="172"/>
      <c r="BH200" s="172">
        <v>11</v>
      </c>
    </row>
    <row r="201" spans="1:61" ht="14.5">
      <c r="A201" s="172">
        <v>2090017</v>
      </c>
      <c r="B201" s="172">
        <v>198</v>
      </c>
      <c r="C201" s="172">
        <v>209</v>
      </c>
      <c r="D201" s="172" t="s">
        <v>344</v>
      </c>
      <c r="E201" s="172">
        <v>17</v>
      </c>
      <c r="F201" s="172" t="s">
        <v>365</v>
      </c>
      <c r="H201" s="173"/>
      <c r="I201" s="172">
        <v>2</v>
      </c>
      <c r="J201" s="177">
        <v>43200</v>
      </c>
      <c r="K201" s="177">
        <v>700000</v>
      </c>
      <c r="L201" s="177">
        <v>700000</v>
      </c>
      <c r="M201" s="177">
        <v>700000</v>
      </c>
      <c r="N201" s="177">
        <v>700000</v>
      </c>
      <c r="O201" s="172"/>
      <c r="P201" s="172"/>
      <c r="Q201" s="172" t="s">
        <v>1408</v>
      </c>
      <c r="R201" s="172" t="s">
        <v>1278</v>
      </c>
      <c r="S201" s="172">
        <v>2</v>
      </c>
      <c r="T201" s="172">
        <v>0</v>
      </c>
      <c r="U201" s="172">
        <v>0</v>
      </c>
      <c r="V201" s="172"/>
      <c r="W201" s="172"/>
      <c r="X201" s="172" t="s">
        <v>1395</v>
      </c>
      <c r="Z201" s="172">
        <v>22443</v>
      </c>
      <c r="AA201" s="172">
        <v>3000</v>
      </c>
      <c r="AB201" s="172">
        <v>0.08</v>
      </c>
      <c r="AE201" s="172">
        <v>3014</v>
      </c>
      <c r="AF201" s="172">
        <v>800</v>
      </c>
      <c r="AI201" s="172"/>
      <c r="AJ201" s="172"/>
      <c r="AM201" s="172"/>
      <c r="AN201" s="172"/>
      <c r="AQ201" s="172"/>
      <c r="AR201" s="172"/>
      <c r="AU201" s="172"/>
      <c r="AV201" s="172"/>
      <c r="AY201" s="172"/>
      <c r="AZ201" s="172"/>
      <c r="BC201" s="172"/>
      <c r="BD201" s="172"/>
      <c r="BH201" s="172">
        <v>11</v>
      </c>
    </row>
    <row r="202" spans="1:61" ht="14.5">
      <c r="A202" s="172">
        <v>2090018</v>
      </c>
      <c r="B202" s="172">
        <v>199</v>
      </c>
      <c r="C202" s="172">
        <v>209</v>
      </c>
      <c r="D202" s="172" t="s">
        <v>344</v>
      </c>
      <c r="E202" s="172">
        <v>18</v>
      </c>
      <c r="F202" s="172" t="s">
        <v>366</v>
      </c>
      <c r="H202" s="173"/>
      <c r="I202" s="172">
        <v>2</v>
      </c>
      <c r="J202" s="177">
        <v>56160</v>
      </c>
      <c r="K202" s="177">
        <v>900000</v>
      </c>
      <c r="L202" s="177">
        <v>900000</v>
      </c>
      <c r="M202" s="177">
        <v>900000</v>
      </c>
      <c r="N202" s="177">
        <v>900000</v>
      </c>
      <c r="O202" s="172"/>
      <c r="P202" s="172"/>
      <c r="Q202" s="172" t="s">
        <v>1408</v>
      </c>
      <c r="R202" s="172" t="s">
        <v>1281</v>
      </c>
      <c r="S202" s="172">
        <v>2</v>
      </c>
      <c r="T202" s="172">
        <v>0</v>
      </c>
      <c r="U202" s="172">
        <v>0</v>
      </c>
      <c r="V202" s="172"/>
      <c r="W202" s="172"/>
      <c r="X202" s="172" t="s">
        <v>1395</v>
      </c>
      <c r="Z202" s="172">
        <v>29632</v>
      </c>
      <c r="AA202" s="172">
        <v>3000</v>
      </c>
      <c r="AB202" s="172">
        <v>8.5000000000000006E-2</v>
      </c>
      <c r="AE202" s="172">
        <v>3014</v>
      </c>
      <c r="AF202" s="172">
        <v>850</v>
      </c>
      <c r="AI202" s="172"/>
      <c r="AJ202" s="172"/>
      <c r="AM202" s="172"/>
      <c r="AN202" s="172"/>
      <c r="AQ202" s="172"/>
      <c r="AR202" s="172"/>
      <c r="AU202" s="172"/>
      <c r="AV202" s="172"/>
      <c r="AY202" s="172"/>
      <c r="AZ202" s="172"/>
      <c r="BC202" s="172"/>
      <c r="BD202" s="172"/>
      <c r="BH202" s="172">
        <v>11</v>
      </c>
    </row>
    <row r="203" spans="1:61" ht="14.5">
      <c r="A203" s="172">
        <v>2090019</v>
      </c>
      <c r="B203" s="172">
        <v>200</v>
      </c>
      <c r="C203" s="172">
        <v>209</v>
      </c>
      <c r="D203" s="172" t="s">
        <v>344</v>
      </c>
      <c r="E203" s="172">
        <v>19</v>
      </c>
      <c r="F203" s="172" t="s">
        <v>367</v>
      </c>
      <c r="H203" s="173"/>
      <c r="I203" s="172">
        <v>2</v>
      </c>
      <c r="J203" s="177">
        <v>73440</v>
      </c>
      <c r="K203" s="177">
        <v>1200000</v>
      </c>
      <c r="L203" s="177">
        <v>1200000</v>
      </c>
      <c r="M203" s="177">
        <v>1200000</v>
      </c>
      <c r="N203" s="177">
        <v>1200000</v>
      </c>
      <c r="O203" s="172"/>
      <c r="P203" s="172"/>
      <c r="Q203" s="172" t="s">
        <v>1408</v>
      </c>
      <c r="R203" s="172" t="s">
        <v>1283</v>
      </c>
      <c r="S203" s="172">
        <v>2</v>
      </c>
      <c r="T203" s="172">
        <v>0</v>
      </c>
      <c r="U203" s="172">
        <v>0</v>
      </c>
      <c r="V203" s="172"/>
      <c r="W203" s="172"/>
      <c r="X203" s="172" t="s">
        <v>1395</v>
      </c>
      <c r="Z203" s="172">
        <v>38833</v>
      </c>
      <c r="AA203" s="172">
        <v>3000</v>
      </c>
      <c r="AB203" s="172">
        <v>0.09</v>
      </c>
      <c r="AE203" s="172">
        <v>3014</v>
      </c>
      <c r="AF203" s="172">
        <v>900</v>
      </c>
      <c r="AI203" s="172"/>
      <c r="AJ203" s="172"/>
      <c r="AM203" s="172"/>
      <c r="AN203" s="172"/>
      <c r="AQ203" s="172"/>
      <c r="AR203" s="172"/>
      <c r="AU203" s="172"/>
      <c r="AV203" s="172"/>
      <c r="AY203" s="172"/>
      <c r="AZ203" s="172"/>
      <c r="BC203" s="172"/>
      <c r="BD203" s="172"/>
      <c r="BH203" s="172">
        <v>11</v>
      </c>
    </row>
    <row r="204" spans="1:61" ht="14.5">
      <c r="A204" s="172">
        <v>2090020</v>
      </c>
      <c r="B204" s="172">
        <v>201</v>
      </c>
      <c r="C204" s="172">
        <v>209</v>
      </c>
      <c r="D204" s="172" t="s">
        <v>344</v>
      </c>
      <c r="E204" s="172">
        <v>20</v>
      </c>
      <c r="F204" s="172" t="s">
        <v>368</v>
      </c>
      <c r="H204" s="173"/>
      <c r="I204" s="172">
        <v>3</v>
      </c>
      <c r="J204" s="177">
        <v>103680</v>
      </c>
      <c r="K204" s="177">
        <v>1500000</v>
      </c>
      <c r="L204" s="177">
        <v>1500000</v>
      </c>
      <c r="M204" s="177">
        <v>1500000</v>
      </c>
      <c r="N204" s="177">
        <v>1500000</v>
      </c>
      <c r="O204" s="172"/>
      <c r="P204" s="172"/>
      <c r="Q204" s="172" t="s">
        <v>1408</v>
      </c>
      <c r="R204" s="172" t="s">
        <v>1287</v>
      </c>
      <c r="S204" s="172">
        <v>2</v>
      </c>
      <c r="T204" s="172">
        <v>0</v>
      </c>
      <c r="U204" s="172">
        <v>0</v>
      </c>
      <c r="V204" s="172"/>
      <c r="W204" s="172"/>
      <c r="X204" s="172" t="s">
        <v>1395</v>
      </c>
      <c r="Z204" s="172">
        <v>50611</v>
      </c>
      <c r="AA204" s="172">
        <v>3000</v>
      </c>
      <c r="AB204" s="172">
        <v>9.5000000000000001E-2</v>
      </c>
      <c r="AE204" s="172">
        <v>3014</v>
      </c>
      <c r="AF204" s="172">
        <v>950</v>
      </c>
      <c r="AI204" s="172"/>
      <c r="AJ204" s="172"/>
      <c r="AM204" s="172"/>
      <c r="AN204" s="172"/>
      <c r="AQ204" s="172"/>
      <c r="AR204" s="172"/>
      <c r="AU204" s="172"/>
      <c r="AV204" s="172"/>
      <c r="AY204" s="172"/>
      <c r="AZ204" s="172"/>
      <c r="BC204" s="172"/>
      <c r="BD204" s="172"/>
      <c r="BH204" s="172">
        <v>11</v>
      </c>
    </row>
    <row r="205" spans="1:61" ht="14.5">
      <c r="A205" s="172">
        <v>2090021</v>
      </c>
      <c r="B205" s="172">
        <v>202</v>
      </c>
      <c r="C205" s="172">
        <v>209</v>
      </c>
      <c r="D205" s="172" t="s">
        <v>344</v>
      </c>
      <c r="E205" s="172">
        <v>21</v>
      </c>
      <c r="F205" s="172" t="s">
        <v>1409</v>
      </c>
      <c r="H205" s="173"/>
      <c r="I205" s="172">
        <v>3</v>
      </c>
      <c r="J205" s="177">
        <v>138240</v>
      </c>
      <c r="K205" s="177">
        <v>1900000</v>
      </c>
      <c r="L205" s="177">
        <v>1900000</v>
      </c>
      <c r="M205" s="177">
        <v>1900000</v>
      </c>
      <c r="N205" s="177">
        <v>1900000</v>
      </c>
      <c r="O205" s="172"/>
      <c r="P205" s="172"/>
      <c r="Q205" s="172" t="s">
        <v>1408</v>
      </c>
      <c r="R205" s="172" t="s">
        <v>1291</v>
      </c>
      <c r="S205" s="172">
        <v>2</v>
      </c>
      <c r="T205" s="172">
        <v>0</v>
      </c>
      <c r="U205" s="172">
        <v>0</v>
      </c>
      <c r="V205" s="172"/>
      <c r="W205" s="172"/>
      <c r="Z205" s="172">
        <v>65687</v>
      </c>
      <c r="AA205" s="172">
        <v>3000</v>
      </c>
      <c r="AB205" s="172">
        <v>0.1</v>
      </c>
      <c r="AE205" s="172">
        <v>3014</v>
      </c>
      <c r="AF205" s="172">
        <v>1000</v>
      </c>
      <c r="AI205" s="172"/>
      <c r="AJ205" s="172"/>
      <c r="AM205" s="172"/>
      <c r="AN205" s="172"/>
      <c r="AQ205" s="172"/>
      <c r="AR205" s="172"/>
      <c r="AU205" s="172"/>
      <c r="AV205" s="172"/>
      <c r="AY205" s="172"/>
      <c r="AZ205" s="172"/>
      <c r="BC205" s="172"/>
      <c r="BD205" s="172"/>
      <c r="BH205" s="172">
        <v>11</v>
      </c>
    </row>
    <row r="206" spans="1:61" ht="14.5">
      <c r="A206" s="172">
        <v>2090022</v>
      </c>
      <c r="B206" s="172">
        <v>203</v>
      </c>
      <c r="C206" s="172">
        <v>209</v>
      </c>
      <c r="D206" s="172" t="s">
        <v>344</v>
      </c>
      <c r="E206" s="172">
        <v>22</v>
      </c>
      <c r="F206" s="172" t="s">
        <v>1410</v>
      </c>
      <c r="H206" s="173"/>
      <c r="I206" s="172">
        <v>3</v>
      </c>
      <c r="J206" s="177">
        <v>181440</v>
      </c>
      <c r="K206" s="177">
        <v>2400000</v>
      </c>
      <c r="L206" s="177">
        <v>2400000</v>
      </c>
      <c r="M206" s="177">
        <v>2400000</v>
      </c>
      <c r="N206" s="177">
        <v>2400000</v>
      </c>
      <c r="O206" s="172"/>
      <c r="P206" s="172"/>
      <c r="Q206" s="172" t="s">
        <v>1408</v>
      </c>
      <c r="R206" s="172" t="s">
        <v>1295</v>
      </c>
      <c r="S206" s="172">
        <v>2</v>
      </c>
      <c r="T206" s="172">
        <v>0</v>
      </c>
      <c r="U206" s="172">
        <v>0</v>
      </c>
      <c r="V206" s="172"/>
      <c r="W206" s="172"/>
      <c r="Z206" s="172">
        <v>84984</v>
      </c>
      <c r="AA206" s="172">
        <v>3000</v>
      </c>
      <c r="AB206" s="172">
        <v>0.105</v>
      </c>
      <c r="AE206" s="172">
        <v>3014</v>
      </c>
      <c r="AF206" s="172">
        <v>1050</v>
      </c>
      <c r="AI206" s="172"/>
      <c r="AJ206" s="172"/>
      <c r="AM206" s="172"/>
      <c r="AN206" s="172"/>
      <c r="AQ206" s="172"/>
      <c r="AR206" s="172"/>
      <c r="AU206" s="172"/>
      <c r="AV206" s="172"/>
      <c r="AY206" s="172"/>
      <c r="AZ206" s="172"/>
      <c r="BC206" s="172"/>
      <c r="BD206" s="172"/>
      <c r="BH206" s="172">
        <v>11</v>
      </c>
    </row>
    <row r="207" spans="1:61" ht="14.5">
      <c r="A207" s="172">
        <v>2090023</v>
      </c>
      <c r="B207" s="172">
        <v>204</v>
      </c>
      <c r="C207" s="172">
        <v>209</v>
      </c>
      <c r="D207" s="172" t="s">
        <v>344</v>
      </c>
      <c r="E207" s="172">
        <v>23</v>
      </c>
      <c r="F207" s="172" t="s">
        <v>1411</v>
      </c>
      <c r="H207" s="173"/>
      <c r="I207" s="172">
        <v>3</v>
      </c>
      <c r="J207" s="177">
        <v>233280</v>
      </c>
      <c r="K207" s="177">
        <v>3100000</v>
      </c>
      <c r="L207" s="177">
        <v>3100000</v>
      </c>
      <c r="M207" s="177">
        <v>3100000</v>
      </c>
      <c r="N207" s="177">
        <v>3100000</v>
      </c>
      <c r="O207" s="172"/>
      <c r="P207" s="172"/>
      <c r="Q207" s="172" t="s">
        <v>1408</v>
      </c>
      <c r="R207" s="172" t="s">
        <v>1298</v>
      </c>
      <c r="S207" s="172">
        <v>2</v>
      </c>
      <c r="T207" s="172">
        <v>0</v>
      </c>
      <c r="U207" s="172">
        <v>0</v>
      </c>
      <c r="V207" s="172"/>
      <c r="W207" s="172"/>
      <c r="Z207" s="172">
        <v>109684</v>
      </c>
      <c r="AA207" s="172">
        <v>3000</v>
      </c>
      <c r="AB207" s="172">
        <v>0.11</v>
      </c>
      <c r="AE207" s="172">
        <v>3014</v>
      </c>
      <c r="AF207" s="172">
        <v>1100</v>
      </c>
      <c r="AI207" s="172"/>
      <c r="AJ207" s="172"/>
      <c r="AM207" s="172"/>
      <c r="AN207" s="172"/>
      <c r="AQ207" s="172"/>
      <c r="AR207" s="172"/>
      <c r="AU207" s="172"/>
      <c r="AV207" s="172"/>
      <c r="AY207" s="172"/>
      <c r="AZ207" s="172"/>
      <c r="BC207" s="172"/>
      <c r="BD207" s="172"/>
      <c r="BH207" s="172">
        <v>11</v>
      </c>
    </row>
    <row r="208" spans="1:61" ht="14.5">
      <c r="A208" s="172">
        <v>2090024</v>
      </c>
      <c r="B208" s="172">
        <v>205</v>
      </c>
      <c r="C208" s="172">
        <v>209</v>
      </c>
      <c r="D208" s="172" t="s">
        <v>344</v>
      </c>
      <c r="E208" s="172">
        <v>24</v>
      </c>
      <c r="F208" s="172" t="s">
        <v>1412</v>
      </c>
      <c r="H208" s="173"/>
      <c r="I208" s="172">
        <v>3</v>
      </c>
      <c r="J208" s="177">
        <v>298080</v>
      </c>
      <c r="K208" s="177">
        <v>4000000</v>
      </c>
      <c r="L208" s="177">
        <v>4000000</v>
      </c>
      <c r="M208" s="177">
        <v>4000000</v>
      </c>
      <c r="N208" s="177">
        <v>4000000</v>
      </c>
      <c r="O208" s="172"/>
      <c r="P208" s="172"/>
      <c r="Q208" s="172" t="s">
        <v>1408</v>
      </c>
      <c r="R208" s="172" t="s">
        <v>1302</v>
      </c>
      <c r="S208" s="172">
        <v>2</v>
      </c>
      <c r="T208" s="172">
        <v>0</v>
      </c>
      <c r="U208" s="172">
        <v>0</v>
      </c>
      <c r="V208" s="172"/>
      <c r="W208" s="172"/>
      <c r="Z208" s="172">
        <v>141300</v>
      </c>
      <c r="AA208" s="172">
        <v>3000</v>
      </c>
      <c r="AB208" s="172">
        <v>0.115</v>
      </c>
      <c r="AE208" s="172">
        <v>3014</v>
      </c>
      <c r="AF208" s="172">
        <v>1150</v>
      </c>
      <c r="AI208" s="172"/>
      <c r="AJ208" s="172"/>
      <c r="AM208" s="172"/>
      <c r="AN208" s="172"/>
      <c r="AQ208" s="172"/>
      <c r="AR208" s="172"/>
      <c r="AU208" s="172"/>
      <c r="AV208" s="172"/>
      <c r="AY208" s="172"/>
      <c r="AZ208" s="172"/>
      <c r="BC208" s="172"/>
      <c r="BD208" s="172"/>
      <c r="BH208" s="172">
        <v>11</v>
      </c>
    </row>
    <row r="209" spans="1:60" ht="14.5">
      <c r="A209" s="172">
        <v>2090025</v>
      </c>
      <c r="B209" s="172">
        <v>206</v>
      </c>
      <c r="C209" s="172">
        <v>209</v>
      </c>
      <c r="D209" s="172" t="s">
        <v>344</v>
      </c>
      <c r="E209" s="172">
        <v>25</v>
      </c>
      <c r="F209" s="172" t="s">
        <v>1413</v>
      </c>
      <c r="H209" s="173"/>
      <c r="I209" s="172">
        <v>3</v>
      </c>
      <c r="J209" s="177">
        <v>375840</v>
      </c>
      <c r="K209" s="177">
        <v>5100000</v>
      </c>
      <c r="L209" s="177">
        <v>5100000</v>
      </c>
      <c r="M209" s="177">
        <v>5100000</v>
      </c>
      <c r="N209" s="177">
        <v>5100000</v>
      </c>
      <c r="O209" s="172"/>
      <c r="P209" s="172"/>
      <c r="Q209" s="172" t="s">
        <v>1408</v>
      </c>
      <c r="R209" s="172" t="s">
        <v>1305</v>
      </c>
      <c r="S209" s="172">
        <v>2</v>
      </c>
      <c r="T209" s="172">
        <v>0</v>
      </c>
      <c r="U209" s="172">
        <v>0</v>
      </c>
      <c r="V209" s="172"/>
      <c r="W209" s="172"/>
      <c r="Z209" s="172">
        <v>181768</v>
      </c>
      <c r="AA209" s="172">
        <v>3000</v>
      </c>
      <c r="AB209" s="172">
        <v>0.12</v>
      </c>
      <c r="AE209" s="172">
        <v>3014</v>
      </c>
      <c r="AF209" s="172">
        <v>1200</v>
      </c>
      <c r="AI209" s="172"/>
      <c r="AJ209" s="172"/>
      <c r="AM209" s="172"/>
      <c r="AN209" s="172"/>
      <c r="AQ209" s="172"/>
      <c r="AR209" s="172"/>
      <c r="AU209" s="172"/>
      <c r="AV209" s="172"/>
      <c r="AY209" s="172"/>
      <c r="AZ209" s="172"/>
      <c r="BC209" s="172"/>
      <c r="BD209" s="172"/>
      <c r="BH209" s="172">
        <v>11</v>
      </c>
    </row>
    <row r="210" spans="1:60" ht="14.5">
      <c r="A210" s="172">
        <v>2090026</v>
      </c>
      <c r="B210" s="172">
        <v>207</v>
      </c>
      <c r="C210" s="172">
        <v>209</v>
      </c>
      <c r="D210" s="172" t="s">
        <v>344</v>
      </c>
      <c r="E210" s="172">
        <v>26</v>
      </c>
      <c r="F210" s="172" t="s">
        <v>1414</v>
      </c>
      <c r="H210" s="173"/>
      <c r="I210" s="172">
        <v>3</v>
      </c>
      <c r="J210" s="177">
        <v>466560</v>
      </c>
      <c r="K210" s="177">
        <v>6500000</v>
      </c>
      <c r="L210" s="177">
        <v>6500000</v>
      </c>
      <c r="M210" s="177">
        <v>6500000</v>
      </c>
      <c r="N210" s="177">
        <v>6500000</v>
      </c>
      <c r="O210" s="172"/>
      <c r="P210" s="172"/>
      <c r="Q210" s="172" t="s">
        <v>1408</v>
      </c>
      <c r="R210" s="172" t="s">
        <v>1308</v>
      </c>
      <c r="S210" s="172">
        <v>2</v>
      </c>
      <c r="T210" s="172">
        <v>0</v>
      </c>
      <c r="U210" s="172">
        <v>0</v>
      </c>
      <c r="V210" s="172"/>
      <c r="W210" s="172"/>
      <c r="X210" s="172" t="s">
        <v>1395</v>
      </c>
      <c r="Z210" s="172">
        <v>233568</v>
      </c>
      <c r="AA210" s="172">
        <v>3000</v>
      </c>
      <c r="AB210" s="172">
        <v>0.13</v>
      </c>
      <c r="AE210" s="172">
        <v>3014</v>
      </c>
      <c r="AF210" s="172">
        <v>1300</v>
      </c>
      <c r="AI210" s="172"/>
      <c r="AJ210" s="172"/>
      <c r="AM210" s="172"/>
      <c r="AN210" s="172"/>
      <c r="AQ210" s="172"/>
      <c r="AR210" s="172"/>
      <c r="AU210" s="172"/>
      <c r="AV210" s="172"/>
      <c r="AY210" s="172"/>
      <c r="AZ210" s="172"/>
      <c r="BC210" s="172"/>
      <c r="BD210" s="172"/>
      <c r="BH210" s="172">
        <v>11</v>
      </c>
    </row>
    <row r="211" spans="1:60" ht="14.5">
      <c r="A211" s="172">
        <v>2090027</v>
      </c>
      <c r="B211" s="172">
        <v>208</v>
      </c>
      <c r="C211" s="172">
        <v>209</v>
      </c>
      <c r="D211" s="172" t="s">
        <v>344</v>
      </c>
      <c r="E211" s="172">
        <v>27</v>
      </c>
      <c r="F211" s="172" t="s">
        <v>1415</v>
      </c>
      <c r="H211" s="173"/>
      <c r="I211" s="172">
        <v>3</v>
      </c>
      <c r="J211" s="177">
        <v>570240</v>
      </c>
      <c r="K211" s="177">
        <v>8300000</v>
      </c>
      <c r="L211" s="177">
        <v>8300000</v>
      </c>
      <c r="M211" s="177">
        <v>8300000</v>
      </c>
      <c r="N211" s="177">
        <v>8300000</v>
      </c>
      <c r="O211" s="172"/>
      <c r="P211" s="172"/>
      <c r="Q211" s="172" t="s">
        <v>1408</v>
      </c>
      <c r="R211" s="172" t="s">
        <v>1311</v>
      </c>
      <c r="S211" s="172">
        <v>2</v>
      </c>
      <c r="T211" s="172">
        <v>0</v>
      </c>
      <c r="U211" s="172">
        <v>0</v>
      </c>
      <c r="V211" s="172"/>
      <c r="W211" s="172"/>
      <c r="X211" s="172" t="s">
        <v>1395</v>
      </c>
      <c r="Z211" s="172">
        <v>299871</v>
      </c>
      <c r="AA211" s="172">
        <v>3000</v>
      </c>
      <c r="AB211" s="172">
        <v>0.14000000000000001</v>
      </c>
      <c r="AE211" s="172">
        <v>3014</v>
      </c>
      <c r="AF211" s="172">
        <v>1400</v>
      </c>
      <c r="AI211" s="172"/>
      <c r="AJ211" s="172"/>
      <c r="AM211" s="172"/>
      <c r="AN211" s="172"/>
      <c r="AQ211" s="172"/>
      <c r="AR211" s="172"/>
      <c r="AU211" s="172"/>
      <c r="AV211" s="172"/>
      <c r="AY211" s="172"/>
      <c r="AZ211" s="172"/>
      <c r="BC211" s="172"/>
      <c r="BD211" s="172"/>
      <c r="BH211" s="172">
        <v>11</v>
      </c>
    </row>
    <row r="212" spans="1:60" ht="14.5">
      <c r="A212" s="172">
        <v>2090028</v>
      </c>
      <c r="B212" s="172">
        <v>209</v>
      </c>
      <c r="C212" s="172">
        <v>209</v>
      </c>
      <c r="D212" s="172" t="s">
        <v>344</v>
      </c>
      <c r="E212" s="172">
        <v>28</v>
      </c>
      <c r="F212" s="172" t="s">
        <v>1416</v>
      </c>
      <c r="H212" s="173"/>
      <c r="I212" s="172">
        <v>3</v>
      </c>
      <c r="J212" s="177">
        <v>699840</v>
      </c>
      <c r="K212" s="177">
        <v>11000000</v>
      </c>
      <c r="L212" s="177">
        <v>11000000</v>
      </c>
      <c r="M212" s="177">
        <v>11000000</v>
      </c>
      <c r="N212" s="177">
        <v>11000000</v>
      </c>
      <c r="O212" s="172"/>
      <c r="P212" s="172"/>
      <c r="Q212" s="172" t="s">
        <v>1408</v>
      </c>
      <c r="R212" s="172" t="s">
        <v>1314</v>
      </c>
      <c r="S212" s="172">
        <v>2</v>
      </c>
      <c r="T212" s="172">
        <v>0</v>
      </c>
      <c r="U212" s="172">
        <v>0</v>
      </c>
      <c r="V212" s="172"/>
      <c r="W212" s="172"/>
      <c r="X212" s="172" t="s">
        <v>1395</v>
      </c>
      <c r="Z212" s="172">
        <v>384740</v>
      </c>
      <c r="AA212" s="172">
        <v>3000</v>
      </c>
      <c r="AB212" s="172">
        <v>0.15</v>
      </c>
      <c r="AE212" s="172">
        <v>3014</v>
      </c>
      <c r="AF212" s="172">
        <v>1500</v>
      </c>
      <c r="AI212" s="172"/>
      <c r="AJ212" s="172"/>
      <c r="AM212" s="172"/>
      <c r="AN212" s="172"/>
      <c r="AQ212" s="172"/>
      <c r="AR212" s="172"/>
      <c r="AU212" s="172"/>
      <c r="AV212" s="172"/>
      <c r="AY212" s="172"/>
      <c r="AZ212" s="172"/>
      <c r="BC212" s="172"/>
      <c r="BD212" s="172"/>
      <c r="BH212" s="172">
        <v>11</v>
      </c>
    </row>
    <row r="213" spans="1:60" ht="14.5">
      <c r="A213" s="172">
        <v>2090029</v>
      </c>
      <c r="B213" s="172">
        <v>210</v>
      </c>
      <c r="C213" s="172">
        <v>209</v>
      </c>
      <c r="D213" s="172" t="s">
        <v>344</v>
      </c>
      <c r="E213" s="172">
        <v>29</v>
      </c>
      <c r="F213" s="172" t="s">
        <v>1417</v>
      </c>
      <c r="H213" s="173"/>
      <c r="I213" s="172">
        <v>3</v>
      </c>
      <c r="J213" s="177">
        <v>855360</v>
      </c>
      <c r="K213" s="177">
        <v>14000000</v>
      </c>
      <c r="L213" s="177">
        <v>14000000</v>
      </c>
      <c r="M213" s="177">
        <v>14000000</v>
      </c>
      <c r="N213" s="177">
        <v>14000000</v>
      </c>
      <c r="O213" s="172"/>
      <c r="P213" s="172"/>
      <c r="Q213" s="172" t="s">
        <v>1408</v>
      </c>
      <c r="R213" s="172" t="s">
        <v>1317</v>
      </c>
      <c r="S213" s="172">
        <v>2</v>
      </c>
      <c r="T213" s="172">
        <v>0</v>
      </c>
      <c r="U213" s="172">
        <v>0</v>
      </c>
      <c r="V213" s="172"/>
      <c r="W213" s="172"/>
      <c r="X213" s="172" t="s">
        <v>1395</v>
      </c>
      <c r="Z213" s="172">
        <v>493372</v>
      </c>
      <c r="AA213" s="172">
        <v>3000</v>
      </c>
      <c r="AB213" s="172">
        <v>0.16</v>
      </c>
      <c r="AE213" s="172">
        <v>3014</v>
      </c>
      <c r="AF213" s="172">
        <v>1600</v>
      </c>
      <c r="AI213" s="172"/>
      <c r="AJ213" s="172"/>
      <c r="AM213" s="172"/>
      <c r="AN213" s="172"/>
      <c r="AQ213" s="172"/>
      <c r="AR213" s="172"/>
      <c r="AU213" s="172"/>
      <c r="AV213" s="172"/>
      <c r="AY213" s="172"/>
      <c r="AZ213" s="172"/>
      <c r="BC213" s="172"/>
      <c r="BD213" s="172"/>
      <c r="BH213" s="172">
        <v>11</v>
      </c>
    </row>
    <row r="214" spans="1:60" ht="14.5">
      <c r="A214" s="172">
        <v>2090030</v>
      </c>
      <c r="B214" s="172">
        <v>211</v>
      </c>
      <c r="C214" s="172">
        <v>209</v>
      </c>
      <c r="D214" s="172" t="s">
        <v>344</v>
      </c>
      <c r="E214" s="172">
        <v>30</v>
      </c>
      <c r="F214" s="172" t="s">
        <v>1418</v>
      </c>
      <c r="H214" s="173"/>
      <c r="I214" s="172">
        <v>3</v>
      </c>
      <c r="J214" s="177">
        <v>1036800</v>
      </c>
      <c r="K214" s="177">
        <v>17000000</v>
      </c>
      <c r="L214" s="177">
        <v>17000000</v>
      </c>
      <c r="M214" s="177">
        <v>17000000</v>
      </c>
      <c r="N214" s="177">
        <v>17000000</v>
      </c>
      <c r="O214" s="172"/>
      <c r="P214" s="172"/>
      <c r="Q214" s="172" t="s">
        <v>1408</v>
      </c>
      <c r="R214" s="172" t="s">
        <v>1406</v>
      </c>
      <c r="S214" s="172">
        <v>2</v>
      </c>
      <c r="T214" s="172">
        <v>0</v>
      </c>
      <c r="U214" s="172">
        <v>0</v>
      </c>
      <c r="V214" s="172"/>
      <c r="W214" s="172"/>
      <c r="X214" s="172" t="s">
        <v>1395</v>
      </c>
      <c r="Z214" s="172">
        <v>632420</v>
      </c>
      <c r="AA214" s="172">
        <v>3000</v>
      </c>
      <c r="AB214" s="172">
        <v>0.17</v>
      </c>
      <c r="AE214" s="172">
        <v>3014</v>
      </c>
      <c r="AF214" s="172">
        <v>1700</v>
      </c>
      <c r="AI214" s="172"/>
      <c r="AJ214" s="172"/>
      <c r="AM214" s="172"/>
      <c r="AN214" s="172"/>
      <c r="AQ214" s="172"/>
      <c r="AR214" s="172"/>
      <c r="AU214" s="172"/>
      <c r="AV214" s="172"/>
      <c r="AY214" s="172"/>
      <c r="AZ214" s="172"/>
      <c r="BC214" s="172"/>
      <c r="BD214" s="172"/>
      <c r="BH214" s="172">
        <v>11</v>
      </c>
    </row>
    <row r="215" spans="1:60" ht="14.5">
      <c r="A215" s="180">
        <v>2120001</v>
      </c>
      <c r="B215" s="180">
        <v>212</v>
      </c>
      <c r="C215" s="180">
        <v>212</v>
      </c>
      <c r="D215" s="180" t="s">
        <v>394</v>
      </c>
      <c r="E215" s="180">
        <v>1</v>
      </c>
      <c r="F215" s="180" t="s">
        <v>395</v>
      </c>
      <c r="H215" s="181"/>
      <c r="I215" s="180" t="s">
        <v>1205</v>
      </c>
      <c r="J215" s="182">
        <v>25</v>
      </c>
      <c r="K215" s="182">
        <v>0</v>
      </c>
      <c r="L215" s="182">
        <v>0</v>
      </c>
      <c r="M215" s="182">
        <v>0</v>
      </c>
      <c r="N215" s="182">
        <v>0</v>
      </c>
      <c r="O215" s="180"/>
      <c r="P215" s="180"/>
      <c r="Q215" s="180" t="s">
        <v>1318</v>
      </c>
      <c r="R215" s="180" t="s">
        <v>229</v>
      </c>
      <c r="S215" s="180">
        <v>1</v>
      </c>
      <c r="T215" s="180">
        <v>0</v>
      </c>
      <c r="U215" s="180">
        <v>0</v>
      </c>
      <c r="Z215" s="180">
        <v>0</v>
      </c>
      <c r="AB215" s="180"/>
      <c r="AI215" s="172"/>
      <c r="AJ215" s="172"/>
      <c r="AK215" s="172"/>
      <c r="AL215" s="172"/>
      <c r="AM215" s="172"/>
      <c r="AN215" s="172"/>
      <c r="AO215" s="172"/>
      <c r="AP215" s="172"/>
      <c r="AQ215" s="172"/>
      <c r="AR215" s="172"/>
      <c r="AS215" s="172"/>
      <c r="AT215" s="172"/>
      <c r="AU215" s="172"/>
      <c r="AV215" s="172"/>
      <c r="AW215" s="172"/>
      <c r="AX215" s="172"/>
      <c r="AY215" s="172"/>
      <c r="AZ215" s="172"/>
      <c r="BA215" s="172"/>
      <c r="BB215" s="172"/>
      <c r="BC215" s="172"/>
      <c r="BD215" s="172"/>
      <c r="BE215" s="172"/>
      <c r="BF215" s="172"/>
      <c r="BH215" s="180">
        <v>22</v>
      </c>
    </row>
    <row r="216" spans="1:60" ht="14.5">
      <c r="A216" s="172">
        <v>2150001</v>
      </c>
      <c r="B216" s="172">
        <v>213</v>
      </c>
      <c r="C216" s="172">
        <v>215</v>
      </c>
      <c r="D216" s="172" t="s">
        <v>418</v>
      </c>
      <c r="E216" s="172">
        <v>1</v>
      </c>
      <c r="F216" s="172" t="s">
        <v>419</v>
      </c>
      <c r="H216" s="173"/>
      <c r="I216" s="172" t="s">
        <v>1205</v>
      </c>
      <c r="J216" s="177">
        <v>25</v>
      </c>
      <c r="K216" s="177">
        <v>1300</v>
      </c>
      <c r="L216" s="177">
        <v>1300</v>
      </c>
      <c r="M216" s="177">
        <v>0</v>
      </c>
      <c r="N216" s="177">
        <v>0</v>
      </c>
      <c r="O216" s="172"/>
      <c r="P216" s="172"/>
      <c r="Q216" s="172" t="s">
        <v>1318</v>
      </c>
      <c r="R216" s="172" t="s">
        <v>229</v>
      </c>
      <c r="S216" s="172">
        <v>1</v>
      </c>
      <c r="T216" s="172">
        <v>0</v>
      </c>
      <c r="U216" s="172">
        <v>0</v>
      </c>
      <c r="V216" s="172" t="s">
        <v>229</v>
      </c>
      <c r="W216" s="172" t="s">
        <v>1419</v>
      </c>
      <c r="Z216" s="172">
        <v>5</v>
      </c>
      <c r="AA216" s="172">
        <v>4004</v>
      </c>
      <c r="AB216" s="172">
        <v>100000</v>
      </c>
      <c r="AE216" s="172"/>
      <c r="AF216" s="172"/>
      <c r="AI216" s="172"/>
      <c r="AJ216" s="172"/>
      <c r="AM216" s="172"/>
      <c r="AN216" s="172"/>
      <c r="AQ216" s="172"/>
      <c r="AR216" s="172"/>
      <c r="AU216" s="172"/>
      <c r="AV216" s="172"/>
      <c r="AY216" s="172"/>
      <c r="AZ216" s="172"/>
      <c r="BC216" s="172"/>
      <c r="BD216" s="172"/>
      <c r="BH216" s="172">
        <v>17</v>
      </c>
    </row>
    <row r="217" spans="1:60" ht="14.5">
      <c r="A217" s="172">
        <v>2150002</v>
      </c>
      <c r="B217" s="172">
        <v>214</v>
      </c>
      <c r="C217" s="172">
        <v>215</v>
      </c>
      <c r="D217" s="172" t="s">
        <v>418</v>
      </c>
      <c r="E217" s="172">
        <v>2</v>
      </c>
      <c r="F217" s="172" t="s">
        <v>423</v>
      </c>
      <c r="H217" s="173"/>
      <c r="I217" s="172" t="s">
        <v>1205</v>
      </c>
      <c r="J217" s="177">
        <v>90</v>
      </c>
      <c r="K217" s="177">
        <v>2500</v>
      </c>
      <c r="L217" s="177">
        <v>2500</v>
      </c>
      <c r="M217" s="177">
        <v>0</v>
      </c>
      <c r="N217" s="177">
        <v>0</v>
      </c>
      <c r="O217" s="172"/>
      <c r="P217" s="172"/>
      <c r="Q217" s="172" t="s">
        <v>1318</v>
      </c>
      <c r="R217" s="172" t="s">
        <v>1320</v>
      </c>
      <c r="S217" s="172">
        <v>1</v>
      </c>
      <c r="T217" s="172">
        <v>0</v>
      </c>
      <c r="U217" s="172">
        <v>0</v>
      </c>
      <c r="V217" s="172"/>
      <c r="W217" s="172"/>
      <c r="Z217" s="172">
        <v>15</v>
      </c>
      <c r="AA217" s="172">
        <v>4004</v>
      </c>
      <c r="AB217" s="172">
        <v>120000</v>
      </c>
      <c r="AE217" s="172"/>
      <c r="AF217" s="172"/>
      <c r="AI217" s="172"/>
      <c r="AJ217" s="172"/>
      <c r="AM217" s="172"/>
      <c r="AN217" s="172"/>
      <c r="AQ217" s="172"/>
      <c r="AR217" s="172"/>
      <c r="AU217" s="172"/>
      <c r="AV217" s="172"/>
      <c r="AY217" s="172"/>
      <c r="AZ217" s="172"/>
      <c r="BC217" s="172"/>
      <c r="BD217" s="172"/>
      <c r="BH217" s="172">
        <v>17</v>
      </c>
    </row>
    <row r="218" spans="1:60" ht="14.5">
      <c r="A218" s="172">
        <v>2150003</v>
      </c>
      <c r="B218" s="172">
        <v>215</v>
      </c>
      <c r="C218" s="172">
        <v>215</v>
      </c>
      <c r="D218" s="172" t="s">
        <v>418</v>
      </c>
      <c r="E218" s="172">
        <v>3</v>
      </c>
      <c r="F218" s="172" t="s">
        <v>424</v>
      </c>
      <c r="H218" s="173"/>
      <c r="I218" s="172" t="s">
        <v>1205</v>
      </c>
      <c r="J218" s="177">
        <v>180</v>
      </c>
      <c r="K218" s="177">
        <v>5000</v>
      </c>
      <c r="L218" s="177">
        <v>5000</v>
      </c>
      <c r="M218" s="177">
        <v>0</v>
      </c>
      <c r="N218" s="177">
        <v>0</v>
      </c>
      <c r="O218" s="172"/>
      <c r="P218" s="172"/>
      <c r="Q218" s="172" t="s">
        <v>1318</v>
      </c>
      <c r="R218" s="172" t="s">
        <v>1321</v>
      </c>
      <c r="S218" s="172">
        <v>1</v>
      </c>
      <c r="T218" s="172">
        <v>0</v>
      </c>
      <c r="U218" s="172">
        <v>0</v>
      </c>
      <c r="V218" s="172"/>
      <c r="W218" s="172"/>
      <c r="Z218" s="172">
        <v>35</v>
      </c>
      <c r="AA218" s="172">
        <v>4004</v>
      </c>
      <c r="AB218" s="172">
        <v>140000</v>
      </c>
      <c r="AE218" s="172"/>
      <c r="AF218" s="172"/>
      <c r="AI218" s="172"/>
      <c r="AJ218" s="172"/>
      <c r="AM218" s="172"/>
      <c r="AN218" s="172"/>
      <c r="AQ218" s="172"/>
      <c r="AR218" s="172"/>
      <c r="AU218" s="172"/>
      <c r="AV218" s="172"/>
      <c r="AY218" s="172"/>
      <c r="AZ218" s="172"/>
      <c r="BC218" s="172"/>
      <c r="BD218" s="172"/>
      <c r="BH218" s="172">
        <v>17</v>
      </c>
    </row>
    <row r="219" spans="1:60" ht="14.5">
      <c r="A219" s="172">
        <v>2150004</v>
      </c>
      <c r="B219" s="172">
        <v>216</v>
      </c>
      <c r="C219" s="172">
        <v>215</v>
      </c>
      <c r="D219" s="172" t="s">
        <v>418</v>
      </c>
      <c r="E219" s="172">
        <v>4</v>
      </c>
      <c r="F219" s="172" t="s">
        <v>425</v>
      </c>
      <c r="H219" s="173"/>
      <c r="I219" s="172" t="s">
        <v>1205</v>
      </c>
      <c r="J219" s="177">
        <v>360</v>
      </c>
      <c r="K219" s="177">
        <v>10000</v>
      </c>
      <c r="L219" s="177">
        <v>10000</v>
      </c>
      <c r="M219" s="177">
        <v>0</v>
      </c>
      <c r="N219" s="177">
        <v>0</v>
      </c>
      <c r="O219" s="172"/>
      <c r="P219" s="172"/>
      <c r="Q219" s="172" t="s">
        <v>1318</v>
      </c>
      <c r="R219" s="172" t="s">
        <v>1322</v>
      </c>
      <c r="S219" s="172">
        <v>1</v>
      </c>
      <c r="T219" s="172">
        <v>0</v>
      </c>
      <c r="U219" s="172">
        <v>0</v>
      </c>
      <c r="V219" s="172"/>
      <c r="W219" s="172"/>
      <c r="Z219" s="172">
        <v>75</v>
      </c>
      <c r="AA219" s="172">
        <v>4004</v>
      </c>
      <c r="AB219" s="172">
        <v>160000</v>
      </c>
      <c r="AE219" s="172"/>
      <c r="AF219" s="172"/>
      <c r="AI219" s="172"/>
      <c r="AJ219" s="172"/>
      <c r="AM219" s="172"/>
      <c r="AN219" s="172"/>
      <c r="AQ219" s="172"/>
      <c r="AR219" s="172"/>
      <c r="AU219" s="172"/>
      <c r="AV219" s="172"/>
      <c r="AY219" s="172"/>
      <c r="AZ219" s="172"/>
      <c r="BC219" s="172"/>
      <c r="BD219" s="172"/>
      <c r="BH219" s="172">
        <v>17</v>
      </c>
    </row>
    <row r="220" spans="1:60" ht="14.5">
      <c r="A220" s="172">
        <v>2150005</v>
      </c>
      <c r="B220" s="172">
        <v>217</v>
      </c>
      <c r="C220" s="172">
        <v>215</v>
      </c>
      <c r="D220" s="172" t="s">
        <v>418</v>
      </c>
      <c r="E220" s="172">
        <v>5</v>
      </c>
      <c r="F220" s="172" t="s">
        <v>426</v>
      </c>
      <c r="H220" s="173"/>
      <c r="I220" s="172">
        <v>1</v>
      </c>
      <c r="J220" s="177">
        <v>750</v>
      </c>
      <c r="K220" s="177">
        <v>9700</v>
      </c>
      <c r="L220" s="177">
        <v>9700</v>
      </c>
      <c r="M220" s="177">
        <v>19000</v>
      </c>
      <c r="N220" s="177">
        <v>0</v>
      </c>
      <c r="O220" s="172"/>
      <c r="P220" s="172"/>
      <c r="Q220" s="172" t="s">
        <v>1420</v>
      </c>
      <c r="R220" s="172" t="s">
        <v>1225</v>
      </c>
      <c r="S220" s="172">
        <v>1</v>
      </c>
      <c r="T220" s="172">
        <v>0</v>
      </c>
      <c r="U220" s="172">
        <v>0</v>
      </c>
      <c r="V220" s="172"/>
      <c r="W220" s="172"/>
      <c r="Z220" s="172">
        <v>152</v>
      </c>
      <c r="AA220" s="172">
        <v>4004</v>
      </c>
      <c r="AB220" s="172">
        <v>180000</v>
      </c>
      <c r="AE220" s="172"/>
      <c r="AF220" s="172"/>
      <c r="AI220" s="172"/>
      <c r="AJ220" s="172"/>
      <c r="AM220" s="172"/>
      <c r="AN220" s="172"/>
      <c r="AQ220" s="172"/>
      <c r="AR220" s="172"/>
      <c r="AU220" s="172"/>
      <c r="AV220" s="172"/>
      <c r="AY220" s="172"/>
      <c r="AZ220" s="172"/>
      <c r="BC220" s="172"/>
      <c r="BD220" s="172"/>
      <c r="BH220" s="172">
        <v>17</v>
      </c>
    </row>
    <row r="221" spans="1:60" ht="14.5">
      <c r="A221" s="172">
        <v>2150006</v>
      </c>
      <c r="B221" s="172">
        <v>218</v>
      </c>
      <c r="C221" s="172">
        <v>215</v>
      </c>
      <c r="D221" s="172" t="s">
        <v>418</v>
      </c>
      <c r="E221" s="172">
        <v>6</v>
      </c>
      <c r="F221" s="172" t="s">
        <v>427</v>
      </c>
      <c r="H221" s="173"/>
      <c r="I221" s="172">
        <v>1</v>
      </c>
      <c r="J221" s="177">
        <v>1350</v>
      </c>
      <c r="K221" s="177">
        <v>18000</v>
      </c>
      <c r="L221" s="177">
        <v>18000</v>
      </c>
      <c r="M221" s="177">
        <v>36000</v>
      </c>
      <c r="N221" s="177">
        <v>0</v>
      </c>
      <c r="O221" s="172"/>
      <c r="P221" s="172"/>
      <c r="Q221" s="172" t="s">
        <v>1420</v>
      </c>
      <c r="R221" s="172" t="s">
        <v>1230</v>
      </c>
      <c r="S221" s="172">
        <v>1</v>
      </c>
      <c r="T221" s="172">
        <v>0</v>
      </c>
      <c r="U221" s="172">
        <v>0</v>
      </c>
      <c r="V221" s="172"/>
      <c r="W221" s="172"/>
      <c r="Z221" s="172">
        <v>295</v>
      </c>
      <c r="AA221" s="172">
        <v>4004</v>
      </c>
      <c r="AB221" s="172">
        <v>200000</v>
      </c>
      <c r="AE221" s="172"/>
      <c r="AF221" s="172"/>
      <c r="AI221" s="172"/>
      <c r="AJ221" s="172"/>
      <c r="AM221" s="172"/>
      <c r="AN221" s="172"/>
      <c r="AQ221" s="172"/>
      <c r="AR221" s="172"/>
      <c r="AU221" s="172"/>
      <c r="AV221" s="172"/>
      <c r="AY221" s="172"/>
      <c r="AZ221" s="172"/>
      <c r="BC221" s="172"/>
      <c r="BD221" s="172"/>
      <c r="BH221" s="172">
        <v>17</v>
      </c>
    </row>
    <row r="222" spans="1:60" ht="14.5">
      <c r="A222" s="172">
        <v>2150007</v>
      </c>
      <c r="B222" s="172">
        <v>219</v>
      </c>
      <c r="C222" s="172">
        <v>215</v>
      </c>
      <c r="D222" s="172" t="s">
        <v>418</v>
      </c>
      <c r="E222" s="172">
        <v>7</v>
      </c>
      <c r="F222" s="172" t="s">
        <v>428</v>
      </c>
      <c r="H222" s="173"/>
      <c r="I222" s="172">
        <v>1</v>
      </c>
      <c r="J222" s="177">
        <v>2250</v>
      </c>
      <c r="K222" s="177">
        <v>32000</v>
      </c>
      <c r="L222" s="177">
        <v>32000</v>
      </c>
      <c r="M222" s="177">
        <v>64000</v>
      </c>
      <c r="N222" s="177">
        <v>0</v>
      </c>
      <c r="O222" s="172"/>
      <c r="P222" s="172"/>
      <c r="Q222" s="172" t="s">
        <v>1420</v>
      </c>
      <c r="R222" s="172" t="s">
        <v>1234</v>
      </c>
      <c r="S222" s="172">
        <v>1</v>
      </c>
      <c r="T222" s="172">
        <v>0</v>
      </c>
      <c r="U222" s="172">
        <v>0</v>
      </c>
      <c r="V222" s="172"/>
      <c r="W222" s="172"/>
      <c r="Z222" s="172">
        <v>552</v>
      </c>
      <c r="AA222" s="172">
        <v>4004</v>
      </c>
      <c r="AB222" s="172">
        <v>220000</v>
      </c>
      <c r="AE222" s="172"/>
      <c r="AF222" s="172"/>
      <c r="AI222" s="172"/>
      <c r="AJ222" s="172"/>
      <c r="AM222" s="172"/>
      <c r="AN222" s="172"/>
      <c r="AQ222" s="172"/>
      <c r="AR222" s="172"/>
      <c r="AU222" s="172"/>
      <c r="AV222" s="172"/>
      <c r="AY222" s="172"/>
      <c r="AZ222" s="172"/>
      <c r="BC222" s="172"/>
      <c r="BD222" s="172"/>
      <c r="BH222" s="172">
        <v>17</v>
      </c>
    </row>
    <row r="223" spans="1:60" ht="14.5">
      <c r="A223" s="172">
        <v>2150008</v>
      </c>
      <c r="B223" s="172">
        <v>220</v>
      </c>
      <c r="C223" s="172">
        <v>215</v>
      </c>
      <c r="D223" s="172" t="s">
        <v>418</v>
      </c>
      <c r="E223" s="172">
        <v>8</v>
      </c>
      <c r="F223" s="172" t="s">
        <v>429</v>
      </c>
      <c r="H223" s="173"/>
      <c r="I223" s="172">
        <v>1</v>
      </c>
      <c r="J223" s="177">
        <v>3600</v>
      </c>
      <c r="K223" s="177">
        <v>55000</v>
      </c>
      <c r="L223" s="177">
        <v>55000</v>
      </c>
      <c r="M223" s="177">
        <v>110000</v>
      </c>
      <c r="N223" s="177">
        <v>0</v>
      </c>
      <c r="O223" s="172"/>
      <c r="P223" s="172"/>
      <c r="Q223" s="172" t="s">
        <v>1420</v>
      </c>
      <c r="R223" s="172" t="s">
        <v>1239</v>
      </c>
      <c r="S223" s="172">
        <v>1</v>
      </c>
      <c r="T223" s="172">
        <v>0</v>
      </c>
      <c r="U223" s="172">
        <v>0</v>
      </c>
      <c r="V223" s="172"/>
      <c r="W223" s="172"/>
      <c r="Z223" s="172">
        <v>994</v>
      </c>
      <c r="AA223" s="172">
        <v>4004</v>
      </c>
      <c r="AB223" s="172">
        <v>240000</v>
      </c>
      <c r="AE223" s="172"/>
      <c r="AF223" s="172"/>
      <c r="AI223" s="172"/>
      <c r="AJ223" s="172"/>
      <c r="AM223" s="172"/>
      <c r="AN223" s="172"/>
      <c r="AQ223" s="172"/>
      <c r="AR223" s="172"/>
      <c r="AU223" s="172"/>
      <c r="AV223" s="172"/>
      <c r="AY223" s="172"/>
      <c r="AZ223" s="172"/>
      <c r="BC223" s="172"/>
      <c r="BD223" s="172"/>
      <c r="BH223" s="172">
        <v>17</v>
      </c>
    </row>
    <row r="224" spans="1:60" ht="14.5">
      <c r="A224" s="172">
        <v>2150009</v>
      </c>
      <c r="B224" s="172">
        <v>221</v>
      </c>
      <c r="C224" s="172">
        <v>215</v>
      </c>
      <c r="D224" s="172" t="s">
        <v>418</v>
      </c>
      <c r="E224" s="172">
        <v>9</v>
      </c>
      <c r="F224" s="172" t="s">
        <v>430</v>
      </c>
      <c r="H224" s="173"/>
      <c r="I224" s="172">
        <v>1</v>
      </c>
      <c r="J224" s="177">
        <v>7200</v>
      </c>
      <c r="K224" s="177">
        <v>91000</v>
      </c>
      <c r="L224" s="177">
        <v>91000</v>
      </c>
      <c r="M224" s="177">
        <v>180000</v>
      </c>
      <c r="N224" s="177">
        <v>0</v>
      </c>
      <c r="O224" s="172"/>
      <c r="P224" s="172"/>
      <c r="Q224" s="172" t="s">
        <v>1420</v>
      </c>
      <c r="R224" s="172" t="s">
        <v>1244</v>
      </c>
      <c r="S224" s="172">
        <v>1</v>
      </c>
      <c r="T224" s="172">
        <v>0</v>
      </c>
      <c r="U224" s="172">
        <v>0</v>
      </c>
      <c r="V224" s="172"/>
      <c r="W224" s="172"/>
      <c r="Z224" s="172">
        <v>1724</v>
      </c>
      <c r="AA224" s="172">
        <v>4004</v>
      </c>
      <c r="AB224" s="172">
        <v>260000</v>
      </c>
      <c r="AE224" s="172"/>
      <c r="AF224" s="172"/>
      <c r="AI224" s="172"/>
      <c r="AJ224" s="172"/>
      <c r="AM224" s="172"/>
      <c r="AN224" s="172"/>
      <c r="AQ224" s="172"/>
      <c r="AR224" s="172"/>
      <c r="AU224" s="172"/>
      <c r="AV224" s="172"/>
      <c r="AY224" s="172"/>
      <c r="AZ224" s="172"/>
      <c r="BC224" s="172"/>
      <c r="BD224" s="172"/>
      <c r="BH224" s="172">
        <v>17</v>
      </c>
    </row>
    <row r="225" spans="1:60" ht="14.5">
      <c r="A225" s="172">
        <v>2150010</v>
      </c>
      <c r="B225" s="172">
        <v>222</v>
      </c>
      <c r="C225" s="172">
        <v>215</v>
      </c>
      <c r="D225" s="172" t="s">
        <v>418</v>
      </c>
      <c r="E225" s="172">
        <v>10</v>
      </c>
      <c r="F225" s="172" t="s">
        <v>431</v>
      </c>
      <c r="H225" s="173"/>
      <c r="I225" s="172">
        <v>1</v>
      </c>
      <c r="J225" s="177">
        <v>10800</v>
      </c>
      <c r="K225" s="177">
        <v>120000</v>
      </c>
      <c r="L225" s="177">
        <v>120000</v>
      </c>
      <c r="M225" s="177">
        <v>230000</v>
      </c>
      <c r="N225" s="177">
        <v>120000</v>
      </c>
      <c r="O225" s="172"/>
      <c r="P225" s="172"/>
      <c r="Q225" s="172" t="s">
        <v>1420</v>
      </c>
      <c r="R225" s="172" t="s">
        <v>1247</v>
      </c>
      <c r="S225" s="172">
        <v>1</v>
      </c>
      <c r="T225" s="172">
        <v>0</v>
      </c>
      <c r="U225" s="172">
        <v>0</v>
      </c>
      <c r="V225" s="172"/>
      <c r="W225" s="172"/>
      <c r="Z225" s="172">
        <v>2876</v>
      </c>
      <c r="AA225" s="172">
        <v>4004</v>
      </c>
      <c r="AB225" s="172">
        <v>280000</v>
      </c>
      <c r="AE225" s="172"/>
      <c r="AF225" s="172"/>
      <c r="AI225" s="172"/>
      <c r="AJ225" s="172"/>
      <c r="AM225" s="172"/>
      <c r="AN225" s="172"/>
      <c r="AQ225" s="172"/>
      <c r="AR225" s="172"/>
      <c r="AU225" s="172"/>
      <c r="AV225" s="172"/>
      <c r="AY225" s="172"/>
      <c r="AZ225" s="172"/>
      <c r="BC225" s="172"/>
      <c r="BD225" s="172"/>
      <c r="BH225" s="172">
        <v>17</v>
      </c>
    </row>
    <row r="226" spans="1:60" ht="14.5">
      <c r="A226" s="172">
        <v>2150011</v>
      </c>
      <c r="B226" s="172">
        <v>223</v>
      </c>
      <c r="C226" s="172">
        <v>215</v>
      </c>
      <c r="D226" s="172" t="s">
        <v>418</v>
      </c>
      <c r="E226" s="172">
        <v>11</v>
      </c>
      <c r="F226" s="172" t="s">
        <v>432</v>
      </c>
      <c r="H226" s="173"/>
      <c r="I226" s="172">
        <v>1</v>
      </c>
      <c r="J226" s="177">
        <v>16200</v>
      </c>
      <c r="K226" s="177">
        <v>170000</v>
      </c>
      <c r="L226" s="177">
        <v>170000</v>
      </c>
      <c r="M226" s="177">
        <v>350000</v>
      </c>
      <c r="N226" s="177">
        <v>170000</v>
      </c>
      <c r="O226" s="172"/>
      <c r="P226" s="172"/>
      <c r="Q226" s="172" t="s">
        <v>1420</v>
      </c>
      <c r="R226" s="172" t="s">
        <v>1252</v>
      </c>
      <c r="S226" s="172">
        <v>1</v>
      </c>
      <c r="T226" s="172">
        <v>0</v>
      </c>
      <c r="U226" s="172">
        <v>0</v>
      </c>
      <c r="V226" s="172"/>
      <c r="W226" s="172"/>
      <c r="Z226" s="172">
        <v>4617</v>
      </c>
      <c r="AA226" s="172">
        <v>4004</v>
      </c>
      <c r="AB226" s="172">
        <v>300000</v>
      </c>
      <c r="AE226" s="172"/>
      <c r="AF226" s="172"/>
      <c r="AI226" s="172"/>
      <c r="AJ226" s="172"/>
      <c r="AM226" s="172"/>
      <c r="AN226" s="172"/>
      <c r="AQ226" s="172"/>
      <c r="AR226" s="172"/>
      <c r="AU226" s="172"/>
      <c r="AV226" s="172"/>
      <c r="AY226" s="172"/>
      <c r="AZ226" s="172"/>
      <c r="BC226" s="172"/>
      <c r="BD226" s="172"/>
      <c r="BH226" s="172">
        <v>17</v>
      </c>
    </row>
    <row r="227" spans="1:60" ht="14.5">
      <c r="A227" s="172">
        <v>2150012</v>
      </c>
      <c r="B227" s="172">
        <v>224</v>
      </c>
      <c r="C227" s="172">
        <v>215</v>
      </c>
      <c r="D227" s="172" t="s">
        <v>418</v>
      </c>
      <c r="E227" s="172">
        <v>12</v>
      </c>
      <c r="F227" s="172" t="s">
        <v>433</v>
      </c>
      <c r="H227" s="173"/>
      <c r="I227" s="172">
        <v>2</v>
      </c>
      <c r="J227" s="177">
        <v>21600</v>
      </c>
      <c r="K227" s="177">
        <v>250000</v>
      </c>
      <c r="L227" s="177">
        <v>250000</v>
      </c>
      <c r="M227" s="177">
        <v>500000</v>
      </c>
      <c r="N227" s="177">
        <v>250000</v>
      </c>
      <c r="O227" s="172"/>
      <c r="P227" s="172"/>
      <c r="Q227" s="172" t="s">
        <v>1420</v>
      </c>
      <c r="R227" s="172" t="s">
        <v>1258</v>
      </c>
      <c r="S227" s="172">
        <v>1</v>
      </c>
      <c r="T227" s="172">
        <v>0</v>
      </c>
      <c r="U227" s="172">
        <v>0</v>
      </c>
      <c r="V227" s="172"/>
      <c r="W227" s="172"/>
      <c r="Z227" s="172">
        <v>7123</v>
      </c>
      <c r="AA227" s="172">
        <v>4004</v>
      </c>
      <c r="AB227" s="172">
        <v>320000</v>
      </c>
      <c r="AE227" s="172"/>
      <c r="AF227" s="172"/>
      <c r="AI227" s="172"/>
      <c r="AJ227" s="172"/>
      <c r="AM227" s="172"/>
      <c r="AN227" s="172"/>
      <c r="AQ227" s="172"/>
      <c r="AR227" s="172"/>
      <c r="AU227" s="172"/>
      <c r="AV227" s="172"/>
      <c r="AY227" s="172"/>
      <c r="AZ227" s="172"/>
      <c r="BC227" s="172"/>
      <c r="BD227" s="172"/>
      <c r="BH227" s="172">
        <v>17</v>
      </c>
    </row>
    <row r="228" spans="1:60" ht="14.5">
      <c r="A228" s="172">
        <v>2150013</v>
      </c>
      <c r="B228" s="172">
        <v>225</v>
      </c>
      <c r="C228" s="172">
        <v>215</v>
      </c>
      <c r="D228" s="172" t="s">
        <v>418</v>
      </c>
      <c r="E228" s="172">
        <v>13</v>
      </c>
      <c r="F228" s="172" t="s">
        <v>434</v>
      </c>
      <c r="H228" s="173"/>
      <c r="I228" s="172">
        <v>2</v>
      </c>
      <c r="J228" s="177">
        <v>28800</v>
      </c>
      <c r="K228" s="177">
        <v>340000</v>
      </c>
      <c r="L228" s="177">
        <v>340000</v>
      </c>
      <c r="M228" s="177">
        <v>690000</v>
      </c>
      <c r="N228" s="177">
        <v>340000</v>
      </c>
      <c r="O228" s="172"/>
      <c r="P228" s="172"/>
      <c r="Q228" s="172" t="s">
        <v>1420</v>
      </c>
      <c r="R228" s="172" t="s">
        <v>1262</v>
      </c>
      <c r="S228" s="172">
        <v>1</v>
      </c>
      <c r="T228" s="172">
        <v>0</v>
      </c>
      <c r="U228" s="172">
        <v>0</v>
      </c>
      <c r="V228" s="172"/>
      <c r="W228" s="172"/>
      <c r="Z228" s="172">
        <v>10556</v>
      </c>
      <c r="AA228" s="172">
        <v>4004</v>
      </c>
      <c r="AB228" s="172">
        <v>340000</v>
      </c>
      <c r="AE228" s="172"/>
      <c r="AF228" s="172"/>
      <c r="AI228" s="172"/>
      <c r="AJ228" s="172"/>
      <c r="AM228" s="172"/>
      <c r="AN228" s="172"/>
      <c r="AQ228" s="172"/>
      <c r="AR228" s="172"/>
      <c r="AU228" s="172"/>
      <c r="AV228" s="172"/>
      <c r="AY228" s="172"/>
      <c r="AZ228" s="172"/>
      <c r="BC228" s="172"/>
      <c r="BD228" s="172"/>
      <c r="BH228" s="172">
        <v>17</v>
      </c>
    </row>
    <row r="229" spans="1:60" ht="14.5">
      <c r="A229" s="172">
        <v>2150014</v>
      </c>
      <c r="B229" s="172">
        <v>226</v>
      </c>
      <c r="C229" s="172">
        <v>215</v>
      </c>
      <c r="D229" s="172" t="s">
        <v>418</v>
      </c>
      <c r="E229" s="172">
        <v>14</v>
      </c>
      <c r="F229" s="172" t="s">
        <v>435</v>
      </c>
      <c r="H229" s="173"/>
      <c r="I229" s="172">
        <v>2</v>
      </c>
      <c r="J229" s="177">
        <v>36000</v>
      </c>
      <c r="K229" s="177">
        <v>450000</v>
      </c>
      <c r="L229" s="177">
        <v>450000</v>
      </c>
      <c r="M229" s="177">
        <v>890000</v>
      </c>
      <c r="N229" s="177">
        <v>450000</v>
      </c>
      <c r="O229" s="172"/>
      <c r="P229" s="172"/>
      <c r="Q229" s="172" t="s">
        <v>1420</v>
      </c>
      <c r="R229" s="172" t="s">
        <v>1265</v>
      </c>
      <c r="S229" s="172">
        <v>1</v>
      </c>
      <c r="T229" s="172">
        <v>0</v>
      </c>
      <c r="U229" s="172">
        <v>0</v>
      </c>
      <c r="V229" s="172"/>
      <c r="W229" s="172"/>
      <c r="Z229" s="172">
        <v>15019</v>
      </c>
      <c r="AA229" s="172">
        <v>4004</v>
      </c>
      <c r="AB229" s="172">
        <v>370000</v>
      </c>
      <c r="AE229" s="172"/>
      <c r="AF229" s="172"/>
      <c r="AI229" s="172"/>
      <c r="AJ229" s="172"/>
      <c r="AM229" s="172"/>
      <c r="AN229" s="172"/>
      <c r="AQ229" s="172"/>
      <c r="AR229" s="172"/>
      <c r="AU229" s="172"/>
      <c r="AV229" s="172"/>
      <c r="AY229" s="172"/>
      <c r="AZ229" s="172"/>
      <c r="BC229" s="172"/>
      <c r="BD229" s="172"/>
      <c r="BH229" s="172">
        <v>17</v>
      </c>
    </row>
    <row r="230" spans="1:60" ht="14.5">
      <c r="A230" s="172">
        <v>2150015</v>
      </c>
      <c r="B230" s="172">
        <v>227</v>
      </c>
      <c r="C230" s="172">
        <v>215</v>
      </c>
      <c r="D230" s="172" t="s">
        <v>418</v>
      </c>
      <c r="E230" s="172">
        <v>15</v>
      </c>
      <c r="F230" s="172" t="s">
        <v>436</v>
      </c>
      <c r="H230" s="173"/>
      <c r="I230" s="172">
        <v>2</v>
      </c>
      <c r="J230" s="177">
        <v>43200</v>
      </c>
      <c r="K230" s="177">
        <v>570000</v>
      </c>
      <c r="L230" s="177">
        <v>570000</v>
      </c>
      <c r="M230" s="177">
        <v>1100000</v>
      </c>
      <c r="N230" s="177">
        <v>570000</v>
      </c>
      <c r="O230" s="172"/>
      <c r="P230" s="172"/>
      <c r="Q230" s="172" t="s">
        <v>1420</v>
      </c>
      <c r="R230" s="172" t="s">
        <v>1269</v>
      </c>
      <c r="S230" s="172">
        <v>1</v>
      </c>
      <c r="T230" s="172">
        <v>0</v>
      </c>
      <c r="U230" s="172">
        <v>0</v>
      </c>
      <c r="V230" s="172"/>
      <c r="W230" s="172"/>
      <c r="Z230" s="172">
        <v>20732</v>
      </c>
      <c r="AA230" s="172">
        <v>4004</v>
      </c>
      <c r="AB230" s="172">
        <v>400000</v>
      </c>
      <c r="AE230" s="172"/>
      <c r="AF230" s="172"/>
      <c r="AI230" s="172"/>
      <c r="AJ230" s="172"/>
      <c r="AM230" s="172"/>
      <c r="AN230" s="172"/>
      <c r="AQ230" s="172"/>
      <c r="AR230" s="172"/>
      <c r="AU230" s="172"/>
      <c r="AV230" s="172"/>
      <c r="AY230" s="172"/>
      <c r="AZ230" s="172"/>
      <c r="BC230" s="172"/>
      <c r="BD230" s="172"/>
      <c r="BH230" s="172">
        <v>17</v>
      </c>
    </row>
    <row r="231" spans="1:60" ht="14.5">
      <c r="A231" s="172">
        <v>2150016</v>
      </c>
      <c r="B231" s="172">
        <v>228</v>
      </c>
      <c r="C231" s="172">
        <v>215</v>
      </c>
      <c r="D231" s="172" t="s">
        <v>418</v>
      </c>
      <c r="E231" s="172">
        <v>16</v>
      </c>
      <c r="F231" s="172" t="s">
        <v>437</v>
      </c>
      <c r="H231" s="173"/>
      <c r="I231" s="172">
        <v>2</v>
      </c>
      <c r="J231" s="177">
        <v>54000</v>
      </c>
      <c r="K231" s="177">
        <v>730000</v>
      </c>
      <c r="L231" s="177">
        <v>730000</v>
      </c>
      <c r="M231" s="177">
        <v>1500000</v>
      </c>
      <c r="N231" s="177">
        <v>730000</v>
      </c>
      <c r="O231" s="172"/>
      <c r="P231" s="172"/>
      <c r="Q231" s="172" t="s">
        <v>1420</v>
      </c>
      <c r="R231" s="172" t="s">
        <v>1272</v>
      </c>
      <c r="S231" s="172">
        <v>1</v>
      </c>
      <c r="T231" s="172">
        <v>0</v>
      </c>
      <c r="U231" s="172">
        <v>0</v>
      </c>
      <c r="V231" s="172"/>
      <c r="W231" s="172"/>
      <c r="Z231" s="172">
        <v>28045</v>
      </c>
      <c r="AA231" s="172">
        <v>4004</v>
      </c>
      <c r="AB231" s="172">
        <v>430000</v>
      </c>
      <c r="AE231" s="172"/>
      <c r="AF231" s="172"/>
      <c r="AI231" s="172"/>
      <c r="AJ231" s="172"/>
      <c r="AM231" s="172"/>
      <c r="AN231" s="172"/>
      <c r="AQ231" s="172"/>
      <c r="AR231" s="172"/>
      <c r="AU231" s="172"/>
      <c r="AV231" s="172"/>
      <c r="AY231" s="172"/>
      <c r="AZ231" s="172"/>
      <c r="BC231" s="172"/>
      <c r="BD231" s="172"/>
      <c r="BH231" s="172">
        <v>17</v>
      </c>
    </row>
    <row r="232" spans="1:60" ht="14.5">
      <c r="A232" s="172">
        <v>2150017</v>
      </c>
      <c r="B232" s="172">
        <v>229</v>
      </c>
      <c r="C232" s="172">
        <v>215</v>
      </c>
      <c r="D232" s="172" t="s">
        <v>418</v>
      </c>
      <c r="E232" s="172">
        <v>17</v>
      </c>
      <c r="F232" s="172" t="s">
        <v>438</v>
      </c>
      <c r="H232" s="173"/>
      <c r="I232" s="172">
        <v>2</v>
      </c>
      <c r="J232" s="177">
        <v>72000</v>
      </c>
      <c r="K232" s="177">
        <v>940000</v>
      </c>
      <c r="L232" s="177">
        <v>940000</v>
      </c>
      <c r="M232" s="177">
        <v>1900000</v>
      </c>
      <c r="N232" s="177">
        <v>940000</v>
      </c>
      <c r="O232" s="172"/>
      <c r="P232" s="172"/>
      <c r="Q232" s="172" t="s">
        <v>1420</v>
      </c>
      <c r="R232" s="172" t="s">
        <v>1278</v>
      </c>
      <c r="S232" s="172">
        <v>1</v>
      </c>
      <c r="T232" s="172">
        <v>0</v>
      </c>
      <c r="U232" s="172">
        <v>0</v>
      </c>
      <c r="V232" s="172"/>
      <c r="W232" s="172"/>
      <c r="Z232" s="172">
        <v>37405</v>
      </c>
      <c r="AA232" s="172">
        <v>4004</v>
      </c>
      <c r="AB232" s="172">
        <v>460000</v>
      </c>
      <c r="AE232" s="172"/>
      <c r="AF232" s="172"/>
      <c r="AI232" s="172"/>
      <c r="AJ232" s="172"/>
      <c r="AM232" s="172"/>
      <c r="AN232" s="172"/>
      <c r="AQ232" s="172"/>
      <c r="AR232" s="172"/>
      <c r="AU232" s="172"/>
      <c r="AV232" s="172"/>
      <c r="AY232" s="172"/>
      <c r="AZ232" s="172"/>
      <c r="BC232" s="172"/>
      <c r="BD232" s="172"/>
      <c r="BH232" s="172">
        <v>17</v>
      </c>
    </row>
    <row r="233" spans="1:60" ht="14.5">
      <c r="A233" s="172">
        <v>2150018</v>
      </c>
      <c r="B233" s="172">
        <v>230</v>
      </c>
      <c r="C233" s="172">
        <v>215</v>
      </c>
      <c r="D233" s="172" t="s">
        <v>418</v>
      </c>
      <c r="E233" s="172">
        <v>18</v>
      </c>
      <c r="F233" s="172" t="s">
        <v>439</v>
      </c>
      <c r="H233" s="173"/>
      <c r="I233" s="172">
        <v>2</v>
      </c>
      <c r="J233" s="177">
        <v>93600</v>
      </c>
      <c r="K233" s="177">
        <v>1200000</v>
      </c>
      <c r="L233" s="177">
        <v>1200000</v>
      </c>
      <c r="M233" s="177">
        <v>2400000</v>
      </c>
      <c r="N233" s="177">
        <v>1200000</v>
      </c>
      <c r="O233" s="172"/>
      <c r="P233" s="172"/>
      <c r="Q233" s="172" t="s">
        <v>1420</v>
      </c>
      <c r="R233" s="172" t="s">
        <v>1281</v>
      </c>
      <c r="S233" s="172">
        <v>1</v>
      </c>
      <c r="T233" s="172">
        <v>0</v>
      </c>
      <c r="U233" s="172">
        <v>0</v>
      </c>
      <c r="V233" s="172"/>
      <c r="W233" s="172"/>
      <c r="Z233" s="172">
        <v>49386</v>
      </c>
      <c r="AA233" s="172">
        <v>4004</v>
      </c>
      <c r="AB233" s="172">
        <v>490000</v>
      </c>
      <c r="AE233" s="172"/>
      <c r="AF233" s="172"/>
      <c r="AI233" s="172"/>
      <c r="AJ233" s="172"/>
      <c r="AM233" s="172"/>
      <c r="AN233" s="172"/>
      <c r="AQ233" s="172"/>
      <c r="AR233" s="172"/>
      <c r="AU233" s="172"/>
      <c r="AV233" s="172"/>
      <c r="AY233" s="172"/>
      <c r="AZ233" s="172"/>
      <c r="BC233" s="172"/>
      <c r="BD233" s="172"/>
      <c r="BH233" s="172">
        <v>17</v>
      </c>
    </row>
    <row r="234" spans="1:60" ht="14.5">
      <c r="A234" s="172">
        <v>2150019</v>
      </c>
      <c r="B234" s="172">
        <v>231</v>
      </c>
      <c r="C234" s="172">
        <v>215</v>
      </c>
      <c r="D234" s="172" t="s">
        <v>418</v>
      </c>
      <c r="E234" s="172">
        <v>19</v>
      </c>
      <c r="F234" s="172" t="s">
        <v>440</v>
      </c>
      <c r="H234" s="173"/>
      <c r="I234" s="172">
        <v>2</v>
      </c>
      <c r="J234" s="177">
        <v>122400</v>
      </c>
      <c r="K234" s="177">
        <v>1500000</v>
      </c>
      <c r="L234" s="177">
        <v>1500000</v>
      </c>
      <c r="M234" s="177">
        <v>3100000</v>
      </c>
      <c r="N234" s="177">
        <v>1500000</v>
      </c>
      <c r="O234" s="172"/>
      <c r="P234" s="172"/>
      <c r="Q234" s="172" t="s">
        <v>1420</v>
      </c>
      <c r="R234" s="172" t="s">
        <v>1283</v>
      </c>
      <c r="S234" s="172">
        <v>1</v>
      </c>
      <c r="T234" s="172">
        <v>0</v>
      </c>
      <c r="U234" s="172">
        <v>0</v>
      </c>
      <c r="V234" s="172"/>
      <c r="W234" s="172"/>
      <c r="Z234" s="172">
        <v>64722</v>
      </c>
      <c r="AA234" s="172">
        <v>4004</v>
      </c>
      <c r="AB234" s="172">
        <v>520000</v>
      </c>
      <c r="AE234" s="172"/>
      <c r="AF234" s="172"/>
      <c r="AI234" s="172"/>
      <c r="AJ234" s="172"/>
      <c r="AM234" s="172"/>
      <c r="AN234" s="172"/>
      <c r="AQ234" s="172"/>
      <c r="AR234" s="172"/>
      <c r="AU234" s="172"/>
      <c r="AV234" s="172"/>
      <c r="AY234" s="172"/>
      <c r="AZ234" s="172"/>
      <c r="BC234" s="172"/>
      <c r="BD234" s="172"/>
      <c r="BH234" s="172">
        <v>17</v>
      </c>
    </row>
    <row r="235" spans="1:60" ht="14.5">
      <c r="A235" s="172">
        <v>2150020</v>
      </c>
      <c r="B235" s="172">
        <v>232</v>
      </c>
      <c r="C235" s="172">
        <v>215</v>
      </c>
      <c r="D235" s="172" t="s">
        <v>418</v>
      </c>
      <c r="E235" s="172">
        <v>20</v>
      </c>
      <c r="F235" s="172" t="s">
        <v>441</v>
      </c>
      <c r="H235" s="173"/>
      <c r="I235" s="172">
        <v>4</v>
      </c>
      <c r="J235" s="177">
        <v>172800</v>
      </c>
      <c r="K235" s="177">
        <v>2000000</v>
      </c>
      <c r="L235" s="177">
        <v>2000000</v>
      </c>
      <c r="M235" s="177">
        <v>3900000</v>
      </c>
      <c r="N235" s="177">
        <v>2000000</v>
      </c>
      <c r="O235" s="172"/>
      <c r="P235" s="172"/>
      <c r="Q235" s="172" t="s">
        <v>1420</v>
      </c>
      <c r="R235" s="172" t="s">
        <v>1287</v>
      </c>
      <c r="S235" s="172">
        <v>1</v>
      </c>
      <c r="T235" s="172">
        <v>0</v>
      </c>
      <c r="U235" s="172">
        <v>0</v>
      </c>
      <c r="V235" s="172"/>
      <c r="W235" s="172"/>
      <c r="Z235" s="172">
        <v>84352</v>
      </c>
      <c r="AA235" s="172">
        <v>4004</v>
      </c>
      <c r="AB235" s="172">
        <v>550000</v>
      </c>
      <c r="AE235" s="172"/>
      <c r="AF235" s="172"/>
      <c r="AI235" s="172"/>
      <c r="AJ235" s="172"/>
      <c r="AM235" s="172"/>
      <c r="AN235" s="172"/>
      <c r="AQ235" s="172"/>
      <c r="AR235" s="172"/>
      <c r="AU235" s="172"/>
      <c r="AV235" s="172"/>
      <c r="AY235" s="172"/>
      <c r="AZ235" s="172"/>
      <c r="BC235" s="172"/>
      <c r="BD235" s="172"/>
      <c r="BH235" s="172">
        <v>17</v>
      </c>
    </row>
    <row r="236" spans="1:60" ht="14.5">
      <c r="A236" s="172">
        <v>2150021</v>
      </c>
      <c r="B236" s="172">
        <v>233</v>
      </c>
      <c r="C236" s="172">
        <v>215</v>
      </c>
      <c r="D236" s="172" t="s">
        <v>418</v>
      </c>
      <c r="E236" s="172">
        <v>21</v>
      </c>
      <c r="F236" s="172" t="s">
        <v>1421</v>
      </c>
      <c r="H236" s="173"/>
      <c r="I236" s="172">
        <v>4</v>
      </c>
      <c r="J236" s="177">
        <v>230400</v>
      </c>
      <c r="K236" s="177">
        <v>2500000</v>
      </c>
      <c r="L236" s="177">
        <v>2500000</v>
      </c>
      <c r="M236" s="177">
        <v>5000000</v>
      </c>
      <c r="N236" s="177">
        <v>2500000</v>
      </c>
      <c r="O236" s="172"/>
      <c r="P236" s="172"/>
      <c r="Q236" s="172" t="s">
        <v>1420</v>
      </c>
      <c r="R236" s="172" t="s">
        <v>1291</v>
      </c>
      <c r="S236" s="172">
        <v>1</v>
      </c>
      <c r="T236" s="172">
        <v>0</v>
      </c>
      <c r="U236" s="172">
        <v>0</v>
      </c>
      <c r="V236" s="172"/>
      <c r="W236" s="172"/>
      <c r="Z236" s="172">
        <v>109478</v>
      </c>
      <c r="AA236" s="172">
        <v>4004</v>
      </c>
      <c r="AB236" s="172">
        <v>580000</v>
      </c>
      <c r="AE236" s="172"/>
      <c r="AF236" s="172"/>
      <c r="AI236" s="172"/>
      <c r="AJ236" s="172"/>
      <c r="AM236" s="172"/>
      <c r="AN236" s="172"/>
      <c r="AQ236" s="172"/>
      <c r="AR236" s="172"/>
      <c r="AU236" s="172"/>
      <c r="AV236" s="172"/>
      <c r="AY236" s="172"/>
      <c r="AZ236" s="172"/>
      <c r="BC236" s="172"/>
      <c r="BD236" s="172"/>
      <c r="BH236" s="172">
        <v>17</v>
      </c>
    </row>
    <row r="237" spans="1:60" ht="14.5">
      <c r="A237" s="172">
        <v>2150022</v>
      </c>
      <c r="B237" s="172">
        <v>234</v>
      </c>
      <c r="C237" s="172">
        <v>215</v>
      </c>
      <c r="D237" s="172" t="s">
        <v>418</v>
      </c>
      <c r="E237" s="172">
        <v>22</v>
      </c>
      <c r="F237" s="172" t="s">
        <v>1422</v>
      </c>
      <c r="H237" s="173"/>
      <c r="I237" s="172">
        <v>4</v>
      </c>
      <c r="J237" s="177">
        <v>302400</v>
      </c>
      <c r="K237" s="177">
        <v>3200000</v>
      </c>
      <c r="L237" s="177">
        <v>3200000</v>
      </c>
      <c r="M237" s="177">
        <v>6400000</v>
      </c>
      <c r="N237" s="177">
        <v>3200000</v>
      </c>
      <c r="O237" s="172"/>
      <c r="P237" s="172"/>
      <c r="Q237" s="172" t="s">
        <v>1420</v>
      </c>
      <c r="R237" s="172" t="s">
        <v>1295</v>
      </c>
      <c r="S237" s="172">
        <v>1</v>
      </c>
      <c r="T237" s="172">
        <v>0</v>
      </c>
      <c r="U237" s="172">
        <v>0</v>
      </c>
      <c r="V237" s="172"/>
      <c r="W237" s="172"/>
      <c r="Z237" s="172">
        <v>141640</v>
      </c>
      <c r="AA237" s="172">
        <v>4004</v>
      </c>
      <c r="AB237" s="172">
        <v>610000</v>
      </c>
      <c r="AE237" s="172"/>
      <c r="AF237" s="172"/>
      <c r="AI237" s="172"/>
      <c r="AJ237" s="172"/>
      <c r="AM237" s="172"/>
      <c r="AN237" s="172"/>
      <c r="AQ237" s="172"/>
      <c r="AR237" s="172"/>
      <c r="AU237" s="172"/>
      <c r="AV237" s="172"/>
      <c r="AY237" s="172"/>
      <c r="AZ237" s="172"/>
      <c r="BC237" s="172"/>
      <c r="BD237" s="172"/>
      <c r="BH237" s="172">
        <v>17</v>
      </c>
    </row>
    <row r="238" spans="1:60" ht="14.5">
      <c r="A238" s="172">
        <v>2150023</v>
      </c>
      <c r="B238" s="172">
        <v>235</v>
      </c>
      <c r="C238" s="172">
        <v>215</v>
      </c>
      <c r="D238" s="172" t="s">
        <v>418</v>
      </c>
      <c r="E238" s="172">
        <v>23</v>
      </c>
      <c r="F238" s="172" t="s">
        <v>1423</v>
      </c>
      <c r="H238" s="173"/>
      <c r="I238" s="172">
        <v>4</v>
      </c>
      <c r="J238" s="177">
        <v>388800</v>
      </c>
      <c r="K238" s="177">
        <v>4100000</v>
      </c>
      <c r="L238" s="177">
        <v>4100000</v>
      </c>
      <c r="M238" s="177">
        <v>8200000</v>
      </c>
      <c r="N238" s="177">
        <v>4100000</v>
      </c>
      <c r="O238" s="172"/>
      <c r="P238" s="172"/>
      <c r="Q238" s="172" t="s">
        <v>1420</v>
      </c>
      <c r="R238" s="172" t="s">
        <v>1298</v>
      </c>
      <c r="S238" s="172">
        <v>1</v>
      </c>
      <c r="T238" s="172">
        <v>0</v>
      </c>
      <c r="U238" s="172">
        <v>0</v>
      </c>
      <c r="V238" s="172"/>
      <c r="W238" s="172"/>
      <c r="Z238" s="172">
        <v>182806</v>
      </c>
      <c r="AA238" s="172">
        <v>4004</v>
      </c>
      <c r="AB238" s="172">
        <v>640000</v>
      </c>
      <c r="AE238" s="172"/>
      <c r="AF238" s="172"/>
      <c r="AI238" s="172"/>
      <c r="AJ238" s="172"/>
      <c r="AM238" s="172"/>
      <c r="AN238" s="172"/>
      <c r="AQ238" s="172"/>
      <c r="AR238" s="172"/>
      <c r="AU238" s="172"/>
      <c r="AV238" s="172"/>
      <c r="AY238" s="172"/>
      <c r="AZ238" s="172"/>
      <c r="BC238" s="172"/>
      <c r="BD238" s="172"/>
      <c r="BH238" s="172">
        <v>17</v>
      </c>
    </row>
    <row r="239" spans="1:60" ht="14.5">
      <c r="A239" s="172">
        <v>2150024</v>
      </c>
      <c r="B239" s="172">
        <v>236</v>
      </c>
      <c r="C239" s="172">
        <v>215</v>
      </c>
      <c r="D239" s="172" t="s">
        <v>418</v>
      </c>
      <c r="E239" s="172">
        <v>24</v>
      </c>
      <c r="F239" s="172" t="s">
        <v>1424</v>
      </c>
      <c r="H239" s="173"/>
      <c r="I239" s="172">
        <v>4</v>
      </c>
      <c r="J239" s="177">
        <v>496800</v>
      </c>
      <c r="K239" s="177">
        <v>5300000</v>
      </c>
      <c r="L239" s="177">
        <v>5300000</v>
      </c>
      <c r="M239" s="177">
        <v>11000000</v>
      </c>
      <c r="N239" s="177">
        <v>5300000</v>
      </c>
      <c r="O239" s="172"/>
      <c r="P239" s="172"/>
      <c r="Q239" s="172" t="s">
        <v>1420</v>
      </c>
      <c r="R239" s="172" t="s">
        <v>1302</v>
      </c>
      <c r="S239" s="172">
        <v>1</v>
      </c>
      <c r="T239" s="172">
        <v>0</v>
      </c>
      <c r="U239" s="172">
        <v>0</v>
      </c>
      <c r="V239" s="172"/>
      <c r="W239" s="172"/>
      <c r="Z239" s="172">
        <v>235500</v>
      </c>
      <c r="AA239" s="172">
        <v>4004</v>
      </c>
      <c r="AB239" s="172">
        <v>670000</v>
      </c>
      <c r="AE239" s="172"/>
      <c r="AF239" s="172"/>
      <c r="AI239" s="172"/>
      <c r="AJ239" s="172"/>
      <c r="AM239" s="172"/>
      <c r="AN239" s="172"/>
      <c r="AQ239" s="172"/>
      <c r="AR239" s="172"/>
      <c r="AU239" s="172"/>
      <c r="AV239" s="172"/>
      <c r="AY239" s="172"/>
      <c r="AZ239" s="172"/>
      <c r="BC239" s="172"/>
      <c r="BD239" s="172"/>
      <c r="BH239" s="172">
        <v>17</v>
      </c>
    </row>
    <row r="240" spans="1:60" ht="14.5">
      <c r="A240" s="172">
        <v>2150025</v>
      </c>
      <c r="B240" s="172">
        <v>237</v>
      </c>
      <c r="C240" s="172">
        <v>215</v>
      </c>
      <c r="D240" s="172" t="s">
        <v>418</v>
      </c>
      <c r="E240" s="172">
        <v>25</v>
      </c>
      <c r="F240" s="172" t="s">
        <v>1425</v>
      </c>
      <c r="H240" s="173"/>
      <c r="I240" s="172">
        <v>4</v>
      </c>
      <c r="J240" s="177">
        <v>626400</v>
      </c>
      <c r="K240" s="177">
        <v>6700000</v>
      </c>
      <c r="L240" s="177">
        <v>6700000</v>
      </c>
      <c r="M240" s="177">
        <v>13000000</v>
      </c>
      <c r="N240" s="177">
        <v>6700000</v>
      </c>
      <c r="O240" s="172"/>
      <c r="P240" s="172"/>
      <c r="Q240" s="172" t="s">
        <v>1420</v>
      </c>
      <c r="R240" s="172" t="s">
        <v>1305</v>
      </c>
      <c r="S240" s="172">
        <v>1</v>
      </c>
      <c r="T240" s="172">
        <v>0</v>
      </c>
      <c r="U240" s="172">
        <v>0</v>
      </c>
      <c r="V240" s="172"/>
      <c r="W240" s="172"/>
      <c r="Z240" s="172">
        <v>302947</v>
      </c>
      <c r="AA240" s="172">
        <v>4004</v>
      </c>
      <c r="AB240" s="172">
        <v>700000</v>
      </c>
      <c r="AE240" s="172"/>
      <c r="AF240" s="172"/>
      <c r="AI240" s="172"/>
      <c r="AJ240" s="172"/>
      <c r="AM240" s="172"/>
      <c r="AN240" s="172"/>
      <c r="AQ240" s="172"/>
      <c r="AR240" s="172"/>
      <c r="AU240" s="172"/>
      <c r="AV240" s="172"/>
      <c r="AY240" s="172"/>
      <c r="AZ240" s="172"/>
      <c r="BC240" s="172"/>
      <c r="BD240" s="172"/>
      <c r="BH240" s="172">
        <v>17</v>
      </c>
    </row>
    <row r="241" spans="1:65" ht="14.5">
      <c r="A241" s="172">
        <v>2150026</v>
      </c>
      <c r="B241" s="172">
        <v>238</v>
      </c>
      <c r="C241" s="172">
        <v>215</v>
      </c>
      <c r="D241" s="172" t="s">
        <v>418</v>
      </c>
      <c r="E241" s="172">
        <v>26</v>
      </c>
      <c r="F241" s="172" t="s">
        <v>1426</v>
      </c>
      <c r="H241" s="173"/>
      <c r="I241" s="172">
        <v>4</v>
      </c>
      <c r="J241" s="177">
        <v>777600</v>
      </c>
      <c r="K241" s="177">
        <v>8600000</v>
      </c>
      <c r="L241" s="177">
        <v>8600000</v>
      </c>
      <c r="M241" s="177">
        <v>17000000</v>
      </c>
      <c r="N241" s="177">
        <v>8600000</v>
      </c>
      <c r="O241" s="172"/>
      <c r="P241" s="172"/>
      <c r="Q241" s="172" t="s">
        <v>1420</v>
      </c>
      <c r="R241" s="172" t="s">
        <v>1308</v>
      </c>
      <c r="S241" s="172">
        <v>1</v>
      </c>
      <c r="T241" s="172">
        <v>0</v>
      </c>
      <c r="U241" s="172">
        <v>0</v>
      </c>
      <c r="V241" s="172"/>
      <c r="W241" s="172"/>
      <c r="Z241" s="172">
        <v>389280</v>
      </c>
      <c r="AA241" s="172">
        <v>4004</v>
      </c>
      <c r="AB241" s="172">
        <v>740000</v>
      </c>
      <c r="AE241" s="172"/>
      <c r="AF241" s="172"/>
      <c r="AI241" s="172"/>
      <c r="AJ241" s="172"/>
      <c r="AM241" s="172"/>
      <c r="AN241" s="172"/>
      <c r="AQ241" s="172"/>
      <c r="AR241" s="172"/>
      <c r="AU241" s="172"/>
      <c r="AV241" s="172"/>
      <c r="AY241" s="172"/>
      <c r="AZ241" s="172"/>
      <c r="BC241" s="172"/>
      <c r="BD241" s="172"/>
      <c r="BH241" s="172">
        <v>17</v>
      </c>
    </row>
    <row r="242" spans="1:65" ht="14.5">
      <c r="A242" s="172">
        <v>2150027</v>
      </c>
      <c r="B242" s="172">
        <v>239</v>
      </c>
      <c r="C242" s="172">
        <v>215</v>
      </c>
      <c r="D242" s="172" t="s">
        <v>418</v>
      </c>
      <c r="E242" s="172">
        <v>27</v>
      </c>
      <c r="F242" s="172" t="s">
        <v>1427</v>
      </c>
      <c r="H242" s="173"/>
      <c r="I242" s="172">
        <v>4</v>
      </c>
      <c r="J242" s="177">
        <v>950400</v>
      </c>
      <c r="K242" s="177">
        <v>11000000</v>
      </c>
      <c r="L242" s="177">
        <v>11000000</v>
      </c>
      <c r="M242" s="177">
        <v>22000000</v>
      </c>
      <c r="N242" s="177">
        <v>11000000</v>
      </c>
      <c r="O242" s="172"/>
      <c r="P242" s="172"/>
      <c r="Q242" s="172" t="s">
        <v>1420</v>
      </c>
      <c r="R242" s="172" t="s">
        <v>1311</v>
      </c>
      <c r="S242" s="172">
        <v>1</v>
      </c>
      <c r="T242" s="172">
        <v>0</v>
      </c>
      <c r="U242" s="172">
        <v>0</v>
      </c>
      <c r="V242" s="172"/>
      <c r="W242" s="172"/>
      <c r="Z242" s="172">
        <v>499786</v>
      </c>
      <c r="AA242" s="172">
        <v>4004</v>
      </c>
      <c r="AB242" s="172">
        <v>790000</v>
      </c>
      <c r="AE242" s="172"/>
      <c r="AF242" s="172"/>
      <c r="AI242" s="172"/>
      <c r="AJ242" s="172"/>
      <c r="AM242" s="172"/>
      <c r="AN242" s="172"/>
      <c r="AQ242" s="172"/>
      <c r="AR242" s="172"/>
      <c r="AU242" s="172"/>
      <c r="AV242" s="172"/>
      <c r="AY242" s="172"/>
      <c r="AZ242" s="172"/>
      <c r="BC242" s="172"/>
      <c r="BD242" s="172"/>
      <c r="BH242" s="172">
        <v>17</v>
      </c>
    </row>
    <row r="243" spans="1:65" ht="14.5">
      <c r="A243" s="172">
        <v>2150028</v>
      </c>
      <c r="B243" s="172">
        <v>240</v>
      </c>
      <c r="C243" s="172">
        <v>215</v>
      </c>
      <c r="D243" s="172" t="s">
        <v>418</v>
      </c>
      <c r="E243" s="172">
        <v>28</v>
      </c>
      <c r="F243" s="172" t="s">
        <v>1428</v>
      </c>
      <c r="H243" s="173"/>
      <c r="I243" s="172">
        <v>4</v>
      </c>
      <c r="J243" s="177">
        <v>1166400</v>
      </c>
      <c r="K243" s="177">
        <v>14000000</v>
      </c>
      <c r="L243" s="177">
        <v>14000000</v>
      </c>
      <c r="M243" s="177">
        <v>28000000</v>
      </c>
      <c r="N243" s="177">
        <v>14000000</v>
      </c>
      <c r="O243" s="172"/>
      <c r="P243" s="172"/>
      <c r="Q243" s="172" t="s">
        <v>1420</v>
      </c>
      <c r="R243" s="172" t="s">
        <v>1314</v>
      </c>
      <c r="S243" s="172">
        <v>1</v>
      </c>
      <c r="T243" s="172">
        <v>0</v>
      </c>
      <c r="U243" s="172">
        <v>0</v>
      </c>
      <c r="V243" s="172"/>
      <c r="W243" s="172"/>
      <c r="Z243" s="172">
        <v>641233</v>
      </c>
      <c r="AA243" s="172">
        <v>4004</v>
      </c>
      <c r="AB243" s="172">
        <v>850000</v>
      </c>
      <c r="AE243" s="172"/>
      <c r="AF243" s="172"/>
      <c r="AI243" s="172"/>
      <c r="AJ243" s="172"/>
      <c r="AM243" s="172"/>
      <c r="AN243" s="172"/>
      <c r="AQ243" s="172"/>
      <c r="AR243" s="172"/>
      <c r="AU243" s="172"/>
      <c r="AV243" s="172"/>
      <c r="AY243" s="172"/>
      <c r="AZ243" s="172"/>
      <c r="BC243" s="172"/>
      <c r="BD243" s="172"/>
      <c r="BH243" s="172">
        <v>17</v>
      </c>
    </row>
    <row r="244" spans="1:65" ht="14.5">
      <c r="A244" s="172">
        <v>2150029</v>
      </c>
      <c r="B244" s="172">
        <v>241</v>
      </c>
      <c r="C244" s="172">
        <v>215</v>
      </c>
      <c r="D244" s="172" t="s">
        <v>418</v>
      </c>
      <c r="E244" s="172">
        <v>29</v>
      </c>
      <c r="F244" s="172" t="s">
        <v>1429</v>
      </c>
      <c r="H244" s="173"/>
      <c r="I244" s="172">
        <v>4</v>
      </c>
      <c r="J244" s="177">
        <v>1425600</v>
      </c>
      <c r="K244" s="177">
        <v>18000000</v>
      </c>
      <c r="L244" s="177">
        <v>18000000</v>
      </c>
      <c r="M244" s="177">
        <v>36000000</v>
      </c>
      <c r="N244" s="177">
        <v>18000000</v>
      </c>
      <c r="O244" s="172"/>
      <c r="P244" s="172"/>
      <c r="Q244" s="172" t="s">
        <v>1420</v>
      </c>
      <c r="R244" s="172" t="s">
        <v>1317</v>
      </c>
      <c r="S244" s="172">
        <v>1</v>
      </c>
      <c r="T244" s="172">
        <v>0</v>
      </c>
      <c r="U244" s="172">
        <v>0</v>
      </c>
      <c r="V244" s="172"/>
      <c r="W244" s="172"/>
      <c r="Z244" s="172">
        <v>822286</v>
      </c>
      <c r="AA244" s="172">
        <v>4004</v>
      </c>
      <c r="AB244" s="172">
        <v>920000</v>
      </c>
      <c r="AE244" s="172"/>
      <c r="AF244" s="172"/>
      <c r="AI244" s="172"/>
      <c r="AJ244" s="172"/>
      <c r="AM244" s="172"/>
      <c r="AN244" s="172"/>
      <c r="AQ244" s="172"/>
      <c r="AR244" s="172"/>
      <c r="AU244" s="172"/>
      <c r="AV244" s="172"/>
      <c r="AY244" s="172"/>
      <c r="AZ244" s="172"/>
      <c r="BC244" s="172"/>
      <c r="BD244" s="172"/>
      <c r="BH244" s="172">
        <v>17</v>
      </c>
    </row>
    <row r="245" spans="1:65" ht="14.5">
      <c r="A245" s="172">
        <v>2150030</v>
      </c>
      <c r="B245" s="172">
        <v>242</v>
      </c>
      <c r="C245" s="172">
        <v>215</v>
      </c>
      <c r="D245" s="172" t="s">
        <v>418</v>
      </c>
      <c r="E245" s="172">
        <v>30</v>
      </c>
      <c r="F245" s="172" t="s">
        <v>1430</v>
      </c>
      <c r="H245" s="173"/>
      <c r="I245" s="172">
        <v>4</v>
      </c>
      <c r="J245" s="177">
        <v>1728000</v>
      </c>
      <c r="K245" s="177">
        <v>23000000</v>
      </c>
      <c r="L245" s="177">
        <v>23000000</v>
      </c>
      <c r="M245" s="177">
        <v>46000000</v>
      </c>
      <c r="N245" s="177">
        <v>23000000</v>
      </c>
      <c r="O245" s="172"/>
      <c r="P245" s="172"/>
      <c r="Q245" s="172" t="s">
        <v>1420</v>
      </c>
      <c r="R245" s="172" t="s">
        <v>1406</v>
      </c>
      <c r="S245" s="172">
        <v>1</v>
      </c>
      <c r="T245" s="172">
        <v>0</v>
      </c>
      <c r="U245" s="172">
        <v>0</v>
      </c>
      <c r="V245" s="172"/>
      <c r="W245" s="172"/>
      <c r="Z245" s="172">
        <v>1054034</v>
      </c>
      <c r="AA245" s="172">
        <v>4004</v>
      </c>
      <c r="AB245" s="172">
        <v>1000000</v>
      </c>
      <c r="AE245" s="172"/>
      <c r="AF245" s="172"/>
      <c r="AI245" s="172"/>
      <c r="AJ245" s="172"/>
      <c r="AM245" s="172"/>
      <c r="AN245" s="172"/>
      <c r="AQ245" s="172"/>
      <c r="AR245" s="172"/>
      <c r="AU245" s="172"/>
      <c r="AV245" s="172"/>
      <c r="AY245" s="172"/>
      <c r="AZ245" s="172"/>
      <c r="BC245" s="172"/>
      <c r="BD245" s="172"/>
      <c r="BH245" s="172">
        <v>17</v>
      </c>
    </row>
    <row r="246" spans="1:65" ht="14.5">
      <c r="A246" s="172">
        <v>2220001</v>
      </c>
      <c r="B246" s="172">
        <v>243</v>
      </c>
      <c r="C246" s="172">
        <v>222</v>
      </c>
      <c r="D246" s="172" t="s">
        <v>442</v>
      </c>
      <c r="E246" s="172">
        <v>1</v>
      </c>
      <c r="F246" s="172" t="s">
        <v>443</v>
      </c>
      <c r="H246" s="173"/>
      <c r="I246" s="172" t="s">
        <v>1205</v>
      </c>
      <c r="J246" s="177">
        <v>25</v>
      </c>
      <c r="K246" s="177">
        <v>1500</v>
      </c>
      <c r="L246" s="177">
        <v>1500</v>
      </c>
      <c r="M246" s="177">
        <v>0</v>
      </c>
      <c r="N246" s="177">
        <v>0</v>
      </c>
      <c r="O246" s="172"/>
      <c r="P246" s="172"/>
      <c r="Q246" s="172" t="s">
        <v>1318</v>
      </c>
      <c r="R246" s="172" t="s">
        <v>1320</v>
      </c>
      <c r="S246" s="172">
        <v>1</v>
      </c>
      <c r="T246" s="172">
        <v>0</v>
      </c>
      <c r="U246" s="172">
        <v>0</v>
      </c>
      <c r="V246" s="172" t="s">
        <v>158</v>
      </c>
      <c r="W246" s="172" t="s">
        <v>1431</v>
      </c>
      <c r="Z246" s="172">
        <v>6</v>
      </c>
      <c r="AA246" s="172">
        <v>3102</v>
      </c>
      <c r="AB246" s="172">
        <v>30000</v>
      </c>
      <c r="AE246" s="172">
        <v>3100</v>
      </c>
      <c r="AF246" s="172">
        <v>0.01</v>
      </c>
      <c r="AI246" s="172"/>
      <c r="AJ246" s="172"/>
      <c r="AM246" s="172"/>
      <c r="AN246" s="172"/>
      <c r="AQ246" s="172"/>
      <c r="AR246" s="172"/>
      <c r="AU246" s="172"/>
      <c r="AV246" s="172"/>
      <c r="AY246" s="172"/>
      <c r="AZ246" s="172"/>
      <c r="BC246" s="172"/>
      <c r="BD246" s="172"/>
      <c r="BH246" s="172">
        <v>3</v>
      </c>
      <c r="BM246" s="172">
        <v>3</v>
      </c>
    </row>
    <row r="247" spans="1:65" ht="14.5">
      <c r="A247" s="172">
        <v>2220002</v>
      </c>
      <c r="B247" s="172">
        <v>244</v>
      </c>
      <c r="C247" s="172">
        <v>222</v>
      </c>
      <c r="D247" s="172" t="s">
        <v>442</v>
      </c>
      <c r="E247" s="172">
        <v>2</v>
      </c>
      <c r="F247" s="172" t="s">
        <v>450</v>
      </c>
      <c r="H247" s="173"/>
      <c r="I247" s="172" t="s">
        <v>1205</v>
      </c>
      <c r="J247" s="177">
        <v>108</v>
      </c>
      <c r="K247" s="177">
        <v>3000</v>
      </c>
      <c r="L247" s="177">
        <v>3000</v>
      </c>
      <c r="M247" s="177">
        <v>0</v>
      </c>
      <c r="N247" s="177">
        <v>0</v>
      </c>
      <c r="O247" s="172"/>
      <c r="P247" s="172"/>
      <c r="Q247" s="172" t="s">
        <v>1318</v>
      </c>
      <c r="R247" s="172" t="s">
        <v>1320</v>
      </c>
      <c r="S247" s="172">
        <v>1</v>
      </c>
      <c r="T247" s="172">
        <v>0</v>
      </c>
      <c r="U247" s="172">
        <v>0</v>
      </c>
      <c r="V247" s="172"/>
      <c r="W247" s="172"/>
      <c r="Z247" s="172">
        <v>18</v>
      </c>
      <c r="AA247" s="172">
        <v>3102</v>
      </c>
      <c r="AB247" s="172">
        <v>35000</v>
      </c>
      <c r="AE247" s="172">
        <v>3100</v>
      </c>
      <c r="AF247" s="172">
        <v>0.02</v>
      </c>
      <c r="AI247" s="172"/>
      <c r="AJ247" s="172"/>
      <c r="AM247" s="172"/>
      <c r="AN247" s="172"/>
      <c r="AQ247" s="172"/>
      <c r="AR247" s="172"/>
      <c r="AU247" s="172"/>
      <c r="AV247" s="172"/>
      <c r="AY247" s="172"/>
      <c r="AZ247" s="172"/>
      <c r="BC247" s="172"/>
      <c r="BD247" s="172"/>
      <c r="BH247" s="172">
        <v>3</v>
      </c>
    </row>
    <row r="248" spans="1:65" ht="14.5">
      <c r="A248" s="172">
        <v>2220003</v>
      </c>
      <c r="B248" s="172">
        <v>245</v>
      </c>
      <c r="C248" s="172">
        <v>222</v>
      </c>
      <c r="D248" s="172" t="s">
        <v>442</v>
      </c>
      <c r="E248" s="172">
        <v>3</v>
      </c>
      <c r="F248" s="172" t="s">
        <v>451</v>
      </c>
      <c r="H248" s="173"/>
      <c r="I248" s="172" t="s">
        <v>1205</v>
      </c>
      <c r="J248" s="177">
        <v>216</v>
      </c>
      <c r="K248" s="177">
        <v>6000</v>
      </c>
      <c r="L248" s="177">
        <v>6000</v>
      </c>
      <c r="M248" s="177">
        <v>0</v>
      </c>
      <c r="N248" s="177">
        <v>0</v>
      </c>
      <c r="O248" s="172"/>
      <c r="P248" s="172"/>
      <c r="Q248" s="172" t="s">
        <v>1318</v>
      </c>
      <c r="R248" s="172" t="s">
        <v>1321</v>
      </c>
      <c r="S248" s="172">
        <v>1</v>
      </c>
      <c r="T248" s="172">
        <v>0</v>
      </c>
      <c r="U248" s="172">
        <v>0</v>
      </c>
      <c r="V248" s="172"/>
      <c r="W248" s="172"/>
      <c r="Z248" s="172">
        <v>42</v>
      </c>
      <c r="AA248" s="172">
        <v>3102</v>
      </c>
      <c r="AB248" s="172">
        <v>40000</v>
      </c>
      <c r="AE248" s="172">
        <v>3100</v>
      </c>
      <c r="AF248" s="172">
        <v>0.03</v>
      </c>
      <c r="AI248" s="172"/>
      <c r="AJ248" s="172"/>
      <c r="AM248" s="172"/>
      <c r="AN248" s="172"/>
      <c r="AQ248" s="172"/>
      <c r="AR248" s="172"/>
      <c r="AU248" s="172"/>
      <c r="AV248" s="172"/>
      <c r="AY248" s="172"/>
      <c r="AZ248" s="172"/>
      <c r="BC248" s="172"/>
      <c r="BD248" s="172"/>
      <c r="BH248" s="172">
        <v>3</v>
      </c>
    </row>
    <row r="249" spans="1:65" ht="14.5">
      <c r="A249" s="172">
        <v>2220004</v>
      </c>
      <c r="B249" s="172">
        <v>246</v>
      </c>
      <c r="C249" s="172">
        <v>222</v>
      </c>
      <c r="D249" s="172" t="s">
        <v>442</v>
      </c>
      <c r="E249" s="172">
        <v>4</v>
      </c>
      <c r="F249" s="172" t="s">
        <v>452</v>
      </c>
      <c r="H249" s="173"/>
      <c r="I249" s="172" t="s">
        <v>1205</v>
      </c>
      <c r="J249" s="177">
        <v>432</v>
      </c>
      <c r="K249" s="177">
        <v>12000</v>
      </c>
      <c r="L249" s="177">
        <v>12000</v>
      </c>
      <c r="M249" s="177">
        <v>0</v>
      </c>
      <c r="N249" s="177">
        <v>0</v>
      </c>
      <c r="O249" s="172"/>
      <c r="P249" s="172"/>
      <c r="Q249" s="172" t="s">
        <v>1318</v>
      </c>
      <c r="R249" s="172" t="s">
        <v>1322</v>
      </c>
      <c r="S249" s="172">
        <v>1</v>
      </c>
      <c r="T249" s="172">
        <v>0</v>
      </c>
      <c r="U249" s="172">
        <v>0</v>
      </c>
      <c r="V249" s="172"/>
      <c r="W249" s="172"/>
      <c r="Z249" s="172">
        <v>90</v>
      </c>
      <c r="AA249" s="172">
        <v>3102</v>
      </c>
      <c r="AB249" s="172">
        <v>45000</v>
      </c>
      <c r="AE249" s="172">
        <v>3100</v>
      </c>
      <c r="AF249" s="172">
        <v>0.04</v>
      </c>
      <c r="AI249" s="172"/>
      <c r="AJ249" s="172"/>
      <c r="AM249" s="172"/>
      <c r="AN249" s="172"/>
      <c r="AQ249" s="172"/>
      <c r="AR249" s="172"/>
      <c r="AU249" s="172"/>
      <c r="AV249" s="172"/>
      <c r="AY249" s="172"/>
      <c r="AZ249" s="172"/>
      <c r="BC249" s="172"/>
      <c r="BD249" s="172"/>
      <c r="BH249" s="172">
        <v>3</v>
      </c>
    </row>
    <row r="250" spans="1:65" ht="14.5">
      <c r="A250" s="172">
        <v>2220005</v>
      </c>
      <c r="B250" s="172">
        <v>247</v>
      </c>
      <c r="C250" s="172">
        <v>222</v>
      </c>
      <c r="D250" s="172" t="s">
        <v>442</v>
      </c>
      <c r="E250" s="172">
        <v>5</v>
      </c>
      <c r="F250" s="172" t="s">
        <v>453</v>
      </c>
      <c r="H250" s="173"/>
      <c r="I250" s="172">
        <v>1</v>
      </c>
      <c r="J250" s="177">
        <v>900</v>
      </c>
      <c r="K250" s="177">
        <v>15000</v>
      </c>
      <c r="L250" s="177">
        <v>15000</v>
      </c>
      <c r="M250" s="177">
        <v>15000</v>
      </c>
      <c r="N250" s="177">
        <v>0</v>
      </c>
      <c r="O250" s="172"/>
      <c r="P250" s="172"/>
      <c r="Q250" s="172" t="s">
        <v>1318</v>
      </c>
      <c r="R250" s="172" t="s">
        <v>1323</v>
      </c>
      <c r="S250" s="172">
        <v>1</v>
      </c>
      <c r="T250" s="172">
        <v>0</v>
      </c>
      <c r="U250" s="172">
        <v>0</v>
      </c>
      <c r="V250" s="172"/>
      <c r="W250" s="172"/>
      <c r="Z250" s="172">
        <v>182</v>
      </c>
      <c r="AA250" s="172">
        <v>3102</v>
      </c>
      <c r="AB250" s="172">
        <v>50000</v>
      </c>
      <c r="AE250" s="172">
        <v>3100</v>
      </c>
      <c r="AF250" s="172">
        <v>0.05</v>
      </c>
      <c r="AI250" s="172"/>
      <c r="AJ250" s="172"/>
      <c r="AM250" s="172"/>
      <c r="AN250" s="172"/>
      <c r="AQ250" s="172"/>
      <c r="AR250" s="172"/>
      <c r="AU250" s="172"/>
      <c r="AV250" s="172"/>
      <c r="AY250" s="172"/>
      <c r="AZ250" s="172"/>
      <c r="BC250" s="172"/>
      <c r="BD250" s="172"/>
      <c r="BH250" s="172">
        <v>3</v>
      </c>
      <c r="BI250" s="172">
        <v>299</v>
      </c>
    </row>
    <row r="251" spans="1:65" ht="14.5">
      <c r="A251" s="172">
        <v>2220006</v>
      </c>
      <c r="B251" s="172">
        <v>248</v>
      </c>
      <c r="C251" s="172">
        <v>222</v>
      </c>
      <c r="D251" s="172" t="s">
        <v>442</v>
      </c>
      <c r="E251" s="172">
        <v>6</v>
      </c>
      <c r="F251" s="172" t="s">
        <v>454</v>
      </c>
      <c r="H251" s="173"/>
      <c r="I251" s="172">
        <v>1</v>
      </c>
      <c r="J251" s="177">
        <v>1620</v>
      </c>
      <c r="K251" s="177">
        <v>29000</v>
      </c>
      <c r="L251" s="177">
        <v>29000</v>
      </c>
      <c r="M251" s="177">
        <v>29000</v>
      </c>
      <c r="N251" s="177">
        <v>0</v>
      </c>
      <c r="O251" s="172"/>
      <c r="P251" s="172"/>
      <c r="Q251" s="172" t="s">
        <v>1318</v>
      </c>
      <c r="R251" s="172" t="s">
        <v>1324</v>
      </c>
      <c r="S251" s="172">
        <v>1</v>
      </c>
      <c r="T251" s="172">
        <v>0</v>
      </c>
      <c r="U251" s="172">
        <v>0</v>
      </c>
      <c r="V251" s="172"/>
      <c r="W251" s="172"/>
      <c r="Z251" s="172">
        <v>354</v>
      </c>
      <c r="AA251" s="172">
        <v>3102</v>
      </c>
      <c r="AB251" s="172">
        <v>55000</v>
      </c>
      <c r="AE251" s="172">
        <v>3100</v>
      </c>
      <c r="AF251" s="172">
        <v>0.06</v>
      </c>
      <c r="AI251" s="172"/>
      <c r="AJ251" s="172"/>
      <c r="AM251" s="172"/>
      <c r="AN251" s="172"/>
      <c r="AQ251" s="172"/>
      <c r="AR251" s="172"/>
      <c r="AU251" s="172"/>
      <c r="AV251" s="172"/>
      <c r="AY251" s="172"/>
      <c r="AZ251" s="172"/>
      <c r="BC251" s="172"/>
      <c r="BD251" s="172"/>
      <c r="BH251" s="172">
        <v>3</v>
      </c>
      <c r="BI251" s="172">
        <v>299</v>
      </c>
    </row>
    <row r="252" spans="1:65" ht="14.5">
      <c r="A252" s="172">
        <v>2220007</v>
      </c>
      <c r="B252" s="172">
        <v>249</v>
      </c>
      <c r="C252" s="172">
        <v>222</v>
      </c>
      <c r="D252" s="172" t="s">
        <v>442</v>
      </c>
      <c r="E252" s="172">
        <v>7</v>
      </c>
      <c r="F252" s="172" t="s">
        <v>455</v>
      </c>
      <c r="H252" s="173"/>
      <c r="I252" s="172">
        <v>1</v>
      </c>
      <c r="J252" s="177">
        <v>2700</v>
      </c>
      <c r="K252" s="177">
        <v>51000</v>
      </c>
      <c r="L252" s="177">
        <v>51000</v>
      </c>
      <c r="M252" s="177">
        <v>51000</v>
      </c>
      <c r="N252" s="177">
        <v>0</v>
      </c>
      <c r="O252" s="172"/>
      <c r="P252" s="172"/>
      <c r="Q252" s="172" t="s">
        <v>1318</v>
      </c>
      <c r="R252" s="172" t="s">
        <v>1325</v>
      </c>
      <c r="S252" s="172">
        <v>1</v>
      </c>
      <c r="T252" s="172">
        <v>0</v>
      </c>
      <c r="U252" s="172">
        <v>0</v>
      </c>
      <c r="V252" s="172"/>
      <c r="W252" s="172"/>
      <c r="Z252" s="172">
        <v>663</v>
      </c>
      <c r="AA252" s="172">
        <v>3102</v>
      </c>
      <c r="AB252" s="172">
        <v>60000</v>
      </c>
      <c r="AE252" s="172">
        <v>3100</v>
      </c>
      <c r="AF252" s="172">
        <v>7.0000000000000007E-2</v>
      </c>
      <c r="AI252" s="172"/>
      <c r="AJ252" s="172"/>
      <c r="AM252" s="172"/>
      <c r="AN252" s="172"/>
      <c r="AQ252" s="172"/>
      <c r="AR252" s="172"/>
      <c r="AU252" s="172"/>
      <c r="AV252" s="172"/>
      <c r="AY252" s="172"/>
      <c r="AZ252" s="172"/>
      <c r="BC252" s="172"/>
      <c r="BD252" s="172"/>
      <c r="BH252" s="172">
        <v>3</v>
      </c>
      <c r="BI252" s="172">
        <v>299</v>
      </c>
    </row>
    <row r="253" spans="1:65" ht="14.5">
      <c r="A253" s="172">
        <v>2220008</v>
      </c>
      <c r="B253" s="172">
        <v>250</v>
      </c>
      <c r="C253" s="172">
        <v>222</v>
      </c>
      <c r="D253" s="172" t="s">
        <v>442</v>
      </c>
      <c r="E253" s="172">
        <v>8</v>
      </c>
      <c r="F253" s="172" t="s">
        <v>456</v>
      </c>
      <c r="H253" s="173"/>
      <c r="I253" s="172">
        <v>1</v>
      </c>
      <c r="J253" s="177">
        <v>4320</v>
      </c>
      <c r="K253" s="177">
        <v>88000</v>
      </c>
      <c r="L253" s="177">
        <v>88000</v>
      </c>
      <c r="M253" s="177">
        <v>88000</v>
      </c>
      <c r="N253" s="177">
        <v>0</v>
      </c>
      <c r="O253" s="172"/>
      <c r="P253" s="172"/>
      <c r="Q253" s="172" t="s">
        <v>1318</v>
      </c>
      <c r="R253" s="172" t="s">
        <v>1326</v>
      </c>
      <c r="S253" s="172">
        <v>1</v>
      </c>
      <c r="T253" s="172">
        <v>0</v>
      </c>
      <c r="U253" s="172">
        <v>0</v>
      </c>
      <c r="V253" s="172"/>
      <c r="W253" s="172"/>
      <c r="Z253" s="172">
        <v>1193</v>
      </c>
      <c r="AA253" s="172">
        <v>3102</v>
      </c>
      <c r="AB253" s="172">
        <v>65000</v>
      </c>
      <c r="AE253" s="172">
        <v>3100</v>
      </c>
      <c r="AF253" s="172">
        <v>0.08</v>
      </c>
      <c r="AI253" s="172"/>
      <c r="AJ253" s="172"/>
      <c r="AM253" s="172"/>
      <c r="AN253" s="172"/>
      <c r="AQ253" s="172"/>
      <c r="AR253" s="172"/>
      <c r="AU253" s="172"/>
      <c r="AV253" s="172"/>
      <c r="AY253" s="172"/>
      <c r="AZ253" s="172"/>
      <c r="BC253" s="172"/>
      <c r="BD253" s="172"/>
      <c r="BH253" s="172">
        <v>3</v>
      </c>
      <c r="BI253" s="172">
        <v>299</v>
      </c>
    </row>
    <row r="254" spans="1:65" ht="14.5">
      <c r="A254" s="172">
        <v>2220009</v>
      </c>
      <c r="B254" s="172">
        <v>251</v>
      </c>
      <c r="C254" s="172">
        <v>222</v>
      </c>
      <c r="D254" s="172" t="s">
        <v>442</v>
      </c>
      <c r="E254" s="172">
        <v>9</v>
      </c>
      <c r="F254" s="172" t="s">
        <v>457</v>
      </c>
      <c r="H254" s="173"/>
      <c r="I254" s="172">
        <v>1</v>
      </c>
      <c r="J254" s="177">
        <v>8640</v>
      </c>
      <c r="K254" s="177">
        <v>150000</v>
      </c>
      <c r="L254" s="177">
        <v>150000</v>
      </c>
      <c r="M254" s="177">
        <v>150000</v>
      </c>
      <c r="N254" s="177">
        <v>0</v>
      </c>
      <c r="O254" s="172"/>
      <c r="P254" s="172"/>
      <c r="Q254" s="172" t="s">
        <v>1318</v>
      </c>
      <c r="R254" s="172" t="s">
        <v>1327</v>
      </c>
      <c r="S254" s="172">
        <v>1</v>
      </c>
      <c r="T254" s="172">
        <v>0</v>
      </c>
      <c r="U254" s="172">
        <v>0</v>
      </c>
      <c r="V254" s="172"/>
      <c r="W254" s="172"/>
      <c r="Z254" s="172">
        <v>2069</v>
      </c>
      <c r="AA254" s="172">
        <v>3102</v>
      </c>
      <c r="AB254" s="172">
        <v>70000</v>
      </c>
      <c r="AE254" s="172">
        <v>3100</v>
      </c>
      <c r="AF254" s="172">
        <v>0.09</v>
      </c>
      <c r="AI254" s="172"/>
      <c r="AJ254" s="172"/>
      <c r="AM254" s="172"/>
      <c r="AN254" s="172"/>
      <c r="AQ254" s="172"/>
      <c r="AR254" s="172"/>
      <c r="AU254" s="172"/>
      <c r="AV254" s="172"/>
      <c r="AY254" s="172"/>
      <c r="AZ254" s="172"/>
      <c r="BC254" s="172"/>
      <c r="BD254" s="172"/>
      <c r="BH254" s="172">
        <v>3</v>
      </c>
      <c r="BI254" s="172">
        <v>299</v>
      </c>
    </row>
    <row r="255" spans="1:65" ht="14.5">
      <c r="A255" s="172">
        <v>2220010</v>
      </c>
      <c r="B255" s="172">
        <v>252</v>
      </c>
      <c r="C255" s="172">
        <v>222</v>
      </c>
      <c r="D255" s="172" t="s">
        <v>442</v>
      </c>
      <c r="E255" s="172">
        <v>10</v>
      </c>
      <c r="F255" s="172" t="s">
        <v>458</v>
      </c>
      <c r="H255" s="173"/>
      <c r="I255" s="172">
        <v>1</v>
      </c>
      <c r="J255" s="177">
        <v>12960</v>
      </c>
      <c r="K255" s="177">
        <v>140000</v>
      </c>
      <c r="L255" s="177">
        <v>140000</v>
      </c>
      <c r="M255" s="177">
        <v>140000</v>
      </c>
      <c r="N255" s="177">
        <v>280000</v>
      </c>
      <c r="O255" s="172"/>
      <c r="P255" s="172"/>
      <c r="Q255" s="172" t="s">
        <v>1318</v>
      </c>
      <c r="R255" s="172" t="s">
        <v>1328</v>
      </c>
      <c r="S255" s="172">
        <v>1</v>
      </c>
      <c r="T255" s="172">
        <v>0</v>
      </c>
      <c r="U255" s="172">
        <v>0</v>
      </c>
      <c r="V255" s="172"/>
      <c r="W255" s="172"/>
      <c r="Z255" s="172">
        <v>3452</v>
      </c>
      <c r="AA255" s="172">
        <v>3102</v>
      </c>
      <c r="AB255" s="172">
        <v>75000</v>
      </c>
      <c r="AE255" s="172">
        <v>3100</v>
      </c>
      <c r="AF255" s="172">
        <v>0.1</v>
      </c>
      <c r="AI255" s="172"/>
      <c r="AJ255" s="172"/>
      <c r="AM255" s="172"/>
      <c r="AN255" s="172"/>
      <c r="AQ255" s="172"/>
      <c r="AR255" s="172"/>
      <c r="AU255" s="172"/>
      <c r="AV255" s="172"/>
      <c r="AY255" s="172"/>
      <c r="AZ255" s="172"/>
      <c r="BC255" s="172"/>
      <c r="BD255" s="172"/>
      <c r="BH255" s="172">
        <v>3</v>
      </c>
    </row>
    <row r="256" spans="1:65" ht="14.5">
      <c r="A256" s="172">
        <v>2220011</v>
      </c>
      <c r="B256" s="172">
        <v>253</v>
      </c>
      <c r="C256" s="172">
        <v>222</v>
      </c>
      <c r="D256" s="172" t="s">
        <v>442</v>
      </c>
      <c r="E256" s="172">
        <v>11</v>
      </c>
      <c r="F256" s="172" t="s">
        <v>459</v>
      </c>
      <c r="H256" s="173"/>
      <c r="I256" s="172">
        <v>1</v>
      </c>
      <c r="J256" s="177">
        <v>19440</v>
      </c>
      <c r="K256" s="177">
        <v>210000</v>
      </c>
      <c r="L256" s="177">
        <v>210000</v>
      </c>
      <c r="M256" s="177">
        <v>210000</v>
      </c>
      <c r="N256" s="177">
        <v>420000</v>
      </c>
      <c r="O256" s="172"/>
      <c r="P256" s="172"/>
      <c r="Q256" s="172" t="s">
        <v>1318</v>
      </c>
      <c r="R256" s="172" t="s">
        <v>1329</v>
      </c>
      <c r="S256" s="172">
        <v>1</v>
      </c>
      <c r="T256" s="172">
        <v>0</v>
      </c>
      <c r="U256" s="172">
        <v>0</v>
      </c>
      <c r="V256" s="172"/>
      <c r="W256" s="172"/>
      <c r="Z256" s="172">
        <v>5540</v>
      </c>
      <c r="AA256" s="172">
        <v>3102</v>
      </c>
      <c r="AB256" s="172">
        <v>80000</v>
      </c>
      <c r="AE256" s="172">
        <v>3100</v>
      </c>
      <c r="AF256" s="172">
        <v>0.11</v>
      </c>
      <c r="AI256" s="172"/>
      <c r="AJ256" s="172"/>
      <c r="AM256" s="172"/>
      <c r="AN256" s="172"/>
      <c r="AQ256" s="172"/>
      <c r="AR256" s="172"/>
      <c r="AU256" s="172"/>
      <c r="AV256" s="172"/>
      <c r="AY256" s="172"/>
      <c r="AZ256" s="172"/>
      <c r="BC256" s="172"/>
      <c r="BD256" s="172"/>
      <c r="BH256" s="172">
        <v>3</v>
      </c>
    </row>
    <row r="257" spans="1:60" ht="14.5">
      <c r="A257" s="172">
        <v>2220012</v>
      </c>
      <c r="B257" s="172">
        <v>254</v>
      </c>
      <c r="C257" s="172">
        <v>222</v>
      </c>
      <c r="D257" s="172" t="s">
        <v>442</v>
      </c>
      <c r="E257" s="172">
        <v>12</v>
      </c>
      <c r="F257" s="172" t="s">
        <v>460</v>
      </c>
      <c r="H257" s="173"/>
      <c r="I257" s="172">
        <v>2</v>
      </c>
      <c r="J257" s="177">
        <v>25920</v>
      </c>
      <c r="K257" s="177">
        <v>300000</v>
      </c>
      <c r="L257" s="177">
        <v>300000</v>
      </c>
      <c r="M257" s="177">
        <v>300000</v>
      </c>
      <c r="N257" s="177">
        <v>600000</v>
      </c>
      <c r="O257" s="172"/>
      <c r="P257" s="172"/>
      <c r="Q257" s="172" t="s">
        <v>1318</v>
      </c>
      <c r="R257" s="172" t="s">
        <v>1330</v>
      </c>
      <c r="S257" s="172">
        <v>1</v>
      </c>
      <c r="T257" s="172">
        <v>0</v>
      </c>
      <c r="U257" s="172">
        <v>0</v>
      </c>
      <c r="V257" s="172"/>
      <c r="W257" s="172"/>
      <c r="Z257" s="172">
        <v>8547</v>
      </c>
      <c r="AA257" s="172">
        <v>3102</v>
      </c>
      <c r="AB257" s="172">
        <v>85000</v>
      </c>
      <c r="AE257" s="172">
        <v>3100</v>
      </c>
      <c r="AF257" s="172">
        <v>0.12</v>
      </c>
      <c r="AI257" s="172"/>
      <c r="AJ257" s="172"/>
      <c r="AM257" s="172"/>
      <c r="AN257" s="172"/>
      <c r="AQ257" s="172"/>
      <c r="AR257" s="172"/>
      <c r="AU257" s="172"/>
      <c r="AV257" s="172"/>
      <c r="AY257" s="172"/>
      <c r="AZ257" s="172"/>
      <c r="BC257" s="172"/>
      <c r="BD257" s="172"/>
      <c r="BH257" s="172">
        <v>3</v>
      </c>
    </row>
    <row r="258" spans="1:60" ht="14.5">
      <c r="A258" s="172">
        <v>2220013</v>
      </c>
      <c r="B258" s="172">
        <v>255</v>
      </c>
      <c r="C258" s="172">
        <v>222</v>
      </c>
      <c r="D258" s="172" t="s">
        <v>442</v>
      </c>
      <c r="E258" s="172">
        <v>13</v>
      </c>
      <c r="F258" s="172" t="s">
        <v>461</v>
      </c>
      <c r="H258" s="173"/>
      <c r="I258" s="172">
        <v>2</v>
      </c>
      <c r="J258" s="177">
        <v>34560</v>
      </c>
      <c r="K258" s="177">
        <v>410000</v>
      </c>
      <c r="L258" s="177">
        <v>410000</v>
      </c>
      <c r="M258" s="177">
        <v>410000</v>
      </c>
      <c r="N258" s="177">
        <v>820000</v>
      </c>
      <c r="O258" s="172"/>
      <c r="P258" s="172"/>
      <c r="Q258" s="172" t="s">
        <v>1318</v>
      </c>
      <c r="R258" s="172" t="s">
        <v>1331</v>
      </c>
      <c r="S258" s="172">
        <v>1</v>
      </c>
      <c r="T258" s="172">
        <v>0</v>
      </c>
      <c r="U258" s="172">
        <v>0</v>
      </c>
      <c r="V258" s="172"/>
      <c r="W258" s="172"/>
      <c r="Z258" s="172">
        <v>12667</v>
      </c>
      <c r="AA258" s="172">
        <v>3102</v>
      </c>
      <c r="AB258" s="172">
        <v>90000</v>
      </c>
      <c r="AE258" s="172">
        <v>3100</v>
      </c>
      <c r="AF258" s="172">
        <v>0.13</v>
      </c>
      <c r="AI258" s="172"/>
      <c r="AJ258" s="172"/>
      <c r="AM258" s="172"/>
      <c r="AN258" s="172"/>
      <c r="AQ258" s="172"/>
      <c r="AR258" s="172"/>
      <c r="AU258" s="172"/>
      <c r="AV258" s="172"/>
      <c r="AY258" s="172"/>
      <c r="AZ258" s="172"/>
      <c r="BC258" s="172"/>
      <c r="BD258" s="172"/>
      <c r="BH258" s="172">
        <v>3</v>
      </c>
    </row>
    <row r="259" spans="1:60" ht="14.5">
      <c r="A259" s="172">
        <v>2220014</v>
      </c>
      <c r="B259" s="172">
        <v>256</v>
      </c>
      <c r="C259" s="172">
        <v>222</v>
      </c>
      <c r="D259" s="172" t="s">
        <v>442</v>
      </c>
      <c r="E259" s="172">
        <v>14</v>
      </c>
      <c r="F259" s="172" t="s">
        <v>462</v>
      </c>
      <c r="H259" s="173"/>
      <c r="I259" s="172">
        <v>2</v>
      </c>
      <c r="J259" s="177">
        <v>43200</v>
      </c>
      <c r="K259" s="177">
        <v>540000</v>
      </c>
      <c r="L259" s="177">
        <v>540000</v>
      </c>
      <c r="M259" s="177">
        <v>540000</v>
      </c>
      <c r="N259" s="177">
        <v>1100000</v>
      </c>
      <c r="O259" s="172"/>
      <c r="P259" s="172"/>
      <c r="Q259" s="172" t="s">
        <v>1318</v>
      </c>
      <c r="R259" s="172" t="s">
        <v>1332</v>
      </c>
      <c r="S259" s="172">
        <v>1</v>
      </c>
      <c r="T259" s="172">
        <v>0</v>
      </c>
      <c r="U259" s="172">
        <v>0</v>
      </c>
      <c r="V259" s="172"/>
      <c r="W259" s="172"/>
      <c r="Z259" s="172">
        <v>18023</v>
      </c>
      <c r="AA259" s="172">
        <v>3102</v>
      </c>
      <c r="AB259" s="172">
        <v>95000</v>
      </c>
      <c r="AE259" s="172">
        <v>3100</v>
      </c>
      <c r="AF259" s="172">
        <v>0.14000000000000001</v>
      </c>
      <c r="AI259" s="172"/>
      <c r="AJ259" s="172"/>
      <c r="AM259" s="172"/>
      <c r="AN259" s="172"/>
      <c r="AQ259" s="172"/>
      <c r="AR259" s="172"/>
      <c r="AU259" s="172"/>
      <c r="AV259" s="172"/>
      <c r="AY259" s="172"/>
      <c r="AZ259" s="172"/>
      <c r="BC259" s="172"/>
      <c r="BD259" s="172"/>
      <c r="BH259" s="172">
        <v>3</v>
      </c>
    </row>
    <row r="260" spans="1:60" ht="14.5">
      <c r="A260" s="172">
        <v>2220015</v>
      </c>
      <c r="B260" s="172">
        <v>257</v>
      </c>
      <c r="C260" s="172">
        <v>222</v>
      </c>
      <c r="D260" s="172" t="s">
        <v>442</v>
      </c>
      <c r="E260" s="172">
        <v>15</v>
      </c>
      <c r="F260" s="172" t="s">
        <v>463</v>
      </c>
      <c r="H260" s="173"/>
      <c r="I260" s="172">
        <v>2</v>
      </c>
      <c r="J260" s="177">
        <v>51840</v>
      </c>
      <c r="K260" s="177">
        <v>690000</v>
      </c>
      <c r="L260" s="177">
        <v>690000</v>
      </c>
      <c r="M260" s="177">
        <v>690000</v>
      </c>
      <c r="N260" s="177">
        <v>1400000</v>
      </c>
      <c r="O260" s="172"/>
      <c r="P260" s="172"/>
      <c r="Q260" s="172" t="s">
        <v>1318</v>
      </c>
      <c r="R260" s="172" t="s">
        <v>1333</v>
      </c>
      <c r="S260" s="172">
        <v>1</v>
      </c>
      <c r="T260" s="172">
        <v>0</v>
      </c>
      <c r="U260" s="172">
        <v>0</v>
      </c>
      <c r="V260" s="172"/>
      <c r="W260" s="172"/>
      <c r="Z260" s="172">
        <v>24879</v>
      </c>
      <c r="AA260" s="172">
        <v>3102</v>
      </c>
      <c r="AB260" s="172">
        <v>100000</v>
      </c>
      <c r="AE260" s="172">
        <v>3100</v>
      </c>
      <c r="AF260" s="172">
        <v>0.15</v>
      </c>
      <c r="AI260" s="172"/>
      <c r="AJ260" s="172"/>
      <c r="AM260" s="172"/>
      <c r="AN260" s="172"/>
      <c r="AQ260" s="172"/>
      <c r="AR260" s="172"/>
      <c r="AU260" s="172"/>
      <c r="AV260" s="172"/>
      <c r="AY260" s="172"/>
      <c r="AZ260" s="172"/>
      <c r="BC260" s="172"/>
      <c r="BD260" s="172"/>
      <c r="BH260" s="172">
        <v>3</v>
      </c>
    </row>
    <row r="261" spans="1:60" ht="14.5">
      <c r="A261" s="172">
        <v>2220016</v>
      </c>
      <c r="B261" s="172">
        <v>258</v>
      </c>
      <c r="C261" s="172">
        <v>222</v>
      </c>
      <c r="D261" s="172" t="s">
        <v>442</v>
      </c>
      <c r="E261" s="172">
        <v>16</v>
      </c>
      <c r="F261" s="172" t="s">
        <v>464</v>
      </c>
      <c r="H261" s="173"/>
      <c r="I261" s="172">
        <v>2</v>
      </c>
      <c r="J261" s="177">
        <v>64800</v>
      </c>
      <c r="K261" s="177">
        <v>880000</v>
      </c>
      <c r="L261" s="177">
        <v>880000</v>
      </c>
      <c r="M261" s="177">
        <v>880000</v>
      </c>
      <c r="N261" s="177">
        <v>1800000</v>
      </c>
      <c r="O261" s="172"/>
      <c r="P261" s="172"/>
      <c r="Q261" s="172" t="s">
        <v>1318</v>
      </c>
      <c r="R261" s="172" t="s">
        <v>1334</v>
      </c>
      <c r="S261" s="172">
        <v>1</v>
      </c>
      <c r="T261" s="172">
        <v>0</v>
      </c>
      <c r="U261" s="172">
        <v>0</v>
      </c>
      <c r="V261" s="172"/>
      <c r="W261" s="172"/>
      <c r="Z261" s="172">
        <v>33654</v>
      </c>
      <c r="AA261" s="172">
        <v>3102</v>
      </c>
      <c r="AB261" s="172">
        <v>105000</v>
      </c>
      <c r="AE261" s="172">
        <v>3100</v>
      </c>
      <c r="AF261" s="172">
        <v>0.16</v>
      </c>
      <c r="AI261" s="172"/>
      <c r="AJ261" s="172"/>
      <c r="AM261" s="172"/>
      <c r="AN261" s="172"/>
      <c r="AQ261" s="172"/>
      <c r="AR261" s="172"/>
      <c r="AU261" s="172"/>
      <c r="AV261" s="172"/>
      <c r="AY261" s="172"/>
      <c r="AZ261" s="172"/>
      <c r="BC261" s="172"/>
      <c r="BD261" s="172"/>
      <c r="BH261" s="172">
        <v>3</v>
      </c>
    </row>
    <row r="262" spans="1:60" ht="14.5">
      <c r="A262" s="172">
        <v>2220017</v>
      </c>
      <c r="B262" s="172">
        <v>259</v>
      </c>
      <c r="C262" s="172">
        <v>222</v>
      </c>
      <c r="D262" s="172" t="s">
        <v>442</v>
      </c>
      <c r="E262" s="172">
        <v>17</v>
      </c>
      <c r="F262" s="172" t="s">
        <v>465</v>
      </c>
      <c r="H262" s="173"/>
      <c r="I262" s="172">
        <v>2</v>
      </c>
      <c r="J262" s="177">
        <v>86400</v>
      </c>
      <c r="K262" s="177">
        <v>1100000</v>
      </c>
      <c r="L262" s="177">
        <v>1100000</v>
      </c>
      <c r="M262" s="177">
        <v>1100000</v>
      </c>
      <c r="N262" s="177">
        <v>2200000</v>
      </c>
      <c r="O262" s="172"/>
      <c r="P262" s="172"/>
      <c r="Q262" s="172" t="s">
        <v>1318</v>
      </c>
      <c r="R262" s="172" t="s">
        <v>1335</v>
      </c>
      <c r="S262" s="172">
        <v>1</v>
      </c>
      <c r="T262" s="172">
        <v>0</v>
      </c>
      <c r="U262" s="172">
        <v>0</v>
      </c>
      <c r="V262" s="172"/>
      <c r="W262" s="172"/>
      <c r="Z262" s="172">
        <v>44886</v>
      </c>
      <c r="AA262" s="172">
        <v>3102</v>
      </c>
      <c r="AB262" s="172">
        <v>110000</v>
      </c>
      <c r="AE262" s="172">
        <v>3100</v>
      </c>
      <c r="AF262" s="172">
        <v>0.17</v>
      </c>
      <c r="AI262" s="172"/>
      <c r="AJ262" s="172"/>
      <c r="AM262" s="172"/>
      <c r="AN262" s="172"/>
      <c r="AQ262" s="172"/>
      <c r="AR262" s="172"/>
      <c r="AU262" s="172"/>
      <c r="AV262" s="172"/>
      <c r="AY262" s="172"/>
      <c r="AZ262" s="172"/>
      <c r="BC262" s="172"/>
      <c r="BD262" s="172"/>
      <c r="BH262" s="172">
        <v>3</v>
      </c>
    </row>
    <row r="263" spans="1:60" ht="14.5">
      <c r="A263" s="172">
        <v>2220018</v>
      </c>
      <c r="B263" s="172">
        <v>260</v>
      </c>
      <c r="C263" s="172">
        <v>222</v>
      </c>
      <c r="D263" s="172" t="s">
        <v>442</v>
      </c>
      <c r="E263" s="172">
        <v>18</v>
      </c>
      <c r="F263" s="172" t="s">
        <v>466</v>
      </c>
      <c r="H263" s="173"/>
      <c r="I263" s="172">
        <v>2</v>
      </c>
      <c r="J263" s="177">
        <v>112320</v>
      </c>
      <c r="K263" s="177">
        <v>1400000</v>
      </c>
      <c r="L263" s="177">
        <v>1400000</v>
      </c>
      <c r="M263" s="177">
        <v>1400000</v>
      </c>
      <c r="N263" s="177">
        <v>2900000</v>
      </c>
      <c r="O263" s="172"/>
      <c r="P263" s="172"/>
      <c r="Q263" s="172" t="s">
        <v>1318</v>
      </c>
      <c r="R263" s="172" t="s">
        <v>1336</v>
      </c>
      <c r="S263" s="172">
        <v>1</v>
      </c>
      <c r="T263" s="172">
        <v>0</v>
      </c>
      <c r="U263" s="172">
        <v>0</v>
      </c>
      <c r="V263" s="172"/>
      <c r="W263" s="172"/>
      <c r="Z263" s="172">
        <v>59264</v>
      </c>
      <c r="AA263" s="172">
        <v>3102</v>
      </c>
      <c r="AB263" s="172">
        <v>115000</v>
      </c>
      <c r="AE263" s="172">
        <v>3100</v>
      </c>
      <c r="AF263" s="172">
        <v>0.18</v>
      </c>
      <c r="AI263" s="172"/>
      <c r="AJ263" s="172"/>
      <c r="AM263" s="172"/>
      <c r="AN263" s="172"/>
      <c r="AQ263" s="172"/>
      <c r="AR263" s="172"/>
      <c r="AU263" s="172"/>
      <c r="AV263" s="172"/>
      <c r="AY263" s="172"/>
      <c r="AZ263" s="172"/>
      <c r="BC263" s="172"/>
      <c r="BD263" s="172"/>
      <c r="BH263" s="172">
        <v>3</v>
      </c>
    </row>
    <row r="264" spans="1:60" ht="14.5">
      <c r="A264" s="172">
        <v>2220019</v>
      </c>
      <c r="B264" s="172">
        <v>261</v>
      </c>
      <c r="C264" s="172">
        <v>222</v>
      </c>
      <c r="D264" s="172" t="s">
        <v>442</v>
      </c>
      <c r="E264" s="172">
        <v>19</v>
      </c>
      <c r="F264" s="172" t="s">
        <v>467</v>
      </c>
      <c r="H264" s="173"/>
      <c r="I264" s="172">
        <v>2</v>
      </c>
      <c r="J264" s="177">
        <v>146880</v>
      </c>
      <c r="K264" s="177">
        <v>1800000</v>
      </c>
      <c r="L264" s="177">
        <v>1800000</v>
      </c>
      <c r="M264" s="177">
        <v>1800000</v>
      </c>
      <c r="N264" s="177">
        <v>3700000</v>
      </c>
      <c r="O264" s="172"/>
      <c r="P264" s="172"/>
      <c r="Q264" s="172" t="s">
        <v>1318</v>
      </c>
      <c r="R264" s="172" t="s">
        <v>1337</v>
      </c>
      <c r="S264" s="172">
        <v>1</v>
      </c>
      <c r="T264" s="172">
        <v>0</v>
      </c>
      <c r="U264" s="172">
        <v>0</v>
      </c>
      <c r="V264" s="172"/>
      <c r="W264" s="172"/>
      <c r="Z264" s="172">
        <v>77667</v>
      </c>
      <c r="AA264" s="172">
        <v>3102</v>
      </c>
      <c r="AB264" s="172">
        <v>120000</v>
      </c>
      <c r="AE264" s="172">
        <v>3100</v>
      </c>
      <c r="AF264" s="172">
        <v>0.19</v>
      </c>
      <c r="AI264" s="172"/>
      <c r="AJ264" s="172"/>
      <c r="AM264" s="172"/>
      <c r="AN264" s="172"/>
      <c r="AQ264" s="172"/>
      <c r="AR264" s="172"/>
      <c r="AU264" s="172"/>
      <c r="AV264" s="172"/>
      <c r="AY264" s="172"/>
      <c r="AZ264" s="172"/>
      <c r="BC264" s="172"/>
      <c r="BD264" s="172"/>
      <c r="BH264" s="172">
        <v>3</v>
      </c>
    </row>
    <row r="265" spans="1:60" ht="14.5">
      <c r="A265" s="172">
        <v>2220020</v>
      </c>
      <c r="B265" s="172">
        <v>262</v>
      </c>
      <c r="C265" s="172">
        <v>222</v>
      </c>
      <c r="D265" s="172" t="s">
        <v>442</v>
      </c>
      <c r="E265" s="172">
        <v>20</v>
      </c>
      <c r="F265" s="172" t="s">
        <v>468</v>
      </c>
      <c r="H265" s="173"/>
      <c r="I265" s="172">
        <v>3</v>
      </c>
      <c r="J265" s="177">
        <v>207360</v>
      </c>
      <c r="K265" s="177">
        <v>2400000</v>
      </c>
      <c r="L265" s="177">
        <v>2400000</v>
      </c>
      <c r="M265" s="177">
        <v>2400000</v>
      </c>
      <c r="N265" s="177">
        <v>4700000</v>
      </c>
      <c r="O265" s="172"/>
      <c r="P265" s="172"/>
      <c r="Q265" s="172" t="s">
        <v>1318</v>
      </c>
      <c r="R265" s="172" t="s">
        <v>1338</v>
      </c>
      <c r="S265" s="172">
        <v>1</v>
      </c>
      <c r="T265" s="172">
        <v>0</v>
      </c>
      <c r="U265" s="172">
        <v>0</v>
      </c>
      <c r="V265" s="172"/>
      <c r="W265" s="172"/>
      <c r="Z265" s="172">
        <v>101222</v>
      </c>
      <c r="AA265" s="172">
        <v>3102</v>
      </c>
      <c r="AB265" s="172">
        <v>125000</v>
      </c>
      <c r="AE265" s="172">
        <v>3100</v>
      </c>
      <c r="AF265" s="172">
        <v>0.2</v>
      </c>
      <c r="AI265" s="172"/>
      <c r="AJ265" s="172"/>
      <c r="AM265" s="172"/>
      <c r="AN265" s="172"/>
      <c r="AQ265" s="172"/>
      <c r="AR265" s="172"/>
      <c r="AU265" s="172"/>
      <c r="AV265" s="172"/>
      <c r="AY265" s="172"/>
      <c r="AZ265" s="172"/>
      <c r="BC265" s="172"/>
      <c r="BD265" s="172"/>
      <c r="BH265" s="172">
        <v>3</v>
      </c>
    </row>
    <row r="266" spans="1:60" ht="14.5">
      <c r="A266" s="172">
        <v>2220021</v>
      </c>
      <c r="B266" s="172">
        <v>263</v>
      </c>
      <c r="C266" s="172">
        <v>222</v>
      </c>
      <c r="D266" s="172" t="s">
        <v>442</v>
      </c>
      <c r="E266" s="172">
        <v>21</v>
      </c>
      <c r="F266" s="172" t="s">
        <v>1432</v>
      </c>
      <c r="H266" s="173"/>
      <c r="I266" s="172">
        <v>3</v>
      </c>
      <c r="J266" s="177">
        <v>276480</v>
      </c>
      <c r="K266" s="177">
        <v>3000000</v>
      </c>
      <c r="L266" s="177">
        <v>3000000</v>
      </c>
      <c r="M266" s="177">
        <v>3000000</v>
      </c>
      <c r="N266" s="177">
        <v>6000000</v>
      </c>
      <c r="O266" s="172"/>
      <c r="P266" s="172"/>
      <c r="Q266" s="172" t="s">
        <v>1318</v>
      </c>
      <c r="R266" s="172" t="s">
        <v>1340</v>
      </c>
      <c r="S266" s="172">
        <v>1</v>
      </c>
      <c r="T266" s="172">
        <v>0</v>
      </c>
      <c r="U266" s="172">
        <v>0</v>
      </c>
      <c r="V266" s="172"/>
      <c r="W266" s="172"/>
      <c r="Z266" s="172">
        <v>131374</v>
      </c>
      <c r="AA266" s="172">
        <v>3102</v>
      </c>
      <c r="AB266" s="172">
        <v>130000</v>
      </c>
      <c r="AE266" s="172">
        <v>3100</v>
      </c>
      <c r="AF266" s="172">
        <v>0.21</v>
      </c>
      <c r="AI266" s="172"/>
      <c r="AJ266" s="172"/>
      <c r="AM266" s="172"/>
      <c r="AN266" s="172"/>
      <c r="AQ266" s="172"/>
      <c r="AR266" s="172"/>
      <c r="AU266" s="172"/>
      <c r="AV266" s="172"/>
      <c r="AY266" s="172"/>
      <c r="AZ266" s="172"/>
      <c r="BC266" s="172"/>
      <c r="BD266" s="172"/>
      <c r="BH266" s="172">
        <v>3</v>
      </c>
    </row>
    <row r="267" spans="1:60" ht="14.5">
      <c r="A267" s="172">
        <v>2220022</v>
      </c>
      <c r="B267" s="172">
        <v>264</v>
      </c>
      <c r="C267" s="172">
        <v>222</v>
      </c>
      <c r="D267" s="172" t="s">
        <v>442</v>
      </c>
      <c r="E267" s="172">
        <v>22</v>
      </c>
      <c r="F267" s="172" t="s">
        <v>1433</v>
      </c>
      <c r="H267" s="173"/>
      <c r="I267" s="172">
        <v>3</v>
      </c>
      <c r="J267" s="177">
        <v>362880</v>
      </c>
      <c r="K267" s="177">
        <v>3900000</v>
      </c>
      <c r="L267" s="177">
        <v>3900000</v>
      </c>
      <c r="M267" s="177">
        <v>3900000</v>
      </c>
      <c r="N267" s="177">
        <v>7700000</v>
      </c>
      <c r="O267" s="172"/>
      <c r="P267" s="172"/>
      <c r="Q267" s="172" t="s">
        <v>1318</v>
      </c>
      <c r="R267" s="172" t="s">
        <v>1342</v>
      </c>
      <c r="S267" s="172">
        <v>1</v>
      </c>
      <c r="T267" s="172">
        <v>0</v>
      </c>
      <c r="U267" s="172">
        <v>0</v>
      </c>
      <c r="V267" s="172"/>
      <c r="W267" s="172"/>
      <c r="Z267" s="172">
        <v>169968</v>
      </c>
      <c r="AA267" s="172">
        <v>3102</v>
      </c>
      <c r="AB267" s="172">
        <v>135000</v>
      </c>
      <c r="AE267" s="172">
        <v>3100</v>
      </c>
      <c r="AF267" s="172">
        <v>0.22</v>
      </c>
      <c r="AI267" s="172"/>
      <c r="AJ267" s="172"/>
      <c r="AM267" s="172"/>
      <c r="AN267" s="172"/>
      <c r="AQ267" s="172"/>
      <c r="AR267" s="172"/>
      <c r="AU267" s="172"/>
      <c r="AV267" s="172"/>
      <c r="AY267" s="172"/>
      <c r="AZ267" s="172"/>
      <c r="BC267" s="172"/>
      <c r="BD267" s="172"/>
      <c r="BH267" s="172">
        <v>3</v>
      </c>
    </row>
    <row r="268" spans="1:60" ht="14.5">
      <c r="A268" s="172">
        <v>2220023</v>
      </c>
      <c r="B268" s="172">
        <v>265</v>
      </c>
      <c r="C268" s="172">
        <v>222</v>
      </c>
      <c r="D268" s="172" t="s">
        <v>442</v>
      </c>
      <c r="E268" s="172">
        <v>23</v>
      </c>
      <c r="F268" s="172" t="s">
        <v>1434</v>
      </c>
      <c r="H268" s="173"/>
      <c r="I268" s="172">
        <v>3</v>
      </c>
      <c r="J268" s="177">
        <v>466560</v>
      </c>
      <c r="K268" s="177">
        <v>4900000</v>
      </c>
      <c r="L268" s="177">
        <v>4900000</v>
      </c>
      <c r="M268" s="177">
        <v>4900000</v>
      </c>
      <c r="N268" s="177">
        <v>9900000</v>
      </c>
      <c r="O268" s="172"/>
      <c r="P268" s="172"/>
      <c r="Q268" s="172" t="s">
        <v>1318</v>
      </c>
      <c r="R268" s="172" t="s">
        <v>1344</v>
      </c>
      <c r="S268" s="172">
        <v>1</v>
      </c>
      <c r="T268" s="172">
        <v>0</v>
      </c>
      <c r="U268" s="172">
        <v>0</v>
      </c>
      <c r="V268" s="172"/>
      <c r="W268" s="172"/>
      <c r="Z268" s="172">
        <v>219368</v>
      </c>
      <c r="AA268" s="172">
        <v>3102</v>
      </c>
      <c r="AB268" s="172">
        <v>140000</v>
      </c>
      <c r="AE268" s="172">
        <v>3100</v>
      </c>
      <c r="AF268" s="172">
        <v>0.23</v>
      </c>
      <c r="AI268" s="172"/>
      <c r="AJ268" s="172"/>
      <c r="AM268" s="172"/>
      <c r="AN268" s="172"/>
      <c r="AQ268" s="172"/>
      <c r="AR268" s="172"/>
      <c r="AU268" s="172"/>
      <c r="AV268" s="172"/>
      <c r="AY268" s="172"/>
      <c r="AZ268" s="172"/>
      <c r="BC268" s="172"/>
      <c r="BD268" s="172"/>
      <c r="BH268" s="172">
        <v>3</v>
      </c>
    </row>
    <row r="269" spans="1:60" ht="14.5">
      <c r="A269" s="172">
        <v>2220024</v>
      </c>
      <c r="B269" s="172">
        <v>266</v>
      </c>
      <c r="C269" s="172">
        <v>222</v>
      </c>
      <c r="D269" s="172" t="s">
        <v>442</v>
      </c>
      <c r="E269" s="172">
        <v>24</v>
      </c>
      <c r="F269" s="172" t="s">
        <v>1435</v>
      </c>
      <c r="H269" s="173"/>
      <c r="I269" s="172">
        <v>3</v>
      </c>
      <c r="J269" s="177">
        <v>596160</v>
      </c>
      <c r="K269" s="177">
        <v>6300000</v>
      </c>
      <c r="L269" s="177">
        <v>6300000</v>
      </c>
      <c r="M269" s="177">
        <v>6300000</v>
      </c>
      <c r="N269" s="177">
        <v>13000000</v>
      </c>
      <c r="O269" s="172"/>
      <c r="P269" s="172"/>
      <c r="Q269" s="172" t="s">
        <v>1318</v>
      </c>
      <c r="R269" s="172" t="s">
        <v>1346</v>
      </c>
      <c r="S269" s="172">
        <v>1</v>
      </c>
      <c r="T269" s="172">
        <v>0</v>
      </c>
      <c r="U269" s="172">
        <v>0</v>
      </c>
      <c r="V269" s="172"/>
      <c r="W269" s="172"/>
      <c r="Z269" s="172">
        <v>282600</v>
      </c>
      <c r="AA269" s="172">
        <v>3102</v>
      </c>
      <c r="AB269" s="172">
        <v>145000</v>
      </c>
      <c r="AE269" s="172">
        <v>3100</v>
      </c>
      <c r="AF269" s="172">
        <v>0.24</v>
      </c>
      <c r="AI269" s="172"/>
      <c r="AJ269" s="172"/>
      <c r="AM269" s="172"/>
      <c r="AN269" s="172"/>
      <c r="AQ269" s="172"/>
      <c r="AR269" s="172"/>
      <c r="AU269" s="172"/>
      <c r="AV269" s="172"/>
      <c r="AY269" s="172"/>
      <c r="AZ269" s="172"/>
      <c r="BC269" s="172"/>
      <c r="BD269" s="172"/>
      <c r="BH269" s="172">
        <v>3</v>
      </c>
    </row>
    <row r="270" spans="1:60" ht="14.5">
      <c r="A270" s="172">
        <v>2220025</v>
      </c>
      <c r="B270" s="172">
        <v>267</v>
      </c>
      <c r="C270" s="172">
        <v>222</v>
      </c>
      <c r="D270" s="172" t="s">
        <v>442</v>
      </c>
      <c r="E270" s="172">
        <v>25</v>
      </c>
      <c r="F270" s="172" t="s">
        <v>1436</v>
      </c>
      <c r="H270" s="173"/>
      <c r="I270" s="172">
        <v>3</v>
      </c>
      <c r="J270" s="177">
        <v>751680</v>
      </c>
      <c r="K270" s="177">
        <v>8100000</v>
      </c>
      <c r="L270" s="177">
        <v>8100000</v>
      </c>
      <c r="M270" s="177">
        <v>8100000</v>
      </c>
      <c r="N270" s="177">
        <v>16000000</v>
      </c>
      <c r="O270" s="172"/>
      <c r="P270" s="172"/>
      <c r="Q270" s="172" t="s">
        <v>1318</v>
      </c>
      <c r="R270" s="172" t="s">
        <v>1348</v>
      </c>
      <c r="S270" s="172">
        <v>1</v>
      </c>
      <c r="T270" s="172">
        <v>0</v>
      </c>
      <c r="U270" s="172">
        <v>0</v>
      </c>
      <c r="V270" s="172"/>
      <c r="W270" s="172"/>
      <c r="Z270" s="172">
        <v>363537</v>
      </c>
      <c r="AA270" s="172">
        <v>3102</v>
      </c>
      <c r="AB270" s="172">
        <v>150000</v>
      </c>
      <c r="AE270" s="172">
        <v>3100</v>
      </c>
      <c r="AF270" s="172">
        <v>0.25</v>
      </c>
      <c r="AI270" s="172"/>
      <c r="AJ270" s="172"/>
      <c r="AM270" s="172"/>
      <c r="AN270" s="172"/>
      <c r="AQ270" s="172"/>
      <c r="AR270" s="172"/>
      <c r="AU270" s="172"/>
      <c r="AV270" s="172"/>
      <c r="AY270" s="172"/>
      <c r="AZ270" s="172"/>
      <c r="BC270" s="172"/>
      <c r="BD270" s="172"/>
      <c r="BH270" s="172">
        <v>3</v>
      </c>
    </row>
    <row r="271" spans="1:60" ht="14.5">
      <c r="A271" s="172">
        <v>2220026</v>
      </c>
      <c r="B271" s="172">
        <v>268</v>
      </c>
      <c r="C271" s="172">
        <v>222</v>
      </c>
      <c r="D271" s="172" t="s">
        <v>442</v>
      </c>
      <c r="E271" s="172">
        <v>26</v>
      </c>
      <c r="F271" s="172" t="s">
        <v>1437</v>
      </c>
      <c r="H271" s="173"/>
      <c r="I271" s="172">
        <v>3</v>
      </c>
      <c r="J271" s="177">
        <v>933120</v>
      </c>
      <c r="K271" s="177">
        <v>10000000</v>
      </c>
      <c r="L271" s="177">
        <v>10000000</v>
      </c>
      <c r="M271" s="177">
        <v>10000000</v>
      </c>
      <c r="N271" s="177">
        <v>21000000</v>
      </c>
      <c r="O271" s="172"/>
      <c r="P271" s="172"/>
      <c r="Q271" s="172" t="s">
        <v>1318</v>
      </c>
      <c r="R271" s="172" t="s">
        <v>1350</v>
      </c>
      <c r="S271" s="172">
        <v>1</v>
      </c>
      <c r="T271" s="172">
        <v>0</v>
      </c>
      <c r="U271" s="172">
        <v>0</v>
      </c>
      <c r="V271" s="172"/>
      <c r="W271" s="172"/>
      <c r="Z271" s="172">
        <v>467136</v>
      </c>
      <c r="AA271" s="172">
        <v>3102</v>
      </c>
      <c r="AB271" s="172">
        <v>160000</v>
      </c>
      <c r="AE271" s="172">
        <v>3100</v>
      </c>
      <c r="AF271" s="172">
        <v>0.27</v>
      </c>
      <c r="AI271" s="172"/>
      <c r="AJ271" s="172"/>
      <c r="AM271" s="172"/>
      <c r="AN271" s="172"/>
      <c r="AQ271" s="172"/>
      <c r="AR271" s="172"/>
      <c r="AU271" s="172"/>
      <c r="AV271" s="172"/>
      <c r="AY271" s="172"/>
      <c r="AZ271" s="172"/>
      <c r="BC271" s="172"/>
      <c r="BD271" s="172"/>
      <c r="BH271" s="172">
        <v>3</v>
      </c>
    </row>
    <row r="272" spans="1:60" ht="14.5">
      <c r="A272" s="172">
        <v>2220027</v>
      </c>
      <c r="B272" s="172">
        <v>269</v>
      </c>
      <c r="C272" s="172">
        <v>222</v>
      </c>
      <c r="D272" s="172" t="s">
        <v>442</v>
      </c>
      <c r="E272" s="172">
        <v>27</v>
      </c>
      <c r="F272" s="172" t="s">
        <v>1438</v>
      </c>
      <c r="H272" s="173"/>
      <c r="I272" s="172">
        <v>3</v>
      </c>
      <c r="J272" s="177">
        <v>1140480</v>
      </c>
      <c r="K272" s="177">
        <v>13000000</v>
      </c>
      <c r="L272" s="177">
        <v>13000000</v>
      </c>
      <c r="M272" s="177">
        <v>13000000</v>
      </c>
      <c r="N272" s="177">
        <v>27000000</v>
      </c>
      <c r="O272" s="172"/>
      <c r="P272" s="172"/>
      <c r="Q272" s="172" t="s">
        <v>1318</v>
      </c>
      <c r="R272" s="172" t="s">
        <v>1352</v>
      </c>
      <c r="S272" s="172">
        <v>1</v>
      </c>
      <c r="T272" s="172">
        <v>0</v>
      </c>
      <c r="U272" s="172">
        <v>0</v>
      </c>
      <c r="V272" s="172"/>
      <c r="W272" s="172"/>
      <c r="Z272" s="172">
        <v>599743</v>
      </c>
      <c r="AA272" s="172">
        <v>3102</v>
      </c>
      <c r="AB272" s="172">
        <v>170000</v>
      </c>
      <c r="AE272" s="172">
        <v>3100</v>
      </c>
      <c r="AF272" s="172">
        <v>0.28999999999999998</v>
      </c>
      <c r="AI272" s="172"/>
      <c r="AJ272" s="172"/>
      <c r="AM272" s="172"/>
      <c r="AN272" s="172"/>
      <c r="AQ272" s="172"/>
      <c r="AR272" s="172"/>
      <c r="AU272" s="172"/>
      <c r="AV272" s="172"/>
      <c r="AY272" s="172"/>
      <c r="AZ272" s="172"/>
      <c r="BC272" s="172"/>
      <c r="BD272" s="172"/>
      <c r="BH272" s="172">
        <v>3</v>
      </c>
    </row>
    <row r="273" spans="1:65" ht="14.5">
      <c r="A273" s="172">
        <v>2220028</v>
      </c>
      <c r="B273" s="172">
        <v>270</v>
      </c>
      <c r="C273" s="172">
        <v>222</v>
      </c>
      <c r="D273" s="172" t="s">
        <v>442</v>
      </c>
      <c r="E273" s="172">
        <v>28</v>
      </c>
      <c r="F273" s="172" t="s">
        <v>1439</v>
      </c>
      <c r="H273" s="173"/>
      <c r="I273" s="172">
        <v>3</v>
      </c>
      <c r="J273" s="177">
        <v>1399680</v>
      </c>
      <c r="K273" s="177">
        <v>17000000</v>
      </c>
      <c r="L273" s="177">
        <v>17000000</v>
      </c>
      <c r="M273" s="177">
        <v>17000000</v>
      </c>
      <c r="N273" s="177">
        <v>34000000</v>
      </c>
      <c r="O273" s="172"/>
      <c r="P273" s="172"/>
      <c r="Q273" s="172" t="s">
        <v>1318</v>
      </c>
      <c r="R273" s="172" t="s">
        <v>1354</v>
      </c>
      <c r="S273" s="172">
        <v>1</v>
      </c>
      <c r="T273" s="172">
        <v>0</v>
      </c>
      <c r="U273" s="172">
        <v>0</v>
      </c>
      <c r="V273" s="172"/>
      <c r="W273" s="172"/>
      <c r="Z273" s="172">
        <v>769480</v>
      </c>
      <c r="AA273" s="172">
        <v>3102</v>
      </c>
      <c r="AB273" s="172">
        <v>180000</v>
      </c>
      <c r="AE273" s="172">
        <v>3100</v>
      </c>
      <c r="AF273" s="172">
        <v>0.31</v>
      </c>
      <c r="AI273" s="172"/>
      <c r="AJ273" s="172"/>
      <c r="AM273" s="172"/>
      <c r="AN273" s="172"/>
      <c r="AQ273" s="172"/>
      <c r="AR273" s="172"/>
      <c r="AU273" s="172"/>
      <c r="AV273" s="172"/>
      <c r="AY273" s="172"/>
      <c r="AZ273" s="172"/>
      <c r="BC273" s="172"/>
      <c r="BD273" s="172"/>
      <c r="BH273" s="172">
        <v>3</v>
      </c>
    </row>
    <row r="274" spans="1:65" ht="14.5">
      <c r="A274" s="172">
        <v>2220029</v>
      </c>
      <c r="B274" s="172">
        <v>271</v>
      </c>
      <c r="C274" s="172">
        <v>222</v>
      </c>
      <c r="D274" s="172" t="s">
        <v>442</v>
      </c>
      <c r="E274" s="172">
        <v>29</v>
      </c>
      <c r="F274" s="172" t="s">
        <v>1440</v>
      </c>
      <c r="H274" s="173"/>
      <c r="I274" s="172">
        <v>3</v>
      </c>
      <c r="J274" s="177">
        <v>1710720</v>
      </c>
      <c r="K274" s="177">
        <v>22000000</v>
      </c>
      <c r="L274" s="177">
        <v>22000000</v>
      </c>
      <c r="M274" s="177">
        <v>22000000</v>
      </c>
      <c r="N274" s="177">
        <v>43000000</v>
      </c>
      <c r="O274" s="172"/>
      <c r="P274" s="172"/>
      <c r="Q274" s="172" t="s">
        <v>1318</v>
      </c>
      <c r="R274" s="172" t="s">
        <v>1356</v>
      </c>
      <c r="S274" s="172">
        <v>1</v>
      </c>
      <c r="T274" s="172">
        <v>0</v>
      </c>
      <c r="U274" s="172">
        <v>0</v>
      </c>
      <c r="V274" s="172"/>
      <c r="W274" s="172"/>
      <c r="Z274" s="172">
        <v>986744</v>
      </c>
      <c r="AA274" s="172">
        <v>3102</v>
      </c>
      <c r="AB274" s="172">
        <v>190000</v>
      </c>
      <c r="AE274" s="172">
        <v>3100</v>
      </c>
      <c r="AF274" s="172">
        <v>0.33</v>
      </c>
      <c r="AI274" s="172"/>
      <c r="AJ274" s="172"/>
      <c r="AM274" s="172"/>
      <c r="AN274" s="172"/>
      <c r="AQ274" s="172"/>
      <c r="AR274" s="172"/>
      <c r="AU274" s="172"/>
      <c r="AV274" s="172"/>
      <c r="AY274" s="172"/>
      <c r="AZ274" s="172"/>
      <c r="BC274" s="172"/>
      <c r="BD274" s="172"/>
      <c r="BH274" s="172">
        <v>3</v>
      </c>
    </row>
    <row r="275" spans="1:65" ht="14.5">
      <c r="A275" s="172">
        <v>2220030</v>
      </c>
      <c r="B275" s="172">
        <v>272</v>
      </c>
      <c r="C275" s="172">
        <v>222</v>
      </c>
      <c r="D275" s="172" t="s">
        <v>442</v>
      </c>
      <c r="E275" s="172">
        <v>30</v>
      </c>
      <c r="F275" s="172" t="s">
        <v>1441</v>
      </c>
      <c r="H275" s="173"/>
      <c r="I275" s="172">
        <v>3</v>
      </c>
      <c r="J275" s="177">
        <v>2073600</v>
      </c>
      <c r="K275" s="177">
        <v>28000000</v>
      </c>
      <c r="L275" s="177">
        <v>28000000</v>
      </c>
      <c r="M275" s="177">
        <v>28000000</v>
      </c>
      <c r="N275" s="177">
        <v>56000000</v>
      </c>
      <c r="O275" s="172"/>
      <c r="P275" s="172"/>
      <c r="Q275" s="172" t="s">
        <v>1318</v>
      </c>
      <c r="R275" s="172" t="s">
        <v>1358</v>
      </c>
      <c r="S275" s="172">
        <v>1</v>
      </c>
      <c r="T275" s="172">
        <v>0</v>
      </c>
      <c r="U275" s="172">
        <v>0</v>
      </c>
      <c r="V275" s="172"/>
      <c r="W275" s="172"/>
      <c r="Z275" s="172">
        <v>1264841</v>
      </c>
      <c r="AA275" s="172">
        <v>3102</v>
      </c>
      <c r="AB275" s="172">
        <v>200000</v>
      </c>
      <c r="AE275" s="172">
        <v>3100</v>
      </c>
      <c r="AF275" s="172">
        <v>0.35</v>
      </c>
      <c r="AI275" s="172"/>
      <c r="AJ275" s="172"/>
      <c r="AM275" s="172"/>
      <c r="AN275" s="172"/>
      <c r="AQ275" s="172"/>
      <c r="AR275" s="172"/>
      <c r="AU275" s="172"/>
      <c r="AV275" s="172"/>
      <c r="AY275" s="172"/>
      <c r="AZ275" s="172"/>
      <c r="BC275" s="172"/>
      <c r="BD275" s="172"/>
      <c r="BH275" s="172">
        <v>3</v>
      </c>
    </row>
    <row r="276" spans="1:65" ht="14.5">
      <c r="A276" s="172">
        <v>2240001</v>
      </c>
      <c r="B276" s="172">
        <v>273</v>
      </c>
      <c r="C276" s="172">
        <v>224</v>
      </c>
      <c r="D276" s="172" t="s">
        <v>369</v>
      </c>
      <c r="E276" s="172">
        <v>1</v>
      </c>
      <c r="F276" s="172" t="s">
        <v>370</v>
      </c>
      <c r="H276" s="173"/>
      <c r="I276" s="172" t="s">
        <v>1205</v>
      </c>
      <c r="J276" s="177">
        <v>25</v>
      </c>
      <c r="K276" s="177">
        <v>750</v>
      </c>
      <c r="L276" s="177">
        <v>750</v>
      </c>
      <c r="M276" s="177">
        <v>0</v>
      </c>
      <c r="N276" s="177">
        <v>0</v>
      </c>
      <c r="O276" s="172"/>
      <c r="P276" s="172"/>
      <c r="Q276" s="172" t="s">
        <v>1318</v>
      </c>
      <c r="R276" s="172" t="s">
        <v>1322</v>
      </c>
      <c r="S276" s="172">
        <v>2</v>
      </c>
      <c r="T276" s="172">
        <v>0</v>
      </c>
      <c r="U276" s="172">
        <v>0</v>
      </c>
      <c r="V276" s="172" t="s">
        <v>158</v>
      </c>
      <c r="W276" s="172" t="s">
        <v>1442</v>
      </c>
      <c r="Z276" s="172">
        <v>3</v>
      </c>
      <c r="AA276" s="172">
        <v>3000</v>
      </c>
      <c r="AB276" s="172">
        <v>2E-3</v>
      </c>
      <c r="AE276" s="172">
        <v>3015</v>
      </c>
      <c r="AF276" s="172">
        <v>20</v>
      </c>
      <c r="AI276" s="172"/>
      <c r="AJ276" s="172"/>
      <c r="AM276" s="172"/>
      <c r="AN276" s="172"/>
      <c r="AQ276" s="172"/>
      <c r="AR276" s="172"/>
      <c r="AU276" s="172"/>
      <c r="AV276" s="172"/>
      <c r="AY276" s="172"/>
      <c r="AZ276" s="172"/>
      <c r="BC276" s="172"/>
      <c r="BD276" s="172"/>
      <c r="BH276" s="172">
        <v>10</v>
      </c>
      <c r="BM276" s="172">
        <v>3</v>
      </c>
    </row>
    <row r="277" spans="1:65" ht="14.5">
      <c r="A277" s="172">
        <v>2240002</v>
      </c>
      <c r="B277" s="172">
        <v>274</v>
      </c>
      <c r="C277" s="172">
        <v>224</v>
      </c>
      <c r="D277" s="172" t="s">
        <v>369</v>
      </c>
      <c r="E277" s="172">
        <v>2</v>
      </c>
      <c r="F277" s="172" t="s">
        <v>373</v>
      </c>
      <c r="H277" s="173"/>
      <c r="I277" s="172" t="s">
        <v>1205</v>
      </c>
      <c r="J277" s="177">
        <v>54</v>
      </c>
      <c r="K277" s="177">
        <v>1500</v>
      </c>
      <c r="L277" s="177">
        <v>1500</v>
      </c>
      <c r="M277" s="177">
        <v>0</v>
      </c>
      <c r="N277" s="177">
        <v>0</v>
      </c>
      <c r="O277" s="172"/>
      <c r="P277" s="172"/>
      <c r="Q277" s="172" t="s">
        <v>1318</v>
      </c>
      <c r="R277" s="172" t="s">
        <v>1322</v>
      </c>
      <c r="S277" s="172">
        <v>2</v>
      </c>
      <c r="T277" s="172">
        <v>0</v>
      </c>
      <c r="U277" s="172">
        <v>0</v>
      </c>
      <c r="V277" s="172"/>
      <c r="W277" s="172"/>
      <c r="Z277" s="172">
        <v>9</v>
      </c>
      <c r="AA277" s="172">
        <v>3000</v>
      </c>
      <c r="AB277" s="172">
        <v>5.0000000000000001E-3</v>
      </c>
      <c r="AE277" s="172">
        <v>3015</v>
      </c>
      <c r="AF277" s="172">
        <v>50</v>
      </c>
      <c r="AI277" s="172"/>
      <c r="AJ277" s="172"/>
      <c r="AM277" s="172"/>
      <c r="AN277" s="172"/>
      <c r="AQ277" s="172"/>
      <c r="AR277" s="172"/>
      <c r="AU277" s="172"/>
      <c r="AV277" s="172"/>
      <c r="AY277" s="172"/>
      <c r="AZ277" s="172"/>
      <c r="BC277" s="172"/>
      <c r="BD277" s="172"/>
      <c r="BH277" s="172">
        <v>10</v>
      </c>
    </row>
    <row r="278" spans="1:65" ht="14.5">
      <c r="A278" s="172">
        <v>2240003</v>
      </c>
      <c r="B278" s="172">
        <v>275</v>
      </c>
      <c r="C278" s="172">
        <v>224</v>
      </c>
      <c r="D278" s="172" t="s">
        <v>369</v>
      </c>
      <c r="E278" s="172">
        <v>3</v>
      </c>
      <c r="F278" s="172" t="s">
        <v>374</v>
      </c>
      <c r="H278" s="173"/>
      <c r="I278" s="172" t="s">
        <v>1205</v>
      </c>
      <c r="J278" s="177">
        <v>108</v>
      </c>
      <c r="K278" s="177">
        <v>3000</v>
      </c>
      <c r="L278" s="177">
        <v>3000</v>
      </c>
      <c r="M278" s="177">
        <v>0</v>
      </c>
      <c r="N278" s="177">
        <v>0</v>
      </c>
      <c r="O278" s="172"/>
      <c r="P278" s="172"/>
      <c r="Q278" s="172" t="s">
        <v>1318</v>
      </c>
      <c r="R278" s="172" t="s">
        <v>1322</v>
      </c>
      <c r="S278" s="172">
        <v>2</v>
      </c>
      <c r="T278" s="172">
        <v>0</v>
      </c>
      <c r="U278" s="172">
        <v>0</v>
      </c>
      <c r="V278" s="172"/>
      <c r="W278" s="172"/>
      <c r="Z278" s="172">
        <v>21</v>
      </c>
      <c r="AA278" s="172">
        <v>3000</v>
      </c>
      <c r="AB278" s="172">
        <v>0.01</v>
      </c>
      <c r="AE278" s="172">
        <v>3015</v>
      </c>
      <c r="AF278" s="172">
        <v>100</v>
      </c>
      <c r="AI278" s="172"/>
      <c r="AJ278" s="172"/>
      <c r="AM278" s="172"/>
      <c r="AN278" s="172"/>
      <c r="AQ278" s="172"/>
      <c r="AR278" s="172"/>
      <c r="AU278" s="172"/>
      <c r="AV278" s="172"/>
      <c r="AY278" s="172"/>
      <c r="AZ278" s="172"/>
      <c r="BC278" s="172"/>
      <c r="BD278" s="172"/>
      <c r="BH278" s="172">
        <v>10</v>
      </c>
    </row>
    <row r="279" spans="1:65" ht="14.5">
      <c r="A279" s="172">
        <v>2240004</v>
      </c>
      <c r="B279" s="172">
        <v>276</v>
      </c>
      <c r="C279" s="172">
        <v>224</v>
      </c>
      <c r="D279" s="172" t="s">
        <v>369</v>
      </c>
      <c r="E279" s="172">
        <v>4</v>
      </c>
      <c r="F279" s="172" t="s">
        <v>375</v>
      </c>
      <c r="H279" s="173"/>
      <c r="I279" s="172" t="s">
        <v>1205</v>
      </c>
      <c r="J279" s="177">
        <v>216</v>
      </c>
      <c r="K279" s="177">
        <v>6000</v>
      </c>
      <c r="L279" s="177">
        <v>6000</v>
      </c>
      <c r="M279" s="177">
        <v>0</v>
      </c>
      <c r="N279" s="177">
        <v>0</v>
      </c>
      <c r="O279" s="172"/>
      <c r="P279" s="172"/>
      <c r="Q279" s="172" t="s">
        <v>1318</v>
      </c>
      <c r="R279" s="172" t="s">
        <v>1322</v>
      </c>
      <c r="S279" s="172">
        <v>2</v>
      </c>
      <c r="T279" s="172">
        <v>0</v>
      </c>
      <c r="U279" s="172">
        <v>0</v>
      </c>
      <c r="V279" s="172"/>
      <c r="W279" s="172"/>
      <c r="Z279" s="172">
        <v>45</v>
      </c>
      <c r="AA279" s="172">
        <v>3000</v>
      </c>
      <c r="AB279" s="172">
        <v>1.4999999999999999E-2</v>
      </c>
      <c r="AE279" s="172">
        <v>3015</v>
      </c>
      <c r="AF279" s="172">
        <v>150</v>
      </c>
      <c r="AI279" s="172"/>
      <c r="AJ279" s="172"/>
      <c r="AM279" s="172"/>
      <c r="AN279" s="172"/>
      <c r="AQ279" s="172"/>
      <c r="AR279" s="172"/>
      <c r="AU279" s="172"/>
      <c r="AV279" s="172"/>
      <c r="AY279" s="172"/>
      <c r="AZ279" s="172"/>
      <c r="BC279" s="172"/>
      <c r="BD279" s="172"/>
      <c r="BH279" s="172">
        <v>10</v>
      </c>
    </row>
    <row r="280" spans="1:65" ht="14.5">
      <c r="A280" s="172">
        <v>2240005</v>
      </c>
      <c r="B280" s="172">
        <v>277</v>
      </c>
      <c r="C280" s="172">
        <v>224</v>
      </c>
      <c r="D280" s="172" t="s">
        <v>369</v>
      </c>
      <c r="E280" s="172">
        <v>5</v>
      </c>
      <c r="F280" s="172" t="s">
        <v>376</v>
      </c>
      <c r="H280" s="173"/>
      <c r="I280" s="172">
        <v>1</v>
      </c>
      <c r="J280" s="177">
        <v>450</v>
      </c>
      <c r="K280" s="177">
        <v>7700</v>
      </c>
      <c r="L280" s="177">
        <v>7700</v>
      </c>
      <c r="M280" s="177">
        <v>7700</v>
      </c>
      <c r="N280" s="177">
        <v>0</v>
      </c>
      <c r="O280" s="172"/>
      <c r="P280" s="172"/>
      <c r="Q280" s="172" t="s">
        <v>1318</v>
      </c>
      <c r="R280" s="172" t="s">
        <v>1323</v>
      </c>
      <c r="S280" s="172">
        <v>2</v>
      </c>
      <c r="T280" s="172">
        <v>0</v>
      </c>
      <c r="U280" s="172">
        <v>0</v>
      </c>
      <c r="V280" s="172"/>
      <c r="W280" s="172"/>
      <c r="Z280" s="172">
        <v>91</v>
      </c>
      <c r="AA280" s="172">
        <v>3000</v>
      </c>
      <c r="AB280" s="172">
        <v>0.02</v>
      </c>
      <c r="AE280" s="172">
        <v>3015</v>
      </c>
      <c r="AF280" s="172">
        <v>200</v>
      </c>
      <c r="AI280" s="172"/>
      <c r="AJ280" s="172"/>
      <c r="AM280" s="172"/>
      <c r="AN280" s="172"/>
      <c r="AQ280" s="172"/>
      <c r="AR280" s="172"/>
      <c r="AU280" s="172"/>
      <c r="AV280" s="172"/>
      <c r="AY280" s="172"/>
      <c r="AZ280" s="172"/>
      <c r="BC280" s="172"/>
      <c r="BD280" s="172"/>
      <c r="BH280" s="172">
        <v>10</v>
      </c>
      <c r="BI280" s="172">
        <v>299</v>
      </c>
    </row>
    <row r="281" spans="1:65" ht="14.5">
      <c r="A281" s="172">
        <v>2240006</v>
      </c>
      <c r="B281" s="172">
        <v>278</v>
      </c>
      <c r="C281" s="172">
        <v>224</v>
      </c>
      <c r="D281" s="172" t="s">
        <v>369</v>
      </c>
      <c r="E281" s="172">
        <v>6</v>
      </c>
      <c r="F281" s="172" t="s">
        <v>377</v>
      </c>
      <c r="H281" s="173"/>
      <c r="I281" s="172">
        <v>1</v>
      </c>
      <c r="J281" s="177">
        <v>810</v>
      </c>
      <c r="K281" s="177">
        <v>14000</v>
      </c>
      <c r="L281" s="177">
        <v>14000</v>
      </c>
      <c r="M281" s="177">
        <v>14000</v>
      </c>
      <c r="N281" s="177">
        <v>0</v>
      </c>
      <c r="O281" s="172"/>
      <c r="P281" s="172"/>
      <c r="Q281" s="172" t="s">
        <v>1318</v>
      </c>
      <c r="R281" s="172" t="s">
        <v>1324</v>
      </c>
      <c r="S281" s="172">
        <v>2</v>
      </c>
      <c r="T281" s="172">
        <v>0</v>
      </c>
      <c r="U281" s="172">
        <v>0</v>
      </c>
      <c r="V281" s="172"/>
      <c r="W281" s="172"/>
      <c r="Z281" s="172">
        <v>177</v>
      </c>
      <c r="AA281" s="172">
        <v>3000</v>
      </c>
      <c r="AB281" s="172">
        <v>2.5000000000000001E-2</v>
      </c>
      <c r="AE281" s="172">
        <v>3015</v>
      </c>
      <c r="AF281" s="172">
        <v>250</v>
      </c>
      <c r="AI281" s="172"/>
      <c r="AJ281" s="172"/>
      <c r="AM281" s="172"/>
      <c r="AN281" s="172"/>
      <c r="AQ281" s="172"/>
      <c r="AR281" s="172"/>
      <c r="AU281" s="172"/>
      <c r="AV281" s="172"/>
      <c r="AY281" s="172"/>
      <c r="AZ281" s="172"/>
      <c r="BC281" s="172"/>
      <c r="BD281" s="172"/>
      <c r="BH281" s="172">
        <v>10</v>
      </c>
      <c r="BI281" s="172">
        <v>299</v>
      </c>
    </row>
    <row r="282" spans="1:65" ht="14.5">
      <c r="A282" s="172">
        <v>2240007</v>
      </c>
      <c r="B282" s="172">
        <v>279</v>
      </c>
      <c r="C282" s="172">
        <v>224</v>
      </c>
      <c r="D282" s="172" t="s">
        <v>369</v>
      </c>
      <c r="E282" s="172">
        <v>7</v>
      </c>
      <c r="F282" s="172" t="s">
        <v>378</v>
      </c>
      <c r="H282" s="173"/>
      <c r="I282" s="172">
        <v>1</v>
      </c>
      <c r="J282" s="177">
        <v>1350</v>
      </c>
      <c r="K282" s="177">
        <v>26000</v>
      </c>
      <c r="L282" s="177">
        <v>26000</v>
      </c>
      <c r="M282" s="177">
        <v>26000</v>
      </c>
      <c r="N282" s="177">
        <v>0</v>
      </c>
      <c r="O282" s="172"/>
      <c r="P282" s="172"/>
      <c r="Q282" s="172" t="s">
        <v>1318</v>
      </c>
      <c r="R282" s="172" t="s">
        <v>1325</v>
      </c>
      <c r="S282" s="172">
        <v>2</v>
      </c>
      <c r="T282" s="172">
        <v>0</v>
      </c>
      <c r="U282" s="172">
        <v>0</v>
      </c>
      <c r="V282" s="172"/>
      <c r="W282" s="172"/>
      <c r="Z282" s="172">
        <v>331</v>
      </c>
      <c r="AA282" s="172">
        <v>3000</v>
      </c>
      <c r="AB282" s="172">
        <v>0.03</v>
      </c>
      <c r="AE282" s="172">
        <v>3015</v>
      </c>
      <c r="AF282" s="172">
        <v>300</v>
      </c>
      <c r="AI282" s="172"/>
      <c r="AJ282" s="172"/>
      <c r="AM282" s="172"/>
      <c r="AN282" s="172"/>
      <c r="AQ282" s="172"/>
      <c r="AR282" s="172"/>
      <c r="AU282" s="172"/>
      <c r="AV282" s="172"/>
      <c r="AY282" s="172"/>
      <c r="AZ282" s="172"/>
      <c r="BC282" s="172"/>
      <c r="BD282" s="172"/>
      <c r="BH282" s="172">
        <v>10</v>
      </c>
      <c r="BI282" s="172">
        <v>299</v>
      </c>
    </row>
    <row r="283" spans="1:65" ht="14.5">
      <c r="A283" s="172">
        <v>2240008</v>
      </c>
      <c r="B283" s="172">
        <v>280</v>
      </c>
      <c r="C283" s="172">
        <v>224</v>
      </c>
      <c r="D283" s="172" t="s">
        <v>369</v>
      </c>
      <c r="E283" s="172">
        <v>8</v>
      </c>
      <c r="F283" s="172" t="s">
        <v>379</v>
      </c>
      <c r="H283" s="173"/>
      <c r="I283" s="172">
        <v>1</v>
      </c>
      <c r="J283" s="177">
        <v>2160</v>
      </c>
      <c r="K283" s="177">
        <v>44000</v>
      </c>
      <c r="L283" s="177">
        <v>44000</v>
      </c>
      <c r="M283" s="177">
        <v>44000</v>
      </c>
      <c r="N283" s="177">
        <v>0</v>
      </c>
      <c r="O283" s="172"/>
      <c r="P283" s="172"/>
      <c r="Q283" s="172" t="s">
        <v>1318</v>
      </c>
      <c r="R283" s="172" t="s">
        <v>1326</v>
      </c>
      <c r="S283" s="172">
        <v>2</v>
      </c>
      <c r="T283" s="172">
        <v>0</v>
      </c>
      <c r="U283" s="172">
        <v>0</v>
      </c>
      <c r="V283" s="172"/>
      <c r="W283" s="172"/>
      <c r="Z283" s="172">
        <v>596</v>
      </c>
      <c r="AA283" s="172">
        <v>3000</v>
      </c>
      <c r="AB283" s="172">
        <v>3.5000000000000003E-2</v>
      </c>
      <c r="AE283" s="172">
        <v>3015</v>
      </c>
      <c r="AF283" s="172">
        <v>350</v>
      </c>
      <c r="AI283" s="172"/>
      <c r="AJ283" s="172"/>
      <c r="AM283" s="172"/>
      <c r="AN283" s="172"/>
      <c r="AQ283" s="172"/>
      <c r="AR283" s="172"/>
      <c r="AU283" s="172"/>
      <c r="AV283" s="172"/>
      <c r="AY283" s="172"/>
      <c r="AZ283" s="172"/>
      <c r="BC283" s="172"/>
      <c r="BD283" s="172"/>
      <c r="BH283" s="172">
        <v>10</v>
      </c>
      <c r="BI283" s="172">
        <v>299</v>
      </c>
    </row>
    <row r="284" spans="1:65" ht="14.5">
      <c r="A284" s="172">
        <v>2240009</v>
      </c>
      <c r="B284" s="172">
        <v>281</v>
      </c>
      <c r="C284" s="172">
        <v>224</v>
      </c>
      <c r="D284" s="172" t="s">
        <v>369</v>
      </c>
      <c r="E284" s="172">
        <v>9</v>
      </c>
      <c r="F284" s="172" t="s">
        <v>380</v>
      </c>
      <c r="H284" s="173"/>
      <c r="I284" s="172">
        <v>1</v>
      </c>
      <c r="J284" s="177">
        <v>4320</v>
      </c>
      <c r="K284" s="177">
        <v>73000</v>
      </c>
      <c r="L284" s="177">
        <v>73000</v>
      </c>
      <c r="M284" s="177">
        <v>73000</v>
      </c>
      <c r="N284" s="177">
        <v>0</v>
      </c>
      <c r="O284" s="172"/>
      <c r="P284" s="172"/>
      <c r="Q284" s="172" t="s">
        <v>1318</v>
      </c>
      <c r="R284" s="172" t="s">
        <v>1327</v>
      </c>
      <c r="S284" s="172">
        <v>2</v>
      </c>
      <c r="T284" s="172">
        <v>0</v>
      </c>
      <c r="U284" s="172">
        <v>0</v>
      </c>
      <c r="V284" s="172"/>
      <c r="W284" s="172"/>
      <c r="Z284" s="172">
        <v>1034</v>
      </c>
      <c r="AA284" s="172">
        <v>3000</v>
      </c>
      <c r="AB284" s="172">
        <v>0.04</v>
      </c>
      <c r="AE284" s="172">
        <v>3015</v>
      </c>
      <c r="AF284" s="172">
        <v>400</v>
      </c>
      <c r="AI284" s="172"/>
      <c r="AJ284" s="172"/>
      <c r="AM284" s="172"/>
      <c r="AN284" s="172"/>
      <c r="AQ284" s="172"/>
      <c r="AR284" s="172"/>
      <c r="AU284" s="172"/>
      <c r="AV284" s="172"/>
      <c r="AY284" s="172"/>
      <c r="AZ284" s="172"/>
      <c r="BC284" s="172"/>
      <c r="BD284" s="172"/>
      <c r="BH284" s="172">
        <v>10</v>
      </c>
      <c r="BI284" s="172">
        <v>299</v>
      </c>
    </row>
    <row r="285" spans="1:65" ht="14.5">
      <c r="A285" s="172">
        <v>2240010</v>
      </c>
      <c r="B285" s="172">
        <v>282</v>
      </c>
      <c r="C285" s="172">
        <v>224</v>
      </c>
      <c r="D285" s="172" t="s">
        <v>369</v>
      </c>
      <c r="E285" s="172">
        <v>10</v>
      </c>
      <c r="F285" s="172" t="s">
        <v>381</v>
      </c>
      <c r="H285" s="173"/>
      <c r="I285" s="172">
        <v>1</v>
      </c>
      <c r="J285" s="177">
        <v>6480</v>
      </c>
      <c r="K285" s="177">
        <v>86000</v>
      </c>
      <c r="L285" s="177">
        <v>86000</v>
      </c>
      <c r="M285" s="177">
        <v>86000</v>
      </c>
      <c r="N285" s="177">
        <v>86000</v>
      </c>
      <c r="O285" s="172"/>
      <c r="P285" s="172"/>
      <c r="Q285" s="172" t="s">
        <v>1318</v>
      </c>
      <c r="R285" s="172" t="s">
        <v>1328</v>
      </c>
      <c r="S285" s="172">
        <v>2</v>
      </c>
      <c r="T285" s="172">
        <v>0</v>
      </c>
      <c r="U285" s="172">
        <v>0</v>
      </c>
      <c r="V285" s="172"/>
      <c r="W285" s="172"/>
      <c r="Z285" s="172">
        <v>1726</v>
      </c>
      <c r="AA285" s="172">
        <v>3000</v>
      </c>
      <c r="AB285" s="172">
        <v>4.4999999999999998E-2</v>
      </c>
      <c r="AE285" s="172">
        <v>3015</v>
      </c>
      <c r="AF285" s="172">
        <v>450</v>
      </c>
      <c r="AI285" s="172"/>
      <c r="AJ285" s="172"/>
      <c r="AM285" s="172"/>
      <c r="AN285" s="172"/>
      <c r="AQ285" s="172"/>
      <c r="AR285" s="172"/>
      <c r="AU285" s="172"/>
      <c r="AV285" s="172"/>
      <c r="AY285" s="172"/>
      <c r="AZ285" s="172"/>
      <c r="BC285" s="172"/>
      <c r="BD285" s="172"/>
      <c r="BH285" s="172">
        <v>10</v>
      </c>
    </row>
    <row r="286" spans="1:65" ht="14.5">
      <c r="A286" s="172">
        <v>2240011</v>
      </c>
      <c r="B286" s="172">
        <v>283</v>
      </c>
      <c r="C286" s="172">
        <v>224</v>
      </c>
      <c r="D286" s="172" t="s">
        <v>369</v>
      </c>
      <c r="E286" s="172">
        <v>11</v>
      </c>
      <c r="F286" s="172" t="s">
        <v>382</v>
      </c>
      <c r="H286" s="173"/>
      <c r="I286" s="172">
        <v>1</v>
      </c>
      <c r="J286" s="177">
        <v>9720</v>
      </c>
      <c r="K286" s="177">
        <v>130000</v>
      </c>
      <c r="L286" s="177">
        <v>130000</v>
      </c>
      <c r="M286" s="177">
        <v>130000</v>
      </c>
      <c r="N286" s="177">
        <v>130000</v>
      </c>
      <c r="O286" s="172"/>
      <c r="P286" s="172"/>
      <c r="Q286" s="172" t="s">
        <v>1443</v>
      </c>
      <c r="R286" s="172" t="s">
        <v>1252</v>
      </c>
      <c r="S286" s="172">
        <v>2</v>
      </c>
      <c r="T286" s="172">
        <v>0</v>
      </c>
      <c r="U286" s="172">
        <v>0</v>
      </c>
      <c r="V286" s="172"/>
      <c r="W286" s="172"/>
      <c r="Z286" s="172">
        <v>2770</v>
      </c>
      <c r="AA286" s="172">
        <v>3000</v>
      </c>
      <c r="AB286" s="172">
        <v>0.05</v>
      </c>
      <c r="AE286" s="172">
        <v>3015</v>
      </c>
      <c r="AF286" s="172">
        <v>500</v>
      </c>
      <c r="AI286" s="172"/>
      <c r="AJ286" s="172"/>
      <c r="AM286" s="172"/>
      <c r="AN286" s="172"/>
      <c r="AQ286" s="172"/>
      <c r="AR286" s="172"/>
      <c r="AU286" s="172"/>
      <c r="AV286" s="172"/>
      <c r="AY286" s="172"/>
      <c r="AZ286" s="172"/>
      <c r="BC286" s="172"/>
      <c r="BD286" s="172"/>
      <c r="BH286" s="172">
        <v>10</v>
      </c>
    </row>
    <row r="287" spans="1:65" ht="14.5">
      <c r="A287" s="172">
        <v>2240012</v>
      </c>
      <c r="B287" s="172">
        <v>284</v>
      </c>
      <c r="C287" s="172">
        <v>224</v>
      </c>
      <c r="D287" s="172" t="s">
        <v>369</v>
      </c>
      <c r="E287" s="172">
        <v>12</v>
      </c>
      <c r="F287" s="172" t="s">
        <v>383</v>
      </c>
      <c r="H287" s="173"/>
      <c r="I287" s="172">
        <v>2</v>
      </c>
      <c r="J287" s="177">
        <v>12960</v>
      </c>
      <c r="K287" s="177">
        <v>190000</v>
      </c>
      <c r="L287" s="177">
        <v>190000</v>
      </c>
      <c r="M287" s="177">
        <v>190000</v>
      </c>
      <c r="N287" s="177">
        <v>190000</v>
      </c>
      <c r="O287" s="172"/>
      <c r="P287" s="172"/>
      <c r="Q287" s="172" t="s">
        <v>1443</v>
      </c>
      <c r="R287" s="172" t="s">
        <v>1258</v>
      </c>
      <c r="S287" s="172">
        <v>2</v>
      </c>
      <c r="T287" s="172">
        <v>0</v>
      </c>
      <c r="U287" s="172">
        <v>0</v>
      </c>
      <c r="V287" s="172"/>
      <c r="W287" s="172"/>
      <c r="Z287" s="172">
        <v>4273</v>
      </c>
      <c r="AA287" s="172">
        <v>3000</v>
      </c>
      <c r="AB287" s="172">
        <v>5.5E-2</v>
      </c>
      <c r="AE287" s="172">
        <v>3015</v>
      </c>
      <c r="AF287" s="172">
        <v>550</v>
      </c>
      <c r="AI287" s="172"/>
      <c r="AJ287" s="172"/>
      <c r="AM287" s="172"/>
      <c r="AN287" s="172"/>
      <c r="AQ287" s="172"/>
      <c r="AR287" s="172"/>
      <c r="AU287" s="172"/>
      <c r="AV287" s="172"/>
      <c r="AY287" s="172"/>
      <c r="AZ287" s="172"/>
      <c r="BC287" s="172"/>
      <c r="BD287" s="172"/>
      <c r="BH287" s="172">
        <v>10</v>
      </c>
    </row>
    <row r="288" spans="1:65" ht="14.5">
      <c r="A288" s="172">
        <v>2240013</v>
      </c>
      <c r="B288" s="172">
        <v>285</v>
      </c>
      <c r="C288" s="172">
        <v>224</v>
      </c>
      <c r="D288" s="172" t="s">
        <v>369</v>
      </c>
      <c r="E288" s="172">
        <v>13</v>
      </c>
      <c r="F288" s="172" t="s">
        <v>384</v>
      </c>
      <c r="H288" s="173"/>
      <c r="I288" s="172">
        <v>2</v>
      </c>
      <c r="J288" s="177">
        <v>17280</v>
      </c>
      <c r="K288" s="177">
        <v>260000</v>
      </c>
      <c r="L288" s="177">
        <v>260000</v>
      </c>
      <c r="M288" s="177">
        <v>260000</v>
      </c>
      <c r="N288" s="177">
        <v>260000</v>
      </c>
      <c r="O288" s="172"/>
      <c r="P288" s="172"/>
      <c r="Q288" s="172" t="s">
        <v>1443</v>
      </c>
      <c r="R288" s="172" t="s">
        <v>1262</v>
      </c>
      <c r="S288" s="172">
        <v>2</v>
      </c>
      <c r="T288" s="172">
        <v>0</v>
      </c>
      <c r="U288" s="172">
        <v>0</v>
      </c>
      <c r="V288" s="172"/>
      <c r="W288" s="172"/>
      <c r="Z288" s="172">
        <v>6333</v>
      </c>
      <c r="AA288" s="172">
        <v>3000</v>
      </c>
      <c r="AB288" s="172">
        <v>0.06</v>
      </c>
      <c r="AE288" s="172">
        <v>3015</v>
      </c>
      <c r="AF288" s="172">
        <v>600</v>
      </c>
      <c r="AI288" s="172"/>
      <c r="AJ288" s="172"/>
      <c r="AM288" s="172"/>
      <c r="AN288" s="172"/>
      <c r="AQ288" s="172"/>
      <c r="AR288" s="172"/>
      <c r="AU288" s="172"/>
      <c r="AV288" s="172"/>
      <c r="AY288" s="172"/>
      <c r="AZ288" s="172"/>
      <c r="BC288" s="172"/>
      <c r="BD288" s="172"/>
      <c r="BH288" s="172">
        <v>10</v>
      </c>
    </row>
    <row r="289" spans="1:60" ht="14.5">
      <c r="A289" s="172">
        <v>2240014</v>
      </c>
      <c r="B289" s="172">
        <v>286</v>
      </c>
      <c r="C289" s="172">
        <v>224</v>
      </c>
      <c r="D289" s="172" t="s">
        <v>369</v>
      </c>
      <c r="E289" s="172">
        <v>14</v>
      </c>
      <c r="F289" s="172" t="s">
        <v>385</v>
      </c>
      <c r="H289" s="173"/>
      <c r="I289" s="172">
        <v>2</v>
      </c>
      <c r="J289" s="177">
        <v>21600</v>
      </c>
      <c r="K289" s="177">
        <v>330000</v>
      </c>
      <c r="L289" s="177">
        <v>330000</v>
      </c>
      <c r="M289" s="177">
        <v>330000</v>
      </c>
      <c r="N289" s="177">
        <v>330000</v>
      </c>
      <c r="O289" s="172"/>
      <c r="P289" s="172"/>
      <c r="Q289" s="172" t="s">
        <v>1443</v>
      </c>
      <c r="R289" s="172" t="s">
        <v>1265</v>
      </c>
      <c r="S289" s="172">
        <v>2</v>
      </c>
      <c r="T289" s="172">
        <v>0</v>
      </c>
      <c r="U289" s="172">
        <v>0</v>
      </c>
      <c r="V289" s="172"/>
      <c r="W289" s="172"/>
      <c r="Z289" s="172">
        <v>9011</v>
      </c>
      <c r="AA289" s="172">
        <v>3000</v>
      </c>
      <c r="AB289" s="172">
        <v>6.5000000000000002E-2</v>
      </c>
      <c r="AE289" s="172">
        <v>3015</v>
      </c>
      <c r="AF289" s="172">
        <v>650</v>
      </c>
      <c r="AI289" s="172"/>
      <c r="AJ289" s="172"/>
      <c r="AM289" s="172"/>
      <c r="AN289" s="172"/>
      <c r="AQ289" s="172"/>
      <c r="AR289" s="172"/>
      <c r="AU289" s="172"/>
      <c r="AV289" s="172"/>
      <c r="AY289" s="172"/>
      <c r="AZ289" s="172"/>
      <c r="BC289" s="172"/>
      <c r="BD289" s="172"/>
      <c r="BH289" s="172">
        <v>10</v>
      </c>
    </row>
    <row r="290" spans="1:60" ht="14.5">
      <c r="A290" s="172">
        <v>2240015</v>
      </c>
      <c r="B290" s="172">
        <v>287</v>
      </c>
      <c r="C290" s="172">
        <v>224</v>
      </c>
      <c r="D290" s="172" t="s">
        <v>369</v>
      </c>
      <c r="E290" s="172">
        <v>15</v>
      </c>
      <c r="F290" s="172" t="s">
        <v>386</v>
      </c>
      <c r="H290" s="173"/>
      <c r="I290" s="172">
        <v>2</v>
      </c>
      <c r="J290" s="177">
        <v>25920</v>
      </c>
      <c r="K290" s="177">
        <v>430000</v>
      </c>
      <c r="L290" s="177">
        <v>430000</v>
      </c>
      <c r="M290" s="177">
        <v>430000</v>
      </c>
      <c r="N290" s="177">
        <v>430000</v>
      </c>
      <c r="O290" s="172"/>
      <c r="P290" s="172"/>
      <c r="Q290" s="172" t="s">
        <v>1443</v>
      </c>
      <c r="R290" s="172" t="s">
        <v>1269</v>
      </c>
      <c r="S290" s="172">
        <v>2</v>
      </c>
      <c r="T290" s="172">
        <v>0</v>
      </c>
      <c r="U290" s="172">
        <v>0</v>
      </c>
      <c r="V290" s="172"/>
      <c r="W290" s="172"/>
      <c r="Z290" s="172">
        <v>12439</v>
      </c>
      <c r="AA290" s="172">
        <v>3000</v>
      </c>
      <c r="AB290" s="172">
        <v>7.0000000000000007E-2</v>
      </c>
      <c r="AE290" s="172">
        <v>3015</v>
      </c>
      <c r="AF290" s="172">
        <v>700</v>
      </c>
      <c r="AI290" s="172"/>
      <c r="AJ290" s="172"/>
      <c r="AM290" s="172"/>
      <c r="AN290" s="172"/>
      <c r="AQ290" s="172"/>
      <c r="AR290" s="172"/>
      <c r="AU290" s="172"/>
      <c r="AV290" s="172"/>
      <c r="AY290" s="172"/>
      <c r="AZ290" s="172"/>
      <c r="BC290" s="172"/>
      <c r="BD290" s="172"/>
      <c r="BH290" s="172">
        <v>10</v>
      </c>
    </row>
    <row r="291" spans="1:60" ht="14.5">
      <c r="A291" s="172">
        <v>2240016</v>
      </c>
      <c r="B291" s="172">
        <v>288</v>
      </c>
      <c r="C291" s="172">
        <v>224</v>
      </c>
      <c r="D291" s="172" t="s">
        <v>369</v>
      </c>
      <c r="E291" s="172">
        <v>16</v>
      </c>
      <c r="F291" s="172" t="s">
        <v>387</v>
      </c>
      <c r="H291" s="173"/>
      <c r="I291" s="172">
        <v>2</v>
      </c>
      <c r="J291" s="177">
        <v>32400</v>
      </c>
      <c r="K291" s="177">
        <v>550000</v>
      </c>
      <c r="L291" s="177">
        <v>550000</v>
      </c>
      <c r="M291" s="177">
        <v>550000</v>
      </c>
      <c r="N291" s="177">
        <v>550000</v>
      </c>
      <c r="O291" s="172"/>
      <c r="P291" s="172"/>
      <c r="Q291" s="172" t="s">
        <v>1443</v>
      </c>
      <c r="R291" s="172" t="s">
        <v>1272</v>
      </c>
      <c r="S291" s="172">
        <v>2</v>
      </c>
      <c r="T291" s="172">
        <v>0</v>
      </c>
      <c r="U291" s="172">
        <v>0</v>
      </c>
      <c r="V291" s="172"/>
      <c r="W291" s="172"/>
      <c r="X291" s="172" t="s">
        <v>1395</v>
      </c>
      <c r="Z291" s="172">
        <v>16827</v>
      </c>
      <c r="AA291" s="172">
        <v>3000</v>
      </c>
      <c r="AB291" s="172">
        <v>7.4999999999999997E-2</v>
      </c>
      <c r="AE291" s="172">
        <v>3015</v>
      </c>
      <c r="AF291" s="172">
        <v>750</v>
      </c>
      <c r="AI291" s="172"/>
      <c r="AJ291" s="172"/>
      <c r="AM291" s="172"/>
      <c r="AN291" s="172"/>
      <c r="AQ291" s="172"/>
      <c r="AR291" s="172"/>
      <c r="AU291" s="172"/>
      <c r="AV291" s="172"/>
      <c r="AY291" s="172"/>
      <c r="AZ291" s="172"/>
      <c r="BC291" s="172"/>
      <c r="BD291" s="172"/>
      <c r="BH291" s="172">
        <v>10</v>
      </c>
    </row>
    <row r="292" spans="1:60" ht="14.5">
      <c r="A292" s="172">
        <v>2240017</v>
      </c>
      <c r="B292" s="172">
        <v>289</v>
      </c>
      <c r="C292" s="172">
        <v>224</v>
      </c>
      <c r="D292" s="172" t="s">
        <v>369</v>
      </c>
      <c r="E292" s="172">
        <v>17</v>
      </c>
      <c r="F292" s="172" t="s">
        <v>390</v>
      </c>
      <c r="H292" s="173"/>
      <c r="I292" s="172">
        <v>2</v>
      </c>
      <c r="J292" s="177">
        <v>43200</v>
      </c>
      <c r="K292" s="177">
        <v>700000</v>
      </c>
      <c r="L292" s="177">
        <v>700000</v>
      </c>
      <c r="M292" s="177">
        <v>700000</v>
      </c>
      <c r="N292" s="177">
        <v>700000</v>
      </c>
      <c r="O292" s="172"/>
      <c r="P292" s="172"/>
      <c r="Q292" s="172" t="s">
        <v>1443</v>
      </c>
      <c r="R292" s="172" t="s">
        <v>1278</v>
      </c>
      <c r="S292" s="172">
        <v>2</v>
      </c>
      <c r="T292" s="172">
        <v>0</v>
      </c>
      <c r="U292" s="172">
        <v>0</v>
      </c>
      <c r="V292" s="172"/>
      <c r="W292" s="172"/>
      <c r="X292" s="172" t="s">
        <v>1395</v>
      </c>
      <c r="Z292" s="172">
        <v>22443</v>
      </c>
      <c r="AA292" s="172">
        <v>3000</v>
      </c>
      <c r="AB292" s="172">
        <v>0.08</v>
      </c>
      <c r="AE292" s="172">
        <v>3015</v>
      </c>
      <c r="AF292" s="172">
        <v>800</v>
      </c>
      <c r="AI292" s="172"/>
      <c r="AJ292" s="172"/>
      <c r="AM292" s="172"/>
      <c r="AN292" s="172"/>
      <c r="AQ292" s="172"/>
      <c r="AR292" s="172"/>
      <c r="AU292" s="172"/>
      <c r="AV292" s="172"/>
      <c r="AY292" s="172"/>
      <c r="AZ292" s="172"/>
      <c r="BC292" s="172"/>
      <c r="BD292" s="172"/>
      <c r="BH292" s="172">
        <v>10</v>
      </c>
    </row>
    <row r="293" spans="1:60" ht="14.5">
      <c r="A293" s="172">
        <v>2240018</v>
      </c>
      <c r="B293" s="172">
        <v>290</v>
      </c>
      <c r="C293" s="172">
        <v>224</v>
      </c>
      <c r="D293" s="172" t="s">
        <v>369</v>
      </c>
      <c r="E293" s="172">
        <v>18</v>
      </c>
      <c r="F293" s="172" t="s">
        <v>391</v>
      </c>
      <c r="H293" s="173"/>
      <c r="I293" s="172">
        <v>2</v>
      </c>
      <c r="J293" s="177">
        <v>56160</v>
      </c>
      <c r="K293" s="177">
        <v>900000</v>
      </c>
      <c r="L293" s="177">
        <v>900000</v>
      </c>
      <c r="M293" s="177">
        <v>900000</v>
      </c>
      <c r="N293" s="177">
        <v>900000</v>
      </c>
      <c r="O293" s="172"/>
      <c r="P293" s="172"/>
      <c r="Q293" s="172" t="s">
        <v>1443</v>
      </c>
      <c r="R293" s="172" t="s">
        <v>1281</v>
      </c>
      <c r="S293" s="172">
        <v>2</v>
      </c>
      <c r="T293" s="172">
        <v>0</v>
      </c>
      <c r="U293" s="172">
        <v>0</v>
      </c>
      <c r="V293" s="172"/>
      <c r="W293" s="172"/>
      <c r="X293" s="172" t="s">
        <v>1395</v>
      </c>
      <c r="Z293" s="172">
        <v>29632</v>
      </c>
      <c r="AA293" s="172">
        <v>3000</v>
      </c>
      <c r="AB293" s="172">
        <v>8.5000000000000006E-2</v>
      </c>
      <c r="AE293" s="172">
        <v>3015</v>
      </c>
      <c r="AF293" s="172">
        <v>850</v>
      </c>
      <c r="AI293" s="172"/>
      <c r="AJ293" s="172"/>
      <c r="AM293" s="172"/>
      <c r="AN293" s="172"/>
      <c r="AQ293" s="172"/>
      <c r="AR293" s="172"/>
      <c r="AU293" s="172"/>
      <c r="AV293" s="172"/>
      <c r="AY293" s="172"/>
      <c r="AZ293" s="172"/>
      <c r="BC293" s="172"/>
      <c r="BD293" s="172"/>
      <c r="BH293" s="172">
        <v>10</v>
      </c>
    </row>
    <row r="294" spans="1:60" ht="14.5">
      <c r="A294" s="172">
        <v>2240019</v>
      </c>
      <c r="B294" s="172">
        <v>291</v>
      </c>
      <c r="C294" s="172">
        <v>224</v>
      </c>
      <c r="D294" s="172" t="s">
        <v>369</v>
      </c>
      <c r="E294" s="172">
        <v>19</v>
      </c>
      <c r="F294" s="172" t="s">
        <v>392</v>
      </c>
      <c r="H294" s="173"/>
      <c r="I294" s="172">
        <v>2</v>
      </c>
      <c r="J294" s="177">
        <v>73440</v>
      </c>
      <c r="K294" s="177">
        <v>1200000</v>
      </c>
      <c r="L294" s="177">
        <v>1200000</v>
      </c>
      <c r="M294" s="177">
        <v>1200000</v>
      </c>
      <c r="N294" s="177">
        <v>1200000</v>
      </c>
      <c r="O294" s="172"/>
      <c r="P294" s="172"/>
      <c r="Q294" s="172" t="s">
        <v>1443</v>
      </c>
      <c r="R294" s="172" t="s">
        <v>1283</v>
      </c>
      <c r="S294" s="172">
        <v>2</v>
      </c>
      <c r="T294" s="172">
        <v>0</v>
      </c>
      <c r="U294" s="172">
        <v>0</v>
      </c>
      <c r="V294" s="172"/>
      <c r="W294" s="172"/>
      <c r="X294" s="172" t="s">
        <v>1395</v>
      </c>
      <c r="Z294" s="172">
        <v>38833</v>
      </c>
      <c r="AA294" s="172">
        <v>3000</v>
      </c>
      <c r="AB294" s="172">
        <v>0.09</v>
      </c>
      <c r="AE294" s="172">
        <v>3015</v>
      </c>
      <c r="AF294" s="172">
        <v>900</v>
      </c>
      <c r="AI294" s="172"/>
      <c r="AJ294" s="172"/>
      <c r="AM294" s="172"/>
      <c r="AN294" s="172"/>
      <c r="AQ294" s="172"/>
      <c r="AR294" s="172"/>
      <c r="AU294" s="172"/>
      <c r="AV294" s="172"/>
      <c r="AY294" s="172"/>
      <c r="AZ294" s="172"/>
      <c r="BC294" s="172"/>
      <c r="BD294" s="172"/>
      <c r="BH294" s="172">
        <v>10</v>
      </c>
    </row>
    <row r="295" spans="1:60" ht="14.5">
      <c r="A295" s="172">
        <v>2240020</v>
      </c>
      <c r="B295" s="172">
        <v>292</v>
      </c>
      <c r="C295" s="172">
        <v>224</v>
      </c>
      <c r="D295" s="172" t="s">
        <v>369</v>
      </c>
      <c r="E295" s="172">
        <v>20</v>
      </c>
      <c r="F295" s="172" t="s">
        <v>393</v>
      </c>
      <c r="H295" s="173"/>
      <c r="I295" s="172">
        <v>3</v>
      </c>
      <c r="J295" s="177">
        <v>103680</v>
      </c>
      <c r="K295" s="177">
        <v>1500000</v>
      </c>
      <c r="L295" s="177">
        <v>1500000</v>
      </c>
      <c r="M295" s="177">
        <v>1500000</v>
      </c>
      <c r="N295" s="177">
        <v>1500000</v>
      </c>
      <c r="O295" s="172"/>
      <c r="P295" s="172"/>
      <c r="Q295" s="172" t="s">
        <v>1443</v>
      </c>
      <c r="R295" s="172" t="s">
        <v>1287</v>
      </c>
      <c r="S295" s="172">
        <v>2</v>
      </c>
      <c r="T295" s="172">
        <v>0</v>
      </c>
      <c r="U295" s="172">
        <v>0</v>
      </c>
      <c r="V295" s="172"/>
      <c r="W295" s="172"/>
      <c r="X295" s="172" t="s">
        <v>1395</v>
      </c>
      <c r="Z295" s="172">
        <v>50611</v>
      </c>
      <c r="AA295" s="172">
        <v>3000</v>
      </c>
      <c r="AB295" s="172">
        <v>9.5000000000000001E-2</v>
      </c>
      <c r="AE295" s="172">
        <v>3015</v>
      </c>
      <c r="AF295" s="172">
        <v>950</v>
      </c>
      <c r="AI295" s="172"/>
      <c r="AJ295" s="172"/>
      <c r="AM295" s="172"/>
      <c r="AN295" s="172"/>
      <c r="AQ295" s="172"/>
      <c r="AR295" s="172"/>
      <c r="AU295" s="172"/>
      <c r="AV295" s="172"/>
      <c r="AY295" s="172"/>
      <c r="AZ295" s="172"/>
      <c r="BC295" s="172"/>
      <c r="BD295" s="172"/>
      <c r="BH295" s="172">
        <v>10</v>
      </c>
    </row>
    <row r="296" spans="1:60" ht="14.5">
      <c r="A296" s="172">
        <v>2240021</v>
      </c>
      <c r="B296" s="172">
        <v>293</v>
      </c>
      <c r="C296" s="172">
        <v>224</v>
      </c>
      <c r="D296" s="172" t="s">
        <v>369</v>
      </c>
      <c r="E296" s="172">
        <v>21</v>
      </c>
      <c r="F296" s="172" t="s">
        <v>1444</v>
      </c>
      <c r="H296" s="173"/>
      <c r="I296" s="172">
        <v>3</v>
      </c>
      <c r="J296" s="177">
        <v>138240</v>
      </c>
      <c r="K296" s="177">
        <v>1900000</v>
      </c>
      <c r="L296" s="177">
        <v>1900000</v>
      </c>
      <c r="M296" s="177">
        <v>1900000</v>
      </c>
      <c r="N296" s="177">
        <v>1900000</v>
      </c>
      <c r="O296" s="172"/>
      <c r="P296" s="172"/>
      <c r="Q296" s="172" t="s">
        <v>1443</v>
      </c>
      <c r="R296" s="172" t="s">
        <v>1291</v>
      </c>
      <c r="S296" s="172">
        <v>2</v>
      </c>
      <c r="T296" s="172">
        <v>0</v>
      </c>
      <c r="U296" s="172">
        <v>0</v>
      </c>
      <c r="V296" s="172"/>
      <c r="W296" s="172"/>
      <c r="Z296" s="172">
        <v>65687</v>
      </c>
      <c r="AA296" s="172">
        <v>3000</v>
      </c>
      <c r="AB296" s="172">
        <v>0.1</v>
      </c>
      <c r="AE296" s="172">
        <v>3015</v>
      </c>
      <c r="AF296" s="172">
        <v>1000</v>
      </c>
      <c r="AI296" s="172"/>
      <c r="AJ296" s="172"/>
      <c r="AM296" s="172"/>
      <c r="AN296" s="172"/>
      <c r="AQ296" s="172"/>
      <c r="AR296" s="172"/>
      <c r="AU296" s="172"/>
      <c r="AV296" s="172"/>
      <c r="AY296" s="172"/>
      <c r="AZ296" s="172"/>
      <c r="BC296" s="172"/>
      <c r="BD296" s="172"/>
      <c r="BH296" s="172">
        <v>10</v>
      </c>
    </row>
    <row r="297" spans="1:60" ht="14.5">
      <c r="A297" s="172">
        <v>2240022</v>
      </c>
      <c r="B297" s="172">
        <v>294</v>
      </c>
      <c r="C297" s="172">
        <v>224</v>
      </c>
      <c r="D297" s="172" t="s">
        <v>369</v>
      </c>
      <c r="E297" s="172">
        <v>22</v>
      </c>
      <c r="F297" s="172" t="s">
        <v>1445</v>
      </c>
      <c r="H297" s="173"/>
      <c r="I297" s="172">
        <v>3</v>
      </c>
      <c r="J297" s="177">
        <v>181440</v>
      </c>
      <c r="K297" s="177">
        <v>2400000</v>
      </c>
      <c r="L297" s="177">
        <v>2400000</v>
      </c>
      <c r="M297" s="177">
        <v>2400000</v>
      </c>
      <c r="N297" s="177">
        <v>2400000</v>
      </c>
      <c r="O297" s="172"/>
      <c r="P297" s="172"/>
      <c r="Q297" s="172" t="s">
        <v>1443</v>
      </c>
      <c r="R297" s="172" t="s">
        <v>1295</v>
      </c>
      <c r="S297" s="172">
        <v>2</v>
      </c>
      <c r="T297" s="172">
        <v>0</v>
      </c>
      <c r="U297" s="172">
        <v>0</v>
      </c>
      <c r="V297" s="172"/>
      <c r="W297" s="172"/>
      <c r="Z297" s="172">
        <v>84984</v>
      </c>
      <c r="AA297" s="172">
        <v>3000</v>
      </c>
      <c r="AB297" s="172">
        <v>0.105</v>
      </c>
      <c r="AE297" s="172">
        <v>3015</v>
      </c>
      <c r="AF297" s="172">
        <v>1050</v>
      </c>
      <c r="AI297" s="172"/>
      <c r="AJ297" s="172"/>
      <c r="AM297" s="172"/>
      <c r="AN297" s="172"/>
      <c r="AQ297" s="172"/>
      <c r="AR297" s="172"/>
      <c r="AU297" s="172"/>
      <c r="AV297" s="172"/>
      <c r="AY297" s="172"/>
      <c r="AZ297" s="172"/>
      <c r="BC297" s="172"/>
      <c r="BD297" s="172"/>
      <c r="BH297" s="172">
        <v>10</v>
      </c>
    </row>
    <row r="298" spans="1:60" ht="14.5">
      <c r="A298" s="172">
        <v>2240023</v>
      </c>
      <c r="B298" s="172">
        <v>295</v>
      </c>
      <c r="C298" s="172">
        <v>224</v>
      </c>
      <c r="D298" s="172" t="s">
        <v>369</v>
      </c>
      <c r="E298" s="172">
        <v>23</v>
      </c>
      <c r="F298" s="172" t="s">
        <v>1446</v>
      </c>
      <c r="H298" s="173"/>
      <c r="I298" s="172">
        <v>3</v>
      </c>
      <c r="J298" s="177">
        <v>233280</v>
      </c>
      <c r="K298" s="177">
        <v>3100000</v>
      </c>
      <c r="L298" s="177">
        <v>3100000</v>
      </c>
      <c r="M298" s="177">
        <v>3100000</v>
      </c>
      <c r="N298" s="177">
        <v>3100000</v>
      </c>
      <c r="O298" s="172"/>
      <c r="P298" s="172"/>
      <c r="Q298" s="172" t="s">
        <v>1443</v>
      </c>
      <c r="R298" s="172" t="s">
        <v>1298</v>
      </c>
      <c r="S298" s="172">
        <v>2</v>
      </c>
      <c r="T298" s="172">
        <v>0</v>
      </c>
      <c r="U298" s="172">
        <v>0</v>
      </c>
      <c r="V298" s="172"/>
      <c r="W298" s="172"/>
      <c r="Z298" s="172">
        <v>109684</v>
      </c>
      <c r="AA298" s="172">
        <v>3000</v>
      </c>
      <c r="AB298" s="172">
        <v>0.11</v>
      </c>
      <c r="AE298" s="172">
        <v>3015</v>
      </c>
      <c r="AF298" s="172">
        <v>1100</v>
      </c>
      <c r="AI298" s="172"/>
      <c r="AJ298" s="172"/>
      <c r="AM298" s="172"/>
      <c r="AN298" s="172"/>
      <c r="AQ298" s="172"/>
      <c r="AR298" s="172"/>
      <c r="AU298" s="172"/>
      <c r="AV298" s="172"/>
      <c r="AY298" s="172"/>
      <c r="AZ298" s="172"/>
      <c r="BC298" s="172"/>
      <c r="BD298" s="172"/>
      <c r="BH298" s="172">
        <v>10</v>
      </c>
    </row>
    <row r="299" spans="1:60" ht="14.5">
      <c r="A299" s="172">
        <v>2240024</v>
      </c>
      <c r="B299" s="172">
        <v>296</v>
      </c>
      <c r="C299" s="172">
        <v>224</v>
      </c>
      <c r="D299" s="172" t="s">
        <v>369</v>
      </c>
      <c r="E299" s="172">
        <v>24</v>
      </c>
      <c r="F299" s="172" t="s">
        <v>1447</v>
      </c>
      <c r="H299" s="173"/>
      <c r="I299" s="172">
        <v>3</v>
      </c>
      <c r="J299" s="177">
        <v>298080</v>
      </c>
      <c r="K299" s="177">
        <v>4000000</v>
      </c>
      <c r="L299" s="177">
        <v>4000000</v>
      </c>
      <c r="M299" s="177">
        <v>4000000</v>
      </c>
      <c r="N299" s="177">
        <v>4000000</v>
      </c>
      <c r="O299" s="172"/>
      <c r="P299" s="172"/>
      <c r="Q299" s="172" t="s">
        <v>1443</v>
      </c>
      <c r="R299" s="172" t="s">
        <v>1302</v>
      </c>
      <c r="S299" s="172">
        <v>2</v>
      </c>
      <c r="T299" s="172">
        <v>0</v>
      </c>
      <c r="U299" s="172">
        <v>0</v>
      </c>
      <c r="V299" s="172"/>
      <c r="W299" s="172"/>
      <c r="Z299" s="172">
        <v>141300</v>
      </c>
      <c r="AA299" s="172">
        <v>3000</v>
      </c>
      <c r="AB299" s="172">
        <v>0.115</v>
      </c>
      <c r="AE299" s="172">
        <v>3015</v>
      </c>
      <c r="AF299" s="172">
        <v>1150</v>
      </c>
      <c r="AI299" s="172"/>
      <c r="AJ299" s="172"/>
      <c r="AM299" s="172"/>
      <c r="AN299" s="172"/>
      <c r="AQ299" s="172"/>
      <c r="AR299" s="172"/>
      <c r="AU299" s="172"/>
      <c r="AV299" s="172"/>
      <c r="AY299" s="172"/>
      <c r="AZ299" s="172"/>
      <c r="BC299" s="172"/>
      <c r="BD299" s="172"/>
      <c r="BH299" s="172">
        <v>10</v>
      </c>
    </row>
    <row r="300" spans="1:60" ht="14.5">
      <c r="A300" s="172">
        <v>2240025</v>
      </c>
      <c r="B300" s="172">
        <v>297</v>
      </c>
      <c r="C300" s="172">
        <v>224</v>
      </c>
      <c r="D300" s="172" t="s">
        <v>369</v>
      </c>
      <c r="E300" s="172">
        <v>25</v>
      </c>
      <c r="F300" s="172" t="s">
        <v>1448</v>
      </c>
      <c r="H300" s="173"/>
      <c r="I300" s="172">
        <v>3</v>
      </c>
      <c r="J300" s="177">
        <v>375840</v>
      </c>
      <c r="K300" s="177">
        <v>5100000</v>
      </c>
      <c r="L300" s="177">
        <v>5100000</v>
      </c>
      <c r="M300" s="177">
        <v>5100000</v>
      </c>
      <c r="N300" s="177">
        <v>5100000</v>
      </c>
      <c r="O300" s="172"/>
      <c r="P300" s="172"/>
      <c r="Q300" s="172" t="s">
        <v>1443</v>
      </c>
      <c r="R300" s="172" t="s">
        <v>1305</v>
      </c>
      <c r="S300" s="172">
        <v>2</v>
      </c>
      <c r="T300" s="172">
        <v>0</v>
      </c>
      <c r="U300" s="172">
        <v>0</v>
      </c>
      <c r="V300" s="172"/>
      <c r="W300" s="172"/>
      <c r="Z300" s="172">
        <v>181768</v>
      </c>
      <c r="AA300" s="172">
        <v>3000</v>
      </c>
      <c r="AB300" s="172">
        <v>0.12</v>
      </c>
      <c r="AE300" s="172">
        <v>3015</v>
      </c>
      <c r="AF300" s="172">
        <v>1200</v>
      </c>
      <c r="AI300" s="172"/>
      <c r="AJ300" s="172"/>
      <c r="AM300" s="172"/>
      <c r="AN300" s="172"/>
      <c r="AQ300" s="172"/>
      <c r="AR300" s="172"/>
      <c r="AU300" s="172"/>
      <c r="AV300" s="172"/>
      <c r="AY300" s="172"/>
      <c r="AZ300" s="172"/>
      <c r="BC300" s="172"/>
      <c r="BD300" s="172"/>
      <c r="BH300" s="172">
        <v>10</v>
      </c>
    </row>
    <row r="301" spans="1:60" ht="14.5">
      <c r="A301" s="172">
        <v>2240026</v>
      </c>
      <c r="B301" s="172">
        <v>298</v>
      </c>
      <c r="C301" s="172">
        <v>224</v>
      </c>
      <c r="D301" s="172" t="s">
        <v>369</v>
      </c>
      <c r="E301" s="172">
        <v>26</v>
      </c>
      <c r="F301" s="172" t="s">
        <v>1449</v>
      </c>
      <c r="H301" s="173"/>
      <c r="I301" s="172">
        <v>3</v>
      </c>
      <c r="J301" s="177">
        <v>466560</v>
      </c>
      <c r="K301" s="177">
        <v>6500000</v>
      </c>
      <c r="L301" s="177">
        <v>6500000</v>
      </c>
      <c r="M301" s="177">
        <v>6500000</v>
      </c>
      <c r="N301" s="177">
        <v>6500000</v>
      </c>
      <c r="O301" s="172"/>
      <c r="P301" s="172"/>
      <c r="Q301" s="172" t="s">
        <v>1443</v>
      </c>
      <c r="R301" s="172" t="s">
        <v>1308</v>
      </c>
      <c r="S301" s="172">
        <v>2</v>
      </c>
      <c r="T301" s="172">
        <v>0</v>
      </c>
      <c r="U301" s="172">
        <v>0</v>
      </c>
      <c r="V301" s="172"/>
      <c r="W301" s="172"/>
      <c r="X301" s="172" t="s">
        <v>1395</v>
      </c>
      <c r="Z301" s="172">
        <v>233568</v>
      </c>
      <c r="AA301" s="172">
        <v>3000</v>
      </c>
      <c r="AB301" s="172">
        <v>0.13</v>
      </c>
      <c r="AE301" s="172">
        <v>3015</v>
      </c>
      <c r="AF301" s="172">
        <v>1300</v>
      </c>
      <c r="AI301" s="172"/>
      <c r="AJ301" s="172"/>
      <c r="AM301" s="172"/>
      <c r="AN301" s="172"/>
      <c r="AQ301" s="172"/>
      <c r="AR301" s="172"/>
      <c r="AU301" s="172"/>
      <c r="AV301" s="172"/>
      <c r="AY301" s="172"/>
      <c r="AZ301" s="172"/>
      <c r="BC301" s="172"/>
      <c r="BD301" s="172"/>
      <c r="BH301" s="172">
        <v>10</v>
      </c>
    </row>
    <row r="302" spans="1:60" ht="14.5">
      <c r="A302" s="172">
        <v>2240027</v>
      </c>
      <c r="B302" s="172">
        <v>299</v>
      </c>
      <c r="C302" s="172">
        <v>224</v>
      </c>
      <c r="D302" s="172" t="s">
        <v>369</v>
      </c>
      <c r="E302" s="172">
        <v>27</v>
      </c>
      <c r="F302" s="172" t="s">
        <v>1450</v>
      </c>
      <c r="H302" s="173"/>
      <c r="I302" s="172">
        <v>3</v>
      </c>
      <c r="J302" s="177">
        <v>570240</v>
      </c>
      <c r="K302" s="177">
        <v>8300000</v>
      </c>
      <c r="L302" s="177">
        <v>8300000</v>
      </c>
      <c r="M302" s="177">
        <v>8300000</v>
      </c>
      <c r="N302" s="177">
        <v>8300000</v>
      </c>
      <c r="O302" s="172"/>
      <c r="P302" s="172"/>
      <c r="Q302" s="172" t="s">
        <v>1443</v>
      </c>
      <c r="R302" s="172" t="s">
        <v>1311</v>
      </c>
      <c r="S302" s="172">
        <v>2</v>
      </c>
      <c r="T302" s="172">
        <v>0</v>
      </c>
      <c r="U302" s="172">
        <v>0</v>
      </c>
      <c r="V302" s="172"/>
      <c r="W302" s="172"/>
      <c r="X302" s="172" t="s">
        <v>1395</v>
      </c>
      <c r="Z302" s="172">
        <v>299871</v>
      </c>
      <c r="AA302" s="172">
        <v>3000</v>
      </c>
      <c r="AB302" s="172">
        <v>0.14000000000000001</v>
      </c>
      <c r="AE302" s="172">
        <v>3015</v>
      </c>
      <c r="AF302" s="172">
        <v>1400</v>
      </c>
      <c r="AI302" s="172"/>
      <c r="AJ302" s="172"/>
      <c r="AM302" s="172"/>
      <c r="AN302" s="172"/>
      <c r="AQ302" s="172"/>
      <c r="AR302" s="172"/>
      <c r="AU302" s="172"/>
      <c r="AV302" s="172"/>
      <c r="AY302" s="172"/>
      <c r="AZ302" s="172"/>
      <c r="BC302" s="172"/>
      <c r="BD302" s="172"/>
      <c r="BH302" s="172">
        <v>10</v>
      </c>
    </row>
    <row r="303" spans="1:60" ht="14.5">
      <c r="A303" s="172">
        <v>2240028</v>
      </c>
      <c r="B303" s="172">
        <v>300</v>
      </c>
      <c r="C303" s="172">
        <v>224</v>
      </c>
      <c r="D303" s="172" t="s">
        <v>369</v>
      </c>
      <c r="E303" s="172">
        <v>28</v>
      </c>
      <c r="F303" s="172" t="s">
        <v>1451</v>
      </c>
      <c r="H303" s="173"/>
      <c r="I303" s="172">
        <v>3</v>
      </c>
      <c r="J303" s="177">
        <v>699840</v>
      </c>
      <c r="K303" s="177">
        <v>11000000</v>
      </c>
      <c r="L303" s="177">
        <v>11000000</v>
      </c>
      <c r="M303" s="177">
        <v>11000000</v>
      </c>
      <c r="N303" s="177">
        <v>11000000</v>
      </c>
      <c r="O303" s="172"/>
      <c r="P303" s="172"/>
      <c r="Q303" s="172" t="s">
        <v>1443</v>
      </c>
      <c r="R303" s="172" t="s">
        <v>1314</v>
      </c>
      <c r="S303" s="172">
        <v>2</v>
      </c>
      <c r="T303" s="172">
        <v>0</v>
      </c>
      <c r="U303" s="172">
        <v>0</v>
      </c>
      <c r="V303" s="172"/>
      <c r="W303" s="172"/>
      <c r="X303" s="172" t="s">
        <v>1395</v>
      </c>
      <c r="Z303" s="172">
        <v>384740</v>
      </c>
      <c r="AA303" s="172">
        <v>3000</v>
      </c>
      <c r="AB303" s="172">
        <v>0.15</v>
      </c>
      <c r="AE303" s="172">
        <v>3015</v>
      </c>
      <c r="AF303" s="172">
        <v>1500</v>
      </c>
      <c r="AI303" s="172"/>
      <c r="AJ303" s="172"/>
      <c r="AM303" s="172"/>
      <c r="AN303" s="172"/>
      <c r="AQ303" s="172"/>
      <c r="AR303" s="172"/>
      <c r="AU303" s="172"/>
      <c r="AV303" s="172"/>
      <c r="AY303" s="172"/>
      <c r="AZ303" s="172"/>
      <c r="BC303" s="172"/>
      <c r="BD303" s="172"/>
      <c r="BH303" s="172">
        <v>10</v>
      </c>
    </row>
    <row r="304" spans="1:60" ht="14.5">
      <c r="A304" s="172">
        <v>2240029</v>
      </c>
      <c r="B304" s="172">
        <v>301</v>
      </c>
      <c r="C304" s="172">
        <v>224</v>
      </c>
      <c r="D304" s="172" t="s">
        <v>369</v>
      </c>
      <c r="E304" s="172">
        <v>29</v>
      </c>
      <c r="F304" s="172" t="s">
        <v>1452</v>
      </c>
      <c r="H304" s="173"/>
      <c r="I304" s="172">
        <v>3</v>
      </c>
      <c r="J304" s="177">
        <v>855360</v>
      </c>
      <c r="K304" s="177">
        <v>14000000</v>
      </c>
      <c r="L304" s="177">
        <v>14000000</v>
      </c>
      <c r="M304" s="177">
        <v>14000000</v>
      </c>
      <c r="N304" s="177">
        <v>14000000</v>
      </c>
      <c r="O304" s="172"/>
      <c r="P304" s="172"/>
      <c r="Q304" s="172" t="s">
        <v>1443</v>
      </c>
      <c r="R304" s="172" t="s">
        <v>1317</v>
      </c>
      <c r="S304" s="172">
        <v>2</v>
      </c>
      <c r="T304" s="172">
        <v>0</v>
      </c>
      <c r="U304" s="172">
        <v>0</v>
      </c>
      <c r="V304" s="172"/>
      <c r="W304" s="172"/>
      <c r="X304" s="172" t="s">
        <v>1395</v>
      </c>
      <c r="Z304" s="172">
        <v>493372</v>
      </c>
      <c r="AA304" s="172">
        <v>3000</v>
      </c>
      <c r="AB304" s="172">
        <v>0.16</v>
      </c>
      <c r="AE304" s="172">
        <v>3015</v>
      </c>
      <c r="AF304" s="172">
        <v>1600</v>
      </c>
      <c r="AI304" s="172"/>
      <c r="AJ304" s="172"/>
      <c r="AM304" s="172"/>
      <c r="AN304" s="172"/>
      <c r="AQ304" s="172"/>
      <c r="AR304" s="172"/>
      <c r="AU304" s="172"/>
      <c r="AV304" s="172"/>
      <c r="AY304" s="172"/>
      <c r="AZ304" s="172"/>
      <c r="BC304" s="172"/>
      <c r="BD304" s="172"/>
      <c r="BH304" s="172">
        <v>10</v>
      </c>
    </row>
    <row r="305" spans="1:60" ht="14.5">
      <c r="A305" s="172">
        <v>2240030</v>
      </c>
      <c r="B305" s="172">
        <v>302</v>
      </c>
      <c r="C305" s="172">
        <v>224</v>
      </c>
      <c r="D305" s="172" t="s">
        <v>369</v>
      </c>
      <c r="E305" s="172">
        <v>30</v>
      </c>
      <c r="F305" s="172" t="s">
        <v>1453</v>
      </c>
      <c r="H305" s="173"/>
      <c r="I305" s="172">
        <v>3</v>
      </c>
      <c r="J305" s="177">
        <v>1036800</v>
      </c>
      <c r="K305" s="177">
        <v>17000000</v>
      </c>
      <c r="L305" s="177">
        <v>17000000</v>
      </c>
      <c r="M305" s="177">
        <v>17000000</v>
      </c>
      <c r="N305" s="177">
        <v>17000000</v>
      </c>
      <c r="O305" s="172"/>
      <c r="P305" s="172"/>
      <c r="Q305" s="172" t="s">
        <v>1443</v>
      </c>
      <c r="R305" s="172" t="s">
        <v>1406</v>
      </c>
      <c r="S305" s="172">
        <v>2</v>
      </c>
      <c r="T305" s="172">
        <v>0</v>
      </c>
      <c r="U305" s="172">
        <v>0</v>
      </c>
      <c r="V305" s="172"/>
      <c r="W305" s="172"/>
      <c r="X305" s="172" t="s">
        <v>1395</v>
      </c>
      <c r="Z305" s="172">
        <v>632420</v>
      </c>
      <c r="AA305" s="172">
        <v>3000</v>
      </c>
      <c r="AB305" s="172">
        <v>0.17</v>
      </c>
      <c r="AE305" s="172">
        <v>3015</v>
      </c>
      <c r="AF305" s="172">
        <v>1700</v>
      </c>
      <c r="AI305" s="172"/>
      <c r="AJ305" s="172"/>
      <c r="AM305" s="172"/>
      <c r="AN305" s="172"/>
      <c r="AQ305" s="172"/>
      <c r="AR305" s="172"/>
      <c r="AU305" s="172"/>
      <c r="AV305" s="172"/>
      <c r="AY305" s="172"/>
      <c r="AZ305" s="172"/>
      <c r="BC305" s="172"/>
      <c r="BD305" s="172"/>
      <c r="BH305" s="172">
        <v>10</v>
      </c>
    </row>
    <row r="306" spans="1:60" ht="14.5">
      <c r="A306" s="172">
        <v>2260001</v>
      </c>
      <c r="B306" s="172">
        <v>303</v>
      </c>
      <c r="C306" s="172">
        <v>226</v>
      </c>
      <c r="D306" s="172" t="s">
        <v>469</v>
      </c>
      <c r="E306" s="172">
        <v>1</v>
      </c>
      <c r="F306" s="172" t="s">
        <v>470</v>
      </c>
      <c r="H306" s="173"/>
      <c r="I306" s="172" t="s">
        <v>1205</v>
      </c>
      <c r="J306" s="177">
        <v>25</v>
      </c>
      <c r="K306" s="177">
        <v>330</v>
      </c>
      <c r="L306" s="177">
        <v>670</v>
      </c>
      <c r="M306" s="177">
        <v>0</v>
      </c>
      <c r="N306" s="177">
        <v>0</v>
      </c>
      <c r="O306" s="172"/>
      <c r="P306" s="172"/>
      <c r="Q306" s="172" t="s">
        <v>1318</v>
      </c>
      <c r="R306" s="172" t="s">
        <v>229</v>
      </c>
      <c r="S306" s="172">
        <v>1</v>
      </c>
      <c r="T306" s="172">
        <v>0</v>
      </c>
      <c r="U306" s="172">
        <v>0</v>
      </c>
      <c r="V306" s="172" t="s">
        <v>158</v>
      </c>
      <c r="W306" s="172" t="s">
        <v>1454</v>
      </c>
      <c r="X306" s="47"/>
      <c r="Y306" s="47"/>
      <c r="Z306" s="172">
        <v>2</v>
      </c>
      <c r="AA306" s="172">
        <v>2553</v>
      </c>
      <c r="AB306" s="172">
        <v>0.02</v>
      </c>
      <c r="AE306" s="172">
        <v>2570</v>
      </c>
      <c r="AF306" s="172">
        <v>1</v>
      </c>
      <c r="AI306" s="172"/>
      <c r="AJ306" s="172"/>
      <c r="AM306" s="172"/>
      <c r="AN306" s="172"/>
      <c r="AQ306" s="172"/>
      <c r="AR306" s="172"/>
      <c r="AU306" s="172"/>
      <c r="AV306" s="172"/>
      <c r="AY306" s="172"/>
      <c r="AZ306" s="172"/>
      <c r="BC306" s="172"/>
      <c r="BD306" s="172"/>
      <c r="BH306" s="172">
        <v>20</v>
      </c>
    </row>
    <row r="307" spans="1:60" ht="14.5">
      <c r="A307" s="172">
        <v>2260002</v>
      </c>
      <c r="B307" s="172">
        <v>304</v>
      </c>
      <c r="C307" s="172">
        <v>226</v>
      </c>
      <c r="D307" s="172" t="s">
        <v>469</v>
      </c>
      <c r="E307" s="172">
        <v>2</v>
      </c>
      <c r="F307" s="172" t="s">
        <v>474</v>
      </c>
      <c r="H307" s="173"/>
      <c r="I307" s="172" t="s">
        <v>1205</v>
      </c>
      <c r="J307" s="177">
        <v>36</v>
      </c>
      <c r="K307" s="177">
        <v>670</v>
      </c>
      <c r="L307" s="177">
        <v>1300</v>
      </c>
      <c r="M307" s="177">
        <v>0</v>
      </c>
      <c r="N307" s="177">
        <v>0</v>
      </c>
      <c r="O307" s="172"/>
      <c r="P307" s="172"/>
      <c r="Q307" s="172" t="s">
        <v>1318</v>
      </c>
      <c r="R307" s="172" t="s">
        <v>1320</v>
      </c>
      <c r="S307" s="172">
        <v>1</v>
      </c>
      <c r="T307" s="172">
        <v>0</v>
      </c>
      <c r="U307" s="172">
        <v>0</v>
      </c>
      <c r="V307" s="172"/>
      <c r="W307" s="172"/>
      <c r="Z307" s="172">
        <v>6</v>
      </c>
      <c r="AA307" s="172">
        <v>2553</v>
      </c>
      <c r="AB307" s="172">
        <v>0.04</v>
      </c>
      <c r="AE307" s="172">
        <v>2570</v>
      </c>
      <c r="AF307" s="172">
        <v>1</v>
      </c>
      <c r="AI307" s="172"/>
      <c r="AJ307" s="172"/>
      <c r="AM307" s="172"/>
      <c r="AN307" s="172"/>
      <c r="AQ307" s="172"/>
      <c r="AR307" s="172"/>
      <c r="AU307" s="172"/>
      <c r="AV307" s="172"/>
      <c r="AY307" s="172"/>
      <c r="AZ307" s="172"/>
      <c r="BC307" s="172"/>
      <c r="BD307" s="172"/>
      <c r="BH307" s="172">
        <v>20</v>
      </c>
    </row>
    <row r="308" spans="1:60" ht="14.5">
      <c r="A308" s="172">
        <v>2260003</v>
      </c>
      <c r="B308" s="172">
        <v>305</v>
      </c>
      <c r="C308" s="172">
        <v>226</v>
      </c>
      <c r="D308" s="172" t="s">
        <v>469</v>
      </c>
      <c r="E308" s="172">
        <v>3</v>
      </c>
      <c r="F308" s="172" t="s">
        <v>475</v>
      </c>
      <c r="H308" s="173"/>
      <c r="I308" s="172" t="s">
        <v>1205</v>
      </c>
      <c r="J308" s="177">
        <v>72</v>
      </c>
      <c r="K308" s="177">
        <v>1300</v>
      </c>
      <c r="L308" s="177">
        <v>2700</v>
      </c>
      <c r="M308" s="177">
        <v>0</v>
      </c>
      <c r="N308" s="177">
        <v>0</v>
      </c>
      <c r="O308" s="172"/>
      <c r="P308" s="172"/>
      <c r="Q308" s="172" t="s">
        <v>1318</v>
      </c>
      <c r="R308" s="172" t="s">
        <v>1321</v>
      </c>
      <c r="S308" s="172">
        <v>1</v>
      </c>
      <c r="T308" s="172">
        <v>0</v>
      </c>
      <c r="U308" s="172">
        <v>0</v>
      </c>
      <c r="V308" s="172"/>
      <c r="W308" s="172"/>
      <c r="X308" s="127"/>
      <c r="Y308" s="127"/>
      <c r="Z308" s="172">
        <v>14</v>
      </c>
      <c r="AA308" s="172">
        <v>2553</v>
      </c>
      <c r="AB308" s="172">
        <v>0.06</v>
      </c>
      <c r="AE308" s="172">
        <v>2570</v>
      </c>
      <c r="AF308" s="172">
        <v>1</v>
      </c>
      <c r="AI308" s="172"/>
      <c r="AJ308" s="172"/>
      <c r="AM308" s="172"/>
      <c r="AN308" s="172"/>
      <c r="AQ308" s="172"/>
      <c r="AR308" s="172"/>
      <c r="AU308" s="172"/>
      <c r="AV308" s="172"/>
      <c r="AY308" s="172"/>
      <c r="AZ308" s="172"/>
      <c r="BC308" s="172"/>
      <c r="BD308" s="172"/>
      <c r="BH308" s="172">
        <v>20</v>
      </c>
    </row>
    <row r="309" spans="1:60" ht="14.5">
      <c r="A309" s="172">
        <v>2260004</v>
      </c>
      <c r="B309" s="172">
        <v>306</v>
      </c>
      <c r="C309" s="172">
        <v>226</v>
      </c>
      <c r="D309" s="172" t="s">
        <v>469</v>
      </c>
      <c r="E309" s="172">
        <v>4</v>
      </c>
      <c r="F309" s="172" t="s">
        <v>476</v>
      </c>
      <c r="H309" s="173"/>
      <c r="I309" s="172" t="s">
        <v>1205</v>
      </c>
      <c r="J309" s="177">
        <v>144</v>
      </c>
      <c r="K309" s="177">
        <v>2700</v>
      </c>
      <c r="L309" s="177">
        <v>5300</v>
      </c>
      <c r="M309" s="177">
        <v>0</v>
      </c>
      <c r="N309" s="177">
        <v>0</v>
      </c>
      <c r="O309" s="172"/>
      <c r="P309" s="172"/>
      <c r="Q309" s="172" t="s">
        <v>1318</v>
      </c>
      <c r="R309" s="172" t="s">
        <v>1322</v>
      </c>
      <c r="S309" s="172">
        <v>1</v>
      </c>
      <c r="T309" s="172">
        <v>0</v>
      </c>
      <c r="U309" s="172">
        <v>0</v>
      </c>
      <c r="V309" s="172"/>
      <c r="W309" s="172"/>
      <c r="Z309" s="172">
        <v>30</v>
      </c>
      <c r="AA309" s="172">
        <v>2553</v>
      </c>
      <c r="AB309" s="172">
        <v>0.08</v>
      </c>
      <c r="AE309" s="172">
        <v>2570</v>
      </c>
      <c r="AF309" s="172">
        <v>1</v>
      </c>
      <c r="AI309" s="172"/>
      <c r="AJ309" s="172"/>
      <c r="AM309" s="172"/>
      <c r="AN309" s="172"/>
      <c r="AQ309" s="172"/>
      <c r="AR309" s="172"/>
      <c r="AU309" s="172"/>
      <c r="AV309" s="172"/>
      <c r="AY309" s="172"/>
      <c r="AZ309" s="172"/>
      <c r="BC309" s="172"/>
      <c r="BD309" s="172"/>
      <c r="BH309" s="172">
        <v>20</v>
      </c>
    </row>
    <row r="310" spans="1:60" ht="14.5">
      <c r="A310" s="172">
        <v>2260005</v>
      </c>
      <c r="B310" s="172">
        <v>307</v>
      </c>
      <c r="C310" s="172">
        <v>226</v>
      </c>
      <c r="D310" s="172" t="s">
        <v>469</v>
      </c>
      <c r="E310" s="172">
        <v>5</v>
      </c>
      <c r="F310" s="172" t="s">
        <v>477</v>
      </c>
      <c r="H310" s="173"/>
      <c r="I310" s="172">
        <v>1</v>
      </c>
      <c r="J310" s="177">
        <v>300</v>
      </c>
      <c r="K310" s="177">
        <v>3900</v>
      </c>
      <c r="L310" s="177">
        <v>7700</v>
      </c>
      <c r="M310" s="177">
        <v>3900</v>
      </c>
      <c r="N310" s="177">
        <v>0</v>
      </c>
      <c r="O310" s="172"/>
      <c r="P310" s="172"/>
      <c r="Q310" s="172" t="s">
        <v>1318</v>
      </c>
      <c r="R310" s="172" t="s">
        <v>1323</v>
      </c>
      <c r="S310" s="172">
        <v>1</v>
      </c>
      <c r="T310" s="172">
        <v>0</v>
      </c>
      <c r="U310" s="172">
        <v>0</v>
      </c>
      <c r="V310" s="172"/>
      <c r="W310" s="172"/>
      <c r="Z310" s="172">
        <v>60</v>
      </c>
      <c r="AA310" s="172">
        <v>2553</v>
      </c>
      <c r="AB310" s="172">
        <v>0.1</v>
      </c>
      <c r="AE310" s="172">
        <v>2570</v>
      </c>
      <c r="AF310" s="172">
        <v>2</v>
      </c>
      <c r="AI310" s="172"/>
      <c r="AJ310" s="172"/>
      <c r="AM310" s="172"/>
      <c r="AN310" s="172"/>
      <c r="AQ310" s="172"/>
      <c r="AR310" s="172"/>
      <c r="AU310" s="172"/>
      <c r="AV310" s="172"/>
      <c r="AY310" s="172"/>
      <c r="AZ310" s="172"/>
      <c r="BC310" s="172"/>
      <c r="BD310" s="172"/>
      <c r="BH310" s="172">
        <v>20</v>
      </c>
    </row>
    <row r="311" spans="1:60" ht="14.5">
      <c r="A311" s="172">
        <v>2260006</v>
      </c>
      <c r="B311" s="172">
        <v>308</v>
      </c>
      <c r="C311" s="172">
        <v>226</v>
      </c>
      <c r="D311" s="172" t="s">
        <v>469</v>
      </c>
      <c r="E311" s="172">
        <v>6</v>
      </c>
      <c r="F311" s="172" t="s">
        <v>478</v>
      </c>
      <c r="H311" s="173"/>
      <c r="I311" s="172">
        <v>1</v>
      </c>
      <c r="J311" s="177">
        <v>540</v>
      </c>
      <c r="K311" s="177">
        <v>7200</v>
      </c>
      <c r="L311" s="177">
        <v>14000</v>
      </c>
      <c r="M311" s="177">
        <v>7200</v>
      </c>
      <c r="N311" s="177">
        <v>0</v>
      </c>
      <c r="O311" s="172"/>
      <c r="P311" s="172"/>
      <c r="Q311" s="172" t="s">
        <v>1318</v>
      </c>
      <c r="R311" s="172" t="s">
        <v>1324</v>
      </c>
      <c r="S311" s="172">
        <v>1</v>
      </c>
      <c r="T311" s="172">
        <v>0</v>
      </c>
      <c r="U311" s="172">
        <v>0</v>
      </c>
      <c r="V311" s="172"/>
      <c r="W311" s="172"/>
      <c r="X311" s="127"/>
      <c r="Y311" s="127"/>
      <c r="Z311" s="172">
        <v>118</v>
      </c>
      <c r="AA311" s="172">
        <v>2553</v>
      </c>
      <c r="AB311" s="172">
        <v>0.12</v>
      </c>
      <c r="AE311" s="172">
        <v>2570</v>
      </c>
      <c r="AF311" s="172">
        <v>2</v>
      </c>
      <c r="AI311" s="172"/>
      <c r="AJ311" s="172"/>
      <c r="AM311" s="172"/>
      <c r="AN311" s="172"/>
      <c r="AQ311" s="172"/>
      <c r="AR311" s="172"/>
      <c r="AU311" s="172"/>
      <c r="AV311" s="172"/>
      <c r="AY311" s="172"/>
      <c r="AZ311" s="172"/>
      <c r="BC311" s="172"/>
      <c r="BD311" s="172"/>
      <c r="BH311" s="172">
        <v>20</v>
      </c>
    </row>
    <row r="312" spans="1:60" ht="14.5">
      <c r="A312" s="172">
        <v>2260007</v>
      </c>
      <c r="B312" s="172">
        <v>309</v>
      </c>
      <c r="C312" s="172">
        <v>226</v>
      </c>
      <c r="D312" s="172" t="s">
        <v>469</v>
      </c>
      <c r="E312" s="172">
        <v>7</v>
      </c>
      <c r="F312" s="172" t="s">
        <v>479</v>
      </c>
      <c r="H312" s="173"/>
      <c r="I312" s="172">
        <v>1</v>
      </c>
      <c r="J312" s="177">
        <v>900</v>
      </c>
      <c r="K312" s="177">
        <v>13000</v>
      </c>
      <c r="L312" s="177">
        <v>26000</v>
      </c>
      <c r="M312" s="177">
        <v>13000</v>
      </c>
      <c r="N312" s="177">
        <v>0</v>
      </c>
      <c r="O312" s="172"/>
      <c r="P312" s="172"/>
      <c r="Q312" s="172" t="s">
        <v>1318</v>
      </c>
      <c r="R312" s="172" t="s">
        <v>1325</v>
      </c>
      <c r="S312" s="172">
        <v>1</v>
      </c>
      <c r="T312" s="172">
        <v>0</v>
      </c>
      <c r="U312" s="172">
        <v>0</v>
      </c>
      <c r="V312" s="172"/>
      <c r="W312" s="172"/>
      <c r="X312" s="127"/>
      <c r="Y312" s="127"/>
      <c r="Z312" s="172">
        <v>221</v>
      </c>
      <c r="AA312" s="172">
        <v>2553</v>
      </c>
      <c r="AB312" s="172">
        <v>0.14000000000000001</v>
      </c>
      <c r="AE312" s="172">
        <v>2570</v>
      </c>
      <c r="AF312" s="172">
        <v>2</v>
      </c>
      <c r="AI312" s="172"/>
      <c r="AJ312" s="172"/>
      <c r="AM312" s="172"/>
      <c r="AN312" s="172"/>
      <c r="AQ312" s="172"/>
      <c r="AR312" s="172"/>
      <c r="AU312" s="172"/>
      <c r="AV312" s="172"/>
      <c r="AY312" s="172"/>
      <c r="AZ312" s="172"/>
      <c r="BC312" s="172"/>
      <c r="BD312" s="172"/>
      <c r="BH312" s="172">
        <v>20</v>
      </c>
    </row>
    <row r="313" spans="1:60" ht="14.5">
      <c r="A313" s="172">
        <v>2260008</v>
      </c>
      <c r="B313" s="172">
        <v>310</v>
      </c>
      <c r="C313" s="172">
        <v>226</v>
      </c>
      <c r="D313" s="172" t="s">
        <v>469</v>
      </c>
      <c r="E313" s="172">
        <v>8</v>
      </c>
      <c r="F313" s="172" t="s">
        <v>480</v>
      </c>
      <c r="H313" s="173"/>
      <c r="I313" s="172">
        <v>1</v>
      </c>
      <c r="J313" s="177">
        <v>1440</v>
      </c>
      <c r="K313" s="177">
        <v>22000</v>
      </c>
      <c r="L313" s="177">
        <v>44000</v>
      </c>
      <c r="M313" s="177">
        <v>22000</v>
      </c>
      <c r="N313" s="177">
        <v>0</v>
      </c>
      <c r="O313" s="172"/>
      <c r="P313" s="172"/>
      <c r="Q313" s="172" t="s">
        <v>1318</v>
      </c>
      <c r="R313" s="172" t="s">
        <v>1326</v>
      </c>
      <c r="S313" s="172">
        <v>1</v>
      </c>
      <c r="T313" s="172">
        <v>0</v>
      </c>
      <c r="U313" s="172">
        <v>0</v>
      </c>
      <c r="V313" s="172"/>
      <c r="W313" s="172"/>
      <c r="Z313" s="172">
        <v>397</v>
      </c>
      <c r="AA313" s="172">
        <v>2553</v>
      </c>
      <c r="AB313" s="172">
        <v>0.16</v>
      </c>
      <c r="AE313" s="172">
        <v>2570</v>
      </c>
      <c r="AF313" s="172">
        <v>2</v>
      </c>
      <c r="AI313" s="172"/>
      <c r="AJ313" s="172"/>
      <c r="AM313" s="172"/>
      <c r="AN313" s="172"/>
      <c r="AQ313" s="172"/>
      <c r="AR313" s="172"/>
      <c r="AU313" s="172"/>
      <c r="AV313" s="172"/>
      <c r="AY313" s="172"/>
      <c r="AZ313" s="172"/>
      <c r="BC313" s="172"/>
      <c r="BD313" s="172"/>
      <c r="BH313" s="172">
        <v>20</v>
      </c>
    </row>
    <row r="314" spans="1:60" ht="14.5">
      <c r="A314" s="172">
        <v>2260009</v>
      </c>
      <c r="B314" s="172">
        <v>311</v>
      </c>
      <c r="C314" s="172">
        <v>226</v>
      </c>
      <c r="D314" s="172" t="s">
        <v>469</v>
      </c>
      <c r="E314" s="172">
        <v>9</v>
      </c>
      <c r="F314" s="172" t="s">
        <v>481</v>
      </c>
      <c r="H314" s="173"/>
      <c r="I314" s="172">
        <v>1</v>
      </c>
      <c r="J314" s="177">
        <v>2880</v>
      </c>
      <c r="K314" s="177">
        <v>36000</v>
      </c>
      <c r="L314" s="177">
        <v>73000</v>
      </c>
      <c r="M314" s="177">
        <v>36000</v>
      </c>
      <c r="N314" s="177">
        <v>0</v>
      </c>
      <c r="O314" s="172"/>
      <c r="P314" s="172"/>
      <c r="Q314" s="172" t="s">
        <v>1318</v>
      </c>
      <c r="R314" s="172" t="s">
        <v>1327</v>
      </c>
      <c r="S314" s="172">
        <v>1</v>
      </c>
      <c r="T314" s="172">
        <v>0</v>
      </c>
      <c r="U314" s="172">
        <v>0</v>
      </c>
      <c r="V314" s="172"/>
      <c r="W314" s="172"/>
      <c r="X314" s="127"/>
      <c r="Y314" s="127"/>
      <c r="Z314" s="172">
        <v>689</v>
      </c>
      <c r="AA314" s="172">
        <v>2553</v>
      </c>
      <c r="AB314" s="172">
        <v>0.18</v>
      </c>
      <c r="AE314" s="172">
        <v>2570</v>
      </c>
      <c r="AF314" s="172">
        <v>2</v>
      </c>
      <c r="AI314" s="172"/>
      <c r="AJ314" s="172"/>
      <c r="AM314" s="172"/>
      <c r="AN314" s="172"/>
      <c r="AQ314" s="172"/>
      <c r="AR314" s="172"/>
      <c r="AU314" s="172"/>
      <c r="AV314" s="172"/>
      <c r="AY314" s="172"/>
      <c r="AZ314" s="172"/>
      <c r="BC314" s="172"/>
      <c r="BD314" s="172"/>
      <c r="BH314" s="172">
        <v>20</v>
      </c>
    </row>
    <row r="315" spans="1:60" ht="14.5">
      <c r="A315" s="172">
        <v>2260010</v>
      </c>
      <c r="B315" s="172">
        <v>312</v>
      </c>
      <c r="C315" s="172">
        <v>226</v>
      </c>
      <c r="D315" s="172" t="s">
        <v>469</v>
      </c>
      <c r="E315" s="172">
        <v>10</v>
      </c>
      <c r="F315" s="172" t="s">
        <v>482</v>
      </c>
      <c r="H315" s="173"/>
      <c r="I315" s="172">
        <v>1</v>
      </c>
      <c r="J315" s="177">
        <v>4320</v>
      </c>
      <c r="K315" s="177">
        <v>46000</v>
      </c>
      <c r="L315" s="177">
        <v>92000</v>
      </c>
      <c r="M315" s="177">
        <v>46000</v>
      </c>
      <c r="N315" s="177">
        <v>46000</v>
      </c>
      <c r="O315" s="172"/>
      <c r="P315" s="172"/>
      <c r="Q315" s="172" t="s">
        <v>1318</v>
      </c>
      <c r="R315" s="172" t="s">
        <v>1328</v>
      </c>
      <c r="S315" s="172">
        <v>1</v>
      </c>
      <c r="T315" s="172">
        <v>0</v>
      </c>
      <c r="U315" s="172">
        <v>0</v>
      </c>
      <c r="V315" s="172"/>
      <c r="W315" s="172"/>
      <c r="Z315" s="172">
        <v>1150</v>
      </c>
      <c r="AA315" s="172">
        <v>2553</v>
      </c>
      <c r="AB315" s="172">
        <v>0.2</v>
      </c>
      <c r="AE315" s="172">
        <v>2570</v>
      </c>
      <c r="AF315" s="172">
        <v>2</v>
      </c>
      <c r="AI315" s="172"/>
      <c r="AJ315" s="172"/>
      <c r="AM315" s="172"/>
      <c r="AN315" s="172"/>
      <c r="AQ315" s="172"/>
      <c r="AR315" s="172"/>
      <c r="AU315" s="172"/>
      <c r="AV315" s="172"/>
      <c r="AY315" s="172"/>
      <c r="AZ315" s="172"/>
      <c r="BC315" s="172"/>
      <c r="BD315" s="172"/>
      <c r="BH315" s="172">
        <v>20</v>
      </c>
    </row>
    <row r="316" spans="1:60" ht="14.5">
      <c r="A316" s="172">
        <v>2260011</v>
      </c>
      <c r="B316" s="172">
        <v>313</v>
      </c>
      <c r="C316" s="172">
        <v>226</v>
      </c>
      <c r="D316" s="172" t="s">
        <v>469</v>
      </c>
      <c r="E316" s="172">
        <v>11</v>
      </c>
      <c r="F316" s="172" t="s">
        <v>483</v>
      </c>
      <c r="H316" s="173"/>
      <c r="I316" s="172">
        <v>1</v>
      </c>
      <c r="J316" s="177">
        <v>6480</v>
      </c>
      <c r="K316" s="177">
        <v>70000</v>
      </c>
      <c r="L316" s="177">
        <v>140000</v>
      </c>
      <c r="M316" s="177">
        <v>70000</v>
      </c>
      <c r="N316" s="177">
        <v>70000</v>
      </c>
      <c r="O316" s="172"/>
      <c r="P316" s="172"/>
      <c r="Q316" s="172" t="s">
        <v>1318</v>
      </c>
      <c r="R316" s="172" t="s">
        <v>1329</v>
      </c>
      <c r="S316" s="172">
        <v>1</v>
      </c>
      <c r="T316" s="172">
        <v>0</v>
      </c>
      <c r="U316" s="172">
        <v>0</v>
      </c>
      <c r="V316" s="172"/>
      <c r="W316" s="172"/>
      <c r="Z316" s="172">
        <v>1846</v>
      </c>
      <c r="AA316" s="172">
        <v>2553</v>
      </c>
      <c r="AB316" s="172">
        <v>0.22</v>
      </c>
      <c r="AE316" s="172">
        <v>2570</v>
      </c>
      <c r="AF316" s="172">
        <v>3</v>
      </c>
      <c r="AI316" s="172"/>
      <c r="AJ316" s="172"/>
      <c r="AM316" s="172"/>
      <c r="AN316" s="172"/>
      <c r="AQ316" s="172"/>
      <c r="AR316" s="172"/>
      <c r="AU316" s="172"/>
      <c r="AV316" s="172"/>
      <c r="AY316" s="172"/>
      <c r="AZ316" s="172"/>
      <c r="BC316" s="172"/>
      <c r="BD316" s="172"/>
      <c r="BH316" s="172">
        <v>20</v>
      </c>
    </row>
    <row r="317" spans="1:60" ht="14.5">
      <c r="A317" s="172">
        <v>2260012</v>
      </c>
      <c r="B317" s="172">
        <v>314</v>
      </c>
      <c r="C317" s="172">
        <v>226</v>
      </c>
      <c r="D317" s="172" t="s">
        <v>469</v>
      </c>
      <c r="E317" s="172">
        <v>12</v>
      </c>
      <c r="F317" s="172" t="s">
        <v>484</v>
      </c>
      <c r="H317" s="173"/>
      <c r="I317" s="172">
        <v>2</v>
      </c>
      <c r="J317" s="177">
        <v>8640</v>
      </c>
      <c r="K317" s="177">
        <v>100000</v>
      </c>
      <c r="L317" s="177">
        <v>200000</v>
      </c>
      <c r="M317" s="177">
        <v>100000</v>
      </c>
      <c r="N317" s="177">
        <v>100000</v>
      </c>
      <c r="O317" s="172"/>
      <c r="P317" s="172"/>
      <c r="Q317" s="172" t="s">
        <v>1318</v>
      </c>
      <c r="R317" s="172" t="s">
        <v>1330</v>
      </c>
      <c r="S317" s="172">
        <v>1</v>
      </c>
      <c r="T317" s="172">
        <v>0</v>
      </c>
      <c r="U317" s="172">
        <v>0</v>
      </c>
      <c r="V317" s="172"/>
      <c r="W317" s="172"/>
      <c r="X317" s="127"/>
      <c r="Y317" s="127"/>
      <c r="Z317" s="172">
        <v>2849</v>
      </c>
      <c r="AA317" s="172">
        <v>2553</v>
      </c>
      <c r="AB317" s="172">
        <v>0.24</v>
      </c>
      <c r="AE317" s="172">
        <v>2570</v>
      </c>
      <c r="AF317" s="172">
        <v>3</v>
      </c>
      <c r="AI317" s="172"/>
      <c r="AJ317" s="172"/>
      <c r="AM317" s="172"/>
      <c r="AN317" s="172"/>
      <c r="AQ317" s="172"/>
      <c r="AR317" s="172"/>
      <c r="AU317" s="172"/>
      <c r="AV317" s="172"/>
      <c r="AY317" s="172"/>
      <c r="AZ317" s="172"/>
      <c r="BC317" s="172"/>
      <c r="BD317" s="172"/>
      <c r="BH317" s="172">
        <v>20</v>
      </c>
    </row>
    <row r="318" spans="1:60" ht="14.5">
      <c r="A318" s="172">
        <v>2260013</v>
      </c>
      <c r="B318" s="172">
        <v>315</v>
      </c>
      <c r="C318" s="172">
        <v>226</v>
      </c>
      <c r="D318" s="172" t="s">
        <v>469</v>
      </c>
      <c r="E318" s="172">
        <v>13</v>
      </c>
      <c r="F318" s="172" t="s">
        <v>485</v>
      </c>
      <c r="H318" s="173"/>
      <c r="I318" s="172">
        <v>2</v>
      </c>
      <c r="J318" s="177">
        <v>11520</v>
      </c>
      <c r="K318" s="177">
        <v>140000</v>
      </c>
      <c r="L318" s="177">
        <v>270000</v>
      </c>
      <c r="M318" s="177">
        <v>140000</v>
      </c>
      <c r="N318" s="177">
        <v>140000</v>
      </c>
      <c r="O318" s="172"/>
      <c r="P318" s="172"/>
      <c r="Q318" s="172" t="s">
        <v>1318</v>
      </c>
      <c r="R318" s="172" t="s">
        <v>1331</v>
      </c>
      <c r="S318" s="172">
        <v>1</v>
      </c>
      <c r="T318" s="172">
        <v>0</v>
      </c>
      <c r="U318" s="172">
        <v>0</v>
      </c>
      <c r="V318" s="172"/>
      <c r="W318" s="172"/>
      <c r="Z318" s="172">
        <v>4222</v>
      </c>
      <c r="AA318" s="172">
        <v>2553</v>
      </c>
      <c r="AB318" s="172">
        <v>0.26</v>
      </c>
      <c r="AE318" s="172">
        <v>2570</v>
      </c>
      <c r="AF318" s="172">
        <v>3</v>
      </c>
      <c r="AI318" s="172"/>
      <c r="AJ318" s="172"/>
      <c r="AM318" s="172"/>
      <c r="AN318" s="172"/>
      <c r="AQ318" s="172"/>
      <c r="AR318" s="172"/>
      <c r="AU318" s="172"/>
      <c r="AV318" s="172"/>
      <c r="AY318" s="172"/>
      <c r="AZ318" s="172"/>
      <c r="BC318" s="172"/>
      <c r="BD318" s="172"/>
      <c r="BH318" s="172">
        <v>20</v>
      </c>
    </row>
    <row r="319" spans="1:60" ht="14.5">
      <c r="A319" s="172">
        <v>2260014</v>
      </c>
      <c r="B319" s="172">
        <v>316</v>
      </c>
      <c r="C319" s="172">
        <v>226</v>
      </c>
      <c r="D319" s="172" t="s">
        <v>469</v>
      </c>
      <c r="E319" s="172">
        <v>14</v>
      </c>
      <c r="F319" s="172" t="s">
        <v>486</v>
      </c>
      <c r="H319" s="173"/>
      <c r="I319" s="172">
        <v>2</v>
      </c>
      <c r="J319" s="177">
        <v>14400</v>
      </c>
      <c r="K319" s="177">
        <v>180000</v>
      </c>
      <c r="L319" s="177">
        <v>360000</v>
      </c>
      <c r="M319" s="177">
        <v>180000</v>
      </c>
      <c r="N319" s="177">
        <v>180000</v>
      </c>
      <c r="O319" s="172"/>
      <c r="P319" s="172"/>
      <c r="Q319" s="172" t="s">
        <v>1318</v>
      </c>
      <c r="R319" s="172" t="s">
        <v>1332</v>
      </c>
      <c r="S319" s="172">
        <v>1</v>
      </c>
      <c r="T319" s="172">
        <v>0</v>
      </c>
      <c r="U319" s="172">
        <v>0</v>
      </c>
      <c r="V319" s="172"/>
      <c r="W319" s="172"/>
      <c r="X319" s="127"/>
      <c r="Y319" s="127"/>
      <c r="Z319" s="172">
        <v>6007</v>
      </c>
      <c r="AA319" s="172">
        <v>2553</v>
      </c>
      <c r="AB319" s="172">
        <v>0.28000000000000003</v>
      </c>
      <c r="AE319" s="172">
        <v>2570</v>
      </c>
      <c r="AF319" s="172">
        <v>3</v>
      </c>
      <c r="AI319" s="172"/>
      <c r="AJ319" s="172"/>
      <c r="AM319" s="172"/>
      <c r="AN319" s="172"/>
      <c r="AQ319" s="172"/>
      <c r="AR319" s="172"/>
      <c r="AU319" s="172"/>
      <c r="AV319" s="172"/>
      <c r="AY319" s="172"/>
      <c r="AZ319" s="172"/>
      <c r="BC319" s="172"/>
      <c r="BD319" s="172"/>
      <c r="BH319" s="172">
        <v>20</v>
      </c>
    </row>
    <row r="320" spans="1:60" ht="14.5">
      <c r="A320" s="172">
        <v>2260015</v>
      </c>
      <c r="B320" s="172">
        <v>317</v>
      </c>
      <c r="C320" s="172">
        <v>226</v>
      </c>
      <c r="D320" s="172" t="s">
        <v>469</v>
      </c>
      <c r="E320" s="172">
        <v>15</v>
      </c>
      <c r="F320" s="172" t="s">
        <v>487</v>
      </c>
      <c r="H320" s="173"/>
      <c r="I320" s="172">
        <v>2</v>
      </c>
      <c r="J320" s="177">
        <v>17280</v>
      </c>
      <c r="K320" s="177">
        <v>230000</v>
      </c>
      <c r="L320" s="177">
        <v>460000</v>
      </c>
      <c r="M320" s="177">
        <v>230000</v>
      </c>
      <c r="N320" s="177">
        <v>230000</v>
      </c>
      <c r="O320" s="172"/>
      <c r="P320" s="172"/>
      <c r="Q320" s="172" t="s">
        <v>1318</v>
      </c>
      <c r="R320" s="172" t="s">
        <v>1333</v>
      </c>
      <c r="S320" s="172">
        <v>1</v>
      </c>
      <c r="T320" s="172">
        <v>0</v>
      </c>
      <c r="U320" s="172">
        <v>0</v>
      </c>
      <c r="V320" s="172"/>
      <c r="W320" s="172"/>
      <c r="Z320" s="172">
        <v>8293</v>
      </c>
      <c r="AA320" s="172">
        <v>2553</v>
      </c>
      <c r="AB320" s="172">
        <v>0.3</v>
      </c>
      <c r="AE320" s="172">
        <v>2570</v>
      </c>
      <c r="AF320" s="172">
        <v>3</v>
      </c>
      <c r="AI320" s="172"/>
      <c r="AJ320" s="172"/>
      <c r="AM320" s="172"/>
      <c r="AN320" s="172"/>
      <c r="AQ320" s="172"/>
      <c r="AR320" s="172"/>
      <c r="AU320" s="172"/>
      <c r="AV320" s="172"/>
      <c r="AY320" s="172"/>
      <c r="AZ320" s="172"/>
      <c r="BC320" s="172"/>
      <c r="BD320" s="172"/>
      <c r="BH320" s="172">
        <v>20</v>
      </c>
    </row>
    <row r="321" spans="1:60" ht="14.5">
      <c r="A321" s="172">
        <v>2260016</v>
      </c>
      <c r="B321" s="172">
        <v>318</v>
      </c>
      <c r="C321" s="172">
        <v>226</v>
      </c>
      <c r="D321" s="172" t="s">
        <v>469</v>
      </c>
      <c r="E321" s="172">
        <v>16</v>
      </c>
      <c r="F321" s="172" t="s">
        <v>488</v>
      </c>
      <c r="H321" s="173"/>
      <c r="I321" s="172">
        <v>2</v>
      </c>
      <c r="J321" s="177">
        <v>21600</v>
      </c>
      <c r="K321" s="177">
        <v>290000</v>
      </c>
      <c r="L321" s="177">
        <v>590000</v>
      </c>
      <c r="M321" s="177">
        <v>290000</v>
      </c>
      <c r="N321" s="177">
        <v>290000</v>
      </c>
      <c r="O321" s="172"/>
      <c r="P321" s="172"/>
      <c r="Q321" s="172" t="s">
        <v>1318</v>
      </c>
      <c r="R321" s="172" t="s">
        <v>1334</v>
      </c>
      <c r="S321" s="172">
        <v>1</v>
      </c>
      <c r="T321" s="172">
        <v>0</v>
      </c>
      <c r="U321" s="172">
        <v>0</v>
      </c>
      <c r="V321" s="172"/>
      <c r="W321" s="172"/>
      <c r="X321" s="127"/>
      <c r="Y321" s="127"/>
      <c r="Z321" s="172">
        <v>11218</v>
      </c>
      <c r="AA321" s="172">
        <v>2553</v>
      </c>
      <c r="AB321" s="172">
        <v>0.32</v>
      </c>
      <c r="AE321" s="172">
        <v>2570</v>
      </c>
      <c r="AF321" s="172">
        <v>3</v>
      </c>
      <c r="AI321" s="172"/>
      <c r="AJ321" s="172"/>
      <c r="AM321" s="172"/>
      <c r="AN321" s="172"/>
      <c r="AQ321" s="172"/>
      <c r="AR321" s="172"/>
      <c r="AU321" s="172"/>
      <c r="AV321" s="172"/>
      <c r="AY321" s="172"/>
      <c r="AZ321" s="172"/>
      <c r="BC321" s="172"/>
      <c r="BD321" s="172"/>
      <c r="BH321" s="172">
        <v>20</v>
      </c>
    </row>
    <row r="322" spans="1:60" ht="14.5">
      <c r="A322" s="172">
        <v>2260017</v>
      </c>
      <c r="B322" s="172">
        <v>319</v>
      </c>
      <c r="C322" s="172">
        <v>226</v>
      </c>
      <c r="D322" s="172" t="s">
        <v>469</v>
      </c>
      <c r="E322" s="172">
        <v>17</v>
      </c>
      <c r="F322" s="172" t="s">
        <v>489</v>
      </c>
      <c r="H322" s="173"/>
      <c r="I322" s="172">
        <v>2</v>
      </c>
      <c r="J322" s="177">
        <v>28800</v>
      </c>
      <c r="K322" s="177">
        <v>370000</v>
      </c>
      <c r="L322" s="177">
        <v>750000</v>
      </c>
      <c r="M322" s="177">
        <v>370000</v>
      </c>
      <c r="N322" s="177">
        <v>370000</v>
      </c>
      <c r="O322" s="172"/>
      <c r="P322" s="172"/>
      <c r="Q322" s="172" t="s">
        <v>1318</v>
      </c>
      <c r="R322" s="172" t="s">
        <v>1335</v>
      </c>
      <c r="S322" s="172">
        <v>1</v>
      </c>
      <c r="T322" s="172">
        <v>0</v>
      </c>
      <c r="U322" s="172">
        <v>0</v>
      </c>
      <c r="V322" s="172"/>
      <c r="W322" s="172"/>
      <c r="X322" s="127"/>
      <c r="Y322" s="127"/>
      <c r="Z322" s="172">
        <v>14962</v>
      </c>
      <c r="AA322" s="172">
        <v>2553</v>
      </c>
      <c r="AB322" s="172">
        <v>0.34</v>
      </c>
      <c r="AE322" s="172">
        <v>2570</v>
      </c>
      <c r="AF322" s="172">
        <v>3</v>
      </c>
      <c r="AI322" s="172"/>
      <c r="AJ322" s="172"/>
      <c r="AM322" s="172"/>
      <c r="AN322" s="172"/>
      <c r="AQ322" s="172"/>
      <c r="AR322" s="172"/>
      <c r="AU322" s="172"/>
      <c r="AV322" s="172"/>
      <c r="AY322" s="172"/>
      <c r="AZ322" s="172"/>
      <c r="BC322" s="172"/>
      <c r="BD322" s="172"/>
      <c r="BH322" s="172">
        <v>20</v>
      </c>
    </row>
    <row r="323" spans="1:60" ht="14.5">
      <c r="A323" s="172">
        <v>2260018</v>
      </c>
      <c r="B323" s="172">
        <v>320</v>
      </c>
      <c r="C323" s="172">
        <v>226</v>
      </c>
      <c r="D323" s="172" t="s">
        <v>469</v>
      </c>
      <c r="E323" s="172">
        <v>18</v>
      </c>
      <c r="F323" s="172" t="s">
        <v>490</v>
      </c>
      <c r="H323" s="173"/>
      <c r="I323" s="172">
        <v>2</v>
      </c>
      <c r="J323" s="177">
        <v>37440</v>
      </c>
      <c r="K323" s="177">
        <v>480000</v>
      </c>
      <c r="L323" s="177">
        <v>960000</v>
      </c>
      <c r="M323" s="177">
        <v>480000</v>
      </c>
      <c r="N323" s="177">
        <v>480000</v>
      </c>
      <c r="O323" s="172"/>
      <c r="P323" s="172"/>
      <c r="Q323" s="172" t="s">
        <v>1318</v>
      </c>
      <c r="R323" s="172" t="s">
        <v>1336</v>
      </c>
      <c r="S323" s="172">
        <v>1</v>
      </c>
      <c r="T323" s="172">
        <v>0</v>
      </c>
      <c r="U323" s="172">
        <v>0</v>
      </c>
      <c r="V323" s="172"/>
      <c r="W323" s="172"/>
      <c r="Z323" s="172">
        <v>19754</v>
      </c>
      <c r="AA323" s="172">
        <v>2553</v>
      </c>
      <c r="AB323" s="172">
        <v>0.36</v>
      </c>
      <c r="AE323" s="172">
        <v>2570</v>
      </c>
      <c r="AF323" s="172">
        <v>3</v>
      </c>
      <c r="AI323" s="172"/>
      <c r="AJ323" s="172"/>
      <c r="AM323" s="172"/>
      <c r="AN323" s="172"/>
      <c r="AQ323" s="172"/>
      <c r="AR323" s="172"/>
      <c r="AU323" s="172"/>
      <c r="AV323" s="172"/>
      <c r="AY323" s="172"/>
      <c r="AZ323" s="172"/>
      <c r="BC323" s="172"/>
      <c r="BD323" s="172"/>
      <c r="BH323" s="172">
        <v>20</v>
      </c>
    </row>
    <row r="324" spans="1:60" ht="14.5">
      <c r="A324" s="172">
        <v>2260019</v>
      </c>
      <c r="B324" s="172">
        <v>321</v>
      </c>
      <c r="C324" s="172">
        <v>226</v>
      </c>
      <c r="D324" s="172" t="s">
        <v>469</v>
      </c>
      <c r="E324" s="172">
        <v>19</v>
      </c>
      <c r="F324" s="172" t="s">
        <v>491</v>
      </c>
      <c r="H324" s="173"/>
      <c r="I324" s="172">
        <v>2</v>
      </c>
      <c r="J324" s="177">
        <v>48960</v>
      </c>
      <c r="K324" s="177">
        <v>610000</v>
      </c>
      <c r="L324" s="177">
        <v>1200000</v>
      </c>
      <c r="M324" s="177">
        <v>610000</v>
      </c>
      <c r="N324" s="177">
        <v>610000</v>
      </c>
      <c r="O324" s="172"/>
      <c r="P324" s="172"/>
      <c r="Q324" s="172" t="s">
        <v>1318</v>
      </c>
      <c r="R324" s="172" t="s">
        <v>1337</v>
      </c>
      <c r="S324" s="172">
        <v>1</v>
      </c>
      <c r="T324" s="172">
        <v>0</v>
      </c>
      <c r="U324" s="172">
        <v>0</v>
      </c>
      <c r="V324" s="172"/>
      <c r="W324" s="172"/>
      <c r="Z324" s="172">
        <v>25889</v>
      </c>
      <c r="AA324" s="172">
        <v>2553</v>
      </c>
      <c r="AB324" s="172">
        <v>0.38</v>
      </c>
      <c r="AE324" s="172">
        <v>2570</v>
      </c>
      <c r="AF324" s="172">
        <v>3</v>
      </c>
      <c r="AI324" s="172"/>
      <c r="AJ324" s="172"/>
      <c r="AM324" s="172"/>
      <c r="AN324" s="172"/>
      <c r="AQ324" s="172"/>
      <c r="AR324" s="172"/>
      <c r="AU324" s="172"/>
      <c r="AV324" s="172"/>
      <c r="AY324" s="172"/>
      <c r="AZ324" s="172"/>
      <c r="BC324" s="172"/>
      <c r="BD324" s="172"/>
      <c r="BH324" s="172">
        <v>20</v>
      </c>
    </row>
    <row r="325" spans="1:60" ht="14.5">
      <c r="A325" s="172">
        <v>2260020</v>
      </c>
      <c r="B325" s="172">
        <v>322</v>
      </c>
      <c r="C325" s="172">
        <v>226</v>
      </c>
      <c r="D325" s="172" t="s">
        <v>469</v>
      </c>
      <c r="E325" s="172">
        <v>20</v>
      </c>
      <c r="F325" s="172" t="s">
        <v>492</v>
      </c>
      <c r="H325" s="173"/>
      <c r="I325" s="172">
        <v>3</v>
      </c>
      <c r="J325" s="177">
        <v>69120</v>
      </c>
      <c r="K325" s="177">
        <v>790000</v>
      </c>
      <c r="L325" s="177">
        <v>1600000</v>
      </c>
      <c r="M325" s="177">
        <v>790000</v>
      </c>
      <c r="N325" s="177">
        <v>790000</v>
      </c>
      <c r="O325" s="172"/>
      <c r="P325" s="172"/>
      <c r="Q325" s="172" t="s">
        <v>1318</v>
      </c>
      <c r="R325" s="172" t="s">
        <v>1338</v>
      </c>
      <c r="S325" s="172">
        <v>1</v>
      </c>
      <c r="T325" s="172">
        <v>0</v>
      </c>
      <c r="U325" s="172">
        <v>0</v>
      </c>
      <c r="V325" s="172"/>
      <c r="W325" s="172"/>
      <c r="X325" s="127"/>
      <c r="Y325" s="127"/>
      <c r="Z325" s="172">
        <v>33740</v>
      </c>
      <c r="AA325" s="172">
        <v>2553</v>
      </c>
      <c r="AB325" s="172">
        <v>0.4</v>
      </c>
      <c r="AE325" s="172">
        <v>2570</v>
      </c>
      <c r="AF325" s="172">
        <v>3</v>
      </c>
      <c r="AI325" s="172"/>
      <c r="AJ325" s="172"/>
      <c r="AM325" s="172"/>
      <c r="AN325" s="172"/>
      <c r="AQ325" s="172"/>
      <c r="AR325" s="172"/>
      <c r="AU325" s="172"/>
      <c r="AV325" s="172"/>
      <c r="AY325" s="172"/>
      <c r="AZ325" s="172"/>
      <c r="BC325" s="172"/>
      <c r="BD325" s="172"/>
      <c r="BH325" s="172">
        <v>20</v>
      </c>
    </row>
    <row r="326" spans="1:60" ht="14.5">
      <c r="A326" s="172">
        <v>2260021</v>
      </c>
      <c r="B326" s="172">
        <v>323</v>
      </c>
      <c r="C326" s="172">
        <v>226</v>
      </c>
      <c r="D326" s="172" t="s">
        <v>469</v>
      </c>
      <c r="E326" s="172">
        <v>21</v>
      </c>
      <c r="F326" s="172" t="s">
        <v>1455</v>
      </c>
      <c r="H326" s="173"/>
      <c r="I326" s="172">
        <v>3</v>
      </c>
      <c r="J326" s="177">
        <v>92160</v>
      </c>
      <c r="K326" s="177">
        <v>1000000</v>
      </c>
      <c r="L326" s="177">
        <v>2000000</v>
      </c>
      <c r="M326" s="177">
        <v>1000000</v>
      </c>
      <c r="N326" s="177">
        <v>1000000</v>
      </c>
      <c r="O326" s="172"/>
      <c r="P326" s="172"/>
      <c r="Q326" s="172" t="s">
        <v>1318</v>
      </c>
      <c r="R326" s="172" t="s">
        <v>1340</v>
      </c>
      <c r="S326" s="172">
        <v>1</v>
      </c>
      <c r="T326" s="172">
        <v>0</v>
      </c>
      <c r="U326" s="172">
        <v>0</v>
      </c>
      <c r="V326" s="172"/>
      <c r="W326" s="172"/>
      <c r="Z326" s="172">
        <v>43791</v>
      </c>
      <c r="AA326" s="172">
        <v>2553</v>
      </c>
      <c r="AB326" s="172">
        <v>0.42</v>
      </c>
      <c r="AE326" s="172">
        <v>2570</v>
      </c>
      <c r="AF326" s="172">
        <v>3</v>
      </c>
      <c r="AI326" s="172"/>
      <c r="AJ326" s="172"/>
      <c r="AM326" s="172"/>
      <c r="AN326" s="172"/>
      <c r="AQ326" s="172"/>
      <c r="AR326" s="172"/>
      <c r="AU326" s="172"/>
      <c r="AV326" s="172"/>
      <c r="AY326" s="172"/>
      <c r="AZ326" s="172"/>
      <c r="BC326" s="172"/>
      <c r="BD326" s="172"/>
      <c r="BH326" s="172">
        <v>20</v>
      </c>
    </row>
    <row r="327" spans="1:60" ht="14.5">
      <c r="A327" s="172">
        <v>2260022</v>
      </c>
      <c r="B327" s="172">
        <v>324</v>
      </c>
      <c r="C327" s="172">
        <v>226</v>
      </c>
      <c r="D327" s="172" t="s">
        <v>469</v>
      </c>
      <c r="E327" s="172">
        <v>22</v>
      </c>
      <c r="F327" s="172" t="s">
        <v>1456</v>
      </c>
      <c r="H327" s="173"/>
      <c r="I327" s="172">
        <v>3</v>
      </c>
      <c r="J327" s="177">
        <v>120960</v>
      </c>
      <c r="K327" s="177">
        <v>1300000</v>
      </c>
      <c r="L327" s="177">
        <v>2600000</v>
      </c>
      <c r="M327" s="177">
        <v>1300000</v>
      </c>
      <c r="N327" s="177">
        <v>1300000</v>
      </c>
      <c r="O327" s="172"/>
      <c r="P327" s="172"/>
      <c r="Q327" s="172" t="s">
        <v>1318</v>
      </c>
      <c r="R327" s="172" t="s">
        <v>1342</v>
      </c>
      <c r="S327" s="172">
        <v>1</v>
      </c>
      <c r="T327" s="172">
        <v>0</v>
      </c>
      <c r="U327" s="172">
        <v>0</v>
      </c>
      <c r="V327" s="172"/>
      <c r="W327" s="172"/>
      <c r="X327" s="127"/>
      <c r="Y327" s="127"/>
      <c r="Z327" s="172">
        <v>56656</v>
      </c>
      <c r="AA327" s="172">
        <v>2553</v>
      </c>
      <c r="AB327" s="172">
        <v>0.44</v>
      </c>
      <c r="AE327" s="172">
        <v>2570</v>
      </c>
      <c r="AF327" s="172">
        <v>3</v>
      </c>
      <c r="AI327" s="172"/>
      <c r="AJ327" s="172"/>
      <c r="AM327" s="172"/>
      <c r="AN327" s="172"/>
      <c r="AQ327" s="172"/>
      <c r="AR327" s="172"/>
      <c r="AU327" s="172"/>
      <c r="AV327" s="172"/>
      <c r="AY327" s="172"/>
      <c r="AZ327" s="172"/>
      <c r="BC327" s="172"/>
      <c r="BD327" s="172"/>
      <c r="BH327" s="172">
        <v>20</v>
      </c>
    </row>
    <row r="328" spans="1:60" ht="14.5">
      <c r="A328" s="172">
        <v>2260023</v>
      </c>
      <c r="B328" s="172">
        <v>325</v>
      </c>
      <c r="C328" s="172">
        <v>226</v>
      </c>
      <c r="D328" s="172" t="s">
        <v>469</v>
      </c>
      <c r="E328" s="172">
        <v>23</v>
      </c>
      <c r="F328" s="172" t="s">
        <v>1457</v>
      </c>
      <c r="H328" s="173"/>
      <c r="I328" s="172">
        <v>3</v>
      </c>
      <c r="J328" s="177">
        <v>155520</v>
      </c>
      <c r="K328" s="177">
        <v>1600000</v>
      </c>
      <c r="L328" s="177">
        <v>3300000</v>
      </c>
      <c r="M328" s="177">
        <v>1600000</v>
      </c>
      <c r="N328" s="177">
        <v>1600000</v>
      </c>
      <c r="O328" s="172"/>
      <c r="P328" s="172"/>
      <c r="Q328" s="172" t="s">
        <v>1318</v>
      </c>
      <c r="R328" s="172" t="s">
        <v>1344</v>
      </c>
      <c r="S328" s="172">
        <v>1</v>
      </c>
      <c r="T328" s="172">
        <v>0</v>
      </c>
      <c r="U328" s="172">
        <v>0</v>
      </c>
      <c r="V328" s="172"/>
      <c r="W328" s="172"/>
      <c r="Z328" s="172">
        <v>73122</v>
      </c>
      <c r="AA328" s="172">
        <v>2553</v>
      </c>
      <c r="AB328" s="172">
        <v>0.46</v>
      </c>
      <c r="AE328" s="172">
        <v>2570</v>
      </c>
      <c r="AF328" s="172">
        <v>3</v>
      </c>
      <c r="AI328" s="172"/>
      <c r="AJ328" s="172"/>
      <c r="AM328" s="172"/>
      <c r="AN328" s="172"/>
      <c r="AQ328" s="172"/>
      <c r="AR328" s="172"/>
      <c r="AU328" s="172"/>
      <c r="AV328" s="172"/>
      <c r="AY328" s="172"/>
      <c r="AZ328" s="172"/>
      <c r="BC328" s="172"/>
      <c r="BD328" s="172"/>
      <c r="BH328" s="172">
        <v>20</v>
      </c>
    </row>
    <row r="329" spans="1:60" ht="14.5">
      <c r="A329" s="172">
        <v>2260024</v>
      </c>
      <c r="B329" s="172">
        <v>326</v>
      </c>
      <c r="C329" s="172">
        <v>226</v>
      </c>
      <c r="D329" s="172" t="s">
        <v>469</v>
      </c>
      <c r="E329" s="172">
        <v>24</v>
      </c>
      <c r="F329" s="172" t="s">
        <v>1458</v>
      </c>
      <c r="H329" s="173"/>
      <c r="I329" s="172">
        <v>3</v>
      </c>
      <c r="J329" s="177">
        <v>198720</v>
      </c>
      <c r="K329" s="177">
        <v>2100000</v>
      </c>
      <c r="L329" s="177">
        <v>4200000</v>
      </c>
      <c r="M329" s="177">
        <v>2100000</v>
      </c>
      <c r="N329" s="177">
        <v>2100000</v>
      </c>
      <c r="O329" s="172"/>
      <c r="P329" s="172"/>
      <c r="Q329" s="172" t="s">
        <v>1318</v>
      </c>
      <c r="R329" s="172" t="s">
        <v>1346</v>
      </c>
      <c r="S329" s="172">
        <v>1</v>
      </c>
      <c r="T329" s="172">
        <v>0</v>
      </c>
      <c r="U329" s="172">
        <v>0</v>
      </c>
      <c r="V329" s="172"/>
      <c r="W329" s="172"/>
      <c r="X329" s="127"/>
      <c r="Y329" s="127"/>
      <c r="Z329" s="172">
        <v>94200</v>
      </c>
      <c r="AA329" s="172">
        <v>2553</v>
      </c>
      <c r="AB329" s="172">
        <v>0.48</v>
      </c>
      <c r="AE329" s="172">
        <v>2570</v>
      </c>
      <c r="AF329" s="172">
        <v>3</v>
      </c>
      <c r="AI329" s="172"/>
      <c r="AJ329" s="172"/>
      <c r="AM329" s="172"/>
      <c r="AN329" s="172"/>
      <c r="AQ329" s="172"/>
      <c r="AR329" s="172"/>
      <c r="AU329" s="172"/>
      <c r="AV329" s="172"/>
      <c r="AY329" s="172"/>
      <c r="AZ329" s="172"/>
      <c r="BC329" s="172"/>
      <c r="BD329" s="172"/>
      <c r="BH329" s="172">
        <v>20</v>
      </c>
    </row>
    <row r="330" spans="1:60" ht="14.5">
      <c r="A330" s="172">
        <v>2260025</v>
      </c>
      <c r="B330" s="172">
        <v>327</v>
      </c>
      <c r="C330" s="172">
        <v>226</v>
      </c>
      <c r="D330" s="172" t="s">
        <v>469</v>
      </c>
      <c r="E330" s="172">
        <v>25</v>
      </c>
      <c r="F330" s="172" t="s">
        <v>1459</v>
      </c>
      <c r="H330" s="173"/>
      <c r="I330" s="172">
        <v>3</v>
      </c>
      <c r="J330" s="177">
        <v>250560</v>
      </c>
      <c r="K330" s="177">
        <v>2700000</v>
      </c>
      <c r="L330" s="177">
        <v>5400000</v>
      </c>
      <c r="M330" s="177">
        <v>2700000</v>
      </c>
      <c r="N330" s="177">
        <v>2700000</v>
      </c>
      <c r="O330" s="172"/>
      <c r="P330" s="172"/>
      <c r="Q330" s="172" t="s">
        <v>1318</v>
      </c>
      <c r="R330" s="172" t="s">
        <v>1348</v>
      </c>
      <c r="S330" s="172">
        <v>1</v>
      </c>
      <c r="T330" s="172">
        <v>0</v>
      </c>
      <c r="U330" s="172">
        <v>0</v>
      </c>
      <c r="V330" s="172"/>
      <c r="W330" s="172"/>
      <c r="Z330" s="172">
        <v>121179</v>
      </c>
      <c r="AA330" s="172">
        <v>2553</v>
      </c>
      <c r="AB330" s="172">
        <v>0.5</v>
      </c>
      <c r="AE330" s="172">
        <v>2570</v>
      </c>
      <c r="AF330" s="172">
        <v>3</v>
      </c>
      <c r="AI330" s="172"/>
      <c r="AJ330" s="172"/>
      <c r="AM330" s="172"/>
      <c r="AN330" s="172"/>
      <c r="AQ330" s="172"/>
      <c r="AR330" s="172"/>
      <c r="AU330" s="172"/>
      <c r="AV330" s="172"/>
      <c r="AY330" s="172"/>
      <c r="AZ330" s="172"/>
      <c r="BC330" s="172"/>
      <c r="BD330" s="172"/>
      <c r="BH330" s="172">
        <v>20</v>
      </c>
    </row>
    <row r="331" spans="1:60" ht="14.5">
      <c r="A331" s="172">
        <v>2260026</v>
      </c>
      <c r="B331" s="172">
        <v>328</v>
      </c>
      <c r="C331" s="172">
        <v>226</v>
      </c>
      <c r="D331" s="172" t="s">
        <v>469</v>
      </c>
      <c r="E331" s="172">
        <v>26</v>
      </c>
      <c r="F331" s="172" t="s">
        <v>1460</v>
      </c>
      <c r="H331" s="173"/>
      <c r="I331" s="172">
        <v>3</v>
      </c>
      <c r="J331" s="177">
        <v>311040</v>
      </c>
      <c r="K331" s="177">
        <v>3500000</v>
      </c>
      <c r="L331" s="177">
        <v>6900000</v>
      </c>
      <c r="M331" s="177">
        <v>3500000</v>
      </c>
      <c r="N331" s="177">
        <v>3500000</v>
      </c>
      <c r="O331" s="172"/>
      <c r="P331" s="172"/>
      <c r="Q331" s="172" t="s">
        <v>1318</v>
      </c>
      <c r="R331" s="172" t="s">
        <v>1350</v>
      </c>
      <c r="S331" s="172">
        <v>1</v>
      </c>
      <c r="T331" s="172">
        <v>0</v>
      </c>
      <c r="U331" s="172">
        <v>0</v>
      </c>
      <c r="V331" s="172"/>
      <c r="W331" s="172"/>
      <c r="X331" s="127"/>
      <c r="Y331" s="127"/>
      <c r="Z331" s="172">
        <v>155712</v>
      </c>
      <c r="AA331" s="172">
        <v>2553</v>
      </c>
      <c r="AB331" s="172">
        <v>0.54</v>
      </c>
      <c r="AE331" s="172">
        <v>2570</v>
      </c>
      <c r="AF331" s="172">
        <v>3</v>
      </c>
      <c r="AI331" s="172"/>
      <c r="AJ331" s="172"/>
      <c r="AM331" s="172"/>
      <c r="AN331" s="172"/>
      <c r="AQ331" s="172"/>
      <c r="AR331" s="172"/>
      <c r="AU331" s="172"/>
      <c r="AV331" s="172"/>
      <c r="AY331" s="172"/>
      <c r="AZ331" s="172"/>
      <c r="BC331" s="172"/>
      <c r="BD331" s="172"/>
      <c r="BH331" s="172">
        <v>20</v>
      </c>
    </row>
    <row r="332" spans="1:60" ht="14.5">
      <c r="A332" s="172">
        <v>2260027</v>
      </c>
      <c r="B332" s="172">
        <v>329</v>
      </c>
      <c r="C332" s="172">
        <v>226</v>
      </c>
      <c r="D332" s="172" t="s">
        <v>469</v>
      </c>
      <c r="E332" s="172">
        <v>27</v>
      </c>
      <c r="F332" s="172" t="s">
        <v>1461</v>
      </c>
      <c r="H332" s="173"/>
      <c r="I332" s="172">
        <v>3</v>
      </c>
      <c r="J332" s="177">
        <v>380160</v>
      </c>
      <c r="K332" s="177">
        <v>4400000</v>
      </c>
      <c r="L332" s="177">
        <v>8800000</v>
      </c>
      <c r="M332" s="177">
        <v>4400000</v>
      </c>
      <c r="N332" s="177">
        <v>4400000</v>
      </c>
      <c r="O332" s="172"/>
      <c r="P332" s="172"/>
      <c r="Q332" s="172" t="s">
        <v>1318</v>
      </c>
      <c r="R332" s="172" t="s">
        <v>1352</v>
      </c>
      <c r="S332" s="172">
        <v>1</v>
      </c>
      <c r="T332" s="172">
        <v>0</v>
      </c>
      <c r="U332" s="172">
        <v>0</v>
      </c>
      <c r="V332" s="172"/>
      <c r="W332" s="172"/>
      <c r="X332" s="127"/>
      <c r="Y332" s="127"/>
      <c r="Z332" s="172">
        <v>199914</v>
      </c>
      <c r="AA332" s="172">
        <v>2553</v>
      </c>
      <c r="AB332" s="172">
        <v>0.57999999999999996</v>
      </c>
      <c r="AE332" s="172">
        <v>2570</v>
      </c>
      <c r="AF332" s="172">
        <v>3</v>
      </c>
      <c r="AI332" s="172"/>
      <c r="AJ332" s="172"/>
      <c r="AM332" s="172"/>
      <c r="AN332" s="172"/>
      <c r="AQ332" s="172"/>
      <c r="AR332" s="172"/>
      <c r="AU332" s="172"/>
      <c r="AV332" s="172"/>
      <c r="AY332" s="172"/>
      <c r="AZ332" s="172"/>
      <c r="BC332" s="172"/>
      <c r="BD332" s="172"/>
      <c r="BH332" s="172">
        <v>20</v>
      </c>
    </row>
    <row r="333" spans="1:60" ht="14.5">
      <c r="A333" s="172">
        <v>2260028</v>
      </c>
      <c r="B333" s="172">
        <v>330</v>
      </c>
      <c r="C333" s="172">
        <v>226</v>
      </c>
      <c r="D333" s="172" t="s">
        <v>469</v>
      </c>
      <c r="E333" s="172">
        <v>28</v>
      </c>
      <c r="F333" s="172" t="s">
        <v>1462</v>
      </c>
      <c r="H333" s="173"/>
      <c r="I333" s="172">
        <v>3</v>
      </c>
      <c r="J333" s="177">
        <v>466560</v>
      </c>
      <c r="K333" s="177">
        <v>5700000</v>
      </c>
      <c r="L333" s="177">
        <v>11000000</v>
      </c>
      <c r="M333" s="177">
        <v>5700000</v>
      </c>
      <c r="N333" s="177">
        <v>5700000</v>
      </c>
      <c r="O333" s="172"/>
      <c r="P333" s="172"/>
      <c r="Q333" s="172" t="s">
        <v>1318</v>
      </c>
      <c r="R333" s="172" t="s">
        <v>1354</v>
      </c>
      <c r="S333" s="172">
        <v>1</v>
      </c>
      <c r="T333" s="172">
        <v>0</v>
      </c>
      <c r="U333" s="172">
        <v>0</v>
      </c>
      <c r="V333" s="172"/>
      <c r="W333" s="172"/>
      <c r="Z333" s="172">
        <v>256493</v>
      </c>
      <c r="AA333" s="172">
        <v>2553</v>
      </c>
      <c r="AB333" s="172">
        <v>0.62</v>
      </c>
      <c r="AE333" s="172">
        <v>2570</v>
      </c>
      <c r="AF333" s="172">
        <v>3</v>
      </c>
      <c r="AI333" s="172"/>
      <c r="AJ333" s="172"/>
      <c r="AM333" s="172"/>
      <c r="AN333" s="172"/>
      <c r="AQ333" s="172"/>
      <c r="AR333" s="172"/>
      <c r="AU333" s="172"/>
      <c r="AV333" s="172"/>
      <c r="AY333" s="172"/>
      <c r="AZ333" s="172"/>
      <c r="BC333" s="172"/>
      <c r="BD333" s="172"/>
      <c r="BH333" s="172">
        <v>20</v>
      </c>
    </row>
    <row r="334" spans="1:60" ht="14.5">
      <c r="A334" s="172">
        <v>2260029</v>
      </c>
      <c r="B334" s="172">
        <v>331</v>
      </c>
      <c r="C334" s="172">
        <v>226</v>
      </c>
      <c r="D334" s="172" t="s">
        <v>469</v>
      </c>
      <c r="E334" s="172">
        <v>29</v>
      </c>
      <c r="F334" s="172" t="s">
        <v>1463</v>
      </c>
      <c r="H334" s="173"/>
      <c r="I334" s="172">
        <v>3</v>
      </c>
      <c r="J334" s="177">
        <v>570240</v>
      </c>
      <c r="K334" s="177">
        <v>7200000</v>
      </c>
      <c r="L334" s="177">
        <v>14000000</v>
      </c>
      <c r="M334" s="177">
        <v>7200000</v>
      </c>
      <c r="N334" s="177">
        <v>7200000</v>
      </c>
      <c r="O334" s="172"/>
      <c r="P334" s="172"/>
      <c r="Q334" s="172" t="s">
        <v>1318</v>
      </c>
      <c r="R334" s="172" t="s">
        <v>1356</v>
      </c>
      <c r="S334" s="172">
        <v>1</v>
      </c>
      <c r="T334" s="172">
        <v>0</v>
      </c>
      <c r="U334" s="172">
        <v>0</v>
      </c>
      <c r="V334" s="172"/>
      <c r="W334" s="172"/>
      <c r="Z334" s="172">
        <v>328914</v>
      </c>
      <c r="AA334" s="172">
        <v>2553</v>
      </c>
      <c r="AB334" s="172">
        <v>0.66</v>
      </c>
      <c r="AE334" s="172">
        <v>2570</v>
      </c>
      <c r="AF334" s="172">
        <v>3</v>
      </c>
      <c r="AI334" s="172"/>
      <c r="AJ334" s="172"/>
      <c r="AM334" s="172"/>
      <c r="AN334" s="172"/>
      <c r="AQ334" s="172"/>
      <c r="AR334" s="172"/>
      <c r="AU334" s="172"/>
      <c r="AV334" s="172"/>
      <c r="AY334" s="172"/>
      <c r="AZ334" s="172"/>
      <c r="BC334" s="172"/>
      <c r="BD334" s="172"/>
      <c r="BH334" s="172">
        <v>20</v>
      </c>
    </row>
    <row r="335" spans="1:60" ht="14.5">
      <c r="A335" s="172">
        <v>2260030</v>
      </c>
      <c r="B335" s="172">
        <v>332</v>
      </c>
      <c r="C335" s="172">
        <v>226</v>
      </c>
      <c r="D335" s="172" t="s">
        <v>469</v>
      </c>
      <c r="E335" s="172">
        <v>30</v>
      </c>
      <c r="F335" s="172" t="s">
        <v>1464</v>
      </c>
      <c r="H335" s="173"/>
      <c r="I335" s="172">
        <v>3</v>
      </c>
      <c r="J335" s="177">
        <v>691200</v>
      </c>
      <c r="K335" s="177">
        <v>9300000</v>
      </c>
      <c r="L335" s="177">
        <v>19000000</v>
      </c>
      <c r="M335" s="177">
        <v>9300000</v>
      </c>
      <c r="N335" s="177">
        <v>9300000</v>
      </c>
      <c r="O335" s="172"/>
      <c r="P335" s="172"/>
      <c r="Q335" s="172" t="s">
        <v>1318</v>
      </c>
      <c r="R335" s="172" t="s">
        <v>1358</v>
      </c>
      <c r="S335" s="172">
        <v>1</v>
      </c>
      <c r="T335" s="172">
        <v>0</v>
      </c>
      <c r="U335" s="172">
        <v>0</v>
      </c>
      <c r="V335" s="172"/>
      <c r="W335" s="172"/>
      <c r="X335" s="127"/>
      <c r="Y335" s="127"/>
      <c r="Z335" s="172">
        <v>421613</v>
      </c>
      <c r="AA335" s="172">
        <v>2553</v>
      </c>
      <c r="AB335" s="172">
        <v>0.7</v>
      </c>
      <c r="AE335" s="172">
        <v>2570</v>
      </c>
      <c r="AF335" s="172">
        <v>3</v>
      </c>
      <c r="AI335" s="172"/>
      <c r="AJ335" s="172"/>
      <c r="AM335" s="172"/>
      <c r="AN335" s="172"/>
      <c r="AQ335" s="172"/>
      <c r="AR335" s="172"/>
      <c r="AU335" s="172"/>
      <c r="AV335" s="172"/>
      <c r="AY335" s="172"/>
      <c r="AZ335" s="172"/>
      <c r="BC335" s="172"/>
      <c r="BD335" s="172"/>
      <c r="BH335" s="172">
        <v>20</v>
      </c>
    </row>
    <row r="336" spans="1:60" ht="14.5">
      <c r="A336" s="172">
        <v>2270001</v>
      </c>
      <c r="B336" s="172">
        <v>333</v>
      </c>
      <c r="C336" s="172">
        <v>227</v>
      </c>
      <c r="D336" s="172" t="s">
        <v>940</v>
      </c>
      <c r="E336" s="172">
        <v>1</v>
      </c>
      <c r="F336" s="172" t="s">
        <v>1465</v>
      </c>
      <c r="H336" s="173"/>
      <c r="I336" s="172" t="s">
        <v>1205</v>
      </c>
      <c r="J336" s="177">
        <v>25</v>
      </c>
      <c r="K336" s="177">
        <v>630</v>
      </c>
      <c r="L336" s="177">
        <v>630</v>
      </c>
      <c r="M336" s="177">
        <v>0</v>
      </c>
      <c r="N336" s="177">
        <v>0</v>
      </c>
      <c r="O336" s="172"/>
      <c r="P336" s="172"/>
      <c r="Q336" s="172" t="s">
        <v>1318</v>
      </c>
      <c r="R336" s="172" t="s">
        <v>1323</v>
      </c>
      <c r="S336" s="172">
        <v>2</v>
      </c>
      <c r="T336" s="172">
        <v>0</v>
      </c>
      <c r="U336" s="172">
        <v>0</v>
      </c>
      <c r="V336" s="172" t="s">
        <v>229</v>
      </c>
      <c r="W336" s="172" t="s">
        <v>1466</v>
      </c>
      <c r="Z336" s="172">
        <v>2</v>
      </c>
      <c r="AA336" s="172">
        <v>4207</v>
      </c>
      <c r="AB336" s="172">
        <v>40</v>
      </c>
      <c r="AE336" s="172"/>
      <c r="AF336" s="172"/>
      <c r="AI336" s="172"/>
      <c r="AJ336" s="172"/>
      <c r="AM336" s="172"/>
      <c r="AN336" s="172"/>
      <c r="AQ336" s="172"/>
      <c r="AR336" s="172"/>
      <c r="AU336" s="172"/>
      <c r="AV336" s="172"/>
      <c r="AY336" s="172"/>
      <c r="AZ336" s="172"/>
      <c r="BC336" s="172"/>
      <c r="BD336" s="172"/>
      <c r="BH336" s="172">
        <v>18</v>
      </c>
    </row>
    <row r="337" spans="1:60" ht="14.5">
      <c r="A337" s="172">
        <v>2270002</v>
      </c>
      <c r="B337" s="172">
        <v>334</v>
      </c>
      <c r="C337" s="172">
        <v>227</v>
      </c>
      <c r="D337" s="172" t="s">
        <v>940</v>
      </c>
      <c r="E337" s="172">
        <v>2</v>
      </c>
      <c r="F337" s="172" t="s">
        <v>1467</v>
      </c>
      <c r="H337" s="173"/>
      <c r="I337" s="172" t="s">
        <v>1205</v>
      </c>
      <c r="J337" s="177">
        <v>45</v>
      </c>
      <c r="K337" s="177">
        <v>1300</v>
      </c>
      <c r="L337" s="177">
        <v>1300</v>
      </c>
      <c r="M337" s="177">
        <v>0</v>
      </c>
      <c r="N337" s="177">
        <v>0</v>
      </c>
      <c r="O337" s="172"/>
      <c r="P337" s="172"/>
      <c r="Q337" s="172" t="s">
        <v>1318</v>
      </c>
      <c r="R337" s="172" t="s">
        <v>1323</v>
      </c>
      <c r="S337" s="172">
        <v>2</v>
      </c>
      <c r="T337" s="172">
        <v>0</v>
      </c>
      <c r="U337" s="172">
        <v>0</v>
      </c>
      <c r="V337" s="172"/>
      <c r="W337" s="172"/>
      <c r="Z337" s="172">
        <v>7</v>
      </c>
      <c r="AA337" s="172">
        <v>4207</v>
      </c>
      <c r="AB337" s="172">
        <v>80</v>
      </c>
      <c r="AE337" s="172"/>
      <c r="AF337" s="172"/>
      <c r="AI337" s="172"/>
      <c r="AJ337" s="172"/>
      <c r="AM337" s="172"/>
      <c r="AN337" s="172"/>
      <c r="AQ337" s="172"/>
      <c r="AR337" s="172"/>
      <c r="AU337" s="172"/>
      <c r="AV337" s="172"/>
      <c r="AY337" s="172"/>
      <c r="AZ337" s="172"/>
      <c r="BC337" s="172"/>
      <c r="BD337" s="172"/>
      <c r="BH337" s="172">
        <v>18</v>
      </c>
    </row>
    <row r="338" spans="1:60" ht="14.5">
      <c r="A338" s="172">
        <v>2270003</v>
      </c>
      <c r="B338" s="172">
        <v>335</v>
      </c>
      <c r="C338" s="172">
        <v>227</v>
      </c>
      <c r="D338" s="172" t="s">
        <v>940</v>
      </c>
      <c r="E338" s="172">
        <v>3</v>
      </c>
      <c r="F338" s="172" t="s">
        <v>1468</v>
      </c>
      <c r="H338" s="173"/>
      <c r="I338" s="172" t="s">
        <v>1205</v>
      </c>
      <c r="J338" s="177">
        <v>90</v>
      </c>
      <c r="K338" s="177">
        <v>2500</v>
      </c>
      <c r="L338" s="177">
        <v>2500</v>
      </c>
      <c r="M338" s="177">
        <v>0</v>
      </c>
      <c r="N338" s="177">
        <v>0</v>
      </c>
      <c r="O338" s="172"/>
      <c r="P338" s="172"/>
      <c r="Q338" s="172" t="s">
        <v>1318</v>
      </c>
      <c r="R338" s="172" t="s">
        <v>1323</v>
      </c>
      <c r="S338" s="172">
        <v>2</v>
      </c>
      <c r="T338" s="172">
        <v>0</v>
      </c>
      <c r="U338" s="172">
        <v>0</v>
      </c>
      <c r="V338" s="172"/>
      <c r="W338" s="172"/>
      <c r="Z338" s="172">
        <v>17</v>
      </c>
      <c r="AA338" s="172">
        <v>4207</v>
      </c>
      <c r="AB338" s="172">
        <v>120</v>
      </c>
      <c r="AE338" s="172"/>
      <c r="AF338" s="172"/>
      <c r="AI338" s="172"/>
      <c r="AJ338" s="172"/>
      <c r="AM338" s="172"/>
      <c r="AN338" s="172"/>
      <c r="AQ338" s="172"/>
      <c r="AR338" s="172"/>
      <c r="AU338" s="172"/>
      <c r="AV338" s="172"/>
      <c r="AY338" s="172"/>
      <c r="AZ338" s="172"/>
      <c r="BC338" s="172"/>
      <c r="BD338" s="172"/>
      <c r="BH338" s="172">
        <v>18</v>
      </c>
    </row>
    <row r="339" spans="1:60" ht="14.5">
      <c r="A339" s="172">
        <v>2270004</v>
      </c>
      <c r="B339" s="172">
        <v>336</v>
      </c>
      <c r="C339" s="172">
        <v>227</v>
      </c>
      <c r="D339" s="172" t="s">
        <v>940</v>
      </c>
      <c r="E339" s="172">
        <v>4</v>
      </c>
      <c r="F339" s="172" t="s">
        <v>1469</v>
      </c>
      <c r="H339" s="173"/>
      <c r="I339" s="172" t="s">
        <v>1205</v>
      </c>
      <c r="J339" s="177">
        <v>180</v>
      </c>
      <c r="K339" s="177">
        <v>5000</v>
      </c>
      <c r="L339" s="177">
        <v>5000</v>
      </c>
      <c r="M339" s="177">
        <v>0</v>
      </c>
      <c r="N339" s="177">
        <v>0</v>
      </c>
      <c r="O339" s="172"/>
      <c r="P339" s="172"/>
      <c r="Q339" s="172" t="s">
        <v>1318</v>
      </c>
      <c r="R339" s="172" t="s">
        <v>1323</v>
      </c>
      <c r="S339" s="172">
        <v>2</v>
      </c>
      <c r="T339" s="172">
        <v>0</v>
      </c>
      <c r="U339" s="172">
        <v>0</v>
      </c>
      <c r="V339" s="172"/>
      <c r="W339" s="172"/>
      <c r="Z339" s="172">
        <v>37</v>
      </c>
      <c r="AA339" s="172">
        <v>4207</v>
      </c>
      <c r="AB339" s="172">
        <v>160</v>
      </c>
      <c r="AE339" s="172"/>
      <c r="AF339" s="172"/>
      <c r="AI339" s="172"/>
      <c r="AJ339" s="172"/>
      <c r="AM339" s="172"/>
      <c r="AN339" s="172"/>
      <c r="AQ339" s="172"/>
      <c r="AR339" s="172"/>
      <c r="AU339" s="172"/>
      <c r="AV339" s="172"/>
      <c r="AY339" s="172"/>
      <c r="AZ339" s="172"/>
      <c r="BC339" s="172"/>
      <c r="BD339" s="172"/>
      <c r="BH339" s="172">
        <v>18</v>
      </c>
    </row>
    <row r="340" spans="1:60" ht="14.5">
      <c r="A340" s="172">
        <v>2270005</v>
      </c>
      <c r="B340" s="172">
        <v>337</v>
      </c>
      <c r="C340" s="172">
        <v>227</v>
      </c>
      <c r="D340" s="172" t="s">
        <v>940</v>
      </c>
      <c r="E340" s="172">
        <v>5</v>
      </c>
      <c r="F340" s="172" t="s">
        <v>1470</v>
      </c>
      <c r="H340" s="173"/>
      <c r="I340" s="172">
        <v>1</v>
      </c>
      <c r="J340" s="177">
        <v>375</v>
      </c>
      <c r="K340" s="177">
        <v>4800</v>
      </c>
      <c r="L340" s="177">
        <v>4800</v>
      </c>
      <c r="M340" s="177">
        <v>9700</v>
      </c>
      <c r="N340" s="177">
        <v>0</v>
      </c>
      <c r="O340" s="172"/>
      <c r="P340" s="172"/>
      <c r="Q340" s="172" t="s">
        <v>1471</v>
      </c>
      <c r="R340" s="172" t="s">
        <v>1225</v>
      </c>
      <c r="S340" s="172">
        <v>2</v>
      </c>
      <c r="T340" s="172">
        <v>0</v>
      </c>
      <c r="U340" s="172">
        <v>0</v>
      </c>
      <c r="V340" s="172"/>
      <c r="W340" s="172"/>
      <c r="Z340" s="172">
        <v>76</v>
      </c>
      <c r="AA340" s="172">
        <v>4207</v>
      </c>
      <c r="AB340" s="172">
        <v>200</v>
      </c>
      <c r="AE340" s="172"/>
      <c r="AF340" s="172"/>
      <c r="AI340" s="172"/>
      <c r="AJ340" s="172"/>
      <c r="AM340" s="172"/>
      <c r="AN340" s="172"/>
      <c r="AQ340" s="172"/>
      <c r="AR340" s="172"/>
      <c r="AU340" s="172"/>
      <c r="AV340" s="172"/>
      <c r="AY340" s="172"/>
      <c r="AZ340" s="172"/>
      <c r="BC340" s="172"/>
      <c r="BD340" s="172"/>
      <c r="BH340" s="172">
        <v>18</v>
      </c>
    </row>
    <row r="341" spans="1:60" ht="14.5">
      <c r="A341" s="172">
        <v>2270006</v>
      </c>
      <c r="B341" s="172">
        <v>338</v>
      </c>
      <c r="C341" s="172">
        <v>227</v>
      </c>
      <c r="D341" s="172" t="s">
        <v>940</v>
      </c>
      <c r="E341" s="172">
        <v>6</v>
      </c>
      <c r="F341" s="172" t="s">
        <v>1472</v>
      </c>
      <c r="H341" s="173"/>
      <c r="I341" s="172">
        <v>1</v>
      </c>
      <c r="J341" s="177">
        <v>675</v>
      </c>
      <c r="K341" s="177">
        <v>9000</v>
      </c>
      <c r="L341" s="177">
        <v>9000</v>
      </c>
      <c r="M341" s="177">
        <v>18000</v>
      </c>
      <c r="N341" s="177">
        <v>0</v>
      </c>
      <c r="O341" s="172"/>
      <c r="P341" s="172"/>
      <c r="Q341" s="172" t="s">
        <v>1471</v>
      </c>
      <c r="R341" s="172" t="s">
        <v>1230</v>
      </c>
      <c r="S341" s="172">
        <v>2</v>
      </c>
      <c r="T341" s="172">
        <v>0</v>
      </c>
      <c r="U341" s="172">
        <v>0</v>
      </c>
      <c r="V341" s="172"/>
      <c r="W341" s="172"/>
      <c r="Z341" s="172">
        <v>147</v>
      </c>
      <c r="AA341" s="172">
        <v>4207</v>
      </c>
      <c r="AB341" s="172">
        <v>250</v>
      </c>
      <c r="AE341" s="172"/>
      <c r="AF341" s="172"/>
      <c r="AI341" s="172"/>
      <c r="AJ341" s="172"/>
      <c r="AM341" s="172"/>
      <c r="AN341" s="172"/>
      <c r="AQ341" s="172"/>
      <c r="AR341" s="172"/>
      <c r="AU341" s="172"/>
      <c r="AV341" s="172"/>
      <c r="AY341" s="172"/>
      <c r="AZ341" s="172"/>
      <c r="BC341" s="172"/>
      <c r="BD341" s="172"/>
      <c r="BH341" s="172">
        <v>18</v>
      </c>
    </row>
    <row r="342" spans="1:60" ht="14.5">
      <c r="A342" s="172">
        <v>2270007</v>
      </c>
      <c r="B342" s="172">
        <v>339</v>
      </c>
      <c r="C342" s="172">
        <v>227</v>
      </c>
      <c r="D342" s="172" t="s">
        <v>940</v>
      </c>
      <c r="E342" s="172">
        <v>7</v>
      </c>
      <c r="F342" s="172" t="s">
        <v>1473</v>
      </c>
      <c r="H342" s="173"/>
      <c r="I342" s="172">
        <v>1</v>
      </c>
      <c r="J342" s="177">
        <v>1125</v>
      </c>
      <c r="K342" s="177">
        <v>16000</v>
      </c>
      <c r="L342" s="177">
        <v>16000</v>
      </c>
      <c r="M342" s="177">
        <v>32000</v>
      </c>
      <c r="N342" s="177">
        <v>0</v>
      </c>
      <c r="O342" s="172"/>
      <c r="P342" s="172"/>
      <c r="Q342" s="172" t="s">
        <v>1471</v>
      </c>
      <c r="R342" s="172" t="s">
        <v>1234</v>
      </c>
      <c r="S342" s="172">
        <v>2</v>
      </c>
      <c r="T342" s="172">
        <v>0</v>
      </c>
      <c r="U342" s="172">
        <v>0</v>
      </c>
      <c r="V342" s="172"/>
      <c r="W342" s="172"/>
      <c r="Z342" s="172">
        <v>276</v>
      </c>
      <c r="AA342" s="172">
        <v>4207</v>
      </c>
      <c r="AB342" s="172">
        <v>300</v>
      </c>
      <c r="AE342" s="172"/>
      <c r="AF342" s="172"/>
      <c r="AI342" s="172"/>
      <c r="AJ342" s="172"/>
      <c r="AM342" s="172"/>
      <c r="AN342" s="172"/>
      <c r="AQ342" s="172"/>
      <c r="AR342" s="172"/>
      <c r="AU342" s="172"/>
      <c r="AV342" s="172"/>
      <c r="AY342" s="172"/>
      <c r="AZ342" s="172"/>
      <c r="BC342" s="172"/>
      <c r="BD342" s="172"/>
      <c r="BH342" s="172">
        <v>18</v>
      </c>
    </row>
    <row r="343" spans="1:60" ht="14.5">
      <c r="A343" s="172">
        <v>2270008</v>
      </c>
      <c r="B343" s="172">
        <v>340</v>
      </c>
      <c r="C343" s="172">
        <v>227</v>
      </c>
      <c r="D343" s="172" t="s">
        <v>940</v>
      </c>
      <c r="E343" s="172">
        <v>8</v>
      </c>
      <c r="F343" s="172" t="s">
        <v>1474</v>
      </c>
      <c r="H343" s="173"/>
      <c r="I343" s="172">
        <v>1</v>
      </c>
      <c r="J343" s="177">
        <v>1800</v>
      </c>
      <c r="K343" s="177">
        <v>28000</v>
      </c>
      <c r="L343" s="177">
        <v>28000</v>
      </c>
      <c r="M343" s="177">
        <v>55000</v>
      </c>
      <c r="N343" s="177">
        <v>0</v>
      </c>
      <c r="O343" s="172"/>
      <c r="P343" s="172"/>
      <c r="Q343" s="172" t="s">
        <v>1471</v>
      </c>
      <c r="R343" s="172" t="s">
        <v>1239</v>
      </c>
      <c r="S343" s="172">
        <v>2</v>
      </c>
      <c r="T343" s="172">
        <v>0</v>
      </c>
      <c r="U343" s="172">
        <v>0</v>
      </c>
      <c r="V343" s="172"/>
      <c r="W343" s="172"/>
      <c r="Z343" s="172">
        <v>497</v>
      </c>
      <c r="AA343" s="172">
        <v>4207</v>
      </c>
      <c r="AB343" s="172">
        <v>350</v>
      </c>
      <c r="AE343" s="172"/>
      <c r="AF343" s="172"/>
      <c r="AI343" s="172"/>
      <c r="AJ343" s="172"/>
      <c r="AM343" s="172"/>
      <c r="AN343" s="172"/>
      <c r="AQ343" s="172"/>
      <c r="AR343" s="172"/>
      <c r="AU343" s="172"/>
      <c r="AV343" s="172"/>
      <c r="AY343" s="172"/>
      <c r="AZ343" s="172"/>
      <c r="BC343" s="172"/>
      <c r="BD343" s="172"/>
      <c r="BH343" s="172">
        <v>18</v>
      </c>
    </row>
    <row r="344" spans="1:60" ht="14.5">
      <c r="A344" s="172">
        <v>2270009</v>
      </c>
      <c r="B344" s="172">
        <v>341</v>
      </c>
      <c r="C344" s="172">
        <v>227</v>
      </c>
      <c r="D344" s="172" t="s">
        <v>940</v>
      </c>
      <c r="E344" s="172">
        <v>9</v>
      </c>
      <c r="F344" s="172" t="s">
        <v>1475</v>
      </c>
      <c r="H344" s="173"/>
      <c r="I344" s="172">
        <v>1</v>
      </c>
      <c r="J344" s="177">
        <v>3600</v>
      </c>
      <c r="K344" s="177">
        <v>46000</v>
      </c>
      <c r="L344" s="177">
        <v>46000</v>
      </c>
      <c r="M344" s="177">
        <v>91000</v>
      </c>
      <c r="N344" s="177">
        <v>0</v>
      </c>
      <c r="O344" s="172"/>
      <c r="P344" s="172"/>
      <c r="Q344" s="172" t="s">
        <v>1471</v>
      </c>
      <c r="R344" s="172" t="s">
        <v>1244</v>
      </c>
      <c r="S344" s="172">
        <v>2</v>
      </c>
      <c r="T344" s="172">
        <v>0</v>
      </c>
      <c r="U344" s="172">
        <v>0</v>
      </c>
      <c r="V344" s="172"/>
      <c r="W344" s="172"/>
      <c r="Z344" s="172">
        <v>862</v>
      </c>
      <c r="AA344" s="172">
        <v>4207</v>
      </c>
      <c r="AB344" s="172">
        <v>400</v>
      </c>
      <c r="AE344" s="172"/>
      <c r="AF344" s="172"/>
      <c r="AI344" s="172"/>
      <c r="AJ344" s="172"/>
      <c r="AM344" s="172"/>
      <c r="AN344" s="172"/>
      <c r="AQ344" s="172"/>
      <c r="AR344" s="172"/>
      <c r="AU344" s="172"/>
      <c r="AV344" s="172"/>
      <c r="AY344" s="172"/>
      <c r="AZ344" s="172"/>
      <c r="BC344" s="172"/>
      <c r="BD344" s="172"/>
      <c r="BH344" s="172">
        <v>18</v>
      </c>
    </row>
    <row r="345" spans="1:60" ht="14.5">
      <c r="A345" s="172">
        <v>2270010</v>
      </c>
      <c r="B345" s="172">
        <v>342</v>
      </c>
      <c r="C345" s="172">
        <v>227</v>
      </c>
      <c r="D345" s="172" t="s">
        <v>940</v>
      </c>
      <c r="E345" s="172">
        <v>10</v>
      </c>
      <c r="F345" s="172" t="s">
        <v>1476</v>
      </c>
      <c r="H345" s="173"/>
      <c r="I345" s="172">
        <v>1</v>
      </c>
      <c r="J345" s="177">
        <v>5400</v>
      </c>
      <c r="K345" s="177">
        <v>58000</v>
      </c>
      <c r="L345" s="177">
        <v>58000</v>
      </c>
      <c r="M345" s="177">
        <v>120000</v>
      </c>
      <c r="N345" s="177">
        <v>58000</v>
      </c>
      <c r="O345" s="172"/>
      <c r="P345" s="172"/>
      <c r="Q345" s="172" t="s">
        <v>1471</v>
      </c>
      <c r="R345" s="172" t="s">
        <v>1247</v>
      </c>
      <c r="S345" s="172">
        <v>2</v>
      </c>
      <c r="T345" s="172">
        <v>0</v>
      </c>
      <c r="U345" s="172">
        <v>0</v>
      </c>
      <c r="V345" s="172"/>
      <c r="W345" s="172"/>
      <c r="Z345" s="172">
        <v>1438</v>
      </c>
      <c r="AA345" s="172">
        <v>4207</v>
      </c>
      <c r="AB345" s="172">
        <v>460</v>
      </c>
      <c r="AE345" s="172"/>
      <c r="AF345" s="172"/>
      <c r="AI345" s="172"/>
      <c r="AJ345" s="172"/>
      <c r="AM345" s="172"/>
      <c r="AN345" s="172"/>
      <c r="AQ345" s="172"/>
      <c r="AR345" s="172"/>
      <c r="AU345" s="172"/>
      <c r="AV345" s="172"/>
      <c r="AY345" s="172"/>
      <c r="AZ345" s="172"/>
      <c r="BC345" s="172"/>
      <c r="BD345" s="172"/>
      <c r="BH345" s="172">
        <v>18</v>
      </c>
    </row>
    <row r="346" spans="1:60" ht="14.5">
      <c r="A346" s="172">
        <v>2270011</v>
      </c>
      <c r="B346" s="172">
        <v>343</v>
      </c>
      <c r="C346" s="172">
        <v>227</v>
      </c>
      <c r="D346" s="172" t="s">
        <v>940</v>
      </c>
      <c r="E346" s="172">
        <v>11</v>
      </c>
      <c r="F346" s="172" t="s">
        <v>1477</v>
      </c>
      <c r="H346" s="173"/>
      <c r="I346" s="172">
        <v>1</v>
      </c>
      <c r="J346" s="177">
        <v>8100</v>
      </c>
      <c r="K346" s="177">
        <v>87000</v>
      </c>
      <c r="L346" s="177">
        <v>87000</v>
      </c>
      <c r="M346" s="177">
        <v>170000</v>
      </c>
      <c r="N346" s="177">
        <v>87000</v>
      </c>
      <c r="O346" s="172"/>
      <c r="P346" s="172"/>
      <c r="Q346" s="172" t="s">
        <v>1471</v>
      </c>
      <c r="R346" s="172" t="s">
        <v>1252</v>
      </c>
      <c r="S346" s="172">
        <v>2</v>
      </c>
      <c r="T346" s="172">
        <v>0</v>
      </c>
      <c r="U346" s="172">
        <v>0</v>
      </c>
      <c r="V346" s="172"/>
      <c r="W346" s="172"/>
      <c r="Z346" s="172">
        <v>2308</v>
      </c>
      <c r="AA346" s="172">
        <v>4207</v>
      </c>
      <c r="AB346" s="172">
        <v>520</v>
      </c>
      <c r="AE346" s="172"/>
      <c r="AF346" s="172"/>
      <c r="AI346" s="172"/>
      <c r="AJ346" s="172"/>
      <c r="AM346" s="172"/>
      <c r="AN346" s="172"/>
      <c r="AQ346" s="172"/>
      <c r="AR346" s="172"/>
      <c r="AU346" s="172"/>
      <c r="AV346" s="172"/>
      <c r="AY346" s="172"/>
      <c r="AZ346" s="172"/>
      <c r="BC346" s="172"/>
      <c r="BD346" s="172"/>
      <c r="BH346" s="172">
        <v>18</v>
      </c>
    </row>
    <row r="347" spans="1:60" ht="14.5">
      <c r="A347" s="172">
        <v>2270012</v>
      </c>
      <c r="B347" s="172">
        <v>344</v>
      </c>
      <c r="C347" s="172">
        <v>227</v>
      </c>
      <c r="D347" s="172" t="s">
        <v>940</v>
      </c>
      <c r="E347" s="172">
        <v>12</v>
      </c>
      <c r="F347" s="172" t="s">
        <v>1478</v>
      </c>
      <c r="H347" s="173"/>
      <c r="I347" s="172">
        <v>2</v>
      </c>
      <c r="J347" s="177">
        <v>10800</v>
      </c>
      <c r="K347" s="177">
        <v>130000</v>
      </c>
      <c r="L347" s="177">
        <v>130000</v>
      </c>
      <c r="M347" s="177">
        <v>250000</v>
      </c>
      <c r="N347" s="177">
        <v>130000</v>
      </c>
      <c r="O347" s="172"/>
      <c r="P347" s="172"/>
      <c r="Q347" s="172" t="s">
        <v>1471</v>
      </c>
      <c r="R347" s="172" t="s">
        <v>1258</v>
      </c>
      <c r="S347" s="172">
        <v>2</v>
      </c>
      <c r="T347" s="172">
        <v>0</v>
      </c>
      <c r="U347" s="172">
        <v>0</v>
      </c>
      <c r="V347" s="172"/>
      <c r="W347" s="172"/>
      <c r="Z347" s="172">
        <v>3561</v>
      </c>
      <c r="AA347" s="172">
        <v>4207</v>
      </c>
      <c r="AB347" s="172">
        <v>580</v>
      </c>
      <c r="AE347" s="172"/>
      <c r="AF347" s="172"/>
      <c r="AI347" s="172"/>
      <c r="AJ347" s="172"/>
      <c r="AM347" s="172"/>
      <c r="AN347" s="172"/>
      <c r="AQ347" s="172"/>
      <c r="AR347" s="172"/>
      <c r="AU347" s="172"/>
      <c r="AV347" s="172"/>
      <c r="AY347" s="172"/>
      <c r="AZ347" s="172"/>
      <c r="BC347" s="172"/>
      <c r="BD347" s="172"/>
      <c r="BH347" s="172">
        <v>18</v>
      </c>
    </row>
    <row r="348" spans="1:60" ht="14.5">
      <c r="A348" s="172">
        <v>2270013</v>
      </c>
      <c r="B348" s="172">
        <v>345</v>
      </c>
      <c r="C348" s="172">
        <v>227</v>
      </c>
      <c r="D348" s="172" t="s">
        <v>940</v>
      </c>
      <c r="E348" s="172">
        <v>13</v>
      </c>
      <c r="F348" s="172" t="s">
        <v>1479</v>
      </c>
      <c r="H348" s="173"/>
      <c r="I348" s="172">
        <v>2</v>
      </c>
      <c r="J348" s="177">
        <v>14400</v>
      </c>
      <c r="K348" s="177">
        <v>170000</v>
      </c>
      <c r="L348" s="177">
        <v>170000</v>
      </c>
      <c r="M348" s="177">
        <v>340000</v>
      </c>
      <c r="N348" s="177">
        <v>170000</v>
      </c>
      <c r="O348" s="172"/>
      <c r="P348" s="172"/>
      <c r="Q348" s="172" t="s">
        <v>1471</v>
      </c>
      <c r="R348" s="172" t="s">
        <v>1262</v>
      </c>
      <c r="S348" s="172">
        <v>2</v>
      </c>
      <c r="T348" s="172">
        <v>0</v>
      </c>
      <c r="U348" s="172">
        <v>0</v>
      </c>
      <c r="V348" s="172"/>
      <c r="W348" s="172"/>
      <c r="Z348" s="172">
        <v>5278</v>
      </c>
      <c r="AA348" s="172">
        <v>4207</v>
      </c>
      <c r="AB348" s="172">
        <v>640</v>
      </c>
      <c r="AE348" s="172"/>
      <c r="AF348" s="172"/>
      <c r="AI348" s="172"/>
      <c r="AJ348" s="172"/>
      <c r="AM348" s="172"/>
      <c r="AN348" s="172"/>
      <c r="AQ348" s="172"/>
      <c r="AR348" s="172"/>
      <c r="AU348" s="172"/>
      <c r="AV348" s="172"/>
      <c r="AY348" s="172"/>
      <c r="AZ348" s="172"/>
      <c r="BC348" s="172"/>
      <c r="BD348" s="172"/>
      <c r="BH348" s="172">
        <v>18</v>
      </c>
    </row>
    <row r="349" spans="1:60" ht="14.5">
      <c r="A349" s="172">
        <v>2270014</v>
      </c>
      <c r="B349" s="172">
        <v>346</v>
      </c>
      <c r="C349" s="172">
        <v>227</v>
      </c>
      <c r="D349" s="172" t="s">
        <v>940</v>
      </c>
      <c r="E349" s="172">
        <v>14</v>
      </c>
      <c r="F349" s="172" t="s">
        <v>1480</v>
      </c>
      <c r="H349" s="173"/>
      <c r="I349" s="172">
        <v>2</v>
      </c>
      <c r="J349" s="177">
        <v>18000</v>
      </c>
      <c r="K349" s="177">
        <v>220000</v>
      </c>
      <c r="L349" s="177">
        <v>220000</v>
      </c>
      <c r="M349" s="177">
        <v>450000</v>
      </c>
      <c r="N349" s="177">
        <v>220000</v>
      </c>
      <c r="O349" s="172"/>
      <c r="P349" s="172"/>
      <c r="Q349" s="172" t="s">
        <v>1471</v>
      </c>
      <c r="R349" s="172" t="s">
        <v>1265</v>
      </c>
      <c r="S349" s="172">
        <v>2</v>
      </c>
      <c r="T349" s="172">
        <v>0</v>
      </c>
      <c r="U349" s="172">
        <v>0</v>
      </c>
      <c r="V349" s="172"/>
      <c r="W349" s="172"/>
      <c r="Z349" s="172">
        <v>7509</v>
      </c>
      <c r="AA349" s="172">
        <v>4207</v>
      </c>
      <c r="AB349" s="172">
        <v>700</v>
      </c>
      <c r="AE349" s="172"/>
      <c r="AF349" s="172"/>
      <c r="AI349" s="172"/>
      <c r="AJ349" s="172"/>
      <c r="AM349" s="172"/>
      <c r="AN349" s="172"/>
      <c r="AQ349" s="172"/>
      <c r="AR349" s="172"/>
      <c r="AU349" s="172"/>
      <c r="AV349" s="172"/>
      <c r="AY349" s="172"/>
      <c r="AZ349" s="172"/>
      <c r="BC349" s="172"/>
      <c r="BD349" s="172"/>
      <c r="BH349" s="172">
        <v>18</v>
      </c>
    </row>
    <row r="350" spans="1:60" ht="14.5">
      <c r="A350" s="172">
        <v>2270015</v>
      </c>
      <c r="B350" s="172">
        <v>347</v>
      </c>
      <c r="C350" s="172">
        <v>227</v>
      </c>
      <c r="D350" s="172" t="s">
        <v>940</v>
      </c>
      <c r="E350" s="172">
        <v>15</v>
      </c>
      <c r="F350" s="172" t="s">
        <v>1481</v>
      </c>
      <c r="H350" s="173"/>
      <c r="I350" s="172">
        <v>2</v>
      </c>
      <c r="J350" s="177">
        <v>21600</v>
      </c>
      <c r="K350" s="177">
        <v>290000</v>
      </c>
      <c r="L350" s="177">
        <v>290000</v>
      </c>
      <c r="M350" s="177">
        <v>570000</v>
      </c>
      <c r="N350" s="177">
        <v>290000</v>
      </c>
      <c r="O350" s="172"/>
      <c r="P350" s="172"/>
      <c r="Q350" s="172" t="s">
        <v>1471</v>
      </c>
      <c r="R350" s="172" t="s">
        <v>1269</v>
      </c>
      <c r="S350" s="172">
        <v>2</v>
      </c>
      <c r="T350" s="172">
        <v>0</v>
      </c>
      <c r="U350" s="172">
        <v>0</v>
      </c>
      <c r="V350" s="172"/>
      <c r="W350" s="172"/>
      <c r="Z350" s="172">
        <v>10366</v>
      </c>
      <c r="AA350" s="172">
        <v>4207</v>
      </c>
      <c r="AB350" s="172">
        <v>780</v>
      </c>
      <c r="AE350" s="172"/>
      <c r="AF350" s="172"/>
      <c r="AI350" s="172"/>
      <c r="AJ350" s="172"/>
      <c r="AM350" s="172"/>
      <c r="AN350" s="172"/>
      <c r="AQ350" s="172"/>
      <c r="AR350" s="172"/>
      <c r="AU350" s="172"/>
      <c r="AV350" s="172"/>
      <c r="AY350" s="172"/>
      <c r="AZ350" s="172"/>
      <c r="BC350" s="172"/>
      <c r="BD350" s="172"/>
      <c r="BH350" s="172">
        <v>18</v>
      </c>
    </row>
    <row r="351" spans="1:60" ht="14.5">
      <c r="A351" s="172">
        <v>2270016</v>
      </c>
      <c r="B351" s="172">
        <v>348</v>
      </c>
      <c r="C351" s="172">
        <v>227</v>
      </c>
      <c r="D351" s="172" t="s">
        <v>940</v>
      </c>
      <c r="E351" s="172">
        <v>16</v>
      </c>
      <c r="F351" s="172" t="s">
        <v>1482</v>
      </c>
      <c r="H351" s="173"/>
      <c r="I351" s="172">
        <v>2</v>
      </c>
      <c r="J351" s="177">
        <v>27000</v>
      </c>
      <c r="K351" s="177">
        <v>370000</v>
      </c>
      <c r="L351" s="177">
        <v>370000</v>
      </c>
      <c r="M351" s="177">
        <v>730000</v>
      </c>
      <c r="N351" s="177">
        <v>370000</v>
      </c>
      <c r="O351" s="172"/>
      <c r="P351" s="172"/>
      <c r="Q351" s="172" t="s">
        <v>1471</v>
      </c>
      <c r="R351" s="172" t="s">
        <v>1272</v>
      </c>
      <c r="S351" s="172">
        <v>2</v>
      </c>
      <c r="T351" s="172">
        <v>0</v>
      </c>
      <c r="U351" s="172">
        <v>0</v>
      </c>
      <c r="V351" s="172"/>
      <c r="W351" s="172"/>
      <c r="Z351" s="172">
        <v>14022</v>
      </c>
      <c r="AA351" s="172">
        <v>4207</v>
      </c>
      <c r="AB351" s="172">
        <v>860</v>
      </c>
      <c r="AE351" s="172"/>
      <c r="AF351" s="172"/>
      <c r="AI351" s="172"/>
      <c r="AJ351" s="172"/>
      <c r="AM351" s="172"/>
      <c r="AN351" s="172"/>
      <c r="AQ351" s="172"/>
      <c r="AR351" s="172"/>
      <c r="AU351" s="172"/>
      <c r="AV351" s="172"/>
      <c r="AY351" s="172"/>
      <c r="AZ351" s="172"/>
      <c r="BC351" s="172"/>
      <c r="BD351" s="172"/>
      <c r="BH351" s="172">
        <v>18</v>
      </c>
    </row>
    <row r="352" spans="1:60" ht="14.5">
      <c r="A352" s="172">
        <v>2270017</v>
      </c>
      <c r="B352" s="172">
        <v>349</v>
      </c>
      <c r="C352" s="172">
        <v>227</v>
      </c>
      <c r="D352" s="172" t="s">
        <v>940</v>
      </c>
      <c r="E352" s="172">
        <v>17</v>
      </c>
      <c r="F352" s="172" t="s">
        <v>1483</v>
      </c>
      <c r="H352" s="173"/>
      <c r="I352" s="172">
        <v>2</v>
      </c>
      <c r="J352" s="177">
        <v>36000</v>
      </c>
      <c r="K352" s="177">
        <v>470000</v>
      </c>
      <c r="L352" s="177">
        <v>470000</v>
      </c>
      <c r="M352" s="177">
        <v>940000</v>
      </c>
      <c r="N352" s="177">
        <v>470000</v>
      </c>
      <c r="O352" s="172"/>
      <c r="P352" s="172"/>
      <c r="Q352" s="172" t="s">
        <v>1471</v>
      </c>
      <c r="R352" s="172" t="s">
        <v>1278</v>
      </c>
      <c r="S352" s="172">
        <v>2</v>
      </c>
      <c r="T352" s="172">
        <v>0</v>
      </c>
      <c r="U352" s="172">
        <v>0</v>
      </c>
      <c r="V352" s="172"/>
      <c r="W352" s="172"/>
      <c r="Z352" s="172">
        <v>18702</v>
      </c>
      <c r="AA352" s="172">
        <v>4207</v>
      </c>
      <c r="AB352" s="172">
        <v>940</v>
      </c>
      <c r="AE352" s="172"/>
      <c r="AF352" s="172"/>
      <c r="AI352" s="172"/>
      <c r="AJ352" s="172"/>
      <c r="AM352" s="172"/>
      <c r="AN352" s="172"/>
      <c r="AQ352" s="172"/>
      <c r="AR352" s="172"/>
      <c r="AU352" s="172"/>
      <c r="AV352" s="172"/>
      <c r="AY352" s="172"/>
      <c r="AZ352" s="172"/>
      <c r="BC352" s="172"/>
      <c r="BD352" s="172"/>
      <c r="BH352" s="172">
        <v>18</v>
      </c>
    </row>
    <row r="353" spans="1:65" ht="14.5">
      <c r="A353" s="172">
        <v>2270018</v>
      </c>
      <c r="B353" s="172">
        <v>350</v>
      </c>
      <c r="C353" s="172">
        <v>227</v>
      </c>
      <c r="D353" s="172" t="s">
        <v>940</v>
      </c>
      <c r="E353" s="172">
        <v>18</v>
      </c>
      <c r="F353" s="172" t="s">
        <v>1484</v>
      </c>
      <c r="H353" s="173"/>
      <c r="I353" s="172">
        <v>2</v>
      </c>
      <c r="J353" s="177">
        <v>46800</v>
      </c>
      <c r="K353" s="177">
        <v>600000</v>
      </c>
      <c r="L353" s="177">
        <v>600000</v>
      </c>
      <c r="M353" s="177">
        <v>1200000</v>
      </c>
      <c r="N353" s="177">
        <v>600000</v>
      </c>
      <c r="O353" s="172"/>
      <c r="P353" s="172"/>
      <c r="Q353" s="172" t="s">
        <v>1471</v>
      </c>
      <c r="R353" s="172" t="s">
        <v>1281</v>
      </c>
      <c r="S353" s="172">
        <v>2</v>
      </c>
      <c r="T353" s="172">
        <v>0</v>
      </c>
      <c r="U353" s="172">
        <v>0</v>
      </c>
      <c r="V353" s="172"/>
      <c r="W353" s="172"/>
      <c r="Z353" s="172">
        <v>24693</v>
      </c>
      <c r="AA353" s="172">
        <v>4207</v>
      </c>
      <c r="AB353" s="172">
        <v>1020</v>
      </c>
      <c r="AE353" s="172"/>
      <c r="AF353" s="172"/>
      <c r="AI353" s="172"/>
      <c r="AJ353" s="172"/>
      <c r="AM353" s="172"/>
      <c r="AN353" s="172"/>
      <c r="AQ353" s="172"/>
      <c r="AR353" s="172"/>
      <c r="AU353" s="172"/>
      <c r="AV353" s="172"/>
      <c r="AY353" s="172"/>
      <c r="AZ353" s="172"/>
      <c r="BC353" s="172"/>
      <c r="BD353" s="172"/>
      <c r="BH353" s="172">
        <v>18</v>
      </c>
    </row>
    <row r="354" spans="1:65" ht="14.5">
      <c r="A354" s="172">
        <v>2270019</v>
      </c>
      <c r="B354" s="172">
        <v>351</v>
      </c>
      <c r="C354" s="172">
        <v>227</v>
      </c>
      <c r="D354" s="172" t="s">
        <v>940</v>
      </c>
      <c r="E354" s="172">
        <v>19</v>
      </c>
      <c r="F354" s="172" t="s">
        <v>1485</v>
      </c>
      <c r="H354" s="173"/>
      <c r="I354" s="172">
        <v>2</v>
      </c>
      <c r="J354" s="177">
        <v>61200</v>
      </c>
      <c r="K354" s="177">
        <v>770000</v>
      </c>
      <c r="L354" s="177">
        <v>770000</v>
      </c>
      <c r="M354" s="177">
        <v>1500000</v>
      </c>
      <c r="N354" s="177">
        <v>770000</v>
      </c>
      <c r="O354" s="172"/>
      <c r="P354" s="172"/>
      <c r="Q354" s="172" t="s">
        <v>1471</v>
      </c>
      <c r="R354" s="172" t="s">
        <v>1283</v>
      </c>
      <c r="S354" s="172">
        <v>2</v>
      </c>
      <c r="T354" s="172">
        <v>0</v>
      </c>
      <c r="U354" s="172">
        <v>0</v>
      </c>
      <c r="V354" s="172"/>
      <c r="W354" s="172"/>
      <c r="Z354" s="172">
        <v>32361</v>
      </c>
      <c r="AA354" s="172">
        <v>4207</v>
      </c>
      <c r="AB354" s="172">
        <v>1100</v>
      </c>
      <c r="AE354" s="172"/>
      <c r="AF354" s="172"/>
      <c r="AI354" s="172"/>
      <c r="AJ354" s="172"/>
      <c r="AM354" s="172"/>
      <c r="AN354" s="172"/>
      <c r="AQ354" s="172"/>
      <c r="AR354" s="172"/>
      <c r="AU354" s="172"/>
      <c r="AV354" s="172"/>
      <c r="AY354" s="172"/>
      <c r="AZ354" s="172"/>
      <c r="BC354" s="172"/>
      <c r="BD354" s="172"/>
      <c r="BH354" s="172">
        <v>18</v>
      </c>
    </row>
    <row r="355" spans="1:65" ht="14.5">
      <c r="A355" s="172">
        <v>2270020</v>
      </c>
      <c r="B355" s="172">
        <v>352</v>
      </c>
      <c r="C355" s="172">
        <v>227</v>
      </c>
      <c r="D355" s="172" t="s">
        <v>940</v>
      </c>
      <c r="E355" s="172">
        <v>20</v>
      </c>
      <c r="F355" s="172" t="s">
        <v>1486</v>
      </c>
      <c r="H355" s="173"/>
      <c r="I355" s="172">
        <v>3</v>
      </c>
      <c r="J355" s="177">
        <v>86400</v>
      </c>
      <c r="K355" s="177">
        <v>980000</v>
      </c>
      <c r="L355" s="177">
        <v>980000</v>
      </c>
      <c r="M355" s="177">
        <v>2000000</v>
      </c>
      <c r="N355" s="177">
        <v>980000</v>
      </c>
      <c r="O355" s="172"/>
      <c r="P355" s="172"/>
      <c r="Q355" s="172" t="s">
        <v>1471</v>
      </c>
      <c r="R355" s="172" t="s">
        <v>1287</v>
      </c>
      <c r="S355" s="172">
        <v>2</v>
      </c>
      <c r="T355" s="172">
        <v>0</v>
      </c>
      <c r="U355" s="172">
        <v>0</v>
      </c>
      <c r="V355" s="172"/>
      <c r="W355" s="172"/>
      <c r="Z355" s="172">
        <v>42176</v>
      </c>
      <c r="AA355" s="172">
        <v>4207</v>
      </c>
      <c r="AB355" s="172">
        <v>1200</v>
      </c>
      <c r="AE355" s="172"/>
      <c r="AF355" s="172"/>
      <c r="AI355" s="172"/>
      <c r="AJ355" s="172"/>
      <c r="AM355" s="172"/>
      <c r="AN355" s="172"/>
      <c r="AQ355" s="172"/>
      <c r="AR355" s="172"/>
      <c r="AU355" s="172"/>
      <c r="AV355" s="172"/>
      <c r="AY355" s="172"/>
      <c r="AZ355" s="172"/>
      <c r="BC355" s="172"/>
      <c r="BD355" s="172"/>
      <c r="BH355" s="172">
        <v>18</v>
      </c>
    </row>
    <row r="356" spans="1:65" ht="14.5">
      <c r="A356" s="172">
        <v>2270021</v>
      </c>
      <c r="B356" s="172">
        <v>353</v>
      </c>
      <c r="C356" s="172">
        <v>227</v>
      </c>
      <c r="D356" s="172" t="s">
        <v>940</v>
      </c>
      <c r="E356" s="172">
        <v>21</v>
      </c>
      <c r="F356" s="172" t="s">
        <v>1487</v>
      </c>
      <c r="H356" s="173"/>
      <c r="I356" s="172">
        <v>3</v>
      </c>
      <c r="J356" s="177">
        <v>115200</v>
      </c>
      <c r="K356" s="177">
        <v>1300000</v>
      </c>
      <c r="L356" s="177">
        <v>1300000</v>
      </c>
      <c r="M356" s="177">
        <v>2500000</v>
      </c>
      <c r="N356" s="177">
        <v>1300000</v>
      </c>
      <c r="O356" s="172"/>
      <c r="P356" s="172"/>
      <c r="Q356" s="172" t="s">
        <v>1471</v>
      </c>
      <c r="R356" s="172" t="s">
        <v>1291</v>
      </c>
      <c r="S356" s="172">
        <v>2</v>
      </c>
      <c r="T356" s="172">
        <v>0</v>
      </c>
      <c r="U356" s="172">
        <v>0</v>
      </c>
      <c r="V356" s="172"/>
      <c r="W356" s="172"/>
      <c r="Z356" s="172">
        <v>54739</v>
      </c>
      <c r="AA356" s="172">
        <v>4207</v>
      </c>
      <c r="AB356" s="172">
        <v>1300</v>
      </c>
      <c r="AE356" s="172"/>
      <c r="AF356" s="172"/>
      <c r="AI356" s="172"/>
      <c r="AJ356" s="172"/>
      <c r="AM356" s="172"/>
      <c r="AN356" s="172"/>
      <c r="AQ356" s="172"/>
      <c r="AR356" s="172"/>
      <c r="AU356" s="172"/>
      <c r="AV356" s="172"/>
      <c r="AY356" s="172"/>
      <c r="AZ356" s="172"/>
      <c r="BC356" s="172"/>
      <c r="BD356" s="172"/>
      <c r="BH356" s="172">
        <v>18</v>
      </c>
    </row>
    <row r="357" spans="1:65" ht="14.5">
      <c r="A357" s="172">
        <v>2270022</v>
      </c>
      <c r="B357" s="172">
        <v>354</v>
      </c>
      <c r="C357" s="172">
        <v>227</v>
      </c>
      <c r="D357" s="172" t="s">
        <v>940</v>
      </c>
      <c r="E357" s="172">
        <v>22</v>
      </c>
      <c r="F357" s="172" t="s">
        <v>1488</v>
      </c>
      <c r="H357" s="173"/>
      <c r="I357" s="172">
        <v>3</v>
      </c>
      <c r="J357" s="177">
        <v>151200</v>
      </c>
      <c r="K357" s="177">
        <v>1600000</v>
      </c>
      <c r="L357" s="177">
        <v>1600000</v>
      </c>
      <c r="M357" s="177">
        <v>3200000</v>
      </c>
      <c r="N357" s="177">
        <v>1600000</v>
      </c>
      <c r="O357" s="172"/>
      <c r="P357" s="172"/>
      <c r="Q357" s="172" t="s">
        <v>1471</v>
      </c>
      <c r="R357" s="172" t="s">
        <v>1295</v>
      </c>
      <c r="S357" s="172">
        <v>2</v>
      </c>
      <c r="T357" s="172">
        <v>0</v>
      </c>
      <c r="U357" s="172">
        <v>0</v>
      </c>
      <c r="V357" s="172"/>
      <c r="W357" s="172"/>
      <c r="Z357" s="172">
        <v>70820</v>
      </c>
      <c r="AA357" s="172">
        <v>4207</v>
      </c>
      <c r="AB357" s="172">
        <v>1400</v>
      </c>
      <c r="AE357" s="172"/>
      <c r="AF357" s="172"/>
      <c r="AI357" s="172"/>
      <c r="AJ357" s="172"/>
      <c r="AM357" s="172"/>
      <c r="AN357" s="172"/>
      <c r="AQ357" s="172"/>
      <c r="AR357" s="172"/>
      <c r="AU357" s="172"/>
      <c r="AV357" s="172"/>
      <c r="AY357" s="172"/>
      <c r="AZ357" s="172"/>
      <c r="BC357" s="172"/>
      <c r="BD357" s="172"/>
      <c r="BH357" s="172">
        <v>18</v>
      </c>
    </row>
    <row r="358" spans="1:65" ht="14.5">
      <c r="A358" s="172">
        <v>2270023</v>
      </c>
      <c r="B358" s="172">
        <v>355</v>
      </c>
      <c r="C358" s="172">
        <v>227</v>
      </c>
      <c r="D358" s="172" t="s">
        <v>940</v>
      </c>
      <c r="E358" s="172">
        <v>23</v>
      </c>
      <c r="F358" s="172" t="s">
        <v>1489</v>
      </c>
      <c r="H358" s="173"/>
      <c r="I358" s="172">
        <v>3</v>
      </c>
      <c r="J358" s="177">
        <v>194400</v>
      </c>
      <c r="K358" s="177">
        <v>2100000</v>
      </c>
      <c r="L358" s="177">
        <v>2100000</v>
      </c>
      <c r="M358" s="177">
        <v>4100000</v>
      </c>
      <c r="N358" s="177">
        <v>2100000</v>
      </c>
      <c r="O358" s="172"/>
      <c r="P358" s="172"/>
      <c r="Q358" s="172" t="s">
        <v>1471</v>
      </c>
      <c r="R358" s="172" t="s">
        <v>1298</v>
      </c>
      <c r="S358" s="172">
        <v>2</v>
      </c>
      <c r="T358" s="172">
        <v>0</v>
      </c>
      <c r="U358" s="172">
        <v>0</v>
      </c>
      <c r="V358" s="172"/>
      <c r="W358" s="172"/>
      <c r="Z358" s="172">
        <v>91403</v>
      </c>
      <c r="AA358" s="172">
        <v>4207</v>
      </c>
      <c r="AB358" s="172">
        <v>1500</v>
      </c>
      <c r="AE358" s="172"/>
      <c r="AF358" s="172"/>
      <c r="AI358" s="172"/>
      <c r="AJ358" s="172"/>
      <c r="AM358" s="172"/>
      <c r="AN358" s="172"/>
      <c r="AQ358" s="172"/>
      <c r="AR358" s="172"/>
      <c r="AU358" s="172"/>
      <c r="AV358" s="172"/>
      <c r="AY358" s="172"/>
      <c r="AZ358" s="172"/>
      <c r="BC358" s="172"/>
      <c r="BD358" s="172"/>
      <c r="BH358" s="172">
        <v>18</v>
      </c>
    </row>
    <row r="359" spans="1:65" ht="14.5">
      <c r="A359" s="172">
        <v>2270024</v>
      </c>
      <c r="B359" s="172">
        <v>356</v>
      </c>
      <c r="C359" s="172">
        <v>227</v>
      </c>
      <c r="D359" s="172" t="s">
        <v>940</v>
      </c>
      <c r="E359" s="172">
        <v>24</v>
      </c>
      <c r="F359" s="172" t="s">
        <v>1490</v>
      </c>
      <c r="H359" s="173"/>
      <c r="I359" s="172">
        <v>3</v>
      </c>
      <c r="J359" s="177">
        <v>248400</v>
      </c>
      <c r="K359" s="177">
        <v>2600000</v>
      </c>
      <c r="L359" s="177">
        <v>2600000</v>
      </c>
      <c r="M359" s="177">
        <v>5300000</v>
      </c>
      <c r="N359" s="177">
        <v>2600000</v>
      </c>
      <c r="O359" s="172"/>
      <c r="P359" s="172"/>
      <c r="Q359" s="172" t="s">
        <v>1471</v>
      </c>
      <c r="R359" s="172" t="s">
        <v>1302</v>
      </c>
      <c r="S359" s="172">
        <v>2</v>
      </c>
      <c r="T359" s="172">
        <v>0</v>
      </c>
      <c r="U359" s="172">
        <v>0</v>
      </c>
      <c r="V359" s="172"/>
      <c r="W359" s="172"/>
      <c r="Z359" s="172">
        <v>117750</v>
      </c>
      <c r="AA359" s="172">
        <v>4207</v>
      </c>
      <c r="AB359" s="172">
        <v>1600</v>
      </c>
      <c r="AE359" s="172"/>
      <c r="AF359" s="172"/>
      <c r="AI359" s="172"/>
      <c r="AJ359" s="172"/>
      <c r="AM359" s="172"/>
      <c r="AN359" s="172"/>
      <c r="AQ359" s="172"/>
      <c r="AR359" s="172"/>
      <c r="AU359" s="172"/>
      <c r="AV359" s="172"/>
      <c r="AY359" s="172"/>
      <c r="AZ359" s="172"/>
      <c r="BC359" s="172"/>
      <c r="BD359" s="172"/>
      <c r="BH359" s="172">
        <v>18</v>
      </c>
    </row>
    <row r="360" spans="1:65" ht="14.5">
      <c r="A360" s="172">
        <v>2270025</v>
      </c>
      <c r="B360" s="172">
        <v>357</v>
      </c>
      <c r="C360" s="172">
        <v>227</v>
      </c>
      <c r="D360" s="172" t="s">
        <v>940</v>
      </c>
      <c r="E360" s="172">
        <v>25</v>
      </c>
      <c r="F360" s="172" t="s">
        <v>1491</v>
      </c>
      <c r="H360" s="173"/>
      <c r="I360" s="172">
        <v>3</v>
      </c>
      <c r="J360" s="177">
        <v>313200</v>
      </c>
      <c r="K360" s="177">
        <v>3400000</v>
      </c>
      <c r="L360" s="177">
        <v>3400000</v>
      </c>
      <c r="M360" s="177">
        <v>6700000</v>
      </c>
      <c r="N360" s="177">
        <v>3400000</v>
      </c>
      <c r="O360" s="172"/>
      <c r="P360" s="172"/>
      <c r="Q360" s="172" t="s">
        <v>1471</v>
      </c>
      <c r="R360" s="172" t="s">
        <v>1305</v>
      </c>
      <c r="S360" s="172">
        <v>2</v>
      </c>
      <c r="T360" s="172">
        <v>0</v>
      </c>
      <c r="U360" s="172">
        <v>0</v>
      </c>
      <c r="V360" s="172"/>
      <c r="W360" s="172"/>
      <c r="Z360" s="172">
        <v>151473</v>
      </c>
      <c r="AA360" s="172">
        <v>4207</v>
      </c>
      <c r="AB360" s="172">
        <v>1700</v>
      </c>
      <c r="AE360" s="172"/>
      <c r="AF360" s="172"/>
      <c r="AI360" s="172"/>
      <c r="AJ360" s="172"/>
      <c r="AM360" s="172"/>
      <c r="AN360" s="172"/>
      <c r="AQ360" s="172"/>
      <c r="AR360" s="172"/>
      <c r="AU360" s="172"/>
      <c r="AV360" s="172"/>
      <c r="AY360" s="172"/>
      <c r="AZ360" s="172"/>
      <c r="BC360" s="172"/>
      <c r="BD360" s="172"/>
      <c r="BH360" s="172">
        <v>18</v>
      </c>
    </row>
    <row r="361" spans="1:65" ht="14.5">
      <c r="A361" s="172">
        <v>2270026</v>
      </c>
      <c r="B361" s="172">
        <v>358</v>
      </c>
      <c r="C361" s="172">
        <v>227</v>
      </c>
      <c r="D361" s="172" t="s">
        <v>940</v>
      </c>
      <c r="E361" s="172">
        <v>26</v>
      </c>
      <c r="F361" s="172" t="s">
        <v>1492</v>
      </c>
      <c r="H361" s="173"/>
      <c r="I361" s="172">
        <v>3</v>
      </c>
      <c r="J361" s="177">
        <v>388800</v>
      </c>
      <c r="K361" s="177">
        <v>4300000</v>
      </c>
      <c r="L361" s="177">
        <v>4300000</v>
      </c>
      <c r="M361" s="177">
        <v>8600000</v>
      </c>
      <c r="N361" s="177">
        <v>4300000</v>
      </c>
      <c r="O361" s="172"/>
      <c r="P361" s="172"/>
      <c r="Q361" s="172" t="s">
        <v>1471</v>
      </c>
      <c r="R361" s="172" t="s">
        <v>1308</v>
      </c>
      <c r="S361" s="172">
        <v>2</v>
      </c>
      <c r="T361" s="172">
        <v>0</v>
      </c>
      <c r="U361" s="172">
        <v>0</v>
      </c>
      <c r="V361" s="172"/>
      <c r="W361" s="172"/>
      <c r="Z361" s="172">
        <v>194640</v>
      </c>
      <c r="AA361" s="172">
        <v>4207</v>
      </c>
      <c r="AB361" s="172">
        <v>1820</v>
      </c>
      <c r="AE361" s="172"/>
      <c r="AF361" s="172"/>
      <c r="AI361" s="172"/>
      <c r="AJ361" s="172"/>
      <c r="AM361" s="172"/>
      <c r="AN361" s="172"/>
      <c r="AQ361" s="172"/>
      <c r="AR361" s="172"/>
      <c r="AU361" s="172"/>
      <c r="AV361" s="172"/>
      <c r="AY361" s="172"/>
      <c r="AZ361" s="172"/>
      <c r="BC361" s="172"/>
      <c r="BD361" s="172"/>
      <c r="BH361" s="172">
        <v>18</v>
      </c>
    </row>
    <row r="362" spans="1:65" ht="14.5">
      <c r="A362" s="172">
        <v>2270027</v>
      </c>
      <c r="B362" s="172">
        <v>359</v>
      </c>
      <c r="C362" s="172">
        <v>227</v>
      </c>
      <c r="D362" s="172" t="s">
        <v>940</v>
      </c>
      <c r="E362" s="172">
        <v>27</v>
      </c>
      <c r="F362" s="172" t="s">
        <v>1493</v>
      </c>
      <c r="H362" s="173"/>
      <c r="I362" s="172">
        <v>3</v>
      </c>
      <c r="J362" s="177">
        <v>475200</v>
      </c>
      <c r="K362" s="177">
        <v>5500000</v>
      </c>
      <c r="L362" s="177">
        <v>5500000</v>
      </c>
      <c r="M362" s="177">
        <v>11000000</v>
      </c>
      <c r="N362" s="177">
        <v>5500000</v>
      </c>
      <c r="O362" s="172"/>
      <c r="P362" s="172"/>
      <c r="Q362" s="172" t="s">
        <v>1471</v>
      </c>
      <c r="R362" s="172" t="s">
        <v>1311</v>
      </c>
      <c r="S362" s="172">
        <v>2</v>
      </c>
      <c r="T362" s="172">
        <v>0</v>
      </c>
      <c r="U362" s="172">
        <v>0</v>
      </c>
      <c r="V362" s="172"/>
      <c r="W362" s="172"/>
      <c r="Z362" s="172">
        <v>249893</v>
      </c>
      <c r="AA362" s="172">
        <v>4207</v>
      </c>
      <c r="AB362" s="172">
        <v>1970</v>
      </c>
      <c r="AE362" s="172"/>
      <c r="AF362" s="172"/>
      <c r="AI362" s="172"/>
      <c r="AJ362" s="172"/>
      <c r="AM362" s="172"/>
      <c r="AN362" s="172"/>
      <c r="AQ362" s="172"/>
      <c r="AR362" s="172"/>
      <c r="AU362" s="172"/>
      <c r="AV362" s="172"/>
      <c r="AY362" s="172"/>
      <c r="AZ362" s="172"/>
      <c r="BC362" s="172"/>
      <c r="BD362" s="172"/>
      <c r="BH362" s="172">
        <v>18</v>
      </c>
    </row>
    <row r="363" spans="1:65" ht="14.5">
      <c r="A363" s="172">
        <v>2270028</v>
      </c>
      <c r="B363" s="172">
        <v>360</v>
      </c>
      <c r="C363" s="172">
        <v>227</v>
      </c>
      <c r="D363" s="172" t="s">
        <v>940</v>
      </c>
      <c r="E363" s="172">
        <v>28</v>
      </c>
      <c r="F363" s="172" t="s">
        <v>1494</v>
      </c>
      <c r="H363" s="173"/>
      <c r="I363" s="172">
        <v>3</v>
      </c>
      <c r="J363" s="177">
        <v>583200</v>
      </c>
      <c r="K363" s="177">
        <v>7100000</v>
      </c>
      <c r="L363" s="177">
        <v>7100000</v>
      </c>
      <c r="M363" s="177">
        <v>14000000</v>
      </c>
      <c r="N363" s="177">
        <v>7100000</v>
      </c>
      <c r="O363" s="172"/>
      <c r="P363" s="172"/>
      <c r="Q363" s="172" t="s">
        <v>1471</v>
      </c>
      <c r="R363" s="172" t="s">
        <v>1314</v>
      </c>
      <c r="S363" s="172">
        <v>2</v>
      </c>
      <c r="T363" s="172">
        <v>0</v>
      </c>
      <c r="U363" s="172">
        <v>0</v>
      </c>
      <c r="V363" s="172"/>
      <c r="W363" s="172"/>
      <c r="Z363" s="172">
        <v>320616</v>
      </c>
      <c r="AA363" s="172">
        <v>4207</v>
      </c>
      <c r="AB363" s="172">
        <v>2160</v>
      </c>
      <c r="AE363" s="172"/>
      <c r="AF363" s="172"/>
      <c r="AI363" s="172"/>
      <c r="AJ363" s="172"/>
      <c r="AM363" s="172"/>
      <c r="AN363" s="172"/>
      <c r="AQ363" s="172"/>
      <c r="AR363" s="172"/>
      <c r="AU363" s="172"/>
      <c r="AV363" s="172"/>
      <c r="AY363" s="172"/>
      <c r="AZ363" s="172"/>
      <c r="BC363" s="172"/>
      <c r="BD363" s="172"/>
      <c r="BH363" s="172">
        <v>18</v>
      </c>
    </row>
    <row r="364" spans="1:65" ht="14.5">
      <c r="A364" s="172">
        <v>2270029</v>
      </c>
      <c r="B364" s="172">
        <v>361</v>
      </c>
      <c r="C364" s="172">
        <v>227</v>
      </c>
      <c r="D364" s="172" t="s">
        <v>940</v>
      </c>
      <c r="E364" s="172">
        <v>29</v>
      </c>
      <c r="F364" s="172" t="s">
        <v>1495</v>
      </c>
      <c r="H364" s="173"/>
      <c r="I364" s="172">
        <v>3</v>
      </c>
      <c r="J364" s="177">
        <v>712800</v>
      </c>
      <c r="K364" s="177">
        <v>9100000</v>
      </c>
      <c r="L364" s="177">
        <v>9100000</v>
      </c>
      <c r="M364" s="177">
        <v>18000000</v>
      </c>
      <c r="N364" s="177">
        <v>9100000</v>
      </c>
      <c r="O364" s="172"/>
      <c r="P364" s="172"/>
      <c r="Q364" s="172" t="s">
        <v>1471</v>
      </c>
      <c r="R364" s="172" t="s">
        <v>1317</v>
      </c>
      <c r="S364" s="172">
        <v>2</v>
      </c>
      <c r="T364" s="172">
        <v>0</v>
      </c>
      <c r="U364" s="172">
        <v>0</v>
      </c>
      <c r="V364" s="172"/>
      <c r="W364" s="172"/>
      <c r="Z364" s="172">
        <v>411143</v>
      </c>
      <c r="AA364" s="172">
        <v>4207</v>
      </c>
      <c r="AB364" s="172">
        <v>2400</v>
      </c>
      <c r="AE364" s="172"/>
      <c r="AF364" s="172"/>
      <c r="AI364" s="172"/>
      <c r="AJ364" s="172"/>
      <c r="AM364" s="172"/>
      <c r="AN364" s="172"/>
      <c r="AQ364" s="172"/>
      <c r="AR364" s="172"/>
      <c r="AU364" s="172"/>
      <c r="AV364" s="172"/>
      <c r="AY364" s="172"/>
      <c r="AZ364" s="172"/>
      <c r="BC364" s="172"/>
      <c r="BD364" s="172"/>
      <c r="BH364" s="172">
        <v>18</v>
      </c>
    </row>
    <row r="365" spans="1:65" ht="14.5">
      <c r="A365" s="172">
        <v>2270030</v>
      </c>
      <c r="B365" s="172">
        <v>362</v>
      </c>
      <c r="C365" s="172">
        <v>227</v>
      </c>
      <c r="D365" s="172" t="s">
        <v>940</v>
      </c>
      <c r="E365" s="172">
        <v>30</v>
      </c>
      <c r="F365" s="172" t="s">
        <v>1496</v>
      </c>
      <c r="H365" s="173"/>
      <c r="I365" s="172">
        <v>3</v>
      </c>
      <c r="J365" s="177">
        <v>864000</v>
      </c>
      <c r="K365" s="177">
        <v>12000000</v>
      </c>
      <c r="L365" s="177">
        <v>12000000</v>
      </c>
      <c r="M365" s="177">
        <v>23000000</v>
      </c>
      <c r="N365" s="177">
        <v>12000000</v>
      </c>
      <c r="O365" s="172"/>
      <c r="P365" s="172"/>
      <c r="Q365" s="172" t="s">
        <v>1471</v>
      </c>
      <c r="R365" s="172" t="s">
        <v>1406</v>
      </c>
      <c r="S365" s="172">
        <v>2</v>
      </c>
      <c r="T365" s="172">
        <v>0</v>
      </c>
      <c r="U365" s="172">
        <v>0</v>
      </c>
      <c r="V365" s="172"/>
      <c r="W365" s="172"/>
      <c r="Z365" s="172">
        <v>527017</v>
      </c>
      <c r="AA365" s="172">
        <v>4207</v>
      </c>
      <c r="AB365" s="172">
        <v>2700</v>
      </c>
      <c r="AE365" s="172"/>
      <c r="AF365" s="172"/>
      <c r="AI365" s="172"/>
      <c r="AJ365" s="172"/>
      <c r="AM365" s="172"/>
      <c r="AN365" s="172"/>
      <c r="AQ365" s="172"/>
      <c r="AR365" s="172"/>
      <c r="AU365" s="172"/>
      <c r="AV365" s="172"/>
      <c r="AY365" s="172"/>
      <c r="AZ365" s="172"/>
      <c r="BC365" s="172"/>
      <c r="BD365" s="172"/>
      <c r="BH365" s="172">
        <v>18</v>
      </c>
    </row>
    <row r="366" spans="1:65" ht="14.5">
      <c r="A366" s="172">
        <v>2290001</v>
      </c>
      <c r="B366" s="172">
        <v>363</v>
      </c>
      <c r="C366" s="172">
        <v>229</v>
      </c>
      <c r="D366" s="172" t="s">
        <v>515</v>
      </c>
      <c r="E366" s="172">
        <v>1</v>
      </c>
      <c r="F366" s="172" t="s">
        <v>516</v>
      </c>
      <c r="H366" s="173"/>
      <c r="I366" s="172" t="s">
        <v>1205</v>
      </c>
      <c r="J366" s="177">
        <v>25</v>
      </c>
      <c r="K366" s="177">
        <v>1200</v>
      </c>
      <c r="L366" s="177">
        <v>2300</v>
      </c>
      <c r="M366" s="177">
        <v>0</v>
      </c>
      <c r="N366" s="177">
        <v>0</v>
      </c>
      <c r="O366" s="172">
        <v>2061</v>
      </c>
      <c r="P366" s="172">
        <v>0</v>
      </c>
      <c r="Q366" s="172" t="s">
        <v>1318</v>
      </c>
      <c r="R366" s="172" t="s">
        <v>1330</v>
      </c>
      <c r="S366" s="172">
        <v>3</v>
      </c>
      <c r="T366" s="172">
        <v>0</v>
      </c>
      <c r="U366" s="172">
        <v>0</v>
      </c>
      <c r="V366" s="172" t="s">
        <v>158</v>
      </c>
      <c r="W366" s="172" t="s">
        <v>1497</v>
      </c>
      <c r="Z366" s="172">
        <v>7</v>
      </c>
      <c r="AA366" s="172">
        <v>1254</v>
      </c>
      <c r="AB366" s="172">
        <v>20000</v>
      </c>
      <c r="AE366" s="172">
        <v>10000401</v>
      </c>
      <c r="AF366" s="172">
        <v>20000</v>
      </c>
      <c r="AI366" s="172"/>
      <c r="AJ366" s="172"/>
      <c r="AM366" s="172"/>
      <c r="AN366" s="172"/>
      <c r="AQ366" s="172"/>
      <c r="AR366" s="172"/>
      <c r="AU366" s="172"/>
      <c r="AV366" s="172"/>
      <c r="AY366" s="172"/>
      <c r="AZ366" s="172"/>
      <c r="BC366" s="172"/>
      <c r="BD366" s="172"/>
      <c r="BH366" s="172">
        <v>25</v>
      </c>
      <c r="BM366" s="172">
        <v>3</v>
      </c>
    </row>
    <row r="367" spans="1:65" ht="14.5">
      <c r="A367" s="172">
        <v>2290002</v>
      </c>
      <c r="B367" s="172">
        <v>364</v>
      </c>
      <c r="C367" s="172">
        <v>229</v>
      </c>
      <c r="D367" s="172" t="s">
        <v>515</v>
      </c>
      <c r="E367" s="172">
        <v>2</v>
      </c>
      <c r="F367" s="172" t="s">
        <v>520</v>
      </c>
      <c r="H367" s="173"/>
      <c r="I367" s="172" t="s">
        <v>1205</v>
      </c>
      <c r="J367" s="177">
        <v>126</v>
      </c>
      <c r="K367" s="177">
        <v>2300</v>
      </c>
      <c r="L367" s="177">
        <v>4700</v>
      </c>
      <c r="M367" s="177">
        <v>0</v>
      </c>
      <c r="N367" s="177">
        <v>0</v>
      </c>
      <c r="O367" s="172">
        <v>2061</v>
      </c>
      <c r="P367" s="172">
        <v>20</v>
      </c>
      <c r="Q367" s="172" t="s">
        <v>1318</v>
      </c>
      <c r="R367" s="172" t="s">
        <v>1330</v>
      </c>
      <c r="S367" s="172">
        <v>3</v>
      </c>
      <c r="T367" s="172">
        <v>0</v>
      </c>
      <c r="U367" s="172">
        <v>0</v>
      </c>
      <c r="V367" s="172"/>
      <c r="W367" s="172"/>
      <c r="Z367" s="172">
        <v>21</v>
      </c>
      <c r="AA367" s="172">
        <v>1254</v>
      </c>
      <c r="AB367" s="172">
        <v>40000</v>
      </c>
      <c r="AE367" s="172">
        <v>10000401</v>
      </c>
      <c r="AF367" s="172">
        <v>40000</v>
      </c>
      <c r="AI367" s="172"/>
      <c r="AJ367" s="172"/>
      <c r="AM367" s="172"/>
      <c r="AN367" s="172"/>
      <c r="AQ367" s="172"/>
      <c r="AR367" s="172"/>
      <c r="AU367" s="172"/>
      <c r="AV367" s="172"/>
      <c r="AY367" s="172"/>
      <c r="AZ367" s="172"/>
      <c r="BC367" s="172"/>
      <c r="BD367" s="172"/>
      <c r="BH367" s="172">
        <v>25</v>
      </c>
    </row>
    <row r="368" spans="1:65" ht="14.5">
      <c r="A368" s="172">
        <v>2290003</v>
      </c>
      <c r="B368" s="172">
        <v>365</v>
      </c>
      <c r="C368" s="172">
        <v>229</v>
      </c>
      <c r="D368" s="172" t="s">
        <v>515</v>
      </c>
      <c r="E368" s="172">
        <v>3</v>
      </c>
      <c r="F368" s="172" t="s">
        <v>521</v>
      </c>
      <c r="H368" s="173"/>
      <c r="I368" s="172" t="s">
        <v>1205</v>
      </c>
      <c r="J368" s="177">
        <v>252</v>
      </c>
      <c r="K368" s="177">
        <v>4700</v>
      </c>
      <c r="L368" s="177">
        <v>9300</v>
      </c>
      <c r="M368" s="177">
        <v>0</v>
      </c>
      <c r="N368" s="177">
        <v>0</v>
      </c>
      <c r="O368" s="172">
        <v>2061</v>
      </c>
      <c r="P368" s="172">
        <v>30</v>
      </c>
      <c r="Q368" s="172" t="s">
        <v>1318</v>
      </c>
      <c r="R368" s="172" t="s">
        <v>1330</v>
      </c>
      <c r="S368" s="172">
        <v>3</v>
      </c>
      <c r="T368" s="172">
        <v>0</v>
      </c>
      <c r="U368" s="172">
        <v>0</v>
      </c>
      <c r="V368" s="172"/>
      <c r="W368" s="172"/>
      <c r="Z368" s="172">
        <v>49</v>
      </c>
      <c r="AA368" s="172">
        <v>1254</v>
      </c>
      <c r="AB368" s="172">
        <v>60000</v>
      </c>
      <c r="AE368" s="172">
        <v>10000401</v>
      </c>
      <c r="AF368" s="172">
        <v>60000</v>
      </c>
      <c r="AI368" s="172"/>
      <c r="AJ368" s="172"/>
      <c r="AM368" s="172"/>
      <c r="AN368" s="172"/>
      <c r="AQ368" s="172"/>
      <c r="AR368" s="172"/>
      <c r="AU368" s="172"/>
      <c r="AV368" s="172"/>
      <c r="AY368" s="172"/>
      <c r="AZ368" s="172"/>
      <c r="BC368" s="172"/>
      <c r="BD368" s="172"/>
      <c r="BH368" s="172">
        <v>25</v>
      </c>
    </row>
    <row r="369" spans="1:60" ht="14.5">
      <c r="A369" s="172">
        <v>2290004</v>
      </c>
      <c r="B369" s="172">
        <v>366</v>
      </c>
      <c r="C369" s="172">
        <v>229</v>
      </c>
      <c r="D369" s="172" t="s">
        <v>515</v>
      </c>
      <c r="E369" s="172">
        <v>4</v>
      </c>
      <c r="F369" s="172" t="s">
        <v>522</v>
      </c>
      <c r="H369" s="173"/>
      <c r="I369" s="172" t="s">
        <v>1205</v>
      </c>
      <c r="J369" s="177">
        <v>504</v>
      </c>
      <c r="K369" s="177">
        <v>9300</v>
      </c>
      <c r="L369" s="177">
        <v>19000</v>
      </c>
      <c r="M369" s="177">
        <v>0</v>
      </c>
      <c r="N369" s="177">
        <v>0</v>
      </c>
      <c r="O369" s="172">
        <v>2061</v>
      </c>
      <c r="P369" s="172">
        <v>40</v>
      </c>
      <c r="Q369" s="172" t="s">
        <v>1318</v>
      </c>
      <c r="R369" s="172" t="s">
        <v>1330</v>
      </c>
      <c r="S369" s="172">
        <v>3</v>
      </c>
      <c r="T369" s="172">
        <v>0</v>
      </c>
      <c r="U369" s="172">
        <v>0</v>
      </c>
      <c r="V369" s="172"/>
      <c r="W369" s="172"/>
      <c r="Z369" s="172">
        <v>105</v>
      </c>
      <c r="AA369" s="172">
        <v>1254</v>
      </c>
      <c r="AB369" s="172">
        <v>80000</v>
      </c>
      <c r="AE369" s="172">
        <v>10000401</v>
      </c>
      <c r="AF369" s="172">
        <v>80000</v>
      </c>
      <c r="AI369" s="172"/>
      <c r="AJ369" s="172"/>
      <c r="AM369" s="172"/>
      <c r="AN369" s="172"/>
      <c r="AQ369" s="172"/>
      <c r="AR369" s="172"/>
      <c r="AU369" s="172"/>
      <c r="AV369" s="172"/>
      <c r="AY369" s="172"/>
      <c r="AZ369" s="172"/>
      <c r="BC369" s="172"/>
      <c r="BD369" s="172"/>
      <c r="BH369" s="172">
        <v>25</v>
      </c>
    </row>
    <row r="370" spans="1:60" ht="14.5">
      <c r="A370" s="172">
        <v>2290005</v>
      </c>
      <c r="B370" s="172">
        <v>367</v>
      </c>
      <c r="C370" s="172">
        <v>229</v>
      </c>
      <c r="D370" s="172" t="s">
        <v>515</v>
      </c>
      <c r="E370" s="172">
        <v>5</v>
      </c>
      <c r="F370" s="172" t="s">
        <v>523</v>
      </c>
      <c r="H370" s="173"/>
      <c r="I370" s="172">
        <v>1</v>
      </c>
      <c r="J370" s="177">
        <v>1050</v>
      </c>
      <c r="K370" s="177">
        <v>11000</v>
      </c>
      <c r="L370" s="177">
        <v>22000</v>
      </c>
      <c r="M370" s="177">
        <v>22000</v>
      </c>
      <c r="N370" s="177">
        <v>0</v>
      </c>
      <c r="O370" s="172">
        <v>2061</v>
      </c>
      <c r="P370" s="172">
        <v>50</v>
      </c>
      <c r="Q370" s="172" t="s">
        <v>1498</v>
      </c>
      <c r="R370" s="172" t="s">
        <v>1499</v>
      </c>
      <c r="S370" s="172">
        <v>3</v>
      </c>
      <c r="T370" s="172">
        <v>0</v>
      </c>
      <c r="U370" s="172">
        <v>0</v>
      </c>
      <c r="V370" s="172"/>
      <c r="W370" s="172"/>
      <c r="Z370" s="172">
        <v>213</v>
      </c>
      <c r="AA370" s="172">
        <v>1254</v>
      </c>
      <c r="AB370" s="172">
        <v>100000</v>
      </c>
      <c r="AE370" s="172">
        <v>10000401</v>
      </c>
      <c r="AF370" s="172">
        <v>100000</v>
      </c>
      <c r="AI370" s="172"/>
      <c r="AJ370" s="172"/>
      <c r="AM370" s="172"/>
      <c r="AN370" s="172"/>
      <c r="AQ370" s="172"/>
      <c r="AR370" s="172"/>
      <c r="AU370" s="172"/>
      <c r="AV370" s="172"/>
      <c r="AY370" s="172"/>
      <c r="AZ370" s="172"/>
      <c r="BC370" s="172"/>
      <c r="BD370" s="172"/>
      <c r="BH370" s="172">
        <v>25</v>
      </c>
    </row>
    <row r="371" spans="1:60" ht="14.5">
      <c r="A371" s="172">
        <v>2290006</v>
      </c>
      <c r="B371" s="172">
        <v>368</v>
      </c>
      <c r="C371" s="172">
        <v>229</v>
      </c>
      <c r="D371" s="172" t="s">
        <v>515</v>
      </c>
      <c r="E371" s="172">
        <v>6</v>
      </c>
      <c r="F371" s="172" t="s">
        <v>524</v>
      </c>
      <c r="H371" s="173"/>
      <c r="I371" s="172">
        <v>1</v>
      </c>
      <c r="J371" s="177">
        <v>1890</v>
      </c>
      <c r="K371" s="177">
        <v>20000</v>
      </c>
      <c r="L371" s="177">
        <v>40000</v>
      </c>
      <c r="M371" s="177">
        <v>40000</v>
      </c>
      <c r="N371" s="177">
        <v>0</v>
      </c>
      <c r="O371" s="172">
        <v>2061</v>
      </c>
      <c r="P371" s="172">
        <v>70</v>
      </c>
      <c r="Q371" s="172" t="s">
        <v>1498</v>
      </c>
      <c r="R371" s="172" t="s">
        <v>1500</v>
      </c>
      <c r="S371" s="172">
        <v>3</v>
      </c>
      <c r="T371" s="172">
        <v>0</v>
      </c>
      <c r="U371" s="172">
        <v>0</v>
      </c>
      <c r="V371" s="172"/>
      <c r="W371" s="172"/>
      <c r="Z371" s="172">
        <v>414</v>
      </c>
      <c r="AA371" s="172">
        <v>1254</v>
      </c>
      <c r="AB371" s="172">
        <v>140000</v>
      </c>
      <c r="AE371" s="172">
        <v>10000401</v>
      </c>
      <c r="AF371" s="172">
        <v>140000</v>
      </c>
      <c r="AI371" s="172"/>
      <c r="AJ371" s="172"/>
      <c r="AM371" s="172"/>
      <c r="AN371" s="172"/>
      <c r="AQ371" s="172"/>
      <c r="AR371" s="172"/>
      <c r="AU371" s="172"/>
      <c r="AV371" s="172"/>
      <c r="AY371" s="172"/>
      <c r="AZ371" s="172"/>
      <c r="BC371" s="172"/>
      <c r="BD371" s="172"/>
      <c r="BH371" s="172">
        <v>25</v>
      </c>
    </row>
    <row r="372" spans="1:60" ht="14.5">
      <c r="A372" s="172">
        <v>2290007</v>
      </c>
      <c r="B372" s="172">
        <v>369</v>
      </c>
      <c r="C372" s="172">
        <v>229</v>
      </c>
      <c r="D372" s="172" t="s">
        <v>515</v>
      </c>
      <c r="E372" s="172">
        <v>7</v>
      </c>
      <c r="F372" s="172" t="s">
        <v>525</v>
      </c>
      <c r="H372" s="173"/>
      <c r="I372" s="172">
        <v>1</v>
      </c>
      <c r="J372" s="177">
        <v>3150</v>
      </c>
      <c r="K372" s="177">
        <v>36000</v>
      </c>
      <c r="L372" s="177">
        <v>72000</v>
      </c>
      <c r="M372" s="177">
        <v>72000</v>
      </c>
      <c r="N372" s="177">
        <v>0</v>
      </c>
      <c r="O372" s="172">
        <v>2061</v>
      </c>
      <c r="P372" s="172">
        <v>90</v>
      </c>
      <c r="Q372" s="172" t="s">
        <v>1498</v>
      </c>
      <c r="R372" s="172" t="s">
        <v>1501</v>
      </c>
      <c r="S372" s="172">
        <v>3</v>
      </c>
      <c r="T372" s="172">
        <v>0</v>
      </c>
      <c r="U372" s="172">
        <v>0</v>
      </c>
      <c r="V372" s="172"/>
      <c r="W372" s="172"/>
      <c r="Z372" s="172">
        <v>773</v>
      </c>
      <c r="AA372" s="172">
        <v>1254</v>
      </c>
      <c r="AB372" s="172">
        <v>180000</v>
      </c>
      <c r="AE372" s="172">
        <v>10000401</v>
      </c>
      <c r="AF372" s="172">
        <v>180000</v>
      </c>
      <c r="AI372" s="172"/>
      <c r="AJ372" s="172"/>
      <c r="AM372" s="172"/>
      <c r="AN372" s="172"/>
      <c r="AQ372" s="172"/>
      <c r="AR372" s="172"/>
      <c r="AU372" s="172"/>
      <c r="AV372" s="172"/>
      <c r="AY372" s="172"/>
      <c r="AZ372" s="172"/>
      <c r="BC372" s="172"/>
      <c r="BD372" s="172"/>
      <c r="BH372" s="172">
        <v>25</v>
      </c>
    </row>
    <row r="373" spans="1:60" ht="14.5">
      <c r="A373" s="172">
        <v>2290008</v>
      </c>
      <c r="B373" s="172">
        <v>370</v>
      </c>
      <c r="C373" s="172">
        <v>229</v>
      </c>
      <c r="D373" s="172" t="s">
        <v>515</v>
      </c>
      <c r="E373" s="172">
        <v>8</v>
      </c>
      <c r="F373" s="172" t="s">
        <v>526</v>
      </c>
      <c r="H373" s="173"/>
      <c r="I373" s="172">
        <v>1</v>
      </c>
      <c r="J373" s="177">
        <v>5040</v>
      </c>
      <c r="K373" s="177">
        <v>62000</v>
      </c>
      <c r="L373" s="177">
        <v>120000</v>
      </c>
      <c r="M373" s="177">
        <v>120000</v>
      </c>
      <c r="N373" s="177">
        <v>0</v>
      </c>
      <c r="O373" s="172">
        <v>2061</v>
      </c>
      <c r="P373" s="172">
        <v>110</v>
      </c>
      <c r="Q373" s="172" t="s">
        <v>1498</v>
      </c>
      <c r="R373" s="172" t="s">
        <v>1502</v>
      </c>
      <c r="S373" s="172">
        <v>3</v>
      </c>
      <c r="T373" s="172">
        <v>0</v>
      </c>
      <c r="U373" s="172">
        <v>0</v>
      </c>
      <c r="V373" s="172"/>
      <c r="W373" s="172"/>
      <c r="Z373" s="172">
        <v>1392</v>
      </c>
      <c r="AA373" s="172">
        <v>1254</v>
      </c>
      <c r="AB373" s="172">
        <v>220000</v>
      </c>
      <c r="AE373" s="172">
        <v>10000401</v>
      </c>
      <c r="AF373" s="172">
        <v>220000</v>
      </c>
      <c r="AI373" s="172"/>
      <c r="AJ373" s="172"/>
      <c r="AM373" s="172"/>
      <c r="AN373" s="172"/>
      <c r="AQ373" s="172"/>
      <c r="AR373" s="172"/>
      <c r="AU373" s="172"/>
      <c r="AV373" s="172"/>
      <c r="AY373" s="172"/>
      <c r="AZ373" s="172"/>
      <c r="BC373" s="172"/>
      <c r="BD373" s="172"/>
      <c r="BH373" s="172">
        <v>25</v>
      </c>
    </row>
    <row r="374" spans="1:60" ht="14.5">
      <c r="A374" s="172">
        <v>2290009</v>
      </c>
      <c r="B374" s="172">
        <v>371</v>
      </c>
      <c r="C374" s="172">
        <v>229</v>
      </c>
      <c r="D374" s="172" t="s">
        <v>515</v>
      </c>
      <c r="E374" s="172">
        <v>9</v>
      </c>
      <c r="F374" s="172" t="s">
        <v>527</v>
      </c>
      <c r="H374" s="173"/>
      <c r="I374" s="172">
        <v>1</v>
      </c>
      <c r="J374" s="177">
        <v>10080</v>
      </c>
      <c r="K374" s="177">
        <v>100000</v>
      </c>
      <c r="L374" s="177">
        <v>200000</v>
      </c>
      <c r="M374" s="177">
        <v>200000</v>
      </c>
      <c r="N374" s="177">
        <v>0</v>
      </c>
      <c r="O374" s="172">
        <v>2061</v>
      </c>
      <c r="P374" s="172">
        <v>130</v>
      </c>
      <c r="Q374" s="172" t="s">
        <v>1498</v>
      </c>
      <c r="R374" s="172" t="s">
        <v>1503</v>
      </c>
      <c r="S374" s="172">
        <v>3</v>
      </c>
      <c r="T374" s="172">
        <v>0</v>
      </c>
      <c r="U374" s="172">
        <v>0</v>
      </c>
      <c r="V374" s="172"/>
      <c r="W374" s="172"/>
      <c r="Z374" s="172">
        <v>2414</v>
      </c>
      <c r="AA374" s="172">
        <v>1254</v>
      </c>
      <c r="AB374" s="172">
        <v>260000</v>
      </c>
      <c r="AE374" s="172">
        <v>10000401</v>
      </c>
      <c r="AF374" s="172">
        <v>260000</v>
      </c>
      <c r="AI374" s="172"/>
      <c r="AJ374" s="172"/>
      <c r="AM374" s="172"/>
      <c r="AN374" s="172"/>
      <c r="AQ374" s="172"/>
      <c r="AR374" s="172"/>
      <c r="AU374" s="172"/>
      <c r="AV374" s="172"/>
      <c r="AY374" s="172"/>
      <c r="AZ374" s="172"/>
      <c r="BC374" s="172"/>
      <c r="BD374" s="172"/>
      <c r="BH374" s="172">
        <v>25</v>
      </c>
    </row>
    <row r="375" spans="1:60" ht="14.5">
      <c r="A375" s="172">
        <v>2290010</v>
      </c>
      <c r="B375" s="172">
        <v>372</v>
      </c>
      <c r="C375" s="172">
        <v>229</v>
      </c>
      <c r="D375" s="172" t="s">
        <v>515</v>
      </c>
      <c r="E375" s="172">
        <v>10</v>
      </c>
      <c r="F375" s="172" t="s">
        <v>528</v>
      </c>
      <c r="H375" s="173"/>
      <c r="I375" s="172">
        <v>1</v>
      </c>
      <c r="J375" s="177">
        <v>15120</v>
      </c>
      <c r="K375" s="177">
        <v>120000</v>
      </c>
      <c r="L375" s="177">
        <v>230000</v>
      </c>
      <c r="M375" s="177">
        <v>230000</v>
      </c>
      <c r="N375" s="177">
        <v>230000</v>
      </c>
      <c r="O375" s="172">
        <v>2061</v>
      </c>
      <c r="P375" s="172">
        <v>150</v>
      </c>
      <c r="Q375" s="172" t="s">
        <v>1498</v>
      </c>
      <c r="R375" s="172" t="s">
        <v>1504</v>
      </c>
      <c r="S375" s="172">
        <v>3</v>
      </c>
      <c r="T375" s="172">
        <v>0</v>
      </c>
      <c r="U375" s="172">
        <v>0</v>
      </c>
      <c r="V375" s="172"/>
      <c r="W375" s="172"/>
      <c r="Z375" s="172">
        <v>4027</v>
      </c>
      <c r="AA375" s="172">
        <v>1254</v>
      </c>
      <c r="AB375" s="172">
        <v>300000</v>
      </c>
      <c r="AE375" s="172">
        <v>10000401</v>
      </c>
      <c r="AF375" s="172">
        <v>300000</v>
      </c>
      <c r="AI375" s="172"/>
      <c r="AJ375" s="172"/>
      <c r="AM375" s="172"/>
      <c r="AN375" s="172"/>
      <c r="AQ375" s="172"/>
      <c r="AR375" s="172"/>
      <c r="AU375" s="172"/>
      <c r="AV375" s="172"/>
      <c r="AY375" s="172"/>
      <c r="AZ375" s="172"/>
      <c r="BC375" s="172"/>
      <c r="BD375" s="172"/>
      <c r="BH375" s="172">
        <v>25</v>
      </c>
    </row>
    <row r="376" spans="1:60" ht="14.5">
      <c r="A376" s="172">
        <v>2290011</v>
      </c>
      <c r="B376" s="172">
        <v>373</v>
      </c>
      <c r="C376" s="172">
        <v>229</v>
      </c>
      <c r="D376" s="172" t="s">
        <v>515</v>
      </c>
      <c r="E376" s="172">
        <v>11</v>
      </c>
      <c r="F376" s="172" t="s">
        <v>529</v>
      </c>
      <c r="H376" s="173"/>
      <c r="I376" s="172">
        <v>1</v>
      </c>
      <c r="J376" s="177">
        <v>22680</v>
      </c>
      <c r="K376" s="177">
        <v>170000</v>
      </c>
      <c r="L376" s="177">
        <v>350000</v>
      </c>
      <c r="M376" s="177">
        <v>350000</v>
      </c>
      <c r="N376" s="177">
        <v>350000</v>
      </c>
      <c r="O376" s="172">
        <v>2061</v>
      </c>
      <c r="P376" s="172">
        <v>180</v>
      </c>
      <c r="Q376" s="172" t="s">
        <v>1498</v>
      </c>
      <c r="R376" s="172" t="s">
        <v>1505</v>
      </c>
      <c r="S376" s="172">
        <v>3</v>
      </c>
      <c r="T376" s="172">
        <v>0</v>
      </c>
      <c r="U376" s="172">
        <v>0</v>
      </c>
      <c r="V376" s="172"/>
      <c r="W376" s="172"/>
      <c r="Z376" s="172">
        <v>6464</v>
      </c>
      <c r="AA376" s="172">
        <v>1254</v>
      </c>
      <c r="AB376" s="172">
        <v>360000</v>
      </c>
      <c r="AE376" s="172">
        <v>10000401</v>
      </c>
      <c r="AF376" s="172">
        <v>360000</v>
      </c>
      <c r="AI376" s="172"/>
      <c r="AJ376" s="172"/>
      <c r="AM376" s="172"/>
      <c r="AN376" s="172"/>
      <c r="AQ376" s="172"/>
      <c r="AR376" s="172"/>
      <c r="AU376" s="172"/>
      <c r="AV376" s="172"/>
      <c r="AY376" s="172"/>
      <c r="AZ376" s="172"/>
      <c r="BC376" s="172"/>
      <c r="BD376" s="172"/>
      <c r="BH376" s="172">
        <v>25</v>
      </c>
    </row>
    <row r="377" spans="1:60" ht="14.5">
      <c r="A377" s="172">
        <v>2290012</v>
      </c>
      <c r="B377" s="172">
        <v>374</v>
      </c>
      <c r="C377" s="172">
        <v>229</v>
      </c>
      <c r="D377" s="172" t="s">
        <v>515</v>
      </c>
      <c r="E377" s="172">
        <v>12</v>
      </c>
      <c r="F377" s="172" t="s">
        <v>530</v>
      </c>
      <c r="H377" s="173"/>
      <c r="I377" s="172">
        <v>2</v>
      </c>
      <c r="J377" s="177">
        <v>30240</v>
      </c>
      <c r="K377" s="177">
        <v>250000</v>
      </c>
      <c r="L377" s="177">
        <v>500000</v>
      </c>
      <c r="M377" s="177">
        <v>500000</v>
      </c>
      <c r="N377" s="177">
        <v>500000</v>
      </c>
      <c r="O377" s="172">
        <v>2061</v>
      </c>
      <c r="P377" s="172">
        <v>210</v>
      </c>
      <c r="Q377" s="172" t="s">
        <v>1498</v>
      </c>
      <c r="R377" s="172" t="s">
        <v>1258</v>
      </c>
      <c r="S377" s="172">
        <v>3</v>
      </c>
      <c r="T377" s="172">
        <v>0</v>
      </c>
      <c r="U377" s="172">
        <v>0</v>
      </c>
      <c r="V377" s="172"/>
      <c r="W377" s="172"/>
      <c r="Z377" s="172">
        <v>9972</v>
      </c>
      <c r="AA377" s="172">
        <v>1254</v>
      </c>
      <c r="AB377" s="172">
        <v>420000</v>
      </c>
      <c r="AE377" s="172">
        <v>10000401</v>
      </c>
      <c r="AF377" s="172">
        <v>420000</v>
      </c>
      <c r="AI377" s="172"/>
      <c r="AJ377" s="172"/>
      <c r="AM377" s="172"/>
      <c r="AN377" s="172"/>
      <c r="AQ377" s="172"/>
      <c r="AR377" s="172"/>
      <c r="AU377" s="172"/>
      <c r="AV377" s="172"/>
      <c r="AY377" s="172"/>
      <c r="AZ377" s="172"/>
      <c r="BC377" s="172"/>
      <c r="BD377" s="172"/>
      <c r="BH377" s="172">
        <v>25</v>
      </c>
    </row>
    <row r="378" spans="1:60" ht="14.5">
      <c r="A378" s="172">
        <v>2290013</v>
      </c>
      <c r="B378" s="172">
        <v>375</v>
      </c>
      <c r="C378" s="172">
        <v>229</v>
      </c>
      <c r="D378" s="172" t="s">
        <v>515</v>
      </c>
      <c r="E378" s="172">
        <v>13</v>
      </c>
      <c r="F378" s="172" t="s">
        <v>531</v>
      </c>
      <c r="H378" s="173"/>
      <c r="I378" s="172">
        <v>2</v>
      </c>
      <c r="J378" s="177">
        <v>40320</v>
      </c>
      <c r="K378" s="177">
        <v>340000</v>
      </c>
      <c r="L378" s="177">
        <v>690000</v>
      </c>
      <c r="M378" s="177">
        <v>690000</v>
      </c>
      <c r="N378" s="177">
        <v>690000</v>
      </c>
      <c r="O378" s="172">
        <v>2061</v>
      </c>
      <c r="P378" s="172">
        <v>240</v>
      </c>
      <c r="Q378" s="172" t="s">
        <v>1498</v>
      </c>
      <c r="R378" s="172" t="s">
        <v>1262</v>
      </c>
      <c r="S378" s="172">
        <v>3</v>
      </c>
      <c r="T378" s="172">
        <v>0</v>
      </c>
      <c r="U378" s="172">
        <v>0</v>
      </c>
      <c r="V378" s="172"/>
      <c r="W378" s="172"/>
      <c r="Z378" s="172">
        <v>14779</v>
      </c>
      <c r="AA378" s="172">
        <v>1254</v>
      </c>
      <c r="AB378" s="172">
        <v>480000</v>
      </c>
      <c r="AE378" s="172">
        <v>10000401</v>
      </c>
      <c r="AF378" s="172">
        <v>480000</v>
      </c>
      <c r="AI378" s="172"/>
      <c r="AJ378" s="172"/>
      <c r="AM378" s="172"/>
      <c r="AN378" s="172"/>
      <c r="AQ378" s="172"/>
      <c r="AR378" s="172"/>
      <c r="AU378" s="172"/>
      <c r="AV378" s="172"/>
      <c r="AY378" s="172"/>
      <c r="AZ378" s="172"/>
      <c r="BC378" s="172"/>
      <c r="BD378" s="172"/>
      <c r="BH378" s="172">
        <v>25</v>
      </c>
    </row>
    <row r="379" spans="1:60" ht="14.5">
      <c r="A379" s="172">
        <v>2290014</v>
      </c>
      <c r="B379" s="172">
        <v>376</v>
      </c>
      <c r="C379" s="172">
        <v>229</v>
      </c>
      <c r="D379" s="172" t="s">
        <v>515</v>
      </c>
      <c r="E379" s="172">
        <v>14</v>
      </c>
      <c r="F379" s="172" t="s">
        <v>532</v>
      </c>
      <c r="H379" s="173"/>
      <c r="I379" s="172">
        <v>2</v>
      </c>
      <c r="J379" s="177">
        <v>50400</v>
      </c>
      <c r="K379" s="177">
        <v>450000</v>
      </c>
      <c r="L379" s="177">
        <v>890000</v>
      </c>
      <c r="M379" s="177">
        <v>890000</v>
      </c>
      <c r="N379" s="177">
        <v>890000</v>
      </c>
      <c r="O379" s="172">
        <v>2061</v>
      </c>
      <c r="P379" s="172">
        <v>270</v>
      </c>
      <c r="Q379" s="172" t="s">
        <v>1498</v>
      </c>
      <c r="R379" s="172" t="s">
        <v>1265</v>
      </c>
      <c r="S379" s="172">
        <v>3</v>
      </c>
      <c r="T379" s="172">
        <v>0</v>
      </c>
      <c r="U379" s="172">
        <v>0</v>
      </c>
      <c r="V379" s="172"/>
      <c r="W379" s="172"/>
      <c r="Z379" s="172">
        <v>21027</v>
      </c>
      <c r="AA379" s="172">
        <v>1254</v>
      </c>
      <c r="AB379" s="172">
        <v>540000</v>
      </c>
      <c r="AE379" s="172">
        <v>10000401</v>
      </c>
      <c r="AF379" s="172">
        <v>540000</v>
      </c>
      <c r="AI379" s="172"/>
      <c r="AJ379" s="172"/>
      <c r="AM379" s="172"/>
      <c r="AN379" s="172"/>
      <c r="AQ379" s="172"/>
      <c r="AR379" s="172"/>
      <c r="AU379" s="172"/>
      <c r="AV379" s="172"/>
      <c r="AY379" s="172"/>
      <c r="AZ379" s="172"/>
      <c r="BC379" s="172"/>
      <c r="BD379" s="172"/>
      <c r="BH379" s="172">
        <v>25</v>
      </c>
    </row>
    <row r="380" spans="1:60" ht="14.5">
      <c r="A380" s="172">
        <v>2290015</v>
      </c>
      <c r="B380" s="172">
        <v>377</v>
      </c>
      <c r="C380" s="172">
        <v>229</v>
      </c>
      <c r="D380" s="172" t="s">
        <v>515</v>
      </c>
      <c r="E380" s="172">
        <v>15</v>
      </c>
      <c r="F380" s="172" t="s">
        <v>533</v>
      </c>
      <c r="H380" s="173"/>
      <c r="I380" s="172">
        <v>2</v>
      </c>
      <c r="J380" s="177">
        <v>60480</v>
      </c>
      <c r="K380" s="177">
        <v>570000</v>
      </c>
      <c r="L380" s="177">
        <v>1100000</v>
      </c>
      <c r="M380" s="177">
        <v>1100000</v>
      </c>
      <c r="N380" s="177">
        <v>1100000</v>
      </c>
      <c r="O380" s="172">
        <v>2061</v>
      </c>
      <c r="P380" s="172">
        <v>300</v>
      </c>
      <c r="Q380" s="172" t="s">
        <v>1498</v>
      </c>
      <c r="R380" s="172" t="s">
        <v>1269</v>
      </c>
      <c r="S380" s="172">
        <v>3</v>
      </c>
      <c r="T380" s="172">
        <v>0</v>
      </c>
      <c r="U380" s="172">
        <v>0</v>
      </c>
      <c r="V380" s="172"/>
      <c r="W380" s="172"/>
      <c r="Z380" s="172">
        <v>29026</v>
      </c>
      <c r="AA380" s="172">
        <v>1254</v>
      </c>
      <c r="AB380" s="172">
        <v>600000</v>
      </c>
      <c r="AE380" s="172">
        <v>10000401</v>
      </c>
      <c r="AF380" s="172">
        <v>600000</v>
      </c>
      <c r="AI380" s="172"/>
      <c r="AJ380" s="172"/>
      <c r="AM380" s="172"/>
      <c r="AN380" s="172"/>
      <c r="AQ380" s="172"/>
      <c r="AR380" s="172"/>
      <c r="AU380" s="172"/>
      <c r="AV380" s="172"/>
      <c r="AY380" s="172"/>
      <c r="AZ380" s="172"/>
      <c r="BC380" s="172"/>
      <c r="BD380" s="172"/>
      <c r="BH380" s="172">
        <v>25</v>
      </c>
    </row>
    <row r="381" spans="1:60" ht="14.5">
      <c r="A381" s="172">
        <v>2290016</v>
      </c>
      <c r="B381" s="172">
        <v>378</v>
      </c>
      <c r="C381" s="172">
        <v>229</v>
      </c>
      <c r="D381" s="172" t="s">
        <v>515</v>
      </c>
      <c r="E381" s="172">
        <v>16</v>
      </c>
      <c r="F381" s="172" t="s">
        <v>534</v>
      </c>
      <c r="H381" s="173"/>
      <c r="I381" s="172">
        <v>2</v>
      </c>
      <c r="J381" s="177">
        <v>75600</v>
      </c>
      <c r="K381" s="177">
        <v>730000</v>
      </c>
      <c r="L381" s="177">
        <v>1500000</v>
      </c>
      <c r="M381" s="177">
        <v>1500000</v>
      </c>
      <c r="N381" s="177">
        <v>1500000</v>
      </c>
      <c r="O381" s="172">
        <v>2061</v>
      </c>
      <c r="P381" s="172">
        <v>340</v>
      </c>
      <c r="Q381" s="172" t="s">
        <v>1498</v>
      </c>
      <c r="R381" s="172" t="s">
        <v>1272</v>
      </c>
      <c r="S381" s="172">
        <v>3</v>
      </c>
      <c r="T381" s="172">
        <v>0</v>
      </c>
      <c r="U381" s="172">
        <v>0</v>
      </c>
      <c r="V381" s="172"/>
      <c r="W381" s="172"/>
      <c r="Z381" s="172">
        <v>39263</v>
      </c>
      <c r="AA381" s="172">
        <v>1254</v>
      </c>
      <c r="AB381" s="172">
        <v>680000</v>
      </c>
      <c r="AE381" s="172">
        <v>10000401</v>
      </c>
      <c r="AF381" s="172">
        <v>660000</v>
      </c>
      <c r="AI381" s="172"/>
      <c r="AJ381" s="172"/>
      <c r="AM381" s="172"/>
      <c r="AN381" s="172"/>
      <c r="AQ381" s="172"/>
      <c r="AR381" s="172"/>
      <c r="AU381" s="172"/>
      <c r="AV381" s="172"/>
      <c r="AY381" s="172"/>
      <c r="AZ381" s="172"/>
      <c r="BC381" s="172"/>
      <c r="BD381" s="172"/>
      <c r="BH381" s="172">
        <v>25</v>
      </c>
    </row>
    <row r="382" spans="1:60" ht="14.5">
      <c r="A382" s="172">
        <v>2290017</v>
      </c>
      <c r="B382" s="172">
        <v>379</v>
      </c>
      <c r="C382" s="172">
        <v>229</v>
      </c>
      <c r="D382" s="172" t="s">
        <v>515</v>
      </c>
      <c r="E382" s="172">
        <v>17</v>
      </c>
      <c r="F382" s="172" t="s">
        <v>535</v>
      </c>
      <c r="H382" s="173"/>
      <c r="I382" s="172">
        <v>2</v>
      </c>
      <c r="J382" s="177">
        <v>100800</v>
      </c>
      <c r="K382" s="177">
        <v>940000</v>
      </c>
      <c r="L382" s="177">
        <v>1900000</v>
      </c>
      <c r="M382" s="177">
        <v>1900000</v>
      </c>
      <c r="N382" s="177">
        <v>1900000</v>
      </c>
      <c r="O382" s="172">
        <v>2061</v>
      </c>
      <c r="P382" s="172">
        <v>380</v>
      </c>
      <c r="Q382" s="172" t="s">
        <v>1498</v>
      </c>
      <c r="R382" s="172" t="s">
        <v>1278</v>
      </c>
      <c r="S382" s="172">
        <v>3</v>
      </c>
      <c r="T382" s="172">
        <v>0</v>
      </c>
      <c r="U382" s="172">
        <v>0</v>
      </c>
      <c r="V382" s="172"/>
      <c r="W382" s="172"/>
      <c r="Z382" s="172">
        <v>52368</v>
      </c>
      <c r="AA382" s="172">
        <v>1254</v>
      </c>
      <c r="AB382" s="172">
        <v>760000</v>
      </c>
      <c r="AE382" s="172">
        <v>10000401</v>
      </c>
      <c r="AF382" s="172">
        <v>720000</v>
      </c>
      <c r="AI382" s="172"/>
      <c r="AJ382" s="172"/>
      <c r="AM382" s="172"/>
      <c r="AN382" s="172"/>
      <c r="AQ382" s="172"/>
      <c r="AR382" s="172"/>
      <c r="AU382" s="172"/>
      <c r="AV382" s="172"/>
      <c r="AY382" s="172"/>
      <c r="AZ382" s="172"/>
      <c r="BC382" s="172"/>
      <c r="BD382" s="172"/>
      <c r="BH382" s="172">
        <v>25</v>
      </c>
    </row>
    <row r="383" spans="1:60" ht="14.5">
      <c r="A383" s="172">
        <v>2290018</v>
      </c>
      <c r="B383" s="172">
        <v>380</v>
      </c>
      <c r="C383" s="172">
        <v>229</v>
      </c>
      <c r="D383" s="172" t="s">
        <v>515</v>
      </c>
      <c r="E383" s="172">
        <v>18</v>
      </c>
      <c r="F383" s="172" t="s">
        <v>536</v>
      </c>
      <c r="H383" s="173"/>
      <c r="I383" s="172">
        <v>2</v>
      </c>
      <c r="J383" s="177">
        <v>131040</v>
      </c>
      <c r="K383" s="177">
        <v>1200000</v>
      </c>
      <c r="L383" s="177">
        <v>2400000</v>
      </c>
      <c r="M383" s="177">
        <v>2400000</v>
      </c>
      <c r="N383" s="177">
        <v>2400000</v>
      </c>
      <c r="O383" s="172">
        <v>2061</v>
      </c>
      <c r="P383" s="172">
        <v>420</v>
      </c>
      <c r="Q383" s="172" t="s">
        <v>1498</v>
      </c>
      <c r="R383" s="172" t="s">
        <v>1281</v>
      </c>
      <c r="S383" s="172">
        <v>3</v>
      </c>
      <c r="T383" s="172">
        <v>0</v>
      </c>
      <c r="U383" s="172">
        <v>0</v>
      </c>
      <c r="V383" s="172"/>
      <c r="W383" s="172"/>
      <c r="Z383" s="172">
        <v>69141</v>
      </c>
      <c r="AA383" s="172">
        <v>1254</v>
      </c>
      <c r="AB383" s="172">
        <v>840000</v>
      </c>
      <c r="AE383" s="172">
        <v>10000401</v>
      </c>
      <c r="AF383" s="172">
        <v>780000</v>
      </c>
      <c r="AI383" s="172"/>
      <c r="AJ383" s="172"/>
      <c r="AM383" s="172"/>
      <c r="AN383" s="172"/>
      <c r="AQ383" s="172"/>
      <c r="AR383" s="172"/>
      <c r="AU383" s="172"/>
      <c r="AV383" s="172"/>
      <c r="AY383" s="172"/>
      <c r="AZ383" s="172"/>
      <c r="BC383" s="172"/>
      <c r="BD383" s="172"/>
      <c r="BH383" s="172">
        <v>25</v>
      </c>
    </row>
    <row r="384" spans="1:60" ht="14.5">
      <c r="A384" s="172">
        <v>2290019</v>
      </c>
      <c r="B384" s="172">
        <v>381</v>
      </c>
      <c r="C384" s="172">
        <v>229</v>
      </c>
      <c r="D384" s="172" t="s">
        <v>515</v>
      </c>
      <c r="E384" s="172">
        <v>19</v>
      </c>
      <c r="F384" s="172" t="s">
        <v>537</v>
      </c>
      <c r="H384" s="173"/>
      <c r="I384" s="172">
        <v>2</v>
      </c>
      <c r="J384" s="177">
        <v>171360</v>
      </c>
      <c r="K384" s="177">
        <v>1500000</v>
      </c>
      <c r="L384" s="177">
        <v>3100000</v>
      </c>
      <c r="M384" s="177">
        <v>3100000</v>
      </c>
      <c r="N384" s="177">
        <v>3100000</v>
      </c>
      <c r="O384" s="172">
        <v>2061</v>
      </c>
      <c r="P384" s="172">
        <v>460</v>
      </c>
      <c r="Q384" s="172" t="s">
        <v>1498</v>
      </c>
      <c r="R384" s="172" t="s">
        <v>1283</v>
      </c>
      <c r="S384" s="172">
        <v>3</v>
      </c>
      <c r="T384" s="172">
        <v>0</v>
      </c>
      <c r="U384" s="172">
        <v>0</v>
      </c>
      <c r="V384" s="172"/>
      <c r="W384" s="172"/>
      <c r="Z384" s="172">
        <v>90611</v>
      </c>
      <c r="AA384" s="172">
        <v>1254</v>
      </c>
      <c r="AB384" s="172">
        <v>920000</v>
      </c>
      <c r="AE384" s="172">
        <v>10000401</v>
      </c>
      <c r="AF384" s="172">
        <v>840000</v>
      </c>
      <c r="AI384" s="172"/>
      <c r="AJ384" s="172"/>
      <c r="AM384" s="172"/>
      <c r="AN384" s="172"/>
      <c r="AQ384" s="172"/>
      <c r="AR384" s="172"/>
      <c r="AU384" s="172"/>
      <c r="AV384" s="172"/>
      <c r="AY384" s="172"/>
      <c r="AZ384" s="172"/>
      <c r="BC384" s="172"/>
      <c r="BD384" s="172"/>
      <c r="BH384" s="172">
        <v>25</v>
      </c>
    </row>
    <row r="385" spans="1:65" ht="14.5">
      <c r="A385" s="172">
        <v>2290020</v>
      </c>
      <c r="B385" s="172">
        <v>382</v>
      </c>
      <c r="C385" s="172">
        <v>229</v>
      </c>
      <c r="D385" s="172" t="s">
        <v>515</v>
      </c>
      <c r="E385" s="172">
        <v>20</v>
      </c>
      <c r="F385" s="172" t="s">
        <v>538</v>
      </c>
      <c r="H385" s="173"/>
      <c r="I385" s="172">
        <v>3</v>
      </c>
      <c r="J385" s="177">
        <v>241920</v>
      </c>
      <c r="K385" s="177">
        <v>2000000</v>
      </c>
      <c r="L385" s="177">
        <v>3900000</v>
      </c>
      <c r="M385" s="177">
        <v>3900000</v>
      </c>
      <c r="N385" s="177">
        <v>3900000</v>
      </c>
      <c r="O385" s="172">
        <v>2061</v>
      </c>
      <c r="P385" s="172">
        <v>500</v>
      </c>
      <c r="Q385" s="172" t="s">
        <v>1498</v>
      </c>
      <c r="R385" s="172" t="s">
        <v>1287</v>
      </c>
      <c r="S385" s="172">
        <v>3</v>
      </c>
      <c r="T385" s="172">
        <v>0</v>
      </c>
      <c r="U385" s="172">
        <v>0</v>
      </c>
      <c r="V385" s="172"/>
      <c r="W385" s="172"/>
      <c r="Z385" s="172">
        <v>118093</v>
      </c>
      <c r="AA385" s="172">
        <v>1254</v>
      </c>
      <c r="AB385" s="172">
        <v>1000000</v>
      </c>
      <c r="AE385" s="172">
        <v>10000401</v>
      </c>
      <c r="AF385" s="172">
        <v>900000</v>
      </c>
      <c r="AI385" s="172"/>
      <c r="AJ385" s="172"/>
      <c r="AM385" s="172"/>
      <c r="AN385" s="172"/>
      <c r="AQ385" s="172"/>
      <c r="AR385" s="172"/>
      <c r="AU385" s="172"/>
      <c r="AV385" s="172"/>
      <c r="AY385" s="172"/>
      <c r="AZ385" s="172"/>
      <c r="BC385" s="172"/>
      <c r="BD385" s="172"/>
      <c r="BH385" s="172">
        <v>25</v>
      </c>
    </row>
    <row r="386" spans="1:65" ht="14.5">
      <c r="A386" s="172">
        <v>2290021</v>
      </c>
      <c r="B386" s="172">
        <v>383</v>
      </c>
      <c r="C386" s="172">
        <v>229</v>
      </c>
      <c r="D386" s="172" t="s">
        <v>515</v>
      </c>
      <c r="E386" s="172">
        <v>21</v>
      </c>
      <c r="F386" s="172" t="s">
        <v>1506</v>
      </c>
      <c r="H386" s="173"/>
      <c r="I386" s="172">
        <v>3</v>
      </c>
      <c r="J386" s="177">
        <v>322560</v>
      </c>
      <c r="K386" s="177">
        <v>2500000</v>
      </c>
      <c r="L386" s="177">
        <v>5000000</v>
      </c>
      <c r="M386" s="177">
        <v>5000000</v>
      </c>
      <c r="N386" s="177">
        <v>5000000</v>
      </c>
      <c r="O386" s="172">
        <v>2061</v>
      </c>
      <c r="P386" s="172">
        <v>550</v>
      </c>
      <c r="Q386" s="172" t="s">
        <v>1498</v>
      </c>
      <c r="R386" s="172" t="s">
        <v>1291</v>
      </c>
      <c r="S386" s="172">
        <v>3</v>
      </c>
      <c r="T386" s="172">
        <v>0</v>
      </c>
      <c r="U386" s="172">
        <v>0</v>
      </c>
      <c r="V386" s="172"/>
      <c r="W386" s="172"/>
      <c r="Z386" s="172">
        <v>153270</v>
      </c>
      <c r="AA386" s="172">
        <v>1254</v>
      </c>
      <c r="AB386" s="172">
        <v>1100000</v>
      </c>
      <c r="AE386" s="172">
        <v>10000401</v>
      </c>
      <c r="AF386" s="172">
        <v>980000</v>
      </c>
      <c r="AI386" s="172"/>
      <c r="AJ386" s="172"/>
      <c r="AM386" s="172"/>
      <c r="AN386" s="172"/>
      <c r="AQ386" s="172"/>
      <c r="AR386" s="172"/>
      <c r="AU386" s="172"/>
      <c r="AV386" s="172"/>
      <c r="AY386" s="172"/>
      <c r="AZ386" s="172"/>
      <c r="BC386" s="172"/>
      <c r="BD386" s="172"/>
      <c r="BH386" s="172">
        <v>25</v>
      </c>
    </row>
    <row r="387" spans="1:65" ht="14.5">
      <c r="A387" s="172">
        <v>2290022</v>
      </c>
      <c r="B387" s="172">
        <v>384</v>
      </c>
      <c r="C387" s="172">
        <v>229</v>
      </c>
      <c r="D387" s="172" t="s">
        <v>515</v>
      </c>
      <c r="E387" s="172">
        <v>22</v>
      </c>
      <c r="F387" s="172" t="s">
        <v>1507</v>
      </c>
      <c r="H387" s="173"/>
      <c r="I387" s="172">
        <v>3</v>
      </c>
      <c r="J387" s="177">
        <v>423360</v>
      </c>
      <c r="K387" s="177">
        <v>3200000</v>
      </c>
      <c r="L387" s="177">
        <v>6400000</v>
      </c>
      <c r="M387" s="177">
        <v>6400000</v>
      </c>
      <c r="N387" s="177">
        <v>6400000</v>
      </c>
      <c r="O387" s="172">
        <v>2061</v>
      </c>
      <c r="P387" s="172">
        <v>600</v>
      </c>
      <c r="Q387" s="172" t="s">
        <v>1498</v>
      </c>
      <c r="R387" s="172" t="s">
        <v>1295</v>
      </c>
      <c r="S387" s="172">
        <v>3</v>
      </c>
      <c r="T387" s="172">
        <v>0</v>
      </c>
      <c r="U387" s="172">
        <v>0</v>
      </c>
      <c r="V387" s="172"/>
      <c r="W387" s="172"/>
      <c r="Z387" s="172">
        <v>198296</v>
      </c>
      <c r="AA387" s="172">
        <v>1254</v>
      </c>
      <c r="AB387" s="172">
        <v>1200000</v>
      </c>
      <c r="AE387" s="172">
        <v>10000401</v>
      </c>
      <c r="AF387" s="172">
        <v>1060000</v>
      </c>
      <c r="AI387" s="172"/>
      <c r="AJ387" s="172"/>
      <c r="AM387" s="172"/>
      <c r="AN387" s="172"/>
      <c r="AQ387" s="172"/>
      <c r="AR387" s="172"/>
      <c r="AU387" s="172"/>
      <c r="AV387" s="172"/>
      <c r="AY387" s="172"/>
      <c r="AZ387" s="172"/>
      <c r="BC387" s="172"/>
      <c r="BD387" s="172"/>
      <c r="BH387" s="172">
        <v>25</v>
      </c>
    </row>
    <row r="388" spans="1:65" ht="14.5">
      <c r="A388" s="172">
        <v>2290023</v>
      </c>
      <c r="B388" s="172">
        <v>385</v>
      </c>
      <c r="C388" s="172">
        <v>229</v>
      </c>
      <c r="D388" s="172" t="s">
        <v>515</v>
      </c>
      <c r="E388" s="172">
        <v>23</v>
      </c>
      <c r="F388" s="172" t="s">
        <v>1508</v>
      </c>
      <c r="H388" s="173"/>
      <c r="I388" s="172">
        <v>3</v>
      </c>
      <c r="J388" s="177">
        <v>544320</v>
      </c>
      <c r="K388" s="177">
        <v>4100000</v>
      </c>
      <c r="L388" s="177">
        <v>8200000</v>
      </c>
      <c r="M388" s="177">
        <v>8200000</v>
      </c>
      <c r="N388" s="177">
        <v>8200000</v>
      </c>
      <c r="O388" s="172">
        <v>2061</v>
      </c>
      <c r="P388" s="172">
        <v>650</v>
      </c>
      <c r="Q388" s="172" t="s">
        <v>1498</v>
      </c>
      <c r="R388" s="172" t="s">
        <v>1298</v>
      </c>
      <c r="S388" s="172">
        <v>3</v>
      </c>
      <c r="T388" s="172">
        <v>0</v>
      </c>
      <c r="U388" s="172">
        <v>0</v>
      </c>
      <c r="V388" s="172"/>
      <c r="W388" s="172"/>
      <c r="Z388" s="172">
        <v>255929</v>
      </c>
      <c r="AA388" s="172">
        <v>1254</v>
      </c>
      <c r="AB388" s="172">
        <v>1300000</v>
      </c>
      <c r="AE388" s="172">
        <v>10000401</v>
      </c>
      <c r="AF388" s="172">
        <v>1140000</v>
      </c>
      <c r="AI388" s="172"/>
      <c r="AJ388" s="172"/>
      <c r="AM388" s="172"/>
      <c r="AN388" s="172"/>
      <c r="AQ388" s="172"/>
      <c r="AR388" s="172"/>
      <c r="AU388" s="172"/>
      <c r="AV388" s="172"/>
      <c r="AY388" s="172"/>
      <c r="AZ388" s="172"/>
      <c r="BC388" s="172"/>
      <c r="BD388" s="172"/>
      <c r="BH388" s="172">
        <v>25</v>
      </c>
    </row>
    <row r="389" spans="1:65" ht="14.5">
      <c r="A389" s="172">
        <v>2290024</v>
      </c>
      <c r="B389" s="172">
        <v>386</v>
      </c>
      <c r="C389" s="172">
        <v>229</v>
      </c>
      <c r="D389" s="172" t="s">
        <v>515</v>
      </c>
      <c r="E389" s="172">
        <v>24</v>
      </c>
      <c r="F389" s="172" t="s">
        <v>1509</v>
      </c>
      <c r="H389" s="173"/>
      <c r="I389" s="172">
        <v>3</v>
      </c>
      <c r="J389" s="177">
        <v>695520</v>
      </c>
      <c r="K389" s="177">
        <v>5300000</v>
      </c>
      <c r="L389" s="177">
        <v>11000000</v>
      </c>
      <c r="M389" s="177">
        <v>11000000</v>
      </c>
      <c r="N389" s="177">
        <v>11000000</v>
      </c>
      <c r="O389" s="172">
        <v>2061</v>
      </c>
      <c r="P389" s="172">
        <v>700</v>
      </c>
      <c r="Q389" s="172" t="s">
        <v>1498</v>
      </c>
      <c r="R389" s="172" t="s">
        <v>1302</v>
      </c>
      <c r="S389" s="172">
        <v>3</v>
      </c>
      <c r="T389" s="172">
        <v>0</v>
      </c>
      <c r="U389" s="172">
        <v>0</v>
      </c>
      <c r="V389" s="172"/>
      <c r="W389" s="172"/>
      <c r="Z389" s="172">
        <v>329700</v>
      </c>
      <c r="AA389" s="172">
        <v>1254</v>
      </c>
      <c r="AB389" s="172">
        <v>1400000</v>
      </c>
      <c r="AE389" s="172">
        <v>10000401</v>
      </c>
      <c r="AF389" s="172">
        <v>1220000</v>
      </c>
      <c r="AI389" s="172"/>
      <c r="AJ389" s="172"/>
      <c r="AM389" s="172"/>
      <c r="AN389" s="172"/>
      <c r="AQ389" s="172"/>
      <c r="AR389" s="172"/>
      <c r="AU389" s="172"/>
      <c r="AV389" s="172"/>
      <c r="AY389" s="172"/>
      <c r="AZ389" s="172"/>
      <c r="BC389" s="172"/>
      <c r="BD389" s="172"/>
      <c r="BH389" s="172">
        <v>25</v>
      </c>
    </row>
    <row r="390" spans="1:65" ht="14.5">
      <c r="A390" s="172">
        <v>2290025</v>
      </c>
      <c r="B390" s="172">
        <v>387</v>
      </c>
      <c r="C390" s="172">
        <v>229</v>
      </c>
      <c r="D390" s="172" t="s">
        <v>515</v>
      </c>
      <c r="E390" s="172">
        <v>25</v>
      </c>
      <c r="F390" s="172" t="s">
        <v>1510</v>
      </c>
      <c r="H390" s="173"/>
      <c r="I390" s="172">
        <v>3</v>
      </c>
      <c r="J390" s="177">
        <v>876960</v>
      </c>
      <c r="K390" s="177">
        <v>6700000</v>
      </c>
      <c r="L390" s="177">
        <v>13000000</v>
      </c>
      <c r="M390" s="177">
        <v>13000000</v>
      </c>
      <c r="N390" s="177">
        <v>13000000</v>
      </c>
      <c r="O390" s="172">
        <v>2061</v>
      </c>
      <c r="P390" s="172">
        <v>750</v>
      </c>
      <c r="Q390" s="172" t="s">
        <v>1498</v>
      </c>
      <c r="R390" s="172" t="s">
        <v>1305</v>
      </c>
      <c r="S390" s="172">
        <v>3</v>
      </c>
      <c r="T390" s="172">
        <v>0</v>
      </c>
      <c r="U390" s="172">
        <v>0</v>
      </c>
      <c r="V390" s="172"/>
      <c r="W390" s="172"/>
      <c r="Z390" s="172">
        <v>424126</v>
      </c>
      <c r="AA390" s="172">
        <v>1254</v>
      </c>
      <c r="AB390" s="172">
        <v>1500000</v>
      </c>
      <c r="AE390" s="172">
        <v>10000401</v>
      </c>
      <c r="AF390" s="172">
        <v>1300000</v>
      </c>
      <c r="AI390" s="172"/>
      <c r="AJ390" s="172"/>
      <c r="AM390" s="172"/>
      <c r="AN390" s="172"/>
      <c r="AQ390" s="172"/>
      <c r="AR390" s="172"/>
      <c r="AU390" s="172"/>
      <c r="AV390" s="172"/>
      <c r="AY390" s="172"/>
      <c r="AZ390" s="172"/>
      <c r="BC390" s="172"/>
      <c r="BD390" s="172"/>
      <c r="BH390" s="172">
        <v>25</v>
      </c>
    </row>
    <row r="391" spans="1:65" ht="14.5">
      <c r="A391" s="172">
        <v>2290026</v>
      </c>
      <c r="B391" s="172">
        <v>388</v>
      </c>
      <c r="C391" s="172">
        <v>229</v>
      </c>
      <c r="D391" s="172" t="s">
        <v>515</v>
      </c>
      <c r="E391" s="172">
        <v>26</v>
      </c>
      <c r="F391" s="172" t="s">
        <v>1511</v>
      </c>
      <c r="H391" s="173"/>
      <c r="I391" s="172">
        <v>3</v>
      </c>
      <c r="J391" s="177">
        <v>1088640</v>
      </c>
      <c r="K391" s="177">
        <v>8600000</v>
      </c>
      <c r="L391" s="177">
        <v>17000000</v>
      </c>
      <c r="M391" s="177">
        <v>17000000</v>
      </c>
      <c r="N391" s="177">
        <v>17000000</v>
      </c>
      <c r="O391" s="172">
        <v>2061</v>
      </c>
      <c r="P391" s="172">
        <v>810</v>
      </c>
      <c r="Q391" s="172" t="s">
        <v>1498</v>
      </c>
      <c r="R391" s="172" t="s">
        <v>1308</v>
      </c>
      <c r="S391" s="172">
        <v>3</v>
      </c>
      <c r="T391" s="172">
        <v>0</v>
      </c>
      <c r="U391" s="172">
        <v>0</v>
      </c>
      <c r="V391" s="172"/>
      <c r="W391" s="172"/>
      <c r="Z391" s="172">
        <v>544992</v>
      </c>
      <c r="AA391" s="172">
        <v>1254</v>
      </c>
      <c r="AB391" s="172">
        <v>1620000</v>
      </c>
      <c r="AE391" s="172">
        <v>10000401</v>
      </c>
      <c r="AF391" s="172">
        <v>1400000</v>
      </c>
      <c r="AI391" s="172"/>
      <c r="AJ391" s="172"/>
      <c r="AM391" s="172"/>
      <c r="AN391" s="172"/>
      <c r="AQ391" s="172"/>
      <c r="AR391" s="172"/>
      <c r="AU391" s="172"/>
      <c r="AV391" s="172"/>
      <c r="AY391" s="172"/>
      <c r="AZ391" s="172"/>
      <c r="BC391" s="172"/>
      <c r="BD391" s="172"/>
      <c r="BH391" s="172">
        <v>25</v>
      </c>
    </row>
    <row r="392" spans="1:65" ht="14.5">
      <c r="A392" s="172">
        <v>2290027</v>
      </c>
      <c r="B392" s="172">
        <v>389</v>
      </c>
      <c r="C392" s="172">
        <v>229</v>
      </c>
      <c r="D392" s="172" t="s">
        <v>515</v>
      </c>
      <c r="E392" s="172">
        <v>27</v>
      </c>
      <c r="F392" s="172" t="s">
        <v>1512</v>
      </c>
      <c r="H392" s="173"/>
      <c r="I392" s="172">
        <v>3</v>
      </c>
      <c r="J392" s="177">
        <v>1330560</v>
      </c>
      <c r="K392" s="177">
        <v>11000000</v>
      </c>
      <c r="L392" s="177">
        <v>22000000</v>
      </c>
      <c r="M392" s="177">
        <v>22000000</v>
      </c>
      <c r="N392" s="177">
        <v>22000000</v>
      </c>
      <c r="O392" s="172">
        <v>2061</v>
      </c>
      <c r="P392" s="172">
        <v>880</v>
      </c>
      <c r="Q392" s="172" t="s">
        <v>1498</v>
      </c>
      <c r="R392" s="172" t="s">
        <v>1311</v>
      </c>
      <c r="S392" s="172">
        <v>3</v>
      </c>
      <c r="T392" s="172">
        <v>0</v>
      </c>
      <c r="U392" s="172">
        <v>0</v>
      </c>
      <c r="V392" s="172"/>
      <c r="W392" s="172"/>
      <c r="Z392" s="172">
        <v>699700</v>
      </c>
      <c r="AA392" s="172">
        <v>1254</v>
      </c>
      <c r="AB392" s="172">
        <v>1760000</v>
      </c>
      <c r="AE392" s="172">
        <v>10000401</v>
      </c>
      <c r="AF392" s="172">
        <v>1520000</v>
      </c>
      <c r="AI392" s="172"/>
      <c r="AJ392" s="172"/>
      <c r="AM392" s="172"/>
      <c r="AN392" s="172"/>
      <c r="AQ392" s="172"/>
      <c r="AR392" s="172"/>
      <c r="AU392" s="172"/>
      <c r="AV392" s="172"/>
      <c r="AY392" s="172"/>
      <c r="AZ392" s="172"/>
      <c r="BC392" s="172"/>
      <c r="BD392" s="172"/>
      <c r="BH392" s="172">
        <v>25</v>
      </c>
    </row>
    <row r="393" spans="1:65" ht="14.5">
      <c r="A393" s="172">
        <v>2290028</v>
      </c>
      <c r="B393" s="172">
        <v>390</v>
      </c>
      <c r="C393" s="172">
        <v>229</v>
      </c>
      <c r="D393" s="172" t="s">
        <v>515</v>
      </c>
      <c r="E393" s="172">
        <v>28</v>
      </c>
      <c r="F393" s="172" t="s">
        <v>1513</v>
      </c>
      <c r="H393" s="173"/>
      <c r="I393" s="172">
        <v>3</v>
      </c>
      <c r="J393" s="177">
        <v>1632960</v>
      </c>
      <c r="K393" s="177">
        <v>14000000</v>
      </c>
      <c r="L393" s="177">
        <v>28000000</v>
      </c>
      <c r="M393" s="177">
        <v>28000000</v>
      </c>
      <c r="N393" s="177">
        <v>28000000</v>
      </c>
      <c r="O393" s="172">
        <v>2061</v>
      </c>
      <c r="P393" s="172">
        <v>960</v>
      </c>
      <c r="Q393" s="172" t="s">
        <v>1498</v>
      </c>
      <c r="R393" s="172" t="s">
        <v>1314</v>
      </c>
      <c r="S393" s="172">
        <v>3</v>
      </c>
      <c r="T393" s="172">
        <v>0</v>
      </c>
      <c r="U393" s="172">
        <v>0</v>
      </c>
      <c r="V393" s="172"/>
      <c r="W393" s="172"/>
      <c r="Z393" s="172">
        <v>897727</v>
      </c>
      <c r="AA393" s="172">
        <v>1254</v>
      </c>
      <c r="AB393" s="172">
        <v>1920000</v>
      </c>
      <c r="AE393" s="172">
        <v>10000401</v>
      </c>
      <c r="AF393" s="172">
        <v>1660000</v>
      </c>
      <c r="AI393" s="172"/>
      <c r="AJ393" s="172"/>
      <c r="AM393" s="172"/>
      <c r="AN393" s="172"/>
      <c r="AQ393" s="172"/>
      <c r="AR393" s="172"/>
      <c r="AU393" s="172"/>
      <c r="AV393" s="172"/>
      <c r="AY393" s="172"/>
      <c r="AZ393" s="172"/>
      <c r="BC393" s="172"/>
      <c r="BD393" s="172"/>
      <c r="BH393" s="172">
        <v>25</v>
      </c>
    </row>
    <row r="394" spans="1:65" ht="14.5">
      <c r="A394" s="172">
        <v>2290029</v>
      </c>
      <c r="B394" s="172">
        <v>391</v>
      </c>
      <c r="C394" s="172">
        <v>229</v>
      </c>
      <c r="D394" s="172" t="s">
        <v>515</v>
      </c>
      <c r="E394" s="172">
        <v>29</v>
      </c>
      <c r="F394" s="172" t="s">
        <v>1514</v>
      </c>
      <c r="H394" s="173"/>
      <c r="I394" s="172">
        <v>3</v>
      </c>
      <c r="J394" s="177">
        <v>1995840</v>
      </c>
      <c r="K394" s="177">
        <v>18000000</v>
      </c>
      <c r="L394" s="177">
        <v>36000000</v>
      </c>
      <c r="M394" s="177">
        <v>36000000</v>
      </c>
      <c r="N394" s="177">
        <v>36000000</v>
      </c>
      <c r="O394" s="172">
        <v>2061</v>
      </c>
      <c r="P394" s="172">
        <v>1050</v>
      </c>
      <c r="Q394" s="172" t="s">
        <v>1498</v>
      </c>
      <c r="R394" s="172" t="s">
        <v>1317</v>
      </c>
      <c r="S394" s="172">
        <v>3</v>
      </c>
      <c r="T394" s="172">
        <v>0</v>
      </c>
      <c r="U394" s="172">
        <v>0</v>
      </c>
      <c r="V394" s="172"/>
      <c r="W394" s="172"/>
      <c r="Z394" s="172">
        <v>1151201</v>
      </c>
      <c r="AA394" s="172">
        <v>1254</v>
      </c>
      <c r="AB394" s="172">
        <v>2100000</v>
      </c>
      <c r="AE394" s="172">
        <v>10000401</v>
      </c>
      <c r="AF394" s="172">
        <v>1820000</v>
      </c>
      <c r="AI394" s="172"/>
      <c r="AJ394" s="172"/>
      <c r="AM394" s="172"/>
      <c r="AN394" s="172"/>
      <c r="AQ394" s="172"/>
      <c r="AR394" s="172"/>
      <c r="AU394" s="172"/>
      <c r="AV394" s="172"/>
      <c r="AY394" s="172"/>
      <c r="AZ394" s="172"/>
      <c r="BC394" s="172"/>
      <c r="BD394" s="172"/>
      <c r="BH394" s="172">
        <v>25</v>
      </c>
    </row>
    <row r="395" spans="1:65" ht="14.5">
      <c r="A395" s="172">
        <v>2290030</v>
      </c>
      <c r="B395" s="172">
        <v>392</v>
      </c>
      <c r="C395" s="172">
        <v>229</v>
      </c>
      <c r="D395" s="172" t="s">
        <v>515</v>
      </c>
      <c r="E395" s="172">
        <v>30</v>
      </c>
      <c r="F395" s="172" t="s">
        <v>1515</v>
      </c>
      <c r="H395" s="173"/>
      <c r="I395" s="172">
        <v>3</v>
      </c>
      <c r="J395" s="177">
        <v>2419200</v>
      </c>
      <c r="K395" s="177">
        <v>23000000</v>
      </c>
      <c r="L395" s="177">
        <v>46000000</v>
      </c>
      <c r="M395" s="177">
        <v>46000000</v>
      </c>
      <c r="N395" s="177">
        <v>46000000</v>
      </c>
      <c r="O395" s="172">
        <v>2061</v>
      </c>
      <c r="P395" s="172">
        <v>1150</v>
      </c>
      <c r="Q395" s="172" t="s">
        <v>1498</v>
      </c>
      <c r="R395" s="172" t="s">
        <v>1406</v>
      </c>
      <c r="S395" s="172">
        <v>3</v>
      </c>
      <c r="T395" s="172">
        <v>0</v>
      </c>
      <c r="U395" s="172">
        <v>0</v>
      </c>
      <c r="V395" s="172"/>
      <c r="W395" s="172"/>
      <c r="Z395" s="172">
        <v>1475648</v>
      </c>
      <c r="AA395" s="172">
        <v>1254</v>
      </c>
      <c r="AB395" s="172">
        <v>2300000</v>
      </c>
      <c r="AE395" s="172">
        <v>10000401</v>
      </c>
      <c r="AF395" s="172">
        <v>2000000</v>
      </c>
      <c r="AI395" s="172"/>
      <c r="AJ395" s="172"/>
      <c r="AM395" s="172"/>
      <c r="AN395" s="172"/>
      <c r="AQ395" s="172"/>
      <c r="AR395" s="172"/>
      <c r="AU395" s="172"/>
      <c r="AV395" s="172"/>
      <c r="AY395" s="172"/>
      <c r="AZ395" s="172"/>
      <c r="BC395" s="172"/>
      <c r="BD395" s="172"/>
      <c r="BH395" s="172">
        <v>25</v>
      </c>
    </row>
    <row r="396" spans="1:65" ht="14.5">
      <c r="A396" s="172">
        <v>2300001</v>
      </c>
      <c r="B396" s="172">
        <v>393</v>
      </c>
      <c r="C396" s="172">
        <v>230</v>
      </c>
      <c r="D396" s="172" t="s">
        <v>539</v>
      </c>
      <c r="E396" s="172">
        <v>1</v>
      </c>
      <c r="F396" s="172" t="s">
        <v>540</v>
      </c>
      <c r="H396" s="173"/>
      <c r="I396" s="172" t="s">
        <v>1205</v>
      </c>
      <c r="J396" s="177">
        <v>25</v>
      </c>
      <c r="K396" s="177">
        <v>670</v>
      </c>
      <c r="L396" s="177">
        <v>1300</v>
      </c>
      <c r="M396" s="177">
        <v>0</v>
      </c>
      <c r="N396" s="177">
        <v>0</v>
      </c>
      <c r="O396" s="172"/>
      <c r="P396" s="172"/>
      <c r="Q396" s="172" t="s">
        <v>1318</v>
      </c>
      <c r="R396" s="172" t="s">
        <v>1326</v>
      </c>
      <c r="S396" s="172">
        <v>2</v>
      </c>
      <c r="T396" s="172">
        <v>0</v>
      </c>
      <c r="U396" s="172">
        <v>0</v>
      </c>
      <c r="V396" s="172" t="s">
        <v>158</v>
      </c>
      <c r="W396" s="172" t="s">
        <v>1516</v>
      </c>
      <c r="Z396" s="172">
        <v>4</v>
      </c>
      <c r="AA396" s="172">
        <v>2601</v>
      </c>
      <c r="AB396" s="172">
        <v>20000</v>
      </c>
      <c r="AE396" s="172">
        <v>1400</v>
      </c>
      <c r="AF396" s="172">
        <v>1</v>
      </c>
      <c r="AI396" s="172"/>
      <c r="AJ396" s="172"/>
      <c r="AM396" s="172"/>
      <c r="AN396" s="172"/>
      <c r="AQ396" s="172"/>
      <c r="AR396" s="172"/>
      <c r="AU396" s="172"/>
      <c r="AV396" s="172"/>
      <c r="AY396" s="172"/>
      <c r="AZ396" s="172"/>
      <c r="BC396" s="172"/>
      <c r="BD396" s="172"/>
      <c r="BH396" s="172">
        <v>24</v>
      </c>
      <c r="BM396" s="172">
        <v>3</v>
      </c>
    </row>
    <row r="397" spans="1:65" ht="14.5">
      <c r="A397" s="172">
        <v>2300002</v>
      </c>
      <c r="B397" s="172">
        <v>394</v>
      </c>
      <c r="C397" s="172">
        <v>230</v>
      </c>
      <c r="D397" s="172" t="s">
        <v>539</v>
      </c>
      <c r="E397" s="172">
        <v>2</v>
      </c>
      <c r="F397" s="172" t="s">
        <v>546</v>
      </c>
      <c r="H397" s="173"/>
      <c r="I397" s="172" t="s">
        <v>1205</v>
      </c>
      <c r="J397" s="177">
        <v>72</v>
      </c>
      <c r="K397" s="177">
        <v>1300</v>
      </c>
      <c r="L397" s="177">
        <v>2700</v>
      </c>
      <c r="M397" s="177">
        <v>0</v>
      </c>
      <c r="N397" s="177">
        <v>0</v>
      </c>
      <c r="O397" s="172"/>
      <c r="P397" s="172"/>
      <c r="Q397" s="172" t="s">
        <v>1318</v>
      </c>
      <c r="R397" s="172" t="s">
        <v>1326</v>
      </c>
      <c r="S397" s="172">
        <v>2</v>
      </c>
      <c r="T397" s="172">
        <v>0</v>
      </c>
      <c r="U397" s="172">
        <v>0</v>
      </c>
      <c r="V397" s="172"/>
      <c r="W397" s="172"/>
      <c r="Z397" s="172">
        <v>12</v>
      </c>
      <c r="AA397" s="172">
        <v>2601</v>
      </c>
      <c r="AB397" s="172">
        <v>40000</v>
      </c>
      <c r="AE397" s="172">
        <v>1400</v>
      </c>
      <c r="AF397" s="172">
        <v>1</v>
      </c>
      <c r="AI397" s="172"/>
      <c r="AJ397" s="172"/>
      <c r="AM397" s="172"/>
      <c r="AN397" s="172"/>
      <c r="AQ397" s="172"/>
      <c r="AR397" s="172"/>
      <c r="AU397" s="172"/>
      <c r="AV397" s="172"/>
      <c r="AY397" s="172"/>
      <c r="AZ397" s="172"/>
      <c r="BC397" s="172"/>
      <c r="BD397" s="172"/>
      <c r="BH397" s="172">
        <v>24</v>
      </c>
    </row>
    <row r="398" spans="1:65" ht="14.5">
      <c r="A398" s="172">
        <v>2300003</v>
      </c>
      <c r="B398" s="172">
        <v>395</v>
      </c>
      <c r="C398" s="172">
        <v>230</v>
      </c>
      <c r="D398" s="172" t="s">
        <v>539</v>
      </c>
      <c r="E398" s="172">
        <v>3</v>
      </c>
      <c r="F398" s="172" t="s">
        <v>547</v>
      </c>
      <c r="H398" s="173"/>
      <c r="I398" s="172" t="s">
        <v>1205</v>
      </c>
      <c r="J398" s="177">
        <v>144</v>
      </c>
      <c r="K398" s="177">
        <v>2700</v>
      </c>
      <c r="L398" s="177">
        <v>5300</v>
      </c>
      <c r="M398" s="177">
        <v>0</v>
      </c>
      <c r="N398" s="177">
        <v>0</v>
      </c>
      <c r="O398" s="172"/>
      <c r="P398" s="172"/>
      <c r="Q398" s="172" t="s">
        <v>1318</v>
      </c>
      <c r="R398" s="172" t="s">
        <v>1326</v>
      </c>
      <c r="S398" s="172">
        <v>2</v>
      </c>
      <c r="T398" s="172">
        <v>0</v>
      </c>
      <c r="U398" s="172">
        <v>0</v>
      </c>
      <c r="V398" s="172"/>
      <c r="W398" s="172"/>
      <c r="Z398" s="172">
        <v>28</v>
      </c>
      <c r="AA398" s="172">
        <v>2601</v>
      </c>
      <c r="AB398" s="172">
        <v>60000</v>
      </c>
      <c r="AE398" s="172">
        <v>1400</v>
      </c>
      <c r="AF398" s="172">
        <v>2</v>
      </c>
      <c r="AI398" s="172"/>
      <c r="AJ398" s="172"/>
      <c r="AM398" s="172"/>
      <c r="AN398" s="172"/>
      <c r="AQ398" s="172"/>
      <c r="AR398" s="172"/>
      <c r="AU398" s="172"/>
      <c r="AV398" s="172"/>
      <c r="AY398" s="172"/>
      <c r="AZ398" s="172"/>
      <c r="BC398" s="172"/>
      <c r="BD398" s="172"/>
      <c r="BH398" s="172">
        <v>24</v>
      </c>
    </row>
    <row r="399" spans="1:65" ht="14.5">
      <c r="A399" s="172">
        <v>2300004</v>
      </c>
      <c r="B399" s="172">
        <v>396</v>
      </c>
      <c r="C399" s="172">
        <v>230</v>
      </c>
      <c r="D399" s="172" t="s">
        <v>539</v>
      </c>
      <c r="E399" s="172">
        <v>4</v>
      </c>
      <c r="F399" s="172" t="s">
        <v>548</v>
      </c>
      <c r="H399" s="173"/>
      <c r="I399" s="172" t="s">
        <v>1205</v>
      </c>
      <c r="J399" s="177">
        <v>288</v>
      </c>
      <c r="K399" s="177">
        <v>5300</v>
      </c>
      <c r="L399" s="177">
        <v>11000</v>
      </c>
      <c r="M399" s="177">
        <v>0</v>
      </c>
      <c r="N399" s="177">
        <v>0</v>
      </c>
      <c r="O399" s="172"/>
      <c r="P399" s="172"/>
      <c r="Q399" s="172" t="s">
        <v>1318</v>
      </c>
      <c r="R399" s="172" t="s">
        <v>1326</v>
      </c>
      <c r="S399" s="172">
        <v>2</v>
      </c>
      <c r="T399" s="172">
        <v>0</v>
      </c>
      <c r="U399" s="172">
        <v>0</v>
      </c>
      <c r="V399" s="172"/>
      <c r="W399" s="172"/>
      <c r="Z399" s="172">
        <v>60</v>
      </c>
      <c r="AA399" s="172">
        <v>2601</v>
      </c>
      <c r="AB399" s="172">
        <v>80000</v>
      </c>
      <c r="AE399" s="172">
        <v>1400</v>
      </c>
      <c r="AF399" s="172">
        <v>2</v>
      </c>
      <c r="AI399" s="172"/>
      <c r="AJ399" s="172"/>
      <c r="AM399" s="172"/>
      <c r="AN399" s="172"/>
      <c r="AQ399" s="172"/>
      <c r="AR399" s="172"/>
      <c r="AU399" s="172"/>
      <c r="AV399" s="172"/>
      <c r="AY399" s="172"/>
      <c r="AZ399" s="172"/>
      <c r="BC399" s="172"/>
      <c r="BD399" s="172"/>
      <c r="BH399" s="172">
        <v>24</v>
      </c>
    </row>
    <row r="400" spans="1:65" ht="14.5">
      <c r="A400" s="172">
        <v>2300005</v>
      </c>
      <c r="B400" s="172">
        <v>397</v>
      </c>
      <c r="C400" s="172">
        <v>230</v>
      </c>
      <c r="D400" s="172" t="s">
        <v>539</v>
      </c>
      <c r="E400" s="172">
        <v>5</v>
      </c>
      <c r="F400" s="172" t="s">
        <v>549</v>
      </c>
      <c r="H400" s="173"/>
      <c r="I400" s="172">
        <v>1</v>
      </c>
      <c r="J400" s="177">
        <v>600</v>
      </c>
      <c r="K400" s="177">
        <v>6200</v>
      </c>
      <c r="L400" s="177">
        <v>12000</v>
      </c>
      <c r="M400" s="177">
        <v>12000</v>
      </c>
      <c r="N400" s="177">
        <v>0</v>
      </c>
      <c r="O400" s="172"/>
      <c r="P400" s="172"/>
      <c r="Q400" s="172" t="s">
        <v>1318</v>
      </c>
      <c r="R400" s="172" t="s">
        <v>1326</v>
      </c>
      <c r="S400" s="172">
        <v>2</v>
      </c>
      <c r="T400" s="172">
        <v>0</v>
      </c>
      <c r="U400" s="172">
        <v>0</v>
      </c>
      <c r="V400" s="172"/>
      <c r="W400" s="172"/>
      <c r="Z400" s="172">
        <v>121</v>
      </c>
      <c r="AA400" s="172">
        <v>2601</v>
      </c>
      <c r="AB400" s="172">
        <v>100000</v>
      </c>
      <c r="AE400" s="172">
        <v>1400</v>
      </c>
      <c r="AF400" s="172">
        <v>3</v>
      </c>
      <c r="AI400" s="172"/>
      <c r="AJ400" s="172"/>
      <c r="AM400" s="172"/>
      <c r="AN400" s="172"/>
      <c r="AQ400" s="172"/>
      <c r="AR400" s="172"/>
      <c r="AU400" s="172"/>
      <c r="AV400" s="172"/>
      <c r="AY400" s="172"/>
      <c r="AZ400" s="172"/>
      <c r="BC400" s="172"/>
      <c r="BD400" s="172"/>
      <c r="BH400" s="172">
        <v>24</v>
      </c>
    </row>
    <row r="401" spans="1:60" ht="14.5">
      <c r="A401" s="172">
        <v>2300006</v>
      </c>
      <c r="B401" s="172">
        <v>398</v>
      </c>
      <c r="C401" s="172">
        <v>230</v>
      </c>
      <c r="D401" s="172" t="s">
        <v>539</v>
      </c>
      <c r="E401" s="172">
        <v>6</v>
      </c>
      <c r="F401" s="172" t="s">
        <v>550</v>
      </c>
      <c r="H401" s="173"/>
      <c r="I401" s="172">
        <v>1</v>
      </c>
      <c r="J401" s="177">
        <v>1080</v>
      </c>
      <c r="K401" s="177">
        <v>11000</v>
      </c>
      <c r="L401" s="177">
        <v>23000</v>
      </c>
      <c r="M401" s="177">
        <v>23000</v>
      </c>
      <c r="N401" s="177">
        <v>0</v>
      </c>
      <c r="O401" s="172"/>
      <c r="P401" s="172"/>
      <c r="Q401" s="172" t="s">
        <v>1318</v>
      </c>
      <c r="R401" s="172" t="s">
        <v>1326</v>
      </c>
      <c r="S401" s="172">
        <v>2</v>
      </c>
      <c r="T401" s="172">
        <v>0</v>
      </c>
      <c r="U401" s="172">
        <v>0</v>
      </c>
      <c r="V401" s="172"/>
      <c r="W401" s="172"/>
      <c r="Z401" s="172">
        <v>236</v>
      </c>
      <c r="AA401" s="172">
        <v>2601</v>
      </c>
      <c r="AB401" s="172">
        <v>120000</v>
      </c>
      <c r="AE401" s="172">
        <v>1400</v>
      </c>
      <c r="AF401" s="172">
        <v>3</v>
      </c>
      <c r="AI401" s="172"/>
      <c r="AJ401" s="172"/>
      <c r="AM401" s="172"/>
      <c r="AN401" s="172"/>
      <c r="AQ401" s="172"/>
      <c r="AR401" s="172"/>
      <c r="AU401" s="172"/>
      <c r="AV401" s="172"/>
      <c r="AY401" s="172"/>
      <c r="AZ401" s="172"/>
      <c r="BC401" s="172"/>
      <c r="BD401" s="172"/>
      <c r="BH401" s="172">
        <v>24</v>
      </c>
    </row>
    <row r="402" spans="1:60" ht="14.5">
      <c r="A402" s="172">
        <v>2300007</v>
      </c>
      <c r="B402" s="172">
        <v>399</v>
      </c>
      <c r="C402" s="172">
        <v>230</v>
      </c>
      <c r="D402" s="172" t="s">
        <v>539</v>
      </c>
      <c r="E402" s="172">
        <v>7</v>
      </c>
      <c r="F402" s="172" t="s">
        <v>551</v>
      </c>
      <c r="H402" s="173"/>
      <c r="I402" s="172">
        <v>1</v>
      </c>
      <c r="J402" s="177">
        <v>1800</v>
      </c>
      <c r="K402" s="177">
        <v>21000</v>
      </c>
      <c r="L402" s="177">
        <v>41000</v>
      </c>
      <c r="M402" s="177">
        <v>41000</v>
      </c>
      <c r="N402" s="177">
        <v>0</v>
      </c>
      <c r="O402" s="172"/>
      <c r="P402" s="172"/>
      <c r="Q402" s="172" t="s">
        <v>1318</v>
      </c>
      <c r="R402" s="172" t="s">
        <v>1326</v>
      </c>
      <c r="S402" s="172">
        <v>2</v>
      </c>
      <c r="T402" s="172">
        <v>0</v>
      </c>
      <c r="U402" s="172">
        <v>0</v>
      </c>
      <c r="V402" s="172"/>
      <c r="W402" s="172"/>
      <c r="Z402" s="172">
        <v>442</v>
      </c>
      <c r="AA402" s="172">
        <v>2601</v>
      </c>
      <c r="AB402" s="172">
        <v>140000</v>
      </c>
      <c r="AE402" s="172">
        <v>1400</v>
      </c>
      <c r="AF402" s="172">
        <v>4</v>
      </c>
      <c r="AI402" s="172"/>
      <c r="AJ402" s="172"/>
      <c r="AM402" s="172"/>
      <c r="AN402" s="172"/>
      <c r="AQ402" s="172"/>
      <c r="AR402" s="172"/>
      <c r="AU402" s="172"/>
      <c r="AV402" s="172"/>
      <c r="AY402" s="172"/>
      <c r="AZ402" s="172"/>
      <c r="BC402" s="172"/>
      <c r="BD402" s="172"/>
      <c r="BH402" s="172">
        <v>24</v>
      </c>
    </row>
    <row r="403" spans="1:60" ht="14.5">
      <c r="A403" s="172">
        <v>2300008</v>
      </c>
      <c r="B403" s="172">
        <v>400</v>
      </c>
      <c r="C403" s="172">
        <v>230</v>
      </c>
      <c r="D403" s="172" t="s">
        <v>539</v>
      </c>
      <c r="E403" s="172">
        <v>8</v>
      </c>
      <c r="F403" s="172" t="s">
        <v>552</v>
      </c>
      <c r="H403" s="173"/>
      <c r="I403" s="172">
        <v>1</v>
      </c>
      <c r="J403" s="177">
        <v>2880</v>
      </c>
      <c r="K403" s="177">
        <v>35000</v>
      </c>
      <c r="L403" s="177">
        <v>71000</v>
      </c>
      <c r="M403" s="177">
        <v>71000</v>
      </c>
      <c r="N403" s="177">
        <v>0</v>
      </c>
      <c r="O403" s="172"/>
      <c r="P403" s="172"/>
      <c r="Q403" s="172" t="s">
        <v>1318</v>
      </c>
      <c r="R403" s="172" t="s">
        <v>1326</v>
      </c>
      <c r="S403" s="172">
        <v>2</v>
      </c>
      <c r="T403" s="172">
        <v>0</v>
      </c>
      <c r="U403" s="172">
        <v>0</v>
      </c>
      <c r="V403" s="172"/>
      <c r="W403" s="172"/>
      <c r="Z403" s="172">
        <v>795</v>
      </c>
      <c r="AA403" s="172">
        <v>2601</v>
      </c>
      <c r="AB403" s="172">
        <v>160000</v>
      </c>
      <c r="AE403" s="172">
        <v>1400</v>
      </c>
      <c r="AF403" s="172">
        <v>4</v>
      </c>
      <c r="AI403" s="172"/>
      <c r="AJ403" s="172"/>
      <c r="AM403" s="172"/>
      <c r="AN403" s="172"/>
      <c r="AQ403" s="172"/>
      <c r="AR403" s="172"/>
      <c r="AU403" s="172"/>
      <c r="AV403" s="172"/>
      <c r="AY403" s="172"/>
      <c r="AZ403" s="172"/>
      <c r="BC403" s="172"/>
      <c r="BD403" s="172"/>
      <c r="BH403" s="172">
        <v>24</v>
      </c>
    </row>
    <row r="404" spans="1:60" ht="14.5">
      <c r="A404" s="172">
        <v>2300009</v>
      </c>
      <c r="B404" s="172">
        <v>401</v>
      </c>
      <c r="C404" s="172">
        <v>230</v>
      </c>
      <c r="D404" s="172" t="s">
        <v>539</v>
      </c>
      <c r="E404" s="172">
        <v>9</v>
      </c>
      <c r="F404" s="172" t="s">
        <v>553</v>
      </c>
      <c r="H404" s="173"/>
      <c r="I404" s="172">
        <v>1</v>
      </c>
      <c r="J404" s="177">
        <v>5760</v>
      </c>
      <c r="K404" s="177">
        <v>58000</v>
      </c>
      <c r="L404" s="177">
        <v>120000</v>
      </c>
      <c r="M404" s="177">
        <v>120000</v>
      </c>
      <c r="N404" s="177">
        <v>0</v>
      </c>
      <c r="O404" s="172"/>
      <c r="P404" s="172"/>
      <c r="Q404" s="172" t="s">
        <v>1318</v>
      </c>
      <c r="R404" s="172" t="s">
        <v>1327</v>
      </c>
      <c r="S404" s="172">
        <v>2</v>
      </c>
      <c r="T404" s="172">
        <v>0</v>
      </c>
      <c r="U404" s="172">
        <v>0</v>
      </c>
      <c r="V404" s="172"/>
      <c r="W404" s="172"/>
      <c r="Z404" s="172">
        <v>1379</v>
      </c>
      <c r="AA404" s="172">
        <v>2601</v>
      </c>
      <c r="AB404" s="172">
        <v>180000</v>
      </c>
      <c r="AE404" s="172">
        <v>1400</v>
      </c>
      <c r="AF404" s="172">
        <v>5</v>
      </c>
      <c r="AI404" s="172"/>
      <c r="AJ404" s="172"/>
      <c r="AM404" s="172"/>
      <c r="AN404" s="172"/>
      <c r="AQ404" s="172"/>
      <c r="AR404" s="172"/>
      <c r="AU404" s="172"/>
      <c r="AV404" s="172"/>
      <c r="AY404" s="172"/>
      <c r="AZ404" s="172"/>
      <c r="BC404" s="172"/>
      <c r="BD404" s="172"/>
      <c r="BH404" s="172">
        <v>24</v>
      </c>
    </row>
    <row r="405" spans="1:60" ht="14.5">
      <c r="A405" s="172">
        <v>2300010</v>
      </c>
      <c r="B405" s="172">
        <v>402</v>
      </c>
      <c r="C405" s="172">
        <v>230</v>
      </c>
      <c r="D405" s="172" t="s">
        <v>539</v>
      </c>
      <c r="E405" s="172">
        <v>10</v>
      </c>
      <c r="F405" s="172" t="s">
        <v>554</v>
      </c>
      <c r="H405" s="173"/>
      <c r="I405" s="172">
        <v>1</v>
      </c>
      <c r="J405" s="177">
        <v>8640</v>
      </c>
      <c r="K405" s="177">
        <v>66000</v>
      </c>
      <c r="L405" s="177">
        <v>130000</v>
      </c>
      <c r="M405" s="177">
        <v>130000</v>
      </c>
      <c r="N405" s="177">
        <v>130000</v>
      </c>
      <c r="O405" s="172"/>
      <c r="P405" s="172"/>
      <c r="Q405" s="172" t="s">
        <v>1318</v>
      </c>
      <c r="R405" s="172" t="s">
        <v>1328</v>
      </c>
      <c r="S405" s="172">
        <v>2</v>
      </c>
      <c r="T405" s="172">
        <v>0</v>
      </c>
      <c r="U405" s="172">
        <v>0</v>
      </c>
      <c r="V405" s="172"/>
      <c r="W405" s="172"/>
      <c r="Z405" s="172">
        <v>2301</v>
      </c>
      <c r="AA405" s="172">
        <v>2601</v>
      </c>
      <c r="AB405" s="172">
        <v>200000</v>
      </c>
      <c r="AE405" s="172">
        <v>1400</v>
      </c>
      <c r="AF405" s="172">
        <v>5</v>
      </c>
      <c r="AI405" s="172"/>
      <c r="AJ405" s="172"/>
      <c r="AM405" s="172"/>
      <c r="AN405" s="172"/>
      <c r="AQ405" s="172"/>
      <c r="AR405" s="172"/>
      <c r="AU405" s="172"/>
      <c r="AV405" s="172"/>
      <c r="AY405" s="172"/>
      <c r="AZ405" s="172"/>
      <c r="BC405" s="172"/>
      <c r="BD405" s="172"/>
      <c r="BH405" s="172">
        <v>24</v>
      </c>
    </row>
    <row r="406" spans="1:60" ht="14.5">
      <c r="A406" s="172">
        <v>2300011</v>
      </c>
      <c r="B406" s="172">
        <v>403</v>
      </c>
      <c r="C406" s="172">
        <v>230</v>
      </c>
      <c r="D406" s="172" t="s">
        <v>539</v>
      </c>
      <c r="E406" s="172">
        <v>11</v>
      </c>
      <c r="F406" s="172" t="s">
        <v>555</v>
      </c>
      <c r="H406" s="173"/>
      <c r="I406" s="172">
        <v>1</v>
      </c>
      <c r="J406" s="177">
        <v>12960</v>
      </c>
      <c r="K406" s="177">
        <v>99000</v>
      </c>
      <c r="L406" s="177">
        <v>200000</v>
      </c>
      <c r="M406" s="177">
        <v>200000</v>
      </c>
      <c r="N406" s="177">
        <v>200000</v>
      </c>
      <c r="O406" s="172"/>
      <c r="P406" s="172"/>
      <c r="Q406" s="172" t="s">
        <v>1318</v>
      </c>
      <c r="R406" s="172" t="s">
        <v>1329</v>
      </c>
      <c r="S406" s="172">
        <v>2</v>
      </c>
      <c r="T406" s="172">
        <v>0</v>
      </c>
      <c r="U406" s="172">
        <v>0</v>
      </c>
      <c r="V406" s="172"/>
      <c r="W406" s="172"/>
      <c r="Z406" s="172">
        <v>3693</v>
      </c>
      <c r="AA406" s="172">
        <v>2601</v>
      </c>
      <c r="AB406" s="172">
        <v>230000</v>
      </c>
      <c r="AE406" s="172">
        <v>1400</v>
      </c>
      <c r="AF406" s="172">
        <v>6</v>
      </c>
      <c r="AI406" s="172"/>
      <c r="AJ406" s="172"/>
      <c r="AM406" s="172"/>
      <c r="AN406" s="172"/>
      <c r="AQ406" s="172"/>
      <c r="AR406" s="172"/>
      <c r="AU406" s="172"/>
      <c r="AV406" s="172"/>
      <c r="AY406" s="172"/>
      <c r="AZ406" s="172"/>
      <c r="BC406" s="172"/>
      <c r="BD406" s="172"/>
      <c r="BH406" s="172">
        <v>24</v>
      </c>
    </row>
    <row r="407" spans="1:60" ht="14.5">
      <c r="A407" s="172">
        <v>2300012</v>
      </c>
      <c r="B407" s="172">
        <v>404</v>
      </c>
      <c r="C407" s="172">
        <v>230</v>
      </c>
      <c r="D407" s="172" t="s">
        <v>539</v>
      </c>
      <c r="E407" s="172">
        <v>12</v>
      </c>
      <c r="F407" s="172" t="s">
        <v>556</v>
      </c>
      <c r="H407" s="173"/>
      <c r="I407" s="172">
        <v>2</v>
      </c>
      <c r="J407" s="177">
        <v>17280</v>
      </c>
      <c r="K407" s="177">
        <v>140000</v>
      </c>
      <c r="L407" s="177">
        <v>290000</v>
      </c>
      <c r="M407" s="177">
        <v>290000</v>
      </c>
      <c r="N407" s="177">
        <v>290000</v>
      </c>
      <c r="O407" s="172"/>
      <c r="P407" s="172"/>
      <c r="Q407" s="172" t="s">
        <v>1318</v>
      </c>
      <c r="R407" s="172" t="s">
        <v>1330</v>
      </c>
      <c r="S407" s="172">
        <v>2</v>
      </c>
      <c r="T407" s="172">
        <v>0</v>
      </c>
      <c r="U407" s="172">
        <v>0</v>
      </c>
      <c r="V407" s="172"/>
      <c r="W407" s="172"/>
      <c r="Z407" s="172">
        <v>5698</v>
      </c>
      <c r="AA407" s="172">
        <v>2601</v>
      </c>
      <c r="AB407" s="172">
        <v>260000</v>
      </c>
      <c r="AE407" s="172">
        <v>1400</v>
      </c>
      <c r="AF407" s="172">
        <v>6</v>
      </c>
      <c r="AI407" s="172"/>
      <c r="AJ407" s="172"/>
      <c r="AM407" s="172"/>
      <c r="AN407" s="172"/>
      <c r="AQ407" s="172"/>
      <c r="AR407" s="172"/>
      <c r="AU407" s="172"/>
      <c r="AV407" s="172"/>
      <c r="AY407" s="172"/>
      <c r="AZ407" s="172"/>
      <c r="BC407" s="172"/>
      <c r="BD407" s="172"/>
      <c r="BH407" s="172">
        <v>24</v>
      </c>
    </row>
    <row r="408" spans="1:60" ht="14.5">
      <c r="A408" s="172">
        <v>2300013</v>
      </c>
      <c r="B408" s="172">
        <v>405</v>
      </c>
      <c r="C408" s="172">
        <v>230</v>
      </c>
      <c r="D408" s="172" t="s">
        <v>539</v>
      </c>
      <c r="E408" s="172">
        <v>13</v>
      </c>
      <c r="F408" s="172" t="s">
        <v>557</v>
      </c>
      <c r="H408" s="173"/>
      <c r="I408" s="172">
        <v>2</v>
      </c>
      <c r="J408" s="177">
        <v>23040</v>
      </c>
      <c r="K408" s="177">
        <v>200000</v>
      </c>
      <c r="L408" s="177">
        <v>390000</v>
      </c>
      <c r="M408" s="177">
        <v>390000</v>
      </c>
      <c r="N408" s="177">
        <v>390000</v>
      </c>
      <c r="O408" s="172"/>
      <c r="P408" s="172"/>
      <c r="Q408" s="172" t="s">
        <v>1318</v>
      </c>
      <c r="R408" s="172" t="s">
        <v>1331</v>
      </c>
      <c r="S408" s="172">
        <v>2</v>
      </c>
      <c r="T408" s="172">
        <v>0</v>
      </c>
      <c r="U408" s="172">
        <v>0</v>
      </c>
      <c r="V408" s="172"/>
      <c r="W408" s="172"/>
      <c r="Z408" s="172">
        <v>8445</v>
      </c>
      <c r="AA408" s="172">
        <v>2601</v>
      </c>
      <c r="AB408" s="172">
        <v>290000</v>
      </c>
      <c r="AE408" s="172">
        <v>1400</v>
      </c>
      <c r="AF408" s="172">
        <v>7</v>
      </c>
      <c r="AI408" s="172"/>
      <c r="AJ408" s="172"/>
      <c r="AM408" s="172"/>
      <c r="AN408" s="172"/>
      <c r="AQ408" s="172"/>
      <c r="AR408" s="172"/>
      <c r="AU408" s="172"/>
      <c r="AV408" s="172"/>
      <c r="AY408" s="172"/>
      <c r="AZ408" s="172"/>
      <c r="BC408" s="172"/>
      <c r="BD408" s="172"/>
      <c r="BH408" s="172">
        <v>24</v>
      </c>
    </row>
    <row r="409" spans="1:60" ht="14.5">
      <c r="A409" s="172">
        <v>2300014</v>
      </c>
      <c r="B409" s="172">
        <v>406</v>
      </c>
      <c r="C409" s="172">
        <v>230</v>
      </c>
      <c r="D409" s="172" t="s">
        <v>539</v>
      </c>
      <c r="E409" s="172">
        <v>14</v>
      </c>
      <c r="F409" s="172" t="s">
        <v>558</v>
      </c>
      <c r="H409" s="173"/>
      <c r="I409" s="172">
        <v>2</v>
      </c>
      <c r="J409" s="177">
        <v>28800</v>
      </c>
      <c r="K409" s="177">
        <v>260000</v>
      </c>
      <c r="L409" s="177">
        <v>510000</v>
      </c>
      <c r="M409" s="177">
        <v>510000</v>
      </c>
      <c r="N409" s="177">
        <v>510000</v>
      </c>
      <c r="O409" s="172"/>
      <c r="P409" s="172"/>
      <c r="Q409" s="172" t="s">
        <v>1318</v>
      </c>
      <c r="R409" s="172" t="s">
        <v>1332</v>
      </c>
      <c r="S409" s="172">
        <v>2</v>
      </c>
      <c r="T409" s="172">
        <v>0</v>
      </c>
      <c r="U409" s="172">
        <v>0</v>
      </c>
      <c r="V409" s="172"/>
      <c r="W409" s="172"/>
      <c r="Z409" s="172">
        <v>12015</v>
      </c>
      <c r="AA409" s="172">
        <v>2601</v>
      </c>
      <c r="AB409" s="172">
        <v>320000</v>
      </c>
      <c r="AE409" s="172">
        <v>1400</v>
      </c>
      <c r="AF409" s="172">
        <v>7</v>
      </c>
      <c r="AI409" s="172"/>
      <c r="AJ409" s="172"/>
      <c r="AM409" s="172"/>
      <c r="AN409" s="172"/>
      <c r="AQ409" s="172"/>
      <c r="AR409" s="172"/>
      <c r="AU409" s="172"/>
      <c r="AV409" s="172"/>
      <c r="AY409" s="172"/>
      <c r="AZ409" s="172"/>
      <c r="BC409" s="172"/>
      <c r="BD409" s="172"/>
      <c r="BH409" s="172">
        <v>24</v>
      </c>
    </row>
    <row r="410" spans="1:60" ht="14.5">
      <c r="A410" s="172">
        <v>2300015</v>
      </c>
      <c r="B410" s="172">
        <v>407</v>
      </c>
      <c r="C410" s="172">
        <v>230</v>
      </c>
      <c r="D410" s="172" t="s">
        <v>539</v>
      </c>
      <c r="E410" s="172">
        <v>15</v>
      </c>
      <c r="F410" s="172" t="s">
        <v>559</v>
      </c>
      <c r="H410" s="173"/>
      <c r="I410" s="172">
        <v>2</v>
      </c>
      <c r="J410" s="177">
        <v>34560</v>
      </c>
      <c r="K410" s="177">
        <v>330000</v>
      </c>
      <c r="L410" s="177">
        <v>650000</v>
      </c>
      <c r="M410" s="177">
        <v>650000</v>
      </c>
      <c r="N410" s="177">
        <v>650000</v>
      </c>
      <c r="O410" s="172"/>
      <c r="P410" s="172"/>
      <c r="Q410" s="172" t="s">
        <v>1318</v>
      </c>
      <c r="R410" s="172" t="s">
        <v>1333</v>
      </c>
      <c r="S410" s="172">
        <v>2</v>
      </c>
      <c r="T410" s="172">
        <v>0</v>
      </c>
      <c r="U410" s="172">
        <v>0</v>
      </c>
      <c r="V410" s="172"/>
      <c r="W410" s="172"/>
      <c r="Z410" s="172">
        <v>16586</v>
      </c>
      <c r="AA410" s="172">
        <v>2601</v>
      </c>
      <c r="AB410" s="172">
        <v>350000</v>
      </c>
      <c r="AE410" s="172">
        <v>1400</v>
      </c>
      <c r="AF410" s="172">
        <v>8</v>
      </c>
      <c r="AI410" s="172"/>
      <c r="AJ410" s="172"/>
      <c r="AM410" s="172"/>
      <c r="AN410" s="172"/>
      <c r="AQ410" s="172"/>
      <c r="AR410" s="172"/>
      <c r="AU410" s="172"/>
      <c r="AV410" s="172"/>
      <c r="AY410" s="172"/>
      <c r="AZ410" s="172"/>
      <c r="BC410" s="172"/>
      <c r="BD410" s="172"/>
      <c r="BH410" s="172">
        <v>24</v>
      </c>
    </row>
    <row r="411" spans="1:60" ht="14.5">
      <c r="A411" s="172">
        <v>2300016</v>
      </c>
      <c r="B411" s="172">
        <v>408</v>
      </c>
      <c r="C411" s="172">
        <v>230</v>
      </c>
      <c r="D411" s="172" t="s">
        <v>539</v>
      </c>
      <c r="E411" s="172">
        <v>16</v>
      </c>
      <c r="F411" s="172" t="s">
        <v>560</v>
      </c>
      <c r="H411" s="173"/>
      <c r="I411" s="172">
        <v>2</v>
      </c>
      <c r="J411" s="177">
        <v>43200</v>
      </c>
      <c r="K411" s="177">
        <v>420000</v>
      </c>
      <c r="L411" s="177">
        <v>840000</v>
      </c>
      <c r="M411" s="177">
        <v>840000</v>
      </c>
      <c r="N411" s="177">
        <v>840000</v>
      </c>
      <c r="O411" s="172"/>
      <c r="P411" s="172"/>
      <c r="Q411" s="172" t="s">
        <v>1318</v>
      </c>
      <c r="R411" s="172" t="s">
        <v>1334</v>
      </c>
      <c r="S411" s="172">
        <v>2</v>
      </c>
      <c r="T411" s="172">
        <v>0</v>
      </c>
      <c r="U411" s="172">
        <v>0</v>
      </c>
      <c r="V411" s="172"/>
      <c r="W411" s="172"/>
      <c r="Z411" s="172">
        <v>22436</v>
      </c>
      <c r="AA411" s="172">
        <v>2601</v>
      </c>
      <c r="AB411" s="172">
        <v>380000</v>
      </c>
      <c r="AE411" s="172">
        <v>1400</v>
      </c>
      <c r="AF411" s="172">
        <v>8</v>
      </c>
      <c r="AI411" s="172"/>
      <c r="AJ411" s="172"/>
      <c r="AM411" s="172"/>
      <c r="AN411" s="172"/>
      <c r="AQ411" s="172"/>
      <c r="AR411" s="172"/>
      <c r="AU411" s="172"/>
      <c r="AV411" s="172"/>
      <c r="AY411" s="172"/>
      <c r="AZ411" s="172"/>
      <c r="BC411" s="172"/>
      <c r="BD411" s="172"/>
      <c r="BH411" s="172">
        <v>24</v>
      </c>
    </row>
    <row r="412" spans="1:60" ht="14.5">
      <c r="A412" s="172">
        <v>2300017</v>
      </c>
      <c r="B412" s="172">
        <v>409</v>
      </c>
      <c r="C412" s="172">
        <v>230</v>
      </c>
      <c r="D412" s="172" t="s">
        <v>539</v>
      </c>
      <c r="E412" s="172">
        <v>17</v>
      </c>
      <c r="F412" s="172" t="s">
        <v>561</v>
      </c>
      <c r="H412" s="173"/>
      <c r="I412" s="172">
        <v>2</v>
      </c>
      <c r="J412" s="177">
        <v>57600</v>
      </c>
      <c r="K412" s="177">
        <v>530000</v>
      </c>
      <c r="L412" s="177">
        <v>1100000</v>
      </c>
      <c r="M412" s="177">
        <v>1100000</v>
      </c>
      <c r="N412" s="177">
        <v>1100000</v>
      </c>
      <c r="O412" s="172"/>
      <c r="P412" s="172"/>
      <c r="Q412" s="172" t="s">
        <v>1318</v>
      </c>
      <c r="R412" s="172" t="s">
        <v>1335</v>
      </c>
      <c r="S412" s="172">
        <v>2</v>
      </c>
      <c r="T412" s="172">
        <v>0</v>
      </c>
      <c r="U412" s="172">
        <v>0</v>
      </c>
      <c r="V412" s="172"/>
      <c r="W412" s="172"/>
      <c r="Z412" s="172">
        <v>29924</v>
      </c>
      <c r="AA412" s="172">
        <v>2601</v>
      </c>
      <c r="AB412" s="172">
        <v>420000</v>
      </c>
      <c r="AE412" s="172">
        <v>1400</v>
      </c>
      <c r="AF412" s="172">
        <v>9</v>
      </c>
      <c r="AI412" s="172"/>
      <c r="AJ412" s="172"/>
      <c r="AM412" s="172"/>
      <c r="AN412" s="172"/>
      <c r="AQ412" s="172"/>
      <c r="AR412" s="172"/>
      <c r="AU412" s="172"/>
      <c r="AV412" s="172"/>
      <c r="AY412" s="172"/>
      <c r="AZ412" s="172"/>
      <c r="BC412" s="172"/>
      <c r="BD412" s="172"/>
      <c r="BH412" s="172">
        <v>24</v>
      </c>
    </row>
    <row r="413" spans="1:60" ht="14.5">
      <c r="A413" s="172">
        <v>2300018</v>
      </c>
      <c r="B413" s="172">
        <v>410</v>
      </c>
      <c r="C413" s="172">
        <v>230</v>
      </c>
      <c r="D413" s="172" t="s">
        <v>539</v>
      </c>
      <c r="E413" s="172">
        <v>18</v>
      </c>
      <c r="F413" s="172" t="s">
        <v>562</v>
      </c>
      <c r="H413" s="173"/>
      <c r="I413" s="172">
        <v>2</v>
      </c>
      <c r="J413" s="177">
        <v>74880</v>
      </c>
      <c r="K413" s="177">
        <v>680000</v>
      </c>
      <c r="L413" s="177">
        <v>1400000</v>
      </c>
      <c r="M413" s="177">
        <v>1400000</v>
      </c>
      <c r="N413" s="177">
        <v>1400000</v>
      </c>
      <c r="O413" s="172"/>
      <c r="P413" s="172"/>
      <c r="Q413" s="172" t="s">
        <v>1318</v>
      </c>
      <c r="R413" s="172" t="s">
        <v>1336</v>
      </c>
      <c r="S413" s="172">
        <v>2</v>
      </c>
      <c r="T413" s="172">
        <v>0</v>
      </c>
      <c r="U413" s="172">
        <v>0</v>
      </c>
      <c r="V413" s="172"/>
      <c r="W413" s="172"/>
      <c r="Z413" s="172">
        <v>39509</v>
      </c>
      <c r="AA413" s="172">
        <v>2601</v>
      </c>
      <c r="AB413" s="172">
        <v>460000</v>
      </c>
      <c r="AE413" s="172">
        <v>1400</v>
      </c>
      <c r="AF413" s="172">
        <v>9</v>
      </c>
      <c r="AI413" s="172"/>
      <c r="AJ413" s="172"/>
      <c r="AM413" s="172"/>
      <c r="AN413" s="172"/>
      <c r="AQ413" s="172"/>
      <c r="AR413" s="172"/>
      <c r="AU413" s="172"/>
      <c r="AV413" s="172"/>
      <c r="AY413" s="172"/>
      <c r="AZ413" s="172"/>
      <c r="BC413" s="172"/>
      <c r="BD413" s="172"/>
      <c r="BH413" s="172">
        <v>24</v>
      </c>
    </row>
    <row r="414" spans="1:60" ht="14.5">
      <c r="A414" s="172">
        <v>2300019</v>
      </c>
      <c r="B414" s="172">
        <v>411</v>
      </c>
      <c r="C414" s="172">
        <v>230</v>
      </c>
      <c r="D414" s="172" t="s">
        <v>539</v>
      </c>
      <c r="E414" s="172">
        <v>19</v>
      </c>
      <c r="F414" s="172" t="s">
        <v>563</v>
      </c>
      <c r="H414" s="173"/>
      <c r="I414" s="172">
        <v>2</v>
      </c>
      <c r="J414" s="177">
        <v>97920</v>
      </c>
      <c r="K414" s="177">
        <v>880000</v>
      </c>
      <c r="L414" s="177">
        <v>1800000</v>
      </c>
      <c r="M414" s="177">
        <v>1800000</v>
      </c>
      <c r="N414" s="177">
        <v>1800000</v>
      </c>
      <c r="O414" s="172"/>
      <c r="P414" s="172"/>
      <c r="Q414" s="172" t="s">
        <v>1318</v>
      </c>
      <c r="R414" s="172" t="s">
        <v>1337</v>
      </c>
      <c r="S414" s="172">
        <v>2</v>
      </c>
      <c r="T414" s="172">
        <v>0</v>
      </c>
      <c r="U414" s="172">
        <v>0</v>
      </c>
      <c r="V414" s="172"/>
      <c r="W414" s="172"/>
      <c r="Z414" s="172">
        <v>51778</v>
      </c>
      <c r="AA414" s="172">
        <v>2601</v>
      </c>
      <c r="AB414" s="172">
        <v>500000</v>
      </c>
      <c r="AE414" s="172">
        <v>1400</v>
      </c>
      <c r="AF414" s="172">
        <v>10</v>
      </c>
      <c r="AI414" s="172"/>
      <c r="AJ414" s="172"/>
      <c r="AM414" s="172"/>
      <c r="AN414" s="172"/>
      <c r="AQ414" s="172"/>
      <c r="AR414" s="172"/>
      <c r="AU414" s="172"/>
      <c r="AV414" s="172"/>
      <c r="AY414" s="172"/>
      <c r="AZ414" s="172"/>
      <c r="BC414" s="172"/>
      <c r="BD414" s="172"/>
      <c r="BH414" s="172">
        <v>24</v>
      </c>
    </row>
    <row r="415" spans="1:60" ht="14.5">
      <c r="A415" s="172">
        <v>2300020</v>
      </c>
      <c r="B415" s="172">
        <v>412</v>
      </c>
      <c r="C415" s="172">
        <v>230</v>
      </c>
      <c r="D415" s="172" t="s">
        <v>539</v>
      </c>
      <c r="E415" s="172">
        <v>20</v>
      </c>
      <c r="F415" s="172" t="s">
        <v>564</v>
      </c>
      <c r="H415" s="173"/>
      <c r="I415" s="172">
        <v>3</v>
      </c>
      <c r="J415" s="177">
        <v>138240</v>
      </c>
      <c r="K415" s="177">
        <v>1100000</v>
      </c>
      <c r="L415" s="177">
        <v>2200000</v>
      </c>
      <c r="M415" s="177">
        <v>2200000</v>
      </c>
      <c r="N415" s="177">
        <v>2200000</v>
      </c>
      <c r="O415" s="172"/>
      <c r="P415" s="172"/>
      <c r="Q415" s="172" t="s">
        <v>1318</v>
      </c>
      <c r="R415" s="172" t="s">
        <v>1338</v>
      </c>
      <c r="S415" s="172">
        <v>2</v>
      </c>
      <c r="T415" s="172">
        <v>0</v>
      </c>
      <c r="U415" s="172">
        <v>0</v>
      </c>
      <c r="V415" s="172"/>
      <c r="W415" s="172"/>
      <c r="Z415" s="172">
        <v>67481</v>
      </c>
      <c r="AA415" s="172">
        <v>2601</v>
      </c>
      <c r="AB415" s="172">
        <v>540000</v>
      </c>
      <c r="AE415" s="172">
        <v>1400</v>
      </c>
      <c r="AF415" s="172">
        <v>10</v>
      </c>
      <c r="AI415" s="172"/>
      <c r="AJ415" s="172"/>
      <c r="AM415" s="172"/>
      <c r="AN415" s="172"/>
      <c r="AQ415" s="172"/>
      <c r="AR415" s="172"/>
      <c r="AU415" s="172"/>
      <c r="AV415" s="172"/>
      <c r="AY415" s="172"/>
      <c r="AZ415" s="172"/>
      <c r="BC415" s="172"/>
      <c r="BD415" s="172"/>
      <c r="BH415" s="172">
        <v>24</v>
      </c>
    </row>
    <row r="416" spans="1:60" ht="14.5">
      <c r="A416" s="172">
        <v>2300021</v>
      </c>
      <c r="B416" s="172">
        <v>413</v>
      </c>
      <c r="C416" s="172">
        <v>230</v>
      </c>
      <c r="D416" s="172" t="s">
        <v>539</v>
      </c>
      <c r="E416" s="172">
        <v>21</v>
      </c>
      <c r="F416" s="172" t="s">
        <v>1517</v>
      </c>
      <c r="H416" s="173"/>
      <c r="I416" s="172">
        <v>3</v>
      </c>
      <c r="J416" s="177">
        <v>184320</v>
      </c>
      <c r="K416" s="177">
        <v>1400000</v>
      </c>
      <c r="L416" s="177">
        <v>2900000</v>
      </c>
      <c r="M416" s="177">
        <v>2900000</v>
      </c>
      <c r="N416" s="177">
        <v>2900000</v>
      </c>
      <c r="O416" s="172"/>
      <c r="P416" s="172"/>
      <c r="Q416" s="172" t="s">
        <v>1318</v>
      </c>
      <c r="R416" s="172" t="s">
        <v>1340</v>
      </c>
      <c r="S416" s="172">
        <v>2</v>
      </c>
      <c r="T416" s="172">
        <v>0</v>
      </c>
      <c r="U416" s="172">
        <v>0</v>
      </c>
      <c r="V416" s="172"/>
      <c r="W416" s="172"/>
      <c r="Z416" s="172">
        <v>87582</v>
      </c>
      <c r="AA416" s="172">
        <v>2601</v>
      </c>
      <c r="AB416" s="172">
        <v>580000</v>
      </c>
      <c r="AE416" s="172">
        <v>1400</v>
      </c>
      <c r="AF416" s="172">
        <v>11</v>
      </c>
      <c r="AI416" s="172"/>
      <c r="AJ416" s="172"/>
      <c r="AM416" s="172"/>
      <c r="AN416" s="172"/>
      <c r="AQ416" s="172"/>
      <c r="AR416" s="172"/>
      <c r="AU416" s="172"/>
      <c r="AV416" s="172"/>
      <c r="AY416" s="172"/>
      <c r="AZ416" s="172"/>
      <c r="BC416" s="172"/>
      <c r="BD416" s="172"/>
      <c r="BH416" s="172">
        <v>24</v>
      </c>
    </row>
    <row r="417" spans="1:65" ht="14.5">
      <c r="A417" s="172">
        <v>2300022</v>
      </c>
      <c r="B417" s="172">
        <v>414</v>
      </c>
      <c r="C417" s="172">
        <v>230</v>
      </c>
      <c r="D417" s="172" t="s">
        <v>539</v>
      </c>
      <c r="E417" s="172">
        <v>22</v>
      </c>
      <c r="F417" s="172" t="s">
        <v>1518</v>
      </c>
      <c r="H417" s="173"/>
      <c r="I417" s="172">
        <v>3</v>
      </c>
      <c r="J417" s="177">
        <v>241920</v>
      </c>
      <c r="K417" s="177">
        <v>1800000</v>
      </c>
      <c r="L417" s="177">
        <v>3700000</v>
      </c>
      <c r="M417" s="177">
        <v>3700000</v>
      </c>
      <c r="N417" s="177">
        <v>3700000</v>
      </c>
      <c r="O417" s="172"/>
      <c r="P417" s="172"/>
      <c r="Q417" s="172" t="s">
        <v>1318</v>
      </c>
      <c r="R417" s="172" t="s">
        <v>1342</v>
      </c>
      <c r="S417" s="172">
        <v>2</v>
      </c>
      <c r="T417" s="172">
        <v>0</v>
      </c>
      <c r="U417" s="172">
        <v>0</v>
      </c>
      <c r="V417" s="172"/>
      <c r="W417" s="172"/>
      <c r="Z417" s="172">
        <v>113312</v>
      </c>
      <c r="AA417" s="172">
        <v>2601</v>
      </c>
      <c r="AB417" s="172">
        <v>620000</v>
      </c>
      <c r="AE417" s="172">
        <v>1400</v>
      </c>
      <c r="AF417" s="172">
        <v>12</v>
      </c>
      <c r="AI417" s="172"/>
      <c r="AJ417" s="172"/>
      <c r="AM417" s="172"/>
      <c r="AN417" s="172"/>
      <c r="AQ417" s="172"/>
      <c r="AR417" s="172"/>
      <c r="AU417" s="172"/>
      <c r="AV417" s="172"/>
      <c r="AY417" s="172"/>
      <c r="AZ417" s="172"/>
      <c r="BC417" s="172"/>
      <c r="BD417" s="172"/>
      <c r="BH417" s="172">
        <v>24</v>
      </c>
    </row>
    <row r="418" spans="1:65" ht="14.5">
      <c r="A418" s="172">
        <v>2300023</v>
      </c>
      <c r="B418" s="172">
        <v>415</v>
      </c>
      <c r="C418" s="172">
        <v>230</v>
      </c>
      <c r="D418" s="172" t="s">
        <v>539</v>
      </c>
      <c r="E418" s="172">
        <v>23</v>
      </c>
      <c r="F418" s="172" t="s">
        <v>1519</v>
      </c>
      <c r="H418" s="173"/>
      <c r="I418" s="172">
        <v>3</v>
      </c>
      <c r="J418" s="177">
        <v>311040</v>
      </c>
      <c r="K418" s="177">
        <v>2400000</v>
      </c>
      <c r="L418" s="177">
        <v>4700000</v>
      </c>
      <c r="M418" s="177">
        <v>4700000</v>
      </c>
      <c r="N418" s="177">
        <v>4700000</v>
      </c>
      <c r="O418" s="172"/>
      <c r="P418" s="172"/>
      <c r="Q418" s="172" t="s">
        <v>1318</v>
      </c>
      <c r="R418" s="172" t="s">
        <v>1344</v>
      </c>
      <c r="S418" s="172">
        <v>2</v>
      </c>
      <c r="T418" s="172">
        <v>0</v>
      </c>
      <c r="U418" s="172">
        <v>0</v>
      </c>
      <c r="V418" s="172"/>
      <c r="W418" s="172"/>
      <c r="Z418" s="172">
        <v>146245</v>
      </c>
      <c r="AA418" s="172">
        <v>2601</v>
      </c>
      <c r="AB418" s="172">
        <v>660000</v>
      </c>
      <c r="AE418" s="172">
        <v>1400</v>
      </c>
      <c r="AF418" s="172">
        <v>13</v>
      </c>
      <c r="AI418" s="172"/>
      <c r="AJ418" s="172"/>
      <c r="AM418" s="172"/>
      <c r="AN418" s="172"/>
      <c r="AQ418" s="172"/>
      <c r="AR418" s="172"/>
      <c r="AU418" s="172"/>
      <c r="AV418" s="172"/>
      <c r="AY418" s="172"/>
      <c r="AZ418" s="172"/>
      <c r="BC418" s="172"/>
      <c r="BD418" s="172"/>
      <c r="BH418" s="172">
        <v>24</v>
      </c>
    </row>
    <row r="419" spans="1:65" ht="14.5">
      <c r="A419" s="172">
        <v>2300024</v>
      </c>
      <c r="B419" s="172">
        <v>416</v>
      </c>
      <c r="C419" s="172">
        <v>230</v>
      </c>
      <c r="D419" s="172" t="s">
        <v>539</v>
      </c>
      <c r="E419" s="172">
        <v>24</v>
      </c>
      <c r="F419" s="172" t="s">
        <v>1520</v>
      </c>
      <c r="H419" s="173"/>
      <c r="I419" s="172">
        <v>3</v>
      </c>
      <c r="J419" s="177">
        <v>397440</v>
      </c>
      <c r="K419" s="177">
        <v>3000000</v>
      </c>
      <c r="L419" s="177">
        <v>6000000</v>
      </c>
      <c r="M419" s="177">
        <v>6000000</v>
      </c>
      <c r="N419" s="177">
        <v>6000000</v>
      </c>
      <c r="O419" s="172"/>
      <c r="P419" s="172"/>
      <c r="Q419" s="172" t="s">
        <v>1318</v>
      </c>
      <c r="R419" s="172" t="s">
        <v>1346</v>
      </c>
      <c r="S419" s="172">
        <v>2</v>
      </c>
      <c r="T419" s="172">
        <v>0</v>
      </c>
      <c r="U419" s="172">
        <v>0</v>
      </c>
      <c r="V419" s="172"/>
      <c r="W419" s="172"/>
      <c r="Z419" s="172">
        <v>188400</v>
      </c>
      <c r="AA419" s="172">
        <v>2601</v>
      </c>
      <c r="AB419" s="172">
        <v>700000</v>
      </c>
      <c r="AE419" s="172">
        <v>1400</v>
      </c>
      <c r="AF419" s="172">
        <v>14</v>
      </c>
      <c r="AI419" s="172"/>
      <c r="AJ419" s="172"/>
      <c r="AM419" s="172"/>
      <c r="AN419" s="172"/>
      <c r="AQ419" s="172"/>
      <c r="AR419" s="172"/>
      <c r="AU419" s="172"/>
      <c r="AV419" s="172"/>
      <c r="AY419" s="172"/>
      <c r="AZ419" s="172"/>
      <c r="BC419" s="172"/>
      <c r="BD419" s="172"/>
      <c r="BH419" s="172">
        <v>24</v>
      </c>
    </row>
    <row r="420" spans="1:65" ht="14.5">
      <c r="A420" s="172">
        <v>2300025</v>
      </c>
      <c r="B420" s="172">
        <v>417</v>
      </c>
      <c r="C420" s="172">
        <v>230</v>
      </c>
      <c r="D420" s="172" t="s">
        <v>539</v>
      </c>
      <c r="E420" s="172">
        <v>25</v>
      </c>
      <c r="F420" s="172" t="s">
        <v>1521</v>
      </c>
      <c r="H420" s="173"/>
      <c r="I420" s="172">
        <v>3</v>
      </c>
      <c r="J420" s="177">
        <v>501120</v>
      </c>
      <c r="K420" s="177">
        <v>3900000</v>
      </c>
      <c r="L420" s="177">
        <v>7700000</v>
      </c>
      <c r="M420" s="177">
        <v>7700000</v>
      </c>
      <c r="N420" s="177">
        <v>7700000</v>
      </c>
      <c r="O420" s="172"/>
      <c r="P420" s="172"/>
      <c r="Q420" s="172" t="s">
        <v>1318</v>
      </c>
      <c r="R420" s="172" t="s">
        <v>1348</v>
      </c>
      <c r="S420" s="172">
        <v>2</v>
      </c>
      <c r="T420" s="172">
        <v>0</v>
      </c>
      <c r="U420" s="172">
        <v>0</v>
      </c>
      <c r="V420" s="172"/>
      <c r="W420" s="172"/>
      <c r="Z420" s="172">
        <v>242358</v>
      </c>
      <c r="AA420" s="172">
        <v>2601</v>
      </c>
      <c r="AB420" s="172">
        <v>750000</v>
      </c>
      <c r="AE420" s="172">
        <v>1400</v>
      </c>
      <c r="AF420" s="172">
        <v>15</v>
      </c>
      <c r="AI420" s="172"/>
      <c r="AJ420" s="172"/>
      <c r="AM420" s="172"/>
      <c r="AN420" s="172"/>
      <c r="AQ420" s="172"/>
      <c r="AR420" s="172"/>
      <c r="AU420" s="172"/>
      <c r="AV420" s="172"/>
      <c r="AY420" s="172"/>
      <c r="AZ420" s="172"/>
      <c r="BC420" s="172"/>
      <c r="BD420" s="172"/>
      <c r="BH420" s="172">
        <v>24</v>
      </c>
    </row>
    <row r="421" spans="1:65" ht="14.5">
      <c r="A421" s="172">
        <v>2300026</v>
      </c>
      <c r="B421" s="172">
        <v>418</v>
      </c>
      <c r="C421" s="172">
        <v>230</v>
      </c>
      <c r="D421" s="172" t="s">
        <v>539</v>
      </c>
      <c r="E421" s="172">
        <v>26</v>
      </c>
      <c r="F421" s="172" t="s">
        <v>1522</v>
      </c>
      <c r="H421" s="173"/>
      <c r="I421" s="172">
        <v>3</v>
      </c>
      <c r="J421" s="177">
        <v>622080</v>
      </c>
      <c r="K421" s="177">
        <v>4900000</v>
      </c>
      <c r="L421" s="177">
        <v>9900000</v>
      </c>
      <c r="M421" s="177">
        <v>9900000</v>
      </c>
      <c r="N421" s="177">
        <v>9900000</v>
      </c>
      <c r="O421" s="172"/>
      <c r="P421" s="172"/>
      <c r="Q421" s="172" t="s">
        <v>1318</v>
      </c>
      <c r="R421" s="172" t="s">
        <v>1350</v>
      </c>
      <c r="S421" s="172">
        <v>2</v>
      </c>
      <c r="T421" s="172">
        <v>0</v>
      </c>
      <c r="U421" s="172">
        <v>0</v>
      </c>
      <c r="V421" s="172"/>
      <c r="W421" s="172"/>
      <c r="Z421" s="172">
        <v>311424</v>
      </c>
      <c r="AA421" s="172">
        <v>2601</v>
      </c>
      <c r="AB421" s="172">
        <v>800000</v>
      </c>
      <c r="AE421" s="172">
        <v>1400</v>
      </c>
      <c r="AF421" s="172">
        <v>16</v>
      </c>
      <c r="AI421" s="172"/>
      <c r="AJ421" s="172"/>
      <c r="AM421" s="172"/>
      <c r="AN421" s="172"/>
      <c r="AQ421" s="172"/>
      <c r="AR421" s="172"/>
      <c r="AU421" s="172"/>
      <c r="AV421" s="172"/>
      <c r="AY421" s="172"/>
      <c r="AZ421" s="172"/>
      <c r="BC421" s="172"/>
      <c r="BD421" s="172"/>
      <c r="BH421" s="172">
        <v>24</v>
      </c>
    </row>
    <row r="422" spans="1:65" ht="14.5">
      <c r="A422" s="172">
        <v>2300027</v>
      </c>
      <c r="B422" s="172">
        <v>419</v>
      </c>
      <c r="C422" s="172">
        <v>230</v>
      </c>
      <c r="D422" s="172" t="s">
        <v>539</v>
      </c>
      <c r="E422" s="172">
        <v>27</v>
      </c>
      <c r="F422" s="172" t="s">
        <v>1523</v>
      </c>
      <c r="H422" s="173"/>
      <c r="I422" s="172">
        <v>3</v>
      </c>
      <c r="J422" s="177">
        <v>760320</v>
      </c>
      <c r="K422" s="177">
        <v>6300000</v>
      </c>
      <c r="L422" s="177">
        <v>13000000</v>
      </c>
      <c r="M422" s="177">
        <v>13000000</v>
      </c>
      <c r="N422" s="177">
        <v>13000000</v>
      </c>
      <c r="O422" s="172"/>
      <c r="P422" s="172"/>
      <c r="Q422" s="172" t="s">
        <v>1318</v>
      </c>
      <c r="R422" s="172" t="s">
        <v>1352</v>
      </c>
      <c r="S422" s="172">
        <v>2</v>
      </c>
      <c r="T422" s="172">
        <v>0</v>
      </c>
      <c r="U422" s="172">
        <v>0</v>
      </c>
      <c r="V422" s="172"/>
      <c r="W422" s="172"/>
      <c r="Z422" s="172">
        <v>399829</v>
      </c>
      <c r="AA422" s="172">
        <v>2601</v>
      </c>
      <c r="AB422" s="172">
        <v>850000</v>
      </c>
      <c r="AE422" s="172">
        <v>1400</v>
      </c>
      <c r="AF422" s="172">
        <v>17</v>
      </c>
      <c r="AI422" s="172"/>
      <c r="AJ422" s="172"/>
      <c r="AM422" s="172"/>
      <c r="AN422" s="172"/>
      <c r="AQ422" s="172"/>
      <c r="AR422" s="172"/>
      <c r="AU422" s="172"/>
      <c r="AV422" s="172"/>
      <c r="AY422" s="172"/>
      <c r="AZ422" s="172"/>
      <c r="BC422" s="172"/>
      <c r="BD422" s="172"/>
      <c r="BH422" s="172">
        <v>24</v>
      </c>
    </row>
    <row r="423" spans="1:65" ht="14.5">
      <c r="A423" s="172">
        <v>2300028</v>
      </c>
      <c r="B423" s="172">
        <v>420</v>
      </c>
      <c r="C423" s="172">
        <v>230</v>
      </c>
      <c r="D423" s="172" t="s">
        <v>539</v>
      </c>
      <c r="E423" s="172">
        <v>28</v>
      </c>
      <c r="F423" s="172" t="s">
        <v>1524</v>
      </c>
      <c r="H423" s="173"/>
      <c r="I423" s="172">
        <v>3</v>
      </c>
      <c r="J423" s="177">
        <v>933120</v>
      </c>
      <c r="K423" s="177">
        <v>8100000</v>
      </c>
      <c r="L423" s="177">
        <v>16000000</v>
      </c>
      <c r="M423" s="177">
        <v>16000000</v>
      </c>
      <c r="N423" s="177">
        <v>16000000</v>
      </c>
      <c r="O423" s="172"/>
      <c r="P423" s="172"/>
      <c r="Q423" s="172" t="s">
        <v>1318</v>
      </c>
      <c r="R423" s="172" t="s">
        <v>1354</v>
      </c>
      <c r="S423" s="172">
        <v>2</v>
      </c>
      <c r="T423" s="172">
        <v>0</v>
      </c>
      <c r="U423" s="172">
        <v>0</v>
      </c>
      <c r="V423" s="172"/>
      <c r="W423" s="172"/>
      <c r="Z423" s="172">
        <v>512987</v>
      </c>
      <c r="AA423" s="172">
        <v>2601</v>
      </c>
      <c r="AB423" s="172">
        <v>900000</v>
      </c>
      <c r="AE423" s="172">
        <v>1400</v>
      </c>
      <c r="AF423" s="172">
        <v>18</v>
      </c>
      <c r="AI423" s="172"/>
      <c r="AJ423" s="172"/>
      <c r="AM423" s="172"/>
      <c r="AN423" s="172"/>
      <c r="AQ423" s="172"/>
      <c r="AR423" s="172"/>
      <c r="AU423" s="172"/>
      <c r="AV423" s="172"/>
      <c r="AY423" s="172"/>
      <c r="AZ423" s="172"/>
      <c r="BC423" s="172"/>
      <c r="BD423" s="172"/>
      <c r="BH423" s="172">
        <v>24</v>
      </c>
    </row>
    <row r="424" spans="1:65" ht="14.5">
      <c r="A424" s="172">
        <v>2300029</v>
      </c>
      <c r="B424" s="172">
        <v>421</v>
      </c>
      <c r="C424" s="172">
        <v>230</v>
      </c>
      <c r="D424" s="172" t="s">
        <v>539</v>
      </c>
      <c r="E424" s="172">
        <v>29</v>
      </c>
      <c r="F424" s="172" t="s">
        <v>1525</v>
      </c>
      <c r="H424" s="173"/>
      <c r="I424" s="172">
        <v>3</v>
      </c>
      <c r="J424" s="177">
        <v>1140480</v>
      </c>
      <c r="K424" s="177">
        <v>10000000</v>
      </c>
      <c r="L424" s="177">
        <v>21000000</v>
      </c>
      <c r="M424" s="177">
        <v>21000000</v>
      </c>
      <c r="N424" s="177">
        <v>21000000</v>
      </c>
      <c r="O424" s="172"/>
      <c r="P424" s="172"/>
      <c r="Q424" s="172" t="s">
        <v>1318</v>
      </c>
      <c r="R424" s="172" t="s">
        <v>1356</v>
      </c>
      <c r="S424" s="172">
        <v>2</v>
      </c>
      <c r="T424" s="172">
        <v>0</v>
      </c>
      <c r="U424" s="172">
        <v>0</v>
      </c>
      <c r="V424" s="172"/>
      <c r="W424" s="172"/>
      <c r="Z424" s="172">
        <v>657829</v>
      </c>
      <c r="AA424" s="172">
        <v>2601</v>
      </c>
      <c r="AB424" s="172">
        <v>950000</v>
      </c>
      <c r="AE424" s="172">
        <v>1400</v>
      </c>
      <c r="AF424" s="172">
        <v>19</v>
      </c>
      <c r="AI424" s="172"/>
      <c r="AJ424" s="172"/>
      <c r="AM424" s="172"/>
      <c r="AN424" s="172"/>
      <c r="AQ424" s="172"/>
      <c r="AR424" s="172"/>
      <c r="AU424" s="172"/>
      <c r="AV424" s="172"/>
      <c r="AY424" s="172"/>
      <c r="AZ424" s="172"/>
      <c r="BC424" s="172"/>
      <c r="BD424" s="172"/>
      <c r="BH424" s="172">
        <v>24</v>
      </c>
    </row>
    <row r="425" spans="1:65" ht="14.5">
      <c r="A425" s="172">
        <v>2300030</v>
      </c>
      <c r="B425" s="172">
        <v>422</v>
      </c>
      <c r="C425" s="172">
        <v>230</v>
      </c>
      <c r="D425" s="172" t="s">
        <v>539</v>
      </c>
      <c r="E425" s="172">
        <v>30</v>
      </c>
      <c r="F425" s="172" t="s">
        <v>1526</v>
      </c>
      <c r="H425" s="173"/>
      <c r="I425" s="172">
        <v>3</v>
      </c>
      <c r="J425" s="177">
        <v>1382400</v>
      </c>
      <c r="K425" s="177">
        <v>13000000</v>
      </c>
      <c r="L425" s="177">
        <v>26000000</v>
      </c>
      <c r="M425" s="177">
        <v>26000000</v>
      </c>
      <c r="N425" s="177">
        <v>26000000</v>
      </c>
      <c r="O425" s="172"/>
      <c r="P425" s="172"/>
      <c r="Q425" s="172" t="s">
        <v>1318</v>
      </c>
      <c r="R425" s="172" t="s">
        <v>1358</v>
      </c>
      <c r="S425" s="172">
        <v>2</v>
      </c>
      <c r="T425" s="172">
        <v>0</v>
      </c>
      <c r="U425" s="172">
        <v>0</v>
      </c>
      <c r="V425" s="172"/>
      <c r="W425" s="172"/>
      <c r="Z425" s="172">
        <v>843227</v>
      </c>
      <c r="AA425" s="172">
        <v>2601</v>
      </c>
      <c r="AB425" s="172">
        <v>1000000</v>
      </c>
      <c r="AE425" s="172">
        <v>1400</v>
      </c>
      <c r="AF425" s="172">
        <v>20</v>
      </c>
      <c r="AI425" s="172"/>
      <c r="AJ425" s="172"/>
      <c r="AM425" s="172"/>
      <c r="AN425" s="172"/>
      <c r="AQ425" s="172"/>
      <c r="AR425" s="172"/>
      <c r="AU425" s="172"/>
      <c r="AV425" s="172"/>
      <c r="AY425" s="172"/>
      <c r="AZ425" s="172"/>
      <c r="BC425" s="172"/>
      <c r="BD425" s="172"/>
      <c r="BH425" s="172">
        <v>24</v>
      </c>
    </row>
    <row r="426" spans="1:65" ht="14.5">
      <c r="A426" s="172">
        <v>2320001</v>
      </c>
      <c r="B426" s="172">
        <v>423</v>
      </c>
      <c r="C426" s="172">
        <v>232</v>
      </c>
      <c r="D426" s="172" t="s">
        <v>319</v>
      </c>
      <c r="E426" s="172">
        <v>1</v>
      </c>
      <c r="F426" s="172" t="s">
        <v>320</v>
      </c>
      <c r="H426" s="173"/>
      <c r="I426" s="172" t="s">
        <v>1205</v>
      </c>
      <c r="J426" s="177">
        <v>25</v>
      </c>
      <c r="K426" s="177">
        <v>750</v>
      </c>
      <c r="L426" s="177">
        <v>750</v>
      </c>
      <c r="M426" s="177">
        <v>0</v>
      </c>
      <c r="N426" s="177">
        <v>0</v>
      </c>
      <c r="O426" s="172"/>
      <c r="P426" s="172"/>
      <c r="Q426" s="172" t="s">
        <v>1318</v>
      </c>
      <c r="R426" s="172" t="s">
        <v>229</v>
      </c>
      <c r="S426" s="172">
        <v>1</v>
      </c>
      <c r="T426" s="172">
        <v>0</v>
      </c>
      <c r="U426" s="172">
        <v>0</v>
      </c>
      <c r="V426" s="172" t="s">
        <v>158</v>
      </c>
      <c r="W426" s="172" t="s">
        <v>1527</v>
      </c>
      <c r="Z426" s="172">
        <v>3</v>
      </c>
      <c r="AA426" s="172">
        <v>3000</v>
      </c>
      <c r="AB426" s="172">
        <v>2E-3</v>
      </c>
      <c r="AE426" s="172">
        <v>3016</v>
      </c>
      <c r="AF426" s="172">
        <v>20</v>
      </c>
      <c r="AI426" s="172"/>
      <c r="AJ426" s="172"/>
      <c r="AM426" s="172"/>
      <c r="AN426" s="172"/>
      <c r="AQ426" s="172"/>
      <c r="AR426" s="172"/>
      <c r="AU426" s="172"/>
      <c r="AV426" s="172"/>
      <c r="AY426" s="172"/>
      <c r="AZ426" s="172"/>
      <c r="BC426" s="172"/>
      <c r="BD426" s="172"/>
      <c r="BH426" s="172">
        <v>9</v>
      </c>
      <c r="BM426" s="172">
        <v>3</v>
      </c>
    </row>
    <row r="427" spans="1:65" ht="14.5">
      <c r="A427" s="172">
        <v>2320002</v>
      </c>
      <c r="B427" s="172">
        <v>424</v>
      </c>
      <c r="C427" s="172">
        <v>232</v>
      </c>
      <c r="D427" s="172" t="s">
        <v>319</v>
      </c>
      <c r="E427" s="172">
        <v>2</v>
      </c>
      <c r="F427" s="172" t="s">
        <v>323</v>
      </c>
      <c r="H427" s="173"/>
      <c r="I427" s="172" t="s">
        <v>1205</v>
      </c>
      <c r="J427" s="177">
        <v>54</v>
      </c>
      <c r="K427" s="177">
        <v>1500</v>
      </c>
      <c r="L427" s="177">
        <v>1500</v>
      </c>
      <c r="M427" s="177">
        <v>0</v>
      </c>
      <c r="N427" s="177">
        <v>0</v>
      </c>
      <c r="O427" s="172"/>
      <c r="P427" s="172"/>
      <c r="Q427" s="172" t="s">
        <v>1318</v>
      </c>
      <c r="R427" s="172" t="s">
        <v>1320</v>
      </c>
      <c r="S427" s="172">
        <v>1</v>
      </c>
      <c r="T427" s="172">
        <v>0</v>
      </c>
      <c r="U427" s="172">
        <v>0</v>
      </c>
      <c r="V427" s="172"/>
      <c r="W427" s="172"/>
      <c r="Z427" s="172">
        <v>9</v>
      </c>
      <c r="AA427" s="172">
        <v>3000</v>
      </c>
      <c r="AB427" s="172">
        <v>5.0000000000000001E-3</v>
      </c>
      <c r="AE427" s="172">
        <v>3016</v>
      </c>
      <c r="AF427" s="172">
        <v>50</v>
      </c>
      <c r="AI427" s="172"/>
      <c r="AJ427" s="172"/>
      <c r="AM427" s="172"/>
      <c r="AN427" s="172"/>
      <c r="AQ427" s="172"/>
      <c r="AR427" s="172"/>
      <c r="AU427" s="172"/>
      <c r="AV427" s="172"/>
      <c r="AY427" s="172"/>
      <c r="AZ427" s="172"/>
      <c r="BC427" s="172"/>
      <c r="BD427" s="172"/>
      <c r="BH427" s="172">
        <v>9</v>
      </c>
    </row>
    <row r="428" spans="1:65" ht="14.5">
      <c r="A428" s="172">
        <v>2320003</v>
      </c>
      <c r="B428" s="172">
        <v>425</v>
      </c>
      <c r="C428" s="172">
        <v>232</v>
      </c>
      <c r="D428" s="172" t="s">
        <v>319</v>
      </c>
      <c r="E428" s="172">
        <v>3</v>
      </c>
      <c r="F428" s="172" t="s">
        <v>324</v>
      </c>
      <c r="H428" s="173"/>
      <c r="I428" s="172" t="s">
        <v>1205</v>
      </c>
      <c r="J428" s="177">
        <v>108</v>
      </c>
      <c r="K428" s="177">
        <v>3000</v>
      </c>
      <c r="L428" s="177">
        <v>3000</v>
      </c>
      <c r="M428" s="177">
        <v>0</v>
      </c>
      <c r="N428" s="177">
        <v>0</v>
      </c>
      <c r="O428" s="172"/>
      <c r="P428" s="172"/>
      <c r="Q428" s="172" t="s">
        <v>1318</v>
      </c>
      <c r="R428" s="172" t="s">
        <v>1321</v>
      </c>
      <c r="S428" s="172">
        <v>1</v>
      </c>
      <c r="T428" s="172">
        <v>0</v>
      </c>
      <c r="U428" s="172">
        <v>0</v>
      </c>
      <c r="V428" s="172"/>
      <c r="W428" s="172"/>
      <c r="Z428" s="172">
        <v>21</v>
      </c>
      <c r="AA428" s="172">
        <v>3000</v>
      </c>
      <c r="AB428" s="172">
        <v>0.01</v>
      </c>
      <c r="AE428" s="172">
        <v>3016</v>
      </c>
      <c r="AF428" s="172">
        <v>100</v>
      </c>
      <c r="AI428" s="172"/>
      <c r="AJ428" s="172"/>
      <c r="AM428" s="172"/>
      <c r="AN428" s="172"/>
      <c r="AQ428" s="172"/>
      <c r="AR428" s="172"/>
      <c r="AU428" s="172"/>
      <c r="AV428" s="172"/>
      <c r="AY428" s="172"/>
      <c r="AZ428" s="172"/>
      <c r="BC428" s="172"/>
      <c r="BD428" s="172"/>
      <c r="BH428" s="172">
        <v>9</v>
      </c>
    </row>
    <row r="429" spans="1:65" ht="14.5">
      <c r="A429" s="172">
        <v>2320004</v>
      </c>
      <c r="B429" s="172">
        <v>426</v>
      </c>
      <c r="C429" s="172">
        <v>232</v>
      </c>
      <c r="D429" s="172" t="s">
        <v>319</v>
      </c>
      <c r="E429" s="172">
        <v>4</v>
      </c>
      <c r="F429" s="172" t="s">
        <v>325</v>
      </c>
      <c r="H429" s="173"/>
      <c r="I429" s="172" t="s">
        <v>1205</v>
      </c>
      <c r="J429" s="177">
        <v>216</v>
      </c>
      <c r="K429" s="177">
        <v>6000</v>
      </c>
      <c r="L429" s="177">
        <v>6000</v>
      </c>
      <c r="M429" s="177">
        <v>0</v>
      </c>
      <c r="N429" s="177">
        <v>0</v>
      </c>
      <c r="O429" s="172"/>
      <c r="P429" s="172"/>
      <c r="Q429" s="172" t="s">
        <v>1318</v>
      </c>
      <c r="R429" s="172" t="s">
        <v>1322</v>
      </c>
      <c r="S429" s="172">
        <v>1</v>
      </c>
      <c r="T429" s="172">
        <v>0</v>
      </c>
      <c r="U429" s="172">
        <v>0</v>
      </c>
      <c r="V429" s="172"/>
      <c r="W429" s="172"/>
      <c r="Z429" s="172">
        <v>45</v>
      </c>
      <c r="AA429" s="172">
        <v>3000</v>
      </c>
      <c r="AB429" s="172">
        <v>1.4999999999999999E-2</v>
      </c>
      <c r="AE429" s="172">
        <v>3016</v>
      </c>
      <c r="AF429" s="172">
        <v>150</v>
      </c>
      <c r="AI429" s="172"/>
      <c r="AJ429" s="172"/>
      <c r="AM429" s="172"/>
      <c r="AN429" s="172"/>
      <c r="AQ429" s="172"/>
      <c r="AR429" s="172"/>
      <c r="AU429" s="172"/>
      <c r="AV429" s="172"/>
      <c r="AY429" s="172"/>
      <c r="AZ429" s="172"/>
      <c r="BC429" s="172"/>
      <c r="BD429" s="172"/>
      <c r="BH429" s="172">
        <v>9</v>
      </c>
    </row>
    <row r="430" spans="1:65" ht="14.5">
      <c r="A430" s="172">
        <v>2320005</v>
      </c>
      <c r="B430" s="172">
        <v>427</v>
      </c>
      <c r="C430" s="172">
        <v>232</v>
      </c>
      <c r="D430" s="172" t="s">
        <v>319</v>
      </c>
      <c r="E430" s="172">
        <v>5</v>
      </c>
      <c r="F430" s="172" t="s">
        <v>326</v>
      </c>
      <c r="H430" s="173"/>
      <c r="I430" s="172">
        <v>1</v>
      </c>
      <c r="J430" s="177">
        <v>450</v>
      </c>
      <c r="K430" s="177">
        <v>7700</v>
      </c>
      <c r="L430" s="177">
        <v>7700</v>
      </c>
      <c r="M430" s="177">
        <v>7700</v>
      </c>
      <c r="N430" s="177">
        <v>0</v>
      </c>
      <c r="O430" s="172"/>
      <c r="P430" s="172"/>
      <c r="Q430" s="172" t="s">
        <v>1528</v>
      </c>
      <c r="R430" s="172" t="s">
        <v>1225</v>
      </c>
      <c r="S430" s="172">
        <v>1</v>
      </c>
      <c r="T430" s="172">
        <v>0</v>
      </c>
      <c r="U430" s="172">
        <v>0</v>
      </c>
      <c r="V430" s="172"/>
      <c r="W430" s="172"/>
      <c r="Z430" s="172">
        <v>91</v>
      </c>
      <c r="AA430" s="172">
        <v>3000</v>
      </c>
      <c r="AB430" s="172">
        <v>0.02</v>
      </c>
      <c r="AE430" s="172">
        <v>3016</v>
      </c>
      <c r="AF430" s="172">
        <v>200</v>
      </c>
      <c r="AI430" s="172"/>
      <c r="AJ430" s="172"/>
      <c r="AM430" s="172"/>
      <c r="AN430" s="172"/>
      <c r="AQ430" s="172"/>
      <c r="AR430" s="172"/>
      <c r="AU430" s="172"/>
      <c r="AV430" s="172"/>
      <c r="AY430" s="172"/>
      <c r="AZ430" s="172"/>
      <c r="BC430" s="172"/>
      <c r="BD430" s="172"/>
      <c r="BH430" s="172">
        <v>9</v>
      </c>
      <c r="BI430" s="172">
        <v>299</v>
      </c>
    </row>
    <row r="431" spans="1:65" ht="14.5">
      <c r="A431" s="172">
        <v>2320006</v>
      </c>
      <c r="B431" s="172">
        <v>428</v>
      </c>
      <c r="C431" s="172">
        <v>232</v>
      </c>
      <c r="D431" s="172" t="s">
        <v>319</v>
      </c>
      <c r="E431" s="172">
        <v>6</v>
      </c>
      <c r="F431" s="172" t="s">
        <v>327</v>
      </c>
      <c r="H431" s="173"/>
      <c r="I431" s="172">
        <v>1</v>
      </c>
      <c r="J431" s="177">
        <v>810</v>
      </c>
      <c r="K431" s="177">
        <v>14000</v>
      </c>
      <c r="L431" s="177">
        <v>14000</v>
      </c>
      <c r="M431" s="177">
        <v>14000</v>
      </c>
      <c r="N431" s="177">
        <v>0</v>
      </c>
      <c r="O431" s="172"/>
      <c r="P431" s="172"/>
      <c r="Q431" s="172" t="s">
        <v>1528</v>
      </c>
      <c r="R431" s="172" t="s">
        <v>1230</v>
      </c>
      <c r="S431" s="172">
        <v>1</v>
      </c>
      <c r="T431" s="172">
        <v>0</v>
      </c>
      <c r="U431" s="172">
        <v>0</v>
      </c>
      <c r="V431" s="172"/>
      <c r="W431" s="172"/>
      <c r="Z431" s="172">
        <v>177</v>
      </c>
      <c r="AA431" s="172">
        <v>3000</v>
      </c>
      <c r="AB431" s="172">
        <v>2.5000000000000001E-2</v>
      </c>
      <c r="AE431" s="172">
        <v>3016</v>
      </c>
      <c r="AF431" s="172">
        <v>250</v>
      </c>
      <c r="AI431" s="172"/>
      <c r="AJ431" s="172"/>
      <c r="AM431" s="172"/>
      <c r="AN431" s="172"/>
      <c r="AQ431" s="172"/>
      <c r="AR431" s="172"/>
      <c r="AU431" s="172"/>
      <c r="AV431" s="172"/>
      <c r="AY431" s="172"/>
      <c r="AZ431" s="172"/>
      <c r="BC431" s="172"/>
      <c r="BD431" s="172"/>
      <c r="BH431" s="172">
        <v>9</v>
      </c>
      <c r="BI431" s="172">
        <v>299</v>
      </c>
    </row>
    <row r="432" spans="1:65" ht="14.5">
      <c r="A432" s="172">
        <v>2320007</v>
      </c>
      <c r="B432" s="172">
        <v>429</v>
      </c>
      <c r="C432" s="172">
        <v>232</v>
      </c>
      <c r="D432" s="172" t="s">
        <v>319</v>
      </c>
      <c r="E432" s="172">
        <v>7</v>
      </c>
      <c r="F432" s="172" t="s">
        <v>328</v>
      </c>
      <c r="H432" s="173"/>
      <c r="I432" s="172">
        <v>1</v>
      </c>
      <c r="J432" s="177">
        <v>1350</v>
      </c>
      <c r="K432" s="177">
        <v>26000</v>
      </c>
      <c r="L432" s="177">
        <v>26000</v>
      </c>
      <c r="M432" s="177">
        <v>26000</v>
      </c>
      <c r="N432" s="177">
        <v>0</v>
      </c>
      <c r="O432" s="172"/>
      <c r="P432" s="172"/>
      <c r="Q432" s="172" t="s">
        <v>1528</v>
      </c>
      <c r="R432" s="172" t="s">
        <v>1234</v>
      </c>
      <c r="S432" s="172">
        <v>1</v>
      </c>
      <c r="T432" s="172">
        <v>0</v>
      </c>
      <c r="U432" s="172">
        <v>0</v>
      </c>
      <c r="V432" s="172"/>
      <c r="W432" s="172"/>
      <c r="Z432" s="172">
        <v>331</v>
      </c>
      <c r="AA432" s="172">
        <v>3000</v>
      </c>
      <c r="AB432" s="172">
        <v>0.03</v>
      </c>
      <c r="AE432" s="172">
        <v>3016</v>
      </c>
      <c r="AF432" s="172">
        <v>300</v>
      </c>
      <c r="AI432" s="172"/>
      <c r="AJ432" s="172"/>
      <c r="AM432" s="172"/>
      <c r="AN432" s="172"/>
      <c r="AQ432" s="172"/>
      <c r="AR432" s="172"/>
      <c r="AU432" s="172"/>
      <c r="AV432" s="172"/>
      <c r="AY432" s="172"/>
      <c r="AZ432" s="172"/>
      <c r="BC432" s="172"/>
      <c r="BD432" s="172"/>
      <c r="BH432" s="172">
        <v>9</v>
      </c>
      <c r="BI432" s="172">
        <v>299</v>
      </c>
    </row>
    <row r="433" spans="1:61" ht="14.5">
      <c r="A433" s="172">
        <v>2320008</v>
      </c>
      <c r="B433" s="172">
        <v>430</v>
      </c>
      <c r="C433" s="172">
        <v>232</v>
      </c>
      <c r="D433" s="172" t="s">
        <v>319</v>
      </c>
      <c r="E433" s="172">
        <v>8</v>
      </c>
      <c r="F433" s="172" t="s">
        <v>329</v>
      </c>
      <c r="H433" s="173"/>
      <c r="I433" s="172">
        <v>1</v>
      </c>
      <c r="J433" s="177">
        <v>2160</v>
      </c>
      <c r="K433" s="177">
        <v>44000</v>
      </c>
      <c r="L433" s="177">
        <v>44000</v>
      </c>
      <c r="M433" s="177">
        <v>44000</v>
      </c>
      <c r="N433" s="177">
        <v>0</v>
      </c>
      <c r="O433" s="172"/>
      <c r="P433" s="172"/>
      <c r="Q433" s="172" t="s">
        <v>1528</v>
      </c>
      <c r="R433" s="172" t="s">
        <v>1239</v>
      </c>
      <c r="S433" s="172">
        <v>1</v>
      </c>
      <c r="T433" s="172">
        <v>0</v>
      </c>
      <c r="U433" s="172">
        <v>0</v>
      </c>
      <c r="V433" s="172"/>
      <c r="W433" s="172"/>
      <c r="Z433" s="172">
        <v>596</v>
      </c>
      <c r="AA433" s="172">
        <v>3000</v>
      </c>
      <c r="AB433" s="172">
        <v>3.5000000000000003E-2</v>
      </c>
      <c r="AE433" s="172">
        <v>3016</v>
      </c>
      <c r="AF433" s="172">
        <v>350</v>
      </c>
      <c r="AI433" s="172"/>
      <c r="AJ433" s="172"/>
      <c r="AM433" s="172"/>
      <c r="AN433" s="172"/>
      <c r="AQ433" s="172"/>
      <c r="AR433" s="172"/>
      <c r="AU433" s="172"/>
      <c r="AV433" s="172"/>
      <c r="AY433" s="172"/>
      <c r="AZ433" s="172"/>
      <c r="BC433" s="172"/>
      <c r="BD433" s="172"/>
      <c r="BH433" s="172">
        <v>9</v>
      </c>
      <c r="BI433" s="172">
        <v>299</v>
      </c>
    </row>
    <row r="434" spans="1:61" ht="14.5">
      <c r="A434" s="172">
        <v>2320009</v>
      </c>
      <c r="B434" s="172">
        <v>431</v>
      </c>
      <c r="C434" s="172">
        <v>232</v>
      </c>
      <c r="D434" s="172" t="s">
        <v>319</v>
      </c>
      <c r="E434" s="172">
        <v>9</v>
      </c>
      <c r="F434" s="172" t="s">
        <v>330</v>
      </c>
      <c r="H434" s="173"/>
      <c r="I434" s="172">
        <v>1</v>
      </c>
      <c r="J434" s="177">
        <v>4320</v>
      </c>
      <c r="K434" s="177">
        <v>73000</v>
      </c>
      <c r="L434" s="177">
        <v>73000</v>
      </c>
      <c r="M434" s="177">
        <v>73000</v>
      </c>
      <c r="N434" s="177">
        <v>0</v>
      </c>
      <c r="O434" s="172"/>
      <c r="P434" s="172"/>
      <c r="Q434" s="172" t="s">
        <v>1528</v>
      </c>
      <c r="R434" s="172" t="s">
        <v>1244</v>
      </c>
      <c r="S434" s="172">
        <v>1</v>
      </c>
      <c r="T434" s="172">
        <v>0</v>
      </c>
      <c r="U434" s="172">
        <v>0</v>
      </c>
      <c r="V434" s="172"/>
      <c r="W434" s="172"/>
      <c r="Z434" s="172">
        <v>1034</v>
      </c>
      <c r="AA434" s="172">
        <v>3000</v>
      </c>
      <c r="AB434" s="172">
        <v>0.04</v>
      </c>
      <c r="AE434" s="172">
        <v>3016</v>
      </c>
      <c r="AF434" s="172">
        <v>400</v>
      </c>
      <c r="AI434" s="172"/>
      <c r="AJ434" s="172"/>
      <c r="AM434" s="172"/>
      <c r="AN434" s="172"/>
      <c r="AQ434" s="172"/>
      <c r="AR434" s="172"/>
      <c r="AU434" s="172"/>
      <c r="AV434" s="172"/>
      <c r="AY434" s="172"/>
      <c r="AZ434" s="172"/>
      <c r="BC434" s="172"/>
      <c r="BD434" s="172"/>
      <c r="BH434" s="172">
        <v>9</v>
      </c>
      <c r="BI434" s="172">
        <v>299</v>
      </c>
    </row>
    <row r="435" spans="1:61" ht="14.5">
      <c r="A435" s="172">
        <v>2320010</v>
      </c>
      <c r="B435" s="172">
        <v>432</v>
      </c>
      <c r="C435" s="172">
        <v>232</v>
      </c>
      <c r="D435" s="172" t="s">
        <v>319</v>
      </c>
      <c r="E435" s="172">
        <v>10</v>
      </c>
      <c r="F435" s="172" t="s">
        <v>331</v>
      </c>
      <c r="H435" s="173"/>
      <c r="I435" s="172">
        <v>1</v>
      </c>
      <c r="J435" s="177">
        <v>6480</v>
      </c>
      <c r="K435" s="177">
        <v>86000</v>
      </c>
      <c r="L435" s="177">
        <v>86000</v>
      </c>
      <c r="M435" s="177">
        <v>86000</v>
      </c>
      <c r="N435" s="177">
        <v>86000</v>
      </c>
      <c r="O435" s="172"/>
      <c r="P435" s="172"/>
      <c r="Q435" s="172" t="s">
        <v>1528</v>
      </c>
      <c r="R435" s="172" t="s">
        <v>1247</v>
      </c>
      <c r="S435" s="172">
        <v>1</v>
      </c>
      <c r="T435" s="172">
        <v>0</v>
      </c>
      <c r="U435" s="172">
        <v>0</v>
      </c>
      <c r="V435" s="172"/>
      <c r="W435" s="172"/>
      <c r="Z435" s="172">
        <v>1726</v>
      </c>
      <c r="AA435" s="172">
        <v>3000</v>
      </c>
      <c r="AB435" s="172">
        <v>4.4999999999999998E-2</v>
      </c>
      <c r="AE435" s="172">
        <v>3016</v>
      </c>
      <c r="AF435" s="172">
        <v>450</v>
      </c>
      <c r="AI435" s="172"/>
      <c r="AJ435" s="172"/>
      <c r="AM435" s="172"/>
      <c r="AN435" s="172"/>
      <c r="AQ435" s="172"/>
      <c r="AR435" s="172"/>
      <c r="AU435" s="172"/>
      <c r="AV435" s="172"/>
      <c r="AY435" s="172"/>
      <c r="AZ435" s="172"/>
      <c r="BC435" s="172"/>
      <c r="BD435" s="172"/>
      <c r="BH435" s="172">
        <v>9</v>
      </c>
    </row>
    <row r="436" spans="1:61" ht="14.5">
      <c r="A436" s="172">
        <v>2320011</v>
      </c>
      <c r="B436" s="172">
        <v>433</v>
      </c>
      <c r="C436" s="172">
        <v>232</v>
      </c>
      <c r="D436" s="172" t="s">
        <v>319</v>
      </c>
      <c r="E436" s="172">
        <v>11</v>
      </c>
      <c r="F436" s="172" t="s">
        <v>332</v>
      </c>
      <c r="H436" s="173"/>
      <c r="I436" s="172">
        <v>1</v>
      </c>
      <c r="J436" s="177">
        <v>9720</v>
      </c>
      <c r="K436" s="177">
        <v>130000</v>
      </c>
      <c r="L436" s="177">
        <v>130000</v>
      </c>
      <c r="M436" s="177">
        <v>130000</v>
      </c>
      <c r="N436" s="177">
        <v>130000</v>
      </c>
      <c r="O436" s="172"/>
      <c r="P436" s="172"/>
      <c r="Q436" s="172" t="s">
        <v>1528</v>
      </c>
      <c r="R436" s="172" t="s">
        <v>1252</v>
      </c>
      <c r="S436" s="172">
        <v>1</v>
      </c>
      <c r="T436" s="172">
        <v>0</v>
      </c>
      <c r="U436" s="172">
        <v>0</v>
      </c>
      <c r="V436" s="172"/>
      <c r="W436" s="172"/>
      <c r="Z436" s="172">
        <v>2770</v>
      </c>
      <c r="AA436" s="172">
        <v>3000</v>
      </c>
      <c r="AB436" s="172">
        <v>0.05</v>
      </c>
      <c r="AE436" s="172">
        <v>3016</v>
      </c>
      <c r="AF436" s="172">
        <v>500</v>
      </c>
      <c r="AI436" s="172"/>
      <c r="AJ436" s="172"/>
      <c r="AM436" s="172"/>
      <c r="AN436" s="172"/>
      <c r="AQ436" s="172"/>
      <c r="AR436" s="172"/>
      <c r="AU436" s="172"/>
      <c r="AV436" s="172"/>
      <c r="AY436" s="172"/>
      <c r="AZ436" s="172"/>
      <c r="BC436" s="172"/>
      <c r="BD436" s="172"/>
      <c r="BH436" s="172">
        <v>9</v>
      </c>
    </row>
    <row r="437" spans="1:61" ht="14.5">
      <c r="A437" s="172">
        <v>2320012</v>
      </c>
      <c r="B437" s="172">
        <v>434</v>
      </c>
      <c r="C437" s="172">
        <v>232</v>
      </c>
      <c r="D437" s="172" t="s">
        <v>319</v>
      </c>
      <c r="E437" s="172">
        <v>12</v>
      </c>
      <c r="F437" s="172" t="s">
        <v>333</v>
      </c>
      <c r="H437" s="173"/>
      <c r="I437" s="172">
        <v>2</v>
      </c>
      <c r="J437" s="177">
        <v>12960</v>
      </c>
      <c r="K437" s="177">
        <v>190000</v>
      </c>
      <c r="L437" s="177">
        <v>190000</v>
      </c>
      <c r="M437" s="177">
        <v>190000</v>
      </c>
      <c r="N437" s="177">
        <v>190000</v>
      </c>
      <c r="O437" s="172"/>
      <c r="P437" s="172"/>
      <c r="Q437" s="172" t="s">
        <v>1528</v>
      </c>
      <c r="R437" s="172" t="s">
        <v>1258</v>
      </c>
      <c r="S437" s="172">
        <v>1</v>
      </c>
      <c r="T437" s="172">
        <v>0</v>
      </c>
      <c r="U437" s="172">
        <v>0</v>
      </c>
      <c r="V437" s="172"/>
      <c r="W437" s="172"/>
      <c r="Z437" s="172">
        <v>4273</v>
      </c>
      <c r="AA437" s="172">
        <v>3000</v>
      </c>
      <c r="AB437" s="172">
        <v>5.5E-2</v>
      </c>
      <c r="AE437" s="172">
        <v>3016</v>
      </c>
      <c r="AF437" s="172">
        <v>550</v>
      </c>
      <c r="AI437" s="172"/>
      <c r="AJ437" s="172"/>
      <c r="AM437" s="172"/>
      <c r="AN437" s="172"/>
      <c r="AQ437" s="172"/>
      <c r="AR437" s="172"/>
      <c r="AU437" s="172"/>
      <c r="AV437" s="172"/>
      <c r="AY437" s="172"/>
      <c r="AZ437" s="172"/>
      <c r="BC437" s="172"/>
      <c r="BD437" s="172"/>
      <c r="BH437" s="172">
        <v>9</v>
      </c>
    </row>
    <row r="438" spans="1:61" ht="14.5">
      <c r="A438" s="172">
        <v>2320013</v>
      </c>
      <c r="B438" s="172">
        <v>435</v>
      </c>
      <c r="C438" s="172">
        <v>232</v>
      </c>
      <c r="D438" s="172" t="s">
        <v>319</v>
      </c>
      <c r="E438" s="172">
        <v>13</v>
      </c>
      <c r="F438" s="172" t="s">
        <v>334</v>
      </c>
      <c r="H438" s="173"/>
      <c r="I438" s="172">
        <v>2</v>
      </c>
      <c r="J438" s="177">
        <v>17280</v>
      </c>
      <c r="K438" s="177">
        <v>260000</v>
      </c>
      <c r="L438" s="177">
        <v>260000</v>
      </c>
      <c r="M438" s="177">
        <v>260000</v>
      </c>
      <c r="N438" s="177">
        <v>260000</v>
      </c>
      <c r="O438" s="172"/>
      <c r="P438" s="172"/>
      <c r="Q438" s="172" t="s">
        <v>1528</v>
      </c>
      <c r="R438" s="172" t="s">
        <v>1262</v>
      </c>
      <c r="S438" s="172">
        <v>1</v>
      </c>
      <c r="T438" s="172">
        <v>0</v>
      </c>
      <c r="U438" s="172">
        <v>0</v>
      </c>
      <c r="V438" s="172"/>
      <c r="W438" s="172"/>
      <c r="Z438" s="172">
        <v>6333</v>
      </c>
      <c r="AA438" s="172">
        <v>3000</v>
      </c>
      <c r="AB438" s="172">
        <v>0.06</v>
      </c>
      <c r="AE438" s="172">
        <v>3016</v>
      </c>
      <c r="AF438" s="172">
        <v>600</v>
      </c>
      <c r="AI438" s="172"/>
      <c r="AJ438" s="172"/>
      <c r="AM438" s="172"/>
      <c r="AN438" s="172"/>
      <c r="AQ438" s="172"/>
      <c r="AR438" s="172"/>
      <c r="AU438" s="172"/>
      <c r="AV438" s="172"/>
      <c r="AY438" s="172"/>
      <c r="AZ438" s="172"/>
      <c r="BC438" s="172"/>
      <c r="BD438" s="172"/>
      <c r="BH438" s="172">
        <v>9</v>
      </c>
    </row>
    <row r="439" spans="1:61" ht="14.5">
      <c r="A439" s="172">
        <v>2320014</v>
      </c>
      <c r="B439" s="172">
        <v>436</v>
      </c>
      <c r="C439" s="172">
        <v>232</v>
      </c>
      <c r="D439" s="172" t="s">
        <v>319</v>
      </c>
      <c r="E439" s="172">
        <v>14</v>
      </c>
      <c r="F439" s="172" t="s">
        <v>335</v>
      </c>
      <c r="H439" s="173"/>
      <c r="I439" s="172">
        <v>2</v>
      </c>
      <c r="J439" s="177">
        <v>21600</v>
      </c>
      <c r="K439" s="177">
        <v>330000</v>
      </c>
      <c r="L439" s="177">
        <v>330000</v>
      </c>
      <c r="M439" s="177">
        <v>330000</v>
      </c>
      <c r="N439" s="177">
        <v>330000</v>
      </c>
      <c r="O439" s="172"/>
      <c r="P439" s="172"/>
      <c r="Q439" s="172" t="s">
        <v>1528</v>
      </c>
      <c r="R439" s="172" t="s">
        <v>1265</v>
      </c>
      <c r="S439" s="172">
        <v>1</v>
      </c>
      <c r="T439" s="172">
        <v>0</v>
      </c>
      <c r="U439" s="172">
        <v>0</v>
      </c>
      <c r="V439" s="172"/>
      <c r="W439" s="172"/>
      <c r="Z439" s="172">
        <v>9011</v>
      </c>
      <c r="AA439" s="172">
        <v>3000</v>
      </c>
      <c r="AB439" s="172">
        <v>6.5000000000000002E-2</v>
      </c>
      <c r="AE439" s="172">
        <v>3016</v>
      </c>
      <c r="AF439" s="172">
        <v>650</v>
      </c>
      <c r="AI439" s="172"/>
      <c r="AJ439" s="172"/>
      <c r="AM439" s="172"/>
      <c r="AN439" s="172"/>
      <c r="AQ439" s="172"/>
      <c r="AR439" s="172"/>
      <c r="AU439" s="172"/>
      <c r="AV439" s="172"/>
      <c r="AY439" s="172"/>
      <c r="AZ439" s="172"/>
      <c r="BC439" s="172"/>
      <c r="BD439" s="172"/>
      <c r="BH439" s="172">
        <v>9</v>
      </c>
    </row>
    <row r="440" spans="1:61" ht="14.5">
      <c r="A440" s="172">
        <v>2320015</v>
      </c>
      <c r="B440" s="172">
        <v>437</v>
      </c>
      <c r="C440" s="172">
        <v>232</v>
      </c>
      <c r="D440" s="172" t="s">
        <v>319</v>
      </c>
      <c r="E440" s="172">
        <v>15</v>
      </c>
      <c r="F440" s="172" t="s">
        <v>336</v>
      </c>
      <c r="H440" s="173"/>
      <c r="I440" s="172">
        <v>2</v>
      </c>
      <c r="J440" s="177">
        <v>25920</v>
      </c>
      <c r="K440" s="177">
        <v>430000</v>
      </c>
      <c r="L440" s="177">
        <v>430000</v>
      </c>
      <c r="M440" s="177">
        <v>430000</v>
      </c>
      <c r="N440" s="177">
        <v>430000</v>
      </c>
      <c r="O440" s="172"/>
      <c r="P440" s="172"/>
      <c r="Q440" s="172" t="s">
        <v>1528</v>
      </c>
      <c r="R440" s="172" t="s">
        <v>1269</v>
      </c>
      <c r="S440" s="172">
        <v>1</v>
      </c>
      <c r="T440" s="172">
        <v>0</v>
      </c>
      <c r="U440" s="172">
        <v>0</v>
      </c>
      <c r="V440" s="172"/>
      <c r="W440" s="172"/>
      <c r="Z440" s="172">
        <v>12439</v>
      </c>
      <c r="AA440" s="172">
        <v>3000</v>
      </c>
      <c r="AB440" s="172">
        <v>7.0000000000000007E-2</v>
      </c>
      <c r="AE440" s="172">
        <v>3016</v>
      </c>
      <c r="AF440" s="172">
        <v>700</v>
      </c>
      <c r="AI440" s="172"/>
      <c r="AJ440" s="172"/>
      <c r="AM440" s="172"/>
      <c r="AN440" s="172"/>
      <c r="AQ440" s="172"/>
      <c r="AR440" s="172"/>
      <c r="AU440" s="172"/>
      <c r="AV440" s="172"/>
      <c r="AY440" s="172"/>
      <c r="AZ440" s="172"/>
      <c r="BC440" s="172"/>
      <c r="BD440" s="172"/>
      <c r="BH440" s="172">
        <v>9</v>
      </c>
    </row>
    <row r="441" spans="1:61" ht="14.5">
      <c r="A441" s="172">
        <v>2320016</v>
      </c>
      <c r="B441" s="172">
        <v>438</v>
      </c>
      <c r="C441" s="172">
        <v>232</v>
      </c>
      <c r="D441" s="172" t="s">
        <v>319</v>
      </c>
      <c r="E441" s="172">
        <v>16</v>
      </c>
      <c r="F441" s="172" t="s">
        <v>337</v>
      </c>
      <c r="H441" s="173"/>
      <c r="I441" s="172">
        <v>2</v>
      </c>
      <c r="J441" s="177">
        <v>32400</v>
      </c>
      <c r="K441" s="177">
        <v>550000</v>
      </c>
      <c r="L441" s="177">
        <v>550000</v>
      </c>
      <c r="M441" s="177">
        <v>550000</v>
      </c>
      <c r="N441" s="177">
        <v>550000</v>
      </c>
      <c r="O441" s="172"/>
      <c r="P441" s="172"/>
      <c r="Q441" s="172" t="s">
        <v>1528</v>
      </c>
      <c r="R441" s="172" t="s">
        <v>1272</v>
      </c>
      <c r="S441" s="172">
        <v>1</v>
      </c>
      <c r="T441" s="172">
        <v>0</v>
      </c>
      <c r="U441" s="172">
        <v>0</v>
      </c>
      <c r="V441" s="172"/>
      <c r="W441" s="172"/>
      <c r="X441" s="172" t="s">
        <v>1395</v>
      </c>
      <c r="Z441" s="172">
        <v>16827</v>
      </c>
      <c r="AA441" s="172">
        <v>3000</v>
      </c>
      <c r="AB441" s="172">
        <v>7.4999999999999997E-2</v>
      </c>
      <c r="AE441" s="172">
        <v>3016</v>
      </c>
      <c r="AF441" s="172">
        <v>750</v>
      </c>
      <c r="AI441" s="172"/>
      <c r="AJ441" s="172"/>
      <c r="AM441" s="172"/>
      <c r="AN441" s="172"/>
      <c r="AQ441" s="172"/>
      <c r="AR441" s="172"/>
      <c r="AU441" s="172"/>
      <c r="AV441" s="172"/>
      <c r="AY441" s="172"/>
      <c r="AZ441" s="172"/>
      <c r="BC441" s="172"/>
      <c r="BD441" s="172"/>
      <c r="BH441" s="172">
        <v>9</v>
      </c>
    </row>
    <row r="442" spans="1:61" ht="14.5">
      <c r="A442" s="172">
        <v>2320017</v>
      </c>
      <c r="B442" s="172">
        <v>439</v>
      </c>
      <c r="C442" s="172">
        <v>232</v>
      </c>
      <c r="D442" s="172" t="s">
        <v>319</v>
      </c>
      <c r="E442" s="172">
        <v>17</v>
      </c>
      <c r="F442" s="172" t="s">
        <v>340</v>
      </c>
      <c r="H442" s="173"/>
      <c r="I442" s="172">
        <v>2</v>
      </c>
      <c r="J442" s="177">
        <v>43200</v>
      </c>
      <c r="K442" s="177">
        <v>700000</v>
      </c>
      <c r="L442" s="177">
        <v>700000</v>
      </c>
      <c r="M442" s="177">
        <v>700000</v>
      </c>
      <c r="N442" s="177">
        <v>700000</v>
      </c>
      <c r="O442" s="172"/>
      <c r="P442" s="172"/>
      <c r="Q442" s="172" t="s">
        <v>1528</v>
      </c>
      <c r="R442" s="172" t="s">
        <v>1278</v>
      </c>
      <c r="S442" s="172">
        <v>1</v>
      </c>
      <c r="T442" s="172">
        <v>0</v>
      </c>
      <c r="U442" s="172">
        <v>0</v>
      </c>
      <c r="V442" s="172"/>
      <c r="W442" s="172"/>
      <c r="X442" s="172" t="s">
        <v>1395</v>
      </c>
      <c r="Z442" s="172">
        <v>22443</v>
      </c>
      <c r="AA442" s="172">
        <v>3000</v>
      </c>
      <c r="AB442" s="172">
        <v>0.08</v>
      </c>
      <c r="AE442" s="172">
        <v>3016</v>
      </c>
      <c r="AF442" s="172">
        <v>800</v>
      </c>
      <c r="AI442" s="172"/>
      <c r="AJ442" s="172"/>
      <c r="AM442" s="172"/>
      <c r="AN442" s="172"/>
      <c r="AQ442" s="172"/>
      <c r="AR442" s="172"/>
      <c r="AU442" s="172"/>
      <c r="AV442" s="172"/>
      <c r="AY442" s="172"/>
      <c r="AZ442" s="172"/>
      <c r="BC442" s="172"/>
      <c r="BD442" s="172"/>
      <c r="BH442" s="172">
        <v>9</v>
      </c>
    </row>
    <row r="443" spans="1:61" ht="14.5">
      <c r="A443" s="172">
        <v>2320018</v>
      </c>
      <c r="B443" s="172">
        <v>440</v>
      </c>
      <c r="C443" s="172">
        <v>232</v>
      </c>
      <c r="D443" s="172" t="s">
        <v>319</v>
      </c>
      <c r="E443" s="172">
        <v>18</v>
      </c>
      <c r="F443" s="172" t="s">
        <v>341</v>
      </c>
      <c r="H443" s="173"/>
      <c r="I443" s="172">
        <v>2</v>
      </c>
      <c r="J443" s="177">
        <v>56160</v>
      </c>
      <c r="K443" s="177">
        <v>900000</v>
      </c>
      <c r="L443" s="177">
        <v>900000</v>
      </c>
      <c r="M443" s="177">
        <v>900000</v>
      </c>
      <c r="N443" s="177">
        <v>900000</v>
      </c>
      <c r="O443" s="172"/>
      <c r="P443" s="172"/>
      <c r="Q443" s="172" t="s">
        <v>1528</v>
      </c>
      <c r="R443" s="172" t="s">
        <v>1281</v>
      </c>
      <c r="S443" s="172">
        <v>1</v>
      </c>
      <c r="T443" s="172">
        <v>0</v>
      </c>
      <c r="U443" s="172">
        <v>0</v>
      </c>
      <c r="V443" s="172"/>
      <c r="W443" s="172"/>
      <c r="X443" s="172" t="s">
        <v>1395</v>
      </c>
      <c r="Z443" s="172">
        <v>29632</v>
      </c>
      <c r="AA443" s="172">
        <v>3000</v>
      </c>
      <c r="AB443" s="172">
        <v>8.5000000000000006E-2</v>
      </c>
      <c r="AE443" s="172">
        <v>3016</v>
      </c>
      <c r="AF443" s="172">
        <v>850</v>
      </c>
      <c r="AI443" s="172"/>
      <c r="AJ443" s="172"/>
      <c r="AM443" s="172"/>
      <c r="AN443" s="172"/>
      <c r="AQ443" s="172"/>
      <c r="AR443" s="172"/>
      <c r="AU443" s="172"/>
      <c r="AV443" s="172"/>
      <c r="AY443" s="172"/>
      <c r="AZ443" s="172"/>
      <c r="BC443" s="172"/>
      <c r="BD443" s="172"/>
      <c r="BH443" s="172">
        <v>9</v>
      </c>
    </row>
    <row r="444" spans="1:61" ht="14.5">
      <c r="A444" s="172">
        <v>2320019</v>
      </c>
      <c r="B444" s="172">
        <v>441</v>
      </c>
      <c r="C444" s="172">
        <v>232</v>
      </c>
      <c r="D444" s="172" t="s">
        <v>319</v>
      </c>
      <c r="E444" s="172">
        <v>19</v>
      </c>
      <c r="F444" s="172" t="s">
        <v>342</v>
      </c>
      <c r="H444" s="173"/>
      <c r="I444" s="172">
        <v>2</v>
      </c>
      <c r="J444" s="177">
        <v>73440</v>
      </c>
      <c r="K444" s="177">
        <v>1200000</v>
      </c>
      <c r="L444" s="177">
        <v>1200000</v>
      </c>
      <c r="M444" s="177">
        <v>1200000</v>
      </c>
      <c r="N444" s="177">
        <v>1200000</v>
      </c>
      <c r="O444" s="172"/>
      <c r="P444" s="172"/>
      <c r="Q444" s="172" t="s">
        <v>1528</v>
      </c>
      <c r="R444" s="172" t="s">
        <v>1283</v>
      </c>
      <c r="S444" s="172">
        <v>1</v>
      </c>
      <c r="T444" s="172">
        <v>0</v>
      </c>
      <c r="U444" s="172">
        <v>0</v>
      </c>
      <c r="V444" s="172"/>
      <c r="W444" s="172"/>
      <c r="X444" s="172" t="s">
        <v>1395</v>
      </c>
      <c r="Z444" s="172">
        <v>38833</v>
      </c>
      <c r="AA444" s="172">
        <v>3000</v>
      </c>
      <c r="AB444" s="172">
        <v>0.09</v>
      </c>
      <c r="AE444" s="172">
        <v>3016</v>
      </c>
      <c r="AF444" s="172">
        <v>900</v>
      </c>
      <c r="AI444" s="172"/>
      <c r="AJ444" s="172"/>
      <c r="AM444" s="172"/>
      <c r="AN444" s="172"/>
      <c r="AQ444" s="172"/>
      <c r="AR444" s="172"/>
      <c r="AU444" s="172"/>
      <c r="AV444" s="172"/>
      <c r="AY444" s="172"/>
      <c r="AZ444" s="172"/>
      <c r="BC444" s="172"/>
      <c r="BD444" s="172"/>
      <c r="BH444" s="172">
        <v>9</v>
      </c>
    </row>
    <row r="445" spans="1:61" ht="14.5">
      <c r="A445" s="172">
        <v>2320020</v>
      </c>
      <c r="B445" s="172">
        <v>442</v>
      </c>
      <c r="C445" s="172">
        <v>232</v>
      </c>
      <c r="D445" s="172" t="s">
        <v>319</v>
      </c>
      <c r="E445" s="172">
        <v>20</v>
      </c>
      <c r="F445" s="172" t="s">
        <v>343</v>
      </c>
      <c r="H445" s="173"/>
      <c r="I445" s="172">
        <v>3</v>
      </c>
      <c r="J445" s="177">
        <v>103680</v>
      </c>
      <c r="K445" s="177">
        <v>1500000</v>
      </c>
      <c r="L445" s="177">
        <v>1500000</v>
      </c>
      <c r="M445" s="177">
        <v>1500000</v>
      </c>
      <c r="N445" s="177">
        <v>1500000</v>
      </c>
      <c r="O445" s="172"/>
      <c r="P445" s="172"/>
      <c r="Q445" s="172" t="s">
        <v>1528</v>
      </c>
      <c r="R445" s="172" t="s">
        <v>1287</v>
      </c>
      <c r="S445" s="172">
        <v>1</v>
      </c>
      <c r="T445" s="172">
        <v>0</v>
      </c>
      <c r="U445" s="172">
        <v>0</v>
      </c>
      <c r="V445" s="172"/>
      <c r="W445" s="172"/>
      <c r="X445" s="172" t="s">
        <v>1395</v>
      </c>
      <c r="Z445" s="172">
        <v>50611</v>
      </c>
      <c r="AA445" s="172">
        <v>3000</v>
      </c>
      <c r="AB445" s="172">
        <v>9.5000000000000001E-2</v>
      </c>
      <c r="AE445" s="172">
        <v>3016</v>
      </c>
      <c r="AF445" s="172">
        <v>950</v>
      </c>
      <c r="AI445" s="172"/>
      <c r="AJ445" s="172"/>
      <c r="AM445" s="172"/>
      <c r="AN445" s="172"/>
      <c r="AQ445" s="172"/>
      <c r="AR445" s="172"/>
      <c r="AU445" s="172"/>
      <c r="AV445" s="172"/>
      <c r="AY445" s="172"/>
      <c r="AZ445" s="172"/>
      <c r="BC445" s="172"/>
      <c r="BD445" s="172"/>
      <c r="BH445" s="172">
        <v>9</v>
      </c>
    </row>
    <row r="446" spans="1:61" ht="14.5">
      <c r="A446" s="172">
        <v>2320021</v>
      </c>
      <c r="B446" s="172">
        <v>443</v>
      </c>
      <c r="C446" s="172">
        <v>232</v>
      </c>
      <c r="D446" s="172" t="s">
        <v>319</v>
      </c>
      <c r="E446" s="172">
        <v>21</v>
      </c>
      <c r="F446" s="172" t="s">
        <v>1529</v>
      </c>
      <c r="H446" s="173"/>
      <c r="I446" s="172">
        <v>3</v>
      </c>
      <c r="J446" s="177">
        <v>138240</v>
      </c>
      <c r="K446" s="177">
        <v>1900000</v>
      </c>
      <c r="L446" s="177">
        <v>1900000</v>
      </c>
      <c r="M446" s="177">
        <v>1900000</v>
      </c>
      <c r="N446" s="177">
        <v>1900000</v>
      </c>
      <c r="O446" s="172"/>
      <c r="P446" s="172"/>
      <c r="Q446" s="172" t="s">
        <v>1528</v>
      </c>
      <c r="R446" s="172" t="s">
        <v>1291</v>
      </c>
      <c r="S446" s="172">
        <v>1</v>
      </c>
      <c r="T446" s="172">
        <v>0</v>
      </c>
      <c r="U446" s="172">
        <v>0</v>
      </c>
      <c r="V446" s="172"/>
      <c r="W446" s="172"/>
      <c r="Z446" s="172">
        <v>65687</v>
      </c>
      <c r="AA446" s="172">
        <v>3000</v>
      </c>
      <c r="AB446" s="172">
        <v>0.1</v>
      </c>
      <c r="AE446" s="172">
        <v>3016</v>
      </c>
      <c r="AF446" s="172">
        <v>1000</v>
      </c>
      <c r="AI446" s="172"/>
      <c r="AJ446" s="172"/>
      <c r="AM446" s="172"/>
      <c r="AN446" s="172"/>
      <c r="AQ446" s="172"/>
      <c r="AR446" s="172"/>
      <c r="AU446" s="172"/>
      <c r="AV446" s="172"/>
      <c r="AY446" s="172"/>
      <c r="AZ446" s="172"/>
      <c r="BC446" s="172"/>
      <c r="BD446" s="172"/>
      <c r="BH446" s="172">
        <v>9</v>
      </c>
    </row>
    <row r="447" spans="1:61" ht="14.5">
      <c r="A447" s="172">
        <v>2320022</v>
      </c>
      <c r="B447" s="172">
        <v>444</v>
      </c>
      <c r="C447" s="172">
        <v>232</v>
      </c>
      <c r="D447" s="172" t="s">
        <v>319</v>
      </c>
      <c r="E447" s="172">
        <v>22</v>
      </c>
      <c r="F447" s="172" t="s">
        <v>1530</v>
      </c>
      <c r="H447" s="173"/>
      <c r="I447" s="172">
        <v>3</v>
      </c>
      <c r="J447" s="177">
        <v>181440</v>
      </c>
      <c r="K447" s="177">
        <v>2400000</v>
      </c>
      <c r="L447" s="177">
        <v>2400000</v>
      </c>
      <c r="M447" s="177">
        <v>2400000</v>
      </c>
      <c r="N447" s="177">
        <v>2400000</v>
      </c>
      <c r="O447" s="172"/>
      <c r="P447" s="172"/>
      <c r="Q447" s="172" t="s">
        <v>1528</v>
      </c>
      <c r="R447" s="172" t="s">
        <v>1295</v>
      </c>
      <c r="S447" s="172">
        <v>1</v>
      </c>
      <c r="T447" s="172">
        <v>0</v>
      </c>
      <c r="U447" s="172">
        <v>0</v>
      </c>
      <c r="V447" s="172"/>
      <c r="W447" s="172"/>
      <c r="Z447" s="172">
        <v>84984</v>
      </c>
      <c r="AA447" s="172">
        <v>3000</v>
      </c>
      <c r="AB447" s="172">
        <v>0.105</v>
      </c>
      <c r="AE447" s="172">
        <v>3016</v>
      </c>
      <c r="AF447" s="172">
        <v>1050</v>
      </c>
      <c r="AI447" s="172"/>
      <c r="AJ447" s="172"/>
      <c r="AM447" s="172"/>
      <c r="AN447" s="172"/>
      <c r="AQ447" s="172"/>
      <c r="AR447" s="172"/>
      <c r="AU447" s="172"/>
      <c r="AV447" s="172"/>
      <c r="AY447" s="172"/>
      <c r="AZ447" s="172"/>
      <c r="BC447" s="172"/>
      <c r="BD447" s="172"/>
      <c r="BH447" s="172">
        <v>9</v>
      </c>
    </row>
    <row r="448" spans="1:61" ht="14.5">
      <c r="A448" s="172">
        <v>2320023</v>
      </c>
      <c r="B448" s="172">
        <v>445</v>
      </c>
      <c r="C448" s="172">
        <v>232</v>
      </c>
      <c r="D448" s="172" t="s">
        <v>319</v>
      </c>
      <c r="E448" s="172">
        <v>23</v>
      </c>
      <c r="F448" s="172" t="s">
        <v>1531</v>
      </c>
      <c r="H448" s="173"/>
      <c r="I448" s="172">
        <v>3</v>
      </c>
      <c r="J448" s="177">
        <v>233280</v>
      </c>
      <c r="K448" s="177">
        <v>3100000</v>
      </c>
      <c r="L448" s="177">
        <v>3100000</v>
      </c>
      <c r="M448" s="177">
        <v>3100000</v>
      </c>
      <c r="N448" s="177">
        <v>3100000</v>
      </c>
      <c r="O448" s="172"/>
      <c r="P448" s="172"/>
      <c r="Q448" s="172" t="s">
        <v>1528</v>
      </c>
      <c r="R448" s="172" t="s">
        <v>1298</v>
      </c>
      <c r="S448" s="172">
        <v>1</v>
      </c>
      <c r="T448" s="172">
        <v>0</v>
      </c>
      <c r="U448" s="172">
        <v>0</v>
      </c>
      <c r="V448" s="172"/>
      <c r="W448" s="172"/>
      <c r="Z448" s="172">
        <v>109684</v>
      </c>
      <c r="AA448" s="172">
        <v>3000</v>
      </c>
      <c r="AB448" s="172">
        <v>0.11</v>
      </c>
      <c r="AE448" s="172">
        <v>3016</v>
      </c>
      <c r="AF448" s="172">
        <v>1100</v>
      </c>
      <c r="AI448" s="172"/>
      <c r="AJ448" s="172"/>
      <c r="AM448" s="172"/>
      <c r="AN448" s="172"/>
      <c r="AQ448" s="172"/>
      <c r="AR448" s="172"/>
      <c r="AU448" s="172"/>
      <c r="AV448" s="172"/>
      <c r="AY448" s="172"/>
      <c r="AZ448" s="172"/>
      <c r="BC448" s="172"/>
      <c r="BD448" s="172"/>
      <c r="BH448" s="172">
        <v>9</v>
      </c>
    </row>
    <row r="449" spans="1:69" ht="14.5">
      <c r="A449" s="172">
        <v>2320024</v>
      </c>
      <c r="B449" s="172">
        <v>446</v>
      </c>
      <c r="C449" s="172">
        <v>232</v>
      </c>
      <c r="D449" s="172" t="s">
        <v>319</v>
      </c>
      <c r="E449" s="172">
        <v>24</v>
      </c>
      <c r="F449" s="172" t="s">
        <v>1532</v>
      </c>
      <c r="H449" s="173"/>
      <c r="I449" s="172">
        <v>3</v>
      </c>
      <c r="J449" s="177">
        <v>298080</v>
      </c>
      <c r="K449" s="177">
        <v>4000000</v>
      </c>
      <c r="L449" s="177">
        <v>4000000</v>
      </c>
      <c r="M449" s="177">
        <v>4000000</v>
      </c>
      <c r="N449" s="177">
        <v>4000000</v>
      </c>
      <c r="O449" s="172"/>
      <c r="P449" s="172"/>
      <c r="Q449" s="172" t="s">
        <v>1528</v>
      </c>
      <c r="R449" s="172" t="s">
        <v>1302</v>
      </c>
      <c r="S449" s="172">
        <v>1</v>
      </c>
      <c r="T449" s="172">
        <v>0</v>
      </c>
      <c r="U449" s="172">
        <v>0</v>
      </c>
      <c r="V449" s="172"/>
      <c r="W449" s="172"/>
      <c r="Z449" s="172">
        <v>141300</v>
      </c>
      <c r="AA449" s="172">
        <v>3000</v>
      </c>
      <c r="AB449" s="172">
        <v>0.115</v>
      </c>
      <c r="AE449" s="172">
        <v>3016</v>
      </c>
      <c r="AF449" s="172">
        <v>1150</v>
      </c>
      <c r="AI449" s="172"/>
      <c r="AJ449" s="172"/>
      <c r="AM449" s="172"/>
      <c r="AN449" s="172"/>
      <c r="AQ449" s="172"/>
      <c r="AR449" s="172"/>
      <c r="AU449" s="172"/>
      <c r="AV449" s="172"/>
      <c r="AY449" s="172"/>
      <c r="AZ449" s="172"/>
      <c r="BC449" s="172"/>
      <c r="BD449" s="172"/>
      <c r="BH449" s="172">
        <v>9</v>
      </c>
    </row>
    <row r="450" spans="1:69" ht="14.5">
      <c r="A450" s="172">
        <v>2320025</v>
      </c>
      <c r="B450" s="172">
        <v>447</v>
      </c>
      <c r="C450" s="172">
        <v>232</v>
      </c>
      <c r="D450" s="172" t="s">
        <v>319</v>
      </c>
      <c r="E450" s="172">
        <v>25</v>
      </c>
      <c r="F450" s="172" t="s">
        <v>1533</v>
      </c>
      <c r="H450" s="173"/>
      <c r="I450" s="172">
        <v>3</v>
      </c>
      <c r="J450" s="177">
        <v>375840</v>
      </c>
      <c r="K450" s="177">
        <v>5100000</v>
      </c>
      <c r="L450" s="177">
        <v>5100000</v>
      </c>
      <c r="M450" s="177">
        <v>5100000</v>
      </c>
      <c r="N450" s="177">
        <v>5100000</v>
      </c>
      <c r="O450" s="172"/>
      <c r="P450" s="172"/>
      <c r="Q450" s="172" t="s">
        <v>1528</v>
      </c>
      <c r="R450" s="172" t="s">
        <v>1305</v>
      </c>
      <c r="S450" s="172">
        <v>1</v>
      </c>
      <c r="T450" s="172">
        <v>0</v>
      </c>
      <c r="U450" s="172">
        <v>0</v>
      </c>
      <c r="V450" s="172"/>
      <c r="W450" s="172"/>
      <c r="Z450" s="172">
        <v>181768</v>
      </c>
      <c r="AA450" s="172">
        <v>3000</v>
      </c>
      <c r="AB450" s="172">
        <v>0.12</v>
      </c>
      <c r="AE450" s="172">
        <v>3016</v>
      </c>
      <c r="AF450" s="172">
        <v>1200</v>
      </c>
      <c r="AI450" s="172"/>
      <c r="AJ450" s="172"/>
      <c r="AM450" s="172"/>
      <c r="AN450" s="172"/>
      <c r="AQ450" s="172"/>
      <c r="AR450" s="172"/>
      <c r="AU450" s="172"/>
      <c r="AV450" s="172"/>
      <c r="AY450" s="172"/>
      <c r="AZ450" s="172"/>
      <c r="BC450" s="172"/>
      <c r="BD450" s="172"/>
      <c r="BH450" s="172">
        <v>9</v>
      </c>
    </row>
    <row r="451" spans="1:69" ht="14.5">
      <c r="A451" s="172">
        <v>2320026</v>
      </c>
      <c r="B451" s="172">
        <v>448</v>
      </c>
      <c r="C451" s="172">
        <v>232</v>
      </c>
      <c r="D451" s="172" t="s">
        <v>319</v>
      </c>
      <c r="E451" s="172">
        <v>26</v>
      </c>
      <c r="F451" s="172" t="s">
        <v>1534</v>
      </c>
      <c r="H451" s="173"/>
      <c r="I451" s="172">
        <v>3</v>
      </c>
      <c r="J451" s="177">
        <v>466560</v>
      </c>
      <c r="K451" s="177">
        <v>6500000</v>
      </c>
      <c r="L451" s="177">
        <v>6500000</v>
      </c>
      <c r="M451" s="177">
        <v>6500000</v>
      </c>
      <c r="N451" s="177">
        <v>6500000</v>
      </c>
      <c r="O451" s="172"/>
      <c r="P451" s="172"/>
      <c r="Q451" s="172" t="s">
        <v>1528</v>
      </c>
      <c r="R451" s="172" t="s">
        <v>1308</v>
      </c>
      <c r="S451" s="172">
        <v>1</v>
      </c>
      <c r="T451" s="172">
        <v>0</v>
      </c>
      <c r="U451" s="172">
        <v>0</v>
      </c>
      <c r="V451" s="172"/>
      <c r="W451" s="172"/>
      <c r="X451" s="172" t="s">
        <v>1395</v>
      </c>
      <c r="Z451" s="172">
        <v>233568</v>
      </c>
      <c r="AA451" s="172">
        <v>3000</v>
      </c>
      <c r="AB451" s="172">
        <v>0.13</v>
      </c>
      <c r="AE451" s="172">
        <v>3016</v>
      </c>
      <c r="AF451" s="172">
        <v>1300</v>
      </c>
      <c r="AI451" s="172"/>
      <c r="AJ451" s="172"/>
      <c r="AM451" s="172"/>
      <c r="AN451" s="172"/>
      <c r="AQ451" s="172"/>
      <c r="AR451" s="172"/>
      <c r="AU451" s="172"/>
      <c r="AV451" s="172"/>
      <c r="AY451" s="172"/>
      <c r="AZ451" s="172"/>
      <c r="BC451" s="172"/>
      <c r="BD451" s="172"/>
      <c r="BH451" s="172">
        <v>9</v>
      </c>
    </row>
    <row r="452" spans="1:69" ht="14.5">
      <c r="A452" s="172">
        <v>2320027</v>
      </c>
      <c r="B452" s="172">
        <v>449</v>
      </c>
      <c r="C452" s="172">
        <v>232</v>
      </c>
      <c r="D452" s="172" t="s">
        <v>319</v>
      </c>
      <c r="E452" s="172">
        <v>27</v>
      </c>
      <c r="F452" s="172" t="s">
        <v>1535</v>
      </c>
      <c r="H452" s="173"/>
      <c r="I452" s="172">
        <v>3</v>
      </c>
      <c r="J452" s="177">
        <v>570240</v>
      </c>
      <c r="K452" s="177">
        <v>8300000</v>
      </c>
      <c r="L452" s="177">
        <v>8300000</v>
      </c>
      <c r="M452" s="177">
        <v>8300000</v>
      </c>
      <c r="N452" s="177">
        <v>8300000</v>
      </c>
      <c r="O452" s="172"/>
      <c r="P452" s="172"/>
      <c r="Q452" s="172" t="s">
        <v>1528</v>
      </c>
      <c r="R452" s="172" t="s">
        <v>1311</v>
      </c>
      <c r="S452" s="172">
        <v>1</v>
      </c>
      <c r="T452" s="172">
        <v>0</v>
      </c>
      <c r="U452" s="172">
        <v>0</v>
      </c>
      <c r="V452" s="172"/>
      <c r="W452" s="172"/>
      <c r="X452" s="172" t="s">
        <v>1395</v>
      </c>
      <c r="Z452" s="172">
        <v>299871</v>
      </c>
      <c r="AA452" s="172">
        <v>3000</v>
      </c>
      <c r="AB452" s="172">
        <v>0.14000000000000001</v>
      </c>
      <c r="AE452" s="172">
        <v>3016</v>
      </c>
      <c r="AF452" s="172">
        <v>1400</v>
      </c>
      <c r="AI452" s="172"/>
      <c r="AJ452" s="172"/>
      <c r="AM452" s="172"/>
      <c r="AN452" s="172"/>
      <c r="AQ452" s="172"/>
      <c r="AR452" s="172"/>
      <c r="AU452" s="172"/>
      <c r="AV452" s="172"/>
      <c r="AY452" s="172"/>
      <c r="AZ452" s="172"/>
      <c r="BC452" s="172"/>
      <c r="BD452" s="172"/>
      <c r="BH452" s="172">
        <v>9</v>
      </c>
    </row>
    <row r="453" spans="1:69" ht="14.5">
      <c r="A453" s="172">
        <v>2320028</v>
      </c>
      <c r="B453" s="172">
        <v>450</v>
      </c>
      <c r="C453" s="172">
        <v>232</v>
      </c>
      <c r="D453" s="172" t="s">
        <v>319</v>
      </c>
      <c r="E453" s="172">
        <v>28</v>
      </c>
      <c r="F453" s="172" t="s">
        <v>1536</v>
      </c>
      <c r="H453" s="173"/>
      <c r="I453" s="172">
        <v>3</v>
      </c>
      <c r="J453" s="177">
        <v>699840</v>
      </c>
      <c r="K453" s="177">
        <v>11000000</v>
      </c>
      <c r="L453" s="177">
        <v>11000000</v>
      </c>
      <c r="M453" s="177">
        <v>11000000</v>
      </c>
      <c r="N453" s="177">
        <v>11000000</v>
      </c>
      <c r="O453" s="172"/>
      <c r="P453" s="172"/>
      <c r="Q453" s="172" t="s">
        <v>1528</v>
      </c>
      <c r="R453" s="172" t="s">
        <v>1314</v>
      </c>
      <c r="S453" s="172">
        <v>1</v>
      </c>
      <c r="T453" s="172">
        <v>0</v>
      </c>
      <c r="U453" s="172">
        <v>0</v>
      </c>
      <c r="V453" s="172"/>
      <c r="W453" s="172"/>
      <c r="X453" s="172" t="s">
        <v>1395</v>
      </c>
      <c r="Z453" s="172">
        <v>384740</v>
      </c>
      <c r="AA453" s="172">
        <v>3000</v>
      </c>
      <c r="AB453" s="172">
        <v>0.15</v>
      </c>
      <c r="AE453" s="172">
        <v>3016</v>
      </c>
      <c r="AF453" s="172">
        <v>1500</v>
      </c>
      <c r="AI453" s="172"/>
      <c r="AJ453" s="172"/>
      <c r="AM453" s="172"/>
      <c r="AN453" s="172"/>
      <c r="AQ453" s="172"/>
      <c r="AR453" s="172"/>
      <c r="AU453" s="172"/>
      <c r="AV453" s="172"/>
      <c r="AY453" s="172"/>
      <c r="AZ453" s="172"/>
      <c r="BC453" s="172"/>
      <c r="BD453" s="172"/>
      <c r="BH453" s="172">
        <v>9</v>
      </c>
    </row>
    <row r="454" spans="1:69" ht="14.5">
      <c r="A454" s="172">
        <v>2320029</v>
      </c>
      <c r="B454" s="172">
        <v>451</v>
      </c>
      <c r="C454" s="172">
        <v>232</v>
      </c>
      <c r="D454" s="172" t="s">
        <v>319</v>
      </c>
      <c r="E454" s="172">
        <v>29</v>
      </c>
      <c r="F454" s="172" t="s">
        <v>1537</v>
      </c>
      <c r="H454" s="173"/>
      <c r="I454" s="172">
        <v>3</v>
      </c>
      <c r="J454" s="177">
        <v>855360</v>
      </c>
      <c r="K454" s="177">
        <v>14000000</v>
      </c>
      <c r="L454" s="177">
        <v>14000000</v>
      </c>
      <c r="M454" s="177">
        <v>14000000</v>
      </c>
      <c r="N454" s="177">
        <v>14000000</v>
      </c>
      <c r="O454" s="172"/>
      <c r="P454" s="172"/>
      <c r="Q454" s="172" t="s">
        <v>1528</v>
      </c>
      <c r="R454" s="172" t="s">
        <v>1317</v>
      </c>
      <c r="S454" s="172">
        <v>1</v>
      </c>
      <c r="T454" s="172">
        <v>0</v>
      </c>
      <c r="U454" s="172">
        <v>0</v>
      </c>
      <c r="V454" s="172"/>
      <c r="W454" s="172"/>
      <c r="X454" s="172" t="s">
        <v>1395</v>
      </c>
      <c r="Z454" s="172">
        <v>493372</v>
      </c>
      <c r="AA454" s="172">
        <v>3000</v>
      </c>
      <c r="AB454" s="172">
        <v>0.16</v>
      </c>
      <c r="AE454" s="172">
        <v>3016</v>
      </c>
      <c r="AF454" s="172">
        <v>1600</v>
      </c>
      <c r="AI454" s="172"/>
      <c r="AJ454" s="172"/>
      <c r="AM454" s="172"/>
      <c r="AN454" s="172"/>
      <c r="AQ454" s="172"/>
      <c r="AR454" s="172"/>
      <c r="AU454" s="172"/>
      <c r="AV454" s="172"/>
      <c r="AY454" s="172"/>
      <c r="AZ454" s="172"/>
      <c r="BC454" s="172"/>
      <c r="BD454" s="172"/>
      <c r="BH454" s="172">
        <v>9</v>
      </c>
    </row>
    <row r="455" spans="1:69" ht="14.5">
      <c r="A455" s="172">
        <v>2320030</v>
      </c>
      <c r="B455" s="172">
        <v>452</v>
      </c>
      <c r="C455" s="172">
        <v>232</v>
      </c>
      <c r="D455" s="172" t="s">
        <v>319</v>
      </c>
      <c r="E455" s="172">
        <v>30</v>
      </c>
      <c r="F455" s="172" t="s">
        <v>1538</v>
      </c>
      <c r="H455" s="173"/>
      <c r="I455" s="172">
        <v>3</v>
      </c>
      <c r="J455" s="177">
        <v>1036800</v>
      </c>
      <c r="K455" s="177">
        <v>17000000</v>
      </c>
      <c r="L455" s="177">
        <v>17000000</v>
      </c>
      <c r="M455" s="177">
        <v>17000000</v>
      </c>
      <c r="N455" s="177">
        <v>17000000</v>
      </c>
      <c r="O455" s="172"/>
      <c r="P455" s="172"/>
      <c r="Q455" s="172" t="s">
        <v>1528</v>
      </c>
      <c r="R455" s="172" t="s">
        <v>1406</v>
      </c>
      <c r="S455" s="172">
        <v>1</v>
      </c>
      <c r="T455" s="172">
        <v>0</v>
      </c>
      <c r="U455" s="172">
        <v>0</v>
      </c>
      <c r="V455" s="172"/>
      <c r="W455" s="172"/>
      <c r="X455" s="172" t="s">
        <v>1395</v>
      </c>
      <c r="Z455" s="172">
        <v>632420</v>
      </c>
      <c r="AA455" s="172">
        <v>3000</v>
      </c>
      <c r="AB455" s="172">
        <v>0.17</v>
      </c>
      <c r="AE455" s="172">
        <v>3016</v>
      </c>
      <c r="AF455" s="172">
        <v>1700</v>
      </c>
      <c r="AI455" s="172"/>
      <c r="AJ455" s="172"/>
      <c r="AM455" s="172"/>
      <c r="AN455" s="172"/>
      <c r="AQ455" s="172"/>
      <c r="AR455" s="172"/>
      <c r="AU455" s="172"/>
      <c r="AV455" s="172"/>
      <c r="AY455" s="172"/>
      <c r="AZ455" s="172"/>
      <c r="BC455" s="172"/>
      <c r="BD455" s="172"/>
      <c r="BH455" s="172">
        <v>9</v>
      </c>
    </row>
    <row r="456" spans="1:69" ht="14.5">
      <c r="A456" s="172">
        <v>2340001</v>
      </c>
      <c r="B456" s="172">
        <v>453</v>
      </c>
      <c r="C456" s="172">
        <v>234</v>
      </c>
      <c r="D456" s="172" t="s">
        <v>271</v>
      </c>
      <c r="E456" s="172">
        <v>1</v>
      </c>
      <c r="F456" s="172" t="s">
        <v>272</v>
      </c>
      <c r="G456" s="172"/>
      <c r="H456" s="173"/>
      <c r="I456" s="172" t="s">
        <v>1205</v>
      </c>
      <c r="J456" s="177">
        <v>25</v>
      </c>
      <c r="K456" s="177">
        <v>250</v>
      </c>
      <c r="L456" s="177">
        <v>250</v>
      </c>
      <c r="M456" s="177">
        <v>0</v>
      </c>
      <c r="N456" s="177">
        <v>0</v>
      </c>
      <c r="O456" s="172"/>
      <c r="P456" s="172"/>
      <c r="Q456" s="172" t="s">
        <v>1318</v>
      </c>
      <c r="R456" s="172" t="s">
        <v>1328</v>
      </c>
      <c r="S456" s="172">
        <v>3</v>
      </c>
      <c r="T456" s="172">
        <v>0</v>
      </c>
      <c r="U456" s="172">
        <v>0</v>
      </c>
      <c r="V456" s="172" t="s">
        <v>229</v>
      </c>
      <c r="W456" s="172" t="s">
        <v>1539</v>
      </c>
      <c r="X456" s="172"/>
      <c r="Y456" s="172"/>
      <c r="Z456" s="172">
        <v>1</v>
      </c>
      <c r="AA456" s="172">
        <v>1019</v>
      </c>
      <c r="AB456" s="172">
        <v>400</v>
      </c>
      <c r="AC456" s="172"/>
      <c r="AD456" s="172"/>
      <c r="AE456" s="172"/>
      <c r="AF456" s="172"/>
      <c r="AG456" s="172"/>
      <c r="AH456" s="172"/>
      <c r="AI456" s="172"/>
      <c r="AJ456" s="172"/>
      <c r="AK456" s="172"/>
      <c r="AL456" s="172"/>
      <c r="AM456" s="172"/>
      <c r="AN456" s="172"/>
      <c r="AO456" s="172"/>
      <c r="AP456" s="172"/>
      <c r="AQ456" s="172"/>
      <c r="AR456" s="172"/>
      <c r="AS456" s="172"/>
      <c r="AT456" s="172"/>
      <c r="AU456" s="172"/>
      <c r="AV456" s="172"/>
      <c r="AW456" s="172"/>
      <c r="AX456" s="172"/>
      <c r="AY456" s="172"/>
      <c r="AZ456" s="172"/>
      <c r="BA456" s="172"/>
      <c r="BB456" s="172"/>
      <c r="BC456" s="172"/>
      <c r="BD456" s="172"/>
      <c r="BE456" s="172"/>
      <c r="BF456" s="172"/>
      <c r="BG456" s="172"/>
      <c r="BH456" s="172">
        <v>8</v>
      </c>
      <c r="BI456" s="172"/>
      <c r="BM456" s="47">
        <v>3</v>
      </c>
      <c r="BN456" s="172">
        <v>3</v>
      </c>
      <c r="BO456" s="47" t="s">
        <v>1360</v>
      </c>
      <c r="BP456" s="47">
        <v>10003603</v>
      </c>
      <c r="BQ456" s="47">
        <v>300</v>
      </c>
    </row>
    <row r="457" spans="1:69" ht="14.5">
      <c r="A457" s="172">
        <v>2340002</v>
      </c>
      <c r="B457" s="172">
        <v>454</v>
      </c>
      <c r="C457" s="172">
        <v>234</v>
      </c>
      <c r="D457" s="172" t="s">
        <v>271</v>
      </c>
      <c r="E457" s="172">
        <v>2</v>
      </c>
      <c r="F457" s="172" t="s">
        <v>274</v>
      </c>
      <c r="G457" s="172"/>
      <c r="H457" s="173"/>
      <c r="I457" s="172" t="s">
        <v>1205</v>
      </c>
      <c r="J457" s="177">
        <v>25</v>
      </c>
      <c r="K457" s="177">
        <v>500</v>
      </c>
      <c r="L457" s="177">
        <v>500</v>
      </c>
      <c r="M457" s="177">
        <v>0</v>
      </c>
      <c r="N457" s="177">
        <v>0</v>
      </c>
      <c r="O457" s="172"/>
      <c r="P457" s="172"/>
      <c r="Q457" s="172" t="s">
        <v>1318</v>
      </c>
      <c r="R457" s="172" t="s">
        <v>1328</v>
      </c>
      <c r="S457" s="172">
        <v>3</v>
      </c>
      <c r="T457" s="172">
        <v>0</v>
      </c>
      <c r="U457" s="172">
        <v>0</v>
      </c>
      <c r="V457" s="172"/>
      <c r="W457" s="172"/>
      <c r="X457" s="172"/>
      <c r="Y457" s="172"/>
      <c r="Z457" s="172">
        <v>3</v>
      </c>
      <c r="AA457" s="172">
        <v>1019</v>
      </c>
      <c r="AB457" s="172">
        <v>600</v>
      </c>
      <c r="AC457" s="172"/>
      <c r="AD457" s="172"/>
      <c r="AE457" s="172"/>
      <c r="AF457" s="172"/>
      <c r="AG457" s="172"/>
      <c r="AH457" s="172"/>
      <c r="AI457" s="172"/>
      <c r="AJ457" s="172"/>
      <c r="AK457" s="172"/>
      <c r="AL457" s="172"/>
      <c r="AM457" s="172"/>
      <c r="AN457" s="172"/>
      <c r="AO457" s="172"/>
      <c r="AP457" s="172"/>
      <c r="AQ457" s="172"/>
      <c r="AR457" s="172"/>
      <c r="AS457" s="172"/>
      <c r="AT457" s="172"/>
      <c r="AU457" s="172"/>
      <c r="AV457" s="172"/>
      <c r="AW457" s="172"/>
      <c r="AX457" s="172"/>
      <c r="AY457" s="172"/>
      <c r="AZ457" s="172"/>
      <c r="BA457" s="172"/>
      <c r="BB457" s="172"/>
      <c r="BC457" s="172"/>
      <c r="BD457" s="172"/>
      <c r="BE457" s="172"/>
      <c r="BF457" s="172"/>
      <c r="BG457" s="172"/>
      <c r="BH457" s="172">
        <v>8</v>
      </c>
      <c r="BI457" s="172"/>
      <c r="BN457" s="172">
        <v>3</v>
      </c>
      <c r="BO457" s="47" t="s">
        <v>1360</v>
      </c>
      <c r="BP457" s="47">
        <v>10003603</v>
      </c>
      <c r="BQ457" s="47">
        <v>300</v>
      </c>
    </row>
    <row r="458" spans="1:69" ht="14.5">
      <c r="A458" s="172">
        <v>2340003</v>
      </c>
      <c r="B458" s="172">
        <v>455</v>
      </c>
      <c r="C458" s="172">
        <v>234</v>
      </c>
      <c r="D458" s="172" t="s">
        <v>271</v>
      </c>
      <c r="E458" s="172">
        <v>3</v>
      </c>
      <c r="F458" s="172" t="s">
        <v>275</v>
      </c>
      <c r="G458" s="172"/>
      <c r="H458" s="173"/>
      <c r="I458" s="172" t="s">
        <v>1205</v>
      </c>
      <c r="J458" s="177">
        <v>36</v>
      </c>
      <c r="K458" s="177">
        <v>1000</v>
      </c>
      <c r="L458" s="177">
        <v>1000</v>
      </c>
      <c r="M458" s="177">
        <v>0</v>
      </c>
      <c r="N458" s="177">
        <v>0</v>
      </c>
      <c r="O458" s="172"/>
      <c r="P458" s="172"/>
      <c r="Q458" s="172" t="s">
        <v>1318</v>
      </c>
      <c r="R458" s="172" t="s">
        <v>1328</v>
      </c>
      <c r="S458" s="172">
        <v>3</v>
      </c>
      <c r="T458" s="172">
        <v>0</v>
      </c>
      <c r="U458" s="172">
        <v>0</v>
      </c>
      <c r="V458" s="172"/>
      <c r="W458" s="172"/>
      <c r="X458" s="172"/>
      <c r="Y458" s="172"/>
      <c r="Z458" s="172">
        <v>7</v>
      </c>
      <c r="AA458" s="172">
        <v>1019</v>
      </c>
      <c r="AB458" s="172">
        <v>800</v>
      </c>
      <c r="AC458" s="172"/>
      <c r="AD458" s="172"/>
      <c r="AE458" s="172"/>
      <c r="AF458" s="172"/>
      <c r="AG458" s="172"/>
      <c r="AH458" s="172"/>
      <c r="AI458" s="172"/>
      <c r="AJ458" s="172"/>
      <c r="AK458" s="172"/>
      <c r="AL458" s="172"/>
      <c r="AM458" s="172"/>
      <c r="AN458" s="172"/>
      <c r="AO458" s="172"/>
      <c r="AP458" s="172"/>
      <c r="AQ458" s="172"/>
      <c r="AR458" s="172"/>
      <c r="AS458" s="172"/>
      <c r="AT458" s="172"/>
      <c r="AU458" s="172"/>
      <c r="AV458" s="172"/>
      <c r="AW458" s="172"/>
      <c r="AX458" s="172"/>
      <c r="AY458" s="172"/>
      <c r="AZ458" s="172"/>
      <c r="BA458" s="172"/>
      <c r="BB458" s="172"/>
      <c r="BC458" s="172"/>
      <c r="BD458" s="172"/>
      <c r="BE458" s="172"/>
      <c r="BF458" s="172"/>
      <c r="BG458" s="172"/>
      <c r="BH458" s="172">
        <v>8</v>
      </c>
      <c r="BI458" s="172"/>
      <c r="BN458" s="172">
        <v>3</v>
      </c>
      <c r="BO458" s="47" t="s">
        <v>1360</v>
      </c>
      <c r="BP458" s="47">
        <v>10003603</v>
      </c>
      <c r="BQ458" s="47">
        <v>300</v>
      </c>
    </row>
    <row r="459" spans="1:69" ht="14.5">
      <c r="A459" s="172">
        <v>2340004</v>
      </c>
      <c r="B459" s="172">
        <v>456</v>
      </c>
      <c r="C459" s="172">
        <v>234</v>
      </c>
      <c r="D459" s="172" t="s">
        <v>271</v>
      </c>
      <c r="E459" s="172">
        <v>4</v>
      </c>
      <c r="F459" s="172" t="s">
        <v>276</v>
      </c>
      <c r="G459" s="172"/>
      <c r="H459" s="173"/>
      <c r="I459" s="172" t="s">
        <v>1205</v>
      </c>
      <c r="J459" s="177">
        <v>72</v>
      </c>
      <c r="K459" s="177">
        <v>2000</v>
      </c>
      <c r="L459" s="177">
        <v>2000</v>
      </c>
      <c r="M459" s="177">
        <v>0</v>
      </c>
      <c r="N459" s="177">
        <v>0</v>
      </c>
      <c r="O459" s="172"/>
      <c r="P459" s="172"/>
      <c r="Q459" s="172" t="s">
        <v>1318</v>
      </c>
      <c r="R459" s="172" t="s">
        <v>1328</v>
      </c>
      <c r="S459" s="172">
        <v>3</v>
      </c>
      <c r="T459" s="172">
        <v>0</v>
      </c>
      <c r="U459" s="172">
        <v>0</v>
      </c>
      <c r="V459" s="172"/>
      <c r="W459" s="172"/>
      <c r="X459" s="172"/>
      <c r="Y459" s="172"/>
      <c r="Z459" s="172">
        <v>15</v>
      </c>
      <c r="AA459" s="172">
        <v>1019</v>
      </c>
      <c r="AB459" s="172">
        <v>1000</v>
      </c>
      <c r="AC459" s="172"/>
      <c r="AD459" s="172"/>
      <c r="AE459" s="172"/>
      <c r="AF459" s="172"/>
      <c r="AG459" s="172"/>
      <c r="AH459" s="172"/>
      <c r="AI459" s="172"/>
      <c r="AJ459" s="172"/>
      <c r="AK459" s="172"/>
      <c r="AL459" s="172"/>
      <c r="AM459" s="172"/>
      <c r="AN459" s="172"/>
      <c r="AO459" s="172"/>
      <c r="AP459" s="172"/>
      <c r="AQ459" s="172"/>
      <c r="AR459" s="172"/>
      <c r="AS459" s="172"/>
      <c r="AT459" s="172"/>
      <c r="AU459" s="172"/>
      <c r="AV459" s="172"/>
      <c r="AW459" s="172"/>
      <c r="AX459" s="172"/>
      <c r="AY459" s="172"/>
      <c r="AZ459" s="172"/>
      <c r="BA459" s="172"/>
      <c r="BB459" s="172"/>
      <c r="BC459" s="172"/>
      <c r="BD459" s="172"/>
      <c r="BE459" s="172"/>
      <c r="BF459" s="172"/>
      <c r="BG459" s="172"/>
      <c r="BH459" s="172">
        <v>8</v>
      </c>
      <c r="BI459" s="172"/>
      <c r="BN459" s="172">
        <v>3</v>
      </c>
      <c r="BO459" s="47" t="s">
        <v>1360</v>
      </c>
      <c r="BP459" s="47">
        <v>10003603</v>
      </c>
      <c r="BQ459" s="47">
        <v>300</v>
      </c>
    </row>
    <row r="460" spans="1:69" ht="14.5">
      <c r="A460" s="172">
        <v>2340005</v>
      </c>
      <c r="B460" s="172">
        <v>457</v>
      </c>
      <c r="C460" s="172">
        <v>234</v>
      </c>
      <c r="D460" s="172" t="s">
        <v>271</v>
      </c>
      <c r="E460" s="172">
        <v>5</v>
      </c>
      <c r="F460" s="172" t="s">
        <v>277</v>
      </c>
      <c r="G460" s="172"/>
      <c r="H460" s="173"/>
      <c r="I460" s="172">
        <v>1</v>
      </c>
      <c r="J460" s="177">
        <v>150</v>
      </c>
      <c r="K460" s="177">
        <v>2600</v>
      </c>
      <c r="L460" s="177">
        <v>2600</v>
      </c>
      <c r="M460" s="177">
        <v>2600</v>
      </c>
      <c r="N460" s="177">
        <v>0</v>
      </c>
      <c r="O460" s="172"/>
      <c r="P460" s="172"/>
      <c r="Q460" s="172" t="s">
        <v>1318</v>
      </c>
      <c r="R460" s="172" t="s">
        <v>1328</v>
      </c>
      <c r="S460" s="172">
        <v>3</v>
      </c>
      <c r="T460" s="172">
        <v>0</v>
      </c>
      <c r="U460" s="172">
        <v>0</v>
      </c>
      <c r="V460" s="172"/>
      <c r="W460" s="172"/>
      <c r="X460" s="172"/>
      <c r="Y460" s="172"/>
      <c r="Z460" s="172">
        <v>30</v>
      </c>
      <c r="AA460" s="172">
        <v>1019</v>
      </c>
      <c r="AB460" s="172">
        <v>1350</v>
      </c>
      <c r="AC460" s="172"/>
      <c r="AD460" s="172"/>
      <c r="AE460" s="172"/>
      <c r="AF460" s="172"/>
      <c r="AG460" s="172"/>
      <c r="AH460" s="172"/>
      <c r="AI460" s="172"/>
      <c r="AJ460" s="172"/>
      <c r="AK460" s="172"/>
      <c r="AL460" s="172"/>
      <c r="AM460" s="172"/>
      <c r="AN460" s="172"/>
      <c r="AO460" s="172"/>
      <c r="AP460" s="172"/>
      <c r="AQ460" s="172"/>
      <c r="AR460" s="172"/>
      <c r="AS460" s="172"/>
      <c r="AT460" s="172"/>
      <c r="AU460" s="172"/>
      <c r="AV460" s="172"/>
      <c r="AW460" s="172"/>
      <c r="AX460" s="172"/>
      <c r="AY460" s="172"/>
      <c r="AZ460" s="172"/>
      <c r="BA460" s="172"/>
      <c r="BB460" s="172"/>
      <c r="BC460" s="172"/>
      <c r="BD460" s="172"/>
      <c r="BE460" s="172"/>
      <c r="BF460" s="172"/>
      <c r="BG460" s="172"/>
      <c r="BH460" s="172">
        <v>8</v>
      </c>
      <c r="BI460" s="172"/>
      <c r="BN460" s="172">
        <v>3</v>
      </c>
      <c r="BO460" s="47" t="s">
        <v>1360</v>
      </c>
      <c r="BP460" s="47">
        <v>10003603</v>
      </c>
      <c r="BQ460" s="47">
        <v>300</v>
      </c>
    </row>
    <row r="461" spans="1:69" ht="14.5">
      <c r="A461" s="172">
        <v>2340006</v>
      </c>
      <c r="B461" s="172">
        <v>458</v>
      </c>
      <c r="C461" s="172">
        <v>234</v>
      </c>
      <c r="D461" s="172" t="s">
        <v>271</v>
      </c>
      <c r="E461" s="172">
        <v>6</v>
      </c>
      <c r="F461" s="172" t="s">
        <v>278</v>
      </c>
      <c r="G461" s="172"/>
      <c r="H461" s="173"/>
      <c r="I461" s="172">
        <v>1</v>
      </c>
      <c r="J461" s="177">
        <v>270</v>
      </c>
      <c r="K461" s="177">
        <v>4800</v>
      </c>
      <c r="L461" s="177">
        <v>4800</v>
      </c>
      <c r="M461" s="177">
        <v>4800</v>
      </c>
      <c r="N461" s="177">
        <v>0</v>
      </c>
      <c r="O461" s="172"/>
      <c r="P461" s="172"/>
      <c r="Q461" s="172" t="s">
        <v>1318</v>
      </c>
      <c r="R461" s="172" t="s">
        <v>1328</v>
      </c>
      <c r="S461" s="172">
        <v>3</v>
      </c>
      <c r="T461" s="172">
        <v>0</v>
      </c>
      <c r="U461" s="172">
        <v>0</v>
      </c>
      <c r="V461" s="172"/>
      <c r="W461" s="172"/>
      <c r="X461" s="172"/>
      <c r="Y461" s="172"/>
      <c r="Z461" s="172">
        <v>59</v>
      </c>
      <c r="AA461" s="172">
        <v>1019</v>
      </c>
      <c r="AB461" s="172">
        <v>1700</v>
      </c>
      <c r="AC461" s="172"/>
      <c r="AD461" s="172"/>
      <c r="AE461" s="172"/>
      <c r="AF461" s="172"/>
      <c r="AG461" s="172"/>
      <c r="AH461" s="172"/>
      <c r="AI461" s="172"/>
      <c r="AJ461" s="172"/>
      <c r="AK461" s="172"/>
      <c r="AL461" s="172"/>
      <c r="AM461" s="172"/>
      <c r="AN461" s="172"/>
      <c r="AO461" s="172"/>
      <c r="AP461" s="172"/>
      <c r="AQ461" s="172"/>
      <c r="AR461" s="172"/>
      <c r="AS461" s="172"/>
      <c r="AT461" s="172"/>
      <c r="AU461" s="172"/>
      <c r="AV461" s="172"/>
      <c r="AW461" s="172"/>
      <c r="AX461" s="172"/>
      <c r="AY461" s="172"/>
      <c r="AZ461" s="172"/>
      <c r="BA461" s="172"/>
      <c r="BB461" s="172"/>
      <c r="BC461" s="172"/>
      <c r="BD461" s="172"/>
      <c r="BE461" s="172"/>
      <c r="BF461" s="172"/>
      <c r="BG461" s="172"/>
      <c r="BH461" s="172">
        <v>8</v>
      </c>
      <c r="BI461" s="172"/>
      <c r="BN461" s="172">
        <v>3</v>
      </c>
      <c r="BO461" s="47" t="s">
        <v>1360</v>
      </c>
      <c r="BP461" s="47">
        <v>10003603</v>
      </c>
      <c r="BQ461" s="47">
        <v>300</v>
      </c>
    </row>
    <row r="462" spans="1:69" ht="14.5">
      <c r="A462" s="172">
        <v>2340007</v>
      </c>
      <c r="B462" s="172">
        <v>459</v>
      </c>
      <c r="C462" s="172">
        <v>234</v>
      </c>
      <c r="D462" s="172" t="s">
        <v>271</v>
      </c>
      <c r="E462" s="172">
        <v>7</v>
      </c>
      <c r="F462" s="172" t="s">
        <v>279</v>
      </c>
      <c r="G462" s="172"/>
      <c r="H462" s="173"/>
      <c r="I462" s="172">
        <v>1</v>
      </c>
      <c r="J462" s="177">
        <v>450</v>
      </c>
      <c r="K462" s="177">
        <v>8600</v>
      </c>
      <c r="L462" s="177">
        <v>8600</v>
      </c>
      <c r="M462" s="177">
        <v>8600</v>
      </c>
      <c r="N462" s="177">
        <v>0</v>
      </c>
      <c r="O462" s="172"/>
      <c r="P462" s="172"/>
      <c r="Q462" s="172" t="s">
        <v>1318</v>
      </c>
      <c r="R462" s="172" t="s">
        <v>1328</v>
      </c>
      <c r="S462" s="172">
        <v>3</v>
      </c>
      <c r="T462" s="172">
        <v>0</v>
      </c>
      <c r="U462" s="172">
        <v>0</v>
      </c>
      <c r="V462" s="172"/>
      <c r="W462" s="172"/>
      <c r="X462" s="172"/>
      <c r="Y462" s="172"/>
      <c r="Z462" s="172">
        <v>110</v>
      </c>
      <c r="AA462" s="172">
        <v>1019</v>
      </c>
      <c r="AB462" s="172">
        <v>2050</v>
      </c>
      <c r="AC462" s="172"/>
      <c r="AD462" s="172"/>
      <c r="AE462" s="172"/>
      <c r="AF462" s="172"/>
      <c r="AG462" s="172"/>
      <c r="AH462" s="172"/>
      <c r="AI462" s="172"/>
      <c r="AJ462" s="172"/>
      <c r="AK462" s="172"/>
      <c r="AL462" s="172"/>
      <c r="AM462" s="172"/>
      <c r="AN462" s="172"/>
      <c r="AO462" s="172"/>
      <c r="AP462" s="172"/>
      <c r="AQ462" s="172"/>
      <c r="AR462" s="172"/>
      <c r="AS462" s="172"/>
      <c r="AT462" s="172"/>
      <c r="AU462" s="172"/>
      <c r="AV462" s="172"/>
      <c r="AW462" s="172"/>
      <c r="AX462" s="172"/>
      <c r="AY462" s="172"/>
      <c r="AZ462" s="172"/>
      <c r="BA462" s="172"/>
      <c r="BB462" s="172"/>
      <c r="BC462" s="172"/>
      <c r="BD462" s="172"/>
      <c r="BE462" s="172"/>
      <c r="BF462" s="172"/>
      <c r="BG462" s="172"/>
      <c r="BH462" s="172">
        <v>8</v>
      </c>
      <c r="BI462" s="172">
        <v>299</v>
      </c>
      <c r="BN462" s="172">
        <v>3</v>
      </c>
      <c r="BO462" s="47" t="s">
        <v>1360</v>
      </c>
      <c r="BP462" s="47">
        <v>10003603</v>
      </c>
      <c r="BQ462" s="47">
        <v>300</v>
      </c>
    </row>
    <row r="463" spans="1:69" ht="14.5">
      <c r="A463" s="172">
        <v>2340008</v>
      </c>
      <c r="B463" s="172">
        <v>460</v>
      </c>
      <c r="C463" s="172">
        <v>234</v>
      </c>
      <c r="D463" s="172" t="s">
        <v>271</v>
      </c>
      <c r="E463" s="172">
        <v>8</v>
      </c>
      <c r="F463" s="172" t="s">
        <v>280</v>
      </c>
      <c r="G463" s="172"/>
      <c r="H463" s="173"/>
      <c r="I463" s="172">
        <v>1</v>
      </c>
      <c r="J463" s="177">
        <v>720</v>
      </c>
      <c r="K463" s="177">
        <v>15000</v>
      </c>
      <c r="L463" s="177">
        <v>15000</v>
      </c>
      <c r="M463" s="177">
        <v>15000</v>
      </c>
      <c r="N463" s="177">
        <v>0</v>
      </c>
      <c r="O463" s="172"/>
      <c r="P463" s="172"/>
      <c r="Q463" s="172" t="s">
        <v>1318</v>
      </c>
      <c r="R463" s="172" t="s">
        <v>1328</v>
      </c>
      <c r="S463" s="172">
        <v>3</v>
      </c>
      <c r="T463" s="172">
        <v>0</v>
      </c>
      <c r="U463" s="172">
        <v>0</v>
      </c>
      <c r="V463" s="172"/>
      <c r="W463" s="172"/>
      <c r="X463" s="172"/>
      <c r="Y463" s="172"/>
      <c r="Z463" s="172">
        <v>198</v>
      </c>
      <c r="AA463" s="172">
        <v>1019</v>
      </c>
      <c r="AB463" s="172">
        <v>2400</v>
      </c>
      <c r="AC463" s="172"/>
      <c r="AD463" s="172"/>
      <c r="AE463" s="172"/>
      <c r="AF463" s="172"/>
      <c r="AG463" s="172"/>
      <c r="AH463" s="172"/>
      <c r="AI463" s="172"/>
      <c r="AJ463" s="172"/>
      <c r="AK463" s="172"/>
      <c r="AL463" s="172"/>
      <c r="AM463" s="172"/>
      <c r="AN463" s="172"/>
      <c r="AO463" s="172"/>
      <c r="AP463" s="172"/>
      <c r="AQ463" s="172"/>
      <c r="AR463" s="172"/>
      <c r="AS463" s="172"/>
      <c r="AT463" s="172"/>
      <c r="AU463" s="172"/>
      <c r="AV463" s="172"/>
      <c r="AW463" s="172"/>
      <c r="AX463" s="172"/>
      <c r="AY463" s="172"/>
      <c r="AZ463" s="172"/>
      <c r="BA463" s="172"/>
      <c r="BB463" s="172"/>
      <c r="BC463" s="172"/>
      <c r="BD463" s="172"/>
      <c r="BE463" s="172"/>
      <c r="BF463" s="172"/>
      <c r="BG463" s="172"/>
      <c r="BH463" s="172">
        <v>8</v>
      </c>
      <c r="BI463" s="172">
        <v>299</v>
      </c>
      <c r="BN463" s="172">
        <v>3</v>
      </c>
      <c r="BO463" s="47" t="s">
        <v>1360</v>
      </c>
      <c r="BP463" s="47">
        <v>10003603</v>
      </c>
      <c r="BQ463" s="47">
        <v>300</v>
      </c>
    </row>
    <row r="464" spans="1:69" ht="14.5">
      <c r="A464" s="172">
        <v>2340009</v>
      </c>
      <c r="B464" s="172">
        <v>461</v>
      </c>
      <c r="C464" s="172">
        <v>234</v>
      </c>
      <c r="D464" s="172" t="s">
        <v>271</v>
      </c>
      <c r="E464" s="172">
        <v>9</v>
      </c>
      <c r="F464" s="172" t="s">
        <v>281</v>
      </c>
      <c r="G464" s="172"/>
      <c r="H464" s="173"/>
      <c r="I464" s="172">
        <v>1</v>
      </c>
      <c r="J464" s="177">
        <v>1440</v>
      </c>
      <c r="K464" s="177">
        <v>24000</v>
      </c>
      <c r="L464" s="177">
        <v>24000</v>
      </c>
      <c r="M464" s="177">
        <v>24000</v>
      </c>
      <c r="N464" s="177">
        <v>0</v>
      </c>
      <c r="O464" s="172"/>
      <c r="P464" s="172"/>
      <c r="Q464" s="172" t="s">
        <v>1318</v>
      </c>
      <c r="R464" s="172" t="s">
        <v>1328</v>
      </c>
      <c r="S464" s="172">
        <v>3</v>
      </c>
      <c r="T464" s="172">
        <v>0</v>
      </c>
      <c r="U464" s="172">
        <v>0</v>
      </c>
      <c r="V464" s="172"/>
      <c r="W464" s="172"/>
      <c r="X464" s="172"/>
      <c r="Y464" s="172"/>
      <c r="Z464" s="172">
        <v>344</v>
      </c>
      <c r="AA464" s="172">
        <v>1019</v>
      </c>
      <c r="AB464" s="172">
        <v>2750</v>
      </c>
      <c r="AC464" s="172"/>
      <c r="AD464" s="172"/>
      <c r="AE464" s="172"/>
      <c r="AF464" s="172"/>
      <c r="AG464" s="172"/>
      <c r="AH464" s="172"/>
      <c r="AI464" s="172"/>
      <c r="AJ464" s="172"/>
      <c r="AK464" s="172"/>
      <c r="AL464" s="172"/>
      <c r="AM464" s="172"/>
      <c r="AN464" s="172"/>
      <c r="AO464" s="172"/>
      <c r="AP464" s="172"/>
      <c r="AQ464" s="172"/>
      <c r="AR464" s="172"/>
      <c r="AS464" s="172"/>
      <c r="AT464" s="172"/>
      <c r="AU464" s="172"/>
      <c r="AV464" s="172"/>
      <c r="AW464" s="172"/>
      <c r="AX464" s="172"/>
      <c r="AY464" s="172"/>
      <c r="AZ464" s="172"/>
      <c r="BA464" s="172"/>
      <c r="BB464" s="172"/>
      <c r="BC464" s="172"/>
      <c r="BD464" s="172"/>
      <c r="BE464" s="172"/>
      <c r="BF464" s="172"/>
      <c r="BG464" s="172"/>
      <c r="BH464" s="172">
        <v>8</v>
      </c>
      <c r="BI464" s="172">
        <v>299</v>
      </c>
      <c r="BN464" s="172">
        <v>3</v>
      </c>
      <c r="BO464" s="47" t="s">
        <v>1360</v>
      </c>
      <c r="BP464" s="47">
        <v>10003603</v>
      </c>
      <c r="BQ464" s="47">
        <v>300</v>
      </c>
    </row>
    <row r="465" spans="1:69" ht="14.5">
      <c r="A465" s="172">
        <v>2340010</v>
      </c>
      <c r="B465" s="172">
        <v>462</v>
      </c>
      <c r="C465" s="172">
        <v>234</v>
      </c>
      <c r="D465" s="172" t="s">
        <v>271</v>
      </c>
      <c r="E465" s="172">
        <v>10</v>
      </c>
      <c r="F465" s="172" t="s">
        <v>282</v>
      </c>
      <c r="G465" s="172"/>
      <c r="H465" s="173"/>
      <c r="I465" s="172">
        <v>1</v>
      </c>
      <c r="J465" s="177">
        <v>2160</v>
      </c>
      <c r="K465" s="177">
        <v>38000</v>
      </c>
      <c r="L465" s="177">
        <v>38000</v>
      </c>
      <c r="M465" s="177">
        <v>38000</v>
      </c>
      <c r="N465" s="177">
        <v>0</v>
      </c>
      <c r="O465" s="172"/>
      <c r="P465" s="172"/>
      <c r="Q465" s="172" t="s">
        <v>1318</v>
      </c>
      <c r="R465" s="172" t="s">
        <v>1328</v>
      </c>
      <c r="S465" s="172">
        <v>3</v>
      </c>
      <c r="T465" s="172">
        <v>0</v>
      </c>
      <c r="U465" s="172">
        <v>0</v>
      </c>
      <c r="V465" s="172"/>
      <c r="W465" s="172"/>
      <c r="X465" s="172"/>
      <c r="Y465" s="172"/>
      <c r="Z465" s="172">
        <v>575</v>
      </c>
      <c r="AA465" s="172">
        <v>1019</v>
      </c>
      <c r="AB465" s="172">
        <v>3100</v>
      </c>
      <c r="AC465" s="172"/>
      <c r="AD465" s="172"/>
      <c r="AE465" s="172"/>
      <c r="AF465" s="172"/>
      <c r="AG465" s="172"/>
      <c r="AH465" s="172"/>
      <c r="AI465" s="172"/>
      <c r="AJ465" s="172"/>
      <c r="AK465" s="172"/>
      <c r="AL465" s="172"/>
      <c r="AM465" s="172"/>
      <c r="AN465" s="172"/>
      <c r="AO465" s="172"/>
      <c r="AP465" s="172"/>
      <c r="AQ465" s="172"/>
      <c r="AR465" s="172"/>
      <c r="AS465" s="172"/>
      <c r="AT465" s="172"/>
      <c r="AU465" s="172"/>
      <c r="AV465" s="172"/>
      <c r="AW465" s="172"/>
      <c r="AX465" s="172"/>
      <c r="AY465" s="172"/>
      <c r="AZ465" s="172"/>
      <c r="BA465" s="172"/>
      <c r="BB465" s="172"/>
      <c r="BC465" s="172"/>
      <c r="BD465" s="172"/>
      <c r="BE465" s="172"/>
      <c r="BF465" s="172"/>
      <c r="BG465" s="172"/>
      <c r="BH465" s="172">
        <v>8</v>
      </c>
      <c r="BI465" s="172"/>
      <c r="BN465" s="172">
        <v>4</v>
      </c>
      <c r="BO465" s="47" t="s">
        <v>1360</v>
      </c>
      <c r="BP465" s="47">
        <v>10003603</v>
      </c>
      <c r="BQ465" s="47">
        <v>300</v>
      </c>
    </row>
    <row r="466" spans="1:69" ht="14.5">
      <c r="A466" s="172">
        <v>2340011</v>
      </c>
      <c r="B466" s="172">
        <v>463</v>
      </c>
      <c r="C466" s="172">
        <v>234</v>
      </c>
      <c r="D466" s="172" t="s">
        <v>271</v>
      </c>
      <c r="E466" s="172">
        <v>11</v>
      </c>
      <c r="F466" s="172" t="s">
        <v>283</v>
      </c>
      <c r="G466" s="172"/>
      <c r="H466" s="173"/>
      <c r="I466" s="172">
        <v>1</v>
      </c>
      <c r="J466" s="177">
        <v>3240</v>
      </c>
      <c r="K466" s="177">
        <v>58000</v>
      </c>
      <c r="L466" s="177">
        <v>58000</v>
      </c>
      <c r="M466" s="177">
        <v>58000</v>
      </c>
      <c r="N466" s="177">
        <v>0</v>
      </c>
      <c r="O466" s="172"/>
      <c r="P466" s="172"/>
      <c r="Q466" s="172" t="s">
        <v>1318</v>
      </c>
      <c r="R466" s="172" t="s">
        <v>1329</v>
      </c>
      <c r="S466" s="172">
        <v>3</v>
      </c>
      <c r="T466" s="172">
        <v>0</v>
      </c>
      <c r="U466" s="172">
        <v>0</v>
      </c>
      <c r="V466" s="172"/>
      <c r="W466" s="172"/>
      <c r="X466" s="172"/>
      <c r="Y466" s="172"/>
      <c r="Z466" s="172">
        <v>923</v>
      </c>
      <c r="AA466" s="172">
        <v>1019</v>
      </c>
      <c r="AB466" s="172">
        <v>3600</v>
      </c>
      <c r="AC466" s="172"/>
      <c r="AD466" s="172"/>
      <c r="AE466" s="172"/>
      <c r="AF466" s="172"/>
      <c r="AG466" s="172"/>
      <c r="AH466" s="172"/>
      <c r="AI466" s="172"/>
      <c r="AJ466" s="172"/>
      <c r="AK466" s="172"/>
      <c r="AL466" s="172"/>
      <c r="AM466" s="172"/>
      <c r="AN466" s="172"/>
      <c r="AO466" s="172"/>
      <c r="AP466" s="172"/>
      <c r="AQ466" s="172"/>
      <c r="AR466" s="172"/>
      <c r="AS466" s="172"/>
      <c r="AT466" s="172"/>
      <c r="AU466" s="172"/>
      <c r="AV466" s="172"/>
      <c r="AW466" s="172"/>
      <c r="AX466" s="172"/>
      <c r="AY466" s="172"/>
      <c r="AZ466" s="172"/>
      <c r="BA466" s="172"/>
      <c r="BB466" s="172"/>
      <c r="BC466" s="172"/>
      <c r="BD466" s="172"/>
      <c r="BE466" s="172"/>
      <c r="BF466" s="172"/>
      <c r="BG466" s="172"/>
      <c r="BH466" s="172">
        <v>8</v>
      </c>
      <c r="BI466" s="172"/>
      <c r="BN466" s="172">
        <v>4</v>
      </c>
      <c r="BO466" s="47" t="s">
        <v>1360</v>
      </c>
      <c r="BP466" s="47">
        <v>10003603</v>
      </c>
      <c r="BQ466" s="47">
        <v>300</v>
      </c>
    </row>
    <row r="467" spans="1:69" ht="14.5">
      <c r="A467" s="172">
        <v>2340012</v>
      </c>
      <c r="B467" s="172">
        <v>464</v>
      </c>
      <c r="C467" s="172">
        <v>234</v>
      </c>
      <c r="D467" s="172" t="s">
        <v>271</v>
      </c>
      <c r="E467" s="172">
        <v>12</v>
      </c>
      <c r="F467" s="172" t="s">
        <v>284</v>
      </c>
      <c r="G467" s="172"/>
      <c r="H467" s="173"/>
      <c r="I467" s="172">
        <v>2</v>
      </c>
      <c r="J467" s="177">
        <v>4320</v>
      </c>
      <c r="K467" s="177">
        <v>84000</v>
      </c>
      <c r="L467" s="177">
        <v>84000</v>
      </c>
      <c r="M467" s="177">
        <v>84000</v>
      </c>
      <c r="N467" s="177">
        <v>0</v>
      </c>
      <c r="O467" s="172"/>
      <c r="P467" s="172"/>
      <c r="Q467" s="172" t="s">
        <v>1318</v>
      </c>
      <c r="R467" s="172" t="s">
        <v>1330</v>
      </c>
      <c r="S467" s="172">
        <v>3</v>
      </c>
      <c r="T467" s="172">
        <v>0</v>
      </c>
      <c r="U467" s="172">
        <v>0</v>
      </c>
      <c r="V467" s="172"/>
      <c r="W467" s="172"/>
      <c r="X467" s="172"/>
      <c r="Y467" s="172"/>
      <c r="Z467" s="172">
        <v>1424</v>
      </c>
      <c r="AA467" s="172">
        <v>1019</v>
      </c>
      <c r="AB467" s="172">
        <v>4100</v>
      </c>
      <c r="AC467" s="172"/>
      <c r="AD467" s="172"/>
      <c r="AE467" s="172"/>
      <c r="AF467" s="172"/>
      <c r="AG467" s="172"/>
      <c r="AH467" s="172"/>
      <c r="AI467" s="172"/>
      <c r="AJ467" s="172"/>
      <c r="AK467" s="172"/>
      <c r="AL467" s="172"/>
      <c r="AM467" s="172"/>
      <c r="AN467" s="172"/>
      <c r="AO467" s="172"/>
      <c r="AP467" s="172"/>
      <c r="AQ467" s="172"/>
      <c r="AR467" s="172"/>
      <c r="AS467" s="172"/>
      <c r="AT467" s="172"/>
      <c r="AU467" s="172"/>
      <c r="AV467" s="172"/>
      <c r="AW467" s="172"/>
      <c r="AX467" s="172"/>
      <c r="AY467" s="172"/>
      <c r="AZ467" s="172"/>
      <c r="BA467" s="172"/>
      <c r="BB467" s="172"/>
      <c r="BC467" s="172"/>
      <c r="BD467" s="172"/>
      <c r="BE467" s="172"/>
      <c r="BF467" s="172"/>
      <c r="BG467" s="172"/>
      <c r="BH467" s="172">
        <v>8</v>
      </c>
      <c r="BI467" s="172"/>
      <c r="BN467" s="172">
        <v>4</v>
      </c>
      <c r="BO467" s="47" t="s">
        <v>1360</v>
      </c>
      <c r="BP467" s="47">
        <v>10003603</v>
      </c>
      <c r="BQ467" s="47">
        <v>300</v>
      </c>
    </row>
    <row r="468" spans="1:69" ht="14.5">
      <c r="A468" s="172">
        <v>2340013</v>
      </c>
      <c r="B468" s="172">
        <v>465</v>
      </c>
      <c r="C468" s="172">
        <v>234</v>
      </c>
      <c r="D468" s="172" t="s">
        <v>271</v>
      </c>
      <c r="E468" s="172">
        <v>13</v>
      </c>
      <c r="F468" s="172" t="s">
        <v>285</v>
      </c>
      <c r="G468" s="172"/>
      <c r="H468" s="173"/>
      <c r="I468" s="172">
        <v>2</v>
      </c>
      <c r="J468" s="177">
        <v>5760</v>
      </c>
      <c r="K468" s="177">
        <v>110000</v>
      </c>
      <c r="L468" s="177">
        <v>110000</v>
      </c>
      <c r="M468" s="177">
        <v>110000</v>
      </c>
      <c r="N468" s="177">
        <v>0</v>
      </c>
      <c r="O468" s="172"/>
      <c r="P468" s="172"/>
      <c r="Q468" s="172" t="s">
        <v>1318</v>
      </c>
      <c r="R468" s="172" t="s">
        <v>1331</v>
      </c>
      <c r="S468" s="172">
        <v>3</v>
      </c>
      <c r="T468" s="172">
        <v>0</v>
      </c>
      <c r="U468" s="172">
        <v>0</v>
      </c>
      <c r="V468" s="172"/>
      <c r="W468" s="172"/>
      <c r="X468" s="172"/>
      <c r="Y468" s="172"/>
      <c r="Z468" s="172">
        <v>2111</v>
      </c>
      <c r="AA468" s="172">
        <v>1019</v>
      </c>
      <c r="AB468" s="172">
        <v>4600</v>
      </c>
      <c r="AC468" s="172"/>
      <c r="AD468" s="172"/>
      <c r="AE468" s="172"/>
      <c r="AF468" s="172"/>
      <c r="AG468" s="172"/>
      <c r="AH468" s="172"/>
      <c r="AI468" s="172"/>
      <c r="AJ468" s="172"/>
      <c r="AK468" s="172"/>
      <c r="AL468" s="172"/>
      <c r="AM468" s="172"/>
      <c r="AN468" s="172"/>
      <c r="AO468" s="172"/>
      <c r="AP468" s="172"/>
      <c r="AQ468" s="172"/>
      <c r="AR468" s="172"/>
      <c r="AS468" s="172"/>
      <c r="AT468" s="172"/>
      <c r="AU468" s="172"/>
      <c r="AV468" s="172"/>
      <c r="AW468" s="172"/>
      <c r="AX468" s="172"/>
      <c r="AY468" s="172"/>
      <c r="AZ468" s="172"/>
      <c r="BA468" s="172"/>
      <c r="BB468" s="172"/>
      <c r="BC468" s="172"/>
      <c r="BD468" s="172"/>
      <c r="BE468" s="172"/>
      <c r="BF468" s="172"/>
      <c r="BG468" s="172"/>
      <c r="BH468" s="172">
        <v>8</v>
      </c>
      <c r="BI468" s="172"/>
      <c r="BN468" s="172">
        <v>4</v>
      </c>
      <c r="BO468" s="47" t="s">
        <v>1360</v>
      </c>
      <c r="BP468" s="47">
        <v>10003603</v>
      </c>
      <c r="BQ468" s="47">
        <v>300</v>
      </c>
    </row>
    <row r="469" spans="1:69" ht="14.5">
      <c r="A469" s="172">
        <v>2340014</v>
      </c>
      <c r="B469" s="172">
        <v>466</v>
      </c>
      <c r="C469" s="172">
        <v>234</v>
      </c>
      <c r="D469" s="172" t="s">
        <v>271</v>
      </c>
      <c r="E469" s="172">
        <v>14</v>
      </c>
      <c r="F469" s="172" t="s">
        <v>286</v>
      </c>
      <c r="G469" s="172"/>
      <c r="H469" s="173"/>
      <c r="I469" s="172">
        <v>2</v>
      </c>
      <c r="J469" s="177">
        <v>7200</v>
      </c>
      <c r="K469" s="177">
        <v>150000</v>
      </c>
      <c r="L469" s="177">
        <v>150000</v>
      </c>
      <c r="M469" s="177">
        <v>150000</v>
      </c>
      <c r="N469" s="177">
        <v>0</v>
      </c>
      <c r="O469" s="172"/>
      <c r="P469" s="172"/>
      <c r="Q469" s="172" t="s">
        <v>1318</v>
      </c>
      <c r="R469" s="172" t="s">
        <v>1332</v>
      </c>
      <c r="S469" s="172">
        <v>3</v>
      </c>
      <c r="T469" s="172">
        <v>0</v>
      </c>
      <c r="U469" s="172">
        <v>0</v>
      </c>
      <c r="V469" s="172"/>
      <c r="W469" s="172"/>
      <c r="X469" s="172"/>
      <c r="Y469" s="172"/>
      <c r="Z469" s="172">
        <v>3003</v>
      </c>
      <c r="AA469" s="172">
        <v>1019</v>
      </c>
      <c r="AB469" s="172">
        <v>5100</v>
      </c>
      <c r="AC469" s="172"/>
      <c r="AD469" s="172"/>
      <c r="AE469" s="172"/>
      <c r="AF469" s="172"/>
      <c r="AG469" s="172"/>
      <c r="AH469" s="172"/>
      <c r="AI469" s="172"/>
      <c r="AJ469" s="172"/>
      <c r="AK469" s="172"/>
      <c r="AL469" s="172"/>
      <c r="AM469" s="172"/>
      <c r="AN469" s="172"/>
      <c r="AO469" s="172"/>
      <c r="AP469" s="172"/>
      <c r="AQ469" s="172"/>
      <c r="AR469" s="172"/>
      <c r="AS469" s="172"/>
      <c r="AT469" s="172"/>
      <c r="AU469" s="172"/>
      <c r="AV469" s="172"/>
      <c r="AW469" s="172"/>
      <c r="AX469" s="172"/>
      <c r="AY469" s="172"/>
      <c r="AZ469" s="172"/>
      <c r="BA469" s="172"/>
      <c r="BB469" s="172"/>
      <c r="BC469" s="172"/>
      <c r="BD469" s="172"/>
      <c r="BE469" s="172"/>
      <c r="BF469" s="172"/>
      <c r="BG469" s="172"/>
      <c r="BH469" s="172">
        <v>8</v>
      </c>
      <c r="BI469" s="172"/>
      <c r="BN469" s="172">
        <v>4</v>
      </c>
      <c r="BO469" s="47" t="s">
        <v>1360</v>
      </c>
      <c r="BP469" s="47">
        <v>10003603</v>
      </c>
      <c r="BQ469" s="47">
        <v>300</v>
      </c>
    </row>
    <row r="470" spans="1:69" ht="14.5">
      <c r="A470" s="172">
        <v>2340015</v>
      </c>
      <c r="B470" s="172">
        <v>467</v>
      </c>
      <c r="C470" s="172">
        <v>234</v>
      </c>
      <c r="D470" s="172" t="s">
        <v>271</v>
      </c>
      <c r="E470" s="172">
        <v>15</v>
      </c>
      <c r="F470" s="172" t="s">
        <v>287</v>
      </c>
      <c r="G470" s="172"/>
      <c r="H470" s="173"/>
      <c r="I470" s="172">
        <v>2</v>
      </c>
      <c r="J470" s="177">
        <v>8640</v>
      </c>
      <c r="K470" s="177">
        <v>190000</v>
      </c>
      <c r="L470" s="177">
        <v>190000</v>
      </c>
      <c r="M470" s="177">
        <v>190000</v>
      </c>
      <c r="N470" s="177">
        <v>0</v>
      </c>
      <c r="O470" s="172"/>
      <c r="P470" s="172"/>
      <c r="Q470" s="172" t="s">
        <v>1318</v>
      </c>
      <c r="R470" s="172" t="s">
        <v>1333</v>
      </c>
      <c r="S470" s="172">
        <v>3</v>
      </c>
      <c r="T470" s="172">
        <v>0</v>
      </c>
      <c r="U470" s="172">
        <v>0</v>
      </c>
      <c r="V470" s="172"/>
      <c r="W470" s="172"/>
      <c r="X470" s="172"/>
      <c r="Y470" s="172"/>
      <c r="Z470" s="172">
        <v>4146</v>
      </c>
      <c r="AA470" s="172">
        <v>1019</v>
      </c>
      <c r="AB470" s="172">
        <v>5600</v>
      </c>
      <c r="AC470" s="172"/>
      <c r="AD470" s="172"/>
      <c r="AE470" s="172"/>
      <c r="AF470" s="172"/>
      <c r="AG470" s="172"/>
      <c r="AH470" s="172"/>
      <c r="AI470" s="172"/>
      <c r="AJ470" s="172"/>
      <c r="AK470" s="172"/>
      <c r="AL470" s="172"/>
      <c r="AM470" s="172"/>
      <c r="AN470" s="172"/>
      <c r="AO470" s="172"/>
      <c r="AP470" s="172"/>
      <c r="AQ470" s="172"/>
      <c r="AR470" s="172"/>
      <c r="AS470" s="172"/>
      <c r="AT470" s="172"/>
      <c r="AU470" s="172"/>
      <c r="AV470" s="172"/>
      <c r="AW470" s="172"/>
      <c r="AX470" s="172"/>
      <c r="AY470" s="172"/>
      <c r="AZ470" s="172"/>
      <c r="BA470" s="172"/>
      <c r="BB470" s="172"/>
      <c r="BC470" s="172"/>
      <c r="BD470" s="172"/>
      <c r="BE470" s="172"/>
      <c r="BF470" s="172"/>
      <c r="BG470" s="172"/>
      <c r="BH470" s="172">
        <v>8</v>
      </c>
      <c r="BI470" s="172"/>
      <c r="BN470" s="172">
        <v>4</v>
      </c>
      <c r="BO470" s="47" t="s">
        <v>1360</v>
      </c>
      <c r="BP470" s="47">
        <v>10003603</v>
      </c>
      <c r="BQ470" s="47">
        <v>300</v>
      </c>
    </row>
    <row r="471" spans="1:69" ht="14.5">
      <c r="A471" s="172">
        <v>2340016</v>
      </c>
      <c r="B471" s="172">
        <v>468</v>
      </c>
      <c r="C471" s="172">
        <v>234</v>
      </c>
      <c r="D471" s="172" t="s">
        <v>271</v>
      </c>
      <c r="E471" s="172">
        <v>16</v>
      </c>
      <c r="F471" s="172" t="s">
        <v>288</v>
      </c>
      <c r="G471" s="172"/>
      <c r="H471" s="173"/>
      <c r="I471" s="172">
        <v>2</v>
      </c>
      <c r="J471" s="177">
        <v>10800</v>
      </c>
      <c r="K471" s="177">
        <v>240000</v>
      </c>
      <c r="L471" s="177">
        <v>240000</v>
      </c>
      <c r="M471" s="177">
        <v>240000</v>
      </c>
      <c r="N471" s="177">
        <v>0</v>
      </c>
      <c r="O471" s="172"/>
      <c r="P471" s="172"/>
      <c r="Q471" s="172" t="s">
        <v>1318</v>
      </c>
      <c r="R471" s="172" t="s">
        <v>1334</v>
      </c>
      <c r="S471" s="172">
        <v>3</v>
      </c>
      <c r="T471" s="172">
        <v>0</v>
      </c>
      <c r="U471" s="172">
        <v>0</v>
      </c>
      <c r="V471" s="172"/>
      <c r="W471" s="172"/>
      <c r="X471" s="172"/>
      <c r="Y471" s="172"/>
      <c r="Z471" s="172">
        <v>5609</v>
      </c>
      <c r="AA471" s="172">
        <v>1019</v>
      </c>
      <c r="AB471" s="172">
        <v>6250</v>
      </c>
      <c r="AC471" s="172"/>
      <c r="AD471" s="172"/>
      <c r="AE471" s="172"/>
      <c r="AF471" s="172"/>
      <c r="AG471" s="172"/>
      <c r="AH471" s="172"/>
      <c r="AI471" s="172"/>
      <c r="AJ471" s="172"/>
      <c r="AK471" s="172"/>
      <c r="AL471" s="172"/>
      <c r="AM471" s="172"/>
      <c r="AN471" s="172"/>
      <c r="AO471" s="172"/>
      <c r="AP471" s="172"/>
      <c r="AQ471" s="172"/>
      <c r="AR471" s="172"/>
      <c r="AS471" s="172"/>
      <c r="AT471" s="172"/>
      <c r="AU471" s="172"/>
      <c r="AV471" s="172"/>
      <c r="AW471" s="172"/>
      <c r="AX471" s="172"/>
      <c r="AY471" s="172"/>
      <c r="AZ471" s="172"/>
      <c r="BA471" s="172"/>
      <c r="BB471" s="172"/>
      <c r="BC471" s="172"/>
      <c r="BD471" s="172"/>
      <c r="BE471" s="172"/>
      <c r="BF471" s="172"/>
      <c r="BG471" s="172"/>
      <c r="BH471" s="172">
        <v>8</v>
      </c>
      <c r="BI471" s="172"/>
      <c r="BN471" s="172">
        <v>4</v>
      </c>
      <c r="BO471" s="47" t="s">
        <v>1360</v>
      </c>
      <c r="BP471" s="47">
        <v>10003603</v>
      </c>
      <c r="BQ471" s="47">
        <v>300</v>
      </c>
    </row>
    <row r="472" spans="1:69" ht="14.5">
      <c r="A472" s="172">
        <v>2340017</v>
      </c>
      <c r="B472" s="172">
        <v>469</v>
      </c>
      <c r="C472" s="172">
        <v>234</v>
      </c>
      <c r="D472" s="172" t="s">
        <v>271</v>
      </c>
      <c r="E472" s="172">
        <v>17</v>
      </c>
      <c r="F472" s="172" t="s">
        <v>289</v>
      </c>
      <c r="G472" s="172"/>
      <c r="H472" s="173"/>
      <c r="I472" s="172">
        <v>2</v>
      </c>
      <c r="J472" s="177">
        <v>14400</v>
      </c>
      <c r="K472" s="177">
        <v>310000</v>
      </c>
      <c r="L472" s="177">
        <v>310000</v>
      </c>
      <c r="M472" s="177">
        <v>310000</v>
      </c>
      <c r="N472" s="177">
        <v>0</v>
      </c>
      <c r="O472" s="172"/>
      <c r="P472" s="172"/>
      <c r="Q472" s="172" t="s">
        <v>1318</v>
      </c>
      <c r="R472" s="172" t="s">
        <v>1335</v>
      </c>
      <c r="S472" s="172">
        <v>3</v>
      </c>
      <c r="T472" s="172">
        <v>0</v>
      </c>
      <c r="U472" s="172">
        <v>0</v>
      </c>
      <c r="V472" s="172"/>
      <c r="W472" s="172"/>
      <c r="X472" s="172"/>
      <c r="Y472" s="172"/>
      <c r="Z472" s="172">
        <v>7481</v>
      </c>
      <c r="AA472" s="172">
        <v>1019</v>
      </c>
      <c r="AB472" s="172">
        <v>6900</v>
      </c>
      <c r="AC472" s="172"/>
      <c r="AD472" s="172"/>
      <c r="AE472" s="172"/>
      <c r="AF472" s="172"/>
      <c r="AG472" s="172"/>
      <c r="AH472" s="172"/>
      <c r="AI472" s="172"/>
      <c r="AJ472" s="172"/>
      <c r="AK472" s="172"/>
      <c r="AL472" s="172"/>
      <c r="AM472" s="172"/>
      <c r="AN472" s="172"/>
      <c r="AO472" s="172"/>
      <c r="AP472" s="172"/>
      <c r="AQ472" s="172"/>
      <c r="AR472" s="172"/>
      <c r="AS472" s="172"/>
      <c r="AT472" s="172"/>
      <c r="AU472" s="172"/>
      <c r="AV472" s="172"/>
      <c r="AW472" s="172"/>
      <c r="AX472" s="172"/>
      <c r="AY472" s="172"/>
      <c r="AZ472" s="172"/>
      <c r="BA472" s="172"/>
      <c r="BB472" s="172"/>
      <c r="BC472" s="172"/>
      <c r="BD472" s="172"/>
      <c r="BE472" s="172"/>
      <c r="BF472" s="172"/>
      <c r="BG472" s="172"/>
      <c r="BH472" s="172">
        <v>8</v>
      </c>
      <c r="BI472" s="172"/>
      <c r="BN472" s="172">
        <v>4</v>
      </c>
      <c r="BO472" s="47" t="s">
        <v>1360</v>
      </c>
      <c r="BP472" s="47">
        <v>10003603</v>
      </c>
      <c r="BQ472" s="47">
        <v>300</v>
      </c>
    </row>
    <row r="473" spans="1:69" ht="14.5">
      <c r="A473" s="172">
        <v>2340018</v>
      </c>
      <c r="B473" s="172">
        <v>470</v>
      </c>
      <c r="C473" s="172">
        <v>234</v>
      </c>
      <c r="D473" s="172" t="s">
        <v>271</v>
      </c>
      <c r="E473" s="172">
        <v>18</v>
      </c>
      <c r="F473" s="172" t="s">
        <v>290</v>
      </c>
      <c r="H473" s="173"/>
      <c r="I473" s="172">
        <v>2</v>
      </c>
      <c r="J473" s="177">
        <v>18720</v>
      </c>
      <c r="K473" s="177">
        <v>400000</v>
      </c>
      <c r="L473" s="177">
        <v>400000</v>
      </c>
      <c r="M473" s="177">
        <v>400000</v>
      </c>
      <c r="N473" s="177">
        <v>0</v>
      </c>
      <c r="O473" s="172"/>
      <c r="P473" s="172"/>
      <c r="Q473" s="172" t="s">
        <v>1318</v>
      </c>
      <c r="R473" s="172" t="s">
        <v>1336</v>
      </c>
      <c r="S473" s="172">
        <v>3</v>
      </c>
      <c r="T473" s="172">
        <v>0</v>
      </c>
      <c r="U473" s="172">
        <v>0</v>
      </c>
      <c r="V473" s="172"/>
      <c r="W473" s="172"/>
      <c r="Z473" s="172">
        <v>9877</v>
      </c>
      <c r="AA473" s="172">
        <v>1019</v>
      </c>
      <c r="AB473" s="172">
        <v>7600</v>
      </c>
      <c r="AE473" s="172"/>
      <c r="AF473" s="172"/>
      <c r="AI473" s="172"/>
      <c r="AJ473" s="172"/>
      <c r="AM473" s="172"/>
      <c r="AN473" s="172"/>
      <c r="AQ473" s="172"/>
      <c r="AR473" s="172"/>
      <c r="AU473" s="172"/>
      <c r="AV473" s="172"/>
      <c r="AY473" s="172"/>
      <c r="AZ473" s="172"/>
      <c r="BC473" s="172"/>
      <c r="BD473" s="172"/>
      <c r="BH473" s="172">
        <v>8</v>
      </c>
      <c r="BN473" s="172">
        <v>4</v>
      </c>
      <c r="BO473" s="47" t="s">
        <v>1360</v>
      </c>
      <c r="BP473" s="47">
        <v>10003603</v>
      </c>
      <c r="BQ473" s="47">
        <v>300</v>
      </c>
    </row>
    <row r="474" spans="1:69" ht="14.5">
      <c r="A474" s="172">
        <v>2340019</v>
      </c>
      <c r="B474" s="172">
        <v>471</v>
      </c>
      <c r="C474" s="172">
        <v>234</v>
      </c>
      <c r="D474" s="172" t="s">
        <v>271</v>
      </c>
      <c r="E474" s="172">
        <v>19</v>
      </c>
      <c r="F474" s="172" t="s">
        <v>291</v>
      </c>
      <c r="H474" s="173"/>
      <c r="I474" s="172">
        <v>2</v>
      </c>
      <c r="J474" s="177">
        <v>24480</v>
      </c>
      <c r="K474" s="177">
        <v>510000</v>
      </c>
      <c r="L474" s="177">
        <v>510000</v>
      </c>
      <c r="M474" s="177">
        <v>510000</v>
      </c>
      <c r="N474" s="177">
        <v>0</v>
      </c>
      <c r="O474" s="172"/>
      <c r="P474" s="172"/>
      <c r="Q474" s="172" t="s">
        <v>1318</v>
      </c>
      <c r="R474" s="172" t="s">
        <v>1337</v>
      </c>
      <c r="S474" s="172">
        <v>3</v>
      </c>
      <c r="T474" s="172">
        <v>0</v>
      </c>
      <c r="U474" s="172">
        <v>0</v>
      </c>
      <c r="V474" s="172"/>
      <c r="W474" s="172"/>
      <c r="Z474" s="172">
        <v>12944</v>
      </c>
      <c r="AA474" s="172">
        <v>1019</v>
      </c>
      <c r="AB474" s="172">
        <v>8300</v>
      </c>
      <c r="AE474" s="172"/>
      <c r="AF474" s="172"/>
      <c r="AI474" s="172"/>
      <c r="AJ474" s="172"/>
      <c r="AM474" s="172"/>
      <c r="AN474" s="172"/>
      <c r="AQ474" s="172"/>
      <c r="AR474" s="172"/>
      <c r="AU474" s="172"/>
      <c r="AV474" s="172"/>
      <c r="AY474" s="172"/>
      <c r="AZ474" s="172"/>
      <c r="BC474" s="172"/>
      <c r="BD474" s="172"/>
      <c r="BH474" s="172">
        <v>8</v>
      </c>
      <c r="BN474" s="172">
        <v>4</v>
      </c>
      <c r="BO474" s="47" t="s">
        <v>1360</v>
      </c>
      <c r="BP474" s="47">
        <v>10003603</v>
      </c>
      <c r="BQ474" s="47">
        <v>300</v>
      </c>
    </row>
    <row r="475" spans="1:69" ht="14.5">
      <c r="A475" s="172">
        <v>2340020</v>
      </c>
      <c r="B475" s="172">
        <v>472</v>
      </c>
      <c r="C475" s="172">
        <v>234</v>
      </c>
      <c r="D475" s="172" t="s">
        <v>271</v>
      </c>
      <c r="E475" s="172">
        <v>20</v>
      </c>
      <c r="F475" s="172" t="s">
        <v>292</v>
      </c>
      <c r="H475" s="173"/>
      <c r="I475" s="172">
        <v>3</v>
      </c>
      <c r="J475" s="177">
        <v>34560</v>
      </c>
      <c r="K475" s="177">
        <v>650000</v>
      </c>
      <c r="L475" s="177">
        <v>650000</v>
      </c>
      <c r="M475" s="177">
        <v>650000</v>
      </c>
      <c r="N475" s="177">
        <v>0</v>
      </c>
      <c r="O475" s="172"/>
      <c r="P475" s="172"/>
      <c r="Q475" s="172" t="s">
        <v>1318</v>
      </c>
      <c r="R475" s="172" t="s">
        <v>1338</v>
      </c>
      <c r="S475" s="172">
        <v>3</v>
      </c>
      <c r="T475" s="172">
        <v>0</v>
      </c>
      <c r="U475" s="172">
        <v>0</v>
      </c>
      <c r="V475" s="172"/>
      <c r="W475" s="172"/>
      <c r="Z475" s="172">
        <v>16870</v>
      </c>
      <c r="AA475" s="172">
        <v>1019</v>
      </c>
      <c r="AB475" s="172">
        <v>9000</v>
      </c>
      <c r="AE475" s="172"/>
      <c r="AF475" s="172"/>
      <c r="AI475" s="172"/>
      <c r="AJ475" s="172"/>
      <c r="AM475" s="172"/>
      <c r="AN475" s="172"/>
      <c r="AQ475" s="172"/>
      <c r="AR475" s="172"/>
      <c r="AU475" s="172"/>
      <c r="AV475" s="172"/>
      <c r="AY475" s="172"/>
      <c r="AZ475" s="172"/>
      <c r="BC475" s="172"/>
      <c r="BD475" s="172"/>
      <c r="BH475" s="172">
        <v>8</v>
      </c>
      <c r="BN475" s="172">
        <v>5</v>
      </c>
      <c r="BO475" s="47" t="s">
        <v>1360</v>
      </c>
      <c r="BP475" s="47">
        <v>10003603</v>
      </c>
      <c r="BQ475" s="47">
        <v>300</v>
      </c>
    </row>
    <row r="476" spans="1:69" ht="14.5">
      <c r="A476" s="172">
        <v>2340021</v>
      </c>
      <c r="B476" s="172">
        <v>473</v>
      </c>
      <c r="C476" s="172">
        <v>234</v>
      </c>
      <c r="D476" s="172" t="s">
        <v>271</v>
      </c>
      <c r="E476" s="172">
        <v>21</v>
      </c>
      <c r="F476" s="172" t="s">
        <v>1540</v>
      </c>
      <c r="G476" s="172"/>
      <c r="H476" s="173"/>
      <c r="I476" s="172">
        <v>3</v>
      </c>
      <c r="J476" s="177">
        <v>46080</v>
      </c>
      <c r="K476" s="177">
        <v>840000</v>
      </c>
      <c r="L476" s="177">
        <v>840000</v>
      </c>
      <c r="M476" s="177">
        <v>840000</v>
      </c>
      <c r="N476" s="177">
        <v>0</v>
      </c>
      <c r="O476" s="172"/>
      <c r="P476" s="172"/>
      <c r="Q476" s="172" t="s">
        <v>1318</v>
      </c>
      <c r="R476" s="172" t="s">
        <v>1340</v>
      </c>
      <c r="S476" s="172">
        <v>3</v>
      </c>
      <c r="T476" s="172">
        <v>0</v>
      </c>
      <c r="U476" s="172">
        <v>0</v>
      </c>
      <c r="V476" s="172"/>
      <c r="W476" s="172"/>
      <c r="X476" s="172"/>
      <c r="Y476" s="172"/>
      <c r="Z476" s="172">
        <v>21895</v>
      </c>
      <c r="AA476" s="172">
        <v>1019</v>
      </c>
      <c r="AB476" s="172">
        <v>9800</v>
      </c>
      <c r="AC476" s="172"/>
      <c r="AD476" s="172"/>
      <c r="AE476" s="172"/>
      <c r="AF476" s="172"/>
      <c r="AG476" s="172"/>
      <c r="AH476" s="172"/>
      <c r="AI476" s="172"/>
      <c r="AJ476" s="172"/>
      <c r="AK476" s="172"/>
      <c r="AL476" s="172"/>
      <c r="AM476" s="172"/>
      <c r="AN476" s="172"/>
      <c r="AO476" s="172"/>
      <c r="AP476" s="172"/>
      <c r="AQ476" s="172"/>
      <c r="AR476" s="172"/>
      <c r="AS476" s="172"/>
      <c r="AT476" s="172"/>
      <c r="AU476" s="172"/>
      <c r="AV476" s="172"/>
      <c r="AW476" s="172"/>
      <c r="AX476" s="172"/>
      <c r="AY476" s="172"/>
      <c r="AZ476" s="172"/>
      <c r="BA476" s="172"/>
      <c r="BB476" s="172"/>
      <c r="BC476" s="172"/>
      <c r="BD476" s="172"/>
      <c r="BE476" s="172"/>
      <c r="BF476" s="172"/>
      <c r="BG476" s="172"/>
      <c r="BH476" s="172">
        <v>8</v>
      </c>
      <c r="BI476" s="172"/>
      <c r="BN476" s="172">
        <v>5</v>
      </c>
      <c r="BO476" s="47" t="s">
        <v>1360</v>
      </c>
      <c r="BP476" s="47">
        <v>10003603</v>
      </c>
      <c r="BQ476" s="47">
        <v>300</v>
      </c>
    </row>
    <row r="477" spans="1:69" ht="14.5">
      <c r="A477" s="172">
        <v>2340022</v>
      </c>
      <c r="B477" s="172">
        <v>474</v>
      </c>
      <c r="C477" s="172">
        <v>234</v>
      </c>
      <c r="D477" s="172" t="s">
        <v>271</v>
      </c>
      <c r="E477" s="172">
        <v>22</v>
      </c>
      <c r="F477" s="172" t="s">
        <v>1541</v>
      </c>
      <c r="G477" s="172"/>
      <c r="H477" s="173"/>
      <c r="I477" s="172">
        <v>3</v>
      </c>
      <c r="J477" s="177">
        <v>60480</v>
      </c>
      <c r="K477" s="177">
        <v>1100000</v>
      </c>
      <c r="L477" s="177">
        <v>1100000</v>
      </c>
      <c r="M477" s="177">
        <v>1100000</v>
      </c>
      <c r="N477" s="177">
        <v>0</v>
      </c>
      <c r="O477" s="172"/>
      <c r="P477" s="172"/>
      <c r="Q477" s="172" t="s">
        <v>1318</v>
      </c>
      <c r="R477" s="172" t="s">
        <v>1342</v>
      </c>
      <c r="S477" s="172">
        <v>3</v>
      </c>
      <c r="T477" s="172">
        <v>0</v>
      </c>
      <c r="U477" s="172">
        <v>0</v>
      </c>
      <c r="V477" s="172"/>
      <c r="W477" s="172"/>
      <c r="X477" s="172"/>
      <c r="Y477" s="172"/>
      <c r="Z477" s="172">
        <v>28328</v>
      </c>
      <c r="AA477" s="172">
        <v>1019</v>
      </c>
      <c r="AB477" s="172">
        <v>10600</v>
      </c>
      <c r="AC477" s="172"/>
      <c r="AD477" s="172"/>
      <c r="AE477" s="172"/>
      <c r="AF477" s="172"/>
      <c r="AG477" s="172"/>
      <c r="AH477" s="172"/>
      <c r="AI477" s="172"/>
      <c r="AJ477" s="172"/>
      <c r="AK477" s="172"/>
      <c r="AL477" s="172"/>
      <c r="AM477" s="172"/>
      <c r="AN477" s="172"/>
      <c r="AO477" s="172"/>
      <c r="AP477" s="172"/>
      <c r="AQ477" s="172"/>
      <c r="AR477" s="172"/>
      <c r="AS477" s="172"/>
      <c r="AT477" s="172"/>
      <c r="AU477" s="172"/>
      <c r="AV477" s="172"/>
      <c r="AW477" s="172"/>
      <c r="AX477" s="172"/>
      <c r="AY477" s="172"/>
      <c r="AZ477" s="172"/>
      <c r="BA477" s="172"/>
      <c r="BB477" s="172"/>
      <c r="BC477" s="172"/>
      <c r="BD477" s="172"/>
      <c r="BE477" s="172"/>
      <c r="BF477" s="172"/>
      <c r="BG477" s="172"/>
      <c r="BH477" s="172">
        <v>8</v>
      </c>
      <c r="BI477" s="172"/>
      <c r="BN477" s="172">
        <v>5</v>
      </c>
      <c r="BO477" s="47" t="s">
        <v>1360</v>
      </c>
      <c r="BP477" s="47">
        <v>10003603</v>
      </c>
      <c r="BQ477" s="47">
        <v>300</v>
      </c>
    </row>
    <row r="478" spans="1:69" ht="14.5">
      <c r="A478" s="172">
        <v>2340023</v>
      </c>
      <c r="B478" s="172">
        <v>475</v>
      </c>
      <c r="C478" s="172">
        <v>234</v>
      </c>
      <c r="D478" s="172" t="s">
        <v>271</v>
      </c>
      <c r="E478" s="172">
        <v>23</v>
      </c>
      <c r="F478" s="172" t="s">
        <v>1542</v>
      </c>
      <c r="G478" s="172"/>
      <c r="H478" s="173"/>
      <c r="I478" s="172">
        <v>3</v>
      </c>
      <c r="J478" s="177">
        <v>77760</v>
      </c>
      <c r="K478" s="177">
        <v>1400000</v>
      </c>
      <c r="L478" s="177">
        <v>1400000</v>
      </c>
      <c r="M478" s="177">
        <v>1400000</v>
      </c>
      <c r="N478" s="177">
        <v>0</v>
      </c>
      <c r="O478" s="172"/>
      <c r="P478" s="172"/>
      <c r="Q478" s="172" t="s">
        <v>1318</v>
      </c>
      <c r="R478" s="172" t="s">
        <v>1344</v>
      </c>
      <c r="S478" s="172">
        <v>3</v>
      </c>
      <c r="T478" s="172">
        <v>0</v>
      </c>
      <c r="U478" s="172">
        <v>0</v>
      </c>
      <c r="V478" s="172"/>
      <c r="W478" s="172"/>
      <c r="X478" s="172"/>
      <c r="Y478" s="172"/>
      <c r="Z478" s="172">
        <v>36561</v>
      </c>
      <c r="AA478" s="172">
        <v>1019</v>
      </c>
      <c r="AB478" s="172">
        <v>11400</v>
      </c>
      <c r="AC478" s="172"/>
      <c r="AD478" s="172"/>
      <c r="AE478" s="172"/>
      <c r="AF478" s="172"/>
      <c r="AG478" s="172"/>
      <c r="AH478" s="172"/>
      <c r="AI478" s="172"/>
      <c r="AJ478" s="172"/>
      <c r="AK478" s="172"/>
      <c r="AL478" s="172"/>
      <c r="AM478" s="172"/>
      <c r="AN478" s="172"/>
      <c r="AO478" s="172"/>
      <c r="AP478" s="172"/>
      <c r="AQ478" s="172"/>
      <c r="AR478" s="172"/>
      <c r="AS478" s="172"/>
      <c r="AT478" s="172"/>
      <c r="AU478" s="172"/>
      <c r="AV478" s="172"/>
      <c r="AW478" s="172"/>
      <c r="AX478" s="172"/>
      <c r="AY478" s="172"/>
      <c r="AZ478" s="172"/>
      <c r="BA478" s="172"/>
      <c r="BB478" s="172"/>
      <c r="BC478" s="172"/>
      <c r="BD478" s="172"/>
      <c r="BE478" s="172"/>
      <c r="BF478" s="172"/>
      <c r="BG478" s="172"/>
      <c r="BH478" s="172">
        <v>8</v>
      </c>
      <c r="BI478" s="172"/>
      <c r="BN478" s="172">
        <v>5</v>
      </c>
      <c r="BO478" s="47" t="s">
        <v>1360</v>
      </c>
      <c r="BP478" s="47">
        <v>10003603</v>
      </c>
      <c r="BQ478" s="47">
        <v>300</v>
      </c>
    </row>
    <row r="479" spans="1:69" ht="14.5">
      <c r="A479" s="172">
        <v>2340024</v>
      </c>
      <c r="B479" s="172">
        <v>476</v>
      </c>
      <c r="C479" s="172">
        <v>234</v>
      </c>
      <c r="D479" s="172" t="s">
        <v>271</v>
      </c>
      <c r="E479" s="172">
        <v>24</v>
      </c>
      <c r="F479" s="172" t="s">
        <v>1543</v>
      </c>
      <c r="G479" s="172"/>
      <c r="H479" s="173"/>
      <c r="I479" s="172">
        <v>3</v>
      </c>
      <c r="J479" s="177">
        <v>99360</v>
      </c>
      <c r="K479" s="177">
        <v>1800000</v>
      </c>
      <c r="L479" s="177">
        <v>1800000</v>
      </c>
      <c r="M479" s="177">
        <v>1800000</v>
      </c>
      <c r="N479" s="177">
        <v>0</v>
      </c>
      <c r="O479" s="172"/>
      <c r="P479" s="172"/>
      <c r="Q479" s="172" t="s">
        <v>1318</v>
      </c>
      <c r="R479" s="172" t="s">
        <v>1346</v>
      </c>
      <c r="S479" s="172">
        <v>3</v>
      </c>
      <c r="T479" s="172">
        <v>0</v>
      </c>
      <c r="U479" s="172">
        <v>0</v>
      </c>
      <c r="V479" s="172"/>
      <c r="W479" s="172"/>
      <c r="X479" s="172"/>
      <c r="Y479" s="172"/>
      <c r="Z479" s="172">
        <v>47100</v>
      </c>
      <c r="AA479" s="172">
        <v>1019</v>
      </c>
      <c r="AB479" s="172">
        <v>12200</v>
      </c>
      <c r="AC479" s="172"/>
      <c r="AD479" s="172"/>
      <c r="AE479" s="172"/>
      <c r="AF479" s="172"/>
      <c r="AG479" s="172"/>
      <c r="AH479" s="172"/>
      <c r="AI479" s="172"/>
      <c r="AJ479" s="172"/>
      <c r="AK479" s="172"/>
      <c r="AL479" s="172"/>
      <c r="AM479" s="172"/>
      <c r="AN479" s="172"/>
      <c r="AO479" s="172"/>
      <c r="AP479" s="172"/>
      <c r="AQ479" s="172"/>
      <c r="AR479" s="172"/>
      <c r="AS479" s="172"/>
      <c r="AT479" s="172"/>
      <c r="AU479" s="172"/>
      <c r="AV479" s="172"/>
      <c r="AW479" s="172"/>
      <c r="AX479" s="172"/>
      <c r="AY479" s="172"/>
      <c r="AZ479" s="172"/>
      <c r="BA479" s="172"/>
      <c r="BB479" s="172"/>
      <c r="BC479" s="172"/>
      <c r="BD479" s="172"/>
      <c r="BE479" s="172"/>
      <c r="BF479" s="172"/>
      <c r="BG479" s="172"/>
      <c r="BH479" s="172">
        <v>8</v>
      </c>
      <c r="BI479" s="172"/>
      <c r="BN479" s="172">
        <v>5</v>
      </c>
      <c r="BO479" s="47" t="s">
        <v>1360</v>
      </c>
      <c r="BP479" s="47">
        <v>10003603</v>
      </c>
      <c r="BQ479" s="47">
        <v>300</v>
      </c>
    </row>
    <row r="480" spans="1:69" ht="14.5">
      <c r="A480" s="172">
        <v>2340025</v>
      </c>
      <c r="B480" s="172">
        <v>477</v>
      </c>
      <c r="C480" s="172">
        <v>234</v>
      </c>
      <c r="D480" s="172" t="s">
        <v>271</v>
      </c>
      <c r="E480" s="172">
        <v>25</v>
      </c>
      <c r="F480" s="172" t="s">
        <v>1544</v>
      </c>
      <c r="G480" s="172"/>
      <c r="H480" s="173"/>
      <c r="I480" s="172">
        <v>3</v>
      </c>
      <c r="J480" s="177">
        <v>125280</v>
      </c>
      <c r="K480" s="177">
        <v>2200000</v>
      </c>
      <c r="L480" s="177">
        <v>2200000</v>
      </c>
      <c r="M480" s="177">
        <v>2200000</v>
      </c>
      <c r="N480" s="177">
        <v>0</v>
      </c>
      <c r="O480" s="172"/>
      <c r="P480" s="172"/>
      <c r="Q480" s="172" t="s">
        <v>1318</v>
      </c>
      <c r="R480" s="172" t="s">
        <v>1348</v>
      </c>
      <c r="S480" s="172">
        <v>3</v>
      </c>
      <c r="T480" s="172">
        <v>0</v>
      </c>
      <c r="U480" s="172">
        <v>0</v>
      </c>
      <c r="V480" s="172"/>
      <c r="W480" s="172"/>
      <c r="X480" s="172"/>
      <c r="Y480" s="172"/>
      <c r="Z480" s="172">
        <v>60589</v>
      </c>
      <c r="AA480" s="172">
        <v>1019</v>
      </c>
      <c r="AB480" s="172">
        <v>13000</v>
      </c>
      <c r="AC480" s="172"/>
      <c r="AD480" s="172"/>
      <c r="AE480" s="172"/>
      <c r="AF480" s="172"/>
      <c r="AG480" s="172"/>
      <c r="AH480" s="172"/>
      <c r="AI480" s="172"/>
      <c r="AJ480" s="172"/>
      <c r="AK480" s="172"/>
      <c r="AL480" s="172"/>
      <c r="AM480" s="172"/>
      <c r="AN480" s="172"/>
      <c r="AO480" s="172"/>
      <c r="AP480" s="172"/>
      <c r="AQ480" s="172"/>
      <c r="AR480" s="172"/>
      <c r="AS480" s="172"/>
      <c r="AT480" s="172"/>
      <c r="AU480" s="172"/>
      <c r="AV480" s="172"/>
      <c r="AW480" s="172"/>
      <c r="AX480" s="172"/>
      <c r="AY480" s="172"/>
      <c r="AZ480" s="172"/>
      <c r="BA480" s="172"/>
      <c r="BB480" s="172"/>
      <c r="BC480" s="172"/>
      <c r="BD480" s="172"/>
      <c r="BE480" s="172"/>
      <c r="BF480" s="172"/>
      <c r="BG480" s="172"/>
      <c r="BH480" s="172">
        <v>8</v>
      </c>
      <c r="BI480" s="172"/>
      <c r="BN480" s="172">
        <v>5</v>
      </c>
      <c r="BO480" s="47" t="s">
        <v>1360</v>
      </c>
      <c r="BP480" s="47">
        <v>10003603</v>
      </c>
      <c r="BQ480" s="47">
        <v>300</v>
      </c>
    </row>
    <row r="481" spans="1:69" ht="14.5">
      <c r="A481" s="172">
        <v>2340026</v>
      </c>
      <c r="B481" s="172">
        <v>478</v>
      </c>
      <c r="C481" s="172">
        <v>234</v>
      </c>
      <c r="D481" s="172" t="s">
        <v>271</v>
      </c>
      <c r="E481" s="172">
        <v>26</v>
      </c>
      <c r="F481" s="172" t="s">
        <v>1545</v>
      </c>
      <c r="G481" s="172"/>
      <c r="H481" s="173"/>
      <c r="I481" s="172">
        <v>3</v>
      </c>
      <c r="J481" s="177">
        <v>155520</v>
      </c>
      <c r="K481" s="177">
        <v>2900000</v>
      </c>
      <c r="L481" s="177">
        <v>2900000</v>
      </c>
      <c r="M481" s="177">
        <v>2900000</v>
      </c>
      <c r="N481" s="177">
        <v>0</v>
      </c>
      <c r="O481" s="172"/>
      <c r="P481" s="172"/>
      <c r="Q481" s="172" t="s">
        <v>1318</v>
      </c>
      <c r="R481" s="172" t="s">
        <v>1350</v>
      </c>
      <c r="S481" s="172">
        <v>3</v>
      </c>
      <c r="T481" s="172">
        <v>0</v>
      </c>
      <c r="U481" s="172">
        <v>0</v>
      </c>
      <c r="V481" s="172"/>
      <c r="W481" s="172"/>
      <c r="X481" s="172"/>
      <c r="Y481" s="172"/>
      <c r="Z481" s="172">
        <v>77856</v>
      </c>
      <c r="AA481" s="172">
        <v>1019</v>
      </c>
      <c r="AB481" s="172">
        <v>14000</v>
      </c>
      <c r="AC481" s="172"/>
      <c r="AD481" s="172"/>
      <c r="AE481" s="172"/>
      <c r="AF481" s="172"/>
      <c r="AG481" s="172"/>
      <c r="AH481" s="172"/>
      <c r="AI481" s="172"/>
      <c r="AJ481" s="172"/>
      <c r="AK481" s="172"/>
      <c r="AL481" s="172"/>
      <c r="AM481" s="172"/>
      <c r="AN481" s="172"/>
      <c r="AO481" s="172"/>
      <c r="AP481" s="172"/>
      <c r="AQ481" s="172"/>
      <c r="AR481" s="172"/>
      <c r="AS481" s="172"/>
      <c r="AT481" s="172"/>
      <c r="AU481" s="172"/>
      <c r="AV481" s="172"/>
      <c r="AW481" s="172"/>
      <c r="AX481" s="172"/>
      <c r="AY481" s="172"/>
      <c r="AZ481" s="172"/>
      <c r="BA481" s="172"/>
      <c r="BB481" s="172"/>
      <c r="BC481" s="172"/>
      <c r="BD481" s="172"/>
      <c r="BE481" s="172"/>
      <c r="BF481" s="172"/>
      <c r="BG481" s="172"/>
      <c r="BH481" s="172">
        <v>8</v>
      </c>
      <c r="BI481" s="172"/>
      <c r="BN481" s="172">
        <v>5</v>
      </c>
      <c r="BO481" s="47" t="s">
        <v>1360</v>
      </c>
      <c r="BP481" s="47">
        <v>10003603</v>
      </c>
      <c r="BQ481" s="47">
        <v>300</v>
      </c>
    </row>
    <row r="482" spans="1:69" ht="14.5">
      <c r="A482" s="172">
        <v>2340027</v>
      </c>
      <c r="B482" s="172">
        <v>479</v>
      </c>
      <c r="C482" s="172">
        <v>234</v>
      </c>
      <c r="D482" s="172" t="s">
        <v>271</v>
      </c>
      <c r="E482" s="172">
        <v>27</v>
      </c>
      <c r="F482" s="172" t="s">
        <v>1546</v>
      </c>
      <c r="G482" s="172"/>
      <c r="H482" s="173"/>
      <c r="I482" s="172">
        <v>3</v>
      </c>
      <c r="J482" s="177">
        <v>190080</v>
      </c>
      <c r="K482" s="177">
        <v>3700000</v>
      </c>
      <c r="L482" s="177">
        <v>3700000</v>
      </c>
      <c r="M482" s="177">
        <v>3700000</v>
      </c>
      <c r="N482" s="177">
        <v>0</v>
      </c>
      <c r="O482" s="172"/>
      <c r="P482" s="172"/>
      <c r="Q482" s="172" t="s">
        <v>1318</v>
      </c>
      <c r="R482" s="172" t="s">
        <v>1352</v>
      </c>
      <c r="S482" s="172">
        <v>3</v>
      </c>
      <c r="T482" s="172">
        <v>0</v>
      </c>
      <c r="U482" s="172">
        <v>0</v>
      </c>
      <c r="V482" s="172"/>
      <c r="W482" s="172"/>
      <c r="X482" s="172"/>
      <c r="Y482" s="172"/>
      <c r="Z482" s="172">
        <v>99957</v>
      </c>
      <c r="AA482" s="172">
        <v>1019</v>
      </c>
      <c r="AB482" s="172">
        <v>15200</v>
      </c>
      <c r="AC482" s="172"/>
      <c r="AD482" s="172"/>
      <c r="AE482" s="172"/>
      <c r="AF482" s="172"/>
      <c r="AG482" s="172"/>
      <c r="AH482" s="172"/>
      <c r="AI482" s="172"/>
      <c r="AJ482" s="172"/>
      <c r="AK482" s="172"/>
      <c r="AL482" s="172"/>
      <c r="AM482" s="172"/>
      <c r="AN482" s="172"/>
      <c r="AO482" s="172"/>
      <c r="AP482" s="172"/>
      <c r="AQ482" s="172"/>
      <c r="AR482" s="172"/>
      <c r="AS482" s="172"/>
      <c r="AT482" s="172"/>
      <c r="AU482" s="172"/>
      <c r="AV482" s="172"/>
      <c r="AW482" s="172"/>
      <c r="AX482" s="172"/>
      <c r="AY482" s="172"/>
      <c r="AZ482" s="172"/>
      <c r="BA482" s="172"/>
      <c r="BB482" s="172"/>
      <c r="BC482" s="172"/>
      <c r="BD482" s="172"/>
      <c r="BE482" s="172"/>
      <c r="BF482" s="172"/>
      <c r="BG482" s="172"/>
      <c r="BH482" s="172">
        <v>8</v>
      </c>
      <c r="BI482" s="172"/>
      <c r="BN482" s="172">
        <v>5</v>
      </c>
      <c r="BO482" s="47" t="s">
        <v>1360</v>
      </c>
      <c r="BP482" s="47">
        <v>10003603</v>
      </c>
      <c r="BQ482" s="47">
        <v>300</v>
      </c>
    </row>
    <row r="483" spans="1:69" ht="14.5">
      <c r="A483" s="172">
        <v>2340028</v>
      </c>
      <c r="B483" s="172">
        <v>480</v>
      </c>
      <c r="C483" s="172">
        <v>234</v>
      </c>
      <c r="D483" s="172" t="s">
        <v>271</v>
      </c>
      <c r="E483" s="172">
        <v>28</v>
      </c>
      <c r="F483" s="172" t="s">
        <v>1547</v>
      </c>
      <c r="H483" s="173"/>
      <c r="I483" s="172">
        <v>3</v>
      </c>
      <c r="J483" s="177">
        <v>233280</v>
      </c>
      <c r="K483" s="177">
        <v>4700000</v>
      </c>
      <c r="L483" s="177">
        <v>4700000</v>
      </c>
      <c r="M483" s="177">
        <v>4700000</v>
      </c>
      <c r="N483" s="177">
        <v>0</v>
      </c>
      <c r="O483" s="172"/>
      <c r="P483" s="172"/>
      <c r="Q483" s="172" t="s">
        <v>1318</v>
      </c>
      <c r="R483" s="172" t="s">
        <v>1354</v>
      </c>
      <c r="S483" s="172">
        <v>3</v>
      </c>
      <c r="T483" s="172">
        <v>0</v>
      </c>
      <c r="U483" s="172">
        <v>0</v>
      </c>
      <c r="V483" s="172"/>
      <c r="W483" s="172"/>
      <c r="Z483" s="172">
        <v>128246</v>
      </c>
      <c r="AA483" s="172">
        <v>1019</v>
      </c>
      <c r="AB483" s="172">
        <v>16600</v>
      </c>
      <c r="AE483" s="172"/>
      <c r="AF483" s="172"/>
      <c r="AI483" s="172"/>
      <c r="AJ483" s="172"/>
      <c r="AM483" s="172"/>
      <c r="AN483" s="172"/>
      <c r="AQ483" s="172"/>
      <c r="AR483" s="172"/>
      <c r="AU483" s="172"/>
      <c r="AV483" s="172"/>
      <c r="AY483" s="172"/>
      <c r="AZ483" s="172"/>
      <c r="BC483" s="172"/>
      <c r="BD483" s="172"/>
      <c r="BH483" s="172">
        <v>8</v>
      </c>
      <c r="BN483" s="172">
        <v>5</v>
      </c>
      <c r="BO483" s="47" t="s">
        <v>1360</v>
      </c>
      <c r="BP483" s="47">
        <v>10003603</v>
      </c>
      <c r="BQ483" s="47">
        <v>300</v>
      </c>
    </row>
    <row r="484" spans="1:69" ht="14.5">
      <c r="A484" s="172">
        <v>2340029</v>
      </c>
      <c r="B484" s="172">
        <v>481</v>
      </c>
      <c r="C484" s="172">
        <v>234</v>
      </c>
      <c r="D484" s="172" t="s">
        <v>271</v>
      </c>
      <c r="E484" s="172">
        <v>29</v>
      </c>
      <c r="F484" s="172" t="s">
        <v>1548</v>
      </c>
      <c r="H484" s="173"/>
      <c r="I484" s="172">
        <v>3</v>
      </c>
      <c r="J484" s="177">
        <v>285120</v>
      </c>
      <c r="K484" s="177">
        <v>6000000</v>
      </c>
      <c r="L484" s="177">
        <v>6000000</v>
      </c>
      <c r="M484" s="177">
        <v>6000000</v>
      </c>
      <c r="N484" s="177">
        <v>0</v>
      </c>
      <c r="O484" s="172"/>
      <c r="P484" s="172"/>
      <c r="Q484" s="172" t="s">
        <v>1318</v>
      </c>
      <c r="R484" s="172" t="s">
        <v>1356</v>
      </c>
      <c r="S484" s="172">
        <v>3</v>
      </c>
      <c r="T484" s="172">
        <v>0</v>
      </c>
      <c r="U484" s="172">
        <v>0</v>
      </c>
      <c r="V484" s="172"/>
      <c r="W484" s="172"/>
      <c r="Z484" s="172">
        <v>164457</v>
      </c>
      <c r="AA484" s="172">
        <v>1019</v>
      </c>
      <c r="AB484" s="172">
        <v>18200</v>
      </c>
      <c r="AE484" s="172"/>
      <c r="AF484" s="172"/>
      <c r="AI484" s="172"/>
      <c r="AJ484" s="172"/>
      <c r="AM484" s="172"/>
      <c r="AN484" s="172"/>
      <c r="AQ484" s="172"/>
      <c r="AR484" s="172"/>
      <c r="AU484" s="172"/>
      <c r="AV484" s="172"/>
      <c r="AY484" s="172"/>
      <c r="AZ484" s="172"/>
      <c r="BC484" s="172"/>
      <c r="BD484" s="172"/>
      <c r="BH484" s="172">
        <v>8</v>
      </c>
      <c r="BN484" s="172">
        <v>5</v>
      </c>
      <c r="BO484" s="47" t="s">
        <v>1360</v>
      </c>
      <c r="BP484" s="47">
        <v>10003603</v>
      </c>
      <c r="BQ484" s="47">
        <v>300</v>
      </c>
    </row>
    <row r="485" spans="1:69" ht="14.5">
      <c r="A485" s="172">
        <v>2340030</v>
      </c>
      <c r="B485" s="172">
        <v>482</v>
      </c>
      <c r="C485" s="172">
        <v>234</v>
      </c>
      <c r="D485" s="172" t="s">
        <v>271</v>
      </c>
      <c r="E485" s="172">
        <v>30</v>
      </c>
      <c r="F485" s="172" t="s">
        <v>1549</v>
      </c>
      <c r="H485" s="173"/>
      <c r="I485" s="172">
        <v>3</v>
      </c>
      <c r="J485" s="177">
        <v>345600</v>
      </c>
      <c r="K485" s="177">
        <v>7700000</v>
      </c>
      <c r="L485" s="177">
        <v>7700000</v>
      </c>
      <c r="M485" s="177">
        <v>7700000</v>
      </c>
      <c r="N485" s="177">
        <v>0</v>
      </c>
      <c r="O485" s="172"/>
      <c r="P485" s="172"/>
      <c r="Q485" s="172" t="s">
        <v>1318</v>
      </c>
      <c r="R485" s="172" t="s">
        <v>1358</v>
      </c>
      <c r="S485" s="172">
        <v>3</v>
      </c>
      <c r="T485" s="172">
        <v>0</v>
      </c>
      <c r="U485" s="172">
        <v>0</v>
      </c>
      <c r="V485" s="172"/>
      <c r="W485" s="172"/>
      <c r="Z485" s="172">
        <v>210806</v>
      </c>
      <c r="AA485" s="172">
        <v>1019</v>
      </c>
      <c r="AB485" s="172">
        <v>20000</v>
      </c>
      <c r="AE485" s="172"/>
      <c r="AF485" s="172"/>
      <c r="AI485" s="172"/>
      <c r="AJ485" s="172"/>
      <c r="AM485" s="172"/>
      <c r="AN485" s="172"/>
      <c r="AQ485" s="172"/>
      <c r="AR485" s="172"/>
      <c r="AU485" s="172"/>
      <c r="AV485" s="172"/>
      <c r="AY485" s="172"/>
      <c r="AZ485" s="172"/>
      <c r="BC485" s="172"/>
      <c r="BD485" s="172"/>
      <c r="BH485" s="172">
        <v>8</v>
      </c>
      <c r="BN485" s="172">
        <v>5</v>
      </c>
      <c r="BO485" s="47" t="s">
        <v>1360</v>
      </c>
      <c r="BP485" s="47">
        <v>10003603</v>
      </c>
      <c r="BQ485" s="47">
        <v>300</v>
      </c>
    </row>
    <row r="486" spans="1:69" ht="14.5">
      <c r="A486" s="172">
        <v>2310001</v>
      </c>
      <c r="B486" s="172">
        <v>483</v>
      </c>
      <c r="C486" s="172">
        <v>231</v>
      </c>
      <c r="D486" s="172" t="s">
        <v>591</v>
      </c>
      <c r="E486" s="172">
        <v>1</v>
      </c>
      <c r="F486" s="172" t="s">
        <v>592</v>
      </c>
      <c r="H486" s="173"/>
      <c r="I486" s="172" t="s">
        <v>1205</v>
      </c>
      <c r="J486" s="177">
        <v>25</v>
      </c>
      <c r="K486" s="177">
        <v>500</v>
      </c>
      <c r="L486" s="177">
        <v>500</v>
      </c>
      <c r="M486" s="177">
        <v>0</v>
      </c>
      <c r="N486" s="177">
        <v>0</v>
      </c>
      <c r="O486" s="172"/>
      <c r="P486" s="172"/>
      <c r="Q486" s="172" t="s">
        <v>1318</v>
      </c>
      <c r="R486" s="172" t="s">
        <v>1324</v>
      </c>
      <c r="S486" s="172">
        <v>2</v>
      </c>
      <c r="T486" s="172">
        <v>0</v>
      </c>
      <c r="U486" s="172">
        <v>0</v>
      </c>
      <c r="V486" s="172" t="s">
        <v>158</v>
      </c>
      <c r="W486" s="172" t="s">
        <v>1550</v>
      </c>
      <c r="Z486" s="172">
        <v>2</v>
      </c>
      <c r="AA486" s="172">
        <v>1328</v>
      </c>
      <c r="AB486" s="172">
        <v>0.5</v>
      </c>
      <c r="AE486" s="172">
        <v>1329</v>
      </c>
      <c r="AF486" s="172">
        <v>200000</v>
      </c>
      <c r="AI486" s="172"/>
      <c r="AJ486" s="172"/>
      <c r="AM486" s="172"/>
      <c r="AN486" s="172"/>
      <c r="AQ486" s="172"/>
      <c r="AR486" s="172"/>
      <c r="AU486" s="172"/>
      <c r="AV486" s="172"/>
      <c r="AY486" s="172"/>
      <c r="AZ486" s="172"/>
      <c r="BC486" s="172"/>
      <c r="BD486" s="172"/>
      <c r="BH486" s="172">
        <v>23</v>
      </c>
      <c r="BM486" s="172">
        <v>3</v>
      </c>
    </row>
    <row r="487" spans="1:69" ht="14.5">
      <c r="A487" s="172">
        <v>2310002</v>
      </c>
      <c r="B487" s="172">
        <v>484</v>
      </c>
      <c r="C487" s="172">
        <v>231</v>
      </c>
      <c r="D487" s="172" t="s">
        <v>591</v>
      </c>
      <c r="E487" s="172">
        <v>2</v>
      </c>
      <c r="F487" s="172" t="s">
        <v>1551</v>
      </c>
      <c r="H487" s="173"/>
      <c r="I487" s="172" t="s">
        <v>1205</v>
      </c>
      <c r="J487" s="177">
        <v>36</v>
      </c>
      <c r="K487" s="177">
        <v>1000</v>
      </c>
      <c r="L487" s="177">
        <v>1000</v>
      </c>
      <c r="M487" s="177">
        <v>0</v>
      </c>
      <c r="N487" s="177">
        <v>0</v>
      </c>
      <c r="O487" s="172"/>
      <c r="P487" s="172"/>
      <c r="Q487" s="172" t="s">
        <v>1318</v>
      </c>
      <c r="R487" s="172" t="s">
        <v>1324</v>
      </c>
      <c r="S487" s="172">
        <v>2</v>
      </c>
      <c r="T487" s="172">
        <v>0</v>
      </c>
      <c r="U487" s="172">
        <v>0</v>
      </c>
      <c r="V487" s="172"/>
      <c r="W487" s="172"/>
      <c r="Z487" s="172">
        <v>6</v>
      </c>
      <c r="AA487" s="172">
        <v>1328</v>
      </c>
      <c r="AB487" s="172">
        <v>0.51</v>
      </c>
      <c r="AE487" s="172">
        <v>1329</v>
      </c>
      <c r="AF487" s="172">
        <v>240000</v>
      </c>
      <c r="AI487" s="172"/>
      <c r="AJ487" s="172"/>
      <c r="AM487" s="172"/>
      <c r="AN487" s="172"/>
      <c r="AQ487" s="172"/>
      <c r="AR487" s="172"/>
      <c r="AU487" s="172"/>
      <c r="AV487" s="172"/>
      <c r="AY487" s="172"/>
      <c r="AZ487" s="172"/>
      <c r="BC487" s="172"/>
      <c r="BD487" s="172"/>
      <c r="BH487" s="172">
        <v>23</v>
      </c>
    </row>
    <row r="488" spans="1:69" ht="14.5">
      <c r="A488" s="172">
        <v>2310003</v>
      </c>
      <c r="B488" s="172">
        <v>485</v>
      </c>
      <c r="C488" s="172">
        <v>231</v>
      </c>
      <c r="D488" s="172" t="s">
        <v>591</v>
      </c>
      <c r="E488" s="172">
        <v>3</v>
      </c>
      <c r="F488" s="172" t="s">
        <v>1552</v>
      </c>
      <c r="H488" s="173"/>
      <c r="I488" s="172" t="s">
        <v>1205</v>
      </c>
      <c r="J488" s="177">
        <v>72</v>
      </c>
      <c r="K488" s="177">
        <v>2000</v>
      </c>
      <c r="L488" s="177">
        <v>2000</v>
      </c>
      <c r="M488" s="177">
        <v>0</v>
      </c>
      <c r="N488" s="177">
        <v>0</v>
      </c>
      <c r="O488" s="172"/>
      <c r="P488" s="172"/>
      <c r="Q488" s="172" t="s">
        <v>1318</v>
      </c>
      <c r="R488" s="172" t="s">
        <v>1324</v>
      </c>
      <c r="S488" s="172">
        <v>2</v>
      </c>
      <c r="T488" s="172">
        <v>0</v>
      </c>
      <c r="U488" s="172">
        <v>0</v>
      </c>
      <c r="V488" s="172"/>
      <c r="W488" s="172"/>
      <c r="Z488" s="172">
        <v>14</v>
      </c>
      <c r="AA488" s="172">
        <v>1328</v>
      </c>
      <c r="AB488" s="172">
        <v>0.52</v>
      </c>
      <c r="AE488" s="172">
        <v>1329</v>
      </c>
      <c r="AF488" s="172">
        <v>280000</v>
      </c>
      <c r="AI488" s="172"/>
      <c r="AJ488" s="172"/>
      <c r="AM488" s="172"/>
      <c r="AN488" s="172"/>
      <c r="AQ488" s="172"/>
      <c r="AR488" s="172"/>
      <c r="AU488" s="172"/>
      <c r="AV488" s="172"/>
      <c r="AY488" s="172"/>
      <c r="AZ488" s="172"/>
      <c r="BC488" s="172"/>
      <c r="BD488" s="172"/>
      <c r="BH488" s="172">
        <v>23</v>
      </c>
    </row>
    <row r="489" spans="1:69" ht="14.5">
      <c r="A489" s="172">
        <v>2310004</v>
      </c>
      <c r="B489" s="172">
        <v>486</v>
      </c>
      <c r="C489" s="172">
        <v>231</v>
      </c>
      <c r="D489" s="172" t="s">
        <v>591</v>
      </c>
      <c r="E489" s="172">
        <v>4</v>
      </c>
      <c r="F489" s="172" t="s">
        <v>1553</v>
      </c>
      <c r="H489" s="173"/>
      <c r="I489" s="172" t="s">
        <v>1205</v>
      </c>
      <c r="J489" s="177">
        <v>144</v>
      </c>
      <c r="K489" s="177">
        <v>4000</v>
      </c>
      <c r="L489" s="177">
        <v>4000</v>
      </c>
      <c r="M489" s="177">
        <v>0</v>
      </c>
      <c r="N489" s="177">
        <v>0</v>
      </c>
      <c r="O489" s="172"/>
      <c r="P489" s="172"/>
      <c r="Q489" s="172" t="s">
        <v>1318</v>
      </c>
      <c r="R489" s="172" t="s">
        <v>1324</v>
      </c>
      <c r="S489" s="172">
        <v>2</v>
      </c>
      <c r="T489" s="172">
        <v>0</v>
      </c>
      <c r="U489" s="172">
        <v>0</v>
      </c>
      <c r="V489" s="172"/>
      <c r="W489" s="172"/>
      <c r="Z489" s="172">
        <v>30</v>
      </c>
      <c r="AA489" s="172">
        <v>1328</v>
      </c>
      <c r="AB489" s="172">
        <v>0.53</v>
      </c>
      <c r="AE489" s="172">
        <v>1329</v>
      </c>
      <c r="AF489" s="172">
        <v>320000</v>
      </c>
      <c r="AI489" s="172"/>
      <c r="AJ489" s="172"/>
      <c r="AM489" s="172"/>
      <c r="AN489" s="172"/>
      <c r="AQ489" s="172"/>
      <c r="AR489" s="172"/>
      <c r="AU489" s="172"/>
      <c r="AV489" s="172"/>
      <c r="AY489" s="172"/>
      <c r="AZ489" s="172"/>
      <c r="BC489" s="172"/>
      <c r="BD489" s="172"/>
      <c r="BH489" s="172">
        <v>23</v>
      </c>
    </row>
    <row r="490" spans="1:69" ht="14.5">
      <c r="A490" s="172">
        <v>2310005</v>
      </c>
      <c r="B490" s="172">
        <v>487</v>
      </c>
      <c r="C490" s="172">
        <v>231</v>
      </c>
      <c r="D490" s="172" t="s">
        <v>591</v>
      </c>
      <c r="E490" s="172">
        <v>5</v>
      </c>
      <c r="F490" s="172" t="s">
        <v>1554</v>
      </c>
      <c r="H490" s="173"/>
      <c r="I490" s="172" t="s">
        <v>1205</v>
      </c>
      <c r="J490" s="177">
        <v>300</v>
      </c>
      <c r="K490" s="177">
        <v>5100</v>
      </c>
      <c r="L490" s="177">
        <v>5100</v>
      </c>
      <c r="M490" s="177">
        <v>5100</v>
      </c>
      <c r="N490" s="177">
        <v>0</v>
      </c>
      <c r="O490" s="172"/>
      <c r="P490" s="172"/>
      <c r="Q490" s="172" t="s">
        <v>1555</v>
      </c>
      <c r="R490" s="172" t="s">
        <v>1556</v>
      </c>
      <c r="S490" s="172">
        <v>2</v>
      </c>
      <c r="T490" s="172">
        <v>0</v>
      </c>
      <c r="U490" s="172">
        <v>0</v>
      </c>
      <c r="V490" s="172"/>
      <c r="W490" s="172"/>
      <c r="Z490" s="172">
        <v>60</v>
      </c>
      <c r="AA490" s="172">
        <v>1328</v>
      </c>
      <c r="AB490" s="172">
        <v>0.54</v>
      </c>
      <c r="AE490" s="172">
        <v>1329</v>
      </c>
      <c r="AF490" s="172">
        <v>360000</v>
      </c>
      <c r="AI490" s="172"/>
      <c r="AJ490" s="172"/>
      <c r="AM490" s="172"/>
      <c r="AN490" s="172"/>
      <c r="AQ490" s="172"/>
      <c r="AR490" s="172"/>
      <c r="AU490" s="172"/>
      <c r="AV490" s="172"/>
      <c r="AY490" s="172"/>
      <c r="AZ490" s="172"/>
      <c r="BC490" s="172"/>
      <c r="BD490" s="172"/>
      <c r="BH490" s="172">
        <v>23</v>
      </c>
    </row>
    <row r="491" spans="1:69" ht="14.5">
      <c r="A491" s="172">
        <v>2310006</v>
      </c>
      <c r="B491" s="172">
        <v>488</v>
      </c>
      <c r="C491" s="172">
        <v>231</v>
      </c>
      <c r="D491" s="172" t="s">
        <v>591</v>
      </c>
      <c r="E491" s="172">
        <v>6</v>
      </c>
      <c r="F491" s="172" t="s">
        <v>1557</v>
      </c>
      <c r="H491" s="173"/>
      <c r="I491" s="172" t="s">
        <v>1205</v>
      </c>
      <c r="J491" s="177">
        <v>540</v>
      </c>
      <c r="K491" s="177">
        <v>9600</v>
      </c>
      <c r="L491" s="177">
        <v>9600</v>
      </c>
      <c r="M491" s="177">
        <v>9600</v>
      </c>
      <c r="N491" s="177">
        <v>0</v>
      </c>
      <c r="O491" s="172"/>
      <c r="P491" s="172"/>
      <c r="Q491" s="172" t="s">
        <v>1555</v>
      </c>
      <c r="R491" s="172" t="s">
        <v>1230</v>
      </c>
      <c r="S491" s="172">
        <v>2</v>
      </c>
      <c r="T491" s="172">
        <v>0</v>
      </c>
      <c r="U491" s="172">
        <v>0</v>
      </c>
      <c r="V491" s="172"/>
      <c r="W491" s="172"/>
      <c r="Z491" s="172">
        <v>118</v>
      </c>
      <c r="AA491" s="172">
        <v>1328</v>
      </c>
      <c r="AB491" s="172">
        <v>0.55000000000000004</v>
      </c>
      <c r="AE491" s="172">
        <v>1329</v>
      </c>
      <c r="AF491" s="172">
        <v>400000</v>
      </c>
      <c r="AI491" s="172"/>
      <c r="AJ491" s="172"/>
      <c r="AM491" s="172"/>
      <c r="AN491" s="172"/>
      <c r="AQ491" s="172"/>
      <c r="AR491" s="172"/>
      <c r="AU491" s="172"/>
      <c r="AV491" s="172"/>
      <c r="AY491" s="172"/>
      <c r="AZ491" s="172"/>
      <c r="BC491" s="172"/>
      <c r="BD491" s="172"/>
      <c r="BH491" s="172">
        <v>23</v>
      </c>
    </row>
    <row r="492" spans="1:69" ht="14.5">
      <c r="A492" s="172">
        <v>2310007</v>
      </c>
      <c r="B492" s="172">
        <v>489</v>
      </c>
      <c r="C492" s="172">
        <v>231</v>
      </c>
      <c r="D492" s="172" t="s">
        <v>591</v>
      </c>
      <c r="E492" s="172">
        <v>7</v>
      </c>
      <c r="F492" s="172" t="s">
        <v>1558</v>
      </c>
      <c r="H492" s="173"/>
      <c r="I492" s="172" t="s">
        <v>1205</v>
      </c>
      <c r="J492" s="177">
        <v>900</v>
      </c>
      <c r="K492" s="177">
        <v>17000</v>
      </c>
      <c r="L492" s="177">
        <v>17000</v>
      </c>
      <c r="M492" s="177">
        <v>17000</v>
      </c>
      <c r="N492" s="177">
        <v>0</v>
      </c>
      <c r="O492" s="172"/>
      <c r="P492" s="172"/>
      <c r="Q492" s="172" t="s">
        <v>1555</v>
      </c>
      <c r="R492" s="172" t="s">
        <v>1234</v>
      </c>
      <c r="S492" s="172">
        <v>2</v>
      </c>
      <c r="T492" s="172">
        <v>0</v>
      </c>
      <c r="U492" s="172">
        <v>0</v>
      </c>
      <c r="V492" s="172"/>
      <c r="W492" s="172"/>
      <c r="Z492" s="172">
        <v>221</v>
      </c>
      <c r="AA492" s="172">
        <v>1328</v>
      </c>
      <c r="AB492" s="172">
        <v>0.56000000000000005</v>
      </c>
      <c r="AE492" s="172">
        <v>1329</v>
      </c>
      <c r="AF492" s="172">
        <v>460000</v>
      </c>
      <c r="AI492" s="172"/>
      <c r="AJ492" s="172"/>
      <c r="AM492" s="172"/>
      <c r="AN492" s="172"/>
      <c r="AQ492" s="172"/>
      <c r="AR492" s="172"/>
      <c r="AU492" s="172"/>
      <c r="AV492" s="172"/>
      <c r="AY492" s="172"/>
      <c r="AZ492" s="172"/>
      <c r="BC492" s="172"/>
      <c r="BD492" s="172"/>
      <c r="BH492" s="172">
        <v>23</v>
      </c>
    </row>
    <row r="493" spans="1:69" ht="14.5">
      <c r="A493" s="172">
        <v>2310008</v>
      </c>
      <c r="B493" s="172">
        <v>490</v>
      </c>
      <c r="C493" s="172">
        <v>231</v>
      </c>
      <c r="D493" s="172" t="s">
        <v>591</v>
      </c>
      <c r="E493" s="172">
        <v>8</v>
      </c>
      <c r="F493" s="172" t="s">
        <v>1559</v>
      </c>
      <c r="H493" s="173"/>
      <c r="I493" s="172" t="s">
        <v>1205</v>
      </c>
      <c r="J493" s="177">
        <v>1440</v>
      </c>
      <c r="K493" s="177">
        <v>29000</v>
      </c>
      <c r="L493" s="177">
        <v>29000</v>
      </c>
      <c r="M493" s="177">
        <v>29000</v>
      </c>
      <c r="N493" s="177">
        <v>0</v>
      </c>
      <c r="O493" s="172"/>
      <c r="P493" s="172"/>
      <c r="Q493" s="172" t="s">
        <v>1555</v>
      </c>
      <c r="R493" s="172" t="s">
        <v>1239</v>
      </c>
      <c r="S493" s="172">
        <v>2</v>
      </c>
      <c r="T493" s="172">
        <v>0</v>
      </c>
      <c r="U493" s="172">
        <v>0</v>
      </c>
      <c r="V493" s="172"/>
      <c r="W493" s="172"/>
      <c r="Z493" s="172">
        <v>397</v>
      </c>
      <c r="AA493" s="172">
        <v>1328</v>
      </c>
      <c r="AB493" s="172">
        <v>0.56999999999999995</v>
      </c>
      <c r="AE493" s="172">
        <v>1329</v>
      </c>
      <c r="AF493" s="172">
        <v>520000</v>
      </c>
      <c r="AI493" s="172"/>
      <c r="AJ493" s="172"/>
      <c r="AM493" s="172"/>
      <c r="AN493" s="172"/>
      <c r="AQ493" s="172"/>
      <c r="AR493" s="172"/>
      <c r="AU493" s="172"/>
      <c r="AV493" s="172"/>
      <c r="AY493" s="172"/>
      <c r="AZ493" s="172"/>
      <c r="BC493" s="172"/>
      <c r="BD493" s="172"/>
      <c r="BH493" s="172">
        <v>23</v>
      </c>
    </row>
    <row r="494" spans="1:69" ht="14.5">
      <c r="A494" s="172">
        <v>2310009</v>
      </c>
      <c r="B494" s="172">
        <v>491</v>
      </c>
      <c r="C494" s="172">
        <v>231</v>
      </c>
      <c r="D494" s="172" t="s">
        <v>591</v>
      </c>
      <c r="E494" s="172">
        <v>9</v>
      </c>
      <c r="F494" s="172" t="s">
        <v>1560</v>
      </c>
      <c r="H494" s="173"/>
      <c r="I494" s="172" t="s">
        <v>1205</v>
      </c>
      <c r="J494" s="177">
        <v>2880</v>
      </c>
      <c r="K494" s="177">
        <v>49000</v>
      </c>
      <c r="L494" s="177">
        <v>49000</v>
      </c>
      <c r="M494" s="177">
        <v>49000</v>
      </c>
      <c r="N494" s="177">
        <v>0</v>
      </c>
      <c r="O494" s="172"/>
      <c r="P494" s="172"/>
      <c r="Q494" s="172" t="s">
        <v>1555</v>
      </c>
      <c r="R494" s="172" t="s">
        <v>1244</v>
      </c>
      <c r="S494" s="172">
        <v>2</v>
      </c>
      <c r="T494" s="172">
        <v>0</v>
      </c>
      <c r="U494" s="172">
        <v>0</v>
      </c>
      <c r="V494" s="172"/>
      <c r="W494" s="172"/>
      <c r="Z494" s="172">
        <v>689</v>
      </c>
      <c r="AA494" s="172">
        <v>1328</v>
      </c>
      <c r="AB494" s="172">
        <v>0.57999999999999996</v>
      </c>
      <c r="AE494" s="172">
        <v>1329</v>
      </c>
      <c r="AF494" s="172">
        <v>580000</v>
      </c>
      <c r="AI494" s="172"/>
      <c r="AJ494" s="172"/>
      <c r="AM494" s="172"/>
      <c r="AN494" s="172"/>
      <c r="AQ494" s="172"/>
      <c r="AR494" s="172"/>
      <c r="AU494" s="172"/>
      <c r="AV494" s="172"/>
      <c r="AY494" s="172"/>
      <c r="AZ494" s="172"/>
      <c r="BC494" s="172"/>
      <c r="BD494" s="172"/>
      <c r="BH494" s="172">
        <v>23</v>
      </c>
    </row>
    <row r="495" spans="1:69" ht="14.5">
      <c r="A495" s="172">
        <v>2310010</v>
      </c>
      <c r="B495" s="172">
        <v>492</v>
      </c>
      <c r="C495" s="172">
        <v>231</v>
      </c>
      <c r="D495" s="172" t="s">
        <v>591</v>
      </c>
      <c r="E495" s="172">
        <v>10</v>
      </c>
      <c r="F495" s="172" t="s">
        <v>1561</v>
      </c>
      <c r="H495" s="173"/>
      <c r="I495" s="172" t="s">
        <v>1205</v>
      </c>
      <c r="J495" s="177">
        <v>4320</v>
      </c>
      <c r="K495" s="177">
        <v>38000</v>
      </c>
      <c r="L495" s="177">
        <v>38000</v>
      </c>
      <c r="M495" s="177">
        <v>38000</v>
      </c>
      <c r="N495" s="177">
        <v>120000</v>
      </c>
      <c r="O495" s="172"/>
      <c r="P495" s="172"/>
      <c r="Q495" s="172" t="s">
        <v>1555</v>
      </c>
      <c r="R495" s="172" t="s">
        <v>1247</v>
      </c>
      <c r="S495" s="172">
        <v>2</v>
      </c>
      <c r="T495" s="172">
        <v>0</v>
      </c>
      <c r="U495" s="172">
        <v>0</v>
      </c>
      <c r="V495" s="172"/>
      <c r="W495" s="172"/>
      <c r="Z495" s="172">
        <v>1150</v>
      </c>
      <c r="AA495" s="172">
        <v>1328</v>
      </c>
      <c r="AB495" s="172">
        <v>0.59</v>
      </c>
      <c r="AE495" s="172">
        <v>1329</v>
      </c>
      <c r="AF495" s="172">
        <v>640000</v>
      </c>
      <c r="AI495" s="172"/>
      <c r="AJ495" s="172"/>
      <c r="AM495" s="172"/>
      <c r="AN495" s="172"/>
      <c r="AQ495" s="172"/>
      <c r="AR495" s="172"/>
      <c r="AU495" s="172"/>
      <c r="AV495" s="172"/>
      <c r="AY495" s="172"/>
      <c r="AZ495" s="172"/>
      <c r="BC495" s="172"/>
      <c r="BD495" s="172"/>
      <c r="BH495" s="172">
        <v>23</v>
      </c>
    </row>
    <row r="496" spans="1:69" ht="14.5">
      <c r="A496" s="172">
        <v>2310011</v>
      </c>
      <c r="B496" s="172">
        <v>493</v>
      </c>
      <c r="C496" s="172">
        <v>231</v>
      </c>
      <c r="D496" s="172" t="s">
        <v>591</v>
      </c>
      <c r="E496" s="172">
        <v>11</v>
      </c>
      <c r="F496" s="172" t="s">
        <v>1562</v>
      </c>
      <c r="H496" s="173"/>
      <c r="I496" s="172" t="s">
        <v>1205</v>
      </c>
      <c r="J496" s="177">
        <v>6480</v>
      </c>
      <c r="K496" s="177">
        <v>58000</v>
      </c>
      <c r="L496" s="177">
        <v>58000</v>
      </c>
      <c r="M496" s="177">
        <v>58000</v>
      </c>
      <c r="N496" s="177">
        <v>170000</v>
      </c>
      <c r="O496" s="172"/>
      <c r="P496" s="172"/>
      <c r="Q496" s="172" t="s">
        <v>1555</v>
      </c>
      <c r="R496" s="172" t="s">
        <v>1252</v>
      </c>
      <c r="S496" s="172">
        <v>2</v>
      </c>
      <c r="T496" s="172">
        <v>0</v>
      </c>
      <c r="U496" s="172">
        <v>0</v>
      </c>
      <c r="V496" s="172"/>
      <c r="W496" s="172"/>
      <c r="Z496" s="172">
        <v>1846</v>
      </c>
      <c r="AA496" s="172">
        <v>1328</v>
      </c>
      <c r="AB496" s="172">
        <v>0.6</v>
      </c>
      <c r="AE496" s="172">
        <v>1329</v>
      </c>
      <c r="AF496" s="172">
        <v>700000</v>
      </c>
      <c r="AI496" s="172"/>
      <c r="AJ496" s="172"/>
      <c r="AM496" s="172"/>
      <c r="AN496" s="172"/>
      <c r="AQ496" s="172"/>
      <c r="AR496" s="172"/>
      <c r="AU496" s="172"/>
      <c r="AV496" s="172"/>
      <c r="AY496" s="172"/>
      <c r="AZ496" s="172"/>
      <c r="BC496" s="172"/>
      <c r="BD496" s="172"/>
      <c r="BH496" s="172">
        <v>23</v>
      </c>
    </row>
    <row r="497" spans="1:60" ht="14.5">
      <c r="A497" s="172">
        <v>2310012</v>
      </c>
      <c r="B497" s="172">
        <v>494</v>
      </c>
      <c r="C497" s="172">
        <v>231</v>
      </c>
      <c r="D497" s="172" t="s">
        <v>591</v>
      </c>
      <c r="E497" s="172">
        <v>12</v>
      </c>
      <c r="F497" s="172" t="s">
        <v>1563</v>
      </c>
      <c r="H497" s="173"/>
      <c r="I497" s="172" t="s">
        <v>1205</v>
      </c>
      <c r="J497" s="177">
        <v>8640</v>
      </c>
      <c r="K497" s="177">
        <v>84000</v>
      </c>
      <c r="L497" s="177">
        <v>84000</v>
      </c>
      <c r="M497" s="177">
        <v>84000</v>
      </c>
      <c r="N497" s="177">
        <v>250000</v>
      </c>
      <c r="O497" s="172"/>
      <c r="P497" s="172"/>
      <c r="Q497" s="172" t="s">
        <v>1555</v>
      </c>
      <c r="R497" s="172" t="s">
        <v>1258</v>
      </c>
      <c r="S497" s="172">
        <v>2</v>
      </c>
      <c r="T497" s="172">
        <v>0</v>
      </c>
      <c r="U497" s="172">
        <v>0</v>
      </c>
      <c r="V497" s="172"/>
      <c r="W497" s="172"/>
      <c r="Z497" s="172">
        <v>2849</v>
      </c>
      <c r="AA497" s="172">
        <v>1328</v>
      </c>
      <c r="AB497" s="172">
        <v>0.61499999999999999</v>
      </c>
      <c r="AE497" s="172">
        <v>1329</v>
      </c>
      <c r="AF497" s="172">
        <v>780000</v>
      </c>
      <c r="AI497" s="172"/>
      <c r="AJ497" s="172"/>
      <c r="AM497" s="172"/>
      <c r="AN497" s="172"/>
      <c r="AQ497" s="172"/>
      <c r="AR497" s="172"/>
      <c r="AU497" s="172"/>
      <c r="AV497" s="172"/>
      <c r="AY497" s="172"/>
      <c r="AZ497" s="172"/>
      <c r="BC497" s="172"/>
      <c r="BD497" s="172"/>
      <c r="BH497" s="172">
        <v>23</v>
      </c>
    </row>
    <row r="498" spans="1:60" ht="14.5">
      <c r="A498" s="172">
        <v>2310013</v>
      </c>
      <c r="B498" s="172">
        <v>495</v>
      </c>
      <c r="C498" s="172">
        <v>231</v>
      </c>
      <c r="D498" s="172" t="s">
        <v>591</v>
      </c>
      <c r="E498" s="172">
        <v>13</v>
      </c>
      <c r="F498" s="172" t="s">
        <v>1564</v>
      </c>
      <c r="H498" s="173"/>
      <c r="I498" s="172" t="s">
        <v>1205</v>
      </c>
      <c r="J498" s="177">
        <v>11520</v>
      </c>
      <c r="K498" s="177">
        <v>110000</v>
      </c>
      <c r="L498" s="177">
        <v>110000</v>
      </c>
      <c r="M498" s="177">
        <v>110000</v>
      </c>
      <c r="N498" s="177">
        <v>340000</v>
      </c>
      <c r="O498" s="172"/>
      <c r="P498" s="172"/>
      <c r="Q498" s="172" t="s">
        <v>1555</v>
      </c>
      <c r="R498" s="172" t="s">
        <v>1262</v>
      </c>
      <c r="S498" s="172">
        <v>2</v>
      </c>
      <c r="T498" s="172">
        <v>0</v>
      </c>
      <c r="U498" s="172">
        <v>0</v>
      </c>
      <c r="V498" s="172"/>
      <c r="W498" s="172"/>
      <c r="Z498" s="172">
        <v>4222</v>
      </c>
      <c r="AA498" s="172">
        <v>1328</v>
      </c>
      <c r="AB498" s="172">
        <v>0.63</v>
      </c>
      <c r="AE498" s="172">
        <v>1329</v>
      </c>
      <c r="AF498" s="172">
        <v>860000</v>
      </c>
      <c r="AI498" s="172"/>
      <c r="AJ498" s="172"/>
      <c r="AM498" s="172"/>
      <c r="AN498" s="172"/>
      <c r="AQ498" s="172"/>
      <c r="AR498" s="172"/>
      <c r="AU498" s="172"/>
      <c r="AV498" s="172"/>
      <c r="AY498" s="172"/>
      <c r="AZ498" s="172"/>
      <c r="BC498" s="172"/>
      <c r="BD498" s="172"/>
      <c r="BH498" s="172">
        <v>23</v>
      </c>
    </row>
    <row r="499" spans="1:60" ht="14.5">
      <c r="A499" s="172">
        <v>2310014</v>
      </c>
      <c r="B499" s="172">
        <v>496</v>
      </c>
      <c r="C499" s="172">
        <v>231</v>
      </c>
      <c r="D499" s="172" t="s">
        <v>591</v>
      </c>
      <c r="E499" s="172">
        <v>14</v>
      </c>
      <c r="F499" s="172" t="s">
        <v>1565</v>
      </c>
      <c r="H499" s="173"/>
      <c r="I499" s="172" t="s">
        <v>1205</v>
      </c>
      <c r="J499" s="177">
        <v>14400</v>
      </c>
      <c r="K499" s="177">
        <v>150000</v>
      </c>
      <c r="L499" s="177">
        <v>150000</v>
      </c>
      <c r="M499" s="177">
        <v>150000</v>
      </c>
      <c r="N499" s="177">
        <v>450000</v>
      </c>
      <c r="O499" s="172"/>
      <c r="P499" s="172"/>
      <c r="Q499" s="172" t="s">
        <v>1555</v>
      </c>
      <c r="R499" s="172" t="s">
        <v>1265</v>
      </c>
      <c r="S499" s="172">
        <v>2</v>
      </c>
      <c r="T499" s="172">
        <v>0</v>
      </c>
      <c r="U499" s="172">
        <v>0</v>
      </c>
      <c r="V499" s="172"/>
      <c r="W499" s="172"/>
      <c r="Z499" s="172">
        <v>6007</v>
      </c>
      <c r="AA499" s="172">
        <v>1328</v>
      </c>
      <c r="AB499" s="172">
        <v>0.64500000000000002</v>
      </c>
      <c r="AE499" s="172">
        <v>1329</v>
      </c>
      <c r="AF499" s="172">
        <v>940000</v>
      </c>
      <c r="AI499" s="172"/>
      <c r="AJ499" s="172"/>
      <c r="AM499" s="172"/>
      <c r="AN499" s="172"/>
      <c r="AQ499" s="172"/>
      <c r="AR499" s="172"/>
      <c r="AU499" s="172"/>
      <c r="AV499" s="172"/>
      <c r="AY499" s="172"/>
      <c r="AZ499" s="172"/>
      <c r="BC499" s="172"/>
      <c r="BD499" s="172"/>
      <c r="BH499" s="172">
        <v>23</v>
      </c>
    </row>
    <row r="500" spans="1:60" ht="14.5">
      <c r="A500" s="172">
        <v>2310015</v>
      </c>
      <c r="B500" s="172">
        <v>497</v>
      </c>
      <c r="C500" s="172">
        <v>231</v>
      </c>
      <c r="D500" s="172" t="s">
        <v>591</v>
      </c>
      <c r="E500" s="172">
        <v>15</v>
      </c>
      <c r="F500" s="172" t="s">
        <v>1566</v>
      </c>
      <c r="H500" s="173"/>
      <c r="I500" s="172" t="s">
        <v>1205</v>
      </c>
      <c r="J500" s="177">
        <v>17280</v>
      </c>
      <c r="K500" s="177">
        <v>190000</v>
      </c>
      <c r="L500" s="177">
        <v>190000</v>
      </c>
      <c r="M500" s="177">
        <v>190000</v>
      </c>
      <c r="N500" s="177">
        <v>570000</v>
      </c>
      <c r="O500" s="172"/>
      <c r="P500" s="172"/>
      <c r="Q500" s="172" t="s">
        <v>1555</v>
      </c>
      <c r="R500" s="172" t="s">
        <v>1269</v>
      </c>
      <c r="S500" s="172">
        <v>2</v>
      </c>
      <c r="T500" s="172">
        <v>0</v>
      </c>
      <c r="U500" s="172">
        <v>0</v>
      </c>
      <c r="V500" s="172"/>
      <c r="W500" s="172"/>
      <c r="Z500" s="172">
        <v>8293</v>
      </c>
      <c r="AA500" s="172">
        <v>1328</v>
      </c>
      <c r="AB500" s="172">
        <v>0.66</v>
      </c>
      <c r="AE500" s="172">
        <v>1329</v>
      </c>
      <c r="AF500" s="172">
        <v>1020000</v>
      </c>
      <c r="AI500" s="172"/>
      <c r="AJ500" s="172"/>
      <c r="AM500" s="172"/>
      <c r="AN500" s="172"/>
      <c r="AQ500" s="172"/>
      <c r="AR500" s="172"/>
      <c r="AU500" s="172"/>
      <c r="AV500" s="172"/>
      <c r="AY500" s="172"/>
      <c r="AZ500" s="172"/>
      <c r="BC500" s="172"/>
      <c r="BD500" s="172"/>
      <c r="BH500" s="172">
        <v>23</v>
      </c>
    </row>
    <row r="501" spans="1:60" ht="14.5">
      <c r="A501" s="172">
        <v>2310016</v>
      </c>
      <c r="B501" s="172">
        <v>498</v>
      </c>
      <c r="C501" s="172">
        <v>231</v>
      </c>
      <c r="D501" s="172" t="s">
        <v>591</v>
      </c>
      <c r="E501" s="172">
        <v>16</v>
      </c>
      <c r="F501" s="172" t="s">
        <v>1567</v>
      </c>
      <c r="H501" s="173"/>
      <c r="I501" s="172" t="s">
        <v>1205</v>
      </c>
      <c r="J501" s="177">
        <v>21600</v>
      </c>
      <c r="K501" s="177">
        <v>240000</v>
      </c>
      <c r="L501" s="177">
        <v>240000</v>
      </c>
      <c r="M501" s="177">
        <v>240000</v>
      </c>
      <c r="N501" s="177">
        <v>730000</v>
      </c>
      <c r="O501" s="172"/>
      <c r="P501" s="172"/>
      <c r="Q501" s="172" t="s">
        <v>1555</v>
      </c>
      <c r="R501" s="172" t="s">
        <v>1272</v>
      </c>
      <c r="S501" s="172">
        <v>2</v>
      </c>
      <c r="T501" s="172">
        <v>0</v>
      </c>
      <c r="U501" s="172">
        <v>0</v>
      </c>
      <c r="V501" s="172"/>
      <c r="W501" s="172"/>
      <c r="Z501" s="172">
        <v>11218</v>
      </c>
      <c r="AA501" s="172">
        <v>1328</v>
      </c>
      <c r="AB501" s="172">
        <v>0.67500000000000004</v>
      </c>
      <c r="AE501" s="172">
        <v>1329</v>
      </c>
      <c r="AF501" s="172">
        <v>1100000</v>
      </c>
      <c r="AI501" s="172"/>
      <c r="AJ501" s="172"/>
      <c r="AM501" s="172"/>
      <c r="AN501" s="172"/>
      <c r="AQ501" s="172"/>
      <c r="AR501" s="172"/>
      <c r="AU501" s="172"/>
      <c r="AV501" s="172"/>
      <c r="AY501" s="172"/>
      <c r="AZ501" s="172"/>
      <c r="BC501" s="172"/>
      <c r="BD501" s="172"/>
      <c r="BH501" s="172">
        <v>23</v>
      </c>
    </row>
    <row r="502" spans="1:60" ht="14.5">
      <c r="A502" s="172">
        <v>2310017</v>
      </c>
      <c r="B502" s="172">
        <v>499</v>
      </c>
      <c r="C502" s="172">
        <v>231</v>
      </c>
      <c r="D502" s="172" t="s">
        <v>591</v>
      </c>
      <c r="E502" s="172">
        <v>17</v>
      </c>
      <c r="F502" s="172" t="s">
        <v>1568</v>
      </c>
      <c r="H502" s="173"/>
      <c r="I502" s="172" t="s">
        <v>1205</v>
      </c>
      <c r="J502" s="177">
        <v>28800</v>
      </c>
      <c r="K502" s="177">
        <v>310000</v>
      </c>
      <c r="L502" s="177">
        <v>310000</v>
      </c>
      <c r="M502" s="177">
        <v>310000</v>
      </c>
      <c r="N502" s="177">
        <v>940000</v>
      </c>
      <c r="O502" s="172"/>
      <c r="P502" s="172"/>
      <c r="Q502" s="172" t="s">
        <v>1555</v>
      </c>
      <c r="R502" s="172" t="s">
        <v>1278</v>
      </c>
      <c r="S502" s="172">
        <v>2</v>
      </c>
      <c r="T502" s="172">
        <v>0</v>
      </c>
      <c r="U502" s="172">
        <v>0</v>
      </c>
      <c r="V502" s="172"/>
      <c r="W502" s="172"/>
      <c r="Z502" s="172">
        <v>14962</v>
      </c>
      <c r="AA502" s="172">
        <v>1328</v>
      </c>
      <c r="AB502" s="172">
        <v>0.69</v>
      </c>
      <c r="AE502" s="172">
        <v>1329</v>
      </c>
      <c r="AF502" s="172">
        <v>1200000</v>
      </c>
      <c r="AI502" s="172"/>
      <c r="AJ502" s="172"/>
      <c r="AM502" s="172"/>
      <c r="AN502" s="172"/>
      <c r="AQ502" s="172"/>
      <c r="AR502" s="172"/>
      <c r="AU502" s="172"/>
      <c r="AV502" s="172"/>
      <c r="AY502" s="172"/>
      <c r="AZ502" s="172"/>
      <c r="BC502" s="172"/>
      <c r="BD502" s="172"/>
      <c r="BH502" s="172">
        <v>23</v>
      </c>
    </row>
    <row r="503" spans="1:60" ht="14.5">
      <c r="A503" s="172">
        <v>2310018</v>
      </c>
      <c r="B503" s="172">
        <v>500</v>
      </c>
      <c r="C503" s="172">
        <v>231</v>
      </c>
      <c r="D503" s="172" t="s">
        <v>591</v>
      </c>
      <c r="E503" s="172">
        <v>18</v>
      </c>
      <c r="F503" s="172" t="s">
        <v>1569</v>
      </c>
      <c r="H503" s="173"/>
      <c r="I503" s="172" t="s">
        <v>1205</v>
      </c>
      <c r="J503" s="177">
        <v>37440</v>
      </c>
      <c r="K503" s="177">
        <v>400000</v>
      </c>
      <c r="L503" s="177">
        <v>400000</v>
      </c>
      <c r="M503" s="177">
        <v>400000</v>
      </c>
      <c r="N503" s="177">
        <v>1200000</v>
      </c>
      <c r="O503" s="172"/>
      <c r="P503" s="172"/>
      <c r="Q503" s="172" t="s">
        <v>1555</v>
      </c>
      <c r="R503" s="172" t="s">
        <v>1281</v>
      </c>
      <c r="S503" s="172">
        <v>2</v>
      </c>
      <c r="T503" s="172">
        <v>0</v>
      </c>
      <c r="U503" s="172">
        <v>0</v>
      </c>
      <c r="V503" s="172"/>
      <c r="W503" s="172"/>
      <c r="Z503" s="172">
        <v>19754</v>
      </c>
      <c r="AA503" s="172">
        <v>1328</v>
      </c>
      <c r="AB503" s="172">
        <v>0.71</v>
      </c>
      <c r="AE503" s="172">
        <v>1329</v>
      </c>
      <c r="AF503" s="172">
        <v>1300000</v>
      </c>
      <c r="AI503" s="172"/>
      <c r="AJ503" s="172"/>
      <c r="AM503" s="172"/>
      <c r="AN503" s="172"/>
      <c r="AQ503" s="172"/>
      <c r="AR503" s="172"/>
      <c r="AU503" s="172"/>
      <c r="AV503" s="172"/>
      <c r="AY503" s="172"/>
      <c r="AZ503" s="172"/>
      <c r="BC503" s="172"/>
      <c r="BD503" s="172"/>
      <c r="BH503" s="172">
        <v>23</v>
      </c>
    </row>
    <row r="504" spans="1:60" ht="14.5">
      <c r="A504" s="172">
        <v>2310019</v>
      </c>
      <c r="B504" s="172">
        <v>501</v>
      </c>
      <c r="C504" s="172">
        <v>231</v>
      </c>
      <c r="D504" s="172" t="s">
        <v>591</v>
      </c>
      <c r="E504" s="172">
        <v>19</v>
      </c>
      <c r="F504" s="172" t="s">
        <v>1570</v>
      </c>
      <c r="H504" s="173"/>
      <c r="I504" s="172" t="s">
        <v>1205</v>
      </c>
      <c r="J504" s="177">
        <v>48960</v>
      </c>
      <c r="K504" s="177">
        <v>510000</v>
      </c>
      <c r="L504" s="177">
        <v>510000</v>
      </c>
      <c r="M504" s="177">
        <v>510000</v>
      </c>
      <c r="N504" s="177">
        <v>1500000</v>
      </c>
      <c r="O504" s="172"/>
      <c r="P504" s="172"/>
      <c r="Q504" s="172" t="s">
        <v>1555</v>
      </c>
      <c r="R504" s="172" t="s">
        <v>1283</v>
      </c>
      <c r="S504" s="172">
        <v>2</v>
      </c>
      <c r="T504" s="172">
        <v>0</v>
      </c>
      <c r="U504" s="172">
        <v>0</v>
      </c>
      <c r="V504" s="172"/>
      <c r="W504" s="172"/>
      <c r="Z504" s="172">
        <v>25889</v>
      </c>
      <c r="AA504" s="172">
        <v>1328</v>
      </c>
      <c r="AB504" s="172">
        <v>0.73</v>
      </c>
      <c r="AE504" s="172">
        <v>1329</v>
      </c>
      <c r="AF504" s="172">
        <v>1400000</v>
      </c>
      <c r="AI504" s="172"/>
      <c r="AJ504" s="172"/>
      <c r="AM504" s="172"/>
      <c r="AN504" s="172"/>
      <c r="AQ504" s="172"/>
      <c r="AR504" s="172"/>
      <c r="AU504" s="172"/>
      <c r="AV504" s="172"/>
      <c r="AY504" s="172"/>
      <c r="AZ504" s="172"/>
      <c r="BC504" s="172"/>
      <c r="BD504" s="172"/>
      <c r="BH504" s="172">
        <v>23</v>
      </c>
    </row>
    <row r="505" spans="1:60" ht="14.5">
      <c r="A505" s="172">
        <v>2310020</v>
      </c>
      <c r="B505" s="172">
        <v>502</v>
      </c>
      <c r="C505" s="172">
        <v>231</v>
      </c>
      <c r="D505" s="172" t="s">
        <v>591</v>
      </c>
      <c r="E505" s="172">
        <v>20</v>
      </c>
      <c r="F505" s="172" t="s">
        <v>1571</v>
      </c>
      <c r="H505" s="173"/>
      <c r="I505" s="172" t="s">
        <v>1205</v>
      </c>
      <c r="J505" s="177">
        <v>69120</v>
      </c>
      <c r="K505" s="177">
        <v>650000</v>
      </c>
      <c r="L505" s="177">
        <v>650000</v>
      </c>
      <c r="M505" s="177">
        <v>650000</v>
      </c>
      <c r="N505" s="177">
        <v>2000000</v>
      </c>
      <c r="O505" s="172"/>
      <c r="P505" s="172"/>
      <c r="Q505" s="172" t="s">
        <v>1555</v>
      </c>
      <c r="R505" s="172" t="s">
        <v>1287</v>
      </c>
      <c r="S505" s="172">
        <v>2</v>
      </c>
      <c r="T505" s="172">
        <v>0</v>
      </c>
      <c r="U505" s="172">
        <v>0</v>
      </c>
      <c r="V505" s="172"/>
      <c r="W505" s="172"/>
      <c r="Z505" s="172">
        <v>33740</v>
      </c>
      <c r="AA505" s="172">
        <v>1328</v>
      </c>
      <c r="AB505" s="172">
        <v>0.75</v>
      </c>
      <c r="AE505" s="172">
        <v>1329</v>
      </c>
      <c r="AF505" s="172">
        <v>1500000</v>
      </c>
      <c r="AI505" s="172"/>
      <c r="AJ505" s="172"/>
      <c r="AM505" s="172"/>
      <c r="AN505" s="172"/>
      <c r="AQ505" s="172"/>
      <c r="AR505" s="172"/>
      <c r="AU505" s="172"/>
      <c r="AV505" s="172"/>
      <c r="AY505" s="172"/>
      <c r="AZ505" s="172"/>
      <c r="BC505" s="172"/>
      <c r="BD505" s="172"/>
      <c r="BH505" s="172">
        <v>23</v>
      </c>
    </row>
    <row r="506" spans="1:60" ht="14.5">
      <c r="A506" s="172">
        <v>2310021</v>
      </c>
      <c r="B506" s="172">
        <v>503</v>
      </c>
      <c r="C506" s="172">
        <v>231</v>
      </c>
      <c r="D506" s="172" t="s">
        <v>591</v>
      </c>
      <c r="E506" s="172">
        <v>21</v>
      </c>
      <c r="F506" s="172" t="s">
        <v>1572</v>
      </c>
      <c r="H506" s="173"/>
      <c r="I506" s="172" t="s">
        <v>1205</v>
      </c>
      <c r="J506" s="177">
        <v>92160</v>
      </c>
      <c r="K506" s="177">
        <v>840000</v>
      </c>
      <c r="L506" s="177">
        <v>840000</v>
      </c>
      <c r="M506" s="177">
        <v>840000</v>
      </c>
      <c r="N506" s="177">
        <v>2500000</v>
      </c>
      <c r="O506" s="172"/>
      <c r="P506" s="172"/>
      <c r="Q506" s="172" t="s">
        <v>1555</v>
      </c>
      <c r="R506" s="172" t="s">
        <v>1291</v>
      </c>
      <c r="S506" s="172">
        <v>2</v>
      </c>
      <c r="T506" s="172">
        <v>0</v>
      </c>
      <c r="U506" s="172">
        <v>0</v>
      </c>
      <c r="V506" s="172"/>
      <c r="W506" s="172"/>
      <c r="Z506" s="172">
        <v>43791</v>
      </c>
      <c r="AA506" s="172">
        <v>1328</v>
      </c>
      <c r="AB506" s="172">
        <v>0.77</v>
      </c>
      <c r="AE506" s="172">
        <v>1329</v>
      </c>
      <c r="AF506" s="172">
        <v>1620000</v>
      </c>
      <c r="AI506" s="172"/>
      <c r="AJ506" s="172"/>
      <c r="AM506" s="172"/>
      <c r="AN506" s="172"/>
      <c r="AQ506" s="172"/>
      <c r="AR506" s="172"/>
      <c r="AU506" s="172"/>
      <c r="AV506" s="172"/>
      <c r="AY506" s="172"/>
      <c r="AZ506" s="172"/>
      <c r="BC506" s="172"/>
      <c r="BD506" s="172"/>
      <c r="BH506" s="172">
        <v>23</v>
      </c>
    </row>
    <row r="507" spans="1:60" ht="14.5">
      <c r="A507" s="172">
        <v>2310022</v>
      </c>
      <c r="B507" s="172">
        <v>504</v>
      </c>
      <c r="C507" s="172">
        <v>231</v>
      </c>
      <c r="D507" s="172" t="s">
        <v>591</v>
      </c>
      <c r="E507" s="172">
        <v>22</v>
      </c>
      <c r="F507" s="172" t="s">
        <v>1573</v>
      </c>
      <c r="H507" s="173"/>
      <c r="I507" s="172" t="s">
        <v>1205</v>
      </c>
      <c r="J507" s="177">
        <v>120960</v>
      </c>
      <c r="K507" s="177">
        <v>1100000</v>
      </c>
      <c r="L507" s="177">
        <v>1100000</v>
      </c>
      <c r="M507" s="177">
        <v>1100000</v>
      </c>
      <c r="N507" s="177">
        <v>3200000</v>
      </c>
      <c r="O507" s="172"/>
      <c r="P507" s="172"/>
      <c r="Q507" s="172" t="s">
        <v>1555</v>
      </c>
      <c r="R507" s="172" t="s">
        <v>1295</v>
      </c>
      <c r="S507" s="172">
        <v>2</v>
      </c>
      <c r="T507" s="172">
        <v>0</v>
      </c>
      <c r="U507" s="172">
        <v>0</v>
      </c>
      <c r="V507" s="172"/>
      <c r="W507" s="172"/>
      <c r="Z507" s="172">
        <v>56656</v>
      </c>
      <c r="AA507" s="172">
        <v>1328</v>
      </c>
      <c r="AB507" s="172">
        <v>0.79</v>
      </c>
      <c r="AE507" s="172">
        <v>1329</v>
      </c>
      <c r="AF507" s="172">
        <v>1740000</v>
      </c>
      <c r="AI507" s="172"/>
      <c r="AJ507" s="172"/>
      <c r="AM507" s="172"/>
      <c r="AN507" s="172"/>
      <c r="AQ507" s="172"/>
      <c r="AR507" s="172"/>
      <c r="AU507" s="172"/>
      <c r="AV507" s="172"/>
      <c r="AY507" s="172"/>
      <c r="AZ507" s="172"/>
      <c r="BC507" s="172"/>
      <c r="BD507" s="172"/>
      <c r="BH507" s="172">
        <v>23</v>
      </c>
    </row>
    <row r="508" spans="1:60" ht="14.5">
      <c r="A508" s="172">
        <v>2310023</v>
      </c>
      <c r="B508" s="172">
        <v>505</v>
      </c>
      <c r="C508" s="172">
        <v>231</v>
      </c>
      <c r="D508" s="172" t="s">
        <v>591</v>
      </c>
      <c r="E508" s="172">
        <v>23</v>
      </c>
      <c r="F508" s="172" t="s">
        <v>1574</v>
      </c>
      <c r="H508" s="173"/>
      <c r="I508" s="172" t="s">
        <v>1205</v>
      </c>
      <c r="J508" s="177">
        <v>155520</v>
      </c>
      <c r="K508" s="177">
        <v>1400000</v>
      </c>
      <c r="L508" s="177">
        <v>1400000</v>
      </c>
      <c r="M508" s="177">
        <v>1400000</v>
      </c>
      <c r="N508" s="177">
        <v>4100000</v>
      </c>
      <c r="O508" s="172"/>
      <c r="P508" s="172"/>
      <c r="Q508" s="172" t="s">
        <v>1555</v>
      </c>
      <c r="R508" s="172" t="s">
        <v>1298</v>
      </c>
      <c r="S508" s="172">
        <v>2</v>
      </c>
      <c r="T508" s="172">
        <v>0</v>
      </c>
      <c r="U508" s="172">
        <v>0</v>
      </c>
      <c r="V508" s="172"/>
      <c r="W508" s="172"/>
      <c r="Z508" s="172">
        <v>73122</v>
      </c>
      <c r="AA508" s="172">
        <v>1328</v>
      </c>
      <c r="AB508" s="172">
        <v>0.81</v>
      </c>
      <c r="AE508" s="172">
        <v>1329</v>
      </c>
      <c r="AF508" s="172">
        <v>1860000</v>
      </c>
      <c r="AI508" s="172"/>
      <c r="AJ508" s="172"/>
      <c r="AM508" s="172"/>
      <c r="AN508" s="172"/>
      <c r="AQ508" s="172"/>
      <c r="AR508" s="172"/>
      <c r="AU508" s="172"/>
      <c r="AV508" s="172"/>
      <c r="AY508" s="172"/>
      <c r="AZ508" s="172"/>
      <c r="BC508" s="172"/>
      <c r="BD508" s="172"/>
      <c r="BH508" s="172">
        <v>23</v>
      </c>
    </row>
    <row r="509" spans="1:60" ht="14.5">
      <c r="A509" s="172">
        <v>2310024</v>
      </c>
      <c r="B509" s="172">
        <v>506</v>
      </c>
      <c r="C509" s="172">
        <v>231</v>
      </c>
      <c r="D509" s="172" t="s">
        <v>591</v>
      </c>
      <c r="E509" s="172">
        <v>24</v>
      </c>
      <c r="F509" s="172" t="s">
        <v>1575</v>
      </c>
      <c r="H509" s="173"/>
      <c r="I509" s="172" t="s">
        <v>1205</v>
      </c>
      <c r="J509" s="177">
        <v>198720</v>
      </c>
      <c r="K509" s="177">
        <v>1800000</v>
      </c>
      <c r="L509" s="177">
        <v>1800000</v>
      </c>
      <c r="M509" s="177">
        <v>1800000</v>
      </c>
      <c r="N509" s="177">
        <v>5300000</v>
      </c>
      <c r="O509" s="172"/>
      <c r="P509" s="172"/>
      <c r="Q509" s="172" t="s">
        <v>1555</v>
      </c>
      <c r="R509" s="172" t="s">
        <v>1302</v>
      </c>
      <c r="S509" s="172">
        <v>2</v>
      </c>
      <c r="T509" s="172">
        <v>0</v>
      </c>
      <c r="U509" s="172">
        <v>0</v>
      </c>
      <c r="V509" s="172"/>
      <c r="W509" s="172"/>
      <c r="Z509" s="172">
        <v>94200</v>
      </c>
      <c r="AA509" s="172">
        <v>1328</v>
      </c>
      <c r="AB509" s="172">
        <v>0.83</v>
      </c>
      <c r="AE509" s="172">
        <v>1329</v>
      </c>
      <c r="AF509" s="172">
        <v>1980000</v>
      </c>
      <c r="AI509" s="172"/>
      <c r="AJ509" s="172"/>
      <c r="AM509" s="172"/>
      <c r="AN509" s="172"/>
      <c r="AQ509" s="172"/>
      <c r="AR509" s="172"/>
      <c r="AU509" s="172"/>
      <c r="AV509" s="172"/>
      <c r="AY509" s="172"/>
      <c r="AZ509" s="172"/>
      <c r="BC509" s="172"/>
      <c r="BD509" s="172"/>
      <c r="BH509" s="172">
        <v>23</v>
      </c>
    </row>
    <row r="510" spans="1:60" ht="14.5">
      <c r="A510" s="172">
        <v>2310025</v>
      </c>
      <c r="B510" s="172">
        <v>507</v>
      </c>
      <c r="C510" s="172">
        <v>231</v>
      </c>
      <c r="D510" s="172" t="s">
        <v>591</v>
      </c>
      <c r="E510" s="172">
        <v>25</v>
      </c>
      <c r="F510" s="172" t="s">
        <v>1576</v>
      </c>
      <c r="H510" s="173"/>
      <c r="I510" s="172" t="s">
        <v>1205</v>
      </c>
      <c r="J510" s="177">
        <v>250560</v>
      </c>
      <c r="K510" s="177">
        <v>2200000</v>
      </c>
      <c r="L510" s="177">
        <v>2200000</v>
      </c>
      <c r="M510" s="177">
        <v>2200000</v>
      </c>
      <c r="N510" s="177">
        <v>6700000</v>
      </c>
      <c r="O510" s="172"/>
      <c r="P510" s="172"/>
      <c r="Q510" s="172" t="s">
        <v>1555</v>
      </c>
      <c r="R510" s="172" t="s">
        <v>1305</v>
      </c>
      <c r="S510" s="172">
        <v>2</v>
      </c>
      <c r="T510" s="172">
        <v>0</v>
      </c>
      <c r="U510" s="172">
        <v>0</v>
      </c>
      <c r="V510" s="172"/>
      <c r="W510" s="172"/>
      <c r="Z510" s="172">
        <v>121179</v>
      </c>
      <c r="AA510" s="172">
        <v>1328</v>
      </c>
      <c r="AB510" s="172">
        <v>0.85</v>
      </c>
      <c r="AE510" s="172">
        <v>1329</v>
      </c>
      <c r="AF510" s="172">
        <v>2100000</v>
      </c>
      <c r="AI510" s="172"/>
      <c r="AJ510" s="172"/>
      <c r="AM510" s="172"/>
      <c r="AN510" s="172"/>
      <c r="AQ510" s="172"/>
      <c r="AR510" s="172"/>
      <c r="AU510" s="172"/>
      <c r="AV510" s="172"/>
      <c r="AY510" s="172"/>
      <c r="AZ510" s="172"/>
      <c r="BC510" s="172"/>
      <c r="BD510" s="172"/>
      <c r="BH510" s="172">
        <v>23</v>
      </c>
    </row>
    <row r="511" spans="1:60" ht="14.5">
      <c r="A511" s="172">
        <v>2310026</v>
      </c>
      <c r="B511" s="172">
        <v>508</v>
      </c>
      <c r="C511" s="172">
        <v>231</v>
      </c>
      <c r="D511" s="172" t="s">
        <v>591</v>
      </c>
      <c r="E511" s="172">
        <v>26</v>
      </c>
      <c r="F511" s="172" t="s">
        <v>1577</v>
      </c>
      <c r="H511" s="173"/>
      <c r="I511" s="172" t="s">
        <v>1205</v>
      </c>
      <c r="J511" s="177">
        <v>311040</v>
      </c>
      <c r="K511" s="177">
        <v>2900000</v>
      </c>
      <c r="L511" s="177">
        <v>2900000</v>
      </c>
      <c r="M511" s="177">
        <v>2900000</v>
      </c>
      <c r="N511" s="177">
        <v>8600000</v>
      </c>
      <c r="O511" s="172"/>
      <c r="P511" s="172"/>
      <c r="Q511" s="172" t="s">
        <v>1555</v>
      </c>
      <c r="R511" s="172" t="s">
        <v>1308</v>
      </c>
      <c r="S511" s="172">
        <v>2</v>
      </c>
      <c r="T511" s="172">
        <v>0</v>
      </c>
      <c r="U511" s="172">
        <v>0</v>
      </c>
      <c r="V511" s="172"/>
      <c r="W511" s="172"/>
      <c r="Z511" s="172">
        <v>155712</v>
      </c>
      <c r="AA511" s="172">
        <v>1328</v>
      </c>
      <c r="AB511" s="172">
        <v>0.88</v>
      </c>
      <c r="AE511" s="172">
        <v>1329</v>
      </c>
      <c r="AF511" s="172">
        <v>2240000</v>
      </c>
      <c r="AI511" s="172"/>
      <c r="AJ511" s="172"/>
      <c r="AM511" s="172"/>
      <c r="AN511" s="172"/>
      <c r="AQ511" s="172"/>
      <c r="AR511" s="172"/>
      <c r="AU511" s="172"/>
      <c r="AV511" s="172"/>
      <c r="AY511" s="172"/>
      <c r="AZ511" s="172"/>
      <c r="BC511" s="172"/>
      <c r="BD511" s="172"/>
      <c r="BH511" s="172">
        <v>23</v>
      </c>
    </row>
    <row r="512" spans="1:60" ht="14.5">
      <c r="A512" s="172">
        <v>2310027</v>
      </c>
      <c r="B512" s="172">
        <v>509</v>
      </c>
      <c r="C512" s="172">
        <v>231</v>
      </c>
      <c r="D512" s="172" t="s">
        <v>591</v>
      </c>
      <c r="E512" s="172">
        <v>27</v>
      </c>
      <c r="F512" s="172" t="s">
        <v>1578</v>
      </c>
      <c r="H512" s="173"/>
      <c r="I512" s="172" t="s">
        <v>1205</v>
      </c>
      <c r="J512" s="177">
        <v>380160</v>
      </c>
      <c r="K512" s="177">
        <v>3700000</v>
      </c>
      <c r="L512" s="177">
        <v>3700000</v>
      </c>
      <c r="M512" s="177">
        <v>3700000</v>
      </c>
      <c r="N512" s="177">
        <v>11000000</v>
      </c>
      <c r="O512" s="172"/>
      <c r="P512" s="172"/>
      <c r="Q512" s="172" t="s">
        <v>1555</v>
      </c>
      <c r="R512" s="172" t="s">
        <v>1311</v>
      </c>
      <c r="S512" s="172">
        <v>2</v>
      </c>
      <c r="T512" s="172">
        <v>0</v>
      </c>
      <c r="U512" s="172">
        <v>0</v>
      </c>
      <c r="V512" s="172"/>
      <c r="W512" s="172"/>
      <c r="Z512" s="172">
        <v>199914</v>
      </c>
      <c r="AA512" s="172">
        <v>1328</v>
      </c>
      <c r="AB512" s="172">
        <v>0.91</v>
      </c>
      <c r="AE512" s="172">
        <v>1329</v>
      </c>
      <c r="AF512" s="172">
        <v>2400000</v>
      </c>
      <c r="AI512" s="172"/>
      <c r="AJ512" s="172"/>
      <c r="AM512" s="172"/>
      <c r="AN512" s="172"/>
      <c r="AQ512" s="172"/>
      <c r="AR512" s="172"/>
      <c r="AU512" s="172"/>
      <c r="AV512" s="172"/>
      <c r="AY512" s="172"/>
      <c r="AZ512" s="172"/>
      <c r="BC512" s="172"/>
      <c r="BD512" s="172"/>
      <c r="BH512" s="172">
        <v>23</v>
      </c>
    </row>
    <row r="513" spans="1:69" ht="14.5">
      <c r="A513" s="172">
        <v>2310028</v>
      </c>
      <c r="B513" s="172">
        <v>510</v>
      </c>
      <c r="C513" s="172">
        <v>231</v>
      </c>
      <c r="D513" s="172" t="s">
        <v>591</v>
      </c>
      <c r="E513" s="172">
        <v>28</v>
      </c>
      <c r="F513" s="172" t="s">
        <v>1579</v>
      </c>
      <c r="H513" s="173"/>
      <c r="I513" s="172" t="s">
        <v>1205</v>
      </c>
      <c r="J513" s="177">
        <v>466560</v>
      </c>
      <c r="K513" s="177">
        <v>4700000</v>
      </c>
      <c r="L513" s="177">
        <v>4700000</v>
      </c>
      <c r="M513" s="177">
        <v>4700000</v>
      </c>
      <c r="N513" s="177">
        <v>14000000</v>
      </c>
      <c r="O513" s="172"/>
      <c r="P513" s="172"/>
      <c r="Q513" s="172" t="s">
        <v>1555</v>
      </c>
      <c r="R513" s="172" t="s">
        <v>1314</v>
      </c>
      <c r="S513" s="172">
        <v>2</v>
      </c>
      <c r="T513" s="172">
        <v>0</v>
      </c>
      <c r="U513" s="172">
        <v>0</v>
      </c>
      <c r="V513" s="172"/>
      <c r="W513" s="172"/>
      <c r="Z513" s="172">
        <v>256493</v>
      </c>
      <c r="AA513" s="172">
        <v>1328</v>
      </c>
      <c r="AB513" s="172">
        <v>0.94</v>
      </c>
      <c r="AE513" s="172">
        <v>1329</v>
      </c>
      <c r="AF513" s="172">
        <v>2580000</v>
      </c>
      <c r="AI513" s="172"/>
      <c r="AJ513" s="172"/>
      <c r="AM513" s="172"/>
      <c r="AN513" s="172"/>
      <c r="AQ513" s="172"/>
      <c r="AR513" s="172"/>
      <c r="AU513" s="172"/>
      <c r="AV513" s="172"/>
      <c r="AY513" s="172"/>
      <c r="AZ513" s="172"/>
      <c r="BC513" s="172"/>
      <c r="BD513" s="172"/>
      <c r="BH513" s="172">
        <v>23</v>
      </c>
    </row>
    <row r="514" spans="1:69" ht="14.5">
      <c r="A514" s="172">
        <v>2310029</v>
      </c>
      <c r="B514" s="172">
        <v>511</v>
      </c>
      <c r="C514" s="172">
        <v>231</v>
      </c>
      <c r="D514" s="172" t="s">
        <v>591</v>
      </c>
      <c r="E514" s="172">
        <v>29</v>
      </c>
      <c r="F514" s="172" t="s">
        <v>1580</v>
      </c>
      <c r="H514" s="173"/>
      <c r="I514" s="172" t="s">
        <v>1205</v>
      </c>
      <c r="J514" s="177">
        <v>570240</v>
      </c>
      <c r="K514" s="177">
        <v>6000000</v>
      </c>
      <c r="L514" s="177">
        <v>6000000</v>
      </c>
      <c r="M514" s="177">
        <v>6000000</v>
      </c>
      <c r="N514" s="177">
        <v>18000000</v>
      </c>
      <c r="O514" s="172"/>
      <c r="P514" s="172"/>
      <c r="Q514" s="172" t="s">
        <v>1555</v>
      </c>
      <c r="R514" s="172" t="s">
        <v>1317</v>
      </c>
      <c r="S514" s="172">
        <v>2</v>
      </c>
      <c r="T514" s="172">
        <v>0</v>
      </c>
      <c r="U514" s="172">
        <v>0</v>
      </c>
      <c r="V514" s="172"/>
      <c r="W514" s="172"/>
      <c r="Z514" s="172">
        <v>328914</v>
      </c>
      <c r="AA514" s="172">
        <v>1328</v>
      </c>
      <c r="AB514" s="172">
        <v>0.97</v>
      </c>
      <c r="AE514" s="172">
        <v>1329</v>
      </c>
      <c r="AF514" s="172">
        <v>2780000</v>
      </c>
      <c r="AI514" s="172"/>
      <c r="AJ514" s="172"/>
      <c r="AM514" s="172"/>
      <c r="AN514" s="172"/>
      <c r="AQ514" s="172"/>
      <c r="AR514" s="172"/>
      <c r="AU514" s="172"/>
      <c r="AV514" s="172"/>
      <c r="AY514" s="172"/>
      <c r="AZ514" s="172"/>
      <c r="BC514" s="172"/>
      <c r="BD514" s="172"/>
      <c r="BH514" s="172">
        <v>23</v>
      </c>
    </row>
    <row r="515" spans="1:69" ht="14.5">
      <c r="A515" s="172">
        <v>2310030</v>
      </c>
      <c r="B515" s="172">
        <v>512</v>
      </c>
      <c r="C515" s="172">
        <v>231</v>
      </c>
      <c r="D515" s="172" t="s">
        <v>591</v>
      </c>
      <c r="E515" s="172">
        <v>30</v>
      </c>
      <c r="F515" s="172" t="s">
        <v>1581</v>
      </c>
      <c r="H515" s="173"/>
      <c r="I515" s="172" t="s">
        <v>1205</v>
      </c>
      <c r="J515" s="177">
        <v>691200</v>
      </c>
      <c r="K515" s="177">
        <v>7700000</v>
      </c>
      <c r="L515" s="177">
        <v>7700000</v>
      </c>
      <c r="M515" s="177">
        <v>7700000</v>
      </c>
      <c r="N515" s="177">
        <v>23000000</v>
      </c>
      <c r="O515" s="172"/>
      <c r="P515" s="172"/>
      <c r="Q515" s="172" t="s">
        <v>1555</v>
      </c>
      <c r="R515" s="172" t="s">
        <v>1406</v>
      </c>
      <c r="S515" s="172">
        <v>2</v>
      </c>
      <c r="T515" s="172">
        <v>0</v>
      </c>
      <c r="U515" s="172">
        <v>0</v>
      </c>
      <c r="V515" s="172"/>
      <c r="W515" s="172"/>
      <c r="Z515" s="172">
        <v>421613</v>
      </c>
      <c r="AA515" s="172">
        <v>1328</v>
      </c>
      <c r="AB515" s="172">
        <v>1</v>
      </c>
      <c r="AE515" s="172">
        <v>1329</v>
      </c>
      <c r="AF515" s="172">
        <v>3000000</v>
      </c>
      <c r="AI515" s="172"/>
      <c r="AJ515" s="172"/>
      <c r="AM515" s="172"/>
      <c r="AN515" s="172"/>
      <c r="AQ515" s="172"/>
      <c r="AR515" s="172"/>
      <c r="AU515" s="172"/>
      <c r="AV515" s="172"/>
      <c r="AY515" s="172"/>
      <c r="AZ515" s="172"/>
      <c r="BC515" s="172"/>
      <c r="BD515" s="172"/>
      <c r="BH515" s="172">
        <v>23</v>
      </c>
    </row>
    <row r="516" spans="1:69" ht="14.5">
      <c r="A516" s="180">
        <v>2070001</v>
      </c>
      <c r="B516" s="180">
        <v>513</v>
      </c>
      <c r="C516" s="180">
        <v>207</v>
      </c>
      <c r="D516" s="180" t="s">
        <v>595</v>
      </c>
      <c r="E516" s="180">
        <v>1</v>
      </c>
      <c r="F516" s="180" t="s">
        <v>596</v>
      </c>
      <c r="H516" s="181"/>
      <c r="I516" s="180">
        <v>0</v>
      </c>
      <c r="J516" s="182">
        <v>1</v>
      </c>
      <c r="K516" s="182">
        <v>0</v>
      </c>
      <c r="L516" s="182">
        <v>0</v>
      </c>
      <c r="M516" s="182">
        <v>0</v>
      </c>
      <c r="N516" s="182">
        <v>0</v>
      </c>
      <c r="O516" s="180"/>
      <c r="P516" s="180"/>
      <c r="Q516" s="180" t="s">
        <v>1582</v>
      </c>
      <c r="R516" s="180" t="s">
        <v>229</v>
      </c>
      <c r="S516" s="180">
        <v>1</v>
      </c>
      <c r="T516" s="180">
        <v>0</v>
      </c>
      <c r="U516" s="180">
        <v>0</v>
      </c>
      <c r="V516" s="180" t="s">
        <v>229</v>
      </c>
      <c r="W516" s="180" t="s">
        <v>1583</v>
      </c>
      <c r="Z516" s="180">
        <v>0</v>
      </c>
      <c r="AA516" s="180">
        <v>1015</v>
      </c>
      <c r="AB516" s="180">
        <v>200</v>
      </c>
      <c r="AE516" s="180"/>
      <c r="AF516" s="180"/>
      <c r="AI516" s="172"/>
      <c r="AJ516" s="172"/>
      <c r="AK516" s="172"/>
      <c r="AL516" s="172"/>
      <c r="AM516" s="172"/>
      <c r="AN516" s="172"/>
      <c r="AO516" s="172"/>
      <c r="AP516" s="172"/>
      <c r="AQ516" s="172"/>
      <c r="AR516" s="172"/>
      <c r="AS516" s="172"/>
      <c r="AT516" s="172"/>
      <c r="AU516" s="172"/>
      <c r="AV516" s="172"/>
      <c r="AW516" s="172"/>
      <c r="AX516" s="172"/>
      <c r="AY516" s="172"/>
      <c r="AZ516" s="172"/>
      <c r="BA516" s="172"/>
      <c r="BB516" s="172"/>
      <c r="BC516" s="172"/>
      <c r="BD516" s="172"/>
      <c r="BE516" s="186"/>
      <c r="BF516" s="186"/>
      <c r="BH516" s="180">
        <v>28</v>
      </c>
      <c r="BN516" s="180">
        <v>3</v>
      </c>
      <c r="BO516" s="180" t="s">
        <v>1360</v>
      </c>
      <c r="BP516" s="180">
        <v>10003604</v>
      </c>
      <c r="BQ516" s="180">
        <v>300</v>
      </c>
    </row>
    <row r="517" spans="1:69" ht="14.5">
      <c r="A517" s="180">
        <v>2360001</v>
      </c>
      <c r="B517" s="180">
        <v>514</v>
      </c>
      <c r="C517" s="180">
        <v>236</v>
      </c>
      <c r="D517" s="180" t="s">
        <v>999</v>
      </c>
      <c r="E517" s="180">
        <v>1</v>
      </c>
      <c r="F517" s="180" t="s">
        <v>1584</v>
      </c>
      <c r="G517" s="180"/>
      <c r="H517" s="181"/>
      <c r="I517" s="180" t="s">
        <v>1205</v>
      </c>
      <c r="J517" s="182">
        <v>25</v>
      </c>
      <c r="K517" s="182">
        <v>0</v>
      </c>
      <c r="L517" s="182">
        <v>0</v>
      </c>
      <c r="M517" s="182">
        <v>0</v>
      </c>
      <c r="N517" s="182">
        <v>0</v>
      </c>
      <c r="O517" s="180"/>
      <c r="P517" s="180"/>
      <c r="Q517" s="180" t="s">
        <v>1318</v>
      </c>
      <c r="R517" s="180" t="s">
        <v>229</v>
      </c>
      <c r="S517" s="180">
        <v>1</v>
      </c>
      <c r="T517" s="180">
        <v>0</v>
      </c>
      <c r="U517" s="180">
        <v>0</v>
      </c>
      <c r="V517" s="180"/>
      <c r="W517" s="180"/>
      <c r="X517" s="180"/>
      <c r="Y517" s="180"/>
      <c r="Z517" s="180">
        <v>0</v>
      </c>
      <c r="AA517" s="180"/>
      <c r="AB517" s="180"/>
      <c r="AC517" s="180"/>
      <c r="AD517" s="180"/>
      <c r="AE517" s="180"/>
      <c r="AF517" s="180"/>
      <c r="AG517" s="180"/>
      <c r="AH517" s="180"/>
      <c r="AI517" s="172"/>
      <c r="AJ517" s="172"/>
      <c r="AK517" s="172"/>
      <c r="AL517" s="172"/>
      <c r="AM517" s="172"/>
      <c r="AN517" s="172"/>
      <c r="AO517" s="172"/>
      <c r="AP517" s="172"/>
      <c r="AQ517" s="172"/>
      <c r="AR517" s="172"/>
      <c r="AS517" s="172"/>
      <c r="AT517" s="172"/>
      <c r="AU517" s="172"/>
      <c r="AV517" s="172"/>
      <c r="AW517" s="172"/>
      <c r="AX517" s="172"/>
      <c r="AY517" s="172"/>
      <c r="AZ517" s="172"/>
      <c r="BA517" s="172"/>
      <c r="BB517" s="172"/>
      <c r="BC517" s="172"/>
      <c r="BD517" s="172"/>
      <c r="BE517" s="187"/>
      <c r="BF517" s="187"/>
      <c r="BG517" s="180"/>
      <c r="BH517" s="180">
        <v>24</v>
      </c>
      <c r="BI517" s="180"/>
    </row>
    <row r="518" spans="1:69" ht="14.5">
      <c r="A518" s="180">
        <v>2130001</v>
      </c>
      <c r="B518" s="180">
        <v>515</v>
      </c>
      <c r="C518" s="180">
        <v>213</v>
      </c>
      <c r="D518" s="180" t="s">
        <v>599</v>
      </c>
      <c r="E518" s="180">
        <v>1</v>
      </c>
      <c r="F518" s="180" t="s">
        <v>600</v>
      </c>
      <c r="H518" s="181"/>
      <c r="I518" s="180" t="s">
        <v>1205</v>
      </c>
      <c r="J518" s="182">
        <v>1</v>
      </c>
      <c r="K518" s="182">
        <v>0</v>
      </c>
      <c r="L518" s="182">
        <v>0</v>
      </c>
      <c r="M518" s="182">
        <v>0</v>
      </c>
      <c r="N518" s="182">
        <v>0</v>
      </c>
      <c r="O518" s="180"/>
      <c r="P518" s="180"/>
      <c r="Q518" s="180" t="s">
        <v>1318</v>
      </c>
      <c r="R518" s="180" t="s">
        <v>1320</v>
      </c>
      <c r="S518" s="180">
        <v>1</v>
      </c>
      <c r="T518" s="180">
        <v>0</v>
      </c>
      <c r="U518" s="180">
        <v>0</v>
      </c>
      <c r="V518" s="180"/>
      <c r="W518" s="180"/>
      <c r="Z518" s="180">
        <v>0</v>
      </c>
      <c r="AA518" s="180"/>
      <c r="AB518" s="180"/>
      <c r="AE518" s="180"/>
      <c r="AF518" s="180"/>
      <c r="AI518" s="172"/>
      <c r="AJ518" s="172"/>
      <c r="AK518" s="172"/>
      <c r="AL518" s="172"/>
      <c r="AM518" s="172"/>
      <c r="AN518" s="172"/>
      <c r="AO518" s="172"/>
      <c r="AP518" s="172"/>
      <c r="AQ518" s="172"/>
      <c r="AR518" s="172"/>
      <c r="AS518" s="172"/>
      <c r="AT518" s="172"/>
      <c r="AU518" s="172"/>
      <c r="AV518" s="172"/>
      <c r="AW518" s="172"/>
      <c r="AX518" s="172"/>
      <c r="AY518" s="172"/>
      <c r="AZ518" s="172"/>
      <c r="BA518" s="172"/>
      <c r="BB518" s="172"/>
      <c r="BC518" s="172"/>
      <c r="BD518" s="172"/>
      <c r="BE518" s="187"/>
      <c r="BF518" s="187"/>
      <c r="BH518" s="180">
        <v>6</v>
      </c>
    </row>
    <row r="519" spans="1:69" ht="14.5">
      <c r="A519" s="172">
        <v>2370001</v>
      </c>
      <c r="B519" s="172">
        <v>516</v>
      </c>
      <c r="C519" s="172">
        <v>237</v>
      </c>
      <c r="D519" s="172" t="s">
        <v>565</v>
      </c>
      <c r="E519" s="172">
        <v>1</v>
      </c>
      <c r="F519" s="172" t="s">
        <v>566</v>
      </c>
      <c r="G519" s="172"/>
      <c r="H519" s="173"/>
      <c r="I519" s="172" t="s">
        <v>1205</v>
      </c>
      <c r="J519" s="177">
        <v>25</v>
      </c>
      <c r="K519" s="177">
        <v>500</v>
      </c>
      <c r="L519" s="177">
        <v>1000</v>
      </c>
      <c r="M519" s="177">
        <v>0</v>
      </c>
      <c r="N519" s="177">
        <v>0</v>
      </c>
      <c r="O519" s="172"/>
      <c r="P519" s="172"/>
      <c r="Q519" s="172" t="s">
        <v>1318</v>
      </c>
      <c r="R519" s="172" t="s">
        <v>229</v>
      </c>
      <c r="S519" s="172">
        <v>1</v>
      </c>
      <c r="T519" s="172">
        <v>0</v>
      </c>
      <c r="U519" s="172">
        <v>0</v>
      </c>
      <c r="V519" s="172" t="s">
        <v>158</v>
      </c>
      <c r="W519" s="172" t="s">
        <v>1585</v>
      </c>
      <c r="X519" s="172"/>
      <c r="Y519" s="172"/>
      <c r="Z519" s="172">
        <v>3</v>
      </c>
      <c r="AA519" s="172">
        <v>10000601</v>
      </c>
      <c r="AB519" s="172">
        <v>10</v>
      </c>
      <c r="AC519" s="172"/>
      <c r="AD519" s="172"/>
      <c r="AE519" s="172">
        <v>10000701</v>
      </c>
      <c r="AF519" s="172">
        <v>0.02</v>
      </c>
      <c r="AG519" s="172"/>
      <c r="AH519" s="172"/>
      <c r="AI519" s="172"/>
      <c r="AJ519" s="172"/>
      <c r="AK519" s="172"/>
      <c r="AL519" s="172"/>
      <c r="AM519" s="172"/>
      <c r="AN519" s="172"/>
      <c r="AO519" s="172"/>
      <c r="AP519" s="172"/>
      <c r="AQ519" s="172"/>
      <c r="AR519" s="172"/>
      <c r="AS519" s="172"/>
      <c r="AT519" s="172"/>
      <c r="AU519" s="172"/>
      <c r="AV519" s="172"/>
      <c r="AW519" s="172"/>
      <c r="AX519" s="172"/>
      <c r="AY519" s="172"/>
      <c r="AZ519" s="172"/>
      <c r="BA519" s="172"/>
      <c r="BB519" s="172"/>
      <c r="BC519" s="172"/>
      <c r="BD519" s="172"/>
      <c r="BE519" s="172"/>
      <c r="BF519" s="172"/>
      <c r="BG519" s="172"/>
      <c r="BH519" s="172">
        <v>24</v>
      </c>
      <c r="BI519" s="172"/>
      <c r="BM519" s="47">
        <v>3</v>
      </c>
    </row>
    <row r="520" spans="1:69" ht="14.5">
      <c r="A520" s="172">
        <v>2370002</v>
      </c>
      <c r="B520" s="172">
        <v>517</v>
      </c>
      <c r="C520" s="172">
        <v>237</v>
      </c>
      <c r="D520" s="172" t="s">
        <v>565</v>
      </c>
      <c r="E520" s="172">
        <v>2</v>
      </c>
      <c r="F520" s="172" t="s">
        <v>570</v>
      </c>
      <c r="G520" s="172"/>
      <c r="H520" s="173"/>
      <c r="I520" s="172" t="s">
        <v>1205</v>
      </c>
      <c r="J520" s="177">
        <v>54</v>
      </c>
      <c r="K520" s="177">
        <v>1000</v>
      </c>
      <c r="L520" s="177">
        <v>2000</v>
      </c>
      <c r="M520" s="177">
        <v>0</v>
      </c>
      <c r="N520" s="177">
        <v>0</v>
      </c>
      <c r="O520" s="172"/>
      <c r="P520" s="172"/>
      <c r="Q520" s="172" t="s">
        <v>1318</v>
      </c>
      <c r="R520" s="172" t="s">
        <v>1320</v>
      </c>
      <c r="S520" s="172">
        <v>1</v>
      </c>
      <c r="T520" s="172">
        <v>0</v>
      </c>
      <c r="U520" s="172">
        <v>0</v>
      </c>
      <c r="V520" s="172"/>
      <c r="W520" s="172"/>
      <c r="X520" s="172"/>
      <c r="Y520" s="172"/>
      <c r="Z520" s="172">
        <v>9</v>
      </c>
      <c r="AA520" s="172">
        <v>10000601</v>
      </c>
      <c r="AB520" s="172">
        <v>10</v>
      </c>
      <c r="AC520" s="172"/>
      <c r="AD520" s="172"/>
      <c r="AE520" s="172">
        <v>10000701</v>
      </c>
      <c r="AF520" s="172">
        <v>0.04</v>
      </c>
      <c r="AG520" s="172"/>
      <c r="AH520" s="172"/>
      <c r="AI520" s="172"/>
      <c r="AJ520" s="172"/>
      <c r="AK520" s="172"/>
      <c r="AL520" s="172"/>
      <c r="AM520" s="172"/>
      <c r="AN520" s="172"/>
      <c r="AO520" s="172"/>
      <c r="AP520" s="172"/>
      <c r="AQ520" s="172"/>
      <c r="AR520" s="172"/>
      <c r="AS520" s="172"/>
      <c r="AT520" s="172"/>
      <c r="AU520" s="172"/>
      <c r="AV520" s="172"/>
      <c r="AW520" s="172"/>
      <c r="AX520" s="172"/>
      <c r="AY520" s="172"/>
      <c r="AZ520" s="172"/>
      <c r="BA520" s="172"/>
      <c r="BB520" s="172"/>
      <c r="BC520" s="172"/>
      <c r="BD520" s="172"/>
      <c r="BE520" s="172"/>
      <c r="BF520" s="172"/>
      <c r="BG520" s="172"/>
      <c r="BH520" s="172">
        <v>24</v>
      </c>
      <c r="BI520" s="172"/>
    </row>
    <row r="521" spans="1:69" ht="14.5">
      <c r="A521" s="172">
        <v>2370003</v>
      </c>
      <c r="B521" s="172">
        <v>518</v>
      </c>
      <c r="C521" s="172">
        <v>237</v>
      </c>
      <c r="D521" s="172" t="s">
        <v>565</v>
      </c>
      <c r="E521" s="172">
        <v>3</v>
      </c>
      <c r="F521" s="172" t="s">
        <v>571</v>
      </c>
      <c r="G521" s="172"/>
      <c r="H521" s="173"/>
      <c r="I521" s="172" t="s">
        <v>1205</v>
      </c>
      <c r="J521" s="177">
        <v>108</v>
      </c>
      <c r="K521" s="177">
        <v>2000</v>
      </c>
      <c r="L521" s="177">
        <v>4000</v>
      </c>
      <c r="M521" s="177">
        <v>0</v>
      </c>
      <c r="N521" s="177">
        <v>0</v>
      </c>
      <c r="O521" s="172"/>
      <c r="P521" s="172"/>
      <c r="Q521" s="172" t="s">
        <v>1318</v>
      </c>
      <c r="R521" s="172" t="s">
        <v>1321</v>
      </c>
      <c r="S521" s="172">
        <v>1</v>
      </c>
      <c r="T521" s="172">
        <v>0</v>
      </c>
      <c r="U521" s="172">
        <v>0</v>
      </c>
      <c r="V521" s="172"/>
      <c r="W521" s="172"/>
      <c r="X521" s="172"/>
      <c r="Y521" s="172"/>
      <c r="Z521" s="172">
        <v>21</v>
      </c>
      <c r="AA521" s="172">
        <v>10000601</v>
      </c>
      <c r="AB521" s="172">
        <v>10</v>
      </c>
      <c r="AC521" s="172"/>
      <c r="AD521" s="172"/>
      <c r="AE521" s="172">
        <v>10000701</v>
      </c>
      <c r="AF521" s="172">
        <v>0.06</v>
      </c>
      <c r="AG521" s="172"/>
      <c r="AH521" s="172"/>
      <c r="AI521" s="172"/>
      <c r="AJ521" s="172"/>
      <c r="AK521" s="172"/>
      <c r="AL521" s="172"/>
      <c r="AM521" s="172"/>
      <c r="AN521" s="172"/>
      <c r="AO521" s="172"/>
      <c r="AP521" s="172"/>
      <c r="AQ521" s="172"/>
      <c r="AR521" s="172"/>
      <c r="AS521" s="172"/>
      <c r="AT521" s="172"/>
      <c r="AU521" s="172"/>
      <c r="AV521" s="172"/>
      <c r="AW521" s="172"/>
      <c r="AX521" s="172"/>
      <c r="AY521" s="172"/>
      <c r="AZ521" s="172"/>
      <c r="BA521" s="172"/>
      <c r="BB521" s="172"/>
      <c r="BC521" s="172"/>
      <c r="BD521" s="172"/>
      <c r="BE521" s="172"/>
      <c r="BF521" s="172"/>
      <c r="BG521" s="172"/>
      <c r="BH521" s="172">
        <v>24</v>
      </c>
      <c r="BI521" s="172"/>
    </row>
    <row r="522" spans="1:69" ht="14.5">
      <c r="A522" s="172">
        <v>2370004</v>
      </c>
      <c r="B522" s="172">
        <v>519</v>
      </c>
      <c r="C522" s="172">
        <v>237</v>
      </c>
      <c r="D522" s="172" t="s">
        <v>565</v>
      </c>
      <c r="E522" s="172">
        <v>4</v>
      </c>
      <c r="F522" s="172" t="s">
        <v>572</v>
      </c>
      <c r="G522" s="172"/>
      <c r="H522" s="173"/>
      <c r="I522" s="172" t="s">
        <v>1205</v>
      </c>
      <c r="J522" s="177">
        <v>216</v>
      </c>
      <c r="K522" s="177">
        <v>4000</v>
      </c>
      <c r="L522" s="177">
        <v>8000</v>
      </c>
      <c r="M522" s="177">
        <v>0</v>
      </c>
      <c r="N522" s="177">
        <v>0</v>
      </c>
      <c r="O522" s="172"/>
      <c r="P522" s="172"/>
      <c r="Q522" s="172" t="s">
        <v>1318</v>
      </c>
      <c r="R522" s="172" t="s">
        <v>1322</v>
      </c>
      <c r="S522" s="172">
        <v>1</v>
      </c>
      <c r="T522" s="172">
        <v>0</v>
      </c>
      <c r="U522" s="172">
        <v>0</v>
      </c>
      <c r="V522" s="172"/>
      <c r="W522" s="172"/>
      <c r="X522" s="172"/>
      <c r="Y522" s="172"/>
      <c r="Z522" s="172">
        <v>45</v>
      </c>
      <c r="AA522" s="172">
        <v>10000601</v>
      </c>
      <c r="AB522" s="172">
        <v>10</v>
      </c>
      <c r="AC522" s="172"/>
      <c r="AD522" s="172"/>
      <c r="AE522" s="172">
        <v>10000701</v>
      </c>
      <c r="AF522" s="172">
        <v>0.08</v>
      </c>
      <c r="AG522" s="172"/>
      <c r="AH522" s="172"/>
      <c r="AI522" s="172"/>
      <c r="AJ522" s="172"/>
      <c r="AK522" s="172"/>
      <c r="AL522" s="172"/>
      <c r="AM522" s="172"/>
      <c r="AN522" s="172"/>
      <c r="AO522" s="172"/>
      <c r="AP522" s="172"/>
      <c r="AQ522" s="172"/>
      <c r="AR522" s="172"/>
      <c r="AS522" s="172"/>
      <c r="AT522" s="172"/>
      <c r="AU522" s="172"/>
      <c r="AV522" s="172"/>
      <c r="AW522" s="172"/>
      <c r="AX522" s="172"/>
      <c r="AY522" s="172"/>
      <c r="AZ522" s="172"/>
      <c r="BA522" s="172"/>
      <c r="BB522" s="172"/>
      <c r="BC522" s="172"/>
      <c r="BD522" s="172"/>
      <c r="BE522" s="172"/>
      <c r="BF522" s="172"/>
      <c r="BG522" s="172"/>
      <c r="BH522" s="172">
        <v>24</v>
      </c>
      <c r="BI522" s="172"/>
    </row>
    <row r="523" spans="1:69" ht="14.5">
      <c r="A523" s="172">
        <v>2370005</v>
      </c>
      <c r="B523" s="172">
        <v>520</v>
      </c>
      <c r="C523" s="172">
        <v>237</v>
      </c>
      <c r="D523" s="172" t="s">
        <v>565</v>
      </c>
      <c r="E523" s="172">
        <v>5</v>
      </c>
      <c r="F523" s="172" t="s">
        <v>573</v>
      </c>
      <c r="G523" s="172"/>
      <c r="H523" s="173"/>
      <c r="I523" s="172" t="s">
        <v>1205</v>
      </c>
      <c r="J523" s="177">
        <v>450</v>
      </c>
      <c r="K523" s="177">
        <v>4600</v>
      </c>
      <c r="L523" s="177">
        <v>9300</v>
      </c>
      <c r="M523" s="177">
        <v>9300</v>
      </c>
      <c r="N523" s="177">
        <v>0</v>
      </c>
      <c r="O523" s="172"/>
      <c r="P523" s="172"/>
      <c r="Q523" s="172" t="s">
        <v>1318</v>
      </c>
      <c r="R523" s="172" t="s">
        <v>1323</v>
      </c>
      <c r="S523" s="172">
        <v>1</v>
      </c>
      <c r="T523" s="172">
        <v>0</v>
      </c>
      <c r="U523" s="172">
        <v>0</v>
      </c>
      <c r="V523" s="172"/>
      <c r="W523" s="172"/>
      <c r="X523" s="172"/>
      <c r="Y523" s="172"/>
      <c r="Z523" s="172">
        <v>91</v>
      </c>
      <c r="AA523" s="172">
        <v>10000601</v>
      </c>
      <c r="AB523" s="172">
        <v>10</v>
      </c>
      <c r="AC523" s="172"/>
      <c r="AD523" s="172"/>
      <c r="AE523" s="172">
        <v>10000701</v>
      </c>
      <c r="AF523" s="172">
        <v>0.1</v>
      </c>
      <c r="AG523" s="172"/>
      <c r="AH523" s="172"/>
      <c r="AI523" s="172"/>
      <c r="AJ523" s="172"/>
      <c r="AK523" s="172"/>
      <c r="AL523" s="172"/>
      <c r="AM523" s="172"/>
      <c r="AN523" s="172"/>
      <c r="AO523" s="172"/>
      <c r="AP523" s="172"/>
      <c r="AQ523" s="172"/>
      <c r="AR523" s="172"/>
      <c r="AS523" s="172"/>
      <c r="AT523" s="172"/>
      <c r="AU523" s="172"/>
      <c r="AV523" s="172"/>
      <c r="AW523" s="172"/>
      <c r="AX523" s="172"/>
      <c r="AY523" s="172"/>
      <c r="AZ523" s="172"/>
      <c r="BA523" s="172"/>
      <c r="BB523" s="172"/>
      <c r="BC523" s="172"/>
      <c r="BD523" s="172"/>
      <c r="BE523" s="172"/>
      <c r="BF523" s="172"/>
      <c r="BG523" s="172"/>
      <c r="BH523" s="172">
        <v>24</v>
      </c>
      <c r="BI523" s="172"/>
    </row>
    <row r="524" spans="1:69" ht="14.5">
      <c r="A524" s="172">
        <v>2370006</v>
      </c>
      <c r="B524" s="172">
        <v>521</v>
      </c>
      <c r="C524" s="172">
        <v>237</v>
      </c>
      <c r="D524" s="172" t="s">
        <v>565</v>
      </c>
      <c r="E524" s="172">
        <v>6</v>
      </c>
      <c r="F524" s="172" t="s">
        <v>574</v>
      </c>
      <c r="G524" s="172"/>
      <c r="H524" s="173"/>
      <c r="I524" s="172" t="s">
        <v>1205</v>
      </c>
      <c r="J524" s="177">
        <v>810</v>
      </c>
      <c r="K524" s="177">
        <v>8600</v>
      </c>
      <c r="L524" s="177">
        <v>17000</v>
      </c>
      <c r="M524" s="177">
        <v>17000</v>
      </c>
      <c r="N524" s="177">
        <v>0</v>
      </c>
      <c r="O524" s="172"/>
      <c r="P524" s="172"/>
      <c r="Q524" s="172" t="s">
        <v>1318</v>
      </c>
      <c r="R524" s="172" t="s">
        <v>1324</v>
      </c>
      <c r="S524" s="172">
        <v>1</v>
      </c>
      <c r="T524" s="172">
        <v>0</v>
      </c>
      <c r="U524" s="172">
        <v>0</v>
      </c>
      <c r="V524" s="172"/>
      <c r="W524" s="172"/>
      <c r="X524" s="172"/>
      <c r="Y524" s="172"/>
      <c r="Z524" s="172">
        <v>177</v>
      </c>
      <c r="AA524" s="172">
        <v>10000601</v>
      </c>
      <c r="AB524" s="172">
        <v>10</v>
      </c>
      <c r="AC524" s="172"/>
      <c r="AD524" s="172"/>
      <c r="AE524" s="172">
        <v>10000701</v>
      </c>
      <c r="AF524" s="172">
        <v>0.12</v>
      </c>
      <c r="AG524" s="172"/>
      <c r="AH524" s="172"/>
      <c r="AI524" s="172"/>
      <c r="AJ524" s="172"/>
      <c r="AK524" s="172"/>
      <c r="AL524" s="172"/>
      <c r="AM524" s="172"/>
      <c r="AN524" s="172"/>
      <c r="AO524" s="172"/>
      <c r="AP524" s="172"/>
      <c r="AQ524" s="172"/>
      <c r="AR524" s="172"/>
      <c r="AS524" s="172"/>
      <c r="AT524" s="172"/>
      <c r="AU524" s="172"/>
      <c r="AV524" s="172"/>
      <c r="AW524" s="172"/>
      <c r="AX524" s="172"/>
      <c r="AY524" s="172"/>
      <c r="AZ524" s="172"/>
      <c r="BA524" s="172"/>
      <c r="BB524" s="172"/>
      <c r="BC524" s="172"/>
      <c r="BD524" s="172"/>
      <c r="BE524" s="172"/>
      <c r="BF524" s="172"/>
      <c r="BG524" s="172"/>
      <c r="BH524" s="172">
        <v>24</v>
      </c>
      <c r="BI524" s="172"/>
    </row>
    <row r="525" spans="1:69" ht="14.5">
      <c r="A525" s="172">
        <v>2370007</v>
      </c>
      <c r="B525" s="172">
        <v>522</v>
      </c>
      <c r="C525" s="172">
        <v>237</v>
      </c>
      <c r="D525" s="172" t="s">
        <v>565</v>
      </c>
      <c r="E525" s="172">
        <v>7</v>
      </c>
      <c r="F525" s="172" t="s">
        <v>575</v>
      </c>
      <c r="G525" s="172"/>
      <c r="H525" s="173"/>
      <c r="I525" s="172" t="s">
        <v>1205</v>
      </c>
      <c r="J525" s="177">
        <v>1350</v>
      </c>
      <c r="K525" s="177">
        <v>15000</v>
      </c>
      <c r="L525" s="177">
        <v>31000</v>
      </c>
      <c r="M525" s="177">
        <v>31000</v>
      </c>
      <c r="N525" s="177">
        <v>0</v>
      </c>
      <c r="O525" s="172"/>
      <c r="P525" s="172"/>
      <c r="Q525" s="172" t="s">
        <v>1318</v>
      </c>
      <c r="R525" s="172" t="s">
        <v>1325</v>
      </c>
      <c r="S525" s="172">
        <v>1</v>
      </c>
      <c r="T525" s="172">
        <v>0</v>
      </c>
      <c r="U525" s="172">
        <v>0</v>
      </c>
      <c r="V525" s="172"/>
      <c r="W525" s="172"/>
      <c r="X525" s="172"/>
      <c r="Y525" s="172"/>
      <c r="Z525" s="172">
        <v>331</v>
      </c>
      <c r="AA525" s="172">
        <v>10000601</v>
      </c>
      <c r="AB525" s="172">
        <v>15</v>
      </c>
      <c r="AC525" s="172"/>
      <c r="AD525" s="172"/>
      <c r="AE525" s="172">
        <v>10000701</v>
      </c>
      <c r="AF525" s="172">
        <v>0.14000000000000001</v>
      </c>
      <c r="AG525" s="172"/>
      <c r="AH525" s="172"/>
      <c r="AI525" s="172"/>
      <c r="AJ525" s="172"/>
      <c r="AK525" s="172"/>
      <c r="AL525" s="172"/>
      <c r="AM525" s="172"/>
      <c r="AN525" s="172"/>
      <c r="AO525" s="172"/>
      <c r="AP525" s="172"/>
      <c r="AQ525" s="172"/>
      <c r="AR525" s="172"/>
      <c r="AS525" s="172"/>
      <c r="AT525" s="172"/>
      <c r="AU525" s="172"/>
      <c r="AV525" s="172"/>
      <c r="AW525" s="172"/>
      <c r="AX525" s="172"/>
      <c r="AY525" s="172"/>
      <c r="AZ525" s="172"/>
      <c r="BA525" s="172"/>
      <c r="BB525" s="172"/>
      <c r="BC525" s="172"/>
      <c r="BD525" s="172"/>
      <c r="BE525" s="172"/>
      <c r="BF525" s="172"/>
      <c r="BG525" s="172"/>
      <c r="BH525" s="172">
        <v>24</v>
      </c>
      <c r="BI525" s="172"/>
    </row>
    <row r="526" spans="1:69" ht="14.5">
      <c r="A526" s="172">
        <v>2370008</v>
      </c>
      <c r="B526" s="172">
        <v>523</v>
      </c>
      <c r="C526" s="172">
        <v>237</v>
      </c>
      <c r="D526" s="172" t="s">
        <v>565</v>
      </c>
      <c r="E526" s="172">
        <v>8</v>
      </c>
      <c r="F526" s="172" t="s">
        <v>576</v>
      </c>
      <c r="G526" s="172"/>
      <c r="H526" s="173"/>
      <c r="I526" s="172" t="s">
        <v>1205</v>
      </c>
      <c r="J526" s="177">
        <v>2160</v>
      </c>
      <c r="K526" s="177">
        <v>27000</v>
      </c>
      <c r="L526" s="177">
        <v>53000</v>
      </c>
      <c r="M526" s="177">
        <v>53000</v>
      </c>
      <c r="N526" s="177">
        <v>0</v>
      </c>
      <c r="O526" s="172"/>
      <c r="P526" s="172"/>
      <c r="Q526" s="172" t="s">
        <v>1318</v>
      </c>
      <c r="R526" s="172" t="s">
        <v>1326</v>
      </c>
      <c r="S526" s="172">
        <v>1</v>
      </c>
      <c r="T526" s="172">
        <v>0</v>
      </c>
      <c r="U526" s="172">
        <v>0</v>
      </c>
      <c r="V526" s="172"/>
      <c r="W526" s="172"/>
      <c r="X526" s="172"/>
      <c r="Y526" s="172"/>
      <c r="Z526" s="172">
        <v>596</v>
      </c>
      <c r="AA526" s="172">
        <v>10000601</v>
      </c>
      <c r="AB526" s="172">
        <v>20</v>
      </c>
      <c r="AC526" s="172"/>
      <c r="AD526" s="172"/>
      <c r="AE526" s="172">
        <v>10000701</v>
      </c>
      <c r="AF526" s="172">
        <v>0.16</v>
      </c>
      <c r="AG526" s="172"/>
      <c r="AH526" s="172"/>
      <c r="AI526" s="172"/>
      <c r="AJ526" s="172"/>
      <c r="AK526" s="172"/>
      <c r="AL526" s="172"/>
      <c r="AM526" s="172"/>
      <c r="AN526" s="172"/>
      <c r="AO526" s="172"/>
      <c r="AP526" s="172"/>
      <c r="AQ526" s="172"/>
      <c r="AR526" s="172"/>
      <c r="AS526" s="172"/>
      <c r="AT526" s="172"/>
      <c r="AU526" s="172"/>
      <c r="AV526" s="172"/>
      <c r="AW526" s="172"/>
      <c r="AX526" s="172"/>
      <c r="AY526" s="172"/>
      <c r="AZ526" s="172"/>
      <c r="BA526" s="172"/>
      <c r="BB526" s="172"/>
      <c r="BC526" s="172"/>
      <c r="BD526" s="172"/>
      <c r="BE526" s="172"/>
      <c r="BF526" s="172"/>
      <c r="BG526" s="172"/>
      <c r="BH526" s="172">
        <v>24</v>
      </c>
      <c r="BI526" s="172"/>
    </row>
    <row r="527" spans="1:69" ht="14.5">
      <c r="A527" s="172">
        <v>2370009</v>
      </c>
      <c r="B527" s="172">
        <v>524</v>
      </c>
      <c r="C527" s="172">
        <v>237</v>
      </c>
      <c r="D527" s="172" t="s">
        <v>565</v>
      </c>
      <c r="E527" s="172">
        <v>9</v>
      </c>
      <c r="F527" s="172" t="s">
        <v>577</v>
      </c>
      <c r="G527" s="172"/>
      <c r="H527" s="173"/>
      <c r="I527" s="172" t="s">
        <v>1205</v>
      </c>
      <c r="J527" s="177">
        <v>4320</v>
      </c>
      <c r="K527" s="177">
        <v>44000</v>
      </c>
      <c r="L527" s="177">
        <v>88000</v>
      </c>
      <c r="M527" s="177">
        <v>88000</v>
      </c>
      <c r="N527" s="177">
        <v>0</v>
      </c>
      <c r="O527" s="172"/>
      <c r="P527" s="172"/>
      <c r="Q527" s="172" t="s">
        <v>1318</v>
      </c>
      <c r="R527" s="172" t="s">
        <v>1327</v>
      </c>
      <c r="S527" s="172">
        <v>1</v>
      </c>
      <c r="T527" s="172">
        <v>0</v>
      </c>
      <c r="U527" s="172">
        <v>0</v>
      </c>
      <c r="V527" s="172"/>
      <c r="W527" s="172"/>
      <c r="X527" s="172"/>
      <c r="Y527" s="172"/>
      <c r="Z527" s="172">
        <v>1034</v>
      </c>
      <c r="AA527" s="172">
        <v>10000601</v>
      </c>
      <c r="AB527" s="172">
        <v>25</v>
      </c>
      <c r="AC527" s="172"/>
      <c r="AD527" s="172"/>
      <c r="AE527" s="172">
        <v>10000701</v>
      </c>
      <c r="AF527" s="172">
        <v>0.18</v>
      </c>
      <c r="AG527" s="172"/>
      <c r="AH527" s="172"/>
      <c r="AI527" s="172"/>
      <c r="AJ527" s="172"/>
      <c r="AK527" s="172"/>
      <c r="AL527" s="172"/>
      <c r="AM527" s="172"/>
      <c r="AN527" s="172"/>
      <c r="AO527" s="172"/>
      <c r="AP527" s="172"/>
      <c r="AQ527" s="172"/>
      <c r="AR527" s="172"/>
      <c r="AS527" s="172"/>
      <c r="AT527" s="172"/>
      <c r="AU527" s="172"/>
      <c r="AV527" s="172"/>
      <c r="AW527" s="172"/>
      <c r="AX527" s="172"/>
      <c r="AY527" s="172"/>
      <c r="AZ527" s="172"/>
      <c r="BA527" s="172"/>
      <c r="BB527" s="172"/>
      <c r="BC527" s="172"/>
      <c r="BD527" s="172"/>
      <c r="BE527" s="172"/>
      <c r="BF527" s="172"/>
      <c r="BG527" s="172"/>
      <c r="BH527" s="172">
        <v>24</v>
      </c>
      <c r="BI527" s="172"/>
    </row>
    <row r="528" spans="1:69" ht="14.5">
      <c r="A528" s="172">
        <v>2370010</v>
      </c>
      <c r="B528" s="172">
        <v>525</v>
      </c>
      <c r="C528" s="172">
        <v>237</v>
      </c>
      <c r="D528" s="172" t="s">
        <v>565</v>
      </c>
      <c r="E528" s="172">
        <v>10</v>
      </c>
      <c r="F528" s="172" t="s">
        <v>578</v>
      </c>
      <c r="G528" s="172"/>
      <c r="H528" s="173"/>
      <c r="I528" s="172" t="s">
        <v>1205</v>
      </c>
      <c r="J528" s="177">
        <v>6480</v>
      </c>
      <c r="K528" s="177">
        <v>58000</v>
      </c>
      <c r="L528" s="177">
        <v>120000</v>
      </c>
      <c r="M528" s="177">
        <v>120000</v>
      </c>
      <c r="N528" s="177">
        <v>58000</v>
      </c>
      <c r="O528" s="172"/>
      <c r="P528" s="172"/>
      <c r="Q528" s="172" t="s">
        <v>1318</v>
      </c>
      <c r="R528" s="172" t="s">
        <v>1328</v>
      </c>
      <c r="S528" s="172">
        <v>1</v>
      </c>
      <c r="T528" s="172">
        <v>0</v>
      </c>
      <c r="U528" s="172">
        <v>0</v>
      </c>
      <c r="V528" s="172"/>
      <c r="W528" s="172"/>
      <c r="X528" s="172"/>
      <c r="Y528" s="172"/>
      <c r="Z528" s="172">
        <v>1726</v>
      </c>
      <c r="AA528" s="172">
        <v>10000601</v>
      </c>
      <c r="AB528" s="172">
        <v>30</v>
      </c>
      <c r="AC528" s="172"/>
      <c r="AD528" s="172"/>
      <c r="AE528" s="172">
        <v>10000701</v>
      </c>
      <c r="AF528" s="172">
        <v>0.2</v>
      </c>
      <c r="AG528" s="172"/>
      <c r="AH528" s="172"/>
      <c r="AI528" s="172"/>
      <c r="AJ528" s="172"/>
      <c r="AK528" s="172"/>
      <c r="AL528" s="172"/>
      <c r="AM528" s="172"/>
      <c r="AN528" s="172"/>
      <c r="AO528" s="172"/>
      <c r="AP528" s="172"/>
      <c r="AQ528" s="172"/>
      <c r="AR528" s="172"/>
      <c r="AS528" s="172"/>
      <c r="AT528" s="172"/>
      <c r="AU528" s="172"/>
      <c r="AV528" s="172"/>
      <c r="AW528" s="172"/>
      <c r="AX528" s="172"/>
      <c r="AY528" s="172"/>
      <c r="AZ528" s="172"/>
      <c r="BA528" s="172"/>
      <c r="BB528" s="172"/>
      <c r="BC528" s="172"/>
      <c r="BD528" s="172"/>
      <c r="BE528" s="172"/>
      <c r="BF528" s="172"/>
      <c r="BG528" s="172"/>
      <c r="BH528" s="172">
        <v>24</v>
      </c>
      <c r="BI528" s="172"/>
    </row>
    <row r="529" spans="1:61" ht="14.5">
      <c r="A529" s="172">
        <v>2370011</v>
      </c>
      <c r="B529" s="172">
        <v>526</v>
      </c>
      <c r="C529" s="172">
        <v>237</v>
      </c>
      <c r="D529" s="172" t="s">
        <v>565</v>
      </c>
      <c r="E529" s="172">
        <v>11</v>
      </c>
      <c r="F529" s="172" t="s">
        <v>579</v>
      </c>
      <c r="G529" s="172"/>
      <c r="H529" s="173"/>
      <c r="I529" s="172" t="s">
        <v>1205</v>
      </c>
      <c r="J529" s="177">
        <v>9720</v>
      </c>
      <c r="K529" s="177">
        <v>87000</v>
      </c>
      <c r="L529" s="177">
        <v>170000</v>
      </c>
      <c r="M529" s="177">
        <v>170000</v>
      </c>
      <c r="N529" s="177">
        <v>87000</v>
      </c>
      <c r="O529" s="172"/>
      <c r="P529" s="172"/>
      <c r="Q529" s="172" t="s">
        <v>1318</v>
      </c>
      <c r="R529" s="172" t="s">
        <v>1329</v>
      </c>
      <c r="S529" s="172">
        <v>1</v>
      </c>
      <c r="T529" s="172">
        <v>0</v>
      </c>
      <c r="U529" s="172">
        <v>0</v>
      </c>
      <c r="V529" s="172"/>
      <c r="W529" s="172"/>
      <c r="X529" s="172"/>
      <c r="Y529" s="172"/>
      <c r="Z529" s="172">
        <v>2770</v>
      </c>
      <c r="AA529" s="172">
        <v>10000601</v>
      </c>
      <c r="AB529" s="172">
        <v>35</v>
      </c>
      <c r="AC529" s="172"/>
      <c r="AD529" s="172"/>
      <c r="AE529" s="172">
        <v>10000701</v>
      </c>
      <c r="AF529" s="172">
        <v>0.22</v>
      </c>
      <c r="AG529" s="172"/>
      <c r="AH529" s="172"/>
      <c r="AI529" s="172"/>
      <c r="AJ529" s="172"/>
      <c r="AK529" s="172"/>
      <c r="AL529" s="172"/>
      <c r="AM529" s="172"/>
      <c r="AN529" s="172"/>
      <c r="AO529" s="172"/>
      <c r="AP529" s="172"/>
      <c r="AQ529" s="172"/>
      <c r="AR529" s="172"/>
      <c r="AS529" s="172"/>
      <c r="AT529" s="172"/>
      <c r="AU529" s="172"/>
      <c r="AV529" s="172"/>
      <c r="AW529" s="172"/>
      <c r="AX529" s="172"/>
      <c r="AY529" s="172"/>
      <c r="AZ529" s="172"/>
      <c r="BA529" s="172"/>
      <c r="BB529" s="172"/>
      <c r="BC529" s="172"/>
      <c r="BD529" s="172"/>
      <c r="BE529" s="172"/>
      <c r="BF529" s="172"/>
      <c r="BG529" s="172"/>
      <c r="BH529" s="172">
        <v>24</v>
      </c>
      <c r="BI529" s="172"/>
    </row>
    <row r="530" spans="1:61" ht="14.5">
      <c r="A530" s="172">
        <v>2370012</v>
      </c>
      <c r="B530" s="172">
        <v>527</v>
      </c>
      <c r="C530" s="172">
        <v>237</v>
      </c>
      <c r="D530" s="172" t="s">
        <v>565</v>
      </c>
      <c r="E530" s="172">
        <v>12</v>
      </c>
      <c r="F530" s="172" t="s">
        <v>580</v>
      </c>
      <c r="G530" s="172"/>
      <c r="H530" s="173"/>
      <c r="I530" s="172" t="s">
        <v>1205</v>
      </c>
      <c r="J530" s="177">
        <v>12960</v>
      </c>
      <c r="K530" s="177">
        <v>130000</v>
      </c>
      <c r="L530" s="177">
        <v>250000</v>
      </c>
      <c r="M530" s="177">
        <v>250000</v>
      </c>
      <c r="N530" s="177">
        <v>130000</v>
      </c>
      <c r="O530" s="172"/>
      <c r="P530" s="172"/>
      <c r="Q530" s="172" t="s">
        <v>1318</v>
      </c>
      <c r="R530" s="172" t="s">
        <v>1330</v>
      </c>
      <c r="S530" s="172">
        <v>1</v>
      </c>
      <c r="T530" s="172">
        <v>0</v>
      </c>
      <c r="U530" s="172">
        <v>0</v>
      </c>
      <c r="V530" s="172"/>
      <c r="W530" s="172"/>
      <c r="X530" s="172"/>
      <c r="Y530" s="172"/>
      <c r="Z530" s="172">
        <v>4273</v>
      </c>
      <c r="AA530" s="172">
        <v>10000601</v>
      </c>
      <c r="AB530" s="172">
        <v>40</v>
      </c>
      <c r="AC530" s="172"/>
      <c r="AD530" s="172"/>
      <c r="AE530" s="172">
        <v>10000701</v>
      </c>
      <c r="AF530" s="172">
        <v>0.24</v>
      </c>
      <c r="AG530" s="172"/>
      <c r="AH530" s="172"/>
      <c r="AI530" s="172"/>
      <c r="AJ530" s="172"/>
      <c r="AK530" s="172"/>
      <c r="AL530" s="172"/>
      <c r="AM530" s="172"/>
      <c r="AN530" s="172"/>
      <c r="AO530" s="172"/>
      <c r="AP530" s="172"/>
      <c r="AQ530" s="172"/>
      <c r="AR530" s="172"/>
      <c r="AS530" s="172"/>
      <c r="AT530" s="172"/>
      <c r="AU530" s="172"/>
      <c r="AV530" s="172"/>
      <c r="AW530" s="172"/>
      <c r="AX530" s="172"/>
      <c r="AY530" s="172"/>
      <c r="AZ530" s="172"/>
      <c r="BA530" s="172"/>
      <c r="BB530" s="172"/>
      <c r="BC530" s="172"/>
      <c r="BD530" s="172"/>
      <c r="BE530" s="172"/>
      <c r="BF530" s="172"/>
      <c r="BG530" s="172"/>
      <c r="BH530" s="172">
        <v>24</v>
      </c>
      <c r="BI530" s="172"/>
    </row>
    <row r="531" spans="1:61" ht="14.5">
      <c r="A531" s="172">
        <v>2370013</v>
      </c>
      <c r="B531" s="172">
        <v>528</v>
      </c>
      <c r="C531" s="172">
        <v>237</v>
      </c>
      <c r="D531" s="172" t="s">
        <v>565</v>
      </c>
      <c r="E531" s="172">
        <v>13</v>
      </c>
      <c r="F531" s="172" t="s">
        <v>581</v>
      </c>
      <c r="G531" s="172"/>
      <c r="H531" s="173"/>
      <c r="I531" s="172" t="s">
        <v>1205</v>
      </c>
      <c r="J531" s="177">
        <v>17280</v>
      </c>
      <c r="K531" s="177">
        <v>170000</v>
      </c>
      <c r="L531" s="177">
        <v>340000</v>
      </c>
      <c r="M531" s="177">
        <v>340000</v>
      </c>
      <c r="N531" s="177">
        <v>170000</v>
      </c>
      <c r="O531" s="172"/>
      <c r="P531" s="172"/>
      <c r="Q531" s="172" t="s">
        <v>1318</v>
      </c>
      <c r="R531" s="172" t="s">
        <v>1331</v>
      </c>
      <c r="S531" s="172">
        <v>1</v>
      </c>
      <c r="T531" s="172">
        <v>0</v>
      </c>
      <c r="U531" s="172">
        <v>0</v>
      </c>
      <c r="V531" s="172"/>
      <c r="W531" s="172"/>
      <c r="X531" s="172"/>
      <c r="Y531" s="172"/>
      <c r="Z531" s="172">
        <v>6333</v>
      </c>
      <c r="AA531" s="172">
        <v>10000601</v>
      </c>
      <c r="AB531" s="172">
        <v>45</v>
      </c>
      <c r="AC531" s="172"/>
      <c r="AD531" s="172"/>
      <c r="AE531" s="172">
        <v>10000701</v>
      </c>
      <c r="AF531" s="172">
        <v>0.26</v>
      </c>
      <c r="AG531" s="172"/>
      <c r="AH531" s="172"/>
      <c r="AI531" s="172"/>
      <c r="AJ531" s="172"/>
      <c r="AK531" s="172"/>
      <c r="AL531" s="172"/>
      <c r="AM531" s="172"/>
      <c r="AN531" s="172"/>
      <c r="AO531" s="172"/>
      <c r="AP531" s="172"/>
      <c r="AQ531" s="172"/>
      <c r="AR531" s="172"/>
      <c r="AS531" s="172"/>
      <c r="AT531" s="172"/>
      <c r="AU531" s="172"/>
      <c r="AV531" s="172"/>
      <c r="AW531" s="172"/>
      <c r="AX531" s="172"/>
      <c r="AY531" s="172"/>
      <c r="AZ531" s="172"/>
      <c r="BA531" s="172"/>
      <c r="BB531" s="172"/>
      <c r="BC531" s="172"/>
      <c r="BD531" s="172"/>
      <c r="BE531" s="172"/>
      <c r="BF531" s="172"/>
      <c r="BG531" s="172"/>
      <c r="BH531" s="172">
        <v>24</v>
      </c>
      <c r="BI531" s="172"/>
    </row>
    <row r="532" spans="1:61" ht="14.5">
      <c r="A532" s="172">
        <v>2370014</v>
      </c>
      <c r="B532" s="172">
        <v>529</v>
      </c>
      <c r="C532" s="172">
        <v>237</v>
      </c>
      <c r="D532" s="172" t="s">
        <v>565</v>
      </c>
      <c r="E532" s="172">
        <v>14</v>
      </c>
      <c r="F532" s="172" t="s">
        <v>582</v>
      </c>
      <c r="G532" s="172"/>
      <c r="H532" s="173"/>
      <c r="I532" s="172" t="s">
        <v>1205</v>
      </c>
      <c r="J532" s="177">
        <v>21600</v>
      </c>
      <c r="K532" s="177">
        <v>220000</v>
      </c>
      <c r="L532" s="177">
        <v>450000</v>
      </c>
      <c r="M532" s="177">
        <v>450000</v>
      </c>
      <c r="N532" s="177">
        <v>220000</v>
      </c>
      <c r="O532" s="172"/>
      <c r="P532" s="172"/>
      <c r="Q532" s="172" t="s">
        <v>1318</v>
      </c>
      <c r="R532" s="172" t="s">
        <v>1332</v>
      </c>
      <c r="S532" s="172">
        <v>1</v>
      </c>
      <c r="T532" s="172">
        <v>0</v>
      </c>
      <c r="U532" s="172">
        <v>0</v>
      </c>
      <c r="V532" s="172"/>
      <c r="W532" s="172"/>
      <c r="X532" s="172"/>
      <c r="Y532" s="172"/>
      <c r="Z532" s="172">
        <v>9011</v>
      </c>
      <c r="AA532" s="172">
        <v>10000601</v>
      </c>
      <c r="AB532" s="172">
        <v>50</v>
      </c>
      <c r="AC532" s="172"/>
      <c r="AD532" s="172"/>
      <c r="AE532" s="172">
        <v>10000701</v>
      </c>
      <c r="AF532" s="172">
        <v>0.28000000000000003</v>
      </c>
      <c r="AG532" s="172"/>
      <c r="AH532" s="172"/>
      <c r="AI532" s="172"/>
      <c r="AJ532" s="172"/>
      <c r="AK532" s="172"/>
      <c r="AL532" s="172"/>
      <c r="AM532" s="172"/>
      <c r="AN532" s="172"/>
      <c r="AO532" s="172"/>
      <c r="AP532" s="172"/>
      <c r="AQ532" s="172"/>
      <c r="AR532" s="172"/>
      <c r="AS532" s="172"/>
      <c r="AT532" s="172"/>
      <c r="AU532" s="172"/>
      <c r="AV532" s="172"/>
      <c r="AW532" s="172"/>
      <c r="AX532" s="172"/>
      <c r="AY532" s="172"/>
      <c r="AZ532" s="172"/>
      <c r="BA532" s="172"/>
      <c r="BB532" s="172"/>
      <c r="BC532" s="172"/>
      <c r="BD532" s="172"/>
      <c r="BE532" s="172"/>
      <c r="BF532" s="172"/>
      <c r="BG532" s="172"/>
      <c r="BH532" s="172">
        <v>24</v>
      </c>
      <c r="BI532" s="172"/>
    </row>
    <row r="533" spans="1:61" ht="14.5">
      <c r="A533" s="172">
        <v>2370015</v>
      </c>
      <c r="B533" s="172">
        <v>530</v>
      </c>
      <c r="C533" s="172">
        <v>237</v>
      </c>
      <c r="D533" s="172" t="s">
        <v>565</v>
      </c>
      <c r="E533" s="172">
        <v>15</v>
      </c>
      <c r="F533" s="172" t="s">
        <v>583</v>
      </c>
      <c r="G533" s="172"/>
      <c r="H533" s="173"/>
      <c r="I533" s="172" t="s">
        <v>1205</v>
      </c>
      <c r="J533" s="177">
        <v>25920</v>
      </c>
      <c r="K533" s="177">
        <v>290000</v>
      </c>
      <c r="L533" s="177">
        <v>570000</v>
      </c>
      <c r="M533" s="177">
        <v>570000</v>
      </c>
      <c r="N533" s="177">
        <v>290000</v>
      </c>
      <c r="O533" s="172"/>
      <c r="P533" s="172"/>
      <c r="Q533" s="172" t="s">
        <v>1318</v>
      </c>
      <c r="R533" s="172" t="s">
        <v>1333</v>
      </c>
      <c r="S533" s="172">
        <v>1</v>
      </c>
      <c r="T533" s="172">
        <v>0</v>
      </c>
      <c r="U533" s="172">
        <v>0</v>
      </c>
      <c r="V533" s="172"/>
      <c r="W533" s="172"/>
      <c r="X533" s="172"/>
      <c r="Y533" s="172"/>
      <c r="Z533" s="172">
        <v>12439</v>
      </c>
      <c r="AA533" s="172">
        <v>10000601</v>
      </c>
      <c r="AB533" s="172">
        <v>55</v>
      </c>
      <c r="AC533" s="172"/>
      <c r="AD533" s="172"/>
      <c r="AE533" s="172">
        <v>10000701</v>
      </c>
      <c r="AF533" s="172">
        <v>0.3</v>
      </c>
      <c r="AG533" s="172"/>
      <c r="AH533" s="172"/>
      <c r="AI533" s="172"/>
      <c r="AJ533" s="172"/>
      <c r="AK533" s="172"/>
      <c r="AL533" s="172"/>
      <c r="AM533" s="172"/>
      <c r="AN533" s="172"/>
      <c r="AO533" s="172"/>
      <c r="AP533" s="172"/>
      <c r="AQ533" s="172"/>
      <c r="AR533" s="172"/>
      <c r="AS533" s="172"/>
      <c r="AT533" s="172"/>
      <c r="AU533" s="172"/>
      <c r="AV533" s="172"/>
      <c r="AW533" s="172"/>
      <c r="AX533" s="172"/>
      <c r="AY533" s="172"/>
      <c r="AZ533" s="172"/>
      <c r="BA533" s="172"/>
      <c r="BB533" s="172"/>
      <c r="BC533" s="172"/>
      <c r="BD533" s="172"/>
      <c r="BE533" s="172"/>
      <c r="BF533" s="172"/>
      <c r="BG533" s="172"/>
      <c r="BH533" s="172">
        <v>24</v>
      </c>
      <c r="BI533" s="172"/>
    </row>
    <row r="534" spans="1:61" ht="14.5">
      <c r="A534" s="172">
        <v>2370016</v>
      </c>
      <c r="B534" s="172">
        <v>531</v>
      </c>
      <c r="C534" s="172">
        <v>237</v>
      </c>
      <c r="D534" s="172" t="s">
        <v>565</v>
      </c>
      <c r="E534" s="172">
        <v>16</v>
      </c>
      <c r="F534" s="172" t="s">
        <v>584</v>
      </c>
      <c r="G534" s="172"/>
      <c r="H534" s="173"/>
      <c r="I534" s="172" t="s">
        <v>1205</v>
      </c>
      <c r="J534" s="177">
        <v>32400</v>
      </c>
      <c r="K534" s="177">
        <v>370000</v>
      </c>
      <c r="L534" s="177">
        <v>730000</v>
      </c>
      <c r="M534" s="177">
        <v>730000</v>
      </c>
      <c r="N534" s="177">
        <v>370000</v>
      </c>
      <c r="O534" s="172"/>
      <c r="P534" s="172"/>
      <c r="Q534" s="172" t="s">
        <v>1318</v>
      </c>
      <c r="R534" s="172" t="s">
        <v>1334</v>
      </c>
      <c r="S534" s="172">
        <v>1</v>
      </c>
      <c r="T534" s="172">
        <v>0</v>
      </c>
      <c r="U534" s="172">
        <v>0</v>
      </c>
      <c r="V534" s="172"/>
      <c r="W534" s="172"/>
      <c r="X534" s="172"/>
      <c r="Y534" s="172"/>
      <c r="Z534" s="172">
        <v>16827</v>
      </c>
      <c r="AA534" s="172">
        <v>10000601</v>
      </c>
      <c r="AB534" s="172">
        <v>60</v>
      </c>
      <c r="AC534" s="172"/>
      <c r="AD534" s="172"/>
      <c r="AE534" s="172">
        <v>10000701</v>
      </c>
      <c r="AF534" s="172">
        <v>0.32</v>
      </c>
      <c r="AG534" s="172"/>
      <c r="AH534" s="172"/>
      <c r="AI534" s="172"/>
      <c r="AJ534" s="172"/>
      <c r="AK534" s="172"/>
      <c r="AL534" s="172"/>
      <c r="AM534" s="172"/>
      <c r="AN534" s="172"/>
      <c r="AO534" s="172"/>
      <c r="AP534" s="172"/>
      <c r="AQ534" s="172"/>
      <c r="AR534" s="172"/>
      <c r="AS534" s="172"/>
      <c r="AT534" s="172"/>
      <c r="AU534" s="172"/>
      <c r="AV534" s="172"/>
      <c r="AW534" s="172"/>
      <c r="AX534" s="172"/>
      <c r="AY534" s="172"/>
      <c r="AZ534" s="172"/>
      <c r="BA534" s="172"/>
      <c r="BB534" s="172"/>
      <c r="BC534" s="172"/>
      <c r="BD534" s="172"/>
      <c r="BE534" s="172"/>
      <c r="BF534" s="172"/>
      <c r="BG534" s="172"/>
      <c r="BH534" s="172">
        <v>24</v>
      </c>
      <c r="BI534" s="172"/>
    </row>
    <row r="535" spans="1:61" ht="14.5">
      <c r="A535" s="172">
        <v>2370017</v>
      </c>
      <c r="B535" s="172">
        <v>532</v>
      </c>
      <c r="C535" s="172">
        <v>237</v>
      </c>
      <c r="D535" s="172" t="s">
        <v>565</v>
      </c>
      <c r="E535" s="172">
        <v>17</v>
      </c>
      <c r="F535" s="172" t="s">
        <v>585</v>
      </c>
      <c r="G535" s="172"/>
      <c r="H535" s="173"/>
      <c r="I535" s="172" t="s">
        <v>1205</v>
      </c>
      <c r="J535" s="177">
        <v>43200</v>
      </c>
      <c r="K535" s="177">
        <v>470000</v>
      </c>
      <c r="L535" s="177">
        <v>940000</v>
      </c>
      <c r="M535" s="177">
        <v>940000</v>
      </c>
      <c r="N535" s="177">
        <v>470000</v>
      </c>
      <c r="O535" s="172"/>
      <c r="P535" s="172"/>
      <c r="Q535" s="172" t="s">
        <v>1318</v>
      </c>
      <c r="R535" s="172" t="s">
        <v>1335</v>
      </c>
      <c r="S535" s="172">
        <v>1</v>
      </c>
      <c r="T535" s="172">
        <v>0</v>
      </c>
      <c r="U535" s="172">
        <v>0</v>
      </c>
      <c r="V535" s="172"/>
      <c r="W535" s="172"/>
      <c r="X535" s="172"/>
      <c r="Y535" s="172"/>
      <c r="Z535" s="172">
        <v>22443</v>
      </c>
      <c r="AA535" s="172">
        <v>10000601</v>
      </c>
      <c r="AB535" s="172">
        <v>65</v>
      </c>
      <c r="AC535" s="172"/>
      <c r="AD535" s="172"/>
      <c r="AE535" s="172">
        <v>10000701</v>
      </c>
      <c r="AF535" s="172">
        <v>0.34</v>
      </c>
      <c r="AG535" s="172"/>
      <c r="AH535" s="172"/>
      <c r="AI535" s="172"/>
      <c r="AJ535" s="172"/>
      <c r="AK535" s="172"/>
      <c r="AL535" s="172"/>
      <c r="AM535" s="172"/>
      <c r="AN535" s="172"/>
      <c r="AO535" s="172"/>
      <c r="AP535" s="172"/>
      <c r="AQ535" s="172"/>
      <c r="AR535" s="172"/>
      <c r="AS535" s="172"/>
      <c r="AT535" s="172"/>
      <c r="AU535" s="172"/>
      <c r="AV535" s="172"/>
      <c r="AW535" s="172"/>
      <c r="AX535" s="172"/>
      <c r="AY535" s="172"/>
      <c r="AZ535" s="172"/>
      <c r="BA535" s="172"/>
      <c r="BB535" s="172"/>
      <c r="BC535" s="172"/>
      <c r="BD535" s="172"/>
      <c r="BE535" s="172"/>
      <c r="BF535" s="172"/>
      <c r="BG535" s="172"/>
      <c r="BH535" s="172">
        <v>24</v>
      </c>
      <c r="BI535" s="172"/>
    </row>
    <row r="536" spans="1:61" ht="14.5">
      <c r="A536" s="172">
        <v>2370018</v>
      </c>
      <c r="B536" s="172">
        <v>533</v>
      </c>
      <c r="C536" s="172">
        <v>237</v>
      </c>
      <c r="D536" s="172" t="s">
        <v>565</v>
      </c>
      <c r="E536" s="172">
        <v>18</v>
      </c>
      <c r="F536" s="172" t="s">
        <v>586</v>
      </c>
      <c r="G536" s="172"/>
      <c r="H536" s="173"/>
      <c r="I536" s="172" t="s">
        <v>1205</v>
      </c>
      <c r="J536" s="177">
        <v>56160</v>
      </c>
      <c r="K536" s="177">
        <v>600000</v>
      </c>
      <c r="L536" s="177">
        <v>1200000</v>
      </c>
      <c r="M536" s="177">
        <v>1200000</v>
      </c>
      <c r="N536" s="177">
        <v>600000</v>
      </c>
      <c r="O536" s="172"/>
      <c r="P536" s="172"/>
      <c r="Q536" s="172" t="s">
        <v>1318</v>
      </c>
      <c r="R536" s="172" t="s">
        <v>1336</v>
      </c>
      <c r="S536" s="172">
        <v>1</v>
      </c>
      <c r="T536" s="172">
        <v>0</v>
      </c>
      <c r="U536" s="172">
        <v>0</v>
      </c>
      <c r="V536" s="172"/>
      <c r="W536" s="172"/>
      <c r="X536" s="172"/>
      <c r="Y536" s="172"/>
      <c r="Z536" s="172">
        <v>29632</v>
      </c>
      <c r="AA536" s="172">
        <v>10000601</v>
      </c>
      <c r="AB536" s="172">
        <v>70</v>
      </c>
      <c r="AC536" s="172"/>
      <c r="AD536" s="172"/>
      <c r="AE536" s="172">
        <v>10000701</v>
      </c>
      <c r="AF536" s="172">
        <v>0.36</v>
      </c>
      <c r="AG536" s="172"/>
      <c r="AH536" s="172"/>
      <c r="AI536" s="172"/>
      <c r="AJ536" s="172"/>
      <c r="AK536" s="172"/>
      <c r="AL536" s="172"/>
      <c r="AM536" s="172"/>
      <c r="AN536" s="172"/>
      <c r="AO536" s="172"/>
      <c r="AP536" s="172"/>
      <c r="AQ536" s="172"/>
      <c r="AR536" s="172"/>
      <c r="AS536" s="172"/>
      <c r="AT536" s="172"/>
      <c r="AU536" s="172"/>
      <c r="AV536" s="172"/>
      <c r="AW536" s="172"/>
      <c r="AX536" s="172"/>
      <c r="AY536" s="172"/>
      <c r="AZ536" s="172"/>
      <c r="BA536" s="172"/>
      <c r="BB536" s="172"/>
      <c r="BC536" s="172"/>
      <c r="BD536" s="172"/>
      <c r="BE536" s="172"/>
      <c r="BF536" s="172"/>
      <c r="BG536" s="172"/>
      <c r="BH536" s="172">
        <v>24</v>
      </c>
      <c r="BI536" s="172"/>
    </row>
    <row r="537" spans="1:61" ht="14.5">
      <c r="A537" s="172">
        <v>2370019</v>
      </c>
      <c r="B537" s="172">
        <v>534</v>
      </c>
      <c r="C537" s="172">
        <v>237</v>
      </c>
      <c r="D537" s="172" t="s">
        <v>565</v>
      </c>
      <c r="E537" s="172">
        <v>19</v>
      </c>
      <c r="F537" s="172" t="s">
        <v>587</v>
      </c>
      <c r="G537" s="172"/>
      <c r="H537" s="173"/>
      <c r="I537" s="172" t="s">
        <v>1205</v>
      </c>
      <c r="J537" s="177">
        <v>73440</v>
      </c>
      <c r="K537" s="177">
        <v>770000</v>
      </c>
      <c r="L537" s="177">
        <v>1500000</v>
      </c>
      <c r="M537" s="177">
        <v>1500000</v>
      </c>
      <c r="N537" s="177">
        <v>770000</v>
      </c>
      <c r="O537" s="172"/>
      <c r="P537" s="172"/>
      <c r="Q537" s="172" t="s">
        <v>1318</v>
      </c>
      <c r="R537" s="172" t="s">
        <v>1337</v>
      </c>
      <c r="S537" s="172">
        <v>1</v>
      </c>
      <c r="T537" s="172">
        <v>0</v>
      </c>
      <c r="U537" s="172">
        <v>0</v>
      </c>
      <c r="V537" s="172"/>
      <c r="W537" s="172"/>
      <c r="X537" s="172"/>
      <c r="Y537" s="172"/>
      <c r="Z537" s="172">
        <v>38833</v>
      </c>
      <c r="AA537" s="172">
        <v>10000601</v>
      </c>
      <c r="AB537" s="172">
        <v>75</v>
      </c>
      <c r="AC537" s="172"/>
      <c r="AD537" s="172"/>
      <c r="AE537" s="172">
        <v>10000701</v>
      </c>
      <c r="AF537" s="172">
        <v>0.38</v>
      </c>
      <c r="AG537" s="172"/>
      <c r="AH537" s="172"/>
      <c r="AI537" s="172"/>
      <c r="AJ537" s="172"/>
      <c r="AK537" s="172"/>
      <c r="AL537" s="172"/>
      <c r="AM537" s="172"/>
      <c r="AN537" s="172"/>
      <c r="AO537" s="172"/>
      <c r="AP537" s="172"/>
      <c r="AQ537" s="172"/>
      <c r="AR537" s="172"/>
      <c r="AS537" s="172"/>
      <c r="AT537" s="172"/>
      <c r="AU537" s="172"/>
      <c r="AV537" s="172"/>
      <c r="AW537" s="172"/>
      <c r="AX537" s="172"/>
      <c r="AY537" s="172"/>
      <c r="AZ537" s="172"/>
      <c r="BA537" s="172"/>
      <c r="BB537" s="172"/>
      <c r="BC537" s="172"/>
      <c r="BD537" s="172"/>
      <c r="BE537" s="172"/>
      <c r="BF537" s="172"/>
      <c r="BG537" s="172"/>
      <c r="BH537" s="172">
        <v>24</v>
      </c>
      <c r="BI537" s="172"/>
    </row>
    <row r="538" spans="1:61" ht="14.5">
      <c r="A538" s="172">
        <v>2370020</v>
      </c>
      <c r="B538" s="172">
        <v>535</v>
      </c>
      <c r="C538" s="172">
        <v>237</v>
      </c>
      <c r="D538" s="172" t="s">
        <v>565</v>
      </c>
      <c r="E538" s="172">
        <v>20</v>
      </c>
      <c r="F538" s="172" t="s">
        <v>588</v>
      </c>
      <c r="G538" s="172"/>
      <c r="H538" s="173"/>
      <c r="I538" s="172" t="s">
        <v>1205</v>
      </c>
      <c r="J538" s="177">
        <v>103680</v>
      </c>
      <c r="K538" s="177">
        <v>980000</v>
      </c>
      <c r="L538" s="177">
        <v>2000000</v>
      </c>
      <c r="M538" s="177">
        <v>2000000</v>
      </c>
      <c r="N538" s="177">
        <v>980000</v>
      </c>
      <c r="O538" s="172"/>
      <c r="P538" s="172"/>
      <c r="Q538" s="172" t="s">
        <v>1318</v>
      </c>
      <c r="R538" s="172" t="s">
        <v>1338</v>
      </c>
      <c r="S538" s="172">
        <v>1</v>
      </c>
      <c r="T538" s="172">
        <v>0</v>
      </c>
      <c r="U538" s="172">
        <v>0</v>
      </c>
      <c r="V538" s="172"/>
      <c r="W538" s="172"/>
      <c r="X538" s="172"/>
      <c r="Y538" s="172"/>
      <c r="Z538" s="172">
        <v>50611</v>
      </c>
      <c r="AA538" s="172">
        <v>10000601</v>
      </c>
      <c r="AB538" s="172">
        <v>80</v>
      </c>
      <c r="AC538" s="172"/>
      <c r="AD538" s="172"/>
      <c r="AE538" s="172">
        <v>10000701</v>
      </c>
      <c r="AF538" s="172">
        <v>0.4</v>
      </c>
      <c r="AG538" s="172"/>
      <c r="AH538" s="172"/>
      <c r="AI538" s="172"/>
      <c r="AJ538" s="172"/>
      <c r="AK538" s="172"/>
      <c r="AL538" s="172"/>
      <c r="AM538" s="172"/>
      <c r="AN538" s="172"/>
      <c r="AO538" s="172"/>
      <c r="AP538" s="172"/>
      <c r="AQ538" s="172"/>
      <c r="AR538" s="172"/>
      <c r="AS538" s="172"/>
      <c r="AT538" s="172"/>
      <c r="AU538" s="172"/>
      <c r="AV538" s="172"/>
      <c r="AW538" s="172"/>
      <c r="AX538" s="172"/>
      <c r="AY538" s="172"/>
      <c r="AZ538" s="172"/>
      <c r="BA538" s="172"/>
      <c r="BB538" s="172"/>
      <c r="BC538" s="172"/>
      <c r="BD538" s="172"/>
      <c r="BE538" s="172"/>
      <c r="BF538" s="172"/>
      <c r="BG538" s="172"/>
      <c r="BH538" s="172">
        <v>24</v>
      </c>
      <c r="BI538" s="172"/>
    </row>
    <row r="539" spans="1:61" ht="14.5">
      <c r="A539" s="172">
        <v>2370021</v>
      </c>
      <c r="B539" s="172">
        <v>536</v>
      </c>
      <c r="C539" s="172">
        <v>237</v>
      </c>
      <c r="D539" s="172" t="s">
        <v>565</v>
      </c>
      <c r="E539" s="172">
        <v>21</v>
      </c>
      <c r="F539" s="172" t="s">
        <v>1586</v>
      </c>
      <c r="G539" s="172"/>
      <c r="H539" s="173"/>
      <c r="I539" s="172" t="s">
        <v>1205</v>
      </c>
      <c r="J539" s="177">
        <v>138240</v>
      </c>
      <c r="K539" s="177">
        <v>1300000</v>
      </c>
      <c r="L539" s="177">
        <v>2500000</v>
      </c>
      <c r="M539" s="177">
        <v>2500000</v>
      </c>
      <c r="N539" s="177">
        <v>1300000</v>
      </c>
      <c r="O539" s="172"/>
      <c r="P539" s="172"/>
      <c r="Q539" s="172" t="s">
        <v>1318</v>
      </c>
      <c r="R539" s="172" t="s">
        <v>1340</v>
      </c>
      <c r="S539" s="172">
        <v>1</v>
      </c>
      <c r="T539" s="172">
        <v>0</v>
      </c>
      <c r="U539" s="172">
        <v>0</v>
      </c>
      <c r="V539" s="172"/>
      <c r="W539" s="172"/>
      <c r="X539" s="172"/>
      <c r="Y539" s="172"/>
      <c r="Z539" s="172">
        <v>65687</v>
      </c>
      <c r="AA539" s="172">
        <v>10000601</v>
      </c>
      <c r="AB539" s="172">
        <v>85</v>
      </c>
      <c r="AC539" s="172"/>
      <c r="AD539" s="172"/>
      <c r="AE539" s="172">
        <v>10000701</v>
      </c>
      <c r="AF539" s="172">
        <v>0.42</v>
      </c>
      <c r="AG539" s="172"/>
      <c r="AH539" s="172"/>
      <c r="AI539" s="172"/>
      <c r="AJ539" s="172"/>
      <c r="AK539" s="172"/>
      <c r="AL539" s="172"/>
      <c r="AM539" s="172"/>
      <c r="AN539" s="172"/>
      <c r="AO539" s="172"/>
      <c r="AP539" s="172"/>
      <c r="AQ539" s="172"/>
      <c r="AR539" s="172"/>
      <c r="AS539" s="172"/>
      <c r="AT539" s="172"/>
      <c r="AU539" s="172"/>
      <c r="AV539" s="172"/>
      <c r="AW539" s="172"/>
      <c r="AX539" s="172"/>
      <c r="AY539" s="172"/>
      <c r="AZ539" s="172"/>
      <c r="BA539" s="172"/>
      <c r="BB539" s="172"/>
      <c r="BC539" s="172"/>
      <c r="BD539" s="172"/>
      <c r="BE539" s="172"/>
      <c r="BF539" s="172"/>
      <c r="BG539" s="172"/>
      <c r="BH539" s="172">
        <v>24</v>
      </c>
      <c r="BI539" s="172"/>
    </row>
    <row r="540" spans="1:61" ht="14.5">
      <c r="A540" s="172">
        <v>2370022</v>
      </c>
      <c r="B540" s="172">
        <v>537</v>
      </c>
      <c r="C540" s="172">
        <v>237</v>
      </c>
      <c r="D540" s="172" t="s">
        <v>565</v>
      </c>
      <c r="E540" s="172">
        <v>22</v>
      </c>
      <c r="F540" s="172" t="s">
        <v>1587</v>
      </c>
      <c r="G540" s="172"/>
      <c r="H540" s="173"/>
      <c r="I540" s="172" t="s">
        <v>1205</v>
      </c>
      <c r="J540" s="177">
        <v>181440</v>
      </c>
      <c r="K540" s="177">
        <v>1600000</v>
      </c>
      <c r="L540" s="177">
        <v>3200000</v>
      </c>
      <c r="M540" s="177">
        <v>3200000</v>
      </c>
      <c r="N540" s="177">
        <v>1600000</v>
      </c>
      <c r="O540" s="172"/>
      <c r="P540" s="172"/>
      <c r="Q540" s="172" t="s">
        <v>1318</v>
      </c>
      <c r="R540" s="172" t="s">
        <v>1342</v>
      </c>
      <c r="S540" s="172">
        <v>1</v>
      </c>
      <c r="T540" s="172">
        <v>0</v>
      </c>
      <c r="U540" s="172">
        <v>0</v>
      </c>
      <c r="V540" s="172"/>
      <c r="W540" s="172"/>
      <c r="X540" s="172"/>
      <c r="Y540" s="172"/>
      <c r="Z540" s="172">
        <v>84984</v>
      </c>
      <c r="AA540" s="172">
        <v>10000601</v>
      </c>
      <c r="AB540" s="172">
        <v>90</v>
      </c>
      <c r="AC540" s="172"/>
      <c r="AD540" s="172"/>
      <c r="AE540" s="172">
        <v>10000701</v>
      </c>
      <c r="AF540" s="172">
        <v>0.44</v>
      </c>
      <c r="AG540" s="172"/>
      <c r="AH540" s="172"/>
      <c r="AI540" s="172"/>
      <c r="AJ540" s="172"/>
      <c r="AK540" s="172"/>
      <c r="AL540" s="172"/>
      <c r="AM540" s="172"/>
      <c r="AN540" s="172"/>
      <c r="AO540" s="172"/>
      <c r="AP540" s="172"/>
      <c r="AQ540" s="172"/>
      <c r="AR540" s="172"/>
      <c r="AS540" s="172"/>
      <c r="AT540" s="172"/>
      <c r="AU540" s="172"/>
      <c r="AV540" s="172"/>
      <c r="AW540" s="172"/>
      <c r="AX540" s="172"/>
      <c r="AY540" s="172"/>
      <c r="AZ540" s="172"/>
      <c r="BA540" s="172"/>
      <c r="BB540" s="172"/>
      <c r="BC540" s="172"/>
      <c r="BD540" s="172"/>
      <c r="BE540" s="172"/>
      <c r="BF540" s="172"/>
      <c r="BG540" s="172"/>
      <c r="BH540" s="172">
        <v>24</v>
      </c>
      <c r="BI540" s="172"/>
    </row>
    <row r="541" spans="1:61" ht="14.5">
      <c r="A541" s="172">
        <v>2370023</v>
      </c>
      <c r="B541" s="172">
        <v>538</v>
      </c>
      <c r="C541" s="172">
        <v>237</v>
      </c>
      <c r="D541" s="172" t="s">
        <v>565</v>
      </c>
      <c r="E541" s="172">
        <v>23</v>
      </c>
      <c r="F541" s="172" t="s">
        <v>1588</v>
      </c>
      <c r="G541" s="172"/>
      <c r="H541" s="173"/>
      <c r="I541" s="172" t="s">
        <v>1205</v>
      </c>
      <c r="J541" s="177">
        <v>233280</v>
      </c>
      <c r="K541" s="177">
        <v>2100000</v>
      </c>
      <c r="L541" s="177">
        <v>4100000</v>
      </c>
      <c r="M541" s="177">
        <v>4100000</v>
      </c>
      <c r="N541" s="177">
        <v>2100000</v>
      </c>
      <c r="O541" s="172"/>
      <c r="P541" s="172"/>
      <c r="Q541" s="172" t="s">
        <v>1318</v>
      </c>
      <c r="R541" s="172" t="s">
        <v>1344</v>
      </c>
      <c r="S541" s="172">
        <v>1</v>
      </c>
      <c r="T541" s="172">
        <v>0</v>
      </c>
      <c r="U541" s="172">
        <v>0</v>
      </c>
      <c r="V541" s="172"/>
      <c r="W541" s="172"/>
      <c r="X541" s="172"/>
      <c r="Y541" s="172"/>
      <c r="Z541" s="172">
        <v>109684</v>
      </c>
      <c r="AA541" s="172">
        <v>10000601</v>
      </c>
      <c r="AB541" s="172">
        <v>95</v>
      </c>
      <c r="AC541" s="172"/>
      <c r="AD541" s="172"/>
      <c r="AE541" s="172">
        <v>10000701</v>
      </c>
      <c r="AF541" s="172">
        <v>0.46</v>
      </c>
      <c r="AG541" s="172"/>
      <c r="AH541" s="172"/>
      <c r="AI541" s="172"/>
      <c r="AJ541" s="172"/>
      <c r="AK541" s="172"/>
      <c r="AL541" s="172"/>
      <c r="AM541" s="172"/>
      <c r="AN541" s="172"/>
      <c r="AO541" s="172"/>
      <c r="AP541" s="172"/>
      <c r="AQ541" s="172"/>
      <c r="AR541" s="172"/>
      <c r="AS541" s="172"/>
      <c r="AT541" s="172"/>
      <c r="AU541" s="172"/>
      <c r="AV541" s="172"/>
      <c r="AW541" s="172"/>
      <c r="AX541" s="172"/>
      <c r="AY541" s="172"/>
      <c r="AZ541" s="172"/>
      <c r="BA541" s="172"/>
      <c r="BB541" s="172"/>
      <c r="BC541" s="172"/>
      <c r="BD541" s="172"/>
      <c r="BE541" s="172"/>
      <c r="BF541" s="172"/>
      <c r="BG541" s="172"/>
      <c r="BH541" s="172">
        <v>24</v>
      </c>
      <c r="BI541" s="172"/>
    </row>
    <row r="542" spans="1:61" ht="14.5">
      <c r="A542" s="172">
        <v>2370024</v>
      </c>
      <c r="B542" s="172">
        <v>539</v>
      </c>
      <c r="C542" s="172">
        <v>237</v>
      </c>
      <c r="D542" s="172" t="s">
        <v>565</v>
      </c>
      <c r="E542" s="172">
        <v>24</v>
      </c>
      <c r="F542" s="172" t="s">
        <v>1589</v>
      </c>
      <c r="G542" s="172"/>
      <c r="H542" s="173"/>
      <c r="I542" s="172" t="s">
        <v>1205</v>
      </c>
      <c r="J542" s="177">
        <v>298080</v>
      </c>
      <c r="K542" s="177">
        <v>2600000</v>
      </c>
      <c r="L542" s="177">
        <v>5300000</v>
      </c>
      <c r="M542" s="177">
        <v>5300000</v>
      </c>
      <c r="N542" s="177">
        <v>2600000</v>
      </c>
      <c r="O542" s="172"/>
      <c r="P542" s="172"/>
      <c r="Q542" s="172" t="s">
        <v>1318</v>
      </c>
      <c r="R542" s="172" t="s">
        <v>1346</v>
      </c>
      <c r="S542" s="172">
        <v>1</v>
      </c>
      <c r="T542" s="172">
        <v>0</v>
      </c>
      <c r="U542" s="172">
        <v>0</v>
      </c>
      <c r="V542" s="172"/>
      <c r="W542" s="172"/>
      <c r="X542" s="172"/>
      <c r="Y542" s="172"/>
      <c r="Z542" s="172">
        <v>141300</v>
      </c>
      <c r="AA542" s="172">
        <v>10000601</v>
      </c>
      <c r="AB542" s="172">
        <v>100</v>
      </c>
      <c r="AC542" s="172"/>
      <c r="AD542" s="172"/>
      <c r="AE542" s="172">
        <v>10000701</v>
      </c>
      <c r="AF542" s="172">
        <v>0.48</v>
      </c>
      <c r="AG542" s="172"/>
      <c r="AH542" s="172"/>
      <c r="AI542" s="172"/>
      <c r="AJ542" s="172"/>
      <c r="AK542" s="172"/>
      <c r="AL542" s="172"/>
      <c r="AM542" s="172"/>
      <c r="AN542" s="172"/>
      <c r="AO542" s="172"/>
      <c r="AP542" s="172"/>
      <c r="AQ542" s="172"/>
      <c r="AR542" s="172"/>
      <c r="AS542" s="172"/>
      <c r="AT542" s="172"/>
      <c r="AU542" s="172"/>
      <c r="AV542" s="172"/>
      <c r="AW542" s="172"/>
      <c r="AX542" s="172"/>
      <c r="AY542" s="172"/>
      <c r="AZ542" s="172"/>
      <c r="BA542" s="172"/>
      <c r="BB542" s="172"/>
      <c r="BC542" s="172"/>
      <c r="BD542" s="172"/>
      <c r="BE542" s="172"/>
      <c r="BF542" s="172"/>
      <c r="BG542" s="172"/>
      <c r="BH542" s="172">
        <v>24</v>
      </c>
      <c r="BI542" s="172"/>
    </row>
    <row r="543" spans="1:61" ht="14.5">
      <c r="A543" s="172">
        <v>2370025</v>
      </c>
      <c r="B543" s="172">
        <v>540</v>
      </c>
      <c r="C543" s="172">
        <v>237</v>
      </c>
      <c r="D543" s="172" t="s">
        <v>565</v>
      </c>
      <c r="E543" s="172">
        <v>25</v>
      </c>
      <c r="F543" s="172" t="s">
        <v>1590</v>
      </c>
      <c r="G543" s="172"/>
      <c r="H543" s="173"/>
      <c r="I543" s="172" t="s">
        <v>1205</v>
      </c>
      <c r="J543" s="177">
        <v>375840</v>
      </c>
      <c r="K543" s="177">
        <v>3400000</v>
      </c>
      <c r="L543" s="177">
        <v>6700000</v>
      </c>
      <c r="M543" s="177">
        <v>6700000</v>
      </c>
      <c r="N543" s="177">
        <v>3400000</v>
      </c>
      <c r="O543" s="172"/>
      <c r="P543" s="172"/>
      <c r="Q543" s="172" t="s">
        <v>1318</v>
      </c>
      <c r="R543" s="172" t="s">
        <v>1348</v>
      </c>
      <c r="S543" s="172">
        <v>1</v>
      </c>
      <c r="T543" s="172">
        <v>0</v>
      </c>
      <c r="U543" s="172">
        <v>0</v>
      </c>
      <c r="V543" s="172"/>
      <c r="W543" s="172"/>
      <c r="X543" s="172"/>
      <c r="Y543" s="172"/>
      <c r="Z543" s="172">
        <v>181768</v>
      </c>
      <c r="AA543" s="172">
        <v>10000601</v>
      </c>
      <c r="AB543" s="172">
        <v>105</v>
      </c>
      <c r="AC543" s="172"/>
      <c r="AD543" s="172"/>
      <c r="AE543" s="172">
        <v>10000701</v>
      </c>
      <c r="AF543" s="172">
        <v>0.5</v>
      </c>
      <c r="AG543" s="172"/>
      <c r="AH543" s="172"/>
      <c r="AI543" s="172"/>
      <c r="AJ543" s="172"/>
      <c r="AK543" s="172"/>
      <c r="AL543" s="172"/>
      <c r="AM543" s="172"/>
      <c r="AN543" s="172"/>
      <c r="AO543" s="172"/>
      <c r="AP543" s="172"/>
      <c r="AQ543" s="172"/>
      <c r="AR543" s="172"/>
      <c r="AS543" s="172"/>
      <c r="AT543" s="172"/>
      <c r="AU543" s="172"/>
      <c r="AV543" s="172"/>
      <c r="AW543" s="172"/>
      <c r="AX543" s="172"/>
      <c r="AY543" s="172"/>
      <c r="AZ543" s="172"/>
      <c r="BA543" s="172"/>
      <c r="BB543" s="172"/>
      <c r="BC543" s="172"/>
      <c r="BD543" s="172"/>
      <c r="BE543" s="172"/>
      <c r="BF543" s="172"/>
      <c r="BG543" s="172"/>
      <c r="BH543" s="172">
        <v>24</v>
      </c>
      <c r="BI543" s="172"/>
    </row>
    <row r="544" spans="1:61" ht="14.5">
      <c r="A544" s="172">
        <v>2370026</v>
      </c>
      <c r="B544" s="172">
        <v>541</v>
      </c>
      <c r="C544" s="172">
        <v>237</v>
      </c>
      <c r="D544" s="172" t="s">
        <v>565</v>
      </c>
      <c r="E544" s="172">
        <v>26</v>
      </c>
      <c r="F544" s="172" t="s">
        <v>1591</v>
      </c>
      <c r="G544" s="172"/>
      <c r="H544" s="173"/>
      <c r="I544" s="172" t="s">
        <v>1205</v>
      </c>
      <c r="J544" s="177">
        <v>466560</v>
      </c>
      <c r="K544" s="177">
        <v>4300000</v>
      </c>
      <c r="L544" s="177">
        <v>8600000</v>
      </c>
      <c r="M544" s="177">
        <v>8600000</v>
      </c>
      <c r="N544" s="177">
        <v>4300000</v>
      </c>
      <c r="O544" s="172"/>
      <c r="P544" s="172"/>
      <c r="Q544" s="172" t="s">
        <v>1318</v>
      </c>
      <c r="R544" s="172" t="s">
        <v>1350</v>
      </c>
      <c r="S544" s="172">
        <v>1</v>
      </c>
      <c r="T544" s="172">
        <v>0</v>
      </c>
      <c r="U544" s="172">
        <v>0</v>
      </c>
      <c r="V544" s="172"/>
      <c r="W544" s="172"/>
      <c r="X544" s="172"/>
      <c r="Y544" s="172"/>
      <c r="Z544" s="172">
        <v>233568</v>
      </c>
      <c r="AA544" s="172">
        <v>10000601</v>
      </c>
      <c r="AB544" s="172">
        <v>110</v>
      </c>
      <c r="AC544" s="172"/>
      <c r="AD544" s="172"/>
      <c r="AE544" s="172">
        <v>10000701</v>
      </c>
      <c r="AF544" s="172">
        <v>0.54</v>
      </c>
      <c r="AG544" s="172"/>
      <c r="AH544" s="172"/>
      <c r="AI544" s="172"/>
      <c r="AJ544" s="172"/>
      <c r="AK544" s="172"/>
      <c r="AL544" s="172"/>
      <c r="AM544" s="172"/>
      <c r="AN544" s="172"/>
      <c r="AO544" s="172"/>
      <c r="AP544" s="172"/>
      <c r="AQ544" s="172"/>
      <c r="AR544" s="172"/>
      <c r="AS544" s="172"/>
      <c r="AT544" s="172"/>
      <c r="AU544" s="172"/>
      <c r="AV544" s="172"/>
      <c r="AW544" s="172"/>
      <c r="AX544" s="172"/>
      <c r="AY544" s="172"/>
      <c r="AZ544" s="172"/>
      <c r="BA544" s="172"/>
      <c r="BB544" s="172"/>
      <c r="BC544" s="172"/>
      <c r="BD544" s="172"/>
      <c r="BE544" s="172"/>
      <c r="BF544" s="172"/>
      <c r="BG544" s="172"/>
      <c r="BH544" s="172">
        <v>24</v>
      </c>
      <c r="BI544" s="172"/>
    </row>
    <row r="545" spans="1:65" ht="14.5">
      <c r="A545" s="172">
        <v>2370027</v>
      </c>
      <c r="B545" s="172">
        <v>542</v>
      </c>
      <c r="C545" s="172">
        <v>237</v>
      </c>
      <c r="D545" s="172" t="s">
        <v>565</v>
      </c>
      <c r="E545" s="172">
        <v>27</v>
      </c>
      <c r="F545" s="172" t="s">
        <v>1592</v>
      </c>
      <c r="G545" s="172"/>
      <c r="H545" s="173"/>
      <c r="I545" s="172" t="s">
        <v>1205</v>
      </c>
      <c r="J545" s="177">
        <v>570240</v>
      </c>
      <c r="K545" s="177">
        <v>5500000</v>
      </c>
      <c r="L545" s="177">
        <v>11000000</v>
      </c>
      <c r="M545" s="177">
        <v>11000000</v>
      </c>
      <c r="N545" s="177">
        <v>5500000</v>
      </c>
      <c r="O545" s="172"/>
      <c r="P545" s="172"/>
      <c r="Q545" s="172" t="s">
        <v>1318</v>
      </c>
      <c r="R545" s="172" t="s">
        <v>1352</v>
      </c>
      <c r="S545" s="172">
        <v>1</v>
      </c>
      <c r="T545" s="172">
        <v>0</v>
      </c>
      <c r="U545" s="172">
        <v>0</v>
      </c>
      <c r="V545" s="172"/>
      <c r="W545" s="172"/>
      <c r="X545" s="172"/>
      <c r="Y545" s="172"/>
      <c r="Z545" s="172">
        <v>299871</v>
      </c>
      <c r="AA545" s="172">
        <v>10000601</v>
      </c>
      <c r="AB545" s="172">
        <v>110</v>
      </c>
      <c r="AC545" s="172"/>
      <c r="AD545" s="172"/>
      <c r="AE545" s="172">
        <v>10000701</v>
      </c>
      <c r="AF545" s="172">
        <v>0.57999999999999996</v>
      </c>
      <c r="AG545" s="172"/>
      <c r="AH545" s="172"/>
      <c r="AI545" s="172"/>
      <c r="AJ545" s="172"/>
      <c r="AK545" s="172"/>
      <c r="AL545" s="172"/>
      <c r="AM545" s="172"/>
      <c r="AN545" s="172"/>
      <c r="AO545" s="172"/>
      <c r="AP545" s="172"/>
      <c r="AQ545" s="172"/>
      <c r="AR545" s="172"/>
      <c r="AS545" s="172"/>
      <c r="AT545" s="172"/>
      <c r="AU545" s="172"/>
      <c r="AV545" s="172"/>
      <c r="AW545" s="172"/>
      <c r="AX545" s="172"/>
      <c r="AY545" s="172"/>
      <c r="AZ545" s="172"/>
      <c r="BA545" s="172"/>
      <c r="BB545" s="172"/>
      <c r="BC545" s="172"/>
      <c r="BD545" s="172"/>
      <c r="BE545" s="172"/>
      <c r="BF545" s="172"/>
      <c r="BG545" s="172"/>
      <c r="BH545" s="172">
        <v>24</v>
      </c>
      <c r="BI545" s="172"/>
    </row>
    <row r="546" spans="1:65" ht="14.5">
      <c r="A546" s="172">
        <v>2370028</v>
      </c>
      <c r="B546" s="172">
        <v>543</v>
      </c>
      <c r="C546" s="172">
        <v>237</v>
      </c>
      <c r="D546" s="172" t="s">
        <v>565</v>
      </c>
      <c r="E546" s="172">
        <v>28</v>
      </c>
      <c r="F546" s="172" t="s">
        <v>1593</v>
      </c>
      <c r="G546" s="172"/>
      <c r="H546" s="173"/>
      <c r="I546" s="172" t="s">
        <v>1205</v>
      </c>
      <c r="J546" s="177">
        <v>699840</v>
      </c>
      <c r="K546" s="177">
        <v>7100000</v>
      </c>
      <c r="L546" s="177">
        <v>14000000</v>
      </c>
      <c r="M546" s="177">
        <v>14000000</v>
      </c>
      <c r="N546" s="177">
        <v>7100000</v>
      </c>
      <c r="O546" s="172"/>
      <c r="P546" s="172"/>
      <c r="Q546" s="172" t="s">
        <v>1318</v>
      </c>
      <c r="R546" s="172" t="s">
        <v>1354</v>
      </c>
      <c r="S546" s="172">
        <v>1</v>
      </c>
      <c r="T546" s="172">
        <v>0</v>
      </c>
      <c r="U546" s="172">
        <v>0</v>
      </c>
      <c r="V546" s="172"/>
      <c r="W546" s="172"/>
      <c r="X546" s="172"/>
      <c r="Y546" s="172"/>
      <c r="Z546" s="172">
        <v>384740</v>
      </c>
      <c r="AA546" s="172">
        <v>10000601</v>
      </c>
      <c r="AB546" s="172">
        <v>110</v>
      </c>
      <c r="AC546" s="172"/>
      <c r="AD546" s="172"/>
      <c r="AE546" s="172">
        <v>10000701</v>
      </c>
      <c r="AF546" s="172">
        <v>0.62</v>
      </c>
      <c r="AG546" s="172"/>
      <c r="AH546" s="172"/>
      <c r="AI546" s="172"/>
      <c r="AJ546" s="172"/>
      <c r="AK546" s="172"/>
      <c r="AL546" s="172"/>
      <c r="AM546" s="172"/>
      <c r="AN546" s="172"/>
      <c r="AO546" s="172"/>
      <c r="AP546" s="172"/>
      <c r="AQ546" s="172"/>
      <c r="AR546" s="172"/>
      <c r="AS546" s="172"/>
      <c r="AT546" s="172"/>
      <c r="AU546" s="172"/>
      <c r="AV546" s="172"/>
      <c r="AW546" s="172"/>
      <c r="AX546" s="172"/>
      <c r="AY546" s="172"/>
      <c r="AZ546" s="172"/>
      <c r="BA546" s="172"/>
      <c r="BB546" s="172"/>
      <c r="BC546" s="172"/>
      <c r="BD546" s="172"/>
      <c r="BE546" s="172"/>
      <c r="BF546" s="172"/>
      <c r="BG546" s="172"/>
      <c r="BH546" s="172">
        <v>24</v>
      </c>
      <c r="BI546" s="172"/>
    </row>
    <row r="547" spans="1:65" ht="14.5">
      <c r="A547" s="172">
        <v>2370029</v>
      </c>
      <c r="B547" s="172">
        <v>544</v>
      </c>
      <c r="C547" s="172">
        <v>237</v>
      </c>
      <c r="D547" s="172" t="s">
        <v>565</v>
      </c>
      <c r="E547" s="172">
        <v>29</v>
      </c>
      <c r="F547" s="172" t="s">
        <v>1594</v>
      </c>
      <c r="G547" s="172"/>
      <c r="H547" s="173"/>
      <c r="I547" s="172" t="s">
        <v>1205</v>
      </c>
      <c r="J547" s="177">
        <v>855360</v>
      </c>
      <c r="K547" s="177">
        <v>9100000</v>
      </c>
      <c r="L547" s="177">
        <v>18000000</v>
      </c>
      <c r="M547" s="177">
        <v>18000000</v>
      </c>
      <c r="N547" s="177">
        <v>9100000</v>
      </c>
      <c r="O547" s="172"/>
      <c r="P547" s="172"/>
      <c r="Q547" s="172" t="s">
        <v>1318</v>
      </c>
      <c r="R547" s="172" t="s">
        <v>1356</v>
      </c>
      <c r="S547" s="172">
        <v>1</v>
      </c>
      <c r="T547" s="172">
        <v>0</v>
      </c>
      <c r="U547" s="172">
        <v>0</v>
      </c>
      <c r="V547" s="172"/>
      <c r="W547" s="172"/>
      <c r="X547" s="172"/>
      <c r="Y547" s="172"/>
      <c r="Z547" s="172">
        <v>493372</v>
      </c>
      <c r="AA547" s="172">
        <v>10000601</v>
      </c>
      <c r="AB547" s="172">
        <v>110</v>
      </c>
      <c r="AC547" s="172"/>
      <c r="AD547" s="172"/>
      <c r="AE547" s="172">
        <v>10000701</v>
      </c>
      <c r="AF547" s="172">
        <v>0.66</v>
      </c>
      <c r="AG547" s="172"/>
      <c r="AH547" s="172"/>
      <c r="AI547" s="172"/>
      <c r="AJ547" s="172"/>
      <c r="AK547" s="172"/>
      <c r="AL547" s="172"/>
      <c r="AM547" s="172"/>
      <c r="AN547" s="172"/>
      <c r="AO547" s="172"/>
      <c r="AP547" s="172"/>
      <c r="AQ547" s="172"/>
      <c r="AR547" s="172"/>
      <c r="AS547" s="172"/>
      <c r="AT547" s="172"/>
      <c r="AU547" s="172"/>
      <c r="AV547" s="172"/>
      <c r="AW547" s="172"/>
      <c r="AX547" s="172"/>
      <c r="AY547" s="172"/>
      <c r="AZ547" s="172"/>
      <c r="BA547" s="172"/>
      <c r="BB547" s="172"/>
      <c r="BC547" s="172"/>
      <c r="BD547" s="172"/>
      <c r="BE547" s="172"/>
      <c r="BF547" s="172"/>
      <c r="BG547" s="172"/>
      <c r="BH547" s="172">
        <v>24</v>
      </c>
      <c r="BI547" s="172"/>
    </row>
    <row r="548" spans="1:65" ht="14.5">
      <c r="A548" s="172">
        <v>2370030</v>
      </c>
      <c r="B548" s="172">
        <v>545</v>
      </c>
      <c r="C548" s="172">
        <v>237</v>
      </c>
      <c r="D548" s="172" t="s">
        <v>565</v>
      </c>
      <c r="E548" s="172">
        <v>30</v>
      </c>
      <c r="F548" s="172" t="s">
        <v>1595</v>
      </c>
      <c r="G548" s="172"/>
      <c r="H548" s="173"/>
      <c r="I548" s="172" t="s">
        <v>1205</v>
      </c>
      <c r="J548" s="177">
        <v>1036800</v>
      </c>
      <c r="K548" s="177">
        <v>12000000</v>
      </c>
      <c r="L548" s="177">
        <v>23000000</v>
      </c>
      <c r="M548" s="177">
        <v>23000000</v>
      </c>
      <c r="N548" s="177">
        <v>12000000</v>
      </c>
      <c r="O548" s="172"/>
      <c r="P548" s="172"/>
      <c r="Q548" s="172" t="s">
        <v>1318</v>
      </c>
      <c r="R548" s="172" t="s">
        <v>1358</v>
      </c>
      <c r="S548" s="172">
        <v>1</v>
      </c>
      <c r="T548" s="172">
        <v>0</v>
      </c>
      <c r="U548" s="172">
        <v>0</v>
      </c>
      <c r="V548" s="172"/>
      <c r="W548" s="172"/>
      <c r="X548" s="172"/>
      <c r="Y548" s="172"/>
      <c r="Z548" s="172">
        <v>632420</v>
      </c>
      <c r="AA548" s="172">
        <v>10000601</v>
      </c>
      <c r="AB548" s="172">
        <v>110</v>
      </c>
      <c r="AC548" s="172"/>
      <c r="AD548" s="172"/>
      <c r="AE548" s="172">
        <v>10000701</v>
      </c>
      <c r="AF548" s="172">
        <v>0.7</v>
      </c>
      <c r="AG548" s="172"/>
      <c r="AH548" s="172"/>
      <c r="AI548" s="172"/>
      <c r="AJ548" s="172"/>
      <c r="AK548" s="172"/>
      <c r="AL548" s="172"/>
      <c r="AM548" s="172"/>
      <c r="AN548" s="172"/>
      <c r="AO548" s="172"/>
      <c r="AP548" s="172"/>
      <c r="AQ548" s="172"/>
      <c r="AR548" s="172"/>
      <c r="AS548" s="172"/>
      <c r="AT548" s="172"/>
      <c r="AU548" s="172"/>
      <c r="AV548" s="172"/>
      <c r="AW548" s="172"/>
      <c r="AX548" s="172"/>
      <c r="AY548" s="172"/>
      <c r="AZ548" s="172"/>
      <c r="BA548" s="172"/>
      <c r="BB548" s="172"/>
      <c r="BC548" s="172"/>
      <c r="BD548" s="172"/>
      <c r="BE548" s="172"/>
      <c r="BF548" s="172"/>
      <c r="BG548" s="172"/>
      <c r="BH548" s="172">
        <v>24</v>
      </c>
      <c r="BI548" s="172"/>
    </row>
    <row r="549" spans="1:65" ht="14.5">
      <c r="A549" s="183">
        <v>2330001</v>
      </c>
      <c r="B549" s="183">
        <v>546</v>
      </c>
      <c r="C549" s="184">
        <v>233</v>
      </c>
      <c r="D549" s="184" t="s">
        <v>593</v>
      </c>
      <c r="E549" s="184">
        <v>1</v>
      </c>
      <c r="F549" s="184" t="s">
        <v>594</v>
      </c>
      <c r="G549" s="184"/>
      <c r="H549" s="184"/>
      <c r="I549" s="184">
        <v>0</v>
      </c>
      <c r="J549" s="185">
        <v>25</v>
      </c>
      <c r="K549" s="185">
        <v>0</v>
      </c>
      <c r="L549" s="185">
        <v>0</v>
      </c>
      <c r="M549" s="184">
        <v>0</v>
      </c>
      <c r="N549" s="184">
        <v>0</v>
      </c>
      <c r="O549" s="184"/>
      <c r="P549" s="184"/>
      <c r="Q549" s="183" t="s">
        <v>1318</v>
      </c>
      <c r="R549" s="183" t="s">
        <v>229</v>
      </c>
      <c r="S549" s="183">
        <v>1</v>
      </c>
      <c r="T549" s="184">
        <v>0</v>
      </c>
      <c r="U549" s="183">
        <v>0</v>
      </c>
      <c r="V549" s="183"/>
      <c r="W549" s="183"/>
      <c r="X549" s="184"/>
      <c r="Y549" s="184"/>
      <c r="Z549" s="183">
        <v>0</v>
      </c>
      <c r="AA549" s="183"/>
      <c r="AB549" s="183"/>
      <c r="AC549" s="184"/>
      <c r="AD549" s="184"/>
      <c r="AE549" s="183"/>
      <c r="AF549" s="183"/>
      <c r="AG549" s="184"/>
      <c r="AH549" s="184"/>
      <c r="AI549" s="172"/>
      <c r="AJ549" s="172"/>
      <c r="AK549" s="172"/>
      <c r="AL549" s="172"/>
      <c r="AM549" s="172"/>
      <c r="AN549" s="172"/>
      <c r="AO549" s="172"/>
      <c r="AP549" s="172"/>
      <c r="AQ549" s="172"/>
      <c r="AR549" s="172"/>
      <c r="AS549" s="172"/>
      <c r="AT549" s="172"/>
      <c r="AU549" s="172"/>
      <c r="AV549" s="172"/>
      <c r="AW549" s="172"/>
      <c r="AX549" s="172"/>
      <c r="AY549" s="172"/>
      <c r="AZ549" s="172"/>
      <c r="BA549" s="172"/>
      <c r="BB549" s="172"/>
      <c r="BC549" s="172"/>
      <c r="BD549" s="172"/>
      <c r="BG549" s="184"/>
      <c r="BH549" s="184">
        <v>28</v>
      </c>
    </row>
    <row r="550" spans="1:65" ht="14.5">
      <c r="A550" s="180">
        <v>2350001</v>
      </c>
      <c r="B550" s="180">
        <v>547</v>
      </c>
      <c r="C550" s="180">
        <v>235</v>
      </c>
      <c r="D550" s="180" t="s">
        <v>994</v>
      </c>
      <c r="E550" s="180">
        <v>1</v>
      </c>
      <c r="F550" s="180" t="s">
        <v>1596</v>
      </c>
      <c r="G550" s="180"/>
      <c r="H550" s="181"/>
      <c r="I550" s="180">
        <v>0</v>
      </c>
      <c r="J550" s="182">
        <v>25</v>
      </c>
      <c r="K550" s="182">
        <v>0</v>
      </c>
      <c r="L550" s="182">
        <v>0</v>
      </c>
      <c r="M550" s="182">
        <v>0</v>
      </c>
      <c r="N550" s="182">
        <v>0</v>
      </c>
      <c r="O550" s="180"/>
      <c r="P550" s="180"/>
      <c r="Q550" s="180" t="s">
        <v>1318</v>
      </c>
      <c r="R550" s="180" t="s">
        <v>229</v>
      </c>
      <c r="S550" s="180">
        <v>1</v>
      </c>
      <c r="T550" s="180">
        <v>0</v>
      </c>
      <c r="U550" s="180">
        <v>0</v>
      </c>
      <c r="V550" s="180"/>
      <c r="W550" s="180"/>
      <c r="X550" s="180"/>
      <c r="Y550" s="180"/>
      <c r="Z550" s="180">
        <v>0</v>
      </c>
      <c r="AA550" s="180"/>
      <c r="AB550" s="180"/>
      <c r="AC550" s="180"/>
      <c r="AD550" s="180"/>
      <c r="AE550" s="180"/>
      <c r="AF550" s="180"/>
      <c r="AG550" s="180"/>
      <c r="AH550" s="180"/>
      <c r="AI550" s="172"/>
      <c r="AJ550" s="172"/>
      <c r="AK550" s="172"/>
      <c r="AL550" s="172"/>
      <c r="AM550" s="172"/>
      <c r="AN550" s="172"/>
      <c r="AO550" s="172"/>
      <c r="AP550" s="172"/>
      <c r="AQ550" s="172"/>
      <c r="AR550" s="172"/>
      <c r="AS550" s="172"/>
      <c r="AT550" s="172"/>
      <c r="AU550" s="172"/>
      <c r="AV550" s="172"/>
      <c r="AW550" s="172"/>
      <c r="AX550" s="172"/>
      <c r="AY550" s="172"/>
      <c r="AZ550" s="172"/>
      <c r="BA550" s="172"/>
      <c r="BB550" s="172"/>
      <c r="BC550" s="172"/>
      <c r="BD550" s="172"/>
      <c r="BE550" s="187"/>
      <c r="BF550" s="187"/>
      <c r="BG550" s="180"/>
      <c r="BH550" s="180">
        <v>28</v>
      </c>
      <c r="BI550" s="180"/>
    </row>
    <row r="551" spans="1:65" ht="14.5">
      <c r="A551" s="172">
        <v>2110001</v>
      </c>
      <c r="B551" s="172">
        <v>548</v>
      </c>
      <c r="C551" s="172">
        <v>211</v>
      </c>
      <c r="D551" s="172" t="s">
        <v>605</v>
      </c>
      <c r="E551" s="172">
        <v>1</v>
      </c>
      <c r="F551" s="172" t="s">
        <v>606</v>
      </c>
      <c r="H551" s="173"/>
      <c r="I551" s="172" t="s">
        <v>1205</v>
      </c>
      <c r="J551" s="177">
        <v>25</v>
      </c>
      <c r="K551" s="177">
        <v>1000</v>
      </c>
      <c r="L551" s="177">
        <v>1000</v>
      </c>
      <c r="M551" s="177">
        <v>0</v>
      </c>
      <c r="N551" s="177">
        <v>0</v>
      </c>
      <c r="O551" s="172"/>
      <c r="P551" s="172"/>
      <c r="Q551" s="172" t="s">
        <v>1318</v>
      </c>
      <c r="R551" s="172" t="s">
        <v>1322</v>
      </c>
      <c r="S551" s="172">
        <v>2</v>
      </c>
      <c r="T551" s="172">
        <v>0</v>
      </c>
      <c r="U551" s="172">
        <v>0</v>
      </c>
      <c r="V551" s="172" t="s">
        <v>229</v>
      </c>
      <c r="W551" s="172" t="s">
        <v>1597</v>
      </c>
      <c r="Z551" s="172">
        <v>4</v>
      </c>
      <c r="AA551" s="172">
        <v>1300</v>
      </c>
      <c r="AB551" s="172">
        <v>0.01</v>
      </c>
      <c r="AE551" s="172"/>
      <c r="AF551" s="172"/>
      <c r="AI551" s="172"/>
      <c r="AJ551" s="172"/>
      <c r="AK551" s="172"/>
      <c r="AL551" s="172"/>
      <c r="AM551" s="172"/>
      <c r="AN551" s="172"/>
      <c r="AO551" s="172"/>
      <c r="AP551" s="172"/>
      <c r="AQ551" s="172"/>
      <c r="AR551" s="172"/>
      <c r="AS551" s="172"/>
      <c r="AT551" s="172"/>
      <c r="AU551" s="172"/>
      <c r="AV551" s="172"/>
      <c r="AW551" s="172"/>
      <c r="AX551" s="172"/>
      <c r="AY551" s="172"/>
      <c r="AZ551" s="172"/>
      <c r="BA551" s="172"/>
      <c r="BB551" s="172"/>
      <c r="BC551" s="172"/>
      <c r="BD551" s="172"/>
      <c r="BH551" s="172">
        <v>22</v>
      </c>
      <c r="BM551" s="172">
        <v>3</v>
      </c>
    </row>
    <row r="552" spans="1:65" ht="14.5">
      <c r="A552" s="172">
        <v>2110002</v>
      </c>
      <c r="B552" s="172">
        <v>549</v>
      </c>
      <c r="C552" s="172">
        <v>211</v>
      </c>
      <c r="D552" s="172" t="s">
        <v>605</v>
      </c>
      <c r="E552" s="172">
        <v>2</v>
      </c>
      <c r="F552" s="172" t="s">
        <v>1598</v>
      </c>
      <c r="H552" s="173"/>
      <c r="I552" s="172" t="s">
        <v>1205</v>
      </c>
      <c r="J552" s="177">
        <v>72</v>
      </c>
      <c r="K552" s="177">
        <v>2000</v>
      </c>
      <c r="L552" s="177">
        <v>2000</v>
      </c>
      <c r="M552" s="177">
        <v>0</v>
      </c>
      <c r="N552" s="177">
        <v>0</v>
      </c>
      <c r="O552" s="172"/>
      <c r="P552" s="172"/>
      <c r="Q552" s="172" t="s">
        <v>1318</v>
      </c>
      <c r="R552" s="172" t="s">
        <v>1322</v>
      </c>
      <c r="S552" s="172">
        <v>2</v>
      </c>
      <c r="T552" s="172">
        <v>0</v>
      </c>
      <c r="U552" s="172">
        <v>0</v>
      </c>
      <c r="V552" s="172"/>
      <c r="W552" s="172"/>
      <c r="Z552" s="172">
        <v>12</v>
      </c>
      <c r="AA552" s="172">
        <v>1300</v>
      </c>
      <c r="AB552" s="172">
        <v>0.02</v>
      </c>
      <c r="AE552" s="172"/>
      <c r="AF552" s="172"/>
      <c r="AI552" s="172"/>
      <c r="AJ552" s="172"/>
      <c r="AK552" s="172"/>
      <c r="AL552" s="172"/>
      <c r="AM552" s="172"/>
      <c r="AN552" s="172"/>
      <c r="AO552" s="172"/>
      <c r="AP552" s="172"/>
      <c r="AQ552" s="172"/>
      <c r="AR552" s="172"/>
      <c r="AS552" s="172"/>
      <c r="AT552" s="172"/>
      <c r="AU552" s="172"/>
      <c r="AV552" s="172"/>
      <c r="AW552" s="172"/>
      <c r="AX552" s="172"/>
      <c r="AY552" s="172"/>
      <c r="AZ552" s="172"/>
      <c r="BA552" s="172"/>
      <c r="BB552" s="172"/>
      <c r="BC552" s="172"/>
      <c r="BD552" s="172"/>
      <c r="BH552" s="172">
        <v>22</v>
      </c>
    </row>
    <row r="553" spans="1:65" ht="14.5">
      <c r="A553" s="172">
        <v>2110003</v>
      </c>
      <c r="B553" s="172">
        <v>550</v>
      </c>
      <c r="C553" s="172">
        <v>211</v>
      </c>
      <c r="D553" s="172" t="s">
        <v>605</v>
      </c>
      <c r="E553" s="172">
        <v>3</v>
      </c>
      <c r="F553" s="172" t="s">
        <v>1599</v>
      </c>
      <c r="H553" s="173"/>
      <c r="I553" s="172" t="s">
        <v>1205</v>
      </c>
      <c r="J553" s="177">
        <v>144</v>
      </c>
      <c r="K553" s="177">
        <v>4000</v>
      </c>
      <c r="L553" s="177">
        <v>4000</v>
      </c>
      <c r="M553" s="177">
        <v>0</v>
      </c>
      <c r="N553" s="177">
        <v>0</v>
      </c>
      <c r="O553" s="172"/>
      <c r="P553" s="172"/>
      <c r="Q553" s="172" t="s">
        <v>1318</v>
      </c>
      <c r="R553" s="172" t="s">
        <v>1322</v>
      </c>
      <c r="S553" s="172">
        <v>2</v>
      </c>
      <c r="T553" s="172">
        <v>0</v>
      </c>
      <c r="U553" s="172">
        <v>0</v>
      </c>
      <c r="V553" s="172"/>
      <c r="W553" s="172"/>
      <c r="Z553" s="172">
        <v>28</v>
      </c>
      <c r="AA553" s="172">
        <v>1300</v>
      </c>
      <c r="AB553" s="172">
        <v>0.03</v>
      </c>
      <c r="AE553" s="172"/>
      <c r="AF553" s="172"/>
      <c r="AI553" s="172"/>
      <c r="AJ553" s="172"/>
      <c r="AK553" s="172"/>
      <c r="AL553" s="172"/>
      <c r="AM553" s="172"/>
      <c r="AN553" s="172"/>
      <c r="AO553" s="172"/>
      <c r="AP553" s="172"/>
      <c r="AQ553" s="172"/>
      <c r="AR553" s="172"/>
      <c r="AS553" s="172"/>
      <c r="AT553" s="172"/>
      <c r="AU553" s="172"/>
      <c r="AV553" s="172"/>
      <c r="AW553" s="172"/>
      <c r="AX553" s="172"/>
      <c r="AY553" s="172"/>
      <c r="AZ553" s="172"/>
      <c r="BA553" s="172"/>
      <c r="BB553" s="172"/>
      <c r="BC553" s="172"/>
      <c r="BD553" s="172"/>
      <c r="BH553" s="172">
        <v>22</v>
      </c>
    </row>
    <row r="554" spans="1:65" ht="14.5">
      <c r="A554" s="172">
        <v>2110004</v>
      </c>
      <c r="B554" s="172">
        <v>551</v>
      </c>
      <c r="C554" s="172">
        <v>211</v>
      </c>
      <c r="D554" s="172" t="s">
        <v>605</v>
      </c>
      <c r="E554" s="172">
        <v>4</v>
      </c>
      <c r="F554" s="172" t="s">
        <v>1600</v>
      </c>
      <c r="H554" s="173"/>
      <c r="I554" s="172" t="s">
        <v>1205</v>
      </c>
      <c r="J554" s="177">
        <v>288</v>
      </c>
      <c r="K554" s="177">
        <v>8000</v>
      </c>
      <c r="L554" s="177">
        <v>8000</v>
      </c>
      <c r="M554" s="177">
        <v>0</v>
      </c>
      <c r="N554" s="177">
        <v>0</v>
      </c>
      <c r="O554" s="172"/>
      <c r="P554" s="172"/>
      <c r="Q554" s="172" t="s">
        <v>1318</v>
      </c>
      <c r="R554" s="172" t="s">
        <v>1322</v>
      </c>
      <c r="S554" s="172">
        <v>2</v>
      </c>
      <c r="T554" s="172">
        <v>0</v>
      </c>
      <c r="U554" s="172">
        <v>0</v>
      </c>
      <c r="V554" s="172"/>
      <c r="W554" s="172"/>
      <c r="Z554" s="172">
        <v>60</v>
      </c>
      <c r="AA554" s="172">
        <v>1300</v>
      </c>
      <c r="AB554" s="172">
        <v>0.04</v>
      </c>
      <c r="AE554" s="172"/>
      <c r="AF554" s="172"/>
      <c r="AI554" s="172"/>
      <c r="AJ554" s="172"/>
      <c r="AK554" s="172"/>
      <c r="AL554" s="172"/>
      <c r="AM554" s="172"/>
      <c r="AN554" s="172"/>
      <c r="AO554" s="172"/>
      <c r="AP554" s="172"/>
      <c r="AQ554" s="172"/>
      <c r="AR554" s="172"/>
      <c r="AS554" s="172"/>
      <c r="AT554" s="172"/>
      <c r="AU554" s="172"/>
      <c r="AV554" s="172"/>
      <c r="AW554" s="172"/>
      <c r="AX554" s="172"/>
      <c r="AY554" s="172"/>
      <c r="AZ554" s="172"/>
      <c r="BA554" s="172"/>
      <c r="BB554" s="172"/>
      <c r="BC554" s="172"/>
      <c r="BD554" s="172"/>
      <c r="BH554" s="172">
        <v>22</v>
      </c>
    </row>
    <row r="555" spans="1:65" ht="14.5">
      <c r="A555" s="172">
        <v>2110005</v>
      </c>
      <c r="B555" s="172">
        <v>552</v>
      </c>
      <c r="C555" s="172">
        <v>211</v>
      </c>
      <c r="D555" s="172" t="s">
        <v>605</v>
      </c>
      <c r="E555" s="172">
        <v>5</v>
      </c>
      <c r="F555" s="172" t="s">
        <v>1601</v>
      </c>
      <c r="H555" s="173"/>
      <c r="I555" s="172" t="s">
        <v>1205</v>
      </c>
      <c r="J555" s="177">
        <v>600</v>
      </c>
      <c r="K555" s="177">
        <v>10000</v>
      </c>
      <c r="L555" s="177">
        <v>10000</v>
      </c>
      <c r="M555" s="177">
        <v>10000</v>
      </c>
      <c r="N555" s="177">
        <v>0</v>
      </c>
      <c r="O555" s="172"/>
      <c r="P555" s="172"/>
      <c r="Q555" s="172" t="s">
        <v>1602</v>
      </c>
      <c r="R555" s="172" t="s">
        <v>1225</v>
      </c>
      <c r="S555" s="172">
        <v>2</v>
      </c>
      <c r="T555" s="172">
        <v>0</v>
      </c>
      <c r="U555" s="172">
        <v>0</v>
      </c>
      <c r="V555" s="172"/>
      <c r="W555" s="172"/>
      <c r="Z555" s="172">
        <v>121</v>
      </c>
      <c r="AA555" s="172">
        <v>1300</v>
      </c>
      <c r="AB555" s="172">
        <v>0.05</v>
      </c>
      <c r="AE555" s="172"/>
      <c r="AF555" s="172"/>
      <c r="AI555" s="172"/>
      <c r="AJ555" s="172"/>
      <c r="AK555" s="172"/>
      <c r="AL555" s="172"/>
      <c r="AM555" s="172"/>
      <c r="AN555" s="172"/>
      <c r="AO555" s="172"/>
      <c r="AP555" s="172"/>
      <c r="AQ555" s="172"/>
      <c r="AR555" s="172"/>
      <c r="AS555" s="172"/>
      <c r="AT555" s="172"/>
      <c r="AU555" s="172"/>
      <c r="AV555" s="172"/>
      <c r="AW555" s="172"/>
      <c r="AX555" s="172"/>
      <c r="AY555" s="172"/>
      <c r="AZ555" s="172"/>
      <c r="BA555" s="172"/>
      <c r="BB555" s="172"/>
      <c r="BC555" s="172"/>
      <c r="BD555" s="172"/>
      <c r="BH555" s="172">
        <v>22</v>
      </c>
    </row>
    <row r="556" spans="1:65" ht="14.5">
      <c r="A556" s="172">
        <v>2110006</v>
      </c>
      <c r="B556" s="172">
        <v>553</v>
      </c>
      <c r="C556" s="172">
        <v>211</v>
      </c>
      <c r="D556" s="172" t="s">
        <v>605</v>
      </c>
      <c r="E556" s="172">
        <v>6</v>
      </c>
      <c r="F556" s="172" t="s">
        <v>1603</v>
      </c>
      <c r="H556" s="173"/>
      <c r="I556" s="172" t="s">
        <v>1205</v>
      </c>
      <c r="J556" s="177">
        <v>1080</v>
      </c>
      <c r="K556" s="177">
        <v>19000</v>
      </c>
      <c r="L556" s="177">
        <v>19000</v>
      </c>
      <c r="M556" s="177">
        <v>19000</v>
      </c>
      <c r="N556" s="177">
        <v>0</v>
      </c>
      <c r="O556" s="172"/>
      <c r="P556" s="172"/>
      <c r="Q556" s="172" t="s">
        <v>1602</v>
      </c>
      <c r="R556" s="172" t="s">
        <v>1230</v>
      </c>
      <c r="S556" s="172">
        <v>2</v>
      </c>
      <c r="T556" s="172">
        <v>0</v>
      </c>
      <c r="U556" s="172">
        <v>0</v>
      </c>
      <c r="V556" s="172"/>
      <c r="W556" s="172"/>
      <c r="Z556" s="172">
        <v>236</v>
      </c>
      <c r="AA556" s="172">
        <v>1300</v>
      </c>
      <c r="AB556" s="172">
        <v>0.06</v>
      </c>
      <c r="AE556" s="172"/>
      <c r="AF556" s="172"/>
      <c r="AI556" s="172"/>
      <c r="AJ556" s="172"/>
      <c r="AK556" s="172"/>
      <c r="AL556" s="172"/>
      <c r="AM556" s="172"/>
      <c r="AN556" s="172"/>
      <c r="AO556" s="172"/>
      <c r="AP556" s="172"/>
      <c r="AQ556" s="172"/>
      <c r="AR556" s="172"/>
      <c r="AS556" s="172"/>
      <c r="AT556" s="172"/>
      <c r="AU556" s="172"/>
      <c r="AV556" s="172"/>
      <c r="AW556" s="172"/>
      <c r="AX556" s="172"/>
      <c r="AY556" s="172"/>
      <c r="AZ556" s="172"/>
      <c r="BA556" s="172"/>
      <c r="BB556" s="172"/>
      <c r="BC556" s="172"/>
      <c r="BD556" s="172"/>
      <c r="BH556" s="172">
        <v>22</v>
      </c>
    </row>
    <row r="557" spans="1:65" ht="14.5">
      <c r="A557" s="172">
        <v>2110007</v>
      </c>
      <c r="B557" s="172">
        <v>554</v>
      </c>
      <c r="C557" s="172">
        <v>211</v>
      </c>
      <c r="D557" s="172" t="s">
        <v>605</v>
      </c>
      <c r="E557" s="172">
        <v>7</v>
      </c>
      <c r="F557" s="172" t="s">
        <v>1604</v>
      </c>
      <c r="H557" s="173"/>
      <c r="I557" s="172" t="s">
        <v>1205</v>
      </c>
      <c r="J557" s="177">
        <v>1800</v>
      </c>
      <c r="K557" s="177">
        <v>34000</v>
      </c>
      <c r="L557" s="177">
        <v>34000</v>
      </c>
      <c r="M557" s="177">
        <v>34000</v>
      </c>
      <c r="N557" s="177">
        <v>0</v>
      </c>
      <c r="O557" s="172"/>
      <c r="P557" s="172"/>
      <c r="Q557" s="172" t="s">
        <v>1602</v>
      </c>
      <c r="R557" s="172" t="s">
        <v>1234</v>
      </c>
      <c r="S557" s="172">
        <v>2</v>
      </c>
      <c r="T557" s="172">
        <v>0</v>
      </c>
      <c r="U557" s="172">
        <v>0</v>
      </c>
      <c r="V557" s="172"/>
      <c r="W557" s="172"/>
      <c r="Z557" s="172">
        <v>442</v>
      </c>
      <c r="AA557" s="172">
        <v>1300</v>
      </c>
      <c r="AB557" s="172">
        <v>7.0000000000000007E-2</v>
      </c>
      <c r="AE557" s="172"/>
      <c r="AF557" s="172"/>
      <c r="AI557" s="172"/>
      <c r="AJ557" s="172"/>
      <c r="AK557" s="172"/>
      <c r="AL557" s="172"/>
      <c r="AM557" s="172"/>
      <c r="AN557" s="172"/>
      <c r="AO557" s="172"/>
      <c r="AP557" s="172"/>
      <c r="AQ557" s="172"/>
      <c r="AR557" s="172"/>
      <c r="AS557" s="172"/>
      <c r="AT557" s="172"/>
      <c r="AU557" s="172"/>
      <c r="AV557" s="172"/>
      <c r="AW557" s="172"/>
      <c r="AX557" s="172"/>
      <c r="AY557" s="172"/>
      <c r="AZ557" s="172"/>
      <c r="BA557" s="172"/>
      <c r="BB557" s="172"/>
      <c r="BC557" s="172"/>
      <c r="BD557" s="172"/>
      <c r="BH557" s="172">
        <v>22</v>
      </c>
    </row>
    <row r="558" spans="1:65" ht="14.5">
      <c r="A558" s="172">
        <v>2110008</v>
      </c>
      <c r="B558" s="172">
        <v>555</v>
      </c>
      <c r="C558" s="172">
        <v>211</v>
      </c>
      <c r="D558" s="172" t="s">
        <v>605</v>
      </c>
      <c r="E558" s="172">
        <v>8</v>
      </c>
      <c r="F558" s="172" t="s">
        <v>1605</v>
      </c>
      <c r="H558" s="173"/>
      <c r="I558" s="172" t="s">
        <v>1205</v>
      </c>
      <c r="J558" s="177">
        <v>2880</v>
      </c>
      <c r="K558" s="177">
        <v>59000</v>
      </c>
      <c r="L558" s="177">
        <v>59000</v>
      </c>
      <c r="M558" s="177">
        <v>59000</v>
      </c>
      <c r="N558" s="177">
        <v>0</v>
      </c>
      <c r="O558" s="172"/>
      <c r="P558" s="172"/>
      <c r="Q558" s="172" t="s">
        <v>1602</v>
      </c>
      <c r="R558" s="172" t="s">
        <v>1239</v>
      </c>
      <c r="S558" s="172">
        <v>2</v>
      </c>
      <c r="T558" s="172">
        <v>0</v>
      </c>
      <c r="U558" s="172">
        <v>0</v>
      </c>
      <c r="V558" s="172"/>
      <c r="W558" s="172"/>
      <c r="Z558" s="172">
        <v>795</v>
      </c>
      <c r="AA558" s="172">
        <v>1300</v>
      </c>
      <c r="AB558" s="172">
        <v>0.08</v>
      </c>
      <c r="AE558" s="172"/>
      <c r="AF558" s="172"/>
      <c r="AI558" s="172"/>
      <c r="AJ558" s="172"/>
      <c r="AK558" s="172"/>
      <c r="AL558" s="172"/>
      <c r="AM558" s="172"/>
      <c r="AN558" s="172"/>
      <c r="AO558" s="172"/>
      <c r="AP558" s="172"/>
      <c r="AQ558" s="172"/>
      <c r="AR558" s="172"/>
      <c r="AS558" s="172"/>
      <c r="AT558" s="172"/>
      <c r="AU558" s="172"/>
      <c r="AV558" s="172"/>
      <c r="AW558" s="172"/>
      <c r="AX558" s="172"/>
      <c r="AY558" s="172"/>
      <c r="AZ558" s="172"/>
      <c r="BA558" s="172"/>
      <c r="BB558" s="172"/>
      <c r="BC558" s="172"/>
      <c r="BD558" s="172"/>
      <c r="BH558" s="172">
        <v>22</v>
      </c>
    </row>
    <row r="559" spans="1:65" ht="14.5">
      <c r="A559" s="172">
        <v>2110009</v>
      </c>
      <c r="B559" s="172">
        <v>556</v>
      </c>
      <c r="C559" s="172">
        <v>211</v>
      </c>
      <c r="D559" s="172" t="s">
        <v>605</v>
      </c>
      <c r="E559" s="172">
        <v>9</v>
      </c>
      <c r="F559" s="172" t="s">
        <v>1606</v>
      </c>
      <c r="H559" s="173"/>
      <c r="I559" s="172" t="s">
        <v>1205</v>
      </c>
      <c r="J559" s="177">
        <v>5760</v>
      </c>
      <c r="K559" s="177">
        <v>97000</v>
      </c>
      <c r="L559" s="177">
        <v>97000</v>
      </c>
      <c r="M559" s="177">
        <v>97000</v>
      </c>
      <c r="N559" s="177">
        <v>0</v>
      </c>
      <c r="O559" s="172"/>
      <c r="P559" s="172"/>
      <c r="Q559" s="172" t="s">
        <v>1602</v>
      </c>
      <c r="R559" s="172" t="s">
        <v>1244</v>
      </c>
      <c r="S559" s="172">
        <v>2</v>
      </c>
      <c r="T559" s="172">
        <v>0</v>
      </c>
      <c r="U559" s="172">
        <v>0</v>
      </c>
      <c r="V559" s="172"/>
      <c r="W559" s="172"/>
      <c r="Z559" s="172">
        <v>1379</v>
      </c>
      <c r="AA559" s="172">
        <v>1300</v>
      </c>
      <c r="AB559" s="172">
        <v>0.09</v>
      </c>
      <c r="AE559" s="172"/>
      <c r="AF559" s="172"/>
      <c r="AI559" s="172"/>
      <c r="AJ559" s="172"/>
      <c r="AK559" s="172"/>
      <c r="AL559" s="172"/>
      <c r="AM559" s="172"/>
      <c r="AN559" s="172"/>
      <c r="AO559" s="172"/>
      <c r="AP559" s="172"/>
      <c r="AQ559" s="172"/>
      <c r="AR559" s="172"/>
      <c r="AS559" s="172"/>
      <c r="AT559" s="172"/>
      <c r="AU559" s="172"/>
      <c r="AV559" s="172"/>
      <c r="AW559" s="172"/>
      <c r="AX559" s="172"/>
      <c r="AY559" s="172"/>
      <c r="AZ559" s="172"/>
      <c r="BA559" s="172"/>
      <c r="BB559" s="172"/>
      <c r="BC559" s="172"/>
      <c r="BD559" s="172"/>
      <c r="BH559" s="172">
        <v>22</v>
      </c>
    </row>
    <row r="560" spans="1:65" ht="14.5">
      <c r="A560" s="172">
        <v>2110010</v>
      </c>
      <c r="B560" s="172">
        <v>557</v>
      </c>
      <c r="C560" s="172">
        <v>211</v>
      </c>
      <c r="D560" s="172" t="s">
        <v>605</v>
      </c>
      <c r="E560" s="172">
        <v>10</v>
      </c>
      <c r="F560" s="172" t="s">
        <v>1607</v>
      </c>
      <c r="H560" s="173"/>
      <c r="I560" s="172" t="s">
        <v>1205</v>
      </c>
      <c r="J560" s="177">
        <v>8640</v>
      </c>
      <c r="K560" s="177">
        <v>120000</v>
      </c>
      <c r="L560" s="177">
        <v>120000</v>
      </c>
      <c r="M560" s="177">
        <v>120000</v>
      </c>
      <c r="N560" s="177">
        <v>120000</v>
      </c>
      <c r="O560" s="172"/>
      <c r="P560" s="172"/>
      <c r="Q560" s="172" t="s">
        <v>1602</v>
      </c>
      <c r="R560" s="172" t="s">
        <v>1247</v>
      </c>
      <c r="S560" s="172">
        <v>2</v>
      </c>
      <c r="T560" s="172">
        <v>0</v>
      </c>
      <c r="U560" s="172">
        <v>0</v>
      </c>
      <c r="V560" s="172"/>
      <c r="W560" s="172"/>
      <c r="Z560" s="172">
        <v>2301</v>
      </c>
      <c r="AA560" s="172">
        <v>1300</v>
      </c>
      <c r="AB560" s="172">
        <v>0.1</v>
      </c>
      <c r="AE560" s="172"/>
      <c r="AF560" s="172"/>
      <c r="AI560" s="172"/>
      <c r="AJ560" s="172"/>
      <c r="AK560" s="172"/>
      <c r="AL560" s="172"/>
      <c r="AM560" s="172"/>
      <c r="AN560" s="172"/>
      <c r="AO560" s="172"/>
      <c r="AP560" s="172"/>
      <c r="AQ560" s="172"/>
      <c r="AR560" s="172"/>
      <c r="AS560" s="172"/>
      <c r="AT560" s="172"/>
      <c r="AU560" s="172"/>
      <c r="AV560" s="172"/>
      <c r="AW560" s="172"/>
      <c r="AX560" s="172"/>
      <c r="AY560" s="172"/>
      <c r="AZ560" s="172"/>
      <c r="BA560" s="172"/>
      <c r="BB560" s="172"/>
      <c r="BC560" s="172"/>
      <c r="BD560" s="172"/>
      <c r="BH560" s="172">
        <v>22</v>
      </c>
    </row>
    <row r="561" spans="1:60" ht="14.5">
      <c r="A561" s="172">
        <v>2110011</v>
      </c>
      <c r="B561" s="172">
        <v>558</v>
      </c>
      <c r="C561" s="172">
        <v>211</v>
      </c>
      <c r="D561" s="172" t="s">
        <v>605</v>
      </c>
      <c r="E561" s="172">
        <v>11</v>
      </c>
      <c r="F561" s="172" t="s">
        <v>1608</v>
      </c>
      <c r="H561" s="173"/>
      <c r="I561" s="172" t="s">
        <v>1205</v>
      </c>
      <c r="J561" s="177">
        <v>12960</v>
      </c>
      <c r="K561" s="177">
        <v>170000</v>
      </c>
      <c r="L561" s="177">
        <v>170000</v>
      </c>
      <c r="M561" s="177">
        <v>170000</v>
      </c>
      <c r="N561" s="177">
        <v>170000</v>
      </c>
      <c r="O561" s="172"/>
      <c r="P561" s="172"/>
      <c r="Q561" s="172" t="s">
        <v>1602</v>
      </c>
      <c r="R561" s="172" t="s">
        <v>1252</v>
      </c>
      <c r="S561" s="172">
        <v>2</v>
      </c>
      <c r="T561" s="172">
        <v>0</v>
      </c>
      <c r="U561" s="172">
        <v>0</v>
      </c>
      <c r="V561" s="172"/>
      <c r="W561" s="172"/>
      <c r="Z561" s="172">
        <v>3693</v>
      </c>
      <c r="AA561" s="172">
        <v>1300</v>
      </c>
      <c r="AB561" s="172">
        <v>0.11</v>
      </c>
      <c r="AE561" s="172"/>
      <c r="AF561" s="172"/>
      <c r="AI561" s="172"/>
      <c r="AJ561" s="172"/>
      <c r="AK561" s="172"/>
      <c r="AL561" s="172"/>
      <c r="AM561" s="172"/>
      <c r="AN561" s="172"/>
      <c r="AO561" s="172"/>
      <c r="AP561" s="172"/>
      <c r="AQ561" s="172"/>
      <c r="AR561" s="172"/>
      <c r="AS561" s="172"/>
      <c r="AT561" s="172"/>
      <c r="AU561" s="172"/>
      <c r="AV561" s="172"/>
      <c r="AW561" s="172"/>
      <c r="AX561" s="172"/>
      <c r="AY561" s="172"/>
      <c r="AZ561" s="172"/>
      <c r="BA561" s="172"/>
      <c r="BB561" s="172"/>
      <c r="BC561" s="172"/>
      <c r="BD561" s="172"/>
      <c r="BH561" s="172">
        <v>22</v>
      </c>
    </row>
    <row r="562" spans="1:60" ht="14.5">
      <c r="A562" s="172">
        <v>2110012</v>
      </c>
      <c r="B562" s="172">
        <v>559</v>
      </c>
      <c r="C562" s="172">
        <v>211</v>
      </c>
      <c r="D562" s="172" t="s">
        <v>605</v>
      </c>
      <c r="E562" s="172">
        <v>12</v>
      </c>
      <c r="F562" s="172" t="s">
        <v>1609</v>
      </c>
      <c r="H562" s="173"/>
      <c r="I562" s="172" t="s">
        <v>1205</v>
      </c>
      <c r="J562" s="177">
        <v>17280</v>
      </c>
      <c r="K562" s="177">
        <v>250000</v>
      </c>
      <c r="L562" s="177">
        <v>250000</v>
      </c>
      <c r="M562" s="177">
        <v>250000</v>
      </c>
      <c r="N562" s="177">
        <v>250000</v>
      </c>
      <c r="O562" s="172"/>
      <c r="P562" s="172"/>
      <c r="Q562" s="172" t="s">
        <v>1602</v>
      </c>
      <c r="R562" s="172" t="s">
        <v>1258</v>
      </c>
      <c r="S562" s="172">
        <v>2</v>
      </c>
      <c r="T562" s="172">
        <v>0</v>
      </c>
      <c r="U562" s="172">
        <v>0</v>
      </c>
      <c r="V562" s="172"/>
      <c r="W562" s="172"/>
      <c r="Z562" s="172">
        <v>5698</v>
      </c>
      <c r="AA562" s="172">
        <v>1300</v>
      </c>
      <c r="AB562" s="172">
        <v>0.12</v>
      </c>
      <c r="AE562" s="172"/>
      <c r="AF562" s="172"/>
      <c r="AI562" s="172"/>
      <c r="AJ562" s="172"/>
      <c r="AK562" s="172"/>
      <c r="AL562" s="172"/>
      <c r="AM562" s="172"/>
      <c r="AN562" s="172"/>
      <c r="AO562" s="172"/>
      <c r="AP562" s="172"/>
      <c r="AQ562" s="172"/>
      <c r="AR562" s="172"/>
      <c r="AS562" s="172"/>
      <c r="AT562" s="172"/>
      <c r="AU562" s="172"/>
      <c r="AV562" s="172"/>
      <c r="AW562" s="172"/>
      <c r="AX562" s="172"/>
      <c r="AY562" s="172"/>
      <c r="AZ562" s="172"/>
      <c r="BA562" s="172"/>
      <c r="BB562" s="172"/>
      <c r="BC562" s="172"/>
      <c r="BD562" s="172"/>
      <c r="BH562" s="172">
        <v>22</v>
      </c>
    </row>
    <row r="563" spans="1:60" ht="14.5">
      <c r="A563" s="172">
        <v>2110013</v>
      </c>
      <c r="B563" s="172">
        <v>560</v>
      </c>
      <c r="C563" s="172">
        <v>211</v>
      </c>
      <c r="D563" s="172" t="s">
        <v>605</v>
      </c>
      <c r="E563" s="172">
        <v>13</v>
      </c>
      <c r="F563" s="172" t="s">
        <v>1610</v>
      </c>
      <c r="H563" s="173"/>
      <c r="I563" s="172" t="s">
        <v>1205</v>
      </c>
      <c r="J563" s="177">
        <v>23040</v>
      </c>
      <c r="K563" s="177">
        <v>340000</v>
      </c>
      <c r="L563" s="177">
        <v>340000</v>
      </c>
      <c r="M563" s="177">
        <v>340000</v>
      </c>
      <c r="N563" s="177">
        <v>340000</v>
      </c>
      <c r="O563" s="172"/>
      <c r="P563" s="172"/>
      <c r="Q563" s="172" t="s">
        <v>1602</v>
      </c>
      <c r="R563" s="172" t="s">
        <v>1262</v>
      </c>
      <c r="S563" s="172">
        <v>2</v>
      </c>
      <c r="T563" s="172">
        <v>0</v>
      </c>
      <c r="U563" s="172">
        <v>0</v>
      </c>
      <c r="V563" s="172"/>
      <c r="W563" s="172"/>
      <c r="Z563" s="172">
        <v>8445</v>
      </c>
      <c r="AA563" s="172">
        <v>1300</v>
      </c>
      <c r="AB563" s="172">
        <v>0.13</v>
      </c>
      <c r="AE563" s="172"/>
      <c r="AF563" s="172"/>
      <c r="AI563" s="172"/>
      <c r="AJ563" s="172"/>
      <c r="AK563" s="172"/>
      <c r="AL563" s="172"/>
      <c r="AM563" s="172"/>
      <c r="AN563" s="172"/>
      <c r="AO563" s="172"/>
      <c r="AP563" s="172"/>
      <c r="AQ563" s="172"/>
      <c r="AR563" s="172"/>
      <c r="AS563" s="172"/>
      <c r="AT563" s="172"/>
      <c r="AU563" s="172"/>
      <c r="AV563" s="172"/>
      <c r="AW563" s="172"/>
      <c r="AX563" s="172"/>
      <c r="AY563" s="172"/>
      <c r="AZ563" s="172"/>
      <c r="BA563" s="172"/>
      <c r="BB563" s="172"/>
      <c r="BC563" s="172"/>
      <c r="BD563" s="172"/>
      <c r="BH563" s="172">
        <v>22</v>
      </c>
    </row>
    <row r="564" spans="1:60" ht="14.5">
      <c r="A564" s="172">
        <v>2110014</v>
      </c>
      <c r="B564" s="172">
        <v>561</v>
      </c>
      <c r="C564" s="172">
        <v>211</v>
      </c>
      <c r="D564" s="172" t="s">
        <v>605</v>
      </c>
      <c r="E564" s="172">
        <v>14</v>
      </c>
      <c r="F564" s="172" t="s">
        <v>1611</v>
      </c>
      <c r="H564" s="173"/>
      <c r="I564" s="172" t="s">
        <v>1205</v>
      </c>
      <c r="J564" s="177">
        <v>28800</v>
      </c>
      <c r="K564" s="177">
        <v>450000</v>
      </c>
      <c r="L564" s="177">
        <v>450000</v>
      </c>
      <c r="M564" s="177">
        <v>450000</v>
      </c>
      <c r="N564" s="177">
        <v>450000</v>
      </c>
      <c r="O564" s="172"/>
      <c r="P564" s="172"/>
      <c r="Q564" s="172" t="s">
        <v>1602</v>
      </c>
      <c r="R564" s="172" t="s">
        <v>1265</v>
      </c>
      <c r="S564" s="172">
        <v>2</v>
      </c>
      <c r="T564" s="172">
        <v>0</v>
      </c>
      <c r="U564" s="172">
        <v>0</v>
      </c>
      <c r="V564" s="172"/>
      <c r="W564" s="172"/>
      <c r="Z564" s="172">
        <v>12015</v>
      </c>
      <c r="AA564" s="172">
        <v>1300</v>
      </c>
      <c r="AB564" s="172">
        <v>0.14000000000000001</v>
      </c>
      <c r="AE564" s="172"/>
      <c r="AF564" s="172"/>
      <c r="AI564" s="172"/>
      <c r="AJ564" s="172"/>
      <c r="AK564" s="172"/>
      <c r="AL564" s="172"/>
      <c r="AM564" s="172"/>
      <c r="AN564" s="172"/>
      <c r="AO564" s="172"/>
      <c r="AP564" s="172"/>
      <c r="AQ564" s="172"/>
      <c r="AR564" s="172"/>
      <c r="AS564" s="172"/>
      <c r="AT564" s="172"/>
      <c r="AU564" s="172"/>
      <c r="AV564" s="172"/>
      <c r="AW564" s="172"/>
      <c r="AX564" s="172"/>
      <c r="AY564" s="172"/>
      <c r="AZ564" s="172"/>
      <c r="BA564" s="172"/>
      <c r="BB564" s="172"/>
      <c r="BC564" s="172"/>
      <c r="BD564" s="172"/>
      <c r="BH564" s="172">
        <v>22</v>
      </c>
    </row>
    <row r="565" spans="1:60" ht="14.5">
      <c r="A565" s="172">
        <v>2110015</v>
      </c>
      <c r="B565" s="172">
        <v>562</v>
      </c>
      <c r="C565" s="172">
        <v>211</v>
      </c>
      <c r="D565" s="172" t="s">
        <v>605</v>
      </c>
      <c r="E565" s="172">
        <v>15</v>
      </c>
      <c r="F565" s="172" t="s">
        <v>1612</v>
      </c>
      <c r="H565" s="173"/>
      <c r="I565" s="172" t="s">
        <v>1205</v>
      </c>
      <c r="J565" s="177">
        <v>34560</v>
      </c>
      <c r="K565" s="177">
        <v>570000</v>
      </c>
      <c r="L565" s="177">
        <v>570000</v>
      </c>
      <c r="M565" s="177">
        <v>570000</v>
      </c>
      <c r="N565" s="177">
        <v>570000</v>
      </c>
      <c r="O565" s="172"/>
      <c r="P565" s="172"/>
      <c r="Q565" s="172" t="s">
        <v>1602</v>
      </c>
      <c r="R565" s="172" t="s">
        <v>1269</v>
      </c>
      <c r="S565" s="172">
        <v>2</v>
      </c>
      <c r="T565" s="172">
        <v>0</v>
      </c>
      <c r="U565" s="172">
        <v>0</v>
      </c>
      <c r="V565" s="172"/>
      <c r="W565" s="172"/>
      <c r="Z565" s="172">
        <v>16586</v>
      </c>
      <c r="AA565" s="172">
        <v>1300</v>
      </c>
      <c r="AB565" s="172">
        <v>0.15</v>
      </c>
      <c r="AE565" s="172"/>
      <c r="AF565" s="172"/>
      <c r="AI565" s="172"/>
      <c r="AJ565" s="172"/>
      <c r="AK565" s="172"/>
      <c r="AL565" s="172"/>
      <c r="AM565" s="172"/>
      <c r="AN565" s="172"/>
      <c r="AO565" s="172"/>
      <c r="AP565" s="172"/>
      <c r="AQ565" s="172"/>
      <c r="AR565" s="172"/>
      <c r="AS565" s="172"/>
      <c r="AT565" s="172"/>
      <c r="AU565" s="172"/>
      <c r="AV565" s="172"/>
      <c r="AW565" s="172"/>
      <c r="AX565" s="172"/>
      <c r="AY565" s="172"/>
      <c r="AZ565" s="172"/>
      <c r="BA565" s="172"/>
      <c r="BB565" s="172"/>
      <c r="BC565" s="172"/>
      <c r="BD565" s="172"/>
      <c r="BH565" s="172">
        <v>22</v>
      </c>
    </row>
    <row r="566" spans="1:60" ht="14.5">
      <c r="A566" s="172">
        <v>2110016</v>
      </c>
      <c r="B566" s="172">
        <v>563</v>
      </c>
      <c r="C566" s="172">
        <v>211</v>
      </c>
      <c r="D566" s="172" t="s">
        <v>605</v>
      </c>
      <c r="E566" s="172">
        <v>16</v>
      </c>
      <c r="F566" s="172" t="s">
        <v>1613</v>
      </c>
      <c r="H566" s="173"/>
      <c r="I566" s="172" t="s">
        <v>1205</v>
      </c>
      <c r="J566" s="177">
        <v>43200</v>
      </c>
      <c r="K566" s="177">
        <v>730000</v>
      </c>
      <c r="L566" s="177">
        <v>730000</v>
      </c>
      <c r="M566" s="177">
        <v>730000</v>
      </c>
      <c r="N566" s="177">
        <v>730000</v>
      </c>
      <c r="O566" s="172"/>
      <c r="P566" s="172"/>
      <c r="Q566" s="172" t="s">
        <v>1602</v>
      </c>
      <c r="R566" s="172" t="s">
        <v>1272</v>
      </c>
      <c r="S566" s="172">
        <v>2</v>
      </c>
      <c r="T566" s="172">
        <v>0</v>
      </c>
      <c r="U566" s="172">
        <v>0</v>
      </c>
      <c r="V566" s="172"/>
      <c r="W566" s="172"/>
      <c r="Z566" s="172">
        <v>22436</v>
      </c>
      <c r="AA566" s="172">
        <v>1300</v>
      </c>
      <c r="AB566" s="172">
        <v>0.16</v>
      </c>
      <c r="AE566" s="172"/>
      <c r="AF566" s="172"/>
      <c r="AI566" s="172"/>
      <c r="AJ566" s="172"/>
      <c r="AK566" s="172"/>
      <c r="AL566" s="172"/>
      <c r="AM566" s="172"/>
      <c r="AN566" s="172"/>
      <c r="AO566" s="172"/>
      <c r="AP566" s="172"/>
      <c r="AQ566" s="172"/>
      <c r="AR566" s="172"/>
      <c r="AS566" s="172"/>
      <c r="AT566" s="172"/>
      <c r="AU566" s="172"/>
      <c r="AV566" s="172"/>
      <c r="AW566" s="172"/>
      <c r="AX566" s="172"/>
      <c r="AY566" s="172"/>
      <c r="AZ566" s="172"/>
      <c r="BA566" s="172"/>
      <c r="BB566" s="172"/>
      <c r="BC566" s="172"/>
      <c r="BD566" s="172"/>
      <c r="BH566" s="172">
        <v>22</v>
      </c>
    </row>
    <row r="567" spans="1:60" ht="14.5">
      <c r="A567" s="172">
        <v>2110017</v>
      </c>
      <c r="B567" s="172">
        <v>564</v>
      </c>
      <c r="C567" s="172">
        <v>211</v>
      </c>
      <c r="D567" s="172" t="s">
        <v>605</v>
      </c>
      <c r="E567" s="172">
        <v>17</v>
      </c>
      <c r="F567" s="172" t="s">
        <v>1614</v>
      </c>
      <c r="H567" s="173"/>
      <c r="I567" s="172" t="s">
        <v>1205</v>
      </c>
      <c r="J567" s="177">
        <v>57600</v>
      </c>
      <c r="K567" s="177">
        <v>940000</v>
      </c>
      <c r="L567" s="177">
        <v>940000</v>
      </c>
      <c r="M567" s="177">
        <v>940000</v>
      </c>
      <c r="N567" s="177">
        <v>940000</v>
      </c>
      <c r="O567" s="172"/>
      <c r="P567" s="172"/>
      <c r="Q567" s="172" t="s">
        <v>1602</v>
      </c>
      <c r="R567" s="172" t="s">
        <v>1278</v>
      </c>
      <c r="S567" s="172">
        <v>2</v>
      </c>
      <c r="T567" s="172">
        <v>0</v>
      </c>
      <c r="U567" s="172">
        <v>0</v>
      </c>
      <c r="V567" s="172"/>
      <c r="W567" s="172"/>
      <c r="Z567" s="172">
        <v>29924</v>
      </c>
      <c r="AA567" s="172">
        <v>1300</v>
      </c>
      <c r="AB567" s="172">
        <v>0.17</v>
      </c>
      <c r="AE567" s="172"/>
      <c r="AF567" s="172"/>
      <c r="AI567" s="172"/>
      <c r="AJ567" s="172"/>
      <c r="AK567" s="172"/>
      <c r="AL567" s="172"/>
      <c r="AM567" s="172"/>
      <c r="AN567" s="172"/>
      <c r="AO567" s="172"/>
      <c r="AP567" s="172"/>
      <c r="AQ567" s="172"/>
      <c r="AR567" s="172"/>
      <c r="AS567" s="172"/>
      <c r="AT567" s="172"/>
      <c r="AU567" s="172"/>
      <c r="AV567" s="172"/>
      <c r="AW567" s="172"/>
      <c r="AX567" s="172"/>
      <c r="AY567" s="172"/>
      <c r="AZ567" s="172"/>
      <c r="BA567" s="172"/>
      <c r="BB567" s="172"/>
      <c r="BC567" s="172"/>
      <c r="BD567" s="172"/>
      <c r="BH567" s="172">
        <v>22</v>
      </c>
    </row>
    <row r="568" spans="1:60" ht="14.5">
      <c r="A568" s="172">
        <v>2110018</v>
      </c>
      <c r="B568" s="172">
        <v>565</v>
      </c>
      <c r="C568" s="172">
        <v>211</v>
      </c>
      <c r="D568" s="172" t="s">
        <v>605</v>
      </c>
      <c r="E568" s="172">
        <v>18</v>
      </c>
      <c r="F568" s="172" t="s">
        <v>1615</v>
      </c>
      <c r="H568" s="173"/>
      <c r="I568" s="172" t="s">
        <v>1205</v>
      </c>
      <c r="J568" s="177">
        <v>74880</v>
      </c>
      <c r="K568" s="177">
        <v>1200000</v>
      </c>
      <c r="L568" s="177">
        <v>1200000</v>
      </c>
      <c r="M568" s="177">
        <v>1200000</v>
      </c>
      <c r="N568" s="177">
        <v>1200000</v>
      </c>
      <c r="O568" s="172"/>
      <c r="P568" s="172"/>
      <c r="Q568" s="172" t="s">
        <v>1602</v>
      </c>
      <c r="R568" s="172" t="s">
        <v>1281</v>
      </c>
      <c r="S568" s="172">
        <v>2</v>
      </c>
      <c r="T568" s="172">
        <v>0</v>
      </c>
      <c r="U568" s="172">
        <v>0</v>
      </c>
      <c r="V568" s="172"/>
      <c r="W568" s="172"/>
      <c r="Z568" s="172">
        <v>39509</v>
      </c>
      <c r="AA568" s="172">
        <v>1300</v>
      </c>
      <c r="AB568" s="172">
        <v>0.18</v>
      </c>
      <c r="AE568" s="172"/>
      <c r="AF568" s="172"/>
      <c r="AI568" s="172"/>
      <c r="AJ568" s="172"/>
      <c r="AK568" s="172"/>
      <c r="AL568" s="172"/>
      <c r="AM568" s="172"/>
      <c r="AN568" s="172"/>
      <c r="AO568" s="172"/>
      <c r="AP568" s="172"/>
      <c r="AQ568" s="172"/>
      <c r="AR568" s="172"/>
      <c r="AS568" s="172"/>
      <c r="AT568" s="172"/>
      <c r="AU568" s="172"/>
      <c r="AV568" s="172"/>
      <c r="AW568" s="172"/>
      <c r="AX568" s="172"/>
      <c r="AY568" s="172"/>
      <c r="AZ568" s="172"/>
      <c r="BA568" s="172"/>
      <c r="BB568" s="172"/>
      <c r="BC568" s="172"/>
      <c r="BD568" s="172"/>
      <c r="BH568" s="172">
        <v>22</v>
      </c>
    </row>
    <row r="569" spans="1:60" ht="14.5">
      <c r="A569" s="172">
        <v>2110019</v>
      </c>
      <c r="B569" s="172">
        <v>566</v>
      </c>
      <c r="C569" s="172">
        <v>211</v>
      </c>
      <c r="D569" s="172" t="s">
        <v>605</v>
      </c>
      <c r="E569" s="172">
        <v>19</v>
      </c>
      <c r="F569" s="172" t="s">
        <v>1616</v>
      </c>
      <c r="H569" s="173"/>
      <c r="I569" s="172" t="s">
        <v>1205</v>
      </c>
      <c r="J569" s="177">
        <v>97920</v>
      </c>
      <c r="K569" s="177">
        <v>1500000</v>
      </c>
      <c r="L569" s="177">
        <v>1500000</v>
      </c>
      <c r="M569" s="177">
        <v>1500000</v>
      </c>
      <c r="N569" s="177">
        <v>1500000</v>
      </c>
      <c r="O569" s="172"/>
      <c r="P569" s="172"/>
      <c r="Q569" s="172" t="s">
        <v>1602</v>
      </c>
      <c r="R569" s="172" t="s">
        <v>1283</v>
      </c>
      <c r="S569" s="172">
        <v>2</v>
      </c>
      <c r="T569" s="172">
        <v>0</v>
      </c>
      <c r="U569" s="172">
        <v>0</v>
      </c>
      <c r="V569" s="172"/>
      <c r="W569" s="172"/>
      <c r="Z569" s="172">
        <v>51778</v>
      </c>
      <c r="AA569" s="172">
        <v>1300</v>
      </c>
      <c r="AB569" s="172">
        <v>0.19</v>
      </c>
      <c r="AE569" s="172"/>
      <c r="AF569" s="172"/>
      <c r="AI569" s="172"/>
      <c r="AJ569" s="172"/>
      <c r="AK569" s="172"/>
      <c r="AL569" s="172"/>
      <c r="AM569" s="172"/>
      <c r="AN569" s="172"/>
      <c r="AO569" s="172"/>
      <c r="AP569" s="172"/>
      <c r="AQ569" s="172"/>
      <c r="AR569" s="172"/>
      <c r="AS569" s="172"/>
      <c r="AT569" s="172"/>
      <c r="AU569" s="172"/>
      <c r="AV569" s="172"/>
      <c r="AW569" s="172"/>
      <c r="AX569" s="172"/>
      <c r="AY569" s="172"/>
      <c r="AZ569" s="172"/>
      <c r="BA569" s="172"/>
      <c r="BB569" s="172"/>
      <c r="BC569" s="172"/>
      <c r="BD569" s="172"/>
      <c r="BH569" s="172">
        <v>22</v>
      </c>
    </row>
    <row r="570" spans="1:60" ht="14.5">
      <c r="A570" s="172">
        <v>2110020</v>
      </c>
      <c r="B570" s="172">
        <v>567</v>
      </c>
      <c r="C570" s="172">
        <v>211</v>
      </c>
      <c r="D570" s="172" t="s">
        <v>605</v>
      </c>
      <c r="E570" s="172">
        <v>20</v>
      </c>
      <c r="F570" s="172" t="s">
        <v>1617</v>
      </c>
      <c r="H570" s="173"/>
      <c r="I570" s="172" t="s">
        <v>1205</v>
      </c>
      <c r="J570" s="177">
        <v>138240</v>
      </c>
      <c r="K570" s="177">
        <v>2000000</v>
      </c>
      <c r="L570" s="177">
        <v>2000000</v>
      </c>
      <c r="M570" s="177">
        <v>2000000</v>
      </c>
      <c r="N570" s="177">
        <v>2000000</v>
      </c>
      <c r="O570" s="172"/>
      <c r="P570" s="172"/>
      <c r="Q570" s="172" t="s">
        <v>1602</v>
      </c>
      <c r="R570" s="172" t="s">
        <v>1287</v>
      </c>
      <c r="S570" s="172">
        <v>2</v>
      </c>
      <c r="T570" s="172">
        <v>0</v>
      </c>
      <c r="U570" s="172">
        <v>0</v>
      </c>
      <c r="V570" s="172"/>
      <c r="W570" s="172"/>
      <c r="Z570" s="172">
        <v>67481</v>
      </c>
      <c r="AA570" s="172">
        <v>1300</v>
      </c>
      <c r="AB570" s="172">
        <v>0.2</v>
      </c>
      <c r="AE570" s="172"/>
      <c r="AF570" s="172"/>
      <c r="AI570" s="172"/>
      <c r="AJ570" s="172"/>
      <c r="AK570" s="172"/>
      <c r="AL570" s="172"/>
      <c r="AM570" s="172"/>
      <c r="AN570" s="172"/>
      <c r="AO570" s="172"/>
      <c r="AP570" s="172"/>
      <c r="AQ570" s="172"/>
      <c r="AR570" s="172"/>
      <c r="AS570" s="172"/>
      <c r="AT570" s="172"/>
      <c r="AU570" s="172"/>
      <c r="AV570" s="172"/>
      <c r="AW570" s="172"/>
      <c r="AX570" s="172"/>
      <c r="AY570" s="172"/>
      <c r="AZ570" s="172"/>
      <c r="BA570" s="172"/>
      <c r="BB570" s="172"/>
      <c r="BC570" s="172"/>
      <c r="BD570" s="172"/>
      <c r="BH570" s="172">
        <v>22</v>
      </c>
    </row>
    <row r="571" spans="1:60" ht="14.5">
      <c r="A571" s="172">
        <v>2110021</v>
      </c>
      <c r="B571" s="172">
        <v>568</v>
      </c>
      <c r="C571" s="172">
        <v>211</v>
      </c>
      <c r="D571" s="172" t="s">
        <v>605</v>
      </c>
      <c r="E571" s="172">
        <v>21</v>
      </c>
      <c r="F571" s="172" t="s">
        <v>1618</v>
      </c>
      <c r="H571" s="173"/>
      <c r="I571" s="172" t="s">
        <v>1205</v>
      </c>
      <c r="J571" s="177">
        <v>184320</v>
      </c>
      <c r="K571" s="177">
        <v>2500000</v>
      </c>
      <c r="L571" s="177">
        <v>2500000</v>
      </c>
      <c r="M571" s="177">
        <v>2500000</v>
      </c>
      <c r="N571" s="177">
        <v>2500000</v>
      </c>
      <c r="O571" s="172"/>
      <c r="P571" s="172"/>
      <c r="Q571" s="172" t="s">
        <v>1602</v>
      </c>
      <c r="R571" s="172" t="s">
        <v>1291</v>
      </c>
      <c r="S571" s="172">
        <v>2</v>
      </c>
      <c r="T571" s="172">
        <v>0</v>
      </c>
      <c r="U571" s="172">
        <v>0</v>
      </c>
      <c r="V571" s="172"/>
      <c r="W571" s="172"/>
      <c r="Z571" s="172">
        <v>87582</v>
      </c>
      <c r="AA571" s="172">
        <v>1300</v>
      </c>
      <c r="AB571" s="172">
        <v>0.21</v>
      </c>
      <c r="AE571" s="172"/>
      <c r="AF571" s="172"/>
      <c r="AI571" s="172"/>
      <c r="AJ571" s="172"/>
      <c r="AK571" s="172"/>
      <c r="AL571" s="172"/>
      <c r="AM571" s="172"/>
      <c r="AN571" s="172"/>
      <c r="AO571" s="172"/>
      <c r="AP571" s="172"/>
      <c r="AQ571" s="172"/>
      <c r="AR571" s="172"/>
      <c r="AS571" s="172"/>
      <c r="AT571" s="172"/>
      <c r="AU571" s="172"/>
      <c r="AV571" s="172"/>
      <c r="AW571" s="172"/>
      <c r="AX571" s="172"/>
      <c r="AY571" s="172"/>
      <c r="AZ571" s="172"/>
      <c r="BA571" s="172"/>
      <c r="BB571" s="172"/>
      <c r="BC571" s="172"/>
      <c r="BD571" s="172"/>
      <c r="BH571" s="172">
        <v>22</v>
      </c>
    </row>
    <row r="572" spans="1:60" ht="14.5">
      <c r="A572" s="172">
        <v>2110022</v>
      </c>
      <c r="B572" s="172">
        <v>569</v>
      </c>
      <c r="C572" s="172">
        <v>211</v>
      </c>
      <c r="D572" s="172" t="s">
        <v>605</v>
      </c>
      <c r="E572" s="172">
        <v>22</v>
      </c>
      <c r="F572" s="172" t="s">
        <v>1619</v>
      </c>
      <c r="H572" s="173"/>
      <c r="I572" s="172" t="s">
        <v>1205</v>
      </c>
      <c r="J572" s="177">
        <v>241920</v>
      </c>
      <c r="K572" s="177">
        <v>3200000</v>
      </c>
      <c r="L572" s="177">
        <v>3200000</v>
      </c>
      <c r="M572" s="177">
        <v>3200000</v>
      </c>
      <c r="N572" s="177">
        <v>3200000</v>
      </c>
      <c r="O572" s="172"/>
      <c r="P572" s="172"/>
      <c r="Q572" s="172" t="s">
        <v>1602</v>
      </c>
      <c r="R572" s="172" t="s">
        <v>1295</v>
      </c>
      <c r="S572" s="172">
        <v>2</v>
      </c>
      <c r="T572" s="172">
        <v>0</v>
      </c>
      <c r="U572" s="172">
        <v>0</v>
      </c>
      <c r="V572" s="172"/>
      <c r="W572" s="172"/>
      <c r="Z572" s="172">
        <v>113312</v>
      </c>
      <c r="AA572" s="172">
        <v>1300</v>
      </c>
      <c r="AB572" s="172">
        <v>0.22</v>
      </c>
      <c r="AE572" s="172"/>
      <c r="AF572" s="172"/>
      <c r="AI572" s="172"/>
      <c r="AJ572" s="172"/>
      <c r="AK572" s="172"/>
      <c r="AL572" s="172"/>
      <c r="AM572" s="172"/>
      <c r="AN572" s="172"/>
      <c r="AO572" s="172"/>
      <c r="AP572" s="172"/>
      <c r="AQ572" s="172"/>
      <c r="AR572" s="172"/>
      <c r="AS572" s="172"/>
      <c r="AT572" s="172"/>
      <c r="AU572" s="172"/>
      <c r="AV572" s="172"/>
      <c r="AW572" s="172"/>
      <c r="AX572" s="172"/>
      <c r="AY572" s="172"/>
      <c r="AZ572" s="172"/>
      <c r="BA572" s="172"/>
      <c r="BB572" s="172"/>
      <c r="BC572" s="172"/>
      <c r="BD572" s="172"/>
      <c r="BH572" s="172">
        <v>22</v>
      </c>
    </row>
    <row r="573" spans="1:60" ht="14.5">
      <c r="A573" s="172">
        <v>2110023</v>
      </c>
      <c r="B573" s="172">
        <v>570</v>
      </c>
      <c r="C573" s="172">
        <v>211</v>
      </c>
      <c r="D573" s="172" t="s">
        <v>605</v>
      </c>
      <c r="E573" s="172">
        <v>23</v>
      </c>
      <c r="F573" s="172" t="s">
        <v>1620</v>
      </c>
      <c r="H573" s="173"/>
      <c r="I573" s="172" t="s">
        <v>1205</v>
      </c>
      <c r="J573" s="177">
        <v>311040</v>
      </c>
      <c r="K573" s="177">
        <v>4100000</v>
      </c>
      <c r="L573" s="177">
        <v>4100000</v>
      </c>
      <c r="M573" s="177">
        <v>4100000</v>
      </c>
      <c r="N573" s="177">
        <v>4100000</v>
      </c>
      <c r="O573" s="172"/>
      <c r="P573" s="172"/>
      <c r="Q573" s="172" t="s">
        <v>1602</v>
      </c>
      <c r="R573" s="172" t="s">
        <v>1298</v>
      </c>
      <c r="S573" s="172">
        <v>2</v>
      </c>
      <c r="T573" s="172">
        <v>0</v>
      </c>
      <c r="U573" s="172">
        <v>0</v>
      </c>
      <c r="V573" s="172"/>
      <c r="W573" s="172"/>
      <c r="Z573" s="172">
        <v>146245</v>
      </c>
      <c r="AA573" s="172">
        <v>1300</v>
      </c>
      <c r="AB573" s="172">
        <v>0.23</v>
      </c>
      <c r="AE573" s="172"/>
      <c r="AF573" s="172"/>
      <c r="AI573" s="172"/>
      <c r="AJ573" s="172"/>
      <c r="AK573" s="172"/>
      <c r="AL573" s="172"/>
      <c r="AM573" s="172"/>
      <c r="AN573" s="172"/>
      <c r="AO573" s="172"/>
      <c r="AP573" s="172"/>
      <c r="AQ573" s="172"/>
      <c r="AR573" s="172"/>
      <c r="AS573" s="172"/>
      <c r="AT573" s="172"/>
      <c r="AU573" s="172"/>
      <c r="AV573" s="172"/>
      <c r="AW573" s="172"/>
      <c r="AX573" s="172"/>
      <c r="AY573" s="172"/>
      <c r="AZ573" s="172"/>
      <c r="BA573" s="172"/>
      <c r="BB573" s="172"/>
      <c r="BC573" s="172"/>
      <c r="BD573" s="172"/>
      <c r="BH573" s="172">
        <v>22</v>
      </c>
    </row>
    <row r="574" spans="1:60" ht="14.5">
      <c r="A574" s="172">
        <v>2110024</v>
      </c>
      <c r="B574" s="172">
        <v>571</v>
      </c>
      <c r="C574" s="172">
        <v>211</v>
      </c>
      <c r="D574" s="172" t="s">
        <v>605</v>
      </c>
      <c r="E574" s="172">
        <v>24</v>
      </c>
      <c r="F574" s="172" t="s">
        <v>1621</v>
      </c>
      <c r="H574" s="173"/>
      <c r="I574" s="172" t="s">
        <v>1205</v>
      </c>
      <c r="J574" s="177">
        <v>397440</v>
      </c>
      <c r="K574" s="177">
        <v>5300000</v>
      </c>
      <c r="L574" s="177">
        <v>5300000</v>
      </c>
      <c r="M574" s="177">
        <v>5300000</v>
      </c>
      <c r="N574" s="177">
        <v>5300000</v>
      </c>
      <c r="O574" s="172"/>
      <c r="P574" s="172"/>
      <c r="Q574" s="172" t="s">
        <v>1602</v>
      </c>
      <c r="R574" s="172" t="s">
        <v>1302</v>
      </c>
      <c r="S574" s="172">
        <v>2</v>
      </c>
      <c r="T574" s="172">
        <v>0</v>
      </c>
      <c r="U574" s="172">
        <v>0</v>
      </c>
      <c r="V574" s="172"/>
      <c r="W574" s="172"/>
      <c r="Z574" s="172">
        <v>188400</v>
      </c>
      <c r="AA574" s="172">
        <v>1300</v>
      </c>
      <c r="AB574" s="172">
        <v>0.24</v>
      </c>
      <c r="AE574" s="172"/>
      <c r="AF574" s="172"/>
      <c r="AI574" s="172"/>
      <c r="AJ574" s="172"/>
      <c r="AK574" s="172"/>
      <c r="AL574" s="172"/>
      <c r="AM574" s="172"/>
      <c r="AN574" s="172"/>
      <c r="AO574" s="172"/>
      <c r="AP574" s="172"/>
      <c r="AQ574" s="172"/>
      <c r="AR574" s="172"/>
      <c r="AS574" s="172"/>
      <c r="AT574" s="172"/>
      <c r="AU574" s="172"/>
      <c r="AV574" s="172"/>
      <c r="AW574" s="172"/>
      <c r="AX574" s="172"/>
      <c r="AY574" s="172"/>
      <c r="AZ574" s="172"/>
      <c r="BA574" s="172"/>
      <c r="BB574" s="172"/>
      <c r="BC574" s="172"/>
      <c r="BD574" s="172"/>
      <c r="BH574" s="172">
        <v>22</v>
      </c>
    </row>
    <row r="575" spans="1:60" ht="14.5">
      <c r="A575" s="172">
        <v>2110025</v>
      </c>
      <c r="B575" s="172">
        <v>572</v>
      </c>
      <c r="C575" s="172">
        <v>211</v>
      </c>
      <c r="D575" s="172" t="s">
        <v>605</v>
      </c>
      <c r="E575" s="172">
        <v>25</v>
      </c>
      <c r="F575" s="172" t="s">
        <v>1622</v>
      </c>
      <c r="H575" s="173"/>
      <c r="I575" s="172" t="s">
        <v>1205</v>
      </c>
      <c r="J575" s="177">
        <v>501120</v>
      </c>
      <c r="K575" s="177">
        <v>6700000</v>
      </c>
      <c r="L575" s="177">
        <v>6700000</v>
      </c>
      <c r="M575" s="177">
        <v>6700000</v>
      </c>
      <c r="N575" s="177">
        <v>6700000</v>
      </c>
      <c r="O575" s="172"/>
      <c r="P575" s="172"/>
      <c r="Q575" s="172" t="s">
        <v>1602</v>
      </c>
      <c r="R575" s="172" t="s">
        <v>1305</v>
      </c>
      <c r="S575" s="172">
        <v>2</v>
      </c>
      <c r="T575" s="172">
        <v>0</v>
      </c>
      <c r="U575" s="172">
        <v>0</v>
      </c>
      <c r="V575" s="172"/>
      <c r="W575" s="172"/>
      <c r="Z575" s="172">
        <v>242358</v>
      </c>
      <c r="AA575" s="172">
        <v>1300</v>
      </c>
      <c r="AB575" s="172">
        <v>0.25</v>
      </c>
      <c r="AE575" s="172"/>
      <c r="AF575" s="172"/>
      <c r="AI575" s="172"/>
      <c r="AJ575" s="172"/>
      <c r="AK575" s="172"/>
      <c r="AL575" s="172"/>
      <c r="AM575" s="172"/>
      <c r="AN575" s="172"/>
      <c r="AO575" s="172"/>
      <c r="AP575" s="172"/>
      <c r="AQ575" s="172"/>
      <c r="AR575" s="172"/>
      <c r="AS575" s="172"/>
      <c r="AT575" s="172"/>
      <c r="AU575" s="172"/>
      <c r="AV575" s="172"/>
      <c r="AW575" s="172"/>
      <c r="AX575" s="172"/>
      <c r="AY575" s="172"/>
      <c r="AZ575" s="172"/>
      <c r="BA575" s="172"/>
      <c r="BB575" s="172"/>
      <c r="BC575" s="172"/>
      <c r="BD575" s="172"/>
      <c r="BH575" s="172">
        <v>22</v>
      </c>
    </row>
    <row r="576" spans="1:60" ht="14.5">
      <c r="A576" s="172">
        <v>2110026</v>
      </c>
      <c r="B576" s="172">
        <v>573</v>
      </c>
      <c r="C576" s="172">
        <v>211</v>
      </c>
      <c r="D576" s="172" t="s">
        <v>605</v>
      </c>
      <c r="E576" s="172">
        <v>26</v>
      </c>
      <c r="F576" s="172" t="s">
        <v>1623</v>
      </c>
      <c r="H576" s="173"/>
      <c r="I576" s="172" t="s">
        <v>1205</v>
      </c>
      <c r="J576" s="177">
        <v>622080</v>
      </c>
      <c r="K576" s="177">
        <v>8600000</v>
      </c>
      <c r="L576" s="177">
        <v>8600000</v>
      </c>
      <c r="M576" s="177">
        <v>8600000</v>
      </c>
      <c r="N576" s="177">
        <v>8600000</v>
      </c>
      <c r="O576" s="172"/>
      <c r="P576" s="172"/>
      <c r="Q576" s="172" t="s">
        <v>1602</v>
      </c>
      <c r="R576" s="172" t="s">
        <v>1308</v>
      </c>
      <c r="S576" s="172">
        <v>2</v>
      </c>
      <c r="T576" s="172">
        <v>0</v>
      </c>
      <c r="U576" s="172">
        <v>0</v>
      </c>
      <c r="V576" s="172"/>
      <c r="W576" s="172"/>
      <c r="Z576" s="172">
        <v>311424</v>
      </c>
      <c r="AA576" s="172">
        <v>1300</v>
      </c>
      <c r="AB576" s="172">
        <v>0.27</v>
      </c>
      <c r="AE576" s="172"/>
      <c r="AF576" s="172"/>
      <c r="AI576" s="172"/>
      <c r="AJ576" s="172"/>
      <c r="AK576" s="172"/>
      <c r="AL576" s="172"/>
      <c r="AM576" s="172"/>
      <c r="AN576" s="172"/>
      <c r="AO576" s="172"/>
      <c r="AP576" s="172"/>
      <c r="AQ576" s="172"/>
      <c r="AR576" s="172"/>
      <c r="AS576" s="172"/>
      <c r="AT576" s="172"/>
      <c r="AU576" s="172"/>
      <c r="AV576" s="172"/>
      <c r="AW576" s="172"/>
      <c r="AX576" s="172"/>
      <c r="AY576" s="172"/>
      <c r="AZ576" s="172"/>
      <c r="BA576" s="172"/>
      <c r="BB576" s="172"/>
      <c r="BC576" s="172"/>
      <c r="BD576" s="172"/>
      <c r="BH576" s="172">
        <v>22</v>
      </c>
    </row>
    <row r="577" spans="1:65" ht="14.5">
      <c r="A577" s="172">
        <v>2110027</v>
      </c>
      <c r="B577" s="172">
        <v>574</v>
      </c>
      <c r="C577" s="172">
        <v>211</v>
      </c>
      <c r="D577" s="172" t="s">
        <v>605</v>
      </c>
      <c r="E577" s="172">
        <v>27</v>
      </c>
      <c r="F577" s="172" t="s">
        <v>1624</v>
      </c>
      <c r="H577" s="173"/>
      <c r="I577" s="172" t="s">
        <v>1205</v>
      </c>
      <c r="J577" s="177">
        <v>760320</v>
      </c>
      <c r="K577" s="177">
        <v>11000000</v>
      </c>
      <c r="L577" s="177">
        <v>11000000</v>
      </c>
      <c r="M577" s="177">
        <v>11000000</v>
      </c>
      <c r="N577" s="177">
        <v>11000000</v>
      </c>
      <c r="O577" s="172"/>
      <c r="P577" s="172"/>
      <c r="Q577" s="172" t="s">
        <v>1602</v>
      </c>
      <c r="R577" s="172" t="s">
        <v>1311</v>
      </c>
      <c r="S577" s="172">
        <v>2</v>
      </c>
      <c r="T577" s="172">
        <v>0</v>
      </c>
      <c r="U577" s="172">
        <v>0</v>
      </c>
      <c r="V577" s="172"/>
      <c r="W577" s="172"/>
      <c r="Z577" s="172">
        <v>399829</v>
      </c>
      <c r="AA577" s="172">
        <v>1300</v>
      </c>
      <c r="AB577" s="172">
        <v>0.28999999999999998</v>
      </c>
      <c r="AE577" s="172"/>
      <c r="AF577" s="172"/>
      <c r="AI577" s="172"/>
      <c r="AJ577" s="172"/>
      <c r="AK577" s="172"/>
      <c r="AL577" s="172"/>
      <c r="AM577" s="172"/>
      <c r="AN577" s="172"/>
      <c r="AO577" s="172"/>
      <c r="AP577" s="172"/>
      <c r="AQ577" s="172"/>
      <c r="AR577" s="172"/>
      <c r="AS577" s="172"/>
      <c r="AT577" s="172"/>
      <c r="AU577" s="172"/>
      <c r="AV577" s="172"/>
      <c r="AW577" s="172"/>
      <c r="AX577" s="172"/>
      <c r="AY577" s="172"/>
      <c r="AZ577" s="172"/>
      <c r="BA577" s="172"/>
      <c r="BB577" s="172"/>
      <c r="BC577" s="172"/>
      <c r="BD577" s="172"/>
      <c r="BH577" s="172">
        <v>22</v>
      </c>
    </row>
    <row r="578" spans="1:65" ht="14.5">
      <c r="A578" s="172">
        <v>2110028</v>
      </c>
      <c r="B578" s="172">
        <v>575</v>
      </c>
      <c r="C578" s="172">
        <v>211</v>
      </c>
      <c r="D578" s="172" t="s">
        <v>605</v>
      </c>
      <c r="E578" s="172">
        <v>28</v>
      </c>
      <c r="F578" s="172" t="s">
        <v>1625</v>
      </c>
      <c r="H578" s="173"/>
      <c r="I578" s="172" t="s">
        <v>1205</v>
      </c>
      <c r="J578" s="177">
        <v>933120</v>
      </c>
      <c r="K578" s="177">
        <v>14000000</v>
      </c>
      <c r="L578" s="177">
        <v>14000000</v>
      </c>
      <c r="M578" s="177">
        <v>14000000</v>
      </c>
      <c r="N578" s="177">
        <v>14000000</v>
      </c>
      <c r="O578" s="172"/>
      <c r="P578" s="172"/>
      <c r="Q578" s="172" t="s">
        <v>1602</v>
      </c>
      <c r="R578" s="172" t="s">
        <v>1314</v>
      </c>
      <c r="S578" s="172">
        <v>2</v>
      </c>
      <c r="T578" s="172">
        <v>0</v>
      </c>
      <c r="U578" s="172">
        <v>0</v>
      </c>
      <c r="V578" s="172"/>
      <c r="W578" s="172"/>
      <c r="Z578" s="172">
        <v>512987</v>
      </c>
      <c r="AA578" s="172">
        <v>1300</v>
      </c>
      <c r="AB578" s="172">
        <v>0.31</v>
      </c>
      <c r="AE578" s="172"/>
      <c r="AF578" s="172"/>
      <c r="AI578" s="172"/>
      <c r="AJ578" s="172"/>
      <c r="AK578" s="172"/>
      <c r="AL578" s="172"/>
      <c r="AM578" s="172"/>
      <c r="AN578" s="172"/>
      <c r="AO578" s="172"/>
      <c r="AP578" s="172"/>
      <c r="AQ578" s="172"/>
      <c r="AR578" s="172"/>
      <c r="AS578" s="172"/>
      <c r="AT578" s="172"/>
      <c r="AU578" s="172"/>
      <c r="AV578" s="172"/>
      <c r="AW578" s="172"/>
      <c r="AX578" s="172"/>
      <c r="AY578" s="172"/>
      <c r="AZ578" s="172"/>
      <c r="BA578" s="172"/>
      <c r="BB578" s="172"/>
      <c r="BC578" s="172"/>
      <c r="BD578" s="172"/>
      <c r="BH578" s="172">
        <v>22</v>
      </c>
    </row>
    <row r="579" spans="1:65" ht="14.5">
      <c r="A579" s="172">
        <v>2110029</v>
      </c>
      <c r="B579" s="172">
        <v>576</v>
      </c>
      <c r="C579" s="172">
        <v>211</v>
      </c>
      <c r="D579" s="172" t="s">
        <v>605</v>
      </c>
      <c r="E579" s="172">
        <v>29</v>
      </c>
      <c r="F579" s="172" t="s">
        <v>1626</v>
      </c>
      <c r="H579" s="173"/>
      <c r="I579" s="172" t="s">
        <v>1205</v>
      </c>
      <c r="J579" s="177">
        <v>1140480</v>
      </c>
      <c r="K579" s="177">
        <v>18000000</v>
      </c>
      <c r="L579" s="177">
        <v>18000000</v>
      </c>
      <c r="M579" s="177">
        <v>18000000</v>
      </c>
      <c r="N579" s="177">
        <v>18000000</v>
      </c>
      <c r="O579" s="172"/>
      <c r="P579" s="172"/>
      <c r="Q579" s="172" t="s">
        <v>1602</v>
      </c>
      <c r="R579" s="172" t="s">
        <v>1317</v>
      </c>
      <c r="S579" s="172">
        <v>2</v>
      </c>
      <c r="T579" s="172">
        <v>0</v>
      </c>
      <c r="U579" s="172">
        <v>0</v>
      </c>
      <c r="V579" s="172"/>
      <c r="W579" s="172"/>
      <c r="Z579" s="172">
        <v>657829</v>
      </c>
      <c r="AA579" s="172">
        <v>1300</v>
      </c>
      <c r="AB579" s="172">
        <v>0.33</v>
      </c>
      <c r="AE579" s="172"/>
      <c r="AF579" s="172"/>
      <c r="AI579" s="172"/>
      <c r="AJ579" s="172"/>
      <c r="AK579" s="172"/>
      <c r="AL579" s="172"/>
      <c r="AM579" s="172"/>
      <c r="AN579" s="172"/>
      <c r="AO579" s="172"/>
      <c r="AP579" s="172"/>
      <c r="AQ579" s="172"/>
      <c r="AR579" s="172"/>
      <c r="AS579" s="172"/>
      <c r="AT579" s="172"/>
      <c r="AU579" s="172"/>
      <c r="AV579" s="172"/>
      <c r="AW579" s="172"/>
      <c r="AX579" s="172"/>
      <c r="AY579" s="172"/>
      <c r="AZ579" s="172"/>
      <c r="BA579" s="172"/>
      <c r="BB579" s="172"/>
      <c r="BC579" s="172"/>
      <c r="BD579" s="172"/>
      <c r="BH579" s="172">
        <v>22</v>
      </c>
    </row>
    <row r="580" spans="1:65" ht="14.5">
      <c r="A580" s="172">
        <v>2110030</v>
      </c>
      <c r="B580" s="172">
        <v>577</v>
      </c>
      <c r="C580" s="172">
        <v>211</v>
      </c>
      <c r="D580" s="172" t="s">
        <v>605</v>
      </c>
      <c r="E580" s="172">
        <v>30</v>
      </c>
      <c r="F580" s="172" t="s">
        <v>1627</v>
      </c>
      <c r="H580" s="173"/>
      <c r="I580" s="172" t="s">
        <v>1205</v>
      </c>
      <c r="J580" s="177">
        <v>1382400</v>
      </c>
      <c r="K580" s="177">
        <v>23000000</v>
      </c>
      <c r="L580" s="177">
        <v>23000000</v>
      </c>
      <c r="M580" s="177">
        <v>23000000</v>
      </c>
      <c r="N580" s="177">
        <v>23000000</v>
      </c>
      <c r="O580" s="172"/>
      <c r="P580" s="172"/>
      <c r="Q580" s="172" t="s">
        <v>1602</v>
      </c>
      <c r="R580" s="172" t="s">
        <v>1406</v>
      </c>
      <c r="S580" s="172">
        <v>2</v>
      </c>
      <c r="T580" s="172">
        <v>0</v>
      </c>
      <c r="U580" s="172">
        <v>0</v>
      </c>
      <c r="V580" s="172"/>
      <c r="W580" s="172"/>
      <c r="Z580" s="172">
        <v>843227</v>
      </c>
      <c r="AA580" s="172">
        <v>1300</v>
      </c>
      <c r="AB580" s="172">
        <v>0.35</v>
      </c>
      <c r="AE580" s="172"/>
      <c r="AF580" s="172"/>
      <c r="AI580" s="172"/>
      <c r="AJ580" s="172"/>
      <c r="AK580" s="172"/>
      <c r="AL580" s="172"/>
      <c r="AM580" s="172"/>
      <c r="AN580" s="172"/>
      <c r="AO580" s="172"/>
      <c r="AP580" s="172"/>
      <c r="AQ580" s="172"/>
      <c r="AR580" s="172"/>
      <c r="AS580" s="172"/>
      <c r="AT580" s="172"/>
      <c r="AU580" s="172"/>
      <c r="AV580" s="172"/>
      <c r="AW580" s="172"/>
      <c r="AX580" s="172"/>
      <c r="AY580" s="172"/>
      <c r="AZ580" s="172"/>
      <c r="BA580" s="172"/>
      <c r="BB580" s="172"/>
      <c r="BC580" s="172"/>
      <c r="BD580" s="172"/>
      <c r="BH580" s="172">
        <v>22</v>
      </c>
    </row>
    <row r="581" spans="1:65" ht="14.5">
      <c r="A581" s="188">
        <v>3000001</v>
      </c>
      <c r="B581" s="188">
        <v>583</v>
      </c>
      <c r="C581" s="188">
        <v>300</v>
      </c>
      <c r="D581" s="188" t="s">
        <v>1010</v>
      </c>
      <c r="E581" s="188">
        <v>1</v>
      </c>
      <c r="F581" s="188" t="s">
        <v>1628</v>
      </c>
      <c r="G581" s="189"/>
      <c r="H581" s="190"/>
      <c r="I581" s="180" t="s">
        <v>1205</v>
      </c>
      <c r="J581" s="180">
        <v>25</v>
      </c>
      <c r="K581" s="180">
        <v>0</v>
      </c>
      <c r="L581" s="180">
        <v>0</v>
      </c>
      <c r="M581" s="180">
        <v>0</v>
      </c>
      <c r="N581" s="180">
        <v>0</v>
      </c>
      <c r="O581" s="189"/>
      <c r="P581" s="189"/>
      <c r="Q581" s="180" t="s">
        <v>1318</v>
      </c>
      <c r="R581" s="180" t="s">
        <v>1323</v>
      </c>
      <c r="S581" s="180">
        <v>2</v>
      </c>
      <c r="T581" s="180">
        <v>0</v>
      </c>
      <c r="U581" s="180">
        <v>0</v>
      </c>
      <c r="V581" s="180"/>
      <c r="W581" s="180"/>
      <c r="X581" s="189"/>
      <c r="Y581" s="189"/>
      <c r="Z581" s="180">
        <v>0</v>
      </c>
      <c r="AA581" s="172"/>
      <c r="AB581" s="172"/>
      <c r="AC581" s="172"/>
      <c r="AD581" s="172"/>
      <c r="AE581" s="172"/>
      <c r="AF581" s="172"/>
      <c r="AG581" s="172"/>
      <c r="AH581" s="172"/>
      <c r="AI581" s="172"/>
      <c r="AJ581" s="172"/>
      <c r="AK581" s="189"/>
      <c r="AL581" s="189"/>
      <c r="AM581" s="189"/>
      <c r="AN581" s="189"/>
      <c r="AO581" s="189"/>
      <c r="AP581" s="189"/>
      <c r="AQ581" s="189"/>
      <c r="AR581" s="189"/>
      <c r="AS581" s="189"/>
      <c r="AT581" s="189"/>
      <c r="AU581" s="189"/>
      <c r="AV581" s="189"/>
      <c r="AW581" s="189"/>
      <c r="AX581" s="189"/>
      <c r="AY581" s="189"/>
      <c r="AZ581" s="189"/>
      <c r="BA581" s="189"/>
      <c r="BB581" s="189"/>
      <c r="BC581" s="189"/>
      <c r="BD581" s="189"/>
      <c r="BE581" s="189"/>
      <c r="BF581" s="189"/>
      <c r="BG581" s="189"/>
      <c r="BH581" s="180">
        <v>23</v>
      </c>
    </row>
    <row r="582" spans="1:65" ht="14.5">
      <c r="A582" s="47">
        <v>4000001</v>
      </c>
      <c r="B582" s="47">
        <v>584</v>
      </c>
      <c r="C582" s="47">
        <v>400</v>
      </c>
      <c r="D582" s="47" t="s">
        <v>1014</v>
      </c>
      <c r="E582" s="47">
        <v>1</v>
      </c>
      <c r="F582" s="172" t="s">
        <v>1629</v>
      </c>
      <c r="I582" s="47">
        <v>0</v>
      </c>
      <c r="J582" s="177">
        <v>25</v>
      </c>
      <c r="K582" s="122">
        <v>750</v>
      </c>
      <c r="L582" s="122">
        <v>750</v>
      </c>
      <c r="M582" s="122">
        <v>0</v>
      </c>
      <c r="N582" s="122">
        <v>0</v>
      </c>
      <c r="O582" s="47"/>
      <c r="P582" s="47"/>
      <c r="Q582" s="172" t="s">
        <v>1318</v>
      </c>
      <c r="R582" s="172" t="s">
        <v>1322</v>
      </c>
      <c r="S582" s="47">
        <v>1</v>
      </c>
      <c r="T582" s="47">
        <v>0</v>
      </c>
      <c r="U582" s="47">
        <v>0</v>
      </c>
      <c r="V582" s="47" t="s">
        <v>1630</v>
      </c>
      <c r="W582" s="172" t="s">
        <v>1631</v>
      </c>
      <c r="Z582" s="47">
        <v>3</v>
      </c>
      <c r="AA582" s="172">
        <v>1261</v>
      </c>
      <c r="AB582" s="172">
        <v>20000</v>
      </c>
      <c r="AC582" s="172"/>
      <c r="AD582" s="172"/>
      <c r="AE582" s="172"/>
      <c r="AF582" s="172"/>
      <c r="AG582" s="172"/>
      <c r="AH582" s="172"/>
      <c r="AI582" s="172"/>
      <c r="AJ582" s="172"/>
      <c r="AK582" s="172"/>
      <c r="AL582" s="172"/>
      <c r="AM582" s="172"/>
      <c r="AN582" s="172"/>
      <c r="AO582" s="172"/>
      <c r="AP582" s="172"/>
      <c r="AQ582" s="172"/>
      <c r="AR582" s="172"/>
      <c r="AS582" s="172"/>
      <c r="AT582" s="172"/>
      <c r="AU582" s="172"/>
      <c r="AV582" s="172"/>
      <c r="AW582" s="172"/>
      <c r="AX582" s="172"/>
      <c r="AY582" s="172"/>
      <c r="AZ582" s="172"/>
      <c r="BA582" s="172"/>
      <c r="BB582" s="172"/>
      <c r="BC582" s="172"/>
      <c r="BD582" s="172"/>
      <c r="BH582" s="47">
        <v>23</v>
      </c>
      <c r="BM582" s="47">
        <v>3</v>
      </c>
    </row>
    <row r="583" spans="1:65" ht="14.5">
      <c r="A583" s="47">
        <v>4000002</v>
      </c>
      <c r="B583" s="47">
        <v>585</v>
      </c>
      <c r="C583" s="47">
        <v>400</v>
      </c>
      <c r="D583" s="47" t="s">
        <v>1014</v>
      </c>
      <c r="E583" s="47">
        <v>2</v>
      </c>
      <c r="F583" s="172" t="s">
        <v>1632</v>
      </c>
      <c r="I583" s="47">
        <v>0</v>
      </c>
      <c r="J583" s="177">
        <v>54</v>
      </c>
      <c r="K583" s="122">
        <v>1500</v>
      </c>
      <c r="L583" s="122">
        <v>1500</v>
      </c>
      <c r="M583" s="122">
        <v>0</v>
      </c>
      <c r="N583" s="122">
        <v>0</v>
      </c>
      <c r="O583" s="47"/>
      <c r="P583" s="47"/>
      <c r="Q583" s="172" t="s">
        <v>1318</v>
      </c>
      <c r="R583" s="172" t="s">
        <v>1322</v>
      </c>
      <c r="S583" s="47">
        <v>1</v>
      </c>
      <c r="T583" s="47">
        <v>0</v>
      </c>
      <c r="U583" s="47">
        <v>0</v>
      </c>
      <c r="V583" s="47"/>
      <c r="W583" s="47"/>
      <c r="Z583" s="47">
        <v>9</v>
      </c>
      <c r="AA583" s="172">
        <v>1261</v>
      </c>
      <c r="AB583" s="172">
        <v>40000</v>
      </c>
      <c r="AC583" s="172"/>
      <c r="AD583" s="172"/>
      <c r="AE583" s="172"/>
      <c r="AF583" s="172"/>
      <c r="AG583" s="172"/>
      <c r="AH583" s="172"/>
      <c r="AI583" s="172"/>
      <c r="AJ583" s="172"/>
      <c r="AK583" s="172"/>
      <c r="AL583" s="172"/>
      <c r="AM583" s="172"/>
      <c r="AN583" s="172"/>
      <c r="AO583" s="172"/>
      <c r="AP583" s="172"/>
      <c r="AQ583" s="172"/>
      <c r="AR583" s="172"/>
      <c r="AS583" s="172"/>
      <c r="AT583" s="172"/>
      <c r="AU583" s="172"/>
      <c r="AV583" s="172"/>
      <c r="AW583" s="172"/>
      <c r="AX583" s="172"/>
      <c r="AY583" s="172"/>
      <c r="AZ583" s="172"/>
      <c r="BA583" s="172"/>
      <c r="BB583" s="172"/>
      <c r="BC583" s="172"/>
      <c r="BD583" s="172"/>
      <c r="BH583" s="47">
        <v>23</v>
      </c>
    </row>
    <row r="584" spans="1:65" ht="14.5">
      <c r="A584" s="47">
        <v>4000003</v>
      </c>
      <c r="B584" s="47">
        <v>586</v>
      </c>
      <c r="C584" s="47">
        <v>400</v>
      </c>
      <c r="D584" s="47" t="s">
        <v>1014</v>
      </c>
      <c r="E584" s="47">
        <v>3</v>
      </c>
      <c r="F584" s="172" t="s">
        <v>1633</v>
      </c>
      <c r="I584" s="47">
        <v>0</v>
      </c>
      <c r="J584" s="177">
        <v>108</v>
      </c>
      <c r="K584" s="122">
        <v>3000</v>
      </c>
      <c r="L584" s="122">
        <v>3000</v>
      </c>
      <c r="M584" s="122">
        <v>0</v>
      </c>
      <c r="N584" s="122">
        <v>0</v>
      </c>
      <c r="O584" s="47"/>
      <c r="P584" s="47"/>
      <c r="Q584" s="172" t="s">
        <v>1318</v>
      </c>
      <c r="R584" s="172" t="s">
        <v>1322</v>
      </c>
      <c r="S584" s="47">
        <v>1</v>
      </c>
      <c r="T584" s="47">
        <v>0</v>
      </c>
      <c r="U584" s="47">
        <v>0</v>
      </c>
      <c r="V584" s="47"/>
      <c r="W584" s="47"/>
      <c r="Z584" s="47">
        <v>21</v>
      </c>
      <c r="AA584" s="172">
        <v>1261</v>
      </c>
      <c r="AB584" s="172">
        <v>60000</v>
      </c>
      <c r="AC584" s="172"/>
      <c r="AD584" s="172"/>
      <c r="AE584" s="172"/>
      <c r="AF584" s="172"/>
      <c r="AG584" s="172"/>
      <c r="AH584" s="172"/>
      <c r="AI584" s="172"/>
      <c r="AJ584" s="172"/>
      <c r="AK584" s="172"/>
      <c r="AL584" s="172"/>
      <c r="AM584" s="172"/>
      <c r="AN584" s="172"/>
      <c r="AO584" s="172"/>
      <c r="AP584" s="172"/>
      <c r="AQ584" s="172"/>
      <c r="AR584" s="172"/>
      <c r="AS584" s="172"/>
      <c r="AT584" s="172"/>
      <c r="AU584" s="172"/>
      <c r="AV584" s="172"/>
      <c r="AW584" s="172"/>
      <c r="AX584" s="172"/>
      <c r="AY584" s="172"/>
      <c r="AZ584" s="172"/>
      <c r="BA584" s="172"/>
      <c r="BB584" s="172"/>
      <c r="BC584" s="172"/>
      <c r="BD584" s="172"/>
      <c r="BH584" s="47">
        <v>23</v>
      </c>
    </row>
    <row r="585" spans="1:65" ht="14.5">
      <c r="A585" s="47">
        <v>4000004</v>
      </c>
      <c r="B585" s="47">
        <v>587</v>
      </c>
      <c r="C585" s="47">
        <v>400</v>
      </c>
      <c r="D585" s="47" t="s">
        <v>1014</v>
      </c>
      <c r="E585" s="47">
        <v>4</v>
      </c>
      <c r="F585" s="172" t="s">
        <v>1634</v>
      </c>
      <c r="I585" s="47">
        <v>0</v>
      </c>
      <c r="J585" s="177">
        <v>216</v>
      </c>
      <c r="K585" s="122">
        <v>6000</v>
      </c>
      <c r="L585" s="122">
        <v>6000</v>
      </c>
      <c r="M585" s="122">
        <v>0</v>
      </c>
      <c r="N585" s="122">
        <v>0</v>
      </c>
      <c r="O585" s="47"/>
      <c r="P585" s="47"/>
      <c r="Q585" s="172" t="s">
        <v>1318</v>
      </c>
      <c r="R585" s="172" t="s">
        <v>1322</v>
      </c>
      <c r="S585" s="47">
        <v>1</v>
      </c>
      <c r="T585" s="47">
        <v>0</v>
      </c>
      <c r="U585" s="47">
        <v>0</v>
      </c>
      <c r="V585" s="47"/>
      <c r="W585" s="47"/>
      <c r="Z585" s="47">
        <v>45</v>
      </c>
      <c r="AA585" s="172">
        <v>1261</v>
      </c>
      <c r="AB585" s="172">
        <v>80000</v>
      </c>
      <c r="AE585" s="47"/>
      <c r="AF585" s="47"/>
      <c r="AI585" s="172"/>
      <c r="AJ585" s="172"/>
      <c r="AK585" s="172"/>
      <c r="AL585" s="172"/>
      <c r="AM585" s="172"/>
      <c r="AN585" s="172"/>
      <c r="AO585" s="172"/>
      <c r="AP585" s="172"/>
      <c r="AQ585" s="172"/>
      <c r="AR585" s="172"/>
      <c r="AS585" s="172"/>
      <c r="AT585" s="172"/>
      <c r="AU585" s="172"/>
      <c r="AV585" s="172"/>
      <c r="AW585" s="172"/>
      <c r="AX585" s="172"/>
      <c r="AY585" s="172"/>
      <c r="AZ585" s="172"/>
      <c r="BA585" s="172"/>
      <c r="BB585" s="172"/>
      <c r="BC585" s="172"/>
      <c r="BD585" s="172"/>
      <c r="BH585" s="47">
        <v>23</v>
      </c>
    </row>
    <row r="586" spans="1:65" ht="14.5">
      <c r="A586" s="47">
        <v>4000005</v>
      </c>
      <c r="B586" s="47">
        <v>588</v>
      </c>
      <c r="C586" s="47">
        <v>400</v>
      </c>
      <c r="D586" s="47" t="s">
        <v>1014</v>
      </c>
      <c r="E586" s="47">
        <v>5</v>
      </c>
      <c r="F586" s="172" t="s">
        <v>1635</v>
      </c>
      <c r="I586" s="47">
        <v>0</v>
      </c>
      <c r="J586" s="177">
        <v>450</v>
      </c>
      <c r="K586" s="122">
        <v>7700</v>
      </c>
      <c r="L586" s="122">
        <v>7700</v>
      </c>
      <c r="M586" s="122">
        <v>7700</v>
      </c>
      <c r="N586" s="122">
        <v>0</v>
      </c>
      <c r="O586" s="47"/>
      <c r="P586" s="47"/>
      <c r="Q586" s="172" t="s">
        <v>1318</v>
      </c>
      <c r="R586" s="172" t="s">
        <v>1323</v>
      </c>
      <c r="S586" s="47">
        <v>1</v>
      </c>
      <c r="T586" s="47">
        <v>0</v>
      </c>
      <c r="U586" s="47">
        <v>0</v>
      </c>
      <c r="V586" s="47"/>
      <c r="W586" s="47"/>
      <c r="Z586" s="47">
        <v>91</v>
      </c>
      <c r="AA586" s="172">
        <v>1261</v>
      </c>
      <c r="AB586" s="172">
        <v>100000</v>
      </c>
      <c r="AE586" s="47"/>
      <c r="AF586" s="47"/>
      <c r="AI586" s="172"/>
      <c r="AJ586" s="172"/>
      <c r="AK586" s="172"/>
      <c r="AL586" s="172"/>
      <c r="AM586" s="172"/>
      <c r="AN586" s="172"/>
      <c r="AO586" s="172"/>
      <c r="AP586" s="172"/>
      <c r="AQ586" s="172"/>
      <c r="AR586" s="172"/>
      <c r="AS586" s="172"/>
      <c r="AT586" s="172"/>
      <c r="AU586" s="172"/>
      <c r="AV586" s="172"/>
      <c r="AW586" s="172"/>
      <c r="AX586" s="172"/>
      <c r="AY586" s="172"/>
      <c r="AZ586" s="172"/>
      <c r="BA586" s="172"/>
      <c r="BB586" s="172"/>
      <c r="BC586" s="172"/>
      <c r="BD586" s="172"/>
      <c r="BH586" s="47">
        <v>23</v>
      </c>
    </row>
    <row r="587" spans="1:65" ht="14.5">
      <c r="A587" s="47">
        <v>4000006</v>
      </c>
      <c r="B587" s="47">
        <v>589</v>
      </c>
      <c r="C587" s="47">
        <v>400</v>
      </c>
      <c r="D587" s="47" t="s">
        <v>1014</v>
      </c>
      <c r="E587" s="47">
        <v>6</v>
      </c>
      <c r="F587" s="172" t="s">
        <v>1636</v>
      </c>
      <c r="I587" s="47">
        <v>0</v>
      </c>
      <c r="J587" s="177">
        <v>810</v>
      </c>
      <c r="K587" s="122">
        <v>14000</v>
      </c>
      <c r="L587" s="122">
        <v>14000</v>
      </c>
      <c r="M587" s="122">
        <v>14000</v>
      </c>
      <c r="N587" s="122">
        <v>0</v>
      </c>
      <c r="O587" s="47"/>
      <c r="P587" s="47"/>
      <c r="Q587" s="172" t="s">
        <v>1318</v>
      </c>
      <c r="R587" s="172" t="s">
        <v>1324</v>
      </c>
      <c r="S587" s="47">
        <v>1</v>
      </c>
      <c r="T587" s="47">
        <v>0</v>
      </c>
      <c r="U587" s="47">
        <v>0</v>
      </c>
      <c r="V587" s="47"/>
      <c r="W587" s="47"/>
      <c r="Z587" s="47">
        <v>177</v>
      </c>
      <c r="AA587" s="172">
        <v>1261</v>
      </c>
      <c r="AB587" s="172">
        <v>140000</v>
      </c>
      <c r="AE587" s="47"/>
      <c r="AF587" s="47"/>
      <c r="AI587" s="172"/>
      <c r="AJ587" s="172"/>
      <c r="AK587" s="172"/>
      <c r="AL587" s="172"/>
      <c r="AM587" s="172"/>
      <c r="AN587" s="172"/>
      <c r="AO587" s="172"/>
      <c r="AP587" s="172"/>
      <c r="AQ587" s="172"/>
      <c r="AR587" s="172"/>
      <c r="AS587" s="172"/>
      <c r="AT587" s="172"/>
      <c r="AU587" s="172"/>
      <c r="AV587" s="172"/>
      <c r="AW587" s="172"/>
      <c r="AX587" s="172"/>
      <c r="AY587" s="172"/>
      <c r="AZ587" s="172"/>
      <c r="BA587" s="172"/>
      <c r="BB587" s="172"/>
      <c r="BC587" s="172"/>
      <c r="BD587" s="172"/>
      <c r="BH587" s="47">
        <v>23</v>
      </c>
    </row>
    <row r="588" spans="1:65" ht="14.5">
      <c r="A588" s="47">
        <v>4000007</v>
      </c>
      <c r="B588" s="47">
        <v>590</v>
      </c>
      <c r="C588" s="47">
        <v>400</v>
      </c>
      <c r="D588" s="47" t="s">
        <v>1014</v>
      </c>
      <c r="E588" s="47">
        <v>7</v>
      </c>
      <c r="F588" s="172" t="s">
        <v>1637</v>
      </c>
      <c r="I588" s="47">
        <v>0</v>
      </c>
      <c r="J588" s="177">
        <v>1350</v>
      </c>
      <c r="K588" s="122">
        <v>26000</v>
      </c>
      <c r="L588" s="122">
        <v>26000</v>
      </c>
      <c r="M588" s="122">
        <v>26000</v>
      </c>
      <c r="N588" s="122">
        <v>0</v>
      </c>
      <c r="O588" s="47"/>
      <c r="P588" s="47"/>
      <c r="Q588" s="172" t="s">
        <v>1318</v>
      </c>
      <c r="R588" s="172" t="s">
        <v>1325</v>
      </c>
      <c r="S588" s="47">
        <v>1</v>
      </c>
      <c r="T588" s="47">
        <v>0</v>
      </c>
      <c r="U588" s="47">
        <v>0</v>
      </c>
      <c r="V588" s="47"/>
      <c r="W588" s="47"/>
      <c r="Z588" s="47">
        <v>331</v>
      </c>
      <c r="AA588" s="172">
        <v>1261</v>
      </c>
      <c r="AB588" s="172">
        <v>180000</v>
      </c>
      <c r="AE588" s="47"/>
      <c r="AF588" s="47"/>
      <c r="AI588" s="172"/>
      <c r="AJ588" s="172"/>
      <c r="AK588" s="172"/>
      <c r="AL588" s="172"/>
      <c r="AM588" s="172"/>
      <c r="AN588" s="172"/>
      <c r="AO588" s="172"/>
      <c r="AP588" s="172"/>
      <c r="AQ588" s="172"/>
      <c r="AR588" s="172"/>
      <c r="AS588" s="172"/>
      <c r="AT588" s="172"/>
      <c r="AU588" s="172"/>
      <c r="AV588" s="172"/>
      <c r="AW588" s="172"/>
      <c r="AX588" s="172"/>
      <c r="AY588" s="172"/>
      <c r="AZ588" s="172"/>
      <c r="BA588" s="172"/>
      <c r="BB588" s="172"/>
      <c r="BC588" s="172"/>
      <c r="BD588" s="172"/>
      <c r="BH588" s="47">
        <v>23</v>
      </c>
    </row>
    <row r="589" spans="1:65" ht="14.5">
      <c r="A589" s="47">
        <v>4000008</v>
      </c>
      <c r="B589" s="47">
        <v>591</v>
      </c>
      <c r="C589" s="47">
        <v>400</v>
      </c>
      <c r="D589" s="47" t="s">
        <v>1014</v>
      </c>
      <c r="E589" s="47">
        <v>8</v>
      </c>
      <c r="F589" s="172" t="s">
        <v>1638</v>
      </c>
      <c r="I589" s="47">
        <v>0</v>
      </c>
      <c r="J589" s="177">
        <v>2160</v>
      </c>
      <c r="K589" s="122">
        <v>44000</v>
      </c>
      <c r="L589" s="122">
        <v>44000</v>
      </c>
      <c r="M589" s="122">
        <v>44000</v>
      </c>
      <c r="N589" s="122">
        <v>0</v>
      </c>
      <c r="O589" s="47"/>
      <c r="P589" s="47"/>
      <c r="Q589" s="172" t="s">
        <v>1318</v>
      </c>
      <c r="R589" s="172" t="s">
        <v>1326</v>
      </c>
      <c r="S589" s="47">
        <v>1</v>
      </c>
      <c r="T589" s="47">
        <v>0</v>
      </c>
      <c r="U589" s="47">
        <v>0</v>
      </c>
      <c r="V589" s="47"/>
      <c r="W589" s="47"/>
      <c r="Z589" s="47">
        <v>596</v>
      </c>
      <c r="AA589" s="172">
        <v>1261</v>
      </c>
      <c r="AB589" s="172">
        <v>220000</v>
      </c>
      <c r="AE589" s="47"/>
      <c r="AF589" s="47"/>
      <c r="AI589" s="172"/>
      <c r="AJ589" s="172"/>
      <c r="AK589" s="172"/>
      <c r="AL589" s="172"/>
      <c r="AM589" s="172"/>
      <c r="AN589" s="172"/>
      <c r="AO589" s="172"/>
      <c r="AP589" s="172"/>
      <c r="AQ589" s="172"/>
      <c r="AR589" s="172"/>
      <c r="AS589" s="172"/>
      <c r="AT589" s="172"/>
      <c r="AU589" s="172"/>
      <c r="AV589" s="172"/>
      <c r="AW589" s="172"/>
      <c r="AX589" s="172"/>
      <c r="AY589" s="172"/>
      <c r="AZ589" s="172"/>
      <c r="BA589" s="172"/>
      <c r="BB589" s="172"/>
      <c r="BC589" s="172"/>
      <c r="BD589" s="172"/>
      <c r="BH589" s="47">
        <v>23</v>
      </c>
    </row>
    <row r="590" spans="1:65" ht="14.5">
      <c r="A590" s="47">
        <v>4000009</v>
      </c>
      <c r="B590" s="47">
        <v>592</v>
      </c>
      <c r="C590" s="47">
        <v>400</v>
      </c>
      <c r="D590" s="47" t="s">
        <v>1014</v>
      </c>
      <c r="E590" s="47">
        <v>9</v>
      </c>
      <c r="F590" s="172" t="s">
        <v>1639</v>
      </c>
      <c r="I590" s="47">
        <v>0</v>
      </c>
      <c r="J590" s="177">
        <v>4320</v>
      </c>
      <c r="K590" s="122">
        <v>73000</v>
      </c>
      <c r="L590" s="122">
        <v>73000</v>
      </c>
      <c r="M590" s="122">
        <v>73000</v>
      </c>
      <c r="N590" s="122">
        <v>0</v>
      </c>
      <c r="O590" s="47"/>
      <c r="P590" s="47"/>
      <c r="Q590" s="172" t="s">
        <v>1318</v>
      </c>
      <c r="R590" s="172" t="s">
        <v>1327</v>
      </c>
      <c r="S590" s="47">
        <v>1</v>
      </c>
      <c r="T590" s="47">
        <v>0</v>
      </c>
      <c r="U590" s="47">
        <v>0</v>
      </c>
      <c r="V590" s="47"/>
      <c r="W590" s="47"/>
      <c r="Z590" s="47">
        <v>1034</v>
      </c>
      <c r="AA590" s="172">
        <v>1261</v>
      </c>
      <c r="AB590" s="172">
        <v>260000</v>
      </c>
      <c r="AE590" s="47"/>
      <c r="AF590" s="47"/>
      <c r="AI590" s="172"/>
      <c r="AJ590" s="172"/>
      <c r="AK590" s="172"/>
      <c r="AL590" s="172"/>
      <c r="AM590" s="172"/>
      <c r="AN590" s="172"/>
      <c r="AO590" s="172"/>
      <c r="AP590" s="172"/>
      <c r="AQ590" s="172"/>
      <c r="AR590" s="172"/>
      <c r="AS590" s="172"/>
      <c r="AT590" s="172"/>
      <c r="AU590" s="172"/>
      <c r="AV590" s="172"/>
      <c r="AW590" s="172"/>
      <c r="AX590" s="172"/>
      <c r="AY590" s="172"/>
      <c r="AZ590" s="172"/>
      <c r="BA590" s="172"/>
      <c r="BB590" s="172"/>
      <c r="BC590" s="172"/>
      <c r="BD590" s="172"/>
      <c r="BH590" s="47">
        <v>23</v>
      </c>
    </row>
    <row r="591" spans="1:65" ht="14.5">
      <c r="A591" s="47">
        <v>4000010</v>
      </c>
      <c r="B591" s="47">
        <v>593</v>
      </c>
      <c r="C591" s="47">
        <v>400</v>
      </c>
      <c r="D591" s="47" t="s">
        <v>1014</v>
      </c>
      <c r="E591" s="47">
        <v>10</v>
      </c>
      <c r="F591" s="172" t="s">
        <v>1640</v>
      </c>
      <c r="I591" s="47">
        <v>0</v>
      </c>
      <c r="J591" s="177">
        <v>6480</v>
      </c>
      <c r="K591" s="122">
        <v>69000</v>
      </c>
      <c r="L591" s="122">
        <v>69000</v>
      </c>
      <c r="M591" s="122">
        <v>69000</v>
      </c>
      <c r="N591" s="122">
        <v>140000</v>
      </c>
      <c r="O591" s="47"/>
      <c r="P591" s="47"/>
      <c r="Q591" s="172" t="s">
        <v>1318</v>
      </c>
      <c r="R591" s="172" t="s">
        <v>1328</v>
      </c>
      <c r="S591" s="47">
        <v>1</v>
      </c>
      <c r="T591" s="47">
        <v>0</v>
      </c>
      <c r="U591" s="47">
        <v>0</v>
      </c>
      <c r="V591" s="47"/>
      <c r="W591" s="47"/>
      <c r="Z591" s="47">
        <v>1726</v>
      </c>
      <c r="AA591" s="172">
        <v>1261</v>
      </c>
      <c r="AB591" s="172">
        <v>300000</v>
      </c>
      <c r="AE591" s="47"/>
      <c r="AF591" s="47"/>
      <c r="AI591" s="172"/>
      <c r="AJ591" s="172"/>
      <c r="AK591" s="172"/>
      <c r="AL591" s="172"/>
      <c r="AM591" s="172"/>
      <c r="AN591" s="172"/>
      <c r="AO591" s="172"/>
      <c r="AP591" s="172"/>
      <c r="AQ591" s="172"/>
      <c r="AR591" s="172"/>
      <c r="AS591" s="172"/>
      <c r="AT591" s="172"/>
      <c r="AU591" s="172"/>
      <c r="AV591" s="172"/>
      <c r="AW591" s="172"/>
      <c r="AX591" s="172"/>
      <c r="AY591" s="172"/>
      <c r="AZ591" s="172"/>
      <c r="BA591" s="172"/>
      <c r="BB591" s="172"/>
      <c r="BC591" s="172"/>
      <c r="BD591" s="172"/>
      <c r="BH591" s="47">
        <v>23</v>
      </c>
    </row>
    <row r="592" spans="1:65" ht="14.5">
      <c r="A592" s="47">
        <v>4000011</v>
      </c>
      <c r="B592" s="47">
        <v>594</v>
      </c>
      <c r="C592" s="47">
        <v>400</v>
      </c>
      <c r="D592" s="47" t="s">
        <v>1014</v>
      </c>
      <c r="E592" s="47">
        <v>11</v>
      </c>
      <c r="F592" s="172" t="s">
        <v>1641</v>
      </c>
      <c r="I592" s="47">
        <v>0</v>
      </c>
      <c r="J592" s="177">
        <v>9720</v>
      </c>
      <c r="K592" s="122">
        <v>100000</v>
      </c>
      <c r="L592" s="122">
        <v>100000</v>
      </c>
      <c r="M592" s="122">
        <v>100000</v>
      </c>
      <c r="N592" s="122">
        <v>210000</v>
      </c>
      <c r="O592" s="47"/>
      <c r="P592" s="47"/>
      <c r="Q592" s="172" t="s">
        <v>1318</v>
      </c>
      <c r="R592" s="172" t="s">
        <v>1329</v>
      </c>
      <c r="S592" s="47">
        <v>1</v>
      </c>
      <c r="T592" s="47">
        <v>0</v>
      </c>
      <c r="U592" s="47">
        <v>0</v>
      </c>
      <c r="V592" s="47"/>
      <c r="W592" s="47"/>
      <c r="Z592" s="47">
        <v>2770</v>
      </c>
      <c r="AA592" s="172">
        <v>1261</v>
      </c>
      <c r="AB592" s="172">
        <v>360000</v>
      </c>
      <c r="AE592" s="47"/>
      <c r="AF592" s="47"/>
      <c r="AI592" s="172"/>
      <c r="AJ592" s="172"/>
      <c r="AK592" s="172"/>
      <c r="AL592" s="172"/>
      <c r="AM592" s="172"/>
      <c r="AN592" s="172"/>
      <c r="AO592" s="172"/>
      <c r="AP592" s="172"/>
      <c r="AQ592" s="172"/>
      <c r="AR592" s="172"/>
      <c r="AS592" s="172"/>
      <c r="AT592" s="172"/>
      <c r="AU592" s="172"/>
      <c r="AV592" s="172"/>
      <c r="AW592" s="172"/>
      <c r="AX592" s="172"/>
      <c r="AY592" s="172"/>
      <c r="AZ592" s="172"/>
      <c r="BA592" s="172"/>
      <c r="BB592" s="172"/>
      <c r="BC592" s="172"/>
      <c r="BD592" s="172"/>
      <c r="BH592" s="47">
        <v>23</v>
      </c>
    </row>
    <row r="593" spans="1:60" ht="14.5">
      <c r="A593" s="47">
        <v>4000012</v>
      </c>
      <c r="B593" s="47">
        <v>595</v>
      </c>
      <c r="C593" s="47">
        <v>400</v>
      </c>
      <c r="D593" s="47" t="s">
        <v>1014</v>
      </c>
      <c r="E593" s="47">
        <v>12</v>
      </c>
      <c r="F593" s="172" t="s">
        <v>1642</v>
      </c>
      <c r="I593" s="47">
        <v>0</v>
      </c>
      <c r="J593" s="177">
        <v>12960</v>
      </c>
      <c r="K593" s="122">
        <v>150000</v>
      </c>
      <c r="L593" s="122">
        <v>150000</v>
      </c>
      <c r="M593" s="122">
        <v>150000</v>
      </c>
      <c r="N593" s="122">
        <v>300000</v>
      </c>
      <c r="O593" s="47"/>
      <c r="P593" s="47"/>
      <c r="Q593" s="172" t="s">
        <v>1318</v>
      </c>
      <c r="R593" s="172" t="s">
        <v>1330</v>
      </c>
      <c r="S593" s="47">
        <v>1</v>
      </c>
      <c r="T593" s="47">
        <v>0</v>
      </c>
      <c r="U593" s="47">
        <v>0</v>
      </c>
      <c r="V593" s="47"/>
      <c r="W593" s="47"/>
      <c r="Z593" s="47">
        <v>4273</v>
      </c>
      <c r="AA593" s="172">
        <v>1261</v>
      </c>
      <c r="AB593" s="172">
        <v>420000</v>
      </c>
      <c r="AE593" s="47"/>
      <c r="AF593" s="47"/>
      <c r="AI593" s="172"/>
      <c r="AJ593" s="172"/>
      <c r="AK593" s="172"/>
      <c r="AL593" s="172"/>
      <c r="AM593" s="172"/>
      <c r="AN593" s="172"/>
      <c r="AO593" s="172"/>
      <c r="AP593" s="172"/>
      <c r="AQ593" s="172"/>
      <c r="AR593" s="172"/>
      <c r="AS593" s="172"/>
      <c r="AT593" s="172"/>
      <c r="AU593" s="172"/>
      <c r="AV593" s="172"/>
      <c r="AW593" s="172"/>
      <c r="AX593" s="172"/>
      <c r="AY593" s="172"/>
      <c r="AZ593" s="172"/>
      <c r="BA593" s="172"/>
      <c r="BB593" s="172"/>
      <c r="BC593" s="172"/>
      <c r="BD593" s="172"/>
      <c r="BH593" s="47">
        <v>23</v>
      </c>
    </row>
    <row r="594" spans="1:60" ht="14.5">
      <c r="A594" s="47">
        <v>4000013</v>
      </c>
      <c r="B594" s="47">
        <v>596</v>
      </c>
      <c r="C594" s="47">
        <v>400</v>
      </c>
      <c r="D594" s="47" t="s">
        <v>1014</v>
      </c>
      <c r="E594" s="47">
        <v>13</v>
      </c>
      <c r="F594" s="172" t="s">
        <v>1643</v>
      </c>
      <c r="I594" s="47">
        <v>0</v>
      </c>
      <c r="J594" s="177">
        <v>17280</v>
      </c>
      <c r="K594" s="122">
        <v>210000</v>
      </c>
      <c r="L594" s="122">
        <v>210000</v>
      </c>
      <c r="M594" s="122">
        <v>210000</v>
      </c>
      <c r="N594" s="122">
        <v>410000</v>
      </c>
      <c r="O594" s="47"/>
      <c r="P594" s="47"/>
      <c r="Q594" s="172" t="s">
        <v>1318</v>
      </c>
      <c r="R594" s="172" t="s">
        <v>1331</v>
      </c>
      <c r="S594" s="47">
        <v>1</v>
      </c>
      <c r="T594" s="47">
        <v>0</v>
      </c>
      <c r="U594" s="47">
        <v>0</v>
      </c>
      <c r="V594" s="47"/>
      <c r="W594" s="47"/>
      <c r="Z594" s="47">
        <v>6333</v>
      </c>
      <c r="AA594" s="172">
        <v>1261</v>
      </c>
      <c r="AB594" s="172">
        <v>480000</v>
      </c>
      <c r="AE594" s="47"/>
      <c r="AF594" s="47"/>
      <c r="AI594" s="172"/>
      <c r="AJ594" s="172"/>
      <c r="AK594" s="172"/>
      <c r="AL594" s="172"/>
      <c r="AM594" s="172"/>
      <c r="AN594" s="172"/>
      <c r="AO594" s="172"/>
      <c r="AP594" s="172"/>
      <c r="AQ594" s="172"/>
      <c r="AR594" s="172"/>
      <c r="AS594" s="172"/>
      <c r="AT594" s="172"/>
      <c r="AU594" s="172"/>
      <c r="AV594" s="172"/>
      <c r="AW594" s="172"/>
      <c r="AX594" s="172"/>
      <c r="AY594" s="172"/>
      <c r="AZ594" s="172"/>
      <c r="BA594" s="172"/>
      <c r="BB594" s="172"/>
      <c r="BC594" s="172"/>
      <c r="BD594" s="172"/>
      <c r="BH594" s="47">
        <v>23</v>
      </c>
    </row>
    <row r="595" spans="1:60" ht="14.5">
      <c r="A595" s="47">
        <v>4000014</v>
      </c>
      <c r="B595" s="47">
        <v>597</v>
      </c>
      <c r="C595" s="47">
        <v>400</v>
      </c>
      <c r="D595" s="47" t="s">
        <v>1014</v>
      </c>
      <c r="E595" s="47">
        <v>14</v>
      </c>
      <c r="F595" s="172" t="s">
        <v>1644</v>
      </c>
      <c r="I595" s="47">
        <v>0</v>
      </c>
      <c r="J595" s="177">
        <v>21600</v>
      </c>
      <c r="K595" s="122">
        <v>270000</v>
      </c>
      <c r="L595" s="122">
        <v>270000</v>
      </c>
      <c r="M595" s="122">
        <v>270000</v>
      </c>
      <c r="N595" s="122">
        <v>540000</v>
      </c>
      <c r="O595" s="47"/>
      <c r="P595" s="47"/>
      <c r="Q595" s="172" t="s">
        <v>1318</v>
      </c>
      <c r="R595" s="172" t="s">
        <v>1332</v>
      </c>
      <c r="S595" s="47">
        <v>1</v>
      </c>
      <c r="T595" s="47">
        <v>0</v>
      </c>
      <c r="U595" s="47">
        <v>0</v>
      </c>
      <c r="V595" s="47"/>
      <c r="W595" s="47"/>
      <c r="Z595" s="47">
        <v>9011</v>
      </c>
      <c r="AA595" s="172">
        <v>1261</v>
      </c>
      <c r="AB595" s="172">
        <v>540000</v>
      </c>
      <c r="AE595" s="47"/>
      <c r="AF595" s="47"/>
      <c r="AI595" s="172"/>
      <c r="AJ595" s="172"/>
      <c r="AK595" s="172"/>
      <c r="AL595" s="172"/>
      <c r="AM595" s="172"/>
      <c r="AN595" s="172"/>
      <c r="AO595" s="172"/>
      <c r="AP595" s="172"/>
      <c r="AQ595" s="172"/>
      <c r="AR595" s="172"/>
      <c r="AS595" s="172"/>
      <c r="AT595" s="172"/>
      <c r="AU595" s="172"/>
      <c r="AV595" s="172"/>
      <c r="AW595" s="172"/>
      <c r="AX595" s="172"/>
      <c r="AY595" s="172"/>
      <c r="AZ595" s="172"/>
      <c r="BA595" s="172"/>
      <c r="BB595" s="172"/>
      <c r="BC595" s="172"/>
      <c r="BD595" s="172"/>
      <c r="BH595" s="47">
        <v>23</v>
      </c>
    </row>
    <row r="596" spans="1:60" ht="14.5">
      <c r="A596" s="47">
        <v>4000015</v>
      </c>
      <c r="B596" s="47">
        <v>598</v>
      </c>
      <c r="C596" s="47">
        <v>400</v>
      </c>
      <c r="D596" s="47" t="s">
        <v>1014</v>
      </c>
      <c r="E596" s="47">
        <v>15</v>
      </c>
      <c r="F596" s="172" t="s">
        <v>1645</v>
      </c>
      <c r="I596" s="47">
        <v>0</v>
      </c>
      <c r="J596" s="177">
        <v>25920</v>
      </c>
      <c r="K596" s="122">
        <v>340000</v>
      </c>
      <c r="L596" s="122">
        <v>340000</v>
      </c>
      <c r="M596" s="122">
        <v>340000</v>
      </c>
      <c r="N596" s="122">
        <v>690000</v>
      </c>
      <c r="O596" s="47"/>
      <c r="P596" s="47"/>
      <c r="Q596" s="172" t="s">
        <v>1318</v>
      </c>
      <c r="R596" s="172" t="s">
        <v>1333</v>
      </c>
      <c r="S596" s="47">
        <v>1</v>
      </c>
      <c r="T596" s="47">
        <v>0</v>
      </c>
      <c r="U596" s="47">
        <v>0</v>
      </c>
      <c r="V596" s="47"/>
      <c r="W596" s="47"/>
      <c r="Z596" s="47">
        <v>12439</v>
      </c>
      <c r="AA596" s="172">
        <v>1261</v>
      </c>
      <c r="AB596" s="172">
        <v>600000</v>
      </c>
      <c r="AE596" s="47"/>
      <c r="AF596" s="47"/>
      <c r="AI596" s="172"/>
      <c r="AJ596" s="172"/>
      <c r="AK596" s="172"/>
      <c r="AL596" s="172"/>
      <c r="AM596" s="172"/>
      <c r="AN596" s="172"/>
      <c r="AO596" s="172"/>
      <c r="AP596" s="172"/>
      <c r="AQ596" s="172"/>
      <c r="AR596" s="172"/>
      <c r="AS596" s="172"/>
      <c r="AT596" s="172"/>
      <c r="AU596" s="172"/>
      <c r="AV596" s="172"/>
      <c r="AW596" s="172"/>
      <c r="AX596" s="172"/>
      <c r="AY596" s="172"/>
      <c r="AZ596" s="172"/>
      <c r="BA596" s="172"/>
      <c r="BB596" s="172"/>
      <c r="BC596" s="172"/>
      <c r="BD596" s="172"/>
      <c r="BH596" s="47">
        <v>23</v>
      </c>
    </row>
    <row r="597" spans="1:60" ht="14.5">
      <c r="A597" s="47">
        <v>4000016</v>
      </c>
      <c r="B597" s="47">
        <v>599</v>
      </c>
      <c r="C597" s="47">
        <v>400</v>
      </c>
      <c r="D597" s="47" t="s">
        <v>1014</v>
      </c>
      <c r="E597" s="47">
        <v>16</v>
      </c>
      <c r="F597" s="172" t="s">
        <v>1646</v>
      </c>
      <c r="I597" s="47">
        <v>0</v>
      </c>
      <c r="J597" s="177">
        <v>32400</v>
      </c>
      <c r="K597" s="122">
        <v>440000</v>
      </c>
      <c r="L597" s="122">
        <v>440000</v>
      </c>
      <c r="M597" s="122">
        <v>440000</v>
      </c>
      <c r="N597" s="122">
        <v>880000</v>
      </c>
      <c r="O597" s="47"/>
      <c r="P597" s="47"/>
      <c r="Q597" s="172" t="s">
        <v>1318</v>
      </c>
      <c r="R597" s="172" t="s">
        <v>1334</v>
      </c>
      <c r="S597" s="47">
        <v>1</v>
      </c>
      <c r="T597" s="47">
        <v>0</v>
      </c>
      <c r="U597" s="47">
        <v>0</v>
      </c>
      <c r="V597" s="47"/>
      <c r="W597" s="47"/>
      <c r="Z597" s="47">
        <v>16827</v>
      </c>
      <c r="AA597" s="172">
        <v>1261</v>
      </c>
      <c r="AB597" s="172">
        <v>680000</v>
      </c>
      <c r="AE597" s="47"/>
      <c r="AF597" s="47"/>
      <c r="AI597" s="172"/>
      <c r="AJ597" s="172"/>
      <c r="AK597" s="172"/>
      <c r="AL597" s="172"/>
      <c r="AM597" s="172"/>
      <c r="AN597" s="172"/>
      <c r="AO597" s="172"/>
      <c r="AP597" s="172"/>
      <c r="AQ597" s="172"/>
      <c r="AR597" s="172"/>
      <c r="AS597" s="172"/>
      <c r="AT597" s="172"/>
      <c r="AU597" s="172"/>
      <c r="AV597" s="172"/>
      <c r="AW597" s="172"/>
      <c r="AX597" s="172"/>
      <c r="AY597" s="172"/>
      <c r="AZ597" s="172"/>
      <c r="BA597" s="172"/>
      <c r="BB597" s="172"/>
      <c r="BC597" s="172"/>
      <c r="BD597" s="172"/>
      <c r="BH597" s="47">
        <v>23</v>
      </c>
    </row>
    <row r="598" spans="1:60" ht="14.5">
      <c r="A598" s="47">
        <v>4000017</v>
      </c>
      <c r="B598" s="47">
        <v>600</v>
      </c>
      <c r="C598" s="47">
        <v>400</v>
      </c>
      <c r="D598" s="47" t="s">
        <v>1014</v>
      </c>
      <c r="E598" s="47">
        <v>17</v>
      </c>
      <c r="F598" s="172" t="s">
        <v>1647</v>
      </c>
      <c r="I598" s="47">
        <v>0</v>
      </c>
      <c r="J598" s="177">
        <v>43200</v>
      </c>
      <c r="K598" s="122">
        <v>560000</v>
      </c>
      <c r="L598" s="122">
        <v>560000</v>
      </c>
      <c r="M598" s="122">
        <v>560000</v>
      </c>
      <c r="N598" s="122">
        <v>1100000</v>
      </c>
      <c r="O598" s="47"/>
      <c r="P598" s="47"/>
      <c r="Q598" s="172" t="s">
        <v>1318</v>
      </c>
      <c r="R598" s="172" t="s">
        <v>1335</v>
      </c>
      <c r="S598" s="47">
        <v>1</v>
      </c>
      <c r="T598" s="47">
        <v>0</v>
      </c>
      <c r="U598" s="47">
        <v>0</v>
      </c>
      <c r="V598" s="47"/>
      <c r="W598" s="47"/>
      <c r="Z598" s="47">
        <v>22443</v>
      </c>
      <c r="AA598" s="172">
        <v>1261</v>
      </c>
      <c r="AB598" s="172">
        <v>760000</v>
      </c>
      <c r="AE598" s="47"/>
      <c r="AF598" s="47"/>
      <c r="AI598" s="172"/>
      <c r="AJ598" s="172"/>
      <c r="AK598" s="172"/>
      <c r="AL598" s="172"/>
      <c r="AM598" s="172"/>
      <c r="AN598" s="172"/>
      <c r="AO598" s="172"/>
      <c r="AP598" s="172"/>
      <c r="AQ598" s="172"/>
      <c r="AR598" s="172"/>
      <c r="AS598" s="172"/>
      <c r="AT598" s="172"/>
      <c r="AU598" s="172"/>
      <c r="AV598" s="172"/>
      <c r="AW598" s="172"/>
      <c r="AX598" s="172"/>
      <c r="AY598" s="172"/>
      <c r="AZ598" s="172"/>
      <c r="BA598" s="172"/>
      <c r="BB598" s="172"/>
      <c r="BC598" s="172"/>
      <c r="BD598" s="172"/>
      <c r="BH598" s="47">
        <v>23</v>
      </c>
    </row>
    <row r="599" spans="1:60" ht="14.5">
      <c r="A599" s="47">
        <v>4000018</v>
      </c>
      <c r="B599" s="47">
        <v>601</v>
      </c>
      <c r="C599" s="47">
        <v>400</v>
      </c>
      <c r="D599" s="47" t="s">
        <v>1014</v>
      </c>
      <c r="E599" s="47">
        <v>18</v>
      </c>
      <c r="F599" s="172" t="s">
        <v>1648</v>
      </c>
      <c r="I599" s="47">
        <v>0</v>
      </c>
      <c r="J599" s="177">
        <v>56160</v>
      </c>
      <c r="K599" s="122">
        <v>720000</v>
      </c>
      <c r="L599" s="122">
        <v>720000</v>
      </c>
      <c r="M599" s="122">
        <v>720000</v>
      </c>
      <c r="N599" s="122">
        <v>1400000</v>
      </c>
      <c r="O599" s="47"/>
      <c r="P599" s="47"/>
      <c r="Q599" s="172" t="s">
        <v>1318</v>
      </c>
      <c r="R599" s="172" t="s">
        <v>1336</v>
      </c>
      <c r="S599" s="47">
        <v>1</v>
      </c>
      <c r="T599" s="47">
        <v>0</v>
      </c>
      <c r="U599" s="47">
        <v>0</v>
      </c>
      <c r="V599" s="47"/>
      <c r="W599" s="47"/>
      <c r="Z599" s="47">
        <v>29632</v>
      </c>
      <c r="AA599" s="172">
        <v>1261</v>
      </c>
      <c r="AB599" s="172">
        <v>840000</v>
      </c>
      <c r="AE599" s="47"/>
      <c r="AF599" s="47"/>
      <c r="AI599" s="172"/>
      <c r="AJ599" s="172"/>
      <c r="AK599" s="172"/>
      <c r="AL599" s="172"/>
      <c r="AM599" s="172"/>
      <c r="AN599" s="172"/>
      <c r="AO599" s="172"/>
      <c r="AP599" s="172"/>
      <c r="AQ599" s="172"/>
      <c r="AR599" s="172"/>
      <c r="AS599" s="172"/>
      <c r="AT599" s="172"/>
      <c r="AU599" s="172"/>
      <c r="AV599" s="172"/>
      <c r="AW599" s="172"/>
      <c r="AX599" s="172"/>
      <c r="AY599" s="172"/>
      <c r="AZ599" s="172"/>
      <c r="BA599" s="172"/>
      <c r="BB599" s="172"/>
      <c r="BC599" s="172"/>
      <c r="BD599" s="172"/>
      <c r="BH599" s="47">
        <v>23</v>
      </c>
    </row>
    <row r="600" spans="1:60" ht="14.5">
      <c r="A600" s="47">
        <v>4000019</v>
      </c>
      <c r="B600" s="47">
        <v>602</v>
      </c>
      <c r="C600" s="47">
        <v>400</v>
      </c>
      <c r="D600" s="47" t="s">
        <v>1014</v>
      </c>
      <c r="E600" s="47">
        <v>19</v>
      </c>
      <c r="F600" s="172" t="s">
        <v>1649</v>
      </c>
      <c r="I600" s="47">
        <v>0</v>
      </c>
      <c r="J600" s="177">
        <v>73440</v>
      </c>
      <c r="K600" s="122">
        <v>920000</v>
      </c>
      <c r="L600" s="122">
        <v>920000</v>
      </c>
      <c r="M600" s="122">
        <v>920000</v>
      </c>
      <c r="N600" s="122">
        <v>1800000</v>
      </c>
      <c r="O600" s="47"/>
      <c r="P600" s="47"/>
      <c r="Q600" s="172" t="s">
        <v>1318</v>
      </c>
      <c r="R600" s="172" t="s">
        <v>1337</v>
      </c>
      <c r="S600" s="47">
        <v>1</v>
      </c>
      <c r="T600" s="47">
        <v>0</v>
      </c>
      <c r="U600" s="47">
        <v>0</v>
      </c>
      <c r="V600" s="47"/>
      <c r="W600" s="47"/>
      <c r="Z600" s="47">
        <v>38833</v>
      </c>
      <c r="AA600" s="172">
        <v>1261</v>
      </c>
      <c r="AB600" s="172">
        <v>920000</v>
      </c>
      <c r="AE600" s="47"/>
      <c r="AF600" s="47"/>
      <c r="AI600" s="172"/>
      <c r="AJ600" s="172"/>
      <c r="AK600" s="172"/>
      <c r="AL600" s="172"/>
      <c r="AM600" s="172"/>
      <c r="AN600" s="172"/>
      <c r="AO600" s="172"/>
      <c r="AP600" s="172"/>
      <c r="AQ600" s="172"/>
      <c r="AR600" s="172"/>
      <c r="AS600" s="172"/>
      <c r="AT600" s="172"/>
      <c r="AU600" s="172"/>
      <c r="AV600" s="172"/>
      <c r="AW600" s="172"/>
      <c r="AX600" s="172"/>
      <c r="AY600" s="172"/>
      <c r="AZ600" s="172"/>
      <c r="BA600" s="172"/>
      <c r="BB600" s="172"/>
      <c r="BC600" s="172"/>
      <c r="BD600" s="172"/>
      <c r="BH600" s="47">
        <v>23</v>
      </c>
    </row>
    <row r="601" spans="1:60" ht="14.5">
      <c r="A601" s="47">
        <v>4000020</v>
      </c>
      <c r="B601" s="47">
        <v>603</v>
      </c>
      <c r="C601" s="47">
        <v>400</v>
      </c>
      <c r="D601" s="47" t="s">
        <v>1014</v>
      </c>
      <c r="E601" s="47">
        <v>20</v>
      </c>
      <c r="F601" s="172" t="s">
        <v>1650</v>
      </c>
      <c r="I601" s="47">
        <v>0</v>
      </c>
      <c r="J601" s="177">
        <v>103680</v>
      </c>
      <c r="K601" s="122">
        <v>1200000</v>
      </c>
      <c r="L601" s="122">
        <v>1200000</v>
      </c>
      <c r="M601" s="122">
        <v>1200000</v>
      </c>
      <c r="N601" s="122">
        <v>2400000</v>
      </c>
      <c r="O601" s="47"/>
      <c r="P601" s="47"/>
      <c r="Q601" s="172" t="s">
        <v>1318</v>
      </c>
      <c r="R601" s="172" t="s">
        <v>1338</v>
      </c>
      <c r="S601" s="47">
        <v>1</v>
      </c>
      <c r="T601" s="47">
        <v>0</v>
      </c>
      <c r="U601" s="47">
        <v>0</v>
      </c>
      <c r="V601" s="47"/>
      <c r="W601" s="47"/>
      <c r="Z601" s="47">
        <v>50611</v>
      </c>
      <c r="AA601" s="172">
        <v>1261</v>
      </c>
      <c r="AB601" s="172">
        <v>1000000</v>
      </c>
      <c r="AE601" s="47"/>
      <c r="AF601" s="47"/>
      <c r="AI601" s="172"/>
      <c r="AJ601" s="172"/>
      <c r="AK601" s="172"/>
      <c r="AL601" s="172"/>
      <c r="AM601" s="172"/>
      <c r="AN601" s="172"/>
      <c r="AO601" s="172"/>
      <c r="AP601" s="172"/>
      <c r="AQ601" s="172"/>
      <c r="AR601" s="172"/>
      <c r="AS601" s="172"/>
      <c r="AT601" s="172"/>
      <c r="AU601" s="172"/>
      <c r="AV601" s="172"/>
      <c r="AW601" s="172"/>
      <c r="AX601" s="172"/>
      <c r="AY601" s="172"/>
      <c r="AZ601" s="172"/>
      <c r="BA601" s="172"/>
      <c r="BB601" s="172"/>
      <c r="BC601" s="172"/>
      <c r="BD601" s="172"/>
      <c r="BH601" s="47">
        <v>23</v>
      </c>
    </row>
    <row r="602" spans="1:60" ht="14.5">
      <c r="A602" s="47">
        <v>4000021</v>
      </c>
      <c r="B602" s="47">
        <v>604</v>
      </c>
      <c r="C602" s="47">
        <v>400</v>
      </c>
      <c r="D602" s="47" t="s">
        <v>1014</v>
      </c>
      <c r="E602" s="47">
        <v>21</v>
      </c>
      <c r="F602" s="172" t="s">
        <v>1651</v>
      </c>
      <c r="I602" s="47">
        <v>0</v>
      </c>
      <c r="J602" s="177">
        <v>138240</v>
      </c>
      <c r="K602" s="122">
        <v>1500000</v>
      </c>
      <c r="L602" s="122">
        <v>1500000</v>
      </c>
      <c r="M602" s="122">
        <v>1500000</v>
      </c>
      <c r="N602" s="122">
        <v>3000000</v>
      </c>
      <c r="O602" s="47"/>
      <c r="P602" s="47"/>
      <c r="Q602" s="172" t="s">
        <v>1318</v>
      </c>
      <c r="R602" s="172" t="s">
        <v>1340</v>
      </c>
      <c r="S602" s="47">
        <v>1</v>
      </c>
      <c r="T602" s="47">
        <v>0</v>
      </c>
      <c r="U602" s="47">
        <v>0</v>
      </c>
      <c r="V602" s="47"/>
      <c r="W602" s="47"/>
      <c r="Z602" s="47">
        <v>65687</v>
      </c>
      <c r="AA602" s="172">
        <v>1261</v>
      </c>
      <c r="AB602" s="172">
        <v>1100000</v>
      </c>
      <c r="AE602" s="47"/>
      <c r="AF602" s="47"/>
      <c r="AI602" s="172"/>
      <c r="AJ602" s="172"/>
      <c r="AK602" s="172"/>
      <c r="AL602" s="172"/>
      <c r="AM602" s="172"/>
      <c r="AN602" s="172"/>
      <c r="AO602" s="172"/>
      <c r="AP602" s="172"/>
      <c r="AQ602" s="172"/>
      <c r="AR602" s="172"/>
      <c r="AS602" s="172"/>
      <c r="AT602" s="172"/>
      <c r="AU602" s="172"/>
      <c r="AV602" s="172"/>
      <c r="AW602" s="172"/>
      <c r="AX602" s="172"/>
      <c r="AY602" s="172"/>
      <c r="AZ602" s="172"/>
      <c r="BA602" s="172"/>
      <c r="BB602" s="172"/>
      <c r="BC602" s="172"/>
      <c r="BD602" s="172"/>
      <c r="BH602" s="47">
        <v>23</v>
      </c>
    </row>
    <row r="603" spans="1:60" ht="14.5">
      <c r="A603" s="47">
        <v>4000022</v>
      </c>
      <c r="B603" s="47">
        <v>605</v>
      </c>
      <c r="C603" s="47">
        <v>400</v>
      </c>
      <c r="D603" s="47" t="s">
        <v>1014</v>
      </c>
      <c r="E603" s="47">
        <v>22</v>
      </c>
      <c r="F603" s="172" t="s">
        <v>1652</v>
      </c>
      <c r="I603" s="47">
        <v>0</v>
      </c>
      <c r="J603" s="177">
        <v>181440</v>
      </c>
      <c r="K603" s="122">
        <v>1900000</v>
      </c>
      <c r="L603" s="122">
        <v>1900000</v>
      </c>
      <c r="M603" s="122">
        <v>1900000</v>
      </c>
      <c r="N603" s="122">
        <v>3900000</v>
      </c>
      <c r="O603" s="47"/>
      <c r="P603" s="47"/>
      <c r="Q603" s="172" t="s">
        <v>1318</v>
      </c>
      <c r="R603" s="172" t="s">
        <v>1342</v>
      </c>
      <c r="S603" s="47">
        <v>1</v>
      </c>
      <c r="T603" s="47">
        <v>0</v>
      </c>
      <c r="U603" s="47">
        <v>0</v>
      </c>
      <c r="V603" s="47"/>
      <c r="W603" s="47"/>
      <c r="Z603" s="47">
        <v>84984</v>
      </c>
      <c r="AA603" s="172">
        <v>1261</v>
      </c>
      <c r="AB603" s="172">
        <v>1200000</v>
      </c>
      <c r="AE603" s="47"/>
      <c r="AF603" s="47"/>
      <c r="AI603" s="172"/>
      <c r="AJ603" s="172"/>
      <c r="AK603" s="172"/>
      <c r="AL603" s="172"/>
      <c r="AM603" s="172"/>
      <c r="AN603" s="172"/>
      <c r="AO603" s="172"/>
      <c r="AP603" s="172"/>
      <c r="AQ603" s="172"/>
      <c r="AR603" s="172"/>
      <c r="AS603" s="172"/>
      <c r="AT603" s="172"/>
      <c r="AU603" s="172"/>
      <c r="AV603" s="172"/>
      <c r="AW603" s="172"/>
      <c r="AX603" s="172"/>
      <c r="AY603" s="172"/>
      <c r="AZ603" s="172"/>
      <c r="BA603" s="172"/>
      <c r="BB603" s="172"/>
      <c r="BC603" s="172"/>
      <c r="BD603" s="172"/>
      <c r="BH603" s="47">
        <v>23</v>
      </c>
    </row>
    <row r="604" spans="1:60" ht="14.5">
      <c r="A604" s="47">
        <v>4000023</v>
      </c>
      <c r="B604" s="47">
        <v>606</v>
      </c>
      <c r="C604" s="47">
        <v>400</v>
      </c>
      <c r="D604" s="47" t="s">
        <v>1014</v>
      </c>
      <c r="E604" s="47">
        <v>23</v>
      </c>
      <c r="F604" s="172" t="s">
        <v>1653</v>
      </c>
      <c r="I604" s="47">
        <v>0</v>
      </c>
      <c r="J604" s="177">
        <v>233280</v>
      </c>
      <c r="K604" s="122">
        <v>2500000</v>
      </c>
      <c r="L604" s="122">
        <v>2500000</v>
      </c>
      <c r="M604" s="122">
        <v>2500000</v>
      </c>
      <c r="N604" s="122">
        <v>4900000</v>
      </c>
      <c r="O604" s="47"/>
      <c r="P604" s="47"/>
      <c r="Q604" s="172" t="s">
        <v>1318</v>
      </c>
      <c r="R604" s="172" t="s">
        <v>1344</v>
      </c>
      <c r="S604" s="47">
        <v>1</v>
      </c>
      <c r="T604" s="47">
        <v>0</v>
      </c>
      <c r="U604" s="47">
        <v>0</v>
      </c>
      <c r="V604" s="47"/>
      <c r="W604" s="47"/>
      <c r="Z604" s="47">
        <v>109684</v>
      </c>
      <c r="AA604" s="172">
        <v>1261</v>
      </c>
      <c r="AB604" s="172">
        <v>1300000</v>
      </c>
      <c r="AE604" s="47"/>
      <c r="AF604" s="47"/>
      <c r="AI604" s="172"/>
      <c r="AJ604" s="172"/>
      <c r="AK604" s="172"/>
      <c r="AL604" s="172"/>
      <c r="AM604" s="172"/>
      <c r="AN604" s="172"/>
      <c r="AO604" s="172"/>
      <c r="AP604" s="172"/>
      <c r="AQ604" s="172"/>
      <c r="AR604" s="172"/>
      <c r="AS604" s="172"/>
      <c r="AT604" s="172"/>
      <c r="AU604" s="172"/>
      <c r="AV604" s="172"/>
      <c r="AW604" s="172"/>
      <c r="AX604" s="172"/>
      <c r="AY604" s="172"/>
      <c r="AZ604" s="172"/>
      <c r="BA604" s="172"/>
      <c r="BB604" s="172"/>
      <c r="BC604" s="172"/>
      <c r="BD604" s="172"/>
      <c r="BH604" s="47">
        <v>23</v>
      </c>
    </row>
    <row r="605" spans="1:60" ht="14.5">
      <c r="A605" s="47">
        <v>4000024</v>
      </c>
      <c r="B605" s="47">
        <v>607</v>
      </c>
      <c r="C605" s="47">
        <v>400</v>
      </c>
      <c r="D605" s="47" t="s">
        <v>1014</v>
      </c>
      <c r="E605" s="47">
        <v>24</v>
      </c>
      <c r="F605" s="172" t="s">
        <v>1654</v>
      </c>
      <c r="I605" s="47">
        <v>0</v>
      </c>
      <c r="J605" s="177">
        <v>298080</v>
      </c>
      <c r="K605" s="122">
        <v>3200000</v>
      </c>
      <c r="L605" s="122">
        <v>3200000</v>
      </c>
      <c r="M605" s="122">
        <v>3200000</v>
      </c>
      <c r="N605" s="122">
        <v>6300000</v>
      </c>
      <c r="O605" s="47"/>
      <c r="P605" s="47"/>
      <c r="Q605" s="172" t="s">
        <v>1318</v>
      </c>
      <c r="R605" s="172" t="s">
        <v>1346</v>
      </c>
      <c r="S605" s="47">
        <v>1</v>
      </c>
      <c r="T605" s="47">
        <v>0</v>
      </c>
      <c r="U605" s="47">
        <v>0</v>
      </c>
      <c r="V605" s="47"/>
      <c r="W605" s="47"/>
      <c r="Z605" s="47">
        <v>141300</v>
      </c>
      <c r="AA605" s="172">
        <v>1261</v>
      </c>
      <c r="AB605" s="172">
        <v>1400000</v>
      </c>
      <c r="AE605" s="47"/>
      <c r="AF605" s="47"/>
      <c r="AI605" s="172"/>
      <c r="AJ605" s="172"/>
      <c r="AK605" s="172"/>
      <c r="AL605" s="172"/>
      <c r="AM605" s="172"/>
      <c r="AN605" s="172"/>
      <c r="AO605" s="172"/>
      <c r="AP605" s="172"/>
      <c r="AQ605" s="172"/>
      <c r="AR605" s="172"/>
      <c r="AS605" s="172"/>
      <c r="AT605" s="172"/>
      <c r="AU605" s="172"/>
      <c r="AV605" s="172"/>
      <c r="AW605" s="172"/>
      <c r="AX605" s="172"/>
      <c r="AY605" s="172"/>
      <c r="AZ605" s="172"/>
      <c r="BA605" s="172"/>
      <c r="BB605" s="172"/>
      <c r="BC605" s="172"/>
      <c r="BD605" s="172"/>
      <c r="BH605" s="47">
        <v>23</v>
      </c>
    </row>
    <row r="606" spans="1:60" ht="14.5">
      <c r="A606" s="47">
        <v>4000025</v>
      </c>
      <c r="B606" s="47">
        <v>608</v>
      </c>
      <c r="C606" s="47">
        <v>400</v>
      </c>
      <c r="D606" s="47" t="s">
        <v>1014</v>
      </c>
      <c r="E606" s="47">
        <v>25</v>
      </c>
      <c r="F606" s="172" t="s">
        <v>1655</v>
      </c>
      <c r="I606" s="47">
        <v>0</v>
      </c>
      <c r="J606" s="177">
        <v>375840</v>
      </c>
      <c r="K606" s="122">
        <v>4000000</v>
      </c>
      <c r="L606" s="122">
        <v>4000000</v>
      </c>
      <c r="M606" s="122">
        <v>4000000</v>
      </c>
      <c r="N606" s="122">
        <v>8100000</v>
      </c>
      <c r="O606" s="47"/>
      <c r="P606" s="47"/>
      <c r="Q606" s="172" t="s">
        <v>1318</v>
      </c>
      <c r="R606" s="172" t="s">
        <v>1348</v>
      </c>
      <c r="S606" s="47">
        <v>1</v>
      </c>
      <c r="T606" s="47">
        <v>0</v>
      </c>
      <c r="U606" s="47">
        <v>0</v>
      </c>
      <c r="V606" s="47"/>
      <c r="W606" s="47"/>
      <c r="Z606" s="47">
        <v>181768</v>
      </c>
      <c r="AA606" s="172">
        <v>1261</v>
      </c>
      <c r="AB606" s="172">
        <v>1500000</v>
      </c>
      <c r="AE606" s="47"/>
      <c r="AF606" s="47"/>
      <c r="AI606" s="172"/>
      <c r="AJ606" s="172"/>
      <c r="AK606" s="172"/>
      <c r="AL606" s="172"/>
      <c r="AM606" s="172"/>
      <c r="AN606" s="172"/>
      <c r="AO606" s="172"/>
      <c r="AP606" s="172"/>
      <c r="AQ606" s="172"/>
      <c r="AR606" s="172"/>
      <c r="AS606" s="172"/>
      <c r="AT606" s="172"/>
      <c r="AU606" s="172"/>
      <c r="AV606" s="172"/>
      <c r="AW606" s="172"/>
      <c r="AX606" s="172"/>
      <c r="AY606" s="172"/>
      <c r="AZ606" s="172"/>
      <c r="BA606" s="172"/>
      <c r="BB606" s="172"/>
      <c r="BC606" s="172"/>
      <c r="BD606" s="172"/>
      <c r="BH606" s="47">
        <v>23</v>
      </c>
    </row>
    <row r="607" spans="1:60" ht="14.5">
      <c r="A607" s="47">
        <v>4000026</v>
      </c>
      <c r="B607" s="47">
        <v>609</v>
      </c>
      <c r="C607" s="47">
        <v>400</v>
      </c>
      <c r="D607" s="47" t="s">
        <v>1014</v>
      </c>
      <c r="E607" s="47">
        <v>26</v>
      </c>
      <c r="F607" s="172" t="s">
        <v>1656</v>
      </c>
      <c r="I607" s="47">
        <v>0</v>
      </c>
      <c r="J607" s="177">
        <v>466560</v>
      </c>
      <c r="K607" s="122">
        <v>5200000</v>
      </c>
      <c r="L607" s="122">
        <v>5200000</v>
      </c>
      <c r="M607" s="122">
        <v>5200000</v>
      </c>
      <c r="N607" s="122">
        <v>10000000</v>
      </c>
      <c r="O607" s="47"/>
      <c r="P607" s="47"/>
      <c r="Q607" s="172" t="s">
        <v>1318</v>
      </c>
      <c r="R607" s="172" t="s">
        <v>1350</v>
      </c>
      <c r="S607" s="47">
        <v>1</v>
      </c>
      <c r="T607" s="47">
        <v>0</v>
      </c>
      <c r="U607" s="47">
        <v>0</v>
      </c>
      <c r="V607" s="47"/>
      <c r="W607" s="47"/>
      <c r="Z607" s="47">
        <v>233568</v>
      </c>
      <c r="AA607" s="172">
        <v>1261</v>
      </c>
      <c r="AB607" s="172">
        <v>1620000</v>
      </c>
      <c r="AE607" s="47"/>
      <c r="AF607" s="47"/>
      <c r="AI607" s="172"/>
      <c r="AJ607" s="172"/>
      <c r="AK607" s="172"/>
      <c r="AL607" s="172"/>
      <c r="AM607" s="172"/>
      <c r="AN607" s="172"/>
      <c r="AO607" s="172"/>
      <c r="AP607" s="172"/>
      <c r="AQ607" s="172"/>
      <c r="AR607" s="172"/>
      <c r="AS607" s="172"/>
      <c r="AT607" s="172"/>
      <c r="AU607" s="172"/>
      <c r="AV607" s="172"/>
      <c r="AW607" s="172"/>
      <c r="AX607" s="172"/>
      <c r="AY607" s="172"/>
      <c r="AZ607" s="172"/>
      <c r="BA607" s="172"/>
      <c r="BB607" s="172"/>
      <c r="BC607" s="172"/>
      <c r="BD607" s="172"/>
      <c r="BH607" s="47">
        <v>23</v>
      </c>
    </row>
    <row r="608" spans="1:60" ht="14.5">
      <c r="A608" s="47">
        <v>4000027</v>
      </c>
      <c r="B608" s="47">
        <v>610</v>
      </c>
      <c r="C608" s="47">
        <v>400</v>
      </c>
      <c r="D608" s="47" t="s">
        <v>1014</v>
      </c>
      <c r="E608" s="47">
        <v>27</v>
      </c>
      <c r="F608" s="172" t="s">
        <v>1657</v>
      </c>
      <c r="I608" s="47">
        <v>0</v>
      </c>
      <c r="J608" s="177">
        <v>570240</v>
      </c>
      <c r="K608" s="122">
        <v>6600000</v>
      </c>
      <c r="L608" s="122">
        <v>6600000</v>
      </c>
      <c r="M608" s="122">
        <v>6600000</v>
      </c>
      <c r="N608" s="122">
        <v>13000000</v>
      </c>
      <c r="O608" s="47"/>
      <c r="P608" s="47"/>
      <c r="Q608" s="172" t="s">
        <v>1318</v>
      </c>
      <c r="R608" s="172" t="s">
        <v>1352</v>
      </c>
      <c r="S608" s="47">
        <v>1</v>
      </c>
      <c r="T608" s="47">
        <v>0</v>
      </c>
      <c r="U608" s="47">
        <v>0</v>
      </c>
      <c r="V608" s="47"/>
      <c r="W608" s="47"/>
      <c r="Z608" s="47">
        <v>299871</v>
      </c>
      <c r="AA608" s="172">
        <v>1261</v>
      </c>
      <c r="AB608" s="172">
        <v>1760000</v>
      </c>
      <c r="AE608" s="47"/>
      <c r="AF608" s="47"/>
      <c r="AI608" s="172"/>
      <c r="AJ608" s="172"/>
      <c r="AK608" s="172"/>
      <c r="AL608" s="172"/>
      <c r="AM608" s="172"/>
      <c r="AN608" s="172"/>
      <c r="AO608" s="172"/>
      <c r="AP608" s="172"/>
      <c r="AQ608" s="172"/>
      <c r="AR608" s="172"/>
      <c r="AS608" s="172"/>
      <c r="AT608" s="172"/>
      <c r="AU608" s="172"/>
      <c r="AV608" s="172"/>
      <c r="AW608" s="172"/>
      <c r="AX608" s="172"/>
      <c r="AY608" s="172"/>
      <c r="AZ608" s="172"/>
      <c r="BA608" s="172"/>
      <c r="BB608" s="172"/>
      <c r="BC608" s="172"/>
      <c r="BD608" s="172"/>
      <c r="BH608" s="47">
        <v>23</v>
      </c>
    </row>
    <row r="609" spans="1:64" ht="14.5">
      <c r="A609" s="47">
        <v>4000028</v>
      </c>
      <c r="B609" s="47">
        <v>611</v>
      </c>
      <c r="C609" s="47">
        <v>400</v>
      </c>
      <c r="D609" s="47" t="s">
        <v>1014</v>
      </c>
      <c r="E609" s="47">
        <v>28</v>
      </c>
      <c r="F609" s="172" t="s">
        <v>1658</v>
      </c>
      <c r="I609" s="47">
        <v>0</v>
      </c>
      <c r="J609" s="177">
        <v>699840</v>
      </c>
      <c r="K609" s="122">
        <v>8500000</v>
      </c>
      <c r="L609" s="122">
        <v>8500000</v>
      </c>
      <c r="M609" s="122">
        <v>8500000</v>
      </c>
      <c r="N609" s="122">
        <v>17000000</v>
      </c>
      <c r="O609" s="47"/>
      <c r="P609" s="47"/>
      <c r="Q609" s="172" t="s">
        <v>1318</v>
      </c>
      <c r="R609" s="172" t="s">
        <v>1354</v>
      </c>
      <c r="S609" s="47">
        <v>1</v>
      </c>
      <c r="T609" s="47">
        <v>0</v>
      </c>
      <c r="U609" s="47">
        <v>0</v>
      </c>
      <c r="V609" s="47"/>
      <c r="W609" s="47"/>
      <c r="Z609" s="47">
        <v>384740</v>
      </c>
      <c r="AA609" s="172">
        <v>1261</v>
      </c>
      <c r="AB609" s="172">
        <v>1920000</v>
      </c>
      <c r="AE609" s="47"/>
      <c r="AF609" s="47"/>
      <c r="AI609" s="172"/>
      <c r="AJ609" s="172"/>
      <c r="AK609" s="172"/>
      <c r="AL609" s="172"/>
      <c r="AM609" s="172"/>
      <c r="AN609" s="172"/>
      <c r="AO609" s="172"/>
      <c r="AP609" s="172"/>
      <c r="AQ609" s="172"/>
      <c r="AR609" s="172"/>
      <c r="AS609" s="172"/>
      <c r="AT609" s="172"/>
      <c r="AU609" s="172"/>
      <c r="AV609" s="172"/>
      <c r="AW609" s="172"/>
      <c r="AX609" s="172"/>
      <c r="AY609" s="172"/>
      <c r="AZ609" s="172"/>
      <c r="BA609" s="172"/>
      <c r="BB609" s="172"/>
      <c r="BC609" s="172"/>
      <c r="BD609" s="172"/>
      <c r="BH609" s="47">
        <v>23</v>
      </c>
    </row>
    <row r="610" spans="1:64" ht="14.5">
      <c r="A610" s="47">
        <v>4000029</v>
      </c>
      <c r="B610" s="47">
        <v>612</v>
      </c>
      <c r="C610" s="47">
        <v>400</v>
      </c>
      <c r="D610" s="47" t="s">
        <v>1014</v>
      </c>
      <c r="E610" s="47">
        <v>29</v>
      </c>
      <c r="F610" s="172" t="s">
        <v>1659</v>
      </c>
      <c r="I610" s="47">
        <v>0</v>
      </c>
      <c r="J610" s="177">
        <v>855360</v>
      </c>
      <c r="K610" s="122">
        <v>11000000</v>
      </c>
      <c r="L610" s="122">
        <v>11000000</v>
      </c>
      <c r="M610" s="122">
        <v>11000000</v>
      </c>
      <c r="N610" s="122">
        <v>22000000</v>
      </c>
      <c r="O610" s="47"/>
      <c r="P610" s="47"/>
      <c r="Q610" s="172" t="s">
        <v>1318</v>
      </c>
      <c r="R610" s="172" t="s">
        <v>1356</v>
      </c>
      <c r="S610" s="47">
        <v>1</v>
      </c>
      <c r="T610" s="47">
        <v>0</v>
      </c>
      <c r="U610" s="47">
        <v>0</v>
      </c>
      <c r="V610" s="47"/>
      <c r="W610" s="47"/>
      <c r="Z610" s="47">
        <v>493372</v>
      </c>
      <c r="AA610" s="172">
        <v>1261</v>
      </c>
      <c r="AB610" s="172">
        <v>2100000</v>
      </c>
      <c r="AE610" s="47"/>
      <c r="AF610" s="47"/>
      <c r="AI610" s="172"/>
      <c r="AJ610" s="172"/>
      <c r="AK610" s="172"/>
      <c r="AL610" s="172"/>
      <c r="AM610" s="172"/>
      <c r="AN610" s="172"/>
      <c r="AO610" s="172"/>
      <c r="AP610" s="172"/>
      <c r="AQ610" s="172"/>
      <c r="AR610" s="172"/>
      <c r="AS610" s="172"/>
      <c r="AT610" s="172"/>
      <c r="AU610" s="172"/>
      <c r="AV610" s="172"/>
      <c r="AW610" s="172"/>
      <c r="AX610" s="172"/>
      <c r="AY610" s="172"/>
      <c r="AZ610" s="172"/>
      <c r="BA610" s="172"/>
      <c r="BB610" s="172"/>
      <c r="BC610" s="172"/>
      <c r="BD610" s="172"/>
      <c r="BH610" s="47">
        <v>23</v>
      </c>
    </row>
    <row r="611" spans="1:64" ht="14.5">
      <c r="A611" s="47">
        <v>4000030</v>
      </c>
      <c r="B611" s="47">
        <v>613</v>
      </c>
      <c r="C611" s="47">
        <v>400</v>
      </c>
      <c r="D611" s="47" t="s">
        <v>1014</v>
      </c>
      <c r="E611" s="47">
        <v>30</v>
      </c>
      <c r="F611" s="172" t="s">
        <v>1660</v>
      </c>
      <c r="I611" s="47">
        <v>0</v>
      </c>
      <c r="J611" s="177">
        <v>1036800</v>
      </c>
      <c r="K611" s="122">
        <v>14000000</v>
      </c>
      <c r="L611" s="122">
        <v>14000000</v>
      </c>
      <c r="M611" s="122">
        <v>14000000</v>
      </c>
      <c r="N611" s="122">
        <v>28000000</v>
      </c>
      <c r="O611" s="47"/>
      <c r="P611" s="47"/>
      <c r="Q611" s="172" t="s">
        <v>1318</v>
      </c>
      <c r="R611" s="172" t="s">
        <v>1358</v>
      </c>
      <c r="S611" s="47">
        <v>1</v>
      </c>
      <c r="T611" s="47">
        <v>0</v>
      </c>
      <c r="U611" s="47">
        <v>0</v>
      </c>
      <c r="V611" s="47"/>
      <c r="W611" s="47"/>
      <c r="Z611" s="47">
        <v>632420</v>
      </c>
      <c r="AA611" s="172">
        <v>1261</v>
      </c>
      <c r="AB611" s="172">
        <v>2300000</v>
      </c>
      <c r="AE611" s="47"/>
      <c r="AF611" s="47"/>
      <c r="AI611" s="172"/>
      <c r="AJ611" s="172"/>
      <c r="AK611" s="172"/>
      <c r="AL611" s="172"/>
      <c r="AM611" s="172"/>
      <c r="AN611" s="172"/>
      <c r="AO611" s="172"/>
      <c r="AP611" s="172"/>
      <c r="AQ611" s="172"/>
      <c r="AR611" s="172"/>
      <c r="AS611" s="172"/>
      <c r="AT611" s="172"/>
      <c r="AU611" s="172"/>
      <c r="AV611" s="172"/>
      <c r="AW611" s="172"/>
      <c r="AX611" s="172"/>
      <c r="AY611" s="172"/>
      <c r="AZ611" s="172"/>
      <c r="BA611" s="172"/>
      <c r="BB611" s="172"/>
      <c r="BC611" s="172"/>
      <c r="BD611" s="172"/>
      <c r="BH611" s="47">
        <v>23</v>
      </c>
    </row>
    <row r="612" spans="1:64" ht="14.5">
      <c r="A612" s="191">
        <v>2060000</v>
      </c>
      <c r="B612" s="191">
        <v>578</v>
      </c>
      <c r="C612" s="191">
        <v>206</v>
      </c>
      <c r="D612" s="191" t="s">
        <v>293</v>
      </c>
      <c r="E612" s="191">
        <v>0</v>
      </c>
      <c r="F612" s="191" t="s">
        <v>1661</v>
      </c>
      <c r="H612" s="192"/>
      <c r="I612" s="191" t="s">
        <v>1205</v>
      </c>
      <c r="J612" s="195">
        <v>1</v>
      </c>
      <c r="K612" s="195"/>
      <c r="L612" s="195">
        <v>1400</v>
      </c>
      <c r="M612" s="195">
        <v>0</v>
      </c>
      <c r="N612" s="195">
        <v>0</v>
      </c>
      <c r="Q612" s="191">
        <v>201</v>
      </c>
      <c r="R612" s="191">
        <v>0</v>
      </c>
      <c r="S612" s="191">
        <v>1</v>
      </c>
      <c r="T612" s="191">
        <v>0</v>
      </c>
      <c r="U612" s="191">
        <v>0</v>
      </c>
      <c r="Z612" s="191">
        <v>0</v>
      </c>
      <c r="AA612" s="191">
        <v>3000</v>
      </c>
      <c r="AB612" s="191">
        <v>0</v>
      </c>
      <c r="AE612" s="191">
        <v>3013</v>
      </c>
      <c r="AF612" s="191">
        <v>0</v>
      </c>
      <c r="BH612" s="191">
        <v>9</v>
      </c>
    </row>
    <row r="613" spans="1:64" ht="14.5">
      <c r="A613" s="191">
        <v>2010000</v>
      </c>
      <c r="B613" s="191">
        <v>579</v>
      </c>
      <c r="C613" s="191">
        <v>201</v>
      </c>
      <c r="D613" s="191" t="s">
        <v>66</v>
      </c>
      <c r="E613" s="191">
        <v>0</v>
      </c>
      <c r="F613" s="191" t="s">
        <v>1662</v>
      </c>
      <c r="H613" s="192"/>
      <c r="I613" s="191" t="s">
        <v>1205</v>
      </c>
      <c r="J613" s="195">
        <v>1</v>
      </c>
      <c r="K613" s="195"/>
      <c r="L613" s="195">
        <v>1500</v>
      </c>
      <c r="M613" s="195">
        <v>0</v>
      </c>
      <c r="N613" s="195">
        <v>0</v>
      </c>
      <c r="T613" s="126">
        <v>0</v>
      </c>
      <c r="U613" s="191">
        <v>0</v>
      </c>
      <c r="Z613" s="191">
        <v>0</v>
      </c>
      <c r="AA613" s="191">
        <v>8026</v>
      </c>
      <c r="AB613" s="191">
        <v>0</v>
      </c>
      <c r="AE613" s="191">
        <v>1252</v>
      </c>
      <c r="AF613" s="191">
        <v>0</v>
      </c>
      <c r="AI613" s="191">
        <v>1202</v>
      </c>
      <c r="AJ613" s="191">
        <v>0</v>
      </c>
      <c r="AM613" s="191">
        <v>1205</v>
      </c>
      <c r="AN613" s="191">
        <v>0</v>
      </c>
      <c r="AQ613" s="191">
        <v>1209</v>
      </c>
      <c r="AR613" s="191">
        <v>0</v>
      </c>
      <c r="AU613" s="191">
        <v>1210</v>
      </c>
      <c r="AV613" s="191">
        <v>0</v>
      </c>
      <c r="AY613" s="191">
        <v>1237</v>
      </c>
      <c r="AZ613" s="191">
        <v>0</v>
      </c>
      <c r="BH613" s="191">
        <v>1</v>
      </c>
      <c r="BL613" s="126"/>
    </row>
    <row r="614" spans="1:64" ht="14.5">
      <c r="A614" s="191">
        <v>2260000</v>
      </c>
      <c r="B614" s="191">
        <v>580</v>
      </c>
      <c r="C614" s="191">
        <v>226</v>
      </c>
      <c r="D614" s="191" t="s">
        <v>469</v>
      </c>
      <c r="E614" s="191">
        <v>0</v>
      </c>
      <c r="F614" s="191" t="s">
        <v>1663</v>
      </c>
      <c r="H614" s="192"/>
      <c r="I614" s="191" t="s">
        <v>1205</v>
      </c>
      <c r="J614" s="195">
        <v>1</v>
      </c>
      <c r="K614" s="195"/>
      <c r="L614" s="195">
        <v>600</v>
      </c>
      <c r="M614" s="195">
        <v>0</v>
      </c>
      <c r="N614" s="195">
        <v>0</v>
      </c>
      <c r="Q614" s="191">
        <v>201</v>
      </c>
      <c r="R614" s="191">
        <v>0</v>
      </c>
      <c r="S614" s="191">
        <v>1</v>
      </c>
      <c r="T614" s="191">
        <v>0</v>
      </c>
      <c r="U614" s="191">
        <v>0</v>
      </c>
      <c r="X614" s="126"/>
      <c r="Y614" s="126"/>
      <c r="Z614" s="191">
        <v>0</v>
      </c>
      <c r="AA614" s="191">
        <v>2553</v>
      </c>
      <c r="AB614" s="191">
        <v>0</v>
      </c>
      <c r="AE614" s="191">
        <v>2570</v>
      </c>
      <c r="AF614" s="191">
        <v>0</v>
      </c>
      <c r="BH614" s="191">
        <v>20</v>
      </c>
    </row>
    <row r="615" spans="1:64" ht="14.5">
      <c r="A615" s="191">
        <v>2020000</v>
      </c>
      <c r="B615" s="191">
        <v>581</v>
      </c>
      <c r="C615" s="191">
        <v>202</v>
      </c>
      <c r="D615" s="191" t="s">
        <v>154</v>
      </c>
      <c r="E615" s="191">
        <v>0</v>
      </c>
      <c r="F615" s="191" t="s">
        <v>1664</v>
      </c>
      <c r="H615" s="192"/>
      <c r="I615" s="191" t="s">
        <v>1205</v>
      </c>
      <c r="J615" s="195">
        <v>1</v>
      </c>
      <c r="K615" s="195"/>
      <c r="L615" s="195">
        <v>100</v>
      </c>
      <c r="M615" s="195">
        <v>0</v>
      </c>
      <c r="N615" s="195">
        <v>0</v>
      </c>
      <c r="Q615" s="191">
        <v>201</v>
      </c>
      <c r="R615" s="191">
        <v>0</v>
      </c>
      <c r="S615" s="191">
        <v>1</v>
      </c>
      <c r="T615" s="126">
        <v>0</v>
      </c>
      <c r="U615" s="191">
        <v>0</v>
      </c>
      <c r="V615" s="191"/>
      <c r="W615" s="191"/>
      <c r="Z615" s="191">
        <v>0</v>
      </c>
      <c r="BH615" s="191">
        <v>2</v>
      </c>
    </row>
    <row r="616" spans="1:64" ht="14.5">
      <c r="A616" s="191">
        <v>2150000</v>
      </c>
      <c r="B616" s="191">
        <v>582</v>
      </c>
      <c r="C616" s="191">
        <v>215</v>
      </c>
      <c r="D616" s="191" t="s">
        <v>418</v>
      </c>
      <c r="E616" s="191">
        <v>0</v>
      </c>
      <c r="F616" s="191" t="s">
        <v>1665</v>
      </c>
      <c r="H616" s="192"/>
      <c r="I616" s="191" t="s">
        <v>1205</v>
      </c>
      <c r="J616" s="195">
        <v>1</v>
      </c>
      <c r="K616" s="195"/>
      <c r="L616" s="195">
        <v>600</v>
      </c>
      <c r="M616" s="195">
        <v>0</v>
      </c>
      <c r="N616" s="195">
        <v>0</v>
      </c>
      <c r="Q616" s="191">
        <v>201</v>
      </c>
      <c r="R616" s="191">
        <v>0</v>
      </c>
      <c r="S616" s="191">
        <v>1</v>
      </c>
      <c r="T616" s="126">
        <v>0</v>
      </c>
      <c r="U616" s="191">
        <v>0</v>
      </c>
      <c r="Z616" s="191">
        <v>0</v>
      </c>
      <c r="AA616" s="191">
        <v>4004</v>
      </c>
      <c r="AB616" s="191">
        <v>0</v>
      </c>
      <c r="AE616" s="191">
        <v>1261</v>
      </c>
      <c r="AF616" s="191">
        <v>0</v>
      </c>
      <c r="BH616" s="191">
        <v>17</v>
      </c>
    </row>
    <row r="617" spans="1:64" ht="16.5">
      <c r="A617" s="47">
        <v>4040001</v>
      </c>
      <c r="B617" s="47">
        <v>395</v>
      </c>
      <c r="C617" s="47">
        <v>404</v>
      </c>
      <c r="D617" s="47" t="s">
        <v>1666</v>
      </c>
      <c r="E617" s="47">
        <v>1</v>
      </c>
      <c r="F617" s="47" t="s">
        <v>1666</v>
      </c>
      <c r="G617" s="193"/>
      <c r="H617" s="194"/>
      <c r="I617" s="187" t="s">
        <v>1205</v>
      </c>
      <c r="J617" s="187">
        <v>1</v>
      </c>
      <c r="K617" s="187"/>
      <c r="L617" s="187">
        <v>100</v>
      </c>
      <c r="M617" s="187">
        <v>0</v>
      </c>
      <c r="N617" s="187">
        <v>0</v>
      </c>
      <c r="O617" s="193"/>
      <c r="P617" s="193"/>
      <c r="Q617" s="187">
        <v>201</v>
      </c>
      <c r="R617" s="187">
        <v>1</v>
      </c>
      <c r="S617" s="187">
        <v>1</v>
      </c>
      <c r="T617" s="187">
        <v>0</v>
      </c>
      <c r="U617" s="187">
        <v>0</v>
      </c>
      <c r="V617" s="187"/>
      <c r="W617" s="187"/>
      <c r="X617" s="193"/>
      <c r="Z617" s="193">
        <v>0</v>
      </c>
      <c r="AA617" s="187"/>
      <c r="AB617" s="187"/>
      <c r="AC617" s="187"/>
      <c r="AD617" s="187"/>
      <c r="AE617" s="187"/>
      <c r="AF617" s="193"/>
      <c r="AG617" s="193"/>
      <c r="AH617" s="193"/>
      <c r="AI617" s="193"/>
      <c r="AJ617" s="193"/>
      <c r="AK617" s="193"/>
      <c r="AL617" s="193"/>
      <c r="AM617" s="193"/>
      <c r="AN617" s="193"/>
      <c r="AO617" s="193"/>
      <c r="AP617" s="193"/>
      <c r="AQ617" s="193"/>
      <c r="AR617" s="193"/>
      <c r="AS617" s="193"/>
      <c r="AT617" s="193"/>
      <c r="AU617" s="193"/>
      <c r="AV617" s="193"/>
      <c r="AW617" s="193"/>
      <c r="AX617" s="193"/>
      <c r="AY617" s="193"/>
      <c r="AZ617" s="193"/>
      <c r="BA617" s="193"/>
      <c r="BB617" s="193"/>
      <c r="BC617" s="193"/>
      <c r="BD617" s="193"/>
      <c r="BE617" s="193"/>
      <c r="BF617" s="193"/>
      <c r="BH617" s="187">
        <v>23</v>
      </c>
      <c r="BJ617" s="196"/>
    </row>
  </sheetData>
  <phoneticPr fontId="2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649"/>
  <sheetViews>
    <sheetView workbookViewId="0">
      <pane xSplit="6" ySplit="3" topLeftCell="T4" activePane="bottomRight" state="frozen"/>
      <selection pane="topRight"/>
      <selection pane="bottomLeft"/>
      <selection pane="bottomRight" activeCell="Y37" sqref="Y37"/>
    </sheetView>
  </sheetViews>
  <sheetFormatPr defaultColWidth="9" defaultRowHeight="14.5" outlineLevelCol="1"/>
  <cols>
    <col min="1" max="1" width="11.33203125" style="140" customWidth="1"/>
    <col min="2" max="2" width="22.83203125" style="140" customWidth="1"/>
    <col min="3" max="3" width="37.83203125" style="140" customWidth="1"/>
    <col min="4" max="5" width="9" style="140" customWidth="1"/>
    <col min="6" max="6" width="10" style="140" customWidth="1"/>
    <col min="7" max="7" width="18.83203125" style="140" customWidth="1"/>
    <col min="8" max="8" width="20.75" style="141" customWidth="1"/>
    <col min="9" max="9" width="9" style="140" customWidth="1"/>
    <col min="10" max="10" width="12.25" style="142" customWidth="1"/>
    <col min="11" max="14" width="10" style="142" customWidth="1"/>
    <col min="15" max="15" width="10.33203125" style="140" customWidth="1"/>
    <col min="16" max="16" width="12.33203125" style="140" customWidth="1"/>
    <col min="17" max="17" width="20.75" style="141" customWidth="1"/>
    <col min="18" max="18" width="22.83203125" style="141" customWidth="1"/>
    <col min="19" max="19" width="12.25" style="140" customWidth="1"/>
    <col min="20" max="20" width="14.33203125" style="140" customWidth="1"/>
    <col min="21" max="21" width="11.33203125" style="140" customWidth="1"/>
    <col min="22" max="22" width="22.6640625" style="140" customWidth="1"/>
    <col min="23" max="23" width="38.6640625" style="140" customWidth="1"/>
    <col min="24" max="24" width="41.25" style="140" customWidth="1"/>
    <col min="25" max="26" width="23.83203125" style="140" customWidth="1"/>
    <col min="27" max="27" width="13.25" style="140" customWidth="1"/>
    <col min="28" max="28" width="12.33203125" style="140" customWidth="1"/>
    <col min="29" max="29" width="18" style="140" customWidth="1"/>
    <col min="30" max="30" width="13" style="140" customWidth="1" outlineLevel="1"/>
    <col min="31" max="31" width="13.08203125" style="140" customWidth="1" outlineLevel="1"/>
    <col min="32" max="32" width="12.33203125" style="140" customWidth="1"/>
    <col min="33" max="33" width="13" style="140" customWidth="1"/>
    <col min="34" max="34" width="13.08203125" style="140" customWidth="1" outlineLevel="1"/>
    <col min="35" max="35" width="13.33203125" style="140" customWidth="1" outlineLevel="1"/>
    <col min="36" max="36" width="12.33203125" style="140" customWidth="1"/>
    <col min="37" max="37" width="13" style="140" customWidth="1"/>
    <col min="38" max="38" width="13.08203125" style="140" customWidth="1" outlineLevel="1"/>
    <col min="39" max="39" width="13.33203125" style="140" customWidth="1" outlineLevel="1"/>
    <col min="40" max="40" width="12.33203125" style="140" customWidth="1"/>
    <col min="41" max="41" width="13" style="140" customWidth="1"/>
    <col min="42" max="42" width="13.08203125" style="140" customWidth="1" outlineLevel="1"/>
    <col min="43" max="43" width="13.33203125" style="140" customWidth="1" outlineLevel="1"/>
    <col min="44" max="44" width="12.33203125" style="140" customWidth="1"/>
    <col min="45" max="45" width="13" style="140" customWidth="1"/>
    <col min="46" max="46" width="13.08203125" style="140" customWidth="1" outlineLevel="1"/>
    <col min="47" max="47" width="13.33203125" style="140" customWidth="1" outlineLevel="1"/>
    <col min="48" max="48" width="12.33203125" style="140" customWidth="1"/>
    <col min="49" max="49" width="13" style="140" customWidth="1"/>
    <col min="50" max="50" width="13.08203125" style="140" hidden="1" customWidth="1"/>
    <col min="51" max="51" width="13.33203125" style="140" hidden="1" customWidth="1"/>
    <col min="52" max="52" width="12.33203125" style="140" customWidth="1"/>
    <col min="53" max="53" width="13" style="140" customWidth="1"/>
    <col min="54" max="54" width="13.08203125" style="140" hidden="1" customWidth="1"/>
    <col min="55" max="55" width="13.33203125" style="140" hidden="1" customWidth="1"/>
    <col min="56" max="56" width="12.33203125" style="140" customWidth="1"/>
    <col min="57" max="57" width="13" style="140" customWidth="1"/>
    <col min="58" max="58" width="13.08203125" style="140" hidden="1" customWidth="1"/>
    <col min="59" max="59" width="13.33203125" style="140" hidden="1" customWidth="1"/>
    <col min="60" max="60" width="9" style="140" customWidth="1"/>
    <col min="61" max="61" width="9.33203125" style="140" customWidth="1"/>
    <col min="62" max="62" width="21.83203125" style="140" customWidth="1"/>
    <col min="63" max="63" width="9" style="140" customWidth="1"/>
    <col min="64" max="65" width="9" style="140"/>
    <col min="66" max="66" width="23.83203125" style="140" customWidth="1"/>
    <col min="67" max="67" width="31.08203125" style="140" customWidth="1"/>
    <col min="68" max="68" width="27.08203125" style="140" customWidth="1"/>
    <col min="69" max="69" width="29.33203125" style="140" customWidth="1"/>
    <col min="70" max="70" width="26.83203125" style="140" customWidth="1"/>
    <col min="71" max="16384" width="9" style="140"/>
  </cols>
  <sheetData>
    <row r="1" spans="1:70" s="130" customFormat="1" ht="16.5" customHeight="1">
      <c r="A1" s="130" t="s">
        <v>2319</v>
      </c>
      <c r="H1" s="143"/>
      <c r="J1" s="147"/>
      <c r="K1" s="147"/>
      <c r="L1" s="147"/>
      <c r="M1" s="147"/>
      <c r="N1" s="147"/>
      <c r="Q1" s="143"/>
      <c r="R1" s="143"/>
    </row>
    <row r="2" spans="1:70" s="131" customFormat="1" ht="16.5" customHeight="1">
      <c r="A2" s="131" t="s">
        <v>690</v>
      </c>
      <c r="B2" s="131" t="s">
        <v>1089</v>
      </c>
      <c r="C2" s="131" t="s">
        <v>1090</v>
      </c>
      <c r="D2" s="131" t="s">
        <v>0</v>
      </c>
      <c r="E2" s="131" t="s">
        <v>1</v>
      </c>
      <c r="G2" s="131" t="s">
        <v>1091</v>
      </c>
      <c r="H2" s="144" t="s">
        <v>1092</v>
      </c>
      <c r="I2" s="131" t="s">
        <v>1093</v>
      </c>
      <c r="J2" s="148" t="s">
        <v>1094</v>
      </c>
      <c r="K2" s="148" t="s">
        <v>1095</v>
      </c>
      <c r="L2" s="148" t="s">
        <v>1096</v>
      </c>
      <c r="M2" s="148" t="s">
        <v>1097</v>
      </c>
      <c r="N2" s="148" t="s">
        <v>1098</v>
      </c>
      <c r="O2" s="131" t="s">
        <v>1099</v>
      </c>
      <c r="P2" s="131" t="s">
        <v>1100</v>
      </c>
      <c r="Q2" s="144" t="s">
        <v>1101</v>
      </c>
      <c r="R2" s="144" t="s">
        <v>1102</v>
      </c>
      <c r="S2" s="131" t="s">
        <v>1103</v>
      </c>
      <c r="T2" s="131" t="s">
        <v>1104</v>
      </c>
      <c r="U2" s="131" t="s">
        <v>1105</v>
      </c>
      <c r="V2" s="131" t="s">
        <v>42</v>
      </c>
      <c r="W2" s="131" t="s">
        <v>43</v>
      </c>
      <c r="X2" s="131" t="s">
        <v>1106</v>
      </c>
      <c r="Y2" s="131" t="s">
        <v>1107</v>
      </c>
      <c r="Z2" s="131" t="s">
        <v>2322</v>
      </c>
      <c r="AA2" s="152" t="s">
        <v>1108</v>
      </c>
      <c r="AB2" s="131" t="s">
        <v>1109</v>
      </c>
      <c r="AC2" s="131" t="s">
        <v>1110</v>
      </c>
      <c r="AD2" s="131" t="s">
        <v>1111</v>
      </c>
      <c r="AE2" s="131" t="s">
        <v>1112</v>
      </c>
      <c r="AF2" s="131" t="s">
        <v>1113</v>
      </c>
      <c r="AG2" s="131" t="s">
        <v>1114</v>
      </c>
      <c r="AH2" s="131" t="s">
        <v>1115</v>
      </c>
      <c r="AI2" s="131" t="s">
        <v>1116</v>
      </c>
      <c r="AJ2" s="131" t="s">
        <v>1117</v>
      </c>
      <c r="AK2" s="131" t="s">
        <v>1118</v>
      </c>
      <c r="AL2" s="131" t="s">
        <v>1119</v>
      </c>
      <c r="AM2" s="131" t="s">
        <v>1120</v>
      </c>
      <c r="AN2" s="131" t="s">
        <v>1121</v>
      </c>
      <c r="AO2" s="131" t="s">
        <v>1122</v>
      </c>
      <c r="AP2" s="131" t="s">
        <v>1123</v>
      </c>
      <c r="AQ2" s="131" t="s">
        <v>1124</v>
      </c>
      <c r="AR2" s="131" t="s">
        <v>1125</v>
      </c>
      <c r="AS2" s="131" t="s">
        <v>1126</v>
      </c>
      <c r="AT2" s="131" t="s">
        <v>1127</v>
      </c>
      <c r="AU2" s="131" t="s">
        <v>1128</v>
      </c>
      <c r="AV2" s="131" t="s">
        <v>1129</v>
      </c>
      <c r="AW2" s="131" t="s">
        <v>1130</v>
      </c>
      <c r="AX2" s="131" t="s">
        <v>1131</v>
      </c>
      <c r="AY2" s="131" t="s">
        <v>1132</v>
      </c>
      <c r="AZ2" s="131" t="s">
        <v>1133</v>
      </c>
      <c r="BA2" s="131" t="s">
        <v>1134</v>
      </c>
      <c r="BB2" s="131" t="s">
        <v>1135</v>
      </c>
      <c r="BC2" s="131" t="s">
        <v>1136</v>
      </c>
      <c r="BD2" s="131" t="s">
        <v>1137</v>
      </c>
      <c r="BE2" s="131" t="s">
        <v>1138</v>
      </c>
      <c r="BF2" s="131" t="s">
        <v>1139</v>
      </c>
      <c r="BG2" s="131" t="s">
        <v>1140</v>
      </c>
      <c r="BH2" s="131" t="s">
        <v>1141</v>
      </c>
      <c r="BI2" s="131" t="s">
        <v>1142</v>
      </c>
      <c r="BJ2" s="131" t="s">
        <v>1143</v>
      </c>
      <c r="BK2" s="131" t="s">
        <v>1144</v>
      </c>
      <c r="BL2" s="131" t="s">
        <v>1145</v>
      </c>
      <c r="BN2" s="131" t="s">
        <v>1146</v>
      </c>
      <c r="BO2" s="131" t="s">
        <v>1147</v>
      </c>
      <c r="BP2" s="131" t="s">
        <v>1148</v>
      </c>
      <c r="BQ2" s="131" t="s">
        <v>1149</v>
      </c>
      <c r="BR2" s="131" t="s">
        <v>1150</v>
      </c>
    </row>
    <row r="3" spans="1:70" s="132" customFormat="1">
      <c r="A3" s="132" t="s">
        <v>702</v>
      </c>
      <c r="C3" s="132" t="s">
        <v>1151</v>
      </c>
      <c r="E3" s="132" t="s">
        <v>1152</v>
      </c>
      <c r="G3" s="132" t="s">
        <v>1153</v>
      </c>
      <c r="H3" s="145" t="s">
        <v>1154</v>
      </c>
      <c r="I3" s="132" t="s">
        <v>1155</v>
      </c>
      <c r="J3" s="149" t="s">
        <v>1047</v>
      </c>
      <c r="K3" s="149" t="s">
        <v>1048</v>
      </c>
      <c r="L3" s="149" t="s">
        <v>1049</v>
      </c>
      <c r="M3" s="149" t="s">
        <v>1050</v>
      </c>
      <c r="N3" s="149" t="s">
        <v>1051</v>
      </c>
      <c r="O3" s="132" t="s">
        <v>1052</v>
      </c>
      <c r="P3" s="132" t="s">
        <v>1053</v>
      </c>
      <c r="Q3" s="145" t="s">
        <v>1156</v>
      </c>
      <c r="R3" s="145" t="s">
        <v>1157</v>
      </c>
      <c r="S3" s="132" t="s">
        <v>1158</v>
      </c>
      <c r="T3" s="132" t="s">
        <v>1159</v>
      </c>
      <c r="U3" s="132" t="s">
        <v>1160</v>
      </c>
      <c r="V3" s="132" t="s">
        <v>1161</v>
      </c>
      <c r="W3" s="132" t="s">
        <v>2321</v>
      </c>
      <c r="X3" s="132" t="s">
        <v>2320</v>
      </c>
      <c r="Z3" s="132" t="s">
        <v>2323</v>
      </c>
      <c r="AA3" s="153" t="s">
        <v>1164</v>
      </c>
      <c r="AB3" s="132" t="s">
        <v>1165</v>
      </c>
      <c r="AC3" s="132" t="s">
        <v>1166</v>
      </c>
      <c r="AD3" s="132" t="s">
        <v>1167</v>
      </c>
      <c r="AE3" s="132" t="s">
        <v>1168</v>
      </c>
      <c r="AF3" s="132" t="s">
        <v>1169</v>
      </c>
      <c r="AG3" s="132" t="s">
        <v>1170</v>
      </c>
      <c r="AH3" s="132" t="s">
        <v>1171</v>
      </c>
      <c r="AI3" s="132" t="s">
        <v>1172</v>
      </c>
      <c r="AJ3" s="132" t="s">
        <v>1173</v>
      </c>
      <c r="AK3" s="132" t="s">
        <v>1174</v>
      </c>
      <c r="AL3" s="132" t="s">
        <v>1175</v>
      </c>
      <c r="AM3" s="132" t="s">
        <v>1176</v>
      </c>
      <c r="AN3" s="132" t="s">
        <v>1177</v>
      </c>
      <c r="AO3" s="132" t="s">
        <v>1178</v>
      </c>
      <c r="AP3" s="132" t="s">
        <v>1179</v>
      </c>
      <c r="AQ3" s="132" t="s">
        <v>1180</v>
      </c>
      <c r="AR3" s="132" t="s">
        <v>1181</v>
      </c>
      <c r="AS3" s="132" t="s">
        <v>1182</v>
      </c>
      <c r="AT3" s="132" t="s">
        <v>1183</v>
      </c>
      <c r="AU3" s="132" t="s">
        <v>1184</v>
      </c>
      <c r="AV3" s="132" t="s">
        <v>1185</v>
      </c>
      <c r="AW3" s="132" t="s">
        <v>1186</v>
      </c>
      <c r="AX3" s="132" t="s">
        <v>1187</v>
      </c>
      <c r="AY3" s="132" t="s">
        <v>1188</v>
      </c>
      <c r="AZ3" s="132" t="s">
        <v>1189</v>
      </c>
      <c r="BA3" s="132" t="s">
        <v>1190</v>
      </c>
      <c r="BB3" s="132" t="s">
        <v>1191</v>
      </c>
      <c r="BC3" s="132" t="s">
        <v>1192</v>
      </c>
      <c r="BD3" s="132" t="s">
        <v>1193</v>
      </c>
      <c r="BE3" s="132" t="s">
        <v>1194</v>
      </c>
      <c r="BF3" s="132" t="s">
        <v>1195</v>
      </c>
      <c r="BG3" s="132" t="s">
        <v>1196</v>
      </c>
      <c r="BJ3" s="132" t="s">
        <v>1197</v>
      </c>
      <c r="BK3" s="132" t="s">
        <v>1198</v>
      </c>
      <c r="BL3" s="132" t="s">
        <v>1199</v>
      </c>
      <c r="BN3" s="132" t="s">
        <v>1200</v>
      </c>
      <c r="BO3" s="132" t="s">
        <v>1201</v>
      </c>
      <c r="BP3" s="132" t="s">
        <v>1202</v>
      </c>
      <c r="BQ3" s="132" t="s">
        <v>1203</v>
      </c>
      <c r="BR3" s="132" t="s">
        <v>1204</v>
      </c>
    </row>
    <row r="4" spans="1:70" s="133" customFormat="1" ht="16.5">
      <c r="A4" s="133">
        <v>2010001</v>
      </c>
      <c r="B4" s="133">
        <v>1</v>
      </c>
      <c r="C4" s="133">
        <v>201</v>
      </c>
      <c r="D4" s="133" t="s">
        <v>66</v>
      </c>
      <c r="E4" s="133">
        <v>1</v>
      </c>
      <c r="F4" s="133" t="str">
        <f t="shared" ref="F4:F97" si="0">D4&amp;E4</f>
        <v>城镇中心1</v>
      </c>
      <c r="H4" s="146"/>
      <c r="I4" s="133" t="s">
        <v>1205</v>
      </c>
      <c r="J4" s="150">
        <f>INDEX('#建筑消耗和buff配置索引'!AH:AH,MATCH($F4,'#建筑消耗和buff配置索引'!$M:$M,0))</f>
        <v>25</v>
      </c>
      <c r="K4" s="150">
        <f>INDEX('#建筑消耗和buff配置索引'!AA:AA,MATCH($F4,'#建筑消耗和buff配置索引'!$M:$M,0))</f>
        <v>2500</v>
      </c>
      <c r="L4" s="150">
        <f>INDEX('#建筑消耗和buff配置索引'!AB:AB,MATCH($F4,'#建筑消耗和buff配置索引'!$M:$M,0))</f>
        <v>2500</v>
      </c>
      <c r="M4" s="150">
        <f>INDEX('#建筑消耗和buff配置索引'!AC:AC,MATCH($F4,'#建筑消耗和buff配置索引'!$M:$M,0))</f>
        <v>0</v>
      </c>
      <c r="N4" s="150">
        <f>INDEX('#建筑消耗和buff配置索引'!AD:AD,MATCH($F4,'#建筑消耗和buff配置索引'!$M:$M,0))</f>
        <v>0</v>
      </c>
      <c r="O4" s="150" t="str">
        <f>IF(INDEX('#建筑消耗和buff配置索引'!T:T,MATCH($F4,'#建筑消耗和buff配置索引'!$M:$M,0))=0,"",INDEX('#建筑消耗和buff配置索引'!T:T,MATCH($F4,'#建筑消耗和buff配置索引'!$M:$M,0)))</f>
        <v/>
      </c>
      <c r="P4" s="150" t="str">
        <f>IF(INDEX('#建筑消耗和buff配置索引'!U:U,MATCH($F4,'#建筑消耗和buff配置索引'!$M:$M,0))=0,"",INDEX('#建筑消耗和buff配置索引'!U:U,MATCH($F4,'#建筑消耗和buff配置索引'!$M:$M,0)))</f>
        <v/>
      </c>
      <c r="Q4" s="133" t="str">
        <f>IF(INDEX('#建筑消耗和buff配置索引'!K:K,MATCH($F4,'#建筑消耗和buff配置索引'!$M:$M,0))=0,"",INDEX('#建筑消耗和buff配置索引'!K:K,MATCH($F4,'#建筑消耗和buff配置索引'!$M:$M,0)))</f>
        <v/>
      </c>
      <c r="R4" s="133" t="str">
        <f>IF(INDEX('#建筑消耗和buff配置索引'!L:L,MATCH($F4,'#建筑消耗和buff配置索引'!$M:$M,0))=0,"",INDEX('#建筑消耗和buff配置索引'!L:L,MATCH($F4,'#建筑消耗和buff配置索引'!$M:$M,0)))</f>
        <v/>
      </c>
      <c r="S4" s="133">
        <f>IF(INDEX('#建筑消耗和buff配置索引'!C:C,MATCH(F4,'#建筑消耗和buff配置索引'!M:M,0))=0,1,INDEX('#建筑消耗和buff配置索引'!C:C,MATCH(F4,'#建筑消耗和buff配置索引'!M:M,0)))</f>
        <v>1</v>
      </c>
      <c r="T4" s="151">
        <v>0</v>
      </c>
      <c r="U4" s="133">
        <v>0</v>
      </c>
      <c r="V4" s="133" t="str">
        <f>IF(E4=1,IF(INDEX('#建筑消耗和buff配置索引'!BY:BY,MATCH(D4,'#建筑消耗和buff配置索引'!A:A,0))=0,"",INDEX('#建筑消耗和buff配置索引'!BY:BY,MATCH(D4,'#建筑消耗和buff配置索引'!A:A,0))),"")</f>
        <v>1:0</v>
      </c>
      <c r="W4" s="133" t="str">
        <f>IF(E4=1,IF(INDEX('#建筑消耗和buff配置索引'!BZ:BZ,MATCH(D4,'#建筑消耗和buff配置索引'!A:A,0))=0,"",INDEX('#建筑消耗和buff配置索引'!BZ:BZ,MATCH(D4,'#建筑消耗和buff配置索引'!A:A,0))),"")</f>
        <v>TID_Buff_BuilDetail_6001:TID_Buff_BuilDetail_1:TID_Buff_BuilDetail_8025</v>
      </c>
      <c r="AA4" s="150">
        <f>INDEX('#建筑消耗和buff配置索引'!AO:AO,MATCH($F4,'#建筑消耗和buff配置索引'!$M:$M,0))</f>
        <v>10</v>
      </c>
      <c r="AB4" s="133">
        <f>IF(INDEX('#建筑消耗和buff配置索引'!AR:AR,MATCH($F4,'#建筑消耗和buff配置索引'!$M:$M,0))=0,"",INDEX('#建筑消耗和buff配置索引'!AR:AR,MATCH($F4,'#建筑消耗和buff配置索引'!$M:$M,0)))</f>
        <v>6001</v>
      </c>
      <c r="AC4" s="133">
        <f>IF(AB4="","",INDEX('#建筑消耗和buff配置索引'!AS:AS,MATCH($F4,'#建筑消耗和buff配置索引'!$M:$M,0)))</f>
        <v>100</v>
      </c>
      <c r="AF4" s="133">
        <f>IF(INDEX('#建筑消耗和buff配置索引'!AW:AW,MATCH($F4,'#建筑消耗和buff配置索引'!$M:$M,0))=0,"",INDEX('#建筑消耗和buff配置索引'!AW:AW,MATCH($F4,'#建筑消耗和buff配置索引'!$M:$M,0)))</f>
        <v>8025</v>
      </c>
      <c r="AG4" s="133">
        <f>IF(AF4="","",INDEX('#建筑消耗和buff配置索引'!AX:AX,MATCH($F4,'#建筑消耗和buff配置索引'!$M:$M,0)))</f>
        <v>0</v>
      </c>
      <c r="AJ4" s="133">
        <f>IF(INDEX('#建筑消耗和buff配置索引'!BB:BB,MATCH($F4,'#建筑消耗和buff配置索引'!$M:$M,0))=0,"",INDEX('#建筑消耗和buff配置索引'!BB:BB,MATCH($F4,'#建筑消耗和buff配置索引'!$M:$M,0)))</f>
        <v>1202</v>
      </c>
      <c r="AK4" s="133">
        <f>IF(AJ4="","",INDEX('#建筑消耗和buff配置索引'!BC:BC,MATCH($F4,'#建筑消耗和buff配置索引'!$M:$M,0)))</f>
        <v>2</v>
      </c>
      <c r="AN4" s="133">
        <f>IF(INDEX('#建筑消耗和buff配置索引'!BG:BG,MATCH($F4,'#建筑消耗和buff配置索引'!$M:$M,0))=0,"",INDEX('#建筑消耗和buff配置索引'!BG:BG,MATCH($F4,'#建筑消耗和buff配置索引'!$M:$M,0)))</f>
        <v>1205</v>
      </c>
      <c r="AO4" s="133">
        <f>IF(AN4="","",INDEX('#建筑消耗和buff配置索引'!BH:BH,MATCH($F4,'#建筑消耗和buff配置索引'!$M:$M,0)))</f>
        <v>1</v>
      </c>
      <c r="AR4" s="133">
        <f>IF(INDEX('#建筑消耗和buff配置索引'!BK:BK,MATCH($F4,'#建筑消耗和buff配置索引'!$M:$M,0))=0,"",INDEX('#建筑消耗和buff配置索引'!BK:BK,MATCH($F4,'#建筑消耗和buff配置索引'!$M:$M,0)))</f>
        <v>1209</v>
      </c>
      <c r="AS4" s="133">
        <f>IF(AR4="","",INDEX('#建筑消耗和buff配置索引'!BL:BL,MATCH($F4,'#建筑消耗和buff配置索引'!$M:$M,0)))</f>
        <v>1</v>
      </c>
      <c r="AV4" s="133">
        <f>IF(INDEX('#建筑消耗和buff配置索引'!BO:BO,MATCH($F4,'#建筑消耗和buff配置索引'!$M:$M,0))=0,"",INDEX('#建筑消耗和buff配置索引'!BO:BO,MATCH($F4,'#建筑消耗和buff配置索引'!$M:$M,0)))</f>
        <v>1210</v>
      </c>
      <c r="AW4" s="133">
        <f>IF(AV4="","",INDEX('#建筑消耗和buff配置索引'!BP:BP,MATCH($F4,'#建筑消耗和buff配置索引'!$M:$M,0)))</f>
        <v>0</v>
      </c>
      <c r="AZ4" s="133">
        <f>IF(INDEX('#建筑消耗和buff配置索引'!BS:BS,MATCH($F4,'#建筑消耗和buff配置索引'!$M:$M,0))=0,"",INDEX('#建筑消耗和buff配置索引'!BS:BS,MATCH($F4,'#建筑消耗和buff配置索引'!$M:$M,0)))</f>
        <v>1237</v>
      </c>
      <c r="BA4" s="133">
        <f>IF(AZ4="","",INDEX('#建筑消耗和buff配置索引'!BT:BT,MATCH($F4,'#建筑消耗和buff配置索引'!$M:$M,0)))</f>
        <v>0</v>
      </c>
      <c r="BD4" s="133" t="str">
        <f>IF(INDEX('#建筑消耗和buff配置索引'!BW:BW,MATCH($F4,'#建筑消耗和buff配置索引'!$M:$M,0))=0,"",INDEX('#建筑消耗和buff配置索引'!BW:BW,MATCH($F4,'#建筑消耗和buff配置索引'!$M:$M,0)))</f>
        <v/>
      </c>
      <c r="BE4" s="133" t="str">
        <f>IF(BD4="","",INDEX('#建筑消耗和buff配置索引'!BX:BX,MATCH($F4,'#建筑消耗和buff配置索引'!$M:$M,0)))</f>
        <v/>
      </c>
      <c r="BI4" s="133">
        <v>1</v>
      </c>
      <c r="BL4" s="133" t="s">
        <v>1208</v>
      </c>
      <c r="BM4" s="140">
        <v>0</v>
      </c>
    </row>
    <row r="5" spans="1:70" s="133" customFormat="1" ht="16.5">
      <c r="A5" s="133">
        <v>2010002</v>
      </c>
      <c r="B5" s="133">
        <v>2</v>
      </c>
      <c r="C5" s="133">
        <v>201</v>
      </c>
      <c r="D5" s="133" t="s">
        <v>66</v>
      </c>
      <c r="E5" s="133">
        <v>2</v>
      </c>
      <c r="F5" s="133" t="str">
        <f t="shared" si="0"/>
        <v>城镇中心2</v>
      </c>
      <c r="G5" s="133" t="s">
        <v>1209</v>
      </c>
      <c r="H5" s="133" t="s">
        <v>1210</v>
      </c>
      <c r="I5" s="133" t="s">
        <v>1205</v>
      </c>
      <c r="J5" s="150">
        <f>INDEX('#建筑消耗和buff配置索引'!AH:AH,MATCH($F5,'#建筑消耗和buff配置索引'!$M:$M,0))</f>
        <v>180</v>
      </c>
      <c r="K5" s="150">
        <f>INDEX('#建筑消耗和buff配置索引'!AA:AA,MATCH($F5,'#建筑消耗和buff配置索引'!$M:$M,0))</f>
        <v>5000</v>
      </c>
      <c r="L5" s="150">
        <f>INDEX('#建筑消耗和buff配置索引'!AB:AB,MATCH($F5,'#建筑消耗和buff配置索引'!$M:$M,0))</f>
        <v>5000</v>
      </c>
      <c r="M5" s="150">
        <f>INDEX('#建筑消耗和buff配置索引'!AC:AC,MATCH($F5,'#建筑消耗和buff配置索引'!$M:$M,0))</f>
        <v>0</v>
      </c>
      <c r="N5" s="150">
        <f>INDEX('#建筑消耗和buff配置索引'!AD:AD,MATCH($F5,'#建筑消耗和buff配置索引'!$M:$M,0))</f>
        <v>0</v>
      </c>
      <c r="O5" s="150" t="str">
        <f>IF(INDEX('#建筑消耗和buff配置索引'!T:T,MATCH($F5,'#建筑消耗和buff配置索引'!$M:$M,0))=0,"",INDEX('#建筑消耗和buff配置索引'!T:T,MATCH($F5,'#建筑消耗和buff配置索引'!$M:$M,0)))</f>
        <v/>
      </c>
      <c r="P5" s="133" t="str">
        <f>IF(INDEX('#建筑消耗和buff配置索引'!U:U,MATCH($F5,'#建筑消耗和buff配置索引'!$M:$M,0))=0,"",INDEX('#建筑消耗和buff配置索引'!U:U,MATCH($F5,'#建筑消耗和buff配置索引'!$M:$M,0)))</f>
        <v/>
      </c>
      <c r="Q5" s="133" t="str">
        <f>IF(INDEX('#建筑消耗和buff配置索引'!K:K,MATCH($F5,'#建筑消耗和buff配置索引'!$M:$M,0))=0,"",INDEX('#建筑消耗和buff配置索引'!K:K,MATCH($F5,'#建筑消耗和buff配置索引'!$M:$M,0)))</f>
        <v/>
      </c>
      <c r="R5" s="133" t="str">
        <f>IF(INDEX('#建筑消耗和buff配置索引'!L:L,MATCH($F5,'#建筑消耗和buff配置索引'!$M:$M,0))=0,"",INDEX('#建筑消耗和buff配置索引'!L:L,MATCH($F5,'#建筑消耗和buff配置索引'!$M:$M,0)))</f>
        <v/>
      </c>
      <c r="S5" s="133">
        <f>IF(INDEX('#建筑消耗和buff配置索引'!C:C,MATCH(F5,'#建筑消耗和buff配置索引'!M:M,0))=0,1,INDEX('#建筑消耗和buff配置索引'!C:C,MATCH(F5,'#建筑消耗和buff配置索引'!M:M,0)))</f>
        <v>1</v>
      </c>
      <c r="T5" s="151">
        <v>0</v>
      </c>
      <c r="U5" s="133">
        <v>0</v>
      </c>
      <c r="V5" s="133" t="str">
        <f>IF(E5=1,IF(INDEX('#建筑消耗和buff配置索引'!BY:BY,MATCH(D5,'#建筑消耗和buff配置索引'!A:A,0))=0,"",INDEX('#建筑消耗和buff配置索引'!BY:BY,MATCH(D5,'#建筑消耗和buff配置索引'!A:A,0))),"")</f>
        <v/>
      </c>
      <c r="W5" s="133" t="str">
        <f>IF(E5=1,IF(INDEX('#建筑消耗和buff配置索引'!BZ:BZ,MATCH(D5,'#建筑消耗和buff配置索引'!A:A,0))=0,"",INDEX('#建筑消耗和buff配置索引'!BZ:BZ,MATCH(D5,'#建筑消耗和buff配置索引'!A:A,0))),"")</f>
        <v/>
      </c>
      <c r="X5" s="133" t="str">
        <f>"TID_CityBuilding_detailUnlockText_"&amp;A5</f>
        <v>TID_CityBuilding_detailUnlockText_2010002</v>
      </c>
      <c r="Y5" s="133" t="s">
        <v>442</v>
      </c>
      <c r="AA5" s="133">
        <f>INDEX('#建筑消耗和buff配置索引'!AO:AO,MATCH($F5,'#建筑消耗和buff配置索引'!$M:$M,0))</f>
        <v>30</v>
      </c>
      <c r="AB5" s="133">
        <f>IF(INDEX('#建筑消耗和buff配置索引'!AR:AR,MATCH($F5,'#建筑消耗和buff配置索引'!$M:$M,0))=0,"",INDEX('#建筑消耗和buff配置索引'!AR:AR,MATCH($F5,'#建筑消耗和buff配置索引'!$M:$M,0)))</f>
        <v>6001</v>
      </c>
      <c r="AC5" s="133">
        <f>IF(AB5="","",INDEX('#建筑消耗和buff配置索引'!AS:AS,MATCH($F5,'#建筑消耗和buff配置索引'!$M:$M,0)))</f>
        <v>200</v>
      </c>
      <c r="AF5" s="133">
        <f>IF(INDEX('#建筑消耗和buff配置索引'!AW:AW,MATCH($F5,'#建筑消耗和buff配置索引'!$M:$M,0))=0,"",INDEX('#建筑消耗和buff配置索引'!AW:AW,MATCH($F5,'#建筑消耗和buff配置索引'!$M:$M,0)))</f>
        <v>8025</v>
      </c>
      <c r="AG5" s="133">
        <f>IF(AF5="","",INDEX('#建筑消耗和buff配置索引'!AX:AX,MATCH($F5,'#建筑消耗和buff配置索引'!$M:$M,0)))</f>
        <v>0</v>
      </c>
      <c r="AJ5" s="133">
        <f>IF(INDEX('#建筑消耗和buff配置索引'!BB:BB,MATCH($F5,'#建筑消耗和buff配置索引'!$M:$M,0))=0,"",INDEX('#建筑消耗和buff配置索引'!BB:BB,MATCH($F5,'#建筑消耗和buff配置索引'!$M:$M,0)))</f>
        <v>1202</v>
      </c>
      <c r="AK5" s="133">
        <f>IF(AJ5="","",INDEX('#建筑消耗和buff配置索引'!BC:BC,MATCH($F5,'#建筑消耗和buff配置索引'!$M:$M,0)))</f>
        <v>2</v>
      </c>
      <c r="AN5" s="133">
        <f>IF(INDEX('#建筑消耗和buff配置索引'!BG:BG,MATCH($F5,'#建筑消耗和buff配置索引'!$M:$M,0))=0,"",INDEX('#建筑消耗和buff配置索引'!BG:BG,MATCH($F5,'#建筑消耗和buff配置索引'!$M:$M,0)))</f>
        <v>1205</v>
      </c>
      <c r="AO5" s="133">
        <f>IF(AN5="","",INDEX('#建筑消耗和buff配置索引'!BH:BH,MATCH($F5,'#建筑消耗和buff配置索引'!$M:$M,0)))</f>
        <v>1</v>
      </c>
      <c r="AR5" s="133">
        <f>IF(INDEX('#建筑消耗和buff配置索引'!BK:BK,MATCH($F5,'#建筑消耗和buff配置索引'!$M:$M,0))=0,"",INDEX('#建筑消耗和buff配置索引'!BK:BK,MATCH($F5,'#建筑消耗和buff配置索引'!$M:$M,0)))</f>
        <v>1209</v>
      </c>
      <c r="AS5" s="133">
        <f>IF(AR5="","",INDEX('#建筑消耗和buff配置索引'!BL:BL,MATCH($F5,'#建筑消耗和buff配置索引'!$M:$M,0)))</f>
        <v>1</v>
      </c>
      <c r="AV5" s="133">
        <f>IF(INDEX('#建筑消耗和buff配置索引'!BO:BO,MATCH($F5,'#建筑消耗和buff配置索引'!$M:$M,0))=0,"",INDEX('#建筑消耗和buff配置索引'!BO:BO,MATCH($F5,'#建筑消耗和buff配置索引'!$M:$M,0)))</f>
        <v>1210</v>
      </c>
      <c r="AW5" s="133">
        <f>IF(AV5="","",INDEX('#建筑消耗和buff配置索引'!BP:BP,MATCH($F5,'#建筑消耗和buff配置索引'!$M:$M,0)))</f>
        <v>0</v>
      </c>
      <c r="AZ5" s="133">
        <f>IF(INDEX('#建筑消耗和buff配置索引'!BS:BS,MATCH($F5,'#建筑消耗和buff配置索引'!$M:$M,0))=0,"",INDEX('#建筑消耗和buff配置索引'!BS:BS,MATCH($F5,'#建筑消耗和buff配置索引'!$M:$M,0)))</f>
        <v>1237</v>
      </c>
      <c r="BA5" s="133">
        <f>IF(AZ5="","",INDEX('#建筑消耗和buff配置索引'!BT:BT,MATCH($F5,'#建筑消耗和buff配置索引'!$M:$M,0)))</f>
        <v>0</v>
      </c>
      <c r="BD5" s="133" t="str">
        <f>IF(INDEX('#建筑消耗和buff配置索引'!BW:BW,MATCH($F5,'#建筑消耗和buff配置索引'!$M:$M,0))=0,"",INDEX('#建筑消耗和buff配置索引'!BW:BW,MATCH($F5,'#建筑消耗和buff配置索引'!$M:$M,0)))</f>
        <v/>
      </c>
      <c r="BE5" s="133" t="str">
        <f>IF(BD5="","",INDEX('#建筑消耗和buff配置索引'!BX:BX,MATCH($F5,'#建筑消耗和buff配置索引'!$M:$M,0)))</f>
        <v/>
      </c>
      <c r="BI5" s="133">
        <v>1</v>
      </c>
      <c r="BM5" s="140">
        <v>480</v>
      </c>
    </row>
    <row r="6" spans="1:70" s="133" customFormat="1" ht="16.5">
      <c r="A6" s="133">
        <v>2010003</v>
      </c>
      <c r="B6" s="133">
        <v>3</v>
      </c>
      <c r="C6" s="133">
        <v>201</v>
      </c>
      <c r="D6" s="133" t="s">
        <v>66</v>
      </c>
      <c r="E6" s="133">
        <v>3</v>
      </c>
      <c r="F6" s="133" t="str">
        <f t="shared" si="0"/>
        <v>城镇中心3</v>
      </c>
      <c r="G6" s="133" t="s">
        <v>1212</v>
      </c>
      <c r="H6" s="133" t="s">
        <v>1213</v>
      </c>
      <c r="I6" s="133" t="s">
        <v>1205</v>
      </c>
      <c r="J6" s="150">
        <f>INDEX('#建筑消耗和buff配置索引'!AH:AH,MATCH($F6,'#建筑消耗和buff配置索引'!$M:$M,0))</f>
        <v>360</v>
      </c>
      <c r="K6" s="150">
        <f>INDEX('#建筑消耗和buff配置索引'!AA:AA,MATCH($F6,'#建筑消耗和buff配置索引'!$M:$M,0))</f>
        <v>10000</v>
      </c>
      <c r="L6" s="150">
        <f>INDEX('#建筑消耗和buff配置索引'!AB:AB,MATCH($F6,'#建筑消耗和buff配置索引'!$M:$M,0))</f>
        <v>10000</v>
      </c>
      <c r="M6" s="150">
        <f>INDEX('#建筑消耗和buff配置索引'!AC:AC,MATCH($F6,'#建筑消耗和buff配置索引'!$M:$M,0))</f>
        <v>0</v>
      </c>
      <c r="N6" s="150">
        <f>INDEX('#建筑消耗和buff配置索引'!AD:AD,MATCH($F6,'#建筑消耗和buff配置索引'!$M:$M,0))</f>
        <v>0</v>
      </c>
      <c r="O6" s="150" t="str">
        <f>IF(INDEX('#建筑消耗和buff配置索引'!T:T,MATCH($F6,'#建筑消耗和buff配置索引'!$M:$M,0))=0,"",INDEX('#建筑消耗和buff配置索引'!T:T,MATCH($F6,'#建筑消耗和buff配置索引'!$M:$M,0)))</f>
        <v/>
      </c>
      <c r="P6" s="133" t="str">
        <f>IF(INDEX('#建筑消耗和buff配置索引'!U:U,MATCH($F6,'#建筑消耗和buff配置索引'!$M:$M,0))=0,"",INDEX('#建筑消耗和buff配置索引'!U:U,MATCH($F6,'#建筑消耗和buff配置索引'!$M:$M,0)))</f>
        <v/>
      </c>
      <c r="Q6" s="133" t="str">
        <f>IF(INDEX('#建筑消耗和buff配置索引'!K:K,MATCH($F6,'#建筑消耗和buff配置索引'!$M:$M,0))=0,"",INDEX('#建筑消耗和buff配置索引'!K:K,MATCH($F6,'#建筑消耗和buff配置索引'!$M:$M,0)))</f>
        <v/>
      </c>
      <c r="R6" s="133" t="str">
        <f>IF(INDEX('#建筑消耗和buff配置索引'!L:L,MATCH($F6,'#建筑消耗和buff配置索引'!$M:$M,0))=0,"",INDEX('#建筑消耗和buff配置索引'!L:L,MATCH($F6,'#建筑消耗和buff配置索引'!$M:$M,0)))</f>
        <v/>
      </c>
      <c r="S6" s="133">
        <f>IF(INDEX('#建筑消耗和buff配置索引'!C:C,MATCH(F6,'#建筑消耗和buff配置索引'!M:M,0))=0,1,INDEX('#建筑消耗和buff配置索引'!C:C,MATCH(F6,'#建筑消耗和buff配置索引'!M:M,0)))</f>
        <v>1</v>
      </c>
      <c r="T6" s="151">
        <v>0</v>
      </c>
      <c r="U6" s="133">
        <v>0</v>
      </c>
      <c r="V6" s="133" t="str">
        <f>IF(E6=1,IF(INDEX('#建筑消耗和buff配置索引'!BY:BY,MATCH(D6,'#建筑消耗和buff配置索引'!A:A,0))=0,"",INDEX('#建筑消耗和buff配置索引'!BY:BY,MATCH(D6,'#建筑消耗和buff配置索引'!A:A,0))),"")</f>
        <v/>
      </c>
      <c r="W6" s="133" t="str">
        <f>IF(E6=1,IF(INDEX('#建筑消耗和buff配置索引'!BZ:BZ,MATCH(D6,'#建筑消耗和buff配置索引'!A:A,0))=0,"",INDEX('#建筑消耗和buff配置索引'!BZ:BZ,MATCH(D6,'#建筑消耗和buff配置索引'!A:A,0))),"")</f>
        <v/>
      </c>
      <c r="AA6" s="133">
        <f>INDEX('#建筑消耗和buff配置索引'!AO:AO,MATCH($F6,'#建筑消耗和buff配置索引'!$M:$M,0))</f>
        <v>70</v>
      </c>
      <c r="AB6" s="133">
        <f>IF(INDEX('#建筑消耗和buff配置索引'!AR:AR,MATCH($F6,'#建筑消耗和buff配置索引'!$M:$M,0))=0,"",INDEX('#建筑消耗和buff配置索引'!AR:AR,MATCH($F6,'#建筑消耗和buff配置索引'!$M:$M,0)))</f>
        <v>6001</v>
      </c>
      <c r="AC6" s="133">
        <f>IF(AB6="","",INDEX('#建筑消耗和buff配置索引'!AS:AS,MATCH($F6,'#建筑消耗和buff配置索引'!$M:$M,0)))</f>
        <v>300</v>
      </c>
      <c r="AF6" s="133">
        <f>IF(INDEX('#建筑消耗和buff配置索引'!AW:AW,MATCH($F6,'#建筑消耗和buff配置索引'!$M:$M,0))=0,"",INDEX('#建筑消耗和buff配置索引'!AW:AW,MATCH($F6,'#建筑消耗和buff配置索引'!$M:$M,0)))</f>
        <v>8025</v>
      </c>
      <c r="AG6" s="133">
        <f>IF(AF6="","",INDEX('#建筑消耗和buff配置索引'!AX:AX,MATCH($F6,'#建筑消耗和buff配置索引'!$M:$M,0)))</f>
        <v>0</v>
      </c>
      <c r="AJ6" s="133">
        <f>IF(INDEX('#建筑消耗和buff配置索引'!BB:BB,MATCH($F6,'#建筑消耗和buff配置索引'!$M:$M,0))=0,"",INDEX('#建筑消耗和buff配置索引'!BB:BB,MATCH($F6,'#建筑消耗和buff配置索引'!$M:$M,0)))</f>
        <v>1202</v>
      </c>
      <c r="AK6" s="133">
        <f>IF(AJ6="","",INDEX('#建筑消耗和buff配置索引'!BC:BC,MATCH($F6,'#建筑消耗和buff配置索引'!$M:$M,0)))</f>
        <v>2</v>
      </c>
      <c r="AN6" s="133">
        <f>IF(INDEX('#建筑消耗和buff配置索引'!BG:BG,MATCH($F6,'#建筑消耗和buff配置索引'!$M:$M,0))=0,"",INDEX('#建筑消耗和buff配置索引'!BG:BG,MATCH($F6,'#建筑消耗和buff配置索引'!$M:$M,0)))</f>
        <v>1205</v>
      </c>
      <c r="AO6" s="133">
        <f>IF(AN6="","",INDEX('#建筑消耗和buff配置索引'!BH:BH,MATCH($F6,'#建筑消耗和buff配置索引'!$M:$M,0)))</f>
        <v>2</v>
      </c>
      <c r="AR6" s="133">
        <f>IF(INDEX('#建筑消耗和buff配置索引'!BK:BK,MATCH($F6,'#建筑消耗和buff配置索引'!$M:$M,0))=0,"",INDEX('#建筑消耗和buff配置索引'!BK:BK,MATCH($F6,'#建筑消耗和buff配置索引'!$M:$M,0)))</f>
        <v>1209</v>
      </c>
      <c r="AS6" s="133">
        <f>IF(AR6="","",INDEX('#建筑消耗和buff配置索引'!BL:BL,MATCH($F6,'#建筑消耗和buff配置索引'!$M:$M,0)))</f>
        <v>2</v>
      </c>
      <c r="AV6" s="133">
        <f>IF(INDEX('#建筑消耗和buff配置索引'!BO:BO,MATCH($F6,'#建筑消耗和buff配置索引'!$M:$M,0))=0,"",INDEX('#建筑消耗和buff配置索引'!BO:BO,MATCH($F6,'#建筑消耗和buff配置索引'!$M:$M,0)))</f>
        <v>1210</v>
      </c>
      <c r="AW6" s="133">
        <f>IF(AV6="","",INDEX('#建筑消耗和buff配置索引'!BP:BP,MATCH($F6,'#建筑消耗和buff配置索引'!$M:$M,0)))</f>
        <v>0</v>
      </c>
      <c r="AZ6" s="133">
        <f>IF(INDEX('#建筑消耗和buff配置索引'!BS:BS,MATCH($F6,'#建筑消耗和buff配置索引'!$M:$M,0))=0,"",INDEX('#建筑消耗和buff配置索引'!BS:BS,MATCH($F6,'#建筑消耗和buff配置索引'!$M:$M,0)))</f>
        <v>1237</v>
      </c>
      <c r="BA6" s="133">
        <f>IF(AZ6="","",INDEX('#建筑消耗和buff配置索引'!BT:BT,MATCH($F6,'#建筑消耗和buff配置索引'!$M:$M,0)))</f>
        <v>0</v>
      </c>
      <c r="BD6" s="133" t="str">
        <f>IF(INDEX('#建筑消耗和buff配置索引'!BW:BW,MATCH($F6,'#建筑消耗和buff配置索引'!$M:$M,0))=0,"",INDEX('#建筑消耗和buff配置索引'!BW:BW,MATCH($F6,'#建筑消耗和buff配置索引'!$M:$M,0)))</f>
        <v/>
      </c>
      <c r="BE6" s="133" t="str">
        <f>IF(BD6="","",INDEX('#建筑消耗和buff配置索引'!BX:BX,MATCH($F6,'#建筑消耗和buff配置索引'!$M:$M,0)))</f>
        <v/>
      </c>
      <c r="BI6" s="133">
        <v>1</v>
      </c>
      <c r="BM6" s="140">
        <v>2000</v>
      </c>
    </row>
    <row r="7" spans="1:70" s="133" customFormat="1" ht="16.5">
      <c r="A7" s="133">
        <v>2010004</v>
      </c>
      <c r="B7" s="133">
        <v>4</v>
      </c>
      <c r="C7" s="133">
        <v>201</v>
      </c>
      <c r="D7" s="133" t="s">
        <v>66</v>
      </c>
      <c r="E7" s="133">
        <v>4</v>
      </c>
      <c r="F7" s="133" t="str">
        <f t="shared" si="0"/>
        <v>城镇中心4</v>
      </c>
      <c r="G7" s="133" t="s">
        <v>1214</v>
      </c>
      <c r="H7" s="133" t="s">
        <v>1215</v>
      </c>
      <c r="I7" s="133" t="s">
        <v>1205</v>
      </c>
      <c r="J7" s="150">
        <f>INDEX('#建筑消耗和buff配置索引'!AH:AH,MATCH($F7,'#建筑消耗和buff配置索引'!$M:$M,0))</f>
        <v>720</v>
      </c>
      <c r="K7" s="150">
        <f>INDEX('#建筑消耗和buff配置索引'!AA:AA,MATCH($F7,'#建筑消耗和buff配置索引'!$M:$M,0))</f>
        <v>20000</v>
      </c>
      <c r="L7" s="150">
        <f>INDEX('#建筑消耗和buff配置索引'!AB:AB,MATCH($F7,'#建筑消耗和buff配置索引'!$M:$M,0))</f>
        <v>20000</v>
      </c>
      <c r="M7" s="150">
        <f>INDEX('#建筑消耗和buff配置索引'!AC:AC,MATCH($F7,'#建筑消耗和buff配置索引'!$M:$M,0))</f>
        <v>0</v>
      </c>
      <c r="N7" s="150">
        <f>INDEX('#建筑消耗和buff配置索引'!AD:AD,MATCH($F7,'#建筑消耗和buff配置索引'!$M:$M,0))</f>
        <v>0</v>
      </c>
      <c r="O7" s="150" t="str">
        <f>IF(INDEX('#建筑消耗和buff配置索引'!T:T,MATCH($F7,'#建筑消耗和buff配置索引'!$M:$M,0))=0,"",INDEX('#建筑消耗和buff配置索引'!T:T,MATCH($F7,'#建筑消耗和buff配置索引'!$M:$M,0)))</f>
        <v/>
      </c>
      <c r="P7" s="133" t="str">
        <f>IF(INDEX('#建筑消耗和buff配置索引'!U:U,MATCH($F7,'#建筑消耗和buff配置索引'!$M:$M,0))=0,"",INDEX('#建筑消耗和buff配置索引'!U:U,MATCH($F7,'#建筑消耗和buff配置索引'!$M:$M,0)))</f>
        <v/>
      </c>
      <c r="Q7" s="133" t="str">
        <f>IF(INDEX('#建筑消耗和buff配置索引'!K:K,MATCH($F7,'#建筑消耗和buff配置索引'!$M:$M,0))=0,"",INDEX('#建筑消耗和buff配置索引'!K:K,MATCH($F7,'#建筑消耗和buff配置索引'!$M:$M,0)))</f>
        <v/>
      </c>
      <c r="R7" s="133" t="str">
        <f>IF(INDEX('#建筑消耗和buff配置索引'!L:L,MATCH($F7,'#建筑消耗和buff配置索引'!$M:$M,0))=0,"",INDEX('#建筑消耗和buff配置索引'!L:L,MATCH($F7,'#建筑消耗和buff配置索引'!$M:$M,0)))</f>
        <v/>
      </c>
      <c r="S7" s="133">
        <f>IF(INDEX('#建筑消耗和buff配置索引'!C:C,MATCH(F7,'#建筑消耗和buff配置索引'!M:M,0))=0,1,INDEX('#建筑消耗和buff配置索引'!C:C,MATCH(F7,'#建筑消耗和buff配置索引'!M:M,0)))</f>
        <v>1</v>
      </c>
      <c r="T7" s="151">
        <v>0</v>
      </c>
      <c r="U7" s="133">
        <v>0</v>
      </c>
      <c r="V7" s="133" t="str">
        <f>IF(E7=1,IF(INDEX('#建筑消耗和buff配置索引'!BY:BY,MATCH(D7,'#建筑消耗和buff配置索引'!A:A,0))=0,"",INDEX('#建筑消耗和buff配置索引'!BY:BY,MATCH(D7,'#建筑消耗和buff配置索引'!A:A,0))),"")</f>
        <v/>
      </c>
      <c r="W7" s="133" t="str">
        <f>IF(E7=1,IF(INDEX('#建筑消耗和buff配置索引'!BZ:BZ,MATCH(D7,'#建筑消耗和buff配置索引'!A:A,0))=0,"",INDEX('#建筑消耗和buff配置索引'!BZ:BZ,MATCH(D7,'#建筑消耗和buff配置索引'!A:A,0))),"")</f>
        <v/>
      </c>
      <c r="X7" s="133" t="str">
        <f t="shared" ref="X7:X12" si="1">"TID_CityBuilding_detailUnlockText_"&amp;A7</f>
        <v>TID_CityBuilding_detailUnlockText_2010004</v>
      </c>
      <c r="Y7" s="133" t="s">
        <v>1014</v>
      </c>
      <c r="AA7" s="133">
        <f>INDEX('#建筑消耗和buff配置索引'!AO:AO,MATCH($F7,'#建筑消耗和buff配置索引'!$M:$M,0))</f>
        <v>150</v>
      </c>
      <c r="AB7" s="133">
        <f>IF(INDEX('#建筑消耗和buff配置索引'!AR:AR,MATCH($F7,'#建筑消耗和buff配置索引'!$M:$M,0))=0,"",INDEX('#建筑消耗和buff配置索引'!AR:AR,MATCH($F7,'#建筑消耗和buff配置索引'!$M:$M,0)))</f>
        <v>6001</v>
      </c>
      <c r="AC7" s="133">
        <f>IF(AB7="","",INDEX('#建筑消耗和buff配置索引'!AS:AS,MATCH($F7,'#建筑消耗和buff配置索引'!$M:$M,0)))</f>
        <v>400</v>
      </c>
      <c r="AF7" s="133">
        <f>IF(INDEX('#建筑消耗和buff配置索引'!AW:AW,MATCH($F7,'#建筑消耗和buff配置索引'!$M:$M,0))=0,"",INDEX('#建筑消耗和buff配置索引'!AW:AW,MATCH($F7,'#建筑消耗和buff配置索引'!$M:$M,0)))</f>
        <v>8025</v>
      </c>
      <c r="AG7" s="133">
        <f>IF(AF7="","",INDEX('#建筑消耗和buff配置索引'!AX:AX,MATCH($F7,'#建筑消耗和buff配置索引'!$M:$M,0)))</f>
        <v>0</v>
      </c>
      <c r="AJ7" s="133">
        <f>IF(INDEX('#建筑消耗和buff配置索引'!BB:BB,MATCH($F7,'#建筑消耗和buff配置索引'!$M:$M,0))=0,"",INDEX('#建筑消耗和buff配置索引'!BB:BB,MATCH($F7,'#建筑消耗和buff配置索引'!$M:$M,0)))</f>
        <v>1202</v>
      </c>
      <c r="AK7" s="133">
        <f>IF(AJ7="","",INDEX('#建筑消耗和buff配置索引'!BC:BC,MATCH($F7,'#建筑消耗和buff配置索引'!$M:$M,0)))</f>
        <v>2</v>
      </c>
      <c r="AN7" s="133">
        <f>IF(INDEX('#建筑消耗和buff配置索引'!BG:BG,MATCH($F7,'#建筑消耗和buff配置索引'!$M:$M,0))=0,"",INDEX('#建筑消耗和buff配置索引'!BG:BG,MATCH($F7,'#建筑消耗和buff配置索引'!$M:$M,0)))</f>
        <v>1205</v>
      </c>
      <c r="AO7" s="133">
        <f>IF(AN7="","",INDEX('#建筑消耗和buff配置索引'!BH:BH,MATCH($F7,'#建筑消耗和buff配置索引'!$M:$M,0)))</f>
        <v>2</v>
      </c>
      <c r="AR7" s="133">
        <f>IF(INDEX('#建筑消耗和buff配置索引'!BK:BK,MATCH($F7,'#建筑消耗和buff配置索引'!$M:$M,0))=0,"",INDEX('#建筑消耗和buff配置索引'!BK:BK,MATCH($F7,'#建筑消耗和buff配置索引'!$M:$M,0)))</f>
        <v>1209</v>
      </c>
      <c r="AS7" s="133">
        <f>IF(AR7="","",INDEX('#建筑消耗和buff配置索引'!BL:BL,MATCH($F7,'#建筑消耗和buff配置索引'!$M:$M,0)))</f>
        <v>2</v>
      </c>
      <c r="AV7" s="133">
        <f>IF(INDEX('#建筑消耗和buff配置索引'!BO:BO,MATCH($F7,'#建筑消耗和buff配置索引'!$M:$M,0))=0,"",INDEX('#建筑消耗和buff配置索引'!BO:BO,MATCH($F7,'#建筑消耗和buff配置索引'!$M:$M,0)))</f>
        <v>1210</v>
      </c>
      <c r="AW7" s="133">
        <f>IF(AV7="","",INDEX('#建筑消耗和buff配置索引'!BP:BP,MATCH($F7,'#建筑消耗和buff配置索引'!$M:$M,0)))</f>
        <v>1</v>
      </c>
      <c r="AZ7" s="133">
        <f>IF(INDEX('#建筑消耗和buff配置索引'!BS:BS,MATCH($F7,'#建筑消耗和buff配置索引'!$M:$M,0))=0,"",INDEX('#建筑消耗和buff配置索引'!BS:BS,MATCH($F7,'#建筑消耗和buff配置索引'!$M:$M,0)))</f>
        <v>1237</v>
      </c>
      <c r="BA7" s="133">
        <f>IF(AZ7="","",INDEX('#建筑消耗和buff配置索引'!BT:BT,MATCH($F7,'#建筑消耗和buff配置索引'!$M:$M,0)))</f>
        <v>0</v>
      </c>
      <c r="BD7" s="133" t="str">
        <f>IF(INDEX('#建筑消耗和buff配置索引'!BW:BW,MATCH($F7,'#建筑消耗和buff配置索引'!$M:$M,0))=0,"",INDEX('#建筑消耗和buff配置索引'!BW:BW,MATCH($F7,'#建筑消耗和buff配置索引'!$M:$M,0)))</f>
        <v/>
      </c>
      <c r="BE7" s="133" t="str">
        <f>IF(BD7="","",INDEX('#建筑消耗和buff配置索引'!BX:BX,MATCH($F7,'#建筑消耗和buff配置索引'!$M:$M,0)))</f>
        <v/>
      </c>
      <c r="BI7" s="133">
        <v>1</v>
      </c>
      <c r="BM7" s="140">
        <v>3300</v>
      </c>
    </row>
    <row r="8" spans="1:70" s="133" customFormat="1" ht="16.5">
      <c r="A8" s="133">
        <v>2010005</v>
      </c>
      <c r="B8" s="133">
        <v>5</v>
      </c>
      <c r="C8" s="133">
        <v>201</v>
      </c>
      <c r="D8" s="133" t="s">
        <v>66</v>
      </c>
      <c r="E8" s="133">
        <v>5</v>
      </c>
      <c r="F8" s="133" t="str">
        <f t="shared" si="0"/>
        <v>城镇中心5</v>
      </c>
      <c r="G8" s="133" t="s">
        <v>1217</v>
      </c>
      <c r="H8" s="133" t="s">
        <v>1218</v>
      </c>
      <c r="I8" s="133">
        <v>1</v>
      </c>
      <c r="J8" s="150">
        <f>INDEX('#建筑消耗和buff配置索引'!AH:AH,MATCH($F8,'#建筑消耗和buff配置索引'!$M:$M,0))</f>
        <v>1500</v>
      </c>
      <c r="K8" s="150">
        <f>INDEX('#建筑消耗和buff配置索引'!AA:AA,MATCH($F8,'#建筑消耗和buff配置索引'!$M:$M,0))</f>
        <v>26000</v>
      </c>
      <c r="L8" s="150">
        <f>INDEX('#建筑消耗和buff配置索引'!AB:AB,MATCH($F8,'#建筑消耗和buff配置索引'!$M:$M,0))</f>
        <v>26000</v>
      </c>
      <c r="M8" s="150">
        <f>INDEX('#建筑消耗和buff配置索引'!AC:AC,MATCH($F8,'#建筑消耗和buff配置索引'!$M:$M,0))</f>
        <v>26000</v>
      </c>
      <c r="N8" s="150">
        <f>INDEX('#建筑消耗和buff配置索引'!AD:AD,MATCH($F8,'#建筑消耗和buff配置索引'!$M:$M,0))</f>
        <v>0</v>
      </c>
      <c r="O8" s="150" t="str">
        <f>IF(INDEX('#建筑消耗和buff配置索引'!T:T,MATCH($F8,'#建筑消耗和buff配置索引'!$M:$M,0))=0,"",INDEX('#建筑消耗和buff配置索引'!T:T,MATCH($F8,'#建筑消耗和buff配置索引'!$M:$M,0)))</f>
        <v/>
      </c>
      <c r="P8" s="133" t="str">
        <f>IF(INDEX('#建筑消耗和buff配置索引'!U:U,MATCH($F8,'#建筑消耗和buff配置索引'!$M:$M,0))=0,"",INDEX('#建筑消耗和buff配置索引'!U:U,MATCH($F8,'#建筑消耗和buff配置索引'!$M:$M,0)))</f>
        <v/>
      </c>
      <c r="Q8" s="133" t="str">
        <f>IF(INDEX('#建筑消耗和buff配置索引'!K:K,MATCH($F8,'#建筑消耗和buff配置索引'!$M:$M,0))=0,"",INDEX('#建筑消耗和buff配置索引'!K:K,MATCH($F8,'#建筑消耗和buff配置索引'!$M:$M,0)))</f>
        <v>215;222</v>
      </c>
      <c r="R8" s="133" t="str">
        <f>IF(INDEX('#建筑消耗和buff配置索引'!L:L,MATCH($F8,'#建筑消耗和buff配置索引'!$M:$M,0))=0,"",INDEX('#建筑消耗和buff配置索引'!L:L,MATCH($F8,'#建筑消耗和buff配置索引'!$M:$M,0)))</f>
        <v>4;4</v>
      </c>
      <c r="S8" s="133">
        <f>IF(INDEX('#建筑消耗和buff配置索引'!C:C,MATCH(F8,'#建筑消耗和buff配置索引'!M:M,0))=0,1,INDEX('#建筑消耗和buff配置索引'!C:C,MATCH(F8,'#建筑消耗和buff配置索引'!M:M,0)))</f>
        <v>2</v>
      </c>
      <c r="T8" s="151">
        <v>0</v>
      </c>
      <c r="U8" s="133">
        <v>0</v>
      </c>
      <c r="V8" s="133" t="str">
        <f>IF(E8=1,IF(INDEX('#建筑消耗和buff配置索引'!BY:BY,MATCH(D8,'#建筑消耗和buff配置索引'!A:A,0))=0,"",INDEX('#建筑消耗和buff配置索引'!BY:BY,MATCH(D8,'#建筑消耗和buff配置索引'!A:A,0))),"")</f>
        <v/>
      </c>
      <c r="W8" s="133" t="str">
        <f>IF(E8=1,IF(INDEX('#建筑消耗和buff配置索引'!BZ:BZ,MATCH(D8,'#建筑消耗和buff配置索引'!A:A,0))=0,"",INDEX('#建筑消耗和buff配置索引'!BZ:BZ,MATCH(D8,'#建筑消耗和buff配置索引'!A:A,0))),"")</f>
        <v/>
      </c>
      <c r="X8" s="133" t="str">
        <f t="shared" si="1"/>
        <v>TID_CityBuilding_detailUnlockText_2010005</v>
      </c>
      <c r="Y8" s="133" t="s">
        <v>493</v>
      </c>
      <c r="AA8" s="133">
        <f>INDEX('#建筑消耗和buff配置索引'!AO:AO,MATCH($F8,'#建筑消耗和buff配置索引'!$M:$M,0))</f>
        <v>304</v>
      </c>
      <c r="AB8" s="133">
        <f>IF(INDEX('#建筑消耗和buff配置索引'!AR:AR,MATCH($F8,'#建筑消耗和buff配置索引'!$M:$M,0))=0,"",INDEX('#建筑消耗和buff配置索引'!AR:AR,MATCH($F8,'#建筑消耗和buff配置索引'!$M:$M,0)))</f>
        <v>6001</v>
      </c>
      <c r="AC8" s="133">
        <f>IF(AB8="","",INDEX('#建筑消耗和buff配置索引'!AS:AS,MATCH($F8,'#建筑消耗和buff配置索引'!$M:$M,0)))</f>
        <v>700</v>
      </c>
      <c r="AF8" s="133">
        <f>IF(INDEX('#建筑消耗和buff配置索引'!AW:AW,MATCH($F8,'#建筑消耗和buff配置索引'!$M:$M,0))=0,"",INDEX('#建筑消耗和buff配置索引'!AW:AW,MATCH($F8,'#建筑消耗和buff配置索引'!$M:$M,0)))</f>
        <v>8025</v>
      </c>
      <c r="AG8" s="133">
        <f>IF(AF8="","",INDEX('#建筑消耗和buff配置索引'!AX:AX,MATCH($F8,'#建筑消耗和buff配置索引'!$M:$M,0)))</f>
        <v>0</v>
      </c>
      <c r="AJ8" s="133">
        <f>IF(INDEX('#建筑消耗和buff配置索引'!BB:BB,MATCH($F8,'#建筑消耗和buff配置索引'!$M:$M,0))=0,"",INDEX('#建筑消耗和buff配置索引'!BB:BB,MATCH($F8,'#建筑消耗和buff配置索引'!$M:$M,0)))</f>
        <v>1202</v>
      </c>
      <c r="AK8" s="133">
        <f>IF(AJ8="","",INDEX('#建筑消耗和buff配置索引'!BC:BC,MATCH($F8,'#建筑消耗和buff配置索引'!$M:$M,0)))</f>
        <v>3</v>
      </c>
      <c r="AN8" s="133">
        <f>IF(INDEX('#建筑消耗和buff配置索引'!BG:BG,MATCH($F8,'#建筑消耗和buff配置索引'!$M:$M,0))=0,"",INDEX('#建筑消耗和buff配置索引'!BG:BG,MATCH($F8,'#建筑消耗和buff配置索引'!$M:$M,0)))</f>
        <v>1205</v>
      </c>
      <c r="AO8" s="133">
        <f>IF(AN8="","",INDEX('#建筑消耗和buff配置索引'!BH:BH,MATCH($F8,'#建筑消耗和buff配置索引'!$M:$M,0)))</f>
        <v>2</v>
      </c>
      <c r="AR8" s="133">
        <f>IF(INDEX('#建筑消耗和buff配置索引'!BK:BK,MATCH($F8,'#建筑消耗和buff配置索引'!$M:$M,0))=0,"",INDEX('#建筑消耗和buff配置索引'!BK:BK,MATCH($F8,'#建筑消耗和buff配置索引'!$M:$M,0)))</f>
        <v>1209</v>
      </c>
      <c r="AS8" s="133">
        <f>IF(AR8="","",INDEX('#建筑消耗和buff配置索引'!BL:BL,MATCH($F8,'#建筑消耗和buff配置索引'!$M:$M,0)))</f>
        <v>2</v>
      </c>
      <c r="AV8" s="133">
        <f>IF(INDEX('#建筑消耗和buff配置索引'!BO:BO,MATCH($F8,'#建筑消耗和buff配置索引'!$M:$M,0))=0,"",INDEX('#建筑消耗和buff配置索引'!BO:BO,MATCH($F8,'#建筑消耗和buff配置索引'!$M:$M,0)))</f>
        <v>1210</v>
      </c>
      <c r="AW8" s="133">
        <f>IF(AV8="","",INDEX('#建筑消耗和buff配置索引'!BP:BP,MATCH($F8,'#建筑消耗和buff配置索引'!$M:$M,0)))</f>
        <v>1</v>
      </c>
      <c r="AZ8" s="133">
        <f>IF(INDEX('#建筑消耗和buff配置索引'!BS:BS,MATCH($F8,'#建筑消耗和buff配置索引'!$M:$M,0))=0,"",INDEX('#建筑消耗和buff配置索引'!BS:BS,MATCH($F8,'#建筑消耗和buff配置索引'!$M:$M,0)))</f>
        <v>1237</v>
      </c>
      <c r="BA8" s="133">
        <f>IF(AZ8="","",INDEX('#建筑消耗和buff配置索引'!BT:BT,MATCH($F8,'#建筑消耗和buff配置索引'!$M:$M,0)))</f>
        <v>0</v>
      </c>
      <c r="BD8" s="133" t="str">
        <f>IF(INDEX('#建筑消耗和buff配置索引'!BW:BW,MATCH($F8,'#建筑消耗和buff配置索引'!$M:$M,0))=0,"",INDEX('#建筑消耗和buff配置索引'!BW:BW,MATCH($F8,'#建筑消耗和buff配置索引'!$M:$M,0)))</f>
        <v/>
      </c>
      <c r="BE8" s="133" t="str">
        <f>IF(BD8="","",INDEX('#建筑消耗和buff配置索引'!BX:BX,MATCH($F8,'#建筑消耗和buff配置索引'!$M:$M,0)))</f>
        <v/>
      </c>
      <c r="BI8" s="133">
        <v>1</v>
      </c>
      <c r="BK8" s="133">
        <v>20001</v>
      </c>
      <c r="BM8" s="140">
        <v>6000</v>
      </c>
    </row>
    <row r="9" spans="1:70" s="133" customFormat="1" ht="16.5">
      <c r="A9" s="133">
        <v>2010006</v>
      </c>
      <c r="B9" s="133">
        <v>6</v>
      </c>
      <c r="C9" s="133">
        <v>201</v>
      </c>
      <c r="D9" s="133" t="s">
        <v>66</v>
      </c>
      <c r="E9" s="133">
        <v>6</v>
      </c>
      <c r="F9" s="133" t="str">
        <f t="shared" si="0"/>
        <v>城镇中心6</v>
      </c>
      <c r="G9" s="133" t="s">
        <v>1222</v>
      </c>
      <c r="H9" s="133" t="s">
        <v>1223</v>
      </c>
      <c r="I9" s="133">
        <v>1</v>
      </c>
      <c r="J9" s="150">
        <f>INDEX('#建筑消耗和buff配置索引'!AH:AH,MATCH($F9,'#建筑消耗和buff配置索引'!$M:$M,0))</f>
        <v>2700</v>
      </c>
      <c r="K9" s="150">
        <f>INDEX('#建筑消耗和buff配置索引'!AA:AA,MATCH($F9,'#建筑消耗和buff配置索引'!$M:$M,0))</f>
        <v>48000</v>
      </c>
      <c r="L9" s="150">
        <f>INDEX('#建筑消耗和buff配置索引'!AB:AB,MATCH($F9,'#建筑消耗和buff配置索引'!$M:$M,0))</f>
        <v>48000</v>
      </c>
      <c r="M9" s="150">
        <f>INDEX('#建筑消耗和buff配置索引'!AC:AC,MATCH($F9,'#建筑消耗和buff配置索引'!$M:$M,0))</f>
        <v>48000</v>
      </c>
      <c r="N9" s="150">
        <f>INDEX('#建筑消耗和buff配置索引'!AD:AD,MATCH($F9,'#建筑消耗和buff配置索引'!$M:$M,0))</f>
        <v>0</v>
      </c>
      <c r="O9" s="150" t="str">
        <f>IF(INDEX('#建筑消耗和buff配置索引'!T:T,MATCH($F9,'#建筑消耗和buff配置索引'!$M:$M,0))=0,"",INDEX('#建筑消耗和buff配置索引'!T:T,MATCH($F9,'#建筑消耗和buff配置索引'!$M:$M,0)))</f>
        <v/>
      </c>
      <c r="P9" s="133" t="str">
        <f>IF(INDEX('#建筑消耗和buff配置索引'!U:U,MATCH($F9,'#建筑消耗和buff配置索引'!$M:$M,0))=0,"",INDEX('#建筑消耗和buff配置索引'!U:U,MATCH($F9,'#建筑消耗和buff配置索引'!$M:$M,0)))</f>
        <v/>
      </c>
      <c r="Q9" s="133" t="str">
        <f>IF(INDEX('#建筑消耗和buff配置索引'!K:K,MATCH($F9,'#建筑消耗和buff配置索引'!$M:$M,0))=0,"",INDEX('#建筑消耗和buff配置索引'!K:K,MATCH($F9,'#建筑消耗和buff配置索引'!$M:$M,0)))</f>
        <v>215;226</v>
      </c>
      <c r="R9" s="133" t="str">
        <f>IF(INDEX('#建筑消耗和buff配置索引'!L:L,MATCH($F9,'#建筑消耗和buff配置索引'!$M:$M,0))=0,"",INDEX('#建筑消耗和buff配置索引'!L:L,MATCH($F9,'#建筑消耗和buff配置索引'!$M:$M,0)))</f>
        <v>5;5</v>
      </c>
      <c r="S9" s="133">
        <f>IF(INDEX('#建筑消耗和buff配置索引'!C:C,MATCH(F9,'#建筑消耗和buff配置索引'!M:M,0))=0,1,INDEX('#建筑消耗和buff配置索引'!C:C,MATCH(F9,'#建筑消耗和buff配置索引'!M:M,0)))</f>
        <v>2</v>
      </c>
      <c r="T9" s="151">
        <v>0</v>
      </c>
      <c r="U9" s="133">
        <v>0</v>
      </c>
      <c r="V9" s="133" t="str">
        <f>IF(E9=1,IF(INDEX('#建筑消耗和buff配置索引'!BY:BY,MATCH(D9,'#建筑消耗和buff配置索引'!A:A,0))=0,"",INDEX('#建筑消耗和buff配置索引'!BY:BY,MATCH(D9,'#建筑消耗和buff配置索引'!A:A,0))),"")</f>
        <v/>
      </c>
      <c r="W9" s="133" t="str">
        <f>IF(E9=1,IF(INDEX('#建筑消耗和buff配置索引'!BZ:BZ,MATCH(D9,'#建筑消耗和buff配置索引'!A:A,0))=0,"",INDEX('#建筑消耗和buff配置索引'!BZ:BZ,MATCH(D9,'#建筑消耗和buff配置索引'!A:A,0))),"")</f>
        <v/>
      </c>
      <c r="X9" s="133" t="str">
        <f t="shared" si="1"/>
        <v>TID_CityBuilding_detailUnlockText_2010006</v>
      </c>
      <c r="Y9" s="133" t="s">
        <v>591</v>
      </c>
      <c r="AA9" s="133">
        <f>INDEX('#建筑消耗和buff配置索引'!AO:AO,MATCH($F9,'#建筑消耗和buff配置索引'!$M:$M,0))</f>
        <v>591</v>
      </c>
      <c r="AB9" s="133">
        <f>IF(INDEX('#建筑消耗和buff配置索引'!AR:AR,MATCH($F9,'#建筑消耗和buff配置索引'!$M:$M,0))=0,"",INDEX('#建筑消耗和buff配置索引'!AR:AR,MATCH($F9,'#建筑消耗和buff配置索引'!$M:$M,0)))</f>
        <v>6001</v>
      </c>
      <c r="AC9" s="133">
        <f>IF(AB9="","",INDEX('#建筑消耗和buff配置索引'!AS:AS,MATCH($F9,'#建筑消耗和buff配置索引'!$M:$M,0)))</f>
        <v>1000</v>
      </c>
      <c r="AF9" s="133">
        <f>IF(INDEX('#建筑消耗和buff配置索引'!AW:AW,MATCH($F9,'#建筑消耗和buff配置索引'!$M:$M,0))=0,"",INDEX('#建筑消耗和buff配置索引'!AW:AW,MATCH($F9,'#建筑消耗和buff配置索引'!$M:$M,0)))</f>
        <v>8025</v>
      </c>
      <c r="AG9" s="133">
        <f>IF(AF9="","",INDEX('#建筑消耗和buff配置索引'!AX:AX,MATCH($F9,'#建筑消耗和buff配置索引'!$M:$M,0)))</f>
        <v>0</v>
      </c>
      <c r="AJ9" s="133">
        <f>IF(INDEX('#建筑消耗和buff配置索引'!BB:BB,MATCH($F9,'#建筑消耗和buff配置索引'!$M:$M,0))=0,"",INDEX('#建筑消耗和buff配置索引'!BB:BB,MATCH($F9,'#建筑消耗和buff配置索引'!$M:$M,0)))</f>
        <v>1202</v>
      </c>
      <c r="AK9" s="133">
        <f>IF(AJ9="","",INDEX('#建筑消耗和buff配置索引'!BC:BC,MATCH($F9,'#建筑消耗和buff配置索引'!$M:$M,0)))</f>
        <v>3</v>
      </c>
      <c r="AN9" s="133">
        <f>IF(INDEX('#建筑消耗和buff配置索引'!BG:BG,MATCH($F9,'#建筑消耗和buff配置索引'!$M:$M,0))=0,"",INDEX('#建筑消耗和buff配置索引'!BG:BG,MATCH($F9,'#建筑消耗和buff配置索引'!$M:$M,0)))</f>
        <v>1205</v>
      </c>
      <c r="AO9" s="133">
        <f>IF(AN9="","",INDEX('#建筑消耗和buff配置索引'!BH:BH,MATCH($F9,'#建筑消耗和buff配置索引'!$M:$M,0)))</f>
        <v>2</v>
      </c>
      <c r="AR9" s="133">
        <f>IF(INDEX('#建筑消耗和buff配置索引'!BK:BK,MATCH($F9,'#建筑消耗和buff配置索引'!$M:$M,0))=0,"",INDEX('#建筑消耗和buff配置索引'!BK:BK,MATCH($F9,'#建筑消耗和buff配置索引'!$M:$M,0)))</f>
        <v>1209</v>
      </c>
      <c r="AS9" s="133">
        <f>IF(AR9="","",INDEX('#建筑消耗和buff配置索引'!BL:BL,MATCH($F9,'#建筑消耗和buff配置索引'!$M:$M,0)))</f>
        <v>2</v>
      </c>
      <c r="AV9" s="133">
        <f>IF(INDEX('#建筑消耗和buff配置索引'!BO:BO,MATCH($F9,'#建筑消耗和buff配置索引'!$M:$M,0))=0,"",INDEX('#建筑消耗和buff配置索引'!BO:BO,MATCH($F9,'#建筑消耗和buff配置索引'!$M:$M,0)))</f>
        <v>1210</v>
      </c>
      <c r="AW9" s="133">
        <f>IF(AV9="","",INDEX('#建筑消耗和buff配置索引'!BP:BP,MATCH($F9,'#建筑消耗和buff配置索引'!$M:$M,0)))</f>
        <v>1</v>
      </c>
      <c r="AZ9" s="133">
        <f>IF(INDEX('#建筑消耗和buff配置索引'!BS:BS,MATCH($F9,'#建筑消耗和buff配置索引'!$M:$M,0))=0,"",INDEX('#建筑消耗和buff配置索引'!BS:BS,MATCH($F9,'#建筑消耗和buff配置索引'!$M:$M,0)))</f>
        <v>1237</v>
      </c>
      <c r="BA9" s="133">
        <f>IF(AZ9="","",INDEX('#建筑消耗和buff配置索引'!BT:BT,MATCH($F9,'#建筑消耗和buff配置索引'!$M:$M,0)))</f>
        <v>0</v>
      </c>
      <c r="BD9" s="133" t="str">
        <f>IF(INDEX('#建筑消耗和buff配置索引'!BW:BW,MATCH($F9,'#建筑消耗和buff配置索引'!$M:$M,0))=0,"",INDEX('#建筑消耗和buff配置索引'!BW:BW,MATCH($F9,'#建筑消耗和buff配置索引'!$M:$M,0)))</f>
        <v/>
      </c>
      <c r="BE9" s="133" t="str">
        <f>IF(BD9="","",INDEX('#建筑消耗和buff配置索引'!BX:BX,MATCH($F9,'#建筑消耗和buff配置索引'!$M:$M,0)))</f>
        <v/>
      </c>
      <c r="BI9" s="133">
        <v>1</v>
      </c>
      <c r="BK9" s="133">
        <v>20002</v>
      </c>
      <c r="BM9" s="140">
        <v>9000</v>
      </c>
    </row>
    <row r="10" spans="1:70" s="133" customFormat="1" ht="16.5">
      <c r="A10" s="133">
        <v>2010007</v>
      </c>
      <c r="B10" s="133">
        <v>7</v>
      </c>
      <c r="C10" s="133">
        <v>201</v>
      </c>
      <c r="D10" s="133" t="s">
        <v>66</v>
      </c>
      <c r="E10" s="133">
        <v>7</v>
      </c>
      <c r="F10" s="133" t="str">
        <f t="shared" si="0"/>
        <v>城镇中心7</v>
      </c>
      <c r="G10" s="133" t="s">
        <v>1227</v>
      </c>
      <c r="H10" s="133" t="s">
        <v>1228</v>
      </c>
      <c r="I10" s="133">
        <v>1</v>
      </c>
      <c r="J10" s="150">
        <f>INDEX('#建筑消耗和buff配置索引'!AH:AH,MATCH($F10,'#建筑消耗和buff配置索引'!$M:$M,0))</f>
        <v>4500</v>
      </c>
      <c r="K10" s="150">
        <f>INDEX('#建筑消耗和buff配置索引'!AA:AA,MATCH($F10,'#建筑消耗和buff配置索引'!$M:$M,0))</f>
        <v>86000</v>
      </c>
      <c r="L10" s="150">
        <f>INDEX('#建筑消耗和buff配置索引'!AB:AB,MATCH($F10,'#建筑消耗和buff配置索引'!$M:$M,0))</f>
        <v>86000</v>
      </c>
      <c r="M10" s="150">
        <f>INDEX('#建筑消耗和buff配置索引'!AC:AC,MATCH($F10,'#建筑消耗和buff配置索引'!$M:$M,0))</f>
        <v>86000</v>
      </c>
      <c r="N10" s="150">
        <f>INDEX('#建筑消耗和buff配置索引'!AD:AD,MATCH($F10,'#建筑消耗和buff配置索引'!$M:$M,0))</f>
        <v>0</v>
      </c>
      <c r="O10" s="150" t="str">
        <f>IF(INDEX('#建筑消耗和buff配置索引'!T:T,MATCH($F10,'#建筑消耗和buff配置索引'!$M:$M,0))=0,"",INDEX('#建筑消耗和buff配置索引'!T:T,MATCH($F10,'#建筑消耗和buff配置索引'!$M:$M,0)))</f>
        <v/>
      </c>
      <c r="P10" s="133" t="str">
        <f>IF(INDEX('#建筑消耗和buff配置索引'!U:U,MATCH($F10,'#建筑消耗和buff配置索引'!$M:$M,0))=0,"",INDEX('#建筑消耗和buff配置索引'!U:U,MATCH($F10,'#建筑消耗和buff配置索引'!$M:$M,0)))</f>
        <v/>
      </c>
      <c r="Q10" s="133" t="str">
        <f>IF(INDEX('#建筑消耗和buff配置索引'!K:K,MATCH($F10,'#建筑消耗和buff配置索引'!$M:$M,0))=0,"",INDEX('#建筑消耗和buff配置索引'!K:K,MATCH($F10,'#建筑消耗和buff配置索引'!$M:$M,0)))</f>
        <v>215;231</v>
      </c>
      <c r="R10" s="133" t="str">
        <f>IF(INDEX('#建筑消耗和buff配置索引'!L:L,MATCH($F10,'#建筑消耗和buff配置索引'!$M:$M,0))=0,"",INDEX('#建筑消耗和buff配置索引'!L:L,MATCH($F10,'#建筑消耗和buff配置索引'!$M:$M,0)))</f>
        <v>6;6</v>
      </c>
      <c r="S10" s="133">
        <f>IF(INDEX('#建筑消耗和buff配置索引'!C:C,MATCH(F10,'#建筑消耗和buff配置索引'!M:M,0))=0,1,INDEX('#建筑消耗和buff配置索引'!C:C,MATCH(F10,'#建筑消耗和buff配置索引'!M:M,0)))</f>
        <v>2</v>
      </c>
      <c r="T10" s="151">
        <v>0</v>
      </c>
      <c r="U10" s="133">
        <v>0</v>
      </c>
      <c r="V10" s="133" t="str">
        <f>IF(E10=1,IF(INDEX('#建筑消耗和buff配置索引'!BY:BY,MATCH(D10,'#建筑消耗和buff配置索引'!A:A,0))=0,"",INDEX('#建筑消耗和buff配置索引'!BY:BY,MATCH(D10,'#建筑消耗和buff配置索引'!A:A,0))),"")</f>
        <v/>
      </c>
      <c r="W10" s="133" t="str">
        <f>IF(E10=1,IF(INDEX('#建筑消耗和buff配置索引'!BZ:BZ,MATCH(D10,'#建筑消耗和buff配置索引'!A:A,0))=0,"",INDEX('#建筑消耗和buff配置索引'!BZ:BZ,MATCH(D10,'#建筑消耗和buff配置索引'!A:A,0))),"")</f>
        <v/>
      </c>
      <c r="X10" s="133" t="str">
        <f t="shared" si="1"/>
        <v>TID_CityBuilding_detailUnlockText_2010007</v>
      </c>
      <c r="Y10" s="133" t="s">
        <v>599</v>
      </c>
      <c r="AA10" s="133">
        <f>INDEX('#建筑消耗和buff配置索引'!AO:AO,MATCH($F10,'#建筑消耗和buff配置索引'!$M:$M,0))</f>
        <v>1105</v>
      </c>
      <c r="AB10" s="133">
        <f>IF(INDEX('#建筑消耗和buff配置索引'!AR:AR,MATCH($F10,'#建筑消耗和buff配置索引'!$M:$M,0))=0,"",INDEX('#建筑消耗和buff配置索引'!AR:AR,MATCH($F10,'#建筑消耗和buff配置索引'!$M:$M,0)))</f>
        <v>6001</v>
      </c>
      <c r="AC10" s="133">
        <f>IF(AB10="","",INDEX('#建筑消耗和buff配置索引'!AS:AS,MATCH($F10,'#建筑消耗和buff配置索引'!$M:$M,0)))</f>
        <v>1500</v>
      </c>
      <c r="AF10" s="133">
        <f>IF(INDEX('#建筑消耗和buff配置索引'!AW:AW,MATCH($F10,'#建筑消耗和buff配置索引'!$M:$M,0))=0,"",INDEX('#建筑消耗和buff配置索引'!AW:AW,MATCH($F10,'#建筑消耗和buff配置索引'!$M:$M,0)))</f>
        <v>8025</v>
      </c>
      <c r="AG10" s="133">
        <f>IF(AF10="","",INDEX('#建筑消耗和buff配置索引'!AX:AX,MATCH($F10,'#建筑消耗和buff配置索引'!$M:$M,0)))</f>
        <v>0</v>
      </c>
      <c r="AJ10" s="133">
        <f>IF(INDEX('#建筑消耗和buff配置索引'!BB:BB,MATCH($F10,'#建筑消耗和buff配置索引'!$M:$M,0))=0,"",INDEX('#建筑消耗和buff配置索引'!BB:BB,MATCH($F10,'#建筑消耗和buff配置索引'!$M:$M,0)))</f>
        <v>1202</v>
      </c>
      <c r="AK10" s="133">
        <f>IF(AJ10="","",INDEX('#建筑消耗和buff配置索引'!BC:BC,MATCH($F10,'#建筑消耗和buff配置索引'!$M:$M,0)))</f>
        <v>4</v>
      </c>
      <c r="AN10" s="133">
        <f>IF(INDEX('#建筑消耗和buff配置索引'!BG:BG,MATCH($F10,'#建筑消耗和buff配置索引'!$M:$M,0))=0,"",INDEX('#建筑消耗和buff配置索引'!BG:BG,MATCH($F10,'#建筑消耗和buff配置索引'!$M:$M,0)))</f>
        <v>1205</v>
      </c>
      <c r="AO10" s="133">
        <f>IF(AN10="","",INDEX('#建筑消耗和buff配置索引'!BH:BH,MATCH($F10,'#建筑消耗和buff配置索引'!$M:$M,0)))</f>
        <v>2</v>
      </c>
      <c r="AR10" s="133">
        <f>IF(INDEX('#建筑消耗和buff配置索引'!BK:BK,MATCH($F10,'#建筑消耗和buff配置索引'!$M:$M,0))=0,"",INDEX('#建筑消耗和buff配置索引'!BK:BK,MATCH($F10,'#建筑消耗和buff配置索引'!$M:$M,0)))</f>
        <v>1209</v>
      </c>
      <c r="AS10" s="133">
        <f>IF(AR10="","",INDEX('#建筑消耗和buff配置索引'!BL:BL,MATCH($F10,'#建筑消耗和buff配置索引'!$M:$M,0)))</f>
        <v>2</v>
      </c>
      <c r="AV10" s="133">
        <f>IF(INDEX('#建筑消耗和buff配置索引'!BO:BO,MATCH($F10,'#建筑消耗和buff配置索引'!$M:$M,0))=0,"",INDEX('#建筑消耗和buff配置索引'!BO:BO,MATCH($F10,'#建筑消耗和buff配置索引'!$M:$M,0)))</f>
        <v>1210</v>
      </c>
      <c r="AW10" s="133">
        <f>IF(AV10="","",INDEX('#建筑消耗和buff配置索引'!BP:BP,MATCH($F10,'#建筑消耗和buff配置索引'!$M:$M,0)))</f>
        <v>1</v>
      </c>
      <c r="AZ10" s="133">
        <f>IF(INDEX('#建筑消耗和buff配置索引'!BS:BS,MATCH($F10,'#建筑消耗和buff配置索引'!$M:$M,0))=0,"",INDEX('#建筑消耗和buff配置索引'!BS:BS,MATCH($F10,'#建筑消耗和buff配置索引'!$M:$M,0)))</f>
        <v>1237</v>
      </c>
      <c r="BA10" s="133">
        <f>IF(AZ10="","",INDEX('#建筑消耗和buff配置索引'!BT:BT,MATCH($F10,'#建筑消耗和buff配置索引'!$M:$M,0)))</f>
        <v>0</v>
      </c>
      <c r="BD10" s="133" t="str">
        <f>IF(INDEX('#建筑消耗和buff配置索引'!BW:BW,MATCH($F10,'#建筑消耗和buff配置索引'!$M:$M,0))=0,"",INDEX('#建筑消耗和buff配置索引'!BW:BW,MATCH($F10,'#建筑消耗和buff配置索引'!$M:$M,0)))</f>
        <v/>
      </c>
      <c r="BE10" s="133" t="str">
        <f>IF(BD10="","",INDEX('#建筑消耗和buff配置索引'!BX:BX,MATCH($F10,'#建筑消耗和buff配置索引'!$M:$M,0)))</f>
        <v/>
      </c>
      <c r="BI10" s="133">
        <v>1</v>
      </c>
      <c r="BK10" s="133">
        <v>20003</v>
      </c>
      <c r="BM10" s="140">
        <v>12000</v>
      </c>
    </row>
    <row r="11" spans="1:70" s="133" customFormat="1" ht="16.5">
      <c r="A11" s="133">
        <v>2010008</v>
      </c>
      <c r="B11" s="133">
        <v>8</v>
      </c>
      <c r="C11" s="133">
        <v>201</v>
      </c>
      <c r="D11" s="133" t="s">
        <v>66</v>
      </c>
      <c r="E11" s="133">
        <v>8</v>
      </c>
      <c r="F11" s="133" t="str">
        <f t="shared" si="0"/>
        <v>城镇中心8</v>
      </c>
      <c r="G11" s="133" t="s">
        <v>1227</v>
      </c>
      <c r="H11" s="133" t="s">
        <v>1232</v>
      </c>
      <c r="I11" s="133">
        <v>1</v>
      </c>
      <c r="J11" s="150">
        <f>INDEX('#建筑消耗和buff配置索引'!AH:AH,MATCH($F11,'#建筑消耗和buff配置索引'!$M:$M,0))</f>
        <v>7200</v>
      </c>
      <c r="K11" s="150">
        <f>INDEX('#建筑消耗和buff配置索引'!AA:AA,MATCH($F11,'#建筑消耗和buff配置索引'!$M:$M,0))</f>
        <v>150000</v>
      </c>
      <c r="L11" s="150">
        <f>INDEX('#建筑消耗和buff配置索引'!AB:AB,MATCH($F11,'#建筑消耗和buff配置索引'!$M:$M,0))</f>
        <v>150000</v>
      </c>
      <c r="M11" s="150">
        <f>INDEX('#建筑消耗和buff配置索引'!AC:AC,MATCH($F11,'#建筑消耗和buff配置索引'!$M:$M,0))</f>
        <v>150000</v>
      </c>
      <c r="N11" s="150">
        <f>INDEX('#建筑消耗和buff配置索引'!AD:AD,MATCH($F11,'#建筑消耗和buff配置索引'!$M:$M,0))</f>
        <v>0</v>
      </c>
      <c r="O11" s="150" t="str">
        <f>IF(INDEX('#建筑消耗和buff配置索引'!T:T,MATCH($F11,'#建筑消耗和buff配置索引'!$M:$M,0))=0,"",INDEX('#建筑消耗和buff配置索引'!T:T,MATCH($F11,'#建筑消耗和buff配置索引'!$M:$M,0)))</f>
        <v/>
      </c>
      <c r="P11" s="133" t="str">
        <f>IF(INDEX('#建筑消耗和buff配置索引'!U:U,MATCH($F11,'#建筑消耗和buff配置索引'!$M:$M,0))=0,"",INDEX('#建筑消耗和buff配置索引'!U:U,MATCH($F11,'#建筑消耗和buff配置索引'!$M:$M,0)))</f>
        <v/>
      </c>
      <c r="Q11" s="133" t="str">
        <f>IF(INDEX('#建筑消耗和buff配置索引'!K:K,MATCH($F11,'#建筑消耗和buff配置索引'!$M:$M,0))=0,"",INDEX('#建筑消耗和buff配置索引'!K:K,MATCH($F11,'#建筑消耗和buff配置索引'!$M:$M,0)))</f>
        <v>215;206</v>
      </c>
      <c r="R11" s="133" t="str">
        <f>IF(INDEX('#建筑消耗和buff配置索引'!L:L,MATCH($F11,'#建筑消耗和buff配置索引'!$M:$M,0))=0,"",INDEX('#建筑消耗和buff配置索引'!L:L,MATCH($F11,'#建筑消耗和buff配置索引'!$M:$M,0)))</f>
        <v>7;7</v>
      </c>
      <c r="S11" s="133">
        <f>IF(INDEX('#建筑消耗和buff配置索引'!C:C,MATCH(F11,'#建筑消耗和buff配置索引'!M:M,0))=0,1,INDEX('#建筑消耗和buff配置索引'!C:C,MATCH(F11,'#建筑消耗和buff配置索引'!M:M,0)))</f>
        <v>2</v>
      </c>
      <c r="T11" s="151">
        <v>0</v>
      </c>
      <c r="U11" s="133">
        <v>0</v>
      </c>
      <c r="V11" s="133" t="str">
        <f>IF(E11=1,IF(INDEX('#建筑消耗和buff配置索引'!BY:BY,MATCH(D11,'#建筑消耗和buff配置索引'!A:A,0))=0,"",INDEX('#建筑消耗和buff配置索引'!BY:BY,MATCH(D11,'#建筑消耗和buff配置索引'!A:A,0))),"")</f>
        <v/>
      </c>
      <c r="W11" s="133" t="str">
        <f>IF(E11=1,IF(INDEX('#建筑消耗和buff配置索引'!BZ:BZ,MATCH(D11,'#建筑消耗和buff配置索引'!A:A,0))=0,"",INDEX('#建筑消耗和buff配置索引'!BZ:BZ,MATCH(D11,'#建筑消耗和buff配置索引'!A:A,0))),"")</f>
        <v/>
      </c>
      <c r="X11" s="133" t="str">
        <f t="shared" si="1"/>
        <v>TID_CityBuilding_detailUnlockText_2010008</v>
      </c>
      <c r="Y11" s="133" t="s">
        <v>539</v>
      </c>
      <c r="AA11" s="133">
        <f>INDEX('#建筑消耗和buff配置索引'!AO:AO,MATCH($F11,'#建筑消耗和buff配置索引'!$M:$M,0))</f>
        <v>1989</v>
      </c>
      <c r="AB11" s="133">
        <f>IF(INDEX('#建筑消耗和buff配置索引'!AR:AR,MATCH($F11,'#建筑消耗和buff配置索引'!$M:$M,0))=0,"",INDEX('#建筑消耗和buff配置索引'!AR:AR,MATCH($F11,'#建筑消耗和buff配置索引'!$M:$M,0)))</f>
        <v>6001</v>
      </c>
      <c r="AC11" s="133">
        <f>IF(AB11="","",INDEX('#建筑消耗和buff配置索引'!AS:AS,MATCH($F11,'#建筑消耗和buff配置索引'!$M:$M,0)))</f>
        <v>2000</v>
      </c>
      <c r="AF11" s="133">
        <f>IF(INDEX('#建筑消耗和buff配置索引'!AW:AW,MATCH($F11,'#建筑消耗和buff配置索引'!$M:$M,0))=0,"",INDEX('#建筑消耗和buff配置索引'!AW:AW,MATCH($F11,'#建筑消耗和buff配置索引'!$M:$M,0)))</f>
        <v>8025</v>
      </c>
      <c r="AG11" s="133">
        <f>IF(AF11="","",INDEX('#建筑消耗和buff配置索引'!AX:AX,MATCH($F11,'#建筑消耗和buff配置索引'!$M:$M,0)))</f>
        <v>1</v>
      </c>
      <c r="AJ11" s="133">
        <f>IF(INDEX('#建筑消耗和buff配置索引'!BB:BB,MATCH($F11,'#建筑消耗和buff配置索引'!$M:$M,0))=0,"",INDEX('#建筑消耗和buff配置索引'!BB:BB,MATCH($F11,'#建筑消耗和buff配置索引'!$M:$M,0)))</f>
        <v>1202</v>
      </c>
      <c r="AK11" s="133">
        <f>IF(AJ11="","",INDEX('#建筑消耗和buff配置索引'!BC:BC,MATCH($F11,'#建筑消耗和buff配置索引'!$M:$M,0)))</f>
        <v>4</v>
      </c>
      <c r="AN11" s="133">
        <f>IF(INDEX('#建筑消耗和buff配置索引'!BG:BG,MATCH($F11,'#建筑消耗和buff配置索引'!$M:$M,0))=0,"",INDEX('#建筑消耗和buff配置索引'!BG:BG,MATCH($F11,'#建筑消耗和buff配置索引'!$M:$M,0)))</f>
        <v>1205</v>
      </c>
      <c r="AO11" s="133">
        <f>IF(AN11="","",INDEX('#建筑消耗和buff配置索引'!BH:BH,MATCH($F11,'#建筑消耗和buff配置索引'!$M:$M,0)))</f>
        <v>2</v>
      </c>
      <c r="AR11" s="133">
        <f>IF(INDEX('#建筑消耗和buff配置索引'!BK:BK,MATCH($F11,'#建筑消耗和buff配置索引'!$M:$M,0))=0,"",INDEX('#建筑消耗和buff配置索引'!BK:BK,MATCH($F11,'#建筑消耗和buff配置索引'!$M:$M,0)))</f>
        <v>1209</v>
      </c>
      <c r="AS11" s="133">
        <f>IF(AR11="","",INDEX('#建筑消耗和buff配置索引'!BL:BL,MATCH($F11,'#建筑消耗和buff配置索引'!$M:$M,0)))</f>
        <v>2</v>
      </c>
      <c r="AV11" s="133">
        <f>IF(INDEX('#建筑消耗和buff配置索引'!BO:BO,MATCH($F11,'#建筑消耗和buff配置索引'!$M:$M,0))=0,"",INDEX('#建筑消耗和buff配置索引'!BO:BO,MATCH($F11,'#建筑消耗和buff配置索引'!$M:$M,0)))</f>
        <v>1210</v>
      </c>
      <c r="AW11" s="133">
        <f>IF(AV11="","",INDEX('#建筑消耗和buff配置索引'!BP:BP,MATCH($F11,'#建筑消耗和buff配置索引'!$M:$M,0)))</f>
        <v>1</v>
      </c>
      <c r="AZ11" s="133">
        <f>IF(INDEX('#建筑消耗和buff配置索引'!BS:BS,MATCH($F11,'#建筑消耗和buff配置索引'!$M:$M,0))=0,"",INDEX('#建筑消耗和buff配置索引'!BS:BS,MATCH($F11,'#建筑消耗和buff配置索引'!$M:$M,0)))</f>
        <v>1237</v>
      </c>
      <c r="BA11" s="133">
        <f>IF(AZ11="","",INDEX('#建筑消耗和buff配置索引'!BT:BT,MATCH($F11,'#建筑消耗和buff配置索引'!$M:$M,0)))</f>
        <v>0</v>
      </c>
      <c r="BD11" s="133" t="str">
        <f>IF(INDEX('#建筑消耗和buff配置索引'!BW:BW,MATCH($F11,'#建筑消耗和buff配置索引'!$M:$M,0))=0,"",INDEX('#建筑消耗和buff配置索引'!BW:BW,MATCH($F11,'#建筑消耗和buff配置索引'!$M:$M,0)))</f>
        <v/>
      </c>
      <c r="BE11" s="133" t="str">
        <f>IF(BD11="","",INDEX('#建筑消耗和buff配置索引'!BX:BX,MATCH($F11,'#建筑消耗和buff配置索引'!$M:$M,0)))</f>
        <v/>
      </c>
      <c r="BI11" s="133">
        <v>1</v>
      </c>
      <c r="BK11" s="133">
        <v>20004</v>
      </c>
      <c r="BM11" s="140">
        <v>15000</v>
      </c>
    </row>
    <row r="12" spans="1:70" s="133" customFormat="1" ht="16.5">
      <c r="A12" s="133">
        <v>2010009</v>
      </c>
      <c r="B12" s="133">
        <v>9</v>
      </c>
      <c r="C12" s="133">
        <v>201</v>
      </c>
      <c r="D12" s="133" t="s">
        <v>66</v>
      </c>
      <c r="E12" s="133">
        <v>9</v>
      </c>
      <c r="F12" s="133" t="str">
        <f t="shared" si="0"/>
        <v>城镇中心9</v>
      </c>
      <c r="G12" s="133" t="s">
        <v>1236</v>
      </c>
      <c r="H12" s="133" t="s">
        <v>1237</v>
      </c>
      <c r="I12" s="133">
        <v>1</v>
      </c>
      <c r="J12" s="150">
        <f>INDEX('#建筑消耗和buff配置索引'!AH:AH,MATCH($F12,'#建筑消耗和buff配置索引'!$M:$M,0))</f>
        <v>14400</v>
      </c>
      <c r="K12" s="150">
        <f>INDEX('#建筑消耗和buff配置索引'!AA:AA,MATCH($F12,'#建筑消耗和buff配置索引'!$M:$M,0))</f>
        <v>240000</v>
      </c>
      <c r="L12" s="150">
        <f>INDEX('#建筑消耗和buff配置索引'!AB:AB,MATCH($F12,'#建筑消耗和buff配置索引'!$M:$M,0))</f>
        <v>240000</v>
      </c>
      <c r="M12" s="150">
        <f>INDEX('#建筑消耗和buff配置索引'!AC:AC,MATCH($F12,'#建筑消耗和buff配置索引'!$M:$M,0))</f>
        <v>240000</v>
      </c>
      <c r="N12" s="150">
        <f>INDEX('#建筑消耗和buff配置索引'!AD:AD,MATCH($F12,'#建筑消耗和buff配置索引'!$M:$M,0))</f>
        <v>0</v>
      </c>
      <c r="O12" s="150" t="str">
        <f>IF(INDEX('#建筑消耗和buff配置索引'!T:T,MATCH($F12,'#建筑消耗和buff配置索引'!$M:$M,0))=0,"",INDEX('#建筑消耗和buff配置索引'!T:T,MATCH($F12,'#建筑消耗和buff配置索引'!$M:$M,0)))</f>
        <v/>
      </c>
      <c r="P12" s="133" t="str">
        <f>IF(INDEX('#建筑消耗和buff配置索引'!U:U,MATCH($F12,'#建筑消耗和buff配置索引'!$M:$M,0))=0,"",INDEX('#建筑消耗和buff配置索引'!U:U,MATCH($F12,'#建筑消耗和buff配置索引'!$M:$M,0)))</f>
        <v/>
      </c>
      <c r="Q12" s="133" t="str">
        <f>IF(INDEX('#建筑消耗和buff配置索引'!K:K,MATCH($F12,'#建筑消耗和buff配置索引'!$M:$M,0))=0,"",INDEX('#建筑消耗和buff配置索引'!K:K,MATCH($F12,'#建筑消耗和buff配置索引'!$M:$M,0)))</f>
        <v>215;230</v>
      </c>
      <c r="R12" s="133" t="str">
        <f>IF(INDEX('#建筑消耗和buff配置索引'!L:L,MATCH($F12,'#建筑消耗和buff配置索引'!$M:$M,0))=0,"",INDEX('#建筑消耗和buff配置索引'!L:L,MATCH($F12,'#建筑消耗和buff配置索引'!$M:$M,0)))</f>
        <v>8;8</v>
      </c>
      <c r="S12" s="133">
        <f>IF(INDEX('#建筑消耗和buff配置索引'!C:C,MATCH(F12,'#建筑消耗和buff配置索引'!M:M,0))=0,1,INDEX('#建筑消耗和buff配置索引'!C:C,MATCH(F12,'#建筑消耗和buff配置索引'!M:M,0)))</f>
        <v>2</v>
      </c>
      <c r="T12" s="151">
        <v>0</v>
      </c>
      <c r="U12" s="133">
        <v>0</v>
      </c>
      <c r="V12" s="133" t="str">
        <f>IF(E12=1,IF(INDEX('#建筑消耗和buff配置索引'!BY:BY,MATCH(D12,'#建筑消耗和buff配置索引'!A:A,0))=0,"",INDEX('#建筑消耗和buff配置索引'!BY:BY,MATCH(D12,'#建筑消耗和buff配置索引'!A:A,0))),"")</f>
        <v/>
      </c>
      <c r="W12" s="133" t="str">
        <f>IF(E12=1,IF(INDEX('#建筑消耗和buff配置索引'!BZ:BZ,MATCH(D12,'#建筑消耗和buff配置索引'!A:A,0))=0,"",INDEX('#建筑消耗和buff配置索引'!BZ:BZ,MATCH(D12,'#建筑消耗和buff配置索引'!A:A,0))),"")</f>
        <v/>
      </c>
      <c r="X12" s="133" t="str">
        <f t="shared" si="1"/>
        <v>TID_CityBuilding_detailUnlockText_2010009</v>
      </c>
      <c r="Y12" s="133" t="s">
        <v>1241</v>
      </c>
      <c r="AA12" s="133">
        <f>INDEX('#建筑消耗和buff配置索引'!AO:AO,MATCH($F12,'#建筑消耗和buff配置索引'!$M:$M,0))</f>
        <v>3448</v>
      </c>
      <c r="AB12" s="133">
        <f>IF(INDEX('#建筑消耗和buff配置索引'!AR:AR,MATCH($F12,'#建筑消耗和buff配置索引'!$M:$M,0))=0,"",INDEX('#建筑消耗和buff配置索引'!AR:AR,MATCH($F12,'#建筑消耗和buff配置索引'!$M:$M,0)))</f>
        <v>6001</v>
      </c>
      <c r="AC12" s="133">
        <f>IF(AB12="","",INDEX('#建筑消耗和buff配置索引'!AS:AS,MATCH($F12,'#建筑消耗和buff配置索引'!$M:$M,0)))</f>
        <v>2500</v>
      </c>
      <c r="AF12" s="133">
        <f>IF(INDEX('#建筑消耗和buff配置索引'!AW:AW,MATCH($F12,'#建筑消耗和buff配置索引'!$M:$M,0))=0,"",INDEX('#建筑消耗和buff配置索引'!AW:AW,MATCH($F12,'#建筑消耗和buff配置索引'!$M:$M,0)))</f>
        <v>8025</v>
      </c>
      <c r="AG12" s="133">
        <f>IF(AF12="","",INDEX('#建筑消耗和buff配置索引'!AX:AX,MATCH($F12,'#建筑消耗和buff配置索引'!$M:$M,0)))</f>
        <v>1</v>
      </c>
      <c r="AJ12" s="133">
        <f>IF(INDEX('#建筑消耗和buff配置索引'!BB:BB,MATCH($F12,'#建筑消耗和buff配置索引'!$M:$M,0))=0,"",INDEX('#建筑消耗和buff配置索引'!BB:BB,MATCH($F12,'#建筑消耗和buff配置索引'!$M:$M,0)))</f>
        <v>1202</v>
      </c>
      <c r="AK12" s="133">
        <f>IF(AJ12="","",INDEX('#建筑消耗和buff配置索引'!BC:BC,MATCH($F12,'#建筑消耗和buff配置索引'!$M:$M,0)))</f>
        <v>4</v>
      </c>
      <c r="AN12" s="133">
        <f>IF(INDEX('#建筑消耗和buff配置索引'!BG:BG,MATCH($F12,'#建筑消耗和buff配置索引'!$M:$M,0))=0,"",INDEX('#建筑消耗和buff配置索引'!BG:BG,MATCH($F12,'#建筑消耗和buff配置索引'!$M:$M,0)))</f>
        <v>1205</v>
      </c>
      <c r="AO12" s="133">
        <f>IF(AN12="","",INDEX('#建筑消耗和buff配置索引'!BH:BH,MATCH($F12,'#建筑消耗和buff配置索引'!$M:$M,0)))</f>
        <v>2</v>
      </c>
      <c r="AR12" s="133">
        <f>IF(INDEX('#建筑消耗和buff配置索引'!BK:BK,MATCH($F12,'#建筑消耗和buff配置索引'!$M:$M,0))=0,"",INDEX('#建筑消耗和buff配置索引'!BK:BK,MATCH($F12,'#建筑消耗和buff配置索引'!$M:$M,0)))</f>
        <v>1209</v>
      </c>
      <c r="AS12" s="133">
        <f>IF(AR12="","",INDEX('#建筑消耗和buff配置索引'!BL:BL,MATCH($F12,'#建筑消耗和buff配置索引'!$M:$M,0)))</f>
        <v>2</v>
      </c>
      <c r="AV12" s="133">
        <f>IF(INDEX('#建筑消耗和buff配置索引'!BO:BO,MATCH($F12,'#建筑消耗和buff配置索引'!$M:$M,0))=0,"",INDEX('#建筑消耗和buff配置索引'!BO:BO,MATCH($F12,'#建筑消耗和buff配置索引'!$M:$M,0)))</f>
        <v>1210</v>
      </c>
      <c r="AW12" s="133">
        <f>IF(AV12="","",INDEX('#建筑消耗和buff配置索引'!BP:BP,MATCH($F12,'#建筑消耗和buff配置索引'!$M:$M,0)))</f>
        <v>2</v>
      </c>
      <c r="AZ12" s="133">
        <f>IF(INDEX('#建筑消耗和buff配置索引'!BS:BS,MATCH($F12,'#建筑消耗和buff配置索引'!$M:$M,0))=0,"",INDEX('#建筑消耗和buff配置索引'!BS:BS,MATCH($F12,'#建筑消耗和buff配置索引'!$M:$M,0)))</f>
        <v>1237</v>
      </c>
      <c r="BA12" s="133">
        <f>IF(AZ12="","",INDEX('#建筑消耗和buff配置索引'!BT:BT,MATCH($F12,'#建筑消耗和buff配置索引'!$M:$M,0)))</f>
        <v>0</v>
      </c>
      <c r="BD12" s="133" t="str">
        <f>IF(INDEX('#建筑消耗和buff配置索引'!BW:BW,MATCH($F12,'#建筑消耗和buff配置索引'!$M:$M,0))=0,"",INDEX('#建筑消耗和buff配置索引'!BW:BW,MATCH($F12,'#建筑消耗和buff配置索引'!$M:$M,0)))</f>
        <v/>
      </c>
      <c r="BE12" s="133" t="str">
        <f>IF(BD12="","",INDEX('#建筑消耗和buff配置索引'!BX:BX,MATCH($F12,'#建筑消耗和buff配置索引'!$M:$M,0)))</f>
        <v/>
      </c>
      <c r="BI12" s="133">
        <v>1</v>
      </c>
      <c r="BK12" s="133">
        <v>20005</v>
      </c>
      <c r="BM12" s="140">
        <v>20000</v>
      </c>
    </row>
    <row r="13" spans="1:70" s="133" customFormat="1" ht="16.5">
      <c r="A13" s="133">
        <v>2010010</v>
      </c>
      <c r="B13" s="133">
        <v>10</v>
      </c>
      <c r="C13" s="133">
        <v>201</v>
      </c>
      <c r="D13" s="133" t="s">
        <v>66</v>
      </c>
      <c r="E13" s="133">
        <v>10</v>
      </c>
      <c r="F13" s="133" t="str">
        <f t="shared" si="0"/>
        <v>城镇中心10</v>
      </c>
      <c r="G13" s="133" t="s">
        <v>1236</v>
      </c>
      <c r="H13" s="133" t="s">
        <v>1242</v>
      </c>
      <c r="I13" s="133">
        <v>1</v>
      </c>
      <c r="J13" s="150">
        <f>INDEX('#建筑消耗和buff配置索引'!AH:AH,MATCH($F13,'#建筑消耗和buff配置索引'!$M:$M,0))</f>
        <v>21600</v>
      </c>
      <c r="K13" s="150">
        <f>INDEX('#建筑消耗和buff配置索引'!AA:AA,MATCH($F13,'#建筑消耗和buff配置索引'!$M:$M,0))</f>
        <v>290000</v>
      </c>
      <c r="L13" s="150">
        <f>INDEX('#建筑消耗和buff配置索引'!AB:AB,MATCH($F13,'#建筑消耗和buff配置索引'!$M:$M,0))</f>
        <v>290000</v>
      </c>
      <c r="M13" s="150">
        <f>INDEX('#建筑消耗和buff配置索引'!AC:AC,MATCH($F13,'#建筑消耗和buff配置索引'!$M:$M,0))</f>
        <v>290000</v>
      </c>
      <c r="N13" s="150">
        <f>INDEX('#建筑消耗和buff配置索引'!AD:AD,MATCH($F13,'#建筑消耗和buff配置索引'!$M:$M,0))</f>
        <v>290000</v>
      </c>
      <c r="O13" s="150" t="str">
        <f>IF(INDEX('#建筑消耗和buff配置索引'!T:T,MATCH($F13,'#建筑消耗和buff配置索引'!$M:$M,0))=0,"",INDEX('#建筑消耗和buff配置索引'!T:T,MATCH($F13,'#建筑消耗和buff配置索引'!$M:$M,0)))</f>
        <v/>
      </c>
      <c r="P13" s="133" t="str">
        <f>IF(INDEX('#建筑消耗和buff配置索引'!U:U,MATCH($F13,'#建筑消耗和buff配置索引'!$M:$M,0))=0,"",INDEX('#建筑消耗和buff配置索引'!U:U,MATCH($F13,'#建筑消耗和buff配置索引'!$M:$M,0)))</f>
        <v/>
      </c>
      <c r="Q13" s="133" t="str">
        <f>IF(INDEX('#建筑消耗和buff配置索引'!K:K,MATCH($F13,'#建筑消耗和buff配置索引'!$M:$M,0))=0,"",INDEX('#建筑消耗和buff配置索引'!K:K,MATCH($F13,'#建筑消耗和buff配置索引'!$M:$M,0)))</f>
        <v>215;211</v>
      </c>
      <c r="R13" s="133" t="str">
        <f>IF(INDEX('#建筑消耗和buff配置索引'!L:L,MATCH($F13,'#建筑消耗和buff配置索引'!$M:$M,0))=0,"",INDEX('#建筑消耗和buff配置索引'!L:L,MATCH($F13,'#建筑消耗和buff配置索引'!$M:$M,0)))</f>
        <v>9;9</v>
      </c>
      <c r="S13" s="133">
        <f>IF(INDEX('#建筑消耗和buff配置索引'!C:C,MATCH(F13,'#建筑消耗和buff配置索引'!M:M,0))=0,1,INDEX('#建筑消耗和buff配置索引'!C:C,MATCH(F13,'#建筑消耗和buff配置索引'!M:M,0)))</f>
        <v>2</v>
      </c>
      <c r="T13" s="151">
        <v>0</v>
      </c>
      <c r="U13" s="133">
        <v>0</v>
      </c>
      <c r="V13" s="133" t="str">
        <f>IF(E13=1,IF(INDEX('#建筑消耗和buff配置索引'!BY:BY,MATCH(D13,'#建筑消耗和buff配置索引'!A:A,0))=0,"",INDEX('#建筑消耗和buff配置索引'!BY:BY,MATCH(D13,'#建筑消耗和buff配置索引'!A:A,0))),"")</f>
        <v/>
      </c>
      <c r="W13" s="133" t="str">
        <f>IF(E13=1,IF(INDEX('#建筑消耗和buff配置索引'!BZ:BZ,MATCH(D13,'#建筑消耗和buff配置索引'!A:A,0))=0,"",INDEX('#建筑消耗和buff配置索引'!BZ:BZ,MATCH(D13,'#建筑消耗和buff配置索引'!A:A,0))),"")</f>
        <v/>
      </c>
      <c r="AA13" s="133">
        <f>INDEX('#建筑消耗和buff配置索引'!AO:AO,MATCH($F13,'#建筑消耗和buff配置索引'!$M:$M,0))</f>
        <v>5753</v>
      </c>
      <c r="AB13" s="133">
        <f>IF(INDEX('#建筑消耗和buff配置索引'!AR:AR,MATCH($F13,'#建筑消耗和buff配置索引'!$M:$M,0))=0,"",INDEX('#建筑消耗和buff配置索引'!AR:AR,MATCH($F13,'#建筑消耗和buff配置索引'!$M:$M,0)))</f>
        <v>6001</v>
      </c>
      <c r="AC13" s="133">
        <f>IF(AB13="","",INDEX('#建筑消耗和buff配置索引'!AS:AS,MATCH($F13,'#建筑消耗和buff配置索引'!$M:$M,0)))</f>
        <v>3000</v>
      </c>
      <c r="AF13" s="133">
        <f>IF(INDEX('#建筑消耗和buff配置索引'!AW:AW,MATCH($F13,'#建筑消耗和buff配置索引'!$M:$M,0))=0,"",INDEX('#建筑消耗和buff配置索引'!AW:AW,MATCH($F13,'#建筑消耗和buff配置索引'!$M:$M,0)))</f>
        <v>8025</v>
      </c>
      <c r="AG13" s="133">
        <f>IF(AF13="","",INDEX('#建筑消耗和buff配置索引'!AX:AX,MATCH($F13,'#建筑消耗和buff配置索引'!$M:$M,0)))</f>
        <v>1</v>
      </c>
      <c r="AJ13" s="133">
        <f>IF(INDEX('#建筑消耗和buff配置索引'!BB:BB,MATCH($F13,'#建筑消耗和buff配置索引'!$M:$M,0))=0,"",INDEX('#建筑消耗和buff配置索引'!BB:BB,MATCH($F13,'#建筑消耗和buff配置索引'!$M:$M,0)))</f>
        <v>1202</v>
      </c>
      <c r="AK13" s="133">
        <f>IF(AJ13="","",INDEX('#建筑消耗和buff配置索引'!BC:BC,MATCH($F13,'#建筑消耗和buff配置索引'!$M:$M,0)))</f>
        <v>4</v>
      </c>
      <c r="AN13" s="133">
        <f>IF(INDEX('#建筑消耗和buff配置索引'!BG:BG,MATCH($F13,'#建筑消耗和buff配置索引'!$M:$M,0))=0,"",INDEX('#建筑消耗和buff配置索引'!BG:BG,MATCH($F13,'#建筑消耗和buff配置索引'!$M:$M,0)))</f>
        <v>1205</v>
      </c>
      <c r="AO13" s="133">
        <f>IF(AN13="","",INDEX('#建筑消耗和buff配置索引'!BH:BH,MATCH($F13,'#建筑消耗和buff配置索引'!$M:$M,0)))</f>
        <v>2</v>
      </c>
      <c r="AR13" s="133">
        <f>IF(INDEX('#建筑消耗和buff配置索引'!BK:BK,MATCH($F13,'#建筑消耗和buff配置索引'!$M:$M,0))=0,"",INDEX('#建筑消耗和buff配置索引'!BK:BK,MATCH($F13,'#建筑消耗和buff配置索引'!$M:$M,0)))</f>
        <v>1209</v>
      </c>
      <c r="AS13" s="133">
        <f>IF(AR13="","",INDEX('#建筑消耗和buff配置索引'!BL:BL,MATCH($F13,'#建筑消耗和buff配置索引'!$M:$M,0)))</f>
        <v>2</v>
      </c>
      <c r="AV13" s="133">
        <f>IF(INDEX('#建筑消耗和buff配置索引'!BO:BO,MATCH($F13,'#建筑消耗和buff配置索引'!$M:$M,0))=0,"",INDEX('#建筑消耗和buff配置索引'!BO:BO,MATCH($F13,'#建筑消耗和buff配置索引'!$M:$M,0)))</f>
        <v>1210</v>
      </c>
      <c r="AW13" s="133">
        <f>IF(AV13="","",INDEX('#建筑消耗和buff配置索引'!BP:BP,MATCH($F13,'#建筑消耗和buff配置索引'!$M:$M,0)))</f>
        <v>2</v>
      </c>
      <c r="AZ13" s="133">
        <f>IF(INDEX('#建筑消耗和buff配置索引'!BS:BS,MATCH($F13,'#建筑消耗和buff配置索引'!$M:$M,0))=0,"",INDEX('#建筑消耗和buff配置索引'!BS:BS,MATCH($F13,'#建筑消耗和buff配置索引'!$M:$M,0)))</f>
        <v>1237</v>
      </c>
      <c r="BA13" s="133">
        <f>IF(AZ13="","",INDEX('#建筑消耗和buff配置索引'!BT:BT,MATCH($F13,'#建筑消耗和buff配置索引'!$M:$M,0)))</f>
        <v>1</v>
      </c>
      <c r="BD13" s="133" t="str">
        <f>IF(INDEX('#建筑消耗和buff配置索引'!BW:BW,MATCH($F13,'#建筑消耗和buff配置索引'!$M:$M,0))=0,"",INDEX('#建筑消耗和buff配置索引'!BW:BW,MATCH($F13,'#建筑消耗和buff配置索引'!$M:$M,0)))</f>
        <v/>
      </c>
      <c r="BE13" s="133" t="str">
        <f>IF(BD13="","",INDEX('#建筑消耗和buff配置索引'!BX:BX,MATCH($F13,'#建筑消耗和buff配置索引'!$M:$M,0)))</f>
        <v/>
      </c>
      <c r="BI13" s="133">
        <v>1</v>
      </c>
      <c r="BK13" s="133">
        <v>20006</v>
      </c>
      <c r="BM13" s="140">
        <v>27000</v>
      </c>
    </row>
    <row r="14" spans="1:70" s="133" customFormat="1" ht="16.5">
      <c r="A14" s="133">
        <v>2010011</v>
      </c>
      <c r="B14" s="133">
        <v>11</v>
      </c>
      <c r="C14" s="133">
        <v>201</v>
      </c>
      <c r="D14" s="133" t="s">
        <v>66</v>
      </c>
      <c r="E14" s="133">
        <v>11</v>
      </c>
      <c r="F14" s="133" t="str">
        <f t="shared" si="0"/>
        <v>城镇中心11</v>
      </c>
      <c r="G14" s="133" t="s">
        <v>1245</v>
      </c>
      <c r="H14" s="133" t="s">
        <v>1246</v>
      </c>
      <c r="I14" s="133">
        <v>1</v>
      </c>
      <c r="J14" s="150">
        <f>INDEX('#建筑消耗和buff配置索引'!AH:AH,MATCH($F14,'#建筑消耗和buff配置索引'!$M:$M,0))</f>
        <v>32400</v>
      </c>
      <c r="K14" s="150">
        <f>INDEX('#建筑消耗和buff配置索引'!AA:AA,MATCH($F14,'#建筑消耗和buff配置索引'!$M:$M,0))</f>
        <v>440000</v>
      </c>
      <c r="L14" s="150">
        <f>INDEX('#建筑消耗和buff配置索引'!AB:AB,MATCH($F14,'#建筑消耗和buff配置索引'!$M:$M,0))</f>
        <v>440000</v>
      </c>
      <c r="M14" s="150">
        <f>INDEX('#建筑消耗和buff配置索引'!AC:AC,MATCH($F14,'#建筑消耗和buff配置索引'!$M:$M,0))</f>
        <v>440000</v>
      </c>
      <c r="N14" s="150">
        <f>INDEX('#建筑消耗和buff配置索引'!AD:AD,MATCH($F14,'#建筑消耗和buff配置索引'!$M:$M,0))</f>
        <v>440000</v>
      </c>
      <c r="O14" s="150" t="str">
        <f>IF(INDEX('#建筑消耗和buff配置索引'!T:T,MATCH($F14,'#建筑消耗和buff配置索引'!$M:$M,0))=0,"",INDEX('#建筑消耗和buff配置索引'!T:T,MATCH($F14,'#建筑消耗和buff配置索引'!$M:$M,0)))</f>
        <v/>
      </c>
      <c r="P14" s="133" t="str">
        <f>IF(INDEX('#建筑消耗和buff配置索引'!U:U,MATCH($F14,'#建筑消耗和buff配置索引'!$M:$M,0))=0,"",INDEX('#建筑消耗和buff配置索引'!U:U,MATCH($F14,'#建筑消耗和buff配置索引'!$M:$M,0)))</f>
        <v/>
      </c>
      <c r="Q14" s="133" t="str">
        <f>IF(INDEX('#建筑消耗和buff配置索引'!K:K,MATCH($F14,'#建筑消耗和buff配置索引'!$M:$M,0))=0,"",INDEX('#建筑消耗和buff配置索引'!K:K,MATCH($F14,'#建筑消耗和buff配置索引'!$M:$M,0)))</f>
        <v>215;222</v>
      </c>
      <c r="R14" s="133" t="str">
        <f>IF(INDEX('#建筑消耗和buff配置索引'!L:L,MATCH($F14,'#建筑消耗和buff配置索引'!$M:$M,0))=0,"",INDEX('#建筑消耗和buff配置索引'!L:L,MATCH($F14,'#建筑消耗和buff配置索引'!$M:$M,0)))</f>
        <v>10;10</v>
      </c>
      <c r="S14" s="133">
        <f>IF(INDEX('#建筑消耗和buff配置索引'!C:C,MATCH(F14,'#建筑消耗和buff配置索引'!M:M,0))=0,1,INDEX('#建筑消耗和buff配置索引'!C:C,MATCH(F14,'#建筑消耗和buff配置索引'!M:M,0)))</f>
        <v>3</v>
      </c>
      <c r="T14" s="151">
        <v>0</v>
      </c>
      <c r="U14" s="133">
        <v>0</v>
      </c>
      <c r="V14" s="133" t="str">
        <f>IF(E14=1,IF(INDEX('#建筑消耗和buff配置索引'!BY:BY,MATCH(D14,'#建筑消耗和buff配置索引'!A:A,0))=0,"",INDEX('#建筑消耗和buff配置索引'!BY:BY,MATCH(D14,'#建筑消耗和buff配置索引'!A:A,0))),"")</f>
        <v/>
      </c>
      <c r="W14" s="133" t="str">
        <f>IF(E14=1,IF(INDEX('#建筑消耗和buff配置索引'!BZ:BZ,MATCH(D14,'#建筑消耗和buff配置索引'!A:A,0))=0,"",INDEX('#建筑消耗和buff配置索引'!BZ:BZ,MATCH(D14,'#建筑消耗和buff配置索引'!A:A,0))),"")</f>
        <v/>
      </c>
      <c r="AA14" s="133">
        <f>INDEX('#建筑消耗和buff配置索引'!AO:AO,MATCH($F14,'#建筑消耗和buff配置索引'!$M:$M,0))</f>
        <v>9234</v>
      </c>
      <c r="AB14" s="133">
        <f>IF(INDEX('#建筑消耗和buff配置索引'!AR:AR,MATCH($F14,'#建筑消耗和buff配置索引'!$M:$M,0))=0,"",INDEX('#建筑消耗和buff配置索引'!AR:AR,MATCH($F14,'#建筑消耗和buff配置索引'!$M:$M,0)))</f>
        <v>6001</v>
      </c>
      <c r="AC14" s="133">
        <f>IF(AB14="","",INDEX('#建筑消耗和buff配置索引'!AS:AS,MATCH($F14,'#建筑消耗和buff配置索引'!$M:$M,0)))</f>
        <v>4000</v>
      </c>
      <c r="AF14" s="133">
        <f>IF(INDEX('#建筑消耗和buff配置索引'!AW:AW,MATCH($F14,'#建筑消耗和buff配置索引'!$M:$M,0))=0,"",INDEX('#建筑消耗和buff配置索引'!AW:AW,MATCH($F14,'#建筑消耗和buff配置索引'!$M:$M,0)))</f>
        <v>8025</v>
      </c>
      <c r="AG14" s="133">
        <f>IF(AF14="","",INDEX('#建筑消耗和buff配置索引'!AX:AX,MATCH($F14,'#建筑消耗和buff配置索引'!$M:$M,0)))</f>
        <v>1</v>
      </c>
      <c r="AJ14" s="133">
        <f>IF(INDEX('#建筑消耗和buff配置索引'!BB:BB,MATCH($F14,'#建筑消耗和buff配置索引'!$M:$M,0))=0,"",INDEX('#建筑消耗和buff配置索引'!BB:BB,MATCH($F14,'#建筑消耗和buff配置索引'!$M:$M,0)))</f>
        <v>1202</v>
      </c>
      <c r="AK14" s="133">
        <f>IF(AJ14="","",INDEX('#建筑消耗和buff配置索引'!BC:BC,MATCH($F14,'#建筑消耗和buff配置索引'!$M:$M,0)))</f>
        <v>4</v>
      </c>
      <c r="AN14" s="133">
        <f>IF(INDEX('#建筑消耗和buff配置索引'!BG:BG,MATCH($F14,'#建筑消耗和buff配置索引'!$M:$M,0))=0,"",INDEX('#建筑消耗和buff配置索引'!BG:BG,MATCH($F14,'#建筑消耗和buff配置索引'!$M:$M,0)))</f>
        <v>1205</v>
      </c>
      <c r="AO14" s="133">
        <f>IF(AN14="","",INDEX('#建筑消耗和buff配置索引'!BH:BH,MATCH($F14,'#建筑消耗和buff配置索引'!$M:$M,0)))</f>
        <v>2</v>
      </c>
      <c r="AR14" s="133">
        <f>IF(INDEX('#建筑消耗和buff配置索引'!BK:BK,MATCH($F14,'#建筑消耗和buff配置索引'!$M:$M,0))=0,"",INDEX('#建筑消耗和buff配置索引'!BK:BK,MATCH($F14,'#建筑消耗和buff配置索引'!$M:$M,0)))</f>
        <v>1209</v>
      </c>
      <c r="AS14" s="133">
        <f>IF(AR14="","",INDEX('#建筑消耗和buff配置索引'!BL:BL,MATCH($F14,'#建筑消耗和buff配置索引'!$M:$M,0)))</f>
        <v>2</v>
      </c>
      <c r="AV14" s="133">
        <f>IF(INDEX('#建筑消耗和buff配置索引'!BO:BO,MATCH($F14,'#建筑消耗和buff配置索引'!$M:$M,0))=0,"",INDEX('#建筑消耗和buff配置索引'!BO:BO,MATCH($F14,'#建筑消耗和buff配置索引'!$M:$M,0)))</f>
        <v>1210</v>
      </c>
      <c r="AW14" s="133">
        <f>IF(AV14="","",INDEX('#建筑消耗和buff配置索引'!BP:BP,MATCH($F14,'#建筑消耗和buff配置索引'!$M:$M,0)))</f>
        <v>2</v>
      </c>
      <c r="AZ14" s="133">
        <f>IF(INDEX('#建筑消耗和buff配置索引'!BS:BS,MATCH($F14,'#建筑消耗和buff配置索引'!$M:$M,0))=0,"",INDEX('#建筑消耗和buff配置索引'!BS:BS,MATCH($F14,'#建筑消耗和buff配置索引'!$M:$M,0)))</f>
        <v>1237</v>
      </c>
      <c r="BA14" s="133">
        <f>IF(AZ14="","",INDEX('#建筑消耗和buff配置索引'!BT:BT,MATCH($F14,'#建筑消耗和buff配置索引'!$M:$M,0)))</f>
        <v>1</v>
      </c>
      <c r="BD14" s="133" t="str">
        <f>IF(INDEX('#建筑消耗和buff配置索引'!BW:BW,MATCH($F14,'#建筑消耗和buff配置索引'!$M:$M,0))=0,"",INDEX('#建筑消耗和buff配置索引'!BW:BW,MATCH($F14,'#建筑消耗和buff配置索引'!$M:$M,0)))</f>
        <v/>
      </c>
      <c r="BE14" s="133" t="str">
        <f>IF(BD14="","",INDEX('#建筑消耗和buff配置索引'!BX:BX,MATCH($F14,'#建筑消耗和buff配置索引'!$M:$M,0)))</f>
        <v/>
      </c>
      <c r="BI14" s="133">
        <v>1</v>
      </c>
      <c r="BK14" s="133">
        <v>20007</v>
      </c>
      <c r="BM14" s="140">
        <v>35000</v>
      </c>
    </row>
    <row r="15" spans="1:70" s="133" customFormat="1" ht="16.5">
      <c r="A15" s="133">
        <v>2010012</v>
      </c>
      <c r="B15" s="133">
        <v>12</v>
      </c>
      <c r="C15" s="133">
        <v>201</v>
      </c>
      <c r="D15" s="133" t="s">
        <v>66</v>
      </c>
      <c r="E15" s="133">
        <v>12</v>
      </c>
      <c r="F15" s="133" t="str">
        <f t="shared" si="0"/>
        <v>城镇中心12</v>
      </c>
      <c r="G15" s="133" t="s">
        <v>1250</v>
      </c>
      <c r="H15" s="133" t="s">
        <v>1251</v>
      </c>
      <c r="I15" s="133">
        <v>2</v>
      </c>
      <c r="J15" s="150">
        <f>INDEX('#建筑消耗和buff配置索引'!AH:AH,MATCH($F15,'#建筑消耗和buff配置索引'!$M:$M,0))</f>
        <v>43200</v>
      </c>
      <c r="K15" s="150">
        <f>INDEX('#建筑消耗和buff配置索引'!AA:AA,MATCH($F15,'#建筑消耗和buff配置索引'!$M:$M,0))</f>
        <v>630000</v>
      </c>
      <c r="L15" s="150">
        <f>INDEX('#建筑消耗和buff配置索引'!AB:AB,MATCH($F15,'#建筑消耗和buff配置索引'!$M:$M,0))</f>
        <v>630000</v>
      </c>
      <c r="M15" s="150">
        <f>INDEX('#建筑消耗和buff配置索引'!AC:AC,MATCH($F15,'#建筑消耗和buff配置索引'!$M:$M,0))</f>
        <v>630000</v>
      </c>
      <c r="N15" s="150">
        <f>INDEX('#建筑消耗和buff配置索引'!AD:AD,MATCH($F15,'#建筑消耗和buff配置索引'!$M:$M,0))</f>
        <v>630000</v>
      </c>
      <c r="O15" s="150" t="str">
        <f>IF(INDEX('#建筑消耗和buff配置索引'!T:T,MATCH($F15,'#建筑消耗和buff配置索引'!$M:$M,0))=0,"",INDEX('#建筑消耗和buff配置索引'!T:T,MATCH($F15,'#建筑消耗和buff配置索引'!$M:$M,0)))</f>
        <v/>
      </c>
      <c r="P15" s="133" t="str">
        <f>IF(INDEX('#建筑消耗和buff配置索引'!U:U,MATCH($F15,'#建筑消耗和buff配置索引'!$M:$M,0))=0,"",INDEX('#建筑消耗和buff配置索引'!U:U,MATCH($F15,'#建筑消耗和buff配置索引'!$M:$M,0)))</f>
        <v/>
      </c>
      <c r="Q15" s="133" t="str">
        <f>IF(INDEX('#建筑消耗和buff配置索引'!K:K,MATCH($F15,'#建筑消耗和buff配置索引'!$M:$M,0))=0,"",INDEX('#建筑消耗和buff配置索引'!K:K,MATCH($F15,'#建筑消耗和buff配置索引'!$M:$M,0)))</f>
        <v>215;231</v>
      </c>
      <c r="R15" s="133" t="str">
        <f>IF(INDEX('#建筑消耗和buff配置索引'!L:L,MATCH($F15,'#建筑消耗和buff配置索引'!$M:$M,0))=0,"",INDEX('#建筑消耗和buff配置索引'!L:L,MATCH($F15,'#建筑消耗和buff配置索引'!$M:$M,0)))</f>
        <v>11;11</v>
      </c>
      <c r="S15" s="133">
        <f>IF(INDEX('#建筑消耗和buff配置索引'!C:C,MATCH(F15,'#建筑消耗和buff配置索引'!M:M,0))=0,1,INDEX('#建筑消耗和buff配置索引'!C:C,MATCH(F15,'#建筑消耗和buff配置索引'!M:M,0)))</f>
        <v>3</v>
      </c>
      <c r="T15" s="151">
        <v>0</v>
      </c>
      <c r="U15" s="133">
        <v>0</v>
      </c>
      <c r="V15" s="133" t="str">
        <f>IF(E15=1,IF(INDEX('#建筑消耗和buff配置索引'!BY:BY,MATCH(D15,'#建筑消耗和buff配置索引'!A:A,0))=0,"",INDEX('#建筑消耗和buff配置索引'!BY:BY,MATCH(D15,'#建筑消耗和buff配置索引'!A:A,0))),"")</f>
        <v/>
      </c>
      <c r="W15" s="133" t="str">
        <f>IF(E15=1,IF(INDEX('#建筑消耗和buff配置索引'!BZ:BZ,MATCH(D15,'#建筑消耗和buff配置索引'!A:A,0))=0,"",INDEX('#建筑消耗和buff配置索引'!BZ:BZ,MATCH(D15,'#建筑消耗和buff配置索引'!A:A,0))),"")</f>
        <v/>
      </c>
      <c r="X15" s="133" t="str">
        <f>"TID_CityBuilding_detailUnlockText_"&amp;A15</f>
        <v>TID_CityBuilding_detailUnlockText_2010012</v>
      </c>
      <c r="Y15" s="133" t="s">
        <v>1254</v>
      </c>
      <c r="AA15" s="133">
        <f>INDEX('#建筑消耗和buff配置索引'!AO:AO,MATCH($F15,'#建筑消耗和buff配置索引'!$M:$M,0))</f>
        <v>14246</v>
      </c>
      <c r="AB15" s="133">
        <f>IF(INDEX('#建筑消耗和buff配置索引'!AR:AR,MATCH($F15,'#建筑消耗和buff配置索引'!$M:$M,0))=0,"",INDEX('#建筑消耗和buff配置索引'!AR:AR,MATCH($F15,'#建筑消耗和buff配置索引'!$M:$M,0)))</f>
        <v>6001</v>
      </c>
      <c r="AC15" s="133">
        <f>IF(AB15="","",INDEX('#建筑消耗和buff配置索引'!AS:AS,MATCH($F15,'#建筑消耗和buff配置索引'!$M:$M,0)))</f>
        <v>5000</v>
      </c>
      <c r="AF15" s="133">
        <f>IF(INDEX('#建筑消耗和buff配置索引'!AW:AW,MATCH($F15,'#建筑消耗和buff配置索引'!$M:$M,0))=0,"",INDEX('#建筑消耗和buff配置索引'!AW:AW,MATCH($F15,'#建筑消耗和buff配置索引'!$M:$M,0)))</f>
        <v>8025</v>
      </c>
      <c r="AG15" s="133">
        <f>IF(AF15="","",INDEX('#建筑消耗和buff配置索引'!AX:AX,MATCH($F15,'#建筑消耗和buff配置索引'!$M:$M,0)))</f>
        <v>1</v>
      </c>
      <c r="AJ15" s="133">
        <f>IF(INDEX('#建筑消耗和buff配置索引'!BB:BB,MATCH($F15,'#建筑消耗和buff配置索引'!$M:$M,0))=0,"",INDEX('#建筑消耗和buff配置索引'!BB:BB,MATCH($F15,'#建筑消耗和buff配置索引'!$M:$M,0)))</f>
        <v>1202</v>
      </c>
      <c r="AK15" s="133">
        <f>IF(AJ15="","",INDEX('#建筑消耗和buff配置索引'!BC:BC,MATCH($F15,'#建筑消耗和buff配置索引'!$M:$M,0)))</f>
        <v>4</v>
      </c>
      <c r="AN15" s="133">
        <f>IF(INDEX('#建筑消耗和buff配置索引'!BG:BG,MATCH($F15,'#建筑消耗和buff配置索引'!$M:$M,0))=0,"",INDEX('#建筑消耗和buff配置索引'!BG:BG,MATCH($F15,'#建筑消耗和buff配置索引'!$M:$M,0)))</f>
        <v>1205</v>
      </c>
      <c r="AO15" s="133">
        <f>IF(AN15="","",INDEX('#建筑消耗和buff配置索引'!BH:BH,MATCH($F15,'#建筑消耗和buff配置索引'!$M:$M,0)))</f>
        <v>2</v>
      </c>
      <c r="AR15" s="133">
        <f>IF(INDEX('#建筑消耗和buff配置索引'!BK:BK,MATCH($F15,'#建筑消耗和buff配置索引'!$M:$M,0))=0,"",INDEX('#建筑消耗和buff配置索引'!BK:BK,MATCH($F15,'#建筑消耗和buff配置索引'!$M:$M,0)))</f>
        <v>1209</v>
      </c>
      <c r="AS15" s="133">
        <f>IF(AR15="","",INDEX('#建筑消耗和buff配置索引'!BL:BL,MATCH($F15,'#建筑消耗和buff配置索引'!$M:$M,0)))</f>
        <v>3</v>
      </c>
      <c r="AV15" s="133">
        <f>IF(INDEX('#建筑消耗和buff配置索引'!BO:BO,MATCH($F15,'#建筑消耗和buff配置索引'!$M:$M,0))=0,"",INDEX('#建筑消耗和buff配置索引'!BO:BO,MATCH($F15,'#建筑消耗和buff配置索引'!$M:$M,0)))</f>
        <v>1210</v>
      </c>
      <c r="AW15" s="133">
        <f>IF(AV15="","",INDEX('#建筑消耗和buff配置索引'!BP:BP,MATCH($F15,'#建筑消耗和buff配置索引'!$M:$M,0)))</f>
        <v>2</v>
      </c>
      <c r="AZ15" s="133">
        <f>IF(INDEX('#建筑消耗和buff配置索引'!BS:BS,MATCH($F15,'#建筑消耗和buff配置索引'!$M:$M,0))=0,"",INDEX('#建筑消耗和buff配置索引'!BS:BS,MATCH($F15,'#建筑消耗和buff配置索引'!$M:$M,0)))</f>
        <v>1237</v>
      </c>
      <c r="BA15" s="133">
        <f>IF(AZ15="","",INDEX('#建筑消耗和buff配置索引'!BT:BT,MATCH($F15,'#建筑消耗和buff配置索引'!$M:$M,0)))</f>
        <v>1</v>
      </c>
      <c r="BD15" s="133" t="str">
        <f>IF(INDEX('#建筑消耗和buff配置索引'!BW:BW,MATCH($F15,'#建筑消耗和buff配置索引'!$M:$M,0))=0,"",INDEX('#建筑消耗和buff配置索引'!BW:BW,MATCH($F15,'#建筑消耗和buff配置索引'!$M:$M,0)))</f>
        <v/>
      </c>
      <c r="BE15" s="133" t="str">
        <f>IF(BD15="","",INDEX('#建筑消耗和buff配置索引'!BX:BX,MATCH($F15,'#建筑消耗和buff配置索引'!$M:$M,0)))</f>
        <v/>
      </c>
      <c r="BI15" s="133">
        <v>1</v>
      </c>
      <c r="BK15" s="133">
        <v>20008</v>
      </c>
      <c r="BM15" s="140">
        <v>45000</v>
      </c>
    </row>
    <row r="16" spans="1:70" s="133" customFormat="1" ht="16.5">
      <c r="A16" s="133">
        <v>2010013</v>
      </c>
      <c r="B16" s="133">
        <v>13</v>
      </c>
      <c r="C16" s="133">
        <v>201</v>
      </c>
      <c r="D16" s="133" t="s">
        <v>66</v>
      </c>
      <c r="E16" s="133">
        <v>13</v>
      </c>
      <c r="F16" s="133" t="str">
        <f t="shared" si="0"/>
        <v>城镇中心13</v>
      </c>
      <c r="G16" s="133" t="s">
        <v>1255</v>
      </c>
      <c r="H16" s="133" t="s">
        <v>1256</v>
      </c>
      <c r="I16" s="133">
        <v>2</v>
      </c>
      <c r="J16" s="150">
        <f>INDEX('#建筑消耗和buff配置索引'!AH:AH,MATCH($F16,'#建筑消耗和buff配置索引'!$M:$M,0))</f>
        <v>57600</v>
      </c>
      <c r="K16" s="150">
        <f>INDEX('#建筑消耗和buff配置索引'!AA:AA,MATCH($F16,'#建筑消耗和buff配置索引'!$M:$M,0))</f>
        <v>860000</v>
      </c>
      <c r="L16" s="150">
        <f>INDEX('#建筑消耗和buff配置索引'!AB:AB,MATCH($F16,'#建筑消耗和buff配置索引'!$M:$M,0))</f>
        <v>860000</v>
      </c>
      <c r="M16" s="150">
        <f>INDEX('#建筑消耗和buff配置索引'!AC:AC,MATCH($F16,'#建筑消耗和buff配置索引'!$M:$M,0))</f>
        <v>860000</v>
      </c>
      <c r="N16" s="150">
        <f>INDEX('#建筑消耗和buff配置索引'!AD:AD,MATCH($F16,'#建筑消耗和buff配置索引'!$M:$M,0))</f>
        <v>860000</v>
      </c>
      <c r="O16" s="150" t="str">
        <f>IF(INDEX('#建筑消耗和buff配置索引'!T:T,MATCH($F16,'#建筑消耗和buff配置索引'!$M:$M,0))=0,"",INDEX('#建筑消耗和buff配置索引'!T:T,MATCH($F16,'#建筑消耗和buff配置索引'!$M:$M,0)))</f>
        <v/>
      </c>
      <c r="P16" s="133" t="str">
        <f>IF(INDEX('#建筑消耗和buff配置索引'!U:U,MATCH($F16,'#建筑消耗和buff配置索引'!$M:$M,0))=0,"",INDEX('#建筑消耗和buff配置索引'!U:U,MATCH($F16,'#建筑消耗和buff配置索引'!$M:$M,0)))</f>
        <v/>
      </c>
      <c r="Q16" s="133" t="str">
        <f>IF(INDEX('#建筑消耗和buff配置索引'!K:K,MATCH($F16,'#建筑消耗和buff配置索引'!$M:$M,0))=0,"",INDEX('#建筑消耗和buff配置索引'!K:K,MATCH($F16,'#建筑消耗和buff配置索引'!$M:$M,0)))</f>
        <v>215;232</v>
      </c>
      <c r="R16" s="133" t="str">
        <f>IF(INDEX('#建筑消耗和buff配置索引'!L:L,MATCH($F16,'#建筑消耗和buff配置索引'!$M:$M,0))=0,"",INDEX('#建筑消耗和buff配置索引'!L:L,MATCH($F16,'#建筑消耗和buff配置索引'!$M:$M,0)))</f>
        <v>12;12</v>
      </c>
      <c r="S16" s="133">
        <f>IF(INDEX('#建筑消耗和buff配置索引'!C:C,MATCH(F16,'#建筑消耗和buff配置索引'!M:M,0))=0,1,INDEX('#建筑消耗和buff配置索引'!C:C,MATCH(F16,'#建筑消耗和buff配置索引'!M:M,0)))</f>
        <v>3</v>
      </c>
      <c r="T16" s="151">
        <v>0</v>
      </c>
      <c r="U16" s="133">
        <v>0</v>
      </c>
      <c r="V16" s="133" t="str">
        <f>IF(E16=1,IF(INDEX('#建筑消耗和buff配置索引'!BY:BY,MATCH(D16,'#建筑消耗和buff配置索引'!A:A,0))=0,"",INDEX('#建筑消耗和buff配置索引'!BY:BY,MATCH(D16,'#建筑消耗和buff配置索引'!A:A,0))),"")</f>
        <v/>
      </c>
      <c r="W16" s="133" t="str">
        <f>IF(E16=1,IF(INDEX('#建筑消耗和buff配置索引'!BZ:BZ,MATCH(D16,'#建筑消耗和buff配置索引'!A:A,0))=0,"",INDEX('#建筑消耗和buff配置索引'!BZ:BZ,MATCH(D16,'#建筑消耗和buff配置索引'!A:A,0))),"")</f>
        <v/>
      </c>
      <c r="X16" s="133" t="str">
        <f t="shared" ref="X16:X24" si="2">"TID_CityBuilding_detailUnlockText_"&amp;A16</f>
        <v>TID_CityBuilding_detailUnlockText_2010013</v>
      </c>
      <c r="Y16" s="133" t="s">
        <v>1260</v>
      </c>
      <c r="AA16" s="133">
        <f>INDEX('#建筑消耗和buff配置索引'!AO:AO,MATCH($F16,'#建筑消耗和buff配置索引'!$M:$M,0))</f>
        <v>21113</v>
      </c>
      <c r="AB16" s="133">
        <f>IF(INDEX('#建筑消耗和buff配置索引'!AR:AR,MATCH($F16,'#建筑消耗和buff配置索引'!$M:$M,0))=0,"",INDEX('#建筑消耗和buff配置索引'!AR:AR,MATCH($F16,'#建筑消耗和buff配置索引'!$M:$M,0)))</f>
        <v>6001</v>
      </c>
      <c r="AC16" s="133">
        <f>IF(AB16="","",INDEX('#建筑消耗和buff配置索引'!AS:AS,MATCH($F16,'#建筑消耗和buff配置索引'!$M:$M,0)))</f>
        <v>6000</v>
      </c>
      <c r="AF16" s="133">
        <f>IF(INDEX('#建筑消耗和buff配置索引'!AW:AW,MATCH($F16,'#建筑消耗和buff配置索引'!$M:$M,0))=0,"",INDEX('#建筑消耗和buff配置索引'!AW:AW,MATCH($F16,'#建筑消耗和buff配置索引'!$M:$M,0)))</f>
        <v>8025</v>
      </c>
      <c r="AG16" s="133">
        <f>IF(AF16="","",INDEX('#建筑消耗和buff配置索引'!AX:AX,MATCH($F16,'#建筑消耗和buff配置索引'!$M:$M,0)))</f>
        <v>1</v>
      </c>
      <c r="AJ16" s="133">
        <f>IF(INDEX('#建筑消耗和buff配置索引'!BB:BB,MATCH($F16,'#建筑消耗和buff配置索引'!$M:$M,0))=0,"",INDEX('#建筑消耗和buff配置索引'!BB:BB,MATCH($F16,'#建筑消耗和buff配置索引'!$M:$M,0)))</f>
        <v>1202</v>
      </c>
      <c r="AK16" s="133">
        <f>IF(AJ16="","",INDEX('#建筑消耗和buff配置索引'!BC:BC,MATCH($F16,'#建筑消耗和buff配置索引'!$M:$M,0)))</f>
        <v>4</v>
      </c>
      <c r="AN16" s="133">
        <f>IF(INDEX('#建筑消耗和buff配置索引'!BG:BG,MATCH($F16,'#建筑消耗和buff配置索引'!$M:$M,0))=0,"",INDEX('#建筑消耗和buff配置索引'!BG:BG,MATCH($F16,'#建筑消耗和buff配置索引'!$M:$M,0)))</f>
        <v>1205</v>
      </c>
      <c r="AO16" s="133">
        <f>IF(AN16="","",INDEX('#建筑消耗和buff配置索引'!BH:BH,MATCH($F16,'#建筑消耗和buff配置索引'!$M:$M,0)))</f>
        <v>3</v>
      </c>
      <c r="AR16" s="133">
        <f>IF(INDEX('#建筑消耗和buff配置索引'!BK:BK,MATCH($F16,'#建筑消耗和buff配置索引'!$M:$M,0))=0,"",INDEX('#建筑消耗和buff配置索引'!BK:BK,MATCH($F16,'#建筑消耗和buff配置索引'!$M:$M,0)))</f>
        <v>1209</v>
      </c>
      <c r="AS16" s="133">
        <f>IF(AR16="","",INDEX('#建筑消耗和buff配置索引'!BL:BL,MATCH($F16,'#建筑消耗和buff配置索引'!$M:$M,0)))</f>
        <v>3</v>
      </c>
      <c r="AV16" s="133">
        <f>IF(INDEX('#建筑消耗和buff配置索引'!BO:BO,MATCH($F16,'#建筑消耗和buff配置索引'!$M:$M,0))=0,"",INDEX('#建筑消耗和buff配置索引'!BO:BO,MATCH($F16,'#建筑消耗和buff配置索引'!$M:$M,0)))</f>
        <v>1210</v>
      </c>
      <c r="AW16" s="133">
        <f>IF(AV16="","",INDEX('#建筑消耗和buff配置索引'!BP:BP,MATCH($F16,'#建筑消耗和buff配置索引'!$M:$M,0)))</f>
        <v>2</v>
      </c>
      <c r="AZ16" s="133">
        <f>IF(INDEX('#建筑消耗和buff配置索引'!BS:BS,MATCH($F16,'#建筑消耗和buff配置索引'!$M:$M,0))=0,"",INDEX('#建筑消耗和buff配置索引'!BS:BS,MATCH($F16,'#建筑消耗和buff配置索引'!$M:$M,0)))</f>
        <v>1237</v>
      </c>
      <c r="BA16" s="133">
        <f>IF(AZ16="","",INDEX('#建筑消耗和buff配置索引'!BT:BT,MATCH($F16,'#建筑消耗和buff配置索引'!$M:$M,0)))</f>
        <v>1</v>
      </c>
      <c r="BD16" s="133" t="str">
        <f>IF(INDEX('#建筑消耗和buff配置索引'!BW:BW,MATCH($F16,'#建筑消耗和buff配置索引'!$M:$M,0))=0,"",INDEX('#建筑消耗和buff配置索引'!BW:BW,MATCH($F16,'#建筑消耗和buff配置索引'!$M:$M,0)))</f>
        <v/>
      </c>
      <c r="BE16" s="133" t="str">
        <f>IF(BD16="","",INDEX('#建筑消耗和buff配置索引'!BX:BX,MATCH($F16,'#建筑消耗和buff配置索引'!$M:$M,0)))</f>
        <v/>
      </c>
      <c r="BI16" s="133">
        <v>1</v>
      </c>
      <c r="BK16" s="133">
        <v>20009</v>
      </c>
    </row>
    <row r="17" spans="1:65" s="133" customFormat="1" ht="16.5">
      <c r="A17" s="133">
        <v>2010014</v>
      </c>
      <c r="B17" s="133">
        <v>14</v>
      </c>
      <c r="C17" s="133">
        <v>201</v>
      </c>
      <c r="D17" s="133" t="s">
        <v>66</v>
      </c>
      <c r="E17" s="133">
        <v>14</v>
      </c>
      <c r="F17" s="133" t="str">
        <f t="shared" si="0"/>
        <v>城镇中心14</v>
      </c>
      <c r="G17" s="133" t="s">
        <v>1255</v>
      </c>
      <c r="H17" s="133" t="s">
        <v>1261</v>
      </c>
      <c r="I17" s="133">
        <v>2</v>
      </c>
      <c r="J17" s="150">
        <f>INDEX('#建筑消耗和buff配置索引'!AH:AH,MATCH($F17,'#建筑消耗和buff配置索引'!$M:$M,0))</f>
        <v>72000</v>
      </c>
      <c r="K17" s="150">
        <f>INDEX('#建筑消耗和buff配置索引'!AA:AA,MATCH($F17,'#建筑消耗和buff配置索引'!$M:$M,0))</f>
        <v>1100000</v>
      </c>
      <c r="L17" s="150">
        <f>INDEX('#建筑消耗和buff配置索引'!AB:AB,MATCH($F17,'#建筑消耗和buff配置索引'!$M:$M,0))</f>
        <v>1100000</v>
      </c>
      <c r="M17" s="150">
        <f>INDEX('#建筑消耗和buff配置索引'!AC:AC,MATCH($F17,'#建筑消耗和buff配置索引'!$M:$M,0))</f>
        <v>1100000</v>
      </c>
      <c r="N17" s="150">
        <f>INDEX('#建筑消耗和buff配置索引'!AD:AD,MATCH($F17,'#建筑消耗和buff配置索引'!$M:$M,0))</f>
        <v>1100000</v>
      </c>
      <c r="O17" s="150" t="str">
        <f>IF(INDEX('#建筑消耗和buff配置索引'!T:T,MATCH($F17,'#建筑消耗和buff配置索引'!$M:$M,0))=0,"",INDEX('#建筑消耗和buff配置索引'!T:T,MATCH($F17,'#建筑消耗和buff配置索引'!$M:$M,0)))</f>
        <v/>
      </c>
      <c r="P17" s="133" t="str">
        <f>IF(INDEX('#建筑消耗和buff配置索引'!U:U,MATCH($F17,'#建筑消耗和buff配置索引'!$M:$M,0))=0,"",INDEX('#建筑消耗和buff配置索引'!U:U,MATCH($F17,'#建筑消耗和buff配置索引'!$M:$M,0)))</f>
        <v/>
      </c>
      <c r="Q17" s="133" t="str">
        <f>IF(INDEX('#建筑消耗和buff配置索引'!K:K,MATCH($F17,'#建筑消耗和buff配置索引'!$M:$M,0))=0,"",INDEX('#建筑消耗和buff配置索引'!K:K,MATCH($F17,'#建筑消耗和buff配置索引'!$M:$M,0)))</f>
        <v>215;230</v>
      </c>
      <c r="R17" s="133" t="str">
        <f>IF(INDEX('#建筑消耗和buff配置索引'!L:L,MATCH($F17,'#建筑消耗和buff配置索引'!$M:$M,0))=0,"",INDEX('#建筑消耗和buff配置索引'!L:L,MATCH($F17,'#建筑消耗和buff配置索引'!$M:$M,0)))</f>
        <v>13;13</v>
      </c>
      <c r="S17" s="133">
        <f>IF(INDEX('#建筑消耗和buff配置索引'!C:C,MATCH(F17,'#建筑消耗和buff配置索引'!M:M,0))=0,1,INDEX('#建筑消耗和buff配置索引'!C:C,MATCH(F17,'#建筑消耗和buff配置索引'!M:M,0)))</f>
        <v>3</v>
      </c>
      <c r="T17" s="151">
        <v>0</v>
      </c>
      <c r="U17" s="133">
        <v>0</v>
      </c>
      <c r="V17" s="133" t="str">
        <f>IF(E17=1,IF(INDEX('#建筑消耗和buff配置索引'!BY:BY,MATCH(D17,'#建筑消耗和buff配置索引'!A:A,0))=0,"",INDEX('#建筑消耗和buff配置索引'!BY:BY,MATCH(D17,'#建筑消耗和buff配置索引'!A:A,0))),"")</f>
        <v/>
      </c>
      <c r="W17" s="133" t="str">
        <f>IF(E17=1,IF(INDEX('#建筑消耗和buff配置索引'!BZ:BZ,MATCH(D17,'#建筑消耗和buff配置索引'!A:A,0))=0,"",INDEX('#建筑消耗和buff配置索引'!BZ:BZ,MATCH(D17,'#建筑消耗和buff配置索引'!A:A,0))),"")</f>
        <v/>
      </c>
      <c r="AA17" s="133">
        <f>INDEX('#建筑消耗和buff配置索引'!AO:AO,MATCH($F17,'#建筑消耗和buff配置索引'!$M:$M,0))</f>
        <v>30039</v>
      </c>
      <c r="AB17" s="133">
        <f>IF(INDEX('#建筑消耗和buff配置索引'!AR:AR,MATCH($F17,'#建筑消耗和buff配置索引'!$M:$M,0))=0,"",INDEX('#建筑消耗和buff配置索引'!AR:AR,MATCH($F17,'#建筑消耗和buff配置索引'!$M:$M,0)))</f>
        <v>6001</v>
      </c>
      <c r="AC17" s="133">
        <f>IF(AB17="","",INDEX('#建筑消耗和buff配置索引'!AS:AS,MATCH($F17,'#建筑消耗和buff配置索引'!$M:$M,0)))</f>
        <v>7000</v>
      </c>
      <c r="AF17" s="133">
        <f>IF(INDEX('#建筑消耗和buff配置索引'!AW:AW,MATCH($F17,'#建筑消耗和buff配置索引'!$M:$M,0))=0,"",INDEX('#建筑消耗和buff配置索引'!AW:AW,MATCH($F17,'#建筑消耗和buff配置索引'!$M:$M,0)))</f>
        <v>8025</v>
      </c>
      <c r="AG17" s="133">
        <f>IF(AF17="","",INDEX('#建筑消耗和buff配置索引'!AX:AX,MATCH($F17,'#建筑消耗和buff配置索引'!$M:$M,0)))</f>
        <v>1</v>
      </c>
      <c r="AJ17" s="133">
        <f>IF(INDEX('#建筑消耗和buff配置索引'!BB:BB,MATCH($F17,'#建筑消耗和buff配置索引'!$M:$M,0))=0,"",INDEX('#建筑消耗和buff配置索引'!BB:BB,MATCH($F17,'#建筑消耗和buff配置索引'!$M:$M,0)))</f>
        <v>1202</v>
      </c>
      <c r="AK17" s="133">
        <f>IF(AJ17="","",INDEX('#建筑消耗和buff配置索引'!BC:BC,MATCH($F17,'#建筑消耗和buff配置索引'!$M:$M,0)))</f>
        <v>4</v>
      </c>
      <c r="AN17" s="133">
        <f>IF(INDEX('#建筑消耗和buff配置索引'!BG:BG,MATCH($F17,'#建筑消耗和buff配置索引'!$M:$M,0))=0,"",INDEX('#建筑消耗和buff配置索引'!BG:BG,MATCH($F17,'#建筑消耗和buff配置索引'!$M:$M,0)))</f>
        <v>1205</v>
      </c>
      <c r="AO17" s="133">
        <f>IF(AN17="","",INDEX('#建筑消耗和buff配置索引'!BH:BH,MATCH($F17,'#建筑消耗和buff配置索引'!$M:$M,0)))</f>
        <v>3</v>
      </c>
      <c r="AR17" s="133">
        <f>IF(INDEX('#建筑消耗和buff配置索引'!BK:BK,MATCH($F17,'#建筑消耗和buff配置索引'!$M:$M,0))=0,"",INDEX('#建筑消耗和buff配置索引'!BK:BK,MATCH($F17,'#建筑消耗和buff配置索引'!$M:$M,0)))</f>
        <v>1209</v>
      </c>
      <c r="AS17" s="133">
        <f>IF(AR17="","",INDEX('#建筑消耗和buff配置索引'!BL:BL,MATCH($F17,'#建筑消耗和buff配置索引'!$M:$M,0)))</f>
        <v>3</v>
      </c>
      <c r="AV17" s="133">
        <f>IF(INDEX('#建筑消耗和buff配置索引'!BO:BO,MATCH($F17,'#建筑消耗和buff配置索引'!$M:$M,0))=0,"",INDEX('#建筑消耗和buff配置索引'!BO:BO,MATCH($F17,'#建筑消耗和buff配置索引'!$M:$M,0)))</f>
        <v>1210</v>
      </c>
      <c r="AW17" s="133">
        <f>IF(AV17="","",INDEX('#建筑消耗和buff配置索引'!BP:BP,MATCH($F17,'#建筑消耗和buff配置索引'!$M:$M,0)))</f>
        <v>2</v>
      </c>
      <c r="AZ17" s="133">
        <f>IF(INDEX('#建筑消耗和buff配置索引'!BS:BS,MATCH($F17,'#建筑消耗和buff配置索引'!$M:$M,0))=0,"",INDEX('#建筑消耗和buff配置索引'!BS:BS,MATCH($F17,'#建筑消耗和buff配置索引'!$M:$M,0)))</f>
        <v>1237</v>
      </c>
      <c r="BA17" s="133">
        <f>IF(AZ17="","",INDEX('#建筑消耗和buff配置索引'!BT:BT,MATCH($F17,'#建筑消耗和buff配置索引'!$M:$M,0)))</f>
        <v>1</v>
      </c>
      <c r="BD17" s="133" t="str">
        <f>IF(INDEX('#建筑消耗和buff配置索引'!BW:BW,MATCH($F17,'#建筑消耗和buff配置索引'!$M:$M,0))=0,"",INDEX('#建筑消耗和buff配置索引'!BW:BW,MATCH($F17,'#建筑消耗和buff配置索引'!$M:$M,0)))</f>
        <v/>
      </c>
      <c r="BE17" s="133" t="str">
        <f>IF(BD17="","",INDEX('#建筑消耗和buff配置索引'!BX:BX,MATCH($F17,'#建筑消耗和buff配置索引'!$M:$M,0)))</f>
        <v/>
      </c>
      <c r="BI17" s="133">
        <v>1</v>
      </c>
      <c r="BK17" s="133">
        <v>20010</v>
      </c>
    </row>
    <row r="18" spans="1:65" s="133" customFormat="1" ht="16.5">
      <c r="A18" s="133">
        <v>2010015</v>
      </c>
      <c r="B18" s="133">
        <v>15</v>
      </c>
      <c r="C18" s="133">
        <v>201</v>
      </c>
      <c r="D18" s="133" t="s">
        <v>66</v>
      </c>
      <c r="E18" s="133">
        <v>15</v>
      </c>
      <c r="F18" s="133" t="str">
        <f t="shared" si="0"/>
        <v>城镇中心15</v>
      </c>
      <c r="G18" s="133" t="s">
        <v>1263</v>
      </c>
      <c r="H18" s="133" t="s">
        <v>1264</v>
      </c>
      <c r="I18" s="133">
        <v>2</v>
      </c>
      <c r="J18" s="150">
        <f>INDEX('#建筑消耗和buff配置索引'!AH:AH,MATCH($F18,'#建筑消耗和buff配置索引'!$M:$M,0))</f>
        <v>86400</v>
      </c>
      <c r="K18" s="150">
        <f>INDEX('#建筑消耗和buff配置索引'!AA:AA,MATCH($F18,'#建筑消耗和buff配置索引'!$M:$M,0))</f>
        <v>1400000</v>
      </c>
      <c r="L18" s="150">
        <f>INDEX('#建筑消耗和buff配置索引'!AB:AB,MATCH($F18,'#建筑消耗和buff配置索引'!$M:$M,0))</f>
        <v>1400000</v>
      </c>
      <c r="M18" s="150">
        <f>INDEX('#建筑消耗和buff配置索引'!AC:AC,MATCH($F18,'#建筑消耗和buff配置索引'!$M:$M,0))</f>
        <v>1400000</v>
      </c>
      <c r="N18" s="150">
        <f>INDEX('#建筑消耗和buff配置索引'!AD:AD,MATCH($F18,'#建筑消耗和buff配置索引'!$M:$M,0))</f>
        <v>1400000</v>
      </c>
      <c r="O18" s="150" t="str">
        <f>IF(INDEX('#建筑消耗和buff配置索引'!T:T,MATCH($F18,'#建筑消耗和buff配置索引'!$M:$M,0))=0,"",INDEX('#建筑消耗和buff配置索引'!T:T,MATCH($F18,'#建筑消耗和buff配置索引'!$M:$M,0)))</f>
        <v/>
      </c>
      <c r="P18" s="133" t="str">
        <f>IF(INDEX('#建筑消耗和buff配置索引'!U:U,MATCH($F18,'#建筑消耗和buff配置索引'!$M:$M,0))=0,"",INDEX('#建筑消耗和buff配置索引'!U:U,MATCH($F18,'#建筑消耗和buff配置索引'!$M:$M,0)))</f>
        <v/>
      </c>
      <c r="Q18" s="133" t="str">
        <f>IF(INDEX('#建筑消耗和buff配置索引'!K:K,MATCH($F18,'#建筑消耗和buff配置索引'!$M:$M,0))=0,"",INDEX('#建筑消耗和buff配置索引'!K:K,MATCH($F18,'#建筑消耗和buff配置索引'!$M:$M,0)))</f>
        <v>215;211</v>
      </c>
      <c r="R18" s="133" t="str">
        <f>IF(INDEX('#建筑消耗和buff配置索引'!L:L,MATCH($F18,'#建筑消耗和buff配置索引'!$M:$M,0))=0,"",INDEX('#建筑消耗和buff配置索引'!L:L,MATCH($F18,'#建筑消耗和buff配置索引'!$M:$M,0)))</f>
        <v>14;14</v>
      </c>
      <c r="S18" s="133">
        <f>IF(INDEX('#建筑消耗和buff配置索引'!C:C,MATCH(F18,'#建筑消耗和buff配置索引'!M:M,0))=0,1,INDEX('#建筑消耗和buff配置索引'!C:C,MATCH(F18,'#建筑消耗和buff配置索引'!M:M,0)))</f>
        <v>3</v>
      </c>
      <c r="T18" s="151">
        <v>0</v>
      </c>
      <c r="U18" s="133">
        <v>0</v>
      </c>
      <c r="V18" s="133" t="str">
        <f>IF(E18=1,IF(INDEX('#建筑消耗和buff配置索引'!BY:BY,MATCH(D18,'#建筑消耗和buff配置索引'!A:A,0))=0,"",INDEX('#建筑消耗和buff配置索引'!BY:BY,MATCH(D18,'#建筑消耗和buff配置索引'!A:A,0))),"")</f>
        <v/>
      </c>
      <c r="W18" s="133" t="str">
        <f>IF(E18=1,IF(INDEX('#建筑消耗和buff配置索引'!BZ:BZ,MATCH(D18,'#建筑消耗和buff配置索引'!A:A,0))=0,"",INDEX('#建筑消耗和buff配置索引'!BZ:BZ,MATCH(D18,'#建筑消耗和buff配置索引'!A:A,0))),"")</f>
        <v/>
      </c>
      <c r="X18" s="133" t="str">
        <f t="shared" si="2"/>
        <v>TID_CityBuilding_detailUnlockText_2010015</v>
      </c>
      <c r="Y18" s="133" t="s">
        <v>1267</v>
      </c>
      <c r="AA18" s="133">
        <f>INDEX('#建筑消耗和buff配置索引'!AO:AO,MATCH($F18,'#建筑消耗和buff配置索引'!$M:$M,0))</f>
        <v>41465</v>
      </c>
      <c r="AB18" s="133">
        <f>IF(INDEX('#建筑消耗和buff配置索引'!AR:AR,MATCH($F18,'#建筑消耗和buff配置索引'!$M:$M,0))=0,"",INDEX('#建筑消耗和buff配置索引'!AR:AR,MATCH($F18,'#建筑消耗和buff配置索引'!$M:$M,0)))</f>
        <v>6001</v>
      </c>
      <c r="AC18" s="133">
        <f>IF(AB18="","",INDEX('#建筑消耗和buff配置索引'!AS:AS,MATCH($F18,'#建筑消耗和buff配置索引'!$M:$M,0)))</f>
        <v>8000</v>
      </c>
      <c r="AF18" s="133">
        <f>IF(INDEX('#建筑消耗和buff配置索引'!AW:AW,MATCH($F18,'#建筑消耗和buff配置索引'!$M:$M,0))=0,"",INDEX('#建筑消耗和buff配置索引'!AW:AW,MATCH($F18,'#建筑消耗和buff配置索引'!$M:$M,0)))</f>
        <v>8025</v>
      </c>
      <c r="AG18" s="133">
        <f>IF(AF18="","",INDEX('#建筑消耗和buff配置索引'!AX:AX,MATCH($F18,'#建筑消耗和buff配置索引'!$M:$M,0)))</f>
        <v>1</v>
      </c>
      <c r="AJ18" s="133">
        <f>IF(INDEX('#建筑消耗和buff配置索引'!BB:BB,MATCH($F18,'#建筑消耗和buff配置索引'!$M:$M,0))=0,"",INDEX('#建筑消耗和buff配置索引'!BB:BB,MATCH($F18,'#建筑消耗和buff配置索引'!$M:$M,0)))</f>
        <v>1202</v>
      </c>
      <c r="AK18" s="133">
        <f>IF(AJ18="","",INDEX('#建筑消耗和buff配置索引'!BC:BC,MATCH($F18,'#建筑消耗和buff配置索引'!$M:$M,0)))</f>
        <v>4</v>
      </c>
      <c r="AN18" s="133">
        <f>IF(INDEX('#建筑消耗和buff配置索引'!BG:BG,MATCH($F18,'#建筑消耗和buff配置索引'!$M:$M,0))=0,"",INDEX('#建筑消耗和buff配置索引'!BG:BG,MATCH($F18,'#建筑消耗和buff配置索引'!$M:$M,0)))</f>
        <v>1205</v>
      </c>
      <c r="AO18" s="133">
        <f>IF(AN18="","",INDEX('#建筑消耗和buff配置索引'!BH:BH,MATCH($F18,'#建筑消耗和buff配置索引'!$M:$M,0)))</f>
        <v>3</v>
      </c>
      <c r="AR18" s="133">
        <f>IF(INDEX('#建筑消耗和buff配置索引'!BK:BK,MATCH($F18,'#建筑消耗和buff配置索引'!$M:$M,0))=0,"",INDEX('#建筑消耗和buff配置索引'!BK:BK,MATCH($F18,'#建筑消耗和buff配置索引'!$M:$M,0)))</f>
        <v>1209</v>
      </c>
      <c r="AS18" s="133">
        <f>IF(AR18="","",INDEX('#建筑消耗和buff配置索引'!BL:BL,MATCH($F18,'#建筑消耗和buff配置索引'!$M:$M,0)))</f>
        <v>3</v>
      </c>
      <c r="AV18" s="133">
        <f>IF(INDEX('#建筑消耗和buff配置索引'!BO:BO,MATCH($F18,'#建筑消耗和buff配置索引'!$M:$M,0))=0,"",INDEX('#建筑消耗和buff配置索引'!BO:BO,MATCH($F18,'#建筑消耗和buff配置索引'!$M:$M,0)))</f>
        <v>1210</v>
      </c>
      <c r="AW18" s="133">
        <f>IF(AV18="","",INDEX('#建筑消耗和buff配置索引'!BP:BP,MATCH($F18,'#建筑消耗和buff配置索引'!$M:$M,0)))</f>
        <v>2</v>
      </c>
      <c r="AZ18" s="133">
        <f>IF(INDEX('#建筑消耗和buff配置索引'!BS:BS,MATCH($F18,'#建筑消耗和buff配置索引'!$M:$M,0))=0,"",INDEX('#建筑消耗和buff配置索引'!BS:BS,MATCH($F18,'#建筑消耗和buff配置索引'!$M:$M,0)))</f>
        <v>1237</v>
      </c>
      <c r="BA18" s="133">
        <f>IF(AZ18="","",INDEX('#建筑消耗和buff配置索引'!BT:BT,MATCH($F18,'#建筑消耗和buff配置索引'!$M:$M,0)))</f>
        <v>2</v>
      </c>
      <c r="BD18" s="133" t="str">
        <f>IF(INDEX('#建筑消耗和buff配置索引'!BW:BW,MATCH($F18,'#建筑消耗和buff配置索引'!$M:$M,0))=0,"",INDEX('#建筑消耗和buff配置索引'!BW:BW,MATCH($F18,'#建筑消耗和buff配置索引'!$M:$M,0)))</f>
        <v/>
      </c>
      <c r="BE18" s="133" t="str">
        <f>IF(BD18="","",INDEX('#建筑消耗和buff配置索引'!BX:BX,MATCH($F18,'#建筑消耗和buff配置索引'!$M:$M,0)))</f>
        <v/>
      </c>
      <c r="BI18" s="133">
        <v>1</v>
      </c>
      <c r="BK18" s="133">
        <v>20011</v>
      </c>
    </row>
    <row r="19" spans="1:65" s="133" customFormat="1" ht="16.5">
      <c r="A19" s="133">
        <v>2010016</v>
      </c>
      <c r="B19" s="133">
        <v>16</v>
      </c>
      <c r="C19" s="133">
        <v>201</v>
      </c>
      <c r="D19" s="133" t="s">
        <v>66</v>
      </c>
      <c r="E19" s="133">
        <v>16</v>
      </c>
      <c r="F19" s="133" t="str">
        <f t="shared" si="0"/>
        <v>城镇中心16</v>
      </c>
      <c r="G19" s="133" t="s">
        <v>1263</v>
      </c>
      <c r="H19" s="133" t="s">
        <v>1268</v>
      </c>
      <c r="I19" s="133">
        <v>2</v>
      </c>
      <c r="J19" s="150">
        <f>INDEX('#建筑消耗和buff配置索引'!AH:AH,MATCH($F19,'#建筑消耗和buff配置索引'!$M:$M,0))</f>
        <v>108000</v>
      </c>
      <c r="K19" s="150">
        <f>INDEX('#建筑消耗和buff配置索引'!AA:AA,MATCH($F19,'#建筑消耗和buff配置索引'!$M:$M,0))</f>
        <v>1800000</v>
      </c>
      <c r="L19" s="150">
        <f>INDEX('#建筑消耗和buff配置索引'!AB:AB,MATCH($F19,'#建筑消耗和buff配置索引'!$M:$M,0))</f>
        <v>1800000</v>
      </c>
      <c r="M19" s="150">
        <f>INDEX('#建筑消耗和buff配置索引'!AC:AC,MATCH($F19,'#建筑消耗和buff配置索引'!$M:$M,0))</f>
        <v>1800000</v>
      </c>
      <c r="N19" s="150">
        <f>INDEX('#建筑消耗和buff配置索引'!AD:AD,MATCH($F19,'#建筑消耗和buff配置索引'!$M:$M,0))</f>
        <v>1800000</v>
      </c>
      <c r="O19" s="150" t="str">
        <f>IF(INDEX('#建筑消耗和buff配置索引'!T:T,MATCH($F19,'#建筑消耗和buff配置索引'!$M:$M,0))=0,"",INDEX('#建筑消耗和buff配置索引'!T:T,MATCH($F19,'#建筑消耗和buff配置索引'!$M:$M,0)))</f>
        <v/>
      </c>
      <c r="P19" s="133" t="str">
        <f>IF(INDEX('#建筑消耗和buff配置索引'!U:U,MATCH($F19,'#建筑消耗和buff配置索引'!$M:$M,0))=0,"",INDEX('#建筑消耗和buff配置索引'!U:U,MATCH($F19,'#建筑消耗和buff配置索引'!$M:$M,0)))</f>
        <v/>
      </c>
      <c r="Q19" s="133" t="str">
        <f>IF(INDEX('#建筑消耗和buff配置索引'!K:K,MATCH($F19,'#建筑消耗和buff配置索引'!$M:$M,0))=0,"",INDEX('#建筑消耗和buff配置索引'!K:K,MATCH($F19,'#建筑消耗和buff配置索引'!$M:$M,0)))</f>
        <v>215;222</v>
      </c>
      <c r="R19" s="133" t="str">
        <f>IF(INDEX('#建筑消耗和buff配置索引'!L:L,MATCH($F19,'#建筑消耗和buff配置索引'!$M:$M,0))=0,"",INDEX('#建筑消耗和buff配置索引'!L:L,MATCH($F19,'#建筑消耗和buff配置索引'!$M:$M,0)))</f>
        <v>15;15</v>
      </c>
      <c r="S19" s="133">
        <f>IF(INDEX('#建筑消耗和buff配置索引'!C:C,MATCH(F19,'#建筑消耗和buff配置索引'!M:M,0))=0,1,INDEX('#建筑消耗和buff配置索引'!C:C,MATCH(F19,'#建筑消耗和buff配置索引'!M:M,0)))</f>
        <v>4</v>
      </c>
      <c r="T19" s="151">
        <v>0</v>
      </c>
      <c r="U19" s="133">
        <v>0</v>
      </c>
      <c r="V19" s="133" t="str">
        <f>IF(E19=1,IF(INDEX('#建筑消耗和buff配置索引'!BY:BY,MATCH(D19,'#建筑消耗和buff配置索引'!A:A,0))=0,"",INDEX('#建筑消耗和buff配置索引'!BY:BY,MATCH(D19,'#建筑消耗和buff配置索引'!A:A,0))),"")</f>
        <v/>
      </c>
      <c r="W19" s="133" t="str">
        <f>IF(E19=1,IF(INDEX('#建筑消耗和buff配置索引'!BZ:BZ,MATCH(D19,'#建筑消耗和buff配置索引'!A:A,0))=0,"",INDEX('#建筑消耗和buff配置索引'!BZ:BZ,MATCH(D19,'#建筑消耗和buff配置索引'!A:A,0))),"")</f>
        <v/>
      </c>
      <c r="X19" s="133" t="str">
        <f t="shared" si="2"/>
        <v>TID_CityBuilding_detailUnlockText_2010016</v>
      </c>
      <c r="Y19" s="133" t="s">
        <v>1241</v>
      </c>
      <c r="AA19" s="133">
        <f>INDEX('#建筑消耗和buff配置索引'!AO:AO,MATCH($F19,'#建筑消耗和buff配置索引'!$M:$M,0))</f>
        <v>56091</v>
      </c>
      <c r="AB19" s="133">
        <f>IF(INDEX('#建筑消耗和buff配置索引'!AR:AR,MATCH($F19,'#建筑消耗和buff配置索引'!$M:$M,0))=0,"",INDEX('#建筑消耗和buff配置索引'!AR:AR,MATCH($F19,'#建筑消耗和buff配置索引'!$M:$M,0)))</f>
        <v>6001</v>
      </c>
      <c r="AC19" s="133">
        <f>IF(AB19="","",INDEX('#建筑消耗和buff配置索引'!AS:AS,MATCH($F19,'#建筑消耗和buff配置索引'!$M:$M,0)))</f>
        <v>9500</v>
      </c>
      <c r="AF19" s="133">
        <f>IF(INDEX('#建筑消耗和buff配置索引'!AW:AW,MATCH($F19,'#建筑消耗和buff配置索引'!$M:$M,0))=0,"",INDEX('#建筑消耗和buff配置索引'!AW:AW,MATCH($F19,'#建筑消耗和buff配置索引'!$M:$M,0)))</f>
        <v>8025</v>
      </c>
      <c r="AG19" s="133">
        <f>IF(AF19="","",INDEX('#建筑消耗和buff配置索引'!AX:AX,MATCH($F19,'#建筑消耗和buff配置索引'!$M:$M,0)))</f>
        <v>1</v>
      </c>
      <c r="AJ19" s="133">
        <f>IF(INDEX('#建筑消耗和buff配置索引'!BB:BB,MATCH($F19,'#建筑消耗和buff配置索引'!$M:$M,0))=0,"",INDEX('#建筑消耗和buff配置索引'!BB:BB,MATCH($F19,'#建筑消耗和buff配置索引'!$M:$M,0)))</f>
        <v>1202</v>
      </c>
      <c r="AK19" s="133">
        <f>IF(AJ19="","",INDEX('#建筑消耗和buff配置索引'!BC:BC,MATCH($F19,'#建筑消耗和buff配置索引'!$M:$M,0)))</f>
        <v>4</v>
      </c>
      <c r="AN19" s="133">
        <f>IF(INDEX('#建筑消耗和buff配置索引'!BG:BG,MATCH($F19,'#建筑消耗和buff配置索引'!$M:$M,0))=0,"",INDEX('#建筑消耗和buff配置索引'!BG:BG,MATCH($F19,'#建筑消耗和buff配置索引'!$M:$M,0)))</f>
        <v>1205</v>
      </c>
      <c r="AO19" s="133">
        <f>IF(AN19="","",INDEX('#建筑消耗和buff配置索引'!BH:BH,MATCH($F19,'#建筑消耗和buff配置索引'!$M:$M,0)))</f>
        <v>3</v>
      </c>
      <c r="AR19" s="133">
        <f>IF(INDEX('#建筑消耗和buff配置索引'!BK:BK,MATCH($F19,'#建筑消耗和buff配置索引'!$M:$M,0))=0,"",INDEX('#建筑消耗和buff配置索引'!BK:BK,MATCH($F19,'#建筑消耗和buff配置索引'!$M:$M,0)))</f>
        <v>1209</v>
      </c>
      <c r="AS19" s="133">
        <f>IF(AR19="","",INDEX('#建筑消耗和buff配置索引'!BL:BL,MATCH($F19,'#建筑消耗和buff配置索引'!$M:$M,0)))</f>
        <v>3</v>
      </c>
      <c r="AV19" s="133">
        <f>IF(INDEX('#建筑消耗和buff配置索引'!BO:BO,MATCH($F19,'#建筑消耗和buff配置索引'!$M:$M,0))=0,"",INDEX('#建筑消耗和buff配置索引'!BO:BO,MATCH($F19,'#建筑消耗和buff配置索引'!$M:$M,0)))</f>
        <v>1210</v>
      </c>
      <c r="AW19" s="133">
        <f>IF(AV19="","",INDEX('#建筑消耗和buff配置索引'!BP:BP,MATCH($F19,'#建筑消耗和buff配置索引'!$M:$M,0)))</f>
        <v>3</v>
      </c>
      <c r="AZ19" s="133">
        <f>IF(INDEX('#建筑消耗和buff配置索引'!BS:BS,MATCH($F19,'#建筑消耗和buff配置索引'!$M:$M,0))=0,"",INDEX('#建筑消耗和buff配置索引'!BS:BS,MATCH($F19,'#建筑消耗和buff配置索引'!$M:$M,0)))</f>
        <v>1237</v>
      </c>
      <c r="BA19" s="133">
        <f>IF(AZ19="","",INDEX('#建筑消耗和buff配置索引'!BT:BT,MATCH($F19,'#建筑消耗和buff配置索引'!$M:$M,0)))</f>
        <v>2</v>
      </c>
      <c r="BD19" s="133" t="str">
        <f>IF(INDEX('#建筑消耗和buff配置索引'!BW:BW,MATCH($F19,'#建筑消耗和buff配置索引'!$M:$M,0))=0,"",INDEX('#建筑消耗和buff配置索引'!BW:BW,MATCH($F19,'#建筑消耗和buff配置索引'!$M:$M,0)))</f>
        <v/>
      </c>
      <c r="BE19" s="133" t="str">
        <f>IF(BD19="","",INDEX('#建筑消耗和buff配置索引'!BX:BX,MATCH($F19,'#建筑消耗和buff配置索引'!$M:$M,0)))</f>
        <v/>
      </c>
      <c r="BI19" s="133">
        <v>1</v>
      </c>
      <c r="BK19" s="133">
        <v>20012</v>
      </c>
    </row>
    <row r="20" spans="1:65" s="133" customFormat="1" ht="16.5">
      <c r="A20" s="133">
        <v>2010017</v>
      </c>
      <c r="B20" s="133">
        <v>17</v>
      </c>
      <c r="C20" s="133">
        <v>201</v>
      </c>
      <c r="D20" s="133" t="s">
        <v>66</v>
      </c>
      <c r="E20" s="133">
        <v>17</v>
      </c>
      <c r="F20" s="133" t="str">
        <f t="shared" si="0"/>
        <v>城镇中心17</v>
      </c>
      <c r="G20" s="133" t="s">
        <v>1263</v>
      </c>
      <c r="H20" s="133" t="s">
        <v>1271</v>
      </c>
      <c r="I20" s="133">
        <v>2</v>
      </c>
      <c r="J20" s="150">
        <f>INDEX('#建筑消耗和buff配置索引'!AH:AH,MATCH($F20,'#建筑消耗和buff配置索引'!$M:$M,0))</f>
        <v>144000</v>
      </c>
      <c r="K20" s="150">
        <f>INDEX('#建筑消耗和buff配置索引'!AA:AA,MATCH($F20,'#建筑消耗和buff配置索引'!$M:$M,0))</f>
        <v>2300000</v>
      </c>
      <c r="L20" s="150">
        <f>INDEX('#建筑消耗和buff配置索引'!AB:AB,MATCH($F20,'#建筑消耗和buff配置索引'!$M:$M,0))</f>
        <v>2300000</v>
      </c>
      <c r="M20" s="150">
        <f>INDEX('#建筑消耗和buff配置索引'!AC:AC,MATCH($F20,'#建筑消耗和buff配置索引'!$M:$M,0))</f>
        <v>2300000</v>
      </c>
      <c r="N20" s="150">
        <f>INDEX('#建筑消耗和buff配置索引'!AD:AD,MATCH($F20,'#建筑消耗和buff配置索引'!$M:$M,0))</f>
        <v>2300000</v>
      </c>
      <c r="O20" s="150" t="str">
        <f>IF(INDEX('#建筑消耗和buff配置索引'!T:T,MATCH($F20,'#建筑消耗和buff配置索引'!$M:$M,0))=0,"",INDEX('#建筑消耗和buff配置索引'!T:T,MATCH($F20,'#建筑消耗和buff配置索引'!$M:$M,0)))</f>
        <v/>
      </c>
      <c r="P20" s="133" t="str">
        <f>IF(INDEX('#建筑消耗和buff配置索引'!U:U,MATCH($F20,'#建筑消耗和buff配置索引'!$M:$M,0))=0,"",INDEX('#建筑消耗和buff配置索引'!U:U,MATCH($F20,'#建筑消耗和buff配置索引'!$M:$M,0)))</f>
        <v/>
      </c>
      <c r="Q20" s="133" t="str">
        <f>IF(INDEX('#建筑消耗和buff配置索引'!K:K,MATCH($F20,'#建筑消耗和buff配置索引'!$M:$M,0))=0,"",INDEX('#建筑消耗和buff配置索引'!K:K,MATCH($F20,'#建筑消耗和buff配置索引'!$M:$M,0)))</f>
        <v>215;231</v>
      </c>
      <c r="R20" s="133" t="str">
        <f>IF(INDEX('#建筑消耗和buff配置索引'!L:L,MATCH($F20,'#建筑消耗和buff配置索引'!$M:$M,0))=0,"",INDEX('#建筑消耗和buff配置索引'!L:L,MATCH($F20,'#建筑消耗和buff配置索引'!$M:$M,0)))</f>
        <v>16;16</v>
      </c>
      <c r="S20" s="133">
        <f>IF(INDEX('#建筑消耗和buff配置索引'!C:C,MATCH(F20,'#建筑消耗和buff配置索引'!M:M,0))=0,1,INDEX('#建筑消耗和buff配置索引'!C:C,MATCH(F20,'#建筑消耗和buff配置索引'!M:M,0)))</f>
        <v>4</v>
      </c>
      <c r="T20" s="151">
        <v>0</v>
      </c>
      <c r="U20" s="133">
        <v>0</v>
      </c>
      <c r="V20" s="133" t="str">
        <f>IF(E20=1,IF(INDEX('#建筑消耗和buff配置索引'!BY:BY,MATCH(D20,'#建筑消耗和buff配置索引'!A:A,0))=0,"",INDEX('#建筑消耗和buff配置索引'!BY:BY,MATCH(D20,'#建筑消耗和buff配置索引'!A:A,0))),"")</f>
        <v/>
      </c>
      <c r="W20" s="133" t="str">
        <f>IF(E20=1,IF(INDEX('#建筑消耗和buff配置索引'!BZ:BZ,MATCH(D20,'#建筑消耗和buff配置索引'!A:A,0))=0,"",INDEX('#建筑消耗和buff配置索引'!BZ:BZ,MATCH(D20,'#建筑消耗和buff配置索引'!A:A,0))),"")</f>
        <v/>
      </c>
      <c r="X20" s="133" t="str">
        <f t="shared" si="2"/>
        <v>TID_CityBuilding_detailUnlockText_2010017</v>
      </c>
      <c r="Y20" s="133" t="s">
        <v>1274</v>
      </c>
      <c r="AA20" s="133">
        <f>INDEX('#建筑消耗和buff配置索引'!AO:AO,MATCH($F20,'#建筑消耗和buff配置索引'!$M:$M,0))</f>
        <v>74811</v>
      </c>
      <c r="AB20" s="133">
        <f>IF(INDEX('#建筑消耗和buff配置索引'!AR:AR,MATCH($F20,'#建筑消耗和buff配置索引'!$M:$M,0))=0,"",INDEX('#建筑消耗和buff配置索引'!AR:AR,MATCH($F20,'#建筑消耗和buff配置索引'!$M:$M,0)))</f>
        <v>6001</v>
      </c>
      <c r="AC20" s="133">
        <f>IF(AB20="","",INDEX('#建筑消耗和buff配置索引'!AS:AS,MATCH($F20,'#建筑消耗和buff配置索引'!$M:$M,0)))</f>
        <v>11000</v>
      </c>
      <c r="AF20" s="133">
        <f>IF(INDEX('#建筑消耗和buff配置索引'!AW:AW,MATCH($F20,'#建筑消耗和buff配置索引'!$M:$M,0))=0,"",INDEX('#建筑消耗和buff配置索引'!AW:AW,MATCH($F20,'#建筑消耗和buff配置索引'!$M:$M,0)))</f>
        <v>8025</v>
      </c>
      <c r="AG20" s="133">
        <f>IF(AF20="","",INDEX('#建筑消耗和buff配置索引'!AX:AX,MATCH($F20,'#建筑消耗和buff配置索引'!$M:$M,0)))</f>
        <v>2</v>
      </c>
      <c r="AJ20" s="133">
        <f>IF(INDEX('#建筑消耗和buff配置索引'!BB:BB,MATCH($F20,'#建筑消耗和buff配置索引'!$M:$M,0))=0,"",INDEX('#建筑消耗和buff配置索引'!BB:BB,MATCH($F20,'#建筑消耗和buff配置索引'!$M:$M,0)))</f>
        <v>1202</v>
      </c>
      <c r="AK20" s="133">
        <f>IF(AJ20="","",INDEX('#建筑消耗和buff配置索引'!BC:BC,MATCH($F20,'#建筑消耗和buff配置索引'!$M:$M,0)))</f>
        <v>4</v>
      </c>
      <c r="AN20" s="133">
        <f>IF(INDEX('#建筑消耗和buff配置索引'!BG:BG,MATCH($F20,'#建筑消耗和buff配置索引'!$M:$M,0))=0,"",INDEX('#建筑消耗和buff配置索引'!BG:BG,MATCH($F20,'#建筑消耗和buff配置索引'!$M:$M,0)))</f>
        <v>1205</v>
      </c>
      <c r="AO20" s="133">
        <f>IF(AN20="","",INDEX('#建筑消耗和buff配置索引'!BH:BH,MATCH($F20,'#建筑消耗和buff配置索引'!$M:$M,0)))</f>
        <v>3</v>
      </c>
      <c r="AR20" s="133">
        <f>IF(INDEX('#建筑消耗和buff配置索引'!BK:BK,MATCH($F20,'#建筑消耗和buff配置索引'!$M:$M,0))=0,"",INDEX('#建筑消耗和buff配置索引'!BK:BK,MATCH($F20,'#建筑消耗和buff配置索引'!$M:$M,0)))</f>
        <v>1209</v>
      </c>
      <c r="AS20" s="133">
        <f>IF(AR20="","",INDEX('#建筑消耗和buff配置索引'!BL:BL,MATCH($F20,'#建筑消耗和buff配置索引'!$M:$M,0)))</f>
        <v>4</v>
      </c>
      <c r="AV20" s="133">
        <f>IF(INDEX('#建筑消耗和buff配置索引'!BO:BO,MATCH($F20,'#建筑消耗和buff配置索引'!$M:$M,0))=0,"",INDEX('#建筑消耗和buff配置索引'!BO:BO,MATCH($F20,'#建筑消耗和buff配置索引'!$M:$M,0)))</f>
        <v>1210</v>
      </c>
      <c r="AW20" s="133">
        <f>IF(AV20="","",INDEX('#建筑消耗和buff配置索引'!BP:BP,MATCH($F20,'#建筑消耗和buff配置索引'!$M:$M,0)))</f>
        <v>3</v>
      </c>
      <c r="AZ20" s="133">
        <f>IF(INDEX('#建筑消耗和buff配置索引'!BS:BS,MATCH($F20,'#建筑消耗和buff配置索引'!$M:$M,0))=0,"",INDEX('#建筑消耗和buff配置索引'!BS:BS,MATCH($F20,'#建筑消耗和buff配置索引'!$M:$M,0)))</f>
        <v>1237</v>
      </c>
      <c r="BA20" s="133">
        <f>IF(AZ20="","",INDEX('#建筑消耗和buff配置索引'!BT:BT,MATCH($F20,'#建筑消耗和buff配置索引'!$M:$M,0)))</f>
        <v>2</v>
      </c>
      <c r="BD20" s="133" t="str">
        <f>IF(INDEX('#建筑消耗和buff配置索引'!BW:BW,MATCH($F20,'#建筑消耗和buff配置索引'!$M:$M,0))=0,"",INDEX('#建筑消耗和buff配置索引'!BW:BW,MATCH($F20,'#建筑消耗和buff配置索引'!$M:$M,0)))</f>
        <v/>
      </c>
      <c r="BE20" s="133" t="str">
        <f>IF(BD20="","",INDEX('#建筑消耗和buff配置索引'!BX:BX,MATCH($F20,'#建筑消耗和buff配置索引'!$M:$M,0)))</f>
        <v/>
      </c>
      <c r="BI20" s="133">
        <v>1</v>
      </c>
      <c r="BK20" s="133">
        <v>20013</v>
      </c>
    </row>
    <row r="21" spans="1:65" s="133" customFormat="1" ht="16.5">
      <c r="A21" s="133">
        <v>2010018</v>
      </c>
      <c r="B21" s="133">
        <v>18</v>
      </c>
      <c r="C21" s="133">
        <v>201</v>
      </c>
      <c r="D21" s="133" t="s">
        <v>66</v>
      </c>
      <c r="E21" s="133">
        <v>18</v>
      </c>
      <c r="F21" s="133" t="str">
        <f t="shared" si="0"/>
        <v>城镇中心18</v>
      </c>
      <c r="G21" s="133" t="s">
        <v>1275</v>
      </c>
      <c r="H21" s="133" t="s">
        <v>1276</v>
      </c>
      <c r="I21" s="133">
        <v>2</v>
      </c>
      <c r="J21" s="150">
        <f>INDEX('#建筑消耗和buff配置索引'!AH:AH,MATCH($F21,'#建筑消耗和buff配置索引'!$M:$M,0))</f>
        <v>187200</v>
      </c>
      <c r="K21" s="150">
        <f>INDEX('#建筑消耗和buff配置索引'!AA:AA,MATCH($F21,'#建筑消耗和buff配置索引'!$M:$M,0))</f>
        <v>3000000</v>
      </c>
      <c r="L21" s="150">
        <f>INDEX('#建筑消耗和buff配置索引'!AB:AB,MATCH($F21,'#建筑消耗和buff配置索引'!$M:$M,0))</f>
        <v>3000000</v>
      </c>
      <c r="M21" s="150">
        <f>INDEX('#建筑消耗和buff配置索引'!AC:AC,MATCH($F21,'#建筑消耗和buff配置索引'!$M:$M,0))</f>
        <v>3000000</v>
      </c>
      <c r="N21" s="150">
        <f>INDEX('#建筑消耗和buff配置索引'!AD:AD,MATCH($F21,'#建筑消耗和buff配置索引'!$M:$M,0))</f>
        <v>3000000</v>
      </c>
      <c r="O21" s="150" t="str">
        <f>IF(INDEX('#建筑消耗和buff配置索引'!T:T,MATCH($F21,'#建筑消耗和buff配置索引'!$M:$M,0))=0,"",INDEX('#建筑消耗和buff配置索引'!T:T,MATCH($F21,'#建筑消耗和buff配置索引'!$M:$M,0)))</f>
        <v/>
      </c>
      <c r="P21" s="133" t="str">
        <f>IF(INDEX('#建筑消耗和buff配置索引'!U:U,MATCH($F21,'#建筑消耗和buff配置索引'!$M:$M,0))=0,"",INDEX('#建筑消耗和buff配置索引'!U:U,MATCH($F21,'#建筑消耗和buff配置索引'!$M:$M,0)))</f>
        <v/>
      </c>
      <c r="Q21" s="133" t="str">
        <f>IF(INDEX('#建筑消耗和buff配置索引'!K:K,MATCH($F21,'#建筑消耗和buff配置索引'!$M:$M,0))=0,"",INDEX('#建筑消耗和buff配置索引'!K:K,MATCH($F21,'#建筑消耗和buff配置索引'!$M:$M,0)))</f>
        <v>215;209</v>
      </c>
      <c r="R21" s="133" t="str">
        <f>IF(INDEX('#建筑消耗和buff配置索引'!L:L,MATCH($F21,'#建筑消耗和buff配置索引'!$M:$M,0))=0,"",INDEX('#建筑消耗和buff配置索引'!L:L,MATCH($F21,'#建筑消耗和buff配置索引'!$M:$M,0)))</f>
        <v>17;17</v>
      </c>
      <c r="S21" s="133">
        <f>IF(INDEX('#建筑消耗和buff配置索引'!C:C,MATCH(F21,'#建筑消耗和buff配置索引'!M:M,0))=0,1,INDEX('#建筑消耗和buff配置索引'!C:C,MATCH(F21,'#建筑消耗和buff配置索引'!M:M,0)))</f>
        <v>4</v>
      </c>
      <c r="T21" s="151">
        <v>0</v>
      </c>
      <c r="U21" s="133">
        <v>0</v>
      </c>
      <c r="V21" s="133" t="str">
        <f>IF(E21=1,IF(INDEX('#建筑消耗和buff配置索引'!BY:BY,MATCH(D21,'#建筑消耗和buff配置索引'!A:A,0))=0,"",INDEX('#建筑消耗和buff配置索引'!BY:BY,MATCH(D21,'#建筑消耗和buff配置索引'!A:A,0))),"")</f>
        <v/>
      </c>
      <c r="W21" s="133" t="str">
        <f>IF(E21=1,IF(INDEX('#建筑消耗和buff配置索引'!BZ:BZ,MATCH(D21,'#建筑消耗和buff配置索引'!A:A,0))=0,"",INDEX('#建筑消耗和buff配置索引'!BZ:BZ,MATCH(D21,'#建筑消耗和buff配置索引'!A:A,0))),"")</f>
        <v/>
      </c>
      <c r="X21" s="133" t="str">
        <f t="shared" si="2"/>
        <v>TID_CityBuilding_detailUnlockText_2010018</v>
      </c>
      <c r="Y21" s="133" t="s">
        <v>1260</v>
      </c>
      <c r="AA21" s="133">
        <f>INDEX('#建筑消耗和buff配置索引'!AO:AO,MATCH($F21,'#建筑消耗和buff配置索引'!$M:$M,0))</f>
        <v>98773</v>
      </c>
      <c r="AB21" s="133">
        <f>IF(INDEX('#建筑消耗和buff配置索引'!AR:AR,MATCH($F21,'#建筑消耗和buff配置索引'!$M:$M,0))=0,"",INDEX('#建筑消耗和buff配置索引'!AR:AR,MATCH($F21,'#建筑消耗和buff配置索引'!$M:$M,0)))</f>
        <v>6001</v>
      </c>
      <c r="AC21" s="133">
        <f>IF(AB21="","",INDEX('#建筑消耗和buff配置索引'!AS:AS,MATCH($F21,'#建筑消耗和buff配置索引'!$M:$M,0)))</f>
        <v>12500</v>
      </c>
      <c r="AF21" s="133">
        <f>IF(INDEX('#建筑消耗和buff配置索引'!AW:AW,MATCH($F21,'#建筑消耗和buff配置索引'!$M:$M,0))=0,"",INDEX('#建筑消耗和buff配置索引'!AW:AW,MATCH($F21,'#建筑消耗和buff配置索引'!$M:$M,0)))</f>
        <v>8025</v>
      </c>
      <c r="AG21" s="133">
        <f>IF(AF21="","",INDEX('#建筑消耗和buff配置索引'!AX:AX,MATCH($F21,'#建筑消耗和buff配置索引'!$M:$M,0)))</f>
        <v>2</v>
      </c>
      <c r="AJ21" s="133">
        <f>IF(INDEX('#建筑消耗和buff配置索引'!BB:BB,MATCH($F21,'#建筑消耗和buff配置索引'!$M:$M,0))=0,"",INDEX('#建筑消耗和buff配置索引'!BB:BB,MATCH($F21,'#建筑消耗和buff配置索引'!$M:$M,0)))</f>
        <v>1202</v>
      </c>
      <c r="AK21" s="133">
        <f>IF(AJ21="","",INDEX('#建筑消耗和buff配置索引'!BC:BC,MATCH($F21,'#建筑消耗和buff配置索引'!$M:$M,0)))</f>
        <v>4</v>
      </c>
      <c r="AN21" s="133">
        <f>IF(INDEX('#建筑消耗和buff配置索引'!BG:BG,MATCH($F21,'#建筑消耗和buff配置索引'!$M:$M,0))=0,"",INDEX('#建筑消耗和buff配置索引'!BG:BG,MATCH($F21,'#建筑消耗和buff配置索引'!$M:$M,0)))</f>
        <v>1205</v>
      </c>
      <c r="AO21" s="133">
        <f>IF(AN21="","",INDEX('#建筑消耗和buff配置索引'!BH:BH,MATCH($F21,'#建筑消耗和buff配置索引'!$M:$M,0)))</f>
        <v>4</v>
      </c>
      <c r="AR21" s="133">
        <f>IF(INDEX('#建筑消耗和buff配置索引'!BK:BK,MATCH($F21,'#建筑消耗和buff配置索引'!$M:$M,0))=0,"",INDEX('#建筑消耗和buff配置索引'!BK:BK,MATCH($F21,'#建筑消耗和buff配置索引'!$M:$M,0)))</f>
        <v>1209</v>
      </c>
      <c r="AS21" s="133">
        <f>IF(AR21="","",INDEX('#建筑消耗和buff配置索引'!BL:BL,MATCH($F21,'#建筑消耗和buff配置索引'!$M:$M,0)))</f>
        <v>4</v>
      </c>
      <c r="AV21" s="133">
        <f>IF(INDEX('#建筑消耗和buff配置索引'!BO:BO,MATCH($F21,'#建筑消耗和buff配置索引'!$M:$M,0))=0,"",INDEX('#建筑消耗和buff配置索引'!BO:BO,MATCH($F21,'#建筑消耗和buff配置索引'!$M:$M,0)))</f>
        <v>1210</v>
      </c>
      <c r="AW21" s="133">
        <f>IF(AV21="","",INDEX('#建筑消耗和buff配置索引'!BP:BP,MATCH($F21,'#建筑消耗和buff配置索引'!$M:$M,0)))</f>
        <v>3</v>
      </c>
      <c r="AZ21" s="133">
        <f>IF(INDEX('#建筑消耗和buff配置索引'!BS:BS,MATCH($F21,'#建筑消耗和buff配置索引'!$M:$M,0))=0,"",INDEX('#建筑消耗和buff配置索引'!BS:BS,MATCH($F21,'#建筑消耗和buff配置索引'!$M:$M,0)))</f>
        <v>1237</v>
      </c>
      <c r="BA21" s="133">
        <f>IF(AZ21="","",INDEX('#建筑消耗和buff配置索引'!BT:BT,MATCH($F21,'#建筑消耗和buff配置索引'!$M:$M,0)))</f>
        <v>2</v>
      </c>
      <c r="BD21" s="133" t="str">
        <f>IF(INDEX('#建筑消耗和buff配置索引'!BW:BW,MATCH($F21,'#建筑消耗和buff配置索引'!$M:$M,0))=0,"",INDEX('#建筑消耗和buff配置索引'!BW:BW,MATCH($F21,'#建筑消耗和buff配置索引'!$M:$M,0)))</f>
        <v/>
      </c>
      <c r="BE21" s="133" t="str">
        <f>IF(BD21="","",INDEX('#建筑消耗和buff配置索引'!BX:BX,MATCH($F21,'#建筑消耗和buff配置索引'!$M:$M,0)))</f>
        <v/>
      </c>
      <c r="BI21" s="133">
        <v>1</v>
      </c>
      <c r="BK21" s="133">
        <v>20014</v>
      </c>
    </row>
    <row r="22" spans="1:65" s="133" customFormat="1" ht="16.5">
      <c r="A22" s="133">
        <v>2010019</v>
      </c>
      <c r="B22" s="133">
        <v>19</v>
      </c>
      <c r="C22" s="133">
        <v>201</v>
      </c>
      <c r="D22" s="133" t="s">
        <v>66</v>
      </c>
      <c r="E22" s="133">
        <v>19</v>
      </c>
      <c r="F22" s="133" t="str">
        <f t="shared" si="0"/>
        <v>城镇中心19</v>
      </c>
      <c r="G22" s="133" t="s">
        <v>1275</v>
      </c>
      <c r="H22" s="133" t="s">
        <v>1280</v>
      </c>
      <c r="I22" s="133">
        <v>2</v>
      </c>
      <c r="J22" s="150">
        <f>INDEX('#建筑消耗和buff配置索引'!AH:AH,MATCH($F22,'#建筑消耗和buff配置索引'!$M:$M,0))</f>
        <v>244800</v>
      </c>
      <c r="K22" s="150">
        <f>INDEX('#建筑消耗和buff配置索引'!AA:AA,MATCH($F22,'#建筑消耗和buff配置索引'!$M:$M,0))</f>
        <v>3800000</v>
      </c>
      <c r="L22" s="150">
        <f>INDEX('#建筑消耗和buff配置索引'!AB:AB,MATCH($F22,'#建筑消耗和buff配置索引'!$M:$M,0))</f>
        <v>3800000</v>
      </c>
      <c r="M22" s="150">
        <f>INDEX('#建筑消耗和buff配置索引'!AC:AC,MATCH($F22,'#建筑消耗和buff配置索引'!$M:$M,0))</f>
        <v>3800000</v>
      </c>
      <c r="N22" s="150">
        <f>INDEX('#建筑消耗和buff配置索引'!AD:AD,MATCH($F22,'#建筑消耗和buff配置索引'!$M:$M,0))</f>
        <v>3800000</v>
      </c>
      <c r="O22" s="150" t="str">
        <f>IF(INDEX('#建筑消耗和buff配置索引'!T:T,MATCH($F22,'#建筑消耗和buff配置索引'!$M:$M,0))=0,"",INDEX('#建筑消耗和buff配置索引'!T:T,MATCH($F22,'#建筑消耗和buff配置索引'!$M:$M,0)))</f>
        <v/>
      </c>
      <c r="P22" s="133" t="str">
        <f>IF(INDEX('#建筑消耗和buff配置索引'!U:U,MATCH($F22,'#建筑消耗和buff配置索引'!$M:$M,0))=0,"",INDEX('#建筑消耗和buff配置索引'!U:U,MATCH($F22,'#建筑消耗和buff配置索引'!$M:$M,0)))</f>
        <v/>
      </c>
      <c r="Q22" s="133" t="str">
        <f>IF(INDEX('#建筑消耗和buff配置索引'!K:K,MATCH($F22,'#建筑消耗和buff配置索引'!$M:$M,0))=0,"",INDEX('#建筑消耗和buff配置索引'!K:K,MATCH($F22,'#建筑消耗和buff配置索引'!$M:$M,0)))</f>
        <v>215;230</v>
      </c>
      <c r="R22" s="133" t="str">
        <f>IF(INDEX('#建筑消耗和buff配置索引'!L:L,MATCH($F22,'#建筑消耗和buff配置索引'!$M:$M,0))=0,"",INDEX('#建筑消耗和buff配置索引'!L:L,MATCH($F22,'#建筑消耗和buff配置索引'!$M:$M,0)))</f>
        <v>18;18</v>
      </c>
      <c r="S22" s="133">
        <f>IF(INDEX('#建筑消耗和buff配置索引'!C:C,MATCH(F22,'#建筑消耗和buff配置索引'!M:M,0))=0,1,INDEX('#建筑消耗和buff配置索引'!C:C,MATCH(F22,'#建筑消耗和buff配置索引'!M:M,0)))</f>
        <v>4</v>
      </c>
      <c r="T22" s="151">
        <v>0</v>
      </c>
      <c r="U22" s="133">
        <v>0</v>
      </c>
      <c r="V22" s="133" t="str">
        <f>IF(E22=1,IF(INDEX('#建筑消耗和buff配置索引'!BY:BY,MATCH(D22,'#建筑消耗和buff配置索引'!A:A,0))=0,"",INDEX('#建筑消耗和buff配置索引'!BY:BY,MATCH(D22,'#建筑消耗和buff配置索引'!A:A,0))),"")</f>
        <v/>
      </c>
      <c r="W22" s="133" t="str">
        <f>IF(E22=1,IF(INDEX('#建筑消耗和buff配置索引'!BZ:BZ,MATCH(D22,'#建筑消耗和buff配置索引'!A:A,0))=0,"",INDEX('#建筑消耗和buff配置索引'!BZ:BZ,MATCH(D22,'#建筑消耗和buff配置索引'!A:A,0))),"")</f>
        <v/>
      </c>
      <c r="AA22" s="133">
        <f>INDEX('#建筑消耗和buff配置索引'!AO:AO,MATCH($F22,'#建筑消耗和buff配置索引'!$M:$M,0))</f>
        <v>129445</v>
      </c>
      <c r="AB22" s="133">
        <f>IF(INDEX('#建筑消耗和buff配置索引'!AR:AR,MATCH($F22,'#建筑消耗和buff配置索引'!$M:$M,0))=0,"",INDEX('#建筑消耗和buff配置索引'!AR:AR,MATCH($F22,'#建筑消耗和buff配置索引'!$M:$M,0)))</f>
        <v>6001</v>
      </c>
      <c r="AC22" s="133">
        <f>IF(AB22="","",INDEX('#建筑消耗和buff配置索引'!AS:AS,MATCH($F22,'#建筑消耗和buff配置索引'!$M:$M,0)))</f>
        <v>14000</v>
      </c>
      <c r="AF22" s="133">
        <f>IF(INDEX('#建筑消耗和buff配置索引'!AW:AW,MATCH($F22,'#建筑消耗和buff配置索引'!$M:$M,0))=0,"",INDEX('#建筑消耗和buff配置索引'!AW:AW,MATCH($F22,'#建筑消耗和buff配置索引'!$M:$M,0)))</f>
        <v>8025</v>
      </c>
      <c r="AG22" s="133">
        <f>IF(AF22="","",INDEX('#建筑消耗和buff配置索引'!AX:AX,MATCH($F22,'#建筑消耗和buff配置索引'!$M:$M,0)))</f>
        <v>2</v>
      </c>
      <c r="AJ22" s="133">
        <f>IF(INDEX('#建筑消耗和buff配置索引'!BB:BB,MATCH($F22,'#建筑消耗和buff配置索引'!$M:$M,0))=0,"",INDEX('#建筑消耗和buff配置索引'!BB:BB,MATCH($F22,'#建筑消耗和buff配置索引'!$M:$M,0)))</f>
        <v>1202</v>
      </c>
      <c r="AK22" s="133">
        <f>IF(AJ22="","",INDEX('#建筑消耗和buff配置索引'!BC:BC,MATCH($F22,'#建筑消耗和buff配置索引'!$M:$M,0)))</f>
        <v>4</v>
      </c>
      <c r="AN22" s="133">
        <f>IF(INDEX('#建筑消耗和buff配置索引'!BG:BG,MATCH($F22,'#建筑消耗和buff配置索引'!$M:$M,0))=0,"",INDEX('#建筑消耗和buff配置索引'!BG:BG,MATCH($F22,'#建筑消耗和buff配置索引'!$M:$M,0)))</f>
        <v>1205</v>
      </c>
      <c r="AO22" s="133">
        <f>IF(AN22="","",INDEX('#建筑消耗和buff配置索引'!BH:BH,MATCH($F22,'#建筑消耗和buff配置索引'!$M:$M,0)))</f>
        <v>4</v>
      </c>
      <c r="AR22" s="133">
        <f>IF(INDEX('#建筑消耗和buff配置索引'!BK:BK,MATCH($F22,'#建筑消耗和buff配置索引'!$M:$M,0))=0,"",INDEX('#建筑消耗和buff配置索引'!BK:BK,MATCH($F22,'#建筑消耗和buff配置索引'!$M:$M,0)))</f>
        <v>1209</v>
      </c>
      <c r="AS22" s="133">
        <f>IF(AR22="","",INDEX('#建筑消耗和buff配置索引'!BL:BL,MATCH($F22,'#建筑消耗和buff配置索引'!$M:$M,0)))</f>
        <v>4</v>
      </c>
      <c r="AV22" s="133">
        <f>IF(INDEX('#建筑消耗和buff配置索引'!BO:BO,MATCH($F22,'#建筑消耗和buff配置索引'!$M:$M,0))=0,"",INDEX('#建筑消耗和buff配置索引'!BO:BO,MATCH($F22,'#建筑消耗和buff配置索引'!$M:$M,0)))</f>
        <v>1210</v>
      </c>
      <c r="AW22" s="133">
        <f>IF(AV22="","",INDEX('#建筑消耗和buff配置索引'!BP:BP,MATCH($F22,'#建筑消耗和buff配置索引'!$M:$M,0)))</f>
        <v>3</v>
      </c>
      <c r="AZ22" s="133">
        <f>IF(INDEX('#建筑消耗和buff配置索引'!BS:BS,MATCH($F22,'#建筑消耗和buff配置索引'!$M:$M,0))=0,"",INDEX('#建筑消耗和buff配置索引'!BS:BS,MATCH($F22,'#建筑消耗和buff配置索引'!$M:$M,0)))</f>
        <v>1237</v>
      </c>
      <c r="BA22" s="133">
        <f>IF(AZ22="","",INDEX('#建筑消耗和buff配置索引'!BT:BT,MATCH($F22,'#建筑消耗和buff配置索引'!$M:$M,0)))</f>
        <v>2</v>
      </c>
      <c r="BD22" s="133" t="str">
        <f>IF(INDEX('#建筑消耗和buff配置索引'!BW:BW,MATCH($F22,'#建筑消耗和buff配置索引'!$M:$M,0))=0,"",INDEX('#建筑消耗和buff配置索引'!BW:BW,MATCH($F22,'#建筑消耗和buff配置索引'!$M:$M,0)))</f>
        <v/>
      </c>
      <c r="BE22" s="133" t="str">
        <f>IF(BD22="","",INDEX('#建筑消耗和buff配置索引'!BX:BX,MATCH($F22,'#建筑消耗和buff配置索引'!$M:$M,0)))</f>
        <v/>
      </c>
      <c r="BI22" s="133">
        <v>1</v>
      </c>
      <c r="BK22" s="133">
        <v>20015</v>
      </c>
    </row>
    <row r="23" spans="1:65" s="133" customFormat="1" ht="16.5">
      <c r="A23" s="133">
        <v>2010020</v>
      </c>
      <c r="B23" s="133">
        <v>20</v>
      </c>
      <c r="C23" s="133">
        <v>201</v>
      </c>
      <c r="D23" s="133" t="s">
        <v>66</v>
      </c>
      <c r="E23" s="133">
        <v>20</v>
      </c>
      <c r="F23" s="133" t="str">
        <f t="shared" si="0"/>
        <v>城镇中心20</v>
      </c>
      <c r="G23" s="133" t="s">
        <v>1275</v>
      </c>
      <c r="H23" s="133" t="s">
        <v>1282</v>
      </c>
      <c r="I23" s="133">
        <v>3</v>
      </c>
      <c r="J23" s="150">
        <f>INDEX('#建筑消耗和buff配置索引'!AH:AH,MATCH($F23,'#建筑消耗和buff配置索引'!$M:$M,0))</f>
        <v>345600</v>
      </c>
      <c r="K23" s="150">
        <f>INDEX('#建筑消耗和buff配置索引'!AA:AA,MATCH($F23,'#建筑消耗和buff配置索引'!$M:$M,0))</f>
        <v>4900000</v>
      </c>
      <c r="L23" s="150">
        <f>INDEX('#建筑消耗和buff配置索引'!AB:AB,MATCH($F23,'#建筑消耗和buff配置索引'!$M:$M,0))</f>
        <v>4900000</v>
      </c>
      <c r="M23" s="150">
        <f>INDEX('#建筑消耗和buff配置索引'!AC:AC,MATCH($F23,'#建筑消耗和buff配置索引'!$M:$M,0))</f>
        <v>4900000</v>
      </c>
      <c r="N23" s="150">
        <f>INDEX('#建筑消耗和buff配置索引'!AD:AD,MATCH($F23,'#建筑消耗和buff配置索引'!$M:$M,0))</f>
        <v>4900000</v>
      </c>
      <c r="O23" s="150" t="str">
        <f>IF(INDEX('#建筑消耗和buff配置索引'!T:T,MATCH($F23,'#建筑消耗和buff配置索引'!$M:$M,0))=0,"",INDEX('#建筑消耗和buff配置索引'!T:T,MATCH($F23,'#建筑消耗和buff配置索引'!$M:$M,0)))</f>
        <v/>
      </c>
      <c r="P23" s="133" t="str">
        <f>IF(INDEX('#建筑消耗和buff配置索引'!U:U,MATCH($F23,'#建筑消耗和buff配置索引'!$M:$M,0))=0,"",INDEX('#建筑消耗和buff配置索引'!U:U,MATCH($F23,'#建筑消耗和buff配置索引'!$M:$M,0)))</f>
        <v/>
      </c>
      <c r="Q23" s="133" t="str">
        <f>IF(INDEX('#建筑消耗和buff配置索引'!K:K,MATCH($F23,'#建筑消耗和buff配置索引'!$M:$M,0))=0,"",INDEX('#建筑消耗和buff配置索引'!K:K,MATCH($F23,'#建筑消耗和buff配置索引'!$M:$M,0)))</f>
        <v>215;211</v>
      </c>
      <c r="R23" s="133" t="str">
        <f>IF(INDEX('#建筑消耗和buff配置索引'!L:L,MATCH($F23,'#建筑消耗和buff配置索引'!$M:$M,0))=0,"",INDEX('#建筑消耗和buff配置索引'!L:L,MATCH($F23,'#建筑消耗和buff配置索引'!$M:$M,0)))</f>
        <v>19;19</v>
      </c>
      <c r="S23" s="133">
        <f>IF(INDEX('#建筑消耗和buff配置索引'!C:C,MATCH(F23,'#建筑消耗和buff配置索引'!M:M,0))=0,1,INDEX('#建筑消耗和buff配置索引'!C:C,MATCH(F23,'#建筑消耗和buff配置索引'!M:M,0)))</f>
        <v>4</v>
      </c>
      <c r="T23" s="151">
        <v>0</v>
      </c>
      <c r="U23" s="133">
        <v>0</v>
      </c>
      <c r="V23" s="133" t="str">
        <f>IF(E23=1,IF(INDEX('#建筑消耗和buff配置索引'!BY:BY,MATCH(D23,'#建筑消耗和buff配置索引'!A:A,0))=0,"",INDEX('#建筑消耗和buff配置索引'!BY:BY,MATCH(D23,'#建筑消耗和buff配置索引'!A:A,0))),"")</f>
        <v/>
      </c>
      <c r="W23" s="133" t="str">
        <f>IF(E23=1,IF(INDEX('#建筑消耗和buff配置索引'!BZ:BZ,MATCH(D23,'#建筑消耗和buff配置索引'!A:A,0))=0,"",INDEX('#建筑消耗和buff配置索引'!BZ:BZ,MATCH(D23,'#建筑消耗和buff配置索引'!A:A,0))),"")</f>
        <v/>
      </c>
      <c r="X23" s="133" t="str">
        <f t="shared" si="2"/>
        <v>TID_CityBuilding_detailUnlockText_2010020</v>
      </c>
      <c r="Y23" s="133" t="s">
        <v>1267</v>
      </c>
      <c r="AA23" s="133">
        <f>INDEX('#建筑消耗和buff配置索引'!AO:AO,MATCH($F23,'#建筑消耗和buff配置索引'!$M:$M,0))</f>
        <v>168704</v>
      </c>
      <c r="AB23" s="133">
        <f>IF(INDEX('#建筑消耗和buff配置索引'!AR:AR,MATCH($F23,'#建筑消耗和buff配置索引'!$M:$M,0))=0,"",INDEX('#建筑消耗和buff配置索引'!AR:AR,MATCH($F23,'#建筑消耗和buff配置索引'!$M:$M,0)))</f>
        <v>6001</v>
      </c>
      <c r="AC23" s="133">
        <f>IF(AB23="","",INDEX('#建筑消耗和buff配置索引'!AS:AS,MATCH($F23,'#建筑消耗和buff配置索引'!$M:$M,0)))</f>
        <v>16000</v>
      </c>
      <c r="AF23" s="133">
        <f>IF(INDEX('#建筑消耗和buff配置索引'!AW:AW,MATCH($F23,'#建筑消耗和buff配置索引'!$M:$M,0))=0,"",INDEX('#建筑消耗和buff配置索引'!AW:AW,MATCH($F23,'#建筑消耗和buff配置索引'!$M:$M,0)))</f>
        <v>8025</v>
      </c>
      <c r="AG23" s="133">
        <f>IF(AF23="","",INDEX('#建筑消耗和buff配置索引'!AX:AX,MATCH($F23,'#建筑消耗和buff配置索引'!$M:$M,0)))</f>
        <v>2</v>
      </c>
      <c r="AJ23" s="133">
        <f>IF(INDEX('#建筑消耗和buff配置索引'!BB:BB,MATCH($F23,'#建筑消耗和buff配置索引'!$M:$M,0))=0,"",INDEX('#建筑消耗和buff配置索引'!BB:BB,MATCH($F23,'#建筑消耗和buff配置索引'!$M:$M,0)))</f>
        <v>1202</v>
      </c>
      <c r="AK23" s="133">
        <f>IF(AJ23="","",INDEX('#建筑消耗和buff配置索引'!BC:BC,MATCH($F23,'#建筑消耗和buff配置索引'!$M:$M,0)))</f>
        <v>4</v>
      </c>
      <c r="AN23" s="133">
        <f>IF(INDEX('#建筑消耗和buff配置索引'!BG:BG,MATCH($F23,'#建筑消耗和buff配置索引'!$M:$M,0))=0,"",INDEX('#建筑消耗和buff配置索引'!BG:BG,MATCH($F23,'#建筑消耗和buff配置索引'!$M:$M,0)))</f>
        <v>1205</v>
      </c>
      <c r="AO23" s="133">
        <f>IF(AN23="","",INDEX('#建筑消耗和buff配置索引'!BH:BH,MATCH($F23,'#建筑消耗和buff配置索引'!$M:$M,0)))</f>
        <v>4</v>
      </c>
      <c r="AR23" s="133">
        <f>IF(INDEX('#建筑消耗和buff配置索引'!BK:BK,MATCH($F23,'#建筑消耗和buff配置索引'!$M:$M,0))=0,"",INDEX('#建筑消耗和buff配置索引'!BK:BK,MATCH($F23,'#建筑消耗和buff配置索引'!$M:$M,0)))</f>
        <v>1209</v>
      </c>
      <c r="AS23" s="133">
        <f>IF(AR23="","",INDEX('#建筑消耗和buff配置索引'!BL:BL,MATCH($F23,'#建筑消耗和buff配置索引'!$M:$M,0)))</f>
        <v>4</v>
      </c>
      <c r="AV23" s="133">
        <f>IF(INDEX('#建筑消耗和buff配置索引'!BO:BO,MATCH($F23,'#建筑消耗和buff配置索引'!$M:$M,0))=0,"",INDEX('#建筑消耗和buff配置索引'!BO:BO,MATCH($F23,'#建筑消耗和buff配置索引'!$M:$M,0)))</f>
        <v>1210</v>
      </c>
      <c r="AW23" s="133">
        <f>IF(AV23="","",INDEX('#建筑消耗和buff配置索引'!BP:BP,MATCH($F23,'#建筑消耗和buff配置索引'!$M:$M,0)))</f>
        <v>3</v>
      </c>
      <c r="AZ23" s="133">
        <f>IF(INDEX('#建筑消耗和buff配置索引'!BS:BS,MATCH($F23,'#建筑消耗和buff配置索引'!$M:$M,0))=0,"",INDEX('#建筑消耗和buff配置索引'!BS:BS,MATCH($F23,'#建筑消耗和buff配置索引'!$M:$M,0)))</f>
        <v>1237</v>
      </c>
      <c r="BA23" s="133">
        <f>IF(AZ23="","",INDEX('#建筑消耗和buff配置索引'!BT:BT,MATCH($F23,'#建筑消耗和buff配置索引'!$M:$M,0)))</f>
        <v>3</v>
      </c>
      <c r="BD23" s="133" t="str">
        <f>IF(INDEX('#建筑消耗和buff配置索引'!BW:BW,MATCH($F23,'#建筑消耗和buff配置索引'!$M:$M,0))=0,"",INDEX('#建筑消耗和buff配置索引'!BW:BW,MATCH($F23,'#建筑消耗和buff配置索引'!$M:$M,0)))</f>
        <v/>
      </c>
      <c r="BE23" s="133" t="str">
        <f>IF(BD23="","",INDEX('#建筑消耗和buff配置索引'!BX:BX,MATCH($F23,'#建筑消耗和buff配置索引'!$M:$M,0)))</f>
        <v/>
      </c>
      <c r="BI23" s="133">
        <v>1</v>
      </c>
      <c r="BK23" s="133">
        <v>20016</v>
      </c>
    </row>
    <row r="24" spans="1:65" s="133" customFormat="1" ht="16.5">
      <c r="A24" s="133">
        <v>2010021</v>
      </c>
      <c r="B24" s="133">
        <v>21</v>
      </c>
      <c r="C24" s="133">
        <v>201</v>
      </c>
      <c r="D24" s="133" t="s">
        <v>66</v>
      </c>
      <c r="E24" s="133">
        <v>21</v>
      </c>
      <c r="F24" s="133" t="str">
        <f t="shared" si="0"/>
        <v>城镇中心21</v>
      </c>
      <c r="G24" s="133" t="s">
        <v>1275</v>
      </c>
      <c r="H24" s="133" t="s">
        <v>1286</v>
      </c>
      <c r="I24" s="133">
        <v>3</v>
      </c>
      <c r="J24" s="150">
        <f>INDEX('#建筑消耗和buff配置索引'!AH:AH,MATCH($F24,'#建筑消耗和buff配置索引'!$M:$M,0))</f>
        <v>460800</v>
      </c>
      <c r="K24" s="150">
        <f>INDEX('#建筑消耗和buff配置索引'!AA:AA,MATCH($F24,'#建筑消耗和buff配置索引'!$M:$M,0))</f>
        <v>6300000</v>
      </c>
      <c r="L24" s="150">
        <f>INDEX('#建筑消耗和buff配置索引'!AB:AB,MATCH($F24,'#建筑消耗和buff配置索引'!$M:$M,0))</f>
        <v>6300000</v>
      </c>
      <c r="M24" s="150">
        <f>INDEX('#建筑消耗和buff配置索引'!AC:AC,MATCH($F24,'#建筑消耗和buff配置索引'!$M:$M,0))</f>
        <v>6300000</v>
      </c>
      <c r="N24" s="150">
        <f>INDEX('#建筑消耗和buff配置索引'!AD:AD,MATCH($F24,'#建筑消耗和buff配置索引'!$M:$M,0))</f>
        <v>6300000</v>
      </c>
      <c r="O24" s="150" t="str">
        <f>IF(INDEX('#建筑消耗和buff配置索引'!T:T,MATCH($F24,'#建筑消耗和buff配置索引'!$M:$M,0))=0,"",INDEX('#建筑消耗和buff配置索引'!T:T,MATCH($F24,'#建筑消耗和buff配置索引'!$M:$M,0)))</f>
        <v/>
      </c>
      <c r="P24" s="133" t="str">
        <f>IF(INDEX('#建筑消耗和buff配置索引'!U:U,MATCH($F24,'#建筑消耗和buff配置索引'!$M:$M,0))=0,"",INDEX('#建筑消耗和buff配置索引'!U:U,MATCH($F24,'#建筑消耗和buff配置索引'!$M:$M,0)))</f>
        <v/>
      </c>
      <c r="Q24" s="133" t="str">
        <f>IF(INDEX('#建筑消耗和buff配置索引'!K:K,MATCH($F24,'#建筑消耗和buff配置索引'!$M:$M,0))=0,"",INDEX('#建筑消耗和buff配置索引'!K:K,MATCH($F24,'#建筑消耗和buff配置索引'!$M:$M,0)))</f>
        <v>215;222</v>
      </c>
      <c r="R24" s="133" t="str">
        <f>IF(INDEX('#建筑消耗和buff配置索引'!L:L,MATCH($F24,'#建筑消耗和buff配置索引'!$M:$M,0))=0,"",INDEX('#建筑消耗和buff配置索引'!L:L,MATCH($F24,'#建筑消耗和buff配置索引'!$M:$M,0)))</f>
        <v>20;20</v>
      </c>
      <c r="S24" s="133">
        <f>IF(INDEX('#建筑消耗和buff配置索引'!C:C,MATCH(F24,'#建筑消耗和buff配置索引'!M:M,0))=0,1,INDEX('#建筑消耗和buff配置索引'!C:C,MATCH(F24,'#建筑消耗和buff配置索引'!M:M,0)))</f>
        <v>5</v>
      </c>
      <c r="T24" s="151">
        <v>0</v>
      </c>
      <c r="U24" s="133">
        <v>0</v>
      </c>
      <c r="V24" s="133" t="str">
        <f>IF(E24=1,IF(INDEX('#建筑消耗和buff配置索引'!BY:BY,MATCH(D24,'#建筑消耗和buff配置索引'!A:A,0))=0,"",INDEX('#建筑消耗和buff配置索引'!BY:BY,MATCH(D24,'#建筑消耗和buff配置索引'!A:A,0))),"")</f>
        <v/>
      </c>
      <c r="W24" s="133" t="str">
        <f>IF(E24=1,IF(INDEX('#建筑消耗和buff配置索引'!BZ:BZ,MATCH(D24,'#建筑消耗和buff配置索引'!A:A,0))=0,"",INDEX('#建筑消耗和buff配置索引'!BZ:BZ,MATCH(D24,'#建筑消耗和buff配置索引'!A:A,0))),"")</f>
        <v/>
      </c>
      <c r="X24" s="133" t="str">
        <f t="shared" si="2"/>
        <v>TID_CityBuilding_detailUnlockText_2010021</v>
      </c>
      <c r="Y24" s="133" t="s">
        <v>1241</v>
      </c>
      <c r="AA24" s="133">
        <f>INDEX('#建筑消耗和buff配置索引'!AO:AO,MATCH($F24,'#建筑消耗和buff配置索引'!$M:$M,0))</f>
        <v>218957</v>
      </c>
      <c r="AB24" s="133">
        <f>IF(INDEX('#建筑消耗和buff配置索引'!AR:AR,MATCH($F24,'#建筑消耗和buff配置索引'!$M:$M,0))=0,"",INDEX('#建筑消耗和buff配置索引'!AR:AR,MATCH($F24,'#建筑消耗和buff配置索引'!$M:$M,0)))</f>
        <v>6001</v>
      </c>
      <c r="AC24" s="133">
        <f>IF(AB24="","",INDEX('#建筑消耗和buff配置索引'!AS:AS,MATCH($F24,'#建筑消耗和buff配置索引'!$M:$M,0)))</f>
        <v>18000</v>
      </c>
      <c r="AF24" s="133">
        <f>IF(INDEX('#建筑消耗和buff配置索引'!AW:AW,MATCH($F24,'#建筑消耗和buff配置索引'!$M:$M,0))=0,"",INDEX('#建筑消耗和buff配置索引'!AW:AW,MATCH($F24,'#建筑消耗和buff配置索引'!$M:$M,0)))</f>
        <v>8025</v>
      </c>
      <c r="AG24" s="133">
        <f>IF(AF24="","",INDEX('#建筑消耗和buff配置索引'!AX:AX,MATCH($F24,'#建筑消耗和buff配置索引'!$M:$M,0)))</f>
        <v>2</v>
      </c>
      <c r="AJ24" s="133">
        <f>IF(INDEX('#建筑消耗和buff配置索引'!BB:BB,MATCH($F24,'#建筑消耗和buff配置索引'!$M:$M,0))=0,"",INDEX('#建筑消耗和buff配置索引'!BB:BB,MATCH($F24,'#建筑消耗和buff配置索引'!$M:$M,0)))</f>
        <v>1202</v>
      </c>
      <c r="AK24" s="133">
        <f>IF(AJ24="","",INDEX('#建筑消耗和buff配置索引'!BC:BC,MATCH($F24,'#建筑消耗和buff配置索引'!$M:$M,0)))</f>
        <v>4</v>
      </c>
      <c r="AN24" s="133">
        <f>IF(INDEX('#建筑消耗和buff配置索引'!BG:BG,MATCH($F24,'#建筑消耗和buff配置索引'!$M:$M,0))=0,"",INDEX('#建筑消耗和buff配置索引'!BG:BG,MATCH($F24,'#建筑消耗和buff配置索引'!$M:$M,0)))</f>
        <v>1205</v>
      </c>
      <c r="AO24" s="133">
        <f>IF(AN24="","",INDEX('#建筑消耗和buff配置索引'!BH:BH,MATCH($F24,'#建筑消耗和buff配置索引'!$M:$M,0)))</f>
        <v>4</v>
      </c>
      <c r="AR24" s="133">
        <f>IF(INDEX('#建筑消耗和buff配置索引'!BK:BK,MATCH($F24,'#建筑消耗和buff配置索引'!$M:$M,0))=0,"",INDEX('#建筑消耗和buff配置索引'!BK:BK,MATCH($F24,'#建筑消耗和buff配置索引'!$M:$M,0)))</f>
        <v>1209</v>
      </c>
      <c r="AS24" s="133">
        <f>IF(AR24="","",INDEX('#建筑消耗和buff配置索引'!BL:BL,MATCH($F24,'#建筑消耗和buff配置索引'!$M:$M,0)))</f>
        <v>4</v>
      </c>
      <c r="AV24" s="133">
        <f>IF(INDEX('#建筑消耗和buff配置索引'!BO:BO,MATCH($F24,'#建筑消耗和buff配置索引'!$M:$M,0))=0,"",INDEX('#建筑消耗和buff配置索引'!BO:BO,MATCH($F24,'#建筑消耗和buff配置索引'!$M:$M,0)))</f>
        <v>1210</v>
      </c>
      <c r="AW24" s="133">
        <f>IF(AV24="","",INDEX('#建筑消耗和buff配置索引'!BP:BP,MATCH($F24,'#建筑消耗和buff配置索引'!$M:$M,0)))</f>
        <v>4</v>
      </c>
      <c r="AZ24" s="133">
        <f>IF(INDEX('#建筑消耗和buff配置索引'!BS:BS,MATCH($F24,'#建筑消耗和buff配置索引'!$M:$M,0))=0,"",INDEX('#建筑消耗和buff配置索引'!BS:BS,MATCH($F24,'#建筑消耗和buff配置索引'!$M:$M,0)))</f>
        <v>1237</v>
      </c>
      <c r="BA24" s="133">
        <f>IF(AZ24="","",INDEX('#建筑消耗和buff配置索引'!BT:BT,MATCH($F24,'#建筑消耗和buff配置索引'!$M:$M,0)))</f>
        <v>3</v>
      </c>
      <c r="BD24" s="133" t="str">
        <f>IF(INDEX('#建筑消耗和buff配置索引'!BW:BW,MATCH($F24,'#建筑消耗和buff配置索引'!$M:$M,0))=0,"",INDEX('#建筑消耗和buff配置索引'!BW:BW,MATCH($F24,'#建筑消耗和buff配置索引'!$M:$M,0)))</f>
        <v/>
      </c>
      <c r="BE24" s="133" t="str">
        <f>IF(BD24="","",INDEX('#建筑消耗和buff配置索引'!BX:BX,MATCH($F24,'#建筑消耗和buff配置索引'!$M:$M,0)))</f>
        <v/>
      </c>
      <c r="BI24" s="133">
        <v>1</v>
      </c>
      <c r="BK24" s="133">
        <v>20017</v>
      </c>
      <c r="BM24" s="140"/>
    </row>
    <row r="25" spans="1:65" s="133" customFormat="1" ht="16.5">
      <c r="A25" s="133">
        <v>2010022</v>
      </c>
      <c r="B25" s="133">
        <v>22</v>
      </c>
      <c r="C25" s="133">
        <v>201</v>
      </c>
      <c r="D25" s="133" t="s">
        <v>66</v>
      </c>
      <c r="E25" s="133">
        <v>22</v>
      </c>
      <c r="F25" s="133" t="str">
        <f t="shared" si="0"/>
        <v>城镇中心22</v>
      </c>
      <c r="G25" s="133" t="s">
        <v>1275</v>
      </c>
      <c r="H25" s="133" t="s">
        <v>1290</v>
      </c>
      <c r="I25" s="133">
        <v>3</v>
      </c>
      <c r="J25" s="150">
        <f>INDEX('#建筑消耗和buff配置索引'!AH:AH,MATCH($F25,'#建筑消耗和buff配置索引'!$M:$M,0))</f>
        <v>604800</v>
      </c>
      <c r="K25" s="150">
        <f>INDEX('#建筑消耗和buff配置索引'!AA:AA,MATCH($F25,'#建筑消耗和buff配置索引'!$M:$M,0))</f>
        <v>8000000</v>
      </c>
      <c r="L25" s="150">
        <f>INDEX('#建筑消耗和buff配置索引'!AB:AB,MATCH($F25,'#建筑消耗和buff配置索引'!$M:$M,0))</f>
        <v>8000000</v>
      </c>
      <c r="M25" s="150">
        <f>INDEX('#建筑消耗和buff配置索引'!AC:AC,MATCH($F25,'#建筑消耗和buff配置索引'!$M:$M,0))</f>
        <v>8000000</v>
      </c>
      <c r="N25" s="150">
        <f>INDEX('#建筑消耗和buff配置索引'!AD:AD,MATCH($F25,'#建筑消耗和buff配置索引'!$M:$M,0))</f>
        <v>8000000</v>
      </c>
      <c r="O25" s="150" t="str">
        <f>IF(INDEX('#建筑消耗和buff配置索引'!T:T,MATCH($F25,'#建筑消耗和buff配置索引'!$M:$M,0))=0,"",INDEX('#建筑消耗和buff配置索引'!T:T,MATCH($F25,'#建筑消耗和buff配置索引'!$M:$M,0)))</f>
        <v/>
      </c>
      <c r="P25" s="133" t="str">
        <f>IF(INDEX('#建筑消耗和buff配置索引'!U:U,MATCH($F25,'#建筑消耗和buff配置索引'!$M:$M,0))=0,"",INDEX('#建筑消耗和buff配置索引'!U:U,MATCH($F25,'#建筑消耗和buff配置索引'!$M:$M,0)))</f>
        <v/>
      </c>
      <c r="Q25" s="133" t="str">
        <f>IF(INDEX('#建筑消耗和buff配置索引'!K:K,MATCH($F25,'#建筑消耗和buff配置索引'!$M:$M,0))=0,"",INDEX('#建筑消耗和buff配置索引'!K:K,MATCH($F25,'#建筑消耗和buff配置索引'!$M:$M,0)))</f>
        <v>215;231</v>
      </c>
      <c r="R25" s="133" t="str">
        <f>IF(INDEX('#建筑消耗和buff配置索引'!L:L,MATCH($F25,'#建筑消耗和buff配置索引'!$M:$M,0))=0,"",INDEX('#建筑消耗和buff配置索引'!L:L,MATCH($F25,'#建筑消耗和buff配置索引'!$M:$M,0)))</f>
        <v>21;21</v>
      </c>
      <c r="S25" s="133">
        <f>IF(INDEX('#建筑消耗和buff配置索引'!C:C,MATCH(F25,'#建筑消耗和buff配置索引'!M:M,0))=0,1,INDEX('#建筑消耗和buff配置索引'!C:C,MATCH(F25,'#建筑消耗和buff配置索引'!M:M,0)))</f>
        <v>5</v>
      </c>
      <c r="T25" s="151">
        <v>0</v>
      </c>
      <c r="U25" s="133">
        <v>0</v>
      </c>
      <c r="V25" s="133" t="str">
        <f>IF(E25=1,IF(INDEX('#建筑消耗和buff配置索引'!BY:BY,MATCH(D25,'#建筑消耗和buff配置索引'!A:A,0))=0,"",INDEX('#建筑消耗和buff配置索引'!BY:BY,MATCH(D25,'#建筑消耗和buff配置索引'!A:A,0))),"")</f>
        <v/>
      </c>
      <c r="W25" s="133" t="str">
        <f>IF(E25=1,IF(INDEX('#建筑消耗和buff配置索引'!BZ:BZ,MATCH(D25,'#建筑消耗和buff配置索引'!A:A,0))=0,"",INDEX('#建筑消耗和buff配置索引'!BZ:BZ,MATCH(D25,'#建筑消耗和buff配置索引'!A:A,0))),"")</f>
        <v/>
      </c>
      <c r="AA25" s="133">
        <f>INDEX('#建筑消耗和buff配置索引'!AO:AO,MATCH($F25,'#建筑消耗和buff配置索引'!$M:$M,0))</f>
        <v>283280</v>
      </c>
      <c r="AB25" s="133">
        <f>IF(INDEX('#建筑消耗和buff配置索引'!AR:AR,MATCH($F25,'#建筑消耗和buff配置索引'!$M:$M,0))=0,"",INDEX('#建筑消耗和buff配置索引'!AR:AR,MATCH($F25,'#建筑消耗和buff配置索引'!$M:$M,0)))</f>
        <v>6001</v>
      </c>
      <c r="AC25" s="133">
        <f>IF(AB25="","",INDEX('#建筑消耗和buff配置索引'!AS:AS,MATCH($F25,'#建筑消耗和buff配置索引'!$M:$M,0)))</f>
        <v>20000</v>
      </c>
      <c r="AF25" s="133">
        <f>IF(INDEX('#建筑消耗和buff配置索引'!AW:AW,MATCH($F25,'#建筑消耗和buff配置索引'!$M:$M,0))=0,"",INDEX('#建筑消耗和buff配置索引'!AW:AW,MATCH($F25,'#建筑消耗和buff配置索引'!$M:$M,0)))</f>
        <v>8025</v>
      </c>
      <c r="AG25" s="133">
        <f>IF(AF25="","",INDEX('#建筑消耗和buff配置索引'!AX:AX,MATCH($F25,'#建筑消耗和buff配置索引'!$M:$M,0)))</f>
        <v>2</v>
      </c>
      <c r="AJ25" s="133">
        <f>IF(INDEX('#建筑消耗和buff配置索引'!BB:BB,MATCH($F25,'#建筑消耗和buff配置索引'!$M:$M,0))=0,"",INDEX('#建筑消耗和buff配置索引'!BB:BB,MATCH($F25,'#建筑消耗和buff配置索引'!$M:$M,0)))</f>
        <v>1202</v>
      </c>
      <c r="AK25" s="133">
        <f>IF(AJ25="","",INDEX('#建筑消耗和buff配置索引'!BC:BC,MATCH($F25,'#建筑消耗和buff配置索引'!$M:$M,0)))</f>
        <v>4</v>
      </c>
      <c r="AN25" s="133">
        <f>IF(INDEX('#建筑消耗和buff配置索引'!BG:BG,MATCH($F25,'#建筑消耗和buff配置索引'!$M:$M,0))=0,"",INDEX('#建筑消耗和buff配置索引'!BG:BG,MATCH($F25,'#建筑消耗和buff配置索引'!$M:$M,0)))</f>
        <v>1205</v>
      </c>
      <c r="AO25" s="133">
        <f>IF(AN25="","",INDEX('#建筑消耗和buff配置索引'!BH:BH,MATCH($F25,'#建筑消耗和buff配置索引'!$M:$M,0)))</f>
        <v>4</v>
      </c>
      <c r="AR25" s="133">
        <f>IF(INDEX('#建筑消耗和buff配置索引'!BK:BK,MATCH($F25,'#建筑消耗和buff配置索引'!$M:$M,0))=0,"",INDEX('#建筑消耗和buff配置索引'!BK:BK,MATCH($F25,'#建筑消耗和buff配置索引'!$M:$M,0)))</f>
        <v>1209</v>
      </c>
      <c r="AS25" s="133">
        <f>IF(AR25="","",INDEX('#建筑消耗和buff配置索引'!BL:BL,MATCH($F25,'#建筑消耗和buff配置索引'!$M:$M,0)))</f>
        <v>4</v>
      </c>
      <c r="AV25" s="133">
        <f>IF(INDEX('#建筑消耗和buff配置索引'!BO:BO,MATCH($F25,'#建筑消耗和buff配置索引'!$M:$M,0))=0,"",INDEX('#建筑消耗和buff配置索引'!BO:BO,MATCH($F25,'#建筑消耗和buff配置索引'!$M:$M,0)))</f>
        <v>1210</v>
      </c>
      <c r="AW25" s="133">
        <f>IF(AV25="","",INDEX('#建筑消耗和buff配置索引'!BP:BP,MATCH($F25,'#建筑消耗和buff配置索引'!$M:$M,0)))</f>
        <v>4</v>
      </c>
      <c r="AZ25" s="133">
        <f>IF(INDEX('#建筑消耗和buff配置索引'!BS:BS,MATCH($F25,'#建筑消耗和buff配置索引'!$M:$M,0))=0,"",INDEX('#建筑消耗和buff配置索引'!BS:BS,MATCH($F25,'#建筑消耗和buff配置索引'!$M:$M,0)))</f>
        <v>1237</v>
      </c>
      <c r="BA25" s="133">
        <f>IF(AZ25="","",INDEX('#建筑消耗和buff配置索引'!BT:BT,MATCH($F25,'#建筑消耗和buff配置索引'!$M:$M,0)))</f>
        <v>3</v>
      </c>
      <c r="BD25" s="133" t="str">
        <f>IF(INDEX('#建筑消耗和buff配置索引'!BW:BW,MATCH($F25,'#建筑消耗和buff配置索引'!$M:$M,0))=0,"",INDEX('#建筑消耗和buff配置索引'!BW:BW,MATCH($F25,'#建筑消耗和buff配置索引'!$M:$M,0)))</f>
        <v/>
      </c>
      <c r="BE25" s="133" t="str">
        <f>IF(BD25="","",INDEX('#建筑消耗和buff配置索引'!BX:BX,MATCH($F25,'#建筑消耗和buff配置索引'!$M:$M,0)))</f>
        <v/>
      </c>
      <c r="BI25" s="133">
        <v>1</v>
      </c>
      <c r="BK25" s="133">
        <v>20018</v>
      </c>
      <c r="BM25" s="140"/>
    </row>
    <row r="26" spans="1:65" s="133" customFormat="1" ht="16.5">
      <c r="A26" s="133">
        <v>2010023</v>
      </c>
      <c r="B26" s="133">
        <v>23</v>
      </c>
      <c r="C26" s="133">
        <v>201</v>
      </c>
      <c r="D26" s="133" t="s">
        <v>66</v>
      </c>
      <c r="E26" s="133">
        <v>23</v>
      </c>
      <c r="F26" s="133" t="str">
        <f t="shared" si="0"/>
        <v>城镇中心23</v>
      </c>
      <c r="G26" s="133" t="s">
        <v>1275</v>
      </c>
      <c r="H26" s="133" t="s">
        <v>1293</v>
      </c>
      <c r="I26" s="133">
        <v>3</v>
      </c>
      <c r="J26" s="150">
        <f>INDEX('#建筑消耗和buff配置索引'!AH:AH,MATCH($F26,'#建筑消耗和buff配置索引'!$M:$M,0))</f>
        <v>777600</v>
      </c>
      <c r="K26" s="150">
        <f>INDEX('#建筑消耗和buff配置索引'!AA:AA,MATCH($F26,'#建筑消耗和buff配置索引'!$M:$M,0))</f>
        <v>10000000</v>
      </c>
      <c r="L26" s="150">
        <f>INDEX('#建筑消耗和buff配置索引'!AB:AB,MATCH($F26,'#建筑消耗和buff配置索引'!$M:$M,0))</f>
        <v>10000000</v>
      </c>
      <c r="M26" s="150">
        <f>INDEX('#建筑消耗和buff配置索引'!AC:AC,MATCH($F26,'#建筑消耗和buff配置索引'!$M:$M,0))</f>
        <v>10000000</v>
      </c>
      <c r="N26" s="150">
        <f>INDEX('#建筑消耗和buff配置索引'!AD:AD,MATCH($F26,'#建筑消耗和buff配置索引'!$M:$M,0))</f>
        <v>10000000</v>
      </c>
      <c r="O26" s="150" t="str">
        <f>IF(INDEX('#建筑消耗和buff配置索引'!T:T,MATCH($F26,'#建筑消耗和buff配置索引'!$M:$M,0))=0,"",INDEX('#建筑消耗和buff配置索引'!T:T,MATCH($F26,'#建筑消耗和buff配置索引'!$M:$M,0)))</f>
        <v/>
      </c>
      <c r="P26" s="133" t="str">
        <f>IF(INDEX('#建筑消耗和buff配置索引'!U:U,MATCH($F26,'#建筑消耗和buff配置索引'!$M:$M,0))=0,"",INDEX('#建筑消耗和buff配置索引'!U:U,MATCH($F26,'#建筑消耗和buff配置索引'!$M:$M,0)))</f>
        <v/>
      </c>
      <c r="Q26" s="133" t="str">
        <f>IF(INDEX('#建筑消耗和buff配置索引'!K:K,MATCH($F26,'#建筑消耗和buff配置索引'!$M:$M,0))=0,"",INDEX('#建筑消耗和buff配置索引'!K:K,MATCH($F26,'#建筑消耗和buff配置索引'!$M:$M,0)))</f>
        <v>215;224</v>
      </c>
      <c r="R26" s="133" t="str">
        <f>IF(INDEX('#建筑消耗和buff配置索引'!L:L,MATCH($F26,'#建筑消耗和buff配置索引'!$M:$M,0))=0,"",INDEX('#建筑消耗和buff配置索引'!L:L,MATCH($F26,'#建筑消耗和buff配置索引'!$M:$M,0)))</f>
        <v>22;22</v>
      </c>
      <c r="S26" s="133">
        <f>IF(INDEX('#建筑消耗和buff配置索引'!C:C,MATCH(F26,'#建筑消耗和buff配置索引'!M:M,0))=0,1,INDEX('#建筑消耗和buff配置索引'!C:C,MATCH(F26,'#建筑消耗和buff配置索引'!M:M,0)))</f>
        <v>5</v>
      </c>
      <c r="T26" s="151">
        <v>0</v>
      </c>
      <c r="U26" s="133">
        <v>0</v>
      </c>
      <c r="V26" s="133" t="str">
        <f>IF(E26=1,IF(INDEX('#建筑消耗和buff配置索引'!BY:BY,MATCH(D26,'#建筑消耗和buff配置索引'!A:A,0))=0,"",INDEX('#建筑消耗和buff配置索引'!BY:BY,MATCH(D26,'#建筑消耗和buff配置索引'!A:A,0))),"")</f>
        <v/>
      </c>
      <c r="W26" s="133" t="str">
        <f>IF(E26=1,IF(INDEX('#建筑消耗和buff配置索引'!BZ:BZ,MATCH(D26,'#建筑消耗和buff配置索引'!A:A,0))=0,"",INDEX('#建筑消耗和buff配置索引'!BZ:BZ,MATCH(D26,'#建筑消耗和buff配置索引'!A:A,0))),"")</f>
        <v/>
      </c>
      <c r="AA26" s="133">
        <f>INDEX('#建筑消耗和buff配置索引'!AO:AO,MATCH($F26,'#建筑消耗和buff配置索引'!$M:$M,0))</f>
        <v>365613</v>
      </c>
      <c r="AB26" s="133">
        <f>IF(INDEX('#建筑消耗和buff配置索引'!AR:AR,MATCH($F26,'#建筑消耗和buff配置索引'!$M:$M,0))=0,"",INDEX('#建筑消耗和buff配置索引'!AR:AR,MATCH($F26,'#建筑消耗和buff配置索引'!$M:$M,0)))</f>
        <v>6001</v>
      </c>
      <c r="AC26" s="133">
        <f>IF(AB26="","",INDEX('#建筑消耗和buff配置索引'!AS:AS,MATCH($F26,'#建筑消耗和buff配置索引'!$M:$M,0)))</f>
        <v>22000</v>
      </c>
      <c r="AF26" s="133">
        <f>IF(INDEX('#建筑消耗和buff配置索引'!AW:AW,MATCH($F26,'#建筑消耗和buff配置索引'!$M:$M,0))=0,"",INDEX('#建筑消耗和buff配置索引'!AW:AW,MATCH($F26,'#建筑消耗和buff配置索引'!$M:$M,0)))</f>
        <v>8025</v>
      </c>
      <c r="AG26" s="133">
        <f>IF(AF26="","",INDEX('#建筑消耗和buff配置索引'!AX:AX,MATCH($F26,'#建筑消耗和buff配置索引'!$M:$M,0)))</f>
        <v>2</v>
      </c>
      <c r="AJ26" s="133">
        <f>IF(INDEX('#建筑消耗和buff配置索引'!BB:BB,MATCH($F26,'#建筑消耗和buff配置索引'!$M:$M,0))=0,"",INDEX('#建筑消耗和buff配置索引'!BB:BB,MATCH($F26,'#建筑消耗和buff配置索引'!$M:$M,0)))</f>
        <v>1202</v>
      </c>
      <c r="AK26" s="133">
        <f>IF(AJ26="","",INDEX('#建筑消耗和buff配置索引'!BC:BC,MATCH($F26,'#建筑消耗和buff配置索引'!$M:$M,0)))</f>
        <v>4</v>
      </c>
      <c r="AN26" s="133">
        <f>IF(INDEX('#建筑消耗和buff配置索引'!BG:BG,MATCH($F26,'#建筑消耗和buff配置索引'!$M:$M,0))=0,"",INDEX('#建筑消耗和buff配置索引'!BG:BG,MATCH($F26,'#建筑消耗和buff配置索引'!$M:$M,0)))</f>
        <v>1205</v>
      </c>
      <c r="AO26" s="133">
        <f>IF(AN26="","",INDEX('#建筑消耗和buff配置索引'!BH:BH,MATCH($F26,'#建筑消耗和buff配置索引'!$M:$M,0)))</f>
        <v>4</v>
      </c>
      <c r="AR26" s="133">
        <f>IF(INDEX('#建筑消耗和buff配置索引'!BK:BK,MATCH($F26,'#建筑消耗和buff配置索引'!$M:$M,0))=0,"",INDEX('#建筑消耗和buff配置索引'!BK:BK,MATCH($F26,'#建筑消耗和buff配置索引'!$M:$M,0)))</f>
        <v>1209</v>
      </c>
      <c r="AS26" s="133">
        <f>IF(AR26="","",INDEX('#建筑消耗和buff配置索引'!BL:BL,MATCH($F26,'#建筑消耗和buff配置索引'!$M:$M,0)))</f>
        <v>4</v>
      </c>
      <c r="AV26" s="133">
        <f>IF(INDEX('#建筑消耗和buff配置索引'!BO:BO,MATCH($F26,'#建筑消耗和buff配置索引'!$M:$M,0))=0,"",INDEX('#建筑消耗和buff配置索引'!BO:BO,MATCH($F26,'#建筑消耗和buff配置索引'!$M:$M,0)))</f>
        <v>1210</v>
      </c>
      <c r="AW26" s="133">
        <f>IF(AV26="","",INDEX('#建筑消耗和buff配置索引'!BP:BP,MATCH($F26,'#建筑消耗和buff配置索引'!$M:$M,0)))</f>
        <v>4</v>
      </c>
      <c r="AZ26" s="133">
        <f>IF(INDEX('#建筑消耗和buff配置索引'!BS:BS,MATCH($F26,'#建筑消耗和buff配置索引'!$M:$M,0))=0,"",INDEX('#建筑消耗和buff配置索引'!BS:BS,MATCH($F26,'#建筑消耗和buff配置索引'!$M:$M,0)))</f>
        <v>1237</v>
      </c>
      <c r="BA26" s="133">
        <f>IF(AZ26="","",INDEX('#建筑消耗和buff配置索引'!BT:BT,MATCH($F26,'#建筑消耗和buff配置索引'!$M:$M,0)))</f>
        <v>3</v>
      </c>
      <c r="BD26" s="133" t="str">
        <f>IF(INDEX('#建筑消耗和buff配置索引'!BW:BW,MATCH($F26,'#建筑消耗和buff配置索引'!$M:$M,0))=0,"",INDEX('#建筑消耗和buff配置索引'!BW:BW,MATCH($F26,'#建筑消耗和buff配置索引'!$M:$M,0)))</f>
        <v/>
      </c>
      <c r="BE26" s="133" t="str">
        <f>IF(BD26="","",INDEX('#建筑消耗和buff配置索引'!BX:BX,MATCH($F26,'#建筑消耗和buff配置索引'!$M:$M,0)))</f>
        <v/>
      </c>
      <c r="BI26" s="133">
        <v>1</v>
      </c>
      <c r="BK26" s="133">
        <v>20019</v>
      </c>
    </row>
    <row r="27" spans="1:65" s="133" customFormat="1" ht="16.5">
      <c r="A27" s="133">
        <v>2010024</v>
      </c>
      <c r="B27" s="133">
        <v>24</v>
      </c>
      <c r="C27" s="133">
        <v>201</v>
      </c>
      <c r="D27" s="133" t="s">
        <v>66</v>
      </c>
      <c r="E27" s="133">
        <v>24</v>
      </c>
      <c r="F27" s="133" t="str">
        <f t="shared" si="0"/>
        <v>城镇中心24</v>
      </c>
      <c r="G27" s="133" t="s">
        <v>1275</v>
      </c>
      <c r="H27" s="133" t="s">
        <v>1297</v>
      </c>
      <c r="I27" s="133">
        <v>3</v>
      </c>
      <c r="J27" s="150">
        <f>INDEX('#建筑消耗和buff配置索引'!AH:AH,MATCH($F27,'#建筑消耗和buff配置索引'!$M:$M,0))</f>
        <v>993600</v>
      </c>
      <c r="K27" s="150">
        <f>INDEX('#建筑消耗和buff配置索引'!AA:AA,MATCH($F27,'#建筑消耗和buff配置索引'!$M:$M,0))</f>
        <v>13000000</v>
      </c>
      <c r="L27" s="150">
        <f>INDEX('#建筑消耗和buff配置索引'!AB:AB,MATCH($F27,'#建筑消耗和buff配置索引'!$M:$M,0))</f>
        <v>13000000</v>
      </c>
      <c r="M27" s="150">
        <f>INDEX('#建筑消耗和buff配置索引'!AC:AC,MATCH($F27,'#建筑消耗和buff配置索引'!$M:$M,0))</f>
        <v>13000000</v>
      </c>
      <c r="N27" s="150">
        <f>INDEX('#建筑消耗和buff配置索引'!AD:AD,MATCH($F27,'#建筑消耗和buff配置索引'!$M:$M,0))</f>
        <v>13000000</v>
      </c>
      <c r="O27" s="150" t="str">
        <f>IF(INDEX('#建筑消耗和buff配置索引'!T:T,MATCH($F27,'#建筑消耗和buff配置索引'!$M:$M,0))=0,"",INDEX('#建筑消耗和buff配置索引'!T:T,MATCH($F27,'#建筑消耗和buff配置索引'!$M:$M,0)))</f>
        <v/>
      </c>
      <c r="P27" s="133" t="str">
        <f>IF(INDEX('#建筑消耗和buff配置索引'!U:U,MATCH($F27,'#建筑消耗和buff配置索引'!$M:$M,0))=0,"",INDEX('#建筑消耗和buff配置索引'!U:U,MATCH($F27,'#建筑消耗和buff配置索引'!$M:$M,0)))</f>
        <v/>
      </c>
      <c r="Q27" s="133" t="str">
        <f>IF(INDEX('#建筑消耗和buff配置索引'!K:K,MATCH($F27,'#建筑消耗和buff配置索引'!$M:$M,0))=0,"",INDEX('#建筑消耗和buff配置索引'!K:K,MATCH($F27,'#建筑消耗和buff配置索引'!$M:$M,0)))</f>
        <v>215;230</v>
      </c>
      <c r="R27" s="133" t="str">
        <f>IF(INDEX('#建筑消耗和buff配置索引'!L:L,MATCH($F27,'#建筑消耗和buff配置索引'!$M:$M,0))=0,"",INDEX('#建筑消耗和buff配置索引'!L:L,MATCH($F27,'#建筑消耗和buff配置索引'!$M:$M,0)))</f>
        <v>23;23</v>
      </c>
      <c r="S27" s="133">
        <f>IF(INDEX('#建筑消耗和buff配置索引'!C:C,MATCH(F27,'#建筑消耗和buff配置索引'!M:M,0))=0,1,INDEX('#建筑消耗和buff配置索引'!C:C,MATCH(F27,'#建筑消耗和buff配置索引'!M:M,0)))</f>
        <v>5</v>
      </c>
      <c r="T27" s="151">
        <v>0</v>
      </c>
      <c r="U27" s="133">
        <v>0</v>
      </c>
      <c r="V27" s="133" t="str">
        <f>IF(E27=1,IF(INDEX('#建筑消耗和buff配置索引'!BY:BY,MATCH(D27,'#建筑消耗和buff配置索引'!A:A,0))=0,"",INDEX('#建筑消耗和buff配置索引'!BY:BY,MATCH(D27,'#建筑消耗和buff配置索引'!A:A,0))),"")</f>
        <v/>
      </c>
      <c r="W27" s="133" t="str">
        <f>IF(E27=1,IF(INDEX('#建筑消耗和buff配置索引'!BZ:BZ,MATCH(D27,'#建筑消耗和buff配置索引'!A:A,0))=0,"",INDEX('#建筑消耗和buff配置索引'!BZ:BZ,MATCH(D27,'#建筑消耗和buff配置索引'!A:A,0))),"")</f>
        <v/>
      </c>
      <c r="X27" s="133" t="str">
        <f t="shared" ref="X27" si="3">"TID_CityBuilding_detailUnlockText_"&amp;A27</f>
        <v>TID_CityBuilding_detailUnlockText_2010024</v>
      </c>
      <c r="Y27" s="133" t="s">
        <v>1267</v>
      </c>
      <c r="AA27" s="133">
        <f>INDEX('#建筑消耗和buff配置索引'!AO:AO,MATCH($F27,'#建筑消耗和buff配置索引'!$M:$M,0))</f>
        <v>471000</v>
      </c>
      <c r="AB27" s="133">
        <f>IF(INDEX('#建筑消耗和buff配置索引'!AR:AR,MATCH($F27,'#建筑消耗和buff配置索引'!$M:$M,0))=0,"",INDEX('#建筑消耗和buff配置索引'!AR:AR,MATCH($F27,'#建筑消耗和buff配置索引'!$M:$M,0)))</f>
        <v>6001</v>
      </c>
      <c r="AC27" s="133">
        <f>IF(AB27="","",INDEX('#建筑消耗和buff配置索引'!AS:AS,MATCH($F27,'#建筑消耗和buff配置索引'!$M:$M,0)))</f>
        <v>24000</v>
      </c>
      <c r="AF27" s="133">
        <f>IF(INDEX('#建筑消耗和buff配置索引'!AW:AW,MATCH($F27,'#建筑消耗和buff配置索引'!$M:$M,0))=0,"",INDEX('#建筑消耗和buff配置索引'!AW:AW,MATCH($F27,'#建筑消耗和buff配置索引'!$M:$M,0)))</f>
        <v>8025</v>
      </c>
      <c r="AG27" s="133">
        <f>IF(AF27="","",INDEX('#建筑消耗和buff配置索引'!AX:AX,MATCH($F27,'#建筑消耗和buff配置索引'!$M:$M,0)))</f>
        <v>2</v>
      </c>
      <c r="AJ27" s="133">
        <f>IF(INDEX('#建筑消耗和buff配置索引'!BB:BB,MATCH($F27,'#建筑消耗和buff配置索引'!$M:$M,0))=0,"",INDEX('#建筑消耗和buff配置索引'!BB:BB,MATCH($F27,'#建筑消耗和buff配置索引'!$M:$M,0)))</f>
        <v>1202</v>
      </c>
      <c r="AK27" s="133">
        <f>IF(AJ27="","",INDEX('#建筑消耗和buff配置索引'!BC:BC,MATCH($F27,'#建筑消耗和buff配置索引'!$M:$M,0)))</f>
        <v>4</v>
      </c>
      <c r="AN27" s="133">
        <f>IF(INDEX('#建筑消耗和buff配置索引'!BG:BG,MATCH($F27,'#建筑消耗和buff配置索引'!$M:$M,0))=0,"",INDEX('#建筑消耗和buff配置索引'!BG:BG,MATCH($F27,'#建筑消耗和buff配置索引'!$M:$M,0)))</f>
        <v>1205</v>
      </c>
      <c r="AO27" s="133">
        <f>IF(AN27="","",INDEX('#建筑消耗和buff配置索引'!BH:BH,MATCH($F27,'#建筑消耗和buff配置索引'!$M:$M,0)))</f>
        <v>4</v>
      </c>
      <c r="AR27" s="133">
        <f>IF(INDEX('#建筑消耗和buff配置索引'!BK:BK,MATCH($F27,'#建筑消耗和buff配置索引'!$M:$M,0))=0,"",INDEX('#建筑消耗和buff配置索引'!BK:BK,MATCH($F27,'#建筑消耗和buff配置索引'!$M:$M,0)))</f>
        <v>1209</v>
      </c>
      <c r="AS27" s="133">
        <f>IF(AR27="","",INDEX('#建筑消耗和buff配置索引'!BL:BL,MATCH($F27,'#建筑消耗和buff配置索引'!$M:$M,0)))</f>
        <v>4</v>
      </c>
      <c r="AV27" s="133">
        <f>IF(INDEX('#建筑消耗和buff配置索引'!BO:BO,MATCH($F27,'#建筑消耗和buff配置索引'!$M:$M,0))=0,"",INDEX('#建筑消耗和buff配置索引'!BO:BO,MATCH($F27,'#建筑消耗和buff配置索引'!$M:$M,0)))</f>
        <v>1210</v>
      </c>
      <c r="AW27" s="133">
        <f>IF(AV27="","",INDEX('#建筑消耗和buff配置索引'!BP:BP,MATCH($F27,'#建筑消耗和buff配置索引'!$M:$M,0)))</f>
        <v>4</v>
      </c>
      <c r="AZ27" s="133">
        <f>IF(INDEX('#建筑消耗和buff配置索引'!BS:BS,MATCH($F27,'#建筑消耗和buff配置索引'!$M:$M,0))=0,"",INDEX('#建筑消耗和buff配置索引'!BS:BS,MATCH($F27,'#建筑消耗和buff配置索引'!$M:$M,0)))</f>
        <v>1237</v>
      </c>
      <c r="BA27" s="133">
        <f>IF(AZ27="","",INDEX('#建筑消耗和buff配置索引'!BT:BT,MATCH($F27,'#建筑消耗和buff配置索引'!$M:$M,0)))</f>
        <v>4</v>
      </c>
      <c r="BD27" s="133" t="str">
        <f>IF(INDEX('#建筑消耗和buff配置索引'!BW:BW,MATCH($F27,'#建筑消耗和buff配置索引'!$M:$M,0))=0,"",INDEX('#建筑消耗和buff配置索引'!BW:BW,MATCH($F27,'#建筑消耗和buff配置索引'!$M:$M,0)))</f>
        <v/>
      </c>
      <c r="BE27" s="133" t="str">
        <f>IF(BD27="","",INDEX('#建筑消耗和buff配置索引'!BX:BX,MATCH($F27,'#建筑消耗和buff配置索引'!$M:$M,0)))</f>
        <v/>
      </c>
      <c r="BI27" s="133">
        <v>1</v>
      </c>
      <c r="BK27" s="133">
        <v>20020</v>
      </c>
    </row>
    <row r="28" spans="1:65" s="133" customFormat="1" ht="16.5">
      <c r="A28" s="133">
        <v>2010025</v>
      </c>
      <c r="B28" s="133">
        <v>25</v>
      </c>
      <c r="C28" s="133">
        <v>201</v>
      </c>
      <c r="D28" s="133" t="s">
        <v>66</v>
      </c>
      <c r="E28" s="133">
        <v>25</v>
      </c>
      <c r="F28" s="133" t="str">
        <f t="shared" si="0"/>
        <v>城镇中心25</v>
      </c>
      <c r="G28" s="133" t="s">
        <v>1275</v>
      </c>
      <c r="H28" s="133" t="s">
        <v>1301</v>
      </c>
      <c r="I28" s="133">
        <v>3</v>
      </c>
      <c r="J28" s="150">
        <f>INDEX('#建筑消耗和buff配置索引'!AH:AH,MATCH($F28,'#建筑消耗和buff配置索引'!$M:$M,0))</f>
        <v>1252800</v>
      </c>
      <c r="K28" s="150">
        <f>INDEX('#建筑消耗和buff配置索引'!AA:AA,MATCH($F28,'#建筑消耗和buff配置索引'!$M:$M,0))</f>
        <v>17000000</v>
      </c>
      <c r="L28" s="150">
        <f>INDEX('#建筑消耗和buff配置索引'!AB:AB,MATCH($F28,'#建筑消耗和buff配置索引'!$M:$M,0))</f>
        <v>17000000</v>
      </c>
      <c r="M28" s="150">
        <f>INDEX('#建筑消耗和buff配置索引'!AC:AC,MATCH($F28,'#建筑消耗和buff配置索引'!$M:$M,0))</f>
        <v>17000000</v>
      </c>
      <c r="N28" s="150">
        <f>INDEX('#建筑消耗和buff配置索引'!AD:AD,MATCH($F28,'#建筑消耗和buff配置索引'!$M:$M,0))</f>
        <v>17000000</v>
      </c>
      <c r="O28" s="150" t="str">
        <f>IF(INDEX('#建筑消耗和buff配置索引'!T:T,MATCH($F28,'#建筑消耗和buff配置索引'!$M:$M,0))=0,"",INDEX('#建筑消耗和buff配置索引'!T:T,MATCH($F28,'#建筑消耗和buff配置索引'!$M:$M,0)))</f>
        <v/>
      </c>
      <c r="P28" s="133" t="str">
        <f>IF(INDEX('#建筑消耗和buff配置索引'!U:U,MATCH($F28,'#建筑消耗和buff配置索引'!$M:$M,0))=0,"",INDEX('#建筑消耗和buff配置索引'!U:U,MATCH($F28,'#建筑消耗和buff配置索引'!$M:$M,0)))</f>
        <v/>
      </c>
      <c r="Q28" s="133" t="str">
        <f>IF(INDEX('#建筑消耗和buff配置索引'!K:K,MATCH($F28,'#建筑消耗和buff配置索引'!$M:$M,0))=0,"",INDEX('#建筑消耗和buff配置索引'!K:K,MATCH($F28,'#建筑消耗和buff配置索引'!$M:$M,0)))</f>
        <v>215;211</v>
      </c>
      <c r="R28" s="133" t="str">
        <f>IF(INDEX('#建筑消耗和buff配置索引'!L:L,MATCH($F28,'#建筑消耗和buff配置索引'!$M:$M,0))=0,"",INDEX('#建筑消耗和buff配置索引'!L:L,MATCH($F28,'#建筑消耗和buff配置索引'!$M:$M,0)))</f>
        <v>24;24</v>
      </c>
      <c r="S28" s="133">
        <f>IF(INDEX('#建筑消耗和buff配置索引'!C:C,MATCH(F28,'#建筑消耗和buff配置索引'!M:M,0))=0,1,INDEX('#建筑消耗和buff配置索引'!C:C,MATCH(F28,'#建筑消耗和buff配置索引'!M:M,0)))</f>
        <v>5</v>
      </c>
      <c r="T28" s="151">
        <v>0</v>
      </c>
      <c r="U28" s="133">
        <v>0</v>
      </c>
      <c r="V28" s="133" t="str">
        <f>IF(E28=1,IF(INDEX('#建筑消耗和buff配置索引'!BY:BY,MATCH(D28,'#建筑消耗和buff配置索引'!A:A,0))=0,"",INDEX('#建筑消耗和buff配置索引'!BY:BY,MATCH(D28,'#建筑消耗和buff配置索引'!A:A,0))),"")</f>
        <v/>
      </c>
      <c r="W28" s="133" t="str">
        <f>IF(E28=1,IF(INDEX('#建筑消耗和buff配置索引'!BZ:BZ,MATCH(D28,'#建筑消耗和buff配置索引'!A:A,0))=0,"",INDEX('#建筑消耗和buff配置索引'!BZ:BZ,MATCH(D28,'#建筑消耗和buff配置索引'!A:A,0))),"")</f>
        <v/>
      </c>
      <c r="AA28" s="133">
        <f>INDEX('#建筑消耗和buff配置索引'!AO:AO,MATCH($F28,'#建筑消耗和buff配置索引'!$M:$M,0))</f>
        <v>605895</v>
      </c>
      <c r="AB28" s="133">
        <f>IF(INDEX('#建筑消耗和buff配置索引'!AR:AR,MATCH($F28,'#建筑消耗和buff配置索引'!$M:$M,0))=0,"",INDEX('#建筑消耗和buff配置索引'!AR:AR,MATCH($F28,'#建筑消耗和buff配置索引'!$M:$M,0)))</f>
        <v>6001</v>
      </c>
      <c r="AC28" s="133">
        <f>IF(AB28="","",INDEX('#建筑消耗和buff配置索引'!AS:AS,MATCH($F28,'#建筑消耗和buff配置索引'!$M:$M,0)))</f>
        <v>26000</v>
      </c>
      <c r="AF28" s="133">
        <f>IF(INDEX('#建筑消耗和buff配置索引'!AW:AW,MATCH($F28,'#建筑消耗和buff配置索引'!$M:$M,0))=0,"",INDEX('#建筑消耗和buff配置索引'!AW:AW,MATCH($F28,'#建筑消耗和buff配置索引'!$M:$M,0)))</f>
        <v>8025</v>
      </c>
      <c r="AG28" s="133">
        <f>IF(AF28="","",INDEX('#建筑消耗和buff配置索引'!AX:AX,MATCH($F28,'#建筑消耗和buff配置索引'!$M:$M,0)))</f>
        <v>2</v>
      </c>
      <c r="AJ28" s="133">
        <f>IF(INDEX('#建筑消耗和buff配置索引'!BB:BB,MATCH($F28,'#建筑消耗和buff配置索引'!$M:$M,0))=0,"",INDEX('#建筑消耗和buff配置索引'!BB:BB,MATCH($F28,'#建筑消耗和buff配置索引'!$M:$M,0)))</f>
        <v>1202</v>
      </c>
      <c r="AK28" s="133">
        <f>IF(AJ28="","",INDEX('#建筑消耗和buff配置索引'!BC:BC,MATCH($F28,'#建筑消耗和buff配置索引'!$M:$M,0)))</f>
        <v>4</v>
      </c>
      <c r="AN28" s="133">
        <f>IF(INDEX('#建筑消耗和buff配置索引'!BG:BG,MATCH($F28,'#建筑消耗和buff配置索引'!$M:$M,0))=0,"",INDEX('#建筑消耗和buff配置索引'!BG:BG,MATCH($F28,'#建筑消耗和buff配置索引'!$M:$M,0)))</f>
        <v>1205</v>
      </c>
      <c r="AO28" s="133">
        <f>IF(AN28="","",INDEX('#建筑消耗和buff配置索引'!BH:BH,MATCH($F28,'#建筑消耗和buff配置索引'!$M:$M,0)))</f>
        <v>4</v>
      </c>
      <c r="AR28" s="133">
        <f>IF(INDEX('#建筑消耗和buff配置索引'!BK:BK,MATCH($F28,'#建筑消耗和buff配置索引'!$M:$M,0))=0,"",INDEX('#建筑消耗和buff配置索引'!BK:BK,MATCH($F28,'#建筑消耗和buff配置索引'!$M:$M,0)))</f>
        <v>1209</v>
      </c>
      <c r="AS28" s="133">
        <f>IF(AR28="","",INDEX('#建筑消耗和buff配置索引'!BL:BL,MATCH($F28,'#建筑消耗和buff配置索引'!$M:$M,0)))</f>
        <v>4</v>
      </c>
      <c r="AV28" s="133">
        <f>IF(INDEX('#建筑消耗和buff配置索引'!BO:BO,MATCH($F28,'#建筑消耗和buff配置索引'!$M:$M,0))=0,"",INDEX('#建筑消耗和buff配置索引'!BO:BO,MATCH($F28,'#建筑消耗和buff配置索引'!$M:$M,0)))</f>
        <v>1210</v>
      </c>
      <c r="AW28" s="133">
        <f>IF(AV28="","",INDEX('#建筑消耗和buff配置索引'!BP:BP,MATCH($F28,'#建筑消耗和buff配置索引'!$M:$M,0)))</f>
        <v>4</v>
      </c>
      <c r="AZ28" s="133">
        <f>IF(INDEX('#建筑消耗和buff配置索引'!BS:BS,MATCH($F28,'#建筑消耗和buff配置索引'!$M:$M,0))=0,"",INDEX('#建筑消耗和buff配置索引'!BS:BS,MATCH($F28,'#建筑消耗和buff配置索引'!$M:$M,0)))</f>
        <v>1237</v>
      </c>
      <c r="BA28" s="133">
        <f>IF(AZ28="","",INDEX('#建筑消耗和buff配置索引'!BT:BT,MATCH($F28,'#建筑消耗和buff配置索引'!$M:$M,0)))</f>
        <v>4</v>
      </c>
      <c r="BD28" s="133" t="str">
        <f>IF(INDEX('#建筑消耗和buff配置索引'!BW:BW,MATCH($F28,'#建筑消耗和buff配置索引'!$M:$M,0))=0,"",INDEX('#建筑消耗和buff配置索引'!BW:BW,MATCH($F28,'#建筑消耗和buff配置索引'!$M:$M,0)))</f>
        <v/>
      </c>
      <c r="BE28" s="133" t="str">
        <f>IF(BD28="","",INDEX('#建筑消耗和buff配置索引'!BX:BX,MATCH($F28,'#建筑消耗和buff配置索引'!$M:$M,0)))</f>
        <v/>
      </c>
      <c r="BI28" s="133">
        <v>1</v>
      </c>
      <c r="BK28" s="133">
        <v>20021</v>
      </c>
    </row>
    <row r="29" spans="1:65" s="133" customFormat="1" ht="17.5">
      <c r="A29" s="133">
        <v>2010026</v>
      </c>
      <c r="B29" s="133">
        <v>26</v>
      </c>
      <c r="C29" s="133">
        <v>201</v>
      </c>
      <c r="D29" s="133" t="s">
        <v>66</v>
      </c>
      <c r="E29" s="133">
        <v>26</v>
      </c>
      <c r="F29" s="133" t="str">
        <f t="shared" si="0"/>
        <v>城镇中心26</v>
      </c>
      <c r="G29" s="133" t="s">
        <v>1275</v>
      </c>
      <c r="H29" s="133" t="s">
        <v>1304</v>
      </c>
      <c r="I29" s="133">
        <v>3</v>
      </c>
      <c r="J29" s="150">
        <f>INDEX('#建筑消耗和buff配置索引'!AH:AH,MATCH($F29,'#建筑消耗和buff配置索引'!$M:$M,0))</f>
        <v>1555200</v>
      </c>
      <c r="K29" s="150">
        <f>INDEX('#建筑消耗和buff配置索引'!AA:AA,MATCH($F29,'#建筑消耗和buff配置索引'!$M:$M,0))</f>
        <v>22000000</v>
      </c>
      <c r="L29" s="150">
        <f>INDEX('#建筑消耗和buff配置索引'!AB:AB,MATCH($F29,'#建筑消耗和buff配置索引'!$M:$M,0))</f>
        <v>22000000</v>
      </c>
      <c r="M29" s="150">
        <f>INDEX('#建筑消耗和buff配置索引'!AC:AC,MATCH($F29,'#建筑消耗和buff配置索引'!$M:$M,0))</f>
        <v>22000000</v>
      </c>
      <c r="N29" s="150">
        <f>INDEX('#建筑消耗和buff配置索引'!AD:AD,MATCH($F29,'#建筑消耗和buff配置索引'!$M:$M,0))</f>
        <v>22000000</v>
      </c>
      <c r="O29" s="150" t="str">
        <f>IF(INDEX('#建筑消耗和buff配置索引'!T:T,MATCH($F29,'#建筑消耗和buff配置索引'!$M:$M,0))=0,"",INDEX('#建筑消耗和buff配置索引'!T:T,MATCH($F29,'#建筑消耗和buff配置索引'!$M:$M,0)))</f>
        <v/>
      </c>
      <c r="P29" s="133" t="str">
        <f>IF(INDEX('#建筑消耗和buff配置索引'!U:U,MATCH($F29,'#建筑消耗和buff配置索引'!$M:$M,0))=0,"",INDEX('#建筑消耗和buff配置索引'!U:U,MATCH($F29,'#建筑消耗和buff配置索引'!$M:$M,0)))</f>
        <v/>
      </c>
      <c r="Q29" s="133" t="str">
        <f>IF(INDEX('#建筑消耗和buff配置索引'!K:K,MATCH($F29,'#建筑消耗和buff配置索引'!$M:$M,0))=0,"",INDEX('#建筑消耗和buff配置索引'!K:K,MATCH($F29,'#建筑消耗和buff配置索引'!$M:$M,0)))</f>
        <v>215;226</v>
      </c>
      <c r="R29" s="133" t="str">
        <f>IF(INDEX('#建筑消耗和buff配置索引'!L:L,MATCH($F29,'#建筑消耗和buff配置索引'!$M:$M,0))=0,"",INDEX('#建筑消耗和buff配置索引'!L:L,MATCH($F29,'#建筑消耗和buff配置索引'!$M:$M,0)))</f>
        <v>25;25</v>
      </c>
      <c r="S29" s="133">
        <f>IF(INDEX('#建筑消耗和buff配置索引'!C:C,MATCH(F29,'#建筑消耗和buff配置索引'!M:M,0))=0,1,INDEX('#建筑消耗和buff配置索引'!C:C,MATCH(F29,'#建筑消耗和buff配置索引'!M:M,0)))</f>
        <v>5</v>
      </c>
      <c r="T29" s="151">
        <v>0</v>
      </c>
      <c r="U29" s="133">
        <v>0</v>
      </c>
      <c r="V29" s="133" t="str">
        <f>IF(E29=1,IF(INDEX('#建筑消耗和buff配置索引'!BY:BY,MATCH(D29,'#建筑消耗和buff配置索引'!A:A,0))=0,"",INDEX('#建筑消耗和buff配置索引'!BY:BY,MATCH(D29,'#建筑消耗和buff配置索引'!A:A,0))),"")</f>
        <v/>
      </c>
      <c r="W29" s="133" t="str">
        <f>IF(E29=1,IF(INDEX('#建筑消耗和buff配置索引'!BZ:BZ,MATCH(D29,'#建筑消耗和buff配置索引'!A:A,0))=0,"",INDEX('#建筑消耗和buff配置索引'!BZ:BZ,MATCH(D29,'#建筑消耗和buff配置索引'!A:A,0))),"")</f>
        <v/>
      </c>
      <c r="X29" s="133" t="s">
        <v>2316</v>
      </c>
      <c r="Y29" s="230" t="s">
        <v>2317</v>
      </c>
      <c r="Z29" s="230"/>
      <c r="AA29" s="133">
        <f>INDEX('#建筑消耗和buff配置索引'!AO:AO,MATCH($F29,'#建筑消耗和buff配置索引'!$M:$M,0))</f>
        <v>778560</v>
      </c>
      <c r="AB29" s="133">
        <f>IF(INDEX('#建筑消耗和buff配置索引'!AR:AR,MATCH($F29,'#建筑消耗和buff配置索引'!$M:$M,0))=0,"",INDEX('#建筑消耗和buff配置索引'!AR:AR,MATCH($F29,'#建筑消耗和buff配置索引'!$M:$M,0)))</f>
        <v>6001</v>
      </c>
      <c r="AC29" s="133">
        <f>IF(AB29="","",INDEX('#建筑消耗和buff配置索引'!AS:AS,MATCH($F29,'#建筑消耗和buff配置索引'!$M:$M,0)))</f>
        <v>28500</v>
      </c>
      <c r="AF29" s="133">
        <f>IF(INDEX('#建筑消耗和buff配置索引'!AW:AW,MATCH($F29,'#建筑消耗和buff配置索引'!$M:$M,0))=0,"",INDEX('#建筑消耗和buff配置索引'!AW:AW,MATCH($F29,'#建筑消耗和buff配置索引'!$M:$M,0)))</f>
        <v>8025</v>
      </c>
      <c r="AG29" s="133">
        <f>IF(AF29="","",INDEX('#建筑消耗和buff配置索引'!AX:AX,MATCH($F29,'#建筑消耗和buff配置索引'!$M:$M,0)))</f>
        <v>2</v>
      </c>
      <c r="AJ29" s="133">
        <f>IF(INDEX('#建筑消耗和buff配置索引'!BB:BB,MATCH($F29,'#建筑消耗和buff配置索引'!$M:$M,0))=0,"",INDEX('#建筑消耗和buff配置索引'!BB:BB,MATCH($F29,'#建筑消耗和buff配置索引'!$M:$M,0)))</f>
        <v>1202</v>
      </c>
      <c r="AK29" s="133">
        <f>IF(AJ29="","",INDEX('#建筑消耗和buff配置索引'!BC:BC,MATCH($F29,'#建筑消耗和buff配置索引'!$M:$M,0)))</f>
        <v>4</v>
      </c>
      <c r="AN29" s="133">
        <f>IF(INDEX('#建筑消耗和buff配置索引'!BG:BG,MATCH($F29,'#建筑消耗和buff配置索引'!$M:$M,0))=0,"",INDEX('#建筑消耗和buff配置索引'!BG:BG,MATCH($F29,'#建筑消耗和buff配置索引'!$M:$M,0)))</f>
        <v>1205</v>
      </c>
      <c r="AO29" s="133">
        <f>IF(AN29="","",INDEX('#建筑消耗和buff配置索引'!BH:BH,MATCH($F29,'#建筑消耗和buff配置索引'!$M:$M,0)))</f>
        <v>4</v>
      </c>
      <c r="AR29" s="133">
        <f>IF(INDEX('#建筑消耗和buff配置索引'!BK:BK,MATCH($F29,'#建筑消耗和buff配置索引'!$M:$M,0))=0,"",INDEX('#建筑消耗和buff配置索引'!BK:BK,MATCH($F29,'#建筑消耗和buff配置索引'!$M:$M,0)))</f>
        <v>1209</v>
      </c>
      <c r="AS29" s="133">
        <f>IF(AR29="","",INDEX('#建筑消耗和buff配置索引'!BL:BL,MATCH($F29,'#建筑消耗和buff配置索引'!$M:$M,0)))</f>
        <v>4</v>
      </c>
      <c r="AV29" s="133">
        <f>IF(INDEX('#建筑消耗和buff配置索引'!BO:BO,MATCH($F29,'#建筑消耗和buff配置索引'!$M:$M,0))=0,"",INDEX('#建筑消耗和buff配置索引'!BO:BO,MATCH($F29,'#建筑消耗和buff配置索引'!$M:$M,0)))</f>
        <v>1210</v>
      </c>
      <c r="AW29" s="133">
        <f>IF(AV29="","",INDEX('#建筑消耗和buff配置索引'!BP:BP,MATCH($F29,'#建筑消耗和buff配置索引'!$M:$M,0)))</f>
        <v>4</v>
      </c>
      <c r="AZ29" s="133">
        <f>IF(INDEX('#建筑消耗和buff配置索引'!BS:BS,MATCH($F29,'#建筑消耗和buff配置索引'!$M:$M,0))=0,"",INDEX('#建筑消耗和buff配置索引'!BS:BS,MATCH($F29,'#建筑消耗和buff配置索引'!$M:$M,0)))</f>
        <v>1237</v>
      </c>
      <c r="BA29" s="133">
        <f>IF(AZ29="","",INDEX('#建筑消耗和buff配置索引'!BT:BT,MATCH($F29,'#建筑消耗和buff配置索引'!$M:$M,0)))</f>
        <v>4</v>
      </c>
      <c r="BD29" s="133" t="str">
        <f>IF(INDEX('#建筑消耗和buff配置索引'!BW:BW,MATCH($F29,'#建筑消耗和buff配置索引'!$M:$M,0))=0,"",INDEX('#建筑消耗和buff配置索引'!BW:BW,MATCH($F29,'#建筑消耗和buff配置索引'!$M:$M,0)))</f>
        <v/>
      </c>
      <c r="BE29" s="133" t="str">
        <f>IF(BD29="","",INDEX('#建筑消耗和buff配置索引'!BX:BX,MATCH($F29,'#建筑消耗和buff配置索引'!$M:$M,0)))</f>
        <v/>
      </c>
      <c r="BI29" s="133">
        <v>1</v>
      </c>
      <c r="BK29" s="133">
        <v>20022</v>
      </c>
    </row>
    <row r="30" spans="1:65" s="133" customFormat="1" ht="16.5">
      <c r="A30" s="133">
        <v>2010027</v>
      </c>
      <c r="B30" s="133">
        <v>27</v>
      </c>
      <c r="C30" s="133">
        <v>201</v>
      </c>
      <c r="D30" s="133" t="s">
        <v>66</v>
      </c>
      <c r="E30" s="133">
        <v>27</v>
      </c>
      <c r="F30" s="133" t="str">
        <f t="shared" si="0"/>
        <v>城镇中心27</v>
      </c>
      <c r="G30" s="133" t="s">
        <v>1275</v>
      </c>
      <c r="H30" s="133" t="s">
        <v>1307</v>
      </c>
      <c r="I30" s="133">
        <v>3</v>
      </c>
      <c r="J30" s="150">
        <f>INDEX('#建筑消耗和buff配置索引'!AH:AH,MATCH($F30,'#建筑消耗和buff配置索引'!$M:$M,0))</f>
        <v>1900800</v>
      </c>
      <c r="K30" s="150">
        <f>INDEX('#建筑消耗和buff配置索引'!AA:AA,MATCH($F30,'#建筑消耗和buff配置索引'!$M:$M,0))</f>
        <v>28000000</v>
      </c>
      <c r="L30" s="150">
        <f>INDEX('#建筑消耗和buff配置索引'!AB:AB,MATCH($F30,'#建筑消耗和buff配置索引'!$M:$M,0))</f>
        <v>28000000</v>
      </c>
      <c r="M30" s="150">
        <f>INDEX('#建筑消耗和buff配置索引'!AC:AC,MATCH($F30,'#建筑消耗和buff配置索引'!$M:$M,0))</f>
        <v>28000000</v>
      </c>
      <c r="N30" s="150">
        <f>INDEX('#建筑消耗和buff配置索引'!AD:AD,MATCH($F30,'#建筑消耗和buff配置索引'!$M:$M,0))</f>
        <v>28000000</v>
      </c>
      <c r="O30" s="150" t="str">
        <f>IF(INDEX('#建筑消耗和buff配置索引'!T:T,MATCH($F30,'#建筑消耗和buff配置索引'!$M:$M,0))=0,"",INDEX('#建筑消耗和buff配置索引'!T:T,MATCH($F30,'#建筑消耗和buff配置索引'!$M:$M,0)))</f>
        <v/>
      </c>
      <c r="P30" s="133" t="str">
        <f>IF(INDEX('#建筑消耗和buff配置索引'!U:U,MATCH($F30,'#建筑消耗和buff配置索引'!$M:$M,0))=0,"",INDEX('#建筑消耗和buff配置索引'!U:U,MATCH($F30,'#建筑消耗和buff配置索引'!$M:$M,0)))</f>
        <v/>
      </c>
      <c r="Q30" s="133" t="str">
        <f>IF(INDEX('#建筑消耗和buff配置索引'!K:K,MATCH($F30,'#建筑消耗和buff配置索引'!$M:$M,0))=0,"",INDEX('#建筑消耗和buff配置索引'!K:K,MATCH($F30,'#建筑消耗和buff配置索引'!$M:$M,0)))</f>
        <v>215;231</v>
      </c>
      <c r="R30" s="133" t="str">
        <f>IF(INDEX('#建筑消耗和buff配置索引'!L:L,MATCH($F30,'#建筑消耗和buff配置索引'!$M:$M,0))=0,"",INDEX('#建筑消耗和buff配置索引'!L:L,MATCH($F30,'#建筑消耗和buff配置索引'!$M:$M,0)))</f>
        <v>26;26</v>
      </c>
      <c r="S30" s="133">
        <f>IF(INDEX('#建筑消耗和buff配置索引'!C:C,MATCH(F30,'#建筑消耗和buff配置索引'!M:M,0))=0,1,INDEX('#建筑消耗和buff配置索引'!C:C,MATCH(F30,'#建筑消耗和buff配置索引'!M:M,0)))</f>
        <v>5</v>
      </c>
      <c r="T30" s="151">
        <v>0</v>
      </c>
      <c r="U30" s="133">
        <v>0</v>
      </c>
      <c r="V30" s="133" t="str">
        <f>IF(E30=1,IF(INDEX('#建筑消耗和buff配置索引'!BY:BY,MATCH(D30,'#建筑消耗和buff配置索引'!A:A,0))=0,"",INDEX('#建筑消耗和buff配置索引'!BY:BY,MATCH(D30,'#建筑消耗和buff配置索引'!A:A,0))),"")</f>
        <v/>
      </c>
      <c r="W30" s="133" t="str">
        <f>IF(E30=1,IF(INDEX('#建筑消耗和buff配置索引'!BZ:BZ,MATCH(D30,'#建筑消耗和buff配置索引'!A:A,0))=0,"",INDEX('#建筑消耗和buff配置索引'!BZ:BZ,MATCH(D30,'#建筑消耗和buff配置索引'!A:A,0))),"")</f>
        <v/>
      </c>
      <c r="AA30" s="133">
        <f>INDEX('#建筑消耗和buff配置索引'!AO:AO,MATCH($F30,'#建筑消耗和buff配置索引'!$M:$M,0))</f>
        <v>999572</v>
      </c>
      <c r="AB30" s="133">
        <f>IF(INDEX('#建筑消耗和buff配置索引'!AR:AR,MATCH($F30,'#建筑消耗和buff配置索引'!$M:$M,0))=0,"",INDEX('#建筑消耗和buff配置索引'!AR:AR,MATCH($F30,'#建筑消耗和buff配置索引'!$M:$M,0)))</f>
        <v>6001</v>
      </c>
      <c r="AC30" s="133">
        <f>IF(AB30="","",INDEX('#建筑消耗和buff配置索引'!AS:AS,MATCH($F30,'#建筑消耗和buff配置索引'!$M:$M,0)))</f>
        <v>31000</v>
      </c>
      <c r="AF30" s="133">
        <f>IF(INDEX('#建筑消耗和buff配置索引'!AW:AW,MATCH($F30,'#建筑消耗和buff配置索引'!$M:$M,0))=0,"",INDEX('#建筑消耗和buff配置索引'!AW:AW,MATCH($F30,'#建筑消耗和buff配置索引'!$M:$M,0)))</f>
        <v>8025</v>
      </c>
      <c r="AG30" s="133">
        <f>IF(AF30="","",INDEX('#建筑消耗和buff配置索引'!AX:AX,MATCH($F30,'#建筑消耗和buff配置索引'!$M:$M,0)))</f>
        <v>2</v>
      </c>
      <c r="AJ30" s="133">
        <f>IF(INDEX('#建筑消耗和buff配置索引'!BB:BB,MATCH($F30,'#建筑消耗和buff配置索引'!$M:$M,0))=0,"",INDEX('#建筑消耗和buff配置索引'!BB:BB,MATCH($F30,'#建筑消耗和buff配置索引'!$M:$M,0)))</f>
        <v>1202</v>
      </c>
      <c r="AK30" s="133">
        <f>IF(AJ30="","",INDEX('#建筑消耗和buff配置索引'!BC:BC,MATCH($F30,'#建筑消耗和buff配置索引'!$M:$M,0)))</f>
        <v>4</v>
      </c>
      <c r="AN30" s="133">
        <f>IF(INDEX('#建筑消耗和buff配置索引'!BG:BG,MATCH($F30,'#建筑消耗和buff配置索引'!$M:$M,0))=0,"",INDEX('#建筑消耗和buff配置索引'!BG:BG,MATCH($F30,'#建筑消耗和buff配置索引'!$M:$M,0)))</f>
        <v>1205</v>
      </c>
      <c r="AO30" s="133">
        <f>IF(AN30="","",INDEX('#建筑消耗和buff配置索引'!BH:BH,MATCH($F30,'#建筑消耗和buff配置索引'!$M:$M,0)))</f>
        <v>4</v>
      </c>
      <c r="AR30" s="133">
        <f>IF(INDEX('#建筑消耗和buff配置索引'!BK:BK,MATCH($F30,'#建筑消耗和buff配置索引'!$M:$M,0))=0,"",INDEX('#建筑消耗和buff配置索引'!BK:BK,MATCH($F30,'#建筑消耗和buff配置索引'!$M:$M,0)))</f>
        <v>1209</v>
      </c>
      <c r="AS30" s="133">
        <f>IF(AR30="","",INDEX('#建筑消耗和buff配置索引'!BL:BL,MATCH($F30,'#建筑消耗和buff配置索引'!$M:$M,0)))</f>
        <v>4</v>
      </c>
      <c r="AV30" s="133">
        <f>IF(INDEX('#建筑消耗和buff配置索引'!BO:BO,MATCH($F30,'#建筑消耗和buff配置索引'!$M:$M,0))=0,"",INDEX('#建筑消耗和buff配置索引'!BO:BO,MATCH($F30,'#建筑消耗和buff配置索引'!$M:$M,0)))</f>
        <v>1210</v>
      </c>
      <c r="AW30" s="133">
        <f>IF(AV30="","",INDEX('#建筑消耗和buff配置索引'!BP:BP,MATCH($F30,'#建筑消耗和buff配置索引'!$M:$M,0)))</f>
        <v>4</v>
      </c>
      <c r="AZ30" s="133">
        <f>IF(INDEX('#建筑消耗和buff配置索引'!BS:BS,MATCH($F30,'#建筑消耗和buff配置索引'!$M:$M,0))=0,"",INDEX('#建筑消耗和buff配置索引'!BS:BS,MATCH($F30,'#建筑消耗和buff配置索引'!$M:$M,0)))</f>
        <v>1237</v>
      </c>
      <c r="BA30" s="133">
        <f>IF(AZ30="","",INDEX('#建筑消耗和buff配置索引'!BT:BT,MATCH($F30,'#建筑消耗和buff配置索引'!$M:$M,0)))</f>
        <v>4</v>
      </c>
      <c r="BD30" s="133" t="str">
        <f>IF(INDEX('#建筑消耗和buff配置索引'!BW:BW,MATCH($F30,'#建筑消耗和buff配置索引'!$M:$M,0))=0,"",INDEX('#建筑消耗和buff配置索引'!BW:BW,MATCH($F30,'#建筑消耗和buff配置索引'!$M:$M,0)))</f>
        <v/>
      </c>
      <c r="BE30" s="133" t="str">
        <f>IF(BD30="","",INDEX('#建筑消耗和buff配置索引'!BX:BX,MATCH($F30,'#建筑消耗和buff配置索引'!$M:$M,0)))</f>
        <v/>
      </c>
      <c r="BI30" s="133">
        <v>1</v>
      </c>
      <c r="BK30" s="133">
        <v>20023</v>
      </c>
    </row>
    <row r="31" spans="1:65" s="133" customFormat="1" ht="16.5">
      <c r="A31" s="133">
        <v>2010028</v>
      </c>
      <c r="B31" s="133">
        <v>28</v>
      </c>
      <c r="C31" s="133">
        <v>201</v>
      </c>
      <c r="D31" s="133" t="s">
        <v>66</v>
      </c>
      <c r="E31" s="133">
        <v>28</v>
      </c>
      <c r="F31" s="133" t="str">
        <f t="shared" si="0"/>
        <v>城镇中心28</v>
      </c>
      <c r="G31" s="133" t="s">
        <v>1275</v>
      </c>
      <c r="H31" s="133" t="s">
        <v>1310</v>
      </c>
      <c r="I31" s="133">
        <v>3</v>
      </c>
      <c r="J31" s="150">
        <f>INDEX('#建筑消耗和buff配置索引'!AH:AH,MATCH($F31,'#建筑消耗和buff配置索引'!$M:$M,0))</f>
        <v>2332800</v>
      </c>
      <c r="K31" s="150">
        <f>INDEX('#建筑消耗和buff配置索引'!AA:AA,MATCH($F31,'#建筑消耗和buff配置索引'!$M:$M,0))</f>
        <v>35000000</v>
      </c>
      <c r="L31" s="150">
        <f>INDEX('#建筑消耗和buff配置索引'!AB:AB,MATCH($F31,'#建筑消耗和buff配置索引'!$M:$M,0))</f>
        <v>35000000</v>
      </c>
      <c r="M31" s="150">
        <f>INDEX('#建筑消耗和buff配置索引'!AC:AC,MATCH($F31,'#建筑消耗和buff配置索引'!$M:$M,0))</f>
        <v>35000000</v>
      </c>
      <c r="N31" s="150">
        <f>INDEX('#建筑消耗和buff配置索引'!AD:AD,MATCH($F31,'#建筑消耗和buff配置索引'!$M:$M,0))</f>
        <v>35000000</v>
      </c>
      <c r="O31" s="150" t="str">
        <f>IF(INDEX('#建筑消耗和buff配置索引'!T:T,MATCH($F31,'#建筑消耗和buff配置索引'!$M:$M,0))=0,"",INDEX('#建筑消耗和buff配置索引'!T:T,MATCH($F31,'#建筑消耗和buff配置索引'!$M:$M,0)))</f>
        <v/>
      </c>
      <c r="P31" s="133" t="str">
        <f>IF(INDEX('#建筑消耗和buff配置索引'!U:U,MATCH($F31,'#建筑消耗和buff配置索引'!$M:$M,0))=0,"",INDEX('#建筑消耗和buff配置索引'!U:U,MATCH($F31,'#建筑消耗和buff配置索引'!$M:$M,0)))</f>
        <v/>
      </c>
      <c r="Q31" s="133" t="str">
        <f>IF(INDEX('#建筑消耗和buff配置索引'!K:K,MATCH($F31,'#建筑消耗和buff配置索引'!$M:$M,0))=0,"",INDEX('#建筑消耗和buff配置索引'!K:K,MATCH($F31,'#建筑消耗和buff配置索引'!$M:$M,0)))</f>
        <v>215;222</v>
      </c>
      <c r="R31" s="133" t="str">
        <f>IF(INDEX('#建筑消耗和buff配置索引'!L:L,MATCH($F31,'#建筑消耗和buff配置索引'!$M:$M,0))=0,"",INDEX('#建筑消耗和buff配置索引'!L:L,MATCH($F31,'#建筑消耗和buff配置索引'!$M:$M,0)))</f>
        <v>27;27</v>
      </c>
      <c r="S31" s="133">
        <f>IF(INDEX('#建筑消耗和buff配置索引'!C:C,MATCH(F31,'#建筑消耗和buff配置索引'!M:M,0))=0,1,INDEX('#建筑消耗和buff配置索引'!C:C,MATCH(F31,'#建筑消耗和buff配置索引'!M:M,0)))</f>
        <v>5</v>
      </c>
      <c r="T31" s="151">
        <v>0</v>
      </c>
      <c r="U31" s="133">
        <v>0</v>
      </c>
      <c r="V31" s="133" t="str">
        <f>IF(E31=1,IF(INDEX('#建筑消耗和buff配置索引'!BY:BY,MATCH(D31,'#建筑消耗和buff配置索引'!A:A,0))=0,"",INDEX('#建筑消耗和buff配置索引'!BY:BY,MATCH(D31,'#建筑消耗和buff配置索引'!A:A,0))),"")</f>
        <v/>
      </c>
      <c r="W31" s="133" t="str">
        <f>IF(E31=1,IF(INDEX('#建筑消耗和buff配置索引'!BZ:BZ,MATCH(D31,'#建筑消耗和buff配置索引'!A:A,0))=0,"",INDEX('#建筑消耗和buff配置索引'!BZ:BZ,MATCH(D31,'#建筑消耗和buff配置索引'!A:A,0))),"")</f>
        <v/>
      </c>
      <c r="AA31" s="133">
        <f>INDEX('#建筑消耗和buff配置索引'!AO:AO,MATCH($F31,'#建筑消耗和buff配置索引'!$M:$M,0))</f>
        <v>1282467</v>
      </c>
      <c r="AB31" s="133">
        <f>IF(INDEX('#建筑消耗和buff配置索引'!AR:AR,MATCH($F31,'#建筑消耗和buff配置索引'!$M:$M,0))=0,"",INDEX('#建筑消耗和buff配置索引'!AR:AR,MATCH($F31,'#建筑消耗和buff配置索引'!$M:$M,0)))</f>
        <v>6001</v>
      </c>
      <c r="AC31" s="133">
        <f>IF(AB31="","",INDEX('#建筑消耗和buff配置索引'!AS:AS,MATCH($F31,'#建筑消耗和buff配置索引'!$M:$M,0)))</f>
        <v>33500</v>
      </c>
      <c r="AF31" s="133">
        <f>IF(INDEX('#建筑消耗和buff配置索引'!AW:AW,MATCH($F31,'#建筑消耗和buff配置索引'!$M:$M,0))=0,"",INDEX('#建筑消耗和buff配置索引'!AW:AW,MATCH($F31,'#建筑消耗和buff配置索引'!$M:$M,0)))</f>
        <v>8025</v>
      </c>
      <c r="AG31" s="133">
        <f>IF(AF31="","",INDEX('#建筑消耗和buff配置索引'!AX:AX,MATCH($F31,'#建筑消耗和buff配置索引'!$M:$M,0)))</f>
        <v>2</v>
      </c>
      <c r="AJ31" s="133">
        <f>IF(INDEX('#建筑消耗和buff配置索引'!BB:BB,MATCH($F31,'#建筑消耗和buff配置索引'!$M:$M,0))=0,"",INDEX('#建筑消耗和buff配置索引'!BB:BB,MATCH($F31,'#建筑消耗和buff配置索引'!$M:$M,0)))</f>
        <v>1202</v>
      </c>
      <c r="AK31" s="133">
        <f>IF(AJ31="","",INDEX('#建筑消耗和buff配置索引'!BC:BC,MATCH($F31,'#建筑消耗和buff配置索引'!$M:$M,0)))</f>
        <v>4</v>
      </c>
      <c r="AN31" s="133">
        <f>IF(INDEX('#建筑消耗和buff配置索引'!BG:BG,MATCH($F31,'#建筑消耗和buff配置索引'!$M:$M,0))=0,"",INDEX('#建筑消耗和buff配置索引'!BG:BG,MATCH($F31,'#建筑消耗和buff配置索引'!$M:$M,0)))</f>
        <v>1205</v>
      </c>
      <c r="AO31" s="133">
        <f>IF(AN31="","",INDEX('#建筑消耗和buff配置索引'!BH:BH,MATCH($F31,'#建筑消耗和buff配置索引'!$M:$M,0)))</f>
        <v>4</v>
      </c>
      <c r="AR31" s="133">
        <f>IF(INDEX('#建筑消耗和buff配置索引'!BK:BK,MATCH($F31,'#建筑消耗和buff配置索引'!$M:$M,0))=0,"",INDEX('#建筑消耗和buff配置索引'!BK:BK,MATCH($F31,'#建筑消耗和buff配置索引'!$M:$M,0)))</f>
        <v>1209</v>
      </c>
      <c r="AS31" s="133">
        <f>IF(AR31="","",INDEX('#建筑消耗和buff配置索引'!BL:BL,MATCH($F31,'#建筑消耗和buff配置索引'!$M:$M,0)))</f>
        <v>4</v>
      </c>
      <c r="AV31" s="133">
        <f>IF(INDEX('#建筑消耗和buff配置索引'!BO:BO,MATCH($F31,'#建筑消耗和buff配置索引'!$M:$M,0))=0,"",INDEX('#建筑消耗和buff配置索引'!BO:BO,MATCH($F31,'#建筑消耗和buff配置索引'!$M:$M,0)))</f>
        <v>1210</v>
      </c>
      <c r="AW31" s="133">
        <f>IF(AV31="","",INDEX('#建筑消耗和buff配置索引'!BP:BP,MATCH($F31,'#建筑消耗和buff配置索引'!$M:$M,0)))</f>
        <v>4</v>
      </c>
      <c r="AZ31" s="133">
        <f>IF(INDEX('#建筑消耗和buff配置索引'!BS:BS,MATCH($F31,'#建筑消耗和buff配置索引'!$M:$M,0))=0,"",INDEX('#建筑消耗和buff配置索引'!BS:BS,MATCH($F31,'#建筑消耗和buff配置索引'!$M:$M,0)))</f>
        <v>1237</v>
      </c>
      <c r="BA31" s="133">
        <f>IF(AZ31="","",INDEX('#建筑消耗和buff配置索引'!BT:BT,MATCH($F31,'#建筑消耗和buff配置索引'!$M:$M,0)))</f>
        <v>4</v>
      </c>
      <c r="BD31" s="133" t="str">
        <f>IF(INDEX('#建筑消耗和buff配置索引'!BW:BW,MATCH($F31,'#建筑消耗和buff配置索引'!$M:$M,0))=0,"",INDEX('#建筑消耗和buff配置索引'!BW:BW,MATCH($F31,'#建筑消耗和buff配置索引'!$M:$M,0)))</f>
        <v/>
      </c>
      <c r="BE31" s="133" t="str">
        <f>IF(BD31="","",INDEX('#建筑消耗和buff配置索引'!BX:BX,MATCH($F31,'#建筑消耗和buff配置索引'!$M:$M,0)))</f>
        <v/>
      </c>
      <c r="BI31" s="133">
        <v>1</v>
      </c>
      <c r="BK31" s="133">
        <v>20024</v>
      </c>
    </row>
    <row r="32" spans="1:65" s="133" customFormat="1" ht="16.5">
      <c r="A32" s="133">
        <v>2010029</v>
      </c>
      <c r="B32" s="133">
        <v>29</v>
      </c>
      <c r="C32" s="133">
        <v>201</v>
      </c>
      <c r="D32" s="133" t="s">
        <v>66</v>
      </c>
      <c r="E32" s="133">
        <v>29</v>
      </c>
      <c r="F32" s="133" t="str">
        <f t="shared" si="0"/>
        <v>城镇中心29</v>
      </c>
      <c r="G32" s="133" t="s">
        <v>1275</v>
      </c>
      <c r="H32" s="133" t="s">
        <v>1313</v>
      </c>
      <c r="I32" s="133">
        <v>3</v>
      </c>
      <c r="J32" s="150">
        <f>INDEX('#建筑消耗和buff配置索引'!AH:AH,MATCH($F32,'#建筑消耗和buff配置索引'!$M:$M,0))</f>
        <v>2851200</v>
      </c>
      <c r="K32" s="150">
        <f>INDEX('#建筑消耗和buff配置索引'!AA:AA,MATCH($F32,'#建筑消耗和buff配置索引'!$M:$M,0))</f>
        <v>45000000</v>
      </c>
      <c r="L32" s="150">
        <f>INDEX('#建筑消耗和buff配置索引'!AB:AB,MATCH($F32,'#建筑消耗和buff配置索引'!$M:$M,0))</f>
        <v>45000000</v>
      </c>
      <c r="M32" s="150">
        <f>INDEX('#建筑消耗和buff配置索引'!AC:AC,MATCH($F32,'#建筑消耗和buff配置索引'!$M:$M,0))</f>
        <v>45000000</v>
      </c>
      <c r="N32" s="150">
        <f>INDEX('#建筑消耗和buff配置索引'!AD:AD,MATCH($F32,'#建筑消耗和buff配置索引'!$M:$M,0))</f>
        <v>45000000</v>
      </c>
      <c r="O32" s="150" t="str">
        <f>IF(INDEX('#建筑消耗和buff配置索引'!T:T,MATCH($F32,'#建筑消耗和buff配置索引'!$M:$M,0))=0,"",INDEX('#建筑消耗和buff配置索引'!T:T,MATCH($F32,'#建筑消耗和buff配置索引'!$M:$M,0)))</f>
        <v/>
      </c>
      <c r="P32" s="133" t="str">
        <f>IF(INDEX('#建筑消耗和buff配置索引'!U:U,MATCH($F32,'#建筑消耗和buff配置索引'!$M:$M,0))=0,"",INDEX('#建筑消耗和buff配置索引'!U:U,MATCH($F32,'#建筑消耗和buff配置索引'!$M:$M,0)))</f>
        <v/>
      </c>
      <c r="Q32" s="133" t="str">
        <f>IF(INDEX('#建筑消耗和buff配置索引'!K:K,MATCH($F32,'#建筑消耗和buff配置索引'!$M:$M,0))=0,"",INDEX('#建筑消耗和buff配置索引'!K:K,MATCH($F32,'#建筑消耗和buff配置索引'!$M:$M,0)))</f>
        <v>215;230</v>
      </c>
      <c r="R32" s="133" t="str">
        <f>IF(INDEX('#建筑消耗和buff配置索引'!L:L,MATCH($F32,'#建筑消耗和buff配置索引'!$M:$M,0))=0,"",INDEX('#建筑消耗和buff配置索引'!L:L,MATCH($F32,'#建筑消耗和buff配置索引'!$M:$M,0)))</f>
        <v>28;28</v>
      </c>
      <c r="S32" s="133">
        <f>IF(INDEX('#建筑消耗和buff配置索引'!C:C,MATCH(F32,'#建筑消耗和buff配置索引'!M:M,0))=0,1,INDEX('#建筑消耗和buff配置索引'!C:C,MATCH(F32,'#建筑消耗和buff配置索引'!M:M,0)))</f>
        <v>5</v>
      </c>
      <c r="T32" s="151">
        <v>0</v>
      </c>
      <c r="U32" s="133">
        <v>0</v>
      </c>
      <c r="V32" s="133" t="str">
        <f>IF(E32=1,IF(INDEX('#建筑消耗和buff配置索引'!BY:BY,MATCH(D32,'#建筑消耗和buff配置索引'!A:A,0))=0,"",INDEX('#建筑消耗和buff配置索引'!BY:BY,MATCH(D32,'#建筑消耗和buff配置索引'!A:A,0))),"")</f>
        <v/>
      </c>
      <c r="W32" s="133" t="str">
        <f>IF(E32=1,IF(INDEX('#建筑消耗和buff配置索引'!BZ:BZ,MATCH(D32,'#建筑消耗和buff配置索引'!A:A,0))=0,"",INDEX('#建筑消耗和buff配置索引'!BZ:BZ,MATCH(D32,'#建筑消耗和buff配置索引'!A:A,0))),"")</f>
        <v/>
      </c>
      <c r="AA32" s="133">
        <f>INDEX('#建筑消耗和buff配置索引'!AO:AO,MATCH($F32,'#建筑消耗和buff配置索引'!$M:$M,0))</f>
        <v>1644573</v>
      </c>
      <c r="AB32" s="133">
        <f>IF(INDEX('#建筑消耗和buff配置索引'!AR:AR,MATCH($F32,'#建筑消耗和buff配置索引'!$M:$M,0))=0,"",INDEX('#建筑消耗和buff配置索引'!AR:AR,MATCH($F32,'#建筑消耗和buff配置索引'!$M:$M,0)))</f>
        <v>6001</v>
      </c>
      <c r="AC32" s="133">
        <f>IF(AB32="","",INDEX('#建筑消耗和buff配置索引'!AS:AS,MATCH($F32,'#建筑消耗和buff配置索引'!$M:$M,0)))</f>
        <v>36500</v>
      </c>
      <c r="AF32" s="133">
        <f>IF(INDEX('#建筑消耗和buff配置索引'!AW:AW,MATCH($F32,'#建筑消耗和buff配置索引'!$M:$M,0))=0,"",INDEX('#建筑消耗和buff配置索引'!AW:AW,MATCH($F32,'#建筑消耗和buff配置索引'!$M:$M,0)))</f>
        <v>8025</v>
      </c>
      <c r="AG32" s="133">
        <f>IF(AF32="","",INDEX('#建筑消耗和buff配置索引'!AX:AX,MATCH($F32,'#建筑消耗和buff配置索引'!$M:$M,0)))</f>
        <v>2</v>
      </c>
      <c r="AJ32" s="133">
        <f>IF(INDEX('#建筑消耗和buff配置索引'!BB:BB,MATCH($F32,'#建筑消耗和buff配置索引'!$M:$M,0))=0,"",INDEX('#建筑消耗和buff配置索引'!BB:BB,MATCH($F32,'#建筑消耗和buff配置索引'!$M:$M,0)))</f>
        <v>1202</v>
      </c>
      <c r="AK32" s="133">
        <f>IF(AJ32="","",INDEX('#建筑消耗和buff配置索引'!BC:BC,MATCH($F32,'#建筑消耗和buff配置索引'!$M:$M,0)))</f>
        <v>4</v>
      </c>
      <c r="AN32" s="133">
        <f>IF(INDEX('#建筑消耗和buff配置索引'!BG:BG,MATCH($F32,'#建筑消耗和buff配置索引'!$M:$M,0))=0,"",INDEX('#建筑消耗和buff配置索引'!BG:BG,MATCH($F32,'#建筑消耗和buff配置索引'!$M:$M,0)))</f>
        <v>1205</v>
      </c>
      <c r="AO32" s="133">
        <f>IF(AN32="","",INDEX('#建筑消耗和buff配置索引'!BH:BH,MATCH($F32,'#建筑消耗和buff配置索引'!$M:$M,0)))</f>
        <v>4</v>
      </c>
      <c r="AR32" s="133">
        <f>IF(INDEX('#建筑消耗和buff配置索引'!BK:BK,MATCH($F32,'#建筑消耗和buff配置索引'!$M:$M,0))=0,"",INDEX('#建筑消耗和buff配置索引'!BK:BK,MATCH($F32,'#建筑消耗和buff配置索引'!$M:$M,0)))</f>
        <v>1209</v>
      </c>
      <c r="AS32" s="133">
        <f>IF(AR32="","",INDEX('#建筑消耗和buff配置索引'!BL:BL,MATCH($F32,'#建筑消耗和buff配置索引'!$M:$M,0)))</f>
        <v>4</v>
      </c>
      <c r="AV32" s="133">
        <f>IF(INDEX('#建筑消耗和buff配置索引'!BO:BO,MATCH($F32,'#建筑消耗和buff配置索引'!$M:$M,0))=0,"",INDEX('#建筑消耗和buff配置索引'!BO:BO,MATCH($F32,'#建筑消耗和buff配置索引'!$M:$M,0)))</f>
        <v>1210</v>
      </c>
      <c r="AW32" s="133">
        <f>IF(AV32="","",INDEX('#建筑消耗和buff配置索引'!BP:BP,MATCH($F32,'#建筑消耗和buff配置索引'!$M:$M,0)))</f>
        <v>4</v>
      </c>
      <c r="AZ32" s="133">
        <f>IF(INDEX('#建筑消耗和buff配置索引'!BS:BS,MATCH($F32,'#建筑消耗和buff配置索引'!$M:$M,0))=0,"",INDEX('#建筑消耗和buff配置索引'!BS:BS,MATCH($F32,'#建筑消耗和buff配置索引'!$M:$M,0)))</f>
        <v>1237</v>
      </c>
      <c r="BA32" s="133">
        <f>IF(AZ32="","",INDEX('#建筑消耗和buff配置索引'!BT:BT,MATCH($F32,'#建筑消耗和buff配置索引'!$M:$M,0)))</f>
        <v>4</v>
      </c>
      <c r="BD32" s="133" t="str">
        <f>IF(INDEX('#建筑消耗和buff配置索引'!BW:BW,MATCH($F32,'#建筑消耗和buff配置索引'!$M:$M,0))=0,"",INDEX('#建筑消耗和buff配置索引'!BW:BW,MATCH($F32,'#建筑消耗和buff配置索引'!$M:$M,0)))</f>
        <v/>
      </c>
      <c r="BE32" s="133" t="str">
        <f>IF(BD32="","",INDEX('#建筑消耗和buff配置索引'!BX:BX,MATCH($F32,'#建筑消耗和buff配置索引'!$M:$M,0)))</f>
        <v/>
      </c>
      <c r="BI32" s="133">
        <v>1</v>
      </c>
      <c r="BK32" s="133">
        <v>20025</v>
      </c>
    </row>
    <row r="33" spans="1:66" s="133" customFormat="1" ht="16.5">
      <c r="A33" s="133">
        <v>2010030</v>
      </c>
      <c r="B33" s="133">
        <v>30</v>
      </c>
      <c r="C33" s="133">
        <v>201</v>
      </c>
      <c r="D33" s="133" t="s">
        <v>66</v>
      </c>
      <c r="E33" s="133">
        <v>30</v>
      </c>
      <c r="F33" s="133" t="str">
        <f t="shared" si="0"/>
        <v>城镇中心30</v>
      </c>
      <c r="G33" s="133" t="s">
        <v>1275</v>
      </c>
      <c r="H33" s="146" t="s">
        <v>1316</v>
      </c>
      <c r="I33" s="133">
        <v>3</v>
      </c>
      <c r="J33" s="150">
        <f>INDEX('#建筑消耗和buff配置索引'!AH:AH,MATCH($F33,'#建筑消耗和buff配置索引'!$M:$M,0))</f>
        <v>3456000</v>
      </c>
      <c r="K33" s="150">
        <f>INDEX('#建筑消耗和buff配置索引'!AA:AA,MATCH($F33,'#建筑消耗和buff配置索引'!$M:$M,0))</f>
        <v>58000000</v>
      </c>
      <c r="L33" s="150">
        <f>INDEX('#建筑消耗和buff配置索引'!AB:AB,MATCH($F33,'#建筑消耗和buff配置索引'!$M:$M,0))</f>
        <v>58000000</v>
      </c>
      <c r="M33" s="150">
        <f>INDEX('#建筑消耗和buff配置索引'!AC:AC,MATCH($F33,'#建筑消耗和buff配置索引'!$M:$M,0))</f>
        <v>58000000</v>
      </c>
      <c r="N33" s="150">
        <f>INDEX('#建筑消耗和buff配置索引'!AD:AD,MATCH($F33,'#建筑消耗和buff配置索引'!$M:$M,0))</f>
        <v>58000000</v>
      </c>
      <c r="O33" s="150" t="str">
        <f>IF(INDEX('#建筑消耗和buff配置索引'!T:T,MATCH($F33,'#建筑消耗和buff配置索引'!$M:$M,0))=0,"",INDEX('#建筑消耗和buff配置索引'!T:T,MATCH($F33,'#建筑消耗和buff配置索引'!$M:$M,0)))</f>
        <v/>
      </c>
      <c r="P33" s="133" t="str">
        <f>IF(INDEX('#建筑消耗和buff配置索引'!U:U,MATCH($F33,'#建筑消耗和buff配置索引'!$M:$M,0))=0,"",INDEX('#建筑消耗和buff配置索引'!U:U,MATCH($F33,'#建筑消耗和buff配置索引'!$M:$M,0)))</f>
        <v/>
      </c>
      <c r="Q33" s="133" t="str">
        <f>IF(INDEX('#建筑消耗和buff配置索引'!K:K,MATCH($F33,'#建筑消耗和buff配置索引'!$M:$M,0))=0,"",INDEX('#建筑消耗和buff配置索引'!K:K,MATCH($F33,'#建筑消耗和buff配置索引'!$M:$M,0)))</f>
        <v>215;211</v>
      </c>
      <c r="R33" s="133" t="str">
        <f>IF(INDEX('#建筑消耗和buff配置索引'!L:L,MATCH($F33,'#建筑消耗和buff配置索引'!$M:$M,0))=0,"",INDEX('#建筑消耗和buff配置索引'!L:L,MATCH($F33,'#建筑消耗和buff配置索引'!$M:$M,0)))</f>
        <v>29;29</v>
      </c>
      <c r="S33" s="133">
        <f>IF(INDEX('#建筑消耗和buff配置索引'!C:C,MATCH(F33,'#建筑消耗和buff配置索引'!M:M,0))=0,1,INDEX('#建筑消耗和buff配置索引'!C:C,MATCH(F33,'#建筑消耗和buff配置索引'!M:M,0)))</f>
        <v>5</v>
      </c>
      <c r="T33" s="151">
        <v>0</v>
      </c>
      <c r="U33" s="133">
        <v>0</v>
      </c>
      <c r="V33" s="133" t="str">
        <f>IF(E33=1,IF(INDEX('#建筑消耗和buff配置索引'!BY:BY,MATCH(D33,'#建筑消耗和buff配置索引'!A:A,0))=0,"",INDEX('#建筑消耗和buff配置索引'!BY:BY,MATCH(D33,'#建筑消耗和buff配置索引'!A:A,0))),"")</f>
        <v/>
      </c>
      <c r="W33" s="133" t="str">
        <f>IF(E33=1,IF(INDEX('#建筑消耗和buff配置索引'!BZ:BZ,MATCH(D33,'#建筑消耗和buff配置索引'!A:A,0))=0,"",INDEX('#建筑消耗和buff配置索引'!BZ:BZ,MATCH(D33,'#建筑消耗和buff配置索引'!A:A,0))),"")</f>
        <v/>
      </c>
      <c r="AA33" s="133">
        <f>INDEX('#建筑消耗和buff配置索引'!AO:AO,MATCH($F33,'#建筑消耗和buff配置索引'!$M:$M,0))</f>
        <v>2108069</v>
      </c>
      <c r="AB33" s="133">
        <f>IF(INDEX('#建筑消耗和buff配置索引'!AR:AR,MATCH($F33,'#建筑消耗和buff配置索引'!$M:$M,0))=0,"",INDEX('#建筑消耗和buff配置索引'!AR:AR,MATCH($F33,'#建筑消耗和buff配置索引'!$M:$M,0)))</f>
        <v>6001</v>
      </c>
      <c r="AC33" s="133">
        <f>IF(AB33="","",INDEX('#建筑消耗和buff配置索引'!AS:AS,MATCH($F33,'#建筑消耗和buff配置索引'!$M:$M,0)))</f>
        <v>40000</v>
      </c>
      <c r="AF33" s="133">
        <f>IF(INDEX('#建筑消耗和buff配置索引'!AW:AW,MATCH($F33,'#建筑消耗和buff配置索引'!$M:$M,0))=0,"",INDEX('#建筑消耗和buff配置索引'!AW:AW,MATCH($F33,'#建筑消耗和buff配置索引'!$M:$M,0)))</f>
        <v>8025</v>
      </c>
      <c r="AG33" s="133">
        <f>IF(AF33="","",INDEX('#建筑消耗和buff配置索引'!AX:AX,MATCH($F33,'#建筑消耗和buff配置索引'!$M:$M,0)))</f>
        <v>2</v>
      </c>
      <c r="AJ33" s="133">
        <f>IF(INDEX('#建筑消耗和buff配置索引'!BB:BB,MATCH($F33,'#建筑消耗和buff配置索引'!$M:$M,0))=0,"",INDEX('#建筑消耗和buff配置索引'!BB:BB,MATCH($F33,'#建筑消耗和buff配置索引'!$M:$M,0)))</f>
        <v>1202</v>
      </c>
      <c r="AK33" s="133">
        <f>IF(AJ33="","",INDEX('#建筑消耗和buff配置索引'!BC:BC,MATCH($F33,'#建筑消耗和buff配置索引'!$M:$M,0)))</f>
        <v>4</v>
      </c>
      <c r="AN33" s="133">
        <f>IF(INDEX('#建筑消耗和buff配置索引'!BG:BG,MATCH($F33,'#建筑消耗和buff配置索引'!$M:$M,0))=0,"",INDEX('#建筑消耗和buff配置索引'!BG:BG,MATCH($F33,'#建筑消耗和buff配置索引'!$M:$M,0)))</f>
        <v>1205</v>
      </c>
      <c r="AO33" s="133">
        <f>IF(AN33="","",INDEX('#建筑消耗和buff配置索引'!BH:BH,MATCH($F33,'#建筑消耗和buff配置索引'!$M:$M,0)))</f>
        <v>4</v>
      </c>
      <c r="AR33" s="133">
        <f>IF(INDEX('#建筑消耗和buff配置索引'!BK:BK,MATCH($F33,'#建筑消耗和buff配置索引'!$M:$M,0))=0,"",INDEX('#建筑消耗和buff配置索引'!BK:BK,MATCH($F33,'#建筑消耗和buff配置索引'!$M:$M,0)))</f>
        <v>1209</v>
      </c>
      <c r="AS33" s="133">
        <f>IF(AR33="","",INDEX('#建筑消耗和buff配置索引'!BL:BL,MATCH($F33,'#建筑消耗和buff配置索引'!$M:$M,0)))</f>
        <v>4</v>
      </c>
      <c r="AV33" s="133">
        <f>IF(INDEX('#建筑消耗和buff配置索引'!BO:BO,MATCH($F33,'#建筑消耗和buff配置索引'!$M:$M,0))=0,"",INDEX('#建筑消耗和buff配置索引'!BO:BO,MATCH($F33,'#建筑消耗和buff配置索引'!$M:$M,0)))</f>
        <v>1210</v>
      </c>
      <c r="AW33" s="133">
        <f>IF(AV33="","",INDEX('#建筑消耗和buff配置索引'!BP:BP,MATCH($F33,'#建筑消耗和buff配置索引'!$M:$M,0)))</f>
        <v>4</v>
      </c>
      <c r="AZ33" s="133">
        <f>IF(INDEX('#建筑消耗和buff配置索引'!BS:BS,MATCH($F33,'#建筑消耗和buff配置索引'!$M:$M,0))=0,"",INDEX('#建筑消耗和buff配置索引'!BS:BS,MATCH($F33,'#建筑消耗和buff配置索引'!$M:$M,0)))</f>
        <v>1237</v>
      </c>
      <c r="BA33" s="133">
        <f>IF(AZ33="","",INDEX('#建筑消耗和buff配置索引'!BT:BT,MATCH($F33,'#建筑消耗和buff配置索引'!$M:$M,0)))</f>
        <v>4</v>
      </c>
      <c r="BD33" s="133" t="str">
        <f>IF(INDEX('#建筑消耗和buff配置索引'!BW:BW,MATCH($F33,'#建筑消耗和buff配置索引'!$M:$M,0))=0,"",INDEX('#建筑消耗和buff配置索引'!BW:BW,MATCH($F33,'#建筑消耗和buff配置索引'!$M:$M,0)))</f>
        <v/>
      </c>
      <c r="BE33" s="133" t="str">
        <f>IF(BD33="","",INDEX('#建筑消耗和buff配置索引'!BX:BX,MATCH($F33,'#建筑消耗和buff配置索引'!$M:$M,0)))</f>
        <v/>
      </c>
      <c r="BI33" s="133">
        <v>1</v>
      </c>
      <c r="BK33" s="133">
        <v>20026</v>
      </c>
    </row>
    <row r="34" spans="1:66" s="133" customFormat="1">
      <c r="A34" s="133">
        <v>2020001</v>
      </c>
      <c r="B34" s="133">
        <v>31</v>
      </c>
      <c r="C34" s="133">
        <v>202</v>
      </c>
      <c r="D34" s="133" t="s">
        <v>154</v>
      </c>
      <c r="E34" s="133">
        <v>1</v>
      </c>
      <c r="F34" s="133" t="str">
        <f t="shared" si="0"/>
        <v>居民房舍1</v>
      </c>
      <c r="H34" s="146"/>
      <c r="I34" s="133" t="s">
        <v>1205</v>
      </c>
      <c r="J34" s="150">
        <f>INDEX('#建筑消耗和buff配置索引'!AH:AH,MATCH($F34,'#建筑消耗和buff配置索引'!$M:$M,0))</f>
        <v>25</v>
      </c>
      <c r="K34" s="150">
        <f>INDEX('#建筑消耗和buff配置索引'!AA:AA,MATCH($F34,'#建筑消耗和buff配置索引'!$M:$M,0))</f>
        <v>0</v>
      </c>
      <c r="L34" s="150">
        <f>INDEX('#建筑消耗和buff配置索引'!AB:AB,MATCH($F34,'#建筑消耗和buff配置索引'!$M:$M,0))</f>
        <v>0</v>
      </c>
      <c r="M34" s="150">
        <f>INDEX('#建筑消耗和buff配置索引'!AC:AC,MATCH($F34,'#建筑消耗和buff配置索引'!$M:$M,0))</f>
        <v>0</v>
      </c>
      <c r="N34" s="150">
        <f>INDEX('#建筑消耗和buff配置索引'!AD:AD,MATCH($F34,'#建筑消耗和buff配置索引'!$M:$M,0))</f>
        <v>0</v>
      </c>
      <c r="O34" s="150" t="str">
        <f>IF(INDEX('#建筑消耗和buff配置索引'!T:T,MATCH($F34,'#建筑消耗和buff配置索引'!$M:$M,0))=0,"",INDEX('#建筑消耗和buff配置索引'!T:T,MATCH($F34,'#建筑消耗和buff配置索引'!$M:$M,0)))</f>
        <v/>
      </c>
      <c r="P34" s="133" t="str">
        <f>IF(INDEX('#建筑消耗和buff配置索引'!U:U,MATCH($F34,'#建筑消耗和buff配置索引'!$M:$M,0))=0,"",INDEX('#建筑消耗和buff配置索引'!U:U,MATCH($F34,'#建筑消耗和buff配置索引'!$M:$M,0)))</f>
        <v/>
      </c>
      <c r="Q34" s="133" t="str">
        <f>IF(INDEX('#建筑消耗和buff配置索引'!K:K,MATCH($F34,'#建筑消耗和buff配置索引'!$M:$M,0))=0,"",INDEX('#建筑消耗和buff配置索引'!K:K,MATCH($F34,'#建筑消耗和buff配置索引'!$M:$M,0)))</f>
        <v>201</v>
      </c>
      <c r="R34" s="133" t="str">
        <f>IF(INDEX('#建筑消耗和buff配置索引'!L:L,MATCH($F34,'#建筑消耗和buff配置索引'!$M:$M,0))=0,"",INDEX('#建筑消耗和buff配置索引'!L:L,MATCH($F34,'#建筑消耗和buff配置索引'!$M:$M,0)))</f>
        <v>1</v>
      </c>
      <c r="S34" s="133">
        <f>IF(INDEX('#建筑消耗和buff配置索引'!C:C,MATCH(F34,'#建筑消耗和buff配置索引'!M:M,0))=0,1,INDEX('#建筑消耗和buff配置索引'!C:C,MATCH(F34,'#建筑消耗和buff配置索引'!M:M,0)))</f>
        <v>1</v>
      </c>
      <c r="T34" s="140">
        <v>0</v>
      </c>
      <c r="U34" s="133">
        <v>0</v>
      </c>
      <c r="V34" s="133" t="str">
        <f>IF(E34=1,IF(INDEX('#建筑消耗和buff配置索引'!BY:BY,MATCH(D34,'#建筑消耗和buff配置索引'!A:A,0))=0,"",INDEX('#建筑消耗和buff配置索引'!BY:BY,MATCH(D34,'#建筑消耗和buff配置索引'!A:A,0))),"")</f>
        <v>1</v>
      </c>
      <c r="W34" s="133" t="str">
        <f>IF(E34=1,IF(INDEX('#建筑消耗和buff配置索引'!BZ:BZ,MATCH(D34,'#建筑消耗和buff配置索引'!A:A,0))=0,"",INDEX('#建筑消耗和buff配置索引'!BZ:BZ,MATCH(D34,'#建筑消耗和buff配置索引'!A:A,0))),"")</f>
        <v>TID_Buff_BuilDetail_1200</v>
      </c>
      <c r="AA34" s="133">
        <f>INDEX('#建筑消耗和buff配置索引'!AO:AO,MATCH($F34,'#建筑消耗和buff配置索引'!$M:$M,0))</f>
        <v>1</v>
      </c>
      <c r="AB34" s="133">
        <f>IF(INDEX('#建筑消耗和buff配置索引'!AR:AR,MATCH($F34,'#建筑消耗和buff配置索引'!$M:$M,0))=0,"",INDEX('#建筑消耗和buff配置索引'!AR:AR,MATCH($F34,'#建筑消耗和buff配置索引'!$M:$M,0)))</f>
        <v>1200</v>
      </c>
      <c r="AC34" s="133">
        <f>IF(AB34="","",INDEX('#建筑消耗和buff配置索引'!AS:AS,MATCH($F34,'#建筑消耗和buff配置索引'!$M:$M,0)))</f>
        <v>1</v>
      </c>
      <c r="AF34" s="133" t="str">
        <f>IF(INDEX('#建筑消耗和buff配置索引'!AW:AW,MATCH($F34,'#建筑消耗和buff配置索引'!$M:$M,0))=0,"",INDEX('#建筑消耗和buff配置索引'!AW:AW,MATCH($F34,'#建筑消耗和buff配置索引'!$M:$M,0)))</f>
        <v/>
      </c>
      <c r="AG34" s="133" t="str">
        <f>IF(AF34="","",INDEX('#建筑消耗和buff配置索引'!AX:AX,MATCH($F34,'#建筑消耗和buff配置索引'!$M:$M,0)))</f>
        <v/>
      </c>
      <c r="AJ34" s="133" t="str">
        <f>IF(INDEX('#建筑消耗和buff配置索引'!BB:BB,MATCH($F34,'#建筑消耗和buff配置索引'!$M:$M,0))=0,"",INDEX('#建筑消耗和buff配置索引'!BB:BB,MATCH($F34,'#建筑消耗和buff配置索引'!$M:$M,0)))</f>
        <v/>
      </c>
      <c r="AK34" s="133" t="str">
        <f>IF(AJ34="","",INDEX('#建筑消耗和buff配置索引'!BC:BC,MATCH($F34,'#建筑消耗和buff配置索引'!$M:$M,0)))</f>
        <v/>
      </c>
      <c r="AN34" s="133" t="str">
        <f>IF(INDEX('#建筑消耗和buff配置索引'!BG:BG,MATCH($F34,'#建筑消耗和buff配置索引'!$M:$M,0))=0,"",INDEX('#建筑消耗和buff配置索引'!BG:BG,MATCH($F34,'#建筑消耗和buff配置索引'!$M:$M,0)))</f>
        <v/>
      </c>
      <c r="AO34" s="133" t="str">
        <f>IF(AN34="","",INDEX('#建筑消耗和buff配置索引'!BH:BH,MATCH($F34,'#建筑消耗和buff配置索引'!$M:$M,0)))</f>
        <v/>
      </c>
      <c r="AR34" s="133" t="str">
        <f>IF(INDEX('#建筑消耗和buff配置索引'!BK:BK,MATCH($F34,'#建筑消耗和buff配置索引'!$M:$M,0))=0,"",INDEX('#建筑消耗和buff配置索引'!BK:BK,MATCH($F34,'#建筑消耗和buff配置索引'!$M:$M,0)))</f>
        <v/>
      </c>
      <c r="AS34" s="133" t="str">
        <f>IF(AR34="","",INDEX('#建筑消耗和buff配置索引'!BL:BL,MATCH($F34,'#建筑消耗和buff配置索引'!$M:$M,0)))</f>
        <v/>
      </c>
      <c r="AV34" s="133" t="str">
        <f>IF(INDEX('#建筑消耗和buff配置索引'!BO:BO,MATCH($F34,'#建筑消耗和buff配置索引'!$M:$M,0))=0,"",INDEX('#建筑消耗和buff配置索引'!BO:BO,MATCH($F34,'#建筑消耗和buff配置索引'!$M:$M,0)))</f>
        <v/>
      </c>
      <c r="AW34" s="133" t="str">
        <f>IF(AV34="","",INDEX('#建筑消耗和buff配置索引'!BP:BP,MATCH($F34,'#建筑消耗和buff配置索引'!$M:$M,0)))</f>
        <v/>
      </c>
      <c r="AZ34" s="133" t="str">
        <f>IF(INDEX('#建筑消耗和buff配置索引'!BS:BS,MATCH($F34,'#建筑消耗和buff配置索引'!$M:$M,0))=0,"",INDEX('#建筑消耗和buff配置索引'!BS:BS,MATCH($F34,'#建筑消耗和buff配置索引'!$M:$M,0)))</f>
        <v/>
      </c>
      <c r="BA34" s="133" t="str">
        <f>IF(AZ34="","",INDEX('#建筑消耗和buff配置索引'!BT:BT,MATCH($F34,'#建筑消耗和buff配置索引'!$M:$M,0)))</f>
        <v/>
      </c>
      <c r="BD34" s="133" t="str">
        <f>IF(INDEX('#建筑消耗和buff配置索引'!BW:BW,MATCH($F34,'#建筑消耗和buff配置索引'!$M:$M,0))=0,"",INDEX('#建筑消耗和buff配置索引'!BW:BW,MATCH($F34,'#建筑消耗和buff配置索引'!$M:$M,0)))</f>
        <v/>
      </c>
      <c r="BE34" s="133" t="str">
        <f>IF(BD34="","",INDEX('#建筑消耗和buff配置索引'!BX:BX,MATCH($F34,'#建筑消耗和buff配置索引'!$M:$M,0)))</f>
        <v/>
      </c>
      <c r="BI34" s="133">
        <v>2</v>
      </c>
      <c r="BN34" s="133">
        <v>3</v>
      </c>
    </row>
    <row r="35" spans="1:66" s="133" customFormat="1">
      <c r="A35" s="133">
        <v>2020002</v>
      </c>
      <c r="B35" s="133">
        <v>32</v>
      </c>
      <c r="C35" s="133">
        <v>202</v>
      </c>
      <c r="D35" s="133" t="s">
        <v>154</v>
      </c>
      <c r="E35" s="133">
        <v>2</v>
      </c>
      <c r="F35" s="133" t="str">
        <f t="shared" si="0"/>
        <v>居民房舍2</v>
      </c>
      <c r="H35" s="146"/>
      <c r="I35" s="133" t="s">
        <v>1205</v>
      </c>
      <c r="J35" s="150">
        <f>INDEX('#建筑消耗和buff配置索引'!AH:AH,MATCH($F35,'#建筑消耗和buff配置索引'!$M:$M,0))</f>
        <v>27</v>
      </c>
      <c r="K35" s="150">
        <f>INDEX('#建筑消耗和buff配置索引'!AA:AA,MATCH($F35,'#建筑消耗和buff配置索引'!$M:$M,0))</f>
        <v>500</v>
      </c>
      <c r="L35" s="150">
        <f>INDEX('#建筑消耗和buff配置索引'!AB:AB,MATCH($F35,'#建筑消耗和buff配置索引'!$M:$M,0))</f>
        <v>1000</v>
      </c>
      <c r="M35" s="150">
        <f>INDEX('#建筑消耗和buff配置索引'!AC:AC,MATCH($F35,'#建筑消耗和buff配置索引'!$M:$M,0))</f>
        <v>0</v>
      </c>
      <c r="N35" s="150">
        <f>INDEX('#建筑消耗和buff配置索引'!AD:AD,MATCH($F35,'#建筑消耗和buff配置索引'!$M:$M,0))</f>
        <v>0</v>
      </c>
      <c r="O35" s="150" t="str">
        <f>IF(INDEX('#建筑消耗和buff配置索引'!T:T,MATCH($F35,'#建筑消耗和buff配置索引'!$M:$M,0))=0,"",INDEX('#建筑消耗和buff配置索引'!T:T,MATCH($F35,'#建筑消耗和buff配置索引'!$M:$M,0)))</f>
        <v/>
      </c>
      <c r="P35" s="133" t="str">
        <f>IF(INDEX('#建筑消耗和buff配置索引'!U:U,MATCH($F35,'#建筑消耗和buff配置索引'!$M:$M,0))=0,"",INDEX('#建筑消耗和buff配置索引'!U:U,MATCH($F35,'#建筑消耗和buff配置索引'!$M:$M,0)))</f>
        <v/>
      </c>
      <c r="Q35" s="133" t="str">
        <f>IF(INDEX('#建筑消耗和buff配置索引'!K:K,MATCH($F35,'#建筑消耗和buff配置索引'!$M:$M,0))=0,"",INDEX('#建筑消耗和buff配置索引'!K:K,MATCH($F35,'#建筑消耗和buff配置索引'!$M:$M,0)))</f>
        <v>201</v>
      </c>
      <c r="R35" s="133" t="str">
        <f>IF(INDEX('#建筑消耗和buff配置索引'!L:L,MATCH($F35,'#建筑消耗和buff配置索引'!$M:$M,0))=0,"",INDEX('#建筑消耗和buff配置索引'!L:L,MATCH($F35,'#建筑消耗和buff配置索引'!$M:$M,0)))</f>
        <v>2</v>
      </c>
      <c r="S35" s="133">
        <f>IF(INDEX('#建筑消耗和buff配置索引'!C:C,MATCH(F35,'#建筑消耗和buff配置索引'!M:M,0))=0,1,INDEX('#建筑消耗和buff配置索引'!C:C,MATCH(F35,'#建筑消耗和buff配置索引'!M:M,0)))</f>
        <v>1</v>
      </c>
      <c r="T35" s="133">
        <v>0</v>
      </c>
      <c r="U35" s="133">
        <v>0</v>
      </c>
      <c r="V35" s="133" t="str">
        <f>IF(E35=1,IF(INDEX('#建筑消耗和buff配置索引'!BY:BY,MATCH(D35,'#建筑消耗和buff配置索引'!A:A,0))=0,"",INDEX('#建筑消耗和buff配置索引'!BY:BY,MATCH(D35,'#建筑消耗和buff配置索引'!A:A,0))),"")</f>
        <v/>
      </c>
      <c r="W35" s="133" t="str">
        <f>IF(E35=1,IF(INDEX('#建筑消耗和buff配置索引'!BZ:BZ,MATCH(D35,'#建筑消耗和buff配置索引'!A:A,0))=0,"",INDEX('#建筑消耗和buff配置索引'!BZ:BZ,MATCH(D35,'#建筑消耗和buff配置索引'!A:A,0))),"")</f>
        <v/>
      </c>
      <c r="AA35" s="133">
        <f>INDEX('#建筑消耗和buff配置索引'!AO:AO,MATCH($F35,'#建筑消耗和buff配置索引'!$M:$M,0))</f>
        <v>4</v>
      </c>
      <c r="AB35" s="133">
        <f>IF(INDEX('#建筑消耗和buff配置索引'!AR:AR,MATCH($F35,'#建筑消耗和buff配置索引'!$M:$M,0))=0,"",INDEX('#建筑消耗和buff配置索引'!AR:AR,MATCH($F35,'#建筑消耗和buff配置索引'!$M:$M,0)))</f>
        <v>1200</v>
      </c>
      <c r="AC35" s="133">
        <f>IF(AB35="","",INDEX('#建筑消耗和buff配置索引'!AS:AS,MATCH($F35,'#建筑消耗和buff配置索引'!$M:$M,0)))</f>
        <v>2</v>
      </c>
      <c r="AF35" s="133" t="str">
        <f>IF(INDEX('#建筑消耗和buff配置索引'!AW:AW,MATCH($F35,'#建筑消耗和buff配置索引'!$M:$M,0))=0,"",INDEX('#建筑消耗和buff配置索引'!AW:AW,MATCH($F35,'#建筑消耗和buff配置索引'!$M:$M,0)))</f>
        <v/>
      </c>
      <c r="AG35" s="133" t="str">
        <f>IF(AF35="","",INDEX('#建筑消耗和buff配置索引'!AX:AX,MATCH($F35,'#建筑消耗和buff配置索引'!$M:$M,0)))</f>
        <v/>
      </c>
      <c r="AJ35" s="133" t="str">
        <f>IF(INDEX('#建筑消耗和buff配置索引'!BB:BB,MATCH($F35,'#建筑消耗和buff配置索引'!$M:$M,0))=0,"",INDEX('#建筑消耗和buff配置索引'!BB:BB,MATCH($F35,'#建筑消耗和buff配置索引'!$M:$M,0)))</f>
        <v/>
      </c>
      <c r="AK35" s="133" t="str">
        <f>IF(AJ35="","",INDEX('#建筑消耗和buff配置索引'!BC:BC,MATCH($F35,'#建筑消耗和buff配置索引'!$M:$M,0)))</f>
        <v/>
      </c>
      <c r="AN35" s="133" t="str">
        <f>IF(INDEX('#建筑消耗和buff配置索引'!BG:BG,MATCH($F35,'#建筑消耗和buff配置索引'!$M:$M,0))=0,"",INDEX('#建筑消耗和buff配置索引'!BG:BG,MATCH($F35,'#建筑消耗和buff配置索引'!$M:$M,0)))</f>
        <v/>
      </c>
      <c r="AO35" s="133" t="str">
        <f>IF(AN35="","",INDEX('#建筑消耗和buff配置索引'!BH:BH,MATCH($F35,'#建筑消耗和buff配置索引'!$M:$M,0)))</f>
        <v/>
      </c>
      <c r="AR35" s="133" t="str">
        <f>IF(INDEX('#建筑消耗和buff配置索引'!BK:BK,MATCH($F35,'#建筑消耗和buff配置索引'!$M:$M,0))=0,"",INDEX('#建筑消耗和buff配置索引'!BK:BK,MATCH($F35,'#建筑消耗和buff配置索引'!$M:$M,0)))</f>
        <v/>
      </c>
      <c r="AS35" s="133" t="str">
        <f>IF(AR35="","",INDEX('#建筑消耗和buff配置索引'!BL:BL,MATCH($F35,'#建筑消耗和buff配置索引'!$M:$M,0)))</f>
        <v/>
      </c>
      <c r="AV35" s="133" t="str">
        <f>IF(INDEX('#建筑消耗和buff配置索引'!BO:BO,MATCH($F35,'#建筑消耗和buff配置索引'!$M:$M,0))=0,"",INDEX('#建筑消耗和buff配置索引'!BO:BO,MATCH($F35,'#建筑消耗和buff配置索引'!$M:$M,0)))</f>
        <v/>
      </c>
      <c r="AW35" s="133" t="str">
        <f>IF(AV35="","",INDEX('#建筑消耗和buff配置索引'!BP:BP,MATCH($F35,'#建筑消耗和buff配置索引'!$M:$M,0)))</f>
        <v/>
      </c>
      <c r="AZ35" s="133" t="str">
        <f>IF(INDEX('#建筑消耗和buff配置索引'!BS:BS,MATCH($F35,'#建筑消耗和buff配置索引'!$M:$M,0))=0,"",INDEX('#建筑消耗和buff配置索引'!BS:BS,MATCH($F35,'#建筑消耗和buff配置索引'!$M:$M,0)))</f>
        <v/>
      </c>
      <c r="BA35" s="133" t="str">
        <f>IF(AZ35="","",INDEX('#建筑消耗和buff配置索引'!BT:BT,MATCH($F35,'#建筑消耗和buff配置索引'!$M:$M,0)))</f>
        <v/>
      </c>
      <c r="BD35" s="133" t="str">
        <f>IF(INDEX('#建筑消耗和buff配置索引'!BW:BW,MATCH($F35,'#建筑消耗和buff配置索引'!$M:$M,0))=0,"",INDEX('#建筑消耗和buff配置索引'!BW:BW,MATCH($F35,'#建筑消耗和buff配置索引'!$M:$M,0)))</f>
        <v/>
      </c>
      <c r="BE35" s="133" t="str">
        <f>IF(BD35="","",INDEX('#建筑消耗和buff配置索引'!BX:BX,MATCH($F35,'#建筑消耗和buff配置索引'!$M:$M,0)))</f>
        <v/>
      </c>
      <c r="BI35" s="133">
        <v>2</v>
      </c>
    </row>
    <row r="36" spans="1:66" s="133" customFormat="1">
      <c r="A36" s="133">
        <v>2020003</v>
      </c>
      <c r="B36" s="133">
        <v>33</v>
      </c>
      <c r="C36" s="133">
        <v>202</v>
      </c>
      <c r="D36" s="133" t="s">
        <v>154</v>
      </c>
      <c r="E36" s="133">
        <v>3</v>
      </c>
      <c r="F36" s="133" t="str">
        <f t="shared" si="0"/>
        <v>居民房舍3</v>
      </c>
      <c r="H36" s="146"/>
      <c r="I36" s="133" t="s">
        <v>1205</v>
      </c>
      <c r="J36" s="150">
        <f>INDEX('#建筑消耗和buff配置索引'!AH:AH,MATCH($F36,'#建筑消耗和buff配置索引'!$M:$M,0))</f>
        <v>54</v>
      </c>
      <c r="K36" s="150">
        <f>INDEX('#建筑消耗和buff配置索引'!AA:AA,MATCH($F36,'#建筑消耗和buff配置索引'!$M:$M,0))</f>
        <v>1000</v>
      </c>
      <c r="L36" s="150">
        <f>INDEX('#建筑消耗和buff配置索引'!AB:AB,MATCH($F36,'#建筑消耗和buff配置索引'!$M:$M,0))</f>
        <v>2000</v>
      </c>
      <c r="M36" s="150">
        <f>INDEX('#建筑消耗和buff配置索引'!AC:AC,MATCH($F36,'#建筑消耗和buff配置索引'!$M:$M,0))</f>
        <v>0</v>
      </c>
      <c r="N36" s="150">
        <f>INDEX('#建筑消耗和buff配置索引'!AD:AD,MATCH($F36,'#建筑消耗和buff配置索引'!$M:$M,0))</f>
        <v>0</v>
      </c>
      <c r="O36" s="150" t="str">
        <f>IF(INDEX('#建筑消耗和buff配置索引'!T:T,MATCH($F36,'#建筑消耗和buff配置索引'!$M:$M,0))=0,"",INDEX('#建筑消耗和buff配置索引'!T:T,MATCH($F36,'#建筑消耗和buff配置索引'!$M:$M,0)))</f>
        <v/>
      </c>
      <c r="P36" s="133" t="str">
        <f>IF(INDEX('#建筑消耗和buff配置索引'!U:U,MATCH($F36,'#建筑消耗和buff配置索引'!$M:$M,0))=0,"",INDEX('#建筑消耗和buff配置索引'!U:U,MATCH($F36,'#建筑消耗和buff配置索引'!$M:$M,0)))</f>
        <v/>
      </c>
      <c r="Q36" s="133" t="str">
        <f>IF(INDEX('#建筑消耗和buff配置索引'!K:K,MATCH($F36,'#建筑消耗和buff配置索引'!$M:$M,0))=0,"",INDEX('#建筑消耗和buff配置索引'!K:K,MATCH($F36,'#建筑消耗和buff配置索引'!$M:$M,0)))</f>
        <v>201</v>
      </c>
      <c r="R36" s="133" t="str">
        <f>IF(INDEX('#建筑消耗和buff配置索引'!L:L,MATCH($F36,'#建筑消耗和buff配置索引'!$M:$M,0))=0,"",INDEX('#建筑消耗和buff配置索引'!L:L,MATCH($F36,'#建筑消耗和buff配置索引'!$M:$M,0)))</f>
        <v>3</v>
      </c>
      <c r="S36" s="133">
        <f>IF(INDEX('#建筑消耗和buff配置索引'!C:C,MATCH(F36,'#建筑消耗和buff配置索引'!M:M,0))=0,1,INDEX('#建筑消耗和buff配置索引'!C:C,MATCH(F36,'#建筑消耗和buff配置索引'!M:M,0)))</f>
        <v>1</v>
      </c>
      <c r="T36" s="133">
        <v>0</v>
      </c>
      <c r="U36" s="133">
        <v>0</v>
      </c>
      <c r="V36" s="133" t="str">
        <f>IF(E36=1,IF(INDEX('#建筑消耗和buff配置索引'!BY:BY,MATCH(D36,'#建筑消耗和buff配置索引'!A:A,0))=0,"",INDEX('#建筑消耗和buff配置索引'!BY:BY,MATCH(D36,'#建筑消耗和buff配置索引'!A:A,0))),"")</f>
        <v/>
      </c>
      <c r="W36" s="133" t="str">
        <f>IF(E36=1,IF(INDEX('#建筑消耗和buff配置索引'!BZ:BZ,MATCH(D36,'#建筑消耗和buff配置索引'!A:A,0))=0,"",INDEX('#建筑消耗和buff配置索引'!BZ:BZ,MATCH(D36,'#建筑消耗和buff配置索引'!A:A,0))),"")</f>
        <v/>
      </c>
      <c r="AA36" s="133">
        <f>INDEX('#建筑消耗和buff配置索引'!AO:AO,MATCH($F36,'#建筑消耗和buff配置索引'!$M:$M,0))</f>
        <v>10</v>
      </c>
      <c r="AB36" s="133">
        <f>IF(INDEX('#建筑消耗和buff配置索引'!AR:AR,MATCH($F36,'#建筑消耗和buff配置索引'!$M:$M,0))=0,"",INDEX('#建筑消耗和buff配置索引'!AR:AR,MATCH($F36,'#建筑消耗和buff配置索引'!$M:$M,0)))</f>
        <v>1200</v>
      </c>
      <c r="AC36" s="133">
        <f>IF(AB36="","",INDEX('#建筑消耗和buff配置索引'!AS:AS,MATCH($F36,'#建筑消耗和buff配置索引'!$M:$M,0)))</f>
        <v>3</v>
      </c>
      <c r="AF36" s="133" t="str">
        <f>IF(INDEX('#建筑消耗和buff配置索引'!AW:AW,MATCH($F36,'#建筑消耗和buff配置索引'!$M:$M,0))=0,"",INDEX('#建筑消耗和buff配置索引'!AW:AW,MATCH($F36,'#建筑消耗和buff配置索引'!$M:$M,0)))</f>
        <v/>
      </c>
      <c r="AG36" s="133" t="str">
        <f>IF(AF36="","",INDEX('#建筑消耗和buff配置索引'!AX:AX,MATCH($F36,'#建筑消耗和buff配置索引'!$M:$M,0)))</f>
        <v/>
      </c>
      <c r="AJ36" s="133" t="str">
        <f>IF(INDEX('#建筑消耗和buff配置索引'!BB:BB,MATCH($F36,'#建筑消耗和buff配置索引'!$M:$M,0))=0,"",INDEX('#建筑消耗和buff配置索引'!BB:BB,MATCH($F36,'#建筑消耗和buff配置索引'!$M:$M,0)))</f>
        <v/>
      </c>
      <c r="AK36" s="133" t="str">
        <f>IF(AJ36="","",INDEX('#建筑消耗和buff配置索引'!BC:BC,MATCH($F36,'#建筑消耗和buff配置索引'!$M:$M,0)))</f>
        <v/>
      </c>
      <c r="AN36" s="133" t="str">
        <f>IF(INDEX('#建筑消耗和buff配置索引'!BG:BG,MATCH($F36,'#建筑消耗和buff配置索引'!$M:$M,0))=0,"",INDEX('#建筑消耗和buff配置索引'!BG:BG,MATCH($F36,'#建筑消耗和buff配置索引'!$M:$M,0)))</f>
        <v/>
      </c>
      <c r="AO36" s="133" t="str">
        <f>IF(AN36="","",INDEX('#建筑消耗和buff配置索引'!BH:BH,MATCH($F36,'#建筑消耗和buff配置索引'!$M:$M,0)))</f>
        <v/>
      </c>
      <c r="AR36" s="133" t="str">
        <f>IF(INDEX('#建筑消耗和buff配置索引'!BK:BK,MATCH($F36,'#建筑消耗和buff配置索引'!$M:$M,0))=0,"",INDEX('#建筑消耗和buff配置索引'!BK:BK,MATCH($F36,'#建筑消耗和buff配置索引'!$M:$M,0)))</f>
        <v/>
      </c>
      <c r="AS36" s="133" t="str">
        <f>IF(AR36="","",INDEX('#建筑消耗和buff配置索引'!BL:BL,MATCH($F36,'#建筑消耗和buff配置索引'!$M:$M,0)))</f>
        <v/>
      </c>
      <c r="AV36" s="133" t="str">
        <f>IF(INDEX('#建筑消耗和buff配置索引'!BO:BO,MATCH($F36,'#建筑消耗和buff配置索引'!$M:$M,0))=0,"",INDEX('#建筑消耗和buff配置索引'!BO:BO,MATCH($F36,'#建筑消耗和buff配置索引'!$M:$M,0)))</f>
        <v/>
      </c>
      <c r="AW36" s="133" t="str">
        <f>IF(AV36="","",INDEX('#建筑消耗和buff配置索引'!BP:BP,MATCH($F36,'#建筑消耗和buff配置索引'!$M:$M,0)))</f>
        <v/>
      </c>
      <c r="AZ36" s="133" t="str">
        <f>IF(INDEX('#建筑消耗和buff配置索引'!BS:BS,MATCH($F36,'#建筑消耗和buff配置索引'!$M:$M,0))=0,"",INDEX('#建筑消耗和buff配置索引'!BS:BS,MATCH($F36,'#建筑消耗和buff配置索引'!$M:$M,0)))</f>
        <v/>
      </c>
      <c r="BA36" s="133" t="str">
        <f>IF(AZ36="","",INDEX('#建筑消耗和buff配置索引'!BT:BT,MATCH($F36,'#建筑消耗和buff配置索引'!$M:$M,0)))</f>
        <v/>
      </c>
      <c r="BD36" s="133" t="str">
        <f>IF(INDEX('#建筑消耗和buff配置索引'!BW:BW,MATCH($F36,'#建筑消耗和buff配置索引'!$M:$M,0))=0,"",INDEX('#建筑消耗和buff配置索引'!BW:BW,MATCH($F36,'#建筑消耗和buff配置索引'!$M:$M,0)))</f>
        <v/>
      </c>
      <c r="BE36" s="133" t="str">
        <f>IF(BD36="","",INDEX('#建筑消耗和buff配置索引'!BX:BX,MATCH($F36,'#建筑消耗和buff配置索引'!$M:$M,0)))</f>
        <v/>
      </c>
      <c r="BI36" s="133">
        <v>2</v>
      </c>
    </row>
    <row r="37" spans="1:66" s="133" customFormat="1">
      <c r="A37" s="133">
        <v>2020004</v>
      </c>
      <c r="B37" s="133">
        <v>34</v>
      </c>
      <c r="C37" s="133">
        <v>202</v>
      </c>
      <c r="D37" s="133" t="s">
        <v>154</v>
      </c>
      <c r="E37" s="133">
        <v>4</v>
      </c>
      <c r="F37" s="133" t="str">
        <f t="shared" si="0"/>
        <v>居民房舍4</v>
      </c>
      <c r="H37" s="146"/>
      <c r="I37" s="133" t="s">
        <v>1205</v>
      </c>
      <c r="J37" s="150">
        <f>INDEX('#建筑消耗和buff配置索引'!AH:AH,MATCH($F37,'#建筑消耗和buff配置索引'!$M:$M,0))</f>
        <v>108</v>
      </c>
      <c r="K37" s="150">
        <f>INDEX('#建筑消耗和buff配置索引'!AA:AA,MATCH($F37,'#建筑消耗和buff配置索引'!$M:$M,0))</f>
        <v>2000</v>
      </c>
      <c r="L37" s="150">
        <f>INDEX('#建筑消耗和buff配置索引'!AB:AB,MATCH($F37,'#建筑消耗和buff配置索引'!$M:$M,0))</f>
        <v>4000</v>
      </c>
      <c r="M37" s="150">
        <f>INDEX('#建筑消耗和buff配置索引'!AC:AC,MATCH($F37,'#建筑消耗和buff配置索引'!$M:$M,0))</f>
        <v>0</v>
      </c>
      <c r="N37" s="150">
        <f>INDEX('#建筑消耗和buff配置索引'!AD:AD,MATCH($F37,'#建筑消耗和buff配置索引'!$M:$M,0))</f>
        <v>0</v>
      </c>
      <c r="O37" s="150" t="str">
        <f>IF(INDEX('#建筑消耗和buff配置索引'!T:T,MATCH($F37,'#建筑消耗和buff配置索引'!$M:$M,0))=0,"",INDEX('#建筑消耗和buff配置索引'!T:T,MATCH($F37,'#建筑消耗和buff配置索引'!$M:$M,0)))</f>
        <v/>
      </c>
      <c r="P37" s="133" t="str">
        <f>IF(INDEX('#建筑消耗和buff配置索引'!U:U,MATCH($F37,'#建筑消耗和buff配置索引'!$M:$M,0))=0,"",INDEX('#建筑消耗和buff配置索引'!U:U,MATCH($F37,'#建筑消耗和buff配置索引'!$M:$M,0)))</f>
        <v/>
      </c>
      <c r="Q37" s="133" t="str">
        <f>IF(INDEX('#建筑消耗和buff配置索引'!K:K,MATCH($F37,'#建筑消耗和buff配置索引'!$M:$M,0))=0,"",INDEX('#建筑消耗和buff配置索引'!K:K,MATCH($F37,'#建筑消耗和buff配置索引'!$M:$M,0)))</f>
        <v>201</v>
      </c>
      <c r="R37" s="133" t="str">
        <f>IF(INDEX('#建筑消耗和buff配置索引'!L:L,MATCH($F37,'#建筑消耗和buff配置索引'!$M:$M,0))=0,"",INDEX('#建筑消耗和buff配置索引'!L:L,MATCH($F37,'#建筑消耗和buff配置索引'!$M:$M,0)))</f>
        <v>4</v>
      </c>
      <c r="S37" s="133">
        <f>IF(INDEX('#建筑消耗和buff配置索引'!C:C,MATCH(F37,'#建筑消耗和buff配置索引'!M:M,0))=0,1,INDEX('#建筑消耗和buff配置索引'!C:C,MATCH(F37,'#建筑消耗和buff配置索引'!M:M,0)))</f>
        <v>1</v>
      </c>
      <c r="T37" s="133">
        <v>0</v>
      </c>
      <c r="U37" s="133">
        <v>0</v>
      </c>
      <c r="V37" s="133" t="str">
        <f>IF(E37=1,IF(INDEX('#建筑消耗和buff配置索引'!BY:BY,MATCH(D37,'#建筑消耗和buff配置索引'!A:A,0))=0,"",INDEX('#建筑消耗和buff配置索引'!BY:BY,MATCH(D37,'#建筑消耗和buff配置索引'!A:A,0))),"")</f>
        <v/>
      </c>
      <c r="W37" s="133" t="str">
        <f>IF(E37=1,IF(INDEX('#建筑消耗和buff配置索引'!BZ:BZ,MATCH(D37,'#建筑消耗和buff配置索引'!A:A,0))=0,"",INDEX('#建筑消耗和buff配置索引'!BZ:BZ,MATCH(D37,'#建筑消耗和buff配置索引'!A:A,0))),"")</f>
        <v/>
      </c>
      <c r="AA37" s="133">
        <f>INDEX('#建筑消耗和buff配置索引'!AO:AO,MATCH($F37,'#建筑消耗和buff配置索引'!$M:$M,0))</f>
        <v>22</v>
      </c>
      <c r="AB37" s="133">
        <f>IF(INDEX('#建筑消耗和buff配置索引'!AR:AR,MATCH($F37,'#建筑消耗和buff配置索引'!$M:$M,0))=0,"",INDEX('#建筑消耗和buff配置索引'!AR:AR,MATCH($F37,'#建筑消耗和buff配置索引'!$M:$M,0)))</f>
        <v>1200</v>
      </c>
      <c r="AC37" s="133">
        <f>IF(AB37="","",INDEX('#建筑消耗和buff配置索引'!AS:AS,MATCH($F37,'#建筑消耗和buff配置索引'!$M:$M,0)))</f>
        <v>4</v>
      </c>
      <c r="AF37" s="133" t="str">
        <f>IF(INDEX('#建筑消耗和buff配置索引'!AW:AW,MATCH($F37,'#建筑消耗和buff配置索引'!$M:$M,0))=0,"",INDEX('#建筑消耗和buff配置索引'!AW:AW,MATCH($F37,'#建筑消耗和buff配置索引'!$M:$M,0)))</f>
        <v/>
      </c>
      <c r="AG37" s="133" t="str">
        <f>IF(AF37="","",INDEX('#建筑消耗和buff配置索引'!AX:AX,MATCH($F37,'#建筑消耗和buff配置索引'!$M:$M,0)))</f>
        <v/>
      </c>
      <c r="AJ37" s="133" t="str">
        <f>IF(INDEX('#建筑消耗和buff配置索引'!BB:BB,MATCH($F37,'#建筑消耗和buff配置索引'!$M:$M,0))=0,"",INDEX('#建筑消耗和buff配置索引'!BB:BB,MATCH($F37,'#建筑消耗和buff配置索引'!$M:$M,0)))</f>
        <v/>
      </c>
      <c r="AK37" s="133" t="str">
        <f>IF(AJ37="","",INDEX('#建筑消耗和buff配置索引'!BC:BC,MATCH($F37,'#建筑消耗和buff配置索引'!$M:$M,0)))</f>
        <v/>
      </c>
      <c r="AN37" s="133" t="str">
        <f>IF(INDEX('#建筑消耗和buff配置索引'!BG:BG,MATCH($F37,'#建筑消耗和buff配置索引'!$M:$M,0))=0,"",INDEX('#建筑消耗和buff配置索引'!BG:BG,MATCH($F37,'#建筑消耗和buff配置索引'!$M:$M,0)))</f>
        <v/>
      </c>
      <c r="AO37" s="133" t="str">
        <f>IF(AN37="","",INDEX('#建筑消耗和buff配置索引'!BH:BH,MATCH($F37,'#建筑消耗和buff配置索引'!$M:$M,0)))</f>
        <v/>
      </c>
      <c r="AR37" s="133" t="str">
        <f>IF(INDEX('#建筑消耗和buff配置索引'!BK:BK,MATCH($F37,'#建筑消耗和buff配置索引'!$M:$M,0))=0,"",INDEX('#建筑消耗和buff配置索引'!BK:BK,MATCH($F37,'#建筑消耗和buff配置索引'!$M:$M,0)))</f>
        <v/>
      </c>
      <c r="AS37" s="133" t="str">
        <f>IF(AR37="","",INDEX('#建筑消耗和buff配置索引'!BL:BL,MATCH($F37,'#建筑消耗和buff配置索引'!$M:$M,0)))</f>
        <v/>
      </c>
      <c r="AV37" s="133" t="str">
        <f>IF(INDEX('#建筑消耗和buff配置索引'!BO:BO,MATCH($F37,'#建筑消耗和buff配置索引'!$M:$M,0))=0,"",INDEX('#建筑消耗和buff配置索引'!BO:BO,MATCH($F37,'#建筑消耗和buff配置索引'!$M:$M,0)))</f>
        <v/>
      </c>
      <c r="AW37" s="133" t="str">
        <f>IF(AV37="","",INDEX('#建筑消耗和buff配置索引'!BP:BP,MATCH($F37,'#建筑消耗和buff配置索引'!$M:$M,0)))</f>
        <v/>
      </c>
      <c r="AZ37" s="133" t="str">
        <f>IF(INDEX('#建筑消耗和buff配置索引'!BS:BS,MATCH($F37,'#建筑消耗和buff配置索引'!$M:$M,0))=0,"",INDEX('#建筑消耗和buff配置索引'!BS:BS,MATCH($F37,'#建筑消耗和buff配置索引'!$M:$M,0)))</f>
        <v/>
      </c>
      <c r="BA37" s="133" t="str">
        <f>IF(AZ37="","",INDEX('#建筑消耗和buff配置索引'!BT:BT,MATCH($F37,'#建筑消耗和buff配置索引'!$M:$M,0)))</f>
        <v/>
      </c>
      <c r="BD37" s="133" t="str">
        <f>IF(INDEX('#建筑消耗和buff配置索引'!BW:BW,MATCH($F37,'#建筑消耗和buff配置索引'!$M:$M,0))=0,"",INDEX('#建筑消耗和buff配置索引'!BW:BW,MATCH($F37,'#建筑消耗和buff配置索引'!$M:$M,0)))</f>
        <v/>
      </c>
      <c r="BE37" s="133" t="str">
        <f>IF(BD37="","",INDEX('#建筑消耗和buff配置索引'!BX:BX,MATCH($F37,'#建筑消耗和buff配置索引'!$M:$M,0)))</f>
        <v/>
      </c>
      <c r="BI37" s="133">
        <v>2</v>
      </c>
    </row>
    <row r="38" spans="1:66" s="133" customFormat="1">
      <c r="A38" s="133">
        <v>2020005</v>
      </c>
      <c r="B38" s="133">
        <v>35</v>
      </c>
      <c r="C38" s="133">
        <v>202</v>
      </c>
      <c r="D38" s="133" t="s">
        <v>154</v>
      </c>
      <c r="E38" s="133">
        <v>5</v>
      </c>
      <c r="F38" s="133" t="str">
        <f t="shared" si="0"/>
        <v>居民房舍5</v>
      </c>
      <c r="H38" s="146"/>
      <c r="I38" s="133">
        <v>1</v>
      </c>
      <c r="J38" s="150">
        <f>INDEX('#建筑消耗和buff配置索引'!AH:AH,MATCH($F38,'#建筑消耗和buff配置索引'!$M:$M,0))</f>
        <v>225</v>
      </c>
      <c r="K38" s="150">
        <f>INDEX('#建筑消耗和buff配置索引'!AA:AA,MATCH($F38,'#建筑消耗和buff配置索引'!$M:$M,0))</f>
        <v>2900</v>
      </c>
      <c r="L38" s="150">
        <f>INDEX('#建筑消耗和buff配置索引'!AB:AB,MATCH($F38,'#建筑消耗和buff配置索引'!$M:$M,0))</f>
        <v>5800</v>
      </c>
      <c r="M38" s="150">
        <f>INDEX('#建筑消耗和buff配置索引'!AC:AC,MATCH($F38,'#建筑消耗和buff配置索引'!$M:$M,0))</f>
        <v>2900</v>
      </c>
      <c r="N38" s="150">
        <f>INDEX('#建筑消耗和buff配置索引'!AD:AD,MATCH($F38,'#建筑消耗和buff配置索引'!$M:$M,0))</f>
        <v>0</v>
      </c>
      <c r="O38" s="150" t="str">
        <f>IF(INDEX('#建筑消耗和buff配置索引'!T:T,MATCH($F38,'#建筑消耗和buff配置索引'!$M:$M,0))=0,"",INDEX('#建筑消耗和buff配置索引'!T:T,MATCH($F38,'#建筑消耗和buff配置索引'!$M:$M,0)))</f>
        <v/>
      </c>
      <c r="P38" s="133" t="str">
        <f>IF(INDEX('#建筑消耗和buff配置索引'!U:U,MATCH($F38,'#建筑消耗和buff配置索引'!$M:$M,0))=0,"",INDEX('#建筑消耗和buff配置索引'!U:U,MATCH($F38,'#建筑消耗和buff配置索引'!$M:$M,0)))</f>
        <v/>
      </c>
      <c r="Q38" s="133" t="str">
        <f>IF(INDEX('#建筑消耗和buff配置索引'!K:K,MATCH($F38,'#建筑消耗和buff配置索引'!$M:$M,0))=0,"",INDEX('#建筑消耗和buff配置索引'!K:K,MATCH($F38,'#建筑消耗和buff配置索引'!$M:$M,0)))</f>
        <v>201</v>
      </c>
      <c r="R38" s="133" t="str">
        <f>IF(INDEX('#建筑消耗和buff配置索引'!L:L,MATCH($F38,'#建筑消耗和buff配置索引'!$M:$M,0))=0,"",INDEX('#建筑消耗和buff配置索引'!L:L,MATCH($F38,'#建筑消耗和buff配置索引'!$M:$M,0)))</f>
        <v>5</v>
      </c>
      <c r="S38" s="133">
        <f>IF(INDEX('#建筑消耗和buff配置索引'!C:C,MATCH(F38,'#建筑消耗和buff配置索引'!M:M,0))=0,1,INDEX('#建筑消耗和buff配置索引'!C:C,MATCH(F38,'#建筑消耗和buff配置索引'!M:M,0)))</f>
        <v>1</v>
      </c>
      <c r="T38" s="133">
        <v>0</v>
      </c>
      <c r="U38" s="133">
        <v>0</v>
      </c>
      <c r="V38" s="133" t="str">
        <f>IF(E38=1,IF(INDEX('#建筑消耗和buff配置索引'!BY:BY,MATCH(D38,'#建筑消耗和buff配置索引'!A:A,0))=0,"",INDEX('#建筑消耗和buff配置索引'!BY:BY,MATCH(D38,'#建筑消耗和buff配置索引'!A:A,0))),"")</f>
        <v/>
      </c>
      <c r="W38" s="133" t="str">
        <f>IF(E38=1,IF(INDEX('#建筑消耗和buff配置索引'!BZ:BZ,MATCH(D38,'#建筑消耗和buff配置索引'!A:A,0))=0,"",INDEX('#建筑消耗和buff配置索引'!BZ:BZ,MATCH(D38,'#建筑消耗和buff配置索引'!A:A,0))),"")</f>
        <v/>
      </c>
      <c r="AA38" s="133">
        <f>INDEX('#建筑消耗和buff配置索引'!AO:AO,MATCH($F38,'#建筑消耗和buff配置索引'!$M:$M,0))</f>
        <v>45</v>
      </c>
      <c r="AB38" s="133">
        <f>IF(INDEX('#建筑消耗和buff配置索引'!AR:AR,MATCH($F38,'#建筑消耗和buff配置索引'!$M:$M,0))=0,"",INDEX('#建筑消耗和buff配置索引'!AR:AR,MATCH($F38,'#建筑消耗和buff配置索引'!$M:$M,0)))</f>
        <v>1200</v>
      </c>
      <c r="AC38" s="133">
        <f>IF(AB38="","",INDEX('#建筑消耗和buff配置索引'!AS:AS,MATCH($F38,'#建筑消耗和buff配置索引'!$M:$M,0)))</f>
        <v>5</v>
      </c>
      <c r="AF38" s="133" t="str">
        <f>IF(INDEX('#建筑消耗和buff配置索引'!AW:AW,MATCH($F38,'#建筑消耗和buff配置索引'!$M:$M,0))=0,"",INDEX('#建筑消耗和buff配置索引'!AW:AW,MATCH($F38,'#建筑消耗和buff配置索引'!$M:$M,0)))</f>
        <v/>
      </c>
      <c r="AG38" s="133" t="str">
        <f>IF(AF38="","",INDEX('#建筑消耗和buff配置索引'!AX:AX,MATCH($F38,'#建筑消耗和buff配置索引'!$M:$M,0)))</f>
        <v/>
      </c>
      <c r="AJ38" s="133" t="str">
        <f>IF(INDEX('#建筑消耗和buff配置索引'!BB:BB,MATCH($F38,'#建筑消耗和buff配置索引'!$M:$M,0))=0,"",INDEX('#建筑消耗和buff配置索引'!BB:BB,MATCH($F38,'#建筑消耗和buff配置索引'!$M:$M,0)))</f>
        <v/>
      </c>
      <c r="AK38" s="133" t="str">
        <f>IF(AJ38="","",INDEX('#建筑消耗和buff配置索引'!BC:BC,MATCH($F38,'#建筑消耗和buff配置索引'!$M:$M,0)))</f>
        <v/>
      </c>
      <c r="AN38" s="133" t="str">
        <f>IF(INDEX('#建筑消耗和buff配置索引'!BG:BG,MATCH($F38,'#建筑消耗和buff配置索引'!$M:$M,0))=0,"",INDEX('#建筑消耗和buff配置索引'!BG:BG,MATCH($F38,'#建筑消耗和buff配置索引'!$M:$M,0)))</f>
        <v/>
      </c>
      <c r="AO38" s="133" t="str">
        <f>IF(AN38="","",INDEX('#建筑消耗和buff配置索引'!BH:BH,MATCH($F38,'#建筑消耗和buff配置索引'!$M:$M,0)))</f>
        <v/>
      </c>
      <c r="AR38" s="133" t="str">
        <f>IF(INDEX('#建筑消耗和buff配置索引'!BK:BK,MATCH($F38,'#建筑消耗和buff配置索引'!$M:$M,0))=0,"",INDEX('#建筑消耗和buff配置索引'!BK:BK,MATCH($F38,'#建筑消耗和buff配置索引'!$M:$M,0)))</f>
        <v/>
      </c>
      <c r="AS38" s="133" t="str">
        <f>IF(AR38="","",INDEX('#建筑消耗和buff配置索引'!BL:BL,MATCH($F38,'#建筑消耗和buff配置索引'!$M:$M,0)))</f>
        <v/>
      </c>
      <c r="AV38" s="133" t="str">
        <f>IF(INDEX('#建筑消耗和buff配置索引'!BO:BO,MATCH($F38,'#建筑消耗和buff配置索引'!$M:$M,0))=0,"",INDEX('#建筑消耗和buff配置索引'!BO:BO,MATCH($F38,'#建筑消耗和buff配置索引'!$M:$M,0)))</f>
        <v/>
      </c>
      <c r="AW38" s="133" t="str">
        <f>IF(AV38="","",INDEX('#建筑消耗和buff配置索引'!BP:BP,MATCH($F38,'#建筑消耗和buff配置索引'!$M:$M,0)))</f>
        <v/>
      </c>
      <c r="AZ38" s="133" t="str">
        <f>IF(INDEX('#建筑消耗和buff配置索引'!BS:BS,MATCH($F38,'#建筑消耗和buff配置索引'!$M:$M,0))=0,"",INDEX('#建筑消耗和buff配置索引'!BS:BS,MATCH($F38,'#建筑消耗和buff配置索引'!$M:$M,0)))</f>
        <v/>
      </c>
      <c r="BA38" s="133" t="str">
        <f>IF(AZ38="","",INDEX('#建筑消耗和buff配置索引'!BT:BT,MATCH($F38,'#建筑消耗和buff配置索引'!$M:$M,0)))</f>
        <v/>
      </c>
      <c r="BD38" s="133" t="str">
        <f>IF(INDEX('#建筑消耗和buff配置索引'!BW:BW,MATCH($F38,'#建筑消耗和buff配置索引'!$M:$M,0))=0,"",INDEX('#建筑消耗和buff配置索引'!BW:BW,MATCH($F38,'#建筑消耗和buff配置索引'!$M:$M,0)))</f>
        <v/>
      </c>
      <c r="BE38" s="133" t="str">
        <f>IF(BD38="","",INDEX('#建筑消耗和buff配置索引'!BX:BX,MATCH($F38,'#建筑消耗和buff配置索引'!$M:$M,0)))</f>
        <v/>
      </c>
      <c r="BI38" s="133">
        <v>2</v>
      </c>
      <c r="BJ38" s="133">
        <v>299</v>
      </c>
    </row>
    <row r="39" spans="1:66" s="133" customFormat="1">
      <c r="A39" s="133">
        <v>2020006</v>
      </c>
      <c r="B39" s="133">
        <v>36</v>
      </c>
      <c r="C39" s="133">
        <v>202</v>
      </c>
      <c r="D39" s="133" t="s">
        <v>154</v>
      </c>
      <c r="E39" s="133">
        <v>6</v>
      </c>
      <c r="F39" s="133" t="str">
        <f t="shared" si="0"/>
        <v>居民房舍6</v>
      </c>
      <c r="H39" s="146"/>
      <c r="I39" s="133">
        <v>1</v>
      </c>
      <c r="J39" s="150">
        <f>INDEX('#建筑消耗和buff配置索引'!AH:AH,MATCH($F39,'#建筑消耗和buff配置索引'!$M:$M,0))</f>
        <v>405</v>
      </c>
      <c r="K39" s="150">
        <f>INDEX('#建筑消耗和buff配置索引'!AA:AA,MATCH($F39,'#建筑消耗和buff配置索引'!$M:$M,0))</f>
        <v>5400</v>
      </c>
      <c r="L39" s="150">
        <f>INDEX('#建筑消耗和buff配置索引'!AB:AB,MATCH($F39,'#建筑消耗和buff配置索引'!$M:$M,0))</f>
        <v>11000</v>
      </c>
      <c r="M39" s="150">
        <f>INDEX('#建筑消耗和buff配置索引'!AC:AC,MATCH($F39,'#建筑消耗和buff配置索引'!$M:$M,0))</f>
        <v>5400</v>
      </c>
      <c r="N39" s="150">
        <f>INDEX('#建筑消耗和buff配置索引'!AD:AD,MATCH($F39,'#建筑消耗和buff配置索引'!$M:$M,0))</f>
        <v>0</v>
      </c>
      <c r="O39" s="150" t="str">
        <f>IF(INDEX('#建筑消耗和buff配置索引'!T:T,MATCH($F39,'#建筑消耗和buff配置索引'!$M:$M,0))=0,"",INDEX('#建筑消耗和buff配置索引'!T:T,MATCH($F39,'#建筑消耗和buff配置索引'!$M:$M,0)))</f>
        <v/>
      </c>
      <c r="P39" s="133" t="str">
        <f>IF(INDEX('#建筑消耗和buff配置索引'!U:U,MATCH($F39,'#建筑消耗和buff配置索引'!$M:$M,0))=0,"",INDEX('#建筑消耗和buff配置索引'!U:U,MATCH($F39,'#建筑消耗和buff配置索引'!$M:$M,0)))</f>
        <v/>
      </c>
      <c r="Q39" s="133" t="str">
        <f>IF(INDEX('#建筑消耗和buff配置索引'!K:K,MATCH($F39,'#建筑消耗和buff配置索引'!$M:$M,0))=0,"",INDEX('#建筑消耗和buff配置索引'!K:K,MATCH($F39,'#建筑消耗和buff配置索引'!$M:$M,0)))</f>
        <v>201</v>
      </c>
      <c r="R39" s="133" t="str">
        <f>IF(INDEX('#建筑消耗和buff配置索引'!L:L,MATCH($F39,'#建筑消耗和buff配置索引'!$M:$M,0))=0,"",INDEX('#建筑消耗和buff配置索引'!L:L,MATCH($F39,'#建筑消耗和buff配置索引'!$M:$M,0)))</f>
        <v>6</v>
      </c>
      <c r="S39" s="133">
        <f>IF(INDEX('#建筑消耗和buff配置索引'!C:C,MATCH(F39,'#建筑消耗和buff配置索引'!M:M,0))=0,1,INDEX('#建筑消耗和buff配置索引'!C:C,MATCH(F39,'#建筑消耗和buff配置索引'!M:M,0)))</f>
        <v>1</v>
      </c>
      <c r="T39" s="133">
        <v>0</v>
      </c>
      <c r="U39" s="133">
        <v>0</v>
      </c>
      <c r="V39" s="133" t="str">
        <f>IF(E39=1,IF(INDEX('#建筑消耗和buff配置索引'!BY:BY,MATCH(D39,'#建筑消耗和buff配置索引'!A:A,0))=0,"",INDEX('#建筑消耗和buff配置索引'!BY:BY,MATCH(D39,'#建筑消耗和buff配置索引'!A:A,0))),"")</f>
        <v/>
      </c>
      <c r="W39" s="133" t="str">
        <f>IF(E39=1,IF(INDEX('#建筑消耗和buff配置索引'!BZ:BZ,MATCH(D39,'#建筑消耗和buff配置索引'!A:A,0))=0,"",INDEX('#建筑消耗和buff配置索引'!BZ:BZ,MATCH(D39,'#建筑消耗和buff配置索引'!A:A,0))),"")</f>
        <v/>
      </c>
      <c r="AA39" s="133">
        <f>INDEX('#建筑消耗和buff配置索引'!AO:AO,MATCH($F39,'#建筑消耗和buff配置索引'!$M:$M,0))</f>
        <v>88</v>
      </c>
      <c r="AB39" s="133">
        <f>IF(INDEX('#建筑消耗和buff配置索引'!AR:AR,MATCH($F39,'#建筑消耗和buff配置索引'!$M:$M,0))=0,"",INDEX('#建筑消耗和buff配置索引'!AR:AR,MATCH($F39,'#建筑消耗和buff配置索引'!$M:$M,0)))</f>
        <v>1200</v>
      </c>
      <c r="AC39" s="133">
        <f>IF(AB39="","",INDEX('#建筑消耗和buff配置索引'!AS:AS,MATCH($F39,'#建筑消耗和buff配置索引'!$M:$M,0)))</f>
        <v>6</v>
      </c>
      <c r="AF39" s="133" t="str">
        <f>IF(INDEX('#建筑消耗和buff配置索引'!AW:AW,MATCH($F39,'#建筑消耗和buff配置索引'!$M:$M,0))=0,"",INDEX('#建筑消耗和buff配置索引'!AW:AW,MATCH($F39,'#建筑消耗和buff配置索引'!$M:$M,0)))</f>
        <v/>
      </c>
      <c r="AG39" s="133" t="str">
        <f>IF(AF39="","",INDEX('#建筑消耗和buff配置索引'!AX:AX,MATCH($F39,'#建筑消耗和buff配置索引'!$M:$M,0)))</f>
        <v/>
      </c>
      <c r="AJ39" s="133" t="str">
        <f>IF(INDEX('#建筑消耗和buff配置索引'!BB:BB,MATCH($F39,'#建筑消耗和buff配置索引'!$M:$M,0))=0,"",INDEX('#建筑消耗和buff配置索引'!BB:BB,MATCH($F39,'#建筑消耗和buff配置索引'!$M:$M,0)))</f>
        <v/>
      </c>
      <c r="AK39" s="133" t="str">
        <f>IF(AJ39="","",INDEX('#建筑消耗和buff配置索引'!BC:BC,MATCH($F39,'#建筑消耗和buff配置索引'!$M:$M,0)))</f>
        <v/>
      </c>
      <c r="AN39" s="133" t="str">
        <f>IF(INDEX('#建筑消耗和buff配置索引'!BG:BG,MATCH($F39,'#建筑消耗和buff配置索引'!$M:$M,0))=0,"",INDEX('#建筑消耗和buff配置索引'!BG:BG,MATCH($F39,'#建筑消耗和buff配置索引'!$M:$M,0)))</f>
        <v/>
      </c>
      <c r="AO39" s="133" t="str">
        <f>IF(AN39="","",INDEX('#建筑消耗和buff配置索引'!BH:BH,MATCH($F39,'#建筑消耗和buff配置索引'!$M:$M,0)))</f>
        <v/>
      </c>
      <c r="AR39" s="133" t="str">
        <f>IF(INDEX('#建筑消耗和buff配置索引'!BK:BK,MATCH($F39,'#建筑消耗和buff配置索引'!$M:$M,0))=0,"",INDEX('#建筑消耗和buff配置索引'!BK:BK,MATCH($F39,'#建筑消耗和buff配置索引'!$M:$M,0)))</f>
        <v/>
      </c>
      <c r="AS39" s="133" t="str">
        <f>IF(AR39="","",INDEX('#建筑消耗和buff配置索引'!BL:BL,MATCH($F39,'#建筑消耗和buff配置索引'!$M:$M,0)))</f>
        <v/>
      </c>
      <c r="AV39" s="133" t="str">
        <f>IF(INDEX('#建筑消耗和buff配置索引'!BO:BO,MATCH($F39,'#建筑消耗和buff配置索引'!$M:$M,0))=0,"",INDEX('#建筑消耗和buff配置索引'!BO:BO,MATCH($F39,'#建筑消耗和buff配置索引'!$M:$M,0)))</f>
        <v/>
      </c>
      <c r="AW39" s="133" t="str">
        <f>IF(AV39="","",INDEX('#建筑消耗和buff配置索引'!BP:BP,MATCH($F39,'#建筑消耗和buff配置索引'!$M:$M,0)))</f>
        <v/>
      </c>
      <c r="AZ39" s="133" t="str">
        <f>IF(INDEX('#建筑消耗和buff配置索引'!BS:BS,MATCH($F39,'#建筑消耗和buff配置索引'!$M:$M,0))=0,"",INDEX('#建筑消耗和buff配置索引'!BS:BS,MATCH($F39,'#建筑消耗和buff配置索引'!$M:$M,0)))</f>
        <v/>
      </c>
      <c r="BA39" s="133" t="str">
        <f>IF(AZ39="","",INDEX('#建筑消耗和buff配置索引'!BT:BT,MATCH($F39,'#建筑消耗和buff配置索引'!$M:$M,0)))</f>
        <v/>
      </c>
      <c r="BD39" s="133" t="str">
        <f>IF(INDEX('#建筑消耗和buff配置索引'!BW:BW,MATCH($F39,'#建筑消耗和buff配置索引'!$M:$M,0))=0,"",INDEX('#建筑消耗和buff配置索引'!BW:BW,MATCH($F39,'#建筑消耗和buff配置索引'!$M:$M,0)))</f>
        <v/>
      </c>
      <c r="BE39" s="133" t="str">
        <f>IF(BD39="","",INDEX('#建筑消耗和buff配置索引'!BX:BX,MATCH($F39,'#建筑消耗和buff配置索引'!$M:$M,0)))</f>
        <v/>
      </c>
      <c r="BI39" s="133">
        <v>2</v>
      </c>
      <c r="BJ39" s="133">
        <v>299</v>
      </c>
    </row>
    <row r="40" spans="1:66" s="133" customFormat="1">
      <c r="A40" s="133">
        <v>2020007</v>
      </c>
      <c r="B40" s="133">
        <v>37</v>
      </c>
      <c r="C40" s="133">
        <v>202</v>
      </c>
      <c r="D40" s="133" t="s">
        <v>154</v>
      </c>
      <c r="E40" s="133">
        <v>7</v>
      </c>
      <c r="F40" s="133" t="str">
        <f t="shared" si="0"/>
        <v>居民房舍7</v>
      </c>
      <c r="H40" s="146"/>
      <c r="I40" s="133">
        <v>1</v>
      </c>
      <c r="J40" s="150">
        <f>INDEX('#建筑消耗和buff配置索引'!AH:AH,MATCH($F40,'#建筑消耗和buff配置索引'!$M:$M,0))</f>
        <v>675</v>
      </c>
      <c r="K40" s="150">
        <f>INDEX('#建筑消耗和buff配置索引'!AA:AA,MATCH($F40,'#建筑消耗和buff配置索引'!$M:$M,0))</f>
        <v>9600</v>
      </c>
      <c r="L40" s="150">
        <f>INDEX('#建筑消耗和buff配置索引'!AB:AB,MATCH($F40,'#建筑消耗和buff配置索引'!$M:$M,0))</f>
        <v>19000</v>
      </c>
      <c r="M40" s="150">
        <f>INDEX('#建筑消耗和buff配置索引'!AC:AC,MATCH($F40,'#建筑消耗和buff配置索引'!$M:$M,0))</f>
        <v>9600</v>
      </c>
      <c r="N40" s="150">
        <f>INDEX('#建筑消耗和buff配置索引'!AD:AD,MATCH($F40,'#建筑消耗和buff配置索引'!$M:$M,0))</f>
        <v>0</v>
      </c>
      <c r="O40" s="150" t="str">
        <f>IF(INDEX('#建筑消耗和buff配置索引'!T:T,MATCH($F40,'#建筑消耗和buff配置索引'!$M:$M,0))=0,"",INDEX('#建筑消耗和buff配置索引'!T:T,MATCH($F40,'#建筑消耗和buff配置索引'!$M:$M,0)))</f>
        <v/>
      </c>
      <c r="P40" s="133" t="str">
        <f>IF(INDEX('#建筑消耗和buff配置索引'!U:U,MATCH($F40,'#建筑消耗和buff配置索引'!$M:$M,0))=0,"",INDEX('#建筑消耗和buff配置索引'!U:U,MATCH($F40,'#建筑消耗和buff配置索引'!$M:$M,0)))</f>
        <v/>
      </c>
      <c r="Q40" s="133" t="str">
        <f>IF(INDEX('#建筑消耗和buff配置索引'!K:K,MATCH($F40,'#建筑消耗和buff配置索引'!$M:$M,0))=0,"",INDEX('#建筑消耗和buff配置索引'!K:K,MATCH($F40,'#建筑消耗和buff配置索引'!$M:$M,0)))</f>
        <v>201</v>
      </c>
      <c r="R40" s="133" t="str">
        <f>IF(INDEX('#建筑消耗和buff配置索引'!L:L,MATCH($F40,'#建筑消耗和buff配置索引'!$M:$M,0))=0,"",INDEX('#建筑消耗和buff配置索引'!L:L,MATCH($F40,'#建筑消耗和buff配置索引'!$M:$M,0)))</f>
        <v>7</v>
      </c>
      <c r="S40" s="133">
        <f>IF(INDEX('#建筑消耗和buff配置索引'!C:C,MATCH(F40,'#建筑消耗和buff配置索引'!M:M,0))=0,1,INDEX('#建筑消耗和buff配置索引'!C:C,MATCH(F40,'#建筑消耗和buff配置索引'!M:M,0)))</f>
        <v>1</v>
      </c>
      <c r="T40" s="133">
        <v>0</v>
      </c>
      <c r="U40" s="133">
        <v>0</v>
      </c>
      <c r="V40" s="133" t="str">
        <f>IF(E40=1,IF(INDEX('#建筑消耗和buff配置索引'!BY:BY,MATCH(D40,'#建筑消耗和buff配置索引'!A:A,0))=0,"",INDEX('#建筑消耗和buff配置索引'!BY:BY,MATCH(D40,'#建筑消耗和buff配置索引'!A:A,0))),"")</f>
        <v/>
      </c>
      <c r="W40" s="133" t="str">
        <f>IF(E40=1,IF(INDEX('#建筑消耗和buff配置索引'!BZ:BZ,MATCH(D40,'#建筑消耗和buff配置索引'!A:A,0))=0,"",INDEX('#建筑消耗和buff配置索引'!BZ:BZ,MATCH(D40,'#建筑消耗和buff配置索引'!A:A,0))),"")</f>
        <v/>
      </c>
      <c r="AA40" s="133">
        <f>INDEX('#建筑消耗和buff配置索引'!AO:AO,MATCH($F40,'#建筑消耗和buff配置索引'!$M:$M,0))</f>
        <v>165</v>
      </c>
      <c r="AB40" s="133">
        <f>IF(INDEX('#建筑消耗和buff配置索引'!AR:AR,MATCH($F40,'#建筑消耗和buff配置索引'!$M:$M,0))=0,"",INDEX('#建筑消耗和buff配置索引'!AR:AR,MATCH($F40,'#建筑消耗和buff配置索引'!$M:$M,0)))</f>
        <v>1200</v>
      </c>
      <c r="AC40" s="133">
        <f>IF(AB40="","",INDEX('#建筑消耗和buff配置索引'!AS:AS,MATCH($F40,'#建筑消耗和buff配置索引'!$M:$M,0)))</f>
        <v>7</v>
      </c>
      <c r="AF40" s="133" t="str">
        <f>IF(INDEX('#建筑消耗和buff配置索引'!AW:AW,MATCH($F40,'#建筑消耗和buff配置索引'!$M:$M,0))=0,"",INDEX('#建筑消耗和buff配置索引'!AW:AW,MATCH($F40,'#建筑消耗和buff配置索引'!$M:$M,0)))</f>
        <v/>
      </c>
      <c r="AG40" s="133" t="str">
        <f>IF(AF40="","",INDEX('#建筑消耗和buff配置索引'!AX:AX,MATCH($F40,'#建筑消耗和buff配置索引'!$M:$M,0)))</f>
        <v/>
      </c>
      <c r="AJ40" s="133" t="str">
        <f>IF(INDEX('#建筑消耗和buff配置索引'!BB:BB,MATCH($F40,'#建筑消耗和buff配置索引'!$M:$M,0))=0,"",INDEX('#建筑消耗和buff配置索引'!BB:BB,MATCH($F40,'#建筑消耗和buff配置索引'!$M:$M,0)))</f>
        <v/>
      </c>
      <c r="AK40" s="133" t="str">
        <f>IF(AJ40="","",INDEX('#建筑消耗和buff配置索引'!BC:BC,MATCH($F40,'#建筑消耗和buff配置索引'!$M:$M,0)))</f>
        <v/>
      </c>
      <c r="AN40" s="133" t="str">
        <f>IF(INDEX('#建筑消耗和buff配置索引'!BG:BG,MATCH($F40,'#建筑消耗和buff配置索引'!$M:$M,0))=0,"",INDEX('#建筑消耗和buff配置索引'!BG:BG,MATCH($F40,'#建筑消耗和buff配置索引'!$M:$M,0)))</f>
        <v/>
      </c>
      <c r="AO40" s="133" t="str">
        <f>IF(AN40="","",INDEX('#建筑消耗和buff配置索引'!BH:BH,MATCH($F40,'#建筑消耗和buff配置索引'!$M:$M,0)))</f>
        <v/>
      </c>
      <c r="AR40" s="133" t="str">
        <f>IF(INDEX('#建筑消耗和buff配置索引'!BK:BK,MATCH($F40,'#建筑消耗和buff配置索引'!$M:$M,0))=0,"",INDEX('#建筑消耗和buff配置索引'!BK:BK,MATCH($F40,'#建筑消耗和buff配置索引'!$M:$M,0)))</f>
        <v/>
      </c>
      <c r="AS40" s="133" t="str">
        <f>IF(AR40="","",INDEX('#建筑消耗和buff配置索引'!BL:BL,MATCH($F40,'#建筑消耗和buff配置索引'!$M:$M,0)))</f>
        <v/>
      </c>
      <c r="AV40" s="133" t="str">
        <f>IF(INDEX('#建筑消耗和buff配置索引'!BO:BO,MATCH($F40,'#建筑消耗和buff配置索引'!$M:$M,0))=0,"",INDEX('#建筑消耗和buff配置索引'!BO:BO,MATCH($F40,'#建筑消耗和buff配置索引'!$M:$M,0)))</f>
        <v/>
      </c>
      <c r="AW40" s="133" t="str">
        <f>IF(AV40="","",INDEX('#建筑消耗和buff配置索引'!BP:BP,MATCH($F40,'#建筑消耗和buff配置索引'!$M:$M,0)))</f>
        <v/>
      </c>
      <c r="AZ40" s="133" t="str">
        <f>IF(INDEX('#建筑消耗和buff配置索引'!BS:BS,MATCH($F40,'#建筑消耗和buff配置索引'!$M:$M,0))=0,"",INDEX('#建筑消耗和buff配置索引'!BS:BS,MATCH($F40,'#建筑消耗和buff配置索引'!$M:$M,0)))</f>
        <v/>
      </c>
      <c r="BA40" s="133" t="str">
        <f>IF(AZ40="","",INDEX('#建筑消耗和buff配置索引'!BT:BT,MATCH($F40,'#建筑消耗和buff配置索引'!$M:$M,0)))</f>
        <v/>
      </c>
      <c r="BD40" s="133" t="str">
        <f>IF(INDEX('#建筑消耗和buff配置索引'!BW:BW,MATCH($F40,'#建筑消耗和buff配置索引'!$M:$M,0))=0,"",INDEX('#建筑消耗和buff配置索引'!BW:BW,MATCH($F40,'#建筑消耗和buff配置索引'!$M:$M,0)))</f>
        <v/>
      </c>
      <c r="BE40" s="133" t="str">
        <f>IF(BD40="","",INDEX('#建筑消耗和buff配置索引'!BX:BX,MATCH($F40,'#建筑消耗和buff配置索引'!$M:$M,0)))</f>
        <v/>
      </c>
      <c r="BI40" s="133">
        <v>2</v>
      </c>
      <c r="BJ40" s="133">
        <v>299</v>
      </c>
    </row>
    <row r="41" spans="1:66" s="133" customFormat="1">
      <c r="A41" s="133">
        <v>2020008</v>
      </c>
      <c r="B41" s="133">
        <v>38</v>
      </c>
      <c r="C41" s="133">
        <v>202</v>
      </c>
      <c r="D41" s="133" t="s">
        <v>154</v>
      </c>
      <c r="E41" s="133">
        <v>8</v>
      </c>
      <c r="F41" s="133" t="str">
        <f t="shared" si="0"/>
        <v>居民房舍8</v>
      </c>
      <c r="H41" s="146"/>
      <c r="I41" s="133">
        <v>1</v>
      </c>
      <c r="J41" s="150">
        <f>INDEX('#建筑消耗和buff配置索引'!AH:AH,MATCH($F41,'#建筑消耗和buff配置索引'!$M:$M,0))</f>
        <v>1080</v>
      </c>
      <c r="K41" s="150">
        <f>INDEX('#建筑消耗和buff配置索引'!AA:AA,MATCH($F41,'#建筑消耗和buff配置索引'!$M:$M,0))</f>
        <v>17000</v>
      </c>
      <c r="L41" s="150">
        <f>INDEX('#建筑消耗和buff配置索引'!AB:AB,MATCH($F41,'#建筑消耗和buff配置索引'!$M:$M,0))</f>
        <v>33000</v>
      </c>
      <c r="M41" s="150">
        <f>INDEX('#建筑消耗和buff配置索引'!AC:AC,MATCH($F41,'#建筑消耗和buff配置索引'!$M:$M,0))</f>
        <v>17000</v>
      </c>
      <c r="N41" s="150">
        <f>INDEX('#建筑消耗和buff配置索引'!AD:AD,MATCH($F41,'#建筑消耗和buff配置索引'!$M:$M,0))</f>
        <v>0</v>
      </c>
      <c r="O41" s="150" t="str">
        <f>IF(INDEX('#建筑消耗和buff配置索引'!T:T,MATCH($F41,'#建筑消耗和buff配置索引'!$M:$M,0))=0,"",INDEX('#建筑消耗和buff配置索引'!T:T,MATCH($F41,'#建筑消耗和buff配置索引'!$M:$M,0)))</f>
        <v/>
      </c>
      <c r="P41" s="133" t="str">
        <f>IF(INDEX('#建筑消耗和buff配置索引'!U:U,MATCH($F41,'#建筑消耗和buff配置索引'!$M:$M,0))=0,"",INDEX('#建筑消耗和buff配置索引'!U:U,MATCH($F41,'#建筑消耗和buff配置索引'!$M:$M,0)))</f>
        <v/>
      </c>
      <c r="Q41" s="133" t="str">
        <f>IF(INDEX('#建筑消耗和buff配置索引'!K:K,MATCH($F41,'#建筑消耗和buff配置索引'!$M:$M,0))=0,"",INDEX('#建筑消耗和buff配置索引'!K:K,MATCH($F41,'#建筑消耗和buff配置索引'!$M:$M,0)))</f>
        <v>201</v>
      </c>
      <c r="R41" s="133" t="str">
        <f>IF(INDEX('#建筑消耗和buff配置索引'!L:L,MATCH($F41,'#建筑消耗和buff配置索引'!$M:$M,0))=0,"",INDEX('#建筑消耗和buff配置索引'!L:L,MATCH($F41,'#建筑消耗和buff配置索引'!$M:$M,0)))</f>
        <v>8</v>
      </c>
      <c r="S41" s="133">
        <f>IF(INDEX('#建筑消耗和buff配置索引'!C:C,MATCH(F41,'#建筑消耗和buff配置索引'!M:M,0))=0,1,INDEX('#建筑消耗和buff配置索引'!C:C,MATCH(F41,'#建筑消耗和buff配置索引'!M:M,0)))</f>
        <v>1</v>
      </c>
      <c r="T41" s="133">
        <v>0</v>
      </c>
      <c r="U41" s="133">
        <v>0</v>
      </c>
      <c r="V41" s="133" t="str">
        <f>IF(E41=1,IF(INDEX('#建筑消耗和buff配置索引'!BY:BY,MATCH(D41,'#建筑消耗和buff配置索引'!A:A,0))=0,"",INDEX('#建筑消耗和buff配置索引'!BY:BY,MATCH(D41,'#建筑消耗和buff配置索引'!A:A,0))),"")</f>
        <v/>
      </c>
      <c r="W41" s="133" t="str">
        <f>IF(E41=1,IF(INDEX('#建筑消耗和buff配置索引'!BZ:BZ,MATCH(D41,'#建筑消耗和buff配置索引'!A:A,0))=0,"",INDEX('#建筑消耗和buff配置索引'!BZ:BZ,MATCH(D41,'#建筑消耗和buff配置索引'!A:A,0))),"")</f>
        <v/>
      </c>
      <c r="AA41" s="133">
        <f>INDEX('#建筑消耗和buff配置索引'!AO:AO,MATCH($F41,'#建筑消耗和buff配置索引'!$M:$M,0))</f>
        <v>298</v>
      </c>
      <c r="AB41" s="133">
        <f>IF(INDEX('#建筑消耗和buff配置索引'!AR:AR,MATCH($F41,'#建筑消耗和buff配置索引'!$M:$M,0))=0,"",INDEX('#建筑消耗和buff配置索引'!AR:AR,MATCH($F41,'#建筑消耗和buff配置索引'!$M:$M,0)))</f>
        <v>1200</v>
      </c>
      <c r="AC41" s="133">
        <f>IF(AB41="","",INDEX('#建筑消耗和buff配置索引'!AS:AS,MATCH($F41,'#建筑消耗和buff配置索引'!$M:$M,0)))</f>
        <v>8</v>
      </c>
      <c r="AF41" s="133" t="str">
        <f>IF(INDEX('#建筑消耗和buff配置索引'!AW:AW,MATCH($F41,'#建筑消耗和buff配置索引'!$M:$M,0))=0,"",INDEX('#建筑消耗和buff配置索引'!AW:AW,MATCH($F41,'#建筑消耗和buff配置索引'!$M:$M,0)))</f>
        <v/>
      </c>
      <c r="AG41" s="133" t="str">
        <f>IF(AF41="","",INDEX('#建筑消耗和buff配置索引'!AX:AX,MATCH($F41,'#建筑消耗和buff配置索引'!$M:$M,0)))</f>
        <v/>
      </c>
      <c r="AJ41" s="133" t="str">
        <f>IF(INDEX('#建筑消耗和buff配置索引'!BB:BB,MATCH($F41,'#建筑消耗和buff配置索引'!$M:$M,0))=0,"",INDEX('#建筑消耗和buff配置索引'!BB:BB,MATCH($F41,'#建筑消耗和buff配置索引'!$M:$M,0)))</f>
        <v/>
      </c>
      <c r="AK41" s="133" t="str">
        <f>IF(AJ41="","",INDEX('#建筑消耗和buff配置索引'!BC:BC,MATCH($F41,'#建筑消耗和buff配置索引'!$M:$M,0)))</f>
        <v/>
      </c>
      <c r="AN41" s="133" t="str">
        <f>IF(INDEX('#建筑消耗和buff配置索引'!BG:BG,MATCH($F41,'#建筑消耗和buff配置索引'!$M:$M,0))=0,"",INDEX('#建筑消耗和buff配置索引'!BG:BG,MATCH($F41,'#建筑消耗和buff配置索引'!$M:$M,0)))</f>
        <v/>
      </c>
      <c r="AO41" s="133" t="str">
        <f>IF(AN41="","",INDEX('#建筑消耗和buff配置索引'!BH:BH,MATCH($F41,'#建筑消耗和buff配置索引'!$M:$M,0)))</f>
        <v/>
      </c>
      <c r="AR41" s="133" t="str">
        <f>IF(INDEX('#建筑消耗和buff配置索引'!BK:BK,MATCH($F41,'#建筑消耗和buff配置索引'!$M:$M,0))=0,"",INDEX('#建筑消耗和buff配置索引'!BK:BK,MATCH($F41,'#建筑消耗和buff配置索引'!$M:$M,0)))</f>
        <v/>
      </c>
      <c r="AS41" s="133" t="str">
        <f>IF(AR41="","",INDEX('#建筑消耗和buff配置索引'!BL:BL,MATCH($F41,'#建筑消耗和buff配置索引'!$M:$M,0)))</f>
        <v/>
      </c>
      <c r="AV41" s="133" t="str">
        <f>IF(INDEX('#建筑消耗和buff配置索引'!BO:BO,MATCH($F41,'#建筑消耗和buff配置索引'!$M:$M,0))=0,"",INDEX('#建筑消耗和buff配置索引'!BO:BO,MATCH($F41,'#建筑消耗和buff配置索引'!$M:$M,0)))</f>
        <v/>
      </c>
      <c r="AW41" s="133" t="str">
        <f>IF(AV41="","",INDEX('#建筑消耗和buff配置索引'!BP:BP,MATCH($F41,'#建筑消耗和buff配置索引'!$M:$M,0)))</f>
        <v/>
      </c>
      <c r="AZ41" s="133" t="str">
        <f>IF(INDEX('#建筑消耗和buff配置索引'!BS:BS,MATCH($F41,'#建筑消耗和buff配置索引'!$M:$M,0))=0,"",INDEX('#建筑消耗和buff配置索引'!BS:BS,MATCH($F41,'#建筑消耗和buff配置索引'!$M:$M,0)))</f>
        <v/>
      </c>
      <c r="BA41" s="133" t="str">
        <f>IF(AZ41="","",INDEX('#建筑消耗和buff配置索引'!BT:BT,MATCH($F41,'#建筑消耗和buff配置索引'!$M:$M,0)))</f>
        <v/>
      </c>
      <c r="BD41" s="133" t="str">
        <f>IF(INDEX('#建筑消耗和buff配置索引'!BW:BW,MATCH($F41,'#建筑消耗和buff配置索引'!$M:$M,0))=0,"",INDEX('#建筑消耗和buff配置索引'!BW:BW,MATCH($F41,'#建筑消耗和buff配置索引'!$M:$M,0)))</f>
        <v/>
      </c>
      <c r="BE41" s="133" t="str">
        <f>IF(BD41="","",INDEX('#建筑消耗和buff配置索引'!BX:BX,MATCH($F41,'#建筑消耗和buff配置索引'!$M:$M,0)))</f>
        <v/>
      </c>
      <c r="BI41" s="133">
        <v>2</v>
      </c>
      <c r="BJ41" s="133">
        <v>299</v>
      </c>
    </row>
    <row r="42" spans="1:66" s="133" customFormat="1">
      <c r="A42" s="133">
        <v>2020009</v>
      </c>
      <c r="B42" s="133">
        <v>39</v>
      </c>
      <c r="C42" s="133">
        <v>202</v>
      </c>
      <c r="D42" s="133" t="s">
        <v>154</v>
      </c>
      <c r="E42" s="133">
        <v>9</v>
      </c>
      <c r="F42" s="133" t="str">
        <f t="shared" si="0"/>
        <v>居民房舍9</v>
      </c>
      <c r="H42" s="146"/>
      <c r="I42" s="133">
        <v>1</v>
      </c>
      <c r="J42" s="150">
        <f>INDEX('#建筑消耗和buff配置索引'!AH:AH,MATCH($F42,'#建筑消耗和buff配置索引'!$M:$M,0))</f>
        <v>2160</v>
      </c>
      <c r="K42" s="150">
        <f>INDEX('#建筑消耗和buff配置索引'!AA:AA,MATCH($F42,'#建筑消耗和buff配置索引'!$M:$M,0))</f>
        <v>27000</v>
      </c>
      <c r="L42" s="150">
        <f>INDEX('#建筑消耗和buff配置索引'!AB:AB,MATCH($F42,'#建筑消耗和buff配置索引'!$M:$M,0))</f>
        <v>55000</v>
      </c>
      <c r="M42" s="150">
        <f>INDEX('#建筑消耗和buff配置索引'!AC:AC,MATCH($F42,'#建筑消耗和buff配置索引'!$M:$M,0))</f>
        <v>27000</v>
      </c>
      <c r="N42" s="150">
        <f>INDEX('#建筑消耗和buff配置索引'!AD:AD,MATCH($F42,'#建筑消耗和buff配置索引'!$M:$M,0))</f>
        <v>0</v>
      </c>
      <c r="O42" s="150" t="str">
        <f>IF(INDEX('#建筑消耗和buff配置索引'!T:T,MATCH($F42,'#建筑消耗和buff配置索引'!$M:$M,0))=0,"",INDEX('#建筑消耗和buff配置索引'!T:T,MATCH($F42,'#建筑消耗和buff配置索引'!$M:$M,0)))</f>
        <v/>
      </c>
      <c r="P42" s="133" t="str">
        <f>IF(INDEX('#建筑消耗和buff配置索引'!U:U,MATCH($F42,'#建筑消耗和buff配置索引'!$M:$M,0))=0,"",INDEX('#建筑消耗和buff配置索引'!U:U,MATCH($F42,'#建筑消耗和buff配置索引'!$M:$M,0)))</f>
        <v/>
      </c>
      <c r="Q42" s="133" t="str">
        <f>IF(INDEX('#建筑消耗和buff配置索引'!K:K,MATCH($F42,'#建筑消耗和buff配置索引'!$M:$M,0))=0,"",INDEX('#建筑消耗和buff配置索引'!K:K,MATCH($F42,'#建筑消耗和buff配置索引'!$M:$M,0)))</f>
        <v>201</v>
      </c>
      <c r="R42" s="133" t="str">
        <f>IF(INDEX('#建筑消耗和buff配置索引'!L:L,MATCH($F42,'#建筑消耗和buff配置索引'!$M:$M,0))=0,"",INDEX('#建筑消耗和buff配置索引'!L:L,MATCH($F42,'#建筑消耗和buff配置索引'!$M:$M,0)))</f>
        <v>9</v>
      </c>
      <c r="S42" s="133">
        <f>IF(INDEX('#建筑消耗和buff配置索引'!C:C,MATCH(F42,'#建筑消耗和buff配置索引'!M:M,0))=0,1,INDEX('#建筑消耗和buff配置索引'!C:C,MATCH(F42,'#建筑消耗和buff配置索引'!M:M,0)))</f>
        <v>1</v>
      </c>
      <c r="T42" s="133">
        <v>0</v>
      </c>
      <c r="U42" s="133">
        <v>0</v>
      </c>
      <c r="V42" s="133" t="str">
        <f>IF(E42=1,IF(INDEX('#建筑消耗和buff配置索引'!BY:BY,MATCH(D42,'#建筑消耗和buff配置索引'!A:A,0))=0,"",INDEX('#建筑消耗和buff配置索引'!BY:BY,MATCH(D42,'#建筑消耗和buff配置索引'!A:A,0))),"")</f>
        <v/>
      </c>
      <c r="W42" s="133" t="str">
        <f>IF(E42=1,IF(INDEX('#建筑消耗和buff配置索引'!BZ:BZ,MATCH(D42,'#建筑消耗和buff配置索引'!A:A,0))=0,"",INDEX('#建筑消耗和buff配置索引'!BZ:BZ,MATCH(D42,'#建筑消耗和buff配置索引'!A:A,0))),"")</f>
        <v/>
      </c>
      <c r="AA42" s="133">
        <f>INDEX('#建筑消耗和buff配置索引'!AO:AO,MATCH($F42,'#建筑消耗和buff配置索引'!$M:$M,0))</f>
        <v>517</v>
      </c>
      <c r="AB42" s="133">
        <f>IF(INDEX('#建筑消耗和buff配置索引'!AR:AR,MATCH($F42,'#建筑消耗和buff配置索引'!$M:$M,0))=0,"",INDEX('#建筑消耗和buff配置索引'!AR:AR,MATCH($F42,'#建筑消耗和buff配置索引'!$M:$M,0)))</f>
        <v>1200</v>
      </c>
      <c r="AC42" s="133">
        <f>IF(AB42="","",INDEX('#建筑消耗和buff配置索引'!AS:AS,MATCH($F42,'#建筑消耗和buff配置索引'!$M:$M,0)))</f>
        <v>9</v>
      </c>
      <c r="AF42" s="133" t="str">
        <f>IF(INDEX('#建筑消耗和buff配置索引'!AW:AW,MATCH($F42,'#建筑消耗和buff配置索引'!$M:$M,0))=0,"",INDEX('#建筑消耗和buff配置索引'!AW:AW,MATCH($F42,'#建筑消耗和buff配置索引'!$M:$M,0)))</f>
        <v/>
      </c>
      <c r="AG42" s="133" t="str">
        <f>IF(AF42="","",INDEX('#建筑消耗和buff配置索引'!AX:AX,MATCH($F42,'#建筑消耗和buff配置索引'!$M:$M,0)))</f>
        <v/>
      </c>
      <c r="AJ42" s="133" t="str">
        <f>IF(INDEX('#建筑消耗和buff配置索引'!BB:BB,MATCH($F42,'#建筑消耗和buff配置索引'!$M:$M,0))=0,"",INDEX('#建筑消耗和buff配置索引'!BB:BB,MATCH($F42,'#建筑消耗和buff配置索引'!$M:$M,0)))</f>
        <v/>
      </c>
      <c r="AK42" s="133" t="str">
        <f>IF(AJ42="","",INDEX('#建筑消耗和buff配置索引'!BC:BC,MATCH($F42,'#建筑消耗和buff配置索引'!$M:$M,0)))</f>
        <v/>
      </c>
      <c r="AN42" s="133" t="str">
        <f>IF(INDEX('#建筑消耗和buff配置索引'!BG:BG,MATCH($F42,'#建筑消耗和buff配置索引'!$M:$M,0))=0,"",INDEX('#建筑消耗和buff配置索引'!BG:BG,MATCH($F42,'#建筑消耗和buff配置索引'!$M:$M,0)))</f>
        <v/>
      </c>
      <c r="AO42" s="133" t="str">
        <f>IF(AN42="","",INDEX('#建筑消耗和buff配置索引'!BH:BH,MATCH($F42,'#建筑消耗和buff配置索引'!$M:$M,0)))</f>
        <v/>
      </c>
      <c r="AR42" s="133" t="str">
        <f>IF(INDEX('#建筑消耗和buff配置索引'!BK:BK,MATCH($F42,'#建筑消耗和buff配置索引'!$M:$M,0))=0,"",INDEX('#建筑消耗和buff配置索引'!BK:BK,MATCH($F42,'#建筑消耗和buff配置索引'!$M:$M,0)))</f>
        <v/>
      </c>
      <c r="AS42" s="133" t="str">
        <f>IF(AR42="","",INDEX('#建筑消耗和buff配置索引'!BL:BL,MATCH($F42,'#建筑消耗和buff配置索引'!$M:$M,0)))</f>
        <v/>
      </c>
      <c r="AV42" s="133" t="str">
        <f>IF(INDEX('#建筑消耗和buff配置索引'!BO:BO,MATCH($F42,'#建筑消耗和buff配置索引'!$M:$M,0))=0,"",INDEX('#建筑消耗和buff配置索引'!BO:BO,MATCH($F42,'#建筑消耗和buff配置索引'!$M:$M,0)))</f>
        <v/>
      </c>
      <c r="AW42" s="133" t="str">
        <f>IF(AV42="","",INDEX('#建筑消耗和buff配置索引'!BP:BP,MATCH($F42,'#建筑消耗和buff配置索引'!$M:$M,0)))</f>
        <v/>
      </c>
      <c r="AZ42" s="133" t="str">
        <f>IF(INDEX('#建筑消耗和buff配置索引'!BS:BS,MATCH($F42,'#建筑消耗和buff配置索引'!$M:$M,0))=0,"",INDEX('#建筑消耗和buff配置索引'!BS:BS,MATCH($F42,'#建筑消耗和buff配置索引'!$M:$M,0)))</f>
        <v/>
      </c>
      <c r="BA42" s="133" t="str">
        <f>IF(AZ42="","",INDEX('#建筑消耗和buff配置索引'!BT:BT,MATCH($F42,'#建筑消耗和buff配置索引'!$M:$M,0)))</f>
        <v/>
      </c>
      <c r="BD42" s="133" t="str">
        <f>IF(INDEX('#建筑消耗和buff配置索引'!BW:BW,MATCH($F42,'#建筑消耗和buff配置索引'!$M:$M,0))=0,"",INDEX('#建筑消耗和buff配置索引'!BW:BW,MATCH($F42,'#建筑消耗和buff配置索引'!$M:$M,0)))</f>
        <v/>
      </c>
      <c r="BE42" s="133" t="str">
        <f>IF(BD42="","",INDEX('#建筑消耗和buff配置索引'!BX:BX,MATCH($F42,'#建筑消耗和buff配置索引'!$M:$M,0)))</f>
        <v/>
      </c>
      <c r="BI42" s="133">
        <v>2</v>
      </c>
      <c r="BJ42" s="133">
        <v>299</v>
      </c>
    </row>
    <row r="43" spans="1:66" s="133" customFormat="1">
      <c r="A43" s="133">
        <v>2020010</v>
      </c>
      <c r="B43" s="133">
        <v>40</v>
      </c>
      <c r="C43" s="133">
        <v>202</v>
      </c>
      <c r="D43" s="133" t="s">
        <v>154</v>
      </c>
      <c r="E43" s="133">
        <v>10</v>
      </c>
      <c r="F43" s="133" t="str">
        <f t="shared" si="0"/>
        <v>居民房舍10</v>
      </c>
      <c r="H43" s="146"/>
      <c r="I43" s="133">
        <v>1</v>
      </c>
      <c r="J43" s="150">
        <f>INDEX('#建筑消耗和buff配置索引'!AH:AH,MATCH($F43,'#建筑消耗和buff配置索引'!$M:$M,0))</f>
        <v>3240</v>
      </c>
      <c r="K43" s="150">
        <f>INDEX('#建筑消耗和buff配置索引'!AA:AA,MATCH($F43,'#建筑消耗和buff配置索引'!$M:$M,0))</f>
        <v>35000</v>
      </c>
      <c r="L43" s="150">
        <f>INDEX('#建筑消耗和buff配置索引'!AB:AB,MATCH($F43,'#建筑消耗和buff配置索引'!$M:$M,0))</f>
        <v>69000</v>
      </c>
      <c r="M43" s="150">
        <f>INDEX('#建筑消耗和buff配置索引'!AC:AC,MATCH($F43,'#建筑消耗和buff配置索引'!$M:$M,0))</f>
        <v>35000</v>
      </c>
      <c r="N43" s="150">
        <f>INDEX('#建筑消耗和buff配置索引'!AD:AD,MATCH($F43,'#建筑消耗和buff配置索引'!$M:$M,0))</f>
        <v>35000</v>
      </c>
      <c r="O43" s="150" t="str">
        <f>IF(INDEX('#建筑消耗和buff配置索引'!T:T,MATCH($F43,'#建筑消耗和buff配置索引'!$M:$M,0))=0,"",INDEX('#建筑消耗和buff配置索引'!T:T,MATCH($F43,'#建筑消耗和buff配置索引'!$M:$M,0)))</f>
        <v/>
      </c>
      <c r="P43" s="133" t="str">
        <f>IF(INDEX('#建筑消耗和buff配置索引'!U:U,MATCH($F43,'#建筑消耗和buff配置索引'!$M:$M,0))=0,"",INDEX('#建筑消耗和buff配置索引'!U:U,MATCH($F43,'#建筑消耗和buff配置索引'!$M:$M,0)))</f>
        <v/>
      </c>
      <c r="Q43" s="133" t="str">
        <f>IF(INDEX('#建筑消耗和buff配置索引'!K:K,MATCH($F43,'#建筑消耗和buff配置索引'!$M:$M,0))=0,"",INDEX('#建筑消耗和buff配置索引'!K:K,MATCH($F43,'#建筑消耗和buff配置索引'!$M:$M,0)))</f>
        <v>201</v>
      </c>
      <c r="R43" s="133" t="str">
        <f>IF(INDEX('#建筑消耗和buff配置索引'!L:L,MATCH($F43,'#建筑消耗和buff配置索引'!$M:$M,0))=0,"",INDEX('#建筑消耗和buff配置索引'!L:L,MATCH($F43,'#建筑消耗和buff配置索引'!$M:$M,0)))</f>
        <v>10</v>
      </c>
      <c r="S43" s="133">
        <f>IF(INDEX('#建筑消耗和buff配置索引'!C:C,MATCH(F43,'#建筑消耗和buff配置索引'!M:M,0))=0,1,INDEX('#建筑消耗和buff配置索引'!C:C,MATCH(F43,'#建筑消耗和buff配置索引'!M:M,0)))</f>
        <v>1</v>
      </c>
      <c r="T43" s="133">
        <v>0</v>
      </c>
      <c r="U43" s="133">
        <v>0</v>
      </c>
      <c r="V43" s="133" t="str">
        <f>IF(E43=1,IF(INDEX('#建筑消耗和buff配置索引'!BY:BY,MATCH(D43,'#建筑消耗和buff配置索引'!A:A,0))=0,"",INDEX('#建筑消耗和buff配置索引'!BY:BY,MATCH(D43,'#建筑消耗和buff配置索引'!A:A,0))),"")</f>
        <v/>
      </c>
      <c r="W43" s="133" t="str">
        <f>IF(E43=1,IF(INDEX('#建筑消耗和buff配置索引'!BZ:BZ,MATCH(D43,'#建筑消耗和buff配置索引'!A:A,0))=0,"",INDEX('#建筑消耗和buff配置索引'!BZ:BZ,MATCH(D43,'#建筑消耗和buff配置索引'!A:A,0))),"")</f>
        <v/>
      </c>
      <c r="AA43" s="133">
        <f>INDEX('#建筑消耗和buff配置索引'!AO:AO,MATCH($F43,'#建筑消耗和buff配置索引'!$M:$M,0))</f>
        <v>863</v>
      </c>
      <c r="AB43" s="133">
        <f>IF(INDEX('#建筑消耗和buff配置索引'!AR:AR,MATCH($F43,'#建筑消耗和buff配置索引'!$M:$M,0))=0,"",INDEX('#建筑消耗和buff配置索引'!AR:AR,MATCH($F43,'#建筑消耗和buff配置索引'!$M:$M,0)))</f>
        <v>1200</v>
      </c>
      <c r="AC43" s="133">
        <f>IF(AB43="","",INDEX('#建筑消耗和buff配置索引'!AS:AS,MATCH($F43,'#建筑消耗和buff配置索引'!$M:$M,0)))</f>
        <v>10</v>
      </c>
      <c r="AF43" s="133" t="str">
        <f>IF(INDEX('#建筑消耗和buff配置索引'!AW:AW,MATCH($F43,'#建筑消耗和buff配置索引'!$M:$M,0))=0,"",INDEX('#建筑消耗和buff配置索引'!AW:AW,MATCH($F43,'#建筑消耗和buff配置索引'!$M:$M,0)))</f>
        <v/>
      </c>
      <c r="AG43" s="133" t="str">
        <f>IF(AF43="","",INDEX('#建筑消耗和buff配置索引'!AX:AX,MATCH($F43,'#建筑消耗和buff配置索引'!$M:$M,0)))</f>
        <v/>
      </c>
      <c r="AJ43" s="133" t="str">
        <f>IF(INDEX('#建筑消耗和buff配置索引'!BB:BB,MATCH($F43,'#建筑消耗和buff配置索引'!$M:$M,0))=0,"",INDEX('#建筑消耗和buff配置索引'!BB:BB,MATCH($F43,'#建筑消耗和buff配置索引'!$M:$M,0)))</f>
        <v/>
      </c>
      <c r="AK43" s="133" t="str">
        <f>IF(AJ43="","",INDEX('#建筑消耗和buff配置索引'!BC:BC,MATCH($F43,'#建筑消耗和buff配置索引'!$M:$M,0)))</f>
        <v/>
      </c>
      <c r="AN43" s="133" t="str">
        <f>IF(INDEX('#建筑消耗和buff配置索引'!BG:BG,MATCH($F43,'#建筑消耗和buff配置索引'!$M:$M,0))=0,"",INDEX('#建筑消耗和buff配置索引'!BG:BG,MATCH($F43,'#建筑消耗和buff配置索引'!$M:$M,0)))</f>
        <v/>
      </c>
      <c r="AO43" s="133" t="str">
        <f>IF(AN43="","",INDEX('#建筑消耗和buff配置索引'!BH:BH,MATCH($F43,'#建筑消耗和buff配置索引'!$M:$M,0)))</f>
        <v/>
      </c>
      <c r="AR43" s="133" t="str">
        <f>IF(INDEX('#建筑消耗和buff配置索引'!BK:BK,MATCH($F43,'#建筑消耗和buff配置索引'!$M:$M,0))=0,"",INDEX('#建筑消耗和buff配置索引'!BK:BK,MATCH($F43,'#建筑消耗和buff配置索引'!$M:$M,0)))</f>
        <v/>
      </c>
      <c r="AS43" s="133" t="str">
        <f>IF(AR43="","",INDEX('#建筑消耗和buff配置索引'!BL:BL,MATCH($F43,'#建筑消耗和buff配置索引'!$M:$M,0)))</f>
        <v/>
      </c>
      <c r="AV43" s="133" t="str">
        <f>IF(INDEX('#建筑消耗和buff配置索引'!BO:BO,MATCH($F43,'#建筑消耗和buff配置索引'!$M:$M,0))=0,"",INDEX('#建筑消耗和buff配置索引'!BO:BO,MATCH($F43,'#建筑消耗和buff配置索引'!$M:$M,0)))</f>
        <v/>
      </c>
      <c r="AW43" s="133" t="str">
        <f>IF(AV43="","",INDEX('#建筑消耗和buff配置索引'!BP:BP,MATCH($F43,'#建筑消耗和buff配置索引'!$M:$M,0)))</f>
        <v/>
      </c>
      <c r="AZ43" s="133" t="str">
        <f>IF(INDEX('#建筑消耗和buff配置索引'!BS:BS,MATCH($F43,'#建筑消耗和buff配置索引'!$M:$M,0))=0,"",INDEX('#建筑消耗和buff配置索引'!BS:BS,MATCH($F43,'#建筑消耗和buff配置索引'!$M:$M,0)))</f>
        <v/>
      </c>
      <c r="BA43" s="133" t="str">
        <f>IF(AZ43="","",INDEX('#建筑消耗和buff配置索引'!BT:BT,MATCH($F43,'#建筑消耗和buff配置索引'!$M:$M,0)))</f>
        <v/>
      </c>
      <c r="BD43" s="133" t="str">
        <f>IF(INDEX('#建筑消耗和buff配置索引'!BW:BW,MATCH($F43,'#建筑消耗和buff配置索引'!$M:$M,0))=0,"",INDEX('#建筑消耗和buff配置索引'!BW:BW,MATCH($F43,'#建筑消耗和buff配置索引'!$M:$M,0)))</f>
        <v/>
      </c>
      <c r="BE43" s="133" t="str">
        <f>IF(BD43="","",INDEX('#建筑消耗和buff配置索引'!BX:BX,MATCH($F43,'#建筑消耗和buff配置索引'!$M:$M,0)))</f>
        <v/>
      </c>
      <c r="BI43" s="133">
        <v>2</v>
      </c>
    </row>
    <row r="44" spans="1:66" s="133" customFormat="1">
      <c r="A44" s="133">
        <v>2020011</v>
      </c>
      <c r="B44" s="133">
        <v>41</v>
      </c>
      <c r="C44" s="133">
        <v>202</v>
      </c>
      <c r="D44" s="133" t="s">
        <v>154</v>
      </c>
      <c r="E44" s="133">
        <v>11</v>
      </c>
      <c r="F44" s="133" t="str">
        <f t="shared" si="0"/>
        <v>居民房舍11</v>
      </c>
      <c r="H44" s="146"/>
      <c r="I44" s="133">
        <v>1</v>
      </c>
      <c r="J44" s="150">
        <f>INDEX('#建筑消耗和buff配置索引'!AH:AH,MATCH($F44,'#建筑消耗和buff配置索引'!$M:$M,0))</f>
        <v>4860</v>
      </c>
      <c r="K44" s="150">
        <f>INDEX('#建筑消耗和buff配置索引'!AA:AA,MATCH($F44,'#建筑消耗和buff配置索引'!$M:$M,0))</f>
        <v>52000</v>
      </c>
      <c r="L44" s="150">
        <f>INDEX('#建筑消耗和buff配置索引'!AB:AB,MATCH($F44,'#建筑消耗和buff配置索引'!$M:$M,0))</f>
        <v>100000</v>
      </c>
      <c r="M44" s="150">
        <f>INDEX('#建筑消耗和buff配置索引'!AC:AC,MATCH($F44,'#建筑消耗和buff配置索引'!$M:$M,0))</f>
        <v>52000</v>
      </c>
      <c r="N44" s="150">
        <f>INDEX('#建筑消耗和buff配置索引'!AD:AD,MATCH($F44,'#建筑消耗和buff配置索引'!$M:$M,0))</f>
        <v>52000</v>
      </c>
      <c r="O44" s="150" t="str">
        <f>IF(INDEX('#建筑消耗和buff配置索引'!T:T,MATCH($F44,'#建筑消耗和buff配置索引'!$M:$M,0))=0,"",INDEX('#建筑消耗和buff配置索引'!T:T,MATCH($F44,'#建筑消耗和buff配置索引'!$M:$M,0)))</f>
        <v/>
      </c>
      <c r="P44" s="133" t="str">
        <f>IF(INDEX('#建筑消耗和buff配置索引'!U:U,MATCH($F44,'#建筑消耗和buff配置索引'!$M:$M,0))=0,"",INDEX('#建筑消耗和buff配置索引'!U:U,MATCH($F44,'#建筑消耗和buff配置索引'!$M:$M,0)))</f>
        <v/>
      </c>
      <c r="Q44" s="133" t="str">
        <f>IF(INDEX('#建筑消耗和buff配置索引'!K:K,MATCH($F44,'#建筑消耗和buff配置索引'!$M:$M,0))=0,"",INDEX('#建筑消耗和buff配置索引'!K:K,MATCH($F44,'#建筑消耗和buff配置索引'!$M:$M,0)))</f>
        <v>201</v>
      </c>
      <c r="R44" s="133" t="str">
        <f>IF(INDEX('#建筑消耗和buff配置索引'!L:L,MATCH($F44,'#建筑消耗和buff配置索引'!$M:$M,0))=0,"",INDEX('#建筑消耗和buff配置索引'!L:L,MATCH($F44,'#建筑消耗和buff配置索引'!$M:$M,0)))</f>
        <v>11</v>
      </c>
      <c r="S44" s="133">
        <f>IF(INDEX('#建筑消耗和buff配置索引'!C:C,MATCH(F44,'#建筑消耗和buff配置索引'!M:M,0))=0,1,INDEX('#建筑消耗和buff配置索引'!C:C,MATCH(F44,'#建筑消耗和buff配置索引'!M:M,0)))</f>
        <v>1</v>
      </c>
      <c r="T44" s="133">
        <v>0</v>
      </c>
      <c r="U44" s="133">
        <v>0</v>
      </c>
      <c r="V44" s="133" t="str">
        <f>IF(E44=1,IF(INDEX('#建筑消耗和buff配置索引'!BY:BY,MATCH(D44,'#建筑消耗和buff配置索引'!A:A,0))=0,"",INDEX('#建筑消耗和buff配置索引'!BY:BY,MATCH(D44,'#建筑消耗和buff配置索引'!A:A,0))),"")</f>
        <v/>
      </c>
      <c r="W44" s="133" t="str">
        <f>IF(E44=1,IF(INDEX('#建筑消耗和buff配置索引'!BZ:BZ,MATCH(D44,'#建筑消耗和buff配置索引'!A:A,0))=0,"",INDEX('#建筑消耗和buff配置索引'!BZ:BZ,MATCH(D44,'#建筑消耗和buff配置索引'!A:A,0))),"")</f>
        <v/>
      </c>
      <c r="AA44" s="133">
        <f>INDEX('#建筑消耗和buff配置索引'!AO:AO,MATCH($F44,'#建筑消耗和buff配置索引'!$M:$M,0))</f>
        <v>1385</v>
      </c>
      <c r="AB44" s="133">
        <f>IF(INDEX('#建筑消耗和buff配置索引'!AR:AR,MATCH($F44,'#建筑消耗和buff配置索引'!$M:$M,0))=0,"",INDEX('#建筑消耗和buff配置索引'!AR:AR,MATCH($F44,'#建筑消耗和buff配置索引'!$M:$M,0)))</f>
        <v>1200</v>
      </c>
      <c r="AC44" s="133">
        <f>IF(AB44="","",INDEX('#建筑消耗和buff配置索引'!AS:AS,MATCH($F44,'#建筑消耗和buff配置索引'!$M:$M,0)))</f>
        <v>11</v>
      </c>
      <c r="AF44" s="133" t="str">
        <f>IF(INDEX('#建筑消耗和buff配置索引'!AW:AW,MATCH($F44,'#建筑消耗和buff配置索引'!$M:$M,0))=0,"",INDEX('#建筑消耗和buff配置索引'!AW:AW,MATCH($F44,'#建筑消耗和buff配置索引'!$M:$M,0)))</f>
        <v/>
      </c>
      <c r="AG44" s="133" t="str">
        <f>IF(AF44="","",INDEX('#建筑消耗和buff配置索引'!AX:AX,MATCH($F44,'#建筑消耗和buff配置索引'!$M:$M,0)))</f>
        <v/>
      </c>
      <c r="AJ44" s="133" t="str">
        <f>IF(INDEX('#建筑消耗和buff配置索引'!BB:BB,MATCH($F44,'#建筑消耗和buff配置索引'!$M:$M,0))=0,"",INDEX('#建筑消耗和buff配置索引'!BB:BB,MATCH($F44,'#建筑消耗和buff配置索引'!$M:$M,0)))</f>
        <v/>
      </c>
      <c r="AK44" s="133" t="str">
        <f>IF(AJ44="","",INDEX('#建筑消耗和buff配置索引'!BC:BC,MATCH($F44,'#建筑消耗和buff配置索引'!$M:$M,0)))</f>
        <v/>
      </c>
      <c r="AN44" s="133" t="str">
        <f>IF(INDEX('#建筑消耗和buff配置索引'!BG:BG,MATCH($F44,'#建筑消耗和buff配置索引'!$M:$M,0))=0,"",INDEX('#建筑消耗和buff配置索引'!BG:BG,MATCH($F44,'#建筑消耗和buff配置索引'!$M:$M,0)))</f>
        <v/>
      </c>
      <c r="AO44" s="133" t="str">
        <f>IF(AN44="","",INDEX('#建筑消耗和buff配置索引'!BH:BH,MATCH($F44,'#建筑消耗和buff配置索引'!$M:$M,0)))</f>
        <v/>
      </c>
      <c r="AR44" s="133" t="str">
        <f>IF(INDEX('#建筑消耗和buff配置索引'!BK:BK,MATCH($F44,'#建筑消耗和buff配置索引'!$M:$M,0))=0,"",INDEX('#建筑消耗和buff配置索引'!BK:BK,MATCH($F44,'#建筑消耗和buff配置索引'!$M:$M,0)))</f>
        <v/>
      </c>
      <c r="AS44" s="133" t="str">
        <f>IF(AR44="","",INDEX('#建筑消耗和buff配置索引'!BL:BL,MATCH($F44,'#建筑消耗和buff配置索引'!$M:$M,0)))</f>
        <v/>
      </c>
      <c r="AV44" s="133" t="str">
        <f>IF(INDEX('#建筑消耗和buff配置索引'!BO:BO,MATCH($F44,'#建筑消耗和buff配置索引'!$M:$M,0))=0,"",INDEX('#建筑消耗和buff配置索引'!BO:BO,MATCH($F44,'#建筑消耗和buff配置索引'!$M:$M,0)))</f>
        <v/>
      </c>
      <c r="AW44" s="133" t="str">
        <f>IF(AV44="","",INDEX('#建筑消耗和buff配置索引'!BP:BP,MATCH($F44,'#建筑消耗和buff配置索引'!$M:$M,0)))</f>
        <v/>
      </c>
      <c r="AZ44" s="133" t="str">
        <f>IF(INDEX('#建筑消耗和buff配置索引'!BS:BS,MATCH($F44,'#建筑消耗和buff配置索引'!$M:$M,0))=0,"",INDEX('#建筑消耗和buff配置索引'!BS:BS,MATCH($F44,'#建筑消耗和buff配置索引'!$M:$M,0)))</f>
        <v/>
      </c>
      <c r="BA44" s="133" t="str">
        <f>IF(AZ44="","",INDEX('#建筑消耗和buff配置索引'!BT:BT,MATCH($F44,'#建筑消耗和buff配置索引'!$M:$M,0)))</f>
        <v/>
      </c>
      <c r="BD44" s="133" t="str">
        <f>IF(INDEX('#建筑消耗和buff配置索引'!BW:BW,MATCH($F44,'#建筑消耗和buff配置索引'!$M:$M,0))=0,"",INDEX('#建筑消耗和buff配置索引'!BW:BW,MATCH($F44,'#建筑消耗和buff配置索引'!$M:$M,0)))</f>
        <v/>
      </c>
      <c r="BE44" s="133" t="str">
        <f>IF(BD44="","",INDEX('#建筑消耗和buff配置索引'!BX:BX,MATCH($F44,'#建筑消耗和buff配置索引'!$M:$M,0)))</f>
        <v/>
      </c>
      <c r="BI44" s="133">
        <v>2</v>
      </c>
    </row>
    <row r="45" spans="1:66" s="133" customFormat="1">
      <c r="A45" s="133">
        <v>2020012</v>
      </c>
      <c r="B45" s="133">
        <v>42</v>
      </c>
      <c r="C45" s="133">
        <v>202</v>
      </c>
      <c r="D45" s="133" t="s">
        <v>154</v>
      </c>
      <c r="E45" s="133">
        <v>12</v>
      </c>
      <c r="F45" s="133" t="str">
        <f t="shared" si="0"/>
        <v>居民房舍12</v>
      </c>
      <c r="H45" s="146"/>
      <c r="I45" s="133">
        <v>2</v>
      </c>
      <c r="J45" s="150">
        <f>INDEX('#建筑消耗和buff配置索引'!AH:AH,MATCH($F45,'#建筑消耗和buff配置索引'!$M:$M,0))</f>
        <v>6480</v>
      </c>
      <c r="K45" s="150">
        <f>INDEX('#建筑消耗和buff配置索引'!AA:AA,MATCH($F45,'#建筑消耗和buff配置索引'!$M:$M,0))</f>
        <v>75000</v>
      </c>
      <c r="L45" s="150">
        <f>INDEX('#建筑消耗和buff配置索引'!AB:AB,MATCH($F45,'#建筑消耗和buff配置索引'!$M:$M,0))</f>
        <v>150000</v>
      </c>
      <c r="M45" s="150">
        <f>INDEX('#建筑消耗和buff配置索引'!AC:AC,MATCH($F45,'#建筑消耗和buff配置索引'!$M:$M,0))</f>
        <v>75000</v>
      </c>
      <c r="N45" s="150">
        <f>INDEX('#建筑消耗和buff配置索引'!AD:AD,MATCH($F45,'#建筑消耗和buff配置索引'!$M:$M,0))</f>
        <v>75000</v>
      </c>
      <c r="O45" s="150" t="str">
        <f>IF(INDEX('#建筑消耗和buff配置索引'!T:T,MATCH($F45,'#建筑消耗和buff配置索引'!$M:$M,0))=0,"",INDEX('#建筑消耗和buff配置索引'!T:T,MATCH($F45,'#建筑消耗和buff配置索引'!$M:$M,0)))</f>
        <v/>
      </c>
      <c r="P45" s="133" t="str">
        <f>IF(INDEX('#建筑消耗和buff配置索引'!U:U,MATCH($F45,'#建筑消耗和buff配置索引'!$M:$M,0))=0,"",INDEX('#建筑消耗和buff配置索引'!U:U,MATCH($F45,'#建筑消耗和buff配置索引'!$M:$M,0)))</f>
        <v/>
      </c>
      <c r="Q45" s="133" t="str">
        <f>IF(INDEX('#建筑消耗和buff配置索引'!K:K,MATCH($F45,'#建筑消耗和buff配置索引'!$M:$M,0))=0,"",INDEX('#建筑消耗和buff配置索引'!K:K,MATCH($F45,'#建筑消耗和buff配置索引'!$M:$M,0)))</f>
        <v>201</v>
      </c>
      <c r="R45" s="133" t="str">
        <f>IF(INDEX('#建筑消耗和buff配置索引'!L:L,MATCH($F45,'#建筑消耗和buff配置索引'!$M:$M,0))=0,"",INDEX('#建筑消耗和buff配置索引'!L:L,MATCH($F45,'#建筑消耗和buff配置索引'!$M:$M,0)))</f>
        <v>12</v>
      </c>
      <c r="S45" s="133">
        <f>IF(INDEX('#建筑消耗和buff配置索引'!C:C,MATCH(F45,'#建筑消耗和buff配置索引'!M:M,0))=0,1,INDEX('#建筑消耗和buff配置索引'!C:C,MATCH(F45,'#建筑消耗和buff配置索引'!M:M,0)))</f>
        <v>1</v>
      </c>
      <c r="T45" s="133">
        <v>0</v>
      </c>
      <c r="U45" s="133">
        <v>0</v>
      </c>
      <c r="V45" s="133" t="str">
        <f>IF(E45=1,IF(INDEX('#建筑消耗和buff配置索引'!BY:BY,MATCH(D45,'#建筑消耗和buff配置索引'!A:A,0))=0,"",INDEX('#建筑消耗和buff配置索引'!BY:BY,MATCH(D45,'#建筑消耗和buff配置索引'!A:A,0))),"")</f>
        <v/>
      </c>
      <c r="W45" s="133" t="str">
        <f>IF(E45=1,IF(INDEX('#建筑消耗和buff配置索引'!BZ:BZ,MATCH(D45,'#建筑消耗和buff配置索引'!A:A,0))=0,"",INDEX('#建筑消耗和buff配置索引'!BZ:BZ,MATCH(D45,'#建筑消耗和buff配置索引'!A:A,0))),"")</f>
        <v/>
      </c>
      <c r="AA45" s="133">
        <f>INDEX('#建筑消耗和buff配置索引'!AO:AO,MATCH($F45,'#建筑消耗和buff配置索引'!$M:$M,0))</f>
        <v>2136</v>
      </c>
      <c r="AB45" s="133">
        <f>IF(INDEX('#建筑消耗和buff配置索引'!AR:AR,MATCH($F45,'#建筑消耗和buff配置索引'!$M:$M,0))=0,"",INDEX('#建筑消耗和buff配置索引'!AR:AR,MATCH($F45,'#建筑消耗和buff配置索引'!$M:$M,0)))</f>
        <v>1200</v>
      </c>
      <c r="AC45" s="133">
        <f>IF(AB45="","",INDEX('#建筑消耗和buff配置索引'!AS:AS,MATCH($F45,'#建筑消耗和buff配置索引'!$M:$M,0)))</f>
        <v>12</v>
      </c>
      <c r="AF45" s="133" t="str">
        <f>IF(INDEX('#建筑消耗和buff配置索引'!AW:AW,MATCH($F45,'#建筑消耗和buff配置索引'!$M:$M,0))=0,"",INDEX('#建筑消耗和buff配置索引'!AW:AW,MATCH($F45,'#建筑消耗和buff配置索引'!$M:$M,0)))</f>
        <v/>
      </c>
      <c r="AG45" s="133" t="str">
        <f>IF(AF45="","",INDEX('#建筑消耗和buff配置索引'!AX:AX,MATCH($F45,'#建筑消耗和buff配置索引'!$M:$M,0)))</f>
        <v/>
      </c>
      <c r="AJ45" s="133" t="str">
        <f>IF(INDEX('#建筑消耗和buff配置索引'!BB:BB,MATCH($F45,'#建筑消耗和buff配置索引'!$M:$M,0))=0,"",INDEX('#建筑消耗和buff配置索引'!BB:BB,MATCH($F45,'#建筑消耗和buff配置索引'!$M:$M,0)))</f>
        <v/>
      </c>
      <c r="AK45" s="133" t="str">
        <f>IF(AJ45="","",INDEX('#建筑消耗和buff配置索引'!BC:BC,MATCH($F45,'#建筑消耗和buff配置索引'!$M:$M,0)))</f>
        <v/>
      </c>
      <c r="AN45" s="133" t="str">
        <f>IF(INDEX('#建筑消耗和buff配置索引'!BG:BG,MATCH($F45,'#建筑消耗和buff配置索引'!$M:$M,0))=0,"",INDEX('#建筑消耗和buff配置索引'!BG:BG,MATCH($F45,'#建筑消耗和buff配置索引'!$M:$M,0)))</f>
        <v/>
      </c>
      <c r="AO45" s="133" t="str">
        <f>IF(AN45="","",INDEX('#建筑消耗和buff配置索引'!BH:BH,MATCH($F45,'#建筑消耗和buff配置索引'!$M:$M,0)))</f>
        <v/>
      </c>
      <c r="AR45" s="133" t="str">
        <f>IF(INDEX('#建筑消耗和buff配置索引'!BK:BK,MATCH($F45,'#建筑消耗和buff配置索引'!$M:$M,0))=0,"",INDEX('#建筑消耗和buff配置索引'!BK:BK,MATCH($F45,'#建筑消耗和buff配置索引'!$M:$M,0)))</f>
        <v/>
      </c>
      <c r="AS45" s="133" t="str">
        <f>IF(AR45="","",INDEX('#建筑消耗和buff配置索引'!BL:BL,MATCH($F45,'#建筑消耗和buff配置索引'!$M:$M,0)))</f>
        <v/>
      </c>
      <c r="AV45" s="133" t="str">
        <f>IF(INDEX('#建筑消耗和buff配置索引'!BO:BO,MATCH($F45,'#建筑消耗和buff配置索引'!$M:$M,0))=0,"",INDEX('#建筑消耗和buff配置索引'!BO:BO,MATCH($F45,'#建筑消耗和buff配置索引'!$M:$M,0)))</f>
        <v/>
      </c>
      <c r="AW45" s="133" t="str">
        <f>IF(AV45="","",INDEX('#建筑消耗和buff配置索引'!BP:BP,MATCH($F45,'#建筑消耗和buff配置索引'!$M:$M,0)))</f>
        <v/>
      </c>
      <c r="AZ45" s="133" t="str">
        <f>IF(INDEX('#建筑消耗和buff配置索引'!BS:BS,MATCH($F45,'#建筑消耗和buff配置索引'!$M:$M,0))=0,"",INDEX('#建筑消耗和buff配置索引'!BS:BS,MATCH($F45,'#建筑消耗和buff配置索引'!$M:$M,0)))</f>
        <v/>
      </c>
      <c r="BA45" s="133" t="str">
        <f>IF(AZ45="","",INDEX('#建筑消耗和buff配置索引'!BT:BT,MATCH($F45,'#建筑消耗和buff配置索引'!$M:$M,0)))</f>
        <v/>
      </c>
      <c r="BD45" s="133" t="str">
        <f>IF(INDEX('#建筑消耗和buff配置索引'!BW:BW,MATCH($F45,'#建筑消耗和buff配置索引'!$M:$M,0))=0,"",INDEX('#建筑消耗和buff配置索引'!BW:BW,MATCH($F45,'#建筑消耗和buff配置索引'!$M:$M,0)))</f>
        <v/>
      </c>
      <c r="BE45" s="133" t="str">
        <f>IF(BD45="","",INDEX('#建筑消耗和buff配置索引'!BX:BX,MATCH($F45,'#建筑消耗和buff配置索引'!$M:$M,0)))</f>
        <v/>
      </c>
      <c r="BI45" s="133">
        <v>2</v>
      </c>
    </row>
    <row r="46" spans="1:66" s="133" customFormat="1">
      <c r="A46" s="133">
        <v>2020013</v>
      </c>
      <c r="B46" s="133">
        <v>43</v>
      </c>
      <c r="C46" s="133">
        <v>202</v>
      </c>
      <c r="D46" s="133" t="s">
        <v>154</v>
      </c>
      <c r="E46" s="133">
        <v>13</v>
      </c>
      <c r="F46" s="133" t="str">
        <f t="shared" si="0"/>
        <v>居民房舍13</v>
      </c>
      <c r="H46" s="146"/>
      <c r="I46" s="133">
        <v>2</v>
      </c>
      <c r="J46" s="150">
        <f>INDEX('#建筑消耗和buff配置索引'!AH:AH,MATCH($F46,'#建筑消耗和buff配置索引'!$M:$M,0))</f>
        <v>8640</v>
      </c>
      <c r="K46" s="150">
        <f>INDEX('#建筑消耗和buff配置索引'!AA:AA,MATCH($F46,'#建筑消耗和buff配置索引'!$M:$M,0))</f>
        <v>100000</v>
      </c>
      <c r="L46" s="150">
        <f>INDEX('#建筑消耗和buff配置索引'!AB:AB,MATCH($F46,'#建筑消耗和buff配置索引'!$M:$M,0))</f>
        <v>210000</v>
      </c>
      <c r="M46" s="150">
        <f>INDEX('#建筑消耗和buff配置索引'!AC:AC,MATCH($F46,'#建筑消耗和buff配置索引'!$M:$M,0))</f>
        <v>100000</v>
      </c>
      <c r="N46" s="150">
        <f>INDEX('#建筑消耗和buff配置索引'!AD:AD,MATCH($F46,'#建筑消耗和buff配置索引'!$M:$M,0))</f>
        <v>100000</v>
      </c>
      <c r="O46" s="150" t="str">
        <f>IF(INDEX('#建筑消耗和buff配置索引'!T:T,MATCH($F46,'#建筑消耗和buff配置索引'!$M:$M,0))=0,"",INDEX('#建筑消耗和buff配置索引'!T:T,MATCH($F46,'#建筑消耗和buff配置索引'!$M:$M,0)))</f>
        <v/>
      </c>
      <c r="P46" s="133" t="str">
        <f>IF(INDEX('#建筑消耗和buff配置索引'!U:U,MATCH($F46,'#建筑消耗和buff配置索引'!$M:$M,0))=0,"",INDEX('#建筑消耗和buff配置索引'!U:U,MATCH($F46,'#建筑消耗和buff配置索引'!$M:$M,0)))</f>
        <v/>
      </c>
      <c r="Q46" s="133" t="str">
        <f>IF(INDEX('#建筑消耗和buff配置索引'!K:K,MATCH($F46,'#建筑消耗和buff配置索引'!$M:$M,0))=0,"",INDEX('#建筑消耗和buff配置索引'!K:K,MATCH($F46,'#建筑消耗和buff配置索引'!$M:$M,0)))</f>
        <v>201</v>
      </c>
      <c r="R46" s="133" t="str">
        <f>IF(INDEX('#建筑消耗和buff配置索引'!L:L,MATCH($F46,'#建筑消耗和buff配置索引'!$M:$M,0))=0,"",INDEX('#建筑消耗和buff配置索引'!L:L,MATCH($F46,'#建筑消耗和buff配置索引'!$M:$M,0)))</f>
        <v>13</v>
      </c>
      <c r="S46" s="133">
        <f>IF(INDEX('#建筑消耗和buff配置索引'!C:C,MATCH(F46,'#建筑消耗和buff配置索引'!M:M,0))=0,1,INDEX('#建筑消耗和buff配置索引'!C:C,MATCH(F46,'#建筑消耗和buff配置索引'!M:M,0)))</f>
        <v>1</v>
      </c>
      <c r="T46" s="133">
        <v>0</v>
      </c>
      <c r="U46" s="133">
        <v>0</v>
      </c>
      <c r="V46" s="133" t="str">
        <f>IF(E46=1,IF(INDEX('#建筑消耗和buff配置索引'!BY:BY,MATCH(D46,'#建筑消耗和buff配置索引'!A:A,0))=0,"",INDEX('#建筑消耗和buff配置索引'!BY:BY,MATCH(D46,'#建筑消耗和buff配置索引'!A:A,0))),"")</f>
        <v/>
      </c>
      <c r="W46" s="133" t="str">
        <f>IF(E46=1,IF(INDEX('#建筑消耗和buff配置索引'!BZ:BZ,MATCH(D46,'#建筑消耗和buff配置索引'!A:A,0))=0,"",INDEX('#建筑消耗和buff配置索引'!BZ:BZ,MATCH(D46,'#建筑消耗和buff配置索引'!A:A,0))),"")</f>
        <v/>
      </c>
      <c r="AA46" s="133">
        <f>INDEX('#建筑消耗和buff配置索引'!AO:AO,MATCH($F46,'#建筑消耗和buff配置索引'!$M:$M,0))</f>
        <v>3166</v>
      </c>
      <c r="AB46" s="133">
        <f>IF(INDEX('#建筑消耗和buff配置索引'!AR:AR,MATCH($F46,'#建筑消耗和buff配置索引'!$M:$M,0))=0,"",INDEX('#建筑消耗和buff配置索引'!AR:AR,MATCH($F46,'#建筑消耗和buff配置索引'!$M:$M,0)))</f>
        <v>1200</v>
      </c>
      <c r="AC46" s="133">
        <f>IF(AB46="","",INDEX('#建筑消耗和buff配置索引'!AS:AS,MATCH($F46,'#建筑消耗和buff配置索引'!$M:$M,0)))</f>
        <v>13</v>
      </c>
      <c r="AF46" s="133" t="str">
        <f>IF(INDEX('#建筑消耗和buff配置索引'!AW:AW,MATCH($F46,'#建筑消耗和buff配置索引'!$M:$M,0))=0,"",INDEX('#建筑消耗和buff配置索引'!AW:AW,MATCH($F46,'#建筑消耗和buff配置索引'!$M:$M,0)))</f>
        <v/>
      </c>
      <c r="AG46" s="133" t="str">
        <f>IF(AF46="","",INDEX('#建筑消耗和buff配置索引'!AX:AX,MATCH($F46,'#建筑消耗和buff配置索引'!$M:$M,0)))</f>
        <v/>
      </c>
      <c r="AJ46" s="133" t="str">
        <f>IF(INDEX('#建筑消耗和buff配置索引'!BB:BB,MATCH($F46,'#建筑消耗和buff配置索引'!$M:$M,0))=0,"",INDEX('#建筑消耗和buff配置索引'!BB:BB,MATCH($F46,'#建筑消耗和buff配置索引'!$M:$M,0)))</f>
        <v/>
      </c>
      <c r="AK46" s="133" t="str">
        <f>IF(AJ46="","",INDEX('#建筑消耗和buff配置索引'!BC:BC,MATCH($F46,'#建筑消耗和buff配置索引'!$M:$M,0)))</f>
        <v/>
      </c>
      <c r="AN46" s="133" t="str">
        <f>IF(INDEX('#建筑消耗和buff配置索引'!BG:BG,MATCH($F46,'#建筑消耗和buff配置索引'!$M:$M,0))=0,"",INDEX('#建筑消耗和buff配置索引'!BG:BG,MATCH($F46,'#建筑消耗和buff配置索引'!$M:$M,0)))</f>
        <v/>
      </c>
      <c r="AO46" s="133" t="str">
        <f>IF(AN46="","",INDEX('#建筑消耗和buff配置索引'!BH:BH,MATCH($F46,'#建筑消耗和buff配置索引'!$M:$M,0)))</f>
        <v/>
      </c>
      <c r="AR46" s="133" t="str">
        <f>IF(INDEX('#建筑消耗和buff配置索引'!BK:BK,MATCH($F46,'#建筑消耗和buff配置索引'!$M:$M,0))=0,"",INDEX('#建筑消耗和buff配置索引'!BK:BK,MATCH($F46,'#建筑消耗和buff配置索引'!$M:$M,0)))</f>
        <v/>
      </c>
      <c r="AS46" s="133" t="str">
        <f>IF(AR46="","",INDEX('#建筑消耗和buff配置索引'!BL:BL,MATCH($F46,'#建筑消耗和buff配置索引'!$M:$M,0)))</f>
        <v/>
      </c>
      <c r="AV46" s="133" t="str">
        <f>IF(INDEX('#建筑消耗和buff配置索引'!BO:BO,MATCH($F46,'#建筑消耗和buff配置索引'!$M:$M,0))=0,"",INDEX('#建筑消耗和buff配置索引'!BO:BO,MATCH($F46,'#建筑消耗和buff配置索引'!$M:$M,0)))</f>
        <v/>
      </c>
      <c r="AW46" s="133" t="str">
        <f>IF(AV46="","",INDEX('#建筑消耗和buff配置索引'!BP:BP,MATCH($F46,'#建筑消耗和buff配置索引'!$M:$M,0)))</f>
        <v/>
      </c>
      <c r="AZ46" s="133" t="str">
        <f>IF(INDEX('#建筑消耗和buff配置索引'!BS:BS,MATCH($F46,'#建筑消耗和buff配置索引'!$M:$M,0))=0,"",INDEX('#建筑消耗和buff配置索引'!BS:BS,MATCH($F46,'#建筑消耗和buff配置索引'!$M:$M,0)))</f>
        <v/>
      </c>
      <c r="BA46" s="133" t="str">
        <f>IF(AZ46="","",INDEX('#建筑消耗和buff配置索引'!BT:BT,MATCH($F46,'#建筑消耗和buff配置索引'!$M:$M,0)))</f>
        <v/>
      </c>
      <c r="BD46" s="133" t="str">
        <f>IF(INDEX('#建筑消耗和buff配置索引'!BW:BW,MATCH($F46,'#建筑消耗和buff配置索引'!$M:$M,0))=0,"",INDEX('#建筑消耗和buff配置索引'!BW:BW,MATCH($F46,'#建筑消耗和buff配置索引'!$M:$M,0)))</f>
        <v/>
      </c>
      <c r="BE46" s="133" t="str">
        <f>IF(BD46="","",INDEX('#建筑消耗和buff配置索引'!BX:BX,MATCH($F46,'#建筑消耗和buff配置索引'!$M:$M,0)))</f>
        <v/>
      </c>
      <c r="BI46" s="133">
        <v>2</v>
      </c>
    </row>
    <row r="47" spans="1:66" s="133" customFormat="1">
      <c r="A47" s="133">
        <v>2020014</v>
      </c>
      <c r="B47" s="133">
        <v>44</v>
      </c>
      <c r="C47" s="133">
        <v>202</v>
      </c>
      <c r="D47" s="133" t="s">
        <v>154</v>
      </c>
      <c r="E47" s="133">
        <v>14</v>
      </c>
      <c r="F47" s="133" t="str">
        <f t="shared" si="0"/>
        <v>居民房舍14</v>
      </c>
      <c r="H47" s="146"/>
      <c r="I47" s="133">
        <v>2</v>
      </c>
      <c r="J47" s="150">
        <f>INDEX('#建筑消耗和buff配置索引'!AH:AH,MATCH($F47,'#建筑消耗和buff配置索引'!$M:$M,0))</f>
        <v>10800</v>
      </c>
      <c r="K47" s="150">
        <f>INDEX('#建筑消耗和buff配置索引'!AA:AA,MATCH($F47,'#建筑消耗和buff配置索引'!$M:$M,0))</f>
        <v>130000</v>
      </c>
      <c r="L47" s="150">
        <f>INDEX('#建筑消耗和buff配置索引'!AB:AB,MATCH($F47,'#建筑消耗和buff配置索引'!$M:$M,0))</f>
        <v>270000</v>
      </c>
      <c r="M47" s="150">
        <f>INDEX('#建筑消耗和buff配置索引'!AC:AC,MATCH($F47,'#建筑消耗和buff配置索引'!$M:$M,0))</f>
        <v>130000</v>
      </c>
      <c r="N47" s="150">
        <f>INDEX('#建筑消耗和buff配置索引'!AD:AD,MATCH($F47,'#建筑消耗和buff配置索引'!$M:$M,0))</f>
        <v>130000</v>
      </c>
      <c r="O47" s="150" t="str">
        <f>IF(INDEX('#建筑消耗和buff配置索引'!T:T,MATCH($F47,'#建筑消耗和buff配置索引'!$M:$M,0))=0,"",INDEX('#建筑消耗和buff配置索引'!T:T,MATCH($F47,'#建筑消耗和buff配置索引'!$M:$M,0)))</f>
        <v/>
      </c>
      <c r="P47" s="133" t="str">
        <f>IF(INDEX('#建筑消耗和buff配置索引'!U:U,MATCH($F47,'#建筑消耗和buff配置索引'!$M:$M,0))=0,"",INDEX('#建筑消耗和buff配置索引'!U:U,MATCH($F47,'#建筑消耗和buff配置索引'!$M:$M,0)))</f>
        <v/>
      </c>
      <c r="Q47" s="133" t="str">
        <f>IF(INDEX('#建筑消耗和buff配置索引'!K:K,MATCH($F47,'#建筑消耗和buff配置索引'!$M:$M,0))=0,"",INDEX('#建筑消耗和buff配置索引'!K:K,MATCH($F47,'#建筑消耗和buff配置索引'!$M:$M,0)))</f>
        <v>201</v>
      </c>
      <c r="R47" s="133" t="str">
        <f>IF(INDEX('#建筑消耗和buff配置索引'!L:L,MATCH($F47,'#建筑消耗和buff配置索引'!$M:$M,0))=0,"",INDEX('#建筑消耗和buff配置索引'!L:L,MATCH($F47,'#建筑消耗和buff配置索引'!$M:$M,0)))</f>
        <v>14</v>
      </c>
      <c r="S47" s="133">
        <f>IF(INDEX('#建筑消耗和buff配置索引'!C:C,MATCH(F47,'#建筑消耗和buff配置索引'!M:M,0))=0,1,INDEX('#建筑消耗和buff配置索引'!C:C,MATCH(F47,'#建筑消耗和buff配置索引'!M:M,0)))</f>
        <v>1</v>
      </c>
      <c r="T47" s="133">
        <v>0</v>
      </c>
      <c r="U47" s="133">
        <v>0</v>
      </c>
      <c r="V47" s="133" t="str">
        <f>IF(E47=1,IF(INDEX('#建筑消耗和buff配置索引'!BY:BY,MATCH(D47,'#建筑消耗和buff配置索引'!A:A,0))=0,"",INDEX('#建筑消耗和buff配置索引'!BY:BY,MATCH(D47,'#建筑消耗和buff配置索引'!A:A,0))),"")</f>
        <v/>
      </c>
      <c r="W47" s="133" t="str">
        <f>IF(E47=1,IF(INDEX('#建筑消耗和buff配置索引'!BZ:BZ,MATCH(D47,'#建筑消耗和buff配置索引'!A:A,0))=0,"",INDEX('#建筑消耗和buff配置索引'!BZ:BZ,MATCH(D47,'#建筑消耗和buff配置索引'!A:A,0))),"")</f>
        <v/>
      </c>
      <c r="AA47" s="133">
        <f>INDEX('#建筑消耗和buff配置索引'!AO:AO,MATCH($F47,'#建筑消耗和buff配置索引'!$M:$M,0))</f>
        <v>4505</v>
      </c>
      <c r="AB47" s="133">
        <f>IF(INDEX('#建筑消耗和buff配置索引'!AR:AR,MATCH($F47,'#建筑消耗和buff配置索引'!$M:$M,0))=0,"",INDEX('#建筑消耗和buff配置索引'!AR:AR,MATCH($F47,'#建筑消耗和buff配置索引'!$M:$M,0)))</f>
        <v>1200</v>
      </c>
      <c r="AC47" s="133">
        <f>IF(AB47="","",INDEX('#建筑消耗和buff配置索引'!AS:AS,MATCH($F47,'#建筑消耗和buff配置索引'!$M:$M,0)))</f>
        <v>14</v>
      </c>
      <c r="AF47" s="133" t="str">
        <f>IF(INDEX('#建筑消耗和buff配置索引'!AW:AW,MATCH($F47,'#建筑消耗和buff配置索引'!$M:$M,0))=0,"",INDEX('#建筑消耗和buff配置索引'!AW:AW,MATCH($F47,'#建筑消耗和buff配置索引'!$M:$M,0)))</f>
        <v/>
      </c>
      <c r="AG47" s="133" t="str">
        <f>IF(AF47="","",INDEX('#建筑消耗和buff配置索引'!AX:AX,MATCH($F47,'#建筑消耗和buff配置索引'!$M:$M,0)))</f>
        <v/>
      </c>
      <c r="AJ47" s="133" t="str">
        <f>IF(INDEX('#建筑消耗和buff配置索引'!BB:BB,MATCH($F47,'#建筑消耗和buff配置索引'!$M:$M,0))=0,"",INDEX('#建筑消耗和buff配置索引'!BB:BB,MATCH($F47,'#建筑消耗和buff配置索引'!$M:$M,0)))</f>
        <v/>
      </c>
      <c r="AK47" s="133" t="str">
        <f>IF(AJ47="","",INDEX('#建筑消耗和buff配置索引'!BC:BC,MATCH($F47,'#建筑消耗和buff配置索引'!$M:$M,0)))</f>
        <v/>
      </c>
      <c r="AN47" s="133" t="str">
        <f>IF(INDEX('#建筑消耗和buff配置索引'!BG:BG,MATCH($F47,'#建筑消耗和buff配置索引'!$M:$M,0))=0,"",INDEX('#建筑消耗和buff配置索引'!BG:BG,MATCH($F47,'#建筑消耗和buff配置索引'!$M:$M,0)))</f>
        <v/>
      </c>
      <c r="AO47" s="133" t="str">
        <f>IF(AN47="","",INDEX('#建筑消耗和buff配置索引'!BH:BH,MATCH($F47,'#建筑消耗和buff配置索引'!$M:$M,0)))</f>
        <v/>
      </c>
      <c r="AR47" s="133" t="str">
        <f>IF(INDEX('#建筑消耗和buff配置索引'!BK:BK,MATCH($F47,'#建筑消耗和buff配置索引'!$M:$M,0))=0,"",INDEX('#建筑消耗和buff配置索引'!BK:BK,MATCH($F47,'#建筑消耗和buff配置索引'!$M:$M,0)))</f>
        <v/>
      </c>
      <c r="AS47" s="133" t="str">
        <f>IF(AR47="","",INDEX('#建筑消耗和buff配置索引'!BL:BL,MATCH($F47,'#建筑消耗和buff配置索引'!$M:$M,0)))</f>
        <v/>
      </c>
      <c r="AV47" s="133" t="str">
        <f>IF(INDEX('#建筑消耗和buff配置索引'!BO:BO,MATCH($F47,'#建筑消耗和buff配置索引'!$M:$M,0))=0,"",INDEX('#建筑消耗和buff配置索引'!BO:BO,MATCH($F47,'#建筑消耗和buff配置索引'!$M:$M,0)))</f>
        <v/>
      </c>
      <c r="AW47" s="133" t="str">
        <f>IF(AV47="","",INDEX('#建筑消耗和buff配置索引'!BP:BP,MATCH($F47,'#建筑消耗和buff配置索引'!$M:$M,0)))</f>
        <v/>
      </c>
      <c r="AZ47" s="133" t="str">
        <f>IF(INDEX('#建筑消耗和buff配置索引'!BS:BS,MATCH($F47,'#建筑消耗和buff配置索引'!$M:$M,0))=0,"",INDEX('#建筑消耗和buff配置索引'!BS:BS,MATCH($F47,'#建筑消耗和buff配置索引'!$M:$M,0)))</f>
        <v/>
      </c>
      <c r="BA47" s="133" t="str">
        <f>IF(AZ47="","",INDEX('#建筑消耗和buff配置索引'!BT:BT,MATCH($F47,'#建筑消耗和buff配置索引'!$M:$M,0)))</f>
        <v/>
      </c>
      <c r="BD47" s="133" t="str">
        <f>IF(INDEX('#建筑消耗和buff配置索引'!BW:BW,MATCH($F47,'#建筑消耗和buff配置索引'!$M:$M,0))=0,"",INDEX('#建筑消耗和buff配置索引'!BW:BW,MATCH($F47,'#建筑消耗和buff配置索引'!$M:$M,0)))</f>
        <v/>
      </c>
      <c r="BE47" s="133" t="str">
        <f>IF(BD47="","",INDEX('#建筑消耗和buff配置索引'!BX:BX,MATCH($F47,'#建筑消耗和buff配置索引'!$M:$M,0)))</f>
        <v/>
      </c>
      <c r="BI47" s="133">
        <v>2</v>
      </c>
    </row>
    <row r="48" spans="1:66" s="133" customFormat="1">
      <c r="A48" s="133">
        <v>2020015</v>
      </c>
      <c r="B48" s="133">
        <v>45</v>
      </c>
      <c r="C48" s="133">
        <v>202</v>
      </c>
      <c r="D48" s="133" t="s">
        <v>154</v>
      </c>
      <c r="E48" s="133">
        <v>15</v>
      </c>
      <c r="F48" s="133" t="str">
        <f t="shared" si="0"/>
        <v>居民房舍15</v>
      </c>
      <c r="H48" s="146"/>
      <c r="I48" s="133">
        <v>2</v>
      </c>
      <c r="J48" s="150">
        <f>INDEX('#建筑消耗和buff配置索引'!AH:AH,MATCH($F48,'#建筑消耗和buff配置索引'!$M:$M,0))</f>
        <v>12960</v>
      </c>
      <c r="K48" s="150">
        <f>INDEX('#建筑消耗和buff配置索引'!AA:AA,MATCH($F48,'#建筑消耗和buff配置索引'!$M:$M,0))</f>
        <v>170000</v>
      </c>
      <c r="L48" s="150">
        <f>INDEX('#建筑消耗和buff配置索引'!AB:AB,MATCH($F48,'#建筑消耗和buff配置索引'!$M:$M,0))</f>
        <v>340000</v>
      </c>
      <c r="M48" s="150">
        <f>INDEX('#建筑消耗和buff配置索引'!AC:AC,MATCH($F48,'#建筑消耗和buff配置索引'!$M:$M,0))</f>
        <v>170000</v>
      </c>
      <c r="N48" s="150">
        <f>INDEX('#建筑消耗和buff配置索引'!AD:AD,MATCH($F48,'#建筑消耗和buff配置索引'!$M:$M,0))</f>
        <v>170000</v>
      </c>
      <c r="O48" s="150" t="str">
        <f>IF(INDEX('#建筑消耗和buff配置索引'!T:T,MATCH($F48,'#建筑消耗和buff配置索引'!$M:$M,0))=0,"",INDEX('#建筑消耗和buff配置索引'!T:T,MATCH($F48,'#建筑消耗和buff配置索引'!$M:$M,0)))</f>
        <v/>
      </c>
      <c r="P48" s="133" t="str">
        <f>IF(INDEX('#建筑消耗和buff配置索引'!U:U,MATCH($F48,'#建筑消耗和buff配置索引'!$M:$M,0))=0,"",INDEX('#建筑消耗和buff配置索引'!U:U,MATCH($F48,'#建筑消耗和buff配置索引'!$M:$M,0)))</f>
        <v/>
      </c>
      <c r="Q48" s="133" t="str">
        <f>IF(INDEX('#建筑消耗和buff配置索引'!K:K,MATCH($F48,'#建筑消耗和buff配置索引'!$M:$M,0))=0,"",INDEX('#建筑消耗和buff配置索引'!K:K,MATCH($F48,'#建筑消耗和buff配置索引'!$M:$M,0)))</f>
        <v>201</v>
      </c>
      <c r="R48" s="133" t="str">
        <f>IF(INDEX('#建筑消耗和buff配置索引'!L:L,MATCH($F48,'#建筑消耗和buff配置索引'!$M:$M,0))=0,"",INDEX('#建筑消耗和buff配置索引'!L:L,MATCH($F48,'#建筑消耗和buff配置索引'!$M:$M,0)))</f>
        <v>15</v>
      </c>
      <c r="S48" s="133">
        <f>IF(INDEX('#建筑消耗和buff配置索引'!C:C,MATCH(F48,'#建筑消耗和buff配置索引'!M:M,0))=0,1,INDEX('#建筑消耗和buff配置索引'!C:C,MATCH(F48,'#建筑消耗和buff配置索引'!M:M,0)))</f>
        <v>1</v>
      </c>
      <c r="T48" s="133">
        <v>0</v>
      </c>
      <c r="U48" s="133">
        <v>0</v>
      </c>
      <c r="V48" s="133" t="str">
        <f>IF(E48=1,IF(INDEX('#建筑消耗和buff配置索引'!BY:BY,MATCH(D48,'#建筑消耗和buff配置索引'!A:A,0))=0,"",INDEX('#建筑消耗和buff配置索引'!BY:BY,MATCH(D48,'#建筑消耗和buff配置索引'!A:A,0))),"")</f>
        <v/>
      </c>
      <c r="W48" s="133" t="str">
        <f>IF(E48=1,IF(INDEX('#建筑消耗和buff配置索引'!BZ:BZ,MATCH(D48,'#建筑消耗和buff配置索引'!A:A,0))=0,"",INDEX('#建筑消耗和buff配置索引'!BZ:BZ,MATCH(D48,'#建筑消耗和buff配置索引'!A:A,0))),"")</f>
        <v/>
      </c>
      <c r="AA48" s="133">
        <f>INDEX('#建筑消耗和buff配置索引'!AO:AO,MATCH($F48,'#建筑消耗和buff配置索引'!$M:$M,0))</f>
        <v>6219</v>
      </c>
      <c r="AB48" s="133">
        <f>IF(INDEX('#建筑消耗和buff配置索引'!AR:AR,MATCH($F48,'#建筑消耗和buff配置索引'!$M:$M,0))=0,"",INDEX('#建筑消耗和buff配置索引'!AR:AR,MATCH($F48,'#建筑消耗和buff配置索引'!$M:$M,0)))</f>
        <v>1200</v>
      </c>
      <c r="AC48" s="133">
        <f>IF(AB48="","",INDEX('#建筑消耗和buff配置索引'!AS:AS,MATCH($F48,'#建筑消耗和buff配置索引'!$M:$M,0)))</f>
        <v>15</v>
      </c>
      <c r="AF48" s="133" t="str">
        <f>IF(INDEX('#建筑消耗和buff配置索引'!AW:AW,MATCH($F48,'#建筑消耗和buff配置索引'!$M:$M,0))=0,"",INDEX('#建筑消耗和buff配置索引'!AW:AW,MATCH($F48,'#建筑消耗和buff配置索引'!$M:$M,0)))</f>
        <v/>
      </c>
      <c r="AG48" s="133" t="str">
        <f>IF(AF48="","",INDEX('#建筑消耗和buff配置索引'!AX:AX,MATCH($F48,'#建筑消耗和buff配置索引'!$M:$M,0)))</f>
        <v/>
      </c>
      <c r="AJ48" s="133" t="str">
        <f>IF(INDEX('#建筑消耗和buff配置索引'!BB:BB,MATCH($F48,'#建筑消耗和buff配置索引'!$M:$M,0))=0,"",INDEX('#建筑消耗和buff配置索引'!BB:BB,MATCH($F48,'#建筑消耗和buff配置索引'!$M:$M,0)))</f>
        <v/>
      </c>
      <c r="AK48" s="133" t="str">
        <f>IF(AJ48="","",INDEX('#建筑消耗和buff配置索引'!BC:BC,MATCH($F48,'#建筑消耗和buff配置索引'!$M:$M,0)))</f>
        <v/>
      </c>
      <c r="AN48" s="133" t="str">
        <f>IF(INDEX('#建筑消耗和buff配置索引'!BG:BG,MATCH($F48,'#建筑消耗和buff配置索引'!$M:$M,0))=0,"",INDEX('#建筑消耗和buff配置索引'!BG:BG,MATCH($F48,'#建筑消耗和buff配置索引'!$M:$M,0)))</f>
        <v/>
      </c>
      <c r="AO48" s="133" t="str">
        <f>IF(AN48="","",INDEX('#建筑消耗和buff配置索引'!BH:BH,MATCH($F48,'#建筑消耗和buff配置索引'!$M:$M,0)))</f>
        <v/>
      </c>
      <c r="AR48" s="133" t="str">
        <f>IF(INDEX('#建筑消耗和buff配置索引'!BK:BK,MATCH($F48,'#建筑消耗和buff配置索引'!$M:$M,0))=0,"",INDEX('#建筑消耗和buff配置索引'!BK:BK,MATCH($F48,'#建筑消耗和buff配置索引'!$M:$M,0)))</f>
        <v/>
      </c>
      <c r="AS48" s="133" t="str">
        <f>IF(AR48="","",INDEX('#建筑消耗和buff配置索引'!BL:BL,MATCH($F48,'#建筑消耗和buff配置索引'!$M:$M,0)))</f>
        <v/>
      </c>
      <c r="AV48" s="133" t="str">
        <f>IF(INDEX('#建筑消耗和buff配置索引'!BO:BO,MATCH($F48,'#建筑消耗和buff配置索引'!$M:$M,0))=0,"",INDEX('#建筑消耗和buff配置索引'!BO:BO,MATCH($F48,'#建筑消耗和buff配置索引'!$M:$M,0)))</f>
        <v/>
      </c>
      <c r="AW48" s="133" t="str">
        <f>IF(AV48="","",INDEX('#建筑消耗和buff配置索引'!BP:BP,MATCH($F48,'#建筑消耗和buff配置索引'!$M:$M,0)))</f>
        <v/>
      </c>
      <c r="AZ48" s="133" t="str">
        <f>IF(INDEX('#建筑消耗和buff配置索引'!BS:BS,MATCH($F48,'#建筑消耗和buff配置索引'!$M:$M,0))=0,"",INDEX('#建筑消耗和buff配置索引'!BS:BS,MATCH($F48,'#建筑消耗和buff配置索引'!$M:$M,0)))</f>
        <v/>
      </c>
      <c r="BA48" s="133" t="str">
        <f>IF(AZ48="","",INDEX('#建筑消耗和buff配置索引'!BT:BT,MATCH($F48,'#建筑消耗和buff配置索引'!$M:$M,0)))</f>
        <v/>
      </c>
      <c r="BD48" s="133" t="str">
        <f>IF(INDEX('#建筑消耗和buff配置索引'!BW:BW,MATCH($F48,'#建筑消耗和buff配置索引'!$M:$M,0))=0,"",INDEX('#建筑消耗和buff配置索引'!BW:BW,MATCH($F48,'#建筑消耗和buff配置索引'!$M:$M,0)))</f>
        <v/>
      </c>
      <c r="BE48" s="133" t="str">
        <f>IF(BD48="","",INDEX('#建筑消耗和buff配置索引'!BX:BX,MATCH($F48,'#建筑消耗和buff配置索引'!$M:$M,0)))</f>
        <v/>
      </c>
      <c r="BI48" s="133">
        <v>2</v>
      </c>
    </row>
    <row r="49" spans="1:70" s="133" customFormat="1">
      <c r="A49" s="133">
        <v>2020016</v>
      </c>
      <c r="B49" s="133">
        <v>46</v>
      </c>
      <c r="C49" s="133">
        <v>202</v>
      </c>
      <c r="D49" s="133" t="s">
        <v>154</v>
      </c>
      <c r="E49" s="133">
        <v>16</v>
      </c>
      <c r="F49" s="133" t="str">
        <f t="shared" si="0"/>
        <v>居民房舍16</v>
      </c>
      <c r="H49" s="146"/>
      <c r="I49" s="133">
        <v>2</v>
      </c>
      <c r="J49" s="150">
        <f>INDEX('#建筑消耗和buff配置索引'!AH:AH,MATCH($F49,'#建筑消耗和buff配置索引'!$M:$M,0))</f>
        <v>16200</v>
      </c>
      <c r="K49" s="150">
        <f>INDEX('#建筑消耗和buff配置索引'!AA:AA,MATCH($F49,'#建筑消耗和buff配置索引'!$M:$M,0))</f>
        <v>220000</v>
      </c>
      <c r="L49" s="150">
        <f>INDEX('#建筑消耗和buff配置索引'!AB:AB,MATCH($F49,'#建筑消耗和buff配置索引'!$M:$M,0))</f>
        <v>440000</v>
      </c>
      <c r="M49" s="150">
        <f>INDEX('#建筑消耗和buff配置索引'!AC:AC,MATCH($F49,'#建筑消耗和buff配置索引'!$M:$M,0))</f>
        <v>220000</v>
      </c>
      <c r="N49" s="150">
        <f>INDEX('#建筑消耗和buff配置索引'!AD:AD,MATCH($F49,'#建筑消耗和buff配置索引'!$M:$M,0))</f>
        <v>220000</v>
      </c>
      <c r="O49" s="150" t="str">
        <f>IF(INDEX('#建筑消耗和buff配置索引'!T:T,MATCH($F49,'#建筑消耗和buff配置索引'!$M:$M,0))=0,"",INDEX('#建筑消耗和buff配置索引'!T:T,MATCH($F49,'#建筑消耗和buff配置索引'!$M:$M,0)))</f>
        <v/>
      </c>
      <c r="P49" s="133" t="str">
        <f>IF(INDEX('#建筑消耗和buff配置索引'!U:U,MATCH($F49,'#建筑消耗和buff配置索引'!$M:$M,0))=0,"",INDEX('#建筑消耗和buff配置索引'!U:U,MATCH($F49,'#建筑消耗和buff配置索引'!$M:$M,0)))</f>
        <v/>
      </c>
      <c r="Q49" s="133" t="str">
        <f>IF(INDEX('#建筑消耗和buff配置索引'!K:K,MATCH($F49,'#建筑消耗和buff配置索引'!$M:$M,0))=0,"",INDEX('#建筑消耗和buff配置索引'!K:K,MATCH($F49,'#建筑消耗和buff配置索引'!$M:$M,0)))</f>
        <v>201</v>
      </c>
      <c r="R49" s="133" t="str">
        <f>IF(INDEX('#建筑消耗和buff配置索引'!L:L,MATCH($F49,'#建筑消耗和buff配置索引'!$M:$M,0))=0,"",INDEX('#建筑消耗和buff配置索引'!L:L,MATCH($F49,'#建筑消耗和buff配置索引'!$M:$M,0)))</f>
        <v>16</v>
      </c>
      <c r="S49" s="133">
        <f>IF(INDEX('#建筑消耗和buff配置索引'!C:C,MATCH(F49,'#建筑消耗和buff配置索引'!M:M,0))=0,1,INDEX('#建筑消耗和buff配置索引'!C:C,MATCH(F49,'#建筑消耗和buff配置索引'!M:M,0)))</f>
        <v>1</v>
      </c>
      <c r="T49" s="133">
        <v>0</v>
      </c>
      <c r="U49" s="133">
        <v>0</v>
      </c>
      <c r="V49" s="133" t="str">
        <f>IF(E49=1,IF(INDEX('#建筑消耗和buff配置索引'!BY:BY,MATCH(D49,'#建筑消耗和buff配置索引'!A:A,0))=0,"",INDEX('#建筑消耗和buff配置索引'!BY:BY,MATCH(D49,'#建筑消耗和buff配置索引'!A:A,0))),"")</f>
        <v/>
      </c>
      <c r="W49" s="133" t="str">
        <f>IF(E49=1,IF(INDEX('#建筑消耗和buff配置索引'!BZ:BZ,MATCH(D49,'#建筑消耗和buff配置索引'!A:A,0))=0,"",INDEX('#建筑消耗和buff配置索引'!BZ:BZ,MATCH(D49,'#建筑消耗和buff配置索引'!A:A,0))),"")</f>
        <v/>
      </c>
      <c r="AA49" s="133">
        <f>INDEX('#建筑消耗和buff配置索引'!AO:AO,MATCH($F49,'#建筑消耗和buff配置索引'!$M:$M,0))</f>
        <v>8413</v>
      </c>
      <c r="AB49" s="133">
        <f>IF(INDEX('#建筑消耗和buff配置索引'!AR:AR,MATCH($F49,'#建筑消耗和buff配置索引'!$M:$M,0))=0,"",INDEX('#建筑消耗和buff配置索引'!AR:AR,MATCH($F49,'#建筑消耗和buff配置索引'!$M:$M,0)))</f>
        <v>1200</v>
      </c>
      <c r="AC49" s="133">
        <f>IF(AB49="","",INDEX('#建筑消耗和buff配置索引'!AS:AS,MATCH($F49,'#建筑消耗和buff配置索引'!$M:$M,0)))</f>
        <v>16</v>
      </c>
      <c r="AF49" s="133" t="str">
        <f>IF(INDEX('#建筑消耗和buff配置索引'!AW:AW,MATCH($F49,'#建筑消耗和buff配置索引'!$M:$M,0))=0,"",INDEX('#建筑消耗和buff配置索引'!AW:AW,MATCH($F49,'#建筑消耗和buff配置索引'!$M:$M,0)))</f>
        <v/>
      </c>
      <c r="AG49" s="133" t="str">
        <f>IF(AF49="","",INDEX('#建筑消耗和buff配置索引'!AX:AX,MATCH($F49,'#建筑消耗和buff配置索引'!$M:$M,0)))</f>
        <v/>
      </c>
      <c r="AJ49" s="133" t="str">
        <f>IF(INDEX('#建筑消耗和buff配置索引'!BB:BB,MATCH($F49,'#建筑消耗和buff配置索引'!$M:$M,0))=0,"",INDEX('#建筑消耗和buff配置索引'!BB:BB,MATCH($F49,'#建筑消耗和buff配置索引'!$M:$M,0)))</f>
        <v/>
      </c>
      <c r="AK49" s="133" t="str">
        <f>IF(AJ49="","",INDEX('#建筑消耗和buff配置索引'!BC:BC,MATCH($F49,'#建筑消耗和buff配置索引'!$M:$M,0)))</f>
        <v/>
      </c>
      <c r="AN49" s="133" t="str">
        <f>IF(INDEX('#建筑消耗和buff配置索引'!BG:BG,MATCH($F49,'#建筑消耗和buff配置索引'!$M:$M,0))=0,"",INDEX('#建筑消耗和buff配置索引'!BG:BG,MATCH($F49,'#建筑消耗和buff配置索引'!$M:$M,0)))</f>
        <v/>
      </c>
      <c r="AO49" s="133" t="str">
        <f>IF(AN49="","",INDEX('#建筑消耗和buff配置索引'!BH:BH,MATCH($F49,'#建筑消耗和buff配置索引'!$M:$M,0)))</f>
        <v/>
      </c>
      <c r="AR49" s="133" t="str">
        <f>IF(INDEX('#建筑消耗和buff配置索引'!BK:BK,MATCH($F49,'#建筑消耗和buff配置索引'!$M:$M,0))=0,"",INDEX('#建筑消耗和buff配置索引'!BK:BK,MATCH($F49,'#建筑消耗和buff配置索引'!$M:$M,0)))</f>
        <v/>
      </c>
      <c r="AS49" s="133" t="str">
        <f>IF(AR49="","",INDEX('#建筑消耗和buff配置索引'!BL:BL,MATCH($F49,'#建筑消耗和buff配置索引'!$M:$M,0)))</f>
        <v/>
      </c>
      <c r="AV49" s="133" t="str">
        <f>IF(INDEX('#建筑消耗和buff配置索引'!BO:BO,MATCH($F49,'#建筑消耗和buff配置索引'!$M:$M,0))=0,"",INDEX('#建筑消耗和buff配置索引'!BO:BO,MATCH($F49,'#建筑消耗和buff配置索引'!$M:$M,0)))</f>
        <v/>
      </c>
      <c r="AW49" s="133" t="str">
        <f>IF(AV49="","",INDEX('#建筑消耗和buff配置索引'!BP:BP,MATCH($F49,'#建筑消耗和buff配置索引'!$M:$M,0)))</f>
        <v/>
      </c>
      <c r="AZ49" s="133" t="str">
        <f>IF(INDEX('#建筑消耗和buff配置索引'!BS:BS,MATCH($F49,'#建筑消耗和buff配置索引'!$M:$M,0))=0,"",INDEX('#建筑消耗和buff配置索引'!BS:BS,MATCH($F49,'#建筑消耗和buff配置索引'!$M:$M,0)))</f>
        <v/>
      </c>
      <c r="BA49" s="133" t="str">
        <f>IF(AZ49="","",INDEX('#建筑消耗和buff配置索引'!BT:BT,MATCH($F49,'#建筑消耗和buff配置索引'!$M:$M,0)))</f>
        <v/>
      </c>
      <c r="BD49" s="133" t="str">
        <f>IF(INDEX('#建筑消耗和buff配置索引'!BW:BW,MATCH($F49,'#建筑消耗和buff配置索引'!$M:$M,0))=0,"",INDEX('#建筑消耗和buff配置索引'!BW:BW,MATCH($F49,'#建筑消耗和buff配置索引'!$M:$M,0)))</f>
        <v/>
      </c>
      <c r="BE49" s="133" t="str">
        <f>IF(BD49="","",INDEX('#建筑消耗和buff配置索引'!BX:BX,MATCH($F49,'#建筑消耗和buff配置索引'!$M:$M,0)))</f>
        <v/>
      </c>
      <c r="BI49" s="133">
        <v>2</v>
      </c>
    </row>
    <row r="50" spans="1:70" s="133" customFormat="1">
      <c r="A50" s="133">
        <v>2020017</v>
      </c>
      <c r="B50" s="133">
        <v>47</v>
      </c>
      <c r="C50" s="133">
        <v>202</v>
      </c>
      <c r="D50" s="133" t="s">
        <v>154</v>
      </c>
      <c r="E50" s="133">
        <v>17</v>
      </c>
      <c r="F50" s="133" t="str">
        <f t="shared" si="0"/>
        <v>居民房舍17</v>
      </c>
      <c r="H50" s="146"/>
      <c r="I50" s="133">
        <v>2</v>
      </c>
      <c r="J50" s="150">
        <f>INDEX('#建筑消耗和buff配置索引'!AH:AH,MATCH($F50,'#建筑消耗和buff配置索引'!$M:$M,0))</f>
        <v>21600</v>
      </c>
      <c r="K50" s="150">
        <f>INDEX('#建筑消耗和buff配置索引'!AA:AA,MATCH($F50,'#建筑消耗和buff配置索引'!$M:$M,0))</f>
        <v>280000</v>
      </c>
      <c r="L50" s="150">
        <f>INDEX('#建筑消耗和buff配置索引'!AB:AB,MATCH($F50,'#建筑消耗和buff配置索引'!$M:$M,0))</f>
        <v>560000</v>
      </c>
      <c r="M50" s="150">
        <f>INDEX('#建筑消耗和buff配置索引'!AC:AC,MATCH($F50,'#建筑消耗和buff配置索引'!$M:$M,0))</f>
        <v>280000</v>
      </c>
      <c r="N50" s="150">
        <f>INDEX('#建筑消耗和buff配置索引'!AD:AD,MATCH($F50,'#建筑消耗和buff配置索引'!$M:$M,0))</f>
        <v>280000</v>
      </c>
      <c r="O50" s="150" t="str">
        <f>IF(INDEX('#建筑消耗和buff配置索引'!T:T,MATCH($F50,'#建筑消耗和buff配置索引'!$M:$M,0))=0,"",INDEX('#建筑消耗和buff配置索引'!T:T,MATCH($F50,'#建筑消耗和buff配置索引'!$M:$M,0)))</f>
        <v/>
      </c>
      <c r="P50" s="133" t="str">
        <f>IF(INDEX('#建筑消耗和buff配置索引'!U:U,MATCH($F50,'#建筑消耗和buff配置索引'!$M:$M,0))=0,"",INDEX('#建筑消耗和buff配置索引'!U:U,MATCH($F50,'#建筑消耗和buff配置索引'!$M:$M,0)))</f>
        <v/>
      </c>
      <c r="Q50" s="133" t="str">
        <f>IF(INDEX('#建筑消耗和buff配置索引'!K:K,MATCH($F50,'#建筑消耗和buff配置索引'!$M:$M,0))=0,"",INDEX('#建筑消耗和buff配置索引'!K:K,MATCH($F50,'#建筑消耗和buff配置索引'!$M:$M,0)))</f>
        <v>201</v>
      </c>
      <c r="R50" s="133" t="str">
        <f>IF(INDEX('#建筑消耗和buff配置索引'!L:L,MATCH($F50,'#建筑消耗和buff配置索引'!$M:$M,0))=0,"",INDEX('#建筑消耗和buff配置索引'!L:L,MATCH($F50,'#建筑消耗和buff配置索引'!$M:$M,0)))</f>
        <v>17</v>
      </c>
      <c r="S50" s="133">
        <f>IF(INDEX('#建筑消耗和buff配置索引'!C:C,MATCH(F50,'#建筑消耗和buff配置索引'!M:M,0))=0,1,INDEX('#建筑消耗和buff配置索引'!C:C,MATCH(F50,'#建筑消耗和buff配置索引'!M:M,0)))</f>
        <v>1</v>
      </c>
      <c r="T50" s="133">
        <v>0</v>
      </c>
      <c r="U50" s="133">
        <v>0</v>
      </c>
      <c r="V50" s="133" t="str">
        <f>IF(E50=1,IF(INDEX('#建筑消耗和buff配置索引'!BY:BY,MATCH(D50,'#建筑消耗和buff配置索引'!A:A,0))=0,"",INDEX('#建筑消耗和buff配置索引'!BY:BY,MATCH(D50,'#建筑消耗和buff配置索引'!A:A,0))),"")</f>
        <v/>
      </c>
      <c r="W50" s="133" t="str">
        <f>IF(E50=1,IF(INDEX('#建筑消耗和buff配置索引'!BZ:BZ,MATCH(D50,'#建筑消耗和buff配置索引'!A:A,0))=0,"",INDEX('#建筑消耗和buff配置索引'!BZ:BZ,MATCH(D50,'#建筑消耗和buff配置索引'!A:A,0))),"")</f>
        <v/>
      </c>
      <c r="AA50" s="133">
        <f>INDEX('#建筑消耗和buff配置索引'!AO:AO,MATCH($F50,'#建筑消耗和buff配置索引'!$M:$M,0))</f>
        <v>11221</v>
      </c>
      <c r="AB50" s="133">
        <f>IF(INDEX('#建筑消耗和buff配置索引'!AR:AR,MATCH($F50,'#建筑消耗和buff配置索引'!$M:$M,0))=0,"",INDEX('#建筑消耗和buff配置索引'!AR:AR,MATCH($F50,'#建筑消耗和buff配置索引'!$M:$M,0)))</f>
        <v>1200</v>
      </c>
      <c r="AC50" s="133">
        <f>IF(AB50="","",INDEX('#建筑消耗和buff配置索引'!AS:AS,MATCH($F50,'#建筑消耗和buff配置索引'!$M:$M,0)))</f>
        <v>17</v>
      </c>
      <c r="AF50" s="133" t="str">
        <f>IF(INDEX('#建筑消耗和buff配置索引'!AW:AW,MATCH($F50,'#建筑消耗和buff配置索引'!$M:$M,0))=0,"",INDEX('#建筑消耗和buff配置索引'!AW:AW,MATCH($F50,'#建筑消耗和buff配置索引'!$M:$M,0)))</f>
        <v/>
      </c>
      <c r="AG50" s="133" t="str">
        <f>IF(AF50="","",INDEX('#建筑消耗和buff配置索引'!AX:AX,MATCH($F50,'#建筑消耗和buff配置索引'!$M:$M,0)))</f>
        <v/>
      </c>
      <c r="AJ50" s="133" t="str">
        <f>IF(INDEX('#建筑消耗和buff配置索引'!BB:BB,MATCH($F50,'#建筑消耗和buff配置索引'!$M:$M,0))=0,"",INDEX('#建筑消耗和buff配置索引'!BB:BB,MATCH($F50,'#建筑消耗和buff配置索引'!$M:$M,0)))</f>
        <v/>
      </c>
      <c r="AK50" s="133" t="str">
        <f>IF(AJ50="","",INDEX('#建筑消耗和buff配置索引'!BC:BC,MATCH($F50,'#建筑消耗和buff配置索引'!$M:$M,0)))</f>
        <v/>
      </c>
      <c r="AN50" s="133" t="str">
        <f>IF(INDEX('#建筑消耗和buff配置索引'!BG:BG,MATCH($F50,'#建筑消耗和buff配置索引'!$M:$M,0))=0,"",INDEX('#建筑消耗和buff配置索引'!BG:BG,MATCH($F50,'#建筑消耗和buff配置索引'!$M:$M,0)))</f>
        <v/>
      </c>
      <c r="AO50" s="133" t="str">
        <f>IF(AN50="","",INDEX('#建筑消耗和buff配置索引'!BH:BH,MATCH($F50,'#建筑消耗和buff配置索引'!$M:$M,0)))</f>
        <v/>
      </c>
      <c r="AR50" s="133" t="str">
        <f>IF(INDEX('#建筑消耗和buff配置索引'!BK:BK,MATCH($F50,'#建筑消耗和buff配置索引'!$M:$M,0))=0,"",INDEX('#建筑消耗和buff配置索引'!BK:BK,MATCH($F50,'#建筑消耗和buff配置索引'!$M:$M,0)))</f>
        <v/>
      </c>
      <c r="AS50" s="133" t="str">
        <f>IF(AR50="","",INDEX('#建筑消耗和buff配置索引'!BL:BL,MATCH($F50,'#建筑消耗和buff配置索引'!$M:$M,0)))</f>
        <v/>
      </c>
      <c r="AV50" s="133" t="str">
        <f>IF(INDEX('#建筑消耗和buff配置索引'!BO:BO,MATCH($F50,'#建筑消耗和buff配置索引'!$M:$M,0))=0,"",INDEX('#建筑消耗和buff配置索引'!BO:BO,MATCH($F50,'#建筑消耗和buff配置索引'!$M:$M,0)))</f>
        <v/>
      </c>
      <c r="AW50" s="133" t="str">
        <f>IF(AV50="","",INDEX('#建筑消耗和buff配置索引'!BP:BP,MATCH($F50,'#建筑消耗和buff配置索引'!$M:$M,0)))</f>
        <v/>
      </c>
      <c r="AZ50" s="133" t="str">
        <f>IF(INDEX('#建筑消耗和buff配置索引'!BS:BS,MATCH($F50,'#建筑消耗和buff配置索引'!$M:$M,0))=0,"",INDEX('#建筑消耗和buff配置索引'!BS:BS,MATCH($F50,'#建筑消耗和buff配置索引'!$M:$M,0)))</f>
        <v/>
      </c>
      <c r="BA50" s="133" t="str">
        <f>IF(AZ50="","",INDEX('#建筑消耗和buff配置索引'!BT:BT,MATCH($F50,'#建筑消耗和buff配置索引'!$M:$M,0)))</f>
        <v/>
      </c>
      <c r="BD50" s="133" t="str">
        <f>IF(INDEX('#建筑消耗和buff配置索引'!BW:BW,MATCH($F50,'#建筑消耗和buff配置索引'!$M:$M,0))=0,"",INDEX('#建筑消耗和buff配置索引'!BW:BW,MATCH($F50,'#建筑消耗和buff配置索引'!$M:$M,0)))</f>
        <v/>
      </c>
      <c r="BE50" s="133" t="str">
        <f>IF(BD50="","",INDEX('#建筑消耗和buff配置索引'!BX:BX,MATCH($F50,'#建筑消耗和buff配置索引'!$M:$M,0)))</f>
        <v/>
      </c>
      <c r="BI50" s="133">
        <v>2</v>
      </c>
    </row>
    <row r="51" spans="1:70" s="133" customFormat="1">
      <c r="A51" s="133">
        <v>2020018</v>
      </c>
      <c r="B51" s="133">
        <v>48</v>
      </c>
      <c r="C51" s="133">
        <v>202</v>
      </c>
      <c r="D51" s="133" t="s">
        <v>154</v>
      </c>
      <c r="E51" s="133">
        <v>18</v>
      </c>
      <c r="F51" s="133" t="str">
        <f t="shared" si="0"/>
        <v>居民房舍18</v>
      </c>
      <c r="H51" s="146"/>
      <c r="I51" s="133">
        <v>2</v>
      </c>
      <c r="J51" s="150">
        <f>INDEX('#建筑消耗和buff配置索引'!AH:AH,MATCH($F51,'#建筑消耗和buff配置索引'!$M:$M,0))</f>
        <v>28080</v>
      </c>
      <c r="K51" s="150">
        <f>INDEX('#建筑消耗和buff配置索引'!AA:AA,MATCH($F51,'#建筑消耗和buff配置索引'!$M:$M,0))</f>
        <v>360000</v>
      </c>
      <c r="L51" s="150">
        <f>INDEX('#建筑消耗和buff配置索引'!AB:AB,MATCH($F51,'#建筑消耗和buff配置索引'!$M:$M,0))</f>
        <v>720000</v>
      </c>
      <c r="M51" s="150">
        <f>INDEX('#建筑消耗和buff配置索引'!AC:AC,MATCH($F51,'#建筑消耗和buff配置索引'!$M:$M,0))</f>
        <v>360000</v>
      </c>
      <c r="N51" s="150">
        <f>INDEX('#建筑消耗和buff配置索引'!AD:AD,MATCH($F51,'#建筑消耗和buff配置索引'!$M:$M,0))</f>
        <v>360000</v>
      </c>
      <c r="O51" s="150" t="str">
        <f>IF(INDEX('#建筑消耗和buff配置索引'!T:T,MATCH($F51,'#建筑消耗和buff配置索引'!$M:$M,0))=0,"",INDEX('#建筑消耗和buff配置索引'!T:T,MATCH($F51,'#建筑消耗和buff配置索引'!$M:$M,0)))</f>
        <v/>
      </c>
      <c r="P51" s="133" t="str">
        <f>IF(INDEX('#建筑消耗和buff配置索引'!U:U,MATCH($F51,'#建筑消耗和buff配置索引'!$M:$M,0))=0,"",INDEX('#建筑消耗和buff配置索引'!U:U,MATCH($F51,'#建筑消耗和buff配置索引'!$M:$M,0)))</f>
        <v/>
      </c>
      <c r="Q51" s="133" t="str">
        <f>IF(INDEX('#建筑消耗和buff配置索引'!K:K,MATCH($F51,'#建筑消耗和buff配置索引'!$M:$M,0))=0,"",INDEX('#建筑消耗和buff配置索引'!K:K,MATCH($F51,'#建筑消耗和buff配置索引'!$M:$M,0)))</f>
        <v>201</v>
      </c>
      <c r="R51" s="133" t="str">
        <f>IF(INDEX('#建筑消耗和buff配置索引'!L:L,MATCH($F51,'#建筑消耗和buff配置索引'!$M:$M,0))=0,"",INDEX('#建筑消耗和buff配置索引'!L:L,MATCH($F51,'#建筑消耗和buff配置索引'!$M:$M,0)))</f>
        <v>18</v>
      </c>
      <c r="S51" s="133">
        <f>IF(INDEX('#建筑消耗和buff配置索引'!C:C,MATCH(F51,'#建筑消耗和buff配置索引'!M:M,0))=0,1,INDEX('#建筑消耗和buff配置索引'!C:C,MATCH(F51,'#建筑消耗和buff配置索引'!M:M,0)))</f>
        <v>1</v>
      </c>
      <c r="T51" s="133">
        <v>0</v>
      </c>
      <c r="U51" s="133">
        <v>0</v>
      </c>
      <c r="V51" s="133" t="str">
        <f>IF(E51=1,IF(INDEX('#建筑消耗和buff配置索引'!BY:BY,MATCH(D51,'#建筑消耗和buff配置索引'!A:A,0))=0,"",INDEX('#建筑消耗和buff配置索引'!BY:BY,MATCH(D51,'#建筑消耗和buff配置索引'!A:A,0))),"")</f>
        <v/>
      </c>
      <c r="W51" s="133" t="str">
        <f>IF(E51=1,IF(INDEX('#建筑消耗和buff配置索引'!BZ:BZ,MATCH(D51,'#建筑消耗和buff配置索引'!A:A,0))=0,"",INDEX('#建筑消耗和buff配置索引'!BZ:BZ,MATCH(D51,'#建筑消耗和buff配置索引'!A:A,0))),"")</f>
        <v/>
      </c>
      <c r="AA51" s="133">
        <f>INDEX('#建筑消耗和buff配置索引'!AO:AO,MATCH($F51,'#建筑消耗和buff配置索引'!$M:$M,0))</f>
        <v>14816</v>
      </c>
      <c r="AB51" s="133">
        <f>IF(INDEX('#建筑消耗和buff配置索引'!AR:AR,MATCH($F51,'#建筑消耗和buff配置索引'!$M:$M,0))=0,"",INDEX('#建筑消耗和buff配置索引'!AR:AR,MATCH($F51,'#建筑消耗和buff配置索引'!$M:$M,0)))</f>
        <v>1200</v>
      </c>
      <c r="AC51" s="133">
        <f>IF(AB51="","",INDEX('#建筑消耗和buff配置索引'!AS:AS,MATCH($F51,'#建筑消耗和buff配置索引'!$M:$M,0)))</f>
        <v>18</v>
      </c>
      <c r="AF51" s="133" t="str">
        <f>IF(INDEX('#建筑消耗和buff配置索引'!AW:AW,MATCH($F51,'#建筑消耗和buff配置索引'!$M:$M,0))=0,"",INDEX('#建筑消耗和buff配置索引'!AW:AW,MATCH($F51,'#建筑消耗和buff配置索引'!$M:$M,0)))</f>
        <v/>
      </c>
      <c r="AG51" s="133" t="str">
        <f>IF(AF51="","",INDEX('#建筑消耗和buff配置索引'!AX:AX,MATCH($F51,'#建筑消耗和buff配置索引'!$M:$M,0)))</f>
        <v/>
      </c>
      <c r="AJ51" s="133" t="str">
        <f>IF(INDEX('#建筑消耗和buff配置索引'!BB:BB,MATCH($F51,'#建筑消耗和buff配置索引'!$M:$M,0))=0,"",INDEX('#建筑消耗和buff配置索引'!BB:BB,MATCH($F51,'#建筑消耗和buff配置索引'!$M:$M,0)))</f>
        <v/>
      </c>
      <c r="AK51" s="133" t="str">
        <f>IF(AJ51="","",INDEX('#建筑消耗和buff配置索引'!BC:BC,MATCH($F51,'#建筑消耗和buff配置索引'!$M:$M,0)))</f>
        <v/>
      </c>
      <c r="AN51" s="133" t="str">
        <f>IF(INDEX('#建筑消耗和buff配置索引'!BG:BG,MATCH($F51,'#建筑消耗和buff配置索引'!$M:$M,0))=0,"",INDEX('#建筑消耗和buff配置索引'!BG:BG,MATCH($F51,'#建筑消耗和buff配置索引'!$M:$M,0)))</f>
        <v/>
      </c>
      <c r="AO51" s="133" t="str">
        <f>IF(AN51="","",INDEX('#建筑消耗和buff配置索引'!BH:BH,MATCH($F51,'#建筑消耗和buff配置索引'!$M:$M,0)))</f>
        <v/>
      </c>
      <c r="AR51" s="133" t="str">
        <f>IF(INDEX('#建筑消耗和buff配置索引'!BK:BK,MATCH($F51,'#建筑消耗和buff配置索引'!$M:$M,0))=0,"",INDEX('#建筑消耗和buff配置索引'!BK:BK,MATCH($F51,'#建筑消耗和buff配置索引'!$M:$M,0)))</f>
        <v/>
      </c>
      <c r="AS51" s="133" t="str">
        <f>IF(AR51="","",INDEX('#建筑消耗和buff配置索引'!BL:BL,MATCH($F51,'#建筑消耗和buff配置索引'!$M:$M,0)))</f>
        <v/>
      </c>
      <c r="AV51" s="133" t="str">
        <f>IF(INDEX('#建筑消耗和buff配置索引'!BO:BO,MATCH($F51,'#建筑消耗和buff配置索引'!$M:$M,0))=0,"",INDEX('#建筑消耗和buff配置索引'!BO:BO,MATCH($F51,'#建筑消耗和buff配置索引'!$M:$M,0)))</f>
        <v/>
      </c>
      <c r="AW51" s="133" t="str">
        <f>IF(AV51="","",INDEX('#建筑消耗和buff配置索引'!BP:BP,MATCH($F51,'#建筑消耗和buff配置索引'!$M:$M,0)))</f>
        <v/>
      </c>
      <c r="AZ51" s="133" t="str">
        <f>IF(INDEX('#建筑消耗和buff配置索引'!BS:BS,MATCH($F51,'#建筑消耗和buff配置索引'!$M:$M,0))=0,"",INDEX('#建筑消耗和buff配置索引'!BS:BS,MATCH($F51,'#建筑消耗和buff配置索引'!$M:$M,0)))</f>
        <v/>
      </c>
      <c r="BA51" s="133" t="str">
        <f>IF(AZ51="","",INDEX('#建筑消耗和buff配置索引'!BT:BT,MATCH($F51,'#建筑消耗和buff配置索引'!$M:$M,0)))</f>
        <v/>
      </c>
      <c r="BD51" s="133" t="str">
        <f>IF(INDEX('#建筑消耗和buff配置索引'!BW:BW,MATCH($F51,'#建筑消耗和buff配置索引'!$M:$M,0))=0,"",INDEX('#建筑消耗和buff配置索引'!BW:BW,MATCH($F51,'#建筑消耗和buff配置索引'!$M:$M,0)))</f>
        <v/>
      </c>
      <c r="BE51" s="133" t="str">
        <f>IF(BD51="","",INDEX('#建筑消耗和buff配置索引'!BX:BX,MATCH($F51,'#建筑消耗和buff配置索引'!$M:$M,0)))</f>
        <v/>
      </c>
      <c r="BI51" s="133">
        <v>2</v>
      </c>
    </row>
    <row r="52" spans="1:70" s="133" customFormat="1">
      <c r="A52" s="133">
        <v>2020019</v>
      </c>
      <c r="B52" s="133">
        <v>49</v>
      </c>
      <c r="C52" s="133">
        <v>202</v>
      </c>
      <c r="D52" s="133" t="s">
        <v>154</v>
      </c>
      <c r="E52" s="133">
        <v>19</v>
      </c>
      <c r="F52" s="133" t="str">
        <f t="shared" si="0"/>
        <v>居民房舍19</v>
      </c>
      <c r="H52" s="146"/>
      <c r="I52" s="133">
        <v>2</v>
      </c>
      <c r="J52" s="150">
        <f>INDEX('#建筑消耗和buff配置索引'!AH:AH,MATCH($F52,'#建筑消耗和buff配置索引'!$M:$M,0))</f>
        <v>36720</v>
      </c>
      <c r="K52" s="150">
        <f>INDEX('#建筑消耗和buff配置索引'!AA:AA,MATCH($F52,'#建筑消耗和buff配置索引'!$M:$M,0))</f>
        <v>460000</v>
      </c>
      <c r="L52" s="150">
        <f>INDEX('#建筑消耗和buff配置索引'!AB:AB,MATCH($F52,'#建筑消耗和buff配置索引'!$M:$M,0))</f>
        <v>920000</v>
      </c>
      <c r="M52" s="150">
        <f>INDEX('#建筑消耗和buff配置索引'!AC:AC,MATCH($F52,'#建筑消耗和buff配置索引'!$M:$M,0))</f>
        <v>460000</v>
      </c>
      <c r="N52" s="150">
        <f>INDEX('#建筑消耗和buff配置索引'!AD:AD,MATCH($F52,'#建筑消耗和buff配置索引'!$M:$M,0))</f>
        <v>460000</v>
      </c>
      <c r="O52" s="150" t="str">
        <f>IF(INDEX('#建筑消耗和buff配置索引'!T:T,MATCH($F52,'#建筑消耗和buff配置索引'!$M:$M,0))=0,"",INDEX('#建筑消耗和buff配置索引'!T:T,MATCH($F52,'#建筑消耗和buff配置索引'!$M:$M,0)))</f>
        <v/>
      </c>
      <c r="P52" s="133" t="str">
        <f>IF(INDEX('#建筑消耗和buff配置索引'!U:U,MATCH($F52,'#建筑消耗和buff配置索引'!$M:$M,0))=0,"",INDEX('#建筑消耗和buff配置索引'!U:U,MATCH($F52,'#建筑消耗和buff配置索引'!$M:$M,0)))</f>
        <v/>
      </c>
      <c r="Q52" s="133" t="str">
        <f>IF(INDEX('#建筑消耗和buff配置索引'!K:K,MATCH($F52,'#建筑消耗和buff配置索引'!$M:$M,0))=0,"",INDEX('#建筑消耗和buff配置索引'!K:K,MATCH($F52,'#建筑消耗和buff配置索引'!$M:$M,0)))</f>
        <v>201</v>
      </c>
      <c r="R52" s="133" t="str">
        <f>IF(INDEX('#建筑消耗和buff配置索引'!L:L,MATCH($F52,'#建筑消耗和buff配置索引'!$M:$M,0))=0,"",INDEX('#建筑消耗和buff配置索引'!L:L,MATCH($F52,'#建筑消耗和buff配置索引'!$M:$M,0)))</f>
        <v>19</v>
      </c>
      <c r="S52" s="133">
        <f>IF(INDEX('#建筑消耗和buff配置索引'!C:C,MATCH(F52,'#建筑消耗和buff配置索引'!M:M,0))=0,1,INDEX('#建筑消耗和buff配置索引'!C:C,MATCH(F52,'#建筑消耗和buff配置索引'!M:M,0)))</f>
        <v>1</v>
      </c>
      <c r="T52" s="133">
        <v>0</v>
      </c>
      <c r="U52" s="133">
        <v>0</v>
      </c>
      <c r="V52" s="133" t="str">
        <f>IF(E52=1,IF(INDEX('#建筑消耗和buff配置索引'!BY:BY,MATCH(D52,'#建筑消耗和buff配置索引'!A:A,0))=0,"",INDEX('#建筑消耗和buff配置索引'!BY:BY,MATCH(D52,'#建筑消耗和buff配置索引'!A:A,0))),"")</f>
        <v/>
      </c>
      <c r="W52" s="133" t="str">
        <f>IF(E52=1,IF(INDEX('#建筑消耗和buff配置索引'!BZ:BZ,MATCH(D52,'#建筑消耗和buff配置索引'!A:A,0))=0,"",INDEX('#建筑消耗和buff配置索引'!BZ:BZ,MATCH(D52,'#建筑消耗和buff配置索引'!A:A,0))),"")</f>
        <v/>
      </c>
      <c r="AA52" s="133">
        <f>INDEX('#建筑消耗和buff配置索引'!AO:AO,MATCH($F52,'#建筑消耗和buff配置索引'!$M:$M,0))</f>
        <v>19416</v>
      </c>
      <c r="AB52" s="133">
        <f>IF(INDEX('#建筑消耗和buff配置索引'!AR:AR,MATCH($F52,'#建筑消耗和buff配置索引'!$M:$M,0))=0,"",INDEX('#建筑消耗和buff配置索引'!AR:AR,MATCH($F52,'#建筑消耗和buff配置索引'!$M:$M,0)))</f>
        <v>1200</v>
      </c>
      <c r="AC52" s="133">
        <f>IF(AB52="","",INDEX('#建筑消耗和buff配置索引'!AS:AS,MATCH($F52,'#建筑消耗和buff配置索引'!$M:$M,0)))</f>
        <v>19</v>
      </c>
      <c r="AF52" s="133" t="str">
        <f>IF(INDEX('#建筑消耗和buff配置索引'!AW:AW,MATCH($F52,'#建筑消耗和buff配置索引'!$M:$M,0))=0,"",INDEX('#建筑消耗和buff配置索引'!AW:AW,MATCH($F52,'#建筑消耗和buff配置索引'!$M:$M,0)))</f>
        <v/>
      </c>
      <c r="AG52" s="133" t="str">
        <f>IF(AF52="","",INDEX('#建筑消耗和buff配置索引'!AX:AX,MATCH($F52,'#建筑消耗和buff配置索引'!$M:$M,0)))</f>
        <v/>
      </c>
      <c r="AJ52" s="133" t="str">
        <f>IF(INDEX('#建筑消耗和buff配置索引'!BB:BB,MATCH($F52,'#建筑消耗和buff配置索引'!$M:$M,0))=0,"",INDEX('#建筑消耗和buff配置索引'!BB:BB,MATCH($F52,'#建筑消耗和buff配置索引'!$M:$M,0)))</f>
        <v/>
      </c>
      <c r="AK52" s="133" t="str">
        <f>IF(AJ52="","",INDEX('#建筑消耗和buff配置索引'!BC:BC,MATCH($F52,'#建筑消耗和buff配置索引'!$M:$M,0)))</f>
        <v/>
      </c>
      <c r="AN52" s="133" t="str">
        <f>IF(INDEX('#建筑消耗和buff配置索引'!BG:BG,MATCH($F52,'#建筑消耗和buff配置索引'!$M:$M,0))=0,"",INDEX('#建筑消耗和buff配置索引'!BG:BG,MATCH($F52,'#建筑消耗和buff配置索引'!$M:$M,0)))</f>
        <v/>
      </c>
      <c r="AO52" s="133" t="str">
        <f>IF(AN52="","",INDEX('#建筑消耗和buff配置索引'!BH:BH,MATCH($F52,'#建筑消耗和buff配置索引'!$M:$M,0)))</f>
        <v/>
      </c>
      <c r="AR52" s="133" t="str">
        <f>IF(INDEX('#建筑消耗和buff配置索引'!BK:BK,MATCH($F52,'#建筑消耗和buff配置索引'!$M:$M,0))=0,"",INDEX('#建筑消耗和buff配置索引'!BK:BK,MATCH($F52,'#建筑消耗和buff配置索引'!$M:$M,0)))</f>
        <v/>
      </c>
      <c r="AS52" s="133" t="str">
        <f>IF(AR52="","",INDEX('#建筑消耗和buff配置索引'!BL:BL,MATCH($F52,'#建筑消耗和buff配置索引'!$M:$M,0)))</f>
        <v/>
      </c>
      <c r="AV52" s="133" t="str">
        <f>IF(INDEX('#建筑消耗和buff配置索引'!BO:BO,MATCH($F52,'#建筑消耗和buff配置索引'!$M:$M,0))=0,"",INDEX('#建筑消耗和buff配置索引'!BO:BO,MATCH($F52,'#建筑消耗和buff配置索引'!$M:$M,0)))</f>
        <v/>
      </c>
      <c r="AW52" s="133" t="str">
        <f>IF(AV52="","",INDEX('#建筑消耗和buff配置索引'!BP:BP,MATCH($F52,'#建筑消耗和buff配置索引'!$M:$M,0)))</f>
        <v/>
      </c>
      <c r="AZ52" s="133" t="str">
        <f>IF(INDEX('#建筑消耗和buff配置索引'!BS:BS,MATCH($F52,'#建筑消耗和buff配置索引'!$M:$M,0))=0,"",INDEX('#建筑消耗和buff配置索引'!BS:BS,MATCH($F52,'#建筑消耗和buff配置索引'!$M:$M,0)))</f>
        <v/>
      </c>
      <c r="BA52" s="133" t="str">
        <f>IF(AZ52="","",INDEX('#建筑消耗和buff配置索引'!BT:BT,MATCH($F52,'#建筑消耗和buff配置索引'!$M:$M,0)))</f>
        <v/>
      </c>
      <c r="BD52" s="133" t="str">
        <f>IF(INDEX('#建筑消耗和buff配置索引'!BW:BW,MATCH($F52,'#建筑消耗和buff配置索引'!$M:$M,0))=0,"",INDEX('#建筑消耗和buff配置索引'!BW:BW,MATCH($F52,'#建筑消耗和buff配置索引'!$M:$M,0)))</f>
        <v/>
      </c>
      <c r="BE52" s="133" t="str">
        <f>IF(BD52="","",INDEX('#建筑消耗和buff配置索引'!BX:BX,MATCH($F52,'#建筑消耗和buff配置索引'!$M:$M,0)))</f>
        <v/>
      </c>
      <c r="BI52" s="133">
        <v>2</v>
      </c>
    </row>
    <row r="53" spans="1:70" s="133" customFormat="1">
      <c r="A53" s="133">
        <v>2020020</v>
      </c>
      <c r="B53" s="133">
        <v>50</v>
      </c>
      <c r="C53" s="133">
        <v>202</v>
      </c>
      <c r="D53" s="133" t="s">
        <v>154</v>
      </c>
      <c r="E53" s="133">
        <v>20</v>
      </c>
      <c r="F53" s="133" t="str">
        <f t="shared" si="0"/>
        <v>居民房舍20</v>
      </c>
      <c r="H53" s="146"/>
      <c r="I53" s="133">
        <v>3</v>
      </c>
      <c r="J53" s="150">
        <f>INDEX('#建筑消耗和buff配置索引'!AH:AH,MATCH($F53,'#建筑消耗和buff配置索引'!$M:$M,0))</f>
        <v>51840</v>
      </c>
      <c r="K53" s="150">
        <f>INDEX('#建筑消耗和buff配置索引'!AA:AA,MATCH($F53,'#建筑消耗和buff配置索引'!$M:$M,0))</f>
        <v>590000</v>
      </c>
      <c r="L53" s="150">
        <f>INDEX('#建筑消耗和buff配置索引'!AB:AB,MATCH($F53,'#建筑消耗和buff配置索引'!$M:$M,0))</f>
        <v>1200000</v>
      </c>
      <c r="M53" s="150">
        <f>INDEX('#建筑消耗和buff配置索引'!AC:AC,MATCH($F53,'#建筑消耗和buff配置索引'!$M:$M,0))</f>
        <v>590000</v>
      </c>
      <c r="N53" s="150">
        <f>INDEX('#建筑消耗和buff配置索引'!AD:AD,MATCH($F53,'#建筑消耗和buff配置索引'!$M:$M,0))</f>
        <v>590000</v>
      </c>
      <c r="O53" s="150" t="str">
        <f>IF(INDEX('#建筑消耗和buff配置索引'!T:T,MATCH($F53,'#建筑消耗和buff配置索引'!$M:$M,0))=0,"",INDEX('#建筑消耗和buff配置索引'!T:T,MATCH($F53,'#建筑消耗和buff配置索引'!$M:$M,0)))</f>
        <v/>
      </c>
      <c r="P53" s="133" t="str">
        <f>IF(INDEX('#建筑消耗和buff配置索引'!U:U,MATCH($F53,'#建筑消耗和buff配置索引'!$M:$M,0))=0,"",INDEX('#建筑消耗和buff配置索引'!U:U,MATCH($F53,'#建筑消耗和buff配置索引'!$M:$M,0)))</f>
        <v/>
      </c>
      <c r="Q53" s="133" t="str">
        <f>IF(INDEX('#建筑消耗和buff配置索引'!K:K,MATCH($F53,'#建筑消耗和buff配置索引'!$M:$M,0))=0,"",INDEX('#建筑消耗和buff配置索引'!K:K,MATCH($F53,'#建筑消耗和buff配置索引'!$M:$M,0)))</f>
        <v>201</v>
      </c>
      <c r="R53" s="133" t="str">
        <f>IF(INDEX('#建筑消耗和buff配置索引'!L:L,MATCH($F53,'#建筑消耗和buff配置索引'!$M:$M,0))=0,"",INDEX('#建筑消耗和buff配置索引'!L:L,MATCH($F53,'#建筑消耗和buff配置索引'!$M:$M,0)))</f>
        <v>20</v>
      </c>
      <c r="S53" s="133">
        <f>IF(INDEX('#建筑消耗和buff配置索引'!C:C,MATCH(F53,'#建筑消耗和buff配置索引'!M:M,0))=0,1,INDEX('#建筑消耗和buff配置索引'!C:C,MATCH(F53,'#建筑消耗和buff配置索引'!M:M,0)))</f>
        <v>1</v>
      </c>
      <c r="T53" s="133">
        <v>0</v>
      </c>
      <c r="U53" s="133">
        <v>0</v>
      </c>
      <c r="V53" s="133" t="str">
        <f>IF(E53=1,IF(INDEX('#建筑消耗和buff配置索引'!BY:BY,MATCH(D53,'#建筑消耗和buff配置索引'!A:A,0))=0,"",INDEX('#建筑消耗和buff配置索引'!BY:BY,MATCH(D53,'#建筑消耗和buff配置索引'!A:A,0))),"")</f>
        <v/>
      </c>
      <c r="W53" s="133" t="str">
        <f>IF(E53=1,IF(INDEX('#建筑消耗和buff配置索引'!BZ:BZ,MATCH(D53,'#建筑消耗和buff配置索引'!A:A,0))=0,"",INDEX('#建筑消耗和buff配置索引'!BZ:BZ,MATCH(D53,'#建筑消耗和buff配置索引'!A:A,0))),"")</f>
        <v/>
      </c>
      <c r="AA53" s="133">
        <f>INDEX('#建筑消耗和buff配置索引'!AO:AO,MATCH($F53,'#建筑消耗和buff配置索引'!$M:$M,0))</f>
        <v>25305</v>
      </c>
      <c r="AB53" s="133">
        <f>IF(INDEX('#建筑消耗和buff配置索引'!AR:AR,MATCH($F53,'#建筑消耗和buff配置索引'!$M:$M,0))=0,"",INDEX('#建筑消耗和buff配置索引'!AR:AR,MATCH($F53,'#建筑消耗和buff配置索引'!$M:$M,0)))</f>
        <v>1200</v>
      </c>
      <c r="AC53" s="133">
        <f>IF(AB53="","",INDEX('#建筑消耗和buff配置索引'!AS:AS,MATCH($F53,'#建筑消耗和buff配置索引'!$M:$M,0)))</f>
        <v>20</v>
      </c>
      <c r="AF53" s="133" t="str">
        <f>IF(INDEX('#建筑消耗和buff配置索引'!AW:AW,MATCH($F53,'#建筑消耗和buff配置索引'!$M:$M,0))=0,"",INDEX('#建筑消耗和buff配置索引'!AW:AW,MATCH($F53,'#建筑消耗和buff配置索引'!$M:$M,0)))</f>
        <v/>
      </c>
      <c r="AG53" s="133" t="str">
        <f>IF(AF53="","",INDEX('#建筑消耗和buff配置索引'!AX:AX,MATCH($F53,'#建筑消耗和buff配置索引'!$M:$M,0)))</f>
        <v/>
      </c>
      <c r="AJ53" s="133" t="str">
        <f>IF(INDEX('#建筑消耗和buff配置索引'!BB:BB,MATCH($F53,'#建筑消耗和buff配置索引'!$M:$M,0))=0,"",INDEX('#建筑消耗和buff配置索引'!BB:BB,MATCH($F53,'#建筑消耗和buff配置索引'!$M:$M,0)))</f>
        <v/>
      </c>
      <c r="AK53" s="133" t="str">
        <f>IF(AJ53="","",INDEX('#建筑消耗和buff配置索引'!BC:BC,MATCH($F53,'#建筑消耗和buff配置索引'!$M:$M,0)))</f>
        <v/>
      </c>
      <c r="AN53" s="133" t="str">
        <f>IF(INDEX('#建筑消耗和buff配置索引'!BG:BG,MATCH($F53,'#建筑消耗和buff配置索引'!$M:$M,0))=0,"",INDEX('#建筑消耗和buff配置索引'!BG:BG,MATCH($F53,'#建筑消耗和buff配置索引'!$M:$M,0)))</f>
        <v/>
      </c>
      <c r="AO53" s="133" t="str">
        <f>IF(AN53="","",INDEX('#建筑消耗和buff配置索引'!BH:BH,MATCH($F53,'#建筑消耗和buff配置索引'!$M:$M,0)))</f>
        <v/>
      </c>
      <c r="AR53" s="133" t="str">
        <f>IF(INDEX('#建筑消耗和buff配置索引'!BK:BK,MATCH($F53,'#建筑消耗和buff配置索引'!$M:$M,0))=0,"",INDEX('#建筑消耗和buff配置索引'!BK:BK,MATCH($F53,'#建筑消耗和buff配置索引'!$M:$M,0)))</f>
        <v/>
      </c>
      <c r="AS53" s="133" t="str">
        <f>IF(AR53="","",INDEX('#建筑消耗和buff配置索引'!BL:BL,MATCH($F53,'#建筑消耗和buff配置索引'!$M:$M,0)))</f>
        <v/>
      </c>
      <c r="AV53" s="133" t="str">
        <f>IF(INDEX('#建筑消耗和buff配置索引'!BO:BO,MATCH($F53,'#建筑消耗和buff配置索引'!$M:$M,0))=0,"",INDEX('#建筑消耗和buff配置索引'!BO:BO,MATCH($F53,'#建筑消耗和buff配置索引'!$M:$M,0)))</f>
        <v/>
      </c>
      <c r="AW53" s="133" t="str">
        <f>IF(AV53="","",INDEX('#建筑消耗和buff配置索引'!BP:BP,MATCH($F53,'#建筑消耗和buff配置索引'!$M:$M,0)))</f>
        <v/>
      </c>
      <c r="AZ53" s="133" t="str">
        <f>IF(INDEX('#建筑消耗和buff配置索引'!BS:BS,MATCH($F53,'#建筑消耗和buff配置索引'!$M:$M,0))=0,"",INDEX('#建筑消耗和buff配置索引'!BS:BS,MATCH($F53,'#建筑消耗和buff配置索引'!$M:$M,0)))</f>
        <v/>
      </c>
      <c r="BA53" s="133" t="str">
        <f>IF(AZ53="","",INDEX('#建筑消耗和buff配置索引'!BT:BT,MATCH($F53,'#建筑消耗和buff配置索引'!$M:$M,0)))</f>
        <v/>
      </c>
      <c r="BD53" s="133" t="str">
        <f>IF(INDEX('#建筑消耗和buff配置索引'!BW:BW,MATCH($F53,'#建筑消耗和buff配置索引'!$M:$M,0))=0,"",INDEX('#建筑消耗和buff配置索引'!BW:BW,MATCH($F53,'#建筑消耗和buff配置索引'!$M:$M,0)))</f>
        <v/>
      </c>
      <c r="BE53" s="133" t="str">
        <f>IF(BD53="","",INDEX('#建筑消耗和buff配置索引'!BX:BX,MATCH($F53,'#建筑消耗和buff配置索引'!$M:$M,0)))</f>
        <v/>
      </c>
      <c r="BI53" s="133">
        <v>2</v>
      </c>
    </row>
    <row r="54" spans="1:70" s="133" customFormat="1">
      <c r="A54" s="133">
        <v>2020021</v>
      </c>
      <c r="B54" s="133">
        <v>51</v>
      </c>
      <c r="C54" s="133">
        <v>202</v>
      </c>
      <c r="D54" s="133" t="s">
        <v>154</v>
      </c>
      <c r="E54" s="133">
        <v>21</v>
      </c>
      <c r="F54" s="133" t="str">
        <f t="shared" si="0"/>
        <v>居民房舍21</v>
      </c>
      <c r="H54" s="146"/>
      <c r="I54" s="133">
        <v>3</v>
      </c>
      <c r="J54" s="150">
        <f>INDEX('#建筑消耗和buff配置索引'!AH:AH,MATCH($F54,'#建筑消耗和buff配置索引'!$M:$M,0))</f>
        <v>69120</v>
      </c>
      <c r="K54" s="150">
        <f>INDEX('#建筑消耗和buff配置索引'!AA:AA,MATCH($F54,'#建筑消耗和buff配置索引'!$M:$M,0))</f>
        <v>750000</v>
      </c>
      <c r="L54" s="150">
        <f>INDEX('#建筑消耗和buff配置索引'!AB:AB,MATCH($F54,'#建筑消耗和buff配置索引'!$M:$M,0))</f>
        <v>1500000</v>
      </c>
      <c r="M54" s="150">
        <f>INDEX('#建筑消耗和buff配置索引'!AC:AC,MATCH($F54,'#建筑消耗和buff配置索引'!$M:$M,0))</f>
        <v>750000</v>
      </c>
      <c r="N54" s="150">
        <f>INDEX('#建筑消耗和buff配置索引'!AD:AD,MATCH($F54,'#建筑消耗和buff配置索引'!$M:$M,0))</f>
        <v>750000</v>
      </c>
      <c r="O54" s="150" t="str">
        <f>IF(INDEX('#建筑消耗和buff配置索引'!T:T,MATCH($F54,'#建筑消耗和buff配置索引'!$M:$M,0))=0,"",INDEX('#建筑消耗和buff配置索引'!T:T,MATCH($F54,'#建筑消耗和buff配置索引'!$M:$M,0)))</f>
        <v/>
      </c>
      <c r="P54" s="133" t="str">
        <f>IF(INDEX('#建筑消耗和buff配置索引'!U:U,MATCH($F54,'#建筑消耗和buff配置索引'!$M:$M,0))=0,"",INDEX('#建筑消耗和buff配置索引'!U:U,MATCH($F54,'#建筑消耗和buff配置索引'!$M:$M,0)))</f>
        <v/>
      </c>
      <c r="Q54" s="133" t="str">
        <f>IF(INDEX('#建筑消耗和buff配置索引'!K:K,MATCH($F54,'#建筑消耗和buff配置索引'!$M:$M,0))=0,"",INDEX('#建筑消耗和buff配置索引'!K:K,MATCH($F54,'#建筑消耗和buff配置索引'!$M:$M,0)))</f>
        <v>201</v>
      </c>
      <c r="R54" s="133" t="str">
        <f>IF(INDEX('#建筑消耗和buff配置索引'!L:L,MATCH($F54,'#建筑消耗和buff配置索引'!$M:$M,0))=0,"",INDEX('#建筑消耗和buff配置索引'!L:L,MATCH($F54,'#建筑消耗和buff配置索引'!$M:$M,0)))</f>
        <v>21</v>
      </c>
      <c r="S54" s="133">
        <f>IF(INDEX('#建筑消耗和buff配置索引'!C:C,MATCH(F54,'#建筑消耗和buff配置索引'!M:M,0))=0,1,INDEX('#建筑消耗和buff配置索引'!C:C,MATCH(F54,'#建筑消耗和buff配置索引'!M:M,0)))</f>
        <v>1</v>
      </c>
      <c r="T54" s="133">
        <v>0</v>
      </c>
      <c r="U54" s="133">
        <v>0</v>
      </c>
      <c r="V54" s="133" t="str">
        <f>IF(E54=1,IF(INDEX('#建筑消耗和buff配置索引'!BY:BY,MATCH(D54,'#建筑消耗和buff配置索引'!A:A,0))=0,"",INDEX('#建筑消耗和buff配置索引'!BY:BY,MATCH(D54,'#建筑消耗和buff配置索引'!A:A,0))),"")</f>
        <v/>
      </c>
      <c r="W54" s="133" t="str">
        <f>IF(E54=1,IF(INDEX('#建筑消耗和buff配置索引'!BZ:BZ,MATCH(D54,'#建筑消耗和buff配置索引'!A:A,0))=0,"",INDEX('#建筑消耗和buff配置索引'!BZ:BZ,MATCH(D54,'#建筑消耗和buff配置索引'!A:A,0))),"")</f>
        <v/>
      </c>
      <c r="AA54" s="133">
        <f>INDEX('#建筑消耗和buff配置索引'!AO:AO,MATCH($F54,'#建筑消耗和buff配置索引'!$M:$M,0))</f>
        <v>32843</v>
      </c>
      <c r="AB54" s="133">
        <f>IF(INDEX('#建筑消耗和buff配置索引'!AR:AR,MATCH($F54,'#建筑消耗和buff配置索引'!$M:$M,0))=0,"",INDEX('#建筑消耗和buff配置索引'!AR:AR,MATCH($F54,'#建筑消耗和buff配置索引'!$M:$M,0)))</f>
        <v>1200</v>
      </c>
      <c r="AC54" s="133">
        <f>IF(AB54="","",INDEX('#建筑消耗和buff配置索引'!AS:AS,MATCH($F54,'#建筑消耗和buff配置索引'!$M:$M,0)))</f>
        <v>21</v>
      </c>
      <c r="AF54" s="133" t="str">
        <f>IF(INDEX('#建筑消耗和buff配置索引'!AW:AW,MATCH($F54,'#建筑消耗和buff配置索引'!$M:$M,0))=0,"",INDEX('#建筑消耗和buff配置索引'!AW:AW,MATCH($F54,'#建筑消耗和buff配置索引'!$M:$M,0)))</f>
        <v/>
      </c>
      <c r="AG54" s="133" t="str">
        <f>IF(AF54="","",INDEX('#建筑消耗和buff配置索引'!AX:AX,MATCH($F54,'#建筑消耗和buff配置索引'!$M:$M,0)))</f>
        <v/>
      </c>
      <c r="AJ54" s="133" t="str">
        <f>IF(INDEX('#建筑消耗和buff配置索引'!BB:BB,MATCH($F54,'#建筑消耗和buff配置索引'!$M:$M,0))=0,"",INDEX('#建筑消耗和buff配置索引'!BB:BB,MATCH($F54,'#建筑消耗和buff配置索引'!$M:$M,0)))</f>
        <v/>
      </c>
      <c r="AK54" s="133" t="str">
        <f>IF(AJ54="","",INDEX('#建筑消耗和buff配置索引'!BC:BC,MATCH($F54,'#建筑消耗和buff配置索引'!$M:$M,0)))</f>
        <v/>
      </c>
      <c r="AN54" s="133" t="str">
        <f>IF(INDEX('#建筑消耗和buff配置索引'!BG:BG,MATCH($F54,'#建筑消耗和buff配置索引'!$M:$M,0))=0,"",INDEX('#建筑消耗和buff配置索引'!BG:BG,MATCH($F54,'#建筑消耗和buff配置索引'!$M:$M,0)))</f>
        <v/>
      </c>
      <c r="AO54" s="133" t="str">
        <f>IF(AN54="","",INDEX('#建筑消耗和buff配置索引'!BH:BH,MATCH($F54,'#建筑消耗和buff配置索引'!$M:$M,0)))</f>
        <v/>
      </c>
      <c r="AR54" s="133" t="str">
        <f>IF(INDEX('#建筑消耗和buff配置索引'!BK:BK,MATCH($F54,'#建筑消耗和buff配置索引'!$M:$M,0))=0,"",INDEX('#建筑消耗和buff配置索引'!BK:BK,MATCH($F54,'#建筑消耗和buff配置索引'!$M:$M,0)))</f>
        <v/>
      </c>
      <c r="AS54" s="133" t="str">
        <f>IF(AR54="","",INDEX('#建筑消耗和buff配置索引'!BL:BL,MATCH($F54,'#建筑消耗和buff配置索引'!$M:$M,0)))</f>
        <v/>
      </c>
      <c r="AV54" s="133" t="str">
        <f>IF(INDEX('#建筑消耗和buff配置索引'!BO:BO,MATCH($F54,'#建筑消耗和buff配置索引'!$M:$M,0))=0,"",INDEX('#建筑消耗和buff配置索引'!BO:BO,MATCH($F54,'#建筑消耗和buff配置索引'!$M:$M,0)))</f>
        <v/>
      </c>
      <c r="AW54" s="133" t="str">
        <f>IF(AV54="","",INDEX('#建筑消耗和buff配置索引'!BP:BP,MATCH($F54,'#建筑消耗和buff配置索引'!$M:$M,0)))</f>
        <v/>
      </c>
      <c r="AZ54" s="133" t="str">
        <f>IF(INDEX('#建筑消耗和buff配置索引'!BS:BS,MATCH($F54,'#建筑消耗和buff配置索引'!$M:$M,0))=0,"",INDEX('#建筑消耗和buff配置索引'!BS:BS,MATCH($F54,'#建筑消耗和buff配置索引'!$M:$M,0)))</f>
        <v/>
      </c>
      <c r="BA54" s="133" t="str">
        <f>IF(AZ54="","",INDEX('#建筑消耗和buff配置索引'!BT:BT,MATCH($F54,'#建筑消耗和buff配置索引'!$M:$M,0)))</f>
        <v/>
      </c>
      <c r="BD54" s="133" t="str">
        <f>IF(INDEX('#建筑消耗和buff配置索引'!BW:BW,MATCH($F54,'#建筑消耗和buff配置索引'!$M:$M,0))=0,"",INDEX('#建筑消耗和buff配置索引'!BW:BW,MATCH($F54,'#建筑消耗和buff配置索引'!$M:$M,0)))</f>
        <v/>
      </c>
      <c r="BE54" s="133" t="str">
        <f>IF(BD54="","",INDEX('#建筑消耗和buff配置索引'!BX:BX,MATCH($F54,'#建筑消耗和buff配置索引'!$M:$M,0)))</f>
        <v/>
      </c>
      <c r="BI54" s="133">
        <v>2</v>
      </c>
    </row>
    <row r="55" spans="1:70" s="133" customFormat="1">
      <c r="A55" s="133">
        <v>2020022</v>
      </c>
      <c r="B55" s="133">
        <v>52</v>
      </c>
      <c r="C55" s="133">
        <v>202</v>
      </c>
      <c r="D55" s="133" t="s">
        <v>154</v>
      </c>
      <c r="E55" s="133">
        <v>22</v>
      </c>
      <c r="F55" s="133" t="str">
        <f t="shared" si="0"/>
        <v>居民房舍22</v>
      </c>
      <c r="H55" s="146"/>
      <c r="I55" s="133">
        <v>3</v>
      </c>
      <c r="J55" s="150">
        <f>INDEX('#建筑消耗和buff配置索引'!AH:AH,MATCH($F55,'#建筑消耗和buff配置索引'!$M:$M,0))</f>
        <v>90720</v>
      </c>
      <c r="K55" s="150">
        <f>INDEX('#建筑消耗和buff配置索引'!AA:AA,MATCH($F55,'#建筑消耗和buff配置索引'!$M:$M,0))</f>
        <v>960000</v>
      </c>
      <c r="L55" s="150">
        <f>INDEX('#建筑消耗和buff配置索引'!AB:AB,MATCH($F55,'#建筑消耗和buff配置索引'!$M:$M,0))</f>
        <v>1900000</v>
      </c>
      <c r="M55" s="150">
        <f>INDEX('#建筑消耗和buff配置索引'!AC:AC,MATCH($F55,'#建筑消耗和buff配置索引'!$M:$M,0))</f>
        <v>960000</v>
      </c>
      <c r="N55" s="150">
        <f>INDEX('#建筑消耗和buff配置索引'!AD:AD,MATCH($F55,'#建筑消耗和buff配置索引'!$M:$M,0))</f>
        <v>960000</v>
      </c>
      <c r="O55" s="150" t="str">
        <f>IF(INDEX('#建筑消耗和buff配置索引'!T:T,MATCH($F55,'#建筑消耗和buff配置索引'!$M:$M,0))=0,"",INDEX('#建筑消耗和buff配置索引'!T:T,MATCH($F55,'#建筑消耗和buff配置索引'!$M:$M,0)))</f>
        <v/>
      </c>
      <c r="P55" s="133" t="str">
        <f>IF(INDEX('#建筑消耗和buff配置索引'!U:U,MATCH($F55,'#建筑消耗和buff配置索引'!$M:$M,0))=0,"",INDEX('#建筑消耗和buff配置索引'!U:U,MATCH($F55,'#建筑消耗和buff配置索引'!$M:$M,0)))</f>
        <v/>
      </c>
      <c r="Q55" s="133" t="str">
        <f>IF(INDEX('#建筑消耗和buff配置索引'!K:K,MATCH($F55,'#建筑消耗和buff配置索引'!$M:$M,0))=0,"",INDEX('#建筑消耗和buff配置索引'!K:K,MATCH($F55,'#建筑消耗和buff配置索引'!$M:$M,0)))</f>
        <v>201</v>
      </c>
      <c r="R55" s="133" t="str">
        <f>IF(INDEX('#建筑消耗和buff配置索引'!L:L,MATCH($F55,'#建筑消耗和buff配置索引'!$M:$M,0))=0,"",INDEX('#建筑消耗和buff配置索引'!L:L,MATCH($F55,'#建筑消耗和buff配置索引'!$M:$M,0)))</f>
        <v>22</v>
      </c>
      <c r="S55" s="133">
        <f>IF(INDEX('#建筑消耗和buff配置索引'!C:C,MATCH(F55,'#建筑消耗和buff配置索引'!M:M,0))=0,1,INDEX('#建筑消耗和buff配置索引'!C:C,MATCH(F55,'#建筑消耗和buff配置索引'!M:M,0)))</f>
        <v>1</v>
      </c>
      <c r="T55" s="133">
        <v>0</v>
      </c>
      <c r="U55" s="133">
        <v>0</v>
      </c>
      <c r="V55" s="133" t="str">
        <f>IF(E55=1,IF(INDEX('#建筑消耗和buff配置索引'!BY:BY,MATCH(D55,'#建筑消耗和buff配置索引'!A:A,0))=0,"",INDEX('#建筑消耗和buff配置索引'!BY:BY,MATCH(D55,'#建筑消耗和buff配置索引'!A:A,0))),"")</f>
        <v/>
      </c>
      <c r="W55" s="133" t="str">
        <f>IF(E55=1,IF(INDEX('#建筑消耗和buff配置索引'!BZ:BZ,MATCH(D55,'#建筑消耗和buff配置索引'!A:A,0))=0,"",INDEX('#建筑消耗和buff配置索引'!BZ:BZ,MATCH(D55,'#建筑消耗和buff配置索引'!A:A,0))),"")</f>
        <v/>
      </c>
      <c r="AA55" s="133">
        <f>INDEX('#建筑消耗和buff配置索引'!AO:AO,MATCH($F55,'#建筑消耗和buff配置索引'!$M:$M,0))</f>
        <v>42492</v>
      </c>
      <c r="AB55" s="133">
        <f>IF(INDEX('#建筑消耗和buff配置索引'!AR:AR,MATCH($F55,'#建筑消耗和buff配置索引'!$M:$M,0))=0,"",INDEX('#建筑消耗和buff配置索引'!AR:AR,MATCH($F55,'#建筑消耗和buff配置索引'!$M:$M,0)))</f>
        <v>1200</v>
      </c>
      <c r="AC55" s="133">
        <f>IF(AB55="","",INDEX('#建筑消耗和buff配置索引'!AS:AS,MATCH($F55,'#建筑消耗和buff配置索引'!$M:$M,0)))</f>
        <v>22</v>
      </c>
      <c r="AF55" s="133" t="str">
        <f>IF(INDEX('#建筑消耗和buff配置索引'!AW:AW,MATCH($F55,'#建筑消耗和buff配置索引'!$M:$M,0))=0,"",INDEX('#建筑消耗和buff配置索引'!AW:AW,MATCH($F55,'#建筑消耗和buff配置索引'!$M:$M,0)))</f>
        <v/>
      </c>
      <c r="AG55" s="133" t="str">
        <f>IF(AF55="","",INDEX('#建筑消耗和buff配置索引'!AX:AX,MATCH($F55,'#建筑消耗和buff配置索引'!$M:$M,0)))</f>
        <v/>
      </c>
      <c r="AJ55" s="133" t="str">
        <f>IF(INDEX('#建筑消耗和buff配置索引'!BB:BB,MATCH($F55,'#建筑消耗和buff配置索引'!$M:$M,0))=0,"",INDEX('#建筑消耗和buff配置索引'!BB:BB,MATCH($F55,'#建筑消耗和buff配置索引'!$M:$M,0)))</f>
        <v/>
      </c>
      <c r="AK55" s="133" t="str">
        <f>IF(AJ55="","",INDEX('#建筑消耗和buff配置索引'!BC:BC,MATCH($F55,'#建筑消耗和buff配置索引'!$M:$M,0)))</f>
        <v/>
      </c>
      <c r="AN55" s="133" t="str">
        <f>IF(INDEX('#建筑消耗和buff配置索引'!BG:BG,MATCH($F55,'#建筑消耗和buff配置索引'!$M:$M,0))=0,"",INDEX('#建筑消耗和buff配置索引'!BG:BG,MATCH($F55,'#建筑消耗和buff配置索引'!$M:$M,0)))</f>
        <v/>
      </c>
      <c r="AO55" s="133" t="str">
        <f>IF(AN55="","",INDEX('#建筑消耗和buff配置索引'!BH:BH,MATCH($F55,'#建筑消耗和buff配置索引'!$M:$M,0)))</f>
        <v/>
      </c>
      <c r="AR55" s="133" t="str">
        <f>IF(INDEX('#建筑消耗和buff配置索引'!BK:BK,MATCH($F55,'#建筑消耗和buff配置索引'!$M:$M,0))=0,"",INDEX('#建筑消耗和buff配置索引'!BK:BK,MATCH($F55,'#建筑消耗和buff配置索引'!$M:$M,0)))</f>
        <v/>
      </c>
      <c r="AS55" s="133" t="str">
        <f>IF(AR55="","",INDEX('#建筑消耗和buff配置索引'!BL:BL,MATCH($F55,'#建筑消耗和buff配置索引'!$M:$M,0)))</f>
        <v/>
      </c>
      <c r="AV55" s="133" t="str">
        <f>IF(INDEX('#建筑消耗和buff配置索引'!BO:BO,MATCH($F55,'#建筑消耗和buff配置索引'!$M:$M,0))=0,"",INDEX('#建筑消耗和buff配置索引'!BO:BO,MATCH($F55,'#建筑消耗和buff配置索引'!$M:$M,0)))</f>
        <v/>
      </c>
      <c r="AW55" s="133" t="str">
        <f>IF(AV55="","",INDEX('#建筑消耗和buff配置索引'!BP:BP,MATCH($F55,'#建筑消耗和buff配置索引'!$M:$M,0)))</f>
        <v/>
      </c>
      <c r="AZ55" s="133" t="str">
        <f>IF(INDEX('#建筑消耗和buff配置索引'!BS:BS,MATCH($F55,'#建筑消耗和buff配置索引'!$M:$M,0))=0,"",INDEX('#建筑消耗和buff配置索引'!BS:BS,MATCH($F55,'#建筑消耗和buff配置索引'!$M:$M,0)))</f>
        <v/>
      </c>
      <c r="BA55" s="133" t="str">
        <f>IF(AZ55="","",INDEX('#建筑消耗和buff配置索引'!BT:BT,MATCH($F55,'#建筑消耗和buff配置索引'!$M:$M,0)))</f>
        <v/>
      </c>
      <c r="BD55" s="133" t="str">
        <f>IF(INDEX('#建筑消耗和buff配置索引'!BW:BW,MATCH($F55,'#建筑消耗和buff配置索引'!$M:$M,0))=0,"",INDEX('#建筑消耗和buff配置索引'!BW:BW,MATCH($F55,'#建筑消耗和buff配置索引'!$M:$M,0)))</f>
        <v/>
      </c>
      <c r="BE55" s="133" t="str">
        <f>IF(BD55="","",INDEX('#建筑消耗和buff配置索引'!BX:BX,MATCH($F55,'#建筑消耗和buff配置索引'!$M:$M,0)))</f>
        <v/>
      </c>
      <c r="BI55" s="133">
        <v>2</v>
      </c>
    </row>
    <row r="56" spans="1:70" s="133" customFormat="1">
      <c r="A56" s="133">
        <v>2020023</v>
      </c>
      <c r="B56" s="133">
        <v>53</v>
      </c>
      <c r="C56" s="133">
        <v>202</v>
      </c>
      <c r="D56" s="133" t="s">
        <v>154</v>
      </c>
      <c r="E56" s="133">
        <v>23</v>
      </c>
      <c r="F56" s="133" t="str">
        <f t="shared" si="0"/>
        <v>居民房舍23</v>
      </c>
      <c r="H56" s="146"/>
      <c r="I56" s="133">
        <v>3</v>
      </c>
      <c r="J56" s="150">
        <f>INDEX('#建筑消耗和buff配置索引'!AH:AH,MATCH($F56,'#建筑消耗和buff配置索引'!$M:$M,0))</f>
        <v>116640</v>
      </c>
      <c r="K56" s="150">
        <f>INDEX('#建筑消耗和buff配置索引'!AA:AA,MATCH($F56,'#建筑消耗和buff配置索引'!$M:$M,0))</f>
        <v>1200000</v>
      </c>
      <c r="L56" s="150">
        <f>INDEX('#建筑消耗和buff配置索引'!AB:AB,MATCH($F56,'#建筑消耗和buff配置索引'!$M:$M,0))</f>
        <v>2500000</v>
      </c>
      <c r="M56" s="150">
        <f>INDEX('#建筑消耗和buff配置索引'!AC:AC,MATCH($F56,'#建筑消耗和buff配置索引'!$M:$M,0))</f>
        <v>1200000</v>
      </c>
      <c r="N56" s="150">
        <f>INDEX('#建筑消耗和buff配置索引'!AD:AD,MATCH($F56,'#建筑消耗和buff配置索引'!$M:$M,0))</f>
        <v>1200000</v>
      </c>
      <c r="O56" s="150" t="str">
        <f>IF(INDEX('#建筑消耗和buff配置索引'!T:T,MATCH($F56,'#建筑消耗和buff配置索引'!$M:$M,0))=0,"",INDEX('#建筑消耗和buff配置索引'!T:T,MATCH($F56,'#建筑消耗和buff配置索引'!$M:$M,0)))</f>
        <v/>
      </c>
      <c r="P56" s="133" t="str">
        <f>IF(INDEX('#建筑消耗和buff配置索引'!U:U,MATCH($F56,'#建筑消耗和buff配置索引'!$M:$M,0))=0,"",INDEX('#建筑消耗和buff配置索引'!U:U,MATCH($F56,'#建筑消耗和buff配置索引'!$M:$M,0)))</f>
        <v/>
      </c>
      <c r="Q56" s="133" t="str">
        <f>IF(INDEX('#建筑消耗和buff配置索引'!K:K,MATCH($F56,'#建筑消耗和buff配置索引'!$M:$M,0))=0,"",INDEX('#建筑消耗和buff配置索引'!K:K,MATCH($F56,'#建筑消耗和buff配置索引'!$M:$M,0)))</f>
        <v>201</v>
      </c>
      <c r="R56" s="133" t="str">
        <f>IF(INDEX('#建筑消耗和buff配置索引'!L:L,MATCH($F56,'#建筑消耗和buff配置索引'!$M:$M,0))=0,"",INDEX('#建筑消耗和buff配置索引'!L:L,MATCH($F56,'#建筑消耗和buff配置索引'!$M:$M,0)))</f>
        <v>23</v>
      </c>
      <c r="S56" s="133">
        <f>IF(INDEX('#建筑消耗和buff配置索引'!C:C,MATCH(F56,'#建筑消耗和buff配置索引'!M:M,0))=0,1,INDEX('#建筑消耗和buff配置索引'!C:C,MATCH(F56,'#建筑消耗和buff配置索引'!M:M,0)))</f>
        <v>1</v>
      </c>
      <c r="T56" s="133">
        <v>0</v>
      </c>
      <c r="U56" s="133">
        <v>0</v>
      </c>
      <c r="V56" s="133" t="str">
        <f>IF(E56=1,IF(INDEX('#建筑消耗和buff配置索引'!BY:BY,MATCH(D56,'#建筑消耗和buff配置索引'!A:A,0))=0,"",INDEX('#建筑消耗和buff配置索引'!BY:BY,MATCH(D56,'#建筑消耗和buff配置索引'!A:A,0))),"")</f>
        <v/>
      </c>
      <c r="W56" s="133" t="str">
        <f>IF(E56=1,IF(INDEX('#建筑消耗和buff配置索引'!BZ:BZ,MATCH(D56,'#建筑消耗和buff配置索引'!A:A,0))=0,"",INDEX('#建筑消耗和buff配置索引'!BZ:BZ,MATCH(D56,'#建筑消耗和buff配置索引'!A:A,0))),"")</f>
        <v/>
      </c>
      <c r="AA56" s="133">
        <f>INDEX('#建筑消耗和buff配置索引'!AO:AO,MATCH($F56,'#建筑消耗和buff配置索引'!$M:$M,0))</f>
        <v>54842</v>
      </c>
      <c r="AB56" s="133">
        <f>IF(INDEX('#建筑消耗和buff配置索引'!AR:AR,MATCH($F56,'#建筑消耗和buff配置索引'!$M:$M,0))=0,"",INDEX('#建筑消耗和buff配置索引'!AR:AR,MATCH($F56,'#建筑消耗和buff配置索引'!$M:$M,0)))</f>
        <v>1200</v>
      </c>
      <c r="AC56" s="133">
        <f>IF(AB56="","",INDEX('#建筑消耗和buff配置索引'!AS:AS,MATCH($F56,'#建筑消耗和buff配置索引'!$M:$M,0)))</f>
        <v>23</v>
      </c>
      <c r="AF56" s="133" t="str">
        <f>IF(INDEX('#建筑消耗和buff配置索引'!AW:AW,MATCH($F56,'#建筑消耗和buff配置索引'!$M:$M,0))=0,"",INDEX('#建筑消耗和buff配置索引'!AW:AW,MATCH($F56,'#建筑消耗和buff配置索引'!$M:$M,0)))</f>
        <v/>
      </c>
      <c r="AG56" s="133" t="str">
        <f>IF(AF56="","",INDEX('#建筑消耗和buff配置索引'!AX:AX,MATCH($F56,'#建筑消耗和buff配置索引'!$M:$M,0)))</f>
        <v/>
      </c>
      <c r="AJ56" s="133" t="str">
        <f>IF(INDEX('#建筑消耗和buff配置索引'!BB:BB,MATCH($F56,'#建筑消耗和buff配置索引'!$M:$M,0))=0,"",INDEX('#建筑消耗和buff配置索引'!BB:BB,MATCH($F56,'#建筑消耗和buff配置索引'!$M:$M,0)))</f>
        <v/>
      </c>
      <c r="AK56" s="133" t="str">
        <f>IF(AJ56="","",INDEX('#建筑消耗和buff配置索引'!BC:BC,MATCH($F56,'#建筑消耗和buff配置索引'!$M:$M,0)))</f>
        <v/>
      </c>
      <c r="AN56" s="133" t="str">
        <f>IF(INDEX('#建筑消耗和buff配置索引'!BG:BG,MATCH($F56,'#建筑消耗和buff配置索引'!$M:$M,0))=0,"",INDEX('#建筑消耗和buff配置索引'!BG:BG,MATCH($F56,'#建筑消耗和buff配置索引'!$M:$M,0)))</f>
        <v/>
      </c>
      <c r="AO56" s="133" t="str">
        <f>IF(AN56="","",INDEX('#建筑消耗和buff配置索引'!BH:BH,MATCH($F56,'#建筑消耗和buff配置索引'!$M:$M,0)))</f>
        <v/>
      </c>
      <c r="AR56" s="133" t="str">
        <f>IF(INDEX('#建筑消耗和buff配置索引'!BK:BK,MATCH($F56,'#建筑消耗和buff配置索引'!$M:$M,0))=0,"",INDEX('#建筑消耗和buff配置索引'!BK:BK,MATCH($F56,'#建筑消耗和buff配置索引'!$M:$M,0)))</f>
        <v/>
      </c>
      <c r="AS56" s="133" t="str">
        <f>IF(AR56="","",INDEX('#建筑消耗和buff配置索引'!BL:BL,MATCH($F56,'#建筑消耗和buff配置索引'!$M:$M,0)))</f>
        <v/>
      </c>
      <c r="AV56" s="133" t="str">
        <f>IF(INDEX('#建筑消耗和buff配置索引'!BO:BO,MATCH($F56,'#建筑消耗和buff配置索引'!$M:$M,0))=0,"",INDEX('#建筑消耗和buff配置索引'!BO:BO,MATCH($F56,'#建筑消耗和buff配置索引'!$M:$M,0)))</f>
        <v/>
      </c>
      <c r="AW56" s="133" t="str">
        <f>IF(AV56="","",INDEX('#建筑消耗和buff配置索引'!BP:BP,MATCH($F56,'#建筑消耗和buff配置索引'!$M:$M,0)))</f>
        <v/>
      </c>
      <c r="AZ56" s="133" t="str">
        <f>IF(INDEX('#建筑消耗和buff配置索引'!BS:BS,MATCH($F56,'#建筑消耗和buff配置索引'!$M:$M,0))=0,"",INDEX('#建筑消耗和buff配置索引'!BS:BS,MATCH($F56,'#建筑消耗和buff配置索引'!$M:$M,0)))</f>
        <v/>
      </c>
      <c r="BA56" s="133" t="str">
        <f>IF(AZ56="","",INDEX('#建筑消耗和buff配置索引'!BT:BT,MATCH($F56,'#建筑消耗和buff配置索引'!$M:$M,0)))</f>
        <v/>
      </c>
      <c r="BD56" s="133" t="str">
        <f>IF(INDEX('#建筑消耗和buff配置索引'!BW:BW,MATCH($F56,'#建筑消耗和buff配置索引'!$M:$M,0))=0,"",INDEX('#建筑消耗和buff配置索引'!BW:BW,MATCH($F56,'#建筑消耗和buff配置索引'!$M:$M,0)))</f>
        <v/>
      </c>
      <c r="BE56" s="133" t="str">
        <f>IF(BD56="","",INDEX('#建筑消耗和buff配置索引'!BX:BX,MATCH($F56,'#建筑消耗和buff配置索引'!$M:$M,0)))</f>
        <v/>
      </c>
      <c r="BI56" s="133">
        <v>2</v>
      </c>
    </row>
    <row r="57" spans="1:70" s="133" customFormat="1">
      <c r="A57" s="133">
        <v>2020024</v>
      </c>
      <c r="B57" s="133">
        <v>54</v>
      </c>
      <c r="C57" s="133">
        <v>202</v>
      </c>
      <c r="D57" s="133" t="s">
        <v>154</v>
      </c>
      <c r="E57" s="133">
        <v>24</v>
      </c>
      <c r="F57" s="133" t="str">
        <f t="shared" si="0"/>
        <v>居民房舍24</v>
      </c>
      <c r="H57" s="146"/>
      <c r="I57" s="133">
        <v>3</v>
      </c>
      <c r="J57" s="150">
        <f>INDEX('#建筑消耗和buff配置索引'!AH:AH,MATCH($F57,'#建筑消耗和buff配置索引'!$M:$M,0))</f>
        <v>149040</v>
      </c>
      <c r="K57" s="150">
        <f>INDEX('#建筑消耗和buff配置索引'!AA:AA,MATCH($F57,'#建筑消耗和buff配置索引'!$M:$M,0))</f>
        <v>1600000</v>
      </c>
      <c r="L57" s="150">
        <f>INDEX('#建筑消耗和buff配置索引'!AB:AB,MATCH($F57,'#建筑消耗和buff配置索引'!$M:$M,0))</f>
        <v>3200000</v>
      </c>
      <c r="M57" s="150">
        <f>INDEX('#建筑消耗和buff配置索引'!AC:AC,MATCH($F57,'#建筑消耗和buff配置索引'!$M:$M,0))</f>
        <v>1600000</v>
      </c>
      <c r="N57" s="150">
        <f>INDEX('#建筑消耗和buff配置索引'!AD:AD,MATCH($F57,'#建筑消耗和buff配置索引'!$M:$M,0))</f>
        <v>1600000</v>
      </c>
      <c r="O57" s="150" t="str">
        <f>IF(INDEX('#建筑消耗和buff配置索引'!T:T,MATCH($F57,'#建筑消耗和buff配置索引'!$M:$M,0))=0,"",INDEX('#建筑消耗和buff配置索引'!T:T,MATCH($F57,'#建筑消耗和buff配置索引'!$M:$M,0)))</f>
        <v/>
      </c>
      <c r="P57" s="133" t="str">
        <f>IF(INDEX('#建筑消耗和buff配置索引'!U:U,MATCH($F57,'#建筑消耗和buff配置索引'!$M:$M,0))=0,"",INDEX('#建筑消耗和buff配置索引'!U:U,MATCH($F57,'#建筑消耗和buff配置索引'!$M:$M,0)))</f>
        <v/>
      </c>
      <c r="Q57" s="133" t="str">
        <f>IF(INDEX('#建筑消耗和buff配置索引'!K:K,MATCH($F57,'#建筑消耗和buff配置索引'!$M:$M,0))=0,"",INDEX('#建筑消耗和buff配置索引'!K:K,MATCH($F57,'#建筑消耗和buff配置索引'!$M:$M,0)))</f>
        <v>201</v>
      </c>
      <c r="R57" s="133" t="str">
        <f>IF(INDEX('#建筑消耗和buff配置索引'!L:L,MATCH($F57,'#建筑消耗和buff配置索引'!$M:$M,0))=0,"",INDEX('#建筑消耗和buff配置索引'!L:L,MATCH($F57,'#建筑消耗和buff配置索引'!$M:$M,0)))</f>
        <v>24</v>
      </c>
      <c r="S57" s="133">
        <f>IF(INDEX('#建筑消耗和buff配置索引'!C:C,MATCH(F57,'#建筑消耗和buff配置索引'!M:M,0))=0,1,INDEX('#建筑消耗和buff配置索引'!C:C,MATCH(F57,'#建筑消耗和buff配置索引'!M:M,0)))</f>
        <v>1</v>
      </c>
      <c r="T57" s="133">
        <v>0</v>
      </c>
      <c r="U57" s="133">
        <v>0</v>
      </c>
      <c r="V57" s="133" t="str">
        <f>IF(E57=1,IF(INDEX('#建筑消耗和buff配置索引'!BY:BY,MATCH(D57,'#建筑消耗和buff配置索引'!A:A,0))=0,"",INDEX('#建筑消耗和buff配置索引'!BY:BY,MATCH(D57,'#建筑消耗和buff配置索引'!A:A,0))),"")</f>
        <v/>
      </c>
      <c r="W57" s="133" t="str">
        <f>IF(E57=1,IF(INDEX('#建筑消耗和buff配置索引'!BZ:BZ,MATCH(D57,'#建筑消耗和buff配置索引'!A:A,0))=0,"",INDEX('#建筑消耗和buff配置索引'!BZ:BZ,MATCH(D57,'#建筑消耗和buff配置索引'!A:A,0))),"")</f>
        <v/>
      </c>
      <c r="AA57" s="133">
        <f>INDEX('#建筑消耗和buff配置索引'!AO:AO,MATCH($F57,'#建筑消耗和buff配置索引'!$M:$M,0))</f>
        <v>70650</v>
      </c>
      <c r="AB57" s="133">
        <f>IF(INDEX('#建筑消耗和buff配置索引'!AR:AR,MATCH($F57,'#建筑消耗和buff配置索引'!$M:$M,0))=0,"",INDEX('#建筑消耗和buff配置索引'!AR:AR,MATCH($F57,'#建筑消耗和buff配置索引'!$M:$M,0)))</f>
        <v>1200</v>
      </c>
      <c r="AC57" s="133">
        <f>IF(AB57="","",INDEX('#建筑消耗和buff配置索引'!AS:AS,MATCH($F57,'#建筑消耗和buff配置索引'!$M:$M,0)))</f>
        <v>24</v>
      </c>
      <c r="AF57" s="133" t="str">
        <f>IF(INDEX('#建筑消耗和buff配置索引'!AW:AW,MATCH($F57,'#建筑消耗和buff配置索引'!$M:$M,0))=0,"",INDEX('#建筑消耗和buff配置索引'!AW:AW,MATCH($F57,'#建筑消耗和buff配置索引'!$M:$M,0)))</f>
        <v/>
      </c>
      <c r="AG57" s="133" t="str">
        <f>IF(AF57="","",INDEX('#建筑消耗和buff配置索引'!AX:AX,MATCH($F57,'#建筑消耗和buff配置索引'!$M:$M,0)))</f>
        <v/>
      </c>
      <c r="AJ57" s="133" t="str">
        <f>IF(INDEX('#建筑消耗和buff配置索引'!BB:BB,MATCH($F57,'#建筑消耗和buff配置索引'!$M:$M,0))=0,"",INDEX('#建筑消耗和buff配置索引'!BB:BB,MATCH($F57,'#建筑消耗和buff配置索引'!$M:$M,0)))</f>
        <v/>
      </c>
      <c r="AK57" s="133" t="str">
        <f>IF(AJ57="","",INDEX('#建筑消耗和buff配置索引'!BC:BC,MATCH($F57,'#建筑消耗和buff配置索引'!$M:$M,0)))</f>
        <v/>
      </c>
      <c r="AN57" s="133" t="str">
        <f>IF(INDEX('#建筑消耗和buff配置索引'!BG:BG,MATCH($F57,'#建筑消耗和buff配置索引'!$M:$M,0))=0,"",INDEX('#建筑消耗和buff配置索引'!BG:BG,MATCH($F57,'#建筑消耗和buff配置索引'!$M:$M,0)))</f>
        <v/>
      </c>
      <c r="AO57" s="133" t="str">
        <f>IF(AN57="","",INDEX('#建筑消耗和buff配置索引'!BH:BH,MATCH($F57,'#建筑消耗和buff配置索引'!$M:$M,0)))</f>
        <v/>
      </c>
      <c r="AR57" s="133" t="str">
        <f>IF(INDEX('#建筑消耗和buff配置索引'!BK:BK,MATCH($F57,'#建筑消耗和buff配置索引'!$M:$M,0))=0,"",INDEX('#建筑消耗和buff配置索引'!BK:BK,MATCH($F57,'#建筑消耗和buff配置索引'!$M:$M,0)))</f>
        <v/>
      </c>
      <c r="AS57" s="133" t="str">
        <f>IF(AR57="","",INDEX('#建筑消耗和buff配置索引'!BL:BL,MATCH($F57,'#建筑消耗和buff配置索引'!$M:$M,0)))</f>
        <v/>
      </c>
      <c r="AV57" s="133" t="str">
        <f>IF(INDEX('#建筑消耗和buff配置索引'!BO:BO,MATCH($F57,'#建筑消耗和buff配置索引'!$M:$M,0))=0,"",INDEX('#建筑消耗和buff配置索引'!BO:BO,MATCH($F57,'#建筑消耗和buff配置索引'!$M:$M,0)))</f>
        <v/>
      </c>
      <c r="AW57" s="133" t="str">
        <f>IF(AV57="","",INDEX('#建筑消耗和buff配置索引'!BP:BP,MATCH($F57,'#建筑消耗和buff配置索引'!$M:$M,0)))</f>
        <v/>
      </c>
      <c r="AZ57" s="133" t="str">
        <f>IF(INDEX('#建筑消耗和buff配置索引'!BS:BS,MATCH($F57,'#建筑消耗和buff配置索引'!$M:$M,0))=0,"",INDEX('#建筑消耗和buff配置索引'!BS:BS,MATCH($F57,'#建筑消耗和buff配置索引'!$M:$M,0)))</f>
        <v/>
      </c>
      <c r="BA57" s="133" t="str">
        <f>IF(AZ57="","",INDEX('#建筑消耗和buff配置索引'!BT:BT,MATCH($F57,'#建筑消耗和buff配置索引'!$M:$M,0)))</f>
        <v/>
      </c>
      <c r="BD57" s="133" t="str">
        <f>IF(INDEX('#建筑消耗和buff配置索引'!BW:BW,MATCH($F57,'#建筑消耗和buff配置索引'!$M:$M,0))=0,"",INDEX('#建筑消耗和buff配置索引'!BW:BW,MATCH($F57,'#建筑消耗和buff配置索引'!$M:$M,0)))</f>
        <v/>
      </c>
      <c r="BE57" s="133" t="str">
        <f>IF(BD57="","",INDEX('#建筑消耗和buff配置索引'!BX:BX,MATCH($F57,'#建筑消耗和buff配置索引'!$M:$M,0)))</f>
        <v/>
      </c>
      <c r="BI57" s="133">
        <v>2</v>
      </c>
    </row>
    <row r="58" spans="1:70" s="133" customFormat="1">
      <c r="A58" s="133">
        <v>2020025</v>
      </c>
      <c r="B58" s="133">
        <v>55</v>
      </c>
      <c r="C58" s="133">
        <v>202</v>
      </c>
      <c r="D58" s="133" t="s">
        <v>154</v>
      </c>
      <c r="E58" s="133">
        <v>25</v>
      </c>
      <c r="F58" s="133" t="str">
        <f t="shared" si="0"/>
        <v>居民房舍25</v>
      </c>
      <c r="H58" s="146"/>
      <c r="I58" s="133">
        <v>3</v>
      </c>
      <c r="J58" s="150">
        <f>INDEX('#建筑消耗和buff配置索引'!AH:AH,MATCH($F58,'#建筑消耗和buff配置索引'!$M:$M,0))</f>
        <v>187920</v>
      </c>
      <c r="K58" s="150">
        <f>INDEX('#建筑消耗和buff配置索引'!AA:AA,MATCH($F58,'#建筑消耗和buff配置索引'!$M:$M,0))</f>
        <v>2000000</v>
      </c>
      <c r="L58" s="150">
        <f>INDEX('#建筑消耗和buff配置索引'!AB:AB,MATCH($F58,'#建筑消耗和buff配置索引'!$M:$M,0))</f>
        <v>4000000</v>
      </c>
      <c r="M58" s="150">
        <f>INDEX('#建筑消耗和buff配置索引'!AC:AC,MATCH($F58,'#建筑消耗和buff配置索引'!$M:$M,0))</f>
        <v>2000000</v>
      </c>
      <c r="N58" s="150">
        <f>INDEX('#建筑消耗和buff配置索引'!AD:AD,MATCH($F58,'#建筑消耗和buff配置索引'!$M:$M,0))</f>
        <v>2000000</v>
      </c>
      <c r="O58" s="150" t="str">
        <f>IF(INDEX('#建筑消耗和buff配置索引'!T:T,MATCH($F58,'#建筑消耗和buff配置索引'!$M:$M,0))=0,"",INDEX('#建筑消耗和buff配置索引'!T:T,MATCH($F58,'#建筑消耗和buff配置索引'!$M:$M,0)))</f>
        <v/>
      </c>
      <c r="P58" s="133" t="str">
        <f>IF(INDEX('#建筑消耗和buff配置索引'!U:U,MATCH($F58,'#建筑消耗和buff配置索引'!$M:$M,0))=0,"",INDEX('#建筑消耗和buff配置索引'!U:U,MATCH($F58,'#建筑消耗和buff配置索引'!$M:$M,0)))</f>
        <v/>
      </c>
      <c r="Q58" s="133" t="str">
        <f>IF(INDEX('#建筑消耗和buff配置索引'!K:K,MATCH($F58,'#建筑消耗和buff配置索引'!$M:$M,0))=0,"",INDEX('#建筑消耗和buff配置索引'!K:K,MATCH($F58,'#建筑消耗和buff配置索引'!$M:$M,0)))</f>
        <v>201</v>
      </c>
      <c r="R58" s="133" t="str">
        <f>IF(INDEX('#建筑消耗和buff配置索引'!L:L,MATCH($F58,'#建筑消耗和buff配置索引'!$M:$M,0))=0,"",INDEX('#建筑消耗和buff配置索引'!L:L,MATCH($F58,'#建筑消耗和buff配置索引'!$M:$M,0)))</f>
        <v>25</v>
      </c>
      <c r="S58" s="133">
        <f>IF(INDEX('#建筑消耗和buff配置索引'!C:C,MATCH(F58,'#建筑消耗和buff配置索引'!M:M,0))=0,1,INDEX('#建筑消耗和buff配置索引'!C:C,MATCH(F58,'#建筑消耗和buff配置索引'!M:M,0)))</f>
        <v>1</v>
      </c>
      <c r="T58" s="133">
        <v>0</v>
      </c>
      <c r="U58" s="133">
        <v>0</v>
      </c>
      <c r="V58" s="133" t="str">
        <f>IF(E58=1,IF(INDEX('#建筑消耗和buff配置索引'!BY:BY,MATCH(D58,'#建筑消耗和buff配置索引'!A:A,0))=0,"",INDEX('#建筑消耗和buff配置索引'!BY:BY,MATCH(D58,'#建筑消耗和buff配置索引'!A:A,0))),"")</f>
        <v/>
      </c>
      <c r="W58" s="133" t="str">
        <f>IF(E58=1,IF(INDEX('#建筑消耗和buff配置索引'!BZ:BZ,MATCH(D58,'#建筑消耗和buff配置索引'!A:A,0))=0,"",INDEX('#建筑消耗和buff配置索引'!BZ:BZ,MATCH(D58,'#建筑消耗和buff配置索引'!A:A,0))),"")</f>
        <v/>
      </c>
      <c r="AA58" s="133">
        <f>INDEX('#建筑消耗和buff配置索引'!AO:AO,MATCH($F58,'#建筑消耗和buff配置索引'!$M:$M,0))</f>
        <v>90884</v>
      </c>
      <c r="AB58" s="133">
        <f>IF(INDEX('#建筑消耗和buff配置索引'!AR:AR,MATCH($F58,'#建筑消耗和buff配置索引'!$M:$M,0))=0,"",INDEX('#建筑消耗和buff配置索引'!AR:AR,MATCH($F58,'#建筑消耗和buff配置索引'!$M:$M,0)))</f>
        <v>1200</v>
      </c>
      <c r="AC58" s="133">
        <f>IF(AB58="","",INDEX('#建筑消耗和buff配置索引'!AS:AS,MATCH($F58,'#建筑消耗和buff配置索引'!$M:$M,0)))</f>
        <v>25</v>
      </c>
      <c r="AF58" s="133" t="str">
        <f>IF(INDEX('#建筑消耗和buff配置索引'!AW:AW,MATCH($F58,'#建筑消耗和buff配置索引'!$M:$M,0))=0,"",INDEX('#建筑消耗和buff配置索引'!AW:AW,MATCH($F58,'#建筑消耗和buff配置索引'!$M:$M,0)))</f>
        <v/>
      </c>
      <c r="AG58" s="133" t="str">
        <f>IF(AF58="","",INDEX('#建筑消耗和buff配置索引'!AX:AX,MATCH($F58,'#建筑消耗和buff配置索引'!$M:$M,0)))</f>
        <v/>
      </c>
      <c r="AJ58" s="133" t="str">
        <f>IF(INDEX('#建筑消耗和buff配置索引'!BB:BB,MATCH($F58,'#建筑消耗和buff配置索引'!$M:$M,0))=0,"",INDEX('#建筑消耗和buff配置索引'!BB:BB,MATCH($F58,'#建筑消耗和buff配置索引'!$M:$M,0)))</f>
        <v/>
      </c>
      <c r="AK58" s="133" t="str">
        <f>IF(AJ58="","",INDEX('#建筑消耗和buff配置索引'!BC:BC,MATCH($F58,'#建筑消耗和buff配置索引'!$M:$M,0)))</f>
        <v/>
      </c>
      <c r="AN58" s="133" t="str">
        <f>IF(INDEX('#建筑消耗和buff配置索引'!BG:BG,MATCH($F58,'#建筑消耗和buff配置索引'!$M:$M,0))=0,"",INDEX('#建筑消耗和buff配置索引'!BG:BG,MATCH($F58,'#建筑消耗和buff配置索引'!$M:$M,0)))</f>
        <v/>
      </c>
      <c r="AO58" s="133" t="str">
        <f>IF(AN58="","",INDEX('#建筑消耗和buff配置索引'!BH:BH,MATCH($F58,'#建筑消耗和buff配置索引'!$M:$M,0)))</f>
        <v/>
      </c>
      <c r="AR58" s="133" t="str">
        <f>IF(INDEX('#建筑消耗和buff配置索引'!BK:BK,MATCH($F58,'#建筑消耗和buff配置索引'!$M:$M,0))=0,"",INDEX('#建筑消耗和buff配置索引'!BK:BK,MATCH($F58,'#建筑消耗和buff配置索引'!$M:$M,0)))</f>
        <v/>
      </c>
      <c r="AS58" s="133" t="str">
        <f>IF(AR58="","",INDEX('#建筑消耗和buff配置索引'!BL:BL,MATCH($F58,'#建筑消耗和buff配置索引'!$M:$M,0)))</f>
        <v/>
      </c>
      <c r="AV58" s="133" t="str">
        <f>IF(INDEX('#建筑消耗和buff配置索引'!BO:BO,MATCH($F58,'#建筑消耗和buff配置索引'!$M:$M,0))=0,"",INDEX('#建筑消耗和buff配置索引'!BO:BO,MATCH($F58,'#建筑消耗和buff配置索引'!$M:$M,0)))</f>
        <v/>
      </c>
      <c r="AW58" s="133" t="str">
        <f>IF(AV58="","",INDEX('#建筑消耗和buff配置索引'!BP:BP,MATCH($F58,'#建筑消耗和buff配置索引'!$M:$M,0)))</f>
        <v/>
      </c>
      <c r="AZ58" s="133" t="str">
        <f>IF(INDEX('#建筑消耗和buff配置索引'!BS:BS,MATCH($F58,'#建筑消耗和buff配置索引'!$M:$M,0))=0,"",INDEX('#建筑消耗和buff配置索引'!BS:BS,MATCH($F58,'#建筑消耗和buff配置索引'!$M:$M,0)))</f>
        <v/>
      </c>
      <c r="BA58" s="133" t="str">
        <f>IF(AZ58="","",INDEX('#建筑消耗和buff配置索引'!BT:BT,MATCH($F58,'#建筑消耗和buff配置索引'!$M:$M,0)))</f>
        <v/>
      </c>
      <c r="BD58" s="133" t="str">
        <f>IF(INDEX('#建筑消耗和buff配置索引'!BW:BW,MATCH($F58,'#建筑消耗和buff配置索引'!$M:$M,0))=0,"",INDEX('#建筑消耗和buff配置索引'!BW:BW,MATCH($F58,'#建筑消耗和buff配置索引'!$M:$M,0)))</f>
        <v/>
      </c>
      <c r="BE58" s="133" t="str">
        <f>IF(BD58="","",INDEX('#建筑消耗和buff配置索引'!BX:BX,MATCH($F58,'#建筑消耗和buff配置索引'!$M:$M,0)))</f>
        <v/>
      </c>
      <c r="BI58" s="133">
        <v>2</v>
      </c>
    </row>
    <row r="59" spans="1:70" s="133" customFormat="1">
      <c r="A59" s="133">
        <v>2020026</v>
      </c>
      <c r="B59" s="133">
        <v>56</v>
      </c>
      <c r="C59" s="133">
        <v>202</v>
      </c>
      <c r="D59" s="133" t="s">
        <v>154</v>
      </c>
      <c r="E59" s="133">
        <v>26</v>
      </c>
      <c r="F59" s="133" t="str">
        <f t="shared" si="0"/>
        <v>居民房舍26</v>
      </c>
      <c r="H59" s="146"/>
      <c r="I59" s="133">
        <v>3</v>
      </c>
      <c r="J59" s="150">
        <f>INDEX('#建筑消耗和buff配置索引'!AH:AH,MATCH($F59,'#建筑消耗和buff配置索引'!$M:$M,0))</f>
        <v>233280</v>
      </c>
      <c r="K59" s="150">
        <f>INDEX('#建筑消耗和buff配置索引'!AA:AA,MATCH($F59,'#建筑消耗和buff配置索引'!$M:$M,0))</f>
        <v>2600000</v>
      </c>
      <c r="L59" s="150">
        <f>INDEX('#建筑消耗和buff配置索引'!AB:AB,MATCH($F59,'#建筑消耗和buff配置索引'!$M:$M,0))</f>
        <v>5200000</v>
      </c>
      <c r="M59" s="150">
        <f>INDEX('#建筑消耗和buff配置索引'!AC:AC,MATCH($F59,'#建筑消耗和buff配置索引'!$M:$M,0))</f>
        <v>2600000</v>
      </c>
      <c r="N59" s="150">
        <f>INDEX('#建筑消耗和buff配置索引'!AD:AD,MATCH($F59,'#建筑消耗和buff配置索引'!$M:$M,0))</f>
        <v>2600000</v>
      </c>
      <c r="O59" s="150" t="str">
        <f>IF(INDEX('#建筑消耗和buff配置索引'!T:T,MATCH($F59,'#建筑消耗和buff配置索引'!$M:$M,0))=0,"",INDEX('#建筑消耗和buff配置索引'!T:T,MATCH($F59,'#建筑消耗和buff配置索引'!$M:$M,0)))</f>
        <v/>
      </c>
      <c r="P59" s="133" t="str">
        <f>IF(INDEX('#建筑消耗和buff配置索引'!U:U,MATCH($F59,'#建筑消耗和buff配置索引'!$M:$M,0))=0,"",INDEX('#建筑消耗和buff配置索引'!U:U,MATCH($F59,'#建筑消耗和buff配置索引'!$M:$M,0)))</f>
        <v/>
      </c>
      <c r="Q59" s="133" t="str">
        <f>IF(INDEX('#建筑消耗和buff配置索引'!K:K,MATCH($F59,'#建筑消耗和buff配置索引'!$M:$M,0))=0,"",INDEX('#建筑消耗和buff配置索引'!K:K,MATCH($F59,'#建筑消耗和buff配置索引'!$M:$M,0)))</f>
        <v>201</v>
      </c>
      <c r="R59" s="133" t="str">
        <f>IF(INDEX('#建筑消耗和buff配置索引'!L:L,MATCH($F59,'#建筑消耗和buff配置索引'!$M:$M,0))=0,"",INDEX('#建筑消耗和buff配置索引'!L:L,MATCH($F59,'#建筑消耗和buff配置索引'!$M:$M,0)))</f>
        <v>26</v>
      </c>
      <c r="S59" s="133">
        <f>IF(INDEX('#建筑消耗和buff配置索引'!C:C,MATCH(F59,'#建筑消耗和buff配置索引'!M:M,0))=0,1,INDEX('#建筑消耗和buff配置索引'!C:C,MATCH(F59,'#建筑消耗和buff配置索引'!M:M,0)))</f>
        <v>1</v>
      </c>
      <c r="T59" s="133">
        <v>0</v>
      </c>
      <c r="U59" s="133">
        <v>0</v>
      </c>
      <c r="V59" s="133" t="str">
        <f>IF(E59=1,IF(INDEX('#建筑消耗和buff配置索引'!BY:BY,MATCH(D59,'#建筑消耗和buff配置索引'!A:A,0))=0,"",INDEX('#建筑消耗和buff配置索引'!BY:BY,MATCH(D59,'#建筑消耗和buff配置索引'!A:A,0))),"")</f>
        <v/>
      </c>
      <c r="W59" s="133" t="str">
        <f>IF(E59=1,IF(INDEX('#建筑消耗和buff配置索引'!BZ:BZ,MATCH(D59,'#建筑消耗和buff配置索引'!A:A,0))=0,"",INDEX('#建筑消耗和buff配置索引'!BZ:BZ,MATCH(D59,'#建筑消耗和buff配置索引'!A:A,0))),"")</f>
        <v/>
      </c>
      <c r="AA59" s="133">
        <f>INDEX('#建筑消耗和buff配置索引'!AO:AO,MATCH($F59,'#建筑消耗和buff配置索引'!$M:$M,0))</f>
        <v>116784</v>
      </c>
      <c r="AB59" s="133">
        <f>IF(INDEX('#建筑消耗和buff配置索引'!AR:AR,MATCH($F59,'#建筑消耗和buff配置索引'!$M:$M,0))=0,"",INDEX('#建筑消耗和buff配置索引'!AR:AR,MATCH($F59,'#建筑消耗和buff配置索引'!$M:$M,0)))</f>
        <v>1200</v>
      </c>
      <c r="AC59" s="133">
        <f>IF(AB59="","",INDEX('#建筑消耗和buff配置索引'!AS:AS,MATCH($F59,'#建筑消耗和buff配置索引'!$M:$M,0)))</f>
        <v>27</v>
      </c>
      <c r="AF59" s="133" t="str">
        <f>IF(INDEX('#建筑消耗和buff配置索引'!AW:AW,MATCH($F59,'#建筑消耗和buff配置索引'!$M:$M,0))=0,"",INDEX('#建筑消耗和buff配置索引'!AW:AW,MATCH($F59,'#建筑消耗和buff配置索引'!$M:$M,0)))</f>
        <v/>
      </c>
      <c r="AG59" s="133" t="str">
        <f>IF(AF59="","",INDEX('#建筑消耗和buff配置索引'!AX:AX,MATCH($F59,'#建筑消耗和buff配置索引'!$M:$M,0)))</f>
        <v/>
      </c>
      <c r="AJ59" s="133" t="str">
        <f>IF(INDEX('#建筑消耗和buff配置索引'!BB:BB,MATCH($F59,'#建筑消耗和buff配置索引'!$M:$M,0))=0,"",INDEX('#建筑消耗和buff配置索引'!BB:BB,MATCH($F59,'#建筑消耗和buff配置索引'!$M:$M,0)))</f>
        <v/>
      </c>
      <c r="AK59" s="133" t="str">
        <f>IF(AJ59="","",INDEX('#建筑消耗和buff配置索引'!BC:BC,MATCH($F59,'#建筑消耗和buff配置索引'!$M:$M,0)))</f>
        <v/>
      </c>
      <c r="AN59" s="133" t="str">
        <f>IF(INDEX('#建筑消耗和buff配置索引'!BG:BG,MATCH($F59,'#建筑消耗和buff配置索引'!$M:$M,0))=0,"",INDEX('#建筑消耗和buff配置索引'!BG:BG,MATCH($F59,'#建筑消耗和buff配置索引'!$M:$M,0)))</f>
        <v/>
      </c>
      <c r="AO59" s="133" t="str">
        <f>IF(AN59="","",INDEX('#建筑消耗和buff配置索引'!BH:BH,MATCH($F59,'#建筑消耗和buff配置索引'!$M:$M,0)))</f>
        <v/>
      </c>
      <c r="AR59" s="133" t="str">
        <f>IF(INDEX('#建筑消耗和buff配置索引'!BK:BK,MATCH($F59,'#建筑消耗和buff配置索引'!$M:$M,0))=0,"",INDEX('#建筑消耗和buff配置索引'!BK:BK,MATCH($F59,'#建筑消耗和buff配置索引'!$M:$M,0)))</f>
        <v/>
      </c>
      <c r="AS59" s="133" t="str">
        <f>IF(AR59="","",INDEX('#建筑消耗和buff配置索引'!BL:BL,MATCH($F59,'#建筑消耗和buff配置索引'!$M:$M,0)))</f>
        <v/>
      </c>
      <c r="AV59" s="133" t="str">
        <f>IF(INDEX('#建筑消耗和buff配置索引'!BO:BO,MATCH($F59,'#建筑消耗和buff配置索引'!$M:$M,0))=0,"",INDEX('#建筑消耗和buff配置索引'!BO:BO,MATCH($F59,'#建筑消耗和buff配置索引'!$M:$M,0)))</f>
        <v/>
      </c>
      <c r="AW59" s="133" t="str">
        <f>IF(AV59="","",INDEX('#建筑消耗和buff配置索引'!BP:BP,MATCH($F59,'#建筑消耗和buff配置索引'!$M:$M,0)))</f>
        <v/>
      </c>
      <c r="AZ59" s="133" t="str">
        <f>IF(INDEX('#建筑消耗和buff配置索引'!BS:BS,MATCH($F59,'#建筑消耗和buff配置索引'!$M:$M,0))=0,"",INDEX('#建筑消耗和buff配置索引'!BS:BS,MATCH($F59,'#建筑消耗和buff配置索引'!$M:$M,0)))</f>
        <v/>
      </c>
      <c r="BA59" s="133" t="str">
        <f>IF(AZ59="","",INDEX('#建筑消耗和buff配置索引'!BT:BT,MATCH($F59,'#建筑消耗和buff配置索引'!$M:$M,0)))</f>
        <v/>
      </c>
      <c r="BD59" s="133" t="str">
        <f>IF(INDEX('#建筑消耗和buff配置索引'!BW:BW,MATCH($F59,'#建筑消耗和buff配置索引'!$M:$M,0))=0,"",INDEX('#建筑消耗和buff配置索引'!BW:BW,MATCH($F59,'#建筑消耗和buff配置索引'!$M:$M,0)))</f>
        <v/>
      </c>
      <c r="BE59" s="133" t="str">
        <f>IF(BD59="","",INDEX('#建筑消耗和buff配置索引'!BX:BX,MATCH($F59,'#建筑消耗和buff配置索引'!$M:$M,0)))</f>
        <v/>
      </c>
      <c r="BI59" s="133">
        <v>2</v>
      </c>
    </row>
    <row r="60" spans="1:70" s="133" customFormat="1">
      <c r="A60" s="133">
        <v>2020027</v>
      </c>
      <c r="B60" s="133">
        <v>57</v>
      </c>
      <c r="C60" s="133">
        <v>202</v>
      </c>
      <c r="D60" s="133" t="s">
        <v>154</v>
      </c>
      <c r="E60" s="133">
        <v>27</v>
      </c>
      <c r="F60" s="133" t="str">
        <f t="shared" si="0"/>
        <v>居民房舍27</v>
      </c>
      <c r="H60" s="146"/>
      <c r="I60" s="133">
        <v>3</v>
      </c>
      <c r="J60" s="150">
        <f>INDEX('#建筑消耗和buff配置索引'!AH:AH,MATCH($F60,'#建筑消耗和buff配置索引'!$M:$M,0))</f>
        <v>285120</v>
      </c>
      <c r="K60" s="150">
        <f>INDEX('#建筑消耗和buff配置索引'!AA:AA,MATCH($F60,'#建筑消耗和buff配置索引'!$M:$M,0))</f>
        <v>3300000</v>
      </c>
      <c r="L60" s="150">
        <f>INDEX('#建筑消耗和buff配置索引'!AB:AB,MATCH($F60,'#建筑消耗和buff配置索引'!$M:$M,0))</f>
        <v>6600000</v>
      </c>
      <c r="M60" s="150">
        <f>INDEX('#建筑消耗和buff配置索引'!AC:AC,MATCH($F60,'#建筑消耗和buff配置索引'!$M:$M,0))</f>
        <v>3300000</v>
      </c>
      <c r="N60" s="150">
        <f>INDEX('#建筑消耗和buff配置索引'!AD:AD,MATCH($F60,'#建筑消耗和buff配置索引'!$M:$M,0))</f>
        <v>3300000</v>
      </c>
      <c r="O60" s="150" t="str">
        <f>IF(INDEX('#建筑消耗和buff配置索引'!T:T,MATCH($F60,'#建筑消耗和buff配置索引'!$M:$M,0))=0,"",INDEX('#建筑消耗和buff配置索引'!T:T,MATCH($F60,'#建筑消耗和buff配置索引'!$M:$M,0)))</f>
        <v/>
      </c>
      <c r="P60" s="133" t="str">
        <f>IF(INDEX('#建筑消耗和buff配置索引'!U:U,MATCH($F60,'#建筑消耗和buff配置索引'!$M:$M,0))=0,"",INDEX('#建筑消耗和buff配置索引'!U:U,MATCH($F60,'#建筑消耗和buff配置索引'!$M:$M,0)))</f>
        <v/>
      </c>
      <c r="Q60" s="133" t="str">
        <f>IF(INDEX('#建筑消耗和buff配置索引'!K:K,MATCH($F60,'#建筑消耗和buff配置索引'!$M:$M,0))=0,"",INDEX('#建筑消耗和buff配置索引'!K:K,MATCH($F60,'#建筑消耗和buff配置索引'!$M:$M,0)))</f>
        <v>201</v>
      </c>
      <c r="R60" s="133" t="str">
        <f>IF(INDEX('#建筑消耗和buff配置索引'!L:L,MATCH($F60,'#建筑消耗和buff配置索引'!$M:$M,0))=0,"",INDEX('#建筑消耗和buff配置索引'!L:L,MATCH($F60,'#建筑消耗和buff配置索引'!$M:$M,0)))</f>
        <v>27</v>
      </c>
      <c r="S60" s="133">
        <f>IF(INDEX('#建筑消耗和buff配置索引'!C:C,MATCH(F60,'#建筑消耗和buff配置索引'!M:M,0))=0,1,INDEX('#建筑消耗和buff配置索引'!C:C,MATCH(F60,'#建筑消耗和buff配置索引'!M:M,0)))</f>
        <v>1</v>
      </c>
      <c r="T60" s="133">
        <v>0</v>
      </c>
      <c r="U60" s="133">
        <v>0</v>
      </c>
      <c r="V60" s="133" t="str">
        <f>IF(E60=1,IF(INDEX('#建筑消耗和buff配置索引'!BY:BY,MATCH(D60,'#建筑消耗和buff配置索引'!A:A,0))=0,"",INDEX('#建筑消耗和buff配置索引'!BY:BY,MATCH(D60,'#建筑消耗和buff配置索引'!A:A,0))),"")</f>
        <v/>
      </c>
      <c r="W60" s="133" t="str">
        <f>IF(E60=1,IF(INDEX('#建筑消耗和buff配置索引'!BZ:BZ,MATCH(D60,'#建筑消耗和buff配置索引'!A:A,0))=0,"",INDEX('#建筑消耗和buff配置索引'!BZ:BZ,MATCH(D60,'#建筑消耗和buff配置索引'!A:A,0))),"")</f>
        <v/>
      </c>
      <c r="AA60" s="133">
        <f>INDEX('#建筑消耗和buff配置索引'!AO:AO,MATCH($F60,'#建筑消耗和buff配置索引'!$M:$M,0))</f>
        <v>149935</v>
      </c>
      <c r="AB60" s="133">
        <f>IF(INDEX('#建筑消耗和buff配置索引'!AR:AR,MATCH($F60,'#建筑消耗和buff配置索引'!$M:$M,0))=0,"",INDEX('#建筑消耗和buff配置索引'!AR:AR,MATCH($F60,'#建筑消耗和buff配置索引'!$M:$M,0)))</f>
        <v>1200</v>
      </c>
      <c r="AC60" s="133">
        <f>IF(AB60="","",INDEX('#建筑消耗和buff配置索引'!AS:AS,MATCH($F60,'#建筑消耗和buff配置索引'!$M:$M,0)))</f>
        <v>29</v>
      </c>
      <c r="AF60" s="133" t="str">
        <f>IF(INDEX('#建筑消耗和buff配置索引'!AW:AW,MATCH($F60,'#建筑消耗和buff配置索引'!$M:$M,0))=0,"",INDEX('#建筑消耗和buff配置索引'!AW:AW,MATCH($F60,'#建筑消耗和buff配置索引'!$M:$M,0)))</f>
        <v/>
      </c>
      <c r="AG60" s="133" t="str">
        <f>IF(AF60="","",INDEX('#建筑消耗和buff配置索引'!AX:AX,MATCH($F60,'#建筑消耗和buff配置索引'!$M:$M,0)))</f>
        <v/>
      </c>
      <c r="AJ60" s="133" t="str">
        <f>IF(INDEX('#建筑消耗和buff配置索引'!BB:BB,MATCH($F60,'#建筑消耗和buff配置索引'!$M:$M,0))=0,"",INDEX('#建筑消耗和buff配置索引'!BB:BB,MATCH($F60,'#建筑消耗和buff配置索引'!$M:$M,0)))</f>
        <v/>
      </c>
      <c r="AK60" s="133" t="str">
        <f>IF(AJ60="","",INDEX('#建筑消耗和buff配置索引'!BC:BC,MATCH($F60,'#建筑消耗和buff配置索引'!$M:$M,0)))</f>
        <v/>
      </c>
      <c r="AN60" s="133" t="str">
        <f>IF(INDEX('#建筑消耗和buff配置索引'!BG:BG,MATCH($F60,'#建筑消耗和buff配置索引'!$M:$M,0))=0,"",INDEX('#建筑消耗和buff配置索引'!BG:BG,MATCH($F60,'#建筑消耗和buff配置索引'!$M:$M,0)))</f>
        <v/>
      </c>
      <c r="AO60" s="133" t="str">
        <f>IF(AN60="","",INDEX('#建筑消耗和buff配置索引'!BH:BH,MATCH($F60,'#建筑消耗和buff配置索引'!$M:$M,0)))</f>
        <v/>
      </c>
      <c r="AR60" s="133" t="str">
        <f>IF(INDEX('#建筑消耗和buff配置索引'!BK:BK,MATCH($F60,'#建筑消耗和buff配置索引'!$M:$M,0))=0,"",INDEX('#建筑消耗和buff配置索引'!BK:BK,MATCH($F60,'#建筑消耗和buff配置索引'!$M:$M,0)))</f>
        <v/>
      </c>
      <c r="AS60" s="133" t="str">
        <f>IF(AR60="","",INDEX('#建筑消耗和buff配置索引'!BL:BL,MATCH($F60,'#建筑消耗和buff配置索引'!$M:$M,0)))</f>
        <v/>
      </c>
      <c r="AV60" s="133" t="str">
        <f>IF(INDEX('#建筑消耗和buff配置索引'!BO:BO,MATCH($F60,'#建筑消耗和buff配置索引'!$M:$M,0))=0,"",INDEX('#建筑消耗和buff配置索引'!BO:BO,MATCH($F60,'#建筑消耗和buff配置索引'!$M:$M,0)))</f>
        <v/>
      </c>
      <c r="AW60" s="133" t="str">
        <f>IF(AV60="","",INDEX('#建筑消耗和buff配置索引'!BP:BP,MATCH($F60,'#建筑消耗和buff配置索引'!$M:$M,0)))</f>
        <v/>
      </c>
      <c r="AZ60" s="133" t="str">
        <f>IF(INDEX('#建筑消耗和buff配置索引'!BS:BS,MATCH($F60,'#建筑消耗和buff配置索引'!$M:$M,0))=0,"",INDEX('#建筑消耗和buff配置索引'!BS:BS,MATCH($F60,'#建筑消耗和buff配置索引'!$M:$M,0)))</f>
        <v/>
      </c>
      <c r="BA60" s="133" t="str">
        <f>IF(AZ60="","",INDEX('#建筑消耗和buff配置索引'!BT:BT,MATCH($F60,'#建筑消耗和buff配置索引'!$M:$M,0)))</f>
        <v/>
      </c>
      <c r="BD60" s="133" t="str">
        <f>IF(INDEX('#建筑消耗和buff配置索引'!BW:BW,MATCH($F60,'#建筑消耗和buff配置索引'!$M:$M,0))=0,"",INDEX('#建筑消耗和buff配置索引'!BW:BW,MATCH($F60,'#建筑消耗和buff配置索引'!$M:$M,0)))</f>
        <v/>
      </c>
      <c r="BE60" s="133" t="str">
        <f>IF(BD60="","",INDEX('#建筑消耗和buff配置索引'!BX:BX,MATCH($F60,'#建筑消耗和buff配置索引'!$M:$M,0)))</f>
        <v/>
      </c>
      <c r="BI60" s="133">
        <v>2</v>
      </c>
    </row>
    <row r="61" spans="1:70" s="133" customFormat="1">
      <c r="A61" s="133">
        <v>2020028</v>
      </c>
      <c r="B61" s="133">
        <v>58</v>
      </c>
      <c r="C61" s="133">
        <v>202</v>
      </c>
      <c r="D61" s="133" t="s">
        <v>154</v>
      </c>
      <c r="E61" s="133">
        <v>28</v>
      </c>
      <c r="F61" s="133" t="str">
        <f t="shared" si="0"/>
        <v>居民房舍28</v>
      </c>
      <c r="H61" s="146"/>
      <c r="I61" s="133">
        <v>3</v>
      </c>
      <c r="J61" s="150">
        <f>INDEX('#建筑消耗和buff配置索引'!AH:AH,MATCH($F61,'#建筑消耗和buff配置索引'!$M:$M,0))</f>
        <v>349920</v>
      </c>
      <c r="K61" s="150">
        <f>INDEX('#建筑消耗和buff配置索引'!AA:AA,MATCH($F61,'#建筑消耗和buff配置索引'!$M:$M,0))</f>
        <v>4200000</v>
      </c>
      <c r="L61" s="150">
        <f>INDEX('#建筑消耗和buff配置索引'!AB:AB,MATCH($F61,'#建筑消耗和buff配置索引'!$M:$M,0))</f>
        <v>8500000</v>
      </c>
      <c r="M61" s="150">
        <f>INDEX('#建筑消耗和buff配置索引'!AC:AC,MATCH($F61,'#建筑消耗和buff配置索引'!$M:$M,0))</f>
        <v>4200000</v>
      </c>
      <c r="N61" s="150">
        <f>INDEX('#建筑消耗和buff配置索引'!AD:AD,MATCH($F61,'#建筑消耗和buff配置索引'!$M:$M,0))</f>
        <v>4200000</v>
      </c>
      <c r="O61" s="150" t="str">
        <f>IF(INDEX('#建筑消耗和buff配置索引'!T:T,MATCH($F61,'#建筑消耗和buff配置索引'!$M:$M,0))=0,"",INDEX('#建筑消耗和buff配置索引'!T:T,MATCH($F61,'#建筑消耗和buff配置索引'!$M:$M,0)))</f>
        <v/>
      </c>
      <c r="P61" s="133" t="str">
        <f>IF(INDEX('#建筑消耗和buff配置索引'!U:U,MATCH($F61,'#建筑消耗和buff配置索引'!$M:$M,0))=0,"",INDEX('#建筑消耗和buff配置索引'!U:U,MATCH($F61,'#建筑消耗和buff配置索引'!$M:$M,0)))</f>
        <v/>
      </c>
      <c r="Q61" s="133" t="str">
        <f>IF(INDEX('#建筑消耗和buff配置索引'!K:K,MATCH($F61,'#建筑消耗和buff配置索引'!$M:$M,0))=0,"",INDEX('#建筑消耗和buff配置索引'!K:K,MATCH($F61,'#建筑消耗和buff配置索引'!$M:$M,0)))</f>
        <v>201</v>
      </c>
      <c r="R61" s="133" t="str">
        <f>IF(INDEX('#建筑消耗和buff配置索引'!L:L,MATCH($F61,'#建筑消耗和buff配置索引'!$M:$M,0))=0,"",INDEX('#建筑消耗和buff配置索引'!L:L,MATCH($F61,'#建筑消耗和buff配置索引'!$M:$M,0)))</f>
        <v>28</v>
      </c>
      <c r="S61" s="133">
        <f>IF(INDEX('#建筑消耗和buff配置索引'!C:C,MATCH(F61,'#建筑消耗和buff配置索引'!M:M,0))=0,1,INDEX('#建筑消耗和buff配置索引'!C:C,MATCH(F61,'#建筑消耗和buff配置索引'!M:M,0)))</f>
        <v>1</v>
      </c>
      <c r="T61" s="133">
        <v>0</v>
      </c>
      <c r="U61" s="133">
        <v>0</v>
      </c>
      <c r="V61" s="133" t="str">
        <f>IF(E61=1,IF(INDEX('#建筑消耗和buff配置索引'!BY:BY,MATCH(D61,'#建筑消耗和buff配置索引'!A:A,0))=0,"",INDEX('#建筑消耗和buff配置索引'!BY:BY,MATCH(D61,'#建筑消耗和buff配置索引'!A:A,0))),"")</f>
        <v/>
      </c>
      <c r="W61" s="133" t="str">
        <f>IF(E61=1,IF(INDEX('#建筑消耗和buff配置索引'!BZ:BZ,MATCH(D61,'#建筑消耗和buff配置索引'!A:A,0))=0,"",INDEX('#建筑消耗和buff配置索引'!BZ:BZ,MATCH(D61,'#建筑消耗和buff配置索引'!A:A,0))),"")</f>
        <v/>
      </c>
      <c r="AA61" s="133">
        <f>INDEX('#建筑消耗和buff配置索引'!AO:AO,MATCH($F61,'#建筑消耗和buff配置索引'!$M:$M,0))</f>
        <v>192370</v>
      </c>
      <c r="AB61" s="133">
        <f>IF(INDEX('#建筑消耗和buff配置索引'!AR:AR,MATCH($F61,'#建筑消耗和buff配置索引'!$M:$M,0))=0,"",INDEX('#建筑消耗和buff配置索引'!AR:AR,MATCH($F61,'#建筑消耗和buff配置索引'!$M:$M,0)))</f>
        <v>1200</v>
      </c>
      <c r="AC61" s="133">
        <f>IF(AB61="","",INDEX('#建筑消耗和buff配置索引'!AS:AS,MATCH($F61,'#建筑消耗和buff配置索引'!$M:$M,0)))</f>
        <v>31</v>
      </c>
      <c r="AF61" s="133" t="str">
        <f>IF(INDEX('#建筑消耗和buff配置索引'!AW:AW,MATCH($F61,'#建筑消耗和buff配置索引'!$M:$M,0))=0,"",INDEX('#建筑消耗和buff配置索引'!AW:AW,MATCH($F61,'#建筑消耗和buff配置索引'!$M:$M,0)))</f>
        <v/>
      </c>
      <c r="AG61" s="133" t="str">
        <f>IF(AF61="","",INDEX('#建筑消耗和buff配置索引'!AX:AX,MATCH($F61,'#建筑消耗和buff配置索引'!$M:$M,0)))</f>
        <v/>
      </c>
      <c r="AJ61" s="133" t="str">
        <f>IF(INDEX('#建筑消耗和buff配置索引'!BB:BB,MATCH($F61,'#建筑消耗和buff配置索引'!$M:$M,0))=0,"",INDEX('#建筑消耗和buff配置索引'!BB:BB,MATCH($F61,'#建筑消耗和buff配置索引'!$M:$M,0)))</f>
        <v/>
      </c>
      <c r="AK61" s="133" t="str">
        <f>IF(AJ61="","",INDEX('#建筑消耗和buff配置索引'!BC:BC,MATCH($F61,'#建筑消耗和buff配置索引'!$M:$M,0)))</f>
        <v/>
      </c>
      <c r="AN61" s="133" t="str">
        <f>IF(INDEX('#建筑消耗和buff配置索引'!BG:BG,MATCH($F61,'#建筑消耗和buff配置索引'!$M:$M,0))=0,"",INDEX('#建筑消耗和buff配置索引'!BG:BG,MATCH($F61,'#建筑消耗和buff配置索引'!$M:$M,0)))</f>
        <v/>
      </c>
      <c r="AO61" s="133" t="str">
        <f>IF(AN61="","",INDEX('#建筑消耗和buff配置索引'!BH:BH,MATCH($F61,'#建筑消耗和buff配置索引'!$M:$M,0)))</f>
        <v/>
      </c>
      <c r="AR61" s="133" t="str">
        <f>IF(INDEX('#建筑消耗和buff配置索引'!BK:BK,MATCH($F61,'#建筑消耗和buff配置索引'!$M:$M,0))=0,"",INDEX('#建筑消耗和buff配置索引'!BK:BK,MATCH($F61,'#建筑消耗和buff配置索引'!$M:$M,0)))</f>
        <v/>
      </c>
      <c r="AS61" s="133" t="str">
        <f>IF(AR61="","",INDEX('#建筑消耗和buff配置索引'!BL:BL,MATCH($F61,'#建筑消耗和buff配置索引'!$M:$M,0)))</f>
        <v/>
      </c>
      <c r="AV61" s="133" t="str">
        <f>IF(INDEX('#建筑消耗和buff配置索引'!BO:BO,MATCH($F61,'#建筑消耗和buff配置索引'!$M:$M,0))=0,"",INDEX('#建筑消耗和buff配置索引'!BO:BO,MATCH($F61,'#建筑消耗和buff配置索引'!$M:$M,0)))</f>
        <v/>
      </c>
      <c r="AW61" s="133" t="str">
        <f>IF(AV61="","",INDEX('#建筑消耗和buff配置索引'!BP:BP,MATCH($F61,'#建筑消耗和buff配置索引'!$M:$M,0)))</f>
        <v/>
      </c>
      <c r="AZ61" s="133" t="str">
        <f>IF(INDEX('#建筑消耗和buff配置索引'!BS:BS,MATCH($F61,'#建筑消耗和buff配置索引'!$M:$M,0))=0,"",INDEX('#建筑消耗和buff配置索引'!BS:BS,MATCH($F61,'#建筑消耗和buff配置索引'!$M:$M,0)))</f>
        <v/>
      </c>
      <c r="BA61" s="133" t="str">
        <f>IF(AZ61="","",INDEX('#建筑消耗和buff配置索引'!BT:BT,MATCH($F61,'#建筑消耗和buff配置索引'!$M:$M,0)))</f>
        <v/>
      </c>
      <c r="BD61" s="133" t="str">
        <f>IF(INDEX('#建筑消耗和buff配置索引'!BW:BW,MATCH($F61,'#建筑消耗和buff配置索引'!$M:$M,0))=0,"",INDEX('#建筑消耗和buff配置索引'!BW:BW,MATCH($F61,'#建筑消耗和buff配置索引'!$M:$M,0)))</f>
        <v/>
      </c>
      <c r="BE61" s="133" t="str">
        <f>IF(BD61="","",INDEX('#建筑消耗和buff配置索引'!BX:BX,MATCH($F61,'#建筑消耗和buff配置索引'!$M:$M,0)))</f>
        <v/>
      </c>
      <c r="BI61" s="133">
        <v>2</v>
      </c>
    </row>
    <row r="62" spans="1:70" s="133" customFormat="1">
      <c r="A62" s="133">
        <v>2020029</v>
      </c>
      <c r="B62" s="133">
        <v>59</v>
      </c>
      <c r="C62" s="133">
        <v>202</v>
      </c>
      <c r="D62" s="133" t="s">
        <v>154</v>
      </c>
      <c r="E62" s="133">
        <v>29</v>
      </c>
      <c r="F62" s="133" t="str">
        <f t="shared" si="0"/>
        <v>居民房舍29</v>
      </c>
      <c r="H62" s="146"/>
      <c r="I62" s="133">
        <v>3</v>
      </c>
      <c r="J62" s="150">
        <f>INDEX('#建筑消耗和buff配置索引'!AH:AH,MATCH($F62,'#建筑消耗和buff配置索引'!$M:$M,0))</f>
        <v>427680</v>
      </c>
      <c r="K62" s="150">
        <f>INDEX('#建筑消耗和buff配置索引'!AA:AA,MATCH($F62,'#建筑消耗和buff配置索引'!$M:$M,0))</f>
        <v>5400000</v>
      </c>
      <c r="L62" s="150">
        <f>INDEX('#建筑消耗和buff配置索引'!AB:AB,MATCH($F62,'#建筑消耗和buff配置索引'!$M:$M,0))</f>
        <v>11000000</v>
      </c>
      <c r="M62" s="150">
        <f>INDEX('#建筑消耗和buff配置索引'!AC:AC,MATCH($F62,'#建筑消耗和buff配置索引'!$M:$M,0))</f>
        <v>5400000</v>
      </c>
      <c r="N62" s="150">
        <f>INDEX('#建筑消耗和buff配置索引'!AD:AD,MATCH($F62,'#建筑消耗和buff配置索引'!$M:$M,0))</f>
        <v>5400000</v>
      </c>
      <c r="O62" s="150" t="str">
        <f>IF(INDEX('#建筑消耗和buff配置索引'!T:T,MATCH($F62,'#建筑消耗和buff配置索引'!$M:$M,0))=0,"",INDEX('#建筑消耗和buff配置索引'!T:T,MATCH($F62,'#建筑消耗和buff配置索引'!$M:$M,0)))</f>
        <v/>
      </c>
      <c r="P62" s="133" t="str">
        <f>IF(INDEX('#建筑消耗和buff配置索引'!U:U,MATCH($F62,'#建筑消耗和buff配置索引'!$M:$M,0))=0,"",INDEX('#建筑消耗和buff配置索引'!U:U,MATCH($F62,'#建筑消耗和buff配置索引'!$M:$M,0)))</f>
        <v/>
      </c>
      <c r="Q62" s="133" t="str">
        <f>IF(INDEX('#建筑消耗和buff配置索引'!K:K,MATCH($F62,'#建筑消耗和buff配置索引'!$M:$M,0))=0,"",INDEX('#建筑消耗和buff配置索引'!K:K,MATCH($F62,'#建筑消耗和buff配置索引'!$M:$M,0)))</f>
        <v>201</v>
      </c>
      <c r="R62" s="133" t="str">
        <f>IF(INDEX('#建筑消耗和buff配置索引'!L:L,MATCH($F62,'#建筑消耗和buff配置索引'!$M:$M,0))=0,"",INDEX('#建筑消耗和buff配置索引'!L:L,MATCH($F62,'#建筑消耗和buff配置索引'!$M:$M,0)))</f>
        <v>29</v>
      </c>
      <c r="S62" s="133">
        <f>IF(INDEX('#建筑消耗和buff配置索引'!C:C,MATCH(F62,'#建筑消耗和buff配置索引'!M:M,0))=0,1,INDEX('#建筑消耗和buff配置索引'!C:C,MATCH(F62,'#建筑消耗和buff配置索引'!M:M,0)))</f>
        <v>1</v>
      </c>
      <c r="T62" s="133">
        <v>0</v>
      </c>
      <c r="U62" s="133">
        <v>0</v>
      </c>
      <c r="V62" s="133" t="str">
        <f>IF(E62=1,IF(INDEX('#建筑消耗和buff配置索引'!BY:BY,MATCH(D62,'#建筑消耗和buff配置索引'!A:A,0))=0,"",INDEX('#建筑消耗和buff配置索引'!BY:BY,MATCH(D62,'#建筑消耗和buff配置索引'!A:A,0))),"")</f>
        <v/>
      </c>
      <c r="W62" s="133" t="str">
        <f>IF(E62=1,IF(INDEX('#建筑消耗和buff配置索引'!BZ:BZ,MATCH(D62,'#建筑消耗和buff配置索引'!A:A,0))=0,"",INDEX('#建筑消耗和buff配置索引'!BZ:BZ,MATCH(D62,'#建筑消耗和buff配置索引'!A:A,0))),"")</f>
        <v/>
      </c>
      <c r="AA62" s="133">
        <f>INDEX('#建筑消耗和buff配置索引'!AO:AO,MATCH($F62,'#建筑消耗和buff配置索引'!$M:$M,0))</f>
        <v>246686</v>
      </c>
      <c r="AB62" s="133">
        <f>IF(INDEX('#建筑消耗和buff配置索引'!AR:AR,MATCH($F62,'#建筑消耗和buff配置索引'!$M:$M,0))=0,"",INDEX('#建筑消耗和buff配置索引'!AR:AR,MATCH($F62,'#建筑消耗和buff配置索引'!$M:$M,0)))</f>
        <v>1200</v>
      </c>
      <c r="AC62" s="133">
        <f>IF(AB62="","",INDEX('#建筑消耗和buff配置索引'!AS:AS,MATCH($F62,'#建筑消耗和buff配置索引'!$M:$M,0)))</f>
        <v>33</v>
      </c>
      <c r="AF62" s="133" t="str">
        <f>IF(INDEX('#建筑消耗和buff配置索引'!AW:AW,MATCH($F62,'#建筑消耗和buff配置索引'!$M:$M,0))=0,"",INDEX('#建筑消耗和buff配置索引'!AW:AW,MATCH($F62,'#建筑消耗和buff配置索引'!$M:$M,0)))</f>
        <v/>
      </c>
      <c r="AG62" s="133" t="str">
        <f>IF(AF62="","",INDEX('#建筑消耗和buff配置索引'!AX:AX,MATCH($F62,'#建筑消耗和buff配置索引'!$M:$M,0)))</f>
        <v/>
      </c>
      <c r="AJ62" s="133" t="str">
        <f>IF(INDEX('#建筑消耗和buff配置索引'!BB:BB,MATCH($F62,'#建筑消耗和buff配置索引'!$M:$M,0))=0,"",INDEX('#建筑消耗和buff配置索引'!BB:BB,MATCH($F62,'#建筑消耗和buff配置索引'!$M:$M,0)))</f>
        <v/>
      </c>
      <c r="AK62" s="133" t="str">
        <f>IF(AJ62="","",INDEX('#建筑消耗和buff配置索引'!BC:BC,MATCH($F62,'#建筑消耗和buff配置索引'!$M:$M,0)))</f>
        <v/>
      </c>
      <c r="AN62" s="133" t="str">
        <f>IF(INDEX('#建筑消耗和buff配置索引'!BG:BG,MATCH($F62,'#建筑消耗和buff配置索引'!$M:$M,0))=0,"",INDEX('#建筑消耗和buff配置索引'!BG:BG,MATCH($F62,'#建筑消耗和buff配置索引'!$M:$M,0)))</f>
        <v/>
      </c>
      <c r="AO62" s="133" t="str">
        <f>IF(AN62="","",INDEX('#建筑消耗和buff配置索引'!BH:BH,MATCH($F62,'#建筑消耗和buff配置索引'!$M:$M,0)))</f>
        <v/>
      </c>
      <c r="AR62" s="133" t="str">
        <f>IF(INDEX('#建筑消耗和buff配置索引'!BK:BK,MATCH($F62,'#建筑消耗和buff配置索引'!$M:$M,0))=0,"",INDEX('#建筑消耗和buff配置索引'!BK:BK,MATCH($F62,'#建筑消耗和buff配置索引'!$M:$M,0)))</f>
        <v/>
      </c>
      <c r="AS62" s="133" t="str">
        <f>IF(AR62="","",INDEX('#建筑消耗和buff配置索引'!BL:BL,MATCH($F62,'#建筑消耗和buff配置索引'!$M:$M,0)))</f>
        <v/>
      </c>
      <c r="AV62" s="133" t="str">
        <f>IF(INDEX('#建筑消耗和buff配置索引'!BO:BO,MATCH($F62,'#建筑消耗和buff配置索引'!$M:$M,0))=0,"",INDEX('#建筑消耗和buff配置索引'!BO:BO,MATCH($F62,'#建筑消耗和buff配置索引'!$M:$M,0)))</f>
        <v/>
      </c>
      <c r="AW62" s="133" t="str">
        <f>IF(AV62="","",INDEX('#建筑消耗和buff配置索引'!BP:BP,MATCH($F62,'#建筑消耗和buff配置索引'!$M:$M,0)))</f>
        <v/>
      </c>
      <c r="AZ62" s="133" t="str">
        <f>IF(INDEX('#建筑消耗和buff配置索引'!BS:BS,MATCH($F62,'#建筑消耗和buff配置索引'!$M:$M,0))=0,"",INDEX('#建筑消耗和buff配置索引'!BS:BS,MATCH($F62,'#建筑消耗和buff配置索引'!$M:$M,0)))</f>
        <v/>
      </c>
      <c r="BA62" s="133" t="str">
        <f>IF(AZ62="","",INDEX('#建筑消耗和buff配置索引'!BT:BT,MATCH($F62,'#建筑消耗和buff配置索引'!$M:$M,0)))</f>
        <v/>
      </c>
      <c r="BD62" s="133" t="str">
        <f>IF(INDEX('#建筑消耗和buff配置索引'!BW:BW,MATCH($F62,'#建筑消耗和buff配置索引'!$M:$M,0))=0,"",INDEX('#建筑消耗和buff配置索引'!BW:BW,MATCH($F62,'#建筑消耗和buff配置索引'!$M:$M,0)))</f>
        <v/>
      </c>
      <c r="BE62" s="133" t="str">
        <f>IF(BD62="","",INDEX('#建筑消耗和buff配置索引'!BX:BX,MATCH($F62,'#建筑消耗和buff配置索引'!$M:$M,0)))</f>
        <v/>
      </c>
      <c r="BI62" s="133">
        <v>2</v>
      </c>
    </row>
    <row r="63" spans="1:70" s="133" customFormat="1">
      <c r="A63" s="133">
        <v>2020030</v>
      </c>
      <c r="B63" s="133">
        <v>60</v>
      </c>
      <c r="C63" s="133">
        <v>202</v>
      </c>
      <c r="D63" s="133" t="s">
        <v>154</v>
      </c>
      <c r="E63" s="133">
        <v>30</v>
      </c>
      <c r="F63" s="133" t="str">
        <f t="shared" si="0"/>
        <v>居民房舍30</v>
      </c>
      <c r="H63" s="146"/>
      <c r="I63" s="133">
        <v>3</v>
      </c>
      <c r="J63" s="150">
        <f>INDEX('#建筑消耗和buff配置索引'!AH:AH,MATCH($F63,'#建筑消耗和buff配置索引'!$M:$M,0))</f>
        <v>518400</v>
      </c>
      <c r="K63" s="150">
        <f>INDEX('#建筑消耗和buff配置索引'!AA:AA,MATCH($F63,'#建筑消耗和buff配置索引'!$M:$M,0))</f>
        <v>7000000</v>
      </c>
      <c r="L63" s="150">
        <f>INDEX('#建筑消耗和buff配置索引'!AB:AB,MATCH($F63,'#建筑消耗和buff配置索引'!$M:$M,0))</f>
        <v>14000000</v>
      </c>
      <c r="M63" s="150">
        <f>INDEX('#建筑消耗和buff配置索引'!AC:AC,MATCH($F63,'#建筑消耗和buff配置索引'!$M:$M,0))</f>
        <v>7000000</v>
      </c>
      <c r="N63" s="150">
        <f>INDEX('#建筑消耗和buff配置索引'!AD:AD,MATCH($F63,'#建筑消耗和buff配置索引'!$M:$M,0))</f>
        <v>7000000</v>
      </c>
      <c r="O63" s="150" t="str">
        <f>IF(INDEX('#建筑消耗和buff配置索引'!T:T,MATCH($F63,'#建筑消耗和buff配置索引'!$M:$M,0))=0,"",INDEX('#建筑消耗和buff配置索引'!T:T,MATCH($F63,'#建筑消耗和buff配置索引'!$M:$M,0)))</f>
        <v/>
      </c>
      <c r="P63" s="133" t="str">
        <f>IF(INDEX('#建筑消耗和buff配置索引'!U:U,MATCH($F63,'#建筑消耗和buff配置索引'!$M:$M,0))=0,"",INDEX('#建筑消耗和buff配置索引'!U:U,MATCH($F63,'#建筑消耗和buff配置索引'!$M:$M,0)))</f>
        <v/>
      </c>
      <c r="Q63" s="133" t="str">
        <f>IF(INDEX('#建筑消耗和buff配置索引'!K:K,MATCH($F63,'#建筑消耗和buff配置索引'!$M:$M,0))=0,"",INDEX('#建筑消耗和buff配置索引'!K:K,MATCH($F63,'#建筑消耗和buff配置索引'!$M:$M,0)))</f>
        <v>201</v>
      </c>
      <c r="R63" s="133" t="str">
        <f>IF(INDEX('#建筑消耗和buff配置索引'!L:L,MATCH($F63,'#建筑消耗和buff配置索引'!$M:$M,0))=0,"",INDEX('#建筑消耗和buff配置索引'!L:L,MATCH($F63,'#建筑消耗和buff配置索引'!$M:$M,0)))</f>
        <v>30</v>
      </c>
      <c r="S63" s="133">
        <f>IF(INDEX('#建筑消耗和buff配置索引'!C:C,MATCH(F63,'#建筑消耗和buff配置索引'!M:M,0))=0,1,INDEX('#建筑消耗和buff配置索引'!C:C,MATCH(F63,'#建筑消耗和buff配置索引'!M:M,0)))</f>
        <v>1</v>
      </c>
      <c r="T63" s="133">
        <v>0</v>
      </c>
      <c r="U63" s="133">
        <v>0</v>
      </c>
      <c r="V63" s="133" t="str">
        <f>IF(E63=1,IF(INDEX('#建筑消耗和buff配置索引'!BY:BY,MATCH(D63,'#建筑消耗和buff配置索引'!A:A,0))=0,"",INDEX('#建筑消耗和buff配置索引'!BY:BY,MATCH(D63,'#建筑消耗和buff配置索引'!A:A,0))),"")</f>
        <v/>
      </c>
      <c r="W63" s="133" t="str">
        <f>IF(E63=1,IF(INDEX('#建筑消耗和buff配置索引'!BZ:BZ,MATCH(D63,'#建筑消耗和buff配置索引'!A:A,0))=0,"",INDEX('#建筑消耗和buff配置索引'!BZ:BZ,MATCH(D63,'#建筑消耗和buff配置索引'!A:A,0))),"")</f>
        <v/>
      </c>
      <c r="AA63" s="133">
        <f>INDEX('#建筑消耗和buff配置索引'!AO:AO,MATCH($F63,'#建筑消耗和buff配置索引'!$M:$M,0))</f>
        <v>316210</v>
      </c>
      <c r="AB63" s="133">
        <f>IF(INDEX('#建筑消耗和buff配置索引'!AR:AR,MATCH($F63,'#建筑消耗和buff配置索引'!$M:$M,0))=0,"",INDEX('#建筑消耗和buff配置索引'!AR:AR,MATCH($F63,'#建筑消耗和buff配置索引'!$M:$M,0)))</f>
        <v>1200</v>
      </c>
      <c r="AC63" s="133">
        <f>IF(AB63="","",INDEX('#建筑消耗和buff配置索引'!AS:AS,MATCH($F63,'#建筑消耗和buff配置索引'!$M:$M,0)))</f>
        <v>35</v>
      </c>
      <c r="AF63" s="133" t="str">
        <f>IF(INDEX('#建筑消耗和buff配置索引'!AW:AW,MATCH($F63,'#建筑消耗和buff配置索引'!$M:$M,0))=0,"",INDEX('#建筑消耗和buff配置索引'!AW:AW,MATCH($F63,'#建筑消耗和buff配置索引'!$M:$M,0)))</f>
        <v/>
      </c>
      <c r="AG63" s="133" t="str">
        <f>IF(AF63="","",INDEX('#建筑消耗和buff配置索引'!AX:AX,MATCH($F63,'#建筑消耗和buff配置索引'!$M:$M,0)))</f>
        <v/>
      </c>
      <c r="AJ63" s="133" t="str">
        <f>IF(INDEX('#建筑消耗和buff配置索引'!BB:BB,MATCH($F63,'#建筑消耗和buff配置索引'!$M:$M,0))=0,"",INDEX('#建筑消耗和buff配置索引'!BB:BB,MATCH($F63,'#建筑消耗和buff配置索引'!$M:$M,0)))</f>
        <v/>
      </c>
      <c r="AK63" s="133" t="str">
        <f>IF(AJ63="","",INDEX('#建筑消耗和buff配置索引'!BC:BC,MATCH($F63,'#建筑消耗和buff配置索引'!$M:$M,0)))</f>
        <v/>
      </c>
      <c r="AN63" s="133" t="str">
        <f>IF(INDEX('#建筑消耗和buff配置索引'!BG:BG,MATCH($F63,'#建筑消耗和buff配置索引'!$M:$M,0))=0,"",INDEX('#建筑消耗和buff配置索引'!BG:BG,MATCH($F63,'#建筑消耗和buff配置索引'!$M:$M,0)))</f>
        <v/>
      </c>
      <c r="AO63" s="133" t="str">
        <f>IF(AN63="","",INDEX('#建筑消耗和buff配置索引'!BH:BH,MATCH($F63,'#建筑消耗和buff配置索引'!$M:$M,0)))</f>
        <v/>
      </c>
      <c r="AR63" s="133" t="str">
        <f>IF(INDEX('#建筑消耗和buff配置索引'!BK:BK,MATCH($F63,'#建筑消耗和buff配置索引'!$M:$M,0))=0,"",INDEX('#建筑消耗和buff配置索引'!BK:BK,MATCH($F63,'#建筑消耗和buff配置索引'!$M:$M,0)))</f>
        <v/>
      </c>
      <c r="AS63" s="133" t="str">
        <f>IF(AR63="","",INDEX('#建筑消耗和buff配置索引'!BL:BL,MATCH($F63,'#建筑消耗和buff配置索引'!$M:$M,0)))</f>
        <v/>
      </c>
      <c r="AV63" s="133" t="str">
        <f>IF(INDEX('#建筑消耗和buff配置索引'!BO:BO,MATCH($F63,'#建筑消耗和buff配置索引'!$M:$M,0))=0,"",INDEX('#建筑消耗和buff配置索引'!BO:BO,MATCH($F63,'#建筑消耗和buff配置索引'!$M:$M,0)))</f>
        <v/>
      </c>
      <c r="AW63" s="133" t="str">
        <f>IF(AV63="","",INDEX('#建筑消耗和buff配置索引'!BP:BP,MATCH($F63,'#建筑消耗和buff配置索引'!$M:$M,0)))</f>
        <v/>
      </c>
      <c r="AZ63" s="133" t="str">
        <f>IF(INDEX('#建筑消耗和buff配置索引'!BS:BS,MATCH($F63,'#建筑消耗和buff配置索引'!$M:$M,0))=0,"",INDEX('#建筑消耗和buff配置索引'!BS:BS,MATCH($F63,'#建筑消耗和buff配置索引'!$M:$M,0)))</f>
        <v/>
      </c>
      <c r="BA63" s="133" t="str">
        <f>IF(AZ63="","",INDEX('#建筑消耗和buff配置索引'!BT:BT,MATCH($F63,'#建筑消耗和buff配置索引'!$M:$M,0)))</f>
        <v/>
      </c>
      <c r="BD63" s="133" t="str">
        <f>IF(INDEX('#建筑消耗和buff配置索引'!BW:BW,MATCH($F63,'#建筑消耗和buff配置索引'!$M:$M,0))=0,"",INDEX('#建筑消耗和buff配置索引'!BW:BW,MATCH($F63,'#建筑消耗和buff配置索引'!$M:$M,0)))</f>
        <v/>
      </c>
      <c r="BE63" s="133" t="str">
        <f>IF(BD63="","",INDEX('#建筑消耗和buff配置索引'!BX:BX,MATCH($F63,'#建筑消耗和buff配置索引'!$M:$M,0)))</f>
        <v/>
      </c>
      <c r="BI63" s="133">
        <v>2</v>
      </c>
    </row>
    <row r="64" spans="1:70" s="133" customFormat="1">
      <c r="A64" s="133">
        <v>2030001</v>
      </c>
      <c r="B64" s="133">
        <v>61</v>
      </c>
      <c r="C64" s="133">
        <v>203</v>
      </c>
      <c r="D64" s="133" t="s">
        <v>202</v>
      </c>
      <c r="E64" s="133">
        <v>1</v>
      </c>
      <c r="F64" s="133" t="str">
        <f t="shared" si="0"/>
        <v>磨坊1</v>
      </c>
      <c r="H64" s="146"/>
      <c r="I64" s="133" t="s">
        <v>1205</v>
      </c>
      <c r="J64" s="150">
        <f>INDEX('#建筑消耗和buff配置索引'!AH:AH,MATCH($F64,'#建筑消耗和buff配置索引'!$M:$M,0))</f>
        <v>25</v>
      </c>
      <c r="K64" s="150">
        <f>INDEX('#建筑消耗和buff配置索引'!AA:AA,MATCH($F64,'#建筑消耗和buff配置索引'!$M:$M,0))</f>
        <v>0</v>
      </c>
      <c r="L64" s="150">
        <f>INDEX('#建筑消耗和buff配置索引'!AB:AB,MATCH($F64,'#建筑消耗和buff配置索引'!$M:$M,0))</f>
        <v>0</v>
      </c>
      <c r="M64" s="150">
        <f>INDEX('#建筑消耗和buff配置索引'!AC:AC,MATCH($F64,'#建筑消耗和buff配置索引'!$M:$M,0))</f>
        <v>0</v>
      </c>
      <c r="N64" s="150">
        <f>INDEX('#建筑消耗和buff配置索引'!AD:AD,MATCH($F64,'#建筑消耗和buff配置索引'!$M:$M,0))</f>
        <v>0</v>
      </c>
      <c r="O64" s="150" t="str">
        <f>IF(INDEX('#建筑消耗和buff配置索引'!T:T,MATCH($F64,'#建筑消耗和buff配置索引'!$M:$M,0))=0,"",INDEX('#建筑消耗和buff配置索引'!T:T,MATCH($F64,'#建筑消耗和buff配置索引'!$M:$M,0)))</f>
        <v/>
      </c>
      <c r="P64" s="133" t="str">
        <f>IF(INDEX('#建筑消耗和buff配置索引'!U:U,MATCH($F64,'#建筑消耗和buff配置索引'!$M:$M,0))=0,"",INDEX('#建筑消耗和buff配置索引'!U:U,MATCH($F64,'#建筑消耗和buff配置索引'!$M:$M,0)))</f>
        <v/>
      </c>
      <c r="Q64" s="133" t="str">
        <f>IF(INDEX('#建筑消耗和buff配置索引'!K:K,MATCH($F64,'#建筑消耗和buff配置索引'!$M:$M,0))=0,"",INDEX('#建筑消耗和buff配置索引'!K:K,MATCH($F64,'#建筑消耗和buff配置索引'!$M:$M,0)))</f>
        <v>201</v>
      </c>
      <c r="R64" s="133" t="str">
        <f>IF(INDEX('#建筑消耗和buff配置索引'!L:L,MATCH($F64,'#建筑消耗和buff配置索引'!$M:$M,0))=0,"",INDEX('#建筑消耗和buff配置索引'!L:L,MATCH($F64,'#建筑消耗和buff配置索引'!$M:$M,0)))</f>
        <v>1</v>
      </c>
      <c r="S64" s="133">
        <f>IF(INDEX('#建筑消耗和buff配置索引'!C:C,MATCH(F64,'#建筑消耗和buff配置索引'!M:M,0))=0,1,INDEX('#建筑消耗和buff配置索引'!C:C,MATCH(F64,'#建筑消耗和buff配置索引'!M:M,0)))</f>
        <v>1</v>
      </c>
      <c r="T64" s="133">
        <v>0</v>
      </c>
      <c r="U64" s="133">
        <v>0</v>
      </c>
      <c r="V64" s="133" t="str">
        <f>IF(E64=1,IF(INDEX('#建筑消耗和buff配置索引'!BY:BY,MATCH(D64,'#建筑消耗和buff配置索引'!A:A,0))=0,"",INDEX('#建筑消耗和buff配置索引'!BY:BY,MATCH(D64,'#建筑消耗和buff配置索引'!A:A,0))),"")</f>
        <v>1:2</v>
      </c>
      <c r="W64" s="133" t="str">
        <f>IF(E64=1,IF(INDEX('#建筑消耗和buff配置索引'!BZ:BZ,MATCH(D64,'#建筑消耗和buff配置索引'!A:A,0))=0,"",INDEX('#建筑消耗和buff配置索引'!BZ:BZ,MATCH(D64,'#建筑消耗和buff配置索引'!A:A,0))),"")</f>
        <v>TID_Buff_BuilDetail_1015:TID_Buff_BuilDetail_1206</v>
      </c>
      <c r="AA64" s="133">
        <f>INDEX('#建筑消耗和buff配置索引'!AO:AO,MATCH($F64,'#建筑消耗和buff配置索引'!$M:$M,0))</f>
        <v>1</v>
      </c>
      <c r="AB64" s="133">
        <f>IF(INDEX('#建筑消耗和buff配置索引'!AR:AR,MATCH($F64,'#建筑消耗和buff配置索引'!$M:$M,0))=0,"",INDEX('#建筑消耗和buff配置索引'!AR:AR,MATCH($F64,'#建筑消耗和buff配置索引'!$M:$M,0)))</f>
        <v>1015</v>
      </c>
      <c r="AC64" s="133">
        <f>IF(AB64="","",INDEX('#建筑消耗和buff配置索引'!AS:AS,MATCH($F64,'#建筑消耗和buff配置索引'!$M:$M,0)))</f>
        <v>400</v>
      </c>
      <c r="AF64" s="133">
        <f>IF(INDEX('#建筑消耗和buff配置索引'!AW:AW,MATCH($F64,'#建筑消耗和buff配置索引'!$M:$M,0))=0,"",INDEX('#建筑消耗和buff配置索引'!AW:AW,MATCH($F64,'#建筑消耗和buff配置索引'!$M:$M,0)))</f>
        <v>1206</v>
      </c>
      <c r="AG64" s="133">
        <f>IF(AF64="","",INDEX('#建筑消耗和buff配置索引'!AX:AX,MATCH($F64,'#建筑消耗和buff配置索引'!$M:$M,0)))</f>
        <v>1</v>
      </c>
      <c r="AJ64" s="133" t="str">
        <f>IF(INDEX('#建筑消耗和buff配置索引'!BB:BB,MATCH($F64,'#建筑消耗和buff配置索引'!$M:$M,0))=0,"",INDEX('#建筑消耗和buff配置索引'!BB:BB,MATCH($F64,'#建筑消耗和buff配置索引'!$M:$M,0)))</f>
        <v/>
      </c>
      <c r="AK64" s="133" t="str">
        <f>IF(AJ64="","",INDEX('#建筑消耗和buff配置索引'!BC:BC,MATCH($F64,'#建筑消耗和buff配置索引'!$M:$M,0)))</f>
        <v/>
      </c>
      <c r="AN64" s="133" t="str">
        <f>IF(INDEX('#建筑消耗和buff配置索引'!BG:BG,MATCH($F64,'#建筑消耗和buff配置索引'!$M:$M,0))=0,"",INDEX('#建筑消耗和buff配置索引'!BG:BG,MATCH($F64,'#建筑消耗和buff配置索引'!$M:$M,0)))</f>
        <v/>
      </c>
      <c r="AO64" s="133" t="str">
        <f>IF(AN64="","",INDEX('#建筑消耗和buff配置索引'!BH:BH,MATCH($F64,'#建筑消耗和buff配置索引'!$M:$M,0)))</f>
        <v/>
      </c>
      <c r="AR64" s="133" t="str">
        <f>IF(INDEX('#建筑消耗和buff配置索引'!BK:BK,MATCH($F64,'#建筑消耗和buff配置索引'!$M:$M,0))=0,"",INDEX('#建筑消耗和buff配置索引'!BK:BK,MATCH($F64,'#建筑消耗和buff配置索引'!$M:$M,0)))</f>
        <v/>
      </c>
      <c r="AS64" s="133" t="str">
        <f>IF(AR64="","",INDEX('#建筑消耗和buff配置索引'!BL:BL,MATCH($F64,'#建筑消耗和buff配置索引'!$M:$M,0)))</f>
        <v/>
      </c>
      <c r="AV64" s="133" t="str">
        <f>IF(INDEX('#建筑消耗和buff配置索引'!BO:BO,MATCH($F64,'#建筑消耗和buff配置索引'!$M:$M,0))=0,"",INDEX('#建筑消耗和buff配置索引'!BO:BO,MATCH($F64,'#建筑消耗和buff配置索引'!$M:$M,0)))</f>
        <v/>
      </c>
      <c r="AW64" s="133" t="str">
        <f>IF(AV64="","",INDEX('#建筑消耗和buff配置索引'!BP:BP,MATCH($F64,'#建筑消耗和buff配置索引'!$M:$M,0)))</f>
        <v/>
      </c>
      <c r="AZ64" s="133" t="str">
        <f>IF(INDEX('#建筑消耗和buff配置索引'!BS:BS,MATCH($F64,'#建筑消耗和buff配置索引'!$M:$M,0))=0,"",INDEX('#建筑消耗和buff配置索引'!BS:BS,MATCH($F64,'#建筑消耗和buff配置索引'!$M:$M,0)))</f>
        <v/>
      </c>
      <c r="BA64" s="133" t="str">
        <f>IF(AZ64="","",INDEX('#建筑消耗和buff配置索引'!BT:BT,MATCH($F64,'#建筑消耗和buff配置索引'!$M:$M,0)))</f>
        <v/>
      </c>
      <c r="BD64" s="133" t="str">
        <f>IF(INDEX('#建筑消耗和buff配置索引'!BW:BW,MATCH($F64,'#建筑消耗和buff配置索引'!$M:$M,0))=0,"",INDEX('#建筑消耗和buff配置索引'!BW:BW,MATCH($F64,'#建筑消耗和buff配置索引'!$M:$M,0)))</f>
        <v/>
      </c>
      <c r="BE64" s="133" t="str">
        <f>IF(BD64="","",INDEX('#建筑消耗和buff配置索引'!BX:BX,MATCH($F64,'#建筑消耗和buff配置索引'!$M:$M,0)))</f>
        <v/>
      </c>
      <c r="BI64" s="133">
        <v>5</v>
      </c>
      <c r="BN64" s="133">
        <v>3</v>
      </c>
      <c r="BO64" s="133">
        <v>3</v>
      </c>
      <c r="BP64" s="133" t="s">
        <v>1360</v>
      </c>
      <c r="BQ64" s="133">
        <v>10003604</v>
      </c>
      <c r="BR64" s="133">
        <v>300</v>
      </c>
    </row>
    <row r="65" spans="1:70" s="133" customFormat="1">
      <c r="A65" s="133">
        <v>2030002</v>
      </c>
      <c r="B65" s="133">
        <v>62</v>
      </c>
      <c r="C65" s="133">
        <v>203</v>
      </c>
      <c r="D65" s="133" t="s">
        <v>202</v>
      </c>
      <c r="E65" s="133">
        <v>2</v>
      </c>
      <c r="F65" s="133" t="str">
        <f t="shared" si="0"/>
        <v>磨坊2</v>
      </c>
      <c r="H65" s="146"/>
      <c r="I65" s="133" t="s">
        <v>1205</v>
      </c>
      <c r="J65" s="150">
        <f>INDEX('#建筑消耗和buff配置索引'!AH:AH,MATCH($F65,'#建筑消耗和buff配置索引'!$M:$M,0))</f>
        <v>25</v>
      </c>
      <c r="K65" s="150">
        <f>INDEX('#建筑消耗和buff配置索引'!AA:AA,MATCH($F65,'#建筑消耗和buff配置索引'!$M:$M,0))</f>
        <v>0</v>
      </c>
      <c r="L65" s="150">
        <f>INDEX('#建筑消耗和buff配置索引'!AB:AB,MATCH($F65,'#建筑消耗和buff配置索引'!$M:$M,0))</f>
        <v>1000</v>
      </c>
      <c r="M65" s="150">
        <f>INDEX('#建筑消耗和buff配置索引'!AC:AC,MATCH($F65,'#建筑消耗和buff配置索引'!$M:$M,0))</f>
        <v>0</v>
      </c>
      <c r="N65" s="150">
        <f>INDEX('#建筑消耗和buff配置索引'!AD:AD,MATCH($F65,'#建筑消耗和buff配置索引'!$M:$M,0))</f>
        <v>0</v>
      </c>
      <c r="O65" s="150" t="str">
        <f>IF(INDEX('#建筑消耗和buff配置索引'!T:T,MATCH($F65,'#建筑消耗和buff配置索引'!$M:$M,0))=0,"",INDEX('#建筑消耗和buff配置索引'!T:T,MATCH($F65,'#建筑消耗和buff配置索引'!$M:$M,0)))</f>
        <v/>
      </c>
      <c r="P65" s="133" t="str">
        <f>IF(INDEX('#建筑消耗和buff配置索引'!U:U,MATCH($F65,'#建筑消耗和buff配置索引'!$M:$M,0))=0,"",INDEX('#建筑消耗和buff配置索引'!U:U,MATCH($F65,'#建筑消耗和buff配置索引'!$M:$M,0)))</f>
        <v/>
      </c>
      <c r="Q65" s="133" t="str">
        <f>IF(INDEX('#建筑消耗和buff配置索引'!K:K,MATCH($F65,'#建筑消耗和buff配置索引'!$M:$M,0))=0,"",INDEX('#建筑消耗和buff配置索引'!K:K,MATCH($F65,'#建筑消耗和buff配置索引'!$M:$M,0)))</f>
        <v>201</v>
      </c>
      <c r="R65" s="133" t="str">
        <f>IF(INDEX('#建筑消耗和buff配置索引'!L:L,MATCH($F65,'#建筑消耗和buff配置索引'!$M:$M,0))=0,"",INDEX('#建筑消耗和buff配置索引'!L:L,MATCH($F65,'#建筑消耗和buff配置索引'!$M:$M,0)))</f>
        <v>2</v>
      </c>
      <c r="S65" s="133">
        <f>IF(INDEX('#建筑消耗和buff配置索引'!C:C,MATCH(F65,'#建筑消耗和buff配置索引'!M:M,0))=0,1,INDEX('#建筑消耗和buff配置索引'!C:C,MATCH(F65,'#建筑消耗和buff配置索引'!M:M,0)))</f>
        <v>1</v>
      </c>
      <c r="T65" s="133">
        <v>0</v>
      </c>
      <c r="U65" s="133">
        <v>0</v>
      </c>
      <c r="V65" s="133" t="str">
        <f>IF(E65=1,IF(INDEX('#建筑消耗和buff配置索引'!BY:BY,MATCH(D65,'#建筑消耗和buff配置索引'!A:A,0))=0,"",INDEX('#建筑消耗和buff配置索引'!BY:BY,MATCH(D65,'#建筑消耗和buff配置索引'!A:A,0))),"")</f>
        <v/>
      </c>
      <c r="W65" s="133" t="str">
        <f>IF(E65=1,IF(INDEX('#建筑消耗和buff配置索引'!BZ:BZ,MATCH(D65,'#建筑消耗和buff配置索引'!A:A,0))=0,"",INDEX('#建筑消耗和buff配置索引'!BZ:BZ,MATCH(D65,'#建筑消耗和buff配置索引'!A:A,0))),"")</f>
        <v/>
      </c>
      <c r="AA65" s="133">
        <f>INDEX('#建筑消耗和buff配置索引'!AO:AO,MATCH($F65,'#建筑消耗和buff配置索引'!$M:$M,0))</f>
        <v>3</v>
      </c>
      <c r="AB65" s="133">
        <f>IF(INDEX('#建筑消耗和buff配置索引'!AR:AR,MATCH($F65,'#建筑消耗和buff配置索引'!$M:$M,0))=0,"",INDEX('#建筑消耗和buff配置索引'!AR:AR,MATCH($F65,'#建筑消耗和buff配置索引'!$M:$M,0)))</f>
        <v>1015</v>
      </c>
      <c r="AC65" s="133">
        <f>IF(AB65="","",INDEX('#建筑消耗和buff配置索引'!AS:AS,MATCH($F65,'#建筑消耗和buff配置索引'!$M:$M,0)))</f>
        <v>600</v>
      </c>
      <c r="AF65" s="133">
        <f>IF(INDEX('#建筑消耗和buff配置索引'!AW:AW,MATCH($F65,'#建筑消耗和buff配置索引'!$M:$M,0))=0,"",INDEX('#建筑消耗和buff配置索引'!AW:AW,MATCH($F65,'#建筑消耗和buff配置索引'!$M:$M,0)))</f>
        <v>1206</v>
      </c>
      <c r="AG65" s="133">
        <f>IF(AF65="","",INDEX('#建筑消耗和buff配置索引'!AX:AX,MATCH($F65,'#建筑消耗和buff配置索引'!$M:$M,0)))</f>
        <v>1</v>
      </c>
      <c r="AJ65" s="133" t="str">
        <f>IF(INDEX('#建筑消耗和buff配置索引'!BB:BB,MATCH($F65,'#建筑消耗和buff配置索引'!$M:$M,0))=0,"",INDEX('#建筑消耗和buff配置索引'!BB:BB,MATCH($F65,'#建筑消耗和buff配置索引'!$M:$M,0)))</f>
        <v/>
      </c>
      <c r="AK65" s="133" t="str">
        <f>IF(AJ65="","",INDEX('#建筑消耗和buff配置索引'!BC:BC,MATCH($F65,'#建筑消耗和buff配置索引'!$M:$M,0)))</f>
        <v/>
      </c>
      <c r="AN65" s="133" t="str">
        <f>IF(INDEX('#建筑消耗和buff配置索引'!BG:BG,MATCH($F65,'#建筑消耗和buff配置索引'!$M:$M,0))=0,"",INDEX('#建筑消耗和buff配置索引'!BG:BG,MATCH($F65,'#建筑消耗和buff配置索引'!$M:$M,0)))</f>
        <v/>
      </c>
      <c r="AO65" s="133" t="str">
        <f>IF(AN65="","",INDEX('#建筑消耗和buff配置索引'!BH:BH,MATCH($F65,'#建筑消耗和buff配置索引'!$M:$M,0)))</f>
        <v/>
      </c>
      <c r="AR65" s="133" t="str">
        <f>IF(INDEX('#建筑消耗和buff配置索引'!BK:BK,MATCH($F65,'#建筑消耗和buff配置索引'!$M:$M,0))=0,"",INDEX('#建筑消耗和buff配置索引'!BK:BK,MATCH($F65,'#建筑消耗和buff配置索引'!$M:$M,0)))</f>
        <v/>
      </c>
      <c r="AS65" s="133" t="str">
        <f>IF(AR65="","",INDEX('#建筑消耗和buff配置索引'!BL:BL,MATCH($F65,'#建筑消耗和buff配置索引'!$M:$M,0)))</f>
        <v/>
      </c>
      <c r="AV65" s="133" t="str">
        <f>IF(INDEX('#建筑消耗和buff配置索引'!BO:BO,MATCH($F65,'#建筑消耗和buff配置索引'!$M:$M,0))=0,"",INDEX('#建筑消耗和buff配置索引'!BO:BO,MATCH($F65,'#建筑消耗和buff配置索引'!$M:$M,0)))</f>
        <v/>
      </c>
      <c r="AW65" s="133" t="str">
        <f>IF(AV65="","",INDEX('#建筑消耗和buff配置索引'!BP:BP,MATCH($F65,'#建筑消耗和buff配置索引'!$M:$M,0)))</f>
        <v/>
      </c>
      <c r="AZ65" s="133" t="str">
        <f>IF(INDEX('#建筑消耗和buff配置索引'!BS:BS,MATCH($F65,'#建筑消耗和buff配置索引'!$M:$M,0))=0,"",INDEX('#建筑消耗和buff配置索引'!BS:BS,MATCH($F65,'#建筑消耗和buff配置索引'!$M:$M,0)))</f>
        <v/>
      </c>
      <c r="BA65" s="133" t="str">
        <f>IF(AZ65="","",INDEX('#建筑消耗和buff配置索引'!BT:BT,MATCH($F65,'#建筑消耗和buff配置索引'!$M:$M,0)))</f>
        <v/>
      </c>
      <c r="BD65" s="133" t="str">
        <f>IF(INDEX('#建筑消耗和buff配置索引'!BW:BW,MATCH($F65,'#建筑消耗和buff配置索引'!$M:$M,0))=0,"",INDEX('#建筑消耗和buff配置索引'!BW:BW,MATCH($F65,'#建筑消耗和buff配置索引'!$M:$M,0)))</f>
        <v/>
      </c>
      <c r="BE65" s="133" t="str">
        <f>IF(BD65="","",INDEX('#建筑消耗和buff配置索引'!BX:BX,MATCH($F65,'#建筑消耗和buff配置索引'!$M:$M,0)))</f>
        <v/>
      </c>
      <c r="BI65" s="133">
        <v>5</v>
      </c>
      <c r="BO65" s="133">
        <v>3</v>
      </c>
      <c r="BP65" s="133" t="s">
        <v>1360</v>
      </c>
      <c r="BQ65" s="133">
        <v>10003604</v>
      </c>
      <c r="BR65" s="133">
        <v>300</v>
      </c>
    </row>
    <row r="66" spans="1:70" s="133" customFormat="1">
      <c r="A66" s="133">
        <v>2030003</v>
      </c>
      <c r="B66" s="133">
        <v>63</v>
      </c>
      <c r="C66" s="133">
        <v>203</v>
      </c>
      <c r="D66" s="133" t="s">
        <v>202</v>
      </c>
      <c r="E66" s="133">
        <v>3</v>
      </c>
      <c r="F66" s="133" t="str">
        <f t="shared" si="0"/>
        <v>磨坊3</v>
      </c>
      <c r="H66" s="146"/>
      <c r="I66" s="133" t="s">
        <v>1205</v>
      </c>
      <c r="J66" s="150">
        <f>INDEX('#建筑消耗和buff配置索引'!AH:AH,MATCH($F66,'#建筑消耗和buff配置索引'!$M:$M,0))</f>
        <v>36</v>
      </c>
      <c r="K66" s="150">
        <f>INDEX('#建筑消耗和buff配置索引'!AA:AA,MATCH($F66,'#建筑消耗和buff配置索引'!$M:$M,0))</f>
        <v>0</v>
      </c>
      <c r="L66" s="150">
        <f>INDEX('#建筑消耗和buff配置索引'!AB:AB,MATCH($F66,'#建筑消耗和buff配置索引'!$M:$M,0))</f>
        <v>2000</v>
      </c>
      <c r="M66" s="150">
        <f>INDEX('#建筑消耗和buff配置索引'!AC:AC,MATCH($F66,'#建筑消耗和buff配置索引'!$M:$M,0))</f>
        <v>0</v>
      </c>
      <c r="N66" s="150">
        <f>INDEX('#建筑消耗和buff配置索引'!AD:AD,MATCH($F66,'#建筑消耗和buff配置索引'!$M:$M,0))</f>
        <v>0</v>
      </c>
      <c r="O66" s="150" t="str">
        <f>IF(INDEX('#建筑消耗和buff配置索引'!T:T,MATCH($F66,'#建筑消耗和buff配置索引'!$M:$M,0))=0,"",INDEX('#建筑消耗和buff配置索引'!T:T,MATCH($F66,'#建筑消耗和buff配置索引'!$M:$M,0)))</f>
        <v/>
      </c>
      <c r="P66" s="133" t="str">
        <f>IF(INDEX('#建筑消耗和buff配置索引'!U:U,MATCH($F66,'#建筑消耗和buff配置索引'!$M:$M,0))=0,"",INDEX('#建筑消耗和buff配置索引'!U:U,MATCH($F66,'#建筑消耗和buff配置索引'!$M:$M,0)))</f>
        <v/>
      </c>
      <c r="Q66" s="133" t="str">
        <f>IF(INDEX('#建筑消耗和buff配置索引'!K:K,MATCH($F66,'#建筑消耗和buff配置索引'!$M:$M,0))=0,"",INDEX('#建筑消耗和buff配置索引'!K:K,MATCH($F66,'#建筑消耗和buff配置索引'!$M:$M,0)))</f>
        <v>201</v>
      </c>
      <c r="R66" s="133" t="str">
        <f>IF(INDEX('#建筑消耗和buff配置索引'!L:L,MATCH($F66,'#建筑消耗和buff配置索引'!$M:$M,0))=0,"",INDEX('#建筑消耗和buff配置索引'!L:L,MATCH($F66,'#建筑消耗和buff配置索引'!$M:$M,0)))</f>
        <v>3</v>
      </c>
      <c r="S66" s="133">
        <f>IF(INDEX('#建筑消耗和buff配置索引'!C:C,MATCH(F66,'#建筑消耗和buff配置索引'!M:M,0))=0,1,INDEX('#建筑消耗和buff配置索引'!C:C,MATCH(F66,'#建筑消耗和buff配置索引'!M:M,0)))</f>
        <v>1</v>
      </c>
      <c r="T66" s="133">
        <v>0</v>
      </c>
      <c r="U66" s="133">
        <v>0</v>
      </c>
      <c r="V66" s="133" t="str">
        <f>IF(E66=1,IF(INDEX('#建筑消耗和buff配置索引'!BY:BY,MATCH(D66,'#建筑消耗和buff配置索引'!A:A,0))=0,"",INDEX('#建筑消耗和buff配置索引'!BY:BY,MATCH(D66,'#建筑消耗和buff配置索引'!A:A,0))),"")</f>
        <v/>
      </c>
      <c r="W66" s="133" t="str">
        <f>IF(E66=1,IF(INDEX('#建筑消耗和buff配置索引'!BZ:BZ,MATCH(D66,'#建筑消耗和buff配置索引'!A:A,0))=0,"",INDEX('#建筑消耗和buff配置索引'!BZ:BZ,MATCH(D66,'#建筑消耗和buff配置索引'!A:A,0))),"")</f>
        <v/>
      </c>
      <c r="AA66" s="133">
        <f>INDEX('#建筑消耗和buff配置索引'!AO:AO,MATCH($F66,'#建筑消耗和buff配置索引'!$M:$M,0))</f>
        <v>7</v>
      </c>
      <c r="AB66" s="133">
        <f>IF(INDEX('#建筑消耗和buff配置索引'!AR:AR,MATCH($F66,'#建筑消耗和buff配置索引'!$M:$M,0))=0,"",INDEX('#建筑消耗和buff配置索引'!AR:AR,MATCH($F66,'#建筑消耗和buff配置索引'!$M:$M,0)))</f>
        <v>1015</v>
      </c>
      <c r="AC66" s="133">
        <f>IF(AB66="","",INDEX('#建筑消耗和buff配置索引'!AS:AS,MATCH($F66,'#建筑消耗和buff配置索引'!$M:$M,0)))</f>
        <v>800</v>
      </c>
      <c r="AF66" s="133">
        <f>IF(INDEX('#建筑消耗和buff配置索引'!AW:AW,MATCH($F66,'#建筑消耗和buff配置索引'!$M:$M,0))=0,"",INDEX('#建筑消耗和buff配置索引'!AW:AW,MATCH($F66,'#建筑消耗和buff配置索引'!$M:$M,0)))</f>
        <v>1206</v>
      </c>
      <c r="AG66" s="133">
        <f>IF(AF66="","",INDEX('#建筑消耗和buff配置索引'!AX:AX,MATCH($F66,'#建筑消耗和buff配置索引'!$M:$M,0)))</f>
        <v>1</v>
      </c>
      <c r="AJ66" s="133" t="str">
        <f>IF(INDEX('#建筑消耗和buff配置索引'!BB:BB,MATCH($F66,'#建筑消耗和buff配置索引'!$M:$M,0))=0,"",INDEX('#建筑消耗和buff配置索引'!BB:BB,MATCH($F66,'#建筑消耗和buff配置索引'!$M:$M,0)))</f>
        <v/>
      </c>
      <c r="AK66" s="133" t="str">
        <f>IF(AJ66="","",INDEX('#建筑消耗和buff配置索引'!BC:BC,MATCH($F66,'#建筑消耗和buff配置索引'!$M:$M,0)))</f>
        <v/>
      </c>
      <c r="AN66" s="133" t="str">
        <f>IF(INDEX('#建筑消耗和buff配置索引'!BG:BG,MATCH($F66,'#建筑消耗和buff配置索引'!$M:$M,0))=0,"",INDEX('#建筑消耗和buff配置索引'!BG:BG,MATCH($F66,'#建筑消耗和buff配置索引'!$M:$M,0)))</f>
        <v/>
      </c>
      <c r="AO66" s="133" t="str">
        <f>IF(AN66="","",INDEX('#建筑消耗和buff配置索引'!BH:BH,MATCH($F66,'#建筑消耗和buff配置索引'!$M:$M,0)))</f>
        <v/>
      </c>
      <c r="AR66" s="133" t="str">
        <f>IF(INDEX('#建筑消耗和buff配置索引'!BK:BK,MATCH($F66,'#建筑消耗和buff配置索引'!$M:$M,0))=0,"",INDEX('#建筑消耗和buff配置索引'!BK:BK,MATCH($F66,'#建筑消耗和buff配置索引'!$M:$M,0)))</f>
        <v/>
      </c>
      <c r="AS66" s="133" t="str">
        <f>IF(AR66="","",INDEX('#建筑消耗和buff配置索引'!BL:BL,MATCH($F66,'#建筑消耗和buff配置索引'!$M:$M,0)))</f>
        <v/>
      </c>
      <c r="AV66" s="133" t="str">
        <f>IF(INDEX('#建筑消耗和buff配置索引'!BO:BO,MATCH($F66,'#建筑消耗和buff配置索引'!$M:$M,0))=0,"",INDEX('#建筑消耗和buff配置索引'!BO:BO,MATCH($F66,'#建筑消耗和buff配置索引'!$M:$M,0)))</f>
        <v/>
      </c>
      <c r="AW66" s="133" t="str">
        <f>IF(AV66="","",INDEX('#建筑消耗和buff配置索引'!BP:BP,MATCH($F66,'#建筑消耗和buff配置索引'!$M:$M,0)))</f>
        <v/>
      </c>
      <c r="AZ66" s="133" t="str">
        <f>IF(INDEX('#建筑消耗和buff配置索引'!BS:BS,MATCH($F66,'#建筑消耗和buff配置索引'!$M:$M,0))=0,"",INDEX('#建筑消耗和buff配置索引'!BS:BS,MATCH($F66,'#建筑消耗和buff配置索引'!$M:$M,0)))</f>
        <v/>
      </c>
      <c r="BA66" s="133" t="str">
        <f>IF(AZ66="","",INDEX('#建筑消耗和buff配置索引'!BT:BT,MATCH($F66,'#建筑消耗和buff配置索引'!$M:$M,0)))</f>
        <v/>
      </c>
      <c r="BD66" s="133" t="str">
        <f>IF(INDEX('#建筑消耗和buff配置索引'!BW:BW,MATCH($F66,'#建筑消耗和buff配置索引'!$M:$M,0))=0,"",INDEX('#建筑消耗和buff配置索引'!BW:BW,MATCH($F66,'#建筑消耗和buff配置索引'!$M:$M,0)))</f>
        <v/>
      </c>
      <c r="BE66" s="133" t="str">
        <f>IF(BD66="","",INDEX('#建筑消耗和buff配置索引'!BX:BX,MATCH($F66,'#建筑消耗和buff配置索引'!$M:$M,0)))</f>
        <v/>
      </c>
      <c r="BI66" s="133">
        <v>5</v>
      </c>
      <c r="BO66" s="133">
        <v>3</v>
      </c>
      <c r="BP66" s="133" t="s">
        <v>1360</v>
      </c>
      <c r="BQ66" s="133">
        <v>10003604</v>
      </c>
      <c r="BR66" s="133">
        <v>300</v>
      </c>
    </row>
    <row r="67" spans="1:70" s="133" customFormat="1">
      <c r="A67" s="133">
        <v>2030004</v>
      </c>
      <c r="B67" s="133">
        <v>64</v>
      </c>
      <c r="C67" s="133">
        <v>203</v>
      </c>
      <c r="D67" s="133" t="s">
        <v>202</v>
      </c>
      <c r="E67" s="133">
        <v>4</v>
      </c>
      <c r="F67" s="133" t="str">
        <f t="shared" si="0"/>
        <v>磨坊4</v>
      </c>
      <c r="H67" s="146"/>
      <c r="I67" s="133" t="s">
        <v>1205</v>
      </c>
      <c r="J67" s="150">
        <f>INDEX('#建筑消耗和buff配置索引'!AH:AH,MATCH($F67,'#建筑消耗和buff配置索引'!$M:$M,0))</f>
        <v>72</v>
      </c>
      <c r="K67" s="150">
        <f>INDEX('#建筑消耗和buff配置索引'!AA:AA,MATCH($F67,'#建筑消耗和buff配置索引'!$M:$M,0))</f>
        <v>0</v>
      </c>
      <c r="L67" s="150">
        <f>INDEX('#建筑消耗和buff配置索引'!AB:AB,MATCH($F67,'#建筑消耗和buff配置索引'!$M:$M,0))</f>
        <v>4000</v>
      </c>
      <c r="M67" s="150">
        <f>INDEX('#建筑消耗和buff配置索引'!AC:AC,MATCH($F67,'#建筑消耗和buff配置索引'!$M:$M,0))</f>
        <v>0</v>
      </c>
      <c r="N67" s="150">
        <f>INDEX('#建筑消耗和buff配置索引'!AD:AD,MATCH($F67,'#建筑消耗和buff配置索引'!$M:$M,0))</f>
        <v>0</v>
      </c>
      <c r="O67" s="150" t="str">
        <f>IF(INDEX('#建筑消耗和buff配置索引'!T:T,MATCH($F67,'#建筑消耗和buff配置索引'!$M:$M,0))=0,"",INDEX('#建筑消耗和buff配置索引'!T:T,MATCH($F67,'#建筑消耗和buff配置索引'!$M:$M,0)))</f>
        <v/>
      </c>
      <c r="P67" s="133" t="str">
        <f>IF(INDEX('#建筑消耗和buff配置索引'!U:U,MATCH($F67,'#建筑消耗和buff配置索引'!$M:$M,0))=0,"",INDEX('#建筑消耗和buff配置索引'!U:U,MATCH($F67,'#建筑消耗和buff配置索引'!$M:$M,0)))</f>
        <v/>
      </c>
      <c r="Q67" s="133" t="str">
        <f>IF(INDEX('#建筑消耗和buff配置索引'!K:K,MATCH($F67,'#建筑消耗和buff配置索引'!$M:$M,0))=0,"",INDEX('#建筑消耗和buff配置索引'!K:K,MATCH($F67,'#建筑消耗和buff配置索引'!$M:$M,0)))</f>
        <v>201</v>
      </c>
      <c r="R67" s="133" t="str">
        <f>IF(INDEX('#建筑消耗和buff配置索引'!L:L,MATCH($F67,'#建筑消耗和buff配置索引'!$M:$M,0))=0,"",INDEX('#建筑消耗和buff配置索引'!L:L,MATCH($F67,'#建筑消耗和buff配置索引'!$M:$M,0)))</f>
        <v>4</v>
      </c>
      <c r="S67" s="133">
        <f>IF(INDEX('#建筑消耗和buff配置索引'!C:C,MATCH(F67,'#建筑消耗和buff配置索引'!M:M,0))=0,1,INDEX('#建筑消耗和buff配置索引'!C:C,MATCH(F67,'#建筑消耗和buff配置索引'!M:M,0)))</f>
        <v>1</v>
      </c>
      <c r="T67" s="133">
        <v>0</v>
      </c>
      <c r="U67" s="133">
        <v>0</v>
      </c>
      <c r="V67" s="133" t="str">
        <f>IF(E67=1,IF(INDEX('#建筑消耗和buff配置索引'!BY:BY,MATCH(D67,'#建筑消耗和buff配置索引'!A:A,0))=0,"",INDEX('#建筑消耗和buff配置索引'!BY:BY,MATCH(D67,'#建筑消耗和buff配置索引'!A:A,0))),"")</f>
        <v/>
      </c>
      <c r="W67" s="133" t="str">
        <f>IF(E67=1,IF(INDEX('#建筑消耗和buff配置索引'!BZ:BZ,MATCH(D67,'#建筑消耗和buff配置索引'!A:A,0))=0,"",INDEX('#建筑消耗和buff配置索引'!BZ:BZ,MATCH(D67,'#建筑消耗和buff配置索引'!A:A,0))),"")</f>
        <v/>
      </c>
      <c r="AA67" s="133">
        <f>INDEX('#建筑消耗和buff配置索引'!AO:AO,MATCH($F67,'#建筑消耗和buff配置索引'!$M:$M,0))</f>
        <v>15</v>
      </c>
      <c r="AB67" s="133">
        <f>IF(INDEX('#建筑消耗和buff配置索引'!AR:AR,MATCH($F67,'#建筑消耗和buff配置索引'!$M:$M,0))=0,"",INDEX('#建筑消耗和buff配置索引'!AR:AR,MATCH($F67,'#建筑消耗和buff配置索引'!$M:$M,0)))</f>
        <v>1015</v>
      </c>
      <c r="AC67" s="133">
        <f>IF(AB67="","",INDEX('#建筑消耗和buff配置索引'!AS:AS,MATCH($F67,'#建筑消耗和buff配置索引'!$M:$M,0)))</f>
        <v>1000</v>
      </c>
      <c r="AF67" s="133">
        <f>IF(INDEX('#建筑消耗和buff配置索引'!AW:AW,MATCH($F67,'#建筑消耗和buff配置索引'!$M:$M,0))=0,"",INDEX('#建筑消耗和buff配置索引'!AW:AW,MATCH($F67,'#建筑消耗和buff配置索引'!$M:$M,0)))</f>
        <v>1206</v>
      </c>
      <c r="AG67" s="133">
        <f>IF(AF67="","",INDEX('#建筑消耗和buff配置索引'!AX:AX,MATCH($F67,'#建筑消耗和buff配置索引'!$M:$M,0)))</f>
        <v>1</v>
      </c>
      <c r="AJ67" s="133" t="str">
        <f>IF(INDEX('#建筑消耗和buff配置索引'!BB:BB,MATCH($F67,'#建筑消耗和buff配置索引'!$M:$M,0))=0,"",INDEX('#建筑消耗和buff配置索引'!BB:BB,MATCH($F67,'#建筑消耗和buff配置索引'!$M:$M,0)))</f>
        <v/>
      </c>
      <c r="AK67" s="133" t="str">
        <f>IF(AJ67="","",INDEX('#建筑消耗和buff配置索引'!BC:BC,MATCH($F67,'#建筑消耗和buff配置索引'!$M:$M,0)))</f>
        <v/>
      </c>
      <c r="AN67" s="133" t="str">
        <f>IF(INDEX('#建筑消耗和buff配置索引'!BG:BG,MATCH($F67,'#建筑消耗和buff配置索引'!$M:$M,0))=0,"",INDEX('#建筑消耗和buff配置索引'!BG:BG,MATCH($F67,'#建筑消耗和buff配置索引'!$M:$M,0)))</f>
        <v/>
      </c>
      <c r="AO67" s="133" t="str">
        <f>IF(AN67="","",INDEX('#建筑消耗和buff配置索引'!BH:BH,MATCH($F67,'#建筑消耗和buff配置索引'!$M:$M,0)))</f>
        <v/>
      </c>
      <c r="AR67" s="133" t="str">
        <f>IF(INDEX('#建筑消耗和buff配置索引'!BK:BK,MATCH($F67,'#建筑消耗和buff配置索引'!$M:$M,0))=0,"",INDEX('#建筑消耗和buff配置索引'!BK:BK,MATCH($F67,'#建筑消耗和buff配置索引'!$M:$M,0)))</f>
        <v/>
      </c>
      <c r="AS67" s="133" t="str">
        <f>IF(AR67="","",INDEX('#建筑消耗和buff配置索引'!BL:BL,MATCH($F67,'#建筑消耗和buff配置索引'!$M:$M,0)))</f>
        <v/>
      </c>
      <c r="AV67" s="133" t="str">
        <f>IF(INDEX('#建筑消耗和buff配置索引'!BO:BO,MATCH($F67,'#建筑消耗和buff配置索引'!$M:$M,0))=0,"",INDEX('#建筑消耗和buff配置索引'!BO:BO,MATCH($F67,'#建筑消耗和buff配置索引'!$M:$M,0)))</f>
        <v/>
      </c>
      <c r="AW67" s="133" t="str">
        <f>IF(AV67="","",INDEX('#建筑消耗和buff配置索引'!BP:BP,MATCH($F67,'#建筑消耗和buff配置索引'!$M:$M,0)))</f>
        <v/>
      </c>
      <c r="AZ67" s="133" t="str">
        <f>IF(INDEX('#建筑消耗和buff配置索引'!BS:BS,MATCH($F67,'#建筑消耗和buff配置索引'!$M:$M,0))=0,"",INDEX('#建筑消耗和buff配置索引'!BS:BS,MATCH($F67,'#建筑消耗和buff配置索引'!$M:$M,0)))</f>
        <v/>
      </c>
      <c r="BA67" s="133" t="str">
        <f>IF(AZ67="","",INDEX('#建筑消耗和buff配置索引'!BT:BT,MATCH($F67,'#建筑消耗和buff配置索引'!$M:$M,0)))</f>
        <v/>
      </c>
      <c r="BD67" s="133" t="str">
        <f>IF(INDEX('#建筑消耗和buff配置索引'!BW:BW,MATCH($F67,'#建筑消耗和buff配置索引'!$M:$M,0))=0,"",INDEX('#建筑消耗和buff配置索引'!BW:BW,MATCH($F67,'#建筑消耗和buff配置索引'!$M:$M,0)))</f>
        <v/>
      </c>
      <c r="BE67" s="133" t="str">
        <f>IF(BD67="","",INDEX('#建筑消耗和buff配置索引'!BX:BX,MATCH($F67,'#建筑消耗和buff配置索引'!$M:$M,0)))</f>
        <v/>
      </c>
      <c r="BI67" s="133">
        <v>5</v>
      </c>
      <c r="BO67" s="133">
        <v>3</v>
      </c>
      <c r="BP67" s="133" t="s">
        <v>1360</v>
      </c>
      <c r="BQ67" s="133">
        <v>10003604</v>
      </c>
      <c r="BR67" s="133">
        <v>300</v>
      </c>
    </row>
    <row r="68" spans="1:70" s="133" customFormat="1">
      <c r="A68" s="133">
        <v>2030005</v>
      </c>
      <c r="B68" s="133">
        <v>65</v>
      </c>
      <c r="C68" s="133">
        <v>203</v>
      </c>
      <c r="D68" s="133" t="s">
        <v>202</v>
      </c>
      <c r="E68" s="133">
        <v>5</v>
      </c>
      <c r="F68" s="133" t="str">
        <f t="shared" si="0"/>
        <v>磨坊5</v>
      </c>
      <c r="H68" s="146"/>
      <c r="I68" s="133">
        <v>1</v>
      </c>
      <c r="J68" s="150">
        <f>INDEX('#建筑消耗和buff配置索引'!AH:AH,MATCH($F68,'#建筑消耗和buff配置索引'!$M:$M,0))</f>
        <v>150</v>
      </c>
      <c r="K68" s="150">
        <f>INDEX('#建筑消耗和buff配置索引'!AA:AA,MATCH($F68,'#建筑消耗和buff配置索引'!$M:$M,0))</f>
        <v>0</v>
      </c>
      <c r="L68" s="150">
        <f>INDEX('#建筑消耗和buff配置索引'!AB:AB,MATCH($F68,'#建筑消耗和buff配置索引'!$M:$M,0))</f>
        <v>3900</v>
      </c>
      <c r="M68" s="150">
        <f>INDEX('#建筑消耗和buff配置索引'!AC:AC,MATCH($F68,'#建筑消耗和buff配置索引'!$M:$M,0))</f>
        <v>3900</v>
      </c>
      <c r="N68" s="150">
        <f>INDEX('#建筑消耗和buff配置索引'!AD:AD,MATCH($F68,'#建筑消耗和buff配置索引'!$M:$M,0))</f>
        <v>0</v>
      </c>
      <c r="O68" s="150" t="str">
        <f>IF(INDEX('#建筑消耗和buff配置索引'!T:T,MATCH($F68,'#建筑消耗和buff配置索引'!$M:$M,0))=0,"",INDEX('#建筑消耗和buff配置索引'!T:T,MATCH($F68,'#建筑消耗和buff配置索引'!$M:$M,0)))</f>
        <v/>
      </c>
      <c r="P68" s="133" t="str">
        <f>IF(INDEX('#建筑消耗和buff配置索引'!U:U,MATCH($F68,'#建筑消耗和buff配置索引'!$M:$M,0))=0,"",INDEX('#建筑消耗和buff配置索引'!U:U,MATCH($F68,'#建筑消耗和buff配置索引'!$M:$M,0)))</f>
        <v/>
      </c>
      <c r="Q68" s="133" t="str">
        <f>IF(INDEX('#建筑消耗和buff配置索引'!K:K,MATCH($F68,'#建筑消耗和buff配置索引'!$M:$M,0))=0,"",INDEX('#建筑消耗和buff配置索引'!K:K,MATCH($F68,'#建筑消耗和buff配置索引'!$M:$M,0)))</f>
        <v>201</v>
      </c>
      <c r="R68" s="133" t="str">
        <f>IF(INDEX('#建筑消耗和buff配置索引'!L:L,MATCH($F68,'#建筑消耗和buff配置索引'!$M:$M,0))=0,"",INDEX('#建筑消耗和buff配置索引'!L:L,MATCH($F68,'#建筑消耗和buff配置索引'!$M:$M,0)))</f>
        <v>5</v>
      </c>
      <c r="S68" s="133">
        <f>IF(INDEX('#建筑消耗和buff配置索引'!C:C,MATCH(F68,'#建筑消耗和buff配置索引'!M:M,0))=0,1,INDEX('#建筑消耗和buff配置索引'!C:C,MATCH(F68,'#建筑消耗和buff配置索引'!M:M,0)))</f>
        <v>1</v>
      </c>
      <c r="T68" s="133">
        <v>0</v>
      </c>
      <c r="U68" s="133">
        <v>0</v>
      </c>
      <c r="V68" s="133" t="str">
        <f>IF(E68=1,IF(INDEX('#建筑消耗和buff配置索引'!BY:BY,MATCH(D68,'#建筑消耗和buff配置索引'!A:A,0))=0,"",INDEX('#建筑消耗和buff配置索引'!BY:BY,MATCH(D68,'#建筑消耗和buff配置索引'!A:A,0))),"")</f>
        <v/>
      </c>
      <c r="W68" s="133" t="str">
        <f>IF(E68=1,IF(INDEX('#建筑消耗和buff配置索引'!BZ:BZ,MATCH(D68,'#建筑消耗和buff配置索引'!A:A,0))=0,"",INDEX('#建筑消耗和buff配置索引'!BZ:BZ,MATCH(D68,'#建筑消耗和buff配置索引'!A:A,0))),"")</f>
        <v/>
      </c>
      <c r="AA68" s="133">
        <f>INDEX('#建筑消耗和buff配置索引'!AO:AO,MATCH($F68,'#建筑消耗和buff配置索引'!$M:$M,0))</f>
        <v>30</v>
      </c>
      <c r="AB68" s="133">
        <f>IF(INDEX('#建筑消耗和buff配置索引'!AR:AR,MATCH($F68,'#建筑消耗和buff配置索引'!$M:$M,0))=0,"",INDEX('#建筑消耗和buff配置索引'!AR:AR,MATCH($F68,'#建筑消耗和buff配置索引'!$M:$M,0)))</f>
        <v>1015</v>
      </c>
      <c r="AC68" s="133">
        <f>IF(AB68="","",INDEX('#建筑消耗和buff配置索引'!AS:AS,MATCH($F68,'#建筑消耗和buff配置索引'!$M:$M,0)))</f>
        <v>1350</v>
      </c>
      <c r="AF68" s="133">
        <f>IF(INDEX('#建筑消耗和buff配置索引'!AW:AW,MATCH($F68,'#建筑消耗和buff配置索引'!$M:$M,0))=0,"",INDEX('#建筑消耗和buff配置索引'!AW:AW,MATCH($F68,'#建筑消耗和buff配置索引'!$M:$M,0)))</f>
        <v>1206</v>
      </c>
      <c r="AG68" s="133">
        <f>IF(AF68="","",INDEX('#建筑消耗和buff配置索引'!AX:AX,MATCH($F68,'#建筑消耗和buff配置索引'!$M:$M,0)))</f>
        <v>1</v>
      </c>
      <c r="AJ68" s="133" t="str">
        <f>IF(INDEX('#建筑消耗和buff配置索引'!BB:BB,MATCH($F68,'#建筑消耗和buff配置索引'!$M:$M,0))=0,"",INDEX('#建筑消耗和buff配置索引'!BB:BB,MATCH($F68,'#建筑消耗和buff配置索引'!$M:$M,0)))</f>
        <v/>
      </c>
      <c r="AK68" s="133" t="str">
        <f>IF(AJ68="","",INDEX('#建筑消耗和buff配置索引'!BC:BC,MATCH($F68,'#建筑消耗和buff配置索引'!$M:$M,0)))</f>
        <v/>
      </c>
      <c r="AN68" s="133" t="str">
        <f>IF(INDEX('#建筑消耗和buff配置索引'!BG:BG,MATCH($F68,'#建筑消耗和buff配置索引'!$M:$M,0))=0,"",INDEX('#建筑消耗和buff配置索引'!BG:BG,MATCH($F68,'#建筑消耗和buff配置索引'!$M:$M,0)))</f>
        <v/>
      </c>
      <c r="AO68" s="133" t="str">
        <f>IF(AN68="","",INDEX('#建筑消耗和buff配置索引'!BH:BH,MATCH($F68,'#建筑消耗和buff配置索引'!$M:$M,0)))</f>
        <v/>
      </c>
      <c r="AR68" s="133" t="str">
        <f>IF(INDEX('#建筑消耗和buff配置索引'!BK:BK,MATCH($F68,'#建筑消耗和buff配置索引'!$M:$M,0))=0,"",INDEX('#建筑消耗和buff配置索引'!BK:BK,MATCH($F68,'#建筑消耗和buff配置索引'!$M:$M,0)))</f>
        <v/>
      </c>
      <c r="AS68" s="133" t="str">
        <f>IF(AR68="","",INDEX('#建筑消耗和buff配置索引'!BL:BL,MATCH($F68,'#建筑消耗和buff配置索引'!$M:$M,0)))</f>
        <v/>
      </c>
      <c r="AV68" s="133" t="str">
        <f>IF(INDEX('#建筑消耗和buff配置索引'!BO:BO,MATCH($F68,'#建筑消耗和buff配置索引'!$M:$M,0))=0,"",INDEX('#建筑消耗和buff配置索引'!BO:BO,MATCH($F68,'#建筑消耗和buff配置索引'!$M:$M,0)))</f>
        <v/>
      </c>
      <c r="AW68" s="133" t="str">
        <f>IF(AV68="","",INDEX('#建筑消耗和buff配置索引'!BP:BP,MATCH($F68,'#建筑消耗和buff配置索引'!$M:$M,0)))</f>
        <v/>
      </c>
      <c r="AZ68" s="133" t="str">
        <f>IF(INDEX('#建筑消耗和buff配置索引'!BS:BS,MATCH($F68,'#建筑消耗和buff配置索引'!$M:$M,0))=0,"",INDEX('#建筑消耗和buff配置索引'!BS:BS,MATCH($F68,'#建筑消耗和buff配置索引'!$M:$M,0)))</f>
        <v/>
      </c>
      <c r="BA68" s="133" t="str">
        <f>IF(AZ68="","",INDEX('#建筑消耗和buff配置索引'!BT:BT,MATCH($F68,'#建筑消耗和buff配置索引'!$M:$M,0)))</f>
        <v/>
      </c>
      <c r="BD68" s="133" t="str">
        <f>IF(INDEX('#建筑消耗和buff配置索引'!BW:BW,MATCH($F68,'#建筑消耗和buff配置索引'!$M:$M,0))=0,"",INDEX('#建筑消耗和buff配置索引'!BW:BW,MATCH($F68,'#建筑消耗和buff配置索引'!$M:$M,0)))</f>
        <v/>
      </c>
      <c r="BE68" s="133" t="str">
        <f>IF(BD68="","",INDEX('#建筑消耗和buff配置索引'!BX:BX,MATCH($F68,'#建筑消耗和buff配置索引'!$M:$M,0)))</f>
        <v/>
      </c>
      <c r="BI68" s="133">
        <v>5</v>
      </c>
      <c r="BO68" s="133">
        <v>3</v>
      </c>
      <c r="BP68" s="133" t="s">
        <v>1360</v>
      </c>
      <c r="BQ68" s="133">
        <v>10003604</v>
      </c>
      <c r="BR68" s="133">
        <v>300</v>
      </c>
    </row>
    <row r="69" spans="1:70" s="133" customFormat="1">
      <c r="A69" s="133">
        <v>2030006</v>
      </c>
      <c r="B69" s="133">
        <v>66</v>
      </c>
      <c r="C69" s="133">
        <v>203</v>
      </c>
      <c r="D69" s="133" t="s">
        <v>202</v>
      </c>
      <c r="E69" s="133">
        <v>6</v>
      </c>
      <c r="F69" s="133" t="str">
        <f t="shared" si="0"/>
        <v>磨坊6</v>
      </c>
      <c r="H69" s="146"/>
      <c r="I69" s="133">
        <v>1</v>
      </c>
      <c r="J69" s="150">
        <f>INDEX('#建筑消耗和buff配置索引'!AH:AH,MATCH($F69,'#建筑消耗和buff配置索引'!$M:$M,0))</f>
        <v>270</v>
      </c>
      <c r="K69" s="150">
        <f>INDEX('#建筑消耗和buff配置索引'!AA:AA,MATCH($F69,'#建筑消耗和buff配置索引'!$M:$M,0))</f>
        <v>0</v>
      </c>
      <c r="L69" s="150">
        <f>INDEX('#建筑消耗和buff配置索引'!AB:AB,MATCH($F69,'#建筑消耗和buff配置索引'!$M:$M,0))</f>
        <v>7200</v>
      </c>
      <c r="M69" s="150">
        <f>INDEX('#建筑消耗和buff配置索引'!AC:AC,MATCH($F69,'#建筑消耗和buff配置索引'!$M:$M,0))</f>
        <v>7200</v>
      </c>
      <c r="N69" s="150">
        <f>INDEX('#建筑消耗和buff配置索引'!AD:AD,MATCH($F69,'#建筑消耗和buff配置索引'!$M:$M,0))</f>
        <v>0</v>
      </c>
      <c r="O69" s="150" t="str">
        <f>IF(INDEX('#建筑消耗和buff配置索引'!T:T,MATCH($F69,'#建筑消耗和buff配置索引'!$M:$M,0))=0,"",INDEX('#建筑消耗和buff配置索引'!T:T,MATCH($F69,'#建筑消耗和buff配置索引'!$M:$M,0)))</f>
        <v/>
      </c>
      <c r="P69" s="133" t="str">
        <f>IF(INDEX('#建筑消耗和buff配置索引'!U:U,MATCH($F69,'#建筑消耗和buff配置索引'!$M:$M,0))=0,"",INDEX('#建筑消耗和buff配置索引'!U:U,MATCH($F69,'#建筑消耗和buff配置索引'!$M:$M,0)))</f>
        <v/>
      </c>
      <c r="Q69" s="133" t="str">
        <f>IF(INDEX('#建筑消耗和buff配置索引'!K:K,MATCH($F69,'#建筑消耗和buff配置索引'!$M:$M,0))=0,"",INDEX('#建筑消耗和buff配置索引'!K:K,MATCH($F69,'#建筑消耗和buff配置索引'!$M:$M,0)))</f>
        <v>201</v>
      </c>
      <c r="R69" s="133" t="str">
        <f>IF(INDEX('#建筑消耗和buff配置索引'!L:L,MATCH($F69,'#建筑消耗和buff配置索引'!$M:$M,0))=0,"",INDEX('#建筑消耗和buff配置索引'!L:L,MATCH($F69,'#建筑消耗和buff配置索引'!$M:$M,0)))</f>
        <v>6</v>
      </c>
      <c r="S69" s="133">
        <f>IF(INDEX('#建筑消耗和buff配置索引'!C:C,MATCH(F69,'#建筑消耗和buff配置索引'!M:M,0))=0,1,INDEX('#建筑消耗和buff配置索引'!C:C,MATCH(F69,'#建筑消耗和buff配置索引'!M:M,0)))</f>
        <v>1</v>
      </c>
      <c r="T69" s="133">
        <v>0</v>
      </c>
      <c r="U69" s="133">
        <v>0</v>
      </c>
      <c r="V69" s="133" t="str">
        <f>IF(E69=1,IF(INDEX('#建筑消耗和buff配置索引'!BY:BY,MATCH(D69,'#建筑消耗和buff配置索引'!A:A,0))=0,"",INDEX('#建筑消耗和buff配置索引'!BY:BY,MATCH(D69,'#建筑消耗和buff配置索引'!A:A,0))),"")</f>
        <v/>
      </c>
      <c r="W69" s="133" t="str">
        <f>IF(E69=1,IF(INDEX('#建筑消耗和buff配置索引'!BZ:BZ,MATCH(D69,'#建筑消耗和buff配置索引'!A:A,0))=0,"",INDEX('#建筑消耗和buff配置索引'!BZ:BZ,MATCH(D69,'#建筑消耗和buff配置索引'!A:A,0))),"")</f>
        <v/>
      </c>
      <c r="AA69" s="133">
        <f>INDEX('#建筑消耗和buff配置索引'!AO:AO,MATCH($F69,'#建筑消耗和buff配置索引'!$M:$M,0))</f>
        <v>59</v>
      </c>
      <c r="AB69" s="133">
        <f>IF(INDEX('#建筑消耗和buff配置索引'!AR:AR,MATCH($F69,'#建筑消耗和buff配置索引'!$M:$M,0))=0,"",INDEX('#建筑消耗和buff配置索引'!AR:AR,MATCH($F69,'#建筑消耗和buff配置索引'!$M:$M,0)))</f>
        <v>1015</v>
      </c>
      <c r="AC69" s="133">
        <f>IF(AB69="","",INDEX('#建筑消耗和buff配置索引'!AS:AS,MATCH($F69,'#建筑消耗和buff配置索引'!$M:$M,0)))</f>
        <v>1700</v>
      </c>
      <c r="AF69" s="133">
        <f>IF(INDEX('#建筑消耗和buff配置索引'!AW:AW,MATCH($F69,'#建筑消耗和buff配置索引'!$M:$M,0))=0,"",INDEX('#建筑消耗和buff配置索引'!AW:AW,MATCH($F69,'#建筑消耗和buff配置索引'!$M:$M,0)))</f>
        <v>1206</v>
      </c>
      <c r="AG69" s="133">
        <f>IF(AF69="","",INDEX('#建筑消耗和buff配置索引'!AX:AX,MATCH($F69,'#建筑消耗和buff配置索引'!$M:$M,0)))</f>
        <v>1</v>
      </c>
      <c r="AJ69" s="133" t="str">
        <f>IF(INDEX('#建筑消耗和buff配置索引'!BB:BB,MATCH($F69,'#建筑消耗和buff配置索引'!$M:$M,0))=0,"",INDEX('#建筑消耗和buff配置索引'!BB:BB,MATCH($F69,'#建筑消耗和buff配置索引'!$M:$M,0)))</f>
        <v/>
      </c>
      <c r="AK69" s="133" t="str">
        <f>IF(AJ69="","",INDEX('#建筑消耗和buff配置索引'!BC:BC,MATCH($F69,'#建筑消耗和buff配置索引'!$M:$M,0)))</f>
        <v/>
      </c>
      <c r="AN69" s="133" t="str">
        <f>IF(INDEX('#建筑消耗和buff配置索引'!BG:BG,MATCH($F69,'#建筑消耗和buff配置索引'!$M:$M,0))=0,"",INDEX('#建筑消耗和buff配置索引'!BG:BG,MATCH($F69,'#建筑消耗和buff配置索引'!$M:$M,0)))</f>
        <v/>
      </c>
      <c r="AO69" s="133" t="str">
        <f>IF(AN69="","",INDEX('#建筑消耗和buff配置索引'!BH:BH,MATCH($F69,'#建筑消耗和buff配置索引'!$M:$M,0)))</f>
        <v/>
      </c>
      <c r="AR69" s="133" t="str">
        <f>IF(INDEX('#建筑消耗和buff配置索引'!BK:BK,MATCH($F69,'#建筑消耗和buff配置索引'!$M:$M,0))=0,"",INDEX('#建筑消耗和buff配置索引'!BK:BK,MATCH($F69,'#建筑消耗和buff配置索引'!$M:$M,0)))</f>
        <v/>
      </c>
      <c r="AS69" s="133" t="str">
        <f>IF(AR69="","",INDEX('#建筑消耗和buff配置索引'!BL:BL,MATCH($F69,'#建筑消耗和buff配置索引'!$M:$M,0)))</f>
        <v/>
      </c>
      <c r="AV69" s="133" t="str">
        <f>IF(INDEX('#建筑消耗和buff配置索引'!BO:BO,MATCH($F69,'#建筑消耗和buff配置索引'!$M:$M,0))=0,"",INDEX('#建筑消耗和buff配置索引'!BO:BO,MATCH($F69,'#建筑消耗和buff配置索引'!$M:$M,0)))</f>
        <v/>
      </c>
      <c r="AW69" s="133" t="str">
        <f>IF(AV69="","",INDEX('#建筑消耗和buff配置索引'!BP:BP,MATCH($F69,'#建筑消耗和buff配置索引'!$M:$M,0)))</f>
        <v/>
      </c>
      <c r="AZ69" s="133" t="str">
        <f>IF(INDEX('#建筑消耗和buff配置索引'!BS:BS,MATCH($F69,'#建筑消耗和buff配置索引'!$M:$M,0))=0,"",INDEX('#建筑消耗和buff配置索引'!BS:BS,MATCH($F69,'#建筑消耗和buff配置索引'!$M:$M,0)))</f>
        <v/>
      </c>
      <c r="BA69" s="133" t="str">
        <f>IF(AZ69="","",INDEX('#建筑消耗和buff配置索引'!BT:BT,MATCH($F69,'#建筑消耗和buff配置索引'!$M:$M,0)))</f>
        <v/>
      </c>
      <c r="BD69" s="133" t="str">
        <f>IF(INDEX('#建筑消耗和buff配置索引'!BW:BW,MATCH($F69,'#建筑消耗和buff配置索引'!$M:$M,0))=0,"",INDEX('#建筑消耗和buff配置索引'!BW:BW,MATCH($F69,'#建筑消耗和buff配置索引'!$M:$M,0)))</f>
        <v/>
      </c>
      <c r="BE69" s="133" t="str">
        <f>IF(BD69="","",INDEX('#建筑消耗和buff配置索引'!BX:BX,MATCH($F69,'#建筑消耗和buff配置索引'!$M:$M,0)))</f>
        <v/>
      </c>
      <c r="BI69" s="133">
        <v>5</v>
      </c>
      <c r="BO69" s="133">
        <v>3</v>
      </c>
      <c r="BP69" s="133" t="s">
        <v>1360</v>
      </c>
      <c r="BQ69" s="133">
        <v>10003604</v>
      </c>
      <c r="BR69" s="133">
        <v>300</v>
      </c>
    </row>
    <row r="70" spans="1:70" s="133" customFormat="1">
      <c r="A70" s="133">
        <v>2030007</v>
      </c>
      <c r="B70" s="133">
        <v>67</v>
      </c>
      <c r="C70" s="133">
        <v>203</v>
      </c>
      <c r="D70" s="133" t="s">
        <v>202</v>
      </c>
      <c r="E70" s="133">
        <v>7</v>
      </c>
      <c r="F70" s="133" t="str">
        <f t="shared" si="0"/>
        <v>磨坊7</v>
      </c>
      <c r="H70" s="146"/>
      <c r="I70" s="133">
        <v>1</v>
      </c>
      <c r="J70" s="150">
        <f>INDEX('#建筑消耗和buff配置索引'!AH:AH,MATCH($F70,'#建筑消耗和buff配置索引'!$M:$M,0))</f>
        <v>450</v>
      </c>
      <c r="K70" s="150">
        <f>INDEX('#建筑消耗和buff配置索引'!AA:AA,MATCH($F70,'#建筑消耗和buff配置索引'!$M:$M,0))</f>
        <v>0</v>
      </c>
      <c r="L70" s="150">
        <f>INDEX('#建筑消耗和buff配置索引'!AB:AB,MATCH($F70,'#建筑消耗和buff配置索引'!$M:$M,0))</f>
        <v>13000</v>
      </c>
      <c r="M70" s="150">
        <f>INDEX('#建筑消耗和buff配置索引'!AC:AC,MATCH($F70,'#建筑消耗和buff配置索引'!$M:$M,0))</f>
        <v>13000</v>
      </c>
      <c r="N70" s="150">
        <f>INDEX('#建筑消耗和buff配置索引'!AD:AD,MATCH($F70,'#建筑消耗和buff配置索引'!$M:$M,0))</f>
        <v>0</v>
      </c>
      <c r="O70" s="150" t="str">
        <f>IF(INDEX('#建筑消耗和buff配置索引'!T:T,MATCH($F70,'#建筑消耗和buff配置索引'!$M:$M,0))=0,"",INDEX('#建筑消耗和buff配置索引'!T:T,MATCH($F70,'#建筑消耗和buff配置索引'!$M:$M,0)))</f>
        <v/>
      </c>
      <c r="P70" s="133" t="str">
        <f>IF(INDEX('#建筑消耗和buff配置索引'!U:U,MATCH($F70,'#建筑消耗和buff配置索引'!$M:$M,0))=0,"",INDEX('#建筑消耗和buff配置索引'!U:U,MATCH($F70,'#建筑消耗和buff配置索引'!$M:$M,0)))</f>
        <v/>
      </c>
      <c r="Q70" s="133" t="str">
        <f>IF(INDEX('#建筑消耗和buff配置索引'!K:K,MATCH($F70,'#建筑消耗和buff配置索引'!$M:$M,0))=0,"",INDEX('#建筑消耗和buff配置索引'!K:K,MATCH($F70,'#建筑消耗和buff配置索引'!$M:$M,0)))</f>
        <v>201</v>
      </c>
      <c r="R70" s="133" t="str">
        <f>IF(INDEX('#建筑消耗和buff配置索引'!L:L,MATCH($F70,'#建筑消耗和buff配置索引'!$M:$M,0))=0,"",INDEX('#建筑消耗和buff配置索引'!L:L,MATCH($F70,'#建筑消耗和buff配置索引'!$M:$M,0)))</f>
        <v>7</v>
      </c>
      <c r="S70" s="133">
        <f>IF(INDEX('#建筑消耗和buff配置索引'!C:C,MATCH(F70,'#建筑消耗和buff配置索引'!M:M,0))=0,1,INDEX('#建筑消耗和buff配置索引'!C:C,MATCH(F70,'#建筑消耗和buff配置索引'!M:M,0)))</f>
        <v>1</v>
      </c>
      <c r="T70" s="133">
        <v>0</v>
      </c>
      <c r="U70" s="133">
        <v>0</v>
      </c>
      <c r="V70" s="133" t="str">
        <f>IF(E70=1,IF(INDEX('#建筑消耗和buff配置索引'!BY:BY,MATCH(D70,'#建筑消耗和buff配置索引'!A:A,0))=0,"",INDEX('#建筑消耗和buff配置索引'!BY:BY,MATCH(D70,'#建筑消耗和buff配置索引'!A:A,0))),"")</f>
        <v/>
      </c>
      <c r="W70" s="133" t="str">
        <f>IF(E70=1,IF(INDEX('#建筑消耗和buff配置索引'!BZ:BZ,MATCH(D70,'#建筑消耗和buff配置索引'!A:A,0))=0,"",INDEX('#建筑消耗和buff配置索引'!BZ:BZ,MATCH(D70,'#建筑消耗和buff配置索引'!A:A,0))),"")</f>
        <v/>
      </c>
      <c r="AA70" s="133">
        <f>INDEX('#建筑消耗和buff配置索引'!AO:AO,MATCH($F70,'#建筑消耗和buff配置索引'!$M:$M,0))</f>
        <v>110</v>
      </c>
      <c r="AB70" s="133">
        <f>IF(INDEX('#建筑消耗和buff配置索引'!AR:AR,MATCH($F70,'#建筑消耗和buff配置索引'!$M:$M,0))=0,"",INDEX('#建筑消耗和buff配置索引'!AR:AR,MATCH($F70,'#建筑消耗和buff配置索引'!$M:$M,0)))</f>
        <v>1015</v>
      </c>
      <c r="AC70" s="133">
        <f>IF(AB70="","",INDEX('#建筑消耗和buff配置索引'!AS:AS,MATCH($F70,'#建筑消耗和buff配置索引'!$M:$M,0)))</f>
        <v>2050</v>
      </c>
      <c r="AF70" s="133">
        <f>IF(INDEX('#建筑消耗和buff配置索引'!AW:AW,MATCH($F70,'#建筑消耗和buff配置索引'!$M:$M,0))=0,"",INDEX('#建筑消耗和buff配置索引'!AW:AW,MATCH($F70,'#建筑消耗和buff配置索引'!$M:$M,0)))</f>
        <v>1206</v>
      </c>
      <c r="AG70" s="133">
        <f>IF(AF70="","",INDEX('#建筑消耗和buff配置索引'!AX:AX,MATCH($F70,'#建筑消耗和buff配置索引'!$M:$M,0)))</f>
        <v>1</v>
      </c>
      <c r="AJ70" s="133" t="str">
        <f>IF(INDEX('#建筑消耗和buff配置索引'!BB:BB,MATCH($F70,'#建筑消耗和buff配置索引'!$M:$M,0))=0,"",INDEX('#建筑消耗和buff配置索引'!BB:BB,MATCH($F70,'#建筑消耗和buff配置索引'!$M:$M,0)))</f>
        <v/>
      </c>
      <c r="AK70" s="133" t="str">
        <f>IF(AJ70="","",INDEX('#建筑消耗和buff配置索引'!BC:BC,MATCH($F70,'#建筑消耗和buff配置索引'!$M:$M,0)))</f>
        <v/>
      </c>
      <c r="AN70" s="133" t="str">
        <f>IF(INDEX('#建筑消耗和buff配置索引'!BG:BG,MATCH($F70,'#建筑消耗和buff配置索引'!$M:$M,0))=0,"",INDEX('#建筑消耗和buff配置索引'!BG:BG,MATCH($F70,'#建筑消耗和buff配置索引'!$M:$M,0)))</f>
        <v/>
      </c>
      <c r="AO70" s="133" t="str">
        <f>IF(AN70="","",INDEX('#建筑消耗和buff配置索引'!BH:BH,MATCH($F70,'#建筑消耗和buff配置索引'!$M:$M,0)))</f>
        <v/>
      </c>
      <c r="AR70" s="133" t="str">
        <f>IF(INDEX('#建筑消耗和buff配置索引'!BK:BK,MATCH($F70,'#建筑消耗和buff配置索引'!$M:$M,0))=0,"",INDEX('#建筑消耗和buff配置索引'!BK:BK,MATCH($F70,'#建筑消耗和buff配置索引'!$M:$M,0)))</f>
        <v/>
      </c>
      <c r="AS70" s="133" t="str">
        <f>IF(AR70="","",INDEX('#建筑消耗和buff配置索引'!BL:BL,MATCH($F70,'#建筑消耗和buff配置索引'!$M:$M,0)))</f>
        <v/>
      </c>
      <c r="AV70" s="133" t="str">
        <f>IF(INDEX('#建筑消耗和buff配置索引'!BO:BO,MATCH($F70,'#建筑消耗和buff配置索引'!$M:$M,0))=0,"",INDEX('#建筑消耗和buff配置索引'!BO:BO,MATCH($F70,'#建筑消耗和buff配置索引'!$M:$M,0)))</f>
        <v/>
      </c>
      <c r="AW70" s="133" t="str">
        <f>IF(AV70="","",INDEX('#建筑消耗和buff配置索引'!BP:BP,MATCH($F70,'#建筑消耗和buff配置索引'!$M:$M,0)))</f>
        <v/>
      </c>
      <c r="AZ70" s="133" t="str">
        <f>IF(INDEX('#建筑消耗和buff配置索引'!BS:BS,MATCH($F70,'#建筑消耗和buff配置索引'!$M:$M,0))=0,"",INDEX('#建筑消耗和buff配置索引'!BS:BS,MATCH($F70,'#建筑消耗和buff配置索引'!$M:$M,0)))</f>
        <v/>
      </c>
      <c r="BA70" s="133" t="str">
        <f>IF(AZ70="","",INDEX('#建筑消耗和buff配置索引'!BT:BT,MATCH($F70,'#建筑消耗和buff配置索引'!$M:$M,0)))</f>
        <v/>
      </c>
      <c r="BD70" s="133" t="str">
        <f>IF(INDEX('#建筑消耗和buff配置索引'!BW:BW,MATCH($F70,'#建筑消耗和buff配置索引'!$M:$M,0))=0,"",INDEX('#建筑消耗和buff配置索引'!BW:BW,MATCH($F70,'#建筑消耗和buff配置索引'!$M:$M,0)))</f>
        <v/>
      </c>
      <c r="BE70" s="133" t="str">
        <f>IF(BD70="","",INDEX('#建筑消耗和buff配置索引'!BX:BX,MATCH($F70,'#建筑消耗和buff配置索引'!$M:$M,0)))</f>
        <v/>
      </c>
      <c r="BI70" s="133">
        <v>5</v>
      </c>
      <c r="BJ70" s="133">
        <v>299</v>
      </c>
      <c r="BO70" s="133">
        <v>3</v>
      </c>
      <c r="BP70" s="133" t="s">
        <v>1360</v>
      </c>
      <c r="BQ70" s="133">
        <v>10003604</v>
      </c>
      <c r="BR70" s="133">
        <v>300</v>
      </c>
    </row>
    <row r="71" spans="1:70" s="133" customFormat="1">
      <c r="A71" s="133">
        <v>2030008</v>
      </c>
      <c r="B71" s="133">
        <v>68</v>
      </c>
      <c r="C71" s="133">
        <v>203</v>
      </c>
      <c r="D71" s="133" t="s">
        <v>202</v>
      </c>
      <c r="E71" s="133">
        <v>8</v>
      </c>
      <c r="F71" s="133" t="str">
        <f t="shared" si="0"/>
        <v>磨坊8</v>
      </c>
      <c r="H71" s="146"/>
      <c r="I71" s="133">
        <v>1</v>
      </c>
      <c r="J71" s="150">
        <f>INDEX('#建筑消耗和buff配置索引'!AH:AH,MATCH($F71,'#建筑消耗和buff配置索引'!$M:$M,0))</f>
        <v>720</v>
      </c>
      <c r="K71" s="150">
        <f>INDEX('#建筑消耗和buff配置索引'!AA:AA,MATCH($F71,'#建筑消耗和buff配置索引'!$M:$M,0))</f>
        <v>0</v>
      </c>
      <c r="L71" s="150">
        <f>INDEX('#建筑消耗和buff配置索引'!AB:AB,MATCH($F71,'#建筑消耗和buff配置索引'!$M:$M,0))</f>
        <v>22000</v>
      </c>
      <c r="M71" s="150">
        <f>INDEX('#建筑消耗和buff配置索引'!AC:AC,MATCH($F71,'#建筑消耗和buff配置索引'!$M:$M,0))</f>
        <v>22000</v>
      </c>
      <c r="N71" s="150">
        <f>INDEX('#建筑消耗和buff配置索引'!AD:AD,MATCH($F71,'#建筑消耗和buff配置索引'!$M:$M,0))</f>
        <v>0</v>
      </c>
      <c r="O71" s="150" t="str">
        <f>IF(INDEX('#建筑消耗和buff配置索引'!T:T,MATCH($F71,'#建筑消耗和buff配置索引'!$M:$M,0))=0,"",INDEX('#建筑消耗和buff配置索引'!T:T,MATCH($F71,'#建筑消耗和buff配置索引'!$M:$M,0)))</f>
        <v/>
      </c>
      <c r="P71" s="133" t="str">
        <f>IF(INDEX('#建筑消耗和buff配置索引'!U:U,MATCH($F71,'#建筑消耗和buff配置索引'!$M:$M,0))=0,"",INDEX('#建筑消耗和buff配置索引'!U:U,MATCH($F71,'#建筑消耗和buff配置索引'!$M:$M,0)))</f>
        <v/>
      </c>
      <c r="Q71" s="133" t="str">
        <f>IF(INDEX('#建筑消耗和buff配置索引'!K:K,MATCH($F71,'#建筑消耗和buff配置索引'!$M:$M,0))=0,"",INDEX('#建筑消耗和buff配置索引'!K:K,MATCH($F71,'#建筑消耗和buff配置索引'!$M:$M,0)))</f>
        <v>201</v>
      </c>
      <c r="R71" s="133" t="str">
        <f>IF(INDEX('#建筑消耗和buff配置索引'!L:L,MATCH($F71,'#建筑消耗和buff配置索引'!$M:$M,0))=0,"",INDEX('#建筑消耗和buff配置索引'!L:L,MATCH($F71,'#建筑消耗和buff配置索引'!$M:$M,0)))</f>
        <v>8</v>
      </c>
      <c r="S71" s="133">
        <f>IF(INDEX('#建筑消耗和buff配置索引'!C:C,MATCH(F71,'#建筑消耗和buff配置索引'!M:M,0))=0,1,INDEX('#建筑消耗和buff配置索引'!C:C,MATCH(F71,'#建筑消耗和buff配置索引'!M:M,0)))</f>
        <v>1</v>
      </c>
      <c r="T71" s="133">
        <v>0</v>
      </c>
      <c r="U71" s="133">
        <v>0</v>
      </c>
      <c r="V71" s="133" t="str">
        <f>IF(E71=1,IF(INDEX('#建筑消耗和buff配置索引'!BY:BY,MATCH(D71,'#建筑消耗和buff配置索引'!A:A,0))=0,"",INDEX('#建筑消耗和buff配置索引'!BY:BY,MATCH(D71,'#建筑消耗和buff配置索引'!A:A,0))),"")</f>
        <v/>
      </c>
      <c r="W71" s="133" t="str">
        <f>IF(E71=1,IF(INDEX('#建筑消耗和buff配置索引'!BZ:BZ,MATCH(D71,'#建筑消耗和buff配置索引'!A:A,0))=0,"",INDEX('#建筑消耗和buff配置索引'!BZ:BZ,MATCH(D71,'#建筑消耗和buff配置索引'!A:A,0))),"")</f>
        <v/>
      </c>
      <c r="AA71" s="133">
        <f>INDEX('#建筑消耗和buff配置索引'!AO:AO,MATCH($F71,'#建筑消耗和buff配置索引'!$M:$M,0))</f>
        <v>198</v>
      </c>
      <c r="AB71" s="133">
        <f>IF(INDEX('#建筑消耗和buff配置索引'!AR:AR,MATCH($F71,'#建筑消耗和buff配置索引'!$M:$M,0))=0,"",INDEX('#建筑消耗和buff配置索引'!AR:AR,MATCH($F71,'#建筑消耗和buff配置索引'!$M:$M,0)))</f>
        <v>1015</v>
      </c>
      <c r="AC71" s="133">
        <f>IF(AB71="","",INDEX('#建筑消耗和buff配置索引'!AS:AS,MATCH($F71,'#建筑消耗和buff配置索引'!$M:$M,0)))</f>
        <v>2400</v>
      </c>
      <c r="AF71" s="133">
        <f>IF(INDEX('#建筑消耗和buff配置索引'!AW:AW,MATCH($F71,'#建筑消耗和buff配置索引'!$M:$M,0))=0,"",INDEX('#建筑消耗和buff配置索引'!AW:AW,MATCH($F71,'#建筑消耗和buff配置索引'!$M:$M,0)))</f>
        <v>1206</v>
      </c>
      <c r="AG71" s="133">
        <f>IF(AF71="","",INDEX('#建筑消耗和buff配置索引'!AX:AX,MATCH($F71,'#建筑消耗和buff配置索引'!$M:$M,0)))</f>
        <v>2</v>
      </c>
      <c r="AJ71" s="133" t="str">
        <f>IF(INDEX('#建筑消耗和buff配置索引'!BB:BB,MATCH($F71,'#建筑消耗和buff配置索引'!$M:$M,0))=0,"",INDEX('#建筑消耗和buff配置索引'!BB:BB,MATCH($F71,'#建筑消耗和buff配置索引'!$M:$M,0)))</f>
        <v/>
      </c>
      <c r="AK71" s="133" t="str">
        <f>IF(AJ71="","",INDEX('#建筑消耗和buff配置索引'!BC:BC,MATCH($F71,'#建筑消耗和buff配置索引'!$M:$M,0)))</f>
        <v/>
      </c>
      <c r="AN71" s="133" t="str">
        <f>IF(INDEX('#建筑消耗和buff配置索引'!BG:BG,MATCH($F71,'#建筑消耗和buff配置索引'!$M:$M,0))=0,"",INDEX('#建筑消耗和buff配置索引'!BG:BG,MATCH($F71,'#建筑消耗和buff配置索引'!$M:$M,0)))</f>
        <v/>
      </c>
      <c r="AO71" s="133" t="str">
        <f>IF(AN71="","",INDEX('#建筑消耗和buff配置索引'!BH:BH,MATCH($F71,'#建筑消耗和buff配置索引'!$M:$M,0)))</f>
        <v/>
      </c>
      <c r="AR71" s="133" t="str">
        <f>IF(INDEX('#建筑消耗和buff配置索引'!BK:BK,MATCH($F71,'#建筑消耗和buff配置索引'!$M:$M,0))=0,"",INDEX('#建筑消耗和buff配置索引'!BK:BK,MATCH($F71,'#建筑消耗和buff配置索引'!$M:$M,0)))</f>
        <v/>
      </c>
      <c r="AS71" s="133" t="str">
        <f>IF(AR71="","",INDEX('#建筑消耗和buff配置索引'!BL:BL,MATCH($F71,'#建筑消耗和buff配置索引'!$M:$M,0)))</f>
        <v/>
      </c>
      <c r="AV71" s="133" t="str">
        <f>IF(INDEX('#建筑消耗和buff配置索引'!BO:BO,MATCH($F71,'#建筑消耗和buff配置索引'!$M:$M,0))=0,"",INDEX('#建筑消耗和buff配置索引'!BO:BO,MATCH($F71,'#建筑消耗和buff配置索引'!$M:$M,0)))</f>
        <v/>
      </c>
      <c r="AW71" s="133" t="str">
        <f>IF(AV71="","",INDEX('#建筑消耗和buff配置索引'!BP:BP,MATCH($F71,'#建筑消耗和buff配置索引'!$M:$M,0)))</f>
        <v/>
      </c>
      <c r="AZ71" s="133" t="str">
        <f>IF(INDEX('#建筑消耗和buff配置索引'!BS:BS,MATCH($F71,'#建筑消耗和buff配置索引'!$M:$M,0))=0,"",INDEX('#建筑消耗和buff配置索引'!BS:BS,MATCH($F71,'#建筑消耗和buff配置索引'!$M:$M,0)))</f>
        <v/>
      </c>
      <c r="BA71" s="133" t="str">
        <f>IF(AZ71="","",INDEX('#建筑消耗和buff配置索引'!BT:BT,MATCH($F71,'#建筑消耗和buff配置索引'!$M:$M,0)))</f>
        <v/>
      </c>
      <c r="BD71" s="133" t="str">
        <f>IF(INDEX('#建筑消耗和buff配置索引'!BW:BW,MATCH($F71,'#建筑消耗和buff配置索引'!$M:$M,0))=0,"",INDEX('#建筑消耗和buff配置索引'!BW:BW,MATCH($F71,'#建筑消耗和buff配置索引'!$M:$M,0)))</f>
        <v/>
      </c>
      <c r="BE71" s="133" t="str">
        <f>IF(BD71="","",INDEX('#建筑消耗和buff配置索引'!BX:BX,MATCH($F71,'#建筑消耗和buff配置索引'!$M:$M,0)))</f>
        <v/>
      </c>
      <c r="BI71" s="133">
        <v>5</v>
      </c>
      <c r="BJ71" s="133">
        <v>299</v>
      </c>
      <c r="BO71" s="133">
        <v>3</v>
      </c>
      <c r="BP71" s="133" t="s">
        <v>1360</v>
      </c>
      <c r="BQ71" s="133">
        <v>10003604</v>
      </c>
      <c r="BR71" s="133">
        <v>300</v>
      </c>
    </row>
    <row r="72" spans="1:70" s="133" customFormat="1">
      <c r="A72" s="133">
        <v>2030009</v>
      </c>
      <c r="B72" s="133">
        <v>69</v>
      </c>
      <c r="C72" s="133">
        <v>203</v>
      </c>
      <c r="D72" s="133" t="s">
        <v>202</v>
      </c>
      <c r="E72" s="133">
        <v>9</v>
      </c>
      <c r="F72" s="133" t="str">
        <f t="shared" si="0"/>
        <v>磨坊9</v>
      </c>
      <c r="H72" s="146"/>
      <c r="I72" s="133">
        <v>1</v>
      </c>
      <c r="J72" s="150">
        <f>INDEX('#建筑消耗和buff配置索引'!AH:AH,MATCH($F72,'#建筑消耗和buff配置索引'!$M:$M,0))</f>
        <v>1440</v>
      </c>
      <c r="K72" s="150">
        <f>INDEX('#建筑消耗和buff配置索引'!AA:AA,MATCH($F72,'#建筑消耗和buff配置索引'!$M:$M,0))</f>
        <v>0</v>
      </c>
      <c r="L72" s="150">
        <f>INDEX('#建筑消耗和buff配置索引'!AB:AB,MATCH($F72,'#建筑消耗和buff配置索引'!$M:$M,0))</f>
        <v>36000</v>
      </c>
      <c r="M72" s="150">
        <f>INDEX('#建筑消耗和buff配置索引'!AC:AC,MATCH($F72,'#建筑消耗和buff配置索引'!$M:$M,0))</f>
        <v>36000</v>
      </c>
      <c r="N72" s="150">
        <f>INDEX('#建筑消耗和buff配置索引'!AD:AD,MATCH($F72,'#建筑消耗和buff配置索引'!$M:$M,0))</f>
        <v>0</v>
      </c>
      <c r="O72" s="150" t="str">
        <f>IF(INDEX('#建筑消耗和buff配置索引'!T:T,MATCH($F72,'#建筑消耗和buff配置索引'!$M:$M,0))=0,"",INDEX('#建筑消耗和buff配置索引'!T:T,MATCH($F72,'#建筑消耗和buff配置索引'!$M:$M,0)))</f>
        <v/>
      </c>
      <c r="P72" s="133" t="str">
        <f>IF(INDEX('#建筑消耗和buff配置索引'!U:U,MATCH($F72,'#建筑消耗和buff配置索引'!$M:$M,0))=0,"",INDEX('#建筑消耗和buff配置索引'!U:U,MATCH($F72,'#建筑消耗和buff配置索引'!$M:$M,0)))</f>
        <v/>
      </c>
      <c r="Q72" s="133" t="str">
        <f>IF(INDEX('#建筑消耗和buff配置索引'!K:K,MATCH($F72,'#建筑消耗和buff配置索引'!$M:$M,0))=0,"",INDEX('#建筑消耗和buff配置索引'!K:K,MATCH($F72,'#建筑消耗和buff配置索引'!$M:$M,0)))</f>
        <v>201</v>
      </c>
      <c r="R72" s="133" t="str">
        <f>IF(INDEX('#建筑消耗和buff配置索引'!L:L,MATCH($F72,'#建筑消耗和buff配置索引'!$M:$M,0))=0,"",INDEX('#建筑消耗和buff配置索引'!L:L,MATCH($F72,'#建筑消耗和buff配置索引'!$M:$M,0)))</f>
        <v>9</v>
      </c>
      <c r="S72" s="133">
        <f>IF(INDEX('#建筑消耗和buff配置索引'!C:C,MATCH(F72,'#建筑消耗和buff配置索引'!M:M,0))=0,1,INDEX('#建筑消耗和buff配置索引'!C:C,MATCH(F72,'#建筑消耗和buff配置索引'!M:M,0)))</f>
        <v>1</v>
      </c>
      <c r="T72" s="133">
        <v>0</v>
      </c>
      <c r="U72" s="133">
        <v>0</v>
      </c>
      <c r="V72" s="133" t="str">
        <f>IF(E72=1,IF(INDEX('#建筑消耗和buff配置索引'!BY:BY,MATCH(D72,'#建筑消耗和buff配置索引'!A:A,0))=0,"",INDEX('#建筑消耗和buff配置索引'!BY:BY,MATCH(D72,'#建筑消耗和buff配置索引'!A:A,0))),"")</f>
        <v/>
      </c>
      <c r="W72" s="133" t="str">
        <f>IF(E72=1,IF(INDEX('#建筑消耗和buff配置索引'!BZ:BZ,MATCH(D72,'#建筑消耗和buff配置索引'!A:A,0))=0,"",INDEX('#建筑消耗和buff配置索引'!BZ:BZ,MATCH(D72,'#建筑消耗和buff配置索引'!A:A,0))),"")</f>
        <v/>
      </c>
      <c r="AA72" s="133">
        <f>INDEX('#建筑消耗和buff配置索引'!AO:AO,MATCH($F72,'#建筑消耗和buff配置索引'!$M:$M,0))</f>
        <v>344</v>
      </c>
      <c r="AB72" s="133">
        <f>IF(INDEX('#建筑消耗和buff配置索引'!AR:AR,MATCH($F72,'#建筑消耗和buff配置索引'!$M:$M,0))=0,"",INDEX('#建筑消耗和buff配置索引'!AR:AR,MATCH($F72,'#建筑消耗和buff配置索引'!$M:$M,0)))</f>
        <v>1015</v>
      </c>
      <c r="AC72" s="133">
        <f>IF(AB72="","",INDEX('#建筑消耗和buff配置索引'!AS:AS,MATCH($F72,'#建筑消耗和buff配置索引'!$M:$M,0)))</f>
        <v>2750</v>
      </c>
      <c r="AF72" s="133">
        <f>IF(INDEX('#建筑消耗和buff配置索引'!AW:AW,MATCH($F72,'#建筑消耗和buff配置索引'!$M:$M,0))=0,"",INDEX('#建筑消耗和buff配置索引'!AW:AW,MATCH($F72,'#建筑消耗和buff配置索引'!$M:$M,0)))</f>
        <v>1206</v>
      </c>
      <c r="AG72" s="133">
        <f>IF(AF72="","",INDEX('#建筑消耗和buff配置索引'!AX:AX,MATCH($F72,'#建筑消耗和buff配置索引'!$M:$M,0)))</f>
        <v>2</v>
      </c>
      <c r="AJ72" s="133" t="str">
        <f>IF(INDEX('#建筑消耗和buff配置索引'!BB:BB,MATCH($F72,'#建筑消耗和buff配置索引'!$M:$M,0))=0,"",INDEX('#建筑消耗和buff配置索引'!BB:BB,MATCH($F72,'#建筑消耗和buff配置索引'!$M:$M,0)))</f>
        <v/>
      </c>
      <c r="AK72" s="133" t="str">
        <f>IF(AJ72="","",INDEX('#建筑消耗和buff配置索引'!BC:BC,MATCH($F72,'#建筑消耗和buff配置索引'!$M:$M,0)))</f>
        <v/>
      </c>
      <c r="AN72" s="133" t="str">
        <f>IF(INDEX('#建筑消耗和buff配置索引'!BG:BG,MATCH($F72,'#建筑消耗和buff配置索引'!$M:$M,0))=0,"",INDEX('#建筑消耗和buff配置索引'!BG:BG,MATCH($F72,'#建筑消耗和buff配置索引'!$M:$M,0)))</f>
        <v/>
      </c>
      <c r="AO72" s="133" t="str">
        <f>IF(AN72="","",INDEX('#建筑消耗和buff配置索引'!BH:BH,MATCH($F72,'#建筑消耗和buff配置索引'!$M:$M,0)))</f>
        <v/>
      </c>
      <c r="AR72" s="133" t="str">
        <f>IF(INDEX('#建筑消耗和buff配置索引'!BK:BK,MATCH($F72,'#建筑消耗和buff配置索引'!$M:$M,0))=0,"",INDEX('#建筑消耗和buff配置索引'!BK:BK,MATCH($F72,'#建筑消耗和buff配置索引'!$M:$M,0)))</f>
        <v/>
      </c>
      <c r="AS72" s="133" t="str">
        <f>IF(AR72="","",INDEX('#建筑消耗和buff配置索引'!BL:BL,MATCH($F72,'#建筑消耗和buff配置索引'!$M:$M,0)))</f>
        <v/>
      </c>
      <c r="AV72" s="133" t="str">
        <f>IF(INDEX('#建筑消耗和buff配置索引'!BO:BO,MATCH($F72,'#建筑消耗和buff配置索引'!$M:$M,0))=0,"",INDEX('#建筑消耗和buff配置索引'!BO:BO,MATCH($F72,'#建筑消耗和buff配置索引'!$M:$M,0)))</f>
        <v/>
      </c>
      <c r="AW72" s="133" t="str">
        <f>IF(AV72="","",INDEX('#建筑消耗和buff配置索引'!BP:BP,MATCH($F72,'#建筑消耗和buff配置索引'!$M:$M,0)))</f>
        <v/>
      </c>
      <c r="AZ72" s="133" t="str">
        <f>IF(INDEX('#建筑消耗和buff配置索引'!BS:BS,MATCH($F72,'#建筑消耗和buff配置索引'!$M:$M,0))=0,"",INDEX('#建筑消耗和buff配置索引'!BS:BS,MATCH($F72,'#建筑消耗和buff配置索引'!$M:$M,0)))</f>
        <v/>
      </c>
      <c r="BA72" s="133" t="str">
        <f>IF(AZ72="","",INDEX('#建筑消耗和buff配置索引'!BT:BT,MATCH($F72,'#建筑消耗和buff配置索引'!$M:$M,0)))</f>
        <v/>
      </c>
      <c r="BD72" s="133" t="str">
        <f>IF(INDEX('#建筑消耗和buff配置索引'!BW:BW,MATCH($F72,'#建筑消耗和buff配置索引'!$M:$M,0))=0,"",INDEX('#建筑消耗和buff配置索引'!BW:BW,MATCH($F72,'#建筑消耗和buff配置索引'!$M:$M,0)))</f>
        <v/>
      </c>
      <c r="BE72" s="133" t="str">
        <f>IF(BD72="","",INDEX('#建筑消耗和buff配置索引'!BX:BX,MATCH($F72,'#建筑消耗和buff配置索引'!$M:$M,0)))</f>
        <v/>
      </c>
      <c r="BI72" s="133">
        <v>5</v>
      </c>
      <c r="BJ72" s="133">
        <v>299</v>
      </c>
      <c r="BO72" s="133">
        <v>3</v>
      </c>
      <c r="BP72" s="133" t="s">
        <v>1360</v>
      </c>
      <c r="BQ72" s="133">
        <v>10003604</v>
      </c>
      <c r="BR72" s="133">
        <v>300</v>
      </c>
    </row>
    <row r="73" spans="1:70" s="133" customFormat="1">
      <c r="A73" s="133">
        <v>2030010</v>
      </c>
      <c r="B73" s="133">
        <v>70</v>
      </c>
      <c r="C73" s="133">
        <v>203</v>
      </c>
      <c r="D73" s="133" t="s">
        <v>202</v>
      </c>
      <c r="E73" s="133">
        <v>10</v>
      </c>
      <c r="F73" s="133" t="str">
        <f t="shared" si="0"/>
        <v>磨坊10</v>
      </c>
      <c r="H73" s="146"/>
      <c r="I73" s="133">
        <v>1</v>
      </c>
      <c r="J73" s="150">
        <f>INDEX('#建筑消耗和buff配置索引'!AH:AH,MATCH($F73,'#建筑消耗和buff配置索引'!$M:$M,0))</f>
        <v>2160</v>
      </c>
      <c r="K73" s="150">
        <f>INDEX('#建筑消耗和buff配置索引'!AA:AA,MATCH($F73,'#建筑消耗和buff配置索引'!$M:$M,0))</f>
        <v>0</v>
      </c>
      <c r="L73" s="150">
        <f>INDEX('#建筑消耗和buff配置索引'!AB:AB,MATCH($F73,'#建筑消耗和buff配置索引'!$M:$M,0))</f>
        <v>38000</v>
      </c>
      <c r="M73" s="150">
        <f>INDEX('#建筑消耗和buff配置索引'!AC:AC,MATCH($F73,'#建筑消耗和buff配置索引'!$M:$M,0))</f>
        <v>38000</v>
      </c>
      <c r="N73" s="150">
        <f>INDEX('#建筑消耗和buff配置索引'!AD:AD,MATCH($F73,'#建筑消耗和buff配置索引'!$M:$M,0))</f>
        <v>38000</v>
      </c>
      <c r="O73" s="150" t="str">
        <f>IF(INDEX('#建筑消耗和buff配置索引'!T:T,MATCH($F73,'#建筑消耗和buff配置索引'!$M:$M,0))=0,"",INDEX('#建筑消耗和buff配置索引'!T:T,MATCH($F73,'#建筑消耗和buff配置索引'!$M:$M,0)))</f>
        <v/>
      </c>
      <c r="P73" s="133" t="str">
        <f>IF(INDEX('#建筑消耗和buff配置索引'!U:U,MATCH($F73,'#建筑消耗和buff配置索引'!$M:$M,0))=0,"",INDEX('#建筑消耗和buff配置索引'!U:U,MATCH($F73,'#建筑消耗和buff配置索引'!$M:$M,0)))</f>
        <v/>
      </c>
      <c r="Q73" s="133" t="str">
        <f>IF(INDEX('#建筑消耗和buff配置索引'!K:K,MATCH($F73,'#建筑消耗和buff配置索引'!$M:$M,0))=0,"",INDEX('#建筑消耗和buff配置索引'!K:K,MATCH($F73,'#建筑消耗和buff配置索引'!$M:$M,0)))</f>
        <v>201</v>
      </c>
      <c r="R73" s="133" t="str">
        <f>IF(INDEX('#建筑消耗和buff配置索引'!L:L,MATCH($F73,'#建筑消耗和buff配置索引'!$M:$M,0))=0,"",INDEX('#建筑消耗和buff配置索引'!L:L,MATCH($F73,'#建筑消耗和buff配置索引'!$M:$M,0)))</f>
        <v>10</v>
      </c>
      <c r="S73" s="133">
        <f>IF(INDEX('#建筑消耗和buff配置索引'!C:C,MATCH(F73,'#建筑消耗和buff配置索引'!M:M,0))=0,1,INDEX('#建筑消耗和buff配置索引'!C:C,MATCH(F73,'#建筑消耗和buff配置索引'!M:M,0)))</f>
        <v>1</v>
      </c>
      <c r="T73" s="133">
        <v>0</v>
      </c>
      <c r="U73" s="133">
        <v>0</v>
      </c>
      <c r="V73" s="133" t="str">
        <f>IF(E73=1,IF(INDEX('#建筑消耗和buff配置索引'!BY:BY,MATCH(D73,'#建筑消耗和buff配置索引'!A:A,0))=0,"",INDEX('#建筑消耗和buff配置索引'!BY:BY,MATCH(D73,'#建筑消耗和buff配置索引'!A:A,0))),"")</f>
        <v/>
      </c>
      <c r="W73" s="133" t="str">
        <f>IF(E73=1,IF(INDEX('#建筑消耗和buff配置索引'!BZ:BZ,MATCH(D73,'#建筑消耗和buff配置索引'!A:A,0))=0,"",INDEX('#建筑消耗和buff配置索引'!BZ:BZ,MATCH(D73,'#建筑消耗和buff配置索引'!A:A,0))),"")</f>
        <v/>
      </c>
      <c r="AA73" s="133">
        <f>INDEX('#建筑消耗和buff配置索引'!AO:AO,MATCH($F73,'#建筑消耗和buff配置索引'!$M:$M,0))</f>
        <v>575</v>
      </c>
      <c r="AB73" s="133">
        <f>IF(INDEX('#建筑消耗和buff配置索引'!AR:AR,MATCH($F73,'#建筑消耗和buff配置索引'!$M:$M,0))=0,"",INDEX('#建筑消耗和buff配置索引'!AR:AR,MATCH($F73,'#建筑消耗和buff配置索引'!$M:$M,0)))</f>
        <v>1015</v>
      </c>
      <c r="AC73" s="133">
        <f>IF(AB73="","",INDEX('#建筑消耗和buff配置索引'!AS:AS,MATCH($F73,'#建筑消耗和buff配置索引'!$M:$M,0)))</f>
        <v>3100</v>
      </c>
      <c r="AF73" s="133">
        <f>IF(INDEX('#建筑消耗和buff配置索引'!AW:AW,MATCH($F73,'#建筑消耗和buff配置索引'!$M:$M,0))=0,"",INDEX('#建筑消耗和buff配置索引'!AW:AW,MATCH($F73,'#建筑消耗和buff配置索引'!$M:$M,0)))</f>
        <v>1206</v>
      </c>
      <c r="AG73" s="133">
        <f>IF(AF73="","",INDEX('#建筑消耗和buff配置索引'!AX:AX,MATCH($F73,'#建筑消耗和buff配置索引'!$M:$M,0)))</f>
        <v>2</v>
      </c>
      <c r="AJ73" s="133" t="str">
        <f>IF(INDEX('#建筑消耗和buff配置索引'!BB:BB,MATCH($F73,'#建筑消耗和buff配置索引'!$M:$M,0))=0,"",INDEX('#建筑消耗和buff配置索引'!BB:BB,MATCH($F73,'#建筑消耗和buff配置索引'!$M:$M,0)))</f>
        <v/>
      </c>
      <c r="AK73" s="133" t="str">
        <f>IF(AJ73="","",INDEX('#建筑消耗和buff配置索引'!BC:BC,MATCH($F73,'#建筑消耗和buff配置索引'!$M:$M,0)))</f>
        <v/>
      </c>
      <c r="AN73" s="133" t="str">
        <f>IF(INDEX('#建筑消耗和buff配置索引'!BG:BG,MATCH($F73,'#建筑消耗和buff配置索引'!$M:$M,0))=0,"",INDEX('#建筑消耗和buff配置索引'!BG:BG,MATCH($F73,'#建筑消耗和buff配置索引'!$M:$M,0)))</f>
        <v/>
      </c>
      <c r="AO73" s="133" t="str">
        <f>IF(AN73="","",INDEX('#建筑消耗和buff配置索引'!BH:BH,MATCH($F73,'#建筑消耗和buff配置索引'!$M:$M,0)))</f>
        <v/>
      </c>
      <c r="AR73" s="133" t="str">
        <f>IF(INDEX('#建筑消耗和buff配置索引'!BK:BK,MATCH($F73,'#建筑消耗和buff配置索引'!$M:$M,0))=0,"",INDEX('#建筑消耗和buff配置索引'!BK:BK,MATCH($F73,'#建筑消耗和buff配置索引'!$M:$M,0)))</f>
        <v/>
      </c>
      <c r="AS73" s="133" t="str">
        <f>IF(AR73="","",INDEX('#建筑消耗和buff配置索引'!BL:BL,MATCH($F73,'#建筑消耗和buff配置索引'!$M:$M,0)))</f>
        <v/>
      </c>
      <c r="AV73" s="133" t="str">
        <f>IF(INDEX('#建筑消耗和buff配置索引'!BO:BO,MATCH($F73,'#建筑消耗和buff配置索引'!$M:$M,0))=0,"",INDEX('#建筑消耗和buff配置索引'!BO:BO,MATCH($F73,'#建筑消耗和buff配置索引'!$M:$M,0)))</f>
        <v/>
      </c>
      <c r="AW73" s="133" t="str">
        <f>IF(AV73="","",INDEX('#建筑消耗和buff配置索引'!BP:BP,MATCH($F73,'#建筑消耗和buff配置索引'!$M:$M,0)))</f>
        <v/>
      </c>
      <c r="AZ73" s="133" t="str">
        <f>IF(INDEX('#建筑消耗和buff配置索引'!BS:BS,MATCH($F73,'#建筑消耗和buff配置索引'!$M:$M,0))=0,"",INDEX('#建筑消耗和buff配置索引'!BS:BS,MATCH($F73,'#建筑消耗和buff配置索引'!$M:$M,0)))</f>
        <v/>
      </c>
      <c r="BA73" s="133" t="str">
        <f>IF(AZ73="","",INDEX('#建筑消耗和buff配置索引'!BT:BT,MATCH($F73,'#建筑消耗和buff配置索引'!$M:$M,0)))</f>
        <v/>
      </c>
      <c r="BD73" s="133" t="str">
        <f>IF(INDEX('#建筑消耗和buff配置索引'!BW:BW,MATCH($F73,'#建筑消耗和buff配置索引'!$M:$M,0))=0,"",INDEX('#建筑消耗和buff配置索引'!BW:BW,MATCH($F73,'#建筑消耗和buff配置索引'!$M:$M,0)))</f>
        <v/>
      </c>
      <c r="BE73" s="133" t="str">
        <f>IF(BD73="","",INDEX('#建筑消耗和buff配置索引'!BX:BX,MATCH($F73,'#建筑消耗和buff配置索引'!$M:$M,0)))</f>
        <v/>
      </c>
      <c r="BI73" s="133">
        <v>5</v>
      </c>
      <c r="BO73" s="133">
        <v>4</v>
      </c>
      <c r="BP73" s="133" t="s">
        <v>1360</v>
      </c>
      <c r="BQ73" s="133">
        <v>10003604</v>
      </c>
      <c r="BR73" s="133">
        <v>300</v>
      </c>
    </row>
    <row r="74" spans="1:70" s="133" customFormat="1">
      <c r="A74" s="133">
        <v>2030011</v>
      </c>
      <c r="B74" s="133">
        <v>71</v>
      </c>
      <c r="C74" s="133">
        <v>203</v>
      </c>
      <c r="D74" s="133" t="s">
        <v>202</v>
      </c>
      <c r="E74" s="133">
        <v>11</v>
      </c>
      <c r="F74" s="133" t="str">
        <f t="shared" si="0"/>
        <v>磨坊11</v>
      </c>
      <c r="H74" s="146"/>
      <c r="I74" s="133">
        <v>1</v>
      </c>
      <c r="J74" s="150">
        <f>INDEX('#建筑消耗和buff配置索引'!AH:AH,MATCH($F74,'#建筑消耗和buff配置索引'!$M:$M,0))</f>
        <v>3240</v>
      </c>
      <c r="K74" s="150">
        <f>INDEX('#建筑消耗和buff配置索引'!AA:AA,MATCH($F74,'#建筑消耗和buff配置索引'!$M:$M,0))</f>
        <v>0</v>
      </c>
      <c r="L74" s="150">
        <f>INDEX('#建筑消耗和buff配置索引'!AB:AB,MATCH($F74,'#建筑消耗和buff配置索引'!$M:$M,0))</f>
        <v>58000</v>
      </c>
      <c r="M74" s="150">
        <f>INDEX('#建筑消耗和buff配置索引'!AC:AC,MATCH($F74,'#建筑消耗和buff配置索引'!$M:$M,0))</f>
        <v>58000</v>
      </c>
      <c r="N74" s="150">
        <f>INDEX('#建筑消耗和buff配置索引'!AD:AD,MATCH($F74,'#建筑消耗和buff配置索引'!$M:$M,0))</f>
        <v>58000</v>
      </c>
      <c r="O74" s="150" t="str">
        <f>IF(INDEX('#建筑消耗和buff配置索引'!T:T,MATCH($F74,'#建筑消耗和buff配置索引'!$M:$M,0))=0,"",INDEX('#建筑消耗和buff配置索引'!T:T,MATCH($F74,'#建筑消耗和buff配置索引'!$M:$M,0)))</f>
        <v/>
      </c>
      <c r="P74" s="133" t="str">
        <f>IF(INDEX('#建筑消耗和buff配置索引'!U:U,MATCH($F74,'#建筑消耗和buff配置索引'!$M:$M,0))=0,"",INDEX('#建筑消耗和buff配置索引'!U:U,MATCH($F74,'#建筑消耗和buff配置索引'!$M:$M,0)))</f>
        <v/>
      </c>
      <c r="Q74" s="133" t="str">
        <f>IF(INDEX('#建筑消耗和buff配置索引'!K:K,MATCH($F74,'#建筑消耗和buff配置索引'!$M:$M,0))=0,"",INDEX('#建筑消耗和buff配置索引'!K:K,MATCH($F74,'#建筑消耗和buff配置索引'!$M:$M,0)))</f>
        <v>201</v>
      </c>
      <c r="R74" s="133" t="str">
        <f>IF(INDEX('#建筑消耗和buff配置索引'!L:L,MATCH($F74,'#建筑消耗和buff配置索引'!$M:$M,0))=0,"",INDEX('#建筑消耗和buff配置索引'!L:L,MATCH($F74,'#建筑消耗和buff配置索引'!$M:$M,0)))</f>
        <v>11</v>
      </c>
      <c r="S74" s="133">
        <f>IF(INDEX('#建筑消耗和buff配置索引'!C:C,MATCH(F74,'#建筑消耗和buff配置索引'!M:M,0))=0,1,INDEX('#建筑消耗和buff配置索引'!C:C,MATCH(F74,'#建筑消耗和buff配置索引'!M:M,0)))</f>
        <v>1</v>
      </c>
      <c r="T74" s="133">
        <v>0</v>
      </c>
      <c r="U74" s="133">
        <v>0</v>
      </c>
      <c r="V74" s="133" t="str">
        <f>IF(E74=1,IF(INDEX('#建筑消耗和buff配置索引'!BY:BY,MATCH(D74,'#建筑消耗和buff配置索引'!A:A,0))=0,"",INDEX('#建筑消耗和buff配置索引'!BY:BY,MATCH(D74,'#建筑消耗和buff配置索引'!A:A,0))),"")</f>
        <v/>
      </c>
      <c r="W74" s="133" t="str">
        <f>IF(E74=1,IF(INDEX('#建筑消耗和buff配置索引'!BZ:BZ,MATCH(D74,'#建筑消耗和buff配置索引'!A:A,0))=0,"",INDEX('#建筑消耗和buff配置索引'!BZ:BZ,MATCH(D74,'#建筑消耗和buff配置索引'!A:A,0))),"")</f>
        <v/>
      </c>
      <c r="AA74" s="133">
        <f>INDEX('#建筑消耗和buff配置索引'!AO:AO,MATCH($F74,'#建筑消耗和buff配置索引'!$M:$M,0))</f>
        <v>923</v>
      </c>
      <c r="AB74" s="133">
        <f>IF(INDEX('#建筑消耗和buff配置索引'!AR:AR,MATCH($F74,'#建筑消耗和buff配置索引'!$M:$M,0))=0,"",INDEX('#建筑消耗和buff配置索引'!AR:AR,MATCH($F74,'#建筑消耗和buff配置索引'!$M:$M,0)))</f>
        <v>1015</v>
      </c>
      <c r="AC74" s="133">
        <f>IF(AB74="","",INDEX('#建筑消耗和buff配置索引'!AS:AS,MATCH($F74,'#建筑消耗和buff配置索引'!$M:$M,0)))</f>
        <v>3600</v>
      </c>
      <c r="AF74" s="133">
        <f>IF(INDEX('#建筑消耗和buff配置索引'!AW:AW,MATCH($F74,'#建筑消耗和buff配置索引'!$M:$M,0))=0,"",INDEX('#建筑消耗和buff配置索引'!AW:AW,MATCH($F74,'#建筑消耗和buff配置索引'!$M:$M,0)))</f>
        <v>1206</v>
      </c>
      <c r="AG74" s="133">
        <f>IF(AF74="","",INDEX('#建筑消耗和buff配置索引'!AX:AX,MATCH($F74,'#建筑消耗和buff配置索引'!$M:$M,0)))</f>
        <v>2</v>
      </c>
      <c r="AJ74" s="133" t="str">
        <f>IF(INDEX('#建筑消耗和buff配置索引'!BB:BB,MATCH($F74,'#建筑消耗和buff配置索引'!$M:$M,0))=0,"",INDEX('#建筑消耗和buff配置索引'!BB:BB,MATCH($F74,'#建筑消耗和buff配置索引'!$M:$M,0)))</f>
        <v/>
      </c>
      <c r="AK74" s="133" t="str">
        <f>IF(AJ74="","",INDEX('#建筑消耗和buff配置索引'!BC:BC,MATCH($F74,'#建筑消耗和buff配置索引'!$M:$M,0)))</f>
        <v/>
      </c>
      <c r="AN74" s="133" t="str">
        <f>IF(INDEX('#建筑消耗和buff配置索引'!BG:BG,MATCH($F74,'#建筑消耗和buff配置索引'!$M:$M,0))=0,"",INDEX('#建筑消耗和buff配置索引'!BG:BG,MATCH($F74,'#建筑消耗和buff配置索引'!$M:$M,0)))</f>
        <v/>
      </c>
      <c r="AO74" s="133" t="str">
        <f>IF(AN74="","",INDEX('#建筑消耗和buff配置索引'!BH:BH,MATCH($F74,'#建筑消耗和buff配置索引'!$M:$M,0)))</f>
        <v/>
      </c>
      <c r="AR74" s="133" t="str">
        <f>IF(INDEX('#建筑消耗和buff配置索引'!BK:BK,MATCH($F74,'#建筑消耗和buff配置索引'!$M:$M,0))=0,"",INDEX('#建筑消耗和buff配置索引'!BK:BK,MATCH($F74,'#建筑消耗和buff配置索引'!$M:$M,0)))</f>
        <v/>
      </c>
      <c r="AS74" s="133" t="str">
        <f>IF(AR74="","",INDEX('#建筑消耗和buff配置索引'!BL:BL,MATCH($F74,'#建筑消耗和buff配置索引'!$M:$M,0)))</f>
        <v/>
      </c>
      <c r="AV74" s="133" t="str">
        <f>IF(INDEX('#建筑消耗和buff配置索引'!BO:BO,MATCH($F74,'#建筑消耗和buff配置索引'!$M:$M,0))=0,"",INDEX('#建筑消耗和buff配置索引'!BO:BO,MATCH($F74,'#建筑消耗和buff配置索引'!$M:$M,0)))</f>
        <v/>
      </c>
      <c r="AW74" s="133" t="str">
        <f>IF(AV74="","",INDEX('#建筑消耗和buff配置索引'!BP:BP,MATCH($F74,'#建筑消耗和buff配置索引'!$M:$M,0)))</f>
        <v/>
      </c>
      <c r="AZ74" s="133" t="str">
        <f>IF(INDEX('#建筑消耗和buff配置索引'!BS:BS,MATCH($F74,'#建筑消耗和buff配置索引'!$M:$M,0))=0,"",INDEX('#建筑消耗和buff配置索引'!BS:BS,MATCH($F74,'#建筑消耗和buff配置索引'!$M:$M,0)))</f>
        <v/>
      </c>
      <c r="BA74" s="133" t="str">
        <f>IF(AZ74="","",INDEX('#建筑消耗和buff配置索引'!BT:BT,MATCH($F74,'#建筑消耗和buff配置索引'!$M:$M,0)))</f>
        <v/>
      </c>
      <c r="BD74" s="133" t="str">
        <f>IF(INDEX('#建筑消耗和buff配置索引'!BW:BW,MATCH($F74,'#建筑消耗和buff配置索引'!$M:$M,0))=0,"",INDEX('#建筑消耗和buff配置索引'!BW:BW,MATCH($F74,'#建筑消耗和buff配置索引'!$M:$M,0)))</f>
        <v/>
      </c>
      <c r="BE74" s="133" t="str">
        <f>IF(BD74="","",INDEX('#建筑消耗和buff配置索引'!BX:BX,MATCH($F74,'#建筑消耗和buff配置索引'!$M:$M,0)))</f>
        <v/>
      </c>
      <c r="BI74" s="133">
        <v>5</v>
      </c>
      <c r="BO74" s="133">
        <v>4</v>
      </c>
      <c r="BP74" s="133" t="s">
        <v>1360</v>
      </c>
      <c r="BQ74" s="133">
        <v>10003604</v>
      </c>
      <c r="BR74" s="133">
        <v>300</v>
      </c>
    </row>
    <row r="75" spans="1:70" s="133" customFormat="1">
      <c r="A75" s="133">
        <v>2030012</v>
      </c>
      <c r="B75" s="133">
        <v>72</v>
      </c>
      <c r="C75" s="133">
        <v>203</v>
      </c>
      <c r="D75" s="133" t="s">
        <v>202</v>
      </c>
      <c r="E75" s="133">
        <v>12</v>
      </c>
      <c r="F75" s="133" t="str">
        <f t="shared" si="0"/>
        <v>磨坊12</v>
      </c>
      <c r="H75" s="146"/>
      <c r="I75" s="133">
        <v>2</v>
      </c>
      <c r="J75" s="150">
        <f>INDEX('#建筑消耗和buff配置索引'!AH:AH,MATCH($F75,'#建筑消耗和buff配置索引'!$M:$M,0))</f>
        <v>4320</v>
      </c>
      <c r="K75" s="150">
        <f>INDEX('#建筑消耗和buff配置索引'!AA:AA,MATCH($F75,'#建筑消耗和buff配置索引'!$M:$M,0))</f>
        <v>0</v>
      </c>
      <c r="L75" s="150">
        <f>INDEX('#建筑消耗和buff配置索引'!AB:AB,MATCH($F75,'#建筑消耗和buff配置索引'!$M:$M,0))</f>
        <v>84000</v>
      </c>
      <c r="M75" s="150">
        <f>INDEX('#建筑消耗和buff配置索引'!AC:AC,MATCH($F75,'#建筑消耗和buff配置索引'!$M:$M,0))</f>
        <v>84000</v>
      </c>
      <c r="N75" s="150">
        <f>INDEX('#建筑消耗和buff配置索引'!AD:AD,MATCH($F75,'#建筑消耗和buff配置索引'!$M:$M,0))</f>
        <v>84000</v>
      </c>
      <c r="O75" s="150" t="str">
        <f>IF(INDEX('#建筑消耗和buff配置索引'!T:T,MATCH($F75,'#建筑消耗和buff配置索引'!$M:$M,0))=0,"",INDEX('#建筑消耗和buff配置索引'!T:T,MATCH($F75,'#建筑消耗和buff配置索引'!$M:$M,0)))</f>
        <v/>
      </c>
      <c r="P75" s="133" t="str">
        <f>IF(INDEX('#建筑消耗和buff配置索引'!U:U,MATCH($F75,'#建筑消耗和buff配置索引'!$M:$M,0))=0,"",INDEX('#建筑消耗和buff配置索引'!U:U,MATCH($F75,'#建筑消耗和buff配置索引'!$M:$M,0)))</f>
        <v/>
      </c>
      <c r="Q75" s="133" t="str">
        <f>IF(INDEX('#建筑消耗和buff配置索引'!K:K,MATCH($F75,'#建筑消耗和buff配置索引'!$M:$M,0))=0,"",INDEX('#建筑消耗和buff配置索引'!K:K,MATCH($F75,'#建筑消耗和buff配置索引'!$M:$M,0)))</f>
        <v>201</v>
      </c>
      <c r="R75" s="133" t="str">
        <f>IF(INDEX('#建筑消耗和buff配置索引'!L:L,MATCH($F75,'#建筑消耗和buff配置索引'!$M:$M,0))=0,"",INDEX('#建筑消耗和buff配置索引'!L:L,MATCH($F75,'#建筑消耗和buff配置索引'!$M:$M,0)))</f>
        <v>12</v>
      </c>
      <c r="S75" s="133">
        <f>IF(INDEX('#建筑消耗和buff配置索引'!C:C,MATCH(F75,'#建筑消耗和buff配置索引'!M:M,0))=0,1,INDEX('#建筑消耗和buff配置索引'!C:C,MATCH(F75,'#建筑消耗和buff配置索引'!M:M,0)))</f>
        <v>1</v>
      </c>
      <c r="T75" s="133">
        <v>0</v>
      </c>
      <c r="U75" s="133">
        <v>0</v>
      </c>
      <c r="V75" s="133" t="str">
        <f>IF(E75=1,IF(INDEX('#建筑消耗和buff配置索引'!BY:BY,MATCH(D75,'#建筑消耗和buff配置索引'!A:A,0))=0,"",INDEX('#建筑消耗和buff配置索引'!BY:BY,MATCH(D75,'#建筑消耗和buff配置索引'!A:A,0))),"")</f>
        <v/>
      </c>
      <c r="W75" s="133" t="str">
        <f>IF(E75=1,IF(INDEX('#建筑消耗和buff配置索引'!BZ:BZ,MATCH(D75,'#建筑消耗和buff配置索引'!A:A,0))=0,"",INDEX('#建筑消耗和buff配置索引'!BZ:BZ,MATCH(D75,'#建筑消耗和buff配置索引'!A:A,0))),"")</f>
        <v/>
      </c>
      <c r="AA75" s="133">
        <f>INDEX('#建筑消耗和buff配置索引'!AO:AO,MATCH($F75,'#建筑消耗和buff配置索引'!$M:$M,0))</f>
        <v>1424</v>
      </c>
      <c r="AB75" s="133">
        <f>IF(INDEX('#建筑消耗和buff配置索引'!AR:AR,MATCH($F75,'#建筑消耗和buff配置索引'!$M:$M,0))=0,"",INDEX('#建筑消耗和buff配置索引'!AR:AR,MATCH($F75,'#建筑消耗和buff配置索引'!$M:$M,0)))</f>
        <v>1015</v>
      </c>
      <c r="AC75" s="133">
        <f>IF(AB75="","",INDEX('#建筑消耗和buff配置索引'!AS:AS,MATCH($F75,'#建筑消耗和buff配置索引'!$M:$M,0)))</f>
        <v>4100</v>
      </c>
      <c r="AF75" s="133">
        <f>IF(INDEX('#建筑消耗和buff配置索引'!AW:AW,MATCH($F75,'#建筑消耗和buff配置索引'!$M:$M,0))=0,"",INDEX('#建筑消耗和buff配置索引'!AW:AW,MATCH($F75,'#建筑消耗和buff配置索引'!$M:$M,0)))</f>
        <v>1206</v>
      </c>
      <c r="AG75" s="133">
        <f>IF(AF75="","",INDEX('#建筑消耗和buff配置索引'!AX:AX,MATCH($F75,'#建筑消耗和buff配置索引'!$M:$M,0)))</f>
        <v>2</v>
      </c>
      <c r="AJ75" s="133" t="str">
        <f>IF(INDEX('#建筑消耗和buff配置索引'!BB:BB,MATCH($F75,'#建筑消耗和buff配置索引'!$M:$M,0))=0,"",INDEX('#建筑消耗和buff配置索引'!BB:BB,MATCH($F75,'#建筑消耗和buff配置索引'!$M:$M,0)))</f>
        <v/>
      </c>
      <c r="AK75" s="133" t="str">
        <f>IF(AJ75="","",INDEX('#建筑消耗和buff配置索引'!BC:BC,MATCH($F75,'#建筑消耗和buff配置索引'!$M:$M,0)))</f>
        <v/>
      </c>
      <c r="AN75" s="133" t="str">
        <f>IF(INDEX('#建筑消耗和buff配置索引'!BG:BG,MATCH($F75,'#建筑消耗和buff配置索引'!$M:$M,0))=0,"",INDEX('#建筑消耗和buff配置索引'!BG:BG,MATCH($F75,'#建筑消耗和buff配置索引'!$M:$M,0)))</f>
        <v/>
      </c>
      <c r="AO75" s="133" t="str">
        <f>IF(AN75="","",INDEX('#建筑消耗和buff配置索引'!BH:BH,MATCH($F75,'#建筑消耗和buff配置索引'!$M:$M,0)))</f>
        <v/>
      </c>
      <c r="AR75" s="133" t="str">
        <f>IF(INDEX('#建筑消耗和buff配置索引'!BK:BK,MATCH($F75,'#建筑消耗和buff配置索引'!$M:$M,0))=0,"",INDEX('#建筑消耗和buff配置索引'!BK:BK,MATCH($F75,'#建筑消耗和buff配置索引'!$M:$M,0)))</f>
        <v/>
      </c>
      <c r="AS75" s="133" t="str">
        <f>IF(AR75="","",INDEX('#建筑消耗和buff配置索引'!BL:BL,MATCH($F75,'#建筑消耗和buff配置索引'!$M:$M,0)))</f>
        <v/>
      </c>
      <c r="AV75" s="133" t="str">
        <f>IF(INDEX('#建筑消耗和buff配置索引'!BO:BO,MATCH($F75,'#建筑消耗和buff配置索引'!$M:$M,0))=0,"",INDEX('#建筑消耗和buff配置索引'!BO:BO,MATCH($F75,'#建筑消耗和buff配置索引'!$M:$M,0)))</f>
        <v/>
      </c>
      <c r="AW75" s="133" t="str">
        <f>IF(AV75="","",INDEX('#建筑消耗和buff配置索引'!BP:BP,MATCH($F75,'#建筑消耗和buff配置索引'!$M:$M,0)))</f>
        <v/>
      </c>
      <c r="AZ75" s="133" t="str">
        <f>IF(INDEX('#建筑消耗和buff配置索引'!BS:BS,MATCH($F75,'#建筑消耗和buff配置索引'!$M:$M,0))=0,"",INDEX('#建筑消耗和buff配置索引'!BS:BS,MATCH($F75,'#建筑消耗和buff配置索引'!$M:$M,0)))</f>
        <v/>
      </c>
      <c r="BA75" s="133" t="str">
        <f>IF(AZ75="","",INDEX('#建筑消耗和buff配置索引'!BT:BT,MATCH($F75,'#建筑消耗和buff配置索引'!$M:$M,0)))</f>
        <v/>
      </c>
      <c r="BD75" s="133" t="str">
        <f>IF(INDEX('#建筑消耗和buff配置索引'!BW:BW,MATCH($F75,'#建筑消耗和buff配置索引'!$M:$M,0))=0,"",INDEX('#建筑消耗和buff配置索引'!BW:BW,MATCH($F75,'#建筑消耗和buff配置索引'!$M:$M,0)))</f>
        <v/>
      </c>
      <c r="BE75" s="133" t="str">
        <f>IF(BD75="","",INDEX('#建筑消耗和buff配置索引'!BX:BX,MATCH($F75,'#建筑消耗和buff配置索引'!$M:$M,0)))</f>
        <v/>
      </c>
      <c r="BI75" s="133">
        <v>5</v>
      </c>
      <c r="BO75" s="133">
        <v>4</v>
      </c>
      <c r="BP75" s="133" t="s">
        <v>1360</v>
      </c>
      <c r="BQ75" s="133">
        <v>10003604</v>
      </c>
      <c r="BR75" s="133">
        <v>300</v>
      </c>
    </row>
    <row r="76" spans="1:70" s="133" customFormat="1">
      <c r="A76" s="133">
        <v>2030013</v>
      </c>
      <c r="B76" s="133">
        <v>73</v>
      </c>
      <c r="C76" s="133">
        <v>203</v>
      </c>
      <c r="D76" s="133" t="s">
        <v>202</v>
      </c>
      <c r="E76" s="133">
        <v>13</v>
      </c>
      <c r="F76" s="133" t="str">
        <f t="shared" si="0"/>
        <v>磨坊13</v>
      </c>
      <c r="H76" s="146"/>
      <c r="I76" s="133">
        <v>2</v>
      </c>
      <c r="J76" s="150">
        <f>INDEX('#建筑消耗和buff配置索引'!AH:AH,MATCH($F76,'#建筑消耗和buff配置索引'!$M:$M,0))</f>
        <v>5760</v>
      </c>
      <c r="K76" s="150">
        <f>INDEX('#建筑消耗和buff配置索引'!AA:AA,MATCH($F76,'#建筑消耗和buff配置索引'!$M:$M,0))</f>
        <v>0</v>
      </c>
      <c r="L76" s="150">
        <f>INDEX('#建筑消耗和buff配置索引'!AB:AB,MATCH($F76,'#建筑消耗和buff配置索引'!$M:$M,0))</f>
        <v>110000</v>
      </c>
      <c r="M76" s="150">
        <f>INDEX('#建筑消耗和buff配置索引'!AC:AC,MATCH($F76,'#建筑消耗和buff配置索引'!$M:$M,0))</f>
        <v>110000</v>
      </c>
      <c r="N76" s="150">
        <f>INDEX('#建筑消耗和buff配置索引'!AD:AD,MATCH($F76,'#建筑消耗和buff配置索引'!$M:$M,0))</f>
        <v>110000</v>
      </c>
      <c r="O76" s="150" t="str">
        <f>IF(INDEX('#建筑消耗和buff配置索引'!T:T,MATCH($F76,'#建筑消耗和buff配置索引'!$M:$M,0))=0,"",INDEX('#建筑消耗和buff配置索引'!T:T,MATCH($F76,'#建筑消耗和buff配置索引'!$M:$M,0)))</f>
        <v/>
      </c>
      <c r="P76" s="133" t="str">
        <f>IF(INDEX('#建筑消耗和buff配置索引'!U:U,MATCH($F76,'#建筑消耗和buff配置索引'!$M:$M,0))=0,"",INDEX('#建筑消耗和buff配置索引'!U:U,MATCH($F76,'#建筑消耗和buff配置索引'!$M:$M,0)))</f>
        <v/>
      </c>
      <c r="Q76" s="133" t="str">
        <f>IF(INDEX('#建筑消耗和buff配置索引'!K:K,MATCH($F76,'#建筑消耗和buff配置索引'!$M:$M,0))=0,"",INDEX('#建筑消耗和buff配置索引'!K:K,MATCH($F76,'#建筑消耗和buff配置索引'!$M:$M,0)))</f>
        <v>201</v>
      </c>
      <c r="R76" s="133" t="str">
        <f>IF(INDEX('#建筑消耗和buff配置索引'!L:L,MATCH($F76,'#建筑消耗和buff配置索引'!$M:$M,0))=0,"",INDEX('#建筑消耗和buff配置索引'!L:L,MATCH($F76,'#建筑消耗和buff配置索引'!$M:$M,0)))</f>
        <v>13</v>
      </c>
      <c r="S76" s="133">
        <f>IF(INDEX('#建筑消耗和buff配置索引'!C:C,MATCH(F76,'#建筑消耗和buff配置索引'!M:M,0))=0,1,INDEX('#建筑消耗和buff配置索引'!C:C,MATCH(F76,'#建筑消耗和buff配置索引'!M:M,0)))</f>
        <v>1</v>
      </c>
      <c r="T76" s="133">
        <v>0</v>
      </c>
      <c r="U76" s="133">
        <v>0</v>
      </c>
      <c r="V76" s="133" t="str">
        <f>IF(E76=1,IF(INDEX('#建筑消耗和buff配置索引'!BY:BY,MATCH(D76,'#建筑消耗和buff配置索引'!A:A,0))=0,"",INDEX('#建筑消耗和buff配置索引'!BY:BY,MATCH(D76,'#建筑消耗和buff配置索引'!A:A,0))),"")</f>
        <v/>
      </c>
      <c r="W76" s="133" t="str">
        <f>IF(E76=1,IF(INDEX('#建筑消耗和buff配置索引'!BZ:BZ,MATCH(D76,'#建筑消耗和buff配置索引'!A:A,0))=0,"",INDEX('#建筑消耗和buff配置索引'!BZ:BZ,MATCH(D76,'#建筑消耗和buff配置索引'!A:A,0))),"")</f>
        <v/>
      </c>
      <c r="AA76" s="133">
        <f>INDEX('#建筑消耗和buff配置索引'!AO:AO,MATCH($F76,'#建筑消耗和buff配置索引'!$M:$M,0))</f>
        <v>2111</v>
      </c>
      <c r="AB76" s="133">
        <f>IF(INDEX('#建筑消耗和buff配置索引'!AR:AR,MATCH($F76,'#建筑消耗和buff配置索引'!$M:$M,0))=0,"",INDEX('#建筑消耗和buff配置索引'!AR:AR,MATCH($F76,'#建筑消耗和buff配置索引'!$M:$M,0)))</f>
        <v>1015</v>
      </c>
      <c r="AC76" s="133">
        <f>IF(AB76="","",INDEX('#建筑消耗和buff配置索引'!AS:AS,MATCH($F76,'#建筑消耗和buff配置索引'!$M:$M,0)))</f>
        <v>4600</v>
      </c>
      <c r="AF76" s="133">
        <f>IF(INDEX('#建筑消耗和buff配置索引'!AW:AW,MATCH($F76,'#建筑消耗和buff配置索引'!$M:$M,0))=0,"",INDEX('#建筑消耗和buff配置索引'!AW:AW,MATCH($F76,'#建筑消耗和buff配置索引'!$M:$M,0)))</f>
        <v>1206</v>
      </c>
      <c r="AG76" s="133">
        <f>IF(AF76="","",INDEX('#建筑消耗和buff配置索引'!AX:AX,MATCH($F76,'#建筑消耗和buff配置索引'!$M:$M,0)))</f>
        <v>2</v>
      </c>
      <c r="AJ76" s="133" t="str">
        <f>IF(INDEX('#建筑消耗和buff配置索引'!BB:BB,MATCH($F76,'#建筑消耗和buff配置索引'!$M:$M,0))=0,"",INDEX('#建筑消耗和buff配置索引'!BB:BB,MATCH($F76,'#建筑消耗和buff配置索引'!$M:$M,0)))</f>
        <v/>
      </c>
      <c r="AK76" s="133" t="str">
        <f>IF(AJ76="","",INDEX('#建筑消耗和buff配置索引'!BC:BC,MATCH($F76,'#建筑消耗和buff配置索引'!$M:$M,0)))</f>
        <v/>
      </c>
      <c r="AN76" s="133" t="str">
        <f>IF(INDEX('#建筑消耗和buff配置索引'!BG:BG,MATCH($F76,'#建筑消耗和buff配置索引'!$M:$M,0))=0,"",INDEX('#建筑消耗和buff配置索引'!BG:BG,MATCH($F76,'#建筑消耗和buff配置索引'!$M:$M,0)))</f>
        <v/>
      </c>
      <c r="AO76" s="133" t="str">
        <f>IF(AN76="","",INDEX('#建筑消耗和buff配置索引'!BH:BH,MATCH($F76,'#建筑消耗和buff配置索引'!$M:$M,0)))</f>
        <v/>
      </c>
      <c r="AR76" s="133" t="str">
        <f>IF(INDEX('#建筑消耗和buff配置索引'!BK:BK,MATCH($F76,'#建筑消耗和buff配置索引'!$M:$M,0))=0,"",INDEX('#建筑消耗和buff配置索引'!BK:BK,MATCH($F76,'#建筑消耗和buff配置索引'!$M:$M,0)))</f>
        <v/>
      </c>
      <c r="AS76" s="133" t="str">
        <f>IF(AR76="","",INDEX('#建筑消耗和buff配置索引'!BL:BL,MATCH($F76,'#建筑消耗和buff配置索引'!$M:$M,0)))</f>
        <v/>
      </c>
      <c r="AV76" s="133" t="str">
        <f>IF(INDEX('#建筑消耗和buff配置索引'!BO:BO,MATCH($F76,'#建筑消耗和buff配置索引'!$M:$M,0))=0,"",INDEX('#建筑消耗和buff配置索引'!BO:BO,MATCH($F76,'#建筑消耗和buff配置索引'!$M:$M,0)))</f>
        <v/>
      </c>
      <c r="AW76" s="133" t="str">
        <f>IF(AV76="","",INDEX('#建筑消耗和buff配置索引'!BP:BP,MATCH($F76,'#建筑消耗和buff配置索引'!$M:$M,0)))</f>
        <v/>
      </c>
      <c r="AZ76" s="133" t="str">
        <f>IF(INDEX('#建筑消耗和buff配置索引'!BS:BS,MATCH($F76,'#建筑消耗和buff配置索引'!$M:$M,0))=0,"",INDEX('#建筑消耗和buff配置索引'!BS:BS,MATCH($F76,'#建筑消耗和buff配置索引'!$M:$M,0)))</f>
        <v/>
      </c>
      <c r="BA76" s="133" t="str">
        <f>IF(AZ76="","",INDEX('#建筑消耗和buff配置索引'!BT:BT,MATCH($F76,'#建筑消耗和buff配置索引'!$M:$M,0)))</f>
        <v/>
      </c>
      <c r="BD76" s="133" t="str">
        <f>IF(INDEX('#建筑消耗和buff配置索引'!BW:BW,MATCH($F76,'#建筑消耗和buff配置索引'!$M:$M,0))=0,"",INDEX('#建筑消耗和buff配置索引'!BW:BW,MATCH($F76,'#建筑消耗和buff配置索引'!$M:$M,0)))</f>
        <v/>
      </c>
      <c r="BE76" s="133" t="str">
        <f>IF(BD76="","",INDEX('#建筑消耗和buff配置索引'!BX:BX,MATCH($F76,'#建筑消耗和buff配置索引'!$M:$M,0)))</f>
        <v/>
      </c>
      <c r="BI76" s="133">
        <v>5</v>
      </c>
      <c r="BO76" s="133">
        <v>4</v>
      </c>
      <c r="BP76" s="133" t="s">
        <v>1360</v>
      </c>
      <c r="BQ76" s="133">
        <v>10003604</v>
      </c>
      <c r="BR76" s="133">
        <v>300</v>
      </c>
    </row>
    <row r="77" spans="1:70" s="133" customFormat="1">
      <c r="A77" s="133">
        <v>2030014</v>
      </c>
      <c r="B77" s="133">
        <v>74</v>
      </c>
      <c r="C77" s="133">
        <v>203</v>
      </c>
      <c r="D77" s="133" t="s">
        <v>202</v>
      </c>
      <c r="E77" s="133">
        <v>14</v>
      </c>
      <c r="F77" s="133" t="str">
        <f t="shared" si="0"/>
        <v>磨坊14</v>
      </c>
      <c r="H77" s="146"/>
      <c r="I77" s="133">
        <v>2</v>
      </c>
      <c r="J77" s="150">
        <f>INDEX('#建筑消耗和buff配置索引'!AH:AH,MATCH($F77,'#建筑消耗和buff配置索引'!$M:$M,0))</f>
        <v>7200</v>
      </c>
      <c r="K77" s="150">
        <f>INDEX('#建筑消耗和buff配置索引'!AA:AA,MATCH($F77,'#建筑消耗和buff配置索引'!$M:$M,0))</f>
        <v>0</v>
      </c>
      <c r="L77" s="150">
        <f>INDEX('#建筑消耗和buff配置索引'!AB:AB,MATCH($F77,'#建筑消耗和buff配置索引'!$M:$M,0))</f>
        <v>150000</v>
      </c>
      <c r="M77" s="150">
        <f>INDEX('#建筑消耗和buff配置索引'!AC:AC,MATCH($F77,'#建筑消耗和buff配置索引'!$M:$M,0))</f>
        <v>150000</v>
      </c>
      <c r="N77" s="150">
        <f>INDEX('#建筑消耗和buff配置索引'!AD:AD,MATCH($F77,'#建筑消耗和buff配置索引'!$M:$M,0))</f>
        <v>150000</v>
      </c>
      <c r="O77" s="150" t="str">
        <f>IF(INDEX('#建筑消耗和buff配置索引'!T:T,MATCH($F77,'#建筑消耗和buff配置索引'!$M:$M,0))=0,"",INDEX('#建筑消耗和buff配置索引'!T:T,MATCH($F77,'#建筑消耗和buff配置索引'!$M:$M,0)))</f>
        <v/>
      </c>
      <c r="P77" s="133" t="str">
        <f>IF(INDEX('#建筑消耗和buff配置索引'!U:U,MATCH($F77,'#建筑消耗和buff配置索引'!$M:$M,0))=0,"",INDEX('#建筑消耗和buff配置索引'!U:U,MATCH($F77,'#建筑消耗和buff配置索引'!$M:$M,0)))</f>
        <v/>
      </c>
      <c r="Q77" s="133" t="str">
        <f>IF(INDEX('#建筑消耗和buff配置索引'!K:K,MATCH($F77,'#建筑消耗和buff配置索引'!$M:$M,0))=0,"",INDEX('#建筑消耗和buff配置索引'!K:K,MATCH($F77,'#建筑消耗和buff配置索引'!$M:$M,0)))</f>
        <v>201</v>
      </c>
      <c r="R77" s="133" t="str">
        <f>IF(INDEX('#建筑消耗和buff配置索引'!L:L,MATCH($F77,'#建筑消耗和buff配置索引'!$M:$M,0))=0,"",INDEX('#建筑消耗和buff配置索引'!L:L,MATCH($F77,'#建筑消耗和buff配置索引'!$M:$M,0)))</f>
        <v>14</v>
      </c>
      <c r="S77" s="133">
        <f>IF(INDEX('#建筑消耗和buff配置索引'!C:C,MATCH(F77,'#建筑消耗和buff配置索引'!M:M,0))=0,1,INDEX('#建筑消耗和buff配置索引'!C:C,MATCH(F77,'#建筑消耗和buff配置索引'!M:M,0)))</f>
        <v>1</v>
      </c>
      <c r="T77" s="133">
        <v>0</v>
      </c>
      <c r="U77" s="133">
        <v>0</v>
      </c>
      <c r="V77" s="133" t="str">
        <f>IF(E77=1,IF(INDEX('#建筑消耗和buff配置索引'!BY:BY,MATCH(D77,'#建筑消耗和buff配置索引'!A:A,0))=0,"",INDEX('#建筑消耗和buff配置索引'!BY:BY,MATCH(D77,'#建筑消耗和buff配置索引'!A:A,0))),"")</f>
        <v/>
      </c>
      <c r="W77" s="133" t="str">
        <f>IF(E77=1,IF(INDEX('#建筑消耗和buff配置索引'!BZ:BZ,MATCH(D77,'#建筑消耗和buff配置索引'!A:A,0))=0,"",INDEX('#建筑消耗和buff配置索引'!BZ:BZ,MATCH(D77,'#建筑消耗和buff配置索引'!A:A,0))),"")</f>
        <v/>
      </c>
      <c r="AA77" s="133">
        <f>INDEX('#建筑消耗和buff配置索引'!AO:AO,MATCH($F77,'#建筑消耗和buff配置索引'!$M:$M,0))</f>
        <v>3003</v>
      </c>
      <c r="AB77" s="133">
        <f>IF(INDEX('#建筑消耗和buff配置索引'!AR:AR,MATCH($F77,'#建筑消耗和buff配置索引'!$M:$M,0))=0,"",INDEX('#建筑消耗和buff配置索引'!AR:AR,MATCH($F77,'#建筑消耗和buff配置索引'!$M:$M,0)))</f>
        <v>1015</v>
      </c>
      <c r="AC77" s="133">
        <f>IF(AB77="","",INDEX('#建筑消耗和buff配置索引'!AS:AS,MATCH($F77,'#建筑消耗和buff配置索引'!$M:$M,0)))</f>
        <v>5100</v>
      </c>
      <c r="AF77" s="133">
        <f>IF(INDEX('#建筑消耗和buff配置索引'!AW:AW,MATCH($F77,'#建筑消耗和buff配置索引'!$M:$M,0))=0,"",INDEX('#建筑消耗和buff配置索引'!AW:AW,MATCH($F77,'#建筑消耗和buff配置索引'!$M:$M,0)))</f>
        <v>1206</v>
      </c>
      <c r="AG77" s="133">
        <f>IF(AF77="","",INDEX('#建筑消耗和buff配置索引'!AX:AX,MATCH($F77,'#建筑消耗和buff配置索引'!$M:$M,0)))</f>
        <v>2</v>
      </c>
      <c r="AJ77" s="133" t="str">
        <f>IF(INDEX('#建筑消耗和buff配置索引'!BB:BB,MATCH($F77,'#建筑消耗和buff配置索引'!$M:$M,0))=0,"",INDEX('#建筑消耗和buff配置索引'!BB:BB,MATCH($F77,'#建筑消耗和buff配置索引'!$M:$M,0)))</f>
        <v/>
      </c>
      <c r="AK77" s="133" t="str">
        <f>IF(AJ77="","",INDEX('#建筑消耗和buff配置索引'!BC:BC,MATCH($F77,'#建筑消耗和buff配置索引'!$M:$M,0)))</f>
        <v/>
      </c>
      <c r="AN77" s="133" t="str">
        <f>IF(INDEX('#建筑消耗和buff配置索引'!BG:BG,MATCH($F77,'#建筑消耗和buff配置索引'!$M:$M,0))=0,"",INDEX('#建筑消耗和buff配置索引'!BG:BG,MATCH($F77,'#建筑消耗和buff配置索引'!$M:$M,0)))</f>
        <v/>
      </c>
      <c r="AO77" s="133" t="str">
        <f>IF(AN77="","",INDEX('#建筑消耗和buff配置索引'!BH:BH,MATCH($F77,'#建筑消耗和buff配置索引'!$M:$M,0)))</f>
        <v/>
      </c>
      <c r="AR77" s="133" t="str">
        <f>IF(INDEX('#建筑消耗和buff配置索引'!BK:BK,MATCH($F77,'#建筑消耗和buff配置索引'!$M:$M,0))=0,"",INDEX('#建筑消耗和buff配置索引'!BK:BK,MATCH($F77,'#建筑消耗和buff配置索引'!$M:$M,0)))</f>
        <v/>
      </c>
      <c r="AS77" s="133" t="str">
        <f>IF(AR77="","",INDEX('#建筑消耗和buff配置索引'!BL:BL,MATCH($F77,'#建筑消耗和buff配置索引'!$M:$M,0)))</f>
        <v/>
      </c>
      <c r="AV77" s="133" t="str">
        <f>IF(INDEX('#建筑消耗和buff配置索引'!BO:BO,MATCH($F77,'#建筑消耗和buff配置索引'!$M:$M,0))=0,"",INDEX('#建筑消耗和buff配置索引'!BO:BO,MATCH($F77,'#建筑消耗和buff配置索引'!$M:$M,0)))</f>
        <v/>
      </c>
      <c r="AW77" s="133" t="str">
        <f>IF(AV77="","",INDEX('#建筑消耗和buff配置索引'!BP:BP,MATCH($F77,'#建筑消耗和buff配置索引'!$M:$M,0)))</f>
        <v/>
      </c>
      <c r="AZ77" s="133" t="str">
        <f>IF(INDEX('#建筑消耗和buff配置索引'!BS:BS,MATCH($F77,'#建筑消耗和buff配置索引'!$M:$M,0))=0,"",INDEX('#建筑消耗和buff配置索引'!BS:BS,MATCH($F77,'#建筑消耗和buff配置索引'!$M:$M,0)))</f>
        <v/>
      </c>
      <c r="BA77" s="133" t="str">
        <f>IF(AZ77="","",INDEX('#建筑消耗和buff配置索引'!BT:BT,MATCH($F77,'#建筑消耗和buff配置索引'!$M:$M,0)))</f>
        <v/>
      </c>
      <c r="BD77" s="133" t="str">
        <f>IF(INDEX('#建筑消耗和buff配置索引'!BW:BW,MATCH($F77,'#建筑消耗和buff配置索引'!$M:$M,0))=0,"",INDEX('#建筑消耗和buff配置索引'!BW:BW,MATCH($F77,'#建筑消耗和buff配置索引'!$M:$M,0)))</f>
        <v/>
      </c>
      <c r="BE77" s="133" t="str">
        <f>IF(BD77="","",INDEX('#建筑消耗和buff配置索引'!BX:BX,MATCH($F77,'#建筑消耗和buff配置索引'!$M:$M,0)))</f>
        <v/>
      </c>
      <c r="BI77" s="133">
        <v>5</v>
      </c>
      <c r="BO77" s="133">
        <v>4</v>
      </c>
      <c r="BP77" s="133" t="s">
        <v>1360</v>
      </c>
      <c r="BQ77" s="133">
        <v>10003604</v>
      </c>
      <c r="BR77" s="133">
        <v>300</v>
      </c>
    </row>
    <row r="78" spans="1:70" s="133" customFormat="1">
      <c r="A78" s="133">
        <v>2030015</v>
      </c>
      <c r="B78" s="133">
        <v>75</v>
      </c>
      <c r="C78" s="133">
        <v>203</v>
      </c>
      <c r="D78" s="133" t="s">
        <v>202</v>
      </c>
      <c r="E78" s="133">
        <v>15</v>
      </c>
      <c r="F78" s="133" t="str">
        <f t="shared" si="0"/>
        <v>磨坊15</v>
      </c>
      <c r="H78" s="146"/>
      <c r="I78" s="133">
        <v>2</v>
      </c>
      <c r="J78" s="150">
        <f>INDEX('#建筑消耗和buff配置索引'!AH:AH,MATCH($F78,'#建筑消耗和buff配置索引'!$M:$M,0))</f>
        <v>8640</v>
      </c>
      <c r="K78" s="150">
        <f>INDEX('#建筑消耗和buff配置索引'!AA:AA,MATCH($F78,'#建筑消耗和buff配置索引'!$M:$M,0))</f>
        <v>0</v>
      </c>
      <c r="L78" s="150">
        <f>INDEX('#建筑消耗和buff配置索引'!AB:AB,MATCH($F78,'#建筑消耗和buff配置索引'!$M:$M,0))</f>
        <v>190000</v>
      </c>
      <c r="M78" s="150">
        <f>INDEX('#建筑消耗和buff配置索引'!AC:AC,MATCH($F78,'#建筑消耗和buff配置索引'!$M:$M,0))</f>
        <v>190000</v>
      </c>
      <c r="N78" s="150">
        <f>INDEX('#建筑消耗和buff配置索引'!AD:AD,MATCH($F78,'#建筑消耗和buff配置索引'!$M:$M,0))</f>
        <v>190000</v>
      </c>
      <c r="O78" s="150" t="str">
        <f>IF(INDEX('#建筑消耗和buff配置索引'!T:T,MATCH($F78,'#建筑消耗和buff配置索引'!$M:$M,0))=0,"",INDEX('#建筑消耗和buff配置索引'!T:T,MATCH($F78,'#建筑消耗和buff配置索引'!$M:$M,0)))</f>
        <v/>
      </c>
      <c r="P78" s="133" t="str">
        <f>IF(INDEX('#建筑消耗和buff配置索引'!U:U,MATCH($F78,'#建筑消耗和buff配置索引'!$M:$M,0))=0,"",INDEX('#建筑消耗和buff配置索引'!U:U,MATCH($F78,'#建筑消耗和buff配置索引'!$M:$M,0)))</f>
        <v/>
      </c>
      <c r="Q78" s="133" t="str">
        <f>IF(INDEX('#建筑消耗和buff配置索引'!K:K,MATCH($F78,'#建筑消耗和buff配置索引'!$M:$M,0))=0,"",INDEX('#建筑消耗和buff配置索引'!K:K,MATCH($F78,'#建筑消耗和buff配置索引'!$M:$M,0)))</f>
        <v>201</v>
      </c>
      <c r="R78" s="133" t="str">
        <f>IF(INDEX('#建筑消耗和buff配置索引'!L:L,MATCH($F78,'#建筑消耗和buff配置索引'!$M:$M,0))=0,"",INDEX('#建筑消耗和buff配置索引'!L:L,MATCH($F78,'#建筑消耗和buff配置索引'!$M:$M,0)))</f>
        <v>15</v>
      </c>
      <c r="S78" s="133">
        <f>IF(INDEX('#建筑消耗和buff配置索引'!C:C,MATCH(F78,'#建筑消耗和buff配置索引'!M:M,0))=0,1,INDEX('#建筑消耗和buff配置索引'!C:C,MATCH(F78,'#建筑消耗和buff配置索引'!M:M,0)))</f>
        <v>1</v>
      </c>
      <c r="T78" s="133">
        <v>0</v>
      </c>
      <c r="U78" s="133">
        <v>0</v>
      </c>
      <c r="V78" s="133" t="str">
        <f>IF(E78=1,IF(INDEX('#建筑消耗和buff配置索引'!BY:BY,MATCH(D78,'#建筑消耗和buff配置索引'!A:A,0))=0,"",INDEX('#建筑消耗和buff配置索引'!BY:BY,MATCH(D78,'#建筑消耗和buff配置索引'!A:A,0))),"")</f>
        <v/>
      </c>
      <c r="W78" s="133" t="str">
        <f>IF(E78=1,IF(INDEX('#建筑消耗和buff配置索引'!BZ:BZ,MATCH(D78,'#建筑消耗和buff配置索引'!A:A,0))=0,"",INDEX('#建筑消耗和buff配置索引'!BZ:BZ,MATCH(D78,'#建筑消耗和buff配置索引'!A:A,0))),"")</f>
        <v/>
      </c>
      <c r="AA78" s="133">
        <f>INDEX('#建筑消耗和buff配置索引'!AO:AO,MATCH($F78,'#建筑消耗和buff配置索引'!$M:$M,0))</f>
        <v>4146</v>
      </c>
      <c r="AB78" s="133">
        <f>IF(INDEX('#建筑消耗和buff配置索引'!AR:AR,MATCH($F78,'#建筑消耗和buff配置索引'!$M:$M,0))=0,"",INDEX('#建筑消耗和buff配置索引'!AR:AR,MATCH($F78,'#建筑消耗和buff配置索引'!$M:$M,0)))</f>
        <v>1015</v>
      </c>
      <c r="AC78" s="133">
        <f>IF(AB78="","",INDEX('#建筑消耗和buff配置索引'!AS:AS,MATCH($F78,'#建筑消耗和buff配置索引'!$M:$M,0)))</f>
        <v>5600</v>
      </c>
      <c r="AF78" s="133">
        <f>IF(INDEX('#建筑消耗和buff配置索引'!AW:AW,MATCH($F78,'#建筑消耗和buff配置索引'!$M:$M,0))=0,"",INDEX('#建筑消耗和buff配置索引'!AW:AW,MATCH($F78,'#建筑消耗和buff配置索引'!$M:$M,0)))</f>
        <v>1206</v>
      </c>
      <c r="AG78" s="133">
        <f>IF(AF78="","",INDEX('#建筑消耗和buff配置索引'!AX:AX,MATCH($F78,'#建筑消耗和buff配置索引'!$M:$M,0)))</f>
        <v>2</v>
      </c>
      <c r="AJ78" s="133" t="str">
        <f>IF(INDEX('#建筑消耗和buff配置索引'!BB:BB,MATCH($F78,'#建筑消耗和buff配置索引'!$M:$M,0))=0,"",INDEX('#建筑消耗和buff配置索引'!BB:BB,MATCH($F78,'#建筑消耗和buff配置索引'!$M:$M,0)))</f>
        <v/>
      </c>
      <c r="AK78" s="133" t="str">
        <f>IF(AJ78="","",INDEX('#建筑消耗和buff配置索引'!BC:BC,MATCH($F78,'#建筑消耗和buff配置索引'!$M:$M,0)))</f>
        <v/>
      </c>
      <c r="AN78" s="133" t="str">
        <f>IF(INDEX('#建筑消耗和buff配置索引'!BG:BG,MATCH($F78,'#建筑消耗和buff配置索引'!$M:$M,0))=0,"",INDEX('#建筑消耗和buff配置索引'!BG:BG,MATCH($F78,'#建筑消耗和buff配置索引'!$M:$M,0)))</f>
        <v/>
      </c>
      <c r="AO78" s="133" t="str">
        <f>IF(AN78="","",INDEX('#建筑消耗和buff配置索引'!BH:BH,MATCH($F78,'#建筑消耗和buff配置索引'!$M:$M,0)))</f>
        <v/>
      </c>
      <c r="AR78" s="133" t="str">
        <f>IF(INDEX('#建筑消耗和buff配置索引'!BK:BK,MATCH($F78,'#建筑消耗和buff配置索引'!$M:$M,0))=0,"",INDEX('#建筑消耗和buff配置索引'!BK:BK,MATCH($F78,'#建筑消耗和buff配置索引'!$M:$M,0)))</f>
        <v/>
      </c>
      <c r="AS78" s="133" t="str">
        <f>IF(AR78="","",INDEX('#建筑消耗和buff配置索引'!BL:BL,MATCH($F78,'#建筑消耗和buff配置索引'!$M:$M,0)))</f>
        <v/>
      </c>
      <c r="AV78" s="133" t="str">
        <f>IF(INDEX('#建筑消耗和buff配置索引'!BO:BO,MATCH($F78,'#建筑消耗和buff配置索引'!$M:$M,0))=0,"",INDEX('#建筑消耗和buff配置索引'!BO:BO,MATCH($F78,'#建筑消耗和buff配置索引'!$M:$M,0)))</f>
        <v/>
      </c>
      <c r="AW78" s="133" t="str">
        <f>IF(AV78="","",INDEX('#建筑消耗和buff配置索引'!BP:BP,MATCH($F78,'#建筑消耗和buff配置索引'!$M:$M,0)))</f>
        <v/>
      </c>
      <c r="AZ78" s="133" t="str">
        <f>IF(INDEX('#建筑消耗和buff配置索引'!BS:BS,MATCH($F78,'#建筑消耗和buff配置索引'!$M:$M,0))=0,"",INDEX('#建筑消耗和buff配置索引'!BS:BS,MATCH($F78,'#建筑消耗和buff配置索引'!$M:$M,0)))</f>
        <v/>
      </c>
      <c r="BA78" s="133" t="str">
        <f>IF(AZ78="","",INDEX('#建筑消耗和buff配置索引'!BT:BT,MATCH($F78,'#建筑消耗和buff配置索引'!$M:$M,0)))</f>
        <v/>
      </c>
      <c r="BD78" s="133" t="str">
        <f>IF(INDEX('#建筑消耗和buff配置索引'!BW:BW,MATCH($F78,'#建筑消耗和buff配置索引'!$M:$M,0))=0,"",INDEX('#建筑消耗和buff配置索引'!BW:BW,MATCH($F78,'#建筑消耗和buff配置索引'!$M:$M,0)))</f>
        <v/>
      </c>
      <c r="BE78" s="133" t="str">
        <f>IF(BD78="","",INDEX('#建筑消耗和buff配置索引'!BX:BX,MATCH($F78,'#建筑消耗和buff配置索引'!$M:$M,0)))</f>
        <v/>
      </c>
      <c r="BI78" s="133">
        <v>5</v>
      </c>
      <c r="BO78" s="133">
        <v>4</v>
      </c>
      <c r="BP78" s="133" t="s">
        <v>1360</v>
      </c>
      <c r="BQ78" s="133">
        <v>10003604</v>
      </c>
      <c r="BR78" s="133">
        <v>300</v>
      </c>
    </row>
    <row r="79" spans="1:70" s="133" customFormat="1">
      <c r="A79" s="133">
        <v>2030016</v>
      </c>
      <c r="B79" s="133">
        <v>76</v>
      </c>
      <c r="C79" s="133">
        <v>203</v>
      </c>
      <c r="D79" s="133" t="s">
        <v>202</v>
      </c>
      <c r="E79" s="133">
        <v>16</v>
      </c>
      <c r="F79" s="133" t="str">
        <f t="shared" si="0"/>
        <v>磨坊16</v>
      </c>
      <c r="H79" s="146"/>
      <c r="I79" s="133">
        <v>2</v>
      </c>
      <c r="J79" s="150">
        <f>INDEX('#建筑消耗和buff配置索引'!AH:AH,MATCH($F79,'#建筑消耗和buff配置索引'!$M:$M,0))</f>
        <v>10800</v>
      </c>
      <c r="K79" s="150">
        <f>INDEX('#建筑消耗和buff配置索引'!AA:AA,MATCH($F79,'#建筑消耗和buff配置索引'!$M:$M,0))</f>
        <v>0</v>
      </c>
      <c r="L79" s="150">
        <f>INDEX('#建筑消耗和buff配置索引'!AB:AB,MATCH($F79,'#建筑消耗和buff配置索引'!$M:$M,0))</f>
        <v>240000</v>
      </c>
      <c r="M79" s="150">
        <f>INDEX('#建筑消耗和buff配置索引'!AC:AC,MATCH($F79,'#建筑消耗和buff配置索引'!$M:$M,0))</f>
        <v>240000</v>
      </c>
      <c r="N79" s="150">
        <f>INDEX('#建筑消耗和buff配置索引'!AD:AD,MATCH($F79,'#建筑消耗和buff配置索引'!$M:$M,0))</f>
        <v>240000</v>
      </c>
      <c r="O79" s="150" t="str">
        <f>IF(INDEX('#建筑消耗和buff配置索引'!T:T,MATCH($F79,'#建筑消耗和buff配置索引'!$M:$M,0))=0,"",INDEX('#建筑消耗和buff配置索引'!T:T,MATCH($F79,'#建筑消耗和buff配置索引'!$M:$M,0)))</f>
        <v/>
      </c>
      <c r="P79" s="133" t="str">
        <f>IF(INDEX('#建筑消耗和buff配置索引'!U:U,MATCH($F79,'#建筑消耗和buff配置索引'!$M:$M,0))=0,"",INDEX('#建筑消耗和buff配置索引'!U:U,MATCH($F79,'#建筑消耗和buff配置索引'!$M:$M,0)))</f>
        <v/>
      </c>
      <c r="Q79" s="133" t="str">
        <f>IF(INDEX('#建筑消耗和buff配置索引'!K:K,MATCH($F79,'#建筑消耗和buff配置索引'!$M:$M,0))=0,"",INDEX('#建筑消耗和buff配置索引'!K:K,MATCH($F79,'#建筑消耗和buff配置索引'!$M:$M,0)))</f>
        <v>201</v>
      </c>
      <c r="R79" s="133" t="str">
        <f>IF(INDEX('#建筑消耗和buff配置索引'!L:L,MATCH($F79,'#建筑消耗和buff配置索引'!$M:$M,0))=0,"",INDEX('#建筑消耗和buff配置索引'!L:L,MATCH($F79,'#建筑消耗和buff配置索引'!$M:$M,0)))</f>
        <v>16</v>
      </c>
      <c r="S79" s="133">
        <f>IF(INDEX('#建筑消耗和buff配置索引'!C:C,MATCH(F79,'#建筑消耗和buff配置索引'!M:M,0))=0,1,INDEX('#建筑消耗和buff配置索引'!C:C,MATCH(F79,'#建筑消耗和buff配置索引'!M:M,0)))</f>
        <v>1</v>
      </c>
      <c r="T79" s="133">
        <v>0</v>
      </c>
      <c r="U79" s="133">
        <v>0</v>
      </c>
      <c r="V79" s="133" t="str">
        <f>IF(E79=1,IF(INDEX('#建筑消耗和buff配置索引'!BY:BY,MATCH(D79,'#建筑消耗和buff配置索引'!A:A,0))=0,"",INDEX('#建筑消耗和buff配置索引'!BY:BY,MATCH(D79,'#建筑消耗和buff配置索引'!A:A,0))),"")</f>
        <v/>
      </c>
      <c r="W79" s="133" t="str">
        <f>IF(E79=1,IF(INDEX('#建筑消耗和buff配置索引'!BZ:BZ,MATCH(D79,'#建筑消耗和buff配置索引'!A:A,0))=0,"",INDEX('#建筑消耗和buff配置索引'!BZ:BZ,MATCH(D79,'#建筑消耗和buff配置索引'!A:A,0))),"")</f>
        <v/>
      </c>
      <c r="AA79" s="133">
        <f>INDEX('#建筑消耗和buff配置索引'!AO:AO,MATCH($F79,'#建筑消耗和buff配置索引'!$M:$M,0))</f>
        <v>5609</v>
      </c>
      <c r="AB79" s="133">
        <f>IF(INDEX('#建筑消耗和buff配置索引'!AR:AR,MATCH($F79,'#建筑消耗和buff配置索引'!$M:$M,0))=0,"",INDEX('#建筑消耗和buff配置索引'!AR:AR,MATCH($F79,'#建筑消耗和buff配置索引'!$M:$M,0)))</f>
        <v>1015</v>
      </c>
      <c r="AC79" s="133">
        <f>IF(AB79="","",INDEX('#建筑消耗和buff配置索引'!AS:AS,MATCH($F79,'#建筑消耗和buff配置索引'!$M:$M,0)))</f>
        <v>6250</v>
      </c>
      <c r="AF79" s="133">
        <f>IF(INDEX('#建筑消耗和buff配置索引'!AW:AW,MATCH($F79,'#建筑消耗和buff配置索引'!$M:$M,0))=0,"",INDEX('#建筑消耗和buff配置索引'!AW:AW,MATCH($F79,'#建筑消耗和buff配置索引'!$M:$M,0)))</f>
        <v>1206</v>
      </c>
      <c r="AG79" s="133">
        <f>IF(AF79="","",INDEX('#建筑消耗和buff配置索引'!AX:AX,MATCH($F79,'#建筑消耗和buff配置索引'!$M:$M,0)))</f>
        <v>3</v>
      </c>
      <c r="AJ79" s="133" t="str">
        <f>IF(INDEX('#建筑消耗和buff配置索引'!BB:BB,MATCH($F79,'#建筑消耗和buff配置索引'!$M:$M,0))=0,"",INDEX('#建筑消耗和buff配置索引'!BB:BB,MATCH($F79,'#建筑消耗和buff配置索引'!$M:$M,0)))</f>
        <v/>
      </c>
      <c r="AK79" s="133" t="str">
        <f>IF(AJ79="","",INDEX('#建筑消耗和buff配置索引'!BC:BC,MATCH($F79,'#建筑消耗和buff配置索引'!$M:$M,0)))</f>
        <v/>
      </c>
      <c r="AN79" s="133" t="str">
        <f>IF(INDEX('#建筑消耗和buff配置索引'!BG:BG,MATCH($F79,'#建筑消耗和buff配置索引'!$M:$M,0))=0,"",INDEX('#建筑消耗和buff配置索引'!BG:BG,MATCH($F79,'#建筑消耗和buff配置索引'!$M:$M,0)))</f>
        <v/>
      </c>
      <c r="AO79" s="133" t="str">
        <f>IF(AN79="","",INDEX('#建筑消耗和buff配置索引'!BH:BH,MATCH($F79,'#建筑消耗和buff配置索引'!$M:$M,0)))</f>
        <v/>
      </c>
      <c r="AR79" s="133" t="str">
        <f>IF(INDEX('#建筑消耗和buff配置索引'!BK:BK,MATCH($F79,'#建筑消耗和buff配置索引'!$M:$M,0))=0,"",INDEX('#建筑消耗和buff配置索引'!BK:BK,MATCH($F79,'#建筑消耗和buff配置索引'!$M:$M,0)))</f>
        <v/>
      </c>
      <c r="AS79" s="133" t="str">
        <f>IF(AR79="","",INDEX('#建筑消耗和buff配置索引'!BL:BL,MATCH($F79,'#建筑消耗和buff配置索引'!$M:$M,0)))</f>
        <v/>
      </c>
      <c r="AV79" s="133" t="str">
        <f>IF(INDEX('#建筑消耗和buff配置索引'!BO:BO,MATCH($F79,'#建筑消耗和buff配置索引'!$M:$M,0))=0,"",INDEX('#建筑消耗和buff配置索引'!BO:BO,MATCH($F79,'#建筑消耗和buff配置索引'!$M:$M,0)))</f>
        <v/>
      </c>
      <c r="AW79" s="133" t="str">
        <f>IF(AV79="","",INDEX('#建筑消耗和buff配置索引'!BP:BP,MATCH($F79,'#建筑消耗和buff配置索引'!$M:$M,0)))</f>
        <v/>
      </c>
      <c r="AZ79" s="133" t="str">
        <f>IF(INDEX('#建筑消耗和buff配置索引'!BS:BS,MATCH($F79,'#建筑消耗和buff配置索引'!$M:$M,0))=0,"",INDEX('#建筑消耗和buff配置索引'!BS:BS,MATCH($F79,'#建筑消耗和buff配置索引'!$M:$M,0)))</f>
        <v/>
      </c>
      <c r="BA79" s="133" t="str">
        <f>IF(AZ79="","",INDEX('#建筑消耗和buff配置索引'!BT:BT,MATCH($F79,'#建筑消耗和buff配置索引'!$M:$M,0)))</f>
        <v/>
      </c>
      <c r="BD79" s="133" t="str">
        <f>IF(INDEX('#建筑消耗和buff配置索引'!BW:BW,MATCH($F79,'#建筑消耗和buff配置索引'!$M:$M,0))=0,"",INDEX('#建筑消耗和buff配置索引'!BW:BW,MATCH($F79,'#建筑消耗和buff配置索引'!$M:$M,0)))</f>
        <v/>
      </c>
      <c r="BE79" s="133" t="str">
        <f>IF(BD79="","",INDEX('#建筑消耗和buff配置索引'!BX:BX,MATCH($F79,'#建筑消耗和buff配置索引'!$M:$M,0)))</f>
        <v/>
      </c>
      <c r="BI79" s="133">
        <v>5</v>
      </c>
      <c r="BO79" s="133">
        <v>4</v>
      </c>
      <c r="BP79" s="133" t="s">
        <v>1360</v>
      </c>
      <c r="BQ79" s="133">
        <v>10003604</v>
      </c>
      <c r="BR79" s="133">
        <v>300</v>
      </c>
    </row>
    <row r="80" spans="1:70" s="133" customFormat="1">
      <c r="A80" s="133">
        <v>2030017</v>
      </c>
      <c r="B80" s="133">
        <v>77</v>
      </c>
      <c r="C80" s="133">
        <v>203</v>
      </c>
      <c r="D80" s="133" t="s">
        <v>202</v>
      </c>
      <c r="E80" s="133">
        <v>17</v>
      </c>
      <c r="F80" s="133" t="str">
        <f t="shared" si="0"/>
        <v>磨坊17</v>
      </c>
      <c r="H80" s="146"/>
      <c r="I80" s="133">
        <v>2</v>
      </c>
      <c r="J80" s="150">
        <f>INDEX('#建筑消耗和buff配置索引'!AH:AH,MATCH($F80,'#建筑消耗和buff配置索引'!$M:$M,0))</f>
        <v>14400</v>
      </c>
      <c r="K80" s="150">
        <f>INDEX('#建筑消耗和buff配置索引'!AA:AA,MATCH($F80,'#建筑消耗和buff配置索引'!$M:$M,0))</f>
        <v>0</v>
      </c>
      <c r="L80" s="150">
        <f>INDEX('#建筑消耗和buff配置索引'!AB:AB,MATCH($F80,'#建筑消耗和buff配置索引'!$M:$M,0))</f>
        <v>310000</v>
      </c>
      <c r="M80" s="150">
        <f>INDEX('#建筑消耗和buff配置索引'!AC:AC,MATCH($F80,'#建筑消耗和buff配置索引'!$M:$M,0))</f>
        <v>310000</v>
      </c>
      <c r="N80" s="150">
        <f>INDEX('#建筑消耗和buff配置索引'!AD:AD,MATCH($F80,'#建筑消耗和buff配置索引'!$M:$M,0))</f>
        <v>310000</v>
      </c>
      <c r="O80" s="150" t="str">
        <f>IF(INDEX('#建筑消耗和buff配置索引'!T:T,MATCH($F80,'#建筑消耗和buff配置索引'!$M:$M,0))=0,"",INDEX('#建筑消耗和buff配置索引'!T:T,MATCH($F80,'#建筑消耗和buff配置索引'!$M:$M,0)))</f>
        <v/>
      </c>
      <c r="P80" s="133" t="str">
        <f>IF(INDEX('#建筑消耗和buff配置索引'!U:U,MATCH($F80,'#建筑消耗和buff配置索引'!$M:$M,0))=0,"",INDEX('#建筑消耗和buff配置索引'!U:U,MATCH($F80,'#建筑消耗和buff配置索引'!$M:$M,0)))</f>
        <v/>
      </c>
      <c r="Q80" s="133" t="str">
        <f>IF(INDEX('#建筑消耗和buff配置索引'!K:K,MATCH($F80,'#建筑消耗和buff配置索引'!$M:$M,0))=0,"",INDEX('#建筑消耗和buff配置索引'!K:K,MATCH($F80,'#建筑消耗和buff配置索引'!$M:$M,0)))</f>
        <v>201</v>
      </c>
      <c r="R80" s="133" t="str">
        <f>IF(INDEX('#建筑消耗和buff配置索引'!L:L,MATCH($F80,'#建筑消耗和buff配置索引'!$M:$M,0))=0,"",INDEX('#建筑消耗和buff配置索引'!L:L,MATCH($F80,'#建筑消耗和buff配置索引'!$M:$M,0)))</f>
        <v>17</v>
      </c>
      <c r="S80" s="133">
        <f>IF(INDEX('#建筑消耗和buff配置索引'!C:C,MATCH(F80,'#建筑消耗和buff配置索引'!M:M,0))=0,1,INDEX('#建筑消耗和buff配置索引'!C:C,MATCH(F80,'#建筑消耗和buff配置索引'!M:M,0)))</f>
        <v>1</v>
      </c>
      <c r="T80" s="133">
        <v>0</v>
      </c>
      <c r="U80" s="133">
        <v>0</v>
      </c>
      <c r="V80" s="133" t="str">
        <f>IF(E80=1,IF(INDEX('#建筑消耗和buff配置索引'!BY:BY,MATCH(D80,'#建筑消耗和buff配置索引'!A:A,0))=0,"",INDEX('#建筑消耗和buff配置索引'!BY:BY,MATCH(D80,'#建筑消耗和buff配置索引'!A:A,0))),"")</f>
        <v/>
      </c>
      <c r="W80" s="133" t="str">
        <f>IF(E80=1,IF(INDEX('#建筑消耗和buff配置索引'!BZ:BZ,MATCH(D80,'#建筑消耗和buff配置索引'!A:A,0))=0,"",INDEX('#建筑消耗和buff配置索引'!BZ:BZ,MATCH(D80,'#建筑消耗和buff配置索引'!A:A,0))),"")</f>
        <v/>
      </c>
      <c r="AA80" s="133">
        <f>INDEX('#建筑消耗和buff配置索引'!AO:AO,MATCH($F80,'#建筑消耗和buff配置索引'!$M:$M,0))</f>
        <v>7481</v>
      </c>
      <c r="AB80" s="133">
        <f>IF(INDEX('#建筑消耗和buff配置索引'!AR:AR,MATCH($F80,'#建筑消耗和buff配置索引'!$M:$M,0))=0,"",INDEX('#建筑消耗和buff配置索引'!AR:AR,MATCH($F80,'#建筑消耗和buff配置索引'!$M:$M,0)))</f>
        <v>1015</v>
      </c>
      <c r="AC80" s="133">
        <f>IF(AB80="","",INDEX('#建筑消耗和buff配置索引'!AS:AS,MATCH($F80,'#建筑消耗和buff配置索引'!$M:$M,0)))</f>
        <v>6900</v>
      </c>
      <c r="AF80" s="133">
        <f>IF(INDEX('#建筑消耗和buff配置索引'!AW:AW,MATCH($F80,'#建筑消耗和buff配置索引'!$M:$M,0))=0,"",INDEX('#建筑消耗和buff配置索引'!AW:AW,MATCH($F80,'#建筑消耗和buff配置索引'!$M:$M,0)))</f>
        <v>1206</v>
      </c>
      <c r="AG80" s="133">
        <f>IF(AF80="","",INDEX('#建筑消耗和buff配置索引'!AX:AX,MATCH($F80,'#建筑消耗和buff配置索引'!$M:$M,0)))</f>
        <v>3</v>
      </c>
      <c r="AJ80" s="133" t="str">
        <f>IF(INDEX('#建筑消耗和buff配置索引'!BB:BB,MATCH($F80,'#建筑消耗和buff配置索引'!$M:$M,0))=0,"",INDEX('#建筑消耗和buff配置索引'!BB:BB,MATCH($F80,'#建筑消耗和buff配置索引'!$M:$M,0)))</f>
        <v/>
      </c>
      <c r="AK80" s="133" t="str">
        <f>IF(AJ80="","",INDEX('#建筑消耗和buff配置索引'!BC:BC,MATCH($F80,'#建筑消耗和buff配置索引'!$M:$M,0)))</f>
        <v/>
      </c>
      <c r="AN80" s="133" t="str">
        <f>IF(INDEX('#建筑消耗和buff配置索引'!BG:BG,MATCH($F80,'#建筑消耗和buff配置索引'!$M:$M,0))=0,"",INDEX('#建筑消耗和buff配置索引'!BG:BG,MATCH($F80,'#建筑消耗和buff配置索引'!$M:$M,0)))</f>
        <v/>
      </c>
      <c r="AO80" s="133" t="str">
        <f>IF(AN80="","",INDEX('#建筑消耗和buff配置索引'!BH:BH,MATCH($F80,'#建筑消耗和buff配置索引'!$M:$M,0)))</f>
        <v/>
      </c>
      <c r="AR80" s="133" t="str">
        <f>IF(INDEX('#建筑消耗和buff配置索引'!BK:BK,MATCH($F80,'#建筑消耗和buff配置索引'!$M:$M,0))=0,"",INDEX('#建筑消耗和buff配置索引'!BK:BK,MATCH($F80,'#建筑消耗和buff配置索引'!$M:$M,0)))</f>
        <v/>
      </c>
      <c r="AS80" s="133" t="str">
        <f>IF(AR80="","",INDEX('#建筑消耗和buff配置索引'!BL:BL,MATCH($F80,'#建筑消耗和buff配置索引'!$M:$M,0)))</f>
        <v/>
      </c>
      <c r="AV80" s="133" t="str">
        <f>IF(INDEX('#建筑消耗和buff配置索引'!BO:BO,MATCH($F80,'#建筑消耗和buff配置索引'!$M:$M,0))=0,"",INDEX('#建筑消耗和buff配置索引'!BO:BO,MATCH($F80,'#建筑消耗和buff配置索引'!$M:$M,0)))</f>
        <v/>
      </c>
      <c r="AW80" s="133" t="str">
        <f>IF(AV80="","",INDEX('#建筑消耗和buff配置索引'!BP:BP,MATCH($F80,'#建筑消耗和buff配置索引'!$M:$M,0)))</f>
        <v/>
      </c>
      <c r="AZ80" s="133" t="str">
        <f>IF(INDEX('#建筑消耗和buff配置索引'!BS:BS,MATCH($F80,'#建筑消耗和buff配置索引'!$M:$M,0))=0,"",INDEX('#建筑消耗和buff配置索引'!BS:BS,MATCH($F80,'#建筑消耗和buff配置索引'!$M:$M,0)))</f>
        <v/>
      </c>
      <c r="BA80" s="133" t="str">
        <f>IF(AZ80="","",INDEX('#建筑消耗和buff配置索引'!BT:BT,MATCH($F80,'#建筑消耗和buff配置索引'!$M:$M,0)))</f>
        <v/>
      </c>
      <c r="BD80" s="133" t="str">
        <f>IF(INDEX('#建筑消耗和buff配置索引'!BW:BW,MATCH($F80,'#建筑消耗和buff配置索引'!$M:$M,0))=0,"",INDEX('#建筑消耗和buff配置索引'!BW:BW,MATCH($F80,'#建筑消耗和buff配置索引'!$M:$M,0)))</f>
        <v/>
      </c>
      <c r="BE80" s="133" t="str">
        <f>IF(BD80="","",INDEX('#建筑消耗和buff配置索引'!BX:BX,MATCH($F80,'#建筑消耗和buff配置索引'!$M:$M,0)))</f>
        <v/>
      </c>
      <c r="BI80" s="133">
        <v>5</v>
      </c>
      <c r="BO80" s="133">
        <v>4</v>
      </c>
      <c r="BP80" s="133" t="s">
        <v>1360</v>
      </c>
      <c r="BQ80" s="133">
        <v>10003604</v>
      </c>
      <c r="BR80" s="133">
        <v>300</v>
      </c>
    </row>
    <row r="81" spans="1:70" s="133" customFormat="1">
      <c r="A81" s="133">
        <v>2030018</v>
      </c>
      <c r="B81" s="133">
        <v>78</v>
      </c>
      <c r="C81" s="133">
        <v>203</v>
      </c>
      <c r="D81" s="133" t="s">
        <v>202</v>
      </c>
      <c r="E81" s="133">
        <v>18</v>
      </c>
      <c r="F81" s="133" t="str">
        <f t="shared" si="0"/>
        <v>磨坊18</v>
      </c>
      <c r="H81" s="146"/>
      <c r="I81" s="133">
        <v>2</v>
      </c>
      <c r="J81" s="150">
        <f>INDEX('#建筑消耗和buff配置索引'!AH:AH,MATCH($F81,'#建筑消耗和buff配置索引'!$M:$M,0))</f>
        <v>18720</v>
      </c>
      <c r="K81" s="150">
        <f>INDEX('#建筑消耗和buff配置索引'!AA:AA,MATCH($F81,'#建筑消耗和buff配置索引'!$M:$M,0))</f>
        <v>0</v>
      </c>
      <c r="L81" s="150">
        <f>INDEX('#建筑消耗和buff配置索引'!AB:AB,MATCH($F81,'#建筑消耗和buff配置索引'!$M:$M,0))</f>
        <v>400000</v>
      </c>
      <c r="M81" s="150">
        <f>INDEX('#建筑消耗和buff配置索引'!AC:AC,MATCH($F81,'#建筑消耗和buff配置索引'!$M:$M,0))</f>
        <v>400000</v>
      </c>
      <c r="N81" s="150">
        <f>INDEX('#建筑消耗和buff配置索引'!AD:AD,MATCH($F81,'#建筑消耗和buff配置索引'!$M:$M,0))</f>
        <v>400000</v>
      </c>
      <c r="O81" s="150" t="str">
        <f>IF(INDEX('#建筑消耗和buff配置索引'!T:T,MATCH($F81,'#建筑消耗和buff配置索引'!$M:$M,0))=0,"",INDEX('#建筑消耗和buff配置索引'!T:T,MATCH($F81,'#建筑消耗和buff配置索引'!$M:$M,0)))</f>
        <v/>
      </c>
      <c r="P81" s="133" t="str">
        <f>IF(INDEX('#建筑消耗和buff配置索引'!U:U,MATCH($F81,'#建筑消耗和buff配置索引'!$M:$M,0))=0,"",INDEX('#建筑消耗和buff配置索引'!U:U,MATCH($F81,'#建筑消耗和buff配置索引'!$M:$M,0)))</f>
        <v/>
      </c>
      <c r="Q81" s="133" t="str">
        <f>IF(INDEX('#建筑消耗和buff配置索引'!K:K,MATCH($F81,'#建筑消耗和buff配置索引'!$M:$M,0))=0,"",INDEX('#建筑消耗和buff配置索引'!K:K,MATCH($F81,'#建筑消耗和buff配置索引'!$M:$M,0)))</f>
        <v>201</v>
      </c>
      <c r="R81" s="133" t="str">
        <f>IF(INDEX('#建筑消耗和buff配置索引'!L:L,MATCH($F81,'#建筑消耗和buff配置索引'!$M:$M,0))=0,"",INDEX('#建筑消耗和buff配置索引'!L:L,MATCH($F81,'#建筑消耗和buff配置索引'!$M:$M,0)))</f>
        <v>18</v>
      </c>
      <c r="S81" s="133">
        <f>IF(INDEX('#建筑消耗和buff配置索引'!C:C,MATCH(F81,'#建筑消耗和buff配置索引'!M:M,0))=0,1,INDEX('#建筑消耗和buff配置索引'!C:C,MATCH(F81,'#建筑消耗和buff配置索引'!M:M,0)))</f>
        <v>1</v>
      </c>
      <c r="T81" s="133">
        <v>0</v>
      </c>
      <c r="U81" s="133">
        <v>0</v>
      </c>
      <c r="V81" s="133" t="str">
        <f>IF(E81=1,IF(INDEX('#建筑消耗和buff配置索引'!BY:BY,MATCH(D81,'#建筑消耗和buff配置索引'!A:A,0))=0,"",INDEX('#建筑消耗和buff配置索引'!BY:BY,MATCH(D81,'#建筑消耗和buff配置索引'!A:A,0))),"")</f>
        <v/>
      </c>
      <c r="W81" s="133" t="str">
        <f>IF(E81=1,IF(INDEX('#建筑消耗和buff配置索引'!BZ:BZ,MATCH(D81,'#建筑消耗和buff配置索引'!A:A,0))=0,"",INDEX('#建筑消耗和buff配置索引'!BZ:BZ,MATCH(D81,'#建筑消耗和buff配置索引'!A:A,0))),"")</f>
        <v/>
      </c>
      <c r="AA81" s="133">
        <f>INDEX('#建筑消耗和buff配置索引'!AO:AO,MATCH($F81,'#建筑消耗和buff配置索引'!$M:$M,0))</f>
        <v>9877</v>
      </c>
      <c r="AB81" s="133">
        <f>IF(INDEX('#建筑消耗和buff配置索引'!AR:AR,MATCH($F81,'#建筑消耗和buff配置索引'!$M:$M,0))=0,"",INDEX('#建筑消耗和buff配置索引'!AR:AR,MATCH($F81,'#建筑消耗和buff配置索引'!$M:$M,0)))</f>
        <v>1015</v>
      </c>
      <c r="AC81" s="133">
        <f>IF(AB81="","",INDEX('#建筑消耗和buff配置索引'!AS:AS,MATCH($F81,'#建筑消耗和buff配置索引'!$M:$M,0)))</f>
        <v>7600</v>
      </c>
      <c r="AF81" s="133">
        <f>IF(INDEX('#建筑消耗和buff配置索引'!AW:AW,MATCH($F81,'#建筑消耗和buff配置索引'!$M:$M,0))=0,"",INDEX('#建筑消耗和buff配置索引'!AW:AW,MATCH($F81,'#建筑消耗和buff配置索引'!$M:$M,0)))</f>
        <v>1206</v>
      </c>
      <c r="AG81" s="133">
        <f>IF(AF81="","",INDEX('#建筑消耗和buff配置索引'!AX:AX,MATCH($F81,'#建筑消耗和buff配置索引'!$M:$M,0)))</f>
        <v>3</v>
      </c>
      <c r="AJ81" s="133" t="str">
        <f>IF(INDEX('#建筑消耗和buff配置索引'!BB:BB,MATCH($F81,'#建筑消耗和buff配置索引'!$M:$M,0))=0,"",INDEX('#建筑消耗和buff配置索引'!BB:BB,MATCH($F81,'#建筑消耗和buff配置索引'!$M:$M,0)))</f>
        <v/>
      </c>
      <c r="AK81" s="133" t="str">
        <f>IF(AJ81="","",INDEX('#建筑消耗和buff配置索引'!BC:BC,MATCH($F81,'#建筑消耗和buff配置索引'!$M:$M,0)))</f>
        <v/>
      </c>
      <c r="AN81" s="133" t="str">
        <f>IF(INDEX('#建筑消耗和buff配置索引'!BG:BG,MATCH($F81,'#建筑消耗和buff配置索引'!$M:$M,0))=0,"",INDEX('#建筑消耗和buff配置索引'!BG:BG,MATCH($F81,'#建筑消耗和buff配置索引'!$M:$M,0)))</f>
        <v/>
      </c>
      <c r="AO81" s="133" t="str">
        <f>IF(AN81="","",INDEX('#建筑消耗和buff配置索引'!BH:BH,MATCH($F81,'#建筑消耗和buff配置索引'!$M:$M,0)))</f>
        <v/>
      </c>
      <c r="AR81" s="133" t="str">
        <f>IF(INDEX('#建筑消耗和buff配置索引'!BK:BK,MATCH($F81,'#建筑消耗和buff配置索引'!$M:$M,0))=0,"",INDEX('#建筑消耗和buff配置索引'!BK:BK,MATCH($F81,'#建筑消耗和buff配置索引'!$M:$M,0)))</f>
        <v/>
      </c>
      <c r="AS81" s="133" t="str">
        <f>IF(AR81="","",INDEX('#建筑消耗和buff配置索引'!BL:BL,MATCH($F81,'#建筑消耗和buff配置索引'!$M:$M,0)))</f>
        <v/>
      </c>
      <c r="AV81" s="133" t="str">
        <f>IF(INDEX('#建筑消耗和buff配置索引'!BO:BO,MATCH($F81,'#建筑消耗和buff配置索引'!$M:$M,0))=0,"",INDEX('#建筑消耗和buff配置索引'!BO:BO,MATCH($F81,'#建筑消耗和buff配置索引'!$M:$M,0)))</f>
        <v/>
      </c>
      <c r="AW81" s="133" t="str">
        <f>IF(AV81="","",INDEX('#建筑消耗和buff配置索引'!BP:BP,MATCH($F81,'#建筑消耗和buff配置索引'!$M:$M,0)))</f>
        <v/>
      </c>
      <c r="AZ81" s="133" t="str">
        <f>IF(INDEX('#建筑消耗和buff配置索引'!BS:BS,MATCH($F81,'#建筑消耗和buff配置索引'!$M:$M,0))=0,"",INDEX('#建筑消耗和buff配置索引'!BS:BS,MATCH($F81,'#建筑消耗和buff配置索引'!$M:$M,0)))</f>
        <v/>
      </c>
      <c r="BA81" s="133" t="str">
        <f>IF(AZ81="","",INDEX('#建筑消耗和buff配置索引'!BT:BT,MATCH($F81,'#建筑消耗和buff配置索引'!$M:$M,0)))</f>
        <v/>
      </c>
      <c r="BD81" s="133" t="str">
        <f>IF(INDEX('#建筑消耗和buff配置索引'!BW:BW,MATCH($F81,'#建筑消耗和buff配置索引'!$M:$M,0))=0,"",INDEX('#建筑消耗和buff配置索引'!BW:BW,MATCH($F81,'#建筑消耗和buff配置索引'!$M:$M,0)))</f>
        <v/>
      </c>
      <c r="BE81" s="133" t="str">
        <f>IF(BD81="","",INDEX('#建筑消耗和buff配置索引'!BX:BX,MATCH($F81,'#建筑消耗和buff配置索引'!$M:$M,0)))</f>
        <v/>
      </c>
      <c r="BI81" s="133">
        <v>5</v>
      </c>
      <c r="BO81" s="133">
        <v>4</v>
      </c>
      <c r="BP81" s="133" t="s">
        <v>1360</v>
      </c>
      <c r="BQ81" s="133">
        <v>10003604</v>
      </c>
      <c r="BR81" s="133">
        <v>300</v>
      </c>
    </row>
    <row r="82" spans="1:70" s="133" customFormat="1">
      <c r="A82" s="133">
        <v>2030019</v>
      </c>
      <c r="B82" s="133">
        <v>79</v>
      </c>
      <c r="C82" s="133">
        <v>203</v>
      </c>
      <c r="D82" s="133" t="s">
        <v>202</v>
      </c>
      <c r="E82" s="133">
        <v>19</v>
      </c>
      <c r="F82" s="133" t="str">
        <f t="shared" si="0"/>
        <v>磨坊19</v>
      </c>
      <c r="H82" s="146"/>
      <c r="I82" s="133">
        <v>2</v>
      </c>
      <c r="J82" s="150">
        <f>INDEX('#建筑消耗和buff配置索引'!AH:AH,MATCH($F82,'#建筑消耗和buff配置索引'!$M:$M,0))</f>
        <v>24480</v>
      </c>
      <c r="K82" s="150">
        <f>INDEX('#建筑消耗和buff配置索引'!AA:AA,MATCH($F82,'#建筑消耗和buff配置索引'!$M:$M,0))</f>
        <v>0</v>
      </c>
      <c r="L82" s="150">
        <f>INDEX('#建筑消耗和buff配置索引'!AB:AB,MATCH($F82,'#建筑消耗和buff配置索引'!$M:$M,0))</f>
        <v>510000</v>
      </c>
      <c r="M82" s="150">
        <f>INDEX('#建筑消耗和buff配置索引'!AC:AC,MATCH($F82,'#建筑消耗和buff配置索引'!$M:$M,0))</f>
        <v>510000</v>
      </c>
      <c r="N82" s="150">
        <f>INDEX('#建筑消耗和buff配置索引'!AD:AD,MATCH($F82,'#建筑消耗和buff配置索引'!$M:$M,0))</f>
        <v>510000</v>
      </c>
      <c r="O82" s="150" t="str">
        <f>IF(INDEX('#建筑消耗和buff配置索引'!T:T,MATCH($F82,'#建筑消耗和buff配置索引'!$M:$M,0))=0,"",INDEX('#建筑消耗和buff配置索引'!T:T,MATCH($F82,'#建筑消耗和buff配置索引'!$M:$M,0)))</f>
        <v/>
      </c>
      <c r="P82" s="133" t="str">
        <f>IF(INDEX('#建筑消耗和buff配置索引'!U:U,MATCH($F82,'#建筑消耗和buff配置索引'!$M:$M,0))=0,"",INDEX('#建筑消耗和buff配置索引'!U:U,MATCH($F82,'#建筑消耗和buff配置索引'!$M:$M,0)))</f>
        <v/>
      </c>
      <c r="Q82" s="133" t="str">
        <f>IF(INDEX('#建筑消耗和buff配置索引'!K:K,MATCH($F82,'#建筑消耗和buff配置索引'!$M:$M,0))=0,"",INDEX('#建筑消耗和buff配置索引'!K:K,MATCH($F82,'#建筑消耗和buff配置索引'!$M:$M,0)))</f>
        <v>201</v>
      </c>
      <c r="R82" s="133" t="str">
        <f>IF(INDEX('#建筑消耗和buff配置索引'!L:L,MATCH($F82,'#建筑消耗和buff配置索引'!$M:$M,0))=0,"",INDEX('#建筑消耗和buff配置索引'!L:L,MATCH($F82,'#建筑消耗和buff配置索引'!$M:$M,0)))</f>
        <v>19</v>
      </c>
      <c r="S82" s="133">
        <f>IF(INDEX('#建筑消耗和buff配置索引'!C:C,MATCH(F82,'#建筑消耗和buff配置索引'!M:M,0))=0,1,INDEX('#建筑消耗和buff配置索引'!C:C,MATCH(F82,'#建筑消耗和buff配置索引'!M:M,0)))</f>
        <v>1</v>
      </c>
      <c r="T82" s="133">
        <v>0</v>
      </c>
      <c r="U82" s="133">
        <v>0</v>
      </c>
      <c r="V82" s="133" t="str">
        <f>IF(E82=1,IF(INDEX('#建筑消耗和buff配置索引'!BY:BY,MATCH(D82,'#建筑消耗和buff配置索引'!A:A,0))=0,"",INDEX('#建筑消耗和buff配置索引'!BY:BY,MATCH(D82,'#建筑消耗和buff配置索引'!A:A,0))),"")</f>
        <v/>
      </c>
      <c r="W82" s="133" t="str">
        <f>IF(E82=1,IF(INDEX('#建筑消耗和buff配置索引'!BZ:BZ,MATCH(D82,'#建筑消耗和buff配置索引'!A:A,0))=0,"",INDEX('#建筑消耗和buff配置索引'!BZ:BZ,MATCH(D82,'#建筑消耗和buff配置索引'!A:A,0))),"")</f>
        <v/>
      </c>
      <c r="AA82" s="133">
        <f>INDEX('#建筑消耗和buff配置索引'!AO:AO,MATCH($F82,'#建筑消耗和buff配置索引'!$M:$M,0))</f>
        <v>12944</v>
      </c>
      <c r="AB82" s="133">
        <f>IF(INDEX('#建筑消耗和buff配置索引'!AR:AR,MATCH($F82,'#建筑消耗和buff配置索引'!$M:$M,0))=0,"",INDEX('#建筑消耗和buff配置索引'!AR:AR,MATCH($F82,'#建筑消耗和buff配置索引'!$M:$M,0)))</f>
        <v>1015</v>
      </c>
      <c r="AC82" s="133">
        <f>IF(AB82="","",INDEX('#建筑消耗和buff配置索引'!AS:AS,MATCH($F82,'#建筑消耗和buff配置索引'!$M:$M,0)))</f>
        <v>8300</v>
      </c>
      <c r="AF82" s="133">
        <f>IF(INDEX('#建筑消耗和buff配置索引'!AW:AW,MATCH($F82,'#建筑消耗和buff配置索引'!$M:$M,0))=0,"",INDEX('#建筑消耗和buff配置索引'!AW:AW,MATCH($F82,'#建筑消耗和buff配置索引'!$M:$M,0)))</f>
        <v>1206</v>
      </c>
      <c r="AG82" s="133">
        <f>IF(AF82="","",INDEX('#建筑消耗和buff配置索引'!AX:AX,MATCH($F82,'#建筑消耗和buff配置索引'!$M:$M,0)))</f>
        <v>3</v>
      </c>
      <c r="AJ82" s="133" t="str">
        <f>IF(INDEX('#建筑消耗和buff配置索引'!BB:BB,MATCH($F82,'#建筑消耗和buff配置索引'!$M:$M,0))=0,"",INDEX('#建筑消耗和buff配置索引'!BB:BB,MATCH($F82,'#建筑消耗和buff配置索引'!$M:$M,0)))</f>
        <v/>
      </c>
      <c r="AK82" s="133" t="str">
        <f>IF(AJ82="","",INDEX('#建筑消耗和buff配置索引'!BC:BC,MATCH($F82,'#建筑消耗和buff配置索引'!$M:$M,0)))</f>
        <v/>
      </c>
      <c r="AN82" s="133" t="str">
        <f>IF(INDEX('#建筑消耗和buff配置索引'!BG:BG,MATCH($F82,'#建筑消耗和buff配置索引'!$M:$M,0))=0,"",INDEX('#建筑消耗和buff配置索引'!BG:BG,MATCH($F82,'#建筑消耗和buff配置索引'!$M:$M,0)))</f>
        <v/>
      </c>
      <c r="AO82" s="133" t="str">
        <f>IF(AN82="","",INDEX('#建筑消耗和buff配置索引'!BH:BH,MATCH($F82,'#建筑消耗和buff配置索引'!$M:$M,0)))</f>
        <v/>
      </c>
      <c r="AR82" s="133" t="str">
        <f>IF(INDEX('#建筑消耗和buff配置索引'!BK:BK,MATCH($F82,'#建筑消耗和buff配置索引'!$M:$M,0))=0,"",INDEX('#建筑消耗和buff配置索引'!BK:BK,MATCH($F82,'#建筑消耗和buff配置索引'!$M:$M,0)))</f>
        <v/>
      </c>
      <c r="AS82" s="133" t="str">
        <f>IF(AR82="","",INDEX('#建筑消耗和buff配置索引'!BL:BL,MATCH($F82,'#建筑消耗和buff配置索引'!$M:$M,0)))</f>
        <v/>
      </c>
      <c r="AV82" s="133" t="str">
        <f>IF(INDEX('#建筑消耗和buff配置索引'!BO:BO,MATCH($F82,'#建筑消耗和buff配置索引'!$M:$M,0))=0,"",INDEX('#建筑消耗和buff配置索引'!BO:BO,MATCH($F82,'#建筑消耗和buff配置索引'!$M:$M,0)))</f>
        <v/>
      </c>
      <c r="AW82" s="133" t="str">
        <f>IF(AV82="","",INDEX('#建筑消耗和buff配置索引'!BP:BP,MATCH($F82,'#建筑消耗和buff配置索引'!$M:$M,0)))</f>
        <v/>
      </c>
      <c r="AZ82" s="133" t="str">
        <f>IF(INDEX('#建筑消耗和buff配置索引'!BS:BS,MATCH($F82,'#建筑消耗和buff配置索引'!$M:$M,0))=0,"",INDEX('#建筑消耗和buff配置索引'!BS:BS,MATCH($F82,'#建筑消耗和buff配置索引'!$M:$M,0)))</f>
        <v/>
      </c>
      <c r="BA82" s="133" t="str">
        <f>IF(AZ82="","",INDEX('#建筑消耗和buff配置索引'!BT:BT,MATCH($F82,'#建筑消耗和buff配置索引'!$M:$M,0)))</f>
        <v/>
      </c>
      <c r="BD82" s="133" t="str">
        <f>IF(INDEX('#建筑消耗和buff配置索引'!BW:BW,MATCH($F82,'#建筑消耗和buff配置索引'!$M:$M,0))=0,"",INDEX('#建筑消耗和buff配置索引'!BW:BW,MATCH($F82,'#建筑消耗和buff配置索引'!$M:$M,0)))</f>
        <v/>
      </c>
      <c r="BE82" s="133" t="str">
        <f>IF(BD82="","",INDEX('#建筑消耗和buff配置索引'!BX:BX,MATCH($F82,'#建筑消耗和buff配置索引'!$M:$M,0)))</f>
        <v/>
      </c>
      <c r="BI82" s="133">
        <v>5</v>
      </c>
      <c r="BO82" s="133">
        <v>4</v>
      </c>
      <c r="BP82" s="133" t="s">
        <v>1360</v>
      </c>
      <c r="BQ82" s="133">
        <v>10003604</v>
      </c>
      <c r="BR82" s="133">
        <v>300</v>
      </c>
    </row>
    <row r="83" spans="1:70" s="133" customFormat="1">
      <c r="A83" s="133">
        <v>2030020</v>
      </c>
      <c r="B83" s="133">
        <v>80</v>
      </c>
      <c r="C83" s="133">
        <v>203</v>
      </c>
      <c r="D83" s="133" t="s">
        <v>202</v>
      </c>
      <c r="E83" s="133">
        <v>20</v>
      </c>
      <c r="F83" s="133" t="str">
        <f t="shared" si="0"/>
        <v>磨坊20</v>
      </c>
      <c r="H83" s="146"/>
      <c r="I83" s="133">
        <v>3</v>
      </c>
      <c r="J83" s="150">
        <f>INDEX('#建筑消耗和buff配置索引'!AH:AH,MATCH($F83,'#建筑消耗和buff配置索引'!$M:$M,0))</f>
        <v>34560</v>
      </c>
      <c r="K83" s="150">
        <f>INDEX('#建筑消耗和buff配置索引'!AA:AA,MATCH($F83,'#建筑消耗和buff配置索引'!$M:$M,0))</f>
        <v>0</v>
      </c>
      <c r="L83" s="150">
        <f>INDEX('#建筑消耗和buff配置索引'!AB:AB,MATCH($F83,'#建筑消耗和buff配置索引'!$M:$M,0))</f>
        <v>650000</v>
      </c>
      <c r="M83" s="150">
        <f>INDEX('#建筑消耗和buff配置索引'!AC:AC,MATCH($F83,'#建筑消耗和buff配置索引'!$M:$M,0))</f>
        <v>650000</v>
      </c>
      <c r="N83" s="150">
        <f>INDEX('#建筑消耗和buff配置索引'!AD:AD,MATCH($F83,'#建筑消耗和buff配置索引'!$M:$M,0))</f>
        <v>650000</v>
      </c>
      <c r="O83" s="150" t="str">
        <f>IF(INDEX('#建筑消耗和buff配置索引'!T:T,MATCH($F83,'#建筑消耗和buff配置索引'!$M:$M,0))=0,"",INDEX('#建筑消耗和buff配置索引'!T:T,MATCH($F83,'#建筑消耗和buff配置索引'!$M:$M,0)))</f>
        <v/>
      </c>
      <c r="P83" s="133" t="str">
        <f>IF(INDEX('#建筑消耗和buff配置索引'!U:U,MATCH($F83,'#建筑消耗和buff配置索引'!$M:$M,0))=0,"",INDEX('#建筑消耗和buff配置索引'!U:U,MATCH($F83,'#建筑消耗和buff配置索引'!$M:$M,0)))</f>
        <v/>
      </c>
      <c r="Q83" s="133" t="str">
        <f>IF(INDEX('#建筑消耗和buff配置索引'!K:K,MATCH($F83,'#建筑消耗和buff配置索引'!$M:$M,0))=0,"",INDEX('#建筑消耗和buff配置索引'!K:K,MATCH($F83,'#建筑消耗和buff配置索引'!$M:$M,0)))</f>
        <v>201</v>
      </c>
      <c r="R83" s="133" t="str">
        <f>IF(INDEX('#建筑消耗和buff配置索引'!L:L,MATCH($F83,'#建筑消耗和buff配置索引'!$M:$M,0))=0,"",INDEX('#建筑消耗和buff配置索引'!L:L,MATCH($F83,'#建筑消耗和buff配置索引'!$M:$M,0)))</f>
        <v>20</v>
      </c>
      <c r="S83" s="133">
        <f>IF(INDEX('#建筑消耗和buff配置索引'!C:C,MATCH(F83,'#建筑消耗和buff配置索引'!M:M,0))=0,1,INDEX('#建筑消耗和buff配置索引'!C:C,MATCH(F83,'#建筑消耗和buff配置索引'!M:M,0)))</f>
        <v>1</v>
      </c>
      <c r="T83" s="133">
        <v>0</v>
      </c>
      <c r="U83" s="133">
        <v>0</v>
      </c>
      <c r="V83" s="133" t="str">
        <f>IF(E83=1,IF(INDEX('#建筑消耗和buff配置索引'!BY:BY,MATCH(D83,'#建筑消耗和buff配置索引'!A:A,0))=0,"",INDEX('#建筑消耗和buff配置索引'!BY:BY,MATCH(D83,'#建筑消耗和buff配置索引'!A:A,0))),"")</f>
        <v/>
      </c>
      <c r="W83" s="133" t="str">
        <f>IF(E83=1,IF(INDEX('#建筑消耗和buff配置索引'!BZ:BZ,MATCH(D83,'#建筑消耗和buff配置索引'!A:A,0))=0,"",INDEX('#建筑消耗和buff配置索引'!BZ:BZ,MATCH(D83,'#建筑消耗和buff配置索引'!A:A,0))),"")</f>
        <v/>
      </c>
      <c r="AA83" s="133">
        <f>INDEX('#建筑消耗和buff配置索引'!AO:AO,MATCH($F83,'#建筑消耗和buff配置索引'!$M:$M,0))</f>
        <v>16870</v>
      </c>
      <c r="AB83" s="133">
        <f>IF(INDEX('#建筑消耗和buff配置索引'!AR:AR,MATCH($F83,'#建筑消耗和buff配置索引'!$M:$M,0))=0,"",INDEX('#建筑消耗和buff配置索引'!AR:AR,MATCH($F83,'#建筑消耗和buff配置索引'!$M:$M,0)))</f>
        <v>1015</v>
      </c>
      <c r="AC83" s="133">
        <f>IF(AB83="","",INDEX('#建筑消耗和buff配置索引'!AS:AS,MATCH($F83,'#建筑消耗和buff配置索引'!$M:$M,0)))</f>
        <v>9000</v>
      </c>
      <c r="AF83" s="133">
        <f>IF(INDEX('#建筑消耗和buff配置索引'!AW:AW,MATCH($F83,'#建筑消耗和buff配置索引'!$M:$M,0))=0,"",INDEX('#建筑消耗和buff配置索引'!AW:AW,MATCH($F83,'#建筑消耗和buff配置索引'!$M:$M,0)))</f>
        <v>1206</v>
      </c>
      <c r="AG83" s="133">
        <f>IF(AF83="","",INDEX('#建筑消耗和buff配置索引'!AX:AX,MATCH($F83,'#建筑消耗和buff配置索引'!$M:$M,0)))</f>
        <v>3</v>
      </c>
      <c r="AJ83" s="133" t="str">
        <f>IF(INDEX('#建筑消耗和buff配置索引'!BB:BB,MATCH($F83,'#建筑消耗和buff配置索引'!$M:$M,0))=0,"",INDEX('#建筑消耗和buff配置索引'!BB:BB,MATCH($F83,'#建筑消耗和buff配置索引'!$M:$M,0)))</f>
        <v/>
      </c>
      <c r="AK83" s="133" t="str">
        <f>IF(AJ83="","",INDEX('#建筑消耗和buff配置索引'!BC:BC,MATCH($F83,'#建筑消耗和buff配置索引'!$M:$M,0)))</f>
        <v/>
      </c>
      <c r="AN83" s="133" t="str">
        <f>IF(INDEX('#建筑消耗和buff配置索引'!BG:BG,MATCH($F83,'#建筑消耗和buff配置索引'!$M:$M,0))=0,"",INDEX('#建筑消耗和buff配置索引'!BG:BG,MATCH($F83,'#建筑消耗和buff配置索引'!$M:$M,0)))</f>
        <v/>
      </c>
      <c r="AO83" s="133" t="str">
        <f>IF(AN83="","",INDEX('#建筑消耗和buff配置索引'!BH:BH,MATCH($F83,'#建筑消耗和buff配置索引'!$M:$M,0)))</f>
        <v/>
      </c>
      <c r="AR83" s="133" t="str">
        <f>IF(INDEX('#建筑消耗和buff配置索引'!BK:BK,MATCH($F83,'#建筑消耗和buff配置索引'!$M:$M,0))=0,"",INDEX('#建筑消耗和buff配置索引'!BK:BK,MATCH($F83,'#建筑消耗和buff配置索引'!$M:$M,0)))</f>
        <v/>
      </c>
      <c r="AS83" s="133" t="str">
        <f>IF(AR83="","",INDEX('#建筑消耗和buff配置索引'!BL:BL,MATCH($F83,'#建筑消耗和buff配置索引'!$M:$M,0)))</f>
        <v/>
      </c>
      <c r="AV83" s="133" t="str">
        <f>IF(INDEX('#建筑消耗和buff配置索引'!BO:BO,MATCH($F83,'#建筑消耗和buff配置索引'!$M:$M,0))=0,"",INDEX('#建筑消耗和buff配置索引'!BO:BO,MATCH($F83,'#建筑消耗和buff配置索引'!$M:$M,0)))</f>
        <v/>
      </c>
      <c r="AW83" s="133" t="str">
        <f>IF(AV83="","",INDEX('#建筑消耗和buff配置索引'!BP:BP,MATCH($F83,'#建筑消耗和buff配置索引'!$M:$M,0)))</f>
        <v/>
      </c>
      <c r="AZ83" s="133" t="str">
        <f>IF(INDEX('#建筑消耗和buff配置索引'!BS:BS,MATCH($F83,'#建筑消耗和buff配置索引'!$M:$M,0))=0,"",INDEX('#建筑消耗和buff配置索引'!BS:BS,MATCH($F83,'#建筑消耗和buff配置索引'!$M:$M,0)))</f>
        <v/>
      </c>
      <c r="BA83" s="133" t="str">
        <f>IF(AZ83="","",INDEX('#建筑消耗和buff配置索引'!BT:BT,MATCH($F83,'#建筑消耗和buff配置索引'!$M:$M,0)))</f>
        <v/>
      </c>
      <c r="BD83" s="133" t="str">
        <f>IF(INDEX('#建筑消耗和buff配置索引'!BW:BW,MATCH($F83,'#建筑消耗和buff配置索引'!$M:$M,0))=0,"",INDEX('#建筑消耗和buff配置索引'!BW:BW,MATCH($F83,'#建筑消耗和buff配置索引'!$M:$M,0)))</f>
        <v/>
      </c>
      <c r="BE83" s="133" t="str">
        <f>IF(BD83="","",INDEX('#建筑消耗和buff配置索引'!BX:BX,MATCH($F83,'#建筑消耗和buff配置索引'!$M:$M,0)))</f>
        <v/>
      </c>
      <c r="BI83" s="133">
        <v>5</v>
      </c>
      <c r="BO83" s="133">
        <v>5</v>
      </c>
      <c r="BP83" s="133" t="s">
        <v>1360</v>
      </c>
      <c r="BQ83" s="133">
        <v>10003604</v>
      </c>
      <c r="BR83" s="133">
        <v>300</v>
      </c>
    </row>
    <row r="84" spans="1:70" s="133" customFormat="1">
      <c r="A84" s="133">
        <v>2030021</v>
      </c>
      <c r="B84" s="133">
        <v>81</v>
      </c>
      <c r="C84" s="133">
        <v>203</v>
      </c>
      <c r="D84" s="133" t="s">
        <v>202</v>
      </c>
      <c r="E84" s="133">
        <v>21</v>
      </c>
      <c r="F84" s="133" t="str">
        <f t="shared" si="0"/>
        <v>磨坊21</v>
      </c>
      <c r="H84" s="146"/>
      <c r="I84" s="133">
        <v>3</v>
      </c>
      <c r="J84" s="150">
        <f>INDEX('#建筑消耗和buff配置索引'!AH:AH,MATCH($F84,'#建筑消耗和buff配置索引'!$M:$M,0))</f>
        <v>46080</v>
      </c>
      <c r="K84" s="150">
        <f>INDEX('#建筑消耗和buff配置索引'!AA:AA,MATCH($F84,'#建筑消耗和buff配置索引'!$M:$M,0))</f>
        <v>0</v>
      </c>
      <c r="L84" s="150">
        <f>INDEX('#建筑消耗和buff配置索引'!AB:AB,MATCH($F84,'#建筑消耗和buff配置索引'!$M:$M,0))</f>
        <v>840000</v>
      </c>
      <c r="M84" s="150">
        <f>INDEX('#建筑消耗和buff配置索引'!AC:AC,MATCH($F84,'#建筑消耗和buff配置索引'!$M:$M,0))</f>
        <v>840000</v>
      </c>
      <c r="N84" s="150">
        <f>INDEX('#建筑消耗和buff配置索引'!AD:AD,MATCH($F84,'#建筑消耗和buff配置索引'!$M:$M,0))</f>
        <v>840000</v>
      </c>
      <c r="O84" s="150" t="str">
        <f>IF(INDEX('#建筑消耗和buff配置索引'!T:T,MATCH($F84,'#建筑消耗和buff配置索引'!$M:$M,0))=0,"",INDEX('#建筑消耗和buff配置索引'!T:T,MATCH($F84,'#建筑消耗和buff配置索引'!$M:$M,0)))</f>
        <v/>
      </c>
      <c r="P84" s="133" t="str">
        <f>IF(INDEX('#建筑消耗和buff配置索引'!U:U,MATCH($F84,'#建筑消耗和buff配置索引'!$M:$M,0))=0,"",INDEX('#建筑消耗和buff配置索引'!U:U,MATCH($F84,'#建筑消耗和buff配置索引'!$M:$M,0)))</f>
        <v/>
      </c>
      <c r="Q84" s="133" t="str">
        <f>IF(INDEX('#建筑消耗和buff配置索引'!K:K,MATCH($F84,'#建筑消耗和buff配置索引'!$M:$M,0))=0,"",INDEX('#建筑消耗和buff配置索引'!K:K,MATCH($F84,'#建筑消耗和buff配置索引'!$M:$M,0)))</f>
        <v>201</v>
      </c>
      <c r="R84" s="133" t="str">
        <f>IF(INDEX('#建筑消耗和buff配置索引'!L:L,MATCH($F84,'#建筑消耗和buff配置索引'!$M:$M,0))=0,"",INDEX('#建筑消耗和buff配置索引'!L:L,MATCH($F84,'#建筑消耗和buff配置索引'!$M:$M,0)))</f>
        <v>21</v>
      </c>
      <c r="S84" s="133">
        <f>IF(INDEX('#建筑消耗和buff配置索引'!C:C,MATCH(F84,'#建筑消耗和buff配置索引'!M:M,0))=0,1,INDEX('#建筑消耗和buff配置索引'!C:C,MATCH(F84,'#建筑消耗和buff配置索引'!M:M,0)))</f>
        <v>1</v>
      </c>
      <c r="T84" s="133">
        <v>0</v>
      </c>
      <c r="U84" s="133">
        <v>0</v>
      </c>
      <c r="V84" s="133" t="str">
        <f>IF(E84=1,IF(INDEX('#建筑消耗和buff配置索引'!BY:BY,MATCH(D84,'#建筑消耗和buff配置索引'!A:A,0))=0,"",INDEX('#建筑消耗和buff配置索引'!BY:BY,MATCH(D84,'#建筑消耗和buff配置索引'!A:A,0))),"")</f>
        <v/>
      </c>
      <c r="W84" s="133" t="str">
        <f>IF(E84=1,IF(INDEX('#建筑消耗和buff配置索引'!BZ:BZ,MATCH(D84,'#建筑消耗和buff配置索引'!A:A,0))=0,"",INDEX('#建筑消耗和buff配置索引'!BZ:BZ,MATCH(D84,'#建筑消耗和buff配置索引'!A:A,0))),"")</f>
        <v/>
      </c>
      <c r="AA84" s="133">
        <f>INDEX('#建筑消耗和buff配置索引'!AO:AO,MATCH($F84,'#建筑消耗和buff配置索引'!$M:$M,0))</f>
        <v>21895</v>
      </c>
      <c r="AB84" s="133">
        <f>IF(INDEX('#建筑消耗和buff配置索引'!AR:AR,MATCH($F84,'#建筑消耗和buff配置索引'!$M:$M,0))=0,"",INDEX('#建筑消耗和buff配置索引'!AR:AR,MATCH($F84,'#建筑消耗和buff配置索引'!$M:$M,0)))</f>
        <v>1015</v>
      </c>
      <c r="AC84" s="133">
        <f>IF(AB84="","",INDEX('#建筑消耗和buff配置索引'!AS:AS,MATCH($F84,'#建筑消耗和buff配置索引'!$M:$M,0)))</f>
        <v>9800</v>
      </c>
      <c r="AF84" s="133">
        <f>IF(INDEX('#建筑消耗和buff配置索引'!AW:AW,MATCH($F84,'#建筑消耗和buff配置索引'!$M:$M,0))=0,"",INDEX('#建筑消耗和buff配置索引'!AW:AW,MATCH($F84,'#建筑消耗和buff配置索引'!$M:$M,0)))</f>
        <v>1206</v>
      </c>
      <c r="AG84" s="133">
        <f>IF(AF84="","",INDEX('#建筑消耗和buff配置索引'!AX:AX,MATCH($F84,'#建筑消耗和buff配置索引'!$M:$M,0)))</f>
        <v>3</v>
      </c>
      <c r="AJ84" s="133" t="str">
        <f>IF(INDEX('#建筑消耗和buff配置索引'!BB:BB,MATCH($F84,'#建筑消耗和buff配置索引'!$M:$M,0))=0,"",INDEX('#建筑消耗和buff配置索引'!BB:BB,MATCH($F84,'#建筑消耗和buff配置索引'!$M:$M,0)))</f>
        <v/>
      </c>
      <c r="AK84" s="133" t="str">
        <f>IF(AJ84="","",INDEX('#建筑消耗和buff配置索引'!BC:BC,MATCH($F84,'#建筑消耗和buff配置索引'!$M:$M,0)))</f>
        <v/>
      </c>
      <c r="AN84" s="133" t="str">
        <f>IF(INDEX('#建筑消耗和buff配置索引'!BG:BG,MATCH($F84,'#建筑消耗和buff配置索引'!$M:$M,0))=0,"",INDEX('#建筑消耗和buff配置索引'!BG:BG,MATCH($F84,'#建筑消耗和buff配置索引'!$M:$M,0)))</f>
        <v/>
      </c>
      <c r="AO84" s="133" t="str">
        <f>IF(AN84="","",INDEX('#建筑消耗和buff配置索引'!BH:BH,MATCH($F84,'#建筑消耗和buff配置索引'!$M:$M,0)))</f>
        <v/>
      </c>
      <c r="AR84" s="133" t="str">
        <f>IF(INDEX('#建筑消耗和buff配置索引'!BK:BK,MATCH($F84,'#建筑消耗和buff配置索引'!$M:$M,0))=0,"",INDEX('#建筑消耗和buff配置索引'!BK:BK,MATCH($F84,'#建筑消耗和buff配置索引'!$M:$M,0)))</f>
        <v/>
      </c>
      <c r="AS84" s="133" t="str">
        <f>IF(AR84="","",INDEX('#建筑消耗和buff配置索引'!BL:BL,MATCH($F84,'#建筑消耗和buff配置索引'!$M:$M,0)))</f>
        <v/>
      </c>
      <c r="AV84" s="133" t="str">
        <f>IF(INDEX('#建筑消耗和buff配置索引'!BO:BO,MATCH($F84,'#建筑消耗和buff配置索引'!$M:$M,0))=0,"",INDEX('#建筑消耗和buff配置索引'!BO:BO,MATCH($F84,'#建筑消耗和buff配置索引'!$M:$M,0)))</f>
        <v/>
      </c>
      <c r="AW84" s="133" t="str">
        <f>IF(AV84="","",INDEX('#建筑消耗和buff配置索引'!BP:BP,MATCH($F84,'#建筑消耗和buff配置索引'!$M:$M,0)))</f>
        <v/>
      </c>
      <c r="AZ84" s="133" t="str">
        <f>IF(INDEX('#建筑消耗和buff配置索引'!BS:BS,MATCH($F84,'#建筑消耗和buff配置索引'!$M:$M,0))=0,"",INDEX('#建筑消耗和buff配置索引'!BS:BS,MATCH($F84,'#建筑消耗和buff配置索引'!$M:$M,0)))</f>
        <v/>
      </c>
      <c r="BA84" s="133" t="str">
        <f>IF(AZ84="","",INDEX('#建筑消耗和buff配置索引'!BT:BT,MATCH($F84,'#建筑消耗和buff配置索引'!$M:$M,0)))</f>
        <v/>
      </c>
      <c r="BD84" s="133" t="str">
        <f>IF(INDEX('#建筑消耗和buff配置索引'!BW:BW,MATCH($F84,'#建筑消耗和buff配置索引'!$M:$M,0))=0,"",INDEX('#建筑消耗和buff配置索引'!BW:BW,MATCH($F84,'#建筑消耗和buff配置索引'!$M:$M,0)))</f>
        <v/>
      </c>
      <c r="BE84" s="133" t="str">
        <f>IF(BD84="","",INDEX('#建筑消耗和buff配置索引'!BX:BX,MATCH($F84,'#建筑消耗和buff配置索引'!$M:$M,0)))</f>
        <v/>
      </c>
      <c r="BI84" s="133">
        <v>5</v>
      </c>
      <c r="BO84" s="133">
        <v>5</v>
      </c>
      <c r="BP84" s="133" t="s">
        <v>1360</v>
      </c>
      <c r="BQ84" s="133">
        <v>10003604</v>
      </c>
      <c r="BR84" s="133">
        <v>300</v>
      </c>
    </row>
    <row r="85" spans="1:70" s="133" customFormat="1">
      <c r="A85" s="133">
        <v>2030022</v>
      </c>
      <c r="B85" s="133">
        <v>82</v>
      </c>
      <c r="C85" s="133">
        <v>203</v>
      </c>
      <c r="D85" s="133" t="s">
        <v>202</v>
      </c>
      <c r="E85" s="133">
        <v>22</v>
      </c>
      <c r="F85" s="133" t="str">
        <f t="shared" si="0"/>
        <v>磨坊22</v>
      </c>
      <c r="H85" s="146"/>
      <c r="I85" s="133">
        <v>3</v>
      </c>
      <c r="J85" s="150">
        <f>INDEX('#建筑消耗和buff配置索引'!AH:AH,MATCH($F85,'#建筑消耗和buff配置索引'!$M:$M,0))</f>
        <v>60480</v>
      </c>
      <c r="K85" s="150">
        <f>INDEX('#建筑消耗和buff配置索引'!AA:AA,MATCH($F85,'#建筑消耗和buff配置索引'!$M:$M,0))</f>
        <v>0</v>
      </c>
      <c r="L85" s="150">
        <f>INDEX('#建筑消耗和buff配置索引'!AB:AB,MATCH($F85,'#建筑消耗和buff配置索引'!$M:$M,0))</f>
        <v>1100000</v>
      </c>
      <c r="M85" s="150">
        <f>INDEX('#建筑消耗和buff配置索引'!AC:AC,MATCH($F85,'#建筑消耗和buff配置索引'!$M:$M,0))</f>
        <v>1100000</v>
      </c>
      <c r="N85" s="150">
        <f>INDEX('#建筑消耗和buff配置索引'!AD:AD,MATCH($F85,'#建筑消耗和buff配置索引'!$M:$M,0))</f>
        <v>1100000</v>
      </c>
      <c r="O85" s="150" t="str">
        <f>IF(INDEX('#建筑消耗和buff配置索引'!T:T,MATCH($F85,'#建筑消耗和buff配置索引'!$M:$M,0))=0,"",INDEX('#建筑消耗和buff配置索引'!T:T,MATCH($F85,'#建筑消耗和buff配置索引'!$M:$M,0)))</f>
        <v/>
      </c>
      <c r="P85" s="133" t="str">
        <f>IF(INDEX('#建筑消耗和buff配置索引'!U:U,MATCH($F85,'#建筑消耗和buff配置索引'!$M:$M,0))=0,"",INDEX('#建筑消耗和buff配置索引'!U:U,MATCH($F85,'#建筑消耗和buff配置索引'!$M:$M,0)))</f>
        <v/>
      </c>
      <c r="Q85" s="133" t="str">
        <f>IF(INDEX('#建筑消耗和buff配置索引'!K:K,MATCH($F85,'#建筑消耗和buff配置索引'!$M:$M,0))=0,"",INDEX('#建筑消耗和buff配置索引'!K:K,MATCH($F85,'#建筑消耗和buff配置索引'!$M:$M,0)))</f>
        <v>201</v>
      </c>
      <c r="R85" s="133" t="str">
        <f>IF(INDEX('#建筑消耗和buff配置索引'!L:L,MATCH($F85,'#建筑消耗和buff配置索引'!$M:$M,0))=0,"",INDEX('#建筑消耗和buff配置索引'!L:L,MATCH($F85,'#建筑消耗和buff配置索引'!$M:$M,0)))</f>
        <v>22</v>
      </c>
      <c r="S85" s="133">
        <f>IF(INDEX('#建筑消耗和buff配置索引'!C:C,MATCH(F85,'#建筑消耗和buff配置索引'!M:M,0))=0,1,INDEX('#建筑消耗和buff配置索引'!C:C,MATCH(F85,'#建筑消耗和buff配置索引'!M:M,0)))</f>
        <v>1</v>
      </c>
      <c r="T85" s="133">
        <v>0</v>
      </c>
      <c r="U85" s="133">
        <v>0</v>
      </c>
      <c r="V85" s="133" t="str">
        <f>IF(E85=1,IF(INDEX('#建筑消耗和buff配置索引'!BY:BY,MATCH(D85,'#建筑消耗和buff配置索引'!A:A,0))=0,"",INDEX('#建筑消耗和buff配置索引'!BY:BY,MATCH(D85,'#建筑消耗和buff配置索引'!A:A,0))),"")</f>
        <v/>
      </c>
      <c r="W85" s="133" t="str">
        <f>IF(E85=1,IF(INDEX('#建筑消耗和buff配置索引'!BZ:BZ,MATCH(D85,'#建筑消耗和buff配置索引'!A:A,0))=0,"",INDEX('#建筑消耗和buff配置索引'!BZ:BZ,MATCH(D85,'#建筑消耗和buff配置索引'!A:A,0))),"")</f>
        <v/>
      </c>
      <c r="AA85" s="133">
        <f>INDEX('#建筑消耗和buff配置索引'!AO:AO,MATCH($F85,'#建筑消耗和buff配置索引'!$M:$M,0))</f>
        <v>28328</v>
      </c>
      <c r="AB85" s="133">
        <f>IF(INDEX('#建筑消耗和buff配置索引'!AR:AR,MATCH($F85,'#建筑消耗和buff配置索引'!$M:$M,0))=0,"",INDEX('#建筑消耗和buff配置索引'!AR:AR,MATCH($F85,'#建筑消耗和buff配置索引'!$M:$M,0)))</f>
        <v>1015</v>
      </c>
      <c r="AC85" s="133">
        <f>IF(AB85="","",INDEX('#建筑消耗和buff配置索引'!AS:AS,MATCH($F85,'#建筑消耗和buff配置索引'!$M:$M,0)))</f>
        <v>10600</v>
      </c>
      <c r="AF85" s="133">
        <f>IF(INDEX('#建筑消耗和buff配置索引'!AW:AW,MATCH($F85,'#建筑消耗和buff配置索引'!$M:$M,0))=0,"",INDEX('#建筑消耗和buff配置索引'!AW:AW,MATCH($F85,'#建筑消耗和buff配置索引'!$M:$M,0)))</f>
        <v>1206</v>
      </c>
      <c r="AG85" s="133">
        <f>IF(AF85="","",INDEX('#建筑消耗和buff配置索引'!AX:AX,MATCH($F85,'#建筑消耗和buff配置索引'!$M:$M,0)))</f>
        <v>3</v>
      </c>
      <c r="AJ85" s="133" t="str">
        <f>IF(INDEX('#建筑消耗和buff配置索引'!BB:BB,MATCH($F85,'#建筑消耗和buff配置索引'!$M:$M,0))=0,"",INDEX('#建筑消耗和buff配置索引'!BB:BB,MATCH($F85,'#建筑消耗和buff配置索引'!$M:$M,0)))</f>
        <v/>
      </c>
      <c r="AK85" s="133" t="str">
        <f>IF(AJ85="","",INDEX('#建筑消耗和buff配置索引'!BC:BC,MATCH($F85,'#建筑消耗和buff配置索引'!$M:$M,0)))</f>
        <v/>
      </c>
      <c r="AN85" s="133" t="str">
        <f>IF(INDEX('#建筑消耗和buff配置索引'!BG:BG,MATCH($F85,'#建筑消耗和buff配置索引'!$M:$M,0))=0,"",INDEX('#建筑消耗和buff配置索引'!BG:BG,MATCH($F85,'#建筑消耗和buff配置索引'!$M:$M,0)))</f>
        <v/>
      </c>
      <c r="AO85" s="133" t="str">
        <f>IF(AN85="","",INDEX('#建筑消耗和buff配置索引'!BH:BH,MATCH($F85,'#建筑消耗和buff配置索引'!$M:$M,0)))</f>
        <v/>
      </c>
      <c r="AR85" s="133" t="str">
        <f>IF(INDEX('#建筑消耗和buff配置索引'!BK:BK,MATCH($F85,'#建筑消耗和buff配置索引'!$M:$M,0))=0,"",INDEX('#建筑消耗和buff配置索引'!BK:BK,MATCH($F85,'#建筑消耗和buff配置索引'!$M:$M,0)))</f>
        <v/>
      </c>
      <c r="AS85" s="133" t="str">
        <f>IF(AR85="","",INDEX('#建筑消耗和buff配置索引'!BL:BL,MATCH($F85,'#建筑消耗和buff配置索引'!$M:$M,0)))</f>
        <v/>
      </c>
      <c r="AV85" s="133" t="str">
        <f>IF(INDEX('#建筑消耗和buff配置索引'!BO:BO,MATCH($F85,'#建筑消耗和buff配置索引'!$M:$M,0))=0,"",INDEX('#建筑消耗和buff配置索引'!BO:BO,MATCH($F85,'#建筑消耗和buff配置索引'!$M:$M,0)))</f>
        <v/>
      </c>
      <c r="AW85" s="133" t="str">
        <f>IF(AV85="","",INDEX('#建筑消耗和buff配置索引'!BP:BP,MATCH($F85,'#建筑消耗和buff配置索引'!$M:$M,0)))</f>
        <v/>
      </c>
      <c r="AZ85" s="133" t="str">
        <f>IF(INDEX('#建筑消耗和buff配置索引'!BS:BS,MATCH($F85,'#建筑消耗和buff配置索引'!$M:$M,0))=0,"",INDEX('#建筑消耗和buff配置索引'!BS:BS,MATCH($F85,'#建筑消耗和buff配置索引'!$M:$M,0)))</f>
        <v/>
      </c>
      <c r="BA85" s="133" t="str">
        <f>IF(AZ85="","",INDEX('#建筑消耗和buff配置索引'!BT:BT,MATCH($F85,'#建筑消耗和buff配置索引'!$M:$M,0)))</f>
        <v/>
      </c>
      <c r="BD85" s="133" t="str">
        <f>IF(INDEX('#建筑消耗和buff配置索引'!BW:BW,MATCH($F85,'#建筑消耗和buff配置索引'!$M:$M,0))=0,"",INDEX('#建筑消耗和buff配置索引'!BW:BW,MATCH($F85,'#建筑消耗和buff配置索引'!$M:$M,0)))</f>
        <v/>
      </c>
      <c r="BE85" s="133" t="str">
        <f>IF(BD85="","",INDEX('#建筑消耗和buff配置索引'!BX:BX,MATCH($F85,'#建筑消耗和buff配置索引'!$M:$M,0)))</f>
        <v/>
      </c>
      <c r="BI85" s="133">
        <v>5</v>
      </c>
      <c r="BO85" s="133">
        <v>5</v>
      </c>
      <c r="BP85" s="133" t="s">
        <v>1360</v>
      </c>
      <c r="BQ85" s="133">
        <v>10003604</v>
      </c>
      <c r="BR85" s="133">
        <v>300</v>
      </c>
    </row>
    <row r="86" spans="1:70" s="133" customFormat="1">
      <c r="A86" s="133">
        <v>2030023</v>
      </c>
      <c r="B86" s="133">
        <v>83</v>
      </c>
      <c r="C86" s="133">
        <v>203</v>
      </c>
      <c r="D86" s="133" t="s">
        <v>202</v>
      </c>
      <c r="E86" s="133">
        <v>23</v>
      </c>
      <c r="F86" s="133" t="str">
        <f t="shared" si="0"/>
        <v>磨坊23</v>
      </c>
      <c r="H86" s="146"/>
      <c r="I86" s="133">
        <v>3</v>
      </c>
      <c r="J86" s="150">
        <f>INDEX('#建筑消耗和buff配置索引'!AH:AH,MATCH($F86,'#建筑消耗和buff配置索引'!$M:$M,0))</f>
        <v>77760</v>
      </c>
      <c r="K86" s="150">
        <f>INDEX('#建筑消耗和buff配置索引'!AA:AA,MATCH($F86,'#建筑消耗和buff配置索引'!$M:$M,0))</f>
        <v>0</v>
      </c>
      <c r="L86" s="150">
        <f>INDEX('#建筑消耗和buff配置索引'!AB:AB,MATCH($F86,'#建筑消耗和buff配置索引'!$M:$M,0))</f>
        <v>1400000</v>
      </c>
      <c r="M86" s="150">
        <f>INDEX('#建筑消耗和buff配置索引'!AC:AC,MATCH($F86,'#建筑消耗和buff配置索引'!$M:$M,0))</f>
        <v>1400000</v>
      </c>
      <c r="N86" s="150">
        <f>INDEX('#建筑消耗和buff配置索引'!AD:AD,MATCH($F86,'#建筑消耗和buff配置索引'!$M:$M,0))</f>
        <v>1400000</v>
      </c>
      <c r="O86" s="150" t="str">
        <f>IF(INDEX('#建筑消耗和buff配置索引'!T:T,MATCH($F86,'#建筑消耗和buff配置索引'!$M:$M,0))=0,"",INDEX('#建筑消耗和buff配置索引'!T:T,MATCH($F86,'#建筑消耗和buff配置索引'!$M:$M,0)))</f>
        <v/>
      </c>
      <c r="P86" s="133" t="str">
        <f>IF(INDEX('#建筑消耗和buff配置索引'!U:U,MATCH($F86,'#建筑消耗和buff配置索引'!$M:$M,0))=0,"",INDEX('#建筑消耗和buff配置索引'!U:U,MATCH($F86,'#建筑消耗和buff配置索引'!$M:$M,0)))</f>
        <v/>
      </c>
      <c r="Q86" s="133" t="str">
        <f>IF(INDEX('#建筑消耗和buff配置索引'!K:K,MATCH($F86,'#建筑消耗和buff配置索引'!$M:$M,0))=0,"",INDEX('#建筑消耗和buff配置索引'!K:K,MATCH($F86,'#建筑消耗和buff配置索引'!$M:$M,0)))</f>
        <v>201</v>
      </c>
      <c r="R86" s="133" t="str">
        <f>IF(INDEX('#建筑消耗和buff配置索引'!L:L,MATCH($F86,'#建筑消耗和buff配置索引'!$M:$M,0))=0,"",INDEX('#建筑消耗和buff配置索引'!L:L,MATCH($F86,'#建筑消耗和buff配置索引'!$M:$M,0)))</f>
        <v>23</v>
      </c>
      <c r="S86" s="133">
        <f>IF(INDEX('#建筑消耗和buff配置索引'!C:C,MATCH(F86,'#建筑消耗和buff配置索引'!M:M,0))=0,1,INDEX('#建筑消耗和buff配置索引'!C:C,MATCH(F86,'#建筑消耗和buff配置索引'!M:M,0)))</f>
        <v>1</v>
      </c>
      <c r="T86" s="133">
        <v>0</v>
      </c>
      <c r="U86" s="133">
        <v>0</v>
      </c>
      <c r="V86" s="133" t="str">
        <f>IF(E86=1,IF(INDEX('#建筑消耗和buff配置索引'!BY:BY,MATCH(D86,'#建筑消耗和buff配置索引'!A:A,0))=0,"",INDEX('#建筑消耗和buff配置索引'!BY:BY,MATCH(D86,'#建筑消耗和buff配置索引'!A:A,0))),"")</f>
        <v/>
      </c>
      <c r="W86" s="133" t="str">
        <f>IF(E86=1,IF(INDEX('#建筑消耗和buff配置索引'!BZ:BZ,MATCH(D86,'#建筑消耗和buff配置索引'!A:A,0))=0,"",INDEX('#建筑消耗和buff配置索引'!BZ:BZ,MATCH(D86,'#建筑消耗和buff配置索引'!A:A,0))),"")</f>
        <v/>
      </c>
      <c r="AA86" s="133">
        <f>INDEX('#建筑消耗和buff配置索引'!AO:AO,MATCH($F86,'#建筑消耗和buff配置索引'!$M:$M,0))</f>
        <v>36561</v>
      </c>
      <c r="AB86" s="133">
        <f>IF(INDEX('#建筑消耗和buff配置索引'!AR:AR,MATCH($F86,'#建筑消耗和buff配置索引'!$M:$M,0))=0,"",INDEX('#建筑消耗和buff配置索引'!AR:AR,MATCH($F86,'#建筑消耗和buff配置索引'!$M:$M,0)))</f>
        <v>1015</v>
      </c>
      <c r="AC86" s="133">
        <f>IF(AB86="","",INDEX('#建筑消耗和buff配置索引'!AS:AS,MATCH($F86,'#建筑消耗和buff配置索引'!$M:$M,0)))</f>
        <v>11400</v>
      </c>
      <c r="AF86" s="133">
        <f>IF(INDEX('#建筑消耗和buff配置索引'!AW:AW,MATCH($F86,'#建筑消耗和buff配置索引'!$M:$M,0))=0,"",INDEX('#建筑消耗和buff配置索引'!AW:AW,MATCH($F86,'#建筑消耗和buff配置索引'!$M:$M,0)))</f>
        <v>1206</v>
      </c>
      <c r="AG86" s="133">
        <f>IF(AF86="","",INDEX('#建筑消耗和buff配置索引'!AX:AX,MATCH($F86,'#建筑消耗和buff配置索引'!$M:$M,0)))</f>
        <v>3</v>
      </c>
      <c r="AJ86" s="133" t="str">
        <f>IF(INDEX('#建筑消耗和buff配置索引'!BB:BB,MATCH($F86,'#建筑消耗和buff配置索引'!$M:$M,0))=0,"",INDEX('#建筑消耗和buff配置索引'!BB:BB,MATCH($F86,'#建筑消耗和buff配置索引'!$M:$M,0)))</f>
        <v/>
      </c>
      <c r="AK86" s="133" t="str">
        <f>IF(AJ86="","",INDEX('#建筑消耗和buff配置索引'!BC:BC,MATCH($F86,'#建筑消耗和buff配置索引'!$M:$M,0)))</f>
        <v/>
      </c>
      <c r="AN86" s="133" t="str">
        <f>IF(INDEX('#建筑消耗和buff配置索引'!BG:BG,MATCH($F86,'#建筑消耗和buff配置索引'!$M:$M,0))=0,"",INDEX('#建筑消耗和buff配置索引'!BG:BG,MATCH($F86,'#建筑消耗和buff配置索引'!$M:$M,0)))</f>
        <v/>
      </c>
      <c r="AO86" s="133" t="str">
        <f>IF(AN86="","",INDEX('#建筑消耗和buff配置索引'!BH:BH,MATCH($F86,'#建筑消耗和buff配置索引'!$M:$M,0)))</f>
        <v/>
      </c>
      <c r="AR86" s="133" t="str">
        <f>IF(INDEX('#建筑消耗和buff配置索引'!BK:BK,MATCH($F86,'#建筑消耗和buff配置索引'!$M:$M,0))=0,"",INDEX('#建筑消耗和buff配置索引'!BK:BK,MATCH($F86,'#建筑消耗和buff配置索引'!$M:$M,0)))</f>
        <v/>
      </c>
      <c r="AS86" s="133" t="str">
        <f>IF(AR86="","",INDEX('#建筑消耗和buff配置索引'!BL:BL,MATCH($F86,'#建筑消耗和buff配置索引'!$M:$M,0)))</f>
        <v/>
      </c>
      <c r="AV86" s="133" t="str">
        <f>IF(INDEX('#建筑消耗和buff配置索引'!BO:BO,MATCH($F86,'#建筑消耗和buff配置索引'!$M:$M,0))=0,"",INDEX('#建筑消耗和buff配置索引'!BO:BO,MATCH($F86,'#建筑消耗和buff配置索引'!$M:$M,0)))</f>
        <v/>
      </c>
      <c r="AW86" s="133" t="str">
        <f>IF(AV86="","",INDEX('#建筑消耗和buff配置索引'!BP:BP,MATCH($F86,'#建筑消耗和buff配置索引'!$M:$M,0)))</f>
        <v/>
      </c>
      <c r="AZ86" s="133" t="str">
        <f>IF(INDEX('#建筑消耗和buff配置索引'!BS:BS,MATCH($F86,'#建筑消耗和buff配置索引'!$M:$M,0))=0,"",INDEX('#建筑消耗和buff配置索引'!BS:BS,MATCH($F86,'#建筑消耗和buff配置索引'!$M:$M,0)))</f>
        <v/>
      </c>
      <c r="BA86" s="133" t="str">
        <f>IF(AZ86="","",INDEX('#建筑消耗和buff配置索引'!BT:BT,MATCH($F86,'#建筑消耗和buff配置索引'!$M:$M,0)))</f>
        <v/>
      </c>
      <c r="BD86" s="133" t="str">
        <f>IF(INDEX('#建筑消耗和buff配置索引'!BW:BW,MATCH($F86,'#建筑消耗和buff配置索引'!$M:$M,0))=0,"",INDEX('#建筑消耗和buff配置索引'!BW:BW,MATCH($F86,'#建筑消耗和buff配置索引'!$M:$M,0)))</f>
        <v/>
      </c>
      <c r="BE86" s="133" t="str">
        <f>IF(BD86="","",INDEX('#建筑消耗和buff配置索引'!BX:BX,MATCH($F86,'#建筑消耗和buff配置索引'!$M:$M,0)))</f>
        <v/>
      </c>
      <c r="BI86" s="133">
        <v>5</v>
      </c>
      <c r="BO86" s="133">
        <v>5</v>
      </c>
      <c r="BP86" s="133" t="s">
        <v>1360</v>
      </c>
      <c r="BQ86" s="133">
        <v>10003604</v>
      </c>
      <c r="BR86" s="133">
        <v>300</v>
      </c>
    </row>
    <row r="87" spans="1:70" s="133" customFormat="1">
      <c r="A87" s="133">
        <v>2030024</v>
      </c>
      <c r="B87" s="133">
        <v>84</v>
      </c>
      <c r="C87" s="133">
        <v>203</v>
      </c>
      <c r="D87" s="133" t="s">
        <v>202</v>
      </c>
      <c r="E87" s="133">
        <v>24</v>
      </c>
      <c r="F87" s="133" t="str">
        <f t="shared" si="0"/>
        <v>磨坊24</v>
      </c>
      <c r="H87" s="146"/>
      <c r="I87" s="133">
        <v>3</v>
      </c>
      <c r="J87" s="150">
        <f>INDEX('#建筑消耗和buff配置索引'!AH:AH,MATCH($F87,'#建筑消耗和buff配置索引'!$M:$M,0))</f>
        <v>99360</v>
      </c>
      <c r="K87" s="150">
        <f>INDEX('#建筑消耗和buff配置索引'!AA:AA,MATCH($F87,'#建筑消耗和buff配置索引'!$M:$M,0))</f>
        <v>0</v>
      </c>
      <c r="L87" s="150">
        <f>INDEX('#建筑消耗和buff配置索引'!AB:AB,MATCH($F87,'#建筑消耗和buff配置索引'!$M:$M,0))</f>
        <v>1800000</v>
      </c>
      <c r="M87" s="150">
        <f>INDEX('#建筑消耗和buff配置索引'!AC:AC,MATCH($F87,'#建筑消耗和buff配置索引'!$M:$M,0))</f>
        <v>1800000</v>
      </c>
      <c r="N87" s="150">
        <f>INDEX('#建筑消耗和buff配置索引'!AD:AD,MATCH($F87,'#建筑消耗和buff配置索引'!$M:$M,0))</f>
        <v>1800000</v>
      </c>
      <c r="O87" s="150" t="str">
        <f>IF(INDEX('#建筑消耗和buff配置索引'!T:T,MATCH($F87,'#建筑消耗和buff配置索引'!$M:$M,0))=0,"",INDEX('#建筑消耗和buff配置索引'!T:T,MATCH($F87,'#建筑消耗和buff配置索引'!$M:$M,0)))</f>
        <v/>
      </c>
      <c r="P87" s="133" t="str">
        <f>IF(INDEX('#建筑消耗和buff配置索引'!U:U,MATCH($F87,'#建筑消耗和buff配置索引'!$M:$M,0))=0,"",INDEX('#建筑消耗和buff配置索引'!U:U,MATCH($F87,'#建筑消耗和buff配置索引'!$M:$M,0)))</f>
        <v/>
      </c>
      <c r="Q87" s="133" t="str">
        <f>IF(INDEX('#建筑消耗和buff配置索引'!K:K,MATCH($F87,'#建筑消耗和buff配置索引'!$M:$M,0))=0,"",INDEX('#建筑消耗和buff配置索引'!K:K,MATCH($F87,'#建筑消耗和buff配置索引'!$M:$M,0)))</f>
        <v>201</v>
      </c>
      <c r="R87" s="133" t="str">
        <f>IF(INDEX('#建筑消耗和buff配置索引'!L:L,MATCH($F87,'#建筑消耗和buff配置索引'!$M:$M,0))=0,"",INDEX('#建筑消耗和buff配置索引'!L:L,MATCH($F87,'#建筑消耗和buff配置索引'!$M:$M,0)))</f>
        <v>24</v>
      </c>
      <c r="S87" s="133">
        <f>IF(INDEX('#建筑消耗和buff配置索引'!C:C,MATCH(F87,'#建筑消耗和buff配置索引'!M:M,0))=0,1,INDEX('#建筑消耗和buff配置索引'!C:C,MATCH(F87,'#建筑消耗和buff配置索引'!M:M,0)))</f>
        <v>1</v>
      </c>
      <c r="T87" s="133">
        <v>0</v>
      </c>
      <c r="U87" s="133">
        <v>0</v>
      </c>
      <c r="V87" s="133" t="str">
        <f>IF(E87=1,IF(INDEX('#建筑消耗和buff配置索引'!BY:BY,MATCH(D87,'#建筑消耗和buff配置索引'!A:A,0))=0,"",INDEX('#建筑消耗和buff配置索引'!BY:BY,MATCH(D87,'#建筑消耗和buff配置索引'!A:A,0))),"")</f>
        <v/>
      </c>
      <c r="W87" s="133" t="str">
        <f>IF(E87=1,IF(INDEX('#建筑消耗和buff配置索引'!BZ:BZ,MATCH(D87,'#建筑消耗和buff配置索引'!A:A,0))=0,"",INDEX('#建筑消耗和buff配置索引'!BZ:BZ,MATCH(D87,'#建筑消耗和buff配置索引'!A:A,0))),"")</f>
        <v/>
      </c>
      <c r="AA87" s="133">
        <f>INDEX('#建筑消耗和buff配置索引'!AO:AO,MATCH($F87,'#建筑消耗和buff配置索引'!$M:$M,0))</f>
        <v>47100</v>
      </c>
      <c r="AB87" s="133">
        <f>IF(INDEX('#建筑消耗和buff配置索引'!AR:AR,MATCH($F87,'#建筑消耗和buff配置索引'!$M:$M,0))=0,"",INDEX('#建筑消耗和buff配置索引'!AR:AR,MATCH($F87,'#建筑消耗和buff配置索引'!$M:$M,0)))</f>
        <v>1015</v>
      </c>
      <c r="AC87" s="133">
        <f>IF(AB87="","",INDEX('#建筑消耗和buff配置索引'!AS:AS,MATCH($F87,'#建筑消耗和buff配置索引'!$M:$M,0)))</f>
        <v>12200</v>
      </c>
      <c r="AF87" s="133">
        <f>IF(INDEX('#建筑消耗和buff配置索引'!AW:AW,MATCH($F87,'#建筑消耗和buff配置索引'!$M:$M,0))=0,"",INDEX('#建筑消耗和buff配置索引'!AW:AW,MATCH($F87,'#建筑消耗和buff配置索引'!$M:$M,0)))</f>
        <v>1206</v>
      </c>
      <c r="AG87" s="133">
        <f>IF(AF87="","",INDEX('#建筑消耗和buff配置索引'!AX:AX,MATCH($F87,'#建筑消耗和buff配置索引'!$M:$M,0)))</f>
        <v>3</v>
      </c>
      <c r="AJ87" s="133" t="str">
        <f>IF(INDEX('#建筑消耗和buff配置索引'!BB:BB,MATCH($F87,'#建筑消耗和buff配置索引'!$M:$M,0))=0,"",INDEX('#建筑消耗和buff配置索引'!BB:BB,MATCH($F87,'#建筑消耗和buff配置索引'!$M:$M,0)))</f>
        <v/>
      </c>
      <c r="AK87" s="133" t="str">
        <f>IF(AJ87="","",INDEX('#建筑消耗和buff配置索引'!BC:BC,MATCH($F87,'#建筑消耗和buff配置索引'!$M:$M,0)))</f>
        <v/>
      </c>
      <c r="AN87" s="133" t="str">
        <f>IF(INDEX('#建筑消耗和buff配置索引'!BG:BG,MATCH($F87,'#建筑消耗和buff配置索引'!$M:$M,0))=0,"",INDEX('#建筑消耗和buff配置索引'!BG:BG,MATCH($F87,'#建筑消耗和buff配置索引'!$M:$M,0)))</f>
        <v/>
      </c>
      <c r="AO87" s="133" t="str">
        <f>IF(AN87="","",INDEX('#建筑消耗和buff配置索引'!BH:BH,MATCH($F87,'#建筑消耗和buff配置索引'!$M:$M,0)))</f>
        <v/>
      </c>
      <c r="AR87" s="133" t="str">
        <f>IF(INDEX('#建筑消耗和buff配置索引'!BK:BK,MATCH($F87,'#建筑消耗和buff配置索引'!$M:$M,0))=0,"",INDEX('#建筑消耗和buff配置索引'!BK:BK,MATCH($F87,'#建筑消耗和buff配置索引'!$M:$M,0)))</f>
        <v/>
      </c>
      <c r="AS87" s="133" t="str">
        <f>IF(AR87="","",INDEX('#建筑消耗和buff配置索引'!BL:BL,MATCH($F87,'#建筑消耗和buff配置索引'!$M:$M,0)))</f>
        <v/>
      </c>
      <c r="AV87" s="133" t="str">
        <f>IF(INDEX('#建筑消耗和buff配置索引'!BO:BO,MATCH($F87,'#建筑消耗和buff配置索引'!$M:$M,0))=0,"",INDEX('#建筑消耗和buff配置索引'!BO:BO,MATCH($F87,'#建筑消耗和buff配置索引'!$M:$M,0)))</f>
        <v/>
      </c>
      <c r="AW87" s="133" t="str">
        <f>IF(AV87="","",INDEX('#建筑消耗和buff配置索引'!BP:BP,MATCH($F87,'#建筑消耗和buff配置索引'!$M:$M,0)))</f>
        <v/>
      </c>
      <c r="AZ87" s="133" t="str">
        <f>IF(INDEX('#建筑消耗和buff配置索引'!BS:BS,MATCH($F87,'#建筑消耗和buff配置索引'!$M:$M,0))=0,"",INDEX('#建筑消耗和buff配置索引'!BS:BS,MATCH($F87,'#建筑消耗和buff配置索引'!$M:$M,0)))</f>
        <v/>
      </c>
      <c r="BA87" s="133" t="str">
        <f>IF(AZ87="","",INDEX('#建筑消耗和buff配置索引'!BT:BT,MATCH($F87,'#建筑消耗和buff配置索引'!$M:$M,0)))</f>
        <v/>
      </c>
      <c r="BD87" s="133" t="str">
        <f>IF(INDEX('#建筑消耗和buff配置索引'!BW:BW,MATCH($F87,'#建筑消耗和buff配置索引'!$M:$M,0))=0,"",INDEX('#建筑消耗和buff配置索引'!BW:BW,MATCH($F87,'#建筑消耗和buff配置索引'!$M:$M,0)))</f>
        <v/>
      </c>
      <c r="BE87" s="133" t="str">
        <f>IF(BD87="","",INDEX('#建筑消耗和buff配置索引'!BX:BX,MATCH($F87,'#建筑消耗和buff配置索引'!$M:$M,0)))</f>
        <v/>
      </c>
      <c r="BI87" s="133">
        <v>5</v>
      </c>
      <c r="BO87" s="133">
        <v>5</v>
      </c>
      <c r="BP87" s="133" t="s">
        <v>1360</v>
      </c>
      <c r="BQ87" s="133">
        <v>10003604</v>
      </c>
      <c r="BR87" s="133">
        <v>300</v>
      </c>
    </row>
    <row r="88" spans="1:70" s="133" customFormat="1">
      <c r="A88" s="133">
        <v>2030025</v>
      </c>
      <c r="B88" s="133">
        <v>85</v>
      </c>
      <c r="C88" s="133">
        <v>203</v>
      </c>
      <c r="D88" s="133" t="s">
        <v>202</v>
      </c>
      <c r="E88" s="133">
        <v>25</v>
      </c>
      <c r="F88" s="133" t="str">
        <f t="shared" si="0"/>
        <v>磨坊25</v>
      </c>
      <c r="H88" s="146"/>
      <c r="I88" s="133">
        <v>3</v>
      </c>
      <c r="J88" s="150">
        <f>INDEX('#建筑消耗和buff配置索引'!AH:AH,MATCH($F88,'#建筑消耗和buff配置索引'!$M:$M,0))</f>
        <v>125280</v>
      </c>
      <c r="K88" s="150">
        <f>INDEX('#建筑消耗和buff配置索引'!AA:AA,MATCH($F88,'#建筑消耗和buff配置索引'!$M:$M,0))</f>
        <v>0</v>
      </c>
      <c r="L88" s="150">
        <f>INDEX('#建筑消耗和buff配置索引'!AB:AB,MATCH($F88,'#建筑消耗和buff配置索引'!$M:$M,0))</f>
        <v>2200000</v>
      </c>
      <c r="M88" s="150">
        <f>INDEX('#建筑消耗和buff配置索引'!AC:AC,MATCH($F88,'#建筑消耗和buff配置索引'!$M:$M,0))</f>
        <v>2200000</v>
      </c>
      <c r="N88" s="150">
        <f>INDEX('#建筑消耗和buff配置索引'!AD:AD,MATCH($F88,'#建筑消耗和buff配置索引'!$M:$M,0))</f>
        <v>2200000</v>
      </c>
      <c r="O88" s="150" t="str">
        <f>IF(INDEX('#建筑消耗和buff配置索引'!T:T,MATCH($F88,'#建筑消耗和buff配置索引'!$M:$M,0))=0,"",INDEX('#建筑消耗和buff配置索引'!T:T,MATCH($F88,'#建筑消耗和buff配置索引'!$M:$M,0)))</f>
        <v/>
      </c>
      <c r="P88" s="133" t="str">
        <f>IF(INDEX('#建筑消耗和buff配置索引'!U:U,MATCH($F88,'#建筑消耗和buff配置索引'!$M:$M,0))=0,"",INDEX('#建筑消耗和buff配置索引'!U:U,MATCH($F88,'#建筑消耗和buff配置索引'!$M:$M,0)))</f>
        <v/>
      </c>
      <c r="Q88" s="133" t="str">
        <f>IF(INDEX('#建筑消耗和buff配置索引'!K:K,MATCH($F88,'#建筑消耗和buff配置索引'!$M:$M,0))=0,"",INDEX('#建筑消耗和buff配置索引'!K:K,MATCH($F88,'#建筑消耗和buff配置索引'!$M:$M,0)))</f>
        <v>201</v>
      </c>
      <c r="R88" s="133" t="str">
        <f>IF(INDEX('#建筑消耗和buff配置索引'!L:L,MATCH($F88,'#建筑消耗和buff配置索引'!$M:$M,0))=0,"",INDEX('#建筑消耗和buff配置索引'!L:L,MATCH($F88,'#建筑消耗和buff配置索引'!$M:$M,0)))</f>
        <v>25</v>
      </c>
      <c r="S88" s="133">
        <f>IF(INDEX('#建筑消耗和buff配置索引'!C:C,MATCH(F88,'#建筑消耗和buff配置索引'!M:M,0))=0,1,INDEX('#建筑消耗和buff配置索引'!C:C,MATCH(F88,'#建筑消耗和buff配置索引'!M:M,0)))</f>
        <v>1</v>
      </c>
      <c r="T88" s="133">
        <v>0</v>
      </c>
      <c r="U88" s="133">
        <v>0</v>
      </c>
      <c r="V88" s="133" t="str">
        <f>IF(E88=1,IF(INDEX('#建筑消耗和buff配置索引'!BY:BY,MATCH(D88,'#建筑消耗和buff配置索引'!A:A,0))=0,"",INDEX('#建筑消耗和buff配置索引'!BY:BY,MATCH(D88,'#建筑消耗和buff配置索引'!A:A,0))),"")</f>
        <v/>
      </c>
      <c r="W88" s="133" t="str">
        <f>IF(E88=1,IF(INDEX('#建筑消耗和buff配置索引'!BZ:BZ,MATCH(D88,'#建筑消耗和buff配置索引'!A:A,0))=0,"",INDEX('#建筑消耗和buff配置索引'!BZ:BZ,MATCH(D88,'#建筑消耗和buff配置索引'!A:A,0))),"")</f>
        <v/>
      </c>
      <c r="AA88" s="133">
        <f>INDEX('#建筑消耗和buff配置索引'!AO:AO,MATCH($F88,'#建筑消耗和buff配置索引'!$M:$M,0))</f>
        <v>60589</v>
      </c>
      <c r="AB88" s="133">
        <f>IF(INDEX('#建筑消耗和buff配置索引'!AR:AR,MATCH($F88,'#建筑消耗和buff配置索引'!$M:$M,0))=0,"",INDEX('#建筑消耗和buff配置索引'!AR:AR,MATCH($F88,'#建筑消耗和buff配置索引'!$M:$M,0)))</f>
        <v>1015</v>
      </c>
      <c r="AC88" s="133">
        <f>IF(AB88="","",INDEX('#建筑消耗和buff配置索引'!AS:AS,MATCH($F88,'#建筑消耗和buff配置索引'!$M:$M,0)))</f>
        <v>13000</v>
      </c>
      <c r="AF88" s="133">
        <f>IF(INDEX('#建筑消耗和buff配置索引'!AW:AW,MATCH($F88,'#建筑消耗和buff配置索引'!$M:$M,0))=0,"",INDEX('#建筑消耗和buff配置索引'!AW:AW,MATCH($F88,'#建筑消耗和buff配置索引'!$M:$M,0)))</f>
        <v>1206</v>
      </c>
      <c r="AG88" s="133">
        <f>IF(AF88="","",INDEX('#建筑消耗和buff配置索引'!AX:AX,MATCH($F88,'#建筑消耗和buff配置索引'!$M:$M,0)))</f>
        <v>3</v>
      </c>
      <c r="AJ88" s="133" t="str">
        <f>IF(INDEX('#建筑消耗和buff配置索引'!BB:BB,MATCH($F88,'#建筑消耗和buff配置索引'!$M:$M,0))=0,"",INDEX('#建筑消耗和buff配置索引'!BB:BB,MATCH($F88,'#建筑消耗和buff配置索引'!$M:$M,0)))</f>
        <v/>
      </c>
      <c r="AK88" s="133" t="str">
        <f>IF(AJ88="","",INDEX('#建筑消耗和buff配置索引'!BC:BC,MATCH($F88,'#建筑消耗和buff配置索引'!$M:$M,0)))</f>
        <v/>
      </c>
      <c r="AN88" s="133" t="str">
        <f>IF(INDEX('#建筑消耗和buff配置索引'!BG:BG,MATCH($F88,'#建筑消耗和buff配置索引'!$M:$M,0))=0,"",INDEX('#建筑消耗和buff配置索引'!BG:BG,MATCH($F88,'#建筑消耗和buff配置索引'!$M:$M,0)))</f>
        <v/>
      </c>
      <c r="AO88" s="133" t="str">
        <f>IF(AN88="","",INDEX('#建筑消耗和buff配置索引'!BH:BH,MATCH($F88,'#建筑消耗和buff配置索引'!$M:$M,0)))</f>
        <v/>
      </c>
      <c r="AR88" s="133" t="str">
        <f>IF(INDEX('#建筑消耗和buff配置索引'!BK:BK,MATCH($F88,'#建筑消耗和buff配置索引'!$M:$M,0))=0,"",INDEX('#建筑消耗和buff配置索引'!BK:BK,MATCH($F88,'#建筑消耗和buff配置索引'!$M:$M,0)))</f>
        <v/>
      </c>
      <c r="AS88" s="133" t="str">
        <f>IF(AR88="","",INDEX('#建筑消耗和buff配置索引'!BL:BL,MATCH($F88,'#建筑消耗和buff配置索引'!$M:$M,0)))</f>
        <v/>
      </c>
      <c r="AV88" s="133" t="str">
        <f>IF(INDEX('#建筑消耗和buff配置索引'!BO:BO,MATCH($F88,'#建筑消耗和buff配置索引'!$M:$M,0))=0,"",INDEX('#建筑消耗和buff配置索引'!BO:BO,MATCH($F88,'#建筑消耗和buff配置索引'!$M:$M,0)))</f>
        <v/>
      </c>
      <c r="AW88" s="133" t="str">
        <f>IF(AV88="","",INDEX('#建筑消耗和buff配置索引'!BP:BP,MATCH($F88,'#建筑消耗和buff配置索引'!$M:$M,0)))</f>
        <v/>
      </c>
      <c r="AZ88" s="133" t="str">
        <f>IF(INDEX('#建筑消耗和buff配置索引'!BS:BS,MATCH($F88,'#建筑消耗和buff配置索引'!$M:$M,0))=0,"",INDEX('#建筑消耗和buff配置索引'!BS:BS,MATCH($F88,'#建筑消耗和buff配置索引'!$M:$M,0)))</f>
        <v/>
      </c>
      <c r="BA88" s="133" t="str">
        <f>IF(AZ88="","",INDEX('#建筑消耗和buff配置索引'!BT:BT,MATCH($F88,'#建筑消耗和buff配置索引'!$M:$M,0)))</f>
        <v/>
      </c>
      <c r="BD88" s="133" t="str">
        <f>IF(INDEX('#建筑消耗和buff配置索引'!BW:BW,MATCH($F88,'#建筑消耗和buff配置索引'!$M:$M,0))=0,"",INDEX('#建筑消耗和buff配置索引'!BW:BW,MATCH($F88,'#建筑消耗和buff配置索引'!$M:$M,0)))</f>
        <v/>
      </c>
      <c r="BE88" s="133" t="str">
        <f>IF(BD88="","",INDEX('#建筑消耗和buff配置索引'!BX:BX,MATCH($F88,'#建筑消耗和buff配置索引'!$M:$M,0)))</f>
        <v/>
      </c>
      <c r="BI88" s="133">
        <v>5</v>
      </c>
      <c r="BO88" s="133">
        <v>5</v>
      </c>
      <c r="BP88" s="133" t="s">
        <v>1360</v>
      </c>
      <c r="BQ88" s="133">
        <v>10003604</v>
      </c>
      <c r="BR88" s="133">
        <v>300</v>
      </c>
    </row>
    <row r="89" spans="1:70" s="133" customFormat="1">
      <c r="A89" s="133">
        <v>2030026</v>
      </c>
      <c r="B89" s="133">
        <v>86</v>
      </c>
      <c r="C89" s="133">
        <v>203</v>
      </c>
      <c r="D89" s="133" t="s">
        <v>202</v>
      </c>
      <c r="E89" s="133">
        <v>26</v>
      </c>
      <c r="F89" s="133" t="str">
        <f t="shared" si="0"/>
        <v>磨坊26</v>
      </c>
      <c r="H89" s="146"/>
      <c r="I89" s="133">
        <v>3</v>
      </c>
      <c r="J89" s="150">
        <f>INDEX('#建筑消耗和buff配置索引'!AH:AH,MATCH($F89,'#建筑消耗和buff配置索引'!$M:$M,0))</f>
        <v>155520</v>
      </c>
      <c r="K89" s="150">
        <f>INDEX('#建筑消耗和buff配置索引'!AA:AA,MATCH($F89,'#建筑消耗和buff配置索引'!$M:$M,0))</f>
        <v>0</v>
      </c>
      <c r="L89" s="150">
        <f>INDEX('#建筑消耗和buff配置索引'!AB:AB,MATCH($F89,'#建筑消耗和buff配置索引'!$M:$M,0))</f>
        <v>2900000</v>
      </c>
      <c r="M89" s="150">
        <f>INDEX('#建筑消耗和buff配置索引'!AC:AC,MATCH($F89,'#建筑消耗和buff配置索引'!$M:$M,0))</f>
        <v>2900000</v>
      </c>
      <c r="N89" s="150">
        <f>INDEX('#建筑消耗和buff配置索引'!AD:AD,MATCH($F89,'#建筑消耗和buff配置索引'!$M:$M,0))</f>
        <v>2900000</v>
      </c>
      <c r="O89" s="150" t="str">
        <f>IF(INDEX('#建筑消耗和buff配置索引'!T:T,MATCH($F89,'#建筑消耗和buff配置索引'!$M:$M,0))=0,"",INDEX('#建筑消耗和buff配置索引'!T:T,MATCH($F89,'#建筑消耗和buff配置索引'!$M:$M,0)))</f>
        <v/>
      </c>
      <c r="P89" s="133" t="str">
        <f>IF(INDEX('#建筑消耗和buff配置索引'!U:U,MATCH($F89,'#建筑消耗和buff配置索引'!$M:$M,0))=0,"",INDEX('#建筑消耗和buff配置索引'!U:U,MATCH($F89,'#建筑消耗和buff配置索引'!$M:$M,0)))</f>
        <v/>
      </c>
      <c r="Q89" s="133" t="str">
        <f>IF(INDEX('#建筑消耗和buff配置索引'!K:K,MATCH($F89,'#建筑消耗和buff配置索引'!$M:$M,0))=0,"",INDEX('#建筑消耗和buff配置索引'!K:K,MATCH($F89,'#建筑消耗和buff配置索引'!$M:$M,0)))</f>
        <v>201</v>
      </c>
      <c r="R89" s="133" t="str">
        <f>IF(INDEX('#建筑消耗和buff配置索引'!L:L,MATCH($F89,'#建筑消耗和buff配置索引'!$M:$M,0))=0,"",INDEX('#建筑消耗和buff配置索引'!L:L,MATCH($F89,'#建筑消耗和buff配置索引'!$M:$M,0)))</f>
        <v>26</v>
      </c>
      <c r="S89" s="133">
        <f>IF(INDEX('#建筑消耗和buff配置索引'!C:C,MATCH(F89,'#建筑消耗和buff配置索引'!M:M,0))=0,1,INDEX('#建筑消耗和buff配置索引'!C:C,MATCH(F89,'#建筑消耗和buff配置索引'!M:M,0)))</f>
        <v>1</v>
      </c>
      <c r="T89" s="133">
        <v>0</v>
      </c>
      <c r="U89" s="133">
        <v>0</v>
      </c>
      <c r="V89" s="133" t="str">
        <f>IF(E89=1,IF(INDEX('#建筑消耗和buff配置索引'!BY:BY,MATCH(D89,'#建筑消耗和buff配置索引'!A:A,0))=0,"",INDEX('#建筑消耗和buff配置索引'!BY:BY,MATCH(D89,'#建筑消耗和buff配置索引'!A:A,0))),"")</f>
        <v/>
      </c>
      <c r="W89" s="133" t="str">
        <f>IF(E89=1,IF(INDEX('#建筑消耗和buff配置索引'!BZ:BZ,MATCH(D89,'#建筑消耗和buff配置索引'!A:A,0))=0,"",INDEX('#建筑消耗和buff配置索引'!BZ:BZ,MATCH(D89,'#建筑消耗和buff配置索引'!A:A,0))),"")</f>
        <v/>
      </c>
      <c r="AA89" s="133">
        <f>INDEX('#建筑消耗和buff配置索引'!AO:AO,MATCH($F89,'#建筑消耗和buff配置索引'!$M:$M,0))</f>
        <v>77856</v>
      </c>
      <c r="AB89" s="133">
        <f>IF(INDEX('#建筑消耗和buff配置索引'!AR:AR,MATCH($F89,'#建筑消耗和buff配置索引'!$M:$M,0))=0,"",INDEX('#建筑消耗和buff配置索引'!AR:AR,MATCH($F89,'#建筑消耗和buff配置索引'!$M:$M,0)))</f>
        <v>1015</v>
      </c>
      <c r="AC89" s="133">
        <f>IF(AB89="","",INDEX('#建筑消耗和buff配置索引'!AS:AS,MATCH($F89,'#建筑消耗和buff配置索引'!$M:$M,0)))</f>
        <v>14000</v>
      </c>
      <c r="AF89" s="133">
        <f>IF(INDEX('#建筑消耗和buff配置索引'!AW:AW,MATCH($F89,'#建筑消耗和buff配置索引'!$M:$M,0))=0,"",INDEX('#建筑消耗和buff配置索引'!AW:AW,MATCH($F89,'#建筑消耗和buff配置索引'!$M:$M,0)))</f>
        <v>1206</v>
      </c>
      <c r="AG89" s="133">
        <f>IF(AF89="","",INDEX('#建筑消耗和buff配置索引'!AX:AX,MATCH($F89,'#建筑消耗和buff配置索引'!$M:$M,0)))</f>
        <v>4</v>
      </c>
      <c r="AJ89" s="133" t="str">
        <f>IF(INDEX('#建筑消耗和buff配置索引'!BB:BB,MATCH($F89,'#建筑消耗和buff配置索引'!$M:$M,0))=0,"",INDEX('#建筑消耗和buff配置索引'!BB:BB,MATCH($F89,'#建筑消耗和buff配置索引'!$M:$M,0)))</f>
        <v/>
      </c>
      <c r="AK89" s="133" t="str">
        <f>IF(AJ89="","",INDEX('#建筑消耗和buff配置索引'!BC:BC,MATCH($F89,'#建筑消耗和buff配置索引'!$M:$M,0)))</f>
        <v/>
      </c>
      <c r="AN89" s="133" t="str">
        <f>IF(INDEX('#建筑消耗和buff配置索引'!BG:BG,MATCH($F89,'#建筑消耗和buff配置索引'!$M:$M,0))=0,"",INDEX('#建筑消耗和buff配置索引'!BG:BG,MATCH($F89,'#建筑消耗和buff配置索引'!$M:$M,0)))</f>
        <v/>
      </c>
      <c r="AO89" s="133" t="str">
        <f>IF(AN89="","",INDEX('#建筑消耗和buff配置索引'!BH:BH,MATCH($F89,'#建筑消耗和buff配置索引'!$M:$M,0)))</f>
        <v/>
      </c>
      <c r="AR89" s="133" t="str">
        <f>IF(INDEX('#建筑消耗和buff配置索引'!BK:BK,MATCH($F89,'#建筑消耗和buff配置索引'!$M:$M,0))=0,"",INDEX('#建筑消耗和buff配置索引'!BK:BK,MATCH($F89,'#建筑消耗和buff配置索引'!$M:$M,0)))</f>
        <v/>
      </c>
      <c r="AS89" s="133" t="str">
        <f>IF(AR89="","",INDEX('#建筑消耗和buff配置索引'!BL:BL,MATCH($F89,'#建筑消耗和buff配置索引'!$M:$M,0)))</f>
        <v/>
      </c>
      <c r="AV89" s="133" t="str">
        <f>IF(INDEX('#建筑消耗和buff配置索引'!BO:BO,MATCH($F89,'#建筑消耗和buff配置索引'!$M:$M,0))=0,"",INDEX('#建筑消耗和buff配置索引'!BO:BO,MATCH($F89,'#建筑消耗和buff配置索引'!$M:$M,0)))</f>
        <v/>
      </c>
      <c r="AW89" s="133" t="str">
        <f>IF(AV89="","",INDEX('#建筑消耗和buff配置索引'!BP:BP,MATCH($F89,'#建筑消耗和buff配置索引'!$M:$M,0)))</f>
        <v/>
      </c>
      <c r="AZ89" s="133" t="str">
        <f>IF(INDEX('#建筑消耗和buff配置索引'!BS:BS,MATCH($F89,'#建筑消耗和buff配置索引'!$M:$M,0))=0,"",INDEX('#建筑消耗和buff配置索引'!BS:BS,MATCH($F89,'#建筑消耗和buff配置索引'!$M:$M,0)))</f>
        <v/>
      </c>
      <c r="BA89" s="133" t="str">
        <f>IF(AZ89="","",INDEX('#建筑消耗和buff配置索引'!BT:BT,MATCH($F89,'#建筑消耗和buff配置索引'!$M:$M,0)))</f>
        <v/>
      </c>
      <c r="BD89" s="133" t="str">
        <f>IF(INDEX('#建筑消耗和buff配置索引'!BW:BW,MATCH($F89,'#建筑消耗和buff配置索引'!$M:$M,0))=0,"",INDEX('#建筑消耗和buff配置索引'!BW:BW,MATCH($F89,'#建筑消耗和buff配置索引'!$M:$M,0)))</f>
        <v/>
      </c>
      <c r="BE89" s="133" t="str">
        <f>IF(BD89="","",INDEX('#建筑消耗和buff配置索引'!BX:BX,MATCH($F89,'#建筑消耗和buff配置索引'!$M:$M,0)))</f>
        <v/>
      </c>
      <c r="BI89" s="133">
        <v>5</v>
      </c>
      <c r="BO89" s="133">
        <v>5</v>
      </c>
      <c r="BP89" s="133" t="s">
        <v>1360</v>
      </c>
      <c r="BQ89" s="133">
        <v>10003604</v>
      </c>
      <c r="BR89" s="133">
        <v>300</v>
      </c>
    </row>
    <row r="90" spans="1:70" s="133" customFormat="1">
      <c r="A90" s="133">
        <v>2030027</v>
      </c>
      <c r="B90" s="133">
        <v>87</v>
      </c>
      <c r="C90" s="133">
        <v>203</v>
      </c>
      <c r="D90" s="133" t="s">
        <v>202</v>
      </c>
      <c r="E90" s="133">
        <v>27</v>
      </c>
      <c r="F90" s="133" t="str">
        <f t="shared" si="0"/>
        <v>磨坊27</v>
      </c>
      <c r="H90" s="146"/>
      <c r="I90" s="133">
        <v>3</v>
      </c>
      <c r="J90" s="150">
        <f>INDEX('#建筑消耗和buff配置索引'!AH:AH,MATCH($F90,'#建筑消耗和buff配置索引'!$M:$M,0))</f>
        <v>190080</v>
      </c>
      <c r="K90" s="150">
        <f>INDEX('#建筑消耗和buff配置索引'!AA:AA,MATCH($F90,'#建筑消耗和buff配置索引'!$M:$M,0))</f>
        <v>0</v>
      </c>
      <c r="L90" s="150">
        <f>INDEX('#建筑消耗和buff配置索引'!AB:AB,MATCH($F90,'#建筑消耗和buff配置索引'!$M:$M,0))</f>
        <v>3700000</v>
      </c>
      <c r="M90" s="150">
        <f>INDEX('#建筑消耗和buff配置索引'!AC:AC,MATCH($F90,'#建筑消耗和buff配置索引'!$M:$M,0))</f>
        <v>3700000</v>
      </c>
      <c r="N90" s="150">
        <f>INDEX('#建筑消耗和buff配置索引'!AD:AD,MATCH($F90,'#建筑消耗和buff配置索引'!$M:$M,0))</f>
        <v>3700000</v>
      </c>
      <c r="O90" s="150" t="str">
        <f>IF(INDEX('#建筑消耗和buff配置索引'!T:T,MATCH($F90,'#建筑消耗和buff配置索引'!$M:$M,0))=0,"",INDEX('#建筑消耗和buff配置索引'!T:T,MATCH($F90,'#建筑消耗和buff配置索引'!$M:$M,0)))</f>
        <v/>
      </c>
      <c r="P90" s="133" t="str">
        <f>IF(INDEX('#建筑消耗和buff配置索引'!U:U,MATCH($F90,'#建筑消耗和buff配置索引'!$M:$M,0))=0,"",INDEX('#建筑消耗和buff配置索引'!U:U,MATCH($F90,'#建筑消耗和buff配置索引'!$M:$M,0)))</f>
        <v/>
      </c>
      <c r="Q90" s="133" t="str">
        <f>IF(INDEX('#建筑消耗和buff配置索引'!K:K,MATCH($F90,'#建筑消耗和buff配置索引'!$M:$M,0))=0,"",INDEX('#建筑消耗和buff配置索引'!K:K,MATCH($F90,'#建筑消耗和buff配置索引'!$M:$M,0)))</f>
        <v>201</v>
      </c>
      <c r="R90" s="133" t="str">
        <f>IF(INDEX('#建筑消耗和buff配置索引'!L:L,MATCH($F90,'#建筑消耗和buff配置索引'!$M:$M,0))=0,"",INDEX('#建筑消耗和buff配置索引'!L:L,MATCH($F90,'#建筑消耗和buff配置索引'!$M:$M,0)))</f>
        <v>27</v>
      </c>
      <c r="S90" s="133">
        <f>IF(INDEX('#建筑消耗和buff配置索引'!C:C,MATCH(F90,'#建筑消耗和buff配置索引'!M:M,0))=0,1,INDEX('#建筑消耗和buff配置索引'!C:C,MATCH(F90,'#建筑消耗和buff配置索引'!M:M,0)))</f>
        <v>1</v>
      </c>
      <c r="T90" s="133">
        <v>0</v>
      </c>
      <c r="U90" s="133">
        <v>0</v>
      </c>
      <c r="V90" s="133" t="str">
        <f>IF(E90=1,IF(INDEX('#建筑消耗和buff配置索引'!BY:BY,MATCH(D90,'#建筑消耗和buff配置索引'!A:A,0))=0,"",INDEX('#建筑消耗和buff配置索引'!BY:BY,MATCH(D90,'#建筑消耗和buff配置索引'!A:A,0))),"")</f>
        <v/>
      </c>
      <c r="W90" s="133" t="str">
        <f>IF(E90=1,IF(INDEX('#建筑消耗和buff配置索引'!BZ:BZ,MATCH(D90,'#建筑消耗和buff配置索引'!A:A,0))=0,"",INDEX('#建筑消耗和buff配置索引'!BZ:BZ,MATCH(D90,'#建筑消耗和buff配置索引'!A:A,0))),"")</f>
        <v/>
      </c>
      <c r="AA90" s="133">
        <f>INDEX('#建筑消耗和buff配置索引'!AO:AO,MATCH($F90,'#建筑消耗和buff配置索引'!$M:$M,0))</f>
        <v>99957</v>
      </c>
      <c r="AB90" s="133">
        <f>IF(INDEX('#建筑消耗和buff配置索引'!AR:AR,MATCH($F90,'#建筑消耗和buff配置索引'!$M:$M,0))=0,"",INDEX('#建筑消耗和buff配置索引'!AR:AR,MATCH($F90,'#建筑消耗和buff配置索引'!$M:$M,0)))</f>
        <v>1015</v>
      </c>
      <c r="AC90" s="133">
        <f>IF(AB90="","",INDEX('#建筑消耗和buff配置索引'!AS:AS,MATCH($F90,'#建筑消耗和buff配置索引'!$M:$M,0)))</f>
        <v>15200</v>
      </c>
      <c r="AF90" s="133">
        <f>IF(INDEX('#建筑消耗和buff配置索引'!AW:AW,MATCH($F90,'#建筑消耗和buff配置索引'!$M:$M,0))=0,"",INDEX('#建筑消耗和buff配置索引'!AW:AW,MATCH($F90,'#建筑消耗和buff配置索引'!$M:$M,0)))</f>
        <v>1206</v>
      </c>
      <c r="AG90" s="133">
        <f>IF(AF90="","",INDEX('#建筑消耗和buff配置索引'!AX:AX,MATCH($F90,'#建筑消耗和buff配置索引'!$M:$M,0)))</f>
        <v>4</v>
      </c>
      <c r="AJ90" s="133" t="str">
        <f>IF(INDEX('#建筑消耗和buff配置索引'!BB:BB,MATCH($F90,'#建筑消耗和buff配置索引'!$M:$M,0))=0,"",INDEX('#建筑消耗和buff配置索引'!BB:BB,MATCH($F90,'#建筑消耗和buff配置索引'!$M:$M,0)))</f>
        <v/>
      </c>
      <c r="AK90" s="133" t="str">
        <f>IF(AJ90="","",INDEX('#建筑消耗和buff配置索引'!BC:BC,MATCH($F90,'#建筑消耗和buff配置索引'!$M:$M,0)))</f>
        <v/>
      </c>
      <c r="AN90" s="133" t="str">
        <f>IF(INDEX('#建筑消耗和buff配置索引'!BG:BG,MATCH($F90,'#建筑消耗和buff配置索引'!$M:$M,0))=0,"",INDEX('#建筑消耗和buff配置索引'!BG:BG,MATCH($F90,'#建筑消耗和buff配置索引'!$M:$M,0)))</f>
        <v/>
      </c>
      <c r="AO90" s="133" t="str">
        <f>IF(AN90="","",INDEX('#建筑消耗和buff配置索引'!BH:BH,MATCH($F90,'#建筑消耗和buff配置索引'!$M:$M,0)))</f>
        <v/>
      </c>
      <c r="AR90" s="133" t="str">
        <f>IF(INDEX('#建筑消耗和buff配置索引'!BK:BK,MATCH($F90,'#建筑消耗和buff配置索引'!$M:$M,0))=0,"",INDEX('#建筑消耗和buff配置索引'!BK:BK,MATCH($F90,'#建筑消耗和buff配置索引'!$M:$M,0)))</f>
        <v/>
      </c>
      <c r="AS90" s="133" t="str">
        <f>IF(AR90="","",INDEX('#建筑消耗和buff配置索引'!BL:BL,MATCH($F90,'#建筑消耗和buff配置索引'!$M:$M,0)))</f>
        <v/>
      </c>
      <c r="AV90" s="133" t="str">
        <f>IF(INDEX('#建筑消耗和buff配置索引'!BO:BO,MATCH($F90,'#建筑消耗和buff配置索引'!$M:$M,0))=0,"",INDEX('#建筑消耗和buff配置索引'!BO:BO,MATCH($F90,'#建筑消耗和buff配置索引'!$M:$M,0)))</f>
        <v/>
      </c>
      <c r="AW90" s="133" t="str">
        <f>IF(AV90="","",INDEX('#建筑消耗和buff配置索引'!BP:BP,MATCH($F90,'#建筑消耗和buff配置索引'!$M:$M,0)))</f>
        <v/>
      </c>
      <c r="AZ90" s="133" t="str">
        <f>IF(INDEX('#建筑消耗和buff配置索引'!BS:BS,MATCH($F90,'#建筑消耗和buff配置索引'!$M:$M,0))=0,"",INDEX('#建筑消耗和buff配置索引'!BS:BS,MATCH($F90,'#建筑消耗和buff配置索引'!$M:$M,0)))</f>
        <v/>
      </c>
      <c r="BA90" s="133" t="str">
        <f>IF(AZ90="","",INDEX('#建筑消耗和buff配置索引'!BT:BT,MATCH($F90,'#建筑消耗和buff配置索引'!$M:$M,0)))</f>
        <v/>
      </c>
      <c r="BD90" s="133" t="str">
        <f>IF(INDEX('#建筑消耗和buff配置索引'!BW:BW,MATCH($F90,'#建筑消耗和buff配置索引'!$M:$M,0))=0,"",INDEX('#建筑消耗和buff配置索引'!BW:BW,MATCH($F90,'#建筑消耗和buff配置索引'!$M:$M,0)))</f>
        <v/>
      </c>
      <c r="BE90" s="133" t="str">
        <f>IF(BD90="","",INDEX('#建筑消耗和buff配置索引'!BX:BX,MATCH($F90,'#建筑消耗和buff配置索引'!$M:$M,0)))</f>
        <v/>
      </c>
      <c r="BI90" s="133">
        <v>5</v>
      </c>
      <c r="BO90" s="133">
        <v>5</v>
      </c>
      <c r="BP90" s="133" t="s">
        <v>1360</v>
      </c>
      <c r="BQ90" s="133">
        <v>10003604</v>
      </c>
      <c r="BR90" s="133">
        <v>300</v>
      </c>
    </row>
    <row r="91" spans="1:70" s="133" customFormat="1">
      <c r="A91" s="133">
        <v>2030028</v>
      </c>
      <c r="B91" s="133">
        <v>88</v>
      </c>
      <c r="C91" s="133">
        <v>203</v>
      </c>
      <c r="D91" s="133" t="s">
        <v>202</v>
      </c>
      <c r="E91" s="133">
        <v>28</v>
      </c>
      <c r="F91" s="133" t="str">
        <f t="shared" si="0"/>
        <v>磨坊28</v>
      </c>
      <c r="H91" s="146"/>
      <c r="I91" s="133">
        <v>3</v>
      </c>
      <c r="J91" s="150">
        <f>INDEX('#建筑消耗和buff配置索引'!AH:AH,MATCH($F91,'#建筑消耗和buff配置索引'!$M:$M,0))</f>
        <v>233280</v>
      </c>
      <c r="K91" s="150">
        <f>INDEX('#建筑消耗和buff配置索引'!AA:AA,MATCH($F91,'#建筑消耗和buff配置索引'!$M:$M,0))</f>
        <v>0</v>
      </c>
      <c r="L91" s="150">
        <f>INDEX('#建筑消耗和buff配置索引'!AB:AB,MATCH($F91,'#建筑消耗和buff配置索引'!$M:$M,0))</f>
        <v>4700000</v>
      </c>
      <c r="M91" s="150">
        <f>INDEX('#建筑消耗和buff配置索引'!AC:AC,MATCH($F91,'#建筑消耗和buff配置索引'!$M:$M,0))</f>
        <v>4700000</v>
      </c>
      <c r="N91" s="150">
        <f>INDEX('#建筑消耗和buff配置索引'!AD:AD,MATCH($F91,'#建筑消耗和buff配置索引'!$M:$M,0))</f>
        <v>4700000</v>
      </c>
      <c r="O91" s="150" t="str">
        <f>IF(INDEX('#建筑消耗和buff配置索引'!T:T,MATCH($F91,'#建筑消耗和buff配置索引'!$M:$M,0))=0,"",INDEX('#建筑消耗和buff配置索引'!T:T,MATCH($F91,'#建筑消耗和buff配置索引'!$M:$M,0)))</f>
        <v/>
      </c>
      <c r="P91" s="133" t="str">
        <f>IF(INDEX('#建筑消耗和buff配置索引'!U:U,MATCH($F91,'#建筑消耗和buff配置索引'!$M:$M,0))=0,"",INDEX('#建筑消耗和buff配置索引'!U:U,MATCH($F91,'#建筑消耗和buff配置索引'!$M:$M,0)))</f>
        <v/>
      </c>
      <c r="Q91" s="133" t="str">
        <f>IF(INDEX('#建筑消耗和buff配置索引'!K:K,MATCH($F91,'#建筑消耗和buff配置索引'!$M:$M,0))=0,"",INDEX('#建筑消耗和buff配置索引'!K:K,MATCH($F91,'#建筑消耗和buff配置索引'!$M:$M,0)))</f>
        <v>201</v>
      </c>
      <c r="R91" s="133" t="str">
        <f>IF(INDEX('#建筑消耗和buff配置索引'!L:L,MATCH($F91,'#建筑消耗和buff配置索引'!$M:$M,0))=0,"",INDEX('#建筑消耗和buff配置索引'!L:L,MATCH($F91,'#建筑消耗和buff配置索引'!$M:$M,0)))</f>
        <v>28</v>
      </c>
      <c r="S91" s="133">
        <f>IF(INDEX('#建筑消耗和buff配置索引'!C:C,MATCH(F91,'#建筑消耗和buff配置索引'!M:M,0))=0,1,INDEX('#建筑消耗和buff配置索引'!C:C,MATCH(F91,'#建筑消耗和buff配置索引'!M:M,0)))</f>
        <v>1</v>
      </c>
      <c r="T91" s="133">
        <v>0</v>
      </c>
      <c r="U91" s="133">
        <v>0</v>
      </c>
      <c r="V91" s="133" t="str">
        <f>IF(E91=1,IF(INDEX('#建筑消耗和buff配置索引'!BY:BY,MATCH(D91,'#建筑消耗和buff配置索引'!A:A,0))=0,"",INDEX('#建筑消耗和buff配置索引'!BY:BY,MATCH(D91,'#建筑消耗和buff配置索引'!A:A,0))),"")</f>
        <v/>
      </c>
      <c r="W91" s="133" t="str">
        <f>IF(E91=1,IF(INDEX('#建筑消耗和buff配置索引'!BZ:BZ,MATCH(D91,'#建筑消耗和buff配置索引'!A:A,0))=0,"",INDEX('#建筑消耗和buff配置索引'!BZ:BZ,MATCH(D91,'#建筑消耗和buff配置索引'!A:A,0))),"")</f>
        <v/>
      </c>
      <c r="AA91" s="133">
        <f>INDEX('#建筑消耗和buff配置索引'!AO:AO,MATCH($F91,'#建筑消耗和buff配置索引'!$M:$M,0))</f>
        <v>128246</v>
      </c>
      <c r="AB91" s="133">
        <f>IF(INDEX('#建筑消耗和buff配置索引'!AR:AR,MATCH($F91,'#建筑消耗和buff配置索引'!$M:$M,0))=0,"",INDEX('#建筑消耗和buff配置索引'!AR:AR,MATCH($F91,'#建筑消耗和buff配置索引'!$M:$M,0)))</f>
        <v>1015</v>
      </c>
      <c r="AC91" s="133">
        <f>IF(AB91="","",INDEX('#建筑消耗和buff配置索引'!AS:AS,MATCH($F91,'#建筑消耗和buff配置索引'!$M:$M,0)))</f>
        <v>16600</v>
      </c>
      <c r="AF91" s="133">
        <f>IF(INDEX('#建筑消耗和buff配置索引'!AW:AW,MATCH($F91,'#建筑消耗和buff配置索引'!$M:$M,0))=0,"",INDEX('#建筑消耗和buff配置索引'!AW:AW,MATCH($F91,'#建筑消耗和buff配置索引'!$M:$M,0)))</f>
        <v>1206</v>
      </c>
      <c r="AG91" s="133">
        <f>IF(AF91="","",INDEX('#建筑消耗和buff配置索引'!AX:AX,MATCH($F91,'#建筑消耗和buff配置索引'!$M:$M,0)))</f>
        <v>4</v>
      </c>
      <c r="AJ91" s="133" t="str">
        <f>IF(INDEX('#建筑消耗和buff配置索引'!BB:BB,MATCH($F91,'#建筑消耗和buff配置索引'!$M:$M,0))=0,"",INDEX('#建筑消耗和buff配置索引'!BB:BB,MATCH($F91,'#建筑消耗和buff配置索引'!$M:$M,0)))</f>
        <v/>
      </c>
      <c r="AK91" s="133" t="str">
        <f>IF(AJ91="","",INDEX('#建筑消耗和buff配置索引'!BC:BC,MATCH($F91,'#建筑消耗和buff配置索引'!$M:$M,0)))</f>
        <v/>
      </c>
      <c r="AN91" s="133" t="str">
        <f>IF(INDEX('#建筑消耗和buff配置索引'!BG:BG,MATCH($F91,'#建筑消耗和buff配置索引'!$M:$M,0))=0,"",INDEX('#建筑消耗和buff配置索引'!BG:BG,MATCH($F91,'#建筑消耗和buff配置索引'!$M:$M,0)))</f>
        <v/>
      </c>
      <c r="AO91" s="133" t="str">
        <f>IF(AN91="","",INDEX('#建筑消耗和buff配置索引'!BH:BH,MATCH($F91,'#建筑消耗和buff配置索引'!$M:$M,0)))</f>
        <v/>
      </c>
      <c r="AR91" s="133" t="str">
        <f>IF(INDEX('#建筑消耗和buff配置索引'!BK:BK,MATCH($F91,'#建筑消耗和buff配置索引'!$M:$M,0))=0,"",INDEX('#建筑消耗和buff配置索引'!BK:BK,MATCH($F91,'#建筑消耗和buff配置索引'!$M:$M,0)))</f>
        <v/>
      </c>
      <c r="AS91" s="133" t="str">
        <f>IF(AR91="","",INDEX('#建筑消耗和buff配置索引'!BL:BL,MATCH($F91,'#建筑消耗和buff配置索引'!$M:$M,0)))</f>
        <v/>
      </c>
      <c r="AV91" s="133" t="str">
        <f>IF(INDEX('#建筑消耗和buff配置索引'!BO:BO,MATCH($F91,'#建筑消耗和buff配置索引'!$M:$M,0))=0,"",INDEX('#建筑消耗和buff配置索引'!BO:BO,MATCH($F91,'#建筑消耗和buff配置索引'!$M:$M,0)))</f>
        <v/>
      </c>
      <c r="AW91" s="133" t="str">
        <f>IF(AV91="","",INDEX('#建筑消耗和buff配置索引'!BP:BP,MATCH($F91,'#建筑消耗和buff配置索引'!$M:$M,0)))</f>
        <v/>
      </c>
      <c r="AZ91" s="133" t="str">
        <f>IF(INDEX('#建筑消耗和buff配置索引'!BS:BS,MATCH($F91,'#建筑消耗和buff配置索引'!$M:$M,0))=0,"",INDEX('#建筑消耗和buff配置索引'!BS:BS,MATCH($F91,'#建筑消耗和buff配置索引'!$M:$M,0)))</f>
        <v/>
      </c>
      <c r="BA91" s="133" t="str">
        <f>IF(AZ91="","",INDEX('#建筑消耗和buff配置索引'!BT:BT,MATCH($F91,'#建筑消耗和buff配置索引'!$M:$M,0)))</f>
        <v/>
      </c>
      <c r="BD91" s="133" t="str">
        <f>IF(INDEX('#建筑消耗和buff配置索引'!BW:BW,MATCH($F91,'#建筑消耗和buff配置索引'!$M:$M,0))=0,"",INDEX('#建筑消耗和buff配置索引'!BW:BW,MATCH($F91,'#建筑消耗和buff配置索引'!$M:$M,0)))</f>
        <v/>
      </c>
      <c r="BE91" s="133" t="str">
        <f>IF(BD91="","",INDEX('#建筑消耗和buff配置索引'!BX:BX,MATCH($F91,'#建筑消耗和buff配置索引'!$M:$M,0)))</f>
        <v/>
      </c>
      <c r="BI91" s="133">
        <v>5</v>
      </c>
      <c r="BO91" s="133">
        <v>5</v>
      </c>
      <c r="BP91" s="133" t="s">
        <v>1360</v>
      </c>
      <c r="BQ91" s="133">
        <v>10003604</v>
      </c>
      <c r="BR91" s="133">
        <v>300</v>
      </c>
    </row>
    <row r="92" spans="1:70" s="133" customFormat="1">
      <c r="A92" s="133">
        <v>2030029</v>
      </c>
      <c r="B92" s="133">
        <v>89</v>
      </c>
      <c r="C92" s="133">
        <v>203</v>
      </c>
      <c r="D92" s="133" t="s">
        <v>202</v>
      </c>
      <c r="E92" s="133">
        <v>29</v>
      </c>
      <c r="F92" s="133" t="str">
        <f t="shared" si="0"/>
        <v>磨坊29</v>
      </c>
      <c r="H92" s="146"/>
      <c r="I92" s="133">
        <v>3</v>
      </c>
      <c r="J92" s="150">
        <f>INDEX('#建筑消耗和buff配置索引'!AH:AH,MATCH($F92,'#建筑消耗和buff配置索引'!$M:$M,0))</f>
        <v>285120</v>
      </c>
      <c r="K92" s="150">
        <f>INDEX('#建筑消耗和buff配置索引'!AA:AA,MATCH($F92,'#建筑消耗和buff配置索引'!$M:$M,0))</f>
        <v>0</v>
      </c>
      <c r="L92" s="150">
        <f>INDEX('#建筑消耗和buff配置索引'!AB:AB,MATCH($F92,'#建筑消耗和buff配置索引'!$M:$M,0))</f>
        <v>6000000</v>
      </c>
      <c r="M92" s="150">
        <f>INDEX('#建筑消耗和buff配置索引'!AC:AC,MATCH($F92,'#建筑消耗和buff配置索引'!$M:$M,0))</f>
        <v>6000000</v>
      </c>
      <c r="N92" s="150">
        <f>INDEX('#建筑消耗和buff配置索引'!AD:AD,MATCH($F92,'#建筑消耗和buff配置索引'!$M:$M,0))</f>
        <v>6000000</v>
      </c>
      <c r="O92" s="150" t="str">
        <f>IF(INDEX('#建筑消耗和buff配置索引'!T:T,MATCH($F92,'#建筑消耗和buff配置索引'!$M:$M,0))=0,"",INDEX('#建筑消耗和buff配置索引'!T:T,MATCH($F92,'#建筑消耗和buff配置索引'!$M:$M,0)))</f>
        <v/>
      </c>
      <c r="P92" s="133" t="str">
        <f>IF(INDEX('#建筑消耗和buff配置索引'!U:U,MATCH($F92,'#建筑消耗和buff配置索引'!$M:$M,0))=0,"",INDEX('#建筑消耗和buff配置索引'!U:U,MATCH($F92,'#建筑消耗和buff配置索引'!$M:$M,0)))</f>
        <v/>
      </c>
      <c r="Q92" s="133" t="str">
        <f>IF(INDEX('#建筑消耗和buff配置索引'!K:K,MATCH($F92,'#建筑消耗和buff配置索引'!$M:$M,0))=0,"",INDEX('#建筑消耗和buff配置索引'!K:K,MATCH($F92,'#建筑消耗和buff配置索引'!$M:$M,0)))</f>
        <v>201</v>
      </c>
      <c r="R92" s="133" t="str">
        <f>IF(INDEX('#建筑消耗和buff配置索引'!L:L,MATCH($F92,'#建筑消耗和buff配置索引'!$M:$M,0))=0,"",INDEX('#建筑消耗和buff配置索引'!L:L,MATCH($F92,'#建筑消耗和buff配置索引'!$M:$M,0)))</f>
        <v>29</v>
      </c>
      <c r="S92" s="133">
        <f>IF(INDEX('#建筑消耗和buff配置索引'!C:C,MATCH(F92,'#建筑消耗和buff配置索引'!M:M,0))=0,1,INDEX('#建筑消耗和buff配置索引'!C:C,MATCH(F92,'#建筑消耗和buff配置索引'!M:M,0)))</f>
        <v>1</v>
      </c>
      <c r="T92" s="133">
        <v>0</v>
      </c>
      <c r="U92" s="133">
        <v>0</v>
      </c>
      <c r="V92" s="133" t="str">
        <f>IF(E92=1,IF(INDEX('#建筑消耗和buff配置索引'!BY:BY,MATCH(D92,'#建筑消耗和buff配置索引'!A:A,0))=0,"",INDEX('#建筑消耗和buff配置索引'!BY:BY,MATCH(D92,'#建筑消耗和buff配置索引'!A:A,0))),"")</f>
        <v/>
      </c>
      <c r="W92" s="133" t="str">
        <f>IF(E92=1,IF(INDEX('#建筑消耗和buff配置索引'!BZ:BZ,MATCH(D92,'#建筑消耗和buff配置索引'!A:A,0))=0,"",INDEX('#建筑消耗和buff配置索引'!BZ:BZ,MATCH(D92,'#建筑消耗和buff配置索引'!A:A,0))),"")</f>
        <v/>
      </c>
      <c r="AA92" s="133">
        <f>INDEX('#建筑消耗和buff配置索引'!AO:AO,MATCH($F92,'#建筑消耗和buff配置索引'!$M:$M,0))</f>
        <v>164457</v>
      </c>
      <c r="AB92" s="133">
        <f>IF(INDEX('#建筑消耗和buff配置索引'!AR:AR,MATCH($F92,'#建筑消耗和buff配置索引'!$M:$M,0))=0,"",INDEX('#建筑消耗和buff配置索引'!AR:AR,MATCH($F92,'#建筑消耗和buff配置索引'!$M:$M,0)))</f>
        <v>1015</v>
      </c>
      <c r="AC92" s="133">
        <f>IF(AB92="","",INDEX('#建筑消耗和buff配置索引'!AS:AS,MATCH($F92,'#建筑消耗和buff配置索引'!$M:$M,0)))</f>
        <v>18200</v>
      </c>
      <c r="AF92" s="133">
        <f>IF(INDEX('#建筑消耗和buff配置索引'!AW:AW,MATCH($F92,'#建筑消耗和buff配置索引'!$M:$M,0))=0,"",INDEX('#建筑消耗和buff配置索引'!AW:AW,MATCH($F92,'#建筑消耗和buff配置索引'!$M:$M,0)))</f>
        <v>1206</v>
      </c>
      <c r="AG92" s="133">
        <f>IF(AF92="","",INDEX('#建筑消耗和buff配置索引'!AX:AX,MATCH($F92,'#建筑消耗和buff配置索引'!$M:$M,0)))</f>
        <v>4</v>
      </c>
      <c r="AJ92" s="133" t="str">
        <f>IF(INDEX('#建筑消耗和buff配置索引'!BB:BB,MATCH($F92,'#建筑消耗和buff配置索引'!$M:$M,0))=0,"",INDEX('#建筑消耗和buff配置索引'!BB:BB,MATCH($F92,'#建筑消耗和buff配置索引'!$M:$M,0)))</f>
        <v/>
      </c>
      <c r="AK92" s="133" t="str">
        <f>IF(AJ92="","",INDEX('#建筑消耗和buff配置索引'!BC:BC,MATCH($F92,'#建筑消耗和buff配置索引'!$M:$M,0)))</f>
        <v/>
      </c>
      <c r="AN92" s="133" t="str">
        <f>IF(INDEX('#建筑消耗和buff配置索引'!BG:BG,MATCH($F92,'#建筑消耗和buff配置索引'!$M:$M,0))=0,"",INDEX('#建筑消耗和buff配置索引'!BG:BG,MATCH($F92,'#建筑消耗和buff配置索引'!$M:$M,0)))</f>
        <v/>
      </c>
      <c r="AO92" s="133" t="str">
        <f>IF(AN92="","",INDEX('#建筑消耗和buff配置索引'!BH:BH,MATCH($F92,'#建筑消耗和buff配置索引'!$M:$M,0)))</f>
        <v/>
      </c>
      <c r="AR92" s="133" t="str">
        <f>IF(INDEX('#建筑消耗和buff配置索引'!BK:BK,MATCH($F92,'#建筑消耗和buff配置索引'!$M:$M,0))=0,"",INDEX('#建筑消耗和buff配置索引'!BK:BK,MATCH($F92,'#建筑消耗和buff配置索引'!$M:$M,0)))</f>
        <v/>
      </c>
      <c r="AS92" s="133" t="str">
        <f>IF(AR92="","",INDEX('#建筑消耗和buff配置索引'!BL:BL,MATCH($F92,'#建筑消耗和buff配置索引'!$M:$M,0)))</f>
        <v/>
      </c>
      <c r="AV92" s="133" t="str">
        <f>IF(INDEX('#建筑消耗和buff配置索引'!BO:BO,MATCH($F92,'#建筑消耗和buff配置索引'!$M:$M,0))=0,"",INDEX('#建筑消耗和buff配置索引'!BO:BO,MATCH($F92,'#建筑消耗和buff配置索引'!$M:$M,0)))</f>
        <v/>
      </c>
      <c r="AW92" s="133" t="str">
        <f>IF(AV92="","",INDEX('#建筑消耗和buff配置索引'!BP:BP,MATCH($F92,'#建筑消耗和buff配置索引'!$M:$M,0)))</f>
        <v/>
      </c>
      <c r="AZ92" s="133" t="str">
        <f>IF(INDEX('#建筑消耗和buff配置索引'!BS:BS,MATCH($F92,'#建筑消耗和buff配置索引'!$M:$M,0))=0,"",INDEX('#建筑消耗和buff配置索引'!BS:BS,MATCH($F92,'#建筑消耗和buff配置索引'!$M:$M,0)))</f>
        <v/>
      </c>
      <c r="BA92" s="133" t="str">
        <f>IF(AZ92="","",INDEX('#建筑消耗和buff配置索引'!BT:BT,MATCH($F92,'#建筑消耗和buff配置索引'!$M:$M,0)))</f>
        <v/>
      </c>
      <c r="BD92" s="133" t="str">
        <f>IF(INDEX('#建筑消耗和buff配置索引'!BW:BW,MATCH($F92,'#建筑消耗和buff配置索引'!$M:$M,0))=0,"",INDEX('#建筑消耗和buff配置索引'!BW:BW,MATCH($F92,'#建筑消耗和buff配置索引'!$M:$M,0)))</f>
        <v/>
      </c>
      <c r="BE92" s="133" t="str">
        <f>IF(BD92="","",INDEX('#建筑消耗和buff配置索引'!BX:BX,MATCH($F92,'#建筑消耗和buff配置索引'!$M:$M,0)))</f>
        <v/>
      </c>
      <c r="BI92" s="133">
        <v>5</v>
      </c>
      <c r="BO92" s="133">
        <v>5</v>
      </c>
      <c r="BP92" s="133" t="s">
        <v>1360</v>
      </c>
      <c r="BQ92" s="133">
        <v>10003604</v>
      </c>
      <c r="BR92" s="133">
        <v>300</v>
      </c>
    </row>
    <row r="93" spans="1:70" s="133" customFormat="1">
      <c r="A93" s="133">
        <v>2030030</v>
      </c>
      <c r="B93" s="133">
        <v>90</v>
      </c>
      <c r="C93" s="133">
        <v>203</v>
      </c>
      <c r="D93" s="133" t="s">
        <v>202</v>
      </c>
      <c r="E93" s="133">
        <v>30</v>
      </c>
      <c r="F93" s="133" t="str">
        <f t="shared" si="0"/>
        <v>磨坊30</v>
      </c>
      <c r="H93" s="146"/>
      <c r="I93" s="133">
        <v>3</v>
      </c>
      <c r="J93" s="150">
        <f>INDEX('#建筑消耗和buff配置索引'!AH:AH,MATCH($F93,'#建筑消耗和buff配置索引'!$M:$M,0))</f>
        <v>345600</v>
      </c>
      <c r="K93" s="150">
        <f>INDEX('#建筑消耗和buff配置索引'!AA:AA,MATCH($F93,'#建筑消耗和buff配置索引'!$M:$M,0))</f>
        <v>0</v>
      </c>
      <c r="L93" s="150">
        <f>INDEX('#建筑消耗和buff配置索引'!AB:AB,MATCH($F93,'#建筑消耗和buff配置索引'!$M:$M,0))</f>
        <v>7700000</v>
      </c>
      <c r="M93" s="150">
        <f>INDEX('#建筑消耗和buff配置索引'!AC:AC,MATCH($F93,'#建筑消耗和buff配置索引'!$M:$M,0))</f>
        <v>7700000</v>
      </c>
      <c r="N93" s="150">
        <f>INDEX('#建筑消耗和buff配置索引'!AD:AD,MATCH($F93,'#建筑消耗和buff配置索引'!$M:$M,0))</f>
        <v>7700000</v>
      </c>
      <c r="O93" s="150" t="str">
        <f>IF(INDEX('#建筑消耗和buff配置索引'!T:T,MATCH($F93,'#建筑消耗和buff配置索引'!$M:$M,0))=0,"",INDEX('#建筑消耗和buff配置索引'!T:T,MATCH($F93,'#建筑消耗和buff配置索引'!$M:$M,0)))</f>
        <v/>
      </c>
      <c r="P93" s="133" t="str">
        <f>IF(INDEX('#建筑消耗和buff配置索引'!U:U,MATCH($F93,'#建筑消耗和buff配置索引'!$M:$M,0))=0,"",INDEX('#建筑消耗和buff配置索引'!U:U,MATCH($F93,'#建筑消耗和buff配置索引'!$M:$M,0)))</f>
        <v/>
      </c>
      <c r="Q93" s="133" t="str">
        <f>IF(INDEX('#建筑消耗和buff配置索引'!K:K,MATCH($F93,'#建筑消耗和buff配置索引'!$M:$M,0))=0,"",INDEX('#建筑消耗和buff配置索引'!K:K,MATCH($F93,'#建筑消耗和buff配置索引'!$M:$M,0)))</f>
        <v>201</v>
      </c>
      <c r="R93" s="133" t="str">
        <f>IF(INDEX('#建筑消耗和buff配置索引'!L:L,MATCH($F93,'#建筑消耗和buff配置索引'!$M:$M,0))=0,"",INDEX('#建筑消耗和buff配置索引'!L:L,MATCH($F93,'#建筑消耗和buff配置索引'!$M:$M,0)))</f>
        <v>30</v>
      </c>
      <c r="S93" s="133">
        <f>IF(INDEX('#建筑消耗和buff配置索引'!C:C,MATCH(F93,'#建筑消耗和buff配置索引'!M:M,0))=0,1,INDEX('#建筑消耗和buff配置索引'!C:C,MATCH(F93,'#建筑消耗和buff配置索引'!M:M,0)))</f>
        <v>1</v>
      </c>
      <c r="T93" s="133">
        <v>0</v>
      </c>
      <c r="U93" s="133">
        <v>0</v>
      </c>
      <c r="V93" s="133" t="str">
        <f>IF(E93=1,IF(INDEX('#建筑消耗和buff配置索引'!BY:BY,MATCH(D93,'#建筑消耗和buff配置索引'!A:A,0))=0,"",INDEX('#建筑消耗和buff配置索引'!BY:BY,MATCH(D93,'#建筑消耗和buff配置索引'!A:A,0))),"")</f>
        <v/>
      </c>
      <c r="W93" s="133" t="str">
        <f>IF(E93=1,IF(INDEX('#建筑消耗和buff配置索引'!BZ:BZ,MATCH(D93,'#建筑消耗和buff配置索引'!A:A,0))=0,"",INDEX('#建筑消耗和buff配置索引'!BZ:BZ,MATCH(D93,'#建筑消耗和buff配置索引'!A:A,0))),"")</f>
        <v/>
      </c>
      <c r="AA93" s="133">
        <f>INDEX('#建筑消耗和buff配置索引'!AO:AO,MATCH($F93,'#建筑消耗和buff配置索引'!$M:$M,0))</f>
        <v>210806</v>
      </c>
      <c r="AB93" s="133">
        <f>IF(INDEX('#建筑消耗和buff配置索引'!AR:AR,MATCH($F93,'#建筑消耗和buff配置索引'!$M:$M,0))=0,"",INDEX('#建筑消耗和buff配置索引'!AR:AR,MATCH($F93,'#建筑消耗和buff配置索引'!$M:$M,0)))</f>
        <v>1015</v>
      </c>
      <c r="AC93" s="133">
        <f>IF(AB93="","",INDEX('#建筑消耗和buff配置索引'!AS:AS,MATCH($F93,'#建筑消耗和buff配置索引'!$M:$M,0)))</f>
        <v>20000</v>
      </c>
      <c r="AF93" s="133">
        <f>IF(INDEX('#建筑消耗和buff配置索引'!AW:AW,MATCH($F93,'#建筑消耗和buff配置索引'!$M:$M,0))=0,"",INDEX('#建筑消耗和buff配置索引'!AW:AW,MATCH($F93,'#建筑消耗和buff配置索引'!$M:$M,0)))</f>
        <v>1206</v>
      </c>
      <c r="AG93" s="133">
        <f>IF(AF93="","",INDEX('#建筑消耗和buff配置索引'!AX:AX,MATCH($F93,'#建筑消耗和buff配置索引'!$M:$M,0)))</f>
        <v>4</v>
      </c>
      <c r="AJ93" s="133" t="str">
        <f>IF(INDEX('#建筑消耗和buff配置索引'!BB:BB,MATCH($F93,'#建筑消耗和buff配置索引'!$M:$M,0))=0,"",INDEX('#建筑消耗和buff配置索引'!BB:BB,MATCH($F93,'#建筑消耗和buff配置索引'!$M:$M,0)))</f>
        <v/>
      </c>
      <c r="AK93" s="133" t="str">
        <f>IF(AJ93="","",INDEX('#建筑消耗和buff配置索引'!BC:BC,MATCH($F93,'#建筑消耗和buff配置索引'!$M:$M,0)))</f>
        <v/>
      </c>
      <c r="AN93" s="133" t="str">
        <f>IF(INDEX('#建筑消耗和buff配置索引'!BG:BG,MATCH($F93,'#建筑消耗和buff配置索引'!$M:$M,0))=0,"",INDEX('#建筑消耗和buff配置索引'!BG:BG,MATCH($F93,'#建筑消耗和buff配置索引'!$M:$M,0)))</f>
        <v/>
      </c>
      <c r="AO93" s="133" t="str">
        <f>IF(AN93="","",INDEX('#建筑消耗和buff配置索引'!BH:BH,MATCH($F93,'#建筑消耗和buff配置索引'!$M:$M,0)))</f>
        <v/>
      </c>
      <c r="AR93" s="133" t="str">
        <f>IF(INDEX('#建筑消耗和buff配置索引'!BK:BK,MATCH($F93,'#建筑消耗和buff配置索引'!$M:$M,0))=0,"",INDEX('#建筑消耗和buff配置索引'!BK:BK,MATCH($F93,'#建筑消耗和buff配置索引'!$M:$M,0)))</f>
        <v/>
      </c>
      <c r="AS93" s="133" t="str">
        <f>IF(AR93="","",INDEX('#建筑消耗和buff配置索引'!BL:BL,MATCH($F93,'#建筑消耗和buff配置索引'!$M:$M,0)))</f>
        <v/>
      </c>
      <c r="AV93" s="133" t="str">
        <f>IF(INDEX('#建筑消耗和buff配置索引'!BO:BO,MATCH($F93,'#建筑消耗和buff配置索引'!$M:$M,0))=0,"",INDEX('#建筑消耗和buff配置索引'!BO:BO,MATCH($F93,'#建筑消耗和buff配置索引'!$M:$M,0)))</f>
        <v/>
      </c>
      <c r="AW93" s="133" t="str">
        <f>IF(AV93="","",INDEX('#建筑消耗和buff配置索引'!BP:BP,MATCH($F93,'#建筑消耗和buff配置索引'!$M:$M,0)))</f>
        <v/>
      </c>
      <c r="AZ93" s="133" t="str">
        <f>IF(INDEX('#建筑消耗和buff配置索引'!BS:BS,MATCH($F93,'#建筑消耗和buff配置索引'!$M:$M,0))=0,"",INDEX('#建筑消耗和buff配置索引'!BS:BS,MATCH($F93,'#建筑消耗和buff配置索引'!$M:$M,0)))</f>
        <v/>
      </c>
      <c r="BA93" s="133" t="str">
        <f>IF(AZ93="","",INDEX('#建筑消耗和buff配置索引'!BT:BT,MATCH($F93,'#建筑消耗和buff配置索引'!$M:$M,0)))</f>
        <v/>
      </c>
      <c r="BD93" s="133" t="str">
        <f>IF(INDEX('#建筑消耗和buff配置索引'!BW:BW,MATCH($F93,'#建筑消耗和buff配置索引'!$M:$M,0))=0,"",INDEX('#建筑消耗和buff配置索引'!BW:BW,MATCH($F93,'#建筑消耗和buff配置索引'!$M:$M,0)))</f>
        <v/>
      </c>
      <c r="BE93" s="133" t="str">
        <f>IF(BD93="","",INDEX('#建筑消耗和buff配置索引'!BX:BX,MATCH($F93,'#建筑消耗和buff配置索引'!$M:$M,0)))</f>
        <v/>
      </c>
      <c r="BI93" s="133">
        <v>5</v>
      </c>
      <c r="BO93" s="133">
        <v>5</v>
      </c>
      <c r="BP93" s="133" t="s">
        <v>1360</v>
      </c>
      <c r="BQ93" s="133">
        <v>10003604</v>
      </c>
      <c r="BR93" s="133">
        <v>300</v>
      </c>
    </row>
    <row r="94" spans="1:70" s="133" customFormat="1">
      <c r="A94" s="133">
        <v>2040001</v>
      </c>
      <c r="B94" s="133">
        <v>91</v>
      </c>
      <c r="C94" s="133">
        <v>204</v>
      </c>
      <c r="D94" s="133" t="s">
        <v>226</v>
      </c>
      <c r="E94" s="133">
        <v>1</v>
      </c>
      <c r="F94" s="133" t="str">
        <f t="shared" si="0"/>
        <v>伐木场1</v>
      </c>
      <c r="H94" s="146"/>
      <c r="I94" s="133" t="s">
        <v>1205</v>
      </c>
      <c r="J94" s="150">
        <f>INDEX('#建筑消耗和buff配置索引'!AH:AH,MATCH($F94,'#建筑消耗和buff配置索引'!$M:$M,0))</f>
        <v>25</v>
      </c>
      <c r="K94" s="150">
        <f>INDEX('#建筑消耗和buff配置索引'!AA:AA,MATCH($F94,'#建筑消耗和buff配置索引'!$M:$M,0))</f>
        <v>0</v>
      </c>
      <c r="L94" s="150">
        <f>INDEX('#建筑消耗和buff配置索引'!AB:AB,MATCH($F94,'#建筑消耗和buff配置索引'!$M:$M,0))</f>
        <v>0</v>
      </c>
      <c r="M94" s="150">
        <f>INDEX('#建筑消耗和buff配置索引'!AC:AC,MATCH($F94,'#建筑消耗和buff配置索引'!$M:$M,0))</f>
        <v>0</v>
      </c>
      <c r="N94" s="150">
        <f>INDEX('#建筑消耗和buff配置索引'!AD:AD,MATCH($F94,'#建筑消耗和buff配置索引'!$M:$M,0))</f>
        <v>0</v>
      </c>
      <c r="O94" s="150" t="str">
        <f>IF(INDEX('#建筑消耗和buff配置索引'!T:T,MATCH($F94,'#建筑消耗和buff配置索引'!$M:$M,0))=0,"",INDEX('#建筑消耗和buff配置索引'!T:T,MATCH($F94,'#建筑消耗和buff配置索引'!$M:$M,0)))</f>
        <v/>
      </c>
      <c r="P94" s="133" t="str">
        <f>IF(INDEX('#建筑消耗和buff配置索引'!U:U,MATCH($F94,'#建筑消耗和buff配置索引'!$M:$M,0))=0,"",INDEX('#建筑消耗和buff配置索引'!U:U,MATCH($F94,'#建筑消耗和buff配置索引'!$M:$M,0)))</f>
        <v/>
      </c>
      <c r="Q94" s="133" t="str">
        <f>IF(INDEX('#建筑消耗和buff配置索引'!K:K,MATCH($F94,'#建筑消耗和buff配置索引'!$M:$M,0))=0,"",INDEX('#建筑消耗和buff配置索引'!K:K,MATCH($F94,'#建筑消耗和buff配置索引'!$M:$M,0)))</f>
        <v>201</v>
      </c>
      <c r="R94" s="133" t="str">
        <f>IF(INDEX('#建筑消耗和buff配置索引'!L:L,MATCH($F94,'#建筑消耗和buff配置索引'!$M:$M,0))=0,"",INDEX('#建筑消耗和buff配置索引'!L:L,MATCH($F94,'#建筑消耗和buff配置索引'!$M:$M,0)))</f>
        <v>1</v>
      </c>
      <c r="S94" s="133">
        <f>IF(INDEX('#建筑消耗和buff配置索引'!C:C,MATCH(F94,'#建筑消耗和buff配置索引'!M:M,0))=0,1,INDEX('#建筑消耗和buff配置索引'!C:C,MATCH(F94,'#建筑消耗和buff配置索引'!M:M,0)))</f>
        <v>1</v>
      </c>
      <c r="T94" s="133">
        <v>0</v>
      </c>
      <c r="U94" s="133">
        <v>0</v>
      </c>
      <c r="V94" s="133" t="str">
        <f>IF(E94=1,IF(INDEX('#建筑消耗和buff配置索引'!BY:BY,MATCH(D94,'#建筑消耗和buff配置索引'!A:A,0))=0,"",INDEX('#建筑消耗和buff配置索引'!BY:BY,MATCH(D94,'#建筑消耗和buff配置索引'!A:A,0))),"")</f>
        <v>1</v>
      </c>
      <c r="W94" s="133" t="str">
        <f>IF(E94=1,IF(INDEX('#建筑消耗和buff配置索引'!BZ:BZ,MATCH(D94,'#建筑消耗和buff配置索引'!A:A,0))=0,"",INDEX('#建筑消耗和buff配置索引'!BZ:BZ,MATCH(D94,'#建筑消耗和buff配置索引'!A:A,0))),"")</f>
        <v>TID_Buff_BuilDetail_1017</v>
      </c>
      <c r="AA94" s="133">
        <f>INDEX('#建筑消耗和buff配置索引'!AO:AO,MATCH($F94,'#建筑消耗和buff配置索引'!$M:$M,0))</f>
        <v>1</v>
      </c>
      <c r="AB94" s="133">
        <f>IF(INDEX('#建筑消耗和buff配置索引'!AR:AR,MATCH($F94,'#建筑消耗和buff配置索引'!$M:$M,0))=0,"",INDEX('#建筑消耗和buff配置索引'!AR:AR,MATCH($F94,'#建筑消耗和buff配置索引'!$M:$M,0)))</f>
        <v>1017</v>
      </c>
      <c r="AC94" s="133">
        <f>IF(AB94="","",INDEX('#建筑消耗和buff配置索引'!AS:AS,MATCH($F94,'#建筑消耗和buff配置索引'!$M:$M,0)))</f>
        <v>400</v>
      </c>
      <c r="AF94" s="133" t="str">
        <f>IF(INDEX('#建筑消耗和buff配置索引'!AW:AW,MATCH($F94,'#建筑消耗和buff配置索引'!$M:$M,0))=0,"",INDEX('#建筑消耗和buff配置索引'!AW:AW,MATCH($F94,'#建筑消耗和buff配置索引'!$M:$M,0)))</f>
        <v/>
      </c>
      <c r="AG94" s="133" t="str">
        <f>IF(AF94="","",INDEX('#建筑消耗和buff配置索引'!AX:AX,MATCH($F94,'#建筑消耗和buff配置索引'!$M:$M,0)))</f>
        <v/>
      </c>
      <c r="AJ94" s="133" t="str">
        <f>IF(INDEX('#建筑消耗和buff配置索引'!BB:BB,MATCH($F94,'#建筑消耗和buff配置索引'!$M:$M,0))=0,"",INDEX('#建筑消耗和buff配置索引'!BB:BB,MATCH($F94,'#建筑消耗和buff配置索引'!$M:$M,0)))</f>
        <v/>
      </c>
      <c r="AK94" s="133" t="str">
        <f>IF(AJ94="","",INDEX('#建筑消耗和buff配置索引'!BC:BC,MATCH($F94,'#建筑消耗和buff配置索引'!$M:$M,0)))</f>
        <v/>
      </c>
      <c r="AN94" s="133" t="str">
        <f>IF(INDEX('#建筑消耗和buff配置索引'!BG:BG,MATCH($F94,'#建筑消耗和buff配置索引'!$M:$M,0))=0,"",INDEX('#建筑消耗和buff配置索引'!BG:BG,MATCH($F94,'#建筑消耗和buff配置索引'!$M:$M,0)))</f>
        <v/>
      </c>
      <c r="AO94" s="133" t="str">
        <f>IF(AN94="","",INDEX('#建筑消耗和buff配置索引'!BH:BH,MATCH($F94,'#建筑消耗和buff配置索引'!$M:$M,0)))</f>
        <v/>
      </c>
      <c r="AR94" s="133" t="str">
        <f>IF(INDEX('#建筑消耗和buff配置索引'!BK:BK,MATCH($F94,'#建筑消耗和buff配置索引'!$M:$M,0))=0,"",INDEX('#建筑消耗和buff配置索引'!BK:BK,MATCH($F94,'#建筑消耗和buff配置索引'!$M:$M,0)))</f>
        <v/>
      </c>
      <c r="AS94" s="133" t="str">
        <f>IF(AR94="","",INDEX('#建筑消耗和buff配置索引'!BL:BL,MATCH($F94,'#建筑消耗和buff配置索引'!$M:$M,0)))</f>
        <v/>
      </c>
      <c r="AV94" s="133" t="str">
        <f>IF(INDEX('#建筑消耗和buff配置索引'!BO:BO,MATCH($F94,'#建筑消耗和buff配置索引'!$M:$M,0))=0,"",INDEX('#建筑消耗和buff配置索引'!BO:BO,MATCH($F94,'#建筑消耗和buff配置索引'!$M:$M,0)))</f>
        <v/>
      </c>
      <c r="AW94" s="133" t="str">
        <f>IF(AV94="","",INDEX('#建筑消耗和buff配置索引'!BP:BP,MATCH($F94,'#建筑消耗和buff配置索引'!$M:$M,0)))</f>
        <v/>
      </c>
      <c r="AZ94" s="133" t="str">
        <f>IF(INDEX('#建筑消耗和buff配置索引'!BS:BS,MATCH($F94,'#建筑消耗和buff配置索引'!$M:$M,0))=0,"",INDEX('#建筑消耗和buff配置索引'!BS:BS,MATCH($F94,'#建筑消耗和buff配置索引'!$M:$M,0)))</f>
        <v/>
      </c>
      <c r="BA94" s="133" t="str">
        <f>IF(AZ94="","",INDEX('#建筑消耗和buff配置索引'!BT:BT,MATCH($F94,'#建筑消耗和buff配置索引'!$M:$M,0)))</f>
        <v/>
      </c>
      <c r="BD94" s="133" t="str">
        <f>IF(INDEX('#建筑消耗和buff配置索引'!BW:BW,MATCH($F94,'#建筑消耗和buff配置索引'!$M:$M,0))=0,"",INDEX('#建筑消耗和buff配置索引'!BW:BW,MATCH($F94,'#建筑消耗和buff配置索引'!$M:$M,0)))</f>
        <v/>
      </c>
      <c r="BE94" s="133" t="str">
        <f>IF(BD94="","",INDEX('#建筑消耗和buff配置索引'!BX:BX,MATCH($F94,'#建筑消耗和buff配置索引'!$M:$M,0)))</f>
        <v/>
      </c>
      <c r="BI94" s="133">
        <v>7</v>
      </c>
      <c r="BN94" s="133">
        <v>3</v>
      </c>
      <c r="BO94" s="133">
        <v>3</v>
      </c>
      <c r="BP94" s="133" t="s">
        <v>1360</v>
      </c>
      <c r="BQ94" s="133">
        <v>10003601</v>
      </c>
      <c r="BR94" s="133">
        <v>300</v>
      </c>
    </row>
    <row r="95" spans="1:70" s="133" customFormat="1">
      <c r="A95" s="133">
        <v>2040002</v>
      </c>
      <c r="B95" s="133">
        <v>92</v>
      </c>
      <c r="C95" s="133">
        <v>204</v>
      </c>
      <c r="D95" s="133" t="s">
        <v>226</v>
      </c>
      <c r="E95" s="133">
        <v>2</v>
      </c>
      <c r="F95" s="133" t="str">
        <f t="shared" si="0"/>
        <v>伐木场2</v>
      </c>
      <c r="H95" s="146"/>
      <c r="I95" s="133" t="s">
        <v>1205</v>
      </c>
      <c r="J95" s="150">
        <f>INDEX('#建筑消耗和buff配置索引'!AH:AH,MATCH($F95,'#建筑消耗和buff配置索引'!$M:$M,0))</f>
        <v>25</v>
      </c>
      <c r="K95" s="150">
        <f>INDEX('#建筑消耗和buff配置索引'!AA:AA,MATCH($F95,'#建筑消耗和buff配置索引'!$M:$M,0))</f>
        <v>1000</v>
      </c>
      <c r="L95" s="150">
        <f>INDEX('#建筑消耗和buff配置索引'!AB:AB,MATCH($F95,'#建筑消耗和buff配置索引'!$M:$M,0))</f>
        <v>0</v>
      </c>
      <c r="M95" s="150">
        <f>INDEX('#建筑消耗和buff配置索引'!AC:AC,MATCH($F95,'#建筑消耗和buff配置索引'!$M:$M,0))</f>
        <v>0</v>
      </c>
      <c r="N95" s="150">
        <f>INDEX('#建筑消耗和buff配置索引'!AD:AD,MATCH($F95,'#建筑消耗和buff配置索引'!$M:$M,0))</f>
        <v>0</v>
      </c>
      <c r="O95" s="150" t="str">
        <f>IF(INDEX('#建筑消耗和buff配置索引'!T:T,MATCH($F95,'#建筑消耗和buff配置索引'!$M:$M,0))=0,"",INDEX('#建筑消耗和buff配置索引'!T:T,MATCH($F95,'#建筑消耗和buff配置索引'!$M:$M,0)))</f>
        <v/>
      </c>
      <c r="P95" s="133" t="str">
        <f>IF(INDEX('#建筑消耗和buff配置索引'!U:U,MATCH($F95,'#建筑消耗和buff配置索引'!$M:$M,0))=0,"",INDEX('#建筑消耗和buff配置索引'!U:U,MATCH($F95,'#建筑消耗和buff配置索引'!$M:$M,0)))</f>
        <v/>
      </c>
      <c r="Q95" s="133" t="str">
        <f>IF(INDEX('#建筑消耗和buff配置索引'!K:K,MATCH($F95,'#建筑消耗和buff配置索引'!$M:$M,0))=0,"",INDEX('#建筑消耗和buff配置索引'!K:K,MATCH($F95,'#建筑消耗和buff配置索引'!$M:$M,0)))</f>
        <v>201</v>
      </c>
      <c r="R95" s="133" t="str">
        <f>IF(INDEX('#建筑消耗和buff配置索引'!L:L,MATCH($F95,'#建筑消耗和buff配置索引'!$M:$M,0))=0,"",INDEX('#建筑消耗和buff配置索引'!L:L,MATCH($F95,'#建筑消耗和buff配置索引'!$M:$M,0)))</f>
        <v>2</v>
      </c>
      <c r="S95" s="133">
        <f>IF(INDEX('#建筑消耗和buff配置索引'!C:C,MATCH(F95,'#建筑消耗和buff配置索引'!M:M,0))=0,1,INDEX('#建筑消耗和buff配置索引'!C:C,MATCH(F95,'#建筑消耗和buff配置索引'!M:M,0)))</f>
        <v>1</v>
      </c>
      <c r="T95" s="133">
        <v>0</v>
      </c>
      <c r="U95" s="133">
        <v>0</v>
      </c>
      <c r="V95" s="133" t="str">
        <f>IF(E95=1,IF(INDEX('#建筑消耗和buff配置索引'!BY:BY,MATCH(D95,'#建筑消耗和buff配置索引'!A:A,0))=0,"",INDEX('#建筑消耗和buff配置索引'!BY:BY,MATCH(D95,'#建筑消耗和buff配置索引'!A:A,0))),"")</f>
        <v/>
      </c>
      <c r="W95" s="133" t="str">
        <f>IF(E95=1,IF(INDEX('#建筑消耗和buff配置索引'!BZ:BZ,MATCH(D95,'#建筑消耗和buff配置索引'!A:A,0))=0,"",INDEX('#建筑消耗和buff配置索引'!BZ:BZ,MATCH(D95,'#建筑消耗和buff配置索引'!A:A,0))),"")</f>
        <v/>
      </c>
      <c r="AA95" s="133">
        <f>INDEX('#建筑消耗和buff配置索引'!AO:AO,MATCH($F95,'#建筑消耗和buff配置索引'!$M:$M,0))</f>
        <v>3</v>
      </c>
      <c r="AB95" s="133">
        <f>IF(INDEX('#建筑消耗和buff配置索引'!AR:AR,MATCH($F95,'#建筑消耗和buff配置索引'!$M:$M,0))=0,"",INDEX('#建筑消耗和buff配置索引'!AR:AR,MATCH($F95,'#建筑消耗和buff配置索引'!$M:$M,0)))</f>
        <v>1017</v>
      </c>
      <c r="AC95" s="133">
        <f>IF(AB95="","",INDEX('#建筑消耗和buff配置索引'!AS:AS,MATCH($F95,'#建筑消耗和buff配置索引'!$M:$M,0)))</f>
        <v>600</v>
      </c>
      <c r="AF95" s="133" t="str">
        <f>IF(INDEX('#建筑消耗和buff配置索引'!AW:AW,MATCH($F95,'#建筑消耗和buff配置索引'!$M:$M,0))=0,"",INDEX('#建筑消耗和buff配置索引'!AW:AW,MATCH($F95,'#建筑消耗和buff配置索引'!$M:$M,0)))</f>
        <v/>
      </c>
      <c r="AG95" s="133" t="str">
        <f>IF(AF95="","",INDEX('#建筑消耗和buff配置索引'!AX:AX,MATCH($F95,'#建筑消耗和buff配置索引'!$M:$M,0)))</f>
        <v/>
      </c>
      <c r="AJ95" s="133" t="str">
        <f>IF(INDEX('#建筑消耗和buff配置索引'!BB:BB,MATCH($F95,'#建筑消耗和buff配置索引'!$M:$M,0))=0,"",INDEX('#建筑消耗和buff配置索引'!BB:BB,MATCH($F95,'#建筑消耗和buff配置索引'!$M:$M,0)))</f>
        <v/>
      </c>
      <c r="AK95" s="133" t="str">
        <f>IF(AJ95="","",INDEX('#建筑消耗和buff配置索引'!BC:BC,MATCH($F95,'#建筑消耗和buff配置索引'!$M:$M,0)))</f>
        <v/>
      </c>
      <c r="AN95" s="133" t="str">
        <f>IF(INDEX('#建筑消耗和buff配置索引'!BG:BG,MATCH($F95,'#建筑消耗和buff配置索引'!$M:$M,0))=0,"",INDEX('#建筑消耗和buff配置索引'!BG:BG,MATCH($F95,'#建筑消耗和buff配置索引'!$M:$M,0)))</f>
        <v/>
      </c>
      <c r="AO95" s="133" t="str">
        <f>IF(AN95="","",INDEX('#建筑消耗和buff配置索引'!BH:BH,MATCH($F95,'#建筑消耗和buff配置索引'!$M:$M,0)))</f>
        <v/>
      </c>
      <c r="AR95" s="133" t="str">
        <f>IF(INDEX('#建筑消耗和buff配置索引'!BK:BK,MATCH($F95,'#建筑消耗和buff配置索引'!$M:$M,0))=0,"",INDEX('#建筑消耗和buff配置索引'!BK:BK,MATCH($F95,'#建筑消耗和buff配置索引'!$M:$M,0)))</f>
        <v/>
      </c>
      <c r="AS95" s="133" t="str">
        <f>IF(AR95="","",INDEX('#建筑消耗和buff配置索引'!BL:BL,MATCH($F95,'#建筑消耗和buff配置索引'!$M:$M,0)))</f>
        <v/>
      </c>
      <c r="AV95" s="133" t="str">
        <f>IF(INDEX('#建筑消耗和buff配置索引'!BO:BO,MATCH($F95,'#建筑消耗和buff配置索引'!$M:$M,0))=0,"",INDEX('#建筑消耗和buff配置索引'!BO:BO,MATCH($F95,'#建筑消耗和buff配置索引'!$M:$M,0)))</f>
        <v/>
      </c>
      <c r="AW95" s="133" t="str">
        <f>IF(AV95="","",INDEX('#建筑消耗和buff配置索引'!BP:BP,MATCH($F95,'#建筑消耗和buff配置索引'!$M:$M,0)))</f>
        <v/>
      </c>
      <c r="AZ95" s="133" t="str">
        <f>IF(INDEX('#建筑消耗和buff配置索引'!BS:BS,MATCH($F95,'#建筑消耗和buff配置索引'!$M:$M,0))=0,"",INDEX('#建筑消耗和buff配置索引'!BS:BS,MATCH($F95,'#建筑消耗和buff配置索引'!$M:$M,0)))</f>
        <v/>
      </c>
      <c r="BA95" s="133" t="str">
        <f>IF(AZ95="","",INDEX('#建筑消耗和buff配置索引'!BT:BT,MATCH($F95,'#建筑消耗和buff配置索引'!$M:$M,0)))</f>
        <v/>
      </c>
      <c r="BD95" s="133" t="str">
        <f>IF(INDEX('#建筑消耗和buff配置索引'!BW:BW,MATCH($F95,'#建筑消耗和buff配置索引'!$M:$M,0))=0,"",INDEX('#建筑消耗和buff配置索引'!BW:BW,MATCH($F95,'#建筑消耗和buff配置索引'!$M:$M,0)))</f>
        <v/>
      </c>
      <c r="BE95" s="133" t="str">
        <f>IF(BD95="","",INDEX('#建筑消耗和buff配置索引'!BX:BX,MATCH($F95,'#建筑消耗和buff配置索引'!$M:$M,0)))</f>
        <v/>
      </c>
      <c r="BI95" s="133">
        <v>7</v>
      </c>
      <c r="BO95" s="133">
        <v>3</v>
      </c>
      <c r="BP95" s="133" t="s">
        <v>1360</v>
      </c>
      <c r="BQ95" s="133">
        <v>10003601</v>
      </c>
      <c r="BR95" s="133">
        <v>300</v>
      </c>
    </row>
    <row r="96" spans="1:70" s="133" customFormat="1">
      <c r="A96" s="133">
        <v>2040003</v>
      </c>
      <c r="B96" s="133">
        <v>93</v>
      </c>
      <c r="C96" s="133">
        <v>204</v>
      </c>
      <c r="D96" s="133" t="s">
        <v>226</v>
      </c>
      <c r="E96" s="133">
        <v>3</v>
      </c>
      <c r="F96" s="133" t="str">
        <f t="shared" si="0"/>
        <v>伐木场3</v>
      </c>
      <c r="H96" s="146"/>
      <c r="I96" s="133" t="s">
        <v>1205</v>
      </c>
      <c r="J96" s="150">
        <f>INDEX('#建筑消耗和buff配置索引'!AH:AH,MATCH($F96,'#建筑消耗和buff配置索引'!$M:$M,0))</f>
        <v>36</v>
      </c>
      <c r="K96" s="150">
        <f>INDEX('#建筑消耗和buff配置索引'!AA:AA,MATCH($F96,'#建筑消耗和buff配置索引'!$M:$M,0))</f>
        <v>2000</v>
      </c>
      <c r="L96" s="150">
        <f>INDEX('#建筑消耗和buff配置索引'!AB:AB,MATCH($F96,'#建筑消耗和buff配置索引'!$M:$M,0))</f>
        <v>0</v>
      </c>
      <c r="M96" s="150">
        <f>INDEX('#建筑消耗和buff配置索引'!AC:AC,MATCH($F96,'#建筑消耗和buff配置索引'!$M:$M,0))</f>
        <v>0</v>
      </c>
      <c r="N96" s="150">
        <f>INDEX('#建筑消耗和buff配置索引'!AD:AD,MATCH($F96,'#建筑消耗和buff配置索引'!$M:$M,0))</f>
        <v>0</v>
      </c>
      <c r="O96" s="150" t="str">
        <f>IF(INDEX('#建筑消耗和buff配置索引'!T:T,MATCH($F96,'#建筑消耗和buff配置索引'!$M:$M,0))=0,"",INDEX('#建筑消耗和buff配置索引'!T:T,MATCH($F96,'#建筑消耗和buff配置索引'!$M:$M,0)))</f>
        <v/>
      </c>
      <c r="P96" s="133" t="str">
        <f>IF(INDEX('#建筑消耗和buff配置索引'!U:U,MATCH($F96,'#建筑消耗和buff配置索引'!$M:$M,0))=0,"",INDEX('#建筑消耗和buff配置索引'!U:U,MATCH($F96,'#建筑消耗和buff配置索引'!$M:$M,0)))</f>
        <v/>
      </c>
      <c r="Q96" s="133" t="str">
        <f>IF(INDEX('#建筑消耗和buff配置索引'!K:K,MATCH($F96,'#建筑消耗和buff配置索引'!$M:$M,0))=0,"",INDEX('#建筑消耗和buff配置索引'!K:K,MATCH($F96,'#建筑消耗和buff配置索引'!$M:$M,0)))</f>
        <v>201</v>
      </c>
      <c r="R96" s="133" t="str">
        <f>IF(INDEX('#建筑消耗和buff配置索引'!L:L,MATCH($F96,'#建筑消耗和buff配置索引'!$M:$M,0))=0,"",INDEX('#建筑消耗和buff配置索引'!L:L,MATCH($F96,'#建筑消耗和buff配置索引'!$M:$M,0)))</f>
        <v>3</v>
      </c>
      <c r="S96" s="133">
        <f>IF(INDEX('#建筑消耗和buff配置索引'!C:C,MATCH(F96,'#建筑消耗和buff配置索引'!M:M,0))=0,1,INDEX('#建筑消耗和buff配置索引'!C:C,MATCH(F96,'#建筑消耗和buff配置索引'!M:M,0)))</f>
        <v>1</v>
      </c>
      <c r="T96" s="133">
        <v>0</v>
      </c>
      <c r="U96" s="133">
        <v>0</v>
      </c>
      <c r="V96" s="133" t="str">
        <f>IF(E96=1,IF(INDEX('#建筑消耗和buff配置索引'!BY:BY,MATCH(D96,'#建筑消耗和buff配置索引'!A:A,0))=0,"",INDEX('#建筑消耗和buff配置索引'!BY:BY,MATCH(D96,'#建筑消耗和buff配置索引'!A:A,0))),"")</f>
        <v/>
      </c>
      <c r="W96" s="133" t="str">
        <f>IF(E96=1,IF(INDEX('#建筑消耗和buff配置索引'!BZ:BZ,MATCH(D96,'#建筑消耗和buff配置索引'!A:A,0))=0,"",INDEX('#建筑消耗和buff配置索引'!BZ:BZ,MATCH(D96,'#建筑消耗和buff配置索引'!A:A,0))),"")</f>
        <v/>
      </c>
      <c r="AA96" s="133">
        <f>INDEX('#建筑消耗和buff配置索引'!AO:AO,MATCH($F96,'#建筑消耗和buff配置索引'!$M:$M,0))</f>
        <v>7</v>
      </c>
      <c r="AB96" s="133">
        <f>IF(INDEX('#建筑消耗和buff配置索引'!AR:AR,MATCH($F96,'#建筑消耗和buff配置索引'!$M:$M,0))=0,"",INDEX('#建筑消耗和buff配置索引'!AR:AR,MATCH($F96,'#建筑消耗和buff配置索引'!$M:$M,0)))</f>
        <v>1017</v>
      </c>
      <c r="AC96" s="133">
        <f>IF(AB96="","",INDEX('#建筑消耗和buff配置索引'!AS:AS,MATCH($F96,'#建筑消耗和buff配置索引'!$M:$M,0)))</f>
        <v>800</v>
      </c>
      <c r="AF96" s="133" t="str">
        <f>IF(INDEX('#建筑消耗和buff配置索引'!AW:AW,MATCH($F96,'#建筑消耗和buff配置索引'!$M:$M,0))=0,"",INDEX('#建筑消耗和buff配置索引'!AW:AW,MATCH($F96,'#建筑消耗和buff配置索引'!$M:$M,0)))</f>
        <v/>
      </c>
      <c r="AG96" s="133" t="str">
        <f>IF(AF96="","",INDEX('#建筑消耗和buff配置索引'!AX:AX,MATCH($F96,'#建筑消耗和buff配置索引'!$M:$M,0)))</f>
        <v/>
      </c>
      <c r="AJ96" s="133" t="str">
        <f>IF(INDEX('#建筑消耗和buff配置索引'!BB:BB,MATCH($F96,'#建筑消耗和buff配置索引'!$M:$M,0))=0,"",INDEX('#建筑消耗和buff配置索引'!BB:BB,MATCH($F96,'#建筑消耗和buff配置索引'!$M:$M,0)))</f>
        <v/>
      </c>
      <c r="AK96" s="133" t="str">
        <f>IF(AJ96="","",INDEX('#建筑消耗和buff配置索引'!BC:BC,MATCH($F96,'#建筑消耗和buff配置索引'!$M:$M,0)))</f>
        <v/>
      </c>
      <c r="AN96" s="133" t="str">
        <f>IF(INDEX('#建筑消耗和buff配置索引'!BG:BG,MATCH($F96,'#建筑消耗和buff配置索引'!$M:$M,0))=0,"",INDEX('#建筑消耗和buff配置索引'!BG:BG,MATCH($F96,'#建筑消耗和buff配置索引'!$M:$M,0)))</f>
        <v/>
      </c>
      <c r="AO96" s="133" t="str">
        <f>IF(AN96="","",INDEX('#建筑消耗和buff配置索引'!BH:BH,MATCH($F96,'#建筑消耗和buff配置索引'!$M:$M,0)))</f>
        <v/>
      </c>
      <c r="AR96" s="133" t="str">
        <f>IF(INDEX('#建筑消耗和buff配置索引'!BK:BK,MATCH($F96,'#建筑消耗和buff配置索引'!$M:$M,0))=0,"",INDEX('#建筑消耗和buff配置索引'!BK:BK,MATCH($F96,'#建筑消耗和buff配置索引'!$M:$M,0)))</f>
        <v/>
      </c>
      <c r="AS96" s="133" t="str">
        <f>IF(AR96="","",INDEX('#建筑消耗和buff配置索引'!BL:BL,MATCH($F96,'#建筑消耗和buff配置索引'!$M:$M,0)))</f>
        <v/>
      </c>
      <c r="AV96" s="133" t="str">
        <f>IF(INDEX('#建筑消耗和buff配置索引'!BO:BO,MATCH($F96,'#建筑消耗和buff配置索引'!$M:$M,0))=0,"",INDEX('#建筑消耗和buff配置索引'!BO:BO,MATCH($F96,'#建筑消耗和buff配置索引'!$M:$M,0)))</f>
        <v/>
      </c>
      <c r="AW96" s="133" t="str">
        <f>IF(AV96="","",INDEX('#建筑消耗和buff配置索引'!BP:BP,MATCH($F96,'#建筑消耗和buff配置索引'!$M:$M,0)))</f>
        <v/>
      </c>
      <c r="AZ96" s="133" t="str">
        <f>IF(INDEX('#建筑消耗和buff配置索引'!BS:BS,MATCH($F96,'#建筑消耗和buff配置索引'!$M:$M,0))=0,"",INDEX('#建筑消耗和buff配置索引'!BS:BS,MATCH($F96,'#建筑消耗和buff配置索引'!$M:$M,0)))</f>
        <v/>
      </c>
      <c r="BA96" s="133" t="str">
        <f>IF(AZ96="","",INDEX('#建筑消耗和buff配置索引'!BT:BT,MATCH($F96,'#建筑消耗和buff配置索引'!$M:$M,0)))</f>
        <v/>
      </c>
      <c r="BD96" s="133" t="str">
        <f>IF(INDEX('#建筑消耗和buff配置索引'!BW:BW,MATCH($F96,'#建筑消耗和buff配置索引'!$M:$M,0))=0,"",INDEX('#建筑消耗和buff配置索引'!BW:BW,MATCH($F96,'#建筑消耗和buff配置索引'!$M:$M,0)))</f>
        <v/>
      </c>
      <c r="BE96" s="133" t="str">
        <f>IF(BD96="","",INDEX('#建筑消耗和buff配置索引'!BX:BX,MATCH($F96,'#建筑消耗和buff配置索引'!$M:$M,0)))</f>
        <v/>
      </c>
      <c r="BI96" s="133">
        <v>7</v>
      </c>
      <c r="BO96" s="133">
        <v>3</v>
      </c>
      <c r="BP96" s="133" t="s">
        <v>1360</v>
      </c>
      <c r="BQ96" s="133">
        <v>10003601</v>
      </c>
      <c r="BR96" s="133">
        <v>300</v>
      </c>
    </row>
    <row r="97" spans="1:70" s="133" customFormat="1">
      <c r="A97" s="133">
        <v>2040004</v>
      </c>
      <c r="B97" s="133">
        <v>94</v>
      </c>
      <c r="C97" s="133">
        <v>204</v>
      </c>
      <c r="D97" s="133" t="s">
        <v>226</v>
      </c>
      <c r="E97" s="133">
        <v>4</v>
      </c>
      <c r="F97" s="133" t="str">
        <f t="shared" si="0"/>
        <v>伐木场4</v>
      </c>
      <c r="H97" s="146"/>
      <c r="I97" s="133" t="s">
        <v>1205</v>
      </c>
      <c r="J97" s="150">
        <f>INDEX('#建筑消耗和buff配置索引'!AH:AH,MATCH($F97,'#建筑消耗和buff配置索引'!$M:$M,0))</f>
        <v>72</v>
      </c>
      <c r="K97" s="150">
        <f>INDEX('#建筑消耗和buff配置索引'!AA:AA,MATCH($F97,'#建筑消耗和buff配置索引'!$M:$M,0))</f>
        <v>4000</v>
      </c>
      <c r="L97" s="150">
        <f>INDEX('#建筑消耗和buff配置索引'!AB:AB,MATCH($F97,'#建筑消耗和buff配置索引'!$M:$M,0))</f>
        <v>0</v>
      </c>
      <c r="M97" s="150">
        <f>INDEX('#建筑消耗和buff配置索引'!AC:AC,MATCH($F97,'#建筑消耗和buff配置索引'!$M:$M,0))</f>
        <v>0</v>
      </c>
      <c r="N97" s="150">
        <f>INDEX('#建筑消耗和buff配置索引'!AD:AD,MATCH($F97,'#建筑消耗和buff配置索引'!$M:$M,0))</f>
        <v>0</v>
      </c>
      <c r="O97" s="150" t="str">
        <f>IF(INDEX('#建筑消耗和buff配置索引'!T:T,MATCH($F97,'#建筑消耗和buff配置索引'!$M:$M,0))=0,"",INDEX('#建筑消耗和buff配置索引'!T:T,MATCH($F97,'#建筑消耗和buff配置索引'!$M:$M,0)))</f>
        <v/>
      </c>
      <c r="P97" s="133" t="str">
        <f>IF(INDEX('#建筑消耗和buff配置索引'!U:U,MATCH($F97,'#建筑消耗和buff配置索引'!$M:$M,0))=0,"",INDEX('#建筑消耗和buff配置索引'!U:U,MATCH($F97,'#建筑消耗和buff配置索引'!$M:$M,0)))</f>
        <v/>
      </c>
      <c r="Q97" s="133" t="str">
        <f>IF(INDEX('#建筑消耗和buff配置索引'!K:K,MATCH($F97,'#建筑消耗和buff配置索引'!$M:$M,0))=0,"",INDEX('#建筑消耗和buff配置索引'!K:K,MATCH($F97,'#建筑消耗和buff配置索引'!$M:$M,0)))</f>
        <v>201</v>
      </c>
      <c r="R97" s="133" t="str">
        <f>IF(INDEX('#建筑消耗和buff配置索引'!L:L,MATCH($F97,'#建筑消耗和buff配置索引'!$M:$M,0))=0,"",INDEX('#建筑消耗和buff配置索引'!L:L,MATCH($F97,'#建筑消耗和buff配置索引'!$M:$M,0)))</f>
        <v>4</v>
      </c>
      <c r="S97" s="133">
        <f>IF(INDEX('#建筑消耗和buff配置索引'!C:C,MATCH(F97,'#建筑消耗和buff配置索引'!M:M,0))=0,1,INDEX('#建筑消耗和buff配置索引'!C:C,MATCH(F97,'#建筑消耗和buff配置索引'!M:M,0)))</f>
        <v>1</v>
      </c>
      <c r="T97" s="133">
        <v>0</v>
      </c>
      <c r="U97" s="133">
        <v>0</v>
      </c>
      <c r="V97" s="133" t="str">
        <f>IF(E97=1,IF(INDEX('#建筑消耗和buff配置索引'!BY:BY,MATCH(D97,'#建筑消耗和buff配置索引'!A:A,0))=0,"",INDEX('#建筑消耗和buff配置索引'!BY:BY,MATCH(D97,'#建筑消耗和buff配置索引'!A:A,0))),"")</f>
        <v/>
      </c>
      <c r="W97" s="133" t="str">
        <f>IF(E97=1,IF(INDEX('#建筑消耗和buff配置索引'!BZ:BZ,MATCH(D97,'#建筑消耗和buff配置索引'!A:A,0))=0,"",INDEX('#建筑消耗和buff配置索引'!BZ:BZ,MATCH(D97,'#建筑消耗和buff配置索引'!A:A,0))),"")</f>
        <v/>
      </c>
      <c r="AA97" s="133">
        <f>INDEX('#建筑消耗和buff配置索引'!AO:AO,MATCH($F97,'#建筑消耗和buff配置索引'!$M:$M,0))</f>
        <v>15</v>
      </c>
      <c r="AB97" s="133">
        <f>IF(INDEX('#建筑消耗和buff配置索引'!AR:AR,MATCH($F97,'#建筑消耗和buff配置索引'!$M:$M,0))=0,"",INDEX('#建筑消耗和buff配置索引'!AR:AR,MATCH($F97,'#建筑消耗和buff配置索引'!$M:$M,0)))</f>
        <v>1017</v>
      </c>
      <c r="AC97" s="133">
        <f>IF(AB97="","",INDEX('#建筑消耗和buff配置索引'!AS:AS,MATCH($F97,'#建筑消耗和buff配置索引'!$M:$M,0)))</f>
        <v>1000</v>
      </c>
      <c r="AF97" s="133" t="str">
        <f>IF(INDEX('#建筑消耗和buff配置索引'!AW:AW,MATCH($F97,'#建筑消耗和buff配置索引'!$M:$M,0))=0,"",INDEX('#建筑消耗和buff配置索引'!AW:AW,MATCH($F97,'#建筑消耗和buff配置索引'!$M:$M,0)))</f>
        <v/>
      </c>
      <c r="AG97" s="133" t="str">
        <f>IF(AF97="","",INDEX('#建筑消耗和buff配置索引'!AX:AX,MATCH($F97,'#建筑消耗和buff配置索引'!$M:$M,0)))</f>
        <v/>
      </c>
      <c r="AJ97" s="133" t="str">
        <f>IF(INDEX('#建筑消耗和buff配置索引'!BB:BB,MATCH($F97,'#建筑消耗和buff配置索引'!$M:$M,0))=0,"",INDEX('#建筑消耗和buff配置索引'!BB:BB,MATCH($F97,'#建筑消耗和buff配置索引'!$M:$M,0)))</f>
        <v/>
      </c>
      <c r="AK97" s="133" t="str">
        <f>IF(AJ97="","",INDEX('#建筑消耗和buff配置索引'!BC:BC,MATCH($F97,'#建筑消耗和buff配置索引'!$M:$M,0)))</f>
        <v/>
      </c>
      <c r="AN97" s="133" t="str">
        <f>IF(INDEX('#建筑消耗和buff配置索引'!BG:BG,MATCH($F97,'#建筑消耗和buff配置索引'!$M:$M,0))=0,"",INDEX('#建筑消耗和buff配置索引'!BG:BG,MATCH($F97,'#建筑消耗和buff配置索引'!$M:$M,0)))</f>
        <v/>
      </c>
      <c r="AO97" s="133" t="str">
        <f>IF(AN97="","",INDEX('#建筑消耗和buff配置索引'!BH:BH,MATCH($F97,'#建筑消耗和buff配置索引'!$M:$M,0)))</f>
        <v/>
      </c>
      <c r="AR97" s="133" t="str">
        <f>IF(INDEX('#建筑消耗和buff配置索引'!BK:BK,MATCH($F97,'#建筑消耗和buff配置索引'!$M:$M,0))=0,"",INDEX('#建筑消耗和buff配置索引'!BK:BK,MATCH($F97,'#建筑消耗和buff配置索引'!$M:$M,0)))</f>
        <v/>
      </c>
      <c r="AS97" s="133" t="str">
        <f>IF(AR97="","",INDEX('#建筑消耗和buff配置索引'!BL:BL,MATCH($F97,'#建筑消耗和buff配置索引'!$M:$M,0)))</f>
        <v/>
      </c>
      <c r="AV97" s="133" t="str">
        <f>IF(INDEX('#建筑消耗和buff配置索引'!BO:BO,MATCH($F97,'#建筑消耗和buff配置索引'!$M:$M,0))=0,"",INDEX('#建筑消耗和buff配置索引'!BO:BO,MATCH($F97,'#建筑消耗和buff配置索引'!$M:$M,0)))</f>
        <v/>
      </c>
      <c r="AW97" s="133" t="str">
        <f>IF(AV97="","",INDEX('#建筑消耗和buff配置索引'!BP:BP,MATCH($F97,'#建筑消耗和buff配置索引'!$M:$M,0)))</f>
        <v/>
      </c>
      <c r="AZ97" s="133" t="str">
        <f>IF(INDEX('#建筑消耗和buff配置索引'!BS:BS,MATCH($F97,'#建筑消耗和buff配置索引'!$M:$M,0))=0,"",INDEX('#建筑消耗和buff配置索引'!BS:BS,MATCH($F97,'#建筑消耗和buff配置索引'!$M:$M,0)))</f>
        <v/>
      </c>
      <c r="BA97" s="133" t="str">
        <f>IF(AZ97="","",INDEX('#建筑消耗和buff配置索引'!BT:BT,MATCH($F97,'#建筑消耗和buff配置索引'!$M:$M,0)))</f>
        <v/>
      </c>
      <c r="BD97" s="133" t="str">
        <f>IF(INDEX('#建筑消耗和buff配置索引'!BW:BW,MATCH($F97,'#建筑消耗和buff配置索引'!$M:$M,0))=0,"",INDEX('#建筑消耗和buff配置索引'!BW:BW,MATCH($F97,'#建筑消耗和buff配置索引'!$M:$M,0)))</f>
        <v/>
      </c>
      <c r="BE97" s="133" t="str">
        <f>IF(BD97="","",INDEX('#建筑消耗和buff配置索引'!BX:BX,MATCH($F97,'#建筑消耗和buff配置索引'!$M:$M,0)))</f>
        <v/>
      </c>
      <c r="BI97" s="133">
        <v>7</v>
      </c>
      <c r="BO97" s="133">
        <v>3</v>
      </c>
      <c r="BP97" s="133" t="s">
        <v>1360</v>
      </c>
      <c r="BQ97" s="133">
        <v>10003601</v>
      </c>
      <c r="BR97" s="133">
        <v>300</v>
      </c>
    </row>
    <row r="98" spans="1:70" s="133" customFormat="1">
      <c r="A98" s="133">
        <v>2040005</v>
      </c>
      <c r="B98" s="133">
        <v>95</v>
      </c>
      <c r="C98" s="133">
        <v>204</v>
      </c>
      <c r="D98" s="133" t="s">
        <v>226</v>
      </c>
      <c r="E98" s="133">
        <v>5</v>
      </c>
      <c r="F98" s="133" t="str">
        <f t="shared" ref="F98:F184" si="4">D98&amp;E98</f>
        <v>伐木场5</v>
      </c>
      <c r="H98" s="146"/>
      <c r="I98" s="133">
        <v>1</v>
      </c>
      <c r="J98" s="150">
        <f>INDEX('#建筑消耗和buff配置索引'!AH:AH,MATCH($F98,'#建筑消耗和buff配置索引'!$M:$M,0))</f>
        <v>150</v>
      </c>
      <c r="K98" s="150">
        <f>INDEX('#建筑消耗和buff配置索引'!AA:AA,MATCH($F98,'#建筑消耗和buff配置索引'!$M:$M,0))</f>
        <v>3900</v>
      </c>
      <c r="L98" s="150">
        <f>INDEX('#建筑消耗和buff配置索引'!AB:AB,MATCH($F98,'#建筑消耗和buff配置索引'!$M:$M,0))</f>
        <v>0</v>
      </c>
      <c r="M98" s="150">
        <f>INDEX('#建筑消耗和buff配置索引'!AC:AC,MATCH($F98,'#建筑消耗和buff配置索引'!$M:$M,0))</f>
        <v>3900</v>
      </c>
      <c r="N98" s="150">
        <f>INDEX('#建筑消耗和buff配置索引'!AD:AD,MATCH($F98,'#建筑消耗和buff配置索引'!$M:$M,0))</f>
        <v>0</v>
      </c>
      <c r="O98" s="150" t="str">
        <f>IF(INDEX('#建筑消耗和buff配置索引'!T:T,MATCH($F98,'#建筑消耗和buff配置索引'!$M:$M,0))=0,"",INDEX('#建筑消耗和buff配置索引'!T:T,MATCH($F98,'#建筑消耗和buff配置索引'!$M:$M,0)))</f>
        <v/>
      </c>
      <c r="P98" s="133" t="str">
        <f>IF(INDEX('#建筑消耗和buff配置索引'!U:U,MATCH($F98,'#建筑消耗和buff配置索引'!$M:$M,0))=0,"",INDEX('#建筑消耗和buff配置索引'!U:U,MATCH($F98,'#建筑消耗和buff配置索引'!$M:$M,0)))</f>
        <v/>
      </c>
      <c r="Q98" s="133" t="str">
        <f>IF(INDEX('#建筑消耗和buff配置索引'!K:K,MATCH($F98,'#建筑消耗和buff配置索引'!$M:$M,0))=0,"",INDEX('#建筑消耗和buff配置索引'!K:K,MATCH($F98,'#建筑消耗和buff配置索引'!$M:$M,0)))</f>
        <v>201</v>
      </c>
      <c r="R98" s="133" t="str">
        <f>IF(INDEX('#建筑消耗和buff配置索引'!L:L,MATCH($F98,'#建筑消耗和buff配置索引'!$M:$M,0))=0,"",INDEX('#建筑消耗和buff配置索引'!L:L,MATCH($F98,'#建筑消耗和buff配置索引'!$M:$M,0)))</f>
        <v>5</v>
      </c>
      <c r="S98" s="133">
        <f>IF(INDEX('#建筑消耗和buff配置索引'!C:C,MATCH(F98,'#建筑消耗和buff配置索引'!M:M,0))=0,1,INDEX('#建筑消耗和buff配置索引'!C:C,MATCH(F98,'#建筑消耗和buff配置索引'!M:M,0)))</f>
        <v>1</v>
      </c>
      <c r="T98" s="133">
        <v>0</v>
      </c>
      <c r="U98" s="133">
        <v>0</v>
      </c>
      <c r="V98" s="133" t="str">
        <f>IF(E98=1,IF(INDEX('#建筑消耗和buff配置索引'!BY:BY,MATCH(D98,'#建筑消耗和buff配置索引'!A:A,0))=0,"",INDEX('#建筑消耗和buff配置索引'!BY:BY,MATCH(D98,'#建筑消耗和buff配置索引'!A:A,0))),"")</f>
        <v/>
      </c>
      <c r="W98" s="133" t="str">
        <f>IF(E98=1,IF(INDEX('#建筑消耗和buff配置索引'!BZ:BZ,MATCH(D98,'#建筑消耗和buff配置索引'!A:A,0))=0,"",INDEX('#建筑消耗和buff配置索引'!BZ:BZ,MATCH(D98,'#建筑消耗和buff配置索引'!A:A,0))),"")</f>
        <v/>
      </c>
      <c r="AA98" s="133">
        <f>INDEX('#建筑消耗和buff配置索引'!AO:AO,MATCH($F98,'#建筑消耗和buff配置索引'!$M:$M,0))</f>
        <v>30</v>
      </c>
      <c r="AB98" s="133">
        <f>IF(INDEX('#建筑消耗和buff配置索引'!AR:AR,MATCH($F98,'#建筑消耗和buff配置索引'!$M:$M,0))=0,"",INDEX('#建筑消耗和buff配置索引'!AR:AR,MATCH($F98,'#建筑消耗和buff配置索引'!$M:$M,0)))</f>
        <v>1017</v>
      </c>
      <c r="AC98" s="133">
        <f>IF(AB98="","",INDEX('#建筑消耗和buff配置索引'!AS:AS,MATCH($F98,'#建筑消耗和buff配置索引'!$M:$M,0)))</f>
        <v>1350</v>
      </c>
      <c r="AF98" s="133" t="str">
        <f>IF(INDEX('#建筑消耗和buff配置索引'!AW:AW,MATCH($F98,'#建筑消耗和buff配置索引'!$M:$M,0))=0,"",INDEX('#建筑消耗和buff配置索引'!AW:AW,MATCH($F98,'#建筑消耗和buff配置索引'!$M:$M,0)))</f>
        <v/>
      </c>
      <c r="AG98" s="133" t="str">
        <f>IF(AF98="","",INDEX('#建筑消耗和buff配置索引'!AX:AX,MATCH($F98,'#建筑消耗和buff配置索引'!$M:$M,0)))</f>
        <v/>
      </c>
      <c r="AJ98" s="133" t="str">
        <f>IF(INDEX('#建筑消耗和buff配置索引'!BB:BB,MATCH($F98,'#建筑消耗和buff配置索引'!$M:$M,0))=0,"",INDEX('#建筑消耗和buff配置索引'!BB:BB,MATCH($F98,'#建筑消耗和buff配置索引'!$M:$M,0)))</f>
        <v/>
      </c>
      <c r="AK98" s="133" t="str">
        <f>IF(AJ98="","",INDEX('#建筑消耗和buff配置索引'!BC:BC,MATCH($F98,'#建筑消耗和buff配置索引'!$M:$M,0)))</f>
        <v/>
      </c>
      <c r="AN98" s="133" t="str">
        <f>IF(INDEX('#建筑消耗和buff配置索引'!BG:BG,MATCH($F98,'#建筑消耗和buff配置索引'!$M:$M,0))=0,"",INDEX('#建筑消耗和buff配置索引'!BG:BG,MATCH($F98,'#建筑消耗和buff配置索引'!$M:$M,0)))</f>
        <v/>
      </c>
      <c r="AO98" s="133" t="str">
        <f>IF(AN98="","",INDEX('#建筑消耗和buff配置索引'!BH:BH,MATCH($F98,'#建筑消耗和buff配置索引'!$M:$M,0)))</f>
        <v/>
      </c>
      <c r="AR98" s="133" t="str">
        <f>IF(INDEX('#建筑消耗和buff配置索引'!BK:BK,MATCH($F98,'#建筑消耗和buff配置索引'!$M:$M,0))=0,"",INDEX('#建筑消耗和buff配置索引'!BK:BK,MATCH($F98,'#建筑消耗和buff配置索引'!$M:$M,0)))</f>
        <v/>
      </c>
      <c r="AS98" s="133" t="str">
        <f>IF(AR98="","",INDEX('#建筑消耗和buff配置索引'!BL:BL,MATCH($F98,'#建筑消耗和buff配置索引'!$M:$M,0)))</f>
        <v/>
      </c>
      <c r="AV98" s="133" t="str">
        <f>IF(INDEX('#建筑消耗和buff配置索引'!BO:BO,MATCH($F98,'#建筑消耗和buff配置索引'!$M:$M,0))=0,"",INDEX('#建筑消耗和buff配置索引'!BO:BO,MATCH($F98,'#建筑消耗和buff配置索引'!$M:$M,0)))</f>
        <v/>
      </c>
      <c r="AW98" s="133" t="str">
        <f>IF(AV98="","",INDEX('#建筑消耗和buff配置索引'!BP:BP,MATCH($F98,'#建筑消耗和buff配置索引'!$M:$M,0)))</f>
        <v/>
      </c>
      <c r="AZ98" s="133" t="str">
        <f>IF(INDEX('#建筑消耗和buff配置索引'!BS:BS,MATCH($F98,'#建筑消耗和buff配置索引'!$M:$M,0))=0,"",INDEX('#建筑消耗和buff配置索引'!BS:BS,MATCH($F98,'#建筑消耗和buff配置索引'!$M:$M,0)))</f>
        <v/>
      </c>
      <c r="BA98" s="133" t="str">
        <f>IF(AZ98="","",INDEX('#建筑消耗和buff配置索引'!BT:BT,MATCH($F98,'#建筑消耗和buff配置索引'!$M:$M,0)))</f>
        <v/>
      </c>
      <c r="BD98" s="133" t="str">
        <f>IF(INDEX('#建筑消耗和buff配置索引'!BW:BW,MATCH($F98,'#建筑消耗和buff配置索引'!$M:$M,0))=0,"",INDEX('#建筑消耗和buff配置索引'!BW:BW,MATCH($F98,'#建筑消耗和buff配置索引'!$M:$M,0)))</f>
        <v/>
      </c>
      <c r="BE98" s="133" t="str">
        <f>IF(BD98="","",INDEX('#建筑消耗和buff配置索引'!BX:BX,MATCH($F98,'#建筑消耗和buff配置索引'!$M:$M,0)))</f>
        <v/>
      </c>
      <c r="BI98" s="133">
        <v>7</v>
      </c>
      <c r="BO98" s="133">
        <v>3</v>
      </c>
      <c r="BP98" s="133" t="s">
        <v>1360</v>
      </c>
      <c r="BQ98" s="133">
        <v>10003601</v>
      </c>
      <c r="BR98" s="133">
        <v>300</v>
      </c>
    </row>
    <row r="99" spans="1:70" s="133" customFormat="1">
      <c r="A99" s="133">
        <v>2040006</v>
      </c>
      <c r="B99" s="133">
        <v>96</v>
      </c>
      <c r="C99" s="133">
        <v>204</v>
      </c>
      <c r="D99" s="133" t="s">
        <v>226</v>
      </c>
      <c r="E99" s="133">
        <v>6</v>
      </c>
      <c r="F99" s="133" t="str">
        <f t="shared" si="4"/>
        <v>伐木场6</v>
      </c>
      <c r="H99" s="146"/>
      <c r="I99" s="133">
        <v>1</v>
      </c>
      <c r="J99" s="150">
        <f>INDEX('#建筑消耗和buff配置索引'!AH:AH,MATCH($F99,'#建筑消耗和buff配置索引'!$M:$M,0))</f>
        <v>270</v>
      </c>
      <c r="K99" s="150">
        <f>INDEX('#建筑消耗和buff配置索引'!AA:AA,MATCH($F99,'#建筑消耗和buff配置索引'!$M:$M,0))</f>
        <v>7200</v>
      </c>
      <c r="L99" s="150">
        <f>INDEX('#建筑消耗和buff配置索引'!AB:AB,MATCH($F99,'#建筑消耗和buff配置索引'!$M:$M,0))</f>
        <v>0</v>
      </c>
      <c r="M99" s="150">
        <f>INDEX('#建筑消耗和buff配置索引'!AC:AC,MATCH($F99,'#建筑消耗和buff配置索引'!$M:$M,0))</f>
        <v>7200</v>
      </c>
      <c r="N99" s="150">
        <f>INDEX('#建筑消耗和buff配置索引'!AD:AD,MATCH($F99,'#建筑消耗和buff配置索引'!$M:$M,0))</f>
        <v>0</v>
      </c>
      <c r="O99" s="150" t="str">
        <f>IF(INDEX('#建筑消耗和buff配置索引'!T:T,MATCH($F99,'#建筑消耗和buff配置索引'!$M:$M,0))=0,"",INDEX('#建筑消耗和buff配置索引'!T:T,MATCH($F99,'#建筑消耗和buff配置索引'!$M:$M,0)))</f>
        <v/>
      </c>
      <c r="P99" s="133" t="str">
        <f>IF(INDEX('#建筑消耗和buff配置索引'!U:U,MATCH($F99,'#建筑消耗和buff配置索引'!$M:$M,0))=0,"",INDEX('#建筑消耗和buff配置索引'!U:U,MATCH($F99,'#建筑消耗和buff配置索引'!$M:$M,0)))</f>
        <v/>
      </c>
      <c r="Q99" s="133" t="str">
        <f>IF(INDEX('#建筑消耗和buff配置索引'!K:K,MATCH($F99,'#建筑消耗和buff配置索引'!$M:$M,0))=0,"",INDEX('#建筑消耗和buff配置索引'!K:K,MATCH($F99,'#建筑消耗和buff配置索引'!$M:$M,0)))</f>
        <v>201</v>
      </c>
      <c r="R99" s="133" t="str">
        <f>IF(INDEX('#建筑消耗和buff配置索引'!L:L,MATCH($F99,'#建筑消耗和buff配置索引'!$M:$M,0))=0,"",INDEX('#建筑消耗和buff配置索引'!L:L,MATCH($F99,'#建筑消耗和buff配置索引'!$M:$M,0)))</f>
        <v>6</v>
      </c>
      <c r="S99" s="133">
        <f>IF(INDEX('#建筑消耗和buff配置索引'!C:C,MATCH(F99,'#建筑消耗和buff配置索引'!M:M,0))=0,1,INDEX('#建筑消耗和buff配置索引'!C:C,MATCH(F99,'#建筑消耗和buff配置索引'!M:M,0)))</f>
        <v>1</v>
      </c>
      <c r="T99" s="133">
        <v>0</v>
      </c>
      <c r="U99" s="133">
        <v>0</v>
      </c>
      <c r="V99" s="133" t="str">
        <f>IF(E99=1,IF(INDEX('#建筑消耗和buff配置索引'!BY:BY,MATCH(D99,'#建筑消耗和buff配置索引'!A:A,0))=0,"",INDEX('#建筑消耗和buff配置索引'!BY:BY,MATCH(D99,'#建筑消耗和buff配置索引'!A:A,0))),"")</f>
        <v/>
      </c>
      <c r="W99" s="133" t="str">
        <f>IF(E99=1,IF(INDEX('#建筑消耗和buff配置索引'!BZ:BZ,MATCH(D99,'#建筑消耗和buff配置索引'!A:A,0))=0,"",INDEX('#建筑消耗和buff配置索引'!BZ:BZ,MATCH(D99,'#建筑消耗和buff配置索引'!A:A,0))),"")</f>
        <v/>
      </c>
      <c r="AA99" s="133">
        <f>INDEX('#建筑消耗和buff配置索引'!AO:AO,MATCH($F99,'#建筑消耗和buff配置索引'!$M:$M,0))</f>
        <v>59</v>
      </c>
      <c r="AB99" s="133">
        <f>IF(INDEX('#建筑消耗和buff配置索引'!AR:AR,MATCH($F99,'#建筑消耗和buff配置索引'!$M:$M,0))=0,"",INDEX('#建筑消耗和buff配置索引'!AR:AR,MATCH($F99,'#建筑消耗和buff配置索引'!$M:$M,0)))</f>
        <v>1017</v>
      </c>
      <c r="AC99" s="133">
        <f>IF(AB99="","",INDEX('#建筑消耗和buff配置索引'!AS:AS,MATCH($F99,'#建筑消耗和buff配置索引'!$M:$M,0)))</f>
        <v>1700</v>
      </c>
      <c r="AF99" s="133" t="str">
        <f>IF(INDEX('#建筑消耗和buff配置索引'!AW:AW,MATCH($F99,'#建筑消耗和buff配置索引'!$M:$M,0))=0,"",INDEX('#建筑消耗和buff配置索引'!AW:AW,MATCH($F99,'#建筑消耗和buff配置索引'!$M:$M,0)))</f>
        <v/>
      </c>
      <c r="AG99" s="133" t="str">
        <f>IF(AF99="","",INDEX('#建筑消耗和buff配置索引'!AX:AX,MATCH($F99,'#建筑消耗和buff配置索引'!$M:$M,0)))</f>
        <v/>
      </c>
      <c r="AJ99" s="133" t="str">
        <f>IF(INDEX('#建筑消耗和buff配置索引'!BB:BB,MATCH($F99,'#建筑消耗和buff配置索引'!$M:$M,0))=0,"",INDEX('#建筑消耗和buff配置索引'!BB:BB,MATCH($F99,'#建筑消耗和buff配置索引'!$M:$M,0)))</f>
        <v/>
      </c>
      <c r="AK99" s="133" t="str">
        <f>IF(AJ99="","",INDEX('#建筑消耗和buff配置索引'!BC:BC,MATCH($F99,'#建筑消耗和buff配置索引'!$M:$M,0)))</f>
        <v/>
      </c>
      <c r="AN99" s="133" t="str">
        <f>IF(INDEX('#建筑消耗和buff配置索引'!BG:BG,MATCH($F99,'#建筑消耗和buff配置索引'!$M:$M,0))=0,"",INDEX('#建筑消耗和buff配置索引'!BG:BG,MATCH($F99,'#建筑消耗和buff配置索引'!$M:$M,0)))</f>
        <v/>
      </c>
      <c r="AO99" s="133" t="str">
        <f>IF(AN99="","",INDEX('#建筑消耗和buff配置索引'!BH:BH,MATCH($F99,'#建筑消耗和buff配置索引'!$M:$M,0)))</f>
        <v/>
      </c>
      <c r="AR99" s="133" t="str">
        <f>IF(INDEX('#建筑消耗和buff配置索引'!BK:BK,MATCH($F99,'#建筑消耗和buff配置索引'!$M:$M,0))=0,"",INDEX('#建筑消耗和buff配置索引'!BK:BK,MATCH($F99,'#建筑消耗和buff配置索引'!$M:$M,0)))</f>
        <v/>
      </c>
      <c r="AS99" s="133" t="str">
        <f>IF(AR99="","",INDEX('#建筑消耗和buff配置索引'!BL:BL,MATCH($F99,'#建筑消耗和buff配置索引'!$M:$M,0)))</f>
        <v/>
      </c>
      <c r="AV99" s="133" t="str">
        <f>IF(INDEX('#建筑消耗和buff配置索引'!BO:BO,MATCH($F99,'#建筑消耗和buff配置索引'!$M:$M,0))=0,"",INDEX('#建筑消耗和buff配置索引'!BO:BO,MATCH($F99,'#建筑消耗和buff配置索引'!$M:$M,0)))</f>
        <v/>
      </c>
      <c r="AW99" s="133" t="str">
        <f>IF(AV99="","",INDEX('#建筑消耗和buff配置索引'!BP:BP,MATCH($F99,'#建筑消耗和buff配置索引'!$M:$M,0)))</f>
        <v/>
      </c>
      <c r="AZ99" s="133" t="str">
        <f>IF(INDEX('#建筑消耗和buff配置索引'!BS:BS,MATCH($F99,'#建筑消耗和buff配置索引'!$M:$M,0))=0,"",INDEX('#建筑消耗和buff配置索引'!BS:BS,MATCH($F99,'#建筑消耗和buff配置索引'!$M:$M,0)))</f>
        <v/>
      </c>
      <c r="BA99" s="133" t="str">
        <f>IF(AZ99="","",INDEX('#建筑消耗和buff配置索引'!BT:BT,MATCH($F99,'#建筑消耗和buff配置索引'!$M:$M,0)))</f>
        <v/>
      </c>
      <c r="BD99" s="133" t="str">
        <f>IF(INDEX('#建筑消耗和buff配置索引'!BW:BW,MATCH($F99,'#建筑消耗和buff配置索引'!$M:$M,0))=0,"",INDEX('#建筑消耗和buff配置索引'!BW:BW,MATCH($F99,'#建筑消耗和buff配置索引'!$M:$M,0)))</f>
        <v/>
      </c>
      <c r="BE99" s="133" t="str">
        <f>IF(BD99="","",INDEX('#建筑消耗和buff配置索引'!BX:BX,MATCH($F99,'#建筑消耗和buff配置索引'!$M:$M,0)))</f>
        <v/>
      </c>
      <c r="BI99" s="133">
        <v>7</v>
      </c>
      <c r="BO99" s="133">
        <v>3</v>
      </c>
      <c r="BP99" s="133" t="s">
        <v>1360</v>
      </c>
      <c r="BQ99" s="133">
        <v>10003601</v>
      </c>
      <c r="BR99" s="133">
        <v>300</v>
      </c>
    </row>
    <row r="100" spans="1:70" s="133" customFormat="1">
      <c r="A100" s="133">
        <v>2040007</v>
      </c>
      <c r="B100" s="133">
        <v>97</v>
      </c>
      <c r="C100" s="133">
        <v>204</v>
      </c>
      <c r="D100" s="133" t="s">
        <v>226</v>
      </c>
      <c r="E100" s="133">
        <v>7</v>
      </c>
      <c r="F100" s="133" t="str">
        <f t="shared" si="4"/>
        <v>伐木场7</v>
      </c>
      <c r="H100" s="146"/>
      <c r="I100" s="133">
        <v>1</v>
      </c>
      <c r="J100" s="150">
        <f>INDEX('#建筑消耗和buff配置索引'!AH:AH,MATCH($F100,'#建筑消耗和buff配置索引'!$M:$M,0))</f>
        <v>450</v>
      </c>
      <c r="K100" s="150">
        <f>INDEX('#建筑消耗和buff配置索引'!AA:AA,MATCH($F100,'#建筑消耗和buff配置索引'!$M:$M,0))</f>
        <v>13000</v>
      </c>
      <c r="L100" s="150">
        <f>INDEX('#建筑消耗和buff配置索引'!AB:AB,MATCH($F100,'#建筑消耗和buff配置索引'!$M:$M,0))</f>
        <v>0</v>
      </c>
      <c r="M100" s="150">
        <f>INDEX('#建筑消耗和buff配置索引'!AC:AC,MATCH($F100,'#建筑消耗和buff配置索引'!$M:$M,0))</f>
        <v>13000</v>
      </c>
      <c r="N100" s="150">
        <f>INDEX('#建筑消耗和buff配置索引'!AD:AD,MATCH($F100,'#建筑消耗和buff配置索引'!$M:$M,0))</f>
        <v>0</v>
      </c>
      <c r="O100" s="150" t="str">
        <f>IF(INDEX('#建筑消耗和buff配置索引'!T:T,MATCH($F100,'#建筑消耗和buff配置索引'!$M:$M,0))=0,"",INDEX('#建筑消耗和buff配置索引'!T:T,MATCH($F100,'#建筑消耗和buff配置索引'!$M:$M,0)))</f>
        <v/>
      </c>
      <c r="P100" s="133" t="str">
        <f>IF(INDEX('#建筑消耗和buff配置索引'!U:U,MATCH($F100,'#建筑消耗和buff配置索引'!$M:$M,0))=0,"",INDEX('#建筑消耗和buff配置索引'!U:U,MATCH($F100,'#建筑消耗和buff配置索引'!$M:$M,0)))</f>
        <v/>
      </c>
      <c r="Q100" s="133" t="str">
        <f>IF(INDEX('#建筑消耗和buff配置索引'!K:K,MATCH($F100,'#建筑消耗和buff配置索引'!$M:$M,0))=0,"",INDEX('#建筑消耗和buff配置索引'!K:K,MATCH($F100,'#建筑消耗和buff配置索引'!$M:$M,0)))</f>
        <v>201</v>
      </c>
      <c r="R100" s="133" t="str">
        <f>IF(INDEX('#建筑消耗和buff配置索引'!L:L,MATCH($F100,'#建筑消耗和buff配置索引'!$M:$M,0))=0,"",INDEX('#建筑消耗和buff配置索引'!L:L,MATCH($F100,'#建筑消耗和buff配置索引'!$M:$M,0)))</f>
        <v>7</v>
      </c>
      <c r="S100" s="133">
        <f>IF(INDEX('#建筑消耗和buff配置索引'!C:C,MATCH(F100,'#建筑消耗和buff配置索引'!M:M,0))=0,1,INDEX('#建筑消耗和buff配置索引'!C:C,MATCH(F100,'#建筑消耗和buff配置索引'!M:M,0)))</f>
        <v>1</v>
      </c>
      <c r="T100" s="133">
        <v>0</v>
      </c>
      <c r="U100" s="133">
        <v>0</v>
      </c>
      <c r="V100" s="133" t="str">
        <f>IF(E100=1,IF(INDEX('#建筑消耗和buff配置索引'!BY:BY,MATCH(D100,'#建筑消耗和buff配置索引'!A:A,0))=0,"",INDEX('#建筑消耗和buff配置索引'!BY:BY,MATCH(D100,'#建筑消耗和buff配置索引'!A:A,0))),"")</f>
        <v/>
      </c>
      <c r="W100" s="133" t="str">
        <f>IF(E100=1,IF(INDEX('#建筑消耗和buff配置索引'!BZ:BZ,MATCH(D100,'#建筑消耗和buff配置索引'!A:A,0))=0,"",INDEX('#建筑消耗和buff配置索引'!BZ:BZ,MATCH(D100,'#建筑消耗和buff配置索引'!A:A,0))),"")</f>
        <v/>
      </c>
      <c r="AA100" s="133">
        <f>INDEX('#建筑消耗和buff配置索引'!AO:AO,MATCH($F100,'#建筑消耗和buff配置索引'!$M:$M,0))</f>
        <v>110</v>
      </c>
      <c r="AB100" s="133">
        <f>IF(INDEX('#建筑消耗和buff配置索引'!AR:AR,MATCH($F100,'#建筑消耗和buff配置索引'!$M:$M,0))=0,"",INDEX('#建筑消耗和buff配置索引'!AR:AR,MATCH($F100,'#建筑消耗和buff配置索引'!$M:$M,0)))</f>
        <v>1017</v>
      </c>
      <c r="AC100" s="133">
        <f>IF(AB100="","",INDEX('#建筑消耗和buff配置索引'!AS:AS,MATCH($F100,'#建筑消耗和buff配置索引'!$M:$M,0)))</f>
        <v>2050</v>
      </c>
      <c r="AF100" s="133" t="str">
        <f>IF(INDEX('#建筑消耗和buff配置索引'!AW:AW,MATCH($F100,'#建筑消耗和buff配置索引'!$M:$M,0))=0,"",INDEX('#建筑消耗和buff配置索引'!AW:AW,MATCH($F100,'#建筑消耗和buff配置索引'!$M:$M,0)))</f>
        <v/>
      </c>
      <c r="AG100" s="133" t="str">
        <f>IF(AF100="","",INDEX('#建筑消耗和buff配置索引'!AX:AX,MATCH($F100,'#建筑消耗和buff配置索引'!$M:$M,0)))</f>
        <v/>
      </c>
      <c r="AJ100" s="133" t="str">
        <f>IF(INDEX('#建筑消耗和buff配置索引'!BB:BB,MATCH($F100,'#建筑消耗和buff配置索引'!$M:$M,0))=0,"",INDEX('#建筑消耗和buff配置索引'!BB:BB,MATCH($F100,'#建筑消耗和buff配置索引'!$M:$M,0)))</f>
        <v/>
      </c>
      <c r="AK100" s="133" t="str">
        <f>IF(AJ100="","",INDEX('#建筑消耗和buff配置索引'!BC:BC,MATCH($F100,'#建筑消耗和buff配置索引'!$M:$M,0)))</f>
        <v/>
      </c>
      <c r="AN100" s="133" t="str">
        <f>IF(INDEX('#建筑消耗和buff配置索引'!BG:BG,MATCH($F100,'#建筑消耗和buff配置索引'!$M:$M,0))=0,"",INDEX('#建筑消耗和buff配置索引'!BG:BG,MATCH($F100,'#建筑消耗和buff配置索引'!$M:$M,0)))</f>
        <v/>
      </c>
      <c r="AO100" s="133" t="str">
        <f>IF(AN100="","",INDEX('#建筑消耗和buff配置索引'!BH:BH,MATCH($F100,'#建筑消耗和buff配置索引'!$M:$M,0)))</f>
        <v/>
      </c>
      <c r="AR100" s="133" t="str">
        <f>IF(INDEX('#建筑消耗和buff配置索引'!BK:BK,MATCH($F100,'#建筑消耗和buff配置索引'!$M:$M,0))=0,"",INDEX('#建筑消耗和buff配置索引'!BK:BK,MATCH($F100,'#建筑消耗和buff配置索引'!$M:$M,0)))</f>
        <v/>
      </c>
      <c r="AS100" s="133" t="str">
        <f>IF(AR100="","",INDEX('#建筑消耗和buff配置索引'!BL:BL,MATCH($F100,'#建筑消耗和buff配置索引'!$M:$M,0)))</f>
        <v/>
      </c>
      <c r="AV100" s="133" t="str">
        <f>IF(INDEX('#建筑消耗和buff配置索引'!BO:BO,MATCH($F100,'#建筑消耗和buff配置索引'!$M:$M,0))=0,"",INDEX('#建筑消耗和buff配置索引'!BO:BO,MATCH($F100,'#建筑消耗和buff配置索引'!$M:$M,0)))</f>
        <v/>
      </c>
      <c r="AW100" s="133" t="str">
        <f>IF(AV100="","",INDEX('#建筑消耗和buff配置索引'!BP:BP,MATCH($F100,'#建筑消耗和buff配置索引'!$M:$M,0)))</f>
        <v/>
      </c>
      <c r="AZ100" s="133" t="str">
        <f>IF(INDEX('#建筑消耗和buff配置索引'!BS:BS,MATCH($F100,'#建筑消耗和buff配置索引'!$M:$M,0))=0,"",INDEX('#建筑消耗和buff配置索引'!BS:BS,MATCH($F100,'#建筑消耗和buff配置索引'!$M:$M,0)))</f>
        <v/>
      </c>
      <c r="BA100" s="133" t="str">
        <f>IF(AZ100="","",INDEX('#建筑消耗和buff配置索引'!BT:BT,MATCH($F100,'#建筑消耗和buff配置索引'!$M:$M,0)))</f>
        <v/>
      </c>
      <c r="BD100" s="133" t="str">
        <f>IF(INDEX('#建筑消耗和buff配置索引'!BW:BW,MATCH($F100,'#建筑消耗和buff配置索引'!$M:$M,0))=0,"",INDEX('#建筑消耗和buff配置索引'!BW:BW,MATCH($F100,'#建筑消耗和buff配置索引'!$M:$M,0)))</f>
        <v/>
      </c>
      <c r="BE100" s="133" t="str">
        <f>IF(BD100="","",INDEX('#建筑消耗和buff配置索引'!BX:BX,MATCH($F100,'#建筑消耗和buff配置索引'!$M:$M,0)))</f>
        <v/>
      </c>
      <c r="BI100" s="133">
        <v>7</v>
      </c>
      <c r="BJ100" s="133">
        <v>299</v>
      </c>
      <c r="BO100" s="133">
        <v>3</v>
      </c>
      <c r="BP100" s="133" t="s">
        <v>1360</v>
      </c>
      <c r="BQ100" s="133">
        <v>10003601</v>
      </c>
      <c r="BR100" s="133">
        <v>300</v>
      </c>
    </row>
    <row r="101" spans="1:70" s="133" customFormat="1">
      <c r="A101" s="133">
        <v>2040008</v>
      </c>
      <c r="B101" s="133">
        <v>98</v>
      </c>
      <c r="C101" s="133">
        <v>204</v>
      </c>
      <c r="D101" s="133" t="s">
        <v>226</v>
      </c>
      <c r="E101" s="133">
        <v>8</v>
      </c>
      <c r="F101" s="133" t="str">
        <f t="shared" si="4"/>
        <v>伐木场8</v>
      </c>
      <c r="H101" s="146"/>
      <c r="I101" s="133">
        <v>1</v>
      </c>
      <c r="J101" s="150">
        <f>INDEX('#建筑消耗和buff配置索引'!AH:AH,MATCH($F101,'#建筑消耗和buff配置索引'!$M:$M,0))</f>
        <v>720</v>
      </c>
      <c r="K101" s="150">
        <f>INDEX('#建筑消耗和buff配置索引'!AA:AA,MATCH($F101,'#建筑消耗和buff配置索引'!$M:$M,0))</f>
        <v>22000</v>
      </c>
      <c r="L101" s="150">
        <f>INDEX('#建筑消耗和buff配置索引'!AB:AB,MATCH($F101,'#建筑消耗和buff配置索引'!$M:$M,0))</f>
        <v>0</v>
      </c>
      <c r="M101" s="150">
        <f>INDEX('#建筑消耗和buff配置索引'!AC:AC,MATCH($F101,'#建筑消耗和buff配置索引'!$M:$M,0))</f>
        <v>22000</v>
      </c>
      <c r="N101" s="150">
        <f>INDEX('#建筑消耗和buff配置索引'!AD:AD,MATCH($F101,'#建筑消耗和buff配置索引'!$M:$M,0))</f>
        <v>0</v>
      </c>
      <c r="O101" s="150" t="str">
        <f>IF(INDEX('#建筑消耗和buff配置索引'!T:T,MATCH($F101,'#建筑消耗和buff配置索引'!$M:$M,0))=0,"",INDEX('#建筑消耗和buff配置索引'!T:T,MATCH($F101,'#建筑消耗和buff配置索引'!$M:$M,0)))</f>
        <v/>
      </c>
      <c r="P101" s="133" t="str">
        <f>IF(INDEX('#建筑消耗和buff配置索引'!U:U,MATCH($F101,'#建筑消耗和buff配置索引'!$M:$M,0))=0,"",INDEX('#建筑消耗和buff配置索引'!U:U,MATCH($F101,'#建筑消耗和buff配置索引'!$M:$M,0)))</f>
        <v/>
      </c>
      <c r="Q101" s="133" t="str">
        <f>IF(INDEX('#建筑消耗和buff配置索引'!K:K,MATCH($F101,'#建筑消耗和buff配置索引'!$M:$M,0))=0,"",INDEX('#建筑消耗和buff配置索引'!K:K,MATCH($F101,'#建筑消耗和buff配置索引'!$M:$M,0)))</f>
        <v>201</v>
      </c>
      <c r="R101" s="133" t="str">
        <f>IF(INDEX('#建筑消耗和buff配置索引'!L:L,MATCH($F101,'#建筑消耗和buff配置索引'!$M:$M,0))=0,"",INDEX('#建筑消耗和buff配置索引'!L:L,MATCH($F101,'#建筑消耗和buff配置索引'!$M:$M,0)))</f>
        <v>8</v>
      </c>
      <c r="S101" s="133">
        <f>IF(INDEX('#建筑消耗和buff配置索引'!C:C,MATCH(F101,'#建筑消耗和buff配置索引'!M:M,0))=0,1,INDEX('#建筑消耗和buff配置索引'!C:C,MATCH(F101,'#建筑消耗和buff配置索引'!M:M,0)))</f>
        <v>1</v>
      </c>
      <c r="T101" s="133">
        <v>0</v>
      </c>
      <c r="U101" s="133">
        <v>0</v>
      </c>
      <c r="V101" s="133" t="str">
        <f>IF(E101=1,IF(INDEX('#建筑消耗和buff配置索引'!BY:BY,MATCH(D101,'#建筑消耗和buff配置索引'!A:A,0))=0,"",INDEX('#建筑消耗和buff配置索引'!BY:BY,MATCH(D101,'#建筑消耗和buff配置索引'!A:A,0))),"")</f>
        <v/>
      </c>
      <c r="W101" s="133" t="str">
        <f>IF(E101=1,IF(INDEX('#建筑消耗和buff配置索引'!BZ:BZ,MATCH(D101,'#建筑消耗和buff配置索引'!A:A,0))=0,"",INDEX('#建筑消耗和buff配置索引'!BZ:BZ,MATCH(D101,'#建筑消耗和buff配置索引'!A:A,0))),"")</f>
        <v/>
      </c>
      <c r="AA101" s="133">
        <f>INDEX('#建筑消耗和buff配置索引'!AO:AO,MATCH($F101,'#建筑消耗和buff配置索引'!$M:$M,0))</f>
        <v>198</v>
      </c>
      <c r="AB101" s="133">
        <f>IF(INDEX('#建筑消耗和buff配置索引'!AR:AR,MATCH($F101,'#建筑消耗和buff配置索引'!$M:$M,0))=0,"",INDEX('#建筑消耗和buff配置索引'!AR:AR,MATCH($F101,'#建筑消耗和buff配置索引'!$M:$M,0)))</f>
        <v>1017</v>
      </c>
      <c r="AC101" s="133">
        <f>IF(AB101="","",INDEX('#建筑消耗和buff配置索引'!AS:AS,MATCH($F101,'#建筑消耗和buff配置索引'!$M:$M,0)))</f>
        <v>2400</v>
      </c>
      <c r="AF101" s="133" t="str">
        <f>IF(INDEX('#建筑消耗和buff配置索引'!AW:AW,MATCH($F101,'#建筑消耗和buff配置索引'!$M:$M,0))=0,"",INDEX('#建筑消耗和buff配置索引'!AW:AW,MATCH($F101,'#建筑消耗和buff配置索引'!$M:$M,0)))</f>
        <v/>
      </c>
      <c r="AG101" s="133" t="str">
        <f>IF(AF101="","",INDEX('#建筑消耗和buff配置索引'!AX:AX,MATCH($F101,'#建筑消耗和buff配置索引'!$M:$M,0)))</f>
        <v/>
      </c>
      <c r="AJ101" s="133" t="str">
        <f>IF(INDEX('#建筑消耗和buff配置索引'!BB:BB,MATCH($F101,'#建筑消耗和buff配置索引'!$M:$M,0))=0,"",INDEX('#建筑消耗和buff配置索引'!BB:BB,MATCH($F101,'#建筑消耗和buff配置索引'!$M:$M,0)))</f>
        <v/>
      </c>
      <c r="AK101" s="133" t="str">
        <f>IF(AJ101="","",INDEX('#建筑消耗和buff配置索引'!BC:BC,MATCH($F101,'#建筑消耗和buff配置索引'!$M:$M,0)))</f>
        <v/>
      </c>
      <c r="AN101" s="133" t="str">
        <f>IF(INDEX('#建筑消耗和buff配置索引'!BG:BG,MATCH($F101,'#建筑消耗和buff配置索引'!$M:$M,0))=0,"",INDEX('#建筑消耗和buff配置索引'!BG:BG,MATCH($F101,'#建筑消耗和buff配置索引'!$M:$M,0)))</f>
        <v/>
      </c>
      <c r="AO101" s="133" t="str">
        <f>IF(AN101="","",INDEX('#建筑消耗和buff配置索引'!BH:BH,MATCH($F101,'#建筑消耗和buff配置索引'!$M:$M,0)))</f>
        <v/>
      </c>
      <c r="AR101" s="133" t="str">
        <f>IF(INDEX('#建筑消耗和buff配置索引'!BK:BK,MATCH($F101,'#建筑消耗和buff配置索引'!$M:$M,0))=0,"",INDEX('#建筑消耗和buff配置索引'!BK:BK,MATCH($F101,'#建筑消耗和buff配置索引'!$M:$M,0)))</f>
        <v/>
      </c>
      <c r="AS101" s="133" t="str">
        <f>IF(AR101="","",INDEX('#建筑消耗和buff配置索引'!BL:BL,MATCH($F101,'#建筑消耗和buff配置索引'!$M:$M,0)))</f>
        <v/>
      </c>
      <c r="AV101" s="133" t="str">
        <f>IF(INDEX('#建筑消耗和buff配置索引'!BO:BO,MATCH($F101,'#建筑消耗和buff配置索引'!$M:$M,0))=0,"",INDEX('#建筑消耗和buff配置索引'!BO:BO,MATCH($F101,'#建筑消耗和buff配置索引'!$M:$M,0)))</f>
        <v/>
      </c>
      <c r="AW101" s="133" t="str">
        <f>IF(AV101="","",INDEX('#建筑消耗和buff配置索引'!BP:BP,MATCH($F101,'#建筑消耗和buff配置索引'!$M:$M,0)))</f>
        <v/>
      </c>
      <c r="AZ101" s="133" t="str">
        <f>IF(INDEX('#建筑消耗和buff配置索引'!BS:BS,MATCH($F101,'#建筑消耗和buff配置索引'!$M:$M,0))=0,"",INDEX('#建筑消耗和buff配置索引'!BS:BS,MATCH($F101,'#建筑消耗和buff配置索引'!$M:$M,0)))</f>
        <v/>
      </c>
      <c r="BA101" s="133" t="str">
        <f>IF(AZ101="","",INDEX('#建筑消耗和buff配置索引'!BT:BT,MATCH($F101,'#建筑消耗和buff配置索引'!$M:$M,0)))</f>
        <v/>
      </c>
      <c r="BD101" s="133" t="str">
        <f>IF(INDEX('#建筑消耗和buff配置索引'!BW:BW,MATCH($F101,'#建筑消耗和buff配置索引'!$M:$M,0))=0,"",INDEX('#建筑消耗和buff配置索引'!BW:BW,MATCH($F101,'#建筑消耗和buff配置索引'!$M:$M,0)))</f>
        <v/>
      </c>
      <c r="BE101" s="133" t="str">
        <f>IF(BD101="","",INDEX('#建筑消耗和buff配置索引'!BX:BX,MATCH($F101,'#建筑消耗和buff配置索引'!$M:$M,0)))</f>
        <v/>
      </c>
      <c r="BI101" s="133">
        <v>7</v>
      </c>
      <c r="BJ101" s="133">
        <v>299</v>
      </c>
      <c r="BO101" s="133">
        <v>3</v>
      </c>
      <c r="BP101" s="133" t="s">
        <v>1360</v>
      </c>
      <c r="BQ101" s="133">
        <v>10003601</v>
      </c>
      <c r="BR101" s="133">
        <v>300</v>
      </c>
    </row>
    <row r="102" spans="1:70" s="133" customFormat="1">
      <c r="A102" s="133">
        <v>2040009</v>
      </c>
      <c r="B102" s="133">
        <v>99</v>
      </c>
      <c r="C102" s="133">
        <v>204</v>
      </c>
      <c r="D102" s="133" t="s">
        <v>226</v>
      </c>
      <c r="E102" s="133">
        <v>9</v>
      </c>
      <c r="F102" s="133" t="str">
        <f t="shared" si="4"/>
        <v>伐木场9</v>
      </c>
      <c r="H102" s="146"/>
      <c r="I102" s="133">
        <v>1</v>
      </c>
      <c r="J102" s="150">
        <f>INDEX('#建筑消耗和buff配置索引'!AH:AH,MATCH($F102,'#建筑消耗和buff配置索引'!$M:$M,0))</f>
        <v>1440</v>
      </c>
      <c r="K102" s="150">
        <f>INDEX('#建筑消耗和buff配置索引'!AA:AA,MATCH($F102,'#建筑消耗和buff配置索引'!$M:$M,0))</f>
        <v>36000</v>
      </c>
      <c r="L102" s="150">
        <f>INDEX('#建筑消耗和buff配置索引'!AB:AB,MATCH($F102,'#建筑消耗和buff配置索引'!$M:$M,0))</f>
        <v>0</v>
      </c>
      <c r="M102" s="150">
        <f>INDEX('#建筑消耗和buff配置索引'!AC:AC,MATCH($F102,'#建筑消耗和buff配置索引'!$M:$M,0))</f>
        <v>36000</v>
      </c>
      <c r="N102" s="150">
        <f>INDEX('#建筑消耗和buff配置索引'!AD:AD,MATCH($F102,'#建筑消耗和buff配置索引'!$M:$M,0))</f>
        <v>0</v>
      </c>
      <c r="O102" s="150" t="str">
        <f>IF(INDEX('#建筑消耗和buff配置索引'!T:T,MATCH($F102,'#建筑消耗和buff配置索引'!$M:$M,0))=0,"",INDEX('#建筑消耗和buff配置索引'!T:T,MATCH($F102,'#建筑消耗和buff配置索引'!$M:$M,0)))</f>
        <v/>
      </c>
      <c r="P102" s="133" t="str">
        <f>IF(INDEX('#建筑消耗和buff配置索引'!U:U,MATCH($F102,'#建筑消耗和buff配置索引'!$M:$M,0))=0,"",INDEX('#建筑消耗和buff配置索引'!U:U,MATCH($F102,'#建筑消耗和buff配置索引'!$M:$M,0)))</f>
        <v/>
      </c>
      <c r="Q102" s="133" t="str">
        <f>IF(INDEX('#建筑消耗和buff配置索引'!K:K,MATCH($F102,'#建筑消耗和buff配置索引'!$M:$M,0))=0,"",INDEX('#建筑消耗和buff配置索引'!K:K,MATCH($F102,'#建筑消耗和buff配置索引'!$M:$M,0)))</f>
        <v>201</v>
      </c>
      <c r="R102" s="133" t="str">
        <f>IF(INDEX('#建筑消耗和buff配置索引'!L:L,MATCH($F102,'#建筑消耗和buff配置索引'!$M:$M,0))=0,"",INDEX('#建筑消耗和buff配置索引'!L:L,MATCH($F102,'#建筑消耗和buff配置索引'!$M:$M,0)))</f>
        <v>9</v>
      </c>
      <c r="S102" s="133">
        <f>IF(INDEX('#建筑消耗和buff配置索引'!C:C,MATCH(F102,'#建筑消耗和buff配置索引'!M:M,0))=0,1,INDEX('#建筑消耗和buff配置索引'!C:C,MATCH(F102,'#建筑消耗和buff配置索引'!M:M,0)))</f>
        <v>1</v>
      </c>
      <c r="T102" s="133">
        <v>0</v>
      </c>
      <c r="U102" s="133">
        <v>0</v>
      </c>
      <c r="V102" s="133" t="str">
        <f>IF(E102=1,IF(INDEX('#建筑消耗和buff配置索引'!BY:BY,MATCH(D102,'#建筑消耗和buff配置索引'!A:A,0))=0,"",INDEX('#建筑消耗和buff配置索引'!BY:BY,MATCH(D102,'#建筑消耗和buff配置索引'!A:A,0))),"")</f>
        <v/>
      </c>
      <c r="W102" s="133" t="str">
        <f>IF(E102=1,IF(INDEX('#建筑消耗和buff配置索引'!BZ:BZ,MATCH(D102,'#建筑消耗和buff配置索引'!A:A,0))=0,"",INDEX('#建筑消耗和buff配置索引'!BZ:BZ,MATCH(D102,'#建筑消耗和buff配置索引'!A:A,0))),"")</f>
        <v/>
      </c>
      <c r="AA102" s="133">
        <f>INDEX('#建筑消耗和buff配置索引'!AO:AO,MATCH($F102,'#建筑消耗和buff配置索引'!$M:$M,0))</f>
        <v>344</v>
      </c>
      <c r="AB102" s="133">
        <f>IF(INDEX('#建筑消耗和buff配置索引'!AR:AR,MATCH($F102,'#建筑消耗和buff配置索引'!$M:$M,0))=0,"",INDEX('#建筑消耗和buff配置索引'!AR:AR,MATCH($F102,'#建筑消耗和buff配置索引'!$M:$M,0)))</f>
        <v>1017</v>
      </c>
      <c r="AC102" s="133">
        <f>IF(AB102="","",INDEX('#建筑消耗和buff配置索引'!AS:AS,MATCH($F102,'#建筑消耗和buff配置索引'!$M:$M,0)))</f>
        <v>2750</v>
      </c>
      <c r="AF102" s="133" t="str">
        <f>IF(INDEX('#建筑消耗和buff配置索引'!AW:AW,MATCH($F102,'#建筑消耗和buff配置索引'!$M:$M,0))=0,"",INDEX('#建筑消耗和buff配置索引'!AW:AW,MATCH($F102,'#建筑消耗和buff配置索引'!$M:$M,0)))</f>
        <v/>
      </c>
      <c r="AG102" s="133" t="str">
        <f>IF(AF102="","",INDEX('#建筑消耗和buff配置索引'!AX:AX,MATCH($F102,'#建筑消耗和buff配置索引'!$M:$M,0)))</f>
        <v/>
      </c>
      <c r="AJ102" s="133" t="str">
        <f>IF(INDEX('#建筑消耗和buff配置索引'!BB:BB,MATCH($F102,'#建筑消耗和buff配置索引'!$M:$M,0))=0,"",INDEX('#建筑消耗和buff配置索引'!BB:BB,MATCH($F102,'#建筑消耗和buff配置索引'!$M:$M,0)))</f>
        <v/>
      </c>
      <c r="AK102" s="133" t="str">
        <f>IF(AJ102="","",INDEX('#建筑消耗和buff配置索引'!BC:BC,MATCH($F102,'#建筑消耗和buff配置索引'!$M:$M,0)))</f>
        <v/>
      </c>
      <c r="AN102" s="133" t="str">
        <f>IF(INDEX('#建筑消耗和buff配置索引'!BG:BG,MATCH($F102,'#建筑消耗和buff配置索引'!$M:$M,0))=0,"",INDEX('#建筑消耗和buff配置索引'!BG:BG,MATCH($F102,'#建筑消耗和buff配置索引'!$M:$M,0)))</f>
        <v/>
      </c>
      <c r="AO102" s="133" t="str">
        <f>IF(AN102="","",INDEX('#建筑消耗和buff配置索引'!BH:BH,MATCH($F102,'#建筑消耗和buff配置索引'!$M:$M,0)))</f>
        <v/>
      </c>
      <c r="AR102" s="133" t="str">
        <f>IF(INDEX('#建筑消耗和buff配置索引'!BK:BK,MATCH($F102,'#建筑消耗和buff配置索引'!$M:$M,0))=0,"",INDEX('#建筑消耗和buff配置索引'!BK:BK,MATCH($F102,'#建筑消耗和buff配置索引'!$M:$M,0)))</f>
        <v/>
      </c>
      <c r="AS102" s="133" t="str">
        <f>IF(AR102="","",INDEX('#建筑消耗和buff配置索引'!BL:BL,MATCH($F102,'#建筑消耗和buff配置索引'!$M:$M,0)))</f>
        <v/>
      </c>
      <c r="AV102" s="133" t="str">
        <f>IF(INDEX('#建筑消耗和buff配置索引'!BO:BO,MATCH($F102,'#建筑消耗和buff配置索引'!$M:$M,0))=0,"",INDEX('#建筑消耗和buff配置索引'!BO:BO,MATCH($F102,'#建筑消耗和buff配置索引'!$M:$M,0)))</f>
        <v/>
      </c>
      <c r="AW102" s="133" t="str">
        <f>IF(AV102="","",INDEX('#建筑消耗和buff配置索引'!BP:BP,MATCH($F102,'#建筑消耗和buff配置索引'!$M:$M,0)))</f>
        <v/>
      </c>
      <c r="AZ102" s="133" t="str">
        <f>IF(INDEX('#建筑消耗和buff配置索引'!BS:BS,MATCH($F102,'#建筑消耗和buff配置索引'!$M:$M,0))=0,"",INDEX('#建筑消耗和buff配置索引'!BS:BS,MATCH($F102,'#建筑消耗和buff配置索引'!$M:$M,0)))</f>
        <v/>
      </c>
      <c r="BA102" s="133" t="str">
        <f>IF(AZ102="","",INDEX('#建筑消耗和buff配置索引'!BT:BT,MATCH($F102,'#建筑消耗和buff配置索引'!$M:$M,0)))</f>
        <v/>
      </c>
      <c r="BD102" s="133" t="str">
        <f>IF(INDEX('#建筑消耗和buff配置索引'!BW:BW,MATCH($F102,'#建筑消耗和buff配置索引'!$M:$M,0))=0,"",INDEX('#建筑消耗和buff配置索引'!BW:BW,MATCH($F102,'#建筑消耗和buff配置索引'!$M:$M,0)))</f>
        <v/>
      </c>
      <c r="BE102" s="133" t="str">
        <f>IF(BD102="","",INDEX('#建筑消耗和buff配置索引'!BX:BX,MATCH($F102,'#建筑消耗和buff配置索引'!$M:$M,0)))</f>
        <v/>
      </c>
      <c r="BI102" s="133">
        <v>7</v>
      </c>
      <c r="BJ102" s="133">
        <v>299</v>
      </c>
      <c r="BO102" s="133">
        <v>3</v>
      </c>
      <c r="BP102" s="133" t="s">
        <v>1360</v>
      </c>
      <c r="BQ102" s="133">
        <v>10003601</v>
      </c>
      <c r="BR102" s="133">
        <v>300</v>
      </c>
    </row>
    <row r="103" spans="1:70" s="133" customFormat="1">
      <c r="A103" s="133">
        <v>2040010</v>
      </c>
      <c r="B103" s="133">
        <v>100</v>
      </c>
      <c r="C103" s="133">
        <v>204</v>
      </c>
      <c r="D103" s="133" t="s">
        <v>226</v>
      </c>
      <c r="E103" s="133">
        <v>10</v>
      </c>
      <c r="F103" s="133" t="str">
        <f t="shared" si="4"/>
        <v>伐木场10</v>
      </c>
      <c r="H103" s="146"/>
      <c r="I103" s="133">
        <v>1</v>
      </c>
      <c r="J103" s="150">
        <f>INDEX('#建筑消耗和buff配置索引'!AH:AH,MATCH($F103,'#建筑消耗和buff配置索引'!$M:$M,0))</f>
        <v>2160</v>
      </c>
      <c r="K103" s="150">
        <f>INDEX('#建筑消耗和buff配置索引'!AA:AA,MATCH($F103,'#建筑消耗和buff配置索引'!$M:$M,0))</f>
        <v>38000</v>
      </c>
      <c r="L103" s="150">
        <f>INDEX('#建筑消耗和buff配置索引'!AB:AB,MATCH($F103,'#建筑消耗和buff配置索引'!$M:$M,0))</f>
        <v>0</v>
      </c>
      <c r="M103" s="150">
        <f>INDEX('#建筑消耗和buff配置索引'!AC:AC,MATCH($F103,'#建筑消耗和buff配置索引'!$M:$M,0))</f>
        <v>38000</v>
      </c>
      <c r="N103" s="150">
        <f>INDEX('#建筑消耗和buff配置索引'!AD:AD,MATCH($F103,'#建筑消耗和buff配置索引'!$M:$M,0))</f>
        <v>38000</v>
      </c>
      <c r="O103" s="150" t="str">
        <f>IF(INDEX('#建筑消耗和buff配置索引'!T:T,MATCH($F103,'#建筑消耗和buff配置索引'!$M:$M,0))=0,"",INDEX('#建筑消耗和buff配置索引'!T:T,MATCH($F103,'#建筑消耗和buff配置索引'!$M:$M,0)))</f>
        <v/>
      </c>
      <c r="P103" s="133" t="str">
        <f>IF(INDEX('#建筑消耗和buff配置索引'!U:U,MATCH($F103,'#建筑消耗和buff配置索引'!$M:$M,0))=0,"",INDEX('#建筑消耗和buff配置索引'!U:U,MATCH($F103,'#建筑消耗和buff配置索引'!$M:$M,0)))</f>
        <v/>
      </c>
      <c r="Q103" s="133" t="str">
        <f>IF(INDEX('#建筑消耗和buff配置索引'!K:K,MATCH($F103,'#建筑消耗和buff配置索引'!$M:$M,0))=0,"",INDEX('#建筑消耗和buff配置索引'!K:K,MATCH($F103,'#建筑消耗和buff配置索引'!$M:$M,0)))</f>
        <v>201</v>
      </c>
      <c r="R103" s="133" t="str">
        <f>IF(INDEX('#建筑消耗和buff配置索引'!L:L,MATCH($F103,'#建筑消耗和buff配置索引'!$M:$M,0))=0,"",INDEX('#建筑消耗和buff配置索引'!L:L,MATCH($F103,'#建筑消耗和buff配置索引'!$M:$M,0)))</f>
        <v>10</v>
      </c>
      <c r="S103" s="133">
        <f>IF(INDEX('#建筑消耗和buff配置索引'!C:C,MATCH(F103,'#建筑消耗和buff配置索引'!M:M,0))=0,1,INDEX('#建筑消耗和buff配置索引'!C:C,MATCH(F103,'#建筑消耗和buff配置索引'!M:M,0)))</f>
        <v>1</v>
      </c>
      <c r="T103" s="133">
        <v>0</v>
      </c>
      <c r="U103" s="133">
        <v>0</v>
      </c>
      <c r="V103" s="133" t="str">
        <f>IF(E103=1,IF(INDEX('#建筑消耗和buff配置索引'!BY:BY,MATCH(D103,'#建筑消耗和buff配置索引'!A:A,0))=0,"",INDEX('#建筑消耗和buff配置索引'!BY:BY,MATCH(D103,'#建筑消耗和buff配置索引'!A:A,0))),"")</f>
        <v/>
      </c>
      <c r="W103" s="133" t="str">
        <f>IF(E103=1,IF(INDEX('#建筑消耗和buff配置索引'!BZ:BZ,MATCH(D103,'#建筑消耗和buff配置索引'!A:A,0))=0,"",INDEX('#建筑消耗和buff配置索引'!BZ:BZ,MATCH(D103,'#建筑消耗和buff配置索引'!A:A,0))),"")</f>
        <v/>
      </c>
      <c r="AA103" s="133">
        <f>INDEX('#建筑消耗和buff配置索引'!AO:AO,MATCH($F103,'#建筑消耗和buff配置索引'!$M:$M,0))</f>
        <v>575</v>
      </c>
      <c r="AB103" s="133">
        <f>IF(INDEX('#建筑消耗和buff配置索引'!AR:AR,MATCH($F103,'#建筑消耗和buff配置索引'!$M:$M,0))=0,"",INDEX('#建筑消耗和buff配置索引'!AR:AR,MATCH($F103,'#建筑消耗和buff配置索引'!$M:$M,0)))</f>
        <v>1017</v>
      </c>
      <c r="AC103" s="133">
        <f>IF(AB103="","",INDEX('#建筑消耗和buff配置索引'!AS:AS,MATCH($F103,'#建筑消耗和buff配置索引'!$M:$M,0)))</f>
        <v>3100</v>
      </c>
      <c r="AF103" s="133" t="str">
        <f>IF(INDEX('#建筑消耗和buff配置索引'!AW:AW,MATCH($F103,'#建筑消耗和buff配置索引'!$M:$M,0))=0,"",INDEX('#建筑消耗和buff配置索引'!AW:AW,MATCH($F103,'#建筑消耗和buff配置索引'!$M:$M,0)))</f>
        <v/>
      </c>
      <c r="AG103" s="133" t="str">
        <f>IF(AF103="","",INDEX('#建筑消耗和buff配置索引'!AX:AX,MATCH($F103,'#建筑消耗和buff配置索引'!$M:$M,0)))</f>
        <v/>
      </c>
      <c r="AJ103" s="133" t="str">
        <f>IF(INDEX('#建筑消耗和buff配置索引'!BB:BB,MATCH($F103,'#建筑消耗和buff配置索引'!$M:$M,0))=0,"",INDEX('#建筑消耗和buff配置索引'!BB:BB,MATCH($F103,'#建筑消耗和buff配置索引'!$M:$M,0)))</f>
        <v/>
      </c>
      <c r="AK103" s="133" t="str">
        <f>IF(AJ103="","",INDEX('#建筑消耗和buff配置索引'!BC:BC,MATCH($F103,'#建筑消耗和buff配置索引'!$M:$M,0)))</f>
        <v/>
      </c>
      <c r="AN103" s="133" t="str">
        <f>IF(INDEX('#建筑消耗和buff配置索引'!BG:BG,MATCH($F103,'#建筑消耗和buff配置索引'!$M:$M,0))=0,"",INDEX('#建筑消耗和buff配置索引'!BG:BG,MATCH($F103,'#建筑消耗和buff配置索引'!$M:$M,0)))</f>
        <v/>
      </c>
      <c r="AO103" s="133" t="str">
        <f>IF(AN103="","",INDEX('#建筑消耗和buff配置索引'!BH:BH,MATCH($F103,'#建筑消耗和buff配置索引'!$M:$M,0)))</f>
        <v/>
      </c>
      <c r="AR103" s="133" t="str">
        <f>IF(INDEX('#建筑消耗和buff配置索引'!BK:BK,MATCH($F103,'#建筑消耗和buff配置索引'!$M:$M,0))=0,"",INDEX('#建筑消耗和buff配置索引'!BK:BK,MATCH($F103,'#建筑消耗和buff配置索引'!$M:$M,0)))</f>
        <v/>
      </c>
      <c r="AS103" s="133" t="str">
        <f>IF(AR103="","",INDEX('#建筑消耗和buff配置索引'!BL:BL,MATCH($F103,'#建筑消耗和buff配置索引'!$M:$M,0)))</f>
        <v/>
      </c>
      <c r="AV103" s="133" t="str">
        <f>IF(INDEX('#建筑消耗和buff配置索引'!BO:BO,MATCH($F103,'#建筑消耗和buff配置索引'!$M:$M,0))=0,"",INDEX('#建筑消耗和buff配置索引'!BO:BO,MATCH($F103,'#建筑消耗和buff配置索引'!$M:$M,0)))</f>
        <v/>
      </c>
      <c r="AW103" s="133" t="str">
        <f>IF(AV103="","",INDEX('#建筑消耗和buff配置索引'!BP:BP,MATCH($F103,'#建筑消耗和buff配置索引'!$M:$M,0)))</f>
        <v/>
      </c>
      <c r="AZ103" s="133" t="str">
        <f>IF(INDEX('#建筑消耗和buff配置索引'!BS:BS,MATCH($F103,'#建筑消耗和buff配置索引'!$M:$M,0))=0,"",INDEX('#建筑消耗和buff配置索引'!BS:BS,MATCH($F103,'#建筑消耗和buff配置索引'!$M:$M,0)))</f>
        <v/>
      </c>
      <c r="BA103" s="133" t="str">
        <f>IF(AZ103="","",INDEX('#建筑消耗和buff配置索引'!BT:BT,MATCH($F103,'#建筑消耗和buff配置索引'!$M:$M,0)))</f>
        <v/>
      </c>
      <c r="BD103" s="133" t="str">
        <f>IF(INDEX('#建筑消耗和buff配置索引'!BW:BW,MATCH($F103,'#建筑消耗和buff配置索引'!$M:$M,0))=0,"",INDEX('#建筑消耗和buff配置索引'!BW:BW,MATCH($F103,'#建筑消耗和buff配置索引'!$M:$M,0)))</f>
        <v/>
      </c>
      <c r="BE103" s="133" t="str">
        <f>IF(BD103="","",INDEX('#建筑消耗和buff配置索引'!BX:BX,MATCH($F103,'#建筑消耗和buff配置索引'!$M:$M,0)))</f>
        <v/>
      </c>
      <c r="BI103" s="133">
        <v>7</v>
      </c>
      <c r="BO103" s="133">
        <v>4</v>
      </c>
      <c r="BP103" s="133" t="s">
        <v>1360</v>
      </c>
      <c r="BQ103" s="133">
        <v>10003601</v>
      </c>
      <c r="BR103" s="133">
        <v>300</v>
      </c>
    </row>
    <row r="104" spans="1:70" s="133" customFormat="1">
      <c r="A104" s="133">
        <v>2040011</v>
      </c>
      <c r="B104" s="133">
        <v>101</v>
      </c>
      <c r="C104" s="133">
        <v>204</v>
      </c>
      <c r="D104" s="133" t="s">
        <v>226</v>
      </c>
      <c r="E104" s="133">
        <v>11</v>
      </c>
      <c r="F104" s="133" t="str">
        <f t="shared" si="4"/>
        <v>伐木场11</v>
      </c>
      <c r="H104" s="146"/>
      <c r="I104" s="133">
        <v>1</v>
      </c>
      <c r="J104" s="150">
        <f>INDEX('#建筑消耗和buff配置索引'!AH:AH,MATCH($F104,'#建筑消耗和buff配置索引'!$M:$M,0))</f>
        <v>3240</v>
      </c>
      <c r="K104" s="150">
        <f>INDEX('#建筑消耗和buff配置索引'!AA:AA,MATCH($F104,'#建筑消耗和buff配置索引'!$M:$M,0))</f>
        <v>58000</v>
      </c>
      <c r="L104" s="150">
        <f>INDEX('#建筑消耗和buff配置索引'!AB:AB,MATCH($F104,'#建筑消耗和buff配置索引'!$M:$M,0))</f>
        <v>0</v>
      </c>
      <c r="M104" s="150">
        <f>INDEX('#建筑消耗和buff配置索引'!AC:AC,MATCH($F104,'#建筑消耗和buff配置索引'!$M:$M,0))</f>
        <v>58000</v>
      </c>
      <c r="N104" s="150">
        <f>INDEX('#建筑消耗和buff配置索引'!AD:AD,MATCH($F104,'#建筑消耗和buff配置索引'!$M:$M,0))</f>
        <v>58000</v>
      </c>
      <c r="O104" s="150" t="str">
        <f>IF(INDEX('#建筑消耗和buff配置索引'!T:T,MATCH($F104,'#建筑消耗和buff配置索引'!$M:$M,0))=0,"",INDEX('#建筑消耗和buff配置索引'!T:T,MATCH($F104,'#建筑消耗和buff配置索引'!$M:$M,0)))</f>
        <v/>
      </c>
      <c r="P104" s="133" t="str">
        <f>IF(INDEX('#建筑消耗和buff配置索引'!U:U,MATCH($F104,'#建筑消耗和buff配置索引'!$M:$M,0))=0,"",INDEX('#建筑消耗和buff配置索引'!U:U,MATCH($F104,'#建筑消耗和buff配置索引'!$M:$M,0)))</f>
        <v/>
      </c>
      <c r="Q104" s="133" t="str">
        <f>IF(INDEX('#建筑消耗和buff配置索引'!K:K,MATCH($F104,'#建筑消耗和buff配置索引'!$M:$M,0))=0,"",INDEX('#建筑消耗和buff配置索引'!K:K,MATCH($F104,'#建筑消耗和buff配置索引'!$M:$M,0)))</f>
        <v>201</v>
      </c>
      <c r="R104" s="133" t="str">
        <f>IF(INDEX('#建筑消耗和buff配置索引'!L:L,MATCH($F104,'#建筑消耗和buff配置索引'!$M:$M,0))=0,"",INDEX('#建筑消耗和buff配置索引'!L:L,MATCH($F104,'#建筑消耗和buff配置索引'!$M:$M,0)))</f>
        <v>11</v>
      </c>
      <c r="S104" s="133">
        <f>IF(INDEX('#建筑消耗和buff配置索引'!C:C,MATCH(F104,'#建筑消耗和buff配置索引'!M:M,0))=0,1,INDEX('#建筑消耗和buff配置索引'!C:C,MATCH(F104,'#建筑消耗和buff配置索引'!M:M,0)))</f>
        <v>1</v>
      </c>
      <c r="T104" s="133">
        <v>0</v>
      </c>
      <c r="U104" s="133">
        <v>0</v>
      </c>
      <c r="V104" s="133" t="str">
        <f>IF(E104=1,IF(INDEX('#建筑消耗和buff配置索引'!BY:BY,MATCH(D104,'#建筑消耗和buff配置索引'!A:A,0))=0,"",INDEX('#建筑消耗和buff配置索引'!BY:BY,MATCH(D104,'#建筑消耗和buff配置索引'!A:A,0))),"")</f>
        <v/>
      </c>
      <c r="W104" s="133" t="str">
        <f>IF(E104=1,IF(INDEX('#建筑消耗和buff配置索引'!BZ:BZ,MATCH(D104,'#建筑消耗和buff配置索引'!A:A,0))=0,"",INDEX('#建筑消耗和buff配置索引'!BZ:BZ,MATCH(D104,'#建筑消耗和buff配置索引'!A:A,0))),"")</f>
        <v/>
      </c>
      <c r="AA104" s="133">
        <f>INDEX('#建筑消耗和buff配置索引'!AO:AO,MATCH($F104,'#建筑消耗和buff配置索引'!$M:$M,0))</f>
        <v>923</v>
      </c>
      <c r="AB104" s="133">
        <f>IF(INDEX('#建筑消耗和buff配置索引'!AR:AR,MATCH($F104,'#建筑消耗和buff配置索引'!$M:$M,0))=0,"",INDEX('#建筑消耗和buff配置索引'!AR:AR,MATCH($F104,'#建筑消耗和buff配置索引'!$M:$M,0)))</f>
        <v>1017</v>
      </c>
      <c r="AC104" s="133">
        <f>IF(AB104="","",INDEX('#建筑消耗和buff配置索引'!AS:AS,MATCH($F104,'#建筑消耗和buff配置索引'!$M:$M,0)))</f>
        <v>3600</v>
      </c>
      <c r="AF104" s="133" t="str">
        <f>IF(INDEX('#建筑消耗和buff配置索引'!AW:AW,MATCH($F104,'#建筑消耗和buff配置索引'!$M:$M,0))=0,"",INDEX('#建筑消耗和buff配置索引'!AW:AW,MATCH($F104,'#建筑消耗和buff配置索引'!$M:$M,0)))</f>
        <v/>
      </c>
      <c r="AG104" s="133" t="str">
        <f>IF(AF104="","",INDEX('#建筑消耗和buff配置索引'!AX:AX,MATCH($F104,'#建筑消耗和buff配置索引'!$M:$M,0)))</f>
        <v/>
      </c>
      <c r="AJ104" s="133" t="str">
        <f>IF(INDEX('#建筑消耗和buff配置索引'!BB:BB,MATCH($F104,'#建筑消耗和buff配置索引'!$M:$M,0))=0,"",INDEX('#建筑消耗和buff配置索引'!BB:BB,MATCH($F104,'#建筑消耗和buff配置索引'!$M:$M,0)))</f>
        <v/>
      </c>
      <c r="AK104" s="133" t="str">
        <f>IF(AJ104="","",INDEX('#建筑消耗和buff配置索引'!BC:BC,MATCH($F104,'#建筑消耗和buff配置索引'!$M:$M,0)))</f>
        <v/>
      </c>
      <c r="AN104" s="133" t="str">
        <f>IF(INDEX('#建筑消耗和buff配置索引'!BG:BG,MATCH($F104,'#建筑消耗和buff配置索引'!$M:$M,0))=0,"",INDEX('#建筑消耗和buff配置索引'!BG:BG,MATCH($F104,'#建筑消耗和buff配置索引'!$M:$M,0)))</f>
        <v/>
      </c>
      <c r="AO104" s="133" t="str">
        <f>IF(AN104="","",INDEX('#建筑消耗和buff配置索引'!BH:BH,MATCH($F104,'#建筑消耗和buff配置索引'!$M:$M,0)))</f>
        <v/>
      </c>
      <c r="AR104" s="133" t="str">
        <f>IF(INDEX('#建筑消耗和buff配置索引'!BK:BK,MATCH($F104,'#建筑消耗和buff配置索引'!$M:$M,0))=0,"",INDEX('#建筑消耗和buff配置索引'!BK:BK,MATCH($F104,'#建筑消耗和buff配置索引'!$M:$M,0)))</f>
        <v/>
      </c>
      <c r="AS104" s="133" t="str">
        <f>IF(AR104="","",INDEX('#建筑消耗和buff配置索引'!BL:BL,MATCH($F104,'#建筑消耗和buff配置索引'!$M:$M,0)))</f>
        <v/>
      </c>
      <c r="AV104" s="133" t="str">
        <f>IF(INDEX('#建筑消耗和buff配置索引'!BO:BO,MATCH($F104,'#建筑消耗和buff配置索引'!$M:$M,0))=0,"",INDEX('#建筑消耗和buff配置索引'!BO:BO,MATCH($F104,'#建筑消耗和buff配置索引'!$M:$M,0)))</f>
        <v/>
      </c>
      <c r="AW104" s="133" t="str">
        <f>IF(AV104="","",INDEX('#建筑消耗和buff配置索引'!BP:BP,MATCH($F104,'#建筑消耗和buff配置索引'!$M:$M,0)))</f>
        <v/>
      </c>
      <c r="AZ104" s="133" t="str">
        <f>IF(INDEX('#建筑消耗和buff配置索引'!BS:BS,MATCH($F104,'#建筑消耗和buff配置索引'!$M:$M,0))=0,"",INDEX('#建筑消耗和buff配置索引'!BS:BS,MATCH($F104,'#建筑消耗和buff配置索引'!$M:$M,0)))</f>
        <v/>
      </c>
      <c r="BA104" s="133" t="str">
        <f>IF(AZ104="","",INDEX('#建筑消耗和buff配置索引'!BT:BT,MATCH($F104,'#建筑消耗和buff配置索引'!$M:$M,0)))</f>
        <v/>
      </c>
      <c r="BD104" s="133" t="str">
        <f>IF(INDEX('#建筑消耗和buff配置索引'!BW:BW,MATCH($F104,'#建筑消耗和buff配置索引'!$M:$M,0))=0,"",INDEX('#建筑消耗和buff配置索引'!BW:BW,MATCH($F104,'#建筑消耗和buff配置索引'!$M:$M,0)))</f>
        <v/>
      </c>
      <c r="BE104" s="133" t="str">
        <f>IF(BD104="","",INDEX('#建筑消耗和buff配置索引'!BX:BX,MATCH($F104,'#建筑消耗和buff配置索引'!$M:$M,0)))</f>
        <v/>
      </c>
      <c r="BI104" s="133">
        <v>7</v>
      </c>
      <c r="BO104" s="133">
        <v>4</v>
      </c>
      <c r="BP104" s="133" t="s">
        <v>1360</v>
      </c>
      <c r="BQ104" s="133">
        <v>10003601</v>
      </c>
      <c r="BR104" s="133">
        <v>300</v>
      </c>
    </row>
    <row r="105" spans="1:70" s="133" customFormat="1">
      <c r="A105" s="133">
        <v>2040012</v>
      </c>
      <c r="B105" s="133">
        <v>102</v>
      </c>
      <c r="C105" s="133">
        <v>204</v>
      </c>
      <c r="D105" s="133" t="s">
        <v>226</v>
      </c>
      <c r="E105" s="133">
        <v>12</v>
      </c>
      <c r="F105" s="133" t="str">
        <f t="shared" si="4"/>
        <v>伐木场12</v>
      </c>
      <c r="H105" s="146"/>
      <c r="I105" s="133">
        <v>2</v>
      </c>
      <c r="J105" s="150">
        <f>INDEX('#建筑消耗和buff配置索引'!AH:AH,MATCH($F105,'#建筑消耗和buff配置索引'!$M:$M,0))</f>
        <v>4320</v>
      </c>
      <c r="K105" s="150">
        <f>INDEX('#建筑消耗和buff配置索引'!AA:AA,MATCH($F105,'#建筑消耗和buff配置索引'!$M:$M,0))</f>
        <v>84000</v>
      </c>
      <c r="L105" s="150">
        <f>INDEX('#建筑消耗和buff配置索引'!AB:AB,MATCH($F105,'#建筑消耗和buff配置索引'!$M:$M,0))</f>
        <v>0</v>
      </c>
      <c r="M105" s="150">
        <f>INDEX('#建筑消耗和buff配置索引'!AC:AC,MATCH($F105,'#建筑消耗和buff配置索引'!$M:$M,0))</f>
        <v>84000</v>
      </c>
      <c r="N105" s="150">
        <f>INDEX('#建筑消耗和buff配置索引'!AD:AD,MATCH($F105,'#建筑消耗和buff配置索引'!$M:$M,0))</f>
        <v>84000</v>
      </c>
      <c r="O105" s="150" t="str">
        <f>IF(INDEX('#建筑消耗和buff配置索引'!T:T,MATCH($F105,'#建筑消耗和buff配置索引'!$M:$M,0))=0,"",INDEX('#建筑消耗和buff配置索引'!T:T,MATCH($F105,'#建筑消耗和buff配置索引'!$M:$M,0)))</f>
        <v/>
      </c>
      <c r="P105" s="133" t="str">
        <f>IF(INDEX('#建筑消耗和buff配置索引'!U:U,MATCH($F105,'#建筑消耗和buff配置索引'!$M:$M,0))=0,"",INDEX('#建筑消耗和buff配置索引'!U:U,MATCH($F105,'#建筑消耗和buff配置索引'!$M:$M,0)))</f>
        <v/>
      </c>
      <c r="Q105" s="133" t="str">
        <f>IF(INDEX('#建筑消耗和buff配置索引'!K:K,MATCH($F105,'#建筑消耗和buff配置索引'!$M:$M,0))=0,"",INDEX('#建筑消耗和buff配置索引'!K:K,MATCH($F105,'#建筑消耗和buff配置索引'!$M:$M,0)))</f>
        <v>201</v>
      </c>
      <c r="R105" s="133" t="str">
        <f>IF(INDEX('#建筑消耗和buff配置索引'!L:L,MATCH($F105,'#建筑消耗和buff配置索引'!$M:$M,0))=0,"",INDEX('#建筑消耗和buff配置索引'!L:L,MATCH($F105,'#建筑消耗和buff配置索引'!$M:$M,0)))</f>
        <v>12</v>
      </c>
      <c r="S105" s="133">
        <f>IF(INDEX('#建筑消耗和buff配置索引'!C:C,MATCH(F105,'#建筑消耗和buff配置索引'!M:M,0))=0,1,INDEX('#建筑消耗和buff配置索引'!C:C,MATCH(F105,'#建筑消耗和buff配置索引'!M:M,0)))</f>
        <v>1</v>
      </c>
      <c r="T105" s="133">
        <v>0</v>
      </c>
      <c r="U105" s="133">
        <v>0</v>
      </c>
      <c r="V105" s="133" t="str">
        <f>IF(E105=1,IF(INDEX('#建筑消耗和buff配置索引'!BY:BY,MATCH(D105,'#建筑消耗和buff配置索引'!A:A,0))=0,"",INDEX('#建筑消耗和buff配置索引'!BY:BY,MATCH(D105,'#建筑消耗和buff配置索引'!A:A,0))),"")</f>
        <v/>
      </c>
      <c r="W105" s="133" t="str">
        <f>IF(E105=1,IF(INDEX('#建筑消耗和buff配置索引'!BZ:BZ,MATCH(D105,'#建筑消耗和buff配置索引'!A:A,0))=0,"",INDEX('#建筑消耗和buff配置索引'!BZ:BZ,MATCH(D105,'#建筑消耗和buff配置索引'!A:A,0))),"")</f>
        <v/>
      </c>
      <c r="AA105" s="133">
        <f>INDEX('#建筑消耗和buff配置索引'!AO:AO,MATCH($F105,'#建筑消耗和buff配置索引'!$M:$M,0))</f>
        <v>1424</v>
      </c>
      <c r="AB105" s="133">
        <f>IF(INDEX('#建筑消耗和buff配置索引'!AR:AR,MATCH($F105,'#建筑消耗和buff配置索引'!$M:$M,0))=0,"",INDEX('#建筑消耗和buff配置索引'!AR:AR,MATCH($F105,'#建筑消耗和buff配置索引'!$M:$M,0)))</f>
        <v>1017</v>
      </c>
      <c r="AC105" s="133">
        <f>IF(AB105="","",INDEX('#建筑消耗和buff配置索引'!AS:AS,MATCH($F105,'#建筑消耗和buff配置索引'!$M:$M,0)))</f>
        <v>4100</v>
      </c>
      <c r="AF105" s="133" t="str">
        <f>IF(INDEX('#建筑消耗和buff配置索引'!AW:AW,MATCH($F105,'#建筑消耗和buff配置索引'!$M:$M,0))=0,"",INDEX('#建筑消耗和buff配置索引'!AW:AW,MATCH($F105,'#建筑消耗和buff配置索引'!$M:$M,0)))</f>
        <v/>
      </c>
      <c r="AG105" s="133" t="str">
        <f>IF(AF105="","",INDEX('#建筑消耗和buff配置索引'!AX:AX,MATCH($F105,'#建筑消耗和buff配置索引'!$M:$M,0)))</f>
        <v/>
      </c>
      <c r="AJ105" s="133" t="str">
        <f>IF(INDEX('#建筑消耗和buff配置索引'!BB:BB,MATCH($F105,'#建筑消耗和buff配置索引'!$M:$M,0))=0,"",INDEX('#建筑消耗和buff配置索引'!BB:BB,MATCH($F105,'#建筑消耗和buff配置索引'!$M:$M,0)))</f>
        <v/>
      </c>
      <c r="AK105" s="133" t="str">
        <f>IF(AJ105="","",INDEX('#建筑消耗和buff配置索引'!BC:BC,MATCH($F105,'#建筑消耗和buff配置索引'!$M:$M,0)))</f>
        <v/>
      </c>
      <c r="AN105" s="133" t="str">
        <f>IF(INDEX('#建筑消耗和buff配置索引'!BG:BG,MATCH($F105,'#建筑消耗和buff配置索引'!$M:$M,0))=0,"",INDEX('#建筑消耗和buff配置索引'!BG:BG,MATCH($F105,'#建筑消耗和buff配置索引'!$M:$M,0)))</f>
        <v/>
      </c>
      <c r="AO105" s="133" t="str">
        <f>IF(AN105="","",INDEX('#建筑消耗和buff配置索引'!BH:BH,MATCH($F105,'#建筑消耗和buff配置索引'!$M:$M,0)))</f>
        <v/>
      </c>
      <c r="AR105" s="133" t="str">
        <f>IF(INDEX('#建筑消耗和buff配置索引'!BK:BK,MATCH($F105,'#建筑消耗和buff配置索引'!$M:$M,0))=0,"",INDEX('#建筑消耗和buff配置索引'!BK:BK,MATCH($F105,'#建筑消耗和buff配置索引'!$M:$M,0)))</f>
        <v/>
      </c>
      <c r="AS105" s="133" t="str">
        <f>IF(AR105="","",INDEX('#建筑消耗和buff配置索引'!BL:BL,MATCH($F105,'#建筑消耗和buff配置索引'!$M:$M,0)))</f>
        <v/>
      </c>
      <c r="AV105" s="133" t="str">
        <f>IF(INDEX('#建筑消耗和buff配置索引'!BO:BO,MATCH($F105,'#建筑消耗和buff配置索引'!$M:$M,0))=0,"",INDEX('#建筑消耗和buff配置索引'!BO:BO,MATCH($F105,'#建筑消耗和buff配置索引'!$M:$M,0)))</f>
        <v/>
      </c>
      <c r="AW105" s="133" t="str">
        <f>IF(AV105="","",INDEX('#建筑消耗和buff配置索引'!BP:BP,MATCH($F105,'#建筑消耗和buff配置索引'!$M:$M,0)))</f>
        <v/>
      </c>
      <c r="AZ105" s="133" t="str">
        <f>IF(INDEX('#建筑消耗和buff配置索引'!BS:BS,MATCH($F105,'#建筑消耗和buff配置索引'!$M:$M,0))=0,"",INDEX('#建筑消耗和buff配置索引'!BS:BS,MATCH($F105,'#建筑消耗和buff配置索引'!$M:$M,0)))</f>
        <v/>
      </c>
      <c r="BA105" s="133" t="str">
        <f>IF(AZ105="","",INDEX('#建筑消耗和buff配置索引'!BT:BT,MATCH($F105,'#建筑消耗和buff配置索引'!$M:$M,0)))</f>
        <v/>
      </c>
      <c r="BD105" s="133" t="str">
        <f>IF(INDEX('#建筑消耗和buff配置索引'!BW:BW,MATCH($F105,'#建筑消耗和buff配置索引'!$M:$M,0))=0,"",INDEX('#建筑消耗和buff配置索引'!BW:BW,MATCH($F105,'#建筑消耗和buff配置索引'!$M:$M,0)))</f>
        <v/>
      </c>
      <c r="BE105" s="133" t="str">
        <f>IF(BD105="","",INDEX('#建筑消耗和buff配置索引'!BX:BX,MATCH($F105,'#建筑消耗和buff配置索引'!$M:$M,0)))</f>
        <v/>
      </c>
      <c r="BI105" s="133">
        <v>7</v>
      </c>
      <c r="BO105" s="133">
        <v>4</v>
      </c>
      <c r="BP105" s="133" t="s">
        <v>1360</v>
      </c>
      <c r="BQ105" s="133">
        <v>10003601</v>
      </c>
      <c r="BR105" s="133">
        <v>300</v>
      </c>
    </row>
    <row r="106" spans="1:70" s="133" customFormat="1">
      <c r="A106" s="133">
        <v>2040013</v>
      </c>
      <c r="B106" s="133">
        <v>103</v>
      </c>
      <c r="C106" s="133">
        <v>204</v>
      </c>
      <c r="D106" s="133" t="s">
        <v>226</v>
      </c>
      <c r="E106" s="133">
        <v>13</v>
      </c>
      <c r="F106" s="133" t="str">
        <f t="shared" si="4"/>
        <v>伐木场13</v>
      </c>
      <c r="H106" s="146"/>
      <c r="I106" s="133">
        <v>2</v>
      </c>
      <c r="J106" s="150">
        <f>INDEX('#建筑消耗和buff配置索引'!AH:AH,MATCH($F106,'#建筑消耗和buff配置索引'!$M:$M,0))</f>
        <v>5760</v>
      </c>
      <c r="K106" s="150">
        <f>INDEX('#建筑消耗和buff配置索引'!AA:AA,MATCH($F106,'#建筑消耗和buff配置索引'!$M:$M,0))</f>
        <v>110000</v>
      </c>
      <c r="L106" s="150">
        <f>INDEX('#建筑消耗和buff配置索引'!AB:AB,MATCH($F106,'#建筑消耗和buff配置索引'!$M:$M,0))</f>
        <v>0</v>
      </c>
      <c r="M106" s="150">
        <f>INDEX('#建筑消耗和buff配置索引'!AC:AC,MATCH($F106,'#建筑消耗和buff配置索引'!$M:$M,0))</f>
        <v>110000</v>
      </c>
      <c r="N106" s="150">
        <f>INDEX('#建筑消耗和buff配置索引'!AD:AD,MATCH($F106,'#建筑消耗和buff配置索引'!$M:$M,0))</f>
        <v>110000</v>
      </c>
      <c r="O106" s="150" t="str">
        <f>IF(INDEX('#建筑消耗和buff配置索引'!T:T,MATCH($F106,'#建筑消耗和buff配置索引'!$M:$M,0))=0,"",INDEX('#建筑消耗和buff配置索引'!T:T,MATCH($F106,'#建筑消耗和buff配置索引'!$M:$M,0)))</f>
        <v/>
      </c>
      <c r="P106" s="133" t="str">
        <f>IF(INDEX('#建筑消耗和buff配置索引'!U:U,MATCH($F106,'#建筑消耗和buff配置索引'!$M:$M,0))=0,"",INDEX('#建筑消耗和buff配置索引'!U:U,MATCH($F106,'#建筑消耗和buff配置索引'!$M:$M,0)))</f>
        <v/>
      </c>
      <c r="Q106" s="133" t="str">
        <f>IF(INDEX('#建筑消耗和buff配置索引'!K:K,MATCH($F106,'#建筑消耗和buff配置索引'!$M:$M,0))=0,"",INDEX('#建筑消耗和buff配置索引'!K:K,MATCH($F106,'#建筑消耗和buff配置索引'!$M:$M,0)))</f>
        <v>201</v>
      </c>
      <c r="R106" s="133" t="str">
        <f>IF(INDEX('#建筑消耗和buff配置索引'!L:L,MATCH($F106,'#建筑消耗和buff配置索引'!$M:$M,0))=0,"",INDEX('#建筑消耗和buff配置索引'!L:L,MATCH($F106,'#建筑消耗和buff配置索引'!$M:$M,0)))</f>
        <v>13</v>
      </c>
      <c r="S106" s="133">
        <f>IF(INDEX('#建筑消耗和buff配置索引'!C:C,MATCH(F106,'#建筑消耗和buff配置索引'!M:M,0))=0,1,INDEX('#建筑消耗和buff配置索引'!C:C,MATCH(F106,'#建筑消耗和buff配置索引'!M:M,0)))</f>
        <v>1</v>
      </c>
      <c r="T106" s="133">
        <v>0</v>
      </c>
      <c r="U106" s="133">
        <v>0</v>
      </c>
      <c r="V106" s="133" t="str">
        <f>IF(E106=1,IF(INDEX('#建筑消耗和buff配置索引'!BY:BY,MATCH(D106,'#建筑消耗和buff配置索引'!A:A,0))=0,"",INDEX('#建筑消耗和buff配置索引'!BY:BY,MATCH(D106,'#建筑消耗和buff配置索引'!A:A,0))),"")</f>
        <v/>
      </c>
      <c r="W106" s="133" t="str">
        <f>IF(E106=1,IF(INDEX('#建筑消耗和buff配置索引'!BZ:BZ,MATCH(D106,'#建筑消耗和buff配置索引'!A:A,0))=0,"",INDEX('#建筑消耗和buff配置索引'!BZ:BZ,MATCH(D106,'#建筑消耗和buff配置索引'!A:A,0))),"")</f>
        <v/>
      </c>
      <c r="AA106" s="133">
        <f>INDEX('#建筑消耗和buff配置索引'!AO:AO,MATCH($F106,'#建筑消耗和buff配置索引'!$M:$M,0))</f>
        <v>2111</v>
      </c>
      <c r="AB106" s="133">
        <f>IF(INDEX('#建筑消耗和buff配置索引'!AR:AR,MATCH($F106,'#建筑消耗和buff配置索引'!$M:$M,0))=0,"",INDEX('#建筑消耗和buff配置索引'!AR:AR,MATCH($F106,'#建筑消耗和buff配置索引'!$M:$M,0)))</f>
        <v>1017</v>
      </c>
      <c r="AC106" s="133">
        <f>IF(AB106="","",INDEX('#建筑消耗和buff配置索引'!AS:AS,MATCH($F106,'#建筑消耗和buff配置索引'!$M:$M,0)))</f>
        <v>4600</v>
      </c>
      <c r="AF106" s="133" t="str">
        <f>IF(INDEX('#建筑消耗和buff配置索引'!AW:AW,MATCH($F106,'#建筑消耗和buff配置索引'!$M:$M,0))=0,"",INDEX('#建筑消耗和buff配置索引'!AW:AW,MATCH($F106,'#建筑消耗和buff配置索引'!$M:$M,0)))</f>
        <v/>
      </c>
      <c r="AG106" s="133" t="str">
        <f>IF(AF106="","",INDEX('#建筑消耗和buff配置索引'!AX:AX,MATCH($F106,'#建筑消耗和buff配置索引'!$M:$M,0)))</f>
        <v/>
      </c>
      <c r="AJ106" s="133" t="str">
        <f>IF(INDEX('#建筑消耗和buff配置索引'!BB:BB,MATCH($F106,'#建筑消耗和buff配置索引'!$M:$M,0))=0,"",INDEX('#建筑消耗和buff配置索引'!BB:BB,MATCH($F106,'#建筑消耗和buff配置索引'!$M:$M,0)))</f>
        <v/>
      </c>
      <c r="AK106" s="133" t="str">
        <f>IF(AJ106="","",INDEX('#建筑消耗和buff配置索引'!BC:BC,MATCH($F106,'#建筑消耗和buff配置索引'!$M:$M,0)))</f>
        <v/>
      </c>
      <c r="AN106" s="133" t="str">
        <f>IF(INDEX('#建筑消耗和buff配置索引'!BG:BG,MATCH($F106,'#建筑消耗和buff配置索引'!$M:$M,0))=0,"",INDEX('#建筑消耗和buff配置索引'!BG:BG,MATCH($F106,'#建筑消耗和buff配置索引'!$M:$M,0)))</f>
        <v/>
      </c>
      <c r="AO106" s="133" t="str">
        <f>IF(AN106="","",INDEX('#建筑消耗和buff配置索引'!BH:BH,MATCH($F106,'#建筑消耗和buff配置索引'!$M:$M,0)))</f>
        <v/>
      </c>
      <c r="AR106" s="133" t="str">
        <f>IF(INDEX('#建筑消耗和buff配置索引'!BK:BK,MATCH($F106,'#建筑消耗和buff配置索引'!$M:$M,0))=0,"",INDEX('#建筑消耗和buff配置索引'!BK:BK,MATCH($F106,'#建筑消耗和buff配置索引'!$M:$M,0)))</f>
        <v/>
      </c>
      <c r="AS106" s="133" t="str">
        <f>IF(AR106="","",INDEX('#建筑消耗和buff配置索引'!BL:BL,MATCH($F106,'#建筑消耗和buff配置索引'!$M:$M,0)))</f>
        <v/>
      </c>
      <c r="AV106" s="133" t="str">
        <f>IF(INDEX('#建筑消耗和buff配置索引'!BO:BO,MATCH($F106,'#建筑消耗和buff配置索引'!$M:$M,0))=0,"",INDEX('#建筑消耗和buff配置索引'!BO:BO,MATCH($F106,'#建筑消耗和buff配置索引'!$M:$M,0)))</f>
        <v/>
      </c>
      <c r="AW106" s="133" t="str">
        <f>IF(AV106="","",INDEX('#建筑消耗和buff配置索引'!BP:BP,MATCH($F106,'#建筑消耗和buff配置索引'!$M:$M,0)))</f>
        <v/>
      </c>
      <c r="AZ106" s="133" t="str">
        <f>IF(INDEX('#建筑消耗和buff配置索引'!BS:BS,MATCH($F106,'#建筑消耗和buff配置索引'!$M:$M,0))=0,"",INDEX('#建筑消耗和buff配置索引'!BS:BS,MATCH($F106,'#建筑消耗和buff配置索引'!$M:$M,0)))</f>
        <v/>
      </c>
      <c r="BA106" s="133" t="str">
        <f>IF(AZ106="","",INDEX('#建筑消耗和buff配置索引'!BT:BT,MATCH($F106,'#建筑消耗和buff配置索引'!$M:$M,0)))</f>
        <v/>
      </c>
      <c r="BD106" s="133" t="str">
        <f>IF(INDEX('#建筑消耗和buff配置索引'!BW:BW,MATCH($F106,'#建筑消耗和buff配置索引'!$M:$M,0))=0,"",INDEX('#建筑消耗和buff配置索引'!BW:BW,MATCH($F106,'#建筑消耗和buff配置索引'!$M:$M,0)))</f>
        <v/>
      </c>
      <c r="BE106" s="133" t="str">
        <f>IF(BD106="","",INDEX('#建筑消耗和buff配置索引'!BX:BX,MATCH($F106,'#建筑消耗和buff配置索引'!$M:$M,0)))</f>
        <v/>
      </c>
      <c r="BI106" s="133">
        <v>7</v>
      </c>
      <c r="BO106" s="133">
        <v>4</v>
      </c>
      <c r="BP106" s="133" t="s">
        <v>1360</v>
      </c>
      <c r="BQ106" s="133">
        <v>10003601</v>
      </c>
      <c r="BR106" s="133">
        <v>300</v>
      </c>
    </row>
    <row r="107" spans="1:70" s="133" customFormat="1">
      <c r="A107" s="133">
        <v>2040014</v>
      </c>
      <c r="B107" s="133">
        <v>104</v>
      </c>
      <c r="C107" s="133">
        <v>204</v>
      </c>
      <c r="D107" s="133" t="s">
        <v>226</v>
      </c>
      <c r="E107" s="133">
        <v>14</v>
      </c>
      <c r="F107" s="133" t="str">
        <f t="shared" si="4"/>
        <v>伐木场14</v>
      </c>
      <c r="H107" s="146"/>
      <c r="I107" s="133">
        <v>2</v>
      </c>
      <c r="J107" s="150">
        <f>INDEX('#建筑消耗和buff配置索引'!AH:AH,MATCH($F107,'#建筑消耗和buff配置索引'!$M:$M,0))</f>
        <v>7200</v>
      </c>
      <c r="K107" s="150">
        <f>INDEX('#建筑消耗和buff配置索引'!AA:AA,MATCH($F107,'#建筑消耗和buff配置索引'!$M:$M,0))</f>
        <v>150000</v>
      </c>
      <c r="L107" s="150">
        <f>INDEX('#建筑消耗和buff配置索引'!AB:AB,MATCH($F107,'#建筑消耗和buff配置索引'!$M:$M,0))</f>
        <v>0</v>
      </c>
      <c r="M107" s="150">
        <f>INDEX('#建筑消耗和buff配置索引'!AC:AC,MATCH($F107,'#建筑消耗和buff配置索引'!$M:$M,0))</f>
        <v>150000</v>
      </c>
      <c r="N107" s="150">
        <f>INDEX('#建筑消耗和buff配置索引'!AD:AD,MATCH($F107,'#建筑消耗和buff配置索引'!$M:$M,0))</f>
        <v>150000</v>
      </c>
      <c r="O107" s="150" t="str">
        <f>IF(INDEX('#建筑消耗和buff配置索引'!T:T,MATCH($F107,'#建筑消耗和buff配置索引'!$M:$M,0))=0,"",INDEX('#建筑消耗和buff配置索引'!T:T,MATCH($F107,'#建筑消耗和buff配置索引'!$M:$M,0)))</f>
        <v/>
      </c>
      <c r="P107" s="133" t="str">
        <f>IF(INDEX('#建筑消耗和buff配置索引'!U:U,MATCH($F107,'#建筑消耗和buff配置索引'!$M:$M,0))=0,"",INDEX('#建筑消耗和buff配置索引'!U:U,MATCH($F107,'#建筑消耗和buff配置索引'!$M:$M,0)))</f>
        <v/>
      </c>
      <c r="Q107" s="133" t="str">
        <f>IF(INDEX('#建筑消耗和buff配置索引'!K:K,MATCH($F107,'#建筑消耗和buff配置索引'!$M:$M,0))=0,"",INDEX('#建筑消耗和buff配置索引'!K:K,MATCH($F107,'#建筑消耗和buff配置索引'!$M:$M,0)))</f>
        <v>201</v>
      </c>
      <c r="R107" s="133" t="str">
        <f>IF(INDEX('#建筑消耗和buff配置索引'!L:L,MATCH($F107,'#建筑消耗和buff配置索引'!$M:$M,0))=0,"",INDEX('#建筑消耗和buff配置索引'!L:L,MATCH($F107,'#建筑消耗和buff配置索引'!$M:$M,0)))</f>
        <v>14</v>
      </c>
      <c r="S107" s="133">
        <f>IF(INDEX('#建筑消耗和buff配置索引'!C:C,MATCH(F107,'#建筑消耗和buff配置索引'!M:M,0))=0,1,INDEX('#建筑消耗和buff配置索引'!C:C,MATCH(F107,'#建筑消耗和buff配置索引'!M:M,0)))</f>
        <v>1</v>
      </c>
      <c r="T107" s="133">
        <v>0</v>
      </c>
      <c r="U107" s="133">
        <v>0</v>
      </c>
      <c r="V107" s="133" t="str">
        <f>IF(E107=1,IF(INDEX('#建筑消耗和buff配置索引'!BY:BY,MATCH(D107,'#建筑消耗和buff配置索引'!A:A,0))=0,"",INDEX('#建筑消耗和buff配置索引'!BY:BY,MATCH(D107,'#建筑消耗和buff配置索引'!A:A,0))),"")</f>
        <v/>
      </c>
      <c r="W107" s="133" t="str">
        <f>IF(E107=1,IF(INDEX('#建筑消耗和buff配置索引'!BZ:BZ,MATCH(D107,'#建筑消耗和buff配置索引'!A:A,0))=0,"",INDEX('#建筑消耗和buff配置索引'!BZ:BZ,MATCH(D107,'#建筑消耗和buff配置索引'!A:A,0))),"")</f>
        <v/>
      </c>
      <c r="AA107" s="133">
        <f>INDEX('#建筑消耗和buff配置索引'!AO:AO,MATCH($F107,'#建筑消耗和buff配置索引'!$M:$M,0))</f>
        <v>3003</v>
      </c>
      <c r="AB107" s="133">
        <f>IF(INDEX('#建筑消耗和buff配置索引'!AR:AR,MATCH($F107,'#建筑消耗和buff配置索引'!$M:$M,0))=0,"",INDEX('#建筑消耗和buff配置索引'!AR:AR,MATCH($F107,'#建筑消耗和buff配置索引'!$M:$M,0)))</f>
        <v>1017</v>
      </c>
      <c r="AC107" s="133">
        <f>IF(AB107="","",INDEX('#建筑消耗和buff配置索引'!AS:AS,MATCH($F107,'#建筑消耗和buff配置索引'!$M:$M,0)))</f>
        <v>5100</v>
      </c>
      <c r="AF107" s="133" t="str">
        <f>IF(INDEX('#建筑消耗和buff配置索引'!AW:AW,MATCH($F107,'#建筑消耗和buff配置索引'!$M:$M,0))=0,"",INDEX('#建筑消耗和buff配置索引'!AW:AW,MATCH($F107,'#建筑消耗和buff配置索引'!$M:$M,0)))</f>
        <v/>
      </c>
      <c r="AG107" s="133" t="str">
        <f>IF(AF107="","",INDEX('#建筑消耗和buff配置索引'!AX:AX,MATCH($F107,'#建筑消耗和buff配置索引'!$M:$M,0)))</f>
        <v/>
      </c>
      <c r="AJ107" s="133" t="str">
        <f>IF(INDEX('#建筑消耗和buff配置索引'!BB:BB,MATCH($F107,'#建筑消耗和buff配置索引'!$M:$M,0))=0,"",INDEX('#建筑消耗和buff配置索引'!BB:BB,MATCH($F107,'#建筑消耗和buff配置索引'!$M:$M,0)))</f>
        <v/>
      </c>
      <c r="AK107" s="133" t="str">
        <f>IF(AJ107="","",INDEX('#建筑消耗和buff配置索引'!BC:BC,MATCH($F107,'#建筑消耗和buff配置索引'!$M:$M,0)))</f>
        <v/>
      </c>
      <c r="AN107" s="133" t="str">
        <f>IF(INDEX('#建筑消耗和buff配置索引'!BG:BG,MATCH($F107,'#建筑消耗和buff配置索引'!$M:$M,0))=0,"",INDEX('#建筑消耗和buff配置索引'!BG:BG,MATCH($F107,'#建筑消耗和buff配置索引'!$M:$M,0)))</f>
        <v/>
      </c>
      <c r="AO107" s="133" t="str">
        <f>IF(AN107="","",INDEX('#建筑消耗和buff配置索引'!BH:BH,MATCH($F107,'#建筑消耗和buff配置索引'!$M:$M,0)))</f>
        <v/>
      </c>
      <c r="AR107" s="133" t="str">
        <f>IF(INDEX('#建筑消耗和buff配置索引'!BK:BK,MATCH($F107,'#建筑消耗和buff配置索引'!$M:$M,0))=0,"",INDEX('#建筑消耗和buff配置索引'!BK:BK,MATCH($F107,'#建筑消耗和buff配置索引'!$M:$M,0)))</f>
        <v/>
      </c>
      <c r="AS107" s="133" t="str">
        <f>IF(AR107="","",INDEX('#建筑消耗和buff配置索引'!BL:BL,MATCH($F107,'#建筑消耗和buff配置索引'!$M:$M,0)))</f>
        <v/>
      </c>
      <c r="AV107" s="133" t="str">
        <f>IF(INDEX('#建筑消耗和buff配置索引'!BO:BO,MATCH($F107,'#建筑消耗和buff配置索引'!$M:$M,0))=0,"",INDEX('#建筑消耗和buff配置索引'!BO:BO,MATCH($F107,'#建筑消耗和buff配置索引'!$M:$M,0)))</f>
        <v/>
      </c>
      <c r="AW107" s="133" t="str">
        <f>IF(AV107="","",INDEX('#建筑消耗和buff配置索引'!BP:BP,MATCH($F107,'#建筑消耗和buff配置索引'!$M:$M,0)))</f>
        <v/>
      </c>
      <c r="AZ107" s="133" t="str">
        <f>IF(INDEX('#建筑消耗和buff配置索引'!BS:BS,MATCH($F107,'#建筑消耗和buff配置索引'!$M:$M,0))=0,"",INDEX('#建筑消耗和buff配置索引'!BS:BS,MATCH($F107,'#建筑消耗和buff配置索引'!$M:$M,0)))</f>
        <v/>
      </c>
      <c r="BA107" s="133" t="str">
        <f>IF(AZ107="","",INDEX('#建筑消耗和buff配置索引'!BT:BT,MATCH($F107,'#建筑消耗和buff配置索引'!$M:$M,0)))</f>
        <v/>
      </c>
      <c r="BD107" s="133" t="str">
        <f>IF(INDEX('#建筑消耗和buff配置索引'!BW:BW,MATCH($F107,'#建筑消耗和buff配置索引'!$M:$M,0))=0,"",INDEX('#建筑消耗和buff配置索引'!BW:BW,MATCH($F107,'#建筑消耗和buff配置索引'!$M:$M,0)))</f>
        <v/>
      </c>
      <c r="BE107" s="133" t="str">
        <f>IF(BD107="","",INDEX('#建筑消耗和buff配置索引'!BX:BX,MATCH($F107,'#建筑消耗和buff配置索引'!$M:$M,0)))</f>
        <v/>
      </c>
      <c r="BI107" s="133">
        <v>7</v>
      </c>
      <c r="BO107" s="133">
        <v>4</v>
      </c>
      <c r="BP107" s="133" t="s">
        <v>1360</v>
      </c>
      <c r="BQ107" s="133">
        <v>10003601</v>
      </c>
      <c r="BR107" s="133">
        <v>300</v>
      </c>
    </row>
    <row r="108" spans="1:70" s="133" customFormat="1">
      <c r="A108" s="133">
        <v>2040015</v>
      </c>
      <c r="B108" s="133">
        <v>105</v>
      </c>
      <c r="C108" s="133">
        <v>204</v>
      </c>
      <c r="D108" s="133" t="s">
        <v>226</v>
      </c>
      <c r="E108" s="133">
        <v>15</v>
      </c>
      <c r="F108" s="133" t="str">
        <f t="shared" si="4"/>
        <v>伐木场15</v>
      </c>
      <c r="H108" s="146"/>
      <c r="I108" s="133">
        <v>2</v>
      </c>
      <c r="J108" s="150">
        <f>INDEX('#建筑消耗和buff配置索引'!AH:AH,MATCH($F108,'#建筑消耗和buff配置索引'!$M:$M,0))</f>
        <v>8640</v>
      </c>
      <c r="K108" s="150">
        <f>INDEX('#建筑消耗和buff配置索引'!AA:AA,MATCH($F108,'#建筑消耗和buff配置索引'!$M:$M,0))</f>
        <v>190000</v>
      </c>
      <c r="L108" s="150">
        <f>INDEX('#建筑消耗和buff配置索引'!AB:AB,MATCH($F108,'#建筑消耗和buff配置索引'!$M:$M,0))</f>
        <v>0</v>
      </c>
      <c r="M108" s="150">
        <f>INDEX('#建筑消耗和buff配置索引'!AC:AC,MATCH($F108,'#建筑消耗和buff配置索引'!$M:$M,0))</f>
        <v>190000</v>
      </c>
      <c r="N108" s="150">
        <f>INDEX('#建筑消耗和buff配置索引'!AD:AD,MATCH($F108,'#建筑消耗和buff配置索引'!$M:$M,0))</f>
        <v>190000</v>
      </c>
      <c r="O108" s="150" t="str">
        <f>IF(INDEX('#建筑消耗和buff配置索引'!T:T,MATCH($F108,'#建筑消耗和buff配置索引'!$M:$M,0))=0,"",INDEX('#建筑消耗和buff配置索引'!T:T,MATCH($F108,'#建筑消耗和buff配置索引'!$M:$M,0)))</f>
        <v/>
      </c>
      <c r="P108" s="133" t="str">
        <f>IF(INDEX('#建筑消耗和buff配置索引'!U:U,MATCH($F108,'#建筑消耗和buff配置索引'!$M:$M,0))=0,"",INDEX('#建筑消耗和buff配置索引'!U:U,MATCH($F108,'#建筑消耗和buff配置索引'!$M:$M,0)))</f>
        <v/>
      </c>
      <c r="Q108" s="133" t="str">
        <f>IF(INDEX('#建筑消耗和buff配置索引'!K:K,MATCH($F108,'#建筑消耗和buff配置索引'!$M:$M,0))=0,"",INDEX('#建筑消耗和buff配置索引'!K:K,MATCH($F108,'#建筑消耗和buff配置索引'!$M:$M,0)))</f>
        <v>201</v>
      </c>
      <c r="R108" s="133" t="str">
        <f>IF(INDEX('#建筑消耗和buff配置索引'!L:L,MATCH($F108,'#建筑消耗和buff配置索引'!$M:$M,0))=0,"",INDEX('#建筑消耗和buff配置索引'!L:L,MATCH($F108,'#建筑消耗和buff配置索引'!$M:$M,0)))</f>
        <v>15</v>
      </c>
      <c r="S108" s="133">
        <f>IF(INDEX('#建筑消耗和buff配置索引'!C:C,MATCH(F108,'#建筑消耗和buff配置索引'!M:M,0))=0,1,INDEX('#建筑消耗和buff配置索引'!C:C,MATCH(F108,'#建筑消耗和buff配置索引'!M:M,0)))</f>
        <v>1</v>
      </c>
      <c r="T108" s="133">
        <v>0</v>
      </c>
      <c r="U108" s="133">
        <v>0</v>
      </c>
      <c r="V108" s="133" t="str">
        <f>IF(E108=1,IF(INDEX('#建筑消耗和buff配置索引'!BY:BY,MATCH(D108,'#建筑消耗和buff配置索引'!A:A,0))=0,"",INDEX('#建筑消耗和buff配置索引'!BY:BY,MATCH(D108,'#建筑消耗和buff配置索引'!A:A,0))),"")</f>
        <v/>
      </c>
      <c r="W108" s="133" t="str">
        <f>IF(E108=1,IF(INDEX('#建筑消耗和buff配置索引'!BZ:BZ,MATCH(D108,'#建筑消耗和buff配置索引'!A:A,0))=0,"",INDEX('#建筑消耗和buff配置索引'!BZ:BZ,MATCH(D108,'#建筑消耗和buff配置索引'!A:A,0))),"")</f>
        <v/>
      </c>
      <c r="AA108" s="133">
        <f>INDEX('#建筑消耗和buff配置索引'!AO:AO,MATCH($F108,'#建筑消耗和buff配置索引'!$M:$M,0))</f>
        <v>4146</v>
      </c>
      <c r="AB108" s="133">
        <f>IF(INDEX('#建筑消耗和buff配置索引'!AR:AR,MATCH($F108,'#建筑消耗和buff配置索引'!$M:$M,0))=0,"",INDEX('#建筑消耗和buff配置索引'!AR:AR,MATCH($F108,'#建筑消耗和buff配置索引'!$M:$M,0)))</f>
        <v>1017</v>
      </c>
      <c r="AC108" s="133">
        <f>IF(AB108="","",INDEX('#建筑消耗和buff配置索引'!AS:AS,MATCH($F108,'#建筑消耗和buff配置索引'!$M:$M,0)))</f>
        <v>5600</v>
      </c>
      <c r="AF108" s="133" t="str">
        <f>IF(INDEX('#建筑消耗和buff配置索引'!AW:AW,MATCH($F108,'#建筑消耗和buff配置索引'!$M:$M,0))=0,"",INDEX('#建筑消耗和buff配置索引'!AW:AW,MATCH($F108,'#建筑消耗和buff配置索引'!$M:$M,0)))</f>
        <v/>
      </c>
      <c r="AG108" s="133" t="str">
        <f>IF(AF108="","",INDEX('#建筑消耗和buff配置索引'!AX:AX,MATCH($F108,'#建筑消耗和buff配置索引'!$M:$M,0)))</f>
        <v/>
      </c>
      <c r="AJ108" s="133" t="str">
        <f>IF(INDEX('#建筑消耗和buff配置索引'!BB:BB,MATCH($F108,'#建筑消耗和buff配置索引'!$M:$M,0))=0,"",INDEX('#建筑消耗和buff配置索引'!BB:BB,MATCH($F108,'#建筑消耗和buff配置索引'!$M:$M,0)))</f>
        <v/>
      </c>
      <c r="AK108" s="133" t="str">
        <f>IF(AJ108="","",INDEX('#建筑消耗和buff配置索引'!BC:BC,MATCH($F108,'#建筑消耗和buff配置索引'!$M:$M,0)))</f>
        <v/>
      </c>
      <c r="AN108" s="133" t="str">
        <f>IF(INDEX('#建筑消耗和buff配置索引'!BG:BG,MATCH($F108,'#建筑消耗和buff配置索引'!$M:$M,0))=0,"",INDEX('#建筑消耗和buff配置索引'!BG:BG,MATCH($F108,'#建筑消耗和buff配置索引'!$M:$M,0)))</f>
        <v/>
      </c>
      <c r="AO108" s="133" t="str">
        <f>IF(AN108="","",INDEX('#建筑消耗和buff配置索引'!BH:BH,MATCH($F108,'#建筑消耗和buff配置索引'!$M:$M,0)))</f>
        <v/>
      </c>
      <c r="AR108" s="133" t="str">
        <f>IF(INDEX('#建筑消耗和buff配置索引'!BK:BK,MATCH($F108,'#建筑消耗和buff配置索引'!$M:$M,0))=0,"",INDEX('#建筑消耗和buff配置索引'!BK:BK,MATCH($F108,'#建筑消耗和buff配置索引'!$M:$M,0)))</f>
        <v/>
      </c>
      <c r="AS108" s="133" t="str">
        <f>IF(AR108="","",INDEX('#建筑消耗和buff配置索引'!BL:BL,MATCH($F108,'#建筑消耗和buff配置索引'!$M:$M,0)))</f>
        <v/>
      </c>
      <c r="AV108" s="133" t="str">
        <f>IF(INDEX('#建筑消耗和buff配置索引'!BO:BO,MATCH($F108,'#建筑消耗和buff配置索引'!$M:$M,0))=0,"",INDEX('#建筑消耗和buff配置索引'!BO:BO,MATCH($F108,'#建筑消耗和buff配置索引'!$M:$M,0)))</f>
        <v/>
      </c>
      <c r="AW108" s="133" t="str">
        <f>IF(AV108="","",INDEX('#建筑消耗和buff配置索引'!BP:BP,MATCH($F108,'#建筑消耗和buff配置索引'!$M:$M,0)))</f>
        <v/>
      </c>
      <c r="AZ108" s="133" t="str">
        <f>IF(INDEX('#建筑消耗和buff配置索引'!BS:BS,MATCH($F108,'#建筑消耗和buff配置索引'!$M:$M,0))=0,"",INDEX('#建筑消耗和buff配置索引'!BS:BS,MATCH($F108,'#建筑消耗和buff配置索引'!$M:$M,0)))</f>
        <v/>
      </c>
      <c r="BA108" s="133" t="str">
        <f>IF(AZ108="","",INDEX('#建筑消耗和buff配置索引'!BT:BT,MATCH($F108,'#建筑消耗和buff配置索引'!$M:$M,0)))</f>
        <v/>
      </c>
      <c r="BD108" s="133" t="str">
        <f>IF(INDEX('#建筑消耗和buff配置索引'!BW:BW,MATCH($F108,'#建筑消耗和buff配置索引'!$M:$M,0))=0,"",INDEX('#建筑消耗和buff配置索引'!BW:BW,MATCH($F108,'#建筑消耗和buff配置索引'!$M:$M,0)))</f>
        <v/>
      </c>
      <c r="BE108" s="133" t="str">
        <f>IF(BD108="","",INDEX('#建筑消耗和buff配置索引'!BX:BX,MATCH($F108,'#建筑消耗和buff配置索引'!$M:$M,0)))</f>
        <v/>
      </c>
      <c r="BI108" s="133">
        <v>7</v>
      </c>
      <c r="BO108" s="133">
        <v>4</v>
      </c>
      <c r="BP108" s="133" t="s">
        <v>1360</v>
      </c>
      <c r="BQ108" s="133">
        <v>10003601</v>
      </c>
      <c r="BR108" s="133">
        <v>300</v>
      </c>
    </row>
    <row r="109" spans="1:70" s="133" customFormat="1">
      <c r="A109" s="133">
        <v>2040016</v>
      </c>
      <c r="B109" s="133">
        <v>106</v>
      </c>
      <c r="C109" s="133">
        <v>204</v>
      </c>
      <c r="D109" s="133" t="s">
        <v>226</v>
      </c>
      <c r="E109" s="133">
        <v>16</v>
      </c>
      <c r="F109" s="133" t="str">
        <f t="shared" si="4"/>
        <v>伐木场16</v>
      </c>
      <c r="H109" s="146"/>
      <c r="I109" s="133">
        <v>2</v>
      </c>
      <c r="J109" s="150">
        <f>INDEX('#建筑消耗和buff配置索引'!AH:AH,MATCH($F109,'#建筑消耗和buff配置索引'!$M:$M,0))</f>
        <v>10800</v>
      </c>
      <c r="K109" s="150">
        <f>INDEX('#建筑消耗和buff配置索引'!AA:AA,MATCH($F109,'#建筑消耗和buff配置索引'!$M:$M,0))</f>
        <v>240000</v>
      </c>
      <c r="L109" s="150">
        <f>INDEX('#建筑消耗和buff配置索引'!AB:AB,MATCH($F109,'#建筑消耗和buff配置索引'!$M:$M,0))</f>
        <v>0</v>
      </c>
      <c r="M109" s="150">
        <f>INDEX('#建筑消耗和buff配置索引'!AC:AC,MATCH($F109,'#建筑消耗和buff配置索引'!$M:$M,0))</f>
        <v>240000</v>
      </c>
      <c r="N109" s="150">
        <f>INDEX('#建筑消耗和buff配置索引'!AD:AD,MATCH($F109,'#建筑消耗和buff配置索引'!$M:$M,0))</f>
        <v>240000</v>
      </c>
      <c r="O109" s="150" t="str">
        <f>IF(INDEX('#建筑消耗和buff配置索引'!T:T,MATCH($F109,'#建筑消耗和buff配置索引'!$M:$M,0))=0,"",INDEX('#建筑消耗和buff配置索引'!T:T,MATCH($F109,'#建筑消耗和buff配置索引'!$M:$M,0)))</f>
        <v/>
      </c>
      <c r="P109" s="133" t="str">
        <f>IF(INDEX('#建筑消耗和buff配置索引'!U:U,MATCH($F109,'#建筑消耗和buff配置索引'!$M:$M,0))=0,"",INDEX('#建筑消耗和buff配置索引'!U:U,MATCH($F109,'#建筑消耗和buff配置索引'!$M:$M,0)))</f>
        <v/>
      </c>
      <c r="Q109" s="133" t="str">
        <f>IF(INDEX('#建筑消耗和buff配置索引'!K:K,MATCH($F109,'#建筑消耗和buff配置索引'!$M:$M,0))=0,"",INDEX('#建筑消耗和buff配置索引'!K:K,MATCH($F109,'#建筑消耗和buff配置索引'!$M:$M,0)))</f>
        <v>201</v>
      </c>
      <c r="R109" s="133" t="str">
        <f>IF(INDEX('#建筑消耗和buff配置索引'!L:L,MATCH($F109,'#建筑消耗和buff配置索引'!$M:$M,0))=0,"",INDEX('#建筑消耗和buff配置索引'!L:L,MATCH($F109,'#建筑消耗和buff配置索引'!$M:$M,0)))</f>
        <v>16</v>
      </c>
      <c r="S109" s="133">
        <f>IF(INDEX('#建筑消耗和buff配置索引'!C:C,MATCH(F109,'#建筑消耗和buff配置索引'!M:M,0))=0,1,INDEX('#建筑消耗和buff配置索引'!C:C,MATCH(F109,'#建筑消耗和buff配置索引'!M:M,0)))</f>
        <v>1</v>
      </c>
      <c r="T109" s="133">
        <v>0</v>
      </c>
      <c r="U109" s="133">
        <v>0</v>
      </c>
      <c r="V109" s="133" t="str">
        <f>IF(E109=1,IF(INDEX('#建筑消耗和buff配置索引'!BY:BY,MATCH(D109,'#建筑消耗和buff配置索引'!A:A,0))=0,"",INDEX('#建筑消耗和buff配置索引'!BY:BY,MATCH(D109,'#建筑消耗和buff配置索引'!A:A,0))),"")</f>
        <v/>
      </c>
      <c r="W109" s="133" t="str">
        <f>IF(E109=1,IF(INDEX('#建筑消耗和buff配置索引'!BZ:BZ,MATCH(D109,'#建筑消耗和buff配置索引'!A:A,0))=0,"",INDEX('#建筑消耗和buff配置索引'!BZ:BZ,MATCH(D109,'#建筑消耗和buff配置索引'!A:A,0))),"")</f>
        <v/>
      </c>
      <c r="AA109" s="133">
        <f>INDEX('#建筑消耗和buff配置索引'!AO:AO,MATCH($F109,'#建筑消耗和buff配置索引'!$M:$M,0))</f>
        <v>5609</v>
      </c>
      <c r="AB109" s="133">
        <f>IF(INDEX('#建筑消耗和buff配置索引'!AR:AR,MATCH($F109,'#建筑消耗和buff配置索引'!$M:$M,0))=0,"",INDEX('#建筑消耗和buff配置索引'!AR:AR,MATCH($F109,'#建筑消耗和buff配置索引'!$M:$M,0)))</f>
        <v>1017</v>
      </c>
      <c r="AC109" s="133">
        <f>IF(AB109="","",INDEX('#建筑消耗和buff配置索引'!AS:AS,MATCH($F109,'#建筑消耗和buff配置索引'!$M:$M,0)))</f>
        <v>6250</v>
      </c>
      <c r="AF109" s="133" t="str">
        <f>IF(INDEX('#建筑消耗和buff配置索引'!AW:AW,MATCH($F109,'#建筑消耗和buff配置索引'!$M:$M,0))=0,"",INDEX('#建筑消耗和buff配置索引'!AW:AW,MATCH($F109,'#建筑消耗和buff配置索引'!$M:$M,0)))</f>
        <v/>
      </c>
      <c r="AG109" s="133" t="str">
        <f>IF(AF109="","",INDEX('#建筑消耗和buff配置索引'!AX:AX,MATCH($F109,'#建筑消耗和buff配置索引'!$M:$M,0)))</f>
        <v/>
      </c>
      <c r="AJ109" s="133" t="str">
        <f>IF(INDEX('#建筑消耗和buff配置索引'!BB:BB,MATCH($F109,'#建筑消耗和buff配置索引'!$M:$M,0))=0,"",INDEX('#建筑消耗和buff配置索引'!BB:BB,MATCH($F109,'#建筑消耗和buff配置索引'!$M:$M,0)))</f>
        <v/>
      </c>
      <c r="AK109" s="133" t="str">
        <f>IF(AJ109="","",INDEX('#建筑消耗和buff配置索引'!BC:BC,MATCH($F109,'#建筑消耗和buff配置索引'!$M:$M,0)))</f>
        <v/>
      </c>
      <c r="AN109" s="133" t="str">
        <f>IF(INDEX('#建筑消耗和buff配置索引'!BG:BG,MATCH($F109,'#建筑消耗和buff配置索引'!$M:$M,0))=0,"",INDEX('#建筑消耗和buff配置索引'!BG:BG,MATCH($F109,'#建筑消耗和buff配置索引'!$M:$M,0)))</f>
        <v/>
      </c>
      <c r="AO109" s="133" t="str">
        <f>IF(AN109="","",INDEX('#建筑消耗和buff配置索引'!BH:BH,MATCH($F109,'#建筑消耗和buff配置索引'!$M:$M,0)))</f>
        <v/>
      </c>
      <c r="AR109" s="133" t="str">
        <f>IF(INDEX('#建筑消耗和buff配置索引'!BK:BK,MATCH($F109,'#建筑消耗和buff配置索引'!$M:$M,0))=0,"",INDEX('#建筑消耗和buff配置索引'!BK:BK,MATCH($F109,'#建筑消耗和buff配置索引'!$M:$M,0)))</f>
        <v/>
      </c>
      <c r="AS109" s="133" t="str">
        <f>IF(AR109="","",INDEX('#建筑消耗和buff配置索引'!BL:BL,MATCH($F109,'#建筑消耗和buff配置索引'!$M:$M,0)))</f>
        <v/>
      </c>
      <c r="AV109" s="133" t="str">
        <f>IF(INDEX('#建筑消耗和buff配置索引'!BO:BO,MATCH($F109,'#建筑消耗和buff配置索引'!$M:$M,0))=0,"",INDEX('#建筑消耗和buff配置索引'!BO:BO,MATCH($F109,'#建筑消耗和buff配置索引'!$M:$M,0)))</f>
        <v/>
      </c>
      <c r="AW109" s="133" t="str">
        <f>IF(AV109="","",INDEX('#建筑消耗和buff配置索引'!BP:BP,MATCH($F109,'#建筑消耗和buff配置索引'!$M:$M,0)))</f>
        <v/>
      </c>
      <c r="AZ109" s="133" t="str">
        <f>IF(INDEX('#建筑消耗和buff配置索引'!BS:BS,MATCH($F109,'#建筑消耗和buff配置索引'!$M:$M,0))=0,"",INDEX('#建筑消耗和buff配置索引'!BS:BS,MATCH($F109,'#建筑消耗和buff配置索引'!$M:$M,0)))</f>
        <v/>
      </c>
      <c r="BA109" s="133" t="str">
        <f>IF(AZ109="","",INDEX('#建筑消耗和buff配置索引'!BT:BT,MATCH($F109,'#建筑消耗和buff配置索引'!$M:$M,0)))</f>
        <v/>
      </c>
      <c r="BD109" s="133" t="str">
        <f>IF(INDEX('#建筑消耗和buff配置索引'!BW:BW,MATCH($F109,'#建筑消耗和buff配置索引'!$M:$M,0))=0,"",INDEX('#建筑消耗和buff配置索引'!BW:BW,MATCH($F109,'#建筑消耗和buff配置索引'!$M:$M,0)))</f>
        <v/>
      </c>
      <c r="BE109" s="133" t="str">
        <f>IF(BD109="","",INDEX('#建筑消耗和buff配置索引'!BX:BX,MATCH($F109,'#建筑消耗和buff配置索引'!$M:$M,0)))</f>
        <v/>
      </c>
      <c r="BI109" s="133">
        <v>7</v>
      </c>
      <c r="BO109" s="133">
        <v>4</v>
      </c>
      <c r="BP109" s="133" t="s">
        <v>1360</v>
      </c>
      <c r="BQ109" s="133">
        <v>10003601</v>
      </c>
      <c r="BR109" s="133">
        <v>300</v>
      </c>
    </row>
    <row r="110" spans="1:70" s="133" customFormat="1">
      <c r="A110" s="133">
        <v>2040017</v>
      </c>
      <c r="B110" s="133">
        <v>107</v>
      </c>
      <c r="C110" s="133">
        <v>204</v>
      </c>
      <c r="D110" s="133" t="s">
        <v>226</v>
      </c>
      <c r="E110" s="133">
        <v>17</v>
      </c>
      <c r="F110" s="133" t="str">
        <f t="shared" si="4"/>
        <v>伐木场17</v>
      </c>
      <c r="H110" s="146"/>
      <c r="I110" s="133">
        <v>2</v>
      </c>
      <c r="J110" s="150">
        <f>INDEX('#建筑消耗和buff配置索引'!AH:AH,MATCH($F110,'#建筑消耗和buff配置索引'!$M:$M,0))</f>
        <v>14400</v>
      </c>
      <c r="K110" s="150">
        <f>INDEX('#建筑消耗和buff配置索引'!AA:AA,MATCH($F110,'#建筑消耗和buff配置索引'!$M:$M,0))</f>
        <v>310000</v>
      </c>
      <c r="L110" s="150">
        <f>INDEX('#建筑消耗和buff配置索引'!AB:AB,MATCH($F110,'#建筑消耗和buff配置索引'!$M:$M,0))</f>
        <v>0</v>
      </c>
      <c r="M110" s="150">
        <f>INDEX('#建筑消耗和buff配置索引'!AC:AC,MATCH($F110,'#建筑消耗和buff配置索引'!$M:$M,0))</f>
        <v>310000</v>
      </c>
      <c r="N110" s="150">
        <f>INDEX('#建筑消耗和buff配置索引'!AD:AD,MATCH($F110,'#建筑消耗和buff配置索引'!$M:$M,0))</f>
        <v>310000</v>
      </c>
      <c r="O110" s="150" t="str">
        <f>IF(INDEX('#建筑消耗和buff配置索引'!T:T,MATCH($F110,'#建筑消耗和buff配置索引'!$M:$M,0))=0,"",INDEX('#建筑消耗和buff配置索引'!T:T,MATCH($F110,'#建筑消耗和buff配置索引'!$M:$M,0)))</f>
        <v/>
      </c>
      <c r="P110" s="133" t="str">
        <f>IF(INDEX('#建筑消耗和buff配置索引'!U:U,MATCH($F110,'#建筑消耗和buff配置索引'!$M:$M,0))=0,"",INDEX('#建筑消耗和buff配置索引'!U:U,MATCH($F110,'#建筑消耗和buff配置索引'!$M:$M,0)))</f>
        <v/>
      </c>
      <c r="Q110" s="133" t="str">
        <f>IF(INDEX('#建筑消耗和buff配置索引'!K:K,MATCH($F110,'#建筑消耗和buff配置索引'!$M:$M,0))=0,"",INDEX('#建筑消耗和buff配置索引'!K:K,MATCH($F110,'#建筑消耗和buff配置索引'!$M:$M,0)))</f>
        <v>201</v>
      </c>
      <c r="R110" s="133" t="str">
        <f>IF(INDEX('#建筑消耗和buff配置索引'!L:L,MATCH($F110,'#建筑消耗和buff配置索引'!$M:$M,0))=0,"",INDEX('#建筑消耗和buff配置索引'!L:L,MATCH($F110,'#建筑消耗和buff配置索引'!$M:$M,0)))</f>
        <v>17</v>
      </c>
      <c r="S110" s="133">
        <f>IF(INDEX('#建筑消耗和buff配置索引'!C:C,MATCH(F110,'#建筑消耗和buff配置索引'!M:M,0))=0,1,INDEX('#建筑消耗和buff配置索引'!C:C,MATCH(F110,'#建筑消耗和buff配置索引'!M:M,0)))</f>
        <v>1</v>
      </c>
      <c r="T110" s="133">
        <v>0</v>
      </c>
      <c r="U110" s="133">
        <v>0</v>
      </c>
      <c r="V110" s="133" t="str">
        <f>IF(E110=1,IF(INDEX('#建筑消耗和buff配置索引'!BY:BY,MATCH(D110,'#建筑消耗和buff配置索引'!A:A,0))=0,"",INDEX('#建筑消耗和buff配置索引'!BY:BY,MATCH(D110,'#建筑消耗和buff配置索引'!A:A,0))),"")</f>
        <v/>
      </c>
      <c r="W110" s="133" t="str">
        <f>IF(E110=1,IF(INDEX('#建筑消耗和buff配置索引'!BZ:BZ,MATCH(D110,'#建筑消耗和buff配置索引'!A:A,0))=0,"",INDEX('#建筑消耗和buff配置索引'!BZ:BZ,MATCH(D110,'#建筑消耗和buff配置索引'!A:A,0))),"")</f>
        <v/>
      </c>
      <c r="AA110" s="133">
        <f>INDEX('#建筑消耗和buff配置索引'!AO:AO,MATCH($F110,'#建筑消耗和buff配置索引'!$M:$M,0))</f>
        <v>7481</v>
      </c>
      <c r="AB110" s="133">
        <f>IF(INDEX('#建筑消耗和buff配置索引'!AR:AR,MATCH($F110,'#建筑消耗和buff配置索引'!$M:$M,0))=0,"",INDEX('#建筑消耗和buff配置索引'!AR:AR,MATCH($F110,'#建筑消耗和buff配置索引'!$M:$M,0)))</f>
        <v>1017</v>
      </c>
      <c r="AC110" s="133">
        <f>IF(AB110="","",INDEX('#建筑消耗和buff配置索引'!AS:AS,MATCH($F110,'#建筑消耗和buff配置索引'!$M:$M,0)))</f>
        <v>6900</v>
      </c>
      <c r="AF110" s="133" t="str">
        <f>IF(INDEX('#建筑消耗和buff配置索引'!AW:AW,MATCH($F110,'#建筑消耗和buff配置索引'!$M:$M,0))=0,"",INDEX('#建筑消耗和buff配置索引'!AW:AW,MATCH($F110,'#建筑消耗和buff配置索引'!$M:$M,0)))</f>
        <v/>
      </c>
      <c r="AG110" s="133" t="str">
        <f>IF(AF110="","",INDEX('#建筑消耗和buff配置索引'!AX:AX,MATCH($F110,'#建筑消耗和buff配置索引'!$M:$M,0)))</f>
        <v/>
      </c>
      <c r="AJ110" s="133" t="str">
        <f>IF(INDEX('#建筑消耗和buff配置索引'!BB:BB,MATCH($F110,'#建筑消耗和buff配置索引'!$M:$M,0))=0,"",INDEX('#建筑消耗和buff配置索引'!BB:BB,MATCH($F110,'#建筑消耗和buff配置索引'!$M:$M,0)))</f>
        <v/>
      </c>
      <c r="AK110" s="133" t="str">
        <f>IF(AJ110="","",INDEX('#建筑消耗和buff配置索引'!BC:BC,MATCH($F110,'#建筑消耗和buff配置索引'!$M:$M,0)))</f>
        <v/>
      </c>
      <c r="AN110" s="133" t="str">
        <f>IF(INDEX('#建筑消耗和buff配置索引'!BG:BG,MATCH($F110,'#建筑消耗和buff配置索引'!$M:$M,0))=0,"",INDEX('#建筑消耗和buff配置索引'!BG:BG,MATCH($F110,'#建筑消耗和buff配置索引'!$M:$M,0)))</f>
        <v/>
      </c>
      <c r="AO110" s="133" t="str">
        <f>IF(AN110="","",INDEX('#建筑消耗和buff配置索引'!BH:BH,MATCH($F110,'#建筑消耗和buff配置索引'!$M:$M,0)))</f>
        <v/>
      </c>
      <c r="AR110" s="133" t="str">
        <f>IF(INDEX('#建筑消耗和buff配置索引'!BK:BK,MATCH($F110,'#建筑消耗和buff配置索引'!$M:$M,0))=0,"",INDEX('#建筑消耗和buff配置索引'!BK:BK,MATCH($F110,'#建筑消耗和buff配置索引'!$M:$M,0)))</f>
        <v/>
      </c>
      <c r="AS110" s="133" t="str">
        <f>IF(AR110="","",INDEX('#建筑消耗和buff配置索引'!BL:BL,MATCH($F110,'#建筑消耗和buff配置索引'!$M:$M,0)))</f>
        <v/>
      </c>
      <c r="AV110" s="133" t="str">
        <f>IF(INDEX('#建筑消耗和buff配置索引'!BO:BO,MATCH($F110,'#建筑消耗和buff配置索引'!$M:$M,0))=0,"",INDEX('#建筑消耗和buff配置索引'!BO:BO,MATCH($F110,'#建筑消耗和buff配置索引'!$M:$M,0)))</f>
        <v/>
      </c>
      <c r="AW110" s="133" t="str">
        <f>IF(AV110="","",INDEX('#建筑消耗和buff配置索引'!BP:BP,MATCH($F110,'#建筑消耗和buff配置索引'!$M:$M,0)))</f>
        <v/>
      </c>
      <c r="AZ110" s="133" t="str">
        <f>IF(INDEX('#建筑消耗和buff配置索引'!BS:BS,MATCH($F110,'#建筑消耗和buff配置索引'!$M:$M,0))=0,"",INDEX('#建筑消耗和buff配置索引'!BS:BS,MATCH($F110,'#建筑消耗和buff配置索引'!$M:$M,0)))</f>
        <v/>
      </c>
      <c r="BA110" s="133" t="str">
        <f>IF(AZ110="","",INDEX('#建筑消耗和buff配置索引'!BT:BT,MATCH($F110,'#建筑消耗和buff配置索引'!$M:$M,0)))</f>
        <v/>
      </c>
      <c r="BD110" s="133" t="str">
        <f>IF(INDEX('#建筑消耗和buff配置索引'!BW:BW,MATCH($F110,'#建筑消耗和buff配置索引'!$M:$M,0))=0,"",INDEX('#建筑消耗和buff配置索引'!BW:BW,MATCH($F110,'#建筑消耗和buff配置索引'!$M:$M,0)))</f>
        <v/>
      </c>
      <c r="BE110" s="133" t="str">
        <f>IF(BD110="","",INDEX('#建筑消耗和buff配置索引'!BX:BX,MATCH($F110,'#建筑消耗和buff配置索引'!$M:$M,0)))</f>
        <v/>
      </c>
      <c r="BI110" s="133">
        <v>7</v>
      </c>
      <c r="BO110" s="133">
        <v>4</v>
      </c>
      <c r="BP110" s="133" t="s">
        <v>1360</v>
      </c>
      <c r="BQ110" s="133">
        <v>10003601</v>
      </c>
      <c r="BR110" s="133">
        <v>300</v>
      </c>
    </row>
    <row r="111" spans="1:70" s="133" customFormat="1">
      <c r="A111" s="133">
        <v>2040018</v>
      </c>
      <c r="B111" s="133">
        <v>108</v>
      </c>
      <c r="C111" s="133">
        <v>204</v>
      </c>
      <c r="D111" s="133" t="s">
        <v>226</v>
      </c>
      <c r="E111" s="133">
        <v>18</v>
      </c>
      <c r="F111" s="133" t="str">
        <f t="shared" si="4"/>
        <v>伐木场18</v>
      </c>
      <c r="H111" s="146"/>
      <c r="I111" s="133">
        <v>2</v>
      </c>
      <c r="J111" s="150">
        <f>INDEX('#建筑消耗和buff配置索引'!AH:AH,MATCH($F111,'#建筑消耗和buff配置索引'!$M:$M,0))</f>
        <v>18720</v>
      </c>
      <c r="K111" s="150">
        <f>INDEX('#建筑消耗和buff配置索引'!AA:AA,MATCH($F111,'#建筑消耗和buff配置索引'!$M:$M,0))</f>
        <v>400000</v>
      </c>
      <c r="L111" s="150">
        <f>INDEX('#建筑消耗和buff配置索引'!AB:AB,MATCH($F111,'#建筑消耗和buff配置索引'!$M:$M,0))</f>
        <v>0</v>
      </c>
      <c r="M111" s="150">
        <f>INDEX('#建筑消耗和buff配置索引'!AC:AC,MATCH($F111,'#建筑消耗和buff配置索引'!$M:$M,0))</f>
        <v>400000</v>
      </c>
      <c r="N111" s="150">
        <f>INDEX('#建筑消耗和buff配置索引'!AD:AD,MATCH($F111,'#建筑消耗和buff配置索引'!$M:$M,0))</f>
        <v>400000</v>
      </c>
      <c r="O111" s="150" t="str">
        <f>IF(INDEX('#建筑消耗和buff配置索引'!T:T,MATCH($F111,'#建筑消耗和buff配置索引'!$M:$M,0))=0,"",INDEX('#建筑消耗和buff配置索引'!T:T,MATCH($F111,'#建筑消耗和buff配置索引'!$M:$M,0)))</f>
        <v/>
      </c>
      <c r="P111" s="133" t="str">
        <f>IF(INDEX('#建筑消耗和buff配置索引'!U:U,MATCH($F111,'#建筑消耗和buff配置索引'!$M:$M,0))=0,"",INDEX('#建筑消耗和buff配置索引'!U:U,MATCH($F111,'#建筑消耗和buff配置索引'!$M:$M,0)))</f>
        <v/>
      </c>
      <c r="Q111" s="133" t="str">
        <f>IF(INDEX('#建筑消耗和buff配置索引'!K:K,MATCH($F111,'#建筑消耗和buff配置索引'!$M:$M,0))=0,"",INDEX('#建筑消耗和buff配置索引'!K:K,MATCH($F111,'#建筑消耗和buff配置索引'!$M:$M,0)))</f>
        <v>201</v>
      </c>
      <c r="R111" s="133" t="str">
        <f>IF(INDEX('#建筑消耗和buff配置索引'!L:L,MATCH($F111,'#建筑消耗和buff配置索引'!$M:$M,0))=0,"",INDEX('#建筑消耗和buff配置索引'!L:L,MATCH($F111,'#建筑消耗和buff配置索引'!$M:$M,0)))</f>
        <v>18</v>
      </c>
      <c r="S111" s="133">
        <f>IF(INDEX('#建筑消耗和buff配置索引'!C:C,MATCH(F111,'#建筑消耗和buff配置索引'!M:M,0))=0,1,INDEX('#建筑消耗和buff配置索引'!C:C,MATCH(F111,'#建筑消耗和buff配置索引'!M:M,0)))</f>
        <v>1</v>
      </c>
      <c r="T111" s="133">
        <v>0</v>
      </c>
      <c r="U111" s="133">
        <v>0</v>
      </c>
      <c r="V111" s="133" t="str">
        <f>IF(E111=1,IF(INDEX('#建筑消耗和buff配置索引'!BY:BY,MATCH(D111,'#建筑消耗和buff配置索引'!A:A,0))=0,"",INDEX('#建筑消耗和buff配置索引'!BY:BY,MATCH(D111,'#建筑消耗和buff配置索引'!A:A,0))),"")</f>
        <v/>
      </c>
      <c r="W111" s="133" t="str">
        <f>IF(E111=1,IF(INDEX('#建筑消耗和buff配置索引'!BZ:BZ,MATCH(D111,'#建筑消耗和buff配置索引'!A:A,0))=0,"",INDEX('#建筑消耗和buff配置索引'!BZ:BZ,MATCH(D111,'#建筑消耗和buff配置索引'!A:A,0))),"")</f>
        <v/>
      </c>
      <c r="AA111" s="133">
        <f>INDEX('#建筑消耗和buff配置索引'!AO:AO,MATCH($F111,'#建筑消耗和buff配置索引'!$M:$M,0))</f>
        <v>9877</v>
      </c>
      <c r="AB111" s="133">
        <f>IF(INDEX('#建筑消耗和buff配置索引'!AR:AR,MATCH($F111,'#建筑消耗和buff配置索引'!$M:$M,0))=0,"",INDEX('#建筑消耗和buff配置索引'!AR:AR,MATCH($F111,'#建筑消耗和buff配置索引'!$M:$M,0)))</f>
        <v>1017</v>
      </c>
      <c r="AC111" s="133">
        <f>IF(AB111="","",INDEX('#建筑消耗和buff配置索引'!AS:AS,MATCH($F111,'#建筑消耗和buff配置索引'!$M:$M,0)))</f>
        <v>7600</v>
      </c>
      <c r="AF111" s="133" t="str">
        <f>IF(INDEX('#建筑消耗和buff配置索引'!AW:AW,MATCH($F111,'#建筑消耗和buff配置索引'!$M:$M,0))=0,"",INDEX('#建筑消耗和buff配置索引'!AW:AW,MATCH($F111,'#建筑消耗和buff配置索引'!$M:$M,0)))</f>
        <v/>
      </c>
      <c r="AG111" s="133" t="str">
        <f>IF(AF111="","",INDEX('#建筑消耗和buff配置索引'!AX:AX,MATCH($F111,'#建筑消耗和buff配置索引'!$M:$M,0)))</f>
        <v/>
      </c>
      <c r="AJ111" s="133" t="str">
        <f>IF(INDEX('#建筑消耗和buff配置索引'!BB:BB,MATCH($F111,'#建筑消耗和buff配置索引'!$M:$M,0))=0,"",INDEX('#建筑消耗和buff配置索引'!BB:BB,MATCH($F111,'#建筑消耗和buff配置索引'!$M:$M,0)))</f>
        <v/>
      </c>
      <c r="AK111" s="133" t="str">
        <f>IF(AJ111="","",INDEX('#建筑消耗和buff配置索引'!BC:BC,MATCH($F111,'#建筑消耗和buff配置索引'!$M:$M,0)))</f>
        <v/>
      </c>
      <c r="AN111" s="133" t="str">
        <f>IF(INDEX('#建筑消耗和buff配置索引'!BG:BG,MATCH($F111,'#建筑消耗和buff配置索引'!$M:$M,0))=0,"",INDEX('#建筑消耗和buff配置索引'!BG:BG,MATCH($F111,'#建筑消耗和buff配置索引'!$M:$M,0)))</f>
        <v/>
      </c>
      <c r="AO111" s="133" t="str">
        <f>IF(AN111="","",INDEX('#建筑消耗和buff配置索引'!BH:BH,MATCH($F111,'#建筑消耗和buff配置索引'!$M:$M,0)))</f>
        <v/>
      </c>
      <c r="AR111" s="133" t="str">
        <f>IF(INDEX('#建筑消耗和buff配置索引'!BK:BK,MATCH($F111,'#建筑消耗和buff配置索引'!$M:$M,0))=0,"",INDEX('#建筑消耗和buff配置索引'!BK:BK,MATCH($F111,'#建筑消耗和buff配置索引'!$M:$M,0)))</f>
        <v/>
      </c>
      <c r="AS111" s="133" t="str">
        <f>IF(AR111="","",INDEX('#建筑消耗和buff配置索引'!BL:BL,MATCH($F111,'#建筑消耗和buff配置索引'!$M:$M,0)))</f>
        <v/>
      </c>
      <c r="AV111" s="133" t="str">
        <f>IF(INDEX('#建筑消耗和buff配置索引'!BO:BO,MATCH($F111,'#建筑消耗和buff配置索引'!$M:$M,0))=0,"",INDEX('#建筑消耗和buff配置索引'!BO:BO,MATCH($F111,'#建筑消耗和buff配置索引'!$M:$M,0)))</f>
        <v/>
      </c>
      <c r="AW111" s="133" t="str">
        <f>IF(AV111="","",INDEX('#建筑消耗和buff配置索引'!BP:BP,MATCH($F111,'#建筑消耗和buff配置索引'!$M:$M,0)))</f>
        <v/>
      </c>
      <c r="AZ111" s="133" t="str">
        <f>IF(INDEX('#建筑消耗和buff配置索引'!BS:BS,MATCH($F111,'#建筑消耗和buff配置索引'!$M:$M,0))=0,"",INDEX('#建筑消耗和buff配置索引'!BS:BS,MATCH($F111,'#建筑消耗和buff配置索引'!$M:$M,0)))</f>
        <v/>
      </c>
      <c r="BA111" s="133" t="str">
        <f>IF(AZ111="","",INDEX('#建筑消耗和buff配置索引'!BT:BT,MATCH($F111,'#建筑消耗和buff配置索引'!$M:$M,0)))</f>
        <v/>
      </c>
      <c r="BD111" s="133" t="str">
        <f>IF(INDEX('#建筑消耗和buff配置索引'!BW:BW,MATCH($F111,'#建筑消耗和buff配置索引'!$M:$M,0))=0,"",INDEX('#建筑消耗和buff配置索引'!BW:BW,MATCH($F111,'#建筑消耗和buff配置索引'!$M:$M,0)))</f>
        <v/>
      </c>
      <c r="BE111" s="133" t="str">
        <f>IF(BD111="","",INDEX('#建筑消耗和buff配置索引'!BX:BX,MATCH($F111,'#建筑消耗和buff配置索引'!$M:$M,0)))</f>
        <v/>
      </c>
      <c r="BI111" s="133">
        <v>7</v>
      </c>
      <c r="BO111" s="133">
        <v>4</v>
      </c>
      <c r="BP111" s="133" t="s">
        <v>1360</v>
      </c>
      <c r="BQ111" s="133">
        <v>10003601</v>
      </c>
      <c r="BR111" s="133">
        <v>300</v>
      </c>
    </row>
    <row r="112" spans="1:70" s="133" customFormat="1">
      <c r="A112" s="133">
        <v>2040019</v>
      </c>
      <c r="B112" s="133">
        <v>109</v>
      </c>
      <c r="C112" s="133">
        <v>204</v>
      </c>
      <c r="D112" s="133" t="s">
        <v>226</v>
      </c>
      <c r="E112" s="133">
        <v>19</v>
      </c>
      <c r="F112" s="133" t="str">
        <f t="shared" si="4"/>
        <v>伐木场19</v>
      </c>
      <c r="H112" s="146"/>
      <c r="I112" s="133">
        <v>2</v>
      </c>
      <c r="J112" s="150">
        <f>INDEX('#建筑消耗和buff配置索引'!AH:AH,MATCH($F112,'#建筑消耗和buff配置索引'!$M:$M,0))</f>
        <v>24480</v>
      </c>
      <c r="K112" s="150">
        <f>INDEX('#建筑消耗和buff配置索引'!AA:AA,MATCH($F112,'#建筑消耗和buff配置索引'!$M:$M,0))</f>
        <v>510000</v>
      </c>
      <c r="L112" s="150">
        <f>INDEX('#建筑消耗和buff配置索引'!AB:AB,MATCH($F112,'#建筑消耗和buff配置索引'!$M:$M,0))</f>
        <v>0</v>
      </c>
      <c r="M112" s="150">
        <f>INDEX('#建筑消耗和buff配置索引'!AC:AC,MATCH($F112,'#建筑消耗和buff配置索引'!$M:$M,0))</f>
        <v>510000</v>
      </c>
      <c r="N112" s="150">
        <f>INDEX('#建筑消耗和buff配置索引'!AD:AD,MATCH($F112,'#建筑消耗和buff配置索引'!$M:$M,0))</f>
        <v>510000</v>
      </c>
      <c r="O112" s="150" t="str">
        <f>IF(INDEX('#建筑消耗和buff配置索引'!T:T,MATCH($F112,'#建筑消耗和buff配置索引'!$M:$M,0))=0,"",INDEX('#建筑消耗和buff配置索引'!T:T,MATCH($F112,'#建筑消耗和buff配置索引'!$M:$M,0)))</f>
        <v/>
      </c>
      <c r="P112" s="133" t="str">
        <f>IF(INDEX('#建筑消耗和buff配置索引'!U:U,MATCH($F112,'#建筑消耗和buff配置索引'!$M:$M,0))=0,"",INDEX('#建筑消耗和buff配置索引'!U:U,MATCH($F112,'#建筑消耗和buff配置索引'!$M:$M,0)))</f>
        <v/>
      </c>
      <c r="Q112" s="133" t="str">
        <f>IF(INDEX('#建筑消耗和buff配置索引'!K:K,MATCH($F112,'#建筑消耗和buff配置索引'!$M:$M,0))=0,"",INDEX('#建筑消耗和buff配置索引'!K:K,MATCH($F112,'#建筑消耗和buff配置索引'!$M:$M,0)))</f>
        <v>201</v>
      </c>
      <c r="R112" s="133" t="str">
        <f>IF(INDEX('#建筑消耗和buff配置索引'!L:L,MATCH($F112,'#建筑消耗和buff配置索引'!$M:$M,0))=0,"",INDEX('#建筑消耗和buff配置索引'!L:L,MATCH($F112,'#建筑消耗和buff配置索引'!$M:$M,0)))</f>
        <v>19</v>
      </c>
      <c r="S112" s="133">
        <f>IF(INDEX('#建筑消耗和buff配置索引'!C:C,MATCH(F112,'#建筑消耗和buff配置索引'!M:M,0))=0,1,INDEX('#建筑消耗和buff配置索引'!C:C,MATCH(F112,'#建筑消耗和buff配置索引'!M:M,0)))</f>
        <v>1</v>
      </c>
      <c r="T112" s="133">
        <v>0</v>
      </c>
      <c r="U112" s="133">
        <v>0</v>
      </c>
      <c r="V112" s="133" t="str">
        <f>IF(E112=1,IF(INDEX('#建筑消耗和buff配置索引'!BY:BY,MATCH(D112,'#建筑消耗和buff配置索引'!A:A,0))=0,"",INDEX('#建筑消耗和buff配置索引'!BY:BY,MATCH(D112,'#建筑消耗和buff配置索引'!A:A,0))),"")</f>
        <v/>
      </c>
      <c r="W112" s="133" t="str">
        <f>IF(E112=1,IF(INDEX('#建筑消耗和buff配置索引'!BZ:BZ,MATCH(D112,'#建筑消耗和buff配置索引'!A:A,0))=0,"",INDEX('#建筑消耗和buff配置索引'!BZ:BZ,MATCH(D112,'#建筑消耗和buff配置索引'!A:A,0))),"")</f>
        <v/>
      </c>
      <c r="AA112" s="133">
        <f>INDEX('#建筑消耗和buff配置索引'!AO:AO,MATCH($F112,'#建筑消耗和buff配置索引'!$M:$M,0))</f>
        <v>12944</v>
      </c>
      <c r="AB112" s="133">
        <f>IF(INDEX('#建筑消耗和buff配置索引'!AR:AR,MATCH($F112,'#建筑消耗和buff配置索引'!$M:$M,0))=0,"",INDEX('#建筑消耗和buff配置索引'!AR:AR,MATCH($F112,'#建筑消耗和buff配置索引'!$M:$M,0)))</f>
        <v>1017</v>
      </c>
      <c r="AC112" s="133">
        <f>IF(AB112="","",INDEX('#建筑消耗和buff配置索引'!AS:AS,MATCH($F112,'#建筑消耗和buff配置索引'!$M:$M,0)))</f>
        <v>8300</v>
      </c>
      <c r="AF112" s="133" t="str">
        <f>IF(INDEX('#建筑消耗和buff配置索引'!AW:AW,MATCH($F112,'#建筑消耗和buff配置索引'!$M:$M,0))=0,"",INDEX('#建筑消耗和buff配置索引'!AW:AW,MATCH($F112,'#建筑消耗和buff配置索引'!$M:$M,0)))</f>
        <v/>
      </c>
      <c r="AG112" s="133" t="str">
        <f>IF(AF112="","",INDEX('#建筑消耗和buff配置索引'!AX:AX,MATCH($F112,'#建筑消耗和buff配置索引'!$M:$M,0)))</f>
        <v/>
      </c>
      <c r="AJ112" s="133" t="str">
        <f>IF(INDEX('#建筑消耗和buff配置索引'!BB:BB,MATCH($F112,'#建筑消耗和buff配置索引'!$M:$M,0))=0,"",INDEX('#建筑消耗和buff配置索引'!BB:BB,MATCH($F112,'#建筑消耗和buff配置索引'!$M:$M,0)))</f>
        <v/>
      </c>
      <c r="AK112" s="133" t="str">
        <f>IF(AJ112="","",INDEX('#建筑消耗和buff配置索引'!BC:BC,MATCH($F112,'#建筑消耗和buff配置索引'!$M:$M,0)))</f>
        <v/>
      </c>
      <c r="AN112" s="133" t="str">
        <f>IF(INDEX('#建筑消耗和buff配置索引'!BG:BG,MATCH($F112,'#建筑消耗和buff配置索引'!$M:$M,0))=0,"",INDEX('#建筑消耗和buff配置索引'!BG:BG,MATCH($F112,'#建筑消耗和buff配置索引'!$M:$M,0)))</f>
        <v/>
      </c>
      <c r="AO112" s="133" t="str">
        <f>IF(AN112="","",INDEX('#建筑消耗和buff配置索引'!BH:BH,MATCH($F112,'#建筑消耗和buff配置索引'!$M:$M,0)))</f>
        <v/>
      </c>
      <c r="AR112" s="133" t="str">
        <f>IF(INDEX('#建筑消耗和buff配置索引'!BK:BK,MATCH($F112,'#建筑消耗和buff配置索引'!$M:$M,0))=0,"",INDEX('#建筑消耗和buff配置索引'!BK:BK,MATCH($F112,'#建筑消耗和buff配置索引'!$M:$M,0)))</f>
        <v/>
      </c>
      <c r="AS112" s="133" t="str">
        <f>IF(AR112="","",INDEX('#建筑消耗和buff配置索引'!BL:BL,MATCH($F112,'#建筑消耗和buff配置索引'!$M:$M,0)))</f>
        <v/>
      </c>
      <c r="AV112" s="133" t="str">
        <f>IF(INDEX('#建筑消耗和buff配置索引'!BO:BO,MATCH($F112,'#建筑消耗和buff配置索引'!$M:$M,0))=0,"",INDEX('#建筑消耗和buff配置索引'!BO:BO,MATCH($F112,'#建筑消耗和buff配置索引'!$M:$M,0)))</f>
        <v/>
      </c>
      <c r="AW112" s="133" t="str">
        <f>IF(AV112="","",INDEX('#建筑消耗和buff配置索引'!BP:BP,MATCH($F112,'#建筑消耗和buff配置索引'!$M:$M,0)))</f>
        <v/>
      </c>
      <c r="AZ112" s="133" t="str">
        <f>IF(INDEX('#建筑消耗和buff配置索引'!BS:BS,MATCH($F112,'#建筑消耗和buff配置索引'!$M:$M,0))=0,"",INDEX('#建筑消耗和buff配置索引'!BS:BS,MATCH($F112,'#建筑消耗和buff配置索引'!$M:$M,0)))</f>
        <v/>
      </c>
      <c r="BA112" s="133" t="str">
        <f>IF(AZ112="","",INDEX('#建筑消耗和buff配置索引'!BT:BT,MATCH($F112,'#建筑消耗和buff配置索引'!$M:$M,0)))</f>
        <v/>
      </c>
      <c r="BD112" s="133" t="str">
        <f>IF(INDEX('#建筑消耗和buff配置索引'!BW:BW,MATCH($F112,'#建筑消耗和buff配置索引'!$M:$M,0))=0,"",INDEX('#建筑消耗和buff配置索引'!BW:BW,MATCH($F112,'#建筑消耗和buff配置索引'!$M:$M,0)))</f>
        <v/>
      </c>
      <c r="BE112" s="133" t="str">
        <f>IF(BD112="","",INDEX('#建筑消耗和buff配置索引'!BX:BX,MATCH($F112,'#建筑消耗和buff配置索引'!$M:$M,0)))</f>
        <v/>
      </c>
      <c r="BI112" s="133">
        <v>7</v>
      </c>
      <c r="BO112" s="133">
        <v>4</v>
      </c>
      <c r="BP112" s="133" t="s">
        <v>1360</v>
      </c>
      <c r="BQ112" s="133">
        <v>10003601</v>
      </c>
      <c r="BR112" s="133">
        <v>300</v>
      </c>
    </row>
    <row r="113" spans="1:70" s="133" customFormat="1">
      <c r="A113" s="133">
        <v>2040020</v>
      </c>
      <c r="B113" s="133">
        <v>110</v>
      </c>
      <c r="C113" s="133">
        <v>204</v>
      </c>
      <c r="D113" s="133" t="s">
        <v>226</v>
      </c>
      <c r="E113" s="133">
        <v>20</v>
      </c>
      <c r="F113" s="133" t="str">
        <f t="shared" si="4"/>
        <v>伐木场20</v>
      </c>
      <c r="H113" s="146"/>
      <c r="I113" s="133">
        <v>3</v>
      </c>
      <c r="J113" s="150">
        <f>INDEX('#建筑消耗和buff配置索引'!AH:AH,MATCH($F113,'#建筑消耗和buff配置索引'!$M:$M,0))</f>
        <v>34560</v>
      </c>
      <c r="K113" s="150">
        <f>INDEX('#建筑消耗和buff配置索引'!AA:AA,MATCH($F113,'#建筑消耗和buff配置索引'!$M:$M,0))</f>
        <v>650000</v>
      </c>
      <c r="L113" s="150">
        <f>INDEX('#建筑消耗和buff配置索引'!AB:AB,MATCH($F113,'#建筑消耗和buff配置索引'!$M:$M,0))</f>
        <v>0</v>
      </c>
      <c r="M113" s="150">
        <f>INDEX('#建筑消耗和buff配置索引'!AC:AC,MATCH($F113,'#建筑消耗和buff配置索引'!$M:$M,0))</f>
        <v>650000</v>
      </c>
      <c r="N113" s="150">
        <f>INDEX('#建筑消耗和buff配置索引'!AD:AD,MATCH($F113,'#建筑消耗和buff配置索引'!$M:$M,0))</f>
        <v>650000</v>
      </c>
      <c r="O113" s="150" t="str">
        <f>IF(INDEX('#建筑消耗和buff配置索引'!T:T,MATCH($F113,'#建筑消耗和buff配置索引'!$M:$M,0))=0,"",INDEX('#建筑消耗和buff配置索引'!T:T,MATCH($F113,'#建筑消耗和buff配置索引'!$M:$M,0)))</f>
        <v/>
      </c>
      <c r="P113" s="133" t="str">
        <f>IF(INDEX('#建筑消耗和buff配置索引'!U:U,MATCH($F113,'#建筑消耗和buff配置索引'!$M:$M,0))=0,"",INDEX('#建筑消耗和buff配置索引'!U:U,MATCH($F113,'#建筑消耗和buff配置索引'!$M:$M,0)))</f>
        <v/>
      </c>
      <c r="Q113" s="133" t="str">
        <f>IF(INDEX('#建筑消耗和buff配置索引'!K:K,MATCH($F113,'#建筑消耗和buff配置索引'!$M:$M,0))=0,"",INDEX('#建筑消耗和buff配置索引'!K:K,MATCH($F113,'#建筑消耗和buff配置索引'!$M:$M,0)))</f>
        <v>201</v>
      </c>
      <c r="R113" s="133" t="str">
        <f>IF(INDEX('#建筑消耗和buff配置索引'!L:L,MATCH($F113,'#建筑消耗和buff配置索引'!$M:$M,0))=0,"",INDEX('#建筑消耗和buff配置索引'!L:L,MATCH($F113,'#建筑消耗和buff配置索引'!$M:$M,0)))</f>
        <v>20</v>
      </c>
      <c r="S113" s="133">
        <f>IF(INDEX('#建筑消耗和buff配置索引'!C:C,MATCH(F113,'#建筑消耗和buff配置索引'!M:M,0))=0,1,INDEX('#建筑消耗和buff配置索引'!C:C,MATCH(F113,'#建筑消耗和buff配置索引'!M:M,0)))</f>
        <v>1</v>
      </c>
      <c r="T113" s="133">
        <v>0</v>
      </c>
      <c r="U113" s="133">
        <v>0</v>
      </c>
      <c r="V113" s="133" t="str">
        <f>IF(E113=1,IF(INDEX('#建筑消耗和buff配置索引'!BY:BY,MATCH(D113,'#建筑消耗和buff配置索引'!A:A,0))=0,"",INDEX('#建筑消耗和buff配置索引'!BY:BY,MATCH(D113,'#建筑消耗和buff配置索引'!A:A,0))),"")</f>
        <v/>
      </c>
      <c r="W113" s="133" t="str">
        <f>IF(E113=1,IF(INDEX('#建筑消耗和buff配置索引'!BZ:BZ,MATCH(D113,'#建筑消耗和buff配置索引'!A:A,0))=0,"",INDEX('#建筑消耗和buff配置索引'!BZ:BZ,MATCH(D113,'#建筑消耗和buff配置索引'!A:A,0))),"")</f>
        <v/>
      </c>
      <c r="AA113" s="133">
        <f>INDEX('#建筑消耗和buff配置索引'!AO:AO,MATCH($F113,'#建筑消耗和buff配置索引'!$M:$M,0))</f>
        <v>16870</v>
      </c>
      <c r="AB113" s="133">
        <f>IF(INDEX('#建筑消耗和buff配置索引'!AR:AR,MATCH($F113,'#建筑消耗和buff配置索引'!$M:$M,0))=0,"",INDEX('#建筑消耗和buff配置索引'!AR:AR,MATCH($F113,'#建筑消耗和buff配置索引'!$M:$M,0)))</f>
        <v>1017</v>
      </c>
      <c r="AC113" s="133">
        <f>IF(AB113="","",INDEX('#建筑消耗和buff配置索引'!AS:AS,MATCH($F113,'#建筑消耗和buff配置索引'!$M:$M,0)))</f>
        <v>9000</v>
      </c>
      <c r="AF113" s="133" t="str">
        <f>IF(INDEX('#建筑消耗和buff配置索引'!AW:AW,MATCH($F113,'#建筑消耗和buff配置索引'!$M:$M,0))=0,"",INDEX('#建筑消耗和buff配置索引'!AW:AW,MATCH($F113,'#建筑消耗和buff配置索引'!$M:$M,0)))</f>
        <v/>
      </c>
      <c r="AG113" s="133" t="str">
        <f>IF(AF113="","",INDEX('#建筑消耗和buff配置索引'!AX:AX,MATCH($F113,'#建筑消耗和buff配置索引'!$M:$M,0)))</f>
        <v/>
      </c>
      <c r="AJ113" s="133" t="str">
        <f>IF(INDEX('#建筑消耗和buff配置索引'!BB:BB,MATCH($F113,'#建筑消耗和buff配置索引'!$M:$M,0))=0,"",INDEX('#建筑消耗和buff配置索引'!BB:BB,MATCH($F113,'#建筑消耗和buff配置索引'!$M:$M,0)))</f>
        <v/>
      </c>
      <c r="AK113" s="133" t="str">
        <f>IF(AJ113="","",INDEX('#建筑消耗和buff配置索引'!BC:BC,MATCH($F113,'#建筑消耗和buff配置索引'!$M:$M,0)))</f>
        <v/>
      </c>
      <c r="AN113" s="133" t="str">
        <f>IF(INDEX('#建筑消耗和buff配置索引'!BG:BG,MATCH($F113,'#建筑消耗和buff配置索引'!$M:$M,0))=0,"",INDEX('#建筑消耗和buff配置索引'!BG:BG,MATCH($F113,'#建筑消耗和buff配置索引'!$M:$M,0)))</f>
        <v/>
      </c>
      <c r="AO113" s="133" t="str">
        <f>IF(AN113="","",INDEX('#建筑消耗和buff配置索引'!BH:BH,MATCH($F113,'#建筑消耗和buff配置索引'!$M:$M,0)))</f>
        <v/>
      </c>
      <c r="AR113" s="133" t="str">
        <f>IF(INDEX('#建筑消耗和buff配置索引'!BK:BK,MATCH($F113,'#建筑消耗和buff配置索引'!$M:$M,0))=0,"",INDEX('#建筑消耗和buff配置索引'!BK:BK,MATCH($F113,'#建筑消耗和buff配置索引'!$M:$M,0)))</f>
        <v/>
      </c>
      <c r="AS113" s="133" t="str">
        <f>IF(AR113="","",INDEX('#建筑消耗和buff配置索引'!BL:BL,MATCH($F113,'#建筑消耗和buff配置索引'!$M:$M,0)))</f>
        <v/>
      </c>
      <c r="AV113" s="133" t="str">
        <f>IF(INDEX('#建筑消耗和buff配置索引'!BO:BO,MATCH($F113,'#建筑消耗和buff配置索引'!$M:$M,0))=0,"",INDEX('#建筑消耗和buff配置索引'!BO:BO,MATCH($F113,'#建筑消耗和buff配置索引'!$M:$M,0)))</f>
        <v/>
      </c>
      <c r="AW113" s="133" t="str">
        <f>IF(AV113="","",INDEX('#建筑消耗和buff配置索引'!BP:BP,MATCH($F113,'#建筑消耗和buff配置索引'!$M:$M,0)))</f>
        <v/>
      </c>
      <c r="AZ113" s="133" t="str">
        <f>IF(INDEX('#建筑消耗和buff配置索引'!BS:BS,MATCH($F113,'#建筑消耗和buff配置索引'!$M:$M,0))=0,"",INDEX('#建筑消耗和buff配置索引'!BS:BS,MATCH($F113,'#建筑消耗和buff配置索引'!$M:$M,0)))</f>
        <v/>
      </c>
      <c r="BA113" s="133" t="str">
        <f>IF(AZ113="","",INDEX('#建筑消耗和buff配置索引'!BT:BT,MATCH($F113,'#建筑消耗和buff配置索引'!$M:$M,0)))</f>
        <v/>
      </c>
      <c r="BD113" s="133" t="str">
        <f>IF(INDEX('#建筑消耗和buff配置索引'!BW:BW,MATCH($F113,'#建筑消耗和buff配置索引'!$M:$M,0))=0,"",INDEX('#建筑消耗和buff配置索引'!BW:BW,MATCH($F113,'#建筑消耗和buff配置索引'!$M:$M,0)))</f>
        <v/>
      </c>
      <c r="BE113" s="133" t="str">
        <f>IF(BD113="","",INDEX('#建筑消耗和buff配置索引'!BX:BX,MATCH($F113,'#建筑消耗和buff配置索引'!$M:$M,0)))</f>
        <v/>
      </c>
      <c r="BI113" s="133">
        <v>7</v>
      </c>
      <c r="BO113" s="133">
        <v>5</v>
      </c>
      <c r="BP113" s="133" t="s">
        <v>1360</v>
      </c>
      <c r="BQ113" s="133">
        <v>10003601</v>
      </c>
      <c r="BR113" s="133">
        <v>300</v>
      </c>
    </row>
    <row r="114" spans="1:70" s="133" customFormat="1">
      <c r="A114" s="133">
        <v>2040021</v>
      </c>
      <c r="B114" s="133">
        <v>111</v>
      </c>
      <c r="C114" s="133">
        <v>204</v>
      </c>
      <c r="D114" s="133" t="s">
        <v>226</v>
      </c>
      <c r="E114" s="133">
        <v>21</v>
      </c>
      <c r="F114" s="133" t="str">
        <f t="shared" si="4"/>
        <v>伐木场21</v>
      </c>
      <c r="H114" s="146"/>
      <c r="I114" s="133">
        <v>3</v>
      </c>
      <c r="J114" s="150">
        <f>INDEX('#建筑消耗和buff配置索引'!AH:AH,MATCH($F114,'#建筑消耗和buff配置索引'!$M:$M,0))</f>
        <v>46080</v>
      </c>
      <c r="K114" s="150">
        <f>INDEX('#建筑消耗和buff配置索引'!AA:AA,MATCH($F114,'#建筑消耗和buff配置索引'!$M:$M,0))</f>
        <v>840000</v>
      </c>
      <c r="L114" s="150">
        <f>INDEX('#建筑消耗和buff配置索引'!AB:AB,MATCH($F114,'#建筑消耗和buff配置索引'!$M:$M,0))</f>
        <v>0</v>
      </c>
      <c r="M114" s="150">
        <f>INDEX('#建筑消耗和buff配置索引'!AC:AC,MATCH($F114,'#建筑消耗和buff配置索引'!$M:$M,0))</f>
        <v>840000</v>
      </c>
      <c r="N114" s="150">
        <f>INDEX('#建筑消耗和buff配置索引'!AD:AD,MATCH($F114,'#建筑消耗和buff配置索引'!$M:$M,0))</f>
        <v>840000</v>
      </c>
      <c r="O114" s="150" t="str">
        <f>IF(INDEX('#建筑消耗和buff配置索引'!T:T,MATCH($F114,'#建筑消耗和buff配置索引'!$M:$M,0))=0,"",INDEX('#建筑消耗和buff配置索引'!T:T,MATCH($F114,'#建筑消耗和buff配置索引'!$M:$M,0)))</f>
        <v/>
      </c>
      <c r="P114" s="133" t="str">
        <f>IF(INDEX('#建筑消耗和buff配置索引'!U:U,MATCH($F114,'#建筑消耗和buff配置索引'!$M:$M,0))=0,"",INDEX('#建筑消耗和buff配置索引'!U:U,MATCH($F114,'#建筑消耗和buff配置索引'!$M:$M,0)))</f>
        <v/>
      </c>
      <c r="Q114" s="133" t="str">
        <f>IF(INDEX('#建筑消耗和buff配置索引'!K:K,MATCH($F114,'#建筑消耗和buff配置索引'!$M:$M,0))=0,"",INDEX('#建筑消耗和buff配置索引'!K:K,MATCH($F114,'#建筑消耗和buff配置索引'!$M:$M,0)))</f>
        <v>201</v>
      </c>
      <c r="R114" s="133" t="str">
        <f>IF(INDEX('#建筑消耗和buff配置索引'!L:L,MATCH($F114,'#建筑消耗和buff配置索引'!$M:$M,0))=0,"",INDEX('#建筑消耗和buff配置索引'!L:L,MATCH($F114,'#建筑消耗和buff配置索引'!$M:$M,0)))</f>
        <v>21</v>
      </c>
      <c r="S114" s="133">
        <f>IF(INDEX('#建筑消耗和buff配置索引'!C:C,MATCH(F114,'#建筑消耗和buff配置索引'!M:M,0))=0,1,INDEX('#建筑消耗和buff配置索引'!C:C,MATCH(F114,'#建筑消耗和buff配置索引'!M:M,0)))</f>
        <v>1</v>
      </c>
      <c r="T114" s="133">
        <v>0</v>
      </c>
      <c r="U114" s="133">
        <v>0</v>
      </c>
      <c r="V114" s="133" t="str">
        <f>IF(E114=1,IF(INDEX('#建筑消耗和buff配置索引'!BY:BY,MATCH(D114,'#建筑消耗和buff配置索引'!A:A,0))=0,"",INDEX('#建筑消耗和buff配置索引'!BY:BY,MATCH(D114,'#建筑消耗和buff配置索引'!A:A,0))),"")</f>
        <v/>
      </c>
      <c r="W114" s="133" t="str">
        <f>IF(E114=1,IF(INDEX('#建筑消耗和buff配置索引'!BZ:BZ,MATCH(D114,'#建筑消耗和buff配置索引'!A:A,0))=0,"",INDEX('#建筑消耗和buff配置索引'!BZ:BZ,MATCH(D114,'#建筑消耗和buff配置索引'!A:A,0))),"")</f>
        <v/>
      </c>
      <c r="AA114" s="133">
        <f>INDEX('#建筑消耗和buff配置索引'!AO:AO,MATCH($F114,'#建筑消耗和buff配置索引'!$M:$M,0))</f>
        <v>21895</v>
      </c>
      <c r="AB114" s="133">
        <f>IF(INDEX('#建筑消耗和buff配置索引'!AR:AR,MATCH($F114,'#建筑消耗和buff配置索引'!$M:$M,0))=0,"",INDEX('#建筑消耗和buff配置索引'!AR:AR,MATCH($F114,'#建筑消耗和buff配置索引'!$M:$M,0)))</f>
        <v>1017</v>
      </c>
      <c r="AC114" s="133">
        <f>IF(AB114="","",INDEX('#建筑消耗和buff配置索引'!AS:AS,MATCH($F114,'#建筑消耗和buff配置索引'!$M:$M,0)))</f>
        <v>9800</v>
      </c>
      <c r="AF114" s="133" t="str">
        <f>IF(INDEX('#建筑消耗和buff配置索引'!AW:AW,MATCH($F114,'#建筑消耗和buff配置索引'!$M:$M,0))=0,"",INDEX('#建筑消耗和buff配置索引'!AW:AW,MATCH($F114,'#建筑消耗和buff配置索引'!$M:$M,0)))</f>
        <v/>
      </c>
      <c r="AG114" s="133" t="str">
        <f>IF(AF114="","",INDEX('#建筑消耗和buff配置索引'!AX:AX,MATCH($F114,'#建筑消耗和buff配置索引'!$M:$M,0)))</f>
        <v/>
      </c>
      <c r="AJ114" s="133" t="str">
        <f>IF(INDEX('#建筑消耗和buff配置索引'!BB:BB,MATCH($F114,'#建筑消耗和buff配置索引'!$M:$M,0))=0,"",INDEX('#建筑消耗和buff配置索引'!BB:BB,MATCH($F114,'#建筑消耗和buff配置索引'!$M:$M,0)))</f>
        <v/>
      </c>
      <c r="AK114" s="133" t="str">
        <f>IF(AJ114="","",INDEX('#建筑消耗和buff配置索引'!BC:BC,MATCH($F114,'#建筑消耗和buff配置索引'!$M:$M,0)))</f>
        <v/>
      </c>
      <c r="AN114" s="133" t="str">
        <f>IF(INDEX('#建筑消耗和buff配置索引'!BG:BG,MATCH($F114,'#建筑消耗和buff配置索引'!$M:$M,0))=0,"",INDEX('#建筑消耗和buff配置索引'!BG:BG,MATCH($F114,'#建筑消耗和buff配置索引'!$M:$M,0)))</f>
        <v/>
      </c>
      <c r="AO114" s="133" t="str">
        <f>IF(AN114="","",INDEX('#建筑消耗和buff配置索引'!BH:BH,MATCH($F114,'#建筑消耗和buff配置索引'!$M:$M,0)))</f>
        <v/>
      </c>
      <c r="AR114" s="133" t="str">
        <f>IF(INDEX('#建筑消耗和buff配置索引'!BK:BK,MATCH($F114,'#建筑消耗和buff配置索引'!$M:$M,0))=0,"",INDEX('#建筑消耗和buff配置索引'!BK:BK,MATCH($F114,'#建筑消耗和buff配置索引'!$M:$M,0)))</f>
        <v/>
      </c>
      <c r="AS114" s="133" t="str">
        <f>IF(AR114="","",INDEX('#建筑消耗和buff配置索引'!BL:BL,MATCH($F114,'#建筑消耗和buff配置索引'!$M:$M,0)))</f>
        <v/>
      </c>
      <c r="AV114" s="133" t="str">
        <f>IF(INDEX('#建筑消耗和buff配置索引'!BO:BO,MATCH($F114,'#建筑消耗和buff配置索引'!$M:$M,0))=0,"",INDEX('#建筑消耗和buff配置索引'!BO:BO,MATCH($F114,'#建筑消耗和buff配置索引'!$M:$M,0)))</f>
        <v/>
      </c>
      <c r="AW114" s="133" t="str">
        <f>IF(AV114="","",INDEX('#建筑消耗和buff配置索引'!BP:BP,MATCH($F114,'#建筑消耗和buff配置索引'!$M:$M,0)))</f>
        <v/>
      </c>
      <c r="AZ114" s="133" t="str">
        <f>IF(INDEX('#建筑消耗和buff配置索引'!BS:BS,MATCH($F114,'#建筑消耗和buff配置索引'!$M:$M,0))=0,"",INDEX('#建筑消耗和buff配置索引'!BS:BS,MATCH($F114,'#建筑消耗和buff配置索引'!$M:$M,0)))</f>
        <v/>
      </c>
      <c r="BA114" s="133" t="str">
        <f>IF(AZ114="","",INDEX('#建筑消耗和buff配置索引'!BT:BT,MATCH($F114,'#建筑消耗和buff配置索引'!$M:$M,0)))</f>
        <v/>
      </c>
      <c r="BD114" s="133" t="str">
        <f>IF(INDEX('#建筑消耗和buff配置索引'!BW:BW,MATCH($F114,'#建筑消耗和buff配置索引'!$M:$M,0))=0,"",INDEX('#建筑消耗和buff配置索引'!BW:BW,MATCH($F114,'#建筑消耗和buff配置索引'!$M:$M,0)))</f>
        <v/>
      </c>
      <c r="BE114" s="133" t="str">
        <f>IF(BD114="","",INDEX('#建筑消耗和buff配置索引'!BX:BX,MATCH($F114,'#建筑消耗和buff配置索引'!$M:$M,0)))</f>
        <v/>
      </c>
      <c r="BI114" s="133">
        <v>7</v>
      </c>
      <c r="BO114" s="133">
        <v>5</v>
      </c>
      <c r="BP114" s="133" t="s">
        <v>1360</v>
      </c>
      <c r="BQ114" s="133">
        <v>10003601</v>
      </c>
      <c r="BR114" s="133">
        <v>300</v>
      </c>
    </row>
    <row r="115" spans="1:70" s="133" customFormat="1">
      <c r="A115" s="133">
        <v>2040022</v>
      </c>
      <c r="B115" s="133">
        <v>112</v>
      </c>
      <c r="C115" s="133">
        <v>204</v>
      </c>
      <c r="D115" s="133" t="s">
        <v>226</v>
      </c>
      <c r="E115" s="133">
        <v>22</v>
      </c>
      <c r="F115" s="133" t="str">
        <f t="shared" si="4"/>
        <v>伐木场22</v>
      </c>
      <c r="H115" s="146"/>
      <c r="I115" s="133">
        <v>3</v>
      </c>
      <c r="J115" s="150">
        <f>INDEX('#建筑消耗和buff配置索引'!AH:AH,MATCH($F115,'#建筑消耗和buff配置索引'!$M:$M,0))</f>
        <v>60480</v>
      </c>
      <c r="K115" s="150">
        <f>INDEX('#建筑消耗和buff配置索引'!AA:AA,MATCH($F115,'#建筑消耗和buff配置索引'!$M:$M,0))</f>
        <v>1100000</v>
      </c>
      <c r="L115" s="150">
        <f>INDEX('#建筑消耗和buff配置索引'!AB:AB,MATCH($F115,'#建筑消耗和buff配置索引'!$M:$M,0))</f>
        <v>0</v>
      </c>
      <c r="M115" s="150">
        <f>INDEX('#建筑消耗和buff配置索引'!AC:AC,MATCH($F115,'#建筑消耗和buff配置索引'!$M:$M,0))</f>
        <v>1100000</v>
      </c>
      <c r="N115" s="150">
        <f>INDEX('#建筑消耗和buff配置索引'!AD:AD,MATCH($F115,'#建筑消耗和buff配置索引'!$M:$M,0))</f>
        <v>1100000</v>
      </c>
      <c r="O115" s="150" t="str">
        <f>IF(INDEX('#建筑消耗和buff配置索引'!T:T,MATCH($F115,'#建筑消耗和buff配置索引'!$M:$M,0))=0,"",INDEX('#建筑消耗和buff配置索引'!T:T,MATCH($F115,'#建筑消耗和buff配置索引'!$M:$M,0)))</f>
        <v/>
      </c>
      <c r="P115" s="133" t="str">
        <f>IF(INDEX('#建筑消耗和buff配置索引'!U:U,MATCH($F115,'#建筑消耗和buff配置索引'!$M:$M,0))=0,"",INDEX('#建筑消耗和buff配置索引'!U:U,MATCH($F115,'#建筑消耗和buff配置索引'!$M:$M,0)))</f>
        <v/>
      </c>
      <c r="Q115" s="133" t="str">
        <f>IF(INDEX('#建筑消耗和buff配置索引'!K:K,MATCH($F115,'#建筑消耗和buff配置索引'!$M:$M,0))=0,"",INDEX('#建筑消耗和buff配置索引'!K:K,MATCH($F115,'#建筑消耗和buff配置索引'!$M:$M,0)))</f>
        <v>201</v>
      </c>
      <c r="R115" s="133" t="str">
        <f>IF(INDEX('#建筑消耗和buff配置索引'!L:L,MATCH($F115,'#建筑消耗和buff配置索引'!$M:$M,0))=0,"",INDEX('#建筑消耗和buff配置索引'!L:L,MATCH($F115,'#建筑消耗和buff配置索引'!$M:$M,0)))</f>
        <v>22</v>
      </c>
      <c r="S115" s="133">
        <f>IF(INDEX('#建筑消耗和buff配置索引'!C:C,MATCH(F115,'#建筑消耗和buff配置索引'!M:M,0))=0,1,INDEX('#建筑消耗和buff配置索引'!C:C,MATCH(F115,'#建筑消耗和buff配置索引'!M:M,0)))</f>
        <v>1</v>
      </c>
      <c r="T115" s="133">
        <v>0</v>
      </c>
      <c r="U115" s="133">
        <v>0</v>
      </c>
      <c r="V115" s="133" t="str">
        <f>IF(E115=1,IF(INDEX('#建筑消耗和buff配置索引'!BY:BY,MATCH(D115,'#建筑消耗和buff配置索引'!A:A,0))=0,"",INDEX('#建筑消耗和buff配置索引'!BY:BY,MATCH(D115,'#建筑消耗和buff配置索引'!A:A,0))),"")</f>
        <v/>
      </c>
      <c r="W115" s="133" t="str">
        <f>IF(E115=1,IF(INDEX('#建筑消耗和buff配置索引'!BZ:BZ,MATCH(D115,'#建筑消耗和buff配置索引'!A:A,0))=0,"",INDEX('#建筑消耗和buff配置索引'!BZ:BZ,MATCH(D115,'#建筑消耗和buff配置索引'!A:A,0))),"")</f>
        <v/>
      </c>
      <c r="AA115" s="133">
        <f>INDEX('#建筑消耗和buff配置索引'!AO:AO,MATCH($F115,'#建筑消耗和buff配置索引'!$M:$M,0))</f>
        <v>28328</v>
      </c>
      <c r="AB115" s="133">
        <f>IF(INDEX('#建筑消耗和buff配置索引'!AR:AR,MATCH($F115,'#建筑消耗和buff配置索引'!$M:$M,0))=0,"",INDEX('#建筑消耗和buff配置索引'!AR:AR,MATCH($F115,'#建筑消耗和buff配置索引'!$M:$M,0)))</f>
        <v>1017</v>
      </c>
      <c r="AC115" s="133">
        <f>IF(AB115="","",INDEX('#建筑消耗和buff配置索引'!AS:AS,MATCH($F115,'#建筑消耗和buff配置索引'!$M:$M,0)))</f>
        <v>10600</v>
      </c>
      <c r="AF115" s="133" t="str">
        <f>IF(INDEX('#建筑消耗和buff配置索引'!AW:AW,MATCH($F115,'#建筑消耗和buff配置索引'!$M:$M,0))=0,"",INDEX('#建筑消耗和buff配置索引'!AW:AW,MATCH($F115,'#建筑消耗和buff配置索引'!$M:$M,0)))</f>
        <v/>
      </c>
      <c r="AG115" s="133" t="str">
        <f>IF(AF115="","",INDEX('#建筑消耗和buff配置索引'!AX:AX,MATCH($F115,'#建筑消耗和buff配置索引'!$M:$M,0)))</f>
        <v/>
      </c>
      <c r="AJ115" s="133" t="str">
        <f>IF(INDEX('#建筑消耗和buff配置索引'!BB:BB,MATCH($F115,'#建筑消耗和buff配置索引'!$M:$M,0))=0,"",INDEX('#建筑消耗和buff配置索引'!BB:BB,MATCH($F115,'#建筑消耗和buff配置索引'!$M:$M,0)))</f>
        <v/>
      </c>
      <c r="AK115" s="133" t="str">
        <f>IF(AJ115="","",INDEX('#建筑消耗和buff配置索引'!BC:BC,MATCH($F115,'#建筑消耗和buff配置索引'!$M:$M,0)))</f>
        <v/>
      </c>
      <c r="AN115" s="133" t="str">
        <f>IF(INDEX('#建筑消耗和buff配置索引'!BG:BG,MATCH($F115,'#建筑消耗和buff配置索引'!$M:$M,0))=0,"",INDEX('#建筑消耗和buff配置索引'!BG:BG,MATCH($F115,'#建筑消耗和buff配置索引'!$M:$M,0)))</f>
        <v/>
      </c>
      <c r="AO115" s="133" t="str">
        <f>IF(AN115="","",INDEX('#建筑消耗和buff配置索引'!BH:BH,MATCH($F115,'#建筑消耗和buff配置索引'!$M:$M,0)))</f>
        <v/>
      </c>
      <c r="AR115" s="133" t="str">
        <f>IF(INDEX('#建筑消耗和buff配置索引'!BK:BK,MATCH($F115,'#建筑消耗和buff配置索引'!$M:$M,0))=0,"",INDEX('#建筑消耗和buff配置索引'!BK:BK,MATCH($F115,'#建筑消耗和buff配置索引'!$M:$M,0)))</f>
        <v/>
      </c>
      <c r="AS115" s="133" t="str">
        <f>IF(AR115="","",INDEX('#建筑消耗和buff配置索引'!BL:BL,MATCH($F115,'#建筑消耗和buff配置索引'!$M:$M,0)))</f>
        <v/>
      </c>
      <c r="AV115" s="133" t="str">
        <f>IF(INDEX('#建筑消耗和buff配置索引'!BO:BO,MATCH($F115,'#建筑消耗和buff配置索引'!$M:$M,0))=0,"",INDEX('#建筑消耗和buff配置索引'!BO:BO,MATCH($F115,'#建筑消耗和buff配置索引'!$M:$M,0)))</f>
        <v/>
      </c>
      <c r="AW115" s="133" t="str">
        <f>IF(AV115="","",INDEX('#建筑消耗和buff配置索引'!BP:BP,MATCH($F115,'#建筑消耗和buff配置索引'!$M:$M,0)))</f>
        <v/>
      </c>
      <c r="AZ115" s="133" t="str">
        <f>IF(INDEX('#建筑消耗和buff配置索引'!BS:BS,MATCH($F115,'#建筑消耗和buff配置索引'!$M:$M,0))=0,"",INDEX('#建筑消耗和buff配置索引'!BS:BS,MATCH($F115,'#建筑消耗和buff配置索引'!$M:$M,0)))</f>
        <v/>
      </c>
      <c r="BA115" s="133" t="str">
        <f>IF(AZ115="","",INDEX('#建筑消耗和buff配置索引'!BT:BT,MATCH($F115,'#建筑消耗和buff配置索引'!$M:$M,0)))</f>
        <v/>
      </c>
      <c r="BD115" s="133" t="str">
        <f>IF(INDEX('#建筑消耗和buff配置索引'!BW:BW,MATCH($F115,'#建筑消耗和buff配置索引'!$M:$M,0))=0,"",INDEX('#建筑消耗和buff配置索引'!BW:BW,MATCH($F115,'#建筑消耗和buff配置索引'!$M:$M,0)))</f>
        <v/>
      </c>
      <c r="BE115" s="133" t="str">
        <f>IF(BD115="","",INDEX('#建筑消耗和buff配置索引'!BX:BX,MATCH($F115,'#建筑消耗和buff配置索引'!$M:$M,0)))</f>
        <v/>
      </c>
      <c r="BI115" s="133">
        <v>7</v>
      </c>
      <c r="BO115" s="133">
        <v>5</v>
      </c>
      <c r="BP115" s="133" t="s">
        <v>1360</v>
      </c>
      <c r="BQ115" s="133">
        <v>10003601</v>
      </c>
      <c r="BR115" s="133">
        <v>300</v>
      </c>
    </row>
    <row r="116" spans="1:70" s="133" customFormat="1">
      <c r="A116" s="133">
        <v>2040023</v>
      </c>
      <c r="B116" s="133">
        <v>113</v>
      </c>
      <c r="C116" s="133">
        <v>204</v>
      </c>
      <c r="D116" s="133" t="s">
        <v>226</v>
      </c>
      <c r="E116" s="133">
        <v>23</v>
      </c>
      <c r="F116" s="133" t="str">
        <f t="shared" si="4"/>
        <v>伐木场23</v>
      </c>
      <c r="H116" s="146"/>
      <c r="I116" s="133">
        <v>3</v>
      </c>
      <c r="J116" s="150">
        <f>INDEX('#建筑消耗和buff配置索引'!AH:AH,MATCH($F116,'#建筑消耗和buff配置索引'!$M:$M,0))</f>
        <v>77760</v>
      </c>
      <c r="K116" s="150">
        <f>INDEX('#建筑消耗和buff配置索引'!AA:AA,MATCH($F116,'#建筑消耗和buff配置索引'!$M:$M,0))</f>
        <v>1400000</v>
      </c>
      <c r="L116" s="150">
        <f>INDEX('#建筑消耗和buff配置索引'!AB:AB,MATCH($F116,'#建筑消耗和buff配置索引'!$M:$M,0))</f>
        <v>0</v>
      </c>
      <c r="M116" s="150">
        <f>INDEX('#建筑消耗和buff配置索引'!AC:AC,MATCH($F116,'#建筑消耗和buff配置索引'!$M:$M,0))</f>
        <v>1400000</v>
      </c>
      <c r="N116" s="150">
        <f>INDEX('#建筑消耗和buff配置索引'!AD:AD,MATCH($F116,'#建筑消耗和buff配置索引'!$M:$M,0))</f>
        <v>1400000</v>
      </c>
      <c r="O116" s="150" t="str">
        <f>IF(INDEX('#建筑消耗和buff配置索引'!T:T,MATCH($F116,'#建筑消耗和buff配置索引'!$M:$M,0))=0,"",INDEX('#建筑消耗和buff配置索引'!T:T,MATCH($F116,'#建筑消耗和buff配置索引'!$M:$M,0)))</f>
        <v/>
      </c>
      <c r="P116" s="133" t="str">
        <f>IF(INDEX('#建筑消耗和buff配置索引'!U:U,MATCH($F116,'#建筑消耗和buff配置索引'!$M:$M,0))=0,"",INDEX('#建筑消耗和buff配置索引'!U:U,MATCH($F116,'#建筑消耗和buff配置索引'!$M:$M,0)))</f>
        <v/>
      </c>
      <c r="Q116" s="133" t="str">
        <f>IF(INDEX('#建筑消耗和buff配置索引'!K:K,MATCH($F116,'#建筑消耗和buff配置索引'!$M:$M,0))=0,"",INDEX('#建筑消耗和buff配置索引'!K:K,MATCH($F116,'#建筑消耗和buff配置索引'!$M:$M,0)))</f>
        <v>201</v>
      </c>
      <c r="R116" s="133" t="str">
        <f>IF(INDEX('#建筑消耗和buff配置索引'!L:L,MATCH($F116,'#建筑消耗和buff配置索引'!$M:$M,0))=0,"",INDEX('#建筑消耗和buff配置索引'!L:L,MATCH($F116,'#建筑消耗和buff配置索引'!$M:$M,0)))</f>
        <v>23</v>
      </c>
      <c r="S116" s="133">
        <f>IF(INDEX('#建筑消耗和buff配置索引'!C:C,MATCH(F116,'#建筑消耗和buff配置索引'!M:M,0))=0,1,INDEX('#建筑消耗和buff配置索引'!C:C,MATCH(F116,'#建筑消耗和buff配置索引'!M:M,0)))</f>
        <v>1</v>
      </c>
      <c r="T116" s="133">
        <v>0</v>
      </c>
      <c r="U116" s="133">
        <v>0</v>
      </c>
      <c r="V116" s="133" t="str">
        <f>IF(E116=1,IF(INDEX('#建筑消耗和buff配置索引'!BY:BY,MATCH(D116,'#建筑消耗和buff配置索引'!A:A,0))=0,"",INDEX('#建筑消耗和buff配置索引'!BY:BY,MATCH(D116,'#建筑消耗和buff配置索引'!A:A,0))),"")</f>
        <v/>
      </c>
      <c r="W116" s="133" t="str">
        <f>IF(E116=1,IF(INDEX('#建筑消耗和buff配置索引'!BZ:BZ,MATCH(D116,'#建筑消耗和buff配置索引'!A:A,0))=0,"",INDEX('#建筑消耗和buff配置索引'!BZ:BZ,MATCH(D116,'#建筑消耗和buff配置索引'!A:A,0))),"")</f>
        <v/>
      </c>
      <c r="AA116" s="133">
        <f>INDEX('#建筑消耗和buff配置索引'!AO:AO,MATCH($F116,'#建筑消耗和buff配置索引'!$M:$M,0))</f>
        <v>36561</v>
      </c>
      <c r="AB116" s="133">
        <f>IF(INDEX('#建筑消耗和buff配置索引'!AR:AR,MATCH($F116,'#建筑消耗和buff配置索引'!$M:$M,0))=0,"",INDEX('#建筑消耗和buff配置索引'!AR:AR,MATCH($F116,'#建筑消耗和buff配置索引'!$M:$M,0)))</f>
        <v>1017</v>
      </c>
      <c r="AC116" s="133">
        <f>IF(AB116="","",INDEX('#建筑消耗和buff配置索引'!AS:AS,MATCH($F116,'#建筑消耗和buff配置索引'!$M:$M,0)))</f>
        <v>11400</v>
      </c>
      <c r="AF116" s="133" t="str">
        <f>IF(INDEX('#建筑消耗和buff配置索引'!AW:AW,MATCH($F116,'#建筑消耗和buff配置索引'!$M:$M,0))=0,"",INDEX('#建筑消耗和buff配置索引'!AW:AW,MATCH($F116,'#建筑消耗和buff配置索引'!$M:$M,0)))</f>
        <v/>
      </c>
      <c r="AG116" s="133" t="str">
        <f>IF(AF116="","",INDEX('#建筑消耗和buff配置索引'!AX:AX,MATCH($F116,'#建筑消耗和buff配置索引'!$M:$M,0)))</f>
        <v/>
      </c>
      <c r="AJ116" s="133" t="str">
        <f>IF(INDEX('#建筑消耗和buff配置索引'!BB:BB,MATCH($F116,'#建筑消耗和buff配置索引'!$M:$M,0))=0,"",INDEX('#建筑消耗和buff配置索引'!BB:BB,MATCH($F116,'#建筑消耗和buff配置索引'!$M:$M,0)))</f>
        <v/>
      </c>
      <c r="AK116" s="133" t="str">
        <f>IF(AJ116="","",INDEX('#建筑消耗和buff配置索引'!BC:BC,MATCH($F116,'#建筑消耗和buff配置索引'!$M:$M,0)))</f>
        <v/>
      </c>
      <c r="AN116" s="133" t="str">
        <f>IF(INDEX('#建筑消耗和buff配置索引'!BG:BG,MATCH($F116,'#建筑消耗和buff配置索引'!$M:$M,0))=0,"",INDEX('#建筑消耗和buff配置索引'!BG:BG,MATCH($F116,'#建筑消耗和buff配置索引'!$M:$M,0)))</f>
        <v/>
      </c>
      <c r="AO116" s="133" t="str">
        <f>IF(AN116="","",INDEX('#建筑消耗和buff配置索引'!BH:BH,MATCH($F116,'#建筑消耗和buff配置索引'!$M:$M,0)))</f>
        <v/>
      </c>
      <c r="AR116" s="133" t="str">
        <f>IF(INDEX('#建筑消耗和buff配置索引'!BK:BK,MATCH($F116,'#建筑消耗和buff配置索引'!$M:$M,0))=0,"",INDEX('#建筑消耗和buff配置索引'!BK:BK,MATCH($F116,'#建筑消耗和buff配置索引'!$M:$M,0)))</f>
        <v/>
      </c>
      <c r="AS116" s="133" t="str">
        <f>IF(AR116="","",INDEX('#建筑消耗和buff配置索引'!BL:BL,MATCH($F116,'#建筑消耗和buff配置索引'!$M:$M,0)))</f>
        <v/>
      </c>
      <c r="AV116" s="133" t="str">
        <f>IF(INDEX('#建筑消耗和buff配置索引'!BO:BO,MATCH($F116,'#建筑消耗和buff配置索引'!$M:$M,0))=0,"",INDEX('#建筑消耗和buff配置索引'!BO:BO,MATCH($F116,'#建筑消耗和buff配置索引'!$M:$M,0)))</f>
        <v/>
      </c>
      <c r="AW116" s="133" t="str">
        <f>IF(AV116="","",INDEX('#建筑消耗和buff配置索引'!BP:BP,MATCH($F116,'#建筑消耗和buff配置索引'!$M:$M,0)))</f>
        <v/>
      </c>
      <c r="AZ116" s="133" t="str">
        <f>IF(INDEX('#建筑消耗和buff配置索引'!BS:BS,MATCH($F116,'#建筑消耗和buff配置索引'!$M:$M,0))=0,"",INDEX('#建筑消耗和buff配置索引'!BS:BS,MATCH($F116,'#建筑消耗和buff配置索引'!$M:$M,0)))</f>
        <v/>
      </c>
      <c r="BA116" s="133" t="str">
        <f>IF(AZ116="","",INDEX('#建筑消耗和buff配置索引'!BT:BT,MATCH($F116,'#建筑消耗和buff配置索引'!$M:$M,0)))</f>
        <v/>
      </c>
      <c r="BD116" s="133" t="str">
        <f>IF(INDEX('#建筑消耗和buff配置索引'!BW:BW,MATCH($F116,'#建筑消耗和buff配置索引'!$M:$M,0))=0,"",INDEX('#建筑消耗和buff配置索引'!BW:BW,MATCH($F116,'#建筑消耗和buff配置索引'!$M:$M,0)))</f>
        <v/>
      </c>
      <c r="BE116" s="133" t="str">
        <f>IF(BD116="","",INDEX('#建筑消耗和buff配置索引'!BX:BX,MATCH($F116,'#建筑消耗和buff配置索引'!$M:$M,0)))</f>
        <v/>
      </c>
      <c r="BI116" s="133">
        <v>7</v>
      </c>
      <c r="BO116" s="133">
        <v>5</v>
      </c>
      <c r="BP116" s="133" t="s">
        <v>1360</v>
      </c>
      <c r="BQ116" s="133">
        <v>10003601</v>
      </c>
      <c r="BR116" s="133">
        <v>300</v>
      </c>
    </row>
    <row r="117" spans="1:70" s="133" customFormat="1">
      <c r="A117" s="133">
        <v>2040024</v>
      </c>
      <c r="B117" s="133">
        <v>114</v>
      </c>
      <c r="C117" s="133">
        <v>204</v>
      </c>
      <c r="D117" s="133" t="s">
        <v>226</v>
      </c>
      <c r="E117" s="133">
        <v>24</v>
      </c>
      <c r="F117" s="133" t="str">
        <f t="shared" si="4"/>
        <v>伐木场24</v>
      </c>
      <c r="H117" s="146"/>
      <c r="I117" s="133">
        <v>3</v>
      </c>
      <c r="J117" s="150">
        <f>INDEX('#建筑消耗和buff配置索引'!AH:AH,MATCH($F117,'#建筑消耗和buff配置索引'!$M:$M,0))</f>
        <v>99360</v>
      </c>
      <c r="K117" s="150">
        <f>INDEX('#建筑消耗和buff配置索引'!AA:AA,MATCH($F117,'#建筑消耗和buff配置索引'!$M:$M,0))</f>
        <v>1800000</v>
      </c>
      <c r="L117" s="150">
        <f>INDEX('#建筑消耗和buff配置索引'!AB:AB,MATCH($F117,'#建筑消耗和buff配置索引'!$M:$M,0))</f>
        <v>0</v>
      </c>
      <c r="M117" s="150">
        <f>INDEX('#建筑消耗和buff配置索引'!AC:AC,MATCH($F117,'#建筑消耗和buff配置索引'!$M:$M,0))</f>
        <v>1800000</v>
      </c>
      <c r="N117" s="150">
        <f>INDEX('#建筑消耗和buff配置索引'!AD:AD,MATCH($F117,'#建筑消耗和buff配置索引'!$M:$M,0))</f>
        <v>1800000</v>
      </c>
      <c r="O117" s="150" t="str">
        <f>IF(INDEX('#建筑消耗和buff配置索引'!T:T,MATCH($F117,'#建筑消耗和buff配置索引'!$M:$M,0))=0,"",INDEX('#建筑消耗和buff配置索引'!T:T,MATCH($F117,'#建筑消耗和buff配置索引'!$M:$M,0)))</f>
        <v/>
      </c>
      <c r="P117" s="133" t="str">
        <f>IF(INDEX('#建筑消耗和buff配置索引'!U:U,MATCH($F117,'#建筑消耗和buff配置索引'!$M:$M,0))=0,"",INDEX('#建筑消耗和buff配置索引'!U:U,MATCH($F117,'#建筑消耗和buff配置索引'!$M:$M,0)))</f>
        <v/>
      </c>
      <c r="Q117" s="133" t="str">
        <f>IF(INDEX('#建筑消耗和buff配置索引'!K:K,MATCH($F117,'#建筑消耗和buff配置索引'!$M:$M,0))=0,"",INDEX('#建筑消耗和buff配置索引'!K:K,MATCH($F117,'#建筑消耗和buff配置索引'!$M:$M,0)))</f>
        <v>201</v>
      </c>
      <c r="R117" s="133" t="str">
        <f>IF(INDEX('#建筑消耗和buff配置索引'!L:L,MATCH($F117,'#建筑消耗和buff配置索引'!$M:$M,0))=0,"",INDEX('#建筑消耗和buff配置索引'!L:L,MATCH($F117,'#建筑消耗和buff配置索引'!$M:$M,0)))</f>
        <v>24</v>
      </c>
      <c r="S117" s="133">
        <f>IF(INDEX('#建筑消耗和buff配置索引'!C:C,MATCH(F117,'#建筑消耗和buff配置索引'!M:M,0))=0,1,INDEX('#建筑消耗和buff配置索引'!C:C,MATCH(F117,'#建筑消耗和buff配置索引'!M:M,0)))</f>
        <v>1</v>
      </c>
      <c r="T117" s="133">
        <v>0</v>
      </c>
      <c r="U117" s="133">
        <v>0</v>
      </c>
      <c r="V117" s="133" t="str">
        <f>IF(E117=1,IF(INDEX('#建筑消耗和buff配置索引'!BY:BY,MATCH(D117,'#建筑消耗和buff配置索引'!A:A,0))=0,"",INDEX('#建筑消耗和buff配置索引'!BY:BY,MATCH(D117,'#建筑消耗和buff配置索引'!A:A,0))),"")</f>
        <v/>
      </c>
      <c r="W117" s="133" t="str">
        <f>IF(E117=1,IF(INDEX('#建筑消耗和buff配置索引'!BZ:BZ,MATCH(D117,'#建筑消耗和buff配置索引'!A:A,0))=0,"",INDEX('#建筑消耗和buff配置索引'!BZ:BZ,MATCH(D117,'#建筑消耗和buff配置索引'!A:A,0))),"")</f>
        <v/>
      </c>
      <c r="AA117" s="133">
        <f>INDEX('#建筑消耗和buff配置索引'!AO:AO,MATCH($F117,'#建筑消耗和buff配置索引'!$M:$M,0))</f>
        <v>47100</v>
      </c>
      <c r="AB117" s="133">
        <f>IF(INDEX('#建筑消耗和buff配置索引'!AR:AR,MATCH($F117,'#建筑消耗和buff配置索引'!$M:$M,0))=0,"",INDEX('#建筑消耗和buff配置索引'!AR:AR,MATCH($F117,'#建筑消耗和buff配置索引'!$M:$M,0)))</f>
        <v>1017</v>
      </c>
      <c r="AC117" s="133">
        <f>IF(AB117="","",INDEX('#建筑消耗和buff配置索引'!AS:AS,MATCH($F117,'#建筑消耗和buff配置索引'!$M:$M,0)))</f>
        <v>12200</v>
      </c>
      <c r="AF117" s="133" t="str">
        <f>IF(INDEX('#建筑消耗和buff配置索引'!AW:AW,MATCH($F117,'#建筑消耗和buff配置索引'!$M:$M,0))=0,"",INDEX('#建筑消耗和buff配置索引'!AW:AW,MATCH($F117,'#建筑消耗和buff配置索引'!$M:$M,0)))</f>
        <v/>
      </c>
      <c r="AG117" s="133" t="str">
        <f>IF(AF117="","",INDEX('#建筑消耗和buff配置索引'!AX:AX,MATCH($F117,'#建筑消耗和buff配置索引'!$M:$M,0)))</f>
        <v/>
      </c>
      <c r="AJ117" s="133" t="str">
        <f>IF(INDEX('#建筑消耗和buff配置索引'!BB:BB,MATCH($F117,'#建筑消耗和buff配置索引'!$M:$M,0))=0,"",INDEX('#建筑消耗和buff配置索引'!BB:BB,MATCH($F117,'#建筑消耗和buff配置索引'!$M:$M,0)))</f>
        <v/>
      </c>
      <c r="AK117" s="133" t="str">
        <f>IF(AJ117="","",INDEX('#建筑消耗和buff配置索引'!BC:BC,MATCH($F117,'#建筑消耗和buff配置索引'!$M:$M,0)))</f>
        <v/>
      </c>
      <c r="AN117" s="133" t="str">
        <f>IF(INDEX('#建筑消耗和buff配置索引'!BG:BG,MATCH($F117,'#建筑消耗和buff配置索引'!$M:$M,0))=0,"",INDEX('#建筑消耗和buff配置索引'!BG:BG,MATCH($F117,'#建筑消耗和buff配置索引'!$M:$M,0)))</f>
        <v/>
      </c>
      <c r="AO117" s="133" t="str">
        <f>IF(AN117="","",INDEX('#建筑消耗和buff配置索引'!BH:BH,MATCH($F117,'#建筑消耗和buff配置索引'!$M:$M,0)))</f>
        <v/>
      </c>
      <c r="AR117" s="133" t="str">
        <f>IF(INDEX('#建筑消耗和buff配置索引'!BK:BK,MATCH($F117,'#建筑消耗和buff配置索引'!$M:$M,0))=0,"",INDEX('#建筑消耗和buff配置索引'!BK:BK,MATCH($F117,'#建筑消耗和buff配置索引'!$M:$M,0)))</f>
        <v/>
      </c>
      <c r="AS117" s="133" t="str">
        <f>IF(AR117="","",INDEX('#建筑消耗和buff配置索引'!BL:BL,MATCH($F117,'#建筑消耗和buff配置索引'!$M:$M,0)))</f>
        <v/>
      </c>
      <c r="AV117" s="133" t="str">
        <f>IF(INDEX('#建筑消耗和buff配置索引'!BO:BO,MATCH($F117,'#建筑消耗和buff配置索引'!$M:$M,0))=0,"",INDEX('#建筑消耗和buff配置索引'!BO:BO,MATCH($F117,'#建筑消耗和buff配置索引'!$M:$M,0)))</f>
        <v/>
      </c>
      <c r="AW117" s="133" t="str">
        <f>IF(AV117="","",INDEX('#建筑消耗和buff配置索引'!BP:BP,MATCH($F117,'#建筑消耗和buff配置索引'!$M:$M,0)))</f>
        <v/>
      </c>
      <c r="AZ117" s="133" t="str">
        <f>IF(INDEX('#建筑消耗和buff配置索引'!BS:BS,MATCH($F117,'#建筑消耗和buff配置索引'!$M:$M,0))=0,"",INDEX('#建筑消耗和buff配置索引'!BS:BS,MATCH($F117,'#建筑消耗和buff配置索引'!$M:$M,0)))</f>
        <v/>
      </c>
      <c r="BA117" s="133" t="str">
        <f>IF(AZ117="","",INDEX('#建筑消耗和buff配置索引'!BT:BT,MATCH($F117,'#建筑消耗和buff配置索引'!$M:$M,0)))</f>
        <v/>
      </c>
      <c r="BD117" s="133" t="str">
        <f>IF(INDEX('#建筑消耗和buff配置索引'!BW:BW,MATCH($F117,'#建筑消耗和buff配置索引'!$M:$M,0))=0,"",INDEX('#建筑消耗和buff配置索引'!BW:BW,MATCH($F117,'#建筑消耗和buff配置索引'!$M:$M,0)))</f>
        <v/>
      </c>
      <c r="BE117" s="133" t="str">
        <f>IF(BD117="","",INDEX('#建筑消耗和buff配置索引'!BX:BX,MATCH($F117,'#建筑消耗和buff配置索引'!$M:$M,0)))</f>
        <v/>
      </c>
      <c r="BI117" s="133">
        <v>7</v>
      </c>
      <c r="BO117" s="133">
        <v>5</v>
      </c>
      <c r="BP117" s="133" t="s">
        <v>1360</v>
      </c>
      <c r="BQ117" s="133">
        <v>10003601</v>
      </c>
      <c r="BR117" s="133">
        <v>300</v>
      </c>
    </row>
    <row r="118" spans="1:70" s="133" customFormat="1">
      <c r="A118" s="133">
        <v>2040025</v>
      </c>
      <c r="B118" s="133">
        <v>115</v>
      </c>
      <c r="C118" s="133">
        <v>204</v>
      </c>
      <c r="D118" s="133" t="s">
        <v>226</v>
      </c>
      <c r="E118" s="133">
        <v>25</v>
      </c>
      <c r="F118" s="133" t="str">
        <f t="shared" si="4"/>
        <v>伐木场25</v>
      </c>
      <c r="H118" s="146"/>
      <c r="I118" s="133">
        <v>3</v>
      </c>
      <c r="J118" s="150">
        <f>INDEX('#建筑消耗和buff配置索引'!AH:AH,MATCH($F118,'#建筑消耗和buff配置索引'!$M:$M,0))</f>
        <v>125280</v>
      </c>
      <c r="K118" s="150">
        <f>INDEX('#建筑消耗和buff配置索引'!AA:AA,MATCH($F118,'#建筑消耗和buff配置索引'!$M:$M,0))</f>
        <v>2200000</v>
      </c>
      <c r="L118" s="150">
        <f>INDEX('#建筑消耗和buff配置索引'!AB:AB,MATCH($F118,'#建筑消耗和buff配置索引'!$M:$M,0))</f>
        <v>0</v>
      </c>
      <c r="M118" s="150">
        <f>INDEX('#建筑消耗和buff配置索引'!AC:AC,MATCH($F118,'#建筑消耗和buff配置索引'!$M:$M,0))</f>
        <v>2200000</v>
      </c>
      <c r="N118" s="150">
        <f>INDEX('#建筑消耗和buff配置索引'!AD:AD,MATCH($F118,'#建筑消耗和buff配置索引'!$M:$M,0))</f>
        <v>2200000</v>
      </c>
      <c r="O118" s="150" t="str">
        <f>IF(INDEX('#建筑消耗和buff配置索引'!T:T,MATCH($F118,'#建筑消耗和buff配置索引'!$M:$M,0))=0,"",INDEX('#建筑消耗和buff配置索引'!T:T,MATCH($F118,'#建筑消耗和buff配置索引'!$M:$M,0)))</f>
        <v/>
      </c>
      <c r="P118" s="133" t="str">
        <f>IF(INDEX('#建筑消耗和buff配置索引'!U:U,MATCH($F118,'#建筑消耗和buff配置索引'!$M:$M,0))=0,"",INDEX('#建筑消耗和buff配置索引'!U:U,MATCH($F118,'#建筑消耗和buff配置索引'!$M:$M,0)))</f>
        <v/>
      </c>
      <c r="Q118" s="133" t="str">
        <f>IF(INDEX('#建筑消耗和buff配置索引'!K:K,MATCH($F118,'#建筑消耗和buff配置索引'!$M:$M,0))=0,"",INDEX('#建筑消耗和buff配置索引'!K:K,MATCH($F118,'#建筑消耗和buff配置索引'!$M:$M,0)))</f>
        <v>201</v>
      </c>
      <c r="R118" s="133" t="str">
        <f>IF(INDEX('#建筑消耗和buff配置索引'!L:L,MATCH($F118,'#建筑消耗和buff配置索引'!$M:$M,0))=0,"",INDEX('#建筑消耗和buff配置索引'!L:L,MATCH($F118,'#建筑消耗和buff配置索引'!$M:$M,0)))</f>
        <v>25</v>
      </c>
      <c r="S118" s="133">
        <f>IF(INDEX('#建筑消耗和buff配置索引'!C:C,MATCH(F118,'#建筑消耗和buff配置索引'!M:M,0))=0,1,INDEX('#建筑消耗和buff配置索引'!C:C,MATCH(F118,'#建筑消耗和buff配置索引'!M:M,0)))</f>
        <v>1</v>
      </c>
      <c r="T118" s="133">
        <v>0</v>
      </c>
      <c r="U118" s="133">
        <v>0</v>
      </c>
      <c r="V118" s="133" t="str">
        <f>IF(E118=1,IF(INDEX('#建筑消耗和buff配置索引'!BY:BY,MATCH(D118,'#建筑消耗和buff配置索引'!A:A,0))=0,"",INDEX('#建筑消耗和buff配置索引'!BY:BY,MATCH(D118,'#建筑消耗和buff配置索引'!A:A,0))),"")</f>
        <v/>
      </c>
      <c r="W118" s="133" t="str">
        <f>IF(E118=1,IF(INDEX('#建筑消耗和buff配置索引'!BZ:BZ,MATCH(D118,'#建筑消耗和buff配置索引'!A:A,0))=0,"",INDEX('#建筑消耗和buff配置索引'!BZ:BZ,MATCH(D118,'#建筑消耗和buff配置索引'!A:A,0))),"")</f>
        <v/>
      </c>
      <c r="AA118" s="133">
        <f>INDEX('#建筑消耗和buff配置索引'!AO:AO,MATCH($F118,'#建筑消耗和buff配置索引'!$M:$M,0))</f>
        <v>60589</v>
      </c>
      <c r="AB118" s="133">
        <f>IF(INDEX('#建筑消耗和buff配置索引'!AR:AR,MATCH($F118,'#建筑消耗和buff配置索引'!$M:$M,0))=0,"",INDEX('#建筑消耗和buff配置索引'!AR:AR,MATCH($F118,'#建筑消耗和buff配置索引'!$M:$M,0)))</f>
        <v>1017</v>
      </c>
      <c r="AC118" s="133">
        <f>IF(AB118="","",INDEX('#建筑消耗和buff配置索引'!AS:AS,MATCH($F118,'#建筑消耗和buff配置索引'!$M:$M,0)))</f>
        <v>13000</v>
      </c>
      <c r="AF118" s="133" t="str">
        <f>IF(INDEX('#建筑消耗和buff配置索引'!AW:AW,MATCH($F118,'#建筑消耗和buff配置索引'!$M:$M,0))=0,"",INDEX('#建筑消耗和buff配置索引'!AW:AW,MATCH($F118,'#建筑消耗和buff配置索引'!$M:$M,0)))</f>
        <v/>
      </c>
      <c r="AG118" s="133" t="str">
        <f>IF(AF118="","",INDEX('#建筑消耗和buff配置索引'!AX:AX,MATCH($F118,'#建筑消耗和buff配置索引'!$M:$M,0)))</f>
        <v/>
      </c>
      <c r="AJ118" s="133" t="str">
        <f>IF(INDEX('#建筑消耗和buff配置索引'!BB:BB,MATCH($F118,'#建筑消耗和buff配置索引'!$M:$M,0))=0,"",INDEX('#建筑消耗和buff配置索引'!BB:BB,MATCH($F118,'#建筑消耗和buff配置索引'!$M:$M,0)))</f>
        <v/>
      </c>
      <c r="AK118" s="133" t="str">
        <f>IF(AJ118="","",INDEX('#建筑消耗和buff配置索引'!BC:BC,MATCH($F118,'#建筑消耗和buff配置索引'!$M:$M,0)))</f>
        <v/>
      </c>
      <c r="AN118" s="133" t="str">
        <f>IF(INDEX('#建筑消耗和buff配置索引'!BG:BG,MATCH($F118,'#建筑消耗和buff配置索引'!$M:$M,0))=0,"",INDEX('#建筑消耗和buff配置索引'!BG:BG,MATCH($F118,'#建筑消耗和buff配置索引'!$M:$M,0)))</f>
        <v/>
      </c>
      <c r="AO118" s="133" t="str">
        <f>IF(AN118="","",INDEX('#建筑消耗和buff配置索引'!BH:BH,MATCH($F118,'#建筑消耗和buff配置索引'!$M:$M,0)))</f>
        <v/>
      </c>
      <c r="AR118" s="133" t="str">
        <f>IF(INDEX('#建筑消耗和buff配置索引'!BK:BK,MATCH($F118,'#建筑消耗和buff配置索引'!$M:$M,0))=0,"",INDEX('#建筑消耗和buff配置索引'!BK:BK,MATCH($F118,'#建筑消耗和buff配置索引'!$M:$M,0)))</f>
        <v/>
      </c>
      <c r="AS118" s="133" t="str">
        <f>IF(AR118="","",INDEX('#建筑消耗和buff配置索引'!BL:BL,MATCH($F118,'#建筑消耗和buff配置索引'!$M:$M,0)))</f>
        <v/>
      </c>
      <c r="AV118" s="133" t="str">
        <f>IF(INDEX('#建筑消耗和buff配置索引'!BO:BO,MATCH($F118,'#建筑消耗和buff配置索引'!$M:$M,0))=0,"",INDEX('#建筑消耗和buff配置索引'!BO:BO,MATCH($F118,'#建筑消耗和buff配置索引'!$M:$M,0)))</f>
        <v/>
      </c>
      <c r="AW118" s="133" t="str">
        <f>IF(AV118="","",INDEX('#建筑消耗和buff配置索引'!BP:BP,MATCH($F118,'#建筑消耗和buff配置索引'!$M:$M,0)))</f>
        <v/>
      </c>
      <c r="AZ118" s="133" t="str">
        <f>IF(INDEX('#建筑消耗和buff配置索引'!BS:BS,MATCH($F118,'#建筑消耗和buff配置索引'!$M:$M,0))=0,"",INDEX('#建筑消耗和buff配置索引'!BS:BS,MATCH($F118,'#建筑消耗和buff配置索引'!$M:$M,0)))</f>
        <v/>
      </c>
      <c r="BA118" s="133" t="str">
        <f>IF(AZ118="","",INDEX('#建筑消耗和buff配置索引'!BT:BT,MATCH($F118,'#建筑消耗和buff配置索引'!$M:$M,0)))</f>
        <v/>
      </c>
      <c r="BD118" s="133" t="str">
        <f>IF(INDEX('#建筑消耗和buff配置索引'!BW:BW,MATCH($F118,'#建筑消耗和buff配置索引'!$M:$M,0))=0,"",INDEX('#建筑消耗和buff配置索引'!BW:BW,MATCH($F118,'#建筑消耗和buff配置索引'!$M:$M,0)))</f>
        <v/>
      </c>
      <c r="BE118" s="133" t="str">
        <f>IF(BD118="","",INDEX('#建筑消耗和buff配置索引'!BX:BX,MATCH($F118,'#建筑消耗和buff配置索引'!$M:$M,0)))</f>
        <v/>
      </c>
      <c r="BI118" s="133">
        <v>7</v>
      </c>
      <c r="BO118" s="133">
        <v>5</v>
      </c>
      <c r="BP118" s="133" t="s">
        <v>1360</v>
      </c>
      <c r="BQ118" s="133">
        <v>10003601</v>
      </c>
      <c r="BR118" s="133">
        <v>300</v>
      </c>
    </row>
    <row r="119" spans="1:70" s="133" customFormat="1">
      <c r="A119" s="133">
        <v>2040026</v>
      </c>
      <c r="B119" s="133">
        <v>116</v>
      </c>
      <c r="C119" s="133">
        <v>204</v>
      </c>
      <c r="D119" s="133" t="s">
        <v>226</v>
      </c>
      <c r="E119" s="133">
        <v>26</v>
      </c>
      <c r="F119" s="133" t="str">
        <f t="shared" si="4"/>
        <v>伐木场26</v>
      </c>
      <c r="H119" s="146"/>
      <c r="I119" s="133">
        <v>3</v>
      </c>
      <c r="J119" s="150">
        <f>INDEX('#建筑消耗和buff配置索引'!AH:AH,MATCH($F119,'#建筑消耗和buff配置索引'!$M:$M,0))</f>
        <v>155520</v>
      </c>
      <c r="K119" s="150">
        <f>INDEX('#建筑消耗和buff配置索引'!AA:AA,MATCH($F119,'#建筑消耗和buff配置索引'!$M:$M,0))</f>
        <v>2900000</v>
      </c>
      <c r="L119" s="150">
        <f>INDEX('#建筑消耗和buff配置索引'!AB:AB,MATCH($F119,'#建筑消耗和buff配置索引'!$M:$M,0))</f>
        <v>0</v>
      </c>
      <c r="M119" s="150">
        <f>INDEX('#建筑消耗和buff配置索引'!AC:AC,MATCH($F119,'#建筑消耗和buff配置索引'!$M:$M,0))</f>
        <v>2900000</v>
      </c>
      <c r="N119" s="150">
        <f>INDEX('#建筑消耗和buff配置索引'!AD:AD,MATCH($F119,'#建筑消耗和buff配置索引'!$M:$M,0))</f>
        <v>2900000</v>
      </c>
      <c r="O119" s="150" t="str">
        <f>IF(INDEX('#建筑消耗和buff配置索引'!T:T,MATCH($F119,'#建筑消耗和buff配置索引'!$M:$M,0))=0,"",INDEX('#建筑消耗和buff配置索引'!T:T,MATCH($F119,'#建筑消耗和buff配置索引'!$M:$M,0)))</f>
        <v/>
      </c>
      <c r="P119" s="133" t="str">
        <f>IF(INDEX('#建筑消耗和buff配置索引'!U:U,MATCH($F119,'#建筑消耗和buff配置索引'!$M:$M,0))=0,"",INDEX('#建筑消耗和buff配置索引'!U:U,MATCH($F119,'#建筑消耗和buff配置索引'!$M:$M,0)))</f>
        <v/>
      </c>
      <c r="Q119" s="133" t="str">
        <f>IF(INDEX('#建筑消耗和buff配置索引'!K:K,MATCH($F119,'#建筑消耗和buff配置索引'!$M:$M,0))=0,"",INDEX('#建筑消耗和buff配置索引'!K:K,MATCH($F119,'#建筑消耗和buff配置索引'!$M:$M,0)))</f>
        <v>201</v>
      </c>
      <c r="R119" s="133" t="str">
        <f>IF(INDEX('#建筑消耗和buff配置索引'!L:L,MATCH($F119,'#建筑消耗和buff配置索引'!$M:$M,0))=0,"",INDEX('#建筑消耗和buff配置索引'!L:L,MATCH($F119,'#建筑消耗和buff配置索引'!$M:$M,0)))</f>
        <v>26</v>
      </c>
      <c r="S119" s="133">
        <f>IF(INDEX('#建筑消耗和buff配置索引'!C:C,MATCH(F119,'#建筑消耗和buff配置索引'!M:M,0))=0,1,INDEX('#建筑消耗和buff配置索引'!C:C,MATCH(F119,'#建筑消耗和buff配置索引'!M:M,0)))</f>
        <v>1</v>
      </c>
      <c r="T119" s="133">
        <v>0</v>
      </c>
      <c r="U119" s="133">
        <v>0</v>
      </c>
      <c r="V119" s="133" t="str">
        <f>IF(E119=1,IF(INDEX('#建筑消耗和buff配置索引'!BY:BY,MATCH(D119,'#建筑消耗和buff配置索引'!A:A,0))=0,"",INDEX('#建筑消耗和buff配置索引'!BY:BY,MATCH(D119,'#建筑消耗和buff配置索引'!A:A,0))),"")</f>
        <v/>
      </c>
      <c r="W119" s="133" t="str">
        <f>IF(E119=1,IF(INDEX('#建筑消耗和buff配置索引'!BZ:BZ,MATCH(D119,'#建筑消耗和buff配置索引'!A:A,0))=0,"",INDEX('#建筑消耗和buff配置索引'!BZ:BZ,MATCH(D119,'#建筑消耗和buff配置索引'!A:A,0))),"")</f>
        <v/>
      </c>
      <c r="AA119" s="133">
        <f>INDEX('#建筑消耗和buff配置索引'!AO:AO,MATCH($F119,'#建筑消耗和buff配置索引'!$M:$M,0))</f>
        <v>77856</v>
      </c>
      <c r="AB119" s="133">
        <f>IF(INDEX('#建筑消耗和buff配置索引'!AR:AR,MATCH($F119,'#建筑消耗和buff配置索引'!$M:$M,0))=0,"",INDEX('#建筑消耗和buff配置索引'!AR:AR,MATCH($F119,'#建筑消耗和buff配置索引'!$M:$M,0)))</f>
        <v>1017</v>
      </c>
      <c r="AC119" s="133">
        <f>IF(AB119="","",INDEX('#建筑消耗和buff配置索引'!AS:AS,MATCH($F119,'#建筑消耗和buff配置索引'!$M:$M,0)))</f>
        <v>14000</v>
      </c>
      <c r="AF119" s="133" t="str">
        <f>IF(INDEX('#建筑消耗和buff配置索引'!AW:AW,MATCH($F119,'#建筑消耗和buff配置索引'!$M:$M,0))=0,"",INDEX('#建筑消耗和buff配置索引'!AW:AW,MATCH($F119,'#建筑消耗和buff配置索引'!$M:$M,0)))</f>
        <v/>
      </c>
      <c r="AG119" s="133" t="str">
        <f>IF(AF119="","",INDEX('#建筑消耗和buff配置索引'!AX:AX,MATCH($F119,'#建筑消耗和buff配置索引'!$M:$M,0)))</f>
        <v/>
      </c>
      <c r="AJ119" s="133" t="str">
        <f>IF(INDEX('#建筑消耗和buff配置索引'!BB:BB,MATCH($F119,'#建筑消耗和buff配置索引'!$M:$M,0))=0,"",INDEX('#建筑消耗和buff配置索引'!BB:BB,MATCH($F119,'#建筑消耗和buff配置索引'!$M:$M,0)))</f>
        <v/>
      </c>
      <c r="AK119" s="133" t="str">
        <f>IF(AJ119="","",INDEX('#建筑消耗和buff配置索引'!BC:BC,MATCH($F119,'#建筑消耗和buff配置索引'!$M:$M,0)))</f>
        <v/>
      </c>
      <c r="AN119" s="133" t="str">
        <f>IF(INDEX('#建筑消耗和buff配置索引'!BG:BG,MATCH($F119,'#建筑消耗和buff配置索引'!$M:$M,0))=0,"",INDEX('#建筑消耗和buff配置索引'!BG:BG,MATCH($F119,'#建筑消耗和buff配置索引'!$M:$M,0)))</f>
        <v/>
      </c>
      <c r="AO119" s="133" t="str">
        <f>IF(AN119="","",INDEX('#建筑消耗和buff配置索引'!BH:BH,MATCH($F119,'#建筑消耗和buff配置索引'!$M:$M,0)))</f>
        <v/>
      </c>
      <c r="AR119" s="133" t="str">
        <f>IF(INDEX('#建筑消耗和buff配置索引'!BK:BK,MATCH($F119,'#建筑消耗和buff配置索引'!$M:$M,0))=0,"",INDEX('#建筑消耗和buff配置索引'!BK:BK,MATCH($F119,'#建筑消耗和buff配置索引'!$M:$M,0)))</f>
        <v/>
      </c>
      <c r="AS119" s="133" t="str">
        <f>IF(AR119="","",INDEX('#建筑消耗和buff配置索引'!BL:BL,MATCH($F119,'#建筑消耗和buff配置索引'!$M:$M,0)))</f>
        <v/>
      </c>
      <c r="AV119" s="133" t="str">
        <f>IF(INDEX('#建筑消耗和buff配置索引'!BO:BO,MATCH($F119,'#建筑消耗和buff配置索引'!$M:$M,0))=0,"",INDEX('#建筑消耗和buff配置索引'!BO:BO,MATCH($F119,'#建筑消耗和buff配置索引'!$M:$M,0)))</f>
        <v/>
      </c>
      <c r="AW119" s="133" t="str">
        <f>IF(AV119="","",INDEX('#建筑消耗和buff配置索引'!BP:BP,MATCH($F119,'#建筑消耗和buff配置索引'!$M:$M,0)))</f>
        <v/>
      </c>
      <c r="AZ119" s="133" t="str">
        <f>IF(INDEX('#建筑消耗和buff配置索引'!BS:BS,MATCH($F119,'#建筑消耗和buff配置索引'!$M:$M,0))=0,"",INDEX('#建筑消耗和buff配置索引'!BS:BS,MATCH($F119,'#建筑消耗和buff配置索引'!$M:$M,0)))</f>
        <v/>
      </c>
      <c r="BA119" s="133" t="str">
        <f>IF(AZ119="","",INDEX('#建筑消耗和buff配置索引'!BT:BT,MATCH($F119,'#建筑消耗和buff配置索引'!$M:$M,0)))</f>
        <v/>
      </c>
      <c r="BD119" s="133" t="str">
        <f>IF(INDEX('#建筑消耗和buff配置索引'!BW:BW,MATCH($F119,'#建筑消耗和buff配置索引'!$M:$M,0))=0,"",INDEX('#建筑消耗和buff配置索引'!BW:BW,MATCH($F119,'#建筑消耗和buff配置索引'!$M:$M,0)))</f>
        <v/>
      </c>
      <c r="BE119" s="133" t="str">
        <f>IF(BD119="","",INDEX('#建筑消耗和buff配置索引'!BX:BX,MATCH($F119,'#建筑消耗和buff配置索引'!$M:$M,0)))</f>
        <v/>
      </c>
      <c r="BI119" s="133">
        <v>7</v>
      </c>
      <c r="BO119" s="133">
        <v>5</v>
      </c>
      <c r="BP119" s="133" t="s">
        <v>1360</v>
      </c>
      <c r="BQ119" s="133">
        <v>10003601</v>
      </c>
      <c r="BR119" s="133">
        <v>300</v>
      </c>
    </row>
    <row r="120" spans="1:70" s="133" customFormat="1">
      <c r="A120" s="133">
        <v>2040027</v>
      </c>
      <c r="B120" s="133">
        <v>117</v>
      </c>
      <c r="C120" s="133">
        <v>204</v>
      </c>
      <c r="D120" s="133" t="s">
        <v>226</v>
      </c>
      <c r="E120" s="133">
        <v>27</v>
      </c>
      <c r="F120" s="133" t="str">
        <f t="shared" si="4"/>
        <v>伐木场27</v>
      </c>
      <c r="H120" s="146"/>
      <c r="I120" s="133">
        <v>3</v>
      </c>
      <c r="J120" s="150">
        <f>INDEX('#建筑消耗和buff配置索引'!AH:AH,MATCH($F120,'#建筑消耗和buff配置索引'!$M:$M,0))</f>
        <v>190080</v>
      </c>
      <c r="K120" s="150">
        <f>INDEX('#建筑消耗和buff配置索引'!AA:AA,MATCH($F120,'#建筑消耗和buff配置索引'!$M:$M,0))</f>
        <v>3700000</v>
      </c>
      <c r="L120" s="150">
        <f>INDEX('#建筑消耗和buff配置索引'!AB:AB,MATCH($F120,'#建筑消耗和buff配置索引'!$M:$M,0))</f>
        <v>0</v>
      </c>
      <c r="M120" s="150">
        <f>INDEX('#建筑消耗和buff配置索引'!AC:AC,MATCH($F120,'#建筑消耗和buff配置索引'!$M:$M,0))</f>
        <v>3700000</v>
      </c>
      <c r="N120" s="150">
        <f>INDEX('#建筑消耗和buff配置索引'!AD:AD,MATCH($F120,'#建筑消耗和buff配置索引'!$M:$M,0))</f>
        <v>3700000</v>
      </c>
      <c r="O120" s="150" t="str">
        <f>IF(INDEX('#建筑消耗和buff配置索引'!T:T,MATCH($F120,'#建筑消耗和buff配置索引'!$M:$M,0))=0,"",INDEX('#建筑消耗和buff配置索引'!T:T,MATCH($F120,'#建筑消耗和buff配置索引'!$M:$M,0)))</f>
        <v/>
      </c>
      <c r="P120" s="133" t="str">
        <f>IF(INDEX('#建筑消耗和buff配置索引'!U:U,MATCH($F120,'#建筑消耗和buff配置索引'!$M:$M,0))=0,"",INDEX('#建筑消耗和buff配置索引'!U:U,MATCH($F120,'#建筑消耗和buff配置索引'!$M:$M,0)))</f>
        <v/>
      </c>
      <c r="Q120" s="133" t="str">
        <f>IF(INDEX('#建筑消耗和buff配置索引'!K:K,MATCH($F120,'#建筑消耗和buff配置索引'!$M:$M,0))=0,"",INDEX('#建筑消耗和buff配置索引'!K:K,MATCH($F120,'#建筑消耗和buff配置索引'!$M:$M,0)))</f>
        <v>201</v>
      </c>
      <c r="R120" s="133" t="str">
        <f>IF(INDEX('#建筑消耗和buff配置索引'!L:L,MATCH($F120,'#建筑消耗和buff配置索引'!$M:$M,0))=0,"",INDEX('#建筑消耗和buff配置索引'!L:L,MATCH($F120,'#建筑消耗和buff配置索引'!$M:$M,0)))</f>
        <v>27</v>
      </c>
      <c r="S120" s="133">
        <f>IF(INDEX('#建筑消耗和buff配置索引'!C:C,MATCH(F120,'#建筑消耗和buff配置索引'!M:M,0))=0,1,INDEX('#建筑消耗和buff配置索引'!C:C,MATCH(F120,'#建筑消耗和buff配置索引'!M:M,0)))</f>
        <v>1</v>
      </c>
      <c r="T120" s="133">
        <v>0</v>
      </c>
      <c r="U120" s="133">
        <v>0</v>
      </c>
      <c r="V120" s="133" t="str">
        <f>IF(E120=1,IF(INDEX('#建筑消耗和buff配置索引'!BY:BY,MATCH(D120,'#建筑消耗和buff配置索引'!A:A,0))=0,"",INDEX('#建筑消耗和buff配置索引'!BY:BY,MATCH(D120,'#建筑消耗和buff配置索引'!A:A,0))),"")</f>
        <v/>
      </c>
      <c r="W120" s="133" t="str">
        <f>IF(E120=1,IF(INDEX('#建筑消耗和buff配置索引'!BZ:BZ,MATCH(D120,'#建筑消耗和buff配置索引'!A:A,0))=0,"",INDEX('#建筑消耗和buff配置索引'!BZ:BZ,MATCH(D120,'#建筑消耗和buff配置索引'!A:A,0))),"")</f>
        <v/>
      </c>
      <c r="AA120" s="133">
        <f>INDEX('#建筑消耗和buff配置索引'!AO:AO,MATCH($F120,'#建筑消耗和buff配置索引'!$M:$M,0))</f>
        <v>99957</v>
      </c>
      <c r="AB120" s="133">
        <f>IF(INDEX('#建筑消耗和buff配置索引'!AR:AR,MATCH($F120,'#建筑消耗和buff配置索引'!$M:$M,0))=0,"",INDEX('#建筑消耗和buff配置索引'!AR:AR,MATCH($F120,'#建筑消耗和buff配置索引'!$M:$M,0)))</f>
        <v>1017</v>
      </c>
      <c r="AC120" s="133">
        <f>IF(AB120="","",INDEX('#建筑消耗和buff配置索引'!AS:AS,MATCH($F120,'#建筑消耗和buff配置索引'!$M:$M,0)))</f>
        <v>15200</v>
      </c>
      <c r="AF120" s="133" t="str">
        <f>IF(INDEX('#建筑消耗和buff配置索引'!AW:AW,MATCH($F120,'#建筑消耗和buff配置索引'!$M:$M,0))=0,"",INDEX('#建筑消耗和buff配置索引'!AW:AW,MATCH($F120,'#建筑消耗和buff配置索引'!$M:$M,0)))</f>
        <v/>
      </c>
      <c r="AG120" s="133" t="str">
        <f>IF(AF120="","",INDEX('#建筑消耗和buff配置索引'!AX:AX,MATCH($F120,'#建筑消耗和buff配置索引'!$M:$M,0)))</f>
        <v/>
      </c>
      <c r="AJ120" s="133" t="str">
        <f>IF(INDEX('#建筑消耗和buff配置索引'!BB:BB,MATCH($F120,'#建筑消耗和buff配置索引'!$M:$M,0))=0,"",INDEX('#建筑消耗和buff配置索引'!BB:BB,MATCH($F120,'#建筑消耗和buff配置索引'!$M:$M,0)))</f>
        <v/>
      </c>
      <c r="AK120" s="133" t="str">
        <f>IF(AJ120="","",INDEX('#建筑消耗和buff配置索引'!BC:BC,MATCH($F120,'#建筑消耗和buff配置索引'!$M:$M,0)))</f>
        <v/>
      </c>
      <c r="AN120" s="133" t="str">
        <f>IF(INDEX('#建筑消耗和buff配置索引'!BG:BG,MATCH($F120,'#建筑消耗和buff配置索引'!$M:$M,0))=0,"",INDEX('#建筑消耗和buff配置索引'!BG:BG,MATCH($F120,'#建筑消耗和buff配置索引'!$M:$M,0)))</f>
        <v/>
      </c>
      <c r="AO120" s="133" t="str">
        <f>IF(AN120="","",INDEX('#建筑消耗和buff配置索引'!BH:BH,MATCH($F120,'#建筑消耗和buff配置索引'!$M:$M,0)))</f>
        <v/>
      </c>
      <c r="AR120" s="133" t="str">
        <f>IF(INDEX('#建筑消耗和buff配置索引'!BK:BK,MATCH($F120,'#建筑消耗和buff配置索引'!$M:$M,0))=0,"",INDEX('#建筑消耗和buff配置索引'!BK:BK,MATCH($F120,'#建筑消耗和buff配置索引'!$M:$M,0)))</f>
        <v/>
      </c>
      <c r="AS120" s="133" t="str">
        <f>IF(AR120="","",INDEX('#建筑消耗和buff配置索引'!BL:BL,MATCH($F120,'#建筑消耗和buff配置索引'!$M:$M,0)))</f>
        <v/>
      </c>
      <c r="AV120" s="133" t="str">
        <f>IF(INDEX('#建筑消耗和buff配置索引'!BO:BO,MATCH($F120,'#建筑消耗和buff配置索引'!$M:$M,0))=0,"",INDEX('#建筑消耗和buff配置索引'!BO:BO,MATCH($F120,'#建筑消耗和buff配置索引'!$M:$M,0)))</f>
        <v/>
      </c>
      <c r="AW120" s="133" t="str">
        <f>IF(AV120="","",INDEX('#建筑消耗和buff配置索引'!BP:BP,MATCH($F120,'#建筑消耗和buff配置索引'!$M:$M,0)))</f>
        <v/>
      </c>
      <c r="AZ120" s="133" t="str">
        <f>IF(INDEX('#建筑消耗和buff配置索引'!BS:BS,MATCH($F120,'#建筑消耗和buff配置索引'!$M:$M,0))=0,"",INDEX('#建筑消耗和buff配置索引'!BS:BS,MATCH($F120,'#建筑消耗和buff配置索引'!$M:$M,0)))</f>
        <v/>
      </c>
      <c r="BA120" s="133" t="str">
        <f>IF(AZ120="","",INDEX('#建筑消耗和buff配置索引'!BT:BT,MATCH($F120,'#建筑消耗和buff配置索引'!$M:$M,0)))</f>
        <v/>
      </c>
      <c r="BD120" s="133" t="str">
        <f>IF(INDEX('#建筑消耗和buff配置索引'!BW:BW,MATCH($F120,'#建筑消耗和buff配置索引'!$M:$M,0))=0,"",INDEX('#建筑消耗和buff配置索引'!BW:BW,MATCH($F120,'#建筑消耗和buff配置索引'!$M:$M,0)))</f>
        <v/>
      </c>
      <c r="BE120" s="133" t="str">
        <f>IF(BD120="","",INDEX('#建筑消耗和buff配置索引'!BX:BX,MATCH($F120,'#建筑消耗和buff配置索引'!$M:$M,0)))</f>
        <v/>
      </c>
      <c r="BI120" s="133">
        <v>7</v>
      </c>
      <c r="BO120" s="133">
        <v>5</v>
      </c>
      <c r="BP120" s="133" t="s">
        <v>1360</v>
      </c>
      <c r="BQ120" s="133">
        <v>10003601</v>
      </c>
      <c r="BR120" s="133">
        <v>300</v>
      </c>
    </row>
    <row r="121" spans="1:70" s="133" customFormat="1">
      <c r="A121" s="133">
        <v>2040028</v>
      </c>
      <c r="B121" s="133">
        <v>118</v>
      </c>
      <c r="C121" s="133">
        <v>204</v>
      </c>
      <c r="D121" s="133" t="s">
        <v>226</v>
      </c>
      <c r="E121" s="133">
        <v>28</v>
      </c>
      <c r="F121" s="133" t="str">
        <f t="shared" si="4"/>
        <v>伐木场28</v>
      </c>
      <c r="H121" s="146"/>
      <c r="I121" s="133">
        <v>3</v>
      </c>
      <c r="J121" s="150">
        <f>INDEX('#建筑消耗和buff配置索引'!AH:AH,MATCH($F121,'#建筑消耗和buff配置索引'!$M:$M,0))</f>
        <v>233280</v>
      </c>
      <c r="K121" s="150">
        <f>INDEX('#建筑消耗和buff配置索引'!AA:AA,MATCH($F121,'#建筑消耗和buff配置索引'!$M:$M,0))</f>
        <v>4700000</v>
      </c>
      <c r="L121" s="150">
        <f>INDEX('#建筑消耗和buff配置索引'!AB:AB,MATCH($F121,'#建筑消耗和buff配置索引'!$M:$M,0))</f>
        <v>0</v>
      </c>
      <c r="M121" s="150">
        <f>INDEX('#建筑消耗和buff配置索引'!AC:AC,MATCH($F121,'#建筑消耗和buff配置索引'!$M:$M,0))</f>
        <v>4700000</v>
      </c>
      <c r="N121" s="150">
        <f>INDEX('#建筑消耗和buff配置索引'!AD:AD,MATCH($F121,'#建筑消耗和buff配置索引'!$M:$M,0))</f>
        <v>4700000</v>
      </c>
      <c r="O121" s="150" t="str">
        <f>IF(INDEX('#建筑消耗和buff配置索引'!T:T,MATCH($F121,'#建筑消耗和buff配置索引'!$M:$M,0))=0,"",INDEX('#建筑消耗和buff配置索引'!T:T,MATCH($F121,'#建筑消耗和buff配置索引'!$M:$M,0)))</f>
        <v/>
      </c>
      <c r="P121" s="133" t="str">
        <f>IF(INDEX('#建筑消耗和buff配置索引'!U:U,MATCH($F121,'#建筑消耗和buff配置索引'!$M:$M,0))=0,"",INDEX('#建筑消耗和buff配置索引'!U:U,MATCH($F121,'#建筑消耗和buff配置索引'!$M:$M,0)))</f>
        <v/>
      </c>
      <c r="Q121" s="133" t="str">
        <f>IF(INDEX('#建筑消耗和buff配置索引'!K:K,MATCH($F121,'#建筑消耗和buff配置索引'!$M:$M,0))=0,"",INDEX('#建筑消耗和buff配置索引'!K:K,MATCH($F121,'#建筑消耗和buff配置索引'!$M:$M,0)))</f>
        <v>201</v>
      </c>
      <c r="R121" s="133" t="str">
        <f>IF(INDEX('#建筑消耗和buff配置索引'!L:L,MATCH($F121,'#建筑消耗和buff配置索引'!$M:$M,0))=0,"",INDEX('#建筑消耗和buff配置索引'!L:L,MATCH($F121,'#建筑消耗和buff配置索引'!$M:$M,0)))</f>
        <v>28</v>
      </c>
      <c r="S121" s="133">
        <f>IF(INDEX('#建筑消耗和buff配置索引'!C:C,MATCH(F121,'#建筑消耗和buff配置索引'!M:M,0))=0,1,INDEX('#建筑消耗和buff配置索引'!C:C,MATCH(F121,'#建筑消耗和buff配置索引'!M:M,0)))</f>
        <v>1</v>
      </c>
      <c r="T121" s="133">
        <v>0</v>
      </c>
      <c r="U121" s="133">
        <v>0</v>
      </c>
      <c r="V121" s="133" t="str">
        <f>IF(E121=1,IF(INDEX('#建筑消耗和buff配置索引'!BY:BY,MATCH(D121,'#建筑消耗和buff配置索引'!A:A,0))=0,"",INDEX('#建筑消耗和buff配置索引'!BY:BY,MATCH(D121,'#建筑消耗和buff配置索引'!A:A,0))),"")</f>
        <v/>
      </c>
      <c r="W121" s="133" t="str">
        <f>IF(E121=1,IF(INDEX('#建筑消耗和buff配置索引'!BZ:BZ,MATCH(D121,'#建筑消耗和buff配置索引'!A:A,0))=0,"",INDEX('#建筑消耗和buff配置索引'!BZ:BZ,MATCH(D121,'#建筑消耗和buff配置索引'!A:A,0))),"")</f>
        <v/>
      </c>
      <c r="AA121" s="133">
        <f>INDEX('#建筑消耗和buff配置索引'!AO:AO,MATCH($F121,'#建筑消耗和buff配置索引'!$M:$M,0))</f>
        <v>128246</v>
      </c>
      <c r="AB121" s="133">
        <f>IF(INDEX('#建筑消耗和buff配置索引'!AR:AR,MATCH($F121,'#建筑消耗和buff配置索引'!$M:$M,0))=0,"",INDEX('#建筑消耗和buff配置索引'!AR:AR,MATCH($F121,'#建筑消耗和buff配置索引'!$M:$M,0)))</f>
        <v>1017</v>
      </c>
      <c r="AC121" s="133">
        <f>IF(AB121="","",INDEX('#建筑消耗和buff配置索引'!AS:AS,MATCH($F121,'#建筑消耗和buff配置索引'!$M:$M,0)))</f>
        <v>16600</v>
      </c>
      <c r="AF121" s="133" t="str">
        <f>IF(INDEX('#建筑消耗和buff配置索引'!AW:AW,MATCH($F121,'#建筑消耗和buff配置索引'!$M:$M,0))=0,"",INDEX('#建筑消耗和buff配置索引'!AW:AW,MATCH($F121,'#建筑消耗和buff配置索引'!$M:$M,0)))</f>
        <v/>
      </c>
      <c r="AG121" s="133" t="str">
        <f>IF(AF121="","",INDEX('#建筑消耗和buff配置索引'!AX:AX,MATCH($F121,'#建筑消耗和buff配置索引'!$M:$M,0)))</f>
        <v/>
      </c>
      <c r="AJ121" s="133" t="str">
        <f>IF(INDEX('#建筑消耗和buff配置索引'!BB:BB,MATCH($F121,'#建筑消耗和buff配置索引'!$M:$M,0))=0,"",INDEX('#建筑消耗和buff配置索引'!BB:BB,MATCH($F121,'#建筑消耗和buff配置索引'!$M:$M,0)))</f>
        <v/>
      </c>
      <c r="AK121" s="133" t="str">
        <f>IF(AJ121="","",INDEX('#建筑消耗和buff配置索引'!BC:BC,MATCH($F121,'#建筑消耗和buff配置索引'!$M:$M,0)))</f>
        <v/>
      </c>
      <c r="AN121" s="133" t="str">
        <f>IF(INDEX('#建筑消耗和buff配置索引'!BG:BG,MATCH($F121,'#建筑消耗和buff配置索引'!$M:$M,0))=0,"",INDEX('#建筑消耗和buff配置索引'!BG:BG,MATCH($F121,'#建筑消耗和buff配置索引'!$M:$M,0)))</f>
        <v/>
      </c>
      <c r="AO121" s="133" t="str">
        <f>IF(AN121="","",INDEX('#建筑消耗和buff配置索引'!BH:BH,MATCH($F121,'#建筑消耗和buff配置索引'!$M:$M,0)))</f>
        <v/>
      </c>
      <c r="AR121" s="133" t="str">
        <f>IF(INDEX('#建筑消耗和buff配置索引'!BK:BK,MATCH($F121,'#建筑消耗和buff配置索引'!$M:$M,0))=0,"",INDEX('#建筑消耗和buff配置索引'!BK:BK,MATCH($F121,'#建筑消耗和buff配置索引'!$M:$M,0)))</f>
        <v/>
      </c>
      <c r="AS121" s="133" t="str">
        <f>IF(AR121="","",INDEX('#建筑消耗和buff配置索引'!BL:BL,MATCH($F121,'#建筑消耗和buff配置索引'!$M:$M,0)))</f>
        <v/>
      </c>
      <c r="AV121" s="133" t="str">
        <f>IF(INDEX('#建筑消耗和buff配置索引'!BO:BO,MATCH($F121,'#建筑消耗和buff配置索引'!$M:$M,0))=0,"",INDEX('#建筑消耗和buff配置索引'!BO:BO,MATCH($F121,'#建筑消耗和buff配置索引'!$M:$M,0)))</f>
        <v/>
      </c>
      <c r="AW121" s="133" t="str">
        <f>IF(AV121="","",INDEX('#建筑消耗和buff配置索引'!BP:BP,MATCH($F121,'#建筑消耗和buff配置索引'!$M:$M,0)))</f>
        <v/>
      </c>
      <c r="AZ121" s="133" t="str">
        <f>IF(INDEX('#建筑消耗和buff配置索引'!BS:BS,MATCH($F121,'#建筑消耗和buff配置索引'!$M:$M,0))=0,"",INDEX('#建筑消耗和buff配置索引'!BS:BS,MATCH($F121,'#建筑消耗和buff配置索引'!$M:$M,0)))</f>
        <v/>
      </c>
      <c r="BA121" s="133" t="str">
        <f>IF(AZ121="","",INDEX('#建筑消耗和buff配置索引'!BT:BT,MATCH($F121,'#建筑消耗和buff配置索引'!$M:$M,0)))</f>
        <v/>
      </c>
      <c r="BD121" s="133" t="str">
        <f>IF(INDEX('#建筑消耗和buff配置索引'!BW:BW,MATCH($F121,'#建筑消耗和buff配置索引'!$M:$M,0))=0,"",INDEX('#建筑消耗和buff配置索引'!BW:BW,MATCH($F121,'#建筑消耗和buff配置索引'!$M:$M,0)))</f>
        <v/>
      </c>
      <c r="BE121" s="133" t="str">
        <f>IF(BD121="","",INDEX('#建筑消耗和buff配置索引'!BX:BX,MATCH($F121,'#建筑消耗和buff配置索引'!$M:$M,0)))</f>
        <v/>
      </c>
      <c r="BI121" s="133">
        <v>7</v>
      </c>
      <c r="BO121" s="133">
        <v>5</v>
      </c>
      <c r="BP121" s="133" t="s">
        <v>1360</v>
      </c>
      <c r="BQ121" s="133">
        <v>10003601</v>
      </c>
      <c r="BR121" s="133">
        <v>300</v>
      </c>
    </row>
    <row r="122" spans="1:70" s="133" customFormat="1">
      <c r="A122" s="133">
        <v>2040029</v>
      </c>
      <c r="B122" s="133">
        <v>119</v>
      </c>
      <c r="C122" s="133">
        <v>204</v>
      </c>
      <c r="D122" s="133" t="s">
        <v>226</v>
      </c>
      <c r="E122" s="133">
        <v>29</v>
      </c>
      <c r="F122" s="133" t="str">
        <f t="shared" si="4"/>
        <v>伐木场29</v>
      </c>
      <c r="H122" s="146"/>
      <c r="I122" s="133">
        <v>3</v>
      </c>
      <c r="J122" s="150">
        <f>INDEX('#建筑消耗和buff配置索引'!AH:AH,MATCH($F122,'#建筑消耗和buff配置索引'!$M:$M,0))</f>
        <v>285120</v>
      </c>
      <c r="K122" s="150">
        <f>INDEX('#建筑消耗和buff配置索引'!AA:AA,MATCH($F122,'#建筑消耗和buff配置索引'!$M:$M,0))</f>
        <v>6000000</v>
      </c>
      <c r="L122" s="150">
        <f>INDEX('#建筑消耗和buff配置索引'!AB:AB,MATCH($F122,'#建筑消耗和buff配置索引'!$M:$M,0))</f>
        <v>0</v>
      </c>
      <c r="M122" s="150">
        <f>INDEX('#建筑消耗和buff配置索引'!AC:AC,MATCH($F122,'#建筑消耗和buff配置索引'!$M:$M,0))</f>
        <v>6000000</v>
      </c>
      <c r="N122" s="150">
        <f>INDEX('#建筑消耗和buff配置索引'!AD:AD,MATCH($F122,'#建筑消耗和buff配置索引'!$M:$M,0))</f>
        <v>6000000</v>
      </c>
      <c r="O122" s="150" t="str">
        <f>IF(INDEX('#建筑消耗和buff配置索引'!T:T,MATCH($F122,'#建筑消耗和buff配置索引'!$M:$M,0))=0,"",INDEX('#建筑消耗和buff配置索引'!T:T,MATCH($F122,'#建筑消耗和buff配置索引'!$M:$M,0)))</f>
        <v/>
      </c>
      <c r="P122" s="133" t="str">
        <f>IF(INDEX('#建筑消耗和buff配置索引'!U:U,MATCH($F122,'#建筑消耗和buff配置索引'!$M:$M,0))=0,"",INDEX('#建筑消耗和buff配置索引'!U:U,MATCH($F122,'#建筑消耗和buff配置索引'!$M:$M,0)))</f>
        <v/>
      </c>
      <c r="Q122" s="133" t="str">
        <f>IF(INDEX('#建筑消耗和buff配置索引'!K:K,MATCH($F122,'#建筑消耗和buff配置索引'!$M:$M,0))=0,"",INDEX('#建筑消耗和buff配置索引'!K:K,MATCH($F122,'#建筑消耗和buff配置索引'!$M:$M,0)))</f>
        <v>201</v>
      </c>
      <c r="R122" s="133" t="str">
        <f>IF(INDEX('#建筑消耗和buff配置索引'!L:L,MATCH($F122,'#建筑消耗和buff配置索引'!$M:$M,0))=0,"",INDEX('#建筑消耗和buff配置索引'!L:L,MATCH($F122,'#建筑消耗和buff配置索引'!$M:$M,0)))</f>
        <v>29</v>
      </c>
      <c r="S122" s="133">
        <f>IF(INDEX('#建筑消耗和buff配置索引'!C:C,MATCH(F122,'#建筑消耗和buff配置索引'!M:M,0))=0,1,INDEX('#建筑消耗和buff配置索引'!C:C,MATCH(F122,'#建筑消耗和buff配置索引'!M:M,0)))</f>
        <v>1</v>
      </c>
      <c r="T122" s="133">
        <v>0</v>
      </c>
      <c r="U122" s="133">
        <v>0</v>
      </c>
      <c r="V122" s="133" t="str">
        <f>IF(E122=1,IF(INDEX('#建筑消耗和buff配置索引'!BY:BY,MATCH(D122,'#建筑消耗和buff配置索引'!A:A,0))=0,"",INDEX('#建筑消耗和buff配置索引'!BY:BY,MATCH(D122,'#建筑消耗和buff配置索引'!A:A,0))),"")</f>
        <v/>
      </c>
      <c r="W122" s="133" t="str">
        <f>IF(E122=1,IF(INDEX('#建筑消耗和buff配置索引'!BZ:BZ,MATCH(D122,'#建筑消耗和buff配置索引'!A:A,0))=0,"",INDEX('#建筑消耗和buff配置索引'!BZ:BZ,MATCH(D122,'#建筑消耗和buff配置索引'!A:A,0))),"")</f>
        <v/>
      </c>
      <c r="AA122" s="133">
        <f>INDEX('#建筑消耗和buff配置索引'!AO:AO,MATCH($F122,'#建筑消耗和buff配置索引'!$M:$M,0))</f>
        <v>164457</v>
      </c>
      <c r="AB122" s="133">
        <f>IF(INDEX('#建筑消耗和buff配置索引'!AR:AR,MATCH($F122,'#建筑消耗和buff配置索引'!$M:$M,0))=0,"",INDEX('#建筑消耗和buff配置索引'!AR:AR,MATCH($F122,'#建筑消耗和buff配置索引'!$M:$M,0)))</f>
        <v>1017</v>
      </c>
      <c r="AC122" s="133">
        <f>IF(AB122="","",INDEX('#建筑消耗和buff配置索引'!AS:AS,MATCH($F122,'#建筑消耗和buff配置索引'!$M:$M,0)))</f>
        <v>18200</v>
      </c>
      <c r="AF122" s="133" t="str">
        <f>IF(INDEX('#建筑消耗和buff配置索引'!AW:AW,MATCH($F122,'#建筑消耗和buff配置索引'!$M:$M,0))=0,"",INDEX('#建筑消耗和buff配置索引'!AW:AW,MATCH($F122,'#建筑消耗和buff配置索引'!$M:$M,0)))</f>
        <v/>
      </c>
      <c r="AG122" s="133" t="str">
        <f>IF(AF122="","",INDEX('#建筑消耗和buff配置索引'!AX:AX,MATCH($F122,'#建筑消耗和buff配置索引'!$M:$M,0)))</f>
        <v/>
      </c>
      <c r="AJ122" s="133" t="str">
        <f>IF(INDEX('#建筑消耗和buff配置索引'!BB:BB,MATCH($F122,'#建筑消耗和buff配置索引'!$M:$M,0))=0,"",INDEX('#建筑消耗和buff配置索引'!BB:BB,MATCH($F122,'#建筑消耗和buff配置索引'!$M:$M,0)))</f>
        <v/>
      </c>
      <c r="AK122" s="133" t="str">
        <f>IF(AJ122="","",INDEX('#建筑消耗和buff配置索引'!BC:BC,MATCH($F122,'#建筑消耗和buff配置索引'!$M:$M,0)))</f>
        <v/>
      </c>
      <c r="AN122" s="133" t="str">
        <f>IF(INDEX('#建筑消耗和buff配置索引'!BG:BG,MATCH($F122,'#建筑消耗和buff配置索引'!$M:$M,0))=0,"",INDEX('#建筑消耗和buff配置索引'!BG:BG,MATCH($F122,'#建筑消耗和buff配置索引'!$M:$M,0)))</f>
        <v/>
      </c>
      <c r="AO122" s="133" t="str">
        <f>IF(AN122="","",INDEX('#建筑消耗和buff配置索引'!BH:BH,MATCH($F122,'#建筑消耗和buff配置索引'!$M:$M,0)))</f>
        <v/>
      </c>
      <c r="AR122" s="133" t="str">
        <f>IF(INDEX('#建筑消耗和buff配置索引'!BK:BK,MATCH($F122,'#建筑消耗和buff配置索引'!$M:$M,0))=0,"",INDEX('#建筑消耗和buff配置索引'!BK:BK,MATCH($F122,'#建筑消耗和buff配置索引'!$M:$M,0)))</f>
        <v/>
      </c>
      <c r="AS122" s="133" t="str">
        <f>IF(AR122="","",INDEX('#建筑消耗和buff配置索引'!BL:BL,MATCH($F122,'#建筑消耗和buff配置索引'!$M:$M,0)))</f>
        <v/>
      </c>
      <c r="AV122" s="133" t="str">
        <f>IF(INDEX('#建筑消耗和buff配置索引'!BO:BO,MATCH($F122,'#建筑消耗和buff配置索引'!$M:$M,0))=0,"",INDEX('#建筑消耗和buff配置索引'!BO:BO,MATCH($F122,'#建筑消耗和buff配置索引'!$M:$M,0)))</f>
        <v/>
      </c>
      <c r="AW122" s="133" t="str">
        <f>IF(AV122="","",INDEX('#建筑消耗和buff配置索引'!BP:BP,MATCH($F122,'#建筑消耗和buff配置索引'!$M:$M,0)))</f>
        <v/>
      </c>
      <c r="AZ122" s="133" t="str">
        <f>IF(INDEX('#建筑消耗和buff配置索引'!BS:BS,MATCH($F122,'#建筑消耗和buff配置索引'!$M:$M,0))=0,"",INDEX('#建筑消耗和buff配置索引'!BS:BS,MATCH($F122,'#建筑消耗和buff配置索引'!$M:$M,0)))</f>
        <v/>
      </c>
      <c r="BA122" s="133" t="str">
        <f>IF(AZ122="","",INDEX('#建筑消耗和buff配置索引'!BT:BT,MATCH($F122,'#建筑消耗和buff配置索引'!$M:$M,0)))</f>
        <v/>
      </c>
      <c r="BD122" s="133" t="str">
        <f>IF(INDEX('#建筑消耗和buff配置索引'!BW:BW,MATCH($F122,'#建筑消耗和buff配置索引'!$M:$M,0))=0,"",INDEX('#建筑消耗和buff配置索引'!BW:BW,MATCH($F122,'#建筑消耗和buff配置索引'!$M:$M,0)))</f>
        <v/>
      </c>
      <c r="BE122" s="133" t="str">
        <f>IF(BD122="","",INDEX('#建筑消耗和buff配置索引'!BX:BX,MATCH($F122,'#建筑消耗和buff配置索引'!$M:$M,0)))</f>
        <v/>
      </c>
      <c r="BI122" s="133">
        <v>7</v>
      </c>
      <c r="BO122" s="133">
        <v>5</v>
      </c>
      <c r="BP122" s="133" t="s">
        <v>1360</v>
      </c>
      <c r="BQ122" s="133">
        <v>10003601</v>
      </c>
      <c r="BR122" s="133">
        <v>300</v>
      </c>
    </row>
    <row r="123" spans="1:70" s="133" customFormat="1">
      <c r="A123" s="133">
        <v>2040030</v>
      </c>
      <c r="B123" s="133">
        <v>120</v>
      </c>
      <c r="C123" s="133">
        <v>204</v>
      </c>
      <c r="D123" s="133" t="s">
        <v>226</v>
      </c>
      <c r="E123" s="133">
        <v>30</v>
      </c>
      <c r="F123" s="133" t="str">
        <f t="shared" si="4"/>
        <v>伐木场30</v>
      </c>
      <c r="H123" s="146"/>
      <c r="I123" s="133">
        <v>3</v>
      </c>
      <c r="J123" s="150">
        <f>INDEX('#建筑消耗和buff配置索引'!AH:AH,MATCH($F123,'#建筑消耗和buff配置索引'!$M:$M,0))</f>
        <v>345600</v>
      </c>
      <c r="K123" s="150">
        <f>INDEX('#建筑消耗和buff配置索引'!AA:AA,MATCH($F123,'#建筑消耗和buff配置索引'!$M:$M,0))</f>
        <v>7700000</v>
      </c>
      <c r="L123" s="150">
        <f>INDEX('#建筑消耗和buff配置索引'!AB:AB,MATCH($F123,'#建筑消耗和buff配置索引'!$M:$M,0))</f>
        <v>0</v>
      </c>
      <c r="M123" s="150">
        <f>INDEX('#建筑消耗和buff配置索引'!AC:AC,MATCH($F123,'#建筑消耗和buff配置索引'!$M:$M,0))</f>
        <v>7700000</v>
      </c>
      <c r="N123" s="150">
        <f>INDEX('#建筑消耗和buff配置索引'!AD:AD,MATCH($F123,'#建筑消耗和buff配置索引'!$M:$M,0))</f>
        <v>7700000</v>
      </c>
      <c r="O123" s="150" t="str">
        <f>IF(INDEX('#建筑消耗和buff配置索引'!T:T,MATCH($F123,'#建筑消耗和buff配置索引'!$M:$M,0))=0,"",INDEX('#建筑消耗和buff配置索引'!T:T,MATCH($F123,'#建筑消耗和buff配置索引'!$M:$M,0)))</f>
        <v/>
      </c>
      <c r="P123" s="133" t="str">
        <f>IF(INDEX('#建筑消耗和buff配置索引'!U:U,MATCH($F123,'#建筑消耗和buff配置索引'!$M:$M,0))=0,"",INDEX('#建筑消耗和buff配置索引'!U:U,MATCH($F123,'#建筑消耗和buff配置索引'!$M:$M,0)))</f>
        <v/>
      </c>
      <c r="Q123" s="133" t="str">
        <f>IF(INDEX('#建筑消耗和buff配置索引'!K:K,MATCH($F123,'#建筑消耗和buff配置索引'!$M:$M,0))=0,"",INDEX('#建筑消耗和buff配置索引'!K:K,MATCH($F123,'#建筑消耗和buff配置索引'!$M:$M,0)))</f>
        <v>201</v>
      </c>
      <c r="R123" s="133" t="str">
        <f>IF(INDEX('#建筑消耗和buff配置索引'!L:L,MATCH($F123,'#建筑消耗和buff配置索引'!$M:$M,0))=0,"",INDEX('#建筑消耗和buff配置索引'!L:L,MATCH($F123,'#建筑消耗和buff配置索引'!$M:$M,0)))</f>
        <v>30</v>
      </c>
      <c r="S123" s="133">
        <f>IF(INDEX('#建筑消耗和buff配置索引'!C:C,MATCH(F123,'#建筑消耗和buff配置索引'!M:M,0))=0,1,INDEX('#建筑消耗和buff配置索引'!C:C,MATCH(F123,'#建筑消耗和buff配置索引'!M:M,0)))</f>
        <v>1</v>
      </c>
      <c r="T123" s="133">
        <v>0</v>
      </c>
      <c r="U123" s="133">
        <v>0</v>
      </c>
      <c r="V123" s="133" t="str">
        <f>IF(E123=1,IF(INDEX('#建筑消耗和buff配置索引'!BY:BY,MATCH(D123,'#建筑消耗和buff配置索引'!A:A,0))=0,"",INDEX('#建筑消耗和buff配置索引'!BY:BY,MATCH(D123,'#建筑消耗和buff配置索引'!A:A,0))),"")</f>
        <v/>
      </c>
      <c r="W123" s="133" t="str">
        <f>IF(E123=1,IF(INDEX('#建筑消耗和buff配置索引'!BZ:BZ,MATCH(D123,'#建筑消耗和buff配置索引'!A:A,0))=0,"",INDEX('#建筑消耗和buff配置索引'!BZ:BZ,MATCH(D123,'#建筑消耗和buff配置索引'!A:A,0))),"")</f>
        <v/>
      </c>
      <c r="AA123" s="133">
        <f>INDEX('#建筑消耗和buff配置索引'!AO:AO,MATCH($F123,'#建筑消耗和buff配置索引'!$M:$M,0))</f>
        <v>210806</v>
      </c>
      <c r="AB123" s="133">
        <f>IF(INDEX('#建筑消耗和buff配置索引'!AR:AR,MATCH($F123,'#建筑消耗和buff配置索引'!$M:$M,0))=0,"",INDEX('#建筑消耗和buff配置索引'!AR:AR,MATCH($F123,'#建筑消耗和buff配置索引'!$M:$M,0)))</f>
        <v>1017</v>
      </c>
      <c r="AC123" s="133">
        <f>IF(AB123="","",INDEX('#建筑消耗和buff配置索引'!AS:AS,MATCH($F123,'#建筑消耗和buff配置索引'!$M:$M,0)))</f>
        <v>20000</v>
      </c>
      <c r="AF123" s="133" t="str">
        <f>IF(INDEX('#建筑消耗和buff配置索引'!AW:AW,MATCH($F123,'#建筑消耗和buff配置索引'!$M:$M,0))=0,"",INDEX('#建筑消耗和buff配置索引'!AW:AW,MATCH($F123,'#建筑消耗和buff配置索引'!$M:$M,0)))</f>
        <v/>
      </c>
      <c r="AG123" s="133" t="str">
        <f>IF(AF123="","",INDEX('#建筑消耗和buff配置索引'!AX:AX,MATCH($F123,'#建筑消耗和buff配置索引'!$M:$M,0)))</f>
        <v/>
      </c>
      <c r="AJ123" s="133" t="str">
        <f>IF(INDEX('#建筑消耗和buff配置索引'!BB:BB,MATCH($F123,'#建筑消耗和buff配置索引'!$M:$M,0))=0,"",INDEX('#建筑消耗和buff配置索引'!BB:BB,MATCH($F123,'#建筑消耗和buff配置索引'!$M:$M,0)))</f>
        <v/>
      </c>
      <c r="AK123" s="133" t="str">
        <f>IF(AJ123="","",INDEX('#建筑消耗和buff配置索引'!BC:BC,MATCH($F123,'#建筑消耗和buff配置索引'!$M:$M,0)))</f>
        <v/>
      </c>
      <c r="AN123" s="133" t="str">
        <f>IF(INDEX('#建筑消耗和buff配置索引'!BG:BG,MATCH($F123,'#建筑消耗和buff配置索引'!$M:$M,0))=0,"",INDEX('#建筑消耗和buff配置索引'!BG:BG,MATCH($F123,'#建筑消耗和buff配置索引'!$M:$M,0)))</f>
        <v/>
      </c>
      <c r="AO123" s="133" t="str">
        <f>IF(AN123="","",INDEX('#建筑消耗和buff配置索引'!BH:BH,MATCH($F123,'#建筑消耗和buff配置索引'!$M:$M,0)))</f>
        <v/>
      </c>
      <c r="AR123" s="133" t="str">
        <f>IF(INDEX('#建筑消耗和buff配置索引'!BK:BK,MATCH($F123,'#建筑消耗和buff配置索引'!$M:$M,0))=0,"",INDEX('#建筑消耗和buff配置索引'!BK:BK,MATCH($F123,'#建筑消耗和buff配置索引'!$M:$M,0)))</f>
        <v/>
      </c>
      <c r="AS123" s="133" t="str">
        <f>IF(AR123="","",INDEX('#建筑消耗和buff配置索引'!BL:BL,MATCH($F123,'#建筑消耗和buff配置索引'!$M:$M,0)))</f>
        <v/>
      </c>
      <c r="AV123" s="133" t="str">
        <f>IF(INDEX('#建筑消耗和buff配置索引'!BO:BO,MATCH($F123,'#建筑消耗和buff配置索引'!$M:$M,0))=0,"",INDEX('#建筑消耗和buff配置索引'!BO:BO,MATCH($F123,'#建筑消耗和buff配置索引'!$M:$M,0)))</f>
        <v/>
      </c>
      <c r="AW123" s="133" t="str">
        <f>IF(AV123="","",INDEX('#建筑消耗和buff配置索引'!BP:BP,MATCH($F123,'#建筑消耗和buff配置索引'!$M:$M,0)))</f>
        <v/>
      </c>
      <c r="AZ123" s="133" t="str">
        <f>IF(INDEX('#建筑消耗和buff配置索引'!BS:BS,MATCH($F123,'#建筑消耗和buff配置索引'!$M:$M,0))=0,"",INDEX('#建筑消耗和buff配置索引'!BS:BS,MATCH($F123,'#建筑消耗和buff配置索引'!$M:$M,0)))</f>
        <v/>
      </c>
      <c r="BA123" s="133" t="str">
        <f>IF(AZ123="","",INDEX('#建筑消耗和buff配置索引'!BT:BT,MATCH($F123,'#建筑消耗和buff配置索引'!$M:$M,0)))</f>
        <v/>
      </c>
      <c r="BD123" s="133" t="str">
        <f>IF(INDEX('#建筑消耗和buff配置索引'!BW:BW,MATCH($F123,'#建筑消耗和buff配置索引'!$M:$M,0))=0,"",INDEX('#建筑消耗和buff配置索引'!BW:BW,MATCH($F123,'#建筑消耗和buff配置索引'!$M:$M,0)))</f>
        <v/>
      </c>
      <c r="BE123" s="133" t="str">
        <f>IF(BD123="","",INDEX('#建筑消耗和buff配置索引'!BX:BX,MATCH($F123,'#建筑消耗和buff配置索引'!$M:$M,0)))</f>
        <v/>
      </c>
      <c r="BI123" s="133">
        <v>7</v>
      </c>
      <c r="BO123" s="133">
        <v>5</v>
      </c>
      <c r="BP123" s="133" t="s">
        <v>1360</v>
      </c>
      <c r="BQ123" s="133">
        <v>10003601</v>
      </c>
      <c r="BR123" s="133">
        <v>300</v>
      </c>
    </row>
    <row r="124" spans="1:70" s="133" customFormat="1">
      <c r="A124" s="133">
        <v>2050001</v>
      </c>
      <c r="B124" s="133">
        <v>121</v>
      </c>
      <c r="C124" s="133">
        <v>205</v>
      </c>
      <c r="D124" s="133" t="s">
        <v>249</v>
      </c>
      <c r="E124" s="133">
        <v>1</v>
      </c>
      <c r="F124" s="133" t="str">
        <f t="shared" si="4"/>
        <v>石矿场1</v>
      </c>
      <c r="H124" s="146"/>
      <c r="I124" s="133" t="s">
        <v>1205</v>
      </c>
      <c r="J124" s="150">
        <f>INDEX('#建筑消耗和buff配置索引'!AH:AH,MATCH($F124,'#建筑消耗和buff配置索引'!$M:$M,0))</f>
        <v>25</v>
      </c>
      <c r="K124" s="150">
        <f>INDEX('#建筑消耗和buff配置索引'!AA:AA,MATCH($F124,'#建筑消耗和buff配置索引'!$M:$M,0))</f>
        <v>0</v>
      </c>
      <c r="L124" s="150">
        <f>INDEX('#建筑消耗和buff配置索引'!AB:AB,MATCH($F124,'#建筑消耗和buff配置索引'!$M:$M,0))</f>
        <v>0</v>
      </c>
      <c r="M124" s="150">
        <f>INDEX('#建筑消耗和buff配置索引'!AC:AC,MATCH($F124,'#建筑消耗和buff配置索引'!$M:$M,0))</f>
        <v>0</v>
      </c>
      <c r="N124" s="150">
        <f>INDEX('#建筑消耗和buff配置索引'!AD:AD,MATCH($F124,'#建筑消耗和buff配置索引'!$M:$M,0))</f>
        <v>0</v>
      </c>
      <c r="O124" s="150" t="str">
        <f>IF(INDEX('#建筑消耗和buff配置索引'!T:T,MATCH($F124,'#建筑消耗和buff配置索引'!$M:$M,0))=0,"",INDEX('#建筑消耗和buff配置索引'!T:T,MATCH($F124,'#建筑消耗和buff配置索引'!$M:$M,0)))</f>
        <v/>
      </c>
      <c r="P124" s="133" t="str">
        <f>IF(INDEX('#建筑消耗和buff配置索引'!U:U,MATCH($F124,'#建筑消耗和buff配置索引'!$M:$M,0))=0,"",INDEX('#建筑消耗和buff配置索引'!U:U,MATCH($F124,'#建筑消耗和buff配置索引'!$M:$M,0)))</f>
        <v/>
      </c>
      <c r="Q124" s="133" t="str">
        <f>IF(INDEX('#建筑消耗和buff配置索引'!K:K,MATCH($F124,'#建筑消耗和buff配置索引'!$M:$M,0))=0,"",INDEX('#建筑消耗和buff配置索引'!K:K,MATCH($F124,'#建筑消耗和buff配置索引'!$M:$M,0)))</f>
        <v>201</v>
      </c>
      <c r="R124" s="133" t="str">
        <f>IF(INDEX('#建筑消耗和buff配置索引'!L:L,MATCH($F124,'#建筑消耗和buff配置索引'!$M:$M,0))=0,"",INDEX('#建筑消耗和buff配置索引'!L:L,MATCH($F124,'#建筑消耗和buff配置索引'!$M:$M,0)))</f>
        <v>4</v>
      </c>
      <c r="S124" s="133">
        <f>IF(INDEX('#建筑消耗和buff配置索引'!C:C,MATCH(F124,'#建筑消耗和buff配置索引'!M:M,0))=0,1,INDEX('#建筑消耗和buff配置索引'!C:C,MATCH(F124,'#建筑消耗和buff配置索引'!M:M,0)))</f>
        <v>2</v>
      </c>
      <c r="T124" s="133">
        <v>0</v>
      </c>
      <c r="U124" s="133">
        <v>0</v>
      </c>
      <c r="V124" s="133" t="str">
        <f>IF(E124=1,IF(INDEX('#建筑消耗和buff配置索引'!BY:BY,MATCH(D124,'#建筑消耗和buff配置索引'!A:A,0))=0,"",INDEX('#建筑消耗和buff配置索引'!BY:BY,MATCH(D124,'#建筑消耗和buff配置索引'!A:A,0))),"")</f>
        <v>1</v>
      </c>
      <c r="W124" s="133" t="str">
        <f>IF(E124=1,IF(INDEX('#建筑消耗和buff配置索引'!BZ:BZ,MATCH(D124,'#建筑消耗和buff配置索引'!A:A,0))=0,"",INDEX('#建筑消耗和buff配置索引'!BZ:BZ,MATCH(D124,'#建筑消耗和buff配置索引'!A:A,0))),"")</f>
        <v>TID_Buff_BuilDetail_1018</v>
      </c>
      <c r="AA124" s="133">
        <f>INDEX('#建筑消耗和buff配置索引'!AO:AO,MATCH($F124,'#建筑消耗和buff配置索引'!$M:$M,0))</f>
        <v>1</v>
      </c>
      <c r="AB124" s="133">
        <f>IF(INDEX('#建筑消耗和buff配置索引'!AR:AR,MATCH($F124,'#建筑消耗和buff配置索引'!$M:$M,0))=0,"",INDEX('#建筑消耗和buff配置索引'!AR:AR,MATCH($F124,'#建筑消耗和buff配置索引'!$M:$M,0)))</f>
        <v>1018</v>
      </c>
      <c r="AC124" s="133">
        <f>IF(AB124="","",INDEX('#建筑消耗和buff配置索引'!AS:AS,MATCH($F124,'#建筑消耗和buff配置索引'!$M:$M,0)))</f>
        <v>400</v>
      </c>
      <c r="AF124" s="133" t="str">
        <f>IF(INDEX('#建筑消耗和buff配置索引'!AW:AW,MATCH($F124,'#建筑消耗和buff配置索引'!$M:$M,0))=0,"",INDEX('#建筑消耗和buff配置索引'!AW:AW,MATCH($F124,'#建筑消耗和buff配置索引'!$M:$M,0)))</f>
        <v/>
      </c>
      <c r="AG124" s="133" t="str">
        <f>IF(AF124="","",INDEX('#建筑消耗和buff配置索引'!AX:AX,MATCH($F124,'#建筑消耗和buff配置索引'!$M:$M,0)))</f>
        <v/>
      </c>
      <c r="AJ124" s="133" t="str">
        <f>IF(INDEX('#建筑消耗和buff配置索引'!BB:BB,MATCH($F124,'#建筑消耗和buff配置索引'!$M:$M,0))=0,"",INDEX('#建筑消耗和buff配置索引'!BB:BB,MATCH($F124,'#建筑消耗和buff配置索引'!$M:$M,0)))</f>
        <v/>
      </c>
      <c r="AK124" s="133" t="str">
        <f>IF(AJ124="","",INDEX('#建筑消耗和buff配置索引'!BC:BC,MATCH($F124,'#建筑消耗和buff配置索引'!$M:$M,0)))</f>
        <v/>
      </c>
      <c r="AN124" s="133" t="str">
        <f>IF(INDEX('#建筑消耗和buff配置索引'!BG:BG,MATCH($F124,'#建筑消耗和buff配置索引'!$M:$M,0))=0,"",INDEX('#建筑消耗和buff配置索引'!BG:BG,MATCH($F124,'#建筑消耗和buff配置索引'!$M:$M,0)))</f>
        <v/>
      </c>
      <c r="AO124" s="133" t="str">
        <f>IF(AN124="","",INDEX('#建筑消耗和buff配置索引'!BH:BH,MATCH($F124,'#建筑消耗和buff配置索引'!$M:$M,0)))</f>
        <v/>
      </c>
      <c r="AR124" s="133" t="str">
        <f>IF(INDEX('#建筑消耗和buff配置索引'!BK:BK,MATCH($F124,'#建筑消耗和buff配置索引'!$M:$M,0))=0,"",INDEX('#建筑消耗和buff配置索引'!BK:BK,MATCH($F124,'#建筑消耗和buff配置索引'!$M:$M,0)))</f>
        <v/>
      </c>
      <c r="AS124" s="133" t="str">
        <f>IF(AR124="","",INDEX('#建筑消耗和buff配置索引'!BL:BL,MATCH($F124,'#建筑消耗和buff配置索引'!$M:$M,0)))</f>
        <v/>
      </c>
      <c r="AV124" s="133" t="str">
        <f>IF(INDEX('#建筑消耗和buff配置索引'!BO:BO,MATCH($F124,'#建筑消耗和buff配置索引'!$M:$M,0))=0,"",INDEX('#建筑消耗和buff配置索引'!BO:BO,MATCH($F124,'#建筑消耗和buff配置索引'!$M:$M,0)))</f>
        <v/>
      </c>
      <c r="AW124" s="133" t="str">
        <f>IF(AV124="","",INDEX('#建筑消耗和buff配置索引'!BP:BP,MATCH($F124,'#建筑消耗和buff配置索引'!$M:$M,0)))</f>
        <v/>
      </c>
      <c r="AZ124" s="133" t="str">
        <f>IF(INDEX('#建筑消耗和buff配置索引'!BS:BS,MATCH($F124,'#建筑消耗和buff配置索引'!$M:$M,0))=0,"",INDEX('#建筑消耗和buff配置索引'!BS:BS,MATCH($F124,'#建筑消耗和buff配置索引'!$M:$M,0)))</f>
        <v/>
      </c>
      <c r="BA124" s="133" t="str">
        <f>IF(AZ124="","",INDEX('#建筑消耗和buff配置索引'!BT:BT,MATCH($F124,'#建筑消耗和buff配置索引'!$M:$M,0)))</f>
        <v/>
      </c>
      <c r="BD124" s="133" t="str">
        <f>IF(INDEX('#建筑消耗和buff配置索引'!BW:BW,MATCH($F124,'#建筑消耗和buff配置索引'!$M:$M,0))=0,"",INDEX('#建筑消耗和buff配置索引'!BW:BW,MATCH($F124,'#建筑消耗和buff配置索引'!$M:$M,0)))</f>
        <v/>
      </c>
      <c r="BE124" s="133" t="str">
        <f>IF(BD124="","",INDEX('#建筑消耗和buff配置索引'!BX:BX,MATCH($F124,'#建筑消耗和buff配置索引'!$M:$M,0)))</f>
        <v/>
      </c>
      <c r="BI124" s="133">
        <v>8</v>
      </c>
      <c r="BN124" s="133">
        <v>3</v>
      </c>
      <c r="BO124" s="133">
        <v>3</v>
      </c>
      <c r="BP124" s="133" t="s">
        <v>1360</v>
      </c>
      <c r="BQ124" s="133">
        <v>10003602</v>
      </c>
      <c r="BR124" s="133">
        <v>300</v>
      </c>
    </row>
    <row r="125" spans="1:70" s="133" customFormat="1">
      <c r="A125" s="133">
        <v>2050002</v>
      </c>
      <c r="B125" s="133">
        <v>122</v>
      </c>
      <c r="C125" s="133">
        <v>205</v>
      </c>
      <c r="D125" s="133" t="s">
        <v>249</v>
      </c>
      <c r="E125" s="133">
        <v>2</v>
      </c>
      <c r="F125" s="133" t="str">
        <f t="shared" si="4"/>
        <v>石矿场2</v>
      </c>
      <c r="H125" s="146"/>
      <c r="I125" s="133" t="s">
        <v>1205</v>
      </c>
      <c r="J125" s="150">
        <f>INDEX('#建筑消耗和buff配置索引'!AH:AH,MATCH($F125,'#建筑消耗和buff配置索引'!$M:$M,0))</f>
        <v>25</v>
      </c>
      <c r="K125" s="150">
        <f>INDEX('#建筑消耗和buff配置索引'!AA:AA,MATCH($F125,'#建筑消耗和buff配置索引'!$M:$M,0))</f>
        <v>500</v>
      </c>
      <c r="L125" s="150">
        <f>INDEX('#建筑消耗和buff配置索引'!AB:AB,MATCH($F125,'#建筑消耗和buff配置索引'!$M:$M,0))</f>
        <v>500</v>
      </c>
      <c r="M125" s="150">
        <f>INDEX('#建筑消耗和buff配置索引'!AC:AC,MATCH($F125,'#建筑消耗和buff配置索引'!$M:$M,0))</f>
        <v>0</v>
      </c>
      <c r="N125" s="150">
        <f>INDEX('#建筑消耗和buff配置索引'!AD:AD,MATCH($F125,'#建筑消耗和buff配置索引'!$M:$M,0))</f>
        <v>0</v>
      </c>
      <c r="O125" s="150" t="str">
        <f>IF(INDEX('#建筑消耗和buff配置索引'!T:T,MATCH($F125,'#建筑消耗和buff配置索引'!$M:$M,0))=0,"",INDEX('#建筑消耗和buff配置索引'!T:T,MATCH($F125,'#建筑消耗和buff配置索引'!$M:$M,0)))</f>
        <v/>
      </c>
      <c r="P125" s="133" t="str">
        <f>IF(INDEX('#建筑消耗和buff配置索引'!U:U,MATCH($F125,'#建筑消耗和buff配置索引'!$M:$M,0))=0,"",INDEX('#建筑消耗和buff配置索引'!U:U,MATCH($F125,'#建筑消耗和buff配置索引'!$M:$M,0)))</f>
        <v/>
      </c>
      <c r="Q125" s="133" t="str">
        <f>IF(INDEX('#建筑消耗和buff配置索引'!K:K,MATCH($F125,'#建筑消耗和buff配置索引'!$M:$M,0))=0,"",INDEX('#建筑消耗和buff配置索引'!K:K,MATCH($F125,'#建筑消耗和buff配置索引'!$M:$M,0)))</f>
        <v>201</v>
      </c>
      <c r="R125" s="133" t="str">
        <f>IF(INDEX('#建筑消耗和buff配置索引'!L:L,MATCH($F125,'#建筑消耗和buff配置索引'!$M:$M,0))=0,"",INDEX('#建筑消耗和buff配置索引'!L:L,MATCH($F125,'#建筑消耗和buff配置索引'!$M:$M,0)))</f>
        <v>4</v>
      </c>
      <c r="S125" s="133">
        <f>IF(INDEX('#建筑消耗和buff配置索引'!C:C,MATCH(F125,'#建筑消耗和buff配置索引'!M:M,0))=0,1,INDEX('#建筑消耗和buff配置索引'!C:C,MATCH(F125,'#建筑消耗和buff配置索引'!M:M,0)))</f>
        <v>2</v>
      </c>
      <c r="T125" s="133">
        <v>0</v>
      </c>
      <c r="U125" s="133">
        <v>0</v>
      </c>
      <c r="V125" s="133" t="str">
        <f>IF(E125=1,IF(INDEX('#建筑消耗和buff配置索引'!BY:BY,MATCH(D125,'#建筑消耗和buff配置索引'!A:A,0))=0,"",INDEX('#建筑消耗和buff配置索引'!BY:BY,MATCH(D125,'#建筑消耗和buff配置索引'!A:A,0))),"")</f>
        <v/>
      </c>
      <c r="W125" s="133" t="str">
        <f>IF(E125=1,IF(INDEX('#建筑消耗和buff配置索引'!BZ:BZ,MATCH(D125,'#建筑消耗和buff配置索引'!A:A,0))=0,"",INDEX('#建筑消耗和buff配置索引'!BZ:BZ,MATCH(D125,'#建筑消耗和buff配置索引'!A:A,0))),"")</f>
        <v/>
      </c>
      <c r="AA125" s="133">
        <f>INDEX('#建筑消耗和buff配置索引'!AO:AO,MATCH($F125,'#建筑消耗和buff配置索引'!$M:$M,0))</f>
        <v>3</v>
      </c>
      <c r="AB125" s="133">
        <f>IF(INDEX('#建筑消耗和buff配置索引'!AR:AR,MATCH($F125,'#建筑消耗和buff配置索引'!$M:$M,0))=0,"",INDEX('#建筑消耗和buff配置索引'!AR:AR,MATCH($F125,'#建筑消耗和buff配置索引'!$M:$M,0)))</f>
        <v>1018</v>
      </c>
      <c r="AC125" s="133">
        <f>IF(AB125="","",INDEX('#建筑消耗和buff配置索引'!AS:AS,MATCH($F125,'#建筑消耗和buff配置索引'!$M:$M,0)))</f>
        <v>600</v>
      </c>
      <c r="AF125" s="133" t="str">
        <f>IF(INDEX('#建筑消耗和buff配置索引'!AW:AW,MATCH($F125,'#建筑消耗和buff配置索引'!$M:$M,0))=0,"",INDEX('#建筑消耗和buff配置索引'!AW:AW,MATCH($F125,'#建筑消耗和buff配置索引'!$M:$M,0)))</f>
        <v/>
      </c>
      <c r="AG125" s="133" t="str">
        <f>IF(AF125="","",INDEX('#建筑消耗和buff配置索引'!AX:AX,MATCH($F125,'#建筑消耗和buff配置索引'!$M:$M,0)))</f>
        <v/>
      </c>
      <c r="AJ125" s="133" t="str">
        <f>IF(INDEX('#建筑消耗和buff配置索引'!BB:BB,MATCH($F125,'#建筑消耗和buff配置索引'!$M:$M,0))=0,"",INDEX('#建筑消耗和buff配置索引'!BB:BB,MATCH($F125,'#建筑消耗和buff配置索引'!$M:$M,0)))</f>
        <v/>
      </c>
      <c r="AK125" s="133" t="str">
        <f>IF(AJ125="","",INDEX('#建筑消耗和buff配置索引'!BC:BC,MATCH($F125,'#建筑消耗和buff配置索引'!$M:$M,0)))</f>
        <v/>
      </c>
      <c r="AN125" s="133" t="str">
        <f>IF(INDEX('#建筑消耗和buff配置索引'!BG:BG,MATCH($F125,'#建筑消耗和buff配置索引'!$M:$M,0))=0,"",INDEX('#建筑消耗和buff配置索引'!BG:BG,MATCH($F125,'#建筑消耗和buff配置索引'!$M:$M,0)))</f>
        <v/>
      </c>
      <c r="AO125" s="133" t="str">
        <f>IF(AN125="","",INDEX('#建筑消耗和buff配置索引'!BH:BH,MATCH($F125,'#建筑消耗和buff配置索引'!$M:$M,0)))</f>
        <v/>
      </c>
      <c r="AR125" s="133" t="str">
        <f>IF(INDEX('#建筑消耗和buff配置索引'!BK:BK,MATCH($F125,'#建筑消耗和buff配置索引'!$M:$M,0))=0,"",INDEX('#建筑消耗和buff配置索引'!BK:BK,MATCH($F125,'#建筑消耗和buff配置索引'!$M:$M,0)))</f>
        <v/>
      </c>
      <c r="AS125" s="133" t="str">
        <f>IF(AR125="","",INDEX('#建筑消耗和buff配置索引'!BL:BL,MATCH($F125,'#建筑消耗和buff配置索引'!$M:$M,0)))</f>
        <v/>
      </c>
      <c r="AV125" s="133" t="str">
        <f>IF(INDEX('#建筑消耗和buff配置索引'!BO:BO,MATCH($F125,'#建筑消耗和buff配置索引'!$M:$M,0))=0,"",INDEX('#建筑消耗和buff配置索引'!BO:BO,MATCH($F125,'#建筑消耗和buff配置索引'!$M:$M,0)))</f>
        <v/>
      </c>
      <c r="AW125" s="133" t="str">
        <f>IF(AV125="","",INDEX('#建筑消耗和buff配置索引'!BP:BP,MATCH($F125,'#建筑消耗和buff配置索引'!$M:$M,0)))</f>
        <v/>
      </c>
      <c r="AZ125" s="133" t="str">
        <f>IF(INDEX('#建筑消耗和buff配置索引'!BS:BS,MATCH($F125,'#建筑消耗和buff配置索引'!$M:$M,0))=0,"",INDEX('#建筑消耗和buff配置索引'!BS:BS,MATCH($F125,'#建筑消耗和buff配置索引'!$M:$M,0)))</f>
        <v/>
      </c>
      <c r="BA125" s="133" t="str">
        <f>IF(AZ125="","",INDEX('#建筑消耗和buff配置索引'!BT:BT,MATCH($F125,'#建筑消耗和buff配置索引'!$M:$M,0)))</f>
        <v/>
      </c>
      <c r="BD125" s="133" t="str">
        <f>IF(INDEX('#建筑消耗和buff配置索引'!BW:BW,MATCH($F125,'#建筑消耗和buff配置索引'!$M:$M,0))=0,"",INDEX('#建筑消耗和buff配置索引'!BW:BW,MATCH($F125,'#建筑消耗和buff配置索引'!$M:$M,0)))</f>
        <v/>
      </c>
      <c r="BE125" s="133" t="str">
        <f>IF(BD125="","",INDEX('#建筑消耗和buff配置索引'!BX:BX,MATCH($F125,'#建筑消耗和buff配置索引'!$M:$M,0)))</f>
        <v/>
      </c>
      <c r="BI125" s="133">
        <v>8</v>
      </c>
      <c r="BO125" s="133">
        <v>3</v>
      </c>
      <c r="BP125" s="133" t="s">
        <v>1360</v>
      </c>
      <c r="BQ125" s="133">
        <v>10003602</v>
      </c>
      <c r="BR125" s="133">
        <v>300</v>
      </c>
    </row>
    <row r="126" spans="1:70" s="133" customFormat="1">
      <c r="A126" s="133">
        <v>2050003</v>
      </c>
      <c r="B126" s="133">
        <v>123</v>
      </c>
      <c r="C126" s="133">
        <v>205</v>
      </c>
      <c r="D126" s="133" t="s">
        <v>249</v>
      </c>
      <c r="E126" s="133">
        <v>3</v>
      </c>
      <c r="F126" s="133" t="str">
        <f t="shared" si="4"/>
        <v>石矿场3</v>
      </c>
      <c r="H126" s="146"/>
      <c r="I126" s="133" t="s">
        <v>1205</v>
      </c>
      <c r="J126" s="150">
        <f>INDEX('#建筑消耗和buff配置索引'!AH:AH,MATCH($F126,'#建筑消耗和buff配置索引'!$M:$M,0))</f>
        <v>36</v>
      </c>
      <c r="K126" s="150">
        <f>INDEX('#建筑消耗和buff配置索引'!AA:AA,MATCH($F126,'#建筑消耗和buff配置索引'!$M:$M,0))</f>
        <v>1000</v>
      </c>
      <c r="L126" s="150">
        <f>INDEX('#建筑消耗和buff配置索引'!AB:AB,MATCH($F126,'#建筑消耗和buff配置索引'!$M:$M,0))</f>
        <v>1000</v>
      </c>
      <c r="M126" s="150">
        <f>INDEX('#建筑消耗和buff配置索引'!AC:AC,MATCH($F126,'#建筑消耗和buff配置索引'!$M:$M,0))</f>
        <v>0</v>
      </c>
      <c r="N126" s="150">
        <f>INDEX('#建筑消耗和buff配置索引'!AD:AD,MATCH($F126,'#建筑消耗和buff配置索引'!$M:$M,0))</f>
        <v>0</v>
      </c>
      <c r="O126" s="150" t="str">
        <f>IF(INDEX('#建筑消耗和buff配置索引'!T:T,MATCH($F126,'#建筑消耗和buff配置索引'!$M:$M,0))=0,"",INDEX('#建筑消耗和buff配置索引'!T:T,MATCH($F126,'#建筑消耗和buff配置索引'!$M:$M,0)))</f>
        <v/>
      </c>
      <c r="P126" s="133" t="str">
        <f>IF(INDEX('#建筑消耗和buff配置索引'!U:U,MATCH($F126,'#建筑消耗和buff配置索引'!$M:$M,0))=0,"",INDEX('#建筑消耗和buff配置索引'!U:U,MATCH($F126,'#建筑消耗和buff配置索引'!$M:$M,0)))</f>
        <v/>
      </c>
      <c r="Q126" s="133" t="str">
        <f>IF(INDEX('#建筑消耗和buff配置索引'!K:K,MATCH($F126,'#建筑消耗和buff配置索引'!$M:$M,0))=0,"",INDEX('#建筑消耗和buff配置索引'!K:K,MATCH($F126,'#建筑消耗和buff配置索引'!$M:$M,0)))</f>
        <v>201</v>
      </c>
      <c r="R126" s="133" t="str">
        <f>IF(INDEX('#建筑消耗和buff配置索引'!L:L,MATCH($F126,'#建筑消耗和buff配置索引'!$M:$M,0))=0,"",INDEX('#建筑消耗和buff配置索引'!L:L,MATCH($F126,'#建筑消耗和buff配置索引'!$M:$M,0)))</f>
        <v>4</v>
      </c>
      <c r="S126" s="133">
        <f>IF(INDEX('#建筑消耗和buff配置索引'!C:C,MATCH(F126,'#建筑消耗和buff配置索引'!M:M,0))=0,1,INDEX('#建筑消耗和buff配置索引'!C:C,MATCH(F126,'#建筑消耗和buff配置索引'!M:M,0)))</f>
        <v>2</v>
      </c>
      <c r="T126" s="133">
        <v>0</v>
      </c>
      <c r="U126" s="133">
        <v>0</v>
      </c>
      <c r="V126" s="133" t="str">
        <f>IF(E126=1,IF(INDEX('#建筑消耗和buff配置索引'!BY:BY,MATCH(D126,'#建筑消耗和buff配置索引'!A:A,0))=0,"",INDEX('#建筑消耗和buff配置索引'!BY:BY,MATCH(D126,'#建筑消耗和buff配置索引'!A:A,0))),"")</f>
        <v/>
      </c>
      <c r="W126" s="133" t="str">
        <f>IF(E126=1,IF(INDEX('#建筑消耗和buff配置索引'!BZ:BZ,MATCH(D126,'#建筑消耗和buff配置索引'!A:A,0))=0,"",INDEX('#建筑消耗和buff配置索引'!BZ:BZ,MATCH(D126,'#建筑消耗和buff配置索引'!A:A,0))),"")</f>
        <v/>
      </c>
      <c r="AA126" s="133">
        <f>INDEX('#建筑消耗和buff配置索引'!AO:AO,MATCH($F126,'#建筑消耗和buff配置索引'!$M:$M,0))</f>
        <v>7</v>
      </c>
      <c r="AB126" s="133">
        <f>IF(INDEX('#建筑消耗和buff配置索引'!AR:AR,MATCH($F126,'#建筑消耗和buff配置索引'!$M:$M,0))=0,"",INDEX('#建筑消耗和buff配置索引'!AR:AR,MATCH($F126,'#建筑消耗和buff配置索引'!$M:$M,0)))</f>
        <v>1018</v>
      </c>
      <c r="AC126" s="133">
        <f>IF(AB126="","",INDEX('#建筑消耗和buff配置索引'!AS:AS,MATCH($F126,'#建筑消耗和buff配置索引'!$M:$M,0)))</f>
        <v>800</v>
      </c>
      <c r="AF126" s="133" t="str">
        <f>IF(INDEX('#建筑消耗和buff配置索引'!AW:AW,MATCH($F126,'#建筑消耗和buff配置索引'!$M:$M,0))=0,"",INDEX('#建筑消耗和buff配置索引'!AW:AW,MATCH($F126,'#建筑消耗和buff配置索引'!$M:$M,0)))</f>
        <v/>
      </c>
      <c r="AG126" s="133" t="str">
        <f>IF(AF126="","",INDEX('#建筑消耗和buff配置索引'!AX:AX,MATCH($F126,'#建筑消耗和buff配置索引'!$M:$M,0)))</f>
        <v/>
      </c>
      <c r="AJ126" s="133" t="str">
        <f>IF(INDEX('#建筑消耗和buff配置索引'!BB:BB,MATCH($F126,'#建筑消耗和buff配置索引'!$M:$M,0))=0,"",INDEX('#建筑消耗和buff配置索引'!BB:BB,MATCH($F126,'#建筑消耗和buff配置索引'!$M:$M,0)))</f>
        <v/>
      </c>
      <c r="AK126" s="133" t="str">
        <f>IF(AJ126="","",INDEX('#建筑消耗和buff配置索引'!BC:BC,MATCH($F126,'#建筑消耗和buff配置索引'!$M:$M,0)))</f>
        <v/>
      </c>
      <c r="AN126" s="133" t="str">
        <f>IF(INDEX('#建筑消耗和buff配置索引'!BG:BG,MATCH($F126,'#建筑消耗和buff配置索引'!$M:$M,0))=0,"",INDEX('#建筑消耗和buff配置索引'!BG:BG,MATCH($F126,'#建筑消耗和buff配置索引'!$M:$M,0)))</f>
        <v/>
      </c>
      <c r="AO126" s="133" t="str">
        <f>IF(AN126="","",INDEX('#建筑消耗和buff配置索引'!BH:BH,MATCH($F126,'#建筑消耗和buff配置索引'!$M:$M,0)))</f>
        <v/>
      </c>
      <c r="AR126" s="133" t="str">
        <f>IF(INDEX('#建筑消耗和buff配置索引'!BK:BK,MATCH($F126,'#建筑消耗和buff配置索引'!$M:$M,0))=0,"",INDEX('#建筑消耗和buff配置索引'!BK:BK,MATCH($F126,'#建筑消耗和buff配置索引'!$M:$M,0)))</f>
        <v/>
      </c>
      <c r="AS126" s="133" t="str">
        <f>IF(AR126="","",INDEX('#建筑消耗和buff配置索引'!BL:BL,MATCH($F126,'#建筑消耗和buff配置索引'!$M:$M,0)))</f>
        <v/>
      </c>
      <c r="AV126" s="133" t="str">
        <f>IF(INDEX('#建筑消耗和buff配置索引'!BO:BO,MATCH($F126,'#建筑消耗和buff配置索引'!$M:$M,0))=0,"",INDEX('#建筑消耗和buff配置索引'!BO:BO,MATCH($F126,'#建筑消耗和buff配置索引'!$M:$M,0)))</f>
        <v/>
      </c>
      <c r="AW126" s="133" t="str">
        <f>IF(AV126="","",INDEX('#建筑消耗和buff配置索引'!BP:BP,MATCH($F126,'#建筑消耗和buff配置索引'!$M:$M,0)))</f>
        <v/>
      </c>
      <c r="AZ126" s="133" t="str">
        <f>IF(INDEX('#建筑消耗和buff配置索引'!BS:BS,MATCH($F126,'#建筑消耗和buff配置索引'!$M:$M,0))=0,"",INDEX('#建筑消耗和buff配置索引'!BS:BS,MATCH($F126,'#建筑消耗和buff配置索引'!$M:$M,0)))</f>
        <v/>
      </c>
      <c r="BA126" s="133" t="str">
        <f>IF(AZ126="","",INDEX('#建筑消耗和buff配置索引'!BT:BT,MATCH($F126,'#建筑消耗和buff配置索引'!$M:$M,0)))</f>
        <v/>
      </c>
      <c r="BD126" s="133" t="str">
        <f>IF(INDEX('#建筑消耗和buff配置索引'!BW:BW,MATCH($F126,'#建筑消耗和buff配置索引'!$M:$M,0))=0,"",INDEX('#建筑消耗和buff配置索引'!BW:BW,MATCH($F126,'#建筑消耗和buff配置索引'!$M:$M,0)))</f>
        <v/>
      </c>
      <c r="BE126" s="133" t="str">
        <f>IF(BD126="","",INDEX('#建筑消耗和buff配置索引'!BX:BX,MATCH($F126,'#建筑消耗和buff配置索引'!$M:$M,0)))</f>
        <v/>
      </c>
      <c r="BI126" s="133">
        <v>8</v>
      </c>
      <c r="BO126" s="133">
        <v>3</v>
      </c>
      <c r="BP126" s="133" t="s">
        <v>1360</v>
      </c>
      <c r="BQ126" s="133">
        <v>10003602</v>
      </c>
      <c r="BR126" s="133">
        <v>300</v>
      </c>
    </row>
    <row r="127" spans="1:70" s="133" customFormat="1">
      <c r="A127" s="133">
        <v>2050004</v>
      </c>
      <c r="B127" s="133">
        <v>124</v>
      </c>
      <c r="C127" s="133">
        <v>205</v>
      </c>
      <c r="D127" s="133" t="s">
        <v>249</v>
      </c>
      <c r="E127" s="133">
        <v>4</v>
      </c>
      <c r="F127" s="133" t="str">
        <f t="shared" si="4"/>
        <v>石矿场4</v>
      </c>
      <c r="H127" s="146"/>
      <c r="I127" s="133" t="s">
        <v>1205</v>
      </c>
      <c r="J127" s="150">
        <f>INDEX('#建筑消耗和buff配置索引'!AH:AH,MATCH($F127,'#建筑消耗和buff配置索引'!$M:$M,0))</f>
        <v>72</v>
      </c>
      <c r="K127" s="150">
        <f>INDEX('#建筑消耗和buff配置索引'!AA:AA,MATCH($F127,'#建筑消耗和buff配置索引'!$M:$M,0))</f>
        <v>2000</v>
      </c>
      <c r="L127" s="150">
        <f>INDEX('#建筑消耗和buff配置索引'!AB:AB,MATCH($F127,'#建筑消耗和buff配置索引'!$M:$M,0))</f>
        <v>2000</v>
      </c>
      <c r="M127" s="150">
        <f>INDEX('#建筑消耗和buff配置索引'!AC:AC,MATCH($F127,'#建筑消耗和buff配置索引'!$M:$M,0))</f>
        <v>0</v>
      </c>
      <c r="N127" s="150">
        <f>INDEX('#建筑消耗和buff配置索引'!AD:AD,MATCH($F127,'#建筑消耗和buff配置索引'!$M:$M,0))</f>
        <v>0</v>
      </c>
      <c r="O127" s="150" t="str">
        <f>IF(INDEX('#建筑消耗和buff配置索引'!T:T,MATCH($F127,'#建筑消耗和buff配置索引'!$M:$M,0))=0,"",INDEX('#建筑消耗和buff配置索引'!T:T,MATCH($F127,'#建筑消耗和buff配置索引'!$M:$M,0)))</f>
        <v/>
      </c>
      <c r="P127" s="133" t="str">
        <f>IF(INDEX('#建筑消耗和buff配置索引'!U:U,MATCH($F127,'#建筑消耗和buff配置索引'!$M:$M,0))=0,"",INDEX('#建筑消耗和buff配置索引'!U:U,MATCH($F127,'#建筑消耗和buff配置索引'!$M:$M,0)))</f>
        <v/>
      </c>
      <c r="Q127" s="133" t="str">
        <f>IF(INDEX('#建筑消耗和buff配置索引'!K:K,MATCH($F127,'#建筑消耗和buff配置索引'!$M:$M,0))=0,"",INDEX('#建筑消耗和buff配置索引'!K:K,MATCH($F127,'#建筑消耗和buff配置索引'!$M:$M,0)))</f>
        <v>201</v>
      </c>
      <c r="R127" s="133" t="str">
        <f>IF(INDEX('#建筑消耗和buff配置索引'!L:L,MATCH($F127,'#建筑消耗和buff配置索引'!$M:$M,0))=0,"",INDEX('#建筑消耗和buff配置索引'!L:L,MATCH($F127,'#建筑消耗和buff配置索引'!$M:$M,0)))</f>
        <v>4</v>
      </c>
      <c r="S127" s="133">
        <f>IF(INDEX('#建筑消耗和buff配置索引'!C:C,MATCH(F127,'#建筑消耗和buff配置索引'!M:M,0))=0,1,INDEX('#建筑消耗和buff配置索引'!C:C,MATCH(F127,'#建筑消耗和buff配置索引'!M:M,0)))</f>
        <v>2</v>
      </c>
      <c r="T127" s="133">
        <v>0</v>
      </c>
      <c r="U127" s="133">
        <v>0</v>
      </c>
      <c r="V127" s="133" t="str">
        <f>IF(E127=1,IF(INDEX('#建筑消耗和buff配置索引'!BY:BY,MATCH(D127,'#建筑消耗和buff配置索引'!A:A,0))=0,"",INDEX('#建筑消耗和buff配置索引'!BY:BY,MATCH(D127,'#建筑消耗和buff配置索引'!A:A,0))),"")</f>
        <v/>
      </c>
      <c r="W127" s="133" t="str">
        <f>IF(E127=1,IF(INDEX('#建筑消耗和buff配置索引'!BZ:BZ,MATCH(D127,'#建筑消耗和buff配置索引'!A:A,0))=0,"",INDEX('#建筑消耗和buff配置索引'!BZ:BZ,MATCH(D127,'#建筑消耗和buff配置索引'!A:A,0))),"")</f>
        <v/>
      </c>
      <c r="AA127" s="133">
        <f>INDEX('#建筑消耗和buff配置索引'!AO:AO,MATCH($F127,'#建筑消耗和buff配置索引'!$M:$M,0))</f>
        <v>15</v>
      </c>
      <c r="AB127" s="133">
        <f>IF(INDEX('#建筑消耗和buff配置索引'!AR:AR,MATCH($F127,'#建筑消耗和buff配置索引'!$M:$M,0))=0,"",INDEX('#建筑消耗和buff配置索引'!AR:AR,MATCH($F127,'#建筑消耗和buff配置索引'!$M:$M,0)))</f>
        <v>1018</v>
      </c>
      <c r="AC127" s="133">
        <f>IF(AB127="","",INDEX('#建筑消耗和buff配置索引'!AS:AS,MATCH($F127,'#建筑消耗和buff配置索引'!$M:$M,0)))</f>
        <v>1000</v>
      </c>
      <c r="AF127" s="133" t="str">
        <f>IF(INDEX('#建筑消耗和buff配置索引'!AW:AW,MATCH($F127,'#建筑消耗和buff配置索引'!$M:$M,0))=0,"",INDEX('#建筑消耗和buff配置索引'!AW:AW,MATCH($F127,'#建筑消耗和buff配置索引'!$M:$M,0)))</f>
        <v/>
      </c>
      <c r="AG127" s="133" t="str">
        <f>IF(AF127="","",INDEX('#建筑消耗和buff配置索引'!AX:AX,MATCH($F127,'#建筑消耗和buff配置索引'!$M:$M,0)))</f>
        <v/>
      </c>
      <c r="AJ127" s="133" t="str">
        <f>IF(INDEX('#建筑消耗和buff配置索引'!BB:BB,MATCH($F127,'#建筑消耗和buff配置索引'!$M:$M,0))=0,"",INDEX('#建筑消耗和buff配置索引'!BB:BB,MATCH($F127,'#建筑消耗和buff配置索引'!$M:$M,0)))</f>
        <v/>
      </c>
      <c r="AK127" s="133" t="str">
        <f>IF(AJ127="","",INDEX('#建筑消耗和buff配置索引'!BC:BC,MATCH($F127,'#建筑消耗和buff配置索引'!$M:$M,0)))</f>
        <v/>
      </c>
      <c r="AN127" s="133" t="str">
        <f>IF(INDEX('#建筑消耗和buff配置索引'!BG:BG,MATCH($F127,'#建筑消耗和buff配置索引'!$M:$M,0))=0,"",INDEX('#建筑消耗和buff配置索引'!BG:BG,MATCH($F127,'#建筑消耗和buff配置索引'!$M:$M,0)))</f>
        <v/>
      </c>
      <c r="AO127" s="133" t="str">
        <f>IF(AN127="","",INDEX('#建筑消耗和buff配置索引'!BH:BH,MATCH($F127,'#建筑消耗和buff配置索引'!$M:$M,0)))</f>
        <v/>
      </c>
      <c r="AR127" s="133" t="str">
        <f>IF(INDEX('#建筑消耗和buff配置索引'!BK:BK,MATCH($F127,'#建筑消耗和buff配置索引'!$M:$M,0))=0,"",INDEX('#建筑消耗和buff配置索引'!BK:BK,MATCH($F127,'#建筑消耗和buff配置索引'!$M:$M,0)))</f>
        <v/>
      </c>
      <c r="AS127" s="133" t="str">
        <f>IF(AR127="","",INDEX('#建筑消耗和buff配置索引'!BL:BL,MATCH($F127,'#建筑消耗和buff配置索引'!$M:$M,0)))</f>
        <v/>
      </c>
      <c r="AV127" s="133" t="str">
        <f>IF(INDEX('#建筑消耗和buff配置索引'!BO:BO,MATCH($F127,'#建筑消耗和buff配置索引'!$M:$M,0))=0,"",INDEX('#建筑消耗和buff配置索引'!BO:BO,MATCH($F127,'#建筑消耗和buff配置索引'!$M:$M,0)))</f>
        <v/>
      </c>
      <c r="AW127" s="133" t="str">
        <f>IF(AV127="","",INDEX('#建筑消耗和buff配置索引'!BP:BP,MATCH($F127,'#建筑消耗和buff配置索引'!$M:$M,0)))</f>
        <v/>
      </c>
      <c r="AZ127" s="133" t="str">
        <f>IF(INDEX('#建筑消耗和buff配置索引'!BS:BS,MATCH($F127,'#建筑消耗和buff配置索引'!$M:$M,0))=0,"",INDEX('#建筑消耗和buff配置索引'!BS:BS,MATCH($F127,'#建筑消耗和buff配置索引'!$M:$M,0)))</f>
        <v/>
      </c>
      <c r="BA127" s="133" t="str">
        <f>IF(AZ127="","",INDEX('#建筑消耗和buff配置索引'!BT:BT,MATCH($F127,'#建筑消耗和buff配置索引'!$M:$M,0)))</f>
        <v/>
      </c>
      <c r="BD127" s="133" t="str">
        <f>IF(INDEX('#建筑消耗和buff配置索引'!BW:BW,MATCH($F127,'#建筑消耗和buff配置索引'!$M:$M,0))=0,"",INDEX('#建筑消耗和buff配置索引'!BW:BW,MATCH($F127,'#建筑消耗和buff配置索引'!$M:$M,0)))</f>
        <v/>
      </c>
      <c r="BE127" s="133" t="str">
        <f>IF(BD127="","",INDEX('#建筑消耗和buff配置索引'!BX:BX,MATCH($F127,'#建筑消耗和buff配置索引'!$M:$M,0)))</f>
        <v/>
      </c>
      <c r="BI127" s="133">
        <v>8</v>
      </c>
      <c r="BO127" s="133">
        <v>3</v>
      </c>
      <c r="BP127" s="133" t="s">
        <v>1360</v>
      </c>
      <c r="BQ127" s="133">
        <v>10003602</v>
      </c>
      <c r="BR127" s="133">
        <v>300</v>
      </c>
    </row>
    <row r="128" spans="1:70" s="133" customFormat="1">
      <c r="A128" s="133">
        <v>2050005</v>
      </c>
      <c r="B128" s="133">
        <v>125</v>
      </c>
      <c r="C128" s="133">
        <v>205</v>
      </c>
      <c r="D128" s="133" t="s">
        <v>249</v>
      </c>
      <c r="E128" s="133">
        <v>5</v>
      </c>
      <c r="F128" s="133" t="str">
        <f t="shared" si="4"/>
        <v>石矿场5</v>
      </c>
      <c r="H128" s="146"/>
      <c r="I128" s="133">
        <v>1</v>
      </c>
      <c r="J128" s="150">
        <f>INDEX('#建筑消耗和buff配置索引'!AH:AH,MATCH($F128,'#建筑消耗和buff配置索引'!$M:$M,0))</f>
        <v>150</v>
      </c>
      <c r="K128" s="150">
        <f>INDEX('#建筑消耗和buff配置索引'!AA:AA,MATCH($F128,'#建筑消耗和buff配置索引'!$M:$M,0))</f>
        <v>3900</v>
      </c>
      <c r="L128" s="150">
        <f>INDEX('#建筑消耗和buff配置索引'!AB:AB,MATCH($F128,'#建筑消耗和buff配置索引'!$M:$M,0))</f>
        <v>3900</v>
      </c>
      <c r="M128" s="150">
        <f>INDEX('#建筑消耗和buff配置索引'!AC:AC,MATCH($F128,'#建筑消耗和buff配置索引'!$M:$M,0))</f>
        <v>0</v>
      </c>
      <c r="N128" s="150">
        <f>INDEX('#建筑消耗和buff配置索引'!AD:AD,MATCH($F128,'#建筑消耗和buff配置索引'!$M:$M,0))</f>
        <v>0</v>
      </c>
      <c r="O128" s="150" t="str">
        <f>IF(INDEX('#建筑消耗和buff配置索引'!T:T,MATCH($F128,'#建筑消耗和buff配置索引'!$M:$M,0))=0,"",INDEX('#建筑消耗和buff配置索引'!T:T,MATCH($F128,'#建筑消耗和buff配置索引'!$M:$M,0)))</f>
        <v/>
      </c>
      <c r="P128" s="133" t="str">
        <f>IF(INDEX('#建筑消耗和buff配置索引'!U:U,MATCH($F128,'#建筑消耗和buff配置索引'!$M:$M,0))=0,"",INDEX('#建筑消耗和buff配置索引'!U:U,MATCH($F128,'#建筑消耗和buff配置索引'!$M:$M,0)))</f>
        <v/>
      </c>
      <c r="Q128" s="133" t="str">
        <f>IF(INDEX('#建筑消耗和buff配置索引'!K:K,MATCH($F128,'#建筑消耗和buff配置索引'!$M:$M,0))=0,"",INDEX('#建筑消耗和buff配置索引'!K:K,MATCH($F128,'#建筑消耗和buff配置索引'!$M:$M,0)))</f>
        <v>201</v>
      </c>
      <c r="R128" s="133" t="str">
        <f>IF(INDEX('#建筑消耗和buff配置索引'!L:L,MATCH($F128,'#建筑消耗和buff配置索引'!$M:$M,0))=0,"",INDEX('#建筑消耗和buff配置索引'!L:L,MATCH($F128,'#建筑消耗和buff配置索引'!$M:$M,0)))</f>
        <v>5</v>
      </c>
      <c r="S128" s="133">
        <f>IF(INDEX('#建筑消耗和buff配置索引'!C:C,MATCH(F128,'#建筑消耗和buff配置索引'!M:M,0))=0,1,INDEX('#建筑消耗和buff配置索引'!C:C,MATCH(F128,'#建筑消耗和buff配置索引'!M:M,0)))</f>
        <v>2</v>
      </c>
      <c r="T128" s="133">
        <v>0</v>
      </c>
      <c r="U128" s="133">
        <v>0</v>
      </c>
      <c r="V128" s="133" t="str">
        <f>IF(E128=1,IF(INDEX('#建筑消耗和buff配置索引'!BY:BY,MATCH(D128,'#建筑消耗和buff配置索引'!A:A,0))=0,"",INDEX('#建筑消耗和buff配置索引'!BY:BY,MATCH(D128,'#建筑消耗和buff配置索引'!A:A,0))),"")</f>
        <v/>
      </c>
      <c r="W128" s="133" t="str">
        <f>IF(E128=1,IF(INDEX('#建筑消耗和buff配置索引'!BZ:BZ,MATCH(D128,'#建筑消耗和buff配置索引'!A:A,0))=0,"",INDEX('#建筑消耗和buff配置索引'!BZ:BZ,MATCH(D128,'#建筑消耗和buff配置索引'!A:A,0))),"")</f>
        <v/>
      </c>
      <c r="AA128" s="133">
        <f>INDEX('#建筑消耗和buff配置索引'!AO:AO,MATCH($F128,'#建筑消耗和buff配置索引'!$M:$M,0))</f>
        <v>30</v>
      </c>
      <c r="AB128" s="133">
        <f>IF(INDEX('#建筑消耗和buff配置索引'!AR:AR,MATCH($F128,'#建筑消耗和buff配置索引'!$M:$M,0))=0,"",INDEX('#建筑消耗和buff配置索引'!AR:AR,MATCH($F128,'#建筑消耗和buff配置索引'!$M:$M,0)))</f>
        <v>1018</v>
      </c>
      <c r="AC128" s="133">
        <f>IF(AB128="","",INDEX('#建筑消耗和buff配置索引'!AS:AS,MATCH($F128,'#建筑消耗和buff配置索引'!$M:$M,0)))</f>
        <v>1350</v>
      </c>
      <c r="AF128" s="133" t="str">
        <f>IF(INDEX('#建筑消耗和buff配置索引'!AW:AW,MATCH($F128,'#建筑消耗和buff配置索引'!$M:$M,0))=0,"",INDEX('#建筑消耗和buff配置索引'!AW:AW,MATCH($F128,'#建筑消耗和buff配置索引'!$M:$M,0)))</f>
        <v/>
      </c>
      <c r="AG128" s="133" t="str">
        <f>IF(AF128="","",INDEX('#建筑消耗和buff配置索引'!AX:AX,MATCH($F128,'#建筑消耗和buff配置索引'!$M:$M,0)))</f>
        <v/>
      </c>
      <c r="AJ128" s="133" t="str">
        <f>IF(INDEX('#建筑消耗和buff配置索引'!BB:BB,MATCH($F128,'#建筑消耗和buff配置索引'!$M:$M,0))=0,"",INDEX('#建筑消耗和buff配置索引'!BB:BB,MATCH($F128,'#建筑消耗和buff配置索引'!$M:$M,0)))</f>
        <v/>
      </c>
      <c r="AK128" s="133" t="str">
        <f>IF(AJ128="","",INDEX('#建筑消耗和buff配置索引'!BC:BC,MATCH($F128,'#建筑消耗和buff配置索引'!$M:$M,0)))</f>
        <v/>
      </c>
      <c r="AN128" s="133" t="str">
        <f>IF(INDEX('#建筑消耗和buff配置索引'!BG:BG,MATCH($F128,'#建筑消耗和buff配置索引'!$M:$M,0))=0,"",INDEX('#建筑消耗和buff配置索引'!BG:BG,MATCH($F128,'#建筑消耗和buff配置索引'!$M:$M,0)))</f>
        <v/>
      </c>
      <c r="AO128" s="133" t="str">
        <f>IF(AN128="","",INDEX('#建筑消耗和buff配置索引'!BH:BH,MATCH($F128,'#建筑消耗和buff配置索引'!$M:$M,0)))</f>
        <v/>
      </c>
      <c r="AR128" s="133" t="str">
        <f>IF(INDEX('#建筑消耗和buff配置索引'!BK:BK,MATCH($F128,'#建筑消耗和buff配置索引'!$M:$M,0))=0,"",INDEX('#建筑消耗和buff配置索引'!BK:BK,MATCH($F128,'#建筑消耗和buff配置索引'!$M:$M,0)))</f>
        <v/>
      </c>
      <c r="AS128" s="133" t="str">
        <f>IF(AR128="","",INDEX('#建筑消耗和buff配置索引'!BL:BL,MATCH($F128,'#建筑消耗和buff配置索引'!$M:$M,0)))</f>
        <v/>
      </c>
      <c r="AV128" s="133" t="str">
        <f>IF(INDEX('#建筑消耗和buff配置索引'!BO:BO,MATCH($F128,'#建筑消耗和buff配置索引'!$M:$M,0))=0,"",INDEX('#建筑消耗和buff配置索引'!BO:BO,MATCH($F128,'#建筑消耗和buff配置索引'!$M:$M,0)))</f>
        <v/>
      </c>
      <c r="AW128" s="133" t="str">
        <f>IF(AV128="","",INDEX('#建筑消耗和buff配置索引'!BP:BP,MATCH($F128,'#建筑消耗和buff配置索引'!$M:$M,0)))</f>
        <v/>
      </c>
      <c r="AZ128" s="133" t="str">
        <f>IF(INDEX('#建筑消耗和buff配置索引'!BS:BS,MATCH($F128,'#建筑消耗和buff配置索引'!$M:$M,0))=0,"",INDEX('#建筑消耗和buff配置索引'!BS:BS,MATCH($F128,'#建筑消耗和buff配置索引'!$M:$M,0)))</f>
        <v/>
      </c>
      <c r="BA128" s="133" t="str">
        <f>IF(AZ128="","",INDEX('#建筑消耗和buff配置索引'!BT:BT,MATCH($F128,'#建筑消耗和buff配置索引'!$M:$M,0)))</f>
        <v/>
      </c>
      <c r="BD128" s="133" t="str">
        <f>IF(INDEX('#建筑消耗和buff配置索引'!BW:BW,MATCH($F128,'#建筑消耗和buff配置索引'!$M:$M,0))=0,"",INDEX('#建筑消耗和buff配置索引'!BW:BW,MATCH($F128,'#建筑消耗和buff配置索引'!$M:$M,0)))</f>
        <v/>
      </c>
      <c r="BE128" s="133" t="str">
        <f>IF(BD128="","",INDEX('#建筑消耗和buff配置索引'!BX:BX,MATCH($F128,'#建筑消耗和buff配置索引'!$M:$M,0)))</f>
        <v/>
      </c>
      <c r="BI128" s="133">
        <v>8</v>
      </c>
      <c r="BO128" s="133">
        <v>3</v>
      </c>
      <c r="BP128" s="133" t="s">
        <v>1360</v>
      </c>
      <c r="BQ128" s="133">
        <v>10003602</v>
      </c>
      <c r="BR128" s="133">
        <v>300</v>
      </c>
    </row>
    <row r="129" spans="1:70" s="133" customFormat="1">
      <c r="A129" s="133">
        <v>2050006</v>
      </c>
      <c r="B129" s="133">
        <v>126</v>
      </c>
      <c r="C129" s="133">
        <v>205</v>
      </c>
      <c r="D129" s="133" t="s">
        <v>249</v>
      </c>
      <c r="E129" s="133">
        <v>6</v>
      </c>
      <c r="F129" s="133" t="str">
        <f t="shared" si="4"/>
        <v>石矿场6</v>
      </c>
      <c r="H129" s="146"/>
      <c r="I129" s="133">
        <v>1</v>
      </c>
      <c r="J129" s="150">
        <f>INDEX('#建筑消耗和buff配置索引'!AH:AH,MATCH($F129,'#建筑消耗和buff配置索引'!$M:$M,0))</f>
        <v>270</v>
      </c>
      <c r="K129" s="150">
        <f>INDEX('#建筑消耗和buff配置索引'!AA:AA,MATCH($F129,'#建筑消耗和buff配置索引'!$M:$M,0))</f>
        <v>7200</v>
      </c>
      <c r="L129" s="150">
        <f>INDEX('#建筑消耗和buff配置索引'!AB:AB,MATCH($F129,'#建筑消耗和buff配置索引'!$M:$M,0))</f>
        <v>7200</v>
      </c>
      <c r="M129" s="150">
        <f>INDEX('#建筑消耗和buff配置索引'!AC:AC,MATCH($F129,'#建筑消耗和buff配置索引'!$M:$M,0))</f>
        <v>0</v>
      </c>
      <c r="N129" s="150">
        <f>INDEX('#建筑消耗和buff配置索引'!AD:AD,MATCH($F129,'#建筑消耗和buff配置索引'!$M:$M,0))</f>
        <v>0</v>
      </c>
      <c r="O129" s="150" t="str">
        <f>IF(INDEX('#建筑消耗和buff配置索引'!T:T,MATCH($F129,'#建筑消耗和buff配置索引'!$M:$M,0))=0,"",INDEX('#建筑消耗和buff配置索引'!T:T,MATCH($F129,'#建筑消耗和buff配置索引'!$M:$M,0)))</f>
        <v/>
      </c>
      <c r="P129" s="133" t="str">
        <f>IF(INDEX('#建筑消耗和buff配置索引'!U:U,MATCH($F129,'#建筑消耗和buff配置索引'!$M:$M,0))=0,"",INDEX('#建筑消耗和buff配置索引'!U:U,MATCH($F129,'#建筑消耗和buff配置索引'!$M:$M,0)))</f>
        <v/>
      </c>
      <c r="Q129" s="133" t="str">
        <f>IF(INDEX('#建筑消耗和buff配置索引'!K:K,MATCH($F129,'#建筑消耗和buff配置索引'!$M:$M,0))=0,"",INDEX('#建筑消耗和buff配置索引'!K:K,MATCH($F129,'#建筑消耗和buff配置索引'!$M:$M,0)))</f>
        <v>201</v>
      </c>
      <c r="R129" s="133" t="str">
        <f>IF(INDEX('#建筑消耗和buff配置索引'!L:L,MATCH($F129,'#建筑消耗和buff配置索引'!$M:$M,0))=0,"",INDEX('#建筑消耗和buff配置索引'!L:L,MATCH($F129,'#建筑消耗和buff配置索引'!$M:$M,0)))</f>
        <v>6</v>
      </c>
      <c r="S129" s="133">
        <f>IF(INDEX('#建筑消耗和buff配置索引'!C:C,MATCH(F129,'#建筑消耗和buff配置索引'!M:M,0))=0,1,INDEX('#建筑消耗和buff配置索引'!C:C,MATCH(F129,'#建筑消耗和buff配置索引'!M:M,0)))</f>
        <v>2</v>
      </c>
      <c r="T129" s="133">
        <v>0</v>
      </c>
      <c r="U129" s="133">
        <v>0</v>
      </c>
      <c r="V129" s="133" t="str">
        <f>IF(E129=1,IF(INDEX('#建筑消耗和buff配置索引'!BY:BY,MATCH(D129,'#建筑消耗和buff配置索引'!A:A,0))=0,"",INDEX('#建筑消耗和buff配置索引'!BY:BY,MATCH(D129,'#建筑消耗和buff配置索引'!A:A,0))),"")</f>
        <v/>
      </c>
      <c r="W129" s="133" t="str">
        <f>IF(E129=1,IF(INDEX('#建筑消耗和buff配置索引'!BZ:BZ,MATCH(D129,'#建筑消耗和buff配置索引'!A:A,0))=0,"",INDEX('#建筑消耗和buff配置索引'!BZ:BZ,MATCH(D129,'#建筑消耗和buff配置索引'!A:A,0))),"")</f>
        <v/>
      </c>
      <c r="AA129" s="133">
        <f>INDEX('#建筑消耗和buff配置索引'!AO:AO,MATCH($F129,'#建筑消耗和buff配置索引'!$M:$M,0))</f>
        <v>59</v>
      </c>
      <c r="AB129" s="133">
        <f>IF(INDEX('#建筑消耗和buff配置索引'!AR:AR,MATCH($F129,'#建筑消耗和buff配置索引'!$M:$M,0))=0,"",INDEX('#建筑消耗和buff配置索引'!AR:AR,MATCH($F129,'#建筑消耗和buff配置索引'!$M:$M,0)))</f>
        <v>1018</v>
      </c>
      <c r="AC129" s="133">
        <f>IF(AB129="","",INDEX('#建筑消耗和buff配置索引'!AS:AS,MATCH($F129,'#建筑消耗和buff配置索引'!$M:$M,0)))</f>
        <v>1700</v>
      </c>
      <c r="AF129" s="133" t="str">
        <f>IF(INDEX('#建筑消耗和buff配置索引'!AW:AW,MATCH($F129,'#建筑消耗和buff配置索引'!$M:$M,0))=0,"",INDEX('#建筑消耗和buff配置索引'!AW:AW,MATCH($F129,'#建筑消耗和buff配置索引'!$M:$M,0)))</f>
        <v/>
      </c>
      <c r="AG129" s="133" t="str">
        <f>IF(AF129="","",INDEX('#建筑消耗和buff配置索引'!AX:AX,MATCH($F129,'#建筑消耗和buff配置索引'!$M:$M,0)))</f>
        <v/>
      </c>
      <c r="AJ129" s="133" t="str">
        <f>IF(INDEX('#建筑消耗和buff配置索引'!BB:BB,MATCH($F129,'#建筑消耗和buff配置索引'!$M:$M,0))=0,"",INDEX('#建筑消耗和buff配置索引'!BB:BB,MATCH($F129,'#建筑消耗和buff配置索引'!$M:$M,0)))</f>
        <v/>
      </c>
      <c r="AK129" s="133" t="str">
        <f>IF(AJ129="","",INDEX('#建筑消耗和buff配置索引'!BC:BC,MATCH($F129,'#建筑消耗和buff配置索引'!$M:$M,0)))</f>
        <v/>
      </c>
      <c r="AN129" s="133" t="str">
        <f>IF(INDEX('#建筑消耗和buff配置索引'!BG:BG,MATCH($F129,'#建筑消耗和buff配置索引'!$M:$M,0))=0,"",INDEX('#建筑消耗和buff配置索引'!BG:BG,MATCH($F129,'#建筑消耗和buff配置索引'!$M:$M,0)))</f>
        <v/>
      </c>
      <c r="AO129" s="133" t="str">
        <f>IF(AN129="","",INDEX('#建筑消耗和buff配置索引'!BH:BH,MATCH($F129,'#建筑消耗和buff配置索引'!$M:$M,0)))</f>
        <v/>
      </c>
      <c r="AR129" s="133" t="str">
        <f>IF(INDEX('#建筑消耗和buff配置索引'!BK:BK,MATCH($F129,'#建筑消耗和buff配置索引'!$M:$M,0))=0,"",INDEX('#建筑消耗和buff配置索引'!BK:BK,MATCH($F129,'#建筑消耗和buff配置索引'!$M:$M,0)))</f>
        <v/>
      </c>
      <c r="AS129" s="133" t="str">
        <f>IF(AR129="","",INDEX('#建筑消耗和buff配置索引'!BL:BL,MATCH($F129,'#建筑消耗和buff配置索引'!$M:$M,0)))</f>
        <v/>
      </c>
      <c r="AV129" s="133" t="str">
        <f>IF(INDEX('#建筑消耗和buff配置索引'!BO:BO,MATCH($F129,'#建筑消耗和buff配置索引'!$M:$M,0))=0,"",INDEX('#建筑消耗和buff配置索引'!BO:BO,MATCH($F129,'#建筑消耗和buff配置索引'!$M:$M,0)))</f>
        <v/>
      </c>
      <c r="AW129" s="133" t="str">
        <f>IF(AV129="","",INDEX('#建筑消耗和buff配置索引'!BP:BP,MATCH($F129,'#建筑消耗和buff配置索引'!$M:$M,0)))</f>
        <v/>
      </c>
      <c r="AZ129" s="133" t="str">
        <f>IF(INDEX('#建筑消耗和buff配置索引'!BS:BS,MATCH($F129,'#建筑消耗和buff配置索引'!$M:$M,0))=0,"",INDEX('#建筑消耗和buff配置索引'!BS:BS,MATCH($F129,'#建筑消耗和buff配置索引'!$M:$M,0)))</f>
        <v/>
      </c>
      <c r="BA129" s="133" t="str">
        <f>IF(AZ129="","",INDEX('#建筑消耗和buff配置索引'!BT:BT,MATCH($F129,'#建筑消耗和buff配置索引'!$M:$M,0)))</f>
        <v/>
      </c>
      <c r="BD129" s="133" t="str">
        <f>IF(INDEX('#建筑消耗和buff配置索引'!BW:BW,MATCH($F129,'#建筑消耗和buff配置索引'!$M:$M,0))=0,"",INDEX('#建筑消耗和buff配置索引'!BW:BW,MATCH($F129,'#建筑消耗和buff配置索引'!$M:$M,0)))</f>
        <v/>
      </c>
      <c r="BE129" s="133" t="str">
        <f>IF(BD129="","",INDEX('#建筑消耗和buff配置索引'!BX:BX,MATCH($F129,'#建筑消耗和buff配置索引'!$M:$M,0)))</f>
        <v/>
      </c>
      <c r="BI129" s="133">
        <v>8</v>
      </c>
      <c r="BO129" s="133">
        <v>3</v>
      </c>
      <c r="BP129" s="133" t="s">
        <v>1360</v>
      </c>
      <c r="BQ129" s="133">
        <v>10003602</v>
      </c>
      <c r="BR129" s="133">
        <v>300</v>
      </c>
    </row>
    <row r="130" spans="1:70" s="133" customFormat="1">
      <c r="A130" s="133">
        <v>2050007</v>
      </c>
      <c r="B130" s="133">
        <v>127</v>
      </c>
      <c r="C130" s="133">
        <v>205</v>
      </c>
      <c r="D130" s="133" t="s">
        <v>249</v>
      </c>
      <c r="E130" s="133">
        <v>7</v>
      </c>
      <c r="F130" s="133" t="str">
        <f t="shared" si="4"/>
        <v>石矿场7</v>
      </c>
      <c r="H130" s="146"/>
      <c r="I130" s="133">
        <v>1</v>
      </c>
      <c r="J130" s="150">
        <f>INDEX('#建筑消耗和buff配置索引'!AH:AH,MATCH($F130,'#建筑消耗和buff配置索引'!$M:$M,0))</f>
        <v>450</v>
      </c>
      <c r="K130" s="150">
        <f>INDEX('#建筑消耗和buff配置索引'!AA:AA,MATCH($F130,'#建筑消耗和buff配置索引'!$M:$M,0))</f>
        <v>13000</v>
      </c>
      <c r="L130" s="150">
        <f>INDEX('#建筑消耗和buff配置索引'!AB:AB,MATCH($F130,'#建筑消耗和buff配置索引'!$M:$M,0))</f>
        <v>13000</v>
      </c>
      <c r="M130" s="150">
        <f>INDEX('#建筑消耗和buff配置索引'!AC:AC,MATCH($F130,'#建筑消耗和buff配置索引'!$M:$M,0))</f>
        <v>0</v>
      </c>
      <c r="N130" s="150">
        <f>INDEX('#建筑消耗和buff配置索引'!AD:AD,MATCH($F130,'#建筑消耗和buff配置索引'!$M:$M,0))</f>
        <v>0</v>
      </c>
      <c r="O130" s="150" t="str">
        <f>IF(INDEX('#建筑消耗和buff配置索引'!T:T,MATCH($F130,'#建筑消耗和buff配置索引'!$M:$M,0))=0,"",INDEX('#建筑消耗和buff配置索引'!T:T,MATCH($F130,'#建筑消耗和buff配置索引'!$M:$M,0)))</f>
        <v/>
      </c>
      <c r="P130" s="133" t="str">
        <f>IF(INDEX('#建筑消耗和buff配置索引'!U:U,MATCH($F130,'#建筑消耗和buff配置索引'!$M:$M,0))=0,"",INDEX('#建筑消耗和buff配置索引'!U:U,MATCH($F130,'#建筑消耗和buff配置索引'!$M:$M,0)))</f>
        <v/>
      </c>
      <c r="Q130" s="133" t="str">
        <f>IF(INDEX('#建筑消耗和buff配置索引'!K:K,MATCH($F130,'#建筑消耗和buff配置索引'!$M:$M,0))=0,"",INDEX('#建筑消耗和buff配置索引'!K:K,MATCH($F130,'#建筑消耗和buff配置索引'!$M:$M,0)))</f>
        <v>201</v>
      </c>
      <c r="R130" s="133" t="str">
        <f>IF(INDEX('#建筑消耗和buff配置索引'!L:L,MATCH($F130,'#建筑消耗和buff配置索引'!$M:$M,0))=0,"",INDEX('#建筑消耗和buff配置索引'!L:L,MATCH($F130,'#建筑消耗和buff配置索引'!$M:$M,0)))</f>
        <v>7</v>
      </c>
      <c r="S130" s="133">
        <f>IF(INDEX('#建筑消耗和buff配置索引'!C:C,MATCH(F130,'#建筑消耗和buff配置索引'!M:M,0))=0,1,INDEX('#建筑消耗和buff配置索引'!C:C,MATCH(F130,'#建筑消耗和buff配置索引'!M:M,0)))</f>
        <v>2</v>
      </c>
      <c r="T130" s="133">
        <v>0</v>
      </c>
      <c r="U130" s="133">
        <v>0</v>
      </c>
      <c r="V130" s="133" t="str">
        <f>IF(E130=1,IF(INDEX('#建筑消耗和buff配置索引'!BY:BY,MATCH(D130,'#建筑消耗和buff配置索引'!A:A,0))=0,"",INDEX('#建筑消耗和buff配置索引'!BY:BY,MATCH(D130,'#建筑消耗和buff配置索引'!A:A,0))),"")</f>
        <v/>
      </c>
      <c r="W130" s="133" t="str">
        <f>IF(E130=1,IF(INDEX('#建筑消耗和buff配置索引'!BZ:BZ,MATCH(D130,'#建筑消耗和buff配置索引'!A:A,0))=0,"",INDEX('#建筑消耗和buff配置索引'!BZ:BZ,MATCH(D130,'#建筑消耗和buff配置索引'!A:A,0))),"")</f>
        <v/>
      </c>
      <c r="AA130" s="133">
        <f>INDEX('#建筑消耗和buff配置索引'!AO:AO,MATCH($F130,'#建筑消耗和buff配置索引'!$M:$M,0))</f>
        <v>110</v>
      </c>
      <c r="AB130" s="133">
        <f>IF(INDEX('#建筑消耗和buff配置索引'!AR:AR,MATCH($F130,'#建筑消耗和buff配置索引'!$M:$M,0))=0,"",INDEX('#建筑消耗和buff配置索引'!AR:AR,MATCH($F130,'#建筑消耗和buff配置索引'!$M:$M,0)))</f>
        <v>1018</v>
      </c>
      <c r="AC130" s="133">
        <f>IF(AB130="","",INDEX('#建筑消耗和buff配置索引'!AS:AS,MATCH($F130,'#建筑消耗和buff配置索引'!$M:$M,0)))</f>
        <v>2050</v>
      </c>
      <c r="AF130" s="133" t="str">
        <f>IF(INDEX('#建筑消耗和buff配置索引'!AW:AW,MATCH($F130,'#建筑消耗和buff配置索引'!$M:$M,0))=0,"",INDEX('#建筑消耗和buff配置索引'!AW:AW,MATCH($F130,'#建筑消耗和buff配置索引'!$M:$M,0)))</f>
        <v/>
      </c>
      <c r="AG130" s="133" t="str">
        <f>IF(AF130="","",INDEX('#建筑消耗和buff配置索引'!AX:AX,MATCH($F130,'#建筑消耗和buff配置索引'!$M:$M,0)))</f>
        <v/>
      </c>
      <c r="AJ130" s="133" t="str">
        <f>IF(INDEX('#建筑消耗和buff配置索引'!BB:BB,MATCH($F130,'#建筑消耗和buff配置索引'!$M:$M,0))=0,"",INDEX('#建筑消耗和buff配置索引'!BB:BB,MATCH($F130,'#建筑消耗和buff配置索引'!$M:$M,0)))</f>
        <v/>
      </c>
      <c r="AK130" s="133" t="str">
        <f>IF(AJ130="","",INDEX('#建筑消耗和buff配置索引'!BC:BC,MATCH($F130,'#建筑消耗和buff配置索引'!$M:$M,0)))</f>
        <v/>
      </c>
      <c r="AN130" s="133" t="str">
        <f>IF(INDEX('#建筑消耗和buff配置索引'!BG:BG,MATCH($F130,'#建筑消耗和buff配置索引'!$M:$M,0))=0,"",INDEX('#建筑消耗和buff配置索引'!BG:BG,MATCH($F130,'#建筑消耗和buff配置索引'!$M:$M,0)))</f>
        <v/>
      </c>
      <c r="AO130" s="133" t="str">
        <f>IF(AN130="","",INDEX('#建筑消耗和buff配置索引'!BH:BH,MATCH($F130,'#建筑消耗和buff配置索引'!$M:$M,0)))</f>
        <v/>
      </c>
      <c r="AR130" s="133" t="str">
        <f>IF(INDEX('#建筑消耗和buff配置索引'!BK:BK,MATCH($F130,'#建筑消耗和buff配置索引'!$M:$M,0))=0,"",INDEX('#建筑消耗和buff配置索引'!BK:BK,MATCH($F130,'#建筑消耗和buff配置索引'!$M:$M,0)))</f>
        <v/>
      </c>
      <c r="AS130" s="133" t="str">
        <f>IF(AR130="","",INDEX('#建筑消耗和buff配置索引'!BL:BL,MATCH($F130,'#建筑消耗和buff配置索引'!$M:$M,0)))</f>
        <v/>
      </c>
      <c r="AV130" s="133" t="str">
        <f>IF(INDEX('#建筑消耗和buff配置索引'!BO:BO,MATCH($F130,'#建筑消耗和buff配置索引'!$M:$M,0))=0,"",INDEX('#建筑消耗和buff配置索引'!BO:BO,MATCH($F130,'#建筑消耗和buff配置索引'!$M:$M,0)))</f>
        <v/>
      </c>
      <c r="AW130" s="133" t="str">
        <f>IF(AV130="","",INDEX('#建筑消耗和buff配置索引'!BP:BP,MATCH($F130,'#建筑消耗和buff配置索引'!$M:$M,0)))</f>
        <v/>
      </c>
      <c r="AZ130" s="133" t="str">
        <f>IF(INDEX('#建筑消耗和buff配置索引'!BS:BS,MATCH($F130,'#建筑消耗和buff配置索引'!$M:$M,0))=0,"",INDEX('#建筑消耗和buff配置索引'!BS:BS,MATCH($F130,'#建筑消耗和buff配置索引'!$M:$M,0)))</f>
        <v/>
      </c>
      <c r="BA130" s="133" t="str">
        <f>IF(AZ130="","",INDEX('#建筑消耗和buff配置索引'!BT:BT,MATCH($F130,'#建筑消耗和buff配置索引'!$M:$M,0)))</f>
        <v/>
      </c>
      <c r="BD130" s="133" t="str">
        <f>IF(INDEX('#建筑消耗和buff配置索引'!BW:BW,MATCH($F130,'#建筑消耗和buff配置索引'!$M:$M,0))=0,"",INDEX('#建筑消耗和buff配置索引'!BW:BW,MATCH($F130,'#建筑消耗和buff配置索引'!$M:$M,0)))</f>
        <v/>
      </c>
      <c r="BE130" s="133" t="str">
        <f>IF(BD130="","",INDEX('#建筑消耗和buff配置索引'!BX:BX,MATCH($F130,'#建筑消耗和buff配置索引'!$M:$M,0)))</f>
        <v/>
      </c>
      <c r="BI130" s="133">
        <v>8</v>
      </c>
      <c r="BJ130" s="133">
        <v>299</v>
      </c>
      <c r="BO130" s="133">
        <v>3</v>
      </c>
      <c r="BP130" s="133" t="s">
        <v>1360</v>
      </c>
      <c r="BQ130" s="133">
        <v>10003602</v>
      </c>
      <c r="BR130" s="133">
        <v>300</v>
      </c>
    </row>
    <row r="131" spans="1:70" s="133" customFormat="1">
      <c r="A131" s="133">
        <v>2050008</v>
      </c>
      <c r="B131" s="133">
        <v>128</v>
      </c>
      <c r="C131" s="133">
        <v>205</v>
      </c>
      <c r="D131" s="133" t="s">
        <v>249</v>
      </c>
      <c r="E131" s="133">
        <v>8</v>
      </c>
      <c r="F131" s="133" t="str">
        <f t="shared" si="4"/>
        <v>石矿场8</v>
      </c>
      <c r="H131" s="146"/>
      <c r="I131" s="133">
        <v>1</v>
      </c>
      <c r="J131" s="150">
        <f>INDEX('#建筑消耗和buff配置索引'!AH:AH,MATCH($F131,'#建筑消耗和buff配置索引'!$M:$M,0))</f>
        <v>720</v>
      </c>
      <c r="K131" s="150">
        <f>INDEX('#建筑消耗和buff配置索引'!AA:AA,MATCH($F131,'#建筑消耗和buff配置索引'!$M:$M,0))</f>
        <v>22000</v>
      </c>
      <c r="L131" s="150">
        <f>INDEX('#建筑消耗和buff配置索引'!AB:AB,MATCH($F131,'#建筑消耗和buff配置索引'!$M:$M,0))</f>
        <v>22000</v>
      </c>
      <c r="M131" s="150">
        <f>INDEX('#建筑消耗和buff配置索引'!AC:AC,MATCH($F131,'#建筑消耗和buff配置索引'!$M:$M,0))</f>
        <v>0</v>
      </c>
      <c r="N131" s="150">
        <f>INDEX('#建筑消耗和buff配置索引'!AD:AD,MATCH($F131,'#建筑消耗和buff配置索引'!$M:$M,0))</f>
        <v>0</v>
      </c>
      <c r="O131" s="150" t="str">
        <f>IF(INDEX('#建筑消耗和buff配置索引'!T:T,MATCH($F131,'#建筑消耗和buff配置索引'!$M:$M,0))=0,"",INDEX('#建筑消耗和buff配置索引'!T:T,MATCH($F131,'#建筑消耗和buff配置索引'!$M:$M,0)))</f>
        <v/>
      </c>
      <c r="P131" s="133" t="str">
        <f>IF(INDEX('#建筑消耗和buff配置索引'!U:U,MATCH($F131,'#建筑消耗和buff配置索引'!$M:$M,0))=0,"",INDEX('#建筑消耗和buff配置索引'!U:U,MATCH($F131,'#建筑消耗和buff配置索引'!$M:$M,0)))</f>
        <v/>
      </c>
      <c r="Q131" s="133" t="str">
        <f>IF(INDEX('#建筑消耗和buff配置索引'!K:K,MATCH($F131,'#建筑消耗和buff配置索引'!$M:$M,0))=0,"",INDEX('#建筑消耗和buff配置索引'!K:K,MATCH($F131,'#建筑消耗和buff配置索引'!$M:$M,0)))</f>
        <v>201</v>
      </c>
      <c r="R131" s="133" t="str">
        <f>IF(INDEX('#建筑消耗和buff配置索引'!L:L,MATCH($F131,'#建筑消耗和buff配置索引'!$M:$M,0))=0,"",INDEX('#建筑消耗和buff配置索引'!L:L,MATCH($F131,'#建筑消耗和buff配置索引'!$M:$M,0)))</f>
        <v>8</v>
      </c>
      <c r="S131" s="133">
        <f>IF(INDEX('#建筑消耗和buff配置索引'!C:C,MATCH(F131,'#建筑消耗和buff配置索引'!M:M,0))=0,1,INDEX('#建筑消耗和buff配置索引'!C:C,MATCH(F131,'#建筑消耗和buff配置索引'!M:M,0)))</f>
        <v>2</v>
      </c>
      <c r="T131" s="133">
        <v>0</v>
      </c>
      <c r="U131" s="133">
        <v>0</v>
      </c>
      <c r="V131" s="133" t="str">
        <f>IF(E131=1,IF(INDEX('#建筑消耗和buff配置索引'!BY:BY,MATCH(D131,'#建筑消耗和buff配置索引'!A:A,0))=0,"",INDEX('#建筑消耗和buff配置索引'!BY:BY,MATCH(D131,'#建筑消耗和buff配置索引'!A:A,0))),"")</f>
        <v/>
      </c>
      <c r="W131" s="133" t="str">
        <f>IF(E131=1,IF(INDEX('#建筑消耗和buff配置索引'!BZ:BZ,MATCH(D131,'#建筑消耗和buff配置索引'!A:A,0))=0,"",INDEX('#建筑消耗和buff配置索引'!BZ:BZ,MATCH(D131,'#建筑消耗和buff配置索引'!A:A,0))),"")</f>
        <v/>
      </c>
      <c r="AA131" s="133">
        <f>INDEX('#建筑消耗和buff配置索引'!AO:AO,MATCH($F131,'#建筑消耗和buff配置索引'!$M:$M,0))</f>
        <v>198</v>
      </c>
      <c r="AB131" s="133">
        <f>IF(INDEX('#建筑消耗和buff配置索引'!AR:AR,MATCH($F131,'#建筑消耗和buff配置索引'!$M:$M,0))=0,"",INDEX('#建筑消耗和buff配置索引'!AR:AR,MATCH($F131,'#建筑消耗和buff配置索引'!$M:$M,0)))</f>
        <v>1018</v>
      </c>
      <c r="AC131" s="133">
        <f>IF(AB131="","",INDEX('#建筑消耗和buff配置索引'!AS:AS,MATCH($F131,'#建筑消耗和buff配置索引'!$M:$M,0)))</f>
        <v>2400</v>
      </c>
      <c r="AF131" s="133" t="str">
        <f>IF(INDEX('#建筑消耗和buff配置索引'!AW:AW,MATCH($F131,'#建筑消耗和buff配置索引'!$M:$M,0))=0,"",INDEX('#建筑消耗和buff配置索引'!AW:AW,MATCH($F131,'#建筑消耗和buff配置索引'!$M:$M,0)))</f>
        <v/>
      </c>
      <c r="AG131" s="133" t="str">
        <f>IF(AF131="","",INDEX('#建筑消耗和buff配置索引'!AX:AX,MATCH($F131,'#建筑消耗和buff配置索引'!$M:$M,0)))</f>
        <v/>
      </c>
      <c r="AJ131" s="133" t="str">
        <f>IF(INDEX('#建筑消耗和buff配置索引'!BB:BB,MATCH($F131,'#建筑消耗和buff配置索引'!$M:$M,0))=0,"",INDEX('#建筑消耗和buff配置索引'!BB:BB,MATCH($F131,'#建筑消耗和buff配置索引'!$M:$M,0)))</f>
        <v/>
      </c>
      <c r="AK131" s="133" t="str">
        <f>IF(AJ131="","",INDEX('#建筑消耗和buff配置索引'!BC:BC,MATCH($F131,'#建筑消耗和buff配置索引'!$M:$M,0)))</f>
        <v/>
      </c>
      <c r="AN131" s="133" t="str">
        <f>IF(INDEX('#建筑消耗和buff配置索引'!BG:BG,MATCH($F131,'#建筑消耗和buff配置索引'!$M:$M,0))=0,"",INDEX('#建筑消耗和buff配置索引'!BG:BG,MATCH($F131,'#建筑消耗和buff配置索引'!$M:$M,0)))</f>
        <v/>
      </c>
      <c r="AO131" s="133" t="str">
        <f>IF(AN131="","",INDEX('#建筑消耗和buff配置索引'!BH:BH,MATCH($F131,'#建筑消耗和buff配置索引'!$M:$M,0)))</f>
        <v/>
      </c>
      <c r="AR131" s="133" t="str">
        <f>IF(INDEX('#建筑消耗和buff配置索引'!BK:BK,MATCH($F131,'#建筑消耗和buff配置索引'!$M:$M,0))=0,"",INDEX('#建筑消耗和buff配置索引'!BK:BK,MATCH($F131,'#建筑消耗和buff配置索引'!$M:$M,0)))</f>
        <v/>
      </c>
      <c r="AS131" s="133" t="str">
        <f>IF(AR131="","",INDEX('#建筑消耗和buff配置索引'!BL:BL,MATCH($F131,'#建筑消耗和buff配置索引'!$M:$M,0)))</f>
        <v/>
      </c>
      <c r="AV131" s="133" t="str">
        <f>IF(INDEX('#建筑消耗和buff配置索引'!BO:BO,MATCH($F131,'#建筑消耗和buff配置索引'!$M:$M,0))=0,"",INDEX('#建筑消耗和buff配置索引'!BO:BO,MATCH($F131,'#建筑消耗和buff配置索引'!$M:$M,0)))</f>
        <v/>
      </c>
      <c r="AW131" s="133" t="str">
        <f>IF(AV131="","",INDEX('#建筑消耗和buff配置索引'!BP:BP,MATCH($F131,'#建筑消耗和buff配置索引'!$M:$M,0)))</f>
        <v/>
      </c>
      <c r="AZ131" s="133" t="str">
        <f>IF(INDEX('#建筑消耗和buff配置索引'!BS:BS,MATCH($F131,'#建筑消耗和buff配置索引'!$M:$M,0))=0,"",INDEX('#建筑消耗和buff配置索引'!BS:BS,MATCH($F131,'#建筑消耗和buff配置索引'!$M:$M,0)))</f>
        <v/>
      </c>
      <c r="BA131" s="133" t="str">
        <f>IF(AZ131="","",INDEX('#建筑消耗和buff配置索引'!BT:BT,MATCH($F131,'#建筑消耗和buff配置索引'!$M:$M,0)))</f>
        <v/>
      </c>
      <c r="BD131" s="133" t="str">
        <f>IF(INDEX('#建筑消耗和buff配置索引'!BW:BW,MATCH($F131,'#建筑消耗和buff配置索引'!$M:$M,0))=0,"",INDEX('#建筑消耗和buff配置索引'!BW:BW,MATCH($F131,'#建筑消耗和buff配置索引'!$M:$M,0)))</f>
        <v/>
      </c>
      <c r="BE131" s="133" t="str">
        <f>IF(BD131="","",INDEX('#建筑消耗和buff配置索引'!BX:BX,MATCH($F131,'#建筑消耗和buff配置索引'!$M:$M,0)))</f>
        <v/>
      </c>
      <c r="BI131" s="133">
        <v>8</v>
      </c>
      <c r="BJ131" s="133">
        <v>299</v>
      </c>
      <c r="BO131" s="133">
        <v>3</v>
      </c>
      <c r="BP131" s="133" t="s">
        <v>1360</v>
      </c>
      <c r="BQ131" s="133">
        <v>10003602</v>
      </c>
      <c r="BR131" s="133">
        <v>300</v>
      </c>
    </row>
    <row r="132" spans="1:70" s="133" customFormat="1">
      <c r="A132" s="133">
        <v>2050009</v>
      </c>
      <c r="B132" s="133">
        <v>129</v>
      </c>
      <c r="C132" s="133">
        <v>205</v>
      </c>
      <c r="D132" s="133" t="s">
        <v>249</v>
      </c>
      <c r="E132" s="133">
        <v>9</v>
      </c>
      <c r="F132" s="133" t="str">
        <f t="shared" si="4"/>
        <v>石矿场9</v>
      </c>
      <c r="H132" s="146"/>
      <c r="I132" s="133">
        <v>1</v>
      </c>
      <c r="J132" s="150">
        <f>INDEX('#建筑消耗和buff配置索引'!AH:AH,MATCH($F132,'#建筑消耗和buff配置索引'!$M:$M,0))</f>
        <v>1440</v>
      </c>
      <c r="K132" s="150">
        <f>INDEX('#建筑消耗和buff配置索引'!AA:AA,MATCH($F132,'#建筑消耗和buff配置索引'!$M:$M,0))</f>
        <v>36000</v>
      </c>
      <c r="L132" s="150">
        <f>INDEX('#建筑消耗和buff配置索引'!AB:AB,MATCH($F132,'#建筑消耗和buff配置索引'!$M:$M,0))</f>
        <v>36000</v>
      </c>
      <c r="M132" s="150">
        <f>INDEX('#建筑消耗和buff配置索引'!AC:AC,MATCH($F132,'#建筑消耗和buff配置索引'!$M:$M,0))</f>
        <v>0</v>
      </c>
      <c r="N132" s="150">
        <f>INDEX('#建筑消耗和buff配置索引'!AD:AD,MATCH($F132,'#建筑消耗和buff配置索引'!$M:$M,0))</f>
        <v>0</v>
      </c>
      <c r="O132" s="150" t="str">
        <f>IF(INDEX('#建筑消耗和buff配置索引'!T:T,MATCH($F132,'#建筑消耗和buff配置索引'!$M:$M,0))=0,"",INDEX('#建筑消耗和buff配置索引'!T:T,MATCH($F132,'#建筑消耗和buff配置索引'!$M:$M,0)))</f>
        <v/>
      </c>
      <c r="P132" s="133" t="str">
        <f>IF(INDEX('#建筑消耗和buff配置索引'!U:U,MATCH($F132,'#建筑消耗和buff配置索引'!$M:$M,0))=0,"",INDEX('#建筑消耗和buff配置索引'!U:U,MATCH($F132,'#建筑消耗和buff配置索引'!$M:$M,0)))</f>
        <v/>
      </c>
      <c r="Q132" s="133" t="str">
        <f>IF(INDEX('#建筑消耗和buff配置索引'!K:K,MATCH($F132,'#建筑消耗和buff配置索引'!$M:$M,0))=0,"",INDEX('#建筑消耗和buff配置索引'!K:K,MATCH($F132,'#建筑消耗和buff配置索引'!$M:$M,0)))</f>
        <v>201</v>
      </c>
      <c r="R132" s="133" t="str">
        <f>IF(INDEX('#建筑消耗和buff配置索引'!L:L,MATCH($F132,'#建筑消耗和buff配置索引'!$M:$M,0))=0,"",INDEX('#建筑消耗和buff配置索引'!L:L,MATCH($F132,'#建筑消耗和buff配置索引'!$M:$M,0)))</f>
        <v>9</v>
      </c>
      <c r="S132" s="133">
        <f>IF(INDEX('#建筑消耗和buff配置索引'!C:C,MATCH(F132,'#建筑消耗和buff配置索引'!M:M,0))=0,1,INDEX('#建筑消耗和buff配置索引'!C:C,MATCH(F132,'#建筑消耗和buff配置索引'!M:M,0)))</f>
        <v>2</v>
      </c>
      <c r="T132" s="133">
        <v>0</v>
      </c>
      <c r="U132" s="133">
        <v>0</v>
      </c>
      <c r="V132" s="133" t="str">
        <f>IF(E132=1,IF(INDEX('#建筑消耗和buff配置索引'!BY:BY,MATCH(D132,'#建筑消耗和buff配置索引'!A:A,0))=0,"",INDEX('#建筑消耗和buff配置索引'!BY:BY,MATCH(D132,'#建筑消耗和buff配置索引'!A:A,0))),"")</f>
        <v/>
      </c>
      <c r="W132" s="133" t="str">
        <f>IF(E132=1,IF(INDEX('#建筑消耗和buff配置索引'!BZ:BZ,MATCH(D132,'#建筑消耗和buff配置索引'!A:A,0))=0,"",INDEX('#建筑消耗和buff配置索引'!BZ:BZ,MATCH(D132,'#建筑消耗和buff配置索引'!A:A,0))),"")</f>
        <v/>
      </c>
      <c r="AA132" s="133">
        <f>INDEX('#建筑消耗和buff配置索引'!AO:AO,MATCH($F132,'#建筑消耗和buff配置索引'!$M:$M,0))</f>
        <v>344</v>
      </c>
      <c r="AB132" s="133">
        <f>IF(INDEX('#建筑消耗和buff配置索引'!AR:AR,MATCH($F132,'#建筑消耗和buff配置索引'!$M:$M,0))=0,"",INDEX('#建筑消耗和buff配置索引'!AR:AR,MATCH($F132,'#建筑消耗和buff配置索引'!$M:$M,0)))</f>
        <v>1018</v>
      </c>
      <c r="AC132" s="133">
        <f>IF(AB132="","",INDEX('#建筑消耗和buff配置索引'!AS:AS,MATCH($F132,'#建筑消耗和buff配置索引'!$M:$M,0)))</f>
        <v>2750</v>
      </c>
      <c r="AF132" s="133" t="str">
        <f>IF(INDEX('#建筑消耗和buff配置索引'!AW:AW,MATCH($F132,'#建筑消耗和buff配置索引'!$M:$M,0))=0,"",INDEX('#建筑消耗和buff配置索引'!AW:AW,MATCH($F132,'#建筑消耗和buff配置索引'!$M:$M,0)))</f>
        <v/>
      </c>
      <c r="AG132" s="133" t="str">
        <f>IF(AF132="","",INDEX('#建筑消耗和buff配置索引'!AX:AX,MATCH($F132,'#建筑消耗和buff配置索引'!$M:$M,0)))</f>
        <v/>
      </c>
      <c r="AJ132" s="133" t="str">
        <f>IF(INDEX('#建筑消耗和buff配置索引'!BB:BB,MATCH($F132,'#建筑消耗和buff配置索引'!$M:$M,0))=0,"",INDEX('#建筑消耗和buff配置索引'!BB:BB,MATCH($F132,'#建筑消耗和buff配置索引'!$M:$M,0)))</f>
        <v/>
      </c>
      <c r="AK132" s="133" t="str">
        <f>IF(AJ132="","",INDEX('#建筑消耗和buff配置索引'!BC:BC,MATCH($F132,'#建筑消耗和buff配置索引'!$M:$M,0)))</f>
        <v/>
      </c>
      <c r="AN132" s="133" t="str">
        <f>IF(INDEX('#建筑消耗和buff配置索引'!BG:BG,MATCH($F132,'#建筑消耗和buff配置索引'!$M:$M,0))=0,"",INDEX('#建筑消耗和buff配置索引'!BG:BG,MATCH($F132,'#建筑消耗和buff配置索引'!$M:$M,0)))</f>
        <v/>
      </c>
      <c r="AO132" s="133" t="str">
        <f>IF(AN132="","",INDEX('#建筑消耗和buff配置索引'!BH:BH,MATCH($F132,'#建筑消耗和buff配置索引'!$M:$M,0)))</f>
        <v/>
      </c>
      <c r="AR132" s="133" t="str">
        <f>IF(INDEX('#建筑消耗和buff配置索引'!BK:BK,MATCH($F132,'#建筑消耗和buff配置索引'!$M:$M,0))=0,"",INDEX('#建筑消耗和buff配置索引'!BK:BK,MATCH($F132,'#建筑消耗和buff配置索引'!$M:$M,0)))</f>
        <v/>
      </c>
      <c r="AS132" s="133" t="str">
        <f>IF(AR132="","",INDEX('#建筑消耗和buff配置索引'!BL:BL,MATCH($F132,'#建筑消耗和buff配置索引'!$M:$M,0)))</f>
        <v/>
      </c>
      <c r="AV132" s="133" t="str">
        <f>IF(INDEX('#建筑消耗和buff配置索引'!BO:BO,MATCH($F132,'#建筑消耗和buff配置索引'!$M:$M,0))=0,"",INDEX('#建筑消耗和buff配置索引'!BO:BO,MATCH($F132,'#建筑消耗和buff配置索引'!$M:$M,0)))</f>
        <v/>
      </c>
      <c r="AW132" s="133" t="str">
        <f>IF(AV132="","",INDEX('#建筑消耗和buff配置索引'!BP:BP,MATCH($F132,'#建筑消耗和buff配置索引'!$M:$M,0)))</f>
        <v/>
      </c>
      <c r="AZ132" s="133" t="str">
        <f>IF(INDEX('#建筑消耗和buff配置索引'!BS:BS,MATCH($F132,'#建筑消耗和buff配置索引'!$M:$M,0))=0,"",INDEX('#建筑消耗和buff配置索引'!BS:BS,MATCH($F132,'#建筑消耗和buff配置索引'!$M:$M,0)))</f>
        <v/>
      </c>
      <c r="BA132" s="133" t="str">
        <f>IF(AZ132="","",INDEX('#建筑消耗和buff配置索引'!BT:BT,MATCH($F132,'#建筑消耗和buff配置索引'!$M:$M,0)))</f>
        <v/>
      </c>
      <c r="BD132" s="133" t="str">
        <f>IF(INDEX('#建筑消耗和buff配置索引'!BW:BW,MATCH($F132,'#建筑消耗和buff配置索引'!$M:$M,0))=0,"",INDEX('#建筑消耗和buff配置索引'!BW:BW,MATCH($F132,'#建筑消耗和buff配置索引'!$M:$M,0)))</f>
        <v/>
      </c>
      <c r="BE132" s="133" t="str">
        <f>IF(BD132="","",INDEX('#建筑消耗和buff配置索引'!BX:BX,MATCH($F132,'#建筑消耗和buff配置索引'!$M:$M,0)))</f>
        <v/>
      </c>
      <c r="BI132" s="133">
        <v>8</v>
      </c>
      <c r="BJ132" s="133">
        <v>299</v>
      </c>
      <c r="BO132" s="133">
        <v>3</v>
      </c>
      <c r="BP132" s="133" t="s">
        <v>1360</v>
      </c>
      <c r="BQ132" s="133">
        <v>10003602</v>
      </c>
      <c r="BR132" s="133">
        <v>300</v>
      </c>
    </row>
    <row r="133" spans="1:70" s="133" customFormat="1">
      <c r="A133" s="133">
        <v>2050010</v>
      </c>
      <c r="B133" s="133">
        <v>130</v>
      </c>
      <c r="C133" s="133">
        <v>205</v>
      </c>
      <c r="D133" s="133" t="s">
        <v>249</v>
      </c>
      <c r="E133" s="133">
        <v>10</v>
      </c>
      <c r="F133" s="133" t="str">
        <f t="shared" si="4"/>
        <v>石矿场10</v>
      </c>
      <c r="H133" s="146"/>
      <c r="I133" s="133">
        <v>1</v>
      </c>
      <c r="J133" s="150">
        <f>INDEX('#建筑消耗和buff配置索引'!AH:AH,MATCH($F133,'#建筑消耗和buff配置索引'!$M:$M,0))</f>
        <v>2160</v>
      </c>
      <c r="K133" s="150">
        <f>INDEX('#建筑消耗和buff配置索引'!AA:AA,MATCH($F133,'#建筑消耗和buff配置索引'!$M:$M,0))</f>
        <v>38000</v>
      </c>
      <c r="L133" s="150">
        <f>INDEX('#建筑消耗和buff配置索引'!AB:AB,MATCH($F133,'#建筑消耗和buff配置索引'!$M:$M,0))</f>
        <v>38000</v>
      </c>
      <c r="M133" s="150">
        <f>INDEX('#建筑消耗和buff配置索引'!AC:AC,MATCH($F133,'#建筑消耗和buff配置索引'!$M:$M,0))</f>
        <v>0</v>
      </c>
      <c r="N133" s="150">
        <f>INDEX('#建筑消耗和buff配置索引'!AD:AD,MATCH($F133,'#建筑消耗和buff配置索引'!$M:$M,0))</f>
        <v>38000</v>
      </c>
      <c r="O133" s="150" t="str">
        <f>IF(INDEX('#建筑消耗和buff配置索引'!T:T,MATCH($F133,'#建筑消耗和buff配置索引'!$M:$M,0))=0,"",INDEX('#建筑消耗和buff配置索引'!T:T,MATCH($F133,'#建筑消耗和buff配置索引'!$M:$M,0)))</f>
        <v/>
      </c>
      <c r="P133" s="133" t="str">
        <f>IF(INDEX('#建筑消耗和buff配置索引'!U:U,MATCH($F133,'#建筑消耗和buff配置索引'!$M:$M,0))=0,"",INDEX('#建筑消耗和buff配置索引'!U:U,MATCH($F133,'#建筑消耗和buff配置索引'!$M:$M,0)))</f>
        <v/>
      </c>
      <c r="Q133" s="133" t="str">
        <f>IF(INDEX('#建筑消耗和buff配置索引'!K:K,MATCH($F133,'#建筑消耗和buff配置索引'!$M:$M,0))=0,"",INDEX('#建筑消耗和buff配置索引'!K:K,MATCH($F133,'#建筑消耗和buff配置索引'!$M:$M,0)))</f>
        <v>201</v>
      </c>
      <c r="R133" s="133" t="str">
        <f>IF(INDEX('#建筑消耗和buff配置索引'!L:L,MATCH($F133,'#建筑消耗和buff配置索引'!$M:$M,0))=0,"",INDEX('#建筑消耗和buff配置索引'!L:L,MATCH($F133,'#建筑消耗和buff配置索引'!$M:$M,0)))</f>
        <v>10</v>
      </c>
      <c r="S133" s="133">
        <f>IF(INDEX('#建筑消耗和buff配置索引'!C:C,MATCH(F133,'#建筑消耗和buff配置索引'!M:M,0))=0,1,INDEX('#建筑消耗和buff配置索引'!C:C,MATCH(F133,'#建筑消耗和buff配置索引'!M:M,0)))</f>
        <v>2</v>
      </c>
      <c r="T133" s="133">
        <v>0</v>
      </c>
      <c r="U133" s="133">
        <v>0</v>
      </c>
      <c r="V133" s="133" t="str">
        <f>IF(E133=1,IF(INDEX('#建筑消耗和buff配置索引'!BY:BY,MATCH(D133,'#建筑消耗和buff配置索引'!A:A,0))=0,"",INDEX('#建筑消耗和buff配置索引'!BY:BY,MATCH(D133,'#建筑消耗和buff配置索引'!A:A,0))),"")</f>
        <v/>
      </c>
      <c r="W133" s="133" t="str">
        <f>IF(E133=1,IF(INDEX('#建筑消耗和buff配置索引'!BZ:BZ,MATCH(D133,'#建筑消耗和buff配置索引'!A:A,0))=0,"",INDEX('#建筑消耗和buff配置索引'!BZ:BZ,MATCH(D133,'#建筑消耗和buff配置索引'!A:A,0))),"")</f>
        <v/>
      </c>
      <c r="AA133" s="133">
        <f>INDEX('#建筑消耗和buff配置索引'!AO:AO,MATCH($F133,'#建筑消耗和buff配置索引'!$M:$M,0))</f>
        <v>575</v>
      </c>
      <c r="AB133" s="133">
        <f>IF(INDEX('#建筑消耗和buff配置索引'!AR:AR,MATCH($F133,'#建筑消耗和buff配置索引'!$M:$M,0))=0,"",INDEX('#建筑消耗和buff配置索引'!AR:AR,MATCH($F133,'#建筑消耗和buff配置索引'!$M:$M,0)))</f>
        <v>1018</v>
      </c>
      <c r="AC133" s="133">
        <f>IF(AB133="","",INDEX('#建筑消耗和buff配置索引'!AS:AS,MATCH($F133,'#建筑消耗和buff配置索引'!$M:$M,0)))</f>
        <v>3100</v>
      </c>
      <c r="AF133" s="133" t="str">
        <f>IF(INDEX('#建筑消耗和buff配置索引'!AW:AW,MATCH($F133,'#建筑消耗和buff配置索引'!$M:$M,0))=0,"",INDEX('#建筑消耗和buff配置索引'!AW:AW,MATCH($F133,'#建筑消耗和buff配置索引'!$M:$M,0)))</f>
        <v/>
      </c>
      <c r="AG133" s="133" t="str">
        <f>IF(AF133="","",INDEX('#建筑消耗和buff配置索引'!AX:AX,MATCH($F133,'#建筑消耗和buff配置索引'!$M:$M,0)))</f>
        <v/>
      </c>
      <c r="AJ133" s="133" t="str">
        <f>IF(INDEX('#建筑消耗和buff配置索引'!BB:BB,MATCH($F133,'#建筑消耗和buff配置索引'!$M:$M,0))=0,"",INDEX('#建筑消耗和buff配置索引'!BB:BB,MATCH($F133,'#建筑消耗和buff配置索引'!$M:$M,0)))</f>
        <v/>
      </c>
      <c r="AK133" s="133" t="str">
        <f>IF(AJ133="","",INDEX('#建筑消耗和buff配置索引'!BC:BC,MATCH($F133,'#建筑消耗和buff配置索引'!$M:$M,0)))</f>
        <v/>
      </c>
      <c r="AN133" s="133" t="str">
        <f>IF(INDEX('#建筑消耗和buff配置索引'!BG:BG,MATCH($F133,'#建筑消耗和buff配置索引'!$M:$M,0))=0,"",INDEX('#建筑消耗和buff配置索引'!BG:BG,MATCH($F133,'#建筑消耗和buff配置索引'!$M:$M,0)))</f>
        <v/>
      </c>
      <c r="AO133" s="133" t="str">
        <f>IF(AN133="","",INDEX('#建筑消耗和buff配置索引'!BH:BH,MATCH($F133,'#建筑消耗和buff配置索引'!$M:$M,0)))</f>
        <v/>
      </c>
      <c r="AR133" s="133" t="str">
        <f>IF(INDEX('#建筑消耗和buff配置索引'!BK:BK,MATCH($F133,'#建筑消耗和buff配置索引'!$M:$M,0))=0,"",INDEX('#建筑消耗和buff配置索引'!BK:BK,MATCH($F133,'#建筑消耗和buff配置索引'!$M:$M,0)))</f>
        <v/>
      </c>
      <c r="AS133" s="133" t="str">
        <f>IF(AR133="","",INDEX('#建筑消耗和buff配置索引'!BL:BL,MATCH($F133,'#建筑消耗和buff配置索引'!$M:$M,0)))</f>
        <v/>
      </c>
      <c r="AV133" s="133" t="str">
        <f>IF(INDEX('#建筑消耗和buff配置索引'!BO:BO,MATCH($F133,'#建筑消耗和buff配置索引'!$M:$M,0))=0,"",INDEX('#建筑消耗和buff配置索引'!BO:BO,MATCH($F133,'#建筑消耗和buff配置索引'!$M:$M,0)))</f>
        <v/>
      </c>
      <c r="AW133" s="133" t="str">
        <f>IF(AV133="","",INDEX('#建筑消耗和buff配置索引'!BP:BP,MATCH($F133,'#建筑消耗和buff配置索引'!$M:$M,0)))</f>
        <v/>
      </c>
      <c r="AZ133" s="133" t="str">
        <f>IF(INDEX('#建筑消耗和buff配置索引'!BS:BS,MATCH($F133,'#建筑消耗和buff配置索引'!$M:$M,0))=0,"",INDEX('#建筑消耗和buff配置索引'!BS:BS,MATCH($F133,'#建筑消耗和buff配置索引'!$M:$M,0)))</f>
        <v/>
      </c>
      <c r="BA133" s="133" t="str">
        <f>IF(AZ133="","",INDEX('#建筑消耗和buff配置索引'!BT:BT,MATCH($F133,'#建筑消耗和buff配置索引'!$M:$M,0)))</f>
        <v/>
      </c>
      <c r="BD133" s="133" t="str">
        <f>IF(INDEX('#建筑消耗和buff配置索引'!BW:BW,MATCH($F133,'#建筑消耗和buff配置索引'!$M:$M,0))=0,"",INDEX('#建筑消耗和buff配置索引'!BW:BW,MATCH($F133,'#建筑消耗和buff配置索引'!$M:$M,0)))</f>
        <v/>
      </c>
      <c r="BE133" s="133" t="str">
        <f>IF(BD133="","",INDEX('#建筑消耗和buff配置索引'!BX:BX,MATCH($F133,'#建筑消耗和buff配置索引'!$M:$M,0)))</f>
        <v/>
      </c>
      <c r="BI133" s="133">
        <v>8</v>
      </c>
      <c r="BO133" s="133">
        <v>4</v>
      </c>
      <c r="BP133" s="133" t="s">
        <v>1360</v>
      </c>
      <c r="BQ133" s="133">
        <v>10003602</v>
      </c>
      <c r="BR133" s="133">
        <v>300</v>
      </c>
    </row>
    <row r="134" spans="1:70" s="133" customFormat="1">
      <c r="A134" s="133">
        <v>2050011</v>
      </c>
      <c r="B134" s="133">
        <v>131</v>
      </c>
      <c r="C134" s="133">
        <v>205</v>
      </c>
      <c r="D134" s="133" t="s">
        <v>249</v>
      </c>
      <c r="E134" s="133">
        <v>11</v>
      </c>
      <c r="F134" s="133" t="str">
        <f t="shared" si="4"/>
        <v>石矿场11</v>
      </c>
      <c r="H134" s="146"/>
      <c r="I134" s="133">
        <v>1</v>
      </c>
      <c r="J134" s="150">
        <f>INDEX('#建筑消耗和buff配置索引'!AH:AH,MATCH($F134,'#建筑消耗和buff配置索引'!$M:$M,0))</f>
        <v>3240</v>
      </c>
      <c r="K134" s="150">
        <f>INDEX('#建筑消耗和buff配置索引'!AA:AA,MATCH($F134,'#建筑消耗和buff配置索引'!$M:$M,0))</f>
        <v>58000</v>
      </c>
      <c r="L134" s="150">
        <f>INDEX('#建筑消耗和buff配置索引'!AB:AB,MATCH($F134,'#建筑消耗和buff配置索引'!$M:$M,0))</f>
        <v>58000</v>
      </c>
      <c r="M134" s="150">
        <f>INDEX('#建筑消耗和buff配置索引'!AC:AC,MATCH($F134,'#建筑消耗和buff配置索引'!$M:$M,0))</f>
        <v>0</v>
      </c>
      <c r="N134" s="150">
        <f>INDEX('#建筑消耗和buff配置索引'!AD:AD,MATCH($F134,'#建筑消耗和buff配置索引'!$M:$M,0))</f>
        <v>58000</v>
      </c>
      <c r="O134" s="150" t="str">
        <f>IF(INDEX('#建筑消耗和buff配置索引'!T:T,MATCH($F134,'#建筑消耗和buff配置索引'!$M:$M,0))=0,"",INDEX('#建筑消耗和buff配置索引'!T:T,MATCH($F134,'#建筑消耗和buff配置索引'!$M:$M,0)))</f>
        <v/>
      </c>
      <c r="P134" s="133" t="str">
        <f>IF(INDEX('#建筑消耗和buff配置索引'!U:U,MATCH($F134,'#建筑消耗和buff配置索引'!$M:$M,0))=0,"",INDEX('#建筑消耗和buff配置索引'!U:U,MATCH($F134,'#建筑消耗和buff配置索引'!$M:$M,0)))</f>
        <v/>
      </c>
      <c r="Q134" s="133" t="str">
        <f>IF(INDEX('#建筑消耗和buff配置索引'!K:K,MATCH($F134,'#建筑消耗和buff配置索引'!$M:$M,0))=0,"",INDEX('#建筑消耗和buff配置索引'!K:K,MATCH($F134,'#建筑消耗和buff配置索引'!$M:$M,0)))</f>
        <v>201</v>
      </c>
      <c r="R134" s="133" t="str">
        <f>IF(INDEX('#建筑消耗和buff配置索引'!L:L,MATCH($F134,'#建筑消耗和buff配置索引'!$M:$M,0))=0,"",INDEX('#建筑消耗和buff配置索引'!L:L,MATCH($F134,'#建筑消耗和buff配置索引'!$M:$M,0)))</f>
        <v>11</v>
      </c>
      <c r="S134" s="133">
        <f>IF(INDEX('#建筑消耗和buff配置索引'!C:C,MATCH(F134,'#建筑消耗和buff配置索引'!M:M,0))=0,1,INDEX('#建筑消耗和buff配置索引'!C:C,MATCH(F134,'#建筑消耗和buff配置索引'!M:M,0)))</f>
        <v>2</v>
      </c>
      <c r="T134" s="133">
        <v>0</v>
      </c>
      <c r="U134" s="133">
        <v>0</v>
      </c>
      <c r="V134" s="133" t="str">
        <f>IF(E134=1,IF(INDEX('#建筑消耗和buff配置索引'!BY:BY,MATCH(D134,'#建筑消耗和buff配置索引'!A:A,0))=0,"",INDEX('#建筑消耗和buff配置索引'!BY:BY,MATCH(D134,'#建筑消耗和buff配置索引'!A:A,0))),"")</f>
        <v/>
      </c>
      <c r="W134" s="133" t="str">
        <f>IF(E134=1,IF(INDEX('#建筑消耗和buff配置索引'!BZ:BZ,MATCH(D134,'#建筑消耗和buff配置索引'!A:A,0))=0,"",INDEX('#建筑消耗和buff配置索引'!BZ:BZ,MATCH(D134,'#建筑消耗和buff配置索引'!A:A,0))),"")</f>
        <v/>
      </c>
      <c r="AA134" s="133">
        <f>INDEX('#建筑消耗和buff配置索引'!AO:AO,MATCH($F134,'#建筑消耗和buff配置索引'!$M:$M,0))</f>
        <v>923</v>
      </c>
      <c r="AB134" s="133">
        <f>IF(INDEX('#建筑消耗和buff配置索引'!AR:AR,MATCH($F134,'#建筑消耗和buff配置索引'!$M:$M,0))=0,"",INDEX('#建筑消耗和buff配置索引'!AR:AR,MATCH($F134,'#建筑消耗和buff配置索引'!$M:$M,0)))</f>
        <v>1018</v>
      </c>
      <c r="AC134" s="133">
        <f>IF(AB134="","",INDEX('#建筑消耗和buff配置索引'!AS:AS,MATCH($F134,'#建筑消耗和buff配置索引'!$M:$M,0)))</f>
        <v>3600</v>
      </c>
      <c r="AF134" s="133" t="str">
        <f>IF(INDEX('#建筑消耗和buff配置索引'!AW:AW,MATCH($F134,'#建筑消耗和buff配置索引'!$M:$M,0))=0,"",INDEX('#建筑消耗和buff配置索引'!AW:AW,MATCH($F134,'#建筑消耗和buff配置索引'!$M:$M,0)))</f>
        <v/>
      </c>
      <c r="AG134" s="133" t="str">
        <f>IF(AF134="","",INDEX('#建筑消耗和buff配置索引'!AX:AX,MATCH($F134,'#建筑消耗和buff配置索引'!$M:$M,0)))</f>
        <v/>
      </c>
      <c r="AJ134" s="133" t="str">
        <f>IF(INDEX('#建筑消耗和buff配置索引'!BB:BB,MATCH($F134,'#建筑消耗和buff配置索引'!$M:$M,0))=0,"",INDEX('#建筑消耗和buff配置索引'!BB:BB,MATCH($F134,'#建筑消耗和buff配置索引'!$M:$M,0)))</f>
        <v/>
      </c>
      <c r="AK134" s="133" t="str">
        <f>IF(AJ134="","",INDEX('#建筑消耗和buff配置索引'!BC:BC,MATCH($F134,'#建筑消耗和buff配置索引'!$M:$M,0)))</f>
        <v/>
      </c>
      <c r="AN134" s="133" t="str">
        <f>IF(INDEX('#建筑消耗和buff配置索引'!BG:BG,MATCH($F134,'#建筑消耗和buff配置索引'!$M:$M,0))=0,"",INDEX('#建筑消耗和buff配置索引'!BG:BG,MATCH($F134,'#建筑消耗和buff配置索引'!$M:$M,0)))</f>
        <v/>
      </c>
      <c r="AO134" s="133" t="str">
        <f>IF(AN134="","",INDEX('#建筑消耗和buff配置索引'!BH:BH,MATCH($F134,'#建筑消耗和buff配置索引'!$M:$M,0)))</f>
        <v/>
      </c>
      <c r="AR134" s="133" t="str">
        <f>IF(INDEX('#建筑消耗和buff配置索引'!BK:BK,MATCH($F134,'#建筑消耗和buff配置索引'!$M:$M,0))=0,"",INDEX('#建筑消耗和buff配置索引'!BK:BK,MATCH($F134,'#建筑消耗和buff配置索引'!$M:$M,0)))</f>
        <v/>
      </c>
      <c r="AS134" s="133" t="str">
        <f>IF(AR134="","",INDEX('#建筑消耗和buff配置索引'!BL:BL,MATCH($F134,'#建筑消耗和buff配置索引'!$M:$M,0)))</f>
        <v/>
      </c>
      <c r="AV134" s="133" t="str">
        <f>IF(INDEX('#建筑消耗和buff配置索引'!BO:BO,MATCH($F134,'#建筑消耗和buff配置索引'!$M:$M,0))=0,"",INDEX('#建筑消耗和buff配置索引'!BO:BO,MATCH($F134,'#建筑消耗和buff配置索引'!$M:$M,0)))</f>
        <v/>
      </c>
      <c r="AW134" s="133" t="str">
        <f>IF(AV134="","",INDEX('#建筑消耗和buff配置索引'!BP:BP,MATCH($F134,'#建筑消耗和buff配置索引'!$M:$M,0)))</f>
        <v/>
      </c>
      <c r="AZ134" s="133" t="str">
        <f>IF(INDEX('#建筑消耗和buff配置索引'!BS:BS,MATCH($F134,'#建筑消耗和buff配置索引'!$M:$M,0))=0,"",INDEX('#建筑消耗和buff配置索引'!BS:BS,MATCH($F134,'#建筑消耗和buff配置索引'!$M:$M,0)))</f>
        <v/>
      </c>
      <c r="BA134" s="133" t="str">
        <f>IF(AZ134="","",INDEX('#建筑消耗和buff配置索引'!BT:BT,MATCH($F134,'#建筑消耗和buff配置索引'!$M:$M,0)))</f>
        <v/>
      </c>
      <c r="BD134" s="133" t="str">
        <f>IF(INDEX('#建筑消耗和buff配置索引'!BW:BW,MATCH($F134,'#建筑消耗和buff配置索引'!$M:$M,0))=0,"",INDEX('#建筑消耗和buff配置索引'!BW:BW,MATCH($F134,'#建筑消耗和buff配置索引'!$M:$M,0)))</f>
        <v/>
      </c>
      <c r="BE134" s="133" t="str">
        <f>IF(BD134="","",INDEX('#建筑消耗和buff配置索引'!BX:BX,MATCH($F134,'#建筑消耗和buff配置索引'!$M:$M,0)))</f>
        <v/>
      </c>
      <c r="BI134" s="133">
        <v>8</v>
      </c>
      <c r="BO134" s="133">
        <v>4</v>
      </c>
      <c r="BP134" s="133" t="s">
        <v>1360</v>
      </c>
      <c r="BQ134" s="133">
        <v>10003602</v>
      </c>
      <c r="BR134" s="133">
        <v>300</v>
      </c>
    </row>
    <row r="135" spans="1:70" s="133" customFormat="1">
      <c r="A135" s="133">
        <v>2050012</v>
      </c>
      <c r="B135" s="133">
        <v>132</v>
      </c>
      <c r="C135" s="133">
        <v>205</v>
      </c>
      <c r="D135" s="133" t="s">
        <v>249</v>
      </c>
      <c r="E135" s="133">
        <v>12</v>
      </c>
      <c r="F135" s="133" t="str">
        <f t="shared" si="4"/>
        <v>石矿场12</v>
      </c>
      <c r="H135" s="146"/>
      <c r="I135" s="133">
        <v>2</v>
      </c>
      <c r="J135" s="150">
        <f>INDEX('#建筑消耗和buff配置索引'!AH:AH,MATCH($F135,'#建筑消耗和buff配置索引'!$M:$M,0))</f>
        <v>4320</v>
      </c>
      <c r="K135" s="150">
        <f>INDEX('#建筑消耗和buff配置索引'!AA:AA,MATCH($F135,'#建筑消耗和buff配置索引'!$M:$M,0))</f>
        <v>84000</v>
      </c>
      <c r="L135" s="150">
        <f>INDEX('#建筑消耗和buff配置索引'!AB:AB,MATCH($F135,'#建筑消耗和buff配置索引'!$M:$M,0))</f>
        <v>84000</v>
      </c>
      <c r="M135" s="150">
        <f>INDEX('#建筑消耗和buff配置索引'!AC:AC,MATCH($F135,'#建筑消耗和buff配置索引'!$M:$M,0))</f>
        <v>0</v>
      </c>
      <c r="N135" s="150">
        <f>INDEX('#建筑消耗和buff配置索引'!AD:AD,MATCH($F135,'#建筑消耗和buff配置索引'!$M:$M,0))</f>
        <v>84000</v>
      </c>
      <c r="O135" s="150" t="str">
        <f>IF(INDEX('#建筑消耗和buff配置索引'!T:T,MATCH($F135,'#建筑消耗和buff配置索引'!$M:$M,0))=0,"",INDEX('#建筑消耗和buff配置索引'!T:T,MATCH($F135,'#建筑消耗和buff配置索引'!$M:$M,0)))</f>
        <v/>
      </c>
      <c r="P135" s="133" t="str">
        <f>IF(INDEX('#建筑消耗和buff配置索引'!U:U,MATCH($F135,'#建筑消耗和buff配置索引'!$M:$M,0))=0,"",INDEX('#建筑消耗和buff配置索引'!U:U,MATCH($F135,'#建筑消耗和buff配置索引'!$M:$M,0)))</f>
        <v/>
      </c>
      <c r="Q135" s="133" t="str">
        <f>IF(INDEX('#建筑消耗和buff配置索引'!K:K,MATCH($F135,'#建筑消耗和buff配置索引'!$M:$M,0))=0,"",INDEX('#建筑消耗和buff配置索引'!K:K,MATCH($F135,'#建筑消耗和buff配置索引'!$M:$M,0)))</f>
        <v>201</v>
      </c>
      <c r="R135" s="133" t="str">
        <f>IF(INDEX('#建筑消耗和buff配置索引'!L:L,MATCH($F135,'#建筑消耗和buff配置索引'!$M:$M,0))=0,"",INDEX('#建筑消耗和buff配置索引'!L:L,MATCH($F135,'#建筑消耗和buff配置索引'!$M:$M,0)))</f>
        <v>12</v>
      </c>
      <c r="S135" s="133">
        <f>IF(INDEX('#建筑消耗和buff配置索引'!C:C,MATCH(F135,'#建筑消耗和buff配置索引'!M:M,0))=0,1,INDEX('#建筑消耗和buff配置索引'!C:C,MATCH(F135,'#建筑消耗和buff配置索引'!M:M,0)))</f>
        <v>2</v>
      </c>
      <c r="T135" s="133">
        <v>0</v>
      </c>
      <c r="U135" s="133">
        <v>0</v>
      </c>
      <c r="V135" s="133" t="str">
        <f>IF(E135=1,IF(INDEX('#建筑消耗和buff配置索引'!BY:BY,MATCH(D135,'#建筑消耗和buff配置索引'!A:A,0))=0,"",INDEX('#建筑消耗和buff配置索引'!BY:BY,MATCH(D135,'#建筑消耗和buff配置索引'!A:A,0))),"")</f>
        <v/>
      </c>
      <c r="W135" s="133" t="str">
        <f>IF(E135=1,IF(INDEX('#建筑消耗和buff配置索引'!BZ:BZ,MATCH(D135,'#建筑消耗和buff配置索引'!A:A,0))=0,"",INDEX('#建筑消耗和buff配置索引'!BZ:BZ,MATCH(D135,'#建筑消耗和buff配置索引'!A:A,0))),"")</f>
        <v/>
      </c>
      <c r="AA135" s="133">
        <f>INDEX('#建筑消耗和buff配置索引'!AO:AO,MATCH($F135,'#建筑消耗和buff配置索引'!$M:$M,0))</f>
        <v>1424</v>
      </c>
      <c r="AB135" s="133">
        <f>IF(INDEX('#建筑消耗和buff配置索引'!AR:AR,MATCH($F135,'#建筑消耗和buff配置索引'!$M:$M,0))=0,"",INDEX('#建筑消耗和buff配置索引'!AR:AR,MATCH($F135,'#建筑消耗和buff配置索引'!$M:$M,0)))</f>
        <v>1018</v>
      </c>
      <c r="AC135" s="133">
        <f>IF(AB135="","",INDEX('#建筑消耗和buff配置索引'!AS:AS,MATCH($F135,'#建筑消耗和buff配置索引'!$M:$M,0)))</f>
        <v>4100</v>
      </c>
      <c r="AF135" s="133" t="str">
        <f>IF(INDEX('#建筑消耗和buff配置索引'!AW:AW,MATCH($F135,'#建筑消耗和buff配置索引'!$M:$M,0))=0,"",INDEX('#建筑消耗和buff配置索引'!AW:AW,MATCH($F135,'#建筑消耗和buff配置索引'!$M:$M,0)))</f>
        <v/>
      </c>
      <c r="AG135" s="133" t="str">
        <f>IF(AF135="","",INDEX('#建筑消耗和buff配置索引'!AX:AX,MATCH($F135,'#建筑消耗和buff配置索引'!$M:$M,0)))</f>
        <v/>
      </c>
      <c r="AJ135" s="133" t="str">
        <f>IF(INDEX('#建筑消耗和buff配置索引'!BB:BB,MATCH($F135,'#建筑消耗和buff配置索引'!$M:$M,0))=0,"",INDEX('#建筑消耗和buff配置索引'!BB:BB,MATCH($F135,'#建筑消耗和buff配置索引'!$M:$M,0)))</f>
        <v/>
      </c>
      <c r="AK135" s="133" t="str">
        <f>IF(AJ135="","",INDEX('#建筑消耗和buff配置索引'!BC:BC,MATCH($F135,'#建筑消耗和buff配置索引'!$M:$M,0)))</f>
        <v/>
      </c>
      <c r="AN135" s="133" t="str">
        <f>IF(INDEX('#建筑消耗和buff配置索引'!BG:BG,MATCH($F135,'#建筑消耗和buff配置索引'!$M:$M,0))=0,"",INDEX('#建筑消耗和buff配置索引'!BG:BG,MATCH($F135,'#建筑消耗和buff配置索引'!$M:$M,0)))</f>
        <v/>
      </c>
      <c r="AO135" s="133" t="str">
        <f>IF(AN135="","",INDEX('#建筑消耗和buff配置索引'!BH:BH,MATCH($F135,'#建筑消耗和buff配置索引'!$M:$M,0)))</f>
        <v/>
      </c>
      <c r="AR135" s="133" t="str">
        <f>IF(INDEX('#建筑消耗和buff配置索引'!BK:BK,MATCH($F135,'#建筑消耗和buff配置索引'!$M:$M,0))=0,"",INDEX('#建筑消耗和buff配置索引'!BK:BK,MATCH($F135,'#建筑消耗和buff配置索引'!$M:$M,0)))</f>
        <v/>
      </c>
      <c r="AS135" s="133" t="str">
        <f>IF(AR135="","",INDEX('#建筑消耗和buff配置索引'!BL:BL,MATCH($F135,'#建筑消耗和buff配置索引'!$M:$M,0)))</f>
        <v/>
      </c>
      <c r="AV135" s="133" t="str">
        <f>IF(INDEX('#建筑消耗和buff配置索引'!BO:BO,MATCH($F135,'#建筑消耗和buff配置索引'!$M:$M,0))=0,"",INDEX('#建筑消耗和buff配置索引'!BO:BO,MATCH($F135,'#建筑消耗和buff配置索引'!$M:$M,0)))</f>
        <v/>
      </c>
      <c r="AW135" s="133" t="str">
        <f>IF(AV135="","",INDEX('#建筑消耗和buff配置索引'!BP:BP,MATCH($F135,'#建筑消耗和buff配置索引'!$M:$M,0)))</f>
        <v/>
      </c>
      <c r="AZ135" s="133" t="str">
        <f>IF(INDEX('#建筑消耗和buff配置索引'!BS:BS,MATCH($F135,'#建筑消耗和buff配置索引'!$M:$M,0))=0,"",INDEX('#建筑消耗和buff配置索引'!BS:BS,MATCH($F135,'#建筑消耗和buff配置索引'!$M:$M,0)))</f>
        <v/>
      </c>
      <c r="BA135" s="133" t="str">
        <f>IF(AZ135="","",INDEX('#建筑消耗和buff配置索引'!BT:BT,MATCH($F135,'#建筑消耗和buff配置索引'!$M:$M,0)))</f>
        <v/>
      </c>
      <c r="BD135" s="133" t="str">
        <f>IF(INDEX('#建筑消耗和buff配置索引'!BW:BW,MATCH($F135,'#建筑消耗和buff配置索引'!$M:$M,0))=0,"",INDEX('#建筑消耗和buff配置索引'!BW:BW,MATCH($F135,'#建筑消耗和buff配置索引'!$M:$M,0)))</f>
        <v/>
      </c>
      <c r="BE135" s="133" t="str">
        <f>IF(BD135="","",INDEX('#建筑消耗和buff配置索引'!BX:BX,MATCH($F135,'#建筑消耗和buff配置索引'!$M:$M,0)))</f>
        <v/>
      </c>
      <c r="BI135" s="133">
        <v>8</v>
      </c>
      <c r="BO135" s="133">
        <v>4</v>
      </c>
      <c r="BP135" s="133" t="s">
        <v>1360</v>
      </c>
      <c r="BQ135" s="133">
        <v>10003602</v>
      </c>
      <c r="BR135" s="133">
        <v>300</v>
      </c>
    </row>
    <row r="136" spans="1:70" s="133" customFormat="1">
      <c r="A136" s="133">
        <v>2050013</v>
      </c>
      <c r="B136" s="133">
        <v>133</v>
      </c>
      <c r="C136" s="133">
        <v>205</v>
      </c>
      <c r="D136" s="133" t="s">
        <v>249</v>
      </c>
      <c r="E136" s="133">
        <v>13</v>
      </c>
      <c r="F136" s="133" t="str">
        <f t="shared" si="4"/>
        <v>石矿场13</v>
      </c>
      <c r="H136" s="146"/>
      <c r="I136" s="133">
        <v>2</v>
      </c>
      <c r="J136" s="150">
        <f>INDEX('#建筑消耗和buff配置索引'!AH:AH,MATCH($F136,'#建筑消耗和buff配置索引'!$M:$M,0))</f>
        <v>5760</v>
      </c>
      <c r="K136" s="150">
        <f>INDEX('#建筑消耗和buff配置索引'!AA:AA,MATCH($F136,'#建筑消耗和buff配置索引'!$M:$M,0))</f>
        <v>110000</v>
      </c>
      <c r="L136" s="150">
        <f>INDEX('#建筑消耗和buff配置索引'!AB:AB,MATCH($F136,'#建筑消耗和buff配置索引'!$M:$M,0))</f>
        <v>110000</v>
      </c>
      <c r="M136" s="150">
        <f>INDEX('#建筑消耗和buff配置索引'!AC:AC,MATCH($F136,'#建筑消耗和buff配置索引'!$M:$M,0))</f>
        <v>0</v>
      </c>
      <c r="N136" s="150">
        <f>INDEX('#建筑消耗和buff配置索引'!AD:AD,MATCH($F136,'#建筑消耗和buff配置索引'!$M:$M,0))</f>
        <v>110000</v>
      </c>
      <c r="O136" s="150" t="str">
        <f>IF(INDEX('#建筑消耗和buff配置索引'!T:T,MATCH($F136,'#建筑消耗和buff配置索引'!$M:$M,0))=0,"",INDEX('#建筑消耗和buff配置索引'!T:T,MATCH($F136,'#建筑消耗和buff配置索引'!$M:$M,0)))</f>
        <v/>
      </c>
      <c r="P136" s="133" t="str">
        <f>IF(INDEX('#建筑消耗和buff配置索引'!U:U,MATCH($F136,'#建筑消耗和buff配置索引'!$M:$M,0))=0,"",INDEX('#建筑消耗和buff配置索引'!U:U,MATCH($F136,'#建筑消耗和buff配置索引'!$M:$M,0)))</f>
        <v/>
      </c>
      <c r="Q136" s="133" t="str">
        <f>IF(INDEX('#建筑消耗和buff配置索引'!K:K,MATCH($F136,'#建筑消耗和buff配置索引'!$M:$M,0))=0,"",INDEX('#建筑消耗和buff配置索引'!K:K,MATCH($F136,'#建筑消耗和buff配置索引'!$M:$M,0)))</f>
        <v>201</v>
      </c>
      <c r="R136" s="133" t="str">
        <f>IF(INDEX('#建筑消耗和buff配置索引'!L:L,MATCH($F136,'#建筑消耗和buff配置索引'!$M:$M,0))=0,"",INDEX('#建筑消耗和buff配置索引'!L:L,MATCH($F136,'#建筑消耗和buff配置索引'!$M:$M,0)))</f>
        <v>13</v>
      </c>
      <c r="S136" s="133">
        <f>IF(INDEX('#建筑消耗和buff配置索引'!C:C,MATCH(F136,'#建筑消耗和buff配置索引'!M:M,0))=0,1,INDEX('#建筑消耗和buff配置索引'!C:C,MATCH(F136,'#建筑消耗和buff配置索引'!M:M,0)))</f>
        <v>2</v>
      </c>
      <c r="T136" s="133">
        <v>0</v>
      </c>
      <c r="U136" s="133">
        <v>0</v>
      </c>
      <c r="V136" s="133" t="str">
        <f>IF(E136=1,IF(INDEX('#建筑消耗和buff配置索引'!BY:BY,MATCH(D136,'#建筑消耗和buff配置索引'!A:A,0))=0,"",INDEX('#建筑消耗和buff配置索引'!BY:BY,MATCH(D136,'#建筑消耗和buff配置索引'!A:A,0))),"")</f>
        <v/>
      </c>
      <c r="W136" s="133" t="str">
        <f>IF(E136=1,IF(INDEX('#建筑消耗和buff配置索引'!BZ:BZ,MATCH(D136,'#建筑消耗和buff配置索引'!A:A,0))=0,"",INDEX('#建筑消耗和buff配置索引'!BZ:BZ,MATCH(D136,'#建筑消耗和buff配置索引'!A:A,0))),"")</f>
        <v/>
      </c>
      <c r="AA136" s="133">
        <f>INDEX('#建筑消耗和buff配置索引'!AO:AO,MATCH($F136,'#建筑消耗和buff配置索引'!$M:$M,0))</f>
        <v>2111</v>
      </c>
      <c r="AB136" s="133">
        <f>IF(INDEX('#建筑消耗和buff配置索引'!AR:AR,MATCH($F136,'#建筑消耗和buff配置索引'!$M:$M,0))=0,"",INDEX('#建筑消耗和buff配置索引'!AR:AR,MATCH($F136,'#建筑消耗和buff配置索引'!$M:$M,0)))</f>
        <v>1018</v>
      </c>
      <c r="AC136" s="133">
        <f>IF(AB136="","",INDEX('#建筑消耗和buff配置索引'!AS:AS,MATCH($F136,'#建筑消耗和buff配置索引'!$M:$M,0)))</f>
        <v>4600</v>
      </c>
      <c r="AF136" s="133" t="str">
        <f>IF(INDEX('#建筑消耗和buff配置索引'!AW:AW,MATCH($F136,'#建筑消耗和buff配置索引'!$M:$M,0))=0,"",INDEX('#建筑消耗和buff配置索引'!AW:AW,MATCH($F136,'#建筑消耗和buff配置索引'!$M:$M,0)))</f>
        <v/>
      </c>
      <c r="AG136" s="133" t="str">
        <f>IF(AF136="","",INDEX('#建筑消耗和buff配置索引'!AX:AX,MATCH($F136,'#建筑消耗和buff配置索引'!$M:$M,0)))</f>
        <v/>
      </c>
      <c r="AJ136" s="133" t="str">
        <f>IF(INDEX('#建筑消耗和buff配置索引'!BB:BB,MATCH($F136,'#建筑消耗和buff配置索引'!$M:$M,0))=0,"",INDEX('#建筑消耗和buff配置索引'!BB:BB,MATCH($F136,'#建筑消耗和buff配置索引'!$M:$M,0)))</f>
        <v/>
      </c>
      <c r="AK136" s="133" t="str">
        <f>IF(AJ136="","",INDEX('#建筑消耗和buff配置索引'!BC:BC,MATCH($F136,'#建筑消耗和buff配置索引'!$M:$M,0)))</f>
        <v/>
      </c>
      <c r="AN136" s="133" t="str">
        <f>IF(INDEX('#建筑消耗和buff配置索引'!BG:BG,MATCH($F136,'#建筑消耗和buff配置索引'!$M:$M,0))=0,"",INDEX('#建筑消耗和buff配置索引'!BG:BG,MATCH($F136,'#建筑消耗和buff配置索引'!$M:$M,0)))</f>
        <v/>
      </c>
      <c r="AO136" s="133" t="str">
        <f>IF(AN136="","",INDEX('#建筑消耗和buff配置索引'!BH:BH,MATCH($F136,'#建筑消耗和buff配置索引'!$M:$M,0)))</f>
        <v/>
      </c>
      <c r="AR136" s="133" t="str">
        <f>IF(INDEX('#建筑消耗和buff配置索引'!BK:BK,MATCH($F136,'#建筑消耗和buff配置索引'!$M:$M,0))=0,"",INDEX('#建筑消耗和buff配置索引'!BK:BK,MATCH($F136,'#建筑消耗和buff配置索引'!$M:$M,0)))</f>
        <v/>
      </c>
      <c r="AS136" s="133" t="str">
        <f>IF(AR136="","",INDEX('#建筑消耗和buff配置索引'!BL:BL,MATCH($F136,'#建筑消耗和buff配置索引'!$M:$M,0)))</f>
        <v/>
      </c>
      <c r="AV136" s="133" t="str">
        <f>IF(INDEX('#建筑消耗和buff配置索引'!BO:BO,MATCH($F136,'#建筑消耗和buff配置索引'!$M:$M,0))=0,"",INDEX('#建筑消耗和buff配置索引'!BO:BO,MATCH($F136,'#建筑消耗和buff配置索引'!$M:$M,0)))</f>
        <v/>
      </c>
      <c r="AW136" s="133" t="str">
        <f>IF(AV136="","",INDEX('#建筑消耗和buff配置索引'!BP:BP,MATCH($F136,'#建筑消耗和buff配置索引'!$M:$M,0)))</f>
        <v/>
      </c>
      <c r="AZ136" s="133" t="str">
        <f>IF(INDEX('#建筑消耗和buff配置索引'!BS:BS,MATCH($F136,'#建筑消耗和buff配置索引'!$M:$M,0))=0,"",INDEX('#建筑消耗和buff配置索引'!BS:BS,MATCH($F136,'#建筑消耗和buff配置索引'!$M:$M,0)))</f>
        <v/>
      </c>
      <c r="BA136" s="133" t="str">
        <f>IF(AZ136="","",INDEX('#建筑消耗和buff配置索引'!BT:BT,MATCH($F136,'#建筑消耗和buff配置索引'!$M:$M,0)))</f>
        <v/>
      </c>
      <c r="BD136" s="133" t="str">
        <f>IF(INDEX('#建筑消耗和buff配置索引'!BW:BW,MATCH($F136,'#建筑消耗和buff配置索引'!$M:$M,0))=0,"",INDEX('#建筑消耗和buff配置索引'!BW:BW,MATCH($F136,'#建筑消耗和buff配置索引'!$M:$M,0)))</f>
        <v/>
      </c>
      <c r="BE136" s="133" t="str">
        <f>IF(BD136="","",INDEX('#建筑消耗和buff配置索引'!BX:BX,MATCH($F136,'#建筑消耗和buff配置索引'!$M:$M,0)))</f>
        <v/>
      </c>
      <c r="BI136" s="133">
        <v>8</v>
      </c>
      <c r="BO136" s="133">
        <v>4</v>
      </c>
      <c r="BP136" s="133" t="s">
        <v>1360</v>
      </c>
      <c r="BQ136" s="133">
        <v>10003602</v>
      </c>
      <c r="BR136" s="133">
        <v>300</v>
      </c>
    </row>
    <row r="137" spans="1:70" s="133" customFormat="1">
      <c r="A137" s="133">
        <v>2050014</v>
      </c>
      <c r="B137" s="133">
        <v>134</v>
      </c>
      <c r="C137" s="133">
        <v>205</v>
      </c>
      <c r="D137" s="133" t="s">
        <v>249</v>
      </c>
      <c r="E137" s="133">
        <v>14</v>
      </c>
      <c r="F137" s="133" t="str">
        <f t="shared" si="4"/>
        <v>石矿场14</v>
      </c>
      <c r="H137" s="146"/>
      <c r="I137" s="133">
        <v>2</v>
      </c>
      <c r="J137" s="150">
        <f>INDEX('#建筑消耗和buff配置索引'!AH:AH,MATCH($F137,'#建筑消耗和buff配置索引'!$M:$M,0))</f>
        <v>7200</v>
      </c>
      <c r="K137" s="150">
        <f>INDEX('#建筑消耗和buff配置索引'!AA:AA,MATCH($F137,'#建筑消耗和buff配置索引'!$M:$M,0))</f>
        <v>150000</v>
      </c>
      <c r="L137" s="150">
        <f>INDEX('#建筑消耗和buff配置索引'!AB:AB,MATCH($F137,'#建筑消耗和buff配置索引'!$M:$M,0))</f>
        <v>150000</v>
      </c>
      <c r="M137" s="150">
        <f>INDEX('#建筑消耗和buff配置索引'!AC:AC,MATCH($F137,'#建筑消耗和buff配置索引'!$M:$M,0))</f>
        <v>0</v>
      </c>
      <c r="N137" s="150">
        <f>INDEX('#建筑消耗和buff配置索引'!AD:AD,MATCH($F137,'#建筑消耗和buff配置索引'!$M:$M,0))</f>
        <v>150000</v>
      </c>
      <c r="O137" s="150" t="str">
        <f>IF(INDEX('#建筑消耗和buff配置索引'!T:T,MATCH($F137,'#建筑消耗和buff配置索引'!$M:$M,0))=0,"",INDEX('#建筑消耗和buff配置索引'!T:T,MATCH($F137,'#建筑消耗和buff配置索引'!$M:$M,0)))</f>
        <v/>
      </c>
      <c r="P137" s="133" t="str">
        <f>IF(INDEX('#建筑消耗和buff配置索引'!U:U,MATCH($F137,'#建筑消耗和buff配置索引'!$M:$M,0))=0,"",INDEX('#建筑消耗和buff配置索引'!U:U,MATCH($F137,'#建筑消耗和buff配置索引'!$M:$M,0)))</f>
        <v/>
      </c>
      <c r="Q137" s="133" t="str">
        <f>IF(INDEX('#建筑消耗和buff配置索引'!K:K,MATCH($F137,'#建筑消耗和buff配置索引'!$M:$M,0))=0,"",INDEX('#建筑消耗和buff配置索引'!K:K,MATCH($F137,'#建筑消耗和buff配置索引'!$M:$M,0)))</f>
        <v>201</v>
      </c>
      <c r="R137" s="133" t="str">
        <f>IF(INDEX('#建筑消耗和buff配置索引'!L:L,MATCH($F137,'#建筑消耗和buff配置索引'!$M:$M,0))=0,"",INDEX('#建筑消耗和buff配置索引'!L:L,MATCH($F137,'#建筑消耗和buff配置索引'!$M:$M,0)))</f>
        <v>14</v>
      </c>
      <c r="S137" s="133">
        <f>IF(INDEX('#建筑消耗和buff配置索引'!C:C,MATCH(F137,'#建筑消耗和buff配置索引'!M:M,0))=0,1,INDEX('#建筑消耗和buff配置索引'!C:C,MATCH(F137,'#建筑消耗和buff配置索引'!M:M,0)))</f>
        <v>2</v>
      </c>
      <c r="T137" s="133">
        <v>0</v>
      </c>
      <c r="U137" s="133">
        <v>0</v>
      </c>
      <c r="V137" s="133" t="str">
        <f>IF(E137=1,IF(INDEX('#建筑消耗和buff配置索引'!BY:BY,MATCH(D137,'#建筑消耗和buff配置索引'!A:A,0))=0,"",INDEX('#建筑消耗和buff配置索引'!BY:BY,MATCH(D137,'#建筑消耗和buff配置索引'!A:A,0))),"")</f>
        <v/>
      </c>
      <c r="W137" s="133" t="str">
        <f>IF(E137=1,IF(INDEX('#建筑消耗和buff配置索引'!BZ:BZ,MATCH(D137,'#建筑消耗和buff配置索引'!A:A,0))=0,"",INDEX('#建筑消耗和buff配置索引'!BZ:BZ,MATCH(D137,'#建筑消耗和buff配置索引'!A:A,0))),"")</f>
        <v/>
      </c>
      <c r="AA137" s="133">
        <f>INDEX('#建筑消耗和buff配置索引'!AO:AO,MATCH($F137,'#建筑消耗和buff配置索引'!$M:$M,0))</f>
        <v>3003</v>
      </c>
      <c r="AB137" s="133">
        <f>IF(INDEX('#建筑消耗和buff配置索引'!AR:AR,MATCH($F137,'#建筑消耗和buff配置索引'!$M:$M,0))=0,"",INDEX('#建筑消耗和buff配置索引'!AR:AR,MATCH($F137,'#建筑消耗和buff配置索引'!$M:$M,0)))</f>
        <v>1018</v>
      </c>
      <c r="AC137" s="133">
        <f>IF(AB137="","",INDEX('#建筑消耗和buff配置索引'!AS:AS,MATCH($F137,'#建筑消耗和buff配置索引'!$M:$M,0)))</f>
        <v>5100</v>
      </c>
      <c r="AF137" s="133" t="str">
        <f>IF(INDEX('#建筑消耗和buff配置索引'!AW:AW,MATCH($F137,'#建筑消耗和buff配置索引'!$M:$M,0))=0,"",INDEX('#建筑消耗和buff配置索引'!AW:AW,MATCH($F137,'#建筑消耗和buff配置索引'!$M:$M,0)))</f>
        <v/>
      </c>
      <c r="AG137" s="133" t="str">
        <f>IF(AF137="","",INDEX('#建筑消耗和buff配置索引'!AX:AX,MATCH($F137,'#建筑消耗和buff配置索引'!$M:$M,0)))</f>
        <v/>
      </c>
      <c r="AJ137" s="133" t="str">
        <f>IF(INDEX('#建筑消耗和buff配置索引'!BB:BB,MATCH($F137,'#建筑消耗和buff配置索引'!$M:$M,0))=0,"",INDEX('#建筑消耗和buff配置索引'!BB:BB,MATCH($F137,'#建筑消耗和buff配置索引'!$M:$M,0)))</f>
        <v/>
      </c>
      <c r="AK137" s="133" t="str">
        <f>IF(AJ137="","",INDEX('#建筑消耗和buff配置索引'!BC:BC,MATCH($F137,'#建筑消耗和buff配置索引'!$M:$M,0)))</f>
        <v/>
      </c>
      <c r="AN137" s="133" t="str">
        <f>IF(INDEX('#建筑消耗和buff配置索引'!BG:BG,MATCH($F137,'#建筑消耗和buff配置索引'!$M:$M,0))=0,"",INDEX('#建筑消耗和buff配置索引'!BG:BG,MATCH($F137,'#建筑消耗和buff配置索引'!$M:$M,0)))</f>
        <v/>
      </c>
      <c r="AO137" s="133" t="str">
        <f>IF(AN137="","",INDEX('#建筑消耗和buff配置索引'!BH:BH,MATCH($F137,'#建筑消耗和buff配置索引'!$M:$M,0)))</f>
        <v/>
      </c>
      <c r="AR137" s="133" t="str">
        <f>IF(INDEX('#建筑消耗和buff配置索引'!BK:BK,MATCH($F137,'#建筑消耗和buff配置索引'!$M:$M,0))=0,"",INDEX('#建筑消耗和buff配置索引'!BK:BK,MATCH($F137,'#建筑消耗和buff配置索引'!$M:$M,0)))</f>
        <v/>
      </c>
      <c r="AS137" s="133" t="str">
        <f>IF(AR137="","",INDEX('#建筑消耗和buff配置索引'!BL:BL,MATCH($F137,'#建筑消耗和buff配置索引'!$M:$M,0)))</f>
        <v/>
      </c>
      <c r="AV137" s="133" t="str">
        <f>IF(INDEX('#建筑消耗和buff配置索引'!BO:BO,MATCH($F137,'#建筑消耗和buff配置索引'!$M:$M,0))=0,"",INDEX('#建筑消耗和buff配置索引'!BO:BO,MATCH($F137,'#建筑消耗和buff配置索引'!$M:$M,0)))</f>
        <v/>
      </c>
      <c r="AW137" s="133" t="str">
        <f>IF(AV137="","",INDEX('#建筑消耗和buff配置索引'!BP:BP,MATCH($F137,'#建筑消耗和buff配置索引'!$M:$M,0)))</f>
        <v/>
      </c>
      <c r="AZ137" s="133" t="str">
        <f>IF(INDEX('#建筑消耗和buff配置索引'!BS:BS,MATCH($F137,'#建筑消耗和buff配置索引'!$M:$M,0))=0,"",INDEX('#建筑消耗和buff配置索引'!BS:BS,MATCH($F137,'#建筑消耗和buff配置索引'!$M:$M,0)))</f>
        <v/>
      </c>
      <c r="BA137" s="133" t="str">
        <f>IF(AZ137="","",INDEX('#建筑消耗和buff配置索引'!BT:BT,MATCH($F137,'#建筑消耗和buff配置索引'!$M:$M,0)))</f>
        <v/>
      </c>
      <c r="BD137" s="133" t="str">
        <f>IF(INDEX('#建筑消耗和buff配置索引'!BW:BW,MATCH($F137,'#建筑消耗和buff配置索引'!$M:$M,0))=0,"",INDEX('#建筑消耗和buff配置索引'!BW:BW,MATCH($F137,'#建筑消耗和buff配置索引'!$M:$M,0)))</f>
        <v/>
      </c>
      <c r="BE137" s="133" t="str">
        <f>IF(BD137="","",INDEX('#建筑消耗和buff配置索引'!BX:BX,MATCH($F137,'#建筑消耗和buff配置索引'!$M:$M,0)))</f>
        <v/>
      </c>
      <c r="BI137" s="133">
        <v>8</v>
      </c>
      <c r="BO137" s="133">
        <v>4</v>
      </c>
      <c r="BP137" s="133" t="s">
        <v>1360</v>
      </c>
      <c r="BQ137" s="133">
        <v>10003602</v>
      </c>
      <c r="BR137" s="133">
        <v>300</v>
      </c>
    </row>
    <row r="138" spans="1:70" s="133" customFormat="1">
      <c r="A138" s="133">
        <v>2050015</v>
      </c>
      <c r="B138" s="133">
        <v>135</v>
      </c>
      <c r="C138" s="133">
        <v>205</v>
      </c>
      <c r="D138" s="133" t="s">
        <v>249</v>
      </c>
      <c r="E138" s="133">
        <v>15</v>
      </c>
      <c r="F138" s="133" t="str">
        <f t="shared" si="4"/>
        <v>石矿场15</v>
      </c>
      <c r="H138" s="146"/>
      <c r="I138" s="133">
        <v>2</v>
      </c>
      <c r="J138" s="150">
        <f>INDEX('#建筑消耗和buff配置索引'!AH:AH,MATCH($F138,'#建筑消耗和buff配置索引'!$M:$M,0))</f>
        <v>8640</v>
      </c>
      <c r="K138" s="150">
        <f>INDEX('#建筑消耗和buff配置索引'!AA:AA,MATCH($F138,'#建筑消耗和buff配置索引'!$M:$M,0))</f>
        <v>190000</v>
      </c>
      <c r="L138" s="150">
        <f>INDEX('#建筑消耗和buff配置索引'!AB:AB,MATCH($F138,'#建筑消耗和buff配置索引'!$M:$M,0))</f>
        <v>190000</v>
      </c>
      <c r="M138" s="150">
        <f>INDEX('#建筑消耗和buff配置索引'!AC:AC,MATCH($F138,'#建筑消耗和buff配置索引'!$M:$M,0))</f>
        <v>0</v>
      </c>
      <c r="N138" s="150">
        <f>INDEX('#建筑消耗和buff配置索引'!AD:AD,MATCH($F138,'#建筑消耗和buff配置索引'!$M:$M,0))</f>
        <v>190000</v>
      </c>
      <c r="O138" s="150" t="str">
        <f>IF(INDEX('#建筑消耗和buff配置索引'!T:T,MATCH($F138,'#建筑消耗和buff配置索引'!$M:$M,0))=0,"",INDEX('#建筑消耗和buff配置索引'!T:T,MATCH($F138,'#建筑消耗和buff配置索引'!$M:$M,0)))</f>
        <v/>
      </c>
      <c r="P138" s="133" t="str">
        <f>IF(INDEX('#建筑消耗和buff配置索引'!U:U,MATCH($F138,'#建筑消耗和buff配置索引'!$M:$M,0))=0,"",INDEX('#建筑消耗和buff配置索引'!U:U,MATCH($F138,'#建筑消耗和buff配置索引'!$M:$M,0)))</f>
        <v/>
      </c>
      <c r="Q138" s="133" t="str">
        <f>IF(INDEX('#建筑消耗和buff配置索引'!K:K,MATCH($F138,'#建筑消耗和buff配置索引'!$M:$M,0))=0,"",INDEX('#建筑消耗和buff配置索引'!K:K,MATCH($F138,'#建筑消耗和buff配置索引'!$M:$M,0)))</f>
        <v>201</v>
      </c>
      <c r="R138" s="133" t="str">
        <f>IF(INDEX('#建筑消耗和buff配置索引'!L:L,MATCH($F138,'#建筑消耗和buff配置索引'!$M:$M,0))=0,"",INDEX('#建筑消耗和buff配置索引'!L:L,MATCH($F138,'#建筑消耗和buff配置索引'!$M:$M,0)))</f>
        <v>15</v>
      </c>
      <c r="S138" s="133">
        <f>IF(INDEX('#建筑消耗和buff配置索引'!C:C,MATCH(F138,'#建筑消耗和buff配置索引'!M:M,0))=0,1,INDEX('#建筑消耗和buff配置索引'!C:C,MATCH(F138,'#建筑消耗和buff配置索引'!M:M,0)))</f>
        <v>2</v>
      </c>
      <c r="T138" s="133">
        <v>0</v>
      </c>
      <c r="U138" s="133">
        <v>0</v>
      </c>
      <c r="V138" s="133" t="str">
        <f>IF(E138=1,IF(INDEX('#建筑消耗和buff配置索引'!BY:BY,MATCH(D138,'#建筑消耗和buff配置索引'!A:A,0))=0,"",INDEX('#建筑消耗和buff配置索引'!BY:BY,MATCH(D138,'#建筑消耗和buff配置索引'!A:A,0))),"")</f>
        <v/>
      </c>
      <c r="W138" s="133" t="str">
        <f>IF(E138=1,IF(INDEX('#建筑消耗和buff配置索引'!BZ:BZ,MATCH(D138,'#建筑消耗和buff配置索引'!A:A,0))=0,"",INDEX('#建筑消耗和buff配置索引'!BZ:BZ,MATCH(D138,'#建筑消耗和buff配置索引'!A:A,0))),"")</f>
        <v/>
      </c>
      <c r="AA138" s="133">
        <f>INDEX('#建筑消耗和buff配置索引'!AO:AO,MATCH($F138,'#建筑消耗和buff配置索引'!$M:$M,0))</f>
        <v>4146</v>
      </c>
      <c r="AB138" s="133">
        <f>IF(INDEX('#建筑消耗和buff配置索引'!AR:AR,MATCH($F138,'#建筑消耗和buff配置索引'!$M:$M,0))=0,"",INDEX('#建筑消耗和buff配置索引'!AR:AR,MATCH($F138,'#建筑消耗和buff配置索引'!$M:$M,0)))</f>
        <v>1018</v>
      </c>
      <c r="AC138" s="133">
        <f>IF(AB138="","",INDEX('#建筑消耗和buff配置索引'!AS:AS,MATCH($F138,'#建筑消耗和buff配置索引'!$M:$M,0)))</f>
        <v>5600</v>
      </c>
      <c r="AF138" s="133" t="str">
        <f>IF(INDEX('#建筑消耗和buff配置索引'!AW:AW,MATCH($F138,'#建筑消耗和buff配置索引'!$M:$M,0))=0,"",INDEX('#建筑消耗和buff配置索引'!AW:AW,MATCH($F138,'#建筑消耗和buff配置索引'!$M:$M,0)))</f>
        <v/>
      </c>
      <c r="AG138" s="133" t="str">
        <f>IF(AF138="","",INDEX('#建筑消耗和buff配置索引'!AX:AX,MATCH($F138,'#建筑消耗和buff配置索引'!$M:$M,0)))</f>
        <v/>
      </c>
      <c r="AJ138" s="133" t="str">
        <f>IF(INDEX('#建筑消耗和buff配置索引'!BB:BB,MATCH($F138,'#建筑消耗和buff配置索引'!$M:$M,0))=0,"",INDEX('#建筑消耗和buff配置索引'!BB:BB,MATCH($F138,'#建筑消耗和buff配置索引'!$M:$M,0)))</f>
        <v/>
      </c>
      <c r="AK138" s="133" t="str">
        <f>IF(AJ138="","",INDEX('#建筑消耗和buff配置索引'!BC:BC,MATCH($F138,'#建筑消耗和buff配置索引'!$M:$M,0)))</f>
        <v/>
      </c>
      <c r="AN138" s="133" t="str">
        <f>IF(INDEX('#建筑消耗和buff配置索引'!BG:BG,MATCH($F138,'#建筑消耗和buff配置索引'!$M:$M,0))=0,"",INDEX('#建筑消耗和buff配置索引'!BG:BG,MATCH($F138,'#建筑消耗和buff配置索引'!$M:$M,0)))</f>
        <v/>
      </c>
      <c r="AO138" s="133" t="str">
        <f>IF(AN138="","",INDEX('#建筑消耗和buff配置索引'!BH:BH,MATCH($F138,'#建筑消耗和buff配置索引'!$M:$M,0)))</f>
        <v/>
      </c>
      <c r="AR138" s="133" t="str">
        <f>IF(INDEX('#建筑消耗和buff配置索引'!BK:BK,MATCH($F138,'#建筑消耗和buff配置索引'!$M:$M,0))=0,"",INDEX('#建筑消耗和buff配置索引'!BK:BK,MATCH($F138,'#建筑消耗和buff配置索引'!$M:$M,0)))</f>
        <v/>
      </c>
      <c r="AS138" s="133" t="str">
        <f>IF(AR138="","",INDEX('#建筑消耗和buff配置索引'!BL:BL,MATCH($F138,'#建筑消耗和buff配置索引'!$M:$M,0)))</f>
        <v/>
      </c>
      <c r="AV138" s="133" t="str">
        <f>IF(INDEX('#建筑消耗和buff配置索引'!BO:BO,MATCH($F138,'#建筑消耗和buff配置索引'!$M:$M,0))=0,"",INDEX('#建筑消耗和buff配置索引'!BO:BO,MATCH($F138,'#建筑消耗和buff配置索引'!$M:$M,0)))</f>
        <v/>
      </c>
      <c r="AW138" s="133" t="str">
        <f>IF(AV138="","",INDEX('#建筑消耗和buff配置索引'!BP:BP,MATCH($F138,'#建筑消耗和buff配置索引'!$M:$M,0)))</f>
        <v/>
      </c>
      <c r="AZ138" s="133" t="str">
        <f>IF(INDEX('#建筑消耗和buff配置索引'!BS:BS,MATCH($F138,'#建筑消耗和buff配置索引'!$M:$M,0))=0,"",INDEX('#建筑消耗和buff配置索引'!BS:BS,MATCH($F138,'#建筑消耗和buff配置索引'!$M:$M,0)))</f>
        <v/>
      </c>
      <c r="BA138" s="133" t="str">
        <f>IF(AZ138="","",INDEX('#建筑消耗和buff配置索引'!BT:BT,MATCH($F138,'#建筑消耗和buff配置索引'!$M:$M,0)))</f>
        <v/>
      </c>
      <c r="BD138" s="133" t="str">
        <f>IF(INDEX('#建筑消耗和buff配置索引'!BW:BW,MATCH($F138,'#建筑消耗和buff配置索引'!$M:$M,0))=0,"",INDEX('#建筑消耗和buff配置索引'!BW:BW,MATCH($F138,'#建筑消耗和buff配置索引'!$M:$M,0)))</f>
        <v/>
      </c>
      <c r="BE138" s="133" t="str">
        <f>IF(BD138="","",INDEX('#建筑消耗和buff配置索引'!BX:BX,MATCH($F138,'#建筑消耗和buff配置索引'!$M:$M,0)))</f>
        <v/>
      </c>
      <c r="BI138" s="133">
        <v>8</v>
      </c>
      <c r="BO138" s="133">
        <v>4</v>
      </c>
      <c r="BP138" s="133" t="s">
        <v>1360</v>
      </c>
      <c r="BQ138" s="133">
        <v>10003602</v>
      </c>
      <c r="BR138" s="133">
        <v>300</v>
      </c>
    </row>
    <row r="139" spans="1:70" s="133" customFormat="1">
      <c r="A139" s="133">
        <v>2050016</v>
      </c>
      <c r="B139" s="133">
        <v>136</v>
      </c>
      <c r="C139" s="133">
        <v>205</v>
      </c>
      <c r="D139" s="133" t="s">
        <v>249</v>
      </c>
      <c r="E139" s="133">
        <v>16</v>
      </c>
      <c r="F139" s="133" t="str">
        <f t="shared" si="4"/>
        <v>石矿场16</v>
      </c>
      <c r="H139" s="146"/>
      <c r="I139" s="133">
        <v>2</v>
      </c>
      <c r="J139" s="150">
        <f>INDEX('#建筑消耗和buff配置索引'!AH:AH,MATCH($F139,'#建筑消耗和buff配置索引'!$M:$M,0))</f>
        <v>10800</v>
      </c>
      <c r="K139" s="150">
        <f>INDEX('#建筑消耗和buff配置索引'!AA:AA,MATCH($F139,'#建筑消耗和buff配置索引'!$M:$M,0))</f>
        <v>240000</v>
      </c>
      <c r="L139" s="150">
        <f>INDEX('#建筑消耗和buff配置索引'!AB:AB,MATCH($F139,'#建筑消耗和buff配置索引'!$M:$M,0))</f>
        <v>240000</v>
      </c>
      <c r="M139" s="150">
        <f>INDEX('#建筑消耗和buff配置索引'!AC:AC,MATCH($F139,'#建筑消耗和buff配置索引'!$M:$M,0))</f>
        <v>0</v>
      </c>
      <c r="N139" s="150">
        <f>INDEX('#建筑消耗和buff配置索引'!AD:AD,MATCH($F139,'#建筑消耗和buff配置索引'!$M:$M,0))</f>
        <v>240000</v>
      </c>
      <c r="O139" s="150" t="str">
        <f>IF(INDEX('#建筑消耗和buff配置索引'!T:T,MATCH($F139,'#建筑消耗和buff配置索引'!$M:$M,0))=0,"",INDEX('#建筑消耗和buff配置索引'!T:T,MATCH($F139,'#建筑消耗和buff配置索引'!$M:$M,0)))</f>
        <v/>
      </c>
      <c r="P139" s="133" t="str">
        <f>IF(INDEX('#建筑消耗和buff配置索引'!U:U,MATCH($F139,'#建筑消耗和buff配置索引'!$M:$M,0))=0,"",INDEX('#建筑消耗和buff配置索引'!U:U,MATCH($F139,'#建筑消耗和buff配置索引'!$M:$M,0)))</f>
        <v/>
      </c>
      <c r="Q139" s="133" t="str">
        <f>IF(INDEX('#建筑消耗和buff配置索引'!K:K,MATCH($F139,'#建筑消耗和buff配置索引'!$M:$M,0))=0,"",INDEX('#建筑消耗和buff配置索引'!K:K,MATCH($F139,'#建筑消耗和buff配置索引'!$M:$M,0)))</f>
        <v>201</v>
      </c>
      <c r="R139" s="133" t="str">
        <f>IF(INDEX('#建筑消耗和buff配置索引'!L:L,MATCH($F139,'#建筑消耗和buff配置索引'!$M:$M,0))=0,"",INDEX('#建筑消耗和buff配置索引'!L:L,MATCH($F139,'#建筑消耗和buff配置索引'!$M:$M,0)))</f>
        <v>16</v>
      </c>
      <c r="S139" s="133">
        <f>IF(INDEX('#建筑消耗和buff配置索引'!C:C,MATCH(F139,'#建筑消耗和buff配置索引'!M:M,0))=0,1,INDEX('#建筑消耗和buff配置索引'!C:C,MATCH(F139,'#建筑消耗和buff配置索引'!M:M,0)))</f>
        <v>2</v>
      </c>
      <c r="T139" s="133">
        <v>0</v>
      </c>
      <c r="U139" s="133">
        <v>0</v>
      </c>
      <c r="V139" s="133" t="str">
        <f>IF(E139=1,IF(INDEX('#建筑消耗和buff配置索引'!BY:BY,MATCH(D139,'#建筑消耗和buff配置索引'!A:A,0))=0,"",INDEX('#建筑消耗和buff配置索引'!BY:BY,MATCH(D139,'#建筑消耗和buff配置索引'!A:A,0))),"")</f>
        <v/>
      </c>
      <c r="W139" s="133" t="str">
        <f>IF(E139=1,IF(INDEX('#建筑消耗和buff配置索引'!BZ:BZ,MATCH(D139,'#建筑消耗和buff配置索引'!A:A,0))=0,"",INDEX('#建筑消耗和buff配置索引'!BZ:BZ,MATCH(D139,'#建筑消耗和buff配置索引'!A:A,0))),"")</f>
        <v/>
      </c>
      <c r="AA139" s="133">
        <f>INDEX('#建筑消耗和buff配置索引'!AO:AO,MATCH($F139,'#建筑消耗和buff配置索引'!$M:$M,0))</f>
        <v>5609</v>
      </c>
      <c r="AB139" s="133">
        <f>IF(INDEX('#建筑消耗和buff配置索引'!AR:AR,MATCH($F139,'#建筑消耗和buff配置索引'!$M:$M,0))=0,"",INDEX('#建筑消耗和buff配置索引'!AR:AR,MATCH($F139,'#建筑消耗和buff配置索引'!$M:$M,0)))</f>
        <v>1018</v>
      </c>
      <c r="AC139" s="133">
        <f>IF(AB139="","",INDEX('#建筑消耗和buff配置索引'!AS:AS,MATCH($F139,'#建筑消耗和buff配置索引'!$M:$M,0)))</f>
        <v>6250</v>
      </c>
      <c r="AF139" s="133" t="str">
        <f>IF(INDEX('#建筑消耗和buff配置索引'!AW:AW,MATCH($F139,'#建筑消耗和buff配置索引'!$M:$M,0))=0,"",INDEX('#建筑消耗和buff配置索引'!AW:AW,MATCH($F139,'#建筑消耗和buff配置索引'!$M:$M,0)))</f>
        <v/>
      </c>
      <c r="AG139" s="133" t="str">
        <f>IF(AF139="","",INDEX('#建筑消耗和buff配置索引'!AX:AX,MATCH($F139,'#建筑消耗和buff配置索引'!$M:$M,0)))</f>
        <v/>
      </c>
      <c r="AJ139" s="133" t="str">
        <f>IF(INDEX('#建筑消耗和buff配置索引'!BB:BB,MATCH($F139,'#建筑消耗和buff配置索引'!$M:$M,0))=0,"",INDEX('#建筑消耗和buff配置索引'!BB:BB,MATCH($F139,'#建筑消耗和buff配置索引'!$M:$M,0)))</f>
        <v/>
      </c>
      <c r="AK139" s="133" t="str">
        <f>IF(AJ139="","",INDEX('#建筑消耗和buff配置索引'!BC:BC,MATCH($F139,'#建筑消耗和buff配置索引'!$M:$M,0)))</f>
        <v/>
      </c>
      <c r="AN139" s="133" t="str">
        <f>IF(INDEX('#建筑消耗和buff配置索引'!BG:BG,MATCH($F139,'#建筑消耗和buff配置索引'!$M:$M,0))=0,"",INDEX('#建筑消耗和buff配置索引'!BG:BG,MATCH($F139,'#建筑消耗和buff配置索引'!$M:$M,0)))</f>
        <v/>
      </c>
      <c r="AO139" s="133" t="str">
        <f>IF(AN139="","",INDEX('#建筑消耗和buff配置索引'!BH:BH,MATCH($F139,'#建筑消耗和buff配置索引'!$M:$M,0)))</f>
        <v/>
      </c>
      <c r="AR139" s="133" t="str">
        <f>IF(INDEX('#建筑消耗和buff配置索引'!BK:BK,MATCH($F139,'#建筑消耗和buff配置索引'!$M:$M,0))=0,"",INDEX('#建筑消耗和buff配置索引'!BK:BK,MATCH($F139,'#建筑消耗和buff配置索引'!$M:$M,0)))</f>
        <v/>
      </c>
      <c r="AS139" s="133" t="str">
        <f>IF(AR139="","",INDEX('#建筑消耗和buff配置索引'!BL:BL,MATCH($F139,'#建筑消耗和buff配置索引'!$M:$M,0)))</f>
        <v/>
      </c>
      <c r="AV139" s="133" t="str">
        <f>IF(INDEX('#建筑消耗和buff配置索引'!BO:BO,MATCH($F139,'#建筑消耗和buff配置索引'!$M:$M,0))=0,"",INDEX('#建筑消耗和buff配置索引'!BO:BO,MATCH($F139,'#建筑消耗和buff配置索引'!$M:$M,0)))</f>
        <v/>
      </c>
      <c r="AW139" s="133" t="str">
        <f>IF(AV139="","",INDEX('#建筑消耗和buff配置索引'!BP:BP,MATCH($F139,'#建筑消耗和buff配置索引'!$M:$M,0)))</f>
        <v/>
      </c>
      <c r="AZ139" s="133" t="str">
        <f>IF(INDEX('#建筑消耗和buff配置索引'!BS:BS,MATCH($F139,'#建筑消耗和buff配置索引'!$M:$M,0))=0,"",INDEX('#建筑消耗和buff配置索引'!BS:BS,MATCH($F139,'#建筑消耗和buff配置索引'!$M:$M,0)))</f>
        <v/>
      </c>
      <c r="BA139" s="133" t="str">
        <f>IF(AZ139="","",INDEX('#建筑消耗和buff配置索引'!BT:BT,MATCH($F139,'#建筑消耗和buff配置索引'!$M:$M,0)))</f>
        <v/>
      </c>
      <c r="BD139" s="133" t="str">
        <f>IF(INDEX('#建筑消耗和buff配置索引'!BW:BW,MATCH($F139,'#建筑消耗和buff配置索引'!$M:$M,0))=0,"",INDEX('#建筑消耗和buff配置索引'!BW:BW,MATCH($F139,'#建筑消耗和buff配置索引'!$M:$M,0)))</f>
        <v/>
      </c>
      <c r="BE139" s="133" t="str">
        <f>IF(BD139="","",INDEX('#建筑消耗和buff配置索引'!BX:BX,MATCH($F139,'#建筑消耗和buff配置索引'!$M:$M,0)))</f>
        <v/>
      </c>
      <c r="BI139" s="133">
        <v>8</v>
      </c>
      <c r="BO139" s="133">
        <v>4</v>
      </c>
      <c r="BP139" s="133" t="s">
        <v>1360</v>
      </c>
      <c r="BQ139" s="133">
        <v>10003602</v>
      </c>
      <c r="BR139" s="133">
        <v>300</v>
      </c>
    </row>
    <row r="140" spans="1:70" s="133" customFormat="1">
      <c r="A140" s="133">
        <v>2050017</v>
      </c>
      <c r="B140" s="133">
        <v>137</v>
      </c>
      <c r="C140" s="133">
        <v>205</v>
      </c>
      <c r="D140" s="133" t="s">
        <v>249</v>
      </c>
      <c r="E140" s="133">
        <v>17</v>
      </c>
      <c r="F140" s="133" t="str">
        <f t="shared" si="4"/>
        <v>石矿场17</v>
      </c>
      <c r="H140" s="146"/>
      <c r="I140" s="133">
        <v>2</v>
      </c>
      <c r="J140" s="150">
        <f>INDEX('#建筑消耗和buff配置索引'!AH:AH,MATCH($F140,'#建筑消耗和buff配置索引'!$M:$M,0))</f>
        <v>14400</v>
      </c>
      <c r="K140" s="150">
        <f>INDEX('#建筑消耗和buff配置索引'!AA:AA,MATCH($F140,'#建筑消耗和buff配置索引'!$M:$M,0))</f>
        <v>310000</v>
      </c>
      <c r="L140" s="150">
        <f>INDEX('#建筑消耗和buff配置索引'!AB:AB,MATCH($F140,'#建筑消耗和buff配置索引'!$M:$M,0))</f>
        <v>310000</v>
      </c>
      <c r="M140" s="150">
        <f>INDEX('#建筑消耗和buff配置索引'!AC:AC,MATCH($F140,'#建筑消耗和buff配置索引'!$M:$M,0))</f>
        <v>0</v>
      </c>
      <c r="N140" s="150">
        <f>INDEX('#建筑消耗和buff配置索引'!AD:AD,MATCH($F140,'#建筑消耗和buff配置索引'!$M:$M,0))</f>
        <v>310000</v>
      </c>
      <c r="O140" s="150" t="str">
        <f>IF(INDEX('#建筑消耗和buff配置索引'!T:T,MATCH($F140,'#建筑消耗和buff配置索引'!$M:$M,0))=0,"",INDEX('#建筑消耗和buff配置索引'!T:T,MATCH($F140,'#建筑消耗和buff配置索引'!$M:$M,0)))</f>
        <v/>
      </c>
      <c r="P140" s="133" t="str">
        <f>IF(INDEX('#建筑消耗和buff配置索引'!U:U,MATCH($F140,'#建筑消耗和buff配置索引'!$M:$M,0))=0,"",INDEX('#建筑消耗和buff配置索引'!U:U,MATCH($F140,'#建筑消耗和buff配置索引'!$M:$M,0)))</f>
        <v/>
      </c>
      <c r="Q140" s="133" t="str">
        <f>IF(INDEX('#建筑消耗和buff配置索引'!K:K,MATCH($F140,'#建筑消耗和buff配置索引'!$M:$M,0))=0,"",INDEX('#建筑消耗和buff配置索引'!K:K,MATCH($F140,'#建筑消耗和buff配置索引'!$M:$M,0)))</f>
        <v>201</v>
      </c>
      <c r="R140" s="133" t="str">
        <f>IF(INDEX('#建筑消耗和buff配置索引'!L:L,MATCH($F140,'#建筑消耗和buff配置索引'!$M:$M,0))=0,"",INDEX('#建筑消耗和buff配置索引'!L:L,MATCH($F140,'#建筑消耗和buff配置索引'!$M:$M,0)))</f>
        <v>17</v>
      </c>
      <c r="S140" s="133">
        <f>IF(INDEX('#建筑消耗和buff配置索引'!C:C,MATCH(F140,'#建筑消耗和buff配置索引'!M:M,0))=0,1,INDEX('#建筑消耗和buff配置索引'!C:C,MATCH(F140,'#建筑消耗和buff配置索引'!M:M,0)))</f>
        <v>2</v>
      </c>
      <c r="T140" s="133">
        <v>0</v>
      </c>
      <c r="U140" s="133">
        <v>0</v>
      </c>
      <c r="V140" s="133" t="str">
        <f>IF(E140=1,IF(INDEX('#建筑消耗和buff配置索引'!BY:BY,MATCH(D140,'#建筑消耗和buff配置索引'!A:A,0))=0,"",INDEX('#建筑消耗和buff配置索引'!BY:BY,MATCH(D140,'#建筑消耗和buff配置索引'!A:A,0))),"")</f>
        <v/>
      </c>
      <c r="W140" s="133" t="str">
        <f>IF(E140=1,IF(INDEX('#建筑消耗和buff配置索引'!BZ:BZ,MATCH(D140,'#建筑消耗和buff配置索引'!A:A,0))=0,"",INDEX('#建筑消耗和buff配置索引'!BZ:BZ,MATCH(D140,'#建筑消耗和buff配置索引'!A:A,0))),"")</f>
        <v/>
      </c>
      <c r="AA140" s="133">
        <f>INDEX('#建筑消耗和buff配置索引'!AO:AO,MATCH($F140,'#建筑消耗和buff配置索引'!$M:$M,0))</f>
        <v>7481</v>
      </c>
      <c r="AB140" s="133">
        <f>IF(INDEX('#建筑消耗和buff配置索引'!AR:AR,MATCH($F140,'#建筑消耗和buff配置索引'!$M:$M,0))=0,"",INDEX('#建筑消耗和buff配置索引'!AR:AR,MATCH($F140,'#建筑消耗和buff配置索引'!$M:$M,0)))</f>
        <v>1018</v>
      </c>
      <c r="AC140" s="133">
        <f>IF(AB140="","",INDEX('#建筑消耗和buff配置索引'!AS:AS,MATCH($F140,'#建筑消耗和buff配置索引'!$M:$M,0)))</f>
        <v>6900</v>
      </c>
      <c r="AF140" s="133" t="str">
        <f>IF(INDEX('#建筑消耗和buff配置索引'!AW:AW,MATCH($F140,'#建筑消耗和buff配置索引'!$M:$M,0))=0,"",INDEX('#建筑消耗和buff配置索引'!AW:AW,MATCH($F140,'#建筑消耗和buff配置索引'!$M:$M,0)))</f>
        <v/>
      </c>
      <c r="AG140" s="133" t="str">
        <f>IF(AF140="","",INDEX('#建筑消耗和buff配置索引'!AX:AX,MATCH($F140,'#建筑消耗和buff配置索引'!$M:$M,0)))</f>
        <v/>
      </c>
      <c r="AJ140" s="133" t="str">
        <f>IF(INDEX('#建筑消耗和buff配置索引'!BB:BB,MATCH($F140,'#建筑消耗和buff配置索引'!$M:$M,0))=0,"",INDEX('#建筑消耗和buff配置索引'!BB:BB,MATCH($F140,'#建筑消耗和buff配置索引'!$M:$M,0)))</f>
        <v/>
      </c>
      <c r="AK140" s="133" t="str">
        <f>IF(AJ140="","",INDEX('#建筑消耗和buff配置索引'!BC:BC,MATCH($F140,'#建筑消耗和buff配置索引'!$M:$M,0)))</f>
        <v/>
      </c>
      <c r="AN140" s="133" t="str">
        <f>IF(INDEX('#建筑消耗和buff配置索引'!BG:BG,MATCH($F140,'#建筑消耗和buff配置索引'!$M:$M,0))=0,"",INDEX('#建筑消耗和buff配置索引'!BG:BG,MATCH($F140,'#建筑消耗和buff配置索引'!$M:$M,0)))</f>
        <v/>
      </c>
      <c r="AO140" s="133" t="str">
        <f>IF(AN140="","",INDEX('#建筑消耗和buff配置索引'!BH:BH,MATCH($F140,'#建筑消耗和buff配置索引'!$M:$M,0)))</f>
        <v/>
      </c>
      <c r="AR140" s="133" t="str">
        <f>IF(INDEX('#建筑消耗和buff配置索引'!BK:BK,MATCH($F140,'#建筑消耗和buff配置索引'!$M:$M,0))=0,"",INDEX('#建筑消耗和buff配置索引'!BK:BK,MATCH($F140,'#建筑消耗和buff配置索引'!$M:$M,0)))</f>
        <v/>
      </c>
      <c r="AS140" s="133" t="str">
        <f>IF(AR140="","",INDEX('#建筑消耗和buff配置索引'!BL:BL,MATCH($F140,'#建筑消耗和buff配置索引'!$M:$M,0)))</f>
        <v/>
      </c>
      <c r="AV140" s="133" t="str">
        <f>IF(INDEX('#建筑消耗和buff配置索引'!BO:BO,MATCH($F140,'#建筑消耗和buff配置索引'!$M:$M,0))=0,"",INDEX('#建筑消耗和buff配置索引'!BO:BO,MATCH($F140,'#建筑消耗和buff配置索引'!$M:$M,0)))</f>
        <v/>
      </c>
      <c r="AW140" s="133" t="str">
        <f>IF(AV140="","",INDEX('#建筑消耗和buff配置索引'!BP:BP,MATCH($F140,'#建筑消耗和buff配置索引'!$M:$M,0)))</f>
        <v/>
      </c>
      <c r="AZ140" s="133" t="str">
        <f>IF(INDEX('#建筑消耗和buff配置索引'!BS:BS,MATCH($F140,'#建筑消耗和buff配置索引'!$M:$M,0))=0,"",INDEX('#建筑消耗和buff配置索引'!BS:BS,MATCH($F140,'#建筑消耗和buff配置索引'!$M:$M,0)))</f>
        <v/>
      </c>
      <c r="BA140" s="133" t="str">
        <f>IF(AZ140="","",INDEX('#建筑消耗和buff配置索引'!BT:BT,MATCH($F140,'#建筑消耗和buff配置索引'!$M:$M,0)))</f>
        <v/>
      </c>
      <c r="BD140" s="133" t="str">
        <f>IF(INDEX('#建筑消耗和buff配置索引'!BW:BW,MATCH($F140,'#建筑消耗和buff配置索引'!$M:$M,0))=0,"",INDEX('#建筑消耗和buff配置索引'!BW:BW,MATCH($F140,'#建筑消耗和buff配置索引'!$M:$M,0)))</f>
        <v/>
      </c>
      <c r="BE140" s="133" t="str">
        <f>IF(BD140="","",INDEX('#建筑消耗和buff配置索引'!BX:BX,MATCH($F140,'#建筑消耗和buff配置索引'!$M:$M,0)))</f>
        <v/>
      </c>
      <c r="BI140" s="133">
        <v>8</v>
      </c>
      <c r="BO140" s="133">
        <v>4</v>
      </c>
      <c r="BP140" s="133" t="s">
        <v>1360</v>
      </c>
      <c r="BQ140" s="133">
        <v>10003602</v>
      </c>
      <c r="BR140" s="133">
        <v>300</v>
      </c>
    </row>
    <row r="141" spans="1:70" s="133" customFormat="1">
      <c r="A141" s="133">
        <v>2050018</v>
      </c>
      <c r="B141" s="133">
        <v>138</v>
      </c>
      <c r="C141" s="133">
        <v>205</v>
      </c>
      <c r="D141" s="133" t="s">
        <v>249</v>
      </c>
      <c r="E141" s="133">
        <v>18</v>
      </c>
      <c r="F141" s="133" t="str">
        <f t="shared" si="4"/>
        <v>石矿场18</v>
      </c>
      <c r="H141" s="146"/>
      <c r="I141" s="133">
        <v>2</v>
      </c>
      <c r="J141" s="150">
        <f>INDEX('#建筑消耗和buff配置索引'!AH:AH,MATCH($F141,'#建筑消耗和buff配置索引'!$M:$M,0))</f>
        <v>18720</v>
      </c>
      <c r="K141" s="150">
        <f>INDEX('#建筑消耗和buff配置索引'!AA:AA,MATCH($F141,'#建筑消耗和buff配置索引'!$M:$M,0))</f>
        <v>400000</v>
      </c>
      <c r="L141" s="150">
        <f>INDEX('#建筑消耗和buff配置索引'!AB:AB,MATCH($F141,'#建筑消耗和buff配置索引'!$M:$M,0))</f>
        <v>400000</v>
      </c>
      <c r="M141" s="150">
        <f>INDEX('#建筑消耗和buff配置索引'!AC:AC,MATCH($F141,'#建筑消耗和buff配置索引'!$M:$M,0))</f>
        <v>0</v>
      </c>
      <c r="N141" s="150">
        <f>INDEX('#建筑消耗和buff配置索引'!AD:AD,MATCH($F141,'#建筑消耗和buff配置索引'!$M:$M,0))</f>
        <v>400000</v>
      </c>
      <c r="O141" s="150" t="str">
        <f>IF(INDEX('#建筑消耗和buff配置索引'!T:T,MATCH($F141,'#建筑消耗和buff配置索引'!$M:$M,0))=0,"",INDEX('#建筑消耗和buff配置索引'!T:T,MATCH($F141,'#建筑消耗和buff配置索引'!$M:$M,0)))</f>
        <v/>
      </c>
      <c r="P141" s="133" t="str">
        <f>IF(INDEX('#建筑消耗和buff配置索引'!U:U,MATCH($F141,'#建筑消耗和buff配置索引'!$M:$M,0))=0,"",INDEX('#建筑消耗和buff配置索引'!U:U,MATCH($F141,'#建筑消耗和buff配置索引'!$M:$M,0)))</f>
        <v/>
      </c>
      <c r="Q141" s="133" t="str">
        <f>IF(INDEX('#建筑消耗和buff配置索引'!K:K,MATCH($F141,'#建筑消耗和buff配置索引'!$M:$M,0))=0,"",INDEX('#建筑消耗和buff配置索引'!K:K,MATCH($F141,'#建筑消耗和buff配置索引'!$M:$M,0)))</f>
        <v>201</v>
      </c>
      <c r="R141" s="133" t="str">
        <f>IF(INDEX('#建筑消耗和buff配置索引'!L:L,MATCH($F141,'#建筑消耗和buff配置索引'!$M:$M,0))=0,"",INDEX('#建筑消耗和buff配置索引'!L:L,MATCH($F141,'#建筑消耗和buff配置索引'!$M:$M,0)))</f>
        <v>18</v>
      </c>
      <c r="S141" s="133">
        <f>IF(INDEX('#建筑消耗和buff配置索引'!C:C,MATCH(F141,'#建筑消耗和buff配置索引'!M:M,0))=0,1,INDEX('#建筑消耗和buff配置索引'!C:C,MATCH(F141,'#建筑消耗和buff配置索引'!M:M,0)))</f>
        <v>2</v>
      </c>
      <c r="T141" s="133">
        <v>0</v>
      </c>
      <c r="U141" s="133">
        <v>0</v>
      </c>
      <c r="V141" s="133" t="str">
        <f>IF(E141=1,IF(INDEX('#建筑消耗和buff配置索引'!BY:BY,MATCH(D141,'#建筑消耗和buff配置索引'!A:A,0))=0,"",INDEX('#建筑消耗和buff配置索引'!BY:BY,MATCH(D141,'#建筑消耗和buff配置索引'!A:A,0))),"")</f>
        <v/>
      </c>
      <c r="W141" s="133" t="str">
        <f>IF(E141=1,IF(INDEX('#建筑消耗和buff配置索引'!BZ:BZ,MATCH(D141,'#建筑消耗和buff配置索引'!A:A,0))=0,"",INDEX('#建筑消耗和buff配置索引'!BZ:BZ,MATCH(D141,'#建筑消耗和buff配置索引'!A:A,0))),"")</f>
        <v/>
      </c>
      <c r="AA141" s="133">
        <f>INDEX('#建筑消耗和buff配置索引'!AO:AO,MATCH($F141,'#建筑消耗和buff配置索引'!$M:$M,0))</f>
        <v>9877</v>
      </c>
      <c r="AB141" s="133">
        <f>IF(INDEX('#建筑消耗和buff配置索引'!AR:AR,MATCH($F141,'#建筑消耗和buff配置索引'!$M:$M,0))=0,"",INDEX('#建筑消耗和buff配置索引'!AR:AR,MATCH($F141,'#建筑消耗和buff配置索引'!$M:$M,0)))</f>
        <v>1018</v>
      </c>
      <c r="AC141" s="133">
        <f>IF(AB141="","",INDEX('#建筑消耗和buff配置索引'!AS:AS,MATCH($F141,'#建筑消耗和buff配置索引'!$M:$M,0)))</f>
        <v>7600</v>
      </c>
      <c r="AF141" s="133" t="str">
        <f>IF(INDEX('#建筑消耗和buff配置索引'!AW:AW,MATCH($F141,'#建筑消耗和buff配置索引'!$M:$M,0))=0,"",INDEX('#建筑消耗和buff配置索引'!AW:AW,MATCH($F141,'#建筑消耗和buff配置索引'!$M:$M,0)))</f>
        <v/>
      </c>
      <c r="AG141" s="133" t="str">
        <f>IF(AF141="","",INDEX('#建筑消耗和buff配置索引'!AX:AX,MATCH($F141,'#建筑消耗和buff配置索引'!$M:$M,0)))</f>
        <v/>
      </c>
      <c r="AJ141" s="133" t="str">
        <f>IF(INDEX('#建筑消耗和buff配置索引'!BB:BB,MATCH($F141,'#建筑消耗和buff配置索引'!$M:$M,0))=0,"",INDEX('#建筑消耗和buff配置索引'!BB:BB,MATCH($F141,'#建筑消耗和buff配置索引'!$M:$M,0)))</f>
        <v/>
      </c>
      <c r="AK141" s="133" t="str">
        <f>IF(AJ141="","",INDEX('#建筑消耗和buff配置索引'!BC:BC,MATCH($F141,'#建筑消耗和buff配置索引'!$M:$M,0)))</f>
        <v/>
      </c>
      <c r="AN141" s="133" t="str">
        <f>IF(INDEX('#建筑消耗和buff配置索引'!BG:BG,MATCH($F141,'#建筑消耗和buff配置索引'!$M:$M,0))=0,"",INDEX('#建筑消耗和buff配置索引'!BG:BG,MATCH($F141,'#建筑消耗和buff配置索引'!$M:$M,0)))</f>
        <v/>
      </c>
      <c r="AO141" s="133" t="str">
        <f>IF(AN141="","",INDEX('#建筑消耗和buff配置索引'!BH:BH,MATCH($F141,'#建筑消耗和buff配置索引'!$M:$M,0)))</f>
        <v/>
      </c>
      <c r="AR141" s="133" t="str">
        <f>IF(INDEX('#建筑消耗和buff配置索引'!BK:BK,MATCH($F141,'#建筑消耗和buff配置索引'!$M:$M,0))=0,"",INDEX('#建筑消耗和buff配置索引'!BK:BK,MATCH($F141,'#建筑消耗和buff配置索引'!$M:$M,0)))</f>
        <v/>
      </c>
      <c r="AS141" s="133" t="str">
        <f>IF(AR141="","",INDEX('#建筑消耗和buff配置索引'!BL:BL,MATCH($F141,'#建筑消耗和buff配置索引'!$M:$M,0)))</f>
        <v/>
      </c>
      <c r="AV141" s="133" t="str">
        <f>IF(INDEX('#建筑消耗和buff配置索引'!BO:BO,MATCH($F141,'#建筑消耗和buff配置索引'!$M:$M,0))=0,"",INDEX('#建筑消耗和buff配置索引'!BO:BO,MATCH($F141,'#建筑消耗和buff配置索引'!$M:$M,0)))</f>
        <v/>
      </c>
      <c r="AW141" s="133" t="str">
        <f>IF(AV141="","",INDEX('#建筑消耗和buff配置索引'!BP:BP,MATCH($F141,'#建筑消耗和buff配置索引'!$M:$M,0)))</f>
        <v/>
      </c>
      <c r="AZ141" s="133" t="str">
        <f>IF(INDEX('#建筑消耗和buff配置索引'!BS:BS,MATCH($F141,'#建筑消耗和buff配置索引'!$M:$M,0))=0,"",INDEX('#建筑消耗和buff配置索引'!BS:BS,MATCH($F141,'#建筑消耗和buff配置索引'!$M:$M,0)))</f>
        <v/>
      </c>
      <c r="BA141" s="133" t="str">
        <f>IF(AZ141="","",INDEX('#建筑消耗和buff配置索引'!BT:BT,MATCH($F141,'#建筑消耗和buff配置索引'!$M:$M,0)))</f>
        <v/>
      </c>
      <c r="BD141" s="133" t="str">
        <f>IF(INDEX('#建筑消耗和buff配置索引'!BW:BW,MATCH($F141,'#建筑消耗和buff配置索引'!$M:$M,0))=0,"",INDEX('#建筑消耗和buff配置索引'!BW:BW,MATCH($F141,'#建筑消耗和buff配置索引'!$M:$M,0)))</f>
        <v/>
      </c>
      <c r="BE141" s="133" t="str">
        <f>IF(BD141="","",INDEX('#建筑消耗和buff配置索引'!BX:BX,MATCH($F141,'#建筑消耗和buff配置索引'!$M:$M,0)))</f>
        <v/>
      </c>
      <c r="BI141" s="133">
        <v>8</v>
      </c>
      <c r="BO141" s="133">
        <v>4</v>
      </c>
      <c r="BP141" s="133" t="s">
        <v>1360</v>
      </c>
      <c r="BQ141" s="133">
        <v>10003602</v>
      </c>
      <c r="BR141" s="133">
        <v>300</v>
      </c>
    </row>
    <row r="142" spans="1:70" s="133" customFormat="1">
      <c r="A142" s="133">
        <v>2050019</v>
      </c>
      <c r="B142" s="133">
        <v>139</v>
      </c>
      <c r="C142" s="133">
        <v>205</v>
      </c>
      <c r="D142" s="133" t="s">
        <v>249</v>
      </c>
      <c r="E142" s="133">
        <v>19</v>
      </c>
      <c r="F142" s="133" t="str">
        <f t="shared" si="4"/>
        <v>石矿场19</v>
      </c>
      <c r="H142" s="146"/>
      <c r="I142" s="133">
        <v>2</v>
      </c>
      <c r="J142" s="150">
        <f>INDEX('#建筑消耗和buff配置索引'!AH:AH,MATCH($F142,'#建筑消耗和buff配置索引'!$M:$M,0))</f>
        <v>24480</v>
      </c>
      <c r="K142" s="150">
        <f>INDEX('#建筑消耗和buff配置索引'!AA:AA,MATCH($F142,'#建筑消耗和buff配置索引'!$M:$M,0))</f>
        <v>510000</v>
      </c>
      <c r="L142" s="150">
        <f>INDEX('#建筑消耗和buff配置索引'!AB:AB,MATCH($F142,'#建筑消耗和buff配置索引'!$M:$M,0))</f>
        <v>510000</v>
      </c>
      <c r="M142" s="150">
        <f>INDEX('#建筑消耗和buff配置索引'!AC:AC,MATCH($F142,'#建筑消耗和buff配置索引'!$M:$M,0))</f>
        <v>0</v>
      </c>
      <c r="N142" s="150">
        <f>INDEX('#建筑消耗和buff配置索引'!AD:AD,MATCH($F142,'#建筑消耗和buff配置索引'!$M:$M,0))</f>
        <v>510000</v>
      </c>
      <c r="O142" s="150" t="str">
        <f>IF(INDEX('#建筑消耗和buff配置索引'!T:T,MATCH($F142,'#建筑消耗和buff配置索引'!$M:$M,0))=0,"",INDEX('#建筑消耗和buff配置索引'!T:T,MATCH($F142,'#建筑消耗和buff配置索引'!$M:$M,0)))</f>
        <v/>
      </c>
      <c r="P142" s="133" t="str">
        <f>IF(INDEX('#建筑消耗和buff配置索引'!U:U,MATCH($F142,'#建筑消耗和buff配置索引'!$M:$M,0))=0,"",INDEX('#建筑消耗和buff配置索引'!U:U,MATCH($F142,'#建筑消耗和buff配置索引'!$M:$M,0)))</f>
        <v/>
      </c>
      <c r="Q142" s="133" t="str">
        <f>IF(INDEX('#建筑消耗和buff配置索引'!K:K,MATCH($F142,'#建筑消耗和buff配置索引'!$M:$M,0))=0,"",INDEX('#建筑消耗和buff配置索引'!K:K,MATCH($F142,'#建筑消耗和buff配置索引'!$M:$M,0)))</f>
        <v>201</v>
      </c>
      <c r="R142" s="133" t="str">
        <f>IF(INDEX('#建筑消耗和buff配置索引'!L:L,MATCH($F142,'#建筑消耗和buff配置索引'!$M:$M,0))=0,"",INDEX('#建筑消耗和buff配置索引'!L:L,MATCH($F142,'#建筑消耗和buff配置索引'!$M:$M,0)))</f>
        <v>19</v>
      </c>
      <c r="S142" s="133">
        <f>IF(INDEX('#建筑消耗和buff配置索引'!C:C,MATCH(F142,'#建筑消耗和buff配置索引'!M:M,0))=0,1,INDEX('#建筑消耗和buff配置索引'!C:C,MATCH(F142,'#建筑消耗和buff配置索引'!M:M,0)))</f>
        <v>2</v>
      </c>
      <c r="T142" s="133">
        <v>0</v>
      </c>
      <c r="U142" s="133">
        <v>0</v>
      </c>
      <c r="V142" s="133" t="str">
        <f>IF(E142=1,IF(INDEX('#建筑消耗和buff配置索引'!BY:BY,MATCH(D142,'#建筑消耗和buff配置索引'!A:A,0))=0,"",INDEX('#建筑消耗和buff配置索引'!BY:BY,MATCH(D142,'#建筑消耗和buff配置索引'!A:A,0))),"")</f>
        <v/>
      </c>
      <c r="W142" s="133" t="str">
        <f>IF(E142=1,IF(INDEX('#建筑消耗和buff配置索引'!BZ:BZ,MATCH(D142,'#建筑消耗和buff配置索引'!A:A,0))=0,"",INDEX('#建筑消耗和buff配置索引'!BZ:BZ,MATCH(D142,'#建筑消耗和buff配置索引'!A:A,0))),"")</f>
        <v/>
      </c>
      <c r="AA142" s="133">
        <f>INDEX('#建筑消耗和buff配置索引'!AO:AO,MATCH($F142,'#建筑消耗和buff配置索引'!$M:$M,0))</f>
        <v>12944</v>
      </c>
      <c r="AB142" s="133">
        <f>IF(INDEX('#建筑消耗和buff配置索引'!AR:AR,MATCH($F142,'#建筑消耗和buff配置索引'!$M:$M,0))=0,"",INDEX('#建筑消耗和buff配置索引'!AR:AR,MATCH($F142,'#建筑消耗和buff配置索引'!$M:$M,0)))</f>
        <v>1018</v>
      </c>
      <c r="AC142" s="133">
        <f>IF(AB142="","",INDEX('#建筑消耗和buff配置索引'!AS:AS,MATCH($F142,'#建筑消耗和buff配置索引'!$M:$M,0)))</f>
        <v>8300</v>
      </c>
      <c r="AF142" s="133" t="str">
        <f>IF(INDEX('#建筑消耗和buff配置索引'!AW:AW,MATCH($F142,'#建筑消耗和buff配置索引'!$M:$M,0))=0,"",INDEX('#建筑消耗和buff配置索引'!AW:AW,MATCH($F142,'#建筑消耗和buff配置索引'!$M:$M,0)))</f>
        <v/>
      </c>
      <c r="AG142" s="133" t="str">
        <f>IF(AF142="","",INDEX('#建筑消耗和buff配置索引'!AX:AX,MATCH($F142,'#建筑消耗和buff配置索引'!$M:$M,0)))</f>
        <v/>
      </c>
      <c r="AJ142" s="133" t="str">
        <f>IF(INDEX('#建筑消耗和buff配置索引'!BB:BB,MATCH($F142,'#建筑消耗和buff配置索引'!$M:$M,0))=0,"",INDEX('#建筑消耗和buff配置索引'!BB:BB,MATCH($F142,'#建筑消耗和buff配置索引'!$M:$M,0)))</f>
        <v/>
      </c>
      <c r="AK142" s="133" t="str">
        <f>IF(AJ142="","",INDEX('#建筑消耗和buff配置索引'!BC:BC,MATCH($F142,'#建筑消耗和buff配置索引'!$M:$M,0)))</f>
        <v/>
      </c>
      <c r="AN142" s="133" t="str">
        <f>IF(INDEX('#建筑消耗和buff配置索引'!BG:BG,MATCH($F142,'#建筑消耗和buff配置索引'!$M:$M,0))=0,"",INDEX('#建筑消耗和buff配置索引'!BG:BG,MATCH($F142,'#建筑消耗和buff配置索引'!$M:$M,0)))</f>
        <v/>
      </c>
      <c r="AO142" s="133" t="str">
        <f>IF(AN142="","",INDEX('#建筑消耗和buff配置索引'!BH:BH,MATCH($F142,'#建筑消耗和buff配置索引'!$M:$M,0)))</f>
        <v/>
      </c>
      <c r="AR142" s="133" t="str">
        <f>IF(INDEX('#建筑消耗和buff配置索引'!BK:BK,MATCH($F142,'#建筑消耗和buff配置索引'!$M:$M,0))=0,"",INDEX('#建筑消耗和buff配置索引'!BK:BK,MATCH($F142,'#建筑消耗和buff配置索引'!$M:$M,0)))</f>
        <v/>
      </c>
      <c r="AS142" s="133" t="str">
        <f>IF(AR142="","",INDEX('#建筑消耗和buff配置索引'!BL:BL,MATCH($F142,'#建筑消耗和buff配置索引'!$M:$M,0)))</f>
        <v/>
      </c>
      <c r="AV142" s="133" t="str">
        <f>IF(INDEX('#建筑消耗和buff配置索引'!BO:BO,MATCH($F142,'#建筑消耗和buff配置索引'!$M:$M,0))=0,"",INDEX('#建筑消耗和buff配置索引'!BO:BO,MATCH($F142,'#建筑消耗和buff配置索引'!$M:$M,0)))</f>
        <v/>
      </c>
      <c r="AW142" s="133" t="str">
        <f>IF(AV142="","",INDEX('#建筑消耗和buff配置索引'!BP:BP,MATCH($F142,'#建筑消耗和buff配置索引'!$M:$M,0)))</f>
        <v/>
      </c>
      <c r="AZ142" s="133" t="str">
        <f>IF(INDEX('#建筑消耗和buff配置索引'!BS:BS,MATCH($F142,'#建筑消耗和buff配置索引'!$M:$M,0))=0,"",INDEX('#建筑消耗和buff配置索引'!BS:BS,MATCH($F142,'#建筑消耗和buff配置索引'!$M:$M,0)))</f>
        <v/>
      </c>
      <c r="BA142" s="133" t="str">
        <f>IF(AZ142="","",INDEX('#建筑消耗和buff配置索引'!BT:BT,MATCH($F142,'#建筑消耗和buff配置索引'!$M:$M,0)))</f>
        <v/>
      </c>
      <c r="BD142" s="133" t="str">
        <f>IF(INDEX('#建筑消耗和buff配置索引'!BW:BW,MATCH($F142,'#建筑消耗和buff配置索引'!$M:$M,0))=0,"",INDEX('#建筑消耗和buff配置索引'!BW:BW,MATCH($F142,'#建筑消耗和buff配置索引'!$M:$M,0)))</f>
        <v/>
      </c>
      <c r="BE142" s="133" t="str">
        <f>IF(BD142="","",INDEX('#建筑消耗和buff配置索引'!BX:BX,MATCH($F142,'#建筑消耗和buff配置索引'!$M:$M,0)))</f>
        <v/>
      </c>
      <c r="BI142" s="133">
        <v>8</v>
      </c>
      <c r="BO142" s="133">
        <v>4</v>
      </c>
      <c r="BP142" s="133" t="s">
        <v>1360</v>
      </c>
      <c r="BQ142" s="133">
        <v>10003602</v>
      </c>
      <c r="BR142" s="133">
        <v>300</v>
      </c>
    </row>
    <row r="143" spans="1:70" s="133" customFormat="1">
      <c r="A143" s="133">
        <v>2050020</v>
      </c>
      <c r="B143" s="133">
        <v>140</v>
      </c>
      <c r="C143" s="133">
        <v>205</v>
      </c>
      <c r="D143" s="133" t="s">
        <v>249</v>
      </c>
      <c r="E143" s="133">
        <v>20</v>
      </c>
      <c r="F143" s="133" t="str">
        <f t="shared" si="4"/>
        <v>石矿场20</v>
      </c>
      <c r="H143" s="146"/>
      <c r="I143" s="133">
        <v>3</v>
      </c>
      <c r="J143" s="150">
        <f>INDEX('#建筑消耗和buff配置索引'!AH:AH,MATCH($F143,'#建筑消耗和buff配置索引'!$M:$M,0))</f>
        <v>34560</v>
      </c>
      <c r="K143" s="150">
        <f>INDEX('#建筑消耗和buff配置索引'!AA:AA,MATCH($F143,'#建筑消耗和buff配置索引'!$M:$M,0))</f>
        <v>650000</v>
      </c>
      <c r="L143" s="150">
        <f>INDEX('#建筑消耗和buff配置索引'!AB:AB,MATCH($F143,'#建筑消耗和buff配置索引'!$M:$M,0))</f>
        <v>650000</v>
      </c>
      <c r="M143" s="150">
        <f>INDEX('#建筑消耗和buff配置索引'!AC:AC,MATCH($F143,'#建筑消耗和buff配置索引'!$M:$M,0))</f>
        <v>0</v>
      </c>
      <c r="N143" s="150">
        <f>INDEX('#建筑消耗和buff配置索引'!AD:AD,MATCH($F143,'#建筑消耗和buff配置索引'!$M:$M,0))</f>
        <v>650000</v>
      </c>
      <c r="O143" s="150" t="str">
        <f>IF(INDEX('#建筑消耗和buff配置索引'!T:T,MATCH($F143,'#建筑消耗和buff配置索引'!$M:$M,0))=0,"",INDEX('#建筑消耗和buff配置索引'!T:T,MATCH($F143,'#建筑消耗和buff配置索引'!$M:$M,0)))</f>
        <v/>
      </c>
      <c r="P143" s="133" t="str">
        <f>IF(INDEX('#建筑消耗和buff配置索引'!U:U,MATCH($F143,'#建筑消耗和buff配置索引'!$M:$M,0))=0,"",INDEX('#建筑消耗和buff配置索引'!U:U,MATCH($F143,'#建筑消耗和buff配置索引'!$M:$M,0)))</f>
        <v/>
      </c>
      <c r="Q143" s="133" t="str">
        <f>IF(INDEX('#建筑消耗和buff配置索引'!K:K,MATCH($F143,'#建筑消耗和buff配置索引'!$M:$M,0))=0,"",INDEX('#建筑消耗和buff配置索引'!K:K,MATCH($F143,'#建筑消耗和buff配置索引'!$M:$M,0)))</f>
        <v>201</v>
      </c>
      <c r="R143" s="133" t="str">
        <f>IF(INDEX('#建筑消耗和buff配置索引'!L:L,MATCH($F143,'#建筑消耗和buff配置索引'!$M:$M,0))=0,"",INDEX('#建筑消耗和buff配置索引'!L:L,MATCH($F143,'#建筑消耗和buff配置索引'!$M:$M,0)))</f>
        <v>20</v>
      </c>
      <c r="S143" s="133">
        <f>IF(INDEX('#建筑消耗和buff配置索引'!C:C,MATCH(F143,'#建筑消耗和buff配置索引'!M:M,0))=0,1,INDEX('#建筑消耗和buff配置索引'!C:C,MATCH(F143,'#建筑消耗和buff配置索引'!M:M,0)))</f>
        <v>2</v>
      </c>
      <c r="T143" s="133">
        <v>0</v>
      </c>
      <c r="U143" s="133">
        <v>0</v>
      </c>
      <c r="V143" s="133" t="str">
        <f>IF(E143=1,IF(INDEX('#建筑消耗和buff配置索引'!BY:BY,MATCH(D143,'#建筑消耗和buff配置索引'!A:A,0))=0,"",INDEX('#建筑消耗和buff配置索引'!BY:BY,MATCH(D143,'#建筑消耗和buff配置索引'!A:A,0))),"")</f>
        <v/>
      </c>
      <c r="W143" s="133" t="str">
        <f>IF(E143=1,IF(INDEX('#建筑消耗和buff配置索引'!BZ:BZ,MATCH(D143,'#建筑消耗和buff配置索引'!A:A,0))=0,"",INDEX('#建筑消耗和buff配置索引'!BZ:BZ,MATCH(D143,'#建筑消耗和buff配置索引'!A:A,0))),"")</f>
        <v/>
      </c>
      <c r="AA143" s="133">
        <f>INDEX('#建筑消耗和buff配置索引'!AO:AO,MATCH($F143,'#建筑消耗和buff配置索引'!$M:$M,0))</f>
        <v>16870</v>
      </c>
      <c r="AB143" s="133">
        <f>IF(INDEX('#建筑消耗和buff配置索引'!AR:AR,MATCH($F143,'#建筑消耗和buff配置索引'!$M:$M,0))=0,"",INDEX('#建筑消耗和buff配置索引'!AR:AR,MATCH($F143,'#建筑消耗和buff配置索引'!$M:$M,0)))</f>
        <v>1018</v>
      </c>
      <c r="AC143" s="133">
        <f>IF(AB143="","",INDEX('#建筑消耗和buff配置索引'!AS:AS,MATCH($F143,'#建筑消耗和buff配置索引'!$M:$M,0)))</f>
        <v>9000</v>
      </c>
      <c r="AF143" s="133" t="str">
        <f>IF(INDEX('#建筑消耗和buff配置索引'!AW:AW,MATCH($F143,'#建筑消耗和buff配置索引'!$M:$M,0))=0,"",INDEX('#建筑消耗和buff配置索引'!AW:AW,MATCH($F143,'#建筑消耗和buff配置索引'!$M:$M,0)))</f>
        <v/>
      </c>
      <c r="AG143" s="133" t="str">
        <f>IF(AF143="","",INDEX('#建筑消耗和buff配置索引'!AX:AX,MATCH($F143,'#建筑消耗和buff配置索引'!$M:$M,0)))</f>
        <v/>
      </c>
      <c r="AJ143" s="133" t="str">
        <f>IF(INDEX('#建筑消耗和buff配置索引'!BB:BB,MATCH($F143,'#建筑消耗和buff配置索引'!$M:$M,0))=0,"",INDEX('#建筑消耗和buff配置索引'!BB:BB,MATCH($F143,'#建筑消耗和buff配置索引'!$M:$M,0)))</f>
        <v/>
      </c>
      <c r="AK143" s="133" t="str">
        <f>IF(AJ143="","",INDEX('#建筑消耗和buff配置索引'!BC:BC,MATCH($F143,'#建筑消耗和buff配置索引'!$M:$M,0)))</f>
        <v/>
      </c>
      <c r="AN143" s="133" t="str">
        <f>IF(INDEX('#建筑消耗和buff配置索引'!BG:BG,MATCH($F143,'#建筑消耗和buff配置索引'!$M:$M,0))=0,"",INDEX('#建筑消耗和buff配置索引'!BG:BG,MATCH($F143,'#建筑消耗和buff配置索引'!$M:$M,0)))</f>
        <v/>
      </c>
      <c r="AO143" s="133" t="str">
        <f>IF(AN143="","",INDEX('#建筑消耗和buff配置索引'!BH:BH,MATCH($F143,'#建筑消耗和buff配置索引'!$M:$M,0)))</f>
        <v/>
      </c>
      <c r="AR143" s="133" t="str">
        <f>IF(INDEX('#建筑消耗和buff配置索引'!BK:BK,MATCH($F143,'#建筑消耗和buff配置索引'!$M:$M,0))=0,"",INDEX('#建筑消耗和buff配置索引'!BK:BK,MATCH($F143,'#建筑消耗和buff配置索引'!$M:$M,0)))</f>
        <v/>
      </c>
      <c r="AS143" s="133" t="str">
        <f>IF(AR143="","",INDEX('#建筑消耗和buff配置索引'!BL:BL,MATCH($F143,'#建筑消耗和buff配置索引'!$M:$M,0)))</f>
        <v/>
      </c>
      <c r="AV143" s="133" t="str">
        <f>IF(INDEX('#建筑消耗和buff配置索引'!BO:BO,MATCH($F143,'#建筑消耗和buff配置索引'!$M:$M,0))=0,"",INDEX('#建筑消耗和buff配置索引'!BO:BO,MATCH($F143,'#建筑消耗和buff配置索引'!$M:$M,0)))</f>
        <v/>
      </c>
      <c r="AW143" s="133" t="str">
        <f>IF(AV143="","",INDEX('#建筑消耗和buff配置索引'!BP:BP,MATCH($F143,'#建筑消耗和buff配置索引'!$M:$M,0)))</f>
        <v/>
      </c>
      <c r="AZ143" s="133" t="str">
        <f>IF(INDEX('#建筑消耗和buff配置索引'!BS:BS,MATCH($F143,'#建筑消耗和buff配置索引'!$M:$M,0))=0,"",INDEX('#建筑消耗和buff配置索引'!BS:BS,MATCH($F143,'#建筑消耗和buff配置索引'!$M:$M,0)))</f>
        <v/>
      </c>
      <c r="BA143" s="133" t="str">
        <f>IF(AZ143="","",INDEX('#建筑消耗和buff配置索引'!BT:BT,MATCH($F143,'#建筑消耗和buff配置索引'!$M:$M,0)))</f>
        <v/>
      </c>
      <c r="BD143" s="133" t="str">
        <f>IF(INDEX('#建筑消耗和buff配置索引'!BW:BW,MATCH($F143,'#建筑消耗和buff配置索引'!$M:$M,0))=0,"",INDEX('#建筑消耗和buff配置索引'!BW:BW,MATCH($F143,'#建筑消耗和buff配置索引'!$M:$M,0)))</f>
        <v/>
      </c>
      <c r="BE143" s="133" t="str">
        <f>IF(BD143="","",INDEX('#建筑消耗和buff配置索引'!BX:BX,MATCH($F143,'#建筑消耗和buff配置索引'!$M:$M,0)))</f>
        <v/>
      </c>
      <c r="BI143" s="133">
        <v>8</v>
      </c>
      <c r="BO143" s="133">
        <v>5</v>
      </c>
      <c r="BP143" s="133" t="s">
        <v>1360</v>
      </c>
      <c r="BQ143" s="133">
        <v>10003602</v>
      </c>
      <c r="BR143" s="133">
        <v>300</v>
      </c>
    </row>
    <row r="144" spans="1:70" s="133" customFormat="1">
      <c r="A144" s="133">
        <v>2050021</v>
      </c>
      <c r="B144" s="133">
        <v>141</v>
      </c>
      <c r="C144" s="133">
        <v>205</v>
      </c>
      <c r="D144" s="133" t="s">
        <v>249</v>
      </c>
      <c r="E144" s="133">
        <v>21</v>
      </c>
      <c r="F144" s="133" t="str">
        <f t="shared" si="4"/>
        <v>石矿场21</v>
      </c>
      <c r="H144" s="146"/>
      <c r="I144" s="133">
        <v>3</v>
      </c>
      <c r="J144" s="150">
        <f>INDEX('#建筑消耗和buff配置索引'!AH:AH,MATCH($F144,'#建筑消耗和buff配置索引'!$M:$M,0))</f>
        <v>46080</v>
      </c>
      <c r="K144" s="150">
        <f>INDEX('#建筑消耗和buff配置索引'!AA:AA,MATCH($F144,'#建筑消耗和buff配置索引'!$M:$M,0))</f>
        <v>840000</v>
      </c>
      <c r="L144" s="150">
        <f>INDEX('#建筑消耗和buff配置索引'!AB:AB,MATCH($F144,'#建筑消耗和buff配置索引'!$M:$M,0))</f>
        <v>840000</v>
      </c>
      <c r="M144" s="150">
        <f>INDEX('#建筑消耗和buff配置索引'!AC:AC,MATCH($F144,'#建筑消耗和buff配置索引'!$M:$M,0))</f>
        <v>0</v>
      </c>
      <c r="N144" s="150">
        <f>INDEX('#建筑消耗和buff配置索引'!AD:AD,MATCH($F144,'#建筑消耗和buff配置索引'!$M:$M,0))</f>
        <v>840000</v>
      </c>
      <c r="O144" s="150" t="str">
        <f>IF(INDEX('#建筑消耗和buff配置索引'!T:T,MATCH($F144,'#建筑消耗和buff配置索引'!$M:$M,0))=0,"",INDEX('#建筑消耗和buff配置索引'!T:T,MATCH($F144,'#建筑消耗和buff配置索引'!$M:$M,0)))</f>
        <v/>
      </c>
      <c r="P144" s="133" t="str">
        <f>IF(INDEX('#建筑消耗和buff配置索引'!U:U,MATCH($F144,'#建筑消耗和buff配置索引'!$M:$M,0))=0,"",INDEX('#建筑消耗和buff配置索引'!U:U,MATCH($F144,'#建筑消耗和buff配置索引'!$M:$M,0)))</f>
        <v/>
      </c>
      <c r="Q144" s="133" t="str">
        <f>IF(INDEX('#建筑消耗和buff配置索引'!K:K,MATCH($F144,'#建筑消耗和buff配置索引'!$M:$M,0))=0,"",INDEX('#建筑消耗和buff配置索引'!K:K,MATCH($F144,'#建筑消耗和buff配置索引'!$M:$M,0)))</f>
        <v>201</v>
      </c>
      <c r="R144" s="133" t="str">
        <f>IF(INDEX('#建筑消耗和buff配置索引'!L:L,MATCH($F144,'#建筑消耗和buff配置索引'!$M:$M,0))=0,"",INDEX('#建筑消耗和buff配置索引'!L:L,MATCH($F144,'#建筑消耗和buff配置索引'!$M:$M,0)))</f>
        <v>21</v>
      </c>
      <c r="S144" s="133">
        <f>IF(INDEX('#建筑消耗和buff配置索引'!C:C,MATCH(F144,'#建筑消耗和buff配置索引'!M:M,0))=0,1,INDEX('#建筑消耗和buff配置索引'!C:C,MATCH(F144,'#建筑消耗和buff配置索引'!M:M,0)))</f>
        <v>2</v>
      </c>
      <c r="T144" s="133">
        <v>0</v>
      </c>
      <c r="U144" s="133">
        <v>0</v>
      </c>
      <c r="V144" s="133" t="str">
        <f>IF(E144=1,IF(INDEX('#建筑消耗和buff配置索引'!BY:BY,MATCH(D144,'#建筑消耗和buff配置索引'!A:A,0))=0,"",INDEX('#建筑消耗和buff配置索引'!BY:BY,MATCH(D144,'#建筑消耗和buff配置索引'!A:A,0))),"")</f>
        <v/>
      </c>
      <c r="W144" s="133" t="str">
        <f>IF(E144=1,IF(INDEX('#建筑消耗和buff配置索引'!BZ:BZ,MATCH(D144,'#建筑消耗和buff配置索引'!A:A,0))=0,"",INDEX('#建筑消耗和buff配置索引'!BZ:BZ,MATCH(D144,'#建筑消耗和buff配置索引'!A:A,0))),"")</f>
        <v/>
      </c>
      <c r="AA144" s="133">
        <f>INDEX('#建筑消耗和buff配置索引'!AO:AO,MATCH($F144,'#建筑消耗和buff配置索引'!$M:$M,0))</f>
        <v>21895</v>
      </c>
      <c r="AB144" s="133">
        <f>IF(INDEX('#建筑消耗和buff配置索引'!AR:AR,MATCH($F144,'#建筑消耗和buff配置索引'!$M:$M,0))=0,"",INDEX('#建筑消耗和buff配置索引'!AR:AR,MATCH($F144,'#建筑消耗和buff配置索引'!$M:$M,0)))</f>
        <v>1018</v>
      </c>
      <c r="AC144" s="133">
        <f>IF(AB144="","",INDEX('#建筑消耗和buff配置索引'!AS:AS,MATCH($F144,'#建筑消耗和buff配置索引'!$M:$M,0)))</f>
        <v>9800</v>
      </c>
      <c r="AF144" s="133" t="str">
        <f>IF(INDEX('#建筑消耗和buff配置索引'!AW:AW,MATCH($F144,'#建筑消耗和buff配置索引'!$M:$M,0))=0,"",INDEX('#建筑消耗和buff配置索引'!AW:AW,MATCH($F144,'#建筑消耗和buff配置索引'!$M:$M,0)))</f>
        <v/>
      </c>
      <c r="AG144" s="133" t="str">
        <f>IF(AF144="","",INDEX('#建筑消耗和buff配置索引'!AX:AX,MATCH($F144,'#建筑消耗和buff配置索引'!$M:$M,0)))</f>
        <v/>
      </c>
      <c r="AJ144" s="133" t="str">
        <f>IF(INDEX('#建筑消耗和buff配置索引'!BB:BB,MATCH($F144,'#建筑消耗和buff配置索引'!$M:$M,0))=0,"",INDEX('#建筑消耗和buff配置索引'!BB:BB,MATCH($F144,'#建筑消耗和buff配置索引'!$M:$M,0)))</f>
        <v/>
      </c>
      <c r="AK144" s="133" t="str">
        <f>IF(AJ144="","",INDEX('#建筑消耗和buff配置索引'!BC:BC,MATCH($F144,'#建筑消耗和buff配置索引'!$M:$M,0)))</f>
        <v/>
      </c>
      <c r="AN144" s="133" t="str">
        <f>IF(INDEX('#建筑消耗和buff配置索引'!BG:BG,MATCH($F144,'#建筑消耗和buff配置索引'!$M:$M,0))=0,"",INDEX('#建筑消耗和buff配置索引'!BG:BG,MATCH($F144,'#建筑消耗和buff配置索引'!$M:$M,0)))</f>
        <v/>
      </c>
      <c r="AO144" s="133" t="str">
        <f>IF(AN144="","",INDEX('#建筑消耗和buff配置索引'!BH:BH,MATCH($F144,'#建筑消耗和buff配置索引'!$M:$M,0)))</f>
        <v/>
      </c>
      <c r="AR144" s="133" t="str">
        <f>IF(INDEX('#建筑消耗和buff配置索引'!BK:BK,MATCH($F144,'#建筑消耗和buff配置索引'!$M:$M,0))=0,"",INDEX('#建筑消耗和buff配置索引'!BK:BK,MATCH($F144,'#建筑消耗和buff配置索引'!$M:$M,0)))</f>
        <v/>
      </c>
      <c r="AS144" s="133" t="str">
        <f>IF(AR144="","",INDEX('#建筑消耗和buff配置索引'!BL:BL,MATCH($F144,'#建筑消耗和buff配置索引'!$M:$M,0)))</f>
        <v/>
      </c>
      <c r="AV144" s="133" t="str">
        <f>IF(INDEX('#建筑消耗和buff配置索引'!BO:BO,MATCH($F144,'#建筑消耗和buff配置索引'!$M:$M,0))=0,"",INDEX('#建筑消耗和buff配置索引'!BO:BO,MATCH($F144,'#建筑消耗和buff配置索引'!$M:$M,0)))</f>
        <v/>
      </c>
      <c r="AW144" s="133" t="str">
        <f>IF(AV144="","",INDEX('#建筑消耗和buff配置索引'!BP:BP,MATCH($F144,'#建筑消耗和buff配置索引'!$M:$M,0)))</f>
        <v/>
      </c>
      <c r="AZ144" s="133" t="str">
        <f>IF(INDEX('#建筑消耗和buff配置索引'!BS:BS,MATCH($F144,'#建筑消耗和buff配置索引'!$M:$M,0))=0,"",INDEX('#建筑消耗和buff配置索引'!BS:BS,MATCH($F144,'#建筑消耗和buff配置索引'!$M:$M,0)))</f>
        <v/>
      </c>
      <c r="BA144" s="133" t="str">
        <f>IF(AZ144="","",INDEX('#建筑消耗和buff配置索引'!BT:BT,MATCH($F144,'#建筑消耗和buff配置索引'!$M:$M,0)))</f>
        <v/>
      </c>
      <c r="BD144" s="133" t="str">
        <f>IF(INDEX('#建筑消耗和buff配置索引'!BW:BW,MATCH($F144,'#建筑消耗和buff配置索引'!$M:$M,0))=0,"",INDEX('#建筑消耗和buff配置索引'!BW:BW,MATCH($F144,'#建筑消耗和buff配置索引'!$M:$M,0)))</f>
        <v/>
      </c>
      <c r="BE144" s="133" t="str">
        <f>IF(BD144="","",INDEX('#建筑消耗和buff配置索引'!BX:BX,MATCH($F144,'#建筑消耗和buff配置索引'!$M:$M,0)))</f>
        <v/>
      </c>
      <c r="BI144" s="133">
        <v>8</v>
      </c>
      <c r="BO144" s="133">
        <v>5</v>
      </c>
      <c r="BP144" s="133" t="s">
        <v>1360</v>
      </c>
      <c r="BQ144" s="133">
        <v>10003602</v>
      </c>
      <c r="BR144" s="133">
        <v>300</v>
      </c>
    </row>
    <row r="145" spans="1:70" s="133" customFormat="1">
      <c r="A145" s="133">
        <v>2050022</v>
      </c>
      <c r="B145" s="133">
        <v>142</v>
      </c>
      <c r="C145" s="133">
        <v>205</v>
      </c>
      <c r="D145" s="133" t="s">
        <v>249</v>
      </c>
      <c r="E145" s="133">
        <v>22</v>
      </c>
      <c r="F145" s="133" t="str">
        <f t="shared" si="4"/>
        <v>石矿场22</v>
      </c>
      <c r="H145" s="146"/>
      <c r="I145" s="133">
        <v>3</v>
      </c>
      <c r="J145" s="150">
        <f>INDEX('#建筑消耗和buff配置索引'!AH:AH,MATCH($F145,'#建筑消耗和buff配置索引'!$M:$M,0))</f>
        <v>60480</v>
      </c>
      <c r="K145" s="150">
        <f>INDEX('#建筑消耗和buff配置索引'!AA:AA,MATCH($F145,'#建筑消耗和buff配置索引'!$M:$M,0))</f>
        <v>1100000</v>
      </c>
      <c r="L145" s="150">
        <f>INDEX('#建筑消耗和buff配置索引'!AB:AB,MATCH($F145,'#建筑消耗和buff配置索引'!$M:$M,0))</f>
        <v>1100000</v>
      </c>
      <c r="M145" s="150">
        <f>INDEX('#建筑消耗和buff配置索引'!AC:AC,MATCH($F145,'#建筑消耗和buff配置索引'!$M:$M,0))</f>
        <v>0</v>
      </c>
      <c r="N145" s="150">
        <f>INDEX('#建筑消耗和buff配置索引'!AD:AD,MATCH($F145,'#建筑消耗和buff配置索引'!$M:$M,0))</f>
        <v>1100000</v>
      </c>
      <c r="O145" s="150" t="str">
        <f>IF(INDEX('#建筑消耗和buff配置索引'!T:T,MATCH($F145,'#建筑消耗和buff配置索引'!$M:$M,0))=0,"",INDEX('#建筑消耗和buff配置索引'!T:T,MATCH($F145,'#建筑消耗和buff配置索引'!$M:$M,0)))</f>
        <v/>
      </c>
      <c r="P145" s="133" t="str">
        <f>IF(INDEX('#建筑消耗和buff配置索引'!U:U,MATCH($F145,'#建筑消耗和buff配置索引'!$M:$M,0))=0,"",INDEX('#建筑消耗和buff配置索引'!U:U,MATCH($F145,'#建筑消耗和buff配置索引'!$M:$M,0)))</f>
        <v/>
      </c>
      <c r="Q145" s="133" t="str">
        <f>IF(INDEX('#建筑消耗和buff配置索引'!K:K,MATCH($F145,'#建筑消耗和buff配置索引'!$M:$M,0))=0,"",INDEX('#建筑消耗和buff配置索引'!K:K,MATCH($F145,'#建筑消耗和buff配置索引'!$M:$M,0)))</f>
        <v>201</v>
      </c>
      <c r="R145" s="133" t="str">
        <f>IF(INDEX('#建筑消耗和buff配置索引'!L:L,MATCH($F145,'#建筑消耗和buff配置索引'!$M:$M,0))=0,"",INDEX('#建筑消耗和buff配置索引'!L:L,MATCH($F145,'#建筑消耗和buff配置索引'!$M:$M,0)))</f>
        <v>22</v>
      </c>
      <c r="S145" s="133">
        <f>IF(INDEX('#建筑消耗和buff配置索引'!C:C,MATCH(F145,'#建筑消耗和buff配置索引'!M:M,0))=0,1,INDEX('#建筑消耗和buff配置索引'!C:C,MATCH(F145,'#建筑消耗和buff配置索引'!M:M,0)))</f>
        <v>2</v>
      </c>
      <c r="T145" s="133">
        <v>0</v>
      </c>
      <c r="U145" s="133">
        <v>0</v>
      </c>
      <c r="V145" s="133" t="str">
        <f>IF(E145=1,IF(INDEX('#建筑消耗和buff配置索引'!BY:BY,MATCH(D145,'#建筑消耗和buff配置索引'!A:A,0))=0,"",INDEX('#建筑消耗和buff配置索引'!BY:BY,MATCH(D145,'#建筑消耗和buff配置索引'!A:A,0))),"")</f>
        <v/>
      </c>
      <c r="W145" s="133" t="str">
        <f>IF(E145=1,IF(INDEX('#建筑消耗和buff配置索引'!BZ:BZ,MATCH(D145,'#建筑消耗和buff配置索引'!A:A,0))=0,"",INDEX('#建筑消耗和buff配置索引'!BZ:BZ,MATCH(D145,'#建筑消耗和buff配置索引'!A:A,0))),"")</f>
        <v/>
      </c>
      <c r="AA145" s="133">
        <f>INDEX('#建筑消耗和buff配置索引'!AO:AO,MATCH($F145,'#建筑消耗和buff配置索引'!$M:$M,0))</f>
        <v>28328</v>
      </c>
      <c r="AB145" s="133">
        <f>IF(INDEX('#建筑消耗和buff配置索引'!AR:AR,MATCH($F145,'#建筑消耗和buff配置索引'!$M:$M,0))=0,"",INDEX('#建筑消耗和buff配置索引'!AR:AR,MATCH($F145,'#建筑消耗和buff配置索引'!$M:$M,0)))</f>
        <v>1018</v>
      </c>
      <c r="AC145" s="133">
        <f>IF(AB145="","",INDEX('#建筑消耗和buff配置索引'!AS:AS,MATCH($F145,'#建筑消耗和buff配置索引'!$M:$M,0)))</f>
        <v>10600</v>
      </c>
      <c r="AF145" s="133" t="str">
        <f>IF(INDEX('#建筑消耗和buff配置索引'!AW:AW,MATCH($F145,'#建筑消耗和buff配置索引'!$M:$M,0))=0,"",INDEX('#建筑消耗和buff配置索引'!AW:AW,MATCH($F145,'#建筑消耗和buff配置索引'!$M:$M,0)))</f>
        <v/>
      </c>
      <c r="AG145" s="133" t="str">
        <f>IF(AF145="","",INDEX('#建筑消耗和buff配置索引'!AX:AX,MATCH($F145,'#建筑消耗和buff配置索引'!$M:$M,0)))</f>
        <v/>
      </c>
      <c r="AJ145" s="133" t="str">
        <f>IF(INDEX('#建筑消耗和buff配置索引'!BB:BB,MATCH($F145,'#建筑消耗和buff配置索引'!$M:$M,0))=0,"",INDEX('#建筑消耗和buff配置索引'!BB:BB,MATCH($F145,'#建筑消耗和buff配置索引'!$M:$M,0)))</f>
        <v/>
      </c>
      <c r="AK145" s="133" t="str">
        <f>IF(AJ145="","",INDEX('#建筑消耗和buff配置索引'!BC:BC,MATCH($F145,'#建筑消耗和buff配置索引'!$M:$M,0)))</f>
        <v/>
      </c>
      <c r="AN145" s="133" t="str">
        <f>IF(INDEX('#建筑消耗和buff配置索引'!BG:BG,MATCH($F145,'#建筑消耗和buff配置索引'!$M:$M,0))=0,"",INDEX('#建筑消耗和buff配置索引'!BG:BG,MATCH($F145,'#建筑消耗和buff配置索引'!$M:$M,0)))</f>
        <v/>
      </c>
      <c r="AO145" s="133" t="str">
        <f>IF(AN145="","",INDEX('#建筑消耗和buff配置索引'!BH:BH,MATCH($F145,'#建筑消耗和buff配置索引'!$M:$M,0)))</f>
        <v/>
      </c>
      <c r="AR145" s="133" t="str">
        <f>IF(INDEX('#建筑消耗和buff配置索引'!BK:BK,MATCH($F145,'#建筑消耗和buff配置索引'!$M:$M,0))=0,"",INDEX('#建筑消耗和buff配置索引'!BK:BK,MATCH($F145,'#建筑消耗和buff配置索引'!$M:$M,0)))</f>
        <v/>
      </c>
      <c r="AS145" s="133" t="str">
        <f>IF(AR145="","",INDEX('#建筑消耗和buff配置索引'!BL:BL,MATCH($F145,'#建筑消耗和buff配置索引'!$M:$M,0)))</f>
        <v/>
      </c>
      <c r="AV145" s="133" t="str">
        <f>IF(INDEX('#建筑消耗和buff配置索引'!BO:BO,MATCH($F145,'#建筑消耗和buff配置索引'!$M:$M,0))=0,"",INDEX('#建筑消耗和buff配置索引'!BO:BO,MATCH($F145,'#建筑消耗和buff配置索引'!$M:$M,0)))</f>
        <v/>
      </c>
      <c r="AW145" s="133" t="str">
        <f>IF(AV145="","",INDEX('#建筑消耗和buff配置索引'!BP:BP,MATCH($F145,'#建筑消耗和buff配置索引'!$M:$M,0)))</f>
        <v/>
      </c>
      <c r="AZ145" s="133" t="str">
        <f>IF(INDEX('#建筑消耗和buff配置索引'!BS:BS,MATCH($F145,'#建筑消耗和buff配置索引'!$M:$M,0))=0,"",INDEX('#建筑消耗和buff配置索引'!BS:BS,MATCH($F145,'#建筑消耗和buff配置索引'!$M:$M,0)))</f>
        <v/>
      </c>
      <c r="BA145" s="133" t="str">
        <f>IF(AZ145="","",INDEX('#建筑消耗和buff配置索引'!BT:BT,MATCH($F145,'#建筑消耗和buff配置索引'!$M:$M,0)))</f>
        <v/>
      </c>
      <c r="BD145" s="133" t="str">
        <f>IF(INDEX('#建筑消耗和buff配置索引'!BW:BW,MATCH($F145,'#建筑消耗和buff配置索引'!$M:$M,0))=0,"",INDEX('#建筑消耗和buff配置索引'!BW:BW,MATCH($F145,'#建筑消耗和buff配置索引'!$M:$M,0)))</f>
        <v/>
      </c>
      <c r="BE145" s="133" t="str">
        <f>IF(BD145="","",INDEX('#建筑消耗和buff配置索引'!BX:BX,MATCH($F145,'#建筑消耗和buff配置索引'!$M:$M,0)))</f>
        <v/>
      </c>
      <c r="BI145" s="133">
        <v>8</v>
      </c>
      <c r="BO145" s="133">
        <v>5</v>
      </c>
      <c r="BP145" s="133" t="s">
        <v>1360</v>
      </c>
      <c r="BQ145" s="133">
        <v>10003602</v>
      </c>
      <c r="BR145" s="133">
        <v>300</v>
      </c>
    </row>
    <row r="146" spans="1:70" s="133" customFormat="1">
      <c r="A146" s="133">
        <v>2050023</v>
      </c>
      <c r="B146" s="133">
        <v>143</v>
      </c>
      <c r="C146" s="133">
        <v>205</v>
      </c>
      <c r="D146" s="133" t="s">
        <v>249</v>
      </c>
      <c r="E146" s="133">
        <v>23</v>
      </c>
      <c r="F146" s="133" t="str">
        <f t="shared" si="4"/>
        <v>石矿场23</v>
      </c>
      <c r="H146" s="146"/>
      <c r="I146" s="133">
        <v>3</v>
      </c>
      <c r="J146" s="150">
        <f>INDEX('#建筑消耗和buff配置索引'!AH:AH,MATCH($F146,'#建筑消耗和buff配置索引'!$M:$M,0))</f>
        <v>77760</v>
      </c>
      <c r="K146" s="150">
        <f>INDEX('#建筑消耗和buff配置索引'!AA:AA,MATCH($F146,'#建筑消耗和buff配置索引'!$M:$M,0))</f>
        <v>1400000</v>
      </c>
      <c r="L146" s="150">
        <f>INDEX('#建筑消耗和buff配置索引'!AB:AB,MATCH($F146,'#建筑消耗和buff配置索引'!$M:$M,0))</f>
        <v>1400000</v>
      </c>
      <c r="M146" s="150">
        <f>INDEX('#建筑消耗和buff配置索引'!AC:AC,MATCH($F146,'#建筑消耗和buff配置索引'!$M:$M,0))</f>
        <v>0</v>
      </c>
      <c r="N146" s="150">
        <f>INDEX('#建筑消耗和buff配置索引'!AD:AD,MATCH($F146,'#建筑消耗和buff配置索引'!$M:$M,0))</f>
        <v>1400000</v>
      </c>
      <c r="O146" s="150" t="str">
        <f>IF(INDEX('#建筑消耗和buff配置索引'!T:T,MATCH($F146,'#建筑消耗和buff配置索引'!$M:$M,0))=0,"",INDEX('#建筑消耗和buff配置索引'!T:T,MATCH($F146,'#建筑消耗和buff配置索引'!$M:$M,0)))</f>
        <v/>
      </c>
      <c r="P146" s="133" t="str">
        <f>IF(INDEX('#建筑消耗和buff配置索引'!U:U,MATCH($F146,'#建筑消耗和buff配置索引'!$M:$M,0))=0,"",INDEX('#建筑消耗和buff配置索引'!U:U,MATCH($F146,'#建筑消耗和buff配置索引'!$M:$M,0)))</f>
        <v/>
      </c>
      <c r="Q146" s="133" t="str">
        <f>IF(INDEX('#建筑消耗和buff配置索引'!K:K,MATCH($F146,'#建筑消耗和buff配置索引'!$M:$M,0))=0,"",INDEX('#建筑消耗和buff配置索引'!K:K,MATCH($F146,'#建筑消耗和buff配置索引'!$M:$M,0)))</f>
        <v>201</v>
      </c>
      <c r="R146" s="133" t="str">
        <f>IF(INDEX('#建筑消耗和buff配置索引'!L:L,MATCH($F146,'#建筑消耗和buff配置索引'!$M:$M,0))=0,"",INDEX('#建筑消耗和buff配置索引'!L:L,MATCH($F146,'#建筑消耗和buff配置索引'!$M:$M,0)))</f>
        <v>23</v>
      </c>
      <c r="S146" s="133">
        <f>IF(INDEX('#建筑消耗和buff配置索引'!C:C,MATCH(F146,'#建筑消耗和buff配置索引'!M:M,0))=0,1,INDEX('#建筑消耗和buff配置索引'!C:C,MATCH(F146,'#建筑消耗和buff配置索引'!M:M,0)))</f>
        <v>2</v>
      </c>
      <c r="T146" s="133">
        <v>0</v>
      </c>
      <c r="U146" s="133">
        <v>0</v>
      </c>
      <c r="V146" s="133" t="str">
        <f>IF(E146=1,IF(INDEX('#建筑消耗和buff配置索引'!BY:BY,MATCH(D146,'#建筑消耗和buff配置索引'!A:A,0))=0,"",INDEX('#建筑消耗和buff配置索引'!BY:BY,MATCH(D146,'#建筑消耗和buff配置索引'!A:A,0))),"")</f>
        <v/>
      </c>
      <c r="W146" s="133" t="str">
        <f>IF(E146=1,IF(INDEX('#建筑消耗和buff配置索引'!BZ:BZ,MATCH(D146,'#建筑消耗和buff配置索引'!A:A,0))=0,"",INDEX('#建筑消耗和buff配置索引'!BZ:BZ,MATCH(D146,'#建筑消耗和buff配置索引'!A:A,0))),"")</f>
        <v/>
      </c>
      <c r="AA146" s="133">
        <f>INDEX('#建筑消耗和buff配置索引'!AO:AO,MATCH($F146,'#建筑消耗和buff配置索引'!$M:$M,0))</f>
        <v>36561</v>
      </c>
      <c r="AB146" s="133">
        <f>IF(INDEX('#建筑消耗和buff配置索引'!AR:AR,MATCH($F146,'#建筑消耗和buff配置索引'!$M:$M,0))=0,"",INDEX('#建筑消耗和buff配置索引'!AR:AR,MATCH($F146,'#建筑消耗和buff配置索引'!$M:$M,0)))</f>
        <v>1018</v>
      </c>
      <c r="AC146" s="133">
        <f>IF(AB146="","",INDEX('#建筑消耗和buff配置索引'!AS:AS,MATCH($F146,'#建筑消耗和buff配置索引'!$M:$M,0)))</f>
        <v>11400</v>
      </c>
      <c r="AF146" s="133" t="str">
        <f>IF(INDEX('#建筑消耗和buff配置索引'!AW:AW,MATCH($F146,'#建筑消耗和buff配置索引'!$M:$M,0))=0,"",INDEX('#建筑消耗和buff配置索引'!AW:AW,MATCH($F146,'#建筑消耗和buff配置索引'!$M:$M,0)))</f>
        <v/>
      </c>
      <c r="AG146" s="133" t="str">
        <f>IF(AF146="","",INDEX('#建筑消耗和buff配置索引'!AX:AX,MATCH($F146,'#建筑消耗和buff配置索引'!$M:$M,0)))</f>
        <v/>
      </c>
      <c r="AJ146" s="133" t="str">
        <f>IF(INDEX('#建筑消耗和buff配置索引'!BB:BB,MATCH($F146,'#建筑消耗和buff配置索引'!$M:$M,0))=0,"",INDEX('#建筑消耗和buff配置索引'!BB:BB,MATCH($F146,'#建筑消耗和buff配置索引'!$M:$M,0)))</f>
        <v/>
      </c>
      <c r="AK146" s="133" t="str">
        <f>IF(AJ146="","",INDEX('#建筑消耗和buff配置索引'!BC:BC,MATCH($F146,'#建筑消耗和buff配置索引'!$M:$M,0)))</f>
        <v/>
      </c>
      <c r="AN146" s="133" t="str">
        <f>IF(INDEX('#建筑消耗和buff配置索引'!BG:BG,MATCH($F146,'#建筑消耗和buff配置索引'!$M:$M,0))=0,"",INDEX('#建筑消耗和buff配置索引'!BG:BG,MATCH($F146,'#建筑消耗和buff配置索引'!$M:$M,0)))</f>
        <v/>
      </c>
      <c r="AO146" s="133" t="str">
        <f>IF(AN146="","",INDEX('#建筑消耗和buff配置索引'!BH:BH,MATCH($F146,'#建筑消耗和buff配置索引'!$M:$M,0)))</f>
        <v/>
      </c>
      <c r="AR146" s="133" t="str">
        <f>IF(INDEX('#建筑消耗和buff配置索引'!BK:BK,MATCH($F146,'#建筑消耗和buff配置索引'!$M:$M,0))=0,"",INDEX('#建筑消耗和buff配置索引'!BK:BK,MATCH($F146,'#建筑消耗和buff配置索引'!$M:$M,0)))</f>
        <v/>
      </c>
      <c r="AS146" s="133" t="str">
        <f>IF(AR146="","",INDEX('#建筑消耗和buff配置索引'!BL:BL,MATCH($F146,'#建筑消耗和buff配置索引'!$M:$M,0)))</f>
        <v/>
      </c>
      <c r="AV146" s="133" t="str">
        <f>IF(INDEX('#建筑消耗和buff配置索引'!BO:BO,MATCH($F146,'#建筑消耗和buff配置索引'!$M:$M,0))=0,"",INDEX('#建筑消耗和buff配置索引'!BO:BO,MATCH($F146,'#建筑消耗和buff配置索引'!$M:$M,0)))</f>
        <v/>
      </c>
      <c r="AW146" s="133" t="str">
        <f>IF(AV146="","",INDEX('#建筑消耗和buff配置索引'!BP:BP,MATCH($F146,'#建筑消耗和buff配置索引'!$M:$M,0)))</f>
        <v/>
      </c>
      <c r="AZ146" s="133" t="str">
        <f>IF(INDEX('#建筑消耗和buff配置索引'!BS:BS,MATCH($F146,'#建筑消耗和buff配置索引'!$M:$M,0))=0,"",INDEX('#建筑消耗和buff配置索引'!BS:BS,MATCH($F146,'#建筑消耗和buff配置索引'!$M:$M,0)))</f>
        <v/>
      </c>
      <c r="BA146" s="133" t="str">
        <f>IF(AZ146="","",INDEX('#建筑消耗和buff配置索引'!BT:BT,MATCH($F146,'#建筑消耗和buff配置索引'!$M:$M,0)))</f>
        <v/>
      </c>
      <c r="BD146" s="133" t="str">
        <f>IF(INDEX('#建筑消耗和buff配置索引'!BW:BW,MATCH($F146,'#建筑消耗和buff配置索引'!$M:$M,0))=0,"",INDEX('#建筑消耗和buff配置索引'!BW:BW,MATCH($F146,'#建筑消耗和buff配置索引'!$M:$M,0)))</f>
        <v/>
      </c>
      <c r="BE146" s="133" t="str">
        <f>IF(BD146="","",INDEX('#建筑消耗和buff配置索引'!BX:BX,MATCH($F146,'#建筑消耗和buff配置索引'!$M:$M,0)))</f>
        <v/>
      </c>
      <c r="BI146" s="133">
        <v>8</v>
      </c>
      <c r="BO146" s="133">
        <v>5</v>
      </c>
      <c r="BP146" s="133" t="s">
        <v>1360</v>
      </c>
      <c r="BQ146" s="133">
        <v>10003602</v>
      </c>
      <c r="BR146" s="133">
        <v>300</v>
      </c>
    </row>
    <row r="147" spans="1:70" s="133" customFormat="1">
      <c r="A147" s="133">
        <v>2050024</v>
      </c>
      <c r="B147" s="133">
        <v>144</v>
      </c>
      <c r="C147" s="133">
        <v>205</v>
      </c>
      <c r="D147" s="133" t="s">
        <v>249</v>
      </c>
      <c r="E147" s="133">
        <v>24</v>
      </c>
      <c r="F147" s="133" t="str">
        <f t="shared" si="4"/>
        <v>石矿场24</v>
      </c>
      <c r="H147" s="146"/>
      <c r="I147" s="133">
        <v>3</v>
      </c>
      <c r="J147" s="150">
        <f>INDEX('#建筑消耗和buff配置索引'!AH:AH,MATCH($F147,'#建筑消耗和buff配置索引'!$M:$M,0))</f>
        <v>99360</v>
      </c>
      <c r="K147" s="150">
        <f>INDEX('#建筑消耗和buff配置索引'!AA:AA,MATCH($F147,'#建筑消耗和buff配置索引'!$M:$M,0))</f>
        <v>1800000</v>
      </c>
      <c r="L147" s="150">
        <f>INDEX('#建筑消耗和buff配置索引'!AB:AB,MATCH($F147,'#建筑消耗和buff配置索引'!$M:$M,0))</f>
        <v>1800000</v>
      </c>
      <c r="M147" s="150">
        <f>INDEX('#建筑消耗和buff配置索引'!AC:AC,MATCH($F147,'#建筑消耗和buff配置索引'!$M:$M,0))</f>
        <v>0</v>
      </c>
      <c r="N147" s="150">
        <f>INDEX('#建筑消耗和buff配置索引'!AD:AD,MATCH($F147,'#建筑消耗和buff配置索引'!$M:$M,0))</f>
        <v>1800000</v>
      </c>
      <c r="O147" s="150" t="str">
        <f>IF(INDEX('#建筑消耗和buff配置索引'!T:T,MATCH($F147,'#建筑消耗和buff配置索引'!$M:$M,0))=0,"",INDEX('#建筑消耗和buff配置索引'!T:T,MATCH($F147,'#建筑消耗和buff配置索引'!$M:$M,0)))</f>
        <v/>
      </c>
      <c r="P147" s="133" t="str">
        <f>IF(INDEX('#建筑消耗和buff配置索引'!U:U,MATCH($F147,'#建筑消耗和buff配置索引'!$M:$M,0))=0,"",INDEX('#建筑消耗和buff配置索引'!U:U,MATCH($F147,'#建筑消耗和buff配置索引'!$M:$M,0)))</f>
        <v/>
      </c>
      <c r="Q147" s="133" t="str">
        <f>IF(INDEX('#建筑消耗和buff配置索引'!K:K,MATCH($F147,'#建筑消耗和buff配置索引'!$M:$M,0))=0,"",INDEX('#建筑消耗和buff配置索引'!K:K,MATCH($F147,'#建筑消耗和buff配置索引'!$M:$M,0)))</f>
        <v>201</v>
      </c>
      <c r="R147" s="133" t="str">
        <f>IF(INDEX('#建筑消耗和buff配置索引'!L:L,MATCH($F147,'#建筑消耗和buff配置索引'!$M:$M,0))=0,"",INDEX('#建筑消耗和buff配置索引'!L:L,MATCH($F147,'#建筑消耗和buff配置索引'!$M:$M,0)))</f>
        <v>24</v>
      </c>
      <c r="S147" s="133">
        <f>IF(INDEX('#建筑消耗和buff配置索引'!C:C,MATCH(F147,'#建筑消耗和buff配置索引'!M:M,0))=0,1,INDEX('#建筑消耗和buff配置索引'!C:C,MATCH(F147,'#建筑消耗和buff配置索引'!M:M,0)))</f>
        <v>2</v>
      </c>
      <c r="T147" s="133">
        <v>0</v>
      </c>
      <c r="U147" s="133">
        <v>0</v>
      </c>
      <c r="V147" s="133" t="str">
        <f>IF(E147=1,IF(INDEX('#建筑消耗和buff配置索引'!BY:BY,MATCH(D147,'#建筑消耗和buff配置索引'!A:A,0))=0,"",INDEX('#建筑消耗和buff配置索引'!BY:BY,MATCH(D147,'#建筑消耗和buff配置索引'!A:A,0))),"")</f>
        <v/>
      </c>
      <c r="W147" s="133" t="str">
        <f>IF(E147=1,IF(INDEX('#建筑消耗和buff配置索引'!BZ:BZ,MATCH(D147,'#建筑消耗和buff配置索引'!A:A,0))=0,"",INDEX('#建筑消耗和buff配置索引'!BZ:BZ,MATCH(D147,'#建筑消耗和buff配置索引'!A:A,0))),"")</f>
        <v/>
      </c>
      <c r="AA147" s="133">
        <f>INDEX('#建筑消耗和buff配置索引'!AO:AO,MATCH($F147,'#建筑消耗和buff配置索引'!$M:$M,0))</f>
        <v>47100</v>
      </c>
      <c r="AB147" s="133">
        <f>IF(INDEX('#建筑消耗和buff配置索引'!AR:AR,MATCH($F147,'#建筑消耗和buff配置索引'!$M:$M,0))=0,"",INDEX('#建筑消耗和buff配置索引'!AR:AR,MATCH($F147,'#建筑消耗和buff配置索引'!$M:$M,0)))</f>
        <v>1018</v>
      </c>
      <c r="AC147" s="133">
        <f>IF(AB147="","",INDEX('#建筑消耗和buff配置索引'!AS:AS,MATCH($F147,'#建筑消耗和buff配置索引'!$M:$M,0)))</f>
        <v>12200</v>
      </c>
      <c r="AF147" s="133" t="str">
        <f>IF(INDEX('#建筑消耗和buff配置索引'!AW:AW,MATCH($F147,'#建筑消耗和buff配置索引'!$M:$M,0))=0,"",INDEX('#建筑消耗和buff配置索引'!AW:AW,MATCH($F147,'#建筑消耗和buff配置索引'!$M:$M,0)))</f>
        <v/>
      </c>
      <c r="AG147" s="133" t="str">
        <f>IF(AF147="","",INDEX('#建筑消耗和buff配置索引'!AX:AX,MATCH($F147,'#建筑消耗和buff配置索引'!$M:$M,0)))</f>
        <v/>
      </c>
      <c r="AJ147" s="133" t="str">
        <f>IF(INDEX('#建筑消耗和buff配置索引'!BB:BB,MATCH($F147,'#建筑消耗和buff配置索引'!$M:$M,0))=0,"",INDEX('#建筑消耗和buff配置索引'!BB:BB,MATCH($F147,'#建筑消耗和buff配置索引'!$M:$M,0)))</f>
        <v/>
      </c>
      <c r="AK147" s="133" t="str">
        <f>IF(AJ147="","",INDEX('#建筑消耗和buff配置索引'!BC:BC,MATCH($F147,'#建筑消耗和buff配置索引'!$M:$M,0)))</f>
        <v/>
      </c>
      <c r="AN147" s="133" t="str">
        <f>IF(INDEX('#建筑消耗和buff配置索引'!BG:BG,MATCH($F147,'#建筑消耗和buff配置索引'!$M:$M,0))=0,"",INDEX('#建筑消耗和buff配置索引'!BG:BG,MATCH($F147,'#建筑消耗和buff配置索引'!$M:$M,0)))</f>
        <v/>
      </c>
      <c r="AO147" s="133" t="str">
        <f>IF(AN147="","",INDEX('#建筑消耗和buff配置索引'!BH:BH,MATCH($F147,'#建筑消耗和buff配置索引'!$M:$M,0)))</f>
        <v/>
      </c>
      <c r="AR147" s="133" t="str">
        <f>IF(INDEX('#建筑消耗和buff配置索引'!BK:BK,MATCH($F147,'#建筑消耗和buff配置索引'!$M:$M,0))=0,"",INDEX('#建筑消耗和buff配置索引'!BK:BK,MATCH($F147,'#建筑消耗和buff配置索引'!$M:$M,0)))</f>
        <v/>
      </c>
      <c r="AS147" s="133" t="str">
        <f>IF(AR147="","",INDEX('#建筑消耗和buff配置索引'!BL:BL,MATCH($F147,'#建筑消耗和buff配置索引'!$M:$M,0)))</f>
        <v/>
      </c>
      <c r="AV147" s="133" t="str">
        <f>IF(INDEX('#建筑消耗和buff配置索引'!BO:BO,MATCH($F147,'#建筑消耗和buff配置索引'!$M:$M,0))=0,"",INDEX('#建筑消耗和buff配置索引'!BO:BO,MATCH($F147,'#建筑消耗和buff配置索引'!$M:$M,0)))</f>
        <v/>
      </c>
      <c r="AW147" s="133" t="str">
        <f>IF(AV147="","",INDEX('#建筑消耗和buff配置索引'!BP:BP,MATCH($F147,'#建筑消耗和buff配置索引'!$M:$M,0)))</f>
        <v/>
      </c>
      <c r="AZ147" s="133" t="str">
        <f>IF(INDEX('#建筑消耗和buff配置索引'!BS:BS,MATCH($F147,'#建筑消耗和buff配置索引'!$M:$M,0))=0,"",INDEX('#建筑消耗和buff配置索引'!BS:BS,MATCH($F147,'#建筑消耗和buff配置索引'!$M:$M,0)))</f>
        <v/>
      </c>
      <c r="BA147" s="133" t="str">
        <f>IF(AZ147="","",INDEX('#建筑消耗和buff配置索引'!BT:BT,MATCH($F147,'#建筑消耗和buff配置索引'!$M:$M,0)))</f>
        <v/>
      </c>
      <c r="BD147" s="133" t="str">
        <f>IF(INDEX('#建筑消耗和buff配置索引'!BW:BW,MATCH($F147,'#建筑消耗和buff配置索引'!$M:$M,0))=0,"",INDEX('#建筑消耗和buff配置索引'!BW:BW,MATCH($F147,'#建筑消耗和buff配置索引'!$M:$M,0)))</f>
        <v/>
      </c>
      <c r="BE147" s="133" t="str">
        <f>IF(BD147="","",INDEX('#建筑消耗和buff配置索引'!BX:BX,MATCH($F147,'#建筑消耗和buff配置索引'!$M:$M,0)))</f>
        <v/>
      </c>
      <c r="BI147" s="133">
        <v>8</v>
      </c>
      <c r="BO147" s="133">
        <v>5</v>
      </c>
      <c r="BP147" s="133" t="s">
        <v>1360</v>
      </c>
      <c r="BQ147" s="133">
        <v>10003602</v>
      </c>
      <c r="BR147" s="133">
        <v>300</v>
      </c>
    </row>
    <row r="148" spans="1:70" s="133" customFormat="1">
      <c r="A148" s="133">
        <v>2050025</v>
      </c>
      <c r="B148" s="133">
        <v>145</v>
      </c>
      <c r="C148" s="133">
        <v>205</v>
      </c>
      <c r="D148" s="133" t="s">
        <v>249</v>
      </c>
      <c r="E148" s="133">
        <v>25</v>
      </c>
      <c r="F148" s="133" t="str">
        <f t="shared" si="4"/>
        <v>石矿场25</v>
      </c>
      <c r="H148" s="146"/>
      <c r="I148" s="133">
        <v>3</v>
      </c>
      <c r="J148" s="150">
        <f>INDEX('#建筑消耗和buff配置索引'!AH:AH,MATCH($F148,'#建筑消耗和buff配置索引'!$M:$M,0))</f>
        <v>125280</v>
      </c>
      <c r="K148" s="150">
        <f>INDEX('#建筑消耗和buff配置索引'!AA:AA,MATCH($F148,'#建筑消耗和buff配置索引'!$M:$M,0))</f>
        <v>2200000</v>
      </c>
      <c r="L148" s="150">
        <f>INDEX('#建筑消耗和buff配置索引'!AB:AB,MATCH($F148,'#建筑消耗和buff配置索引'!$M:$M,0))</f>
        <v>2200000</v>
      </c>
      <c r="M148" s="150">
        <f>INDEX('#建筑消耗和buff配置索引'!AC:AC,MATCH($F148,'#建筑消耗和buff配置索引'!$M:$M,0))</f>
        <v>0</v>
      </c>
      <c r="N148" s="150">
        <f>INDEX('#建筑消耗和buff配置索引'!AD:AD,MATCH($F148,'#建筑消耗和buff配置索引'!$M:$M,0))</f>
        <v>2200000</v>
      </c>
      <c r="O148" s="150" t="str">
        <f>IF(INDEX('#建筑消耗和buff配置索引'!T:T,MATCH($F148,'#建筑消耗和buff配置索引'!$M:$M,0))=0,"",INDEX('#建筑消耗和buff配置索引'!T:T,MATCH($F148,'#建筑消耗和buff配置索引'!$M:$M,0)))</f>
        <v/>
      </c>
      <c r="P148" s="133" t="str">
        <f>IF(INDEX('#建筑消耗和buff配置索引'!U:U,MATCH($F148,'#建筑消耗和buff配置索引'!$M:$M,0))=0,"",INDEX('#建筑消耗和buff配置索引'!U:U,MATCH($F148,'#建筑消耗和buff配置索引'!$M:$M,0)))</f>
        <v/>
      </c>
      <c r="Q148" s="133" t="str">
        <f>IF(INDEX('#建筑消耗和buff配置索引'!K:K,MATCH($F148,'#建筑消耗和buff配置索引'!$M:$M,0))=0,"",INDEX('#建筑消耗和buff配置索引'!K:K,MATCH($F148,'#建筑消耗和buff配置索引'!$M:$M,0)))</f>
        <v>201</v>
      </c>
      <c r="R148" s="133" t="str">
        <f>IF(INDEX('#建筑消耗和buff配置索引'!L:L,MATCH($F148,'#建筑消耗和buff配置索引'!$M:$M,0))=0,"",INDEX('#建筑消耗和buff配置索引'!L:L,MATCH($F148,'#建筑消耗和buff配置索引'!$M:$M,0)))</f>
        <v>25</v>
      </c>
      <c r="S148" s="133">
        <f>IF(INDEX('#建筑消耗和buff配置索引'!C:C,MATCH(F148,'#建筑消耗和buff配置索引'!M:M,0))=0,1,INDEX('#建筑消耗和buff配置索引'!C:C,MATCH(F148,'#建筑消耗和buff配置索引'!M:M,0)))</f>
        <v>2</v>
      </c>
      <c r="T148" s="133">
        <v>0</v>
      </c>
      <c r="U148" s="133">
        <v>0</v>
      </c>
      <c r="V148" s="133" t="str">
        <f>IF(E148=1,IF(INDEX('#建筑消耗和buff配置索引'!BY:BY,MATCH(D148,'#建筑消耗和buff配置索引'!A:A,0))=0,"",INDEX('#建筑消耗和buff配置索引'!BY:BY,MATCH(D148,'#建筑消耗和buff配置索引'!A:A,0))),"")</f>
        <v/>
      </c>
      <c r="W148" s="133" t="str">
        <f>IF(E148=1,IF(INDEX('#建筑消耗和buff配置索引'!BZ:BZ,MATCH(D148,'#建筑消耗和buff配置索引'!A:A,0))=0,"",INDEX('#建筑消耗和buff配置索引'!BZ:BZ,MATCH(D148,'#建筑消耗和buff配置索引'!A:A,0))),"")</f>
        <v/>
      </c>
      <c r="AA148" s="133">
        <f>INDEX('#建筑消耗和buff配置索引'!AO:AO,MATCH($F148,'#建筑消耗和buff配置索引'!$M:$M,0))</f>
        <v>60589</v>
      </c>
      <c r="AB148" s="133">
        <f>IF(INDEX('#建筑消耗和buff配置索引'!AR:AR,MATCH($F148,'#建筑消耗和buff配置索引'!$M:$M,0))=0,"",INDEX('#建筑消耗和buff配置索引'!AR:AR,MATCH($F148,'#建筑消耗和buff配置索引'!$M:$M,0)))</f>
        <v>1018</v>
      </c>
      <c r="AC148" s="133">
        <f>IF(AB148="","",INDEX('#建筑消耗和buff配置索引'!AS:AS,MATCH($F148,'#建筑消耗和buff配置索引'!$M:$M,0)))</f>
        <v>13000</v>
      </c>
      <c r="AF148" s="133" t="str">
        <f>IF(INDEX('#建筑消耗和buff配置索引'!AW:AW,MATCH($F148,'#建筑消耗和buff配置索引'!$M:$M,0))=0,"",INDEX('#建筑消耗和buff配置索引'!AW:AW,MATCH($F148,'#建筑消耗和buff配置索引'!$M:$M,0)))</f>
        <v/>
      </c>
      <c r="AG148" s="133" t="str">
        <f>IF(AF148="","",INDEX('#建筑消耗和buff配置索引'!AX:AX,MATCH($F148,'#建筑消耗和buff配置索引'!$M:$M,0)))</f>
        <v/>
      </c>
      <c r="AJ148" s="133" t="str">
        <f>IF(INDEX('#建筑消耗和buff配置索引'!BB:BB,MATCH($F148,'#建筑消耗和buff配置索引'!$M:$M,0))=0,"",INDEX('#建筑消耗和buff配置索引'!BB:BB,MATCH($F148,'#建筑消耗和buff配置索引'!$M:$M,0)))</f>
        <v/>
      </c>
      <c r="AK148" s="133" t="str">
        <f>IF(AJ148="","",INDEX('#建筑消耗和buff配置索引'!BC:BC,MATCH($F148,'#建筑消耗和buff配置索引'!$M:$M,0)))</f>
        <v/>
      </c>
      <c r="AN148" s="133" t="str">
        <f>IF(INDEX('#建筑消耗和buff配置索引'!BG:BG,MATCH($F148,'#建筑消耗和buff配置索引'!$M:$M,0))=0,"",INDEX('#建筑消耗和buff配置索引'!BG:BG,MATCH($F148,'#建筑消耗和buff配置索引'!$M:$M,0)))</f>
        <v/>
      </c>
      <c r="AO148" s="133" t="str">
        <f>IF(AN148="","",INDEX('#建筑消耗和buff配置索引'!BH:BH,MATCH($F148,'#建筑消耗和buff配置索引'!$M:$M,0)))</f>
        <v/>
      </c>
      <c r="AR148" s="133" t="str">
        <f>IF(INDEX('#建筑消耗和buff配置索引'!BK:BK,MATCH($F148,'#建筑消耗和buff配置索引'!$M:$M,0))=0,"",INDEX('#建筑消耗和buff配置索引'!BK:BK,MATCH($F148,'#建筑消耗和buff配置索引'!$M:$M,0)))</f>
        <v/>
      </c>
      <c r="AS148" s="133" t="str">
        <f>IF(AR148="","",INDEX('#建筑消耗和buff配置索引'!BL:BL,MATCH($F148,'#建筑消耗和buff配置索引'!$M:$M,0)))</f>
        <v/>
      </c>
      <c r="AV148" s="133" t="str">
        <f>IF(INDEX('#建筑消耗和buff配置索引'!BO:BO,MATCH($F148,'#建筑消耗和buff配置索引'!$M:$M,0))=0,"",INDEX('#建筑消耗和buff配置索引'!BO:BO,MATCH($F148,'#建筑消耗和buff配置索引'!$M:$M,0)))</f>
        <v/>
      </c>
      <c r="AW148" s="133" t="str">
        <f>IF(AV148="","",INDEX('#建筑消耗和buff配置索引'!BP:BP,MATCH($F148,'#建筑消耗和buff配置索引'!$M:$M,0)))</f>
        <v/>
      </c>
      <c r="AZ148" s="133" t="str">
        <f>IF(INDEX('#建筑消耗和buff配置索引'!BS:BS,MATCH($F148,'#建筑消耗和buff配置索引'!$M:$M,0))=0,"",INDEX('#建筑消耗和buff配置索引'!BS:BS,MATCH($F148,'#建筑消耗和buff配置索引'!$M:$M,0)))</f>
        <v/>
      </c>
      <c r="BA148" s="133" t="str">
        <f>IF(AZ148="","",INDEX('#建筑消耗和buff配置索引'!BT:BT,MATCH($F148,'#建筑消耗和buff配置索引'!$M:$M,0)))</f>
        <v/>
      </c>
      <c r="BD148" s="133" t="str">
        <f>IF(INDEX('#建筑消耗和buff配置索引'!BW:BW,MATCH($F148,'#建筑消耗和buff配置索引'!$M:$M,0))=0,"",INDEX('#建筑消耗和buff配置索引'!BW:BW,MATCH($F148,'#建筑消耗和buff配置索引'!$M:$M,0)))</f>
        <v/>
      </c>
      <c r="BE148" s="133" t="str">
        <f>IF(BD148="","",INDEX('#建筑消耗和buff配置索引'!BX:BX,MATCH($F148,'#建筑消耗和buff配置索引'!$M:$M,0)))</f>
        <v/>
      </c>
      <c r="BI148" s="133">
        <v>8</v>
      </c>
      <c r="BO148" s="133">
        <v>5</v>
      </c>
      <c r="BP148" s="133" t="s">
        <v>1360</v>
      </c>
      <c r="BQ148" s="133">
        <v>10003602</v>
      </c>
      <c r="BR148" s="133">
        <v>300</v>
      </c>
    </row>
    <row r="149" spans="1:70" s="133" customFormat="1">
      <c r="A149" s="133">
        <v>2050026</v>
      </c>
      <c r="B149" s="133">
        <v>146</v>
      </c>
      <c r="C149" s="133">
        <v>205</v>
      </c>
      <c r="D149" s="133" t="s">
        <v>249</v>
      </c>
      <c r="E149" s="133">
        <v>26</v>
      </c>
      <c r="F149" s="133" t="str">
        <f t="shared" si="4"/>
        <v>石矿场26</v>
      </c>
      <c r="H149" s="146"/>
      <c r="I149" s="133">
        <v>3</v>
      </c>
      <c r="J149" s="150">
        <f>INDEX('#建筑消耗和buff配置索引'!AH:AH,MATCH($F149,'#建筑消耗和buff配置索引'!$M:$M,0))</f>
        <v>155520</v>
      </c>
      <c r="K149" s="150">
        <f>INDEX('#建筑消耗和buff配置索引'!AA:AA,MATCH($F149,'#建筑消耗和buff配置索引'!$M:$M,0))</f>
        <v>2900000</v>
      </c>
      <c r="L149" s="150">
        <f>INDEX('#建筑消耗和buff配置索引'!AB:AB,MATCH($F149,'#建筑消耗和buff配置索引'!$M:$M,0))</f>
        <v>2900000</v>
      </c>
      <c r="M149" s="150">
        <f>INDEX('#建筑消耗和buff配置索引'!AC:AC,MATCH($F149,'#建筑消耗和buff配置索引'!$M:$M,0))</f>
        <v>0</v>
      </c>
      <c r="N149" s="150">
        <f>INDEX('#建筑消耗和buff配置索引'!AD:AD,MATCH($F149,'#建筑消耗和buff配置索引'!$M:$M,0))</f>
        <v>2900000</v>
      </c>
      <c r="O149" s="150" t="str">
        <f>IF(INDEX('#建筑消耗和buff配置索引'!T:T,MATCH($F149,'#建筑消耗和buff配置索引'!$M:$M,0))=0,"",INDEX('#建筑消耗和buff配置索引'!T:T,MATCH($F149,'#建筑消耗和buff配置索引'!$M:$M,0)))</f>
        <v/>
      </c>
      <c r="P149" s="133" t="str">
        <f>IF(INDEX('#建筑消耗和buff配置索引'!U:U,MATCH($F149,'#建筑消耗和buff配置索引'!$M:$M,0))=0,"",INDEX('#建筑消耗和buff配置索引'!U:U,MATCH($F149,'#建筑消耗和buff配置索引'!$M:$M,0)))</f>
        <v/>
      </c>
      <c r="Q149" s="133" t="str">
        <f>IF(INDEX('#建筑消耗和buff配置索引'!K:K,MATCH($F149,'#建筑消耗和buff配置索引'!$M:$M,0))=0,"",INDEX('#建筑消耗和buff配置索引'!K:K,MATCH($F149,'#建筑消耗和buff配置索引'!$M:$M,0)))</f>
        <v>201</v>
      </c>
      <c r="R149" s="133" t="str">
        <f>IF(INDEX('#建筑消耗和buff配置索引'!L:L,MATCH($F149,'#建筑消耗和buff配置索引'!$M:$M,0))=0,"",INDEX('#建筑消耗和buff配置索引'!L:L,MATCH($F149,'#建筑消耗和buff配置索引'!$M:$M,0)))</f>
        <v>26</v>
      </c>
      <c r="S149" s="133">
        <f>IF(INDEX('#建筑消耗和buff配置索引'!C:C,MATCH(F149,'#建筑消耗和buff配置索引'!M:M,0))=0,1,INDEX('#建筑消耗和buff配置索引'!C:C,MATCH(F149,'#建筑消耗和buff配置索引'!M:M,0)))</f>
        <v>2</v>
      </c>
      <c r="T149" s="133">
        <v>0</v>
      </c>
      <c r="U149" s="133">
        <v>0</v>
      </c>
      <c r="V149" s="133" t="str">
        <f>IF(E149=1,IF(INDEX('#建筑消耗和buff配置索引'!BY:BY,MATCH(D149,'#建筑消耗和buff配置索引'!A:A,0))=0,"",INDEX('#建筑消耗和buff配置索引'!BY:BY,MATCH(D149,'#建筑消耗和buff配置索引'!A:A,0))),"")</f>
        <v/>
      </c>
      <c r="W149" s="133" t="str">
        <f>IF(E149=1,IF(INDEX('#建筑消耗和buff配置索引'!BZ:BZ,MATCH(D149,'#建筑消耗和buff配置索引'!A:A,0))=0,"",INDEX('#建筑消耗和buff配置索引'!BZ:BZ,MATCH(D149,'#建筑消耗和buff配置索引'!A:A,0))),"")</f>
        <v/>
      </c>
      <c r="AA149" s="133">
        <f>INDEX('#建筑消耗和buff配置索引'!AO:AO,MATCH($F149,'#建筑消耗和buff配置索引'!$M:$M,0))</f>
        <v>77856</v>
      </c>
      <c r="AB149" s="133">
        <f>IF(INDEX('#建筑消耗和buff配置索引'!AR:AR,MATCH($F149,'#建筑消耗和buff配置索引'!$M:$M,0))=0,"",INDEX('#建筑消耗和buff配置索引'!AR:AR,MATCH($F149,'#建筑消耗和buff配置索引'!$M:$M,0)))</f>
        <v>1018</v>
      </c>
      <c r="AC149" s="133">
        <f>IF(AB149="","",INDEX('#建筑消耗和buff配置索引'!AS:AS,MATCH($F149,'#建筑消耗和buff配置索引'!$M:$M,0)))</f>
        <v>14000</v>
      </c>
      <c r="AF149" s="133" t="str">
        <f>IF(INDEX('#建筑消耗和buff配置索引'!AW:AW,MATCH($F149,'#建筑消耗和buff配置索引'!$M:$M,0))=0,"",INDEX('#建筑消耗和buff配置索引'!AW:AW,MATCH($F149,'#建筑消耗和buff配置索引'!$M:$M,0)))</f>
        <v/>
      </c>
      <c r="AG149" s="133" t="str">
        <f>IF(AF149="","",INDEX('#建筑消耗和buff配置索引'!AX:AX,MATCH($F149,'#建筑消耗和buff配置索引'!$M:$M,0)))</f>
        <v/>
      </c>
      <c r="AJ149" s="133" t="str">
        <f>IF(INDEX('#建筑消耗和buff配置索引'!BB:BB,MATCH($F149,'#建筑消耗和buff配置索引'!$M:$M,0))=0,"",INDEX('#建筑消耗和buff配置索引'!BB:BB,MATCH($F149,'#建筑消耗和buff配置索引'!$M:$M,0)))</f>
        <v/>
      </c>
      <c r="AK149" s="133" t="str">
        <f>IF(AJ149="","",INDEX('#建筑消耗和buff配置索引'!BC:BC,MATCH($F149,'#建筑消耗和buff配置索引'!$M:$M,0)))</f>
        <v/>
      </c>
      <c r="AN149" s="133" t="str">
        <f>IF(INDEX('#建筑消耗和buff配置索引'!BG:BG,MATCH($F149,'#建筑消耗和buff配置索引'!$M:$M,0))=0,"",INDEX('#建筑消耗和buff配置索引'!BG:BG,MATCH($F149,'#建筑消耗和buff配置索引'!$M:$M,0)))</f>
        <v/>
      </c>
      <c r="AO149" s="133" t="str">
        <f>IF(AN149="","",INDEX('#建筑消耗和buff配置索引'!BH:BH,MATCH($F149,'#建筑消耗和buff配置索引'!$M:$M,0)))</f>
        <v/>
      </c>
      <c r="AR149" s="133" t="str">
        <f>IF(INDEX('#建筑消耗和buff配置索引'!BK:BK,MATCH($F149,'#建筑消耗和buff配置索引'!$M:$M,0))=0,"",INDEX('#建筑消耗和buff配置索引'!BK:BK,MATCH($F149,'#建筑消耗和buff配置索引'!$M:$M,0)))</f>
        <v/>
      </c>
      <c r="AS149" s="133" t="str">
        <f>IF(AR149="","",INDEX('#建筑消耗和buff配置索引'!BL:BL,MATCH($F149,'#建筑消耗和buff配置索引'!$M:$M,0)))</f>
        <v/>
      </c>
      <c r="AV149" s="133" t="str">
        <f>IF(INDEX('#建筑消耗和buff配置索引'!BO:BO,MATCH($F149,'#建筑消耗和buff配置索引'!$M:$M,0))=0,"",INDEX('#建筑消耗和buff配置索引'!BO:BO,MATCH($F149,'#建筑消耗和buff配置索引'!$M:$M,0)))</f>
        <v/>
      </c>
      <c r="AW149" s="133" t="str">
        <f>IF(AV149="","",INDEX('#建筑消耗和buff配置索引'!BP:BP,MATCH($F149,'#建筑消耗和buff配置索引'!$M:$M,0)))</f>
        <v/>
      </c>
      <c r="AZ149" s="133" t="str">
        <f>IF(INDEX('#建筑消耗和buff配置索引'!BS:BS,MATCH($F149,'#建筑消耗和buff配置索引'!$M:$M,0))=0,"",INDEX('#建筑消耗和buff配置索引'!BS:BS,MATCH($F149,'#建筑消耗和buff配置索引'!$M:$M,0)))</f>
        <v/>
      </c>
      <c r="BA149" s="133" t="str">
        <f>IF(AZ149="","",INDEX('#建筑消耗和buff配置索引'!BT:BT,MATCH($F149,'#建筑消耗和buff配置索引'!$M:$M,0)))</f>
        <v/>
      </c>
      <c r="BD149" s="133" t="str">
        <f>IF(INDEX('#建筑消耗和buff配置索引'!BW:BW,MATCH($F149,'#建筑消耗和buff配置索引'!$M:$M,0))=0,"",INDEX('#建筑消耗和buff配置索引'!BW:BW,MATCH($F149,'#建筑消耗和buff配置索引'!$M:$M,0)))</f>
        <v/>
      </c>
      <c r="BE149" s="133" t="str">
        <f>IF(BD149="","",INDEX('#建筑消耗和buff配置索引'!BX:BX,MATCH($F149,'#建筑消耗和buff配置索引'!$M:$M,0)))</f>
        <v/>
      </c>
      <c r="BI149" s="133">
        <v>8</v>
      </c>
      <c r="BO149" s="133">
        <v>5</v>
      </c>
      <c r="BP149" s="133" t="s">
        <v>1360</v>
      </c>
      <c r="BQ149" s="133">
        <v>10003602</v>
      </c>
      <c r="BR149" s="133">
        <v>300</v>
      </c>
    </row>
    <row r="150" spans="1:70" s="133" customFormat="1">
      <c r="A150" s="133">
        <v>2050027</v>
      </c>
      <c r="B150" s="133">
        <v>147</v>
      </c>
      <c r="C150" s="133">
        <v>205</v>
      </c>
      <c r="D150" s="133" t="s">
        <v>249</v>
      </c>
      <c r="E150" s="133">
        <v>27</v>
      </c>
      <c r="F150" s="133" t="str">
        <f t="shared" si="4"/>
        <v>石矿场27</v>
      </c>
      <c r="H150" s="146"/>
      <c r="I150" s="133">
        <v>3</v>
      </c>
      <c r="J150" s="150">
        <f>INDEX('#建筑消耗和buff配置索引'!AH:AH,MATCH($F150,'#建筑消耗和buff配置索引'!$M:$M,0))</f>
        <v>190080</v>
      </c>
      <c r="K150" s="150">
        <f>INDEX('#建筑消耗和buff配置索引'!AA:AA,MATCH($F150,'#建筑消耗和buff配置索引'!$M:$M,0))</f>
        <v>3700000</v>
      </c>
      <c r="L150" s="150">
        <f>INDEX('#建筑消耗和buff配置索引'!AB:AB,MATCH($F150,'#建筑消耗和buff配置索引'!$M:$M,0))</f>
        <v>3700000</v>
      </c>
      <c r="M150" s="150">
        <f>INDEX('#建筑消耗和buff配置索引'!AC:AC,MATCH($F150,'#建筑消耗和buff配置索引'!$M:$M,0))</f>
        <v>0</v>
      </c>
      <c r="N150" s="150">
        <f>INDEX('#建筑消耗和buff配置索引'!AD:AD,MATCH($F150,'#建筑消耗和buff配置索引'!$M:$M,0))</f>
        <v>3700000</v>
      </c>
      <c r="O150" s="150" t="str">
        <f>IF(INDEX('#建筑消耗和buff配置索引'!T:T,MATCH($F150,'#建筑消耗和buff配置索引'!$M:$M,0))=0,"",INDEX('#建筑消耗和buff配置索引'!T:T,MATCH($F150,'#建筑消耗和buff配置索引'!$M:$M,0)))</f>
        <v/>
      </c>
      <c r="P150" s="133" t="str">
        <f>IF(INDEX('#建筑消耗和buff配置索引'!U:U,MATCH($F150,'#建筑消耗和buff配置索引'!$M:$M,0))=0,"",INDEX('#建筑消耗和buff配置索引'!U:U,MATCH($F150,'#建筑消耗和buff配置索引'!$M:$M,0)))</f>
        <v/>
      </c>
      <c r="Q150" s="133" t="str">
        <f>IF(INDEX('#建筑消耗和buff配置索引'!K:K,MATCH($F150,'#建筑消耗和buff配置索引'!$M:$M,0))=0,"",INDEX('#建筑消耗和buff配置索引'!K:K,MATCH($F150,'#建筑消耗和buff配置索引'!$M:$M,0)))</f>
        <v>201</v>
      </c>
      <c r="R150" s="133" t="str">
        <f>IF(INDEX('#建筑消耗和buff配置索引'!L:L,MATCH($F150,'#建筑消耗和buff配置索引'!$M:$M,0))=0,"",INDEX('#建筑消耗和buff配置索引'!L:L,MATCH($F150,'#建筑消耗和buff配置索引'!$M:$M,0)))</f>
        <v>27</v>
      </c>
      <c r="S150" s="133">
        <f>IF(INDEX('#建筑消耗和buff配置索引'!C:C,MATCH(F150,'#建筑消耗和buff配置索引'!M:M,0))=0,1,INDEX('#建筑消耗和buff配置索引'!C:C,MATCH(F150,'#建筑消耗和buff配置索引'!M:M,0)))</f>
        <v>2</v>
      </c>
      <c r="T150" s="133">
        <v>0</v>
      </c>
      <c r="U150" s="133">
        <v>0</v>
      </c>
      <c r="V150" s="133" t="str">
        <f>IF(E150=1,IF(INDEX('#建筑消耗和buff配置索引'!BY:BY,MATCH(D150,'#建筑消耗和buff配置索引'!A:A,0))=0,"",INDEX('#建筑消耗和buff配置索引'!BY:BY,MATCH(D150,'#建筑消耗和buff配置索引'!A:A,0))),"")</f>
        <v/>
      </c>
      <c r="W150" s="133" t="str">
        <f>IF(E150=1,IF(INDEX('#建筑消耗和buff配置索引'!BZ:BZ,MATCH(D150,'#建筑消耗和buff配置索引'!A:A,0))=0,"",INDEX('#建筑消耗和buff配置索引'!BZ:BZ,MATCH(D150,'#建筑消耗和buff配置索引'!A:A,0))),"")</f>
        <v/>
      </c>
      <c r="AA150" s="133">
        <f>INDEX('#建筑消耗和buff配置索引'!AO:AO,MATCH($F150,'#建筑消耗和buff配置索引'!$M:$M,0))</f>
        <v>99957</v>
      </c>
      <c r="AB150" s="133">
        <f>IF(INDEX('#建筑消耗和buff配置索引'!AR:AR,MATCH($F150,'#建筑消耗和buff配置索引'!$M:$M,0))=0,"",INDEX('#建筑消耗和buff配置索引'!AR:AR,MATCH($F150,'#建筑消耗和buff配置索引'!$M:$M,0)))</f>
        <v>1018</v>
      </c>
      <c r="AC150" s="133">
        <f>IF(AB150="","",INDEX('#建筑消耗和buff配置索引'!AS:AS,MATCH($F150,'#建筑消耗和buff配置索引'!$M:$M,0)))</f>
        <v>15200</v>
      </c>
      <c r="AF150" s="133" t="str">
        <f>IF(INDEX('#建筑消耗和buff配置索引'!AW:AW,MATCH($F150,'#建筑消耗和buff配置索引'!$M:$M,0))=0,"",INDEX('#建筑消耗和buff配置索引'!AW:AW,MATCH($F150,'#建筑消耗和buff配置索引'!$M:$M,0)))</f>
        <v/>
      </c>
      <c r="AG150" s="133" t="str">
        <f>IF(AF150="","",INDEX('#建筑消耗和buff配置索引'!AX:AX,MATCH($F150,'#建筑消耗和buff配置索引'!$M:$M,0)))</f>
        <v/>
      </c>
      <c r="AJ150" s="133" t="str">
        <f>IF(INDEX('#建筑消耗和buff配置索引'!BB:BB,MATCH($F150,'#建筑消耗和buff配置索引'!$M:$M,0))=0,"",INDEX('#建筑消耗和buff配置索引'!BB:BB,MATCH($F150,'#建筑消耗和buff配置索引'!$M:$M,0)))</f>
        <v/>
      </c>
      <c r="AK150" s="133" t="str">
        <f>IF(AJ150="","",INDEX('#建筑消耗和buff配置索引'!BC:BC,MATCH($F150,'#建筑消耗和buff配置索引'!$M:$M,0)))</f>
        <v/>
      </c>
      <c r="AN150" s="133" t="str">
        <f>IF(INDEX('#建筑消耗和buff配置索引'!BG:BG,MATCH($F150,'#建筑消耗和buff配置索引'!$M:$M,0))=0,"",INDEX('#建筑消耗和buff配置索引'!BG:BG,MATCH($F150,'#建筑消耗和buff配置索引'!$M:$M,0)))</f>
        <v/>
      </c>
      <c r="AO150" s="133" t="str">
        <f>IF(AN150="","",INDEX('#建筑消耗和buff配置索引'!BH:BH,MATCH($F150,'#建筑消耗和buff配置索引'!$M:$M,0)))</f>
        <v/>
      </c>
      <c r="AR150" s="133" t="str">
        <f>IF(INDEX('#建筑消耗和buff配置索引'!BK:BK,MATCH($F150,'#建筑消耗和buff配置索引'!$M:$M,0))=0,"",INDEX('#建筑消耗和buff配置索引'!BK:BK,MATCH($F150,'#建筑消耗和buff配置索引'!$M:$M,0)))</f>
        <v/>
      </c>
      <c r="AS150" s="133" t="str">
        <f>IF(AR150="","",INDEX('#建筑消耗和buff配置索引'!BL:BL,MATCH($F150,'#建筑消耗和buff配置索引'!$M:$M,0)))</f>
        <v/>
      </c>
      <c r="AV150" s="133" t="str">
        <f>IF(INDEX('#建筑消耗和buff配置索引'!BO:BO,MATCH($F150,'#建筑消耗和buff配置索引'!$M:$M,0))=0,"",INDEX('#建筑消耗和buff配置索引'!BO:BO,MATCH($F150,'#建筑消耗和buff配置索引'!$M:$M,0)))</f>
        <v/>
      </c>
      <c r="AW150" s="133" t="str">
        <f>IF(AV150="","",INDEX('#建筑消耗和buff配置索引'!BP:BP,MATCH($F150,'#建筑消耗和buff配置索引'!$M:$M,0)))</f>
        <v/>
      </c>
      <c r="AZ150" s="133" t="str">
        <f>IF(INDEX('#建筑消耗和buff配置索引'!BS:BS,MATCH($F150,'#建筑消耗和buff配置索引'!$M:$M,0))=0,"",INDEX('#建筑消耗和buff配置索引'!BS:BS,MATCH($F150,'#建筑消耗和buff配置索引'!$M:$M,0)))</f>
        <v/>
      </c>
      <c r="BA150" s="133" t="str">
        <f>IF(AZ150="","",INDEX('#建筑消耗和buff配置索引'!BT:BT,MATCH($F150,'#建筑消耗和buff配置索引'!$M:$M,0)))</f>
        <v/>
      </c>
      <c r="BD150" s="133" t="str">
        <f>IF(INDEX('#建筑消耗和buff配置索引'!BW:BW,MATCH($F150,'#建筑消耗和buff配置索引'!$M:$M,0))=0,"",INDEX('#建筑消耗和buff配置索引'!BW:BW,MATCH($F150,'#建筑消耗和buff配置索引'!$M:$M,0)))</f>
        <v/>
      </c>
      <c r="BE150" s="133" t="str">
        <f>IF(BD150="","",INDEX('#建筑消耗和buff配置索引'!BX:BX,MATCH($F150,'#建筑消耗和buff配置索引'!$M:$M,0)))</f>
        <v/>
      </c>
      <c r="BI150" s="133">
        <v>8</v>
      </c>
      <c r="BO150" s="133">
        <v>5</v>
      </c>
      <c r="BP150" s="133" t="s">
        <v>1360</v>
      </c>
      <c r="BQ150" s="133">
        <v>10003602</v>
      </c>
      <c r="BR150" s="133">
        <v>300</v>
      </c>
    </row>
    <row r="151" spans="1:70" s="133" customFormat="1">
      <c r="A151" s="133">
        <v>2050028</v>
      </c>
      <c r="B151" s="133">
        <v>148</v>
      </c>
      <c r="C151" s="133">
        <v>205</v>
      </c>
      <c r="D151" s="133" t="s">
        <v>249</v>
      </c>
      <c r="E151" s="133">
        <v>28</v>
      </c>
      <c r="F151" s="133" t="str">
        <f t="shared" si="4"/>
        <v>石矿场28</v>
      </c>
      <c r="H151" s="146"/>
      <c r="I151" s="133">
        <v>3</v>
      </c>
      <c r="J151" s="150">
        <f>INDEX('#建筑消耗和buff配置索引'!AH:AH,MATCH($F151,'#建筑消耗和buff配置索引'!$M:$M,0))</f>
        <v>233280</v>
      </c>
      <c r="K151" s="150">
        <f>INDEX('#建筑消耗和buff配置索引'!AA:AA,MATCH($F151,'#建筑消耗和buff配置索引'!$M:$M,0))</f>
        <v>4700000</v>
      </c>
      <c r="L151" s="150">
        <f>INDEX('#建筑消耗和buff配置索引'!AB:AB,MATCH($F151,'#建筑消耗和buff配置索引'!$M:$M,0))</f>
        <v>4700000</v>
      </c>
      <c r="M151" s="150">
        <f>INDEX('#建筑消耗和buff配置索引'!AC:AC,MATCH($F151,'#建筑消耗和buff配置索引'!$M:$M,0))</f>
        <v>0</v>
      </c>
      <c r="N151" s="150">
        <f>INDEX('#建筑消耗和buff配置索引'!AD:AD,MATCH($F151,'#建筑消耗和buff配置索引'!$M:$M,0))</f>
        <v>4700000</v>
      </c>
      <c r="O151" s="150" t="str">
        <f>IF(INDEX('#建筑消耗和buff配置索引'!T:T,MATCH($F151,'#建筑消耗和buff配置索引'!$M:$M,0))=0,"",INDEX('#建筑消耗和buff配置索引'!T:T,MATCH($F151,'#建筑消耗和buff配置索引'!$M:$M,0)))</f>
        <v/>
      </c>
      <c r="P151" s="133" t="str">
        <f>IF(INDEX('#建筑消耗和buff配置索引'!U:U,MATCH($F151,'#建筑消耗和buff配置索引'!$M:$M,0))=0,"",INDEX('#建筑消耗和buff配置索引'!U:U,MATCH($F151,'#建筑消耗和buff配置索引'!$M:$M,0)))</f>
        <v/>
      </c>
      <c r="Q151" s="133" t="str">
        <f>IF(INDEX('#建筑消耗和buff配置索引'!K:K,MATCH($F151,'#建筑消耗和buff配置索引'!$M:$M,0))=0,"",INDEX('#建筑消耗和buff配置索引'!K:K,MATCH($F151,'#建筑消耗和buff配置索引'!$M:$M,0)))</f>
        <v>201</v>
      </c>
      <c r="R151" s="133" t="str">
        <f>IF(INDEX('#建筑消耗和buff配置索引'!L:L,MATCH($F151,'#建筑消耗和buff配置索引'!$M:$M,0))=0,"",INDEX('#建筑消耗和buff配置索引'!L:L,MATCH($F151,'#建筑消耗和buff配置索引'!$M:$M,0)))</f>
        <v>28</v>
      </c>
      <c r="S151" s="133">
        <f>IF(INDEX('#建筑消耗和buff配置索引'!C:C,MATCH(F151,'#建筑消耗和buff配置索引'!M:M,0))=0,1,INDEX('#建筑消耗和buff配置索引'!C:C,MATCH(F151,'#建筑消耗和buff配置索引'!M:M,0)))</f>
        <v>2</v>
      </c>
      <c r="T151" s="133">
        <v>0</v>
      </c>
      <c r="U151" s="133">
        <v>0</v>
      </c>
      <c r="V151" s="133" t="str">
        <f>IF(E151=1,IF(INDEX('#建筑消耗和buff配置索引'!BY:BY,MATCH(D151,'#建筑消耗和buff配置索引'!A:A,0))=0,"",INDEX('#建筑消耗和buff配置索引'!BY:BY,MATCH(D151,'#建筑消耗和buff配置索引'!A:A,0))),"")</f>
        <v/>
      </c>
      <c r="W151" s="133" t="str">
        <f>IF(E151=1,IF(INDEX('#建筑消耗和buff配置索引'!BZ:BZ,MATCH(D151,'#建筑消耗和buff配置索引'!A:A,0))=0,"",INDEX('#建筑消耗和buff配置索引'!BZ:BZ,MATCH(D151,'#建筑消耗和buff配置索引'!A:A,0))),"")</f>
        <v/>
      </c>
      <c r="AA151" s="133">
        <f>INDEX('#建筑消耗和buff配置索引'!AO:AO,MATCH($F151,'#建筑消耗和buff配置索引'!$M:$M,0))</f>
        <v>128246</v>
      </c>
      <c r="AB151" s="133">
        <f>IF(INDEX('#建筑消耗和buff配置索引'!AR:AR,MATCH($F151,'#建筑消耗和buff配置索引'!$M:$M,0))=0,"",INDEX('#建筑消耗和buff配置索引'!AR:AR,MATCH($F151,'#建筑消耗和buff配置索引'!$M:$M,0)))</f>
        <v>1018</v>
      </c>
      <c r="AC151" s="133">
        <f>IF(AB151="","",INDEX('#建筑消耗和buff配置索引'!AS:AS,MATCH($F151,'#建筑消耗和buff配置索引'!$M:$M,0)))</f>
        <v>16600</v>
      </c>
      <c r="AF151" s="133" t="str">
        <f>IF(INDEX('#建筑消耗和buff配置索引'!AW:AW,MATCH($F151,'#建筑消耗和buff配置索引'!$M:$M,0))=0,"",INDEX('#建筑消耗和buff配置索引'!AW:AW,MATCH($F151,'#建筑消耗和buff配置索引'!$M:$M,0)))</f>
        <v/>
      </c>
      <c r="AG151" s="133" t="str">
        <f>IF(AF151="","",INDEX('#建筑消耗和buff配置索引'!AX:AX,MATCH($F151,'#建筑消耗和buff配置索引'!$M:$M,0)))</f>
        <v/>
      </c>
      <c r="AJ151" s="133" t="str">
        <f>IF(INDEX('#建筑消耗和buff配置索引'!BB:BB,MATCH($F151,'#建筑消耗和buff配置索引'!$M:$M,0))=0,"",INDEX('#建筑消耗和buff配置索引'!BB:BB,MATCH($F151,'#建筑消耗和buff配置索引'!$M:$M,0)))</f>
        <v/>
      </c>
      <c r="AK151" s="133" t="str">
        <f>IF(AJ151="","",INDEX('#建筑消耗和buff配置索引'!BC:BC,MATCH($F151,'#建筑消耗和buff配置索引'!$M:$M,0)))</f>
        <v/>
      </c>
      <c r="AN151" s="133" t="str">
        <f>IF(INDEX('#建筑消耗和buff配置索引'!BG:BG,MATCH($F151,'#建筑消耗和buff配置索引'!$M:$M,0))=0,"",INDEX('#建筑消耗和buff配置索引'!BG:BG,MATCH($F151,'#建筑消耗和buff配置索引'!$M:$M,0)))</f>
        <v/>
      </c>
      <c r="AO151" s="133" t="str">
        <f>IF(AN151="","",INDEX('#建筑消耗和buff配置索引'!BH:BH,MATCH($F151,'#建筑消耗和buff配置索引'!$M:$M,0)))</f>
        <v/>
      </c>
      <c r="AR151" s="133" t="str">
        <f>IF(INDEX('#建筑消耗和buff配置索引'!BK:BK,MATCH($F151,'#建筑消耗和buff配置索引'!$M:$M,0))=0,"",INDEX('#建筑消耗和buff配置索引'!BK:BK,MATCH($F151,'#建筑消耗和buff配置索引'!$M:$M,0)))</f>
        <v/>
      </c>
      <c r="AS151" s="133" t="str">
        <f>IF(AR151="","",INDEX('#建筑消耗和buff配置索引'!BL:BL,MATCH($F151,'#建筑消耗和buff配置索引'!$M:$M,0)))</f>
        <v/>
      </c>
      <c r="AV151" s="133" t="str">
        <f>IF(INDEX('#建筑消耗和buff配置索引'!BO:BO,MATCH($F151,'#建筑消耗和buff配置索引'!$M:$M,0))=0,"",INDEX('#建筑消耗和buff配置索引'!BO:BO,MATCH($F151,'#建筑消耗和buff配置索引'!$M:$M,0)))</f>
        <v/>
      </c>
      <c r="AW151" s="133" t="str">
        <f>IF(AV151="","",INDEX('#建筑消耗和buff配置索引'!BP:BP,MATCH($F151,'#建筑消耗和buff配置索引'!$M:$M,0)))</f>
        <v/>
      </c>
      <c r="AZ151" s="133" t="str">
        <f>IF(INDEX('#建筑消耗和buff配置索引'!BS:BS,MATCH($F151,'#建筑消耗和buff配置索引'!$M:$M,0))=0,"",INDEX('#建筑消耗和buff配置索引'!BS:BS,MATCH($F151,'#建筑消耗和buff配置索引'!$M:$M,0)))</f>
        <v/>
      </c>
      <c r="BA151" s="133" t="str">
        <f>IF(AZ151="","",INDEX('#建筑消耗和buff配置索引'!BT:BT,MATCH($F151,'#建筑消耗和buff配置索引'!$M:$M,0)))</f>
        <v/>
      </c>
      <c r="BD151" s="133" t="str">
        <f>IF(INDEX('#建筑消耗和buff配置索引'!BW:BW,MATCH($F151,'#建筑消耗和buff配置索引'!$M:$M,0))=0,"",INDEX('#建筑消耗和buff配置索引'!BW:BW,MATCH($F151,'#建筑消耗和buff配置索引'!$M:$M,0)))</f>
        <v/>
      </c>
      <c r="BE151" s="133" t="str">
        <f>IF(BD151="","",INDEX('#建筑消耗和buff配置索引'!BX:BX,MATCH($F151,'#建筑消耗和buff配置索引'!$M:$M,0)))</f>
        <v/>
      </c>
      <c r="BI151" s="133">
        <v>8</v>
      </c>
      <c r="BO151" s="133">
        <v>5</v>
      </c>
      <c r="BP151" s="133" t="s">
        <v>1360</v>
      </c>
      <c r="BQ151" s="133">
        <v>10003602</v>
      </c>
      <c r="BR151" s="133">
        <v>300</v>
      </c>
    </row>
    <row r="152" spans="1:70" s="133" customFormat="1">
      <c r="A152" s="133">
        <v>2050029</v>
      </c>
      <c r="B152" s="133">
        <v>149</v>
      </c>
      <c r="C152" s="133">
        <v>205</v>
      </c>
      <c r="D152" s="133" t="s">
        <v>249</v>
      </c>
      <c r="E152" s="133">
        <v>29</v>
      </c>
      <c r="F152" s="133" t="str">
        <f t="shared" si="4"/>
        <v>石矿场29</v>
      </c>
      <c r="H152" s="146"/>
      <c r="I152" s="133">
        <v>3</v>
      </c>
      <c r="J152" s="150">
        <f>INDEX('#建筑消耗和buff配置索引'!AH:AH,MATCH($F152,'#建筑消耗和buff配置索引'!$M:$M,0))</f>
        <v>285120</v>
      </c>
      <c r="K152" s="150">
        <f>INDEX('#建筑消耗和buff配置索引'!AA:AA,MATCH($F152,'#建筑消耗和buff配置索引'!$M:$M,0))</f>
        <v>6000000</v>
      </c>
      <c r="L152" s="150">
        <f>INDEX('#建筑消耗和buff配置索引'!AB:AB,MATCH($F152,'#建筑消耗和buff配置索引'!$M:$M,0))</f>
        <v>6000000</v>
      </c>
      <c r="M152" s="150">
        <f>INDEX('#建筑消耗和buff配置索引'!AC:AC,MATCH($F152,'#建筑消耗和buff配置索引'!$M:$M,0))</f>
        <v>0</v>
      </c>
      <c r="N152" s="150">
        <f>INDEX('#建筑消耗和buff配置索引'!AD:AD,MATCH($F152,'#建筑消耗和buff配置索引'!$M:$M,0))</f>
        <v>6000000</v>
      </c>
      <c r="O152" s="150" t="str">
        <f>IF(INDEX('#建筑消耗和buff配置索引'!T:T,MATCH($F152,'#建筑消耗和buff配置索引'!$M:$M,0))=0,"",INDEX('#建筑消耗和buff配置索引'!T:T,MATCH($F152,'#建筑消耗和buff配置索引'!$M:$M,0)))</f>
        <v/>
      </c>
      <c r="P152" s="133" t="str">
        <f>IF(INDEX('#建筑消耗和buff配置索引'!U:U,MATCH($F152,'#建筑消耗和buff配置索引'!$M:$M,0))=0,"",INDEX('#建筑消耗和buff配置索引'!U:U,MATCH($F152,'#建筑消耗和buff配置索引'!$M:$M,0)))</f>
        <v/>
      </c>
      <c r="Q152" s="133" t="str">
        <f>IF(INDEX('#建筑消耗和buff配置索引'!K:K,MATCH($F152,'#建筑消耗和buff配置索引'!$M:$M,0))=0,"",INDEX('#建筑消耗和buff配置索引'!K:K,MATCH($F152,'#建筑消耗和buff配置索引'!$M:$M,0)))</f>
        <v>201</v>
      </c>
      <c r="R152" s="133" t="str">
        <f>IF(INDEX('#建筑消耗和buff配置索引'!L:L,MATCH($F152,'#建筑消耗和buff配置索引'!$M:$M,0))=0,"",INDEX('#建筑消耗和buff配置索引'!L:L,MATCH($F152,'#建筑消耗和buff配置索引'!$M:$M,0)))</f>
        <v>29</v>
      </c>
      <c r="S152" s="133">
        <f>IF(INDEX('#建筑消耗和buff配置索引'!C:C,MATCH(F152,'#建筑消耗和buff配置索引'!M:M,0))=0,1,INDEX('#建筑消耗和buff配置索引'!C:C,MATCH(F152,'#建筑消耗和buff配置索引'!M:M,0)))</f>
        <v>2</v>
      </c>
      <c r="T152" s="133">
        <v>0</v>
      </c>
      <c r="U152" s="133">
        <v>0</v>
      </c>
      <c r="V152" s="133" t="str">
        <f>IF(E152=1,IF(INDEX('#建筑消耗和buff配置索引'!BY:BY,MATCH(D152,'#建筑消耗和buff配置索引'!A:A,0))=0,"",INDEX('#建筑消耗和buff配置索引'!BY:BY,MATCH(D152,'#建筑消耗和buff配置索引'!A:A,0))),"")</f>
        <v/>
      </c>
      <c r="W152" s="133" t="str">
        <f>IF(E152=1,IF(INDEX('#建筑消耗和buff配置索引'!BZ:BZ,MATCH(D152,'#建筑消耗和buff配置索引'!A:A,0))=0,"",INDEX('#建筑消耗和buff配置索引'!BZ:BZ,MATCH(D152,'#建筑消耗和buff配置索引'!A:A,0))),"")</f>
        <v/>
      </c>
      <c r="AA152" s="133">
        <f>INDEX('#建筑消耗和buff配置索引'!AO:AO,MATCH($F152,'#建筑消耗和buff配置索引'!$M:$M,0))</f>
        <v>164457</v>
      </c>
      <c r="AB152" s="133">
        <f>IF(INDEX('#建筑消耗和buff配置索引'!AR:AR,MATCH($F152,'#建筑消耗和buff配置索引'!$M:$M,0))=0,"",INDEX('#建筑消耗和buff配置索引'!AR:AR,MATCH($F152,'#建筑消耗和buff配置索引'!$M:$M,0)))</f>
        <v>1018</v>
      </c>
      <c r="AC152" s="133">
        <f>IF(AB152="","",INDEX('#建筑消耗和buff配置索引'!AS:AS,MATCH($F152,'#建筑消耗和buff配置索引'!$M:$M,0)))</f>
        <v>18200</v>
      </c>
      <c r="AF152" s="133" t="str">
        <f>IF(INDEX('#建筑消耗和buff配置索引'!AW:AW,MATCH($F152,'#建筑消耗和buff配置索引'!$M:$M,0))=0,"",INDEX('#建筑消耗和buff配置索引'!AW:AW,MATCH($F152,'#建筑消耗和buff配置索引'!$M:$M,0)))</f>
        <v/>
      </c>
      <c r="AG152" s="133" t="str">
        <f>IF(AF152="","",INDEX('#建筑消耗和buff配置索引'!AX:AX,MATCH($F152,'#建筑消耗和buff配置索引'!$M:$M,0)))</f>
        <v/>
      </c>
      <c r="AJ152" s="133" t="str">
        <f>IF(INDEX('#建筑消耗和buff配置索引'!BB:BB,MATCH($F152,'#建筑消耗和buff配置索引'!$M:$M,0))=0,"",INDEX('#建筑消耗和buff配置索引'!BB:BB,MATCH($F152,'#建筑消耗和buff配置索引'!$M:$M,0)))</f>
        <v/>
      </c>
      <c r="AK152" s="133" t="str">
        <f>IF(AJ152="","",INDEX('#建筑消耗和buff配置索引'!BC:BC,MATCH($F152,'#建筑消耗和buff配置索引'!$M:$M,0)))</f>
        <v/>
      </c>
      <c r="AN152" s="133" t="str">
        <f>IF(INDEX('#建筑消耗和buff配置索引'!BG:BG,MATCH($F152,'#建筑消耗和buff配置索引'!$M:$M,0))=0,"",INDEX('#建筑消耗和buff配置索引'!BG:BG,MATCH($F152,'#建筑消耗和buff配置索引'!$M:$M,0)))</f>
        <v/>
      </c>
      <c r="AO152" s="133" t="str">
        <f>IF(AN152="","",INDEX('#建筑消耗和buff配置索引'!BH:BH,MATCH($F152,'#建筑消耗和buff配置索引'!$M:$M,0)))</f>
        <v/>
      </c>
      <c r="AR152" s="133" t="str">
        <f>IF(INDEX('#建筑消耗和buff配置索引'!BK:BK,MATCH($F152,'#建筑消耗和buff配置索引'!$M:$M,0))=0,"",INDEX('#建筑消耗和buff配置索引'!BK:BK,MATCH($F152,'#建筑消耗和buff配置索引'!$M:$M,0)))</f>
        <v/>
      </c>
      <c r="AS152" s="133" t="str">
        <f>IF(AR152="","",INDEX('#建筑消耗和buff配置索引'!BL:BL,MATCH($F152,'#建筑消耗和buff配置索引'!$M:$M,0)))</f>
        <v/>
      </c>
      <c r="AV152" s="133" t="str">
        <f>IF(INDEX('#建筑消耗和buff配置索引'!BO:BO,MATCH($F152,'#建筑消耗和buff配置索引'!$M:$M,0))=0,"",INDEX('#建筑消耗和buff配置索引'!BO:BO,MATCH($F152,'#建筑消耗和buff配置索引'!$M:$M,0)))</f>
        <v/>
      </c>
      <c r="AW152" s="133" t="str">
        <f>IF(AV152="","",INDEX('#建筑消耗和buff配置索引'!BP:BP,MATCH($F152,'#建筑消耗和buff配置索引'!$M:$M,0)))</f>
        <v/>
      </c>
      <c r="AZ152" s="133" t="str">
        <f>IF(INDEX('#建筑消耗和buff配置索引'!BS:BS,MATCH($F152,'#建筑消耗和buff配置索引'!$M:$M,0))=0,"",INDEX('#建筑消耗和buff配置索引'!BS:BS,MATCH($F152,'#建筑消耗和buff配置索引'!$M:$M,0)))</f>
        <v/>
      </c>
      <c r="BA152" s="133" t="str">
        <f>IF(AZ152="","",INDEX('#建筑消耗和buff配置索引'!BT:BT,MATCH($F152,'#建筑消耗和buff配置索引'!$M:$M,0)))</f>
        <v/>
      </c>
      <c r="BD152" s="133" t="str">
        <f>IF(INDEX('#建筑消耗和buff配置索引'!BW:BW,MATCH($F152,'#建筑消耗和buff配置索引'!$M:$M,0))=0,"",INDEX('#建筑消耗和buff配置索引'!BW:BW,MATCH($F152,'#建筑消耗和buff配置索引'!$M:$M,0)))</f>
        <v/>
      </c>
      <c r="BE152" s="133" t="str">
        <f>IF(BD152="","",INDEX('#建筑消耗和buff配置索引'!BX:BX,MATCH($F152,'#建筑消耗和buff配置索引'!$M:$M,0)))</f>
        <v/>
      </c>
      <c r="BI152" s="133">
        <v>8</v>
      </c>
      <c r="BO152" s="133">
        <v>5</v>
      </c>
      <c r="BP152" s="133" t="s">
        <v>1360</v>
      </c>
      <c r="BQ152" s="133">
        <v>10003602</v>
      </c>
      <c r="BR152" s="133">
        <v>300</v>
      </c>
    </row>
    <row r="153" spans="1:70" s="133" customFormat="1">
      <c r="A153" s="133">
        <v>2050030</v>
      </c>
      <c r="B153" s="133">
        <v>150</v>
      </c>
      <c r="C153" s="133">
        <v>205</v>
      </c>
      <c r="D153" s="133" t="s">
        <v>249</v>
      </c>
      <c r="E153" s="133">
        <v>30</v>
      </c>
      <c r="F153" s="133" t="str">
        <f t="shared" si="4"/>
        <v>石矿场30</v>
      </c>
      <c r="H153" s="146"/>
      <c r="I153" s="133">
        <v>3</v>
      </c>
      <c r="J153" s="150">
        <f>INDEX('#建筑消耗和buff配置索引'!AH:AH,MATCH($F153,'#建筑消耗和buff配置索引'!$M:$M,0))</f>
        <v>345600</v>
      </c>
      <c r="K153" s="150">
        <f>INDEX('#建筑消耗和buff配置索引'!AA:AA,MATCH($F153,'#建筑消耗和buff配置索引'!$M:$M,0))</f>
        <v>7700000</v>
      </c>
      <c r="L153" s="150">
        <f>INDEX('#建筑消耗和buff配置索引'!AB:AB,MATCH($F153,'#建筑消耗和buff配置索引'!$M:$M,0))</f>
        <v>7700000</v>
      </c>
      <c r="M153" s="150">
        <f>INDEX('#建筑消耗和buff配置索引'!AC:AC,MATCH($F153,'#建筑消耗和buff配置索引'!$M:$M,0))</f>
        <v>0</v>
      </c>
      <c r="N153" s="150">
        <f>INDEX('#建筑消耗和buff配置索引'!AD:AD,MATCH($F153,'#建筑消耗和buff配置索引'!$M:$M,0))</f>
        <v>7700000</v>
      </c>
      <c r="O153" s="150" t="str">
        <f>IF(INDEX('#建筑消耗和buff配置索引'!T:T,MATCH($F153,'#建筑消耗和buff配置索引'!$M:$M,0))=0,"",INDEX('#建筑消耗和buff配置索引'!T:T,MATCH($F153,'#建筑消耗和buff配置索引'!$M:$M,0)))</f>
        <v/>
      </c>
      <c r="P153" s="133" t="str">
        <f>IF(INDEX('#建筑消耗和buff配置索引'!U:U,MATCH($F153,'#建筑消耗和buff配置索引'!$M:$M,0))=0,"",INDEX('#建筑消耗和buff配置索引'!U:U,MATCH($F153,'#建筑消耗和buff配置索引'!$M:$M,0)))</f>
        <v/>
      </c>
      <c r="Q153" s="133" t="str">
        <f>IF(INDEX('#建筑消耗和buff配置索引'!K:K,MATCH($F153,'#建筑消耗和buff配置索引'!$M:$M,0))=0,"",INDEX('#建筑消耗和buff配置索引'!K:K,MATCH($F153,'#建筑消耗和buff配置索引'!$M:$M,0)))</f>
        <v>201</v>
      </c>
      <c r="R153" s="133" t="str">
        <f>IF(INDEX('#建筑消耗和buff配置索引'!L:L,MATCH($F153,'#建筑消耗和buff配置索引'!$M:$M,0))=0,"",INDEX('#建筑消耗和buff配置索引'!L:L,MATCH($F153,'#建筑消耗和buff配置索引'!$M:$M,0)))</f>
        <v>30</v>
      </c>
      <c r="S153" s="133">
        <f>IF(INDEX('#建筑消耗和buff配置索引'!C:C,MATCH(F153,'#建筑消耗和buff配置索引'!M:M,0))=0,1,INDEX('#建筑消耗和buff配置索引'!C:C,MATCH(F153,'#建筑消耗和buff配置索引'!M:M,0)))</f>
        <v>2</v>
      </c>
      <c r="T153" s="133">
        <v>0</v>
      </c>
      <c r="U153" s="133">
        <v>0</v>
      </c>
      <c r="V153" s="133" t="str">
        <f>IF(E153=1,IF(INDEX('#建筑消耗和buff配置索引'!BY:BY,MATCH(D153,'#建筑消耗和buff配置索引'!A:A,0))=0,"",INDEX('#建筑消耗和buff配置索引'!BY:BY,MATCH(D153,'#建筑消耗和buff配置索引'!A:A,0))),"")</f>
        <v/>
      </c>
      <c r="W153" s="133" t="str">
        <f>IF(E153=1,IF(INDEX('#建筑消耗和buff配置索引'!BZ:BZ,MATCH(D153,'#建筑消耗和buff配置索引'!A:A,0))=0,"",INDEX('#建筑消耗和buff配置索引'!BZ:BZ,MATCH(D153,'#建筑消耗和buff配置索引'!A:A,0))),"")</f>
        <v/>
      </c>
      <c r="AA153" s="133">
        <f>INDEX('#建筑消耗和buff配置索引'!AO:AO,MATCH($F153,'#建筑消耗和buff配置索引'!$M:$M,0))</f>
        <v>210806</v>
      </c>
      <c r="AB153" s="133">
        <f>IF(INDEX('#建筑消耗和buff配置索引'!AR:AR,MATCH($F153,'#建筑消耗和buff配置索引'!$M:$M,0))=0,"",INDEX('#建筑消耗和buff配置索引'!AR:AR,MATCH($F153,'#建筑消耗和buff配置索引'!$M:$M,0)))</f>
        <v>1018</v>
      </c>
      <c r="AC153" s="133">
        <f>IF(AB153="","",INDEX('#建筑消耗和buff配置索引'!AS:AS,MATCH($F153,'#建筑消耗和buff配置索引'!$M:$M,0)))</f>
        <v>20000</v>
      </c>
      <c r="AF153" s="133" t="str">
        <f>IF(INDEX('#建筑消耗和buff配置索引'!AW:AW,MATCH($F153,'#建筑消耗和buff配置索引'!$M:$M,0))=0,"",INDEX('#建筑消耗和buff配置索引'!AW:AW,MATCH($F153,'#建筑消耗和buff配置索引'!$M:$M,0)))</f>
        <v/>
      </c>
      <c r="AG153" s="133" t="str">
        <f>IF(AF153="","",INDEX('#建筑消耗和buff配置索引'!AX:AX,MATCH($F153,'#建筑消耗和buff配置索引'!$M:$M,0)))</f>
        <v/>
      </c>
      <c r="AJ153" s="133" t="str">
        <f>IF(INDEX('#建筑消耗和buff配置索引'!BB:BB,MATCH($F153,'#建筑消耗和buff配置索引'!$M:$M,0))=0,"",INDEX('#建筑消耗和buff配置索引'!BB:BB,MATCH($F153,'#建筑消耗和buff配置索引'!$M:$M,0)))</f>
        <v/>
      </c>
      <c r="AK153" s="133" t="str">
        <f>IF(AJ153="","",INDEX('#建筑消耗和buff配置索引'!BC:BC,MATCH($F153,'#建筑消耗和buff配置索引'!$M:$M,0)))</f>
        <v/>
      </c>
      <c r="AN153" s="133" t="str">
        <f>IF(INDEX('#建筑消耗和buff配置索引'!BG:BG,MATCH($F153,'#建筑消耗和buff配置索引'!$M:$M,0))=0,"",INDEX('#建筑消耗和buff配置索引'!BG:BG,MATCH($F153,'#建筑消耗和buff配置索引'!$M:$M,0)))</f>
        <v/>
      </c>
      <c r="AO153" s="133" t="str">
        <f>IF(AN153="","",INDEX('#建筑消耗和buff配置索引'!BH:BH,MATCH($F153,'#建筑消耗和buff配置索引'!$M:$M,0)))</f>
        <v/>
      </c>
      <c r="AR153" s="133" t="str">
        <f>IF(INDEX('#建筑消耗和buff配置索引'!BK:BK,MATCH($F153,'#建筑消耗和buff配置索引'!$M:$M,0))=0,"",INDEX('#建筑消耗和buff配置索引'!BK:BK,MATCH($F153,'#建筑消耗和buff配置索引'!$M:$M,0)))</f>
        <v/>
      </c>
      <c r="AS153" s="133" t="str">
        <f>IF(AR153="","",INDEX('#建筑消耗和buff配置索引'!BL:BL,MATCH($F153,'#建筑消耗和buff配置索引'!$M:$M,0)))</f>
        <v/>
      </c>
      <c r="AV153" s="133" t="str">
        <f>IF(INDEX('#建筑消耗和buff配置索引'!BO:BO,MATCH($F153,'#建筑消耗和buff配置索引'!$M:$M,0))=0,"",INDEX('#建筑消耗和buff配置索引'!BO:BO,MATCH($F153,'#建筑消耗和buff配置索引'!$M:$M,0)))</f>
        <v/>
      </c>
      <c r="AW153" s="133" t="str">
        <f>IF(AV153="","",INDEX('#建筑消耗和buff配置索引'!BP:BP,MATCH($F153,'#建筑消耗和buff配置索引'!$M:$M,0)))</f>
        <v/>
      </c>
      <c r="AZ153" s="133" t="str">
        <f>IF(INDEX('#建筑消耗和buff配置索引'!BS:BS,MATCH($F153,'#建筑消耗和buff配置索引'!$M:$M,0))=0,"",INDEX('#建筑消耗和buff配置索引'!BS:BS,MATCH($F153,'#建筑消耗和buff配置索引'!$M:$M,0)))</f>
        <v/>
      </c>
      <c r="BA153" s="133" t="str">
        <f>IF(AZ153="","",INDEX('#建筑消耗和buff配置索引'!BT:BT,MATCH($F153,'#建筑消耗和buff配置索引'!$M:$M,0)))</f>
        <v/>
      </c>
      <c r="BD153" s="133" t="str">
        <f>IF(INDEX('#建筑消耗和buff配置索引'!BW:BW,MATCH($F153,'#建筑消耗和buff配置索引'!$M:$M,0))=0,"",INDEX('#建筑消耗和buff配置索引'!BW:BW,MATCH($F153,'#建筑消耗和buff配置索引'!$M:$M,0)))</f>
        <v/>
      </c>
      <c r="BE153" s="133" t="str">
        <f>IF(BD153="","",INDEX('#建筑消耗和buff配置索引'!BX:BX,MATCH($F153,'#建筑消耗和buff配置索引'!$M:$M,0)))</f>
        <v/>
      </c>
      <c r="BI153" s="133">
        <v>8</v>
      </c>
      <c r="BO153" s="133">
        <v>5</v>
      </c>
      <c r="BP153" s="133" t="s">
        <v>1360</v>
      </c>
      <c r="BQ153" s="133">
        <v>10003602</v>
      </c>
      <c r="BR153" s="133">
        <v>300</v>
      </c>
    </row>
    <row r="154" spans="1:70" s="133" customFormat="1">
      <c r="A154" s="133">
        <v>2060001</v>
      </c>
      <c r="B154" s="133">
        <v>151</v>
      </c>
      <c r="C154" s="133">
        <v>206</v>
      </c>
      <c r="D154" s="133" t="s">
        <v>293</v>
      </c>
      <c r="E154" s="133">
        <v>1</v>
      </c>
      <c r="F154" s="133" t="str">
        <f t="shared" si="4"/>
        <v>剑士营1</v>
      </c>
      <c r="H154" s="146"/>
      <c r="I154" s="133" t="s">
        <v>1205</v>
      </c>
      <c r="J154" s="150">
        <f>INDEX('#建筑消耗和buff配置索引'!AH:AH,MATCH($F154,'#建筑消耗和buff配置索引'!$M:$M,0))</f>
        <v>25</v>
      </c>
      <c r="K154" s="150">
        <f>INDEX('#建筑消耗和buff配置索引'!AA:AA,MATCH($F154,'#建筑消耗和buff配置索引'!$M:$M,0))</f>
        <v>0</v>
      </c>
      <c r="L154" s="150">
        <f>INDEX('#建筑消耗和buff配置索引'!AB:AB,MATCH($F154,'#建筑消耗和buff配置索引'!$M:$M,0))</f>
        <v>0</v>
      </c>
      <c r="M154" s="150">
        <f>INDEX('#建筑消耗和buff配置索引'!AC:AC,MATCH($F154,'#建筑消耗和buff配置索引'!$M:$M,0))</f>
        <v>0</v>
      </c>
      <c r="N154" s="150">
        <f>INDEX('#建筑消耗和buff配置索引'!AD:AD,MATCH($F154,'#建筑消耗和buff配置索引'!$M:$M,0))</f>
        <v>0</v>
      </c>
      <c r="O154" s="150" t="str">
        <f>IF(INDEX('#建筑消耗和buff配置索引'!T:T,MATCH($F154,'#建筑消耗和buff配置索引'!$M:$M,0))=0,"",INDEX('#建筑消耗和buff配置索引'!T:T,MATCH($F154,'#建筑消耗和buff配置索引'!$M:$M,0)))</f>
        <v/>
      </c>
      <c r="P154" s="133" t="str">
        <f>IF(INDEX('#建筑消耗和buff配置索引'!U:U,MATCH($F154,'#建筑消耗和buff配置索引'!$M:$M,0))=0,"",INDEX('#建筑消耗和buff配置索引'!U:U,MATCH($F154,'#建筑消耗和buff配置索引'!$M:$M,0)))</f>
        <v/>
      </c>
      <c r="Q154" s="133" t="str">
        <f>IF(INDEX('#建筑消耗和buff配置索引'!K:K,MATCH($F154,'#建筑消耗和buff配置索引'!$M:$M,0))=0,"",INDEX('#建筑消耗和buff配置索引'!K:K,MATCH($F154,'#建筑消耗和buff配置索引'!$M:$M,0)))</f>
        <v>201</v>
      </c>
      <c r="R154" s="133" t="str">
        <f>IF(INDEX('#建筑消耗和buff配置索引'!L:L,MATCH($F154,'#建筑消耗和buff配置索引'!$M:$M,0))=0,"",INDEX('#建筑消耗和buff配置索引'!L:L,MATCH($F154,'#建筑消耗和buff配置索引'!$M:$M,0)))</f>
        <v>1</v>
      </c>
      <c r="S154" s="133">
        <f>IF(INDEX('#建筑消耗和buff配置索引'!C:C,MATCH(F154,'#建筑消耗和buff配置索引'!M:M,0))=0,1,INDEX('#建筑消耗和buff配置索引'!C:C,MATCH(F154,'#建筑消耗和buff配置索引'!M:M,0)))</f>
        <v>1</v>
      </c>
      <c r="T154" s="133">
        <v>0</v>
      </c>
      <c r="U154" s="133">
        <v>0</v>
      </c>
      <c r="V154" s="133" t="str">
        <f>IF(E154=1,IF(INDEX('#建筑消耗和buff配置索引'!BY:BY,MATCH(D154,'#建筑消耗和buff配置索引'!A:A,0))=0,"",INDEX('#建筑消耗和buff配置索引'!BY:BY,MATCH(D154,'#建筑消耗和buff配置索引'!A:A,0))),"")</f>
        <v>1:2</v>
      </c>
      <c r="W154" s="133" t="str">
        <f>IF(E154=1,IF(INDEX('#建筑消耗和buff配置索引'!BZ:BZ,MATCH(D154,'#建筑消耗和buff配置索引'!A:A,0))=0,"",INDEX('#建筑消耗和buff配置索引'!BZ:BZ,MATCH(D154,'#建筑消耗和buff配置索引'!A:A,0))),"")</f>
        <v>TID_Buff_BuilDetail_3000:TID_Buff_BuilDetail_3013</v>
      </c>
      <c r="AA154" s="133">
        <f>INDEX('#建筑消耗和buff配置索引'!AO:AO,MATCH($F154,'#建筑消耗和buff配置索引'!$M:$M,0))</f>
        <v>3</v>
      </c>
      <c r="AB154" s="133">
        <f>IF(INDEX('#建筑消耗和buff配置索引'!AR:AR,MATCH($F154,'#建筑消耗和buff配置索引'!$M:$M,0))=0,"",INDEX('#建筑消耗和buff配置索引'!AR:AR,MATCH($F154,'#建筑消耗和buff配置索引'!$M:$M,0)))</f>
        <v>3000</v>
      </c>
      <c r="AC154" s="133">
        <f>IF(AB154="","",INDEX('#建筑消耗和buff配置索引'!AS:AS,MATCH($F154,'#建筑消耗和buff配置索引'!$M:$M,0)))</f>
        <v>2E-3</v>
      </c>
      <c r="AF154" s="133">
        <f>IF(INDEX('#建筑消耗和buff配置索引'!AW:AW,MATCH($F154,'#建筑消耗和buff配置索引'!$M:$M,0))=0,"",INDEX('#建筑消耗和buff配置索引'!AW:AW,MATCH($F154,'#建筑消耗和buff配置索引'!$M:$M,0)))</f>
        <v>3013</v>
      </c>
      <c r="AG154" s="133">
        <f>IF(AF154="","",INDEX('#建筑消耗和buff配置索引'!AX:AX,MATCH($F154,'#建筑消耗和buff配置索引'!$M:$M,0)))</f>
        <v>20</v>
      </c>
      <c r="AJ154" s="133" t="str">
        <f>IF(INDEX('#建筑消耗和buff配置索引'!BB:BB,MATCH($F154,'#建筑消耗和buff配置索引'!$M:$M,0))=0,"",INDEX('#建筑消耗和buff配置索引'!BB:BB,MATCH($F154,'#建筑消耗和buff配置索引'!$M:$M,0)))</f>
        <v/>
      </c>
      <c r="AK154" s="133" t="str">
        <f>IF(AJ154="","",INDEX('#建筑消耗和buff配置索引'!BC:BC,MATCH($F154,'#建筑消耗和buff配置索引'!$M:$M,0)))</f>
        <v/>
      </c>
      <c r="AN154" s="133" t="str">
        <f>IF(INDEX('#建筑消耗和buff配置索引'!BG:BG,MATCH($F154,'#建筑消耗和buff配置索引'!$M:$M,0))=0,"",INDEX('#建筑消耗和buff配置索引'!BG:BG,MATCH($F154,'#建筑消耗和buff配置索引'!$M:$M,0)))</f>
        <v/>
      </c>
      <c r="AO154" s="133" t="str">
        <f>IF(AN154="","",INDEX('#建筑消耗和buff配置索引'!BH:BH,MATCH($F154,'#建筑消耗和buff配置索引'!$M:$M,0)))</f>
        <v/>
      </c>
      <c r="AR154" s="133" t="str">
        <f>IF(INDEX('#建筑消耗和buff配置索引'!BK:BK,MATCH($F154,'#建筑消耗和buff配置索引'!$M:$M,0))=0,"",INDEX('#建筑消耗和buff配置索引'!BK:BK,MATCH($F154,'#建筑消耗和buff配置索引'!$M:$M,0)))</f>
        <v/>
      </c>
      <c r="AS154" s="133" t="str">
        <f>IF(AR154="","",INDEX('#建筑消耗和buff配置索引'!BL:BL,MATCH($F154,'#建筑消耗和buff配置索引'!$M:$M,0)))</f>
        <v/>
      </c>
      <c r="AV154" s="133" t="str">
        <f>IF(INDEX('#建筑消耗和buff配置索引'!BO:BO,MATCH($F154,'#建筑消耗和buff配置索引'!$M:$M,0))=0,"",INDEX('#建筑消耗和buff配置索引'!BO:BO,MATCH($F154,'#建筑消耗和buff配置索引'!$M:$M,0)))</f>
        <v/>
      </c>
      <c r="AW154" s="133" t="str">
        <f>IF(AV154="","",INDEX('#建筑消耗和buff配置索引'!BP:BP,MATCH($F154,'#建筑消耗和buff配置索引'!$M:$M,0)))</f>
        <v/>
      </c>
      <c r="AZ154" s="133" t="str">
        <f>IF(INDEX('#建筑消耗和buff配置索引'!BS:BS,MATCH($F154,'#建筑消耗和buff配置索引'!$M:$M,0))=0,"",INDEX('#建筑消耗和buff配置索引'!BS:BS,MATCH($F154,'#建筑消耗和buff配置索引'!$M:$M,0)))</f>
        <v/>
      </c>
      <c r="BA154" s="133" t="str">
        <f>IF(AZ154="","",INDEX('#建筑消耗和buff配置索引'!BT:BT,MATCH($F154,'#建筑消耗和buff配置索引'!$M:$M,0)))</f>
        <v/>
      </c>
      <c r="BD154" s="133" t="str">
        <f>IF(INDEX('#建筑消耗和buff配置索引'!BW:BW,MATCH($F154,'#建筑消耗和buff配置索引'!$M:$M,0))=0,"",INDEX('#建筑消耗和buff配置索引'!BW:BW,MATCH($F154,'#建筑消耗和buff配置索引'!$M:$M,0)))</f>
        <v/>
      </c>
      <c r="BE154" s="133" t="str">
        <f>IF(BD154="","",INDEX('#建筑消耗和buff配置索引'!BX:BX,MATCH($F154,'#建筑消耗和buff配置索引'!$M:$M,0)))</f>
        <v/>
      </c>
      <c r="BI154" s="133">
        <v>9</v>
      </c>
      <c r="BN154" s="133">
        <v>3</v>
      </c>
    </row>
    <row r="155" spans="1:70" s="133" customFormat="1">
      <c r="A155" s="133">
        <v>2060002</v>
      </c>
      <c r="B155" s="133">
        <v>152</v>
      </c>
      <c r="C155" s="133">
        <v>206</v>
      </c>
      <c r="D155" s="133" t="s">
        <v>293</v>
      </c>
      <c r="E155" s="133">
        <v>2</v>
      </c>
      <c r="F155" s="133" t="str">
        <f t="shared" si="4"/>
        <v>剑士营2</v>
      </c>
      <c r="H155" s="146"/>
      <c r="I155" s="133" t="s">
        <v>1205</v>
      </c>
      <c r="J155" s="150">
        <f>INDEX('#建筑消耗和buff配置索引'!AH:AH,MATCH($F155,'#建筑消耗和buff配置索引'!$M:$M,0))</f>
        <v>54</v>
      </c>
      <c r="K155" s="150">
        <f>INDEX('#建筑消耗和buff配置索引'!AA:AA,MATCH($F155,'#建筑消耗和buff配置索引'!$M:$M,0))</f>
        <v>1500</v>
      </c>
      <c r="L155" s="150">
        <f>INDEX('#建筑消耗和buff配置索引'!AB:AB,MATCH($F155,'#建筑消耗和buff配置索引'!$M:$M,0))</f>
        <v>1500</v>
      </c>
      <c r="M155" s="150">
        <f>INDEX('#建筑消耗和buff配置索引'!AC:AC,MATCH($F155,'#建筑消耗和buff配置索引'!$M:$M,0))</f>
        <v>0</v>
      </c>
      <c r="N155" s="150">
        <f>INDEX('#建筑消耗和buff配置索引'!AD:AD,MATCH($F155,'#建筑消耗和buff配置索引'!$M:$M,0))</f>
        <v>0</v>
      </c>
      <c r="O155" s="150" t="str">
        <f>IF(INDEX('#建筑消耗和buff配置索引'!T:T,MATCH($F155,'#建筑消耗和buff配置索引'!$M:$M,0))=0,"",INDEX('#建筑消耗和buff配置索引'!T:T,MATCH($F155,'#建筑消耗和buff配置索引'!$M:$M,0)))</f>
        <v/>
      </c>
      <c r="P155" s="133" t="str">
        <f>IF(INDEX('#建筑消耗和buff配置索引'!U:U,MATCH($F155,'#建筑消耗和buff配置索引'!$M:$M,0))=0,"",INDEX('#建筑消耗和buff配置索引'!U:U,MATCH($F155,'#建筑消耗和buff配置索引'!$M:$M,0)))</f>
        <v/>
      </c>
      <c r="Q155" s="133" t="str">
        <f>IF(INDEX('#建筑消耗和buff配置索引'!K:K,MATCH($F155,'#建筑消耗和buff配置索引'!$M:$M,0))=0,"",INDEX('#建筑消耗和buff配置索引'!K:K,MATCH($F155,'#建筑消耗和buff配置索引'!$M:$M,0)))</f>
        <v>201</v>
      </c>
      <c r="R155" s="133" t="str">
        <f>IF(INDEX('#建筑消耗和buff配置索引'!L:L,MATCH($F155,'#建筑消耗和buff配置索引'!$M:$M,0))=0,"",INDEX('#建筑消耗和buff配置索引'!L:L,MATCH($F155,'#建筑消耗和buff配置索引'!$M:$M,0)))</f>
        <v>2</v>
      </c>
      <c r="S155" s="133">
        <f>IF(INDEX('#建筑消耗和buff配置索引'!C:C,MATCH(F155,'#建筑消耗和buff配置索引'!M:M,0))=0,1,INDEX('#建筑消耗和buff配置索引'!C:C,MATCH(F155,'#建筑消耗和buff配置索引'!M:M,0)))</f>
        <v>1</v>
      </c>
      <c r="T155" s="133">
        <v>0</v>
      </c>
      <c r="U155" s="133">
        <v>0</v>
      </c>
      <c r="V155" s="133" t="str">
        <f>IF(E155=1,IF(INDEX('#建筑消耗和buff配置索引'!BY:BY,MATCH(D155,'#建筑消耗和buff配置索引'!A:A,0))=0,"",INDEX('#建筑消耗和buff配置索引'!BY:BY,MATCH(D155,'#建筑消耗和buff配置索引'!A:A,0))),"")</f>
        <v/>
      </c>
      <c r="W155" s="133" t="str">
        <f>IF(E155=1,IF(INDEX('#建筑消耗和buff配置索引'!BZ:BZ,MATCH(D155,'#建筑消耗和buff配置索引'!A:A,0))=0,"",INDEX('#建筑消耗和buff配置索引'!BZ:BZ,MATCH(D155,'#建筑消耗和buff配置索引'!A:A,0))),"")</f>
        <v/>
      </c>
      <c r="AA155" s="133">
        <f>INDEX('#建筑消耗和buff配置索引'!AO:AO,MATCH($F155,'#建筑消耗和buff配置索引'!$M:$M,0))</f>
        <v>9</v>
      </c>
      <c r="AB155" s="133">
        <f>IF(INDEX('#建筑消耗和buff配置索引'!AR:AR,MATCH($F155,'#建筑消耗和buff配置索引'!$M:$M,0))=0,"",INDEX('#建筑消耗和buff配置索引'!AR:AR,MATCH($F155,'#建筑消耗和buff配置索引'!$M:$M,0)))</f>
        <v>3000</v>
      </c>
      <c r="AC155" s="133">
        <f>IF(AB155="","",INDEX('#建筑消耗和buff配置索引'!AS:AS,MATCH($F155,'#建筑消耗和buff配置索引'!$M:$M,0)))</f>
        <v>5.0000000000000001E-3</v>
      </c>
      <c r="AF155" s="133">
        <f>IF(INDEX('#建筑消耗和buff配置索引'!AW:AW,MATCH($F155,'#建筑消耗和buff配置索引'!$M:$M,0))=0,"",INDEX('#建筑消耗和buff配置索引'!AW:AW,MATCH($F155,'#建筑消耗和buff配置索引'!$M:$M,0)))</f>
        <v>3013</v>
      </c>
      <c r="AG155" s="133">
        <f>IF(AF155="","",INDEX('#建筑消耗和buff配置索引'!AX:AX,MATCH($F155,'#建筑消耗和buff配置索引'!$M:$M,0)))</f>
        <v>50</v>
      </c>
      <c r="AJ155" s="133" t="str">
        <f>IF(INDEX('#建筑消耗和buff配置索引'!BB:BB,MATCH($F155,'#建筑消耗和buff配置索引'!$M:$M,0))=0,"",INDEX('#建筑消耗和buff配置索引'!BB:BB,MATCH($F155,'#建筑消耗和buff配置索引'!$M:$M,0)))</f>
        <v/>
      </c>
      <c r="AK155" s="133" t="str">
        <f>IF(AJ155="","",INDEX('#建筑消耗和buff配置索引'!BC:BC,MATCH($F155,'#建筑消耗和buff配置索引'!$M:$M,0)))</f>
        <v/>
      </c>
      <c r="AN155" s="133" t="str">
        <f>IF(INDEX('#建筑消耗和buff配置索引'!BG:BG,MATCH($F155,'#建筑消耗和buff配置索引'!$M:$M,0))=0,"",INDEX('#建筑消耗和buff配置索引'!BG:BG,MATCH($F155,'#建筑消耗和buff配置索引'!$M:$M,0)))</f>
        <v/>
      </c>
      <c r="AO155" s="133" t="str">
        <f>IF(AN155="","",INDEX('#建筑消耗和buff配置索引'!BH:BH,MATCH($F155,'#建筑消耗和buff配置索引'!$M:$M,0)))</f>
        <v/>
      </c>
      <c r="AR155" s="133" t="str">
        <f>IF(INDEX('#建筑消耗和buff配置索引'!BK:BK,MATCH($F155,'#建筑消耗和buff配置索引'!$M:$M,0))=0,"",INDEX('#建筑消耗和buff配置索引'!BK:BK,MATCH($F155,'#建筑消耗和buff配置索引'!$M:$M,0)))</f>
        <v/>
      </c>
      <c r="AS155" s="133" t="str">
        <f>IF(AR155="","",INDEX('#建筑消耗和buff配置索引'!BL:BL,MATCH($F155,'#建筑消耗和buff配置索引'!$M:$M,0)))</f>
        <v/>
      </c>
      <c r="AV155" s="133" t="str">
        <f>IF(INDEX('#建筑消耗和buff配置索引'!BO:BO,MATCH($F155,'#建筑消耗和buff配置索引'!$M:$M,0))=0,"",INDEX('#建筑消耗和buff配置索引'!BO:BO,MATCH($F155,'#建筑消耗和buff配置索引'!$M:$M,0)))</f>
        <v/>
      </c>
      <c r="AW155" s="133" t="str">
        <f>IF(AV155="","",INDEX('#建筑消耗和buff配置索引'!BP:BP,MATCH($F155,'#建筑消耗和buff配置索引'!$M:$M,0)))</f>
        <v/>
      </c>
      <c r="AZ155" s="133" t="str">
        <f>IF(INDEX('#建筑消耗和buff配置索引'!BS:BS,MATCH($F155,'#建筑消耗和buff配置索引'!$M:$M,0))=0,"",INDEX('#建筑消耗和buff配置索引'!BS:BS,MATCH($F155,'#建筑消耗和buff配置索引'!$M:$M,0)))</f>
        <v/>
      </c>
      <c r="BA155" s="133" t="str">
        <f>IF(AZ155="","",INDEX('#建筑消耗和buff配置索引'!BT:BT,MATCH($F155,'#建筑消耗和buff配置索引'!$M:$M,0)))</f>
        <v/>
      </c>
      <c r="BD155" s="133" t="str">
        <f>IF(INDEX('#建筑消耗和buff配置索引'!BW:BW,MATCH($F155,'#建筑消耗和buff配置索引'!$M:$M,0))=0,"",INDEX('#建筑消耗和buff配置索引'!BW:BW,MATCH($F155,'#建筑消耗和buff配置索引'!$M:$M,0)))</f>
        <v/>
      </c>
      <c r="BE155" s="133" t="str">
        <f>IF(BD155="","",INDEX('#建筑消耗和buff配置索引'!BX:BX,MATCH($F155,'#建筑消耗和buff配置索引'!$M:$M,0)))</f>
        <v/>
      </c>
      <c r="BI155" s="133">
        <v>9</v>
      </c>
    </row>
    <row r="156" spans="1:70" s="133" customFormat="1">
      <c r="A156" s="133">
        <v>2060003</v>
      </c>
      <c r="B156" s="133">
        <v>153</v>
      </c>
      <c r="C156" s="133">
        <v>206</v>
      </c>
      <c r="D156" s="133" t="s">
        <v>293</v>
      </c>
      <c r="E156" s="133">
        <v>3</v>
      </c>
      <c r="F156" s="133" t="str">
        <f t="shared" si="4"/>
        <v>剑士营3</v>
      </c>
      <c r="H156" s="146"/>
      <c r="I156" s="133" t="s">
        <v>1205</v>
      </c>
      <c r="J156" s="150">
        <f>INDEX('#建筑消耗和buff配置索引'!AH:AH,MATCH($F156,'#建筑消耗和buff配置索引'!$M:$M,0))</f>
        <v>108</v>
      </c>
      <c r="K156" s="150">
        <f>INDEX('#建筑消耗和buff配置索引'!AA:AA,MATCH($F156,'#建筑消耗和buff配置索引'!$M:$M,0))</f>
        <v>3000</v>
      </c>
      <c r="L156" s="150">
        <f>INDEX('#建筑消耗和buff配置索引'!AB:AB,MATCH($F156,'#建筑消耗和buff配置索引'!$M:$M,0))</f>
        <v>3000</v>
      </c>
      <c r="M156" s="150">
        <f>INDEX('#建筑消耗和buff配置索引'!AC:AC,MATCH($F156,'#建筑消耗和buff配置索引'!$M:$M,0))</f>
        <v>0</v>
      </c>
      <c r="N156" s="150">
        <f>INDEX('#建筑消耗和buff配置索引'!AD:AD,MATCH($F156,'#建筑消耗和buff配置索引'!$M:$M,0))</f>
        <v>0</v>
      </c>
      <c r="O156" s="150" t="str">
        <f>IF(INDEX('#建筑消耗和buff配置索引'!T:T,MATCH($F156,'#建筑消耗和buff配置索引'!$M:$M,0))=0,"",INDEX('#建筑消耗和buff配置索引'!T:T,MATCH($F156,'#建筑消耗和buff配置索引'!$M:$M,0)))</f>
        <v/>
      </c>
      <c r="P156" s="133" t="str">
        <f>IF(INDEX('#建筑消耗和buff配置索引'!U:U,MATCH($F156,'#建筑消耗和buff配置索引'!$M:$M,0))=0,"",INDEX('#建筑消耗和buff配置索引'!U:U,MATCH($F156,'#建筑消耗和buff配置索引'!$M:$M,0)))</f>
        <v/>
      </c>
      <c r="Q156" s="133" t="str">
        <f>IF(INDEX('#建筑消耗和buff配置索引'!K:K,MATCH($F156,'#建筑消耗和buff配置索引'!$M:$M,0))=0,"",INDEX('#建筑消耗和buff配置索引'!K:K,MATCH($F156,'#建筑消耗和buff配置索引'!$M:$M,0)))</f>
        <v>201</v>
      </c>
      <c r="R156" s="133" t="str">
        <f>IF(INDEX('#建筑消耗和buff配置索引'!L:L,MATCH($F156,'#建筑消耗和buff配置索引'!$M:$M,0))=0,"",INDEX('#建筑消耗和buff配置索引'!L:L,MATCH($F156,'#建筑消耗和buff配置索引'!$M:$M,0)))</f>
        <v>3</v>
      </c>
      <c r="S156" s="133">
        <f>IF(INDEX('#建筑消耗和buff配置索引'!C:C,MATCH(F156,'#建筑消耗和buff配置索引'!M:M,0))=0,1,INDEX('#建筑消耗和buff配置索引'!C:C,MATCH(F156,'#建筑消耗和buff配置索引'!M:M,0)))</f>
        <v>1</v>
      </c>
      <c r="T156" s="133">
        <v>0</v>
      </c>
      <c r="U156" s="133">
        <v>0</v>
      </c>
      <c r="V156" s="133" t="str">
        <f>IF(E156=1,IF(INDEX('#建筑消耗和buff配置索引'!BY:BY,MATCH(D156,'#建筑消耗和buff配置索引'!A:A,0))=0,"",INDEX('#建筑消耗和buff配置索引'!BY:BY,MATCH(D156,'#建筑消耗和buff配置索引'!A:A,0))),"")</f>
        <v/>
      </c>
      <c r="W156" s="133" t="str">
        <f>IF(E156=1,IF(INDEX('#建筑消耗和buff配置索引'!BZ:BZ,MATCH(D156,'#建筑消耗和buff配置索引'!A:A,0))=0,"",INDEX('#建筑消耗和buff配置索引'!BZ:BZ,MATCH(D156,'#建筑消耗和buff配置索引'!A:A,0))),"")</f>
        <v/>
      </c>
      <c r="AA156" s="133">
        <f>INDEX('#建筑消耗和buff配置索引'!AO:AO,MATCH($F156,'#建筑消耗和buff配置索引'!$M:$M,0))</f>
        <v>21</v>
      </c>
      <c r="AB156" s="133">
        <f>IF(INDEX('#建筑消耗和buff配置索引'!AR:AR,MATCH($F156,'#建筑消耗和buff配置索引'!$M:$M,0))=0,"",INDEX('#建筑消耗和buff配置索引'!AR:AR,MATCH($F156,'#建筑消耗和buff配置索引'!$M:$M,0)))</f>
        <v>3000</v>
      </c>
      <c r="AC156" s="133">
        <f>IF(AB156="","",INDEX('#建筑消耗和buff配置索引'!AS:AS,MATCH($F156,'#建筑消耗和buff配置索引'!$M:$M,0)))</f>
        <v>0.01</v>
      </c>
      <c r="AF156" s="133">
        <f>IF(INDEX('#建筑消耗和buff配置索引'!AW:AW,MATCH($F156,'#建筑消耗和buff配置索引'!$M:$M,0))=0,"",INDEX('#建筑消耗和buff配置索引'!AW:AW,MATCH($F156,'#建筑消耗和buff配置索引'!$M:$M,0)))</f>
        <v>3013</v>
      </c>
      <c r="AG156" s="133">
        <f>IF(AF156="","",INDEX('#建筑消耗和buff配置索引'!AX:AX,MATCH($F156,'#建筑消耗和buff配置索引'!$M:$M,0)))</f>
        <v>100</v>
      </c>
      <c r="AJ156" s="133" t="str">
        <f>IF(INDEX('#建筑消耗和buff配置索引'!BB:BB,MATCH($F156,'#建筑消耗和buff配置索引'!$M:$M,0))=0,"",INDEX('#建筑消耗和buff配置索引'!BB:BB,MATCH($F156,'#建筑消耗和buff配置索引'!$M:$M,0)))</f>
        <v/>
      </c>
      <c r="AK156" s="133" t="str">
        <f>IF(AJ156="","",INDEX('#建筑消耗和buff配置索引'!BC:BC,MATCH($F156,'#建筑消耗和buff配置索引'!$M:$M,0)))</f>
        <v/>
      </c>
      <c r="AN156" s="133" t="str">
        <f>IF(INDEX('#建筑消耗和buff配置索引'!BG:BG,MATCH($F156,'#建筑消耗和buff配置索引'!$M:$M,0))=0,"",INDEX('#建筑消耗和buff配置索引'!BG:BG,MATCH($F156,'#建筑消耗和buff配置索引'!$M:$M,0)))</f>
        <v/>
      </c>
      <c r="AO156" s="133" t="str">
        <f>IF(AN156="","",INDEX('#建筑消耗和buff配置索引'!BH:BH,MATCH($F156,'#建筑消耗和buff配置索引'!$M:$M,0)))</f>
        <v/>
      </c>
      <c r="AR156" s="133" t="str">
        <f>IF(INDEX('#建筑消耗和buff配置索引'!BK:BK,MATCH($F156,'#建筑消耗和buff配置索引'!$M:$M,0))=0,"",INDEX('#建筑消耗和buff配置索引'!BK:BK,MATCH($F156,'#建筑消耗和buff配置索引'!$M:$M,0)))</f>
        <v/>
      </c>
      <c r="AS156" s="133" t="str">
        <f>IF(AR156="","",INDEX('#建筑消耗和buff配置索引'!BL:BL,MATCH($F156,'#建筑消耗和buff配置索引'!$M:$M,0)))</f>
        <v/>
      </c>
      <c r="AV156" s="133" t="str">
        <f>IF(INDEX('#建筑消耗和buff配置索引'!BO:BO,MATCH($F156,'#建筑消耗和buff配置索引'!$M:$M,0))=0,"",INDEX('#建筑消耗和buff配置索引'!BO:BO,MATCH($F156,'#建筑消耗和buff配置索引'!$M:$M,0)))</f>
        <v/>
      </c>
      <c r="AW156" s="133" t="str">
        <f>IF(AV156="","",INDEX('#建筑消耗和buff配置索引'!BP:BP,MATCH($F156,'#建筑消耗和buff配置索引'!$M:$M,0)))</f>
        <v/>
      </c>
      <c r="AZ156" s="133" t="str">
        <f>IF(INDEX('#建筑消耗和buff配置索引'!BS:BS,MATCH($F156,'#建筑消耗和buff配置索引'!$M:$M,0))=0,"",INDEX('#建筑消耗和buff配置索引'!BS:BS,MATCH($F156,'#建筑消耗和buff配置索引'!$M:$M,0)))</f>
        <v/>
      </c>
      <c r="BA156" s="133" t="str">
        <f>IF(AZ156="","",INDEX('#建筑消耗和buff配置索引'!BT:BT,MATCH($F156,'#建筑消耗和buff配置索引'!$M:$M,0)))</f>
        <v/>
      </c>
      <c r="BD156" s="133" t="str">
        <f>IF(INDEX('#建筑消耗和buff配置索引'!BW:BW,MATCH($F156,'#建筑消耗和buff配置索引'!$M:$M,0))=0,"",INDEX('#建筑消耗和buff配置索引'!BW:BW,MATCH($F156,'#建筑消耗和buff配置索引'!$M:$M,0)))</f>
        <v/>
      </c>
      <c r="BE156" s="133" t="str">
        <f>IF(BD156="","",INDEX('#建筑消耗和buff配置索引'!BX:BX,MATCH($F156,'#建筑消耗和buff配置索引'!$M:$M,0)))</f>
        <v/>
      </c>
      <c r="BI156" s="133">
        <v>9</v>
      </c>
    </row>
    <row r="157" spans="1:70" s="133" customFormat="1">
      <c r="A157" s="133">
        <v>2060004</v>
      </c>
      <c r="B157" s="133">
        <v>154</v>
      </c>
      <c r="C157" s="133">
        <v>206</v>
      </c>
      <c r="D157" s="133" t="s">
        <v>293</v>
      </c>
      <c r="E157" s="133">
        <v>4</v>
      </c>
      <c r="F157" s="133" t="str">
        <f t="shared" si="4"/>
        <v>剑士营4</v>
      </c>
      <c r="H157" s="146"/>
      <c r="I157" s="133" t="s">
        <v>1205</v>
      </c>
      <c r="J157" s="150">
        <f>INDEX('#建筑消耗和buff配置索引'!AH:AH,MATCH($F157,'#建筑消耗和buff配置索引'!$M:$M,0))</f>
        <v>216</v>
      </c>
      <c r="K157" s="150">
        <f>INDEX('#建筑消耗和buff配置索引'!AA:AA,MATCH($F157,'#建筑消耗和buff配置索引'!$M:$M,0))</f>
        <v>6000</v>
      </c>
      <c r="L157" s="150">
        <f>INDEX('#建筑消耗和buff配置索引'!AB:AB,MATCH($F157,'#建筑消耗和buff配置索引'!$M:$M,0))</f>
        <v>6000</v>
      </c>
      <c r="M157" s="150">
        <f>INDEX('#建筑消耗和buff配置索引'!AC:AC,MATCH($F157,'#建筑消耗和buff配置索引'!$M:$M,0))</f>
        <v>0</v>
      </c>
      <c r="N157" s="150">
        <f>INDEX('#建筑消耗和buff配置索引'!AD:AD,MATCH($F157,'#建筑消耗和buff配置索引'!$M:$M,0))</f>
        <v>0</v>
      </c>
      <c r="O157" s="150" t="str">
        <f>IF(INDEX('#建筑消耗和buff配置索引'!T:T,MATCH($F157,'#建筑消耗和buff配置索引'!$M:$M,0))=0,"",INDEX('#建筑消耗和buff配置索引'!T:T,MATCH($F157,'#建筑消耗和buff配置索引'!$M:$M,0)))</f>
        <v/>
      </c>
      <c r="P157" s="133" t="str">
        <f>IF(INDEX('#建筑消耗和buff配置索引'!U:U,MATCH($F157,'#建筑消耗和buff配置索引'!$M:$M,0))=0,"",INDEX('#建筑消耗和buff配置索引'!U:U,MATCH($F157,'#建筑消耗和buff配置索引'!$M:$M,0)))</f>
        <v/>
      </c>
      <c r="Q157" s="133" t="str">
        <f>IF(INDEX('#建筑消耗和buff配置索引'!K:K,MATCH($F157,'#建筑消耗和buff配置索引'!$M:$M,0))=0,"",INDEX('#建筑消耗和buff配置索引'!K:K,MATCH($F157,'#建筑消耗和buff配置索引'!$M:$M,0)))</f>
        <v>201</v>
      </c>
      <c r="R157" s="133" t="str">
        <f>IF(INDEX('#建筑消耗和buff配置索引'!L:L,MATCH($F157,'#建筑消耗和buff配置索引'!$M:$M,0))=0,"",INDEX('#建筑消耗和buff配置索引'!L:L,MATCH($F157,'#建筑消耗和buff配置索引'!$M:$M,0)))</f>
        <v>4</v>
      </c>
      <c r="S157" s="133">
        <f>IF(INDEX('#建筑消耗和buff配置索引'!C:C,MATCH(F157,'#建筑消耗和buff配置索引'!M:M,0))=0,1,INDEX('#建筑消耗和buff配置索引'!C:C,MATCH(F157,'#建筑消耗和buff配置索引'!M:M,0)))</f>
        <v>1</v>
      </c>
      <c r="T157" s="133">
        <v>0</v>
      </c>
      <c r="U157" s="133">
        <v>0</v>
      </c>
      <c r="V157" s="133" t="str">
        <f>IF(E157=1,IF(INDEX('#建筑消耗和buff配置索引'!BY:BY,MATCH(D157,'#建筑消耗和buff配置索引'!A:A,0))=0,"",INDEX('#建筑消耗和buff配置索引'!BY:BY,MATCH(D157,'#建筑消耗和buff配置索引'!A:A,0))),"")</f>
        <v/>
      </c>
      <c r="W157" s="133" t="str">
        <f>IF(E157=1,IF(INDEX('#建筑消耗和buff配置索引'!BZ:BZ,MATCH(D157,'#建筑消耗和buff配置索引'!A:A,0))=0,"",INDEX('#建筑消耗和buff配置索引'!BZ:BZ,MATCH(D157,'#建筑消耗和buff配置索引'!A:A,0))),"")</f>
        <v/>
      </c>
      <c r="AA157" s="133">
        <f>INDEX('#建筑消耗和buff配置索引'!AO:AO,MATCH($F157,'#建筑消耗和buff配置索引'!$M:$M,0))</f>
        <v>45</v>
      </c>
      <c r="AB157" s="133">
        <f>IF(INDEX('#建筑消耗和buff配置索引'!AR:AR,MATCH($F157,'#建筑消耗和buff配置索引'!$M:$M,0))=0,"",INDEX('#建筑消耗和buff配置索引'!AR:AR,MATCH($F157,'#建筑消耗和buff配置索引'!$M:$M,0)))</f>
        <v>3000</v>
      </c>
      <c r="AC157" s="133">
        <f>IF(AB157="","",INDEX('#建筑消耗和buff配置索引'!AS:AS,MATCH($F157,'#建筑消耗和buff配置索引'!$M:$M,0)))</f>
        <v>1.4999999999999999E-2</v>
      </c>
      <c r="AF157" s="133">
        <f>IF(INDEX('#建筑消耗和buff配置索引'!AW:AW,MATCH($F157,'#建筑消耗和buff配置索引'!$M:$M,0))=0,"",INDEX('#建筑消耗和buff配置索引'!AW:AW,MATCH($F157,'#建筑消耗和buff配置索引'!$M:$M,0)))</f>
        <v>3013</v>
      </c>
      <c r="AG157" s="133">
        <f>IF(AF157="","",INDEX('#建筑消耗和buff配置索引'!AX:AX,MATCH($F157,'#建筑消耗和buff配置索引'!$M:$M,0)))</f>
        <v>150</v>
      </c>
      <c r="AJ157" s="133" t="str">
        <f>IF(INDEX('#建筑消耗和buff配置索引'!BB:BB,MATCH($F157,'#建筑消耗和buff配置索引'!$M:$M,0))=0,"",INDEX('#建筑消耗和buff配置索引'!BB:BB,MATCH($F157,'#建筑消耗和buff配置索引'!$M:$M,0)))</f>
        <v/>
      </c>
      <c r="AK157" s="133" t="str">
        <f>IF(AJ157="","",INDEX('#建筑消耗和buff配置索引'!BC:BC,MATCH($F157,'#建筑消耗和buff配置索引'!$M:$M,0)))</f>
        <v/>
      </c>
      <c r="AN157" s="133" t="str">
        <f>IF(INDEX('#建筑消耗和buff配置索引'!BG:BG,MATCH($F157,'#建筑消耗和buff配置索引'!$M:$M,0))=0,"",INDEX('#建筑消耗和buff配置索引'!BG:BG,MATCH($F157,'#建筑消耗和buff配置索引'!$M:$M,0)))</f>
        <v/>
      </c>
      <c r="AO157" s="133" t="str">
        <f>IF(AN157="","",INDEX('#建筑消耗和buff配置索引'!BH:BH,MATCH($F157,'#建筑消耗和buff配置索引'!$M:$M,0)))</f>
        <v/>
      </c>
      <c r="AR157" s="133" t="str">
        <f>IF(INDEX('#建筑消耗和buff配置索引'!BK:BK,MATCH($F157,'#建筑消耗和buff配置索引'!$M:$M,0))=0,"",INDEX('#建筑消耗和buff配置索引'!BK:BK,MATCH($F157,'#建筑消耗和buff配置索引'!$M:$M,0)))</f>
        <v/>
      </c>
      <c r="AS157" s="133" t="str">
        <f>IF(AR157="","",INDEX('#建筑消耗和buff配置索引'!BL:BL,MATCH($F157,'#建筑消耗和buff配置索引'!$M:$M,0)))</f>
        <v/>
      </c>
      <c r="AV157" s="133" t="str">
        <f>IF(INDEX('#建筑消耗和buff配置索引'!BO:BO,MATCH($F157,'#建筑消耗和buff配置索引'!$M:$M,0))=0,"",INDEX('#建筑消耗和buff配置索引'!BO:BO,MATCH($F157,'#建筑消耗和buff配置索引'!$M:$M,0)))</f>
        <v/>
      </c>
      <c r="AW157" s="133" t="str">
        <f>IF(AV157="","",INDEX('#建筑消耗和buff配置索引'!BP:BP,MATCH($F157,'#建筑消耗和buff配置索引'!$M:$M,0)))</f>
        <v/>
      </c>
      <c r="AZ157" s="133" t="str">
        <f>IF(INDEX('#建筑消耗和buff配置索引'!BS:BS,MATCH($F157,'#建筑消耗和buff配置索引'!$M:$M,0))=0,"",INDEX('#建筑消耗和buff配置索引'!BS:BS,MATCH($F157,'#建筑消耗和buff配置索引'!$M:$M,0)))</f>
        <v/>
      </c>
      <c r="BA157" s="133" t="str">
        <f>IF(AZ157="","",INDEX('#建筑消耗和buff配置索引'!BT:BT,MATCH($F157,'#建筑消耗和buff配置索引'!$M:$M,0)))</f>
        <v/>
      </c>
      <c r="BD157" s="133" t="str">
        <f>IF(INDEX('#建筑消耗和buff配置索引'!BW:BW,MATCH($F157,'#建筑消耗和buff配置索引'!$M:$M,0))=0,"",INDEX('#建筑消耗和buff配置索引'!BW:BW,MATCH($F157,'#建筑消耗和buff配置索引'!$M:$M,0)))</f>
        <v/>
      </c>
      <c r="BE157" s="133" t="str">
        <f>IF(BD157="","",INDEX('#建筑消耗和buff配置索引'!BX:BX,MATCH($F157,'#建筑消耗和buff配置索引'!$M:$M,0)))</f>
        <v/>
      </c>
      <c r="BI157" s="133">
        <v>9</v>
      </c>
    </row>
    <row r="158" spans="1:70" s="133" customFormat="1">
      <c r="A158" s="133">
        <v>2060005</v>
      </c>
      <c r="B158" s="133">
        <v>155</v>
      </c>
      <c r="C158" s="133">
        <v>206</v>
      </c>
      <c r="D158" s="133" t="s">
        <v>293</v>
      </c>
      <c r="E158" s="133">
        <v>5</v>
      </c>
      <c r="F158" s="133" t="str">
        <f t="shared" si="4"/>
        <v>剑士营5</v>
      </c>
      <c r="H158" s="146"/>
      <c r="I158" s="133">
        <v>1</v>
      </c>
      <c r="J158" s="150">
        <f>INDEX('#建筑消耗和buff配置索引'!AH:AH,MATCH($F158,'#建筑消耗和buff配置索引'!$M:$M,0))</f>
        <v>450</v>
      </c>
      <c r="K158" s="150">
        <f>INDEX('#建筑消耗和buff配置索引'!AA:AA,MATCH($F158,'#建筑消耗和buff配置索引'!$M:$M,0))</f>
        <v>7700</v>
      </c>
      <c r="L158" s="150">
        <f>INDEX('#建筑消耗和buff配置索引'!AB:AB,MATCH($F158,'#建筑消耗和buff配置索引'!$M:$M,0))</f>
        <v>7700</v>
      </c>
      <c r="M158" s="150">
        <f>INDEX('#建筑消耗和buff配置索引'!AC:AC,MATCH($F158,'#建筑消耗和buff配置索引'!$M:$M,0))</f>
        <v>7700</v>
      </c>
      <c r="N158" s="150">
        <f>INDEX('#建筑消耗和buff配置索引'!AD:AD,MATCH($F158,'#建筑消耗和buff配置索引'!$M:$M,0))</f>
        <v>0</v>
      </c>
      <c r="O158" s="150" t="str">
        <f>IF(INDEX('#建筑消耗和buff配置索引'!T:T,MATCH($F158,'#建筑消耗和buff配置索引'!$M:$M,0))=0,"",INDEX('#建筑消耗和buff配置索引'!T:T,MATCH($F158,'#建筑消耗和buff配置索引'!$M:$M,0)))</f>
        <v/>
      </c>
      <c r="P158" s="133" t="str">
        <f>IF(INDEX('#建筑消耗和buff配置索引'!U:U,MATCH($F158,'#建筑消耗和buff配置索引'!$M:$M,0))=0,"",INDEX('#建筑消耗和buff配置索引'!U:U,MATCH($F158,'#建筑消耗和buff配置索引'!$M:$M,0)))</f>
        <v/>
      </c>
      <c r="Q158" s="133" t="str">
        <f>IF(INDEX('#建筑消耗和buff配置索引'!K:K,MATCH($F158,'#建筑消耗和buff配置索引'!$M:$M,0))=0,"",INDEX('#建筑消耗和buff配置索引'!K:K,MATCH($F158,'#建筑消耗和buff配置索引'!$M:$M,0)))</f>
        <v>201;203</v>
      </c>
      <c r="R158" s="133" t="str">
        <f>IF(INDEX('#建筑消耗和buff配置索引'!L:L,MATCH($F158,'#建筑消耗和buff配置索引'!$M:$M,0))=0,"",INDEX('#建筑消耗和buff配置索引'!L:L,MATCH($F158,'#建筑消耗和buff配置索引'!$M:$M,0)))</f>
        <v>5;5</v>
      </c>
      <c r="S158" s="133">
        <f>IF(INDEX('#建筑消耗和buff配置索引'!C:C,MATCH(F158,'#建筑消耗和buff配置索引'!M:M,0))=0,1,INDEX('#建筑消耗和buff配置索引'!C:C,MATCH(F158,'#建筑消耗和buff配置索引'!M:M,0)))</f>
        <v>1</v>
      </c>
      <c r="T158" s="133">
        <v>0</v>
      </c>
      <c r="U158" s="133">
        <v>0</v>
      </c>
      <c r="V158" s="133" t="str">
        <f>IF(E158=1,IF(INDEX('#建筑消耗和buff配置索引'!BY:BY,MATCH(D158,'#建筑消耗和buff配置索引'!A:A,0))=0,"",INDEX('#建筑消耗和buff配置索引'!BY:BY,MATCH(D158,'#建筑消耗和buff配置索引'!A:A,0))),"")</f>
        <v/>
      </c>
      <c r="W158" s="133" t="str">
        <f>IF(E158=1,IF(INDEX('#建筑消耗和buff配置索引'!BZ:BZ,MATCH(D158,'#建筑消耗和buff配置索引'!A:A,0))=0,"",INDEX('#建筑消耗和buff配置索引'!BZ:BZ,MATCH(D158,'#建筑消耗和buff配置索引'!A:A,0))),"")</f>
        <v/>
      </c>
      <c r="AA158" s="133">
        <f>INDEX('#建筑消耗和buff配置索引'!AO:AO,MATCH($F158,'#建筑消耗和buff配置索引'!$M:$M,0))</f>
        <v>91</v>
      </c>
      <c r="AB158" s="133">
        <f>IF(INDEX('#建筑消耗和buff配置索引'!AR:AR,MATCH($F158,'#建筑消耗和buff配置索引'!$M:$M,0))=0,"",INDEX('#建筑消耗和buff配置索引'!AR:AR,MATCH($F158,'#建筑消耗和buff配置索引'!$M:$M,0)))</f>
        <v>3000</v>
      </c>
      <c r="AC158" s="133">
        <f>IF(AB158="","",INDEX('#建筑消耗和buff配置索引'!AS:AS,MATCH($F158,'#建筑消耗和buff配置索引'!$M:$M,0)))</f>
        <v>0.02</v>
      </c>
      <c r="AF158" s="133">
        <f>IF(INDEX('#建筑消耗和buff配置索引'!AW:AW,MATCH($F158,'#建筑消耗和buff配置索引'!$M:$M,0))=0,"",INDEX('#建筑消耗和buff配置索引'!AW:AW,MATCH($F158,'#建筑消耗和buff配置索引'!$M:$M,0)))</f>
        <v>3013</v>
      </c>
      <c r="AG158" s="133">
        <f>IF(AF158="","",INDEX('#建筑消耗和buff配置索引'!AX:AX,MATCH($F158,'#建筑消耗和buff配置索引'!$M:$M,0)))</f>
        <v>200</v>
      </c>
      <c r="AJ158" s="133" t="str">
        <f>IF(INDEX('#建筑消耗和buff配置索引'!BB:BB,MATCH($F158,'#建筑消耗和buff配置索引'!$M:$M,0))=0,"",INDEX('#建筑消耗和buff配置索引'!BB:BB,MATCH($F158,'#建筑消耗和buff配置索引'!$M:$M,0)))</f>
        <v/>
      </c>
      <c r="AK158" s="133" t="str">
        <f>IF(AJ158="","",INDEX('#建筑消耗和buff配置索引'!BC:BC,MATCH($F158,'#建筑消耗和buff配置索引'!$M:$M,0)))</f>
        <v/>
      </c>
      <c r="AN158" s="133" t="str">
        <f>IF(INDEX('#建筑消耗和buff配置索引'!BG:BG,MATCH($F158,'#建筑消耗和buff配置索引'!$M:$M,0))=0,"",INDEX('#建筑消耗和buff配置索引'!BG:BG,MATCH($F158,'#建筑消耗和buff配置索引'!$M:$M,0)))</f>
        <v/>
      </c>
      <c r="AO158" s="133" t="str">
        <f>IF(AN158="","",INDEX('#建筑消耗和buff配置索引'!BH:BH,MATCH($F158,'#建筑消耗和buff配置索引'!$M:$M,0)))</f>
        <v/>
      </c>
      <c r="AR158" s="133" t="str">
        <f>IF(INDEX('#建筑消耗和buff配置索引'!BK:BK,MATCH($F158,'#建筑消耗和buff配置索引'!$M:$M,0))=0,"",INDEX('#建筑消耗和buff配置索引'!BK:BK,MATCH($F158,'#建筑消耗和buff配置索引'!$M:$M,0)))</f>
        <v/>
      </c>
      <c r="AS158" s="133" t="str">
        <f>IF(AR158="","",INDEX('#建筑消耗和buff配置索引'!BL:BL,MATCH($F158,'#建筑消耗和buff配置索引'!$M:$M,0)))</f>
        <v/>
      </c>
      <c r="AV158" s="133" t="str">
        <f>IF(INDEX('#建筑消耗和buff配置索引'!BO:BO,MATCH($F158,'#建筑消耗和buff配置索引'!$M:$M,0))=0,"",INDEX('#建筑消耗和buff配置索引'!BO:BO,MATCH($F158,'#建筑消耗和buff配置索引'!$M:$M,0)))</f>
        <v/>
      </c>
      <c r="AW158" s="133" t="str">
        <f>IF(AV158="","",INDEX('#建筑消耗和buff配置索引'!BP:BP,MATCH($F158,'#建筑消耗和buff配置索引'!$M:$M,0)))</f>
        <v/>
      </c>
      <c r="AZ158" s="133" t="str">
        <f>IF(INDEX('#建筑消耗和buff配置索引'!BS:BS,MATCH($F158,'#建筑消耗和buff配置索引'!$M:$M,0))=0,"",INDEX('#建筑消耗和buff配置索引'!BS:BS,MATCH($F158,'#建筑消耗和buff配置索引'!$M:$M,0)))</f>
        <v/>
      </c>
      <c r="BA158" s="133" t="str">
        <f>IF(AZ158="","",INDEX('#建筑消耗和buff配置索引'!BT:BT,MATCH($F158,'#建筑消耗和buff配置索引'!$M:$M,0)))</f>
        <v/>
      </c>
      <c r="BD158" s="133" t="str">
        <f>IF(INDEX('#建筑消耗和buff配置索引'!BW:BW,MATCH($F158,'#建筑消耗和buff配置索引'!$M:$M,0))=0,"",INDEX('#建筑消耗和buff配置索引'!BW:BW,MATCH($F158,'#建筑消耗和buff配置索引'!$M:$M,0)))</f>
        <v/>
      </c>
      <c r="BE158" s="133" t="str">
        <f>IF(BD158="","",INDEX('#建筑消耗和buff配置索引'!BX:BX,MATCH($F158,'#建筑消耗和buff配置索引'!$M:$M,0)))</f>
        <v/>
      </c>
      <c r="BI158" s="133">
        <v>9</v>
      </c>
      <c r="BJ158" s="133">
        <v>299</v>
      </c>
    </row>
    <row r="159" spans="1:70" s="133" customFormat="1">
      <c r="A159" s="133">
        <v>2060006</v>
      </c>
      <c r="B159" s="133">
        <v>156</v>
      </c>
      <c r="C159" s="133">
        <v>206</v>
      </c>
      <c r="D159" s="133" t="s">
        <v>293</v>
      </c>
      <c r="E159" s="133">
        <v>6</v>
      </c>
      <c r="F159" s="133" t="str">
        <f t="shared" si="4"/>
        <v>剑士营6</v>
      </c>
      <c r="H159" s="146"/>
      <c r="I159" s="133">
        <v>1</v>
      </c>
      <c r="J159" s="150">
        <f>INDEX('#建筑消耗和buff配置索引'!AH:AH,MATCH($F159,'#建筑消耗和buff配置索引'!$M:$M,0))</f>
        <v>810</v>
      </c>
      <c r="K159" s="150">
        <f>INDEX('#建筑消耗和buff配置索引'!AA:AA,MATCH($F159,'#建筑消耗和buff配置索引'!$M:$M,0))</f>
        <v>14000</v>
      </c>
      <c r="L159" s="150">
        <f>INDEX('#建筑消耗和buff配置索引'!AB:AB,MATCH($F159,'#建筑消耗和buff配置索引'!$M:$M,0))</f>
        <v>14000</v>
      </c>
      <c r="M159" s="150">
        <f>INDEX('#建筑消耗和buff配置索引'!AC:AC,MATCH($F159,'#建筑消耗和buff配置索引'!$M:$M,0))</f>
        <v>14000</v>
      </c>
      <c r="N159" s="150">
        <f>INDEX('#建筑消耗和buff配置索引'!AD:AD,MATCH($F159,'#建筑消耗和buff配置索引'!$M:$M,0))</f>
        <v>0</v>
      </c>
      <c r="O159" s="150" t="str">
        <f>IF(INDEX('#建筑消耗和buff配置索引'!T:T,MATCH($F159,'#建筑消耗和buff配置索引'!$M:$M,0))=0,"",INDEX('#建筑消耗和buff配置索引'!T:T,MATCH($F159,'#建筑消耗和buff配置索引'!$M:$M,0)))</f>
        <v/>
      </c>
      <c r="P159" s="133" t="str">
        <f>IF(INDEX('#建筑消耗和buff配置索引'!U:U,MATCH($F159,'#建筑消耗和buff配置索引'!$M:$M,0))=0,"",INDEX('#建筑消耗和buff配置索引'!U:U,MATCH($F159,'#建筑消耗和buff配置索引'!$M:$M,0)))</f>
        <v/>
      </c>
      <c r="Q159" s="133" t="str">
        <f>IF(INDEX('#建筑消耗和buff配置索引'!K:K,MATCH($F159,'#建筑消耗和buff配置索引'!$M:$M,0))=0,"",INDEX('#建筑消耗和buff配置索引'!K:K,MATCH($F159,'#建筑消耗和buff配置索引'!$M:$M,0)))</f>
        <v>201;203</v>
      </c>
      <c r="R159" s="133" t="str">
        <f>IF(INDEX('#建筑消耗和buff配置索引'!L:L,MATCH($F159,'#建筑消耗和buff配置索引'!$M:$M,0))=0,"",INDEX('#建筑消耗和buff配置索引'!L:L,MATCH($F159,'#建筑消耗和buff配置索引'!$M:$M,0)))</f>
        <v>6;6</v>
      </c>
      <c r="S159" s="133">
        <f>IF(INDEX('#建筑消耗和buff配置索引'!C:C,MATCH(F159,'#建筑消耗和buff配置索引'!M:M,0))=0,1,INDEX('#建筑消耗和buff配置索引'!C:C,MATCH(F159,'#建筑消耗和buff配置索引'!M:M,0)))</f>
        <v>1</v>
      </c>
      <c r="T159" s="133">
        <v>0</v>
      </c>
      <c r="U159" s="133">
        <v>0</v>
      </c>
      <c r="V159" s="133" t="str">
        <f>IF(E159=1,IF(INDEX('#建筑消耗和buff配置索引'!BY:BY,MATCH(D159,'#建筑消耗和buff配置索引'!A:A,0))=0,"",INDEX('#建筑消耗和buff配置索引'!BY:BY,MATCH(D159,'#建筑消耗和buff配置索引'!A:A,0))),"")</f>
        <v/>
      </c>
      <c r="W159" s="133" t="str">
        <f>IF(E159=1,IF(INDEX('#建筑消耗和buff配置索引'!BZ:BZ,MATCH(D159,'#建筑消耗和buff配置索引'!A:A,0))=0,"",INDEX('#建筑消耗和buff配置索引'!BZ:BZ,MATCH(D159,'#建筑消耗和buff配置索引'!A:A,0))),"")</f>
        <v/>
      </c>
      <c r="AA159" s="133">
        <f>INDEX('#建筑消耗和buff配置索引'!AO:AO,MATCH($F159,'#建筑消耗和buff配置索引'!$M:$M,0))</f>
        <v>177</v>
      </c>
      <c r="AB159" s="133">
        <f>IF(INDEX('#建筑消耗和buff配置索引'!AR:AR,MATCH($F159,'#建筑消耗和buff配置索引'!$M:$M,0))=0,"",INDEX('#建筑消耗和buff配置索引'!AR:AR,MATCH($F159,'#建筑消耗和buff配置索引'!$M:$M,0)))</f>
        <v>3000</v>
      </c>
      <c r="AC159" s="133">
        <f>IF(AB159="","",INDEX('#建筑消耗和buff配置索引'!AS:AS,MATCH($F159,'#建筑消耗和buff配置索引'!$M:$M,0)))</f>
        <v>2.5000000000000001E-2</v>
      </c>
      <c r="AF159" s="133">
        <f>IF(INDEX('#建筑消耗和buff配置索引'!AW:AW,MATCH($F159,'#建筑消耗和buff配置索引'!$M:$M,0))=0,"",INDEX('#建筑消耗和buff配置索引'!AW:AW,MATCH($F159,'#建筑消耗和buff配置索引'!$M:$M,0)))</f>
        <v>3013</v>
      </c>
      <c r="AG159" s="133">
        <f>IF(AF159="","",INDEX('#建筑消耗和buff配置索引'!AX:AX,MATCH($F159,'#建筑消耗和buff配置索引'!$M:$M,0)))</f>
        <v>250</v>
      </c>
      <c r="AJ159" s="133" t="str">
        <f>IF(INDEX('#建筑消耗和buff配置索引'!BB:BB,MATCH($F159,'#建筑消耗和buff配置索引'!$M:$M,0))=0,"",INDEX('#建筑消耗和buff配置索引'!BB:BB,MATCH($F159,'#建筑消耗和buff配置索引'!$M:$M,0)))</f>
        <v/>
      </c>
      <c r="AK159" s="133" t="str">
        <f>IF(AJ159="","",INDEX('#建筑消耗和buff配置索引'!BC:BC,MATCH($F159,'#建筑消耗和buff配置索引'!$M:$M,0)))</f>
        <v/>
      </c>
      <c r="AN159" s="133" t="str">
        <f>IF(INDEX('#建筑消耗和buff配置索引'!BG:BG,MATCH($F159,'#建筑消耗和buff配置索引'!$M:$M,0))=0,"",INDEX('#建筑消耗和buff配置索引'!BG:BG,MATCH($F159,'#建筑消耗和buff配置索引'!$M:$M,0)))</f>
        <v/>
      </c>
      <c r="AO159" s="133" t="str">
        <f>IF(AN159="","",INDEX('#建筑消耗和buff配置索引'!BH:BH,MATCH($F159,'#建筑消耗和buff配置索引'!$M:$M,0)))</f>
        <v/>
      </c>
      <c r="AR159" s="133" t="str">
        <f>IF(INDEX('#建筑消耗和buff配置索引'!BK:BK,MATCH($F159,'#建筑消耗和buff配置索引'!$M:$M,0))=0,"",INDEX('#建筑消耗和buff配置索引'!BK:BK,MATCH($F159,'#建筑消耗和buff配置索引'!$M:$M,0)))</f>
        <v/>
      </c>
      <c r="AS159" s="133" t="str">
        <f>IF(AR159="","",INDEX('#建筑消耗和buff配置索引'!BL:BL,MATCH($F159,'#建筑消耗和buff配置索引'!$M:$M,0)))</f>
        <v/>
      </c>
      <c r="AV159" s="133" t="str">
        <f>IF(INDEX('#建筑消耗和buff配置索引'!BO:BO,MATCH($F159,'#建筑消耗和buff配置索引'!$M:$M,0))=0,"",INDEX('#建筑消耗和buff配置索引'!BO:BO,MATCH($F159,'#建筑消耗和buff配置索引'!$M:$M,0)))</f>
        <v/>
      </c>
      <c r="AW159" s="133" t="str">
        <f>IF(AV159="","",INDEX('#建筑消耗和buff配置索引'!BP:BP,MATCH($F159,'#建筑消耗和buff配置索引'!$M:$M,0)))</f>
        <v/>
      </c>
      <c r="AZ159" s="133" t="str">
        <f>IF(INDEX('#建筑消耗和buff配置索引'!BS:BS,MATCH($F159,'#建筑消耗和buff配置索引'!$M:$M,0))=0,"",INDEX('#建筑消耗和buff配置索引'!BS:BS,MATCH($F159,'#建筑消耗和buff配置索引'!$M:$M,0)))</f>
        <v/>
      </c>
      <c r="BA159" s="133" t="str">
        <f>IF(AZ159="","",INDEX('#建筑消耗和buff配置索引'!BT:BT,MATCH($F159,'#建筑消耗和buff配置索引'!$M:$M,0)))</f>
        <v/>
      </c>
      <c r="BD159" s="133" t="str">
        <f>IF(INDEX('#建筑消耗和buff配置索引'!BW:BW,MATCH($F159,'#建筑消耗和buff配置索引'!$M:$M,0))=0,"",INDEX('#建筑消耗和buff配置索引'!BW:BW,MATCH($F159,'#建筑消耗和buff配置索引'!$M:$M,0)))</f>
        <v/>
      </c>
      <c r="BE159" s="133" t="str">
        <f>IF(BD159="","",INDEX('#建筑消耗和buff配置索引'!BX:BX,MATCH($F159,'#建筑消耗和buff配置索引'!$M:$M,0)))</f>
        <v/>
      </c>
      <c r="BI159" s="133">
        <v>9</v>
      </c>
      <c r="BJ159" s="133">
        <v>299</v>
      </c>
    </row>
    <row r="160" spans="1:70" s="133" customFormat="1">
      <c r="A160" s="133">
        <v>2060007</v>
      </c>
      <c r="B160" s="133">
        <v>157</v>
      </c>
      <c r="C160" s="133">
        <v>206</v>
      </c>
      <c r="D160" s="133" t="s">
        <v>293</v>
      </c>
      <c r="E160" s="133">
        <v>7</v>
      </c>
      <c r="F160" s="133" t="str">
        <f t="shared" si="4"/>
        <v>剑士营7</v>
      </c>
      <c r="H160" s="146"/>
      <c r="I160" s="133">
        <v>1</v>
      </c>
      <c r="J160" s="150">
        <f>INDEX('#建筑消耗和buff配置索引'!AH:AH,MATCH($F160,'#建筑消耗和buff配置索引'!$M:$M,0))</f>
        <v>1350</v>
      </c>
      <c r="K160" s="150">
        <f>INDEX('#建筑消耗和buff配置索引'!AA:AA,MATCH($F160,'#建筑消耗和buff配置索引'!$M:$M,0))</f>
        <v>26000</v>
      </c>
      <c r="L160" s="150">
        <f>INDEX('#建筑消耗和buff配置索引'!AB:AB,MATCH($F160,'#建筑消耗和buff配置索引'!$M:$M,0))</f>
        <v>26000</v>
      </c>
      <c r="M160" s="150">
        <f>INDEX('#建筑消耗和buff配置索引'!AC:AC,MATCH($F160,'#建筑消耗和buff配置索引'!$M:$M,0))</f>
        <v>26000</v>
      </c>
      <c r="N160" s="150">
        <f>INDEX('#建筑消耗和buff配置索引'!AD:AD,MATCH($F160,'#建筑消耗和buff配置索引'!$M:$M,0))</f>
        <v>0</v>
      </c>
      <c r="O160" s="150" t="str">
        <f>IF(INDEX('#建筑消耗和buff配置索引'!T:T,MATCH($F160,'#建筑消耗和buff配置索引'!$M:$M,0))=0,"",INDEX('#建筑消耗和buff配置索引'!T:T,MATCH($F160,'#建筑消耗和buff配置索引'!$M:$M,0)))</f>
        <v/>
      </c>
      <c r="P160" s="133" t="str">
        <f>IF(INDEX('#建筑消耗和buff配置索引'!U:U,MATCH($F160,'#建筑消耗和buff配置索引'!$M:$M,0))=0,"",INDEX('#建筑消耗和buff配置索引'!U:U,MATCH($F160,'#建筑消耗和buff配置索引'!$M:$M,0)))</f>
        <v/>
      </c>
      <c r="Q160" s="133" t="str">
        <f>IF(INDEX('#建筑消耗和buff配置索引'!K:K,MATCH($F160,'#建筑消耗和buff配置索引'!$M:$M,0))=0,"",INDEX('#建筑消耗和buff配置索引'!K:K,MATCH($F160,'#建筑消耗和buff配置索引'!$M:$M,0)))</f>
        <v>201;203</v>
      </c>
      <c r="R160" s="133" t="str">
        <f>IF(INDEX('#建筑消耗和buff配置索引'!L:L,MATCH($F160,'#建筑消耗和buff配置索引'!$M:$M,0))=0,"",INDEX('#建筑消耗和buff配置索引'!L:L,MATCH($F160,'#建筑消耗和buff配置索引'!$M:$M,0)))</f>
        <v>7;7</v>
      </c>
      <c r="S160" s="133">
        <f>IF(INDEX('#建筑消耗和buff配置索引'!C:C,MATCH(F160,'#建筑消耗和buff配置索引'!M:M,0))=0,1,INDEX('#建筑消耗和buff配置索引'!C:C,MATCH(F160,'#建筑消耗和buff配置索引'!M:M,0)))</f>
        <v>1</v>
      </c>
      <c r="T160" s="133">
        <v>0</v>
      </c>
      <c r="U160" s="133">
        <v>0</v>
      </c>
      <c r="V160" s="133" t="str">
        <f>IF(E160=1,IF(INDEX('#建筑消耗和buff配置索引'!BY:BY,MATCH(D160,'#建筑消耗和buff配置索引'!A:A,0))=0,"",INDEX('#建筑消耗和buff配置索引'!BY:BY,MATCH(D160,'#建筑消耗和buff配置索引'!A:A,0))),"")</f>
        <v/>
      </c>
      <c r="W160" s="133" t="str">
        <f>IF(E160=1,IF(INDEX('#建筑消耗和buff配置索引'!BZ:BZ,MATCH(D160,'#建筑消耗和buff配置索引'!A:A,0))=0,"",INDEX('#建筑消耗和buff配置索引'!BZ:BZ,MATCH(D160,'#建筑消耗和buff配置索引'!A:A,0))),"")</f>
        <v/>
      </c>
      <c r="AA160" s="133">
        <f>INDEX('#建筑消耗和buff配置索引'!AO:AO,MATCH($F160,'#建筑消耗和buff配置索引'!$M:$M,0))</f>
        <v>331</v>
      </c>
      <c r="AB160" s="133">
        <f>IF(INDEX('#建筑消耗和buff配置索引'!AR:AR,MATCH($F160,'#建筑消耗和buff配置索引'!$M:$M,0))=0,"",INDEX('#建筑消耗和buff配置索引'!AR:AR,MATCH($F160,'#建筑消耗和buff配置索引'!$M:$M,0)))</f>
        <v>3000</v>
      </c>
      <c r="AC160" s="133">
        <f>IF(AB160="","",INDEX('#建筑消耗和buff配置索引'!AS:AS,MATCH($F160,'#建筑消耗和buff配置索引'!$M:$M,0)))</f>
        <v>0.03</v>
      </c>
      <c r="AF160" s="133">
        <f>IF(INDEX('#建筑消耗和buff配置索引'!AW:AW,MATCH($F160,'#建筑消耗和buff配置索引'!$M:$M,0))=0,"",INDEX('#建筑消耗和buff配置索引'!AW:AW,MATCH($F160,'#建筑消耗和buff配置索引'!$M:$M,0)))</f>
        <v>3013</v>
      </c>
      <c r="AG160" s="133">
        <f>IF(AF160="","",INDEX('#建筑消耗和buff配置索引'!AX:AX,MATCH($F160,'#建筑消耗和buff配置索引'!$M:$M,0)))</f>
        <v>300</v>
      </c>
      <c r="AJ160" s="133" t="str">
        <f>IF(INDEX('#建筑消耗和buff配置索引'!BB:BB,MATCH($F160,'#建筑消耗和buff配置索引'!$M:$M,0))=0,"",INDEX('#建筑消耗和buff配置索引'!BB:BB,MATCH($F160,'#建筑消耗和buff配置索引'!$M:$M,0)))</f>
        <v/>
      </c>
      <c r="AK160" s="133" t="str">
        <f>IF(AJ160="","",INDEX('#建筑消耗和buff配置索引'!BC:BC,MATCH($F160,'#建筑消耗和buff配置索引'!$M:$M,0)))</f>
        <v/>
      </c>
      <c r="AN160" s="133" t="str">
        <f>IF(INDEX('#建筑消耗和buff配置索引'!BG:BG,MATCH($F160,'#建筑消耗和buff配置索引'!$M:$M,0))=0,"",INDEX('#建筑消耗和buff配置索引'!BG:BG,MATCH($F160,'#建筑消耗和buff配置索引'!$M:$M,0)))</f>
        <v/>
      </c>
      <c r="AO160" s="133" t="str">
        <f>IF(AN160="","",INDEX('#建筑消耗和buff配置索引'!BH:BH,MATCH($F160,'#建筑消耗和buff配置索引'!$M:$M,0)))</f>
        <v/>
      </c>
      <c r="AR160" s="133" t="str">
        <f>IF(INDEX('#建筑消耗和buff配置索引'!BK:BK,MATCH($F160,'#建筑消耗和buff配置索引'!$M:$M,0))=0,"",INDEX('#建筑消耗和buff配置索引'!BK:BK,MATCH($F160,'#建筑消耗和buff配置索引'!$M:$M,0)))</f>
        <v/>
      </c>
      <c r="AS160" s="133" t="str">
        <f>IF(AR160="","",INDEX('#建筑消耗和buff配置索引'!BL:BL,MATCH($F160,'#建筑消耗和buff配置索引'!$M:$M,0)))</f>
        <v/>
      </c>
      <c r="AV160" s="133" t="str">
        <f>IF(INDEX('#建筑消耗和buff配置索引'!BO:BO,MATCH($F160,'#建筑消耗和buff配置索引'!$M:$M,0))=0,"",INDEX('#建筑消耗和buff配置索引'!BO:BO,MATCH($F160,'#建筑消耗和buff配置索引'!$M:$M,0)))</f>
        <v/>
      </c>
      <c r="AW160" s="133" t="str">
        <f>IF(AV160="","",INDEX('#建筑消耗和buff配置索引'!BP:BP,MATCH($F160,'#建筑消耗和buff配置索引'!$M:$M,0)))</f>
        <v/>
      </c>
      <c r="AZ160" s="133" t="str">
        <f>IF(INDEX('#建筑消耗和buff配置索引'!BS:BS,MATCH($F160,'#建筑消耗和buff配置索引'!$M:$M,0))=0,"",INDEX('#建筑消耗和buff配置索引'!BS:BS,MATCH($F160,'#建筑消耗和buff配置索引'!$M:$M,0)))</f>
        <v/>
      </c>
      <c r="BA160" s="133" t="str">
        <f>IF(AZ160="","",INDEX('#建筑消耗和buff配置索引'!BT:BT,MATCH($F160,'#建筑消耗和buff配置索引'!$M:$M,0)))</f>
        <v/>
      </c>
      <c r="BD160" s="133" t="str">
        <f>IF(INDEX('#建筑消耗和buff配置索引'!BW:BW,MATCH($F160,'#建筑消耗和buff配置索引'!$M:$M,0))=0,"",INDEX('#建筑消耗和buff配置索引'!BW:BW,MATCH($F160,'#建筑消耗和buff配置索引'!$M:$M,0)))</f>
        <v/>
      </c>
      <c r="BE160" s="133" t="str">
        <f>IF(BD160="","",INDEX('#建筑消耗和buff配置索引'!BX:BX,MATCH($F160,'#建筑消耗和buff配置索引'!$M:$M,0)))</f>
        <v/>
      </c>
      <c r="BI160" s="133">
        <v>9</v>
      </c>
      <c r="BJ160" s="133">
        <v>299</v>
      </c>
    </row>
    <row r="161" spans="1:62" s="133" customFormat="1">
      <c r="A161" s="133">
        <v>2060008</v>
      </c>
      <c r="B161" s="133">
        <v>158</v>
      </c>
      <c r="C161" s="133">
        <v>206</v>
      </c>
      <c r="D161" s="133" t="s">
        <v>293</v>
      </c>
      <c r="E161" s="133">
        <v>8</v>
      </c>
      <c r="F161" s="133" t="str">
        <f t="shared" si="4"/>
        <v>剑士营8</v>
      </c>
      <c r="H161" s="146"/>
      <c r="I161" s="133">
        <v>1</v>
      </c>
      <c r="J161" s="150">
        <f>INDEX('#建筑消耗和buff配置索引'!AH:AH,MATCH($F161,'#建筑消耗和buff配置索引'!$M:$M,0))</f>
        <v>2160</v>
      </c>
      <c r="K161" s="150">
        <f>INDEX('#建筑消耗和buff配置索引'!AA:AA,MATCH($F161,'#建筑消耗和buff配置索引'!$M:$M,0))</f>
        <v>44000</v>
      </c>
      <c r="L161" s="150">
        <f>INDEX('#建筑消耗和buff配置索引'!AB:AB,MATCH($F161,'#建筑消耗和buff配置索引'!$M:$M,0))</f>
        <v>44000</v>
      </c>
      <c r="M161" s="150">
        <f>INDEX('#建筑消耗和buff配置索引'!AC:AC,MATCH($F161,'#建筑消耗和buff配置索引'!$M:$M,0))</f>
        <v>44000</v>
      </c>
      <c r="N161" s="150">
        <f>INDEX('#建筑消耗和buff配置索引'!AD:AD,MATCH($F161,'#建筑消耗和buff配置索引'!$M:$M,0))</f>
        <v>0</v>
      </c>
      <c r="O161" s="150" t="str">
        <f>IF(INDEX('#建筑消耗和buff配置索引'!T:T,MATCH($F161,'#建筑消耗和buff配置索引'!$M:$M,0))=0,"",INDEX('#建筑消耗和buff配置索引'!T:T,MATCH($F161,'#建筑消耗和buff配置索引'!$M:$M,0)))</f>
        <v/>
      </c>
      <c r="P161" s="133" t="str">
        <f>IF(INDEX('#建筑消耗和buff配置索引'!U:U,MATCH($F161,'#建筑消耗和buff配置索引'!$M:$M,0))=0,"",INDEX('#建筑消耗和buff配置索引'!U:U,MATCH($F161,'#建筑消耗和buff配置索引'!$M:$M,0)))</f>
        <v/>
      </c>
      <c r="Q161" s="133" t="str">
        <f>IF(INDEX('#建筑消耗和buff配置索引'!K:K,MATCH($F161,'#建筑消耗和buff配置索引'!$M:$M,0))=0,"",INDEX('#建筑消耗和buff配置索引'!K:K,MATCH($F161,'#建筑消耗和buff配置索引'!$M:$M,0)))</f>
        <v>201;203</v>
      </c>
      <c r="R161" s="133" t="str">
        <f>IF(INDEX('#建筑消耗和buff配置索引'!L:L,MATCH($F161,'#建筑消耗和buff配置索引'!$M:$M,0))=0,"",INDEX('#建筑消耗和buff配置索引'!L:L,MATCH($F161,'#建筑消耗和buff配置索引'!$M:$M,0)))</f>
        <v>8;8</v>
      </c>
      <c r="S161" s="133">
        <f>IF(INDEX('#建筑消耗和buff配置索引'!C:C,MATCH(F161,'#建筑消耗和buff配置索引'!M:M,0))=0,1,INDEX('#建筑消耗和buff配置索引'!C:C,MATCH(F161,'#建筑消耗和buff配置索引'!M:M,0)))</f>
        <v>1</v>
      </c>
      <c r="T161" s="133">
        <v>0</v>
      </c>
      <c r="U161" s="133">
        <v>0</v>
      </c>
      <c r="V161" s="133" t="str">
        <f>IF(E161=1,IF(INDEX('#建筑消耗和buff配置索引'!BY:BY,MATCH(D161,'#建筑消耗和buff配置索引'!A:A,0))=0,"",INDEX('#建筑消耗和buff配置索引'!BY:BY,MATCH(D161,'#建筑消耗和buff配置索引'!A:A,0))),"")</f>
        <v/>
      </c>
      <c r="W161" s="133" t="str">
        <f>IF(E161=1,IF(INDEX('#建筑消耗和buff配置索引'!BZ:BZ,MATCH(D161,'#建筑消耗和buff配置索引'!A:A,0))=0,"",INDEX('#建筑消耗和buff配置索引'!BZ:BZ,MATCH(D161,'#建筑消耗和buff配置索引'!A:A,0))),"")</f>
        <v/>
      </c>
      <c r="AA161" s="133">
        <f>INDEX('#建筑消耗和buff配置索引'!AO:AO,MATCH($F161,'#建筑消耗和buff配置索引'!$M:$M,0))</f>
        <v>596</v>
      </c>
      <c r="AB161" s="133">
        <f>IF(INDEX('#建筑消耗和buff配置索引'!AR:AR,MATCH($F161,'#建筑消耗和buff配置索引'!$M:$M,0))=0,"",INDEX('#建筑消耗和buff配置索引'!AR:AR,MATCH($F161,'#建筑消耗和buff配置索引'!$M:$M,0)))</f>
        <v>3000</v>
      </c>
      <c r="AC161" s="133">
        <f>IF(AB161="","",INDEX('#建筑消耗和buff配置索引'!AS:AS,MATCH($F161,'#建筑消耗和buff配置索引'!$M:$M,0)))</f>
        <v>3.5000000000000003E-2</v>
      </c>
      <c r="AF161" s="133">
        <f>IF(INDEX('#建筑消耗和buff配置索引'!AW:AW,MATCH($F161,'#建筑消耗和buff配置索引'!$M:$M,0))=0,"",INDEX('#建筑消耗和buff配置索引'!AW:AW,MATCH($F161,'#建筑消耗和buff配置索引'!$M:$M,0)))</f>
        <v>3013</v>
      </c>
      <c r="AG161" s="133">
        <f>IF(AF161="","",INDEX('#建筑消耗和buff配置索引'!AX:AX,MATCH($F161,'#建筑消耗和buff配置索引'!$M:$M,0)))</f>
        <v>350</v>
      </c>
      <c r="AJ161" s="133" t="str">
        <f>IF(INDEX('#建筑消耗和buff配置索引'!BB:BB,MATCH($F161,'#建筑消耗和buff配置索引'!$M:$M,0))=0,"",INDEX('#建筑消耗和buff配置索引'!BB:BB,MATCH($F161,'#建筑消耗和buff配置索引'!$M:$M,0)))</f>
        <v/>
      </c>
      <c r="AK161" s="133" t="str">
        <f>IF(AJ161="","",INDEX('#建筑消耗和buff配置索引'!BC:BC,MATCH($F161,'#建筑消耗和buff配置索引'!$M:$M,0)))</f>
        <v/>
      </c>
      <c r="AN161" s="133" t="str">
        <f>IF(INDEX('#建筑消耗和buff配置索引'!BG:BG,MATCH($F161,'#建筑消耗和buff配置索引'!$M:$M,0))=0,"",INDEX('#建筑消耗和buff配置索引'!BG:BG,MATCH($F161,'#建筑消耗和buff配置索引'!$M:$M,0)))</f>
        <v/>
      </c>
      <c r="AO161" s="133" t="str">
        <f>IF(AN161="","",INDEX('#建筑消耗和buff配置索引'!BH:BH,MATCH($F161,'#建筑消耗和buff配置索引'!$M:$M,0)))</f>
        <v/>
      </c>
      <c r="AR161" s="133" t="str">
        <f>IF(INDEX('#建筑消耗和buff配置索引'!BK:BK,MATCH($F161,'#建筑消耗和buff配置索引'!$M:$M,0))=0,"",INDEX('#建筑消耗和buff配置索引'!BK:BK,MATCH($F161,'#建筑消耗和buff配置索引'!$M:$M,0)))</f>
        <v/>
      </c>
      <c r="AS161" s="133" t="str">
        <f>IF(AR161="","",INDEX('#建筑消耗和buff配置索引'!BL:BL,MATCH($F161,'#建筑消耗和buff配置索引'!$M:$M,0)))</f>
        <v/>
      </c>
      <c r="AV161" s="133" t="str">
        <f>IF(INDEX('#建筑消耗和buff配置索引'!BO:BO,MATCH($F161,'#建筑消耗和buff配置索引'!$M:$M,0))=0,"",INDEX('#建筑消耗和buff配置索引'!BO:BO,MATCH($F161,'#建筑消耗和buff配置索引'!$M:$M,0)))</f>
        <v/>
      </c>
      <c r="AW161" s="133" t="str">
        <f>IF(AV161="","",INDEX('#建筑消耗和buff配置索引'!BP:BP,MATCH($F161,'#建筑消耗和buff配置索引'!$M:$M,0)))</f>
        <v/>
      </c>
      <c r="AZ161" s="133" t="str">
        <f>IF(INDEX('#建筑消耗和buff配置索引'!BS:BS,MATCH($F161,'#建筑消耗和buff配置索引'!$M:$M,0))=0,"",INDEX('#建筑消耗和buff配置索引'!BS:BS,MATCH($F161,'#建筑消耗和buff配置索引'!$M:$M,0)))</f>
        <v/>
      </c>
      <c r="BA161" s="133" t="str">
        <f>IF(AZ161="","",INDEX('#建筑消耗和buff配置索引'!BT:BT,MATCH($F161,'#建筑消耗和buff配置索引'!$M:$M,0)))</f>
        <v/>
      </c>
      <c r="BD161" s="133" t="str">
        <f>IF(INDEX('#建筑消耗和buff配置索引'!BW:BW,MATCH($F161,'#建筑消耗和buff配置索引'!$M:$M,0))=0,"",INDEX('#建筑消耗和buff配置索引'!BW:BW,MATCH($F161,'#建筑消耗和buff配置索引'!$M:$M,0)))</f>
        <v/>
      </c>
      <c r="BE161" s="133" t="str">
        <f>IF(BD161="","",INDEX('#建筑消耗和buff配置索引'!BX:BX,MATCH($F161,'#建筑消耗和buff配置索引'!$M:$M,0)))</f>
        <v/>
      </c>
      <c r="BI161" s="133">
        <v>9</v>
      </c>
      <c r="BJ161" s="133">
        <v>299</v>
      </c>
    </row>
    <row r="162" spans="1:62" s="133" customFormat="1">
      <c r="A162" s="133">
        <v>2060009</v>
      </c>
      <c r="B162" s="133">
        <v>159</v>
      </c>
      <c r="C162" s="133">
        <v>206</v>
      </c>
      <c r="D162" s="133" t="s">
        <v>293</v>
      </c>
      <c r="E162" s="133">
        <v>9</v>
      </c>
      <c r="F162" s="133" t="str">
        <f t="shared" si="4"/>
        <v>剑士营9</v>
      </c>
      <c r="H162" s="146"/>
      <c r="I162" s="133">
        <v>1</v>
      </c>
      <c r="J162" s="150">
        <f>INDEX('#建筑消耗和buff配置索引'!AH:AH,MATCH($F162,'#建筑消耗和buff配置索引'!$M:$M,0))</f>
        <v>4320</v>
      </c>
      <c r="K162" s="150">
        <f>INDEX('#建筑消耗和buff配置索引'!AA:AA,MATCH($F162,'#建筑消耗和buff配置索引'!$M:$M,0))</f>
        <v>73000</v>
      </c>
      <c r="L162" s="150">
        <f>INDEX('#建筑消耗和buff配置索引'!AB:AB,MATCH($F162,'#建筑消耗和buff配置索引'!$M:$M,0))</f>
        <v>73000</v>
      </c>
      <c r="M162" s="150">
        <f>INDEX('#建筑消耗和buff配置索引'!AC:AC,MATCH($F162,'#建筑消耗和buff配置索引'!$M:$M,0))</f>
        <v>73000</v>
      </c>
      <c r="N162" s="150">
        <f>INDEX('#建筑消耗和buff配置索引'!AD:AD,MATCH($F162,'#建筑消耗和buff配置索引'!$M:$M,0))</f>
        <v>0</v>
      </c>
      <c r="O162" s="150" t="str">
        <f>IF(INDEX('#建筑消耗和buff配置索引'!T:T,MATCH($F162,'#建筑消耗和buff配置索引'!$M:$M,0))=0,"",INDEX('#建筑消耗和buff配置索引'!T:T,MATCH($F162,'#建筑消耗和buff配置索引'!$M:$M,0)))</f>
        <v/>
      </c>
      <c r="P162" s="133" t="str">
        <f>IF(INDEX('#建筑消耗和buff配置索引'!U:U,MATCH($F162,'#建筑消耗和buff配置索引'!$M:$M,0))=0,"",INDEX('#建筑消耗和buff配置索引'!U:U,MATCH($F162,'#建筑消耗和buff配置索引'!$M:$M,0)))</f>
        <v/>
      </c>
      <c r="Q162" s="133" t="str">
        <f>IF(INDEX('#建筑消耗和buff配置索引'!K:K,MATCH($F162,'#建筑消耗和buff配置索引'!$M:$M,0))=0,"",INDEX('#建筑消耗和buff配置索引'!K:K,MATCH($F162,'#建筑消耗和buff配置索引'!$M:$M,0)))</f>
        <v>201;203</v>
      </c>
      <c r="R162" s="133" t="str">
        <f>IF(INDEX('#建筑消耗和buff配置索引'!L:L,MATCH($F162,'#建筑消耗和buff配置索引'!$M:$M,0))=0,"",INDEX('#建筑消耗和buff配置索引'!L:L,MATCH($F162,'#建筑消耗和buff配置索引'!$M:$M,0)))</f>
        <v>9;9</v>
      </c>
      <c r="S162" s="133">
        <f>IF(INDEX('#建筑消耗和buff配置索引'!C:C,MATCH(F162,'#建筑消耗和buff配置索引'!M:M,0))=0,1,INDEX('#建筑消耗和buff配置索引'!C:C,MATCH(F162,'#建筑消耗和buff配置索引'!M:M,0)))</f>
        <v>1</v>
      </c>
      <c r="T162" s="133">
        <v>0</v>
      </c>
      <c r="U162" s="133">
        <v>0</v>
      </c>
      <c r="V162" s="133" t="str">
        <f>IF(E162=1,IF(INDEX('#建筑消耗和buff配置索引'!BY:BY,MATCH(D162,'#建筑消耗和buff配置索引'!A:A,0))=0,"",INDEX('#建筑消耗和buff配置索引'!BY:BY,MATCH(D162,'#建筑消耗和buff配置索引'!A:A,0))),"")</f>
        <v/>
      </c>
      <c r="W162" s="133" t="str">
        <f>IF(E162=1,IF(INDEX('#建筑消耗和buff配置索引'!BZ:BZ,MATCH(D162,'#建筑消耗和buff配置索引'!A:A,0))=0,"",INDEX('#建筑消耗和buff配置索引'!BZ:BZ,MATCH(D162,'#建筑消耗和buff配置索引'!A:A,0))),"")</f>
        <v/>
      </c>
      <c r="AA162" s="133">
        <f>INDEX('#建筑消耗和buff配置索引'!AO:AO,MATCH($F162,'#建筑消耗和buff配置索引'!$M:$M,0))</f>
        <v>1034</v>
      </c>
      <c r="AB162" s="133">
        <f>IF(INDEX('#建筑消耗和buff配置索引'!AR:AR,MATCH($F162,'#建筑消耗和buff配置索引'!$M:$M,0))=0,"",INDEX('#建筑消耗和buff配置索引'!AR:AR,MATCH($F162,'#建筑消耗和buff配置索引'!$M:$M,0)))</f>
        <v>3000</v>
      </c>
      <c r="AC162" s="133">
        <f>IF(AB162="","",INDEX('#建筑消耗和buff配置索引'!AS:AS,MATCH($F162,'#建筑消耗和buff配置索引'!$M:$M,0)))</f>
        <v>0.04</v>
      </c>
      <c r="AF162" s="133">
        <f>IF(INDEX('#建筑消耗和buff配置索引'!AW:AW,MATCH($F162,'#建筑消耗和buff配置索引'!$M:$M,0))=0,"",INDEX('#建筑消耗和buff配置索引'!AW:AW,MATCH($F162,'#建筑消耗和buff配置索引'!$M:$M,0)))</f>
        <v>3013</v>
      </c>
      <c r="AG162" s="133">
        <f>IF(AF162="","",INDEX('#建筑消耗和buff配置索引'!AX:AX,MATCH($F162,'#建筑消耗和buff配置索引'!$M:$M,0)))</f>
        <v>400</v>
      </c>
      <c r="AJ162" s="133" t="str">
        <f>IF(INDEX('#建筑消耗和buff配置索引'!BB:BB,MATCH($F162,'#建筑消耗和buff配置索引'!$M:$M,0))=0,"",INDEX('#建筑消耗和buff配置索引'!BB:BB,MATCH($F162,'#建筑消耗和buff配置索引'!$M:$M,0)))</f>
        <v/>
      </c>
      <c r="AK162" s="133" t="str">
        <f>IF(AJ162="","",INDEX('#建筑消耗和buff配置索引'!BC:BC,MATCH($F162,'#建筑消耗和buff配置索引'!$M:$M,0)))</f>
        <v/>
      </c>
      <c r="AN162" s="133" t="str">
        <f>IF(INDEX('#建筑消耗和buff配置索引'!BG:BG,MATCH($F162,'#建筑消耗和buff配置索引'!$M:$M,0))=0,"",INDEX('#建筑消耗和buff配置索引'!BG:BG,MATCH($F162,'#建筑消耗和buff配置索引'!$M:$M,0)))</f>
        <v/>
      </c>
      <c r="AO162" s="133" t="str">
        <f>IF(AN162="","",INDEX('#建筑消耗和buff配置索引'!BH:BH,MATCH($F162,'#建筑消耗和buff配置索引'!$M:$M,0)))</f>
        <v/>
      </c>
      <c r="AR162" s="133" t="str">
        <f>IF(INDEX('#建筑消耗和buff配置索引'!BK:BK,MATCH($F162,'#建筑消耗和buff配置索引'!$M:$M,0))=0,"",INDEX('#建筑消耗和buff配置索引'!BK:BK,MATCH($F162,'#建筑消耗和buff配置索引'!$M:$M,0)))</f>
        <v/>
      </c>
      <c r="AS162" s="133" t="str">
        <f>IF(AR162="","",INDEX('#建筑消耗和buff配置索引'!BL:BL,MATCH($F162,'#建筑消耗和buff配置索引'!$M:$M,0)))</f>
        <v/>
      </c>
      <c r="AV162" s="133" t="str">
        <f>IF(INDEX('#建筑消耗和buff配置索引'!BO:BO,MATCH($F162,'#建筑消耗和buff配置索引'!$M:$M,0))=0,"",INDEX('#建筑消耗和buff配置索引'!BO:BO,MATCH($F162,'#建筑消耗和buff配置索引'!$M:$M,0)))</f>
        <v/>
      </c>
      <c r="AW162" s="133" t="str">
        <f>IF(AV162="","",INDEX('#建筑消耗和buff配置索引'!BP:BP,MATCH($F162,'#建筑消耗和buff配置索引'!$M:$M,0)))</f>
        <v/>
      </c>
      <c r="AZ162" s="133" t="str">
        <f>IF(INDEX('#建筑消耗和buff配置索引'!BS:BS,MATCH($F162,'#建筑消耗和buff配置索引'!$M:$M,0))=0,"",INDEX('#建筑消耗和buff配置索引'!BS:BS,MATCH($F162,'#建筑消耗和buff配置索引'!$M:$M,0)))</f>
        <v/>
      </c>
      <c r="BA162" s="133" t="str">
        <f>IF(AZ162="","",INDEX('#建筑消耗和buff配置索引'!BT:BT,MATCH($F162,'#建筑消耗和buff配置索引'!$M:$M,0)))</f>
        <v/>
      </c>
      <c r="BD162" s="133" t="str">
        <f>IF(INDEX('#建筑消耗和buff配置索引'!BW:BW,MATCH($F162,'#建筑消耗和buff配置索引'!$M:$M,0))=0,"",INDEX('#建筑消耗和buff配置索引'!BW:BW,MATCH($F162,'#建筑消耗和buff配置索引'!$M:$M,0)))</f>
        <v/>
      </c>
      <c r="BE162" s="133" t="str">
        <f>IF(BD162="","",INDEX('#建筑消耗和buff配置索引'!BX:BX,MATCH($F162,'#建筑消耗和buff配置索引'!$M:$M,0)))</f>
        <v/>
      </c>
      <c r="BI162" s="133">
        <v>9</v>
      </c>
      <c r="BJ162" s="133">
        <v>299</v>
      </c>
    </row>
    <row r="163" spans="1:62" s="133" customFormat="1">
      <c r="A163" s="133">
        <v>2060010</v>
      </c>
      <c r="B163" s="133">
        <v>160</v>
      </c>
      <c r="C163" s="133">
        <v>206</v>
      </c>
      <c r="D163" s="133" t="s">
        <v>293</v>
      </c>
      <c r="E163" s="133">
        <v>10</v>
      </c>
      <c r="F163" s="133" t="str">
        <f t="shared" si="4"/>
        <v>剑士营10</v>
      </c>
      <c r="H163" s="146"/>
      <c r="I163" s="133">
        <v>1</v>
      </c>
      <c r="J163" s="150">
        <f>INDEX('#建筑消耗和buff配置索引'!AH:AH,MATCH($F163,'#建筑消耗和buff配置索引'!$M:$M,0))</f>
        <v>6480</v>
      </c>
      <c r="K163" s="150">
        <f>INDEX('#建筑消耗和buff配置索引'!AA:AA,MATCH($F163,'#建筑消耗和buff配置索引'!$M:$M,0))</f>
        <v>86000</v>
      </c>
      <c r="L163" s="150">
        <f>INDEX('#建筑消耗和buff配置索引'!AB:AB,MATCH($F163,'#建筑消耗和buff配置索引'!$M:$M,0))</f>
        <v>86000</v>
      </c>
      <c r="M163" s="150">
        <f>INDEX('#建筑消耗和buff配置索引'!AC:AC,MATCH($F163,'#建筑消耗和buff配置索引'!$M:$M,0))</f>
        <v>86000</v>
      </c>
      <c r="N163" s="150">
        <f>INDEX('#建筑消耗和buff配置索引'!AD:AD,MATCH($F163,'#建筑消耗和buff配置索引'!$M:$M,0))</f>
        <v>86000</v>
      </c>
      <c r="O163" s="150" t="str">
        <f>IF(INDEX('#建筑消耗和buff配置索引'!T:T,MATCH($F163,'#建筑消耗和buff配置索引'!$M:$M,0))=0,"",INDEX('#建筑消耗和buff配置索引'!T:T,MATCH($F163,'#建筑消耗和buff配置索引'!$M:$M,0)))</f>
        <v/>
      </c>
      <c r="P163" s="133" t="str">
        <f>IF(INDEX('#建筑消耗和buff配置索引'!U:U,MATCH($F163,'#建筑消耗和buff配置索引'!$M:$M,0))=0,"",INDEX('#建筑消耗和buff配置索引'!U:U,MATCH($F163,'#建筑消耗和buff配置索引'!$M:$M,0)))</f>
        <v/>
      </c>
      <c r="Q163" s="133" t="str">
        <f>IF(INDEX('#建筑消耗和buff配置索引'!K:K,MATCH($F163,'#建筑消耗和buff配置索引'!$M:$M,0))=0,"",INDEX('#建筑消耗和buff配置索引'!K:K,MATCH($F163,'#建筑消耗和buff配置索引'!$M:$M,0)))</f>
        <v>201;203</v>
      </c>
      <c r="R163" s="133" t="str">
        <f>IF(INDEX('#建筑消耗和buff配置索引'!L:L,MATCH($F163,'#建筑消耗和buff配置索引'!$M:$M,0))=0,"",INDEX('#建筑消耗和buff配置索引'!L:L,MATCH($F163,'#建筑消耗和buff配置索引'!$M:$M,0)))</f>
        <v>10;10</v>
      </c>
      <c r="S163" s="133">
        <f>IF(INDEX('#建筑消耗和buff配置索引'!C:C,MATCH(F163,'#建筑消耗和buff配置索引'!M:M,0))=0,1,INDEX('#建筑消耗和buff配置索引'!C:C,MATCH(F163,'#建筑消耗和buff配置索引'!M:M,0)))</f>
        <v>1</v>
      </c>
      <c r="T163" s="133">
        <v>0</v>
      </c>
      <c r="U163" s="133">
        <v>0</v>
      </c>
      <c r="V163" s="133" t="str">
        <f>IF(E163=1,IF(INDEX('#建筑消耗和buff配置索引'!BY:BY,MATCH(D163,'#建筑消耗和buff配置索引'!A:A,0))=0,"",INDEX('#建筑消耗和buff配置索引'!BY:BY,MATCH(D163,'#建筑消耗和buff配置索引'!A:A,0))),"")</f>
        <v/>
      </c>
      <c r="W163" s="133" t="str">
        <f>IF(E163=1,IF(INDEX('#建筑消耗和buff配置索引'!BZ:BZ,MATCH(D163,'#建筑消耗和buff配置索引'!A:A,0))=0,"",INDEX('#建筑消耗和buff配置索引'!BZ:BZ,MATCH(D163,'#建筑消耗和buff配置索引'!A:A,0))),"")</f>
        <v/>
      </c>
      <c r="AA163" s="133">
        <f>INDEX('#建筑消耗和buff配置索引'!AO:AO,MATCH($F163,'#建筑消耗和buff配置索引'!$M:$M,0))</f>
        <v>1726</v>
      </c>
      <c r="AB163" s="133">
        <f>IF(INDEX('#建筑消耗和buff配置索引'!AR:AR,MATCH($F163,'#建筑消耗和buff配置索引'!$M:$M,0))=0,"",INDEX('#建筑消耗和buff配置索引'!AR:AR,MATCH($F163,'#建筑消耗和buff配置索引'!$M:$M,0)))</f>
        <v>3000</v>
      </c>
      <c r="AC163" s="133">
        <f>IF(AB163="","",INDEX('#建筑消耗和buff配置索引'!AS:AS,MATCH($F163,'#建筑消耗和buff配置索引'!$M:$M,0)))</f>
        <v>4.4999999999999998E-2</v>
      </c>
      <c r="AF163" s="133">
        <f>IF(INDEX('#建筑消耗和buff配置索引'!AW:AW,MATCH($F163,'#建筑消耗和buff配置索引'!$M:$M,0))=0,"",INDEX('#建筑消耗和buff配置索引'!AW:AW,MATCH($F163,'#建筑消耗和buff配置索引'!$M:$M,0)))</f>
        <v>3013</v>
      </c>
      <c r="AG163" s="133">
        <f>IF(AF163="","",INDEX('#建筑消耗和buff配置索引'!AX:AX,MATCH($F163,'#建筑消耗和buff配置索引'!$M:$M,0)))</f>
        <v>450</v>
      </c>
      <c r="AJ163" s="133" t="str">
        <f>IF(INDEX('#建筑消耗和buff配置索引'!BB:BB,MATCH($F163,'#建筑消耗和buff配置索引'!$M:$M,0))=0,"",INDEX('#建筑消耗和buff配置索引'!BB:BB,MATCH($F163,'#建筑消耗和buff配置索引'!$M:$M,0)))</f>
        <v/>
      </c>
      <c r="AK163" s="133" t="str">
        <f>IF(AJ163="","",INDEX('#建筑消耗和buff配置索引'!BC:BC,MATCH($F163,'#建筑消耗和buff配置索引'!$M:$M,0)))</f>
        <v/>
      </c>
      <c r="AN163" s="133" t="str">
        <f>IF(INDEX('#建筑消耗和buff配置索引'!BG:BG,MATCH($F163,'#建筑消耗和buff配置索引'!$M:$M,0))=0,"",INDEX('#建筑消耗和buff配置索引'!BG:BG,MATCH($F163,'#建筑消耗和buff配置索引'!$M:$M,0)))</f>
        <v/>
      </c>
      <c r="AO163" s="133" t="str">
        <f>IF(AN163="","",INDEX('#建筑消耗和buff配置索引'!BH:BH,MATCH($F163,'#建筑消耗和buff配置索引'!$M:$M,0)))</f>
        <v/>
      </c>
      <c r="AR163" s="133" t="str">
        <f>IF(INDEX('#建筑消耗和buff配置索引'!BK:BK,MATCH($F163,'#建筑消耗和buff配置索引'!$M:$M,0))=0,"",INDEX('#建筑消耗和buff配置索引'!BK:BK,MATCH($F163,'#建筑消耗和buff配置索引'!$M:$M,0)))</f>
        <v/>
      </c>
      <c r="AS163" s="133" t="str">
        <f>IF(AR163="","",INDEX('#建筑消耗和buff配置索引'!BL:BL,MATCH($F163,'#建筑消耗和buff配置索引'!$M:$M,0)))</f>
        <v/>
      </c>
      <c r="AV163" s="133" t="str">
        <f>IF(INDEX('#建筑消耗和buff配置索引'!BO:BO,MATCH($F163,'#建筑消耗和buff配置索引'!$M:$M,0))=0,"",INDEX('#建筑消耗和buff配置索引'!BO:BO,MATCH($F163,'#建筑消耗和buff配置索引'!$M:$M,0)))</f>
        <v/>
      </c>
      <c r="AW163" s="133" t="str">
        <f>IF(AV163="","",INDEX('#建筑消耗和buff配置索引'!BP:BP,MATCH($F163,'#建筑消耗和buff配置索引'!$M:$M,0)))</f>
        <v/>
      </c>
      <c r="AZ163" s="133" t="str">
        <f>IF(INDEX('#建筑消耗和buff配置索引'!BS:BS,MATCH($F163,'#建筑消耗和buff配置索引'!$M:$M,0))=0,"",INDEX('#建筑消耗和buff配置索引'!BS:BS,MATCH($F163,'#建筑消耗和buff配置索引'!$M:$M,0)))</f>
        <v/>
      </c>
      <c r="BA163" s="133" t="str">
        <f>IF(AZ163="","",INDEX('#建筑消耗和buff配置索引'!BT:BT,MATCH($F163,'#建筑消耗和buff配置索引'!$M:$M,0)))</f>
        <v/>
      </c>
      <c r="BD163" s="133" t="str">
        <f>IF(INDEX('#建筑消耗和buff配置索引'!BW:BW,MATCH($F163,'#建筑消耗和buff配置索引'!$M:$M,0))=0,"",INDEX('#建筑消耗和buff配置索引'!BW:BW,MATCH($F163,'#建筑消耗和buff配置索引'!$M:$M,0)))</f>
        <v/>
      </c>
      <c r="BE163" s="133" t="str">
        <f>IF(BD163="","",INDEX('#建筑消耗和buff配置索引'!BX:BX,MATCH($F163,'#建筑消耗和buff配置索引'!$M:$M,0)))</f>
        <v/>
      </c>
      <c r="BI163" s="133">
        <v>9</v>
      </c>
    </row>
    <row r="164" spans="1:62" s="133" customFormat="1">
      <c r="A164" s="133">
        <v>2060011</v>
      </c>
      <c r="B164" s="133">
        <v>161</v>
      </c>
      <c r="C164" s="133">
        <v>206</v>
      </c>
      <c r="D164" s="133" t="s">
        <v>293</v>
      </c>
      <c r="E164" s="133">
        <v>11</v>
      </c>
      <c r="F164" s="133" t="str">
        <f t="shared" si="4"/>
        <v>剑士营11</v>
      </c>
      <c r="H164" s="146"/>
      <c r="I164" s="133">
        <v>1</v>
      </c>
      <c r="J164" s="150">
        <f>INDEX('#建筑消耗和buff配置索引'!AH:AH,MATCH($F164,'#建筑消耗和buff配置索引'!$M:$M,0))</f>
        <v>9720</v>
      </c>
      <c r="K164" s="150">
        <f>INDEX('#建筑消耗和buff配置索引'!AA:AA,MATCH($F164,'#建筑消耗和buff配置索引'!$M:$M,0))</f>
        <v>130000</v>
      </c>
      <c r="L164" s="150">
        <f>INDEX('#建筑消耗和buff配置索引'!AB:AB,MATCH($F164,'#建筑消耗和buff配置索引'!$M:$M,0))</f>
        <v>130000</v>
      </c>
      <c r="M164" s="150">
        <f>INDEX('#建筑消耗和buff配置索引'!AC:AC,MATCH($F164,'#建筑消耗和buff配置索引'!$M:$M,0))</f>
        <v>130000</v>
      </c>
      <c r="N164" s="150">
        <f>INDEX('#建筑消耗和buff配置索引'!AD:AD,MATCH($F164,'#建筑消耗和buff配置索引'!$M:$M,0))</f>
        <v>130000</v>
      </c>
      <c r="O164" s="150" t="str">
        <f>IF(INDEX('#建筑消耗和buff配置索引'!T:T,MATCH($F164,'#建筑消耗和buff配置索引'!$M:$M,0))=0,"",INDEX('#建筑消耗和buff配置索引'!T:T,MATCH($F164,'#建筑消耗和buff配置索引'!$M:$M,0)))</f>
        <v/>
      </c>
      <c r="P164" s="133" t="str">
        <f>IF(INDEX('#建筑消耗和buff配置索引'!U:U,MATCH($F164,'#建筑消耗和buff配置索引'!$M:$M,0))=0,"",INDEX('#建筑消耗和buff配置索引'!U:U,MATCH($F164,'#建筑消耗和buff配置索引'!$M:$M,0)))</f>
        <v/>
      </c>
      <c r="Q164" s="133" t="str">
        <f>IF(INDEX('#建筑消耗和buff配置索引'!K:K,MATCH($F164,'#建筑消耗和buff配置索引'!$M:$M,0))=0,"",INDEX('#建筑消耗和buff配置索引'!K:K,MATCH($F164,'#建筑消耗和buff配置索引'!$M:$M,0)))</f>
        <v>201;203</v>
      </c>
      <c r="R164" s="133" t="str">
        <f>IF(INDEX('#建筑消耗和buff配置索引'!L:L,MATCH($F164,'#建筑消耗和buff配置索引'!$M:$M,0))=0,"",INDEX('#建筑消耗和buff配置索引'!L:L,MATCH($F164,'#建筑消耗和buff配置索引'!$M:$M,0)))</f>
        <v>11;11</v>
      </c>
      <c r="S164" s="133">
        <f>IF(INDEX('#建筑消耗和buff配置索引'!C:C,MATCH(F164,'#建筑消耗和buff配置索引'!M:M,0))=0,1,INDEX('#建筑消耗和buff配置索引'!C:C,MATCH(F164,'#建筑消耗和buff配置索引'!M:M,0)))</f>
        <v>1</v>
      </c>
      <c r="T164" s="133">
        <v>0</v>
      </c>
      <c r="U164" s="133">
        <v>0</v>
      </c>
      <c r="V164" s="133" t="str">
        <f>IF(E164=1,IF(INDEX('#建筑消耗和buff配置索引'!BY:BY,MATCH(D164,'#建筑消耗和buff配置索引'!A:A,0))=0,"",INDEX('#建筑消耗和buff配置索引'!BY:BY,MATCH(D164,'#建筑消耗和buff配置索引'!A:A,0))),"")</f>
        <v/>
      </c>
      <c r="W164" s="133" t="str">
        <f>IF(E164=1,IF(INDEX('#建筑消耗和buff配置索引'!BZ:BZ,MATCH(D164,'#建筑消耗和buff配置索引'!A:A,0))=0,"",INDEX('#建筑消耗和buff配置索引'!BZ:BZ,MATCH(D164,'#建筑消耗和buff配置索引'!A:A,0))),"")</f>
        <v/>
      </c>
      <c r="AA164" s="133">
        <f>INDEX('#建筑消耗和buff配置索引'!AO:AO,MATCH($F164,'#建筑消耗和buff配置索引'!$M:$M,0))</f>
        <v>2770</v>
      </c>
      <c r="AB164" s="133">
        <f>IF(INDEX('#建筑消耗和buff配置索引'!AR:AR,MATCH($F164,'#建筑消耗和buff配置索引'!$M:$M,0))=0,"",INDEX('#建筑消耗和buff配置索引'!AR:AR,MATCH($F164,'#建筑消耗和buff配置索引'!$M:$M,0)))</f>
        <v>3000</v>
      </c>
      <c r="AC164" s="133">
        <f>IF(AB164="","",INDEX('#建筑消耗和buff配置索引'!AS:AS,MATCH($F164,'#建筑消耗和buff配置索引'!$M:$M,0)))</f>
        <v>0.05</v>
      </c>
      <c r="AF164" s="133">
        <f>IF(INDEX('#建筑消耗和buff配置索引'!AW:AW,MATCH($F164,'#建筑消耗和buff配置索引'!$M:$M,0))=0,"",INDEX('#建筑消耗和buff配置索引'!AW:AW,MATCH($F164,'#建筑消耗和buff配置索引'!$M:$M,0)))</f>
        <v>3013</v>
      </c>
      <c r="AG164" s="133">
        <f>IF(AF164="","",INDEX('#建筑消耗和buff配置索引'!AX:AX,MATCH($F164,'#建筑消耗和buff配置索引'!$M:$M,0)))</f>
        <v>500</v>
      </c>
      <c r="AJ164" s="133" t="str">
        <f>IF(INDEX('#建筑消耗和buff配置索引'!BB:BB,MATCH($F164,'#建筑消耗和buff配置索引'!$M:$M,0))=0,"",INDEX('#建筑消耗和buff配置索引'!BB:BB,MATCH($F164,'#建筑消耗和buff配置索引'!$M:$M,0)))</f>
        <v/>
      </c>
      <c r="AK164" s="133" t="str">
        <f>IF(AJ164="","",INDEX('#建筑消耗和buff配置索引'!BC:BC,MATCH($F164,'#建筑消耗和buff配置索引'!$M:$M,0)))</f>
        <v/>
      </c>
      <c r="AN164" s="133" t="str">
        <f>IF(INDEX('#建筑消耗和buff配置索引'!BG:BG,MATCH($F164,'#建筑消耗和buff配置索引'!$M:$M,0))=0,"",INDEX('#建筑消耗和buff配置索引'!BG:BG,MATCH($F164,'#建筑消耗和buff配置索引'!$M:$M,0)))</f>
        <v/>
      </c>
      <c r="AO164" s="133" t="str">
        <f>IF(AN164="","",INDEX('#建筑消耗和buff配置索引'!BH:BH,MATCH($F164,'#建筑消耗和buff配置索引'!$M:$M,0)))</f>
        <v/>
      </c>
      <c r="AR164" s="133" t="str">
        <f>IF(INDEX('#建筑消耗和buff配置索引'!BK:BK,MATCH($F164,'#建筑消耗和buff配置索引'!$M:$M,0))=0,"",INDEX('#建筑消耗和buff配置索引'!BK:BK,MATCH($F164,'#建筑消耗和buff配置索引'!$M:$M,0)))</f>
        <v/>
      </c>
      <c r="AS164" s="133" t="str">
        <f>IF(AR164="","",INDEX('#建筑消耗和buff配置索引'!BL:BL,MATCH($F164,'#建筑消耗和buff配置索引'!$M:$M,0)))</f>
        <v/>
      </c>
      <c r="AV164" s="133" t="str">
        <f>IF(INDEX('#建筑消耗和buff配置索引'!BO:BO,MATCH($F164,'#建筑消耗和buff配置索引'!$M:$M,0))=0,"",INDEX('#建筑消耗和buff配置索引'!BO:BO,MATCH($F164,'#建筑消耗和buff配置索引'!$M:$M,0)))</f>
        <v/>
      </c>
      <c r="AW164" s="133" t="str">
        <f>IF(AV164="","",INDEX('#建筑消耗和buff配置索引'!BP:BP,MATCH($F164,'#建筑消耗和buff配置索引'!$M:$M,0)))</f>
        <v/>
      </c>
      <c r="AZ164" s="133" t="str">
        <f>IF(INDEX('#建筑消耗和buff配置索引'!BS:BS,MATCH($F164,'#建筑消耗和buff配置索引'!$M:$M,0))=0,"",INDEX('#建筑消耗和buff配置索引'!BS:BS,MATCH($F164,'#建筑消耗和buff配置索引'!$M:$M,0)))</f>
        <v/>
      </c>
      <c r="BA164" s="133" t="str">
        <f>IF(AZ164="","",INDEX('#建筑消耗和buff配置索引'!BT:BT,MATCH($F164,'#建筑消耗和buff配置索引'!$M:$M,0)))</f>
        <v/>
      </c>
      <c r="BD164" s="133" t="str">
        <f>IF(INDEX('#建筑消耗和buff配置索引'!BW:BW,MATCH($F164,'#建筑消耗和buff配置索引'!$M:$M,0))=0,"",INDEX('#建筑消耗和buff配置索引'!BW:BW,MATCH($F164,'#建筑消耗和buff配置索引'!$M:$M,0)))</f>
        <v/>
      </c>
      <c r="BE164" s="133" t="str">
        <f>IF(BD164="","",INDEX('#建筑消耗和buff配置索引'!BX:BX,MATCH($F164,'#建筑消耗和buff配置索引'!$M:$M,0)))</f>
        <v/>
      </c>
      <c r="BI164" s="133">
        <v>9</v>
      </c>
    </row>
    <row r="165" spans="1:62" s="133" customFormat="1">
      <c r="A165" s="133">
        <v>2060012</v>
      </c>
      <c r="B165" s="133">
        <v>162</v>
      </c>
      <c r="C165" s="133">
        <v>206</v>
      </c>
      <c r="D165" s="133" t="s">
        <v>293</v>
      </c>
      <c r="E165" s="133">
        <v>12</v>
      </c>
      <c r="F165" s="133" t="str">
        <f t="shared" si="4"/>
        <v>剑士营12</v>
      </c>
      <c r="H165" s="146"/>
      <c r="I165" s="133">
        <v>2</v>
      </c>
      <c r="J165" s="150">
        <f>INDEX('#建筑消耗和buff配置索引'!AH:AH,MATCH($F165,'#建筑消耗和buff配置索引'!$M:$M,0))</f>
        <v>12960</v>
      </c>
      <c r="K165" s="150">
        <f>INDEX('#建筑消耗和buff配置索引'!AA:AA,MATCH($F165,'#建筑消耗和buff配置索引'!$M:$M,0))</f>
        <v>190000</v>
      </c>
      <c r="L165" s="150">
        <f>INDEX('#建筑消耗和buff配置索引'!AB:AB,MATCH($F165,'#建筑消耗和buff配置索引'!$M:$M,0))</f>
        <v>190000</v>
      </c>
      <c r="M165" s="150">
        <f>INDEX('#建筑消耗和buff配置索引'!AC:AC,MATCH($F165,'#建筑消耗和buff配置索引'!$M:$M,0))</f>
        <v>190000</v>
      </c>
      <c r="N165" s="150">
        <f>INDEX('#建筑消耗和buff配置索引'!AD:AD,MATCH($F165,'#建筑消耗和buff配置索引'!$M:$M,0))</f>
        <v>190000</v>
      </c>
      <c r="O165" s="150" t="str">
        <f>IF(INDEX('#建筑消耗和buff配置索引'!T:T,MATCH($F165,'#建筑消耗和buff配置索引'!$M:$M,0))=0,"",INDEX('#建筑消耗和buff配置索引'!T:T,MATCH($F165,'#建筑消耗和buff配置索引'!$M:$M,0)))</f>
        <v/>
      </c>
      <c r="P165" s="133" t="str">
        <f>IF(INDEX('#建筑消耗和buff配置索引'!U:U,MATCH($F165,'#建筑消耗和buff配置索引'!$M:$M,0))=0,"",INDEX('#建筑消耗和buff配置索引'!U:U,MATCH($F165,'#建筑消耗和buff配置索引'!$M:$M,0)))</f>
        <v/>
      </c>
      <c r="Q165" s="133" t="str">
        <f>IF(INDEX('#建筑消耗和buff配置索引'!K:K,MATCH($F165,'#建筑消耗和buff配置索引'!$M:$M,0))=0,"",INDEX('#建筑消耗和buff配置索引'!K:K,MATCH($F165,'#建筑消耗和buff配置索引'!$M:$M,0)))</f>
        <v>201;203</v>
      </c>
      <c r="R165" s="133" t="str">
        <f>IF(INDEX('#建筑消耗和buff配置索引'!L:L,MATCH($F165,'#建筑消耗和buff配置索引'!$M:$M,0))=0,"",INDEX('#建筑消耗和buff配置索引'!L:L,MATCH($F165,'#建筑消耗和buff配置索引'!$M:$M,0)))</f>
        <v>12;12</v>
      </c>
      <c r="S165" s="133">
        <f>IF(INDEX('#建筑消耗和buff配置索引'!C:C,MATCH(F165,'#建筑消耗和buff配置索引'!M:M,0))=0,1,INDEX('#建筑消耗和buff配置索引'!C:C,MATCH(F165,'#建筑消耗和buff配置索引'!M:M,0)))</f>
        <v>1</v>
      </c>
      <c r="T165" s="133">
        <v>0</v>
      </c>
      <c r="U165" s="133">
        <v>0</v>
      </c>
      <c r="V165" s="133" t="str">
        <f>IF(E165=1,IF(INDEX('#建筑消耗和buff配置索引'!BY:BY,MATCH(D165,'#建筑消耗和buff配置索引'!A:A,0))=0,"",INDEX('#建筑消耗和buff配置索引'!BY:BY,MATCH(D165,'#建筑消耗和buff配置索引'!A:A,0))),"")</f>
        <v/>
      </c>
      <c r="W165" s="133" t="str">
        <f>IF(E165=1,IF(INDEX('#建筑消耗和buff配置索引'!BZ:BZ,MATCH(D165,'#建筑消耗和buff配置索引'!A:A,0))=0,"",INDEX('#建筑消耗和buff配置索引'!BZ:BZ,MATCH(D165,'#建筑消耗和buff配置索引'!A:A,0))),"")</f>
        <v/>
      </c>
      <c r="AA165" s="133">
        <f>INDEX('#建筑消耗和buff配置索引'!AO:AO,MATCH($F165,'#建筑消耗和buff配置索引'!$M:$M,0))</f>
        <v>4273</v>
      </c>
      <c r="AB165" s="133">
        <f>IF(INDEX('#建筑消耗和buff配置索引'!AR:AR,MATCH($F165,'#建筑消耗和buff配置索引'!$M:$M,0))=0,"",INDEX('#建筑消耗和buff配置索引'!AR:AR,MATCH($F165,'#建筑消耗和buff配置索引'!$M:$M,0)))</f>
        <v>3000</v>
      </c>
      <c r="AC165" s="133">
        <f>IF(AB165="","",INDEX('#建筑消耗和buff配置索引'!AS:AS,MATCH($F165,'#建筑消耗和buff配置索引'!$M:$M,0)))</f>
        <v>5.5E-2</v>
      </c>
      <c r="AF165" s="133">
        <f>IF(INDEX('#建筑消耗和buff配置索引'!AW:AW,MATCH($F165,'#建筑消耗和buff配置索引'!$M:$M,0))=0,"",INDEX('#建筑消耗和buff配置索引'!AW:AW,MATCH($F165,'#建筑消耗和buff配置索引'!$M:$M,0)))</f>
        <v>3013</v>
      </c>
      <c r="AG165" s="133">
        <f>IF(AF165="","",INDEX('#建筑消耗和buff配置索引'!AX:AX,MATCH($F165,'#建筑消耗和buff配置索引'!$M:$M,0)))</f>
        <v>550</v>
      </c>
      <c r="AJ165" s="133" t="str">
        <f>IF(INDEX('#建筑消耗和buff配置索引'!BB:BB,MATCH($F165,'#建筑消耗和buff配置索引'!$M:$M,0))=0,"",INDEX('#建筑消耗和buff配置索引'!BB:BB,MATCH($F165,'#建筑消耗和buff配置索引'!$M:$M,0)))</f>
        <v/>
      </c>
      <c r="AK165" s="133" t="str">
        <f>IF(AJ165="","",INDEX('#建筑消耗和buff配置索引'!BC:BC,MATCH($F165,'#建筑消耗和buff配置索引'!$M:$M,0)))</f>
        <v/>
      </c>
      <c r="AN165" s="133" t="str">
        <f>IF(INDEX('#建筑消耗和buff配置索引'!BG:BG,MATCH($F165,'#建筑消耗和buff配置索引'!$M:$M,0))=0,"",INDEX('#建筑消耗和buff配置索引'!BG:BG,MATCH($F165,'#建筑消耗和buff配置索引'!$M:$M,0)))</f>
        <v/>
      </c>
      <c r="AO165" s="133" t="str">
        <f>IF(AN165="","",INDEX('#建筑消耗和buff配置索引'!BH:BH,MATCH($F165,'#建筑消耗和buff配置索引'!$M:$M,0)))</f>
        <v/>
      </c>
      <c r="AR165" s="133" t="str">
        <f>IF(INDEX('#建筑消耗和buff配置索引'!BK:BK,MATCH($F165,'#建筑消耗和buff配置索引'!$M:$M,0))=0,"",INDEX('#建筑消耗和buff配置索引'!BK:BK,MATCH($F165,'#建筑消耗和buff配置索引'!$M:$M,0)))</f>
        <v/>
      </c>
      <c r="AS165" s="133" t="str">
        <f>IF(AR165="","",INDEX('#建筑消耗和buff配置索引'!BL:BL,MATCH($F165,'#建筑消耗和buff配置索引'!$M:$M,0)))</f>
        <v/>
      </c>
      <c r="AV165" s="133" t="str">
        <f>IF(INDEX('#建筑消耗和buff配置索引'!BO:BO,MATCH($F165,'#建筑消耗和buff配置索引'!$M:$M,0))=0,"",INDEX('#建筑消耗和buff配置索引'!BO:BO,MATCH($F165,'#建筑消耗和buff配置索引'!$M:$M,0)))</f>
        <v/>
      </c>
      <c r="AW165" s="133" t="str">
        <f>IF(AV165="","",INDEX('#建筑消耗和buff配置索引'!BP:BP,MATCH($F165,'#建筑消耗和buff配置索引'!$M:$M,0)))</f>
        <v/>
      </c>
      <c r="AZ165" s="133" t="str">
        <f>IF(INDEX('#建筑消耗和buff配置索引'!BS:BS,MATCH($F165,'#建筑消耗和buff配置索引'!$M:$M,0))=0,"",INDEX('#建筑消耗和buff配置索引'!BS:BS,MATCH($F165,'#建筑消耗和buff配置索引'!$M:$M,0)))</f>
        <v/>
      </c>
      <c r="BA165" s="133" t="str">
        <f>IF(AZ165="","",INDEX('#建筑消耗和buff配置索引'!BT:BT,MATCH($F165,'#建筑消耗和buff配置索引'!$M:$M,0)))</f>
        <v/>
      </c>
      <c r="BD165" s="133" t="str">
        <f>IF(INDEX('#建筑消耗和buff配置索引'!BW:BW,MATCH($F165,'#建筑消耗和buff配置索引'!$M:$M,0))=0,"",INDEX('#建筑消耗和buff配置索引'!BW:BW,MATCH($F165,'#建筑消耗和buff配置索引'!$M:$M,0)))</f>
        <v/>
      </c>
      <c r="BE165" s="133" t="str">
        <f>IF(BD165="","",INDEX('#建筑消耗和buff配置索引'!BX:BX,MATCH($F165,'#建筑消耗和buff配置索引'!$M:$M,0)))</f>
        <v/>
      </c>
      <c r="BI165" s="133">
        <v>9</v>
      </c>
    </row>
    <row r="166" spans="1:62" s="133" customFormat="1">
      <c r="A166" s="133">
        <v>2060013</v>
      </c>
      <c r="B166" s="133">
        <v>163</v>
      </c>
      <c r="C166" s="133">
        <v>206</v>
      </c>
      <c r="D166" s="133" t="s">
        <v>293</v>
      </c>
      <c r="E166" s="133">
        <v>13</v>
      </c>
      <c r="F166" s="133" t="str">
        <f t="shared" si="4"/>
        <v>剑士营13</v>
      </c>
      <c r="H166" s="146"/>
      <c r="I166" s="133">
        <v>2</v>
      </c>
      <c r="J166" s="150">
        <f>INDEX('#建筑消耗和buff配置索引'!AH:AH,MATCH($F166,'#建筑消耗和buff配置索引'!$M:$M,0))</f>
        <v>17280</v>
      </c>
      <c r="K166" s="150">
        <f>INDEX('#建筑消耗和buff配置索引'!AA:AA,MATCH($F166,'#建筑消耗和buff配置索引'!$M:$M,0))</f>
        <v>260000</v>
      </c>
      <c r="L166" s="150">
        <f>INDEX('#建筑消耗和buff配置索引'!AB:AB,MATCH($F166,'#建筑消耗和buff配置索引'!$M:$M,0))</f>
        <v>260000</v>
      </c>
      <c r="M166" s="150">
        <f>INDEX('#建筑消耗和buff配置索引'!AC:AC,MATCH($F166,'#建筑消耗和buff配置索引'!$M:$M,0))</f>
        <v>260000</v>
      </c>
      <c r="N166" s="150">
        <f>INDEX('#建筑消耗和buff配置索引'!AD:AD,MATCH($F166,'#建筑消耗和buff配置索引'!$M:$M,0))</f>
        <v>260000</v>
      </c>
      <c r="O166" s="150" t="str">
        <f>IF(INDEX('#建筑消耗和buff配置索引'!T:T,MATCH($F166,'#建筑消耗和buff配置索引'!$M:$M,0))=0,"",INDEX('#建筑消耗和buff配置索引'!T:T,MATCH($F166,'#建筑消耗和buff配置索引'!$M:$M,0)))</f>
        <v/>
      </c>
      <c r="P166" s="133" t="str">
        <f>IF(INDEX('#建筑消耗和buff配置索引'!U:U,MATCH($F166,'#建筑消耗和buff配置索引'!$M:$M,0))=0,"",INDEX('#建筑消耗和buff配置索引'!U:U,MATCH($F166,'#建筑消耗和buff配置索引'!$M:$M,0)))</f>
        <v/>
      </c>
      <c r="Q166" s="133" t="str">
        <f>IF(INDEX('#建筑消耗和buff配置索引'!K:K,MATCH($F166,'#建筑消耗和buff配置索引'!$M:$M,0))=0,"",INDEX('#建筑消耗和buff配置索引'!K:K,MATCH($F166,'#建筑消耗和buff配置索引'!$M:$M,0)))</f>
        <v>201;203</v>
      </c>
      <c r="R166" s="133" t="str">
        <f>IF(INDEX('#建筑消耗和buff配置索引'!L:L,MATCH($F166,'#建筑消耗和buff配置索引'!$M:$M,0))=0,"",INDEX('#建筑消耗和buff配置索引'!L:L,MATCH($F166,'#建筑消耗和buff配置索引'!$M:$M,0)))</f>
        <v>13;13</v>
      </c>
      <c r="S166" s="133">
        <f>IF(INDEX('#建筑消耗和buff配置索引'!C:C,MATCH(F166,'#建筑消耗和buff配置索引'!M:M,0))=0,1,INDEX('#建筑消耗和buff配置索引'!C:C,MATCH(F166,'#建筑消耗和buff配置索引'!M:M,0)))</f>
        <v>1</v>
      </c>
      <c r="T166" s="133">
        <v>0</v>
      </c>
      <c r="U166" s="133">
        <v>0</v>
      </c>
      <c r="V166" s="133" t="str">
        <f>IF(E166=1,IF(INDEX('#建筑消耗和buff配置索引'!BY:BY,MATCH(D166,'#建筑消耗和buff配置索引'!A:A,0))=0,"",INDEX('#建筑消耗和buff配置索引'!BY:BY,MATCH(D166,'#建筑消耗和buff配置索引'!A:A,0))),"")</f>
        <v/>
      </c>
      <c r="W166" s="133" t="str">
        <f>IF(E166=1,IF(INDEX('#建筑消耗和buff配置索引'!BZ:BZ,MATCH(D166,'#建筑消耗和buff配置索引'!A:A,0))=0,"",INDEX('#建筑消耗和buff配置索引'!BZ:BZ,MATCH(D166,'#建筑消耗和buff配置索引'!A:A,0))),"")</f>
        <v/>
      </c>
      <c r="AA166" s="133">
        <f>INDEX('#建筑消耗和buff配置索引'!AO:AO,MATCH($F166,'#建筑消耗和buff配置索引'!$M:$M,0))</f>
        <v>6333</v>
      </c>
      <c r="AB166" s="133">
        <f>IF(INDEX('#建筑消耗和buff配置索引'!AR:AR,MATCH($F166,'#建筑消耗和buff配置索引'!$M:$M,0))=0,"",INDEX('#建筑消耗和buff配置索引'!AR:AR,MATCH($F166,'#建筑消耗和buff配置索引'!$M:$M,0)))</f>
        <v>3000</v>
      </c>
      <c r="AC166" s="133">
        <f>IF(AB166="","",INDEX('#建筑消耗和buff配置索引'!AS:AS,MATCH($F166,'#建筑消耗和buff配置索引'!$M:$M,0)))</f>
        <v>0.06</v>
      </c>
      <c r="AF166" s="133">
        <f>IF(INDEX('#建筑消耗和buff配置索引'!AW:AW,MATCH($F166,'#建筑消耗和buff配置索引'!$M:$M,0))=0,"",INDEX('#建筑消耗和buff配置索引'!AW:AW,MATCH($F166,'#建筑消耗和buff配置索引'!$M:$M,0)))</f>
        <v>3013</v>
      </c>
      <c r="AG166" s="133">
        <f>IF(AF166="","",INDEX('#建筑消耗和buff配置索引'!AX:AX,MATCH($F166,'#建筑消耗和buff配置索引'!$M:$M,0)))</f>
        <v>600</v>
      </c>
      <c r="AJ166" s="133" t="str">
        <f>IF(INDEX('#建筑消耗和buff配置索引'!BB:BB,MATCH($F166,'#建筑消耗和buff配置索引'!$M:$M,0))=0,"",INDEX('#建筑消耗和buff配置索引'!BB:BB,MATCH($F166,'#建筑消耗和buff配置索引'!$M:$M,0)))</f>
        <v/>
      </c>
      <c r="AK166" s="133" t="str">
        <f>IF(AJ166="","",INDEX('#建筑消耗和buff配置索引'!BC:BC,MATCH($F166,'#建筑消耗和buff配置索引'!$M:$M,0)))</f>
        <v/>
      </c>
      <c r="AN166" s="133" t="str">
        <f>IF(INDEX('#建筑消耗和buff配置索引'!BG:BG,MATCH($F166,'#建筑消耗和buff配置索引'!$M:$M,0))=0,"",INDEX('#建筑消耗和buff配置索引'!BG:BG,MATCH($F166,'#建筑消耗和buff配置索引'!$M:$M,0)))</f>
        <v/>
      </c>
      <c r="AO166" s="133" t="str">
        <f>IF(AN166="","",INDEX('#建筑消耗和buff配置索引'!BH:BH,MATCH($F166,'#建筑消耗和buff配置索引'!$M:$M,0)))</f>
        <v/>
      </c>
      <c r="AR166" s="133" t="str">
        <f>IF(INDEX('#建筑消耗和buff配置索引'!BK:BK,MATCH($F166,'#建筑消耗和buff配置索引'!$M:$M,0))=0,"",INDEX('#建筑消耗和buff配置索引'!BK:BK,MATCH($F166,'#建筑消耗和buff配置索引'!$M:$M,0)))</f>
        <v/>
      </c>
      <c r="AS166" s="133" t="str">
        <f>IF(AR166="","",INDEX('#建筑消耗和buff配置索引'!BL:BL,MATCH($F166,'#建筑消耗和buff配置索引'!$M:$M,0)))</f>
        <v/>
      </c>
      <c r="AV166" s="133" t="str">
        <f>IF(INDEX('#建筑消耗和buff配置索引'!BO:BO,MATCH($F166,'#建筑消耗和buff配置索引'!$M:$M,0))=0,"",INDEX('#建筑消耗和buff配置索引'!BO:BO,MATCH($F166,'#建筑消耗和buff配置索引'!$M:$M,0)))</f>
        <v/>
      </c>
      <c r="AW166" s="133" t="str">
        <f>IF(AV166="","",INDEX('#建筑消耗和buff配置索引'!BP:BP,MATCH($F166,'#建筑消耗和buff配置索引'!$M:$M,0)))</f>
        <v/>
      </c>
      <c r="AZ166" s="133" t="str">
        <f>IF(INDEX('#建筑消耗和buff配置索引'!BS:BS,MATCH($F166,'#建筑消耗和buff配置索引'!$M:$M,0))=0,"",INDEX('#建筑消耗和buff配置索引'!BS:BS,MATCH($F166,'#建筑消耗和buff配置索引'!$M:$M,0)))</f>
        <v/>
      </c>
      <c r="BA166" s="133" t="str">
        <f>IF(AZ166="","",INDEX('#建筑消耗和buff配置索引'!BT:BT,MATCH($F166,'#建筑消耗和buff配置索引'!$M:$M,0)))</f>
        <v/>
      </c>
      <c r="BD166" s="133" t="str">
        <f>IF(INDEX('#建筑消耗和buff配置索引'!BW:BW,MATCH($F166,'#建筑消耗和buff配置索引'!$M:$M,0))=0,"",INDEX('#建筑消耗和buff配置索引'!BW:BW,MATCH($F166,'#建筑消耗和buff配置索引'!$M:$M,0)))</f>
        <v/>
      </c>
      <c r="BE166" s="133" t="str">
        <f>IF(BD166="","",INDEX('#建筑消耗和buff配置索引'!BX:BX,MATCH($F166,'#建筑消耗和buff配置索引'!$M:$M,0)))</f>
        <v/>
      </c>
      <c r="BI166" s="133">
        <v>9</v>
      </c>
    </row>
    <row r="167" spans="1:62" s="133" customFormat="1">
      <c r="A167" s="133">
        <v>2060014</v>
      </c>
      <c r="B167" s="133">
        <v>164</v>
      </c>
      <c r="C167" s="133">
        <v>206</v>
      </c>
      <c r="D167" s="133" t="s">
        <v>293</v>
      </c>
      <c r="E167" s="133">
        <v>14</v>
      </c>
      <c r="F167" s="133" t="str">
        <f t="shared" si="4"/>
        <v>剑士营14</v>
      </c>
      <c r="H167" s="146"/>
      <c r="I167" s="133">
        <v>2</v>
      </c>
      <c r="J167" s="150">
        <f>INDEX('#建筑消耗和buff配置索引'!AH:AH,MATCH($F167,'#建筑消耗和buff配置索引'!$M:$M,0))</f>
        <v>21600</v>
      </c>
      <c r="K167" s="150">
        <f>INDEX('#建筑消耗和buff配置索引'!AA:AA,MATCH($F167,'#建筑消耗和buff配置索引'!$M:$M,0))</f>
        <v>330000</v>
      </c>
      <c r="L167" s="150">
        <f>INDEX('#建筑消耗和buff配置索引'!AB:AB,MATCH($F167,'#建筑消耗和buff配置索引'!$M:$M,0))</f>
        <v>330000</v>
      </c>
      <c r="M167" s="150">
        <f>INDEX('#建筑消耗和buff配置索引'!AC:AC,MATCH($F167,'#建筑消耗和buff配置索引'!$M:$M,0))</f>
        <v>330000</v>
      </c>
      <c r="N167" s="150">
        <f>INDEX('#建筑消耗和buff配置索引'!AD:AD,MATCH($F167,'#建筑消耗和buff配置索引'!$M:$M,0))</f>
        <v>330000</v>
      </c>
      <c r="O167" s="150" t="str">
        <f>IF(INDEX('#建筑消耗和buff配置索引'!T:T,MATCH($F167,'#建筑消耗和buff配置索引'!$M:$M,0))=0,"",INDEX('#建筑消耗和buff配置索引'!T:T,MATCH($F167,'#建筑消耗和buff配置索引'!$M:$M,0)))</f>
        <v/>
      </c>
      <c r="P167" s="133" t="str">
        <f>IF(INDEX('#建筑消耗和buff配置索引'!U:U,MATCH($F167,'#建筑消耗和buff配置索引'!$M:$M,0))=0,"",INDEX('#建筑消耗和buff配置索引'!U:U,MATCH($F167,'#建筑消耗和buff配置索引'!$M:$M,0)))</f>
        <v/>
      </c>
      <c r="Q167" s="133" t="str">
        <f>IF(INDEX('#建筑消耗和buff配置索引'!K:K,MATCH($F167,'#建筑消耗和buff配置索引'!$M:$M,0))=0,"",INDEX('#建筑消耗和buff配置索引'!K:K,MATCH($F167,'#建筑消耗和buff配置索引'!$M:$M,0)))</f>
        <v>201;203</v>
      </c>
      <c r="R167" s="133" t="str">
        <f>IF(INDEX('#建筑消耗和buff配置索引'!L:L,MATCH($F167,'#建筑消耗和buff配置索引'!$M:$M,0))=0,"",INDEX('#建筑消耗和buff配置索引'!L:L,MATCH($F167,'#建筑消耗和buff配置索引'!$M:$M,0)))</f>
        <v>14;14</v>
      </c>
      <c r="S167" s="133">
        <f>IF(INDEX('#建筑消耗和buff配置索引'!C:C,MATCH(F167,'#建筑消耗和buff配置索引'!M:M,0))=0,1,INDEX('#建筑消耗和buff配置索引'!C:C,MATCH(F167,'#建筑消耗和buff配置索引'!M:M,0)))</f>
        <v>1</v>
      </c>
      <c r="T167" s="133">
        <v>0</v>
      </c>
      <c r="U167" s="133">
        <v>0</v>
      </c>
      <c r="V167" s="133" t="str">
        <f>IF(E167=1,IF(INDEX('#建筑消耗和buff配置索引'!BY:BY,MATCH(D167,'#建筑消耗和buff配置索引'!A:A,0))=0,"",INDEX('#建筑消耗和buff配置索引'!BY:BY,MATCH(D167,'#建筑消耗和buff配置索引'!A:A,0))),"")</f>
        <v/>
      </c>
      <c r="W167" s="133" t="str">
        <f>IF(E167=1,IF(INDEX('#建筑消耗和buff配置索引'!BZ:BZ,MATCH(D167,'#建筑消耗和buff配置索引'!A:A,0))=0,"",INDEX('#建筑消耗和buff配置索引'!BZ:BZ,MATCH(D167,'#建筑消耗和buff配置索引'!A:A,0))),"")</f>
        <v/>
      </c>
      <c r="AA167" s="133">
        <f>INDEX('#建筑消耗和buff配置索引'!AO:AO,MATCH($F167,'#建筑消耗和buff配置索引'!$M:$M,0))</f>
        <v>9011</v>
      </c>
      <c r="AB167" s="133">
        <f>IF(INDEX('#建筑消耗和buff配置索引'!AR:AR,MATCH($F167,'#建筑消耗和buff配置索引'!$M:$M,0))=0,"",INDEX('#建筑消耗和buff配置索引'!AR:AR,MATCH($F167,'#建筑消耗和buff配置索引'!$M:$M,0)))</f>
        <v>3000</v>
      </c>
      <c r="AC167" s="133">
        <f>IF(AB167="","",INDEX('#建筑消耗和buff配置索引'!AS:AS,MATCH($F167,'#建筑消耗和buff配置索引'!$M:$M,0)))</f>
        <v>6.5000000000000002E-2</v>
      </c>
      <c r="AF167" s="133">
        <f>IF(INDEX('#建筑消耗和buff配置索引'!AW:AW,MATCH($F167,'#建筑消耗和buff配置索引'!$M:$M,0))=0,"",INDEX('#建筑消耗和buff配置索引'!AW:AW,MATCH($F167,'#建筑消耗和buff配置索引'!$M:$M,0)))</f>
        <v>3013</v>
      </c>
      <c r="AG167" s="133">
        <f>IF(AF167="","",INDEX('#建筑消耗和buff配置索引'!AX:AX,MATCH($F167,'#建筑消耗和buff配置索引'!$M:$M,0)))</f>
        <v>650</v>
      </c>
      <c r="AJ167" s="133" t="str">
        <f>IF(INDEX('#建筑消耗和buff配置索引'!BB:BB,MATCH($F167,'#建筑消耗和buff配置索引'!$M:$M,0))=0,"",INDEX('#建筑消耗和buff配置索引'!BB:BB,MATCH($F167,'#建筑消耗和buff配置索引'!$M:$M,0)))</f>
        <v/>
      </c>
      <c r="AK167" s="133" t="str">
        <f>IF(AJ167="","",INDEX('#建筑消耗和buff配置索引'!BC:BC,MATCH($F167,'#建筑消耗和buff配置索引'!$M:$M,0)))</f>
        <v/>
      </c>
      <c r="AN167" s="133" t="str">
        <f>IF(INDEX('#建筑消耗和buff配置索引'!BG:BG,MATCH($F167,'#建筑消耗和buff配置索引'!$M:$M,0))=0,"",INDEX('#建筑消耗和buff配置索引'!BG:BG,MATCH($F167,'#建筑消耗和buff配置索引'!$M:$M,0)))</f>
        <v/>
      </c>
      <c r="AO167" s="133" t="str">
        <f>IF(AN167="","",INDEX('#建筑消耗和buff配置索引'!BH:BH,MATCH($F167,'#建筑消耗和buff配置索引'!$M:$M,0)))</f>
        <v/>
      </c>
      <c r="AR167" s="133" t="str">
        <f>IF(INDEX('#建筑消耗和buff配置索引'!BK:BK,MATCH($F167,'#建筑消耗和buff配置索引'!$M:$M,0))=0,"",INDEX('#建筑消耗和buff配置索引'!BK:BK,MATCH($F167,'#建筑消耗和buff配置索引'!$M:$M,0)))</f>
        <v/>
      </c>
      <c r="AS167" s="133" t="str">
        <f>IF(AR167="","",INDEX('#建筑消耗和buff配置索引'!BL:BL,MATCH($F167,'#建筑消耗和buff配置索引'!$M:$M,0)))</f>
        <v/>
      </c>
      <c r="AV167" s="133" t="str">
        <f>IF(INDEX('#建筑消耗和buff配置索引'!BO:BO,MATCH($F167,'#建筑消耗和buff配置索引'!$M:$M,0))=0,"",INDEX('#建筑消耗和buff配置索引'!BO:BO,MATCH($F167,'#建筑消耗和buff配置索引'!$M:$M,0)))</f>
        <v/>
      </c>
      <c r="AW167" s="133" t="str">
        <f>IF(AV167="","",INDEX('#建筑消耗和buff配置索引'!BP:BP,MATCH($F167,'#建筑消耗和buff配置索引'!$M:$M,0)))</f>
        <v/>
      </c>
      <c r="AZ167" s="133" t="str">
        <f>IF(INDEX('#建筑消耗和buff配置索引'!BS:BS,MATCH($F167,'#建筑消耗和buff配置索引'!$M:$M,0))=0,"",INDEX('#建筑消耗和buff配置索引'!BS:BS,MATCH($F167,'#建筑消耗和buff配置索引'!$M:$M,0)))</f>
        <v/>
      </c>
      <c r="BA167" s="133" t="str">
        <f>IF(AZ167="","",INDEX('#建筑消耗和buff配置索引'!BT:BT,MATCH($F167,'#建筑消耗和buff配置索引'!$M:$M,0)))</f>
        <v/>
      </c>
      <c r="BD167" s="133" t="str">
        <f>IF(INDEX('#建筑消耗和buff配置索引'!BW:BW,MATCH($F167,'#建筑消耗和buff配置索引'!$M:$M,0))=0,"",INDEX('#建筑消耗和buff配置索引'!BW:BW,MATCH($F167,'#建筑消耗和buff配置索引'!$M:$M,0)))</f>
        <v/>
      </c>
      <c r="BE167" s="133" t="str">
        <f>IF(BD167="","",INDEX('#建筑消耗和buff配置索引'!BX:BX,MATCH($F167,'#建筑消耗和buff配置索引'!$M:$M,0)))</f>
        <v/>
      </c>
      <c r="BI167" s="133">
        <v>9</v>
      </c>
    </row>
    <row r="168" spans="1:62" s="133" customFormat="1">
      <c r="A168" s="133">
        <v>2060015</v>
      </c>
      <c r="B168" s="133">
        <v>165</v>
      </c>
      <c r="C168" s="133">
        <v>206</v>
      </c>
      <c r="D168" s="133" t="s">
        <v>293</v>
      </c>
      <c r="E168" s="133">
        <v>15</v>
      </c>
      <c r="F168" s="133" t="str">
        <f t="shared" si="4"/>
        <v>剑士营15</v>
      </c>
      <c r="H168" s="146"/>
      <c r="I168" s="133">
        <v>2</v>
      </c>
      <c r="J168" s="150">
        <f>INDEX('#建筑消耗和buff配置索引'!AH:AH,MATCH($F168,'#建筑消耗和buff配置索引'!$M:$M,0))</f>
        <v>25920</v>
      </c>
      <c r="K168" s="150">
        <f>INDEX('#建筑消耗和buff配置索引'!AA:AA,MATCH($F168,'#建筑消耗和buff配置索引'!$M:$M,0))</f>
        <v>430000</v>
      </c>
      <c r="L168" s="150">
        <f>INDEX('#建筑消耗和buff配置索引'!AB:AB,MATCH($F168,'#建筑消耗和buff配置索引'!$M:$M,0))</f>
        <v>430000</v>
      </c>
      <c r="M168" s="150">
        <f>INDEX('#建筑消耗和buff配置索引'!AC:AC,MATCH($F168,'#建筑消耗和buff配置索引'!$M:$M,0))</f>
        <v>430000</v>
      </c>
      <c r="N168" s="150">
        <f>INDEX('#建筑消耗和buff配置索引'!AD:AD,MATCH($F168,'#建筑消耗和buff配置索引'!$M:$M,0))</f>
        <v>430000</v>
      </c>
      <c r="O168" s="150" t="str">
        <f>IF(INDEX('#建筑消耗和buff配置索引'!T:T,MATCH($F168,'#建筑消耗和buff配置索引'!$M:$M,0))=0,"",INDEX('#建筑消耗和buff配置索引'!T:T,MATCH($F168,'#建筑消耗和buff配置索引'!$M:$M,0)))</f>
        <v/>
      </c>
      <c r="P168" s="133" t="str">
        <f>IF(INDEX('#建筑消耗和buff配置索引'!U:U,MATCH($F168,'#建筑消耗和buff配置索引'!$M:$M,0))=0,"",INDEX('#建筑消耗和buff配置索引'!U:U,MATCH($F168,'#建筑消耗和buff配置索引'!$M:$M,0)))</f>
        <v/>
      </c>
      <c r="Q168" s="133" t="str">
        <f>IF(INDEX('#建筑消耗和buff配置索引'!K:K,MATCH($F168,'#建筑消耗和buff配置索引'!$M:$M,0))=0,"",INDEX('#建筑消耗和buff配置索引'!K:K,MATCH($F168,'#建筑消耗和buff配置索引'!$M:$M,0)))</f>
        <v>201;203</v>
      </c>
      <c r="R168" s="133" t="str">
        <f>IF(INDEX('#建筑消耗和buff配置索引'!L:L,MATCH($F168,'#建筑消耗和buff配置索引'!$M:$M,0))=0,"",INDEX('#建筑消耗和buff配置索引'!L:L,MATCH($F168,'#建筑消耗和buff配置索引'!$M:$M,0)))</f>
        <v>15;15</v>
      </c>
      <c r="S168" s="133">
        <f>IF(INDEX('#建筑消耗和buff配置索引'!C:C,MATCH(F168,'#建筑消耗和buff配置索引'!M:M,0))=0,1,INDEX('#建筑消耗和buff配置索引'!C:C,MATCH(F168,'#建筑消耗和buff配置索引'!M:M,0)))</f>
        <v>1</v>
      </c>
      <c r="T168" s="133">
        <v>0</v>
      </c>
      <c r="U168" s="133">
        <v>0</v>
      </c>
      <c r="V168" s="133" t="str">
        <f>IF(E168=1,IF(INDEX('#建筑消耗和buff配置索引'!BY:BY,MATCH(D168,'#建筑消耗和buff配置索引'!A:A,0))=0,"",INDEX('#建筑消耗和buff配置索引'!BY:BY,MATCH(D168,'#建筑消耗和buff配置索引'!A:A,0))),"")</f>
        <v/>
      </c>
      <c r="W168" s="133" t="str">
        <f>IF(E168=1,IF(INDEX('#建筑消耗和buff配置索引'!BZ:BZ,MATCH(D168,'#建筑消耗和buff配置索引'!A:A,0))=0,"",INDEX('#建筑消耗和buff配置索引'!BZ:BZ,MATCH(D168,'#建筑消耗和buff配置索引'!A:A,0))),"")</f>
        <v/>
      </c>
      <c r="AA168" s="133">
        <f>INDEX('#建筑消耗和buff配置索引'!AO:AO,MATCH($F168,'#建筑消耗和buff配置索引'!$M:$M,0))</f>
        <v>12439</v>
      </c>
      <c r="AB168" s="133">
        <f>IF(INDEX('#建筑消耗和buff配置索引'!AR:AR,MATCH($F168,'#建筑消耗和buff配置索引'!$M:$M,0))=0,"",INDEX('#建筑消耗和buff配置索引'!AR:AR,MATCH($F168,'#建筑消耗和buff配置索引'!$M:$M,0)))</f>
        <v>3000</v>
      </c>
      <c r="AC168" s="133">
        <f>IF(AB168="","",INDEX('#建筑消耗和buff配置索引'!AS:AS,MATCH($F168,'#建筑消耗和buff配置索引'!$M:$M,0)))</f>
        <v>7.0000000000000007E-2</v>
      </c>
      <c r="AF168" s="133">
        <f>IF(INDEX('#建筑消耗和buff配置索引'!AW:AW,MATCH($F168,'#建筑消耗和buff配置索引'!$M:$M,0))=0,"",INDEX('#建筑消耗和buff配置索引'!AW:AW,MATCH($F168,'#建筑消耗和buff配置索引'!$M:$M,0)))</f>
        <v>3013</v>
      </c>
      <c r="AG168" s="133">
        <f>IF(AF168="","",INDEX('#建筑消耗和buff配置索引'!AX:AX,MATCH($F168,'#建筑消耗和buff配置索引'!$M:$M,0)))</f>
        <v>700</v>
      </c>
      <c r="AJ168" s="133" t="str">
        <f>IF(INDEX('#建筑消耗和buff配置索引'!BB:BB,MATCH($F168,'#建筑消耗和buff配置索引'!$M:$M,0))=0,"",INDEX('#建筑消耗和buff配置索引'!BB:BB,MATCH($F168,'#建筑消耗和buff配置索引'!$M:$M,0)))</f>
        <v/>
      </c>
      <c r="AK168" s="133" t="str">
        <f>IF(AJ168="","",INDEX('#建筑消耗和buff配置索引'!BC:BC,MATCH($F168,'#建筑消耗和buff配置索引'!$M:$M,0)))</f>
        <v/>
      </c>
      <c r="AN168" s="133" t="str">
        <f>IF(INDEX('#建筑消耗和buff配置索引'!BG:BG,MATCH($F168,'#建筑消耗和buff配置索引'!$M:$M,0))=0,"",INDEX('#建筑消耗和buff配置索引'!BG:BG,MATCH($F168,'#建筑消耗和buff配置索引'!$M:$M,0)))</f>
        <v/>
      </c>
      <c r="AO168" s="133" t="str">
        <f>IF(AN168="","",INDEX('#建筑消耗和buff配置索引'!BH:BH,MATCH($F168,'#建筑消耗和buff配置索引'!$M:$M,0)))</f>
        <v/>
      </c>
      <c r="AR168" s="133" t="str">
        <f>IF(INDEX('#建筑消耗和buff配置索引'!BK:BK,MATCH($F168,'#建筑消耗和buff配置索引'!$M:$M,0))=0,"",INDEX('#建筑消耗和buff配置索引'!BK:BK,MATCH($F168,'#建筑消耗和buff配置索引'!$M:$M,0)))</f>
        <v/>
      </c>
      <c r="AS168" s="133" t="str">
        <f>IF(AR168="","",INDEX('#建筑消耗和buff配置索引'!BL:BL,MATCH($F168,'#建筑消耗和buff配置索引'!$M:$M,0)))</f>
        <v/>
      </c>
      <c r="AV168" s="133" t="str">
        <f>IF(INDEX('#建筑消耗和buff配置索引'!BO:BO,MATCH($F168,'#建筑消耗和buff配置索引'!$M:$M,0))=0,"",INDEX('#建筑消耗和buff配置索引'!BO:BO,MATCH($F168,'#建筑消耗和buff配置索引'!$M:$M,0)))</f>
        <v/>
      </c>
      <c r="AW168" s="133" t="str">
        <f>IF(AV168="","",INDEX('#建筑消耗和buff配置索引'!BP:BP,MATCH($F168,'#建筑消耗和buff配置索引'!$M:$M,0)))</f>
        <v/>
      </c>
      <c r="AZ168" s="133" t="str">
        <f>IF(INDEX('#建筑消耗和buff配置索引'!BS:BS,MATCH($F168,'#建筑消耗和buff配置索引'!$M:$M,0))=0,"",INDEX('#建筑消耗和buff配置索引'!BS:BS,MATCH($F168,'#建筑消耗和buff配置索引'!$M:$M,0)))</f>
        <v/>
      </c>
      <c r="BA168" s="133" t="str">
        <f>IF(AZ168="","",INDEX('#建筑消耗和buff配置索引'!BT:BT,MATCH($F168,'#建筑消耗和buff配置索引'!$M:$M,0)))</f>
        <v/>
      </c>
      <c r="BD168" s="133" t="str">
        <f>IF(INDEX('#建筑消耗和buff配置索引'!BW:BW,MATCH($F168,'#建筑消耗和buff配置索引'!$M:$M,0))=0,"",INDEX('#建筑消耗和buff配置索引'!BW:BW,MATCH($F168,'#建筑消耗和buff配置索引'!$M:$M,0)))</f>
        <v/>
      </c>
      <c r="BE168" s="133" t="str">
        <f>IF(BD168="","",INDEX('#建筑消耗和buff配置索引'!BX:BX,MATCH($F168,'#建筑消耗和buff配置索引'!$M:$M,0)))</f>
        <v/>
      </c>
      <c r="BI168" s="133">
        <v>9</v>
      </c>
    </row>
    <row r="169" spans="1:62" s="133" customFormat="1">
      <c r="A169" s="133">
        <v>2060016</v>
      </c>
      <c r="B169" s="133">
        <v>166</v>
      </c>
      <c r="C169" s="133">
        <v>206</v>
      </c>
      <c r="D169" s="133" t="s">
        <v>293</v>
      </c>
      <c r="E169" s="133">
        <v>16</v>
      </c>
      <c r="F169" s="133" t="str">
        <f t="shared" si="4"/>
        <v>剑士营16</v>
      </c>
      <c r="H169" s="146"/>
      <c r="I169" s="133">
        <v>2</v>
      </c>
      <c r="J169" s="150">
        <f>INDEX('#建筑消耗和buff配置索引'!AH:AH,MATCH($F169,'#建筑消耗和buff配置索引'!$M:$M,0))</f>
        <v>32400</v>
      </c>
      <c r="K169" s="150">
        <f>INDEX('#建筑消耗和buff配置索引'!AA:AA,MATCH($F169,'#建筑消耗和buff配置索引'!$M:$M,0))</f>
        <v>550000</v>
      </c>
      <c r="L169" s="150">
        <f>INDEX('#建筑消耗和buff配置索引'!AB:AB,MATCH($F169,'#建筑消耗和buff配置索引'!$M:$M,0))</f>
        <v>550000</v>
      </c>
      <c r="M169" s="150">
        <f>INDEX('#建筑消耗和buff配置索引'!AC:AC,MATCH($F169,'#建筑消耗和buff配置索引'!$M:$M,0))</f>
        <v>550000</v>
      </c>
      <c r="N169" s="150">
        <f>INDEX('#建筑消耗和buff配置索引'!AD:AD,MATCH($F169,'#建筑消耗和buff配置索引'!$M:$M,0))</f>
        <v>550000</v>
      </c>
      <c r="O169" s="150" t="str">
        <f>IF(INDEX('#建筑消耗和buff配置索引'!T:T,MATCH($F169,'#建筑消耗和buff配置索引'!$M:$M,0))=0,"",INDEX('#建筑消耗和buff配置索引'!T:T,MATCH($F169,'#建筑消耗和buff配置索引'!$M:$M,0)))</f>
        <v/>
      </c>
      <c r="P169" s="133" t="str">
        <f>IF(INDEX('#建筑消耗和buff配置索引'!U:U,MATCH($F169,'#建筑消耗和buff配置索引'!$M:$M,0))=0,"",INDEX('#建筑消耗和buff配置索引'!U:U,MATCH($F169,'#建筑消耗和buff配置索引'!$M:$M,0)))</f>
        <v/>
      </c>
      <c r="Q169" s="133" t="str">
        <f>IF(INDEX('#建筑消耗和buff配置索引'!K:K,MATCH($F169,'#建筑消耗和buff配置索引'!$M:$M,0))=0,"",INDEX('#建筑消耗和buff配置索引'!K:K,MATCH($F169,'#建筑消耗和buff配置索引'!$M:$M,0)))</f>
        <v>201;203</v>
      </c>
      <c r="R169" s="133" t="str">
        <f>IF(INDEX('#建筑消耗和buff配置索引'!L:L,MATCH($F169,'#建筑消耗和buff配置索引'!$M:$M,0))=0,"",INDEX('#建筑消耗和buff配置索引'!L:L,MATCH($F169,'#建筑消耗和buff配置索引'!$M:$M,0)))</f>
        <v>16;16</v>
      </c>
      <c r="S169" s="133">
        <f>IF(INDEX('#建筑消耗和buff配置索引'!C:C,MATCH(F169,'#建筑消耗和buff配置索引'!M:M,0))=0,1,INDEX('#建筑消耗和buff配置索引'!C:C,MATCH(F169,'#建筑消耗和buff配置索引'!M:M,0)))</f>
        <v>1</v>
      </c>
      <c r="T169" s="133">
        <v>0</v>
      </c>
      <c r="U169" s="133">
        <v>0</v>
      </c>
      <c r="V169" s="133" t="str">
        <f>IF(E169=1,IF(INDEX('#建筑消耗和buff配置索引'!BY:BY,MATCH(D169,'#建筑消耗和buff配置索引'!A:A,0))=0,"",INDEX('#建筑消耗和buff配置索引'!BY:BY,MATCH(D169,'#建筑消耗和buff配置索引'!A:A,0))),"")</f>
        <v/>
      </c>
      <c r="W169" s="133" t="str">
        <f>IF(E169=1,IF(INDEX('#建筑消耗和buff配置索引'!BZ:BZ,MATCH(D169,'#建筑消耗和buff配置索引'!A:A,0))=0,"",INDEX('#建筑消耗和buff配置索引'!BZ:BZ,MATCH(D169,'#建筑消耗和buff配置索引'!A:A,0))),"")</f>
        <v/>
      </c>
      <c r="X169" s="133" t="str">
        <f>INDEX('#建筑消耗和buff配置索引'!BC:BC,MATCH(F169,'#建筑消耗和buff配置索引'!M:M,0))*100&amp;"%"</f>
        <v>0%</v>
      </c>
      <c r="AA169" s="133">
        <f>INDEX('#建筑消耗和buff配置索引'!AO:AO,MATCH($F169,'#建筑消耗和buff配置索引'!$M:$M,0))</f>
        <v>16827</v>
      </c>
      <c r="AB169" s="133">
        <f>IF(INDEX('#建筑消耗和buff配置索引'!AR:AR,MATCH($F169,'#建筑消耗和buff配置索引'!$M:$M,0))=0,"",INDEX('#建筑消耗和buff配置索引'!AR:AR,MATCH($F169,'#建筑消耗和buff配置索引'!$M:$M,0)))</f>
        <v>3000</v>
      </c>
      <c r="AC169" s="133">
        <f>IF(AB169="","",INDEX('#建筑消耗和buff配置索引'!AS:AS,MATCH($F169,'#建筑消耗和buff配置索引'!$M:$M,0)))</f>
        <v>7.4999999999999997E-2</v>
      </c>
      <c r="AF169" s="133">
        <f>IF(INDEX('#建筑消耗和buff配置索引'!AW:AW,MATCH($F169,'#建筑消耗和buff配置索引'!$M:$M,0))=0,"",INDEX('#建筑消耗和buff配置索引'!AW:AW,MATCH($F169,'#建筑消耗和buff配置索引'!$M:$M,0)))</f>
        <v>3013</v>
      </c>
      <c r="AG169" s="133">
        <f>IF(AF169="","",INDEX('#建筑消耗和buff配置索引'!AX:AX,MATCH($F169,'#建筑消耗和buff配置索引'!$M:$M,0)))</f>
        <v>750</v>
      </c>
      <c r="AJ169" s="133" t="str">
        <f>IF(INDEX('#建筑消耗和buff配置索引'!BB:BB,MATCH($F169,'#建筑消耗和buff配置索引'!$M:$M,0))=0,"",INDEX('#建筑消耗和buff配置索引'!BB:BB,MATCH($F169,'#建筑消耗和buff配置索引'!$M:$M,0)))</f>
        <v/>
      </c>
      <c r="AK169" s="133" t="str">
        <f>IF(AJ169="","",INDEX('#建筑消耗和buff配置索引'!BC:BC,MATCH($F169,'#建筑消耗和buff配置索引'!$M:$M,0)))</f>
        <v/>
      </c>
      <c r="AN169" s="133" t="str">
        <f>IF(INDEX('#建筑消耗和buff配置索引'!BG:BG,MATCH($F169,'#建筑消耗和buff配置索引'!$M:$M,0))=0,"",INDEX('#建筑消耗和buff配置索引'!BG:BG,MATCH($F169,'#建筑消耗和buff配置索引'!$M:$M,0)))</f>
        <v/>
      </c>
      <c r="AO169" s="133" t="str">
        <f>IF(AN169="","",INDEX('#建筑消耗和buff配置索引'!BH:BH,MATCH($F169,'#建筑消耗和buff配置索引'!$M:$M,0)))</f>
        <v/>
      </c>
      <c r="AR169" s="133" t="str">
        <f>IF(INDEX('#建筑消耗和buff配置索引'!BK:BK,MATCH($F169,'#建筑消耗和buff配置索引'!$M:$M,0))=0,"",INDEX('#建筑消耗和buff配置索引'!BK:BK,MATCH($F169,'#建筑消耗和buff配置索引'!$M:$M,0)))</f>
        <v/>
      </c>
      <c r="AS169" s="133" t="str">
        <f>IF(AR169="","",INDEX('#建筑消耗和buff配置索引'!BL:BL,MATCH($F169,'#建筑消耗和buff配置索引'!$M:$M,0)))</f>
        <v/>
      </c>
      <c r="AV169" s="133" t="str">
        <f>IF(INDEX('#建筑消耗和buff配置索引'!BO:BO,MATCH($F169,'#建筑消耗和buff配置索引'!$M:$M,0))=0,"",INDEX('#建筑消耗和buff配置索引'!BO:BO,MATCH($F169,'#建筑消耗和buff配置索引'!$M:$M,0)))</f>
        <v/>
      </c>
      <c r="AW169" s="133" t="str">
        <f>IF(AV169="","",INDEX('#建筑消耗和buff配置索引'!BP:BP,MATCH($F169,'#建筑消耗和buff配置索引'!$M:$M,0)))</f>
        <v/>
      </c>
      <c r="AZ169" s="133" t="str">
        <f>IF(INDEX('#建筑消耗和buff配置索引'!BS:BS,MATCH($F169,'#建筑消耗和buff配置索引'!$M:$M,0))=0,"",INDEX('#建筑消耗和buff配置索引'!BS:BS,MATCH($F169,'#建筑消耗和buff配置索引'!$M:$M,0)))</f>
        <v/>
      </c>
      <c r="BA169" s="133" t="str">
        <f>IF(AZ169="","",INDEX('#建筑消耗和buff配置索引'!BT:BT,MATCH($F169,'#建筑消耗和buff配置索引'!$M:$M,0)))</f>
        <v/>
      </c>
      <c r="BD169" s="133" t="str">
        <f>IF(INDEX('#建筑消耗和buff配置索引'!BW:BW,MATCH($F169,'#建筑消耗和buff配置索引'!$M:$M,0))=0,"",INDEX('#建筑消耗和buff配置索引'!BW:BW,MATCH($F169,'#建筑消耗和buff配置索引'!$M:$M,0)))</f>
        <v/>
      </c>
      <c r="BE169" s="133" t="str">
        <f>IF(BD169="","",INDEX('#建筑消耗和buff配置索引'!BX:BX,MATCH($F169,'#建筑消耗和buff配置索引'!$M:$M,0)))</f>
        <v/>
      </c>
      <c r="BI169" s="133">
        <v>9</v>
      </c>
    </row>
    <row r="170" spans="1:62" s="133" customFormat="1">
      <c r="A170" s="133">
        <v>2060017</v>
      </c>
      <c r="B170" s="133">
        <v>167</v>
      </c>
      <c r="C170" s="133">
        <v>206</v>
      </c>
      <c r="D170" s="133" t="s">
        <v>293</v>
      </c>
      <c r="E170" s="133">
        <v>17</v>
      </c>
      <c r="F170" s="133" t="str">
        <f t="shared" si="4"/>
        <v>剑士营17</v>
      </c>
      <c r="H170" s="146"/>
      <c r="I170" s="133">
        <v>2</v>
      </c>
      <c r="J170" s="150">
        <f>INDEX('#建筑消耗和buff配置索引'!AH:AH,MATCH($F170,'#建筑消耗和buff配置索引'!$M:$M,0))</f>
        <v>43200</v>
      </c>
      <c r="K170" s="150">
        <f>INDEX('#建筑消耗和buff配置索引'!AA:AA,MATCH($F170,'#建筑消耗和buff配置索引'!$M:$M,0))</f>
        <v>700000</v>
      </c>
      <c r="L170" s="150">
        <f>INDEX('#建筑消耗和buff配置索引'!AB:AB,MATCH($F170,'#建筑消耗和buff配置索引'!$M:$M,0))</f>
        <v>700000</v>
      </c>
      <c r="M170" s="150">
        <f>INDEX('#建筑消耗和buff配置索引'!AC:AC,MATCH($F170,'#建筑消耗和buff配置索引'!$M:$M,0))</f>
        <v>700000</v>
      </c>
      <c r="N170" s="150">
        <f>INDEX('#建筑消耗和buff配置索引'!AD:AD,MATCH($F170,'#建筑消耗和buff配置索引'!$M:$M,0))</f>
        <v>700000</v>
      </c>
      <c r="O170" s="150" t="str">
        <f>IF(INDEX('#建筑消耗和buff配置索引'!T:T,MATCH($F170,'#建筑消耗和buff配置索引'!$M:$M,0))=0,"",INDEX('#建筑消耗和buff配置索引'!T:T,MATCH($F170,'#建筑消耗和buff配置索引'!$M:$M,0)))</f>
        <v/>
      </c>
      <c r="P170" s="133" t="str">
        <f>IF(INDEX('#建筑消耗和buff配置索引'!U:U,MATCH($F170,'#建筑消耗和buff配置索引'!$M:$M,0))=0,"",INDEX('#建筑消耗和buff配置索引'!U:U,MATCH($F170,'#建筑消耗和buff配置索引'!$M:$M,0)))</f>
        <v/>
      </c>
      <c r="Q170" s="133" t="str">
        <f>IF(INDEX('#建筑消耗和buff配置索引'!K:K,MATCH($F170,'#建筑消耗和buff配置索引'!$M:$M,0))=0,"",INDEX('#建筑消耗和buff配置索引'!K:K,MATCH($F170,'#建筑消耗和buff配置索引'!$M:$M,0)))</f>
        <v>201;203</v>
      </c>
      <c r="R170" s="133" t="str">
        <f>IF(INDEX('#建筑消耗和buff配置索引'!L:L,MATCH($F170,'#建筑消耗和buff配置索引'!$M:$M,0))=0,"",INDEX('#建筑消耗和buff配置索引'!L:L,MATCH($F170,'#建筑消耗和buff配置索引'!$M:$M,0)))</f>
        <v>17;17</v>
      </c>
      <c r="S170" s="133">
        <f>IF(INDEX('#建筑消耗和buff配置索引'!C:C,MATCH(F170,'#建筑消耗和buff配置索引'!M:M,0))=0,1,INDEX('#建筑消耗和buff配置索引'!C:C,MATCH(F170,'#建筑消耗和buff配置索引'!M:M,0)))</f>
        <v>1</v>
      </c>
      <c r="T170" s="133">
        <v>0</v>
      </c>
      <c r="U170" s="133">
        <v>0</v>
      </c>
      <c r="V170" s="133" t="str">
        <f>IF(E170=1,IF(INDEX('#建筑消耗和buff配置索引'!BY:BY,MATCH(D170,'#建筑消耗和buff配置索引'!A:A,0))=0,"",INDEX('#建筑消耗和buff配置索引'!BY:BY,MATCH(D170,'#建筑消耗和buff配置索引'!A:A,0))),"")</f>
        <v/>
      </c>
      <c r="W170" s="133" t="str">
        <f>IF(E170=1,IF(INDEX('#建筑消耗和buff配置索引'!BZ:BZ,MATCH(D170,'#建筑消耗和buff配置索引'!A:A,0))=0,"",INDEX('#建筑消耗和buff配置索引'!BZ:BZ,MATCH(D170,'#建筑消耗和buff配置索引'!A:A,0))),"")</f>
        <v/>
      </c>
      <c r="X170" s="133" t="str">
        <f>INDEX('#建筑消耗和buff配置索引'!BC:BC,MATCH(F170,'#建筑消耗和buff配置索引'!M:M,0))*100&amp;"%"</f>
        <v>0%</v>
      </c>
      <c r="AA170" s="133">
        <f>INDEX('#建筑消耗和buff配置索引'!AO:AO,MATCH($F170,'#建筑消耗和buff配置索引'!$M:$M,0))</f>
        <v>22443</v>
      </c>
      <c r="AB170" s="133">
        <f>IF(INDEX('#建筑消耗和buff配置索引'!AR:AR,MATCH($F170,'#建筑消耗和buff配置索引'!$M:$M,0))=0,"",INDEX('#建筑消耗和buff配置索引'!AR:AR,MATCH($F170,'#建筑消耗和buff配置索引'!$M:$M,0)))</f>
        <v>3000</v>
      </c>
      <c r="AC170" s="133">
        <f>IF(AB170="","",INDEX('#建筑消耗和buff配置索引'!AS:AS,MATCH($F170,'#建筑消耗和buff配置索引'!$M:$M,0)))</f>
        <v>0.08</v>
      </c>
      <c r="AF170" s="133">
        <f>IF(INDEX('#建筑消耗和buff配置索引'!AW:AW,MATCH($F170,'#建筑消耗和buff配置索引'!$M:$M,0))=0,"",INDEX('#建筑消耗和buff配置索引'!AW:AW,MATCH($F170,'#建筑消耗和buff配置索引'!$M:$M,0)))</f>
        <v>3013</v>
      </c>
      <c r="AG170" s="133">
        <f>IF(AF170="","",INDEX('#建筑消耗和buff配置索引'!AX:AX,MATCH($F170,'#建筑消耗和buff配置索引'!$M:$M,0)))</f>
        <v>800</v>
      </c>
      <c r="AJ170" s="133" t="str">
        <f>IF(INDEX('#建筑消耗和buff配置索引'!BB:BB,MATCH($F170,'#建筑消耗和buff配置索引'!$M:$M,0))=0,"",INDEX('#建筑消耗和buff配置索引'!BB:BB,MATCH($F170,'#建筑消耗和buff配置索引'!$M:$M,0)))</f>
        <v/>
      </c>
      <c r="AK170" s="133" t="str">
        <f>IF(AJ170="","",INDEX('#建筑消耗和buff配置索引'!BC:BC,MATCH($F170,'#建筑消耗和buff配置索引'!$M:$M,0)))</f>
        <v/>
      </c>
      <c r="AN170" s="133" t="str">
        <f>IF(INDEX('#建筑消耗和buff配置索引'!BG:BG,MATCH($F170,'#建筑消耗和buff配置索引'!$M:$M,0))=0,"",INDEX('#建筑消耗和buff配置索引'!BG:BG,MATCH($F170,'#建筑消耗和buff配置索引'!$M:$M,0)))</f>
        <v/>
      </c>
      <c r="AO170" s="133" t="str">
        <f>IF(AN170="","",INDEX('#建筑消耗和buff配置索引'!BH:BH,MATCH($F170,'#建筑消耗和buff配置索引'!$M:$M,0)))</f>
        <v/>
      </c>
      <c r="AR170" s="133" t="str">
        <f>IF(INDEX('#建筑消耗和buff配置索引'!BK:BK,MATCH($F170,'#建筑消耗和buff配置索引'!$M:$M,0))=0,"",INDEX('#建筑消耗和buff配置索引'!BK:BK,MATCH($F170,'#建筑消耗和buff配置索引'!$M:$M,0)))</f>
        <v/>
      </c>
      <c r="AS170" s="133" t="str">
        <f>IF(AR170="","",INDEX('#建筑消耗和buff配置索引'!BL:BL,MATCH($F170,'#建筑消耗和buff配置索引'!$M:$M,0)))</f>
        <v/>
      </c>
      <c r="AV170" s="133" t="str">
        <f>IF(INDEX('#建筑消耗和buff配置索引'!BO:BO,MATCH($F170,'#建筑消耗和buff配置索引'!$M:$M,0))=0,"",INDEX('#建筑消耗和buff配置索引'!BO:BO,MATCH($F170,'#建筑消耗和buff配置索引'!$M:$M,0)))</f>
        <v/>
      </c>
      <c r="AW170" s="133" t="str">
        <f>IF(AV170="","",INDEX('#建筑消耗和buff配置索引'!BP:BP,MATCH($F170,'#建筑消耗和buff配置索引'!$M:$M,0)))</f>
        <v/>
      </c>
      <c r="AZ170" s="133" t="str">
        <f>IF(INDEX('#建筑消耗和buff配置索引'!BS:BS,MATCH($F170,'#建筑消耗和buff配置索引'!$M:$M,0))=0,"",INDEX('#建筑消耗和buff配置索引'!BS:BS,MATCH($F170,'#建筑消耗和buff配置索引'!$M:$M,0)))</f>
        <v/>
      </c>
      <c r="BA170" s="133" t="str">
        <f>IF(AZ170="","",INDEX('#建筑消耗和buff配置索引'!BT:BT,MATCH($F170,'#建筑消耗和buff配置索引'!$M:$M,0)))</f>
        <v/>
      </c>
      <c r="BD170" s="133" t="str">
        <f>IF(INDEX('#建筑消耗和buff配置索引'!BW:BW,MATCH($F170,'#建筑消耗和buff配置索引'!$M:$M,0))=0,"",INDEX('#建筑消耗和buff配置索引'!BW:BW,MATCH($F170,'#建筑消耗和buff配置索引'!$M:$M,0)))</f>
        <v/>
      </c>
      <c r="BE170" s="133" t="str">
        <f>IF(BD170="","",INDEX('#建筑消耗和buff配置索引'!BX:BX,MATCH($F170,'#建筑消耗和buff配置索引'!$M:$M,0)))</f>
        <v/>
      </c>
      <c r="BI170" s="133">
        <v>9</v>
      </c>
    </row>
    <row r="171" spans="1:62" s="133" customFormat="1">
      <c r="A171" s="133">
        <v>2060018</v>
      </c>
      <c r="B171" s="133">
        <v>168</v>
      </c>
      <c r="C171" s="133">
        <v>206</v>
      </c>
      <c r="D171" s="133" t="s">
        <v>293</v>
      </c>
      <c r="E171" s="133">
        <v>18</v>
      </c>
      <c r="F171" s="133" t="str">
        <f t="shared" si="4"/>
        <v>剑士营18</v>
      </c>
      <c r="H171" s="146"/>
      <c r="I171" s="133">
        <v>2</v>
      </c>
      <c r="J171" s="150">
        <f>INDEX('#建筑消耗和buff配置索引'!AH:AH,MATCH($F171,'#建筑消耗和buff配置索引'!$M:$M,0))</f>
        <v>56160</v>
      </c>
      <c r="K171" s="150">
        <f>INDEX('#建筑消耗和buff配置索引'!AA:AA,MATCH($F171,'#建筑消耗和buff配置索引'!$M:$M,0))</f>
        <v>900000</v>
      </c>
      <c r="L171" s="150">
        <f>INDEX('#建筑消耗和buff配置索引'!AB:AB,MATCH($F171,'#建筑消耗和buff配置索引'!$M:$M,0))</f>
        <v>900000</v>
      </c>
      <c r="M171" s="150">
        <f>INDEX('#建筑消耗和buff配置索引'!AC:AC,MATCH($F171,'#建筑消耗和buff配置索引'!$M:$M,0))</f>
        <v>900000</v>
      </c>
      <c r="N171" s="150">
        <f>INDEX('#建筑消耗和buff配置索引'!AD:AD,MATCH($F171,'#建筑消耗和buff配置索引'!$M:$M,0))</f>
        <v>900000</v>
      </c>
      <c r="O171" s="150" t="str">
        <f>IF(INDEX('#建筑消耗和buff配置索引'!T:T,MATCH($F171,'#建筑消耗和buff配置索引'!$M:$M,0))=0,"",INDEX('#建筑消耗和buff配置索引'!T:T,MATCH($F171,'#建筑消耗和buff配置索引'!$M:$M,0)))</f>
        <v/>
      </c>
      <c r="P171" s="133" t="str">
        <f>IF(INDEX('#建筑消耗和buff配置索引'!U:U,MATCH($F171,'#建筑消耗和buff配置索引'!$M:$M,0))=0,"",INDEX('#建筑消耗和buff配置索引'!U:U,MATCH($F171,'#建筑消耗和buff配置索引'!$M:$M,0)))</f>
        <v/>
      </c>
      <c r="Q171" s="133" t="str">
        <f>IF(INDEX('#建筑消耗和buff配置索引'!K:K,MATCH($F171,'#建筑消耗和buff配置索引'!$M:$M,0))=0,"",INDEX('#建筑消耗和buff配置索引'!K:K,MATCH($F171,'#建筑消耗和buff配置索引'!$M:$M,0)))</f>
        <v>201;203</v>
      </c>
      <c r="R171" s="133" t="str">
        <f>IF(INDEX('#建筑消耗和buff配置索引'!L:L,MATCH($F171,'#建筑消耗和buff配置索引'!$M:$M,0))=0,"",INDEX('#建筑消耗和buff配置索引'!L:L,MATCH($F171,'#建筑消耗和buff配置索引'!$M:$M,0)))</f>
        <v>18;18</v>
      </c>
      <c r="S171" s="133">
        <f>IF(INDEX('#建筑消耗和buff配置索引'!C:C,MATCH(F171,'#建筑消耗和buff配置索引'!M:M,0))=0,1,INDEX('#建筑消耗和buff配置索引'!C:C,MATCH(F171,'#建筑消耗和buff配置索引'!M:M,0)))</f>
        <v>1</v>
      </c>
      <c r="T171" s="133">
        <v>0</v>
      </c>
      <c r="U171" s="133">
        <v>0</v>
      </c>
      <c r="V171" s="133" t="str">
        <f>IF(E171=1,IF(INDEX('#建筑消耗和buff配置索引'!BY:BY,MATCH(D171,'#建筑消耗和buff配置索引'!A:A,0))=0,"",INDEX('#建筑消耗和buff配置索引'!BY:BY,MATCH(D171,'#建筑消耗和buff配置索引'!A:A,0))),"")</f>
        <v/>
      </c>
      <c r="W171" s="133" t="str">
        <f>IF(E171=1,IF(INDEX('#建筑消耗和buff配置索引'!BZ:BZ,MATCH(D171,'#建筑消耗和buff配置索引'!A:A,0))=0,"",INDEX('#建筑消耗和buff配置索引'!BZ:BZ,MATCH(D171,'#建筑消耗和buff配置索引'!A:A,0))),"")</f>
        <v/>
      </c>
      <c r="X171" s="133" t="str">
        <f>INDEX('#建筑消耗和buff配置索引'!BC:BC,MATCH(F171,'#建筑消耗和buff配置索引'!M:M,0))*100&amp;"%"</f>
        <v>0%</v>
      </c>
      <c r="AA171" s="133">
        <f>INDEX('#建筑消耗和buff配置索引'!AO:AO,MATCH($F171,'#建筑消耗和buff配置索引'!$M:$M,0))</f>
        <v>29632</v>
      </c>
      <c r="AB171" s="133">
        <f>IF(INDEX('#建筑消耗和buff配置索引'!AR:AR,MATCH($F171,'#建筑消耗和buff配置索引'!$M:$M,0))=0,"",INDEX('#建筑消耗和buff配置索引'!AR:AR,MATCH($F171,'#建筑消耗和buff配置索引'!$M:$M,0)))</f>
        <v>3000</v>
      </c>
      <c r="AC171" s="133">
        <f>IF(AB171="","",INDEX('#建筑消耗和buff配置索引'!AS:AS,MATCH($F171,'#建筑消耗和buff配置索引'!$M:$M,0)))</f>
        <v>8.5000000000000006E-2</v>
      </c>
      <c r="AF171" s="133">
        <f>IF(INDEX('#建筑消耗和buff配置索引'!AW:AW,MATCH($F171,'#建筑消耗和buff配置索引'!$M:$M,0))=0,"",INDEX('#建筑消耗和buff配置索引'!AW:AW,MATCH($F171,'#建筑消耗和buff配置索引'!$M:$M,0)))</f>
        <v>3013</v>
      </c>
      <c r="AG171" s="133">
        <f>IF(AF171="","",INDEX('#建筑消耗和buff配置索引'!AX:AX,MATCH($F171,'#建筑消耗和buff配置索引'!$M:$M,0)))</f>
        <v>850</v>
      </c>
      <c r="AJ171" s="133" t="str">
        <f>IF(INDEX('#建筑消耗和buff配置索引'!BB:BB,MATCH($F171,'#建筑消耗和buff配置索引'!$M:$M,0))=0,"",INDEX('#建筑消耗和buff配置索引'!BB:BB,MATCH($F171,'#建筑消耗和buff配置索引'!$M:$M,0)))</f>
        <v/>
      </c>
      <c r="AK171" s="133" t="str">
        <f>IF(AJ171="","",INDEX('#建筑消耗和buff配置索引'!BC:BC,MATCH($F171,'#建筑消耗和buff配置索引'!$M:$M,0)))</f>
        <v/>
      </c>
      <c r="AN171" s="133" t="str">
        <f>IF(INDEX('#建筑消耗和buff配置索引'!BG:BG,MATCH($F171,'#建筑消耗和buff配置索引'!$M:$M,0))=0,"",INDEX('#建筑消耗和buff配置索引'!BG:BG,MATCH($F171,'#建筑消耗和buff配置索引'!$M:$M,0)))</f>
        <v/>
      </c>
      <c r="AO171" s="133" t="str">
        <f>IF(AN171="","",INDEX('#建筑消耗和buff配置索引'!BH:BH,MATCH($F171,'#建筑消耗和buff配置索引'!$M:$M,0)))</f>
        <v/>
      </c>
      <c r="AR171" s="133" t="str">
        <f>IF(INDEX('#建筑消耗和buff配置索引'!BK:BK,MATCH($F171,'#建筑消耗和buff配置索引'!$M:$M,0))=0,"",INDEX('#建筑消耗和buff配置索引'!BK:BK,MATCH($F171,'#建筑消耗和buff配置索引'!$M:$M,0)))</f>
        <v/>
      </c>
      <c r="AS171" s="133" t="str">
        <f>IF(AR171="","",INDEX('#建筑消耗和buff配置索引'!BL:BL,MATCH($F171,'#建筑消耗和buff配置索引'!$M:$M,0)))</f>
        <v/>
      </c>
      <c r="AV171" s="133" t="str">
        <f>IF(INDEX('#建筑消耗和buff配置索引'!BO:BO,MATCH($F171,'#建筑消耗和buff配置索引'!$M:$M,0))=0,"",INDEX('#建筑消耗和buff配置索引'!BO:BO,MATCH($F171,'#建筑消耗和buff配置索引'!$M:$M,0)))</f>
        <v/>
      </c>
      <c r="AW171" s="133" t="str">
        <f>IF(AV171="","",INDEX('#建筑消耗和buff配置索引'!BP:BP,MATCH($F171,'#建筑消耗和buff配置索引'!$M:$M,0)))</f>
        <v/>
      </c>
      <c r="AZ171" s="133" t="str">
        <f>IF(INDEX('#建筑消耗和buff配置索引'!BS:BS,MATCH($F171,'#建筑消耗和buff配置索引'!$M:$M,0))=0,"",INDEX('#建筑消耗和buff配置索引'!BS:BS,MATCH($F171,'#建筑消耗和buff配置索引'!$M:$M,0)))</f>
        <v/>
      </c>
      <c r="BA171" s="133" t="str">
        <f>IF(AZ171="","",INDEX('#建筑消耗和buff配置索引'!BT:BT,MATCH($F171,'#建筑消耗和buff配置索引'!$M:$M,0)))</f>
        <v/>
      </c>
      <c r="BD171" s="133" t="str">
        <f>IF(INDEX('#建筑消耗和buff配置索引'!BW:BW,MATCH($F171,'#建筑消耗和buff配置索引'!$M:$M,0))=0,"",INDEX('#建筑消耗和buff配置索引'!BW:BW,MATCH($F171,'#建筑消耗和buff配置索引'!$M:$M,0)))</f>
        <v/>
      </c>
      <c r="BE171" s="133" t="str">
        <f>IF(BD171="","",INDEX('#建筑消耗和buff配置索引'!BX:BX,MATCH($F171,'#建筑消耗和buff配置索引'!$M:$M,0)))</f>
        <v/>
      </c>
      <c r="BI171" s="133">
        <v>9</v>
      </c>
    </row>
    <row r="172" spans="1:62" s="133" customFormat="1">
      <c r="A172" s="133">
        <v>2060019</v>
      </c>
      <c r="B172" s="133">
        <v>169</v>
      </c>
      <c r="C172" s="133">
        <v>206</v>
      </c>
      <c r="D172" s="133" t="s">
        <v>293</v>
      </c>
      <c r="E172" s="133">
        <v>19</v>
      </c>
      <c r="F172" s="133" t="str">
        <f t="shared" si="4"/>
        <v>剑士营19</v>
      </c>
      <c r="H172" s="146"/>
      <c r="I172" s="133">
        <v>2</v>
      </c>
      <c r="J172" s="150">
        <f>INDEX('#建筑消耗和buff配置索引'!AH:AH,MATCH($F172,'#建筑消耗和buff配置索引'!$M:$M,0))</f>
        <v>73440</v>
      </c>
      <c r="K172" s="150">
        <f>INDEX('#建筑消耗和buff配置索引'!AA:AA,MATCH($F172,'#建筑消耗和buff配置索引'!$M:$M,0))</f>
        <v>1200000</v>
      </c>
      <c r="L172" s="150">
        <f>INDEX('#建筑消耗和buff配置索引'!AB:AB,MATCH($F172,'#建筑消耗和buff配置索引'!$M:$M,0))</f>
        <v>1200000</v>
      </c>
      <c r="M172" s="150">
        <f>INDEX('#建筑消耗和buff配置索引'!AC:AC,MATCH($F172,'#建筑消耗和buff配置索引'!$M:$M,0))</f>
        <v>1200000</v>
      </c>
      <c r="N172" s="150">
        <f>INDEX('#建筑消耗和buff配置索引'!AD:AD,MATCH($F172,'#建筑消耗和buff配置索引'!$M:$M,0))</f>
        <v>1200000</v>
      </c>
      <c r="O172" s="150" t="str">
        <f>IF(INDEX('#建筑消耗和buff配置索引'!T:T,MATCH($F172,'#建筑消耗和buff配置索引'!$M:$M,0))=0,"",INDEX('#建筑消耗和buff配置索引'!T:T,MATCH($F172,'#建筑消耗和buff配置索引'!$M:$M,0)))</f>
        <v/>
      </c>
      <c r="P172" s="133" t="str">
        <f>IF(INDEX('#建筑消耗和buff配置索引'!U:U,MATCH($F172,'#建筑消耗和buff配置索引'!$M:$M,0))=0,"",INDEX('#建筑消耗和buff配置索引'!U:U,MATCH($F172,'#建筑消耗和buff配置索引'!$M:$M,0)))</f>
        <v/>
      </c>
      <c r="Q172" s="133" t="str">
        <f>IF(INDEX('#建筑消耗和buff配置索引'!K:K,MATCH($F172,'#建筑消耗和buff配置索引'!$M:$M,0))=0,"",INDEX('#建筑消耗和buff配置索引'!K:K,MATCH($F172,'#建筑消耗和buff配置索引'!$M:$M,0)))</f>
        <v>201;203</v>
      </c>
      <c r="R172" s="133" t="str">
        <f>IF(INDEX('#建筑消耗和buff配置索引'!L:L,MATCH($F172,'#建筑消耗和buff配置索引'!$M:$M,0))=0,"",INDEX('#建筑消耗和buff配置索引'!L:L,MATCH($F172,'#建筑消耗和buff配置索引'!$M:$M,0)))</f>
        <v>19;19</v>
      </c>
      <c r="S172" s="133">
        <f>IF(INDEX('#建筑消耗和buff配置索引'!C:C,MATCH(F172,'#建筑消耗和buff配置索引'!M:M,0))=0,1,INDEX('#建筑消耗和buff配置索引'!C:C,MATCH(F172,'#建筑消耗和buff配置索引'!M:M,0)))</f>
        <v>1</v>
      </c>
      <c r="T172" s="133">
        <v>0</v>
      </c>
      <c r="U172" s="133">
        <v>0</v>
      </c>
      <c r="V172" s="133" t="str">
        <f>IF(E172=1,IF(INDEX('#建筑消耗和buff配置索引'!BY:BY,MATCH(D172,'#建筑消耗和buff配置索引'!A:A,0))=0,"",INDEX('#建筑消耗和buff配置索引'!BY:BY,MATCH(D172,'#建筑消耗和buff配置索引'!A:A,0))),"")</f>
        <v/>
      </c>
      <c r="W172" s="133" t="str">
        <f>IF(E172=1,IF(INDEX('#建筑消耗和buff配置索引'!BZ:BZ,MATCH(D172,'#建筑消耗和buff配置索引'!A:A,0))=0,"",INDEX('#建筑消耗和buff配置索引'!BZ:BZ,MATCH(D172,'#建筑消耗和buff配置索引'!A:A,0))),"")</f>
        <v/>
      </c>
      <c r="X172" s="133" t="str">
        <f>INDEX('#建筑消耗和buff配置索引'!BC:BC,MATCH(F172,'#建筑消耗和buff配置索引'!M:M,0))*100&amp;"%"</f>
        <v>0%</v>
      </c>
      <c r="AA172" s="133">
        <f>INDEX('#建筑消耗和buff配置索引'!AO:AO,MATCH($F172,'#建筑消耗和buff配置索引'!$M:$M,0))</f>
        <v>38833</v>
      </c>
      <c r="AB172" s="133">
        <f>IF(INDEX('#建筑消耗和buff配置索引'!AR:AR,MATCH($F172,'#建筑消耗和buff配置索引'!$M:$M,0))=0,"",INDEX('#建筑消耗和buff配置索引'!AR:AR,MATCH($F172,'#建筑消耗和buff配置索引'!$M:$M,0)))</f>
        <v>3000</v>
      </c>
      <c r="AC172" s="133">
        <f>IF(AB172="","",INDEX('#建筑消耗和buff配置索引'!AS:AS,MATCH($F172,'#建筑消耗和buff配置索引'!$M:$M,0)))</f>
        <v>0.09</v>
      </c>
      <c r="AF172" s="133">
        <f>IF(INDEX('#建筑消耗和buff配置索引'!AW:AW,MATCH($F172,'#建筑消耗和buff配置索引'!$M:$M,0))=0,"",INDEX('#建筑消耗和buff配置索引'!AW:AW,MATCH($F172,'#建筑消耗和buff配置索引'!$M:$M,0)))</f>
        <v>3013</v>
      </c>
      <c r="AG172" s="133">
        <f>IF(AF172="","",INDEX('#建筑消耗和buff配置索引'!AX:AX,MATCH($F172,'#建筑消耗和buff配置索引'!$M:$M,0)))</f>
        <v>900</v>
      </c>
      <c r="AJ172" s="133" t="str">
        <f>IF(INDEX('#建筑消耗和buff配置索引'!BB:BB,MATCH($F172,'#建筑消耗和buff配置索引'!$M:$M,0))=0,"",INDEX('#建筑消耗和buff配置索引'!BB:BB,MATCH($F172,'#建筑消耗和buff配置索引'!$M:$M,0)))</f>
        <v/>
      </c>
      <c r="AK172" s="133" t="str">
        <f>IF(AJ172="","",INDEX('#建筑消耗和buff配置索引'!BC:BC,MATCH($F172,'#建筑消耗和buff配置索引'!$M:$M,0)))</f>
        <v/>
      </c>
      <c r="AN172" s="133" t="str">
        <f>IF(INDEX('#建筑消耗和buff配置索引'!BG:BG,MATCH($F172,'#建筑消耗和buff配置索引'!$M:$M,0))=0,"",INDEX('#建筑消耗和buff配置索引'!BG:BG,MATCH($F172,'#建筑消耗和buff配置索引'!$M:$M,0)))</f>
        <v/>
      </c>
      <c r="AO172" s="133" t="str">
        <f>IF(AN172="","",INDEX('#建筑消耗和buff配置索引'!BH:BH,MATCH($F172,'#建筑消耗和buff配置索引'!$M:$M,0)))</f>
        <v/>
      </c>
      <c r="AR172" s="133" t="str">
        <f>IF(INDEX('#建筑消耗和buff配置索引'!BK:BK,MATCH($F172,'#建筑消耗和buff配置索引'!$M:$M,0))=0,"",INDEX('#建筑消耗和buff配置索引'!BK:BK,MATCH($F172,'#建筑消耗和buff配置索引'!$M:$M,0)))</f>
        <v/>
      </c>
      <c r="AS172" s="133" t="str">
        <f>IF(AR172="","",INDEX('#建筑消耗和buff配置索引'!BL:BL,MATCH($F172,'#建筑消耗和buff配置索引'!$M:$M,0)))</f>
        <v/>
      </c>
      <c r="AV172" s="133" t="str">
        <f>IF(INDEX('#建筑消耗和buff配置索引'!BO:BO,MATCH($F172,'#建筑消耗和buff配置索引'!$M:$M,0))=0,"",INDEX('#建筑消耗和buff配置索引'!BO:BO,MATCH($F172,'#建筑消耗和buff配置索引'!$M:$M,0)))</f>
        <v/>
      </c>
      <c r="AW172" s="133" t="str">
        <f>IF(AV172="","",INDEX('#建筑消耗和buff配置索引'!BP:BP,MATCH($F172,'#建筑消耗和buff配置索引'!$M:$M,0)))</f>
        <v/>
      </c>
      <c r="AZ172" s="133" t="str">
        <f>IF(INDEX('#建筑消耗和buff配置索引'!BS:BS,MATCH($F172,'#建筑消耗和buff配置索引'!$M:$M,0))=0,"",INDEX('#建筑消耗和buff配置索引'!BS:BS,MATCH($F172,'#建筑消耗和buff配置索引'!$M:$M,0)))</f>
        <v/>
      </c>
      <c r="BA172" s="133" t="str">
        <f>IF(AZ172="","",INDEX('#建筑消耗和buff配置索引'!BT:BT,MATCH($F172,'#建筑消耗和buff配置索引'!$M:$M,0)))</f>
        <v/>
      </c>
      <c r="BD172" s="133" t="str">
        <f>IF(INDEX('#建筑消耗和buff配置索引'!BW:BW,MATCH($F172,'#建筑消耗和buff配置索引'!$M:$M,0))=0,"",INDEX('#建筑消耗和buff配置索引'!BW:BW,MATCH($F172,'#建筑消耗和buff配置索引'!$M:$M,0)))</f>
        <v/>
      </c>
      <c r="BE172" s="133" t="str">
        <f>IF(BD172="","",INDEX('#建筑消耗和buff配置索引'!BX:BX,MATCH($F172,'#建筑消耗和buff配置索引'!$M:$M,0)))</f>
        <v/>
      </c>
      <c r="BI172" s="133">
        <v>9</v>
      </c>
    </row>
    <row r="173" spans="1:62" s="133" customFormat="1">
      <c r="A173" s="133">
        <v>2060020</v>
      </c>
      <c r="B173" s="133">
        <v>170</v>
      </c>
      <c r="C173" s="133">
        <v>206</v>
      </c>
      <c r="D173" s="133" t="s">
        <v>293</v>
      </c>
      <c r="E173" s="133">
        <v>20</v>
      </c>
      <c r="F173" s="133" t="str">
        <f t="shared" si="4"/>
        <v>剑士营20</v>
      </c>
      <c r="H173" s="146"/>
      <c r="I173" s="133">
        <v>3</v>
      </c>
      <c r="J173" s="150">
        <f>INDEX('#建筑消耗和buff配置索引'!AH:AH,MATCH($F173,'#建筑消耗和buff配置索引'!$M:$M,0))</f>
        <v>103680</v>
      </c>
      <c r="K173" s="150">
        <f>INDEX('#建筑消耗和buff配置索引'!AA:AA,MATCH($F173,'#建筑消耗和buff配置索引'!$M:$M,0))</f>
        <v>1500000</v>
      </c>
      <c r="L173" s="150">
        <f>INDEX('#建筑消耗和buff配置索引'!AB:AB,MATCH($F173,'#建筑消耗和buff配置索引'!$M:$M,0))</f>
        <v>1500000</v>
      </c>
      <c r="M173" s="150">
        <f>INDEX('#建筑消耗和buff配置索引'!AC:AC,MATCH($F173,'#建筑消耗和buff配置索引'!$M:$M,0))</f>
        <v>1500000</v>
      </c>
      <c r="N173" s="150">
        <f>INDEX('#建筑消耗和buff配置索引'!AD:AD,MATCH($F173,'#建筑消耗和buff配置索引'!$M:$M,0))</f>
        <v>1500000</v>
      </c>
      <c r="O173" s="150" t="str">
        <f>IF(INDEX('#建筑消耗和buff配置索引'!T:T,MATCH($F173,'#建筑消耗和buff配置索引'!$M:$M,0))=0,"",INDEX('#建筑消耗和buff配置索引'!T:T,MATCH($F173,'#建筑消耗和buff配置索引'!$M:$M,0)))</f>
        <v/>
      </c>
      <c r="P173" s="133" t="str">
        <f>IF(INDEX('#建筑消耗和buff配置索引'!U:U,MATCH($F173,'#建筑消耗和buff配置索引'!$M:$M,0))=0,"",INDEX('#建筑消耗和buff配置索引'!U:U,MATCH($F173,'#建筑消耗和buff配置索引'!$M:$M,0)))</f>
        <v/>
      </c>
      <c r="Q173" s="133" t="str">
        <f>IF(INDEX('#建筑消耗和buff配置索引'!K:K,MATCH($F173,'#建筑消耗和buff配置索引'!$M:$M,0))=0,"",INDEX('#建筑消耗和buff配置索引'!K:K,MATCH($F173,'#建筑消耗和buff配置索引'!$M:$M,0)))</f>
        <v>201;203</v>
      </c>
      <c r="R173" s="133" t="str">
        <f>IF(INDEX('#建筑消耗和buff配置索引'!L:L,MATCH($F173,'#建筑消耗和buff配置索引'!$M:$M,0))=0,"",INDEX('#建筑消耗和buff配置索引'!L:L,MATCH($F173,'#建筑消耗和buff配置索引'!$M:$M,0)))</f>
        <v>20;20</v>
      </c>
      <c r="S173" s="133">
        <f>IF(INDEX('#建筑消耗和buff配置索引'!C:C,MATCH(F173,'#建筑消耗和buff配置索引'!M:M,0))=0,1,INDEX('#建筑消耗和buff配置索引'!C:C,MATCH(F173,'#建筑消耗和buff配置索引'!M:M,0)))</f>
        <v>1</v>
      </c>
      <c r="T173" s="133">
        <v>0</v>
      </c>
      <c r="U173" s="133">
        <v>0</v>
      </c>
      <c r="V173" s="133" t="str">
        <f>IF(E173=1,IF(INDEX('#建筑消耗和buff配置索引'!BY:BY,MATCH(D173,'#建筑消耗和buff配置索引'!A:A,0))=0,"",INDEX('#建筑消耗和buff配置索引'!BY:BY,MATCH(D173,'#建筑消耗和buff配置索引'!A:A,0))),"")</f>
        <v/>
      </c>
      <c r="W173" s="133" t="str">
        <f>IF(E173=1,IF(INDEX('#建筑消耗和buff配置索引'!BZ:BZ,MATCH(D173,'#建筑消耗和buff配置索引'!A:A,0))=0,"",INDEX('#建筑消耗和buff配置索引'!BZ:BZ,MATCH(D173,'#建筑消耗和buff配置索引'!A:A,0))),"")</f>
        <v/>
      </c>
      <c r="X173" s="133" t="str">
        <f>INDEX('#建筑消耗和buff配置索引'!BC:BC,MATCH(F173,'#建筑消耗和buff配置索引'!M:M,0))*100&amp;"%"</f>
        <v>0%</v>
      </c>
      <c r="AA173" s="133">
        <f>INDEX('#建筑消耗和buff配置索引'!AO:AO,MATCH($F173,'#建筑消耗和buff配置索引'!$M:$M,0))</f>
        <v>50611</v>
      </c>
      <c r="AB173" s="133">
        <f>IF(INDEX('#建筑消耗和buff配置索引'!AR:AR,MATCH($F173,'#建筑消耗和buff配置索引'!$M:$M,0))=0,"",INDEX('#建筑消耗和buff配置索引'!AR:AR,MATCH($F173,'#建筑消耗和buff配置索引'!$M:$M,0)))</f>
        <v>3000</v>
      </c>
      <c r="AC173" s="133">
        <f>IF(AB173="","",INDEX('#建筑消耗和buff配置索引'!AS:AS,MATCH($F173,'#建筑消耗和buff配置索引'!$M:$M,0)))</f>
        <v>9.5000000000000001E-2</v>
      </c>
      <c r="AF173" s="133">
        <f>IF(INDEX('#建筑消耗和buff配置索引'!AW:AW,MATCH($F173,'#建筑消耗和buff配置索引'!$M:$M,0))=0,"",INDEX('#建筑消耗和buff配置索引'!AW:AW,MATCH($F173,'#建筑消耗和buff配置索引'!$M:$M,0)))</f>
        <v>3013</v>
      </c>
      <c r="AG173" s="133">
        <f>IF(AF173="","",INDEX('#建筑消耗和buff配置索引'!AX:AX,MATCH($F173,'#建筑消耗和buff配置索引'!$M:$M,0)))</f>
        <v>950</v>
      </c>
      <c r="AJ173" s="133" t="str">
        <f>IF(INDEX('#建筑消耗和buff配置索引'!BB:BB,MATCH($F173,'#建筑消耗和buff配置索引'!$M:$M,0))=0,"",INDEX('#建筑消耗和buff配置索引'!BB:BB,MATCH($F173,'#建筑消耗和buff配置索引'!$M:$M,0)))</f>
        <v/>
      </c>
      <c r="AK173" s="133" t="str">
        <f>IF(AJ173="","",INDEX('#建筑消耗和buff配置索引'!BC:BC,MATCH($F173,'#建筑消耗和buff配置索引'!$M:$M,0)))</f>
        <v/>
      </c>
      <c r="AN173" s="133" t="str">
        <f>IF(INDEX('#建筑消耗和buff配置索引'!BG:BG,MATCH($F173,'#建筑消耗和buff配置索引'!$M:$M,0))=0,"",INDEX('#建筑消耗和buff配置索引'!BG:BG,MATCH($F173,'#建筑消耗和buff配置索引'!$M:$M,0)))</f>
        <v/>
      </c>
      <c r="AO173" s="133" t="str">
        <f>IF(AN173="","",INDEX('#建筑消耗和buff配置索引'!BH:BH,MATCH($F173,'#建筑消耗和buff配置索引'!$M:$M,0)))</f>
        <v/>
      </c>
      <c r="AR173" s="133" t="str">
        <f>IF(INDEX('#建筑消耗和buff配置索引'!BK:BK,MATCH($F173,'#建筑消耗和buff配置索引'!$M:$M,0))=0,"",INDEX('#建筑消耗和buff配置索引'!BK:BK,MATCH($F173,'#建筑消耗和buff配置索引'!$M:$M,0)))</f>
        <v/>
      </c>
      <c r="AS173" s="133" t="str">
        <f>IF(AR173="","",INDEX('#建筑消耗和buff配置索引'!BL:BL,MATCH($F173,'#建筑消耗和buff配置索引'!$M:$M,0)))</f>
        <v/>
      </c>
      <c r="AV173" s="133" t="str">
        <f>IF(INDEX('#建筑消耗和buff配置索引'!BO:BO,MATCH($F173,'#建筑消耗和buff配置索引'!$M:$M,0))=0,"",INDEX('#建筑消耗和buff配置索引'!BO:BO,MATCH($F173,'#建筑消耗和buff配置索引'!$M:$M,0)))</f>
        <v/>
      </c>
      <c r="AW173" s="133" t="str">
        <f>IF(AV173="","",INDEX('#建筑消耗和buff配置索引'!BP:BP,MATCH($F173,'#建筑消耗和buff配置索引'!$M:$M,0)))</f>
        <v/>
      </c>
      <c r="AZ173" s="133" t="str">
        <f>IF(INDEX('#建筑消耗和buff配置索引'!BS:BS,MATCH($F173,'#建筑消耗和buff配置索引'!$M:$M,0))=0,"",INDEX('#建筑消耗和buff配置索引'!BS:BS,MATCH($F173,'#建筑消耗和buff配置索引'!$M:$M,0)))</f>
        <v/>
      </c>
      <c r="BA173" s="133" t="str">
        <f>IF(AZ173="","",INDEX('#建筑消耗和buff配置索引'!BT:BT,MATCH($F173,'#建筑消耗和buff配置索引'!$M:$M,0)))</f>
        <v/>
      </c>
      <c r="BD173" s="133" t="str">
        <f>IF(INDEX('#建筑消耗和buff配置索引'!BW:BW,MATCH($F173,'#建筑消耗和buff配置索引'!$M:$M,0))=0,"",INDEX('#建筑消耗和buff配置索引'!BW:BW,MATCH($F173,'#建筑消耗和buff配置索引'!$M:$M,0)))</f>
        <v/>
      </c>
      <c r="BE173" s="133" t="str">
        <f>IF(BD173="","",INDEX('#建筑消耗和buff配置索引'!BX:BX,MATCH($F173,'#建筑消耗和buff配置索引'!$M:$M,0)))</f>
        <v/>
      </c>
      <c r="BI173" s="133">
        <v>9</v>
      </c>
    </row>
    <row r="174" spans="1:62" s="133" customFormat="1">
      <c r="A174" s="133">
        <v>2060021</v>
      </c>
      <c r="B174" s="133">
        <v>171</v>
      </c>
      <c r="C174" s="133">
        <v>206</v>
      </c>
      <c r="D174" s="133" t="s">
        <v>293</v>
      </c>
      <c r="E174" s="133">
        <v>21</v>
      </c>
      <c r="F174" s="133" t="str">
        <f t="shared" si="4"/>
        <v>剑士营21</v>
      </c>
      <c r="H174" s="146"/>
      <c r="I174" s="133">
        <v>3</v>
      </c>
      <c r="J174" s="150">
        <f>INDEX('#建筑消耗和buff配置索引'!AH:AH,MATCH($F174,'#建筑消耗和buff配置索引'!$M:$M,0))</f>
        <v>138240</v>
      </c>
      <c r="K174" s="150">
        <f>INDEX('#建筑消耗和buff配置索引'!AA:AA,MATCH($F174,'#建筑消耗和buff配置索引'!$M:$M,0))</f>
        <v>1900000</v>
      </c>
      <c r="L174" s="150">
        <f>INDEX('#建筑消耗和buff配置索引'!AB:AB,MATCH($F174,'#建筑消耗和buff配置索引'!$M:$M,0))</f>
        <v>1900000</v>
      </c>
      <c r="M174" s="150">
        <f>INDEX('#建筑消耗和buff配置索引'!AC:AC,MATCH($F174,'#建筑消耗和buff配置索引'!$M:$M,0))</f>
        <v>1900000</v>
      </c>
      <c r="N174" s="150">
        <f>INDEX('#建筑消耗和buff配置索引'!AD:AD,MATCH($F174,'#建筑消耗和buff配置索引'!$M:$M,0))</f>
        <v>1900000</v>
      </c>
      <c r="O174" s="150" t="str">
        <f>IF(INDEX('#建筑消耗和buff配置索引'!T:T,MATCH($F174,'#建筑消耗和buff配置索引'!$M:$M,0))=0,"",INDEX('#建筑消耗和buff配置索引'!T:T,MATCH($F174,'#建筑消耗和buff配置索引'!$M:$M,0)))</f>
        <v/>
      </c>
      <c r="P174" s="133" t="str">
        <f>IF(INDEX('#建筑消耗和buff配置索引'!U:U,MATCH($F174,'#建筑消耗和buff配置索引'!$M:$M,0))=0,"",INDEX('#建筑消耗和buff配置索引'!U:U,MATCH($F174,'#建筑消耗和buff配置索引'!$M:$M,0)))</f>
        <v/>
      </c>
      <c r="Q174" s="133" t="str">
        <f>IF(INDEX('#建筑消耗和buff配置索引'!K:K,MATCH($F174,'#建筑消耗和buff配置索引'!$M:$M,0))=0,"",INDEX('#建筑消耗和buff配置索引'!K:K,MATCH($F174,'#建筑消耗和buff配置索引'!$M:$M,0)))</f>
        <v>201;203</v>
      </c>
      <c r="R174" s="133" t="str">
        <f>IF(INDEX('#建筑消耗和buff配置索引'!L:L,MATCH($F174,'#建筑消耗和buff配置索引'!$M:$M,0))=0,"",INDEX('#建筑消耗和buff配置索引'!L:L,MATCH($F174,'#建筑消耗和buff配置索引'!$M:$M,0)))</f>
        <v>21;21</v>
      </c>
      <c r="S174" s="133">
        <f>IF(INDEX('#建筑消耗和buff配置索引'!C:C,MATCH(F174,'#建筑消耗和buff配置索引'!M:M,0))=0,1,INDEX('#建筑消耗和buff配置索引'!C:C,MATCH(F174,'#建筑消耗和buff配置索引'!M:M,0)))</f>
        <v>1</v>
      </c>
      <c r="T174" s="133">
        <v>0</v>
      </c>
      <c r="U174" s="133">
        <v>0</v>
      </c>
      <c r="V174" s="133" t="str">
        <f>IF(E174=1,IF(INDEX('#建筑消耗和buff配置索引'!BY:BY,MATCH(D174,'#建筑消耗和buff配置索引'!A:A,0))=0,"",INDEX('#建筑消耗和buff配置索引'!BY:BY,MATCH(D174,'#建筑消耗和buff配置索引'!A:A,0))),"")</f>
        <v/>
      </c>
      <c r="W174" s="133" t="str">
        <f>IF(E174=1,IF(INDEX('#建筑消耗和buff配置索引'!BZ:BZ,MATCH(D174,'#建筑消耗和buff配置索引'!A:A,0))=0,"",INDEX('#建筑消耗和buff配置索引'!BZ:BZ,MATCH(D174,'#建筑消耗和buff配置索引'!A:A,0))),"")</f>
        <v/>
      </c>
      <c r="AA174" s="133">
        <f>INDEX('#建筑消耗和buff配置索引'!AO:AO,MATCH($F174,'#建筑消耗和buff配置索引'!$M:$M,0))</f>
        <v>65687</v>
      </c>
      <c r="AB174" s="133">
        <f>IF(INDEX('#建筑消耗和buff配置索引'!AR:AR,MATCH($F174,'#建筑消耗和buff配置索引'!$M:$M,0))=0,"",INDEX('#建筑消耗和buff配置索引'!AR:AR,MATCH($F174,'#建筑消耗和buff配置索引'!$M:$M,0)))</f>
        <v>3000</v>
      </c>
      <c r="AC174" s="133">
        <f>IF(AB174="","",INDEX('#建筑消耗和buff配置索引'!AS:AS,MATCH($F174,'#建筑消耗和buff配置索引'!$M:$M,0)))</f>
        <v>0.1</v>
      </c>
      <c r="AF174" s="133">
        <f>IF(INDEX('#建筑消耗和buff配置索引'!AW:AW,MATCH($F174,'#建筑消耗和buff配置索引'!$M:$M,0))=0,"",INDEX('#建筑消耗和buff配置索引'!AW:AW,MATCH($F174,'#建筑消耗和buff配置索引'!$M:$M,0)))</f>
        <v>3013</v>
      </c>
      <c r="AG174" s="133">
        <f>IF(AF174="","",INDEX('#建筑消耗和buff配置索引'!AX:AX,MATCH($F174,'#建筑消耗和buff配置索引'!$M:$M,0)))</f>
        <v>1000</v>
      </c>
      <c r="AJ174" s="133" t="str">
        <f>IF(INDEX('#建筑消耗和buff配置索引'!BB:BB,MATCH($F174,'#建筑消耗和buff配置索引'!$M:$M,0))=0,"",INDEX('#建筑消耗和buff配置索引'!BB:BB,MATCH($F174,'#建筑消耗和buff配置索引'!$M:$M,0)))</f>
        <v/>
      </c>
      <c r="AK174" s="133" t="str">
        <f>IF(AJ174="","",INDEX('#建筑消耗和buff配置索引'!BC:BC,MATCH($F174,'#建筑消耗和buff配置索引'!$M:$M,0)))</f>
        <v/>
      </c>
      <c r="AN174" s="133" t="str">
        <f>IF(INDEX('#建筑消耗和buff配置索引'!BG:BG,MATCH($F174,'#建筑消耗和buff配置索引'!$M:$M,0))=0,"",INDEX('#建筑消耗和buff配置索引'!BG:BG,MATCH($F174,'#建筑消耗和buff配置索引'!$M:$M,0)))</f>
        <v/>
      </c>
      <c r="AO174" s="133" t="str">
        <f>IF(AN174="","",INDEX('#建筑消耗和buff配置索引'!BH:BH,MATCH($F174,'#建筑消耗和buff配置索引'!$M:$M,0)))</f>
        <v/>
      </c>
      <c r="AR174" s="133" t="str">
        <f>IF(INDEX('#建筑消耗和buff配置索引'!BK:BK,MATCH($F174,'#建筑消耗和buff配置索引'!$M:$M,0))=0,"",INDEX('#建筑消耗和buff配置索引'!BK:BK,MATCH($F174,'#建筑消耗和buff配置索引'!$M:$M,0)))</f>
        <v/>
      </c>
      <c r="AS174" s="133" t="str">
        <f>IF(AR174="","",INDEX('#建筑消耗和buff配置索引'!BL:BL,MATCH($F174,'#建筑消耗和buff配置索引'!$M:$M,0)))</f>
        <v/>
      </c>
      <c r="AV174" s="133" t="str">
        <f>IF(INDEX('#建筑消耗和buff配置索引'!BO:BO,MATCH($F174,'#建筑消耗和buff配置索引'!$M:$M,0))=0,"",INDEX('#建筑消耗和buff配置索引'!BO:BO,MATCH($F174,'#建筑消耗和buff配置索引'!$M:$M,0)))</f>
        <v/>
      </c>
      <c r="AW174" s="133" t="str">
        <f>IF(AV174="","",INDEX('#建筑消耗和buff配置索引'!BP:BP,MATCH($F174,'#建筑消耗和buff配置索引'!$M:$M,0)))</f>
        <v/>
      </c>
      <c r="AZ174" s="133" t="str">
        <f>IF(INDEX('#建筑消耗和buff配置索引'!BS:BS,MATCH($F174,'#建筑消耗和buff配置索引'!$M:$M,0))=0,"",INDEX('#建筑消耗和buff配置索引'!BS:BS,MATCH($F174,'#建筑消耗和buff配置索引'!$M:$M,0)))</f>
        <v/>
      </c>
      <c r="BA174" s="133" t="str">
        <f>IF(AZ174="","",INDEX('#建筑消耗和buff配置索引'!BT:BT,MATCH($F174,'#建筑消耗和buff配置索引'!$M:$M,0)))</f>
        <v/>
      </c>
      <c r="BD174" s="133" t="str">
        <f>IF(INDEX('#建筑消耗和buff配置索引'!BW:BW,MATCH($F174,'#建筑消耗和buff配置索引'!$M:$M,0))=0,"",INDEX('#建筑消耗和buff配置索引'!BW:BW,MATCH($F174,'#建筑消耗和buff配置索引'!$M:$M,0)))</f>
        <v/>
      </c>
      <c r="BE174" s="133" t="str">
        <f>IF(BD174="","",INDEX('#建筑消耗和buff配置索引'!BX:BX,MATCH($F174,'#建筑消耗和buff配置索引'!$M:$M,0)))</f>
        <v/>
      </c>
      <c r="BI174" s="133">
        <v>9</v>
      </c>
    </row>
    <row r="175" spans="1:62" s="133" customFormat="1">
      <c r="A175" s="133">
        <v>2060022</v>
      </c>
      <c r="B175" s="133">
        <v>172</v>
      </c>
      <c r="C175" s="133">
        <v>206</v>
      </c>
      <c r="D175" s="133" t="s">
        <v>293</v>
      </c>
      <c r="E175" s="133">
        <v>22</v>
      </c>
      <c r="F175" s="133" t="str">
        <f t="shared" si="4"/>
        <v>剑士营22</v>
      </c>
      <c r="H175" s="146"/>
      <c r="I175" s="133">
        <v>3</v>
      </c>
      <c r="J175" s="150">
        <f>INDEX('#建筑消耗和buff配置索引'!AH:AH,MATCH($F175,'#建筑消耗和buff配置索引'!$M:$M,0))</f>
        <v>181440</v>
      </c>
      <c r="K175" s="150">
        <f>INDEX('#建筑消耗和buff配置索引'!AA:AA,MATCH($F175,'#建筑消耗和buff配置索引'!$M:$M,0))</f>
        <v>2400000</v>
      </c>
      <c r="L175" s="150">
        <f>INDEX('#建筑消耗和buff配置索引'!AB:AB,MATCH($F175,'#建筑消耗和buff配置索引'!$M:$M,0))</f>
        <v>2400000</v>
      </c>
      <c r="M175" s="150">
        <f>INDEX('#建筑消耗和buff配置索引'!AC:AC,MATCH($F175,'#建筑消耗和buff配置索引'!$M:$M,0))</f>
        <v>2400000</v>
      </c>
      <c r="N175" s="150">
        <f>INDEX('#建筑消耗和buff配置索引'!AD:AD,MATCH($F175,'#建筑消耗和buff配置索引'!$M:$M,0))</f>
        <v>2400000</v>
      </c>
      <c r="O175" s="150" t="str">
        <f>IF(INDEX('#建筑消耗和buff配置索引'!T:T,MATCH($F175,'#建筑消耗和buff配置索引'!$M:$M,0))=0,"",INDEX('#建筑消耗和buff配置索引'!T:T,MATCH($F175,'#建筑消耗和buff配置索引'!$M:$M,0)))</f>
        <v/>
      </c>
      <c r="P175" s="133" t="str">
        <f>IF(INDEX('#建筑消耗和buff配置索引'!U:U,MATCH($F175,'#建筑消耗和buff配置索引'!$M:$M,0))=0,"",INDEX('#建筑消耗和buff配置索引'!U:U,MATCH($F175,'#建筑消耗和buff配置索引'!$M:$M,0)))</f>
        <v/>
      </c>
      <c r="Q175" s="133" t="str">
        <f>IF(INDEX('#建筑消耗和buff配置索引'!K:K,MATCH($F175,'#建筑消耗和buff配置索引'!$M:$M,0))=0,"",INDEX('#建筑消耗和buff配置索引'!K:K,MATCH($F175,'#建筑消耗和buff配置索引'!$M:$M,0)))</f>
        <v>201;203</v>
      </c>
      <c r="R175" s="133" t="str">
        <f>IF(INDEX('#建筑消耗和buff配置索引'!L:L,MATCH($F175,'#建筑消耗和buff配置索引'!$M:$M,0))=0,"",INDEX('#建筑消耗和buff配置索引'!L:L,MATCH($F175,'#建筑消耗和buff配置索引'!$M:$M,0)))</f>
        <v>22;22</v>
      </c>
      <c r="S175" s="133">
        <f>IF(INDEX('#建筑消耗和buff配置索引'!C:C,MATCH(F175,'#建筑消耗和buff配置索引'!M:M,0))=0,1,INDEX('#建筑消耗和buff配置索引'!C:C,MATCH(F175,'#建筑消耗和buff配置索引'!M:M,0)))</f>
        <v>1</v>
      </c>
      <c r="T175" s="133">
        <v>0</v>
      </c>
      <c r="U175" s="133">
        <v>0</v>
      </c>
      <c r="V175" s="133" t="str">
        <f>IF(E175=1,IF(INDEX('#建筑消耗和buff配置索引'!BY:BY,MATCH(D175,'#建筑消耗和buff配置索引'!A:A,0))=0,"",INDEX('#建筑消耗和buff配置索引'!BY:BY,MATCH(D175,'#建筑消耗和buff配置索引'!A:A,0))),"")</f>
        <v/>
      </c>
      <c r="W175" s="133" t="str">
        <f>IF(E175=1,IF(INDEX('#建筑消耗和buff配置索引'!BZ:BZ,MATCH(D175,'#建筑消耗和buff配置索引'!A:A,0))=0,"",INDEX('#建筑消耗和buff配置索引'!BZ:BZ,MATCH(D175,'#建筑消耗和buff配置索引'!A:A,0))),"")</f>
        <v/>
      </c>
      <c r="AA175" s="133">
        <f>INDEX('#建筑消耗和buff配置索引'!AO:AO,MATCH($F175,'#建筑消耗和buff配置索引'!$M:$M,0))</f>
        <v>84984</v>
      </c>
      <c r="AB175" s="133">
        <f>IF(INDEX('#建筑消耗和buff配置索引'!AR:AR,MATCH($F175,'#建筑消耗和buff配置索引'!$M:$M,0))=0,"",INDEX('#建筑消耗和buff配置索引'!AR:AR,MATCH($F175,'#建筑消耗和buff配置索引'!$M:$M,0)))</f>
        <v>3000</v>
      </c>
      <c r="AC175" s="133">
        <f>IF(AB175="","",INDEX('#建筑消耗和buff配置索引'!AS:AS,MATCH($F175,'#建筑消耗和buff配置索引'!$M:$M,0)))</f>
        <v>0.105</v>
      </c>
      <c r="AF175" s="133">
        <f>IF(INDEX('#建筑消耗和buff配置索引'!AW:AW,MATCH($F175,'#建筑消耗和buff配置索引'!$M:$M,0))=0,"",INDEX('#建筑消耗和buff配置索引'!AW:AW,MATCH($F175,'#建筑消耗和buff配置索引'!$M:$M,0)))</f>
        <v>3013</v>
      </c>
      <c r="AG175" s="133">
        <f>IF(AF175="","",INDEX('#建筑消耗和buff配置索引'!AX:AX,MATCH($F175,'#建筑消耗和buff配置索引'!$M:$M,0)))</f>
        <v>1050</v>
      </c>
      <c r="AJ175" s="133" t="str">
        <f>IF(INDEX('#建筑消耗和buff配置索引'!BB:BB,MATCH($F175,'#建筑消耗和buff配置索引'!$M:$M,0))=0,"",INDEX('#建筑消耗和buff配置索引'!BB:BB,MATCH($F175,'#建筑消耗和buff配置索引'!$M:$M,0)))</f>
        <v/>
      </c>
      <c r="AK175" s="133" t="str">
        <f>IF(AJ175="","",INDEX('#建筑消耗和buff配置索引'!BC:BC,MATCH($F175,'#建筑消耗和buff配置索引'!$M:$M,0)))</f>
        <v/>
      </c>
      <c r="AN175" s="133" t="str">
        <f>IF(INDEX('#建筑消耗和buff配置索引'!BG:BG,MATCH($F175,'#建筑消耗和buff配置索引'!$M:$M,0))=0,"",INDEX('#建筑消耗和buff配置索引'!BG:BG,MATCH($F175,'#建筑消耗和buff配置索引'!$M:$M,0)))</f>
        <v/>
      </c>
      <c r="AO175" s="133" t="str">
        <f>IF(AN175="","",INDEX('#建筑消耗和buff配置索引'!BH:BH,MATCH($F175,'#建筑消耗和buff配置索引'!$M:$M,0)))</f>
        <v/>
      </c>
      <c r="AR175" s="133" t="str">
        <f>IF(INDEX('#建筑消耗和buff配置索引'!BK:BK,MATCH($F175,'#建筑消耗和buff配置索引'!$M:$M,0))=0,"",INDEX('#建筑消耗和buff配置索引'!BK:BK,MATCH($F175,'#建筑消耗和buff配置索引'!$M:$M,0)))</f>
        <v/>
      </c>
      <c r="AS175" s="133" t="str">
        <f>IF(AR175="","",INDEX('#建筑消耗和buff配置索引'!BL:BL,MATCH($F175,'#建筑消耗和buff配置索引'!$M:$M,0)))</f>
        <v/>
      </c>
      <c r="AV175" s="133" t="str">
        <f>IF(INDEX('#建筑消耗和buff配置索引'!BO:BO,MATCH($F175,'#建筑消耗和buff配置索引'!$M:$M,0))=0,"",INDEX('#建筑消耗和buff配置索引'!BO:BO,MATCH($F175,'#建筑消耗和buff配置索引'!$M:$M,0)))</f>
        <v/>
      </c>
      <c r="AW175" s="133" t="str">
        <f>IF(AV175="","",INDEX('#建筑消耗和buff配置索引'!BP:BP,MATCH($F175,'#建筑消耗和buff配置索引'!$M:$M,0)))</f>
        <v/>
      </c>
      <c r="AZ175" s="133" t="str">
        <f>IF(INDEX('#建筑消耗和buff配置索引'!BS:BS,MATCH($F175,'#建筑消耗和buff配置索引'!$M:$M,0))=0,"",INDEX('#建筑消耗和buff配置索引'!BS:BS,MATCH($F175,'#建筑消耗和buff配置索引'!$M:$M,0)))</f>
        <v/>
      </c>
      <c r="BA175" s="133" t="str">
        <f>IF(AZ175="","",INDEX('#建筑消耗和buff配置索引'!BT:BT,MATCH($F175,'#建筑消耗和buff配置索引'!$M:$M,0)))</f>
        <v/>
      </c>
      <c r="BD175" s="133" t="str">
        <f>IF(INDEX('#建筑消耗和buff配置索引'!BW:BW,MATCH($F175,'#建筑消耗和buff配置索引'!$M:$M,0))=0,"",INDEX('#建筑消耗和buff配置索引'!BW:BW,MATCH($F175,'#建筑消耗和buff配置索引'!$M:$M,0)))</f>
        <v/>
      </c>
      <c r="BE175" s="133" t="str">
        <f>IF(BD175="","",INDEX('#建筑消耗和buff配置索引'!BX:BX,MATCH($F175,'#建筑消耗和buff配置索引'!$M:$M,0)))</f>
        <v/>
      </c>
      <c r="BI175" s="133">
        <v>9</v>
      </c>
    </row>
    <row r="176" spans="1:62" s="133" customFormat="1">
      <c r="A176" s="133">
        <v>2060023</v>
      </c>
      <c r="B176" s="133">
        <v>173</v>
      </c>
      <c r="C176" s="133">
        <v>206</v>
      </c>
      <c r="D176" s="133" t="s">
        <v>293</v>
      </c>
      <c r="E176" s="133">
        <v>23</v>
      </c>
      <c r="F176" s="133" t="str">
        <f t="shared" si="4"/>
        <v>剑士营23</v>
      </c>
      <c r="H176" s="146"/>
      <c r="I176" s="133">
        <v>3</v>
      </c>
      <c r="J176" s="150">
        <f>INDEX('#建筑消耗和buff配置索引'!AH:AH,MATCH($F176,'#建筑消耗和buff配置索引'!$M:$M,0))</f>
        <v>233280</v>
      </c>
      <c r="K176" s="150">
        <f>INDEX('#建筑消耗和buff配置索引'!AA:AA,MATCH($F176,'#建筑消耗和buff配置索引'!$M:$M,0))</f>
        <v>3100000</v>
      </c>
      <c r="L176" s="150">
        <f>INDEX('#建筑消耗和buff配置索引'!AB:AB,MATCH($F176,'#建筑消耗和buff配置索引'!$M:$M,0))</f>
        <v>3100000</v>
      </c>
      <c r="M176" s="150">
        <f>INDEX('#建筑消耗和buff配置索引'!AC:AC,MATCH($F176,'#建筑消耗和buff配置索引'!$M:$M,0))</f>
        <v>3100000</v>
      </c>
      <c r="N176" s="150">
        <f>INDEX('#建筑消耗和buff配置索引'!AD:AD,MATCH($F176,'#建筑消耗和buff配置索引'!$M:$M,0))</f>
        <v>3100000</v>
      </c>
      <c r="O176" s="150" t="str">
        <f>IF(INDEX('#建筑消耗和buff配置索引'!T:T,MATCH($F176,'#建筑消耗和buff配置索引'!$M:$M,0))=0,"",INDEX('#建筑消耗和buff配置索引'!T:T,MATCH($F176,'#建筑消耗和buff配置索引'!$M:$M,0)))</f>
        <v/>
      </c>
      <c r="P176" s="133" t="str">
        <f>IF(INDEX('#建筑消耗和buff配置索引'!U:U,MATCH($F176,'#建筑消耗和buff配置索引'!$M:$M,0))=0,"",INDEX('#建筑消耗和buff配置索引'!U:U,MATCH($F176,'#建筑消耗和buff配置索引'!$M:$M,0)))</f>
        <v/>
      </c>
      <c r="Q176" s="133" t="str">
        <f>IF(INDEX('#建筑消耗和buff配置索引'!K:K,MATCH($F176,'#建筑消耗和buff配置索引'!$M:$M,0))=0,"",INDEX('#建筑消耗和buff配置索引'!K:K,MATCH($F176,'#建筑消耗和buff配置索引'!$M:$M,0)))</f>
        <v>201;203</v>
      </c>
      <c r="R176" s="133" t="str">
        <f>IF(INDEX('#建筑消耗和buff配置索引'!L:L,MATCH($F176,'#建筑消耗和buff配置索引'!$M:$M,0))=0,"",INDEX('#建筑消耗和buff配置索引'!L:L,MATCH($F176,'#建筑消耗和buff配置索引'!$M:$M,0)))</f>
        <v>23;23</v>
      </c>
      <c r="S176" s="133">
        <f>IF(INDEX('#建筑消耗和buff配置索引'!C:C,MATCH(F176,'#建筑消耗和buff配置索引'!M:M,0))=0,1,INDEX('#建筑消耗和buff配置索引'!C:C,MATCH(F176,'#建筑消耗和buff配置索引'!M:M,0)))</f>
        <v>1</v>
      </c>
      <c r="T176" s="133">
        <v>0</v>
      </c>
      <c r="U176" s="133">
        <v>0</v>
      </c>
      <c r="V176" s="133" t="str">
        <f>IF(E176=1,IF(INDEX('#建筑消耗和buff配置索引'!BY:BY,MATCH(D176,'#建筑消耗和buff配置索引'!A:A,0))=0,"",INDEX('#建筑消耗和buff配置索引'!BY:BY,MATCH(D176,'#建筑消耗和buff配置索引'!A:A,0))),"")</f>
        <v/>
      </c>
      <c r="W176" s="133" t="str">
        <f>IF(E176=1,IF(INDEX('#建筑消耗和buff配置索引'!BZ:BZ,MATCH(D176,'#建筑消耗和buff配置索引'!A:A,0))=0,"",INDEX('#建筑消耗和buff配置索引'!BZ:BZ,MATCH(D176,'#建筑消耗和buff配置索引'!A:A,0))),"")</f>
        <v/>
      </c>
      <c r="AA176" s="133">
        <f>INDEX('#建筑消耗和buff配置索引'!AO:AO,MATCH($F176,'#建筑消耗和buff配置索引'!$M:$M,0))</f>
        <v>109684</v>
      </c>
      <c r="AB176" s="133">
        <f>IF(INDEX('#建筑消耗和buff配置索引'!AR:AR,MATCH($F176,'#建筑消耗和buff配置索引'!$M:$M,0))=0,"",INDEX('#建筑消耗和buff配置索引'!AR:AR,MATCH($F176,'#建筑消耗和buff配置索引'!$M:$M,0)))</f>
        <v>3000</v>
      </c>
      <c r="AC176" s="133">
        <f>IF(AB176="","",INDEX('#建筑消耗和buff配置索引'!AS:AS,MATCH($F176,'#建筑消耗和buff配置索引'!$M:$M,0)))</f>
        <v>0.11</v>
      </c>
      <c r="AF176" s="133">
        <f>IF(INDEX('#建筑消耗和buff配置索引'!AW:AW,MATCH($F176,'#建筑消耗和buff配置索引'!$M:$M,0))=0,"",INDEX('#建筑消耗和buff配置索引'!AW:AW,MATCH($F176,'#建筑消耗和buff配置索引'!$M:$M,0)))</f>
        <v>3013</v>
      </c>
      <c r="AG176" s="133">
        <f>IF(AF176="","",INDEX('#建筑消耗和buff配置索引'!AX:AX,MATCH($F176,'#建筑消耗和buff配置索引'!$M:$M,0)))</f>
        <v>1100</v>
      </c>
      <c r="AJ176" s="133" t="str">
        <f>IF(INDEX('#建筑消耗和buff配置索引'!BB:BB,MATCH($F176,'#建筑消耗和buff配置索引'!$M:$M,0))=0,"",INDEX('#建筑消耗和buff配置索引'!BB:BB,MATCH($F176,'#建筑消耗和buff配置索引'!$M:$M,0)))</f>
        <v/>
      </c>
      <c r="AK176" s="133" t="str">
        <f>IF(AJ176="","",INDEX('#建筑消耗和buff配置索引'!BC:BC,MATCH($F176,'#建筑消耗和buff配置索引'!$M:$M,0)))</f>
        <v/>
      </c>
      <c r="AN176" s="133" t="str">
        <f>IF(INDEX('#建筑消耗和buff配置索引'!BG:BG,MATCH($F176,'#建筑消耗和buff配置索引'!$M:$M,0))=0,"",INDEX('#建筑消耗和buff配置索引'!BG:BG,MATCH($F176,'#建筑消耗和buff配置索引'!$M:$M,0)))</f>
        <v/>
      </c>
      <c r="AO176" s="133" t="str">
        <f>IF(AN176="","",INDEX('#建筑消耗和buff配置索引'!BH:BH,MATCH($F176,'#建筑消耗和buff配置索引'!$M:$M,0)))</f>
        <v/>
      </c>
      <c r="AR176" s="133" t="str">
        <f>IF(INDEX('#建筑消耗和buff配置索引'!BK:BK,MATCH($F176,'#建筑消耗和buff配置索引'!$M:$M,0))=0,"",INDEX('#建筑消耗和buff配置索引'!BK:BK,MATCH($F176,'#建筑消耗和buff配置索引'!$M:$M,0)))</f>
        <v/>
      </c>
      <c r="AS176" s="133" t="str">
        <f>IF(AR176="","",INDEX('#建筑消耗和buff配置索引'!BL:BL,MATCH($F176,'#建筑消耗和buff配置索引'!$M:$M,0)))</f>
        <v/>
      </c>
      <c r="AV176" s="133" t="str">
        <f>IF(INDEX('#建筑消耗和buff配置索引'!BO:BO,MATCH($F176,'#建筑消耗和buff配置索引'!$M:$M,0))=0,"",INDEX('#建筑消耗和buff配置索引'!BO:BO,MATCH($F176,'#建筑消耗和buff配置索引'!$M:$M,0)))</f>
        <v/>
      </c>
      <c r="AW176" s="133" t="str">
        <f>IF(AV176="","",INDEX('#建筑消耗和buff配置索引'!BP:BP,MATCH($F176,'#建筑消耗和buff配置索引'!$M:$M,0)))</f>
        <v/>
      </c>
      <c r="AZ176" s="133" t="str">
        <f>IF(INDEX('#建筑消耗和buff配置索引'!BS:BS,MATCH($F176,'#建筑消耗和buff配置索引'!$M:$M,0))=0,"",INDEX('#建筑消耗和buff配置索引'!BS:BS,MATCH($F176,'#建筑消耗和buff配置索引'!$M:$M,0)))</f>
        <v/>
      </c>
      <c r="BA176" s="133" t="str">
        <f>IF(AZ176="","",INDEX('#建筑消耗和buff配置索引'!BT:BT,MATCH($F176,'#建筑消耗和buff配置索引'!$M:$M,0)))</f>
        <v/>
      </c>
      <c r="BD176" s="133" t="str">
        <f>IF(INDEX('#建筑消耗和buff配置索引'!BW:BW,MATCH($F176,'#建筑消耗和buff配置索引'!$M:$M,0))=0,"",INDEX('#建筑消耗和buff配置索引'!BW:BW,MATCH($F176,'#建筑消耗和buff配置索引'!$M:$M,0)))</f>
        <v/>
      </c>
      <c r="BE176" s="133" t="str">
        <f>IF(BD176="","",INDEX('#建筑消耗和buff配置索引'!BX:BX,MATCH($F176,'#建筑消耗和buff配置索引'!$M:$M,0)))</f>
        <v/>
      </c>
      <c r="BI176" s="133">
        <v>9</v>
      </c>
    </row>
    <row r="177" spans="1:66" s="133" customFormat="1">
      <c r="A177" s="133">
        <v>2060024</v>
      </c>
      <c r="B177" s="133">
        <v>174</v>
      </c>
      <c r="C177" s="133">
        <v>206</v>
      </c>
      <c r="D177" s="133" t="s">
        <v>293</v>
      </c>
      <c r="E177" s="133">
        <v>24</v>
      </c>
      <c r="F177" s="133" t="str">
        <f t="shared" si="4"/>
        <v>剑士营24</v>
      </c>
      <c r="H177" s="146"/>
      <c r="I177" s="133">
        <v>3</v>
      </c>
      <c r="J177" s="150">
        <f>INDEX('#建筑消耗和buff配置索引'!AH:AH,MATCH($F177,'#建筑消耗和buff配置索引'!$M:$M,0))</f>
        <v>298080</v>
      </c>
      <c r="K177" s="150">
        <f>INDEX('#建筑消耗和buff配置索引'!AA:AA,MATCH($F177,'#建筑消耗和buff配置索引'!$M:$M,0))</f>
        <v>4000000</v>
      </c>
      <c r="L177" s="150">
        <f>INDEX('#建筑消耗和buff配置索引'!AB:AB,MATCH($F177,'#建筑消耗和buff配置索引'!$M:$M,0))</f>
        <v>4000000</v>
      </c>
      <c r="M177" s="150">
        <f>INDEX('#建筑消耗和buff配置索引'!AC:AC,MATCH($F177,'#建筑消耗和buff配置索引'!$M:$M,0))</f>
        <v>4000000</v>
      </c>
      <c r="N177" s="150">
        <f>INDEX('#建筑消耗和buff配置索引'!AD:AD,MATCH($F177,'#建筑消耗和buff配置索引'!$M:$M,0))</f>
        <v>4000000</v>
      </c>
      <c r="O177" s="150" t="str">
        <f>IF(INDEX('#建筑消耗和buff配置索引'!T:T,MATCH($F177,'#建筑消耗和buff配置索引'!$M:$M,0))=0,"",INDEX('#建筑消耗和buff配置索引'!T:T,MATCH($F177,'#建筑消耗和buff配置索引'!$M:$M,0)))</f>
        <v/>
      </c>
      <c r="P177" s="133" t="str">
        <f>IF(INDEX('#建筑消耗和buff配置索引'!U:U,MATCH($F177,'#建筑消耗和buff配置索引'!$M:$M,0))=0,"",INDEX('#建筑消耗和buff配置索引'!U:U,MATCH($F177,'#建筑消耗和buff配置索引'!$M:$M,0)))</f>
        <v/>
      </c>
      <c r="Q177" s="133" t="str">
        <f>IF(INDEX('#建筑消耗和buff配置索引'!K:K,MATCH($F177,'#建筑消耗和buff配置索引'!$M:$M,0))=0,"",INDEX('#建筑消耗和buff配置索引'!K:K,MATCH($F177,'#建筑消耗和buff配置索引'!$M:$M,0)))</f>
        <v>201;203</v>
      </c>
      <c r="R177" s="133" t="str">
        <f>IF(INDEX('#建筑消耗和buff配置索引'!L:L,MATCH($F177,'#建筑消耗和buff配置索引'!$M:$M,0))=0,"",INDEX('#建筑消耗和buff配置索引'!L:L,MATCH($F177,'#建筑消耗和buff配置索引'!$M:$M,0)))</f>
        <v>24;24</v>
      </c>
      <c r="S177" s="133">
        <f>IF(INDEX('#建筑消耗和buff配置索引'!C:C,MATCH(F177,'#建筑消耗和buff配置索引'!M:M,0))=0,1,INDEX('#建筑消耗和buff配置索引'!C:C,MATCH(F177,'#建筑消耗和buff配置索引'!M:M,0)))</f>
        <v>1</v>
      </c>
      <c r="T177" s="133">
        <v>0</v>
      </c>
      <c r="U177" s="133">
        <v>0</v>
      </c>
      <c r="V177" s="133" t="str">
        <f>IF(E177=1,IF(INDEX('#建筑消耗和buff配置索引'!BY:BY,MATCH(D177,'#建筑消耗和buff配置索引'!A:A,0))=0,"",INDEX('#建筑消耗和buff配置索引'!BY:BY,MATCH(D177,'#建筑消耗和buff配置索引'!A:A,0))),"")</f>
        <v/>
      </c>
      <c r="W177" s="133" t="str">
        <f>IF(E177=1,IF(INDEX('#建筑消耗和buff配置索引'!BZ:BZ,MATCH(D177,'#建筑消耗和buff配置索引'!A:A,0))=0,"",INDEX('#建筑消耗和buff配置索引'!BZ:BZ,MATCH(D177,'#建筑消耗和buff配置索引'!A:A,0))),"")</f>
        <v/>
      </c>
      <c r="AA177" s="133">
        <f>INDEX('#建筑消耗和buff配置索引'!AO:AO,MATCH($F177,'#建筑消耗和buff配置索引'!$M:$M,0))</f>
        <v>141300</v>
      </c>
      <c r="AB177" s="133">
        <f>IF(INDEX('#建筑消耗和buff配置索引'!AR:AR,MATCH($F177,'#建筑消耗和buff配置索引'!$M:$M,0))=0,"",INDEX('#建筑消耗和buff配置索引'!AR:AR,MATCH($F177,'#建筑消耗和buff配置索引'!$M:$M,0)))</f>
        <v>3000</v>
      </c>
      <c r="AC177" s="133">
        <f>IF(AB177="","",INDEX('#建筑消耗和buff配置索引'!AS:AS,MATCH($F177,'#建筑消耗和buff配置索引'!$M:$M,0)))</f>
        <v>0.115</v>
      </c>
      <c r="AF177" s="133">
        <f>IF(INDEX('#建筑消耗和buff配置索引'!AW:AW,MATCH($F177,'#建筑消耗和buff配置索引'!$M:$M,0))=0,"",INDEX('#建筑消耗和buff配置索引'!AW:AW,MATCH($F177,'#建筑消耗和buff配置索引'!$M:$M,0)))</f>
        <v>3013</v>
      </c>
      <c r="AG177" s="133">
        <f>IF(AF177="","",INDEX('#建筑消耗和buff配置索引'!AX:AX,MATCH($F177,'#建筑消耗和buff配置索引'!$M:$M,0)))</f>
        <v>1150</v>
      </c>
      <c r="AJ177" s="133" t="str">
        <f>IF(INDEX('#建筑消耗和buff配置索引'!BB:BB,MATCH($F177,'#建筑消耗和buff配置索引'!$M:$M,0))=0,"",INDEX('#建筑消耗和buff配置索引'!BB:BB,MATCH($F177,'#建筑消耗和buff配置索引'!$M:$M,0)))</f>
        <v/>
      </c>
      <c r="AK177" s="133" t="str">
        <f>IF(AJ177="","",INDEX('#建筑消耗和buff配置索引'!BC:BC,MATCH($F177,'#建筑消耗和buff配置索引'!$M:$M,0)))</f>
        <v/>
      </c>
      <c r="AN177" s="133" t="str">
        <f>IF(INDEX('#建筑消耗和buff配置索引'!BG:BG,MATCH($F177,'#建筑消耗和buff配置索引'!$M:$M,0))=0,"",INDEX('#建筑消耗和buff配置索引'!BG:BG,MATCH($F177,'#建筑消耗和buff配置索引'!$M:$M,0)))</f>
        <v/>
      </c>
      <c r="AO177" s="133" t="str">
        <f>IF(AN177="","",INDEX('#建筑消耗和buff配置索引'!BH:BH,MATCH($F177,'#建筑消耗和buff配置索引'!$M:$M,0)))</f>
        <v/>
      </c>
      <c r="AR177" s="133" t="str">
        <f>IF(INDEX('#建筑消耗和buff配置索引'!BK:BK,MATCH($F177,'#建筑消耗和buff配置索引'!$M:$M,0))=0,"",INDEX('#建筑消耗和buff配置索引'!BK:BK,MATCH($F177,'#建筑消耗和buff配置索引'!$M:$M,0)))</f>
        <v/>
      </c>
      <c r="AS177" s="133" t="str">
        <f>IF(AR177="","",INDEX('#建筑消耗和buff配置索引'!BL:BL,MATCH($F177,'#建筑消耗和buff配置索引'!$M:$M,0)))</f>
        <v/>
      </c>
      <c r="AV177" s="133" t="str">
        <f>IF(INDEX('#建筑消耗和buff配置索引'!BO:BO,MATCH($F177,'#建筑消耗和buff配置索引'!$M:$M,0))=0,"",INDEX('#建筑消耗和buff配置索引'!BO:BO,MATCH($F177,'#建筑消耗和buff配置索引'!$M:$M,0)))</f>
        <v/>
      </c>
      <c r="AW177" s="133" t="str">
        <f>IF(AV177="","",INDEX('#建筑消耗和buff配置索引'!BP:BP,MATCH($F177,'#建筑消耗和buff配置索引'!$M:$M,0)))</f>
        <v/>
      </c>
      <c r="AZ177" s="133" t="str">
        <f>IF(INDEX('#建筑消耗和buff配置索引'!BS:BS,MATCH($F177,'#建筑消耗和buff配置索引'!$M:$M,0))=0,"",INDEX('#建筑消耗和buff配置索引'!BS:BS,MATCH($F177,'#建筑消耗和buff配置索引'!$M:$M,0)))</f>
        <v/>
      </c>
      <c r="BA177" s="133" t="str">
        <f>IF(AZ177="","",INDEX('#建筑消耗和buff配置索引'!BT:BT,MATCH($F177,'#建筑消耗和buff配置索引'!$M:$M,0)))</f>
        <v/>
      </c>
      <c r="BD177" s="133" t="str">
        <f>IF(INDEX('#建筑消耗和buff配置索引'!BW:BW,MATCH($F177,'#建筑消耗和buff配置索引'!$M:$M,0))=0,"",INDEX('#建筑消耗和buff配置索引'!BW:BW,MATCH($F177,'#建筑消耗和buff配置索引'!$M:$M,0)))</f>
        <v/>
      </c>
      <c r="BE177" s="133" t="str">
        <f>IF(BD177="","",INDEX('#建筑消耗和buff配置索引'!BX:BX,MATCH($F177,'#建筑消耗和buff配置索引'!$M:$M,0)))</f>
        <v/>
      </c>
      <c r="BI177" s="133">
        <v>9</v>
      </c>
    </row>
    <row r="178" spans="1:66" s="133" customFormat="1">
      <c r="A178" s="133">
        <v>2060025</v>
      </c>
      <c r="B178" s="133">
        <v>175</v>
      </c>
      <c r="C178" s="133">
        <v>206</v>
      </c>
      <c r="D178" s="133" t="s">
        <v>293</v>
      </c>
      <c r="E178" s="133">
        <v>25</v>
      </c>
      <c r="F178" s="133" t="str">
        <f t="shared" si="4"/>
        <v>剑士营25</v>
      </c>
      <c r="H178" s="146"/>
      <c r="I178" s="133">
        <v>3</v>
      </c>
      <c r="J178" s="150">
        <f>INDEX('#建筑消耗和buff配置索引'!AH:AH,MATCH($F178,'#建筑消耗和buff配置索引'!$M:$M,0))</f>
        <v>375840</v>
      </c>
      <c r="K178" s="150">
        <f>INDEX('#建筑消耗和buff配置索引'!AA:AA,MATCH($F178,'#建筑消耗和buff配置索引'!$M:$M,0))</f>
        <v>5100000</v>
      </c>
      <c r="L178" s="150">
        <f>INDEX('#建筑消耗和buff配置索引'!AB:AB,MATCH($F178,'#建筑消耗和buff配置索引'!$M:$M,0))</f>
        <v>5100000</v>
      </c>
      <c r="M178" s="150">
        <f>INDEX('#建筑消耗和buff配置索引'!AC:AC,MATCH($F178,'#建筑消耗和buff配置索引'!$M:$M,0))</f>
        <v>5100000</v>
      </c>
      <c r="N178" s="150">
        <f>INDEX('#建筑消耗和buff配置索引'!AD:AD,MATCH($F178,'#建筑消耗和buff配置索引'!$M:$M,0))</f>
        <v>5100000</v>
      </c>
      <c r="O178" s="150" t="str">
        <f>IF(INDEX('#建筑消耗和buff配置索引'!T:T,MATCH($F178,'#建筑消耗和buff配置索引'!$M:$M,0))=0,"",INDEX('#建筑消耗和buff配置索引'!T:T,MATCH($F178,'#建筑消耗和buff配置索引'!$M:$M,0)))</f>
        <v/>
      </c>
      <c r="P178" s="133" t="str">
        <f>IF(INDEX('#建筑消耗和buff配置索引'!U:U,MATCH($F178,'#建筑消耗和buff配置索引'!$M:$M,0))=0,"",INDEX('#建筑消耗和buff配置索引'!U:U,MATCH($F178,'#建筑消耗和buff配置索引'!$M:$M,0)))</f>
        <v/>
      </c>
      <c r="Q178" s="133" t="str">
        <f>IF(INDEX('#建筑消耗和buff配置索引'!K:K,MATCH($F178,'#建筑消耗和buff配置索引'!$M:$M,0))=0,"",INDEX('#建筑消耗和buff配置索引'!K:K,MATCH($F178,'#建筑消耗和buff配置索引'!$M:$M,0)))</f>
        <v>201;203</v>
      </c>
      <c r="R178" s="133" t="str">
        <f>IF(INDEX('#建筑消耗和buff配置索引'!L:L,MATCH($F178,'#建筑消耗和buff配置索引'!$M:$M,0))=0,"",INDEX('#建筑消耗和buff配置索引'!L:L,MATCH($F178,'#建筑消耗和buff配置索引'!$M:$M,0)))</f>
        <v>25;25</v>
      </c>
      <c r="S178" s="133">
        <f>IF(INDEX('#建筑消耗和buff配置索引'!C:C,MATCH(F178,'#建筑消耗和buff配置索引'!M:M,0))=0,1,INDEX('#建筑消耗和buff配置索引'!C:C,MATCH(F178,'#建筑消耗和buff配置索引'!M:M,0)))</f>
        <v>1</v>
      </c>
      <c r="T178" s="133">
        <v>0</v>
      </c>
      <c r="U178" s="133">
        <v>0</v>
      </c>
      <c r="V178" s="133" t="str">
        <f>IF(E178=1,IF(INDEX('#建筑消耗和buff配置索引'!BY:BY,MATCH(D178,'#建筑消耗和buff配置索引'!A:A,0))=0,"",INDEX('#建筑消耗和buff配置索引'!BY:BY,MATCH(D178,'#建筑消耗和buff配置索引'!A:A,0))),"")</f>
        <v/>
      </c>
      <c r="W178" s="133" t="str">
        <f>IF(E178=1,IF(INDEX('#建筑消耗和buff配置索引'!BZ:BZ,MATCH(D178,'#建筑消耗和buff配置索引'!A:A,0))=0,"",INDEX('#建筑消耗和buff配置索引'!BZ:BZ,MATCH(D178,'#建筑消耗和buff配置索引'!A:A,0))),"")</f>
        <v/>
      </c>
      <c r="AA178" s="133">
        <f>INDEX('#建筑消耗和buff配置索引'!AO:AO,MATCH($F178,'#建筑消耗和buff配置索引'!$M:$M,0))</f>
        <v>181768</v>
      </c>
      <c r="AB178" s="133">
        <f>IF(INDEX('#建筑消耗和buff配置索引'!AR:AR,MATCH($F178,'#建筑消耗和buff配置索引'!$M:$M,0))=0,"",INDEX('#建筑消耗和buff配置索引'!AR:AR,MATCH($F178,'#建筑消耗和buff配置索引'!$M:$M,0)))</f>
        <v>3000</v>
      </c>
      <c r="AC178" s="133">
        <f>IF(AB178="","",INDEX('#建筑消耗和buff配置索引'!AS:AS,MATCH($F178,'#建筑消耗和buff配置索引'!$M:$M,0)))</f>
        <v>0.12</v>
      </c>
      <c r="AF178" s="133">
        <f>IF(INDEX('#建筑消耗和buff配置索引'!AW:AW,MATCH($F178,'#建筑消耗和buff配置索引'!$M:$M,0))=0,"",INDEX('#建筑消耗和buff配置索引'!AW:AW,MATCH($F178,'#建筑消耗和buff配置索引'!$M:$M,0)))</f>
        <v>3013</v>
      </c>
      <c r="AG178" s="133">
        <f>IF(AF178="","",INDEX('#建筑消耗和buff配置索引'!AX:AX,MATCH($F178,'#建筑消耗和buff配置索引'!$M:$M,0)))</f>
        <v>1200</v>
      </c>
      <c r="AJ178" s="133" t="str">
        <f>IF(INDEX('#建筑消耗和buff配置索引'!BB:BB,MATCH($F178,'#建筑消耗和buff配置索引'!$M:$M,0))=0,"",INDEX('#建筑消耗和buff配置索引'!BB:BB,MATCH($F178,'#建筑消耗和buff配置索引'!$M:$M,0)))</f>
        <v/>
      </c>
      <c r="AK178" s="133" t="str">
        <f>IF(AJ178="","",INDEX('#建筑消耗和buff配置索引'!BC:BC,MATCH($F178,'#建筑消耗和buff配置索引'!$M:$M,0)))</f>
        <v/>
      </c>
      <c r="AN178" s="133" t="str">
        <f>IF(INDEX('#建筑消耗和buff配置索引'!BG:BG,MATCH($F178,'#建筑消耗和buff配置索引'!$M:$M,0))=0,"",INDEX('#建筑消耗和buff配置索引'!BG:BG,MATCH($F178,'#建筑消耗和buff配置索引'!$M:$M,0)))</f>
        <v/>
      </c>
      <c r="AO178" s="133" t="str">
        <f>IF(AN178="","",INDEX('#建筑消耗和buff配置索引'!BH:BH,MATCH($F178,'#建筑消耗和buff配置索引'!$M:$M,0)))</f>
        <v/>
      </c>
      <c r="AR178" s="133" t="str">
        <f>IF(INDEX('#建筑消耗和buff配置索引'!BK:BK,MATCH($F178,'#建筑消耗和buff配置索引'!$M:$M,0))=0,"",INDEX('#建筑消耗和buff配置索引'!BK:BK,MATCH($F178,'#建筑消耗和buff配置索引'!$M:$M,0)))</f>
        <v/>
      </c>
      <c r="AS178" s="133" t="str">
        <f>IF(AR178="","",INDEX('#建筑消耗和buff配置索引'!BL:BL,MATCH($F178,'#建筑消耗和buff配置索引'!$M:$M,0)))</f>
        <v/>
      </c>
      <c r="AV178" s="133" t="str">
        <f>IF(INDEX('#建筑消耗和buff配置索引'!BO:BO,MATCH($F178,'#建筑消耗和buff配置索引'!$M:$M,0))=0,"",INDEX('#建筑消耗和buff配置索引'!BO:BO,MATCH($F178,'#建筑消耗和buff配置索引'!$M:$M,0)))</f>
        <v/>
      </c>
      <c r="AW178" s="133" t="str">
        <f>IF(AV178="","",INDEX('#建筑消耗和buff配置索引'!BP:BP,MATCH($F178,'#建筑消耗和buff配置索引'!$M:$M,0)))</f>
        <v/>
      </c>
      <c r="AZ178" s="133" t="str">
        <f>IF(INDEX('#建筑消耗和buff配置索引'!BS:BS,MATCH($F178,'#建筑消耗和buff配置索引'!$M:$M,0))=0,"",INDEX('#建筑消耗和buff配置索引'!BS:BS,MATCH($F178,'#建筑消耗和buff配置索引'!$M:$M,0)))</f>
        <v/>
      </c>
      <c r="BA178" s="133" t="str">
        <f>IF(AZ178="","",INDEX('#建筑消耗和buff配置索引'!BT:BT,MATCH($F178,'#建筑消耗和buff配置索引'!$M:$M,0)))</f>
        <v/>
      </c>
      <c r="BD178" s="133" t="str">
        <f>IF(INDEX('#建筑消耗和buff配置索引'!BW:BW,MATCH($F178,'#建筑消耗和buff配置索引'!$M:$M,0))=0,"",INDEX('#建筑消耗和buff配置索引'!BW:BW,MATCH($F178,'#建筑消耗和buff配置索引'!$M:$M,0)))</f>
        <v/>
      </c>
      <c r="BE178" s="133" t="str">
        <f>IF(BD178="","",INDEX('#建筑消耗和buff配置索引'!BX:BX,MATCH($F178,'#建筑消耗和buff配置索引'!$M:$M,0)))</f>
        <v/>
      </c>
      <c r="BI178" s="133">
        <v>9</v>
      </c>
    </row>
    <row r="179" spans="1:66" s="133" customFormat="1">
      <c r="A179" s="133">
        <v>2060026</v>
      </c>
      <c r="B179" s="133">
        <v>176</v>
      </c>
      <c r="C179" s="133">
        <v>206</v>
      </c>
      <c r="D179" s="133" t="s">
        <v>293</v>
      </c>
      <c r="E179" s="133">
        <v>26</v>
      </c>
      <c r="F179" s="133" t="str">
        <f t="shared" si="4"/>
        <v>剑士营26</v>
      </c>
      <c r="H179" s="146"/>
      <c r="I179" s="133">
        <v>3</v>
      </c>
      <c r="J179" s="150">
        <f>INDEX('#建筑消耗和buff配置索引'!AH:AH,MATCH($F179,'#建筑消耗和buff配置索引'!$M:$M,0))</f>
        <v>466560</v>
      </c>
      <c r="K179" s="150">
        <f>INDEX('#建筑消耗和buff配置索引'!AA:AA,MATCH($F179,'#建筑消耗和buff配置索引'!$M:$M,0))</f>
        <v>6500000</v>
      </c>
      <c r="L179" s="150">
        <f>INDEX('#建筑消耗和buff配置索引'!AB:AB,MATCH($F179,'#建筑消耗和buff配置索引'!$M:$M,0))</f>
        <v>6500000</v>
      </c>
      <c r="M179" s="150">
        <f>INDEX('#建筑消耗和buff配置索引'!AC:AC,MATCH($F179,'#建筑消耗和buff配置索引'!$M:$M,0))</f>
        <v>6500000</v>
      </c>
      <c r="N179" s="150">
        <f>INDEX('#建筑消耗和buff配置索引'!AD:AD,MATCH($F179,'#建筑消耗和buff配置索引'!$M:$M,0))</f>
        <v>6500000</v>
      </c>
      <c r="O179" s="150" t="str">
        <f>IF(INDEX('#建筑消耗和buff配置索引'!T:T,MATCH($F179,'#建筑消耗和buff配置索引'!$M:$M,0))=0,"",INDEX('#建筑消耗和buff配置索引'!T:T,MATCH($F179,'#建筑消耗和buff配置索引'!$M:$M,0)))</f>
        <v/>
      </c>
      <c r="P179" s="133" t="str">
        <f>IF(INDEX('#建筑消耗和buff配置索引'!U:U,MATCH($F179,'#建筑消耗和buff配置索引'!$M:$M,0))=0,"",INDEX('#建筑消耗和buff配置索引'!U:U,MATCH($F179,'#建筑消耗和buff配置索引'!$M:$M,0)))</f>
        <v/>
      </c>
      <c r="Q179" s="133" t="str">
        <f>IF(INDEX('#建筑消耗和buff配置索引'!K:K,MATCH($F179,'#建筑消耗和buff配置索引'!$M:$M,0))=0,"",INDEX('#建筑消耗和buff配置索引'!K:K,MATCH($F179,'#建筑消耗和buff配置索引'!$M:$M,0)))</f>
        <v>201;203</v>
      </c>
      <c r="R179" s="133" t="str">
        <f>IF(INDEX('#建筑消耗和buff配置索引'!L:L,MATCH($F179,'#建筑消耗和buff配置索引'!$M:$M,0))=0,"",INDEX('#建筑消耗和buff配置索引'!L:L,MATCH($F179,'#建筑消耗和buff配置索引'!$M:$M,0)))</f>
        <v>26;26</v>
      </c>
      <c r="S179" s="133">
        <f>IF(INDEX('#建筑消耗和buff配置索引'!C:C,MATCH(F179,'#建筑消耗和buff配置索引'!M:M,0))=0,1,INDEX('#建筑消耗和buff配置索引'!C:C,MATCH(F179,'#建筑消耗和buff配置索引'!M:M,0)))</f>
        <v>1</v>
      </c>
      <c r="T179" s="133">
        <v>0</v>
      </c>
      <c r="U179" s="133">
        <v>0</v>
      </c>
      <c r="V179" s="133" t="str">
        <f>IF(E179=1,IF(INDEX('#建筑消耗和buff配置索引'!BY:BY,MATCH(D179,'#建筑消耗和buff配置索引'!A:A,0))=0,"",INDEX('#建筑消耗和buff配置索引'!BY:BY,MATCH(D179,'#建筑消耗和buff配置索引'!A:A,0))),"")</f>
        <v/>
      </c>
      <c r="W179" s="133" t="str">
        <f>IF(E179=1,IF(INDEX('#建筑消耗和buff配置索引'!BZ:BZ,MATCH(D179,'#建筑消耗和buff配置索引'!A:A,0))=0,"",INDEX('#建筑消耗和buff配置索引'!BZ:BZ,MATCH(D179,'#建筑消耗和buff配置索引'!A:A,0))),"")</f>
        <v/>
      </c>
      <c r="X179" s="133" t="str">
        <f>INDEX('#建筑消耗和buff配置索引'!BC:BC,MATCH(F179,'#建筑消耗和buff配置索引'!M:M,0))*100&amp;"%"</f>
        <v>0%</v>
      </c>
      <c r="AA179" s="133">
        <f>INDEX('#建筑消耗和buff配置索引'!AO:AO,MATCH($F179,'#建筑消耗和buff配置索引'!$M:$M,0))</f>
        <v>233568</v>
      </c>
      <c r="AB179" s="133">
        <f>IF(INDEX('#建筑消耗和buff配置索引'!AR:AR,MATCH($F179,'#建筑消耗和buff配置索引'!$M:$M,0))=0,"",INDEX('#建筑消耗和buff配置索引'!AR:AR,MATCH($F179,'#建筑消耗和buff配置索引'!$M:$M,0)))</f>
        <v>3000</v>
      </c>
      <c r="AC179" s="133">
        <f>IF(AB179="","",INDEX('#建筑消耗和buff配置索引'!AS:AS,MATCH($F179,'#建筑消耗和buff配置索引'!$M:$M,0)))</f>
        <v>0.13</v>
      </c>
      <c r="AF179" s="133">
        <f>IF(INDEX('#建筑消耗和buff配置索引'!AW:AW,MATCH($F179,'#建筑消耗和buff配置索引'!$M:$M,0))=0,"",INDEX('#建筑消耗和buff配置索引'!AW:AW,MATCH($F179,'#建筑消耗和buff配置索引'!$M:$M,0)))</f>
        <v>3013</v>
      </c>
      <c r="AG179" s="133">
        <f>IF(AF179="","",INDEX('#建筑消耗和buff配置索引'!AX:AX,MATCH($F179,'#建筑消耗和buff配置索引'!$M:$M,0)))</f>
        <v>1300</v>
      </c>
      <c r="AJ179" s="133" t="str">
        <f>IF(INDEX('#建筑消耗和buff配置索引'!BB:BB,MATCH($F179,'#建筑消耗和buff配置索引'!$M:$M,0))=0,"",INDEX('#建筑消耗和buff配置索引'!BB:BB,MATCH($F179,'#建筑消耗和buff配置索引'!$M:$M,0)))</f>
        <v/>
      </c>
      <c r="AK179" s="133" t="str">
        <f>IF(AJ179="","",INDEX('#建筑消耗和buff配置索引'!BC:BC,MATCH($F179,'#建筑消耗和buff配置索引'!$M:$M,0)))</f>
        <v/>
      </c>
      <c r="AN179" s="133" t="str">
        <f>IF(INDEX('#建筑消耗和buff配置索引'!BG:BG,MATCH($F179,'#建筑消耗和buff配置索引'!$M:$M,0))=0,"",INDEX('#建筑消耗和buff配置索引'!BG:BG,MATCH($F179,'#建筑消耗和buff配置索引'!$M:$M,0)))</f>
        <v/>
      </c>
      <c r="AO179" s="133" t="str">
        <f>IF(AN179="","",INDEX('#建筑消耗和buff配置索引'!BH:BH,MATCH($F179,'#建筑消耗和buff配置索引'!$M:$M,0)))</f>
        <v/>
      </c>
      <c r="AR179" s="133" t="str">
        <f>IF(INDEX('#建筑消耗和buff配置索引'!BK:BK,MATCH($F179,'#建筑消耗和buff配置索引'!$M:$M,0))=0,"",INDEX('#建筑消耗和buff配置索引'!BK:BK,MATCH($F179,'#建筑消耗和buff配置索引'!$M:$M,0)))</f>
        <v/>
      </c>
      <c r="AS179" s="133" t="str">
        <f>IF(AR179="","",INDEX('#建筑消耗和buff配置索引'!BL:BL,MATCH($F179,'#建筑消耗和buff配置索引'!$M:$M,0)))</f>
        <v/>
      </c>
      <c r="AV179" s="133" t="str">
        <f>IF(INDEX('#建筑消耗和buff配置索引'!BO:BO,MATCH($F179,'#建筑消耗和buff配置索引'!$M:$M,0))=0,"",INDEX('#建筑消耗和buff配置索引'!BO:BO,MATCH($F179,'#建筑消耗和buff配置索引'!$M:$M,0)))</f>
        <v/>
      </c>
      <c r="AW179" s="133" t="str">
        <f>IF(AV179="","",INDEX('#建筑消耗和buff配置索引'!BP:BP,MATCH($F179,'#建筑消耗和buff配置索引'!$M:$M,0)))</f>
        <v/>
      </c>
      <c r="AZ179" s="133" t="str">
        <f>IF(INDEX('#建筑消耗和buff配置索引'!BS:BS,MATCH($F179,'#建筑消耗和buff配置索引'!$M:$M,0))=0,"",INDEX('#建筑消耗和buff配置索引'!BS:BS,MATCH($F179,'#建筑消耗和buff配置索引'!$M:$M,0)))</f>
        <v/>
      </c>
      <c r="BA179" s="133" t="str">
        <f>IF(AZ179="","",INDEX('#建筑消耗和buff配置索引'!BT:BT,MATCH($F179,'#建筑消耗和buff配置索引'!$M:$M,0)))</f>
        <v/>
      </c>
      <c r="BD179" s="133" t="str">
        <f>IF(INDEX('#建筑消耗和buff配置索引'!BW:BW,MATCH($F179,'#建筑消耗和buff配置索引'!$M:$M,0))=0,"",INDEX('#建筑消耗和buff配置索引'!BW:BW,MATCH($F179,'#建筑消耗和buff配置索引'!$M:$M,0)))</f>
        <v/>
      </c>
      <c r="BE179" s="133" t="str">
        <f>IF(BD179="","",INDEX('#建筑消耗和buff配置索引'!BX:BX,MATCH($F179,'#建筑消耗和buff配置索引'!$M:$M,0)))</f>
        <v/>
      </c>
      <c r="BI179" s="133">
        <v>9</v>
      </c>
    </row>
    <row r="180" spans="1:66" s="133" customFormat="1">
      <c r="A180" s="133">
        <v>2060027</v>
      </c>
      <c r="B180" s="133">
        <v>177</v>
      </c>
      <c r="C180" s="133">
        <v>206</v>
      </c>
      <c r="D180" s="133" t="s">
        <v>293</v>
      </c>
      <c r="E180" s="133">
        <v>27</v>
      </c>
      <c r="F180" s="133" t="str">
        <f t="shared" si="4"/>
        <v>剑士营27</v>
      </c>
      <c r="H180" s="146"/>
      <c r="I180" s="133">
        <v>3</v>
      </c>
      <c r="J180" s="150">
        <f>INDEX('#建筑消耗和buff配置索引'!AH:AH,MATCH($F180,'#建筑消耗和buff配置索引'!$M:$M,0))</f>
        <v>570240</v>
      </c>
      <c r="K180" s="150">
        <f>INDEX('#建筑消耗和buff配置索引'!AA:AA,MATCH($F180,'#建筑消耗和buff配置索引'!$M:$M,0))</f>
        <v>8300000</v>
      </c>
      <c r="L180" s="150">
        <f>INDEX('#建筑消耗和buff配置索引'!AB:AB,MATCH($F180,'#建筑消耗和buff配置索引'!$M:$M,0))</f>
        <v>8300000</v>
      </c>
      <c r="M180" s="150">
        <f>INDEX('#建筑消耗和buff配置索引'!AC:AC,MATCH($F180,'#建筑消耗和buff配置索引'!$M:$M,0))</f>
        <v>8300000</v>
      </c>
      <c r="N180" s="150">
        <f>INDEX('#建筑消耗和buff配置索引'!AD:AD,MATCH($F180,'#建筑消耗和buff配置索引'!$M:$M,0))</f>
        <v>8300000</v>
      </c>
      <c r="O180" s="150" t="str">
        <f>IF(INDEX('#建筑消耗和buff配置索引'!T:T,MATCH($F180,'#建筑消耗和buff配置索引'!$M:$M,0))=0,"",INDEX('#建筑消耗和buff配置索引'!T:T,MATCH($F180,'#建筑消耗和buff配置索引'!$M:$M,0)))</f>
        <v/>
      </c>
      <c r="P180" s="133" t="str">
        <f>IF(INDEX('#建筑消耗和buff配置索引'!U:U,MATCH($F180,'#建筑消耗和buff配置索引'!$M:$M,0))=0,"",INDEX('#建筑消耗和buff配置索引'!U:U,MATCH($F180,'#建筑消耗和buff配置索引'!$M:$M,0)))</f>
        <v/>
      </c>
      <c r="Q180" s="133" t="str">
        <f>IF(INDEX('#建筑消耗和buff配置索引'!K:K,MATCH($F180,'#建筑消耗和buff配置索引'!$M:$M,0))=0,"",INDEX('#建筑消耗和buff配置索引'!K:K,MATCH($F180,'#建筑消耗和buff配置索引'!$M:$M,0)))</f>
        <v>201;203</v>
      </c>
      <c r="R180" s="133" t="str">
        <f>IF(INDEX('#建筑消耗和buff配置索引'!L:L,MATCH($F180,'#建筑消耗和buff配置索引'!$M:$M,0))=0,"",INDEX('#建筑消耗和buff配置索引'!L:L,MATCH($F180,'#建筑消耗和buff配置索引'!$M:$M,0)))</f>
        <v>27;27</v>
      </c>
      <c r="S180" s="133">
        <f>IF(INDEX('#建筑消耗和buff配置索引'!C:C,MATCH(F180,'#建筑消耗和buff配置索引'!M:M,0))=0,1,INDEX('#建筑消耗和buff配置索引'!C:C,MATCH(F180,'#建筑消耗和buff配置索引'!M:M,0)))</f>
        <v>1</v>
      </c>
      <c r="T180" s="133">
        <v>0</v>
      </c>
      <c r="U180" s="133">
        <v>0</v>
      </c>
      <c r="V180" s="133" t="str">
        <f>IF(E180=1,IF(INDEX('#建筑消耗和buff配置索引'!BY:BY,MATCH(D180,'#建筑消耗和buff配置索引'!A:A,0))=0,"",INDEX('#建筑消耗和buff配置索引'!BY:BY,MATCH(D180,'#建筑消耗和buff配置索引'!A:A,0))),"")</f>
        <v/>
      </c>
      <c r="W180" s="133" t="str">
        <f>IF(E180=1,IF(INDEX('#建筑消耗和buff配置索引'!BZ:BZ,MATCH(D180,'#建筑消耗和buff配置索引'!A:A,0))=0,"",INDEX('#建筑消耗和buff配置索引'!BZ:BZ,MATCH(D180,'#建筑消耗和buff配置索引'!A:A,0))),"")</f>
        <v/>
      </c>
      <c r="X180" s="133" t="str">
        <f>INDEX('#建筑消耗和buff配置索引'!BC:BC,MATCH(F180,'#建筑消耗和buff配置索引'!M:M,0))*100&amp;"%"</f>
        <v>0%</v>
      </c>
      <c r="AA180" s="133">
        <f>INDEX('#建筑消耗和buff配置索引'!AO:AO,MATCH($F180,'#建筑消耗和buff配置索引'!$M:$M,0))</f>
        <v>299871</v>
      </c>
      <c r="AB180" s="133">
        <f>IF(INDEX('#建筑消耗和buff配置索引'!AR:AR,MATCH($F180,'#建筑消耗和buff配置索引'!$M:$M,0))=0,"",INDEX('#建筑消耗和buff配置索引'!AR:AR,MATCH($F180,'#建筑消耗和buff配置索引'!$M:$M,0)))</f>
        <v>3000</v>
      </c>
      <c r="AC180" s="133">
        <f>IF(AB180="","",INDEX('#建筑消耗和buff配置索引'!AS:AS,MATCH($F180,'#建筑消耗和buff配置索引'!$M:$M,0)))</f>
        <v>0.14000000000000001</v>
      </c>
      <c r="AF180" s="133">
        <f>IF(INDEX('#建筑消耗和buff配置索引'!AW:AW,MATCH($F180,'#建筑消耗和buff配置索引'!$M:$M,0))=0,"",INDEX('#建筑消耗和buff配置索引'!AW:AW,MATCH($F180,'#建筑消耗和buff配置索引'!$M:$M,0)))</f>
        <v>3013</v>
      </c>
      <c r="AG180" s="133">
        <f>IF(AF180="","",INDEX('#建筑消耗和buff配置索引'!AX:AX,MATCH($F180,'#建筑消耗和buff配置索引'!$M:$M,0)))</f>
        <v>1400</v>
      </c>
      <c r="AJ180" s="133" t="str">
        <f>IF(INDEX('#建筑消耗和buff配置索引'!BB:BB,MATCH($F180,'#建筑消耗和buff配置索引'!$M:$M,0))=0,"",INDEX('#建筑消耗和buff配置索引'!BB:BB,MATCH($F180,'#建筑消耗和buff配置索引'!$M:$M,0)))</f>
        <v/>
      </c>
      <c r="AK180" s="133" t="str">
        <f>IF(AJ180="","",INDEX('#建筑消耗和buff配置索引'!BC:BC,MATCH($F180,'#建筑消耗和buff配置索引'!$M:$M,0)))</f>
        <v/>
      </c>
      <c r="AN180" s="133" t="str">
        <f>IF(INDEX('#建筑消耗和buff配置索引'!BG:BG,MATCH($F180,'#建筑消耗和buff配置索引'!$M:$M,0))=0,"",INDEX('#建筑消耗和buff配置索引'!BG:BG,MATCH($F180,'#建筑消耗和buff配置索引'!$M:$M,0)))</f>
        <v/>
      </c>
      <c r="AO180" s="133" t="str">
        <f>IF(AN180="","",INDEX('#建筑消耗和buff配置索引'!BH:BH,MATCH($F180,'#建筑消耗和buff配置索引'!$M:$M,0)))</f>
        <v/>
      </c>
      <c r="AR180" s="133" t="str">
        <f>IF(INDEX('#建筑消耗和buff配置索引'!BK:BK,MATCH($F180,'#建筑消耗和buff配置索引'!$M:$M,0))=0,"",INDEX('#建筑消耗和buff配置索引'!BK:BK,MATCH($F180,'#建筑消耗和buff配置索引'!$M:$M,0)))</f>
        <v/>
      </c>
      <c r="AS180" s="133" t="str">
        <f>IF(AR180="","",INDEX('#建筑消耗和buff配置索引'!BL:BL,MATCH($F180,'#建筑消耗和buff配置索引'!$M:$M,0)))</f>
        <v/>
      </c>
      <c r="AV180" s="133" t="str">
        <f>IF(INDEX('#建筑消耗和buff配置索引'!BO:BO,MATCH($F180,'#建筑消耗和buff配置索引'!$M:$M,0))=0,"",INDEX('#建筑消耗和buff配置索引'!BO:BO,MATCH($F180,'#建筑消耗和buff配置索引'!$M:$M,0)))</f>
        <v/>
      </c>
      <c r="AW180" s="133" t="str">
        <f>IF(AV180="","",INDEX('#建筑消耗和buff配置索引'!BP:BP,MATCH($F180,'#建筑消耗和buff配置索引'!$M:$M,0)))</f>
        <v/>
      </c>
      <c r="AZ180" s="133" t="str">
        <f>IF(INDEX('#建筑消耗和buff配置索引'!BS:BS,MATCH($F180,'#建筑消耗和buff配置索引'!$M:$M,0))=0,"",INDEX('#建筑消耗和buff配置索引'!BS:BS,MATCH($F180,'#建筑消耗和buff配置索引'!$M:$M,0)))</f>
        <v/>
      </c>
      <c r="BA180" s="133" t="str">
        <f>IF(AZ180="","",INDEX('#建筑消耗和buff配置索引'!BT:BT,MATCH($F180,'#建筑消耗和buff配置索引'!$M:$M,0)))</f>
        <v/>
      </c>
      <c r="BD180" s="133" t="str">
        <f>IF(INDEX('#建筑消耗和buff配置索引'!BW:BW,MATCH($F180,'#建筑消耗和buff配置索引'!$M:$M,0))=0,"",INDEX('#建筑消耗和buff配置索引'!BW:BW,MATCH($F180,'#建筑消耗和buff配置索引'!$M:$M,0)))</f>
        <v/>
      </c>
      <c r="BE180" s="133" t="str">
        <f>IF(BD180="","",INDEX('#建筑消耗和buff配置索引'!BX:BX,MATCH($F180,'#建筑消耗和buff配置索引'!$M:$M,0)))</f>
        <v/>
      </c>
      <c r="BI180" s="133">
        <v>9</v>
      </c>
    </row>
    <row r="181" spans="1:66" s="133" customFormat="1">
      <c r="A181" s="133">
        <v>2060028</v>
      </c>
      <c r="B181" s="133">
        <v>178</v>
      </c>
      <c r="C181" s="133">
        <v>206</v>
      </c>
      <c r="D181" s="133" t="s">
        <v>293</v>
      </c>
      <c r="E181" s="133">
        <v>28</v>
      </c>
      <c r="F181" s="133" t="str">
        <f t="shared" si="4"/>
        <v>剑士营28</v>
      </c>
      <c r="H181" s="146"/>
      <c r="I181" s="133">
        <v>3</v>
      </c>
      <c r="J181" s="150">
        <f>INDEX('#建筑消耗和buff配置索引'!AH:AH,MATCH($F181,'#建筑消耗和buff配置索引'!$M:$M,0))</f>
        <v>699840</v>
      </c>
      <c r="K181" s="150">
        <f>INDEX('#建筑消耗和buff配置索引'!AA:AA,MATCH($F181,'#建筑消耗和buff配置索引'!$M:$M,0))</f>
        <v>11000000</v>
      </c>
      <c r="L181" s="150">
        <f>INDEX('#建筑消耗和buff配置索引'!AB:AB,MATCH($F181,'#建筑消耗和buff配置索引'!$M:$M,0))</f>
        <v>11000000</v>
      </c>
      <c r="M181" s="150">
        <f>INDEX('#建筑消耗和buff配置索引'!AC:AC,MATCH($F181,'#建筑消耗和buff配置索引'!$M:$M,0))</f>
        <v>11000000</v>
      </c>
      <c r="N181" s="150">
        <f>INDEX('#建筑消耗和buff配置索引'!AD:AD,MATCH($F181,'#建筑消耗和buff配置索引'!$M:$M,0))</f>
        <v>11000000</v>
      </c>
      <c r="O181" s="150" t="str">
        <f>IF(INDEX('#建筑消耗和buff配置索引'!T:T,MATCH($F181,'#建筑消耗和buff配置索引'!$M:$M,0))=0,"",INDEX('#建筑消耗和buff配置索引'!T:T,MATCH($F181,'#建筑消耗和buff配置索引'!$M:$M,0)))</f>
        <v/>
      </c>
      <c r="P181" s="133" t="str">
        <f>IF(INDEX('#建筑消耗和buff配置索引'!U:U,MATCH($F181,'#建筑消耗和buff配置索引'!$M:$M,0))=0,"",INDEX('#建筑消耗和buff配置索引'!U:U,MATCH($F181,'#建筑消耗和buff配置索引'!$M:$M,0)))</f>
        <v/>
      </c>
      <c r="Q181" s="133" t="str">
        <f>IF(INDEX('#建筑消耗和buff配置索引'!K:K,MATCH($F181,'#建筑消耗和buff配置索引'!$M:$M,0))=0,"",INDEX('#建筑消耗和buff配置索引'!K:K,MATCH($F181,'#建筑消耗和buff配置索引'!$M:$M,0)))</f>
        <v>201;203</v>
      </c>
      <c r="R181" s="133" t="str">
        <f>IF(INDEX('#建筑消耗和buff配置索引'!L:L,MATCH($F181,'#建筑消耗和buff配置索引'!$M:$M,0))=0,"",INDEX('#建筑消耗和buff配置索引'!L:L,MATCH($F181,'#建筑消耗和buff配置索引'!$M:$M,0)))</f>
        <v>28;28</v>
      </c>
      <c r="S181" s="133">
        <f>IF(INDEX('#建筑消耗和buff配置索引'!C:C,MATCH(F181,'#建筑消耗和buff配置索引'!M:M,0))=0,1,INDEX('#建筑消耗和buff配置索引'!C:C,MATCH(F181,'#建筑消耗和buff配置索引'!M:M,0)))</f>
        <v>1</v>
      </c>
      <c r="T181" s="133">
        <v>0</v>
      </c>
      <c r="U181" s="133">
        <v>0</v>
      </c>
      <c r="V181" s="133" t="str">
        <f>IF(E181=1,IF(INDEX('#建筑消耗和buff配置索引'!BY:BY,MATCH(D181,'#建筑消耗和buff配置索引'!A:A,0))=0,"",INDEX('#建筑消耗和buff配置索引'!BY:BY,MATCH(D181,'#建筑消耗和buff配置索引'!A:A,0))),"")</f>
        <v/>
      </c>
      <c r="W181" s="133" t="str">
        <f>IF(E181=1,IF(INDEX('#建筑消耗和buff配置索引'!BZ:BZ,MATCH(D181,'#建筑消耗和buff配置索引'!A:A,0))=0,"",INDEX('#建筑消耗和buff配置索引'!BZ:BZ,MATCH(D181,'#建筑消耗和buff配置索引'!A:A,0))),"")</f>
        <v/>
      </c>
      <c r="X181" s="133" t="str">
        <f>INDEX('#建筑消耗和buff配置索引'!BC:BC,MATCH(F181,'#建筑消耗和buff配置索引'!M:M,0))*100&amp;"%"</f>
        <v>0%</v>
      </c>
      <c r="AA181" s="133">
        <f>INDEX('#建筑消耗和buff配置索引'!AO:AO,MATCH($F181,'#建筑消耗和buff配置索引'!$M:$M,0))</f>
        <v>384740</v>
      </c>
      <c r="AB181" s="133">
        <f>IF(INDEX('#建筑消耗和buff配置索引'!AR:AR,MATCH($F181,'#建筑消耗和buff配置索引'!$M:$M,0))=0,"",INDEX('#建筑消耗和buff配置索引'!AR:AR,MATCH($F181,'#建筑消耗和buff配置索引'!$M:$M,0)))</f>
        <v>3000</v>
      </c>
      <c r="AC181" s="133">
        <f>IF(AB181="","",INDEX('#建筑消耗和buff配置索引'!AS:AS,MATCH($F181,'#建筑消耗和buff配置索引'!$M:$M,0)))</f>
        <v>0.15</v>
      </c>
      <c r="AF181" s="133">
        <f>IF(INDEX('#建筑消耗和buff配置索引'!AW:AW,MATCH($F181,'#建筑消耗和buff配置索引'!$M:$M,0))=0,"",INDEX('#建筑消耗和buff配置索引'!AW:AW,MATCH($F181,'#建筑消耗和buff配置索引'!$M:$M,0)))</f>
        <v>3013</v>
      </c>
      <c r="AG181" s="133">
        <f>IF(AF181="","",INDEX('#建筑消耗和buff配置索引'!AX:AX,MATCH($F181,'#建筑消耗和buff配置索引'!$M:$M,0)))</f>
        <v>1500</v>
      </c>
      <c r="AJ181" s="133" t="str">
        <f>IF(INDEX('#建筑消耗和buff配置索引'!BB:BB,MATCH($F181,'#建筑消耗和buff配置索引'!$M:$M,0))=0,"",INDEX('#建筑消耗和buff配置索引'!BB:BB,MATCH($F181,'#建筑消耗和buff配置索引'!$M:$M,0)))</f>
        <v/>
      </c>
      <c r="AK181" s="133" t="str">
        <f>IF(AJ181="","",INDEX('#建筑消耗和buff配置索引'!BC:BC,MATCH($F181,'#建筑消耗和buff配置索引'!$M:$M,0)))</f>
        <v/>
      </c>
      <c r="AN181" s="133" t="str">
        <f>IF(INDEX('#建筑消耗和buff配置索引'!BG:BG,MATCH($F181,'#建筑消耗和buff配置索引'!$M:$M,0))=0,"",INDEX('#建筑消耗和buff配置索引'!BG:BG,MATCH($F181,'#建筑消耗和buff配置索引'!$M:$M,0)))</f>
        <v/>
      </c>
      <c r="AO181" s="133" t="str">
        <f>IF(AN181="","",INDEX('#建筑消耗和buff配置索引'!BH:BH,MATCH($F181,'#建筑消耗和buff配置索引'!$M:$M,0)))</f>
        <v/>
      </c>
      <c r="AR181" s="133" t="str">
        <f>IF(INDEX('#建筑消耗和buff配置索引'!BK:BK,MATCH($F181,'#建筑消耗和buff配置索引'!$M:$M,0))=0,"",INDEX('#建筑消耗和buff配置索引'!BK:BK,MATCH($F181,'#建筑消耗和buff配置索引'!$M:$M,0)))</f>
        <v/>
      </c>
      <c r="AS181" s="133" t="str">
        <f>IF(AR181="","",INDEX('#建筑消耗和buff配置索引'!BL:BL,MATCH($F181,'#建筑消耗和buff配置索引'!$M:$M,0)))</f>
        <v/>
      </c>
      <c r="AV181" s="133" t="str">
        <f>IF(INDEX('#建筑消耗和buff配置索引'!BO:BO,MATCH($F181,'#建筑消耗和buff配置索引'!$M:$M,0))=0,"",INDEX('#建筑消耗和buff配置索引'!BO:BO,MATCH($F181,'#建筑消耗和buff配置索引'!$M:$M,0)))</f>
        <v/>
      </c>
      <c r="AW181" s="133" t="str">
        <f>IF(AV181="","",INDEX('#建筑消耗和buff配置索引'!BP:BP,MATCH($F181,'#建筑消耗和buff配置索引'!$M:$M,0)))</f>
        <v/>
      </c>
      <c r="AZ181" s="133" t="str">
        <f>IF(INDEX('#建筑消耗和buff配置索引'!BS:BS,MATCH($F181,'#建筑消耗和buff配置索引'!$M:$M,0))=0,"",INDEX('#建筑消耗和buff配置索引'!BS:BS,MATCH($F181,'#建筑消耗和buff配置索引'!$M:$M,0)))</f>
        <v/>
      </c>
      <c r="BA181" s="133" t="str">
        <f>IF(AZ181="","",INDEX('#建筑消耗和buff配置索引'!BT:BT,MATCH($F181,'#建筑消耗和buff配置索引'!$M:$M,0)))</f>
        <v/>
      </c>
      <c r="BD181" s="133" t="str">
        <f>IF(INDEX('#建筑消耗和buff配置索引'!BW:BW,MATCH($F181,'#建筑消耗和buff配置索引'!$M:$M,0))=0,"",INDEX('#建筑消耗和buff配置索引'!BW:BW,MATCH($F181,'#建筑消耗和buff配置索引'!$M:$M,0)))</f>
        <v/>
      </c>
      <c r="BE181" s="133" t="str">
        <f>IF(BD181="","",INDEX('#建筑消耗和buff配置索引'!BX:BX,MATCH($F181,'#建筑消耗和buff配置索引'!$M:$M,0)))</f>
        <v/>
      </c>
      <c r="BI181" s="133">
        <v>9</v>
      </c>
    </row>
    <row r="182" spans="1:66" s="133" customFormat="1">
      <c r="A182" s="133">
        <v>2060029</v>
      </c>
      <c r="B182" s="133">
        <v>179</v>
      </c>
      <c r="C182" s="133">
        <v>206</v>
      </c>
      <c r="D182" s="133" t="s">
        <v>293</v>
      </c>
      <c r="E182" s="133">
        <v>29</v>
      </c>
      <c r="F182" s="133" t="str">
        <f t="shared" si="4"/>
        <v>剑士营29</v>
      </c>
      <c r="H182" s="146"/>
      <c r="I182" s="133">
        <v>3</v>
      </c>
      <c r="J182" s="150">
        <f>INDEX('#建筑消耗和buff配置索引'!AH:AH,MATCH($F182,'#建筑消耗和buff配置索引'!$M:$M,0))</f>
        <v>855360</v>
      </c>
      <c r="K182" s="150">
        <f>INDEX('#建筑消耗和buff配置索引'!AA:AA,MATCH($F182,'#建筑消耗和buff配置索引'!$M:$M,0))</f>
        <v>14000000</v>
      </c>
      <c r="L182" s="150">
        <f>INDEX('#建筑消耗和buff配置索引'!AB:AB,MATCH($F182,'#建筑消耗和buff配置索引'!$M:$M,0))</f>
        <v>14000000</v>
      </c>
      <c r="M182" s="150">
        <f>INDEX('#建筑消耗和buff配置索引'!AC:AC,MATCH($F182,'#建筑消耗和buff配置索引'!$M:$M,0))</f>
        <v>14000000</v>
      </c>
      <c r="N182" s="150">
        <f>INDEX('#建筑消耗和buff配置索引'!AD:AD,MATCH($F182,'#建筑消耗和buff配置索引'!$M:$M,0))</f>
        <v>14000000</v>
      </c>
      <c r="O182" s="150" t="str">
        <f>IF(INDEX('#建筑消耗和buff配置索引'!T:T,MATCH($F182,'#建筑消耗和buff配置索引'!$M:$M,0))=0,"",INDEX('#建筑消耗和buff配置索引'!T:T,MATCH($F182,'#建筑消耗和buff配置索引'!$M:$M,0)))</f>
        <v/>
      </c>
      <c r="P182" s="133" t="str">
        <f>IF(INDEX('#建筑消耗和buff配置索引'!U:U,MATCH($F182,'#建筑消耗和buff配置索引'!$M:$M,0))=0,"",INDEX('#建筑消耗和buff配置索引'!U:U,MATCH($F182,'#建筑消耗和buff配置索引'!$M:$M,0)))</f>
        <v/>
      </c>
      <c r="Q182" s="133" t="str">
        <f>IF(INDEX('#建筑消耗和buff配置索引'!K:K,MATCH($F182,'#建筑消耗和buff配置索引'!$M:$M,0))=0,"",INDEX('#建筑消耗和buff配置索引'!K:K,MATCH($F182,'#建筑消耗和buff配置索引'!$M:$M,0)))</f>
        <v>201;203</v>
      </c>
      <c r="R182" s="133" t="str">
        <f>IF(INDEX('#建筑消耗和buff配置索引'!L:L,MATCH($F182,'#建筑消耗和buff配置索引'!$M:$M,0))=0,"",INDEX('#建筑消耗和buff配置索引'!L:L,MATCH($F182,'#建筑消耗和buff配置索引'!$M:$M,0)))</f>
        <v>29;29</v>
      </c>
      <c r="S182" s="133">
        <f>IF(INDEX('#建筑消耗和buff配置索引'!C:C,MATCH(F182,'#建筑消耗和buff配置索引'!M:M,0))=0,1,INDEX('#建筑消耗和buff配置索引'!C:C,MATCH(F182,'#建筑消耗和buff配置索引'!M:M,0)))</f>
        <v>1</v>
      </c>
      <c r="T182" s="133">
        <v>0</v>
      </c>
      <c r="U182" s="133">
        <v>0</v>
      </c>
      <c r="V182" s="133" t="str">
        <f>IF(E182=1,IF(INDEX('#建筑消耗和buff配置索引'!BY:BY,MATCH(D182,'#建筑消耗和buff配置索引'!A:A,0))=0,"",INDEX('#建筑消耗和buff配置索引'!BY:BY,MATCH(D182,'#建筑消耗和buff配置索引'!A:A,0))),"")</f>
        <v/>
      </c>
      <c r="W182" s="133" t="str">
        <f>IF(E182=1,IF(INDEX('#建筑消耗和buff配置索引'!BZ:BZ,MATCH(D182,'#建筑消耗和buff配置索引'!A:A,0))=0,"",INDEX('#建筑消耗和buff配置索引'!BZ:BZ,MATCH(D182,'#建筑消耗和buff配置索引'!A:A,0))),"")</f>
        <v/>
      </c>
      <c r="X182" s="133" t="str">
        <f>INDEX('#建筑消耗和buff配置索引'!BC:BC,MATCH(F182,'#建筑消耗和buff配置索引'!M:M,0))*100&amp;"%"</f>
        <v>0%</v>
      </c>
      <c r="AA182" s="133">
        <f>INDEX('#建筑消耗和buff配置索引'!AO:AO,MATCH($F182,'#建筑消耗和buff配置索引'!$M:$M,0))</f>
        <v>493372</v>
      </c>
      <c r="AB182" s="133">
        <f>IF(INDEX('#建筑消耗和buff配置索引'!AR:AR,MATCH($F182,'#建筑消耗和buff配置索引'!$M:$M,0))=0,"",INDEX('#建筑消耗和buff配置索引'!AR:AR,MATCH($F182,'#建筑消耗和buff配置索引'!$M:$M,0)))</f>
        <v>3000</v>
      </c>
      <c r="AC182" s="133">
        <f>IF(AB182="","",INDEX('#建筑消耗和buff配置索引'!AS:AS,MATCH($F182,'#建筑消耗和buff配置索引'!$M:$M,0)))</f>
        <v>0.16</v>
      </c>
      <c r="AF182" s="133">
        <f>IF(INDEX('#建筑消耗和buff配置索引'!AW:AW,MATCH($F182,'#建筑消耗和buff配置索引'!$M:$M,0))=0,"",INDEX('#建筑消耗和buff配置索引'!AW:AW,MATCH($F182,'#建筑消耗和buff配置索引'!$M:$M,0)))</f>
        <v>3013</v>
      </c>
      <c r="AG182" s="133">
        <f>IF(AF182="","",INDEX('#建筑消耗和buff配置索引'!AX:AX,MATCH($F182,'#建筑消耗和buff配置索引'!$M:$M,0)))</f>
        <v>1600</v>
      </c>
      <c r="AJ182" s="133" t="str">
        <f>IF(INDEX('#建筑消耗和buff配置索引'!BB:BB,MATCH($F182,'#建筑消耗和buff配置索引'!$M:$M,0))=0,"",INDEX('#建筑消耗和buff配置索引'!BB:BB,MATCH($F182,'#建筑消耗和buff配置索引'!$M:$M,0)))</f>
        <v/>
      </c>
      <c r="AK182" s="133" t="str">
        <f>IF(AJ182="","",INDEX('#建筑消耗和buff配置索引'!BC:BC,MATCH($F182,'#建筑消耗和buff配置索引'!$M:$M,0)))</f>
        <v/>
      </c>
      <c r="AN182" s="133" t="str">
        <f>IF(INDEX('#建筑消耗和buff配置索引'!BG:BG,MATCH($F182,'#建筑消耗和buff配置索引'!$M:$M,0))=0,"",INDEX('#建筑消耗和buff配置索引'!BG:BG,MATCH($F182,'#建筑消耗和buff配置索引'!$M:$M,0)))</f>
        <v/>
      </c>
      <c r="AO182" s="133" t="str">
        <f>IF(AN182="","",INDEX('#建筑消耗和buff配置索引'!BH:BH,MATCH($F182,'#建筑消耗和buff配置索引'!$M:$M,0)))</f>
        <v/>
      </c>
      <c r="AR182" s="133" t="str">
        <f>IF(INDEX('#建筑消耗和buff配置索引'!BK:BK,MATCH($F182,'#建筑消耗和buff配置索引'!$M:$M,0))=0,"",INDEX('#建筑消耗和buff配置索引'!BK:BK,MATCH($F182,'#建筑消耗和buff配置索引'!$M:$M,0)))</f>
        <v/>
      </c>
      <c r="AS182" s="133" t="str">
        <f>IF(AR182="","",INDEX('#建筑消耗和buff配置索引'!BL:BL,MATCH($F182,'#建筑消耗和buff配置索引'!$M:$M,0)))</f>
        <v/>
      </c>
      <c r="AV182" s="133" t="str">
        <f>IF(INDEX('#建筑消耗和buff配置索引'!BO:BO,MATCH($F182,'#建筑消耗和buff配置索引'!$M:$M,0))=0,"",INDEX('#建筑消耗和buff配置索引'!BO:BO,MATCH($F182,'#建筑消耗和buff配置索引'!$M:$M,0)))</f>
        <v/>
      </c>
      <c r="AW182" s="133" t="str">
        <f>IF(AV182="","",INDEX('#建筑消耗和buff配置索引'!BP:BP,MATCH($F182,'#建筑消耗和buff配置索引'!$M:$M,0)))</f>
        <v/>
      </c>
      <c r="AZ182" s="133" t="str">
        <f>IF(INDEX('#建筑消耗和buff配置索引'!BS:BS,MATCH($F182,'#建筑消耗和buff配置索引'!$M:$M,0))=0,"",INDEX('#建筑消耗和buff配置索引'!BS:BS,MATCH($F182,'#建筑消耗和buff配置索引'!$M:$M,0)))</f>
        <v/>
      </c>
      <c r="BA182" s="133" t="str">
        <f>IF(AZ182="","",INDEX('#建筑消耗和buff配置索引'!BT:BT,MATCH($F182,'#建筑消耗和buff配置索引'!$M:$M,0)))</f>
        <v/>
      </c>
      <c r="BD182" s="133" t="str">
        <f>IF(INDEX('#建筑消耗和buff配置索引'!BW:BW,MATCH($F182,'#建筑消耗和buff配置索引'!$M:$M,0))=0,"",INDEX('#建筑消耗和buff配置索引'!BW:BW,MATCH($F182,'#建筑消耗和buff配置索引'!$M:$M,0)))</f>
        <v/>
      </c>
      <c r="BE182" s="133" t="str">
        <f>IF(BD182="","",INDEX('#建筑消耗和buff配置索引'!BX:BX,MATCH($F182,'#建筑消耗和buff配置索引'!$M:$M,0)))</f>
        <v/>
      </c>
      <c r="BI182" s="133">
        <v>9</v>
      </c>
    </row>
    <row r="183" spans="1:66" s="133" customFormat="1">
      <c r="A183" s="133">
        <v>2060030</v>
      </c>
      <c r="B183" s="133">
        <v>180</v>
      </c>
      <c r="C183" s="133">
        <v>206</v>
      </c>
      <c r="D183" s="133" t="s">
        <v>293</v>
      </c>
      <c r="E183" s="133">
        <v>30</v>
      </c>
      <c r="F183" s="133" t="str">
        <f t="shared" si="4"/>
        <v>剑士营30</v>
      </c>
      <c r="H183" s="146"/>
      <c r="I183" s="133">
        <v>3</v>
      </c>
      <c r="J183" s="150">
        <f>INDEX('#建筑消耗和buff配置索引'!AH:AH,MATCH($F183,'#建筑消耗和buff配置索引'!$M:$M,0))</f>
        <v>1036800</v>
      </c>
      <c r="K183" s="150">
        <f>INDEX('#建筑消耗和buff配置索引'!AA:AA,MATCH($F183,'#建筑消耗和buff配置索引'!$M:$M,0))</f>
        <v>17000000</v>
      </c>
      <c r="L183" s="150">
        <f>INDEX('#建筑消耗和buff配置索引'!AB:AB,MATCH($F183,'#建筑消耗和buff配置索引'!$M:$M,0))</f>
        <v>17000000</v>
      </c>
      <c r="M183" s="150">
        <f>INDEX('#建筑消耗和buff配置索引'!AC:AC,MATCH($F183,'#建筑消耗和buff配置索引'!$M:$M,0))</f>
        <v>17000000</v>
      </c>
      <c r="N183" s="150">
        <f>INDEX('#建筑消耗和buff配置索引'!AD:AD,MATCH($F183,'#建筑消耗和buff配置索引'!$M:$M,0))</f>
        <v>17000000</v>
      </c>
      <c r="O183" s="150" t="str">
        <f>IF(INDEX('#建筑消耗和buff配置索引'!T:T,MATCH($F183,'#建筑消耗和buff配置索引'!$M:$M,0))=0,"",INDEX('#建筑消耗和buff配置索引'!T:T,MATCH($F183,'#建筑消耗和buff配置索引'!$M:$M,0)))</f>
        <v/>
      </c>
      <c r="P183" s="133" t="str">
        <f>IF(INDEX('#建筑消耗和buff配置索引'!U:U,MATCH($F183,'#建筑消耗和buff配置索引'!$M:$M,0))=0,"",INDEX('#建筑消耗和buff配置索引'!U:U,MATCH($F183,'#建筑消耗和buff配置索引'!$M:$M,0)))</f>
        <v/>
      </c>
      <c r="Q183" s="133" t="str">
        <f>IF(INDEX('#建筑消耗和buff配置索引'!K:K,MATCH($F183,'#建筑消耗和buff配置索引'!$M:$M,0))=0,"",INDEX('#建筑消耗和buff配置索引'!K:K,MATCH($F183,'#建筑消耗和buff配置索引'!$M:$M,0)))</f>
        <v>201;203</v>
      </c>
      <c r="R183" s="133" t="str">
        <f>IF(INDEX('#建筑消耗和buff配置索引'!L:L,MATCH($F183,'#建筑消耗和buff配置索引'!$M:$M,0))=0,"",INDEX('#建筑消耗和buff配置索引'!L:L,MATCH($F183,'#建筑消耗和buff配置索引'!$M:$M,0)))</f>
        <v>30;30</v>
      </c>
      <c r="S183" s="133">
        <f>IF(INDEX('#建筑消耗和buff配置索引'!C:C,MATCH(F183,'#建筑消耗和buff配置索引'!M:M,0))=0,1,INDEX('#建筑消耗和buff配置索引'!C:C,MATCH(F183,'#建筑消耗和buff配置索引'!M:M,0)))</f>
        <v>1</v>
      </c>
      <c r="T183" s="133">
        <v>0</v>
      </c>
      <c r="U183" s="133">
        <v>0</v>
      </c>
      <c r="V183" s="133" t="str">
        <f>IF(E183=1,IF(INDEX('#建筑消耗和buff配置索引'!BY:BY,MATCH(D183,'#建筑消耗和buff配置索引'!A:A,0))=0,"",INDEX('#建筑消耗和buff配置索引'!BY:BY,MATCH(D183,'#建筑消耗和buff配置索引'!A:A,0))),"")</f>
        <v/>
      </c>
      <c r="W183" s="133" t="str">
        <f>IF(E183=1,IF(INDEX('#建筑消耗和buff配置索引'!BZ:BZ,MATCH(D183,'#建筑消耗和buff配置索引'!A:A,0))=0,"",INDEX('#建筑消耗和buff配置索引'!BZ:BZ,MATCH(D183,'#建筑消耗和buff配置索引'!A:A,0))),"")</f>
        <v/>
      </c>
      <c r="X183" s="133" t="str">
        <f>INDEX('#建筑消耗和buff配置索引'!BC:BC,MATCH(F183,'#建筑消耗和buff配置索引'!M:M,0))*100&amp;"%"</f>
        <v>0%</v>
      </c>
      <c r="AA183" s="133">
        <f>INDEX('#建筑消耗和buff配置索引'!AO:AO,MATCH($F183,'#建筑消耗和buff配置索引'!$M:$M,0))</f>
        <v>632420</v>
      </c>
      <c r="AB183" s="133">
        <f>IF(INDEX('#建筑消耗和buff配置索引'!AR:AR,MATCH($F183,'#建筑消耗和buff配置索引'!$M:$M,0))=0,"",INDEX('#建筑消耗和buff配置索引'!AR:AR,MATCH($F183,'#建筑消耗和buff配置索引'!$M:$M,0)))</f>
        <v>3000</v>
      </c>
      <c r="AC183" s="133">
        <f>IF(AB183="","",INDEX('#建筑消耗和buff配置索引'!AS:AS,MATCH($F183,'#建筑消耗和buff配置索引'!$M:$M,0)))</f>
        <v>0.17</v>
      </c>
      <c r="AF183" s="133">
        <f>IF(INDEX('#建筑消耗和buff配置索引'!AW:AW,MATCH($F183,'#建筑消耗和buff配置索引'!$M:$M,0))=0,"",INDEX('#建筑消耗和buff配置索引'!AW:AW,MATCH($F183,'#建筑消耗和buff配置索引'!$M:$M,0)))</f>
        <v>3013</v>
      </c>
      <c r="AG183" s="133">
        <f>IF(AF183="","",INDEX('#建筑消耗和buff配置索引'!AX:AX,MATCH($F183,'#建筑消耗和buff配置索引'!$M:$M,0)))</f>
        <v>1700</v>
      </c>
      <c r="AJ183" s="133" t="str">
        <f>IF(INDEX('#建筑消耗和buff配置索引'!BB:BB,MATCH($F183,'#建筑消耗和buff配置索引'!$M:$M,0))=0,"",INDEX('#建筑消耗和buff配置索引'!BB:BB,MATCH($F183,'#建筑消耗和buff配置索引'!$M:$M,0)))</f>
        <v/>
      </c>
      <c r="AK183" s="133" t="str">
        <f>IF(AJ183="","",INDEX('#建筑消耗和buff配置索引'!BC:BC,MATCH($F183,'#建筑消耗和buff配置索引'!$M:$M,0)))</f>
        <v/>
      </c>
      <c r="AN183" s="133" t="str">
        <f>IF(INDEX('#建筑消耗和buff配置索引'!BG:BG,MATCH($F183,'#建筑消耗和buff配置索引'!$M:$M,0))=0,"",INDEX('#建筑消耗和buff配置索引'!BG:BG,MATCH($F183,'#建筑消耗和buff配置索引'!$M:$M,0)))</f>
        <v/>
      </c>
      <c r="AO183" s="133" t="str">
        <f>IF(AN183="","",INDEX('#建筑消耗和buff配置索引'!BH:BH,MATCH($F183,'#建筑消耗和buff配置索引'!$M:$M,0)))</f>
        <v/>
      </c>
      <c r="AR183" s="133" t="str">
        <f>IF(INDEX('#建筑消耗和buff配置索引'!BK:BK,MATCH($F183,'#建筑消耗和buff配置索引'!$M:$M,0))=0,"",INDEX('#建筑消耗和buff配置索引'!BK:BK,MATCH($F183,'#建筑消耗和buff配置索引'!$M:$M,0)))</f>
        <v/>
      </c>
      <c r="AS183" s="133" t="str">
        <f>IF(AR183="","",INDEX('#建筑消耗和buff配置索引'!BL:BL,MATCH($F183,'#建筑消耗和buff配置索引'!$M:$M,0)))</f>
        <v/>
      </c>
      <c r="AV183" s="133" t="str">
        <f>IF(INDEX('#建筑消耗和buff配置索引'!BO:BO,MATCH($F183,'#建筑消耗和buff配置索引'!$M:$M,0))=0,"",INDEX('#建筑消耗和buff配置索引'!BO:BO,MATCH($F183,'#建筑消耗和buff配置索引'!$M:$M,0)))</f>
        <v/>
      </c>
      <c r="AW183" s="133" t="str">
        <f>IF(AV183="","",INDEX('#建筑消耗和buff配置索引'!BP:BP,MATCH($F183,'#建筑消耗和buff配置索引'!$M:$M,0)))</f>
        <v/>
      </c>
      <c r="AZ183" s="133" t="str">
        <f>IF(INDEX('#建筑消耗和buff配置索引'!BS:BS,MATCH($F183,'#建筑消耗和buff配置索引'!$M:$M,0))=0,"",INDEX('#建筑消耗和buff配置索引'!BS:BS,MATCH($F183,'#建筑消耗和buff配置索引'!$M:$M,0)))</f>
        <v/>
      </c>
      <c r="BA183" s="133" t="str">
        <f>IF(AZ183="","",INDEX('#建筑消耗和buff配置索引'!BT:BT,MATCH($F183,'#建筑消耗和buff配置索引'!$M:$M,0)))</f>
        <v/>
      </c>
      <c r="BD183" s="133" t="str">
        <f>IF(INDEX('#建筑消耗和buff配置索引'!BW:BW,MATCH($F183,'#建筑消耗和buff配置索引'!$M:$M,0))=0,"",INDEX('#建筑消耗和buff配置索引'!BW:BW,MATCH($F183,'#建筑消耗和buff配置索引'!$M:$M,0)))</f>
        <v/>
      </c>
      <c r="BE183" s="133" t="str">
        <f>IF(BD183="","",INDEX('#建筑消耗和buff配置索引'!BX:BX,MATCH($F183,'#建筑消耗和buff配置索引'!$M:$M,0)))</f>
        <v/>
      </c>
      <c r="BI183" s="133">
        <v>9</v>
      </c>
    </row>
    <row r="184" spans="1:66" s="134" customFormat="1">
      <c r="A184" s="134">
        <v>2080001</v>
      </c>
      <c r="B184" s="134">
        <v>181</v>
      </c>
      <c r="C184" s="134">
        <v>208</v>
      </c>
      <c r="D184" s="134" t="s">
        <v>589</v>
      </c>
      <c r="E184" s="134">
        <v>1</v>
      </c>
      <c r="F184" s="134" t="str">
        <f t="shared" si="4"/>
        <v>城堡1</v>
      </c>
      <c r="H184" s="154"/>
      <c r="I184" s="134" t="s">
        <v>1205</v>
      </c>
      <c r="J184" s="155">
        <f>INDEX('#建筑消耗和buff配置索引'!AH:AH,MATCH($F184,'#建筑消耗和buff配置索引'!$M:$M,0))</f>
        <v>25</v>
      </c>
      <c r="K184" s="155">
        <f>INDEX('#建筑消耗和buff配置索引'!AA:AA,MATCH($F184,'#建筑消耗和buff配置索引'!$M:$M,0))</f>
        <v>0</v>
      </c>
      <c r="L184" s="155">
        <f>INDEX('#建筑消耗和buff配置索引'!AB:AB,MATCH($F184,'#建筑消耗和buff配置索引'!$M:$M,0))</f>
        <v>0</v>
      </c>
      <c r="M184" s="155">
        <f>INDEX('#建筑消耗和buff配置索引'!AC:AC,MATCH($F184,'#建筑消耗和buff配置索引'!$M:$M,0))</f>
        <v>0</v>
      </c>
      <c r="N184" s="155">
        <f>INDEX('#建筑消耗和buff配置索引'!AD:AD,MATCH($F184,'#建筑消耗和buff配置索引'!$M:$M,0))</f>
        <v>0</v>
      </c>
      <c r="O184" s="150" t="str">
        <f>IF(INDEX('#建筑消耗和buff配置索引'!T:T,MATCH($F184,'#建筑消耗和buff配置索引'!$M:$M,0))=0,"",INDEX('#建筑消耗和buff配置索引'!T:T,MATCH($F184,'#建筑消耗和buff配置索引'!$M:$M,0)))</f>
        <v/>
      </c>
      <c r="P184" s="134" t="str">
        <f>IF(INDEX('#建筑消耗和buff配置索引'!U:U,MATCH($F184,'#建筑消耗和buff配置索引'!$M:$M,0))=0,"",INDEX('#建筑消耗和buff配置索引'!U:U,MATCH($F184,'#建筑消耗和buff配置索引'!$M:$M,0)))</f>
        <v/>
      </c>
      <c r="Q184" s="133" t="str">
        <f>IF(INDEX('#建筑消耗和buff配置索引'!K:K,MATCH($F184,'#建筑消耗和buff配置索引'!$M:$M,0))=0,"",INDEX('#建筑消耗和buff配置索引'!K:K,MATCH($F184,'#建筑消耗和buff配置索引'!$M:$M,0)))</f>
        <v>201</v>
      </c>
      <c r="R184" s="133" t="str">
        <f>IF(INDEX('#建筑消耗和buff配置索引'!L:L,MATCH($F184,'#建筑消耗和buff配置索引'!$M:$M,0))=0,"",INDEX('#建筑消耗和buff配置索引'!L:L,MATCH($F184,'#建筑消耗和buff配置索引'!$M:$M,0)))</f>
        <v>1</v>
      </c>
      <c r="S184" s="134">
        <f>IF(INDEX('#建筑消耗和buff配置索引'!C:C,MATCH(F184,'#建筑消耗和buff配置索引'!M:M,0))=0,1,INDEX('#建筑消耗和buff配置索引'!C:C,MATCH(F184,'#建筑消耗和buff配置索引'!M:M,0)))</f>
        <v>1</v>
      </c>
      <c r="T184" s="134">
        <v>0</v>
      </c>
      <c r="U184" s="134">
        <v>0</v>
      </c>
      <c r="V184" s="133" t="str">
        <f>IF(E184=1,IF(INDEX('#建筑消耗和buff配置索引'!BY:BY,MATCH(D184,'#建筑消耗和buff配置索引'!A:A,0))=0,"",INDEX('#建筑消耗和buff配置索引'!BY:BY,MATCH(D184,'#建筑消耗和buff配置索引'!A:A,0))),"")</f>
        <v/>
      </c>
      <c r="W184" s="133" t="str">
        <f>IF(E184=1,IF(INDEX('#建筑消耗和buff配置索引'!BZ:BZ,MATCH(D184,'#建筑消耗和buff配置索引'!A:A,0))=0,"",INDEX('#建筑消耗和buff配置索引'!BZ:BZ,MATCH(D184,'#建筑消耗和buff配置索引'!A:A,0))),"")</f>
        <v/>
      </c>
      <c r="AA184" s="134">
        <f>INDEX('#建筑消耗和buff配置索引'!AO:AO,MATCH($F184,'#建筑消耗和buff配置索引'!$M:$M,0))</f>
        <v>0</v>
      </c>
      <c r="AB184" s="134" t="str">
        <f>IF(INDEX('#建筑消耗和buff配置索引'!AR:AR,MATCH($F184,'#建筑消耗和buff配置索引'!$M:$M,0))=0,"",INDEX('#建筑消耗和buff配置索引'!AR:AR,MATCH($F184,'#建筑消耗和buff配置索引'!$M:$M,0)))</f>
        <v/>
      </c>
      <c r="AC184" s="134" t="str">
        <f>IF(AB184="","",INDEX('#建筑消耗和buff配置索引'!AS:AS,MATCH($F184,'#建筑消耗和buff配置索引'!$M:$M,0)))</f>
        <v/>
      </c>
      <c r="AF184" s="134" t="str">
        <f>IF(INDEX('#建筑消耗和buff配置索引'!AW:AW,MATCH($F184,'#建筑消耗和buff配置索引'!$M:$M,0))=0,"",INDEX('#建筑消耗和buff配置索引'!AW:AW,MATCH($F184,'#建筑消耗和buff配置索引'!$M:$M,0)))</f>
        <v/>
      </c>
      <c r="AG184" s="134" t="str">
        <f>IF(AF184="","",INDEX('#建筑消耗和buff配置索引'!AX:AX,MATCH($F184,'#建筑消耗和buff配置索引'!$M:$M,0)))</f>
        <v/>
      </c>
      <c r="AJ184" s="133" t="str">
        <f>IF(INDEX('#建筑消耗和buff配置索引'!BB:BB,MATCH($F184,'#建筑消耗和buff配置索引'!$M:$M,0))=0,"",INDEX('#建筑消耗和buff配置索引'!BB:BB,MATCH($F184,'#建筑消耗和buff配置索引'!$M:$M,0)))</f>
        <v/>
      </c>
      <c r="AK184" s="133" t="str">
        <f>IF(AJ184="","",INDEX('#建筑消耗和buff配置索引'!BC:BC,MATCH($F184,'#建筑消耗和buff配置索引'!$M:$M,0)))</f>
        <v/>
      </c>
      <c r="AL184" s="133"/>
      <c r="AM184" s="133"/>
      <c r="AN184" s="133" t="str">
        <f>IF(INDEX('#建筑消耗和buff配置索引'!BG:BG,MATCH($F184,'#建筑消耗和buff配置索引'!$M:$M,0))=0,"",INDEX('#建筑消耗和buff配置索引'!BG:BG,MATCH($F184,'#建筑消耗和buff配置索引'!$M:$M,0)))</f>
        <v/>
      </c>
      <c r="AO184" s="133" t="str">
        <f>IF(AN184="","",INDEX('#建筑消耗和buff配置索引'!BH:BH,MATCH($F184,'#建筑消耗和buff配置索引'!$M:$M,0)))</f>
        <v/>
      </c>
      <c r="AP184" s="133"/>
      <c r="AQ184" s="133"/>
      <c r="AR184" s="133" t="str">
        <f>IF(INDEX('#建筑消耗和buff配置索引'!BK:BK,MATCH($F184,'#建筑消耗和buff配置索引'!$M:$M,0))=0,"",INDEX('#建筑消耗和buff配置索引'!BK:BK,MATCH($F184,'#建筑消耗和buff配置索引'!$M:$M,0)))</f>
        <v/>
      </c>
      <c r="AS184" s="133" t="str">
        <f>IF(AR184="","",INDEX('#建筑消耗和buff配置索引'!BL:BL,MATCH($F184,'#建筑消耗和buff配置索引'!$M:$M,0)))</f>
        <v/>
      </c>
      <c r="AT184" s="133"/>
      <c r="AU184" s="133"/>
      <c r="AV184" s="133" t="str">
        <f>IF(INDEX('#建筑消耗和buff配置索引'!BO:BO,MATCH($F184,'#建筑消耗和buff配置索引'!$M:$M,0))=0,"",INDEX('#建筑消耗和buff配置索引'!BO:BO,MATCH($F184,'#建筑消耗和buff配置索引'!$M:$M,0)))</f>
        <v/>
      </c>
      <c r="AW184" s="133" t="str">
        <f>IF(AV184="","",INDEX('#建筑消耗和buff配置索引'!BP:BP,MATCH($F184,'#建筑消耗和buff配置索引'!$M:$M,0)))</f>
        <v/>
      </c>
      <c r="AX184" s="133"/>
      <c r="AY184" s="133"/>
      <c r="AZ184" s="133" t="str">
        <f>IF(INDEX('#建筑消耗和buff配置索引'!BS:BS,MATCH($F184,'#建筑消耗和buff配置索引'!$M:$M,0))=0,"",INDEX('#建筑消耗和buff配置索引'!BS:BS,MATCH($F184,'#建筑消耗和buff配置索引'!$M:$M,0)))</f>
        <v/>
      </c>
      <c r="BA184" s="133" t="str">
        <f>IF(AZ184="","",INDEX('#建筑消耗和buff配置索引'!BT:BT,MATCH($F184,'#建筑消耗和buff配置索引'!$M:$M,0)))</f>
        <v/>
      </c>
      <c r="BB184" s="133"/>
      <c r="BC184" s="133"/>
      <c r="BD184" s="133" t="str">
        <f>IF(INDEX('#建筑消耗和buff配置索引'!BW:BW,MATCH($F184,'#建筑消耗和buff配置索引'!$M:$M,0))=0,"",INDEX('#建筑消耗和buff配置索引'!BW:BW,MATCH($F184,'#建筑消耗和buff配置索引'!$M:$M,0)))</f>
        <v/>
      </c>
      <c r="BE184" s="133" t="str">
        <f>IF(BD184="","",INDEX('#建筑消耗和buff配置索引'!BX:BX,MATCH($F184,'#建筑消耗和buff配置索引'!$M:$M,0)))</f>
        <v/>
      </c>
      <c r="BF184" s="133"/>
      <c r="BG184" s="133"/>
      <c r="BI184" s="134">
        <v>26</v>
      </c>
    </row>
    <row r="185" spans="1:66" s="133" customFormat="1">
      <c r="A185" s="133">
        <v>2090001</v>
      </c>
      <c r="B185" s="133">
        <v>182</v>
      </c>
      <c r="C185" s="133">
        <v>209</v>
      </c>
      <c r="D185" s="133" t="s">
        <v>344</v>
      </c>
      <c r="E185" s="133">
        <v>1</v>
      </c>
      <c r="F185" s="133" t="str">
        <f t="shared" ref="F185:F248" si="5">D185&amp;E185</f>
        <v>马厩1</v>
      </c>
      <c r="H185" s="146"/>
      <c r="I185" s="133" t="s">
        <v>1205</v>
      </c>
      <c r="J185" s="150">
        <f>INDEX('#建筑消耗和buff配置索引'!AH:AH,MATCH($F185,'#建筑消耗和buff配置索引'!$M:$M,0))</f>
        <v>25</v>
      </c>
      <c r="K185" s="150">
        <f>INDEX('#建筑消耗和buff配置索引'!AA:AA,MATCH($F185,'#建筑消耗和buff配置索引'!$M:$M,0))</f>
        <v>0</v>
      </c>
      <c r="L185" s="150">
        <f>INDEX('#建筑消耗和buff配置索引'!AB:AB,MATCH($F185,'#建筑消耗和buff配置索引'!$M:$M,0))</f>
        <v>0</v>
      </c>
      <c r="M185" s="150">
        <f>INDEX('#建筑消耗和buff配置索引'!AC:AC,MATCH($F185,'#建筑消耗和buff配置索引'!$M:$M,0))</f>
        <v>0</v>
      </c>
      <c r="N185" s="150">
        <f>INDEX('#建筑消耗和buff配置索引'!AD:AD,MATCH($F185,'#建筑消耗和buff配置索引'!$M:$M,0))</f>
        <v>0</v>
      </c>
      <c r="O185" s="150" t="str">
        <f>IF(INDEX('#建筑消耗和buff配置索引'!T:T,MATCH($F185,'#建筑消耗和buff配置索引'!$M:$M,0))=0,"",INDEX('#建筑消耗和buff配置索引'!T:T,MATCH($F185,'#建筑消耗和buff配置索引'!$M:$M,0)))</f>
        <v/>
      </c>
      <c r="P185" s="133" t="str">
        <f>IF(INDEX('#建筑消耗和buff配置索引'!U:U,MATCH($F185,'#建筑消耗和buff配置索引'!$M:$M,0))=0,"",INDEX('#建筑消耗和buff配置索引'!U:U,MATCH($F185,'#建筑消耗和buff配置索引'!$M:$M,0)))</f>
        <v/>
      </c>
      <c r="Q185" s="133" t="str">
        <f>IF(INDEX('#建筑消耗和buff配置索引'!K:K,MATCH($F185,'#建筑消耗和buff配置索引'!$M:$M,0))=0,"",INDEX('#建筑消耗和buff配置索引'!K:K,MATCH($F185,'#建筑消耗和buff配置索引'!$M:$M,0)))</f>
        <v>201</v>
      </c>
      <c r="R185" s="133" t="str">
        <f>IF(INDEX('#建筑消耗和buff配置索引'!L:L,MATCH($F185,'#建筑消耗和buff配置索引'!$M:$M,0))=0,"",INDEX('#建筑消耗和buff配置索引'!L:L,MATCH($F185,'#建筑消耗和buff配置索引'!$M:$M,0)))</f>
        <v>4</v>
      </c>
      <c r="S185" s="133">
        <f>IF(INDEX('#建筑消耗和buff配置索引'!C:C,MATCH(F185,'#建筑消耗和buff配置索引'!M:M,0))=0,1,INDEX('#建筑消耗和buff配置索引'!C:C,MATCH(F185,'#建筑消耗和buff配置索引'!M:M,0)))</f>
        <v>2</v>
      </c>
      <c r="T185" s="133">
        <v>0</v>
      </c>
      <c r="U185" s="133">
        <v>0</v>
      </c>
      <c r="V185" s="133" t="str">
        <f>IF(E185=1,IF(INDEX('#建筑消耗和buff配置索引'!BY:BY,MATCH(D185,'#建筑消耗和buff配置索引'!A:A,0))=0,"",INDEX('#建筑消耗和buff配置索引'!BY:BY,MATCH(D185,'#建筑消耗和buff配置索引'!A:A,0))),"")</f>
        <v>1:2</v>
      </c>
      <c r="W185" s="133" t="str">
        <f>IF(E185=1,IF(INDEX('#建筑消耗和buff配置索引'!BZ:BZ,MATCH(D185,'#建筑消耗和buff配置索引'!A:A,0))=0,"",INDEX('#建筑消耗和buff配置索引'!BZ:BZ,MATCH(D185,'#建筑消耗和buff配置索引'!A:A,0))),"")</f>
        <v>TID_Buff_BuilDetail_3000:TID_Buff_BuilDetail_3014</v>
      </c>
      <c r="AA185" s="133">
        <f>INDEX('#建筑消耗和buff配置索引'!AO:AO,MATCH($F185,'#建筑消耗和buff配置索引'!$M:$M,0))</f>
        <v>3</v>
      </c>
      <c r="AB185" s="133">
        <f>IF(INDEX('#建筑消耗和buff配置索引'!AR:AR,MATCH($F185,'#建筑消耗和buff配置索引'!$M:$M,0))=0,"",INDEX('#建筑消耗和buff配置索引'!AR:AR,MATCH($F185,'#建筑消耗和buff配置索引'!$M:$M,0)))</f>
        <v>3000</v>
      </c>
      <c r="AC185" s="133">
        <f>IF(AB185="","",INDEX('#建筑消耗和buff配置索引'!AS:AS,MATCH($F185,'#建筑消耗和buff配置索引'!$M:$M,0)))</f>
        <v>2E-3</v>
      </c>
      <c r="AF185" s="133">
        <f>IF(INDEX('#建筑消耗和buff配置索引'!AW:AW,MATCH($F185,'#建筑消耗和buff配置索引'!$M:$M,0))=0,"",INDEX('#建筑消耗和buff配置索引'!AW:AW,MATCH($F185,'#建筑消耗和buff配置索引'!$M:$M,0)))</f>
        <v>3014</v>
      </c>
      <c r="AG185" s="133">
        <f>IF(AF185="","",INDEX('#建筑消耗和buff配置索引'!AX:AX,MATCH($F185,'#建筑消耗和buff配置索引'!$M:$M,0)))</f>
        <v>20</v>
      </c>
      <c r="AJ185" s="133" t="str">
        <f>IF(INDEX('#建筑消耗和buff配置索引'!BB:BB,MATCH($F185,'#建筑消耗和buff配置索引'!$M:$M,0))=0,"",INDEX('#建筑消耗和buff配置索引'!BB:BB,MATCH($F185,'#建筑消耗和buff配置索引'!$M:$M,0)))</f>
        <v/>
      </c>
      <c r="AK185" s="133" t="str">
        <f>IF(AJ185="","",INDEX('#建筑消耗和buff配置索引'!BC:BC,MATCH($F185,'#建筑消耗和buff配置索引'!$M:$M,0)))</f>
        <v/>
      </c>
      <c r="AN185" s="133" t="str">
        <f>IF(INDEX('#建筑消耗和buff配置索引'!BG:BG,MATCH($F185,'#建筑消耗和buff配置索引'!$M:$M,0))=0,"",INDEX('#建筑消耗和buff配置索引'!BG:BG,MATCH($F185,'#建筑消耗和buff配置索引'!$M:$M,0)))</f>
        <v/>
      </c>
      <c r="AO185" s="133" t="str">
        <f>IF(AN185="","",INDEX('#建筑消耗和buff配置索引'!BH:BH,MATCH($F185,'#建筑消耗和buff配置索引'!$M:$M,0)))</f>
        <v/>
      </c>
      <c r="AR185" s="133" t="str">
        <f>IF(INDEX('#建筑消耗和buff配置索引'!BK:BK,MATCH($F185,'#建筑消耗和buff配置索引'!$M:$M,0))=0,"",INDEX('#建筑消耗和buff配置索引'!BK:BK,MATCH($F185,'#建筑消耗和buff配置索引'!$M:$M,0)))</f>
        <v/>
      </c>
      <c r="AS185" s="133" t="str">
        <f>IF(AR185="","",INDEX('#建筑消耗和buff配置索引'!BL:BL,MATCH($F185,'#建筑消耗和buff配置索引'!$M:$M,0)))</f>
        <v/>
      </c>
      <c r="AV185" s="133" t="str">
        <f>IF(INDEX('#建筑消耗和buff配置索引'!BO:BO,MATCH($F185,'#建筑消耗和buff配置索引'!$M:$M,0))=0,"",INDEX('#建筑消耗和buff配置索引'!BO:BO,MATCH($F185,'#建筑消耗和buff配置索引'!$M:$M,0)))</f>
        <v/>
      </c>
      <c r="AW185" s="133" t="str">
        <f>IF(AV185="","",INDEX('#建筑消耗和buff配置索引'!BP:BP,MATCH($F185,'#建筑消耗和buff配置索引'!$M:$M,0)))</f>
        <v/>
      </c>
      <c r="AZ185" s="133" t="str">
        <f>IF(INDEX('#建筑消耗和buff配置索引'!BS:BS,MATCH($F185,'#建筑消耗和buff配置索引'!$M:$M,0))=0,"",INDEX('#建筑消耗和buff配置索引'!BS:BS,MATCH($F185,'#建筑消耗和buff配置索引'!$M:$M,0)))</f>
        <v/>
      </c>
      <c r="BA185" s="133" t="str">
        <f>IF(AZ185="","",INDEX('#建筑消耗和buff配置索引'!BT:BT,MATCH($F185,'#建筑消耗和buff配置索引'!$M:$M,0)))</f>
        <v/>
      </c>
      <c r="BD185" s="133" t="str">
        <f>IF(INDEX('#建筑消耗和buff配置索引'!BW:BW,MATCH($F185,'#建筑消耗和buff配置索引'!$M:$M,0))=0,"",INDEX('#建筑消耗和buff配置索引'!BW:BW,MATCH($F185,'#建筑消耗和buff配置索引'!$M:$M,0)))</f>
        <v/>
      </c>
      <c r="BE185" s="133" t="str">
        <f>IF(BD185="","",INDEX('#建筑消耗和buff配置索引'!BX:BX,MATCH($F185,'#建筑消耗和buff配置索引'!$M:$M,0)))</f>
        <v/>
      </c>
      <c r="BI185" s="133">
        <v>11</v>
      </c>
      <c r="BN185" s="133">
        <v>3</v>
      </c>
    </row>
    <row r="186" spans="1:66" s="133" customFormat="1">
      <c r="A186" s="133">
        <v>2090002</v>
      </c>
      <c r="B186" s="133">
        <v>183</v>
      </c>
      <c r="C186" s="133">
        <v>209</v>
      </c>
      <c r="D186" s="133" t="s">
        <v>344</v>
      </c>
      <c r="E186" s="133">
        <v>2</v>
      </c>
      <c r="F186" s="133" t="str">
        <f t="shared" si="5"/>
        <v>马厩2</v>
      </c>
      <c r="H186" s="146"/>
      <c r="I186" s="133" t="s">
        <v>1205</v>
      </c>
      <c r="J186" s="150">
        <f>INDEX('#建筑消耗和buff配置索引'!AH:AH,MATCH($F186,'#建筑消耗和buff配置索引'!$M:$M,0))</f>
        <v>54</v>
      </c>
      <c r="K186" s="150">
        <f>INDEX('#建筑消耗和buff配置索引'!AA:AA,MATCH($F186,'#建筑消耗和buff配置索引'!$M:$M,0))</f>
        <v>1500</v>
      </c>
      <c r="L186" s="150">
        <f>INDEX('#建筑消耗和buff配置索引'!AB:AB,MATCH($F186,'#建筑消耗和buff配置索引'!$M:$M,0))</f>
        <v>1500</v>
      </c>
      <c r="M186" s="150">
        <f>INDEX('#建筑消耗和buff配置索引'!AC:AC,MATCH($F186,'#建筑消耗和buff配置索引'!$M:$M,0))</f>
        <v>0</v>
      </c>
      <c r="N186" s="150">
        <f>INDEX('#建筑消耗和buff配置索引'!AD:AD,MATCH($F186,'#建筑消耗和buff配置索引'!$M:$M,0))</f>
        <v>0</v>
      </c>
      <c r="O186" s="150" t="str">
        <f>IF(INDEX('#建筑消耗和buff配置索引'!T:T,MATCH($F186,'#建筑消耗和buff配置索引'!$M:$M,0))=0,"",INDEX('#建筑消耗和buff配置索引'!T:T,MATCH($F186,'#建筑消耗和buff配置索引'!$M:$M,0)))</f>
        <v/>
      </c>
      <c r="P186" s="133" t="str">
        <f>IF(INDEX('#建筑消耗和buff配置索引'!U:U,MATCH($F186,'#建筑消耗和buff配置索引'!$M:$M,0))=0,"",INDEX('#建筑消耗和buff配置索引'!U:U,MATCH($F186,'#建筑消耗和buff配置索引'!$M:$M,0)))</f>
        <v/>
      </c>
      <c r="Q186" s="133" t="str">
        <f>IF(INDEX('#建筑消耗和buff配置索引'!K:K,MATCH($F186,'#建筑消耗和buff配置索引'!$M:$M,0))=0,"",INDEX('#建筑消耗和buff配置索引'!K:K,MATCH($F186,'#建筑消耗和buff配置索引'!$M:$M,0)))</f>
        <v>201</v>
      </c>
      <c r="R186" s="133" t="str">
        <f>IF(INDEX('#建筑消耗和buff配置索引'!L:L,MATCH($F186,'#建筑消耗和buff配置索引'!$M:$M,0))=0,"",INDEX('#建筑消耗和buff配置索引'!L:L,MATCH($F186,'#建筑消耗和buff配置索引'!$M:$M,0)))</f>
        <v>4</v>
      </c>
      <c r="S186" s="133">
        <f>IF(INDEX('#建筑消耗和buff配置索引'!C:C,MATCH(F186,'#建筑消耗和buff配置索引'!M:M,0))=0,1,INDEX('#建筑消耗和buff配置索引'!C:C,MATCH(F186,'#建筑消耗和buff配置索引'!M:M,0)))</f>
        <v>2</v>
      </c>
      <c r="T186" s="133">
        <v>0</v>
      </c>
      <c r="U186" s="133">
        <v>0</v>
      </c>
      <c r="V186" s="133" t="str">
        <f>IF(E186=1,IF(INDEX('#建筑消耗和buff配置索引'!BY:BY,MATCH(D186,'#建筑消耗和buff配置索引'!A:A,0))=0,"",INDEX('#建筑消耗和buff配置索引'!BY:BY,MATCH(D186,'#建筑消耗和buff配置索引'!A:A,0))),"")</f>
        <v/>
      </c>
      <c r="W186" s="133" t="str">
        <f>IF(E186=1,IF(INDEX('#建筑消耗和buff配置索引'!BZ:BZ,MATCH(D186,'#建筑消耗和buff配置索引'!A:A,0))=0,"",INDEX('#建筑消耗和buff配置索引'!BZ:BZ,MATCH(D186,'#建筑消耗和buff配置索引'!A:A,0))),"")</f>
        <v/>
      </c>
      <c r="AA186" s="133">
        <f>INDEX('#建筑消耗和buff配置索引'!AO:AO,MATCH($F186,'#建筑消耗和buff配置索引'!$M:$M,0))</f>
        <v>9</v>
      </c>
      <c r="AB186" s="133">
        <f>IF(INDEX('#建筑消耗和buff配置索引'!AR:AR,MATCH($F186,'#建筑消耗和buff配置索引'!$M:$M,0))=0,"",INDEX('#建筑消耗和buff配置索引'!AR:AR,MATCH($F186,'#建筑消耗和buff配置索引'!$M:$M,0)))</f>
        <v>3000</v>
      </c>
      <c r="AC186" s="133">
        <f>IF(AB186="","",INDEX('#建筑消耗和buff配置索引'!AS:AS,MATCH($F186,'#建筑消耗和buff配置索引'!$M:$M,0)))</f>
        <v>5.0000000000000001E-3</v>
      </c>
      <c r="AF186" s="133">
        <f>IF(INDEX('#建筑消耗和buff配置索引'!AW:AW,MATCH($F186,'#建筑消耗和buff配置索引'!$M:$M,0))=0,"",INDEX('#建筑消耗和buff配置索引'!AW:AW,MATCH($F186,'#建筑消耗和buff配置索引'!$M:$M,0)))</f>
        <v>3014</v>
      </c>
      <c r="AG186" s="133">
        <f>IF(AF186="","",INDEX('#建筑消耗和buff配置索引'!AX:AX,MATCH($F186,'#建筑消耗和buff配置索引'!$M:$M,0)))</f>
        <v>50</v>
      </c>
      <c r="AJ186" s="133" t="str">
        <f>IF(INDEX('#建筑消耗和buff配置索引'!BB:BB,MATCH($F186,'#建筑消耗和buff配置索引'!$M:$M,0))=0,"",INDEX('#建筑消耗和buff配置索引'!BB:BB,MATCH($F186,'#建筑消耗和buff配置索引'!$M:$M,0)))</f>
        <v/>
      </c>
      <c r="AK186" s="133" t="str">
        <f>IF(AJ186="","",INDEX('#建筑消耗和buff配置索引'!BC:BC,MATCH($F186,'#建筑消耗和buff配置索引'!$M:$M,0)))</f>
        <v/>
      </c>
      <c r="AN186" s="133" t="str">
        <f>IF(INDEX('#建筑消耗和buff配置索引'!BG:BG,MATCH($F186,'#建筑消耗和buff配置索引'!$M:$M,0))=0,"",INDEX('#建筑消耗和buff配置索引'!BG:BG,MATCH($F186,'#建筑消耗和buff配置索引'!$M:$M,0)))</f>
        <v/>
      </c>
      <c r="AO186" s="133" t="str">
        <f>IF(AN186="","",INDEX('#建筑消耗和buff配置索引'!BH:BH,MATCH($F186,'#建筑消耗和buff配置索引'!$M:$M,0)))</f>
        <v/>
      </c>
      <c r="AR186" s="133" t="str">
        <f>IF(INDEX('#建筑消耗和buff配置索引'!BK:BK,MATCH($F186,'#建筑消耗和buff配置索引'!$M:$M,0))=0,"",INDEX('#建筑消耗和buff配置索引'!BK:BK,MATCH($F186,'#建筑消耗和buff配置索引'!$M:$M,0)))</f>
        <v/>
      </c>
      <c r="AS186" s="133" t="str">
        <f>IF(AR186="","",INDEX('#建筑消耗和buff配置索引'!BL:BL,MATCH($F186,'#建筑消耗和buff配置索引'!$M:$M,0)))</f>
        <v/>
      </c>
      <c r="AV186" s="133" t="str">
        <f>IF(INDEX('#建筑消耗和buff配置索引'!BO:BO,MATCH($F186,'#建筑消耗和buff配置索引'!$M:$M,0))=0,"",INDEX('#建筑消耗和buff配置索引'!BO:BO,MATCH($F186,'#建筑消耗和buff配置索引'!$M:$M,0)))</f>
        <v/>
      </c>
      <c r="AW186" s="133" t="str">
        <f>IF(AV186="","",INDEX('#建筑消耗和buff配置索引'!BP:BP,MATCH($F186,'#建筑消耗和buff配置索引'!$M:$M,0)))</f>
        <v/>
      </c>
      <c r="AZ186" s="133" t="str">
        <f>IF(INDEX('#建筑消耗和buff配置索引'!BS:BS,MATCH($F186,'#建筑消耗和buff配置索引'!$M:$M,0))=0,"",INDEX('#建筑消耗和buff配置索引'!BS:BS,MATCH($F186,'#建筑消耗和buff配置索引'!$M:$M,0)))</f>
        <v/>
      </c>
      <c r="BA186" s="133" t="str">
        <f>IF(AZ186="","",INDEX('#建筑消耗和buff配置索引'!BT:BT,MATCH($F186,'#建筑消耗和buff配置索引'!$M:$M,0)))</f>
        <v/>
      </c>
      <c r="BD186" s="133" t="str">
        <f>IF(INDEX('#建筑消耗和buff配置索引'!BW:BW,MATCH($F186,'#建筑消耗和buff配置索引'!$M:$M,0))=0,"",INDEX('#建筑消耗和buff配置索引'!BW:BW,MATCH($F186,'#建筑消耗和buff配置索引'!$M:$M,0)))</f>
        <v/>
      </c>
      <c r="BE186" s="133" t="str">
        <f>IF(BD186="","",INDEX('#建筑消耗和buff配置索引'!BX:BX,MATCH($F186,'#建筑消耗和buff配置索引'!$M:$M,0)))</f>
        <v/>
      </c>
      <c r="BI186" s="133">
        <v>11</v>
      </c>
    </row>
    <row r="187" spans="1:66" s="133" customFormat="1">
      <c r="A187" s="133">
        <v>2090003</v>
      </c>
      <c r="B187" s="133">
        <v>184</v>
      </c>
      <c r="C187" s="133">
        <v>209</v>
      </c>
      <c r="D187" s="133" t="s">
        <v>344</v>
      </c>
      <c r="E187" s="133">
        <v>3</v>
      </c>
      <c r="F187" s="133" t="str">
        <f t="shared" si="5"/>
        <v>马厩3</v>
      </c>
      <c r="H187" s="146"/>
      <c r="I187" s="133" t="s">
        <v>1205</v>
      </c>
      <c r="J187" s="150">
        <f>INDEX('#建筑消耗和buff配置索引'!AH:AH,MATCH($F187,'#建筑消耗和buff配置索引'!$M:$M,0))</f>
        <v>108</v>
      </c>
      <c r="K187" s="150">
        <f>INDEX('#建筑消耗和buff配置索引'!AA:AA,MATCH($F187,'#建筑消耗和buff配置索引'!$M:$M,0))</f>
        <v>3000</v>
      </c>
      <c r="L187" s="150">
        <f>INDEX('#建筑消耗和buff配置索引'!AB:AB,MATCH($F187,'#建筑消耗和buff配置索引'!$M:$M,0))</f>
        <v>3000</v>
      </c>
      <c r="M187" s="150">
        <f>INDEX('#建筑消耗和buff配置索引'!AC:AC,MATCH($F187,'#建筑消耗和buff配置索引'!$M:$M,0))</f>
        <v>0</v>
      </c>
      <c r="N187" s="150">
        <f>INDEX('#建筑消耗和buff配置索引'!AD:AD,MATCH($F187,'#建筑消耗和buff配置索引'!$M:$M,0))</f>
        <v>0</v>
      </c>
      <c r="O187" s="150" t="str">
        <f>IF(INDEX('#建筑消耗和buff配置索引'!T:T,MATCH($F187,'#建筑消耗和buff配置索引'!$M:$M,0))=0,"",INDEX('#建筑消耗和buff配置索引'!T:T,MATCH($F187,'#建筑消耗和buff配置索引'!$M:$M,0)))</f>
        <v/>
      </c>
      <c r="P187" s="133" t="str">
        <f>IF(INDEX('#建筑消耗和buff配置索引'!U:U,MATCH($F187,'#建筑消耗和buff配置索引'!$M:$M,0))=0,"",INDEX('#建筑消耗和buff配置索引'!U:U,MATCH($F187,'#建筑消耗和buff配置索引'!$M:$M,0)))</f>
        <v/>
      </c>
      <c r="Q187" s="133" t="str">
        <f>IF(INDEX('#建筑消耗和buff配置索引'!K:K,MATCH($F187,'#建筑消耗和buff配置索引'!$M:$M,0))=0,"",INDEX('#建筑消耗和buff配置索引'!K:K,MATCH($F187,'#建筑消耗和buff配置索引'!$M:$M,0)))</f>
        <v>201</v>
      </c>
      <c r="R187" s="133" t="str">
        <f>IF(INDEX('#建筑消耗和buff配置索引'!L:L,MATCH($F187,'#建筑消耗和buff配置索引'!$M:$M,0))=0,"",INDEX('#建筑消耗和buff配置索引'!L:L,MATCH($F187,'#建筑消耗和buff配置索引'!$M:$M,0)))</f>
        <v>4</v>
      </c>
      <c r="S187" s="133">
        <f>IF(INDEX('#建筑消耗和buff配置索引'!C:C,MATCH(F187,'#建筑消耗和buff配置索引'!M:M,0))=0,1,INDEX('#建筑消耗和buff配置索引'!C:C,MATCH(F187,'#建筑消耗和buff配置索引'!M:M,0)))</f>
        <v>2</v>
      </c>
      <c r="T187" s="133">
        <v>0</v>
      </c>
      <c r="U187" s="133">
        <v>0</v>
      </c>
      <c r="V187" s="133" t="str">
        <f>IF(E187=1,IF(INDEX('#建筑消耗和buff配置索引'!BY:BY,MATCH(D187,'#建筑消耗和buff配置索引'!A:A,0))=0,"",INDEX('#建筑消耗和buff配置索引'!BY:BY,MATCH(D187,'#建筑消耗和buff配置索引'!A:A,0))),"")</f>
        <v/>
      </c>
      <c r="W187" s="133" t="str">
        <f>IF(E187=1,IF(INDEX('#建筑消耗和buff配置索引'!BZ:BZ,MATCH(D187,'#建筑消耗和buff配置索引'!A:A,0))=0,"",INDEX('#建筑消耗和buff配置索引'!BZ:BZ,MATCH(D187,'#建筑消耗和buff配置索引'!A:A,0))),"")</f>
        <v/>
      </c>
      <c r="AA187" s="133">
        <f>INDEX('#建筑消耗和buff配置索引'!AO:AO,MATCH($F187,'#建筑消耗和buff配置索引'!$M:$M,0))</f>
        <v>21</v>
      </c>
      <c r="AB187" s="133">
        <f>IF(INDEX('#建筑消耗和buff配置索引'!AR:AR,MATCH($F187,'#建筑消耗和buff配置索引'!$M:$M,0))=0,"",INDEX('#建筑消耗和buff配置索引'!AR:AR,MATCH($F187,'#建筑消耗和buff配置索引'!$M:$M,0)))</f>
        <v>3000</v>
      </c>
      <c r="AC187" s="133">
        <f>IF(AB187="","",INDEX('#建筑消耗和buff配置索引'!AS:AS,MATCH($F187,'#建筑消耗和buff配置索引'!$M:$M,0)))</f>
        <v>0.01</v>
      </c>
      <c r="AF187" s="133">
        <f>IF(INDEX('#建筑消耗和buff配置索引'!AW:AW,MATCH($F187,'#建筑消耗和buff配置索引'!$M:$M,0))=0,"",INDEX('#建筑消耗和buff配置索引'!AW:AW,MATCH($F187,'#建筑消耗和buff配置索引'!$M:$M,0)))</f>
        <v>3014</v>
      </c>
      <c r="AG187" s="133">
        <f>IF(AF187="","",INDEX('#建筑消耗和buff配置索引'!AX:AX,MATCH($F187,'#建筑消耗和buff配置索引'!$M:$M,0)))</f>
        <v>100</v>
      </c>
      <c r="AJ187" s="133" t="str">
        <f>IF(INDEX('#建筑消耗和buff配置索引'!BB:BB,MATCH($F187,'#建筑消耗和buff配置索引'!$M:$M,0))=0,"",INDEX('#建筑消耗和buff配置索引'!BB:BB,MATCH($F187,'#建筑消耗和buff配置索引'!$M:$M,0)))</f>
        <v/>
      </c>
      <c r="AK187" s="133" t="str">
        <f>IF(AJ187="","",INDEX('#建筑消耗和buff配置索引'!BC:BC,MATCH($F187,'#建筑消耗和buff配置索引'!$M:$M,0)))</f>
        <v/>
      </c>
      <c r="AN187" s="133" t="str">
        <f>IF(INDEX('#建筑消耗和buff配置索引'!BG:BG,MATCH($F187,'#建筑消耗和buff配置索引'!$M:$M,0))=0,"",INDEX('#建筑消耗和buff配置索引'!BG:BG,MATCH($F187,'#建筑消耗和buff配置索引'!$M:$M,0)))</f>
        <v/>
      </c>
      <c r="AO187" s="133" t="str">
        <f>IF(AN187="","",INDEX('#建筑消耗和buff配置索引'!BH:BH,MATCH($F187,'#建筑消耗和buff配置索引'!$M:$M,0)))</f>
        <v/>
      </c>
      <c r="AR187" s="133" t="str">
        <f>IF(INDEX('#建筑消耗和buff配置索引'!BK:BK,MATCH($F187,'#建筑消耗和buff配置索引'!$M:$M,0))=0,"",INDEX('#建筑消耗和buff配置索引'!BK:BK,MATCH($F187,'#建筑消耗和buff配置索引'!$M:$M,0)))</f>
        <v/>
      </c>
      <c r="AS187" s="133" t="str">
        <f>IF(AR187="","",INDEX('#建筑消耗和buff配置索引'!BL:BL,MATCH($F187,'#建筑消耗和buff配置索引'!$M:$M,0)))</f>
        <v/>
      </c>
      <c r="AV187" s="133" t="str">
        <f>IF(INDEX('#建筑消耗和buff配置索引'!BO:BO,MATCH($F187,'#建筑消耗和buff配置索引'!$M:$M,0))=0,"",INDEX('#建筑消耗和buff配置索引'!BO:BO,MATCH($F187,'#建筑消耗和buff配置索引'!$M:$M,0)))</f>
        <v/>
      </c>
      <c r="AW187" s="133" t="str">
        <f>IF(AV187="","",INDEX('#建筑消耗和buff配置索引'!BP:BP,MATCH($F187,'#建筑消耗和buff配置索引'!$M:$M,0)))</f>
        <v/>
      </c>
      <c r="AZ187" s="133" t="str">
        <f>IF(INDEX('#建筑消耗和buff配置索引'!BS:BS,MATCH($F187,'#建筑消耗和buff配置索引'!$M:$M,0))=0,"",INDEX('#建筑消耗和buff配置索引'!BS:BS,MATCH($F187,'#建筑消耗和buff配置索引'!$M:$M,0)))</f>
        <v/>
      </c>
      <c r="BA187" s="133" t="str">
        <f>IF(AZ187="","",INDEX('#建筑消耗和buff配置索引'!BT:BT,MATCH($F187,'#建筑消耗和buff配置索引'!$M:$M,0)))</f>
        <v/>
      </c>
      <c r="BD187" s="133" t="str">
        <f>IF(INDEX('#建筑消耗和buff配置索引'!BW:BW,MATCH($F187,'#建筑消耗和buff配置索引'!$M:$M,0))=0,"",INDEX('#建筑消耗和buff配置索引'!BW:BW,MATCH($F187,'#建筑消耗和buff配置索引'!$M:$M,0)))</f>
        <v/>
      </c>
      <c r="BE187" s="133" t="str">
        <f>IF(BD187="","",INDEX('#建筑消耗和buff配置索引'!BX:BX,MATCH($F187,'#建筑消耗和buff配置索引'!$M:$M,0)))</f>
        <v/>
      </c>
      <c r="BI187" s="133">
        <v>11</v>
      </c>
    </row>
    <row r="188" spans="1:66" s="133" customFormat="1">
      <c r="A188" s="133">
        <v>2090004</v>
      </c>
      <c r="B188" s="133">
        <v>185</v>
      </c>
      <c r="C188" s="133">
        <v>209</v>
      </c>
      <c r="D188" s="133" t="s">
        <v>344</v>
      </c>
      <c r="E188" s="133">
        <v>4</v>
      </c>
      <c r="F188" s="133" t="str">
        <f t="shared" si="5"/>
        <v>马厩4</v>
      </c>
      <c r="H188" s="146"/>
      <c r="I188" s="133" t="s">
        <v>1205</v>
      </c>
      <c r="J188" s="150">
        <f>INDEX('#建筑消耗和buff配置索引'!AH:AH,MATCH($F188,'#建筑消耗和buff配置索引'!$M:$M,0))</f>
        <v>216</v>
      </c>
      <c r="K188" s="150">
        <f>INDEX('#建筑消耗和buff配置索引'!AA:AA,MATCH($F188,'#建筑消耗和buff配置索引'!$M:$M,0))</f>
        <v>6000</v>
      </c>
      <c r="L188" s="150">
        <f>INDEX('#建筑消耗和buff配置索引'!AB:AB,MATCH($F188,'#建筑消耗和buff配置索引'!$M:$M,0))</f>
        <v>6000</v>
      </c>
      <c r="M188" s="150">
        <f>INDEX('#建筑消耗和buff配置索引'!AC:AC,MATCH($F188,'#建筑消耗和buff配置索引'!$M:$M,0))</f>
        <v>0</v>
      </c>
      <c r="N188" s="150">
        <f>INDEX('#建筑消耗和buff配置索引'!AD:AD,MATCH($F188,'#建筑消耗和buff配置索引'!$M:$M,0))</f>
        <v>0</v>
      </c>
      <c r="O188" s="150" t="str">
        <f>IF(INDEX('#建筑消耗和buff配置索引'!T:T,MATCH($F188,'#建筑消耗和buff配置索引'!$M:$M,0))=0,"",INDEX('#建筑消耗和buff配置索引'!T:T,MATCH($F188,'#建筑消耗和buff配置索引'!$M:$M,0)))</f>
        <v/>
      </c>
      <c r="P188" s="133" t="str">
        <f>IF(INDEX('#建筑消耗和buff配置索引'!U:U,MATCH($F188,'#建筑消耗和buff配置索引'!$M:$M,0))=0,"",INDEX('#建筑消耗和buff配置索引'!U:U,MATCH($F188,'#建筑消耗和buff配置索引'!$M:$M,0)))</f>
        <v/>
      </c>
      <c r="Q188" s="133" t="str">
        <f>IF(INDEX('#建筑消耗和buff配置索引'!K:K,MATCH($F188,'#建筑消耗和buff配置索引'!$M:$M,0))=0,"",INDEX('#建筑消耗和buff配置索引'!K:K,MATCH($F188,'#建筑消耗和buff配置索引'!$M:$M,0)))</f>
        <v>201</v>
      </c>
      <c r="R188" s="133" t="str">
        <f>IF(INDEX('#建筑消耗和buff配置索引'!L:L,MATCH($F188,'#建筑消耗和buff配置索引'!$M:$M,0))=0,"",INDEX('#建筑消耗和buff配置索引'!L:L,MATCH($F188,'#建筑消耗和buff配置索引'!$M:$M,0)))</f>
        <v>4</v>
      </c>
      <c r="S188" s="133">
        <f>IF(INDEX('#建筑消耗和buff配置索引'!C:C,MATCH(F188,'#建筑消耗和buff配置索引'!M:M,0))=0,1,INDEX('#建筑消耗和buff配置索引'!C:C,MATCH(F188,'#建筑消耗和buff配置索引'!M:M,0)))</f>
        <v>2</v>
      </c>
      <c r="T188" s="133">
        <v>0</v>
      </c>
      <c r="U188" s="133">
        <v>0</v>
      </c>
      <c r="V188" s="133" t="str">
        <f>IF(E188=1,IF(INDEX('#建筑消耗和buff配置索引'!BY:BY,MATCH(D188,'#建筑消耗和buff配置索引'!A:A,0))=0,"",INDEX('#建筑消耗和buff配置索引'!BY:BY,MATCH(D188,'#建筑消耗和buff配置索引'!A:A,0))),"")</f>
        <v/>
      </c>
      <c r="W188" s="133" t="str">
        <f>IF(E188=1,IF(INDEX('#建筑消耗和buff配置索引'!BZ:BZ,MATCH(D188,'#建筑消耗和buff配置索引'!A:A,0))=0,"",INDEX('#建筑消耗和buff配置索引'!BZ:BZ,MATCH(D188,'#建筑消耗和buff配置索引'!A:A,0))),"")</f>
        <v/>
      </c>
      <c r="AA188" s="133">
        <f>INDEX('#建筑消耗和buff配置索引'!AO:AO,MATCH($F188,'#建筑消耗和buff配置索引'!$M:$M,0))</f>
        <v>45</v>
      </c>
      <c r="AB188" s="133">
        <f>IF(INDEX('#建筑消耗和buff配置索引'!AR:AR,MATCH($F188,'#建筑消耗和buff配置索引'!$M:$M,0))=0,"",INDEX('#建筑消耗和buff配置索引'!AR:AR,MATCH($F188,'#建筑消耗和buff配置索引'!$M:$M,0)))</f>
        <v>3000</v>
      </c>
      <c r="AC188" s="133">
        <f>IF(AB188="","",INDEX('#建筑消耗和buff配置索引'!AS:AS,MATCH($F188,'#建筑消耗和buff配置索引'!$M:$M,0)))</f>
        <v>1.4999999999999999E-2</v>
      </c>
      <c r="AF188" s="133">
        <f>IF(INDEX('#建筑消耗和buff配置索引'!AW:AW,MATCH($F188,'#建筑消耗和buff配置索引'!$M:$M,0))=0,"",INDEX('#建筑消耗和buff配置索引'!AW:AW,MATCH($F188,'#建筑消耗和buff配置索引'!$M:$M,0)))</f>
        <v>3014</v>
      </c>
      <c r="AG188" s="133">
        <f>IF(AF188="","",INDEX('#建筑消耗和buff配置索引'!AX:AX,MATCH($F188,'#建筑消耗和buff配置索引'!$M:$M,0)))</f>
        <v>150</v>
      </c>
      <c r="AJ188" s="133" t="str">
        <f>IF(INDEX('#建筑消耗和buff配置索引'!BB:BB,MATCH($F188,'#建筑消耗和buff配置索引'!$M:$M,0))=0,"",INDEX('#建筑消耗和buff配置索引'!BB:BB,MATCH($F188,'#建筑消耗和buff配置索引'!$M:$M,0)))</f>
        <v/>
      </c>
      <c r="AK188" s="133" t="str">
        <f>IF(AJ188="","",INDEX('#建筑消耗和buff配置索引'!BC:BC,MATCH($F188,'#建筑消耗和buff配置索引'!$M:$M,0)))</f>
        <v/>
      </c>
      <c r="AN188" s="133" t="str">
        <f>IF(INDEX('#建筑消耗和buff配置索引'!BG:BG,MATCH($F188,'#建筑消耗和buff配置索引'!$M:$M,0))=0,"",INDEX('#建筑消耗和buff配置索引'!BG:BG,MATCH($F188,'#建筑消耗和buff配置索引'!$M:$M,0)))</f>
        <v/>
      </c>
      <c r="AO188" s="133" t="str">
        <f>IF(AN188="","",INDEX('#建筑消耗和buff配置索引'!BH:BH,MATCH($F188,'#建筑消耗和buff配置索引'!$M:$M,0)))</f>
        <v/>
      </c>
      <c r="AR188" s="133" t="str">
        <f>IF(INDEX('#建筑消耗和buff配置索引'!BK:BK,MATCH($F188,'#建筑消耗和buff配置索引'!$M:$M,0))=0,"",INDEX('#建筑消耗和buff配置索引'!BK:BK,MATCH($F188,'#建筑消耗和buff配置索引'!$M:$M,0)))</f>
        <v/>
      </c>
      <c r="AS188" s="133" t="str">
        <f>IF(AR188="","",INDEX('#建筑消耗和buff配置索引'!BL:BL,MATCH($F188,'#建筑消耗和buff配置索引'!$M:$M,0)))</f>
        <v/>
      </c>
      <c r="AV188" s="133" t="str">
        <f>IF(INDEX('#建筑消耗和buff配置索引'!BO:BO,MATCH($F188,'#建筑消耗和buff配置索引'!$M:$M,0))=0,"",INDEX('#建筑消耗和buff配置索引'!BO:BO,MATCH($F188,'#建筑消耗和buff配置索引'!$M:$M,0)))</f>
        <v/>
      </c>
      <c r="AW188" s="133" t="str">
        <f>IF(AV188="","",INDEX('#建筑消耗和buff配置索引'!BP:BP,MATCH($F188,'#建筑消耗和buff配置索引'!$M:$M,0)))</f>
        <v/>
      </c>
      <c r="AZ188" s="133" t="str">
        <f>IF(INDEX('#建筑消耗和buff配置索引'!BS:BS,MATCH($F188,'#建筑消耗和buff配置索引'!$M:$M,0))=0,"",INDEX('#建筑消耗和buff配置索引'!BS:BS,MATCH($F188,'#建筑消耗和buff配置索引'!$M:$M,0)))</f>
        <v/>
      </c>
      <c r="BA188" s="133" t="str">
        <f>IF(AZ188="","",INDEX('#建筑消耗和buff配置索引'!BT:BT,MATCH($F188,'#建筑消耗和buff配置索引'!$M:$M,0)))</f>
        <v/>
      </c>
      <c r="BD188" s="133" t="str">
        <f>IF(INDEX('#建筑消耗和buff配置索引'!BW:BW,MATCH($F188,'#建筑消耗和buff配置索引'!$M:$M,0))=0,"",INDEX('#建筑消耗和buff配置索引'!BW:BW,MATCH($F188,'#建筑消耗和buff配置索引'!$M:$M,0)))</f>
        <v/>
      </c>
      <c r="BE188" s="133" t="str">
        <f>IF(BD188="","",INDEX('#建筑消耗和buff配置索引'!BX:BX,MATCH($F188,'#建筑消耗和buff配置索引'!$M:$M,0)))</f>
        <v/>
      </c>
      <c r="BI188" s="133">
        <v>11</v>
      </c>
    </row>
    <row r="189" spans="1:66" s="133" customFormat="1">
      <c r="A189" s="133">
        <v>2090005</v>
      </c>
      <c r="B189" s="133">
        <v>186</v>
      </c>
      <c r="C189" s="133">
        <v>209</v>
      </c>
      <c r="D189" s="133" t="s">
        <v>344</v>
      </c>
      <c r="E189" s="133">
        <v>5</v>
      </c>
      <c r="F189" s="133" t="str">
        <f t="shared" si="5"/>
        <v>马厩5</v>
      </c>
      <c r="H189" s="146"/>
      <c r="I189" s="133">
        <v>1</v>
      </c>
      <c r="J189" s="150">
        <f>INDEX('#建筑消耗和buff配置索引'!AH:AH,MATCH($F189,'#建筑消耗和buff配置索引'!$M:$M,0))</f>
        <v>450</v>
      </c>
      <c r="K189" s="150">
        <f>INDEX('#建筑消耗和buff配置索引'!AA:AA,MATCH($F189,'#建筑消耗和buff配置索引'!$M:$M,0))</f>
        <v>7700</v>
      </c>
      <c r="L189" s="150">
        <f>INDEX('#建筑消耗和buff配置索引'!AB:AB,MATCH($F189,'#建筑消耗和buff配置索引'!$M:$M,0))</f>
        <v>7700</v>
      </c>
      <c r="M189" s="150">
        <f>INDEX('#建筑消耗和buff配置索引'!AC:AC,MATCH($F189,'#建筑消耗和buff配置索引'!$M:$M,0))</f>
        <v>7700</v>
      </c>
      <c r="N189" s="150">
        <f>INDEX('#建筑消耗和buff配置索引'!AD:AD,MATCH($F189,'#建筑消耗和buff配置索引'!$M:$M,0))</f>
        <v>0</v>
      </c>
      <c r="O189" s="150" t="str">
        <f>IF(INDEX('#建筑消耗和buff配置索引'!T:T,MATCH($F189,'#建筑消耗和buff配置索引'!$M:$M,0))=0,"",INDEX('#建筑消耗和buff配置索引'!T:T,MATCH($F189,'#建筑消耗和buff配置索引'!$M:$M,0)))</f>
        <v/>
      </c>
      <c r="P189" s="133" t="str">
        <f>IF(INDEX('#建筑消耗和buff配置索引'!U:U,MATCH($F189,'#建筑消耗和buff配置索引'!$M:$M,0))=0,"",INDEX('#建筑消耗和buff配置索引'!U:U,MATCH($F189,'#建筑消耗和buff配置索引'!$M:$M,0)))</f>
        <v/>
      </c>
      <c r="Q189" s="133" t="str">
        <f>IF(INDEX('#建筑消耗和buff配置索引'!K:K,MATCH($F189,'#建筑消耗和buff配置索引'!$M:$M,0))=0,"",INDEX('#建筑消耗和buff配置索引'!K:K,MATCH($F189,'#建筑消耗和buff配置索引'!$M:$M,0)))</f>
        <v>201;205</v>
      </c>
      <c r="R189" s="133" t="str">
        <f>IF(INDEX('#建筑消耗和buff配置索引'!L:L,MATCH($F189,'#建筑消耗和buff配置索引'!$M:$M,0))=0,"",INDEX('#建筑消耗和buff配置索引'!L:L,MATCH($F189,'#建筑消耗和buff配置索引'!$M:$M,0)))</f>
        <v>5;5</v>
      </c>
      <c r="S189" s="133">
        <f>IF(INDEX('#建筑消耗和buff配置索引'!C:C,MATCH(F189,'#建筑消耗和buff配置索引'!M:M,0))=0,1,INDEX('#建筑消耗和buff配置索引'!C:C,MATCH(F189,'#建筑消耗和buff配置索引'!M:M,0)))</f>
        <v>2</v>
      </c>
      <c r="T189" s="133">
        <v>0</v>
      </c>
      <c r="U189" s="133">
        <v>0</v>
      </c>
      <c r="V189" s="133" t="str">
        <f>IF(E189=1,IF(INDEX('#建筑消耗和buff配置索引'!BY:BY,MATCH(D189,'#建筑消耗和buff配置索引'!A:A,0))=0,"",INDEX('#建筑消耗和buff配置索引'!BY:BY,MATCH(D189,'#建筑消耗和buff配置索引'!A:A,0))),"")</f>
        <v/>
      </c>
      <c r="W189" s="133" t="str">
        <f>IF(E189=1,IF(INDEX('#建筑消耗和buff配置索引'!BZ:BZ,MATCH(D189,'#建筑消耗和buff配置索引'!A:A,0))=0,"",INDEX('#建筑消耗和buff配置索引'!BZ:BZ,MATCH(D189,'#建筑消耗和buff配置索引'!A:A,0))),"")</f>
        <v/>
      </c>
      <c r="AA189" s="133">
        <f>INDEX('#建筑消耗和buff配置索引'!AO:AO,MATCH($F189,'#建筑消耗和buff配置索引'!$M:$M,0))</f>
        <v>91</v>
      </c>
      <c r="AB189" s="133">
        <f>IF(INDEX('#建筑消耗和buff配置索引'!AR:AR,MATCH($F189,'#建筑消耗和buff配置索引'!$M:$M,0))=0,"",INDEX('#建筑消耗和buff配置索引'!AR:AR,MATCH($F189,'#建筑消耗和buff配置索引'!$M:$M,0)))</f>
        <v>3000</v>
      </c>
      <c r="AC189" s="133">
        <f>IF(AB189="","",INDEX('#建筑消耗和buff配置索引'!AS:AS,MATCH($F189,'#建筑消耗和buff配置索引'!$M:$M,0)))</f>
        <v>0.02</v>
      </c>
      <c r="AF189" s="133">
        <f>IF(INDEX('#建筑消耗和buff配置索引'!AW:AW,MATCH($F189,'#建筑消耗和buff配置索引'!$M:$M,0))=0,"",INDEX('#建筑消耗和buff配置索引'!AW:AW,MATCH($F189,'#建筑消耗和buff配置索引'!$M:$M,0)))</f>
        <v>3014</v>
      </c>
      <c r="AG189" s="133">
        <f>IF(AF189="","",INDEX('#建筑消耗和buff配置索引'!AX:AX,MATCH($F189,'#建筑消耗和buff配置索引'!$M:$M,0)))</f>
        <v>200</v>
      </c>
      <c r="AJ189" s="133" t="str">
        <f>IF(INDEX('#建筑消耗和buff配置索引'!BB:BB,MATCH($F189,'#建筑消耗和buff配置索引'!$M:$M,0))=0,"",INDEX('#建筑消耗和buff配置索引'!BB:BB,MATCH($F189,'#建筑消耗和buff配置索引'!$M:$M,0)))</f>
        <v/>
      </c>
      <c r="AK189" s="133" t="str">
        <f>IF(AJ189="","",INDEX('#建筑消耗和buff配置索引'!BC:BC,MATCH($F189,'#建筑消耗和buff配置索引'!$M:$M,0)))</f>
        <v/>
      </c>
      <c r="AN189" s="133" t="str">
        <f>IF(INDEX('#建筑消耗和buff配置索引'!BG:BG,MATCH($F189,'#建筑消耗和buff配置索引'!$M:$M,0))=0,"",INDEX('#建筑消耗和buff配置索引'!BG:BG,MATCH($F189,'#建筑消耗和buff配置索引'!$M:$M,0)))</f>
        <v/>
      </c>
      <c r="AO189" s="133" t="str">
        <f>IF(AN189="","",INDEX('#建筑消耗和buff配置索引'!BH:BH,MATCH($F189,'#建筑消耗和buff配置索引'!$M:$M,0)))</f>
        <v/>
      </c>
      <c r="AR189" s="133" t="str">
        <f>IF(INDEX('#建筑消耗和buff配置索引'!BK:BK,MATCH($F189,'#建筑消耗和buff配置索引'!$M:$M,0))=0,"",INDEX('#建筑消耗和buff配置索引'!BK:BK,MATCH($F189,'#建筑消耗和buff配置索引'!$M:$M,0)))</f>
        <v/>
      </c>
      <c r="AS189" s="133" t="str">
        <f>IF(AR189="","",INDEX('#建筑消耗和buff配置索引'!BL:BL,MATCH($F189,'#建筑消耗和buff配置索引'!$M:$M,0)))</f>
        <v/>
      </c>
      <c r="AV189" s="133" t="str">
        <f>IF(INDEX('#建筑消耗和buff配置索引'!BO:BO,MATCH($F189,'#建筑消耗和buff配置索引'!$M:$M,0))=0,"",INDEX('#建筑消耗和buff配置索引'!BO:BO,MATCH($F189,'#建筑消耗和buff配置索引'!$M:$M,0)))</f>
        <v/>
      </c>
      <c r="AW189" s="133" t="str">
        <f>IF(AV189="","",INDEX('#建筑消耗和buff配置索引'!BP:BP,MATCH($F189,'#建筑消耗和buff配置索引'!$M:$M,0)))</f>
        <v/>
      </c>
      <c r="AZ189" s="133" t="str">
        <f>IF(INDEX('#建筑消耗和buff配置索引'!BS:BS,MATCH($F189,'#建筑消耗和buff配置索引'!$M:$M,0))=0,"",INDEX('#建筑消耗和buff配置索引'!BS:BS,MATCH($F189,'#建筑消耗和buff配置索引'!$M:$M,0)))</f>
        <v/>
      </c>
      <c r="BA189" s="133" t="str">
        <f>IF(AZ189="","",INDEX('#建筑消耗和buff配置索引'!BT:BT,MATCH($F189,'#建筑消耗和buff配置索引'!$M:$M,0)))</f>
        <v/>
      </c>
      <c r="BD189" s="133" t="str">
        <f>IF(INDEX('#建筑消耗和buff配置索引'!BW:BW,MATCH($F189,'#建筑消耗和buff配置索引'!$M:$M,0))=0,"",INDEX('#建筑消耗和buff配置索引'!BW:BW,MATCH($F189,'#建筑消耗和buff配置索引'!$M:$M,0)))</f>
        <v/>
      </c>
      <c r="BE189" s="133" t="str">
        <f>IF(BD189="","",INDEX('#建筑消耗和buff配置索引'!BX:BX,MATCH($F189,'#建筑消耗和buff配置索引'!$M:$M,0)))</f>
        <v/>
      </c>
      <c r="BI189" s="133">
        <v>11</v>
      </c>
      <c r="BJ189" s="133">
        <v>299</v>
      </c>
    </row>
    <row r="190" spans="1:66" s="133" customFormat="1">
      <c r="A190" s="133">
        <v>2090006</v>
      </c>
      <c r="B190" s="133">
        <v>187</v>
      </c>
      <c r="C190" s="133">
        <v>209</v>
      </c>
      <c r="D190" s="133" t="s">
        <v>344</v>
      </c>
      <c r="E190" s="133">
        <v>6</v>
      </c>
      <c r="F190" s="133" t="str">
        <f t="shared" si="5"/>
        <v>马厩6</v>
      </c>
      <c r="H190" s="146"/>
      <c r="I190" s="133">
        <v>1</v>
      </c>
      <c r="J190" s="150">
        <f>INDEX('#建筑消耗和buff配置索引'!AH:AH,MATCH($F190,'#建筑消耗和buff配置索引'!$M:$M,0))</f>
        <v>810</v>
      </c>
      <c r="K190" s="150">
        <f>INDEX('#建筑消耗和buff配置索引'!AA:AA,MATCH($F190,'#建筑消耗和buff配置索引'!$M:$M,0))</f>
        <v>14000</v>
      </c>
      <c r="L190" s="150">
        <f>INDEX('#建筑消耗和buff配置索引'!AB:AB,MATCH($F190,'#建筑消耗和buff配置索引'!$M:$M,0))</f>
        <v>14000</v>
      </c>
      <c r="M190" s="150">
        <f>INDEX('#建筑消耗和buff配置索引'!AC:AC,MATCH($F190,'#建筑消耗和buff配置索引'!$M:$M,0))</f>
        <v>14000</v>
      </c>
      <c r="N190" s="150">
        <f>INDEX('#建筑消耗和buff配置索引'!AD:AD,MATCH($F190,'#建筑消耗和buff配置索引'!$M:$M,0))</f>
        <v>0</v>
      </c>
      <c r="O190" s="150" t="str">
        <f>IF(INDEX('#建筑消耗和buff配置索引'!T:T,MATCH($F190,'#建筑消耗和buff配置索引'!$M:$M,0))=0,"",INDEX('#建筑消耗和buff配置索引'!T:T,MATCH($F190,'#建筑消耗和buff配置索引'!$M:$M,0)))</f>
        <v/>
      </c>
      <c r="P190" s="133" t="str">
        <f>IF(INDEX('#建筑消耗和buff配置索引'!U:U,MATCH($F190,'#建筑消耗和buff配置索引'!$M:$M,0))=0,"",INDEX('#建筑消耗和buff配置索引'!U:U,MATCH($F190,'#建筑消耗和buff配置索引'!$M:$M,0)))</f>
        <v/>
      </c>
      <c r="Q190" s="133" t="str">
        <f>IF(INDEX('#建筑消耗和buff配置索引'!K:K,MATCH($F190,'#建筑消耗和buff配置索引'!$M:$M,0))=0,"",INDEX('#建筑消耗和buff配置索引'!K:K,MATCH($F190,'#建筑消耗和buff配置索引'!$M:$M,0)))</f>
        <v>201;205</v>
      </c>
      <c r="R190" s="133" t="str">
        <f>IF(INDEX('#建筑消耗和buff配置索引'!L:L,MATCH($F190,'#建筑消耗和buff配置索引'!$M:$M,0))=0,"",INDEX('#建筑消耗和buff配置索引'!L:L,MATCH($F190,'#建筑消耗和buff配置索引'!$M:$M,0)))</f>
        <v>6;6</v>
      </c>
      <c r="S190" s="133">
        <f>IF(INDEX('#建筑消耗和buff配置索引'!C:C,MATCH(F190,'#建筑消耗和buff配置索引'!M:M,0))=0,1,INDEX('#建筑消耗和buff配置索引'!C:C,MATCH(F190,'#建筑消耗和buff配置索引'!M:M,0)))</f>
        <v>2</v>
      </c>
      <c r="T190" s="133">
        <v>0</v>
      </c>
      <c r="U190" s="133">
        <v>0</v>
      </c>
      <c r="V190" s="133" t="str">
        <f>IF(E190=1,IF(INDEX('#建筑消耗和buff配置索引'!BY:BY,MATCH(D190,'#建筑消耗和buff配置索引'!A:A,0))=0,"",INDEX('#建筑消耗和buff配置索引'!BY:BY,MATCH(D190,'#建筑消耗和buff配置索引'!A:A,0))),"")</f>
        <v/>
      </c>
      <c r="W190" s="133" t="str">
        <f>IF(E190=1,IF(INDEX('#建筑消耗和buff配置索引'!BZ:BZ,MATCH(D190,'#建筑消耗和buff配置索引'!A:A,0))=0,"",INDEX('#建筑消耗和buff配置索引'!BZ:BZ,MATCH(D190,'#建筑消耗和buff配置索引'!A:A,0))),"")</f>
        <v/>
      </c>
      <c r="AA190" s="133">
        <f>INDEX('#建筑消耗和buff配置索引'!AO:AO,MATCH($F190,'#建筑消耗和buff配置索引'!$M:$M,0))</f>
        <v>177</v>
      </c>
      <c r="AB190" s="133">
        <f>IF(INDEX('#建筑消耗和buff配置索引'!AR:AR,MATCH($F190,'#建筑消耗和buff配置索引'!$M:$M,0))=0,"",INDEX('#建筑消耗和buff配置索引'!AR:AR,MATCH($F190,'#建筑消耗和buff配置索引'!$M:$M,0)))</f>
        <v>3000</v>
      </c>
      <c r="AC190" s="133">
        <f>IF(AB190="","",INDEX('#建筑消耗和buff配置索引'!AS:AS,MATCH($F190,'#建筑消耗和buff配置索引'!$M:$M,0)))</f>
        <v>2.5000000000000001E-2</v>
      </c>
      <c r="AF190" s="133">
        <f>IF(INDEX('#建筑消耗和buff配置索引'!AW:AW,MATCH($F190,'#建筑消耗和buff配置索引'!$M:$M,0))=0,"",INDEX('#建筑消耗和buff配置索引'!AW:AW,MATCH($F190,'#建筑消耗和buff配置索引'!$M:$M,0)))</f>
        <v>3014</v>
      </c>
      <c r="AG190" s="133">
        <f>IF(AF190="","",INDEX('#建筑消耗和buff配置索引'!AX:AX,MATCH($F190,'#建筑消耗和buff配置索引'!$M:$M,0)))</f>
        <v>250</v>
      </c>
      <c r="AJ190" s="133" t="str">
        <f>IF(INDEX('#建筑消耗和buff配置索引'!BB:BB,MATCH($F190,'#建筑消耗和buff配置索引'!$M:$M,0))=0,"",INDEX('#建筑消耗和buff配置索引'!BB:BB,MATCH($F190,'#建筑消耗和buff配置索引'!$M:$M,0)))</f>
        <v/>
      </c>
      <c r="AK190" s="133" t="str">
        <f>IF(AJ190="","",INDEX('#建筑消耗和buff配置索引'!BC:BC,MATCH($F190,'#建筑消耗和buff配置索引'!$M:$M,0)))</f>
        <v/>
      </c>
      <c r="AN190" s="133" t="str">
        <f>IF(INDEX('#建筑消耗和buff配置索引'!BG:BG,MATCH($F190,'#建筑消耗和buff配置索引'!$M:$M,0))=0,"",INDEX('#建筑消耗和buff配置索引'!BG:BG,MATCH($F190,'#建筑消耗和buff配置索引'!$M:$M,0)))</f>
        <v/>
      </c>
      <c r="AO190" s="133" t="str">
        <f>IF(AN190="","",INDEX('#建筑消耗和buff配置索引'!BH:BH,MATCH($F190,'#建筑消耗和buff配置索引'!$M:$M,0)))</f>
        <v/>
      </c>
      <c r="AR190" s="133" t="str">
        <f>IF(INDEX('#建筑消耗和buff配置索引'!BK:BK,MATCH($F190,'#建筑消耗和buff配置索引'!$M:$M,0))=0,"",INDEX('#建筑消耗和buff配置索引'!BK:BK,MATCH($F190,'#建筑消耗和buff配置索引'!$M:$M,0)))</f>
        <v/>
      </c>
      <c r="AS190" s="133" t="str">
        <f>IF(AR190="","",INDEX('#建筑消耗和buff配置索引'!BL:BL,MATCH($F190,'#建筑消耗和buff配置索引'!$M:$M,0)))</f>
        <v/>
      </c>
      <c r="AV190" s="133" t="str">
        <f>IF(INDEX('#建筑消耗和buff配置索引'!BO:BO,MATCH($F190,'#建筑消耗和buff配置索引'!$M:$M,0))=0,"",INDEX('#建筑消耗和buff配置索引'!BO:BO,MATCH($F190,'#建筑消耗和buff配置索引'!$M:$M,0)))</f>
        <v/>
      </c>
      <c r="AW190" s="133" t="str">
        <f>IF(AV190="","",INDEX('#建筑消耗和buff配置索引'!BP:BP,MATCH($F190,'#建筑消耗和buff配置索引'!$M:$M,0)))</f>
        <v/>
      </c>
      <c r="AZ190" s="133" t="str">
        <f>IF(INDEX('#建筑消耗和buff配置索引'!BS:BS,MATCH($F190,'#建筑消耗和buff配置索引'!$M:$M,0))=0,"",INDEX('#建筑消耗和buff配置索引'!BS:BS,MATCH($F190,'#建筑消耗和buff配置索引'!$M:$M,0)))</f>
        <v/>
      </c>
      <c r="BA190" s="133" t="str">
        <f>IF(AZ190="","",INDEX('#建筑消耗和buff配置索引'!BT:BT,MATCH($F190,'#建筑消耗和buff配置索引'!$M:$M,0)))</f>
        <v/>
      </c>
      <c r="BD190" s="133" t="str">
        <f>IF(INDEX('#建筑消耗和buff配置索引'!BW:BW,MATCH($F190,'#建筑消耗和buff配置索引'!$M:$M,0))=0,"",INDEX('#建筑消耗和buff配置索引'!BW:BW,MATCH($F190,'#建筑消耗和buff配置索引'!$M:$M,0)))</f>
        <v/>
      </c>
      <c r="BE190" s="133" t="str">
        <f>IF(BD190="","",INDEX('#建筑消耗和buff配置索引'!BX:BX,MATCH($F190,'#建筑消耗和buff配置索引'!$M:$M,0)))</f>
        <v/>
      </c>
      <c r="BI190" s="133">
        <v>11</v>
      </c>
      <c r="BJ190" s="133">
        <v>299</v>
      </c>
    </row>
    <row r="191" spans="1:66" s="133" customFormat="1">
      <c r="A191" s="133">
        <v>2090007</v>
      </c>
      <c r="B191" s="133">
        <v>188</v>
      </c>
      <c r="C191" s="133">
        <v>209</v>
      </c>
      <c r="D191" s="133" t="s">
        <v>344</v>
      </c>
      <c r="E191" s="133">
        <v>7</v>
      </c>
      <c r="F191" s="133" t="str">
        <f t="shared" si="5"/>
        <v>马厩7</v>
      </c>
      <c r="H191" s="146"/>
      <c r="I191" s="133">
        <v>1</v>
      </c>
      <c r="J191" s="150">
        <f>INDEX('#建筑消耗和buff配置索引'!AH:AH,MATCH($F191,'#建筑消耗和buff配置索引'!$M:$M,0))</f>
        <v>1350</v>
      </c>
      <c r="K191" s="150">
        <f>INDEX('#建筑消耗和buff配置索引'!AA:AA,MATCH($F191,'#建筑消耗和buff配置索引'!$M:$M,0))</f>
        <v>26000</v>
      </c>
      <c r="L191" s="150">
        <f>INDEX('#建筑消耗和buff配置索引'!AB:AB,MATCH($F191,'#建筑消耗和buff配置索引'!$M:$M,0))</f>
        <v>26000</v>
      </c>
      <c r="M191" s="150">
        <f>INDEX('#建筑消耗和buff配置索引'!AC:AC,MATCH($F191,'#建筑消耗和buff配置索引'!$M:$M,0))</f>
        <v>26000</v>
      </c>
      <c r="N191" s="150">
        <f>INDEX('#建筑消耗和buff配置索引'!AD:AD,MATCH($F191,'#建筑消耗和buff配置索引'!$M:$M,0))</f>
        <v>0</v>
      </c>
      <c r="O191" s="150" t="str">
        <f>IF(INDEX('#建筑消耗和buff配置索引'!T:T,MATCH($F191,'#建筑消耗和buff配置索引'!$M:$M,0))=0,"",INDEX('#建筑消耗和buff配置索引'!T:T,MATCH($F191,'#建筑消耗和buff配置索引'!$M:$M,0)))</f>
        <v/>
      </c>
      <c r="P191" s="133" t="str">
        <f>IF(INDEX('#建筑消耗和buff配置索引'!U:U,MATCH($F191,'#建筑消耗和buff配置索引'!$M:$M,0))=0,"",INDEX('#建筑消耗和buff配置索引'!U:U,MATCH($F191,'#建筑消耗和buff配置索引'!$M:$M,0)))</f>
        <v/>
      </c>
      <c r="Q191" s="133" t="str">
        <f>IF(INDEX('#建筑消耗和buff配置索引'!K:K,MATCH($F191,'#建筑消耗和buff配置索引'!$M:$M,0))=0,"",INDEX('#建筑消耗和buff配置索引'!K:K,MATCH($F191,'#建筑消耗和buff配置索引'!$M:$M,0)))</f>
        <v>201;205</v>
      </c>
      <c r="R191" s="133" t="str">
        <f>IF(INDEX('#建筑消耗和buff配置索引'!L:L,MATCH($F191,'#建筑消耗和buff配置索引'!$M:$M,0))=0,"",INDEX('#建筑消耗和buff配置索引'!L:L,MATCH($F191,'#建筑消耗和buff配置索引'!$M:$M,0)))</f>
        <v>7;7</v>
      </c>
      <c r="S191" s="133">
        <f>IF(INDEX('#建筑消耗和buff配置索引'!C:C,MATCH(F191,'#建筑消耗和buff配置索引'!M:M,0))=0,1,INDEX('#建筑消耗和buff配置索引'!C:C,MATCH(F191,'#建筑消耗和buff配置索引'!M:M,0)))</f>
        <v>2</v>
      </c>
      <c r="T191" s="133">
        <v>0</v>
      </c>
      <c r="U191" s="133">
        <v>0</v>
      </c>
      <c r="V191" s="133" t="str">
        <f>IF(E191=1,IF(INDEX('#建筑消耗和buff配置索引'!BY:BY,MATCH(D191,'#建筑消耗和buff配置索引'!A:A,0))=0,"",INDEX('#建筑消耗和buff配置索引'!BY:BY,MATCH(D191,'#建筑消耗和buff配置索引'!A:A,0))),"")</f>
        <v/>
      </c>
      <c r="W191" s="133" t="str">
        <f>IF(E191=1,IF(INDEX('#建筑消耗和buff配置索引'!BZ:BZ,MATCH(D191,'#建筑消耗和buff配置索引'!A:A,0))=0,"",INDEX('#建筑消耗和buff配置索引'!BZ:BZ,MATCH(D191,'#建筑消耗和buff配置索引'!A:A,0))),"")</f>
        <v/>
      </c>
      <c r="AA191" s="133">
        <f>INDEX('#建筑消耗和buff配置索引'!AO:AO,MATCH($F191,'#建筑消耗和buff配置索引'!$M:$M,0))</f>
        <v>331</v>
      </c>
      <c r="AB191" s="133">
        <f>IF(INDEX('#建筑消耗和buff配置索引'!AR:AR,MATCH($F191,'#建筑消耗和buff配置索引'!$M:$M,0))=0,"",INDEX('#建筑消耗和buff配置索引'!AR:AR,MATCH($F191,'#建筑消耗和buff配置索引'!$M:$M,0)))</f>
        <v>3000</v>
      </c>
      <c r="AC191" s="133">
        <f>IF(AB191="","",INDEX('#建筑消耗和buff配置索引'!AS:AS,MATCH($F191,'#建筑消耗和buff配置索引'!$M:$M,0)))</f>
        <v>0.03</v>
      </c>
      <c r="AF191" s="133">
        <f>IF(INDEX('#建筑消耗和buff配置索引'!AW:AW,MATCH($F191,'#建筑消耗和buff配置索引'!$M:$M,0))=0,"",INDEX('#建筑消耗和buff配置索引'!AW:AW,MATCH($F191,'#建筑消耗和buff配置索引'!$M:$M,0)))</f>
        <v>3014</v>
      </c>
      <c r="AG191" s="133">
        <f>IF(AF191="","",INDEX('#建筑消耗和buff配置索引'!AX:AX,MATCH($F191,'#建筑消耗和buff配置索引'!$M:$M,0)))</f>
        <v>300</v>
      </c>
      <c r="AJ191" s="133" t="str">
        <f>IF(INDEX('#建筑消耗和buff配置索引'!BB:BB,MATCH($F191,'#建筑消耗和buff配置索引'!$M:$M,0))=0,"",INDEX('#建筑消耗和buff配置索引'!BB:BB,MATCH($F191,'#建筑消耗和buff配置索引'!$M:$M,0)))</f>
        <v/>
      </c>
      <c r="AK191" s="133" t="str">
        <f>IF(AJ191="","",INDEX('#建筑消耗和buff配置索引'!BC:BC,MATCH($F191,'#建筑消耗和buff配置索引'!$M:$M,0)))</f>
        <v/>
      </c>
      <c r="AN191" s="133" t="str">
        <f>IF(INDEX('#建筑消耗和buff配置索引'!BG:BG,MATCH($F191,'#建筑消耗和buff配置索引'!$M:$M,0))=0,"",INDEX('#建筑消耗和buff配置索引'!BG:BG,MATCH($F191,'#建筑消耗和buff配置索引'!$M:$M,0)))</f>
        <v/>
      </c>
      <c r="AO191" s="133" t="str">
        <f>IF(AN191="","",INDEX('#建筑消耗和buff配置索引'!BH:BH,MATCH($F191,'#建筑消耗和buff配置索引'!$M:$M,0)))</f>
        <v/>
      </c>
      <c r="AR191" s="133" t="str">
        <f>IF(INDEX('#建筑消耗和buff配置索引'!BK:BK,MATCH($F191,'#建筑消耗和buff配置索引'!$M:$M,0))=0,"",INDEX('#建筑消耗和buff配置索引'!BK:BK,MATCH($F191,'#建筑消耗和buff配置索引'!$M:$M,0)))</f>
        <v/>
      </c>
      <c r="AS191" s="133" t="str">
        <f>IF(AR191="","",INDEX('#建筑消耗和buff配置索引'!BL:BL,MATCH($F191,'#建筑消耗和buff配置索引'!$M:$M,0)))</f>
        <v/>
      </c>
      <c r="AV191" s="133" t="str">
        <f>IF(INDEX('#建筑消耗和buff配置索引'!BO:BO,MATCH($F191,'#建筑消耗和buff配置索引'!$M:$M,0))=0,"",INDEX('#建筑消耗和buff配置索引'!BO:BO,MATCH($F191,'#建筑消耗和buff配置索引'!$M:$M,0)))</f>
        <v/>
      </c>
      <c r="AW191" s="133" t="str">
        <f>IF(AV191="","",INDEX('#建筑消耗和buff配置索引'!BP:BP,MATCH($F191,'#建筑消耗和buff配置索引'!$M:$M,0)))</f>
        <v/>
      </c>
      <c r="AZ191" s="133" t="str">
        <f>IF(INDEX('#建筑消耗和buff配置索引'!BS:BS,MATCH($F191,'#建筑消耗和buff配置索引'!$M:$M,0))=0,"",INDEX('#建筑消耗和buff配置索引'!BS:BS,MATCH($F191,'#建筑消耗和buff配置索引'!$M:$M,0)))</f>
        <v/>
      </c>
      <c r="BA191" s="133" t="str">
        <f>IF(AZ191="","",INDEX('#建筑消耗和buff配置索引'!BT:BT,MATCH($F191,'#建筑消耗和buff配置索引'!$M:$M,0)))</f>
        <v/>
      </c>
      <c r="BD191" s="133" t="str">
        <f>IF(INDEX('#建筑消耗和buff配置索引'!BW:BW,MATCH($F191,'#建筑消耗和buff配置索引'!$M:$M,0))=0,"",INDEX('#建筑消耗和buff配置索引'!BW:BW,MATCH($F191,'#建筑消耗和buff配置索引'!$M:$M,0)))</f>
        <v/>
      </c>
      <c r="BE191" s="133" t="str">
        <f>IF(BD191="","",INDEX('#建筑消耗和buff配置索引'!BX:BX,MATCH($F191,'#建筑消耗和buff配置索引'!$M:$M,0)))</f>
        <v/>
      </c>
      <c r="BI191" s="133">
        <v>11</v>
      </c>
      <c r="BJ191" s="133">
        <v>299</v>
      </c>
    </row>
    <row r="192" spans="1:66" s="133" customFormat="1">
      <c r="A192" s="133">
        <v>2090008</v>
      </c>
      <c r="B192" s="133">
        <v>189</v>
      </c>
      <c r="C192" s="133">
        <v>209</v>
      </c>
      <c r="D192" s="133" t="s">
        <v>344</v>
      </c>
      <c r="E192" s="133">
        <v>8</v>
      </c>
      <c r="F192" s="133" t="str">
        <f t="shared" si="5"/>
        <v>马厩8</v>
      </c>
      <c r="H192" s="146"/>
      <c r="I192" s="133">
        <v>1</v>
      </c>
      <c r="J192" s="150">
        <f>INDEX('#建筑消耗和buff配置索引'!AH:AH,MATCH($F192,'#建筑消耗和buff配置索引'!$M:$M,0))</f>
        <v>2160</v>
      </c>
      <c r="K192" s="150">
        <f>INDEX('#建筑消耗和buff配置索引'!AA:AA,MATCH($F192,'#建筑消耗和buff配置索引'!$M:$M,0))</f>
        <v>44000</v>
      </c>
      <c r="L192" s="150">
        <f>INDEX('#建筑消耗和buff配置索引'!AB:AB,MATCH($F192,'#建筑消耗和buff配置索引'!$M:$M,0))</f>
        <v>44000</v>
      </c>
      <c r="M192" s="150">
        <f>INDEX('#建筑消耗和buff配置索引'!AC:AC,MATCH($F192,'#建筑消耗和buff配置索引'!$M:$M,0))</f>
        <v>44000</v>
      </c>
      <c r="N192" s="150">
        <f>INDEX('#建筑消耗和buff配置索引'!AD:AD,MATCH($F192,'#建筑消耗和buff配置索引'!$M:$M,0))</f>
        <v>0</v>
      </c>
      <c r="O192" s="150" t="str">
        <f>IF(INDEX('#建筑消耗和buff配置索引'!T:T,MATCH($F192,'#建筑消耗和buff配置索引'!$M:$M,0))=0,"",INDEX('#建筑消耗和buff配置索引'!T:T,MATCH($F192,'#建筑消耗和buff配置索引'!$M:$M,0)))</f>
        <v/>
      </c>
      <c r="P192" s="133" t="str">
        <f>IF(INDEX('#建筑消耗和buff配置索引'!U:U,MATCH($F192,'#建筑消耗和buff配置索引'!$M:$M,0))=0,"",INDEX('#建筑消耗和buff配置索引'!U:U,MATCH($F192,'#建筑消耗和buff配置索引'!$M:$M,0)))</f>
        <v/>
      </c>
      <c r="Q192" s="133" t="str">
        <f>IF(INDEX('#建筑消耗和buff配置索引'!K:K,MATCH($F192,'#建筑消耗和buff配置索引'!$M:$M,0))=0,"",INDEX('#建筑消耗和buff配置索引'!K:K,MATCH($F192,'#建筑消耗和buff配置索引'!$M:$M,0)))</f>
        <v>201;205</v>
      </c>
      <c r="R192" s="133" t="str">
        <f>IF(INDEX('#建筑消耗和buff配置索引'!L:L,MATCH($F192,'#建筑消耗和buff配置索引'!$M:$M,0))=0,"",INDEX('#建筑消耗和buff配置索引'!L:L,MATCH($F192,'#建筑消耗和buff配置索引'!$M:$M,0)))</f>
        <v>8;8</v>
      </c>
      <c r="S192" s="133">
        <f>IF(INDEX('#建筑消耗和buff配置索引'!C:C,MATCH(F192,'#建筑消耗和buff配置索引'!M:M,0))=0,1,INDEX('#建筑消耗和buff配置索引'!C:C,MATCH(F192,'#建筑消耗和buff配置索引'!M:M,0)))</f>
        <v>2</v>
      </c>
      <c r="T192" s="133">
        <v>0</v>
      </c>
      <c r="U192" s="133">
        <v>0</v>
      </c>
      <c r="V192" s="133" t="str">
        <f>IF(E192=1,IF(INDEX('#建筑消耗和buff配置索引'!BY:BY,MATCH(D192,'#建筑消耗和buff配置索引'!A:A,0))=0,"",INDEX('#建筑消耗和buff配置索引'!BY:BY,MATCH(D192,'#建筑消耗和buff配置索引'!A:A,0))),"")</f>
        <v/>
      </c>
      <c r="W192" s="133" t="str">
        <f>IF(E192=1,IF(INDEX('#建筑消耗和buff配置索引'!BZ:BZ,MATCH(D192,'#建筑消耗和buff配置索引'!A:A,0))=0,"",INDEX('#建筑消耗和buff配置索引'!BZ:BZ,MATCH(D192,'#建筑消耗和buff配置索引'!A:A,0))),"")</f>
        <v/>
      </c>
      <c r="AA192" s="133">
        <f>INDEX('#建筑消耗和buff配置索引'!AO:AO,MATCH($F192,'#建筑消耗和buff配置索引'!$M:$M,0))</f>
        <v>596</v>
      </c>
      <c r="AB192" s="133">
        <f>IF(INDEX('#建筑消耗和buff配置索引'!AR:AR,MATCH($F192,'#建筑消耗和buff配置索引'!$M:$M,0))=0,"",INDEX('#建筑消耗和buff配置索引'!AR:AR,MATCH($F192,'#建筑消耗和buff配置索引'!$M:$M,0)))</f>
        <v>3000</v>
      </c>
      <c r="AC192" s="133">
        <f>IF(AB192="","",INDEX('#建筑消耗和buff配置索引'!AS:AS,MATCH($F192,'#建筑消耗和buff配置索引'!$M:$M,0)))</f>
        <v>3.5000000000000003E-2</v>
      </c>
      <c r="AF192" s="133">
        <f>IF(INDEX('#建筑消耗和buff配置索引'!AW:AW,MATCH($F192,'#建筑消耗和buff配置索引'!$M:$M,0))=0,"",INDEX('#建筑消耗和buff配置索引'!AW:AW,MATCH($F192,'#建筑消耗和buff配置索引'!$M:$M,0)))</f>
        <v>3014</v>
      </c>
      <c r="AG192" s="133">
        <f>IF(AF192="","",INDEX('#建筑消耗和buff配置索引'!AX:AX,MATCH($F192,'#建筑消耗和buff配置索引'!$M:$M,0)))</f>
        <v>350</v>
      </c>
      <c r="AJ192" s="133" t="str">
        <f>IF(INDEX('#建筑消耗和buff配置索引'!BB:BB,MATCH($F192,'#建筑消耗和buff配置索引'!$M:$M,0))=0,"",INDEX('#建筑消耗和buff配置索引'!BB:BB,MATCH($F192,'#建筑消耗和buff配置索引'!$M:$M,0)))</f>
        <v/>
      </c>
      <c r="AK192" s="133" t="str">
        <f>IF(AJ192="","",INDEX('#建筑消耗和buff配置索引'!BC:BC,MATCH($F192,'#建筑消耗和buff配置索引'!$M:$M,0)))</f>
        <v/>
      </c>
      <c r="AN192" s="133" t="str">
        <f>IF(INDEX('#建筑消耗和buff配置索引'!BG:BG,MATCH($F192,'#建筑消耗和buff配置索引'!$M:$M,0))=0,"",INDEX('#建筑消耗和buff配置索引'!BG:BG,MATCH($F192,'#建筑消耗和buff配置索引'!$M:$M,0)))</f>
        <v/>
      </c>
      <c r="AO192" s="133" t="str">
        <f>IF(AN192="","",INDEX('#建筑消耗和buff配置索引'!BH:BH,MATCH($F192,'#建筑消耗和buff配置索引'!$M:$M,0)))</f>
        <v/>
      </c>
      <c r="AR192" s="133" t="str">
        <f>IF(INDEX('#建筑消耗和buff配置索引'!BK:BK,MATCH($F192,'#建筑消耗和buff配置索引'!$M:$M,0))=0,"",INDEX('#建筑消耗和buff配置索引'!BK:BK,MATCH($F192,'#建筑消耗和buff配置索引'!$M:$M,0)))</f>
        <v/>
      </c>
      <c r="AS192" s="133" t="str">
        <f>IF(AR192="","",INDEX('#建筑消耗和buff配置索引'!BL:BL,MATCH($F192,'#建筑消耗和buff配置索引'!$M:$M,0)))</f>
        <v/>
      </c>
      <c r="AV192" s="133" t="str">
        <f>IF(INDEX('#建筑消耗和buff配置索引'!BO:BO,MATCH($F192,'#建筑消耗和buff配置索引'!$M:$M,0))=0,"",INDEX('#建筑消耗和buff配置索引'!BO:BO,MATCH($F192,'#建筑消耗和buff配置索引'!$M:$M,0)))</f>
        <v/>
      </c>
      <c r="AW192" s="133" t="str">
        <f>IF(AV192="","",INDEX('#建筑消耗和buff配置索引'!BP:BP,MATCH($F192,'#建筑消耗和buff配置索引'!$M:$M,0)))</f>
        <v/>
      </c>
      <c r="AZ192" s="133" t="str">
        <f>IF(INDEX('#建筑消耗和buff配置索引'!BS:BS,MATCH($F192,'#建筑消耗和buff配置索引'!$M:$M,0))=0,"",INDEX('#建筑消耗和buff配置索引'!BS:BS,MATCH($F192,'#建筑消耗和buff配置索引'!$M:$M,0)))</f>
        <v/>
      </c>
      <c r="BA192" s="133" t="str">
        <f>IF(AZ192="","",INDEX('#建筑消耗和buff配置索引'!BT:BT,MATCH($F192,'#建筑消耗和buff配置索引'!$M:$M,0)))</f>
        <v/>
      </c>
      <c r="BD192" s="133" t="str">
        <f>IF(INDEX('#建筑消耗和buff配置索引'!BW:BW,MATCH($F192,'#建筑消耗和buff配置索引'!$M:$M,0))=0,"",INDEX('#建筑消耗和buff配置索引'!BW:BW,MATCH($F192,'#建筑消耗和buff配置索引'!$M:$M,0)))</f>
        <v/>
      </c>
      <c r="BE192" s="133" t="str">
        <f>IF(BD192="","",INDEX('#建筑消耗和buff配置索引'!BX:BX,MATCH($F192,'#建筑消耗和buff配置索引'!$M:$M,0)))</f>
        <v/>
      </c>
      <c r="BI192" s="133">
        <v>11</v>
      </c>
      <c r="BJ192" s="133">
        <v>299</v>
      </c>
    </row>
    <row r="193" spans="1:62" s="133" customFormat="1">
      <c r="A193" s="133">
        <v>2090009</v>
      </c>
      <c r="B193" s="133">
        <v>190</v>
      </c>
      <c r="C193" s="133">
        <v>209</v>
      </c>
      <c r="D193" s="133" t="s">
        <v>344</v>
      </c>
      <c r="E193" s="133">
        <v>9</v>
      </c>
      <c r="F193" s="133" t="str">
        <f t="shared" si="5"/>
        <v>马厩9</v>
      </c>
      <c r="H193" s="146"/>
      <c r="I193" s="133">
        <v>1</v>
      </c>
      <c r="J193" s="150">
        <f>INDEX('#建筑消耗和buff配置索引'!AH:AH,MATCH($F193,'#建筑消耗和buff配置索引'!$M:$M,0))</f>
        <v>4320</v>
      </c>
      <c r="K193" s="150">
        <f>INDEX('#建筑消耗和buff配置索引'!AA:AA,MATCH($F193,'#建筑消耗和buff配置索引'!$M:$M,0))</f>
        <v>73000</v>
      </c>
      <c r="L193" s="150">
        <f>INDEX('#建筑消耗和buff配置索引'!AB:AB,MATCH($F193,'#建筑消耗和buff配置索引'!$M:$M,0))</f>
        <v>73000</v>
      </c>
      <c r="M193" s="150">
        <f>INDEX('#建筑消耗和buff配置索引'!AC:AC,MATCH($F193,'#建筑消耗和buff配置索引'!$M:$M,0))</f>
        <v>73000</v>
      </c>
      <c r="N193" s="150">
        <f>INDEX('#建筑消耗和buff配置索引'!AD:AD,MATCH($F193,'#建筑消耗和buff配置索引'!$M:$M,0))</f>
        <v>0</v>
      </c>
      <c r="O193" s="150" t="str">
        <f>IF(INDEX('#建筑消耗和buff配置索引'!T:T,MATCH($F193,'#建筑消耗和buff配置索引'!$M:$M,0))=0,"",INDEX('#建筑消耗和buff配置索引'!T:T,MATCH($F193,'#建筑消耗和buff配置索引'!$M:$M,0)))</f>
        <v/>
      </c>
      <c r="P193" s="133" t="str">
        <f>IF(INDEX('#建筑消耗和buff配置索引'!U:U,MATCH($F193,'#建筑消耗和buff配置索引'!$M:$M,0))=0,"",INDEX('#建筑消耗和buff配置索引'!U:U,MATCH($F193,'#建筑消耗和buff配置索引'!$M:$M,0)))</f>
        <v/>
      </c>
      <c r="Q193" s="133" t="str">
        <f>IF(INDEX('#建筑消耗和buff配置索引'!K:K,MATCH($F193,'#建筑消耗和buff配置索引'!$M:$M,0))=0,"",INDEX('#建筑消耗和buff配置索引'!K:K,MATCH($F193,'#建筑消耗和buff配置索引'!$M:$M,0)))</f>
        <v>201;205</v>
      </c>
      <c r="R193" s="133" t="str">
        <f>IF(INDEX('#建筑消耗和buff配置索引'!L:L,MATCH($F193,'#建筑消耗和buff配置索引'!$M:$M,0))=0,"",INDEX('#建筑消耗和buff配置索引'!L:L,MATCH($F193,'#建筑消耗和buff配置索引'!$M:$M,0)))</f>
        <v>9;9</v>
      </c>
      <c r="S193" s="133">
        <f>IF(INDEX('#建筑消耗和buff配置索引'!C:C,MATCH(F193,'#建筑消耗和buff配置索引'!M:M,0))=0,1,INDEX('#建筑消耗和buff配置索引'!C:C,MATCH(F193,'#建筑消耗和buff配置索引'!M:M,0)))</f>
        <v>2</v>
      </c>
      <c r="T193" s="133">
        <v>0</v>
      </c>
      <c r="U193" s="133">
        <v>0</v>
      </c>
      <c r="V193" s="133" t="str">
        <f>IF(E193=1,IF(INDEX('#建筑消耗和buff配置索引'!BY:BY,MATCH(D193,'#建筑消耗和buff配置索引'!A:A,0))=0,"",INDEX('#建筑消耗和buff配置索引'!BY:BY,MATCH(D193,'#建筑消耗和buff配置索引'!A:A,0))),"")</f>
        <v/>
      </c>
      <c r="W193" s="133" t="str">
        <f>IF(E193=1,IF(INDEX('#建筑消耗和buff配置索引'!BZ:BZ,MATCH(D193,'#建筑消耗和buff配置索引'!A:A,0))=0,"",INDEX('#建筑消耗和buff配置索引'!BZ:BZ,MATCH(D193,'#建筑消耗和buff配置索引'!A:A,0))),"")</f>
        <v/>
      </c>
      <c r="AA193" s="133">
        <f>INDEX('#建筑消耗和buff配置索引'!AO:AO,MATCH($F193,'#建筑消耗和buff配置索引'!$M:$M,0))</f>
        <v>1034</v>
      </c>
      <c r="AB193" s="133">
        <f>IF(INDEX('#建筑消耗和buff配置索引'!AR:AR,MATCH($F193,'#建筑消耗和buff配置索引'!$M:$M,0))=0,"",INDEX('#建筑消耗和buff配置索引'!AR:AR,MATCH($F193,'#建筑消耗和buff配置索引'!$M:$M,0)))</f>
        <v>3000</v>
      </c>
      <c r="AC193" s="133">
        <f>IF(AB193="","",INDEX('#建筑消耗和buff配置索引'!AS:AS,MATCH($F193,'#建筑消耗和buff配置索引'!$M:$M,0)))</f>
        <v>0.04</v>
      </c>
      <c r="AF193" s="133">
        <f>IF(INDEX('#建筑消耗和buff配置索引'!AW:AW,MATCH($F193,'#建筑消耗和buff配置索引'!$M:$M,0))=0,"",INDEX('#建筑消耗和buff配置索引'!AW:AW,MATCH($F193,'#建筑消耗和buff配置索引'!$M:$M,0)))</f>
        <v>3014</v>
      </c>
      <c r="AG193" s="133">
        <f>IF(AF193="","",INDEX('#建筑消耗和buff配置索引'!AX:AX,MATCH($F193,'#建筑消耗和buff配置索引'!$M:$M,0)))</f>
        <v>400</v>
      </c>
      <c r="AJ193" s="133" t="str">
        <f>IF(INDEX('#建筑消耗和buff配置索引'!BB:BB,MATCH($F193,'#建筑消耗和buff配置索引'!$M:$M,0))=0,"",INDEX('#建筑消耗和buff配置索引'!BB:BB,MATCH($F193,'#建筑消耗和buff配置索引'!$M:$M,0)))</f>
        <v/>
      </c>
      <c r="AK193" s="133" t="str">
        <f>IF(AJ193="","",INDEX('#建筑消耗和buff配置索引'!BC:BC,MATCH($F193,'#建筑消耗和buff配置索引'!$M:$M,0)))</f>
        <v/>
      </c>
      <c r="AN193" s="133" t="str">
        <f>IF(INDEX('#建筑消耗和buff配置索引'!BG:BG,MATCH($F193,'#建筑消耗和buff配置索引'!$M:$M,0))=0,"",INDEX('#建筑消耗和buff配置索引'!BG:BG,MATCH($F193,'#建筑消耗和buff配置索引'!$M:$M,0)))</f>
        <v/>
      </c>
      <c r="AO193" s="133" t="str">
        <f>IF(AN193="","",INDEX('#建筑消耗和buff配置索引'!BH:BH,MATCH($F193,'#建筑消耗和buff配置索引'!$M:$M,0)))</f>
        <v/>
      </c>
      <c r="AR193" s="133" t="str">
        <f>IF(INDEX('#建筑消耗和buff配置索引'!BK:BK,MATCH($F193,'#建筑消耗和buff配置索引'!$M:$M,0))=0,"",INDEX('#建筑消耗和buff配置索引'!BK:BK,MATCH($F193,'#建筑消耗和buff配置索引'!$M:$M,0)))</f>
        <v/>
      </c>
      <c r="AS193" s="133" t="str">
        <f>IF(AR193="","",INDEX('#建筑消耗和buff配置索引'!BL:BL,MATCH($F193,'#建筑消耗和buff配置索引'!$M:$M,0)))</f>
        <v/>
      </c>
      <c r="AV193" s="133" t="str">
        <f>IF(INDEX('#建筑消耗和buff配置索引'!BO:BO,MATCH($F193,'#建筑消耗和buff配置索引'!$M:$M,0))=0,"",INDEX('#建筑消耗和buff配置索引'!BO:BO,MATCH($F193,'#建筑消耗和buff配置索引'!$M:$M,0)))</f>
        <v/>
      </c>
      <c r="AW193" s="133" t="str">
        <f>IF(AV193="","",INDEX('#建筑消耗和buff配置索引'!BP:BP,MATCH($F193,'#建筑消耗和buff配置索引'!$M:$M,0)))</f>
        <v/>
      </c>
      <c r="AZ193" s="133" t="str">
        <f>IF(INDEX('#建筑消耗和buff配置索引'!BS:BS,MATCH($F193,'#建筑消耗和buff配置索引'!$M:$M,0))=0,"",INDEX('#建筑消耗和buff配置索引'!BS:BS,MATCH($F193,'#建筑消耗和buff配置索引'!$M:$M,0)))</f>
        <v/>
      </c>
      <c r="BA193" s="133" t="str">
        <f>IF(AZ193="","",INDEX('#建筑消耗和buff配置索引'!BT:BT,MATCH($F193,'#建筑消耗和buff配置索引'!$M:$M,0)))</f>
        <v/>
      </c>
      <c r="BD193" s="133" t="str">
        <f>IF(INDEX('#建筑消耗和buff配置索引'!BW:BW,MATCH($F193,'#建筑消耗和buff配置索引'!$M:$M,0))=0,"",INDEX('#建筑消耗和buff配置索引'!BW:BW,MATCH($F193,'#建筑消耗和buff配置索引'!$M:$M,0)))</f>
        <v/>
      </c>
      <c r="BE193" s="133" t="str">
        <f>IF(BD193="","",INDEX('#建筑消耗和buff配置索引'!BX:BX,MATCH($F193,'#建筑消耗和buff配置索引'!$M:$M,0)))</f>
        <v/>
      </c>
      <c r="BI193" s="133">
        <v>11</v>
      </c>
      <c r="BJ193" s="133">
        <v>299</v>
      </c>
    </row>
    <row r="194" spans="1:62" s="133" customFormat="1">
      <c r="A194" s="133">
        <v>2090010</v>
      </c>
      <c r="B194" s="133">
        <v>191</v>
      </c>
      <c r="C194" s="133">
        <v>209</v>
      </c>
      <c r="D194" s="133" t="s">
        <v>344</v>
      </c>
      <c r="E194" s="133">
        <v>10</v>
      </c>
      <c r="F194" s="133" t="str">
        <f t="shared" si="5"/>
        <v>马厩10</v>
      </c>
      <c r="H194" s="146"/>
      <c r="I194" s="133">
        <v>1</v>
      </c>
      <c r="J194" s="150">
        <f>INDEX('#建筑消耗和buff配置索引'!AH:AH,MATCH($F194,'#建筑消耗和buff配置索引'!$M:$M,0))</f>
        <v>6480</v>
      </c>
      <c r="K194" s="150">
        <f>INDEX('#建筑消耗和buff配置索引'!AA:AA,MATCH($F194,'#建筑消耗和buff配置索引'!$M:$M,0))</f>
        <v>86000</v>
      </c>
      <c r="L194" s="150">
        <f>INDEX('#建筑消耗和buff配置索引'!AB:AB,MATCH($F194,'#建筑消耗和buff配置索引'!$M:$M,0))</f>
        <v>86000</v>
      </c>
      <c r="M194" s="150">
        <f>INDEX('#建筑消耗和buff配置索引'!AC:AC,MATCH($F194,'#建筑消耗和buff配置索引'!$M:$M,0))</f>
        <v>86000</v>
      </c>
      <c r="N194" s="150">
        <f>INDEX('#建筑消耗和buff配置索引'!AD:AD,MATCH($F194,'#建筑消耗和buff配置索引'!$M:$M,0))</f>
        <v>86000</v>
      </c>
      <c r="O194" s="150" t="str">
        <f>IF(INDEX('#建筑消耗和buff配置索引'!T:T,MATCH($F194,'#建筑消耗和buff配置索引'!$M:$M,0))=0,"",INDEX('#建筑消耗和buff配置索引'!T:T,MATCH($F194,'#建筑消耗和buff配置索引'!$M:$M,0)))</f>
        <v/>
      </c>
      <c r="P194" s="133" t="str">
        <f>IF(INDEX('#建筑消耗和buff配置索引'!U:U,MATCH($F194,'#建筑消耗和buff配置索引'!$M:$M,0))=0,"",INDEX('#建筑消耗和buff配置索引'!U:U,MATCH($F194,'#建筑消耗和buff配置索引'!$M:$M,0)))</f>
        <v/>
      </c>
      <c r="Q194" s="133" t="str">
        <f>IF(INDEX('#建筑消耗和buff配置索引'!K:K,MATCH($F194,'#建筑消耗和buff配置索引'!$M:$M,0))=0,"",INDEX('#建筑消耗和buff配置索引'!K:K,MATCH($F194,'#建筑消耗和buff配置索引'!$M:$M,0)))</f>
        <v>201;205</v>
      </c>
      <c r="R194" s="133" t="str">
        <f>IF(INDEX('#建筑消耗和buff配置索引'!L:L,MATCH($F194,'#建筑消耗和buff配置索引'!$M:$M,0))=0,"",INDEX('#建筑消耗和buff配置索引'!L:L,MATCH($F194,'#建筑消耗和buff配置索引'!$M:$M,0)))</f>
        <v>10;10</v>
      </c>
      <c r="S194" s="133">
        <f>IF(INDEX('#建筑消耗和buff配置索引'!C:C,MATCH(F194,'#建筑消耗和buff配置索引'!M:M,0))=0,1,INDEX('#建筑消耗和buff配置索引'!C:C,MATCH(F194,'#建筑消耗和buff配置索引'!M:M,0)))</f>
        <v>2</v>
      </c>
      <c r="T194" s="133">
        <v>0</v>
      </c>
      <c r="U194" s="133">
        <v>0</v>
      </c>
      <c r="V194" s="133" t="str">
        <f>IF(E194=1,IF(INDEX('#建筑消耗和buff配置索引'!BY:BY,MATCH(D194,'#建筑消耗和buff配置索引'!A:A,0))=0,"",INDEX('#建筑消耗和buff配置索引'!BY:BY,MATCH(D194,'#建筑消耗和buff配置索引'!A:A,0))),"")</f>
        <v/>
      </c>
      <c r="W194" s="133" t="str">
        <f>IF(E194=1,IF(INDEX('#建筑消耗和buff配置索引'!BZ:BZ,MATCH(D194,'#建筑消耗和buff配置索引'!A:A,0))=0,"",INDEX('#建筑消耗和buff配置索引'!BZ:BZ,MATCH(D194,'#建筑消耗和buff配置索引'!A:A,0))),"")</f>
        <v/>
      </c>
      <c r="AA194" s="133">
        <f>INDEX('#建筑消耗和buff配置索引'!AO:AO,MATCH($F194,'#建筑消耗和buff配置索引'!$M:$M,0))</f>
        <v>1726</v>
      </c>
      <c r="AB194" s="133">
        <f>IF(INDEX('#建筑消耗和buff配置索引'!AR:AR,MATCH($F194,'#建筑消耗和buff配置索引'!$M:$M,0))=0,"",INDEX('#建筑消耗和buff配置索引'!AR:AR,MATCH($F194,'#建筑消耗和buff配置索引'!$M:$M,0)))</f>
        <v>3000</v>
      </c>
      <c r="AC194" s="133">
        <f>IF(AB194="","",INDEX('#建筑消耗和buff配置索引'!AS:AS,MATCH($F194,'#建筑消耗和buff配置索引'!$M:$M,0)))</f>
        <v>4.4999999999999998E-2</v>
      </c>
      <c r="AF194" s="133">
        <f>IF(INDEX('#建筑消耗和buff配置索引'!AW:AW,MATCH($F194,'#建筑消耗和buff配置索引'!$M:$M,0))=0,"",INDEX('#建筑消耗和buff配置索引'!AW:AW,MATCH($F194,'#建筑消耗和buff配置索引'!$M:$M,0)))</f>
        <v>3014</v>
      </c>
      <c r="AG194" s="133">
        <f>IF(AF194="","",INDEX('#建筑消耗和buff配置索引'!AX:AX,MATCH($F194,'#建筑消耗和buff配置索引'!$M:$M,0)))</f>
        <v>450</v>
      </c>
      <c r="AJ194" s="133" t="str">
        <f>IF(INDEX('#建筑消耗和buff配置索引'!BB:BB,MATCH($F194,'#建筑消耗和buff配置索引'!$M:$M,0))=0,"",INDEX('#建筑消耗和buff配置索引'!BB:BB,MATCH($F194,'#建筑消耗和buff配置索引'!$M:$M,0)))</f>
        <v/>
      </c>
      <c r="AK194" s="133" t="str">
        <f>IF(AJ194="","",INDEX('#建筑消耗和buff配置索引'!BC:BC,MATCH($F194,'#建筑消耗和buff配置索引'!$M:$M,0)))</f>
        <v/>
      </c>
      <c r="AN194" s="133" t="str">
        <f>IF(INDEX('#建筑消耗和buff配置索引'!BG:BG,MATCH($F194,'#建筑消耗和buff配置索引'!$M:$M,0))=0,"",INDEX('#建筑消耗和buff配置索引'!BG:BG,MATCH($F194,'#建筑消耗和buff配置索引'!$M:$M,0)))</f>
        <v/>
      </c>
      <c r="AO194" s="133" t="str">
        <f>IF(AN194="","",INDEX('#建筑消耗和buff配置索引'!BH:BH,MATCH($F194,'#建筑消耗和buff配置索引'!$M:$M,0)))</f>
        <v/>
      </c>
      <c r="AR194" s="133" t="str">
        <f>IF(INDEX('#建筑消耗和buff配置索引'!BK:BK,MATCH($F194,'#建筑消耗和buff配置索引'!$M:$M,0))=0,"",INDEX('#建筑消耗和buff配置索引'!BK:BK,MATCH($F194,'#建筑消耗和buff配置索引'!$M:$M,0)))</f>
        <v/>
      </c>
      <c r="AS194" s="133" t="str">
        <f>IF(AR194="","",INDEX('#建筑消耗和buff配置索引'!BL:BL,MATCH($F194,'#建筑消耗和buff配置索引'!$M:$M,0)))</f>
        <v/>
      </c>
      <c r="AV194" s="133" t="str">
        <f>IF(INDEX('#建筑消耗和buff配置索引'!BO:BO,MATCH($F194,'#建筑消耗和buff配置索引'!$M:$M,0))=0,"",INDEX('#建筑消耗和buff配置索引'!BO:BO,MATCH($F194,'#建筑消耗和buff配置索引'!$M:$M,0)))</f>
        <v/>
      </c>
      <c r="AW194" s="133" t="str">
        <f>IF(AV194="","",INDEX('#建筑消耗和buff配置索引'!BP:BP,MATCH($F194,'#建筑消耗和buff配置索引'!$M:$M,0)))</f>
        <v/>
      </c>
      <c r="AZ194" s="133" t="str">
        <f>IF(INDEX('#建筑消耗和buff配置索引'!BS:BS,MATCH($F194,'#建筑消耗和buff配置索引'!$M:$M,0))=0,"",INDEX('#建筑消耗和buff配置索引'!BS:BS,MATCH($F194,'#建筑消耗和buff配置索引'!$M:$M,0)))</f>
        <v/>
      </c>
      <c r="BA194" s="133" t="str">
        <f>IF(AZ194="","",INDEX('#建筑消耗和buff配置索引'!BT:BT,MATCH($F194,'#建筑消耗和buff配置索引'!$M:$M,0)))</f>
        <v/>
      </c>
      <c r="BD194" s="133" t="str">
        <f>IF(INDEX('#建筑消耗和buff配置索引'!BW:BW,MATCH($F194,'#建筑消耗和buff配置索引'!$M:$M,0))=0,"",INDEX('#建筑消耗和buff配置索引'!BW:BW,MATCH($F194,'#建筑消耗和buff配置索引'!$M:$M,0)))</f>
        <v/>
      </c>
      <c r="BE194" s="133" t="str">
        <f>IF(BD194="","",INDEX('#建筑消耗和buff配置索引'!BX:BX,MATCH($F194,'#建筑消耗和buff配置索引'!$M:$M,0)))</f>
        <v/>
      </c>
      <c r="BI194" s="133">
        <v>11</v>
      </c>
    </row>
    <row r="195" spans="1:62" s="133" customFormat="1">
      <c r="A195" s="133">
        <v>2090011</v>
      </c>
      <c r="B195" s="133">
        <v>192</v>
      </c>
      <c r="C195" s="133">
        <v>209</v>
      </c>
      <c r="D195" s="133" t="s">
        <v>344</v>
      </c>
      <c r="E195" s="133">
        <v>11</v>
      </c>
      <c r="F195" s="133" t="str">
        <f t="shared" si="5"/>
        <v>马厩11</v>
      </c>
      <c r="H195" s="146"/>
      <c r="I195" s="133">
        <v>1</v>
      </c>
      <c r="J195" s="150">
        <f>INDEX('#建筑消耗和buff配置索引'!AH:AH,MATCH($F195,'#建筑消耗和buff配置索引'!$M:$M,0))</f>
        <v>9720</v>
      </c>
      <c r="K195" s="150">
        <f>INDEX('#建筑消耗和buff配置索引'!AA:AA,MATCH($F195,'#建筑消耗和buff配置索引'!$M:$M,0))</f>
        <v>130000</v>
      </c>
      <c r="L195" s="150">
        <f>INDEX('#建筑消耗和buff配置索引'!AB:AB,MATCH($F195,'#建筑消耗和buff配置索引'!$M:$M,0))</f>
        <v>130000</v>
      </c>
      <c r="M195" s="150">
        <f>INDEX('#建筑消耗和buff配置索引'!AC:AC,MATCH($F195,'#建筑消耗和buff配置索引'!$M:$M,0))</f>
        <v>130000</v>
      </c>
      <c r="N195" s="150">
        <f>INDEX('#建筑消耗和buff配置索引'!AD:AD,MATCH($F195,'#建筑消耗和buff配置索引'!$M:$M,0))</f>
        <v>130000</v>
      </c>
      <c r="O195" s="150" t="str">
        <f>IF(INDEX('#建筑消耗和buff配置索引'!T:T,MATCH($F195,'#建筑消耗和buff配置索引'!$M:$M,0))=0,"",INDEX('#建筑消耗和buff配置索引'!T:T,MATCH($F195,'#建筑消耗和buff配置索引'!$M:$M,0)))</f>
        <v/>
      </c>
      <c r="P195" s="133" t="str">
        <f>IF(INDEX('#建筑消耗和buff配置索引'!U:U,MATCH($F195,'#建筑消耗和buff配置索引'!$M:$M,0))=0,"",INDEX('#建筑消耗和buff配置索引'!U:U,MATCH($F195,'#建筑消耗和buff配置索引'!$M:$M,0)))</f>
        <v/>
      </c>
      <c r="Q195" s="133" t="str">
        <f>IF(INDEX('#建筑消耗和buff配置索引'!K:K,MATCH($F195,'#建筑消耗和buff配置索引'!$M:$M,0))=0,"",INDEX('#建筑消耗和buff配置索引'!K:K,MATCH($F195,'#建筑消耗和buff配置索引'!$M:$M,0)))</f>
        <v>201;205</v>
      </c>
      <c r="R195" s="133" t="str">
        <f>IF(INDEX('#建筑消耗和buff配置索引'!L:L,MATCH($F195,'#建筑消耗和buff配置索引'!$M:$M,0))=0,"",INDEX('#建筑消耗和buff配置索引'!L:L,MATCH($F195,'#建筑消耗和buff配置索引'!$M:$M,0)))</f>
        <v>11;11</v>
      </c>
      <c r="S195" s="133">
        <f>IF(INDEX('#建筑消耗和buff配置索引'!C:C,MATCH(F195,'#建筑消耗和buff配置索引'!M:M,0))=0,1,INDEX('#建筑消耗和buff配置索引'!C:C,MATCH(F195,'#建筑消耗和buff配置索引'!M:M,0)))</f>
        <v>2</v>
      </c>
      <c r="T195" s="133">
        <v>0</v>
      </c>
      <c r="U195" s="133">
        <v>0</v>
      </c>
      <c r="V195" s="133" t="str">
        <f>IF(E195=1,IF(INDEX('#建筑消耗和buff配置索引'!BY:BY,MATCH(D195,'#建筑消耗和buff配置索引'!A:A,0))=0,"",INDEX('#建筑消耗和buff配置索引'!BY:BY,MATCH(D195,'#建筑消耗和buff配置索引'!A:A,0))),"")</f>
        <v/>
      </c>
      <c r="W195" s="133" t="str">
        <f>IF(E195=1,IF(INDEX('#建筑消耗和buff配置索引'!BZ:BZ,MATCH(D195,'#建筑消耗和buff配置索引'!A:A,0))=0,"",INDEX('#建筑消耗和buff配置索引'!BZ:BZ,MATCH(D195,'#建筑消耗和buff配置索引'!A:A,0))),"")</f>
        <v/>
      </c>
      <c r="AA195" s="133">
        <f>INDEX('#建筑消耗和buff配置索引'!AO:AO,MATCH($F195,'#建筑消耗和buff配置索引'!$M:$M,0))</f>
        <v>2770</v>
      </c>
      <c r="AB195" s="133">
        <f>IF(INDEX('#建筑消耗和buff配置索引'!AR:AR,MATCH($F195,'#建筑消耗和buff配置索引'!$M:$M,0))=0,"",INDEX('#建筑消耗和buff配置索引'!AR:AR,MATCH($F195,'#建筑消耗和buff配置索引'!$M:$M,0)))</f>
        <v>3000</v>
      </c>
      <c r="AC195" s="133">
        <f>IF(AB195="","",INDEX('#建筑消耗和buff配置索引'!AS:AS,MATCH($F195,'#建筑消耗和buff配置索引'!$M:$M,0)))</f>
        <v>0.05</v>
      </c>
      <c r="AF195" s="133">
        <f>IF(INDEX('#建筑消耗和buff配置索引'!AW:AW,MATCH($F195,'#建筑消耗和buff配置索引'!$M:$M,0))=0,"",INDEX('#建筑消耗和buff配置索引'!AW:AW,MATCH($F195,'#建筑消耗和buff配置索引'!$M:$M,0)))</f>
        <v>3014</v>
      </c>
      <c r="AG195" s="133">
        <f>IF(AF195="","",INDEX('#建筑消耗和buff配置索引'!AX:AX,MATCH($F195,'#建筑消耗和buff配置索引'!$M:$M,0)))</f>
        <v>500</v>
      </c>
      <c r="AJ195" s="133" t="str">
        <f>IF(INDEX('#建筑消耗和buff配置索引'!BB:BB,MATCH($F195,'#建筑消耗和buff配置索引'!$M:$M,0))=0,"",INDEX('#建筑消耗和buff配置索引'!BB:BB,MATCH($F195,'#建筑消耗和buff配置索引'!$M:$M,0)))</f>
        <v/>
      </c>
      <c r="AK195" s="133" t="str">
        <f>IF(AJ195="","",INDEX('#建筑消耗和buff配置索引'!BC:BC,MATCH($F195,'#建筑消耗和buff配置索引'!$M:$M,0)))</f>
        <v/>
      </c>
      <c r="AN195" s="133" t="str">
        <f>IF(INDEX('#建筑消耗和buff配置索引'!BG:BG,MATCH($F195,'#建筑消耗和buff配置索引'!$M:$M,0))=0,"",INDEX('#建筑消耗和buff配置索引'!BG:BG,MATCH($F195,'#建筑消耗和buff配置索引'!$M:$M,0)))</f>
        <v/>
      </c>
      <c r="AO195" s="133" t="str">
        <f>IF(AN195="","",INDEX('#建筑消耗和buff配置索引'!BH:BH,MATCH($F195,'#建筑消耗和buff配置索引'!$M:$M,0)))</f>
        <v/>
      </c>
      <c r="AR195" s="133" t="str">
        <f>IF(INDEX('#建筑消耗和buff配置索引'!BK:BK,MATCH($F195,'#建筑消耗和buff配置索引'!$M:$M,0))=0,"",INDEX('#建筑消耗和buff配置索引'!BK:BK,MATCH($F195,'#建筑消耗和buff配置索引'!$M:$M,0)))</f>
        <v/>
      </c>
      <c r="AS195" s="133" t="str">
        <f>IF(AR195="","",INDEX('#建筑消耗和buff配置索引'!BL:BL,MATCH($F195,'#建筑消耗和buff配置索引'!$M:$M,0)))</f>
        <v/>
      </c>
      <c r="AV195" s="133" t="str">
        <f>IF(INDEX('#建筑消耗和buff配置索引'!BO:BO,MATCH($F195,'#建筑消耗和buff配置索引'!$M:$M,0))=0,"",INDEX('#建筑消耗和buff配置索引'!BO:BO,MATCH($F195,'#建筑消耗和buff配置索引'!$M:$M,0)))</f>
        <v/>
      </c>
      <c r="AW195" s="133" t="str">
        <f>IF(AV195="","",INDEX('#建筑消耗和buff配置索引'!BP:BP,MATCH($F195,'#建筑消耗和buff配置索引'!$M:$M,0)))</f>
        <v/>
      </c>
      <c r="AZ195" s="133" t="str">
        <f>IF(INDEX('#建筑消耗和buff配置索引'!BS:BS,MATCH($F195,'#建筑消耗和buff配置索引'!$M:$M,0))=0,"",INDEX('#建筑消耗和buff配置索引'!BS:BS,MATCH($F195,'#建筑消耗和buff配置索引'!$M:$M,0)))</f>
        <v/>
      </c>
      <c r="BA195" s="133" t="str">
        <f>IF(AZ195="","",INDEX('#建筑消耗和buff配置索引'!BT:BT,MATCH($F195,'#建筑消耗和buff配置索引'!$M:$M,0)))</f>
        <v/>
      </c>
      <c r="BD195" s="133" t="str">
        <f>IF(INDEX('#建筑消耗和buff配置索引'!BW:BW,MATCH($F195,'#建筑消耗和buff配置索引'!$M:$M,0))=0,"",INDEX('#建筑消耗和buff配置索引'!BW:BW,MATCH($F195,'#建筑消耗和buff配置索引'!$M:$M,0)))</f>
        <v/>
      </c>
      <c r="BE195" s="133" t="str">
        <f>IF(BD195="","",INDEX('#建筑消耗和buff配置索引'!BX:BX,MATCH($F195,'#建筑消耗和buff配置索引'!$M:$M,0)))</f>
        <v/>
      </c>
      <c r="BI195" s="133">
        <v>11</v>
      </c>
    </row>
    <row r="196" spans="1:62" s="133" customFormat="1">
      <c r="A196" s="133">
        <v>2090012</v>
      </c>
      <c r="B196" s="133">
        <v>193</v>
      </c>
      <c r="C196" s="133">
        <v>209</v>
      </c>
      <c r="D196" s="133" t="s">
        <v>344</v>
      </c>
      <c r="E196" s="133">
        <v>12</v>
      </c>
      <c r="F196" s="133" t="str">
        <f t="shared" si="5"/>
        <v>马厩12</v>
      </c>
      <c r="H196" s="146"/>
      <c r="I196" s="133">
        <v>2</v>
      </c>
      <c r="J196" s="150">
        <f>INDEX('#建筑消耗和buff配置索引'!AH:AH,MATCH($F196,'#建筑消耗和buff配置索引'!$M:$M,0))</f>
        <v>12960</v>
      </c>
      <c r="K196" s="150">
        <f>INDEX('#建筑消耗和buff配置索引'!AA:AA,MATCH($F196,'#建筑消耗和buff配置索引'!$M:$M,0))</f>
        <v>190000</v>
      </c>
      <c r="L196" s="150">
        <f>INDEX('#建筑消耗和buff配置索引'!AB:AB,MATCH($F196,'#建筑消耗和buff配置索引'!$M:$M,0))</f>
        <v>190000</v>
      </c>
      <c r="M196" s="150">
        <f>INDEX('#建筑消耗和buff配置索引'!AC:AC,MATCH($F196,'#建筑消耗和buff配置索引'!$M:$M,0))</f>
        <v>190000</v>
      </c>
      <c r="N196" s="150">
        <f>INDEX('#建筑消耗和buff配置索引'!AD:AD,MATCH($F196,'#建筑消耗和buff配置索引'!$M:$M,0))</f>
        <v>190000</v>
      </c>
      <c r="O196" s="150" t="str">
        <f>IF(INDEX('#建筑消耗和buff配置索引'!T:T,MATCH($F196,'#建筑消耗和buff配置索引'!$M:$M,0))=0,"",INDEX('#建筑消耗和buff配置索引'!T:T,MATCH($F196,'#建筑消耗和buff配置索引'!$M:$M,0)))</f>
        <v/>
      </c>
      <c r="P196" s="133" t="str">
        <f>IF(INDEX('#建筑消耗和buff配置索引'!U:U,MATCH($F196,'#建筑消耗和buff配置索引'!$M:$M,0))=0,"",INDEX('#建筑消耗和buff配置索引'!U:U,MATCH($F196,'#建筑消耗和buff配置索引'!$M:$M,0)))</f>
        <v/>
      </c>
      <c r="Q196" s="133" t="str">
        <f>IF(INDEX('#建筑消耗和buff配置索引'!K:K,MATCH($F196,'#建筑消耗和buff配置索引'!$M:$M,0))=0,"",INDEX('#建筑消耗和buff配置索引'!K:K,MATCH($F196,'#建筑消耗和buff配置索引'!$M:$M,0)))</f>
        <v>201;205</v>
      </c>
      <c r="R196" s="133" t="str">
        <f>IF(INDEX('#建筑消耗和buff配置索引'!L:L,MATCH($F196,'#建筑消耗和buff配置索引'!$M:$M,0))=0,"",INDEX('#建筑消耗和buff配置索引'!L:L,MATCH($F196,'#建筑消耗和buff配置索引'!$M:$M,0)))</f>
        <v>12;12</v>
      </c>
      <c r="S196" s="133">
        <f>IF(INDEX('#建筑消耗和buff配置索引'!C:C,MATCH(F196,'#建筑消耗和buff配置索引'!M:M,0))=0,1,INDEX('#建筑消耗和buff配置索引'!C:C,MATCH(F196,'#建筑消耗和buff配置索引'!M:M,0)))</f>
        <v>2</v>
      </c>
      <c r="T196" s="133">
        <v>0</v>
      </c>
      <c r="U196" s="133">
        <v>0</v>
      </c>
      <c r="V196" s="133" t="str">
        <f>IF(E196=1,IF(INDEX('#建筑消耗和buff配置索引'!BY:BY,MATCH(D196,'#建筑消耗和buff配置索引'!A:A,0))=0,"",INDEX('#建筑消耗和buff配置索引'!BY:BY,MATCH(D196,'#建筑消耗和buff配置索引'!A:A,0))),"")</f>
        <v/>
      </c>
      <c r="W196" s="133" t="str">
        <f>IF(E196=1,IF(INDEX('#建筑消耗和buff配置索引'!BZ:BZ,MATCH(D196,'#建筑消耗和buff配置索引'!A:A,0))=0,"",INDEX('#建筑消耗和buff配置索引'!BZ:BZ,MATCH(D196,'#建筑消耗和buff配置索引'!A:A,0))),"")</f>
        <v/>
      </c>
      <c r="AA196" s="133">
        <f>INDEX('#建筑消耗和buff配置索引'!AO:AO,MATCH($F196,'#建筑消耗和buff配置索引'!$M:$M,0))</f>
        <v>4273</v>
      </c>
      <c r="AB196" s="133">
        <f>IF(INDEX('#建筑消耗和buff配置索引'!AR:AR,MATCH($F196,'#建筑消耗和buff配置索引'!$M:$M,0))=0,"",INDEX('#建筑消耗和buff配置索引'!AR:AR,MATCH($F196,'#建筑消耗和buff配置索引'!$M:$M,0)))</f>
        <v>3000</v>
      </c>
      <c r="AC196" s="133">
        <f>IF(AB196="","",INDEX('#建筑消耗和buff配置索引'!AS:AS,MATCH($F196,'#建筑消耗和buff配置索引'!$M:$M,0)))</f>
        <v>5.5E-2</v>
      </c>
      <c r="AF196" s="133">
        <f>IF(INDEX('#建筑消耗和buff配置索引'!AW:AW,MATCH($F196,'#建筑消耗和buff配置索引'!$M:$M,0))=0,"",INDEX('#建筑消耗和buff配置索引'!AW:AW,MATCH($F196,'#建筑消耗和buff配置索引'!$M:$M,0)))</f>
        <v>3014</v>
      </c>
      <c r="AG196" s="133">
        <f>IF(AF196="","",INDEX('#建筑消耗和buff配置索引'!AX:AX,MATCH($F196,'#建筑消耗和buff配置索引'!$M:$M,0)))</f>
        <v>550</v>
      </c>
      <c r="AJ196" s="133" t="str">
        <f>IF(INDEX('#建筑消耗和buff配置索引'!BB:BB,MATCH($F196,'#建筑消耗和buff配置索引'!$M:$M,0))=0,"",INDEX('#建筑消耗和buff配置索引'!BB:BB,MATCH($F196,'#建筑消耗和buff配置索引'!$M:$M,0)))</f>
        <v/>
      </c>
      <c r="AK196" s="133" t="str">
        <f>IF(AJ196="","",INDEX('#建筑消耗和buff配置索引'!BC:BC,MATCH($F196,'#建筑消耗和buff配置索引'!$M:$M,0)))</f>
        <v/>
      </c>
      <c r="AN196" s="133" t="str">
        <f>IF(INDEX('#建筑消耗和buff配置索引'!BG:BG,MATCH($F196,'#建筑消耗和buff配置索引'!$M:$M,0))=0,"",INDEX('#建筑消耗和buff配置索引'!BG:BG,MATCH($F196,'#建筑消耗和buff配置索引'!$M:$M,0)))</f>
        <v/>
      </c>
      <c r="AO196" s="133" t="str">
        <f>IF(AN196="","",INDEX('#建筑消耗和buff配置索引'!BH:BH,MATCH($F196,'#建筑消耗和buff配置索引'!$M:$M,0)))</f>
        <v/>
      </c>
      <c r="AR196" s="133" t="str">
        <f>IF(INDEX('#建筑消耗和buff配置索引'!BK:BK,MATCH($F196,'#建筑消耗和buff配置索引'!$M:$M,0))=0,"",INDEX('#建筑消耗和buff配置索引'!BK:BK,MATCH($F196,'#建筑消耗和buff配置索引'!$M:$M,0)))</f>
        <v/>
      </c>
      <c r="AS196" s="133" t="str">
        <f>IF(AR196="","",INDEX('#建筑消耗和buff配置索引'!BL:BL,MATCH($F196,'#建筑消耗和buff配置索引'!$M:$M,0)))</f>
        <v/>
      </c>
      <c r="AV196" s="133" t="str">
        <f>IF(INDEX('#建筑消耗和buff配置索引'!BO:BO,MATCH($F196,'#建筑消耗和buff配置索引'!$M:$M,0))=0,"",INDEX('#建筑消耗和buff配置索引'!BO:BO,MATCH($F196,'#建筑消耗和buff配置索引'!$M:$M,0)))</f>
        <v/>
      </c>
      <c r="AW196" s="133" t="str">
        <f>IF(AV196="","",INDEX('#建筑消耗和buff配置索引'!BP:BP,MATCH($F196,'#建筑消耗和buff配置索引'!$M:$M,0)))</f>
        <v/>
      </c>
      <c r="AZ196" s="133" t="str">
        <f>IF(INDEX('#建筑消耗和buff配置索引'!BS:BS,MATCH($F196,'#建筑消耗和buff配置索引'!$M:$M,0))=0,"",INDEX('#建筑消耗和buff配置索引'!BS:BS,MATCH($F196,'#建筑消耗和buff配置索引'!$M:$M,0)))</f>
        <v/>
      </c>
      <c r="BA196" s="133" t="str">
        <f>IF(AZ196="","",INDEX('#建筑消耗和buff配置索引'!BT:BT,MATCH($F196,'#建筑消耗和buff配置索引'!$M:$M,0)))</f>
        <v/>
      </c>
      <c r="BD196" s="133" t="str">
        <f>IF(INDEX('#建筑消耗和buff配置索引'!BW:BW,MATCH($F196,'#建筑消耗和buff配置索引'!$M:$M,0))=0,"",INDEX('#建筑消耗和buff配置索引'!BW:BW,MATCH($F196,'#建筑消耗和buff配置索引'!$M:$M,0)))</f>
        <v/>
      </c>
      <c r="BE196" s="133" t="str">
        <f>IF(BD196="","",INDEX('#建筑消耗和buff配置索引'!BX:BX,MATCH($F196,'#建筑消耗和buff配置索引'!$M:$M,0)))</f>
        <v/>
      </c>
      <c r="BI196" s="133">
        <v>11</v>
      </c>
    </row>
    <row r="197" spans="1:62" s="133" customFormat="1">
      <c r="A197" s="133">
        <v>2090013</v>
      </c>
      <c r="B197" s="133">
        <v>194</v>
      </c>
      <c r="C197" s="133">
        <v>209</v>
      </c>
      <c r="D197" s="133" t="s">
        <v>344</v>
      </c>
      <c r="E197" s="133">
        <v>13</v>
      </c>
      <c r="F197" s="133" t="str">
        <f t="shared" si="5"/>
        <v>马厩13</v>
      </c>
      <c r="H197" s="146"/>
      <c r="I197" s="133">
        <v>2</v>
      </c>
      <c r="J197" s="150">
        <f>INDEX('#建筑消耗和buff配置索引'!AH:AH,MATCH($F197,'#建筑消耗和buff配置索引'!$M:$M,0))</f>
        <v>17280</v>
      </c>
      <c r="K197" s="150">
        <f>INDEX('#建筑消耗和buff配置索引'!AA:AA,MATCH($F197,'#建筑消耗和buff配置索引'!$M:$M,0))</f>
        <v>260000</v>
      </c>
      <c r="L197" s="150">
        <f>INDEX('#建筑消耗和buff配置索引'!AB:AB,MATCH($F197,'#建筑消耗和buff配置索引'!$M:$M,0))</f>
        <v>260000</v>
      </c>
      <c r="M197" s="150">
        <f>INDEX('#建筑消耗和buff配置索引'!AC:AC,MATCH($F197,'#建筑消耗和buff配置索引'!$M:$M,0))</f>
        <v>260000</v>
      </c>
      <c r="N197" s="150">
        <f>INDEX('#建筑消耗和buff配置索引'!AD:AD,MATCH($F197,'#建筑消耗和buff配置索引'!$M:$M,0))</f>
        <v>260000</v>
      </c>
      <c r="O197" s="150" t="str">
        <f>IF(INDEX('#建筑消耗和buff配置索引'!T:T,MATCH($F197,'#建筑消耗和buff配置索引'!$M:$M,0))=0,"",INDEX('#建筑消耗和buff配置索引'!T:T,MATCH($F197,'#建筑消耗和buff配置索引'!$M:$M,0)))</f>
        <v/>
      </c>
      <c r="P197" s="133" t="str">
        <f>IF(INDEX('#建筑消耗和buff配置索引'!U:U,MATCH($F197,'#建筑消耗和buff配置索引'!$M:$M,0))=0,"",INDEX('#建筑消耗和buff配置索引'!U:U,MATCH($F197,'#建筑消耗和buff配置索引'!$M:$M,0)))</f>
        <v/>
      </c>
      <c r="Q197" s="133" t="str">
        <f>IF(INDEX('#建筑消耗和buff配置索引'!K:K,MATCH($F197,'#建筑消耗和buff配置索引'!$M:$M,0))=0,"",INDEX('#建筑消耗和buff配置索引'!K:K,MATCH($F197,'#建筑消耗和buff配置索引'!$M:$M,0)))</f>
        <v>201;205</v>
      </c>
      <c r="R197" s="133" t="str">
        <f>IF(INDEX('#建筑消耗和buff配置索引'!L:L,MATCH($F197,'#建筑消耗和buff配置索引'!$M:$M,0))=0,"",INDEX('#建筑消耗和buff配置索引'!L:L,MATCH($F197,'#建筑消耗和buff配置索引'!$M:$M,0)))</f>
        <v>13;13</v>
      </c>
      <c r="S197" s="133">
        <f>IF(INDEX('#建筑消耗和buff配置索引'!C:C,MATCH(F197,'#建筑消耗和buff配置索引'!M:M,0))=0,1,INDEX('#建筑消耗和buff配置索引'!C:C,MATCH(F197,'#建筑消耗和buff配置索引'!M:M,0)))</f>
        <v>2</v>
      </c>
      <c r="T197" s="133">
        <v>0</v>
      </c>
      <c r="U197" s="133">
        <v>0</v>
      </c>
      <c r="V197" s="133" t="str">
        <f>IF(E197=1,IF(INDEX('#建筑消耗和buff配置索引'!BY:BY,MATCH(D197,'#建筑消耗和buff配置索引'!A:A,0))=0,"",INDEX('#建筑消耗和buff配置索引'!BY:BY,MATCH(D197,'#建筑消耗和buff配置索引'!A:A,0))),"")</f>
        <v/>
      </c>
      <c r="W197" s="133" t="str">
        <f>IF(E197=1,IF(INDEX('#建筑消耗和buff配置索引'!BZ:BZ,MATCH(D197,'#建筑消耗和buff配置索引'!A:A,0))=0,"",INDEX('#建筑消耗和buff配置索引'!BZ:BZ,MATCH(D197,'#建筑消耗和buff配置索引'!A:A,0))),"")</f>
        <v/>
      </c>
      <c r="AA197" s="133">
        <f>INDEX('#建筑消耗和buff配置索引'!AO:AO,MATCH($F197,'#建筑消耗和buff配置索引'!$M:$M,0))</f>
        <v>6333</v>
      </c>
      <c r="AB197" s="133">
        <f>IF(INDEX('#建筑消耗和buff配置索引'!AR:AR,MATCH($F197,'#建筑消耗和buff配置索引'!$M:$M,0))=0,"",INDEX('#建筑消耗和buff配置索引'!AR:AR,MATCH($F197,'#建筑消耗和buff配置索引'!$M:$M,0)))</f>
        <v>3000</v>
      </c>
      <c r="AC197" s="133">
        <f>IF(AB197="","",INDEX('#建筑消耗和buff配置索引'!AS:AS,MATCH($F197,'#建筑消耗和buff配置索引'!$M:$M,0)))</f>
        <v>0.06</v>
      </c>
      <c r="AF197" s="133">
        <f>IF(INDEX('#建筑消耗和buff配置索引'!AW:AW,MATCH($F197,'#建筑消耗和buff配置索引'!$M:$M,0))=0,"",INDEX('#建筑消耗和buff配置索引'!AW:AW,MATCH($F197,'#建筑消耗和buff配置索引'!$M:$M,0)))</f>
        <v>3014</v>
      </c>
      <c r="AG197" s="133">
        <f>IF(AF197="","",INDEX('#建筑消耗和buff配置索引'!AX:AX,MATCH($F197,'#建筑消耗和buff配置索引'!$M:$M,0)))</f>
        <v>600</v>
      </c>
      <c r="AJ197" s="133" t="str">
        <f>IF(INDEX('#建筑消耗和buff配置索引'!BB:BB,MATCH($F197,'#建筑消耗和buff配置索引'!$M:$M,0))=0,"",INDEX('#建筑消耗和buff配置索引'!BB:BB,MATCH($F197,'#建筑消耗和buff配置索引'!$M:$M,0)))</f>
        <v/>
      </c>
      <c r="AK197" s="133" t="str">
        <f>IF(AJ197="","",INDEX('#建筑消耗和buff配置索引'!BC:BC,MATCH($F197,'#建筑消耗和buff配置索引'!$M:$M,0)))</f>
        <v/>
      </c>
      <c r="AN197" s="133" t="str">
        <f>IF(INDEX('#建筑消耗和buff配置索引'!BG:BG,MATCH($F197,'#建筑消耗和buff配置索引'!$M:$M,0))=0,"",INDEX('#建筑消耗和buff配置索引'!BG:BG,MATCH($F197,'#建筑消耗和buff配置索引'!$M:$M,0)))</f>
        <v/>
      </c>
      <c r="AO197" s="133" t="str">
        <f>IF(AN197="","",INDEX('#建筑消耗和buff配置索引'!BH:BH,MATCH($F197,'#建筑消耗和buff配置索引'!$M:$M,0)))</f>
        <v/>
      </c>
      <c r="AR197" s="133" t="str">
        <f>IF(INDEX('#建筑消耗和buff配置索引'!BK:BK,MATCH($F197,'#建筑消耗和buff配置索引'!$M:$M,0))=0,"",INDEX('#建筑消耗和buff配置索引'!BK:BK,MATCH($F197,'#建筑消耗和buff配置索引'!$M:$M,0)))</f>
        <v/>
      </c>
      <c r="AS197" s="133" t="str">
        <f>IF(AR197="","",INDEX('#建筑消耗和buff配置索引'!BL:BL,MATCH($F197,'#建筑消耗和buff配置索引'!$M:$M,0)))</f>
        <v/>
      </c>
      <c r="AV197" s="133" t="str">
        <f>IF(INDEX('#建筑消耗和buff配置索引'!BO:BO,MATCH($F197,'#建筑消耗和buff配置索引'!$M:$M,0))=0,"",INDEX('#建筑消耗和buff配置索引'!BO:BO,MATCH($F197,'#建筑消耗和buff配置索引'!$M:$M,0)))</f>
        <v/>
      </c>
      <c r="AW197" s="133" t="str">
        <f>IF(AV197="","",INDEX('#建筑消耗和buff配置索引'!BP:BP,MATCH($F197,'#建筑消耗和buff配置索引'!$M:$M,0)))</f>
        <v/>
      </c>
      <c r="AZ197" s="133" t="str">
        <f>IF(INDEX('#建筑消耗和buff配置索引'!BS:BS,MATCH($F197,'#建筑消耗和buff配置索引'!$M:$M,0))=0,"",INDEX('#建筑消耗和buff配置索引'!BS:BS,MATCH($F197,'#建筑消耗和buff配置索引'!$M:$M,0)))</f>
        <v/>
      </c>
      <c r="BA197" s="133" t="str">
        <f>IF(AZ197="","",INDEX('#建筑消耗和buff配置索引'!BT:BT,MATCH($F197,'#建筑消耗和buff配置索引'!$M:$M,0)))</f>
        <v/>
      </c>
      <c r="BD197" s="133" t="str">
        <f>IF(INDEX('#建筑消耗和buff配置索引'!BW:BW,MATCH($F197,'#建筑消耗和buff配置索引'!$M:$M,0))=0,"",INDEX('#建筑消耗和buff配置索引'!BW:BW,MATCH($F197,'#建筑消耗和buff配置索引'!$M:$M,0)))</f>
        <v/>
      </c>
      <c r="BE197" s="133" t="str">
        <f>IF(BD197="","",INDEX('#建筑消耗和buff配置索引'!BX:BX,MATCH($F197,'#建筑消耗和buff配置索引'!$M:$M,0)))</f>
        <v/>
      </c>
      <c r="BI197" s="133">
        <v>11</v>
      </c>
    </row>
    <row r="198" spans="1:62" s="133" customFormat="1">
      <c r="A198" s="133">
        <v>2090014</v>
      </c>
      <c r="B198" s="133">
        <v>195</v>
      </c>
      <c r="C198" s="133">
        <v>209</v>
      </c>
      <c r="D198" s="133" t="s">
        <v>344</v>
      </c>
      <c r="E198" s="133">
        <v>14</v>
      </c>
      <c r="F198" s="133" t="str">
        <f t="shared" si="5"/>
        <v>马厩14</v>
      </c>
      <c r="H198" s="146"/>
      <c r="I198" s="133">
        <v>2</v>
      </c>
      <c r="J198" s="150">
        <f>INDEX('#建筑消耗和buff配置索引'!AH:AH,MATCH($F198,'#建筑消耗和buff配置索引'!$M:$M,0))</f>
        <v>21600</v>
      </c>
      <c r="K198" s="150">
        <f>INDEX('#建筑消耗和buff配置索引'!AA:AA,MATCH($F198,'#建筑消耗和buff配置索引'!$M:$M,0))</f>
        <v>330000</v>
      </c>
      <c r="L198" s="150">
        <f>INDEX('#建筑消耗和buff配置索引'!AB:AB,MATCH($F198,'#建筑消耗和buff配置索引'!$M:$M,0))</f>
        <v>330000</v>
      </c>
      <c r="M198" s="150">
        <f>INDEX('#建筑消耗和buff配置索引'!AC:AC,MATCH($F198,'#建筑消耗和buff配置索引'!$M:$M,0))</f>
        <v>330000</v>
      </c>
      <c r="N198" s="150">
        <f>INDEX('#建筑消耗和buff配置索引'!AD:AD,MATCH($F198,'#建筑消耗和buff配置索引'!$M:$M,0))</f>
        <v>330000</v>
      </c>
      <c r="O198" s="150" t="str">
        <f>IF(INDEX('#建筑消耗和buff配置索引'!T:T,MATCH($F198,'#建筑消耗和buff配置索引'!$M:$M,0))=0,"",INDEX('#建筑消耗和buff配置索引'!T:T,MATCH($F198,'#建筑消耗和buff配置索引'!$M:$M,0)))</f>
        <v/>
      </c>
      <c r="P198" s="133" t="str">
        <f>IF(INDEX('#建筑消耗和buff配置索引'!U:U,MATCH($F198,'#建筑消耗和buff配置索引'!$M:$M,0))=0,"",INDEX('#建筑消耗和buff配置索引'!U:U,MATCH($F198,'#建筑消耗和buff配置索引'!$M:$M,0)))</f>
        <v/>
      </c>
      <c r="Q198" s="133" t="str">
        <f>IF(INDEX('#建筑消耗和buff配置索引'!K:K,MATCH($F198,'#建筑消耗和buff配置索引'!$M:$M,0))=0,"",INDEX('#建筑消耗和buff配置索引'!K:K,MATCH($F198,'#建筑消耗和buff配置索引'!$M:$M,0)))</f>
        <v>201;205</v>
      </c>
      <c r="R198" s="133" t="str">
        <f>IF(INDEX('#建筑消耗和buff配置索引'!L:L,MATCH($F198,'#建筑消耗和buff配置索引'!$M:$M,0))=0,"",INDEX('#建筑消耗和buff配置索引'!L:L,MATCH($F198,'#建筑消耗和buff配置索引'!$M:$M,0)))</f>
        <v>14;14</v>
      </c>
      <c r="S198" s="133">
        <f>IF(INDEX('#建筑消耗和buff配置索引'!C:C,MATCH(F198,'#建筑消耗和buff配置索引'!M:M,0))=0,1,INDEX('#建筑消耗和buff配置索引'!C:C,MATCH(F198,'#建筑消耗和buff配置索引'!M:M,0)))</f>
        <v>2</v>
      </c>
      <c r="T198" s="133">
        <v>0</v>
      </c>
      <c r="U198" s="133">
        <v>0</v>
      </c>
      <c r="V198" s="133" t="str">
        <f>IF(E198=1,IF(INDEX('#建筑消耗和buff配置索引'!BY:BY,MATCH(D198,'#建筑消耗和buff配置索引'!A:A,0))=0,"",INDEX('#建筑消耗和buff配置索引'!BY:BY,MATCH(D198,'#建筑消耗和buff配置索引'!A:A,0))),"")</f>
        <v/>
      </c>
      <c r="W198" s="133" t="str">
        <f>IF(E198=1,IF(INDEX('#建筑消耗和buff配置索引'!BZ:BZ,MATCH(D198,'#建筑消耗和buff配置索引'!A:A,0))=0,"",INDEX('#建筑消耗和buff配置索引'!BZ:BZ,MATCH(D198,'#建筑消耗和buff配置索引'!A:A,0))),"")</f>
        <v/>
      </c>
      <c r="AA198" s="133">
        <f>INDEX('#建筑消耗和buff配置索引'!AO:AO,MATCH($F198,'#建筑消耗和buff配置索引'!$M:$M,0))</f>
        <v>9011</v>
      </c>
      <c r="AB198" s="133">
        <f>IF(INDEX('#建筑消耗和buff配置索引'!AR:AR,MATCH($F198,'#建筑消耗和buff配置索引'!$M:$M,0))=0,"",INDEX('#建筑消耗和buff配置索引'!AR:AR,MATCH($F198,'#建筑消耗和buff配置索引'!$M:$M,0)))</f>
        <v>3000</v>
      </c>
      <c r="AC198" s="133">
        <f>IF(AB198="","",INDEX('#建筑消耗和buff配置索引'!AS:AS,MATCH($F198,'#建筑消耗和buff配置索引'!$M:$M,0)))</f>
        <v>6.5000000000000002E-2</v>
      </c>
      <c r="AF198" s="133">
        <f>IF(INDEX('#建筑消耗和buff配置索引'!AW:AW,MATCH($F198,'#建筑消耗和buff配置索引'!$M:$M,0))=0,"",INDEX('#建筑消耗和buff配置索引'!AW:AW,MATCH($F198,'#建筑消耗和buff配置索引'!$M:$M,0)))</f>
        <v>3014</v>
      </c>
      <c r="AG198" s="133">
        <f>IF(AF198="","",INDEX('#建筑消耗和buff配置索引'!AX:AX,MATCH($F198,'#建筑消耗和buff配置索引'!$M:$M,0)))</f>
        <v>650</v>
      </c>
      <c r="AJ198" s="133" t="str">
        <f>IF(INDEX('#建筑消耗和buff配置索引'!BB:BB,MATCH($F198,'#建筑消耗和buff配置索引'!$M:$M,0))=0,"",INDEX('#建筑消耗和buff配置索引'!BB:BB,MATCH($F198,'#建筑消耗和buff配置索引'!$M:$M,0)))</f>
        <v/>
      </c>
      <c r="AK198" s="133" t="str">
        <f>IF(AJ198="","",INDEX('#建筑消耗和buff配置索引'!BC:BC,MATCH($F198,'#建筑消耗和buff配置索引'!$M:$M,0)))</f>
        <v/>
      </c>
      <c r="AN198" s="133" t="str">
        <f>IF(INDEX('#建筑消耗和buff配置索引'!BG:BG,MATCH($F198,'#建筑消耗和buff配置索引'!$M:$M,0))=0,"",INDEX('#建筑消耗和buff配置索引'!BG:BG,MATCH($F198,'#建筑消耗和buff配置索引'!$M:$M,0)))</f>
        <v/>
      </c>
      <c r="AO198" s="133" t="str">
        <f>IF(AN198="","",INDEX('#建筑消耗和buff配置索引'!BH:BH,MATCH($F198,'#建筑消耗和buff配置索引'!$M:$M,0)))</f>
        <v/>
      </c>
      <c r="AR198" s="133" t="str">
        <f>IF(INDEX('#建筑消耗和buff配置索引'!BK:BK,MATCH($F198,'#建筑消耗和buff配置索引'!$M:$M,0))=0,"",INDEX('#建筑消耗和buff配置索引'!BK:BK,MATCH($F198,'#建筑消耗和buff配置索引'!$M:$M,0)))</f>
        <v/>
      </c>
      <c r="AS198" s="133" t="str">
        <f>IF(AR198="","",INDEX('#建筑消耗和buff配置索引'!BL:BL,MATCH($F198,'#建筑消耗和buff配置索引'!$M:$M,0)))</f>
        <v/>
      </c>
      <c r="AV198" s="133" t="str">
        <f>IF(INDEX('#建筑消耗和buff配置索引'!BO:BO,MATCH($F198,'#建筑消耗和buff配置索引'!$M:$M,0))=0,"",INDEX('#建筑消耗和buff配置索引'!BO:BO,MATCH($F198,'#建筑消耗和buff配置索引'!$M:$M,0)))</f>
        <v/>
      </c>
      <c r="AW198" s="133" t="str">
        <f>IF(AV198="","",INDEX('#建筑消耗和buff配置索引'!BP:BP,MATCH($F198,'#建筑消耗和buff配置索引'!$M:$M,0)))</f>
        <v/>
      </c>
      <c r="AZ198" s="133" t="str">
        <f>IF(INDEX('#建筑消耗和buff配置索引'!BS:BS,MATCH($F198,'#建筑消耗和buff配置索引'!$M:$M,0))=0,"",INDEX('#建筑消耗和buff配置索引'!BS:BS,MATCH($F198,'#建筑消耗和buff配置索引'!$M:$M,0)))</f>
        <v/>
      </c>
      <c r="BA198" s="133" t="str">
        <f>IF(AZ198="","",INDEX('#建筑消耗和buff配置索引'!BT:BT,MATCH($F198,'#建筑消耗和buff配置索引'!$M:$M,0)))</f>
        <v/>
      </c>
      <c r="BD198" s="133" t="str">
        <f>IF(INDEX('#建筑消耗和buff配置索引'!BW:BW,MATCH($F198,'#建筑消耗和buff配置索引'!$M:$M,0))=0,"",INDEX('#建筑消耗和buff配置索引'!BW:BW,MATCH($F198,'#建筑消耗和buff配置索引'!$M:$M,0)))</f>
        <v/>
      </c>
      <c r="BE198" s="133" t="str">
        <f>IF(BD198="","",INDEX('#建筑消耗和buff配置索引'!BX:BX,MATCH($F198,'#建筑消耗和buff配置索引'!$M:$M,0)))</f>
        <v/>
      </c>
      <c r="BI198" s="133">
        <v>11</v>
      </c>
    </row>
    <row r="199" spans="1:62" s="133" customFormat="1">
      <c r="A199" s="133">
        <v>2090015</v>
      </c>
      <c r="B199" s="133">
        <v>196</v>
      </c>
      <c r="C199" s="133">
        <v>209</v>
      </c>
      <c r="D199" s="133" t="s">
        <v>344</v>
      </c>
      <c r="E199" s="133">
        <v>15</v>
      </c>
      <c r="F199" s="133" t="str">
        <f t="shared" si="5"/>
        <v>马厩15</v>
      </c>
      <c r="H199" s="146"/>
      <c r="I199" s="133">
        <v>2</v>
      </c>
      <c r="J199" s="150">
        <f>INDEX('#建筑消耗和buff配置索引'!AH:AH,MATCH($F199,'#建筑消耗和buff配置索引'!$M:$M,0))</f>
        <v>25920</v>
      </c>
      <c r="K199" s="150">
        <f>INDEX('#建筑消耗和buff配置索引'!AA:AA,MATCH($F199,'#建筑消耗和buff配置索引'!$M:$M,0))</f>
        <v>430000</v>
      </c>
      <c r="L199" s="150">
        <f>INDEX('#建筑消耗和buff配置索引'!AB:AB,MATCH($F199,'#建筑消耗和buff配置索引'!$M:$M,0))</f>
        <v>430000</v>
      </c>
      <c r="M199" s="150">
        <f>INDEX('#建筑消耗和buff配置索引'!AC:AC,MATCH($F199,'#建筑消耗和buff配置索引'!$M:$M,0))</f>
        <v>430000</v>
      </c>
      <c r="N199" s="150">
        <f>INDEX('#建筑消耗和buff配置索引'!AD:AD,MATCH($F199,'#建筑消耗和buff配置索引'!$M:$M,0))</f>
        <v>430000</v>
      </c>
      <c r="O199" s="150" t="str">
        <f>IF(INDEX('#建筑消耗和buff配置索引'!T:T,MATCH($F199,'#建筑消耗和buff配置索引'!$M:$M,0))=0,"",INDEX('#建筑消耗和buff配置索引'!T:T,MATCH($F199,'#建筑消耗和buff配置索引'!$M:$M,0)))</f>
        <v/>
      </c>
      <c r="P199" s="133" t="str">
        <f>IF(INDEX('#建筑消耗和buff配置索引'!U:U,MATCH($F199,'#建筑消耗和buff配置索引'!$M:$M,0))=0,"",INDEX('#建筑消耗和buff配置索引'!U:U,MATCH($F199,'#建筑消耗和buff配置索引'!$M:$M,0)))</f>
        <v/>
      </c>
      <c r="Q199" s="133" t="str">
        <f>IF(INDEX('#建筑消耗和buff配置索引'!K:K,MATCH($F199,'#建筑消耗和buff配置索引'!$M:$M,0))=0,"",INDEX('#建筑消耗和buff配置索引'!K:K,MATCH($F199,'#建筑消耗和buff配置索引'!$M:$M,0)))</f>
        <v>201;205</v>
      </c>
      <c r="R199" s="133" t="str">
        <f>IF(INDEX('#建筑消耗和buff配置索引'!L:L,MATCH($F199,'#建筑消耗和buff配置索引'!$M:$M,0))=0,"",INDEX('#建筑消耗和buff配置索引'!L:L,MATCH($F199,'#建筑消耗和buff配置索引'!$M:$M,0)))</f>
        <v>15;15</v>
      </c>
      <c r="S199" s="133">
        <f>IF(INDEX('#建筑消耗和buff配置索引'!C:C,MATCH(F199,'#建筑消耗和buff配置索引'!M:M,0))=0,1,INDEX('#建筑消耗和buff配置索引'!C:C,MATCH(F199,'#建筑消耗和buff配置索引'!M:M,0)))</f>
        <v>2</v>
      </c>
      <c r="T199" s="133">
        <v>0</v>
      </c>
      <c r="U199" s="133">
        <v>0</v>
      </c>
      <c r="V199" s="133" t="str">
        <f>IF(E199=1,IF(INDEX('#建筑消耗和buff配置索引'!BY:BY,MATCH(D199,'#建筑消耗和buff配置索引'!A:A,0))=0,"",INDEX('#建筑消耗和buff配置索引'!BY:BY,MATCH(D199,'#建筑消耗和buff配置索引'!A:A,0))),"")</f>
        <v/>
      </c>
      <c r="W199" s="133" t="str">
        <f>IF(E199=1,IF(INDEX('#建筑消耗和buff配置索引'!BZ:BZ,MATCH(D199,'#建筑消耗和buff配置索引'!A:A,0))=0,"",INDEX('#建筑消耗和buff配置索引'!BZ:BZ,MATCH(D199,'#建筑消耗和buff配置索引'!A:A,0))),"")</f>
        <v/>
      </c>
      <c r="AA199" s="133">
        <f>INDEX('#建筑消耗和buff配置索引'!AO:AO,MATCH($F199,'#建筑消耗和buff配置索引'!$M:$M,0))</f>
        <v>12439</v>
      </c>
      <c r="AB199" s="133">
        <f>IF(INDEX('#建筑消耗和buff配置索引'!AR:AR,MATCH($F199,'#建筑消耗和buff配置索引'!$M:$M,0))=0,"",INDEX('#建筑消耗和buff配置索引'!AR:AR,MATCH($F199,'#建筑消耗和buff配置索引'!$M:$M,0)))</f>
        <v>3000</v>
      </c>
      <c r="AC199" s="133">
        <f>IF(AB199="","",INDEX('#建筑消耗和buff配置索引'!AS:AS,MATCH($F199,'#建筑消耗和buff配置索引'!$M:$M,0)))</f>
        <v>7.0000000000000007E-2</v>
      </c>
      <c r="AF199" s="133">
        <f>IF(INDEX('#建筑消耗和buff配置索引'!AW:AW,MATCH($F199,'#建筑消耗和buff配置索引'!$M:$M,0))=0,"",INDEX('#建筑消耗和buff配置索引'!AW:AW,MATCH($F199,'#建筑消耗和buff配置索引'!$M:$M,0)))</f>
        <v>3014</v>
      </c>
      <c r="AG199" s="133">
        <f>IF(AF199="","",INDEX('#建筑消耗和buff配置索引'!AX:AX,MATCH($F199,'#建筑消耗和buff配置索引'!$M:$M,0)))</f>
        <v>700</v>
      </c>
      <c r="AJ199" s="133" t="str">
        <f>IF(INDEX('#建筑消耗和buff配置索引'!BB:BB,MATCH($F199,'#建筑消耗和buff配置索引'!$M:$M,0))=0,"",INDEX('#建筑消耗和buff配置索引'!BB:BB,MATCH($F199,'#建筑消耗和buff配置索引'!$M:$M,0)))</f>
        <v/>
      </c>
      <c r="AK199" s="133" t="str">
        <f>IF(AJ199="","",INDEX('#建筑消耗和buff配置索引'!BC:BC,MATCH($F199,'#建筑消耗和buff配置索引'!$M:$M,0)))</f>
        <v/>
      </c>
      <c r="AN199" s="133" t="str">
        <f>IF(INDEX('#建筑消耗和buff配置索引'!BG:BG,MATCH($F199,'#建筑消耗和buff配置索引'!$M:$M,0))=0,"",INDEX('#建筑消耗和buff配置索引'!BG:BG,MATCH($F199,'#建筑消耗和buff配置索引'!$M:$M,0)))</f>
        <v/>
      </c>
      <c r="AO199" s="133" t="str">
        <f>IF(AN199="","",INDEX('#建筑消耗和buff配置索引'!BH:BH,MATCH($F199,'#建筑消耗和buff配置索引'!$M:$M,0)))</f>
        <v/>
      </c>
      <c r="AR199" s="133" t="str">
        <f>IF(INDEX('#建筑消耗和buff配置索引'!BK:BK,MATCH($F199,'#建筑消耗和buff配置索引'!$M:$M,0))=0,"",INDEX('#建筑消耗和buff配置索引'!BK:BK,MATCH($F199,'#建筑消耗和buff配置索引'!$M:$M,0)))</f>
        <v/>
      </c>
      <c r="AS199" s="133" t="str">
        <f>IF(AR199="","",INDEX('#建筑消耗和buff配置索引'!BL:BL,MATCH($F199,'#建筑消耗和buff配置索引'!$M:$M,0)))</f>
        <v/>
      </c>
      <c r="AV199" s="133" t="str">
        <f>IF(INDEX('#建筑消耗和buff配置索引'!BO:BO,MATCH($F199,'#建筑消耗和buff配置索引'!$M:$M,0))=0,"",INDEX('#建筑消耗和buff配置索引'!BO:BO,MATCH($F199,'#建筑消耗和buff配置索引'!$M:$M,0)))</f>
        <v/>
      </c>
      <c r="AW199" s="133" t="str">
        <f>IF(AV199="","",INDEX('#建筑消耗和buff配置索引'!BP:BP,MATCH($F199,'#建筑消耗和buff配置索引'!$M:$M,0)))</f>
        <v/>
      </c>
      <c r="AZ199" s="133" t="str">
        <f>IF(INDEX('#建筑消耗和buff配置索引'!BS:BS,MATCH($F199,'#建筑消耗和buff配置索引'!$M:$M,0))=0,"",INDEX('#建筑消耗和buff配置索引'!BS:BS,MATCH($F199,'#建筑消耗和buff配置索引'!$M:$M,0)))</f>
        <v/>
      </c>
      <c r="BA199" s="133" t="str">
        <f>IF(AZ199="","",INDEX('#建筑消耗和buff配置索引'!BT:BT,MATCH($F199,'#建筑消耗和buff配置索引'!$M:$M,0)))</f>
        <v/>
      </c>
      <c r="BD199" s="133" t="str">
        <f>IF(INDEX('#建筑消耗和buff配置索引'!BW:BW,MATCH($F199,'#建筑消耗和buff配置索引'!$M:$M,0))=0,"",INDEX('#建筑消耗和buff配置索引'!BW:BW,MATCH($F199,'#建筑消耗和buff配置索引'!$M:$M,0)))</f>
        <v/>
      </c>
      <c r="BE199" s="133" t="str">
        <f>IF(BD199="","",INDEX('#建筑消耗和buff配置索引'!BX:BX,MATCH($F199,'#建筑消耗和buff配置索引'!$M:$M,0)))</f>
        <v/>
      </c>
      <c r="BI199" s="133">
        <v>11</v>
      </c>
    </row>
    <row r="200" spans="1:62" s="133" customFormat="1">
      <c r="A200" s="133">
        <v>2090016</v>
      </c>
      <c r="B200" s="133">
        <v>197</v>
      </c>
      <c r="C200" s="133">
        <v>209</v>
      </c>
      <c r="D200" s="133" t="s">
        <v>344</v>
      </c>
      <c r="E200" s="133">
        <v>16</v>
      </c>
      <c r="F200" s="133" t="str">
        <f t="shared" si="5"/>
        <v>马厩16</v>
      </c>
      <c r="H200" s="146"/>
      <c r="I200" s="133">
        <v>2</v>
      </c>
      <c r="J200" s="150">
        <f>INDEX('#建筑消耗和buff配置索引'!AH:AH,MATCH($F200,'#建筑消耗和buff配置索引'!$M:$M,0))</f>
        <v>32400</v>
      </c>
      <c r="K200" s="150">
        <f>INDEX('#建筑消耗和buff配置索引'!AA:AA,MATCH($F200,'#建筑消耗和buff配置索引'!$M:$M,0))</f>
        <v>550000</v>
      </c>
      <c r="L200" s="150">
        <f>INDEX('#建筑消耗和buff配置索引'!AB:AB,MATCH($F200,'#建筑消耗和buff配置索引'!$M:$M,0))</f>
        <v>550000</v>
      </c>
      <c r="M200" s="150">
        <f>INDEX('#建筑消耗和buff配置索引'!AC:AC,MATCH($F200,'#建筑消耗和buff配置索引'!$M:$M,0))</f>
        <v>550000</v>
      </c>
      <c r="N200" s="150">
        <f>INDEX('#建筑消耗和buff配置索引'!AD:AD,MATCH($F200,'#建筑消耗和buff配置索引'!$M:$M,0))</f>
        <v>550000</v>
      </c>
      <c r="O200" s="150" t="str">
        <f>IF(INDEX('#建筑消耗和buff配置索引'!T:T,MATCH($F200,'#建筑消耗和buff配置索引'!$M:$M,0))=0,"",INDEX('#建筑消耗和buff配置索引'!T:T,MATCH($F200,'#建筑消耗和buff配置索引'!$M:$M,0)))</f>
        <v/>
      </c>
      <c r="P200" s="133" t="str">
        <f>IF(INDEX('#建筑消耗和buff配置索引'!U:U,MATCH($F200,'#建筑消耗和buff配置索引'!$M:$M,0))=0,"",INDEX('#建筑消耗和buff配置索引'!U:U,MATCH($F200,'#建筑消耗和buff配置索引'!$M:$M,0)))</f>
        <v/>
      </c>
      <c r="Q200" s="133" t="str">
        <f>IF(INDEX('#建筑消耗和buff配置索引'!K:K,MATCH($F200,'#建筑消耗和buff配置索引'!$M:$M,0))=0,"",INDEX('#建筑消耗和buff配置索引'!K:K,MATCH($F200,'#建筑消耗和buff配置索引'!$M:$M,0)))</f>
        <v>201;205</v>
      </c>
      <c r="R200" s="133" t="str">
        <f>IF(INDEX('#建筑消耗和buff配置索引'!L:L,MATCH($F200,'#建筑消耗和buff配置索引'!$M:$M,0))=0,"",INDEX('#建筑消耗和buff配置索引'!L:L,MATCH($F200,'#建筑消耗和buff配置索引'!$M:$M,0)))</f>
        <v>16;16</v>
      </c>
      <c r="S200" s="133">
        <f>IF(INDEX('#建筑消耗和buff配置索引'!C:C,MATCH(F200,'#建筑消耗和buff配置索引'!M:M,0))=0,1,INDEX('#建筑消耗和buff配置索引'!C:C,MATCH(F200,'#建筑消耗和buff配置索引'!M:M,0)))</f>
        <v>2</v>
      </c>
      <c r="T200" s="133">
        <v>0</v>
      </c>
      <c r="U200" s="133">
        <v>0</v>
      </c>
      <c r="V200" s="133" t="str">
        <f>IF(E200=1,IF(INDEX('#建筑消耗和buff配置索引'!BY:BY,MATCH(D200,'#建筑消耗和buff配置索引'!A:A,0))=0,"",INDEX('#建筑消耗和buff配置索引'!BY:BY,MATCH(D200,'#建筑消耗和buff配置索引'!A:A,0))),"")</f>
        <v/>
      </c>
      <c r="W200" s="133" t="str">
        <f>IF(E200=1,IF(INDEX('#建筑消耗和buff配置索引'!BZ:BZ,MATCH(D200,'#建筑消耗和buff配置索引'!A:A,0))=0,"",INDEX('#建筑消耗和buff配置索引'!BZ:BZ,MATCH(D200,'#建筑消耗和buff配置索引'!A:A,0))),"")</f>
        <v/>
      </c>
      <c r="X200" s="133" t="str">
        <f>INDEX('#建筑消耗和buff配置索引'!BC:BC,MATCH(F200,'#建筑消耗和buff配置索引'!M:M,0))*100&amp;"%"</f>
        <v>0%</v>
      </c>
      <c r="AA200" s="133">
        <f>INDEX('#建筑消耗和buff配置索引'!AO:AO,MATCH($F200,'#建筑消耗和buff配置索引'!$M:$M,0))</f>
        <v>16827</v>
      </c>
      <c r="AB200" s="133">
        <f>IF(INDEX('#建筑消耗和buff配置索引'!AR:AR,MATCH($F200,'#建筑消耗和buff配置索引'!$M:$M,0))=0,"",INDEX('#建筑消耗和buff配置索引'!AR:AR,MATCH($F200,'#建筑消耗和buff配置索引'!$M:$M,0)))</f>
        <v>3000</v>
      </c>
      <c r="AC200" s="133">
        <f>IF(AB200="","",INDEX('#建筑消耗和buff配置索引'!AS:AS,MATCH($F200,'#建筑消耗和buff配置索引'!$M:$M,0)))</f>
        <v>7.4999999999999997E-2</v>
      </c>
      <c r="AF200" s="133">
        <f>IF(INDEX('#建筑消耗和buff配置索引'!AW:AW,MATCH($F200,'#建筑消耗和buff配置索引'!$M:$M,0))=0,"",INDEX('#建筑消耗和buff配置索引'!AW:AW,MATCH($F200,'#建筑消耗和buff配置索引'!$M:$M,0)))</f>
        <v>3014</v>
      </c>
      <c r="AG200" s="133">
        <f>IF(AF200="","",INDEX('#建筑消耗和buff配置索引'!AX:AX,MATCH($F200,'#建筑消耗和buff配置索引'!$M:$M,0)))</f>
        <v>750</v>
      </c>
      <c r="AJ200" s="133" t="str">
        <f>IF(INDEX('#建筑消耗和buff配置索引'!BB:BB,MATCH($F200,'#建筑消耗和buff配置索引'!$M:$M,0))=0,"",INDEX('#建筑消耗和buff配置索引'!BB:BB,MATCH($F200,'#建筑消耗和buff配置索引'!$M:$M,0)))</f>
        <v/>
      </c>
      <c r="AK200" s="133" t="str">
        <f>IF(AJ200="","",INDEX('#建筑消耗和buff配置索引'!BC:BC,MATCH($F200,'#建筑消耗和buff配置索引'!$M:$M,0)))</f>
        <v/>
      </c>
      <c r="AN200" s="133" t="str">
        <f>IF(INDEX('#建筑消耗和buff配置索引'!BG:BG,MATCH($F200,'#建筑消耗和buff配置索引'!$M:$M,0))=0,"",INDEX('#建筑消耗和buff配置索引'!BG:BG,MATCH($F200,'#建筑消耗和buff配置索引'!$M:$M,0)))</f>
        <v/>
      </c>
      <c r="AO200" s="133" t="str">
        <f>IF(AN200="","",INDEX('#建筑消耗和buff配置索引'!BH:BH,MATCH($F200,'#建筑消耗和buff配置索引'!$M:$M,0)))</f>
        <v/>
      </c>
      <c r="AR200" s="133" t="str">
        <f>IF(INDEX('#建筑消耗和buff配置索引'!BK:BK,MATCH($F200,'#建筑消耗和buff配置索引'!$M:$M,0))=0,"",INDEX('#建筑消耗和buff配置索引'!BK:BK,MATCH($F200,'#建筑消耗和buff配置索引'!$M:$M,0)))</f>
        <v/>
      </c>
      <c r="AS200" s="133" t="str">
        <f>IF(AR200="","",INDEX('#建筑消耗和buff配置索引'!BL:BL,MATCH($F200,'#建筑消耗和buff配置索引'!$M:$M,0)))</f>
        <v/>
      </c>
      <c r="AV200" s="133" t="str">
        <f>IF(INDEX('#建筑消耗和buff配置索引'!BO:BO,MATCH($F200,'#建筑消耗和buff配置索引'!$M:$M,0))=0,"",INDEX('#建筑消耗和buff配置索引'!BO:BO,MATCH($F200,'#建筑消耗和buff配置索引'!$M:$M,0)))</f>
        <v/>
      </c>
      <c r="AW200" s="133" t="str">
        <f>IF(AV200="","",INDEX('#建筑消耗和buff配置索引'!BP:BP,MATCH($F200,'#建筑消耗和buff配置索引'!$M:$M,0)))</f>
        <v/>
      </c>
      <c r="AZ200" s="133" t="str">
        <f>IF(INDEX('#建筑消耗和buff配置索引'!BS:BS,MATCH($F200,'#建筑消耗和buff配置索引'!$M:$M,0))=0,"",INDEX('#建筑消耗和buff配置索引'!BS:BS,MATCH($F200,'#建筑消耗和buff配置索引'!$M:$M,0)))</f>
        <v/>
      </c>
      <c r="BA200" s="133" t="str">
        <f>IF(AZ200="","",INDEX('#建筑消耗和buff配置索引'!BT:BT,MATCH($F200,'#建筑消耗和buff配置索引'!$M:$M,0)))</f>
        <v/>
      </c>
      <c r="BD200" s="133" t="str">
        <f>IF(INDEX('#建筑消耗和buff配置索引'!BW:BW,MATCH($F200,'#建筑消耗和buff配置索引'!$M:$M,0))=0,"",INDEX('#建筑消耗和buff配置索引'!BW:BW,MATCH($F200,'#建筑消耗和buff配置索引'!$M:$M,0)))</f>
        <v/>
      </c>
      <c r="BE200" s="133" t="str">
        <f>IF(BD200="","",INDEX('#建筑消耗和buff配置索引'!BX:BX,MATCH($F200,'#建筑消耗和buff配置索引'!$M:$M,0)))</f>
        <v/>
      </c>
      <c r="BI200" s="133">
        <v>11</v>
      </c>
    </row>
    <row r="201" spans="1:62" s="133" customFormat="1">
      <c r="A201" s="133">
        <v>2090017</v>
      </c>
      <c r="B201" s="133">
        <v>198</v>
      </c>
      <c r="C201" s="133">
        <v>209</v>
      </c>
      <c r="D201" s="133" t="s">
        <v>344</v>
      </c>
      <c r="E201" s="133">
        <v>17</v>
      </c>
      <c r="F201" s="133" t="str">
        <f t="shared" si="5"/>
        <v>马厩17</v>
      </c>
      <c r="H201" s="146"/>
      <c r="I201" s="133">
        <v>2</v>
      </c>
      <c r="J201" s="150">
        <f>INDEX('#建筑消耗和buff配置索引'!AH:AH,MATCH($F201,'#建筑消耗和buff配置索引'!$M:$M,0))</f>
        <v>43200</v>
      </c>
      <c r="K201" s="150">
        <f>INDEX('#建筑消耗和buff配置索引'!AA:AA,MATCH($F201,'#建筑消耗和buff配置索引'!$M:$M,0))</f>
        <v>700000</v>
      </c>
      <c r="L201" s="150">
        <f>INDEX('#建筑消耗和buff配置索引'!AB:AB,MATCH($F201,'#建筑消耗和buff配置索引'!$M:$M,0))</f>
        <v>700000</v>
      </c>
      <c r="M201" s="150">
        <f>INDEX('#建筑消耗和buff配置索引'!AC:AC,MATCH($F201,'#建筑消耗和buff配置索引'!$M:$M,0))</f>
        <v>700000</v>
      </c>
      <c r="N201" s="150">
        <f>INDEX('#建筑消耗和buff配置索引'!AD:AD,MATCH($F201,'#建筑消耗和buff配置索引'!$M:$M,0))</f>
        <v>700000</v>
      </c>
      <c r="O201" s="150" t="str">
        <f>IF(INDEX('#建筑消耗和buff配置索引'!T:T,MATCH($F201,'#建筑消耗和buff配置索引'!$M:$M,0))=0,"",INDEX('#建筑消耗和buff配置索引'!T:T,MATCH($F201,'#建筑消耗和buff配置索引'!$M:$M,0)))</f>
        <v/>
      </c>
      <c r="P201" s="133" t="str">
        <f>IF(INDEX('#建筑消耗和buff配置索引'!U:U,MATCH($F201,'#建筑消耗和buff配置索引'!$M:$M,0))=0,"",INDEX('#建筑消耗和buff配置索引'!U:U,MATCH($F201,'#建筑消耗和buff配置索引'!$M:$M,0)))</f>
        <v/>
      </c>
      <c r="Q201" s="133" t="str">
        <f>IF(INDEX('#建筑消耗和buff配置索引'!K:K,MATCH($F201,'#建筑消耗和buff配置索引'!$M:$M,0))=0,"",INDEX('#建筑消耗和buff配置索引'!K:K,MATCH($F201,'#建筑消耗和buff配置索引'!$M:$M,0)))</f>
        <v>201;205</v>
      </c>
      <c r="R201" s="133" t="str">
        <f>IF(INDEX('#建筑消耗和buff配置索引'!L:L,MATCH($F201,'#建筑消耗和buff配置索引'!$M:$M,0))=0,"",INDEX('#建筑消耗和buff配置索引'!L:L,MATCH($F201,'#建筑消耗和buff配置索引'!$M:$M,0)))</f>
        <v>17;17</v>
      </c>
      <c r="S201" s="133">
        <f>IF(INDEX('#建筑消耗和buff配置索引'!C:C,MATCH(F201,'#建筑消耗和buff配置索引'!M:M,0))=0,1,INDEX('#建筑消耗和buff配置索引'!C:C,MATCH(F201,'#建筑消耗和buff配置索引'!M:M,0)))</f>
        <v>2</v>
      </c>
      <c r="T201" s="133">
        <v>0</v>
      </c>
      <c r="U201" s="133">
        <v>0</v>
      </c>
      <c r="V201" s="133" t="str">
        <f>IF(E201=1,IF(INDEX('#建筑消耗和buff配置索引'!BY:BY,MATCH(D201,'#建筑消耗和buff配置索引'!A:A,0))=0,"",INDEX('#建筑消耗和buff配置索引'!BY:BY,MATCH(D201,'#建筑消耗和buff配置索引'!A:A,0))),"")</f>
        <v/>
      </c>
      <c r="W201" s="133" t="str">
        <f>IF(E201=1,IF(INDEX('#建筑消耗和buff配置索引'!BZ:BZ,MATCH(D201,'#建筑消耗和buff配置索引'!A:A,0))=0,"",INDEX('#建筑消耗和buff配置索引'!BZ:BZ,MATCH(D201,'#建筑消耗和buff配置索引'!A:A,0))),"")</f>
        <v/>
      </c>
      <c r="X201" s="133" t="str">
        <f>INDEX('#建筑消耗和buff配置索引'!BC:BC,MATCH(F201,'#建筑消耗和buff配置索引'!M:M,0))*100&amp;"%"</f>
        <v>0%</v>
      </c>
      <c r="AA201" s="133">
        <f>INDEX('#建筑消耗和buff配置索引'!AO:AO,MATCH($F201,'#建筑消耗和buff配置索引'!$M:$M,0))</f>
        <v>22443</v>
      </c>
      <c r="AB201" s="133">
        <f>IF(INDEX('#建筑消耗和buff配置索引'!AR:AR,MATCH($F201,'#建筑消耗和buff配置索引'!$M:$M,0))=0,"",INDEX('#建筑消耗和buff配置索引'!AR:AR,MATCH($F201,'#建筑消耗和buff配置索引'!$M:$M,0)))</f>
        <v>3000</v>
      </c>
      <c r="AC201" s="133">
        <f>IF(AB201="","",INDEX('#建筑消耗和buff配置索引'!AS:AS,MATCH($F201,'#建筑消耗和buff配置索引'!$M:$M,0)))</f>
        <v>0.08</v>
      </c>
      <c r="AF201" s="133">
        <f>IF(INDEX('#建筑消耗和buff配置索引'!AW:AW,MATCH($F201,'#建筑消耗和buff配置索引'!$M:$M,0))=0,"",INDEX('#建筑消耗和buff配置索引'!AW:AW,MATCH($F201,'#建筑消耗和buff配置索引'!$M:$M,0)))</f>
        <v>3014</v>
      </c>
      <c r="AG201" s="133">
        <f>IF(AF201="","",INDEX('#建筑消耗和buff配置索引'!AX:AX,MATCH($F201,'#建筑消耗和buff配置索引'!$M:$M,0)))</f>
        <v>800</v>
      </c>
      <c r="AJ201" s="133" t="str">
        <f>IF(INDEX('#建筑消耗和buff配置索引'!BB:BB,MATCH($F201,'#建筑消耗和buff配置索引'!$M:$M,0))=0,"",INDEX('#建筑消耗和buff配置索引'!BB:BB,MATCH($F201,'#建筑消耗和buff配置索引'!$M:$M,0)))</f>
        <v/>
      </c>
      <c r="AK201" s="133" t="str">
        <f>IF(AJ201="","",INDEX('#建筑消耗和buff配置索引'!BC:BC,MATCH($F201,'#建筑消耗和buff配置索引'!$M:$M,0)))</f>
        <v/>
      </c>
      <c r="AN201" s="133" t="str">
        <f>IF(INDEX('#建筑消耗和buff配置索引'!BG:BG,MATCH($F201,'#建筑消耗和buff配置索引'!$M:$M,0))=0,"",INDEX('#建筑消耗和buff配置索引'!BG:BG,MATCH($F201,'#建筑消耗和buff配置索引'!$M:$M,0)))</f>
        <v/>
      </c>
      <c r="AO201" s="133" t="str">
        <f>IF(AN201="","",INDEX('#建筑消耗和buff配置索引'!BH:BH,MATCH($F201,'#建筑消耗和buff配置索引'!$M:$M,0)))</f>
        <v/>
      </c>
      <c r="AR201" s="133" t="str">
        <f>IF(INDEX('#建筑消耗和buff配置索引'!BK:BK,MATCH($F201,'#建筑消耗和buff配置索引'!$M:$M,0))=0,"",INDEX('#建筑消耗和buff配置索引'!BK:BK,MATCH($F201,'#建筑消耗和buff配置索引'!$M:$M,0)))</f>
        <v/>
      </c>
      <c r="AS201" s="133" t="str">
        <f>IF(AR201="","",INDEX('#建筑消耗和buff配置索引'!BL:BL,MATCH($F201,'#建筑消耗和buff配置索引'!$M:$M,0)))</f>
        <v/>
      </c>
      <c r="AV201" s="133" t="str">
        <f>IF(INDEX('#建筑消耗和buff配置索引'!BO:BO,MATCH($F201,'#建筑消耗和buff配置索引'!$M:$M,0))=0,"",INDEX('#建筑消耗和buff配置索引'!BO:BO,MATCH($F201,'#建筑消耗和buff配置索引'!$M:$M,0)))</f>
        <v/>
      </c>
      <c r="AW201" s="133" t="str">
        <f>IF(AV201="","",INDEX('#建筑消耗和buff配置索引'!BP:BP,MATCH($F201,'#建筑消耗和buff配置索引'!$M:$M,0)))</f>
        <v/>
      </c>
      <c r="AZ201" s="133" t="str">
        <f>IF(INDEX('#建筑消耗和buff配置索引'!BS:BS,MATCH($F201,'#建筑消耗和buff配置索引'!$M:$M,0))=0,"",INDEX('#建筑消耗和buff配置索引'!BS:BS,MATCH($F201,'#建筑消耗和buff配置索引'!$M:$M,0)))</f>
        <v/>
      </c>
      <c r="BA201" s="133" t="str">
        <f>IF(AZ201="","",INDEX('#建筑消耗和buff配置索引'!BT:BT,MATCH($F201,'#建筑消耗和buff配置索引'!$M:$M,0)))</f>
        <v/>
      </c>
      <c r="BD201" s="133" t="str">
        <f>IF(INDEX('#建筑消耗和buff配置索引'!BW:BW,MATCH($F201,'#建筑消耗和buff配置索引'!$M:$M,0))=0,"",INDEX('#建筑消耗和buff配置索引'!BW:BW,MATCH($F201,'#建筑消耗和buff配置索引'!$M:$M,0)))</f>
        <v/>
      </c>
      <c r="BE201" s="133" t="str">
        <f>IF(BD201="","",INDEX('#建筑消耗和buff配置索引'!BX:BX,MATCH($F201,'#建筑消耗和buff配置索引'!$M:$M,0)))</f>
        <v/>
      </c>
      <c r="BI201" s="133">
        <v>11</v>
      </c>
    </row>
    <row r="202" spans="1:62" s="133" customFormat="1">
      <c r="A202" s="133">
        <v>2090018</v>
      </c>
      <c r="B202" s="133">
        <v>199</v>
      </c>
      <c r="C202" s="133">
        <v>209</v>
      </c>
      <c r="D202" s="133" t="s">
        <v>344</v>
      </c>
      <c r="E202" s="133">
        <v>18</v>
      </c>
      <c r="F202" s="133" t="str">
        <f t="shared" si="5"/>
        <v>马厩18</v>
      </c>
      <c r="H202" s="146"/>
      <c r="I202" s="133">
        <v>2</v>
      </c>
      <c r="J202" s="150">
        <f>INDEX('#建筑消耗和buff配置索引'!AH:AH,MATCH($F202,'#建筑消耗和buff配置索引'!$M:$M,0))</f>
        <v>56160</v>
      </c>
      <c r="K202" s="150">
        <f>INDEX('#建筑消耗和buff配置索引'!AA:AA,MATCH($F202,'#建筑消耗和buff配置索引'!$M:$M,0))</f>
        <v>900000</v>
      </c>
      <c r="L202" s="150">
        <f>INDEX('#建筑消耗和buff配置索引'!AB:AB,MATCH($F202,'#建筑消耗和buff配置索引'!$M:$M,0))</f>
        <v>900000</v>
      </c>
      <c r="M202" s="150">
        <f>INDEX('#建筑消耗和buff配置索引'!AC:AC,MATCH($F202,'#建筑消耗和buff配置索引'!$M:$M,0))</f>
        <v>900000</v>
      </c>
      <c r="N202" s="150">
        <f>INDEX('#建筑消耗和buff配置索引'!AD:AD,MATCH($F202,'#建筑消耗和buff配置索引'!$M:$M,0))</f>
        <v>900000</v>
      </c>
      <c r="O202" s="150" t="str">
        <f>IF(INDEX('#建筑消耗和buff配置索引'!T:T,MATCH($F202,'#建筑消耗和buff配置索引'!$M:$M,0))=0,"",INDEX('#建筑消耗和buff配置索引'!T:T,MATCH($F202,'#建筑消耗和buff配置索引'!$M:$M,0)))</f>
        <v/>
      </c>
      <c r="P202" s="133" t="str">
        <f>IF(INDEX('#建筑消耗和buff配置索引'!U:U,MATCH($F202,'#建筑消耗和buff配置索引'!$M:$M,0))=0,"",INDEX('#建筑消耗和buff配置索引'!U:U,MATCH($F202,'#建筑消耗和buff配置索引'!$M:$M,0)))</f>
        <v/>
      </c>
      <c r="Q202" s="133" t="str">
        <f>IF(INDEX('#建筑消耗和buff配置索引'!K:K,MATCH($F202,'#建筑消耗和buff配置索引'!$M:$M,0))=0,"",INDEX('#建筑消耗和buff配置索引'!K:K,MATCH($F202,'#建筑消耗和buff配置索引'!$M:$M,0)))</f>
        <v>201;205</v>
      </c>
      <c r="R202" s="133" t="str">
        <f>IF(INDEX('#建筑消耗和buff配置索引'!L:L,MATCH($F202,'#建筑消耗和buff配置索引'!$M:$M,0))=0,"",INDEX('#建筑消耗和buff配置索引'!L:L,MATCH($F202,'#建筑消耗和buff配置索引'!$M:$M,0)))</f>
        <v>18;18</v>
      </c>
      <c r="S202" s="133">
        <f>IF(INDEX('#建筑消耗和buff配置索引'!C:C,MATCH(F202,'#建筑消耗和buff配置索引'!M:M,0))=0,1,INDEX('#建筑消耗和buff配置索引'!C:C,MATCH(F202,'#建筑消耗和buff配置索引'!M:M,0)))</f>
        <v>2</v>
      </c>
      <c r="T202" s="133">
        <v>0</v>
      </c>
      <c r="U202" s="133">
        <v>0</v>
      </c>
      <c r="V202" s="133" t="str">
        <f>IF(E202=1,IF(INDEX('#建筑消耗和buff配置索引'!BY:BY,MATCH(D202,'#建筑消耗和buff配置索引'!A:A,0))=0,"",INDEX('#建筑消耗和buff配置索引'!BY:BY,MATCH(D202,'#建筑消耗和buff配置索引'!A:A,0))),"")</f>
        <v/>
      </c>
      <c r="W202" s="133" t="str">
        <f>IF(E202=1,IF(INDEX('#建筑消耗和buff配置索引'!BZ:BZ,MATCH(D202,'#建筑消耗和buff配置索引'!A:A,0))=0,"",INDEX('#建筑消耗和buff配置索引'!BZ:BZ,MATCH(D202,'#建筑消耗和buff配置索引'!A:A,0))),"")</f>
        <v/>
      </c>
      <c r="X202" s="133" t="str">
        <f>INDEX('#建筑消耗和buff配置索引'!BC:BC,MATCH(F202,'#建筑消耗和buff配置索引'!M:M,0))*100&amp;"%"</f>
        <v>0%</v>
      </c>
      <c r="AA202" s="133">
        <f>INDEX('#建筑消耗和buff配置索引'!AO:AO,MATCH($F202,'#建筑消耗和buff配置索引'!$M:$M,0))</f>
        <v>29632</v>
      </c>
      <c r="AB202" s="133">
        <f>IF(INDEX('#建筑消耗和buff配置索引'!AR:AR,MATCH($F202,'#建筑消耗和buff配置索引'!$M:$M,0))=0,"",INDEX('#建筑消耗和buff配置索引'!AR:AR,MATCH($F202,'#建筑消耗和buff配置索引'!$M:$M,0)))</f>
        <v>3000</v>
      </c>
      <c r="AC202" s="133">
        <f>IF(AB202="","",INDEX('#建筑消耗和buff配置索引'!AS:AS,MATCH($F202,'#建筑消耗和buff配置索引'!$M:$M,0)))</f>
        <v>8.5000000000000006E-2</v>
      </c>
      <c r="AF202" s="133">
        <f>IF(INDEX('#建筑消耗和buff配置索引'!AW:AW,MATCH($F202,'#建筑消耗和buff配置索引'!$M:$M,0))=0,"",INDEX('#建筑消耗和buff配置索引'!AW:AW,MATCH($F202,'#建筑消耗和buff配置索引'!$M:$M,0)))</f>
        <v>3014</v>
      </c>
      <c r="AG202" s="133">
        <f>IF(AF202="","",INDEX('#建筑消耗和buff配置索引'!AX:AX,MATCH($F202,'#建筑消耗和buff配置索引'!$M:$M,0)))</f>
        <v>850</v>
      </c>
      <c r="AJ202" s="133" t="str">
        <f>IF(INDEX('#建筑消耗和buff配置索引'!BB:BB,MATCH($F202,'#建筑消耗和buff配置索引'!$M:$M,0))=0,"",INDEX('#建筑消耗和buff配置索引'!BB:BB,MATCH($F202,'#建筑消耗和buff配置索引'!$M:$M,0)))</f>
        <v/>
      </c>
      <c r="AK202" s="133" t="str">
        <f>IF(AJ202="","",INDEX('#建筑消耗和buff配置索引'!BC:BC,MATCH($F202,'#建筑消耗和buff配置索引'!$M:$M,0)))</f>
        <v/>
      </c>
      <c r="AN202" s="133" t="str">
        <f>IF(INDEX('#建筑消耗和buff配置索引'!BG:BG,MATCH($F202,'#建筑消耗和buff配置索引'!$M:$M,0))=0,"",INDEX('#建筑消耗和buff配置索引'!BG:BG,MATCH($F202,'#建筑消耗和buff配置索引'!$M:$M,0)))</f>
        <v/>
      </c>
      <c r="AO202" s="133" t="str">
        <f>IF(AN202="","",INDEX('#建筑消耗和buff配置索引'!BH:BH,MATCH($F202,'#建筑消耗和buff配置索引'!$M:$M,0)))</f>
        <v/>
      </c>
      <c r="AR202" s="133" t="str">
        <f>IF(INDEX('#建筑消耗和buff配置索引'!BK:BK,MATCH($F202,'#建筑消耗和buff配置索引'!$M:$M,0))=0,"",INDEX('#建筑消耗和buff配置索引'!BK:BK,MATCH($F202,'#建筑消耗和buff配置索引'!$M:$M,0)))</f>
        <v/>
      </c>
      <c r="AS202" s="133" t="str">
        <f>IF(AR202="","",INDEX('#建筑消耗和buff配置索引'!BL:BL,MATCH($F202,'#建筑消耗和buff配置索引'!$M:$M,0)))</f>
        <v/>
      </c>
      <c r="AV202" s="133" t="str">
        <f>IF(INDEX('#建筑消耗和buff配置索引'!BO:BO,MATCH($F202,'#建筑消耗和buff配置索引'!$M:$M,0))=0,"",INDEX('#建筑消耗和buff配置索引'!BO:BO,MATCH($F202,'#建筑消耗和buff配置索引'!$M:$M,0)))</f>
        <v/>
      </c>
      <c r="AW202" s="133" t="str">
        <f>IF(AV202="","",INDEX('#建筑消耗和buff配置索引'!BP:BP,MATCH($F202,'#建筑消耗和buff配置索引'!$M:$M,0)))</f>
        <v/>
      </c>
      <c r="AZ202" s="133" t="str">
        <f>IF(INDEX('#建筑消耗和buff配置索引'!BS:BS,MATCH($F202,'#建筑消耗和buff配置索引'!$M:$M,0))=0,"",INDEX('#建筑消耗和buff配置索引'!BS:BS,MATCH($F202,'#建筑消耗和buff配置索引'!$M:$M,0)))</f>
        <v/>
      </c>
      <c r="BA202" s="133" t="str">
        <f>IF(AZ202="","",INDEX('#建筑消耗和buff配置索引'!BT:BT,MATCH($F202,'#建筑消耗和buff配置索引'!$M:$M,0)))</f>
        <v/>
      </c>
      <c r="BD202" s="133" t="str">
        <f>IF(INDEX('#建筑消耗和buff配置索引'!BW:BW,MATCH($F202,'#建筑消耗和buff配置索引'!$M:$M,0))=0,"",INDEX('#建筑消耗和buff配置索引'!BW:BW,MATCH($F202,'#建筑消耗和buff配置索引'!$M:$M,0)))</f>
        <v/>
      </c>
      <c r="BE202" s="133" t="str">
        <f>IF(BD202="","",INDEX('#建筑消耗和buff配置索引'!BX:BX,MATCH($F202,'#建筑消耗和buff配置索引'!$M:$M,0)))</f>
        <v/>
      </c>
      <c r="BI202" s="133">
        <v>11</v>
      </c>
    </row>
    <row r="203" spans="1:62" s="133" customFormat="1">
      <c r="A203" s="133">
        <v>2090019</v>
      </c>
      <c r="B203" s="133">
        <v>200</v>
      </c>
      <c r="C203" s="133">
        <v>209</v>
      </c>
      <c r="D203" s="133" t="s">
        <v>344</v>
      </c>
      <c r="E203" s="133">
        <v>19</v>
      </c>
      <c r="F203" s="133" t="str">
        <f t="shared" si="5"/>
        <v>马厩19</v>
      </c>
      <c r="H203" s="146"/>
      <c r="I203" s="133">
        <v>2</v>
      </c>
      <c r="J203" s="150">
        <f>INDEX('#建筑消耗和buff配置索引'!AH:AH,MATCH($F203,'#建筑消耗和buff配置索引'!$M:$M,0))</f>
        <v>73440</v>
      </c>
      <c r="K203" s="150">
        <f>INDEX('#建筑消耗和buff配置索引'!AA:AA,MATCH($F203,'#建筑消耗和buff配置索引'!$M:$M,0))</f>
        <v>1200000</v>
      </c>
      <c r="L203" s="150">
        <f>INDEX('#建筑消耗和buff配置索引'!AB:AB,MATCH($F203,'#建筑消耗和buff配置索引'!$M:$M,0))</f>
        <v>1200000</v>
      </c>
      <c r="M203" s="150">
        <f>INDEX('#建筑消耗和buff配置索引'!AC:AC,MATCH($F203,'#建筑消耗和buff配置索引'!$M:$M,0))</f>
        <v>1200000</v>
      </c>
      <c r="N203" s="150">
        <f>INDEX('#建筑消耗和buff配置索引'!AD:AD,MATCH($F203,'#建筑消耗和buff配置索引'!$M:$M,0))</f>
        <v>1200000</v>
      </c>
      <c r="O203" s="150" t="str">
        <f>IF(INDEX('#建筑消耗和buff配置索引'!T:T,MATCH($F203,'#建筑消耗和buff配置索引'!$M:$M,0))=0,"",INDEX('#建筑消耗和buff配置索引'!T:T,MATCH($F203,'#建筑消耗和buff配置索引'!$M:$M,0)))</f>
        <v/>
      </c>
      <c r="P203" s="133" t="str">
        <f>IF(INDEX('#建筑消耗和buff配置索引'!U:U,MATCH($F203,'#建筑消耗和buff配置索引'!$M:$M,0))=0,"",INDEX('#建筑消耗和buff配置索引'!U:U,MATCH($F203,'#建筑消耗和buff配置索引'!$M:$M,0)))</f>
        <v/>
      </c>
      <c r="Q203" s="133" t="str">
        <f>IF(INDEX('#建筑消耗和buff配置索引'!K:K,MATCH($F203,'#建筑消耗和buff配置索引'!$M:$M,0))=0,"",INDEX('#建筑消耗和buff配置索引'!K:K,MATCH($F203,'#建筑消耗和buff配置索引'!$M:$M,0)))</f>
        <v>201;205</v>
      </c>
      <c r="R203" s="133" t="str">
        <f>IF(INDEX('#建筑消耗和buff配置索引'!L:L,MATCH($F203,'#建筑消耗和buff配置索引'!$M:$M,0))=0,"",INDEX('#建筑消耗和buff配置索引'!L:L,MATCH($F203,'#建筑消耗和buff配置索引'!$M:$M,0)))</f>
        <v>19;19</v>
      </c>
      <c r="S203" s="133">
        <f>IF(INDEX('#建筑消耗和buff配置索引'!C:C,MATCH(F203,'#建筑消耗和buff配置索引'!M:M,0))=0,1,INDEX('#建筑消耗和buff配置索引'!C:C,MATCH(F203,'#建筑消耗和buff配置索引'!M:M,0)))</f>
        <v>2</v>
      </c>
      <c r="T203" s="133">
        <v>0</v>
      </c>
      <c r="U203" s="133">
        <v>0</v>
      </c>
      <c r="V203" s="133" t="str">
        <f>IF(E203=1,IF(INDEX('#建筑消耗和buff配置索引'!BY:BY,MATCH(D203,'#建筑消耗和buff配置索引'!A:A,0))=0,"",INDEX('#建筑消耗和buff配置索引'!BY:BY,MATCH(D203,'#建筑消耗和buff配置索引'!A:A,0))),"")</f>
        <v/>
      </c>
      <c r="W203" s="133" t="str">
        <f>IF(E203=1,IF(INDEX('#建筑消耗和buff配置索引'!BZ:BZ,MATCH(D203,'#建筑消耗和buff配置索引'!A:A,0))=0,"",INDEX('#建筑消耗和buff配置索引'!BZ:BZ,MATCH(D203,'#建筑消耗和buff配置索引'!A:A,0))),"")</f>
        <v/>
      </c>
      <c r="X203" s="133" t="str">
        <f>INDEX('#建筑消耗和buff配置索引'!BC:BC,MATCH(F203,'#建筑消耗和buff配置索引'!M:M,0))*100&amp;"%"</f>
        <v>0%</v>
      </c>
      <c r="AA203" s="133">
        <f>INDEX('#建筑消耗和buff配置索引'!AO:AO,MATCH($F203,'#建筑消耗和buff配置索引'!$M:$M,0))</f>
        <v>38833</v>
      </c>
      <c r="AB203" s="133">
        <f>IF(INDEX('#建筑消耗和buff配置索引'!AR:AR,MATCH($F203,'#建筑消耗和buff配置索引'!$M:$M,0))=0,"",INDEX('#建筑消耗和buff配置索引'!AR:AR,MATCH($F203,'#建筑消耗和buff配置索引'!$M:$M,0)))</f>
        <v>3000</v>
      </c>
      <c r="AC203" s="133">
        <f>IF(AB203="","",INDEX('#建筑消耗和buff配置索引'!AS:AS,MATCH($F203,'#建筑消耗和buff配置索引'!$M:$M,0)))</f>
        <v>0.09</v>
      </c>
      <c r="AF203" s="133">
        <f>IF(INDEX('#建筑消耗和buff配置索引'!AW:AW,MATCH($F203,'#建筑消耗和buff配置索引'!$M:$M,0))=0,"",INDEX('#建筑消耗和buff配置索引'!AW:AW,MATCH($F203,'#建筑消耗和buff配置索引'!$M:$M,0)))</f>
        <v>3014</v>
      </c>
      <c r="AG203" s="133">
        <f>IF(AF203="","",INDEX('#建筑消耗和buff配置索引'!AX:AX,MATCH($F203,'#建筑消耗和buff配置索引'!$M:$M,0)))</f>
        <v>900</v>
      </c>
      <c r="AJ203" s="133" t="str">
        <f>IF(INDEX('#建筑消耗和buff配置索引'!BB:BB,MATCH($F203,'#建筑消耗和buff配置索引'!$M:$M,0))=0,"",INDEX('#建筑消耗和buff配置索引'!BB:BB,MATCH($F203,'#建筑消耗和buff配置索引'!$M:$M,0)))</f>
        <v/>
      </c>
      <c r="AK203" s="133" t="str">
        <f>IF(AJ203="","",INDEX('#建筑消耗和buff配置索引'!BC:BC,MATCH($F203,'#建筑消耗和buff配置索引'!$M:$M,0)))</f>
        <v/>
      </c>
      <c r="AN203" s="133" t="str">
        <f>IF(INDEX('#建筑消耗和buff配置索引'!BG:BG,MATCH($F203,'#建筑消耗和buff配置索引'!$M:$M,0))=0,"",INDEX('#建筑消耗和buff配置索引'!BG:BG,MATCH($F203,'#建筑消耗和buff配置索引'!$M:$M,0)))</f>
        <v/>
      </c>
      <c r="AO203" s="133" t="str">
        <f>IF(AN203="","",INDEX('#建筑消耗和buff配置索引'!BH:BH,MATCH($F203,'#建筑消耗和buff配置索引'!$M:$M,0)))</f>
        <v/>
      </c>
      <c r="AR203" s="133" t="str">
        <f>IF(INDEX('#建筑消耗和buff配置索引'!BK:BK,MATCH($F203,'#建筑消耗和buff配置索引'!$M:$M,0))=0,"",INDEX('#建筑消耗和buff配置索引'!BK:BK,MATCH($F203,'#建筑消耗和buff配置索引'!$M:$M,0)))</f>
        <v/>
      </c>
      <c r="AS203" s="133" t="str">
        <f>IF(AR203="","",INDEX('#建筑消耗和buff配置索引'!BL:BL,MATCH($F203,'#建筑消耗和buff配置索引'!$M:$M,0)))</f>
        <v/>
      </c>
      <c r="AV203" s="133" t="str">
        <f>IF(INDEX('#建筑消耗和buff配置索引'!BO:BO,MATCH($F203,'#建筑消耗和buff配置索引'!$M:$M,0))=0,"",INDEX('#建筑消耗和buff配置索引'!BO:BO,MATCH($F203,'#建筑消耗和buff配置索引'!$M:$M,0)))</f>
        <v/>
      </c>
      <c r="AW203" s="133" t="str">
        <f>IF(AV203="","",INDEX('#建筑消耗和buff配置索引'!BP:BP,MATCH($F203,'#建筑消耗和buff配置索引'!$M:$M,0)))</f>
        <v/>
      </c>
      <c r="AZ203" s="133" t="str">
        <f>IF(INDEX('#建筑消耗和buff配置索引'!BS:BS,MATCH($F203,'#建筑消耗和buff配置索引'!$M:$M,0))=0,"",INDEX('#建筑消耗和buff配置索引'!BS:BS,MATCH($F203,'#建筑消耗和buff配置索引'!$M:$M,0)))</f>
        <v/>
      </c>
      <c r="BA203" s="133" t="str">
        <f>IF(AZ203="","",INDEX('#建筑消耗和buff配置索引'!BT:BT,MATCH($F203,'#建筑消耗和buff配置索引'!$M:$M,0)))</f>
        <v/>
      </c>
      <c r="BD203" s="133" t="str">
        <f>IF(INDEX('#建筑消耗和buff配置索引'!BW:BW,MATCH($F203,'#建筑消耗和buff配置索引'!$M:$M,0))=0,"",INDEX('#建筑消耗和buff配置索引'!BW:BW,MATCH($F203,'#建筑消耗和buff配置索引'!$M:$M,0)))</f>
        <v/>
      </c>
      <c r="BE203" s="133" t="str">
        <f>IF(BD203="","",INDEX('#建筑消耗和buff配置索引'!BX:BX,MATCH($F203,'#建筑消耗和buff配置索引'!$M:$M,0)))</f>
        <v/>
      </c>
      <c r="BI203" s="133">
        <v>11</v>
      </c>
    </row>
    <row r="204" spans="1:62" s="133" customFormat="1">
      <c r="A204" s="133">
        <v>2090020</v>
      </c>
      <c r="B204" s="133">
        <v>201</v>
      </c>
      <c r="C204" s="133">
        <v>209</v>
      </c>
      <c r="D204" s="133" t="s">
        <v>344</v>
      </c>
      <c r="E204" s="133">
        <v>20</v>
      </c>
      <c r="F204" s="133" t="str">
        <f t="shared" si="5"/>
        <v>马厩20</v>
      </c>
      <c r="H204" s="146"/>
      <c r="I204" s="133">
        <v>3</v>
      </c>
      <c r="J204" s="150">
        <f>INDEX('#建筑消耗和buff配置索引'!AH:AH,MATCH($F204,'#建筑消耗和buff配置索引'!$M:$M,0))</f>
        <v>103680</v>
      </c>
      <c r="K204" s="150">
        <f>INDEX('#建筑消耗和buff配置索引'!AA:AA,MATCH($F204,'#建筑消耗和buff配置索引'!$M:$M,0))</f>
        <v>1500000</v>
      </c>
      <c r="L204" s="150">
        <f>INDEX('#建筑消耗和buff配置索引'!AB:AB,MATCH($F204,'#建筑消耗和buff配置索引'!$M:$M,0))</f>
        <v>1500000</v>
      </c>
      <c r="M204" s="150">
        <f>INDEX('#建筑消耗和buff配置索引'!AC:AC,MATCH($F204,'#建筑消耗和buff配置索引'!$M:$M,0))</f>
        <v>1500000</v>
      </c>
      <c r="N204" s="150">
        <f>INDEX('#建筑消耗和buff配置索引'!AD:AD,MATCH($F204,'#建筑消耗和buff配置索引'!$M:$M,0))</f>
        <v>1500000</v>
      </c>
      <c r="O204" s="150" t="str">
        <f>IF(INDEX('#建筑消耗和buff配置索引'!T:T,MATCH($F204,'#建筑消耗和buff配置索引'!$M:$M,0))=0,"",INDEX('#建筑消耗和buff配置索引'!T:T,MATCH($F204,'#建筑消耗和buff配置索引'!$M:$M,0)))</f>
        <v/>
      </c>
      <c r="P204" s="133" t="str">
        <f>IF(INDEX('#建筑消耗和buff配置索引'!U:U,MATCH($F204,'#建筑消耗和buff配置索引'!$M:$M,0))=0,"",INDEX('#建筑消耗和buff配置索引'!U:U,MATCH($F204,'#建筑消耗和buff配置索引'!$M:$M,0)))</f>
        <v/>
      </c>
      <c r="Q204" s="133" t="str">
        <f>IF(INDEX('#建筑消耗和buff配置索引'!K:K,MATCH($F204,'#建筑消耗和buff配置索引'!$M:$M,0))=0,"",INDEX('#建筑消耗和buff配置索引'!K:K,MATCH($F204,'#建筑消耗和buff配置索引'!$M:$M,0)))</f>
        <v>201;205</v>
      </c>
      <c r="R204" s="133" t="str">
        <f>IF(INDEX('#建筑消耗和buff配置索引'!L:L,MATCH($F204,'#建筑消耗和buff配置索引'!$M:$M,0))=0,"",INDEX('#建筑消耗和buff配置索引'!L:L,MATCH($F204,'#建筑消耗和buff配置索引'!$M:$M,0)))</f>
        <v>20;20</v>
      </c>
      <c r="S204" s="133">
        <f>IF(INDEX('#建筑消耗和buff配置索引'!C:C,MATCH(F204,'#建筑消耗和buff配置索引'!M:M,0))=0,1,INDEX('#建筑消耗和buff配置索引'!C:C,MATCH(F204,'#建筑消耗和buff配置索引'!M:M,0)))</f>
        <v>2</v>
      </c>
      <c r="T204" s="133">
        <v>0</v>
      </c>
      <c r="U204" s="133">
        <v>0</v>
      </c>
      <c r="V204" s="133" t="str">
        <f>IF(E204=1,IF(INDEX('#建筑消耗和buff配置索引'!BY:BY,MATCH(D204,'#建筑消耗和buff配置索引'!A:A,0))=0,"",INDEX('#建筑消耗和buff配置索引'!BY:BY,MATCH(D204,'#建筑消耗和buff配置索引'!A:A,0))),"")</f>
        <v/>
      </c>
      <c r="W204" s="133" t="str">
        <f>IF(E204=1,IF(INDEX('#建筑消耗和buff配置索引'!BZ:BZ,MATCH(D204,'#建筑消耗和buff配置索引'!A:A,0))=0,"",INDEX('#建筑消耗和buff配置索引'!BZ:BZ,MATCH(D204,'#建筑消耗和buff配置索引'!A:A,0))),"")</f>
        <v/>
      </c>
      <c r="X204" s="133" t="str">
        <f>INDEX('#建筑消耗和buff配置索引'!BC:BC,MATCH(F204,'#建筑消耗和buff配置索引'!M:M,0))*100&amp;"%"</f>
        <v>0%</v>
      </c>
      <c r="AA204" s="133">
        <f>INDEX('#建筑消耗和buff配置索引'!AO:AO,MATCH($F204,'#建筑消耗和buff配置索引'!$M:$M,0))</f>
        <v>50611</v>
      </c>
      <c r="AB204" s="133">
        <f>IF(INDEX('#建筑消耗和buff配置索引'!AR:AR,MATCH($F204,'#建筑消耗和buff配置索引'!$M:$M,0))=0,"",INDEX('#建筑消耗和buff配置索引'!AR:AR,MATCH($F204,'#建筑消耗和buff配置索引'!$M:$M,0)))</f>
        <v>3000</v>
      </c>
      <c r="AC204" s="133">
        <f>IF(AB204="","",INDEX('#建筑消耗和buff配置索引'!AS:AS,MATCH($F204,'#建筑消耗和buff配置索引'!$M:$M,0)))</f>
        <v>9.5000000000000001E-2</v>
      </c>
      <c r="AF204" s="133">
        <f>IF(INDEX('#建筑消耗和buff配置索引'!AW:AW,MATCH($F204,'#建筑消耗和buff配置索引'!$M:$M,0))=0,"",INDEX('#建筑消耗和buff配置索引'!AW:AW,MATCH($F204,'#建筑消耗和buff配置索引'!$M:$M,0)))</f>
        <v>3014</v>
      </c>
      <c r="AG204" s="133">
        <f>IF(AF204="","",INDEX('#建筑消耗和buff配置索引'!AX:AX,MATCH($F204,'#建筑消耗和buff配置索引'!$M:$M,0)))</f>
        <v>950</v>
      </c>
      <c r="AJ204" s="133" t="str">
        <f>IF(INDEX('#建筑消耗和buff配置索引'!BB:BB,MATCH($F204,'#建筑消耗和buff配置索引'!$M:$M,0))=0,"",INDEX('#建筑消耗和buff配置索引'!BB:BB,MATCH($F204,'#建筑消耗和buff配置索引'!$M:$M,0)))</f>
        <v/>
      </c>
      <c r="AK204" s="133" t="str">
        <f>IF(AJ204="","",INDEX('#建筑消耗和buff配置索引'!BC:BC,MATCH($F204,'#建筑消耗和buff配置索引'!$M:$M,0)))</f>
        <v/>
      </c>
      <c r="AN204" s="133" t="str">
        <f>IF(INDEX('#建筑消耗和buff配置索引'!BG:BG,MATCH($F204,'#建筑消耗和buff配置索引'!$M:$M,0))=0,"",INDEX('#建筑消耗和buff配置索引'!BG:BG,MATCH($F204,'#建筑消耗和buff配置索引'!$M:$M,0)))</f>
        <v/>
      </c>
      <c r="AO204" s="133" t="str">
        <f>IF(AN204="","",INDEX('#建筑消耗和buff配置索引'!BH:BH,MATCH($F204,'#建筑消耗和buff配置索引'!$M:$M,0)))</f>
        <v/>
      </c>
      <c r="AR204" s="133" t="str">
        <f>IF(INDEX('#建筑消耗和buff配置索引'!BK:BK,MATCH($F204,'#建筑消耗和buff配置索引'!$M:$M,0))=0,"",INDEX('#建筑消耗和buff配置索引'!BK:BK,MATCH($F204,'#建筑消耗和buff配置索引'!$M:$M,0)))</f>
        <v/>
      </c>
      <c r="AS204" s="133" t="str">
        <f>IF(AR204="","",INDEX('#建筑消耗和buff配置索引'!BL:BL,MATCH($F204,'#建筑消耗和buff配置索引'!$M:$M,0)))</f>
        <v/>
      </c>
      <c r="AV204" s="133" t="str">
        <f>IF(INDEX('#建筑消耗和buff配置索引'!BO:BO,MATCH($F204,'#建筑消耗和buff配置索引'!$M:$M,0))=0,"",INDEX('#建筑消耗和buff配置索引'!BO:BO,MATCH($F204,'#建筑消耗和buff配置索引'!$M:$M,0)))</f>
        <v/>
      </c>
      <c r="AW204" s="133" t="str">
        <f>IF(AV204="","",INDEX('#建筑消耗和buff配置索引'!BP:BP,MATCH($F204,'#建筑消耗和buff配置索引'!$M:$M,0)))</f>
        <v/>
      </c>
      <c r="AZ204" s="133" t="str">
        <f>IF(INDEX('#建筑消耗和buff配置索引'!BS:BS,MATCH($F204,'#建筑消耗和buff配置索引'!$M:$M,0))=0,"",INDEX('#建筑消耗和buff配置索引'!BS:BS,MATCH($F204,'#建筑消耗和buff配置索引'!$M:$M,0)))</f>
        <v/>
      </c>
      <c r="BA204" s="133" t="str">
        <f>IF(AZ204="","",INDEX('#建筑消耗和buff配置索引'!BT:BT,MATCH($F204,'#建筑消耗和buff配置索引'!$M:$M,0)))</f>
        <v/>
      </c>
      <c r="BD204" s="133" t="str">
        <f>IF(INDEX('#建筑消耗和buff配置索引'!BW:BW,MATCH($F204,'#建筑消耗和buff配置索引'!$M:$M,0))=0,"",INDEX('#建筑消耗和buff配置索引'!BW:BW,MATCH($F204,'#建筑消耗和buff配置索引'!$M:$M,0)))</f>
        <v/>
      </c>
      <c r="BE204" s="133" t="str">
        <f>IF(BD204="","",INDEX('#建筑消耗和buff配置索引'!BX:BX,MATCH($F204,'#建筑消耗和buff配置索引'!$M:$M,0)))</f>
        <v/>
      </c>
      <c r="BI204" s="133">
        <v>11</v>
      </c>
    </row>
    <row r="205" spans="1:62" s="133" customFormat="1">
      <c r="A205" s="133">
        <v>2090021</v>
      </c>
      <c r="B205" s="133">
        <v>202</v>
      </c>
      <c r="C205" s="133">
        <v>209</v>
      </c>
      <c r="D205" s="133" t="s">
        <v>344</v>
      </c>
      <c r="E205" s="133">
        <v>21</v>
      </c>
      <c r="F205" s="133" t="str">
        <f t="shared" si="5"/>
        <v>马厩21</v>
      </c>
      <c r="H205" s="146"/>
      <c r="I205" s="133">
        <v>3</v>
      </c>
      <c r="J205" s="150">
        <f>INDEX('#建筑消耗和buff配置索引'!AH:AH,MATCH($F205,'#建筑消耗和buff配置索引'!$M:$M,0))</f>
        <v>138240</v>
      </c>
      <c r="K205" s="150">
        <f>INDEX('#建筑消耗和buff配置索引'!AA:AA,MATCH($F205,'#建筑消耗和buff配置索引'!$M:$M,0))</f>
        <v>1900000</v>
      </c>
      <c r="L205" s="150">
        <f>INDEX('#建筑消耗和buff配置索引'!AB:AB,MATCH($F205,'#建筑消耗和buff配置索引'!$M:$M,0))</f>
        <v>1900000</v>
      </c>
      <c r="M205" s="150">
        <f>INDEX('#建筑消耗和buff配置索引'!AC:AC,MATCH($F205,'#建筑消耗和buff配置索引'!$M:$M,0))</f>
        <v>1900000</v>
      </c>
      <c r="N205" s="150">
        <f>INDEX('#建筑消耗和buff配置索引'!AD:AD,MATCH($F205,'#建筑消耗和buff配置索引'!$M:$M,0))</f>
        <v>1900000</v>
      </c>
      <c r="O205" s="150" t="str">
        <f>IF(INDEX('#建筑消耗和buff配置索引'!T:T,MATCH($F205,'#建筑消耗和buff配置索引'!$M:$M,0))=0,"",INDEX('#建筑消耗和buff配置索引'!T:T,MATCH($F205,'#建筑消耗和buff配置索引'!$M:$M,0)))</f>
        <v/>
      </c>
      <c r="P205" s="133" t="str">
        <f>IF(INDEX('#建筑消耗和buff配置索引'!U:U,MATCH($F205,'#建筑消耗和buff配置索引'!$M:$M,0))=0,"",INDEX('#建筑消耗和buff配置索引'!U:U,MATCH($F205,'#建筑消耗和buff配置索引'!$M:$M,0)))</f>
        <v/>
      </c>
      <c r="Q205" s="133" t="str">
        <f>IF(INDEX('#建筑消耗和buff配置索引'!K:K,MATCH($F205,'#建筑消耗和buff配置索引'!$M:$M,0))=0,"",INDEX('#建筑消耗和buff配置索引'!K:K,MATCH($F205,'#建筑消耗和buff配置索引'!$M:$M,0)))</f>
        <v>201;205</v>
      </c>
      <c r="R205" s="133" t="str">
        <f>IF(INDEX('#建筑消耗和buff配置索引'!L:L,MATCH($F205,'#建筑消耗和buff配置索引'!$M:$M,0))=0,"",INDEX('#建筑消耗和buff配置索引'!L:L,MATCH($F205,'#建筑消耗和buff配置索引'!$M:$M,0)))</f>
        <v>21;21</v>
      </c>
      <c r="S205" s="133">
        <f>IF(INDEX('#建筑消耗和buff配置索引'!C:C,MATCH(F205,'#建筑消耗和buff配置索引'!M:M,0))=0,1,INDEX('#建筑消耗和buff配置索引'!C:C,MATCH(F205,'#建筑消耗和buff配置索引'!M:M,0)))</f>
        <v>2</v>
      </c>
      <c r="T205" s="133">
        <v>0</v>
      </c>
      <c r="U205" s="133">
        <v>0</v>
      </c>
      <c r="V205" s="133" t="str">
        <f>IF(E205=1,IF(INDEX('#建筑消耗和buff配置索引'!BY:BY,MATCH(D205,'#建筑消耗和buff配置索引'!A:A,0))=0,"",INDEX('#建筑消耗和buff配置索引'!BY:BY,MATCH(D205,'#建筑消耗和buff配置索引'!A:A,0))),"")</f>
        <v/>
      </c>
      <c r="W205" s="133" t="str">
        <f>IF(E205=1,IF(INDEX('#建筑消耗和buff配置索引'!BZ:BZ,MATCH(D205,'#建筑消耗和buff配置索引'!A:A,0))=0,"",INDEX('#建筑消耗和buff配置索引'!BZ:BZ,MATCH(D205,'#建筑消耗和buff配置索引'!A:A,0))),"")</f>
        <v/>
      </c>
      <c r="AA205" s="133">
        <f>INDEX('#建筑消耗和buff配置索引'!AO:AO,MATCH($F205,'#建筑消耗和buff配置索引'!$M:$M,0))</f>
        <v>65687</v>
      </c>
      <c r="AB205" s="133">
        <f>IF(INDEX('#建筑消耗和buff配置索引'!AR:AR,MATCH($F205,'#建筑消耗和buff配置索引'!$M:$M,0))=0,"",INDEX('#建筑消耗和buff配置索引'!AR:AR,MATCH($F205,'#建筑消耗和buff配置索引'!$M:$M,0)))</f>
        <v>3000</v>
      </c>
      <c r="AC205" s="133">
        <f>IF(AB205="","",INDEX('#建筑消耗和buff配置索引'!AS:AS,MATCH($F205,'#建筑消耗和buff配置索引'!$M:$M,0)))</f>
        <v>0.1</v>
      </c>
      <c r="AF205" s="133">
        <f>IF(INDEX('#建筑消耗和buff配置索引'!AW:AW,MATCH($F205,'#建筑消耗和buff配置索引'!$M:$M,0))=0,"",INDEX('#建筑消耗和buff配置索引'!AW:AW,MATCH($F205,'#建筑消耗和buff配置索引'!$M:$M,0)))</f>
        <v>3014</v>
      </c>
      <c r="AG205" s="133">
        <f>IF(AF205="","",INDEX('#建筑消耗和buff配置索引'!AX:AX,MATCH($F205,'#建筑消耗和buff配置索引'!$M:$M,0)))</f>
        <v>1000</v>
      </c>
      <c r="AJ205" s="133" t="str">
        <f>IF(INDEX('#建筑消耗和buff配置索引'!BB:BB,MATCH($F205,'#建筑消耗和buff配置索引'!$M:$M,0))=0,"",INDEX('#建筑消耗和buff配置索引'!BB:BB,MATCH($F205,'#建筑消耗和buff配置索引'!$M:$M,0)))</f>
        <v/>
      </c>
      <c r="AK205" s="133" t="str">
        <f>IF(AJ205="","",INDEX('#建筑消耗和buff配置索引'!BC:BC,MATCH($F205,'#建筑消耗和buff配置索引'!$M:$M,0)))</f>
        <v/>
      </c>
      <c r="AN205" s="133" t="str">
        <f>IF(INDEX('#建筑消耗和buff配置索引'!BG:BG,MATCH($F205,'#建筑消耗和buff配置索引'!$M:$M,0))=0,"",INDEX('#建筑消耗和buff配置索引'!BG:BG,MATCH($F205,'#建筑消耗和buff配置索引'!$M:$M,0)))</f>
        <v/>
      </c>
      <c r="AO205" s="133" t="str">
        <f>IF(AN205="","",INDEX('#建筑消耗和buff配置索引'!BH:BH,MATCH($F205,'#建筑消耗和buff配置索引'!$M:$M,0)))</f>
        <v/>
      </c>
      <c r="AR205" s="133" t="str">
        <f>IF(INDEX('#建筑消耗和buff配置索引'!BK:BK,MATCH($F205,'#建筑消耗和buff配置索引'!$M:$M,0))=0,"",INDEX('#建筑消耗和buff配置索引'!BK:BK,MATCH($F205,'#建筑消耗和buff配置索引'!$M:$M,0)))</f>
        <v/>
      </c>
      <c r="AS205" s="133" t="str">
        <f>IF(AR205="","",INDEX('#建筑消耗和buff配置索引'!BL:BL,MATCH($F205,'#建筑消耗和buff配置索引'!$M:$M,0)))</f>
        <v/>
      </c>
      <c r="AV205" s="133" t="str">
        <f>IF(INDEX('#建筑消耗和buff配置索引'!BO:BO,MATCH($F205,'#建筑消耗和buff配置索引'!$M:$M,0))=0,"",INDEX('#建筑消耗和buff配置索引'!BO:BO,MATCH($F205,'#建筑消耗和buff配置索引'!$M:$M,0)))</f>
        <v/>
      </c>
      <c r="AW205" s="133" t="str">
        <f>IF(AV205="","",INDEX('#建筑消耗和buff配置索引'!BP:BP,MATCH($F205,'#建筑消耗和buff配置索引'!$M:$M,0)))</f>
        <v/>
      </c>
      <c r="AZ205" s="133" t="str">
        <f>IF(INDEX('#建筑消耗和buff配置索引'!BS:BS,MATCH($F205,'#建筑消耗和buff配置索引'!$M:$M,0))=0,"",INDEX('#建筑消耗和buff配置索引'!BS:BS,MATCH($F205,'#建筑消耗和buff配置索引'!$M:$M,0)))</f>
        <v/>
      </c>
      <c r="BA205" s="133" t="str">
        <f>IF(AZ205="","",INDEX('#建筑消耗和buff配置索引'!BT:BT,MATCH($F205,'#建筑消耗和buff配置索引'!$M:$M,0)))</f>
        <v/>
      </c>
      <c r="BD205" s="133" t="str">
        <f>IF(INDEX('#建筑消耗和buff配置索引'!BW:BW,MATCH($F205,'#建筑消耗和buff配置索引'!$M:$M,0))=0,"",INDEX('#建筑消耗和buff配置索引'!BW:BW,MATCH($F205,'#建筑消耗和buff配置索引'!$M:$M,0)))</f>
        <v/>
      </c>
      <c r="BE205" s="133" t="str">
        <f>IF(BD205="","",INDEX('#建筑消耗和buff配置索引'!BX:BX,MATCH($F205,'#建筑消耗和buff配置索引'!$M:$M,0)))</f>
        <v/>
      </c>
      <c r="BI205" s="133">
        <v>11</v>
      </c>
    </row>
    <row r="206" spans="1:62" s="133" customFormat="1">
      <c r="A206" s="133">
        <v>2090022</v>
      </c>
      <c r="B206" s="133">
        <v>203</v>
      </c>
      <c r="C206" s="133">
        <v>209</v>
      </c>
      <c r="D206" s="133" t="s">
        <v>344</v>
      </c>
      <c r="E206" s="133">
        <v>22</v>
      </c>
      <c r="F206" s="133" t="str">
        <f t="shared" si="5"/>
        <v>马厩22</v>
      </c>
      <c r="H206" s="146"/>
      <c r="I206" s="133">
        <v>3</v>
      </c>
      <c r="J206" s="150">
        <f>INDEX('#建筑消耗和buff配置索引'!AH:AH,MATCH($F206,'#建筑消耗和buff配置索引'!$M:$M,0))</f>
        <v>181440</v>
      </c>
      <c r="K206" s="150">
        <f>INDEX('#建筑消耗和buff配置索引'!AA:AA,MATCH($F206,'#建筑消耗和buff配置索引'!$M:$M,0))</f>
        <v>2400000</v>
      </c>
      <c r="L206" s="150">
        <f>INDEX('#建筑消耗和buff配置索引'!AB:AB,MATCH($F206,'#建筑消耗和buff配置索引'!$M:$M,0))</f>
        <v>2400000</v>
      </c>
      <c r="M206" s="150">
        <f>INDEX('#建筑消耗和buff配置索引'!AC:AC,MATCH($F206,'#建筑消耗和buff配置索引'!$M:$M,0))</f>
        <v>2400000</v>
      </c>
      <c r="N206" s="150">
        <f>INDEX('#建筑消耗和buff配置索引'!AD:AD,MATCH($F206,'#建筑消耗和buff配置索引'!$M:$M,0))</f>
        <v>2400000</v>
      </c>
      <c r="O206" s="150" t="str">
        <f>IF(INDEX('#建筑消耗和buff配置索引'!T:T,MATCH($F206,'#建筑消耗和buff配置索引'!$M:$M,0))=0,"",INDEX('#建筑消耗和buff配置索引'!T:T,MATCH($F206,'#建筑消耗和buff配置索引'!$M:$M,0)))</f>
        <v/>
      </c>
      <c r="P206" s="133" t="str">
        <f>IF(INDEX('#建筑消耗和buff配置索引'!U:U,MATCH($F206,'#建筑消耗和buff配置索引'!$M:$M,0))=0,"",INDEX('#建筑消耗和buff配置索引'!U:U,MATCH($F206,'#建筑消耗和buff配置索引'!$M:$M,0)))</f>
        <v/>
      </c>
      <c r="Q206" s="133" t="str">
        <f>IF(INDEX('#建筑消耗和buff配置索引'!K:K,MATCH($F206,'#建筑消耗和buff配置索引'!$M:$M,0))=0,"",INDEX('#建筑消耗和buff配置索引'!K:K,MATCH($F206,'#建筑消耗和buff配置索引'!$M:$M,0)))</f>
        <v>201;205</v>
      </c>
      <c r="R206" s="133" t="str">
        <f>IF(INDEX('#建筑消耗和buff配置索引'!L:L,MATCH($F206,'#建筑消耗和buff配置索引'!$M:$M,0))=0,"",INDEX('#建筑消耗和buff配置索引'!L:L,MATCH($F206,'#建筑消耗和buff配置索引'!$M:$M,0)))</f>
        <v>22;22</v>
      </c>
      <c r="S206" s="133">
        <f>IF(INDEX('#建筑消耗和buff配置索引'!C:C,MATCH(F206,'#建筑消耗和buff配置索引'!M:M,0))=0,1,INDEX('#建筑消耗和buff配置索引'!C:C,MATCH(F206,'#建筑消耗和buff配置索引'!M:M,0)))</f>
        <v>2</v>
      </c>
      <c r="T206" s="133">
        <v>0</v>
      </c>
      <c r="U206" s="133">
        <v>0</v>
      </c>
      <c r="V206" s="133" t="str">
        <f>IF(E206=1,IF(INDEX('#建筑消耗和buff配置索引'!BY:BY,MATCH(D206,'#建筑消耗和buff配置索引'!A:A,0))=0,"",INDEX('#建筑消耗和buff配置索引'!BY:BY,MATCH(D206,'#建筑消耗和buff配置索引'!A:A,0))),"")</f>
        <v/>
      </c>
      <c r="W206" s="133" t="str">
        <f>IF(E206=1,IF(INDEX('#建筑消耗和buff配置索引'!BZ:BZ,MATCH(D206,'#建筑消耗和buff配置索引'!A:A,0))=0,"",INDEX('#建筑消耗和buff配置索引'!BZ:BZ,MATCH(D206,'#建筑消耗和buff配置索引'!A:A,0))),"")</f>
        <v/>
      </c>
      <c r="AA206" s="133">
        <f>INDEX('#建筑消耗和buff配置索引'!AO:AO,MATCH($F206,'#建筑消耗和buff配置索引'!$M:$M,0))</f>
        <v>84984</v>
      </c>
      <c r="AB206" s="133">
        <f>IF(INDEX('#建筑消耗和buff配置索引'!AR:AR,MATCH($F206,'#建筑消耗和buff配置索引'!$M:$M,0))=0,"",INDEX('#建筑消耗和buff配置索引'!AR:AR,MATCH($F206,'#建筑消耗和buff配置索引'!$M:$M,0)))</f>
        <v>3000</v>
      </c>
      <c r="AC206" s="133">
        <f>IF(AB206="","",INDEX('#建筑消耗和buff配置索引'!AS:AS,MATCH($F206,'#建筑消耗和buff配置索引'!$M:$M,0)))</f>
        <v>0.105</v>
      </c>
      <c r="AF206" s="133">
        <f>IF(INDEX('#建筑消耗和buff配置索引'!AW:AW,MATCH($F206,'#建筑消耗和buff配置索引'!$M:$M,0))=0,"",INDEX('#建筑消耗和buff配置索引'!AW:AW,MATCH($F206,'#建筑消耗和buff配置索引'!$M:$M,0)))</f>
        <v>3014</v>
      </c>
      <c r="AG206" s="133">
        <f>IF(AF206="","",INDEX('#建筑消耗和buff配置索引'!AX:AX,MATCH($F206,'#建筑消耗和buff配置索引'!$M:$M,0)))</f>
        <v>1050</v>
      </c>
      <c r="AJ206" s="133" t="str">
        <f>IF(INDEX('#建筑消耗和buff配置索引'!BB:BB,MATCH($F206,'#建筑消耗和buff配置索引'!$M:$M,0))=0,"",INDEX('#建筑消耗和buff配置索引'!BB:BB,MATCH($F206,'#建筑消耗和buff配置索引'!$M:$M,0)))</f>
        <v/>
      </c>
      <c r="AK206" s="133" t="str">
        <f>IF(AJ206="","",INDEX('#建筑消耗和buff配置索引'!BC:BC,MATCH($F206,'#建筑消耗和buff配置索引'!$M:$M,0)))</f>
        <v/>
      </c>
      <c r="AN206" s="133" t="str">
        <f>IF(INDEX('#建筑消耗和buff配置索引'!BG:BG,MATCH($F206,'#建筑消耗和buff配置索引'!$M:$M,0))=0,"",INDEX('#建筑消耗和buff配置索引'!BG:BG,MATCH($F206,'#建筑消耗和buff配置索引'!$M:$M,0)))</f>
        <v/>
      </c>
      <c r="AO206" s="133" t="str">
        <f>IF(AN206="","",INDEX('#建筑消耗和buff配置索引'!BH:BH,MATCH($F206,'#建筑消耗和buff配置索引'!$M:$M,0)))</f>
        <v/>
      </c>
      <c r="AR206" s="133" t="str">
        <f>IF(INDEX('#建筑消耗和buff配置索引'!BK:BK,MATCH($F206,'#建筑消耗和buff配置索引'!$M:$M,0))=0,"",INDEX('#建筑消耗和buff配置索引'!BK:BK,MATCH($F206,'#建筑消耗和buff配置索引'!$M:$M,0)))</f>
        <v/>
      </c>
      <c r="AS206" s="133" t="str">
        <f>IF(AR206="","",INDEX('#建筑消耗和buff配置索引'!BL:BL,MATCH($F206,'#建筑消耗和buff配置索引'!$M:$M,0)))</f>
        <v/>
      </c>
      <c r="AV206" s="133" t="str">
        <f>IF(INDEX('#建筑消耗和buff配置索引'!BO:BO,MATCH($F206,'#建筑消耗和buff配置索引'!$M:$M,0))=0,"",INDEX('#建筑消耗和buff配置索引'!BO:BO,MATCH($F206,'#建筑消耗和buff配置索引'!$M:$M,0)))</f>
        <v/>
      </c>
      <c r="AW206" s="133" t="str">
        <f>IF(AV206="","",INDEX('#建筑消耗和buff配置索引'!BP:BP,MATCH($F206,'#建筑消耗和buff配置索引'!$M:$M,0)))</f>
        <v/>
      </c>
      <c r="AZ206" s="133" t="str">
        <f>IF(INDEX('#建筑消耗和buff配置索引'!BS:BS,MATCH($F206,'#建筑消耗和buff配置索引'!$M:$M,0))=0,"",INDEX('#建筑消耗和buff配置索引'!BS:BS,MATCH($F206,'#建筑消耗和buff配置索引'!$M:$M,0)))</f>
        <v/>
      </c>
      <c r="BA206" s="133" t="str">
        <f>IF(AZ206="","",INDEX('#建筑消耗和buff配置索引'!BT:BT,MATCH($F206,'#建筑消耗和buff配置索引'!$M:$M,0)))</f>
        <v/>
      </c>
      <c r="BD206" s="133" t="str">
        <f>IF(INDEX('#建筑消耗和buff配置索引'!BW:BW,MATCH($F206,'#建筑消耗和buff配置索引'!$M:$M,0))=0,"",INDEX('#建筑消耗和buff配置索引'!BW:BW,MATCH($F206,'#建筑消耗和buff配置索引'!$M:$M,0)))</f>
        <v/>
      </c>
      <c r="BE206" s="133" t="str">
        <f>IF(BD206="","",INDEX('#建筑消耗和buff配置索引'!BX:BX,MATCH($F206,'#建筑消耗和buff配置索引'!$M:$M,0)))</f>
        <v/>
      </c>
      <c r="BI206" s="133">
        <v>11</v>
      </c>
    </row>
    <row r="207" spans="1:62" s="133" customFormat="1">
      <c r="A207" s="133">
        <v>2090023</v>
      </c>
      <c r="B207" s="133">
        <v>204</v>
      </c>
      <c r="C207" s="133">
        <v>209</v>
      </c>
      <c r="D207" s="133" t="s">
        <v>344</v>
      </c>
      <c r="E207" s="133">
        <v>23</v>
      </c>
      <c r="F207" s="133" t="str">
        <f t="shared" si="5"/>
        <v>马厩23</v>
      </c>
      <c r="H207" s="146"/>
      <c r="I207" s="133">
        <v>3</v>
      </c>
      <c r="J207" s="150">
        <f>INDEX('#建筑消耗和buff配置索引'!AH:AH,MATCH($F207,'#建筑消耗和buff配置索引'!$M:$M,0))</f>
        <v>233280</v>
      </c>
      <c r="K207" s="150">
        <f>INDEX('#建筑消耗和buff配置索引'!AA:AA,MATCH($F207,'#建筑消耗和buff配置索引'!$M:$M,0))</f>
        <v>3100000</v>
      </c>
      <c r="L207" s="150">
        <f>INDEX('#建筑消耗和buff配置索引'!AB:AB,MATCH($F207,'#建筑消耗和buff配置索引'!$M:$M,0))</f>
        <v>3100000</v>
      </c>
      <c r="M207" s="150">
        <f>INDEX('#建筑消耗和buff配置索引'!AC:AC,MATCH($F207,'#建筑消耗和buff配置索引'!$M:$M,0))</f>
        <v>3100000</v>
      </c>
      <c r="N207" s="150">
        <f>INDEX('#建筑消耗和buff配置索引'!AD:AD,MATCH($F207,'#建筑消耗和buff配置索引'!$M:$M,0))</f>
        <v>3100000</v>
      </c>
      <c r="O207" s="150" t="str">
        <f>IF(INDEX('#建筑消耗和buff配置索引'!T:T,MATCH($F207,'#建筑消耗和buff配置索引'!$M:$M,0))=0,"",INDEX('#建筑消耗和buff配置索引'!T:T,MATCH($F207,'#建筑消耗和buff配置索引'!$M:$M,0)))</f>
        <v/>
      </c>
      <c r="P207" s="133" t="str">
        <f>IF(INDEX('#建筑消耗和buff配置索引'!U:U,MATCH($F207,'#建筑消耗和buff配置索引'!$M:$M,0))=0,"",INDEX('#建筑消耗和buff配置索引'!U:U,MATCH($F207,'#建筑消耗和buff配置索引'!$M:$M,0)))</f>
        <v/>
      </c>
      <c r="Q207" s="133" t="str">
        <f>IF(INDEX('#建筑消耗和buff配置索引'!K:K,MATCH($F207,'#建筑消耗和buff配置索引'!$M:$M,0))=0,"",INDEX('#建筑消耗和buff配置索引'!K:K,MATCH($F207,'#建筑消耗和buff配置索引'!$M:$M,0)))</f>
        <v>201;205</v>
      </c>
      <c r="R207" s="133" t="str">
        <f>IF(INDEX('#建筑消耗和buff配置索引'!L:L,MATCH($F207,'#建筑消耗和buff配置索引'!$M:$M,0))=0,"",INDEX('#建筑消耗和buff配置索引'!L:L,MATCH($F207,'#建筑消耗和buff配置索引'!$M:$M,0)))</f>
        <v>23;23</v>
      </c>
      <c r="S207" s="133">
        <f>IF(INDEX('#建筑消耗和buff配置索引'!C:C,MATCH(F207,'#建筑消耗和buff配置索引'!M:M,0))=0,1,INDEX('#建筑消耗和buff配置索引'!C:C,MATCH(F207,'#建筑消耗和buff配置索引'!M:M,0)))</f>
        <v>2</v>
      </c>
      <c r="T207" s="133">
        <v>0</v>
      </c>
      <c r="U207" s="133">
        <v>0</v>
      </c>
      <c r="V207" s="133" t="str">
        <f>IF(E207=1,IF(INDEX('#建筑消耗和buff配置索引'!BY:BY,MATCH(D207,'#建筑消耗和buff配置索引'!A:A,0))=0,"",INDEX('#建筑消耗和buff配置索引'!BY:BY,MATCH(D207,'#建筑消耗和buff配置索引'!A:A,0))),"")</f>
        <v/>
      </c>
      <c r="W207" s="133" t="str">
        <f>IF(E207=1,IF(INDEX('#建筑消耗和buff配置索引'!BZ:BZ,MATCH(D207,'#建筑消耗和buff配置索引'!A:A,0))=0,"",INDEX('#建筑消耗和buff配置索引'!BZ:BZ,MATCH(D207,'#建筑消耗和buff配置索引'!A:A,0))),"")</f>
        <v/>
      </c>
      <c r="AA207" s="133">
        <f>INDEX('#建筑消耗和buff配置索引'!AO:AO,MATCH($F207,'#建筑消耗和buff配置索引'!$M:$M,0))</f>
        <v>109684</v>
      </c>
      <c r="AB207" s="133">
        <f>IF(INDEX('#建筑消耗和buff配置索引'!AR:AR,MATCH($F207,'#建筑消耗和buff配置索引'!$M:$M,0))=0,"",INDEX('#建筑消耗和buff配置索引'!AR:AR,MATCH($F207,'#建筑消耗和buff配置索引'!$M:$M,0)))</f>
        <v>3000</v>
      </c>
      <c r="AC207" s="133">
        <f>IF(AB207="","",INDEX('#建筑消耗和buff配置索引'!AS:AS,MATCH($F207,'#建筑消耗和buff配置索引'!$M:$M,0)))</f>
        <v>0.11</v>
      </c>
      <c r="AF207" s="133">
        <f>IF(INDEX('#建筑消耗和buff配置索引'!AW:AW,MATCH($F207,'#建筑消耗和buff配置索引'!$M:$M,0))=0,"",INDEX('#建筑消耗和buff配置索引'!AW:AW,MATCH($F207,'#建筑消耗和buff配置索引'!$M:$M,0)))</f>
        <v>3014</v>
      </c>
      <c r="AG207" s="133">
        <f>IF(AF207="","",INDEX('#建筑消耗和buff配置索引'!AX:AX,MATCH($F207,'#建筑消耗和buff配置索引'!$M:$M,0)))</f>
        <v>1100</v>
      </c>
      <c r="AJ207" s="133" t="str">
        <f>IF(INDEX('#建筑消耗和buff配置索引'!BB:BB,MATCH($F207,'#建筑消耗和buff配置索引'!$M:$M,0))=0,"",INDEX('#建筑消耗和buff配置索引'!BB:BB,MATCH($F207,'#建筑消耗和buff配置索引'!$M:$M,0)))</f>
        <v/>
      </c>
      <c r="AK207" s="133" t="str">
        <f>IF(AJ207="","",INDEX('#建筑消耗和buff配置索引'!BC:BC,MATCH($F207,'#建筑消耗和buff配置索引'!$M:$M,0)))</f>
        <v/>
      </c>
      <c r="AN207" s="133" t="str">
        <f>IF(INDEX('#建筑消耗和buff配置索引'!BG:BG,MATCH($F207,'#建筑消耗和buff配置索引'!$M:$M,0))=0,"",INDEX('#建筑消耗和buff配置索引'!BG:BG,MATCH($F207,'#建筑消耗和buff配置索引'!$M:$M,0)))</f>
        <v/>
      </c>
      <c r="AO207" s="133" t="str">
        <f>IF(AN207="","",INDEX('#建筑消耗和buff配置索引'!BH:BH,MATCH($F207,'#建筑消耗和buff配置索引'!$M:$M,0)))</f>
        <v/>
      </c>
      <c r="AR207" s="133" t="str">
        <f>IF(INDEX('#建筑消耗和buff配置索引'!BK:BK,MATCH($F207,'#建筑消耗和buff配置索引'!$M:$M,0))=0,"",INDEX('#建筑消耗和buff配置索引'!BK:BK,MATCH($F207,'#建筑消耗和buff配置索引'!$M:$M,0)))</f>
        <v/>
      </c>
      <c r="AS207" s="133" t="str">
        <f>IF(AR207="","",INDEX('#建筑消耗和buff配置索引'!BL:BL,MATCH($F207,'#建筑消耗和buff配置索引'!$M:$M,0)))</f>
        <v/>
      </c>
      <c r="AV207" s="133" t="str">
        <f>IF(INDEX('#建筑消耗和buff配置索引'!BO:BO,MATCH($F207,'#建筑消耗和buff配置索引'!$M:$M,0))=0,"",INDEX('#建筑消耗和buff配置索引'!BO:BO,MATCH($F207,'#建筑消耗和buff配置索引'!$M:$M,0)))</f>
        <v/>
      </c>
      <c r="AW207" s="133" t="str">
        <f>IF(AV207="","",INDEX('#建筑消耗和buff配置索引'!BP:BP,MATCH($F207,'#建筑消耗和buff配置索引'!$M:$M,0)))</f>
        <v/>
      </c>
      <c r="AZ207" s="133" t="str">
        <f>IF(INDEX('#建筑消耗和buff配置索引'!BS:BS,MATCH($F207,'#建筑消耗和buff配置索引'!$M:$M,0))=0,"",INDEX('#建筑消耗和buff配置索引'!BS:BS,MATCH($F207,'#建筑消耗和buff配置索引'!$M:$M,0)))</f>
        <v/>
      </c>
      <c r="BA207" s="133" t="str">
        <f>IF(AZ207="","",INDEX('#建筑消耗和buff配置索引'!BT:BT,MATCH($F207,'#建筑消耗和buff配置索引'!$M:$M,0)))</f>
        <v/>
      </c>
      <c r="BD207" s="133" t="str">
        <f>IF(INDEX('#建筑消耗和buff配置索引'!BW:BW,MATCH($F207,'#建筑消耗和buff配置索引'!$M:$M,0))=0,"",INDEX('#建筑消耗和buff配置索引'!BW:BW,MATCH($F207,'#建筑消耗和buff配置索引'!$M:$M,0)))</f>
        <v/>
      </c>
      <c r="BE207" s="133" t="str">
        <f>IF(BD207="","",INDEX('#建筑消耗和buff配置索引'!BX:BX,MATCH($F207,'#建筑消耗和buff配置索引'!$M:$M,0)))</f>
        <v/>
      </c>
      <c r="BI207" s="133">
        <v>11</v>
      </c>
    </row>
    <row r="208" spans="1:62" s="133" customFormat="1">
      <c r="A208" s="133">
        <v>2090024</v>
      </c>
      <c r="B208" s="133">
        <v>205</v>
      </c>
      <c r="C208" s="133">
        <v>209</v>
      </c>
      <c r="D208" s="133" t="s">
        <v>344</v>
      </c>
      <c r="E208" s="133">
        <v>24</v>
      </c>
      <c r="F208" s="133" t="str">
        <f t="shared" si="5"/>
        <v>马厩24</v>
      </c>
      <c r="H208" s="146"/>
      <c r="I208" s="133">
        <v>3</v>
      </c>
      <c r="J208" s="150">
        <f>INDEX('#建筑消耗和buff配置索引'!AH:AH,MATCH($F208,'#建筑消耗和buff配置索引'!$M:$M,0))</f>
        <v>298080</v>
      </c>
      <c r="K208" s="150">
        <f>INDEX('#建筑消耗和buff配置索引'!AA:AA,MATCH($F208,'#建筑消耗和buff配置索引'!$M:$M,0))</f>
        <v>4000000</v>
      </c>
      <c r="L208" s="150">
        <f>INDEX('#建筑消耗和buff配置索引'!AB:AB,MATCH($F208,'#建筑消耗和buff配置索引'!$M:$M,0))</f>
        <v>4000000</v>
      </c>
      <c r="M208" s="150">
        <f>INDEX('#建筑消耗和buff配置索引'!AC:AC,MATCH($F208,'#建筑消耗和buff配置索引'!$M:$M,0))</f>
        <v>4000000</v>
      </c>
      <c r="N208" s="150">
        <f>INDEX('#建筑消耗和buff配置索引'!AD:AD,MATCH($F208,'#建筑消耗和buff配置索引'!$M:$M,0))</f>
        <v>4000000</v>
      </c>
      <c r="O208" s="150" t="str">
        <f>IF(INDEX('#建筑消耗和buff配置索引'!T:T,MATCH($F208,'#建筑消耗和buff配置索引'!$M:$M,0))=0,"",INDEX('#建筑消耗和buff配置索引'!T:T,MATCH($F208,'#建筑消耗和buff配置索引'!$M:$M,0)))</f>
        <v/>
      </c>
      <c r="P208" s="133" t="str">
        <f>IF(INDEX('#建筑消耗和buff配置索引'!U:U,MATCH($F208,'#建筑消耗和buff配置索引'!$M:$M,0))=0,"",INDEX('#建筑消耗和buff配置索引'!U:U,MATCH($F208,'#建筑消耗和buff配置索引'!$M:$M,0)))</f>
        <v/>
      </c>
      <c r="Q208" s="133" t="str">
        <f>IF(INDEX('#建筑消耗和buff配置索引'!K:K,MATCH($F208,'#建筑消耗和buff配置索引'!$M:$M,0))=0,"",INDEX('#建筑消耗和buff配置索引'!K:K,MATCH($F208,'#建筑消耗和buff配置索引'!$M:$M,0)))</f>
        <v>201;205</v>
      </c>
      <c r="R208" s="133" t="str">
        <f>IF(INDEX('#建筑消耗和buff配置索引'!L:L,MATCH($F208,'#建筑消耗和buff配置索引'!$M:$M,0))=0,"",INDEX('#建筑消耗和buff配置索引'!L:L,MATCH($F208,'#建筑消耗和buff配置索引'!$M:$M,0)))</f>
        <v>24;24</v>
      </c>
      <c r="S208" s="133">
        <f>IF(INDEX('#建筑消耗和buff配置索引'!C:C,MATCH(F208,'#建筑消耗和buff配置索引'!M:M,0))=0,1,INDEX('#建筑消耗和buff配置索引'!C:C,MATCH(F208,'#建筑消耗和buff配置索引'!M:M,0)))</f>
        <v>2</v>
      </c>
      <c r="T208" s="133">
        <v>0</v>
      </c>
      <c r="U208" s="133">
        <v>0</v>
      </c>
      <c r="V208" s="133" t="str">
        <f>IF(E208=1,IF(INDEX('#建筑消耗和buff配置索引'!BY:BY,MATCH(D208,'#建筑消耗和buff配置索引'!A:A,0))=0,"",INDEX('#建筑消耗和buff配置索引'!BY:BY,MATCH(D208,'#建筑消耗和buff配置索引'!A:A,0))),"")</f>
        <v/>
      </c>
      <c r="W208" s="133" t="str">
        <f>IF(E208=1,IF(INDEX('#建筑消耗和buff配置索引'!BZ:BZ,MATCH(D208,'#建筑消耗和buff配置索引'!A:A,0))=0,"",INDEX('#建筑消耗和buff配置索引'!BZ:BZ,MATCH(D208,'#建筑消耗和buff配置索引'!A:A,0))),"")</f>
        <v/>
      </c>
      <c r="AA208" s="133">
        <f>INDEX('#建筑消耗和buff配置索引'!AO:AO,MATCH($F208,'#建筑消耗和buff配置索引'!$M:$M,0))</f>
        <v>141300</v>
      </c>
      <c r="AB208" s="133">
        <f>IF(INDEX('#建筑消耗和buff配置索引'!AR:AR,MATCH($F208,'#建筑消耗和buff配置索引'!$M:$M,0))=0,"",INDEX('#建筑消耗和buff配置索引'!AR:AR,MATCH($F208,'#建筑消耗和buff配置索引'!$M:$M,0)))</f>
        <v>3000</v>
      </c>
      <c r="AC208" s="133">
        <f>IF(AB208="","",INDEX('#建筑消耗和buff配置索引'!AS:AS,MATCH($F208,'#建筑消耗和buff配置索引'!$M:$M,0)))</f>
        <v>0.115</v>
      </c>
      <c r="AF208" s="133">
        <f>IF(INDEX('#建筑消耗和buff配置索引'!AW:AW,MATCH($F208,'#建筑消耗和buff配置索引'!$M:$M,0))=0,"",INDEX('#建筑消耗和buff配置索引'!AW:AW,MATCH($F208,'#建筑消耗和buff配置索引'!$M:$M,0)))</f>
        <v>3014</v>
      </c>
      <c r="AG208" s="133">
        <f>IF(AF208="","",INDEX('#建筑消耗和buff配置索引'!AX:AX,MATCH($F208,'#建筑消耗和buff配置索引'!$M:$M,0)))</f>
        <v>1150</v>
      </c>
      <c r="AJ208" s="133" t="str">
        <f>IF(INDEX('#建筑消耗和buff配置索引'!BB:BB,MATCH($F208,'#建筑消耗和buff配置索引'!$M:$M,0))=0,"",INDEX('#建筑消耗和buff配置索引'!BB:BB,MATCH($F208,'#建筑消耗和buff配置索引'!$M:$M,0)))</f>
        <v/>
      </c>
      <c r="AK208" s="133" t="str">
        <f>IF(AJ208="","",INDEX('#建筑消耗和buff配置索引'!BC:BC,MATCH($F208,'#建筑消耗和buff配置索引'!$M:$M,0)))</f>
        <v/>
      </c>
      <c r="AN208" s="133" t="str">
        <f>IF(INDEX('#建筑消耗和buff配置索引'!BG:BG,MATCH($F208,'#建筑消耗和buff配置索引'!$M:$M,0))=0,"",INDEX('#建筑消耗和buff配置索引'!BG:BG,MATCH($F208,'#建筑消耗和buff配置索引'!$M:$M,0)))</f>
        <v/>
      </c>
      <c r="AO208" s="133" t="str">
        <f>IF(AN208="","",INDEX('#建筑消耗和buff配置索引'!BH:BH,MATCH($F208,'#建筑消耗和buff配置索引'!$M:$M,0)))</f>
        <v/>
      </c>
      <c r="AR208" s="133" t="str">
        <f>IF(INDEX('#建筑消耗和buff配置索引'!BK:BK,MATCH($F208,'#建筑消耗和buff配置索引'!$M:$M,0))=0,"",INDEX('#建筑消耗和buff配置索引'!BK:BK,MATCH($F208,'#建筑消耗和buff配置索引'!$M:$M,0)))</f>
        <v/>
      </c>
      <c r="AS208" s="133" t="str">
        <f>IF(AR208="","",INDEX('#建筑消耗和buff配置索引'!BL:BL,MATCH($F208,'#建筑消耗和buff配置索引'!$M:$M,0)))</f>
        <v/>
      </c>
      <c r="AV208" s="133" t="str">
        <f>IF(INDEX('#建筑消耗和buff配置索引'!BO:BO,MATCH($F208,'#建筑消耗和buff配置索引'!$M:$M,0))=0,"",INDEX('#建筑消耗和buff配置索引'!BO:BO,MATCH($F208,'#建筑消耗和buff配置索引'!$M:$M,0)))</f>
        <v/>
      </c>
      <c r="AW208" s="133" t="str">
        <f>IF(AV208="","",INDEX('#建筑消耗和buff配置索引'!BP:BP,MATCH($F208,'#建筑消耗和buff配置索引'!$M:$M,0)))</f>
        <v/>
      </c>
      <c r="AZ208" s="133" t="str">
        <f>IF(INDEX('#建筑消耗和buff配置索引'!BS:BS,MATCH($F208,'#建筑消耗和buff配置索引'!$M:$M,0))=0,"",INDEX('#建筑消耗和buff配置索引'!BS:BS,MATCH($F208,'#建筑消耗和buff配置索引'!$M:$M,0)))</f>
        <v/>
      </c>
      <c r="BA208" s="133" t="str">
        <f>IF(AZ208="","",INDEX('#建筑消耗和buff配置索引'!BT:BT,MATCH($F208,'#建筑消耗和buff配置索引'!$M:$M,0)))</f>
        <v/>
      </c>
      <c r="BD208" s="133" t="str">
        <f>IF(INDEX('#建筑消耗和buff配置索引'!BW:BW,MATCH($F208,'#建筑消耗和buff配置索引'!$M:$M,0))=0,"",INDEX('#建筑消耗和buff配置索引'!BW:BW,MATCH($F208,'#建筑消耗和buff配置索引'!$M:$M,0)))</f>
        <v/>
      </c>
      <c r="BE208" s="133" t="str">
        <f>IF(BD208="","",INDEX('#建筑消耗和buff配置索引'!BX:BX,MATCH($F208,'#建筑消耗和buff配置索引'!$M:$M,0)))</f>
        <v/>
      </c>
      <c r="BI208" s="133">
        <v>11</v>
      </c>
    </row>
    <row r="209" spans="1:61" s="133" customFormat="1">
      <c r="A209" s="133">
        <v>2090025</v>
      </c>
      <c r="B209" s="133">
        <v>206</v>
      </c>
      <c r="C209" s="133">
        <v>209</v>
      </c>
      <c r="D209" s="133" t="s">
        <v>344</v>
      </c>
      <c r="E209" s="133">
        <v>25</v>
      </c>
      <c r="F209" s="133" t="str">
        <f t="shared" si="5"/>
        <v>马厩25</v>
      </c>
      <c r="H209" s="146"/>
      <c r="I209" s="133">
        <v>3</v>
      </c>
      <c r="J209" s="150">
        <f>INDEX('#建筑消耗和buff配置索引'!AH:AH,MATCH($F209,'#建筑消耗和buff配置索引'!$M:$M,0))</f>
        <v>375840</v>
      </c>
      <c r="K209" s="150">
        <f>INDEX('#建筑消耗和buff配置索引'!AA:AA,MATCH($F209,'#建筑消耗和buff配置索引'!$M:$M,0))</f>
        <v>5100000</v>
      </c>
      <c r="L209" s="150">
        <f>INDEX('#建筑消耗和buff配置索引'!AB:AB,MATCH($F209,'#建筑消耗和buff配置索引'!$M:$M,0))</f>
        <v>5100000</v>
      </c>
      <c r="M209" s="150">
        <f>INDEX('#建筑消耗和buff配置索引'!AC:AC,MATCH($F209,'#建筑消耗和buff配置索引'!$M:$M,0))</f>
        <v>5100000</v>
      </c>
      <c r="N209" s="150">
        <f>INDEX('#建筑消耗和buff配置索引'!AD:AD,MATCH($F209,'#建筑消耗和buff配置索引'!$M:$M,0))</f>
        <v>5100000</v>
      </c>
      <c r="O209" s="150" t="str">
        <f>IF(INDEX('#建筑消耗和buff配置索引'!T:T,MATCH($F209,'#建筑消耗和buff配置索引'!$M:$M,0))=0,"",INDEX('#建筑消耗和buff配置索引'!T:T,MATCH($F209,'#建筑消耗和buff配置索引'!$M:$M,0)))</f>
        <v/>
      </c>
      <c r="P209" s="133" t="str">
        <f>IF(INDEX('#建筑消耗和buff配置索引'!U:U,MATCH($F209,'#建筑消耗和buff配置索引'!$M:$M,0))=0,"",INDEX('#建筑消耗和buff配置索引'!U:U,MATCH($F209,'#建筑消耗和buff配置索引'!$M:$M,0)))</f>
        <v/>
      </c>
      <c r="Q209" s="133" t="str">
        <f>IF(INDEX('#建筑消耗和buff配置索引'!K:K,MATCH($F209,'#建筑消耗和buff配置索引'!$M:$M,0))=0,"",INDEX('#建筑消耗和buff配置索引'!K:K,MATCH($F209,'#建筑消耗和buff配置索引'!$M:$M,0)))</f>
        <v>201;205</v>
      </c>
      <c r="R209" s="133" t="str">
        <f>IF(INDEX('#建筑消耗和buff配置索引'!L:L,MATCH($F209,'#建筑消耗和buff配置索引'!$M:$M,0))=0,"",INDEX('#建筑消耗和buff配置索引'!L:L,MATCH($F209,'#建筑消耗和buff配置索引'!$M:$M,0)))</f>
        <v>25;25</v>
      </c>
      <c r="S209" s="133">
        <f>IF(INDEX('#建筑消耗和buff配置索引'!C:C,MATCH(F209,'#建筑消耗和buff配置索引'!M:M,0))=0,1,INDEX('#建筑消耗和buff配置索引'!C:C,MATCH(F209,'#建筑消耗和buff配置索引'!M:M,0)))</f>
        <v>2</v>
      </c>
      <c r="T209" s="133">
        <v>0</v>
      </c>
      <c r="U209" s="133">
        <v>0</v>
      </c>
      <c r="V209" s="133" t="str">
        <f>IF(E209=1,IF(INDEX('#建筑消耗和buff配置索引'!BY:BY,MATCH(D209,'#建筑消耗和buff配置索引'!A:A,0))=0,"",INDEX('#建筑消耗和buff配置索引'!BY:BY,MATCH(D209,'#建筑消耗和buff配置索引'!A:A,0))),"")</f>
        <v/>
      </c>
      <c r="W209" s="133" t="str">
        <f>IF(E209=1,IF(INDEX('#建筑消耗和buff配置索引'!BZ:BZ,MATCH(D209,'#建筑消耗和buff配置索引'!A:A,0))=0,"",INDEX('#建筑消耗和buff配置索引'!BZ:BZ,MATCH(D209,'#建筑消耗和buff配置索引'!A:A,0))),"")</f>
        <v/>
      </c>
      <c r="AA209" s="133">
        <f>INDEX('#建筑消耗和buff配置索引'!AO:AO,MATCH($F209,'#建筑消耗和buff配置索引'!$M:$M,0))</f>
        <v>181768</v>
      </c>
      <c r="AB209" s="133">
        <f>IF(INDEX('#建筑消耗和buff配置索引'!AR:AR,MATCH($F209,'#建筑消耗和buff配置索引'!$M:$M,0))=0,"",INDEX('#建筑消耗和buff配置索引'!AR:AR,MATCH($F209,'#建筑消耗和buff配置索引'!$M:$M,0)))</f>
        <v>3000</v>
      </c>
      <c r="AC209" s="133">
        <f>IF(AB209="","",INDEX('#建筑消耗和buff配置索引'!AS:AS,MATCH($F209,'#建筑消耗和buff配置索引'!$M:$M,0)))</f>
        <v>0.12</v>
      </c>
      <c r="AF209" s="133">
        <f>IF(INDEX('#建筑消耗和buff配置索引'!AW:AW,MATCH($F209,'#建筑消耗和buff配置索引'!$M:$M,0))=0,"",INDEX('#建筑消耗和buff配置索引'!AW:AW,MATCH($F209,'#建筑消耗和buff配置索引'!$M:$M,0)))</f>
        <v>3014</v>
      </c>
      <c r="AG209" s="133">
        <f>IF(AF209="","",INDEX('#建筑消耗和buff配置索引'!AX:AX,MATCH($F209,'#建筑消耗和buff配置索引'!$M:$M,0)))</f>
        <v>1200</v>
      </c>
      <c r="AJ209" s="133" t="str">
        <f>IF(INDEX('#建筑消耗和buff配置索引'!BB:BB,MATCH($F209,'#建筑消耗和buff配置索引'!$M:$M,0))=0,"",INDEX('#建筑消耗和buff配置索引'!BB:BB,MATCH($F209,'#建筑消耗和buff配置索引'!$M:$M,0)))</f>
        <v/>
      </c>
      <c r="AK209" s="133" t="str">
        <f>IF(AJ209="","",INDEX('#建筑消耗和buff配置索引'!BC:BC,MATCH($F209,'#建筑消耗和buff配置索引'!$M:$M,0)))</f>
        <v/>
      </c>
      <c r="AN209" s="133" t="str">
        <f>IF(INDEX('#建筑消耗和buff配置索引'!BG:BG,MATCH($F209,'#建筑消耗和buff配置索引'!$M:$M,0))=0,"",INDEX('#建筑消耗和buff配置索引'!BG:BG,MATCH($F209,'#建筑消耗和buff配置索引'!$M:$M,0)))</f>
        <v/>
      </c>
      <c r="AO209" s="133" t="str">
        <f>IF(AN209="","",INDEX('#建筑消耗和buff配置索引'!BH:BH,MATCH($F209,'#建筑消耗和buff配置索引'!$M:$M,0)))</f>
        <v/>
      </c>
      <c r="AR209" s="133" t="str">
        <f>IF(INDEX('#建筑消耗和buff配置索引'!BK:BK,MATCH($F209,'#建筑消耗和buff配置索引'!$M:$M,0))=0,"",INDEX('#建筑消耗和buff配置索引'!BK:BK,MATCH($F209,'#建筑消耗和buff配置索引'!$M:$M,0)))</f>
        <v/>
      </c>
      <c r="AS209" s="133" t="str">
        <f>IF(AR209="","",INDEX('#建筑消耗和buff配置索引'!BL:BL,MATCH($F209,'#建筑消耗和buff配置索引'!$M:$M,0)))</f>
        <v/>
      </c>
      <c r="AV209" s="133" t="str">
        <f>IF(INDEX('#建筑消耗和buff配置索引'!BO:BO,MATCH($F209,'#建筑消耗和buff配置索引'!$M:$M,0))=0,"",INDEX('#建筑消耗和buff配置索引'!BO:BO,MATCH($F209,'#建筑消耗和buff配置索引'!$M:$M,0)))</f>
        <v/>
      </c>
      <c r="AW209" s="133" t="str">
        <f>IF(AV209="","",INDEX('#建筑消耗和buff配置索引'!BP:BP,MATCH($F209,'#建筑消耗和buff配置索引'!$M:$M,0)))</f>
        <v/>
      </c>
      <c r="AZ209" s="133" t="str">
        <f>IF(INDEX('#建筑消耗和buff配置索引'!BS:BS,MATCH($F209,'#建筑消耗和buff配置索引'!$M:$M,0))=0,"",INDEX('#建筑消耗和buff配置索引'!BS:BS,MATCH($F209,'#建筑消耗和buff配置索引'!$M:$M,0)))</f>
        <v/>
      </c>
      <c r="BA209" s="133" t="str">
        <f>IF(AZ209="","",INDEX('#建筑消耗和buff配置索引'!BT:BT,MATCH($F209,'#建筑消耗和buff配置索引'!$M:$M,0)))</f>
        <v/>
      </c>
      <c r="BD209" s="133" t="str">
        <f>IF(INDEX('#建筑消耗和buff配置索引'!BW:BW,MATCH($F209,'#建筑消耗和buff配置索引'!$M:$M,0))=0,"",INDEX('#建筑消耗和buff配置索引'!BW:BW,MATCH($F209,'#建筑消耗和buff配置索引'!$M:$M,0)))</f>
        <v/>
      </c>
      <c r="BE209" s="133" t="str">
        <f>IF(BD209="","",INDEX('#建筑消耗和buff配置索引'!BX:BX,MATCH($F209,'#建筑消耗和buff配置索引'!$M:$M,0)))</f>
        <v/>
      </c>
      <c r="BI209" s="133">
        <v>11</v>
      </c>
    </row>
    <row r="210" spans="1:61" s="133" customFormat="1">
      <c r="A210" s="133">
        <v>2090026</v>
      </c>
      <c r="B210" s="133">
        <v>207</v>
      </c>
      <c r="C210" s="133">
        <v>209</v>
      </c>
      <c r="D210" s="133" t="s">
        <v>344</v>
      </c>
      <c r="E210" s="133">
        <v>26</v>
      </c>
      <c r="F210" s="133" t="str">
        <f t="shared" si="5"/>
        <v>马厩26</v>
      </c>
      <c r="H210" s="146"/>
      <c r="I210" s="133">
        <v>3</v>
      </c>
      <c r="J210" s="150">
        <f>INDEX('#建筑消耗和buff配置索引'!AH:AH,MATCH($F210,'#建筑消耗和buff配置索引'!$M:$M,0))</f>
        <v>466560</v>
      </c>
      <c r="K210" s="150">
        <f>INDEX('#建筑消耗和buff配置索引'!AA:AA,MATCH($F210,'#建筑消耗和buff配置索引'!$M:$M,0))</f>
        <v>6500000</v>
      </c>
      <c r="L210" s="150">
        <f>INDEX('#建筑消耗和buff配置索引'!AB:AB,MATCH($F210,'#建筑消耗和buff配置索引'!$M:$M,0))</f>
        <v>6500000</v>
      </c>
      <c r="M210" s="150">
        <f>INDEX('#建筑消耗和buff配置索引'!AC:AC,MATCH($F210,'#建筑消耗和buff配置索引'!$M:$M,0))</f>
        <v>6500000</v>
      </c>
      <c r="N210" s="150">
        <f>INDEX('#建筑消耗和buff配置索引'!AD:AD,MATCH($F210,'#建筑消耗和buff配置索引'!$M:$M,0))</f>
        <v>6500000</v>
      </c>
      <c r="O210" s="150" t="str">
        <f>IF(INDEX('#建筑消耗和buff配置索引'!T:T,MATCH($F210,'#建筑消耗和buff配置索引'!$M:$M,0))=0,"",INDEX('#建筑消耗和buff配置索引'!T:T,MATCH($F210,'#建筑消耗和buff配置索引'!$M:$M,0)))</f>
        <v/>
      </c>
      <c r="P210" s="133" t="str">
        <f>IF(INDEX('#建筑消耗和buff配置索引'!U:U,MATCH($F210,'#建筑消耗和buff配置索引'!$M:$M,0))=0,"",INDEX('#建筑消耗和buff配置索引'!U:U,MATCH($F210,'#建筑消耗和buff配置索引'!$M:$M,0)))</f>
        <v/>
      </c>
      <c r="Q210" s="133" t="str">
        <f>IF(INDEX('#建筑消耗和buff配置索引'!K:K,MATCH($F210,'#建筑消耗和buff配置索引'!$M:$M,0))=0,"",INDEX('#建筑消耗和buff配置索引'!K:K,MATCH($F210,'#建筑消耗和buff配置索引'!$M:$M,0)))</f>
        <v>201;205</v>
      </c>
      <c r="R210" s="133" t="str">
        <f>IF(INDEX('#建筑消耗和buff配置索引'!L:L,MATCH($F210,'#建筑消耗和buff配置索引'!$M:$M,0))=0,"",INDEX('#建筑消耗和buff配置索引'!L:L,MATCH($F210,'#建筑消耗和buff配置索引'!$M:$M,0)))</f>
        <v>26;26</v>
      </c>
      <c r="S210" s="133">
        <f>IF(INDEX('#建筑消耗和buff配置索引'!C:C,MATCH(F210,'#建筑消耗和buff配置索引'!M:M,0))=0,1,INDEX('#建筑消耗和buff配置索引'!C:C,MATCH(F210,'#建筑消耗和buff配置索引'!M:M,0)))</f>
        <v>2</v>
      </c>
      <c r="T210" s="133">
        <v>0</v>
      </c>
      <c r="U210" s="133">
        <v>0</v>
      </c>
      <c r="V210" s="133" t="str">
        <f>IF(E210=1,IF(INDEX('#建筑消耗和buff配置索引'!BY:BY,MATCH(D210,'#建筑消耗和buff配置索引'!A:A,0))=0,"",INDEX('#建筑消耗和buff配置索引'!BY:BY,MATCH(D210,'#建筑消耗和buff配置索引'!A:A,0))),"")</f>
        <v/>
      </c>
      <c r="W210" s="133" t="str">
        <f>IF(E210=1,IF(INDEX('#建筑消耗和buff配置索引'!BZ:BZ,MATCH(D210,'#建筑消耗和buff配置索引'!A:A,0))=0,"",INDEX('#建筑消耗和buff配置索引'!BZ:BZ,MATCH(D210,'#建筑消耗和buff配置索引'!A:A,0))),"")</f>
        <v/>
      </c>
      <c r="X210" s="133" t="str">
        <f>INDEX('#建筑消耗和buff配置索引'!BC:BC,MATCH(F210,'#建筑消耗和buff配置索引'!M:M,0))*100&amp;"%"</f>
        <v>0%</v>
      </c>
      <c r="AA210" s="133">
        <f>INDEX('#建筑消耗和buff配置索引'!AO:AO,MATCH($F210,'#建筑消耗和buff配置索引'!$M:$M,0))</f>
        <v>233568</v>
      </c>
      <c r="AB210" s="133">
        <f>IF(INDEX('#建筑消耗和buff配置索引'!AR:AR,MATCH($F210,'#建筑消耗和buff配置索引'!$M:$M,0))=0,"",INDEX('#建筑消耗和buff配置索引'!AR:AR,MATCH($F210,'#建筑消耗和buff配置索引'!$M:$M,0)))</f>
        <v>3000</v>
      </c>
      <c r="AC210" s="133">
        <f>IF(AB210="","",INDEX('#建筑消耗和buff配置索引'!AS:AS,MATCH($F210,'#建筑消耗和buff配置索引'!$M:$M,0)))</f>
        <v>0.13</v>
      </c>
      <c r="AF210" s="133">
        <f>IF(INDEX('#建筑消耗和buff配置索引'!AW:AW,MATCH($F210,'#建筑消耗和buff配置索引'!$M:$M,0))=0,"",INDEX('#建筑消耗和buff配置索引'!AW:AW,MATCH($F210,'#建筑消耗和buff配置索引'!$M:$M,0)))</f>
        <v>3014</v>
      </c>
      <c r="AG210" s="133">
        <f>IF(AF210="","",INDEX('#建筑消耗和buff配置索引'!AX:AX,MATCH($F210,'#建筑消耗和buff配置索引'!$M:$M,0)))</f>
        <v>1300</v>
      </c>
      <c r="AJ210" s="133" t="str">
        <f>IF(INDEX('#建筑消耗和buff配置索引'!BB:BB,MATCH($F210,'#建筑消耗和buff配置索引'!$M:$M,0))=0,"",INDEX('#建筑消耗和buff配置索引'!BB:BB,MATCH($F210,'#建筑消耗和buff配置索引'!$M:$M,0)))</f>
        <v/>
      </c>
      <c r="AK210" s="133" t="str">
        <f>IF(AJ210="","",INDEX('#建筑消耗和buff配置索引'!BC:BC,MATCH($F210,'#建筑消耗和buff配置索引'!$M:$M,0)))</f>
        <v/>
      </c>
      <c r="AN210" s="133" t="str">
        <f>IF(INDEX('#建筑消耗和buff配置索引'!BG:BG,MATCH($F210,'#建筑消耗和buff配置索引'!$M:$M,0))=0,"",INDEX('#建筑消耗和buff配置索引'!BG:BG,MATCH($F210,'#建筑消耗和buff配置索引'!$M:$M,0)))</f>
        <v/>
      </c>
      <c r="AO210" s="133" t="str">
        <f>IF(AN210="","",INDEX('#建筑消耗和buff配置索引'!BH:BH,MATCH($F210,'#建筑消耗和buff配置索引'!$M:$M,0)))</f>
        <v/>
      </c>
      <c r="AR210" s="133" t="str">
        <f>IF(INDEX('#建筑消耗和buff配置索引'!BK:BK,MATCH($F210,'#建筑消耗和buff配置索引'!$M:$M,0))=0,"",INDEX('#建筑消耗和buff配置索引'!BK:BK,MATCH($F210,'#建筑消耗和buff配置索引'!$M:$M,0)))</f>
        <v/>
      </c>
      <c r="AS210" s="133" t="str">
        <f>IF(AR210="","",INDEX('#建筑消耗和buff配置索引'!BL:BL,MATCH($F210,'#建筑消耗和buff配置索引'!$M:$M,0)))</f>
        <v/>
      </c>
      <c r="AV210" s="133" t="str">
        <f>IF(INDEX('#建筑消耗和buff配置索引'!BO:BO,MATCH($F210,'#建筑消耗和buff配置索引'!$M:$M,0))=0,"",INDEX('#建筑消耗和buff配置索引'!BO:BO,MATCH($F210,'#建筑消耗和buff配置索引'!$M:$M,0)))</f>
        <v/>
      </c>
      <c r="AW210" s="133" t="str">
        <f>IF(AV210="","",INDEX('#建筑消耗和buff配置索引'!BP:BP,MATCH($F210,'#建筑消耗和buff配置索引'!$M:$M,0)))</f>
        <v/>
      </c>
      <c r="AZ210" s="133" t="str">
        <f>IF(INDEX('#建筑消耗和buff配置索引'!BS:BS,MATCH($F210,'#建筑消耗和buff配置索引'!$M:$M,0))=0,"",INDEX('#建筑消耗和buff配置索引'!BS:BS,MATCH($F210,'#建筑消耗和buff配置索引'!$M:$M,0)))</f>
        <v/>
      </c>
      <c r="BA210" s="133" t="str">
        <f>IF(AZ210="","",INDEX('#建筑消耗和buff配置索引'!BT:BT,MATCH($F210,'#建筑消耗和buff配置索引'!$M:$M,0)))</f>
        <v/>
      </c>
      <c r="BD210" s="133" t="str">
        <f>IF(INDEX('#建筑消耗和buff配置索引'!BW:BW,MATCH($F210,'#建筑消耗和buff配置索引'!$M:$M,0))=0,"",INDEX('#建筑消耗和buff配置索引'!BW:BW,MATCH($F210,'#建筑消耗和buff配置索引'!$M:$M,0)))</f>
        <v/>
      </c>
      <c r="BE210" s="133" t="str">
        <f>IF(BD210="","",INDEX('#建筑消耗和buff配置索引'!BX:BX,MATCH($F210,'#建筑消耗和buff配置索引'!$M:$M,0)))</f>
        <v/>
      </c>
      <c r="BI210" s="133">
        <v>11</v>
      </c>
    </row>
    <row r="211" spans="1:61" s="133" customFormat="1">
      <c r="A211" s="133">
        <v>2090027</v>
      </c>
      <c r="B211" s="133">
        <v>208</v>
      </c>
      <c r="C211" s="133">
        <v>209</v>
      </c>
      <c r="D211" s="133" t="s">
        <v>344</v>
      </c>
      <c r="E211" s="133">
        <v>27</v>
      </c>
      <c r="F211" s="133" t="str">
        <f t="shared" si="5"/>
        <v>马厩27</v>
      </c>
      <c r="H211" s="146"/>
      <c r="I211" s="133">
        <v>3</v>
      </c>
      <c r="J211" s="150">
        <f>INDEX('#建筑消耗和buff配置索引'!AH:AH,MATCH($F211,'#建筑消耗和buff配置索引'!$M:$M,0))</f>
        <v>570240</v>
      </c>
      <c r="K211" s="150">
        <f>INDEX('#建筑消耗和buff配置索引'!AA:AA,MATCH($F211,'#建筑消耗和buff配置索引'!$M:$M,0))</f>
        <v>8300000</v>
      </c>
      <c r="L211" s="150">
        <f>INDEX('#建筑消耗和buff配置索引'!AB:AB,MATCH($F211,'#建筑消耗和buff配置索引'!$M:$M,0))</f>
        <v>8300000</v>
      </c>
      <c r="M211" s="150">
        <f>INDEX('#建筑消耗和buff配置索引'!AC:AC,MATCH($F211,'#建筑消耗和buff配置索引'!$M:$M,0))</f>
        <v>8300000</v>
      </c>
      <c r="N211" s="150">
        <f>INDEX('#建筑消耗和buff配置索引'!AD:AD,MATCH($F211,'#建筑消耗和buff配置索引'!$M:$M,0))</f>
        <v>8300000</v>
      </c>
      <c r="O211" s="150" t="str">
        <f>IF(INDEX('#建筑消耗和buff配置索引'!T:T,MATCH($F211,'#建筑消耗和buff配置索引'!$M:$M,0))=0,"",INDEX('#建筑消耗和buff配置索引'!T:T,MATCH($F211,'#建筑消耗和buff配置索引'!$M:$M,0)))</f>
        <v/>
      </c>
      <c r="P211" s="133" t="str">
        <f>IF(INDEX('#建筑消耗和buff配置索引'!U:U,MATCH($F211,'#建筑消耗和buff配置索引'!$M:$M,0))=0,"",INDEX('#建筑消耗和buff配置索引'!U:U,MATCH($F211,'#建筑消耗和buff配置索引'!$M:$M,0)))</f>
        <v/>
      </c>
      <c r="Q211" s="133" t="str">
        <f>IF(INDEX('#建筑消耗和buff配置索引'!K:K,MATCH($F211,'#建筑消耗和buff配置索引'!$M:$M,0))=0,"",INDEX('#建筑消耗和buff配置索引'!K:K,MATCH($F211,'#建筑消耗和buff配置索引'!$M:$M,0)))</f>
        <v>201;205</v>
      </c>
      <c r="R211" s="133" t="str">
        <f>IF(INDEX('#建筑消耗和buff配置索引'!L:L,MATCH($F211,'#建筑消耗和buff配置索引'!$M:$M,0))=0,"",INDEX('#建筑消耗和buff配置索引'!L:L,MATCH($F211,'#建筑消耗和buff配置索引'!$M:$M,0)))</f>
        <v>27;27</v>
      </c>
      <c r="S211" s="133">
        <f>IF(INDEX('#建筑消耗和buff配置索引'!C:C,MATCH(F211,'#建筑消耗和buff配置索引'!M:M,0))=0,1,INDEX('#建筑消耗和buff配置索引'!C:C,MATCH(F211,'#建筑消耗和buff配置索引'!M:M,0)))</f>
        <v>2</v>
      </c>
      <c r="T211" s="133">
        <v>0</v>
      </c>
      <c r="U211" s="133">
        <v>0</v>
      </c>
      <c r="V211" s="133" t="str">
        <f>IF(E211=1,IF(INDEX('#建筑消耗和buff配置索引'!BY:BY,MATCH(D211,'#建筑消耗和buff配置索引'!A:A,0))=0,"",INDEX('#建筑消耗和buff配置索引'!BY:BY,MATCH(D211,'#建筑消耗和buff配置索引'!A:A,0))),"")</f>
        <v/>
      </c>
      <c r="W211" s="133" t="str">
        <f>IF(E211=1,IF(INDEX('#建筑消耗和buff配置索引'!BZ:BZ,MATCH(D211,'#建筑消耗和buff配置索引'!A:A,0))=0,"",INDEX('#建筑消耗和buff配置索引'!BZ:BZ,MATCH(D211,'#建筑消耗和buff配置索引'!A:A,0))),"")</f>
        <v/>
      </c>
      <c r="X211" s="133" t="str">
        <f>INDEX('#建筑消耗和buff配置索引'!BC:BC,MATCH(F211,'#建筑消耗和buff配置索引'!M:M,0))*100&amp;"%"</f>
        <v>0%</v>
      </c>
      <c r="AA211" s="133">
        <f>INDEX('#建筑消耗和buff配置索引'!AO:AO,MATCH($F211,'#建筑消耗和buff配置索引'!$M:$M,0))</f>
        <v>299871</v>
      </c>
      <c r="AB211" s="133">
        <f>IF(INDEX('#建筑消耗和buff配置索引'!AR:AR,MATCH($F211,'#建筑消耗和buff配置索引'!$M:$M,0))=0,"",INDEX('#建筑消耗和buff配置索引'!AR:AR,MATCH($F211,'#建筑消耗和buff配置索引'!$M:$M,0)))</f>
        <v>3000</v>
      </c>
      <c r="AC211" s="133">
        <f>IF(AB211="","",INDEX('#建筑消耗和buff配置索引'!AS:AS,MATCH($F211,'#建筑消耗和buff配置索引'!$M:$M,0)))</f>
        <v>0.14000000000000001</v>
      </c>
      <c r="AF211" s="133">
        <f>IF(INDEX('#建筑消耗和buff配置索引'!AW:AW,MATCH($F211,'#建筑消耗和buff配置索引'!$M:$M,0))=0,"",INDEX('#建筑消耗和buff配置索引'!AW:AW,MATCH($F211,'#建筑消耗和buff配置索引'!$M:$M,0)))</f>
        <v>3014</v>
      </c>
      <c r="AG211" s="133">
        <f>IF(AF211="","",INDEX('#建筑消耗和buff配置索引'!AX:AX,MATCH($F211,'#建筑消耗和buff配置索引'!$M:$M,0)))</f>
        <v>1400</v>
      </c>
      <c r="AJ211" s="133" t="str">
        <f>IF(INDEX('#建筑消耗和buff配置索引'!BB:BB,MATCH($F211,'#建筑消耗和buff配置索引'!$M:$M,0))=0,"",INDEX('#建筑消耗和buff配置索引'!BB:BB,MATCH($F211,'#建筑消耗和buff配置索引'!$M:$M,0)))</f>
        <v/>
      </c>
      <c r="AK211" s="133" t="str">
        <f>IF(AJ211="","",INDEX('#建筑消耗和buff配置索引'!BC:BC,MATCH($F211,'#建筑消耗和buff配置索引'!$M:$M,0)))</f>
        <v/>
      </c>
      <c r="AN211" s="133" t="str">
        <f>IF(INDEX('#建筑消耗和buff配置索引'!BG:BG,MATCH($F211,'#建筑消耗和buff配置索引'!$M:$M,0))=0,"",INDEX('#建筑消耗和buff配置索引'!BG:BG,MATCH($F211,'#建筑消耗和buff配置索引'!$M:$M,0)))</f>
        <v/>
      </c>
      <c r="AO211" s="133" t="str">
        <f>IF(AN211="","",INDEX('#建筑消耗和buff配置索引'!BH:BH,MATCH($F211,'#建筑消耗和buff配置索引'!$M:$M,0)))</f>
        <v/>
      </c>
      <c r="AR211" s="133" t="str">
        <f>IF(INDEX('#建筑消耗和buff配置索引'!BK:BK,MATCH($F211,'#建筑消耗和buff配置索引'!$M:$M,0))=0,"",INDEX('#建筑消耗和buff配置索引'!BK:BK,MATCH($F211,'#建筑消耗和buff配置索引'!$M:$M,0)))</f>
        <v/>
      </c>
      <c r="AS211" s="133" t="str">
        <f>IF(AR211="","",INDEX('#建筑消耗和buff配置索引'!BL:BL,MATCH($F211,'#建筑消耗和buff配置索引'!$M:$M,0)))</f>
        <v/>
      </c>
      <c r="AV211" s="133" t="str">
        <f>IF(INDEX('#建筑消耗和buff配置索引'!BO:BO,MATCH($F211,'#建筑消耗和buff配置索引'!$M:$M,0))=0,"",INDEX('#建筑消耗和buff配置索引'!BO:BO,MATCH($F211,'#建筑消耗和buff配置索引'!$M:$M,0)))</f>
        <v/>
      </c>
      <c r="AW211" s="133" t="str">
        <f>IF(AV211="","",INDEX('#建筑消耗和buff配置索引'!BP:BP,MATCH($F211,'#建筑消耗和buff配置索引'!$M:$M,0)))</f>
        <v/>
      </c>
      <c r="AZ211" s="133" t="str">
        <f>IF(INDEX('#建筑消耗和buff配置索引'!BS:BS,MATCH($F211,'#建筑消耗和buff配置索引'!$M:$M,0))=0,"",INDEX('#建筑消耗和buff配置索引'!BS:BS,MATCH($F211,'#建筑消耗和buff配置索引'!$M:$M,0)))</f>
        <v/>
      </c>
      <c r="BA211" s="133" t="str">
        <f>IF(AZ211="","",INDEX('#建筑消耗和buff配置索引'!BT:BT,MATCH($F211,'#建筑消耗和buff配置索引'!$M:$M,0)))</f>
        <v/>
      </c>
      <c r="BD211" s="133" t="str">
        <f>IF(INDEX('#建筑消耗和buff配置索引'!BW:BW,MATCH($F211,'#建筑消耗和buff配置索引'!$M:$M,0))=0,"",INDEX('#建筑消耗和buff配置索引'!BW:BW,MATCH($F211,'#建筑消耗和buff配置索引'!$M:$M,0)))</f>
        <v/>
      </c>
      <c r="BE211" s="133" t="str">
        <f>IF(BD211="","",INDEX('#建筑消耗和buff配置索引'!BX:BX,MATCH($F211,'#建筑消耗和buff配置索引'!$M:$M,0)))</f>
        <v/>
      </c>
      <c r="BI211" s="133">
        <v>11</v>
      </c>
    </row>
    <row r="212" spans="1:61" s="133" customFormat="1">
      <c r="A212" s="133">
        <v>2090028</v>
      </c>
      <c r="B212" s="133">
        <v>209</v>
      </c>
      <c r="C212" s="133">
        <v>209</v>
      </c>
      <c r="D212" s="133" t="s">
        <v>344</v>
      </c>
      <c r="E212" s="133">
        <v>28</v>
      </c>
      <c r="F212" s="133" t="str">
        <f t="shared" si="5"/>
        <v>马厩28</v>
      </c>
      <c r="H212" s="146"/>
      <c r="I212" s="133">
        <v>3</v>
      </c>
      <c r="J212" s="150">
        <f>INDEX('#建筑消耗和buff配置索引'!AH:AH,MATCH($F212,'#建筑消耗和buff配置索引'!$M:$M,0))</f>
        <v>699840</v>
      </c>
      <c r="K212" s="150">
        <f>INDEX('#建筑消耗和buff配置索引'!AA:AA,MATCH($F212,'#建筑消耗和buff配置索引'!$M:$M,0))</f>
        <v>11000000</v>
      </c>
      <c r="L212" s="150">
        <f>INDEX('#建筑消耗和buff配置索引'!AB:AB,MATCH($F212,'#建筑消耗和buff配置索引'!$M:$M,0))</f>
        <v>11000000</v>
      </c>
      <c r="M212" s="150">
        <f>INDEX('#建筑消耗和buff配置索引'!AC:AC,MATCH($F212,'#建筑消耗和buff配置索引'!$M:$M,0))</f>
        <v>11000000</v>
      </c>
      <c r="N212" s="150">
        <f>INDEX('#建筑消耗和buff配置索引'!AD:AD,MATCH($F212,'#建筑消耗和buff配置索引'!$M:$M,0))</f>
        <v>11000000</v>
      </c>
      <c r="O212" s="150" t="str">
        <f>IF(INDEX('#建筑消耗和buff配置索引'!T:T,MATCH($F212,'#建筑消耗和buff配置索引'!$M:$M,0))=0,"",INDEX('#建筑消耗和buff配置索引'!T:T,MATCH($F212,'#建筑消耗和buff配置索引'!$M:$M,0)))</f>
        <v/>
      </c>
      <c r="P212" s="133" t="str">
        <f>IF(INDEX('#建筑消耗和buff配置索引'!U:U,MATCH($F212,'#建筑消耗和buff配置索引'!$M:$M,0))=0,"",INDEX('#建筑消耗和buff配置索引'!U:U,MATCH($F212,'#建筑消耗和buff配置索引'!$M:$M,0)))</f>
        <v/>
      </c>
      <c r="Q212" s="133" t="str">
        <f>IF(INDEX('#建筑消耗和buff配置索引'!K:K,MATCH($F212,'#建筑消耗和buff配置索引'!$M:$M,0))=0,"",INDEX('#建筑消耗和buff配置索引'!K:K,MATCH($F212,'#建筑消耗和buff配置索引'!$M:$M,0)))</f>
        <v>201;205</v>
      </c>
      <c r="R212" s="133" t="str">
        <f>IF(INDEX('#建筑消耗和buff配置索引'!L:L,MATCH($F212,'#建筑消耗和buff配置索引'!$M:$M,0))=0,"",INDEX('#建筑消耗和buff配置索引'!L:L,MATCH($F212,'#建筑消耗和buff配置索引'!$M:$M,0)))</f>
        <v>28;28</v>
      </c>
      <c r="S212" s="133">
        <f>IF(INDEX('#建筑消耗和buff配置索引'!C:C,MATCH(F212,'#建筑消耗和buff配置索引'!M:M,0))=0,1,INDEX('#建筑消耗和buff配置索引'!C:C,MATCH(F212,'#建筑消耗和buff配置索引'!M:M,0)))</f>
        <v>2</v>
      </c>
      <c r="T212" s="133">
        <v>0</v>
      </c>
      <c r="U212" s="133">
        <v>0</v>
      </c>
      <c r="V212" s="133" t="str">
        <f>IF(E212=1,IF(INDEX('#建筑消耗和buff配置索引'!BY:BY,MATCH(D212,'#建筑消耗和buff配置索引'!A:A,0))=0,"",INDEX('#建筑消耗和buff配置索引'!BY:BY,MATCH(D212,'#建筑消耗和buff配置索引'!A:A,0))),"")</f>
        <v/>
      </c>
      <c r="W212" s="133" t="str">
        <f>IF(E212=1,IF(INDEX('#建筑消耗和buff配置索引'!BZ:BZ,MATCH(D212,'#建筑消耗和buff配置索引'!A:A,0))=0,"",INDEX('#建筑消耗和buff配置索引'!BZ:BZ,MATCH(D212,'#建筑消耗和buff配置索引'!A:A,0))),"")</f>
        <v/>
      </c>
      <c r="X212" s="133" t="str">
        <f>INDEX('#建筑消耗和buff配置索引'!BC:BC,MATCH(F212,'#建筑消耗和buff配置索引'!M:M,0))*100&amp;"%"</f>
        <v>0%</v>
      </c>
      <c r="AA212" s="133">
        <f>INDEX('#建筑消耗和buff配置索引'!AO:AO,MATCH($F212,'#建筑消耗和buff配置索引'!$M:$M,0))</f>
        <v>384740</v>
      </c>
      <c r="AB212" s="133">
        <f>IF(INDEX('#建筑消耗和buff配置索引'!AR:AR,MATCH($F212,'#建筑消耗和buff配置索引'!$M:$M,0))=0,"",INDEX('#建筑消耗和buff配置索引'!AR:AR,MATCH($F212,'#建筑消耗和buff配置索引'!$M:$M,0)))</f>
        <v>3000</v>
      </c>
      <c r="AC212" s="133">
        <f>IF(AB212="","",INDEX('#建筑消耗和buff配置索引'!AS:AS,MATCH($F212,'#建筑消耗和buff配置索引'!$M:$M,0)))</f>
        <v>0.15</v>
      </c>
      <c r="AF212" s="133">
        <f>IF(INDEX('#建筑消耗和buff配置索引'!AW:AW,MATCH($F212,'#建筑消耗和buff配置索引'!$M:$M,0))=0,"",INDEX('#建筑消耗和buff配置索引'!AW:AW,MATCH($F212,'#建筑消耗和buff配置索引'!$M:$M,0)))</f>
        <v>3014</v>
      </c>
      <c r="AG212" s="133">
        <f>IF(AF212="","",INDEX('#建筑消耗和buff配置索引'!AX:AX,MATCH($F212,'#建筑消耗和buff配置索引'!$M:$M,0)))</f>
        <v>1500</v>
      </c>
      <c r="AJ212" s="133" t="str">
        <f>IF(INDEX('#建筑消耗和buff配置索引'!BB:BB,MATCH($F212,'#建筑消耗和buff配置索引'!$M:$M,0))=0,"",INDEX('#建筑消耗和buff配置索引'!BB:BB,MATCH($F212,'#建筑消耗和buff配置索引'!$M:$M,0)))</f>
        <v/>
      </c>
      <c r="AK212" s="133" t="str">
        <f>IF(AJ212="","",INDEX('#建筑消耗和buff配置索引'!BC:BC,MATCH($F212,'#建筑消耗和buff配置索引'!$M:$M,0)))</f>
        <v/>
      </c>
      <c r="AN212" s="133" t="str">
        <f>IF(INDEX('#建筑消耗和buff配置索引'!BG:BG,MATCH($F212,'#建筑消耗和buff配置索引'!$M:$M,0))=0,"",INDEX('#建筑消耗和buff配置索引'!BG:BG,MATCH($F212,'#建筑消耗和buff配置索引'!$M:$M,0)))</f>
        <v/>
      </c>
      <c r="AO212" s="133" t="str">
        <f>IF(AN212="","",INDEX('#建筑消耗和buff配置索引'!BH:BH,MATCH($F212,'#建筑消耗和buff配置索引'!$M:$M,0)))</f>
        <v/>
      </c>
      <c r="AR212" s="133" t="str">
        <f>IF(INDEX('#建筑消耗和buff配置索引'!BK:BK,MATCH($F212,'#建筑消耗和buff配置索引'!$M:$M,0))=0,"",INDEX('#建筑消耗和buff配置索引'!BK:BK,MATCH($F212,'#建筑消耗和buff配置索引'!$M:$M,0)))</f>
        <v/>
      </c>
      <c r="AS212" s="133" t="str">
        <f>IF(AR212="","",INDEX('#建筑消耗和buff配置索引'!BL:BL,MATCH($F212,'#建筑消耗和buff配置索引'!$M:$M,0)))</f>
        <v/>
      </c>
      <c r="AV212" s="133" t="str">
        <f>IF(INDEX('#建筑消耗和buff配置索引'!BO:BO,MATCH($F212,'#建筑消耗和buff配置索引'!$M:$M,0))=0,"",INDEX('#建筑消耗和buff配置索引'!BO:BO,MATCH($F212,'#建筑消耗和buff配置索引'!$M:$M,0)))</f>
        <v/>
      </c>
      <c r="AW212" s="133" t="str">
        <f>IF(AV212="","",INDEX('#建筑消耗和buff配置索引'!BP:BP,MATCH($F212,'#建筑消耗和buff配置索引'!$M:$M,0)))</f>
        <v/>
      </c>
      <c r="AZ212" s="133" t="str">
        <f>IF(INDEX('#建筑消耗和buff配置索引'!BS:BS,MATCH($F212,'#建筑消耗和buff配置索引'!$M:$M,0))=0,"",INDEX('#建筑消耗和buff配置索引'!BS:BS,MATCH($F212,'#建筑消耗和buff配置索引'!$M:$M,0)))</f>
        <v/>
      </c>
      <c r="BA212" s="133" t="str">
        <f>IF(AZ212="","",INDEX('#建筑消耗和buff配置索引'!BT:BT,MATCH($F212,'#建筑消耗和buff配置索引'!$M:$M,0)))</f>
        <v/>
      </c>
      <c r="BD212" s="133" t="str">
        <f>IF(INDEX('#建筑消耗和buff配置索引'!BW:BW,MATCH($F212,'#建筑消耗和buff配置索引'!$M:$M,0))=0,"",INDEX('#建筑消耗和buff配置索引'!BW:BW,MATCH($F212,'#建筑消耗和buff配置索引'!$M:$M,0)))</f>
        <v/>
      </c>
      <c r="BE212" s="133" t="str">
        <f>IF(BD212="","",INDEX('#建筑消耗和buff配置索引'!BX:BX,MATCH($F212,'#建筑消耗和buff配置索引'!$M:$M,0)))</f>
        <v/>
      </c>
      <c r="BI212" s="133">
        <v>11</v>
      </c>
    </row>
    <row r="213" spans="1:61" s="133" customFormat="1">
      <c r="A213" s="133">
        <v>2090029</v>
      </c>
      <c r="B213" s="133">
        <v>210</v>
      </c>
      <c r="C213" s="133">
        <v>209</v>
      </c>
      <c r="D213" s="133" t="s">
        <v>344</v>
      </c>
      <c r="E213" s="133">
        <v>29</v>
      </c>
      <c r="F213" s="133" t="str">
        <f t="shared" si="5"/>
        <v>马厩29</v>
      </c>
      <c r="H213" s="146"/>
      <c r="I213" s="133">
        <v>3</v>
      </c>
      <c r="J213" s="150">
        <f>INDEX('#建筑消耗和buff配置索引'!AH:AH,MATCH($F213,'#建筑消耗和buff配置索引'!$M:$M,0))</f>
        <v>855360</v>
      </c>
      <c r="K213" s="150">
        <f>INDEX('#建筑消耗和buff配置索引'!AA:AA,MATCH($F213,'#建筑消耗和buff配置索引'!$M:$M,0))</f>
        <v>14000000</v>
      </c>
      <c r="L213" s="150">
        <f>INDEX('#建筑消耗和buff配置索引'!AB:AB,MATCH($F213,'#建筑消耗和buff配置索引'!$M:$M,0))</f>
        <v>14000000</v>
      </c>
      <c r="M213" s="150">
        <f>INDEX('#建筑消耗和buff配置索引'!AC:AC,MATCH($F213,'#建筑消耗和buff配置索引'!$M:$M,0))</f>
        <v>14000000</v>
      </c>
      <c r="N213" s="150">
        <f>INDEX('#建筑消耗和buff配置索引'!AD:AD,MATCH($F213,'#建筑消耗和buff配置索引'!$M:$M,0))</f>
        <v>14000000</v>
      </c>
      <c r="O213" s="150" t="str">
        <f>IF(INDEX('#建筑消耗和buff配置索引'!T:T,MATCH($F213,'#建筑消耗和buff配置索引'!$M:$M,0))=0,"",INDEX('#建筑消耗和buff配置索引'!T:T,MATCH($F213,'#建筑消耗和buff配置索引'!$M:$M,0)))</f>
        <v/>
      </c>
      <c r="P213" s="133" t="str">
        <f>IF(INDEX('#建筑消耗和buff配置索引'!U:U,MATCH($F213,'#建筑消耗和buff配置索引'!$M:$M,0))=0,"",INDEX('#建筑消耗和buff配置索引'!U:U,MATCH($F213,'#建筑消耗和buff配置索引'!$M:$M,0)))</f>
        <v/>
      </c>
      <c r="Q213" s="133" t="str">
        <f>IF(INDEX('#建筑消耗和buff配置索引'!K:K,MATCH($F213,'#建筑消耗和buff配置索引'!$M:$M,0))=0,"",INDEX('#建筑消耗和buff配置索引'!K:K,MATCH($F213,'#建筑消耗和buff配置索引'!$M:$M,0)))</f>
        <v>201;205</v>
      </c>
      <c r="R213" s="133" t="str">
        <f>IF(INDEX('#建筑消耗和buff配置索引'!L:L,MATCH($F213,'#建筑消耗和buff配置索引'!$M:$M,0))=0,"",INDEX('#建筑消耗和buff配置索引'!L:L,MATCH($F213,'#建筑消耗和buff配置索引'!$M:$M,0)))</f>
        <v>29;29</v>
      </c>
      <c r="S213" s="133">
        <f>IF(INDEX('#建筑消耗和buff配置索引'!C:C,MATCH(F213,'#建筑消耗和buff配置索引'!M:M,0))=0,1,INDEX('#建筑消耗和buff配置索引'!C:C,MATCH(F213,'#建筑消耗和buff配置索引'!M:M,0)))</f>
        <v>2</v>
      </c>
      <c r="T213" s="133">
        <v>0</v>
      </c>
      <c r="U213" s="133">
        <v>0</v>
      </c>
      <c r="V213" s="133" t="str">
        <f>IF(E213=1,IF(INDEX('#建筑消耗和buff配置索引'!BY:BY,MATCH(D213,'#建筑消耗和buff配置索引'!A:A,0))=0,"",INDEX('#建筑消耗和buff配置索引'!BY:BY,MATCH(D213,'#建筑消耗和buff配置索引'!A:A,0))),"")</f>
        <v/>
      </c>
      <c r="W213" s="133" t="str">
        <f>IF(E213=1,IF(INDEX('#建筑消耗和buff配置索引'!BZ:BZ,MATCH(D213,'#建筑消耗和buff配置索引'!A:A,0))=0,"",INDEX('#建筑消耗和buff配置索引'!BZ:BZ,MATCH(D213,'#建筑消耗和buff配置索引'!A:A,0))),"")</f>
        <v/>
      </c>
      <c r="X213" s="133" t="str">
        <f>INDEX('#建筑消耗和buff配置索引'!BC:BC,MATCH(F213,'#建筑消耗和buff配置索引'!M:M,0))*100&amp;"%"</f>
        <v>0%</v>
      </c>
      <c r="AA213" s="133">
        <f>INDEX('#建筑消耗和buff配置索引'!AO:AO,MATCH($F213,'#建筑消耗和buff配置索引'!$M:$M,0))</f>
        <v>493372</v>
      </c>
      <c r="AB213" s="133">
        <f>IF(INDEX('#建筑消耗和buff配置索引'!AR:AR,MATCH($F213,'#建筑消耗和buff配置索引'!$M:$M,0))=0,"",INDEX('#建筑消耗和buff配置索引'!AR:AR,MATCH($F213,'#建筑消耗和buff配置索引'!$M:$M,0)))</f>
        <v>3000</v>
      </c>
      <c r="AC213" s="133">
        <f>IF(AB213="","",INDEX('#建筑消耗和buff配置索引'!AS:AS,MATCH($F213,'#建筑消耗和buff配置索引'!$M:$M,0)))</f>
        <v>0.16</v>
      </c>
      <c r="AF213" s="133">
        <f>IF(INDEX('#建筑消耗和buff配置索引'!AW:AW,MATCH($F213,'#建筑消耗和buff配置索引'!$M:$M,0))=0,"",INDEX('#建筑消耗和buff配置索引'!AW:AW,MATCH($F213,'#建筑消耗和buff配置索引'!$M:$M,0)))</f>
        <v>3014</v>
      </c>
      <c r="AG213" s="133">
        <f>IF(AF213="","",INDEX('#建筑消耗和buff配置索引'!AX:AX,MATCH($F213,'#建筑消耗和buff配置索引'!$M:$M,0)))</f>
        <v>1600</v>
      </c>
      <c r="AJ213" s="133" t="str">
        <f>IF(INDEX('#建筑消耗和buff配置索引'!BB:BB,MATCH($F213,'#建筑消耗和buff配置索引'!$M:$M,0))=0,"",INDEX('#建筑消耗和buff配置索引'!BB:BB,MATCH($F213,'#建筑消耗和buff配置索引'!$M:$M,0)))</f>
        <v/>
      </c>
      <c r="AK213" s="133" t="str">
        <f>IF(AJ213="","",INDEX('#建筑消耗和buff配置索引'!BC:BC,MATCH($F213,'#建筑消耗和buff配置索引'!$M:$M,0)))</f>
        <v/>
      </c>
      <c r="AN213" s="133" t="str">
        <f>IF(INDEX('#建筑消耗和buff配置索引'!BG:BG,MATCH($F213,'#建筑消耗和buff配置索引'!$M:$M,0))=0,"",INDEX('#建筑消耗和buff配置索引'!BG:BG,MATCH($F213,'#建筑消耗和buff配置索引'!$M:$M,0)))</f>
        <v/>
      </c>
      <c r="AO213" s="133" t="str">
        <f>IF(AN213="","",INDEX('#建筑消耗和buff配置索引'!BH:BH,MATCH($F213,'#建筑消耗和buff配置索引'!$M:$M,0)))</f>
        <v/>
      </c>
      <c r="AR213" s="133" t="str">
        <f>IF(INDEX('#建筑消耗和buff配置索引'!BK:BK,MATCH($F213,'#建筑消耗和buff配置索引'!$M:$M,0))=0,"",INDEX('#建筑消耗和buff配置索引'!BK:BK,MATCH($F213,'#建筑消耗和buff配置索引'!$M:$M,0)))</f>
        <v/>
      </c>
      <c r="AS213" s="133" t="str">
        <f>IF(AR213="","",INDEX('#建筑消耗和buff配置索引'!BL:BL,MATCH($F213,'#建筑消耗和buff配置索引'!$M:$M,0)))</f>
        <v/>
      </c>
      <c r="AV213" s="133" t="str">
        <f>IF(INDEX('#建筑消耗和buff配置索引'!BO:BO,MATCH($F213,'#建筑消耗和buff配置索引'!$M:$M,0))=0,"",INDEX('#建筑消耗和buff配置索引'!BO:BO,MATCH($F213,'#建筑消耗和buff配置索引'!$M:$M,0)))</f>
        <v/>
      </c>
      <c r="AW213" s="133" t="str">
        <f>IF(AV213="","",INDEX('#建筑消耗和buff配置索引'!BP:BP,MATCH($F213,'#建筑消耗和buff配置索引'!$M:$M,0)))</f>
        <v/>
      </c>
      <c r="AZ213" s="133" t="str">
        <f>IF(INDEX('#建筑消耗和buff配置索引'!BS:BS,MATCH($F213,'#建筑消耗和buff配置索引'!$M:$M,0))=0,"",INDEX('#建筑消耗和buff配置索引'!BS:BS,MATCH($F213,'#建筑消耗和buff配置索引'!$M:$M,0)))</f>
        <v/>
      </c>
      <c r="BA213" s="133" t="str">
        <f>IF(AZ213="","",INDEX('#建筑消耗和buff配置索引'!BT:BT,MATCH($F213,'#建筑消耗和buff配置索引'!$M:$M,0)))</f>
        <v/>
      </c>
      <c r="BD213" s="133" t="str">
        <f>IF(INDEX('#建筑消耗和buff配置索引'!BW:BW,MATCH($F213,'#建筑消耗和buff配置索引'!$M:$M,0))=0,"",INDEX('#建筑消耗和buff配置索引'!BW:BW,MATCH($F213,'#建筑消耗和buff配置索引'!$M:$M,0)))</f>
        <v/>
      </c>
      <c r="BE213" s="133" t="str">
        <f>IF(BD213="","",INDEX('#建筑消耗和buff配置索引'!BX:BX,MATCH($F213,'#建筑消耗和buff配置索引'!$M:$M,0)))</f>
        <v/>
      </c>
      <c r="BI213" s="133">
        <v>11</v>
      </c>
    </row>
    <row r="214" spans="1:61" s="133" customFormat="1">
      <c r="A214" s="133">
        <v>2090030</v>
      </c>
      <c r="B214" s="133">
        <v>211</v>
      </c>
      <c r="C214" s="133">
        <v>209</v>
      </c>
      <c r="D214" s="133" t="s">
        <v>344</v>
      </c>
      <c r="E214" s="133">
        <v>30</v>
      </c>
      <c r="F214" s="133" t="str">
        <f t="shared" si="5"/>
        <v>马厩30</v>
      </c>
      <c r="H214" s="146"/>
      <c r="I214" s="133">
        <v>3</v>
      </c>
      <c r="J214" s="150">
        <f>INDEX('#建筑消耗和buff配置索引'!AH:AH,MATCH($F214,'#建筑消耗和buff配置索引'!$M:$M,0))</f>
        <v>1036800</v>
      </c>
      <c r="K214" s="150">
        <f>INDEX('#建筑消耗和buff配置索引'!AA:AA,MATCH($F214,'#建筑消耗和buff配置索引'!$M:$M,0))</f>
        <v>17000000</v>
      </c>
      <c r="L214" s="150">
        <f>INDEX('#建筑消耗和buff配置索引'!AB:AB,MATCH($F214,'#建筑消耗和buff配置索引'!$M:$M,0))</f>
        <v>17000000</v>
      </c>
      <c r="M214" s="150">
        <f>INDEX('#建筑消耗和buff配置索引'!AC:AC,MATCH($F214,'#建筑消耗和buff配置索引'!$M:$M,0))</f>
        <v>17000000</v>
      </c>
      <c r="N214" s="150">
        <f>INDEX('#建筑消耗和buff配置索引'!AD:AD,MATCH($F214,'#建筑消耗和buff配置索引'!$M:$M,0))</f>
        <v>17000000</v>
      </c>
      <c r="O214" s="150" t="str">
        <f>IF(INDEX('#建筑消耗和buff配置索引'!T:T,MATCH($F214,'#建筑消耗和buff配置索引'!$M:$M,0))=0,"",INDEX('#建筑消耗和buff配置索引'!T:T,MATCH($F214,'#建筑消耗和buff配置索引'!$M:$M,0)))</f>
        <v/>
      </c>
      <c r="P214" s="133" t="str">
        <f>IF(INDEX('#建筑消耗和buff配置索引'!U:U,MATCH($F214,'#建筑消耗和buff配置索引'!$M:$M,0))=0,"",INDEX('#建筑消耗和buff配置索引'!U:U,MATCH($F214,'#建筑消耗和buff配置索引'!$M:$M,0)))</f>
        <v/>
      </c>
      <c r="Q214" s="133" t="str">
        <f>IF(INDEX('#建筑消耗和buff配置索引'!K:K,MATCH($F214,'#建筑消耗和buff配置索引'!$M:$M,0))=0,"",INDEX('#建筑消耗和buff配置索引'!K:K,MATCH($F214,'#建筑消耗和buff配置索引'!$M:$M,0)))</f>
        <v>201;205</v>
      </c>
      <c r="R214" s="133" t="str">
        <f>IF(INDEX('#建筑消耗和buff配置索引'!L:L,MATCH($F214,'#建筑消耗和buff配置索引'!$M:$M,0))=0,"",INDEX('#建筑消耗和buff配置索引'!L:L,MATCH($F214,'#建筑消耗和buff配置索引'!$M:$M,0)))</f>
        <v>30;30</v>
      </c>
      <c r="S214" s="133">
        <f>IF(INDEX('#建筑消耗和buff配置索引'!C:C,MATCH(F214,'#建筑消耗和buff配置索引'!M:M,0))=0,1,INDEX('#建筑消耗和buff配置索引'!C:C,MATCH(F214,'#建筑消耗和buff配置索引'!M:M,0)))</f>
        <v>2</v>
      </c>
      <c r="T214" s="133">
        <v>0</v>
      </c>
      <c r="U214" s="133">
        <v>0</v>
      </c>
      <c r="V214" s="133" t="str">
        <f>IF(E214=1,IF(INDEX('#建筑消耗和buff配置索引'!BY:BY,MATCH(D214,'#建筑消耗和buff配置索引'!A:A,0))=0,"",INDEX('#建筑消耗和buff配置索引'!BY:BY,MATCH(D214,'#建筑消耗和buff配置索引'!A:A,0))),"")</f>
        <v/>
      </c>
      <c r="W214" s="133" t="str">
        <f>IF(E214=1,IF(INDEX('#建筑消耗和buff配置索引'!BZ:BZ,MATCH(D214,'#建筑消耗和buff配置索引'!A:A,0))=0,"",INDEX('#建筑消耗和buff配置索引'!BZ:BZ,MATCH(D214,'#建筑消耗和buff配置索引'!A:A,0))),"")</f>
        <v/>
      </c>
      <c r="X214" s="133" t="str">
        <f>INDEX('#建筑消耗和buff配置索引'!BC:BC,MATCH(F214,'#建筑消耗和buff配置索引'!M:M,0))*100&amp;"%"</f>
        <v>0%</v>
      </c>
      <c r="AA214" s="133">
        <f>INDEX('#建筑消耗和buff配置索引'!AO:AO,MATCH($F214,'#建筑消耗和buff配置索引'!$M:$M,0))</f>
        <v>632420</v>
      </c>
      <c r="AB214" s="133">
        <f>IF(INDEX('#建筑消耗和buff配置索引'!AR:AR,MATCH($F214,'#建筑消耗和buff配置索引'!$M:$M,0))=0,"",INDEX('#建筑消耗和buff配置索引'!AR:AR,MATCH($F214,'#建筑消耗和buff配置索引'!$M:$M,0)))</f>
        <v>3000</v>
      </c>
      <c r="AC214" s="133">
        <f>IF(AB214="","",INDEX('#建筑消耗和buff配置索引'!AS:AS,MATCH($F214,'#建筑消耗和buff配置索引'!$M:$M,0)))</f>
        <v>0.17</v>
      </c>
      <c r="AF214" s="133">
        <f>IF(INDEX('#建筑消耗和buff配置索引'!AW:AW,MATCH($F214,'#建筑消耗和buff配置索引'!$M:$M,0))=0,"",INDEX('#建筑消耗和buff配置索引'!AW:AW,MATCH($F214,'#建筑消耗和buff配置索引'!$M:$M,0)))</f>
        <v>3014</v>
      </c>
      <c r="AG214" s="133">
        <f>IF(AF214="","",INDEX('#建筑消耗和buff配置索引'!AX:AX,MATCH($F214,'#建筑消耗和buff配置索引'!$M:$M,0)))</f>
        <v>1700</v>
      </c>
      <c r="AJ214" s="133" t="str">
        <f>IF(INDEX('#建筑消耗和buff配置索引'!BB:BB,MATCH($F214,'#建筑消耗和buff配置索引'!$M:$M,0))=0,"",INDEX('#建筑消耗和buff配置索引'!BB:BB,MATCH($F214,'#建筑消耗和buff配置索引'!$M:$M,0)))</f>
        <v/>
      </c>
      <c r="AK214" s="133" t="str">
        <f>IF(AJ214="","",INDEX('#建筑消耗和buff配置索引'!BC:BC,MATCH($F214,'#建筑消耗和buff配置索引'!$M:$M,0)))</f>
        <v/>
      </c>
      <c r="AN214" s="133" t="str">
        <f>IF(INDEX('#建筑消耗和buff配置索引'!BG:BG,MATCH($F214,'#建筑消耗和buff配置索引'!$M:$M,0))=0,"",INDEX('#建筑消耗和buff配置索引'!BG:BG,MATCH($F214,'#建筑消耗和buff配置索引'!$M:$M,0)))</f>
        <v/>
      </c>
      <c r="AO214" s="133" t="str">
        <f>IF(AN214="","",INDEX('#建筑消耗和buff配置索引'!BH:BH,MATCH($F214,'#建筑消耗和buff配置索引'!$M:$M,0)))</f>
        <v/>
      </c>
      <c r="AR214" s="133" t="str">
        <f>IF(INDEX('#建筑消耗和buff配置索引'!BK:BK,MATCH($F214,'#建筑消耗和buff配置索引'!$M:$M,0))=0,"",INDEX('#建筑消耗和buff配置索引'!BK:BK,MATCH($F214,'#建筑消耗和buff配置索引'!$M:$M,0)))</f>
        <v/>
      </c>
      <c r="AS214" s="133" t="str">
        <f>IF(AR214="","",INDEX('#建筑消耗和buff配置索引'!BL:BL,MATCH($F214,'#建筑消耗和buff配置索引'!$M:$M,0)))</f>
        <v/>
      </c>
      <c r="AV214" s="133" t="str">
        <f>IF(INDEX('#建筑消耗和buff配置索引'!BO:BO,MATCH($F214,'#建筑消耗和buff配置索引'!$M:$M,0))=0,"",INDEX('#建筑消耗和buff配置索引'!BO:BO,MATCH($F214,'#建筑消耗和buff配置索引'!$M:$M,0)))</f>
        <v/>
      </c>
      <c r="AW214" s="133" t="str">
        <f>IF(AV214="","",INDEX('#建筑消耗和buff配置索引'!BP:BP,MATCH($F214,'#建筑消耗和buff配置索引'!$M:$M,0)))</f>
        <v/>
      </c>
      <c r="AZ214" s="133" t="str">
        <f>IF(INDEX('#建筑消耗和buff配置索引'!BS:BS,MATCH($F214,'#建筑消耗和buff配置索引'!$M:$M,0))=0,"",INDEX('#建筑消耗和buff配置索引'!BS:BS,MATCH($F214,'#建筑消耗和buff配置索引'!$M:$M,0)))</f>
        <v/>
      </c>
      <c r="BA214" s="133" t="str">
        <f>IF(AZ214="","",INDEX('#建筑消耗和buff配置索引'!BT:BT,MATCH($F214,'#建筑消耗和buff配置索引'!$M:$M,0)))</f>
        <v/>
      </c>
      <c r="BD214" s="133" t="str">
        <f>IF(INDEX('#建筑消耗和buff配置索引'!BW:BW,MATCH($F214,'#建筑消耗和buff配置索引'!$M:$M,0))=0,"",INDEX('#建筑消耗和buff配置索引'!BW:BW,MATCH($F214,'#建筑消耗和buff配置索引'!$M:$M,0)))</f>
        <v/>
      </c>
      <c r="BE214" s="133" t="str">
        <f>IF(BD214="","",INDEX('#建筑消耗和buff配置索引'!BX:BX,MATCH($F214,'#建筑消耗和buff配置索引'!$M:$M,0)))</f>
        <v/>
      </c>
      <c r="BI214" s="133">
        <v>11</v>
      </c>
    </row>
    <row r="215" spans="1:61" s="134" customFormat="1">
      <c r="A215" s="134">
        <v>2120001</v>
      </c>
      <c r="B215" s="134">
        <v>212</v>
      </c>
      <c r="C215" s="134">
        <v>212</v>
      </c>
      <c r="D215" s="134" t="s">
        <v>394</v>
      </c>
      <c r="E215" s="134">
        <v>1</v>
      </c>
      <c r="F215" s="134" t="str">
        <f t="shared" si="5"/>
        <v>校场1</v>
      </c>
      <c r="H215" s="154"/>
      <c r="I215" s="134" t="s">
        <v>1205</v>
      </c>
      <c r="J215" s="155">
        <f>INDEX('#建筑消耗和buff配置索引'!AH:AH,MATCH($F215,'#建筑消耗和buff配置索引'!$M:$M,0))</f>
        <v>25</v>
      </c>
      <c r="K215" s="155">
        <f>INDEX('#建筑消耗和buff配置索引'!AA:AA,MATCH($F215,'#建筑消耗和buff配置索引'!$M:$M,0))</f>
        <v>0</v>
      </c>
      <c r="L215" s="155">
        <f>INDEX('#建筑消耗和buff配置索引'!AB:AB,MATCH($F215,'#建筑消耗和buff配置索引'!$M:$M,0))</f>
        <v>0</v>
      </c>
      <c r="M215" s="155">
        <f>INDEX('#建筑消耗和buff配置索引'!AC:AC,MATCH($F215,'#建筑消耗和buff配置索引'!$M:$M,0))</f>
        <v>0</v>
      </c>
      <c r="N215" s="155">
        <f>INDEX('#建筑消耗和buff配置索引'!AD:AD,MATCH($F215,'#建筑消耗和buff配置索引'!$M:$M,0))</f>
        <v>0</v>
      </c>
      <c r="O215" s="150" t="str">
        <f>IF(INDEX('#建筑消耗和buff配置索引'!T:T,MATCH($F215,'#建筑消耗和buff配置索引'!$M:$M,0))=0,"",INDEX('#建筑消耗和buff配置索引'!T:T,MATCH($F215,'#建筑消耗和buff配置索引'!$M:$M,0)))</f>
        <v/>
      </c>
      <c r="P215" s="134" t="str">
        <f>IF(INDEX('#建筑消耗和buff配置索引'!U:U,MATCH($F215,'#建筑消耗和buff配置索引'!$M:$M,0))=0,"",INDEX('#建筑消耗和buff配置索引'!U:U,MATCH($F215,'#建筑消耗和buff配置索引'!$M:$M,0)))</f>
        <v/>
      </c>
      <c r="Q215" s="133" t="str">
        <f>IF(INDEX('#建筑消耗和buff配置索引'!K:K,MATCH($F215,'#建筑消耗和buff配置索引'!$M:$M,0))=0,"",INDEX('#建筑消耗和buff配置索引'!K:K,MATCH($F215,'#建筑消耗和buff配置索引'!$M:$M,0)))</f>
        <v>201</v>
      </c>
      <c r="R215" s="133" t="str">
        <f>IF(INDEX('#建筑消耗和buff配置索引'!L:L,MATCH($F215,'#建筑消耗和buff配置索引'!$M:$M,0))=0,"",INDEX('#建筑消耗和buff配置索引'!L:L,MATCH($F215,'#建筑消耗和buff配置索引'!$M:$M,0)))</f>
        <v>1</v>
      </c>
      <c r="S215" s="134">
        <f>IF(INDEX('#建筑消耗和buff配置索引'!C:C,MATCH(F215,'#建筑消耗和buff配置索引'!M:M,0))=0,1,INDEX('#建筑消耗和buff配置索引'!C:C,MATCH(F215,'#建筑消耗和buff配置索引'!M:M,0)))</f>
        <v>1</v>
      </c>
      <c r="T215" s="134">
        <v>0</v>
      </c>
      <c r="U215" s="134">
        <v>0</v>
      </c>
      <c r="V215" s="133" t="str">
        <f>IF(E215=1,IF(INDEX('#建筑消耗和buff配置索引'!BY:BY,MATCH(D215,'#建筑消耗和buff配置索引'!A:A,0))=0,"",INDEX('#建筑消耗和buff配置索引'!BY:BY,MATCH(D215,'#建筑消耗和buff配置索引'!A:A,0))),"")</f>
        <v/>
      </c>
      <c r="W215" s="133" t="str">
        <f>IF(E215=1,IF(INDEX('#建筑消耗和buff配置索引'!BZ:BZ,MATCH(D215,'#建筑消耗和buff配置索引'!A:A,0))=0,"",INDEX('#建筑消耗和buff配置索引'!BZ:BZ,MATCH(D215,'#建筑消耗和buff配置索引'!A:A,0))),"")</f>
        <v/>
      </c>
      <c r="AA215" s="134">
        <f>INDEX('#建筑消耗和buff配置索引'!AO:AO,MATCH($F215,'#建筑消耗和buff配置索引'!$M:$M,0))</f>
        <v>0</v>
      </c>
      <c r="AC215" s="134" t="str">
        <f>IF(AB215="","",INDEX('#建筑消耗和buff配置索引'!AS:AS,MATCH($F215,'#建筑消耗和buff配置索引'!$M:$M,0)))</f>
        <v/>
      </c>
      <c r="AJ215" s="133" t="str">
        <f>IF(INDEX('#建筑消耗和buff配置索引'!BB:BB,MATCH($F215,'#建筑消耗和buff配置索引'!$M:$M,0))=0,"",INDEX('#建筑消耗和buff配置索引'!BB:BB,MATCH($F215,'#建筑消耗和buff配置索引'!$M:$M,0)))</f>
        <v/>
      </c>
      <c r="AK215" s="133" t="str">
        <f>IF(AJ215="","",INDEX('#建筑消耗和buff配置索引'!BC:BC,MATCH($F215,'#建筑消耗和buff配置索引'!$M:$M,0)))</f>
        <v/>
      </c>
      <c r="AL215" s="133"/>
      <c r="AM215" s="133"/>
      <c r="AN215" s="133" t="str">
        <f>IF(INDEX('#建筑消耗和buff配置索引'!BG:BG,MATCH($F215,'#建筑消耗和buff配置索引'!$M:$M,0))=0,"",INDEX('#建筑消耗和buff配置索引'!BG:BG,MATCH($F215,'#建筑消耗和buff配置索引'!$M:$M,0)))</f>
        <v/>
      </c>
      <c r="AO215" s="133" t="str">
        <f>IF(AN215="","",INDEX('#建筑消耗和buff配置索引'!BH:BH,MATCH($F215,'#建筑消耗和buff配置索引'!$M:$M,0)))</f>
        <v/>
      </c>
      <c r="AP215" s="133"/>
      <c r="AQ215" s="133"/>
      <c r="AR215" s="133" t="str">
        <f>IF(INDEX('#建筑消耗和buff配置索引'!BK:BK,MATCH($F215,'#建筑消耗和buff配置索引'!$M:$M,0))=0,"",INDEX('#建筑消耗和buff配置索引'!BK:BK,MATCH($F215,'#建筑消耗和buff配置索引'!$M:$M,0)))</f>
        <v/>
      </c>
      <c r="AS215" s="133" t="str">
        <f>IF(AR215="","",INDEX('#建筑消耗和buff配置索引'!BL:BL,MATCH($F215,'#建筑消耗和buff配置索引'!$M:$M,0)))</f>
        <v/>
      </c>
      <c r="AT215" s="133"/>
      <c r="AU215" s="133"/>
      <c r="AV215" s="133" t="str">
        <f>IF(INDEX('#建筑消耗和buff配置索引'!BO:BO,MATCH($F215,'#建筑消耗和buff配置索引'!$M:$M,0))=0,"",INDEX('#建筑消耗和buff配置索引'!BO:BO,MATCH($F215,'#建筑消耗和buff配置索引'!$M:$M,0)))</f>
        <v/>
      </c>
      <c r="AW215" s="133" t="str">
        <f>IF(AV215="","",INDEX('#建筑消耗和buff配置索引'!BP:BP,MATCH($F215,'#建筑消耗和buff配置索引'!$M:$M,0)))</f>
        <v/>
      </c>
      <c r="AX215" s="133"/>
      <c r="AY215" s="133"/>
      <c r="AZ215" s="133" t="str">
        <f>IF(INDEX('#建筑消耗和buff配置索引'!BS:BS,MATCH($F215,'#建筑消耗和buff配置索引'!$M:$M,0))=0,"",INDEX('#建筑消耗和buff配置索引'!BS:BS,MATCH($F215,'#建筑消耗和buff配置索引'!$M:$M,0)))</f>
        <v/>
      </c>
      <c r="BA215" s="133" t="str">
        <f>IF(AZ215="","",INDEX('#建筑消耗和buff配置索引'!BT:BT,MATCH($F215,'#建筑消耗和buff配置索引'!$M:$M,0)))</f>
        <v/>
      </c>
      <c r="BB215" s="133"/>
      <c r="BC215" s="133"/>
      <c r="BD215" s="133" t="str">
        <f>IF(INDEX('#建筑消耗和buff配置索引'!BW:BW,MATCH($F215,'#建筑消耗和buff配置索引'!$M:$M,0))=0,"",INDEX('#建筑消耗和buff配置索引'!BW:BW,MATCH($F215,'#建筑消耗和buff配置索引'!$M:$M,0)))</f>
        <v/>
      </c>
      <c r="BE215" s="133" t="str">
        <f>IF(BD215="","",INDEX('#建筑消耗和buff配置索引'!BX:BX,MATCH($F215,'#建筑消耗和buff配置索引'!$M:$M,0)))</f>
        <v/>
      </c>
      <c r="BF215" s="133"/>
      <c r="BG215" s="133"/>
      <c r="BI215" s="134">
        <v>22</v>
      </c>
    </row>
    <row r="216" spans="1:61" s="133" customFormat="1">
      <c r="A216" s="133">
        <v>2150001</v>
      </c>
      <c r="B216" s="133">
        <v>213</v>
      </c>
      <c r="C216" s="133">
        <v>215</v>
      </c>
      <c r="D216" s="133" t="s">
        <v>418</v>
      </c>
      <c r="E216" s="133">
        <v>1</v>
      </c>
      <c r="F216" s="133" t="str">
        <f t="shared" si="5"/>
        <v>城墙1</v>
      </c>
      <c r="H216" s="146"/>
      <c r="I216" s="133" t="s">
        <v>1205</v>
      </c>
      <c r="J216" s="150">
        <f>INDEX('#建筑消耗和buff配置索引'!AH:AH,MATCH($F216,'#建筑消耗和buff配置索引'!$M:$M,0))</f>
        <v>25</v>
      </c>
      <c r="K216" s="150">
        <f>INDEX('#建筑消耗和buff配置索引'!AA:AA,MATCH($F216,'#建筑消耗和buff配置索引'!$M:$M,0))</f>
        <v>0</v>
      </c>
      <c r="L216" s="150">
        <f>INDEX('#建筑消耗和buff配置索引'!AB:AB,MATCH($F216,'#建筑消耗和buff配置索引'!$M:$M,0))</f>
        <v>0</v>
      </c>
      <c r="M216" s="150">
        <f>INDEX('#建筑消耗和buff配置索引'!AC:AC,MATCH($F216,'#建筑消耗和buff配置索引'!$M:$M,0))</f>
        <v>0</v>
      </c>
      <c r="N216" s="150">
        <f>INDEX('#建筑消耗和buff配置索引'!AD:AD,MATCH($F216,'#建筑消耗和buff配置索引'!$M:$M,0))</f>
        <v>0</v>
      </c>
      <c r="O216" s="150" t="str">
        <f>IF(INDEX('#建筑消耗和buff配置索引'!T:T,MATCH($F216,'#建筑消耗和buff配置索引'!$M:$M,0))=0,"",INDEX('#建筑消耗和buff配置索引'!T:T,MATCH($F216,'#建筑消耗和buff配置索引'!$M:$M,0)))</f>
        <v/>
      </c>
      <c r="P216" s="133" t="str">
        <f>IF(INDEX('#建筑消耗和buff配置索引'!U:U,MATCH($F216,'#建筑消耗和buff配置索引'!$M:$M,0))=0,"",INDEX('#建筑消耗和buff配置索引'!U:U,MATCH($F216,'#建筑消耗和buff配置索引'!$M:$M,0)))</f>
        <v/>
      </c>
      <c r="Q216" s="133" t="str">
        <f>IF(INDEX('#建筑消耗和buff配置索引'!K:K,MATCH($F216,'#建筑消耗和buff配置索引'!$M:$M,0))=0,"",INDEX('#建筑消耗和buff配置索引'!K:K,MATCH($F216,'#建筑消耗和buff配置索引'!$M:$M,0)))</f>
        <v>201</v>
      </c>
      <c r="R216" s="133" t="str">
        <f>IF(INDEX('#建筑消耗和buff配置索引'!L:L,MATCH($F216,'#建筑消耗和buff配置索引'!$M:$M,0))=0,"",INDEX('#建筑消耗和buff配置索引'!L:L,MATCH($F216,'#建筑消耗和buff配置索引'!$M:$M,0)))</f>
        <v>1</v>
      </c>
      <c r="S216" s="133">
        <f>IF(INDEX('#建筑消耗和buff配置索引'!C:C,MATCH(F216,'#建筑消耗和buff配置索引'!M:M,0))=0,1,INDEX('#建筑消耗和buff配置索引'!C:C,MATCH(F216,'#建筑消耗和buff配置索引'!M:M,0)))</f>
        <v>1</v>
      </c>
      <c r="T216" s="133">
        <v>0</v>
      </c>
      <c r="U216" s="133">
        <v>0</v>
      </c>
      <c r="V216" s="133" t="str">
        <f>IF(E216=1,IF(INDEX('#建筑消耗和buff配置索引'!BY:BY,MATCH(D216,'#建筑消耗和buff配置索引'!A:A,0))=0,"",INDEX('#建筑消耗和buff配置索引'!BY:BY,MATCH(D216,'#建筑消耗和buff配置索引'!A:A,0))),"")</f>
        <v>1</v>
      </c>
      <c r="W216" s="133" t="str">
        <f>IF(E216=1,IF(INDEX('#建筑消耗和buff配置索引'!BZ:BZ,MATCH(D216,'#建筑消耗和buff配置索引'!A:A,0))=0,"",INDEX('#建筑消耗和buff配置索引'!BZ:BZ,MATCH(D216,'#建筑消耗和buff配置索引'!A:A,0))),"")</f>
        <v>TID_Buff_BuilDetail_4004</v>
      </c>
      <c r="AA216" s="133">
        <f>INDEX('#建筑消耗和buff配置索引'!AO:AO,MATCH($F216,'#建筑消耗和buff配置索引'!$M:$M,0))</f>
        <v>5</v>
      </c>
      <c r="AB216" s="133">
        <f>IF(INDEX('#建筑消耗和buff配置索引'!AR:AR,MATCH($F216,'#建筑消耗和buff配置索引'!$M:$M,0))=0,"",INDEX('#建筑消耗和buff配置索引'!AR:AR,MATCH($F216,'#建筑消耗和buff配置索引'!$M:$M,0)))</f>
        <v>4004</v>
      </c>
      <c r="AC216" s="133">
        <f>IF(AB216="","",INDEX('#建筑消耗和buff配置索引'!AS:AS,MATCH($F216,'#建筑消耗和buff配置索引'!$M:$M,0)))</f>
        <v>100000</v>
      </c>
      <c r="AF216" s="133" t="str">
        <f>IF(INDEX('#建筑消耗和buff配置索引'!AW:AW,MATCH($F216,'#建筑消耗和buff配置索引'!$M:$M,0))=0,"",INDEX('#建筑消耗和buff配置索引'!AW:AW,MATCH($F216,'#建筑消耗和buff配置索引'!$M:$M,0)))</f>
        <v/>
      </c>
      <c r="AG216" s="133" t="str">
        <f>IF(AF216="","",INDEX('#建筑消耗和buff配置索引'!AX:AX,MATCH($F216,'#建筑消耗和buff配置索引'!$M:$M,0)))</f>
        <v/>
      </c>
      <c r="AJ216" s="133" t="str">
        <f>IF(INDEX('#建筑消耗和buff配置索引'!BB:BB,MATCH($F216,'#建筑消耗和buff配置索引'!$M:$M,0))=0,"",INDEX('#建筑消耗和buff配置索引'!BB:BB,MATCH($F216,'#建筑消耗和buff配置索引'!$M:$M,0)))</f>
        <v/>
      </c>
      <c r="AK216" s="133" t="str">
        <f>IF(AJ216="","",INDEX('#建筑消耗和buff配置索引'!BC:BC,MATCH($F216,'#建筑消耗和buff配置索引'!$M:$M,0)))</f>
        <v/>
      </c>
      <c r="AN216" s="133" t="str">
        <f>IF(INDEX('#建筑消耗和buff配置索引'!BG:BG,MATCH($F216,'#建筑消耗和buff配置索引'!$M:$M,0))=0,"",INDEX('#建筑消耗和buff配置索引'!BG:BG,MATCH($F216,'#建筑消耗和buff配置索引'!$M:$M,0)))</f>
        <v/>
      </c>
      <c r="AO216" s="133" t="str">
        <f>IF(AN216="","",INDEX('#建筑消耗和buff配置索引'!BH:BH,MATCH($F216,'#建筑消耗和buff配置索引'!$M:$M,0)))</f>
        <v/>
      </c>
      <c r="AR216" s="133" t="str">
        <f>IF(INDEX('#建筑消耗和buff配置索引'!BK:BK,MATCH($F216,'#建筑消耗和buff配置索引'!$M:$M,0))=0,"",INDEX('#建筑消耗和buff配置索引'!BK:BK,MATCH($F216,'#建筑消耗和buff配置索引'!$M:$M,0)))</f>
        <v/>
      </c>
      <c r="AS216" s="133" t="str">
        <f>IF(AR216="","",INDEX('#建筑消耗和buff配置索引'!BL:BL,MATCH($F216,'#建筑消耗和buff配置索引'!$M:$M,0)))</f>
        <v/>
      </c>
      <c r="AV216" s="133" t="str">
        <f>IF(INDEX('#建筑消耗和buff配置索引'!BO:BO,MATCH($F216,'#建筑消耗和buff配置索引'!$M:$M,0))=0,"",INDEX('#建筑消耗和buff配置索引'!BO:BO,MATCH($F216,'#建筑消耗和buff配置索引'!$M:$M,0)))</f>
        <v/>
      </c>
      <c r="AW216" s="133" t="str">
        <f>IF(AV216="","",INDEX('#建筑消耗和buff配置索引'!BP:BP,MATCH($F216,'#建筑消耗和buff配置索引'!$M:$M,0)))</f>
        <v/>
      </c>
      <c r="AZ216" s="133" t="str">
        <f>IF(INDEX('#建筑消耗和buff配置索引'!BS:BS,MATCH($F216,'#建筑消耗和buff配置索引'!$M:$M,0))=0,"",INDEX('#建筑消耗和buff配置索引'!BS:BS,MATCH($F216,'#建筑消耗和buff配置索引'!$M:$M,0)))</f>
        <v/>
      </c>
      <c r="BA216" s="133" t="str">
        <f>IF(AZ216="","",INDEX('#建筑消耗和buff配置索引'!BT:BT,MATCH($F216,'#建筑消耗和buff配置索引'!$M:$M,0)))</f>
        <v/>
      </c>
      <c r="BD216" s="133" t="str">
        <f>IF(INDEX('#建筑消耗和buff配置索引'!BW:BW,MATCH($F216,'#建筑消耗和buff配置索引'!$M:$M,0))=0,"",INDEX('#建筑消耗和buff配置索引'!BW:BW,MATCH($F216,'#建筑消耗和buff配置索引'!$M:$M,0)))</f>
        <v/>
      </c>
      <c r="BE216" s="133" t="str">
        <f>IF(BD216="","",INDEX('#建筑消耗和buff配置索引'!BX:BX,MATCH($F216,'#建筑消耗和buff配置索引'!$M:$M,0)))</f>
        <v/>
      </c>
      <c r="BI216" s="133">
        <v>17</v>
      </c>
    </row>
    <row r="217" spans="1:61" s="133" customFormat="1">
      <c r="A217" s="133">
        <v>2150002</v>
      </c>
      <c r="B217" s="133">
        <v>214</v>
      </c>
      <c r="C217" s="133">
        <v>215</v>
      </c>
      <c r="D217" s="133" t="s">
        <v>418</v>
      </c>
      <c r="E217" s="133">
        <v>2</v>
      </c>
      <c r="F217" s="133" t="str">
        <f t="shared" si="5"/>
        <v>城墙2</v>
      </c>
      <c r="H217" s="146"/>
      <c r="I217" s="133" t="s">
        <v>1205</v>
      </c>
      <c r="J217" s="150">
        <f>INDEX('#建筑消耗和buff配置索引'!AH:AH,MATCH($F217,'#建筑消耗和buff配置索引'!$M:$M,0))</f>
        <v>90</v>
      </c>
      <c r="K217" s="150">
        <f>INDEX('#建筑消耗和buff配置索引'!AA:AA,MATCH($F217,'#建筑消耗和buff配置索引'!$M:$M,0))</f>
        <v>2500</v>
      </c>
      <c r="L217" s="150">
        <f>INDEX('#建筑消耗和buff配置索引'!AB:AB,MATCH($F217,'#建筑消耗和buff配置索引'!$M:$M,0))</f>
        <v>2500</v>
      </c>
      <c r="M217" s="150">
        <f>INDEX('#建筑消耗和buff配置索引'!AC:AC,MATCH($F217,'#建筑消耗和buff配置索引'!$M:$M,0))</f>
        <v>0</v>
      </c>
      <c r="N217" s="150">
        <f>INDEX('#建筑消耗和buff配置索引'!AD:AD,MATCH($F217,'#建筑消耗和buff配置索引'!$M:$M,0))</f>
        <v>0</v>
      </c>
      <c r="O217" s="150" t="str">
        <f>IF(INDEX('#建筑消耗和buff配置索引'!T:T,MATCH($F217,'#建筑消耗和buff配置索引'!$M:$M,0))=0,"",INDEX('#建筑消耗和buff配置索引'!T:T,MATCH($F217,'#建筑消耗和buff配置索引'!$M:$M,0)))</f>
        <v/>
      </c>
      <c r="P217" s="133" t="str">
        <f>IF(INDEX('#建筑消耗和buff配置索引'!U:U,MATCH($F217,'#建筑消耗和buff配置索引'!$M:$M,0))=0,"",INDEX('#建筑消耗和buff配置索引'!U:U,MATCH($F217,'#建筑消耗和buff配置索引'!$M:$M,0)))</f>
        <v/>
      </c>
      <c r="Q217" s="133" t="str">
        <f>IF(INDEX('#建筑消耗和buff配置索引'!K:K,MATCH($F217,'#建筑消耗和buff配置索引'!$M:$M,0))=0,"",INDEX('#建筑消耗和buff配置索引'!K:K,MATCH($F217,'#建筑消耗和buff配置索引'!$M:$M,0)))</f>
        <v>201</v>
      </c>
      <c r="R217" s="133" t="str">
        <f>IF(INDEX('#建筑消耗和buff配置索引'!L:L,MATCH($F217,'#建筑消耗和buff配置索引'!$M:$M,0))=0,"",INDEX('#建筑消耗和buff配置索引'!L:L,MATCH($F217,'#建筑消耗和buff配置索引'!$M:$M,0)))</f>
        <v>2</v>
      </c>
      <c r="S217" s="133">
        <f>IF(INDEX('#建筑消耗和buff配置索引'!C:C,MATCH(F217,'#建筑消耗和buff配置索引'!M:M,0))=0,1,INDEX('#建筑消耗和buff配置索引'!C:C,MATCH(F217,'#建筑消耗和buff配置索引'!M:M,0)))</f>
        <v>1</v>
      </c>
      <c r="T217" s="133">
        <v>0</v>
      </c>
      <c r="U217" s="133">
        <v>0</v>
      </c>
      <c r="V217" s="133" t="str">
        <f>IF(E217=1,IF(INDEX('#建筑消耗和buff配置索引'!BY:BY,MATCH(D217,'#建筑消耗和buff配置索引'!A:A,0))=0,"",INDEX('#建筑消耗和buff配置索引'!BY:BY,MATCH(D217,'#建筑消耗和buff配置索引'!A:A,0))),"")</f>
        <v/>
      </c>
      <c r="W217" s="133" t="str">
        <f>IF(E217=1,IF(INDEX('#建筑消耗和buff配置索引'!BZ:BZ,MATCH(D217,'#建筑消耗和buff配置索引'!A:A,0))=0,"",INDEX('#建筑消耗和buff配置索引'!BZ:BZ,MATCH(D217,'#建筑消耗和buff配置索引'!A:A,0))),"")</f>
        <v/>
      </c>
      <c r="AA217" s="133">
        <f>INDEX('#建筑消耗和buff配置索引'!AO:AO,MATCH($F217,'#建筑消耗和buff配置索引'!$M:$M,0))</f>
        <v>15</v>
      </c>
      <c r="AB217" s="133">
        <f>IF(INDEX('#建筑消耗和buff配置索引'!AR:AR,MATCH($F217,'#建筑消耗和buff配置索引'!$M:$M,0))=0,"",INDEX('#建筑消耗和buff配置索引'!AR:AR,MATCH($F217,'#建筑消耗和buff配置索引'!$M:$M,0)))</f>
        <v>4004</v>
      </c>
      <c r="AC217" s="133">
        <f>IF(AB217="","",INDEX('#建筑消耗和buff配置索引'!AS:AS,MATCH($F217,'#建筑消耗和buff配置索引'!$M:$M,0)))</f>
        <v>120000</v>
      </c>
      <c r="AF217" s="133" t="str">
        <f>IF(INDEX('#建筑消耗和buff配置索引'!AW:AW,MATCH($F217,'#建筑消耗和buff配置索引'!$M:$M,0))=0,"",INDEX('#建筑消耗和buff配置索引'!AW:AW,MATCH($F217,'#建筑消耗和buff配置索引'!$M:$M,0)))</f>
        <v/>
      </c>
      <c r="AG217" s="133" t="str">
        <f>IF(AF217="","",INDEX('#建筑消耗和buff配置索引'!AX:AX,MATCH($F217,'#建筑消耗和buff配置索引'!$M:$M,0)))</f>
        <v/>
      </c>
      <c r="AJ217" s="133" t="str">
        <f>IF(INDEX('#建筑消耗和buff配置索引'!BB:BB,MATCH($F217,'#建筑消耗和buff配置索引'!$M:$M,0))=0,"",INDEX('#建筑消耗和buff配置索引'!BB:BB,MATCH($F217,'#建筑消耗和buff配置索引'!$M:$M,0)))</f>
        <v/>
      </c>
      <c r="AK217" s="133" t="str">
        <f>IF(AJ217="","",INDEX('#建筑消耗和buff配置索引'!BC:BC,MATCH($F217,'#建筑消耗和buff配置索引'!$M:$M,0)))</f>
        <v/>
      </c>
      <c r="AN217" s="133" t="str">
        <f>IF(INDEX('#建筑消耗和buff配置索引'!BG:BG,MATCH($F217,'#建筑消耗和buff配置索引'!$M:$M,0))=0,"",INDEX('#建筑消耗和buff配置索引'!BG:BG,MATCH($F217,'#建筑消耗和buff配置索引'!$M:$M,0)))</f>
        <v/>
      </c>
      <c r="AO217" s="133" t="str">
        <f>IF(AN217="","",INDEX('#建筑消耗和buff配置索引'!BH:BH,MATCH($F217,'#建筑消耗和buff配置索引'!$M:$M,0)))</f>
        <v/>
      </c>
      <c r="AR217" s="133" t="str">
        <f>IF(INDEX('#建筑消耗和buff配置索引'!BK:BK,MATCH($F217,'#建筑消耗和buff配置索引'!$M:$M,0))=0,"",INDEX('#建筑消耗和buff配置索引'!BK:BK,MATCH($F217,'#建筑消耗和buff配置索引'!$M:$M,0)))</f>
        <v/>
      </c>
      <c r="AS217" s="133" t="str">
        <f>IF(AR217="","",INDEX('#建筑消耗和buff配置索引'!BL:BL,MATCH($F217,'#建筑消耗和buff配置索引'!$M:$M,0)))</f>
        <v/>
      </c>
      <c r="AV217" s="133" t="str">
        <f>IF(INDEX('#建筑消耗和buff配置索引'!BO:BO,MATCH($F217,'#建筑消耗和buff配置索引'!$M:$M,0))=0,"",INDEX('#建筑消耗和buff配置索引'!BO:BO,MATCH($F217,'#建筑消耗和buff配置索引'!$M:$M,0)))</f>
        <v/>
      </c>
      <c r="AW217" s="133" t="str">
        <f>IF(AV217="","",INDEX('#建筑消耗和buff配置索引'!BP:BP,MATCH($F217,'#建筑消耗和buff配置索引'!$M:$M,0)))</f>
        <v/>
      </c>
      <c r="AZ217" s="133" t="str">
        <f>IF(INDEX('#建筑消耗和buff配置索引'!BS:BS,MATCH($F217,'#建筑消耗和buff配置索引'!$M:$M,0))=0,"",INDEX('#建筑消耗和buff配置索引'!BS:BS,MATCH($F217,'#建筑消耗和buff配置索引'!$M:$M,0)))</f>
        <v/>
      </c>
      <c r="BA217" s="133" t="str">
        <f>IF(AZ217="","",INDEX('#建筑消耗和buff配置索引'!BT:BT,MATCH($F217,'#建筑消耗和buff配置索引'!$M:$M,0)))</f>
        <v/>
      </c>
      <c r="BD217" s="133" t="str">
        <f>IF(INDEX('#建筑消耗和buff配置索引'!BW:BW,MATCH($F217,'#建筑消耗和buff配置索引'!$M:$M,0))=0,"",INDEX('#建筑消耗和buff配置索引'!BW:BW,MATCH($F217,'#建筑消耗和buff配置索引'!$M:$M,0)))</f>
        <v/>
      </c>
      <c r="BE217" s="133" t="str">
        <f>IF(BD217="","",INDEX('#建筑消耗和buff配置索引'!BX:BX,MATCH($F217,'#建筑消耗和buff配置索引'!$M:$M,0)))</f>
        <v/>
      </c>
      <c r="BI217" s="133">
        <v>17</v>
      </c>
    </row>
    <row r="218" spans="1:61" s="133" customFormat="1">
      <c r="A218" s="133">
        <v>2150003</v>
      </c>
      <c r="B218" s="133">
        <v>215</v>
      </c>
      <c r="C218" s="133">
        <v>215</v>
      </c>
      <c r="D218" s="133" t="s">
        <v>418</v>
      </c>
      <c r="E218" s="133">
        <v>3</v>
      </c>
      <c r="F218" s="133" t="str">
        <f t="shared" si="5"/>
        <v>城墙3</v>
      </c>
      <c r="H218" s="146"/>
      <c r="I218" s="133" t="s">
        <v>1205</v>
      </c>
      <c r="J218" s="150">
        <f>INDEX('#建筑消耗和buff配置索引'!AH:AH,MATCH($F218,'#建筑消耗和buff配置索引'!$M:$M,0))</f>
        <v>180</v>
      </c>
      <c r="K218" s="150">
        <f>INDEX('#建筑消耗和buff配置索引'!AA:AA,MATCH($F218,'#建筑消耗和buff配置索引'!$M:$M,0))</f>
        <v>5000</v>
      </c>
      <c r="L218" s="150">
        <f>INDEX('#建筑消耗和buff配置索引'!AB:AB,MATCH($F218,'#建筑消耗和buff配置索引'!$M:$M,0))</f>
        <v>5000</v>
      </c>
      <c r="M218" s="150">
        <f>INDEX('#建筑消耗和buff配置索引'!AC:AC,MATCH($F218,'#建筑消耗和buff配置索引'!$M:$M,0))</f>
        <v>0</v>
      </c>
      <c r="N218" s="150">
        <f>INDEX('#建筑消耗和buff配置索引'!AD:AD,MATCH($F218,'#建筑消耗和buff配置索引'!$M:$M,0))</f>
        <v>0</v>
      </c>
      <c r="O218" s="150" t="str">
        <f>IF(INDEX('#建筑消耗和buff配置索引'!T:T,MATCH($F218,'#建筑消耗和buff配置索引'!$M:$M,0))=0,"",INDEX('#建筑消耗和buff配置索引'!T:T,MATCH($F218,'#建筑消耗和buff配置索引'!$M:$M,0)))</f>
        <v/>
      </c>
      <c r="P218" s="133" t="str">
        <f>IF(INDEX('#建筑消耗和buff配置索引'!U:U,MATCH($F218,'#建筑消耗和buff配置索引'!$M:$M,0))=0,"",INDEX('#建筑消耗和buff配置索引'!U:U,MATCH($F218,'#建筑消耗和buff配置索引'!$M:$M,0)))</f>
        <v/>
      </c>
      <c r="Q218" s="133" t="str">
        <f>IF(INDEX('#建筑消耗和buff配置索引'!K:K,MATCH($F218,'#建筑消耗和buff配置索引'!$M:$M,0))=0,"",INDEX('#建筑消耗和buff配置索引'!K:K,MATCH($F218,'#建筑消耗和buff配置索引'!$M:$M,0)))</f>
        <v>201</v>
      </c>
      <c r="R218" s="133" t="str">
        <f>IF(INDEX('#建筑消耗和buff配置索引'!L:L,MATCH($F218,'#建筑消耗和buff配置索引'!$M:$M,0))=0,"",INDEX('#建筑消耗和buff配置索引'!L:L,MATCH($F218,'#建筑消耗和buff配置索引'!$M:$M,0)))</f>
        <v>3</v>
      </c>
      <c r="S218" s="133">
        <f>IF(INDEX('#建筑消耗和buff配置索引'!C:C,MATCH(F218,'#建筑消耗和buff配置索引'!M:M,0))=0,1,INDEX('#建筑消耗和buff配置索引'!C:C,MATCH(F218,'#建筑消耗和buff配置索引'!M:M,0)))</f>
        <v>1</v>
      </c>
      <c r="T218" s="133">
        <v>0</v>
      </c>
      <c r="U218" s="133">
        <v>0</v>
      </c>
      <c r="V218" s="133" t="str">
        <f>IF(E218=1,IF(INDEX('#建筑消耗和buff配置索引'!BY:BY,MATCH(D218,'#建筑消耗和buff配置索引'!A:A,0))=0,"",INDEX('#建筑消耗和buff配置索引'!BY:BY,MATCH(D218,'#建筑消耗和buff配置索引'!A:A,0))),"")</f>
        <v/>
      </c>
      <c r="W218" s="133" t="str">
        <f>IF(E218=1,IF(INDEX('#建筑消耗和buff配置索引'!BZ:BZ,MATCH(D218,'#建筑消耗和buff配置索引'!A:A,0))=0,"",INDEX('#建筑消耗和buff配置索引'!BZ:BZ,MATCH(D218,'#建筑消耗和buff配置索引'!A:A,0))),"")</f>
        <v/>
      </c>
      <c r="AA218" s="133">
        <f>INDEX('#建筑消耗和buff配置索引'!AO:AO,MATCH($F218,'#建筑消耗和buff配置索引'!$M:$M,0))</f>
        <v>35</v>
      </c>
      <c r="AB218" s="133">
        <f>IF(INDEX('#建筑消耗和buff配置索引'!AR:AR,MATCH($F218,'#建筑消耗和buff配置索引'!$M:$M,0))=0,"",INDEX('#建筑消耗和buff配置索引'!AR:AR,MATCH($F218,'#建筑消耗和buff配置索引'!$M:$M,0)))</f>
        <v>4004</v>
      </c>
      <c r="AC218" s="133">
        <f>IF(AB218="","",INDEX('#建筑消耗和buff配置索引'!AS:AS,MATCH($F218,'#建筑消耗和buff配置索引'!$M:$M,0)))</f>
        <v>140000</v>
      </c>
      <c r="AF218" s="133" t="str">
        <f>IF(INDEX('#建筑消耗和buff配置索引'!AW:AW,MATCH($F218,'#建筑消耗和buff配置索引'!$M:$M,0))=0,"",INDEX('#建筑消耗和buff配置索引'!AW:AW,MATCH($F218,'#建筑消耗和buff配置索引'!$M:$M,0)))</f>
        <v/>
      </c>
      <c r="AG218" s="133" t="str">
        <f>IF(AF218="","",INDEX('#建筑消耗和buff配置索引'!AX:AX,MATCH($F218,'#建筑消耗和buff配置索引'!$M:$M,0)))</f>
        <v/>
      </c>
      <c r="AJ218" s="133" t="str">
        <f>IF(INDEX('#建筑消耗和buff配置索引'!BB:BB,MATCH($F218,'#建筑消耗和buff配置索引'!$M:$M,0))=0,"",INDEX('#建筑消耗和buff配置索引'!BB:BB,MATCH($F218,'#建筑消耗和buff配置索引'!$M:$M,0)))</f>
        <v/>
      </c>
      <c r="AK218" s="133" t="str">
        <f>IF(AJ218="","",INDEX('#建筑消耗和buff配置索引'!BC:BC,MATCH($F218,'#建筑消耗和buff配置索引'!$M:$M,0)))</f>
        <v/>
      </c>
      <c r="AN218" s="133" t="str">
        <f>IF(INDEX('#建筑消耗和buff配置索引'!BG:BG,MATCH($F218,'#建筑消耗和buff配置索引'!$M:$M,0))=0,"",INDEX('#建筑消耗和buff配置索引'!BG:BG,MATCH($F218,'#建筑消耗和buff配置索引'!$M:$M,0)))</f>
        <v/>
      </c>
      <c r="AO218" s="133" t="str">
        <f>IF(AN218="","",INDEX('#建筑消耗和buff配置索引'!BH:BH,MATCH($F218,'#建筑消耗和buff配置索引'!$M:$M,0)))</f>
        <v/>
      </c>
      <c r="AR218" s="133" t="str">
        <f>IF(INDEX('#建筑消耗和buff配置索引'!BK:BK,MATCH($F218,'#建筑消耗和buff配置索引'!$M:$M,0))=0,"",INDEX('#建筑消耗和buff配置索引'!BK:BK,MATCH($F218,'#建筑消耗和buff配置索引'!$M:$M,0)))</f>
        <v/>
      </c>
      <c r="AS218" s="133" t="str">
        <f>IF(AR218="","",INDEX('#建筑消耗和buff配置索引'!BL:BL,MATCH($F218,'#建筑消耗和buff配置索引'!$M:$M,0)))</f>
        <v/>
      </c>
      <c r="AV218" s="133" t="str">
        <f>IF(INDEX('#建筑消耗和buff配置索引'!BO:BO,MATCH($F218,'#建筑消耗和buff配置索引'!$M:$M,0))=0,"",INDEX('#建筑消耗和buff配置索引'!BO:BO,MATCH($F218,'#建筑消耗和buff配置索引'!$M:$M,0)))</f>
        <v/>
      </c>
      <c r="AW218" s="133" t="str">
        <f>IF(AV218="","",INDEX('#建筑消耗和buff配置索引'!BP:BP,MATCH($F218,'#建筑消耗和buff配置索引'!$M:$M,0)))</f>
        <v/>
      </c>
      <c r="AZ218" s="133" t="str">
        <f>IF(INDEX('#建筑消耗和buff配置索引'!BS:BS,MATCH($F218,'#建筑消耗和buff配置索引'!$M:$M,0))=0,"",INDEX('#建筑消耗和buff配置索引'!BS:BS,MATCH($F218,'#建筑消耗和buff配置索引'!$M:$M,0)))</f>
        <v/>
      </c>
      <c r="BA218" s="133" t="str">
        <f>IF(AZ218="","",INDEX('#建筑消耗和buff配置索引'!BT:BT,MATCH($F218,'#建筑消耗和buff配置索引'!$M:$M,0)))</f>
        <v/>
      </c>
      <c r="BD218" s="133" t="str">
        <f>IF(INDEX('#建筑消耗和buff配置索引'!BW:BW,MATCH($F218,'#建筑消耗和buff配置索引'!$M:$M,0))=0,"",INDEX('#建筑消耗和buff配置索引'!BW:BW,MATCH($F218,'#建筑消耗和buff配置索引'!$M:$M,0)))</f>
        <v/>
      </c>
      <c r="BE218" s="133" t="str">
        <f>IF(BD218="","",INDEX('#建筑消耗和buff配置索引'!BX:BX,MATCH($F218,'#建筑消耗和buff配置索引'!$M:$M,0)))</f>
        <v/>
      </c>
      <c r="BI218" s="133">
        <v>17</v>
      </c>
    </row>
    <row r="219" spans="1:61" s="133" customFormat="1">
      <c r="A219" s="133">
        <v>2150004</v>
      </c>
      <c r="B219" s="133">
        <v>216</v>
      </c>
      <c r="C219" s="133">
        <v>215</v>
      </c>
      <c r="D219" s="133" t="s">
        <v>418</v>
      </c>
      <c r="E219" s="133">
        <v>4</v>
      </c>
      <c r="F219" s="133" t="str">
        <f t="shared" si="5"/>
        <v>城墙4</v>
      </c>
      <c r="H219" s="146"/>
      <c r="I219" s="133" t="s">
        <v>1205</v>
      </c>
      <c r="J219" s="150">
        <f>INDEX('#建筑消耗和buff配置索引'!AH:AH,MATCH($F219,'#建筑消耗和buff配置索引'!$M:$M,0))</f>
        <v>360</v>
      </c>
      <c r="K219" s="150">
        <f>INDEX('#建筑消耗和buff配置索引'!AA:AA,MATCH($F219,'#建筑消耗和buff配置索引'!$M:$M,0))</f>
        <v>10000</v>
      </c>
      <c r="L219" s="150">
        <f>INDEX('#建筑消耗和buff配置索引'!AB:AB,MATCH($F219,'#建筑消耗和buff配置索引'!$M:$M,0))</f>
        <v>10000</v>
      </c>
      <c r="M219" s="150">
        <f>INDEX('#建筑消耗和buff配置索引'!AC:AC,MATCH($F219,'#建筑消耗和buff配置索引'!$M:$M,0))</f>
        <v>0</v>
      </c>
      <c r="N219" s="150">
        <f>INDEX('#建筑消耗和buff配置索引'!AD:AD,MATCH($F219,'#建筑消耗和buff配置索引'!$M:$M,0))</f>
        <v>0</v>
      </c>
      <c r="O219" s="150" t="str">
        <f>IF(INDEX('#建筑消耗和buff配置索引'!T:T,MATCH($F219,'#建筑消耗和buff配置索引'!$M:$M,0))=0,"",INDEX('#建筑消耗和buff配置索引'!T:T,MATCH($F219,'#建筑消耗和buff配置索引'!$M:$M,0)))</f>
        <v/>
      </c>
      <c r="P219" s="133" t="str">
        <f>IF(INDEX('#建筑消耗和buff配置索引'!U:U,MATCH($F219,'#建筑消耗和buff配置索引'!$M:$M,0))=0,"",INDEX('#建筑消耗和buff配置索引'!U:U,MATCH($F219,'#建筑消耗和buff配置索引'!$M:$M,0)))</f>
        <v/>
      </c>
      <c r="Q219" s="133" t="str">
        <f>IF(INDEX('#建筑消耗和buff配置索引'!K:K,MATCH($F219,'#建筑消耗和buff配置索引'!$M:$M,0))=0,"",INDEX('#建筑消耗和buff配置索引'!K:K,MATCH($F219,'#建筑消耗和buff配置索引'!$M:$M,0)))</f>
        <v>201</v>
      </c>
      <c r="R219" s="133" t="str">
        <f>IF(INDEX('#建筑消耗和buff配置索引'!L:L,MATCH($F219,'#建筑消耗和buff配置索引'!$M:$M,0))=0,"",INDEX('#建筑消耗和buff配置索引'!L:L,MATCH($F219,'#建筑消耗和buff配置索引'!$M:$M,0)))</f>
        <v>4</v>
      </c>
      <c r="S219" s="133">
        <f>IF(INDEX('#建筑消耗和buff配置索引'!C:C,MATCH(F219,'#建筑消耗和buff配置索引'!M:M,0))=0,1,INDEX('#建筑消耗和buff配置索引'!C:C,MATCH(F219,'#建筑消耗和buff配置索引'!M:M,0)))</f>
        <v>1</v>
      </c>
      <c r="T219" s="133">
        <v>0</v>
      </c>
      <c r="U219" s="133">
        <v>0</v>
      </c>
      <c r="V219" s="133" t="str">
        <f>IF(E219=1,IF(INDEX('#建筑消耗和buff配置索引'!BY:BY,MATCH(D219,'#建筑消耗和buff配置索引'!A:A,0))=0,"",INDEX('#建筑消耗和buff配置索引'!BY:BY,MATCH(D219,'#建筑消耗和buff配置索引'!A:A,0))),"")</f>
        <v/>
      </c>
      <c r="W219" s="133" t="str">
        <f>IF(E219=1,IF(INDEX('#建筑消耗和buff配置索引'!BZ:BZ,MATCH(D219,'#建筑消耗和buff配置索引'!A:A,0))=0,"",INDEX('#建筑消耗和buff配置索引'!BZ:BZ,MATCH(D219,'#建筑消耗和buff配置索引'!A:A,0))),"")</f>
        <v/>
      </c>
      <c r="AA219" s="133">
        <f>INDEX('#建筑消耗和buff配置索引'!AO:AO,MATCH($F219,'#建筑消耗和buff配置索引'!$M:$M,0))</f>
        <v>75</v>
      </c>
      <c r="AB219" s="133">
        <f>IF(INDEX('#建筑消耗和buff配置索引'!AR:AR,MATCH($F219,'#建筑消耗和buff配置索引'!$M:$M,0))=0,"",INDEX('#建筑消耗和buff配置索引'!AR:AR,MATCH($F219,'#建筑消耗和buff配置索引'!$M:$M,0)))</f>
        <v>4004</v>
      </c>
      <c r="AC219" s="133">
        <f>IF(AB219="","",INDEX('#建筑消耗和buff配置索引'!AS:AS,MATCH($F219,'#建筑消耗和buff配置索引'!$M:$M,0)))</f>
        <v>160000</v>
      </c>
      <c r="AF219" s="133" t="str">
        <f>IF(INDEX('#建筑消耗和buff配置索引'!AW:AW,MATCH($F219,'#建筑消耗和buff配置索引'!$M:$M,0))=0,"",INDEX('#建筑消耗和buff配置索引'!AW:AW,MATCH($F219,'#建筑消耗和buff配置索引'!$M:$M,0)))</f>
        <v/>
      </c>
      <c r="AG219" s="133" t="str">
        <f>IF(AF219="","",INDEX('#建筑消耗和buff配置索引'!AX:AX,MATCH($F219,'#建筑消耗和buff配置索引'!$M:$M,0)))</f>
        <v/>
      </c>
      <c r="AJ219" s="133" t="str">
        <f>IF(INDEX('#建筑消耗和buff配置索引'!BB:BB,MATCH($F219,'#建筑消耗和buff配置索引'!$M:$M,0))=0,"",INDEX('#建筑消耗和buff配置索引'!BB:BB,MATCH($F219,'#建筑消耗和buff配置索引'!$M:$M,0)))</f>
        <v/>
      </c>
      <c r="AK219" s="133" t="str">
        <f>IF(AJ219="","",INDEX('#建筑消耗和buff配置索引'!BC:BC,MATCH($F219,'#建筑消耗和buff配置索引'!$M:$M,0)))</f>
        <v/>
      </c>
      <c r="AN219" s="133" t="str">
        <f>IF(INDEX('#建筑消耗和buff配置索引'!BG:BG,MATCH($F219,'#建筑消耗和buff配置索引'!$M:$M,0))=0,"",INDEX('#建筑消耗和buff配置索引'!BG:BG,MATCH($F219,'#建筑消耗和buff配置索引'!$M:$M,0)))</f>
        <v/>
      </c>
      <c r="AO219" s="133" t="str">
        <f>IF(AN219="","",INDEX('#建筑消耗和buff配置索引'!BH:BH,MATCH($F219,'#建筑消耗和buff配置索引'!$M:$M,0)))</f>
        <v/>
      </c>
      <c r="AR219" s="133" t="str">
        <f>IF(INDEX('#建筑消耗和buff配置索引'!BK:BK,MATCH($F219,'#建筑消耗和buff配置索引'!$M:$M,0))=0,"",INDEX('#建筑消耗和buff配置索引'!BK:BK,MATCH($F219,'#建筑消耗和buff配置索引'!$M:$M,0)))</f>
        <v/>
      </c>
      <c r="AS219" s="133" t="str">
        <f>IF(AR219="","",INDEX('#建筑消耗和buff配置索引'!BL:BL,MATCH($F219,'#建筑消耗和buff配置索引'!$M:$M,0)))</f>
        <v/>
      </c>
      <c r="AV219" s="133" t="str">
        <f>IF(INDEX('#建筑消耗和buff配置索引'!BO:BO,MATCH($F219,'#建筑消耗和buff配置索引'!$M:$M,0))=0,"",INDEX('#建筑消耗和buff配置索引'!BO:BO,MATCH($F219,'#建筑消耗和buff配置索引'!$M:$M,0)))</f>
        <v/>
      </c>
      <c r="AW219" s="133" t="str">
        <f>IF(AV219="","",INDEX('#建筑消耗和buff配置索引'!BP:BP,MATCH($F219,'#建筑消耗和buff配置索引'!$M:$M,0)))</f>
        <v/>
      </c>
      <c r="AZ219" s="133" t="str">
        <f>IF(INDEX('#建筑消耗和buff配置索引'!BS:BS,MATCH($F219,'#建筑消耗和buff配置索引'!$M:$M,0))=0,"",INDEX('#建筑消耗和buff配置索引'!BS:BS,MATCH($F219,'#建筑消耗和buff配置索引'!$M:$M,0)))</f>
        <v/>
      </c>
      <c r="BA219" s="133" t="str">
        <f>IF(AZ219="","",INDEX('#建筑消耗和buff配置索引'!BT:BT,MATCH($F219,'#建筑消耗和buff配置索引'!$M:$M,0)))</f>
        <v/>
      </c>
      <c r="BD219" s="133" t="str">
        <f>IF(INDEX('#建筑消耗和buff配置索引'!BW:BW,MATCH($F219,'#建筑消耗和buff配置索引'!$M:$M,0))=0,"",INDEX('#建筑消耗和buff配置索引'!BW:BW,MATCH($F219,'#建筑消耗和buff配置索引'!$M:$M,0)))</f>
        <v/>
      </c>
      <c r="BE219" s="133" t="str">
        <f>IF(BD219="","",INDEX('#建筑消耗和buff配置索引'!BX:BX,MATCH($F219,'#建筑消耗和buff配置索引'!$M:$M,0)))</f>
        <v/>
      </c>
      <c r="BI219" s="133">
        <v>17</v>
      </c>
    </row>
    <row r="220" spans="1:61" s="133" customFormat="1">
      <c r="A220" s="133">
        <v>2150005</v>
      </c>
      <c r="B220" s="133">
        <v>217</v>
      </c>
      <c r="C220" s="133">
        <v>215</v>
      </c>
      <c r="D220" s="133" t="s">
        <v>418</v>
      </c>
      <c r="E220" s="133">
        <v>5</v>
      </c>
      <c r="F220" s="133" t="str">
        <f t="shared" si="5"/>
        <v>城墙5</v>
      </c>
      <c r="H220" s="146"/>
      <c r="I220" s="133">
        <v>1</v>
      </c>
      <c r="J220" s="150">
        <f>INDEX('#建筑消耗和buff配置索引'!AH:AH,MATCH($F220,'#建筑消耗和buff配置索引'!$M:$M,0))</f>
        <v>750</v>
      </c>
      <c r="K220" s="150">
        <f>INDEX('#建筑消耗和buff配置索引'!AA:AA,MATCH($F220,'#建筑消耗和buff配置索引'!$M:$M,0))</f>
        <v>9700</v>
      </c>
      <c r="L220" s="150">
        <f>INDEX('#建筑消耗和buff配置索引'!AB:AB,MATCH($F220,'#建筑消耗和buff配置索引'!$M:$M,0))</f>
        <v>9700</v>
      </c>
      <c r="M220" s="150">
        <f>INDEX('#建筑消耗和buff配置索引'!AC:AC,MATCH($F220,'#建筑消耗和buff配置索引'!$M:$M,0))</f>
        <v>19000</v>
      </c>
      <c r="N220" s="150">
        <f>INDEX('#建筑消耗和buff配置索引'!AD:AD,MATCH($F220,'#建筑消耗和buff配置索引'!$M:$M,0))</f>
        <v>0</v>
      </c>
      <c r="O220" s="150" t="str">
        <f>IF(INDEX('#建筑消耗和buff配置索引'!T:T,MATCH($F220,'#建筑消耗和buff配置索引'!$M:$M,0))=0,"",INDEX('#建筑消耗和buff配置索引'!T:T,MATCH($F220,'#建筑消耗和buff配置索引'!$M:$M,0)))</f>
        <v/>
      </c>
      <c r="P220" s="133" t="str">
        <f>IF(INDEX('#建筑消耗和buff配置索引'!U:U,MATCH($F220,'#建筑消耗和buff配置索引'!$M:$M,0))=0,"",INDEX('#建筑消耗和buff配置索引'!U:U,MATCH($F220,'#建筑消耗和buff配置索引'!$M:$M,0)))</f>
        <v/>
      </c>
      <c r="Q220" s="133" t="str">
        <f>IF(INDEX('#建筑消耗和buff配置索引'!K:K,MATCH($F220,'#建筑消耗和buff配置索引'!$M:$M,0))=0,"",INDEX('#建筑消耗和buff配置索引'!K:K,MATCH($F220,'#建筑消耗和buff配置索引'!$M:$M,0)))</f>
        <v>201;237</v>
      </c>
      <c r="R220" s="133" t="str">
        <f>IF(INDEX('#建筑消耗和buff配置索引'!L:L,MATCH($F220,'#建筑消耗和buff配置索引'!$M:$M,0))=0,"",INDEX('#建筑消耗和buff配置索引'!L:L,MATCH($F220,'#建筑消耗和buff配置索引'!$M:$M,0)))</f>
        <v>5;5</v>
      </c>
      <c r="S220" s="133">
        <f>IF(INDEX('#建筑消耗和buff配置索引'!C:C,MATCH(F220,'#建筑消耗和buff配置索引'!M:M,0))=0,1,INDEX('#建筑消耗和buff配置索引'!C:C,MATCH(F220,'#建筑消耗和buff配置索引'!M:M,0)))</f>
        <v>1</v>
      </c>
      <c r="T220" s="133">
        <v>0</v>
      </c>
      <c r="U220" s="133">
        <v>0</v>
      </c>
      <c r="V220" s="133" t="str">
        <f>IF(E220=1,IF(INDEX('#建筑消耗和buff配置索引'!BY:BY,MATCH(D220,'#建筑消耗和buff配置索引'!A:A,0))=0,"",INDEX('#建筑消耗和buff配置索引'!BY:BY,MATCH(D220,'#建筑消耗和buff配置索引'!A:A,0))),"")</f>
        <v/>
      </c>
      <c r="W220" s="133" t="str">
        <f>IF(E220=1,IF(INDEX('#建筑消耗和buff配置索引'!BZ:BZ,MATCH(D220,'#建筑消耗和buff配置索引'!A:A,0))=0,"",INDEX('#建筑消耗和buff配置索引'!BZ:BZ,MATCH(D220,'#建筑消耗和buff配置索引'!A:A,0))),"")</f>
        <v/>
      </c>
      <c r="AA220" s="133">
        <f>INDEX('#建筑消耗和buff配置索引'!AO:AO,MATCH($F220,'#建筑消耗和buff配置索引'!$M:$M,0))</f>
        <v>152</v>
      </c>
      <c r="AB220" s="133">
        <f>IF(INDEX('#建筑消耗和buff配置索引'!AR:AR,MATCH($F220,'#建筑消耗和buff配置索引'!$M:$M,0))=0,"",INDEX('#建筑消耗和buff配置索引'!AR:AR,MATCH($F220,'#建筑消耗和buff配置索引'!$M:$M,0)))</f>
        <v>4004</v>
      </c>
      <c r="AC220" s="133">
        <f>IF(AB220="","",INDEX('#建筑消耗和buff配置索引'!AS:AS,MATCH($F220,'#建筑消耗和buff配置索引'!$M:$M,0)))</f>
        <v>180000</v>
      </c>
      <c r="AF220" s="133" t="str">
        <f>IF(INDEX('#建筑消耗和buff配置索引'!AW:AW,MATCH($F220,'#建筑消耗和buff配置索引'!$M:$M,0))=0,"",INDEX('#建筑消耗和buff配置索引'!AW:AW,MATCH($F220,'#建筑消耗和buff配置索引'!$M:$M,0)))</f>
        <v/>
      </c>
      <c r="AG220" s="133" t="str">
        <f>IF(AF220="","",INDEX('#建筑消耗和buff配置索引'!AX:AX,MATCH($F220,'#建筑消耗和buff配置索引'!$M:$M,0)))</f>
        <v/>
      </c>
      <c r="AJ220" s="133" t="str">
        <f>IF(INDEX('#建筑消耗和buff配置索引'!BB:BB,MATCH($F220,'#建筑消耗和buff配置索引'!$M:$M,0))=0,"",INDEX('#建筑消耗和buff配置索引'!BB:BB,MATCH($F220,'#建筑消耗和buff配置索引'!$M:$M,0)))</f>
        <v/>
      </c>
      <c r="AK220" s="133" t="str">
        <f>IF(AJ220="","",INDEX('#建筑消耗和buff配置索引'!BC:BC,MATCH($F220,'#建筑消耗和buff配置索引'!$M:$M,0)))</f>
        <v/>
      </c>
      <c r="AN220" s="133" t="str">
        <f>IF(INDEX('#建筑消耗和buff配置索引'!BG:BG,MATCH($F220,'#建筑消耗和buff配置索引'!$M:$M,0))=0,"",INDEX('#建筑消耗和buff配置索引'!BG:BG,MATCH($F220,'#建筑消耗和buff配置索引'!$M:$M,0)))</f>
        <v/>
      </c>
      <c r="AO220" s="133" t="str">
        <f>IF(AN220="","",INDEX('#建筑消耗和buff配置索引'!BH:BH,MATCH($F220,'#建筑消耗和buff配置索引'!$M:$M,0)))</f>
        <v/>
      </c>
      <c r="AR220" s="133" t="str">
        <f>IF(INDEX('#建筑消耗和buff配置索引'!BK:BK,MATCH($F220,'#建筑消耗和buff配置索引'!$M:$M,0))=0,"",INDEX('#建筑消耗和buff配置索引'!BK:BK,MATCH($F220,'#建筑消耗和buff配置索引'!$M:$M,0)))</f>
        <v/>
      </c>
      <c r="AS220" s="133" t="str">
        <f>IF(AR220="","",INDEX('#建筑消耗和buff配置索引'!BL:BL,MATCH($F220,'#建筑消耗和buff配置索引'!$M:$M,0)))</f>
        <v/>
      </c>
      <c r="AV220" s="133" t="str">
        <f>IF(INDEX('#建筑消耗和buff配置索引'!BO:BO,MATCH($F220,'#建筑消耗和buff配置索引'!$M:$M,0))=0,"",INDEX('#建筑消耗和buff配置索引'!BO:BO,MATCH($F220,'#建筑消耗和buff配置索引'!$M:$M,0)))</f>
        <v/>
      </c>
      <c r="AW220" s="133" t="str">
        <f>IF(AV220="","",INDEX('#建筑消耗和buff配置索引'!BP:BP,MATCH($F220,'#建筑消耗和buff配置索引'!$M:$M,0)))</f>
        <v/>
      </c>
      <c r="AZ220" s="133" t="str">
        <f>IF(INDEX('#建筑消耗和buff配置索引'!BS:BS,MATCH($F220,'#建筑消耗和buff配置索引'!$M:$M,0))=0,"",INDEX('#建筑消耗和buff配置索引'!BS:BS,MATCH($F220,'#建筑消耗和buff配置索引'!$M:$M,0)))</f>
        <v/>
      </c>
      <c r="BA220" s="133" t="str">
        <f>IF(AZ220="","",INDEX('#建筑消耗和buff配置索引'!BT:BT,MATCH($F220,'#建筑消耗和buff配置索引'!$M:$M,0)))</f>
        <v/>
      </c>
      <c r="BD220" s="133" t="str">
        <f>IF(INDEX('#建筑消耗和buff配置索引'!BW:BW,MATCH($F220,'#建筑消耗和buff配置索引'!$M:$M,0))=0,"",INDEX('#建筑消耗和buff配置索引'!BW:BW,MATCH($F220,'#建筑消耗和buff配置索引'!$M:$M,0)))</f>
        <v/>
      </c>
      <c r="BE220" s="133" t="str">
        <f>IF(BD220="","",INDEX('#建筑消耗和buff配置索引'!BX:BX,MATCH($F220,'#建筑消耗和buff配置索引'!$M:$M,0)))</f>
        <v/>
      </c>
      <c r="BI220" s="133">
        <v>17</v>
      </c>
    </row>
    <row r="221" spans="1:61" s="133" customFormat="1">
      <c r="A221" s="133">
        <v>2150006</v>
      </c>
      <c r="B221" s="133">
        <v>218</v>
      </c>
      <c r="C221" s="133">
        <v>215</v>
      </c>
      <c r="D221" s="133" t="s">
        <v>418</v>
      </c>
      <c r="E221" s="133">
        <v>6</v>
      </c>
      <c r="F221" s="133" t="str">
        <f t="shared" si="5"/>
        <v>城墙6</v>
      </c>
      <c r="H221" s="146"/>
      <c r="I221" s="133">
        <v>1</v>
      </c>
      <c r="J221" s="150">
        <f>INDEX('#建筑消耗和buff配置索引'!AH:AH,MATCH($F221,'#建筑消耗和buff配置索引'!$M:$M,0))</f>
        <v>1350</v>
      </c>
      <c r="K221" s="150">
        <f>INDEX('#建筑消耗和buff配置索引'!AA:AA,MATCH($F221,'#建筑消耗和buff配置索引'!$M:$M,0))</f>
        <v>18000</v>
      </c>
      <c r="L221" s="150">
        <f>INDEX('#建筑消耗和buff配置索引'!AB:AB,MATCH($F221,'#建筑消耗和buff配置索引'!$M:$M,0))</f>
        <v>18000</v>
      </c>
      <c r="M221" s="150">
        <f>INDEX('#建筑消耗和buff配置索引'!AC:AC,MATCH($F221,'#建筑消耗和buff配置索引'!$M:$M,0))</f>
        <v>36000</v>
      </c>
      <c r="N221" s="150">
        <f>INDEX('#建筑消耗和buff配置索引'!AD:AD,MATCH($F221,'#建筑消耗和buff配置索引'!$M:$M,0))</f>
        <v>0</v>
      </c>
      <c r="O221" s="150" t="str">
        <f>IF(INDEX('#建筑消耗和buff配置索引'!T:T,MATCH($F221,'#建筑消耗和buff配置索引'!$M:$M,0))=0,"",INDEX('#建筑消耗和buff配置索引'!T:T,MATCH($F221,'#建筑消耗和buff配置索引'!$M:$M,0)))</f>
        <v/>
      </c>
      <c r="P221" s="133" t="str">
        <f>IF(INDEX('#建筑消耗和buff配置索引'!U:U,MATCH($F221,'#建筑消耗和buff配置索引'!$M:$M,0))=0,"",INDEX('#建筑消耗和buff配置索引'!U:U,MATCH($F221,'#建筑消耗和buff配置索引'!$M:$M,0)))</f>
        <v/>
      </c>
      <c r="Q221" s="133" t="str">
        <f>IF(INDEX('#建筑消耗和buff配置索引'!K:K,MATCH($F221,'#建筑消耗和buff配置索引'!$M:$M,0))=0,"",INDEX('#建筑消耗和buff配置索引'!K:K,MATCH($F221,'#建筑消耗和buff配置索引'!$M:$M,0)))</f>
        <v>201;237</v>
      </c>
      <c r="R221" s="133" t="str">
        <f>IF(INDEX('#建筑消耗和buff配置索引'!L:L,MATCH($F221,'#建筑消耗和buff配置索引'!$M:$M,0))=0,"",INDEX('#建筑消耗和buff配置索引'!L:L,MATCH($F221,'#建筑消耗和buff配置索引'!$M:$M,0)))</f>
        <v>6;6</v>
      </c>
      <c r="S221" s="133">
        <f>IF(INDEX('#建筑消耗和buff配置索引'!C:C,MATCH(F221,'#建筑消耗和buff配置索引'!M:M,0))=0,1,INDEX('#建筑消耗和buff配置索引'!C:C,MATCH(F221,'#建筑消耗和buff配置索引'!M:M,0)))</f>
        <v>1</v>
      </c>
      <c r="T221" s="133">
        <v>0</v>
      </c>
      <c r="U221" s="133">
        <v>0</v>
      </c>
      <c r="V221" s="133" t="str">
        <f>IF(E221=1,IF(INDEX('#建筑消耗和buff配置索引'!BY:BY,MATCH(D221,'#建筑消耗和buff配置索引'!A:A,0))=0,"",INDEX('#建筑消耗和buff配置索引'!BY:BY,MATCH(D221,'#建筑消耗和buff配置索引'!A:A,0))),"")</f>
        <v/>
      </c>
      <c r="W221" s="133" t="str">
        <f>IF(E221=1,IF(INDEX('#建筑消耗和buff配置索引'!BZ:BZ,MATCH(D221,'#建筑消耗和buff配置索引'!A:A,0))=0,"",INDEX('#建筑消耗和buff配置索引'!BZ:BZ,MATCH(D221,'#建筑消耗和buff配置索引'!A:A,0))),"")</f>
        <v/>
      </c>
      <c r="AA221" s="133">
        <f>INDEX('#建筑消耗和buff配置索引'!AO:AO,MATCH($F221,'#建筑消耗和buff配置索引'!$M:$M,0))</f>
        <v>295</v>
      </c>
      <c r="AB221" s="133">
        <f>IF(INDEX('#建筑消耗和buff配置索引'!AR:AR,MATCH($F221,'#建筑消耗和buff配置索引'!$M:$M,0))=0,"",INDEX('#建筑消耗和buff配置索引'!AR:AR,MATCH($F221,'#建筑消耗和buff配置索引'!$M:$M,0)))</f>
        <v>4004</v>
      </c>
      <c r="AC221" s="133">
        <f>IF(AB221="","",INDEX('#建筑消耗和buff配置索引'!AS:AS,MATCH($F221,'#建筑消耗和buff配置索引'!$M:$M,0)))</f>
        <v>200000</v>
      </c>
      <c r="AF221" s="133" t="str">
        <f>IF(INDEX('#建筑消耗和buff配置索引'!AW:AW,MATCH($F221,'#建筑消耗和buff配置索引'!$M:$M,0))=0,"",INDEX('#建筑消耗和buff配置索引'!AW:AW,MATCH($F221,'#建筑消耗和buff配置索引'!$M:$M,0)))</f>
        <v/>
      </c>
      <c r="AG221" s="133" t="str">
        <f>IF(AF221="","",INDEX('#建筑消耗和buff配置索引'!AX:AX,MATCH($F221,'#建筑消耗和buff配置索引'!$M:$M,0)))</f>
        <v/>
      </c>
      <c r="AJ221" s="133" t="str">
        <f>IF(INDEX('#建筑消耗和buff配置索引'!BB:BB,MATCH($F221,'#建筑消耗和buff配置索引'!$M:$M,0))=0,"",INDEX('#建筑消耗和buff配置索引'!BB:BB,MATCH($F221,'#建筑消耗和buff配置索引'!$M:$M,0)))</f>
        <v/>
      </c>
      <c r="AK221" s="133" t="str">
        <f>IF(AJ221="","",INDEX('#建筑消耗和buff配置索引'!BC:BC,MATCH($F221,'#建筑消耗和buff配置索引'!$M:$M,0)))</f>
        <v/>
      </c>
      <c r="AN221" s="133" t="str">
        <f>IF(INDEX('#建筑消耗和buff配置索引'!BG:BG,MATCH($F221,'#建筑消耗和buff配置索引'!$M:$M,0))=0,"",INDEX('#建筑消耗和buff配置索引'!BG:BG,MATCH($F221,'#建筑消耗和buff配置索引'!$M:$M,0)))</f>
        <v/>
      </c>
      <c r="AO221" s="133" t="str">
        <f>IF(AN221="","",INDEX('#建筑消耗和buff配置索引'!BH:BH,MATCH($F221,'#建筑消耗和buff配置索引'!$M:$M,0)))</f>
        <v/>
      </c>
      <c r="AR221" s="133" t="str">
        <f>IF(INDEX('#建筑消耗和buff配置索引'!BK:BK,MATCH($F221,'#建筑消耗和buff配置索引'!$M:$M,0))=0,"",INDEX('#建筑消耗和buff配置索引'!BK:BK,MATCH($F221,'#建筑消耗和buff配置索引'!$M:$M,0)))</f>
        <v/>
      </c>
      <c r="AS221" s="133" t="str">
        <f>IF(AR221="","",INDEX('#建筑消耗和buff配置索引'!BL:BL,MATCH($F221,'#建筑消耗和buff配置索引'!$M:$M,0)))</f>
        <v/>
      </c>
      <c r="AV221" s="133" t="str">
        <f>IF(INDEX('#建筑消耗和buff配置索引'!BO:BO,MATCH($F221,'#建筑消耗和buff配置索引'!$M:$M,0))=0,"",INDEX('#建筑消耗和buff配置索引'!BO:BO,MATCH($F221,'#建筑消耗和buff配置索引'!$M:$M,0)))</f>
        <v/>
      </c>
      <c r="AW221" s="133" t="str">
        <f>IF(AV221="","",INDEX('#建筑消耗和buff配置索引'!BP:BP,MATCH($F221,'#建筑消耗和buff配置索引'!$M:$M,0)))</f>
        <v/>
      </c>
      <c r="AZ221" s="133" t="str">
        <f>IF(INDEX('#建筑消耗和buff配置索引'!BS:BS,MATCH($F221,'#建筑消耗和buff配置索引'!$M:$M,0))=0,"",INDEX('#建筑消耗和buff配置索引'!BS:BS,MATCH($F221,'#建筑消耗和buff配置索引'!$M:$M,0)))</f>
        <v/>
      </c>
      <c r="BA221" s="133" t="str">
        <f>IF(AZ221="","",INDEX('#建筑消耗和buff配置索引'!BT:BT,MATCH($F221,'#建筑消耗和buff配置索引'!$M:$M,0)))</f>
        <v/>
      </c>
      <c r="BD221" s="133" t="str">
        <f>IF(INDEX('#建筑消耗和buff配置索引'!BW:BW,MATCH($F221,'#建筑消耗和buff配置索引'!$M:$M,0))=0,"",INDEX('#建筑消耗和buff配置索引'!BW:BW,MATCH($F221,'#建筑消耗和buff配置索引'!$M:$M,0)))</f>
        <v/>
      </c>
      <c r="BE221" s="133" t="str">
        <f>IF(BD221="","",INDEX('#建筑消耗和buff配置索引'!BX:BX,MATCH($F221,'#建筑消耗和buff配置索引'!$M:$M,0)))</f>
        <v/>
      </c>
      <c r="BI221" s="133">
        <v>17</v>
      </c>
    </row>
    <row r="222" spans="1:61" s="133" customFormat="1">
      <c r="A222" s="133">
        <v>2150007</v>
      </c>
      <c r="B222" s="133">
        <v>219</v>
      </c>
      <c r="C222" s="133">
        <v>215</v>
      </c>
      <c r="D222" s="133" t="s">
        <v>418</v>
      </c>
      <c r="E222" s="133">
        <v>7</v>
      </c>
      <c r="F222" s="133" t="str">
        <f t="shared" si="5"/>
        <v>城墙7</v>
      </c>
      <c r="H222" s="146"/>
      <c r="I222" s="133">
        <v>1</v>
      </c>
      <c r="J222" s="150">
        <f>INDEX('#建筑消耗和buff配置索引'!AH:AH,MATCH($F222,'#建筑消耗和buff配置索引'!$M:$M,0))</f>
        <v>2250</v>
      </c>
      <c r="K222" s="150">
        <f>INDEX('#建筑消耗和buff配置索引'!AA:AA,MATCH($F222,'#建筑消耗和buff配置索引'!$M:$M,0))</f>
        <v>32000</v>
      </c>
      <c r="L222" s="150">
        <f>INDEX('#建筑消耗和buff配置索引'!AB:AB,MATCH($F222,'#建筑消耗和buff配置索引'!$M:$M,0))</f>
        <v>32000</v>
      </c>
      <c r="M222" s="150">
        <f>INDEX('#建筑消耗和buff配置索引'!AC:AC,MATCH($F222,'#建筑消耗和buff配置索引'!$M:$M,0))</f>
        <v>64000</v>
      </c>
      <c r="N222" s="150">
        <f>INDEX('#建筑消耗和buff配置索引'!AD:AD,MATCH($F222,'#建筑消耗和buff配置索引'!$M:$M,0))</f>
        <v>0</v>
      </c>
      <c r="O222" s="150" t="str">
        <f>IF(INDEX('#建筑消耗和buff配置索引'!T:T,MATCH($F222,'#建筑消耗和buff配置索引'!$M:$M,0))=0,"",INDEX('#建筑消耗和buff配置索引'!T:T,MATCH($F222,'#建筑消耗和buff配置索引'!$M:$M,0)))</f>
        <v/>
      </c>
      <c r="P222" s="133" t="str">
        <f>IF(INDEX('#建筑消耗和buff配置索引'!U:U,MATCH($F222,'#建筑消耗和buff配置索引'!$M:$M,0))=0,"",INDEX('#建筑消耗和buff配置索引'!U:U,MATCH($F222,'#建筑消耗和buff配置索引'!$M:$M,0)))</f>
        <v/>
      </c>
      <c r="Q222" s="133" t="str">
        <f>IF(INDEX('#建筑消耗和buff配置索引'!K:K,MATCH($F222,'#建筑消耗和buff配置索引'!$M:$M,0))=0,"",INDEX('#建筑消耗和buff配置索引'!K:K,MATCH($F222,'#建筑消耗和buff配置索引'!$M:$M,0)))</f>
        <v>201;237</v>
      </c>
      <c r="R222" s="133" t="str">
        <f>IF(INDEX('#建筑消耗和buff配置索引'!L:L,MATCH($F222,'#建筑消耗和buff配置索引'!$M:$M,0))=0,"",INDEX('#建筑消耗和buff配置索引'!L:L,MATCH($F222,'#建筑消耗和buff配置索引'!$M:$M,0)))</f>
        <v>7;7</v>
      </c>
      <c r="S222" s="133">
        <f>IF(INDEX('#建筑消耗和buff配置索引'!C:C,MATCH(F222,'#建筑消耗和buff配置索引'!M:M,0))=0,1,INDEX('#建筑消耗和buff配置索引'!C:C,MATCH(F222,'#建筑消耗和buff配置索引'!M:M,0)))</f>
        <v>1</v>
      </c>
      <c r="T222" s="133">
        <v>0</v>
      </c>
      <c r="U222" s="133">
        <v>0</v>
      </c>
      <c r="V222" s="133" t="str">
        <f>IF(E222=1,IF(INDEX('#建筑消耗和buff配置索引'!BY:BY,MATCH(D222,'#建筑消耗和buff配置索引'!A:A,0))=0,"",INDEX('#建筑消耗和buff配置索引'!BY:BY,MATCH(D222,'#建筑消耗和buff配置索引'!A:A,0))),"")</f>
        <v/>
      </c>
      <c r="W222" s="133" t="str">
        <f>IF(E222=1,IF(INDEX('#建筑消耗和buff配置索引'!BZ:BZ,MATCH(D222,'#建筑消耗和buff配置索引'!A:A,0))=0,"",INDEX('#建筑消耗和buff配置索引'!BZ:BZ,MATCH(D222,'#建筑消耗和buff配置索引'!A:A,0))),"")</f>
        <v/>
      </c>
      <c r="AA222" s="133">
        <f>INDEX('#建筑消耗和buff配置索引'!AO:AO,MATCH($F222,'#建筑消耗和buff配置索引'!$M:$M,0))</f>
        <v>552</v>
      </c>
      <c r="AB222" s="133">
        <f>IF(INDEX('#建筑消耗和buff配置索引'!AR:AR,MATCH($F222,'#建筑消耗和buff配置索引'!$M:$M,0))=0,"",INDEX('#建筑消耗和buff配置索引'!AR:AR,MATCH($F222,'#建筑消耗和buff配置索引'!$M:$M,0)))</f>
        <v>4004</v>
      </c>
      <c r="AC222" s="133">
        <f>IF(AB222="","",INDEX('#建筑消耗和buff配置索引'!AS:AS,MATCH($F222,'#建筑消耗和buff配置索引'!$M:$M,0)))</f>
        <v>220000</v>
      </c>
      <c r="AF222" s="133" t="str">
        <f>IF(INDEX('#建筑消耗和buff配置索引'!AW:AW,MATCH($F222,'#建筑消耗和buff配置索引'!$M:$M,0))=0,"",INDEX('#建筑消耗和buff配置索引'!AW:AW,MATCH($F222,'#建筑消耗和buff配置索引'!$M:$M,0)))</f>
        <v/>
      </c>
      <c r="AG222" s="133" t="str">
        <f>IF(AF222="","",INDEX('#建筑消耗和buff配置索引'!AX:AX,MATCH($F222,'#建筑消耗和buff配置索引'!$M:$M,0)))</f>
        <v/>
      </c>
      <c r="AJ222" s="133" t="str">
        <f>IF(INDEX('#建筑消耗和buff配置索引'!BB:BB,MATCH($F222,'#建筑消耗和buff配置索引'!$M:$M,0))=0,"",INDEX('#建筑消耗和buff配置索引'!BB:BB,MATCH($F222,'#建筑消耗和buff配置索引'!$M:$M,0)))</f>
        <v/>
      </c>
      <c r="AK222" s="133" t="str">
        <f>IF(AJ222="","",INDEX('#建筑消耗和buff配置索引'!BC:BC,MATCH($F222,'#建筑消耗和buff配置索引'!$M:$M,0)))</f>
        <v/>
      </c>
      <c r="AN222" s="133" t="str">
        <f>IF(INDEX('#建筑消耗和buff配置索引'!BG:BG,MATCH($F222,'#建筑消耗和buff配置索引'!$M:$M,0))=0,"",INDEX('#建筑消耗和buff配置索引'!BG:BG,MATCH($F222,'#建筑消耗和buff配置索引'!$M:$M,0)))</f>
        <v/>
      </c>
      <c r="AO222" s="133" t="str">
        <f>IF(AN222="","",INDEX('#建筑消耗和buff配置索引'!BH:BH,MATCH($F222,'#建筑消耗和buff配置索引'!$M:$M,0)))</f>
        <v/>
      </c>
      <c r="AR222" s="133" t="str">
        <f>IF(INDEX('#建筑消耗和buff配置索引'!BK:BK,MATCH($F222,'#建筑消耗和buff配置索引'!$M:$M,0))=0,"",INDEX('#建筑消耗和buff配置索引'!BK:BK,MATCH($F222,'#建筑消耗和buff配置索引'!$M:$M,0)))</f>
        <v/>
      </c>
      <c r="AS222" s="133" t="str">
        <f>IF(AR222="","",INDEX('#建筑消耗和buff配置索引'!BL:BL,MATCH($F222,'#建筑消耗和buff配置索引'!$M:$M,0)))</f>
        <v/>
      </c>
      <c r="AV222" s="133" t="str">
        <f>IF(INDEX('#建筑消耗和buff配置索引'!BO:BO,MATCH($F222,'#建筑消耗和buff配置索引'!$M:$M,0))=0,"",INDEX('#建筑消耗和buff配置索引'!BO:BO,MATCH($F222,'#建筑消耗和buff配置索引'!$M:$M,0)))</f>
        <v/>
      </c>
      <c r="AW222" s="133" t="str">
        <f>IF(AV222="","",INDEX('#建筑消耗和buff配置索引'!BP:BP,MATCH($F222,'#建筑消耗和buff配置索引'!$M:$M,0)))</f>
        <v/>
      </c>
      <c r="AZ222" s="133" t="str">
        <f>IF(INDEX('#建筑消耗和buff配置索引'!BS:BS,MATCH($F222,'#建筑消耗和buff配置索引'!$M:$M,0))=0,"",INDEX('#建筑消耗和buff配置索引'!BS:BS,MATCH($F222,'#建筑消耗和buff配置索引'!$M:$M,0)))</f>
        <v/>
      </c>
      <c r="BA222" s="133" t="str">
        <f>IF(AZ222="","",INDEX('#建筑消耗和buff配置索引'!BT:BT,MATCH($F222,'#建筑消耗和buff配置索引'!$M:$M,0)))</f>
        <v/>
      </c>
      <c r="BD222" s="133" t="str">
        <f>IF(INDEX('#建筑消耗和buff配置索引'!BW:BW,MATCH($F222,'#建筑消耗和buff配置索引'!$M:$M,0))=0,"",INDEX('#建筑消耗和buff配置索引'!BW:BW,MATCH($F222,'#建筑消耗和buff配置索引'!$M:$M,0)))</f>
        <v/>
      </c>
      <c r="BE222" s="133" t="str">
        <f>IF(BD222="","",INDEX('#建筑消耗和buff配置索引'!BX:BX,MATCH($F222,'#建筑消耗和buff配置索引'!$M:$M,0)))</f>
        <v/>
      </c>
      <c r="BI222" s="133">
        <v>17</v>
      </c>
    </row>
    <row r="223" spans="1:61" s="133" customFormat="1">
      <c r="A223" s="133">
        <v>2150008</v>
      </c>
      <c r="B223" s="133">
        <v>220</v>
      </c>
      <c r="C223" s="133">
        <v>215</v>
      </c>
      <c r="D223" s="133" t="s">
        <v>418</v>
      </c>
      <c r="E223" s="133">
        <v>8</v>
      </c>
      <c r="F223" s="133" t="str">
        <f t="shared" si="5"/>
        <v>城墙8</v>
      </c>
      <c r="H223" s="146"/>
      <c r="I223" s="133">
        <v>1</v>
      </c>
      <c r="J223" s="150">
        <f>INDEX('#建筑消耗和buff配置索引'!AH:AH,MATCH($F223,'#建筑消耗和buff配置索引'!$M:$M,0))</f>
        <v>3600</v>
      </c>
      <c r="K223" s="150">
        <f>INDEX('#建筑消耗和buff配置索引'!AA:AA,MATCH($F223,'#建筑消耗和buff配置索引'!$M:$M,0))</f>
        <v>55000</v>
      </c>
      <c r="L223" s="150">
        <f>INDEX('#建筑消耗和buff配置索引'!AB:AB,MATCH($F223,'#建筑消耗和buff配置索引'!$M:$M,0))</f>
        <v>55000</v>
      </c>
      <c r="M223" s="150">
        <f>INDEX('#建筑消耗和buff配置索引'!AC:AC,MATCH($F223,'#建筑消耗和buff配置索引'!$M:$M,0))</f>
        <v>110000</v>
      </c>
      <c r="N223" s="150">
        <f>INDEX('#建筑消耗和buff配置索引'!AD:AD,MATCH($F223,'#建筑消耗和buff配置索引'!$M:$M,0))</f>
        <v>0</v>
      </c>
      <c r="O223" s="150" t="str">
        <f>IF(INDEX('#建筑消耗和buff配置索引'!T:T,MATCH($F223,'#建筑消耗和buff配置索引'!$M:$M,0))=0,"",INDEX('#建筑消耗和buff配置索引'!T:T,MATCH($F223,'#建筑消耗和buff配置索引'!$M:$M,0)))</f>
        <v/>
      </c>
      <c r="P223" s="133" t="str">
        <f>IF(INDEX('#建筑消耗和buff配置索引'!U:U,MATCH($F223,'#建筑消耗和buff配置索引'!$M:$M,0))=0,"",INDEX('#建筑消耗和buff配置索引'!U:U,MATCH($F223,'#建筑消耗和buff配置索引'!$M:$M,0)))</f>
        <v/>
      </c>
      <c r="Q223" s="133" t="str">
        <f>IF(INDEX('#建筑消耗和buff配置索引'!K:K,MATCH($F223,'#建筑消耗和buff配置索引'!$M:$M,0))=0,"",INDEX('#建筑消耗和buff配置索引'!K:K,MATCH($F223,'#建筑消耗和buff配置索引'!$M:$M,0)))</f>
        <v>201;237</v>
      </c>
      <c r="R223" s="133" t="str">
        <f>IF(INDEX('#建筑消耗和buff配置索引'!L:L,MATCH($F223,'#建筑消耗和buff配置索引'!$M:$M,0))=0,"",INDEX('#建筑消耗和buff配置索引'!L:L,MATCH($F223,'#建筑消耗和buff配置索引'!$M:$M,0)))</f>
        <v>8;8</v>
      </c>
      <c r="S223" s="133">
        <f>IF(INDEX('#建筑消耗和buff配置索引'!C:C,MATCH(F223,'#建筑消耗和buff配置索引'!M:M,0))=0,1,INDEX('#建筑消耗和buff配置索引'!C:C,MATCH(F223,'#建筑消耗和buff配置索引'!M:M,0)))</f>
        <v>1</v>
      </c>
      <c r="T223" s="133">
        <v>0</v>
      </c>
      <c r="U223" s="133">
        <v>0</v>
      </c>
      <c r="V223" s="133" t="str">
        <f>IF(E223=1,IF(INDEX('#建筑消耗和buff配置索引'!BY:BY,MATCH(D223,'#建筑消耗和buff配置索引'!A:A,0))=0,"",INDEX('#建筑消耗和buff配置索引'!BY:BY,MATCH(D223,'#建筑消耗和buff配置索引'!A:A,0))),"")</f>
        <v/>
      </c>
      <c r="W223" s="133" t="str">
        <f>IF(E223=1,IF(INDEX('#建筑消耗和buff配置索引'!BZ:BZ,MATCH(D223,'#建筑消耗和buff配置索引'!A:A,0))=0,"",INDEX('#建筑消耗和buff配置索引'!BZ:BZ,MATCH(D223,'#建筑消耗和buff配置索引'!A:A,0))),"")</f>
        <v/>
      </c>
      <c r="AA223" s="133">
        <f>INDEX('#建筑消耗和buff配置索引'!AO:AO,MATCH($F223,'#建筑消耗和buff配置索引'!$M:$M,0))</f>
        <v>994</v>
      </c>
      <c r="AB223" s="133">
        <f>IF(INDEX('#建筑消耗和buff配置索引'!AR:AR,MATCH($F223,'#建筑消耗和buff配置索引'!$M:$M,0))=0,"",INDEX('#建筑消耗和buff配置索引'!AR:AR,MATCH($F223,'#建筑消耗和buff配置索引'!$M:$M,0)))</f>
        <v>4004</v>
      </c>
      <c r="AC223" s="133">
        <f>IF(AB223="","",INDEX('#建筑消耗和buff配置索引'!AS:AS,MATCH($F223,'#建筑消耗和buff配置索引'!$M:$M,0)))</f>
        <v>240000</v>
      </c>
      <c r="AF223" s="133" t="str">
        <f>IF(INDEX('#建筑消耗和buff配置索引'!AW:AW,MATCH($F223,'#建筑消耗和buff配置索引'!$M:$M,0))=0,"",INDEX('#建筑消耗和buff配置索引'!AW:AW,MATCH($F223,'#建筑消耗和buff配置索引'!$M:$M,0)))</f>
        <v/>
      </c>
      <c r="AG223" s="133" t="str">
        <f>IF(AF223="","",INDEX('#建筑消耗和buff配置索引'!AX:AX,MATCH($F223,'#建筑消耗和buff配置索引'!$M:$M,0)))</f>
        <v/>
      </c>
      <c r="AJ223" s="133" t="str">
        <f>IF(INDEX('#建筑消耗和buff配置索引'!BB:BB,MATCH($F223,'#建筑消耗和buff配置索引'!$M:$M,0))=0,"",INDEX('#建筑消耗和buff配置索引'!BB:BB,MATCH($F223,'#建筑消耗和buff配置索引'!$M:$M,0)))</f>
        <v/>
      </c>
      <c r="AK223" s="133" t="str">
        <f>IF(AJ223="","",INDEX('#建筑消耗和buff配置索引'!BC:BC,MATCH($F223,'#建筑消耗和buff配置索引'!$M:$M,0)))</f>
        <v/>
      </c>
      <c r="AN223" s="133" t="str">
        <f>IF(INDEX('#建筑消耗和buff配置索引'!BG:BG,MATCH($F223,'#建筑消耗和buff配置索引'!$M:$M,0))=0,"",INDEX('#建筑消耗和buff配置索引'!BG:BG,MATCH($F223,'#建筑消耗和buff配置索引'!$M:$M,0)))</f>
        <v/>
      </c>
      <c r="AO223" s="133" t="str">
        <f>IF(AN223="","",INDEX('#建筑消耗和buff配置索引'!BH:BH,MATCH($F223,'#建筑消耗和buff配置索引'!$M:$M,0)))</f>
        <v/>
      </c>
      <c r="AR223" s="133" t="str">
        <f>IF(INDEX('#建筑消耗和buff配置索引'!BK:BK,MATCH($F223,'#建筑消耗和buff配置索引'!$M:$M,0))=0,"",INDEX('#建筑消耗和buff配置索引'!BK:BK,MATCH($F223,'#建筑消耗和buff配置索引'!$M:$M,0)))</f>
        <v/>
      </c>
      <c r="AS223" s="133" t="str">
        <f>IF(AR223="","",INDEX('#建筑消耗和buff配置索引'!BL:BL,MATCH($F223,'#建筑消耗和buff配置索引'!$M:$M,0)))</f>
        <v/>
      </c>
      <c r="AV223" s="133" t="str">
        <f>IF(INDEX('#建筑消耗和buff配置索引'!BO:BO,MATCH($F223,'#建筑消耗和buff配置索引'!$M:$M,0))=0,"",INDEX('#建筑消耗和buff配置索引'!BO:BO,MATCH($F223,'#建筑消耗和buff配置索引'!$M:$M,0)))</f>
        <v/>
      </c>
      <c r="AW223" s="133" t="str">
        <f>IF(AV223="","",INDEX('#建筑消耗和buff配置索引'!BP:BP,MATCH($F223,'#建筑消耗和buff配置索引'!$M:$M,0)))</f>
        <v/>
      </c>
      <c r="AZ223" s="133" t="str">
        <f>IF(INDEX('#建筑消耗和buff配置索引'!BS:BS,MATCH($F223,'#建筑消耗和buff配置索引'!$M:$M,0))=0,"",INDEX('#建筑消耗和buff配置索引'!BS:BS,MATCH($F223,'#建筑消耗和buff配置索引'!$M:$M,0)))</f>
        <v/>
      </c>
      <c r="BA223" s="133" t="str">
        <f>IF(AZ223="","",INDEX('#建筑消耗和buff配置索引'!BT:BT,MATCH($F223,'#建筑消耗和buff配置索引'!$M:$M,0)))</f>
        <v/>
      </c>
      <c r="BD223" s="133" t="str">
        <f>IF(INDEX('#建筑消耗和buff配置索引'!BW:BW,MATCH($F223,'#建筑消耗和buff配置索引'!$M:$M,0))=0,"",INDEX('#建筑消耗和buff配置索引'!BW:BW,MATCH($F223,'#建筑消耗和buff配置索引'!$M:$M,0)))</f>
        <v/>
      </c>
      <c r="BE223" s="133" t="str">
        <f>IF(BD223="","",INDEX('#建筑消耗和buff配置索引'!BX:BX,MATCH($F223,'#建筑消耗和buff配置索引'!$M:$M,0)))</f>
        <v/>
      </c>
      <c r="BI223" s="133">
        <v>17</v>
      </c>
    </row>
    <row r="224" spans="1:61" s="133" customFormat="1">
      <c r="A224" s="133">
        <v>2150009</v>
      </c>
      <c r="B224" s="133">
        <v>221</v>
      </c>
      <c r="C224" s="133">
        <v>215</v>
      </c>
      <c r="D224" s="133" t="s">
        <v>418</v>
      </c>
      <c r="E224" s="133">
        <v>9</v>
      </c>
      <c r="F224" s="133" t="str">
        <f t="shared" si="5"/>
        <v>城墙9</v>
      </c>
      <c r="H224" s="146"/>
      <c r="I224" s="133">
        <v>1</v>
      </c>
      <c r="J224" s="150">
        <f>INDEX('#建筑消耗和buff配置索引'!AH:AH,MATCH($F224,'#建筑消耗和buff配置索引'!$M:$M,0))</f>
        <v>7200</v>
      </c>
      <c r="K224" s="150">
        <f>INDEX('#建筑消耗和buff配置索引'!AA:AA,MATCH($F224,'#建筑消耗和buff配置索引'!$M:$M,0))</f>
        <v>91000</v>
      </c>
      <c r="L224" s="150">
        <f>INDEX('#建筑消耗和buff配置索引'!AB:AB,MATCH($F224,'#建筑消耗和buff配置索引'!$M:$M,0))</f>
        <v>91000</v>
      </c>
      <c r="M224" s="150">
        <f>INDEX('#建筑消耗和buff配置索引'!AC:AC,MATCH($F224,'#建筑消耗和buff配置索引'!$M:$M,0))</f>
        <v>180000</v>
      </c>
      <c r="N224" s="150">
        <f>INDEX('#建筑消耗和buff配置索引'!AD:AD,MATCH($F224,'#建筑消耗和buff配置索引'!$M:$M,0))</f>
        <v>0</v>
      </c>
      <c r="O224" s="150" t="str">
        <f>IF(INDEX('#建筑消耗和buff配置索引'!T:T,MATCH($F224,'#建筑消耗和buff配置索引'!$M:$M,0))=0,"",INDEX('#建筑消耗和buff配置索引'!T:T,MATCH($F224,'#建筑消耗和buff配置索引'!$M:$M,0)))</f>
        <v/>
      </c>
      <c r="P224" s="133" t="str">
        <f>IF(INDEX('#建筑消耗和buff配置索引'!U:U,MATCH($F224,'#建筑消耗和buff配置索引'!$M:$M,0))=0,"",INDEX('#建筑消耗和buff配置索引'!U:U,MATCH($F224,'#建筑消耗和buff配置索引'!$M:$M,0)))</f>
        <v/>
      </c>
      <c r="Q224" s="133" t="str">
        <f>IF(INDEX('#建筑消耗和buff配置索引'!K:K,MATCH($F224,'#建筑消耗和buff配置索引'!$M:$M,0))=0,"",INDEX('#建筑消耗和buff配置索引'!K:K,MATCH($F224,'#建筑消耗和buff配置索引'!$M:$M,0)))</f>
        <v>201;237</v>
      </c>
      <c r="R224" s="133" t="str">
        <f>IF(INDEX('#建筑消耗和buff配置索引'!L:L,MATCH($F224,'#建筑消耗和buff配置索引'!$M:$M,0))=0,"",INDEX('#建筑消耗和buff配置索引'!L:L,MATCH($F224,'#建筑消耗和buff配置索引'!$M:$M,0)))</f>
        <v>9;9</v>
      </c>
      <c r="S224" s="133">
        <f>IF(INDEX('#建筑消耗和buff配置索引'!C:C,MATCH(F224,'#建筑消耗和buff配置索引'!M:M,0))=0,1,INDEX('#建筑消耗和buff配置索引'!C:C,MATCH(F224,'#建筑消耗和buff配置索引'!M:M,0)))</f>
        <v>1</v>
      </c>
      <c r="T224" s="133">
        <v>0</v>
      </c>
      <c r="U224" s="133">
        <v>0</v>
      </c>
      <c r="V224" s="133" t="str">
        <f>IF(E224=1,IF(INDEX('#建筑消耗和buff配置索引'!BY:BY,MATCH(D224,'#建筑消耗和buff配置索引'!A:A,0))=0,"",INDEX('#建筑消耗和buff配置索引'!BY:BY,MATCH(D224,'#建筑消耗和buff配置索引'!A:A,0))),"")</f>
        <v/>
      </c>
      <c r="W224" s="133" t="str">
        <f>IF(E224=1,IF(INDEX('#建筑消耗和buff配置索引'!BZ:BZ,MATCH(D224,'#建筑消耗和buff配置索引'!A:A,0))=0,"",INDEX('#建筑消耗和buff配置索引'!BZ:BZ,MATCH(D224,'#建筑消耗和buff配置索引'!A:A,0))),"")</f>
        <v/>
      </c>
      <c r="AA224" s="133">
        <f>INDEX('#建筑消耗和buff配置索引'!AO:AO,MATCH($F224,'#建筑消耗和buff配置索引'!$M:$M,0))</f>
        <v>1724</v>
      </c>
      <c r="AB224" s="133">
        <f>IF(INDEX('#建筑消耗和buff配置索引'!AR:AR,MATCH($F224,'#建筑消耗和buff配置索引'!$M:$M,0))=0,"",INDEX('#建筑消耗和buff配置索引'!AR:AR,MATCH($F224,'#建筑消耗和buff配置索引'!$M:$M,0)))</f>
        <v>4004</v>
      </c>
      <c r="AC224" s="133">
        <f>IF(AB224="","",INDEX('#建筑消耗和buff配置索引'!AS:AS,MATCH($F224,'#建筑消耗和buff配置索引'!$M:$M,0)))</f>
        <v>260000</v>
      </c>
      <c r="AF224" s="133" t="str">
        <f>IF(INDEX('#建筑消耗和buff配置索引'!AW:AW,MATCH($F224,'#建筑消耗和buff配置索引'!$M:$M,0))=0,"",INDEX('#建筑消耗和buff配置索引'!AW:AW,MATCH($F224,'#建筑消耗和buff配置索引'!$M:$M,0)))</f>
        <v/>
      </c>
      <c r="AG224" s="133" t="str">
        <f>IF(AF224="","",INDEX('#建筑消耗和buff配置索引'!AX:AX,MATCH($F224,'#建筑消耗和buff配置索引'!$M:$M,0)))</f>
        <v/>
      </c>
      <c r="AJ224" s="133" t="str">
        <f>IF(INDEX('#建筑消耗和buff配置索引'!BB:BB,MATCH($F224,'#建筑消耗和buff配置索引'!$M:$M,0))=0,"",INDEX('#建筑消耗和buff配置索引'!BB:BB,MATCH($F224,'#建筑消耗和buff配置索引'!$M:$M,0)))</f>
        <v/>
      </c>
      <c r="AK224" s="133" t="str">
        <f>IF(AJ224="","",INDEX('#建筑消耗和buff配置索引'!BC:BC,MATCH($F224,'#建筑消耗和buff配置索引'!$M:$M,0)))</f>
        <v/>
      </c>
      <c r="AN224" s="133" t="str">
        <f>IF(INDEX('#建筑消耗和buff配置索引'!BG:BG,MATCH($F224,'#建筑消耗和buff配置索引'!$M:$M,0))=0,"",INDEX('#建筑消耗和buff配置索引'!BG:BG,MATCH($F224,'#建筑消耗和buff配置索引'!$M:$M,0)))</f>
        <v/>
      </c>
      <c r="AO224" s="133" t="str">
        <f>IF(AN224="","",INDEX('#建筑消耗和buff配置索引'!BH:BH,MATCH($F224,'#建筑消耗和buff配置索引'!$M:$M,0)))</f>
        <v/>
      </c>
      <c r="AR224" s="133" t="str">
        <f>IF(INDEX('#建筑消耗和buff配置索引'!BK:BK,MATCH($F224,'#建筑消耗和buff配置索引'!$M:$M,0))=0,"",INDEX('#建筑消耗和buff配置索引'!BK:BK,MATCH($F224,'#建筑消耗和buff配置索引'!$M:$M,0)))</f>
        <v/>
      </c>
      <c r="AS224" s="133" t="str">
        <f>IF(AR224="","",INDEX('#建筑消耗和buff配置索引'!BL:BL,MATCH($F224,'#建筑消耗和buff配置索引'!$M:$M,0)))</f>
        <v/>
      </c>
      <c r="AV224" s="133" t="str">
        <f>IF(INDEX('#建筑消耗和buff配置索引'!BO:BO,MATCH($F224,'#建筑消耗和buff配置索引'!$M:$M,0))=0,"",INDEX('#建筑消耗和buff配置索引'!BO:BO,MATCH($F224,'#建筑消耗和buff配置索引'!$M:$M,0)))</f>
        <v/>
      </c>
      <c r="AW224" s="133" t="str">
        <f>IF(AV224="","",INDEX('#建筑消耗和buff配置索引'!BP:BP,MATCH($F224,'#建筑消耗和buff配置索引'!$M:$M,0)))</f>
        <v/>
      </c>
      <c r="AZ224" s="133" t="str">
        <f>IF(INDEX('#建筑消耗和buff配置索引'!BS:BS,MATCH($F224,'#建筑消耗和buff配置索引'!$M:$M,0))=0,"",INDEX('#建筑消耗和buff配置索引'!BS:BS,MATCH($F224,'#建筑消耗和buff配置索引'!$M:$M,0)))</f>
        <v/>
      </c>
      <c r="BA224" s="133" t="str">
        <f>IF(AZ224="","",INDEX('#建筑消耗和buff配置索引'!BT:BT,MATCH($F224,'#建筑消耗和buff配置索引'!$M:$M,0)))</f>
        <v/>
      </c>
      <c r="BD224" s="133" t="str">
        <f>IF(INDEX('#建筑消耗和buff配置索引'!BW:BW,MATCH($F224,'#建筑消耗和buff配置索引'!$M:$M,0))=0,"",INDEX('#建筑消耗和buff配置索引'!BW:BW,MATCH($F224,'#建筑消耗和buff配置索引'!$M:$M,0)))</f>
        <v/>
      </c>
      <c r="BE224" s="133" t="str">
        <f>IF(BD224="","",INDEX('#建筑消耗和buff配置索引'!BX:BX,MATCH($F224,'#建筑消耗和buff配置索引'!$M:$M,0)))</f>
        <v/>
      </c>
      <c r="BI224" s="133">
        <v>17</v>
      </c>
    </row>
    <row r="225" spans="1:61" s="133" customFormat="1">
      <c r="A225" s="133">
        <v>2150010</v>
      </c>
      <c r="B225" s="133">
        <v>222</v>
      </c>
      <c r="C225" s="133">
        <v>215</v>
      </c>
      <c r="D225" s="133" t="s">
        <v>418</v>
      </c>
      <c r="E225" s="133">
        <v>10</v>
      </c>
      <c r="F225" s="133" t="str">
        <f t="shared" si="5"/>
        <v>城墙10</v>
      </c>
      <c r="H225" s="146"/>
      <c r="I225" s="133">
        <v>1</v>
      </c>
      <c r="J225" s="150">
        <f>INDEX('#建筑消耗和buff配置索引'!AH:AH,MATCH($F225,'#建筑消耗和buff配置索引'!$M:$M,0))</f>
        <v>10800</v>
      </c>
      <c r="K225" s="150">
        <f>INDEX('#建筑消耗和buff配置索引'!AA:AA,MATCH($F225,'#建筑消耗和buff配置索引'!$M:$M,0))</f>
        <v>120000</v>
      </c>
      <c r="L225" s="150">
        <f>INDEX('#建筑消耗和buff配置索引'!AB:AB,MATCH($F225,'#建筑消耗和buff配置索引'!$M:$M,0))</f>
        <v>120000</v>
      </c>
      <c r="M225" s="150">
        <f>INDEX('#建筑消耗和buff配置索引'!AC:AC,MATCH($F225,'#建筑消耗和buff配置索引'!$M:$M,0))</f>
        <v>230000</v>
      </c>
      <c r="N225" s="150">
        <f>INDEX('#建筑消耗和buff配置索引'!AD:AD,MATCH($F225,'#建筑消耗和buff配置索引'!$M:$M,0))</f>
        <v>120000</v>
      </c>
      <c r="O225" s="150" t="str">
        <f>IF(INDEX('#建筑消耗和buff配置索引'!T:T,MATCH($F225,'#建筑消耗和buff配置索引'!$M:$M,0))=0,"",INDEX('#建筑消耗和buff配置索引'!T:T,MATCH($F225,'#建筑消耗和buff配置索引'!$M:$M,0)))</f>
        <v/>
      </c>
      <c r="P225" s="133" t="str">
        <f>IF(INDEX('#建筑消耗和buff配置索引'!U:U,MATCH($F225,'#建筑消耗和buff配置索引'!$M:$M,0))=0,"",INDEX('#建筑消耗和buff配置索引'!U:U,MATCH($F225,'#建筑消耗和buff配置索引'!$M:$M,0)))</f>
        <v/>
      </c>
      <c r="Q225" s="133" t="str">
        <f>IF(INDEX('#建筑消耗和buff配置索引'!K:K,MATCH($F225,'#建筑消耗和buff配置索引'!$M:$M,0))=0,"",INDEX('#建筑消耗和buff配置索引'!K:K,MATCH($F225,'#建筑消耗和buff配置索引'!$M:$M,0)))</f>
        <v>201;237</v>
      </c>
      <c r="R225" s="133" t="str">
        <f>IF(INDEX('#建筑消耗和buff配置索引'!L:L,MATCH($F225,'#建筑消耗和buff配置索引'!$M:$M,0))=0,"",INDEX('#建筑消耗和buff配置索引'!L:L,MATCH($F225,'#建筑消耗和buff配置索引'!$M:$M,0)))</f>
        <v>10;10</v>
      </c>
      <c r="S225" s="133">
        <f>IF(INDEX('#建筑消耗和buff配置索引'!C:C,MATCH(F225,'#建筑消耗和buff配置索引'!M:M,0))=0,1,INDEX('#建筑消耗和buff配置索引'!C:C,MATCH(F225,'#建筑消耗和buff配置索引'!M:M,0)))</f>
        <v>1</v>
      </c>
      <c r="T225" s="133">
        <v>0</v>
      </c>
      <c r="U225" s="133">
        <v>0</v>
      </c>
      <c r="V225" s="133" t="str">
        <f>IF(E225=1,IF(INDEX('#建筑消耗和buff配置索引'!BY:BY,MATCH(D225,'#建筑消耗和buff配置索引'!A:A,0))=0,"",INDEX('#建筑消耗和buff配置索引'!BY:BY,MATCH(D225,'#建筑消耗和buff配置索引'!A:A,0))),"")</f>
        <v/>
      </c>
      <c r="W225" s="133" t="str">
        <f>IF(E225=1,IF(INDEX('#建筑消耗和buff配置索引'!BZ:BZ,MATCH(D225,'#建筑消耗和buff配置索引'!A:A,0))=0,"",INDEX('#建筑消耗和buff配置索引'!BZ:BZ,MATCH(D225,'#建筑消耗和buff配置索引'!A:A,0))),"")</f>
        <v/>
      </c>
      <c r="AA225" s="133">
        <f>INDEX('#建筑消耗和buff配置索引'!AO:AO,MATCH($F225,'#建筑消耗和buff配置索引'!$M:$M,0))</f>
        <v>2876</v>
      </c>
      <c r="AB225" s="133">
        <f>IF(INDEX('#建筑消耗和buff配置索引'!AR:AR,MATCH($F225,'#建筑消耗和buff配置索引'!$M:$M,0))=0,"",INDEX('#建筑消耗和buff配置索引'!AR:AR,MATCH($F225,'#建筑消耗和buff配置索引'!$M:$M,0)))</f>
        <v>4004</v>
      </c>
      <c r="AC225" s="133">
        <f>IF(AB225="","",INDEX('#建筑消耗和buff配置索引'!AS:AS,MATCH($F225,'#建筑消耗和buff配置索引'!$M:$M,0)))</f>
        <v>280000</v>
      </c>
      <c r="AF225" s="133" t="str">
        <f>IF(INDEX('#建筑消耗和buff配置索引'!AW:AW,MATCH($F225,'#建筑消耗和buff配置索引'!$M:$M,0))=0,"",INDEX('#建筑消耗和buff配置索引'!AW:AW,MATCH($F225,'#建筑消耗和buff配置索引'!$M:$M,0)))</f>
        <v/>
      </c>
      <c r="AG225" s="133" t="str">
        <f>IF(AF225="","",INDEX('#建筑消耗和buff配置索引'!AX:AX,MATCH($F225,'#建筑消耗和buff配置索引'!$M:$M,0)))</f>
        <v/>
      </c>
      <c r="AJ225" s="133" t="str">
        <f>IF(INDEX('#建筑消耗和buff配置索引'!BB:BB,MATCH($F225,'#建筑消耗和buff配置索引'!$M:$M,0))=0,"",INDEX('#建筑消耗和buff配置索引'!BB:BB,MATCH($F225,'#建筑消耗和buff配置索引'!$M:$M,0)))</f>
        <v/>
      </c>
      <c r="AK225" s="133" t="str">
        <f>IF(AJ225="","",INDEX('#建筑消耗和buff配置索引'!BC:BC,MATCH($F225,'#建筑消耗和buff配置索引'!$M:$M,0)))</f>
        <v/>
      </c>
      <c r="AN225" s="133" t="str">
        <f>IF(INDEX('#建筑消耗和buff配置索引'!BG:BG,MATCH($F225,'#建筑消耗和buff配置索引'!$M:$M,0))=0,"",INDEX('#建筑消耗和buff配置索引'!BG:BG,MATCH($F225,'#建筑消耗和buff配置索引'!$M:$M,0)))</f>
        <v/>
      </c>
      <c r="AO225" s="133" t="str">
        <f>IF(AN225="","",INDEX('#建筑消耗和buff配置索引'!BH:BH,MATCH($F225,'#建筑消耗和buff配置索引'!$M:$M,0)))</f>
        <v/>
      </c>
      <c r="AR225" s="133" t="str">
        <f>IF(INDEX('#建筑消耗和buff配置索引'!BK:BK,MATCH($F225,'#建筑消耗和buff配置索引'!$M:$M,0))=0,"",INDEX('#建筑消耗和buff配置索引'!BK:BK,MATCH($F225,'#建筑消耗和buff配置索引'!$M:$M,0)))</f>
        <v/>
      </c>
      <c r="AS225" s="133" t="str">
        <f>IF(AR225="","",INDEX('#建筑消耗和buff配置索引'!BL:BL,MATCH($F225,'#建筑消耗和buff配置索引'!$M:$M,0)))</f>
        <v/>
      </c>
      <c r="AV225" s="133" t="str">
        <f>IF(INDEX('#建筑消耗和buff配置索引'!BO:BO,MATCH($F225,'#建筑消耗和buff配置索引'!$M:$M,0))=0,"",INDEX('#建筑消耗和buff配置索引'!BO:BO,MATCH($F225,'#建筑消耗和buff配置索引'!$M:$M,0)))</f>
        <v/>
      </c>
      <c r="AW225" s="133" t="str">
        <f>IF(AV225="","",INDEX('#建筑消耗和buff配置索引'!BP:BP,MATCH($F225,'#建筑消耗和buff配置索引'!$M:$M,0)))</f>
        <v/>
      </c>
      <c r="AZ225" s="133" t="str">
        <f>IF(INDEX('#建筑消耗和buff配置索引'!BS:BS,MATCH($F225,'#建筑消耗和buff配置索引'!$M:$M,0))=0,"",INDEX('#建筑消耗和buff配置索引'!BS:BS,MATCH($F225,'#建筑消耗和buff配置索引'!$M:$M,0)))</f>
        <v/>
      </c>
      <c r="BA225" s="133" t="str">
        <f>IF(AZ225="","",INDEX('#建筑消耗和buff配置索引'!BT:BT,MATCH($F225,'#建筑消耗和buff配置索引'!$M:$M,0)))</f>
        <v/>
      </c>
      <c r="BD225" s="133" t="str">
        <f>IF(INDEX('#建筑消耗和buff配置索引'!BW:BW,MATCH($F225,'#建筑消耗和buff配置索引'!$M:$M,0))=0,"",INDEX('#建筑消耗和buff配置索引'!BW:BW,MATCH($F225,'#建筑消耗和buff配置索引'!$M:$M,0)))</f>
        <v/>
      </c>
      <c r="BE225" s="133" t="str">
        <f>IF(BD225="","",INDEX('#建筑消耗和buff配置索引'!BX:BX,MATCH($F225,'#建筑消耗和buff配置索引'!$M:$M,0)))</f>
        <v/>
      </c>
      <c r="BI225" s="133">
        <v>17</v>
      </c>
    </row>
    <row r="226" spans="1:61" s="133" customFormat="1">
      <c r="A226" s="133">
        <v>2150011</v>
      </c>
      <c r="B226" s="133">
        <v>223</v>
      </c>
      <c r="C226" s="133">
        <v>215</v>
      </c>
      <c r="D226" s="133" t="s">
        <v>418</v>
      </c>
      <c r="E226" s="133">
        <v>11</v>
      </c>
      <c r="F226" s="133" t="str">
        <f t="shared" si="5"/>
        <v>城墙11</v>
      </c>
      <c r="H226" s="146"/>
      <c r="I226" s="133">
        <v>1</v>
      </c>
      <c r="J226" s="150">
        <f>INDEX('#建筑消耗和buff配置索引'!AH:AH,MATCH($F226,'#建筑消耗和buff配置索引'!$M:$M,0))</f>
        <v>16200</v>
      </c>
      <c r="K226" s="150">
        <f>INDEX('#建筑消耗和buff配置索引'!AA:AA,MATCH($F226,'#建筑消耗和buff配置索引'!$M:$M,0))</f>
        <v>170000</v>
      </c>
      <c r="L226" s="150">
        <f>INDEX('#建筑消耗和buff配置索引'!AB:AB,MATCH($F226,'#建筑消耗和buff配置索引'!$M:$M,0))</f>
        <v>170000</v>
      </c>
      <c r="M226" s="150">
        <f>INDEX('#建筑消耗和buff配置索引'!AC:AC,MATCH($F226,'#建筑消耗和buff配置索引'!$M:$M,0))</f>
        <v>350000</v>
      </c>
      <c r="N226" s="150">
        <f>INDEX('#建筑消耗和buff配置索引'!AD:AD,MATCH($F226,'#建筑消耗和buff配置索引'!$M:$M,0))</f>
        <v>170000</v>
      </c>
      <c r="O226" s="150" t="str">
        <f>IF(INDEX('#建筑消耗和buff配置索引'!T:T,MATCH($F226,'#建筑消耗和buff配置索引'!$M:$M,0))=0,"",INDEX('#建筑消耗和buff配置索引'!T:T,MATCH($F226,'#建筑消耗和buff配置索引'!$M:$M,0)))</f>
        <v/>
      </c>
      <c r="P226" s="133" t="str">
        <f>IF(INDEX('#建筑消耗和buff配置索引'!U:U,MATCH($F226,'#建筑消耗和buff配置索引'!$M:$M,0))=0,"",INDEX('#建筑消耗和buff配置索引'!U:U,MATCH($F226,'#建筑消耗和buff配置索引'!$M:$M,0)))</f>
        <v/>
      </c>
      <c r="Q226" s="133" t="str">
        <f>IF(INDEX('#建筑消耗和buff配置索引'!K:K,MATCH($F226,'#建筑消耗和buff配置索引'!$M:$M,0))=0,"",INDEX('#建筑消耗和buff配置索引'!K:K,MATCH($F226,'#建筑消耗和buff配置索引'!$M:$M,0)))</f>
        <v>201;237</v>
      </c>
      <c r="R226" s="133" t="str">
        <f>IF(INDEX('#建筑消耗和buff配置索引'!L:L,MATCH($F226,'#建筑消耗和buff配置索引'!$M:$M,0))=0,"",INDEX('#建筑消耗和buff配置索引'!L:L,MATCH($F226,'#建筑消耗和buff配置索引'!$M:$M,0)))</f>
        <v>11;11</v>
      </c>
      <c r="S226" s="133">
        <f>IF(INDEX('#建筑消耗和buff配置索引'!C:C,MATCH(F226,'#建筑消耗和buff配置索引'!M:M,0))=0,1,INDEX('#建筑消耗和buff配置索引'!C:C,MATCH(F226,'#建筑消耗和buff配置索引'!M:M,0)))</f>
        <v>1</v>
      </c>
      <c r="T226" s="133">
        <v>0</v>
      </c>
      <c r="U226" s="133">
        <v>0</v>
      </c>
      <c r="V226" s="133" t="str">
        <f>IF(E226=1,IF(INDEX('#建筑消耗和buff配置索引'!BY:BY,MATCH(D226,'#建筑消耗和buff配置索引'!A:A,0))=0,"",INDEX('#建筑消耗和buff配置索引'!BY:BY,MATCH(D226,'#建筑消耗和buff配置索引'!A:A,0))),"")</f>
        <v/>
      </c>
      <c r="W226" s="133" t="str">
        <f>IF(E226=1,IF(INDEX('#建筑消耗和buff配置索引'!BZ:BZ,MATCH(D226,'#建筑消耗和buff配置索引'!A:A,0))=0,"",INDEX('#建筑消耗和buff配置索引'!BZ:BZ,MATCH(D226,'#建筑消耗和buff配置索引'!A:A,0))),"")</f>
        <v/>
      </c>
      <c r="AA226" s="133">
        <f>INDEX('#建筑消耗和buff配置索引'!AO:AO,MATCH($F226,'#建筑消耗和buff配置索引'!$M:$M,0))</f>
        <v>4617</v>
      </c>
      <c r="AB226" s="133">
        <f>IF(INDEX('#建筑消耗和buff配置索引'!AR:AR,MATCH($F226,'#建筑消耗和buff配置索引'!$M:$M,0))=0,"",INDEX('#建筑消耗和buff配置索引'!AR:AR,MATCH($F226,'#建筑消耗和buff配置索引'!$M:$M,0)))</f>
        <v>4004</v>
      </c>
      <c r="AC226" s="133">
        <f>IF(AB226="","",INDEX('#建筑消耗和buff配置索引'!AS:AS,MATCH($F226,'#建筑消耗和buff配置索引'!$M:$M,0)))</f>
        <v>300000</v>
      </c>
      <c r="AF226" s="133" t="str">
        <f>IF(INDEX('#建筑消耗和buff配置索引'!AW:AW,MATCH($F226,'#建筑消耗和buff配置索引'!$M:$M,0))=0,"",INDEX('#建筑消耗和buff配置索引'!AW:AW,MATCH($F226,'#建筑消耗和buff配置索引'!$M:$M,0)))</f>
        <v/>
      </c>
      <c r="AG226" s="133" t="str">
        <f>IF(AF226="","",INDEX('#建筑消耗和buff配置索引'!AX:AX,MATCH($F226,'#建筑消耗和buff配置索引'!$M:$M,0)))</f>
        <v/>
      </c>
      <c r="AJ226" s="133" t="str">
        <f>IF(INDEX('#建筑消耗和buff配置索引'!BB:BB,MATCH($F226,'#建筑消耗和buff配置索引'!$M:$M,0))=0,"",INDEX('#建筑消耗和buff配置索引'!BB:BB,MATCH($F226,'#建筑消耗和buff配置索引'!$M:$M,0)))</f>
        <v/>
      </c>
      <c r="AK226" s="133" t="str">
        <f>IF(AJ226="","",INDEX('#建筑消耗和buff配置索引'!BC:BC,MATCH($F226,'#建筑消耗和buff配置索引'!$M:$M,0)))</f>
        <v/>
      </c>
      <c r="AN226" s="133" t="str">
        <f>IF(INDEX('#建筑消耗和buff配置索引'!BG:BG,MATCH($F226,'#建筑消耗和buff配置索引'!$M:$M,0))=0,"",INDEX('#建筑消耗和buff配置索引'!BG:BG,MATCH($F226,'#建筑消耗和buff配置索引'!$M:$M,0)))</f>
        <v/>
      </c>
      <c r="AO226" s="133" t="str">
        <f>IF(AN226="","",INDEX('#建筑消耗和buff配置索引'!BH:BH,MATCH($F226,'#建筑消耗和buff配置索引'!$M:$M,0)))</f>
        <v/>
      </c>
      <c r="AR226" s="133" t="str">
        <f>IF(INDEX('#建筑消耗和buff配置索引'!BK:BK,MATCH($F226,'#建筑消耗和buff配置索引'!$M:$M,0))=0,"",INDEX('#建筑消耗和buff配置索引'!BK:BK,MATCH($F226,'#建筑消耗和buff配置索引'!$M:$M,0)))</f>
        <v/>
      </c>
      <c r="AS226" s="133" t="str">
        <f>IF(AR226="","",INDEX('#建筑消耗和buff配置索引'!BL:BL,MATCH($F226,'#建筑消耗和buff配置索引'!$M:$M,0)))</f>
        <v/>
      </c>
      <c r="AV226" s="133" t="str">
        <f>IF(INDEX('#建筑消耗和buff配置索引'!BO:BO,MATCH($F226,'#建筑消耗和buff配置索引'!$M:$M,0))=0,"",INDEX('#建筑消耗和buff配置索引'!BO:BO,MATCH($F226,'#建筑消耗和buff配置索引'!$M:$M,0)))</f>
        <v/>
      </c>
      <c r="AW226" s="133" t="str">
        <f>IF(AV226="","",INDEX('#建筑消耗和buff配置索引'!BP:BP,MATCH($F226,'#建筑消耗和buff配置索引'!$M:$M,0)))</f>
        <v/>
      </c>
      <c r="AZ226" s="133" t="str">
        <f>IF(INDEX('#建筑消耗和buff配置索引'!BS:BS,MATCH($F226,'#建筑消耗和buff配置索引'!$M:$M,0))=0,"",INDEX('#建筑消耗和buff配置索引'!BS:BS,MATCH($F226,'#建筑消耗和buff配置索引'!$M:$M,0)))</f>
        <v/>
      </c>
      <c r="BA226" s="133" t="str">
        <f>IF(AZ226="","",INDEX('#建筑消耗和buff配置索引'!BT:BT,MATCH($F226,'#建筑消耗和buff配置索引'!$M:$M,0)))</f>
        <v/>
      </c>
      <c r="BD226" s="133" t="str">
        <f>IF(INDEX('#建筑消耗和buff配置索引'!BW:BW,MATCH($F226,'#建筑消耗和buff配置索引'!$M:$M,0))=0,"",INDEX('#建筑消耗和buff配置索引'!BW:BW,MATCH($F226,'#建筑消耗和buff配置索引'!$M:$M,0)))</f>
        <v/>
      </c>
      <c r="BE226" s="133" t="str">
        <f>IF(BD226="","",INDEX('#建筑消耗和buff配置索引'!BX:BX,MATCH($F226,'#建筑消耗和buff配置索引'!$M:$M,0)))</f>
        <v/>
      </c>
      <c r="BI226" s="133">
        <v>17</v>
      </c>
    </row>
    <row r="227" spans="1:61" s="133" customFormat="1">
      <c r="A227" s="133">
        <v>2150012</v>
      </c>
      <c r="B227" s="133">
        <v>224</v>
      </c>
      <c r="C227" s="133">
        <v>215</v>
      </c>
      <c r="D227" s="133" t="s">
        <v>418</v>
      </c>
      <c r="E227" s="133">
        <v>12</v>
      </c>
      <c r="F227" s="133" t="str">
        <f t="shared" si="5"/>
        <v>城墙12</v>
      </c>
      <c r="H227" s="146"/>
      <c r="I227" s="133">
        <v>2</v>
      </c>
      <c r="J227" s="150">
        <f>INDEX('#建筑消耗和buff配置索引'!AH:AH,MATCH($F227,'#建筑消耗和buff配置索引'!$M:$M,0))</f>
        <v>21600</v>
      </c>
      <c r="K227" s="150">
        <f>INDEX('#建筑消耗和buff配置索引'!AA:AA,MATCH($F227,'#建筑消耗和buff配置索引'!$M:$M,0))</f>
        <v>250000</v>
      </c>
      <c r="L227" s="150">
        <f>INDEX('#建筑消耗和buff配置索引'!AB:AB,MATCH($F227,'#建筑消耗和buff配置索引'!$M:$M,0))</f>
        <v>250000</v>
      </c>
      <c r="M227" s="150">
        <f>INDEX('#建筑消耗和buff配置索引'!AC:AC,MATCH($F227,'#建筑消耗和buff配置索引'!$M:$M,0))</f>
        <v>500000</v>
      </c>
      <c r="N227" s="150">
        <f>INDEX('#建筑消耗和buff配置索引'!AD:AD,MATCH($F227,'#建筑消耗和buff配置索引'!$M:$M,0))</f>
        <v>250000</v>
      </c>
      <c r="O227" s="150" t="str">
        <f>IF(INDEX('#建筑消耗和buff配置索引'!T:T,MATCH($F227,'#建筑消耗和buff配置索引'!$M:$M,0))=0,"",INDEX('#建筑消耗和buff配置索引'!T:T,MATCH($F227,'#建筑消耗和buff配置索引'!$M:$M,0)))</f>
        <v/>
      </c>
      <c r="P227" s="133" t="str">
        <f>IF(INDEX('#建筑消耗和buff配置索引'!U:U,MATCH($F227,'#建筑消耗和buff配置索引'!$M:$M,0))=0,"",INDEX('#建筑消耗和buff配置索引'!U:U,MATCH($F227,'#建筑消耗和buff配置索引'!$M:$M,0)))</f>
        <v/>
      </c>
      <c r="Q227" s="133" t="str">
        <f>IF(INDEX('#建筑消耗和buff配置索引'!K:K,MATCH($F227,'#建筑消耗和buff配置索引'!$M:$M,0))=0,"",INDEX('#建筑消耗和buff配置索引'!K:K,MATCH($F227,'#建筑消耗和buff配置索引'!$M:$M,0)))</f>
        <v>201;237</v>
      </c>
      <c r="R227" s="133" t="str">
        <f>IF(INDEX('#建筑消耗和buff配置索引'!L:L,MATCH($F227,'#建筑消耗和buff配置索引'!$M:$M,0))=0,"",INDEX('#建筑消耗和buff配置索引'!L:L,MATCH($F227,'#建筑消耗和buff配置索引'!$M:$M,0)))</f>
        <v>12;12</v>
      </c>
      <c r="S227" s="133">
        <f>IF(INDEX('#建筑消耗和buff配置索引'!C:C,MATCH(F227,'#建筑消耗和buff配置索引'!M:M,0))=0,1,INDEX('#建筑消耗和buff配置索引'!C:C,MATCH(F227,'#建筑消耗和buff配置索引'!M:M,0)))</f>
        <v>1</v>
      </c>
      <c r="T227" s="133">
        <v>0</v>
      </c>
      <c r="U227" s="133">
        <v>0</v>
      </c>
      <c r="V227" s="133" t="str">
        <f>IF(E227=1,IF(INDEX('#建筑消耗和buff配置索引'!BY:BY,MATCH(D227,'#建筑消耗和buff配置索引'!A:A,0))=0,"",INDEX('#建筑消耗和buff配置索引'!BY:BY,MATCH(D227,'#建筑消耗和buff配置索引'!A:A,0))),"")</f>
        <v/>
      </c>
      <c r="W227" s="133" t="str">
        <f>IF(E227=1,IF(INDEX('#建筑消耗和buff配置索引'!BZ:BZ,MATCH(D227,'#建筑消耗和buff配置索引'!A:A,0))=0,"",INDEX('#建筑消耗和buff配置索引'!BZ:BZ,MATCH(D227,'#建筑消耗和buff配置索引'!A:A,0))),"")</f>
        <v/>
      </c>
      <c r="AA227" s="133">
        <f>INDEX('#建筑消耗和buff配置索引'!AO:AO,MATCH($F227,'#建筑消耗和buff配置索引'!$M:$M,0))</f>
        <v>7123</v>
      </c>
      <c r="AB227" s="133">
        <f>IF(INDEX('#建筑消耗和buff配置索引'!AR:AR,MATCH($F227,'#建筑消耗和buff配置索引'!$M:$M,0))=0,"",INDEX('#建筑消耗和buff配置索引'!AR:AR,MATCH($F227,'#建筑消耗和buff配置索引'!$M:$M,0)))</f>
        <v>4004</v>
      </c>
      <c r="AC227" s="133">
        <f>IF(AB227="","",INDEX('#建筑消耗和buff配置索引'!AS:AS,MATCH($F227,'#建筑消耗和buff配置索引'!$M:$M,0)))</f>
        <v>320000</v>
      </c>
      <c r="AF227" s="133" t="str">
        <f>IF(INDEX('#建筑消耗和buff配置索引'!AW:AW,MATCH($F227,'#建筑消耗和buff配置索引'!$M:$M,0))=0,"",INDEX('#建筑消耗和buff配置索引'!AW:AW,MATCH($F227,'#建筑消耗和buff配置索引'!$M:$M,0)))</f>
        <v/>
      </c>
      <c r="AG227" s="133" t="str">
        <f>IF(AF227="","",INDEX('#建筑消耗和buff配置索引'!AX:AX,MATCH($F227,'#建筑消耗和buff配置索引'!$M:$M,0)))</f>
        <v/>
      </c>
      <c r="AJ227" s="133" t="str">
        <f>IF(INDEX('#建筑消耗和buff配置索引'!BB:BB,MATCH($F227,'#建筑消耗和buff配置索引'!$M:$M,0))=0,"",INDEX('#建筑消耗和buff配置索引'!BB:BB,MATCH($F227,'#建筑消耗和buff配置索引'!$M:$M,0)))</f>
        <v/>
      </c>
      <c r="AK227" s="133" t="str">
        <f>IF(AJ227="","",INDEX('#建筑消耗和buff配置索引'!BC:BC,MATCH($F227,'#建筑消耗和buff配置索引'!$M:$M,0)))</f>
        <v/>
      </c>
      <c r="AN227" s="133" t="str">
        <f>IF(INDEX('#建筑消耗和buff配置索引'!BG:BG,MATCH($F227,'#建筑消耗和buff配置索引'!$M:$M,0))=0,"",INDEX('#建筑消耗和buff配置索引'!BG:BG,MATCH($F227,'#建筑消耗和buff配置索引'!$M:$M,0)))</f>
        <v/>
      </c>
      <c r="AO227" s="133" t="str">
        <f>IF(AN227="","",INDEX('#建筑消耗和buff配置索引'!BH:BH,MATCH($F227,'#建筑消耗和buff配置索引'!$M:$M,0)))</f>
        <v/>
      </c>
      <c r="AR227" s="133" t="str">
        <f>IF(INDEX('#建筑消耗和buff配置索引'!BK:BK,MATCH($F227,'#建筑消耗和buff配置索引'!$M:$M,0))=0,"",INDEX('#建筑消耗和buff配置索引'!BK:BK,MATCH($F227,'#建筑消耗和buff配置索引'!$M:$M,0)))</f>
        <v/>
      </c>
      <c r="AS227" s="133" t="str">
        <f>IF(AR227="","",INDEX('#建筑消耗和buff配置索引'!BL:BL,MATCH($F227,'#建筑消耗和buff配置索引'!$M:$M,0)))</f>
        <v/>
      </c>
      <c r="AV227" s="133" t="str">
        <f>IF(INDEX('#建筑消耗和buff配置索引'!BO:BO,MATCH($F227,'#建筑消耗和buff配置索引'!$M:$M,0))=0,"",INDEX('#建筑消耗和buff配置索引'!BO:BO,MATCH($F227,'#建筑消耗和buff配置索引'!$M:$M,0)))</f>
        <v/>
      </c>
      <c r="AW227" s="133" t="str">
        <f>IF(AV227="","",INDEX('#建筑消耗和buff配置索引'!BP:BP,MATCH($F227,'#建筑消耗和buff配置索引'!$M:$M,0)))</f>
        <v/>
      </c>
      <c r="AZ227" s="133" t="str">
        <f>IF(INDEX('#建筑消耗和buff配置索引'!BS:BS,MATCH($F227,'#建筑消耗和buff配置索引'!$M:$M,0))=0,"",INDEX('#建筑消耗和buff配置索引'!BS:BS,MATCH($F227,'#建筑消耗和buff配置索引'!$M:$M,0)))</f>
        <v/>
      </c>
      <c r="BA227" s="133" t="str">
        <f>IF(AZ227="","",INDEX('#建筑消耗和buff配置索引'!BT:BT,MATCH($F227,'#建筑消耗和buff配置索引'!$M:$M,0)))</f>
        <v/>
      </c>
      <c r="BD227" s="133" t="str">
        <f>IF(INDEX('#建筑消耗和buff配置索引'!BW:BW,MATCH($F227,'#建筑消耗和buff配置索引'!$M:$M,0))=0,"",INDEX('#建筑消耗和buff配置索引'!BW:BW,MATCH($F227,'#建筑消耗和buff配置索引'!$M:$M,0)))</f>
        <v/>
      </c>
      <c r="BE227" s="133" t="str">
        <f>IF(BD227="","",INDEX('#建筑消耗和buff配置索引'!BX:BX,MATCH($F227,'#建筑消耗和buff配置索引'!$M:$M,0)))</f>
        <v/>
      </c>
      <c r="BI227" s="133">
        <v>17</v>
      </c>
    </row>
    <row r="228" spans="1:61" s="133" customFormat="1">
      <c r="A228" s="133">
        <v>2150013</v>
      </c>
      <c r="B228" s="133">
        <v>225</v>
      </c>
      <c r="C228" s="133">
        <v>215</v>
      </c>
      <c r="D228" s="133" t="s">
        <v>418</v>
      </c>
      <c r="E228" s="133">
        <v>13</v>
      </c>
      <c r="F228" s="133" t="str">
        <f t="shared" si="5"/>
        <v>城墙13</v>
      </c>
      <c r="H228" s="146"/>
      <c r="I228" s="133">
        <v>2</v>
      </c>
      <c r="J228" s="150">
        <f>INDEX('#建筑消耗和buff配置索引'!AH:AH,MATCH($F228,'#建筑消耗和buff配置索引'!$M:$M,0))</f>
        <v>28800</v>
      </c>
      <c r="K228" s="150">
        <f>INDEX('#建筑消耗和buff配置索引'!AA:AA,MATCH($F228,'#建筑消耗和buff配置索引'!$M:$M,0))</f>
        <v>340000</v>
      </c>
      <c r="L228" s="150">
        <f>INDEX('#建筑消耗和buff配置索引'!AB:AB,MATCH($F228,'#建筑消耗和buff配置索引'!$M:$M,0))</f>
        <v>340000</v>
      </c>
      <c r="M228" s="150">
        <f>INDEX('#建筑消耗和buff配置索引'!AC:AC,MATCH($F228,'#建筑消耗和buff配置索引'!$M:$M,0))</f>
        <v>690000</v>
      </c>
      <c r="N228" s="150">
        <f>INDEX('#建筑消耗和buff配置索引'!AD:AD,MATCH($F228,'#建筑消耗和buff配置索引'!$M:$M,0))</f>
        <v>340000</v>
      </c>
      <c r="O228" s="150" t="str">
        <f>IF(INDEX('#建筑消耗和buff配置索引'!T:T,MATCH($F228,'#建筑消耗和buff配置索引'!$M:$M,0))=0,"",INDEX('#建筑消耗和buff配置索引'!T:T,MATCH($F228,'#建筑消耗和buff配置索引'!$M:$M,0)))</f>
        <v/>
      </c>
      <c r="P228" s="133" t="str">
        <f>IF(INDEX('#建筑消耗和buff配置索引'!U:U,MATCH($F228,'#建筑消耗和buff配置索引'!$M:$M,0))=0,"",INDEX('#建筑消耗和buff配置索引'!U:U,MATCH($F228,'#建筑消耗和buff配置索引'!$M:$M,0)))</f>
        <v/>
      </c>
      <c r="Q228" s="133" t="str">
        <f>IF(INDEX('#建筑消耗和buff配置索引'!K:K,MATCH($F228,'#建筑消耗和buff配置索引'!$M:$M,0))=0,"",INDEX('#建筑消耗和buff配置索引'!K:K,MATCH($F228,'#建筑消耗和buff配置索引'!$M:$M,0)))</f>
        <v>201;237</v>
      </c>
      <c r="R228" s="133" t="str">
        <f>IF(INDEX('#建筑消耗和buff配置索引'!L:L,MATCH($F228,'#建筑消耗和buff配置索引'!$M:$M,0))=0,"",INDEX('#建筑消耗和buff配置索引'!L:L,MATCH($F228,'#建筑消耗和buff配置索引'!$M:$M,0)))</f>
        <v>13;13</v>
      </c>
      <c r="S228" s="133">
        <f>IF(INDEX('#建筑消耗和buff配置索引'!C:C,MATCH(F228,'#建筑消耗和buff配置索引'!M:M,0))=0,1,INDEX('#建筑消耗和buff配置索引'!C:C,MATCH(F228,'#建筑消耗和buff配置索引'!M:M,0)))</f>
        <v>1</v>
      </c>
      <c r="T228" s="133">
        <v>0</v>
      </c>
      <c r="U228" s="133">
        <v>0</v>
      </c>
      <c r="V228" s="133" t="str">
        <f>IF(E228=1,IF(INDEX('#建筑消耗和buff配置索引'!BY:BY,MATCH(D228,'#建筑消耗和buff配置索引'!A:A,0))=0,"",INDEX('#建筑消耗和buff配置索引'!BY:BY,MATCH(D228,'#建筑消耗和buff配置索引'!A:A,0))),"")</f>
        <v/>
      </c>
      <c r="W228" s="133" t="str">
        <f>IF(E228=1,IF(INDEX('#建筑消耗和buff配置索引'!BZ:BZ,MATCH(D228,'#建筑消耗和buff配置索引'!A:A,0))=0,"",INDEX('#建筑消耗和buff配置索引'!BZ:BZ,MATCH(D228,'#建筑消耗和buff配置索引'!A:A,0))),"")</f>
        <v/>
      </c>
      <c r="AA228" s="133">
        <f>INDEX('#建筑消耗和buff配置索引'!AO:AO,MATCH($F228,'#建筑消耗和buff配置索引'!$M:$M,0))</f>
        <v>10556</v>
      </c>
      <c r="AB228" s="133">
        <f>IF(INDEX('#建筑消耗和buff配置索引'!AR:AR,MATCH($F228,'#建筑消耗和buff配置索引'!$M:$M,0))=0,"",INDEX('#建筑消耗和buff配置索引'!AR:AR,MATCH($F228,'#建筑消耗和buff配置索引'!$M:$M,0)))</f>
        <v>4004</v>
      </c>
      <c r="AC228" s="133">
        <f>IF(AB228="","",INDEX('#建筑消耗和buff配置索引'!AS:AS,MATCH($F228,'#建筑消耗和buff配置索引'!$M:$M,0)))</f>
        <v>340000</v>
      </c>
      <c r="AF228" s="133" t="str">
        <f>IF(INDEX('#建筑消耗和buff配置索引'!AW:AW,MATCH($F228,'#建筑消耗和buff配置索引'!$M:$M,0))=0,"",INDEX('#建筑消耗和buff配置索引'!AW:AW,MATCH($F228,'#建筑消耗和buff配置索引'!$M:$M,0)))</f>
        <v/>
      </c>
      <c r="AG228" s="133" t="str">
        <f>IF(AF228="","",INDEX('#建筑消耗和buff配置索引'!AX:AX,MATCH($F228,'#建筑消耗和buff配置索引'!$M:$M,0)))</f>
        <v/>
      </c>
      <c r="AJ228" s="133" t="str">
        <f>IF(INDEX('#建筑消耗和buff配置索引'!BB:BB,MATCH($F228,'#建筑消耗和buff配置索引'!$M:$M,0))=0,"",INDEX('#建筑消耗和buff配置索引'!BB:BB,MATCH($F228,'#建筑消耗和buff配置索引'!$M:$M,0)))</f>
        <v/>
      </c>
      <c r="AK228" s="133" t="str">
        <f>IF(AJ228="","",INDEX('#建筑消耗和buff配置索引'!BC:BC,MATCH($F228,'#建筑消耗和buff配置索引'!$M:$M,0)))</f>
        <v/>
      </c>
      <c r="AN228" s="133" t="str">
        <f>IF(INDEX('#建筑消耗和buff配置索引'!BG:BG,MATCH($F228,'#建筑消耗和buff配置索引'!$M:$M,0))=0,"",INDEX('#建筑消耗和buff配置索引'!BG:BG,MATCH($F228,'#建筑消耗和buff配置索引'!$M:$M,0)))</f>
        <v/>
      </c>
      <c r="AO228" s="133" t="str">
        <f>IF(AN228="","",INDEX('#建筑消耗和buff配置索引'!BH:BH,MATCH($F228,'#建筑消耗和buff配置索引'!$M:$M,0)))</f>
        <v/>
      </c>
      <c r="AR228" s="133" t="str">
        <f>IF(INDEX('#建筑消耗和buff配置索引'!BK:BK,MATCH($F228,'#建筑消耗和buff配置索引'!$M:$M,0))=0,"",INDEX('#建筑消耗和buff配置索引'!BK:BK,MATCH($F228,'#建筑消耗和buff配置索引'!$M:$M,0)))</f>
        <v/>
      </c>
      <c r="AS228" s="133" t="str">
        <f>IF(AR228="","",INDEX('#建筑消耗和buff配置索引'!BL:BL,MATCH($F228,'#建筑消耗和buff配置索引'!$M:$M,0)))</f>
        <v/>
      </c>
      <c r="AV228" s="133" t="str">
        <f>IF(INDEX('#建筑消耗和buff配置索引'!BO:BO,MATCH($F228,'#建筑消耗和buff配置索引'!$M:$M,0))=0,"",INDEX('#建筑消耗和buff配置索引'!BO:BO,MATCH($F228,'#建筑消耗和buff配置索引'!$M:$M,0)))</f>
        <v/>
      </c>
      <c r="AW228" s="133" t="str">
        <f>IF(AV228="","",INDEX('#建筑消耗和buff配置索引'!BP:BP,MATCH($F228,'#建筑消耗和buff配置索引'!$M:$M,0)))</f>
        <v/>
      </c>
      <c r="AZ228" s="133" t="str">
        <f>IF(INDEX('#建筑消耗和buff配置索引'!BS:BS,MATCH($F228,'#建筑消耗和buff配置索引'!$M:$M,0))=0,"",INDEX('#建筑消耗和buff配置索引'!BS:BS,MATCH($F228,'#建筑消耗和buff配置索引'!$M:$M,0)))</f>
        <v/>
      </c>
      <c r="BA228" s="133" t="str">
        <f>IF(AZ228="","",INDEX('#建筑消耗和buff配置索引'!BT:BT,MATCH($F228,'#建筑消耗和buff配置索引'!$M:$M,0)))</f>
        <v/>
      </c>
      <c r="BD228" s="133" t="str">
        <f>IF(INDEX('#建筑消耗和buff配置索引'!BW:BW,MATCH($F228,'#建筑消耗和buff配置索引'!$M:$M,0))=0,"",INDEX('#建筑消耗和buff配置索引'!BW:BW,MATCH($F228,'#建筑消耗和buff配置索引'!$M:$M,0)))</f>
        <v/>
      </c>
      <c r="BE228" s="133" t="str">
        <f>IF(BD228="","",INDEX('#建筑消耗和buff配置索引'!BX:BX,MATCH($F228,'#建筑消耗和buff配置索引'!$M:$M,0)))</f>
        <v/>
      </c>
      <c r="BI228" s="133">
        <v>17</v>
      </c>
    </row>
    <row r="229" spans="1:61" s="133" customFormat="1">
      <c r="A229" s="133">
        <v>2150014</v>
      </c>
      <c r="B229" s="133">
        <v>226</v>
      </c>
      <c r="C229" s="133">
        <v>215</v>
      </c>
      <c r="D229" s="133" t="s">
        <v>418</v>
      </c>
      <c r="E229" s="133">
        <v>14</v>
      </c>
      <c r="F229" s="133" t="str">
        <f t="shared" si="5"/>
        <v>城墙14</v>
      </c>
      <c r="H229" s="146"/>
      <c r="I229" s="133">
        <v>2</v>
      </c>
      <c r="J229" s="150">
        <f>INDEX('#建筑消耗和buff配置索引'!AH:AH,MATCH($F229,'#建筑消耗和buff配置索引'!$M:$M,0))</f>
        <v>36000</v>
      </c>
      <c r="K229" s="150">
        <f>INDEX('#建筑消耗和buff配置索引'!AA:AA,MATCH($F229,'#建筑消耗和buff配置索引'!$M:$M,0))</f>
        <v>450000</v>
      </c>
      <c r="L229" s="150">
        <f>INDEX('#建筑消耗和buff配置索引'!AB:AB,MATCH($F229,'#建筑消耗和buff配置索引'!$M:$M,0))</f>
        <v>450000</v>
      </c>
      <c r="M229" s="150">
        <f>INDEX('#建筑消耗和buff配置索引'!AC:AC,MATCH($F229,'#建筑消耗和buff配置索引'!$M:$M,0))</f>
        <v>890000</v>
      </c>
      <c r="N229" s="150">
        <f>INDEX('#建筑消耗和buff配置索引'!AD:AD,MATCH($F229,'#建筑消耗和buff配置索引'!$M:$M,0))</f>
        <v>450000</v>
      </c>
      <c r="O229" s="150" t="str">
        <f>IF(INDEX('#建筑消耗和buff配置索引'!T:T,MATCH($F229,'#建筑消耗和buff配置索引'!$M:$M,0))=0,"",INDEX('#建筑消耗和buff配置索引'!T:T,MATCH($F229,'#建筑消耗和buff配置索引'!$M:$M,0)))</f>
        <v/>
      </c>
      <c r="P229" s="133" t="str">
        <f>IF(INDEX('#建筑消耗和buff配置索引'!U:U,MATCH($F229,'#建筑消耗和buff配置索引'!$M:$M,0))=0,"",INDEX('#建筑消耗和buff配置索引'!U:U,MATCH($F229,'#建筑消耗和buff配置索引'!$M:$M,0)))</f>
        <v/>
      </c>
      <c r="Q229" s="133" t="str">
        <f>IF(INDEX('#建筑消耗和buff配置索引'!K:K,MATCH($F229,'#建筑消耗和buff配置索引'!$M:$M,0))=0,"",INDEX('#建筑消耗和buff配置索引'!K:K,MATCH($F229,'#建筑消耗和buff配置索引'!$M:$M,0)))</f>
        <v>201;237</v>
      </c>
      <c r="R229" s="133" t="str">
        <f>IF(INDEX('#建筑消耗和buff配置索引'!L:L,MATCH($F229,'#建筑消耗和buff配置索引'!$M:$M,0))=0,"",INDEX('#建筑消耗和buff配置索引'!L:L,MATCH($F229,'#建筑消耗和buff配置索引'!$M:$M,0)))</f>
        <v>14;14</v>
      </c>
      <c r="S229" s="133">
        <f>IF(INDEX('#建筑消耗和buff配置索引'!C:C,MATCH(F229,'#建筑消耗和buff配置索引'!M:M,0))=0,1,INDEX('#建筑消耗和buff配置索引'!C:C,MATCH(F229,'#建筑消耗和buff配置索引'!M:M,0)))</f>
        <v>1</v>
      </c>
      <c r="T229" s="133">
        <v>0</v>
      </c>
      <c r="U229" s="133">
        <v>0</v>
      </c>
      <c r="V229" s="133" t="str">
        <f>IF(E229=1,IF(INDEX('#建筑消耗和buff配置索引'!BY:BY,MATCH(D229,'#建筑消耗和buff配置索引'!A:A,0))=0,"",INDEX('#建筑消耗和buff配置索引'!BY:BY,MATCH(D229,'#建筑消耗和buff配置索引'!A:A,0))),"")</f>
        <v/>
      </c>
      <c r="W229" s="133" t="str">
        <f>IF(E229=1,IF(INDEX('#建筑消耗和buff配置索引'!BZ:BZ,MATCH(D229,'#建筑消耗和buff配置索引'!A:A,0))=0,"",INDEX('#建筑消耗和buff配置索引'!BZ:BZ,MATCH(D229,'#建筑消耗和buff配置索引'!A:A,0))),"")</f>
        <v/>
      </c>
      <c r="AA229" s="133">
        <f>INDEX('#建筑消耗和buff配置索引'!AO:AO,MATCH($F229,'#建筑消耗和buff配置索引'!$M:$M,0))</f>
        <v>15019</v>
      </c>
      <c r="AB229" s="133">
        <f>IF(INDEX('#建筑消耗和buff配置索引'!AR:AR,MATCH($F229,'#建筑消耗和buff配置索引'!$M:$M,0))=0,"",INDEX('#建筑消耗和buff配置索引'!AR:AR,MATCH($F229,'#建筑消耗和buff配置索引'!$M:$M,0)))</f>
        <v>4004</v>
      </c>
      <c r="AC229" s="133">
        <f>IF(AB229="","",INDEX('#建筑消耗和buff配置索引'!AS:AS,MATCH($F229,'#建筑消耗和buff配置索引'!$M:$M,0)))</f>
        <v>370000</v>
      </c>
      <c r="AF229" s="133" t="str">
        <f>IF(INDEX('#建筑消耗和buff配置索引'!AW:AW,MATCH($F229,'#建筑消耗和buff配置索引'!$M:$M,0))=0,"",INDEX('#建筑消耗和buff配置索引'!AW:AW,MATCH($F229,'#建筑消耗和buff配置索引'!$M:$M,0)))</f>
        <v/>
      </c>
      <c r="AG229" s="133" t="str">
        <f>IF(AF229="","",INDEX('#建筑消耗和buff配置索引'!AX:AX,MATCH($F229,'#建筑消耗和buff配置索引'!$M:$M,0)))</f>
        <v/>
      </c>
      <c r="AJ229" s="133" t="str">
        <f>IF(INDEX('#建筑消耗和buff配置索引'!BB:BB,MATCH($F229,'#建筑消耗和buff配置索引'!$M:$M,0))=0,"",INDEX('#建筑消耗和buff配置索引'!BB:BB,MATCH($F229,'#建筑消耗和buff配置索引'!$M:$M,0)))</f>
        <v/>
      </c>
      <c r="AK229" s="133" t="str">
        <f>IF(AJ229="","",INDEX('#建筑消耗和buff配置索引'!BC:BC,MATCH($F229,'#建筑消耗和buff配置索引'!$M:$M,0)))</f>
        <v/>
      </c>
      <c r="AN229" s="133" t="str">
        <f>IF(INDEX('#建筑消耗和buff配置索引'!BG:BG,MATCH($F229,'#建筑消耗和buff配置索引'!$M:$M,0))=0,"",INDEX('#建筑消耗和buff配置索引'!BG:BG,MATCH($F229,'#建筑消耗和buff配置索引'!$M:$M,0)))</f>
        <v/>
      </c>
      <c r="AO229" s="133" t="str">
        <f>IF(AN229="","",INDEX('#建筑消耗和buff配置索引'!BH:BH,MATCH($F229,'#建筑消耗和buff配置索引'!$M:$M,0)))</f>
        <v/>
      </c>
      <c r="AR229" s="133" t="str">
        <f>IF(INDEX('#建筑消耗和buff配置索引'!BK:BK,MATCH($F229,'#建筑消耗和buff配置索引'!$M:$M,0))=0,"",INDEX('#建筑消耗和buff配置索引'!BK:BK,MATCH($F229,'#建筑消耗和buff配置索引'!$M:$M,0)))</f>
        <v/>
      </c>
      <c r="AS229" s="133" t="str">
        <f>IF(AR229="","",INDEX('#建筑消耗和buff配置索引'!BL:BL,MATCH($F229,'#建筑消耗和buff配置索引'!$M:$M,0)))</f>
        <v/>
      </c>
      <c r="AV229" s="133" t="str">
        <f>IF(INDEX('#建筑消耗和buff配置索引'!BO:BO,MATCH($F229,'#建筑消耗和buff配置索引'!$M:$M,0))=0,"",INDEX('#建筑消耗和buff配置索引'!BO:BO,MATCH($F229,'#建筑消耗和buff配置索引'!$M:$M,0)))</f>
        <v/>
      </c>
      <c r="AW229" s="133" t="str">
        <f>IF(AV229="","",INDEX('#建筑消耗和buff配置索引'!BP:BP,MATCH($F229,'#建筑消耗和buff配置索引'!$M:$M,0)))</f>
        <v/>
      </c>
      <c r="AZ229" s="133" t="str">
        <f>IF(INDEX('#建筑消耗和buff配置索引'!BS:BS,MATCH($F229,'#建筑消耗和buff配置索引'!$M:$M,0))=0,"",INDEX('#建筑消耗和buff配置索引'!BS:BS,MATCH($F229,'#建筑消耗和buff配置索引'!$M:$M,0)))</f>
        <v/>
      </c>
      <c r="BA229" s="133" t="str">
        <f>IF(AZ229="","",INDEX('#建筑消耗和buff配置索引'!BT:BT,MATCH($F229,'#建筑消耗和buff配置索引'!$M:$M,0)))</f>
        <v/>
      </c>
      <c r="BD229" s="133" t="str">
        <f>IF(INDEX('#建筑消耗和buff配置索引'!BW:BW,MATCH($F229,'#建筑消耗和buff配置索引'!$M:$M,0))=0,"",INDEX('#建筑消耗和buff配置索引'!BW:BW,MATCH($F229,'#建筑消耗和buff配置索引'!$M:$M,0)))</f>
        <v/>
      </c>
      <c r="BE229" s="133" t="str">
        <f>IF(BD229="","",INDEX('#建筑消耗和buff配置索引'!BX:BX,MATCH($F229,'#建筑消耗和buff配置索引'!$M:$M,0)))</f>
        <v/>
      </c>
      <c r="BI229" s="133">
        <v>17</v>
      </c>
    </row>
    <row r="230" spans="1:61" s="133" customFormat="1">
      <c r="A230" s="133">
        <v>2150015</v>
      </c>
      <c r="B230" s="133">
        <v>227</v>
      </c>
      <c r="C230" s="133">
        <v>215</v>
      </c>
      <c r="D230" s="133" t="s">
        <v>418</v>
      </c>
      <c r="E230" s="133">
        <v>15</v>
      </c>
      <c r="F230" s="133" t="str">
        <f t="shared" si="5"/>
        <v>城墙15</v>
      </c>
      <c r="H230" s="146"/>
      <c r="I230" s="133">
        <v>2</v>
      </c>
      <c r="J230" s="150">
        <f>INDEX('#建筑消耗和buff配置索引'!AH:AH,MATCH($F230,'#建筑消耗和buff配置索引'!$M:$M,0))</f>
        <v>43200</v>
      </c>
      <c r="K230" s="150">
        <f>INDEX('#建筑消耗和buff配置索引'!AA:AA,MATCH($F230,'#建筑消耗和buff配置索引'!$M:$M,0))</f>
        <v>570000</v>
      </c>
      <c r="L230" s="150">
        <f>INDEX('#建筑消耗和buff配置索引'!AB:AB,MATCH($F230,'#建筑消耗和buff配置索引'!$M:$M,0))</f>
        <v>570000</v>
      </c>
      <c r="M230" s="150">
        <f>INDEX('#建筑消耗和buff配置索引'!AC:AC,MATCH($F230,'#建筑消耗和buff配置索引'!$M:$M,0))</f>
        <v>1100000</v>
      </c>
      <c r="N230" s="150">
        <f>INDEX('#建筑消耗和buff配置索引'!AD:AD,MATCH($F230,'#建筑消耗和buff配置索引'!$M:$M,0))</f>
        <v>570000</v>
      </c>
      <c r="O230" s="150" t="str">
        <f>IF(INDEX('#建筑消耗和buff配置索引'!T:T,MATCH($F230,'#建筑消耗和buff配置索引'!$M:$M,0))=0,"",INDEX('#建筑消耗和buff配置索引'!T:T,MATCH($F230,'#建筑消耗和buff配置索引'!$M:$M,0)))</f>
        <v/>
      </c>
      <c r="P230" s="133" t="str">
        <f>IF(INDEX('#建筑消耗和buff配置索引'!U:U,MATCH($F230,'#建筑消耗和buff配置索引'!$M:$M,0))=0,"",INDEX('#建筑消耗和buff配置索引'!U:U,MATCH($F230,'#建筑消耗和buff配置索引'!$M:$M,0)))</f>
        <v/>
      </c>
      <c r="Q230" s="133" t="str">
        <f>IF(INDEX('#建筑消耗和buff配置索引'!K:K,MATCH($F230,'#建筑消耗和buff配置索引'!$M:$M,0))=0,"",INDEX('#建筑消耗和buff配置索引'!K:K,MATCH($F230,'#建筑消耗和buff配置索引'!$M:$M,0)))</f>
        <v>201;237</v>
      </c>
      <c r="R230" s="133" t="str">
        <f>IF(INDEX('#建筑消耗和buff配置索引'!L:L,MATCH($F230,'#建筑消耗和buff配置索引'!$M:$M,0))=0,"",INDEX('#建筑消耗和buff配置索引'!L:L,MATCH($F230,'#建筑消耗和buff配置索引'!$M:$M,0)))</f>
        <v>15;15</v>
      </c>
      <c r="S230" s="133">
        <f>IF(INDEX('#建筑消耗和buff配置索引'!C:C,MATCH(F230,'#建筑消耗和buff配置索引'!M:M,0))=0,1,INDEX('#建筑消耗和buff配置索引'!C:C,MATCH(F230,'#建筑消耗和buff配置索引'!M:M,0)))</f>
        <v>1</v>
      </c>
      <c r="T230" s="133">
        <v>0</v>
      </c>
      <c r="U230" s="133">
        <v>0</v>
      </c>
      <c r="V230" s="133" t="str">
        <f>IF(E230=1,IF(INDEX('#建筑消耗和buff配置索引'!BY:BY,MATCH(D230,'#建筑消耗和buff配置索引'!A:A,0))=0,"",INDEX('#建筑消耗和buff配置索引'!BY:BY,MATCH(D230,'#建筑消耗和buff配置索引'!A:A,0))),"")</f>
        <v/>
      </c>
      <c r="W230" s="133" t="str">
        <f>IF(E230=1,IF(INDEX('#建筑消耗和buff配置索引'!BZ:BZ,MATCH(D230,'#建筑消耗和buff配置索引'!A:A,0))=0,"",INDEX('#建筑消耗和buff配置索引'!BZ:BZ,MATCH(D230,'#建筑消耗和buff配置索引'!A:A,0))),"")</f>
        <v/>
      </c>
      <c r="AA230" s="133">
        <f>INDEX('#建筑消耗和buff配置索引'!AO:AO,MATCH($F230,'#建筑消耗和buff配置索引'!$M:$M,0))</f>
        <v>20732</v>
      </c>
      <c r="AB230" s="133">
        <f>IF(INDEX('#建筑消耗和buff配置索引'!AR:AR,MATCH($F230,'#建筑消耗和buff配置索引'!$M:$M,0))=0,"",INDEX('#建筑消耗和buff配置索引'!AR:AR,MATCH($F230,'#建筑消耗和buff配置索引'!$M:$M,0)))</f>
        <v>4004</v>
      </c>
      <c r="AC230" s="133">
        <f>IF(AB230="","",INDEX('#建筑消耗和buff配置索引'!AS:AS,MATCH($F230,'#建筑消耗和buff配置索引'!$M:$M,0)))</f>
        <v>400000</v>
      </c>
      <c r="AF230" s="133" t="str">
        <f>IF(INDEX('#建筑消耗和buff配置索引'!AW:AW,MATCH($F230,'#建筑消耗和buff配置索引'!$M:$M,0))=0,"",INDEX('#建筑消耗和buff配置索引'!AW:AW,MATCH($F230,'#建筑消耗和buff配置索引'!$M:$M,0)))</f>
        <v/>
      </c>
      <c r="AG230" s="133" t="str">
        <f>IF(AF230="","",INDEX('#建筑消耗和buff配置索引'!AX:AX,MATCH($F230,'#建筑消耗和buff配置索引'!$M:$M,0)))</f>
        <v/>
      </c>
      <c r="AJ230" s="133" t="str">
        <f>IF(INDEX('#建筑消耗和buff配置索引'!BB:BB,MATCH($F230,'#建筑消耗和buff配置索引'!$M:$M,0))=0,"",INDEX('#建筑消耗和buff配置索引'!BB:BB,MATCH($F230,'#建筑消耗和buff配置索引'!$M:$M,0)))</f>
        <v/>
      </c>
      <c r="AK230" s="133" t="str">
        <f>IF(AJ230="","",INDEX('#建筑消耗和buff配置索引'!BC:BC,MATCH($F230,'#建筑消耗和buff配置索引'!$M:$M,0)))</f>
        <v/>
      </c>
      <c r="AN230" s="133" t="str">
        <f>IF(INDEX('#建筑消耗和buff配置索引'!BG:BG,MATCH($F230,'#建筑消耗和buff配置索引'!$M:$M,0))=0,"",INDEX('#建筑消耗和buff配置索引'!BG:BG,MATCH($F230,'#建筑消耗和buff配置索引'!$M:$M,0)))</f>
        <v/>
      </c>
      <c r="AO230" s="133" t="str">
        <f>IF(AN230="","",INDEX('#建筑消耗和buff配置索引'!BH:BH,MATCH($F230,'#建筑消耗和buff配置索引'!$M:$M,0)))</f>
        <v/>
      </c>
      <c r="AR230" s="133" t="str">
        <f>IF(INDEX('#建筑消耗和buff配置索引'!BK:BK,MATCH($F230,'#建筑消耗和buff配置索引'!$M:$M,0))=0,"",INDEX('#建筑消耗和buff配置索引'!BK:BK,MATCH($F230,'#建筑消耗和buff配置索引'!$M:$M,0)))</f>
        <v/>
      </c>
      <c r="AS230" s="133" t="str">
        <f>IF(AR230="","",INDEX('#建筑消耗和buff配置索引'!BL:BL,MATCH($F230,'#建筑消耗和buff配置索引'!$M:$M,0)))</f>
        <v/>
      </c>
      <c r="AV230" s="133" t="str">
        <f>IF(INDEX('#建筑消耗和buff配置索引'!BO:BO,MATCH($F230,'#建筑消耗和buff配置索引'!$M:$M,0))=0,"",INDEX('#建筑消耗和buff配置索引'!BO:BO,MATCH($F230,'#建筑消耗和buff配置索引'!$M:$M,0)))</f>
        <v/>
      </c>
      <c r="AW230" s="133" t="str">
        <f>IF(AV230="","",INDEX('#建筑消耗和buff配置索引'!BP:BP,MATCH($F230,'#建筑消耗和buff配置索引'!$M:$M,0)))</f>
        <v/>
      </c>
      <c r="AZ230" s="133" t="str">
        <f>IF(INDEX('#建筑消耗和buff配置索引'!BS:BS,MATCH($F230,'#建筑消耗和buff配置索引'!$M:$M,0))=0,"",INDEX('#建筑消耗和buff配置索引'!BS:BS,MATCH($F230,'#建筑消耗和buff配置索引'!$M:$M,0)))</f>
        <v/>
      </c>
      <c r="BA230" s="133" t="str">
        <f>IF(AZ230="","",INDEX('#建筑消耗和buff配置索引'!BT:BT,MATCH($F230,'#建筑消耗和buff配置索引'!$M:$M,0)))</f>
        <v/>
      </c>
      <c r="BD230" s="133" t="str">
        <f>IF(INDEX('#建筑消耗和buff配置索引'!BW:BW,MATCH($F230,'#建筑消耗和buff配置索引'!$M:$M,0))=0,"",INDEX('#建筑消耗和buff配置索引'!BW:BW,MATCH($F230,'#建筑消耗和buff配置索引'!$M:$M,0)))</f>
        <v/>
      </c>
      <c r="BE230" s="133" t="str">
        <f>IF(BD230="","",INDEX('#建筑消耗和buff配置索引'!BX:BX,MATCH($F230,'#建筑消耗和buff配置索引'!$M:$M,0)))</f>
        <v/>
      </c>
      <c r="BI230" s="133">
        <v>17</v>
      </c>
    </row>
    <row r="231" spans="1:61" s="133" customFormat="1">
      <c r="A231" s="133">
        <v>2150016</v>
      </c>
      <c r="B231" s="133">
        <v>228</v>
      </c>
      <c r="C231" s="133">
        <v>215</v>
      </c>
      <c r="D231" s="133" t="s">
        <v>418</v>
      </c>
      <c r="E231" s="133">
        <v>16</v>
      </c>
      <c r="F231" s="133" t="str">
        <f t="shared" si="5"/>
        <v>城墙16</v>
      </c>
      <c r="H231" s="146"/>
      <c r="I231" s="133">
        <v>2</v>
      </c>
      <c r="J231" s="150">
        <f>INDEX('#建筑消耗和buff配置索引'!AH:AH,MATCH($F231,'#建筑消耗和buff配置索引'!$M:$M,0))</f>
        <v>54000</v>
      </c>
      <c r="K231" s="150">
        <f>INDEX('#建筑消耗和buff配置索引'!AA:AA,MATCH($F231,'#建筑消耗和buff配置索引'!$M:$M,0))</f>
        <v>730000</v>
      </c>
      <c r="L231" s="150">
        <f>INDEX('#建筑消耗和buff配置索引'!AB:AB,MATCH($F231,'#建筑消耗和buff配置索引'!$M:$M,0))</f>
        <v>730000</v>
      </c>
      <c r="M231" s="150">
        <f>INDEX('#建筑消耗和buff配置索引'!AC:AC,MATCH($F231,'#建筑消耗和buff配置索引'!$M:$M,0))</f>
        <v>1500000</v>
      </c>
      <c r="N231" s="150">
        <f>INDEX('#建筑消耗和buff配置索引'!AD:AD,MATCH($F231,'#建筑消耗和buff配置索引'!$M:$M,0))</f>
        <v>730000</v>
      </c>
      <c r="O231" s="150" t="str">
        <f>IF(INDEX('#建筑消耗和buff配置索引'!T:T,MATCH($F231,'#建筑消耗和buff配置索引'!$M:$M,0))=0,"",INDEX('#建筑消耗和buff配置索引'!T:T,MATCH($F231,'#建筑消耗和buff配置索引'!$M:$M,0)))</f>
        <v/>
      </c>
      <c r="P231" s="133" t="str">
        <f>IF(INDEX('#建筑消耗和buff配置索引'!U:U,MATCH($F231,'#建筑消耗和buff配置索引'!$M:$M,0))=0,"",INDEX('#建筑消耗和buff配置索引'!U:U,MATCH($F231,'#建筑消耗和buff配置索引'!$M:$M,0)))</f>
        <v/>
      </c>
      <c r="Q231" s="133" t="str">
        <f>IF(INDEX('#建筑消耗和buff配置索引'!K:K,MATCH($F231,'#建筑消耗和buff配置索引'!$M:$M,0))=0,"",INDEX('#建筑消耗和buff配置索引'!K:K,MATCH($F231,'#建筑消耗和buff配置索引'!$M:$M,0)))</f>
        <v>201;237</v>
      </c>
      <c r="R231" s="133" t="str">
        <f>IF(INDEX('#建筑消耗和buff配置索引'!L:L,MATCH($F231,'#建筑消耗和buff配置索引'!$M:$M,0))=0,"",INDEX('#建筑消耗和buff配置索引'!L:L,MATCH($F231,'#建筑消耗和buff配置索引'!$M:$M,0)))</f>
        <v>16;16</v>
      </c>
      <c r="S231" s="133">
        <f>IF(INDEX('#建筑消耗和buff配置索引'!C:C,MATCH(F231,'#建筑消耗和buff配置索引'!M:M,0))=0,1,INDEX('#建筑消耗和buff配置索引'!C:C,MATCH(F231,'#建筑消耗和buff配置索引'!M:M,0)))</f>
        <v>1</v>
      </c>
      <c r="T231" s="133">
        <v>0</v>
      </c>
      <c r="U231" s="133">
        <v>0</v>
      </c>
      <c r="V231" s="133" t="str">
        <f>IF(E231=1,IF(INDEX('#建筑消耗和buff配置索引'!BY:BY,MATCH(D231,'#建筑消耗和buff配置索引'!A:A,0))=0,"",INDEX('#建筑消耗和buff配置索引'!BY:BY,MATCH(D231,'#建筑消耗和buff配置索引'!A:A,0))),"")</f>
        <v/>
      </c>
      <c r="W231" s="133" t="str">
        <f>IF(E231=1,IF(INDEX('#建筑消耗和buff配置索引'!BZ:BZ,MATCH(D231,'#建筑消耗和buff配置索引'!A:A,0))=0,"",INDEX('#建筑消耗和buff配置索引'!BZ:BZ,MATCH(D231,'#建筑消耗和buff配置索引'!A:A,0))),"")</f>
        <v/>
      </c>
      <c r="AA231" s="133">
        <f>INDEX('#建筑消耗和buff配置索引'!AO:AO,MATCH($F231,'#建筑消耗和buff配置索引'!$M:$M,0))</f>
        <v>28045</v>
      </c>
      <c r="AB231" s="133">
        <f>IF(INDEX('#建筑消耗和buff配置索引'!AR:AR,MATCH($F231,'#建筑消耗和buff配置索引'!$M:$M,0))=0,"",INDEX('#建筑消耗和buff配置索引'!AR:AR,MATCH($F231,'#建筑消耗和buff配置索引'!$M:$M,0)))</f>
        <v>4004</v>
      </c>
      <c r="AC231" s="133">
        <f>IF(AB231="","",INDEX('#建筑消耗和buff配置索引'!AS:AS,MATCH($F231,'#建筑消耗和buff配置索引'!$M:$M,0)))</f>
        <v>430000</v>
      </c>
      <c r="AF231" s="133" t="str">
        <f>IF(INDEX('#建筑消耗和buff配置索引'!AW:AW,MATCH($F231,'#建筑消耗和buff配置索引'!$M:$M,0))=0,"",INDEX('#建筑消耗和buff配置索引'!AW:AW,MATCH($F231,'#建筑消耗和buff配置索引'!$M:$M,0)))</f>
        <v/>
      </c>
      <c r="AG231" s="133" t="str">
        <f>IF(AF231="","",INDEX('#建筑消耗和buff配置索引'!AX:AX,MATCH($F231,'#建筑消耗和buff配置索引'!$M:$M,0)))</f>
        <v/>
      </c>
      <c r="AJ231" s="133" t="str">
        <f>IF(INDEX('#建筑消耗和buff配置索引'!BB:BB,MATCH($F231,'#建筑消耗和buff配置索引'!$M:$M,0))=0,"",INDEX('#建筑消耗和buff配置索引'!BB:BB,MATCH($F231,'#建筑消耗和buff配置索引'!$M:$M,0)))</f>
        <v/>
      </c>
      <c r="AK231" s="133" t="str">
        <f>IF(AJ231="","",INDEX('#建筑消耗和buff配置索引'!BC:BC,MATCH($F231,'#建筑消耗和buff配置索引'!$M:$M,0)))</f>
        <v/>
      </c>
      <c r="AN231" s="133" t="str">
        <f>IF(INDEX('#建筑消耗和buff配置索引'!BG:BG,MATCH($F231,'#建筑消耗和buff配置索引'!$M:$M,0))=0,"",INDEX('#建筑消耗和buff配置索引'!BG:BG,MATCH($F231,'#建筑消耗和buff配置索引'!$M:$M,0)))</f>
        <v/>
      </c>
      <c r="AO231" s="133" t="str">
        <f>IF(AN231="","",INDEX('#建筑消耗和buff配置索引'!BH:BH,MATCH($F231,'#建筑消耗和buff配置索引'!$M:$M,0)))</f>
        <v/>
      </c>
      <c r="AR231" s="133" t="str">
        <f>IF(INDEX('#建筑消耗和buff配置索引'!BK:BK,MATCH($F231,'#建筑消耗和buff配置索引'!$M:$M,0))=0,"",INDEX('#建筑消耗和buff配置索引'!BK:BK,MATCH($F231,'#建筑消耗和buff配置索引'!$M:$M,0)))</f>
        <v/>
      </c>
      <c r="AS231" s="133" t="str">
        <f>IF(AR231="","",INDEX('#建筑消耗和buff配置索引'!BL:BL,MATCH($F231,'#建筑消耗和buff配置索引'!$M:$M,0)))</f>
        <v/>
      </c>
      <c r="AV231" s="133" t="str">
        <f>IF(INDEX('#建筑消耗和buff配置索引'!BO:BO,MATCH($F231,'#建筑消耗和buff配置索引'!$M:$M,0))=0,"",INDEX('#建筑消耗和buff配置索引'!BO:BO,MATCH($F231,'#建筑消耗和buff配置索引'!$M:$M,0)))</f>
        <v/>
      </c>
      <c r="AW231" s="133" t="str">
        <f>IF(AV231="","",INDEX('#建筑消耗和buff配置索引'!BP:BP,MATCH($F231,'#建筑消耗和buff配置索引'!$M:$M,0)))</f>
        <v/>
      </c>
      <c r="AZ231" s="133" t="str">
        <f>IF(INDEX('#建筑消耗和buff配置索引'!BS:BS,MATCH($F231,'#建筑消耗和buff配置索引'!$M:$M,0))=0,"",INDEX('#建筑消耗和buff配置索引'!BS:BS,MATCH($F231,'#建筑消耗和buff配置索引'!$M:$M,0)))</f>
        <v/>
      </c>
      <c r="BA231" s="133" t="str">
        <f>IF(AZ231="","",INDEX('#建筑消耗和buff配置索引'!BT:BT,MATCH($F231,'#建筑消耗和buff配置索引'!$M:$M,0)))</f>
        <v/>
      </c>
      <c r="BD231" s="133" t="str">
        <f>IF(INDEX('#建筑消耗和buff配置索引'!BW:BW,MATCH($F231,'#建筑消耗和buff配置索引'!$M:$M,0))=0,"",INDEX('#建筑消耗和buff配置索引'!BW:BW,MATCH($F231,'#建筑消耗和buff配置索引'!$M:$M,0)))</f>
        <v/>
      </c>
      <c r="BE231" s="133" t="str">
        <f>IF(BD231="","",INDEX('#建筑消耗和buff配置索引'!BX:BX,MATCH($F231,'#建筑消耗和buff配置索引'!$M:$M,0)))</f>
        <v/>
      </c>
      <c r="BI231" s="133">
        <v>17</v>
      </c>
    </row>
    <row r="232" spans="1:61" s="133" customFormat="1">
      <c r="A232" s="133">
        <v>2150017</v>
      </c>
      <c r="B232" s="133">
        <v>229</v>
      </c>
      <c r="C232" s="133">
        <v>215</v>
      </c>
      <c r="D232" s="133" t="s">
        <v>418</v>
      </c>
      <c r="E232" s="133">
        <v>17</v>
      </c>
      <c r="F232" s="133" t="str">
        <f t="shared" si="5"/>
        <v>城墙17</v>
      </c>
      <c r="H232" s="146"/>
      <c r="I232" s="133">
        <v>2</v>
      </c>
      <c r="J232" s="150">
        <f>INDEX('#建筑消耗和buff配置索引'!AH:AH,MATCH($F232,'#建筑消耗和buff配置索引'!$M:$M,0))</f>
        <v>72000</v>
      </c>
      <c r="K232" s="150">
        <f>INDEX('#建筑消耗和buff配置索引'!AA:AA,MATCH($F232,'#建筑消耗和buff配置索引'!$M:$M,0))</f>
        <v>940000</v>
      </c>
      <c r="L232" s="150">
        <f>INDEX('#建筑消耗和buff配置索引'!AB:AB,MATCH($F232,'#建筑消耗和buff配置索引'!$M:$M,0))</f>
        <v>940000</v>
      </c>
      <c r="M232" s="150">
        <f>INDEX('#建筑消耗和buff配置索引'!AC:AC,MATCH($F232,'#建筑消耗和buff配置索引'!$M:$M,0))</f>
        <v>1900000</v>
      </c>
      <c r="N232" s="150">
        <f>INDEX('#建筑消耗和buff配置索引'!AD:AD,MATCH($F232,'#建筑消耗和buff配置索引'!$M:$M,0))</f>
        <v>940000</v>
      </c>
      <c r="O232" s="150" t="str">
        <f>IF(INDEX('#建筑消耗和buff配置索引'!T:T,MATCH($F232,'#建筑消耗和buff配置索引'!$M:$M,0))=0,"",INDEX('#建筑消耗和buff配置索引'!T:T,MATCH($F232,'#建筑消耗和buff配置索引'!$M:$M,0)))</f>
        <v/>
      </c>
      <c r="P232" s="133" t="str">
        <f>IF(INDEX('#建筑消耗和buff配置索引'!U:U,MATCH($F232,'#建筑消耗和buff配置索引'!$M:$M,0))=0,"",INDEX('#建筑消耗和buff配置索引'!U:U,MATCH($F232,'#建筑消耗和buff配置索引'!$M:$M,0)))</f>
        <v/>
      </c>
      <c r="Q232" s="133" t="str">
        <f>IF(INDEX('#建筑消耗和buff配置索引'!K:K,MATCH($F232,'#建筑消耗和buff配置索引'!$M:$M,0))=0,"",INDEX('#建筑消耗和buff配置索引'!K:K,MATCH($F232,'#建筑消耗和buff配置索引'!$M:$M,0)))</f>
        <v>201;237</v>
      </c>
      <c r="R232" s="133" t="str">
        <f>IF(INDEX('#建筑消耗和buff配置索引'!L:L,MATCH($F232,'#建筑消耗和buff配置索引'!$M:$M,0))=0,"",INDEX('#建筑消耗和buff配置索引'!L:L,MATCH($F232,'#建筑消耗和buff配置索引'!$M:$M,0)))</f>
        <v>17;17</v>
      </c>
      <c r="S232" s="133">
        <f>IF(INDEX('#建筑消耗和buff配置索引'!C:C,MATCH(F232,'#建筑消耗和buff配置索引'!M:M,0))=0,1,INDEX('#建筑消耗和buff配置索引'!C:C,MATCH(F232,'#建筑消耗和buff配置索引'!M:M,0)))</f>
        <v>1</v>
      </c>
      <c r="T232" s="133">
        <v>0</v>
      </c>
      <c r="U232" s="133">
        <v>0</v>
      </c>
      <c r="V232" s="133" t="str">
        <f>IF(E232=1,IF(INDEX('#建筑消耗和buff配置索引'!BY:BY,MATCH(D232,'#建筑消耗和buff配置索引'!A:A,0))=0,"",INDEX('#建筑消耗和buff配置索引'!BY:BY,MATCH(D232,'#建筑消耗和buff配置索引'!A:A,0))),"")</f>
        <v/>
      </c>
      <c r="W232" s="133" t="str">
        <f>IF(E232=1,IF(INDEX('#建筑消耗和buff配置索引'!BZ:BZ,MATCH(D232,'#建筑消耗和buff配置索引'!A:A,0))=0,"",INDEX('#建筑消耗和buff配置索引'!BZ:BZ,MATCH(D232,'#建筑消耗和buff配置索引'!A:A,0))),"")</f>
        <v/>
      </c>
      <c r="AA232" s="133">
        <f>INDEX('#建筑消耗和buff配置索引'!AO:AO,MATCH($F232,'#建筑消耗和buff配置索引'!$M:$M,0))</f>
        <v>37405</v>
      </c>
      <c r="AB232" s="133">
        <f>IF(INDEX('#建筑消耗和buff配置索引'!AR:AR,MATCH($F232,'#建筑消耗和buff配置索引'!$M:$M,0))=0,"",INDEX('#建筑消耗和buff配置索引'!AR:AR,MATCH($F232,'#建筑消耗和buff配置索引'!$M:$M,0)))</f>
        <v>4004</v>
      </c>
      <c r="AC232" s="133">
        <f>IF(AB232="","",INDEX('#建筑消耗和buff配置索引'!AS:AS,MATCH($F232,'#建筑消耗和buff配置索引'!$M:$M,0)))</f>
        <v>460000</v>
      </c>
      <c r="AF232" s="133" t="str">
        <f>IF(INDEX('#建筑消耗和buff配置索引'!AW:AW,MATCH($F232,'#建筑消耗和buff配置索引'!$M:$M,0))=0,"",INDEX('#建筑消耗和buff配置索引'!AW:AW,MATCH($F232,'#建筑消耗和buff配置索引'!$M:$M,0)))</f>
        <v/>
      </c>
      <c r="AG232" s="133" t="str">
        <f>IF(AF232="","",INDEX('#建筑消耗和buff配置索引'!AX:AX,MATCH($F232,'#建筑消耗和buff配置索引'!$M:$M,0)))</f>
        <v/>
      </c>
      <c r="AJ232" s="133" t="str">
        <f>IF(INDEX('#建筑消耗和buff配置索引'!BB:BB,MATCH($F232,'#建筑消耗和buff配置索引'!$M:$M,0))=0,"",INDEX('#建筑消耗和buff配置索引'!BB:BB,MATCH($F232,'#建筑消耗和buff配置索引'!$M:$M,0)))</f>
        <v/>
      </c>
      <c r="AK232" s="133" t="str">
        <f>IF(AJ232="","",INDEX('#建筑消耗和buff配置索引'!BC:BC,MATCH($F232,'#建筑消耗和buff配置索引'!$M:$M,0)))</f>
        <v/>
      </c>
      <c r="AN232" s="133" t="str">
        <f>IF(INDEX('#建筑消耗和buff配置索引'!BG:BG,MATCH($F232,'#建筑消耗和buff配置索引'!$M:$M,0))=0,"",INDEX('#建筑消耗和buff配置索引'!BG:BG,MATCH($F232,'#建筑消耗和buff配置索引'!$M:$M,0)))</f>
        <v/>
      </c>
      <c r="AO232" s="133" t="str">
        <f>IF(AN232="","",INDEX('#建筑消耗和buff配置索引'!BH:BH,MATCH($F232,'#建筑消耗和buff配置索引'!$M:$M,0)))</f>
        <v/>
      </c>
      <c r="AR232" s="133" t="str">
        <f>IF(INDEX('#建筑消耗和buff配置索引'!BK:BK,MATCH($F232,'#建筑消耗和buff配置索引'!$M:$M,0))=0,"",INDEX('#建筑消耗和buff配置索引'!BK:BK,MATCH($F232,'#建筑消耗和buff配置索引'!$M:$M,0)))</f>
        <v/>
      </c>
      <c r="AS232" s="133" t="str">
        <f>IF(AR232="","",INDEX('#建筑消耗和buff配置索引'!BL:BL,MATCH($F232,'#建筑消耗和buff配置索引'!$M:$M,0)))</f>
        <v/>
      </c>
      <c r="AV232" s="133" t="str">
        <f>IF(INDEX('#建筑消耗和buff配置索引'!BO:BO,MATCH($F232,'#建筑消耗和buff配置索引'!$M:$M,0))=0,"",INDEX('#建筑消耗和buff配置索引'!BO:BO,MATCH($F232,'#建筑消耗和buff配置索引'!$M:$M,0)))</f>
        <v/>
      </c>
      <c r="AW232" s="133" t="str">
        <f>IF(AV232="","",INDEX('#建筑消耗和buff配置索引'!BP:BP,MATCH($F232,'#建筑消耗和buff配置索引'!$M:$M,0)))</f>
        <v/>
      </c>
      <c r="AZ232" s="133" t="str">
        <f>IF(INDEX('#建筑消耗和buff配置索引'!BS:BS,MATCH($F232,'#建筑消耗和buff配置索引'!$M:$M,0))=0,"",INDEX('#建筑消耗和buff配置索引'!BS:BS,MATCH($F232,'#建筑消耗和buff配置索引'!$M:$M,0)))</f>
        <v/>
      </c>
      <c r="BA232" s="133" t="str">
        <f>IF(AZ232="","",INDEX('#建筑消耗和buff配置索引'!BT:BT,MATCH($F232,'#建筑消耗和buff配置索引'!$M:$M,0)))</f>
        <v/>
      </c>
      <c r="BD232" s="133" t="str">
        <f>IF(INDEX('#建筑消耗和buff配置索引'!BW:BW,MATCH($F232,'#建筑消耗和buff配置索引'!$M:$M,0))=0,"",INDEX('#建筑消耗和buff配置索引'!BW:BW,MATCH($F232,'#建筑消耗和buff配置索引'!$M:$M,0)))</f>
        <v/>
      </c>
      <c r="BE232" s="133" t="str">
        <f>IF(BD232="","",INDEX('#建筑消耗和buff配置索引'!BX:BX,MATCH($F232,'#建筑消耗和buff配置索引'!$M:$M,0)))</f>
        <v/>
      </c>
      <c r="BI232" s="133">
        <v>17</v>
      </c>
    </row>
    <row r="233" spans="1:61" s="133" customFormat="1">
      <c r="A233" s="133">
        <v>2150018</v>
      </c>
      <c r="B233" s="133">
        <v>230</v>
      </c>
      <c r="C233" s="133">
        <v>215</v>
      </c>
      <c r="D233" s="133" t="s">
        <v>418</v>
      </c>
      <c r="E233" s="133">
        <v>18</v>
      </c>
      <c r="F233" s="133" t="str">
        <f t="shared" si="5"/>
        <v>城墙18</v>
      </c>
      <c r="H233" s="146"/>
      <c r="I233" s="133">
        <v>2</v>
      </c>
      <c r="J233" s="150">
        <f>INDEX('#建筑消耗和buff配置索引'!AH:AH,MATCH($F233,'#建筑消耗和buff配置索引'!$M:$M,0))</f>
        <v>93600</v>
      </c>
      <c r="K233" s="150">
        <f>INDEX('#建筑消耗和buff配置索引'!AA:AA,MATCH($F233,'#建筑消耗和buff配置索引'!$M:$M,0))</f>
        <v>1200000</v>
      </c>
      <c r="L233" s="150">
        <f>INDEX('#建筑消耗和buff配置索引'!AB:AB,MATCH($F233,'#建筑消耗和buff配置索引'!$M:$M,0))</f>
        <v>1200000</v>
      </c>
      <c r="M233" s="150">
        <f>INDEX('#建筑消耗和buff配置索引'!AC:AC,MATCH($F233,'#建筑消耗和buff配置索引'!$M:$M,0))</f>
        <v>2400000</v>
      </c>
      <c r="N233" s="150">
        <f>INDEX('#建筑消耗和buff配置索引'!AD:AD,MATCH($F233,'#建筑消耗和buff配置索引'!$M:$M,0))</f>
        <v>1200000</v>
      </c>
      <c r="O233" s="150" t="str">
        <f>IF(INDEX('#建筑消耗和buff配置索引'!T:T,MATCH($F233,'#建筑消耗和buff配置索引'!$M:$M,0))=0,"",INDEX('#建筑消耗和buff配置索引'!T:T,MATCH($F233,'#建筑消耗和buff配置索引'!$M:$M,0)))</f>
        <v/>
      </c>
      <c r="P233" s="133" t="str">
        <f>IF(INDEX('#建筑消耗和buff配置索引'!U:U,MATCH($F233,'#建筑消耗和buff配置索引'!$M:$M,0))=0,"",INDEX('#建筑消耗和buff配置索引'!U:U,MATCH($F233,'#建筑消耗和buff配置索引'!$M:$M,0)))</f>
        <v/>
      </c>
      <c r="Q233" s="133" t="str">
        <f>IF(INDEX('#建筑消耗和buff配置索引'!K:K,MATCH($F233,'#建筑消耗和buff配置索引'!$M:$M,0))=0,"",INDEX('#建筑消耗和buff配置索引'!K:K,MATCH($F233,'#建筑消耗和buff配置索引'!$M:$M,0)))</f>
        <v>201;237</v>
      </c>
      <c r="R233" s="133" t="str">
        <f>IF(INDEX('#建筑消耗和buff配置索引'!L:L,MATCH($F233,'#建筑消耗和buff配置索引'!$M:$M,0))=0,"",INDEX('#建筑消耗和buff配置索引'!L:L,MATCH($F233,'#建筑消耗和buff配置索引'!$M:$M,0)))</f>
        <v>18;18</v>
      </c>
      <c r="S233" s="133">
        <f>IF(INDEX('#建筑消耗和buff配置索引'!C:C,MATCH(F233,'#建筑消耗和buff配置索引'!M:M,0))=0,1,INDEX('#建筑消耗和buff配置索引'!C:C,MATCH(F233,'#建筑消耗和buff配置索引'!M:M,0)))</f>
        <v>1</v>
      </c>
      <c r="T233" s="133">
        <v>0</v>
      </c>
      <c r="U233" s="133">
        <v>0</v>
      </c>
      <c r="V233" s="133" t="str">
        <f>IF(E233=1,IF(INDEX('#建筑消耗和buff配置索引'!BY:BY,MATCH(D233,'#建筑消耗和buff配置索引'!A:A,0))=0,"",INDEX('#建筑消耗和buff配置索引'!BY:BY,MATCH(D233,'#建筑消耗和buff配置索引'!A:A,0))),"")</f>
        <v/>
      </c>
      <c r="W233" s="133" t="str">
        <f>IF(E233=1,IF(INDEX('#建筑消耗和buff配置索引'!BZ:BZ,MATCH(D233,'#建筑消耗和buff配置索引'!A:A,0))=0,"",INDEX('#建筑消耗和buff配置索引'!BZ:BZ,MATCH(D233,'#建筑消耗和buff配置索引'!A:A,0))),"")</f>
        <v/>
      </c>
      <c r="AA233" s="133">
        <f>INDEX('#建筑消耗和buff配置索引'!AO:AO,MATCH($F233,'#建筑消耗和buff配置索引'!$M:$M,0))</f>
        <v>49386</v>
      </c>
      <c r="AB233" s="133">
        <f>IF(INDEX('#建筑消耗和buff配置索引'!AR:AR,MATCH($F233,'#建筑消耗和buff配置索引'!$M:$M,0))=0,"",INDEX('#建筑消耗和buff配置索引'!AR:AR,MATCH($F233,'#建筑消耗和buff配置索引'!$M:$M,0)))</f>
        <v>4004</v>
      </c>
      <c r="AC233" s="133">
        <f>IF(AB233="","",INDEX('#建筑消耗和buff配置索引'!AS:AS,MATCH($F233,'#建筑消耗和buff配置索引'!$M:$M,0)))</f>
        <v>490000</v>
      </c>
      <c r="AF233" s="133" t="str">
        <f>IF(INDEX('#建筑消耗和buff配置索引'!AW:AW,MATCH($F233,'#建筑消耗和buff配置索引'!$M:$M,0))=0,"",INDEX('#建筑消耗和buff配置索引'!AW:AW,MATCH($F233,'#建筑消耗和buff配置索引'!$M:$M,0)))</f>
        <v/>
      </c>
      <c r="AG233" s="133" t="str">
        <f>IF(AF233="","",INDEX('#建筑消耗和buff配置索引'!AX:AX,MATCH($F233,'#建筑消耗和buff配置索引'!$M:$M,0)))</f>
        <v/>
      </c>
      <c r="AJ233" s="133" t="str">
        <f>IF(INDEX('#建筑消耗和buff配置索引'!BB:BB,MATCH($F233,'#建筑消耗和buff配置索引'!$M:$M,0))=0,"",INDEX('#建筑消耗和buff配置索引'!BB:BB,MATCH($F233,'#建筑消耗和buff配置索引'!$M:$M,0)))</f>
        <v/>
      </c>
      <c r="AK233" s="133" t="str">
        <f>IF(AJ233="","",INDEX('#建筑消耗和buff配置索引'!BC:BC,MATCH($F233,'#建筑消耗和buff配置索引'!$M:$M,0)))</f>
        <v/>
      </c>
      <c r="AN233" s="133" t="str">
        <f>IF(INDEX('#建筑消耗和buff配置索引'!BG:BG,MATCH($F233,'#建筑消耗和buff配置索引'!$M:$M,0))=0,"",INDEX('#建筑消耗和buff配置索引'!BG:BG,MATCH($F233,'#建筑消耗和buff配置索引'!$M:$M,0)))</f>
        <v/>
      </c>
      <c r="AO233" s="133" t="str">
        <f>IF(AN233="","",INDEX('#建筑消耗和buff配置索引'!BH:BH,MATCH($F233,'#建筑消耗和buff配置索引'!$M:$M,0)))</f>
        <v/>
      </c>
      <c r="AR233" s="133" t="str">
        <f>IF(INDEX('#建筑消耗和buff配置索引'!BK:BK,MATCH($F233,'#建筑消耗和buff配置索引'!$M:$M,0))=0,"",INDEX('#建筑消耗和buff配置索引'!BK:BK,MATCH($F233,'#建筑消耗和buff配置索引'!$M:$M,0)))</f>
        <v/>
      </c>
      <c r="AS233" s="133" t="str">
        <f>IF(AR233="","",INDEX('#建筑消耗和buff配置索引'!BL:BL,MATCH($F233,'#建筑消耗和buff配置索引'!$M:$M,0)))</f>
        <v/>
      </c>
      <c r="AV233" s="133" t="str">
        <f>IF(INDEX('#建筑消耗和buff配置索引'!BO:BO,MATCH($F233,'#建筑消耗和buff配置索引'!$M:$M,0))=0,"",INDEX('#建筑消耗和buff配置索引'!BO:BO,MATCH($F233,'#建筑消耗和buff配置索引'!$M:$M,0)))</f>
        <v/>
      </c>
      <c r="AW233" s="133" t="str">
        <f>IF(AV233="","",INDEX('#建筑消耗和buff配置索引'!BP:BP,MATCH($F233,'#建筑消耗和buff配置索引'!$M:$M,0)))</f>
        <v/>
      </c>
      <c r="AZ233" s="133" t="str">
        <f>IF(INDEX('#建筑消耗和buff配置索引'!BS:BS,MATCH($F233,'#建筑消耗和buff配置索引'!$M:$M,0))=0,"",INDEX('#建筑消耗和buff配置索引'!BS:BS,MATCH($F233,'#建筑消耗和buff配置索引'!$M:$M,0)))</f>
        <v/>
      </c>
      <c r="BA233" s="133" t="str">
        <f>IF(AZ233="","",INDEX('#建筑消耗和buff配置索引'!BT:BT,MATCH($F233,'#建筑消耗和buff配置索引'!$M:$M,0)))</f>
        <v/>
      </c>
      <c r="BD233" s="133" t="str">
        <f>IF(INDEX('#建筑消耗和buff配置索引'!BW:BW,MATCH($F233,'#建筑消耗和buff配置索引'!$M:$M,0))=0,"",INDEX('#建筑消耗和buff配置索引'!BW:BW,MATCH($F233,'#建筑消耗和buff配置索引'!$M:$M,0)))</f>
        <v/>
      </c>
      <c r="BE233" s="133" t="str">
        <f>IF(BD233="","",INDEX('#建筑消耗和buff配置索引'!BX:BX,MATCH($F233,'#建筑消耗和buff配置索引'!$M:$M,0)))</f>
        <v/>
      </c>
      <c r="BI233" s="133">
        <v>17</v>
      </c>
    </row>
    <row r="234" spans="1:61" s="133" customFormat="1">
      <c r="A234" s="133">
        <v>2150019</v>
      </c>
      <c r="B234" s="133">
        <v>231</v>
      </c>
      <c r="C234" s="133">
        <v>215</v>
      </c>
      <c r="D234" s="133" t="s">
        <v>418</v>
      </c>
      <c r="E234" s="133">
        <v>19</v>
      </c>
      <c r="F234" s="133" t="str">
        <f t="shared" si="5"/>
        <v>城墙19</v>
      </c>
      <c r="H234" s="146"/>
      <c r="I234" s="133">
        <v>2</v>
      </c>
      <c r="J234" s="150">
        <f>INDEX('#建筑消耗和buff配置索引'!AH:AH,MATCH($F234,'#建筑消耗和buff配置索引'!$M:$M,0))</f>
        <v>122400</v>
      </c>
      <c r="K234" s="150">
        <f>INDEX('#建筑消耗和buff配置索引'!AA:AA,MATCH($F234,'#建筑消耗和buff配置索引'!$M:$M,0))</f>
        <v>1500000</v>
      </c>
      <c r="L234" s="150">
        <f>INDEX('#建筑消耗和buff配置索引'!AB:AB,MATCH($F234,'#建筑消耗和buff配置索引'!$M:$M,0))</f>
        <v>1500000</v>
      </c>
      <c r="M234" s="150">
        <f>INDEX('#建筑消耗和buff配置索引'!AC:AC,MATCH($F234,'#建筑消耗和buff配置索引'!$M:$M,0))</f>
        <v>3100000</v>
      </c>
      <c r="N234" s="150">
        <f>INDEX('#建筑消耗和buff配置索引'!AD:AD,MATCH($F234,'#建筑消耗和buff配置索引'!$M:$M,0))</f>
        <v>1500000</v>
      </c>
      <c r="O234" s="150" t="str">
        <f>IF(INDEX('#建筑消耗和buff配置索引'!T:T,MATCH($F234,'#建筑消耗和buff配置索引'!$M:$M,0))=0,"",INDEX('#建筑消耗和buff配置索引'!T:T,MATCH($F234,'#建筑消耗和buff配置索引'!$M:$M,0)))</f>
        <v/>
      </c>
      <c r="P234" s="133" t="str">
        <f>IF(INDEX('#建筑消耗和buff配置索引'!U:U,MATCH($F234,'#建筑消耗和buff配置索引'!$M:$M,0))=0,"",INDEX('#建筑消耗和buff配置索引'!U:U,MATCH($F234,'#建筑消耗和buff配置索引'!$M:$M,0)))</f>
        <v/>
      </c>
      <c r="Q234" s="133" t="str">
        <f>IF(INDEX('#建筑消耗和buff配置索引'!K:K,MATCH($F234,'#建筑消耗和buff配置索引'!$M:$M,0))=0,"",INDEX('#建筑消耗和buff配置索引'!K:K,MATCH($F234,'#建筑消耗和buff配置索引'!$M:$M,0)))</f>
        <v>201;237</v>
      </c>
      <c r="R234" s="133" t="str">
        <f>IF(INDEX('#建筑消耗和buff配置索引'!L:L,MATCH($F234,'#建筑消耗和buff配置索引'!$M:$M,0))=0,"",INDEX('#建筑消耗和buff配置索引'!L:L,MATCH($F234,'#建筑消耗和buff配置索引'!$M:$M,0)))</f>
        <v>19;19</v>
      </c>
      <c r="S234" s="133">
        <f>IF(INDEX('#建筑消耗和buff配置索引'!C:C,MATCH(F234,'#建筑消耗和buff配置索引'!M:M,0))=0,1,INDEX('#建筑消耗和buff配置索引'!C:C,MATCH(F234,'#建筑消耗和buff配置索引'!M:M,0)))</f>
        <v>1</v>
      </c>
      <c r="T234" s="133">
        <v>0</v>
      </c>
      <c r="U234" s="133">
        <v>0</v>
      </c>
      <c r="V234" s="133" t="str">
        <f>IF(E234=1,IF(INDEX('#建筑消耗和buff配置索引'!BY:BY,MATCH(D234,'#建筑消耗和buff配置索引'!A:A,0))=0,"",INDEX('#建筑消耗和buff配置索引'!BY:BY,MATCH(D234,'#建筑消耗和buff配置索引'!A:A,0))),"")</f>
        <v/>
      </c>
      <c r="W234" s="133" t="str">
        <f>IF(E234=1,IF(INDEX('#建筑消耗和buff配置索引'!BZ:BZ,MATCH(D234,'#建筑消耗和buff配置索引'!A:A,0))=0,"",INDEX('#建筑消耗和buff配置索引'!BZ:BZ,MATCH(D234,'#建筑消耗和buff配置索引'!A:A,0))),"")</f>
        <v/>
      </c>
      <c r="AA234" s="133">
        <f>INDEX('#建筑消耗和buff配置索引'!AO:AO,MATCH($F234,'#建筑消耗和buff配置索引'!$M:$M,0))</f>
        <v>64722</v>
      </c>
      <c r="AB234" s="133">
        <f>IF(INDEX('#建筑消耗和buff配置索引'!AR:AR,MATCH($F234,'#建筑消耗和buff配置索引'!$M:$M,0))=0,"",INDEX('#建筑消耗和buff配置索引'!AR:AR,MATCH($F234,'#建筑消耗和buff配置索引'!$M:$M,0)))</f>
        <v>4004</v>
      </c>
      <c r="AC234" s="133">
        <f>IF(AB234="","",INDEX('#建筑消耗和buff配置索引'!AS:AS,MATCH($F234,'#建筑消耗和buff配置索引'!$M:$M,0)))</f>
        <v>520000</v>
      </c>
      <c r="AF234" s="133" t="str">
        <f>IF(INDEX('#建筑消耗和buff配置索引'!AW:AW,MATCH($F234,'#建筑消耗和buff配置索引'!$M:$M,0))=0,"",INDEX('#建筑消耗和buff配置索引'!AW:AW,MATCH($F234,'#建筑消耗和buff配置索引'!$M:$M,0)))</f>
        <v/>
      </c>
      <c r="AG234" s="133" t="str">
        <f>IF(AF234="","",INDEX('#建筑消耗和buff配置索引'!AX:AX,MATCH($F234,'#建筑消耗和buff配置索引'!$M:$M,0)))</f>
        <v/>
      </c>
      <c r="AJ234" s="133" t="str">
        <f>IF(INDEX('#建筑消耗和buff配置索引'!BB:BB,MATCH($F234,'#建筑消耗和buff配置索引'!$M:$M,0))=0,"",INDEX('#建筑消耗和buff配置索引'!BB:BB,MATCH($F234,'#建筑消耗和buff配置索引'!$M:$M,0)))</f>
        <v/>
      </c>
      <c r="AK234" s="133" t="str">
        <f>IF(AJ234="","",INDEX('#建筑消耗和buff配置索引'!BC:BC,MATCH($F234,'#建筑消耗和buff配置索引'!$M:$M,0)))</f>
        <v/>
      </c>
      <c r="AN234" s="133" t="str">
        <f>IF(INDEX('#建筑消耗和buff配置索引'!BG:BG,MATCH($F234,'#建筑消耗和buff配置索引'!$M:$M,0))=0,"",INDEX('#建筑消耗和buff配置索引'!BG:BG,MATCH($F234,'#建筑消耗和buff配置索引'!$M:$M,0)))</f>
        <v/>
      </c>
      <c r="AO234" s="133" t="str">
        <f>IF(AN234="","",INDEX('#建筑消耗和buff配置索引'!BH:BH,MATCH($F234,'#建筑消耗和buff配置索引'!$M:$M,0)))</f>
        <v/>
      </c>
      <c r="AR234" s="133" t="str">
        <f>IF(INDEX('#建筑消耗和buff配置索引'!BK:BK,MATCH($F234,'#建筑消耗和buff配置索引'!$M:$M,0))=0,"",INDEX('#建筑消耗和buff配置索引'!BK:BK,MATCH($F234,'#建筑消耗和buff配置索引'!$M:$M,0)))</f>
        <v/>
      </c>
      <c r="AS234" s="133" t="str">
        <f>IF(AR234="","",INDEX('#建筑消耗和buff配置索引'!BL:BL,MATCH($F234,'#建筑消耗和buff配置索引'!$M:$M,0)))</f>
        <v/>
      </c>
      <c r="AV234" s="133" t="str">
        <f>IF(INDEX('#建筑消耗和buff配置索引'!BO:BO,MATCH($F234,'#建筑消耗和buff配置索引'!$M:$M,0))=0,"",INDEX('#建筑消耗和buff配置索引'!BO:BO,MATCH($F234,'#建筑消耗和buff配置索引'!$M:$M,0)))</f>
        <v/>
      </c>
      <c r="AW234" s="133" t="str">
        <f>IF(AV234="","",INDEX('#建筑消耗和buff配置索引'!BP:BP,MATCH($F234,'#建筑消耗和buff配置索引'!$M:$M,0)))</f>
        <v/>
      </c>
      <c r="AZ234" s="133" t="str">
        <f>IF(INDEX('#建筑消耗和buff配置索引'!BS:BS,MATCH($F234,'#建筑消耗和buff配置索引'!$M:$M,0))=0,"",INDEX('#建筑消耗和buff配置索引'!BS:BS,MATCH($F234,'#建筑消耗和buff配置索引'!$M:$M,0)))</f>
        <v/>
      </c>
      <c r="BA234" s="133" t="str">
        <f>IF(AZ234="","",INDEX('#建筑消耗和buff配置索引'!BT:BT,MATCH($F234,'#建筑消耗和buff配置索引'!$M:$M,0)))</f>
        <v/>
      </c>
      <c r="BD234" s="133" t="str">
        <f>IF(INDEX('#建筑消耗和buff配置索引'!BW:BW,MATCH($F234,'#建筑消耗和buff配置索引'!$M:$M,0))=0,"",INDEX('#建筑消耗和buff配置索引'!BW:BW,MATCH($F234,'#建筑消耗和buff配置索引'!$M:$M,0)))</f>
        <v/>
      </c>
      <c r="BE234" s="133" t="str">
        <f>IF(BD234="","",INDEX('#建筑消耗和buff配置索引'!BX:BX,MATCH($F234,'#建筑消耗和buff配置索引'!$M:$M,0)))</f>
        <v/>
      </c>
      <c r="BI234" s="133">
        <v>17</v>
      </c>
    </row>
    <row r="235" spans="1:61" s="133" customFormat="1">
      <c r="A235" s="133">
        <v>2150020</v>
      </c>
      <c r="B235" s="133">
        <v>232</v>
      </c>
      <c r="C235" s="133">
        <v>215</v>
      </c>
      <c r="D235" s="133" t="s">
        <v>418</v>
      </c>
      <c r="E235" s="133">
        <v>20</v>
      </c>
      <c r="F235" s="133" t="str">
        <f t="shared" si="5"/>
        <v>城墙20</v>
      </c>
      <c r="H235" s="146"/>
      <c r="I235" s="133">
        <v>4</v>
      </c>
      <c r="J235" s="150">
        <f>INDEX('#建筑消耗和buff配置索引'!AH:AH,MATCH($F235,'#建筑消耗和buff配置索引'!$M:$M,0))</f>
        <v>172800</v>
      </c>
      <c r="K235" s="150">
        <f>INDEX('#建筑消耗和buff配置索引'!AA:AA,MATCH($F235,'#建筑消耗和buff配置索引'!$M:$M,0))</f>
        <v>2000000</v>
      </c>
      <c r="L235" s="150">
        <f>INDEX('#建筑消耗和buff配置索引'!AB:AB,MATCH($F235,'#建筑消耗和buff配置索引'!$M:$M,0))</f>
        <v>2000000</v>
      </c>
      <c r="M235" s="150">
        <f>INDEX('#建筑消耗和buff配置索引'!AC:AC,MATCH($F235,'#建筑消耗和buff配置索引'!$M:$M,0))</f>
        <v>3900000</v>
      </c>
      <c r="N235" s="150">
        <f>INDEX('#建筑消耗和buff配置索引'!AD:AD,MATCH($F235,'#建筑消耗和buff配置索引'!$M:$M,0))</f>
        <v>2000000</v>
      </c>
      <c r="O235" s="150" t="str">
        <f>IF(INDEX('#建筑消耗和buff配置索引'!T:T,MATCH($F235,'#建筑消耗和buff配置索引'!$M:$M,0))=0,"",INDEX('#建筑消耗和buff配置索引'!T:T,MATCH($F235,'#建筑消耗和buff配置索引'!$M:$M,0)))</f>
        <v/>
      </c>
      <c r="P235" s="133" t="str">
        <f>IF(INDEX('#建筑消耗和buff配置索引'!U:U,MATCH($F235,'#建筑消耗和buff配置索引'!$M:$M,0))=0,"",INDEX('#建筑消耗和buff配置索引'!U:U,MATCH($F235,'#建筑消耗和buff配置索引'!$M:$M,0)))</f>
        <v/>
      </c>
      <c r="Q235" s="133" t="str">
        <f>IF(INDEX('#建筑消耗和buff配置索引'!K:K,MATCH($F235,'#建筑消耗和buff配置索引'!$M:$M,0))=0,"",INDEX('#建筑消耗和buff配置索引'!K:K,MATCH($F235,'#建筑消耗和buff配置索引'!$M:$M,0)))</f>
        <v>201;237</v>
      </c>
      <c r="R235" s="133" t="str">
        <f>IF(INDEX('#建筑消耗和buff配置索引'!L:L,MATCH($F235,'#建筑消耗和buff配置索引'!$M:$M,0))=0,"",INDEX('#建筑消耗和buff配置索引'!L:L,MATCH($F235,'#建筑消耗和buff配置索引'!$M:$M,0)))</f>
        <v>20;20</v>
      </c>
      <c r="S235" s="133">
        <f>IF(INDEX('#建筑消耗和buff配置索引'!C:C,MATCH(F235,'#建筑消耗和buff配置索引'!M:M,0))=0,1,INDEX('#建筑消耗和buff配置索引'!C:C,MATCH(F235,'#建筑消耗和buff配置索引'!M:M,0)))</f>
        <v>1</v>
      </c>
      <c r="T235" s="133">
        <v>0</v>
      </c>
      <c r="U235" s="133">
        <v>0</v>
      </c>
      <c r="V235" s="133" t="str">
        <f>IF(E235=1,IF(INDEX('#建筑消耗和buff配置索引'!BY:BY,MATCH(D235,'#建筑消耗和buff配置索引'!A:A,0))=0,"",INDEX('#建筑消耗和buff配置索引'!BY:BY,MATCH(D235,'#建筑消耗和buff配置索引'!A:A,0))),"")</f>
        <v/>
      </c>
      <c r="W235" s="133" t="str">
        <f>IF(E235=1,IF(INDEX('#建筑消耗和buff配置索引'!BZ:BZ,MATCH(D235,'#建筑消耗和buff配置索引'!A:A,0))=0,"",INDEX('#建筑消耗和buff配置索引'!BZ:BZ,MATCH(D235,'#建筑消耗和buff配置索引'!A:A,0))),"")</f>
        <v/>
      </c>
      <c r="AA235" s="133">
        <f>INDEX('#建筑消耗和buff配置索引'!AO:AO,MATCH($F235,'#建筑消耗和buff配置索引'!$M:$M,0))</f>
        <v>84352</v>
      </c>
      <c r="AB235" s="133">
        <f>IF(INDEX('#建筑消耗和buff配置索引'!AR:AR,MATCH($F235,'#建筑消耗和buff配置索引'!$M:$M,0))=0,"",INDEX('#建筑消耗和buff配置索引'!AR:AR,MATCH($F235,'#建筑消耗和buff配置索引'!$M:$M,0)))</f>
        <v>4004</v>
      </c>
      <c r="AC235" s="133">
        <f>IF(AB235="","",INDEX('#建筑消耗和buff配置索引'!AS:AS,MATCH($F235,'#建筑消耗和buff配置索引'!$M:$M,0)))</f>
        <v>550000</v>
      </c>
      <c r="AF235" s="133" t="str">
        <f>IF(INDEX('#建筑消耗和buff配置索引'!AW:AW,MATCH($F235,'#建筑消耗和buff配置索引'!$M:$M,0))=0,"",INDEX('#建筑消耗和buff配置索引'!AW:AW,MATCH($F235,'#建筑消耗和buff配置索引'!$M:$M,0)))</f>
        <v/>
      </c>
      <c r="AG235" s="133" t="str">
        <f>IF(AF235="","",INDEX('#建筑消耗和buff配置索引'!AX:AX,MATCH($F235,'#建筑消耗和buff配置索引'!$M:$M,0)))</f>
        <v/>
      </c>
      <c r="AJ235" s="133" t="str">
        <f>IF(INDEX('#建筑消耗和buff配置索引'!BB:BB,MATCH($F235,'#建筑消耗和buff配置索引'!$M:$M,0))=0,"",INDEX('#建筑消耗和buff配置索引'!BB:BB,MATCH($F235,'#建筑消耗和buff配置索引'!$M:$M,0)))</f>
        <v/>
      </c>
      <c r="AK235" s="133" t="str">
        <f>IF(AJ235="","",INDEX('#建筑消耗和buff配置索引'!BC:BC,MATCH($F235,'#建筑消耗和buff配置索引'!$M:$M,0)))</f>
        <v/>
      </c>
      <c r="AN235" s="133" t="str">
        <f>IF(INDEX('#建筑消耗和buff配置索引'!BG:BG,MATCH($F235,'#建筑消耗和buff配置索引'!$M:$M,0))=0,"",INDEX('#建筑消耗和buff配置索引'!BG:BG,MATCH($F235,'#建筑消耗和buff配置索引'!$M:$M,0)))</f>
        <v/>
      </c>
      <c r="AO235" s="133" t="str">
        <f>IF(AN235="","",INDEX('#建筑消耗和buff配置索引'!BH:BH,MATCH($F235,'#建筑消耗和buff配置索引'!$M:$M,0)))</f>
        <v/>
      </c>
      <c r="AR235" s="133" t="str">
        <f>IF(INDEX('#建筑消耗和buff配置索引'!BK:BK,MATCH($F235,'#建筑消耗和buff配置索引'!$M:$M,0))=0,"",INDEX('#建筑消耗和buff配置索引'!BK:BK,MATCH($F235,'#建筑消耗和buff配置索引'!$M:$M,0)))</f>
        <v/>
      </c>
      <c r="AS235" s="133" t="str">
        <f>IF(AR235="","",INDEX('#建筑消耗和buff配置索引'!BL:BL,MATCH($F235,'#建筑消耗和buff配置索引'!$M:$M,0)))</f>
        <v/>
      </c>
      <c r="AV235" s="133" t="str">
        <f>IF(INDEX('#建筑消耗和buff配置索引'!BO:BO,MATCH($F235,'#建筑消耗和buff配置索引'!$M:$M,0))=0,"",INDEX('#建筑消耗和buff配置索引'!BO:BO,MATCH($F235,'#建筑消耗和buff配置索引'!$M:$M,0)))</f>
        <v/>
      </c>
      <c r="AW235" s="133" t="str">
        <f>IF(AV235="","",INDEX('#建筑消耗和buff配置索引'!BP:BP,MATCH($F235,'#建筑消耗和buff配置索引'!$M:$M,0)))</f>
        <v/>
      </c>
      <c r="AZ235" s="133" t="str">
        <f>IF(INDEX('#建筑消耗和buff配置索引'!BS:BS,MATCH($F235,'#建筑消耗和buff配置索引'!$M:$M,0))=0,"",INDEX('#建筑消耗和buff配置索引'!BS:BS,MATCH($F235,'#建筑消耗和buff配置索引'!$M:$M,0)))</f>
        <v/>
      </c>
      <c r="BA235" s="133" t="str">
        <f>IF(AZ235="","",INDEX('#建筑消耗和buff配置索引'!BT:BT,MATCH($F235,'#建筑消耗和buff配置索引'!$M:$M,0)))</f>
        <v/>
      </c>
      <c r="BD235" s="133" t="str">
        <f>IF(INDEX('#建筑消耗和buff配置索引'!BW:BW,MATCH($F235,'#建筑消耗和buff配置索引'!$M:$M,0))=0,"",INDEX('#建筑消耗和buff配置索引'!BW:BW,MATCH($F235,'#建筑消耗和buff配置索引'!$M:$M,0)))</f>
        <v/>
      </c>
      <c r="BE235" s="133" t="str">
        <f>IF(BD235="","",INDEX('#建筑消耗和buff配置索引'!BX:BX,MATCH($F235,'#建筑消耗和buff配置索引'!$M:$M,0)))</f>
        <v/>
      </c>
      <c r="BI235" s="133">
        <v>17</v>
      </c>
    </row>
    <row r="236" spans="1:61" s="133" customFormat="1">
      <c r="A236" s="133">
        <v>2150021</v>
      </c>
      <c r="B236" s="133">
        <v>233</v>
      </c>
      <c r="C236" s="133">
        <v>215</v>
      </c>
      <c r="D236" s="133" t="s">
        <v>418</v>
      </c>
      <c r="E236" s="133">
        <v>21</v>
      </c>
      <c r="F236" s="133" t="str">
        <f t="shared" si="5"/>
        <v>城墙21</v>
      </c>
      <c r="H236" s="146"/>
      <c r="I236" s="133">
        <v>4</v>
      </c>
      <c r="J236" s="150">
        <f>INDEX('#建筑消耗和buff配置索引'!AH:AH,MATCH($F236,'#建筑消耗和buff配置索引'!$M:$M,0))</f>
        <v>230400</v>
      </c>
      <c r="K236" s="150">
        <f>INDEX('#建筑消耗和buff配置索引'!AA:AA,MATCH($F236,'#建筑消耗和buff配置索引'!$M:$M,0))</f>
        <v>2500000</v>
      </c>
      <c r="L236" s="150">
        <f>INDEX('#建筑消耗和buff配置索引'!AB:AB,MATCH($F236,'#建筑消耗和buff配置索引'!$M:$M,0))</f>
        <v>2500000</v>
      </c>
      <c r="M236" s="150">
        <f>INDEX('#建筑消耗和buff配置索引'!AC:AC,MATCH($F236,'#建筑消耗和buff配置索引'!$M:$M,0))</f>
        <v>5000000</v>
      </c>
      <c r="N236" s="150">
        <f>INDEX('#建筑消耗和buff配置索引'!AD:AD,MATCH($F236,'#建筑消耗和buff配置索引'!$M:$M,0))</f>
        <v>2500000</v>
      </c>
      <c r="O236" s="150" t="str">
        <f>IF(INDEX('#建筑消耗和buff配置索引'!T:T,MATCH($F236,'#建筑消耗和buff配置索引'!$M:$M,0))=0,"",INDEX('#建筑消耗和buff配置索引'!T:T,MATCH($F236,'#建筑消耗和buff配置索引'!$M:$M,0)))</f>
        <v/>
      </c>
      <c r="P236" s="133" t="str">
        <f>IF(INDEX('#建筑消耗和buff配置索引'!U:U,MATCH($F236,'#建筑消耗和buff配置索引'!$M:$M,0))=0,"",INDEX('#建筑消耗和buff配置索引'!U:U,MATCH($F236,'#建筑消耗和buff配置索引'!$M:$M,0)))</f>
        <v/>
      </c>
      <c r="Q236" s="133" t="str">
        <f>IF(INDEX('#建筑消耗和buff配置索引'!K:K,MATCH($F236,'#建筑消耗和buff配置索引'!$M:$M,0))=0,"",INDEX('#建筑消耗和buff配置索引'!K:K,MATCH($F236,'#建筑消耗和buff配置索引'!$M:$M,0)))</f>
        <v>201;237</v>
      </c>
      <c r="R236" s="133" t="str">
        <f>IF(INDEX('#建筑消耗和buff配置索引'!L:L,MATCH($F236,'#建筑消耗和buff配置索引'!$M:$M,0))=0,"",INDEX('#建筑消耗和buff配置索引'!L:L,MATCH($F236,'#建筑消耗和buff配置索引'!$M:$M,0)))</f>
        <v>21;21</v>
      </c>
      <c r="S236" s="133">
        <f>IF(INDEX('#建筑消耗和buff配置索引'!C:C,MATCH(F236,'#建筑消耗和buff配置索引'!M:M,0))=0,1,INDEX('#建筑消耗和buff配置索引'!C:C,MATCH(F236,'#建筑消耗和buff配置索引'!M:M,0)))</f>
        <v>1</v>
      </c>
      <c r="T236" s="133">
        <v>0</v>
      </c>
      <c r="U236" s="133">
        <v>0</v>
      </c>
      <c r="V236" s="133" t="str">
        <f>IF(E236=1,IF(INDEX('#建筑消耗和buff配置索引'!BY:BY,MATCH(D236,'#建筑消耗和buff配置索引'!A:A,0))=0,"",INDEX('#建筑消耗和buff配置索引'!BY:BY,MATCH(D236,'#建筑消耗和buff配置索引'!A:A,0))),"")</f>
        <v/>
      </c>
      <c r="W236" s="133" t="str">
        <f>IF(E236=1,IF(INDEX('#建筑消耗和buff配置索引'!BZ:BZ,MATCH(D236,'#建筑消耗和buff配置索引'!A:A,0))=0,"",INDEX('#建筑消耗和buff配置索引'!BZ:BZ,MATCH(D236,'#建筑消耗和buff配置索引'!A:A,0))),"")</f>
        <v/>
      </c>
      <c r="AA236" s="133">
        <f>INDEX('#建筑消耗和buff配置索引'!AO:AO,MATCH($F236,'#建筑消耗和buff配置索引'!$M:$M,0))</f>
        <v>109478</v>
      </c>
      <c r="AB236" s="133">
        <f>IF(INDEX('#建筑消耗和buff配置索引'!AR:AR,MATCH($F236,'#建筑消耗和buff配置索引'!$M:$M,0))=0,"",INDEX('#建筑消耗和buff配置索引'!AR:AR,MATCH($F236,'#建筑消耗和buff配置索引'!$M:$M,0)))</f>
        <v>4004</v>
      </c>
      <c r="AC236" s="133">
        <f>IF(AB236="","",INDEX('#建筑消耗和buff配置索引'!AS:AS,MATCH($F236,'#建筑消耗和buff配置索引'!$M:$M,0)))</f>
        <v>580000</v>
      </c>
      <c r="AF236" s="133" t="str">
        <f>IF(INDEX('#建筑消耗和buff配置索引'!AW:AW,MATCH($F236,'#建筑消耗和buff配置索引'!$M:$M,0))=0,"",INDEX('#建筑消耗和buff配置索引'!AW:AW,MATCH($F236,'#建筑消耗和buff配置索引'!$M:$M,0)))</f>
        <v/>
      </c>
      <c r="AG236" s="133" t="str">
        <f>IF(AF236="","",INDEX('#建筑消耗和buff配置索引'!AX:AX,MATCH($F236,'#建筑消耗和buff配置索引'!$M:$M,0)))</f>
        <v/>
      </c>
      <c r="AJ236" s="133" t="str">
        <f>IF(INDEX('#建筑消耗和buff配置索引'!BB:BB,MATCH($F236,'#建筑消耗和buff配置索引'!$M:$M,0))=0,"",INDEX('#建筑消耗和buff配置索引'!BB:BB,MATCH($F236,'#建筑消耗和buff配置索引'!$M:$M,0)))</f>
        <v/>
      </c>
      <c r="AK236" s="133" t="str">
        <f>IF(AJ236="","",INDEX('#建筑消耗和buff配置索引'!BC:BC,MATCH($F236,'#建筑消耗和buff配置索引'!$M:$M,0)))</f>
        <v/>
      </c>
      <c r="AN236" s="133" t="str">
        <f>IF(INDEX('#建筑消耗和buff配置索引'!BG:BG,MATCH($F236,'#建筑消耗和buff配置索引'!$M:$M,0))=0,"",INDEX('#建筑消耗和buff配置索引'!BG:BG,MATCH($F236,'#建筑消耗和buff配置索引'!$M:$M,0)))</f>
        <v/>
      </c>
      <c r="AO236" s="133" t="str">
        <f>IF(AN236="","",INDEX('#建筑消耗和buff配置索引'!BH:BH,MATCH($F236,'#建筑消耗和buff配置索引'!$M:$M,0)))</f>
        <v/>
      </c>
      <c r="AR236" s="133" t="str">
        <f>IF(INDEX('#建筑消耗和buff配置索引'!BK:BK,MATCH($F236,'#建筑消耗和buff配置索引'!$M:$M,0))=0,"",INDEX('#建筑消耗和buff配置索引'!BK:BK,MATCH($F236,'#建筑消耗和buff配置索引'!$M:$M,0)))</f>
        <v/>
      </c>
      <c r="AS236" s="133" t="str">
        <f>IF(AR236="","",INDEX('#建筑消耗和buff配置索引'!BL:BL,MATCH($F236,'#建筑消耗和buff配置索引'!$M:$M,0)))</f>
        <v/>
      </c>
      <c r="AV236" s="133" t="str">
        <f>IF(INDEX('#建筑消耗和buff配置索引'!BO:BO,MATCH($F236,'#建筑消耗和buff配置索引'!$M:$M,0))=0,"",INDEX('#建筑消耗和buff配置索引'!BO:BO,MATCH($F236,'#建筑消耗和buff配置索引'!$M:$M,0)))</f>
        <v/>
      </c>
      <c r="AW236" s="133" t="str">
        <f>IF(AV236="","",INDEX('#建筑消耗和buff配置索引'!BP:BP,MATCH($F236,'#建筑消耗和buff配置索引'!$M:$M,0)))</f>
        <v/>
      </c>
      <c r="AZ236" s="133" t="str">
        <f>IF(INDEX('#建筑消耗和buff配置索引'!BS:BS,MATCH($F236,'#建筑消耗和buff配置索引'!$M:$M,0))=0,"",INDEX('#建筑消耗和buff配置索引'!BS:BS,MATCH($F236,'#建筑消耗和buff配置索引'!$M:$M,0)))</f>
        <v/>
      </c>
      <c r="BA236" s="133" t="str">
        <f>IF(AZ236="","",INDEX('#建筑消耗和buff配置索引'!BT:BT,MATCH($F236,'#建筑消耗和buff配置索引'!$M:$M,0)))</f>
        <v/>
      </c>
      <c r="BD236" s="133" t="str">
        <f>IF(INDEX('#建筑消耗和buff配置索引'!BW:BW,MATCH($F236,'#建筑消耗和buff配置索引'!$M:$M,0))=0,"",INDEX('#建筑消耗和buff配置索引'!BW:BW,MATCH($F236,'#建筑消耗和buff配置索引'!$M:$M,0)))</f>
        <v/>
      </c>
      <c r="BE236" s="133" t="str">
        <f>IF(BD236="","",INDEX('#建筑消耗和buff配置索引'!BX:BX,MATCH($F236,'#建筑消耗和buff配置索引'!$M:$M,0)))</f>
        <v/>
      </c>
      <c r="BI236" s="133">
        <v>17</v>
      </c>
    </row>
    <row r="237" spans="1:61" s="133" customFormat="1">
      <c r="A237" s="133">
        <v>2150022</v>
      </c>
      <c r="B237" s="133">
        <v>234</v>
      </c>
      <c r="C237" s="133">
        <v>215</v>
      </c>
      <c r="D237" s="133" t="s">
        <v>418</v>
      </c>
      <c r="E237" s="133">
        <v>22</v>
      </c>
      <c r="F237" s="133" t="str">
        <f t="shared" si="5"/>
        <v>城墙22</v>
      </c>
      <c r="H237" s="146"/>
      <c r="I237" s="133">
        <v>4</v>
      </c>
      <c r="J237" s="150">
        <f>INDEX('#建筑消耗和buff配置索引'!AH:AH,MATCH($F237,'#建筑消耗和buff配置索引'!$M:$M,0))</f>
        <v>302400</v>
      </c>
      <c r="K237" s="150">
        <f>INDEX('#建筑消耗和buff配置索引'!AA:AA,MATCH($F237,'#建筑消耗和buff配置索引'!$M:$M,0))</f>
        <v>3200000</v>
      </c>
      <c r="L237" s="150">
        <f>INDEX('#建筑消耗和buff配置索引'!AB:AB,MATCH($F237,'#建筑消耗和buff配置索引'!$M:$M,0))</f>
        <v>3200000</v>
      </c>
      <c r="M237" s="150">
        <f>INDEX('#建筑消耗和buff配置索引'!AC:AC,MATCH($F237,'#建筑消耗和buff配置索引'!$M:$M,0))</f>
        <v>6400000</v>
      </c>
      <c r="N237" s="150">
        <f>INDEX('#建筑消耗和buff配置索引'!AD:AD,MATCH($F237,'#建筑消耗和buff配置索引'!$M:$M,0))</f>
        <v>3200000</v>
      </c>
      <c r="O237" s="150" t="str">
        <f>IF(INDEX('#建筑消耗和buff配置索引'!T:T,MATCH($F237,'#建筑消耗和buff配置索引'!$M:$M,0))=0,"",INDEX('#建筑消耗和buff配置索引'!T:T,MATCH($F237,'#建筑消耗和buff配置索引'!$M:$M,0)))</f>
        <v/>
      </c>
      <c r="P237" s="133" t="str">
        <f>IF(INDEX('#建筑消耗和buff配置索引'!U:U,MATCH($F237,'#建筑消耗和buff配置索引'!$M:$M,0))=0,"",INDEX('#建筑消耗和buff配置索引'!U:U,MATCH($F237,'#建筑消耗和buff配置索引'!$M:$M,0)))</f>
        <v/>
      </c>
      <c r="Q237" s="133" t="str">
        <f>IF(INDEX('#建筑消耗和buff配置索引'!K:K,MATCH($F237,'#建筑消耗和buff配置索引'!$M:$M,0))=0,"",INDEX('#建筑消耗和buff配置索引'!K:K,MATCH($F237,'#建筑消耗和buff配置索引'!$M:$M,0)))</f>
        <v>201;237</v>
      </c>
      <c r="R237" s="133" t="str">
        <f>IF(INDEX('#建筑消耗和buff配置索引'!L:L,MATCH($F237,'#建筑消耗和buff配置索引'!$M:$M,0))=0,"",INDEX('#建筑消耗和buff配置索引'!L:L,MATCH($F237,'#建筑消耗和buff配置索引'!$M:$M,0)))</f>
        <v>22;22</v>
      </c>
      <c r="S237" s="133">
        <f>IF(INDEX('#建筑消耗和buff配置索引'!C:C,MATCH(F237,'#建筑消耗和buff配置索引'!M:M,0))=0,1,INDEX('#建筑消耗和buff配置索引'!C:C,MATCH(F237,'#建筑消耗和buff配置索引'!M:M,0)))</f>
        <v>1</v>
      </c>
      <c r="T237" s="133">
        <v>0</v>
      </c>
      <c r="U237" s="133">
        <v>0</v>
      </c>
      <c r="V237" s="133" t="str">
        <f>IF(E237=1,IF(INDEX('#建筑消耗和buff配置索引'!BY:BY,MATCH(D237,'#建筑消耗和buff配置索引'!A:A,0))=0,"",INDEX('#建筑消耗和buff配置索引'!BY:BY,MATCH(D237,'#建筑消耗和buff配置索引'!A:A,0))),"")</f>
        <v/>
      </c>
      <c r="W237" s="133" t="str">
        <f>IF(E237=1,IF(INDEX('#建筑消耗和buff配置索引'!BZ:BZ,MATCH(D237,'#建筑消耗和buff配置索引'!A:A,0))=0,"",INDEX('#建筑消耗和buff配置索引'!BZ:BZ,MATCH(D237,'#建筑消耗和buff配置索引'!A:A,0))),"")</f>
        <v/>
      </c>
      <c r="AA237" s="133">
        <f>INDEX('#建筑消耗和buff配置索引'!AO:AO,MATCH($F237,'#建筑消耗和buff配置索引'!$M:$M,0))</f>
        <v>141640</v>
      </c>
      <c r="AB237" s="133">
        <f>IF(INDEX('#建筑消耗和buff配置索引'!AR:AR,MATCH($F237,'#建筑消耗和buff配置索引'!$M:$M,0))=0,"",INDEX('#建筑消耗和buff配置索引'!AR:AR,MATCH($F237,'#建筑消耗和buff配置索引'!$M:$M,0)))</f>
        <v>4004</v>
      </c>
      <c r="AC237" s="133">
        <f>IF(AB237="","",INDEX('#建筑消耗和buff配置索引'!AS:AS,MATCH($F237,'#建筑消耗和buff配置索引'!$M:$M,0)))</f>
        <v>610000</v>
      </c>
      <c r="AF237" s="133" t="str">
        <f>IF(INDEX('#建筑消耗和buff配置索引'!AW:AW,MATCH($F237,'#建筑消耗和buff配置索引'!$M:$M,0))=0,"",INDEX('#建筑消耗和buff配置索引'!AW:AW,MATCH($F237,'#建筑消耗和buff配置索引'!$M:$M,0)))</f>
        <v/>
      </c>
      <c r="AG237" s="133" t="str">
        <f>IF(AF237="","",INDEX('#建筑消耗和buff配置索引'!AX:AX,MATCH($F237,'#建筑消耗和buff配置索引'!$M:$M,0)))</f>
        <v/>
      </c>
      <c r="AJ237" s="133" t="str">
        <f>IF(INDEX('#建筑消耗和buff配置索引'!BB:BB,MATCH($F237,'#建筑消耗和buff配置索引'!$M:$M,0))=0,"",INDEX('#建筑消耗和buff配置索引'!BB:BB,MATCH($F237,'#建筑消耗和buff配置索引'!$M:$M,0)))</f>
        <v/>
      </c>
      <c r="AK237" s="133" t="str">
        <f>IF(AJ237="","",INDEX('#建筑消耗和buff配置索引'!BC:BC,MATCH($F237,'#建筑消耗和buff配置索引'!$M:$M,0)))</f>
        <v/>
      </c>
      <c r="AN237" s="133" t="str">
        <f>IF(INDEX('#建筑消耗和buff配置索引'!BG:BG,MATCH($F237,'#建筑消耗和buff配置索引'!$M:$M,0))=0,"",INDEX('#建筑消耗和buff配置索引'!BG:BG,MATCH($F237,'#建筑消耗和buff配置索引'!$M:$M,0)))</f>
        <v/>
      </c>
      <c r="AO237" s="133" t="str">
        <f>IF(AN237="","",INDEX('#建筑消耗和buff配置索引'!BH:BH,MATCH($F237,'#建筑消耗和buff配置索引'!$M:$M,0)))</f>
        <v/>
      </c>
      <c r="AR237" s="133" t="str">
        <f>IF(INDEX('#建筑消耗和buff配置索引'!BK:BK,MATCH($F237,'#建筑消耗和buff配置索引'!$M:$M,0))=0,"",INDEX('#建筑消耗和buff配置索引'!BK:BK,MATCH($F237,'#建筑消耗和buff配置索引'!$M:$M,0)))</f>
        <v/>
      </c>
      <c r="AS237" s="133" t="str">
        <f>IF(AR237="","",INDEX('#建筑消耗和buff配置索引'!BL:BL,MATCH($F237,'#建筑消耗和buff配置索引'!$M:$M,0)))</f>
        <v/>
      </c>
      <c r="AV237" s="133" t="str">
        <f>IF(INDEX('#建筑消耗和buff配置索引'!BO:BO,MATCH($F237,'#建筑消耗和buff配置索引'!$M:$M,0))=0,"",INDEX('#建筑消耗和buff配置索引'!BO:BO,MATCH($F237,'#建筑消耗和buff配置索引'!$M:$M,0)))</f>
        <v/>
      </c>
      <c r="AW237" s="133" t="str">
        <f>IF(AV237="","",INDEX('#建筑消耗和buff配置索引'!BP:BP,MATCH($F237,'#建筑消耗和buff配置索引'!$M:$M,0)))</f>
        <v/>
      </c>
      <c r="AZ237" s="133" t="str">
        <f>IF(INDEX('#建筑消耗和buff配置索引'!BS:BS,MATCH($F237,'#建筑消耗和buff配置索引'!$M:$M,0))=0,"",INDEX('#建筑消耗和buff配置索引'!BS:BS,MATCH($F237,'#建筑消耗和buff配置索引'!$M:$M,0)))</f>
        <v/>
      </c>
      <c r="BA237" s="133" t="str">
        <f>IF(AZ237="","",INDEX('#建筑消耗和buff配置索引'!BT:BT,MATCH($F237,'#建筑消耗和buff配置索引'!$M:$M,0)))</f>
        <v/>
      </c>
      <c r="BD237" s="133" t="str">
        <f>IF(INDEX('#建筑消耗和buff配置索引'!BW:BW,MATCH($F237,'#建筑消耗和buff配置索引'!$M:$M,0))=0,"",INDEX('#建筑消耗和buff配置索引'!BW:BW,MATCH($F237,'#建筑消耗和buff配置索引'!$M:$M,0)))</f>
        <v/>
      </c>
      <c r="BE237" s="133" t="str">
        <f>IF(BD237="","",INDEX('#建筑消耗和buff配置索引'!BX:BX,MATCH($F237,'#建筑消耗和buff配置索引'!$M:$M,0)))</f>
        <v/>
      </c>
      <c r="BI237" s="133">
        <v>17</v>
      </c>
    </row>
    <row r="238" spans="1:61" s="133" customFormat="1">
      <c r="A238" s="133">
        <v>2150023</v>
      </c>
      <c r="B238" s="133">
        <v>235</v>
      </c>
      <c r="C238" s="133">
        <v>215</v>
      </c>
      <c r="D238" s="133" t="s">
        <v>418</v>
      </c>
      <c r="E238" s="133">
        <v>23</v>
      </c>
      <c r="F238" s="133" t="str">
        <f t="shared" si="5"/>
        <v>城墙23</v>
      </c>
      <c r="H238" s="146"/>
      <c r="I238" s="133">
        <v>4</v>
      </c>
      <c r="J238" s="150">
        <f>INDEX('#建筑消耗和buff配置索引'!AH:AH,MATCH($F238,'#建筑消耗和buff配置索引'!$M:$M,0))</f>
        <v>388800</v>
      </c>
      <c r="K238" s="150">
        <f>INDEX('#建筑消耗和buff配置索引'!AA:AA,MATCH($F238,'#建筑消耗和buff配置索引'!$M:$M,0))</f>
        <v>4100000</v>
      </c>
      <c r="L238" s="150">
        <f>INDEX('#建筑消耗和buff配置索引'!AB:AB,MATCH($F238,'#建筑消耗和buff配置索引'!$M:$M,0))</f>
        <v>4100000</v>
      </c>
      <c r="M238" s="150">
        <f>INDEX('#建筑消耗和buff配置索引'!AC:AC,MATCH($F238,'#建筑消耗和buff配置索引'!$M:$M,0))</f>
        <v>8200000</v>
      </c>
      <c r="N238" s="150">
        <f>INDEX('#建筑消耗和buff配置索引'!AD:AD,MATCH($F238,'#建筑消耗和buff配置索引'!$M:$M,0))</f>
        <v>4100000</v>
      </c>
      <c r="O238" s="150" t="str">
        <f>IF(INDEX('#建筑消耗和buff配置索引'!T:T,MATCH($F238,'#建筑消耗和buff配置索引'!$M:$M,0))=0,"",INDEX('#建筑消耗和buff配置索引'!T:T,MATCH($F238,'#建筑消耗和buff配置索引'!$M:$M,0)))</f>
        <v/>
      </c>
      <c r="P238" s="133" t="str">
        <f>IF(INDEX('#建筑消耗和buff配置索引'!U:U,MATCH($F238,'#建筑消耗和buff配置索引'!$M:$M,0))=0,"",INDEX('#建筑消耗和buff配置索引'!U:U,MATCH($F238,'#建筑消耗和buff配置索引'!$M:$M,0)))</f>
        <v/>
      </c>
      <c r="Q238" s="133" t="str">
        <f>IF(INDEX('#建筑消耗和buff配置索引'!K:K,MATCH($F238,'#建筑消耗和buff配置索引'!$M:$M,0))=0,"",INDEX('#建筑消耗和buff配置索引'!K:K,MATCH($F238,'#建筑消耗和buff配置索引'!$M:$M,0)))</f>
        <v>201;237</v>
      </c>
      <c r="R238" s="133" t="str">
        <f>IF(INDEX('#建筑消耗和buff配置索引'!L:L,MATCH($F238,'#建筑消耗和buff配置索引'!$M:$M,0))=0,"",INDEX('#建筑消耗和buff配置索引'!L:L,MATCH($F238,'#建筑消耗和buff配置索引'!$M:$M,0)))</f>
        <v>23;23</v>
      </c>
      <c r="S238" s="133">
        <f>IF(INDEX('#建筑消耗和buff配置索引'!C:C,MATCH(F238,'#建筑消耗和buff配置索引'!M:M,0))=0,1,INDEX('#建筑消耗和buff配置索引'!C:C,MATCH(F238,'#建筑消耗和buff配置索引'!M:M,0)))</f>
        <v>1</v>
      </c>
      <c r="T238" s="133">
        <v>0</v>
      </c>
      <c r="U238" s="133">
        <v>0</v>
      </c>
      <c r="V238" s="133" t="str">
        <f>IF(E238=1,IF(INDEX('#建筑消耗和buff配置索引'!BY:BY,MATCH(D238,'#建筑消耗和buff配置索引'!A:A,0))=0,"",INDEX('#建筑消耗和buff配置索引'!BY:BY,MATCH(D238,'#建筑消耗和buff配置索引'!A:A,0))),"")</f>
        <v/>
      </c>
      <c r="W238" s="133" t="str">
        <f>IF(E238=1,IF(INDEX('#建筑消耗和buff配置索引'!BZ:BZ,MATCH(D238,'#建筑消耗和buff配置索引'!A:A,0))=0,"",INDEX('#建筑消耗和buff配置索引'!BZ:BZ,MATCH(D238,'#建筑消耗和buff配置索引'!A:A,0))),"")</f>
        <v/>
      </c>
      <c r="AA238" s="133">
        <f>INDEX('#建筑消耗和buff配置索引'!AO:AO,MATCH($F238,'#建筑消耗和buff配置索引'!$M:$M,0))</f>
        <v>182806</v>
      </c>
      <c r="AB238" s="133">
        <f>IF(INDEX('#建筑消耗和buff配置索引'!AR:AR,MATCH($F238,'#建筑消耗和buff配置索引'!$M:$M,0))=0,"",INDEX('#建筑消耗和buff配置索引'!AR:AR,MATCH($F238,'#建筑消耗和buff配置索引'!$M:$M,0)))</f>
        <v>4004</v>
      </c>
      <c r="AC238" s="133">
        <f>IF(AB238="","",INDEX('#建筑消耗和buff配置索引'!AS:AS,MATCH($F238,'#建筑消耗和buff配置索引'!$M:$M,0)))</f>
        <v>640000</v>
      </c>
      <c r="AF238" s="133" t="str">
        <f>IF(INDEX('#建筑消耗和buff配置索引'!AW:AW,MATCH($F238,'#建筑消耗和buff配置索引'!$M:$M,0))=0,"",INDEX('#建筑消耗和buff配置索引'!AW:AW,MATCH($F238,'#建筑消耗和buff配置索引'!$M:$M,0)))</f>
        <v/>
      </c>
      <c r="AG238" s="133" t="str">
        <f>IF(AF238="","",INDEX('#建筑消耗和buff配置索引'!AX:AX,MATCH($F238,'#建筑消耗和buff配置索引'!$M:$M,0)))</f>
        <v/>
      </c>
      <c r="AJ238" s="133" t="str">
        <f>IF(INDEX('#建筑消耗和buff配置索引'!BB:BB,MATCH($F238,'#建筑消耗和buff配置索引'!$M:$M,0))=0,"",INDEX('#建筑消耗和buff配置索引'!BB:BB,MATCH($F238,'#建筑消耗和buff配置索引'!$M:$M,0)))</f>
        <v/>
      </c>
      <c r="AK238" s="133" t="str">
        <f>IF(AJ238="","",INDEX('#建筑消耗和buff配置索引'!BC:BC,MATCH($F238,'#建筑消耗和buff配置索引'!$M:$M,0)))</f>
        <v/>
      </c>
      <c r="AN238" s="133" t="str">
        <f>IF(INDEX('#建筑消耗和buff配置索引'!BG:BG,MATCH($F238,'#建筑消耗和buff配置索引'!$M:$M,0))=0,"",INDEX('#建筑消耗和buff配置索引'!BG:BG,MATCH($F238,'#建筑消耗和buff配置索引'!$M:$M,0)))</f>
        <v/>
      </c>
      <c r="AO238" s="133" t="str">
        <f>IF(AN238="","",INDEX('#建筑消耗和buff配置索引'!BH:BH,MATCH($F238,'#建筑消耗和buff配置索引'!$M:$M,0)))</f>
        <v/>
      </c>
      <c r="AR238" s="133" t="str">
        <f>IF(INDEX('#建筑消耗和buff配置索引'!BK:BK,MATCH($F238,'#建筑消耗和buff配置索引'!$M:$M,0))=0,"",INDEX('#建筑消耗和buff配置索引'!BK:BK,MATCH($F238,'#建筑消耗和buff配置索引'!$M:$M,0)))</f>
        <v/>
      </c>
      <c r="AS238" s="133" t="str">
        <f>IF(AR238="","",INDEX('#建筑消耗和buff配置索引'!BL:BL,MATCH($F238,'#建筑消耗和buff配置索引'!$M:$M,0)))</f>
        <v/>
      </c>
      <c r="AV238" s="133" t="str">
        <f>IF(INDEX('#建筑消耗和buff配置索引'!BO:BO,MATCH($F238,'#建筑消耗和buff配置索引'!$M:$M,0))=0,"",INDEX('#建筑消耗和buff配置索引'!BO:BO,MATCH($F238,'#建筑消耗和buff配置索引'!$M:$M,0)))</f>
        <v/>
      </c>
      <c r="AW238" s="133" t="str">
        <f>IF(AV238="","",INDEX('#建筑消耗和buff配置索引'!BP:BP,MATCH($F238,'#建筑消耗和buff配置索引'!$M:$M,0)))</f>
        <v/>
      </c>
      <c r="AZ238" s="133" t="str">
        <f>IF(INDEX('#建筑消耗和buff配置索引'!BS:BS,MATCH($F238,'#建筑消耗和buff配置索引'!$M:$M,0))=0,"",INDEX('#建筑消耗和buff配置索引'!BS:BS,MATCH($F238,'#建筑消耗和buff配置索引'!$M:$M,0)))</f>
        <v/>
      </c>
      <c r="BA238" s="133" t="str">
        <f>IF(AZ238="","",INDEX('#建筑消耗和buff配置索引'!BT:BT,MATCH($F238,'#建筑消耗和buff配置索引'!$M:$M,0)))</f>
        <v/>
      </c>
      <c r="BD238" s="133" t="str">
        <f>IF(INDEX('#建筑消耗和buff配置索引'!BW:BW,MATCH($F238,'#建筑消耗和buff配置索引'!$M:$M,0))=0,"",INDEX('#建筑消耗和buff配置索引'!BW:BW,MATCH($F238,'#建筑消耗和buff配置索引'!$M:$M,0)))</f>
        <v/>
      </c>
      <c r="BE238" s="133" t="str">
        <f>IF(BD238="","",INDEX('#建筑消耗和buff配置索引'!BX:BX,MATCH($F238,'#建筑消耗和buff配置索引'!$M:$M,0)))</f>
        <v/>
      </c>
      <c r="BI238" s="133">
        <v>17</v>
      </c>
    </row>
    <row r="239" spans="1:61" s="133" customFormat="1">
      <c r="A239" s="133">
        <v>2150024</v>
      </c>
      <c r="B239" s="133">
        <v>236</v>
      </c>
      <c r="C239" s="133">
        <v>215</v>
      </c>
      <c r="D239" s="133" t="s">
        <v>418</v>
      </c>
      <c r="E239" s="133">
        <v>24</v>
      </c>
      <c r="F239" s="133" t="str">
        <f t="shared" si="5"/>
        <v>城墙24</v>
      </c>
      <c r="H239" s="146"/>
      <c r="I239" s="133">
        <v>4</v>
      </c>
      <c r="J239" s="150">
        <f>INDEX('#建筑消耗和buff配置索引'!AH:AH,MATCH($F239,'#建筑消耗和buff配置索引'!$M:$M,0))</f>
        <v>496800</v>
      </c>
      <c r="K239" s="150">
        <f>INDEX('#建筑消耗和buff配置索引'!AA:AA,MATCH($F239,'#建筑消耗和buff配置索引'!$M:$M,0))</f>
        <v>5300000</v>
      </c>
      <c r="L239" s="150">
        <f>INDEX('#建筑消耗和buff配置索引'!AB:AB,MATCH($F239,'#建筑消耗和buff配置索引'!$M:$M,0))</f>
        <v>5300000</v>
      </c>
      <c r="M239" s="150">
        <f>INDEX('#建筑消耗和buff配置索引'!AC:AC,MATCH($F239,'#建筑消耗和buff配置索引'!$M:$M,0))</f>
        <v>11000000</v>
      </c>
      <c r="N239" s="150">
        <f>INDEX('#建筑消耗和buff配置索引'!AD:AD,MATCH($F239,'#建筑消耗和buff配置索引'!$M:$M,0))</f>
        <v>5300000</v>
      </c>
      <c r="O239" s="150" t="str">
        <f>IF(INDEX('#建筑消耗和buff配置索引'!T:T,MATCH($F239,'#建筑消耗和buff配置索引'!$M:$M,0))=0,"",INDEX('#建筑消耗和buff配置索引'!T:T,MATCH($F239,'#建筑消耗和buff配置索引'!$M:$M,0)))</f>
        <v/>
      </c>
      <c r="P239" s="133" t="str">
        <f>IF(INDEX('#建筑消耗和buff配置索引'!U:U,MATCH($F239,'#建筑消耗和buff配置索引'!$M:$M,0))=0,"",INDEX('#建筑消耗和buff配置索引'!U:U,MATCH($F239,'#建筑消耗和buff配置索引'!$M:$M,0)))</f>
        <v/>
      </c>
      <c r="Q239" s="133" t="str">
        <f>IF(INDEX('#建筑消耗和buff配置索引'!K:K,MATCH($F239,'#建筑消耗和buff配置索引'!$M:$M,0))=0,"",INDEX('#建筑消耗和buff配置索引'!K:K,MATCH($F239,'#建筑消耗和buff配置索引'!$M:$M,0)))</f>
        <v>201;237</v>
      </c>
      <c r="R239" s="133" t="str">
        <f>IF(INDEX('#建筑消耗和buff配置索引'!L:L,MATCH($F239,'#建筑消耗和buff配置索引'!$M:$M,0))=0,"",INDEX('#建筑消耗和buff配置索引'!L:L,MATCH($F239,'#建筑消耗和buff配置索引'!$M:$M,0)))</f>
        <v>24;24</v>
      </c>
      <c r="S239" s="133">
        <f>IF(INDEX('#建筑消耗和buff配置索引'!C:C,MATCH(F239,'#建筑消耗和buff配置索引'!M:M,0))=0,1,INDEX('#建筑消耗和buff配置索引'!C:C,MATCH(F239,'#建筑消耗和buff配置索引'!M:M,0)))</f>
        <v>1</v>
      </c>
      <c r="T239" s="133">
        <v>0</v>
      </c>
      <c r="U239" s="133">
        <v>0</v>
      </c>
      <c r="V239" s="133" t="str">
        <f>IF(E239=1,IF(INDEX('#建筑消耗和buff配置索引'!BY:BY,MATCH(D239,'#建筑消耗和buff配置索引'!A:A,0))=0,"",INDEX('#建筑消耗和buff配置索引'!BY:BY,MATCH(D239,'#建筑消耗和buff配置索引'!A:A,0))),"")</f>
        <v/>
      </c>
      <c r="W239" s="133" t="str">
        <f>IF(E239=1,IF(INDEX('#建筑消耗和buff配置索引'!BZ:BZ,MATCH(D239,'#建筑消耗和buff配置索引'!A:A,0))=0,"",INDEX('#建筑消耗和buff配置索引'!BZ:BZ,MATCH(D239,'#建筑消耗和buff配置索引'!A:A,0))),"")</f>
        <v/>
      </c>
      <c r="AA239" s="133">
        <f>INDEX('#建筑消耗和buff配置索引'!AO:AO,MATCH($F239,'#建筑消耗和buff配置索引'!$M:$M,0))</f>
        <v>235500</v>
      </c>
      <c r="AB239" s="133">
        <f>IF(INDEX('#建筑消耗和buff配置索引'!AR:AR,MATCH($F239,'#建筑消耗和buff配置索引'!$M:$M,0))=0,"",INDEX('#建筑消耗和buff配置索引'!AR:AR,MATCH($F239,'#建筑消耗和buff配置索引'!$M:$M,0)))</f>
        <v>4004</v>
      </c>
      <c r="AC239" s="133">
        <f>IF(AB239="","",INDEX('#建筑消耗和buff配置索引'!AS:AS,MATCH($F239,'#建筑消耗和buff配置索引'!$M:$M,0)))</f>
        <v>670000</v>
      </c>
      <c r="AF239" s="133" t="str">
        <f>IF(INDEX('#建筑消耗和buff配置索引'!AW:AW,MATCH($F239,'#建筑消耗和buff配置索引'!$M:$M,0))=0,"",INDEX('#建筑消耗和buff配置索引'!AW:AW,MATCH($F239,'#建筑消耗和buff配置索引'!$M:$M,0)))</f>
        <v/>
      </c>
      <c r="AG239" s="133" t="str">
        <f>IF(AF239="","",INDEX('#建筑消耗和buff配置索引'!AX:AX,MATCH($F239,'#建筑消耗和buff配置索引'!$M:$M,0)))</f>
        <v/>
      </c>
      <c r="AJ239" s="133" t="str">
        <f>IF(INDEX('#建筑消耗和buff配置索引'!BB:BB,MATCH($F239,'#建筑消耗和buff配置索引'!$M:$M,0))=0,"",INDEX('#建筑消耗和buff配置索引'!BB:BB,MATCH($F239,'#建筑消耗和buff配置索引'!$M:$M,0)))</f>
        <v/>
      </c>
      <c r="AK239" s="133" t="str">
        <f>IF(AJ239="","",INDEX('#建筑消耗和buff配置索引'!BC:BC,MATCH($F239,'#建筑消耗和buff配置索引'!$M:$M,0)))</f>
        <v/>
      </c>
      <c r="AN239" s="133" t="str">
        <f>IF(INDEX('#建筑消耗和buff配置索引'!BG:BG,MATCH($F239,'#建筑消耗和buff配置索引'!$M:$M,0))=0,"",INDEX('#建筑消耗和buff配置索引'!BG:BG,MATCH($F239,'#建筑消耗和buff配置索引'!$M:$M,0)))</f>
        <v/>
      </c>
      <c r="AO239" s="133" t="str">
        <f>IF(AN239="","",INDEX('#建筑消耗和buff配置索引'!BH:BH,MATCH($F239,'#建筑消耗和buff配置索引'!$M:$M,0)))</f>
        <v/>
      </c>
      <c r="AR239" s="133" t="str">
        <f>IF(INDEX('#建筑消耗和buff配置索引'!BK:BK,MATCH($F239,'#建筑消耗和buff配置索引'!$M:$M,0))=0,"",INDEX('#建筑消耗和buff配置索引'!BK:BK,MATCH($F239,'#建筑消耗和buff配置索引'!$M:$M,0)))</f>
        <v/>
      </c>
      <c r="AS239" s="133" t="str">
        <f>IF(AR239="","",INDEX('#建筑消耗和buff配置索引'!BL:BL,MATCH($F239,'#建筑消耗和buff配置索引'!$M:$M,0)))</f>
        <v/>
      </c>
      <c r="AV239" s="133" t="str">
        <f>IF(INDEX('#建筑消耗和buff配置索引'!BO:BO,MATCH($F239,'#建筑消耗和buff配置索引'!$M:$M,0))=0,"",INDEX('#建筑消耗和buff配置索引'!BO:BO,MATCH($F239,'#建筑消耗和buff配置索引'!$M:$M,0)))</f>
        <v/>
      </c>
      <c r="AW239" s="133" t="str">
        <f>IF(AV239="","",INDEX('#建筑消耗和buff配置索引'!BP:BP,MATCH($F239,'#建筑消耗和buff配置索引'!$M:$M,0)))</f>
        <v/>
      </c>
      <c r="AZ239" s="133" t="str">
        <f>IF(INDEX('#建筑消耗和buff配置索引'!BS:BS,MATCH($F239,'#建筑消耗和buff配置索引'!$M:$M,0))=0,"",INDEX('#建筑消耗和buff配置索引'!BS:BS,MATCH($F239,'#建筑消耗和buff配置索引'!$M:$M,0)))</f>
        <v/>
      </c>
      <c r="BA239" s="133" t="str">
        <f>IF(AZ239="","",INDEX('#建筑消耗和buff配置索引'!BT:BT,MATCH($F239,'#建筑消耗和buff配置索引'!$M:$M,0)))</f>
        <v/>
      </c>
      <c r="BD239" s="133" t="str">
        <f>IF(INDEX('#建筑消耗和buff配置索引'!BW:BW,MATCH($F239,'#建筑消耗和buff配置索引'!$M:$M,0))=0,"",INDEX('#建筑消耗和buff配置索引'!BW:BW,MATCH($F239,'#建筑消耗和buff配置索引'!$M:$M,0)))</f>
        <v/>
      </c>
      <c r="BE239" s="133" t="str">
        <f>IF(BD239="","",INDEX('#建筑消耗和buff配置索引'!BX:BX,MATCH($F239,'#建筑消耗和buff配置索引'!$M:$M,0)))</f>
        <v/>
      </c>
      <c r="BI239" s="133">
        <v>17</v>
      </c>
    </row>
    <row r="240" spans="1:61" s="133" customFormat="1">
      <c r="A240" s="133">
        <v>2150025</v>
      </c>
      <c r="B240" s="133">
        <v>237</v>
      </c>
      <c r="C240" s="133">
        <v>215</v>
      </c>
      <c r="D240" s="133" t="s">
        <v>418</v>
      </c>
      <c r="E240" s="133">
        <v>25</v>
      </c>
      <c r="F240" s="133" t="str">
        <f t="shared" si="5"/>
        <v>城墙25</v>
      </c>
      <c r="H240" s="146"/>
      <c r="I240" s="133">
        <v>4</v>
      </c>
      <c r="J240" s="150">
        <f>INDEX('#建筑消耗和buff配置索引'!AH:AH,MATCH($F240,'#建筑消耗和buff配置索引'!$M:$M,0))</f>
        <v>626400</v>
      </c>
      <c r="K240" s="150">
        <f>INDEX('#建筑消耗和buff配置索引'!AA:AA,MATCH($F240,'#建筑消耗和buff配置索引'!$M:$M,0))</f>
        <v>6700000</v>
      </c>
      <c r="L240" s="150">
        <f>INDEX('#建筑消耗和buff配置索引'!AB:AB,MATCH($F240,'#建筑消耗和buff配置索引'!$M:$M,0))</f>
        <v>6700000</v>
      </c>
      <c r="M240" s="150">
        <f>INDEX('#建筑消耗和buff配置索引'!AC:AC,MATCH($F240,'#建筑消耗和buff配置索引'!$M:$M,0))</f>
        <v>13000000</v>
      </c>
      <c r="N240" s="150">
        <f>INDEX('#建筑消耗和buff配置索引'!AD:AD,MATCH($F240,'#建筑消耗和buff配置索引'!$M:$M,0))</f>
        <v>6700000</v>
      </c>
      <c r="O240" s="150" t="str">
        <f>IF(INDEX('#建筑消耗和buff配置索引'!T:T,MATCH($F240,'#建筑消耗和buff配置索引'!$M:$M,0))=0,"",INDEX('#建筑消耗和buff配置索引'!T:T,MATCH($F240,'#建筑消耗和buff配置索引'!$M:$M,0)))</f>
        <v/>
      </c>
      <c r="P240" s="133" t="str">
        <f>IF(INDEX('#建筑消耗和buff配置索引'!U:U,MATCH($F240,'#建筑消耗和buff配置索引'!$M:$M,0))=0,"",INDEX('#建筑消耗和buff配置索引'!U:U,MATCH($F240,'#建筑消耗和buff配置索引'!$M:$M,0)))</f>
        <v/>
      </c>
      <c r="Q240" s="133" t="str">
        <f>IF(INDEX('#建筑消耗和buff配置索引'!K:K,MATCH($F240,'#建筑消耗和buff配置索引'!$M:$M,0))=0,"",INDEX('#建筑消耗和buff配置索引'!K:K,MATCH($F240,'#建筑消耗和buff配置索引'!$M:$M,0)))</f>
        <v>201;237</v>
      </c>
      <c r="R240" s="133" t="str">
        <f>IF(INDEX('#建筑消耗和buff配置索引'!L:L,MATCH($F240,'#建筑消耗和buff配置索引'!$M:$M,0))=0,"",INDEX('#建筑消耗和buff配置索引'!L:L,MATCH($F240,'#建筑消耗和buff配置索引'!$M:$M,0)))</f>
        <v>25;25</v>
      </c>
      <c r="S240" s="133">
        <f>IF(INDEX('#建筑消耗和buff配置索引'!C:C,MATCH(F240,'#建筑消耗和buff配置索引'!M:M,0))=0,1,INDEX('#建筑消耗和buff配置索引'!C:C,MATCH(F240,'#建筑消耗和buff配置索引'!M:M,0)))</f>
        <v>1</v>
      </c>
      <c r="T240" s="133">
        <v>0</v>
      </c>
      <c r="U240" s="133">
        <v>0</v>
      </c>
      <c r="V240" s="133" t="str">
        <f>IF(E240=1,IF(INDEX('#建筑消耗和buff配置索引'!BY:BY,MATCH(D240,'#建筑消耗和buff配置索引'!A:A,0))=0,"",INDEX('#建筑消耗和buff配置索引'!BY:BY,MATCH(D240,'#建筑消耗和buff配置索引'!A:A,0))),"")</f>
        <v/>
      </c>
      <c r="W240" s="133" t="str">
        <f>IF(E240=1,IF(INDEX('#建筑消耗和buff配置索引'!BZ:BZ,MATCH(D240,'#建筑消耗和buff配置索引'!A:A,0))=0,"",INDEX('#建筑消耗和buff配置索引'!BZ:BZ,MATCH(D240,'#建筑消耗和buff配置索引'!A:A,0))),"")</f>
        <v/>
      </c>
      <c r="AA240" s="133">
        <f>INDEX('#建筑消耗和buff配置索引'!AO:AO,MATCH($F240,'#建筑消耗和buff配置索引'!$M:$M,0))</f>
        <v>302947</v>
      </c>
      <c r="AB240" s="133">
        <f>IF(INDEX('#建筑消耗和buff配置索引'!AR:AR,MATCH($F240,'#建筑消耗和buff配置索引'!$M:$M,0))=0,"",INDEX('#建筑消耗和buff配置索引'!AR:AR,MATCH($F240,'#建筑消耗和buff配置索引'!$M:$M,0)))</f>
        <v>4004</v>
      </c>
      <c r="AC240" s="133">
        <f>IF(AB240="","",INDEX('#建筑消耗和buff配置索引'!AS:AS,MATCH($F240,'#建筑消耗和buff配置索引'!$M:$M,0)))</f>
        <v>700000</v>
      </c>
      <c r="AF240" s="133" t="str">
        <f>IF(INDEX('#建筑消耗和buff配置索引'!AW:AW,MATCH($F240,'#建筑消耗和buff配置索引'!$M:$M,0))=0,"",INDEX('#建筑消耗和buff配置索引'!AW:AW,MATCH($F240,'#建筑消耗和buff配置索引'!$M:$M,0)))</f>
        <v/>
      </c>
      <c r="AG240" s="133" t="str">
        <f>IF(AF240="","",INDEX('#建筑消耗和buff配置索引'!AX:AX,MATCH($F240,'#建筑消耗和buff配置索引'!$M:$M,0)))</f>
        <v/>
      </c>
      <c r="AJ240" s="133" t="str">
        <f>IF(INDEX('#建筑消耗和buff配置索引'!BB:BB,MATCH($F240,'#建筑消耗和buff配置索引'!$M:$M,0))=0,"",INDEX('#建筑消耗和buff配置索引'!BB:BB,MATCH($F240,'#建筑消耗和buff配置索引'!$M:$M,0)))</f>
        <v/>
      </c>
      <c r="AK240" s="133" t="str">
        <f>IF(AJ240="","",INDEX('#建筑消耗和buff配置索引'!BC:BC,MATCH($F240,'#建筑消耗和buff配置索引'!$M:$M,0)))</f>
        <v/>
      </c>
      <c r="AN240" s="133" t="str">
        <f>IF(INDEX('#建筑消耗和buff配置索引'!BG:BG,MATCH($F240,'#建筑消耗和buff配置索引'!$M:$M,0))=0,"",INDEX('#建筑消耗和buff配置索引'!BG:BG,MATCH($F240,'#建筑消耗和buff配置索引'!$M:$M,0)))</f>
        <v/>
      </c>
      <c r="AO240" s="133" t="str">
        <f>IF(AN240="","",INDEX('#建筑消耗和buff配置索引'!BH:BH,MATCH($F240,'#建筑消耗和buff配置索引'!$M:$M,0)))</f>
        <v/>
      </c>
      <c r="AR240" s="133" t="str">
        <f>IF(INDEX('#建筑消耗和buff配置索引'!BK:BK,MATCH($F240,'#建筑消耗和buff配置索引'!$M:$M,0))=0,"",INDEX('#建筑消耗和buff配置索引'!BK:BK,MATCH($F240,'#建筑消耗和buff配置索引'!$M:$M,0)))</f>
        <v/>
      </c>
      <c r="AS240" s="133" t="str">
        <f>IF(AR240="","",INDEX('#建筑消耗和buff配置索引'!BL:BL,MATCH($F240,'#建筑消耗和buff配置索引'!$M:$M,0)))</f>
        <v/>
      </c>
      <c r="AV240" s="133" t="str">
        <f>IF(INDEX('#建筑消耗和buff配置索引'!BO:BO,MATCH($F240,'#建筑消耗和buff配置索引'!$M:$M,0))=0,"",INDEX('#建筑消耗和buff配置索引'!BO:BO,MATCH($F240,'#建筑消耗和buff配置索引'!$M:$M,0)))</f>
        <v/>
      </c>
      <c r="AW240" s="133" t="str">
        <f>IF(AV240="","",INDEX('#建筑消耗和buff配置索引'!BP:BP,MATCH($F240,'#建筑消耗和buff配置索引'!$M:$M,0)))</f>
        <v/>
      </c>
      <c r="AZ240" s="133" t="str">
        <f>IF(INDEX('#建筑消耗和buff配置索引'!BS:BS,MATCH($F240,'#建筑消耗和buff配置索引'!$M:$M,0))=0,"",INDEX('#建筑消耗和buff配置索引'!BS:BS,MATCH($F240,'#建筑消耗和buff配置索引'!$M:$M,0)))</f>
        <v/>
      </c>
      <c r="BA240" s="133" t="str">
        <f>IF(AZ240="","",INDEX('#建筑消耗和buff配置索引'!BT:BT,MATCH($F240,'#建筑消耗和buff配置索引'!$M:$M,0)))</f>
        <v/>
      </c>
      <c r="BD240" s="133" t="str">
        <f>IF(INDEX('#建筑消耗和buff配置索引'!BW:BW,MATCH($F240,'#建筑消耗和buff配置索引'!$M:$M,0))=0,"",INDEX('#建筑消耗和buff配置索引'!BW:BW,MATCH($F240,'#建筑消耗和buff配置索引'!$M:$M,0)))</f>
        <v/>
      </c>
      <c r="BE240" s="133" t="str">
        <f>IF(BD240="","",INDEX('#建筑消耗和buff配置索引'!BX:BX,MATCH($F240,'#建筑消耗和buff配置索引'!$M:$M,0)))</f>
        <v/>
      </c>
      <c r="BI240" s="133">
        <v>17</v>
      </c>
    </row>
    <row r="241" spans="1:66" s="133" customFormat="1">
      <c r="A241" s="133">
        <v>2150026</v>
      </c>
      <c r="B241" s="133">
        <v>238</v>
      </c>
      <c r="C241" s="133">
        <v>215</v>
      </c>
      <c r="D241" s="133" t="s">
        <v>418</v>
      </c>
      <c r="E241" s="133">
        <v>26</v>
      </c>
      <c r="F241" s="133" t="str">
        <f t="shared" si="5"/>
        <v>城墙26</v>
      </c>
      <c r="H241" s="146"/>
      <c r="I241" s="133">
        <v>4</v>
      </c>
      <c r="J241" s="150">
        <f>INDEX('#建筑消耗和buff配置索引'!AH:AH,MATCH($F241,'#建筑消耗和buff配置索引'!$M:$M,0))</f>
        <v>777600</v>
      </c>
      <c r="K241" s="150">
        <f>INDEX('#建筑消耗和buff配置索引'!AA:AA,MATCH($F241,'#建筑消耗和buff配置索引'!$M:$M,0))</f>
        <v>8600000</v>
      </c>
      <c r="L241" s="150">
        <f>INDEX('#建筑消耗和buff配置索引'!AB:AB,MATCH($F241,'#建筑消耗和buff配置索引'!$M:$M,0))</f>
        <v>8600000</v>
      </c>
      <c r="M241" s="150">
        <f>INDEX('#建筑消耗和buff配置索引'!AC:AC,MATCH($F241,'#建筑消耗和buff配置索引'!$M:$M,0))</f>
        <v>17000000</v>
      </c>
      <c r="N241" s="150">
        <f>INDEX('#建筑消耗和buff配置索引'!AD:AD,MATCH($F241,'#建筑消耗和buff配置索引'!$M:$M,0))</f>
        <v>8600000</v>
      </c>
      <c r="O241" s="150" t="str">
        <f>IF(INDEX('#建筑消耗和buff配置索引'!T:T,MATCH($F241,'#建筑消耗和buff配置索引'!$M:$M,0))=0,"",INDEX('#建筑消耗和buff配置索引'!T:T,MATCH($F241,'#建筑消耗和buff配置索引'!$M:$M,0)))</f>
        <v/>
      </c>
      <c r="P241" s="133" t="str">
        <f>IF(INDEX('#建筑消耗和buff配置索引'!U:U,MATCH($F241,'#建筑消耗和buff配置索引'!$M:$M,0))=0,"",INDEX('#建筑消耗和buff配置索引'!U:U,MATCH($F241,'#建筑消耗和buff配置索引'!$M:$M,0)))</f>
        <v/>
      </c>
      <c r="Q241" s="133" t="str">
        <f>IF(INDEX('#建筑消耗和buff配置索引'!K:K,MATCH($F241,'#建筑消耗和buff配置索引'!$M:$M,0))=0,"",INDEX('#建筑消耗和buff配置索引'!K:K,MATCH($F241,'#建筑消耗和buff配置索引'!$M:$M,0)))</f>
        <v>201;237</v>
      </c>
      <c r="R241" s="133" t="str">
        <f>IF(INDEX('#建筑消耗和buff配置索引'!L:L,MATCH($F241,'#建筑消耗和buff配置索引'!$M:$M,0))=0,"",INDEX('#建筑消耗和buff配置索引'!L:L,MATCH($F241,'#建筑消耗和buff配置索引'!$M:$M,0)))</f>
        <v>26;26</v>
      </c>
      <c r="S241" s="133">
        <f>IF(INDEX('#建筑消耗和buff配置索引'!C:C,MATCH(F241,'#建筑消耗和buff配置索引'!M:M,0))=0,1,INDEX('#建筑消耗和buff配置索引'!C:C,MATCH(F241,'#建筑消耗和buff配置索引'!M:M,0)))</f>
        <v>1</v>
      </c>
      <c r="T241" s="133">
        <v>0</v>
      </c>
      <c r="U241" s="133">
        <v>0</v>
      </c>
      <c r="V241" s="133" t="str">
        <f>IF(E241=1,IF(INDEX('#建筑消耗和buff配置索引'!BY:BY,MATCH(D241,'#建筑消耗和buff配置索引'!A:A,0))=0,"",INDEX('#建筑消耗和buff配置索引'!BY:BY,MATCH(D241,'#建筑消耗和buff配置索引'!A:A,0))),"")</f>
        <v/>
      </c>
      <c r="W241" s="133" t="str">
        <f>IF(E241=1,IF(INDEX('#建筑消耗和buff配置索引'!BZ:BZ,MATCH(D241,'#建筑消耗和buff配置索引'!A:A,0))=0,"",INDEX('#建筑消耗和buff配置索引'!BZ:BZ,MATCH(D241,'#建筑消耗和buff配置索引'!A:A,0))),"")</f>
        <v/>
      </c>
      <c r="AA241" s="133">
        <f>INDEX('#建筑消耗和buff配置索引'!AO:AO,MATCH($F241,'#建筑消耗和buff配置索引'!$M:$M,0))</f>
        <v>389280</v>
      </c>
      <c r="AB241" s="133">
        <f>IF(INDEX('#建筑消耗和buff配置索引'!AR:AR,MATCH($F241,'#建筑消耗和buff配置索引'!$M:$M,0))=0,"",INDEX('#建筑消耗和buff配置索引'!AR:AR,MATCH($F241,'#建筑消耗和buff配置索引'!$M:$M,0)))</f>
        <v>4004</v>
      </c>
      <c r="AC241" s="133">
        <f>IF(AB241="","",INDEX('#建筑消耗和buff配置索引'!AS:AS,MATCH($F241,'#建筑消耗和buff配置索引'!$M:$M,0)))</f>
        <v>740000</v>
      </c>
      <c r="AF241" s="133" t="str">
        <f>IF(INDEX('#建筑消耗和buff配置索引'!AW:AW,MATCH($F241,'#建筑消耗和buff配置索引'!$M:$M,0))=0,"",INDEX('#建筑消耗和buff配置索引'!AW:AW,MATCH($F241,'#建筑消耗和buff配置索引'!$M:$M,0)))</f>
        <v/>
      </c>
      <c r="AG241" s="133" t="str">
        <f>IF(AF241="","",INDEX('#建筑消耗和buff配置索引'!AX:AX,MATCH($F241,'#建筑消耗和buff配置索引'!$M:$M,0)))</f>
        <v/>
      </c>
      <c r="AJ241" s="133" t="str">
        <f>IF(INDEX('#建筑消耗和buff配置索引'!BB:BB,MATCH($F241,'#建筑消耗和buff配置索引'!$M:$M,0))=0,"",INDEX('#建筑消耗和buff配置索引'!BB:BB,MATCH($F241,'#建筑消耗和buff配置索引'!$M:$M,0)))</f>
        <v/>
      </c>
      <c r="AK241" s="133" t="str">
        <f>IF(AJ241="","",INDEX('#建筑消耗和buff配置索引'!BC:BC,MATCH($F241,'#建筑消耗和buff配置索引'!$M:$M,0)))</f>
        <v/>
      </c>
      <c r="AN241" s="133" t="str">
        <f>IF(INDEX('#建筑消耗和buff配置索引'!BG:BG,MATCH($F241,'#建筑消耗和buff配置索引'!$M:$M,0))=0,"",INDEX('#建筑消耗和buff配置索引'!BG:BG,MATCH($F241,'#建筑消耗和buff配置索引'!$M:$M,0)))</f>
        <v/>
      </c>
      <c r="AO241" s="133" t="str">
        <f>IF(AN241="","",INDEX('#建筑消耗和buff配置索引'!BH:BH,MATCH($F241,'#建筑消耗和buff配置索引'!$M:$M,0)))</f>
        <v/>
      </c>
      <c r="AR241" s="133" t="str">
        <f>IF(INDEX('#建筑消耗和buff配置索引'!BK:BK,MATCH($F241,'#建筑消耗和buff配置索引'!$M:$M,0))=0,"",INDEX('#建筑消耗和buff配置索引'!BK:BK,MATCH($F241,'#建筑消耗和buff配置索引'!$M:$M,0)))</f>
        <v/>
      </c>
      <c r="AS241" s="133" t="str">
        <f>IF(AR241="","",INDEX('#建筑消耗和buff配置索引'!BL:BL,MATCH($F241,'#建筑消耗和buff配置索引'!$M:$M,0)))</f>
        <v/>
      </c>
      <c r="AV241" s="133" t="str">
        <f>IF(INDEX('#建筑消耗和buff配置索引'!BO:BO,MATCH($F241,'#建筑消耗和buff配置索引'!$M:$M,0))=0,"",INDEX('#建筑消耗和buff配置索引'!BO:BO,MATCH($F241,'#建筑消耗和buff配置索引'!$M:$M,0)))</f>
        <v/>
      </c>
      <c r="AW241" s="133" t="str">
        <f>IF(AV241="","",INDEX('#建筑消耗和buff配置索引'!BP:BP,MATCH($F241,'#建筑消耗和buff配置索引'!$M:$M,0)))</f>
        <v/>
      </c>
      <c r="AZ241" s="133" t="str">
        <f>IF(INDEX('#建筑消耗和buff配置索引'!BS:BS,MATCH($F241,'#建筑消耗和buff配置索引'!$M:$M,0))=0,"",INDEX('#建筑消耗和buff配置索引'!BS:BS,MATCH($F241,'#建筑消耗和buff配置索引'!$M:$M,0)))</f>
        <v/>
      </c>
      <c r="BA241" s="133" t="str">
        <f>IF(AZ241="","",INDEX('#建筑消耗和buff配置索引'!BT:BT,MATCH($F241,'#建筑消耗和buff配置索引'!$M:$M,0)))</f>
        <v/>
      </c>
      <c r="BD241" s="133" t="str">
        <f>IF(INDEX('#建筑消耗和buff配置索引'!BW:BW,MATCH($F241,'#建筑消耗和buff配置索引'!$M:$M,0))=0,"",INDEX('#建筑消耗和buff配置索引'!BW:BW,MATCH($F241,'#建筑消耗和buff配置索引'!$M:$M,0)))</f>
        <v/>
      </c>
      <c r="BE241" s="133" t="str">
        <f>IF(BD241="","",INDEX('#建筑消耗和buff配置索引'!BX:BX,MATCH($F241,'#建筑消耗和buff配置索引'!$M:$M,0)))</f>
        <v/>
      </c>
      <c r="BI241" s="133">
        <v>17</v>
      </c>
    </row>
    <row r="242" spans="1:66" s="133" customFormat="1">
      <c r="A242" s="133">
        <v>2150027</v>
      </c>
      <c r="B242" s="133">
        <v>239</v>
      </c>
      <c r="C242" s="133">
        <v>215</v>
      </c>
      <c r="D242" s="133" t="s">
        <v>418</v>
      </c>
      <c r="E242" s="133">
        <v>27</v>
      </c>
      <c r="F242" s="133" t="str">
        <f t="shared" si="5"/>
        <v>城墙27</v>
      </c>
      <c r="H242" s="146"/>
      <c r="I242" s="133">
        <v>4</v>
      </c>
      <c r="J242" s="150">
        <f>INDEX('#建筑消耗和buff配置索引'!AH:AH,MATCH($F242,'#建筑消耗和buff配置索引'!$M:$M,0))</f>
        <v>950400</v>
      </c>
      <c r="K242" s="150">
        <f>INDEX('#建筑消耗和buff配置索引'!AA:AA,MATCH($F242,'#建筑消耗和buff配置索引'!$M:$M,0))</f>
        <v>11000000</v>
      </c>
      <c r="L242" s="150">
        <f>INDEX('#建筑消耗和buff配置索引'!AB:AB,MATCH($F242,'#建筑消耗和buff配置索引'!$M:$M,0))</f>
        <v>11000000</v>
      </c>
      <c r="M242" s="150">
        <f>INDEX('#建筑消耗和buff配置索引'!AC:AC,MATCH($F242,'#建筑消耗和buff配置索引'!$M:$M,0))</f>
        <v>22000000</v>
      </c>
      <c r="N242" s="150">
        <f>INDEX('#建筑消耗和buff配置索引'!AD:AD,MATCH($F242,'#建筑消耗和buff配置索引'!$M:$M,0))</f>
        <v>11000000</v>
      </c>
      <c r="O242" s="150" t="str">
        <f>IF(INDEX('#建筑消耗和buff配置索引'!T:T,MATCH($F242,'#建筑消耗和buff配置索引'!$M:$M,0))=0,"",INDEX('#建筑消耗和buff配置索引'!T:T,MATCH($F242,'#建筑消耗和buff配置索引'!$M:$M,0)))</f>
        <v/>
      </c>
      <c r="P242" s="133" t="str">
        <f>IF(INDEX('#建筑消耗和buff配置索引'!U:U,MATCH($F242,'#建筑消耗和buff配置索引'!$M:$M,0))=0,"",INDEX('#建筑消耗和buff配置索引'!U:U,MATCH($F242,'#建筑消耗和buff配置索引'!$M:$M,0)))</f>
        <v/>
      </c>
      <c r="Q242" s="133" t="str">
        <f>IF(INDEX('#建筑消耗和buff配置索引'!K:K,MATCH($F242,'#建筑消耗和buff配置索引'!$M:$M,0))=0,"",INDEX('#建筑消耗和buff配置索引'!K:K,MATCH($F242,'#建筑消耗和buff配置索引'!$M:$M,0)))</f>
        <v>201;237</v>
      </c>
      <c r="R242" s="133" t="str">
        <f>IF(INDEX('#建筑消耗和buff配置索引'!L:L,MATCH($F242,'#建筑消耗和buff配置索引'!$M:$M,0))=0,"",INDEX('#建筑消耗和buff配置索引'!L:L,MATCH($F242,'#建筑消耗和buff配置索引'!$M:$M,0)))</f>
        <v>27;27</v>
      </c>
      <c r="S242" s="133">
        <f>IF(INDEX('#建筑消耗和buff配置索引'!C:C,MATCH(F242,'#建筑消耗和buff配置索引'!M:M,0))=0,1,INDEX('#建筑消耗和buff配置索引'!C:C,MATCH(F242,'#建筑消耗和buff配置索引'!M:M,0)))</f>
        <v>1</v>
      </c>
      <c r="T242" s="133">
        <v>0</v>
      </c>
      <c r="U242" s="133">
        <v>0</v>
      </c>
      <c r="V242" s="133" t="str">
        <f>IF(E242=1,IF(INDEX('#建筑消耗和buff配置索引'!BY:BY,MATCH(D242,'#建筑消耗和buff配置索引'!A:A,0))=0,"",INDEX('#建筑消耗和buff配置索引'!BY:BY,MATCH(D242,'#建筑消耗和buff配置索引'!A:A,0))),"")</f>
        <v/>
      </c>
      <c r="W242" s="133" t="str">
        <f>IF(E242=1,IF(INDEX('#建筑消耗和buff配置索引'!BZ:BZ,MATCH(D242,'#建筑消耗和buff配置索引'!A:A,0))=0,"",INDEX('#建筑消耗和buff配置索引'!BZ:BZ,MATCH(D242,'#建筑消耗和buff配置索引'!A:A,0))),"")</f>
        <v/>
      </c>
      <c r="AA242" s="133">
        <f>INDEX('#建筑消耗和buff配置索引'!AO:AO,MATCH($F242,'#建筑消耗和buff配置索引'!$M:$M,0))</f>
        <v>499786</v>
      </c>
      <c r="AB242" s="133">
        <f>IF(INDEX('#建筑消耗和buff配置索引'!AR:AR,MATCH($F242,'#建筑消耗和buff配置索引'!$M:$M,0))=0,"",INDEX('#建筑消耗和buff配置索引'!AR:AR,MATCH($F242,'#建筑消耗和buff配置索引'!$M:$M,0)))</f>
        <v>4004</v>
      </c>
      <c r="AC242" s="133">
        <f>IF(AB242="","",INDEX('#建筑消耗和buff配置索引'!AS:AS,MATCH($F242,'#建筑消耗和buff配置索引'!$M:$M,0)))</f>
        <v>790000</v>
      </c>
      <c r="AF242" s="133" t="str">
        <f>IF(INDEX('#建筑消耗和buff配置索引'!AW:AW,MATCH($F242,'#建筑消耗和buff配置索引'!$M:$M,0))=0,"",INDEX('#建筑消耗和buff配置索引'!AW:AW,MATCH($F242,'#建筑消耗和buff配置索引'!$M:$M,0)))</f>
        <v/>
      </c>
      <c r="AG242" s="133" t="str">
        <f>IF(AF242="","",INDEX('#建筑消耗和buff配置索引'!AX:AX,MATCH($F242,'#建筑消耗和buff配置索引'!$M:$M,0)))</f>
        <v/>
      </c>
      <c r="AJ242" s="133" t="str">
        <f>IF(INDEX('#建筑消耗和buff配置索引'!BB:BB,MATCH($F242,'#建筑消耗和buff配置索引'!$M:$M,0))=0,"",INDEX('#建筑消耗和buff配置索引'!BB:BB,MATCH($F242,'#建筑消耗和buff配置索引'!$M:$M,0)))</f>
        <v/>
      </c>
      <c r="AK242" s="133" t="str">
        <f>IF(AJ242="","",INDEX('#建筑消耗和buff配置索引'!BC:BC,MATCH($F242,'#建筑消耗和buff配置索引'!$M:$M,0)))</f>
        <v/>
      </c>
      <c r="AN242" s="133" t="str">
        <f>IF(INDEX('#建筑消耗和buff配置索引'!BG:BG,MATCH($F242,'#建筑消耗和buff配置索引'!$M:$M,0))=0,"",INDEX('#建筑消耗和buff配置索引'!BG:BG,MATCH($F242,'#建筑消耗和buff配置索引'!$M:$M,0)))</f>
        <v/>
      </c>
      <c r="AO242" s="133" t="str">
        <f>IF(AN242="","",INDEX('#建筑消耗和buff配置索引'!BH:BH,MATCH($F242,'#建筑消耗和buff配置索引'!$M:$M,0)))</f>
        <v/>
      </c>
      <c r="AR242" s="133" t="str">
        <f>IF(INDEX('#建筑消耗和buff配置索引'!BK:BK,MATCH($F242,'#建筑消耗和buff配置索引'!$M:$M,0))=0,"",INDEX('#建筑消耗和buff配置索引'!BK:BK,MATCH($F242,'#建筑消耗和buff配置索引'!$M:$M,0)))</f>
        <v/>
      </c>
      <c r="AS242" s="133" t="str">
        <f>IF(AR242="","",INDEX('#建筑消耗和buff配置索引'!BL:BL,MATCH($F242,'#建筑消耗和buff配置索引'!$M:$M,0)))</f>
        <v/>
      </c>
      <c r="AV242" s="133" t="str">
        <f>IF(INDEX('#建筑消耗和buff配置索引'!BO:BO,MATCH($F242,'#建筑消耗和buff配置索引'!$M:$M,0))=0,"",INDEX('#建筑消耗和buff配置索引'!BO:BO,MATCH($F242,'#建筑消耗和buff配置索引'!$M:$M,0)))</f>
        <v/>
      </c>
      <c r="AW242" s="133" t="str">
        <f>IF(AV242="","",INDEX('#建筑消耗和buff配置索引'!BP:BP,MATCH($F242,'#建筑消耗和buff配置索引'!$M:$M,0)))</f>
        <v/>
      </c>
      <c r="AZ242" s="133" t="str">
        <f>IF(INDEX('#建筑消耗和buff配置索引'!BS:BS,MATCH($F242,'#建筑消耗和buff配置索引'!$M:$M,0))=0,"",INDEX('#建筑消耗和buff配置索引'!BS:BS,MATCH($F242,'#建筑消耗和buff配置索引'!$M:$M,0)))</f>
        <v/>
      </c>
      <c r="BA242" s="133" t="str">
        <f>IF(AZ242="","",INDEX('#建筑消耗和buff配置索引'!BT:BT,MATCH($F242,'#建筑消耗和buff配置索引'!$M:$M,0)))</f>
        <v/>
      </c>
      <c r="BD242" s="133" t="str">
        <f>IF(INDEX('#建筑消耗和buff配置索引'!BW:BW,MATCH($F242,'#建筑消耗和buff配置索引'!$M:$M,0))=0,"",INDEX('#建筑消耗和buff配置索引'!BW:BW,MATCH($F242,'#建筑消耗和buff配置索引'!$M:$M,0)))</f>
        <v/>
      </c>
      <c r="BE242" s="133" t="str">
        <f>IF(BD242="","",INDEX('#建筑消耗和buff配置索引'!BX:BX,MATCH($F242,'#建筑消耗和buff配置索引'!$M:$M,0)))</f>
        <v/>
      </c>
      <c r="BI242" s="133">
        <v>17</v>
      </c>
    </row>
    <row r="243" spans="1:66" s="133" customFormat="1">
      <c r="A243" s="133">
        <v>2150028</v>
      </c>
      <c r="B243" s="133">
        <v>240</v>
      </c>
      <c r="C243" s="133">
        <v>215</v>
      </c>
      <c r="D243" s="133" t="s">
        <v>418</v>
      </c>
      <c r="E243" s="133">
        <v>28</v>
      </c>
      <c r="F243" s="133" t="str">
        <f t="shared" si="5"/>
        <v>城墙28</v>
      </c>
      <c r="H243" s="146"/>
      <c r="I243" s="133">
        <v>4</v>
      </c>
      <c r="J243" s="150">
        <f>INDEX('#建筑消耗和buff配置索引'!AH:AH,MATCH($F243,'#建筑消耗和buff配置索引'!$M:$M,0))</f>
        <v>1166400</v>
      </c>
      <c r="K243" s="150">
        <f>INDEX('#建筑消耗和buff配置索引'!AA:AA,MATCH($F243,'#建筑消耗和buff配置索引'!$M:$M,0))</f>
        <v>14000000</v>
      </c>
      <c r="L243" s="150">
        <f>INDEX('#建筑消耗和buff配置索引'!AB:AB,MATCH($F243,'#建筑消耗和buff配置索引'!$M:$M,0))</f>
        <v>14000000</v>
      </c>
      <c r="M243" s="150">
        <f>INDEX('#建筑消耗和buff配置索引'!AC:AC,MATCH($F243,'#建筑消耗和buff配置索引'!$M:$M,0))</f>
        <v>28000000</v>
      </c>
      <c r="N243" s="150">
        <f>INDEX('#建筑消耗和buff配置索引'!AD:AD,MATCH($F243,'#建筑消耗和buff配置索引'!$M:$M,0))</f>
        <v>14000000</v>
      </c>
      <c r="O243" s="150" t="str">
        <f>IF(INDEX('#建筑消耗和buff配置索引'!T:T,MATCH($F243,'#建筑消耗和buff配置索引'!$M:$M,0))=0,"",INDEX('#建筑消耗和buff配置索引'!T:T,MATCH($F243,'#建筑消耗和buff配置索引'!$M:$M,0)))</f>
        <v/>
      </c>
      <c r="P243" s="133" t="str">
        <f>IF(INDEX('#建筑消耗和buff配置索引'!U:U,MATCH($F243,'#建筑消耗和buff配置索引'!$M:$M,0))=0,"",INDEX('#建筑消耗和buff配置索引'!U:U,MATCH($F243,'#建筑消耗和buff配置索引'!$M:$M,0)))</f>
        <v/>
      </c>
      <c r="Q243" s="133" t="str">
        <f>IF(INDEX('#建筑消耗和buff配置索引'!K:K,MATCH($F243,'#建筑消耗和buff配置索引'!$M:$M,0))=0,"",INDEX('#建筑消耗和buff配置索引'!K:K,MATCH($F243,'#建筑消耗和buff配置索引'!$M:$M,0)))</f>
        <v>201;237</v>
      </c>
      <c r="R243" s="133" t="str">
        <f>IF(INDEX('#建筑消耗和buff配置索引'!L:L,MATCH($F243,'#建筑消耗和buff配置索引'!$M:$M,0))=0,"",INDEX('#建筑消耗和buff配置索引'!L:L,MATCH($F243,'#建筑消耗和buff配置索引'!$M:$M,0)))</f>
        <v>28;28</v>
      </c>
      <c r="S243" s="133">
        <f>IF(INDEX('#建筑消耗和buff配置索引'!C:C,MATCH(F243,'#建筑消耗和buff配置索引'!M:M,0))=0,1,INDEX('#建筑消耗和buff配置索引'!C:C,MATCH(F243,'#建筑消耗和buff配置索引'!M:M,0)))</f>
        <v>1</v>
      </c>
      <c r="T243" s="133">
        <v>0</v>
      </c>
      <c r="U243" s="133">
        <v>0</v>
      </c>
      <c r="V243" s="133" t="str">
        <f>IF(E243=1,IF(INDEX('#建筑消耗和buff配置索引'!BY:BY,MATCH(D243,'#建筑消耗和buff配置索引'!A:A,0))=0,"",INDEX('#建筑消耗和buff配置索引'!BY:BY,MATCH(D243,'#建筑消耗和buff配置索引'!A:A,0))),"")</f>
        <v/>
      </c>
      <c r="W243" s="133" t="str">
        <f>IF(E243=1,IF(INDEX('#建筑消耗和buff配置索引'!BZ:BZ,MATCH(D243,'#建筑消耗和buff配置索引'!A:A,0))=0,"",INDEX('#建筑消耗和buff配置索引'!BZ:BZ,MATCH(D243,'#建筑消耗和buff配置索引'!A:A,0))),"")</f>
        <v/>
      </c>
      <c r="AA243" s="133">
        <f>INDEX('#建筑消耗和buff配置索引'!AO:AO,MATCH($F243,'#建筑消耗和buff配置索引'!$M:$M,0))</f>
        <v>641233</v>
      </c>
      <c r="AB243" s="133">
        <f>IF(INDEX('#建筑消耗和buff配置索引'!AR:AR,MATCH($F243,'#建筑消耗和buff配置索引'!$M:$M,0))=0,"",INDEX('#建筑消耗和buff配置索引'!AR:AR,MATCH($F243,'#建筑消耗和buff配置索引'!$M:$M,0)))</f>
        <v>4004</v>
      </c>
      <c r="AC243" s="133">
        <f>IF(AB243="","",INDEX('#建筑消耗和buff配置索引'!AS:AS,MATCH($F243,'#建筑消耗和buff配置索引'!$M:$M,0)))</f>
        <v>850000</v>
      </c>
      <c r="AF243" s="133" t="str">
        <f>IF(INDEX('#建筑消耗和buff配置索引'!AW:AW,MATCH($F243,'#建筑消耗和buff配置索引'!$M:$M,0))=0,"",INDEX('#建筑消耗和buff配置索引'!AW:AW,MATCH($F243,'#建筑消耗和buff配置索引'!$M:$M,0)))</f>
        <v/>
      </c>
      <c r="AG243" s="133" t="str">
        <f>IF(AF243="","",INDEX('#建筑消耗和buff配置索引'!AX:AX,MATCH($F243,'#建筑消耗和buff配置索引'!$M:$M,0)))</f>
        <v/>
      </c>
      <c r="AJ243" s="133" t="str">
        <f>IF(INDEX('#建筑消耗和buff配置索引'!BB:BB,MATCH($F243,'#建筑消耗和buff配置索引'!$M:$M,0))=0,"",INDEX('#建筑消耗和buff配置索引'!BB:BB,MATCH($F243,'#建筑消耗和buff配置索引'!$M:$M,0)))</f>
        <v/>
      </c>
      <c r="AK243" s="133" t="str">
        <f>IF(AJ243="","",INDEX('#建筑消耗和buff配置索引'!BC:BC,MATCH($F243,'#建筑消耗和buff配置索引'!$M:$M,0)))</f>
        <v/>
      </c>
      <c r="AN243" s="133" t="str">
        <f>IF(INDEX('#建筑消耗和buff配置索引'!BG:BG,MATCH($F243,'#建筑消耗和buff配置索引'!$M:$M,0))=0,"",INDEX('#建筑消耗和buff配置索引'!BG:BG,MATCH($F243,'#建筑消耗和buff配置索引'!$M:$M,0)))</f>
        <v/>
      </c>
      <c r="AO243" s="133" t="str">
        <f>IF(AN243="","",INDEX('#建筑消耗和buff配置索引'!BH:BH,MATCH($F243,'#建筑消耗和buff配置索引'!$M:$M,0)))</f>
        <v/>
      </c>
      <c r="AR243" s="133" t="str">
        <f>IF(INDEX('#建筑消耗和buff配置索引'!BK:BK,MATCH($F243,'#建筑消耗和buff配置索引'!$M:$M,0))=0,"",INDEX('#建筑消耗和buff配置索引'!BK:BK,MATCH($F243,'#建筑消耗和buff配置索引'!$M:$M,0)))</f>
        <v/>
      </c>
      <c r="AS243" s="133" t="str">
        <f>IF(AR243="","",INDEX('#建筑消耗和buff配置索引'!BL:BL,MATCH($F243,'#建筑消耗和buff配置索引'!$M:$M,0)))</f>
        <v/>
      </c>
      <c r="AV243" s="133" t="str">
        <f>IF(INDEX('#建筑消耗和buff配置索引'!BO:BO,MATCH($F243,'#建筑消耗和buff配置索引'!$M:$M,0))=0,"",INDEX('#建筑消耗和buff配置索引'!BO:BO,MATCH($F243,'#建筑消耗和buff配置索引'!$M:$M,0)))</f>
        <v/>
      </c>
      <c r="AW243" s="133" t="str">
        <f>IF(AV243="","",INDEX('#建筑消耗和buff配置索引'!BP:BP,MATCH($F243,'#建筑消耗和buff配置索引'!$M:$M,0)))</f>
        <v/>
      </c>
      <c r="AZ243" s="133" t="str">
        <f>IF(INDEX('#建筑消耗和buff配置索引'!BS:BS,MATCH($F243,'#建筑消耗和buff配置索引'!$M:$M,0))=0,"",INDEX('#建筑消耗和buff配置索引'!BS:BS,MATCH($F243,'#建筑消耗和buff配置索引'!$M:$M,0)))</f>
        <v/>
      </c>
      <c r="BA243" s="133" t="str">
        <f>IF(AZ243="","",INDEX('#建筑消耗和buff配置索引'!BT:BT,MATCH($F243,'#建筑消耗和buff配置索引'!$M:$M,0)))</f>
        <v/>
      </c>
      <c r="BD243" s="133" t="str">
        <f>IF(INDEX('#建筑消耗和buff配置索引'!BW:BW,MATCH($F243,'#建筑消耗和buff配置索引'!$M:$M,0))=0,"",INDEX('#建筑消耗和buff配置索引'!BW:BW,MATCH($F243,'#建筑消耗和buff配置索引'!$M:$M,0)))</f>
        <v/>
      </c>
      <c r="BE243" s="133" t="str">
        <f>IF(BD243="","",INDEX('#建筑消耗和buff配置索引'!BX:BX,MATCH($F243,'#建筑消耗和buff配置索引'!$M:$M,0)))</f>
        <v/>
      </c>
      <c r="BI243" s="133">
        <v>17</v>
      </c>
    </row>
    <row r="244" spans="1:66" s="133" customFormat="1">
      <c r="A244" s="133">
        <v>2150029</v>
      </c>
      <c r="B244" s="133">
        <v>241</v>
      </c>
      <c r="C244" s="133">
        <v>215</v>
      </c>
      <c r="D244" s="133" t="s">
        <v>418</v>
      </c>
      <c r="E244" s="133">
        <v>29</v>
      </c>
      <c r="F244" s="133" t="str">
        <f t="shared" si="5"/>
        <v>城墙29</v>
      </c>
      <c r="H244" s="146"/>
      <c r="I244" s="133">
        <v>4</v>
      </c>
      <c r="J244" s="150">
        <f>INDEX('#建筑消耗和buff配置索引'!AH:AH,MATCH($F244,'#建筑消耗和buff配置索引'!$M:$M,0))</f>
        <v>1425600</v>
      </c>
      <c r="K244" s="150">
        <f>INDEX('#建筑消耗和buff配置索引'!AA:AA,MATCH($F244,'#建筑消耗和buff配置索引'!$M:$M,0))</f>
        <v>18000000</v>
      </c>
      <c r="L244" s="150">
        <f>INDEX('#建筑消耗和buff配置索引'!AB:AB,MATCH($F244,'#建筑消耗和buff配置索引'!$M:$M,0))</f>
        <v>18000000</v>
      </c>
      <c r="M244" s="150">
        <f>INDEX('#建筑消耗和buff配置索引'!AC:AC,MATCH($F244,'#建筑消耗和buff配置索引'!$M:$M,0))</f>
        <v>36000000</v>
      </c>
      <c r="N244" s="150">
        <f>INDEX('#建筑消耗和buff配置索引'!AD:AD,MATCH($F244,'#建筑消耗和buff配置索引'!$M:$M,0))</f>
        <v>18000000</v>
      </c>
      <c r="O244" s="150" t="str">
        <f>IF(INDEX('#建筑消耗和buff配置索引'!T:T,MATCH($F244,'#建筑消耗和buff配置索引'!$M:$M,0))=0,"",INDEX('#建筑消耗和buff配置索引'!T:T,MATCH($F244,'#建筑消耗和buff配置索引'!$M:$M,0)))</f>
        <v/>
      </c>
      <c r="P244" s="133" t="str">
        <f>IF(INDEX('#建筑消耗和buff配置索引'!U:U,MATCH($F244,'#建筑消耗和buff配置索引'!$M:$M,0))=0,"",INDEX('#建筑消耗和buff配置索引'!U:U,MATCH($F244,'#建筑消耗和buff配置索引'!$M:$M,0)))</f>
        <v/>
      </c>
      <c r="Q244" s="133" t="str">
        <f>IF(INDEX('#建筑消耗和buff配置索引'!K:K,MATCH($F244,'#建筑消耗和buff配置索引'!$M:$M,0))=0,"",INDEX('#建筑消耗和buff配置索引'!K:K,MATCH($F244,'#建筑消耗和buff配置索引'!$M:$M,0)))</f>
        <v>201;237</v>
      </c>
      <c r="R244" s="133" t="str">
        <f>IF(INDEX('#建筑消耗和buff配置索引'!L:L,MATCH($F244,'#建筑消耗和buff配置索引'!$M:$M,0))=0,"",INDEX('#建筑消耗和buff配置索引'!L:L,MATCH($F244,'#建筑消耗和buff配置索引'!$M:$M,0)))</f>
        <v>29;29</v>
      </c>
      <c r="S244" s="133">
        <f>IF(INDEX('#建筑消耗和buff配置索引'!C:C,MATCH(F244,'#建筑消耗和buff配置索引'!M:M,0))=0,1,INDEX('#建筑消耗和buff配置索引'!C:C,MATCH(F244,'#建筑消耗和buff配置索引'!M:M,0)))</f>
        <v>1</v>
      </c>
      <c r="T244" s="133">
        <v>0</v>
      </c>
      <c r="U244" s="133">
        <v>0</v>
      </c>
      <c r="V244" s="133" t="str">
        <f>IF(E244=1,IF(INDEX('#建筑消耗和buff配置索引'!BY:BY,MATCH(D244,'#建筑消耗和buff配置索引'!A:A,0))=0,"",INDEX('#建筑消耗和buff配置索引'!BY:BY,MATCH(D244,'#建筑消耗和buff配置索引'!A:A,0))),"")</f>
        <v/>
      </c>
      <c r="W244" s="133" t="str">
        <f>IF(E244=1,IF(INDEX('#建筑消耗和buff配置索引'!BZ:BZ,MATCH(D244,'#建筑消耗和buff配置索引'!A:A,0))=0,"",INDEX('#建筑消耗和buff配置索引'!BZ:BZ,MATCH(D244,'#建筑消耗和buff配置索引'!A:A,0))),"")</f>
        <v/>
      </c>
      <c r="AA244" s="133">
        <f>INDEX('#建筑消耗和buff配置索引'!AO:AO,MATCH($F244,'#建筑消耗和buff配置索引'!$M:$M,0))</f>
        <v>822286</v>
      </c>
      <c r="AB244" s="133">
        <f>IF(INDEX('#建筑消耗和buff配置索引'!AR:AR,MATCH($F244,'#建筑消耗和buff配置索引'!$M:$M,0))=0,"",INDEX('#建筑消耗和buff配置索引'!AR:AR,MATCH($F244,'#建筑消耗和buff配置索引'!$M:$M,0)))</f>
        <v>4004</v>
      </c>
      <c r="AC244" s="133">
        <f>IF(AB244="","",INDEX('#建筑消耗和buff配置索引'!AS:AS,MATCH($F244,'#建筑消耗和buff配置索引'!$M:$M,0)))</f>
        <v>920000</v>
      </c>
      <c r="AF244" s="133" t="str">
        <f>IF(INDEX('#建筑消耗和buff配置索引'!AW:AW,MATCH($F244,'#建筑消耗和buff配置索引'!$M:$M,0))=0,"",INDEX('#建筑消耗和buff配置索引'!AW:AW,MATCH($F244,'#建筑消耗和buff配置索引'!$M:$M,0)))</f>
        <v/>
      </c>
      <c r="AG244" s="133" t="str">
        <f>IF(AF244="","",INDEX('#建筑消耗和buff配置索引'!AX:AX,MATCH($F244,'#建筑消耗和buff配置索引'!$M:$M,0)))</f>
        <v/>
      </c>
      <c r="AJ244" s="133" t="str">
        <f>IF(INDEX('#建筑消耗和buff配置索引'!BB:BB,MATCH($F244,'#建筑消耗和buff配置索引'!$M:$M,0))=0,"",INDEX('#建筑消耗和buff配置索引'!BB:BB,MATCH($F244,'#建筑消耗和buff配置索引'!$M:$M,0)))</f>
        <v/>
      </c>
      <c r="AK244" s="133" t="str">
        <f>IF(AJ244="","",INDEX('#建筑消耗和buff配置索引'!BC:BC,MATCH($F244,'#建筑消耗和buff配置索引'!$M:$M,0)))</f>
        <v/>
      </c>
      <c r="AN244" s="133" t="str">
        <f>IF(INDEX('#建筑消耗和buff配置索引'!BG:BG,MATCH($F244,'#建筑消耗和buff配置索引'!$M:$M,0))=0,"",INDEX('#建筑消耗和buff配置索引'!BG:BG,MATCH($F244,'#建筑消耗和buff配置索引'!$M:$M,0)))</f>
        <v/>
      </c>
      <c r="AO244" s="133" t="str">
        <f>IF(AN244="","",INDEX('#建筑消耗和buff配置索引'!BH:BH,MATCH($F244,'#建筑消耗和buff配置索引'!$M:$M,0)))</f>
        <v/>
      </c>
      <c r="AR244" s="133" t="str">
        <f>IF(INDEX('#建筑消耗和buff配置索引'!BK:BK,MATCH($F244,'#建筑消耗和buff配置索引'!$M:$M,0))=0,"",INDEX('#建筑消耗和buff配置索引'!BK:BK,MATCH($F244,'#建筑消耗和buff配置索引'!$M:$M,0)))</f>
        <v/>
      </c>
      <c r="AS244" s="133" t="str">
        <f>IF(AR244="","",INDEX('#建筑消耗和buff配置索引'!BL:BL,MATCH($F244,'#建筑消耗和buff配置索引'!$M:$M,0)))</f>
        <v/>
      </c>
      <c r="AV244" s="133" t="str">
        <f>IF(INDEX('#建筑消耗和buff配置索引'!BO:BO,MATCH($F244,'#建筑消耗和buff配置索引'!$M:$M,0))=0,"",INDEX('#建筑消耗和buff配置索引'!BO:BO,MATCH($F244,'#建筑消耗和buff配置索引'!$M:$M,0)))</f>
        <v/>
      </c>
      <c r="AW244" s="133" t="str">
        <f>IF(AV244="","",INDEX('#建筑消耗和buff配置索引'!BP:BP,MATCH($F244,'#建筑消耗和buff配置索引'!$M:$M,0)))</f>
        <v/>
      </c>
      <c r="AZ244" s="133" t="str">
        <f>IF(INDEX('#建筑消耗和buff配置索引'!BS:BS,MATCH($F244,'#建筑消耗和buff配置索引'!$M:$M,0))=0,"",INDEX('#建筑消耗和buff配置索引'!BS:BS,MATCH($F244,'#建筑消耗和buff配置索引'!$M:$M,0)))</f>
        <v/>
      </c>
      <c r="BA244" s="133" t="str">
        <f>IF(AZ244="","",INDEX('#建筑消耗和buff配置索引'!BT:BT,MATCH($F244,'#建筑消耗和buff配置索引'!$M:$M,0)))</f>
        <v/>
      </c>
      <c r="BD244" s="133" t="str">
        <f>IF(INDEX('#建筑消耗和buff配置索引'!BW:BW,MATCH($F244,'#建筑消耗和buff配置索引'!$M:$M,0))=0,"",INDEX('#建筑消耗和buff配置索引'!BW:BW,MATCH($F244,'#建筑消耗和buff配置索引'!$M:$M,0)))</f>
        <v/>
      </c>
      <c r="BE244" s="133" t="str">
        <f>IF(BD244="","",INDEX('#建筑消耗和buff配置索引'!BX:BX,MATCH($F244,'#建筑消耗和buff配置索引'!$M:$M,0)))</f>
        <v/>
      </c>
      <c r="BI244" s="133">
        <v>17</v>
      </c>
    </row>
    <row r="245" spans="1:66" s="133" customFormat="1">
      <c r="A245" s="133">
        <v>2150030</v>
      </c>
      <c r="B245" s="133">
        <v>242</v>
      </c>
      <c r="C245" s="133">
        <v>215</v>
      </c>
      <c r="D245" s="133" t="s">
        <v>418</v>
      </c>
      <c r="E245" s="133">
        <v>30</v>
      </c>
      <c r="F245" s="133" t="str">
        <f t="shared" si="5"/>
        <v>城墙30</v>
      </c>
      <c r="H245" s="146"/>
      <c r="I245" s="133">
        <v>4</v>
      </c>
      <c r="J245" s="150">
        <f>INDEX('#建筑消耗和buff配置索引'!AH:AH,MATCH($F245,'#建筑消耗和buff配置索引'!$M:$M,0))</f>
        <v>1728000</v>
      </c>
      <c r="K245" s="150">
        <f>INDEX('#建筑消耗和buff配置索引'!AA:AA,MATCH($F245,'#建筑消耗和buff配置索引'!$M:$M,0))</f>
        <v>23000000</v>
      </c>
      <c r="L245" s="150">
        <f>INDEX('#建筑消耗和buff配置索引'!AB:AB,MATCH($F245,'#建筑消耗和buff配置索引'!$M:$M,0))</f>
        <v>23000000</v>
      </c>
      <c r="M245" s="150">
        <f>INDEX('#建筑消耗和buff配置索引'!AC:AC,MATCH($F245,'#建筑消耗和buff配置索引'!$M:$M,0))</f>
        <v>46000000</v>
      </c>
      <c r="N245" s="150">
        <f>INDEX('#建筑消耗和buff配置索引'!AD:AD,MATCH($F245,'#建筑消耗和buff配置索引'!$M:$M,0))</f>
        <v>23000000</v>
      </c>
      <c r="O245" s="150" t="str">
        <f>IF(INDEX('#建筑消耗和buff配置索引'!T:T,MATCH($F245,'#建筑消耗和buff配置索引'!$M:$M,0))=0,"",INDEX('#建筑消耗和buff配置索引'!T:T,MATCH($F245,'#建筑消耗和buff配置索引'!$M:$M,0)))</f>
        <v/>
      </c>
      <c r="P245" s="133" t="str">
        <f>IF(INDEX('#建筑消耗和buff配置索引'!U:U,MATCH($F245,'#建筑消耗和buff配置索引'!$M:$M,0))=0,"",INDEX('#建筑消耗和buff配置索引'!U:U,MATCH($F245,'#建筑消耗和buff配置索引'!$M:$M,0)))</f>
        <v/>
      </c>
      <c r="Q245" s="133" t="str">
        <f>IF(INDEX('#建筑消耗和buff配置索引'!K:K,MATCH($F245,'#建筑消耗和buff配置索引'!$M:$M,0))=0,"",INDEX('#建筑消耗和buff配置索引'!K:K,MATCH($F245,'#建筑消耗和buff配置索引'!$M:$M,0)))</f>
        <v>201;237</v>
      </c>
      <c r="R245" s="133" t="str">
        <f>IF(INDEX('#建筑消耗和buff配置索引'!L:L,MATCH($F245,'#建筑消耗和buff配置索引'!$M:$M,0))=0,"",INDEX('#建筑消耗和buff配置索引'!L:L,MATCH($F245,'#建筑消耗和buff配置索引'!$M:$M,0)))</f>
        <v>30;30</v>
      </c>
      <c r="S245" s="133">
        <f>IF(INDEX('#建筑消耗和buff配置索引'!C:C,MATCH(F245,'#建筑消耗和buff配置索引'!M:M,0))=0,1,INDEX('#建筑消耗和buff配置索引'!C:C,MATCH(F245,'#建筑消耗和buff配置索引'!M:M,0)))</f>
        <v>1</v>
      </c>
      <c r="T245" s="133">
        <v>0</v>
      </c>
      <c r="U245" s="133">
        <v>0</v>
      </c>
      <c r="V245" s="133" t="str">
        <f>IF(E245=1,IF(INDEX('#建筑消耗和buff配置索引'!BY:BY,MATCH(D245,'#建筑消耗和buff配置索引'!A:A,0))=0,"",INDEX('#建筑消耗和buff配置索引'!BY:BY,MATCH(D245,'#建筑消耗和buff配置索引'!A:A,0))),"")</f>
        <v/>
      </c>
      <c r="W245" s="133" t="str">
        <f>IF(E245=1,IF(INDEX('#建筑消耗和buff配置索引'!BZ:BZ,MATCH(D245,'#建筑消耗和buff配置索引'!A:A,0))=0,"",INDEX('#建筑消耗和buff配置索引'!BZ:BZ,MATCH(D245,'#建筑消耗和buff配置索引'!A:A,0))),"")</f>
        <v/>
      </c>
      <c r="AA245" s="133">
        <f>INDEX('#建筑消耗和buff配置索引'!AO:AO,MATCH($F245,'#建筑消耗和buff配置索引'!$M:$M,0))</f>
        <v>1054034</v>
      </c>
      <c r="AB245" s="133">
        <f>IF(INDEX('#建筑消耗和buff配置索引'!AR:AR,MATCH($F245,'#建筑消耗和buff配置索引'!$M:$M,0))=0,"",INDEX('#建筑消耗和buff配置索引'!AR:AR,MATCH($F245,'#建筑消耗和buff配置索引'!$M:$M,0)))</f>
        <v>4004</v>
      </c>
      <c r="AC245" s="133">
        <f>IF(AB245="","",INDEX('#建筑消耗和buff配置索引'!AS:AS,MATCH($F245,'#建筑消耗和buff配置索引'!$M:$M,0)))</f>
        <v>1000000</v>
      </c>
      <c r="AF245" s="133" t="str">
        <f>IF(INDEX('#建筑消耗和buff配置索引'!AW:AW,MATCH($F245,'#建筑消耗和buff配置索引'!$M:$M,0))=0,"",INDEX('#建筑消耗和buff配置索引'!AW:AW,MATCH($F245,'#建筑消耗和buff配置索引'!$M:$M,0)))</f>
        <v/>
      </c>
      <c r="AG245" s="133" t="str">
        <f>IF(AF245="","",INDEX('#建筑消耗和buff配置索引'!AX:AX,MATCH($F245,'#建筑消耗和buff配置索引'!$M:$M,0)))</f>
        <v/>
      </c>
      <c r="AJ245" s="133" t="str">
        <f>IF(INDEX('#建筑消耗和buff配置索引'!BB:BB,MATCH($F245,'#建筑消耗和buff配置索引'!$M:$M,0))=0,"",INDEX('#建筑消耗和buff配置索引'!BB:BB,MATCH($F245,'#建筑消耗和buff配置索引'!$M:$M,0)))</f>
        <v/>
      </c>
      <c r="AK245" s="133" t="str">
        <f>IF(AJ245="","",INDEX('#建筑消耗和buff配置索引'!BC:BC,MATCH($F245,'#建筑消耗和buff配置索引'!$M:$M,0)))</f>
        <v/>
      </c>
      <c r="AN245" s="133" t="str">
        <f>IF(INDEX('#建筑消耗和buff配置索引'!BG:BG,MATCH($F245,'#建筑消耗和buff配置索引'!$M:$M,0))=0,"",INDEX('#建筑消耗和buff配置索引'!BG:BG,MATCH($F245,'#建筑消耗和buff配置索引'!$M:$M,0)))</f>
        <v/>
      </c>
      <c r="AO245" s="133" t="str">
        <f>IF(AN245="","",INDEX('#建筑消耗和buff配置索引'!BH:BH,MATCH($F245,'#建筑消耗和buff配置索引'!$M:$M,0)))</f>
        <v/>
      </c>
      <c r="AR245" s="133" t="str">
        <f>IF(INDEX('#建筑消耗和buff配置索引'!BK:BK,MATCH($F245,'#建筑消耗和buff配置索引'!$M:$M,0))=0,"",INDEX('#建筑消耗和buff配置索引'!BK:BK,MATCH($F245,'#建筑消耗和buff配置索引'!$M:$M,0)))</f>
        <v/>
      </c>
      <c r="AS245" s="133" t="str">
        <f>IF(AR245="","",INDEX('#建筑消耗和buff配置索引'!BL:BL,MATCH($F245,'#建筑消耗和buff配置索引'!$M:$M,0)))</f>
        <v/>
      </c>
      <c r="AV245" s="133" t="str">
        <f>IF(INDEX('#建筑消耗和buff配置索引'!BO:BO,MATCH($F245,'#建筑消耗和buff配置索引'!$M:$M,0))=0,"",INDEX('#建筑消耗和buff配置索引'!BO:BO,MATCH($F245,'#建筑消耗和buff配置索引'!$M:$M,0)))</f>
        <v/>
      </c>
      <c r="AW245" s="133" t="str">
        <f>IF(AV245="","",INDEX('#建筑消耗和buff配置索引'!BP:BP,MATCH($F245,'#建筑消耗和buff配置索引'!$M:$M,0)))</f>
        <v/>
      </c>
      <c r="AZ245" s="133" t="str">
        <f>IF(INDEX('#建筑消耗和buff配置索引'!BS:BS,MATCH($F245,'#建筑消耗和buff配置索引'!$M:$M,0))=0,"",INDEX('#建筑消耗和buff配置索引'!BS:BS,MATCH($F245,'#建筑消耗和buff配置索引'!$M:$M,0)))</f>
        <v/>
      </c>
      <c r="BA245" s="133" t="str">
        <f>IF(AZ245="","",INDEX('#建筑消耗和buff配置索引'!BT:BT,MATCH($F245,'#建筑消耗和buff配置索引'!$M:$M,0)))</f>
        <v/>
      </c>
      <c r="BD245" s="133" t="str">
        <f>IF(INDEX('#建筑消耗和buff配置索引'!BW:BW,MATCH($F245,'#建筑消耗和buff配置索引'!$M:$M,0))=0,"",INDEX('#建筑消耗和buff配置索引'!BW:BW,MATCH($F245,'#建筑消耗和buff配置索引'!$M:$M,0)))</f>
        <v/>
      </c>
      <c r="BE245" s="133" t="str">
        <f>IF(BD245="","",INDEX('#建筑消耗和buff配置索引'!BX:BX,MATCH($F245,'#建筑消耗和buff配置索引'!$M:$M,0)))</f>
        <v/>
      </c>
      <c r="BI245" s="133">
        <v>17</v>
      </c>
    </row>
    <row r="246" spans="1:66" s="133" customFormat="1">
      <c r="A246" s="133">
        <v>2220001</v>
      </c>
      <c r="B246" s="133">
        <v>243</v>
      </c>
      <c r="C246" s="133">
        <v>222</v>
      </c>
      <c r="D246" s="133" t="s">
        <v>442</v>
      </c>
      <c r="E246" s="133">
        <v>1</v>
      </c>
      <c r="F246" s="133" t="str">
        <f t="shared" si="5"/>
        <v>治疗房舍1</v>
      </c>
      <c r="H246" s="146"/>
      <c r="I246" s="133" t="s">
        <v>1205</v>
      </c>
      <c r="J246" s="150">
        <f>INDEX('#建筑消耗和buff配置索引'!AH:AH,MATCH($F246,'#建筑消耗和buff配置索引'!$M:$M,0))</f>
        <v>25</v>
      </c>
      <c r="K246" s="150">
        <f>INDEX('#建筑消耗和buff配置索引'!AA:AA,MATCH($F246,'#建筑消耗和buff配置索引'!$M:$M,0))</f>
        <v>0</v>
      </c>
      <c r="L246" s="150">
        <f>INDEX('#建筑消耗和buff配置索引'!AB:AB,MATCH($F246,'#建筑消耗和buff配置索引'!$M:$M,0))</f>
        <v>0</v>
      </c>
      <c r="M246" s="150">
        <f>INDEX('#建筑消耗和buff配置索引'!AC:AC,MATCH($F246,'#建筑消耗和buff配置索引'!$M:$M,0))</f>
        <v>0</v>
      </c>
      <c r="N246" s="150">
        <f>INDEX('#建筑消耗和buff配置索引'!AD:AD,MATCH($F246,'#建筑消耗和buff配置索引'!$M:$M,0))</f>
        <v>0</v>
      </c>
      <c r="O246" s="150" t="str">
        <f>IF(INDEX('#建筑消耗和buff配置索引'!T:T,MATCH($F246,'#建筑消耗和buff配置索引'!$M:$M,0))=0,"",INDEX('#建筑消耗和buff配置索引'!T:T,MATCH($F246,'#建筑消耗和buff配置索引'!$M:$M,0)))</f>
        <v/>
      </c>
      <c r="P246" s="133" t="str">
        <f>IF(INDEX('#建筑消耗和buff配置索引'!U:U,MATCH($F246,'#建筑消耗和buff配置索引'!$M:$M,0))=0,"",INDEX('#建筑消耗和buff配置索引'!U:U,MATCH($F246,'#建筑消耗和buff配置索引'!$M:$M,0)))</f>
        <v/>
      </c>
      <c r="Q246" s="133" t="str">
        <f>IF(INDEX('#建筑消耗和buff配置索引'!K:K,MATCH($F246,'#建筑消耗和buff配置索引'!$M:$M,0))=0,"",INDEX('#建筑消耗和buff配置索引'!K:K,MATCH($F246,'#建筑消耗和buff配置索引'!$M:$M,0)))</f>
        <v>201</v>
      </c>
      <c r="R246" s="133" t="str">
        <f>IF(INDEX('#建筑消耗和buff配置索引'!L:L,MATCH($F246,'#建筑消耗和buff配置索引'!$M:$M,0))=0,"",INDEX('#建筑消耗和buff配置索引'!L:L,MATCH($F246,'#建筑消耗和buff配置索引'!$M:$M,0)))</f>
        <v>2</v>
      </c>
      <c r="S246" s="133">
        <f>IF(INDEX('#建筑消耗和buff配置索引'!C:C,MATCH(F246,'#建筑消耗和buff配置索引'!M:M,0))=0,1,INDEX('#建筑消耗和buff配置索引'!C:C,MATCH(F246,'#建筑消耗和buff配置索引'!M:M,0)))</f>
        <v>1</v>
      </c>
      <c r="T246" s="133">
        <v>0</v>
      </c>
      <c r="U246" s="133">
        <v>0</v>
      </c>
      <c r="V246" s="133" t="str">
        <f>IF(E246=1,IF(INDEX('#建筑消耗和buff配置索引'!BY:BY,MATCH(D246,'#建筑消耗和buff配置索引'!A:A,0))=0,"",INDEX('#建筑消耗和buff配置索引'!BY:BY,MATCH(D246,'#建筑消耗和buff配置索引'!A:A,0))),"")</f>
        <v>1:2</v>
      </c>
      <c r="W246" s="133" t="str">
        <f>IF(E246=1,IF(INDEX('#建筑消耗和buff配置索引'!BZ:BZ,MATCH(D246,'#建筑消耗和buff配置索引'!A:A,0))=0,"",INDEX('#建筑消耗和buff配置索引'!BZ:BZ,MATCH(D246,'#建筑消耗和buff配置索引'!A:A,0))),"")</f>
        <v>TID_Buff_BuilDetail_3102:TID_Buff_BuilDetail_3100</v>
      </c>
      <c r="AA246" s="133">
        <f>INDEX('#建筑消耗和buff配置索引'!AO:AO,MATCH($F246,'#建筑消耗和buff配置索引'!$M:$M,0))</f>
        <v>6</v>
      </c>
      <c r="AB246" s="133">
        <f>IF(INDEX('#建筑消耗和buff配置索引'!AR:AR,MATCH($F246,'#建筑消耗和buff配置索引'!$M:$M,0))=0,"",INDEX('#建筑消耗和buff配置索引'!AR:AR,MATCH($F246,'#建筑消耗和buff配置索引'!$M:$M,0)))</f>
        <v>3102</v>
      </c>
      <c r="AC246" s="133">
        <f>IF(AB246="","",INDEX('#建筑消耗和buff配置索引'!AS:AS,MATCH($F246,'#建筑消耗和buff配置索引'!$M:$M,0)))</f>
        <v>30000</v>
      </c>
      <c r="AF246" s="133">
        <f>IF(INDEX('#建筑消耗和buff配置索引'!AW:AW,MATCH($F246,'#建筑消耗和buff配置索引'!$M:$M,0))=0,"",INDEX('#建筑消耗和buff配置索引'!AW:AW,MATCH($F246,'#建筑消耗和buff配置索引'!$M:$M,0)))</f>
        <v>3100</v>
      </c>
      <c r="AG246" s="133">
        <f>IF(AF246="","",INDEX('#建筑消耗和buff配置索引'!AX:AX,MATCH($F246,'#建筑消耗和buff配置索引'!$M:$M,0)))</f>
        <v>0.01</v>
      </c>
      <c r="AJ246" s="133" t="str">
        <f>IF(INDEX('#建筑消耗和buff配置索引'!BB:BB,MATCH($F246,'#建筑消耗和buff配置索引'!$M:$M,0))=0,"",INDEX('#建筑消耗和buff配置索引'!BB:BB,MATCH($F246,'#建筑消耗和buff配置索引'!$M:$M,0)))</f>
        <v/>
      </c>
      <c r="AK246" s="133" t="str">
        <f>IF(AJ246="","",INDEX('#建筑消耗和buff配置索引'!BC:BC,MATCH($F246,'#建筑消耗和buff配置索引'!$M:$M,0)))</f>
        <v/>
      </c>
      <c r="AN246" s="133" t="str">
        <f>IF(INDEX('#建筑消耗和buff配置索引'!BG:BG,MATCH($F246,'#建筑消耗和buff配置索引'!$M:$M,0))=0,"",INDEX('#建筑消耗和buff配置索引'!BG:BG,MATCH($F246,'#建筑消耗和buff配置索引'!$M:$M,0)))</f>
        <v/>
      </c>
      <c r="AO246" s="133" t="str">
        <f>IF(AN246="","",INDEX('#建筑消耗和buff配置索引'!BH:BH,MATCH($F246,'#建筑消耗和buff配置索引'!$M:$M,0)))</f>
        <v/>
      </c>
      <c r="AR246" s="133" t="str">
        <f>IF(INDEX('#建筑消耗和buff配置索引'!BK:BK,MATCH($F246,'#建筑消耗和buff配置索引'!$M:$M,0))=0,"",INDEX('#建筑消耗和buff配置索引'!BK:BK,MATCH($F246,'#建筑消耗和buff配置索引'!$M:$M,0)))</f>
        <v/>
      </c>
      <c r="AS246" s="133" t="str">
        <f>IF(AR246="","",INDEX('#建筑消耗和buff配置索引'!BL:BL,MATCH($F246,'#建筑消耗和buff配置索引'!$M:$M,0)))</f>
        <v/>
      </c>
      <c r="AV246" s="133" t="str">
        <f>IF(INDEX('#建筑消耗和buff配置索引'!BO:BO,MATCH($F246,'#建筑消耗和buff配置索引'!$M:$M,0))=0,"",INDEX('#建筑消耗和buff配置索引'!BO:BO,MATCH($F246,'#建筑消耗和buff配置索引'!$M:$M,0)))</f>
        <v/>
      </c>
      <c r="AW246" s="133" t="str">
        <f>IF(AV246="","",INDEX('#建筑消耗和buff配置索引'!BP:BP,MATCH($F246,'#建筑消耗和buff配置索引'!$M:$M,0)))</f>
        <v/>
      </c>
      <c r="AZ246" s="133" t="str">
        <f>IF(INDEX('#建筑消耗和buff配置索引'!BS:BS,MATCH($F246,'#建筑消耗和buff配置索引'!$M:$M,0))=0,"",INDEX('#建筑消耗和buff配置索引'!BS:BS,MATCH($F246,'#建筑消耗和buff配置索引'!$M:$M,0)))</f>
        <v/>
      </c>
      <c r="BA246" s="133" t="str">
        <f>IF(AZ246="","",INDEX('#建筑消耗和buff配置索引'!BT:BT,MATCH($F246,'#建筑消耗和buff配置索引'!$M:$M,0)))</f>
        <v/>
      </c>
      <c r="BD246" s="133" t="str">
        <f>IF(INDEX('#建筑消耗和buff配置索引'!BW:BW,MATCH($F246,'#建筑消耗和buff配置索引'!$M:$M,0))=0,"",INDEX('#建筑消耗和buff配置索引'!BW:BW,MATCH($F246,'#建筑消耗和buff配置索引'!$M:$M,0)))</f>
        <v/>
      </c>
      <c r="BE246" s="133" t="str">
        <f>IF(BD246="","",INDEX('#建筑消耗和buff配置索引'!BX:BX,MATCH($F246,'#建筑消耗和buff配置索引'!$M:$M,0)))</f>
        <v/>
      </c>
      <c r="BI246" s="133">
        <v>3</v>
      </c>
      <c r="BN246" s="133">
        <v>3</v>
      </c>
    </row>
    <row r="247" spans="1:66" s="133" customFormat="1">
      <c r="A247" s="133">
        <v>2220002</v>
      </c>
      <c r="B247" s="133">
        <v>244</v>
      </c>
      <c r="C247" s="133">
        <v>222</v>
      </c>
      <c r="D247" s="133" t="s">
        <v>442</v>
      </c>
      <c r="E247" s="133">
        <v>2</v>
      </c>
      <c r="F247" s="133" t="str">
        <f t="shared" si="5"/>
        <v>治疗房舍2</v>
      </c>
      <c r="H247" s="146"/>
      <c r="I247" s="133" t="s">
        <v>1205</v>
      </c>
      <c r="J247" s="150">
        <f>INDEX('#建筑消耗和buff配置索引'!AH:AH,MATCH($F247,'#建筑消耗和buff配置索引'!$M:$M,0))</f>
        <v>108</v>
      </c>
      <c r="K247" s="150">
        <f>INDEX('#建筑消耗和buff配置索引'!AA:AA,MATCH($F247,'#建筑消耗和buff配置索引'!$M:$M,0))</f>
        <v>3000</v>
      </c>
      <c r="L247" s="150">
        <f>INDEX('#建筑消耗和buff配置索引'!AB:AB,MATCH($F247,'#建筑消耗和buff配置索引'!$M:$M,0))</f>
        <v>3000</v>
      </c>
      <c r="M247" s="150">
        <f>INDEX('#建筑消耗和buff配置索引'!AC:AC,MATCH($F247,'#建筑消耗和buff配置索引'!$M:$M,0))</f>
        <v>0</v>
      </c>
      <c r="N247" s="150">
        <f>INDEX('#建筑消耗和buff配置索引'!AD:AD,MATCH($F247,'#建筑消耗和buff配置索引'!$M:$M,0))</f>
        <v>0</v>
      </c>
      <c r="O247" s="150" t="str">
        <f>IF(INDEX('#建筑消耗和buff配置索引'!T:T,MATCH($F247,'#建筑消耗和buff配置索引'!$M:$M,0))=0,"",INDEX('#建筑消耗和buff配置索引'!T:T,MATCH($F247,'#建筑消耗和buff配置索引'!$M:$M,0)))</f>
        <v/>
      </c>
      <c r="P247" s="133" t="str">
        <f>IF(INDEX('#建筑消耗和buff配置索引'!U:U,MATCH($F247,'#建筑消耗和buff配置索引'!$M:$M,0))=0,"",INDEX('#建筑消耗和buff配置索引'!U:U,MATCH($F247,'#建筑消耗和buff配置索引'!$M:$M,0)))</f>
        <v/>
      </c>
      <c r="Q247" s="133" t="str">
        <f>IF(INDEX('#建筑消耗和buff配置索引'!K:K,MATCH($F247,'#建筑消耗和buff配置索引'!$M:$M,0))=0,"",INDEX('#建筑消耗和buff配置索引'!K:K,MATCH($F247,'#建筑消耗和buff配置索引'!$M:$M,0)))</f>
        <v>201</v>
      </c>
      <c r="R247" s="133" t="str">
        <f>IF(INDEX('#建筑消耗和buff配置索引'!L:L,MATCH($F247,'#建筑消耗和buff配置索引'!$M:$M,0))=0,"",INDEX('#建筑消耗和buff配置索引'!L:L,MATCH($F247,'#建筑消耗和buff配置索引'!$M:$M,0)))</f>
        <v>2</v>
      </c>
      <c r="S247" s="133">
        <f>IF(INDEX('#建筑消耗和buff配置索引'!C:C,MATCH(F247,'#建筑消耗和buff配置索引'!M:M,0))=0,1,INDEX('#建筑消耗和buff配置索引'!C:C,MATCH(F247,'#建筑消耗和buff配置索引'!M:M,0)))</f>
        <v>1</v>
      </c>
      <c r="T247" s="133">
        <v>0</v>
      </c>
      <c r="U247" s="133">
        <v>0</v>
      </c>
      <c r="V247" s="133" t="str">
        <f>IF(E247=1,IF(INDEX('#建筑消耗和buff配置索引'!BY:BY,MATCH(D247,'#建筑消耗和buff配置索引'!A:A,0))=0,"",INDEX('#建筑消耗和buff配置索引'!BY:BY,MATCH(D247,'#建筑消耗和buff配置索引'!A:A,0))),"")</f>
        <v/>
      </c>
      <c r="W247" s="133" t="str">
        <f>IF(E247=1,IF(INDEX('#建筑消耗和buff配置索引'!BZ:BZ,MATCH(D247,'#建筑消耗和buff配置索引'!A:A,0))=0,"",INDEX('#建筑消耗和buff配置索引'!BZ:BZ,MATCH(D247,'#建筑消耗和buff配置索引'!A:A,0))),"")</f>
        <v/>
      </c>
      <c r="AA247" s="133">
        <f>INDEX('#建筑消耗和buff配置索引'!AO:AO,MATCH($F247,'#建筑消耗和buff配置索引'!$M:$M,0))</f>
        <v>18</v>
      </c>
      <c r="AB247" s="133">
        <f>IF(INDEX('#建筑消耗和buff配置索引'!AR:AR,MATCH($F247,'#建筑消耗和buff配置索引'!$M:$M,0))=0,"",INDEX('#建筑消耗和buff配置索引'!AR:AR,MATCH($F247,'#建筑消耗和buff配置索引'!$M:$M,0)))</f>
        <v>3102</v>
      </c>
      <c r="AC247" s="133">
        <f>IF(AB247="","",INDEX('#建筑消耗和buff配置索引'!AS:AS,MATCH($F247,'#建筑消耗和buff配置索引'!$M:$M,0)))</f>
        <v>35000</v>
      </c>
      <c r="AF247" s="133">
        <f>IF(INDEX('#建筑消耗和buff配置索引'!AW:AW,MATCH($F247,'#建筑消耗和buff配置索引'!$M:$M,0))=0,"",INDEX('#建筑消耗和buff配置索引'!AW:AW,MATCH($F247,'#建筑消耗和buff配置索引'!$M:$M,0)))</f>
        <v>3100</v>
      </c>
      <c r="AG247" s="133">
        <f>IF(AF247="","",INDEX('#建筑消耗和buff配置索引'!AX:AX,MATCH($F247,'#建筑消耗和buff配置索引'!$M:$M,0)))</f>
        <v>0.02</v>
      </c>
      <c r="AJ247" s="133" t="str">
        <f>IF(INDEX('#建筑消耗和buff配置索引'!BB:BB,MATCH($F247,'#建筑消耗和buff配置索引'!$M:$M,0))=0,"",INDEX('#建筑消耗和buff配置索引'!BB:BB,MATCH($F247,'#建筑消耗和buff配置索引'!$M:$M,0)))</f>
        <v/>
      </c>
      <c r="AK247" s="133" t="str">
        <f>IF(AJ247="","",INDEX('#建筑消耗和buff配置索引'!BC:BC,MATCH($F247,'#建筑消耗和buff配置索引'!$M:$M,0)))</f>
        <v/>
      </c>
      <c r="AN247" s="133" t="str">
        <f>IF(INDEX('#建筑消耗和buff配置索引'!BG:BG,MATCH($F247,'#建筑消耗和buff配置索引'!$M:$M,0))=0,"",INDEX('#建筑消耗和buff配置索引'!BG:BG,MATCH($F247,'#建筑消耗和buff配置索引'!$M:$M,0)))</f>
        <v/>
      </c>
      <c r="AO247" s="133" t="str">
        <f>IF(AN247="","",INDEX('#建筑消耗和buff配置索引'!BH:BH,MATCH($F247,'#建筑消耗和buff配置索引'!$M:$M,0)))</f>
        <v/>
      </c>
      <c r="AR247" s="133" t="str">
        <f>IF(INDEX('#建筑消耗和buff配置索引'!BK:BK,MATCH($F247,'#建筑消耗和buff配置索引'!$M:$M,0))=0,"",INDEX('#建筑消耗和buff配置索引'!BK:BK,MATCH($F247,'#建筑消耗和buff配置索引'!$M:$M,0)))</f>
        <v/>
      </c>
      <c r="AS247" s="133" t="str">
        <f>IF(AR247="","",INDEX('#建筑消耗和buff配置索引'!BL:BL,MATCH($F247,'#建筑消耗和buff配置索引'!$M:$M,0)))</f>
        <v/>
      </c>
      <c r="AV247" s="133" t="str">
        <f>IF(INDEX('#建筑消耗和buff配置索引'!BO:BO,MATCH($F247,'#建筑消耗和buff配置索引'!$M:$M,0))=0,"",INDEX('#建筑消耗和buff配置索引'!BO:BO,MATCH($F247,'#建筑消耗和buff配置索引'!$M:$M,0)))</f>
        <v/>
      </c>
      <c r="AW247" s="133" t="str">
        <f>IF(AV247="","",INDEX('#建筑消耗和buff配置索引'!BP:BP,MATCH($F247,'#建筑消耗和buff配置索引'!$M:$M,0)))</f>
        <v/>
      </c>
      <c r="AZ247" s="133" t="str">
        <f>IF(INDEX('#建筑消耗和buff配置索引'!BS:BS,MATCH($F247,'#建筑消耗和buff配置索引'!$M:$M,0))=0,"",INDEX('#建筑消耗和buff配置索引'!BS:BS,MATCH($F247,'#建筑消耗和buff配置索引'!$M:$M,0)))</f>
        <v/>
      </c>
      <c r="BA247" s="133" t="str">
        <f>IF(AZ247="","",INDEX('#建筑消耗和buff配置索引'!BT:BT,MATCH($F247,'#建筑消耗和buff配置索引'!$M:$M,0)))</f>
        <v/>
      </c>
      <c r="BD247" s="133" t="str">
        <f>IF(INDEX('#建筑消耗和buff配置索引'!BW:BW,MATCH($F247,'#建筑消耗和buff配置索引'!$M:$M,0))=0,"",INDEX('#建筑消耗和buff配置索引'!BW:BW,MATCH($F247,'#建筑消耗和buff配置索引'!$M:$M,0)))</f>
        <v/>
      </c>
      <c r="BE247" s="133" t="str">
        <f>IF(BD247="","",INDEX('#建筑消耗和buff配置索引'!BX:BX,MATCH($F247,'#建筑消耗和buff配置索引'!$M:$M,0)))</f>
        <v/>
      </c>
      <c r="BI247" s="133">
        <v>3</v>
      </c>
    </row>
    <row r="248" spans="1:66" s="133" customFormat="1">
      <c r="A248" s="133">
        <v>2220003</v>
      </c>
      <c r="B248" s="133">
        <v>245</v>
      </c>
      <c r="C248" s="133">
        <v>222</v>
      </c>
      <c r="D248" s="133" t="s">
        <v>442</v>
      </c>
      <c r="E248" s="133">
        <v>3</v>
      </c>
      <c r="F248" s="133" t="str">
        <f t="shared" si="5"/>
        <v>治疗房舍3</v>
      </c>
      <c r="H248" s="146"/>
      <c r="I248" s="133" t="s">
        <v>1205</v>
      </c>
      <c r="J248" s="150">
        <f>INDEX('#建筑消耗和buff配置索引'!AH:AH,MATCH($F248,'#建筑消耗和buff配置索引'!$M:$M,0))</f>
        <v>216</v>
      </c>
      <c r="K248" s="150">
        <f>INDEX('#建筑消耗和buff配置索引'!AA:AA,MATCH($F248,'#建筑消耗和buff配置索引'!$M:$M,0))</f>
        <v>6000</v>
      </c>
      <c r="L248" s="150">
        <f>INDEX('#建筑消耗和buff配置索引'!AB:AB,MATCH($F248,'#建筑消耗和buff配置索引'!$M:$M,0))</f>
        <v>6000</v>
      </c>
      <c r="M248" s="150">
        <f>INDEX('#建筑消耗和buff配置索引'!AC:AC,MATCH($F248,'#建筑消耗和buff配置索引'!$M:$M,0))</f>
        <v>0</v>
      </c>
      <c r="N248" s="150">
        <f>INDEX('#建筑消耗和buff配置索引'!AD:AD,MATCH($F248,'#建筑消耗和buff配置索引'!$M:$M,0))</f>
        <v>0</v>
      </c>
      <c r="O248" s="150" t="str">
        <f>IF(INDEX('#建筑消耗和buff配置索引'!T:T,MATCH($F248,'#建筑消耗和buff配置索引'!$M:$M,0))=0,"",INDEX('#建筑消耗和buff配置索引'!T:T,MATCH($F248,'#建筑消耗和buff配置索引'!$M:$M,0)))</f>
        <v/>
      </c>
      <c r="P248" s="133" t="str">
        <f>IF(INDEX('#建筑消耗和buff配置索引'!U:U,MATCH($F248,'#建筑消耗和buff配置索引'!$M:$M,0))=0,"",INDEX('#建筑消耗和buff配置索引'!U:U,MATCH($F248,'#建筑消耗和buff配置索引'!$M:$M,0)))</f>
        <v/>
      </c>
      <c r="Q248" s="133" t="str">
        <f>IF(INDEX('#建筑消耗和buff配置索引'!K:K,MATCH($F248,'#建筑消耗和buff配置索引'!$M:$M,0))=0,"",INDEX('#建筑消耗和buff配置索引'!K:K,MATCH($F248,'#建筑消耗和buff配置索引'!$M:$M,0)))</f>
        <v>201</v>
      </c>
      <c r="R248" s="133" t="str">
        <f>IF(INDEX('#建筑消耗和buff配置索引'!L:L,MATCH($F248,'#建筑消耗和buff配置索引'!$M:$M,0))=0,"",INDEX('#建筑消耗和buff配置索引'!L:L,MATCH($F248,'#建筑消耗和buff配置索引'!$M:$M,0)))</f>
        <v>3</v>
      </c>
      <c r="S248" s="133">
        <f>IF(INDEX('#建筑消耗和buff配置索引'!C:C,MATCH(F248,'#建筑消耗和buff配置索引'!M:M,0))=0,1,INDEX('#建筑消耗和buff配置索引'!C:C,MATCH(F248,'#建筑消耗和buff配置索引'!M:M,0)))</f>
        <v>1</v>
      </c>
      <c r="T248" s="133">
        <v>0</v>
      </c>
      <c r="U248" s="133">
        <v>0</v>
      </c>
      <c r="V248" s="133" t="str">
        <f>IF(E248=1,IF(INDEX('#建筑消耗和buff配置索引'!BY:BY,MATCH(D248,'#建筑消耗和buff配置索引'!A:A,0))=0,"",INDEX('#建筑消耗和buff配置索引'!BY:BY,MATCH(D248,'#建筑消耗和buff配置索引'!A:A,0))),"")</f>
        <v/>
      </c>
      <c r="W248" s="133" t="str">
        <f>IF(E248=1,IF(INDEX('#建筑消耗和buff配置索引'!BZ:BZ,MATCH(D248,'#建筑消耗和buff配置索引'!A:A,0))=0,"",INDEX('#建筑消耗和buff配置索引'!BZ:BZ,MATCH(D248,'#建筑消耗和buff配置索引'!A:A,0))),"")</f>
        <v/>
      </c>
      <c r="AA248" s="133">
        <f>INDEX('#建筑消耗和buff配置索引'!AO:AO,MATCH($F248,'#建筑消耗和buff配置索引'!$M:$M,0))</f>
        <v>42</v>
      </c>
      <c r="AB248" s="133">
        <f>IF(INDEX('#建筑消耗和buff配置索引'!AR:AR,MATCH($F248,'#建筑消耗和buff配置索引'!$M:$M,0))=0,"",INDEX('#建筑消耗和buff配置索引'!AR:AR,MATCH($F248,'#建筑消耗和buff配置索引'!$M:$M,0)))</f>
        <v>3102</v>
      </c>
      <c r="AC248" s="133">
        <f>IF(AB248="","",INDEX('#建筑消耗和buff配置索引'!AS:AS,MATCH($F248,'#建筑消耗和buff配置索引'!$M:$M,0)))</f>
        <v>40000</v>
      </c>
      <c r="AF248" s="133">
        <f>IF(INDEX('#建筑消耗和buff配置索引'!AW:AW,MATCH($F248,'#建筑消耗和buff配置索引'!$M:$M,0))=0,"",INDEX('#建筑消耗和buff配置索引'!AW:AW,MATCH($F248,'#建筑消耗和buff配置索引'!$M:$M,0)))</f>
        <v>3100</v>
      </c>
      <c r="AG248" s="133">
        <f>IF(AF248="","",INDEX('#建筑消耗和buff配置索引'!AX:AX,MATCH($F248,'#建筑消耗和buff配置索引'!$M:$M,0)))</f>
        <v>0.03</v>
      </c>
      <c r="AJ248" s="133" t="str">
        <f>IF(INDEX('#建筑消耗和buff配置索引'!BB:BB,MATCH($F248,'#建筑消耗和buff配置索引'!$M:$M,0))=0,"",INDEX('#建筑消耗和buff配置索引'!BB:BB,MATCH($F248,'#建筑消耗和buff配置索引'!$M:$M,0)))</f>
        <v/>
      </c>
      <c r="AK248" s="133" t="str">
        <f>IF(AJ248="","",INDEX('#建筑消耗和buff配置索引'!BC:BC,MATCH($F248,'#建筑消耗和buff配置索引'!$M:$M,0)))</f>
        <v/>
      </c>
      <c r="AN248" s="133" t="str">
        <f>IF(INDEX('#建筑消耗和buff配置索引'!BG:BG,MATCH($F248,'#建筑消耗和buff配置索引'!$M:$M,0))=0,"",INDEX('#建筑消耗和buff配置索引'!BG:BG,MATCH($F248,'#建筑消耗和buff配置索引'!$M:$M,0)))</f>
        <v/>
      </c>
      <c r="AO248" s="133" t="str">
        <f>IF(AN248="","",INDEX('#建筑消耗和buff配置索引'!BH:BH,MATCH($F248,'#建筑消耗和buff配置索引'!$M:$M,0)))</f>
        <v/>
      </c>
      <c r="AR248" s="133" t="str">
        <f>IF(INDEX('#建筑消耗和buff配置索引'!BK:BK,MATCH($F248,'#建筑消耗和buff配置索引'!$M:$M,0))=0,"",INDEX('#建筑消耗和buff配置索引'!BK:BK,MATCH($F248,'#建筑消耗和buff配置索引'!$M:$M,0)))</f>
        <v/>
      </c>
      <c r="AS248" s="133" t="str">
        <f>IF(AR248="","",INDEX('#建筑消耗和buff配置索引'!BL:BL,MATCH($F248,'#建筑消耗和buff配置索引'!$M:$M,0)))</f>
        <v/>
      </c>
      <c r="AV248" s="133" t="str">
        <f>IF(INDEX('#建筑消耗和buff配置索引'!BO:BO,MATCH($F248,'#建筑消耗和buff配置索引'!$M:$M,0))=0,"",INDEX('#建筑消耗和buff配置索引'!BO:BO,MATCH($F248,'#建筑消耗和buff配置索引'!$M:$M,0)))</f>
        <v/>
      </c>
      <c r="AW248" s="133" t="str">
        <f>IF(AV248="","",INDEX('#建筑消耗和buff配置索引'!BP:BP,MATCH($F248,'#建筑消耗和buff配置索引'!$M:$M,0)))</f>
        <v/>
      </c>
      <c r="AZ248" s="133" t="str">
        <f>IF(INDEX('#建筑消耗和buff配置索引'!BS:BS,MATCH($F248,'#建筑消耗和buff配置索引'!$M:$M,0))=0,"",INDEX('#建筑消耗和buff配置索引'!BS:BS,MATCH($F248,'#建筑消耗和buff配置索引'!$M:$M,0)))</f>
        <v/>
      </c>
      <c r="BA248" s="133" t="str">
        <f>IF(AZ248="","",INDEX('#建筑消耗和buff配置索引'!BT:BT,MATCH($F248,'#建筑消耗和buff配置索引'!$M:$M,0)))</f>
        <v/>
      </c>
      <c r="BD248" s="133" t="str">
        <f>IF(INDEX('#建筑消耗和buff配置索引'!BW:BW,MATCH($F248,'#建筑消耗和buff配置索引'!$M:$M,0))=0,"",INDEX('#建筑消耗和buff配置索引'!BW:BW,MATCH($F248,'#建筑消耗和buff配置索引'!$M:$M,0)))</f>
        <v/>
      </c>
      <c r="BE248" s="133" t="str">
        <f>IF(BD248="","",INDEX('#建筑消耗和buff配置索引'!BX:BX,MATCH($F248,'#建筑消耗和buff配置索引'!$M:$M,0)))</f>
        <v/>
      </c>
      <c r="BI248" s="133">
        <v>3</v>
      </c>
    </row>
    <row r="249" spans="1:66" s="133" customFormat="1">
      <c r="A249" s="133">
        <v>2220004</v>
      </c>
      <c r="B249" s="133">
        <v>246</v>
      </c>
      <c r="C249" s="133">
        <v>222</v>
      </c>
      <c r="D249" s="133" t="s">
        <v>442</v>
      </c>
      <c r="E249" s="133">
        <v>4</v>
      </c>
      <c r="F249" s="133" t="str">
        <f t="shared" ref="F249:F342" si="6">D249&amp;E249</f>
        <v>治疗房舍4</v>
      </c>
      <c r="H249" s="146"/>
      <c r="I249" s="133" t="s">
        <v>1205</v>
      </c>
      <c r="J249" s="150">
        <f>INDEX('#建筑消耗和buff配置索引'!AH:AH,MATCH($F249,'#建筑消耗和buff配置索引'!$M:$M,0))</f>
        <v>432</v>
      </c>
      <c r="K249" s="150">
        <f>INDEX('#建筑消耗和buff配置索引'!AA:AA,MATCH($F249,'#建筑消耗和buff配置索引'!$M:$M,0))</f>
        <v>12000</v>
      </c>
      <c r="L249" s="150">
        <f>INDEX('#建筑消耗和buff配置索引'!AB:AB,MATCH($F249,'#建筑消耗和buff配置索引'!$M:$M,0))</f>
        <v>12000</v>
      </c>
      <c r="M249" s="150">
        <f>INDEX('#建筑消耗和buff配置索引'!AC:AC,MATCH($F249,'#建筑消耗和buff配置索引'!$M:$M,0))</f>
        <v>0</v>
      </c>
      <c r="N249" s="150">
        <f>INDEX('#建筑消耗和buff配置索引'!AD:AD,MATCH($F249,'#建筑消耗和buff配置索引'!$M:$M,0))</f>
        <v>0</v>
      </c>
      <c r="O249" s="150" t="str">
        <f>IF(INDEX('#建筑消耗和buff配置索引'!T:T,MATCH($F249,'#建筑消耗和buff配置索引'!$M:$M,0))=0,"",INDEX('#建筑消耗和buff配置索引'!T:T,MATCH($F249,'#建筑消耗和buff配置索引'!$M:$M,0)))</f>
        <v/>
      </c>
      <c r="P249" s="133" t="str">
        <f>IF(INDEX('#建筑消耗和buff配置索引'!U:U,MATCH($F249,'#建筑消耗和buff配置索引'!$M:$M,0))=0,"",INDEX('#建筑消耗和buff配置索引'!U:U,MATCH($F249,'#建筑消耗和buff配置索引'!$M:$M,0)))</f>
        <v/>
      </c>
      <c r="Q249" s="133" t="str">
        <f>IF(INDEX('#建筑消耗和buff配置索引'!K:K,MATCH($F249,'#建筑消耗和buff配置索引'!$M:$M,0))=0,"",INDEX('#建筑消耗和buff配置索引'!K:K,MATCH($F249,'#建筑消耗和buff配置索引'!$M:$M,0)))</f>
        <v>201</v>
      </c>
      <c r="R249" s="133" t="str">
        <f>IF(INDEX('#建筑消耗和buff配置索引'!L:L,MATCH($F249,'#建筑消耗和buff配置索引'!$M:$M,0))=0,"",INDEX('#建筑消耗和buff配置索引'!L:L,MATCH($F249,'#建筑消耗和buff配置索引'!$M:$M,0)))</f>
        <v>4</v>
      </c>
      <c r="S249" s="133">
        <f>IF(INDEX('#建筑消耗和buff配置索引'!C:C,MATCH(F249,'#建筑消耗和buff配置索引'!M:M,0))=0,1,INDEX('#建筑消耗和buff配置索引'!C:C,MATCH(F249,'#建筑消耗和buff配置索引'!M:M,0)))</f>
        <v>1</v>
      </c>
      <c r="T249" s="133">
        <v>0</v>
      </c>
      <c r="U249" s="133">
        <v>0</v>
      </c>
      <c r="V249" s="133" t="str">
        <f>IF(E249=1,IF(INDEX('#建筑消耗和buff配置索引'!BY:BY,MATCH(D249,'#建筑消耗和buff配置索引'!A:A,0))=0,"",INDEX('#建筑消耗和buff配置索引'!BY:BY,MATCH(D249,'#建筑消耗和buff配置索引'!A:A,0))),"")</f>
        <v/>
      </c>
      <c r="W249" s="133" t="str">
        <f>IF(E249=1,IF(INDEX('#建筑消耗和buff配置索引'!BZ:BZ,MATCH(D249,'#建筑消耗和buff配置索引'!A:A,0))=0,"",INDEX('#建筑消耗和buff配置索引'!BZ:BZ,MATCH(D249,'#建筑消耗和buff配置索引'!A:A,0))),"")</f>
        <v/>
      </c>
      <c r="AA249" s="133">
        <f>INDEX('#建筑消耗和buff配置索引'!AO:AO,MATCH($F249,'#建筑消耗和buff配置索引'!$M:$M,0))</f>
        <v>90</v>
      </c>
      <c r="AB249" s="133">
        <f>IF(INDEX('#建筑消耗和buff配置索引'!AR:AR,MATCH($F249,'#建筑消耗和buff配置索引'!$M:$M,0))=0,"",INDEX('#建筑消耗和buff配置索引'!AR:AR,MATCH($F249,'#建筑消耗和buff配置索引'!$M:$M,0)))</f>
        <v>3102</v>
      </c>
      <c r="AC249" s="133">
        <f>IF(AB249="","",INDEX('#建筑消耗和buff配置索引'!AS:AS,MATCH($F249,'#建筑消耗和buff配置索引'!$M:$M,0)))</f>
        <v>45000</v>
      </c>
      <c r="AF249" s="133">
        <f>IF(INDEX('#建筑消耗和buff配置索引'!AW:AW,MATCH($F249,'#建筑消耗和buff配置索引'!$M:$M,0))=0,"",INDEX('#建筑消耗和buff配置索引'!AW:AW,MATCH($F249,'#建筑消耗和buff配置索引'!$M:$M,0)))</f>
        <v>3100</v>
      </c>
      <c r="AG249" s="133">
        <f>IF(AF249="","",INDEX('#建筑消耗和buff配置索引'!AX:AX,MATCH($F249,'#建筑消耗和buff配置索引'!$M:$M,0)))</f>
        <v>0.04</v>
      </c>
      <c r="AJ249" s="133" t="str">
        <f>IF(INDEX('#建筑消耗和buff配置索引'!BB:BB,MATCH($F249,'#建筑消耗和buff配置索引'!$M:$M,0))=0,"",INDEX('#建筑消耗和buff配置索引'!BB:BB,MATCH($F249,'#建筑消耗和buff配置索引'!$M:$M,0)))</f>
        <v/>
      </c>
      <c r="AK249" s="133" t="str">
        <f>IF(AJ249="","",INDEX('#建筑消耗和buff配置索引'!BC:BC,MATCH($F249,'#建筑消耗和buff配置索引'!$M:$M,0)))</f>
        <v/>
      </c>
      <c r="AN249" s="133" t="str">
        <f>IF(INDEX('#建筑消耗和buff配置索引'!BG:BG,MATCH($F249,'#建筑消耗和buff配置索引'!$M:$M,0))=0,"",INDEX('#建筑消耗和buff配置索引'!BG:BG,MATCH($F249,'#建筑消耗和buff配置索引'!$M:$M,0)))</f>
        <v/>
      </c>
      <c r="AO249" s="133" t="str">
        <f>IF(AN249="","",INDEX('#建筑消耗和buff配置索引'!BH:BH,MATCH($F249,'#建筑消耗和buff配置索引'!$M:$M,0)))</f>
        <v/>
      </c>
      <c r="AR249" s="133" t="str">
        <f>IF(INDEX('#建筑消耗和buff配置索引'!BK:BK,MATCH($F249,'#建筑消耗和buff配置索引'!$M:$M,0))=0,"",INDEX('#建筑消耗和buff配置索引'!BK:BK,MATCH($F249,'#建筑消耗和buff配置索引'!$M:$M,0)))</f>
        <v/>
      </c>
      <c r="AS249" s="133" t="str">
        <f>IF(AR249="","",INDEX('#建筑消耗和buff配置索引'!BL:BL,MATCH($F249,'#建筑消耗和buff配置索引'!$M:$M,0)))</f>
        <v/>
      </c>
      <c r="AV249" s="133" t="str">
        <f>IF(INDEX('#建筑消耗和buff配置索引'!BO:BO,MATCH($F249,'#建筑消耗和buff配置索引'!$M:$M,0))=0,"",INDEX('#建筑消耗和buff配置索引'!BO:BO,MATCH($F249,'#建筑消耗和buff配置索引'!$M:$M,0)))</f>
        <v/>
      </c>
      <c r="AW249" s="133" t="str">
        <f>IF(AV249="","",INDEX('#建筑消耗和buff配置索引'!BP:BP,MATCH($F249,'#建筑消耗和buff配置索引'!$M:$M,0)))</f>
        <v/>
      </c>
      <c r="AZ249" s="133" t="str">
        <f>IF(INDEX('#建筑消耗和buff配置索引'!BS:BS,MATCH($F249,'#建筑消耗和buff配置索引'!$M:$M,0))=0,"",INDEX('#建筑消耗和buff配置索引'!BS:BS,MATCH($F249,'#建筑消耗和buff配置索引'!$M:$M,0)))</f>
        <v/>
      </c>
      <c r="BA249" s="133" t="str">
        <f>IF(AZ249="","",INDEX('#建筑消耗和buff配置索引'!BT:BT,MATCH($F249,'#建筑消耗和buff配置索引'!$M:$M,0)))</f>
        <v/>
      </c>
      <c r="BD249" s="133" t="str">
        <f>IF(INDEX('#建筑消耗和buff配置索引'!BW:BW,MATCH($F249,'#建筑消耗和buff配置索引'!$M:$M,0))=0,"",INDEX('#建筑消耗和buff配置索引'!BW:BW,MATCH($F249,'#建筑消耗和buff配置索引'!$M:$M,0)))</f>
        <v/>
      </c>
      <c r="BE249" s="133" t="str">
        <f>IF(BD249="","",INDEX('#建筑消耗和buff配置索引'!BX:BX,MATCH($F249,'#建筑消耗和buff配置索引'!$M:$M,0)))</f>
        <v/>
      </c>
      <c r="BI249" s="133">
        <v>3</v>
      </c>
    </row>
    <row r="250" spans="1:66" s="133" customFormat="1">
      <c r="A250" s="133">
        <v>2220005</v>
      </c>
      <c r="B250" s="133">
        <v>247</v>
      </c>
      <c r="C250" s="133">
        <v>222</v>
      </c>
      <c r="D250" s="133" t="s">
        <v>442</v>
      </c>
      <c r="E250" s="133">
        <v>5</v>
      </c>
      <c r="F250" s="133" t="str">
        <f t="shared" si="6"/>
        <v>治疗房舍5</v>
      </c>
      <c r="H250" s="146"/>
      <c r="I250" s="133">
        <v>1</v>
      </c>
      <c r="J250" s="150">
        <f>INDEX('#建筑消耗和buff配置索引'!AH:AH,MATCH($F250,'#建筑消耗和buff配置索引'!$M:$M,0))</f>
        <v>900</v>
      </c>
      <c r="K250" s="150">
        <f>INDEX('#建筑消耗和buff配置索引'!AA:AA,MATCH($F250,'#建筑消耗和buff配置索引'!$M:$M,0))</f>
        <v>15000</v>
      </c>
      <c r="L250" s="150">
        <f>INDEX('#建筑消耗和buff配置索引'!AB:AB,MATCH($F250,'#建筑消耗和buff配置索引'!$M:$M,0))</f>
        <v>15000</v>
      </c>
      <c r="M250" s="150">
        <f>INDEX('#建筑消耗和buff配置索引'!AC:AC,MATCH($F250,'#建筑消耗和buff配置索引'!$M:$M,0))</f>
        <v>15000</v>
      </c>
      <c r="N250" s="150">
        <f>INDEX('#建筑消耗和buff配置索引'!AD:AD,MATCH($F250,'#建筑消耗和buff配置索引'!$M:$M,0))</f>
        <v>0</v>
      </c>
      <c r="O250" s="150" t="str">
        <f>IF(INDEX('#建筑消耗和buff配置索引'!T:T,MATCH($F250,'#建筑消耗和buff配置索引'!$M:$M,0))=0,"",INDEX('#建筑消耗和buff配置索引'!T:T,MATCH($F250,'#建筑消耗和buff配置索引'!$M:$M,0)))</f>
        <v/>
      </c>
      <c r="P250" s="133" t="str">
        <f>IF(INDEX('#建筑消耗和buff配置索引'!U:U,MATCH($F250,'#建筑消耗和buff配置索引'!$M:$M,0))=0,"",INDEX('#建筑消耗和buff配置索引'!U:U,MATCH($F250,'#建筑消耗和buff配置索引'!$M:$M,0)))</f>
        <v/>
      </c>
      <c r="Q250" s="133" t="str">
        <f>IF(INDEX('#建筑消耗和buff配置索引'!K:K,MATCH($F250,'#建筑消耗和buff配置索引'!$M:$M,0))=0,"",INDEX('#建筑消耗和buff配置索引'!K:K,MATCH($F250,'#建筑消耗和buff配置索引'!$M:$M,0)))</f>
        <v>201</v>
      </c>
      <c r="R250" s="133" t="str">
        <f>IF(INDEX('#建筑消耗和buff配置索引'!L:L,MATCH($F250,'#建筑消耗和buff配置索引'!$M:$M,0))=0,"",INDEX('#建筑消耗和buff配置索引'!L:L,MATCH($F250,'#建筑消耗和buff配置索引'!$M:$M,0)))</f>
        <v>5</v>
      </c>
      <c r="S250" s="133">
        <f>IF(INDEX('#建筑消耗和buff配置索引'!C:C,MATCH(F250,'#建筑消耗和buff配置索引'!M:M,0))=0,1,INDEX('#建筑消耗和buff配置索引'!C:C,MATCH(F250,'#建筑消耗和buff配置索引'!M:M,0)))</f>
        <v>1</v>
      </c>
      <c r="T250" s="133">
        <v>0</v>
      </c>
      <c r="U250" s="133">
        <v>0</v>
      </c>
      <c r="V250" s="133" t="str">
        <f>IF(E250=1,IF(INDEX('#建筑消耗和buff配置索引'!BY:BY,MATCH(D250,'#建筑消耗和buff配置索引'!A:A,0))=0,"",INDEX('#建筑消耗和buff配置索引'!BY:BY,MATCH(D250,'#建筑消耗和buff配置索引'!A:A,0))),"")</f>
        <v/>
      </c>
      <c r="W250" s="133" t="str">
        <f>IF(E250=1,IF(INDEX('#建筑消耗和buff配置索引'!BZ:BZ,MATCH(D250,'#建筑消耗和buff配置索引'!A:A,0))=0,"",INDEX('#建筑消耗和buff配置索引'!BZ:BZ,MATCH(D250,'#建筑消耗和buff配置索引'!A:A,0))),"")</f>
        <v/>
      </c>
      <c r="AA250" s="133">
        <f>INDEX('#建筑消耗和buff配置索引'!AO:AO,MATCH($F250,'#建筑消耗和buff配置索引'!$M:$M,0))</f>
        <v>182</v>
      </c>
      <c r="AB250" s="133">
        <f>IF(INDEX('#建筑消耗和buff配置索引'!AR:AR,MATCH($F250,'#建筑消耗和buff配置索引'!$M:$M,0))=0,"",INDEX('#建筑消耗和buff配置索引'!AR:AR,MATCH($F250,'#建筑消耗和buff配置索引'!$M:$M,0)))</f>
        <v>3102</v>
      </c>
      <c r="AC250" s="133">
        <f>IF(AB250="","",INDEX('#建筑消耗和buff配置索引'!AS:AS,MATCH($F250,'#建筑消耗和buff配置索引'!$M:$M,0)))</f>
        <v>50000</v>
      </c>
      <c r="AF250" s="133">
        <f>IF(INDEX('#建筑消耗和buff配置索引'!AW:AW,MATCH($F250,'#建筑消耗和buff配置索引'!$M:$M,0))=0,"",INDEX('#建筑消耗和buff配置索引'!AW:AW,MATCH($F250,'#建筑消耗和buff配置索引'!$M:$M,0)))</f>
        <v>3100</v>
      </c>
      <c r="AG250" s="133">
        <f>IF(AF250="","",INDEX('#建筑消耗和buff配置索引'!AX:AX,MATCH($F250,'#建筑消耗和buff配置索引'!$M:$M,0)))</f>
        <v>0.05</v>
      </c>
      <c r="AJ250" s="133" t="str">
        <f>IF(INDEX('#建筑消耗和buff配置索引'!BB:BB,MATCH($F250,'#建筑消耗和buff配置索引'!$M:$M,0))=0,"",INDEX('#建筑消耗和buff配置索引'!BB:BB,MATCH($F250,'#建筑消耗和buff配置索引'!$M:$M,0)))</f>
        <v/>
      </c>
      <c r="AK250" s="133" t="str">
        <f>IF(AJ250="","",INDEX('#建筑消耗和buff配置索引'!BC:BC,MATCH($F250,'#建筑消耗和buff配置索引'!$M:$M,0)))</f>
        <v/>
      </c>
      <c r="AN250" s="133" t="str">
        <f>IF(INDEX('#建筑消耗和buff配置索引'!BG:BG,MATCH($F250,'#建筑消耗和buff配置索引'!$M:$M,0))=0,"",INDEX('#建筑消耗和buff配置索引'!BG:BG,MATCH($F250,'#建筑消耗和buff配置索引'!$M:$M,0)))</f>
        <v/>
      </c>
      <c r="AO250" s="133" t="str">
        <f>IF(AN250="","",INDEX('#建筑消耗和buff配置索引'!BH:BH,MATCH($F250,'#建筑消耗和buff配置索引'!$M:$M,0)))</f>
        <v/>
      </c>
      <c r="AR250" s="133" t="str">
        <f>IF(INDEX('#建筑消耗和buff配置索引'!BK:BK,MATCH($F250,'#建筑消耗和buff配置索引'!$M:$M,0))=0,"",INDEX('#建筑消耗和buff配置索引'!BK:BK,MATCH($F250,'#建筑消耗和buff配置索引'!$M:$M,0)))</f>
        <v/>
      </c>
      <c r="AS250" s="133" t="str">
        <f>IF(AR250="","",INDEX('#建筑消耗和buff配置索引'!BL:BL,MATCH($F250,'#建筑消耗和buff配置索引'!$M:$M,0)))</f>
        <v/>
      </c>
      <c r="AV250" s="133" t="str">
        <f>IF(INDEX('#建筑消耗和buff配置索引'!BO:BO,MATCH($F250,'#建筑消耗和buff配置索引'!$M:$M,0))=0,"",INDEX('#建筑消耗和buff配置索引'!BO:BO,MATCH($F250,'#建筑消耗和buff配置索引'!$M:$M,0)))</f>
        <v/>
      </c>
      <c r="AW250" s="133" t="str">
        <f>IF(AV250="","",INDEX('#建筑消耗和buff配置索引'!BP:BP,MATCH($F250,'#建筑消耗和buff配置索引'!$M:$M,0)))</f>
        <v/>
      </c>
      <c r="AZ250" s="133" t="str">
        <f>IF(INDEX('#建筑消耗和buff配置索引'!BS:BS,MATCH($F250,'#建筑消耗和buff配置索引'!$M:$M,0))=0,"",INDEX('#建筑消耗和buff配置索引'!BS:BS,MATCH($F250,'#建筑消耗和buff配置索引'!$M:$M,0)))</f>
        <v/>
      </c>
      <c r="BA250" s="133" t="str">
        <f>IF(AZ250="","",INDEX('#建筑消耗和buff配置索引'!BT:BT,MATCH($F250,'#建筑消耗和buff配置索引'!$M:$M,0)))</f>
        <v/>
      </c>
      <c r="BD250" s="133" t="str">
        <f>IF(INDEX('#建筑消耗和buff配置索引'!BW:BW,MATCH($F250,'#建筑消耗和buff配置索引'!$M:$M,0))=0,"",INDEX('#建筑消耗和buff配置索引'!BW:BW,MATCH($F250,'#建筑消耗和buff配置索引'!$M:$M,0)))</f>
        <v/>
      </c>
      <c r="BE250" s="133" t="str">
        <f>IF(BD250="","",INDEX('#建筑消耗和buff配置索引'!BX:BX,MATCH($F250,'#建筑消耗和buff配置索引'!$M:$M,0)))</f>
        <v/>
      </c>
      <c r="BI250" s="133">
        <v>3</v>
      </c>
      <c r="BJ250" s="133">
        <v>299</v>
      </c>
    </row>
    <row r="251" spans="1:66" s="133" customFormat="1">
      <c r="A251" s="133">
        <v>2220006</v>
      </c>
      <c r="B251" s="133">
        <v>248</v>
      </c>
      <c r="C251" s="133">
        <v>222</v>
      </c>
      <c r="D251" s="133" t="s">
        <v>442</v>
      </c>
      <c r="E251" s="133">
        <v>6</v>
      </c>
      <c r="F251" s="133" t="str">
        <f t="shared" si="6"/>
        <v>治疗房舍6</v>
      </c>
      <c r="H251" s="146"/>
      <c r="I251" s="133">
        <v>1</v>
      </c>
      <c r="J251" s="150">
        <f>INDEX('#建筑消耗和buff配置索引'!AH:AH,MATCH($F251,'#建筑消耗和buff配置索引'!$M:$M,0))</f>
        <v>1620</v>
      </c>
      <c r="K251" s="150">
        <f>INDEX('#建筑消耗和buff配置索引'!AA:AA,MATCH($F251,'#建筑消耗和buff配置索引'!$M:$M,0))</f>
        <v>29000</v>
      </c>
      <c r="L251" s="150">
        <f>INDEX('#建筑消耗和buff配置索引'!AB:AB,MATCH($F251,'#建筑消耗和buff配置索引'!$M:$M,0))</f>
        <v>29000</v>
      </c>
      <c r="M251" s="150">
        <f>INDEX('#建筑消耗和buff配置索引'!AC:AC,MATCH($F251,'#建筑消耗和buff配置索引'!$M:$M,0))</f>
        <v>29000</v>
      </c>
      <c r="N251" s="150">
        <f>INDEX('#建筑消耗和buff配置索引'!AD:AD,MATCH($F251,'#建筑消耗和buff配置索引'!$M:$M,0))</f>
        <v>0</v>
      </c>
      <c r="O251" s="150" t="str">
        <f>IF(INDEX('#建筑消耗和buff配置索引'!T:T,MATCH($F251,'#建筑消耗和buff配置索引'!$M:$M,0))=0,"",INDEX('#建筑消耗和buff配置索引'!T:T,MATCH($F251,'#建筑消耗和buff配置索引'!$M:$M,0)))</f>
        <v/>
      </c>
      <c r="P251" s="133" t="str">
        <f>IF(INDEX('#建筑消耗和buff配置索引'!U:U,MATCH($F251,'#建筑消耗和buff配置索引'!$M:$M,0))=0,"",INDEX('#建筑消耗和buff配置索引'!U:U,MATCH($F251,'#建筑消耗和buff配置索引'!$M:$M,0)))</f>
        <v/>
      </c>
      <c r="Q251" s="133" t="str">
        <f>IF(INDEX('#建筑消耗和buff配置索引'!K:K,MATCH($F251,'#建筑消耗和buff配置索引'!$M:$M,0))=0,"",INDEX('#建筑消耗和buff配置索引'!K:K,MATCH($F251,'#建筑消耗和buff配置索引'!$M:$M,0)))</f>
        <v>201</v>
      </c>
      <c r="R251" s="133" t="str">
        <f>IF(INDEX('#建筑消耗和buff配置索引'!L:L,MATCH($F251,'#建筑消耗和buff配置索引'!$M:$M,0))=0,"",INDEX('#建筑消耗和buff配置索引'!L:L,MATCH($F251,'#建筑消耗和buff配置索引'!$M:$M,0)))</f>
        <v>6</v>
      </c>
      <c r="S251" s="133">
        <f>IF(INDEX('#建筑消耗和buff配置索引'!C:C,MATCH(F251,'#建筑消耗和buff配置索引'!M:M,0))=0,1,INDEX('#建筑消耗和buff配置索引'!C:C,MATCH(F251,'#建筑消耗和buff配置索引'!M:M,0)))</f>
        <v>1</v>
      </c>
      <c r="T251" s="133">
        <v>0</v>
      </c>
      <c r="U251" s="133">
        <v>0</v>
      </c>
      <c r="V251" s="133" t="str">
        <f>IF(E251=1,IF(INDEX('#建筑消耗和buff配置索引'!BY:BY,MATCH(D251,'#建筑消耗和buff配置索引'!A:A,0))=0,"",INDEX('#建筑消耗和buff配置索引'!BY:BY,MATCH(D251,'#建筑消耗和buff配置索引'!A:A,0))),"")</f>
        <v/>
      </c>
      <c r="W251" s="133" t="str">
        <f>IF(E251=1,IF(INDEX('#建筑消耗和buff配置索引'!BZ:BZ,MATCH(D251,'#建筑消耗和buff配置索引'!A:A,0))=0,"",INDEX('#建筑消耗和buff配置索引'!BZ:BZ,MATCH(D251,'#建筑消耗和buff配置索引'!A:A,0))),"")</f>
        <v/>
      </c>
      <c r="AA251" s="133">
        <f>INDEX('#建筑消耗和buff配置索引'!AO:AO,MATCH($F251,'#建筑消耗和buff配置索引'!$M:$M,0))</f>
        <v>354</v>
      </c>
      <c r="AB251" s="133">
        <f>IF(INDEX('#建筑消耗和buff配置索引'!AR:AR,MATCH($F251,'#建筑消耗和buff配置索引'!$M:$M,0))=0,"",INDEX('#建筑消耗和buff配置索引'!AR:AR,MATCH($F251,'#建筑消耗和buff配置索引'!$M:$M,0)))</f>
        <v>3102</v>
      </c>
      <c r="AC251" s="133">
        <f>IF(AB251="","",INDEX('#建筑消耗和buff配置索引'!AS:AS,MATCH($F251,'#建筑消耗和buff配置索引'!$M:$M,0)))</f>
        <v>55000</v>
      </c>
      <c r="AF251" s="133">
        <f>IF(INDEX('#建筑消耗和buff配置索引'!AW:AW,MATCH($F251,'#建筑消耗和buff配置索引'!$M:$M,0))=0,"",INDEX('#建筑消耗和buff配置索引'!AW:AW,MATCH($F251,'#建筑消耗和buff配置索引'!$M:$M,0)))</f>
        <v>3100</v>
      </c>
      <c r="AG251" s="133">
        <f>IF(AF251="","",INDEX('#建筑消耗和buff配置索引'!AX:AX,MATCH($F251,'#建筑消耗和buff配置索引'!$M:$M,0)))</f>
        <v>0.06</v>
      </c>
      <c r="AJ251" s="133" t="str">
        <f>IF(INDEX('#建筑消耗和buff配置索引'!BB:BB,MATCH($F251,'#建筑消耗和buff配置索引'!$M:$M,0))=0,"",INDEX('#建筑消耗和buff配置索引'!BB:BB,MATCH($F251,'#建筑消耗和buff配置索引'!$M:$M,0)))</f>
        <v/>
      </c>
      <c r="AK251" s="133" t="str">
        <f>IF(AJ251="","",INDEX('#建筑消耗和buff配置索引'!BC:BC,MATCH($F251,'#建筑消耗和buff配置索引'!$M:$M,0)))</f>
        <v/>
      </c>
      <c r="AN251" s="133" t="str">
        <f>IF(INDEX('#建筑消耗和buff配置索引'!BG:BG,MATCH($F251,'#建筑消耗和buff配置索引'!$M:$M,0))=0,"",INDEX('#建筑消耗和buff配置索引'!BG:BG,MATCH($F251,'#建筑消耗和buff配置索引'!$M:$M,0)))</f>
        <v/>
      </c>
      <c r="AO251" s="133" t="str">
        <f>IF(AN251="","",INDEX('#建筑消耗和buff配置索引'!BH:BH,MATCH($F251,'#建筑消耗和buff配置索引'!$M:$M,0)))</f>
        <v/>
      </c>
      <c r="AR251" s="133" t="str">
        <f>IF(INDEX('#建筑消耗和buff配置索引'!BK:BK,MATCH($F251,'#建筑消耗和buff配置索引'!$M:$M,0))=0,"",INDEX('#建筑消耗和buff配置索引'!BK:BK,MATCH($F251,'#建筑消耗和buff配置索引'!$M:$M,0)))</f>
        <v/>
      </c>
      <c r="AS251" s="133" t="str">
        <f>IF(AR251="","",INDEX('#建筑消耗和buff配置索引'!BL:BL,MATCH($F251,'#建筑消耗和buff配置索引'!$M:$M,0)))</f>
        <v/>
      </c>
      <c r="AV251" s="133" t="str">
        <f>IF(INDEX('#建筑消耗和buff配置索引'!BO:BO,MATCH($F251,'#建筑消耗和buff配置索引'!$M:$M,0))=0,"",INDEX('#建筑消耗和buff配置索引'!BO:BO,MATCH($F251,'#建筑消耗和buff配置索引'!$M:$M,0)))</f>
        <v/>
      </c>
      <c r="AW251" s="133" t="str">
        <f>IF(AV251="","",INDEX('#建筑消耗和buff配置索引'!BP:BP,MATCH($F251,'#建筑消耗和buff配置索引'!$M:$M,0)))</f>
        <v/>
      </c>
      <c r="AZ251" s="133" t="str">
        <f>IF(INDEX('#建筑消耗和buff配置索引'!BS:BS,MATCH($F251,'#建筑消耗和buff配置索引'!$M:$M,0))=0,"",INDEX('#建筑消耗和buff配置索引'!BS:BS,MATCH($F251,'#建筑消耗和buff配置索引'!$M:$M,0)))</f>
        <v/>
      </c>
      <c r="BA251" s="133" t="str">
        <f>IF(AZ251="","",INDEX('#建筑消耗和buff配置索引'!BT:BT,MATCH($F251,'#建筑消耗和buff配置索引'!$M:$M,0)))</f>
        <v/>
      </c>
      <c r="BD251" s="133" t="str">
        <f>IF(INDEX('#建筑消耗和buff配置索引'!BW:BW,MATCH($F251,'#建筑消耗和buff配置索引'!$M:$M,0))=0,"",INDEX('#建筑消耗和buff配置索引'!BW:BW,MATCH($F251,'#建筑消耗和buff配置索引'!$M:$M,0)))</f>
        <v/>
      </c>
      <c r="BE251" s="133" t="str">
        <f>IF(BD251="","",INDEX('#建筑消耗和buff配置索引'!BX:BX,MATCH($F251,'#建筑消耗和buff配置索引'!$M:$M,0)))</f>
        <v/>
      </c>
      <c r="BI251" s="133">
        <v>3</v>
      </c>
      <c r="BJ251" s="133">
        <v>299</v>
      </c>
    </row>
    <row r="252" spans="1:66" s="133" customFormat="1">
      <c r="A252" s="133">
        <v>2220007</v>
      </c>
      <c r="B252" s="133">
        <v>249</v>
      </c>
      <c r="C252" s="133">
        <v>222</v>
      </c>
      <c r="D252" s="133" t="s">
        <v>442</v>
      </c>
      <c r="E252" s="133">
        <v>7</v>
      </c>
      <c r="F252" s="133" t="str">
        <f t="shared" si="6"/>
        <v>治疗房舍7</v>
      </c>
      <c r="H252" s="146"/>
      <c r="I252" s="133">
        <v>1</v>
      </c>
      <c r="J252" s="150">
        <f>INDEX('#建筑消耗和buff配置索引'!AH:AH,MATCH($F252,'#建筑消耗和buff配置索引'!$M:$M,0))</f>
        <v>2700</v>
      </c>
      <c r="K252" s="150">
        <f>INDEX('#建筑消耗和buff配置索引'!AA:AA,MATCH($F252,'#建筑消耗和buff配置索引'!$M:$M,0))</f>
        <v>51000</v>
      </c>
      <c r="L252" s="150">
        <f>INDEX('#建筑消耗和buff配置索引'!AB:AB,MATCH($F252,'#建筑消耗和buff配置索引'!$M:$M,0))</f>
        <v>51000</v>
      </c>
      <c r="M252" s="150">
        <f>INDEX('#建筑消耗和buff配置索引'!AC:AC,MATCH($F252,'#建筑消耗和buff配置索引'!$M:$M,0))</f>
        <v>51000</v>
      </c>
      <c r="N252" s="150">
        <f>INDEX('#建筑消耗和buff配置索引'!AD:AD,MATCH($F252,'#建筑消耗和buff配置索引'!$M:$M,0))</f>
        <v>0</v>
      </c>
      <c r="O252" s="150" t="str">
        <f>IF(INDEX('#建筑消耗和buff配置索引'!T:T,MATCH($F252,'#建筑消耗和buff配置索引'!$M:$M,0))=0,"",INDEX('#建筑消耗和buff配置索引'!T:T,MATCH($F252,'#建筑消耗和buff配置索引'!$M:$M,0)))</f>
        <v/>
      </c>
      <c r="P252" s="133" t="str">
        <f>IF(INDEX('#建筑消耗和buff配置索引'!U:U,MATCH($F252,'#建筑消耗和buff配置索引'!$M:$M,0))=0,"",INDEX('#建筑消耗和buff配置索引'!U:U,MATCH($F252,'#建筑消耗和buff配置索引'!$M:$M,0)))</f>
        <v/>
      </c>
      <c r="Q252" s="133" t="str">
        <f>IF(INDEX('#建筑消耗和buff配置索引'!K:K,MATCH($F252,'#建筑消耗和buff配置索引'!$M:$M,0))=0,"",INDEX('#建筑消耗和buff配置索引'!K:K,MATCH($F252,'#建筑消耗和buff配置索引'!$M:$M,0)))</f>
        <v>201</v>
      </c>
      <c r="R252" s="133" t="str">
        <f>IF(INDEX('#建筑消耗和buff配置索引'!L:L,MATCH($F252,'#建筑消耗和buff配置索引'!$M:$M,0))=0,"",INDEX('#建筑消耗和buff配置索引'!L:L,MATCH($F252,'#建筑消耗和buff配置索引'!$M:$M,0)))</f>
        <v>7</v>
      </c>
      <c r="S252" s="133">
        <f>IF(INDEX('#建筑消耗和buff配置索引'!C:C,MATCH(F252,'#建筑消耗和buff配置索引'!M:M,0))=0,1,INDEX('#建筑消耗和buff配置索引'!C:C,MATCH(F252,'#建筑消耗和buff配置索引'!M:M,0)))</f>
        <v>1</v>
      </c>
      <c r="T252" s="133">
        <v>0</v>
      </c>
      <c r="U252" s="133">
        <v>0</v>
      </c>
      <c r="V252" s="133" t="str">
        <f>IF(E252=1,IF(INDEX('#建筑消耗和buff配置索引'!BY:BY,MATCH(D252,'#建筑消耗和buff配置索引'!A:A,0))=0,"",INDEX('#建筑消耗和buff配置索引'!BY:BY,MATCH(D252,'#建筑消耗和buff配置索引'!A:A,0))),"")</f>
        <v/>
      </c>
      <c r="W252" s="133" t="str">
        <f>IF(E252=1,IF(INDEX('#建筑消耗和buff配置索引'!BZ:BZ,MATCH(D252,'#建筑消耗和buff配置索引'!A:A,0))=0,"",INDEX('#建筑消耗和buff配置索引'!BZ:BZ,MATCH(D252,'#建筑消耗和buff配置索引'!A:A,0))),"")</f>
        <v/>
      </c>
      <c r="AA252" s="133">
        <f>INDEX('#建筑消耗和buff配置索引'!AO:AO,MATCH($F252,'#建筑消耗和buff配置索引'!$M:$M,0))</f>
        <v>663</v>
      </c>
      <c r="AB252" s="133">
        <f>IF(INDEX('#建筑消耗和buff配置索引'!AR:AR,MATCH($F252,'#建筑消耗和buff配置索引'!$M:$M,0))=0,"",INDEX('#建筑消耗和buff配置索引'!AR:AR,MATCH($F252,'#建筑消耗和buff配置索引'!$M:$M,0)))</f>
        <v>3102</v>
      </c>
      <c r="AC252" s="133">
        <f>IF(AB252="","",INDEX('#建筑消耗和buff配置索引'!AS:AS,MATCH($F252,'#建筑消耗和buff配置索引'!$M:$M,0)))</f>
        <v>60000</v>
      </c>
      <c r="AF252" s="133">
        <f>IF(INDEX('#建筑消耗和buff配置索引'!AW:AW,MATCH($F252,'#建筑消耗和buff配置索引'!$M:$M,0))=0,"",INDEX('#建筑消耗和buff配置索引'!AW:AW,MATCH($F252,'#建筑消耗和buff配置索引'!$M:$M,0)))</f>
        <v>3100</v>
      </c>
      <c r="AG252" s="133">
        <f>IF(AF252="","",INDEX('#建筑消耗和buff配置索引'!AX:AX,MATCH($F252,'#建筑消耗和buff配置索引'!$M:$M,0)))</f>
        <v>7.0000000000000007E-2</v>
      </c>
      <c r="AJ252" s="133" t="str">
        <f>IF(INDEX('#建筑消耗和buff配置索引'!BB:BB,MATCH($F252,'#建筑消耗和buff配置索引'!$M:$M,0))=0,"",INDEX('#建筑消耗和buff配置索引'!BB:BB,MATCH($F252,'#建筑消耗和buff配置索引'!$M:$M,0)))</f>
        <v/>
      </c>
      <c r="AK252" s="133" t="str">
        <f>IF(AJ252="","",INDEX('#建筑消耗和buff配置索引'!BC:BC,MATCH($F252,'#建筑消耗和buff配置索引'!$M:$M,0)))</f>
        <v/>
      </c>
      <c r="AN252" s="133" t="str">
        <f>IF(INDEX('#建筑消耗和buff配置索引'!BG:BG,MATCH($F252,'#建筑消耗和buff配置索引'!$M:$M,0))=0,"",INDEX('#建筑消耗和buff配置索引'!BG:BG,MATCH($F252,'#建筑消耗和buff配置索引'!$M:$M,0)))</f>
        <v/>
      </c>
      <c r="AO252" s="133" t="str">
        <f>IF(AN252="","",INDEX('#建筑消耗和buff配置索引'!BH:BH,MATCH($F252,'#建筑消耗和buff配置索引'!$M:$M,0)))</f>
        <v/>
      </c>
      <c r="AR252" s="133" t="str">
        <f>IF(INDEX('#建筑消耗和buff配置索引'!BK:BK,MATCH($F252,'#建筑消耗和buff配置索引'!$M:$M,0))=0,"",INDEX('#建筑消耗和buff配置索引'!BK:BK,MATCH($F252,'#建筑消耗和buff配置索引'!$M:$M,0)))</f>
        <v/>
      </c>
      <c r="AS252" s="133" t="str">
        <f>IF(AR252="","",INDEX('#建筑消耗和buff配置索引'!BL:BL,MATCH($F252,'#建筑消耗和buff配置索引'!$M:$M,0)))</f>
        <v/>
      </c>
      <c r="AV252" s="133" t="str">
        <f>IF(INDEX('#建筑消耗和buff配置索引'!BO:BO,MATCH($F252,'#建筑消耗和buff配置索引'!$M:$M,0))=0,"",INDEX('#建筑消耗和buff配置索引'!BO:BO,MATCH($F252,'#建筑消耗和buff配置索引'!$M:$M,0)))</f>
        <v/>
      </c>
      <c r="AW252" s="133" t="str">
        <f>IF(AV252="","",INDEX('#建筑消耗和buff配置索引'!BP:BP,MATCH($F252,'#建筑消耗和buff配置索引'!$M:$M,0)))</f>
        <v/>
      </c>
      <c r="AZ252" s="133" t="str">
        <f>IF(INDEX('#建筑消耗和buff配置索引'!BS:BS,MATCH($F252,'#建筑消耗和buff配置索引'!$M:$M,0))=0,"",INDEX('#建筑消耗和buff配置索引'!BS:BS,MATCH($F252,'#建筑消耗和buff配置索引'!$M:$M,0)))</f>
        <v/>
      </c>
      <c r="BA252" s="133" t="str">
        <f>IF(AZ252="","",INDEX('#建筑消耗和buff配置索引'!BT:BT,MATCH($F252,'#建筑消耗和buff配置索引'!$M:$M,0)))</f>
        <v/>
      </c>
      <c r="BD252" s="133" t="str">
        <f>IF(INDEX('#建筑消耗和buff配置索引'!BW:BW,MATCH($F252,'#建筑消耗和buff配置索引'!$M:$M,0))=0,"",INDEX('#建筑消耗和buff配置索引'!BW:BW,MATCH($F252,'#建筑消耗和buff配置索引'!$M:$M,0)))</f>
        <v/>
      </c>
      <c r="BE252" s="133" t="str">
        <f>IF(BD252="","",INDEX('#建筑消耗和buff配置索引'!BX:BX,MATCH($F252,'#建筑消耗和buff配置索引'!$M:$M,0)))</f>
        <v/>
      </c>
      <c r="BI252" s="133">
        <v>3</v>
      </c>
      <c r="BJ252" s="133">
        <v>299</v>
      </c>
    </row>
    <row r="253" spans="1:66" s="133" customFormat="1">
      <c r="A253" s="133">
        <v>2220008</v>
      </c>
      <c r="B253" s="133">
        <v>250</v>
      </c>
      <c r="C253" s="133">
        <v>222</v>
      </c>
      <c r="D253" s="133" t="s">
        <v>442</v>
      </c>
      <c r="E253" s="133">
        <v>8</v>
      </c>
      <c r="F253" s="133" t="str">
        <f t="shared" si="6"/>
        <v>治疗房舍8</v>
      </c>
      <c r="H253" s="146"/>
      <c r="I253" s="133">
        <v>1</v>
      </c>
      <c r="J253" s="150">
        <f>INDEX('#建筑消耗和buff配置索引'!AH:AH,MATCH($F253,'#建筑消耗和buff配置索引'!$M:$M,0))</f>
        <v>4320</v>
      </c>
      <c r="K253" s="150">
        <f>INDEX('#建筑消耗和buff配置索引'!AA:AA,MATCH($F253,'#建筑消耗和buff配置索引'!$M:$M,0))</f>
        <v>88000</v>
      </c>
      <c r="L253" s="150">
        <f>INDEX('#建筑消耗和buff配置索引'!AB:AB,MATCH($F253,'#建筑消耗和buff配置索引'!$M:$M,0))</f>
        <v>88000</v>
      </c>
      <c r="M253" s="150">
        <f>INDEX('#建筑消耗和buff配置索引'!AC:AC,MATCH($F253,'#建筑消耗和buff配置索引'!$M:$M,0))</f>
        <v>88000</v>
      </c>
      <c r="N253" s="150">
        <f>INDEX('#建筑消耗和buff配置索引'!AD:AD,MATCH($F253,'#建筑消耗和buff配置索引'!$M:$M,0))</f>
        <v>0</v>
      </c>
      <c r="O253" s="150" t="str">
        <f>IF(INDEX('#建筑消耗和buff配置索引'!T:T,MATCH($F253,'#建筑消耗和buff配置索引'!$M:$M,0))=0,"",INDEX('#建筑消耗和buff配置索引'!T:T,MATCH($F253,'#建筑消耗和buff配置索引'!$M:$M,0)))</f>
        <v/>
      </c>
      <c r="P253" s="133" t="str">
        <f>IF(INDEX('#建筑消耗和buff配置索引'!U:U,MATCH($F253,'#建筑消耗和buff配置索引'!$M:$M,0))=0,"",INDEX('#建筑消耗和buff配置索引'!U:U,MATCH($F253,'#建筑消耗和buff配置索引'!$M:$M,0)))</f>
        <v/>
      </c>
      <c r="Q253" s="133" t="str">
        <f>IF(INDEX('#建筑消耗和buff配置索引'!K:K,MATCH($F253,'#建筑消耗和buff配置索引'!$M:$M,0))=0,"",INDEX('#建筑消耗和buff配置索引'!K:K,MATCH($F253,'#建筑消耗和buff配置索引'!$M:$M,0)))</f>
        <v>201</v>
      </c>
      <c r="R253" s="133" t="str">
        <f>IF(INDEX('#建筑消耗和buff配置索引'!L:L,MATCH($F253,'#建筑消耗和buff配置索引'!$M:$M,0))=0,"",INDEX('#建筑消耗和buff配置索引'!L:L,MATCH($F253,'#建筑消耗和buff配置索引'!$M:$M,0)))</f>
        <v>8</v>
      </c>
      <c r="S253" s="133">
        <f>IF(INDEX('#建筑消耗和buff配置索引'!C:C,MATCH(F253,'#建筑消耗和buff配置索引'!M:M,0))=0,1,INDEX('#建筑消耗和buff配置索引'!C:C,MATCH(F253,'#建筑消耗和buff配置索引'!M:M,0)))</f>
        <v>1</v>
      </c>
      <c r="T253" s="133">
        <v>0</v>
      </c>
      <c r="U253" s="133">
        <v>0</v>
      </c>
      <c r="V253" s="133" t="str">
        <f>IF(E253=1,IF(INDEX('#建筑消耗和buff配置索引'!BY:BY,MATCH(D253,'#建筑消耗和buff配置索引'!A:A,0))=0,"",INDEX('#建筑消耗和buff配置索引'!BY:BY,MATCH(D253,'#建筑消耗和buff配置索引'!A:A,0))),"")</f>
        <v/>
      </c>
      <c r="W253" s="133" t="str">
        <f>IF(E253=1,IF(INDEX('#建筑消耗和buff配置索引'!BZ:BZ,MATCH(D253,'#建筑消耗和buff配置索引'!A:A,0))=0,"",INDEX('#建筑消耗和buff配置索引'!BZ:BZ,MATCH(D253,'#建筑消耗和buff配置索引'!A:A,0))),"")</f>
        <v/>
      </c>
      <c r="AA253" s="133">
        <f>INDEX('#建筑消耗和buff配置索引'!AO:AO,MATCH($F253,'#建筑消耗和buff配置索引'!$M:$M,0))</f>
        <v>1193</v>
      </c>
      <c r="AB253" s="133">
        <f>IF(INDEX('#建筑消耗和buff配置索引'!AR:AR,MATCH($F253,'#建筑消耗和buff配置索引'!$M:$M,0))=0,"",INDEX('#建筑消耗和buff配置索引'!AR:AR,MATCH($F253,'#建筑消耗和buff配置索引'!$M:$M,0)))</f>
        <v>3102</v>
      </c>
      <c r="AC253" s="133">
        <f>IF(AB253="","",INDEX('#建筑消耗和buff配置索引'!AS:AS,MATCH($F253,'#建筑消耗和buff配置索引'!$M:$M,0)))</f>
        <v>65000</v>
      </c>
      <c r="AF253" s="133">
        <f>IF(INDEX('#建筑消耗和buff配置索引'!AW:AW,MATCH($F253,'#建筑消耗和buff配置索引'!$M:$M,0))=0,"",INDEX('#建筑消耗和buff配置索引'!AW:AW,MATCH($F253,'#建筑消耗和buff配置索引'!$M:$M,0)))</f>
        <v>3100</v>
      </c>
      <c r="AG253" s="133">
        <f>IF(AF253="","",INDEX('#建筑消耗和buff配置索引'!AX:AX,MATCH($F253,'#建筑消耗和buff配置索引'!$M:$M,0)))</f>
        <v>0.08</v>
      </c>
      <c r="AJ253" s="133" t="str">
        <f>IF(INDEX('#建筑消耗和buff配置索引'!BB:BB,MATCH($F253,'#建筑消耗和buff配置索引'!$M:$M,0))=0,"",INDEX('#建筑消耗和buff配置索引'!BB:BB,MATCH($F253,'#建筑消耗和buff配置索引'!$M:$M,0)))</f>
        <v/>
      </c>
      <c r="AK253" s="133" t="str">
        <f>IF(AJ253="","",INDEX('#建筑消耗和buff配置索引'!BC:BC,MATCH($F253,'#建筑消耗和buff配置索引'!$M:$M,0)))</f>
        <v/>
      </c>
      <c r="AN253" s="133" t="str">
        <f>IF(INDEX('#建筑消耗和buff配置索引'!BG:BG,MATCH($F253,'#建筑消耗和buff配置索引'!$M:$M,0))=0,"",INDEX('#建筑消耗和buff配置索引'!BG:BG,MATCH($F253,'#建筑消耗和buff配置索引'!$M:$M,0)))</f>
        <v/>
      </c>
      <c r="AO253" s="133" t="str">
        <f>IF(AN253="","",INDEX('#建筑消耗和buff配置索引'!BH:BH,MATCH($F253,'#建筑消耗和buff配置索引'!$M:$M,0)))</f>
        <v/>
      </c>
      <c r="AR253" s="133" t="str">
        <f>IF(INDEX('#建筑消耗和buff配置索引'!BK:BK,MATCH($F253,'#建筑消耗和buff配置索引'!$M:$M,0))=0,"",INDEX('#建筑消耗和buff配置索引'!BK:BK,MATCH($F253,'#建筑消耗和buff配置索引'!$M:$M,0)))</f>
        <v/>
      </c>
      <c r="AS253" s="133" t="str">
        <f>IF(AR253="","",INDEX('#建筑消耗和buff配置索引'!BL:BL,MATCH($F253,'#建筑消耗和buff配置索引'!$M:$M,0)))</f>
        <v/>
      </c>
      <c r="AV253" s="133" t="str">
        <f>IF(INDEX('#建筑消耗和buff配置索引'!BO:BO,MATCH($F253,'#建筑消耗和buff配置索引'!$M:$M,0))=0,"",INDEX('#建筑消耗和buff配置索引'!BO:BO,MATCH($F253,'#建筑消耗和buff配置索引'!$M:$M,0)))</f>
        <v/>
      </c>
      <c r="AW253" s="133" t="str">
        <f>IF(AV253="","",INDEX('#建筑消耗和buff配置索引'!BP:BP,MATCH($F253,'#建筑消耗和buff配置索引'!$M:$M,0)))</f>
        <v/>
      </c>
      <c r="AZ253" s="133" t="str">
        <f>IF(INDEX('#建筑消耗和buff配置索引'!BS:BS,MATCH($F253,'#建筑消耗和buff配置索引'!$M:$M,0))=0,"",INDEX('#建筑消耗和buff配置索引'!BS:BS,MATCH($F253,'#建筑消耗和buff配置索引'!$M:$M,0)))</f>
        <v/>
      </c>
      <c r="BA253" s="133" t="str">
        <f>IF(AZ253="","",INDEX('#建筑消耗和buff配置索引'!BT:BT,MATCH($F253,'#建筑消耗和buff配置索引'!$M:$M,0)))</f>
        <v/>
      </c>
      <c r="BD253" s="133" t="str">
        <f>IF(INDEX('#建筑消耗和buff配置索引'!BW:BW,MATCH($F253,'#建筑消耗和buff配置索引'!$M:$M,0))=0,"",INDEX('#建筑消耗和buff配置索引'!BW:BW,MATCH($F253,'#建筑消耗和buff配置索引'!$M:$M,0)))</f>
        <v/>
      </c>
      <c r="BE253" s="133" t="str">
        <f>IF(BD253="","",INDEX('#建筑消耗和buff配置索引'!BX:BX,MATCH($F253,'#建筑消耗和buff配置索引'!$M:$M,0)))</f>
        <v/>
      </c>
      <c r="BI253" s="133">
        <v>3</v>
      </c>
      <c r="BJ253" s="133">
        <v>299</v>
      </c>
    </row>
    <row r="254" spans="1:66" s="133" customFormat="1">
      <c r="A254" s="133">
        <v>2220009</v>
      </c>
      <c r="B254" s="133">
        <v>251</v>
      </c>
      <c r="C254" s="133">
        <v>222</v>
      </c>
      <c r="D254" s="133" t="s">
        <v>442</v>
      </c>
      <c r="E254" s="133">
        <v>9</v>
      </c>
      <c r="F254" s="133" t="str">
        <f t="shared" si="6"/>
        <v>治疗房舍9</v>
      </c>
      <c r="H254" s="146"/>
      <c r="I254" s="133">
        <v>1</v>
      </c>
      <c r="J254" s="150">
        <f>INDEX('#建筑消耗和buff配置索引'!AH:AH,MATCH($F254,'#建筑消耗和buff配置索引'!$M:$M,0))</f>
        <v>8640</v>
      </c>
      <c r="K254" s="150">
        <f>INDEX('#建筑消耗和buff配置索引'!AA:AA,MATCH($F254,'#建筑消耗和buff配置索引'!$M:$M,0))</f>
        <v>150000</v>
      </c>
      <c r="L254" s="150">
        <f>INDEX('#建筑消耗和buff配置索引'!AB:AB,MATCH($F254,'#建筑消耗和buff配置索引'!$M:$M,0))</f>
        <v>150000</v>
      </c>
      <c r="M254" s="150">
        <f>INDEX('#建筑消耗和buff配置索引'!AC:AC,MATCH($F254,'#建筑消耗和buff配置索引'!$M:$M,0))</f>
        <v>150000</v>
      </c>
      <c r="N254" s="150">
        <f>INDEX('#建筑消耗和buff配置索引'!AD:AD,MATCH($F254,'#建筑消耗和buff配置索引'!$M:$M,0))</f>
        <v>0</v>
      </c>
      <c r="O254" s="150" t="str">
        <f>IF(INDEX('#建筑消耗和buff配置索引'!T:T,MATCH($F254,'#建筑消耗和buff配置索引'!$M:$M,0))=0,"",INDEX('#建筑消耗和buff配置索引'!T:T,MATCH($F254,'#建筑消耗和buff配置索引'!$M:$M,0)))</f>
        <v/>
      </c>
      <c r="P254" s="133" t="str">
        <f>IF(INDEX('#建筑消耗和buff配置索引'!U:U,MATCH($F254,'#建筑消耗和buff配置索引'!$M:$M,0))=0,"",INDEX('#建筑消耗和buff配置索引'!U:U,MATCH($F254,'#建筑消耗和buff配置索引'!$M:$M,0)))</f>
        <v/>
      </c>
      <c r="Q254" s="133" t="str">
        <f>IF(INDEX('#建筑消耗和buff配置索引'!K:K,MATCH($F254,'#建筑消耗和buff配置索引'!$M:$M,0))=0,"",INDEX('#建筑消耗和buff配置索引'!K:K,MATCH($F254,'#建筑消耗和buff配置索引'!$M:$M,0)))</f>
        <v>201</v>
      </c>
      <c r="R254" s="133" t="str">
        <f>IF(INDEX('#建筑消耗和buff配置索引'!L:L,MATCH($F254,'#建筑消耗和buff配置索引'!$M:$M,0))=0,"",INDEX('#建筑消耗和buff配置索引'!L:L,MATCH($F254,'#建筑消耗和buff配置索引'!$M:$M,0)))</f>
        <v>9</v>
      </c>
      <c r="S254" s="133">
        <f>IF(INDEX('#建筑消耗和buff配置索引'!C:C,MATCH(F254,'#建筑消耗和buff配置索引'!M:M,0))=0,1,INDEX('#建筑消耗和buff配置索引'!C:C,MATCH(F254,'#建筑消耗和buff配置索引'!M:M,0)))</f>
        <v>1</v>
      </c>
      <c r="T254" s="133">
        <v>0</v>
      </c>
      <c r="U254" s="133">
        <v>0</v>
      </c>
      <c r="V254" s="133" t="str">
        <f>IF(E254=1,IF(INDEX('#建筑消耗和buff配置索引'!BY:BY,MATCH(D254,'#建筑消耗和buff配置索引'!A:A,0))=0,"",INDEX('#建筑消耗和buff配置索引'!BY:BY,MATCH(D254,'#建筑消耗和buff配置索引'!A:A,0))),"")</f>
        <v/>
      </c>
      <c r="W254" s="133" t="str">
        <f>IF(E254=1,IF(INDEX('#建筑消耗和buff配置索引'!BZ:BZ,MATCH(D254,'#建筑消耗和buff配置索引'!A:A,0))=0,"",INDEX('#建筑消耗和buff配置索引'!BZ:BZ,MATCH(D254,'#建筑消耗和buff配置索引'!A:A,0))),"")</f>
        <v/>
      </c>
      <c r="AA254" s="133">
        <f>INDEX('#建筑消耗和buff配置索引'!AO:AO,MATCH($F254,'#建筑消耗和buff配置索引'!$M:$M,0))</f>
        <v>2069</v>
      </c>
      <c r="AB254" s="133">
        <f>IF(INDEX('#建筑消耗和buff配置索引'!AR:AR,MATCH($F254,'#建筑消耗和buff配置索引'!$M:$M,0))=0,"",INDEX('#建筑消耗和buff配置索引'!AR:AR,MATCH($F254,'#建筑消耗和buff配置索引'!$M:$M,0)))</f>
        <v>3102</v>
      </c>
      <c r="AC254" s="133">
        <f>IF(AB254="","",INDEX('#建筑消耗和buff配置索引'!AS:AS,MATCH($F254,'#建筑消耗和buff配置索引'!$M:$M,0)))</f>
        <v>70000</v>
      </c>
      <c r="AF254" s="133">
        <f>IF(INDEX('#建筑消耗和buff配置索引'!AW:AW,MATCH($F254,'#建筑消耗和buff配置索引'!$M:$M,0))=0,"",INDEX('#建筑消耗和buff配置索引'!AW:AW,MATCH($F254,'#建筑消耗和buff配置索引'!$M:$M,0)))</f>
        <v>3100</v>
      </c>
      <c r="AG254" s="133">
        <f>IF(AF254="","",INDEX('#建筑消耗和buff配置索引'!AX:AX,MATCH($F254,'#建筑消耗和buff配置索引'!$M:$M,0)))</f>
        <v>0.09</v>
      </c>
      <c r="AJ254" s="133" t="str">
        <f>IF(INDEX('#建筑消耗和buff配置索引'!BB:BB,MATCH($F254,'#建筑消耗和buff配置索引'!$M:$M,0))=0,"",INDEX('#建筑消耗和buff配置索引'!BB:BB,MATCH($F254,'#建筑消耗和buff配置索引'!$M:$M,0)))</f>
        <v/>
      </c>
      <c r="AK254" s="133" t="str">
        <f>IF(AJ254="","",INDEX('#建筑消耗和buff配置索引'!BC:BC,MATCH($F254,'#建筑消耗和buff配置索引'!$M:$M,0)))</f>
        <v/>
      </c>
      <c r="AN254" s="133" t="str">
        <f>IF(INDEX('#建筑消耗和buff配置索引'!BG:BG,MATCH($F254,'#建筑消耗和buff配置索引'!$M:$M,0))=0,"",INDEX('#建筑消耗和buff配置索引'!BG:BG,MATCH($F254,'#建筑消耗和buff配置索引'!$M:$M,0)))</f>
        <v/>
      </c>
      <c r="AO254" s="133" t="str">
        <f>IF(AN254="","",INDEX('#建筑消耗和buff配置索引'!BH:BH,MATCH($F254,'#建筑消耗和buff配置索引'!$M:$M,0)))</f>
        <v/>
      </c>
      <c r="AR254" s="133" t="str">
        <f>IF(INDEX('#建筑消耗和buff配置索引'!BK:BK,MATCH($F254,'#建筑消耗和buff配置索引'!$M:$M,0))=0,"",INDEX('#建筑消耗和buff配置索引'!BK:BK,MATCH($F254,'#建筑消耗和buff配置索引'!$M:$M,0)))</f>
        <v/>
      </c>
      <c r="AS254" s="133" t="str">
        <f>IF(AR254="","",INDEX('#建筑消耗和buff配置索引'!BL:BL,MATCH($F254,'#建筑消耗和buff配置索引'!$M:$M,0)))</f>
        <v/>
      </c>
      <c r="AV254" s="133" t="str">
        <f>IF(INDEX('#建筑消耗和buff配置索引'!BO:BO,MATCH($F254,'#建筑消耗和buff配置索引'!$M:$M,0))=0,"",INDEX('#建筑消耗和buff配置索引'!BO:BO,MATCH($F254,'#建筑消耗和buff配置索引'!$M:$M,0)))</f>
        <v/>
      </c>
      <c r="AW254" s="133" t="str">
        <f>IF(AV254="","",INDEX('#建筑消耗和buff配置索引'!BP:BP,MATCH($F254,'#建筑消耗和buff配置索引'!$M:$M,0)))</f>
        <v/>
      </c>
      <c r="AZ254" s="133" t="str">
        <f>IF(INDEX('#建筑消耗和buff配置索引'!BS:BS,MATCH($F254,'#建筑消耗和buff配置索引'!$M:$M,0))=0,"",INDEX('#建筑消耗和buff配置索引'!BS:BS,MATCH($F254,'#建筑消耗和buff配置索引'!$M:$M,0)))</f>
        <v/>
      </c>
      <c r="BA254" s="133" t="str">
        <f>IF(AZ254="","",INDEX('#建筑消耗和buff配置索引'!BT:BT,MATCH($F254,'#建筑消耗和buff配置索引'!$M:$M,0)))</f>
        <v/>
      </c>
      <c r="BD254" s="133" t="str">
        <f>IF(INDEX('#建筑消耗和buff配置索引'!BW:BW,MATCH($F254,'#建筑消耗和buff配置索引'!$M:$M,0))=0,"",INDEX('#建筑消耗和buff配置索引'!BW:BW,MATCH($F254,'#建筑消耗和buff配置索引'!$M:$M,0)))</f>
        <v/>
      </c>
      <c r="BE254" s="133" t="str">
        <f>IF(BD254="","",INDEX('#建筑消耗和buff配置索引'!BX:BX,MATCH($F254,'#建筑消耗和buff配置索引'!$M:$M,0)))</f>
        <v/>
      </c>
      <c r="BI254" s="133">
        <v>3</v>
      </c>
      <c r="BJ254" s="133">
        <v>299</v>
      </c>
    </row>
    <row r="255" spans="1:66" s="133" customFormat="1">
      <c r="A255" s="133">
        <v>2220010</v>
      </c>
      <c r="B255" s="133">
        <v>252</v>
      </c>
      <c r="C255" s="133">
        <v>222</v>
      </c>
      <c r="D255" s="133" t="s">
        <v>442</v>
      </c>
      <c r="E255" s="133">
        <v>10</v>
      </c>
      <c r="F255" s="133" t="str">
        <f t="shared" si="6"/>
        <v>治疗房舍10</v>
      </c>
      <c r="H255" s="146"/>
      <c r="I255" s="133">
        <v>1</v>
      </c>
      <c r="J255" s="150">
        <f>INDEX('#建筑消耗和buff配置索引'!AH:AH,MATCH($F255,'#建筑消耗和buff配置索引'!$M:$M,0))</f>
        <v>12960</v>
      </c>
      <c r="K255" s="150">
        <f>INDEX('#建筑消耗和buff配置索引'!AA:AA,MATCH($F255,'#建筑消耗和buff配置索引'!$M:$M,0))</f>
        <v>140000</v>
      </c>
      <c r="L255" s="150">
        <f>INDEX('#建筑消耗和buff配置索引'!AB:AB,MATCH($F255,'#建筑消耗和buff配置索引'!$M:$M,0))</f>
        <v>140000</v>
      </c>
      <c r="M255" s="150">
        <f>INDEX('#建筑消耗和buff配置索引'!AC:AC,MATCH($F255,'#建筑消耗和buff配置索引'!$M:$M,0))</f>
        <v>140000</v>
      </c>
      <c r="N255" s="150">
        <f>INDEX('#建筑消耗和buff配置索引'!AD:AD,MATCH($F255,'#建筑消耗和buff配置索引'!$M:$M,0))</f>
        <v>280000</v>
      </c>
      <c r="O255" s="150" t="str">
        <f>IF(INDEX('#建筑消耗和buff配置索引'!T:T,MATCH($F255,'#建筑消耗和buff配置索引'!$M:$M,0))=0,"",INDEX('#建筑消耗和buff配置索引'!T:T,MATCH($F255,'#建筑消耗和buff配置索引'!$M:$M,0)))</f>
        <v/>
      </c>
      <c r="P255" s="133" t="str">
        <f>IF(INDEX('#建筑消耗和buff配置索引'!U:U,MATCH($F255,'#建筑消耗和buff配置索引'!$M:$M,0))=0,"",INDEX('#建筑消耗和buff配置索引'!U:U,MATCH($F255,'#建筑消耗和buff配置索引'!$M:$M,0)))</f>
        <v/>
      </c>
      <c r="Q255" s="133" t="str">
        <f>IF(INDEX('#建筑消耗和buff配置索引'!K:K,MATCH($F255,'#建筑消耗和buff配置索引'!$M:$M,0))=0,"",INDEX('#建筑消耗和buff配置索引'!K:K,MATCH($F255,'#建筑消耗和buff配置索引'!$M:$M,0)))</f>
        <v>201</v>
      </c>
      <c r="R255" s="133" t="str">
        <f>IF(INDEX('#建筑消耗和buff配置索引'!L:L,MATCH($F255,'#建筑消耗和buff配置索引'!$M:$M,0))=0,"",INDEX('#建筑消耗和buff配置索引'!L:L,MATCH($F255,'#建筑消耗和buff配置索引'!$M:$M,0)))</f>
        <v>10</v>
      </c>
      <c r="S255" s="133">
        <f>IF(INDEX('#建筑消耗和buff配置索引'!C:C,MATCH(F255,'#建筑消耗和buff配置索引'!M:M,0))=0,1,INDEX('#建筑消耗和buff配置索引'!C:C,MATCH(F255,'#建筑消耗和buff配置索引'!M:M,0)))</f>
        <v>1</v>
      </c>
      <c r="T255" s="133">
        <v>0</v>
      </c>
      <c r="U255" s="133">
        <v>0</v>
      </c>
      <c r="V255" s="133" t="str">
        <f>IF(E255=1,IF(INDEX('#建筑消耗和buff配置索引'!BY:BY,MATCH(D255,'#建筑消耗和buff配置索引'!A:A,0))=0,"",INDEX('#建筑消耗和buff配置索引'!BY:BY,MATCH(D255,'#建筑消耗和buff配置索引'!A:A,0))),"")</f>
        <v/>
      </c>
      <c r="W255" s="133" t="str">
        <f>IF(E255=1,IF(INDEX('#建筑消耗和buff配置索引'!BZ:BZ,MATCH(D255,'#建筑消耗和buff配置索引'!A:A,0))=0,"",INDEX('#建筑消耗和buff配置索引'!BZ:BZ,MATCH(D255,'#建筑消耗和buff配置索引'!A:A,0))),"")</f>
        <v/>
      </c>
      <c r="AA255" s="133">
        <f>INDEX('#建筑消耗和buff配置索引'!AO:AO,MATCH($F255,'#建筑消耗和buff配置索引'!$M:$M,0))</f>
        <v>3452</v>
      </c>
      <c r="AB255" s="133">
        <f>IF(INDEX('#建筑消耗和buff配置索引'!AR:AR,MATCH($F255,'#建筑消耗和buff配置索引'!$M:$M,0))=0,"",INDEX('#建筑消耗和buff配置索引'!AR:AR,MATCH($F255,'#建筑消耗和buff配置索引'!$M:$M,0)))</f>
        <v>3102</v>
      </c>
      <c r="AC255" s="133">
        <f>IF(AB255="","",INDEX('#建筑消耗和buff配置索引'!AS:AS,MATCH($F255,'#建筑消耗和buff配置索引'!$M:$M,0)))</f>
        <v>75000</v>
      </c>
      <c r="AF255" s="133">
        <f>IF(INDEX('#建筑消耗和buff配置索引'!AW:AW,MATCH($F255,'#建筑消耗和buff配置索引'!$M:$M,0))=0,"",INDEX('#建筑消耗和buff配置索引'!AW:AW,MATCH($F255,'#建筑消耗和buff配置索引'!$M:$M,0)))</f>
        <v>3100</v>
      </c>
      <c r="AG255" s="133">
        <f>IF(AF255="","",INDEX('#建筑消耗和buff配置索引'!AX:AX,MATCH($F255,'#建筑消耗和buff配置索引'!$M:$M,0)))</f>
        <v>0.1</v>
      </c>
      <c r="AJ255" s="133" t="str">
        <f>IF(INDEX('#建筑消耗和buff配置索引'!BB:BB,MATCH($F255,'#建筑消耗和buff配置索引'!$M:$M,0))=0,"",INDEX('#建筑消耗和buff配置索引'!BB:BB,MATCH($F255,'#建筑消耗和buff配置索引'!$M:$M,0)))</f>
        <v/>
      </c>
      <c r="AK255" s="133" t="str">
        <f>IF(AJ255="","",INDEX('#建筑消耗和buff配置索引'!BC:BC,MATCH($F255,'#建筑消耗和buff配置索引'!$M:$M,0)))</f>
        <v/>
      </c>
      <c r="AN255" s="133" t="str">
        <f>IF(INDEX('#建筑消耗和buff配置索引'!BG:BG,MATCH($F255,'#建筑消耗和buff配置索引'!$M:$M,0))=0,"",INDEX('#建筑消耗和buff配置索引'!BG:BG,MATCH($F255,'#建筑消耗和buff配置索引'!$M:$M,0)))</f>
        <v/>
      </c>
      <c r="AO255" s="133" t="str">
        <f>IF(AN255="","",INDEX('#建筑消耗和buff配置索引'!BH:BH,MATCH($F255,'#建筑消耗和buff配置索引'!$M:$M,0)))</f>
        <v/>
      </c>
      <c r="AR255" s="133" t="str">
        <f>IF(INDEX('#建筑消耗和buff配置索引'!BK:BK,MATCH($F255,'#建筑消耗和buff配置索引'!$M:$M,0))=0,"",INDEX('#建筑消耗和buff配置索引'!BK:BK,MATCH($F255,'#建筑消耗和buff配置索引'!$M:$M,0)))</f>
        <v/>
      </c>
      <c r="AS255" s="133" t="str">
        <f>IF(AR255="","",INDEX('#建筑消耗和buff配置索引'!BL:BL,MATCH($F255,'#建筑消耗和buff配置索引'!$M:$M,0)))</f>
        <v/>
      </c>
      <c r="AV255" s="133" t="str">
        <f>IF(INDEX('#建筑消耗和buff配置索引'!BO:BO,MATCH($F255,'#建筑消耗和buff配置索引'!$M:$M,0))=0,"",INDEX('#建筑消耗和buff配置索引'!BO:BO,MATCH($F255,'#建筑消耗和buff配置索引'!$M:$M,0)))</f>
        <v/>
      </c>
      <c r="AW255" s="133" t="str">
        <f>IF(AV255="","",INDEX('#建筑消耗和buff配置索引'!BP:BP,MATCH($F255,'#建筑消耗和buff配置索引'!$M:$M,0)))</f>
        <v/>
      </c>
      <c r="AZ255" s="133" t="str">
        <f>IF(INDEX('#建筑消耗和buff配置索引'!BS:BS,MATCH($F255,'#建筑消耗和buff配置索引'!$M:$M,0))=0,"",INDEX('#建筑消耗和buff配置索引'!BS:BS,MATCH($F255,'#建筑消耗和buff配置索引'!$M:$M,0)))</f>
        <v/>
      </c>
      <c r="BA255" s="133" t="str">
        <f>IF(AZ255="","",INDEX('#建筑消耗和buff配置索引'!BT:BT,MATCH($F255,'#建筑消耗和buff配置索引'!$M:$M,0)))</f>
        <v/>
      </c>
      <c r="BD255" s="133" t="str">
        <f>IF(INDEX('#建筑消耗和buff配置索引'!BW:BW,MATCH($F255,'#建筑消耗和buff配置索引'!$M:$M,0))=0,"",INDEX('#建筑消耗和buff配置索引'!BW:BW,MATCH($F255,'#建筑消耗和buff配置索引'!$M:$M,0)))</f>
        <v/>
      </c>
      <c r="BE255" s="133" t="str">
        <f>IF(BD255="","",INDEX('#建筑消耗和buff配置索引'!BX:BX,MATCH($F255,'#建筑消耗和buff配置索引'!$M:$M,0)))</f>
        <v/>
      </c>
      <c r="BI255" s="133">
        <v>3</v>
      </c>
    </row>
    <row r="256" spans="1:66" s="133" customFormat="1">
      <c r="A256" s="133">
        <v>2220011</v>
      </c>
      <c r="B256" s="133">
        <v>253</v>
      </c>
      <c r="C256" s="133">
        <v>222</v>
      </c>
      <c r="D256" s="133" t="s">
        <v>442</v>
      </c>
      <c r="E256" s="133">
        <v>11</v>
      </c>
      <c r="F256" s="133" t="str">
        <f t="shared" si="6"/>
        <v>治疗房舍11</v>
      </c>
      <c r="H256" s="146"/>
      <c r="I256" s="133">
        <v>1</v>
      </c>
      <c r="J256" s="150">
        <f>INDEX('#建筑消耗和buff配置索引'!AH:AH,MATCH($F256,'#建筑消耗和buff配置索引'!$M:$M,0))</f>
        <v>19440</v>
      </c>
      <c r="K256" s="150">
        <f>INDEX('#建筑消耗和buff配置索引'!AA:AA,MATCH($F256,'#建筑消耗和buff配置索引'!$M:$M,0))</f>
        <v>210000</v>
      </c>
      <c r="L256" s="150">
        <f>INDEX('#建筑消耗和buff配置索引'!AB:AB,MATCH($F256,'#建筑消耗和buff配置索引'!$M:$M,0))</f>
        <v>210000</v>
      </c>
      <c r="M256" s="150">
        <f>INDEX('#建筑消耗和buff配置索引'!AC:AC,MATCH($F256,'#建筑消耗和buff配置索引'!$M:$M,0))</f>
        <v>210000</v>
      </c>
      <c r="N256" s="150">
        <f>INDEX('#建筑消耗和buff配置索引'!AD:AD,MATCH($F256,'#建筑消耗和buff配置索引'!$M:$M,0))</f>
        <v>420000</v>
      </c>
      <c r="O256" s="150" t="str">
        <f>IF(INDEX('#建筑消耗和buff配置索引'!T:T,MATCH($F256,'#建筑消耗和buff配置索引'!$M:$M,0))=0,"",INDEX('#建筑消耗和buff配置索引'!T:T,MATCH($F256,'#建筑消耗和buff配置索引'!$M:$M,0)))</f>
        <v/>
      </c>
      <c r="P256" s="133" t="str">
        <f>IF(INDEX('#建筑消耗和buff配置索引'!U:U,MATCH($F256,'#建筑消耗和buff配置索引'!$M:$M,0))=0,"",INDEX('#建筑消耗和buff配置索引'!U:U,MATCH($F256,'#建筑消耗和buff配置索引'!$M:$M,0)))</f>
        <v/>
      </c>
      <c r="Q256" s="133" t="str">
        <f>IF(INDEX('#建筑消耗和buff配置索引'!K:K,MATCH($F256,'#建筑消耗和buff配置索引'!$M:$M,0))=0,"",INDEX('#建筑消耗和buff配置索引'!K:K,MATCH($F256,'#建筑消耗和buff配置索引'!$M:$M,0)))</f>
        <v>201</v>
      </c>
      <c r="R256" s="133" t="str">
        <f>IF(INDEX('#建筑消耗和buff配置索引'!L:L,MATCH($F256,'#建筑消耗和buff配置索引'!$M:$M,0))=0,"",INDEX('#建筑消耗和buff配置索引'!L:L,MATCH($F256,'#建筑消耗和buff配置索引'!$M:$M,0)))</f>
        <v>11</v>
      </c>
      <c r="S256" s="133">
        <f>IF(INDEX('#建筑消耗和buff配置索引'!C:C,MATCH(F256,'#建筑消耗和buff配置索引'!M:M,0))=0,1,INDEX('#建筑消耗和buff配置索引'!C:C,MATCH(F256,'#建筑消耗和buff配置索引'!M:M,0)))</f>
        <v>1</v>
      </c>
      <c r="T256" s="133">
        <v>0</v>
      </c>
      <c r="U256" s="133">
        <v>0</v>
      </c>
      <c r="V256" s="133" t="str">
        <f>IF(E256=1,IF(INDEX('#建筑消耗和buff配置索引'!BY:BY,MATCH(D256,'#建筑消耗和buff配置索引'!A:A,0))=0,"",INDEX('#建筑消耗和buff配置索引'!BY:BY,MATCH(D256,'#建筑消耗和buff配置索引'!A:A,0))),"")</f>
        <v/>
      </c>
      <c r="W256" s="133" t="str">
        <f>IF(E256=1,IF(INDEX('#建筑消耗和buff配置索引'!BZ:BZ,MATCH(D256,'#建筑消耗和buff配置索引'!A:A,0))=0,"",INDEX('#建筑消耗和buff配置索引'!BZ:BZ,MATCH(D256,'#建筑消耗和buff配置索引'!A:A,0))),"")</f>
        <v/>
      </c>
      <c r="AA256" s="133">
        <f>INDEX('#建筑消耗和buff配置索引'!AO:AO,MATCH($F256,'#建筑消耗和buff配置索引'!$M:$M,0))</f>
        <v>5540</v>
      </c>
      <c r="AB256" s="133">
        <f>IF(INDEX('#建筑消耗和buff配置索引'!AR:AR,MATCH($F256,'#建筑消耗和buff配置索引'!$M:$M,0))=0,"",INDEX('#建筑消耗和buff配置索引'!AR:AR,MATCH($F256,'#建筑消耗和buff配置索引'!$M:$M,0)))</f>
        <v>3102</v>
      </c>
      <c r="AC256" s="133">
        <f>IF(AB256="","",INDEX('#建筑消耗和buff配置索引'!AS:AS,MATCH($F256,'#建筑消耗和buff配置索引'!$M:$M,0)))</f>
        <v>80000</v>
      </c>
      <c r="AF256" s="133">
        <f>IF(INDEX('#建筑消耗和buff配置索引'!AW:AW,MATCH($F256,'#建筑消耗和buff配置索引'!$M:$M,0))=0,"",INDEX('#建筑消耗和buff配置索引'!AW:AW,MATCH($F256,'#建筑消耗和buff配置索引'!$M:$M,0)))</f>
        <v>3100</v>
      </c>
      <c r="AG256" s="133">
        <f>IF(AF256="","",INDEX('#建筑消耗和buff配置索引'!AX:AX,MATCH($F256,'#建筑消耗和buff配置索引'!$M:$M,0)))</f>
        <v>0.11</v>
      </c>
      <c r="AJ256" s="133" t="str">
        <f>IF(INDEX('#建筑消耗和buff配置索引'!BB:BB,MATCH($F256,'#建筑消耗和buff配置索引'!$M:$M,0))=0,"",INDEX('#建筑消耗和buff配置索引'!BB:BB,MATCH($F256,'#建筑消耗和buff配置索引'!$M:$M,0)))</f>
        <v/>
      </c>
      <c r="AK256" s="133" t="str">
        <f>IF(AJ256="","",INDEX('#建筑消耗和buff配置索引'!BC:BC,MATCH($F256,'#建筑消耗和buff配置索引'!$M:$M,0)))</f>
        <v/>
      </c>
      <c r="AN256" s="133" t="str">
        <f>IF(INDEX('#建筑消耗和buff配置索引'!BG:BG,MATCH($F256,'#建筑消耗和buff配置索引'!$M:$M,0))=0,"",INDEX('#建筑消耗和buff配置索引'!BG:BG,MATCH($F256,'#建筑消耗和buff配置索引'!$M:$M,0)))</f>
        <v/>
      </c>
      <c r="AO256" s="133" t="str">
        <f>IF(AN256="","",INDEX('#建筑消耗和buff配置索引'!BH:BH,MATCH($F256,'#建筑消耗和buff配置索引'!$M:$M,0)))</f>
        <v/>
      </c>
      <c r="AR256" s="133" t="str">
        <f>IF(INDEX('#建筑消耗和buff配置索引'!BK:BK,MATCH($F256,'#建筑消耗和buff配置索引'!$M:$M,0))=0,"",INDEX('#建筑消耗和buff配置索引'!BK:BK,MATCH($F256,'#建筑消耗和buff配置索引'!$M:$M,0)))</f>
        <v/>
      </c>
      <c r="AS256" s="133" t="str">
        <f>IF(AR256="","",INDEX('#建筑消耗和buff配置索引'!BL:BL,MATCH($F256,'#建筑消耗和buff配置索引'!$M:$M,0)))</f>
        <v/>
      </c>
      <c r="AV256" s="133" t="str">
        <f>IF(INDEX('#建筑消耗和buff配置索引'!BO:BO,MATCH($F256,'#建筑消耗和buff配置索引'!$M:$M,0))=0,"",INDEX('#建筑消耗和buff配置索引'!BO:BO,MATCH($F256,'#建筑消耗和buff配置索引'!$M:$M,0)))</f>
        <v/>
      </c>
      <c r="AW256" s="133" t="str">
        <f>IF(AV256="","",INDEX('#建筑消耗和buff配置索引'!BP:BP,MATCH($F256,'#建筑消耗和buff配置索引'!$M:$M,0)))</f>
        <v/>
      </c>
      <c r="AZ256" s="133" t="str">
        <f>IF(INDEX('#建筑消耗和buff配置索引'!BS:BS,MATCH($F256,'#建筑消耗和buff配置索引'!$M:$M,0))=0,"",INDEX('#建筑消耗和buff配置索引'!BS:BS,MATCH($F256,'#建筑消耗和buff配置索引'!$M:$M,0)))</f>
        <v/>
      </c>
      <c r="BA256" s="133" t="str">
        <f>IF(AZ256="","",INDEX('#建筑消耗和buff配置索引'!BT:BT,MATCH($F256,'#建筑消耗和buff配置索引'!$M:$M,0)))</f>
        <v/>
      </c>
      <c r="BD256" s="133" t="str">
        <f>IF(INDEX('#建筑消耗和buff配置索引'!BW:BW,MATCH($F256,'#建筑消耗和buff配置索引'!$M:$M,0))=0,"",INDEX('#建筑消耗和buff配置索引'!BW:BW,MATCH($F256,'#建筑消耗和buff配置索引'!$M:$M,0)))</f>
        <v/>
      </c>
      <c r="BE256" s="133" t="str">
        <f>IF(BD256="","",INDEX('#建筑消耗和buff配置索引'!BX:BX,MATCH($F256,'#建筑消耗和buff配置索引'!$M:$M,0)))</f>
        <v/>
      </c>
      <c r="BI256" s="133">
        <v>3</v>
      </c>
    </row>
    <row r="257" spans="1:61" s="133" customFormat="1">
      <c r="A257" s="133">
        <v>2220012</v>
      </c>
      <c r="B257" s="133">
        <v>254</v>
      </c>
      <c r="C257" s="133">
        <v>222</v>
      </c>
      <c r="D257" s="133" t="s">
        <v>442</v>
      </c>
      <c r="E257" s="133">
        <v>12</v>
      </c>
      <c r="F257" s="133" t="str">
        <f t="shared" si="6"/>
        <v>治疗房舍12</v>
      </c>
      <c r="H257" s="146"/>
      <c r="I257" s="133">
        <v>2</v>
      </c>
      <c r="J257" s="150">
        <f>INDEX('#建筑消耗和buff配置索引'!AH:AH,MATCH($F257,'#建筑消耗和buff配置索引'!$M:$M,0))</f>
        <v>25920</v>
      </c>
      <c r="K257" s="150">
        <f>INDEX('#建筑消耗和buff配置索引'!AA:AA,MATCH($F257,'#建筑消耗和buff配置索引'!$M:$M,0))</f>
        <v>300000</v>
      </c>
      <c r="L257" s="150">
        <f>INDEX('#建筑消耗和buff配置索引'!AB:AB,MATCH($F257,'#建筑消耗和buff配置索引'!$M:$M,0))</f>
        <v>300000</v>
      </c>
      <c r="M257" s="150">
        <f>INDEX('#建筑消耗和buff配置索引'!AC:AC,MATCH($F257,'#建筑消耗和buff配置索引'!$M:$M,0))</f>
        <v>300000</v>
      </c>
      <c r="N257" s="150">
        <f>INDEX('#建筑消耗和buff配置索引'!AD:AD,MATCH($F257,'#建筑消耗和buff配置索引'!$M:$M,0))</f>
        <v>600000</v>
      </c>
      <c r="O257" s="150" t="str">
        <f>IF(INDEX('#建筑消耗和buff配置索引'!T:T,MATCH($F257,'#建筑消耗和buff配置索引'!$M:$M,0))=0,"",INDEX('#建筑消耗和buff配置索引'!T:T,MATCH($F257,'#建筑消耗和buff配置索引'!$M:$M,0)))</f>
        <v/>
      </c>
      <c r="P257" s="133" t="str">
        <f>IF(INDEX('#建筑消耗和buff配置索引'!U:U,MATCH($F257,'#建筑消耗和buff配置索引'!$M:$M,0))=0,"",INDEX('#建筑消耗和buff配置索引'!U:U,MATCH($F257,'#建筑消耗和buff配置索引'!$M:$M,0)))</f>
        <v/>
      </c>
      <c r="Q257" s="133" t="str">
        <f>IF(INDEX('#建筑消耗和buff配置索引'!K:K,MATCH($F257,'#建筑消耗和buff配置索引'!$M:$M,0))=0,"",INDEX('#建筑消耗和buff配置索引'!K:K,MATCH($F257,'#建筑消耗和buff配置索引'!$M:$M,0)))</f>
        <v>201</v>
      </c>
      <c r="R257" s="133" t="str">
        <f>IF(INDEX('#建筑消耗和buff配置索引'!L:L,MATCH($F257,'#建筑消耗和buff配置索引'!$M:$M,0))=0,"",INDEX('#建筑消耗和buff配置索引'!L:L,MATCH($F257,'#建筑消耗和buff配置索引'!$M:$M,0)))</f>
        <v>12</v>
      </c>
      <c r="S257" s="133">
        <f>IF(INDEX('#建筑消耗和buff配置索引'!C:C,MATCH(F257,'#建筑消耗和buff配置索引'!M:M,0))=0,1,INDEX('#建筑消耗和buff配置索引'!C:C,MATCH(F257,'#建筑消耗和buff配置索引'!M:M,0)))</f>
        <v>1</v>
      </c>
      <c r="T257" s="133">
        <v>0</v>
      </c>
      <c r="U257" s="133">
        <v>0</v>
      </c>
      <c r="V257" s="133" t="str">
        <f>IF(E257=1,IF(INDEX('#建筑消耗和buff配置索引'!BY:BY,MATCH(D257,'#建筑消耗和buff配置索引'!A:A,0))=0,"",INDEX('#建筑消耗和buff配置索引'!BY:BY,MATCH(D257,'#建筑消耗和buff配置索引'!A:A,0))),"")</f>
        <v/>
      </c>
      <c r="W257" s="133" t="str">
        <f>IF(E257=1,IF(INDEX('#建筑消耗和buff配置索引'!BZ:BZ,MATCH(D257,'#建筑消耗和buff配置索引'!A:A,0))=0,"",INDEX('#建筑消耗和buff配置索引'!BZ:BZ,MATCH(D257,'#建筑消耗和buff配置索引'!A:A,0))),"")</f>
        <v/>
      </c>
      <c r="AA257" s="133">
        <f>INDEX('#建筑消耗和buff配置索引'!AO:AO,MATCH($F257,'#建筑消耗和buff配置索引'!$M:$M,0))</f>
        <v>8547</v>
      </c>
      <c r="AB257" s="133">
        <f>IF(INDEX('#建筑消耗和buff配置索引'!AR:AR,MATCH($F257,'#建筑消耗和buff配置索引'!$M:$M,0))=0,"",INDEX('#建筑消耗和buff配置索引'!AR:AR,MATCH($F257,'#建筑消耗和buff配置索引'!$M:$M,0)))</f>
        <v>3102</v>
      </c>
      <c r="AC257" s="133">
        <f>IF(AB257="","",INDEX('#建筑消耗和buff配置索引'!AS:AS,MATCH($F257,'#建筑消耗和buff配置索引'!$M:$M,0)))</f>
        <v>85000</v>
      </c>
      <c r="AF257" s="133">
        <f>IF(INDEX('#建筑消耗和buff配置索引'!AW:AW,MATCH($F257,'#建筑消耗和buff配置索引'!$M:$M,0))=0,"",INDEX('#建筑消耗和buff配置索引'!AW:AW,MATCH($F257,'#建筑消耗和buff配置索引'!$M:$M,0)))</f>
        <v>3100</v>
      </c>
      <c r="AG257" s="133">
        <f>IF(AF257="","",INDEX('#建筑消耗和buff配置索引'!AX:AX,MATCH($F257,'#建筑消耗和buff配置索引'!$M:$M,0)))</f>
        <v>0.12</v>
      </c>
      <c r="AJ257" s="133" t="str">
        <f>IF(INDEX('#建筑消耗和buff配置索引'!BB:BB,MATCH($F257,'#建筑消耗和buff配置索引'!$M:$M,0))=0,"",INDEX('#建筑消耗和buff配置索引'!BB:BB,MATCH($F257,'#建筑消耗和buff配置索引'!$M:$M,0)))</f>
        <v/>
      </c>
      <c r="AK257" s="133" t="str">
        <f>IF(AJ257="","",INDEX('#建筑消耗和buff配置索引'!BC:BC,MATCH($F257,'#建筑消耗和buff配置索引'!$M:$M,0)))</f>
        <v/>
      </c>
      <c r="AN257" s="133" t="str">
        <f>IF(INDEX('#建筑消耗和buff配置索引'!BG:BG,MATCH($F257,'#建筑消耗和buff配置索引'!$M:$M,0))=0,"",INDEX('#建筑消耗和buff配置索引'!BG:BG,MATCH($F257,'#建筑消耗和buff配置索引'!$M:$M,0)))</f>
        <v/>
      </c>
      <c r="AO257" s="133" t="str">
        <f>IF(AN257="","",INDEX('#建筑消耗和buff配置索引'!BH:BH,MATCH($F257,'#建筑消耗和buff配置索引'!$M:$M,0)))</f>
        <v/>
      </c>
      <c r="AR257" s="133" t="str">
        <f>IF(INDEX('#建筑消耗和buff配置索引'!BK:BK,MATCH($F257,'#建筑消耗和buff配置索引'!$M:$M,0))=0,"",INDEX('#建筑消耗和buff配置索引'!BK:BK,MATCH($F257,'#建筑消耗和buff配置索引'!$M:$M,0)))</f>
        <v/>
      </c>
      <c r="AS257" s="133" t="str">
        <f>IF(AR257="","",INDEX('#建筑消耗和buff配置索引'!BL:BL,MATCH($F257,'#建筑消耗和buff配置索引'!$M:$M,0)))</f>
        <v/>
      </c>
      <c r="AV257" s="133" t="str">
        <f>IF(INDEX('#建筑消耗和buff配置索引'!BO:BO,MATCH($F257,'#建筑消耗和buff配置索引'!$M:$M,0))=0,"",INDEX('#建筑消耗和buff配置索引'!BO:BO,MATCH($F257,'#建筑消耗和buff配置索引'!$M:$M,0)))</f>
        <v/>
      </c>
      <c r="AW257" s="133" t="str">
        <f>IF(AV257="","",INDEX('#建筑消耗和buff配置索引'!BP:BP,MATCH($F257,'#建筑消耗和buff配置索引'!$M:$M,0)))</f>
        <v/>
      </c>
      <c r="AZ257" s="133" t="str">
        <f>IF(INDEX('#建筑消耗和buff配置索引'!BS:BS,MATCH($F257,'#建筑消耗和buff配置索引'!$M:$M,0))=0,"",INDEX('#建筑消耗和buff配置索引'!BS:BS,MATCH($F257,'#建筑消耗和buff配置索引'!$M:$M,0)))</f>
        <v/>
      </c>
      <c r="BA257" s="133" t="str">
        <f>IF(AZ257="","",INDEX('#建筑消耗和buff配置索引'!BT:BT,MATCH($F257,'#建筑消耗和buff配置索引'!$M:$M,0)))</f>
        <v/>
      </c>
      <c r="BD257" s="133" t="str">
        <f>IF(INDEX('#建筑消耗和buff配置索引'!BW:BW,MATCH($F257,'#建筑消耗和buff配置索引'!$M:$M,0))=0,"",INDEX('#建筑消耗和buff配置索引'!BW:BW,MATCH($F257,'#建筑消耗和buff配置索引'!$M:$M,0)))</f>
        <v/>
      </c>
      <c r="BE257" s="133" t="str">
        <f>IF(BD257="","",INDEX('#建筑消耗和buff配置索引'!BX:BX,MATCH($F257,'#建筑消耗和buff配置索引'!$M:$M,0)))</f>
        <v/>
      </c>
      <c r="BI257" s="133">
        <v>3</v>
      </c>
    </row>
    <row r="258" spans="1:61" s="133" customFormat="1">
      <c r="A258" s="133">
        <v>2220013</v>
      </c>
      <c r="B258" s="133">
        <v>255</v>
      </c>
      <c r="C258" s="133">
        <v>222</v>
      </c>
      <c r="D258" s="133" t="s">
        <v>442</v>
      </c>
      <c r="E258" s="133">
        <v>13</v>
      </c>
      <c r="F258" s="133" t="str">
        <f t="shared" si="6"/>
        <v>治疗房舍13</v>
      </c>
      <c r="H258" s="146"/>
      <c r="I258" s="133">
        <v>2</v>
      </c>
      <c r="J258" s="150">
        <f>INDEX('#建筑消耗和buff配置索引'!AH:AH,MATCH($F258,'#建筑消耗和buff配置索引'!$M:$M,0))</f>
        <v>34560</v>
      </c>
      <c r="K258" s="150">
        <f>INDEX('#建筑消耗和buff配置索引'!AA:AA,MATCH($F258,'#建筑消耗和buff配置索引'!$M:$M,0))</f>
        <v>410000</v>
      </c>
      <c r="L258" s="150">
        <f>INDEX('#建筑消耗和buff配置索引'!AB:AB,MATCH($F258,'#建筑消耗和buff配置索引'!$M:$M,0))</f>
        <v>410000</v>
      </c>
      <c r="M258" s="150">
        <f>INDEX('#建筑消耗和buff配置索引'!AC:AC,MATCH($F258,'#建筑消耗和buff配置索引'!$M:$M,0))</f>
        <v>410000</v>
      </c>
      <c r="N258" s="150">
        <f>INDEX('#建筑消耗和buff配置索引'!AD:AD,MATCH($F258,'#建筑消耗和buff配置索引'!$M:$M,0))</f>
        <v>820000</v>
      </c>
      <c r="O258" s="150" t="str">
        <f>IF(INDEX('#建筑消耗和buff配置索引'!T:T,MATCH($F258,'#建筑消耗和buff配置索引'!$M:$M,0))=0,"",INDEX('#建筑消耗和buff配置索引'!T:T,MATCH($F258,'#建筑消耗和buff配置索引'!$M:$M,0)))</f>
        <v/>
      </c>
      <c r="P258" s="133" t="str">
        <f>IF(INDEX('#建筑消耗和buff配置索引'!U:U,MATCH($F258,'#建筑消耗和buff配置索引'!$M:$M,0))=0,"",INDEX('#建筑消耗和buff配置索引'!U:U,MATCH($F258,'#建筑消耗和buff配置索引'!$M:$M,0)))</f>
        <v/>
      </c>
      <c r="Q258" s="133" t="str">
        <f>IF(INDEX('#建筑消耗和buff配置索引'!K:K,MATCH($F258,'#建筑消耗和buff配置索引'!$M:$M,0))=0,"",INDEX('#建筑消耗和buff配置索引'!K:K,MATCH($F258,'#建筑消耗和buff配置索引'!$M:$M,0)))</f>
        <v>201</v>
      </c>
      <c r="R258" s="133" t="str">
        <f>IF(INDEX('#建筑消耗和buff配置索引'!L:L,MATCH($F258,'#建筑消耗和buff配置索引'!$M:$M,0))=0,"",INDEX('#建筑消耗和buff配置索引'!L:L,MATCH($F258,'#建筑消耗和buff配置索引'!$M:$M,0)))</f>
        <v>13</v>
      </c>
      <c r="S258" s="133">
        <f>IF(INDEX('#建筑消耗和buff配置索引'!C:C,MATCH(F258,'#建筑消耗和buff配置索引'!M:M,0))=0,1,INDEX('#建筑消耗和buff配置索引'!C:C,MATCH(F258,'#建筑消耗和buff配置索引'!M:M,0)))</f>
        <v>1</v>
      </c>
      <c r="T258" s="133">
        <v>0</v>
      </c>
      <c r="U258" s="133">
        <v>0</v>
      </c>
      <c r="V258" s="133" t="str">
        <f>IF(E258=1,IF(INDEX('#建筑消耗和buff配置索引'!BY:BY,MATCH(D258,'#建筑消耗和buff配置索引'!A:A,0))=0,"",INDEX('#建筑消耗和buff配置索引'!BY:BY,MATCH(D258,'#建筑消耗和buff配置索引'!A:A,0))),"")</f>
        <v/>
      </c>
      <c r="W258" s="133" t="str">
        <f>IF(E258=1,IF(INDEX('#建筑消耗和buff配置索引'!BZ:BZ,MATCH(D258,'#建筑消耗和buff配置索引'!A:A,0))=0,"",INDEX('#建筑消耗和buff配置索引'!BZ:BZ,MATCH(D258,'#建筑消耗和buff配置索引'!A:A,0))),"")</f>
        <v/>
      </c>
      <c r="AA258" s="133">
        <f>INDEX('#建筑消耗和buff配置索引'!AO:AO,MATCH($F258,'#建筑消耗和buff配置索引'!$M:$M,0))</f>
        <v>12667</v>
      </c>
      <c r="AB258" s="133">
        <f>IF(INDEX('#建筑消耗和buff配置索引'!AR:AR,MATCH($F258,'#建筑消耗和buff配置索引'!$M:$M,0))=0,"",INDEX('#建筑消耗和buff配置索引'!AR:AR,MATCH($F258,'#建筑消耗和buff配置索引'!$M:$M,0)))</f>
        <v>3102</v>
      </c>
      <c r="AC258" s="133">
        <f>IF(AB258="","",INDEX('#建筑消耗和buff配置索引'!AS:AS,MATCH($F258,'#建筑消耗和buff配置索引'!$M:$M,0)))</f>
        <v>90000</v>
      </c>
      <c r="AF258" s="133">
        <f>IF(INDEX('#建筑消耗和buff配置索引'!AW:AW,MATCH($F258,'#建筑消耗和buff配置索引'!$M:$M,0))=0,"",INDEX('#建筑消耗和buff配置索引'!AW:AW,MATCH($F258,'#建筑消耗和buff配置索引'!$M:$M,0)))</f>
        <v>3100</v>
      </c>
      <c r="AG258" s="133">
        <f>IF(AF258="","",INDEX('#建筑消耗和buff配置索引'!AX:AX,MATCH($F258,'#建筑消耗和buff配置索引'!$M:$M,0)))</f>
        <v>0.13</v>
      </c>
      <c r="AJ258" s="133" t="str">
        <f>IF(INDEX('#建筑消耗和buff配置索引'!BB:BB,MATCH($F258,'#建筑消耗和buff配置索引'!$M:$M,0))=0,"",INDEX('#建筑消耗和buff配置索引'!BB:BB,MATCH($F258,'#建筑消耗和buff配置索引'!$M:$M,0)))</f>
        <v/>
      </c>
      <c r="AK258" s="133" t="str">
        <f>IF(AJ258="","",INDEX('#建筑消耗和buff配置索引'!BC:BC,MATCH($F258,'#建筑消耗和buff配置索引'!$M:$M,0)))</f>
        <v/>
      </c>
      <c r="AN258" s="133" t="str">
        <f>IF(INDEX('#建筑消耗和buff配置索引'!BG:BG,MATCH($F258,'#建筑消耗和buff配置索引'!$M:$M,0))=0,"",INDEX('#建筑消耗和buff配置索引'!BG:BG,MATCH($F258,'#建筑消耗和buff配置索引'!$M:$M,0)))</f>
        <v/>
      </c>
      <c r="AO258" s="133" t="str">
        <f>IF(AN258="","",INDEX('#建筑消耗和buff配置索引'!BH:BH,MATCH($F258,'#建筑消耗和buff配置索引'!$M:$M,0)))</f>
        <v/>
      </c>
      <c r="AR258" s="133" t="str">
        <f>IF(INDEX('#建筑消耗和buff配置索引'!BK:BK,MATCH($F258,'#建筑消耗和buff配置索引'!$M:$M,0))=0,"",INDEX('#建筑消耗和buff配置索引'!BK:BK,MATCH($F258,'#建筑消耗和buff配置索引'!$M:$M,0)))</f>
        <v/>
      </c>
      <c r="AS258" s="133" t="str">
        <f>IF(AR258="","",INDEX('#建筑消耗和buff配置索引'!BL:BL,MATCH($F258,'#建筑消耗和buff配置索引'!$M:$M,0)))</f>
        <v/>
      </c>
      <c r="AV258" s="133" t="str">
        <f>IF(INDEX('#建筑消耗和buff配置索引'!BO:BO,MATCH($F258,'#建筑消耗和buff配置索引'!$M:$M,0))=0,"",INDEX('#建筑消耗和buff配置索引'!BO:BO,MATCH($F258,'#建筑消耗和buff配置索引'!$M:$M,0)))</f>
        <v/>
      </c>
      <c r="AW258" s="133" t="str">
        <f>IF(AV258="","",INDEX('#建筑消耗和buff配置索引'!BP:BP,MATCH($F258,'#建筑消耗和buff配置索引'!$M:$M,0)))</f>
        <v/>
      </c>
      <c r="AZ258" s="133" t="str">
        <f>IF(INDEX('#建筑消耗和buff配置索引'!BS:BS,MATCH($F258,'#建筑消耗和buff配置索引'!$M:$M,0))=0,"",INDEX('#建筑消耗和buff配置索引'!BS:BS,MATCH($F258,'#建筑消耗和buff配置索引'!$M:$M,0)))</f>
        <v/>
      </c>
      <c r="BA258" s="133" t="str">
        <f>IF(AZ258="","",INDEX('#建筑消耗和buff配置索引'!BT:BT,MATCH($F258,'#建筑消耗和buff配置索引'!$M:$M,0)))</f>
        <v/>
      </c>
      <c r="BD258" s="133" t="str">
        <f>IF(INDEX('#建筑消耗和buff配置索引'!BW:BW,MATCH($F258,'#建筑消耗和buff配置索引'!$M:$M,0))=0,"",INDEX('#建筑消耗和buff配置索引'!BW:BW,MATCH($F258,'#建筑消耗和buff配置索引'!$M:$M,0)))</f>
        <v/>
      </c>
      <c r="BE258" s="133" t="str">
        <f>IF(BD258="","",INDEX('#建筑消耗和buff配置索引'!BX:BX,MATCH($F258,'#建筑消耗和buff配置索引'!$M:$M,0)))</f>
        <v/>
      </c>
      <c r="BI258" s="133">
        <v>3</v>
      </c>
    </row>
    <row r="259" spans="1:61" s="133" customFormat="1">
      <c r="A259" s="133">
        <v>2220014</v>
      </c>
      <c r="B259" s="133">
        <v>256</v>
      </c>
      <c r="C259" s="133">
        <v>222</v>
      </c>
      <c r="D259" s="133" t="s">
        <v>442</v>
      </c>
      <c r="E259" s="133">
        <v>14</v>
      </c>
      <c r="F259" s="133" t="str">
        <f t="shared" si="6"/>
        <v>治疗房舍14</v>
      </c>
      <c r="H259" s="146"/>
      <c r="I259" s="133">
        <v>2</v>
      </c>
      <c r="J259" s="150">
        <f>INDEX('#建筑消耗和buff配置索引'!AH:AH,MATCH($F259,'#建筑消耗和buff配置索引'!$M:$M,0))</f>
        <v>43200</v>
      </c>
      <c r="K259" s="150">
        <f>INDEX('#建筑消耗和buff配置索引'!AA:AA,MATCH($F259,'#建筑消耗和buff配置索引'!$M:$M,0))</f>
        <v>540000</v>
      </c>
      <c r="L259" s="150">
        <f>INDEX('#建筑消耗和buff配置索引'!AB:AB,MATCH($F259,'#建筑消耗和buff配置索引'!$M:$M,0))</f>
        <v>540000</v>
      </c>
      <c r="M259" s="150">
        <f>INDEX('#建筑消耗和buff配置索引'!AC:AC,MATCH($F259,'#建筑消耗和buff配置索引'!$M:$M,0))</f>
        <v>540000</v>
      </c>
      <c r="N259" s="150">
        <f>INDEX('#建筑消耗和buff配置索引'!AD:AD,MATCH($F259,'#建筑消耗和buff配置索引'!$M:$M,0))</f>
        <v>1100000</v>
      </c>
      <c r="O259" s="150" t="str">
        <f>IF(INDEX('#建筑消耗和buff配置索引'!T:T,MATCH($F259,'#建筑消耗和buff配置索引'!$M:$M,0))=0,"",INDEX('#建筑消耗和buff配置索引'!T:T,MATCH($F259,'#建筑消耗和buff配置索引'!$M:$M,0)))</f>
        <v/>
      </c>
      <c r="P259" s="133" t="str">
        <f>IF(INDEX('#建筑消耗和buff配置索引'!U:U,MATCH($F259,'#建筑消耗和buff配置索引'!$M:$M,0))=0,"",INDEX('#建筑消耗和buff配置索引'!U:U,MATCH($F259,'#建筑消耗和buff配置索引'!$M:$M,0)))</f>
        <v/>
      </c>
      <c r="Q259" s="133" t="str">
        <f>IF(INDEX('#建筑消耗和buff配置索引'!K:K,MATCH($F259,'#建筑消耗和buff配置索引'!$M:$M,0))=0,"",INDEX('#建筑消耗和buff配置索引'!K:K,MATCH($F259,'#建筑消耗和buff配置索引'!$M:$M,0)))</f>
        <v>201</v>
      </c>
      <c r="R259" s="133" t="str">
        <f>IF(INDEX('#建筑消耗和buff配置索引'!L:L,MATCH($F259,'#建筑消耗和buff配置索引'!$M:$M,0))=0,"",INDEX('#建筑消耗和buff配置索引'!L:L,MATCH($F259,'#建筑消耗和buff配置索引'!$M:$M,0)))</f>
        <v>14</v>
      </c>
      <c r="S259" s="133">
        <f>IF(INDEX('#建筑消耗和buff配置索引'!C:C,MATCH(F259,'#建筑消耗和buff配置索引'!M:M,0))=0,1,INDEX('#建筑消耗和buff配置索引'!C:C,MATCH(F259,'#建筑消耗和buff配置索引'!M:M,0)))</f>
        <v>1</v>
      </c>
      <c r="T259" s="133">
        <v>0</v>
      </c>
      <c r="U259" s="133">
        <v>0</v>
      </c>
      <c r="V259" s="133" t="str">
        <f>IF(E259=1,IF(INDEX('#建筑消耗和buff配置索引'!BY:BY,MATCH(D259,'#建筑消耗和buff配置索引'!A:A,0))=0,"",INDEX('#建筑消耗和buff配置索引'!BY:BY,MATCH(D259,'#建筑消耗和buff配置索引'!A:A,0))),"")</f>
        <v/>
      </c>
      <c r="W259" s="133" t="str">
        <f>IF(E259=1,IF(INDEX('#建筑消耗和buff配置索引'!BZ:BZ,MATCH(D259,'#建筑消耗和buff配置索引'!A:A,0))=0,"",INDEX('#建筑消耗和buff配置索引'!BZ:BZ,MATCH(D259,'#建筑消耗和buff配置索引'!A:A,0))),"")</f>
        <v/>
      </c>
      <c r="AA259" s="133">
        <f>INDEX('#建筑消耗和buff配置索引'!AO:AO,MATCH($F259,'#建筑消耗和buff配置索引'!$M:$M,0))</f>
        <v>18023</v>
      </c>
      <c r="AB259" s="133">
        <f>IF(INDEX('#建筑消耗和buff配置索引'!AR:AR,MATCH($F259,'#建筑消耗和buff配置索引'!$M:$M,0))=0,"",INDEX('#建筑消耗和buff配置索引'!AR:AR,MATCH($F259,'#建筑消耗和buff配置索引'!$M:$M,0)))</f>
        <v>3102</v>
      </c>
      <c r="AC259" s="133">
        <f>IF(AB259="","",INDEX('#建筑消耗和buff配置索引'!AS:AS,MATCH($F259,'#建筑消耗和buff配置索引'!$M:$M,0)))</f>
        <v>95000</v>
      </c>
      <c r="AF259" s="133">
        <f>IF(INDEX('#建筑消耗和buff配置索引'!AW:AW,MATCH($F259,'#建筑消耗和buff配置索引'!$M:$M,0))=0,"",INDEX('#建筑消耗和buff配置索引'!AW:AW,MATCH($F259,'#建筑消耗和buff配置索引'!$M:$M,0)))</f>
        <v>3100</v>
      </c>
      <c r="AG259" s="133">
        <f>IF(AF259="","",INDEX('#建筑消耗和buff配置索引'!AX:AX,MATCH($F259,'#建筑消耗和buff配置索引'!$M:$M,0)))</f>
        <v>0.14000000000000001</v>
      </c>
      <c r="AJ259" s="133" t="str">
        <f>IF(INDEX('#建筑消耗和buff配置索引'!BB:BB,MATCH($F259,'#建筑消耗和buff配置索引'!$M:$M,0))=0,"",INDEX('#建筑消耗和buff配置索引'!BB:BB,MATCH($F259,'#建筑消耗和buff配置索引'!$M:$M,0)))</f>
        <v/>
      </c>
      <c r="AK259" s="133" t="str">
        <f>IF(AJ259="","",INDEX('#建筑消耗和buff配置索引'!BC:BC,MATCH($F259,'#建筑消耗和buff配置索引'!$M:$M,0)))</f>
        <v/>
      </c>
      <c r="AN259" s="133" t="str">
        <f>IF(INDEX('#建筑消耗和buff配置索引'!BG:BG,MATCH($F259,'#建筑消耗和buff配置索引'!$M:$M,0))=0,"",INDEX('#建筑消耗和buff配置索引'!BG:BG,MATCH($F259,'#建筑消耗和buff配置索引'!$M:$M,0)))</f>
        <v/>
      </c>
      <c r="AO259" s="133" t="str">
        <f>IF(AN259="","",INDEX('#建筑消耗和buff配置索引'!BH:BH,MATCH($F259,'#建筑消耗和buff配置索引'!$M:$M,0)))</f>
        <v/>
      </c>
      <c r="AR259" s="133" t="str">
        <f>IF(INDEX('#建筑消耗和buff配置索引'!BK:BK,MATCH($F259,'#建筑消耗和buff配置索引'!$M:$M,0))=0,"",INDEX('#建筑消耗和buff配置索引'!BK:BK,MATCH($F259,'#建筑消耗和buff配置索引'!$M:$M,0)))</f>
        <v/>
      </c>
      <c r="AS259" s="133" t="str">
        <f>IF(AR259="","",INDEX('#建筑消耗和buff配置索引'!BL:BL,MATCH($F259,'#建筑消耗和buff配置索引'!$M:$M,0)))</f>
        <v/>
      </c>
      <c r="AV259" s="133" t="str">
        <f>IF(INDEX('#建筑消耗和buff配置索引'!BO:BO,MATCH($F259,'#建筑消耗和buff配置索引'!$M:$M,0))=0,"",INDEX('#建筑消耗和buff配置索引'!BO:BO,MATCH($F259,'#建筑消耗和buff配置索引'!$M:$M,0)))</f>
        <v/>
      </c>
      <c r="AW259" s="133" t="str">
        <f>IF(AV259="","",INDEX('#建筑消耗和buff配置索引'!BP:BP,MATCH($F259,'#建筑消耗和buff配置索引'!$M:$M,0)))</f>
        <v/>
      </c>
      <c r="AZ259" s="133" t="str">
        <f>IF(INDEX('#建筑消耗和buff配置索引'!BS:BS,MATCH($F259,'#建筑消耗和buff配置索引'!$M:$M,0))=0,"",INDEX('#建筑消耗和buff配置索引'!BS:BS,MATCH($F259,'#建筑消耗和buff配置索引'!$M:$M,0)))</f>
        <v/>
      </c>
      <c r="BA259" s="133" t="str">
        <f>IF(AZ259="","",INDEX('#建筑消耗和buff配置索引'!BT:BT,MATCH($F259,'#建筑消耗和buff配置索引'!$M:$M,0)))</f>
        <v/>
      </c>
      <c r="BD259" s="133" t="str">
        <f>IF(INDEX('#建筑消耗和buff配置索引'!BW:BW,MATCH($F259,'#建筑消耗和buff配置索引'!$M:$M,0))=0,"",INDEX('#建筑消耗和buff配置索引'!BW:BW,MATCH($F259,'#建筑消耗和buff配置索引'!$M:$M,0)))</f>
        <v/>
      </c>
      <c r="BE259" s="133" t="str">
        <f>IF(BD259="","",INDEX('#建筑消耗和buff配置索引'!BX:BX,MATCH($F259,'#建筑消耗和buff配置索引'!$M:$M,0)))</f>
        <v/>
      </c>
      <c r="BI259" s="133">
        <v>3</v>
      </c>
    </row>
    <row r="260" spans="1:61" s="133" customFormat="1">
      <c r="A260" s="133">
        <v>2220015</v>
      </c>
      <c r="B260" s="133">
        <v>257</v>
      </c>
      <c r="C260" s="133">
        <v>222</v>
      </c>
      <c r="D260" s="133" t="s">
        <v>442</v>
      </c>
      <c r="E260" s="133">
        <v>15</v>
      </c>
      <c r="F260" s="133" t="str">
        <f t="shared" si="6"/>
        <v>治疗房舍15</v>
      </c>
      <c r="H260" s="146"/>
      <c r="I260" s="133">
        <v>2</v>
      </c>
      <c r="J260" s="150">
        <f>INDEX('#建筑消耗和buff配置索引'!AH:AH,MATCH($F260,'#建筑消耗和buff配置索引'!$M:$M,0))</f>
        <v>51840</v>
      </c>
      <c r="K260" s="150">
        <f>INDEX('#建筑消耗和buff配置索引'!AA:AA,MATCH($F260,'#建筑消耗和buff配置索引'!$M:$M,0))</f>
        <v>690000</v>
      </c>
      <c r="L260" s="150">
        <f>INDEX('#建筑消耗和buff配置索引'!AB:AB,MATCH($F260,'#建筑消耗和buff配置索引'!$M:$M,0))</f>
        <v>690000</v>
      </c>
      <c r="M260" s="150">
        <f>INDEX('#建筑消耗和buff配置索引'!AC:AC,MATCH($F260,'#建筑消耗和buff配置索引'!$M:$M,0))</f>
        <v>690000</v>
      </c>
      <c r="N260" s="150">
        <f>INDEX('#建筑消耗和buff配置索引'!AD:AD,MATCH($F260,'#建筑消耗和buff配置索引'!$M:$M,0))</f>
        <v>1400000</v>
      </c>
      <c r="O260" s="150" t="str">
        <f>IF(INDEX('#建筑消耗和buff配置索引'!T:T,MATCH($F260,'#建筑消耗和buff配置索引'!$M:$M,0))=0,"",INDEX('#建筑消耗和buff配置索引'!T:T,MATCH($F260,'#建筑消耗和buff配置索引'!$M:$M,0)))</f>
        <v/>
      </c>
      <c r="P260" s="133" t="str">
        <f>IF(INDEX('#建筑消耗和buff配置索引'!U:U,MATCH($F260,'#建筑消耗和buff配置索引'!$M:$M,0))=0,"",INDEX('#建筑消耗和buff配置索引'!U:U,MATCH($F260,'#建筑消耗和buff配置索引'!$M:$M,0)))</f>
        <v/>
      </c>
      <c r="Q260" s="133" t="str">
        <f>IF(INDEX('#建筑消耗和buff配置索引'!K:K,MATCH($F260,'#建筑消耗和buff配置索引'!$M:$M,0))=0,"",INDEX('#建筑消耗和buff配置索引'!K:K,MATCH($F260,'#建筑消耗和buff配置索引'!$M:$M,0)))</f>
        <v>201</v>
      </c>
      <c r="R260" s="133" t="str">
        <f>IF(INDEX('#建筑消耗和buff配置索引'!L:L,MATCH($F260,'#建筑消耗和buff配置索引'!$M:$M,0))=0,"",INDEX('#建筑消耗和buff配置索引'!L:L,MATCH($F260,'#建筑消耗和buff配置索引'!$M:$M,0)))</f>
        <v>15</v>
      </c>
      <c r="S260" s="133">
        <f>IF(INDEX('#建筑消耗和buff配置索引'!C:C,MATCH(F260,'#建筑消耗和buff配置索引'!M:M,0))=0,1,INDEX('#建筑消耗和buff配置索引'!C:C,MATCH(F260,'#建筑消耗和buff配置索引'!M:M,0)))</f>
        <v>1</v>
      </c>
      <c r="T260" s="133">
        <v>0</v>
      </c>
      <c r="U260" s="133">
        <v>0</v>
      </c>
      <c r="V260" s="133" t="str">
        <f>IF(E260=1,IF(INDEX('#建筑消耗和buff配置索引'!BY:BY,MATCH(D260,'#建筑消耗和buff配置索引'!A:A,0))=0,"",INDEX('#建筑消耗和buff配置索引'!BY:BY,MATCH(D260,'#建筑消耗和buff配置索引'!A:A,0))),"")</f>
        <v/>
      </c>
      <c r="W260" s="133" t="str">
        <f>IF(E260=1,IF(INDEX('#建筑消耗和buff配置索引'!BZ:BZ,MATCH(D260,'#建筑消耗和buff配置索引'!A:A,0))=0,"",INDEX('#建筑消耗和buff配置索引'!BZ:BZ,MATCH(D260,'#建筑消耗和buff配置索引'!A:A,0))),"")</f>
        <v/>
      </c>
      <c r="AA260" s="133">
        <f>INDEX('#建筑消耗和buff配置索引'!AO:AO,MATCH($F260,'#建筑消耗和buff配置索引'!$M:$M,0))</f>
        <v>24879</v>
      </c>
      <c r="AB260" s="133">
        <f>IF(INDEX('#建筑消耗和buff配置索引'!AR:AR,MATCH($F260,'#建筑消耗和buff配置索引'!$M:$M,0))=0,"",INDEX('#建筑消耗和buff配置索引'!AR:AR,MATCH($F260,'#建筑消耗和buff配置索引'!$M:$M,0)))</f>
        <v>3102</v>
      </c>
      <c r="AC260" s="133">
        <f>IF(AB260="","",INDEX('#建筑消耗和buff配置索引'!AS:AS,MATCH($F260,'#建筑消耗和buff配置索引'!$M:$M,0)))</f>
        <v>100000</v>
      </c>
      <c r="AF260" s="133">
        <f>IF(INDEX('#建筑消耗和buff配置索引'!AW:AW,MATCH($F260,'#建筑消耗和buff配置索引'!$M:$M,0))=0,"",INDEX('#建筑消耗和buff配置索引'!AW:AW,MATCH($F260,'#建筑消耗和buff配置索引'!$M:$M,0)))</f>
        <v>3100</v>
      </c>
      <c r="AG260" s="133">
        <f>IF(AF260="","",INDEX('#建筑消耗和buff配置索引'!AX:AX,MATCH($F260,'#建筑消耗和buff配置索引'!$M:$M,0)))</f>
        <v>0.15</v>
      </c>
      <c r="AJ260" s="133" t="str">
        <f>IF(INDEX('#建筑消耗和buff配置索引'!BB:BB,MATCH($F260,'#建筑消耗和buff配置索引'!$M:$M,0))=0,"",INDEX('#建筑消耗和buff配置索引'!BB:BB,MATCH($F260,'#建筑消耗和buff配置索引'!$M:$M,0)))</f>
        <v/>
      </c>
      <c r="AK260" s="133" t="str">
        <f>IF(AJ260="","",INDEX('#建筑消耗和buff配置索引'!BC:BC,MATCH($F260,'#建筑消耗和buff配置索引'!$M:$M,0)))</f>
        <v/>
      </c>
      <c r="AN260" s="133" t="str">
        <f>IF(INDEX('#建筑消耗和buff配置索引'!BG:BG,MATCH($F260,'#建筑消耗和buff配置索引'!$M:$M,0))=0,"",INDEX('#建筑消耗和buff配置索引'!BG:BG,MATCH($F260,'#建筑消耗和buff配置索引'!$M:$M,0)))</f>
        <v/>
      </c>
      <c r="AO260" s="133" t="str">
        <f>IF(AN260="","",INDEX('#建筑消耗和buff配置索引'!BH:BH,MATCH($F260,'#建筑消耗和buff配置索引'!$M:$M,0)))</f>
        <v/>
      </c>
      <c r="AR260" s="133" t="str">
        <f>IF(INDEX('#建筑消耗和buff配置索引'!BK:BK,MATCH($F260,'#建筑消耗和buff配置索引'!$M:$M,0))=0,"",INDEX('#建筑消耗和buff配置索引'!BK:BK,MATCH($F260,'#建筑消耗和buff配置索引'!$M:$M,0)))</f>
        <v/>
      </c>
      <c r="AS260" s="133" t="str">
        <f>IF(AR260="","",INDEX('#建筑消耗和buff配置索引'!BL:BL,MATCH($F260,'#建筑消耗和buff配置索引'!$M:$M,0)))</f>
        <v/>
      </c>
      <c r="AV260" s="133" t="str">
        <f>IF(INDEX('#建筑消耗和buff配置索引'!BO:BO,MATCH($F260,'#建筑消耗和buff配置索引'!$M:$M,0))=0,"",INDEX('#建筑消耗和buff配置索引'!BO:BO,MATCH($F260,'#建筑消耗和buff配置索引'!$M:$M,0)))</f>
        <v/>
      </c>
      <c r="AW260" s="133" t="str">
        <f>IF(AV260="","",INDEX('#建筑消耗和buff配置索引'!BP:BP,MATCH($F260,'#建筑消耗和buff配置索引'!$M:$M,0)))</f>
        <v/>
      </c>
      <c r="AZ260" s="133" t="str">
        <f>IF(INDEX('#建筑消耗和buff配置索引'!BS:BS,MATCH($F260,'#建筑消耗和buff配置索引'!$M:$M,0))=0,"",INDEX('#建筑消耗和buff配置索引'!BS:BS,MATCH($F260,'#建筑消耗和buff配置索引'!$M:$M,0)))</f>
        <v/>
      </c>
      <c r="BA260" s="133" t="str">
        <f>IF(AZ260="","",INDEX('#建筑消耗和buff配置索引'!BT:BT,MATCH($F260,'#建筑消耗和buff配置索引'!$M:$M,0)))</f>
        <v/>
      </c>
      <c r="BD260" s="133" t="str">
        <f>IF(INDEX('#建筑消耗和buff配置索引'!BW:BW,MATCH($F260,'#建筑消耗和buff配置索引'!$M:$M,0))=0,"",INDEX('#建筑消耗和buff配置索引'!BW:BW,MATCH($F260,'#建筑消耗和buff配置索引'!$M:$M,0)))</f>
        <v/>
      </c>
      <c r="BE260" s="133" t="str">
        <f>IF(BD260="","",INDEX('#建筑消耗和buff配置索引'!BX:BX,MATCH($F260,'#建筑消耗和buff配置索引'!$M:$M,0)))</f>
        <v/>
      </c>
      <c r="BI260" s="133">
        <v>3</v>
      </c>
    </row>
    <row r="261" spans="1:61" s="133" customFormat="1">
      <c r="A261" s="133">
        <v>2220016</v>
      </c>
      <c r="B261" s="133">
        <v>258</v>
      </c>
      <c r="C261" s="133">
        <v>222</v>
      </c>
      <c r="D261" s="133" t="s">
        <v>442</v>
      </c>
      <c r="E261" s="133">
        <v>16</v>
      </c>
      <c r="F261" s="133" t="str">
        <f t="shared" si="6"/>
        <v>治疗房舍16</v>
      </c>
      <c r="H261" s="146"/>
      <c r="I261" s="133">
        <v>2</v>
      </c>
      <c r="J261" s="150">
        <f>INDEX('#建筑消耗和buff配置索引'!AH:AH,MATCH($F261,'#建筑消耗和buff配置索引'!$M:$M,0))</f>
        <v>64800</v>
      </c>
      <c r="K261" s="150">
        <f>INDEX('#建筑消耗和buff配置索引'!AA:AA,MATCH($F261,'#建筑消耗和buff配置索引'!$M:$M,0))</f>
        <v>880000</v>
      </c>
      <c r="L261" s="150">
        <f>INDEX('#建筑消耗和buff配置索引'!AB:AB,MATCH($F261,'#建筑消耗和buff配置索引'!$M:$M,0))</f>
        <v>880000</v>
      </c>
      <c r="M261" s="150">
        <f>INDEX('#建筑消耗和buff配置索引'!AC:AC,MATCH($F261,'#建筑消耗和buff配置索引'!$M:$M,0))</f>
        <v>880000</v>
      </c>
      <c r="N261" s="150">
        <f>INDEX('#建筑消耗和buff配置索引'!AD:AD,MATCH($F261,'#建筑消耗和buff配置索引'!$M:$M,0))</f>
        <v>1800000</v>
      </c>
      <c r="O261" s="150" t="str">
        <f>IF(INDEX('#建筑消耗和buff配置索引'!T:T,MATCH($F261,'#建筑消耗和buff配置索引'!$M:$M,0))=0,"",INDEX('#建筑消耗和buff配置索引'!T:T,MATCH($F261,'#建筑消耗和buff配置索引'!$M:$M,0)))</f>
        <v/>
      </c>
      <c r="P261" s="133" t="str">
        <f>IF(INDEX('#建筑消耗和buff配置索引'!U:U,MATCH($F261,'#建筑消耗和buff配置索引'!$M:$M,0))=0,"",INDEX('#建筑消耗和buff配置索引'!U:U,MATCH($F261,'#建筑消耗和buff配置索引'!$M:$M,0)))</f>
        <v/>
      </c>
      <c r="Q261" s="133" t="str">
        <f>IF(INDEX('#建筑消耗和buff配置索引'!K:K,MATCH($F261,'#建筑消耗和buff配置索引'!$M:$M,0))=0,"",INDEX('#建筑消耗和buff配置索引'!K:K,MATCH($F261,'#建筑消耗和buff配置索引'!$M:$M,0)))</f>
        <v>201</v>
      </c>
      <c r="R261" s="133" t="str">
        <f>IF(INDEX('#建筑消耗和buff配置索引'!L:L,MATCH($F261,'#建筑消耗和buff配置索引'!$M:$M,0))=0,"",INDEX('#建筑消耗和buff配置索引'!L:L,MATCH($F261,'#建筑消耗和buff配置索引'!$M:$M,0)))</f>
        <v>16</v>
      </c>
      <c r="S261" s="133">
        <f>IF(INDEX('#建筑消耗和buff配置索引'!C:C,MATCH(F261,'#建筑消耗和buff配置索引'!M:M,0))=0,1,INDEX('#建筑消耗和buff配置索引'!C:C,MATCH(F261,'#建筑消耗和buff配置索引'!M:M,0)))</f>
        <v>1</v>
      </c>
      <c r="T261" s="133">
        <v>0</v>
      </c>
      <c r="U261" s="133">
        <v>0</v>
      </c>
      <c r="V261" s="133" t="str">
        <f>IF(E261=1,IF(INDEX('#建筑消耗和buff配置索引'!BY:BY,MATCH(D261,'#建筑消耗和buff配置索引'!A:A,0))=0,"",INDEX('#建筑消耗和buff配置索引'!BY:BY,MATCH(D261,'#建筑消耗和buff配置索引'!A:A,0))),"")</f>
        <v/>
      </c>
      <c r="W261" s="133" t="str">
        <f>IF(E261=1,IF(INDEX('#建筑消耗和buff配置索引'!BZ:BZ,MATCH(D261,'#建筑消耗和buff配置索引'!A:A,0))=0,"",INDEX('#建筑消耗和buff配置索引'!BZ:BZ,MATCH(D261,'#建筑消耗和buff配置索引'!A:A,0))),"")</f>
        <v/>
      </c>
      <c r="AA261" s="133">
        <f>INDEX('#建筑消耗和buff配置索引'!AO:AO,MATCH($F261,'#建筑消耗和buff配置索引'!$M:$M,0))</f>
        <v>33654</v>
      </c>
      <c r="AB261" s="133">
        <f>IF(INDEX('#建筑消耗和buff配置索引'!AR:AR,MATCH($F261,'#建筑消耗和buff配置索引'!$M:$M,0))=0,"",INDEX('#建筑消耗和buff配置索引'!AR:AR,MATCH($F261,'#建筑消耗和buff配置索引'!$M:$M,0)))</f>
        <v>3102</v>
      </c>
      <c r="AC261" s="133">
        <f>IF(AB261="","",INDEX('#建筑消耗和buff配置索引'!AS:AS,MATCH($F261,'#建筑消耗和buff配置索引'!$M:$M,0)))</f>
        <v>105000</v>
      </c>
      <c r="AF261" s="133">
        <f>IF(INDEX('#建筑消耗和buff配置索引'!AW:AW,MATCH($F261,'#建筑消耗和buff配置索引'!$M:$M,0))=0,"",INDEX('#建筑消耗和buff配置索引'!AW:AW,MATCH($F261,'#建筑消耗和buff配置索引'!$M:$M,0)))</f>
        <v>3100</v>
      </c>
      <c r="AG261" s="133">
        <f>IF(AF261="","",INDEX('#建筑消耗和buff配置索引'!AX:AX,MATCH($F261,'#建筑消耗和buff配置索引'!$M:$M,0)))</f>
        <v>0.16</v>
      </c>
      <c r="AJ261" s="133" t="str">
        <f>IF(INDEX('#建筑消耗和buff配置索引'!BB:BB,MATCH($F261,'#建筑消耗和buff配置索引'!$M:$M,0))=0,"",INDEX('#建筑消耗和buff配置索引'!BB:BB,MATCH($F261,'#建筑消耗和buff配置索引'!$M:$M,0)))</f>
        <v/>
      </c>
      <c r="AK261" s="133" t="str">
        <f>IF(AJ261="","",INDEX('#建筑消耗和buff配置索引'!BC:BC,MATCH($F261,'#建筑消耗和buff配置索引'!$M:$M,0)))</f>
        <v/>
      </c>
      <c r="AN261" s="133" t="str">
        <f>IF(INDEX('#建筑消耗和buff配置索引'!BG:BG,MATCH($F261,'#建筑消耗和buff配置索引'!$M:$M,0))=0,"",INDEX('#建筑消耗和buff配置索引'!BG:BG,MATCH($F261,'#建筑消耗和buff配置索引'!$M:$M,0)))</f>
        <v/>
      </c>
      <c r="AO261" s="133" t="str">
        <f>IF(AN261="","",INDEX('#建筑消耗和buff配置索引'!BH:BH,MATCH($F261,'#建筑消耗和buff配置索引'!$M:$M,0)))</f>
        <v/>
      </c>
      <c r="AR261" s="133" t="str">
        <f>IF(INDEX('#建筑消耗和buff配置索引'!BK:BK,MATCH($F261,'#建筑消耗和buff配置索引'!$M:$M,0))=0,"",INDEX('#建筑消耗和buff配置索引'!BK:BK,MATCH($F261,'#建筑消耗和buff配置索引'!$M:$M,0)))</f>
        <v/>
      </c>
      <c r="AS261" s="133" t="str">
        <f>IF(AR261="","",INDEX('#建筑消耗和buff配置索引'!BL:BL,MATCH($F261,'#建筑消耗和buff配置索引'!$M:$M,0)))</f>
        <v/>
      </c>
      <c r="AV261" s="133" t="str">
        <f>IF(INDEX('#建筑消耗和buff配置索引'!BO:BO,MATCH($F261,'#建筑消耗和buff配置索引'!$M:$M,0))=0,"",INDEX('#建筑消耗和buff配置索引'!BO:BO,MATCH($F261,'#建筑消耗和buff配置索引'!$M:$M,0)))</f>
        <v/>
      </c>
      <c r="AW261" s="133" t="str">
        <f>IF(AV261="","",INDEX('#建筑消耗和buff配置索引'!BP:BP,MATCH($F261,'#建筑消耗和buff配置索引'!$M:$M,0)))</f>
        <v/>
      </c>
      <c r="AZ261" s="133" t="str">
        <f>IF(INDEX('#建筑消耗和buff配置索引'!BS:BS,MATCH($F261,'#建筑消耗和buff配置索引'!$M:$M,0))=0,"",INDEX('#建筑消耗和buff配置索引'!BS:BS,MATCH($F261,'#建筑消耗和buff配置索引'!$M:$M,0)))</f>
        <v/>
      </c>
      <c r="BA261" s="133" t="str">
        <f>IF(AZ261="","",INDEX('#建筑消耗和buff配置索引'!BT:BT,MATCH($F261,'#建筑消耗和buff配置索引'!$M:$M,0)))</f>
        <v/>
      </c>
      <c r="BD261" s="133" t="str">
        <f>IF(INDEX('#建筑消耗和buff配置索引'!BW:BW,MATCH($F261,'#建筑消耗和buff配置索引'!$M:$M,0))=0,"",INDEX('#建筑消耗和buff配置索引'!BW:BW,MATCH($F261,'#建筑消耗和buff配置索引'!$M:$M,0)))</f>
        <v/>
      </c>
      <c r="BE261" s="133" t="str">
        <f>IF(BD261="","",INDEX('#建筑消耗和buff配置索引'!BX:BX,MATCH($F261,'#建筑消耗和buff配置索引'!$M:$M,0)))</f>
        <v/>
      </c>
      <c r="BI261" s="133">
        <v>3</v>
      </c>
    </row>
    <row r="262" spans="1:61" s="133" customFormat="1">
      <c r="A262" s="133">
        <v>2220017</v>
      </c>
      <c r="B262" s="133">
        <v>259</v>
      </c>
      <c r="C262" s="133">
        <v>222</v>
      </c>
      <c r="D262" s="133" t="s">
        <v>442</v>
      </c>
      <c r="E262" s="133">
        <v>17</v>
      </c>
      <c r="F262" s="133" t="str">
        <f t="shared" si="6"/>
        <v>治疗房舍17</v>
      </c>
      <c r="H262" s="146"/>
      <c r="I262" s="133">
        <v>2</v>
      </c>
      <c r="J262" s="150">
        <f>INDEX('#建筑消耗和buff配置索引'!AH:AH,MATCH($F262,'#建筑消耗和buff配置索引'!$M:$M,0))</f>
        <v>86400</v>
      </c>
      <c r="K262" s="150">
        <f>INDEX('#建筑消耗和buff配置索引'!AA:AA,MATCH($F262,'#建筑消耗和buff配置索引'!$M:$M,0))</f>
        <v>1100000</v>
      </c>
      <c r="L262" s="150">
        <f>INDEX('#建筑消耗和buff配置索引'!AB:AB,MATCH($F262,'#建筑消耗和buff配置索引'!$M:$M,0))</f>
        <v>1100000</v>
      </c>
      <c r="M262" s="150">
        <f>INDEX('#建筑消耗和buff配置索引'!AC:AC,MATCH($F262,'#建筑消耗和buff配置索引'!$M:$M,0))</f>
        <v>1100000</v>
      </c>
      <c r="N262" s="150">
        <f>INDEX('#建筑消耗和buff配置索引'!AD:AD,MATCH($F262,'#建筑消耗和buff配置索引'!$M:$M,0))</f>
        <v>2200000</v>
      </c>
      <c r="O262" s="150" t="str">
        <f>IF(INDEX('#建筑消耗和buff配置索引'!T:T,MATCH($F262,'#建筑消耗和buff配置索引'!$M:$M,0))=0,"",INDEX('#建筑消耗和buff配置索引'!T:T,MATCH($F262,'#建筑消耗和buff配置索引'!$M:$M,0)))</f>
        <v/>
      </c>
      <c r="P262" s="133" t="str">
        <f>IF(INDEX('#建筑消耗和buff配置索引'!U:U,MATCH($F262,'#建筑消耗和buff配置索引'!$M:$M,0))=0,"",INDEX('#建筑消耗和buff配置索引'!U:U,MATCH($F262,'#建筑消耗和buff配置索引'!$M:$M,0)))</f>
        <v/>
      </c>
      <c r="Q262" s="133" t="str">
        <f>IF(INDEX('#建筑消耗和buff配置索引'!K:K,MATCH($F262,'#建筑消耗和buff配置索引'!$M:$M,0))=0,"",INDEX('#建筑消耗和buff配置索引'!K:K,MATCH($F262,'#建筑消耗和buff配置索引'!$M:$M,0)))</f>
        <v>201</v>
      </c>
      <c r="R262" s="133" t="str">
        <f>IF(INDEX('#建筑消耗和buff配置索引'!L:L,MATCH($F262,'#建筑消耗和buff配置索引'!$M:$M,0))=0,"",INDEX('#建筑消耗和buff配置索引'!L:L,MATCH($F262,'#建筑消耗和buff配置索引'!$M:$M,0)))</f>
        <v>17</v>
      </c>
      <c r="S262" s="133">
        <f>IF(INDEX('#建筑消耗和buff配置索引'!C:C,MATCH(F262,'#建筑消耗和buff配置索引'!M:M,0))=0,1,INDEX('#建筑消耗和buff配置索引'!C:C,MATCH(F262,'#建筑消耗和buff配置索引'!M:M,0)))</f>
        <v>1</v>
      </c>
      <c r="T262" s="133">
        <v>0</v>
      </c>
      <c r="U262" s="133">
        <v>0</v>
      </c>
      <c r="V262" s="133" t="str">
        <f>IF(E262=1,IF(INDEX('#建筑消耗和buff配置索引'!BY:BY,MATCH(D262,'#建筑消耗和buff配置索引'!A:A,0))=0,"",INDEX('#建筑消耗和buff配置索引'!BY:BY,MATCH(D262,'#建筑消耗和buff配置索引'!A:A,0))),"")</f>
        <v/>
      </c>
      <c r="W262" s="133" t="str">
        <f>IF(E262=1,IF(INDEX('#建筑消耗和buff配置索引'!BZ:BZ,MATCH(D262,'#建筑消耗和buff配置索引'!A:A,0))=0,"",INDEX('#建筑消耗和buff配置索引'!BZ:BZ,MATCH(D262,'#建筑消耗和buff配置索引'!A:A,0))),"")</f>
        <v/>
      </c>
      <c r="AA262" s="133">
        <f>INDEX('#建筑消耗和buff配置索引'!AO:AO,MATCH($F262,'#建筑消耗和buff配置索引'!$M:$M,0))</f>
        <v>44886</v>
      </c>
      <c r="AB262" s="133">
        <f>IF(INDEX('#建筑消耗和buff配置索引'!AR:AR,MATCH($F262,'#建筑消耗和buff配置索引'!$M:$M,0))=0,"",INDEX('#建筑消耗和buff配置索引'!AR:AR,MATCH($F262,'#建筑消耗和buff配置索引'!$M:$M,0)))</f>
        <v>3102</v>
      </c>
      <c r="AC262" s="133">
        <f>IF(AB262="","",INDEX('#建筑消耗和buff配置索引'!AS:AS,MATCH($F262,'#建筑消耗和buff配置索引'!$M:$M,0)))</f>
        <v>110000</v>
      </c>
      <c r="AF262" s="133">
        <f>IF(INDEX('#建筑消耗和buff配置索引'!AW:AW,MATCH($F262,'#建筑消耗和buff配置索引'!$M:$M,0))=0,"",INDEX('#建筑消耗和buff配置索引'!AW:AW,MATCH($F262,'#建筑消耗和buff配置索引'!$M:$M,0)))</f>
        <v>3100</v>
      </c>
      <c r="AG262" s="133">
        <f>IF(AF262="","",INDEX('#建筑消耗和buff配置索引'!AX:AX,MATCH($F262,'#建筑消耗和buff配置索引'!$M:$M,0)))</f>
        <v>0.17</v>
      </c>
      <c r="AJ262" s="133" t="str">
        <f>IF(INDEX('#建筑消耗和buff配置索引'!BB:BB,MATCH($F262,'#建筑消耗和buff配置索引'!$M:$M,0))=0,"",INDEX('#建筑消耗和buff配置索引'!BB:BB,MATCH($F262,'#建筑消耗和buff配置索引'!$M:$M,0)))</f>
        <v/>
      </c>
      <c r="AK262" s="133" t="str">
        <f>IF(AJ262="","",INDEX('#建筑消耗和buff配置索引'!BC:BC,MATCH($F262,'#建筑消耗和buff配置索引'!$M:$M,0)))</f>
        <v/>
      </c>
      <c r="AN262" s="133" t="str">
        <f>IF(INDEX('#建筑消耗和buff配置索引'!BG:BG,MATCH($F262,'#建筑消耗和buff配置索引'!$M:$M,0))=0,"",INDEX('#建筑消耗和buff配置索引'!BG:BG,MATCH($F262,'#建筑消耗和buff配置索引'!$M:$M,0)))</f>
        <v/>
      </c>
      <c r="AO262" s="133" t="str">
        <f>IF(AN262="","",INDEX('#建筑消耗和buff配置索引'!BH:BH,MATCH($F262,'#建筑消耗和buff配置索引'!$M:$M,0)))</f>
        <v/>
      </c>
      <c r="AR262" s="133" t="str">
        <f>IF(INDEX('#建筑消耗和buff配置索引'!BK:BK,MATCH($F262,'#建筑消耗和buff配置索引'!$M:$M,0))=0,"",INDEX('#建筑消耗和buff配置索引'!BK:BK,MATCH($F262,'#建筑消耗和buff配置索引'!$M:$M,0)))</f>
        <v/>
      </c>
      <c r="AS262" s="133" t="str">
        <f>IF(AR262="","",INDEX('#建筑消耗和buff配置索引'!BL:BL,MATCH($F262,'#建筑消耗和buff配置索引'!$M:$M,0)))</f>
        <v/>
      </c>
      <c r="AV262" s="133" t="str">
        <f>IF(INDEX('#建筑消耗和buff配置索引'!BO:BO,MATCH($F262,'#建筑消耗和buff配置索引'!$M:$M,0))=0,"",INDEX('#建筑消耗和buff配置索引'!BO:BO,MATCH($F262,'#建筑消耗和buff配置索引'!$M:$M,0)))</f>
        <v/>
      </c>
      <c r="AW262" s="133" t="str">
        <f>IF(AV262="","",INDEX('#建筑消耗和buff配置索引'!BP:BP,MATCH($F262,'#建筑消耗和buff配置索引'!$M:$M,0)))</f>
        <v/>
      </c>
      <c r="AZ262" s="133" t="str">
        <f>IF(INDEX('#建筑消耗和buff配置索引'!BS:BS,MATCH($F262,'#建筑消耗和buff配置索引'!$M:$M,0))=0,"",INDEX('#建筑消耗和buff配置索引'!BS:BS,MATCH($F262,'#建筑消耗和buff配置索引'!$M:$M,0)))</f>
        <v/>
      </c>
      <c r="BA262" s="133" t="str">
        <f>IF(AZ262="","",INDEX('#建筑消耗和buff配置索引'!BT:BT,MATCH($F262,'#建筑消耗和buff配置索引'!$M:$M,0)))</f>
        <v/>
      </c>
      <c r="BD262" s="133" t="str">
        <f>IF(INDEX('#建筑消耗和buff配置索引'!BW:BW,MATCH($F262,'#建筑消耗和buff配置索引'!$M:$M,0))=0,"",INDEX('#建筑消耗和buff配置索引'!BW:BW,MATCH($F262,'#建筑消耗和buff配置索引'!$M:$M,0)))</f>
        <v/>
      </c>
      <c r="BE262" s="133" t="str">
        <f>IF(BD262="","",INDEX('#建筑消耗和buff配置索引'!BX:BX,MATCH($F262,'#建筑消耗和buff配置索引'!$M:$M,0)))</f>
        <v/>
      </c>
      <c r="BI262" s="133">
        <v>3</v>
      </c>
    </row>
    <row r="263" spans="1:61" s="133" customFormat="1">
      <c r="A263" s="133">
        <v>2220018</v>
      </c>
      <c r="B263" s="133">
        <v>260</v>
      </c>
      <c r="C263" s="133">
        <v>222</v>
      </c>
      <c r="D263" s="133" t="s">
        <v>442</v>
      </c>
      <c r="E263" s="133">
        <v>18</v>
      </c>
      <c r="F263" s="133" t="str">
        <f t="shared" si="6"/>
        <v>治疗房舍18</v>
      </c>
      <c r="H263" s="146"/>
      <c r="I263" s="133">
        <v>2</v>
      </c>
      <c r="J263" s="150">
        <f>INDEX('#建筑消耗和buff配置索引'!AH:AH,MATCH($F263,'#建筑消耗和buff配置索引'!$M:$M,0))</f>
        <v>112320</v>
      </c>
      <c r="K263" s="150">
        <f>INDEX('#建筑消耗和buff配置索引'!AA:AA,MATCH($F263,'#建筑消耗和buff配置索引'!$M:$M,0))</f>
        <v>1400000</v>
      </c>
      <c r="L263" s="150">
        <f>INDEX('#建筑消耗和buff配置索引'!AB:AB,MATCH($F263,'#建筑消耗和buff配置索引'!$M:$M,0))</f>
        <v>1400000</v>
      </c>
      <c r="M263" s="150">
        <f>INDEX('#建筑消耗和buff配置索引'!AC:AC,MATCH($F263,'#建筑消耗和buff配置索引'!$M:$M,0))</f>
        <v>1400000</v>
      </c>
      <c r="N263" s="150">
        <f>INDEX('#建筑消耗和buff配置索引'!AD:AD,MATCH($F263,'#建筑消耗和buff配置索引'!$M:$M,0))</f>
        <v>2900000</v>
      </c>
      <c r="O263" s="150" t="str">
        <f>IF(INDEX('#建筑消耗和buff配置索引'!T:T,MATCH($F263,'#建筑消耗和buff配置索引'!$M:$M,0))=0,"",INDEX('#建筑消耗和buff配置索引'!T:T,MATCH($F263,'#建筑消耗和buff配置索引'!$M:$M,0)))</f>
        <v/>
      </c>
      <c r="P263" s="133" t="str">
        <f>IF(INDEX('#建筑消耗和buff配置索引'!U:U,MATCH($F263,'#建筑消耗和buff配置索引'!$M:$M,0))=0,"",INDEX('#建筑消耗和buff配置索引'!U:U,MATCH($F263,'#建筑消耗和buff配置索引'!$M:$M,0)))</f>
        <v/>
      </c>
      <c r="Q263" s="133" t="str">
        <f>IF(INDEX('#建筑消耗和buff配置索引'!K:K,MATCH($F263,'#建筑消耗和buff配置索引'!$M:$M,0))=0,"",INDEX('#建筑消耗和buff配置索引'!K:K,MATCH($F263,'#建筑消耗和buff配置索引'!$M:$M,0)))</f>
        <v>201</v>
      </c>
      <c r="R263" s="133" t="str">
        <f>IF(INDEX('#建筑消耗和buff配置索引'!L:L,MATCH($F263,'#建筑消耗和buff配置索引'!$M:$M,0))=0,"",INDEX('#建筑消耗和buff配置索引'!L:L,MATCH($F263,'#建筑消耗和buff配置索引'!$M:$M,0)))</f>
        <v>18</v>
      </c>
      <c r="S263" s="133">
        <f>IF(INDEX('#建筑消耗和buff配置索引'!C:C,MATCH(F263,'#建筑消耗和buff配置索引'!M:M,0))=0,1,INDEX('#建筑消耗和buff配置索引'!C:C,MATCH(F263,'#建筑消耗和buff配置索引'!M:M,0)))</f>
        <v>1</v>
      </c>
      <c r="T263" s="133">
        <v>0</v>
      </c>
      <c r="U263" s="133">
        <v>0</v>
      </c>
      <c r="V263" s="133" t="str">
        <f>IF(E263=1,IF(INDEX('#建筑消耗和buff配置索引'!BY:BY,MATCH(D263,'#建筑消耗和buff配置索引'!A:A,0))=0,"",INDEX('#建筑消耗和buff配置索引'!BY:BY,MATCH(D263,'#建筑消耗和buff配置索引'!A:A,0))),"")</f>
        <v/>
      </c>
      <c r="W263" s="133" t="str">
        <f>IF(E263=1,IF(INDEX('#建筑消耗和buff配置索引'!BZ:BZ,MATCH(D263,'#建筑消耗和buff配置索引'!A:A,0))=0,"",INDEX('#建筑消耗和buff配置索引'!BZ:BZ,MATCH(D263,'#建筑消耗和buff配置索引'!A:A,0))),"")</f>
        <v/>
      </c>
      <c r="AA263" s="133">
        <f>INDEX('#建筑消耗和buff配置索引'!AO:AO,MATCH($F263,'#建筑消耗和buff配置索引'!$M:$M,0))</f>
        <v>59264</v>
      </c>
      <c r="AB263" s="133">
        <f>IF(INDEX('#建筑消耗和buff配置索引'!AR:AR,MATCH($F263,'#建筑消耗和buff配置索引'!$M:$M,0))=0,"",INDEX('#建筑消耗和buff配置索引'!AR:AR,MATCH($F263,'#建筑消耗和buff配置索引'!$M:$M,0)))</f>
        <v>3102</v>
      </c>
      <c r="AC263" s="133">
        <f>IF(AB263="","",INDEX('#建筑消耗和buff配置索引'!AS:AS,MATCH($F263,'#建筑消耗和buff配置索引'!$M:$M,0)))</f>
        <v>115000</v>
      </c>
      <c r="AF263" s="133">
        <f>IF(INDEX('#建筑消耗和buff配置索引'!AW:AW,MATCH($F263,'#建筑消耗和buff配置索引'!$M:$M,0))=0,"",INDEX('#建筑消耗和buff配置索引'!AW:AW,MATCH($F263,'#建筑消耗和buff配置索引'!$M:$M,0)))</f>
        <v>3100</v>
      </c>
      <c r="AG263" s="133">
        <f>IF(AF263="","",INDEX('#建筑消耗和buff配置索引'!AX:AX,MATCH($F263,'#建筑消耗和buff配置索引'!$M:$M,0)))</f>
        <v>0.18</v>
      </c>
      <c r="AJ263" s="133" t="str">
        <f>IF(INDEX('#建筑消耗和buff配置索引'!BB:BB,MATCH($F263,'#建筑消耗和buff配置索引'!$M:$M,0))=0,"",INDEX('#建筑消耗和buff配置索引'!BB:BB,MATCH($F263,'#建筑消耗和buff配置索引'!$M:$M,0)))</f>
        <v/>
      </c>
      <c r="AK263" s="133" t="str">
        <f>IF(AJ263="","",INDEX('#建筑消耗和buff配置索引'!BC:BC,MATCH($F263,'#建筑消耗和buff配置索引'!$M:$M,0)))</f>
        <v/>
      </c>
      <c r="AN263" s="133" t="str">
        <f>IF(INDEX('#建筑消耗和buff配置索引'!BG:BG,MATCH($F263,'#建筑消耗和buff配置索引'!$M:$M,0))=0,"",INDEX('#建筑消耗和buff配置索引'!BG:BG,MATCH($F263,'#建筑消耗和buff配置索引'!$M:$M,0)))</f>
        <v/>
      </c>
      <c r="AO263" s="133" t="str">
        <f>IF(AN263="","",INDEX('#建筑消耗和buff配置索引'!BH:BH,MATCH($F263,'#建筑消耗和buff配置索引'!$M:$M,0)))</f>
        <v/>
      </c>
      <c r="AR263" s="133" t="str">
        <f>IF(INDEX('#建筑消耗和buff配置索引'!BK:BK,MATCH($F263,'#建筑消耗和buff配置索引'!$M:$M,0))=0,"",INDEX('#建筑消耗和buff配置索引'!BK:BK,MATCH($F263,'#建筑消耗和buff配置索引'!$M:$M,0)))</f>
        <v/>
      </c>
      <c r="AS263" s="133" t="str">
        <f>IF(AR263="","",INDEX('#建筑消耗和buff配置索引'!BL:BL,MATCH($F263,'#建筑消耗和buff配置索引'!$M:$M,0)))</f>
        <v/>
      </c>
      <c r="AV263" s="133" t="str">
        <f>IF(INDEX('#建筑消耗和buff配置索引'!BO:BO,MATCH($F263,'#建筑消耗和buff配置索引'!$M:$M,0))=0,"",INDEX('#建筑消耗和buff配置索引'!BO:BO,MATCH($F263,'#建筑消耗和buff配置索引'!$M:$M,0)))</f>
        <v/>
      </c>
      <c r="AW263" s="133" t="str">
        <f>IF(AV263="","",INDEX('#建筑消耗和buff配置索引'!BP:BP,MATCH($F263,'#建筑消耗和buff配置索引'!$M:$M,0)))</f>
        <v/>
      </c>
      <c r="AZ263" s="133" t="str">
        <f>IF(INDEX('#建筑消耗和buff配置索引'!BS:BS,MATCH($F263,'#建筑消耗和buff配置索引'!$M:$M,0))=0,"",INDEX('#建筑消耗和buff配置索引'!BS:BS,MATCH($F263,'#建筑消耗和buff配置索引'!$M:$M,0)))</f>
        <v/>
      </c>
      <c r="BA263" s="133" t="str">
        <f>IF(AZ263="","",INDEX('#建筑消耗和buff配置索引'!BT:BT,MATCH($F263,'#建筑消耗和buff配置索引'!$M:$M,0)))</f>
        <v/>
      </c>
      <c r="BD263" s="133" t="str">
        <f>IF(INDEX('#建筑消耗和buff配置索引'!BW:BW,MATCH($F263,'#建筑消耗和buff配置索引'!$M:$M,0))=0,"",INDEX('#建筑消耗和buff配置索引'!BW:BW,MATCH($F263,'#建筑消耗和buff配置索引'!$M:$M,0)))</f>
        <v/>
      </c>
      <c r="BE263" s="133" t="str">
        <f>IF(BD263="","",INDEX('#建筑消耗和buff配置索引'!BX:BX,MATCH($F263,'#建筑消耗和buff配置索引'!$M:$M,0)))</f>
        <v/>
      </c>
      <c r="BI263" s="133">
        <v>3</v>
      </c>
    </row>
    <row r="264" spans="1:61" s="133" customFormat="1">
      <c r="A264" s="133">
        <v>2220019</v>
      </c>
      <c r="B264" s="133">
        <v>261</v>
      </c>
      <c r="C264" s="133">
        <v>222</v>
      </c>
      <c r="D264" s="133" t="s">
        <v>442</v>
      </c>
      <c r="E264" s="133">
        <v>19</v>
      </c>
      <c r="F264" s="133" t="str">
        <f t="shared" si="6"/>
        <v>治疗房舍19</v>
      </c>
      <c r="H264" s="146"/>
      <c r="I264" s="133">
        <v>2</v>
      </c>
      <c r="J264" s="150">
        <f>INDEX('#建筑消耗和buff配置索引'!AH:AH,MATCH($F264,'#建筑消耗和buff配置索引'!$M:$M,0))</f>
        <v>146880</v>
      </c>
      <c r="K264" s="150">
        <f>INDEX('#建筑消耗和buff配置索引'!AA:AA,MATCH($F264,'#建筑消耗和buff配置索引'!$M:$M,0))</f>
        <v>1800000</v>
      </c>
      <c r="L264" s="150">
        <f>INDEX('#建筑消耗和buff配置索引'!AB:AB,MATCH($F264,'#建筑消耗和buff配置索引'!$M:$M,0))</f>
        <v>1800000</v>
      </c>
      <c r="M264" s="150">
        <f>INDEX('#建筑消耗和buff配置索引'!AC:AC,MATCH($F264,'#建筑消耗和buff配置索引'!$M:$M,0))</f>
        <v>1800000</v>
      </c>
      <c r="N264" s="150">
        <f>INDEX('#建筑消耗和buff配置索引'!AD:AD,MATCH($F264,'#建筑消耗和buff配置索引'!$M:$M,0))</f>
        <v>3700000</v>
      </c>
      <c r="O264" s="150" t="str">
        <f>IF(INDEX('#建筑消耗和buff配置索引'!T:T,MATCH($F264,'#建筑消耗和buff配置索引'!$M:$M,0))=0,"",INDEX('#建筑消耗和buff配置索引'!T:T,MATCH($F264,'#建筑消耗和buff配置索引'!$M:$M,0)))</f>
        <v/>
      </c>
      <c r="P264" s="133" t="str">
        <f>IF(INDEX('#建筑消耗和buff配置索引'!U:U,MATCH($F264,'#建筑消耗和buff配置索引'!$M:$M,0))=0,"",INDEX('#建筑消耗和buff配置索引'!U:U,MATCH($F264,'#建筑消耗和buff配置索引'!$M:$M,0)))</f>
        <v/>
      </c>
      <c r="Q264" s="133" t="str">
        <f>IF(INDEX('#建筑消耗和buff配置索引'!K:K,MATCH($F264,'#建筑消耗和buff配置索引'!$M:$M,0))=0,"",INDEX('#建筑消耗和buff配置索引'!K:K,MATCH($F264,'#建筑消耗和buff配置索引'!$M:$M,0)))</f>
        <v>201</v>
      </c>
      <c r="R264" s="133" t="str">
        <f>IF(INDEX('#建筑消耗和buff配置索引'!L:L,MATCH($F264,'#建筑消耗和buff配置索引'!$M:$M,0))=0,"",INDEX('#建筑消耗和buff配置索引'!L:L,MATCH($F264,'#建筑消耗和buff配置索引'!$M:$M,0)))</f>
        <v>19</v>
      </c>
      <c r="S264" s="133">
        <f>IF(INDEX('#建筑消耗和buff配置索引'!C:C,MATCH(F264,'#建筑消耗和buff配置索引'!M:M,0))=0,1,INDEX('#建筑消耗和buff配置索引'!C:C,MATCH(F264,'#建筑消耗和buff配置索引'!M:M,0)))</f>
        <v>1</v>
      </c>
      <c r="T264" s="133">
        <v>0</v>
      </c>
      <c r="U264" s="133">
        <v>0</v>
      </c>
      <c r="V264" s="133" t="str">
        <f>IF(E264=1,IF(INDEX('#建筑消耗和buff配置索引'!BY:BY,MATCH(D264,'#建筑消耗和buff配置索引'!A:A,0))=0,"",INDEX('#建筑消耗和buff配置索引'!BY:BY,MATCH(D264,'#建筑消耗和buff配置索引'!A:A,0))),"")</f>
        <v/>
      </c>
      <c r="W264" s="133" t="str">
        <f>IF(E264=1,IF(INDEX('#建筑消耗和buff配置索引'!BZ:BZ,MATCH(D264,'#建筑消耗和buff配置索引'!A:A,0))=0,"",INDEX('#建筑消耗和buff配置索引'!BZ:BZ,MATCH(D264,'#建筑消耗和buff配置索引'!A:A,0))),"")</f>
        <v/>
      </c>
      <c r="AA264" s="133">
        <f>INDEX('#建筑消耗和buff配置索引'!AO:AO,MATCH($F264,'#建筑消耗和buff配置索引'!$M:$M,0))</f>
        <v>77667</v>
      </c>
      <c r="AB264" s="133">
        <f>IF(INDEX('#建筑消耗和buff配置索引'!AR:AR,MATCH($F264,'#建筑消耗和buff配置索引'!$M:$M,0))=0,"",INDEX('#建筑消耗和buff配置索引'!AR:AR,MATCH($F264,'#建筑消耗和buff配置索引'!$M:$M,0)))</f>
        <v>3102</v>
      </c>
      <c r="AC264" s="133">
        <f>IF(AB264="","",INDEX('#建筑消耗和buff配置索引'!AS:AS,MATCH($F264,'#建筑消耗和buff配置索引'!$M:$M,0)))</f>
        <v>120000</v>
      </c>
      <c r="AF264" s="133">
        <f>IF(INDEX('#建筑消耗和buff配置索引'!AW:AW,MATCH($F264,'#建筑消耗和buff配置索引'!$M:$M,0))=0,"",INDEX('#建筑消耗和buff配置索引'!AW:AW,MATCH($F264,'#建筑消耗和buff配置索引'!$M:$M,0)))</f>
        <v>3100</v>
      </c>
      <c r="AG264" s="133">
        <f>IF(AF264="","",INDEX('#建筑消耗和buff配置索引'!AX:AX,MATCH($F264,'#建筑消耗和buff配置索引'!$M:$M,0)))</f>
        <v>0.19</v>
      </c>
      <c r="AJ264" s="133" t="str">
        <f>IF(INDEX('#建筑消耗和buff配置索引'!BB:BB,MATCH($F264,'#建筑消耗和buff配置索引'!$M:$M,0))=0,"",INDEX('#建筑消耗和buff配置索引'!BB:BB,MATCH($F264,'#建筑消耗和buff配置索引'!$M:$M,0)))</f>
        <v/>
      </c>
      <c r="AK264" s="133" t="str">
        <f>IF(AJ264="","",INDEX('#建筑消耗和buff配置索引'!BC:BC,MATCH($F264,'#建筑消耗和buff配置索引'!$M:$M,0)))</f>
        <v/>
      </c>
      <c r="AN264" s="133" t="str">
        <f>IF(INDEX('#建筑消耗和buff配置索引'!BG:BG,MATCH($F264,'#建筑消耗和buff配置索引'!$M:$M,0))=0,"",INDEX('#建筑消耗和buff配置索引'!BG:BG,MATCH($F264,'#建筑消耗和buff配置索引'!$M:$M,0)))</f>
        <v/>
      </c>
      <c r="AO264" s="133" t="str">
        <f>IF(AN264="","",INDEX('#建筑消耗和buff配置索引'!BH:BH,MATCH($F264,'#建筑消耗和buff配置索引'!$M:$M,0)))</f>
        <v/>
      </c>
      <c r="AR264" s="133" t="str">
        <f>IF(INDEX('#建筑消耗和buff配置索引'!BK:BK,MATCH($F264,'#建筑消耗和buff配置索引'!$M:$M,0))=0,"",INDEX('#建筑消耗和buff配置索引'!BK:BK,MATCH($F264,'#建筑消耗和buff配置索引'!$M:$M,0)))</f>
        <v/>
      </c>
      <c r="AS264" s="133" t="str">
        <f>IF(AR264="","",INDEX('#建筑消耗和buff配置索引'!BL:BL,MATCH($F264,'#建筑消耗和buff配置索引'!$M:$M,0)))</f>
        <v/>
      </c>
      <c r="AV264" s="133" t="str">
        <f>IF(INDEX('#建筑消耗和buff配置索引'!BO:BO,MATCH($F264,'#建筑消耗和buff配置索引'!$M:$M,0))=0,"",INDEX('#建筑消耗和buff配置索引'!BO:BO,MATCH($F264,'#建筑消耗和buff配置索引'!$M:$M,0)))</f>
        <v/>
      </c>
      <c r="AW264" s="133" t="str">
        <f>IF(AV264="","",INDEX('#建筑消耗和buff配置索引'!BP:BP,MATCH($F264,'#建筑消耗和buff配置索引'!$M:$M,0)))</f>
        <v/>
      </c>
      <c r="AZ264" s="133" t="str">
        <f>IF(INDEX('#建筑消耗和buff配置索引'!BS:BS,MATCH($F264,'#建筑消耗和buff配置索引'!$M:$M,0))=0,"",INDEX('#建筑消耗和buff配置索引'!BS:BS,MATCH($F264,'#建筑消耗和buff配置索引'!$M:$M,0)))</f>
        <v/>
      </c>
      <c r="BA264" s="133" t="str">
        <f>IF(AZ264="","",INDEX('#建筑消耗和buff配置索引'!BT:BT,MATCH($F264,'#建筑消耗和buff配置索引'!$M:$M,0)))</f>
        <v/>
      </c>
      <c r="BD264" s="133" t="str">
        <f>IF(INDEX('#建筑消耗和buff配置索引'!BW:BW,MATCH($F264,'#建筑消耗和buff配置索引'!$M:$M,0))=0,"",INDEX('#建筑消耗和buff配置索引'!BW:BW,MATCH($F264,'#建筑消耗和buff配置索引'!$M:$M,0)))</f>
        <v/>
      </c>
      <c r="BE264" s="133" t="str">
        <f>IF(BD264="","",INDEX('#建筑消耗和buff配置索引'!BX:BX,MATCH($F264,'#建筑消耗和buff配置索引'!$M:$M,0)))</f>
        <v/>
      </c>
      <c r="BI264" s="133">
        <v>3</v>
      </c>
    </row>
    <row r="265" spans="1:61" s="133" customFormat="1">
      <c r="A265" s="133">
        <v>2220020</v>
      </c>
      <c r="B265" s="133">
        <v>262</v>
      </c>
      <c r="C265" s="133">
        <v>222</v>
      </c>
      <c r="D265" s="133" t="s">
        <v>442</v>
      </c>
      <c r="E265" s="133">
        <v>20</v>
      </c>
      <c r="F265" s="133" t="str">
        <f t="shared" si="6"/>
        <v>治疗房舍20</v>
      </c>
      <c r="H265" s="146"/>
      <c r="I265" s="133">
        <v>3</v>
      </c>
      <c r="J265" s="150">
        <f>INDEX('#建筑消耗和buff配置索引'!AH:AH,MATCH($F265,'#建筑消耗和buff配置索引'!$M:$M,0))</f>
        <v>207360</v>
      </c>
      <c r="K265" s="150">
        <f>INDEX('#建筑消耗和buff配置索引'!AA:AA,MATCH($F265,'#建筑消耗和buff配置索引'!$M:$M,0))</f>
        <v>2400000</v>
      </c>
      <c r="L265" s="150">
        <f>INDEX('#建筑消耗和buff配置索引'!AB:AB,MATCH($F265,'#建筑消耗和buff配置索引'!$M:$M,0))</f>
        <v>2400000</v>
      </c>
      <c r="M265" s="150">
        <f>INDEX('#建筑消耗和buff配置索引'!AC:AC,MATCH($F265,'#建筑消耗和buff配置索引'!$M:$M,0))</f>
        <v>2400000</v>
      </c>
      <c r="N265" s="150">
        <f>INDEX('#建筑消耗和buff配置索引'!AD:AD,MATCH($F265,'#建筑消耗和buff配置索引'!$M:$M,0))</f>
        <v>4700000</v>
      </c>
      <c r="O265" s="150" t="str">
        <f>IF(INDEX('#建筑消耗和buff配置索引'!T:T,MATCH($F265,'#建筑消耗和buff配置索引'!$M:$M,0))=0,"",INDEX('#建筑消耗和buff配置索引'!T:T,MATCH($F265,'#建筑消耗和buff配置索引'!$M:$M,0)))</f>
        <v/>
      </c>
      <c r="P265" s="133" t="str">
        <f>IF(INDEX('#建筑消耗和buff配置索引'!U:U,MATCH($F265,'#建筑消耗和buff配置索引'!$M:$M,0))=0,"",INDEX('#建筑消耗和buff配置索引'!U:U,MATCH($F265,'#建筑消耗和buff配置索引'!$M:$M,0)))</f>
        <v/>
      </c>
      <c r="Q265" s="133" t="str">
        <f>IF(INDEX('#建筑消耗和buff配置索引'!K:K,MATCH($F265,'#建筑消耗和buff配置索引'!$M:$M,0))=0,"",INDEX('#建筑消耗和buff配置索引'!K:K,MATCH($F265,'#建筑消耗和buff配置索引'!$M:$M,0)))</f>
        <v>201</v>
      </c>
      <c r="R265" s="133" t="str">
        <f>IF(INDEX('#建筑消耗和buff配置索引'!L:L,MATCH($F265,'#建筑消耗和buff配置索引'!$M:$M,0))=0,"",INDEX('#建筑消耗和buff配置索引'!L:L,MATCH($F265,'#建筑消耗和buff配置索引'!$M:$M,0)))</f>
        <v>20</v>
      </c>
      <c r="S265" s="133">
        <f>IF(INDEX('#建筑消耗和buff配置索引'!C:C,MATCH(F265,'#建筑消耗和buff配置索引'!M:M,0))=0,1,INDEX('#建筑消耗和buff配置索引'!C:C,MATCH(F265,'#建筑消耗和buff配置索引'!M:M,0)))</f>
        <v>1</v>
      </c>
      <c r="T265" s="133">
        <v>0</v>
      </c>
      <c r="U265" s="133">
        <v>0</v>
      </c>
      <c r="V265" s="133" t="str">
        <f>IF(E265=1,IF(INDEX('#建筑消耗和buff配置索引'!BY:BY,MATCH(D265,'#建筑消耗和buff配置索引'!A:A,0))=0,"",INDEX('#建筑消耗和buff配置索引'!BY:BY,MATCH(D265,'#建筑消耗和buff配置索引'!A:A,0))),"")</f>
        <v/>
      </c>
      <c r="W265" s="133" t="str">
        <f>IF(E265=1,IF(INDEX('#建筑消耗和buff配置索引'!BZ:BZ,MATCH(D265,'#建筑消耗和buff配置索引'!A:A,0))=0,"",INDEX('#建筑消耗和buff配置索引'!BZ:BZ,MATCH(D265,'#建筑消耗和buff配置索引'!A:A,0))),"")</f>
        <v/>
      </c>
      <c r="AA265" s="133">
        <f>INDEX('#建筑消耗和buff配置索引'!AO:AO,MATCH($F265,'#建筑消耗和buff配置索引'!$M:$M,0))</f>
        <v>101222</v>
      </c>
      <c r="AB265" s="133">
        <f>IF(INDEX('#建筑消耗和buff配置索引'!AR:AR,MATCH($F265,'#建筑消耗和buff配置索引'!$M:$M,0))=0,"",INDEX('#建筑消耗和buff配置索引'!AR:AR,MATCH($F265,'#建筑消耗和buff配置索引'!$M:$M,0)))</f>
        <v>3102</v>
      </c>
      <c r="AC265" s="133">
        <f>IF(AB265="","",INDEX('#建筑消耗和buff配置索引'!AS:AS,MATCH($F265,'#建筑消耗和buff配置索引'!$M:$M,0)))</f>
        <v>125000</v>
      </c>
      <c r="AF265" s="133">
        <f>IF(INDEX('#建筑消耗和buff配置索引'!AW:AW,MATCH($F265,'#建筑消耗和buff配置索引'!$M:$M,0))=0,"",INDEX('#建筑消耗和buff配置索引'!AW:AW,MATCH($F265,'#建筑消耗和buff配置索引'!$M:$M,0)))</f>
        <v>3100</v>
      </c>
      <c r="AG265" s="133">
        <f>IF(AF265="","",INDEX('#建筑消耗和buff配置索引'!AX:AX,MATCH($F265,'#建筑消耗和buff配置索引'!$M:$M,0)))</f>
        <v>0.2</v>
      </c>
      <c r="AJ265" s="133" t="str">
        <f>IF(INDEX('#建筑消耗和buff配置索引'!BB:BB,MATCH($F265,'#建筑消耗和buff配置索引'!$M:$M,0))=0,"",INDEX('#建筑消耗和buff配置索引'!BB:BB,MATCH($F265,'#建筑消耗和buff配置索引'!$M:$M,0)))</f>
        <v/>
      </c>
      <c r="AK265" s="133" t="str">
        <f>IF(AJ265="","",INDEX('#建筑消耗和buff配置索引'!BC:BC,MATCH($F265,'#建筑消耗和buff配置索引'!$M:$M,0)))</f>
        <v/>
      </c>
      <c r="AN265" s="133" t="str">
        <f>IF(INDEX('#建筑消耗和buff配置索引'!BG:BG,MATCH($F265,'#建筑消耗和buff配置索引'!$M:$M,0))=0,"",INDEX('#建筑消耗和buff配置索引'!BG:BG,MATCH($F265,'#建筑消耗和buff配置索引'!$M:$M,0)))</f>
        <v/>
      </c>
      <c r="AO265" s="133" t="str">
        <f>IF(AN265="","",INDEX('#建筑消耗和buff配置索引'!BH:BH,MATCH($F265,'#建筑消耗和buff配置索引'!$M:$M,0)))</f>
        <v/>
      </c>
      <c r="AR265" s="133" t="str">
        <f>IF(INDEX('#建筑消耗和buff配置索引'!BK:BK,MATCH($F265,'#建筑消耗和buff配置索引'!$M:$M,0))=0,"",INDEX('#建筑消耗和buff配置索引'!BK:BK,MATCH($F265,'#建筑消耗和buff配置索引'!$M:$M,0)))</f>
        <v/>
      </c>
      <c r="AS265" s="133" t="str">
        <f>IF(AR265="","",INDEX('#建筑消耗和buff配置索引'!BL:BL,MATCH($F265,'#建筑消耗和buff配置索引'!$M:$M,0)))</f>
        <v/>
      </c>
      <c r="AV265" s="133" t="str">
        <f>IF(INDEX('#建筑消耗和buff配置索引'!BO:BO,MATCH($F265,'#建筑消耗和buff配置索引'!$M:$M,0))=0,"",INDEX('#建筑消耗和buff配置索引'!BO:BO,MATCH($F265,'#建筑消耗和buff配置索引'!$M:$M,0)))</f>
        <v/>
      </c>
      <c r="AW265" s="133" t="str">
        <f>IF(AV265="","",INDEX('#建筑消耗和buff配置索引'!BP:BP,MATCH($F265,'#建筑消耗和buff配置索引'!$M:$M,0)))</f>
        <v/>
      </c>
      <c r="AZ265" s="133" t="str">
        <f>IF(INDEX('#建筑消耗和buff配置索引'!BS:BS,MATCH($F265,'#建筑消耗和buff配置索引'!$M:$M,0))=0,"",INDEX('#建筑消耗和buff配置索引'!BS:BS,MATCH($F265,'#建筑消耗和buff配置索引'!$M:$M,0)))</f>
        <v/>
      </c>
      <c r="BA265" s="133" t="str">
        <f>IF(AZ265="","",INDEX('#建筑消耗和buff配置索引'!BT:BT,MATCH($F265,'#建筑消耗和buff配置索引'!$M:$M,0)))</f>
        <v/>
      </c>
      <c r="BD265" s="133" t="str">
        <f>IF(INDEX('#建筑消耗和buff配置索引'!BW:BW,MATCH($F265,'#建筑消耗和buff配置索引'!$M:$M,0))=0,"",INDEX('#建筑消耗和buff配置索引'!BW:BW,MATCH($F265,'#建筑消耗和buff配置索引'!$M:$M,0)))</f>
        <v/>
      </c>
      <c r="BE265" s="133" t="str">
        <f>IF(BD265="","",INDEX('#建筑消耗和buff配置索引'!BX:BX,MATCH($F265,'#建筑消耗和buff配置索引'!$M:$M,0)))</f>
        <v/>
      </c>
      <c r="BI265" s="133">
        <v>3</v>
      </c>
    </row>
    <row r="266" spans="1:61" s="133" customFormat="1">
      <c r="A266" s="133">
        <v>2220021</v>
      </c>
      <c r="B266" s="133">
        <v>263</v>
      </c>
      <c r="C266" s="133">
        <v>222</v>
      </c>
      <c r="D266" s="133" t="s">
        <v>442</v>
      </c>
      <c r="E266" s="133">
        <v>21</v>
      </c>
      <c r="F266" s="133" t="str">
        <f t="shared" si="6"/>
        <v>治疗房舍21</v>
      </c>
      <c r="H266" s="146"/>
      <c r="I266" s="133">
        <v>3</v>
      </c>
      <c r="J266" s="150">
        <f>INDEX('#建筑消耗和buff配置索引'!AH:AH,MATCH($F266,'#建筑消耗和buff配置索引'!$M:$M,0))</f>
        <v>276480</v>
      </c>
      <c r="K266" s="150">
        <f>INDEX('#建筑消耗和buff配置索引'!AA:AA,MATCH($F266,'#建筑消耗和buff配置索引'!$M:$M,0))</f>
        <v>3000000</v>
      </c>
      <c r="L266" s="150">
        <f>INDEX('#建筑消耗和buff配置索引'!AB:AB,MATCH($F266,'#建筑消耗和buff配置索引'!$M:$M,0))</f>
        <v>3000000</v>
      </c>
      <c r="M266" s="150">
        <f>INDEX('#建筑消耗和buff配置索引'!AC:AC,MATCH($F266,'#建筑消耗和buff配置索引'!$M:$M,0))</f>
        <v>3000000</v>
      </c>
      <c r="N266" s="150">
        <f>INDEX('#建筑消耗和buff配置索引'!AD:AD,MATCH($F266,'#建筑消耗和buff配置索引'!$M:$M,0))</f>
        <v>6000000</v>
      </c>
      <c r="O266" s="150" t="str">
        <f>IF(INDEX('#建筑消耗和buff配置索引'!T:T,MATCH($F266,'#建筑消耗和buff配置索引'!$M:$M,0))=0,"",INDEX('#建筑消耗和buff配置索引'!T:T,MATCH($F266,'#建筑消耗和buff配置索引'!$M:$M,0)))</f>
        <v/>
      </c>
      <c r="P266" s="133" t="str">
        <f>IF(INDEX('#建筑消耗和buff配置索引'!U:U,MATCH($F266,'#建筑消耗和buff配置索引'!$M:$M,0))=0,"",INDEX('#建筑消耗和buff配置索引'!U:U,MATCH($F266,'#建筑消耗和buff配置索引'!$M:$M,0)))</f>
        <v/>
      </c>
      <c r="Q266" s="133" t="str">
        <f>IF(INDEX('#建筑消耗和buff配置索引'!K:K,MATCH($F266,'#建筑消耗和buff配置索引'!$M:$M,0))=0,"",INDEX('#建筑消耗和buff配置索引'!K:K,MATCH($F266,'#建筑消耗和buff配置索引'!$M:$M,0)))</f>
        <v>201</v>
      </c>
      <c r="R266" s="133" t="str">
        <f>IF(INDEX('#建筑消耗和buff配置索引'!L:L,MATCH($F266,'#建筑消耗和buff配置索引'!$M:$M,0))=0,"",INDEX('#建筑消耗和buff配置索引'!L:L,MATCH($F266,'#建筑消耗和buff配置索引'!$M:$M,0)))</f>
        <v>21</v>
      </c>
      <c r="S266" s="133">
        <f>IF(INDEX('#建筑消耗和buff配置索引'!C:C,MATCH(F266,'#建筑消耗和buff配置索引'!M:M,0))=0,1,INDEX('#建筑消耗和buff配置索引'!C:C,MATCH(F266,'#建筑消耗和buff配置索引'!M:M,0)))</f>
        <v>1</v>
      </c>
      <c r="T266" s="133">
        <v>0</v>
      </c>
      <c r="U266" s="133">
        <v>0</v>
      </c>
      <c r="V266" s="133" t="str">
        <f>IF(E266=1,IF(INDEX('#建筑消耗和buff配置索引'!BY:BY,MATCH(D266,'#建筑消耗和buff配置索引'!A:A,0))=0,"",INDEX('#建筑消耗和buff配置索引'!BY:BY,MATCH(D266,'#建筑消耗和buff配置索引'!A:A,0))),"")</f>
        <v/>
      </c>
      <c r="W266" s="133" t="str">
        <f>IF(E266=1,IF(INDEX('#建筑消耗和buff配置索引'!BZ:BZ,MATCH(D266,'#建筑消耗和buff配置索引'!A:A,0))=0,"",INDEX('#建筑消耗和buff配置索引'!BZ:BZ,MATCH(D266,'#建筑消耗和buff配置索引'!A:A,0))),"")</f>
        <v/>
      </c>
      <c r="AA266" s="133">
        <f>INDEX('#建筑消耗和buff配置索引'!AO:AO,MATCH($F266,'#建筑消耗和buff配置索引'!$M:$M,0))</f>
        <v>131374</v>
      </c>
      <c r="AB266" s="133">
        <f>IF(INDEX('#建筑消耗和buff配置索引'!AR:AR,MATCH($F266,'#建筑消耗和buff配置索引'!$M:$M,0))=0,"",INDEX('#建筑消耗和buff配置索引'!AR:AR,MATCH($F266,'#建筑消耗和buff配置索引'!$M:$M,0)))</f>
        <v>3102</v>
      </c>
      <c r="AC266" s="133">
        <f>IF(AB266="","",INDEX('#建筑消耗和buff配置索引'!AS:AS,MATCH($F266,'#建筑消耗和buff配置索引'!$M:$M,0)))</f>
        <v>130000</v>
      </c>
      <c r="AF266" s="133">
        <f>IF(INDEX('#建筑消耗和buff配置索引'!AW:AW,MATCH($F266,'#建筑消耗和buff配置索引'!$M:$M,0))=0,"",INDEX('#建筑消耗和buff配置索引'!AW:AW,MATCH($F266,'#建筑消耗和buff配置索引'!$M:$M,0)))</f>
        <v>3100</v>
      </c>
      <c r="AG266" s="133">
        <f>IF(AF266="","",INDEX('#建筑消耗和buff配置索引'!AX:AX,MATCH($F266,'#建筑消耗和buff配置索引'!$M:$M,0)))</f>
        <v>0.21</v>
      </c>
      <c r="AJ266" s="133" t="str">
        <f>IF(INDEX('#建筑消耗和buff配置索引'!BB:BB,MATCH($F266,'#建筑消耗和buff配置索引'!$M:$M,0))=0,"",INDEX('#建筑消耗和buff配置索引'!BB:BB,MATCH($F266,'#建筑消耗和buff配置索引'!$M:$M,0)))</f>
        <v/>
      </c>
      <c r="AK266" s="133" t="str">
        <f>IF(AJ266="","",INDEX('#建筑消耗和buff配置索引'!BC:BC,MATCH($F266,'#建筑消耗和buff配置索引'!$M:$M,0)))</f>
        <v/>
      </c>
      <c r="AN266" s="133" t="str">
        <f>IF(INDEX('#建筑消耗和buff配置索引'!BG:BG,MATCH($F266,'#建筑消耗和buff配置索引'!$M:$M,0))=0,"",INDEX('#建筑消耗和buff配置索引'!BG:BG,MATCH($F266,'#建筑消耗和buff配置索引'!$M:$M,0)))</f>
        <v/>
      </c>
      <c r="AO266" s="133" t="str">
        <f>IF(AN266="","",INDEX('#建筑消耗和buff配置索引'!BH:BH,MATCH($F266,'#建筑消耗和buff配置索引'!$M:$M,0)))</f>
        <v/>
      </c>
      <c r="AR266" s="133" t="str">
        <f>IF(INDEX('#建筑消耗和buff配置索引'!BK:BK,MATCH($F266,'#建筑消耗和buff配置索引'!$M:$M,0))=0,"",INDEX('#建筑消耗和buff配置索引'!BK:BK,MATCH($F266,'#建筑消耗和buff配置索引'!$M:$M,0)))</f>
        <v/>
      </c>
      <c r="AS266" s="133" t="str">
        <f>IF(AR266="","",INDEX('#建筑消耗和buff配置索引'!BL:BL,MATCH($F266,'#建筑消耗和buff配置索引'!$M:$M,0)))</f>
        <v/>
      </c>
      <c r="AV266" s="133" t="str">
        <f>IF(INDEX('#建筑消耗和buff配置索引'!BO:BO,MATCH($F266,'#建筑消耗和buff配置索引'!$M:$M,0))=0,"",INDEX('#建筑消耗和buff配置索引'!BO:BO,MATCH($F266,'#建筑消耗和buff配置索引'!$M:$M,0)))</f>
        <v/>
      </c>
      <c r="AW266" s="133" t="str">
        <f>IF(AV266="","",INDEX('#建筑消耗和buff配置索引'!BP:BP,MATCH($F266,'#建筑消耗和buff配置索引'!$M:$M,0)))</f>
        <v/>
      </c>
      <c r="AZ266" s="133" t="str">
        <f>IF(INDEX('#建筑消耗和buff配置索引'!BS:BS,MATCH($F266,'#建筑消耗和buff配置索引'!$M:$M,0))=0,"",INDEX('#建筑消耗和buff配置索引'!BS:BS,MATCH($F266,'#建筑消耗和buff配置索引'!$M:$M,0)))</f>
        <v/>
      </c>
      <c r="BA266" s="133" t="str">
        <f>IF(AZ266="","",INDEX('#建筑消耗和buff配置索引'!BT:BT,MATCH($F266,'#建筑消耗和buff配置索引'!$M:$M,0)))</f>
        <v/>
      </c>
      <c r="BD266" s="133" t="str">
        <f>IF(INDEX('#建筑消耗和buff配置索引'!BW:BW,MATCH($F266,'#建筑消耗和buff配置索引'!$M:$M,0))=0,"",INDEX('#建筑消耗和buff配置索引'!BW:BW,MATCH($F266,'#建筑消耗和buff配置索引'!$M:$M,0)))</f>
        <v/>
      </c>
      <c r="BE266" s="133" t="str">
        <f>IF(BD266="","",INDEX('#建筑消耗和buff配置索引'!BX:BX,MATCH($F266,'#建筑消耗和buff配置索引'!$M:$M,0)))</f>
        <v/>
      </c>
      <c r="BI266" s="133">
        <v>3</v>
      </c>
    </row>
    <row r="267" spans="1:61" s="133" customFormat="1">
      <c r="A267" s="133">
        <v>2220022</v>
      </c>
      <c r="B267" s="133">
        <v>264</v>
      </c>
      <c r="C267" s="133">
        <v>222</v>
      </c>
      <c r="D267" s="133" t="s">
        <v>442</v>
      </c>
      <c r="E267" s="133">
        <v>22</v>
      </c>
      <c r="F267" s="133" t="str">
        <f t="shared" si="6"/>
        <v>治疗房舍22</v>
      </c>
      <c r="H267" s="146"/>
      <c r="I267" s="133">
        <v>3</v>
      </c>
      <c r="J267" s="150">
        <f>INDEX('#建筑消耗和buff配置索引'!AH:AH,MATCH($F267,'#建筑消耗和buff配置索引'!$M:$M,0))</f>
        <v>362880</v>
      </c>
      <c r="K267" s="150">
        <f>INDEX('#建筑消耗和buff配置索引'!AA:AA,MATCH($F267,'#建筑消耗和buff配置索引'!$M:$M,0))</f>
        <v>3900000</v>
      </c>
      <c r="L267" s="150">
        <f>INDEX('#建筑消耗和buff配置索引'!AB:AB,MATCH($F267,'#建筑消耗和buff配置索引'!$M:$M,0))</f>
        <v>3900000</v>
      </c>
      <c r="M267" s="150">
        <f>INDEX('#建筑消耗和buff配置索引'!AC:AC,MATCH($F267,'#建筑消耗和buff配置索引'!$M:$M,0))</f>
        <v>3900000</v>
      </c>
      <c r="N267" s="150">
        <f>INDEX('#建筑消耗和buff配置索引'!AD:AD,MATCH($F267,'#建筑消耗和buff配置索引'!$M:$M,0))</f>
        <v>7700000</v>
      </c>
      <c r="O267" s="150" t="str">
        <f>IF(INDEX('#建筑消耗和buff配置索引'!T:T,MATCH($F267,'#建筑消耗和buff配置索引'!$M:$M,0))=0,"",INDEX('#建筑消耗和buff配置索引'!T:T,MATCH($F267,'#建筑消耗和buff配置索引'!$M:$M,0)))</f>
        <v/>
      </c>
      <c r="P267" s="133" t="str">
        <f>IF(INDEX('#建筑消耗和buff配置索引'!U:U,MATCH($F267,'#建筑消耗和buff配置索引'!$M:$M,0))=0,"",INDEX('#建筑消耗和buff配置索引'!U:U,MATCH($F267,'#建筑消耗和buff配置索引'!$M:$M,0)))</f>
        <v/>
      </c>
      <c r="Q267" s="133" t="str">
        <f>IF(INDEX('#建筑消耗和buff配置索引'!K:K,MATCH($F267,'#建筑消耗和buff配置索引'!$M:$M,0))=0,"",INDEX('#建筑消耗和buff配置索引'!K:K,MATCH($F267,'#建筑消耗和buff配置索引'!$M:$M,0)))</f>
        <v>201</v>
      </c>
      <c r="R267" s="133" t="str">
        <f>IF(INDEX('#建筑消耗和buff配置索引'!L:L,MATCH($F267,'#建筑消耗和buff配置索引'!$M:$M,0))=0,"",INDEX('#建筑消耗和buff配置索引'!L:L,MATCH($F267,'#建筑消耗和buff配置索引'!$M:$M,0)))</f>
        <v>22</v>
      </c>
      <c r="S267" s="133">
        <f>IF(INDEX('#建筑消耗和buff配置索引'!C:C,MATCH(F267,'#建筑消耗和buff配置索引'!M:M,0))=0,1,INDEX('#建筑消耗和buff配置索引'!C:C,MATCH(F267,'#建筑消耗和buff配置索引'!M:M,0)))</f>
        <v>1</v>
      </c>
      <c r="T267" s="133">
        <v>0</v>
      </c>
      <c r="U267" s="133">
        <v>0</v>
      </c>
      <c r="V267" s="133" t="str">
        <f>IF(E267=1,IF(INDEX('#建筑消耗和buff配置索引'!BY:BY,MATCH(D267,'#建筑消耗和buff配置索引'!A:A,0))=0,"",INDEX('#建筑消耗和buff配置索引'!BY:BY,MATCH(D267,'#建筑消耗和buff配置索引'!A:A,0))),"")</f>
        <v/>
      </c>
      <c r="W267" s="133" t="str">
        <f>IF(E267=1,IF(INDEX('#建筑消耗和buff配置索引'!BZ:BZ,MATCH(D267,'#建筑消耗和buff配置索引'!A:A,0))=0,"",INDEX('#建筑消耗和buff配置索引'!BZ:BZ,MATCH(D267,'#建筑消耗和buff配置索引'!A:A,0))),"")</f>
        <v/>
      </c>
      <c r="AA267" s="133">
        <f>INDEX('#建筑消耗和buff配置索引'!AO:AO,MATCH($F267,'#建筑消耗和buff配置索引'!$M:$M,0))</f>
        <v>169968</v>
      </c>
      <c r="AB267" s="133">
        <f>IF(INDEX('#建筑消耗和buff配置索引'!AR:AR,MATCH($F267,'#建筑消耗和buff配置索引'!$M:$M,0))=0,"",INDEX('#建筑消耗和buff配置索引'!AR:AR,MATCH($F267,'#建筑消耗和buff配置索引'!$M:$M,0)))</f>
        <v>3102</v>
      </c>
      <c r="AC267" s="133">
        <f>IF(AB267="","",INDEX('#建筑消耗和buff配置索引'!AS:AS,MATCH($F267,'#建筑消耗和buff配置索引'!$M:$M,0)))</f>
        <v>135000</v>
      </c>
      <c r="AF267" s="133">
        <f>IF(INDEX('#建筑消耗和buff配置索引'!AW:AW,MATCH($F267,'#建筑消耗和buff配置索引'!$M:$M,0))=0,"",INDEX('#建筑消耗和buff配置索引'!AW:AW,MATCH($F267,'#建筑消耗和buff配置索引'!$M:$M,0)))</f>
        <v>3100</v>
      </c>
      <c r="AG267" s="133">
        <f>IF(AF267="","",INDEX('#建筑消耗和buff配置索引'!AX:AX,MATCH($F267,'#建筑消耗和buff配置索引'!$M:$M,0)))</f>
        <v>0.22</v>
      </c>
      <c r="AJ267" s="133" t="str">
        <f>IF(INDEX('#建筑消耗和buff配置索引'!BB:BB,MATCH($F267,'#建筑消耗和buff配置索引'!$M:$M,0))=0,"",INDEX('#建筑消耗和buff配置索引'!BB:BB,MATCH($F267,'#建筑消耗和buff配置索引'!$M:$M,0)))</f>
        <v/>
      </c>
      <c r="AK267" s="133" t="str">
        <f>IF(AJ267="","",INDEX('#建筑消耗和buff配置索引'!BC:BC,MATCH($F267,'#建筑消耗和buff配置索引'!$M:$M,0)))</f>
        <v/>
      </c>
      <c r="AN267" s="133" t="str">
        <f>IF(INDEX('#建筑消耗和buff配置索引'!BG:BG,MATCH($F267,'#建筑消耗和buff配置索引'!$M:$M,0))=0,"",INDEX('#建筑消耗和buff配置索引'!BG:BG,MATCH($F267,'#建筑消耗和buff配置索引'!$M:$M,0)))</f>
        <v/>
      </c>
      <c r="AO267" s="133" t="str">
        <f>IF(AN267="","",INDEX('#建筑消耗和buff配置索引'!BH:BH,MATCH($F267,'#建筑消耗和buff配置索引'!$M:$M,0)))</f>
        <v/>
      </c>
      <c r="AR267" s="133" t="str">
        <f>IF(INDEX('#建筑消耗和buff配置索引'!BK:BK,MATCH($F267,'#建筑消耗和buff配置索引'!$M:$M,0))=0,"",INDEX('#建筑消耗和buff配置索引'!BK:BK,MATCH($F267,'#建筑消耗和buff配置索引'!$M:$M,0)))</f>
        <v/>
      </c>
      <c r="AS267" s="133" t="str">
        <f>IF(AR267="","",INDEX('#建筑消耗和buff配置索引'!BL:BL,MATCH($F267,'#建筑消耗和buff配置索引'!$M:$M,0)))</f>
        <v/>
      </c>
      <c r="AV267" s="133" t="str">
        <f>IF(INDEX('#建筑消耗和buff配置索引'!BO:BO,MATCH($F267,'#建筑消耗和buff配置索引'!$M:$M,0))=0,"",INDEX('#建筑消耗和buff配置索引'!BO:BO,MATCH($F267,'#建筑消耗和buff配置索引'!$M:$M,0)))</f>
        <v/>
      </c>
      <c r="AW267" s="133" t="str">
        <f>IF(AV267="","",INDEX('#建筑消耗和buff配置索引'!BP:BP,MATCH($F267,'#建筑消耗和buff配置索引'!$M:$M,0)))</f>
        <v/>
      </c>
      <c r="AZ267" s="133" t="str">
        <f>IF(INDEX('#建筑消耗和buff配置索引'!BS:BS,MATCH($F267,'#建筑消耗和buff配置索引'!$M:$M,0))=0,"",INDEX('#建筑消耗和buff配置索引'!BS:BS,MATCH($F267,'#建筑消耗和buff配置索引'!$M:$M,0)))</f>
        <v/>
      </c>
      <c r="BA267" s="133" t="str">
        <f>IF(AZ267="","",INDEX('#建筑消耗和buff配置索引'!BT:BT,MATCH($F267,'#建筑消耗和buff配置索引'!$M:$M,0)))</f>
        <v/>
      </c>
      <c r="BD267" s="133" t="str">
        <f>IF(INDEX('#建筑消耗和buff配置索引'!BW:BW,MATCH($F267,'#建筑消耗和buff配置索引'!$M:$M,0))=0,"",INDEX('#建筑消耗和buff配置索引'!BW:BW,MATCH($F267,'#建筑消耗和buff配置索引'!$M:$M,0)))</f>
        <v/>
      </c>
      <c r="BE267" s="133" t="str">
        <f>IF(BD267="","",INDEX('#建筑消耗和buff配置索引'!BX:BX,MATCH($F267,'#建筑消耗和buff配置索引'!$M:$M,0)))</f>
        <v/>
      </c>
      <c r="BI267" s="133">
        <v>3</v>
      </c>
    </row>
    <row r="268" spans="1:61" s="133" customFormat="1">
      <c r="A268" s="133">
        <v>2220023</v>
      </c>
      <c r="B268" s="133">
        <v>265</v>
      </c>
      <c r="C268" s="133">
        <v>222</v>
      </c>
      <c r="D268" s="133" t="s">
        <v>442</v>
      </c>
      <c r="E268" s="133">
        <v>23</v>
      </c>
      <c r="F268" s="133" t="str">
        <f t="shared" si="6"/>
        <v>治疗房舍23</v>
      </c>
      <c r="H268" s="146"/>
      <c r="I268" s="133">
        <v>3</v>
      </c>
      <c r="J268" s="150">
        <f>INDEX('#建筑消耗和buff配置索引'!AH:AH,MATCH($F268,'#建筑消耗和buff配置索引'!$M:$M,0))</f>
        <v>466560</v>
      </c>
      <c r="K268" s="150">
        <f>INDEX('#建筑消耗和buff配置索引'!AA:AA,MATCH($F268,'#建筑消耗和buff配置索引'!$M:$M,0))</f>
        <v>4900000</v>
      </c>
      <c r="L268" s="150">
        <f>INDEX('#建筑消耗和buff配置索引'!AB:AB,MATCH($F268,'#建筑消耗和buff配置索引'!$M:$M,0))</f>
        <v>4900000</v>
      </c>
      <c r="M268" s="150">
        <f>INDEX('#建筑消耗和buff配置索引'!AC:AC,MATCH($F268,'#建筑消耗和buff配置索引'!$M:$M,0))</f>
        <v>4900000</v>
      </c>
      <c r="N268" s="150">
        <f>INDEX('#建筑消耗和buff配置索引'!AD:AD,MATCH($F268,'#建筑消耗和buff配置索引'!$M:$M,0))</f>
        <v>9900000</v>
      </c>
      <c r="O268" s="150" t="str">
        <f>IF(INDEX('#建筑消耗和buff配置索引'!T:T,MATCH($F268,'#建筑消耗和buff配置索引'!$M:$M,0))=0,"",INDEX('#建筑消耗和buff配置索引'!T:T,MATCH($F268,'#建筑消耗和buff配置索引'!$M:$M,0)))</f>
        <v/>
      </c>
      <c r="P268" s="133" t="str">
        <f>IF(INDEX('#建筑消耗和buff配置索引'!U:U,MATCH($F268,'#建筑消耗和buff配置索引'!$M:$M,0))=0,"",INDEX('#建筑消耗和buff配置索引'!U:U,MATCH($F268,'#建筑消耗和buff配置索引'!$M:$M,0)))</f>
        <v/>
      </c>
      <c r="Q268" s="133" t="str">
        <f>IF(INDEX('#建筑消耗和buff配置索引'!K:K,MATCH($F268,'#建筑消耗和buff配置索引'!$M:$M,0))=0,"",INDEX('#建筑消耗和buff配置索引'!K:K,MATCH($F268,'#建筑消耗和buff配置索引'!$M:$M,0)))</f>
        <v>201</v>
      </c>
      <c r="R268" s="133" t="str">
        <f>IF(INDEX('#建筑消耗和buff配置索引'!L:L,MATCH($F268,'#建筑消耗和buff配置索引'!$M:$M,0))=0,"",INDEX('#建筑消耗和buff配置索引'!L:L,MATCH($F268,'#建筑消耗和buff配置索引'!$M:$M,0)))</f>
        <v>23</v>
      </c>
      <c r="S268" s="133">
        <f>IF(INDEX('#建筑消耗和buff配置索引'!C:C,MATCH(F268,'#建筑消耗和buff配置索引'!M:M,0))=0,1,INDEX('#建筑消耗和buff配置索引'!C:C,MATCH(F268,'#建筑消耗和buff配置索引'!M:M,0)))</f>
        <v>1</v>
      </c>
      <c r="T268" s="133">
        <v>0</v>
      </c>
      <c r="U268" s="133">
        <v>0</v>
      </c>
      <c r="V268" s="133" t="str">
        <f>IF(E268=1,IF(INDEX('#建筑消耗和buff配置索引'!BY:BY,MATCH(D268,'#建筑消耗和buff配置索引'!A:A,0))=0,"",INDEX('#建筑消耗和buff配置索引'!BY:BY,MATCH(D268,'#建筑消耗和buff配置索引'!A:A,0))),"")</f>
        <v/>
      </c>
      <c r="W268" s="133" t="str">
        <f>IF(E268=1,IF(INDEX('#建筑消耗和buff配置索引'!BZ:BZ,MATCH(D268,'#建筑消耗和buff配置索引'!A:A,0))=0,"",INDEX('#建筑消耗和buff配置索引'!BZ:BZ,MATCH(D268,'#建筑消耗和buff配置索引'!A:A,0))),"")</f>
        <v/>
      </c>
      <c r="AA268" s="133">
        <f>INDEX('#建筑消耗和buff配置索引'!AO:AO,MATCH($F268,'#建筑消耗和buff配置索引'!$M:$M,0))</f>
        <v>219368</v>
      </c>
      <c r="AB268" s="133">
        <f>IF(INDEX('#建筑消耗和buff配置索引'!AR:AR,MATCH($F268,'#建筑消耗和buff配置索引'!$M:$M,0))=0,"",INDEX('#建筑消耗和buff配置索引'!AR:AR,MATCH($F268,'#建筑消耗和buff配置索引'!$M:$M,0)))</f>
        <v>3102</v>
      </c>
      <c r="AC268" s="133">
        <f>IF(AB268="","",INDEX('#建筑消耗和buff配置索引'!AS:AS,MATCH($F268,'#建筑消耗和buff配置索引'!$M:$M,0)))</f>
        <v>140000</v>
      </c>
      <c r="AF268" s="133">
        <f>IF(INDEX('#建筑消耗和buff配置索引'!AW:AW,MATCH($F268,'#建筑消耗和buff配置索引'!$M:$M,0))=0,"",INDEX('#建筑消耗和buff配置索引'!AW:AW,MATCH($F268,'#建筑消耗和buff配置索引'!$M:$M,0)))</f>
        <v>3100</v>
      </c>
      <c r="AG268" s="133">
        <f>IF(AF268="","",INDEX('#建筑消耗和buff配置索引'!AX:AX,MATCH($F268,'#建筑消耗和buff配置索引'!$M:$M,0)))</f>
        <v>0.23</v>
      </c>
      <c r="AJ268" s="133" t="str">
        <f>IF(INDEX('#建筑消耗和buff配置索引'!BB:BB,MATCH($F268,'#建筑消耗和buff配置索引'!$M:$M,0))=0,"",INDEX('#建筑消耗和buff配置索引'!BB:BB,MATCH($F268,'#建筑消耗和buff配置索引'!$M:$M,0)))</f>
        <v/>
      </c>
      <c r="AK268" s="133" t="str">
        <f>IF(AJ268="","",INDEX('#建筑消耗和buff配置索引'!BC:BC,MATCH($F268,'#建筑消耗和buff配置索引'!$M:$M,0)))</f>
        <v/>
      </c>
      <c r="AN268" s="133" t="str">
        <f>IF(INDEX('#建筑消耗和buff配置索引'!BG:BG,MATCH($F268,'#建筑消耗和buff配置索引'!$M:$M,0))=0,"",INDEX('#建筑消耗和buff配置索引'!BG:BG,MATCH($F268,'#建筑消耗和buff配置索引'!$M:$M,0)))</f>
        <v/>
      </c>
      <c r="AO268" s="133" t="str">
        <f>IF(AN268="","",INDEX('#建筑消耗和buff配置索引'!BH:BH,MATCH($F268,'#建筑消耗和buff配置索引'!$M:$M,0)))</f>
        <v/>
      </c>
      <c r="AR268" s="133" t="str">
        <f>IF(INDEX('#建筑消耗和buff配置索引'!BK:BK,MATCH($F268,'#建筑消耗和buff配置索引'!$M:$M,0))=0,"",INDEX('#建筑消耗和buff配置索引'!BK:BK,MATCH($F268,'#建筑消耗和buff配置索引'!$M:$M,0)))</f>
        <v/>
      </c>
      <c r="AS268" s="133" t="str">
        <f>IF(AR268="","",INDEX('#建筑消耗和buff配置索引'!BL:BL,MATCH($F268,'#建筑消耗和buff配置索引'!$M:$M,0)))</f>
        <v/>
      </c>
      <c r="AV268" s="133" t="str">
        <f>IF(INDEX('#建筑消耗和buff配置索引'!BO:BO,MATCH($F268,'#建筑消耗和buff配置索引'!$M:$M,0))=0,"",INDEX('#建筑消耗和buff配置索引'!BO:BO,MATCH($F268,'#建筑消耗和buff配置索引'!$M:$M,0)))</f>
        <v/>
      </c>
      <c r="AW268" s="133" t="str">
        <f>IF(AV268="","",INDEX('#建筑消耗和buff配置索引'!BP:BP,MATCH($F268,'#建筑消耗和buff配置索引'!$M:$M,0)))</f>
        <v/>
      </c>
      <c r="AZ268" s="133" t="str">
        <f>IF(INDEX('#建筑消耗和buff配置索引'!BS:BS,MATCH($F268,'#建筑消耗和buff配置索引'!$M:$M,0))=0,"",INDEX('#建筑消耗和buff配置索引'!BS:BS,MATCH($F268,'#建筑消耗和buff配置索引'!$M:$M,0)))</f>
        <v/>
      </c>
      <c r="BA268" s="133" t="str">
        <f>IF(AZ268="","",INDEX('#建筑消耗和buff配置索引'!BT:BT,MATCH($F268,'#建筑消耗和buff配置索引'!$M:$M,0)))</f>
        <v/>
      </c>
      <c r="BD268" s="133" t="str">
        <f>IF(INDEX('#建筑消耗和buff配置索引'!BW:BW,MATCH($F268,'#建筑消耗和buff配置索引'!$M:$M,0))=0,"",INDEX('#建筑消耗和buff配置索引'!BW:BW,MATCH($F268,'#建筑消耗和buff配置索引'!$M:$M,0)))</f>
        <v/>
      </c>
      <c r="BE268" s="133" t="str">
        <f>IF(BD268="","",INDEX('#建筑消耗和buff配置索引'!BX:BX,MATCH($F268,'#建筑消耗和buff配置索引'!$M:$M,0)))</f>
        <v/>
      </c>
      <c r="BI268" s="133">
        <v>3</v>
      </c>
    </row>
    <row r="269" spans="1:61" s="133" customFormat="1">
      <c r="A269" s="133">
        <v>2220024</v>
      </c>
      <c r="B269" s="133">
        <v>266</v>
      </c>
      <c r="C269" s="133">
        <v>222</v>
      </c>
      <c r="D269" s="133" t="s">
        <v>442</v>
      </c>
      <c r="E269" s="133">
        <v>24</v>
      </c>
      <c r="F269" s="133" t="str">
        <f t="shared" si="6"/>
        <v>治疗房舍24</v>
      </c>
      <c r="H269" s="146"/>
      <c r="I269" s="133">
        <v>3</v>
      </c>
      <c r="J269" s="150">
        <f>INDEX('#建筑消耗和buff配置索引'!AH:AH,MATCH($F269,'#建筑消耗和buff配置索引'!$M:$M,0))</f>
        <v>596160</v>
      </c>
      <c r="K269" s="150">
        <f>INDEX('#建筑消耗和buff配置索引'!AA:AA,MATCH($F269,'#建筑消耗和buff配置索引'!$M:$M,0))</f>
        <v>6300000</v>
      </c>
      <c r="L269" s="150">
        <f>INDEX('#建筑消耗和buff配置索引'!AB:AB,MATCH($F269,'#建筑消耗和buff配置索引'!$M:$M,0))</f>
        <v>6300000</v>
      </c>
      <c r="M269" s="150">
        <f>INDEX('#建筑消耗和buff配置索引'!AC:AC,MATCH($F269,'#建筑消耗和buff配置索引'!$M:$M,0))</f>
        <v>6300000</v>
      </c>
      <c r="N269" s="150">
        <f>INDEX('#建筑消耗和buff配置索引'!AD:AD,MATCH($F269,'#建筑消耗和buff配置索引'!$M:$M,0))</f>
        <v>13000000</v>
      </c>
      <c r="O269" s="150" t="str">
        <f>IF(INDEX('#建筑消耗和buff配置索引'!T:T,MATCH($F269,'#建筑消耗和buff配置索引'!$M:$M,0))=0,"",INDEX('#建筑消耗和buff配置索引'!T:T,MATCH($F269,'#建筑消耗和buff配置索引'!$M:$M,0)))</f>
        <v/>
      </c>
      <c r="P269" s="133" t="str">
        <f>IF(INDEX('#建筑消耗和buff配置索引'!U:U,MATCH($F269,'#建筑消耗和buff配置索引'!$M:$M,0))=0,"",INDEX('#建筑消耗和buff配置索引'!U:U,MATCH($F269,'#建筑消耗和buff配置索引'!$M:$M,0)))</f>
        <v/>
      </c>
      <c r="Q269" s="133" t="str">
        <f>IF(INDEX('#建筑消耗和buff配置索引'!K:K,MATCH($F269,'#建筑消耗和buff配置索引'!$M:$M,0))=0,"",INDEX('#建筑消耗和buff配置索引'!K:K,MATCH($F269,'#建筑消耗和buff配置索引'!$M:$M,0)))</f>
        <v>201</v>
      </c>
      <c r="R269" s="133" t="str">
        <f>IF(INDEX('#建筑消耗和buff配置索引'!L:L,MATCH($F269,'#建筑消耗和buff配置索引'!$M:$M,0))=0,"",INDEX('#建筑消耗和buff配置索引'!L:L,MATCH($F269,'#建筑消耗和buff配置索引'!$M:$M,0)))</f>
        <v>24</v>
      </c>
      <c r="S269" s="133">
        <f>IF(INDEX('#建筑消耗和buff配置索引'!C:C,MATCH(F269,'#建筑消耗和buff配置索引'!M:M,0))=0,1,INDEX('#建筑消耗和buff配置索引'!C:C,MATCH(F269,'#建筑消耗和buff配置索引'!M:M,0)))</f>
        <v>1</v>
      </c>
      <c r="T269" s="133">
        <v>0</v>
      </c>
      <c r="U269" s="133">
        <v>0</v>
      </c>
      <c r="V269" s="133" t="str">
        <f>IF(E269=1,IF(INDEX('#建筑消耗和buff配置索引'!BY:BY,MATCH(D269,'#建筑消耗和buff配置索引'!A:A,0))=0,"",INDEX('#建筑消耗和buff配置索引'!BY:BY,MATCH(D269,'#建筑消耗和buff配置索引'!A:A,0))),"")</f>
        <v/>
      </c>
      <c r="W269" s="133" t="str">
        <f>IF(E269=1,IF(INDEX('#建筑消耗和buff配置索引'!BZ:BZ,MATCH(D269,'#建筑消耗和buff配置索引'!A:A,0))=0,"",INDEX('#建筑消耗和buff配置索引'!BZ:BZ,MATCH(D269,'#建筑消耗和buff配置索引'!A:A,0))),"")</f>
        <v/>
      </c>
      <c r="AA269" s="133">
        <f>INDEX('#建筑消耗和buff配置索引'!AO:AO,MATCH($F269,'#建筑消耗和buff配置索引'!$M:$M,0))</f>
        <v>282600</v>
      </c>
      <c r="AB269" s="133">
        <f>IF(INDEX('#建筑消耗和buff配置索引'!AR:AR,MATCH($F269,'#建筑消耗和buff配置索引'!$M:$M,0))=0,"",INDEX('#建筑消耗和buff配置索引'!AR:AR,MATCH($F269,'#建筑消耗和buff配置索引'!$M:$M,0)))</f>
        <v>3102</v>
      </c>
      <c r="AC269" s="133">
        <f>IF(AB269="","",INDEX('#建筑消耗和buff配置索引'!AS:AS,MATCH($F269,'#建筑消耗和buff配置索引'!$M:$M,0)))</f>
        <v>145000</v>
      </c>
      <c r="AF269" s="133">
        <f>IF(INDEX('#建筑消耗和buff配置索引'!AW:AW,MATCH($F269,'#建筑消耗和buff配置索引'!$M:$M,0))=0,"",INDEX('#建筑消耗和buff配置索引'!AW:AW,MATCH($F269,'#建筑消耗和buff配置索引'!$M:$M,0)))</f>
        <v>3100</v>
      </c>
      <c r="AG269" s="133">
        <f>IF(AF269="","",INDEX('#建筑消耗和buff配置索引'!AX:AX,MATCH($F269,'#建筑消耗和buff配置索引'!$M:$M,0)))</f>
        <v>0.24</v>
      </c>
      <c r="AJ269" s="133" t="str">
        <f>IF(INDEX('#建筑消耗和buff配置索引'!BB:BB,MATCH($F269,'#建筑消耗和buff配置索引'!$M:$M,0))=0,"",INDEX('#建筑消耗和buff配置索引'!BB:BB,MATCH($F269,'#建筑消耗和buff配置索引'!$M:$M,0)))</f>
        <v/>
      </c>
      <c r="AK269" s="133" t="str">
        <f>IF(AJ269="","",INDEX('#建筑消耗和buff配置索引'!BC:BC,MATCH($F269,'#建筑消耗和buff配置索引'!$M:$M,0)))</f>
        <v/>
      </c>
      <c r="AN269" s="133" t="str">
        <f>IF(INDEX('#建筑消耗和buff配置索引'!BG:BG,MATCH($F269,'#建筑消耗和buff配置索引'!$M:$M,0))=0,"",INDEX('#建筑消耗和buff配置索引'!BG:BG,MATCH($F269,'#建筑消耗和buff配置索引'!$M:$M,0)))</f>
        <v/>
      </c>
      <c r="AO269" s="133" t="str">
        <f>IF(AN269="","",INDEX('#建筑消耗和buff配置索引'!BH:BH,MATCH($F269,'#建筑消耗和buff配置索引'!$M:$M,0)))</f>
        <v/>
      </c>
      <c r="AR269" s="133" t="str">
        <f>IF(INDEX('#建筑消耗和buff配置索引'!BK:BK,MATCH($F269,'#建筑消耗和buff配置索引'!$M:$M,0))=0,"",INDEX('#建筑消耗和buff配置索引'!BK:BK,MATCH($F269,'#建筑消耗和buff配置索引'!$M:$M,0)))</f>
        <v/>
      </c>
      <c r="AS269" s="133" t="str">
        <f>IF(AR269="","",INDEX('#建筑消耗和buff配置索引'!BL:BL,MATCH($F269,'#建筑消耗和buff配置索引'!$M:$M,0)))</f>
        <v/>
      </c>
      <c r="AV269" s="133" t="str">
        <f>IF(INDEX('#建筑消耗和buff配置索引'!BO:BO,MATCH($F269,'#建筑消耗和buff配置索引'!$M:$M,0))=0,"",INDEX('#建筑消耗和buff配置索引'!BO:BO,MATCH($F269,'#建筑消耗和buff配置索引'!$M:$M,0)))</f>
        <v/>
      </c>
      <c r="AW269" s="133" t="str">
        <f>IF(AV269="","",INDEX('#建筑消耗和buff配置索引'!BP:BP,MATCH($F269,'#建筑消耗和buff配置索引'!$M:$M,0)))</f>
        <v/>
      </c>
      <c r="AZ269" s="133" t="str">
        <f>IF(INDEX('#建筑消耗和buff配置索引'!BS:BS,MATCH($F269,'#建筑消耗和buff配置索引'!$M:$M,0))=0,"",INDEX('#建筑消耗和buff配置索引'!BS:BS,MATCH($F269,'#建筑消耗和buff配置索引'!$M:$M,0)))</f>
        <v/>
      </c>
      <c r="BA269" s="133" t="str">
        <f>IF(AZ269="","",INDEX('#建筑消耗和buff配置索引'!BT:BT,MATCH($F269,'#建筑消耗和buff配置索引'!$M:$M,0)))</f>
        <v/>
      </c>
      <c r="BD269" s="133" t="str">
        <f>IF(INDEX('#建筑消耗和buff配置索引'!BW:BW,MATCH($F269,'#建筑消耗和buff配置索引'!$M:$M,0))=0,"",INDEX('#建筑消耗和buff配置索引'!BW:BW,MATCH($F269,'#建筑消耗和buff配置索引'!$M:$M,0)))</f>
        <v/>
      </c>
      <c r="BE269" s="133" t="str">
        <f>IF(BD269="","",INDEX('#建筑消耗和buff配置索引'!BX:BX,MATCH($F269,'#建筑消耗和buff配置索引'!$M:$M,0)))</f>
        <v/>
      </c>
      <c r="BI269" s="133">
        <v>3</v>
      </c>
    </row>
    <row r="270" spans="1:61" s="133" customFormat="1">
      <c r="A270" s="133">
        <v>2220025</v>
      </c>
      <c r="B270" s="133">
        <v>267</v>
      </c>
      <c r="C270" s="133">
        <v>222</v>
      </c>
      <c r="D270" s="133" t="s">
        <v>442</v>
      </c>
      <c r="E270" s="133">
        <v>25</v>
      </c>
      <c r="F270" s="133" t="str">
        <f t="shared" si="6"/>
        <v>治疗房舍25</v>
      </c>
      <c r="H270" s="146"/>
      <c r="I270" s="133">
        <v>3</v>
      </c>
      <c r="J270" s="150">
        <f>INDEX('#建筑消耗和buff配置索引'!AH:AH,MATCH($F270,'#建筑消耗和buff配置索引'!$M:$M,0))</f>
        <v>751680</v>
      </c>
      <c r="K270" s="150">
        <f>INDEX('#建筑消耗和buff配置索引'!AA:AA,MATCH($F270,'#建筑消耗和buff配置索引'!$M:$M,0))</f>
        <v>8100000</v>
      </c>
      <c r="L270" s="150">
        <f>INDEX('#建筑消耗和buff配置索引'!AB:AB,MATCH($F270,'#建筑消耗和buff配置索引'!$M:$M,0))</f>
        <v>8100000</v>
      </c>
      <c r="M270" s="150">
        <f>INDEX('#建筑消耗和buff配置索引'!AC:AC,MATCH($F270,'#建筑消耗和buff配置索引'!$M:$M,0))</f>
        <v>8100000</v>
      </c>
      <c r="N270" s="150">
        <f>INDEX('#建筑消耗和buff配置索引'!AD:AD,MATCH($F270,'#建筑消耗和buff配置索引'!$M:$M,0))</f>
        <v>16000000</v>
      </c>
      <c r="O270" s="150" t="str">
        <f>IF(INDEX('#建筑消耗和buff配置索引'!T:T,MATCH($F270,'#建筑消耗和buff配置索引'!$M:$M,0))=0,"",INDEX('#建筑消耗和buff配置索引'!T:T,MATCH($F270,'#建筑消耗和buff配置索引'!$M:$M,0)))</f>
        <v/>
      </c>
      <c r="P270" s="133" t="str">
        <f>IF(INDEX('#建筑消耗和buff配置索引'!U:U,MATCH($F270,'#建筑消耗和buff配置索引'!$M:$M,0))=0,"",INDEX('#建筑消耗和buff配置索引'!U:U,MATCH($F270,'#建筑消耗和buff配置索引'!$M:$M,0)))</f>
        <v/>
      </c>
      <c r="Q270" s="133" t="str">
        <f>IF(INDEX('#建筑消耗和buff配置索引'!K:K,MATCH($F270,'#建筑消耗和buff配置索引'!$M:$M,0))=0,"",INDEX('#建筑消耗和buff配置索引'!K:K,MATCH($F270,'#建筑消耗和buff配置索引'!$M:$M,0)))</f>
        <v>201</v>
      </c>
      <c r="R270" s="133" t="str">
        <f>IF(INDEX('#建筑消耗和buff配置索引'!L:L,MATCH($F270,'#建筑消耗和buff配置索引'!$M:$M,0))=0,"",INDEX('#建筑消耗和buff配置索引'!L:L,MATCH($F270,'#建筑消耗和buff配置索引'!$M:$M,0)))</f>
        <v>25</v>
      </c>
      <c r="S270" s="133">
        <f>IF(INDEX('#建筑消耗和buff配置索引'!C:C,MATCH(F270,'#建筑消耗和buff配置索引'!M:M,0))=0,1,INDEX('#建筑消耗和buff配置索引'!C:C,MATCH(F270,'#建筑消耗和buff配置索引'!M:M,0)))</f>
        <v>1</v>
      </c>
      <c r="T270" s="133">
        <v>0</v>
      </c>
      <c r="U270" s="133">
        <v>0</v>
      </c>
      <c r="V270" s="133" t="str">
        <f>IF(E270=1,IF(INDEX('#建筑消耗和buff配置索引'!BY:BY,MATCH(D270,'#建筑消耗和buff配置索引'!A:A,0))=0,"",INDEX('#建筑消耗和buff配置索引'!BY:BY,MATCH(D270,'#建筑消耗和buff配置索引'!A:A,0))),"")</f>
        <v/>
      </c>
      <c r="W270" s="133" t="str">
        <f>IF(E270=1,IF(INDEX('#建筑消耗和buff配置索引'!BZ:BZ,MATCH(D270,'#建筑消耗和buff配置索引'!A:A,0))=0,"",INDEX('#建筑消耗和buff配置索引'!BZ:BZ,MATCH(D270,'#建筑消耗和buff配置索引'!A:A,0))),"")</f>
        <v/>
      </c>
      <c r="AA270" s="133">
        <f>INDEX('#建筑消耗和buff配置索引'!AO:AO,MATCH($F270,'#建筑消耗和buff配置索引'!$M:$M,0))</f>
        <v>363537</v>
      </c>
      <c r="AB270" s="133">
        <f>IF(INDEX('#建筑消耗和buff配置索引'!AR:AR,MATCH($F270,'#建筑消耗和buff配置索引'!$M:$M,0))=0,"",INDEX('#建筑消耗和buff配置索引'!AR:AR,MATCH($F270,'#建筑消耗和buff配置索引'!$M:$M,0)))</f>
        <v>3102</v>
      </c>
      <c r="AC270" s="133">
        <f>IF(AB270="","",INDEX('#建筑消耗和buff配置索引'!AS:AS,MATCH($F270,'#建筑消耗和buff配置索引'!$M:$M,0)))</f>
        <v>150000</v>
      </c>
      <c r="AF270" s="133">
        <f>IF(INDEX('#建筑消耗和buff配置索引'!AW:AW,MATCH($F270,'#建筑消耗和buff配置索引'!$M:$M,0))=0,"",INDEX('#建筑消耗和buff配置索引'!AW:AW,MATCH($F270,'#建筑消耗和buff配置索引'!$M:$M,0)))</f>
        <v>3100</v>
      </c>
      <c r="AG270" s="133">
        <f>IF(AF270="","",INDEX('#建筑消耗和buff配置索引'!AX:AX,MATCH($F270,'#建筑消耗和buff配置索引'!$M:$M,0)))</f>
        <v>0.25</v>
      </c>
      <c r="AJ270" s="133" t="str">
        <f>IF(INDEX('#建筑消耗和buff配置索引'!BB:BB,MATCH($F270,'#建筑消耗和buff配置索引'!$M:$M,0))=0,"",INDEX('#建筑消耗和buff配置索引'!BB:BB,MATCH($F270,'#建筑消耗和buff配置索引'!$M:$M,0)))</f>
        <v/>
      </c>
      <c r="AK270" s="133" t="str">
        <f>IF(AJ270="","",INDEX('#建筑消耗和buff配置索引'!BC:BC,MATCH($F270,'#建筑消耗和buff配置索引'!$M:$M,0)))</f>
        <v/>
      </c>
      <c r="AN270" s="133" t="str">
        <f>IF(INDEX('#建筑消耗和buff配置索引'!BG:BG,MATCH($F270,'#建筑消耗和buff配置索引'!$M:$M,0))=0,"",INDEX('#建筑消耗和buff配置索引'!BG:BG,MATCH($F270,'#建筑消耗和buff配置索引'!$M:$M,0)))</f>
        <v/>
      </c>
      <c r="AO270" s="133" t="str">
        <f>IF(AN270="","",INDEX('#建筑消耗和buff配置索引'!BH:BH,MATCH($F270,'#建筑消耗和buff配置索引'!$M:$M,0)))</f>
        <v/>
      </c>
      <c r="AR270" s="133" t="str">
        <f>IF(INDEX('#建筑消耗和buff配置索引'!BK:BK,MATCH($F270,'#建筑消耗和buff配置索引'!$M:$M,0))=0,"",INDEX('#建筑消耗和buff配置索引'!BK:BK,MATCH($F270,'#建筑消耗和buff配置索引'!$M:$M,0)))</f>
        <v/>
      </c>
      <c r="AS270" s="133" t="str">
        <f>IF(AR270="","",INDEX('#建筑消耗和buff配置索引'!BL:BL,MATCH($F270,'#建筑消耗和buff配置索引'!$M:$M,0)))</f>
        <v/>
      </c>
      <c r="AV270" s="133" t="str">
        <f>IF(INDEX('#建筑消耗和buff配置索引'!BO:BO,MATCH($F270,'#建筑消耗和buff配置索引'!$M:$M,0))=0,"",INDEX('#建筑消耗和buff配置索引'!BO:BO,MATCH($F270,'#建筑消耗和buff配置索引'!$M:$M,0)))</f>
        <v/>
      </c>
      <c r="AW270" s="133" t="str">
        <f>IF(AV270="","",INDEX('#建筑消耗和buff配置索引'!BP:BP,MATCH($F270,'#建筑消耗和buff配置索引'!$M:$M,0)))</f>
        <v/>
      </c>
      <c r="AZ270" s="133" t="str">
        <f>IF(INDEX('#建筑消耗和buff配置索引'!BS:BS,MATCH($F270,'#建筑消耗和buff配置索引'!$M:$M,0))=0,"",INDEX('#建筑消耗和buff配置索引'!BS:BS,MATCH($F270,'#建筑消耗和buff配置索引'!$M:$M,0)))</f>
        <v/>
      </c>
      <c r="BA270" s="133" t="str">
        <f>IF(AZ270="","",INDEX('#建筑消耗和buff配置索引'!BT:BT,MATCH($F270,'#建筑消耗和buff配置索引'!$M:$M,0)))</f>
        <v/>
      </c>
      <c r="BD270" s="133" t="str">
        <f>IF(INDEX('#建筑消耗和buff配置索引'!BW:BW,MATCH($F270,'#建筑消耗和buff配置索引'!$M:$M,0))=0,"",INDEX('#建筑消耗和buff配置索引'!BW:BW,MATCH($F270,'#建筑消耗和buff配置索引'!$M:$M,0)))</f>
        <v/>
      </c>
      <c r="BE270" s="133" t="str">
        <f>IF(BD270="","",INDEX('#建筑消耗和buff配置索引'!BX:BX,MATCH($F270,'#建筑消耗和buff配置索引'!$M:$M,0)))</f>
        <v/>
      </c>
      <c r="BI270" s="133">
        <v>3</v>
      </c>
    </row>
    <row r="271" spans="1:61" s="133" customFormat="1">
      <c r="A271" s="133">
        <v>2220026</v>
      </c>
      <c r="B271" s="133">
        <v>268</v>
      </c>
      <c r="C271" s="133">
        <v>222</v>
      </c>
      <c r="D271" s="133" t="s">
        <v>442</v>
      </c>
      <c r="E271" s="133">
        <v>26</v>
      </c>
      <c r="F271" s="133" t="str">
        <f t="shared" si="6"/>
        <v>治疗房舍26</v>
      </c>
      <c r="H271" s="146"/>
      <c r="I271" s="133">
        <v>3</v>
      </c>
      <c r="J271" s="150">
        <f>INDEX('#建筑消耗和buff配置索引'!AH:AH,MATCH($F271,'#建筑消耗和buff配置索引'!$M:$M,0))</f>
        <v>933120</v>
      </c>
      <c r="K271" s="150">
        <f>INDEX('#建筑消耗和buff配置索引'!AA:AA,MATCH($F271,'#建筑消耗和buff配置索引'!$M:$M,0))</f>
        <v>10000000</v>
      </c>
      <c r="L271" s="150">
        <f>INDEX('#建筑消耗和buff配置索引'!AB:AB,MATCH($F271,'#建筑消耗和buff配置索引'!$M:$M,0))</f>
        <v>10000000</v>
      </c>
      <c r="M271" s="150">
        <f>INDEX('#建筑消耗和buff配置索引'!AC:AC,MATCH($F271,'#建筑消耗和buff配置索引'!$M:$M,0))</f>
        <v>10000000</v>
      </c>
      <c r="N271" s="150">
        <f>INDEX('#建筑消耗和buff配置索引'!AD:AD,MATCH($F271,'#建筑消耗和buff配置索引'!$M:$M,0))</f>
        <v>21000000</v>
      </c>
      <c r="O271" s="150" t="str">
        <f>IF(INDEX('#建筑消耗和buff配置索引'!T:T,MATCH($F271,'#建筑消耗和buff配置索引'!$M:$M,0))=0,"",INDEX('#建筑消耗和buff配置索引'!T:T,MATCH($F271,'#建筑消耗和buff配置索引'!$M:$M,0)))</f>
        <v/>
      </c>
      <c r="P271" s="133" t="str">
        <f>IF(INDEX('#建筑消耗和buff配置索引'!U:U,MATCH($F271,'#建筑消耗和buff配置索引'!$M:$M,0))=0,"",INDEX('#建筑消耗和buff配置索引'!U:U,MATCH($F271,'#建筑消耗和buff配置索引'!$M:$M,0)))</f>
        <v/>
      </c>
      <c r="Q271" s="133" t="str">
        <f>IF(INDEX('#建筑消耗和buff配置索引'!K:K,MATCH($F271,'#建筑消耗和buff配置索引'!$M:$M,0))=0,"",INDEX('#建筑消耗和buff配置索引'!K:K,MATCH($F271,'#建筑消耗和buff配置索引'!$M:$M,0)))</f>
        <v>201</v>
      </c>
      <c r="R271" s="133" t="str">
        <f>IF(INDEX('#建筑消耗和buff配置索引'!L:L,MATCH($F271,'#建筑消耗和buff配置索引'!$M:$M,0))=0,"",INDEX('#建筑消耗和buff配置索引'!L:L,MATCH($F271,'#建筑消耗和buff配置索引'!$M:$M,0)))</f>
        <v>26</v>
      </c>
      <c r="S271" s="133">
        <f>IF(INDEX('#建筑消耗和buff配置索引'!C:C,MATCH(F271,'#建筑消耗和buff配置索引'!M:M,0))=0,1,INDEX('#建筑消耗和buff配置索引'!C:C,MATCH(F271,'#建筑消耗和buff配置索引'!M:M,0)))</f>
        <v>1</v>
      </c>
      <c r="T271" s="133">
        <v>0</v>
      </c>
      <c r="U271" s="133">
        <v>0</v>
      </c>
      <c r="V271" s="133" t="str">
        <f>IF(E271=1,IF(INDEX('#建筑消耗和buff配置索引'!BY:BY,MATCH(D271,'#建筑消耗和buff配置索引'!A:A,0))=0,"",INDEX('#建筑消耗和buff配置索引'!BY:BY,MATCH(D271,'#建筑消耗和buff配置索引'!A:A,0))),"")</f>
        <v/>
      </c>
      <c r="W271" s="133" t="str">
        <f>IF(E271=1,IF(INDEX('#建筑消耗和buff配置索引'!BZ:BZ,MATCH(D271,'#建筑消耗和buff配置索引'!A:A,0))=0,"",INDEX('#建筑消耗和buff配置索引'!BZ:BZ,MATCH(D271,'#建筑消耗和buff配置索引'!A:A,0))),"")</f>
        <v/>
      </c>
      <c r="AA271" s="133">
        <f>INDEX('#建筑消耗和buff配置索引'!AO:AO,MATCH($F271,'#建筑消耗和buff配置索引'!$M:$M,0))</f>
        <v>467136</v>
      </c>
      <c r="AB271" s="133">
        <f>IF(INDEX('#建筑消耗和buff配置索引'!AR:AR,MATCH($F271,'#建筑消耗和buff配置索引'!$M:$M,0))=0,"",INDEX('#建筑消耗和buff配置索引'!AR:AR,MATCH($F271,'#建筑消耗和buff配置索引'!$M:$M,0)))</f>
        <v>3102</v>
      </c>
      <c r="AC271" s="133">
        <f>IF(AB271="","",INDEX('#建筑消耗和buff配置索引'!AS:AS,MATCH($F271,'#建筑消耗和buff配置索引'!$M:$M,0)))</f>
        <v>160000</v>
      </c>
      <c r="AF271" s="133">
        <f>IF(INDEX('#建筑消耗和buff配置索引'!AW:AW,MATCH($F271,'#建筑消耗和buff配置索引'!$M:$M,0))=0,"",INDEX('#建筑消耗和buff配置索引'!AW:AW,MATCH($F271,'#建筑消耗和buff配置索引'!$M:$M,0)))</f>
        <v>3100</v>
      </c>
      <c r="AG271" s="133">
        <f>IF(AF271="","",INDEX('#建筑消耗和buff配置索引'!AX:AX,MATCH($F271,'#建筑消耗和buff配置索引'!$M:$M,0)))</f>
        <v>0.27</v>
      </c>
      <c r="AJ271" s="133" t="str">
        <f>IF(INDEX('#建筑消耗和buff配置索引'!BB:BB,MATCH($F271,'#建筑消耗和buff配置索引'!$M:$M,0))=0,"",INDEX('#建筑消耗和buff配置索引'!BB:BB,MATCH($F271,'#建筑消耗和buff配置索引'!$M:$M,0)))</f>
        <v/>
      </c>
      <c r="AK271" s="133" t="str">
        <f>IF(AJ271="","",INDEX('#建筑消耗和buff配置索引'!BC:BC,MATCH($F271,'#建筑消耗和buff配置索引'!$M:$M,0)))</f>
        <v/>
      </c>
      <c r="AN271" s="133" t="str">
        <f>IF(INDEX('#建筑消耗和buff配置索引'!BG:BG,MATCH($F271,'#建筑消耗和buff配置索引'!$M:$M,0))=0,"",INDEX('#建筑消耗和buff配置索引'!BG:BG,MATCH($F271,'#建筑消耗和buff配置索引'!$M:$M,0)))</f>
        <v/>
      </c>
      <c r="AO271" s="133" t="str">
        <f>IF(AN271="","",INDEX('#建筑消耗和buff配置索引'!BH:BH,MATCH($F271,'#建筑消耗和buff配置索引'!$M:$M,0)))</f>
        <v/>
      </c>
      <c r="AR271" s="133" t="str">
        <f>IF(INDEX('#建筑消耗和buff配置索引'!BK:BK,MATCH($F271,'#建筑消耗和buff配置索引'!$M:$M,0))=0,"",INDEX('#建筑消耗和buff配置索引'!BK:BK,MATCH($F271,'#建筑消耗和buff配置索引'!$M:$M,0)))</f>
        <v/>
      </c>
      <c r="AS271" s="133" t="str">
        <f>IF(AR271="","",INDEX('#建筑消耗和buff配置索引'!BL:BL,MATCH($F271,'#建筑消耗和buff配置索引'!$M:$M,0)))</f>
        <v/>
      </c>
      <c r="AV271" s="133" t="str">
        <f>IF(INDEX('#建筑消耗和buff配置索引'!BO:BO,MATCH($F271,'#建筑消耗和buff配置索引'!$M:$M,0))=0,"",INDEX('#建筑消耗和buff配置索引'!BO:BO,MATCH($F271,'#建筑消耗和buff配置索引'!$M:$M,0)))</f>
        <v/>
      </c>
      <c r="AW271" s="133" t="str">
        <f>IF(AV271="","",INDEX('#建筑消耗和buff配置索引'!BP:BP,MATCH($F271,'#建筑消耗和buff配置索引'!$M:$M,0)))</f>
        <v/>
      </c>
      <c r="AZ271" s="133" t="str">
        <f>IF(INDEX('#建筑消耗和buff配置索引'!BS:BS,MATCH($F271,'#建筑消耗和buff配置索引'!$M:$M,0))=0,"",INDEX('#建筑消耗和buff配置索引'!BS:BS,MATCH($F271,'#建筑消耗和buff配置索引'!$M:$M,0)))</f>
        <v/>
      </c>
      <c r="BA271" s="133" t="str">
        <f>IF(AZ271="","",INDEX('#建筑消耗和buff配置索引'!BT:BT,MATCH($F271,'#建筑消耗和buff配置索引'!$M:$M,0)))</f>
        <v/>
      </c>
      <c r="BD271" s="133" t="str">
        <f>IF(INDEX('#建筑消耗和buff配置索引'!BW:BW,MATCH($F271,'#建筑消耗和buff配置索引'!$M:$M,0))=0,"",INDEX('#建筑消耗和buff配置索引'!BW:BW,MATCH($F271,'#建筑消耗和buff配置索引'!$M:$M,0)))</f>
        <v/>
      </c>
      <c r="BE271" s="133" t="str">
        <f>IF(BD271="","",INDEX('#建筑消耗和buff配置索引'!BX:BX,MATCH($F271,'#建筑消耗和buff配置索引'!$M:$M,0)))</f>
        <v/>
      </c>
      <c r="BI271" s="133">
        <v>3</v>
      </c>
    </row>
    <row r="272" spans="1:61" s="133" customFormat="1">
      <c r="A272" s="133">
        <v>2220027</v>
      </c>
      <c r="B272" s="133">
        <v>269</v>
      </c>
      <c r="C272" s="133">
        <v>222</v>
      </c>
      <c r="D272" s="133" t="s">
        <v>442</v>
      </c>
      <c r="E272" s="133">
        <v>27</v>
      </c>
      <c r="F272" s="133" t="str">
        <f t="shared" si="6"/>
        <v>治疗房舍27</v>
      </c>
      <c r="H272" s="146"/>
      <c r="I272" s="133">
        <v>3</v>
      </c>
      <c r="J272" s="150">
        <f>INDEX('#建筑消耗和buff配置索引'!AH:AH,MATCH($F272,'#建筑消耗和buff配置索引'!$M:$M,0))</f>
        <v>1140480</v>
      </c>
      <c r="K272" s="150">
        <f>INDEX('#建筑消耗和buff配置索引'!AA:AA,MATCH($F272,'#建筑消耗和buff配置索引'!$M:$M,0))</f>
        <v>13000000</v>
      </c>
      <c r="L272" s="150">
        <f>INDEX('#建筑消耗和buff配置索引'!AB:AB,MATCH($F272,'#建筑消耗和buff配置索引'!$M:$M,0))</f>
        <v>13000000</v>
      </c>
      <c r="M272" s="150">
        <f>INDEX('#建筑消耗和buff配置索引'!AC:AC,MATCH($F272,'#建筑消耗和buff配置索引'!$M:$M,0))</f>
        <v>13000000</v>
      </c>
      <c r="N272" s="150">
        <f>INDEX('#建筑消耗和buff配置索引'!AD:AD,MATCH($F272,'#建筑消耗和buff配置索引'!$M:$M,0))</f>
        <v>27000000</v>
      </c>
      <c r="O272" s="150" t="str">
        <f>IF(INDEX('#建筑消耗和buff配置索引'!T:T,MATCH($F272,'#建筑消耗和buff配置索引'!$M:$M,0))=0,"",INDEX('#建筑消耗和buff配置索引'!T:T,MATCH($F272,'#建筑消耗和buff配置索引'!$M:$M,0)))</f>
        <v/>
      </c>
      <c r="P272" s="133" t="str">
        <f>IF(INDEX('#建筑消耗和buff配置索引'!U:U,MATCH($F272,'#建筑消耗和buff配置索引'!$M:$M,0))=0,"",INDEX('#建筑消耗和buff配置索引'!U:U,MATCH($F272,'#建筑消耗和buff配置索引'!$M:$M,0)))</f>
        <v/>
      </c>
      <c r="Q272" s="133" t="str">
        <f>IF(INDEX('#建筑消耗和buff配置索引'!K:K,MATCH($F272,'#建筑消耗和buff配置索引'!$M:$M,0))=0,"",INDEX('#建筑消耗和buff配置索引'!K:K,MATCH($F272,'#建筑消耗和buff配置索引'!$M:$M,0)))</f>
        <v>201</v>
      </c>
      <c r="R272" s="133" t="str">
        <f>IF(INDEX('#建筑消耗和buff配置索引'!L:L,MATCH($F272,'#建筑消耗和buff配置索引'!$M:$M,0))=0,"",INDEX('#建筑消耗和buff配置索引'!L:L,MATCH($F272,'#建筑消耗和buff配置索引'!$M:$M,0)))</f>
        <v>27</v>
      </c>
      <c r="S272" s="133">
        <f>IF(INDEX('#建筑消耗和buff配置索引'!C:C,MATCH(F272,'#建筑消耗和buff配置索引'!M:M,0))=0,1,INDEX('#建筑消耗和buff配置索引'!C:C,MATCH(F272,'#建筑消耗和buff配置索引'!M:M,0)))</f>
        <v>1</v>
      </c>
      <c r="T272" s="133">
        <v>0</v>
      </c>
      <c r="U272" s="133">
        <v>0</v>
      </c>
      <c r="V272" s="133" t="str">
        <f>IF(E272=1,IF(INDEX('#建筑消耗和buff配置索引'!BY:BY,MATCH(D272,'#建筑消耗和buff配置索引'!A:A,0))=0,"",INDEX('#建筑消耗和buff配置索引'!BY:BY,MATCH(D272,'#建筑消耗和buff配置索引'!A:A,0))),"")</f>
        <v/>
      </c>
      <c r="W272" s="133" t="str">
        <f>IF(E272=1,IF(INDEX('#建筑消耗和buff配置索引'!BZ:BZ,MATCH(D272,'#建筑消耗和buff配置索引'!A:A,0))=0,"",INDEX('#建筑消耗和buff配置索引'!BZ:BZ,MATCH(D272,'#建筑消耗和buff配置索引'!A:A,0))),"")</f>
        <v/>
      </c>
      <c r="AA272" s="133">
        <f>INDEX('#建筑消耗和buff配置索引'!AO:AO,MATCH($F272,'#建筑消耗和buff配置索引'!$M:$M,0))</f>
        <v>599743</v>
      </c>
      <c r="AB272" s="133">
        <f>IF(INDEX('#建筑消耗和buff配置索引'!AR:AR,MATCH($F272,'#建筑消耗和buff配置索引'!$M:$M,0))=0,"",INDEX('#建筑消耗和buff配置索引'!AR:AR,MATCH($F272,'#建筑消耗和buff配置索引'!$M:$M,0)))</f>
        <v>3102</v>
      </c>
      <c r="AC272" s="133">
        <f>IF(AB272="","",INDEX('#建筑消耗和buff配置索引'!AS:AS,MATCH($F272,'#建筑消耗和buff配置索引'!$M:$M,0)))</f>
        <v>170000</v>
      </c>
      <c r="AF272" s="133">
        <f>IF(INDEX('#建筑消耗和buff配置索引'!AW:AW,MATCH($F272,'#建筑消耗和buff配置索引'!$M:$M,0))=0,"",INDEX('#建筑消耗和buff配置索引'!AW:AW,MATCH($F272,'#建筑消耗和buff配置索引'!$M:$M,0)))</f>
        <v>3100</v>
      </c>
      <c r="AG272" s="133">
        <f>IF(AF272="","",INDEX('#建筑消耗和buff配置索引'!AX:AX,MATCH($F272,'#建筑消耗和buff配置索引'!$M:$M,0)))</f>
        <v>0.28999999999999998</v>
      </c>
      <c r="AJ272" s="133" t="str">
        <f>IF(INDEX('#建筑消耗和buff配置索引'!BB:BB,MATCH($F272,'#建筑消耗和buff配置索引'!$M:$M,0))=0,"",INDEX('#建筑消耗和buff配置索引'!BB:BB,MATCH($F272,'#建筑消耗和buff配置索引'!$M:$M,0)))</f>
        <v/>
      </c>
      <c r="AK272" s="133" t="str">
        <f>IF(AJ272="","",INDEX('#建筑消耗和buff配置索引'!BC:BC,MATCH($F272,'#建筑消耗和buff配置索引'!$M:$M,0)))</f>
        <v/>
      </c>
      <c r="AN272" s="133" t="str">
        <f>IF(INDEX('#建筑消耗和buff配置索引'!BG:BG,MATCH($F272,'#建筑消耗和buff配置索引'!$M:$M,0))=0,"",INDEX('#建筑消耗和buff配置索引'!BG:BG,MATCH($F272,'#建筑消耗和buff配置索引'!$M:$M,0)))</f>
        <v/>
      </c>
      <c r="AO272" s="133" t="str">
        <f>IF(AN272="","",INDEX('#建筑消耗和buff配置索引'!BH:BH,MATCH($F272,'#建筑消耗和buff配置索引'!$M:$M,0)))</f>
        <v/>
      </c>
      <c r="AR272" s="133" t="str">
        <f>IF(INDEX('#建筑消耗和buff配置索引'!BK:BK,MATCH($F272,'#建筑消耗和buff配置索引'!$M:$M,0))=0,"",INDEX('#建筑消耗和buff配置索引'!BK:BK,MATCH($F272,'#建筑消耗和buff配置索引'!$M:$M,0)))</f>
        <v/>
      </c>
      <c r="AS272" s="133" t="str">
        <f>IF(AR272="","",INDEX('#建筑消耗和buff配置索引'!BL:BL,MATCH($F272,'#建筑消耗和buff配置索引'!$M:$M,0)))</f>
        <v/>
      </c>
      <c r="AV272" s="133" t="str">
        <f>IF(INDEX('#建筑消耗和buff配置索引'!BO:BO,MATCH($F272,'#建筑消耗和buff配置索引'!$M:$M,0))=0,"",INDEX('#建筑消耗和buff配置索引'!BO:BO,MATCH($F272,'#建筑消耗和buff配置索引'!$M:$M,0)))</f>
        <v/>
      </c>
      <c r="AW272" s="133" t="str">
        <f>IF(AV272="","",INDEX('#建筑消耗和buff配置索引'!BP:BP,MATCH($F272,'#建筑消耗和buff配置索引'!$M:$M,0)))</f>
        <v/>
      </c>
      <c r="AZ272" s="133" t="str">
        <f>IF(INDEX('#建筑消耗和buff配置索引'!BS:BS,MATCH($F272,'#建筑消耗和buff配置索引'!$M:$M,0))=0,"",INDEX('#建筑消耗和buff配置索引'!BS:BS,MATCH($F272,'#建筑消耗和buff配置索引'!$M:$M,0)))</f>
        <v/>
      </c>
      <c r="BA272" s="133" t="str">
        <f>IF(AZ272="","",INDEX('#建筑消耗和buff配置索引'!BT:BT,MATCH($F272,'#建筑消耗和buff配置索引'!$M:$M,0)))</f>
        <v/>
      </c>
      <c r="BD272" s="133" t="str">
        <f>IF(INDEX('#建筑消耗和buff配置索引'!BW:BW,MATCH($F272,'#建筑消耗和buff配置索引'!$M:$M,0))=0,"",INDEX('#建筑消耗和buff配置索引'!BW:BW,MATCH($F272,'#建筑消耗和buff配置索引'!$M:$M,0)))</f>
        <v/>
      </c>
      <c r="BE272" s="133" t="str">
        <f>IF(BD272="","",INDEX('#建筑消耗和buff配置索引'!BX:BX,MATCH($F272,'#建筑消耗和buff配置索引'!$M:$M,0)))</f>
        <v/>
      </c>
      <c r="BI272" s="133">
        <v>3</v>
      </c>
    </row>
    <row r="273" spans="1:66" s="133" customFormat="1">
      <c r="A273" s="133">
        <v>2220028</v>
      </c>
      <c r="B273" s="133">
        <v>270</v>
      </c>
      <c r="C273" s="133">
        <v>222</v>
      </c>
      <c r="D273" s="133" t="s">
        <v>442</v>
      </c>
      <c r="E273" s="133">
        <v>28</v>
      </c>
      <c r="F273" s="133" t="str">
        <f t="shared" si="6"/>
        <v>治疗房舍28</v>
      </c>
      <c r="H273" s="146"/>
      <c r="I273" s="133">
        <v>3</v>
      </c>
      <c r="J273" s="150">
        <f>INDEX('#建筑消耗和buff配置索引'!AH:AH,MATCH($F273,'#建筑消耗和buff配置索引'!$M:$M,0))</f>
        <v>1399680</v>
      </c>
      <c r="K273" s="150">
        <f>INDEX('#建筑消耗和buff配置索引'!AA:AA,MATCH($F273,'#建筑消耗和buff配置索引'!$M:$M,0))</f>
        <v>17000000</v>
      </c>
      <c r="L273" s="150">
        <f>INDEX('#建筑消耗和buff配置索引'!AB:AB,MATCH($F273,'#建筑消耗和buff配置索引'!$M:$M,0))</f>
        <v>17000000</v>
      </c>
      <c r="M273" s="150">
        <f>INDEX('#建筑消耗和buff配置索引'!AC:AC,MATCH($F273,'#建筑消耗和buff配置索引'!$M:$M,0))</f>
        <v>17000000</v>
      </c>
      <c r="N273" s="150">
        <f>INDEX('#建筑消耗和buff配置索引'!AD:AD,MATCH($F273,'#建筑消耗和buff配置索引'!$M:$M,0))</f>
        <v>34000000</v>
      </c>
      <c r="O273" s="150" t="str">
        <f>IF(INDEX('#建筑消耗和buff配置索引'!T:T,MATCH($F273,'#建筑消耗和buff配置索引'!$M:$M,0))=0,"",INDEX('#建筑消耗和buff配置索引'!T:T,MATCH($F273,'#建筑消耗和buff配置索引'!$M:$M,0)))</f>
        <v/>
      </c>
      <c r="P273" s="133" t="str">
        <f>IF(INDEX('#建筑消耗和buff配置索引'!U:U,MATCH($F273,'#建筑消耗和buff配置索引'!$M:$M,0))=0,"",INDEX('#建筑消耗和buff配置索引'!U:U,MATCH($F273,'#建筑消耗和buff配置索引'!$M:$M,0)))</f>
        <v/>
      </c>
      <c r="Q273" s="133" t="str">
        <f>IF(INDEX('#建筑消耗和buff配置索引'!K:K,MATCH($F273,'#建筑消耗和buff配置索引'!$M:$M,0))=0,"",INDEX('#建筑消耗和buff配置索引'!K:K,MATCH($F273,'#建筑消耗和buff配置索引'!$M:$M,0)))</f>
        <v>201</v>
      </c>
      <c r="R273" s="133" t="str">
        <f>IF(INDEX('#建筑消耗和buff配置索引'!L:L,MATCH($F273,'#建筑消耗和buff配置索引'!$M:$M,0))=0,"",INDEX('#建筑消耗和buff配置索引'!L:L,MATCH($F273,'#建筑消耗和buff配置索引'!$M:$M,0)))</f>
        <v>28</v>
      </c>
      <c r="S273" s="133">
        <f>IF(INDEX('#建筑消耗和buff配置索引'!C:C,MATCH(F273,'#建筑消耗和buff配置索引'!M:M,0))=0,1,INDEX('#建筑消耗和buff配置索引'!C:C,MATCH(F273,'#建筑消耗和buff配置索引'!M:M,0)))</f>
        <v>1</v>
      </c>
      <c r="T273" s="133">
        <v>0</v>
      </c>
      <c r="U273" s="133">
        <v>0</v>
      </c>
      <c r="V273" s="133" t="str">
        <f>IF(E273=1,IF(INDEX('#建筑消耗和buff配置索引'!BY:BY,MATCH(D273,'#建筑消耗和buff配置索引'!A:A,0))=0,"",INDEX('#建筑消耗和buff配置索引'!BY:BY,MATCH(D273,'#建筑消耗和buff配置索引'!A:A,0))),"")</f>
        <v/>
      </c>
      <c r="W273" s="133" t="str">
        <f>IF(E273=1,IF(INDEX('#建筑消耗和buff配置索引'!BZ:BZ,MATCH(D273,'#建筑消耗和buff配置索引'!A:A,0))=0,"",INDEX('#建筑消耗和buff配置索引'!BZ:BZ,MATCH(D273,'#建筑消耗和buff配置索引'!A:A,0))),"")</f>
        <v/>
      </c>
      <c r="AA273" s="133">
        <f>INDEX('#建筑消耗和buff配置索引'!AO:AO,MATCH($F273,'#建筑消耗和buff配置索引'!$M:$M,0))</f>
        <v>769480</v>
      </c>
      <c r="AB273" s="133">
        <f>IF(INDEX('#建筑消耗和buff配置索引'!AR:AR,MATCH($F273,'#建筑消耗和buff配置索引'!$M:$M,0))=0,"",INDEX('#建筑消耗和buff配置索引'!AR:AR,MATCH($F273,'#建筑消耗和buff配置索引'!$M:$M,0)))</f>
        <v>3102</v>
      </c>
      <c r="AC273" s="133">
        <f>IF(AB273="","",INDEX('#建筑消耗和buff配置索引'!AS:AS,MATCH($F273,'#建筑消耗和buff配置索引'!$M:$M,0)))</f>
        <v>180000</v>
      </c>
      <c r="AF273" s="133">
        <f>IF(INDEX('#建筑消耗和buff配置索引'!AW:AW,MATCH($F273,'#建筑消耗和buff配置索引'!$M:$M,0))=0,"",INDEX('#建筑消耗和buff配置索引'!AW:AW,MATCH($F273,'#建筑消耗和buff配置索引'!$M:$M,0)))</f>
        <v>3100</v>
      </c>
      <c r="AG273" s="133">
        <f>IF(AF273="","",INDEX('#建筑消耗和buff配置索引'!AX:AX,MATCH($F273,'#建筑消耗和buff配置索引'!$M:$M,0)))</f>
        <v>0.31</v>
      </c>
      <c r="AJ273" s="133" t="str">
        <f>IF(INDEX('#建筑消耗和buff配置索引'!BB:BB,MATCH($F273,'#建筑消耗和buff配置索引'!$M:$M,0))=0,"",INDEX('#建筑消耗和buff配置索引'!BB:BB,MATCH($F273,'#建筑消耗和buff配置索引'!$M:$M,0)))</f>
        <v/>
      </c>
      <c r="AK273" s="133" t="str">
        <f>IF(AJ273="","",INDEX('#建筑消耗和buff配置索引'!BC:BC,MATCH($F273,'#建筑消耗和buff配置索引'!$M:$M,0)))</f>
        <v/>
      </c>
      <c r="AN273" s="133" t="str">
        <f>IF(INDEX('#建筑消耗和buff配置索引'!BG:BG,MATCH($F273,'#建筑消耗和buff配置索引'!$M:$M,0))=0,"",INDEX('#建筑消耗和buff配置索引'!BG:BG,MATCH($F273,'#建筑消耗和buff配置索引'!$M:$M,0)))</f>
        <v/>
      </c>
      <c r="AO273" s="133" t="str">
        <f>IF(AN273="","",INDEX('#建筑消耗和buff配置索引'!BH:BH,MATCH($F273,'#建筑消耗和buff配置索引'!$M:$M,0)))</f>
        <v/>
      </c>
      <c r="AR273" s="133" t="str">
        <f>IF(INDEX('#建筑消耗和buff配置索引'!BK:BK,MATCH($F273,'#建筑消耗和buff配置索引'!$M:$M,0))=0,"",INDEX('#建筑消耗和buff配置索引'!BK:BK,MATCH($F273,'#建筑消耗和buff配置索引'!$M:$M,0)))</f>
        <v/>
      </c>
      <c r="AS273" s="133" t="str">
        <f>IF(AR273="","",INDEX('#建筑消耗和buff配置索引'!BL:BL,MATCH($F273,'#建筑消耗和buff配置索引'!$M:$M,0)))</f>
        <v/>
      </c>
      <c r="AV273" s="133" t="str">
        <f>IF(INDEX('#建筑消耗和buff配置索引'!BO:BO,MATCH($F273,'#建筑消耗和buff配置索引'!$M:$M,0))=0,"",INDEX('#建筑消耗和buff配置索引'!BO:BO,MATCH($F273,'#建筑消耗和buff配置索引'!$M:$M,0)))</f>
        <v/>
      </c>
      <c r="AW273" s="133" t="str">
        <f>IF(AV273="","",INDEX('#建筑消耗和buff配置索引'!BP:BP,MATCH($F273,'#建筑消耗和buff配置索引'!$M:$M,0)))</f>
        <v/>
      </c>
      <c r="AZ273" s="133" t="str">
        <f>IF(INDEX('#建筑消耗和buff配置索引'!BS:BS,MATCH($F273,'#建筑消耗和buff配置索引'!$M:$M,0))=0,"",INDEX('#建筑消耗和buff配置索引'!BS:BS,MATCH($F273,'#建筑消耗和buff配置索引'!$M:$M,0)))</f>
        <v/>
      </c>
      <c r="BA273" s="133" t="str">
        <f>IF(AZ273="","",INDEX('#建筑消耗和buff配置索引'!BT:BT,MATCH($F273,'#建筑消耗和buff配置索引'!$M:$M,0)))</f>
        <v/>
      </c>
      <c r="BD273" s="133" t="str">
        <f>IF(INDEX('#建筑消耗和buff配置索引'!BW:BW,MATCH($F273,'#建筑消耗和buff配置索引'!$M:$M,0))=0,"",INDEX('#建筑消耗和buff配置索引'!BW:BW,MATCH($F273,'#建筑消耗和buff配置索引'!$M:$M,0)))</f>
        <v/>
      </c>
      <c r="BE273" s="133" t="str">
        <f>IF(BD273="","",INDEX('#建筑消耗和buff配置索引'!BX:BX,MATCH($F273,'#建筑消耗和buff配置索引'!$M:$M,0)))</f>
        <v/>
      </c>
      <c r="BI273" s="133">
        <v>3</v>
      </c>
    </row>
    <row r="274" spans="1:66" s="133" customFormat="1">
      <c r="A274" s="133">
        <v>2220029</v>
      </c>
      <c r="B274" s="133">
        <v>271</v>
      </c>
      <c r="C274" s="133">
        <v>222</v>
      </c>
      <c r="D274" s="133" t="s">
        <v>442</v>
      </c>
      <c r="E274" s="133">
        <v>29</v>
      </c>
      <c r="F274" s="133" t="str">
        <f t="shared" si="6"/>
        <v>治疗房舍29</v>
      </c>
      <c r="H274" s="146"/>
      <c r="I274" s="133">
        <v>3</v>
      </c>
      <c r="J274" s="150">
        <f>INDEX('#建筑消耗和buff配置索引'!AH:AH,MATCH($F274,'#建筑消耗和buff配置索引'!$M:$M,0))</f>
        <v>1710720</v>
      </c>
      <c r="K274" s="150">
        <f>INDEX('#建筑消耗和buff配置索引'!AA:AA,MATCH($F274,'#建筑消耗和buff配置索引'!$M:$M,0))</f>
        <v>22000000</v>
      </c>
      <c r="L274" s="150">
        <f>INDEX('#建筑消耗和buff配置索引'!AB:AB,MATCH($F274,'#建筑消耗和buff配置索引'!$M:$M,0))</f>
        <v>22000000</v>
      </c>
      <c r="M274" s="150">
        <f>INDEX('#建筑消耗和buff配置索引'!AC:AC,MATCH($F274,'#建筑消耗和buff配置索引'!$M:$M,0))</f>
        <v>22000000</v>
      </c>
      <c r="N274" s="150">
        <f>INDEX('#建筑消耗和buff配置索引'!AD:AD,MATCH($F274,'#建筑消耗和buff配置索引'!$M:$M,0))</f>
        <v>43000000</v>
      </c>
      <c r="O274" s="150" t="str">
        <f>IF(INDEX('#建筑消耗和buff配置索引'!T:T,MATCH($F274,'#建筑消耗和buff配置索引'!$M:$M,0))=0,"",INDEX('#建筑消耗和buff配置索引'!T:T,MATCH($F274,'#建筑消耗和buff配置索引'!$M:$M,0)))</f>
        <v/>
      </c>
      <c r="P274" s="133" t="str">
        <f>IF(INDEX('#建筑消耗和buff配置索引'!U:U,MATCH($F274,'#建筑消耗和buff配置索引'!$M:$M,0))=0,"",INDEX('#建筑消耗和buff配置索引'!U:U,MATCH($F274,'#建筑消耗和buff配置索引'!$M:$M,0)))</f>
        <v/>
      </c>
      <c r="Q274" s="133" t="str">
        <f>IF(INDEX('#建筑消耗和buff配置索引'!K:K,MATCH($F274,'#建筑消耗和buff配置索引'!$M:$M,0))=0,"",INDEX('#建筑消耗和buff配置索引'!K:K,MATCH($F274,'#建筑消耗和buff配置索引'!$M:$M,0)))</f>
        <v>201</v>
      </c>
      <c r="R274" s="133" t="str">
        <f>IF(INDEX('#建筑消耗和buff配置索引'!L:L,MATCH($F274,'#建筑消耗和buff配置索引'!$M:$M,0))=0,"",INDEX('#建筑消耗和buff配置索引'!L:L,MATCH($F274,'#建筑消耗和buff配置索引'!$M:$M,0)))</f>
        <v>29</v>
      </c>
      <c r="S274" s="133">
        <f>IF(INDEX('#建筑消耗和buff配置索引'!C:C,MATCH(F274,'#建筑消耗和buff配置索引'!M:M,0))=0,1,INDEX('#建筑消耗和buff配置索引'!C:C,MATCH(F274,'#建筑消耗和buff配置索引'!M:M,0)))</f>
        <v>1</v>
      </c>
      <c r="T274" s="133">
        <v>0</v>
      </c>
      <c r="U274" s="133">
        <v>0</v>
      </c>
      <c r="V274" s="133" t="str">
        <f>IF(E274=1,IF(INDEX('#建筑消耗和buff配置索引'!BY:BY,MATCH(D274,'#建筑消耗和buff配置索引'!A:A,0))=0,"",INDEX('#建筑消耗和buff配置索引'!BY:BY,MATCH(D274,'#建筑消耗和buff配置索引'!A:A,0))),"")</f>
        <v/>
      </c>
      <c r="W274" s="133" t="str">
        <f>IF(E274=1,IF(INDEX('#建筑消耗和buff配置索引'!BZ:BZ,MATCH(D274,'#建筑消耗和buff配置索引'!A:A,0))=0,"",INDEX('#建筑消耗和buff配置索引'!BZ:BZ,MATCH(D274,'#建筑消耗和buff配置索引'!A:A,0))),"")</f>
        <v/>
      </c>
      <c r="AA274" s="133">
        <f>INDEX('#建筑消耗和buff配置索引'!AO:AO,MATCH($F274,'#建筑消耗和buff配置索引'!$M:$M,0))</f>
        <v>986744</v>
      </c>
      <c r="AB274" s="133">
        <f>IF(INDEX('#建筑消耗和buff配置索引'!AR:AR,MATCH($F274,'#建筑消耗和buff配置索引'!$M:$M,0))=0,"",INDEX('#建筑消耗和buff配置索引'!AR:AR,MATCH($F274,'#建筑消耗和buff配置索引'!$M:$M,0)))</f>
        <v>3102</v>
      </c>
      <c r="AC274" s="133">
        <f>IF(AB274="","",INDEX('#建筑消耗和buff配置索引'!AS:AS,MATCH($F274,'#建筑消耗和buff配置索引'!$M:$M,0)))</f>
        <v>190000</v>
      </c>
      <c r="AF274" s="133">
        <f>IF(INDEX('#建筑消耗和buff配置索引'!AW:AW,MATCH($F274,'#建筑消耗和buff配置索引'!$M:$M,0))=0,"",INDEX('#建筑消耗和buff配置索引'!AW:AW,MATCH($F274,'#建筑消耗和buff配置索引'!$M:$M,0)))</f>
        <v>3100</v>
      </c>
      <c r="AG274" s="133">
        <f>IF(AF274="","",INDEX('#建筑消耗和buff配置索引'!AX:AX,MATCH($F274,'#建筑消耗和buff配置索引'!$M:$M,0)))</f>
        <v>0.33</v>
      </c>
      <c r="AJ274" s="133" t="str">
        <f>IF(INDEX('#建筑消耗和buff配置索引'!BB:BB,MATCH($F274,'#建筑消耗和buff配置索引'!$M:$M,0))=0,"",INDEX('#建筑消耗和buff配置索引'!BB:BB,MATCH($F274,'#建筑消耗和buff配置索引'!$M:$M,0)))</f>
        <v/>
      </c>
      <c r="AK274" s="133" t="str">
        <f>IF(AJ274="","",INDEX('#建筑消耗和buff配置索引'!BC:BC,MATCH($F274,'#建筑消耗和buff配置索引'!$M:$M,0)))</f>
        <v/>
      </c>
      <c r="AN274" s="133" t="str">
        <f>IF(INDEX('#建筑消耗和buff配置索引'!BG:BG,MATCH($F274,'#建筑消耗和buff配置索引'!$M:$M,0))=0,"",INDEX('#建筑消耗和buff配置索引'!BG:BG,MATCH($F274,'#建筑消耗和buff配置索引'!$M:$M,0)))</f>
        <v/>
      </c>
      <c r="AO274" s="133" t="str">
        <f>IF(AN274="","",INDEX('#建筑消耗和buff配置索引'!BH:BH,MATCH($F274,'#建筑消耗和buff配置索引'!$M:$M,0)))</f>
        <v/>
      </c>
      <c r="AR274" s="133" t="str">
        <f>IF(INDEX('#建筑消耗和buff配置索引'!BK:BK,MATCH($F274,'#建筑消耗和buff配置索引'!$M:$M,0))=0,"",INDEX('#建筑消耗和buff配置索引'!BK:BK,MATCH($F274,'#建筑消耗和buff配置索引'!$M:$M,0)))</f>
        <v/>
      </c>
      <c r="AS274" s="133" t="str">
        <f>IF(AR274="","",INDEX('#建筑消耗和buff配置索引'!BL:BL,MATCH($F274,'#建筑消耗和buff配置索引'!$M:$M,0)))</f>
        <v/>
      </c>
      <c r="AV274" s="133" t="str">
        <f>IF(INDEX('#建筑消耗和buff配置索引'!BO:BO,MATCH($F274,'#建筑消耗和buff配置索引'!$M:$M,0))=0,"",INDEX('#建筑消耗和buff配置索引'!BO:BO,MATCH($F274,'#建筑消耗和buff配置索引'!$M:$M,0)))</f>
        <v/>
      </c>
      <c r="AW274" s="133" t="str">
        <f>IF(AV274="","",INDEX('#建筑消耗和buff配置索引'!BP:BP,MATCH($F274,'#建筑消耗和buff配置索引'!$M:$M,0)))</f>
        <v/>
      </c>
      <c r="AZ274" s="133" t="str">
        <f>IF(INDEX('#建筑消耗和buff配置索引'!BS:BS,MATCH($F274,'#建筑消耗和buff配置索引'!$M:$M,0))=0,"",INDEX('#建筑消耗和buff配置索引'!BS:BS,MATCH($F274,'#建筑消耗和buff配置索引'!$M:$M,0)))</f>
        <v/>
      </c>
      <c r="BA274" s="133" t="str">
        <f>IF(AZ274="","",INDEX('#建筑消耗和buff配置索引'!BT:BT,MATCH($F274,'#建筑消耗和buff配置索引'!$M:$M,0)))</f>
        <v/>
      </c>
      <c r="BD274" s="133" t="str">
        <f>IF(INDEX('#建筑消耗和buff配置索引'!BW:BW,MATCH($F274,'#建筑消耗和buff配置索引'!$M:$M,0))=0,"",INDEX('#建筑消耗和buff配置索引'!BW:BW,MATCH($F274,'#建筑消耗和buff配置索引'!$M:$M,0)))</f>
        <v/>
      </c>
      <c r="BE274" s="133" t="str">
        <f>IF(BD274="","",INDEX('#建筑消耗和buff配置索引'!BX:BX,MATCH($F274,'#建筑消耗和buff配置索引'!$M:$M,0)))</f>
        <v/>
      </c>
      <c r="BI274" s="133">
        <v>3</v>
      </c>
    </row>
    <row r="275" spans="1:66" s="133" customFormat="1">
      <c r="A275" s="133">
        <v>2220030</v>
      </c>
      <c r="B275" s="133">
        <v>272</v>
      </c>
      <c r="C275" s="133">
        <v>222</v>
      </c>
      <c r="D275" s="133" t="s">
        <v>442</v>
      </c>
      <c r="E275" s="133">
        <v>30</v>
      </c>
      <c r="F275" s="133" t="str">
        <f t="shared" si="6"/>
        <v>治疗房舍30</v>
      </c>
      <c r="H275" s="146"/>
      <c r="I275" s="133">
        <v>3</v>
      </c>
      <c r="J275" s="150">
        <f>INDEX('#建筑消耗和buff配置索引'!AH:AH,MATCH($F275,'#建筑消耗和buff配置索引'!$M:$M,0))</f>
        <v>2073600</v>
      </c>
      <c r="K275" s="150">
        <f>INDEX('#建筑消耗和buff配置索引'!AA:AA,MATCH($F275,'#建筑消耗和buff配置索引'!$M:$M,0))</f>
        <v>28000000</v>
      </c>
      <c r="L275" s="150">
        <f>INDEX('#建筑消耗和buff配置索引'!AB:AB,MATCH($F275,'#建筑消耗和buff配置索引'!$M:$M,0))</f>
        <v>28000000</v>
      </c>
      <c r="M275" s="150">
        <f>INDEX('#建筑消耗和buff配置索引'!AC:AC,MATCH($F275,'#建筑消耗和buff配置索引'!$M:$M,0))</f>
        <v>28000000</v>
      </c>
      <c r="N275" s="150">
        <f>INDEX('#建筑消耗和buff配置索引'!AD:AD,MATCH($F275,'#建筑消耗和buff配置索引'!$M:$M,0))</f>
        <v>56000000</v>
      </c>
      <c r="O275" s="150" t="str">
        <f>IF(INDEX('#建筑消耗和buff配置索引'!T:T,MATCH($F275,'#建筑消耗和buff配置索引'!$M:$M,0))=0,"",INDEX('#建筑消耗和buff配置索引'!T:T,MATCH($F275,'#建筑消耗和buff配置索引'!$M:$M,0)))</f>
        <v/>
      </c>
      <c r="P275" s="133" t="str">
        <f>IF(INDEX('#建筑消耗和buff配置索引'!U:U,MATCH($F275,'#建筑消耗和buff配置索引'!$M:$M,0))=0,"",INDEX('#建筑消耗和buff配置索引'!U:U,MATCH($F275,'#建筑消耗和buff配置索引'!$M:$M,0)))</f>
        <v/>
      </c>
      <c r="Q275" s="133" t="str">
        <f>IF(INDEX('#建筑消耗和buff配置索引'!K:K,MATCH($F275,'#建筑消耗和buff配置索引'!$M:$M,0))=0,"",INDEX('#建筑消耗和buff配置索引'!K:K,MATCH($F275,'#建筑消耗和buff配置索引'!$M:$M,0)))</f>
        <v>201</v>
      </c>
      <c r="R275" s="133" t="str">
        <f>IF(INDEX('#建筑消耗和buff配置索引'!L:L,MATCH($F275,'#建筑消耗和buff配置索引'!$M:$M,0))=0,"",INDEX('#建筑消耗和buff配置索引'!L:L,MATCH($F275,'#建筑消耗和buff配置索引'!$M:$M,0)))</f>
        <v>30</v>
      </c>
      <c r="S275" s="133">
        <f>IF(INDEX('#建筑消耗和buff配置索引'!C:C,MATCH(F275,'#建筑消耗和buff配置索引'!M:M,0))=0,1,INDEX('#建筑消耗和buff配置索引'!C:C,MATCH(F275,'#建筑消耗和buff配置索引'!M:M,0)))</f>
        <v>1</v>
      </c>
      <c r="T275" s="133">
        <v>0</v>
      </c>
      <c r="U275" s="133">
        <v>0</v>
      </c>
      <c r="V275" s="133" t="str">
        <f>IF(E275=1,IF(INDEX('#建筑消耗和buff配置索引'!BY:BY,MATCH(D275,'#建筑消耗和buff配置索引'!A:A,0))=0,"",INDEX('#建筑消耗和buff配置索引'!BY:BY,MATCH(D275,'#建筑消耗和buff配置索引'!A:A,0))),"")</f>
        <v/>
      </c>
      <c r="W275" s="133" t="str">
        <f>IF(E275=1,IF(INDEX('#建筑消耗和buff配置索引'!BZ:BZ,MATCH(D275,'#建筑消耗和buff配置索引'!A:A,0))=0,"",INDEX('#建筑消耗和buff配置索引'!BZ:BZ,MATCH(D275,'#建筑消耗和buff配置索引'!A:A,0))),"")</f>
        <v/>
      </c>
      <c r="AA275" s="133">
        <f>INDEX('#建筑消耗和buff配置索引'!AO:AO,MATCH($F275,'#建筑消耗和buff配置索引'!$M:$M,0))</f>
        <v>1264841</v>
      </c>
      <c r="AB275" s="133">
        <f>IF(INDEX('#建筑消耗和buff配置索引'!AR:AR,MATCH($F275,'#建筑消耗和buff配置索引'!$M:$M,0))=0,"",INDEX('#建筑消耗和buff配置索引'!AR:AR,MATCH($F275,'#建筑消耗和buff配置索引'!$M:$M,0)))</f>
        <v>3102</v>
      </c>
      <c r="AC275" s="133">
        <f>IF(AB275="","",INDEX('#建筑消耗和buff配置索引'!AS:AS,MATCH($F275,'#建筑消耗和buff配置索引'!$M:$M,0)))</f>
        <v>200000</v>
      </c>
      <c r="AF275" s="133">
        <f>IF(INDEX('#建筑消耗和buff配置索引'!AW:AW,MATCH($F275,'#建筑消耗和buff配置索引'!$M:$M,0))=0,"",INDEX('#建筑消耗和buff配置索引'!AW:AW,MATCH($F275,'#建筑消耗和buff配置索引'!$M:$M,0)))</f>
        <v>3100</v>
      </c>
      <c r="AG275" s="133">
        <f>IF(AF275="","",INDEX('#建筑消耗和buff配置索引'!AX:AX,MATCH($F275,'#建筑消耗和buff配置索引'!$M:$M,0)))</f>
        <v>0.35</v>
      </c>
      <c r="AJ275" s="133" t="str">
        <f>IF(INDEX('#建筑消耗和buff配置索引'!BB:BB,MATCH($F275,'#建筑消耗和buff配置索引'!$M:$M,0))=0,"",INDEX('#建筑消耗和buff配置索引'!BB:BB,MATCH($F275,'#建筑消耗和buff配置索引'!$M:$M,0)))</f>
        <v/>
      </c>
      <c r="AK275" s="133" t="str">
        <f>IF(AJ275="","",INDEX('#建筑消耗和buff配置索引'!BC:BC,MATCH($F275,'#建筑消耗和buff配置索引'!$M:$M,0)))</f>
        <v/>
      </c>
      <c r="AN275" s="133" t="str">
        <f>IF(INDEX('#建筑消耗和buff配置索引'!BG:BG,MATCH($F275,'#建筑消耗和buff配置索引'!$M:$M,0))=0,"",INDEX('#建筑消耗和buff配置索引'!BG:BG,MATCH($F275,'#建筑消耗和buff配置索引'!$M:$M,0)))</f>
        <v/>
      </c>
      <c r="AO275" s="133" t="str">
        <f>IF(AN275="","",INDEX('#建筑消耗和buff配置索引'!BH:BH,MATCH($F275,'#建筑消耗和buff配置索引'!$M:$M,0)))</f>
        <v/>
      </c>
      <c r="AR275" s="133" t="str">
        <f>IF(INDEX('#建筑消耗和buff配置索引'!BK:BK,MATCH($F275,'#建筑消耗和buff配置索引'!$M:$M,0))=0,"",INDEX('#建筑消耗和buff配置索引'!BK:BK,MATCH($F275,'#建筑消耗和buff配置索引'!$M:$M,0)))</f>
        <v/>
      </c>
      <c r="AS275" s="133" t="str">
        <f>IF(AR275="","",INDEX('#建筑消耗和buff配置索引'!BL:BL,MATCH($F275,'#建筑消耗和buff配置索引'!$M:$M,0)))</f>
        <v/>
      </c>
      <c r="AV275" s="133" t="str">
        <f>IF(INDEX('#建筑消耗和buff配置索引'!BO:BO,MATCH($F275,'#建筑消耗和buff配置索引'!$M:$M,0))=0,"",INDEX('#建筑消耗和buff配置索引'!BO:BO,MATCH($F275,'#建筑消耗和buff配置索引'!$M:$M,0)))</f>
        <v/>
      </c>
      <c r="AW275" s="133" t="str">
        <f>IF(AV275="","",INDEX('#建筑消耗和buff配置索引'!BP:BP,MATCH($F275,'#建筑消耗和buff配置索引'!$M:$M,0)))</f>
        <v/>
      </c>
      <c r="AZ275" s="133" t="str">
        <f>IF(INDEX('#建筑消耗和buff配置索引'!BS:BS,MATCH($F275,'#建筑消耗和buff配置索引'!$M:$M,0))=0,"",INDEX('#建筑消耗和buff配置索引'!BS:BS,MATCH($F275,'#建筑消耗和buff配置索引'!$M:$M,0)))</f>
        <v/>
      </c>
      <c r="BA275" s="133" t="str">
        <f>IF(AZ275="","",INDEX('#建筑消耗和buff配置索引'!BT:BT,MATCH($F275,'#建筑消耗和buff配置索引'!$M:$M,0)))</f>
        <v/>
      </c>
      <c r="BD275" s="133" t="str">
        <f>IF(INDEX('#建筑消耗和buff配置索引'!BW:BW,MATCH($F275,'#建筑消耗和buff配置索引'!$M:$M,0))=0,"",INDEX('#建筑消耗和buff配置索引'!BW:BW,MATCH($F275,'#建筑消耗和buff配置索引'!$M:$M,0)))</f>
        <v/>
      </c>
      <c r="BE275" s="133" t="str">
        <f>IF(BD275="","",INDEX('#建筑消耗和buff配置索引'!BX:BX,MATCH($F275,'#建筑消耗和buff配置索引'!$M:$M,0)))</f>
        <v/>
      </c>
      <c r="BI275" s="133">
        <v>3</v>
      </c>
    </row>
    <row r="276" spans="1:66" s="133" customFormat="1">
      <c r="A276" s="133">
        <v>2240001</v>
      </c>
      <c r="B276" s="133">
        <v>273</v>
      </c>
      <c r="C276" s="133">
        <v>224</v>
      </c>
      <c r="D276" s="133" t="s">
        <v>369</v>
      </c>
      <c r="E276" s="133">
        <v>1</v>
      </c>
      <c r="F276" s="133" t="str">
        <f t="shared" si="6"/>
        <v>射箭场1</v>
      </c>
      <c r="H276" s="146"/>
      <c r="I276" s="133" t="s">
        <v>1205</v>
      </c>
      <c r="J276" s="150">
        <f>INDEX('#建筑消耗和buff配置索引'!AH:AH,MATCH($F276,'#建筑消耗和buff配置索引'!$M:$M,0))</f>
        <v>25</v>
      </c>
      <c r="K276" s="150">
        <f>INDEX('#建筑消耗和buff配置索引'!AA:AA,MATCH($F276,'#建筑消耗和buff配置索引'!$M:$M,0))</f>
        <v>0</v>
      </c>
      <c r="L276" s="150">
        <f>INDEX('#建筑消耗和buff配置索引'!AB:AB,MATCH($F276,'#建筑消耗和buff配置索引'!$M:$M,0))</f>
        <v>0</v>
      </c>
      <c r="M276" s="150">
        <f>INDEX('#建筑消耗和buff配置索引'!AC:AC,MATCH($F276,'#建筑消耗和buff配置索引'!$M:$M,0))</f>
        <v>0</v>
      </c>
      <c r="N276" s="150">
        <f>INDEX('#建筑消耗和buff配置索引'!AD:AD,MATCH($F276,'#建筑消耗和buff配置索引'!$M:$M,0))</f>
        <v>0</v>
      </c>
      <c r="O276" s="150" t="str">
        <f>IF(INDEX('#建筑消耗和buff配置索引'!T:T,MATCH($F276,'#建筑消耗和buff配置索引'!$M:$M,0))=0,"",INDEX('#建筑消耗和buff配置索引'!T:T,MATCH($F276,'#建筑消耗和buff配置索引'!$M:$M,0)))</f>
        <v/>
      </c>
      <c r="P276" s="133" t="str">
        <f>IF(INDEX('#建筑消耗和buff配置索引'!U:U,MATCH($F276,'#建筑消耗和buff配置索引'!$M:$M,0))=0,"",INDEX('#建筑消耗和buff配置索引'!U:U,MATCH($F276,'#建筑消耗和buff配置索引'!$M:$M,0)))</f>
        <v/>
      </c>
      <c r="Q276" s="133" t="str">
        <f>IF(INDEX('#建筑消耗和buff配置索引'!K:K,MATCH($F276,'#建筑消耗和buff配置索引'!$M:$M,0))=0,"",INDEX('#建筑消耗和buff配置索引'!K:K,MATCH($F276,'#建筑消耗和buff配置索引'!$M:$M,0)))</f>
        <v>201</v>
      </c>
      <c r="R276" s="133" t="str">
        <f>IF(INDEX('#建筑消耗和buff配置索引'!L:L,MATCH($F276,'#建筑消耗和buff配置索引'!$M:$M,0))=0,"",INDEX('#建筑消耗和buff配置索引'!L:L,MATCH($F276,'#建筑消耗和buff配置索引'!$M:$M,0)))</f>
        <v>4</v>
      </c>
      <c r="S276" s="133">
        <f>IF(INDEX('#建筑消耗和buff配置索引'!C:C,MATCH(F276,'#建筑消耗和buff配置索引'!M:M,0))=0,1,INDEX('#建筑消耗和buff配置索引'!C:C,MATCH(F276,'#建筑消耗和buff配置索引'!M:M,0)))</f>
        <v>2</v>
      </c>
      <c r="T276" s="133">
        <v>0</v>
      </c>
      <c r="U276" s="133">
        <v>0</v>
      </c>
      <c r="V276" s="133" t="str">
        <f>IF(E276=1,IF(INDEX('#建筑消耗和buff配置索引'!BY:BY,MATCH(D276,'#建筑消耗和buff配置索引'!A:A,0))=0,"",INDEX('#建筑消耗和buff配置索引'!BY:BY,MATCH(D276,'#建筑消耗和buff配置索引'!A:A,0))),"")</f>
        <v>1:2</v>
      </c>
      <c r="W276" s="133" t="str">
        <f>IF(E276=1,IF(INDEX('#建筑消耗和buff配置索引'!BZ:BZ,MATCH(D276,'#建筑消耗和buff配置索引'!A:A,0))=0,"",INDEX('#建筑消耗和buff配置索引'!BZ:BZ,MATCH(D276,'#建筑消耗和buff配置索引'!A:A,0))),"")</f>
        <v>TID_Buff_BuilDetail_3000:TID_Buff_BuilDetail_3015</v>
      </c>
      <c r="AA276" s="133">
        <f>INDEX('#建筑消耗和buff配置索引'!AO:AO,MATCH($F276,'#建筑消耗和buff配置索引'!$M:$M,0))</f>
        <v>3</v>
      </c>
      <c r="AB276" s="133">
        <f>IF(INDEX('#建筑消耗和buff配置索引'!AR:AR,MATCH($F276,'#建筑消耗和buff配置索引'!$M:$M,0))=0,"",INDEX('#建筑消耗和buff配置索引'!AR:AR,MATCH($F276,'#建筑消耗和buff配置索引'!$M:$M,0)))</f>
        <v>3000</v>
      </c>
      <c r="AC276" s="133">
        <f>IF(AB276="","",INDEX('#建筑消耗和buff配置索引'!AS:AS,MATCH($F276,'#建筑消耗和buff配置索引'!$M:$M,0)))</f>
        <v>2E-3</v>
      </c>
      <c r="AF276" s="133">
        <f>IF(INDEX('#建筑消耗和buff配置索引'!AW:AW,MATCH($F276,'#建筑消耗和buff配置索引'!$M:$M,0))=0,"",INDEX('#建筑消耗和buff配置索引'!AW:AW,MATCH($F276,'#建筑消耗和buff配置索引'!$M:$M,0)))</f>
        <v>3015</v>
      </c>
      <c r="AG276" s="133">
        <f>IF(AF276="","",INDEX('#建筑消耗和buff配置索引'!AX:AX,MATCH($F276,'#建筑消耗和buff配置索引'!$M:$M,0)))</f>
        <v>20</v>
      </c>
      <c r="AJ276" s="133" t="str">
        <f>IF(INDEX('#建筑消耗和buff配置索引'!BB:BB,MATCH($F276,'#建筑消耗和buff配置索引'!$M:$M,0))=0,"",INDEX('#建筑消耗和buff配置索引'!BB:BB,MATCH($F276,'#建筑消耗和buff配置索引'!$M:$M,0)))</f>
        <v/>
      </c>
      <c r="AK276" s="133" t="str">
        <f>IF(AJ276="","",INDEX('#建筑消耗和buff配置索引'!BC:BC,MATCH($F276,'#建筑消耗和buff配置索引'!$M:$M,0)))</f>
        <v/>
      </c>
      <c r="AN276" s="133" t="str">
        <f>IF(INDEX('#建筑消耗和buff配置索引'!BG:BG,MATCH($F276,'#建筑消耗和buff配置索引'!$M:$M,0))=0,"",INDEX('#建筑消耗和buff配置索引'!BG:BG,MATCH($F276,'#建筑消耗和buff配置索引'!$M:$M,0)))</f>
        <v/>
      </c>
      <c r="AO276" s="133" t="str">
        <f>IF(AN276="","",INDEX('#建筑消耗和buff配置索引'!BH:BH,MATCH($F276,'#建筑消耗和buff配置索引'!$M:$M,0)))</f>
        <v/>
      </c>
      <c r="AR276" s="133" t="str">
        <f>IF(INDEX('#建筑消耗和buff配置索引'!BK:BK,MATCH($F276,'#建筑消耗和buff配置索引'!$M:$M,0))=0,"",INDEX('#建筑消耗和buff配置索引'!BK:BK,MATCH($F276,'#建筑消耗和buff配置索引'!$M:$M,0)))</f>
        <v/>
      </c>
      <c r="AS276" s="133" t="str">
        <f>IF(AR276="","",INDEX('#建筑消耗和buff配置索引'!BL:BL,MATCH($F276,'#建筑消耗和buff配置索引'!$M:$M,0)))</f>
        <v/>
      </c>
      <c r="AV276" s="133" t="str">
        <f>IF(INDEX('#建筑消耗和buff配置索引'!BO:BO,MATCH($F276,'#建筑消耗和buff配置索引'!$M:$M,0))=0,"",INDEX('#建筑消耗和buff配置索引'!BO:BO,MATCH($F276,'#建筑消耗和buff配置索引'!$M:$M,0)))</f>
        <v/>
      </c>
      <c r="AW276" s="133" t="str">
        <f>IF(AV276="","",INDEX('#建筑消耗和buff配置索引'!BP:BP,MATCH($F276,'#建筑消耗和buff配置索引'!$M:$M,0)))</f>
        <v/>
      </c>
      <c r="AZ276" s="133" t="str">
        <f>IF(INDEX('#建筑消耗和buff配置索引'!BS:BS,MATCH($F276,'#建筑消耗和buff配置索引'!$M:$M,0))=0,"",INDEX('#建筑消耗和buff配置索引'!BS:BS,MATCH($F276,'#建筑消耗和buff配置索引'!$M:$M,0)))</f>
        <v/>
      </c>
      <c r="BA276" s="133" t="str">
        <f>IF(AZ276="","",INDEX('#建筑消耗和buff配置索引'!BT:BT,MATCH($F276,'#建筑消耗和buff配置索引'!$M:$M,0)))</f>
        <v/>
      </c>
      <c r="BD276" s="133" t="str">
        <f>IF(INDEX('#建筑消耗和buff配置索引'!BW:BW,MATCH($F276,'#建筑消耗和buff配置索引'!$M:$M,0))=0,"",INDEX('#建筑消耗和buff配置索引'!BW:BW,MATCH($F276,'#建筑消耗和buff配置索引'!$M:$M,0)))</f>
        <v/>
      </c>
      <c r="BE276" s="133" t="str">
        <f>IF(BD276="","",INDEX('#建筑消耗和buff配置索引'!BX:BX,MATCH($F276,'#建筑消耗和buff配置索引'!$M:$M,0)))</f>
        <v/>
      </c>
      <c r="BI276" s="133">
        <v>10</v>
      </c>
      <c r="BN276" s="133">
        <v>3</v>
      </c>
    </row>
    <row r="277" spans="1:66" s="133" customFormat="1">
      <c r="A277" s="133">
        <v>2240002</v>
      </c>
      <c r="B277" s="133">
        <v>274</v>
      </c>
      <c r="C277" s="133">
        <v>224</v>
      </c>
      <c r="D277" s="133" t="s">
        <v>369</v>
      </c>
      <c r="E277" s="133">
        <v>2</v>
      </c>
      <c r="F277" s="133" t="str">
        <f t="shared" si="6"/>
        <v>射箭场2</v>
      </c>
      <c r="H277" s="146"/>
      <c r="I277" s="133" t="s">
        <v>1205</v>
      </c>
      <c r="J277" s="150">
        <f>INDEX('#建筑消耗和buff配置索引'!AH:AH,MATCH($F277,'#建筑消耗和buff配置索引'!$M:$M,0))</f>
        <v>54</v>
      </c>
      <c r="K277" s="150">
        <f>INDEX('#建筑消耗和buff配置索引'!AA:AA,MATCH($F277,'#建筑消耗和buff配置索引'!$M:$M,0))</f>
        <v>1500</v>
      </c>
      <c r="L277" s="150">
        <f>INDEX('#建筑消耗和buff配置索引'!AB:AB,MATCH($F277,'#建筑消耗和buff配置索引'!$M:$M,0))</f>
        <v>1500</v>
      </c>
      <c r="M277" s="150">
        <f>INDEX('#建筑消耗和buff配置索引'!AC:AC,MATCH($F277,'#建筑消耗和buff配置索引'!$M:$M,0))</f>
        <v>0</v>
      </c>
      <c r="N277" s="150">
        <f>INDEX('#建筑消耗和buff配置索引'!AD:AD,MATCH($F277,'#建筑消耗和buff配置索引'!$M:$M,0))</f>
        <v>0</v>
      </c>
      <c r="O277" s="150" t="str">
        <f>IF(INDEX('#建筑消耗和buff配置索引'!T:T,MATCH($F277,'#建筑消耗和buff配置索引'!$M:$M,0))=0,"",INDEX('#建筑消耗和buff配置索引'!T:T,MATCH($F277,'#建筑消耗和buff配置索引'!$M:$M,0)))</f>
        <v/>
      </c>
      <c r="P277" s="133" t="str">
        <f>IF(INDEX('#建筑消耗和buff配置索引'!U:U,MATCH($F277,'#建筑消耗和buff配置索引'!$M:$M,0))=0,"",INDEX('#建筑消耗和buff配置索引'!U:U,MATCH($F277,'#建筑消耗和buff配置索引'!$M:$M,0)))</f>
        <v/>
      </c>
      <c r="Q277" s="133" t="str">
        <f>IF(INDEX('#建筑消耗和buff配置索引'!K:K,MATCH($F277,'#建筑消耗和buff配置索引'!$M:$M,0))=0,"",INDEX('#建筑消耗和buff配置索引'!K:K,MATCH($F277,'#建筑消耗和buff配置索引'!$M:$M,0)))</f>
        <v>201</v>
      </c>
      <c r="R277" s="133" t="str">
        <f>IF(INDEX('#建筑消耗和buff配置索引'!L:L,MATCH($F277,'#建筑消耗和buff配置索引'!$M:$M,0))=0,"",INDEX('#建筑消耗和buff配置索引'!L:L,MATCH($F277,'#建筑消耗和buff配置索引'!$M:$M,0)))</f>
        <v>4</v>
      </c>
      <c r="S277" s="133">
        <f>IF(INDEX('#建筑消耗和buff配置索引'!C:C,MATCH(F277,'#建筑消耗和buff配置索引'!M:M,0))=0,1,INDEX('#建筑消耗和buff配置索引'!C:C,MATCH(F277,'#建筑消耗和buff配置索引'!M:M,0)))</f>
        <v>2</v>
      </c>
      <c r="T277" s="133">
        <v>0</v>
      </c>
      <c r="U277" s="133">
        <v>0</v>
      </c>
      <c r="V277" s="133" t="str">
        <f>IF(E277=1,IF(INDEX('#建筑消耗和buff配置索引'!BY:BY,MATCH(D277,'#建筑消耗和buff配置索引'!A:A,0))=0,"",INDEX('#建筑消耗和buff配置索引'!BY:BY,MATCH(D277,'#建筑消耗和buff配置索引'!A:A,0))),"")</f>
        <v/>
      </c>
      <c r="W277" s="133" t="str">
        <f>IF(E277=1,IF(INDEX('#建筑消耗和buff配置索引'!BZ:BZ,MATCH(D277,'#建筑消耗和buff配置索引'!A:A,0))=0,"",INDEX('#建筑消耗和buff配置索引'!BZ:BZ,MATCH(D277,'#建筑消耗和buff配置索引'!A:A,0))),"")</f>
        <v/>
      </c>
      <c r="AA277" s="133">
        <f>INDEX('#建筑消耗和buff配置索引'!AO:AO,MATCH($F277,'#建筑消耗和buff配置索引'!$M:$M,0))</f>
        <v>9</v>
      </c>
      <c r="AB277" s="133">
        <f>IF(INDEX('#建筑消耗和buff配置索引'!AR:AR,MATCH($F277,'#建筑消耗和buff配置索引'!$M:$M,0))=0,"",INDEX('#建筑消耗和buff配置索引'!AR:AR,MATCH($F277,'#建筑消耗和buff配置索引'!$M:$M,0)))</f>
        <v>3000</v>
      </c>
      <c r="AC277" s="133">
        <f>IF(AB277="","",INDEX('#建筑消耗和buff配置索引'!AS:AS,MATCH($F277,'#建筑消耗和buff配置索引'!$M:$M,0)))</f>
        <v>5.0000000000000001E-3</v>
      </c>
      <c r="AF277" s="133">
        <f>IF(INDEX('#建筑消耗和buff配置索引'!AW:AW,MATCH($F277,'#建筑消耗和buff配置索引'!$M:$M,0))=0,"",INDEX('#建筑消耗和buff配置索引'!AW:AW,MATCH($F277,'#建筑消耗和buff配置索引'!$M:$M,0)))</f>
        <v>3015</v>
      </c>
      <c r="AG277" s="133">
        <f>IF(AF277="","",INDEX('#建筑消耗和buff配置索引'!AX:AX,MATCH($F277,'#建筑消耗和buff配置索引'!$M:$M,0)))</f>
        <v>50</v>
      </c>
      <c r="AJ277" s="133" t="str">
        <f>IF(INDEX('#建筑消耗和buff配置索引'!BB:BB,MATCH($F277,'#建筑消耗和buff配置索引'!$M:$M,0))=0,"",INDEX('#建筑消耗和buff配置索引'!BB:BB,MATCH($F277,'#建筑消耗和buff配置索引'!$M:$M,0)))</f>
        <v/>
      </c>
      <c r="AK277" s="133" t="str">
        <f>IF(AJ277="","",INDEX('#建筑消耗和buff配置索引'!BC:BC,MATCH($F277,'#建筑消耗和buff配置索引'!$M:$M,0)))</f>
        <v/>
      </c>
      <c r="AN277" s="133" t="str">
        <f>IF(INDEX('#建筑消耗和buff配置索引'!BG:BG,MATCH($F277,'#建筑消耗和buff配置索引'!$M:$M,0))=0,"",INDEX('#建筑消耗和buff配置索引'!BG:BG,MATCH($F277,'#建筑消耗和buff配置索引'!$M:$M,0)))</f>
        <v/>
      </c>
      <c r="AO277" s="133" t="str">
        <f>IF(AN277="","",INDEX('#建筑消耗和buff配置索引'!BH:BH,MATCH($F277,'#建筑消耗和buff配置索引'!$M:$M,0)))</f>
        <v/>
      </c>
      <c r="AR277" s="133" t="str">
        <f>IF(INDEX('#建筑消耗和buff配置索引'!BK:BK,MATCH($F277,'#建筑消耗和buff配置索引'!$M:$M,0))=0,"",INDEX('#建筑消耗和buff配置索引'!BK:BK,MATCH($F277,'#建筑消耗和buff配置索引'!$M:$M,0)))</f>
        <v/>
      </c>
      <c r="AS277" s="133" t="str">
        <f>IF(AR277="","",INDEX('#建筑消耗和buff配置索引'!BL:BL,MATCH($F277,'#建筑消耗和buff配置索引'!$M:$M,0)))</f>
        <v/>
      </c>
      <c r="AV277" s="133" t="str">
        <f>IF(INDEX('#建筑消耗和buff配置索引'!BO:BO,MATCH($F277,'#建筑消耗和buff配置索引'!$M:$M,0))=0,"",INDEX('#建筑消耗和buff配置索引'!BO:BO,MATCH($F277,'#建筑消耗和buff配置索引'!$M:$M,0)))</f>
        <v/>
      </c>
      <c r="AW277" s="133" t="str">
        <f>IF(AV277="","",INDEX('#建筑消耗和buff配置索引'!BP:BP,MATCH($F277,'#建筑消耗和buff配置索引'!$M:$M,0)))</f>
        <v/>
      </c>
      <c r="AZ277" s="133" t="str">
        <f>IF(INDEX('#建筑消耗和buff配置索引'!BS:BS,MATCH($F277,'#建筑消耗和buff配置索引'!$M:$M,0))=0,"",INDEX('#建筑消耗和buff配置索引'!BS:BS,MATCH($F277,'#建筑消耗和buff配置索引'!$M:$M,0)))</f>
        <v/>
      </c>
      <c r="BA277" s="133" t="str">
        <f>IF(AZ277="","",INDEX('#建筑消耗和buff配置索引'!BT:BT,MATCH($F277,'#建筑消耗和buff配置索引'!$M:$M,0)))</f>
        <v/>
      </c>
      <c r="BD277" s="133" t="str">
        <f>IF(INDEX('#建筑消耗和buff配置索引'!BW:BW,MATCH($F277,'#建筑消耗和buff配置索引'!$M:$M,0))=0,"",INDEX('#建筑消耗和buff配置索引'!BW:BW,MATCH($F277,'#建筑消耗和buff配置索引'!$M:$M,0)))</f>
        <v/>
      </c>
      <c r="BE277" s="133" t="str">
        <f>IF(BD277="","",INDEX('#建筑消耗和buff配置索引'!BX:BX,MATCH($F277,'#建筑消耗和buff配置索引'!$M:$M,0)))</f>
        <v/>
      </c>
      <c r="BI277" s="133">
        <v>10</v>
      </c>
    </row>
    <row r="278" spans="1:66" s="133" customFormat="1">
      <c r="A278" s="133">
        <v>2240003</v>
      </c>
      <c r="B278" s="133">
        <v>275</v>
      </c>
      <c r="C278" s="133">
        <v>224</v>
      </c>
      <c r="D278" s="133" t="s">
        <v>369</v>
      </c>
      <c r="E278" s="133">
        <v>3</v>
      </c>
      <c r="F278" s="133" t="str">
        <f t="shared" si="6"/>
        <v>射箭场3</v>
      </c>
      <c r="H278" s="146"/>
      <c r="I278" s="133" t="s">
        <v>1205</v>
      </c>
      <c r="J278" s="150">
        <f>INDEX('#建筑消耗和buff配置索引'!AH:AH,MATCH($F278,'#建筑消耗和buff配置索引'!$M:$M,0))</f>
        <v>108</v>
      </c>
      <c r="K278" s="150">
        <f>INDEX('#建筑消耗和buff配置索引'!AA:AA,MATCH($F278,'#建筑消耗和buff配置索引'!$M:$M,0))</f>
        <v>3000</v>
      </c>
      <c r="L278" s="150">
        <f>INDEX('#建筑消耗和buff配置索引'!AB:AB,MATCH($F278,'#建筑消耗和buff配置索引'!$M:$M,0))</f>
        <v>3000</v>
      </c>
      <c r="M278" s="150">
        <f>INDEX('#建筑消耗和buff配置索引'!AC:AC,MATCH($F278,'#建筑消耗和buff配置索引'!$M:$M,0))</f>
        <v>0</v>
      </c>
      <c r="N278" s="150">
        <f>INDEX('#建筑消耗和buff配置索引'!AD:AD,MATCH($F278,'#建筑消耗和buff配置索引'!$M:$M,0))</f>
        <v>0</v>
      </c>
      <c r="O278" s="150" t="str">
        <f>IF(INDEX('#建筑消耗和buff配置索引'!T:T,MATCH($F278,'#建筑消耗和buff配置索引'!$M:$M,0))=0,"",INDEX('#建筑消耗和buff配置索引'!T:T,MATCH($F278,'#建筑消耗和buff配置索引'!$M:$M,0)))</f>
        <v/>
      </c>
      <c r="P278" s="133" t="str">
        <f>IF(INDEX('#建筑消耗和buff配置索引'!U:U,MATCH($F278,'#建筑消耗和buff配置索引'!$M:$M,0))=0,"",INDEX('#建筑消耗和buff配置索引'!U:U,MATCH($F278,'#建筑消耗和buff配置索引'!$M:$M,0)))</f>
        <v/>
      </c>
      <c r="Q278" s="133" t="str">
        <f>IF(INDEX('#建筑消耗和buff配置索引'!K:K,MATCH($F278,'#建筑消耗和buff配置索引'!$M:$M,0))=0,"",INDEX('#建筑消耗和buff配置索引'!K:K,MATCH($F278,'#建筑消耗和buff配置索引'!$M:$M,0)))</f>
        <v>201</v>
      </c>
      <c r="R278" s="133" t="str">
        <f>IF(INDEX('#建筑消耗和buff配置索引'!L:L,MATCH($F278,'#建筑消耗和buff配置索引'!$M:$M,0))=0,"",INDEX('#建筑消耗和buff配置索引'!L:L,MATCH($F278,'#建筑消耗和buff配置索引'!$M:$M,0)))</f>
        <v>4</v>
      </c>
      <c r="S278" s="133">
        <f>IF(INDEX('#建筑消耗和buff配置索引'!C:C,MATCH(F278,'#建筑消耗和buff配置索引'!M:M,0))=0,1,INDEX('#建筑消耗和buff配置索引'!C:C,MATCH(F278,'#建筑消耗和buff配置索引'!M:M,0)))</f>
        <v>2</v>
      </c>
      <c r="T278" s="133">
        <v>0</v>
      </c>
      <c r="U278" s="133">
        <v>0</v>
      </c>
      <c r="V278" s="133" t="str">
        <f>IF(E278=1,IF(INDEX('#建筑消耗和buff配置索引'!BY:BY,MATCH(D278,'#建筑消耗和buff配置索引'!A:A,0))=0,"",INDEX('#建筑消耗和buff配置索引'!BY:BY,MATCH(D278,'#建筑消耗和buff配置索引'!A:A,0))),"")</f>
        <v/>
      </c>
      <c r="W278" s="133" t="str">
        <f>IF(E278=1,IF(INDEX('#建筑消耗和buff配置索引'!BZ:BZ,MATCH(D278,'#建筑消耗和buff配置索引'!A:A,0))=0,"",INDEX('#建筑消耗和buff配置索引'!BZ:BZ,MATCH(D278,'#建筑消耗和buff配置索引'!A:A,0))),"")</f>
        <v/>
      </c>
      <c r="AA278" s="133">
        <f>INDEX('#建筑消耗和buff配置索引'!AO:AO,MATCH($F278,'#建筑消耗和buff配置索引'!$M:$M,0))</f>
        <v>21</v>
      </c>
      <c r="AB278" s="133">
        <f>IF(INDEX('#建筑消耗和buff配置索引'!AR:AR,MATCH($F278,'#建筑消耗和buff配置索引'!$M:$M,0))=0,"",INDEX('#建筑消耗和buff配置索引'!AR:AR,MATCH($F278,'#建筑消耗和buff配置索引'!$M:$M,0)))</f>
        <v>3000</v>
      </c>
      <c r="AC278" s="133">
        <f>IF(AB278="","",INDEX('#建筑消耗和buff配置索引'!AS:AS,MATCH($F278,'#建筑消耗和buff配置索引'!$M:$M,0)))</f>
        <v>0.01</v>
      </c>
      <c r="AF278" s="133">
        <f>IF(INDEX('#建筑消耗和buff配置索引'!AW:AW,MATCH($F278,'#建筑消耗和buff配置索引'!$M:$M,0))=0,"",INDEX('#建筑消耗和buff配置索引'!AW:AW,MATCH($F278,'#建筑消耗和buff配置索引'!$M:$M,0)))</f>
        <v>3015</v>
      </c>
      <c r="AG278" s="133">
        <f>IF(AF278="","",INDEX('#建筑消耗和buff配置索引'!AX:AX,MATCH($F278,'#建筑消耗和buff配置索引'!$M:$M,0)))</f>
        <v>100</v>
      </c>
      <c r="AJ278" s="133" t="str">
        <f>IF(INDEX('#建筑消耗和buff配置索引'!BB:BB,MATCH($F278,'#建筑消耗和buff配置索引'!$M:$M,0))=0,"",INDEX('#建筑消耗和buff配置索引'!BB:BB,MATCH($F278,'#建筑消耗和buff配置索引'!$M:$M,0)))</f>
        <v/>
      </c>
      <c r="AK278" s="133" t="str">
        <f>IF(AJ278="","",INDEX('#建筑消耗和buff配置索引'!BC:BC,MATCH($F278,'#建筑消耗和buff配置索引'!$M:$M,0)))</f>
        <v/>
      </c>
      <c r="AN278" s="133" t="str">
        <f>IF(INDEX('#建筑消耗和buff配置索引'!BG:BG,MATCH($F278,'#建筑消耗和buff配置索引'!$M:$M,0))=0,"",INDEX('#建筑消耗和buff配置索引'!BG:BG,MATCH($F278,'#建筑消耗和buff配置索引'!$M:$M,0)))</f>
        <v/>
      </c>
      <c r="AO278" s="133" t="str">
        <f>IF(AN278="","",INDEX('#建筑消耗和buff配置索引'!BH:BH,MATCH($F278,'#建筑消耗和buff配置索引'!$M:$M,0)))</f>
        <v/>
      </c>
      <c r="AR278" s="133" t="str">
        <f>IF(INDEX('#建筑消耗和buff配置索引'!BK:BK,MATCH($F278,'#建筑消耗和buff配置索引'!$M:$M,0))=0,"",INDEX('#建筑消耗和buff配置索引'!BK:BK,MATCH($F278,'#建筑消耗和buff配置索引'!$M:$M,0)))</f>
        <v/>
      </c>
      <c r="AS278" s="133" t="str">
        <f>IF(AR278="","",INDEX('#建筑消耗和buff配置索引'!BL:BL,MATCH($F278,'#建筑消耗和buff配置索引'!$M:$M,0)))</f>
        <v/>
      </c>
      <c r="AV278" s="133" t="str">
        <f>IF(INDEX('#建筑消耗和buff配置索引'!BO:BO,MATCH($F278,'#建筑消耗和buff配置索引'!$M:$M,0))=0,"",INDEX('#建筑消耗和buff配置索引'!BO:BO,MATCH($F278,'#建筑消耗和buff配置索引'!$M:$M,0)))</f>
        <v/>
      </c>
      <c r="AW278" s="133" t="str">
        <f>IF(AV278="","",INDEX('#建筑消耗和buff配置索引'!BP:BP,MATCH($F278,'#建筑消耗和buff配置索引'!$M:$M,0)))</f>
        <v/>
      </c>
      <c r="AZ278" s="133" t="str">
        <f>IF(INDEX('#建筑消耗和buff配置索引'!BS:BS,MATCH($F278,'#建筑消耗和buff配置索引'!$M:$M,0))=0,"",INDEX('#建筑消耗和buff配置索引'!BS:BS,MATCH($F278,'#建筑消耗和buff配置索引'!$M:$M,0)))</f>
        <v/>
      </c>
      <c r="BA278" s="133" t="str">
        <f>IF(AZ278="","",INDEX('#建筑消耗和buff配置索引'!BT:BT,MATCH($F278,'#建筑消耗和buff配置索引'!$M:$M,0)))</f>
        <v/>
      </c>
      <c r="BD278" s="133" t="str">
        <f>IF(INDEX('#建筑消耗和buff配置索引'!BW:BW,MATCH($F278,'#建筑消耗和buff配置索引'!$M:$M,0))=0,"",INDEX('#建筑消耗和buff配置索引'!BW:BW,MATCH($F278,'#建筑消耗和buff配置索引'!$M:$M,0)))</f>
        <v/>
      </c>
      <c r="BE278" s="133" t="str">
        <f>IF(BD278="","",INDEX('#建筑消耗和buff配置索引'!BX:BX,MATCH($F278,'#建筑消耗和buff配置索引'!$M:$M,0)))</f>
        <v/>
      </c>
      <c r="BI278" s="133">
        <v>10</v>
      </c>
    </row>
    <row r="279" spans="1:66" s="133" customFormat="1">
      <c r="A279" s="133">
        <v>2240004</v>
      </c>
      <c r="B279" s="133">
        <v>276</v>
      </c>
      <c r="C279" s="133">
        <v>224</v>
      </c>
      <c r="D279" s="133" t="s">
        <v>369</v>
      </c>
      <c r="E279" s="133">
        <v>4</v>
      </c>
      <c r="F279" s="133" t="str">
        <f t="shared" si="6"/>
        <v>射箭场4</v>
      </c>
      <c r="H279" s="146"/>
      <c r="I279" s="133" t="s">
        <v>1205</v>
      </c>
      <c r="J279" s="150">
        <f>INDEX('#建筑消耗和buff配置索引'!AH:AH,MATCH($F279,'#建筑消耗和buff配置索引'!$M:$M,0))</f>
        <v>216</v>
      </c>
      <c r="K279" s="150">
        <f>INDEX('#建筑消耗和buff配置索引'!AA:AA,MATCH($F279,'#建筑消耗和buff配置索引'!$M:$M,0))</f>
        <v>6000</v>
      </c>
      <c r="L279" s="150">
        <f>INDEX('#建筑消耗和buff配置索引'!AB:AB,MATCH($F279,'#建筑消耗和buff配置索引'!$M:$M,0))</f>
        <v>6000</v>
      </c>
      <c r="M279" s="150">
        <f>INDEX('#建筑消耗和buff配置索引'!AC:AC,MATCH($F279,'#建筑消耗和buff配置索引'!$M:$M,0))</f>
        <v>0</v>
      </c>
      <c r="N279" s="150">
        <f>INDEX('#建筑消耗和buff配置索引'!AD:AD,MATCH($F279,'#建筑消耗和buff配置索引'!$M:$M,0))</f>
        <v>0</v>
      </c>
      <c r="O279" s="150" t="str">
        <f>IF(INDEX('#建筑消耗和buff配置索引'!T:T,MATCH($F279,'#建筑消耗和buff配置索引'!$M:$M,0))=0,"",INDEX('#建筑消耗和buff配置索引'!T:T,MATCH($F279,'#建筑消耗和buff配置索引'!$M:$M,0)))</f>
        <v/>
      </c>
      <c r="P279" s="133" t="str">
        <f>IF(INDEX('#建筑消耗和buff配置索引'!U:U,MATCH($F279,'#建筑消耗和buff配置索引'!$M:$M,0))=0,"",INDEX('#建筑消耗和buff配置索引'!U:U,MATCH($F279,'#建筑消耗和buff配置索引'!$M:$M,0)))</f>
        <v/>
      </c>
      <c r="Q279" s="133" t="str">
        <f>IF(INDEX('#建筑消耗和buff配置索引'!K:K,MATCH($F279,'#建筑消耗和buff配置索引'!$M:$M,0))=0,"",INDEX('#建筑消耗和buff配置索引'!K:K,MATCH($F279,'#建筑消耗和buff配置索引'!$M:$M,0)))</f>
        <v>201</v>
      </c>
      <c r="R279" s="133" t="str">
        <f>IF(INDEX('#建筑消耗和buff配置索引'!L:L,MATCH($F279,'#建筑消耗和buff配置索引'!$M:$M,0))=0,"",INDEX('#建筑消耗和buff配置索引'!L:L,MATCH($F279,'#建筑消耗和buff配置索引'!$M:$M,0)))</f>
        <v>4</v>
      </c>
      <c r="S279" s="133">
        <f>IF(INDEX('#建筑消耗和buff配置索引'!C:C,MATCH(F279,'#建筑消耗和buff配置索引'!M:M,0))=0,1,INDEX('#建筑消耗和buff配置索引'!C:C,MATCH(F279,'#建筑消耗和buff配置索引'!M:M,0)))</f>
        <v>2</v>
      </c>
      <c r="T279" s="133">
        <v>0</v>
      </c>
      <c r="U279" s="133">
        <v>0</v>
      </c>
      <c r="V279" s="133" t="str">
        <f>IF(E279=1,IF(INDEX('#建筑消耗和buff配置索引'!BY:BY,MATCH(D279,'#建筑消耗和buff配置索引'!A:A,0))=0,"",INDEX('#建筑消耗和buff配置索引'!BY:BY,MATCH(D279,'#建筑消耗和buff配置索引'!A:A,0))),"")</f>
        <v/>
      </c>
      <c r="W279" s="133" t="str">
        <f>IF(E279=1,IF(INDEX('#建筑消耗和buff配置索引'!BZ:BZ,MATCH(D279,'#建筑消耗和buff配置索引'!A:A,0))=0,"",INDEX('#建筑消耗和buff配置索引'!BZ:BZ,MATCH(D279,'#建筑消耗和buff配置索引'!A:A,0))),"")</f>
        <v/>
      </c>
      <c r="AA279" s="133">
        <f>INDEX('#建筑消耗和buff配置索引'!AO:AO,MATCH($F279,'#建筑消耗和buff配置索引'!$M:$M,0))</f>
        <v>45</v>
      </c>
      <c r="AB279" s="133">
        <f>IF(INDEX('#建筑消耗和buff配置索引'!AR:AR,MATCH($F279,'#建筑消耗和buff配置索引'!$M:$M,0))=0,"",INDEX('#建筑消耗和buff配置索引'!AR:AR,MATCH($F279,'#建筑消耗和buff配置索引'!$M:$M,0)))</f>
        <v>3000</v>
      </c>
      <c r="AC279" s="133">
        <f>IF(AB279="","",INDEX('#建筑消耗和buff配置索引'!AS:AS,MATCH($F279,'#建筑消耗和buff配置索引'!$M:$M,0)))</f>
        <v>1.4999999999999999E-2</v>
      </c>
      <c r="AF279" s="133">
        <f>IF(INDEX('#建筑消耗和buff配置索引'!AW:AW,MATCH($F279,'#建筑消耗和buff配置索引'!$M:$M,0))=0,"",INDEX('#建筑消耗和buff配置索引'!AW:AW,MATCH($F279,'#建筑消耗和buff配置索引'!$M:$M,0)))</f>
        <v>3015</v>
      </c>
      <c r="AG279" s="133">
        <f>IF(AF279="","",INDEX('#建筑消耗和buff配置索引'!AX:AX,MATCH($F279,'#建筑消耗和buff配置索引'!$M:$M,0)))</f>
        <v>150</v>
      </c>
      <c r="AJ279" s="133" t="str">
        <f>IF(INDEX('#建筑消耗和buff配置索引'!BB:BB,MATCH($F279,'#建筑消耗和buff配置索引'!$M:$M,0))=0,"",INDEX('#建筑消耗和buff配置索引'!BB:BB,MATCH($F279,'#建筑消耗和buff配置索引'!$M:$M,0)))</f>
        <v/>
      </c>
      <c r="AK279" s="133" t="str">
        <f>IF(AJ279="","",INDEX('#建筑消耗和buff配置索引'!BC:BC,MATCH($F279,'#建筑消耗和buff配置索引'!$M:$M,0)))</f>
        <v/>
      </c>
      <c r="AN279" s="133" t="str">
        <f>IF(INDEX('#建筑消耗和buff配置索引'!BG:BG,MATCH($F279,'#建筑消耗和buff配置索引'!$M:$M,0))=0,"",INDEX('#建筑消耗和buff配置索引'!BG:BG,MATCH($F279,'#建筑消耗和buff配置索引'!$M:$M,0)))</f>
        <v/>
      </c>
      <c r="AO279" s="133" t="str">
        <f>IF(AN279="","",INDEX('#建筑消耗和buff配置索引'!BH:BH,MATCH($F279,'#建筑消耗和buff配置索引'!$M:$M,0)))</f>
        <v/>
      </c>
      <c r="AR279" s="133" t="str">
        <f>IF(INDEX('#建筑消耗和buff配置索引'!BK:BK,MATCH($F279,'#建筑消耗和buff配置索引'!$M:$M,0))=0,"",INDEX('#建筑消耗和buff配置索引'!BK:BK,MATCH($F279,'#建筑消耗和buff配置索引'!$M:$M,0)))</f>
        <v/>
      </c>
      <c r="AS279" s="133" t="str">
        <f>IF(AR279="","",INDEX('#建筑消耗和buff配置索引'!BL:BL,MATCH($F279,'#建筑消耗和buff配置索引'!$M:$M,0)))</f>
        <v/>
      </c>
      <c r="AV279" s="133" t="str">
        <f>IF(INDEX('#建筑消耗和buff配置索引'!BO:BO,MATCH($F279,'#建筑消耗和buff配置索引'!$M:$M,0))=0,"",INDEX('#建筑消耗和buff配置索引'!BO:BO,MATCH($F279,'#建筑消耗和buff配置索引'!$M:$M,0)))</f>
        <v/>
      </c>
      <c r="AW279" s="133" t="str">
        <f>IF(AV279="","",INDEX('#建筑消耗和buff配置索引'!BP:BP,MATCH($F279,'#建筑消耗和buff配置索引'!$M:$M,0)))</f>
        <v/>
      </c>
      <c r="AZ279" s="133" t="str">
        <f>IF(INDEX('#建筑消耗和buff配置索引'!BS:BS,MATCH($F279,'#建筑消耗和buff配置索引'!$M:$M,0))=0,"",INDEX('#建筑消耗和buff配置索引'!BS:BS,MATCH($F279,'#建筑消耗和buff配置索引'!$M:$M,0)))</f>
        <v/>
      </c>
      <c r="BA279" s="133" t="str">
        <f>IF(AZ279="","",INDEX('#建筑消耗和buff配置索引'!BT:BT,MATCH($F279,'#建筑消耗和buff配置索引'!$M:$M,0)))</f>
        <v/>
      </c>
      <c r="BD279" s="133" t="str">
        <f>IF(INDEX('#建筑消耗和buff配置索引'!BW:BW,MATCH($F279,'#建筑消耗和buff配置索引'!$M:$M,0))=0,"",INDEX('#建筑消耗和buff配置索引'!BW:BW,MATCH($F279,'#建筑消耗和buff配置索引'!$M:$M,0)))</f>
        <v/>
      </c>
      <c r="BE279" s="133" t="str">
        <f>IF(BD279="","",INDEX('#建筑消耗和buff配置索引'!BX:BX,MATCH($F279,'#建筑消耗和buff配置索引'!$M:$M,0)))</f>
        <v/>
      </c>
      <c r="BI279" s="133">
        <v>10</v>
      </c>
    </row>
    <row r="280" spans="1:66" s="133" customFormat="1">
      <c r="A280" s="133">
        <v>2240005</v>
      </c>
      <c r="B280" s="133">
        <v>277</v>
      </c>
      <c r="C280" s="133">
        <v>224</v>
      </c>
      <c r="D280" s="133" t="s">
        <v>369</v>
      </c>
      <c r="E280" s="133">
        <v>5</v>
      </c>
      <c r="F280" s="133" t="str">
        <f t="shared" si="6"/>
        <v>射箭场5</v>
      </c>
      <c r="H280" s="146"/>
      <c r="I280" s="133">
        <v>1</v>
      </c>
      <c r="J280" s="150">
        <f>INDEX('#建筑消耗和buff配置索引'!AH:AH,MATCH($F280,'#建筑消耗和buff配置索引'!$M:$M,0))</f>
        <v>450</v>
      </c>
      <c r="K280" s="150">
        <f>INDEX('#建筑消耗和buff配置索引'!AA:AA,MATCH($F280,'#建筑消耗和buff配置索引'!$M:$M,0))</f>
        <v>7700</v>
      </c>
      <c r="L280" s="150">
        <f>INDEX('#建筑消耗和buff配置索引'!AB:AB,MATCH($F280,'#建筑消耗和buff配置索引'!$M:$M,0))</f>
        <v>7700</v>
      </c>
      <c r="M280" s="150">
        <f>INDEX('#建筑消耗和buff配置索引'!AC:AC,MATCH($F280,'#建筑消耗和buff配置索引'!$M:$M,0))</f>
        <v>7700</v>
      </c>
      <c r="N280" s="150">
        <f>INDEX('#建筑消耗和buff配置索引'!AD:AD,MATCH($F280,'#建筑消耗和buff配置索引'!$M:$M,0))</f>
        <v>0</v>
      </c>
      <c r="O280" s="150" t="str">
        <f>IF(INDEX('#建筑消耗和buff配置索引'!T:T,MATCH($F280,'#建筑消耗和buff配置索引'!$M:$M,0))=0,"",INDEX('#建筑消耗和buff配置索引'!T:T,MATCH($F280,'#建筑消耗和buff配置索引'!$M:$M,0)))</f>
        <v/>
      </c>
      <c r="P280" s="133" t="str">
        <f>IF(INDEX('#建筑消耗和buff配置索引'!U:U,MATCH($F280,'#建筑消耗和buff配置索引'!$M:$M,0))=0,"",INDEX('#建筑消耗和buff配置索引'!U:U,MATCH($F280,'#建筑消耗和buff配置索引'!$M:$M,0)))</f>
        <v/>
      </c>
      <c r="Q280" s="133" t="str">
        <f>IF(INDEX('#建筑消耗和buff配置索引'!K:K,MATCH($F280,'#建筑消耗和buff配置索引'!$M:$M,0))=0,"",INDEX('#建筑消耗和buff配置索引'!K:K,MATCH($F280,'#建筑消耗和buff配置索引'!$M:$M,0)))</f>
        <v>201</v>
      </c>
      <c r="R280" s="133" t="str">
        <f>IF(INDEX('#建筑消耗和buff配置索引'!L:L,MATCH($F280,'#建筑消耗和buff配置索引'!$M:$M,0))=0,"",INDEX('#建筑消耗和buff配置索引'!L:L,MATCH($F280,'#建筑消耗和buff配置索引'!$M:$M,0)))</f>
        <v>5</v>
      </c>
      <c r="S280" s="133">
        <f>IF(INDEX('#建筑消耗和buff配置索引'!C:C,MATCH(F280,'#建筑消耗和buff配置索引'!M:M,0))=0,1,INDEX('#建筑消耗和buff配置索引'!C:C,MATCH(F280,'#建筑消耗和buff配置索引'!M:M,0)))</f>
        <v>2</v>
      </c>
      <c r="T280" s="133">
        <v>0</v>
      </c>
      <c r="U280" s="133">
        <v>0</v>
      </c>
      <c r="V280" s="133" t="str">
        <f>IF(E280=1,IF(INDEX('#建筑消耗和buff配置索引'!BY:BY,MATCH(D280,'#建筑消耗和buff配置索引'!A:A,0))=0,"",INDEX('#建筑消耗和buff配置索引'!BY:BY,MATCH(D280,'#建筑消耗和buff配置索引'!A:A,0))),"")</f>
        <v/>
      </c>
      <c r="W280" s="133" t="str">
        <f>IF(E280=1,IF(INDEX('#建筑消耗和buff配置索引'!BZ:BZ,MATCH(D280,'#建筑消耗和buff配置索引'!A:A,0))=0,"",INDEX('#建筑消耗和buff配置索引'!BZ:BZ,MATCH(D280,'#建筑消耗和buff配置索引'!A:A,0))),"")</f>
        <v/>
      </c>
      <c r="AA280" s="133">
        <f>INDEX('#建筑消耗和buff配置索引'!AO:AO,MATCH($F280,'#建筑消耗和buff配置索引'!$M:$M,0))</f>
        <v>91</v>
      </c>
      <c r="AB280" s="133">
        <f>IF(INDEX('#建筑消耗和buff配置索引'!AR:AR,MATCH($F280,'#建筑消耗和buff配置索引'!$M:$M,0))=0,"",INDEX('#建筑消耗和buff配置索引'!AR:AR,MATCH($F280,'#建筑消耗和buff配置索引'!$M:$M,0)))</f>
        <v>3000</v>
      </c>
      <c r="AC280" s="133">
        <f>IF(AB280="","",INDEX('#建筑消耗和buff配置索引'!AS:AS,MATCH($F280,'#建筑消耗和buff配置索引'!$M:$M,0)))</f>
        <v>0.02</v>
      </c>
      <c r="AF280" s="133">
        <f>IF(INDEX('#建筑消耗和buff配置索引'!AW:AW,MATCH($F280,'#建筑消耗和buff配置索引'!$M:$M,0))=0,"",INDEX('#建筑消耗和buff配置索引'!AW:AW,MATCH($F280,'#建筑消耗和buff配置索引'!$M:$M,0)))</f>
        <v>3015</v>
      </c>
      <c r="AG280" s="133">
        <f>IF(AF280="","",INDEX('#建筑消耗和buff配置索引'!AX:AX,MATCH($F280,'#建筑消耗和buff配置索引'!$M:$M,0)))</f>
        <v>200</v>
      </c>
      <c r="AJ280" s="133" t="str">
        <f>IF(INDEX('#建筑消耗和buff配置索引'!BB:BB,MATCH($F280,'#建筑消耗和buff配置索引'!$M:$M,0))=0,"",INDEX('#建筑消耗和buff配置索引'!BB:BB,MATCH($F280,'#建筑消耗和buff配置索引'!$M:$M,0)))</f>
        <v/>
      </c>
      <c r="AK280" s="133" t="str">
        <f>IF(AJ280="","",INDEX('#建筑消耗和buff配置索引'!BC:BC,MATCH($F280,'#建筑消耗和buff配置索引'!$M:$M,0)))</f>
        <v/>
      </c>
      <c r="AN280" s="133" t="str">
        <f>IF(INDEX('#建筑消耗和buff配置索引'!BG:BG,MATCH($F280,'#建筑消耗和buff配置索引'!$M:$M,0))=0,"",INDEX('#建筑消耗和buff配置索引'!BG:BG,MATCH($F280,'#建筑消耗和buff配置索引'!$M:$M,0)))</f>
        <v/>
      </c>
      <c r="AO280" s="133" t="str">
        <f>IF(AN280="","",INDEX('#建筑消耗和buff配置索引'!BH:BH,MATCH($F280,'#建筑消耗和buff配置索引'!$M:$M,0)))</f>
        <v/>
      </c>
      <c r="AR280" s="133" t="str">
        <f>IF(INDEX('#建筑消耗和buff配置索引'!BK:BK,MATCH($F280,'#建筑消耗和buff配置索引'!$M:$M,0))=0,"",INDEX('#建筑消耗和buff配置索引'!BK:BK,MATCH($F280,'#建筑消耗和buff配置索引'!$M:$M,0)))</f>
        <v/>
      </c>
      <c r="AS280" s="133" t="str">
        <f>IF(AR280="","",INDEX('#建筑消耗和buff配置索引'!BL:BL,MATCH($F280,'#建筑消耗和buff配置索引'!$M:$M,0)))</f>
        <v/>
      </c>
      <c r="AV280" s="133" t="str">
        <f>IF(INDEX('#建筑消耗和buff配置索引'!BO:BO,MATCH($F280,'#建筑消耗和buff配置索引'!$M:$M,0))=0,"",INDEX('#建筑消耗和buff配置索引'!BO:BO,MATCH($F280,'#建筑消耗和buff配置索引'!$M:$M,0)))</f>
        <v/>
      </c>
      <c r="AW280" s="133" t="str">
        <f>IF(AV280="","",INDEX('#建筑消耗和buff配置索引'!BP:BP,MATCH($F280,'#建筑消耗和buff配置索引'!$M:$M,0)))</f>
        <v/>
      </c>
      <c r="AZ280" s="133" t="str">
        <f>IF(INDEX('#建筑消耗和buff配置索引'!BS:BS,MATCH($F280,'#建筑消耗和buff配置索引'!$M:$M,0))=0,"",INDEX('#建筑消耗和buff配置索引'!BS:BS,MATCH($F280,'#建筑消耗和buff配置索引'!$M:$M,0)))</f>
        <v/>
      </c>
      <c r="BA280" s="133" t="str">
        <f>IF(AZ280="","",INDEX('#建筑消耗和buff配置索引'!BT:BT,MATCH($F280,'#建筑消耗和buff配置索引'!$M:$M,0)))</f>
        <v/>
      </c>
      <c r="BD280" s="133" t="str">
        <f>IF(INDEX('#建筑消耗和buff配置索引'!BW:BW,MATCH($F280,'#建筑消耗和buff配置索引'!$M:$M,0))=0,"",INDEX('#建筑消耗和buff配置索引'!BW:BW,MATCH($F280,'#建筑消耗和buff配置索引'!$M:$M,0)))</f>
        <v/>
      </c>
      <c r="BE280" s="133" t="str">
        <f>IF(BD280="","",INDEX('#建筑消耗和buff配置索引'!BX:BX,MATCH($F280,'#建筑消耗和buff配置索引'!$M:$M,0)))</f>
        <v/>
      </c>
      <c r="BI280" s="133">
        <v>10</v>
      </c>
      <c r="BJ280" s="133">
        <v>299</v>
      </c>
    </row>
    <row r="281" spans="1:66" s="133" customFormat="1">
      <c r="A281" s="133">
        <v>2240006</v>
      </c>
      <c r="B281" s="133">
        <v>278</v>
      </c>
      <c r="C281" s="133">
        <v>224</v>
      </c>
      <c r="D281" s="133" t="s">
        <v>369</v>
      </c>
      <c r="E281" s="133">
        <v>6</v>
      </c>
      <c r="F281" s="133" t="str">
        <f t="shared" si="6"/>
        <v>射箭场6</v>
      </c>
      <c r="H281" s="146"/>
      <c r="I281" s="133">
        <v>1</v>
      </c>
      <c r="J281" s="150">
        <f>INDEX('#建筑消耗和buff配置索引'!AH:AH,MATCH($F281,'#建筑消耗和buff配置索引'!$M:$M,0))</f>
        <v>810</v>
      </c>
      <c r="K281" s="150">
        <f>INDEX('#建筑消耗和buff配置索引'!AA:AA,MATCH($F281,'#建筑消耗和buff配置索引'!$M:$M,0))</f>
        <v>14000</v>
      </c>
      <c r="L281" s="150">
        <f>INDEX('#建筑消耗和buff配置索引'!AB:AB,MATCH($F281,'#建筑消耗和buff配置索引'!$M:$M,0))</f>
        <v>14000</v>
      </c>
      <c r="M281" s="150">
        <f>INDEX('#建筑消耗和buff配置索引'!AC:AC,MATCH($F281,'#建筑消耗和buff配置索引'!$M:$M,0))</f>
        <v>14000</v>
      </c>
      <c r="N281" s="150">
        <f>INDEX('#建筑消耗和buff配置索引'!AD:AD,MATCH($F281,'#建筑消耗和buff配置索引'!$M:$M,0))</f>
        <v>0</v>
      </c>
      <c r="O281" s="150" t="str">
        <f>IF(INDEX('#建筑消耗和buff配置索引'!T:T,MATCH($F281,'#建筑消耗和buff配置索引'!$M:$M,0))=0,"",INDEX('#建筑消耗和buff配置索引'!T:T,MATCH($F281,'#建筑消耗和buff配置索引'!$M:$M,0)))</f>
        <v/>
      </c>
      <c r="P281" s="133" t="str">
        <f>IF(INDEX('#建筑消耗和buff配置索引'!U:U,MATCH($F281,'#建筑消耗和buff配置索引'!$M:$M,0))=0,"",INDEX('#建筑消耗和buff配置索引'!U:U,MATCH($F281,'#建筑消耗和buff配置索引'!$M:$M,0)))</f>
        <v/>
      </c>
      <c r="Q281" s="133" t="str">
        <f>IF(INDEX('#建筑消耗和buff配置索引'!K:K,MATCH($F281,'#建筑消耗和buff配置索引'!$M:$M,0))=0,"",INDEX('#建筑消耗和buff配置索引'!K:K,MATCH($F281,'#建筑消耗和buff配置索引'!$M:$M,0)))</f>
        <v>201</v>
      </c>
      <c r="R281" s="133" t="str">
        <f>IF(INDEX('#建筑消耗和buff配置索引'!L:L,MATCH($F281,'#建筑消耗和buff配置索引'!$M:$M,0))=0,"",INDEX('#建筑消耗和buff配置索引'!L:L,MATCH($F281,'#建筑消耗和buff配置索引'!$M:$M,0)))</f>
        <v>6</v>
      </c>
      <c r="S281" s="133">
        <f>IF(INDEX('#建筑消耗和buff配置索引'!C:C,MATCH(F281,'#建筑消耗和buff配置索引'!M:M,0))=0,1,INDEX('#建筑消耗和buff配置索引'!C:C,MATCH(F281,'#建筑消耗和buff配置索引'!M:M,0)))</f>
        <v>2</v>
      </c>
      <c r="T281" s="133">
        <v>0</v>
      </c>
      <c r="U281" s="133">
        <v>0</v>
      </c>
      <c r="V281" s="133" t="str">
        <f>IF(E281=1,IF(INDEX('#建筑消耗和buff配置索引'!BY:BY,MATCH(D281,'#建筑消耗和buff配置索引'!A:A,0))=0,"",INDEX('#建筑消耗和buff配置索引'!BY:BY,MATCH(D281,'#建筑消耗和buff配置索引'!A:A,0))),"")</f>
        <v/>
      </c>
      <c r="W281" s="133" t="str">
        <f>IF(E281=1,IF(INDEX('#建筑消耗和buff配置索引'!BZ:BZ,MATCH(D281,'#建筑消耗和buff配置索引'!A:A,0))=0,"",INDEX('#建筑消耗和buff配置索引'!BZ:BZ,MATCH(D281,'#建筑消耗和buff配置索引'!A:A,0))),"")</f>
        <v/>
      </c>
      <c r="AA281" s="133">
        <f>INDEX('#建筑消耗和buff配置索引'!AO:AO,MATCH($F281,'#建筑消耗和buff配置索引'!$M:$M,0))</f>
        <v>177</v>
      </c>
      <c r="AB281" s="133">
        <f>IF(INDEX('#建筑消耗和buff配置索引'!AR:AR,MATCH($F281,'#建筑消耗和buff配置索引'!$M:$M,0))=0,"",INDEX('#建筑消耗和buff配置索引'!AR:AR,MATCH($F281,'#建筑消耗和buff配置索引'!$M:$M,0)))</f>
        <v>3000</v>
      </c>
      <c r="AC281" s="133">
        <f>IF(AB281="","",INDEX('#建筑消耗和buff配置索引'!AS:AS,MATCH($F281,'#建筑消耗和buff配置索引'!$M:$M,0)))</f>
        <v>2.5000000000000001E-2</v>
      </c>
      <c r="AF281" s="133">
        <f>IF(INDEX('#建筑消耗和buff配置索引'!AW:AW,MATCH($F281,'#建筑消耗和buff配置索引'!$M:$M,0))=0,"",INDEX('#建筑消耗和buff配置索引'!AW:AW,MATCH($F281,'#建筑消耗和buff配置索引'!$M:$M,0)))</f>
        <v>3015</v>
      </c>
      <c r="AG281" s="133">
        <f>IF(AF281="","",INDEX('#建筑消耗和buff配置索引'!AX:AX,MATCH($F281,'#建筑消耗和buff配置索引'!$M:$M,0)))</f>
        <v>250</v>
      </c>
      <c r="AJ281" s="133" t="str">
        <f>IF(INDEX('#建筑消耗和buff配置索引'!BB:BB,MATCH($F281,'#建筑消耗和buff配置索引'!$M:$M,0))=0,"",INDEX('#建筑消耗和buff配置索引'!BB:BB,MATCH($F281,'#建筑消耗和buff配置索引'!$M:$M,0)))</f>
        <v/>
      </c>
      <c r="AK281" s="133" t="str">
        <f>IF(AJ281="","",INDEX('#建筑消耗和buff配置索引'!BC:BC,MATCH($F281,'#建筑消耗和buff配置索引'!$M:$M,0)))</f>
        <v/>
      </c>
      <c r="AN281" s="133" t="str">
        <f>IF(INDEX('#建筑消耗和buff配置索引'!BG:BG,MATCH($F281,'#建筑消耗和buff配置索引'!$M:$M,0))=0,"",INDEX('#建筑消耗和buff配置索引'!BG:BG,MATCH($F281,'#建筑消耗和buff配置索引'!$M:$M,0)))</f>
        <v/>
      </c>
      <c r="AO281" s="133" t="str">
        <f>IF(AN281="","",INDEX('#建筑消耗和buff配置索引'!BH:BH,MATCH($F281,'#建筑消耗和buff配置索引'!$M:$M,0)))</f>
        <v/>
      </c>
      <c r="AR281" s="133" t="str">
        <f>IF(INDEX('#建筑消耗和buff配置索引'!BK:BK,MATCH($F281,'#建筑消耗和buff配置索引'!$M:$M,0))=0,"",INDEX('#建筑消耗和buff配置索引'!BK:BK,MATCH($F281,'#建筑消耗和buff配置索引'!$M:$M,0)))</f>
        <v/>
      </c>
      <c r="AS281" s="133" t="str">
        <f>IF(AR281="","",INDEX('#建筑消耗和buff配置索引'!BL:BL,MATCH($F281,'#建筑消耗和buff配置索引'!$M:$M,0)))</f>
        <v/>
      </c>
      <c r="AV281" s="133" t="str">
        <f>IF(INDEX('#建筑消耗和buff配置索引'!BO:BO,MATCH($F281,'#建筑消耗和buff配置索引'!$M:$M,0))=0,"",INDEX('#建筑消耗和buff配置索引'!BO:BO,MATCH($F281,'#建筑消耗和buff配置索引'!$M:$M,0)))</f>
        <v/>
      </c>
      <c r="AW281" s="133" t="str">
        <f>IF(AV281="","",INDEX('#建筑消耗和buff配置索引'!BP:BP,MATCH($F281,'#建筑消耗和buff配置索引'!$M:$M,0)))</f>
        <v/>
      </c>
      <c r="AZ281" s="133" t="str">
        <f>IF(INDEX('#建筑消耗和buff配置索引'!BS:BS,MATCH($F281,'#建筑消耗和buff配置索引'!$M:$M,0))=0,"",INDEX('#建筑消耗和buff配置索引'!BS:BS,MATCH($F281,'#建筑消耗和buff配置索引'!$M:$M,0)))</f>
        <v/>
      </c>
      <c r="BA281" s="133" t="str">
        <f>IF(AZ281="","",INDEX('#建筑消耗和buff配置索引'!BT:BT,MATCH($F281,'#建筑消耗和buff配置索引'!$M:$M,0)))</f>
        <v/>
      </c>
      <c r="BD281" s="133" t="str">
        <f>IF(INDEX('#建筑消耗和buff配置索引'!BW:BW,MATCH($F281,'#建筑消耗和buff配置索引'!$M:$M,0))=0,"",INDEX('#建筑消耗和buff配置索引'!BW:BW,MATCH($F281,'#建筑消耗和buff配置索引'!$M:$M,0)))</f>
        <v/>
      </c>
      <c r="BE281" s="133" t="str">
        <f>IF(BD281="","",INDEX('#建筑消耗和buff配置索引'!BX:BX,MATCH($F281,'#建筑消耗和buff配置索引'!$M:$M,0)))</f>
        <v/>
      </c>
      <c r="BI281" s="133">
        <v>10</v>
      </c>
      <c r="BJ281" s="133">
        <v>299</v>
      </c>
    </row>
    <row r="282" spans="1:66" s="133" customFormat="1">
      <c r="A282" s="133">
        <v>2240007</v>
      </c>
      <c r="B282" s="133">
        <v>279</v>
      </c>
      <c r="C282" s="133">
        <v>224</v>
      </c>
      <c r="D282" s="133" t="s">
        <v>369</v>
      </c>
      <c r="E282" s="133">
        <v>7</v>
      </c>
      <c r="F282" s="133" t="str">
        <f t="shared" si="6"/>
        <v>射箭场7</v>
      </c>
      <c r="H282" s="146"/>
      <c r="I282" s="133">
        <v>1</v>
      </c>
      <c r="J282" s="150">
        <f>INDEX('#建筑消耗和buff配置索引'!AH:AH,MATCH($F282,'#建筑消耗和buff配置索引'!$M:$M,0))</f>
        <v>1350</v>
      </c>
      <c r="K282" s="150">
        <f>INDEX('#建筑消耗和buff配置索引'!AA:AA,MATCH($F282,'#建筑消耗和buff配置索引'!$M:$M,0))</f>
        <v>26000</v>
      </c>
      <c r="L282" s="150">
        <f>INDEX('#建筑消耗和buff配置索引'!AB:AB,MATCH($F282,'#建筑消耗和buff配置索引'!$M:$M,0))</f>
        <v>26000</v>
      </c>
      <c r="M282" s="150">
        <f>INDEX('#建筑消耗和buff配置索引'!AC:AC,MATCH($F282,'#建筑消耗和buff配置索引'!$M:$M,0))</f>
        <v>26000</v>
      </c>
      <c r="N282" s="150">
        <f>INDEX('#建筑消耗和buff配置索引'!AD:AD,MATCH($F282,'#建筑消耗和buff配置索引'!$M:$M,0))</f>
        <v>0</v>
      </c>
      <c r="O282" s="150" t="str">
        <f>IF(INDEX('#建筑消耗和buff配置索引'!T:T,MATCH($F282,'#建筑消耗和buff配置索引'!$M:$M,0))=0,"",INDEX('#建筑消耗和buff配置索引'!T:T,MATCH($F282,'#建筑消耗和buff配置索引'!$M:$M,0)))</f>
        <v/>
      </c>
      <c r="P282" s="133" t="str">
        <f>IF(INDEX('#建筑消耗和buff配置索引'!U:U,MATCH($F282,'#建筑消耗和buff配置索引'!$M:$M,0))=0,"",INDEX('#建筑消耗和buff配置索引'!U:U,MATCH($F282,'#建筑消耗和buff配置索引'!$M:$M,0)))</f>
        <v/>
      </c>
      <c r="Q282" s="133" t="str">
        <f>IF(INDEX('#建筑消耗和buff配置索引'!K:K,MATCH($F282,'#建筑消耗和buff配置索引'!$M:$M,0))=0,"",INDEX('#建筑消耗和buff配置索引'!K:K,MATCH($F282,'#建筑消耗和buff配置索引'!$M:$M,0)))</f>
        <v>201</v>
      </c>
      <c r="R282" s="133" t="str">
        <f>IF(INDEX('#建筑消耗和buff配置索引'!L:L,MATCH($F282,'#建筑消耗和buff配置索引'!$M:$M,0))=0,"",INDEX('#建筑消耗和buff配置索引'!L:L,MATCH($F282,'#建筑消耗和buff配置索引'!$M:$M,0)))</f>
        <v>7</v>
      </c>
      <c r="S282" s="133">
        <f>IF(INDEX('#建筑消耗和buff配置索引'!C:C,MATCH(F282,'#建筑消耗和buff配置索引'!M:M,0))=0,1,INDEX('#建筑消耗和buff配置索引'!C:C,MATCH(F282,'#建筑消耗和buff配置索引'!M:M,0)))</f>
        <v>2</v>
      </c>
      <c r="T282" s="133">
        <v>0</v>
      </c>
      <c r="U282" s="133">
        <v>0</v>
      </c>
      <c r="V282" s="133" t="str">
        <f>IF(E282=1,IF(INDEX('#建筑消耗和buff配置索引'!BY:BY,MATCH(D282,'#建筑消耗和buff配置索引'!A:A,0))=0,"",INDEX('#建筑消耗和buff配置索引'!BY:BY,MATCH(D282,'#建筑消耗和buff配置索引'!A:A,0))),"")</f>
        <v/>
      </c>
      <c r="W282" s="133" t="str">
        <f>IF(E282=1,IF(INDEX('#建筑消耗和buff配置索引'!BZ:BZ,MATCH(D282,'#建筑消耗和buff配置索引'!A:A,0))=0,"",INDEX('#建筑消耗和buff配置索引'!BZ:BZ,MATCH(D282,'#建筑消耗和buff配置索引'!A:A,0))),"")</f>
        <v/>
      </c>
      <c r="AA282" s="133">
        <f>INDEX('#建筑消耗和buff配置索引'!AO:AO,MATCH($F282,'#建筑消耗和buff配置索引'!$M:$M,0))</f>
        <v>331</v>
      </c>
      <c r="AB282" s="133">
        <f>IF(INDEX('#建筑消耗和buff配置索引'!AR:AR,MATCH($F282,'#建筑消耗和buff配置索引'!$M:$M,0))=0,"",INDEX('#建筑消耗和buff配置索引'!AR:AR,MATCH($F282,'#建筑消耗和buff配置索引'!$M:$M,0)))</f>
        <v>3000</v>
      </c>
      <c r="AC282" s="133">
        <f>IF(AB282="","",INDEX('#建筑消耗和buff配置索引'!AS:AS,MATCH($F282,'#建筑消耗和buff配置索引'!$M:$M,0)))</f>
        <v>0.03</v>
      </c>
      <c r="AF282" s="133">
        <f>IF(INDEX('#建筑消耗和buff配置索引'!AW:AW,MATCH($F282,'#建筑消耗和buff配置索引'!$M:$M,0))=0,"",INDEX('#建筑消耗和buff配置索引'!AW:AW,MATCH($F282,'#建筑消耗和buff配置索引'!$M:$M,0)))</f>
        <v>3015</v>
      </c>
      <c r="AG282" s="133">
        <f>IF(AF282="","",INDEX('#建筑消耗和buff配置索引'!AX:AX,MATCH($F282,'#建筑消耗和buff配置索引'!$M:$M,0)))</f>
        <v>300</v>
      </c>
      <c r="AJ282" s="133" t="str">
        <f>IF(INDEX('#建筑消耗和buff配置索引'!BB:BB,MATCH($F282,'#建筑消耗和buff配置索引'!$M:$M,0))=0,"",INDEX('#建筑消耗和buff配置索引'!BB:BB,MATCH($F282,'#建筑消耗和buff配置索引'!$M:$M,0)))</f>
        <v/>
      </c>
      <c r="AK282" s="133" t="str">
        <f>IF(AJ282="","",INDEX('#建筑消耗和buff配置索引'!BC:BC,MATCH($F282,'#建筑消耗和buff配置索引'!$M:$M,0)))</f>
        <v/>
      </c>
      <c r="AN282" s="133" t="str">
        <f>IF(INDEX('#建筑消耗和buff配置索引'!BG:BG,MATCH($F282,'#建筑消耗和buff配置索引'!$M:$M,0))=0,"",INDEX('#建筑消耗和buff配置索引'!BG:BG,MATCH($F282,'#建筑消耗和buff配置索引'!$M:$M,0)))</f>
        <v/>
      </c>
      <c r="AO282" s="133" t="str">
        <f>IF(AN282="","",INDEX('#建筑消耗和buff配置索引'!BH:BH,MATCH($F282,'#建筑消耗和buff配置索引'!$M:$M,0)))</f>
        <v/>
      </c>
      <c r="AR282" s="133" t="str">
        <f>IF(INDEX('#建筑消耗和buff配置索引'!BK:BK,MATCH($F282,'#建筑消耗和buff配置索引'!$M:$M,0))=0,"",INDEX('#建筑消耗和buff配置索引'!BK:BK,MATCH($F282,'#建筑消耗和buff配置索引'!$M:$M,0)))</f>
        <v/>
      </c>
      <c r="AS282" s="133" t="str">
        <f>IF(AR282="","",INDEX('#建筑消耗和buff配置索引'!BL:BL,MATCH($F282,'#建筑消耗和buff配置索引'!$M:$M,0)))</f>
        <v/>
      </c>
      <c r="AV282" s="133" t="str">
        <f>IF(INDEX('#建筑消耗和buff配置索引'!BO:BO,MATCH($F282,'#建筑消耗和buff配置索引'!$M:$M,0))=0,"",INDEX('#建筑消耗和buff配置索引'!BO:BO,MATCH($F282,'#建筑消耗和buff配置索引'!$M:$M,0)))</f>
        <v/>
      </c>
      <c r="AW282" s="133" t="str">
        <f>IF(AV282="","",INDEX('#建筑消耗和buff配置索引'!BP:BP,MATCH($F282,'#建筑消耗和buff配置索引'!$M:$M,0)))</f>
        <v/>
      </c>
      <c r="AZ282" s="133" t="str">
        <f>IF(INDEX('#建筑消耗和buff配置索引'!BS:BS,MATCH($F282,'#建筑消耗和buff配置索引'!$M:$M,0))=0,"",INDEX('#建筑消耗和buff配置索引'!BS:BS,MATCH($F282,'#建筑消耗和buff配置索引'!$M:$M,0)))</f>
        <v/>
      </c>
      <c r="BA282" s="133" t="str">
        <f>IF(AZ282="","",INDEX('#建筑消耗和buff配置索引'!BT:BT,MATCH($F282,'#建筑消耗和buff配置索引'!$M:$M,0)))</f>
        <v/>
      </c>
      <c r="BD282" s="133" t="str">
        <f>IF(INDEX('#建筑消耗和buff配置索引'!BW:BW,MATCH($F282,'#建筑消耗和buff配置索引'!$M:$M,0))=0,"",INDEX('#建筑消耗和buff配置索引'!BW:BW,MATCH($F282,'#建筑消耗和buff配置索引'!$M:$M,0)))</f>
        <v/>
      </c>
      <c r="BE282" s="133" t="str">
        <f>IF(BD282="","",INDEX('#建筑消耗和buff配置索引'!BX:BX,MATCH($F282,'#建筑消耗和buff配置索引'!$M:$M,0)))</f>
        <v/>
      </c>
      <c r="BI282" s="133">
        <v>10</v>
      </c>
      <c r="BJ282" s="133">
        <v>299</v>
      </c>
    </row>
    <row r="283" spans="1:66" s="133" customFormat="1">
      <c r="A283" s="133">
        <v>2240008</v>
      </c>
      <c r="B283" s="133">
        <v>280</v>
      </c>
      <c r="C283" s="133">
        <v>224</v>
      </c>
      <c r="D283" s="133" t="s">
        <v>369</v>
      </c>
      <c r="E283" s="133">
        <v>8</v>
      </c>
      <c r="F283" s="133" t="str">
        <f t="shared" si="6"/>
        <v>射箭场8</v>
      </c>
      <c r="H283" s="146"/>
      <c r="I283" s="133">
        <v>1</v>
      </c>
      <c r="J283" s="150">
        <f>INDEX('#建筑消耗和buff配置索引'!AH:AH,MATCH($F283,'#建筑消耗和buff配置索引'!$M:$M,0))</f>
        <v>2160</v>
      </c>
      <c r="K283" s="150">
        <f>INDEX('#建筑消耗和buff配置索引'!AA:AA,MATCH($F283,'#建筑消耗和buff配置索引'!$M:$M,0))</f>
        <v>44000</v>
      </c>
      <c r="L283" s="150">
        <f>INDEX('#建筑消耗和buff配置索引'!AB:AB,MATCH($F283,'#建筑消耗和buff配置索引'!$M:$M,0))</f>
        <v>44000</v>
      </c>
      <c r="M283" s="150">
        <f>INDEX('#建筑消耗和buff配置索引'!AC:AC,MATCH($F283,'#建筑消耗和buff配置索引'!$M:$M,0))</f>
        <v>44000</v>
      </c>
      <c r="N283" s="150">
        <f>INDEX('#建筑消耗和buff配置索引'!AD:AD,MATCH($F283,'#建筑消耗和buff配置索引'!$M:$M,0))</f>
        <v>0</v>
      </c>
      <c r="O283" s="150" t="str">
        <f>IF(INDEX('#建筑消耗和buff配置索引'!T:T,MATCH($F283,'#建筑消耗和buff配置索引'!$M:$M,0))=0,"",INDEX('#建筑消耗和buff配置索引'!T:T,MATCH($F283,'#建筑消耗和buff配置索引'!$M:$M,0)))</f>
        <v/>
      </c>
      <c r="P283" s="133" t="str">
        <f>IF(INDEX('#建筑消耗和buff配置索引'!U:U,MATCH($F283,'#建筑消耗和buff配置索引'!$M:$M,0))=0,"",INDEX('#建筑消耗和buff配置索引'!U:U,MATCH($F283,'#建筑消耗和buff配置索引'!$M:$M,0)))</f>
        <v/>
      </c>
      <c r="Q283" s="133" t="str">
        <f>IF(INDEX('#建筑消耗和buff配置索引'!K:K,MATCH($F283,'#建筑消耗和buff配置索引'!$M:$M,0))=0,"",INDEX('#建筑消耗和buff配置索引'!K:K,MATCH($F283,'#建筑消耗和buff配置索引'!$M:$M,0)))</f>
        <v>201</v>
      </c>
      <c r="R283" s="133" t="str">
        <f>IF(INDEX('#建筑消耗和buff配置索引'!L:L,MATCH($F283,'#建筑消耗和buff配置索引'!$M:$M,0))=0,"",INDEX('#建筑消耗和buff配置索引'!L:L,MATCH($F283,'#建筑消耗和buff配置索引'!$M:$M,0)))</f>
        <v>8</v>
      </c>
      <c r="S283" s="133">
        <f>IF(INDEX('#建筑消耗和buff配置索引'!C:C,MATCH(F283,'#建筑消耗和buff配置索引'!M:M,0))=0,1,INDEX('#建筑消耗和buff配置索引'!C:C,MATCH(F283,'#建筑消耗和buff配置索引'!M:M,0)))</f>
        <v>2</v>
      </c>
      <c r="T283" s="133">
        <v>0</v>
      </c>
      <c r="U283" s="133">
        <v>0</v>
      </c>
      <c r="V283" s="133" t="str">
        <f>IF(E283=1,IF(INDEX('#建筑消耗和buff配置索引'!BY:BY,MATCH(D283,'#建筑消耗和buff配置索引'!A:A,0))=0,"",INDEX('#建筑消耗和buff配置索引'!BY:BY,MATCH(D283,'#建筑消耗和buff配置索引'!A:A,0))),"")</f>
        <v/>
      </c>
      <c r="W283" s="133" t="str">
        <f>IF(E283=1,IF(INDEX('#建筑消耗和buff配置索引'!BZ:BZ,MATCH(D283,'#建筑消耗和buff配置索引'!A:A,0))=0,"",INDEX('#建筑消耗和buff配置索引'!BZ:BZ,MATCH(D283,'#建筑消耗和buff配置索引'!A:A,0))),"")</f>
        <v/>
      </c>
      <c r="AA283" s="133">
        <f>INDEX('#建筑消耗和buff配置索引'!AO:AO,MATCH($F283,'#建筑消耗和buff配置索引'!$M:$M,0))</f>
        <v>596</v>
      </c>
      <c r="AB283" s="133">
        <f>IF(INDEX('#建筑消耗和buff配置索引'!AR:AR,MATCH($F283,'#建筑消耗和buff配置索引'!$M:$M,0))=0,"",INDEX('#建筑消耗和buff配置索引'!AR:AR,MATCH($F283,'#建筑消耗和buff配置索引'!$M:$M,0)))</f>
        <v>3000</v>
      </c>
      <c r="AC283" s="133">
        <f>IF(AB283="","",INDEX('#建筑消耗和buff配置索引'!AS:AS,MATCH($F283,'#建筑消耗和buff配置索引'!$M:$M,0)))</f>
        <v>3.5000000000000003E-2</v>
      </c>
      <c r="AF283" s="133">
        <f>IF(INDEX('#建筑消耗和buff配置索引'!AW:AW,MATCH($F283,'#建筑消耗和buff配置索引'!$M:$M,0))=0,"",INDEX('#建筑消耗和buff配置索引'!AW:AW,MATCH($F283,'#建筑消耗和buff配置索引'!$M:$M,0)))</f>
        <v>3015</v>
      </c>
      <c r="AG283" s="133">
        <f>IF(AF283="","",INDEX('#建筑消耗和buff配置索引'!AX:AX,MATCH($F283,'#建筑消耗和buff配置索引'!$M:$M,0)))</f>
        <v>350</v>
      </c>
      <c r="AJ283" s="133" t="str">
        <f>IF(INDEX('#建筑消耗和buff配置索引'!BB:BB,MATCH($F283,'#建筑消耗和buff配置索引'!$M:$M,0))=0,"",INDEX('#建筑消耗和buff配置索引'!BB:BB,MATCH($F283,'#建筑消耗和buff配置索引'!$M:$M,0)))</f>
        <v/>
      </c>
      <c r="AK283" s="133" t="str">
        <f>IF(AJ283="","",INDEX('#建筑消耗和buff配置索引'!BC:BC,MATCH($F283,'#建筑消耗和buff配置索引'!$M:$M,0)))</f>
        <v/>
      </c>
      <c r="AN283" s="133" t="str">
        <f>IF(INDEX('#建筑消耗和buff配置索引'!BG:BG,MATCH($F283,'#建筑消耗和buff配置索引'!$M:$M,0))=0,"",INDEX('#建筑消耗和buff配置索引'!BG:BG,MATCH($F283,'#建筑消耗和buff配置索引'!$M:$M,0)))</f>
        <v/>
      </c>
      <c r="AO283" s="133" t="str">
        <f>IF(AN283="","",INDEX('#建筑消耗和buff配置索引'!BH:BH,MATCH($F283,'#建筑消耗和buff配置索引'!$M:$M,0)))</f>
        <v/>
      </c>
      <c r="AR283" s="133" t="str">
        <f>IF(INDEX('#建筑消耗和buff配置索引'!BK:BK,MATCH($F283,'#建筑消耗和buff配置索引'!$M:$M,0))=0,"",INDEX('#建筑消耗和buff配置索引'!BK:BK,MATCH($F283,'#建筑消耗和buff配置索引'!$M:$M,0)))</f>
        <v/>
      </c>
      <c r="AS283" s="133" t="str">
        <f>IF(AR283="","",INDEX('#建筑消耗和buff配置索引'!BL:BL,MATCH($F283,'#建筑消耗和buff配置索引'!$M:$M,0)))</f>
        <v/>
      </c>
      <c r="AV283" s="133" t="str">
        <f>IF(INDEX('#建筑消耗和buff配置索引'!BO:BO,MATCH($F283,'#建筑消耗和buff配置索引'!$M:$M,0))=0,"",INDEX('#建筑消耗和buff配置索引'!BO:BO,MATCH($F283,'#建筑消耗和buff配置索引'!$M:$M,0)))</f>
        <v/>
      </c>
      <c r="AW283" s="133" t="str">
        <f>IF(AV283="","",INDEX('#建筑消耗和buff配置索引'!BP:BP,MATCH($F283,'#建筑消耗和buff配置索引'!$M:$M,0)))</f>
        <v/>
      </c>
      <c r="AZ283" s="133" t="str">
        <f>IF(INDEX('#建筑消耗和buff配置索引'!BS:BS,MATCH($F283,'#建筑消耗和buff配置索引'!$M:$M,0))=0,"",INDEX('#建筑消耗和buff配置索引'!BS:BS,MATCH($F283,'#建筑消耗和buff配置索引'!$M:$M,0)))</f>
        <v/>
      </c>
      <c r="BA283" s="133" t="str">
        <f>IF(AZ283="","",INDEX('#建筑消耗和buff配置索引'!BT:BT,MATCH($F283,'#建筑消耗和buff配置索引'!$M:$M,0)))</f>
        <v/>
      </c>
      <c r="BD283" s="133" t="str">
        <f>IF(INDEX('#建筑消耗和buff配置索引'!BW:BW,MATCH($F283,'#建筑消耗和buff配置索引'!$M:$M,0))=0,"",INDEX('#建筑消耗和buff配置索引'!BW:BW,MATCH($F283,'#建筑消耗和buff配置索引'!$M:$M,0)))</f>
        <v/>
      </c>
      <c r="BE283" s="133" t="str">
        <f>IF(BD283="","",INDEX('#建筑消耗和buff配置索引'!BX:BX,MATCH($F283,'#建筑消耗和buff配置索引'!$M:$M,0)))</f>
        <v/>
      </c>
      <c r="BI283" s="133">
        <v>10</v>
      </c>
      <c r="BJ283" s="133">
        <v>299</v>
      </c>
    </row>
    <row r="284" spans="1:66" s="133" customFormat="1">
      <c r="A284" s="133">
        <v>2240009</v>
      </c>
      <c r="B284" s="133">
        <v>281</v>
      </c>
      <c r="C284" s="133">
        <v>224</v>
      </c>
      <c r="D284" s="133" t="s">
        <v>369</v>
      </c>
      <c r="E284" s="133">
        <v>9</v>
      </c>
      <c r="F284" s="133" t="str">
        <f t="shared" si="6"/>
        <v>射箭场9</v>
      </c>
      <c r="H284" s="146"/>
      <c r="I284" s="133">
        <v>1</v>
      </c>
      <c r="J284" s="150">
        <f>INDEX('#建筑消耗和buff配置索引'!AH:AH,MATCH($F284,'#建筑消耗和buff配置索引'!$M:$M,0))</f>
        <v>4320</v>
      </c>
      <c r="K284" s="150">
        <f>INDEX('#建筑消耗和buff配置索引'!AA:AA,MATCH($F284,'#建筑消耗和buff配置索引'!$M:$M,0))</f>
        <v>73000</v>
      </c>
      <c r="L284" s="150">
        <f>INDEX('#建筑消耗和buff配置索引'!AB:AB,MATCH($F284,'#建筑消耗和buff配置索引'!$M:$M,0))</f>
        <v>73000</v>
      </c>
      <c r="M284" s="150">
        <f>INDEX('#建筑消耗和buff配置索引'!AC:AC,MATCH($F284,'#建筑消耗和buff配置索引'!$M:$M,0))</f>
        <v>73000</v>
      </c>
      <c r="N284" s="150">
        <f>INDEX('#建筑消耗和buff配置索引'!AD:AD,MATCH($F284,'#建筑消耗和buff配置索引'!$M:$M,0))</f>
        <v>0</v>
      </c>
      <c r="O284" s="150" t="str">
        <f>IF(INDEX('#建筑消耗和buff配置索引'!T:T,MATCH($F284,'#建筑消耗和buff配置索引'!$M:$M,0))=0,"",INDEX('#建筑消耗和buff配置索引'!T:T,MATCH($F284,'#建筑消耗和buff配置索引'!$M:$M,0)))</f>
        <v/>
      </c>
      <c r="P284" s="133" t="str">
        <f>IF(INDEX('#建筑消耗和buff配置索引'!U:U,MATCH($F284,'#建筑消耗和buff配置索引'!$M:$M,0))=0,"",INDEX('#建筑消耗和buff配置索引'!U:U,MATCH($F284,'#建筑消耗和buff配置索引'!$M:$M,0)))</f>
        <v/>
      </c>
      <c r="Q284" s="133" t="str">
        <f>IF(INDEX('#建筑消耗和buff配置索引'!K:K,MATCH($F284,'#建筑消耗和buff配置索引'!$M:$M,0))=0,"",INDEX('#建筑消耗和buff配置索引'!K:K,MATCH($F284,'#建筑消耗和buff配置索引'!$M:$M,0)))</f>
        <v>201</v>
      </c>
      <c r="R284" s="133" t="str">
        <f>IF(INDEX('#建筑消耗和buff配置索引'!L:L,MATCH($F284,'#建筑消耗和buff配置索引'!$M:$M,0))=0,"",INDEX('#建筑消耗和buff配置索引'!L:L,MATCH($F284,'#建筑消耗和buff配置索引'!$M:$M,0)))</f>
        <v>9</v>
      </c>
      <c r="S284" s="133">
        <f>IF(INDEX('#建筑消耗和buff配置索引'!C:C,MATCH(F284,'#建筑消耗和buff配置索引'!M:M,0))=0,1,INDEX('#建筑消耗和buff配置索引'!C:C,MATCH(F284,'#建筑消耗和buff配置索引'!M:M,0)))</f>
        <v>2</v>
      </c>
      <c r="T284" s="133">
        <v>0</v>
      </c>
      <c r="U284" s="133">
        <v>0</v>
      </c>
      <c r="V284" s="133" t="str">
        <f>IF(E284=1,IF(INDEX('#建筑消耗和buff配置索引'!BY:BY,MATCH(D284,'#建筑消耗和buff配置索引'!A:A,0))=0,"",INDEX('#建筑消耗和buff配置索引'!BY:BY,MATCH(D284,'#建筑消耗和buff配置索引'!A:A,0))),"")</f>
        <v/>
      </c>
      <c r="W284" s="133" t="str">
        <f>IF(E284=1,IF(INDEX('#建筑消耗和buff配置索引'!BZ:BZ,MATCH(D284,'#建筑消耗和buff配置索引'!A:A,0))=0,"",INDEX('#建筑消耗和buff配置索引'!BZ:BZ,MATCH(D284,'#建筑消耗和buff配置索引'!A:A,0))),"")</f>
        <v/>
      </c>
      <c r="AA284" s="133">
        <f>INDEX('#建筑消耗和buff配置索引'!AO:AO,MATCH($F284,'#建筑消耗和buff配置索引'!$M:$M,0))</f>
        <v>1034</v>
      </c>
      <c r="AB284" s="133">
        <f>IF(INDEX('#建筑消耗和buff配置索引'!AR:AR,MATCH($F284,'#建筑消耗和buff配置索引'!$M:$M,0))=0,"",INDEX('#建筑消耗和buff配置索引'!AR:AR,MATCH($F284,'#建筑消耗和buff配置索引'!$M:$M,0)))</f>
        <v>3000</v>
      </c>
      <c r="AC284" s="133">
        <f>IF(AB284="","",INDEX('#建筑消耗和buff配置索引'!AS:AS,MATCH($F284,'#建筑消耗和buff配置索引'!$M:$M,0)))</f>
        <v>0.04</v>
      </c>
      <c r="AF284" s="133">
        <f>IF(INDEX('#建筑消耗和buff配置索引'!AW:AW,MATCH($F284,'#建筑消耗和buff配置索引'!$M:$M,0))=0,"",INDEX('#建筑消耗和buff配置索引'!AW:AW,MATCH($F284,'#建筑消耗和buff配置索引'!$M:$M,0)))</f>
        <v>3015</v>
      </c>
      <c r="AG284" s="133">
        <f>IF(AF284="","",INDEX('#建筑消耗和buff配置索引'!AX:AX,MATCH($F284,'#建筑消耗和buff配置索引'!$M:$M,0)))</f>
        <v>400</v>
      </c>
      <c r="AJ284" s="133" t="str">
        <f>IF(INDEX('#建筑消耗和buff配置索引'!BB:BB,MATCH($F284,'#建筑消耗和buff配置索引'!$M:$M,0))=0,"",INDEX('#建筑消耗和buff配置索引'!BB:BB,MATCH($F284,'#建筑消耗和buff配置索引'!$M:$M,0)))</f>
        <v/>
      </c>
      <c r="AK284" s="133" t="str">
        <f>IF(AJ284="","",INDEX('#建筑消耗和buff配置索引'!BC:BC,MATCH($F284,'#建筑消耗和buff配置索引'!$M:$M,0)))</f>
        <v/>
      </c>
      <c r="AN284" s="133" t="str">
        <f>IF(INDEX('#建筑消耗和buff配置索引'!BG:BG,MATCH($F284,'#建筑消耗和buff配置索引'!$M:$M,0))=0,"",INDEX('#建筑消耗和buff配置索引'!BG:BG,MATCH($F284,'#建筑消耗和buff配置索引'!$M:$M,0)))</f>
        <v/>
      </c>
      <c r="AO284" s="133" t="str">
        <f>IF(AN284="","",INDEX('#建筑消耗和buff配置索引'!BH:BH,MATCH($F284,'#建筑消耗和buff配置索引'!$M:$M,0)))</f>
        <v/>
      </c>
      <c r="AR284" s="133" t="str">
        <f>IF(INDEX('#建筑消耗和buff配置索引'!BK:BK,MATCH($F284,'#建筑消耗和buff配置索引'!$M:$M,0))=0,"",INDEX('#建筑消耗和buff配置索引'!BK:BK,MATCH($F284,'#建筑消耗和buff配置索引'!$M:$M,0)))</f>
        <v/>
      </c>
      <c r="AS284" s="133" t="str">
        <f>IF(AR284="","",INDEX('#建筑消耗和buff配置索引'!BL:BL,MATCH($F284,'#建筑消耗和buff配置索引'!$M:$M,0)))</f>
        <v/>
      </c>
      <c r="AV284" s="133" t="str">
        <f>IF(INDEX('#建筑消耗和buff配置索引'!BO:BO,MATCH($F284,'#建筑消耗和buff配置索引'!$M:$M,0))=0,"",INDEX('#建筑消耗和buff配置索引'!BO:BO,MATCH($F284,'#建筑消耗和buff配置索引'!$M:$M,0)))</f>
        <v/>
      </c>
      <c r="AW284" s="133" t="str">
        <f>IF(AV284="","",INDEX('#建筑消耗和buff配置索引'!BP:BP,MATCH($F284,'#建筑消耗和buff配置索引'!$M:$M,0)))</f>
        <v/>
      </c>
      <c r="AZ284" s="133" t="str">
        <f>IF(INDEX('#建筑消耗和buff配置索引'!BS:BS,MATCH($F284,'#建筑消耗和buff配置索引'!$M:$M,0))=0,"",INDEX('#建筑消耗和buff配置索引'!BS:BS,MATCH($F284,'#建筑消耗和buff配置索引'!$M:$M,0)))</f>
        <v/>
      </c>
      <c r="BA284" s="133" t="str">
        <f>IF(AZ284="","",INDEX('#建筑消耗和buff配置索引'!BT:BT,MATCH($F284,'#建筑消耗和buff配置索引'!$M:$M,0)))</f>
        <v/>
      </c>
      <c r="BD284" s="133" t="str">
        <f>IF(INDEX('#建筑消耗和buff配置索引'!BW:BW,MATCH($F284,'#建筑消耗和buff配置索引'!$M:$M,0))=0,"",INDEX('#建筑消耗和buff配置索引'!BW:BW,MATCH($F284,'#建筑消耗和buff配置索引'!$M:$M,0)))</f>
        <v/>
      </c>
      <c r="BE284" s="133" t="str">
        <f>IF(BD284="","",INDEX('#建筑消耗和buff配置索引'!BX:BX,MATCH($F284,'#建筑消耗和buff配置索引'!$M:$M,0)))</f>
        <v/>
      </c>
      <c r="BI284" s="133">
        <v>10</v>
      </c>
      <c r="BJ284" s="133">
        <v>299</v>
      </c>
    </row>
    <row r="285" spans="1:66" s="133" customFormat="1">
      <c r="A285" s="133">
        <v>2240010</v>
      </c>
      <c r="B285" s="133">
        <v>282</v>
      </c>
      <c r="C285" s="133">
        <v>224</v>
      </c>
      <c r="D285" s="133" t="s">
        <v>369</v>
      </c>
      <c r="E285" s="133">
        <v>10</v>
      </c>
      <c r="F285" s="133" t="str">
        <f t="shared" si="6"/>
        <v>射箭场10</v>
      </c>
      <c r="H285" s="146"/>
      <c r="I285" s="133">
        <v>1</v>
      </c>
      <c r="J285" s="150">
        <f>INDEX('#建筑消耗和buff配置索引'!AH:AH,MATCH($F285,'#建筑消耗和buff配置索引'!$M:$M,0))</f>
        <v>6480</v>
      </c>
      <c r="K285" s="150">
        <f>INDEX('#建筑消耗和buff配置索引'!AA:AA,MATCH($F285,'#建筑消耗和buff配置索引'!$M:$M,0))</f>
        <v>86000</v>
      </c>
      <c r="L285" s="150">
        <f>INDEX('#建筑消耗和buff配置索引'!AB:AB,MATCH($F285,'#建筑消耗和buff配置索引'!$M:$M,0))</f>
        <v>86000</v>
      </c>
      <c r="M285" s="150">
        <f>INDEX('#建筑消耗和buff配置索引'!AC:AC,MATCH($F285,'#建筑消耗和buff配置索引'!$M:$M,0))</f>
        <v>86000</v>
      </c>
      <c r="N285" s="150">
        <f>INDEX('#建筑消耗和buff配置索引'!AD:AD,MATCH($F285,'#建筑消耗和buff配置索引'!$M:$M,0))</f>
        <v>86000</v>
      </c>
      <c r="O285" s="150" t="str">
        <f>IF(INDEX('#建筑消耗和buff配置索引'!T:T,MATCH($F285,'#建筑消耗和buff配置索引'!$M:$M,0))=0,"",INDEX('#建筑消耗和buff配置索引'!T:T,MATCH($F285,'#建筑消耗和buff配置索引'!$M:$M,0)))</f>
        <v/>
      </c>
      <c r="P285" s="133" t="str">
        <f>IF(INDEX('#建筑消耗和buff配置索引'!U:U,MATCH($F285,'#建筑消耗和buff配置索引'!$M:$M,0))=0,"",INDEX('#建筑消耗和buff配置索引'!U:U,MATCH($F285,'#建筑消耗和buff配置索引'!$M:$M,0)))</f>
        <v/>
      </c>
      <c r="Q285" s="133" t="str">
        <f>IF(INDEX('#建筑消耗和buff配置索引'!K:K,MATCH($F285,'#建筑消耗和buff配置索引'!$M:$M,0))=0,"",INDEX('#建筑消耗和buff配置索引'!K:K,MATCH($F285,'#建筑消耗和buff配置索引'!$M:$M,0)))</f>
        <v>201</v>
      </c>
      <c r="R285" s="133" t="str">
        <f>IF(INDEX('#建筑消耗和buff配置索引'!L:L,MATCH($F285,'#建筑消耗和buff配置索引'!$M:$M,0))=0,"",INDEX('#建筑消耗和buff配置索引'!L:L,MATCH($F285,'#建筑消耗和buff配置索引'!$M:$M,0)))</f>
        <v>10</v>
      </c>
      <c r="S285" s="133">
        <f>IF(INDEX('#建筑消耗和buff配置索引'!C:C,MATCH(F285,'#建筑消耗和buff配置索引'!M:M,0))=0,1,INDEX('#建筑消耗和buff配置索引'!C:C,MATCH(F285,'#建筑消耗和buff配置索引'!M:M,0)))</f>
        <v>2</v>
      </c>
      <c r="T285" s="133">
        <v>0</v>
      </c>
      <c r="U285" s="133">
        <v>0</v>
      </c>
      <c r="V285" s="133" t="str">
        <f>IF(E285=1,IF(INDEX('#建筑消耗和buff配置索引'!BY:BY,MATCH(D285,'#建筑消耗和buff配置索引'!A:A,0))=0,"",INDEX('#建筑消耗和buff配置索引'!BY:BY,MATCH(D285,'#建筑消耗和buff配置索引'!A:A,0))),"")</f>
        <v/>
      </c>
      <c r="W285" s="133" t="str">
        <f>IF(E285=1,IF(INDEX('#建筑消耗和buff配置索引'!BZ:BZ,MATCH(D285,'#建筑消耗和buff配置索引'!A:A,0))=0,"",INDEX('#建筑消耗和buff配置索引'!BZ:BZ,MATCH(D285,'#建筑消耗和buff配置索引'!A:A,0))),"")</f>
        <v/>
      </c>
      <c r="AA285" s="133">
        <f>INDEX('#建筑消耗和buff配置索引'!AO:AO,MATCH($F285,'#建筑消耗和buff配置索引'!$M:$M,0))</f>
        <v>1726</v>
      </c>
      <c r="AB285" s="133">
        <f>IF(INDEX('#建筑消耗和buff配置索引'!AR:AR,MATCH($F285,'#建筑消耗和buff配置索引'!$M:$M,0))=0,"",INDEX('#建筑消耗和buff配置索引'!AR:AR,MATCH($F285,'#建筑消耗和buff配置索引'!$M:$M,0)))</f>
        <v>3000</v>
      </c>
      <c r="AC285" s="133">
        <f>IF(AB285="","",INDEX('#建筑消耗和buff配置索引'!AS:AS,MATCH($F285,'#建筑消耗和buff配置索引'!$M:$M,0)))</f>
        <v>4.4999999999999998E-2</v>
      </c>
      <c r="AF285" s="133">
        <f>IF(INDEX('#建筑消耗和buff配置索引'!AW:AW,MATCH($F285,'#建筑消耗和buff配置索引'!$M:$M,0))=0,"",INDEX('#建筑消耗和buff配置索引'!AW:AW,MATCH($F285,'#建筑消耗和buff配置索引'!$M:$M,0)))</f>
        <v>3015</v>
      </c>
      <c r="AG285" s="133">
        <f>IF(AF285="","",INDEX('#建筑消耗和buff配置索引'!AX:AX,MATCH($F285,'#建筑消耗和buff配置索引'!$M:$M,0)))</f>
        <v>450</v>
      </c>
      <c r="AJ285" s="133" t="str">
        <f>IF(INDEX('#建筑消耗和buff配置索引'!BB:BB,MATCH($F285,'#建筑消耗和buff配置索引'!$M:$M,0))=0,"",INDEX('#建筑消耗和buff配置索引'!BB:BB,MATCH($F285,'#建筑消耗和buff配置索引'!$M:$M,0)))</f>
        <v/>
      </c>
      <c r="AK285" s="133" t="str">
        <f>IF(AJ285="","",INDEX('#建筑消耗和buff配置索引'!BC:BC,MATCH($F285,'#建筑消耗和buff配置索引'!$M:$M,0)))</f>
        <v/>
      </c>
      <c r="AN285" s="133" t="str">
        <f>IF(INDEX('#建筑消耗和buff配置索引'!BG:BG,MATCH($F285,'#建筑消耗和buff配置索引'!$M:$M,0))=0,"",INDEX('#建筑消耗和buff配置索引'!BG:BG,MATCH($F285,'#建筑消耗和buff配置索引'!$M:$M,0)))</f>
        <v/>
      </c>
      <c r="AO285" s="133" t="str">
        <f>IF(AN285="","",INDEX('#建筑消耗和buff配置索引'!BH:BH,MATCH($F285,'#建筑消耗和buff配置索引'!$M:$M,0)))</f>
        <v/>
      </c>
      <c r="AR285" s="133" t="str">
        <f>IF(INDEX('#建筑消耗和buff配置索引'!BK:BK,MATCH($F285,'#建筑消耗和buff配置索引'!$M:$M,0))=0,"",INDEX('#建筑消耗和buff配置索引'!BK:BK,MATCH($F285,'#建筑消耗和buff配置索引'!$M:$M,0)))</f>
        <v/>
      </c>
      <c r="AS285" s="133" t="str">
        <f>IF(AR285="","",INDEX('#建筑消耗和buff配置索引'!BL:BL,MATCH($F285,'#建筑消耗和buff配置索引'!$M:$M,0)))</f>
        <v/>
      </c>
      <c r="AV285" s="133" t="str">
        <f>IF(INDEX('#建筑消耗和buff配置索引'!BO:BO,MATCH($F285,'#建筑消耗和buff配置索引'!$M:$M,0))=0,"",INDEX('#建筑消耗和buff配置索引'!BO:BO,MATCH($F285,'#建筑消耗和buff配置索引'!$M:$M,0)))</f>
        <v/>
      </c>
      <c r="AW285" s="133" t="str">
        <f>IF(AV285="","",INDEX('#建筑消耗和buff配置索引'!BP:BP,MATCH($F285,'#建筑消耗和buff配置索引'!$M:$M,0)))</f>
        <v/>
      </c>
      <c r="AZ285" s="133" t="str">
        <f>IF(INDEX('#建筑消耗和buff配置索引'!BS:BS,MATCH($F285,'#建筑消耗和buff配置索引'!$M:$M,0))=0,"",INDEX('#建筑消耗和buff配置索引'!BS:BS,MATCH($F285,'#建筑消耗和buff配置索引'!$M:$M,0)))</f>
        <v/>
      </c>
      <c r="BA285" s="133" t="str">
        <f>IF(AZ285="","",INDEX('#建筑消耗和buff配置索引'!BT:BT,MATCH($F285,'#建筑消耗和buff配置索引'!$M:$M,0)))</f>
        <v/>
      </c>
      <c r="BD285" s="133" t="str">
        <f>IF(INDEX('#建筑消耗和buff配置索引'!BW:BW,MATCH($F285,'#建筑消耗和buff配置索引'!$M:$M,0))=0,"",INDEX('#建筑消耗和buff配置索引'!BW:BW,MATCH($F285,'#建筑消耗和buff配置索引'!$M:$M,0)))</f>
        <v/>
      </c>
      <c r="BE285" s="133" t="str">
        <f>IF(BD285="","",INDEX('#建筑消耗和buff配置索引'!BX:BX,MATCH($F285,'#建筑消耗和buff配置索引'!$M:$M,0)))</f>
        <v/>
      </c>
      <c r="BI285" s="133">
        <v>10</v>
      </c>
    </row>
    <row r="286" spans="1:66" s="133" customFormat="1">
      <c r="A286" s="133">
        <v>2240011</v>
      </c>
      <c r="B286" s="133">
        <v>283</v>
      </c>
      <c r="C286" s="133">
        <v>224</v>
      </c>
      <c r="D286" s="133" t="s">
        <v>369</v>
      </c>
      <c r="E286" s="133">
        <v>11</v>
      </c>
      <c r="F286" s="133" t="str">
        <f t="shared" si="6"/>
        <v>射箭场11</v>
      </c>
      <c r="H286" s="146"/>
      <c r="I286" s="133">
        <v>1</v>
      </c>
      <c r="J286" s="150">
        <f>INDEX('#建筑消耗和buff配置索引'!AH:AH,MATCH($F286,'#建筑消耗和buff配置索引'!$M:$M,0))</f>
        <v>9720</v>
      </c>
      <c r="K286" s="150">
        <f>INDEX('#建筑消耗和buff配置索引'!AA:AA,MATCH($F286,'#建筑消耗和buff配置索引'!$M:$M,0))</f>
        <v>130000</v>
      </c>
      <c r="L286" s="150">
        <f>INDEX('#建筑消耗和buff配置索引'!AB:AB,MATCH($F286,'#建筑消耗和buff配置索引'!$M:$M,0))</f>
        <v>130000</v>
      </c>
      <c r="M286" s="150">
        <f>INDEX('#建筑消耗和buff配置索引'!AC:AC,MATCH($F286,'#建筑消耗和buff配置索引'!$M:$M,0))</f>
        <v>130000</v>
      </c>
      <c r="N286" s="150">
        <f>INDEX('#建筑消耗和buff配置索引'!AD:AD,MATCH($F286,'#建筑消耗和buff配置索引'!$M:$M,0))</f>
        <v>130000</v>
      </c>
      <c r="O286" s="150" t="str">
        <f>IF(INDEX('#建筑消耗和buff配置索引'!T:T,MATCH($F286,'#建筑消耗和buff配置索引'!$M:$M,0))=0,"",INDEX('#建筑消耗和buff配置索引'!T:T,MATCH($F286,'#建筑消耗和buff配置索引'!$M:$M,0)))</f>
        <v/>
      </c>
      <c r="P286" s="133" t="str">
        <f>IF(INDEX('#建筑消耗和buff配置索引'!U:U,MATCH($F286,'#建筑消耗和buff配置索引'!$M:$M,0))=0,"",INDEX('#建筑消耗和buff配置索引'!U:U,MATCH($F286,'#建筑消耗和buff配置索引'!$M:$M,0)))</f>
        <v/>
      </c>
      <c r="Q286" s="133" t="str">
        <f>IF(INDEX('#建筑消耗和buff配置索引'!K:K,MATCH($F286,'#建筑消耗和buff配置索引'!$M:$M,0))=0,"",INDEX('#建筑消耗和buff配置索引'!K:K,MATCH($F286,'#建筑消耗和buff配置索引'!$M:$M,0)))</f>
        <v>201;234</v>
      </c>
      <c r="R286" s="133" t="str">
        <f>IF(INDEX('#建筑消耗和buff配置索引'!L:L,MATCH($F286,'#建筑消耗和buff配置索引'!$M:$M,0))=0,"",INDEX('#建筑消耗和buff配置索引'!L:L,MATCH($F286,'#建筑消耗和buff配置索引'!$M:$M,0)))</f>
        <v>11;11</v>
      </c>
      <c r="S286" s="133">
        <f>IF(INDEX('#建筑消耗和buff配置索引'!C:C,MATCH(F286,'#建筑消耗和buff配置索引'!M:M,0))=0,1,INDEX('#建筑消耗和buff配置索引'!C:C,MATCH(F286,'#建筑消耗和buff配置索引'!M:M,0)))</f>
        <v>2</v>
      </c>
      <c r="T286" s="133">
        <v>0</v>
      </c>
      <c r="U286" s="133">
        <v>0</v>
      </c>
      <c r="V286" s="133" t="str">
        <f>IF(E286=1,IF(INDEX('#建筑消耗和buff配置索引'!BY:BY,MATCH(D286,'#建筑消耗和buff配置索引'!A:A,0))=0,"",INDEX('#建筑消耗和buff配置索引'!BY:BY,MATCH(D286,'#建筑消耗和buff配置索引'!A:A,0))),"")</f>
        <v/>
      </c>
      <c r="W286" s="133" t="str">
        <f>IF(E286=1,IF(INDEX('#建筑消耗和buff配置索引'!BZ:BZ,MATCH(D286,'#建筑消耗和buff配置索引'!A:A,0))=0,"",INDEX('#建筑消耗和buff配置索引'!BZ:BZ,MATCH(D286,'#建筑消耗和buff配置索引'!A:A,0))),"")</f>
        <v/>
      </c>
      <c r="AA286" s="133">
        <f>INDEX('#建筑消耗和buff配置索引'!AO:AO,MATCH($F286,'#建筑消耗和buff配置索引'!$M:$M,0))</f>
        <v>2770</v>
      </c>
      <c r="AB286" s="133">
        <f>IF(INDEX('#建筑消耗和buff配置索引'!AR:AR,MATCH($F286,'#建筑消耗和buff配置索引'!$M:$M,0))=0,"",INDEX('#建筑消耗和buff配置索引'!AR:AR,MATCH($F286,'#建筑消耗和buff配置索引'!$M:$M,0)))</f>
        <v>3000</v>
      </c>
      <c r="AC286" s="133">
        <f>IF(AB286="","",INDEX('#建筑消耗和buff配置索引'!AS:AS,MATCH($F286,'#建筑消耗和buff配置索引'!$M:$M,0)))</f>
        <v>0.05</v>
      </c>
      <c r="AF286" s="133">
        <f>IF(INDEX('#建筑消耗和buff配置索引'!AW:AW,MATCH($F286,'#建筑消耗和buff配置索引'!$M:$M,0))=0,"",INDEX('#建筑消耗和buff配置索引'!AW:AW,MATCH($F286,'#建筑消耗和buff配置索引'!$M:$M,0)))</f>
        <v>3015</v>
      </c>
      <c r="AG286" s="133">
        <f>IF(AF286="","",INDEX('#建筑消耗和buff配置索引'!AX:AX,MATCH($F286,'#建筑消耗和buff配置索引'!$M:$M,0)))</f>
        <v>500</v>
      </c>
      <c r="AJ286" s="133" t="str">
        <f>IF(INDEX('#建筑消耗和buff配置索引'!BB:BB,MATCH($F286,'#建筑消耗和buff配置索引'!$M:$M,0))=0,"",INDEX('#建筑消耗和buff配置索引'!BB:BB,MATCH($F286,'#建筑消耗和buff配置索引'!$M:$M,0)))</f>
        <v/>
      </c>
      <c r="AK286" s="133" t="str">
        <f>IF(AJ286="","",INDEX('#建筑消耗和buff配置索引'!BC:BC,MATCH($F286,'#建筑消耗和buff配置索引'!$M:$M,0)))</f>
        <v/>
      </c>
      <c r="AN286" s="133" t="str">
        <f>IF(INDEX('#建筑消耗和buff配置索引'!BG:BG,MATCH($F286,'#建筑消耗和buff配置索引'!$M:$M,0))=0,"",INDEX('#建筑消耗和buff配置索引'!BG:BG,MATCH($F286,'#建筑消耗和buff配置索引'!$M:$M,0)))</f>
        <v/>
      </c>
      <c r="AO286" s="133" t="str">
        <f>IF(AN286="","",INDEX('#建筑消耗和buff配置索引'!BH:BH,MATCH($F286,'#建筑消耗和buff配置索引'!$M:$M,0)))</f>
        <v/>
      </c>
      <c r="AR286" s="133" t="str">
        <f>IF(INDEX('#建筑消耗和buff配置索引'!BK:BK,MATCH($F286,'#建筑消耗和buff配置索引'!$M:$M,0))=0,"",INDEX('#建筑消耗和buff配置索引'!BK:BK,MATCH($F286,'#建筑消耗和buff配置索引'!$M:$M,0)))</f>
        <v/>
      </c>
      <c r="AS286" s="133" t="str">
        <f>IF(AR286="","",INDEX('#建筑消耗和buff配置索引'!BL:BL,MATCH($F286,'#建筑消耗和buff配置索引'!$M:$M,0)))</f>
        <v/>
      </c>
      <c r="AV286" s="133" t="str">
        <f>IF(INDEX('#建筑消耗和buff配置索引'!BO:BO,MATCH($F286,'#建筑消耗和buff配置索引'!$M:$M,0))=0,"",INDEX('#建筑消耗和buff配置索引'!BO:BO,MATCH($F286,'#建筑消耗和buff配置索引'!$M:$M,0)))</f>
        <v/>
      </c>
      <c r="AW286" s="133" t="str">
        <f>IF(AV286="","",INDEX('#建筑消耗和buff配置索引'!BP:BP,MATCH($F286,'#建筑消耗和buff配置索引'!$M:$M,0)))</f>
        <v/>
      </c>
      <c r="AZ286" s="133" t="str">
        <f>IF(INDEX('#建筑消耗和buff配置索引'!BS:BS,MATCH($F286,'#建筑消耗和buff配置索引'!$M:$M,0))=0,"",INDEX('#建筑消耗和buff配置索引'!BS:BS,MATCH($F286,'#建筑消耗和buff配置索引'!$M:$M,0)))</f>
        <v/>
      </c>
      <c r="BA286" s="133" t="str">
        <f>IF(AZ286="","",INDEX('#建筑消耗和buff配置索引'!BT:BT,MATCH($F286,'#建筑消耗和buff配置索引'!$M:$M,0)))</f>
        <v/>
      </c>
      <c r="BD286" s="133" t="str">
        <f>IF(INDEX('#建筑消耗和buff配置索引'!BW:BW,MATCH($F286,'#建筑消耗和buff配置索引'!$M:$M,0))=0,"",INDEX('#建筑消耗和buff配置索引'!BW:BW,MATCH($F286,'#建筑消耗和buff配置索引'!$M:$M,0)))</f>
        <v/>
      </c>
      <c r="BE286" s="133" t="str">
        <f>IF(BD286="","",INDEX('#建筑消耗和buff配置索引'!BX:BX,MATCH($F286,'#建筑消耗和buff配置索引'!$M:$M,0)))</f>
        <v/>
      </c>
      <c r="BI286" s="133">
        <v>10</v>
      </c>
    </row>
    <row r="287" spans="1:66" s="133" customFormat="1">
      <c r="A287" s="133">
        <v>2240012</v>
      </c>
      <c r="B287" s="133">
        <v>284</v>
      </c>
      <c r="C287" s="133">
        <v>224</v>
      </c>
      <c r="D287" s="133" t="s">
        <v>369</v>
      </c>
      <c r="E287" s="133">
        <v>12</v>
      </c>
      <c r="F287" s="133" t="str">
        <f t="shared" si="6"/>
        <v>射箭场12</v>
      </c>
      <c r="H287" s="146"/>
      <c r="I287" s="133">
        <v>2</v>
      </c>
      <c r="J287" s="150">
        <f>INDEX('#建筑消耗和buff配置索引'!AH:AH,MATCH($F287,'#建筑消耗和buff配置索引'!$M:$M,0))</f>
        <v>12960</v>
      </c>
      <c r="K287" s="150">
        <f>INDEX('#建筑消耗和buff配置索引'!AA:AA,MATCH($F287,'#建筑消耗和buff配置索引'!$M:$M,0))</f>
        <v>190000</v>
      </c>
      <c r="L287" s="150">
        <f>INDEX('#建筑消耗和buff配置索引'!AB:AB,MATCH($F287,'#建筑消耗和buff配置索引'!$M:$M,0))</f>
        <v>190000</v>
      </c>
      <c r="M287" s="150">
        <f>INDEX('#建筑消耗和buff配置索引'!AC:AC,MATCH($F287,'#建筑消耗和buff配置索引'!$M:$M,0))</f>
        <v>190000</v>
      </c>
      <c r="N287" s="150">
        <f>INDEX('#建筑消耗和buff配置索引'!AD:AD,MATCH($F287,'#建筑消耗和buff配置索引'!$M:$M,0))</f>
        <v>190000</v>
      </c>
      <c r="O287" s="150" t="str">
        <f>IF(INDEX('#建筑消耗和buff配置索引'!T:T,MATCH($F287,'#建筑消耗和buff配置索引'!$M:$M,0))=0,"",INDEX('#建筑消耗和buff配置索引'!T:T,MATCH($F287,'#建筑消耗和buff配置索引'!$M:$M,0)))</f>
        <v/>
      </c>
      <c r="P287" s="133" t="str">
        <f>IF(INDEX('#建筑消耗和buff配置索引'!U:U,MATCH($F287,'#建筑消耗和buff配置索引'!$M:$M,0))=0,"",INDEX('#建筑消耗和buff配置索引'!U:U,MATCH($F287,'#建筑消耗和buff配置索引'!$M:$M,0)))</f>
        <v/>
      </c>
      <c r="Q287" s="133" t="str">
        <f>IF(INDEX('#建筑消耗和buff配置索引'!K:K,MATCH($F287,'#建筑消耗和buff配置索引'!$M:$M,0))=0,"",INDEX('#建筑消耗和buff配置索引'!K:K,MATCH($F287,'#建筑消耗和buff配置索引'!$M:$M,0)))</f>
        <v>201;234</v>
      </c>
      <c r="R287" s="133" t="str">
        <f>IF(INDEX('#建筑消耗和buff配置索引'!L:L,MATCH($F287,'#建筑消耗和buff配置索引'!$M:$M,0))=0,"",INDEX('#建筑消耗和buff配置索引'!L:L,MATCH($F287,'#建筑消耗和buff配置索引'!$M:$M,0)))</f>
        <v>12;12</v>
      </c>
      <c r="S287" s="133">
        <f>IF(INDEX('#建筑消耗和buff配置索引'!C:C,MATCH(F287,'#建筑消耗和buff配置索引'!M:M,0))=0,1,INDEX('#建筑消耗和buff配置索引'!C:C,MATCH(F287,'#建筑消耗和buff配置索引'!M:M,0)))</f>
        <v>2</v>
      </c>
      <c r="T287" s="133">
        <v>0</v>
      </c>
      <c r="U287" s="133">
        <v>0</v>
      </c>
      <c r="V287" s="133" t="str">
        <f>IF(E287=1,IF(INDEX('#建筑消耗和buff配置索引'!BY:BY,MATCH(D287,'#建筑消耗和buff配置索引'!A:A,0))=0,"",INDEX('#建筑消耗和buff配置索引'!BY:BY,MATCH(D287,'#建筑消耗和buff配置索引'!A:A,0))),"")</f>
        <v/>
      </c>
      <c r="W287" s="133" t="str">
        <f>IF(E287=1,IF(INDEX('#建筑消耗和buff配置索引'!BZ:BZ,MATCH(D287,'#建筑消耗和buff配置索引'!A:A,0))=0,"",INDEX('#建筑消耗和buff配置索引'!BZ:BZ,MATCH(D287,'#建筑消耗和buff配置索引'!A:A,0))),"")</f>
        <v/>
      </c>
      <c r="AA287" s="133">
        <f>INDEX('#建筑消耗和buff配置索引'!AO:AO,MATCH($F287,'#建筑消耗和buff配置索引'!$M:$M,0))</f>
        <v>4273</v>
      </c>
      <c r="AB287" s="133">
        <f>IF(INDEX('#建筑消耗和buff配置索引'!AR:AR,MATCH($F287,'#建筑消耗和buff配置索引'!$M:$M,0))=0,"",INDEX('#建筑消耗和buff配置索引'!AR:AR,MATCH($F287,'#建筑消耗和buff配置索引'!$M:$M,0)))</f>
        <v>3000</v>
      </c>
      <c r="AC287" s="133">
        <f>IF(AB287="","",INDEX('#建筑消耗和buff配置索引'!AS:AS,MATCH($F287,'#建筑消耗和buff配置索引'!$M:$M,0)))</f>
        <v>5.5E-2</v>
      </c>
      <c r="AF287" s="133">
        <f>IF(INDEX('#建筑消耗和buff配置索引'!AW:AW,MATCH($F287,'#建筑消耗和buff配置索引'!$M:$M,0))=0,"",INDEX('#建筑消耗和buff配置索引'!AW:AW,MATCH($F287,'#建筑消耗和buff配置索引'!$M:$M,0)))</f>
        <v>3015</v>
      </c>
      <c r="AG287" s="133">
        <f>IF(AF287="","",INDEX('#建筑消耗和buff配置索引'!AX:AX,MATCH($F287,'#建筑消耗和buff配置索引'!$M:$M,0)))</f>
        <v>550</v>
      </c>
      <c r="AJ287" s="133" t="str">
        <f>IF(INDEX('#建筑消耗和buff配置索引'!BB:BB,MATCH($F287,'#建筑消耗和buff配置索引'!$M:$M,0))=0,"",INDEX('#建筑消耗和buff配置索引'!BB:BB,MATCH($F287,'#建筑消耗和buff配置索引'!$M:$M,0)))</f>
        <v/>
      </c>
      <c r="AK287" s="133" t="str">
        <f>IF(AJ287="","",INDEX('#建筑消耗和buff配置索引'!BC:BC,MATCH($F287,'#建筑消耗和buff配置索引'!$M:$M,0)))</f>
        <v/>
      </c>
      <c r="AN287" s="133" t="str">
        <f>IF(INDEX('#建筑消耗和buff配置索引'!BG:BG,MATCH($F287,'#建筑消耗和buff配置索引'!$M:$M,0))=0,"",INDEX('#建筑消耗和buff配置索引'!BG:BG,MATCH($F287,'#建筑消耗和buff配置索引'!$M:$M,0)))</f>
        <v/>
      </c>
      <c r="AO287" s="133" t="str">
        <f>IF(AN287="","",INDEX('#建筑消耗和buff配置索引'!BH:BH,MATCH($F287,'#建筑消耗和buff配置索引'!$M:$M,0)))</f>
        <v/>
      </c>
      <c r="AR287" s="133" t="str">
        <f>IF(INDEX('#建筑消耗和buff配置索引'!BK:BK,MATCH($F287,'#建筑消耗和buff配置索引'!$M:$M,0))=0,"",INDEX('#建筑消耗和buff配置索引'!BK:BK,MATCH($F287,'#建筑消耗和buff配置索引'!$M:$M,0)))</f>
        <v/>
      </c>
      <c r="AS287" s="133" t="str">
        <f>IF(AR287="","",INDEX('#建筑消耗和buff配置索引'!BL:BL,MATCH($F287,'#建筑消耗和buff配置索引'!$M:$M,0)))</f>
        <v/>
      </c>
      <c r="AV287" s="133" t="str">
        <f>IF(INDEX('#建筑消耗和buff配置索引'!BO:BO,MATCH($F287,'#建筑消耗和buff配置索引'!$M:$M,0))=0,"",INDEX('#建筑消耗和buff配置索引'!BO:BO,MATCH($F287,'#建筑消耗和buff配置索引'!$M:$M,0)))</f>
        <v/>
      </c>
      <c r="AW287" s="133" t="str">
        <f>IF(AV287="","",INDEX('#建筑消耗和buff配置索引'!BP:BP,MATCH($F287,'#建筑消耗和buff配置索引'!$M:$M,0)))</f>
        <v/>
      </c>
      <c r="AZ287" s="133" t="str">
        <f>IF(INDEX('#建筑消耗和buff配置索引'!BS:BS,MATCH($F287,'#建筑消耗和buff配置索引'!$M:$M,0))=0,"",INDEX('#建筑消耗和buff配置索引'!BS:BS,MATCH($F287,'#建筑消耗和buff配置索引'!$M:$M,0)))</f>
        <v/>
      </c>
      <c r="BA287" s="133" t="str">
        <f>IF(AZ287="","",INDEX('#建筑消耗和buff配置索引'!BT:BT,MATCH($F287,'#建筑消耗和buff配置索引'!$M:$M,0)))</f>
        <v/>
      </c>
      <c r="BD287" s="133" t="str">
        <f>IF(INDEX('#建筑消耗和buff配置索引'!BW:BW,MATCH($F287,'#建筑消耗和buff配置索引'!$M:$M,0))=0,"",INDEX('#建筑消耗和buff配置索引'!BW:BW,MATCH($F287,'#建筑消耗和buff配置索引'!$M:$M,0)))</f>
        <v/>
      </c>
      <c r="BE287" s="133" t="str">
        <f>IF(BD287="","",INDEX('#建筑消耗和buff配置索引'!BX:BX,MATCH($F287,'#建筑消耗和buff配置索引'!$M:$M,0)))</f>
        <v/>
      </c>
      <c r="BI287" s="133">
        <v>10</v>
      </c>
    </row>
    <row r="288" spans="1:66" s="133" customFormat="1">
      <c r="A288" s="133">
        <v>2240013</v>
      </c>
      <c r="B288" s="133">
        <v>285</v>
      </c>
      <c r="C288" s="133">
        <v>224</v>
      </c>
      <c r="D288" s="133" t="s">
        <v>369</v>
      </c>
      <c r="E288" s="133">
        <v>13</v>
      </c>
      <c r="F288" s="133" t="str">
        <f t="shared" si="6"/>
        <v>射箭场13</v>
      </c>
      <c r="H288" s="146"/>
      <c r="I288" s="133">
        <v>2</v>
      </c>
      <c r="J288" s="150">
        <f>INDEX('#建筑消耗和buff配置索引'!AH:AH,MATCH($F288,'#建筑消耗和buff配置索引'!$M:$M,0))</f>
        <v>17280</v>
      </c>
      <c r="K288" s="150">
        <f>INDEX('#建筑消耗和buff配置索引'!AA:AA,MATCH($F288,'#建筑消耗和buff配置索引'!$M:$M,0))</f>
        <v>260000</v>
      </c>
      <c r="L288" s="150">
        <f>INDEX('#建筑消耗和buff配置索引'!AB:AB,MATCH($F288,'#建筑消耗和buff配置索引'!$M:$M,0))</f>
        <v>260000</v>
      </c>
      <c r="M288" s="150">
        <f>INDEX('#建筑消耗和buff配置索引'!AC:AC,MATCH($F288,'#建筑消耗和buff配置索引'!$M:$M,0))</f>
        <v>260000</v>
      </c>
      <c r="N288" s="150">
        <f>INDEX('#建筑消耗和buff配置索引'!AD:AD,MATCH($F288,'#建筑消耗和buff配置索引'!$M:$M,0))</f>
        <v>260000</v>
      </c>
      <c r="O288" s="150" t="str">
        <f>IF(INDEX('#建筑消耗和buff配置索引'!T:T,MATCH($F288,'#建筑消耗和buff配置索引'!$M:$M,0))=0,"",INDEX('#建筑消耗和buff配置索引'!T:T,MATCH($F288,'#建筑消耗和buff配置索引'!$M:$M,0)))</f>
        <v/>
      </c>
      <c r="P288" s="133" t="str">
        <f>IF(INDEX('#建筑消耗和buff配置索引'!U:U,MATCH($F288,'#建筑消耗和buff配置索引'!$M:$M,0))=0,"",INDEX('#建筑消耗和buff配置索引'!U:U,MATCH($F288,'#建筑消耗和buff配置索引'!$M:$M,0)))</f>
        <v/>
      </c>
      <c r="Q288" s="133" t="str">
        <f>IF(INDEX('#建筑消耗和buff配置索引'!K:K,MATCH($F288,'#建筑消耗和buff配置索引'!$M:$M,0))=0,"",INDEX('#建筑消耗和buff配置索引'!K:K,MATCH($F288,'#建筑消耗和buff配置索引'!$M:$M,0)))</f>
        <v>201;234</v>
      </c>
      <c r="R288" s="133" t="str">
        <f>IF(INDEX('#建筑消耗和buff配置索引'!L:L,MATCH($F288,'#建筑消耗和buff配置索引'!$M:$M,0))=0,"",INDEX('#建筑消耗和buff配置索引'!L:L,MATCH($F288,'#建筑消耗和buff配置索引'!$M:$M,0)))</f>
        <v>13;13</v>
      </c>
      <c r="S288" s="133">
        <f>IF(INDEX('#建筑消耗和buff配置索引'!C:C,MATCH(F288,'#建筑消耗和buff配置索引'!M:M,0))=0,1,INDEX('#建筑消耗和buff配置索引'!C:C,MATCH(F288,'#建筑消耗和buff配置索引'!M:M,0)))</f>
        <v>2</v>
      </c>
      <c r="T288" s="133">
        <v>0</v>
      </c>
      <c r="U288" s="133">
        <v>0</v>
      </c>
      <c r="V288" s="133" t="str">
        <f>IF(E288=1,IF(INDEX('#建筑消耗和buff配置索引'!BY:BY,MATCH(D288,'#建筑消耗和buff配置索引'!A:A,0))=0,"",INDEX('#建筑消耗和buff配置索引'!BY:BY,MATCH(D288,'#建筑消耗和buff配置索引'!A:A,0))),"")</f>
        <v/>
      </c>
      <c r="W288" s="133" t="str">
        <f>IF(E288=1,IF(INDEX('#建筑消耗和buff配置索引'!BZ:BZ,MATCH(D288,'#建筑消耗和buff配置索引'!A:A,0))=0,"",INDEX('#建筑消耗和buff配置索引'!BZ:BZ,MATCH(D288,'#建筑消耗和buff配置索引'!A:A,0))),"")</f>
        <v/>
      </c>
      <c r="AA288" s="133">
        <f>INDEX('#建筑消耗和buff配置索引'!AO:AO,MATCH($F288,'#建筑消耗和buff配置索引'!$M:$M,0))</f>
        <v>6333</v>
      </c>
      <c r="AB288" s="133">
        <f>IF(INDEX('#建筑消耗和buff配置索引'!AR:AR,MATCH($F288,'#建筑消耗和buff配置索引'!$M:$M,0))=0,"",INDEX('#建筑消耗和buff配置索引'!AR:AR,MATCH($F288,'#建筑消耗和buff配置索引'!$M:$M,0)))</f>
        <v>3000</v>
      </c>
      <c r="AC288" s="133">
        <f>IF(AB288="","",INDEX('#建筑消耗和buff配置索引'!AS:AS,MATCH($F288,'#建筑消耗和buff配置索引'!$M:$M,0)))</f>
        <v>0.06</v>
      </c>
      <c r="AF288" s="133">
        <f>IF(INDEX('#建筑消耗和buff配置索引'!AW:AW,MATCH($F288,'#建筑消耗和buff配置索引'!$M:$M,0))=0,"",INDEX('#建筑消耗和buff配置索引'!AW:AW,MATCH($F288,'#建筑消耗和buff配置索引'!$M:$M,0)))</f>
        <v>3015</v>
      </c>
      <c r="AG288" s="133">
        <f>IF(AF288="","",INDEX('#建筑消耗和buff配置索引'!AX:AX,MATCH($F288,'#建筑消耗和buff配置索引'!$M:$M,0)))</f>
        <v>600</v>
      </c>
      <c r="AJ288" s="133" t="str">
        <f>IF(INDEX('#建筑消耗和buff配置索引'!BB:BB,MATCH($F288,'#建筑消耗和buff配置索引'!$M:$M,0))=0,"",INDEX('#建筑消耗和buff配置索引'!BB:BB,MATCH($F288,'#建筑消耗和buff配置索引'!$M:$M,0)))</f>
        <v/>
      </c>
      <c r="AK288" s="133" t="str">
        <f>IF(AJ288="","",INDEX('#建筑消耗和buff配置索引'!BC:BC,MATCH($F288,'#建筑消耗和buff配置索引'!$M:$M,0)))</f>
        <v/>
      </c>
      <c r="AN288" s="133" t="str">
        <f>IF(INDEX('#建筑消耗和buff配置索引'!BG:BG,MATCH($F288,'#建筑消耗和buff配置索引'!$M:$M,0))=0,"",INDEX('#建筑消耗和buff配置索引'!BG:BG,MATCH($F288,'#建筑消耗和buff配置索引'!$M:$M,0)))</f>
        <v/>
      </c>
      <c r="AO288" s="133" t="str">
        <f>IF(AN288="","",INDEX('#建筑消耗和buff配置索引'!BH:BH,MATCH($F288,'#建筑消耗和buff配置索引'!$M:$M,0)))</f>
        <v/>
      </c>
      <c r="AR288" s="133" t="str">
        <f>IF(INDEX('#建筑消耗和buff配置索引'!BK:BK,MATCH($F288,'#建筑消耗和buff配置索引'!$M:$M,0))=0,"",INDEX('#建筑消耗和buff配置索引'!BK:BK,MATCH($F288,'#建筑消耗和buff配置索引'!$M:$M,0)))</f>
        <v/>
      </c>
      <c r="AS288" s="133" t="str">
        <f>IF(AR288="","",INDEX('#建筑消耗和buff配置索引'!BL:BL,MATCH($F288,'#建筑消耗和buff配置索引'!$M:$M,0)))</f>
        <v/>
      </c>
      <c r="AV288" s="133" t="str">
        <f>IF(INDEX('#建筑消耗和buff配置索引'!BO:BO,MATCH($F288,'#建筑消耗和buff配置索引'!$M:$M,0))=0,"",INDEX('#建筑消耗和buff配置索引'!BO:BO,MATCH($F288,'#建筑消耗和buff配置索引'!$M:$M,0)))</f>
        <v/>
      </c>
      <c r="AW288" s="133" t="str">
        <f>IF(AV288="","",INDEX('#建筑消耗和buff配置索引'!BP:BP,MATCH($F288,'#建筑消耗和buff配置索引'!$M:$M,0)))</f>
        <v/>
      </c>
      <c r="AZ288" s="133" t="str">
        <f>IF(INDEX('#建筑消耗和buff配置索引'!BS:BS,MATCH($F288,'#建筑消耗和buff配置索引'!$M:$M,0))=0,"",INDEX('#建筑消耗和buff配置索引'!BS:BS,MATCH($F288,'#建筑消耗和buff配置索引'!$M:$M,0)))</f>
        <v/>
      </c>
      <c r="BA288" s="133" t="str">
        <f>IF(AZ288="","",INDEX('#建筑消耗和buff配置索引'!BT:BT,MATCH($F288,'#建筑消耗和buff配置索引'!$M:$M,0)))</f>
        <v/>
      </c>
      <c r="BD288" s="133" t="str">
        <f>IF(INDEX('#建筑消耗和buff配置索引'!BW:BW,MATCH($F288,'#建筑消耗和buff配置索引'!$M:$M,0))=0,"",INDEX('#建筑消耗和buff配置索引'!BW:BW,MATCH($F288,'#建筑消耗和buff配置索引'!$M:$M,0)))</f>
        <v/>
      </c>
      <c r="BE288" s="133" t="str">
        <f>IF(BD288="","",INDEX('#建筑消耗和buff配置索引'!BX:BX,MATCH($F288,'#建筑消耗和buff配置索引'!$M:$M,0)))</f>
        <v/>
      </c>
      <c r="BI288" s="133">
        <v>10</v>
      </c>
    </row>
    <row r="289" spans="1:61" s="133" customFormat="1">
      <c r="A289" s="133">
        <v>2240014</v>
      </c>
      <c r="B289" s="133">
        <v>286</v>
      </c>
      <c r="C289" s="133">
        <v>224</v>
      </c>
      <c r="D289" s="133" t="s">
        <v>369</v>
      </c>
      <c r="E289" s="133">
        <v>14</v>
      </c>
      <c r="F289" s="133" t="str">
        <f t="shared" si="6"/>
        <v>射箭场14</v>
      </c>
      <c r="H289" s="146"/>
      <c r="I289" s="133">
        <v>2</v>
      </c>
      <c r="J289" s="150">
        <f>INDEX('#建筑消耗和buff配置索引'!AH:AH,MATCH($F289,'#建筑消耗和buff配置索引'!$M:$M,0))</f>
        <v>21600</v>
      </c>
      <c r="K289" s="150">
        <f>INDEX('#建筑消耗和buff配置索引'!AA:AA,MATCH($F289,'#建筑消耗和buff配置索引'!$M:$M,0))</f>
        <v>330000</v>
      </c>
      <c r="L289" s="150">
        <f>INDEX('#建筑消耗和buff配置索引'!AB:AB,MATCH($F289,'#建筑消耗和buff配置索引'!$M:$M,0))</f>
        <v>330000</v>
      </c>
      <c r="M289" s="150">
        <f>INDEX('#建筑消耗和buff配置索引'!AC:AC,MATCH($F289,'#建筑消耗和buff配置索引'!$M:$M,0))</f>
        <v>330000</v>
      </c>
      <c r="N289" s="150">
        <f>INDEX('#建筑消耗和buff配置索引'!AD:AD,MATCH($F289,'#建筑消耗和buff配置索引'!$M:$M,0))</f>
        <v>330000</v>
      </c>
      <c r="O289" s="150" t="str">
        <f>IF(INDEX('#建筑消耗和buff配置索引'!T:T,MATCH($F289,'#建筑消耗和buff配置索引'!$M:$M,0))=0,"",INDEX('#建筑消耗和buff配置索引'!T:T,MATCH($F289,'#建筑消耗和buff配置索引'!$M:$M,0)))</f>
        <v/>
      </c>
      <c r="P289" s="133" t="str">
        <f>IF(INDEX('#建筑消耗和buff配置索引'!U:U,MATCH($F289,'#建筑消耗和buff配置索引'!$M:$M,0))=0,"",INDEX('#建筑消耗和buff配置索引'!U:U,MATCH($F289,'#建筑消耗和buff配置索引'!$M:$M,0)))</f>
        <v/>
      </c>
      <c r="Q289" s="133" t="str">
        <f>IF(INDEX('#建筑消耗和buff配置索引'!K:K,MATCH($F289,'#建筑消耗和buff配置索引'!$M:$M,0))=0,"",INDEX('#建筑消耗和buff配置索引'!K:K,MATCH($F289,'#建筑消耗和buff配置索引'!$M:$M,0)))</f>
        <v>201;234</v>
      </c>
      <c r="R289" s="133" t="str">
        <f>IF(INDEX('#建筑消耗和buff配置索引'!L:L,MATCH($F289,'#建筑消耗和buff配置索引'!$M:$M,0))=0,"",INDEX('#建筑消耗和buff配置索引'!L:L,MATCH($F289,'#建筑消耗和buff配置索引'!$M:$M,0)))</f>
        <v>14;14</v>
      </c>
      <c r="S289" s="133">
        <f>IF(INDEX('#建筑消耗和buff配置索引'!C:C,MATCH(F289,'#建筑消耗和buff配置索引'!M:M,0))=0,1,INDEX('#建筑消耗和buff配置索引'!C:C,MATCH(F289,'#建筑消耗和buff配置索引'!M:M,0)))</f>
        <v>2</v>
      </c>
      <c r="T289" s="133">
        <v>0</v>
      </c>
      <c r="U289" s="133">
        <v>0</v>
      </c>
      <c r="V289" s="133" t="str">
        <f>IF(E289=1,IF(INDEX('#建筑消耗和buff配置索引'!BY:BY,MATCH(D289,'#建筑消耗和buff配置索引'!A:A,0))=0,"",INDEX('#建筑消耗和buff配置索引'!BY:BY,MATCH(D289,'#建筑消耗和buff配置索引'!A:A,0))),"")</f>
        <v/>
      </c>
      <c r="W289" s="133" t="str">
        <f>IF(E289=1,IF(INDEX('#建筑消耗和buff配置索引'!BZ:BZ,MATCH(D289,'#建筑消耗和buff配置索引'!A:A,0))=0,"",INDEX('#建筑消耗和buff配置索引'!BZ:BZ,MATCH(D289,'#建筑消耗和buff配置索引'!A:A,0))),"")</f>
        <v/>
      </c>
      <c r="AA289" s="133">
        <f>INDEX('#建筑消耗和buff配置索引'!AO:AO,MATCH($F289,'#建筑消耗和buff配置索引'!$M:$M,0))</f>
        <v>9011</v>
      </c>
      <c r="AB289" s="133">
        <f>IF(INDEX('#建筑消耗和buff配置索引'!AR:AR,MATCH($F289,'#建筑消耗和buff配置索引'!$M:$M,0))=0,"",INDEX('#建筑消耗和buff配置索引'!AR:AR,MATCH($F289,'#建筑消耗和buff配置索引'!$M:$M,0)))</f>
        <v>3000</v>
      </c>
      <c r="AC289" s="133">
        <f>IF(AB289="","",INDEX('#建筑消耗和buff配置索引'!AS:AS,MATCH($F289,'#建筑消耗和buff配置索引'!$M:$M,0)))</f>
        <v>6.5000000000000002E-2</v>
      </c>
      <c r="AF289" s="133">
        <f>IF(INDEX('#建筑消耗和buff配置索引'!AW:AW,MATCH($F289,'#建筑消耗和buff配置索引'!$M:$M,0))=0,"",INDEX('#建筑消耗和buff配置索引'!AW:AW,MATCH($F289,'#建筑消耗和buff配置索引'!$M:$M,0)))</f>
        <v>3015</v>
      </c>
      <c r="AG289" s="133">
        <f>IF(AF289="","",INDEX('#建筑消耗和buff配置索引'!AX:AX,MATCH($F289,'#建筑消耗和buff配置索引'!$M:$M,0)))</f>
        <v>650</v>
      </c>
      <c r="AJ289" s="133" t="str">
        <f>IF(INDEX('#建筑消耗和buff配置索引'!BB:BB,MATCH($F289,'#建筑消耗和buff配置索引'!$M:$M,0))=0,"",INDEX('#建筑消耗和buff配置索引'!BB:BB,MATCH($F289,'#建筑消耗和buff配置索引'!$M:$M,0)))</f>
        <v/>
      </c>
      <c r="AK289" s="133" t="str">
        <f>IF(AJ289="","",INDEX('#建筑消耗和buff配置索引'!BC:BC,MATCH($F289,'#建筑消耗和buff配置索引'!$M:$M,0)))</f>
        <v/>
      </c>
      <c r="AN289" s="133" t="str">
        <f>IF(INDEX('#建筑消耗和buff配置索引'!BG:BG,MATCH($F289,'#建筑消耗和buff配置索引'!$M:$M,0))=0,"",INDEX('#建筑消耗和buff配置索引'!BG:BG,MATCH($F289,'#建筑消耗和buff配置索引'!$M:$M,0)))</f>
        <v/>
      </c>
      <c r="AO289" s="133" t="str">
        <f>IF(AN289="","",INDEX('#建筑消耗和buff配置索引'!BH:BH,MATCH($F289,'#建筑消耗和buff配置索引'!$M:$M,0)))</f>
        <v/>
      </c>
      <c r="AR289" s="133" t="str">
        <f>IF(INDEX('#建筑消耗和buff配置索引'!BK:BK,MATCH($F289,'#建筑消耗和buff配置索引'!$M:$M,0))=0,"",INDEX('#建筑消耗和buff配置索引'!BK:BK,MATCH($F289,'#建筑消耗和buff配置索引'!$M:$M,0)))</f>
        <v/>
      </c>
      <c r="AS289" s="133" t="str">
        <f>IF(AR289="","",INDEX('#建筑消耗和buff配置索引'!BL:BL,MATCH($F289,'#建筑消耗和buff配置索引'!$M:$M,0)))</f>
        <v/>
      </c>
      <c r="AV289" s="133" t="str">
        <f>IF(INDEX('#建筑消耗和buff配置索引'!BO:BO,MATCH($F289,'#建筑消耗和buff配置索引'!$M:$M,0))=0,"",INDEX('#建筑消耗和buff配置索引'!BO:BO,MATCH($F289,'#建筑消耗和buff配置索引'!$M:$M,0)))</f>
        <v/>
      </c>
      <c r="AW289" s="133" t="str">
        <f>IF(AV289="","",INDEX('#建筑消耗和buff配置索引'!BP:BP,MATCH($F289,'#建筑消耗和buff配置索引'!$M:$M,0)))</f>
        <v/>
      </c>
      <c r="AZ289" s="133" t="str">
        <f>IF(INDEX('#建筑消耗和buff配置索引'!BS:BS,MATCH($F289,'#建筑消耗和buff配置索引'!$M:$M,0))=0,"",INDEX('#建筑消耗和buff配置索引'!BS:BS,MATCH($F289,'#建筑消耗和buff配置索引'!$M:$M,0)))</f>
        <v/>
      </c>
      <c r="BA289" s="133" t="str">
        <f>IF(AZ289="","",INDEX('#建筑消耗和buff配置索引'!BT:BT,MATCH($F289,'#建筑消耗和buff配置索引'!$M:$M,0)))</f>
        <v/>
      </c>
      <c r="BD289" s="133" t="str">
        <f>IF(INDEX('#建筑消耗和buff配置索引'!BW:BW,MATCH($F289,'#建筑消耗和buff配置索引'!$M:$M,0))=0,"",INDEX('#建筑消耗和buff配置索引'!BW:BW,MATCH($F289,'#建筑消耗和buff配置索引'!$M:$M,0)))</f>
        <v/>
      </c>
      <c r="BE289" s="133" t="str">
        <f>IF(BD289="","",INDEX('#建筑消耗和buff配置索引'!BX:BX,MATCH($F289,'#建筑消耗和buff配置索引'!$M:$M,0)))</f>
        <v/>
      </c>
      <c r="BI289" s="133">
        <v>10</v>
      </c>
    </row>
    <row r="290" spans="1:61" s="133" customFormat="1">
      <c r="A290" s="133">
        <v>2240015</v>
      </c>
      <c r="B290" s="133">
        <v>287</v>
      </c>
      <c r="C290" s="133">
        <v>224</v>
      </c>
      <c r="D290" s="133" t="s">
        <v>369</v>
      </c>
      <c r="E290" s="133">
        <v>15</v>
      </c>
      <c r="F290" s="133" t="str">
        <f t="shared" si="6"/>
        <v>射箭场15</v>
      </c>
      <c r="H290" s="146"/>
      <c r="I290" s="133">
        <v>2</v>
      </c>
      <c r="J290" s="150">
        <f>INDEX('#建筑消耗和buff配置索引'!AH:AH,MATCH($F290,'#建筑消耗和buff配置索引'!$M:$M,0))</f>
        <v>25920</v>
      </c>
      <c r="K290" s="150">
        <f>INDEX('#建筑消耗和buff配置索引'!AA:AA,MATCH($F290,'#建筑消耗和buff配置索引'!$M:$M,0))</f>
        <v>430000</v>
      </c>
      <c r="L290" s="150">
        <f>INDEX('#建筑消耗和buff配置索引'!AB:AB,MATCH($F290,'#建筑消耗和buff配置索引'!$M:$M,0))</f>
        <v>430000</v>
      </c>
      <c r="M290" s="150">
        <f>INDEX('#建筑消耗和buff配置索引'!AC:AC,MATCH($F290,'#建筑消耗和buff配置索引'!$M:$M,0))</f>
        <v>430000</v>
      </c>
      <c r="N290" s="150">
        <f>INDEX('#建筑消耗和buff配置索引'!AD:AD,MATCH($F290,'#建筑消耗和buff配置索引'!$M:$M,0))</f>
        <v>430000</v>
      </c>
      <c r="O290" s="150" t="str">
        <f>IF(INDEX('#建筑消耗和buff配置索引'!T:T,MATCH($F290,'#建筑消耗和buff配置索引'!$M:$M,0))=0,"",INDEX('#建筑消耗和buff配置索引'!T:T,MATCH($F290,'#建筑消耗和buff配置索引'!$M:$M,0)))</f>
        <v/>
      </c>
      <c r="P290" s="133" t="str">
        <f>IF(INDEX('#建筑消耗和buff配置索引'!U:U,MATCH($F290,'#建筑消耗和buff配置索引'!$M:$M,0))=0,"",INDEX('#建筑消耗和buff配置索引'!U:U,MATCH($F290,'#建筑消耗和buff配置索引'!$M:$M,0)))</f>
        <v/>
      </c>
      <c r="Q290" s="133" t="str">
        <f>IF(INDEX('#建筑消耗和buff配置索引'!K:K,MATCH($F290,'#建筑消耗和buff配置索引'!$M:$M,0))=0,"",INDEX('#建筑消耗和buff配置索引'!K:K,MATCH($F290,'#建筑消耗和buff配置索引'!$M:$M,0)))</f>
        <v>201;234</v>
      </c>
      <c r="R290" s="133" t="str">
        <f>IF(INDEX('#建筑消耗和buff配置索引'!L:L,MATCH($F290,'#建筑消耗和buff配置索引'!$M:$M,0))=0,"",INDEX('#建筑消耗和buff配置索引'!L:L,MATCH($F290,'#建筑消耗和buff配置索引'!$M:$M,0)))</f>
        <v>15;15</v>
      </c>
      <c r="S290" s="133">
        <f>IF(INDEX('#建筑消耗和buff配置索引'!C:C,MATCH(F290,'#建筑消耗和buff配置索引'!M:M,0))=0,1,INDEX('#建筑消耗和buff配置索引'!C:C,MATCH(F290,'#建筑消耗和buff配置索引'!M:M,0)))</f>
        <v>2</v>
      </c>
      <c r="T290" s="133">
        <v>0</v>
      </c>
      <c r="U290" s="133">
        <v>0</v>
      </c>
      <c r="V290" s="133" t="str">
        <f>IF(E290=1,IF(INDEX('#建筑消耗和buff配置索引'!BY:BY,MATCH(D290,'#建筑消耗和buff配置索引'!A:A,0))=0,"",INDEX('#建筑消耗和buff配置索引'!BY:BY,MATCH(D290,'#建筑消耗和buff配置索引'!A:A,0))),"")</f>
        <v/>
      </c>
      <c r="W290" s="133" t="str">
        <f>IF(E290=1,IF(INDEX('#建筑消耗和buff配置索引'!BZ:BZ,MATCH(D290,'#建筑消耗和buff配置索引'!A:A,0))=0,"",INDEX('#建筑消耗和buff配置索引'!BZ:BZ,MATCH(D290,'#建筑消耗和buff配置索引'!A:A,0))),"")</f>
        <v/>
      </c>
      <c r="AA290" s="133">
        <f>INDEX('#建筑消耗和buff配置索引'!AO:AO,MATCH($F290,'#建筑消耗和buff配置索引'!$M:$M,0))</f>
        <v>12439</v>
      </c>
      <c r="AB290" s="133">
        <f>IF(INDEX('#建筑消耗和buff配置索引'!AR:AR,MATCH($F290,'#建筑消耗和buff配置索引'!$M:$M,0))=0,"",INDEX('#建筑消耗和buff配置索引'!AR:AR,MATCH($F290,'#建筑消耗和buff配置索引'!$M:$M,0)))</f>
        <v>3000</v>
      </c>
      <c r="AC290" s="133">
        <f>IF(AB290="","",INDEX('#建筑消耗和buff配置索引'!AS:AS,MATCH($F290,'#建筑消耗和buff配置索引'!$M:$M,0)))</f>
        <v>7.0000000000000007E-2</v>
      </c>
      <c r="AF290" s="133">
        <f>IF(INDEX('#建筑消耗和buff配置索引'!AW:AW,MATCH($F290,'#建筑消耗和buff配置索引'!$M:$M,0))=0,"",INDEX('#建筑消耗和buff配置索引'!AW:AW,MATCH($F290,'#建筑消耗和buff配置索引'!$M:$M,0)))</f>
        <v>3015</v>
      </c>
      <c r="AG290" s="133">
        <f>IF(AF290="","",INDEX('#建筑消耗和buff配置索引'!AX:AX,MATCH($F290,'#建筑消耗和buff配置索引'!$M:$M,0)))</f>
        <v>700</v>
      </c>
      <c r="AJ290" s="133" t="str">
        <f>IF(INDEX('#建筑消耗和buff配置索引'!BB:BB,MATCH($F290,'#建筑消耗和buff配置索引'!$M:$M,0))=0,"",INDEX('#建筑消耗和buff配置索引'!BB:BB,MATCH($F290,'#建筑消耗和buff配置索引'!$M:$M,0)))</f>
        <v/>
      </c>
      <c r="AK290" s="133" t="str">
        <f>IF(AJ290="","",INDEX('#建筑消耗和buff配置索引'!BC:BC,MATCH($F290,'#建筑消耗和buff配置索引'!$M:$M,0)))</f>
        <v/>
      </c>
      <c r="AN290" s="133" t="str">
        <f>IF(INDEX('#建筑消耗和buff配置索引'!BG:BG,MATCH($F290,'#建筑消耗和buff配置索引'!$M:$M,0))=0,"",INDEX('#建筑消耗和buff配置索引'!BG:BG,MATCH($F290,'#建筑消耗和buff配置索引'!$M:$M,0)))</f>
        <v/>
      </c>
      <c r="AO290" s="133" t="str">
        <f>IF(AN290="","",INDEX('#建筑消耗和buff配置索引'!BH:BH,MATCH($F290,'#建筑消耗和buff配置索引'!$M:$M,0)))</f>
        <v/>
      </c>
      <c r="AR290" s="133" t="str">
        <f>IF(INDEX('#建筑消耗和buff配置索引'!BK:BK,MATCH($F290,'#建筑消耗和buff配置索引'!$M:$M,0))=0,"",INDEX('#建筑消耗和buff配置索引'!BK:BK,MATCH($F290,'#建筑消耗和buff配置索引'!$M:$M,0)))</f>
        <v/>
      </c>
      <c r="AS290" s="133" t="str">
        <f>IF(AR290="","",INDEX('#建筑消耗和buff配置索引'!BL:BL,MATCH($F290,'#建筑消耗和buff配置索引'!$M:$M,0)))</f>
        <v/>
      </c>
      <c r="AV290" s="133" t="str">
        <f>IF(INDEX('#建筑消耗和buff配置索引'!BO:BO,MATCH($F290,'#建筑消耗和buff配置索引'!$M:$M,0))=0,"",INDEX('#建筑消耗和buff配置索引'!BO:BO,MATCH($F290,'#建筑消耗和buff配置索引'!$M:$M,0)))</f>
        <v/>
      </c>
      <c r="AW290" s="133" t="str">
        <f>IF(AV290="","",INDEX('#建筑消耗和buff配置索引'!BP:BP,MATCH($F290,'#建筑消耗和buff配置索引'!$M:$M,0)))</f>
        <v/>
      </c>
      <c r="AZ290" s="133" t="str">
        <f>IF(INDEX('#建筑消耗和buff配置索引'!BS:BS,MATCH($F290,'#建筑消耗和buff配置索引'!$M:$M,0))=0,"",INDEX('#建筑消耗和buff配置索引'!BS:BS,MATCH($F290,'#建筑消耗和buff配置索引'!$M:$M,0)))</f>
        <v/>
      </c>
      <c r="BA290" s="133" t="str">
        <f>IF(AZ290="","",INDEX('#建筑消耗和buff配置索引'!BT:BT,MATCH($F290,'#建筑消耗和buff配置索引'!$M:$M,0)))</f>
        <v/>
      </c>
      <c r="BD290" s="133" t="str">
        <f>IF(INDEX('#建筑消耗和buff配置索引'!BW:BW,MATCH($F290,'#建筑消耗和buff配置索引'!$M:$M,0))=0,"",INDEX('#建筑消耗和buff配置索引'!BW:BW,MATCH($F290,'#建筑消耗和buff配置索引'!$M:$M,0)))</f>
        <v/>
      </c>
      <c r="BE290" s="133" t="str">
        <f>IF(BD290="","",INDEX('#建筑消耗和buff配置索引'!BX:BX,MATCH($F290,'#建筑消耗和buff配置索引'!$M:$M,0)))</f>
        <v/>
      </c>
      <c r="BI290" s="133">
        <v>10</v>
      </c>
    </row>
    <row r="291" spans="1:61" s="133" customFormat="1">
      <c r="A291" s="133">
        <v>2240016</v>
      </c>
      <c r="B291" s="133">
        <v>288</v>
      </c>
      <c r="C291" s="133">
        <v>224</v>
      </c>
      <c r="D291" s="133" t="s">
        <v>369</v>
      </c>
      <c r="E291" s="133">
        <v>16</v>
      </c>
      <c r="F291" s="133" t="str">
        <f t="shared" si="6"/>
        <v>射箭场16</v>
      </c>
      <c r="H291" s="146"/>
      <c r="I291" s="133">
        <v>2</v>
      </c>
      <c r="J291" s="150">
        <f>INDEX('#建筑消耗和buff配置索引'!AH:AH,MATCH($F291,'#建筑消耗和buff配置索引'!$M:$M,0))</f>
        <v>32400</v>
      </c>
      <c r="K291" s="150">
        <f>INDEX('#建筑消耗和buff配置索引'!AA:AA,MATCH($F291,'#建筑消耗和buff配置索引'!$M:$M,0))</f>
        <v>550000</v>
      </c>
      <c r="L291" s="150">
        <f>INDEX('#建筑消耗和buff配置索引'!AB:AB,MATCH($F291,'#建筑消耗和buff配置索引'!$M:$M,0))</f>
        <v>550000</v>
      </c>
      <c r="M291" s="150">
        <f>INDEX('#建筑消耗和buff配置索引'!AC:AC,MATCH($F291,'#建筑消耗和buff配置索引'!$M:$M,0))</f>
        <v>550000</v>
      </c>
      <c r="N291" s="150">
        <f>INDEX('#建筑消耗和buff配置索引'!AD:AD,MATCH($F291,'#建筑消耗和buff配置索引'!$M:$M,0))</f>
        <v>550000</v>
      </c>
      <c r="O291" s="150" t="str">
        <f>IF(INDEX('#建筑消耗和buff配置索引'!T:T,MATCH($F291,'#建筑消耗和buff配置索引'!$M:$M,0))=0,"",INDEX('#建筑消耗和buff配置索引'!T:T,MATCH($F291,'#建筑消耗和buff配置索引'!$M:$M,0)))</f>
        <v/>
      </c>
      <c r="P291" s="133" t="str">
        <f>IF(INDEX('#建筑消耗和buff配置索引'!U:U,MATCH($F291,'#建筑消耗和buff配置索引'!$M:$M,0))=0,"",INDEX('#建筑消耗和buff配置索引'!U:U,MATCH($F291,'#建筑消耗和buff配置索引'!$M:$M,0)))</f>
        <v/>
      </c>
      <c r="Q291" s="133" t="str">
        <f>IF(INDEX('#建筑消耗和buff配置索引'!K:K,MATCH($F291,'#建筑消耗和buff配置索引'!$M:$M,0))=0,"",INDEX('#建筑消耗和buff配置索引'!K:K,MATCH($F291,'#建筑消耗和buff配置索引'!$M:$M,0)))</f>
        <v>201;234</v>
      </c>
      <c r="R291" s="133" t="str">
        <f>IF(INDEX('#建筑消耗和buff配置索引'!L:L,MATCH($F291,'#建筑消耗和buff配置索引'!$M:$M,0))=0,"",INDEX('#建筑消耗和buff配置索引'!L:L,MATCH($F291,'#建筑消耗和buff配置索引'!$M:$M,0)))</f>
        <v>16;16</v>
      </c>
      <c r="S291" s="133">
        <f>IF(INDEX('#建筑消耗和buff配置索引'!C:C,MATCH(F291,'#建筑消耗和buff配置索引'!M:M,0))=0,1,INDEX('#建筑消耗和buff配置索引'!C:C,MATCH(F291,'#建筑消耗和buff配置索引'!M:M,0)))</f>
        <v>2</v>
      </c>
      <c r="T291" s="133">
        <v>0</v>
      </c>
      <c r="U291" s="133">
        <v>0</v>
      </c>
      <c r="V291" s="133" t="str">
        <f>IF(E291=1,IF(INDEX('#建筑消耗和buff配置索引'!BY:BY,MATCH(D291,'#建筑消耗和buff配置索引'!A:A,0))=0,"",INDEX('#建筑消耗和buff配置索引'!BY:BY,MATCH(D291,'#建筑消耗和buff配置索引'!A:A,0))),"")</f>
        <v/>
      </c>
      <c r="W291" s="133" t="str">
        <f>IF(E291=1,IF(INDEX('#建筑消耗和buff配置索引'!BZ:BZ,MATCH(D291,'#建筑消耗和buff配置索引'!A:A,0))=0,"",INDEX('#建筑消耗和buff配置索引'!BZ:BZ,MATCH(D291,'#建筑消耗和buff配置索引'!A:A,0))),"")</f>
        <v/>
      </c>
      <c r="X291" s="133" t="str">
        <f>INDEX('#建筑消耗和buff配置索引'!BC:BC,MATCH(F291,'#建筑消耗和buff配置索引'!M:M,0))*100&amp;"%"</f>
        <v>0%</v>
      </c>
      <c r="AA291" s="133">
        <f>INDEX('#建筑消耗和buff配置索引'!AO:AO,MATCH($F291,'#建筑消耗和buff配置索引'!$M:$M,0))</f>
        <v>16827</v>
      </c>
      <c r="AB291" s="133">
        <f>IF(INDEX('#建筑消耗和buff配置索引'!AR:AR,MATCH($F291,'#建筑消耗和buff配置索引'!$M:$M,0))=0,"",INDEX('#建筑消耗和buff配置索引'!AR:AR,MATCH($F291,'#建筑消耗和buff配置索引'!$M:$M,0)))</f>
        <v>3000</v>
      </c>
      <c r="AC291" s="133">
        <f>IF(AB291="","",INDEX('#建筑消耗和buff配置索引'!AS:AS,MATCH($F291,'#建筑消耗和buff配置索引'!$M:$M,0)))</f>
        <v>7.4999999999999997E-2</v>
      </c>
      <c r="AF291" s="133">
        <f>IF(INDEX('#建筑消耗和buff配置索引'!AW:AW,MATCH($F291,'#建筑消耗和buff配置索引'!$M:$M,0))=0,"",INDEX('#建筑消耗和buff配置索引'!AW:AW,MATCH($F291,'#建筑消耗和buff配置索引'!$M:$M,0)))</f>
        <v>3015</v>
      </c>
      <c r="AG291" s="133">
        <f>IF(AF291="","",INDEX('#建筑消耗和buff配置索引'!AX:AX,MATCH($F291,'#建筑消耗和buff配置索引'!$M:$M,0)))</f>
        <v>750</v>
      </c>
      <c r="AJ291" s="133" t="str">
        <f>IF(INDEX('#建筑消耗和buff配置索引'!BB:BB,MATCH($F291,'#建筑消耗和buff配置索引'!$M:$M,0))=0,"",INDEX('#建筑消耗和buff配置索引'!BB:BB,MATCH($F291,'#建筑消耗和buff配置索引'!$M:$M,0)))</f>
        <v/>
      </c>
      <c r="AK291" s="133" t="str">
        <f>IF(AJ291="","",INDEX('#建筑消耗和buff配置索引'!BC:BC,MATCH($F291,'#建筑消耗和buff配置索引'!$M:$M,0)))</f>
        <v/>
      </c>
      <c r="AN291" s="133" t="str">
        <f>IF(INDEX('#建筑消耗和buff配置索引'!BG:BG,MATCH($F291,'#建筑消耗和buff配置索引'!$M:$M,0))=0,"",INDEX('#建筑消耗和buff配置索引'!BG:BG,MATCH($F291,'#建筑消耗和buff配置索引'!$M:$M,0)))</f>
        <v/>
      </c>
      <c r="AO291" s="133" t="str">
        <f>IF(AN291="","",INDEX('#建筑消耗和buff配置索引'!BH:BH,MATCH($F291,'#建筑消耗和buff配置索引'!$M:$M,0)))</f>
        <v/>
      </c>
      <c r="AR291" s="133" t="str">
        <f>IF(INDEX('#建筑消耗和buff配置索引'!BK:BK,MATCH($F291,'#建筑消耗和buff配置索引'!$M:$M,0))=0,"",INDEX('#建筑消耗和buff配置索引'!BK:BK,MATCH($F291,'#建筑消耗和buff配置索引'!$M:$M,0)))</f>
        <v/>
      </c>
      <c r="AS291" s="133" t="str">
        <f>IF(AR291="","",INDEX('#建筑消耗和buff配置索引'!BL:BL,MATCH($F291,'#建筑消耗和buff配置索引'!$M:$M,0)))</f>
        <v/>
      </c>
      <c r="AV291" s="133" t="str">
        <f>IF(INDEX('#建筑消耗和buff配置索引'!BO:BO,MATCH($F291,'#建筑消耗和buff配置索引'!$M:$M,0))=0,"",INDEX('#建筑消耗和buff配置索引'!BO:BO,MATCH($F291,'#建筑消耗和buff配置索引'!$M:$M,0)))</f>
        <v/>
      </c>
      <c r="AW291" s="133" t="str">
        <f>IF(AV291="","",INDEX('#建筑消耗和buff配置索引'!BP:BP,MATCH($F291,'#建筑消耗和buff配置索引'!$M:$M,0)))</f>
        <v/>
      </c>
      <c r="AZ291" s="133" t="str">
        <f>IF(INDEX('#建筑消耗和buff配置索引'!BS:BS,MATCH($F291,'#建筑消耗和buff配置索引'!$M:$M,0))=0,"",INDEX('#建筑消耗和buff配置索引'!BS:BS,MATCH($F291,'#建筑消耗和buff配置索引'!$M:$M,0)))</f>
        <v/>
      </c>
      <c r="BA291" s="133" t="str">
        <f>IF(AZ291="","",INDEX('#建筑消耗和buff配置索引'!BT:BT,MATCH($F291,'#建筑消耗和buff配置索引'!$M:$M,0)))</f>
        <v/>
      </c>
      <c r="BD291" s="133" t="str">
        <f>IF(INDEX('#建筑消耗和buff配置索引'!BW:BW,MATCH($F291,'#建筑消耗和buff配置索引'!$M:$M,0))=0,"",INDEX('#建筑消耗和buff配置索引'!BW:BW,MATCH($F291,'#建筑消耗和buff配置索引'!$M:$M,0)))</f>
        <v/>
      </c>
      <c r="BE291" s="133" t="str">
        <f>IF(BD291="","",INDEX('#建筑消耗和buff配置索引'!BX:BX,MATCH($F291,'#建筑消耗和buff配置索引'!$M:$M,0)))</f>
        <v/>
      </c>
      <c r="BI291" s="133">
        <v>10</v>
      </c>
    </row>
    <row r="292" spans="1:61" s="133" customFormat="1">
      <c r="A292" s="133">
        <v>2240017</v>
      </c>
      <c r="B292" s="133">
        <v>289</v>
      </c>
      <c r="C292" s="133">
        <v>224</v>
      </c>
      <c r="D292" s="133" t="s">
        <v>369</v>
      </c>
      <c r="E292" s="133">
        <v>17</v>
      </c>
      <c r="F292" s="133" t="str">
        <f t="shared" si="6"/>
        <v>射箭场17</v>
      </c>
      <c r="H292" s="146"/>
      <c r="I292" s="133">
        <v>2</v>
      </c>
      <c r="J292" s="150">
        <f>INDEX('#建筑消耗和buff配置索引'!AH:AH,MATCH($F292,'#建筑消耗和buff配置索引'!$M:$M,0))</f>
        <v>43200</v>
      </c>
      <c r="K292" s="150">
        <f>INDEX('#建筑消耗和buff配置索引'!AA:AA,MATCH($F292,'#建筑消耗和buff配置索引'!$M:$M,0))</f>
        <v>700000</v>
      </c>
      <c r="L292" s="150">
        <f>INDEX('#建筑消耗和buff配置索引'!AB:AB,MATCH($F292,'#建筑消耗和buff配置索引'!$M:$M,0))</f>
        <v>700000</v>
      </c>
      <c r="M292" s="150">
        <f>INDEX('#建筑消耗和buff配置索引'!AC:AC,MATCH($F292,'#建筑消耗和buff配置索引'!$M:$M,0))</f>
        <v>700000</v>
      </c>
      <c r="N292" s="150">
        <f>INDEX('#建筑消耗和buff配置索引'!AD:AD,MATCH($F292,'#建筑消耗和buff配置索引'!$M:$M,0))</f>
        <v>700000</v>
      </c>
      <c r="O292" s="150" t="str">
        <f>IF(INDEX('#建筑消耗和buff配置索引'!T:T,MATCH($F292,'#建筑消耗和buff配置索引'!$M:$M,0))=0,"",INDEX('#建筑消耗和buff配置索引'!T:T,MATCH($F292,'#建筑消耗和buff配置索引'!$M:$M,0)))</f>
        <v/>
      </c>
      <c r="P292" s="133" t="str">
        <f>IF(INDEX('#建筑消耗和buff配置索引'!U:U,MATCH($F292,'#建筑消耗和buff配置索引'!$M:$M,0))=0,"",INDEX('#建筑消耗和buff配置索引'!U:U,MATCH($F292,'#建筑消耗和buff配置索引'!$M:$M,0)))</f>
        <v/>
      </c>
      <c r="Q292" s="133" t="str">
        <f>IF(INDEX('#建筑消耗和buff配置索引'!K:K,MATCH($F292,'#建筑消耗和buff配置索引'!$M:$M,0))=0,"",INDEX('#建筑消耗和buff配置索引'!K:K,MATCH($F292,'#建筑消耗和buff配置索引'!$M:$M,0)))</f>
        <v>201;234</v>
      </c>
      <c r="R292" s="133" t="str">
        <f>IF(INDEX('#建筑消耗和buff配置索引'!L:L,MATCH($F292,'#建筑消耗和buff配置索引'!$M:$M,0))=0,"",INDEX('#建筑消耗和buff配置索引'!L:L,MATCH($F292,'#建筑消耗和buff配置索引'!$M:$M,0)))</f>
        <v>17;17</v>
      </c>
      <c r="S292" s="133">
        <f>IF(INDEX('#建筑消耗和buff配置索引'!C:C,MATCH(F292,'#建筑消耗和buff配置索引'!M:M,0))=0,1,INDEX('#建筑消耗和buff配置索引'!C:C,MATCH(F292,'#建筑消耗和buff配置索引'!M:M,0)))</f>
        <v>2</v>
      </c>
      <c r="T292" s="133">
        <v>0</v>
      </c>
      <c r="U292" s="133">
        <v>0</v>
      </c>
      <c r="V292" s="133" t="str">
        <f>IF(E292=1,IF(INDEX('#建筑消耗和buff配置索引'!BY:BY,MATCH(D292,'#建筑消耗和buff配置索引'!A:A,0))=0,"",INDEX('#建筑消耗和buff配置索引'!BY:BY,MATCH(D292,'#建筑消耗和buff配置索引'!A:A,0))),"")</f>
        <v/>
      </c>
      <c r="W292" s="133" t="str">
        <f>IF(E292=1,IF(INDEX('#建筑消耗和buff配置索引'!BZ:BZ,MATCH(D292,'#建筑消耗和buff配置索引'!A:A,0))=0,"",INDEX('#建筑消耗和buff配置索引'!BZ:BZ,MATCH(D292,'#建筑消耗和buff配置索引'!A:A,0))),"")</f>
        <v/>
      </c>
      <c r="X292" s="133" t="str">
        <f>INDEX('#建筑消耗和buff配置索引'!BC:BC,MATCH(F292,'#建筑消耗和buff配置索引'!M:M,0))*100&amp;"%"</f>
        <v>0%</v>
      </c>
      <c r="AA292" s="133">
        <f>INDEX('#建筑消耗和buff配置索引'!AO:AO,MATCH($F292,'#建筑消耗和buff配置索引'!$M:$M,0))</f>
        <v>22443</v>
      </c>
      <c r="AB292" s="133">
        <f>IF(INDEX('#建筑消耗和buff配置索引'!AR:AR,MATCH($F292,'#建筑消耗和buff配置索引'!$M:$M,0))=0,"",INDEX('#建筑消耗和buff配置索引'!AR:AR,MATCH($F292,'#建筑消耗和buff配置索引'!$M:$M,0)))</f>
        <v>3000</v>
      </c>
      <c r="AC292" s="133">
        <f>IF(AB292="","",INDEX('#建筑消耗和buff配置索引'!AS:AS,MATCH($F292,'#建筑消耗和buff配置索引'!$M:$M,0)))</f>
        <v>0.08</v>
      </c>
      <c r="AF292" s="133">
        <f>IF(INDEX('#建筑消耗和buff配置索引'!AW:AW,MATCH($F292,'#建筑消耗和buff配置索引'!$M:$M,0))=0,"",INDEX('#建筑消耗和buff配置索引'!AW:AW,MATCH($F292,'#建筑消耗和buff配置索引'!$M:$M,0)))</f>
        <v>3015</v>
      </c>
      <c r="AG292" s="133">
        <f>IF(AF292="","",INDEX('#建筑消耗和buff配置索引'!AX:AX,MATCH($F292,'#建筑消耗和buff配置索引'!$M:$M,0)))</f>
        <v>800</v>
      </c>
      <c r="AJ292" s="133" t="str">
        <f>IF(INDEX('#建筑消耗和buff配置索引'!BB:BB,MATCH($F292,'#建筑消耗和buff配置索引'!$M:$M,0))=0,"",INDEX('#建筑消耗和buff配置索引'!BB:BB,MATCH($F292,'#建筑消耗和buff配置索引'!$M:$M,0)))</f>
        <v/>
      </c>
      <c r="AK292" s="133" t="str">
        <f>IF(AJ292="","",INDEX('#建筑消耗和buff配置索引'!BC:BC,MATCH($F292,'#建筑消耗和buff配置索引'!$M:$M,0)))</f>
        <v/>
      </c>
      <c r="AN292" s="133" t="str">
        <f>IF(INDEX('#建筑消耗和buff配置索引'!BG:BG,MATCH($F292,'#建筑消耗和buff配置索引'!$M:$M,0))=0,"",INDEX('#建筑消耗和buff配置索引'!BG:BG,MATCH($F292,'#建筑消耗和buff配置索引'!$M:$M,0)))</f>
        <v/>
      </c>
      <c r="AO292" s="133" t="str">
        <f>IF(AN292="","",INDEX('#建筑消耗和buff配置索引'!BH:BH,MATCH($F292,'#建筑消耗和buff配置索引'!$M:$M,0)))</f>
        <v/>
      </c>
      <c r="AR292" s="133" t="str">
        <f>IF(INDEX('#建筑消耗和buff配置索引'!BK:BK,MATCH($F292,'#建筑消耗和buff配置索引'!$M:$M,0))=0,"",INDEX('#建筑消耗和buff配置索引'!BK:BK,MATCH($F292,'#建筑消耗和buff配置索引'!$M:$M,0)))</f>
        <v/>
      </c>
      <c r="AS292" s="133" t="str">
        <f>IF(AR292="","",INDEX('#建筑消耗和buff配置索引'!BL:BL,MATCH($F292,'#建筑消耗和buff配置索引'!$M:$M,0)))</f>
        <v/>
      </c>
      <c r="AV292" s="133" t="str">
        <f>IF(INDEX('#建筑消耗和buff配置索引'!BO:BO,MATCH($F292,'#建筑消耗和buff配置索引'!$M:$M,0))=0,"",INDEX('#建筑消耗和buff配置索引'!BO:BO,MATCH($F292,'#建筑消耗和buff配置索引'!$M:$M,0)))</f>
        <v/>
      </c>
      <c r="AW292" s="133" t="str">
        <f>IF(AV292="","",INDEX('#建筑消耗和buff配置索引'!BP:BP,MATCH($F292,'#建筑消耗和buff配置索引'!$M:$M,0)))</f>
        <v/>
      </c>
      <c r="AZ292" s="133" t="str">
        <f>IF(INDEX('#建筑消耗和buff配置索引'!BS:BS,MATCH($F292,'#建筑消耗和buff配置索引'!$M:$M,0))=0,"",INDEX('#建筑消耗和buff配置索引'!BS:BS,MATCH($F292,'#建筑消耗和buff配置索引'!$M:$M,0)))</f>
        <v/>
      </c>
      <c r="BA292" s="133" t="str">
        <f>IF(AZ292="","",INDEX('#建筑消耗和buff配置索引'!BT:BT,MATCH($F292,'#建筑消耗和buff配置索引'!$M:$M,0)))</f>
        <v/>
      </c>
      <c r="BD292" s="133" t="str">
        <f>IF(INDEX('#建筑消耗和buff配置索引'!BW:BW,MATCH($F292,'#建筑消耗和buff配置索引'!$M:$M,0))=0,"",INDEX('#建筑消耗和buff配置索引'!BW:BW,MATCH($F292,'#建筑消耗和buff配置索引'!$M:$M,0)))</f>
        <v/>
      </c>
      <c r="BE292" s="133" t="str">
        <f>IF(BD292="","",INDEX('#建筑消耗和buff配置索引'!BX:BX,MATCH($F292,'#建筑消耗和buff配置索引'!$M:$M,0)))</f>
        <v/>
      </c>
      <c r="BI292" s="133">
        <v>10</v>
      </c>
    </row>
    <row r="293" spans="1:61" s="133" customFormat="1">
      <c r="A293" s="133">
        <v>2240018</v>
      </c>
      <c r="B293" s="133">
        <v>290</v>
      </c>
      <c r="C293" s="133">
        <v>224</v>
      </c>
      <c r="D293" s="133" t="s">
        <v>369</v>
      </c>
      <c r="E293" s="133">
        <v>18</v>
      </c>
      <c r="F293" s="133" t="str">
        <f t="shared" si="6"/>
        <v>射箭场18</v>
      </c>
      <c r="H293" s="146"/>
      <c r="I293" s="133">
        <v>2</v>
      </c>
      <c r="J293" s="150">
        <f>INDEX('#建筑消耗和buff配置索引'!AH:AH,MATCH($F293,'#建筑消耗和buff配置索引'!$M:$M,0))</f>
        <v>56160</v>
      </c>
      <c r="K293" s="150">
        <f>INDEX('#建筑消耗和buff配置索引'!AA:AA,MATCH($F293,'#建筑消耗和buff配置索引'!$M:$M,0))</f>
        <v>900000</v>
      </c>
      <c r="L293" s="150">
        <f>INDEX('#建筑消耗和buff配置索引'!AB:AB,MATCH($F293,'#建筑消耗和buff配置索引'!$M:$M,0))</f>
        <v>900000</v>
      </c>
      <c r="M293" s="150">
        <f>INDEX('#建筑消耗和buff配置索引'!AC:AC,MATCH($F293,'#建筑消耗和buff配置索引'!$M:$M,0))</f>
        <v>900000</v>
      </c>
      <c r="N293" s="150">
        <f>INDEX('#建筑消耗和buff配置索引'!AD:AD,MATCH($F293,'#建筑消耗和buff配置索引'!$M:$M,0))</f>
        <v>900000</v>
      </c>
      <c r="O293" s="150" t="str">
        <f>IF(INDEX('#建筑消耗和buff配置索引'!T:T,MATCH($F293,'#建筑消耗和buff配置索引'!$M:$M,0))=0,"",INDEX('#建筑消耗和buff配置索引'!T:T,MATCH($F293,'#建筑消耗和buff配置索引'!$M:$M,0)))</f>
        <v/>
      </c>
      <c r="P293" s="133" t="str">
        <f>IF(INDEX('#建筑消耗和buff配置索引'!U:U,MATCH($F293,'#建筑消耗和buff配置索引'!$M:$M,0))=0,"",INDEX('#建筑消耗和buff配置索引'!U:U,MATCH($F293,'#建筑消耗和buff配置索引'!$M:$M,0)))</f>
        <v/>
      </c>
      <c r="Q293" s="133" t="str">
        <f>IF(INDEX('#建筑消耗和buff配置索引'!K:K,MATCH($F293,'#建筑消耗和buff配置索引'!$M:$M,0))=0,"",INDEX('#建筑消耗和buff配置索引'!K:K,MATCH($F293,'#建筑消耗和buff配置索引'!$M:$M,0)))</f>
        <v>201;234</v>
      </c>
      <c r="R293" s="133" t="str">
        <f>IF(INDEX('#建筑消耗和buff配置索引'!L:L,MATCH($F293,'#建筑消耗和buff配置索引'!$M:$M,0))=0,"",INDEX('#建筑消耗和buff配置索引'!L:L,MATCH($F293,'#建筑消耗和buff配置索引'!$M:$M,0)))</f>
        <v>18;18</v>
      </c>
      <c r="S293" s="133">
        <f>IF(INDEX('#建筑消耗和buff配置索引'!C:C,MATCH(F293,'#建筑消耗和buff配置索引'!M:M,0))=0,1,INDEX('#建筑消耗和buff配置索引'!C:C,MATCH(F293,'#建筑消耗和buff配置索引'!M:M,0)))</f>
        <v>2</v>
      </c>
      <c r="T293" s="133">
        <v>0</v>
      </c>
      <c r="U293" s="133">
        <v>0</v>
      </c>
      <c r="V293" s="133" t="str">
        <f>IF(E293=1,IF(INDEX('#建筑消耗和buff配置索引'!BY:BY,MATCH(D293,'#建筑消耗和buff配置索引'!A:A,0))=0,"",INDEX('#建筑消耗和buff配置索引'!BY:BY,MATCH(D293,'#建筑消耗和buff配置索引'!A:A,0))),"")</f>
        <v/>
      </c>
      <c r="W293" s="133" t="str">
        <f>IF(E293=1,IF(INDEX('#建筑消耗和buff配置索引'!BZ:BZ,MATCH(D293,'#建筑消耗和buff配置索引'!A:A,0))=0,"",INDEX('#建筑消耗和buff配置索引'!BZ:BZ,MATCH(D293,'#建筑消耗和buff配置索引'!A:A,0))),"")</f>
        <v/>
      </c>
      <c r="X293" s="133" t="str">
        <f>INDEX('#建筑消耗和buff配置索引'!BC:BC,MATCH(F293,'#建筑消耗和buff配置索引'!M:M,0))*100&amp;"%"</f>
        <v>0%</v>
      </c>
      <c r="AA293" s="133">
        <f>INDEX('#建筑消耗和buff配置索引'!AO:AO,MATCH($F293,'#建筑消耗和buff配置索引'!$M:$M,0))</f>
        <v>29632</v>
      </c>
      <c r="AB293" s="133">
        <f>IF(INDEX('#建筑消耗和buff配置索引'!AR:AR,MATCH($F293,'#建筑消耗和buff配置索引'!$M:$M,0))=0,"",INDEX('#建筑消耗和buff配置索引'!AR:AR,MATCH($F293,'#建筑消耗和buff配置索引'!$M:$M,0)))</f>
        <v>3000</v>
      </c>
      <c r="AC293" s="133">
        <f>IF(AB293="","",INDEX('#建筑消耗和buff配置索引'!AS:AS,MATCH($F293,'#建筑消耗和buff配置索引'!$M:$M,0)))</f>
        <v>8.5000000000000006E-2</v>
      </c>
      <c r="AF293" s="133">
        <f>IF(INDEX('#建筑消耗和buff配置索引'!AW:AW,MATCH($F293,'#建筑消耗和buff配置索引'!$M:$M,0))=0,"",INDEX('#建筑消耗和buff配置索引'!AW:AW,MATCH($F293,'#建筑消耗和buff配置索引'!$M:$M,0)))</f>
        <v>3015</v>
      </c>
      <c r="AG293" s="133">
        <f>IF(AF293="","",INDEX('#建筑消耗和buff配置索引'!AX:AX,MATCH($F293,'#建筑消耗和buff配置索引'!$M:$M,0)))</f>
        <v>850</v>
      </c>
      <c r="AJ293" s="133" t="str">
        <f>IF(INDEX('#建筑消耗和buff配置索引'!BB:BB,MATCH($F293,'#建筑消耗和buff配置索引'!$M:$M,0))=0,"",INDEX('#建筑消耗和buff配置索引'!BB:BB,MATCH($F293,'#建筑消耗和buff配置索引'!$M:$M,0)))</f>
        <v/>
      </c>
      <c r="AK293" s="133" t="str">
        <f>IF(AJ293="","",INDEX('#建筑消耗和buff配置索引'!BC:BC,MATCH($F293,'#建筑消耗和buff配置索引'!$M:$M,0)))</f>
        <v/>
      </c>
      <c r="AN293" s="133" t="str">
        <f>IF(INDEX('#建筑消耗和buff配置索引'!BG:BG,MATCH($F293,'#建筑消耗和buff配置索引'!$M:$M,0))=0,"",INDEX('#建筑消耗和buff配置索引'!BG:BG,MATCH($F293,'#建筑消耗和buff配置索引'!$M:$M,0)))</f>
        <v/>
      </c>
      <c r="AO293" s="133" t="str">
        <f>IF(AN293="","",INDEX('#建筑消耗和buff配置索引'!BH:BH,MATCH($F293,'#建筑消耗和buff配置索引'!$M:$M,0)))</f>
        <v/>
      </c>
      <c r="AR293" s="133" t="str">
        <f>IF(INDEX('#建筑消耗和buff配置索引'!BK:BK,MATCH($F293,'#建筑消耗和buff配置索引'!$M:$M,0))=0,"",INDEX('#建筑消耗和buff配置索引'!BK:BK,MATCH($F293,'#建筑消耗和buff配置索引'!$M:$M,0)))</f>
        <v/>
      </c>
      <c r="AS293" s="133" t="str">
        <f>IF(AR293="","",INDEX('#建筑消耗和buff配置索引'!BL:BL,MATCH($F293,'#建筑消耗和buff配置索引'!$M:$M,0)))</f>
        <v/>
      </c>
      <c r="AV293" s="133" t="str">
        <f>IF(INDEX('#建筑消耗和buff配置索引'!BO:BO,MATCH($F293,'#建筑消耗和buff配置索引'!$M:$M,0))=0,"",INDEX('#建筑消耗和buff配置索引'!BO:BO,MATCH($F293,'#建筑消耗和buff配置索引'!$M:$M,0)))</f>
        <v/>
      </c>
      <c r="AW293" s="133" t="str">
        <f>IF(AV293="","",INDEX('#建筑消耗和buff配置索引'!BP:BP,MATCH($F293,'#建筑消耗和buff配置索引'!$M:$M,0)))</f>
        <v/>
      </c>
      <c r="AZ293" s="133" t="str">
        <f>IF(INDEX('#建筑消耗和buff配置索引'!BS:BS,MATCH($F293,'#建筑消耗和buff配置索引'!$M:$M,0))=0,"",INDEX('#建筑消耗和buff配置索引'!BS:BS,MATCH($F293,'#建筑消耗和buff配置索引'!$M:$M,0)))</f>
        <v/>
      </c>
      <c r="BA293" s="133" t="str">
        <f>IF(AZ293="","",INDEX('#建筑消耗和buff配置索引'!BT:BT,MATCH($F293,'#建筑消耗和buff配置索引'!$M:$M,0)))</f>
        <v/>
      </c>
      <c r="BD293" s="133" t="str">
        <f>IF(INDEX('#建筑消耗和buff配置索引'!BW:BW,MATCH($F293,'#建筑消耗和buff配置索引'!$M:$M,0))=0,"",INDEX('#建筑消耗和buff配置索引'!BW:BW,MATCH($F293,'#建筑消耗和buff配置索引'!$M:$M,0)))</f>
        <v/>
      </c>
      <c r="BE293" s="133" t="str">
        <f>IF(BD293="","",INDEX('#建筑消耗和buff配置索引'!BX:BX,MATCH($F293,'#建筑消耗和buff配置索引'!$M:$M,0)))</f>
        <v/>
      </c>
      <c r="BI293" s="133">
        <v>10</v>
      </c>
    </row>
    <row r="294" spans="1:61" s="133" customFormat="1">
      <c r="A294" s="133">
        <v>2240019</v>
      </c>
      <c r="B294" s="133">
        <v>291</v>
      </c>
      <c r="C294" s="133">
        <v>224</v>
      </c>
      <c r="D294" s="133" t="s">
        <v>369</v>
      </c>
      <c r="E294" s="133">
        <v>19</v>
      </c>
      <c r="F294" s="133" t="str">
        <f t="shared" si="6"/>
        <v>射箭场19</v>
      </c>
      <c r="H294" s="146"/>
      <c r="I294" s="133">
        <v>2</v>
      </c>
      <c r="J294" s="150">
        <f>INDEX('#建筑消耗和buff配置索引'!AH:AH,MATCH($F294,'#建筑消耗和buff配置索引'!$M:$M,0))</f>
        <v>73440</v>
      </c>
      <c r="K294" s="150">
        <f>INDEX('#建筑消耗和buff配置索引'!AA:AA,MATCH($F294,'#建筑消耗和buff配置索引'!$M:$M,0))</f>
        <v>1200000</v>
      </c>
      <c r="L294" s="150">
        <f>INDEX('#建筑消耗和buff配置索引'!AB:AB,MATCH($F294,'#建筑消耗和buff配置索引'!$M:$M,0))</f>
        <v>1200000</v>
      </c>
      <c r="M294" s="150">
        <f>INDEX('#建筑消耗和buff配置索引'!AC:AC,MATCH($F294,'#建筑消耗和buff配置索引'!$M:$M,0))</f>
        <v>1200000</v>
      </c>
      <c r="N294" s="150">
        <f>INDEX('#建筑消耗和buff配置索引'!AD:AD,MATCH($F294,'#建筑消耗和buff配置索引'!$M:$M,0))</f>
        <v>1200000</v>
      </c>
      <c r="O294" s="150" t="str">
        <f>IF(INDEX('#建筑消耗和buff配置索引'!T:T,MATCH($F294,'#建筑消耗和buff配置索引'!$M:$M,0))=0,"",INDEX('#建筑消耗和buff配置索引'!T:T,MATCH($F294,'#建筑消耗和buff配置索引'!$M:$M,0)))</f>
        <v/>
      </c>
      <c r="P294" s="133" t="str">
        <f>IF(INDEX('#建筑消耗和buff配置索引'!U:U,MATCH($F294,'#建筑消耗和buff配置索引'!$M:$M,0))=0,"",INDEX('#建筑消耗和buff配置索引'!U:U,MATCH($F294,'#建筑消耗和buff配置索引'!$M:$M,0)))</f>
        <v/>
      </c>
      <c r="Q294" s="133" t="str">
        <f>IF(INDEX('#建筑消耗和buff配置索引'!K:K,MATCH($F294,'#建筑消耗和buff配置索引'!$M:$M,0))=0,"",INDEX('#建筑消耗和buff配置索引'!K:K,MATCH($F294,'#建筑消耗和buff配置索引'!$M:$M,0)))</f>
        <v>201;234</v>
      </c>
      <c r="R294" s="133" t="str">
        <f>IF(INDEX('#建筑消耗和buff配置索引'!L:L,MATCH($F294,'#建筑消耗和buff配置索引'!$M:$M,0))=0,"",INDEX('#建筑消耗和buff配置索引'!L:L,MATCH($F294,'#建筑消耗和buff配置索引'!$M:$M,0)))</f>
        <v>19;19</v>
      </c>
      <c r="S294" s="133">
        <f>IF(INDEX('#建筑消耗和buff配置索引'!C:C,MATCH(F294,'#建筑消耗和buff配置索引'!M:M,0))=0,1,INDEX('#建筑消耗和buff配置索引'!C:C,MATCH(F294,'#建筑消耗和buff配置索引'!M:M,0)))</f>
        <v>2</v>
      </c>
      <c r="T294" s="133">
        <v>0</v>
      </c>
      <c r="U294" s="133">
        <v>0</v>
      </c>
      <c r="V294" s="133" t="str">
        <f>IF(E294=1,IF(INDEX('#建筑消耗和buff配置索引'!BY:BY,MATCH(D294,'#建筑消耗和buff配置索引'!A:A,0))=0,"",INDEX('#建筑消耗和buff配置索引'!BY:BY,MATCH(D294,'#建筑消耗和buff配置索引'!A:A,0))),"")</f>
        <v/>
      </c>
      <c r="W294" s="133" t="str">
        <f>IF(E294=1,IF(INDEX('#建筑消耗和buff配置索引'!BZ:BZ,MATCH(D294,'#建筑消耗和buff配置索引'!A:A,0))=0,"",INDEX('#建筑消耗和buff配置索引'!BZ:BZ,MATCH(D294,'#建筑消耗和buff配置索引'!A:A,0))),"")</f>
        <v/>
      </c>
      <c r="X294" s="133" t="str">
        <f>INDEX('#建筑消耗和buff配置索引'!BC:BC,MATCH(F294,'#建筑消耗和buff配置索引'!M:M,0))*100&amp;"%"</f>
        <v>0%</v>
      </c>
      <c r="AA294" s="133">
        <f>INDEX('#建筑消耗和buff配置索引'!AO:AO,MATCH($F294,'#建筑消耗和buff配置索引'!$M:$M,0))</f>
        <v>38833</v>
      </c>
      <c r="AB294" s="133">
        <f>IF(INDEX('#建筑消耗和buff配置索引'!AR:AR,MATCH($F294,'#建筑消耗和buff配置索引'!$M:$M,0))=0,"",INDEX('#建筑消耗和buff配置索引'!AR:AR,MATCH($F294,'#建筑消耗和buff配置索引'!$M:$M,0)))</f>
        <v>3000</v>
      </c>
      <c r="AC294" s="133">
        <f>IF(AB294="","",INDEX('#建筑消耗和buff配置索引'!AS:AS,MATCH($F294,'#建筑消耗和buff配置索引'!$M:$M,0)))</f>
        <v>0.09</v>
      </c>
      <c r="AF294" s="133">
        <f>IF(INDEX('#建筑消耗和buff配置索引'!AW:AW,MATCH($F294,'#建筑消耗和buff配置索引'!$M:$M,0))=0,"",INDEX('#建筑消耗和buff配置索引'!AW:AW,MATCH($F294,'#建筑消耗和buff配置索引'!$M:$M,0)))</f>
        <v>3015</v>
      </c>
      <c r="AG294" s="133">
        <f>IF(AF294="","",INDEX('#建筑消耗和buff配置索引'!AX:AX,MATCH($F294,'#建筑消耗和buff配置索引'!$M:$M,0)))</f>
        <v>900</v>
      </c>
      <c r="AJ294" s="133" t="str">
        <f>IF(INDEX('#建筑消耗和buff配置索引'!BB:BB,MATCH($F294,'#建筑消耗和buff配置索引'!$M:$M,0))=0,"",INDEX('#建筑消耗和buff配置索引'!BB:BB,MATCH($F294,'#建筑消耗和buff配置索引'!$M:$M,0)))</f>
        <v/>
      </c>
      <c r="AK294" s="133" t="str">
        <f>IF(AJ294="","",INDEX('#建筑消耗和buff配置索引'!BC:BC,MATCH($F294,'#建筑消耗和buff配置索引'!$M:$M,0)))</f>
        <v/>
      </c>
      <c r="AN294" s="133" t="str">
        <f>IF(INDEX('#建筑消耗和buff配置索引'!BG:BG,MATCH($F294,'#建筑消耗和buff配置索引'!$M:$M,0))=0,"",INDEX('#建筑消耗和buff配置索引'!BG:BG,MATCH($F294,'#建筑消耗和buff配置索引'!$M:$M,0)))</f>
        <v/>
      </c>
      <c r="AO294" s="133" t="str">
        <f>IF(AN294="","",INDEX('#建筑消耗和buff配置索引'!BH:BH,MATCH($F294,'#建筑消耗和buff配置索引'!$M:$M,0)))</f>
        <v/>
      </c>
      <c r="AR294" s="133" t="str">
        <f>IF(INDEX('#建筑消耗和buff配置索引'!BK:BK,MATCH($F294,'#建筑消耗和buff配置索引'!$M:$M,0))=0,"",INDEX('#建筑消耗和buff配置索引'!BK:BK,MATCH($F294,'#建筑消耗和buff配置索引'!$M:$M,0)))</f>
        <v/>
      </c>
      <c r="AS294" s="133" t="str">
        <f>IF(AR294="","",INDEX('#建筑消耗和buff配置索引'!BL:BL,MATCH($F294,'#建筑消耗和buff配置索引'!$M:$M,0)))</f>
        <v/>
      </c>
      <c r="AV294" s="133" t="str">
        <f>IF(INDEX('#建筑消耗和buff配置索引'!BO:BO,MATCH($F294,'#建筑消耗和buff配置索引'!$M:$M,0))=0,"",INDEX('#建筑消耗和buff配置索引'!BO:BO,MATCH($F294,'#建筑消耗和buff配置索引'!$M:$M,0)))</f>
        <v/>
      </c>
      <c r="AW294" s="133" t="str">
        <f>IF(AV294="","",INDEX('#建筑消耗和buff配置索引'!BP:BP,MATCH($F294,'#建筑消耗和buff配置索引'!$M:$M,0)))</f>
        <v/>
      </c>
      <c r="AZ294" s="133" t="str">
        <f>IF(INDEX('#建筑消耗和buff配置索引'!BS:BS,MATCH($F294,'#建筑消耗和buff配置索引'!$M:$M,0))=0,"",INDEX('#建筑消耗和buff配置索引'!BS:BS,MATCH($F294,'#建筑消耗和buff配置索引'!$M:$M,0)))</f>
        <v/>
      </c>
      <c r="BA294" s="133" t="str">
        <f>IF(AZ294="","",INDEX('#建筑消耗和buff配置索引'!BT:BT,MATCH($F294,'#建筑消耗和buff配置索引'!$M:$M,0)))</f>
        <v/>
      </c>
      <c r="BD294" s="133" t="str">
        <f>IF(INDEX('#建筑消耗和buff配置索引'!BW:BW,MATCH($F294,'#建筑消耗和buff配置索引'!$M:$M,0))=0,"",INDEX('#建筑消耗和buff配置索引'!BW:BW,MATCH($F294,'#建筑消耗和buff配置索引'!$M:$M,0)))</f>
        <v/>
      </c>
      <c r="BE294" s="133" t="str">
        <f>IF(BD294="","",INDEX('#建筑消耗和buff配置索引'!BX:BX,MATCH($F294,'#建筑消耗和buff配置索引'!$M:$M,0)))</f>
        <v/>
      </c>
      <c r="BI294" s="133">
        <v>10</v>
      </c>
    </row>
    <row r="295" spans="1:61" s="133" customFormat="1">
      <c r="A295" s="133">
        <v>2240020</v>
      </c>
      <c r="B295" s="133">
        <v>292</v>
      </c>
      <c r="C295" s="133">
        <v>224</v>
      </c>
      <c r="D295" s="133" t="s">
        <v>369</v>
      </c>
      <c r="E295" s="133">
        <v>20</v>
      </c>
      <c r="F295" s="133" t="str">
        <f t="shared" si="6"/>
        <v>射箭场20</v>
      </c>
      <c r="H295" s="146"/>
      <c r="I295" s="133">
        <v>3</v>
      </c>
      <c r="J295" s="150">
        <f>INDEX('#建筑消耗和buff配置索引'!AH:AH,MATCH($F295,'#建筑消耗和buff配置索引'!$M:$M,0))</f>
        <v>103680</v>
      </c>
      <c r="K295" s="150">
        <f>INDEX('#建筑消耗和buff配置索引'!AA:AA,MATCH($F295,'#建筑消耗和buff配置索引'!$M:$M,0))</f>
        <v>1500000</v>
      </c>
      <c r="L295" s="150">
        <f>INDEX('#建筑消耗和buff配置索引'!AB:AB,MATCH($F295,'#建筑消耗和buff配置索引'!$M:$M,0))</f>
        <v>1500000</v>
      </c>
      <c r="M295" s="150">
        <f>INDEX('#建筑消耗和buff配置索引'!AC:AC,MATCH($F295,'#建筑消耗和buff配置索引'!$M:$M,0))</f>
        <v>1500000</v>
      </c>
      <c r="N295" s="150">
        <f>INDEX('#建筑消耗和buff配置索引'!AD:AD,MATCH($F295,'#建筑消耗和buff配置索引'!$M:$M,0))</f>
        <v>1500000</v>
      </c>
      <c r="O295" s="150" t="str">
        <f>IF(INDEX('#建筑消耗和buff配置索引'!T:T,MATCH($F295,'#建筑消耗和buff配置索引'!$M:$M,0))=0,"",INDEX('#建筑消耗和buff配置索引'!T:T,MATCH($F295,'#建筑消耗和buff配置索引'!$M:$M,0)))</f>
        <v/>
      </c>
      <c r="P295" s="133" t="str">
        <f>IF(INDEX('#建筑消耗和buff配置索引'!U:U,MATCH($F295,'#建筑消耗和buff配置索引'!$M:$M,0))=0,"",INDEX('#建筑消耗和buff配置索引'!U:U,MATCH($F295,'#建筑消耗和buff配置索引'!$M:$M,0)))</f>
        <v/>
      </c>
      <c r="Q295" s="133" t="str">
        <f>IF(INDEX('#建筑消耗和buff配置索引'!K:K,MATCH($F295,'#建筑消耗和buff配置索引'!$M:$M,0))=0,"",INDEX('#建筑消耗和buff配置索引'!K:K,MATCH($F295,'#建筑消耗和buff配置索引'!$M:$M,0)))</f>
        <v>201;234</v>
      </c>
      <c r="R295" s="133" t="str">
        <f>IF(INDEX('#建筑消耗和buff配置索引'!L:L,MATCH($F295,'#建筑消耗和buff配置索引'!$M:$M,0))=0,"",INDEX('#建筑消耗和buff配置索引'!L:L,MATCH($F295,'#建筑消耗和buff配置索引'!$M:$M,0)))</f>
        <v>20;20</v>
      </c>
      <c r="S295" s="133">
        <f>IF(INDEX('#建筑消耗和buff配置索引'!C:C,MATCH(F295,'#建筑消耗和buff配置索引'!M:M,0))=0,1,INDEX('#建筑消耗和buff配置索引'!C:C,MATCH(F295,'#建筑消耗和buff配置索引'!M:M,0)))</f>
        <v>2</v>
      </c>
      <c r="T295" s="133">
        <v>0</v>
      </c>
      <c r="U295" s="133">
        <v>0</v>
      </c>
      <c r="V295" s="133" t="str">
        <f>IF(E295=1,IF(INDEX('#建筑消耗和buff配置索引'!BY:BY,MATCH(D295,'#建筑消耗和buff配置索引'!A:A,0))=0,"",INDEX('#建筑消耗和buff配置索引'!BY:BY,MATCH(D295,'#建筑消耗和buff配置索引'!A:A,0))),"")</f>
        <v/>
      </c>
      <c r="W295" s="133" t="str">
        <f>IF(E295=1,IF(INDEX('#建筑消耗和buff配置索引'!BZ:BZ,MATCH(D295,'#建筑消耗和buff配置索引'!A:A,0))=0,"",INDEX('#建筑消耗和buff配置索引'!BZ:BZ,MATCH(D295,'#建筑消耗和buff配置索引'!A:A,0))),"")</f>
        <v/>
      </c>
      <c r="X295" s="133" t="str">
        <f>INDEX('#建筑消耗和buff配置索引'!BC:BC,MATCH(F295,'#建筑消耗和buff配置索引'!M:M,0))*100&amp;"%"</f>
        <v>0%</v>
      </c>
      <c r="AA295" s="133">
        <f>INDEX('#建筑消耗和buff配置索引'!AO:AO,MATCH($F295,'#建筑消耗和buff配置索引'!$M:$M,0))</f>
        <v>50611</v>
      </c>
      <c r="AB295" s="133">
        <f>IF(INDEX('#建筑消耗和buff配置索引'!AR:AR,MATCH($F295,'#建筑消耗和buff配置索引'!$M:$M,0))=0,"",INDEX('#建筑消耗和buff配置索引'!AR:AR,MATCH($F295,'#建筑消耗和buff配置索引'!$M:$M,0)))</f>
        <v>3000</v>
      </c>
      <c r="AC295" s="133">
        <f>IF(AB295="","",INDEX('#建筑消耗和buff配置索引'!AS:AS,MATCH($F295,'#建筑消耗和buff配置索引'!$M:$M,0)))</f>
        <v>9.5000000000000001E-2</v>
      </c>
      <c r="AF295" s="133">
        <f>IF(INDEX('#建筑消耗和buff配置索引'!AW:AW,MATCH($F295,'#建筑消耗和buff配置索引'!$M:$M,0))=0,"",INDEX('#建筑消耗和buff配置索引'!AW:AW,MATCH($F295,'#建筑消耗和buff配置索引'!$M:$M,0)))</f>
        <v>3015</v>
      </c>
      <c r="AG295" s="133">
        <f>IF(AF295="","",INDEX('#建筑消耗和buff配置索引'!AX:AX,MATCH($F295,'#建筑消耗和buff配置索引'!$M:$M,0)))</f>
        <v>950</v>
      </c>
      <c r="AJ295" s="133" t="str">
        <f>IF(INDEX('#建筑消耗和buff配置索引'!BB:BB,MATCH($F295,'#建筑消耗和buff配置索引'!$M:$M,0))=0,"",INDEX('#建筑消耗和buff配置索引'!BB:BB,MATCH($F295,'#建筑消耗和buff配置索引'!$M:$M,0)))</f>
        <v/>
      </c>
      <c r="AK295" s="133" t="str">
        <f>IF(AJ295="","",INDEX('#建筑消耗和buff配置索引'!BC:BC,MATCH($F295,'#建筑消耗和buff配置索引'!$M:$M,0)))</f>
        <v/>
      </c>
      <c r="AN295" s="133" t="str">
        <f>IF(INDEX('#建筑消耗和buff配置索引'!BG:BG,MATCH($F295,'#建筑消耗和buff配置索引'!$M:$M,0))=0,"",INDEX('#建筑消耗和buff配置索引'!BG:BG,MATCH($F295,'#建筑消耗和buff配置索引'!$M:$M,0)))</f>
        <v/>
      </c>
      <c r="AO295" s="133" t="str">
        <f>IF(AN295="","",INDEX('#建筑消耗和buff配置索引'!BH:BH,MATCH($F295,'#建筑消耗和buff配置索引'!$M:$M,0)))</f>
        <v/>
      </c>
      <c r="AR295" s="133" t="str">
        <f>IF(INDEX('#建筑消耗和buff配置索引'!BK:BK,MATCH($F295,'#建筑消耗和buff配置索引'!$M:$M,0))=0,"",INDEX('#建筑消耗和buff配置索引'!BK:BK,MATCH($F295,'#建筑消耗和buff配置索引'!$M:$M,0)))</f>
        <v/>
      </c>
      <c r="AS295" s="133" t="str">
        <f>IF(AR295="","",INDEX('#建筑消耗和buff配置索引'!BL:BL,MATCH($F295,'#建筑消耗和buff配置索引'!$M:$M,0)))</f>
        <v/>
      </c>
      <c r="AV295" s="133" t="str">
        <f>IF(INDEX('#建筑消耗和buff配置索引'!BO:BO,MATCH($F295,'#建筑消耗和buff配置索引'!$M:$M,0))=0,"",INDEX('#建筑消耗和buff配置索引'!BO:BO,MATCH($F295,'#建筑消耗和buff配置索引'!$M:$M,0)))</f>
        <v/>
      </c>
      <c r="AW295" s="133" t="str">
        <f>IF(AV295="","",INDEX('#建筑消耗和buff配置索引'!BP:BP,MATCH($F295,'#建筑消耗和buff配置索引'!$M:$M,0)))</f>
        <v/>
      </c>
      <c r="AZ295" s="133" t="str">
        <f>IF(INDEX('#建筑消耗和buff配置索引'!BS:BS,MATCH($F295,'#建筑消耗和buff配置索引'!$M:$M,0))=0,"",INDEX('#建筑消耗和buff配置索引'!BS:BS,MATCH($F295,'#建筑消耗和buff配置索引'!$M:$M,0)))</f>
        <v/>
      </c>
      <c r="BA295" s="133" t="str">
        <f>IF(AZ295="","",INDEX('#建筑消耗和buff配置索引'!BT:BT,MATCH($F295,'#建筑消耗和buff配置索引'!$M:$M,0)))</f>
        <v/>
      </c>
      <c r="BD295" s="133" t="str">
        <f>IF(INDEX('#建筑消耗和buff配置索引'!BW:BW,MATCH($F295,'#建筑消耗和buff配置索引'!$M:$M,0))=0,"",INDEX('#建筑消耗和buff配置索引'!BW:BW,MATCH($F295,'#建筑消耗和buff配置索引'!$M:$M,0)))</f>
        <v/>
      </c>
      <c r="BE295" s="133" t="str">
        <f>IF(BD295="","",INDEX('#建筑消耗和buff配置索引'!BX:BX,MATCH($F295,'#建筑消耗和buff配置索引'!$M:$M,0)))</f>
        <v/>
      </c>
      <c r="BI295" s="133">
        <v>10</v>
      </c>
    </row>
    <row r="296" spans="1:61" s="133" customFormat="1">
      <c r="A296" s="133">
        <v>2240021</v>
      </c>
      <c r="B296" s="133">
        <v>293</v>
      </c>
      <c r="C296" s="133">
        <v>224</v>
      </c>
      <c r="D296" s="133" t="s">
        <v>369</v>
      </c>
      <c r="E296" s="133">
        <v>21</v>
      </c>
      <c r="F296" s="133" t="str">
        <f t="shared" si="6"/>
        <v>射箭场21</v>
      </c>
      <c r="H296" s="146"/>
      <c r="I296" s="133">
        <v>3</v>
      </c>
      <c r="J296" s="150">
        <f>INDEX('#建筑消耗和buff配置索引'!AH:AH,MATCH($F296,'#建筑消耗和buff配置索引'!$M:$M,0))</f>
        <v>138240</v>
      </c>
      <c r="K296" s="150">
        <f>INDEX('#建筑消耗和buff配置索引'!AA:AA,MATCH($F296,'#建筑消耗和buff配置索引'!$M:$M,0))</f>
        <v>1900000</v>
      </c>
      <c r="L296" s="150">
        <f>INDEX('#建筑消耗和buff配置索引'!AB:AB,MATCH($F296,'#建筑消耗和buff配置索引'!$M:$M,0))</f>
        <v>1900000</v>
      </c>
      <c r="M296" s="150">
        <f>INDEX('#建筑消耗和buff配置索引'!AC:AC,MATCH($F296,'#建筑消耗和buff配置索引'!$M:$M,0))</f>
        <v>1900000</v>
      </c>
      <c r="N296" s="150">
        <f>INDEX('#建筑消耗和buff配置索引'!AD:AD,MATCH($F296,'#建筑消耗和buff配置索引'!$M:$M,0))</f>
        <v>1900000</v>
      </c>
      <c r="O296" s="150" t="str">
        <f>IF(INDEX('#建筑消耗和buff配置索引'!T:T,MATCH($F296,'#建筑消耗和buff配置索引'!$M:$M,0))=0,"",INDEX('#建筑消耗和buff配置索引'!T:T,MATCH($F296,'#建筑消耗和buff配置索引'!$M:$M,0)))</f>
        <v/>
      </c>
      <c r="P296" s="133" t="str">
        <f>IF(INDEX('#建筑消耗和buff配置索引'!U:U,MATCH($F296,'#建筑消耗和buff配置索引'!$M:$M,0))=0,"",INDEX('#建筑消耗和buff配置索引'!U:U,MATCH($F296,'#建筑消耗和buff配置索引'!$M:$M,0)))</f>
        <v/>
      </c>
      <c r="Q296" s="133" t="str">
        <f>IF(INDEX('#建筑消耗和buff配置索引'!K:K,MATCH($F296,'#建筑消耗和buff配置索引'!$M:$M,0))=0,"",INDEX('#建筑消耗和buff配置索引'!K:K,MATCH($F296,'#建筑消耗和buff配置索引'!$M:$M,0)))</f>
        <v>201;234</v>
      </c>
      <c r="R296" s="133" t="str">
        <f>IF(INDEX('#建筑消耗和buff配置索引'!L:L,MATCH($F296,'#建筑消耗和buff配置索引'!$M:$M,0))=0,"",INDEX('#建筑消耗和buff配置索引'!L:L,MATCH($F296,'#建筑消耗和buff配置索引'!$M:$M,0)))</f>
        <v>21;21</v>
      </c>
      <c r="S296" s="133">
        <f>IF(INDEX('#建筑消耗和buff配置索引'!C:C,MATCH(F296,'#建筑消耗和buff配置索引'!M:M,0))=0,1,INDEX('#建筑消耗和buff配置索引'!C:C,MATCH(F296,'#建筑消耗和buff配置索引'!M:M,0)))</f>
        <v>2</v>
      </c>
      <c r="T296" s="133">
        <v>0</v>
      </c>
      <c r="U296" s="133">
        <v>0</v>
      </c>
      <c r="V296" s="133" t="str">
        <f>IF(E296=1,IF(INDEX('#建筑消耗和buff配置索引'!BY:BY,MATCH(D296,'#建筑消耗和buff配置索引'!A:A,0))=0,"",INDEX('#建筑消耗和buff配置索引'!BY:BY,MATCH(D296,'#建筑消耗和buff配置索引'!A:A,0))),"")</f>
        <v/>
      </c>
      <c r="W296" s="133" t="str">
        <f>IF(E296=1,IF(INDEX('#建筑消耗和buff配置索引'!BZ:BZ,MATCH(D296,'#建筑消耗和buff配置索引'!A:A,0))=0,"",INDEX('#建筑消耗和buff配置索引'!BZ:BZ,MATCH(D296,'#建筑消耗和buff配置索引'!A:A,0))),"")</f>
        <v/>
      </c>
      <c r="AA296" s="133">
        <f>INDEX('#建筑消耗和buff配置索引'!AO:AO,MATCH($F296,'#建筑消耗和buff配置索引'!$M:$M,0))</f>
        <v>65687</v>
      </c>
      <c r="AB296" s="133">
        <f>IF(INDEX('#建筑消耗和buff配置索引'!AR:AR,MATCH($F296,'#建筑消耗和buff配置索引'!$M:$M,0))=0,"",INDEX('#建筑消耗和buff配置索引'!AR:AR,MATCH($F296,'#建筑消耗和buff配置索引'!$M:$M,0)))</f>
        <v>3000</v>
      </c>
      <c r="AC296" s="133">
        <f>IF(AB296="","",INDEX('#建筑消耗和buff配置索引'!AS:AS,MATCH($F296,'#建筑消耗和buff配置索引'!$M:$M,0)))</f>
        <v>0.1</v>
      </c>
      <c r="AF296" s="133">
        <f>IF(INDEX('#建筑消耗和buff配置索引'!AW:AW,MATCH($F296,'#建筑消耗和buff配置索引'!$M:$M,0))=0,"",INDEX('#建筑消耗和buff配置索引'!AW:AW,MATCH($F296,'#建筑消耗和buff配置索引'!$M:$M,0)))</f>
        <v>3015</v>
      </c>
      <c r="AG296" s="133">
        <f>IF(AF296="","",INDEX('#建筑消耗和buff配置索引'!AX:AX,MATCH($F296,'#建筑消耗和buff配置索引'!$M:$M,0)))</f>
        <v>1000</v>
      </c>
      <c r="AJ296" s="133" t="str">
        <f>IF(INDEX('#建筑消耗和buff配置索引'!BB:BB,MATCH($F296,'#建筑消耗和buff配置索引'!$M:$M,0))=0,"",INDEX('#建筑消耗和buff配置索引'!BB:BB,MATCH($F296,'#建筑消耗和buff配置索引'!$M:$M,0)))</f>
        <v/>
      </c>
      <c r="AK296" s="133" t="str">
        <f>IF(AJ296="","",INDEX('#建筑消耗和buff配置索引'!BC:BC,MATCH($F296,'#建筑消耗和buff配置索引'!$M:$M,0)))</f>
        <v/>
      </c>
      <c r="AN296" s="133" t="str">
        <f>IF(INDEX('#建筑消耗和buff配置索引'!BG:BG,MATCH($F296,'#建筑消耗和buff配置索引'!$M:$M,0))=0,"",INDEX('#建筑消耗和buff配置索引'!BG:BG,MATCH($F296,'#建筑消耗和buff配置索引'!$M:$M,0)))</f>
        <v/>
      </c>
      <c r="AO296" s="133" t="str">
        <f>IF(AN296="","",INDEX('#建筑消耗和buff配置索引'!BH:BH,MATCH($F296,'#建筑消耗和buff配置索引'!$M:$M,0)))</f>
        <v/>
      </c>
      <c r="AR296" s="133" t="str">
        <f>IF(INDEX('#建筑消耗和buff配置索引'!BK:BK,MATCH($F296,'#建筑消耗和buff配置索引'!$M:$M,0))=0,"",INDEX('#建筑消耗和buff配置索引'!BK:BK,MATCH($F296,'#建筑消耗和buff配置索引'!$M:$M,0)))</f>
        <v/>
      </c>
      <c r="AS296" s="133" t="str">
        <f>IF(AR296="","",INDEX('#建筑消耗和buff配置索引'!BL:BL,MATCH($F296,'#建筑消耗和buff配置索引'!$M:$M,0)))</f>
        <v/>
      </c>
      <c r="AV296" s="133" t="str">
        <f>IF(INDEX('#建筑消耗和buff配置索引'!BO:BO,MATCH($F296,'#建筑消耗和buff配置索引'!$M:$M,0))=0,"",INDEX('#建筑消耗和buff配置索引'!BO:BO,MATCH($F296,'#建筑消耗和buff配置索引'!$M:$M,0)))</f>
        <v/>
      </c>
      <c r="AW296" s="133" t="str">
        <f>IF(AV296="","",INDEX('#建筑消耗和buff配置索引'!BP:BP,MATCH($F296,'#建筑消耗和buff配置索引'!$M:$M,0)))</f>
        <v/>
      </c>
      <c r="AZ296" s="133" t="str">
        <f>IF(INDEX('#建筑消耗和buff配置索引'!BS:BS,MATCH($F296,'#建筑消耗和buff配置索引'!$M:$M,0))=0,"",INDEX('#建筑消耗和buff配置索引'!BS:BS,MATCH($F296,'#建筑消耗和buff配置索引'!$M:$M,0)))</f>
        <v/>
      </c>
      <c r="BA296" s="133" t="str">
        <f>IF(AZ296="","",INDEX('#建筑消耗和buff配置索引'!BT:BT,MATCH($F296,'#建筑消耗和buff配置索引'!$M:$M,0)))</f>
        <v/>
      </c>
      <c r="BD296" s="133" t="str">
        <f>IF(INDEX('#建筑消耗和buff配置索引'!BW:BW,MATCH($F296,'#建筑消耗和buff配置索引'!$M:$M,0))=0,"",INDEX('#建筑消耗和buff配置索引'!BW:BW,MATCH($F296,'#建筑消耗和buff配置索引'!$M:$M,0)))</f>
        <v/>
      </c>
      <c r="BE296" s="133" t="str">
        <f>IF(BD296="","",INDEX('#建筑消耗和buff配置索引'!BX:BX,MATCH($F296,'#建筑消耗和buff配置索引'!$M:$M,0)))</f>
        <v/>
      </c>
      <c r="BI296" s="133">
        <v>10</v>
      </c>
    </row>
    <row r="297" spans="1:61" s="133" customFormat="1">
      <c r="A297" s="133">
        <v>2240022</v>
      </c>
      <c r="B297" s="133">
        <v>294</v>
      </c>
      <c r="C297" s="133">
        <v>224</v>
      </c>
      <c r="D297" s="133" t="s">
        <v>369</v>
      </c>
      <c r="E297" s="133">
        <v>22</v>
      </c>
      <c r="F297" s="133" t="str">
        <f t="shared" si="6"/>
        <v>射箭场22</v>
      </c>
      <c r="H297" s="146"/>
      <c r="I297" s="133">
        <v>3</v>
      </c>
      <c r="J297" s="150">
        <f>INDEX('#建筑消耗和buff配置索引'!AH:AH,MATCH($F297,'#建筑消耗和buff配置索引'!$M:$M,0))</f>
        <v>181440</v>
      </c>
      <c r="K297" s="150">
        <f>INDEX('#建筑消耗和buff配置索引'!AA:AA,MATCH($F297,'#建筑消耗和buff配置索引'!$M:$M,0))</f>
        <v>2400000</v>
      </c>
      <c r="L297" s="150">
        <f>INDEX('#建筑消耗和buff配置索引'!AB:AB,MATCH($F297,'#建筑消耗和buff配置索引'!$M:$M,0))</f>
        <v>2400000</v>
      </c>
      <c r="M297" s="150">
        <f>INDEX('#建筑消耗和buff配置索引'!AC:AC,MATCH($F297,'#建筑消耗和buff配置索引'!$M:$M,0))</f>
        <v>2400000</v>
      </c>
      <c r="N297" s="150">
        <f>INDEX('#建筑消耗和buff配置索引'!AD:AD,MATCH($F297,'#建筑消耗和buff配置索引'!$M:$M,0))</f>
        <v>2400000</v>
      </c>
      <c r="O297" s="150" t="str">
        <f>IF(INDEX('#建筑消耗和buff配置索引'!T:T,MATCH($F297,'#建筑消耗和buff配置索引'!$M:$M,0))=0,"",INDEX('#建筑消耗和buff配置索引'!T:T,MATCH($F297,'#建筑消耗和buff配置索引'!$M:$M,0)))</f>
        <v/>
      </c>
      <c r="P297" s="133" t="str">
        <f>IF(INDEX('#建筑消耗和buff配置索引'!U:U,MATCH($F297,'#建筑消耗和buff配置索引'!$M:$M,0))=0,"",INDEX('#建筑消耗和buff配置索引'!U:U,MATCH($F297,'#建筑消耗和buff配置索引'!$M:$M,0)))</f>
        <v/>
      </c>
      <c r="Q297" s="133" t="str">
        <f>IF(INDEX('#建筑消耗和buff配置索引'!K:K,MATCH($F297,'#建筑消耗和buff配置索引'!$M:$M,0))=0,"",INDEX('#建筑消耗和buff配置索引'!K:K,MATCH($F297,'#建筑消耗和buff配置索引'!$M:$M,0)))</f>
        <v>201;234</v>
      </c>
      <c r="R297" s="133" t="str">
        <f>IF(INDEX('#建筑消耗和buff配置索引'!L:L,MATCH($F297,'#建筑消耗和buff配置索引'!$M:$M,0))=0,"",INDEX('#建筑消耗和buff配置索引'!L:L,MATCH($F297,'#建筑消耗和buff配置索引'!$M:$M,0)))</f>
        <v>22;22</v>
      </c>
      <c r="S297" s="133">
        <f>IF(INDEX('#建筑消耗和buff配置索引'!C:C,MATCH(F297,'#建筑消耗和buff配置索引'!M:M,0))=0,1,INDEX('#建筑消耗和buff配置索引'!C:C,MATCH(F297,'#建筑消耗和buff配置索引'!M:M,0)))</f>
        <v>2</v>
      </c>
      <c r="T297" s="133">
        <v>0</v>
      </c>
      <c r="U297" s="133">
        <v>0</v>
      </c>
      <c r="V297" s="133" t="str">
        <f>IF(E297=1,IF(INDEX('#建筑消耗和buff配置索引'!BY:BY,MATCH(D297,'#建筑消耗和buff配置索引'!A:A,0))=0,"",INDEX('#建筑消耗和buff配置索引'!BY:BY,MATCH(D297,'#建筑消耗和buff配置索引'!A:A,0))),"")</f>
        <v/>
      </c>
      <c r="W297" s="133" t="str">
        <f>IF(E297=1,IF(INDEX('#建筑消耗和buff配置索引'!BZ:BZ,MATCH(D297,'#建筑消耗和buff配置索引'!A:A,0))=0,"",INDEX('#建筑消耗和buff配置索引'!BZ:BZ,MATCH(D297,'#建筑消耗和buff配置索引'!A:A,0))),"")</f>
        <v/>
      </c>
      <c r="AA297" s="133">
        <f>INDEX('#建筑消耗和buff配置索引'!AO:AO,MATCH($F297,'#建筑消耗和buff配置索引'!$M:$M,0))</f>
        <v>84984</v>
      </c>
      <c r="AB297" s="133">
        <f>IF(INDEX('#建筑消耗和buff配置索引'!AR:AR,MATCH($F297,'#建筑消耗和buff配置索引'!$M:$M,0))=0,"",INDEX('#建筑消耗和buff配置索引'!AR:AR,MATCH($F297,'#建筑消耗和buff配置索引'!$M:$M,0)))</f>
        <v>3000</v>
      </c>
      <c r="AC297" s="133">
        <f>IF(AB297="","",INDEX('#建筑消耗和buff配置索引'!AS:AS,MATCH($F297,'#建筑消耗和buff配置索引'!$M:$M,0)))</f>
        <v>0.105</v>
      </c>
      <c r="AF297" s="133">
        <f>IF(INDEX('#建筑消耗和buff配置索引'!AW:AW,MATCH($F297,'#建筑消耗和buff配置索引'!$M:$M,0))=0,"",INDEX('#建筑消耗和buff配置索引'!AW:AW,MATCH($F297,'#建筑消耗和buff配置索引'!$M:$M,0)))</f>
        <v>3015</v>
      </c>
      <c r="AG297" s="133">
        <f>IF(AF297="","",INDEX('#建筑消耗和buff配置索引'!AX:AX,MATCH($F297,'#建筑消耗和buff配置索引'!$M:$M,0)))</f>
        <v>1050</v>
      </c>
      <c r="AJ297" s="133" t="str">
        <f>IF(INDEX('#建筑消耗和buff配置索引'!BB:BB,MATCH($F297,'#建筑消耗和buff配置索引'!$M:$M,0))=0,"",INDEX('#建筑消耗和buff配置索引'!BB:BB,MATCH($F297,'#建筑消耗和buff配置索引'!$M:$M,0)))</f>
        <v/>
      </c>
      <c r="AK297" s="133" t="str">
        <f>IF(AJ297="","",INDEX('#建筑消耗和buff配置索引'!BC:BC,MATCH($F297,'#建筑消耗和buff配置索引'!$M:$M,0)))</f>
        <v/>
      </c>
      <c r="AN297" s="133" t="str">
        <f>IF(INDEX('#建筑消耗和buff配置索引'!BG:BG,MATCH($F297,'#建筑消耗和buff配置索引'!$M:$M,0))=0,"",INDEX('#建筑消耗和buff配置索引'!BG:BG,MATCH($F297,'#建筑消耗和buff配置索引'!$M:$M,0)))</f>
        <v/>
      </c>
      <c r="AO297" s="133" t="str">
        <f>IF(AN297="","",INDEX('#建筑消耗和buff配置索引'!BH:BH,MATCH($F297,'#建筑消耗和buff配置索引'!$M:$M,0)))</f>
        <v/>
      </c>
      <c r="AR297" s="133" t="str">
        <f>IF(INDEX('#建筑消耗和buff配置索引'!BK:BK,MATCH($F297,'#建筑消耗和buff配置索引'!$M:$M,0))=0,"",INDEX('#建筑消耗和buff配置索引'!BK:BK,MATCH($F297,'#建筑消耗和buff配置索引'!$M:$M,0)))</f>
        <v/>
      </c>
      <c r="AS297" s="133" t="str">
        <f>IF(AR297="","",INDEX('#建筑消耗和buff配置索引'!BL:BL,MATCH($F297,'#建筑消耗和buff配置索引'!$M:$M,0)))</f>
        <v/>
      </c>
      <c r="AV297" s="133" t="str">
        <f>IF(INDEX('#建筑消耗和buff配置索引'!BO:BO,MATCH($F297,'#建筑消耗和buff配置索引'!$M:$M,0))=0,"",INDEX('#建筑消耗和buff配置索引'!BO:BO,MATCH($F297,'#建筑消耗和buff配置索引'!$M:$M,0)))</f>
        <v/>
      </c>
      <c r="AW297" s="133" t="str">
        <f>IF(AV297="","",INDEX('#建筑消耗和buff配置索引'!BP:BP,MATCH($F297,'#建筑消耗和buff配置索引'!$M:$M,0)))</f>
        <v/>
      </c>
      <c r="AZ297" s="133" t="str">
        <f>IF(INDEX('#建筑消耗和buff配置索引'!BS:BS,MATCH($F297,'#建筑消耗和buff配置索引'!$M:$M,0))=0,"",INDEX('#建筑消耗和buff配置索引'!BS:BS,MATCH($F297,'#建筑消耗和buff配置索引'!$M:$M,0)))</f>
        <v/>
      </c>
      <c r="BA297" s="133" t="str">
        <f>IF(AZ297="","",INDEX('#建筑消耗和buff配置索引'!BT:BT,MATCH($F297,'#建筑消耗和buff配置索引'!$M:$M,0)))</f>
        <v/>
      </c>
      <c r="BD297" s="133" t="str">
        <f>IF(INDEX('#建筑消耗和buff配置索引'!BW:BW,MATCH($F297,'#建筑消耗和buff配置索引'!$M:$M,0))=0,"",INDEX('#建筑消耗和buff配置索引'!BW:BW,MATCH($F297,'#建筑消耗和buff配置索引'!$M:$M,0)))</f>
        <v/>
      </c>
      <c r="BE297" s="133" t="str">
        <f>IF(BD297="","",INDEX('#建筑消耗和buff配置索引'!BX:BX,MATCH($F297,'#建筑消耗和buff配置索引'!$M:$M,0)))</f>
        <v/>
      </c>
      <c r="BI297" s="133">
        <v>10</v>
      </c>
    </row>
    <row r="298" spans="1:61" s="133" customFormat="1">
      <c r="A298" s="133">
        <v>2240023</v>
      </c>
      <c r="B298" s="133">
        <v>295</v>
      </c>
      <c r="C298" s="133">
        <v>224</v>
      </c>
      <c r="D298" s="133" t="s">
        <v>369</v>
      </c>
      <c r="E298" s="133">
        <v>23</v>
      </c>
      <c r="F298" s="133" t="str">
        <f t="shared" si="6"/>
        <v>射箭场23</v>
      </c>
      <c r="H298" s="146"/>
      <c r="I298" s="133">
        <v>3</v>
      </c>
      <c r="J298" s="150">
        <f>INDEX('#建筑消耗和buff配置索引'!AH:AH,MATCH($F298,'#建筑消耗和buff配置索引'!$M:$M,0))</f>
        <v>233280</v>
      </c>
      <c r="K298" s="150">
        <f>INDEX('#建筑消耗和buff配置索引'!AA:AA,MATCH($F298,'#建筑消耗和buff配置索引'!$M:$M,0))</f>
        <v>3100000</v>
      </c>
      <c r="L298" s="150">
        <f>INDEX('#建筑消耗和buff配置索引'!AB:AB,MATCH($F298,'#建筑消耗和buff配置索引'!$M:$M,0))</f>
        <v>3100000</v>
      </c>
      <c r="M298" s="150">
        <f>INDEX('#建筑消耗和buff配置索引'!AC:AC,MATCH($F298,'#建筑消耗和buff配置索引'!$M:$M,0))</f>
        <v>3100000</v>
      </c>
      <c r="N298" s="150">
        <f>INDEX('#建筑消耗和buff配置索引'!AD:AD,MATCH($F298,'#建筑消耗和buff配置索引'!$M:$M,0))</f>
        <v>3100000</v>
      </c>
      <c r="O298" s="150" t="str">
        <f>IF(INDEX('#建筑消耗和buff配置索引'!T:T,MATCH($F298,'#建筑消耗和buff配置索引'!$M:$M,0))=0,"",INDEX('#建筑消耗和buff配置索引'!T:T,MATCH($F298,'#建筑消耗和buff配置索引'!$M:$M,0)))</f>
        <v/>
      </c>
      <c r="P298" s="133" t="str">
        <f>IF(INDEX('#建筑消耗和buff配置索引'!U:U,MATCH($F298,'#建筑消耗和buff配置索引'!$M:$M,0))=0,"",INDEX('#建筑消耗和buff配置索引'!U:U,MATCH($F298,'#建筑消耗和buff配置索引'!$M:$M,0)))</f>
        <v/>
      </c>
      <c r="Q298" s="133" t="str">
        <f>IF(INDEX('#建筑消耗和buff配置索引'!K:K,MATCH($F298,'#建筑消耗和buff配置索引'!$M:$M,0))=0,"",INDEX('#建筑消耗和buff配置索引'!K:K,MATCH($F298,'#建筑消耗和buff配置索引'!$M:$M,0)))</f>
        <v>201;234</v>
      </c>
      <c r="R298" s="133" t="str">
        <f>IF(INDEX('#建筑消耗和buff配置索引'!L:L,MATCH($F298,'#建筑消耗和buff配置索引'!$M:$M,0))=0,"",INDEX('#建筑消耗和buff配置索引'!L:L,MATCH($F298,'#建筑消耗和buff配置索引'!$M:$M,0)))</f>
        <v>23;23</v>
      </c>
      <c r="S298" s="133">
        <f>IF(INDEX('#建筑消耗和buff配置索引'!C:C,MATCH(F298,'#建筑消耗和buff配置索引'!M:M,0))=0,1,INDEX('#建筑消耗和buff配置索引'!C:C,MATCH(F298,'#建筑消耗和buff配置索引'!M:M,0)))</f>
        <v>2</v>
      </c>
      <c r="T298" s="133">
        <v>0</v>
      </c>
      <c r="U298" s="133">
        <v>0</v>
      </c>
      <c r="V298" s="133" t="str">
        <f>IF(E298=1,IF(INDEX('#建筑消耗和buff配置索引'!BY:BY,MATCH(D298,'#建筑消耗和buff配置索引'!A:A,0))=0,"",INDEX('#建筑消耗和buff配置索引'!BY:BY,MATCH(D298,'#建筑消耗和buff配置索引'!A:A,0))),"")</f>
        <v/>
      </c>
      <c r="W298" s="133" t="str">
        <f>IF(E298=1,IF(INDEX('#建筑消耗和buff配置索引'!BZ:BZ,MATCH(D298,'#建筑消耗和buff配置索引'!A:A,0))=0,"",INDEX('#建筑消耗和buff配置索引'!BZ:BZ,MATCH(D298,'#建筑消耗和buff配置索引'!A:A,0))),"")</f>
        <v/>
      </c>
      <c r="AA298" s="133">
        <f>INDEX('#建筑消耗和buff配置索引'!AO:AO,MATCH($F298,'#建筑消耗和buff配置索引'!$M:$M,0))</f>
        <v>109684</v>
      </c>
      <c r="AB298" s="133">
        <f>IF(INDEX('#建筑消耗和buff配置索引'!AR:AR,MATCH($F298,'#建筑消耗和buff配置索引'!$M:$M,0))=0,"",INDEX('#建筑消耗和buff配置索引'!AR:AR,MATCH($F298,'#建筑消耗和buff配置索引'!$M:$M,0)))</f>
        <v>3000</v>
      </c>
      <c r="AC298" s="133">
        <f>IF(AB298="","",INDEX('#建筑消耗和buff配置索引'!AS:AS,MATCH($F298,'#建筑消耗和buff配置索引'!$M:$M,0)))</f>
        <v>0.11</v>
      </c>
      <c r="AF298" s="133">
        <f>IF(INDEX('#建筑消耗和buff配置索引'!AW:AW,MATCH($F298,'#建筑消耗和buff配置索引'!$M:$M,0))=0,"",INDEX('#建筑消耗和buff配置索引'!AW:AW,MATCH($F298,'#建筑消耗和buff配置索引'!$M:$M,0)))</f>
        <v>3015</v>
      </c>
      <c r="AG298" s="133">
        <f>IF(AF298="","",INDEX('#建筑消耗和buff配置索引'!AX:AX,MATCH($F298,'#建筑消耗和buff配置索引'!$M:$M,0)))</f>
        <v>1100</v>
      </c>
      <c r="AJ298" s="133" t="str">
        <f>IF(INDEX('#建筑消耗和buff配置索引'!BB:BB,MATCH($F298,'#建筑消耗和buff配置索引'!$M:$M,0))=0,"",INDEX('#建筑消耗和buff配置索引'!BB:BB,MATCH($F298,'#建筑消耗和buff配置索引'!$M:$M,0)))</f>
        <v/>
      </c>
      <c r="AK298" s="133" t="str">
        <f>IF(AJ298="","",INDEX('#建筑消耗和buff配置索引'!BC:BC,MATCH($F298,'#建筑消耗和buff配置索引'!$M:$M,0)))</f>
        <v/>
      </c>
      <c r="AN298" s="133" t="str">
        <f>IF(INDEX('#建筑消耗和buff配置索引'!BG:BG,MATCH($F298,'#建筑消耗和buff配置索引'!$M:$M,0))=0,"",INDEX('#建筑消耗和buff配置索引'!BG:BG,MATCH($F298,'#建筑消耗和buff配置索引'!$M:$M,0)))</f>
        <v/>
      </c>
      <c r="AO298" s="133" t="str">
        <f>IF(AN298="","",INDEX('#建筑消耗和buff配置索引'!BH:BH,MATCH($F298,'#建筑消耗和buff配置索引'!$M:$M,0)))</f>
        <v/>
      </c>
      <c r="AR298" s="133" t="str">
        <f>IF(INDEX('#建筑消耗和buff配置索引'!BK:BK,MATCH($F298,'#建筑消耗和buff配置索引'!$M:$M,0))=0,"",INDEX('#建筑消耗和buff配置索引'!BK:BK,MATCH($F298,'#建筑消耗和buff配置索引'!$M:$M,0)))</f>
        <v/>
      </c>
      <c r="AS298" s="133" t="str">
        <f>IF(AR298="","",INDEX('#建筑消耗和buff配置索引'!BL:BL,MATCH($F298,'#建筑消耗和buff配置索引'!$M:$M,0)))</f>
        <v/>
      </c>
      <c r="AV298" s="133" t="str">
        <f>IF(INDEX('#建筑消耗和buff配置索引'!BO:BO,MATCH($F298,'#建筑消耗和buff配置索引'!$M:$M,0))=0,"",INDEX('#建筑消耗和buff配置索引'!BO:BO,MATCH($F298,'#建筑消耗和buff配置索引'!$M:$M,0)))</f>
        <v/>
      </c>
      <c r="AW298" s="133" t="str">
        <f>IF(AV298="","",INDEX('#建筑消耗和buff配置索引'!BP:BP,MATCH($F298,'#建筑消耗和buff配置索引'!$M:$M,0)))</f>
        <v/>
      </c>
      <c r="AZ298" s="133" t="str">
        <f>IF(INDEX('#建筑消耗和buff配置索引'!BS:BS,MATCH($F298,'#建筑消耗和buff配置索引'!$M:$M,0))=0,"",INDEX('#建筑消耗和buff配置索引'!BS:BS,MATCH($F298,'#建筑消耗和buff配置索引'!$M:$M,0)))</f>
        <v/>
      </c>
      <c r="BA298" s="133" t="str">
        <f>IF(AZ298="","",INDEX('#建筑消耗和buff配置索引'!BT:BT,MATCH($F298,'#建筑消耗和buff配置索引'!$M:$M,0)))</f>
        <v/>
      </c>
      <c r="BD298" s="133" t="str">
        <f>IF(INDEX('#建筑消耗和buff配置索引'!BW:BW,MATCH($F298,'#建筑消耗和buff配置索引'!$M:$M,0))=0,"",INDEX('#建筑消耗和buff配置索引'!BW:BW,MATCH($F298,'#建筑消耗和buff配置索引'!$M:$M,0)))</f>
        <v/>
      </c>
      <c r="BE298" s="133" t="str">
        <f>IF(BD298="","",INDEX('#建筑消耗和buff配置索引'!BX:BX,MATCH($F298,'#建筑消耗和buff配置索引'!$M:$M,0)))</f>
        <v/>
      </c>
      <c r="BI298" s="133">
        <v>10</v>
      </c>
    </row>
    <row r="299" spans="1:61" s="133" customFormat="1">
      <c r="A299" s="133">
        <v>2240024</v>
      </c>
      <c r="B299" s="133">
        <v>296</v>
      </c>
      <c r="C299" s="133">
        <v>224</v>
      </c>
      <c r="D299" s="133" t="s">
        <v>369</v>
      </c>
      <c r="E299" s="133">
        <v>24</v>
      </c>
      <c r="F299" s="133" t="str">
        <f t="shared" si="6"/>
        <v>射箭场24</v>
      </c>
      <c r="H299" s="146"/>
      <c r="I299" s="133">
        <v>3</v>
      </c>
      <c r="J299" s="150">
        <f>INDEX('#建筑消耗和buff配置索引'!AH:AH,MATCH($F299,'#建筑消耗和buff配置索引'!$M:$M,0))</f>
        <v>298080</v>
      </c>
      <c r="K299" s="150">
        <f>INDEX('#建筑消耗和buff配置索引'!AA:AA,MATCH($F299,'#建筑消耗和buff配置索引'!$M:$M,0))</f>
        <v>4000000</v>
      </c>
      <c r="L299" s="150">
        <f>INDEX('#建筑消耗和buff配置索引'!AB:AB,MATCH($F299,'#建筑消耗和buff配置索引'!$M:$M,0))</f>
        <v>4000000</v>
      </c>
      <c r="M299" s="150">
        <f>INDEX('#建筑消耗和buff配置索引'!AC:AC,MATCH($F299,'#建筑消耗和buff配置索引'!$M:$M,0))</f>
        <v>4000000</v>
      </c>
      <c r="N299" s="150">
        <f>INDEX('#建筑消耗和buff配置索引'!AD:AD,MATCH($F299,'#建筑消耗和buff配置索引'!$M:$M,0))</f>
        <v>4000000</v>
      </c>
      <c r="O299" s="150" t="str">
        <f>IF(INDEX('#建筑消耗和buff配置索引'!T:T,MATCH($F299,'#建筑消耗和buff配置索引'!$M:$M,0))=0,"",INDEX('#建筑消耗和buff配置索引'!T:T,MATCH($F299,'#建筑消耗和buff配置索引'!$M:$M,0)))</f>
        <v/>
      </c>
      <c r="P299" s="133" t="str">
        <f>IF(INDEX('#建筑消耗和buff配置索引'!U:U,MATCH($F299,'#建筑消耗和buff配置索引'!$M:$M,0))=0,"",INDEX('#建筑消耗和buff配置索引'!U:U,MATCH($F299,'#建筑消耗和buff配置索引'!$M:$M,0)))</f>
        <v/>
      </c>
      <c r="Q299" s="133" t="str">
        <f>IF(INDEX('#建筑消耗和buff配置索引'!K:K,MATCH($F299,'#建筑消耗和buff配置索引'!$M:$M,0))=0,"",INDEX('#建筑消耗和buff配置索引'!K:K,MATCH($F299,'#建筑消耗和buff配置索引'!$M:$M,0)))</f>
        <v>201;234</v>
      </c>
      <c r="R299" s="133" t="str">
        <f>IF(INDEX('#建筑消耗和buff配置索引'!L:L,MATCH($F299,'#建筑消耗和buff配置索引'!$M:$M,0))=0,"",INDEX('#建筑消耗和buff配置索引'!L:L,MATCH($F299,'#建筑消耗和buff配置索引'!$M:$M,0)))</f>
        <v>24;24</v>
      </c>
      <c r="S299" s="133">
        <f>IF(INDEX('#建筑消耗和buff配置索引'!C:C,MATCH(F299,'#建筑消耗和buff配置索引'!M:M,0))=0,1,INDEX('#建筑消耗和buff配置索引'!C:C,MATCH(F299,'#建筑消耗和buff配置索引'!M:M,0)))</f>
        <v>2</v>
      </c>
      <c r="T299" s="133">
        <v>0</v>
      </c>
      <c r="U299" s="133">
        <v>0</v>
      </c>
      <c r="V299" s="133" t="str">
        <f>IF(E299=1,IF(INDEX('#建筑消耗和buff配置索引'!BY:BY,MATCH(D299,'#建筑消耗和buff配置索引'!A:A,0))=0,"",INDEX('#建筑消耗和buff配置索引'!BY:BY,MATCH(D299,'#建筑消耗和buff配置索引'!A:A,0))),"")</f>
        <v/>
      </c>
      <c r="W299" s="133" t="str">
        <f>IF(E299=1,IF(INDEX('#建筑消耗和buff配置索引'!BZ:BZ,MATCH(D299,'#建筑消耗和buff配置索引'!A:A,0))=0,"",INDEX('#建筑消耗和buff配置索引'!BZ:BZ,MATCH(D299,'#建筑消耗和buff配置索引'!A:A,0))),"")</f>
        <v/>
      </c>
      <c r="AA299" s="133">
        <f>INDEX('#建筑消耗和buff配置索引'!AO:AO,MATCH($F299,'#建筑消耗和buff配置索引'!$M:$M,0))</f>
        <v>141300</v>
      </c>
      <c r="AB299" s="133">
        <f>IF(INDEX('#建筑消耗和buff配置索引'!AR:AR,MATCH($F299,'#建筑消耗和buff配置索引'!$M:$M,0))=0,"",INDEX('#建筑消耗和buff配置索引'!AR:AR,MATCH($F299,'#建筑消耗和buff配置索引'!$M:$M,0)))</f>
        <v>3000</v>
      </c>
      <c r="AC299" s="133">
        <f>IF(AB299="","",INDEX('#建筑消耗和buff配置索引'!AS:AS,MATCH($F299,'#建筑消耗和buff配置索引'!$M:$M,0)))</f>
        <v>0.115</v>
      </c>
      <c r="AF299" s="133">
        <f>IF(INDEX('#建筑消耗和buff配置索引'!AW:AW,MATCH($F299,'#建筑消耗和buff配置索引'!$M:$M,0))=0,"",INDEX('#建筑消耗和buff配置索引'!AW:AW,MATCH($F299,'#建筑消耗和buff配置索引'!$M:$M,0)))</f>
        <v>3015</v>
      </c>
      <c r="AG299" s="133">
        <f>IF(AF299="","",INDEX('#建筑消耗和buff配置索引'!AX:AX,MATCH($F299,'#建筑消耗和buff配置索引'!$M:$M,0)))</f>
        <v>1150</v>
      </c>
      <c r="AJ299" s="133" t="str">
        <f>IF(INDEX('#建筑消耗和buff配置索引'!BB:BB,MATCH($F299,'#建筑消耗和buff配置索引'!$M:$M,0))=0,"",INDEX('#建筑消耗和buff配置索引'!BB:BB,MATCH($F299,'#建筑消耗和buff配置索引'!$M:$M,0)))</f>
        <v/>
      </c>
      <c r="AK299" s="133" t="str">
        <f>IF(AJ299="","",INDEX('#建筑消耗和buff配置索引'!BC:BC,MATCH($F299,'#建筑消耗和buff配置索引'!$M:$M,0)))</f>
        <v/>
      </c>
      <c r="AN299" s="133" t="str">
        <f>IF(INDEX('#建筑消耗和buff配置索引'!BG:BG,MATCH($F299,'#建筑消耗和buff配置索引'!$M:$M,0))=0,"",INDEX('#建筑消耗和buff配置索引'!BG:BG,MATCH($F299,'#建筑消耗和buff配置索引'!$M:$M,0)))</f>
        <v/>
      </c>
      <c r="AO299" s="133" t="str">
        <f>IF(AN299="","",INDEX('#建筑消耗和buff配置索引'!BH:BH,MATCH($F299,'#建筑消耗和buff配置索引'!$M:$M,0)))</f>
        <v/>
      </c>
      <c r="AR299" s="133" t="str">
        <f>IF(INDEX('#建筑消耗和buff配置索引'!BK:BK,MATCH($F299,'#建筑消耗和buff配置索引'!$M:$M,0))=0,"",INDEX('#建筑消耗和buff配置索引'!BK:BK,MATCH($F299,'#建筑消耗和buff配置索引'!$M:$M,0)))</f>
        <v/>
      </c>
      <c r="AS299" s="133" t="str">
        <f>IF(AR299="","",INDEX('#建筑消耗和buff配置索引'!BL:BL,MATCH($F299,'#建筑消耗和buff配置索引'!$M:$M,0)))</f>
        <v/>
      </c>
      <c r="AV299" s="133" t="str">
        <f>IF(INDEX('#建筑消耗和buff配置索引'!BO:BO,MATCH($F299,'#建筑消耗和buff配置索引'!$M:$M,0))=0,"",INDEX('#建筑消耗和buff配置索引'!BO:BO,MATCH($F299,'#建筑消耗和buff配置索引'!$M:$M,0)))</f>
        <v/>
      </c>
      <c r="AW299" s="133" t="str">
        <f>IF(AV299="","",INDEX('#建筑消耗和buff配置索引'!BP:BP,MATCH($F299,'#建筑消耗和buff配置索引'!$M:$M,0)))</f>
        <v/>
      </c>
      <c r="AZ299" s="133" t="str">
        <f>IF(INDEX('#建筑消耗和buff配置索引'!BS:BS,MATCH($F299,'#建筑消耗和buff配置索引'!$M:$M,0))=0,"",INDEX('#建筑消耗和buff配置索引'!BS:BS,MATCH($F299,'#建筑消耗和buff配置索引'!$M:$M,0)))</f>
        <v/>
      </c>
      <c r="BA299" s="133" t="str">
        <f>IF(AZ299="","",INDEX('#建筑消耗和buff配置索引'!BT:BT,MATCH($F299,'#建筑消耗和buff配置索引'!$M:$M,0)))</f>
        <v/>
      </c>
      <c r="BD299" s="133" t="str">
        <f>IF(INDEX('#建筑消耗和buff配置索引'!BW:BW,MATCH($F299,'#建筑消耗和buff配置索引'!$M:$M,0))=0,"",INDEX('#建筑消耗和buff配置索引'!BW:BW,MATCH($F299,'#建筑消耗和buff配置索引'!$M:$M,0)))</f>
        <v/>
      </c>
      <c r="BE299" s="133" t="str">
        <f>IF(BD299="","",INDEX('#建筑消耗和buff配置索引'!BX:BX,MATCH($F299,'#建筑消耗和buff配置索引'!$M:$M,0)))</f>
        <v/>
      </c>
      <c r="BI299" s="133">
        <v>10</v>
      </c>
    </row>
    <row r="300" spans="1:61" s="133" customFormat="1">
      <c r="A300" s="133">
        <v>2240025</v>
      </c>
      <c r="B300" s="133">
        <v>297</v>
      </c>
      <c r="C300" s="133">
        <v>224</v>
      </c>
      <c r="D300" s="133" t="s">
        <v>369</v>
      </c>
      <c r="E300" s="133">
        <v>25</v>
      </c>
      <c r="F300" s="133" t="str">
        <f t="shared" si="6"/>
        <v>射箭场25</v>
      </c>
      <c r="H300" s="146"/>
      <c r="I300" s="133">
        <v>3</v>
      </c>
      <c r="J300" s="150">
        <f>INDEX('#建筑消耗和buff配置索引'!AH:AH,MATCH($F300,'#建筑消耗和buff配置索引'!$M:$M,0))</f>
        <v>375840</v>
      </c>
      <c r="K300" s="150">
        <f>INDEX('#建筑消耗和buff配置索引'!AA:AA,MATCH($F300,'#建筑消耗和buff配置索引'!$M:$M,0))</f>
        <v>5100000</v>
      </c>
      <c r="L300" s="150">
        <f>INDEX('#建筑消耗和buff配置索引'!AB:AB,MATCH($F300,'#建筑消耗和buff配置索引'!$M:$M,0))</f>
        <v>5100000</v>
      </c>
      <c r="M300" s="150">
        <f>INDEX('#建筑消耗和buff配置索引'!AC:AC,MATCH($F300,'#建筑消耗和buff配置索引'!$M:$M,0))</f>
        <v>5100000</v>
      </c>
      <c r="N300" s="150">
        <f>INDEX('#建筑消耗和buff配置索引'!AD:AD,MATCH($F300,'#建筑消耗和buff配置索引'!$M:$M,0))</f>
        <v>5100000</v>
      </c>
      <c r="O300" s="150" t="str">
        <f>IF(INDEX('#建筑消耗和buff配置索引'!T:T,MATCH($F300,'#建筑消耗和buff配置索引'!$M:$M,0))=0,"",INDEX('#建筑消耗和buff配置索引'!T:T,MATCH($F300,'#建筑消耗和buff配置索引'!$M:$M,0)))</f>
        <v/>
      </c>
      <c r="P300" s="133" t="str">
        <f>IF(INDEX('#建筑消耗和buff配置索引'!U:U,MATCH($F300,'#建筑消耗和buff配置索引'!$M:$M,0))=0,"",INDEX('#建筑消耗和buff配置索引'!U:U,MATCH($F300,'#建筑消耗和buff配置索引'!$M:$M,0)))</f>
        <v/>
      </c>
      <c r="Q300" s="133" t="str">
        <f>IF(INDEX('#建筑消耗和buff配置索引'!K:K,MATCH($F300,'#建筑消耗和buff配置索引'!$M:$M,0))=0,"",INDEX('#建筑消耗和buff配置索引'!K:K,MATCH($F300,'#建筑消耗和buff配置索引'!$M:$M,0)))</f>
        <v>201;234</v>
      </c>
      <c r="R300" s="133" t="str">
        <f>IF(INDEX('#建筑消耗和buff配置索引'!L:L,MATCH($F300,'#建筑消耗和buff配置索引'!$M:$M,0))=0,"",INDEX('#建筑消耗和buff配置索引'!L:L,MATCH($F300,'#建筑消耗和buff配置索引'!$M:$M,0)))</f>
        <v>25;25</v>
      </c>
      <c r="S300" s="133">
        <f>IF(INDEX('#建筑消耗和buff配置索引'!C:C,MATCH(F300,'#建筑消耗和buff配置索引'!M:M,0))=0,1,INDEX('#建筑消耗和buff配置索引'!C:C,MATCH(F300,'#建筑消耗和buff配置索引'!M:M,0)))</f>
        <v>2</v>
      </c>
      <c r="T300" s="133">
        <v>0</v>
      </c>
      <c r="U300" s="133">
        <v>0</v>
      </c>
      <c r="V300" s="133" t="str">
        <f>IF(E300=1,IF(INDEX('#建筑消耗和buff配置索引'!BY:BY,MATCH(D300,'#建筑消耗和buff配置索引'!A:A,0))=0,"",INDEX('#建筑消耗和buff配置索引'!BY:BY,MATCH(D300,'#建筑消耗和buff配置索引'!A:A,0))),"")</f>
        <v/>
      </c>
      <c r="W300" s="133" t="str">
        <f>IF(E300=1,IF(INDEX('#建筑消耗和buff配置索引'!BZ:BZ,MATCH(D300,'#建筑消耗和buff配置索引'!A:A,0))=0,"",INDEX('#建筑消耗和buff配置索引'!BZ:BZ,MATCH(D300,'#建筑消耗和buff配置索引'!A:A,0))),"")</f>
        <v/>
      </c>
      <c r="AA300" s="133">
        <f>INDEX('#建筑消耗和buff配置索引'!AO:AO,MATCH($F300,'#建筑消耗和buff配置索引'!$M:$M,0))</f>
        <v>181768</v>
      </c>
      <c r="AB300" s="133">
        <f>IF(INDEX('#建筑消耗和buff配置索引'!AR:AR,MATCH($F300,'#建筑消耗和buff配置索引'!$M:$M,0))=0,"",INDEX('#建筑消耗和buff配置索引'!AR:AR,MATCH($F300,'#建筑消耗和buff配置索引'!$M:$M,0)))</f>
        <v>3000</v>
      </c>
      <c r="AC300" s="133">
        <f>IF(AB300="","",INDEX('#建筑消耗和buff配置索引'!AS:AS,MATCH($F300,'#建筑消耗和buff配置索引'!$M:$M,0)))</f>
        <v>0.12</v>
      </c>
      <c r="AF300" s="133">
        <f>IF(INDEX('#建筑消耗和buff配置索引'!AW:AW,MATCH($F300,'#建筑消耗和buff配置索引'!$M:$M,0))=0,"",INDEX('#建筑消耗和buff配置索引'!AW:AW,MATCH($F300,'#建筑消耗和buff配置索引'!$M:$M,0)))</f>
        <v>3015</v>
      </c>
      <c r="AG300" s="133">
        <f>IF(AF300="","",INDEX('#建筑消耗和buff配置索引'!AX:AX,MATCH($F300,'#建筑消耗和buff配置索引'!$M:$M,0)))</f>
        <v>1200</v>
      </c>
      <c r="AJ300" s="133" t="str">
        <f>IF(INDEX('#建筑消耗和buff配置索引'!BB:BB,MATCH($F300,'#建筑消耗和buff配置索引'!$M:$M,0))=0,"",INDEX('#建筑消耗和buff配置索引'!BB:BB,MATCH($F300,'#建筑消耗和buff配置索引'!$M:$M,0)))</f>
        <v/>
      </c>
      <c r="AK300" s="133" t="str">
        <f>IF(AJ300="","",INDEX('#建筑消耗和buff配置索引'!BC:BC,MATCH($F300,'#建筑消耗和buff配置索引'!$M:$M,0)))</f>
        <v/>
      </c>
      <c r="AN300" s="133" t="str">
        <f>IF(INDEX('#建筑消耗和buff配置索引'!BG:BG,MATCH($F300,'#建筑消耗和buff配置索引'!$M:$M,0))=0,"",INDEX('#建筑消耗和buff配置索引'!BG:BG,MATCH($F300,'#建筑消耗和buff配置索引'!$M:$M,0)))</f>
        <v/>
      </c>
      <c r="AO300" s="133" t="str">
        <f>IF(AN300="","",INDEX('#建筑消耗和buff配置索引'!BH:BH,MATCH($F300,'#建筑消耗和buff配置索引'!$M:$M,0)))</f>
        <v/>
      </c>
      <c r="AR300" s="133" t="str">
        <f>IF(INDEX('#建筑消耗和buff配置索引'!BK:BK,MATCH($F300,'#建筑消耗和buff配置索引'!$M:$M,0))=0,"",INDEX('#建筑消耗和buff配置索引'!BK:BK,MATCH($F300,'#建筑消耗和buff配置索引'!$M:$M,0)))</f>
        <v/>
      </c>
      <c r="AS300" s="133" t="str">
        <f>IF(AR300="","",INDEX('#建筑消耗和buff配置索引'!BL:BL,MATCH($F300,'#建筑消耗和buff配置索引'!$M:$M,0)))</f>
        <v/>
      </c>
      <c r="AV300" s="133" t="str">
        <f>IF(INDEX('#建筑消耗和buff配置索引'!BO:BO,MATCH($F300,'#建筑消耗和buff配置索引'!$M:$M,0))=0,"",INDEX('#建筑消耗和buff配置索引'!BO:BO,MATCH($F300,'#建筑消耗和buff配置索引'!$M:$M,0)))</f>
        <v/>
      </c>
      <c r="AW300" s="133" t="str">
        <f>IF(AV300="","",INDEX('#建筑消耗和buff配置索引'!BP:BP,MATCH($F300,'#建筑消耗和buff配置索引'!$M:$M,0)))</f>
        <v/>
      </c>
      <c r="AZ300" s="133" t="str">
        <f>IF(INDEX('#建筑消耗和buff配置索引'!BS:BS,MATCH($F300,'#建筑消耗和buff配置索引'!$M:$M,0))=0,"",INDEX('#建筑消耗和buff配置索引'!BS:BS,MATCH($F300,'#建筑消耗和buff配置索引'!$M:$M,0)))</f>
        <v/>
      </c>
      <c r="BA300" s="133" t="str">
        <f>IF(AZ300="","",INDEX('#建筑消耗和buff配置索引'!BT:BT,MATCH($F300,'#建筑消耗和buff配置索引'!$M:$M,0)))</f>
        <v/>
      </c>
      <c r="BD300" s="133" t="str">
        <f>IF(INDEX('#建筑消耗和buff配置索引'!BW:BW,MATCH($F300,'#建筑消耗和buff配置索引'!$M:$M,0))=0,"",INDEX('#建筑消耗和buff配置索引'!BW:BW,MATCH($F300,'#建筑消耗和buff配置索引'!$M:$M,0)))</f>
        <v/>
      </c>
      <c r="BE300" s="133" t="str">
        <f>IF(BD300="","",INDEX('#建筑消耗和buff配置索引'!BX:BX,MATCH($F300,'#建筑消耗和buff配置索引'!$M:$M,0)))</f>
        <v/>
      </c>
      <c r="BI300" s="133">
        <v>10</v>
      </c>
    </row>
    <row r="301" spans="1:61" s="133" customFormat="1">
      <c r="A301" s="133">
        <v>2240026</v>
      </c>
      <c r="B301" s="133">
        <v>298</v>
      </c>
      <c r="C301" s="133">
        <v>224</v>
      </c>
      <c r="D301" s="133" t="s">
        <v>369</v>
      </c>
      <c r="E301" s="133">
        <v>26</v>
      </c>
      <c r="F301" s="133" t="str">
        <f t="shared" si="6"/>
        <v>射箭场26</v>
      </c>
      <c r="H301" s="146"/>
      <c r="I301" s="133">
        <v>3</v>
      </c>
      <c r="J301" s="150">
        <f>INDEX('#建筑消耗和buff配置索引'!AH:AH,MATCH($F301,'#建筑消耗和buff配置索引'!$M:$M,0))</f>
        <v>466560</v>
      </c>
      <c r="K301" s="150">
        <f>INDEX('#建筑消耗和buff配置索引'!AA:AA,MATCH($F301,'#建筑消耗和buff配置索引'!$M:$M,0))</f>
        <v>6500000</v>
      </c>
      <c r="L301" s="150">
        <f>INDEX('#建筑消耗和buff配置索引'!AB:AB,MATCH($F301,'#建筑消耗和buff配置索引'!$M:$M,0))</f>
        <v>6500000</v>
      </c>
      <c r="M301" s="150">
        <f>INDEX('#建筑消耗和buff配置索引'!AC:AC,MATCH($F301,'#建筑消耗和buff配置索引'!$M:$M,0))</f>
        <v>6500000</v>
      </c>
      <c r="N301" s="150">
        <f>INDEX('#建筑消耗和buff配置索引'!AD:AD,MATCH($F301,'#建筑消耗和buff配置索引'!$M:$M,0))</f>
        <v>6500000</v>
      </c>
      <c r="O301" s="150" t="str">
        <f>IF(INDEX('#建筑消耗和buff配置索引'!T:T,MATCH($F301,'#建筑消耗和buff配置索引'!$M:$M,0))=0,"",INDEX('#建筑消耗和buff配置索引'!T:T,MATCH($F301,'#建筑消耗和buff配置索引'!$M:$M,0)))</f>
        <v/>
      </c>
      <c r="P301" s="133" t="str">
        <f>IF(INDEX('#建筑消耗和buff配置索引'!U:U,MATCH($F301,'#建筑消耗和buff配置索引'!$M:$M,0))=0,"",INDEX('#建筑消耗和buff配置索引'!U:U,MATCH($F301,'#建筑消耗和buff配置索引'!$M:$M,0)))</f>
        <v/>
      </c>
      <c r="Q301" s="133" t="str">
        <f>IF(INDEX('#建筑消耗和buff配置索引'!K:K,MATCH($F301,'#建筑消耗和buff配置索引'!$M:$M,0))=0,"",INDEX('#建筑消耗和buff配置索引'!K:K,MATCH($F301,'#建筑消耗和buff配置索引'!$M:$M,0)))</f>
        <v>201;234</v>
      </c>
      <c r="R301" s="133" t="str">
        <f>IF(INDEX('#建筑消耗和buff配置索引'!L:L,MATCH($F301,'#建筑消耗和buff配置索引'!$M:$M,0))=0,"",INDEX('#建筑消耗和buff配置索引'!L:L,MATCH($F301,'#建筑消耗和buff配置索引'!$M:$M,0)))</f>
        <v>26;26</v>
      </c>
      <c r="S301" s="133">
        <f>IF(INDEX('#建筑消耗和buff配置索引'!C:C,MATCH(F301,'#建筑消耗和buff配置索引'!M:M,0))=0,1,INDEX('#建筑消耗和buff配置索引'!C:C,MATCH(F301,'#建筑消耗和buff配置索引'!M:M,0)))</f>
        <v>2</v>
      </c>
      <c r="T301" s="133">
        <v>0</v>
      </c>
      <c r="U301" s="133">
        <v>0</v>
      </c>
      <c r="V301" s="133" t="str">
        <f>IF(E301=1,IF(INDEX('#建筑消耗和buff配置索引'!BY:BY,MATCH(D301,'#建筑消耗和buff配置索引'!A:A,0))=0,"",INDEX('#建筑消耗和buff配置索引'!BY:BY,MATCH(D301,'#建筑消耗和buff配置索引'!A:A,0))),"")</f>
        <v/>
      </c>
      <c r="W301" s="133" t="str">
        <f>IF(E301=1,IF(INDEX('#建筑消耗和buff配置索引'!BZ:BZ,MATCH(D301,'#建筑消耗和buff配置索引'!A:A,0))=0,"",INDEX('#建筑消耗和buff配置索引'!BZ:BZ,MATCH(D301,'#建筑消耗和buff配置索引'!A:A,0))),"")</f>
        <v/>
      </c>
      <c r="X301" s="133" t="str">
        <f>INDEX('#建筑消耗和buff配置索引'!BC:BC,MATCH(F301,'#建筑消耗和buff配置索引'!M:M,0))*100&amp;"%"</f>
        <v>0%</v>
      </c>
      <c r="AA301" s="133">
        <f>INDEX('#建筑消耗和buff配置索引'!AO:AO,MATCH($F301,'#建筑消耗和buff配置索引'!$M:$M,0))</f>
        <v>233568</v>
      </c>
      <c r="AB301" s="133">
        <f>IF(INDEX('#建筑消耗和buff配置索引'!AR:AR,MATCH($F301,'#建筑消耗和buff配置索引'!$M:$M,0))=0,"",INDEX('#建筑消耗和buff配置索引'!AR:AR,MATCH($F301,'#建筑消耗和buff配置索引'!$M:$M,0)))</f>
        <v>3000</v>
      </c>
      <c r="AC301" s="133">
        <f>IF(AB301="","",INDEX('#建筑消耗和buff配置索引'!AS:AS,MATCH($F301,'#建筑消耗和buff配置索引'!$M:$M,0)))</f>
        <v>0.13</v>
      </c>
      <c r="AF301" s="133">
        <f>IF(INDEX('#建筑消耗和buff配置索引'!AW:AW,MATCH($F301,'#建筑消耗和buff配置索引'!$M:$M,0))=0,"",INDEX('#建筑消耗和buff配置索引'!AW:AW,MATCH($F301,'#建筑消耗和buff配置索引'!$M:$M,0)))</f>
        <v>3015</v>
      </c>
      <c r="AG301" s="133">
        <f>IF(AF301="","",INDEX('#建筑消耗和buff配置索引'!AX:AX,MATCH($F301,'#建筑消耗和buff配置索引'!$M:$M,0)))</f>
        <v>1300</v>
      </c>
      <c r="AJ301" s="133" t="str">
        <f>IF(INDEX('#建筑消耗和buff配置索引'!BB:BB,MATCH($F301,'#建筑消耗和buff配置索引'!$M:$M,0))=0,"",INDEX('#建筑消耗和buff配置索引'!BB:BB,MATCH($F301,'#建筑消耗和buff配置索引'!$M:$M,0)))</f>
        <v/>
      </c>
      <c r="AK301" s="133" t="str">
        <f>IF(AJ301="","",INDEX('#建筑消耗和buff配置索引'!BC:BC,MATCH($F301,'#建筑消耗和buff配置索引'!$M:$M,0)))</f>
        <v/>
      </c>
      <c r="AN301" s="133" t="str">
        <f>IF(INDEX('#建筑消耗和buff配置索引'!BG:BG,MATCH($F301,'#建筑消耗和buff配置索引'!$M:$M,0))=0,"",INDEX('#建筑消耗和buff配置索引'!BG:BG,MATCH($F301,'#建筑消耗和buff配置索引'!$M:$M,0)))</f>
        <v/>
      </c>
      <c r="AO301" s="133" t="str">
        <f>IF(AN301="","",INDEX('#建筑消耗和buff配置索引'!BH:BH,MATCH($F301,'#建筑消耗和buff配置索引'!$M:$M,0)))</f>
        <v/>
      </c>
      <c r="AR301" s="133" t="str">
        <f>IF(INDEX('#建筑消耗和buff配置索引'!BK:BK,MATCH($F301,'#建筑消耗和buff配置索引'!$M:$M,0))=0,"",INDEX('#建筑消耗和buff配置索引'!BK:BK,MATCH($F301,'#建筑消耗和buff配置索引'!$M:$M,0)))</f>
        <v/>
      </c>
      <c r="AS301" s="133" t="str">
        <f>IF(AR301="","",INDEX('#建筑消耗和buff配置索引'!BL:BL,MATCH($F301,'#建筑消耗和buff配置索引'!$M:$M,0)))</f>
        <v/>
      </c>
      <c r="AV301" s="133" t="str">
        <f>IF(INDEX('#建筑消耗和buff配置索引'!BO:BO,MATCH($F301,'#建筑消耗和buff配置索引'!$M:$M,0))=0,"",INDEX('#建筑消耗和buff配置索引'!BO:BO,MATCH($F301,'#建筑消耗和buff配置索引'!$M:$M,0)))</f>
        <v/>
      </c>
      <c r="AW301" s="133" t="str">
        <f>IF(AV301="","",INDEX('#建筑消耗和buff配置索引'!BP:BP,MATCH($F301,'#建筑消耗和buff配置索引'!$M:$M,0)))</f>
        <v/>
      </c>
      <c r="AZ301" s="133" t="str">
        <f>IF(INDEX('#建筑消耗和buff配置索引'!BS:BS,MATCH($F301,'#建筑消耗和buff配置索引'!$M:$M,0))=0,"",INDEX('#建筑消耗和buff配置索引'!BS:BS,MATCH($F301,'#建筑消耗和buff配置索引'!$M:$M,0)))</f>
        <v/>
      </c>
      <c r="BA301" s="133" t="str">
        <f>IF(AZ301="","",INDEX('#建筑消耗和buff配置索引'!BT:BT,MATCH($F301,'#建筑消耗和buff配置索引'!$M:$M,0)))</f>
        <v/>
      </c>
      <c r="BD301" s="133" t="str">
        <f>IF(INDEX('#建筑消耗和buff配置索引'!BW:BW,MATCH($F301,'#建筑消耗和buff配置索引'!$M:$M,0))=0,"",INDEX('#建筑消耗和buff配置索引'!BW:BW,MATCH($F301,'#建筑消耗和buff配置索引'!$M:$M,0)))</f>
        <v/>
      </c>
      <c r="BE301" s="133" t="str">
        <f>IF(BD301="","",INDEX('#建筑消耗和buff配置索引'!BX:BX,MATCH($F301,'#建筑消耗和buff配置索引'!$M:$M,0)))</f>
        <v/>
      </c>
      <c r="BI301" s="133">
        <v>10</v>
      </c>
    </row>
    <row r="302" spans="1:61" s="133" customFormat="1">
      <c r="A302" s="133">
        <v>2240027</v>
      </c>
      <c r="B302" s="133">
        <v>299</v>
      </c>
      <c r="C302" s="133">
        <v>224</v>
      </c>
      <c r="D302" s="133" t="s">
        <v>369</v>
      </c>
      <c r="E302" s="133">
        <v>27</v>
      </c>
      <c r="F302" s="133" t="str">
        <f t="shared" si="6"/>
        <v>射箭场27</v>
      </c>
      <c r="H302" s="146"/>
      <c r="I302" s="133">
        <v>3</v>
      </c>
      <c r="J302" s="150">
        <f>INDEX('#建筑消耗和buff配置索引'!AH:AH,MATCH($F302,'#建筑消耗和buff配置索引'!$M:$M,0))</f>
        <v>570240</v>
      </c>
      <c r="K302" s="150">
        <f>INDEX('#建筑消耗和buff配置索引'!AA:AA,MATCH($F302,'#建筑消耗和buff配置索引'!$M:$M,0))</f>
        <v>8300000</v>
      </c>
      <c r="L302" s="150">
        <f>INDEX('#建筑消耗和buff配置索引'!AB:AB,MATCH($F302,'#建筑消耗和buff配置索引'!$M:$M,0))</f>
        <v>8300000</v>
      </c>
      <c r="M302" s="150">
        <f>INDEX('#建筑消耗和buff配置索引'!AC:AC,MATCH($F302,'#建筑消耗和buff配置索引'!$M:$M,0))</f>
        <v>8300000</v>
      </c>
      <c r="N302" s="150">
        <f>INDEX('#建筑消耗和buff配置索引'!AD:AD,MATCH($F302,'#建筑消耗和buff配置索引'!$M:$M,0))</f>
        <v>8300000</v>
      </c>
      <c r="O302" s="150" t="str">
        <f>IF(INDEX('#建筑消耗和buff配置索引'!T:T,MATCH($F302,'#建筑消耗和buff配置索引'!$M:$M,0))=0,"",INDEX('#建筑消耗和buff配置索引'!T:T,MATCH($F302,'#建筑消耗和buff配置索引'!$M:$M,0)))</f>
        <v/>
      </c>
      <c r="P302" s="133" t="str">
        <f>IF(INDEX('#建筑消耗和buff配置索引'!U:U,MATCH($F302,'#建筑消耗和buff配置索引'!$M:$M,0))=0,"",INDEX('#建筑消耗和buff配置索引'!U:U,MATCH($F302,'#建筑消耗和buff配置索引'!$M:$M,0)))</f>
        <v/>
      </c>
      <c r="Q302" s="133" t="str">
        <f>IF(INDEX('#建筑消耗和buff配置索引'!K:K,MATCH($F302,'#建筑消耗和buff配置索引'!$M:$M,0))=0,"",INDEX('#建筑消耗和buff配置索引'!K:K,MATCH($F302,'#建筑消耗和buff配置索引'!$M:$M,0)))</f>
        <v>201;234</v>
      </c>
      <c r="R302" s="133" t="str">
        <f>IF(INDEX('#建筑消耗和buff配置索引'!L:L,MATCH($F302,'#建筑消耗和buff配置索引'!$M:$M,0))=0,"",INDEX('#建筑消耗和buff配置索引'!L:L,MATCH($F302,'#建筑消耗和buff配置索引'!$M:$M,0)))</f>
        <v>27;27</v>
      </c>
      <c r="S302" s="133">
        <f>IF(INDEX('#建筑消耗和buff配置索引'!C:C,MATCH(F302,'#建筑消耗和buff配置索引'!M:M,0))=0,1,INDEX('#建筑消耗和buff配置索引'!C:C,MATCH(F302,'#建筑消耗和buff配置索引'!M:M,0)))</f>
        <v>2</v>
      </c>
      <c r="T302" s="133">
        <v>0</v>
      </c>
      <c r="U302" s="133">
        <v>0</v>
      </c>
      <c r="V302" s="133" t="str">
        <f>IF(E302=1,IF(INDEX('#建筑消耗和buff配置索引'!BY:BY,MATCH(D302,'#建筑消耗和buff配置索引'!A:A,0))=0,"",INDEX('#建筑消耗和buff配置索引'!BY:BY,MATCH(D302,'#建筑消耗和buff配置索引'!A:A,0))),"")</f>
        <v/>
      </c>
      <c r="W302" s="133" t="str">
        <f>IF(E302=1,IF(INDEX('#建筑消耗和buff配置索引'!BZ:BZ,MATCH(D302,'#建筑消耗和buff配置索引'!A:A,0))=0,"",INDEX('#建筑消耗和buff配置索引'!BZ:BZ,MATCH(D302,'#建筑消耗和buff配置索引'!A:A,0))),"")</f>
        <v/>
      </c>
      <c r="X302" s="133" t="str">
        <f>INDEX('#建筑消耗和buff配置索引'!BC:BC,MATCH(F302,'#建筑消耗和buff配置索引'!M:M,0))*100&amp;"%"</f>
        <v>0%</v>
      </c>
      <c r="AA302" s="133">
        <f>INDEX('#建筑消耗和buff配置索引'!AO:AO,MATCH($F302,'#建筑消耗和buff配置索引'!$M:$M,0))</f>
        <v>299871</v>
      </c>
      <c r="AB302" s="133">
        <f>IF(INDEX('#建筑消耗和buff配置索引'!AR:AR,MATCH($F302,'#建筑消耗和buff配置索引'!$M:$M,0))=0,"",INDEX('#建筑消耗和buff配置索引'!AR:AR,MATCH($F302,'#建筑消耗和buff配置索引'!$M:$M,0)))</f>
        <v>3000</v>
      </c>
      <c r="AC302" s="133">
        <f>IF(AB302="","",INDEX('#建筑消耗和buff配置索引'!AS:AS,MATCH($F302,'#建筑消耗和buff配置索引'!$M:$M,0)))</f>
        <v>0.14000000000000001</v>
      </c>
      <c r="AF302" s="133">
        <f>IF(INDEX('#建筑消耗和buff配置索引'!AW:AW,MATCH($F302,'#建筑消耗和buff配置索引'!$M:$M,0))=0,"",INDEX('#建筑消耗和buff配置索引'!AW:AW,MATCH($F302,'#建筑消耗和buff配置索引'!$M:$M,0)))</f>
        <v>3015</v>
      </c>
      <c r="AG302" s="133">
        <f>IF(AF302="","",INDEX('#建筑消耗和buff配置索引'!AX:AX,MATCH($F302,'#建筑消耗和buff配置索引'!$M:$M,0)))</f>
        <v>1400</v>
      </c>
      <c r="AJ302" s="133" t="str">
        <f>IF(INDEX('#建筑消耗和buff配置索引'!BB:BB,MATCH($F302,'#建筑消耗和buff配置索引'!$M:$M,0))=0,"",INDEX('#建筑消耗和buff配置索引'!BB:BB,MATCH($F302,'#建筑消耗和buff配置索引'!$M:$M,0)))</f>
        <v/>
      </c>
      <c r="AK302" s="133" t="str">
        <f>IF(AJ302="","",INDEX('#建筑消耗和buff配置索引'!BC:BC,MATCH($F302,'#建筑消耗和buff配置索引'!$M:$M,0)))</f>
        <v/>
      </c>
      <c r="AN302" s="133" t="str">
        <f>IF(INDEX('#建筑消耗和buff配置索引'!BG:BG,MATCH($F302,'#建筑消耗和buff配置索引'!$M:$M,0))=0,"",INDEX('#建筑消耗和buff配置索引'!BG:BG,MATCH($F302,'#建筑消耗和buff配置索引'!$M:$M,0)))</f>
        <v/>
      </c>
      <c r="AO302" s="133" t="str">
        <f>IF(AN302="","",INDEX('#建筑消耗和buff配置索引'!BH:BH,MATCH($F302,'#建筑消耗和buff配置索引'!$M:$M,0)))</f>
        <v/>
      </c>
      <c r="AR302" s="133" t="str">
        <f>IF(INDEX('#建筑消耗和buff配置索引'!BK:BK,MATCH($F302,'#建筑消耗和buff配置索引'!$M:$M,0))=0,"",INDEX('#建筑消耗和buff配置索引'!BK:BK,MATCH($F302,'#建筑消耗和buff配置索引'!$M:$M,0)))</f>
        <v/>
      </c>
      <c r="AS302" s="133" t="str">
        <f>IF(AR302="","",INDEX('#建筑消耗和buff配置索引'!BL:BL,MATCH($F302,'#建筑消耗和buff配置索引'!$M:$M,0)))</f>
        <v/>
      </c>
      <c r="AV302" s="133" t="str">
        <f>IF(INDEX('#建筑消耗和buff配置索引'!BO:BO,MATCH($F302,'#建筑消耗和buff配置索引'!$M:$M,0))=0,"",INDEX('#建筑消耗和buff配置索引'!BO:BO,MATCH($F302,'#建筑消耗和buff配置索引'!$M:$M,0)))</f>
        <v/>
      </c>
      <c r="AW302" s="133" t="str">
        <f>IF(AV302="","",INDEX('#建筑消耗和buff配置索引'!BP:BP,MATCH($F302,'#建筑消耗和buff配置索引'!$M:$M,0)))</f>
        <v/>
      </c>
      <c r="AZ302" s="133" t="str">
        <f>IF(INDEX('#建筑消耗和buff配置索引'!BS:BS,MATCH($F302,'#建筑消耗和buff配置索引'!$M:$M,0))=0,"",INDEX('#建筑消耗和buff配置索引'!BS:BS,MATCH($F302,'#建筑消耗和buff配置索引'!$M:$M,0)))</f>
        <v/>
      </c>
      <c r="BA302" s="133" t="str">
        <f>IF(AZ302="","",INDEX('#建筑消耗和buff配置索引'!BT:BT,MATCH($F302,'#建筑消耗和buff配置索引'!$M:$M,0)))</f>
        <v/>
      </c>
      <c r="BD302" s="133" t="str">
        <f>IF(INDEX('#建筑消耗和buff配置索引'!BW:BW,MATCH($F302,'#建筑消耗和buff配置索引'!$M:$M,0))=0,"",INDEX('#建筑消耗和buff配置索引'!BW:BW,MATCH($F302,'#建筑消耗和buff配置索引'!$M:$M,0)))</f>
        <v/>
      </c>
      <c r="BE302" s="133" t="str">
        <f>IF(BD302="","",INDEX('#建筑消耗和buff配置索引'!BX:BX,MATCH($F302,'#建筑消耗和buff配置索引'!$M:$M,0)))</f>
        <v/>
      </c>
      <c r="BI302" s="133">
        <v>10</v>
      </c>
    </row>
    <row r="303" spans="1:61" s="133" customFormat="1">
      <c r="A303" s="133">
        <v>2240028</v>
      </c>
      <c r="B303" s="133">
        <v>300</v>
      </c>
      <c r="C303" s="133">
        <v>224</v>
      </c>
      <c r="D303" s="133" t="s">
        <v>369</v>
      </c>
      <c r="E303" s="133">
        <v>28</v>
      </c>
      <c r="F303" s="133" t="str">
        <f t="shared" si="6"/>
        <v>射箭场28</v>
      </c>
      <c r="H303" s="146"/>
      <c r="I303" s="133">
        <v>3</v>
      </c>
      <c r="J303" s="150">
        <f>INDEX('#建筑消耗和buff配置索引'!AH:AH,MATCH($F303,'#建筑消耗和buff配置索引'!$M:$M,0))</f>
        <v>699840</v>
      </c>
      <c r="K303" s="150">
        <f>INDEX('#建筑消耗和buff配置索引'!AA:AA,MATCH($F303,'#建筑消耗和buff配置索引'!$M:$M,0))</f>
        <v>11000000</v>
      </c>
      <c r="L303" s="150">
        <f>INDEX('#建筑消耗和buff配置索引'!AB:AB,MATCH($F303,'#建筑消耗和buff配置索引'!$M:$M,0))</f>
        <v>11000000</v>
      </c>
      <c r="M303" s="150">
        <f>INDEX('#建筑消耗和buff配置索引'!AC:AC,MATCH($F303,'#建筑消耗和buff配置索引'!$M:$M,0))</f>
        <v>11000000</v>
      </c>
      <c r="N303" s="150">
        <f>INDEX('#建筑消耗和buff配置索引'!AD:AD,MATCH($F303,'#建筑消耗和buff配置索引'!$M:$M,0))</f>
        <v>11000000</v>
      </c>
      <c r="O303" s="150" t="str">
        <f>IF(INDEX('#建筑消耗和buff配置索引'!T:T,MATCH($F303,'#建筑消耗和buff配置索引'!$M:$M,0))=0,"",INDEX('#建筑消耗和buff配置索引'!T:T,MATCH($F303,'#建筑消耗和buff配置索引'!$M:$M,0)))</f>
        <v/>
      </c>
      <c r="P303" s="133" t="str">
        <f>IF(INDEX('#建筑消耗和buff配置索引'!U:U,MATCH($F303,'#建筑消耗和buff配置索引'!$M:$M,0))=0,"",INDEX('#建筑消耗和buff配置索引'!U:U,MATCH($F303,'#建筑消耗和buff配置索引'!$M:$M,0)))</f>
        <v/>
      </c>
      <c r="Q303" s="133" t="str">
        <f>IF(INDEX('#建筑消耗和buff配置索引'!K:K,MATCH($F303,'#建筑消耗和buff配置索引'!$M:$M,0))=0,"",INDEX('#建筑消耗和buff配置索引'!K:K,MATCH($F303,'#建筑消耗和buff配置索引'!$M:$M,0)))</f>
        <v>201;234</v>
      </c>
      <c r="R303" s="133" t="str">
        <f>IF(INDEX('#建筑消耗和buff配置索引'!L:L,MATCH($F303,'#建筑消耗和buff配置索引'!$M:$M,0))=0,"",INDEX('#建筑消耗和buff配置索引'!L:L,MATCH($F303,'#建筑消耗和buff配置索引'!$M:$M,0)))</f>
        <v>28;28</v>
      </c>
      <c r="S303" s="133">
        <f>IF(INDEX('#建筑消耗和buff配置索引'!C:C,MATCH(F303,'#建筑消耗和buff配置索引'!M:M,0))=0,1,INDEX('#建筑消耗和buff配置索引'!C:C,MATCH(F303,'#建筑消耗和buff配置索引'!M:M,0)))</f>
        <v>2</v>
      </c>
      <c r="T303" s="133">
        <v>0</v>
      </c>
      <c r="U303" s="133">
        <v>0</v>
      </c>
      <c r="V303" s="133" t="str">
        <f>IF(E303=1,IF(INDEX('#建筑消耗和buff配置索引'!BY:BY,MATCH(D303,'#建筑消耗和buff配置索引'!A:A,0))=0,"",INDEX('#建筑消耗和buff配置索引'!BY:BY,MATCH(D303,'#建筑消耗和buff配置索引'!A:A,0))),"")</f>
        <v/>
      </c>
      <c r="W303" s="133" t="str">
        <f>IF(E303=1,IF(INDEX('#建筑消耗和buff配置索引'!BZ:BZ,MATCH(D303,'#建筑消耗和buff配置索引'!A:A,0))=0,"",INDEX('#建筑消耗和buff配置索引'!BZ:BZ,MATCH(D303,'#建筑消耗和buff配置索引'!A:A,0))),"")</f>
        <v/>
      </c>
      <c r="X303" s="133" t="str">
        <f>INDEX('#建筑消耗和buff配置索引'!BC:BC,MATCH(F303,'#建筑消耗和buff配置索引'!M:M,0))*100&amp;"%"</f>
        <v>0%</v>
      </c>
      <c r="AA303" s="133">
        <f>INDEX('#建筑消耗和buff配置索引'!AO:AO,MATCH($F303,'#建筑消耗和buff配置索引'!$M:$M,0))</f>
        <v>384740</v>
      </c>
      <c r="AB303" s="133">
        <f>IF(INDEX('#建筑消耗和buff配置索引'!AR:AR,MATCH($F303,'#建筑消耗和buff配置索引'!$M:$M,0))=0,"",INDEX('#建筑消耗和buff配置索引'!AR:AR,MATCH($F303,'#建筑消耗和buff配置索引'!$M:$M,0)))</f>
        <v>3000</v>
      </c>
      <c r="AC303" s="133">
        <f>IF(AB303="","",INDEX('#建筑消耗和buff配置索引'!AS:AS,MATCH($F303,'#建筑消耗和buff配置索引'!$M:$M,0)))</f>
        <v>0.15</v>
      </c>
      <c r="AF303" s="133">
        <f>IF(INDEX('#建筑消耗和buff配置索引'!AW:AW,MATCH($F303,'#建筑消耗和buff配置索引'!$M:$M,0))=0,"",INDEX('#建筑消耗和buff配置索引'!AW:AW,MATCH($F303,'#建筑消耗和buff配置索引'!$M:$M,0)))</f>
        <v>3015</v>
      </c>
      <c r="AG303" s="133">
        <f>IF(AF303="","",INDEX('#建筑消耗和buff配置索引'!AX:AX,MATCH($F303,'#建筑消耗和buff配置索引'!$M:$M,0)))</f>
        <v>1500</v>
      </c>
      <c r="AJ303" s="133" t="str">
        <f>IF(INDEX('#建筑消耗和buff配置索引'!BB:BB,MATCH($F303,'#建筑消耗和buff配置索引'!$M:$M,0))=0,"",INDEX('#建筑消耗和buff配置索引'!BB:BB,MATCH($F303,'#建筑消耗和buff配置索引'!$M:$M,0)))</f>
        <v/>
      </c>
      <c r="AK303" s="133" t="str">
        <f>IF(AJ303="","",INDEX('#建筑消耗和buff配置索引'!BC:BC,MATCH($F303,'#建筑消耗和buff配置索引'!$M:$M,0)))</f>
        <v/>
      </c>
      <c r="AN303" s="133" t="str">
        <f>IF(INDEX('#建筑消耗和buff配置索引'!BG:BG,MATCH($F303,'#建筑消耗和buff配置索引'!$M:$M,0))=0,"",INDEX('#建筑消耗和buff配置索引'!BG:BG,MATCH($F303,'#建筑消耗和buff配置索引'!$M:$M,0)))</f>
        <v/>
      </c>
      <c r="AO303" s="133" t="str">
        <f>IF(AN303="","",INDEX('#建筑消耗和buff配置索引'!BH:BH,MATCH($F303,'#建筑消耗和buff配置索引'!$M:$M,0)))</f>
        <v/>
      </c>
      <c r="AR303" s="133" t="str">
        <f>IF(INDEX('#建筑消耗和buff配置索引'!BK:BK,MATCH($F303,'#建筑消耗和buff配置索引'!$M:$M,0))=0,"",INDEX('#建筑消耗和buff配置索引'!BK:BK,MATCH($F303,'#建筑消耗和buff配置索引'!$M:$M,0)))</f>
        <v/>
      </c>
      <c r="AS303" s="133" t="str">
        <f>IF(AR303="","",INDEX('#建筑消耗和buff配置索引'!BL:BL,MATCH($F303,'#建筑消耗和buff配置索引'!$M:$M,0)))</f>
        <v/>
      </c>
      <c r="AV303" s="133" t="str">
        <f>IF(INDEX('#建筑消耗和buff配置索引'!BO:BO,MATCH($F303,'#建筑消耗和buff配置索引'!$M:$M,0))=0,"",INDEX('#建筑消耗和buff配置索引'!BO:BO,MATCH($F303,'#建筑消耗和buff配置索引'!$M:$M,0)))</f>
        <v/>
      </c>
      <c r="AW303" s="133" t="str">
        <f>IF(AV303="","",INDEX('#建筑消耗和buff配置索引'!BP:BP,MATCH($F303,'#建筑消耗和buff配置索引'!$M:$M,0)))</f>
        <v/>
      </c>
      <c r="AZ303" s="133" t="str">
        <f>IF(INDEX('#建筑消耗和buff配置索引'!BS:BS,MATCH($F303,'#建筑消耗和buff配置索引'!$M:$M,0))=0,"",INDEX('#建筑消耗和buff配置索引'!BS:BS,MATCH($F303,'#建筑消耗和buff配置索引'!$M:$M,0)))</f>
        <v/>
      </c>
      <c r="BA303" s="133" t="str">
        <f>IF(AZ303="","",INDEX('#建筑消耗和buff配置索引'!BT:BT,MATCH($F303,'#建筑消耗和buff配置索引'!$M:$M,0)))</f>
        <v/>
      </c>
      <c r="BD303" s="133" t="str">
        <f>IF(INDEX('#建筑消耗和buff配置索引'!BW:BW,MATCH($F303,'#建筑消耗和buff配置索引'!$M:$M,0))=0,"",INDEX('#建筑消耗和buff配置索引'!BW:BW,MATCH($F303,'#建筑消耗和buff配置索引'!$M:$M,0)))</f>
        <v/>
      </c>
      <c r="BE303" s="133" t="str">
        <f>IF(BD303="","",INDEX('#建筑消耗和buff配置索引'!BX:BX,MATCH($F303,'#建筑消耗和buff配置索引'!$M:$M,0)))</f>
        <v/>
      </c>
      <c r="BI303" s="133">
        <v>10</v>
      </c>
    </row>
    <row r="304" spans="1:61" s="133" customFormat="1">
      <c r="A304" s="133">
        <v>2240029</v>
      </c>
      <c r="B304" s="133">
        <v>301</v>
      </c>
      <c r="C304" s="133">
        <v>224</v>
      </c>
      <c r="D304" s="133" t="s">
        <v>369</v>
      </c>
      <c r="E304" s="133">
        <v>29</v>
      </c>
      <c r="F304" s="133" t="str">
        <f t="shared" si="6"/>
        <v>射箭场29</v>
      </c>
      <c r="H304" s="146"/>
      <c r="I304" s="133">
        <v>3</v>
      </c>
      <c r="J304" s="150">
        <f>INDEX('#建筑消耗和buff配置索引'!AH:AH,MATCH($F304,'#建筑消耗和buff配置索引'!$M:$M,0))</f>
        <v>855360</v>
      </c>
      <c r="K304" s="150">
        <f>INDEX('#建筑消耗和buff配置索引'!AA:AA,MATCH($F304,'#建筑消耗和buff配置索引'!$M:$M,0))</f>
        <v>14000000</v>
      </c>
      <c r="L304" s="150">
        <f>INDEX('#建筑消耗和buff配置索引'!AB:AB,MATCH($F304,'#建筑消耗和buff配置索引'!$M:$M,0))</f>
        <v>14000000</v>
      </c>
      <c r="M304" s="150">
        <f>INDEX('#建筑消耗和buff配置索引'!AC:AC,MATCH($F304,'#建筑消耗和buff配置索引'!$M:$M,0))</f>
        <v>14000000</v>
      </c>
      <c r="N304" s="150">
        <f>INDEX('#建筑消耗和buff配置索引'!AD:AD,MATCH($F304,'#建筑消耗和buff配置索引'!$M:$M,0))</f>
        <v>14000000</v>
      </c>
      <c r="O304" s="150" t="str">
        <f>IF(INDEX('#建筑消耗和buff配置索引'!T:T,MATCH($F304,'#建筑消耗和buff配置索引'!$M:$M,0))=0,"",INDEX('#建筑消耗和buff配置索引'!T:T,MATCH($F304,'#建筑消耗和buff配置索引'!$M:$M,0)))</f>
        <v/>
      </c>
      <c r="P304" s="133" t="str">
        <f>IF(INDEX('#建筑消耗和buff配置索引'!U:U,MATCH($F304,'#建筑消耗和buff配置索引'!$M:$M,0))=0,"",INDEX('#建筑消耗和buff配置索引'!U:U,MATCH($F304,'#建筑消耗和buff配置索引'!$M:$M,0)))</f>
        <v/>
      </c>
      <c r="Q304" s="133" t="str">
        <f>IF(INDEX('#建筑消耗和buff配置索引'!K:K,MATCH($F304,'#建筑消耗和buff配置索引'!$M:$M,0))=0,"",INDEX('#建筑消耗和buff配置索引'!K:K,MATCH($F304,'#建筑消耗和buff配置索引'!$M:$M,0)))</f>
        <v>201;234</v>
      </c>
      <c r="R304" s="133" t="str">
        <f>IF(INDEX('#建筑消耗和buff配置索引'!L:L,MATCH($F304,'#建筑消耗和buff配置索引'!$M:$M,0))=0,"",INDEX('#建筑消耗和buff配置索引'!L:L,MATCH($F304,'#建筑消耗和buff配置索引'!$M:$M,0)))</f>
        <v>29;29</v>
      </c>
      <c r="S304" s="133">
        <f>IF(INDEX('#建筑消耗和buff配置索引'!C:C,MATCH(F304,'#建筑消耗和buff配置索引'!M:M,0))=0,1,INDEX('#建筑消耗和buff配置索引'!C:C,MATCH(F304,'#建筑消耗和buff配置索引'!M:M,0)))</f>
        <v>2</v>
      </c>
      <c r="T304" s="133">
        <v>0</v>
      </c>
      <c r="U304" s="133">
        <v>0</v>
      </c>
      <c r="V304" s="133" t="str">
        <f>IF(E304=1,IF(INDEX('#建筑消耗和buff配置索引'!BY:BY,MATCH(D304,'#建筑消耗和buff配置索引'!A:A,0))=0,"",INDEX('#建筑消耗和buff配置索引'!BY:BY,MATCH(D304,'#建筑消耗和buff配置索引'!A:A,0))),"")</f>
        <v/>
      </c>
      <c r="W304" s="133" t="str">
        <f>IF(E304=1,IF(INDEX('#建筑消耗和buff配置索引'!BZ:BZ,MATCH(D304,'#建筑消耗和buff配置索引'!A:A,0))=0,"",INDEX('#建筑消耗和buff配置索引'!BZ:BZ,MATCH(D304,'#建筑消耗和buff配置索引'!A:A,0))),"")</f>
        <v/>
      </c>
      <c r="X304" s="133" t="str">
        <f>INDEX('#建筑消耗和buff配置索引'!BC:BC,MATCH(F304,'#建筑消耗和buff配置索引'!M:M,0))*100&amp;"%"</f>
        <v>0%</v>
      </c>
      <c r="AA304" s="133">
        <f>INDEX('#建筑消耗和buff配置索引'!AO:AO,MATCH($F304,'#建筑消耗和buff配置索引'!$M:$M,0))</f>
        <v>493372</v>
      </c>
      <c r="AB304" s="133">
        <f>IF(INDEX('#建筑消耗和buff配置索引'!AR:AR,MATCH($F304,'#建筑消耗和buff配置索引'!$M:$M,0))=0,"",INDEX('#建筑消耗和buff配置索引'!AR:AR,MATCH($F304,'#建筑消耗和buff配置索引'!$M:$M,0)))</f>
        <v>3000</v>
      </c>
      <c r="AC304" s="133">
        <f>IF(AB304="","",INDEX('#建筑消耗和buff配置索引'!AS:AS,MATCH($F304,'#建筑消耗和buff配置索引'!$M:$M,0)))</f>
        <v>0.16</v>
      </c>
      <c r="AF304" s="133">
        <f>IF(INDEX('#建筑消耗和buff配置索引'!AW:AW,MATCH($F304,'#建筑消耗和buff配置索引'!$M:$M,0))=0,"",INDEX('#建筑消耗和buff配置索引'!AW:AW,MATCH($F304,'#建筑消耗和buff配置索引'!$M:$M,0)))</f>
        <v>3015</v>
      </c>
      <c r="AG304" s="133">
        <f>IF(AF304="","",INDEX('#建筑消耗和buff配置索引'!AX:AX,MATCH($F304,'#建筑消耗和buff配置索引'!$M:$M,0)))</f>
        <v>1600</v>
      </c>
      <c r="AJ304" s="133" t="str">
        <f>IF(INDEX('#建筑消耗和buff配置索引'!BB:BB,MATCH($F304,'#建筑消耗和buff配置索引'!$M:$M,0))=0,"",INDEX('#建筑消耗和buff配置索引'!BB:BB,MATCH($F304,'#建筑消耗和buff配置索引'!$M:$M,0)))</f>
        <v/>
      </c>
      <c r="AK304" s="133" t="str">
        <f>IF(AJ304="","",INDEX('#建筑消耗和buff配置索引'!BC:BC,MATCH($F304,'#建筑消耗和buff配置索引'!$M:$M,0)))</f>
        <v/>
      </c>
      <c r="AN304" s="133" t="str">
        <f>IF(INDEX('#建筑消耗和buff配置索引'!BG:BG,MATCH($F304,'#建筑消耗和buff配置索引'!$M:$M,0))=0,"",INDEX('#建筑消耗和buff配置索引'!BG:BG,MATCH($F304,'#建筑消耗和buff配置索引'!$M:$M,0)))</f>
        <v/>
      </c>
      <c r="AO304" s="133" t="str">
        <f>IF(AN304="","",INDEX('#建筑消耗和buff配置索引'!BH:BH,MATCH($F304,'#建筑消耗和buff配置索引'!$M:$M,0)))</f>
        <v/>
      </c>
      <c r="AR304" s="133" t="str">
        <f>IF(INDEX('#建筑消耗和buff配置索引'!BK:BK,MATCH($F304,'#建筑消耗和buff配置索引'!$M:$M,0))=0,"",INDEX('#建筑消耗和buff配置索引'!BK:BK,MATCH($F304,'#建筑消耗和buff配置索引'!$M:$M,0)))</f>
        <v/>
      </c>
      <c r="AS304" s="133" t="str">
        <f>IF(AR304="","",INDEX('#建筑消耗和buff配置索引'!BL:BL,MATCH($F304,'#建筑消耗和buff配置索引'!$M:$M,0)))</f>
        <v/>
      </c>
      <c r="AV304" s="133" t="str">
        <f>IF(INDEX('#建筑消耗和buff配置索引'!BO:BO,MATCH($F304,'#建筑消耗和buff配置索引'!$M:$M,0))=0,"",INDEX('#建筑消耗和buff配置索引'!BO:BO,MATCH($F304,'#建筑消耗和buff配置索引'!$M:$M,0)))</f>
        <v/>
      </c>
      <c r="AW304" s="133" t="str">
        <f>IF(AV304="","",INDEX('#建筑消耗和buff配置索引'!BP:BP,MATCH($F304,'#建筑消耗和buff配置索引'!$M:$M,0)))</f>
        <v/>
      </c>
      <c r="AZ304" s="133" t="str">
        <f>IF(INDEX('#建筑消耗和buff配置索引'!BS:BS,MATCH($F304,'#建筑消耗和buff配置索引'!$M:$M,0))=0,"",INDEX('#建筑消耗和buff配置索引'!BS:BS,MATCH($F304,'#建筑消耗和buff配置索引'!$M:$M,0)))</f>
        <v/>
      </c>
      <c r="BA304" s="133" t="str">
        <f>IF(AZ304="","",INDEX('#建筑消耗和buff配置索引'!BT:BT,MATCH($F304,'#建筑消耗和buff配置索引'!$M:$M,0)))</f>
        <v/>
      </c>
      <c r="BD304" s="133" t="str">
        <f>IF(INDEX('#建筑消耗和buff配置索引'!BW:BW,MATCH($F304,'#建筑消耗和buff配置索引'!$M:$M,0))=0,"",INDEX('#建筑消耗和buff配置索引'!BW:BW,MATCH($F304,'#建筑消耗和buff配置索引'!$M:$M,0)))</f>
        <v/>
      </c>
      <c r="BE304" s="133" t="str">
        <f>IF(BD304="","",INDEX('#建筑消耗和buff配置索引'!BX:BX,MATCH($F304,'#建筑消耗和buff配置索引'!$M:$M,0)))</f>
        <v/>
      </c>
      <c r="BI304" s="133">
        <v>10</v>
      </c>
    </row>
    <row r="305" spans="1:61" s="133" customFormat="1">
      <c r="A305" s="133">
        <v>2240030</v>
      </c>
      <c r="B305" s="133">
        <v>302</v>
      </c>
      <c r="C305" s="133">
        <v>224</v>
      </c>
      <c r="D305" s="133" t="s">
        <v>369</v>
      </c>
      <c r="E305" s="133">
        <v>30</v>
      </c>
      <c r="F305" s="133" t="str">
        <f t="shared" si="6"/>
        <v>射箭场30</v>
      </c>
      <c r="H305" s="146"/>
      <c r="I305" s="133">
        <v>3</v>
      </c>
      <c r="J305" s="150">
        <f>INDEX('#建筑消耗和buff配置索引'!AH:AH,MATCH($F305,'#建筑消耗和buff配置索引'!$M:$M,0))</f>
        <v>1036800</v>
      </c>
      <c r="K305" s="150">
        <f>INDEX('#建筑消耗和buff配置索引'!AA:AA,MATCH($F305,'#建筑消耗和buff配置索引'!$M:$M,0))</f>
        <v>17000000</v>
      </c>
      <c r="L305" s="150">
        <f>INDEX('#建筑消耗和buff配置索引'!AB:AB,MATCH($F305,'#建筑消耗和buff配置索引'!$M:$M,0))</f>
        <v>17000000</v>
      </c>
      <c r="M305" s="150">
        <f>INDEX('#建筑消耗和buff配置索引'!AC:AC,MATCH($F305,'#建筑消耗和buff配置索引'!$M:$M,0))</f>
        <v>17000000</v>
      </c>
      <c r="N305" s="150">
        <f>INDEX('#建筑消耗和buff配置索引'!AD:AD,MATCH($F305,'#建筑消耗和buff配置索引'!$M:$M,0))</f>
        <v>17000000</v>
      </c>
      <c r="O305" s="150" t="str">
        <f>IF(INDEX('#建筑消耗和buff配置索引'!T:T,MATCH($F305,'#建筑消耗和buff配置索引'!$M:$M,0))=0,"",INDEX('#建筑消耗和buff配置索引'!T:T,MATCH($F305,'#建筑消耗和buff配置索引'!$M:$M,0)))</f>
        <v/>
      </c>
      <c r="P305" s="133" t="str">
        <f>IF(INDEX('#建筑消耗和buff配置索引'!U:U,MATCH($F305,'#建筑消耗和buff配置索引'!$M:$M,0))=0,"",INDEX('#建筑消耗和buff配置索引'!U:U,MATCH($F305,'#建筑消耗和buff配置索引'!$M:$M,0)))</f>
        <v/>
      </c>
      <c r="Q305" s="133" t="str">
        <f>IF(INDEX('#建筑消耗和buff配置索引'!K:K,MATCH($F305,'#建筑消耗和buff配置索引'!$M:$M,0))=0,"",INDEX('#建筑消耗和buff配置索引'!K:K,MATCH($F305,'#建筑消耗和buff配置索引'!$M:$M,0)))</f>
        <v>201;234</v>
      </c>
      <c r="R305" s="133" t="str">
        <f>IF(INDEX('#建筑消耗和buff配置索引'!L:L,MATCH($F305,'#建筑消耗和buff配置索引'!$M:$M,0))=0,"",INDEX('#建筑消耗和buff配置索引'!L:L,MATCH($F305,'#建筑消耗和buff配置索引'!$M:$M,0)))</f>
        <v>30;30</v>
      </c>
      <c r="S305" s="133">
        <f>IF(INDEX('#建筑消耗和buff配置索引'!C:C,MATCH(F305,'#建筑消耗和buff配置索引'!M:M,0))=0,1,INDEX('#建筑消耗和buff配置索引'!C:C,MATCH(F305,'#建筑消耗和buff配置索引'!M:M,0)))</f>
        <v>2</v>
      </c>
      <c r="T305" s="133">
        <v>0</v>
      </c>
      <c r="U305" s="133">
        <v>0</v>
      </c>
      <c r="V305" s="133" t="str">
        <f>IF(E305=1,IF(INDEX('#建筑消耗和buff配置索引'!BY:BY,MATCH(D305,'#建筑消耗和buff配置索引'!A:A,0))=0,"",INDEX('#建筑消耗和buff配置索引'!BY:BY,MATCH(D305,'#建筑消耗和buff配置索引'!A:A,0))),"")</f>
        <v/>
      </c>
      <c r="W305" s="133" t="str">
        <f>IF(E305=1,IF(INDEX('#建筑消耗和buff配置索引'!BZ:BZ,MATCH(D305,'#建筑消耗和buff配置索引'!A:A,0))=0,"",INDEX('#建筑消耗和buff配置索引'!BZ:BZ,MATCH(D305,'#建筑消耗和buff配置索引'!A:A,0))),"")</f>
        <v/>
      </c>
      <c r="X305" s="133" t="str">
        <f>INDEX('#建筑消耗和buff配置索引'!BC:BC,MATCH(F305,'#建筑消耗和buff配置索引'!M:M,0))*100&amp;"%"</f>
        <v>0%</v>
      </c>
      <c r="AA305" s="133">
        <f>INDEX('#建筑消耗和buff配置索引'!AO:AO,MATCH($F305,'#建筑消耗和buff配置索引'!$M:$M,0))</f>
        <v>632420</v>
      </c>
      <c r="AB305" s="133">
        <f>IF(INDEX('#建筑消耗和buff配置索引'!AR:AR,MATCH($F305,'#建筑消耗和buff配置索引'!$M:$M,0))=0,"",INDEX('#建筑消耗和buff配置索引'!AR:AR,MATCH($F305,'#建筑消耗和buff配置索引'!$M:$M,0)))</f>
        <v>3000</v>
      </c>
      <c r="AC305" s="133">
        <f>IF(AB305="","",INDEX('#建筑消耗和buff配置索引'!AS:AS,MATCH($F305,'#建筑消耗和buff配置索引'!$M:$M,0)))</f>
        <v>0.17</v>
      </c>
      <c r="AF305" s="133">
        <f>IF(INDEX('#建筑消耗和buff配置索引'!AW:AW,MATCH($F305,'#建筑消耗和buff配置索引'!$M:$M,0))=0,"",INDEX('#建筑消耗和buff配置索引'!AW:AW,MATCH($F305,'#建筑消耗和buff配置索引'!$M:$M,0)))</f>
        <v>3015</v>
      </c>
      <c r="AG305" s="133">
        <f>IF(AF305="","",INDEX('#建筑消耗和buff配置索引'!AX:AX,MATCH($F305,'#建筑消耗和buff配置索引'!$M:$M,0)))</f>
        <v>1700</v>
      </c>
      <c r="AJ305" s="133" t="str">
        <f>IF(INDEX('#建筑消耗和buff配置索引'!BB:BB,MATCH($F305,'#建筑消耗和buff配置索引'!$M:$M,0))=0,"",INDEX('#建筑消耗和buff配置索引'!BB:BB,MATCH($F305,'#建筑消耗和buff配置索引'!$M:$M,0)))</f>
        <v/>
      </c>
      <c r="AK305" s="133" t="str">
        <f>IF(AJ305="","",INDEX('#建筑消耗和buff配置索引'!BC:BC,MATCH($F305,'#建筑消耗和buff配置索引'!$M:$M,0)))</f>
        <v/>
      </c>
      <c r="AN305" s="133" t="str">
        <f>IF(INDEX('#建筑消耗和buff配置索引'!BG:BG,MATCH($F305,'#建筑消耗和buff配置索引'!$M:$M,0))=0,"",INDEX('#建筑消耗和buff配置索引'!BG:BG,MATCH($F305,'#建筑消耗和buff配置索引'!$M:$M,0)))</f>
        <v/>
      </c>
      <c r="AO305" s="133" t="str">
        <f>IF(AN305="","",INDEX('#建筑消耗和buff配置索引'!BH:BH,MATCH($F305,'#建筑消耗和buff配置索引'!$M:$M,0)))</f>
        <v/>
      </c>
      <c r="AR305" s="133" t="str">
        <f>IF(INDEX('#建筑消耗和buff配置索引'!BK:BK,MATCH($F305,'#建筑消耗和buff配置索引'!$M:$M,0))=0,"",INDEX('#建筑消耗和buff配置索引'!BK:BK,MATCH($F305,'#建筑消耗和buff配置索引'!$M:$M,0)))</f>
        <v/>
      </c>
      <c r="AS305" s="133" t="str">
        <f>IF(AR305="","",INDEX('#建筑消耗和buff配置索引'!BL:BL,MATCH($F305,'#建筑消耗和buff配置索引'!$M:$M,0)))</f>
        <v/>
      </c>
      <c r="AV305" s="133" t="str">
        <f>IF(INDEX('#建筑消耗和buff配置索引'!BO:BO,MATCH($F305,'#建筑消耗和buff配置索引'!$M:$M,0))=0,"",INDEX('#建筑消耗和buff配置索引'!BO:BO,MATCH($F305,'#建筑消耗和buff配置索引'!$M:$M,0)))</f>
        <v/>
      </c>
      <c r="AW305" s="133" t="str">
        <f>IF(AV305="","",INDEX('#建筑消耗和buff配置索引'!BP:BP,MATCH($F305,'#建筑消耗和buff配置索引'!$M:$M,0)))</f>
        <v/>
      </c>
      <c r="AZ305" s="133" t="str">
        <f>IF(INDEX('#建筑消耗和buff配置索引'!BS:BS,MATCH($F305,'#建筑消耗和buff配置索引'!$M:$M,0))=0,"",INDEX('#建筑消耗和buff配置索引'!BS:BS,MATCH($F305,'#建筑消耗和buff配置索引'!$M:$M,0)))</f>
        <v/>
      </c>
      <c r="BA305" s="133" t="str">
        <f>IF(AZ305="","",INDEX('#建筑消耗和buff配置索引'!BT:BT,MATCH($F305,'#建筑消耗和buff配置索引'!$M:$M,0)))</f>
        <v/>
      </c>
      <c r="BD305" s="133" t="str">
        <f>IF(INDEX('#建筑消耗和buff配置索引'!BW:BW,MATCH($F305,'#建筑消耗和buff配置索引'!$M:$M,0))=0,"",INDEX('#建筑消耗和buff配置索引'!BW:BW,MATCH($F305,'#建筑消耗和buff配置索引'!$M:$M,0)))</f>
        <v/>
      </c>
      <c r="BE305" s="133" t="str">
        <f>IF(BD305="","",INDEX('#建筑消耗和buff配置索引'!BX:BX,MATCH($F305,'#建筑消耗和buff配置索引'!$M:$M,0)))</f>
        <v/>
      </c>
      <c r="BI305" s="133">
        <v>10</v>
      </c>
    </row>
    <row r="306" spans="1:61" s="133" customFormat="1">
      <c r="A306" s="133">
        <v>2260001</v>
      </c>
      <c r="B306" s="133">
        <v>303</v>
      </c>
      <c r="C306" s="133">
        <v>226</v>
      </c>
      <c r="D306" s="133" t="s">
        <v>469</v>
      </c>
      <c r="E306" s="133">
        <v>1</v>
      </c>
      <c r="F306" s="133" t="str">
        <f t="shared" si="6"/>
        <v>瞭望塔1</v>
      </c>
      <c r="H306" s="146"/>
      <c r="I306" s="133" t="s">
        <v>1205</v>
      </c>
      <c r="J306" s="150">
        <f>INDEX('#建筑消耗和buff配置索引'!AH:AH,MATCH($F306,'#建筑消耗和buff配置索引'!$M:$M,0))</f>
        <v>25</v>
      </c>
      <c r="K306" s="150">
        <f>INDEX('#建筑消耗和buff配置索引'!AA:AA,MATCH($F306,'#建筑消耗和buff配置索引'!$M:$M,0))</f>
        <v>0</v>
      </c>
      <c r="L306" s="150">
        <f>INDEX('#建筑消耗和buff配置索引'!AB:AB,MATCH($F306,'#建筑消耗和buff配置索引'!$M:$M,0))</f>
        <v>0</v>
      </c>
      <c r="M306" s="150">
        <f>INDEX('#建筑消耗和buff配置索引'!AC:AC,MATCH($F306,'#建筑消耗和buff配置索引'!$M:$M,0))</f>
        <v>0</v>
      </c>
      <c r="N306" s="150">
        <f>INDEX('#建筑消耗和buff配置索引'!AD:AD,MATCH($F306,'#建筑消耗和buff配置索引'!$M:$M,0))</f>
        <v>0</v>
      </c>
      <c r="O306" s="150" t="str">
        <f>IF(INDEX('#建筑消耗和buff配置索引'!T:T,MATCH($F306,'#建筑消耗和buff配置索引'!$M:$M,0))=0,"",INDEX('#建筑消耗和buff配置索引'!T:T,MATCH($F306,'#建筑消耗和buff配置索引'!$M:$M,0)))</f>
        <v/>
      </c>
      <c r="P306" s="133" t="str">
        <f>IF(INDEX('#建筑消耗和buff配置索引'!U:U,MATCH($F306,'#建筑消耗和buff配置索引'!$M:$M,0))=0,"",INDEX('#建筑消耗和buff配置索引'!U:U,MATCH($F306,'#建筑消耗和buff配置索引'!$M:$M,0)))</f>
        <v/>
      </c>
      <c r="Q306" s="133" t="str">
        <f>IF(INDEX('#建筑消耗和buff配置索引'!K:K,MATCH($F306,'#建筑消耗和buff配置索引'!$M:$M,0))=0,"",INDEX('#建筑消耗和buff配置索引'!K:K,MATCH($F306,'#建筑消耗和buff配置索引'!$M:$M,0)))</f>
        <v>201</v>
      </c>
      <c r="R306" s="133" t="str">
        <f>IF(INDEX('#建筑消耗和buff配置索引'!L:L,MATCH($F306,'#建筑消耗和buff配置索引'!$M:$M,0))=0,"",INDEX('#建筑消耗和buff配置索引'!L:L,MATCH($F306,'#建筑消耗和buff配置索引'!$M:$M,0)))</f>
        <v>1</v>
      </c>
      <c r="S306" s="133">
        <f>IF(INDEX('#建筑消耗和buff配置索引'!C:C,MATCH(F306,'#建筑消耗和buff配置索引'!M:M,0))=0,1,INDEX('#建筑消耗和buff配置索引'!C:C,MATCH(F306,'#建筑消耗和buff配置索引'!M:M,0)))</f>
        <v>1</v>
      </c>
      <c r="T306" s="133">
        <v>0</v>
      </c>
      <c r="U306" s="133">
        <v>0</v>
      </c>
      <c r="V306" s="133" t="str">
        <f>IF(E306=1,IF(INDEX('#建筑消耗和buff配置索引'!BY:BY,MATCH(D306,'#建筑消耗和buff配置索引'!A:A,0))=0,"",INDEX('#建筑消耗和buff配置索引'!BY:BY,MATCH(D306,'#建筑消耗和buff配置索引'!A:A,0))),"")</f>
        <v>1:2</v>
      </c>
      <c r="W306" s="133" t="str">
        <f>IF(E306=1,IF(INDEX('#建筑消耗和buff配置索引'!BZ:BZ,MATCH(D306,'#建筑消耗和buff配置索引'!A:A,0))=0,"",INDEX('#建筑消耗和buff配置索引'!BZ:BZ,MATCH(D306,'#建筑消耗和buff配置索引'!A:A,0))),"")</f>
        <v>TID_Buff_BuilDetail_2553:TID_Buff_BuilDetail_2570</v>
      </c>
      <c r="X306" s="140"/>
      <c r="Y306" s="140"/>
      <c r="Z306" s="140"/>
      <c r="AA306" s="133">
        <f>INDEX('#建筑消耗和buff配置索引'!AO:AO,MATCH($F306,'#建筑消耗和buff配置索引'!$M:$M,0))</f>
        <v>2</v>
      </c>
      <c r="AB306" s="133">
        <f>IF(INDEX('#建筑消耗和buff配置索引'!AR:AR,MATCH($F306,'#建筑消耗和buff配置索引'!$M:$M,0))=0,"",INDEX('#建筑消耗和buff配置索引'!AR:AR,MATCH($F306,'#建筑消耗和buff配置索引'!$M:$M,0)))</f>
        <v>2553</v>
      </c>
      <c r="AC306" s="133">
        <f>IF(AB306="","",INDEX('#建筑消耗和buff配置索引'!AS:AS,MATCH($F306,'#建筑消耗和buff配置索引'!$M:$M,0)))</f>
        <v>0.02</v>
      </c>
      <c r="AF306" s="133">
        <f>IF(INDEX('#建筑消耗和buff配置索引'!AW:AW,MATCH($F306,'#建筑消耗和buff配置索引'!$M:$M,0))=0,"",INDEX('#建筑消耗和buff配置索引'!AW:AW,MATCH($F306,'#建筑消耗和buff配置索引'!$M:$M,0)))</f>
        <v>2570</v>
      </c>
      <c r="AG306" s="133">
        <f>IF(AF306="","",INDEX('#建筑消耗和buff配置索引'!AX:AX,MATCH($F306,'#建筑消耗和buff配置索引'!$M:$M,0)))</f>
        <v>1</v>
      </c>
      <c r="AJ306" s="133" t="str">
        <f>IF(INDEX('#建筑消耗和buff配置索引'!BB:BB,MATCH($F306,'#建筑消耗和buff配置索引'!$M:$M,0))=0,"",INDEX('#建筑消耗和buff配置索引'!BB:BB,MATCH($F306,'#建筑消耗和buff配置索引'!$M:$M,0)))</f>
        <v/>
      </c>
      <c r="AK306" s="133" t="str">
        <f>IF(AJ306="","",INDEX('#建筑消耗和buff配置索引'!BC:BC,MATCH($F306,'#建筑消耗和buff配置索引'!$M:$M,0)))</f>
        <v/>
      </c>
      <c r="AN306" s="133" t="str">
        <f>IF(INDEX('#建筑消耗和buff配置索引'!BG:BG,MATCH($F306,'#建筑消耗和buff配置索引'!$M:$M,0))=0,"",INDEX('#建筑消耗和buff配置索引'!BG:BG,MATCH($F306,'#建筑消耗和buff配置索引'!$M:$M,0)))</f>
        <v/>
      </c>
      <c r="AO306" s="133" t="str">
        <f>IF(AN306="","",INDEX('#建筑消耗和buff配置索引'!BH:BH,MATCH($F306,'#建筑消耗和buff配置索引'!$M:$M,0)))</f>
        <v/>
      </c>
      <c r="AR306" s="133" t="str">
        <f>IF(INDEX('#建筑消耗和buff配置索引'!BK:BK,MATCH($F306,'#建筑消耗和buff配置索引'!$M:$M,0))=0,"",INDEX('#建筑消耗和buff配置索引'!BK:BK,MATCH($F306,'#建筑消耗和buff配置索引'!$M:$M,0)))</f>
        <v/>
      </c>
      <c r="AS306" s="133" t="str">
        <f>IF(AR306="","",INDEX('#建筑消耗和buff配置索引'!BL:BL,MATCH($F306,'#建筑消耗和buff配置索引'!$M:$M,0)))</f>
        <v/>
      </c>
      <c r="AV306" s="133" t="str">
        <f>IF(INDEX('#建筑消耗和buff配置索引'!BO:BO,MATCH($F306,'#建筑消耗和buff配置索引'!$M:$M,0))=0,"",INDEX('#建筑消耗和buff配置索引'!BO:BO,MATCH($F306,'#建筑消耗和buff配置索引'!$M:$M,0)))</f>
        <v/>
      </c>
      <c r="AW306" s="133" t="str">
        <f>IF(AV306="","",INDEX('#建筑消耗和buff配置索引'!BP:BP,MATCH($F306,'#建筑消耗和buff配置索引'!$M:$M,0)))</f>
        <v/>
      </c>
      <c r="AZ306" s="133" t="str">
        <f>IF(INDEX('#建筑消耗和buff配置索引'!BS:BS,MATCH($F306,'#建筑消耗和buff配置索引'!$M:$M,0))=0,"",INDEX('#建筑消耗和buff配置索引'!BS:BS,MATCH($F306,'#建筑消耗和buff配置索引'!$M:$M,0)))</f>
        <v/>
      </c>
      <c r="BA306" s="133" t="str">
        <f>IF(AZ306="","",INDEX('#建筑消耗和buff配置索引'!BT:BT,MATCH($F306,'#建筑消耗和buff配置索引'!$M:$M,0)))</f>
        <v/>
      </c>
      <c r="BD306" s="133" t="str">
        <f>IF(INDEX('#建筑消耗和buff配置索引'!BW:BW,MATCH($F306,'#建筑消耗和buff配置索引'!$M:$M,0))=0,"",INDEX('#建筑消耗和buff配置索引'!BW:BW,MATCH($F306,'#建筑消耗和buff配置索引'!$M:$M,0)))</f>
        <v/>
      </c>
      <c r="BE306" s="133" t="str">
        <f>IF(BD306="","",INDEX('#建筑消耗和buff配置索引'!BX:BX,MATCH($F306,'#建筑消耗和buff配置索引'!$M:$M,0)))</f>
        <v/>
      </c>
      <c r="BI306" s="133">
        <v>20</v>
      </c>
    </row>
    <row r="307" spans="1:61" s="133" customFormat="1">
      <c r="A307" s="133">
        <v>2260002</v>
      </c>
      <c r="B307" s="133">
        <v>304</v>
      </c>
      <c r="C307" s="133">
        <v>226</v>
      </c>
      <c r="D307" s="133" t="s">
        <v>469</v>
      </c>
      <c r="E307" s="133">
        <v>2</v>
      </c>
      <c r="F307" s="133" t="str">
        <f t="shared" si="6"/>
        <v>瞭望塔2</v>
      </c>
      <c r="H307" s="146"/>
      <c r="I307" s="133" t="s">
        <v>1205</v>
      </c>
      <c r="J307" s="150">
        <f>INDEX('#建筑消耗和buff配置索引'!AH:AH,MATCH($F307,'#建筑消耗和buff配置索引'!$M:$M,0))</f>
        <v>36</v>
      </c>
      <c r="K307" s="150">
        <f>INDEX('#建筑消耗和buff配置索引'!AA:AA,MATCH($F307,'#建筑消耗和buff配置索引'!$M:$M,0))</f>
        <v>670</v>
      </c>
      <c r="L307" s="150">
        <f>INDEX('#建筑消耗和buff配置索引'!AB:AB,MATCH($F307,'#建筑消耗和buff配置索引'!$M:$M,0))</f>
        <v>1300</v>
      </c>
      <c r="M307" s="150">
        <f>INDEX('#建筑消耗和buff配置索引'!AC:AC,MATCH($F307,'#建筑消耗和buff配置索引'!$M:$M,0))</f>
        <v>0</v>
      </c>
      <c r="N307" s="150">
        <f>INDEX('#建筑消耗和buff配置索引'!AD:AD,MATCH($F307,'#建筑消耗和buff配置索引'!$M:$M,0))</f>
        <v>0</v>
      </c>
      <c r="O307" s="150" t="str">
        <f>IF(INDEX('#建筑消耗和buff配置索引'!T:T,MATCH($F307,'#建筑消耗和buff配置索引'!$M:$M,0))=0,"",INDEX('#建筑消耗和buff配置索引'!T:T,MATCH($F307,'#建筑消耗和buff配置索引'!$M:$M,0)))</f>
        <v/>
      </c>
      <c r="P307" s="133" t="str">
        <f>IF(INDEX('#建筑消耗和buff配置索引'!U:U,MATCH($F307,'#建筑消耗和buff配置索引'!$M:$M,0))=0,"",INDEX('#建筑消耗和buff配置索引'!U:U,MATCH($F307,'#建筑消耗和buff配置索引'!$M:$M,0)))</f>
        <v/>
      </c>
      <c r="Q307" s="133" t="str">
        <f>IF(INDEX('#建筑消耗和buff配置索引'!K:K,MATCH($F307,'#建筑消耗和buff配置索引'!$M:$M,0))=0,"",INDEX('#建筑消耗和buff配置索引'!K:K,MATCH($F307,'#建筑消耗和buff配置索引'!$M:$M,0)))</f>
        <v>201</v>
      </c>
      <c r="R307" s="133" t="str">
        <f>IF(INDEX('#建筑消耗和buff配置索引'!L:L,MATCH($F307,'#建筑消耗和buff配置索引'!$M:$M,0))=0,"",INDEX('#建筑消耗和buff配置索引'!L:L,MATCH($F307,'#建筑消耗和buff配置索引'!$M:$M,0)))</f>
        <v>2</v>
      </c>
      <c r="S307" s="133">
        <f>IF(INDEX('#建筑消耗和buff配置索引'!C:C,MATCH(F307,'#建筑消耗和buff配置索引'!M:M,0))=0,1,INDEX('#建筑消耗和buff配置索引'!C:C,MATCH(F307,'#建筑消耗和buff配置索引'!M:M,0)))</f>
        <v>1</v>
      </c>
      <c r="T307" s="133">
        <v>0</v>
      </c>
      <c r="U307" s="133">
        <v>0</v>
      </c>
      <c r="V307" s="133" t="str">
        <f>IF(E307=1,IF(INDEX('#建筑消耗和buff配置索引'!BY:BY,MATCH(D307,'#建筑消耗和buff配置索引'!A:A,0))=0,"",INDEX('#建筑消耗和buff配置索引'!BY:BY,MATCH(D307,'#建筑消耗和buff配置索引'!A:A,0))),"")</f>
        <v/>
      </c>
      <c r="W307" s="133" t="str">
        <f>IF(E307=1,IF(INDEX('#建筑消耗和buff配置索引'!BZ:BZ,MATCH(D307,'#建筑消耗和buff配置索引'!A:A,0))=0,"",INDEX('#建筑消耗和buff配置索引'!BZ:BZ,MATCH(D307,'#建筑消耗和buff配置索引'!A:A,0))),"")</f>
        <v/>
      </c>
      <c r="AA307" s="133">
        <f>INDEX('#建筑消耗和buff配置索引'!AO:AO,MATCH($F307,'#建筑消耗和buff配置索引'!$M:$M,0))</f>
        <v>6</v>
      </c>
      <c r="AB307" s="133">
        <f>IF(INDEX('#建筑消耗和buff配置索引'!AR:AR,MATCH($F307,'#建筑消耗和buff配置索引'!$M:$M,0))=0,"",INDEX('#建筑消耗和buff配置索引'!AR:AR,MATCH($F307,'#建筑消耗和buff配置索引'!$M:$M,0)))</f>
        <v>2553</v>
      </c>
      <c r="AC307" s="133">
        <f>IF(AB307="","",INDEX('#建筑消耗和buff配置索引'!AS:AS,MATCH($F307,'#建筑消耗和buff配置索引'!$M:$M,0)))</f>
        <v>0.04</v>
      </c>
      <c r="AF307" s="133">
        <f>IF(INDEX('#建筑消耗和buff配置索引'!AW:AW,MATCH($F307,'#建筑消耗和buff配置索引'!$M:$M,0))=0,"",INDEX('#建筑消耗和buff配置索引'!AW:AW,MATCH($F307,'#建筑消耗和buff配置索引'!$M:$M,0)))</f>
        <v>2570</v>
      </c>
      <c r="AG307" s="133">
        <f>IF(AF307="","",INDEX('#建筑消耗和buff配置索引'!AX:AX,MATCH($F307,'#建筑消耗和buff配置索引'!$M:$M,0)))</f>
        <v>1</v>
      </c>
      <c r="AJ307" s="133" t="str">
        <f>IF(INDEX('#建筑消耗和buff配置索引'!BB:BB,MATCH($F307,'#建筑消耗和buff配置索引'!$M:$M,0))=0,"",INDEX('#建筑消耗和buff配置索引'!BB:BB,MATCH($F307,'#建筑消耗和buff配置索引'!$M:$M,0)))</f>
        <v/>
      </c>
      <c r="AK307" s="133" t="str">
        <f>IF(AJ307="","",INDEX('#建筑消耗和buff配置索引'!BC:BC,MATCH($F307,'#建筑消耗和buff配置索引'!$M:$M,0)))</f>
        <v/>
      </c>
      <c r="AN307" s="133" t="str">
        <f>IF(INDEX('#建筑消耗和buff配置索引'!BG:BG,MATCH($F307,'#建筑消耗和buff配置索引'!$M:$M,0))=0,"",INDEX('#建筑消耗和buff配置索引'!BG:BG,MATCH($F307,'#建筑消耗和buff配置索引'!$M:$M,0)))</f>
        <v/>
      </c>
      <c r="AO307" s="133" t="str">
        <f>IF(AN307="","",INDEX('#建筑消耗和buff配置索引'!BH:BH,MATCH($F307,'#建筑消耗和buff配置索引'!$M:$M,0)))</f>
        <v/>
      </c>
      <c r="AR307" s="133" t="str">
        <f>IF(INDEX('#建筑消耗和buff配置索引'!BK:BK,MATCH($F307,'#建筑消耗和buff配置索引'!$M:$M,0))=0,"",INDEX('#建筑消耗和buff配置索引'!BK:BK,MATCH($F307,'#建筑消耗和buff配置索引'!$M:$M,0)))</f>
        <v/>
      </c>
      <c r="AS307" s="133" t="str">
        <f>IF(AR307="","",INDEX('#建筑消耗和buff配置索引'!BL:BL,MATCH($F307,'#建筑消耗和buff配置索引'!$M:$M,0)))</f>
        <v/>
      </c>
      <c r="AV307" s="133" t="str">
        <f>IF(INDEX('#建筑消耗和buff配置索引'!BO:BO,MATCH($F307,'#建筑消耗和buff配置索引'!$M:$M,0))=0,"",INDEX('#建筑消耗和buff配置索引'!BO:BO,MATCH($F307,'#建筑消耗和buff配置索引'!$M:$M,0)))</f>
        <v/>
      </c>
      <c r="AW307" s="133" t="str">
        <f>IF(AV307="","",INDEX('#建筑消耗和buff配置索引'!BP:BP,MATCH($F307,'#建筑消耗和buff配置索引'!$M:$M,0)))</f>
        <v/>
      </c>
      <c r="AZ307" s="133" t="str">
        <f>IF(INDEX('#建筑消耗和buff配置索引'!BS:BS,MATCH($F307,'#建筑消耗和buff配置索引'!$M:$M,0))=0,"",INDEX('#建筑消耗和buff配置索引'!BS:BS,MATCH($F307,'#建筑消耗和buff配置索引'!$M:$M,0)))</f>
        <v/>
      </c>
      <c r="BA307" s="133" t="str">
        <f>IF(AZ307="","",INDEX('#建筑消耗和buff配置索引'!BT:BT,MATCH($F307,'#建筑消耗和buff配置索引'!$M:$M,0)))</f>
        <v/>
      </c>
      <c r="BD307" s="133" t="str">
        <f>IF(INDEX('#建筑消耗和buff配置索引'!BW:BW,MATCH($F307,'#建筑消耗和buff配置索引'!$M:$M,0))=0,"",INDEX('#建筑消耗和buff配置索引'!BW:BW,MATCH($F307,'#建筑消耗和buff配置索引'!$M:$M,0)))</f>
        <v/>
      </c>
      <c r="BE307" s="133" t="str">
        <f>IF(BD307="","",INDEX('#建筑消耗和buff配置索引'!BX:BX,MATCH($F307,'#建筑消耗和buff配置索引'!$M:$M,0)))</f>
        <v/>
      </c>
      <c r="BI307" s="133">
        <v>20</v>
      </c>
    </row>
    <row r="308" spans="1:61" s="133" customFormat="1">
      <c r="A308" s="133">
        <v>2260003</v>
      </c>
      <c r="B308" s="133">
        <v>305</v>
      </c>
      <c r="C308" s="133">
        <v>226</v>
      </c>
      <c r="D308" s="133" t="s">
        <v>469</v>
      </c>
      <c r="E308" s="133">
        <v>3</v>
      </c>
      <c r="F308" s="133" t="str">
        <f t="shared" si="6"/>
        <v>瞭望塔3</v>
      </c>
      <c r="H308" s="146"/>
      <c r="I308" s="133" t="s">
        <v>1205</v>
      </c>
      <c r="J308" s="150">
        <f>INDEX('#建筑消耗和buff配置索引'!AH:AH,MATCH($F308,'#建筑消耗和buff配置索引'!$M:$M,0))</f>
        <v>72</v>
      </c>
      <c r="K308" s="150">
        <f>INDEX('#建筑消耗和buff配置索引'!AA:AA,MATCH($F308,'#建筑消耗和buff配置索引'!$M:$M,0))</f>
        <v>1300</v>
      </c>
      <c r="L308" s="150">
        <f>INDEX('#建筑消耗和buff配置索引'!AB:AB,MATCH($F308,'#建筑消耗和buff配置索引'!$M:$M,0))</f>
        <v>2700</v>
      </c>
      <c r="M308" s="150">
        <f>INDEX('#建筑消耗和buff配置索引'!AC:AC,MATCH($F308,'#建筑消耗和buff配置索引'!$M:$M,0))</f>
        <v>0</v>
      </c>
      <c r="N308" s="150">
        <f>INDEX('#建筑消耗和buff配置索引'!AD:AD,MATCH($F308,'#建筑消耗和buff配置索引'!$M:$M,0))</f>
        <v>0</v>
      </c>
      <c r="O308" s="150" t="str">
        <f>IF(INDEX('#建筑消耗和buff配置索引'!T:T,MATCH($F308,'#建筑消耗和buff配置索引'!$M:$M,0))=0,"",INDEX('#建筑消耗和buff配置索引'!T:T,MATCH($F308,'#建筑消耗和buff配置索引'!$M:$M,0)))</f>
        <v/>
      </c>
      <c r="P308" s="133" t="str">
        <f>IF(INDEX('#建筑消耗和buff配置索引'!U:U,MATCH($F308,'#建筑消耗和buff配置索引'!$M:$M,0))=0,"",INDEX('#建筑消耗和buff配置索引'!U:U,MATCH($F308,'#建筑消耗和buff配置索引'!$M:$M,0)))</f>
        <v/>
      </c>
      <c r="Q308" s="133" t="str">
        <f>IF(INDEX('#建筑消耗和buff配置索引'!K:K,MATCH($F308,'#建筑消耗和buff配置索引'!$M:$M,0))=0,"",INDEX('#建筑消耗和buff配置索引'!K:K,MATCH($F308,'#建筑消耗和buff配置索引'!$M:$M,0)))</f>
        <v>201</v>
      </c>
      <c r="R308" s="133" t="str">
        <f>IF(INDEX('#建筑消耗和buff配置索引'!L:L,MATCH($F308,'#建筑消耗和buff配置索引'!$M:$M,0))=0,"",INDEX('#建筑消耗和buff配置索引'!L:L,MATCH($F308,'#建筑消耗和buff配置索引'!$M:$M,0)))</f>
        <v>3</v>
      </c>
      <c r="S308" s="133">
        <f>IF(INDEX('#建筑消耗和buff配置索引'!C:C,MATCH(F308,'#建筑消耗和buff配置索引'!M:M,0))=0,1,INDEX('#建筑消耗和buff配置索引'!C:C,MATCH(F308,'#建筑消耗和buff配置索引'!M:M,0)))</f>
        <v>1</v>
      </c>
      <c r="T308" s="133">
        <v>0</v>
      </c>
      <c r="U308" s="133">
        <v>0</v>
      </c>
      <c r="V308" s="133" t="str">
        <f>IF(E308=1,IF(INDEX('#建筑消耗和buff配置索引'!BY:BY,MATCH(D308,'#建筑消耗和buff配置索引'!A:A,0))=0,"",INDEX('#建筑消耗和buff配置索引'!BY:BY,MATCH(D308,'#建筑消耗和buff配置索引'!A:A,0))),"")</f>
        <v/>
      </c>
      <c r="W308" s="133" t="str">
        <f>IF(E308=1,IF(INDEX('#建筑消耗和buff配置索引'!BZ:BZ,MATCH(D308,'#建筑消耗和buff配置索引'!A:A,0))=0,"",INDEX('#建筑消耗和buff配置索引'!BZ:BZ,MATCH(D308,'#建筑消耗和buff配置索引'!A:A,0))),"")</f>
        <v/>
      </c>
      <c r="X308" s="156"/>
      <c r="Y308" s="156"/>
      <c r="Z308" s="156"/>
      <c r="AA308" s="133">
        <f>INDEX('#建筑消耗和buff配置索引'!AO:AO,MATCH($F308,'#建筑消耗和buff配置索引'!$M:$M,0))</f>
        <v>14</v>
      </c>
      <c r="AB308" s="133">
        <f>IF(INDEX('#建筑消耗和buff配置索引'!AR:AR,MATCH($F308,'#建筑消耗和buff配置索引'!$M:$M,0))=0,"",INDEX('#建筑消耗和buff配置索引'!AR:AR,MATCH($F308,'#建筑消耗和buff配置索引'!$M:$M,0)))</f>
        <v>2553</v>
      </c>
      <c r="AC308" s="133">
        <f>IF(AB308="","",INDEX('#建筑消耗和buff配置索引'!AS:AS,MATCH($F308,'#建筑消耗和buff配置索引'!$M:$M,0)))</f>
        <v>0.06</v>
      </c>
      <c r="AF308" s="133">
        <f>IF(INDEX('#建筑消耗和buff配置索引'!AW:AW,MATCH($F308,'#建筑消耗和buff配置索引'!$M:$M,0))=0,"",INDEX('#建筑消耗和buff配置索引'!AW:AW,MATCH($F308,'#建筑消耗和buff配置索引'!$M:$M,0)))</f>
        <v>2570</v>
      </c>
      <c r="AG308" s="133">
        <f>IF(AF308="","",INDEX('#建筑消耗和buff配置索引'!AX:AX,MATCH($F308,'#建筑消耗和buff配置索引'!$M:$M,0)))</f>
        <v>1</v>
      </c>
      <c r="AJ308" s="133" t="str">
        <f>IF(INDEX('#建筑消耗和buff配置索引'!BB:BB,MATCH($F308,'#建筑消耗和buff配置索引'!$M:$M,0))=0,"",INDEX('#建筑消耗和buff配置索引'!BB:BB,MATCH($F308,'#建筑消耗和buff配置索引'!$M:$M,0)))</f>
        <v/>
      </c>
      <c r="AK308" s="133" t="str">
        <f>IF(AJ308="","",INDEX('#建筑消耗和buff配置索引'!BC:BC,MATCH($F308,'#建筑消耗和buff配置索引'!$M:$M,0)))</f>
        <v/>
      </c>
      <c r="AN308" s="133" t="str">
        <f>IF(INDEX('#建筑消耗和buff配置索引'!BG:BG,MATCH($F308,'#建筑消耗和buff配置索引'!$M:$M,0))=0,"",INDEX('#建筑消耗和buff配置索引'!BG:BG,MATCH($F308,'#建筑消耗和buff配置索引'!$M:$M,0)))</f>
        <v/>
      </c>
      <c r="AO308" s="133" t="str">
        <f>IF(AN308="","",INDEX('#建筑消耗和buff配置索引'!BH:BH,MATCH($F308,'#建筑消耗和buff配置索引'!$M:$M,0)))</f>
        <v/>
      </c>
      <c r="AR308" s="133" t="str">
        <f>IF(INDEX('#建筑消耗和buff配置索引'!BK:BK,MATCH($F308,'#建筑消耗和buff配置索引'!$M:$M,0))=0,"",INDEX('#建筑消耗和buff配置索引'!BK:BK,MATCH($F308,'#建筑消耗和buff配置索引'!$M:$M,0)))</f>
        <v/>
      </c>
      <c r="AS308" s="133" t="str">
        <f>IF(AR308="","",INDEX('#建筑消耗和buff配置索引'!BL:BL,MATCH($F308,'#建筑消耗和buff配置索引'!$M:$M,0)))</f>
        <v/>
      </c>
      <c r="AV308" s="133" t="str">
        <f>IF(INDEX('#建筑消耗和buff配置索引'!BO:BO,MATCH($F308,'#建筑消耗和buff配置索引'!$M:$M,0))=0,"",INDEX('#建筑消耗和buff配置索引'!BO:BO,MATCH($F308,'#建筑消耗和buff配置索引'!$M:$M,0)))</f>
        <v/>
      </c>
      <c r="AW308" s="133" t="str">
        <f>IF(AV308="","",INDEX('#建筑消耗和buff配置索引'!BP:BP,MATCH($F308,'#建筑消耗和buff配置索引'!$M:$M,0)))</f>
        <v/>
      </c>
      <c r="AZ308" s="133" t="str">
        <f>IF(INDEX('#建筑消耗和buff配置索引'!BS:BS,MATCH($F308,'#建筑消耗和buff配置索引'!$M:$M,0))=0,"",INDEX('#建筑消耗和buff配置索引'!BS:BS,MATCH($F308,'#建筑消耗和buff配置索引'!$M:$M,0)))</f>
        <v/>
      </c>
      <c r="BA308" s="133" t="str">
        <f>IF(AZ308="","",INDEX('#建筑消耗和buff配置索引'!BT:BT,MATCH($F308,'#建筑消耗和buff配置索引'!$M:$M,0)))</f>
        <v/>
      </c>
      <c r="BD308" s="133" t="str">
        <f>IF(INDEX('#建筑消耗和buff配置索引'!BW:BW,MATCH($F308,'#建筑消耗和buff配置索引'!$M:$M,0))=0,"",INDEX('#建筑消耗和buff配置索引'!BW:BW,MATCH($F308,'#建筑消耗和buff配置索引'!$M:$M,0)))</f>
        <v/>
      </c>
      <c r="BE308" s="133" t="str">
        <f>IF(BD308="","",INDEX('#建筑消耗和buff配置索引'!BX:BX,MATCH($F308,'#建筑消耗和buff配置索引'!$M:$M,0)))</f>
        <v/>
      </c>
      <c r="BI308" s="133">
        <v>20</v>
      </c>
    </row>
    <row r="309" spans="1:61" s="133" customFormat="1">
      <c r="A309" s="133">
        <v>2260004</v>
      </c>
      <c r="B309" s="133">
        <v>306</v>
      </c>
      <c r="C309" s="133">
        <v>226</v>
      </c>
      <c r="D309" s="133" t="s">
        <v>469</v>
      </c>
      <c r="E309" s="133">
        <v>4</v>
      </c>
      <c r="F309" s="133" t="str">
        <f t="shared" si="6"/>
        <v>瞭望塔4</v>
      </c>
      <c r="H309" s="146"/>
      <c r="I309" s="133" t="s">
        <v>1205</v>
      </c>
      <c r="J309" s="150">
        <f>INDEX('#建筑消耗和buff配置索引'!AH:AH,MATCH($F309,'#建筑消耗和buff配置索引'!$M:$M,0))</f>
        <v>144</v>
      </c>
      <c r="K309" s="150">
        <f>INDEX('#建筑消耗和buff配置索引'!AA:AA,MATCH($F309,'#建筑消耗和buff配置索引'!$M:$M,0))</f>
        <v>2700</v>
      </c>
      <c r="L309" s="150">
        <f>INDEX('#建筑消耗和buff配置索引'!AB:AB,MATCH($F309,'#建筑消耗和buff配置索引'!$M:$M,0))</f>
        <v>5300</v>
      </c>
      <c r="M309" s="150">
        <f>INDEX('#建筑消耗和buff配置索引'!AC:AC,MATCH($F309,'#建筑消耗和buff配置索引'!$M:$M,0))</f>
        <v>0</v>
      </c>
      <c r="N309" s="150">
        <f>INDEX('#建筑消耗和buff配置索引'!AD:AD,MATCH($F309,'#建筑消耗和buff配置索引'!$M:$M,0))</f>
        <v>0</v>
      </c>
      <c r="O309" s="150" t="str">
        <f>IF(INDEX('#建筑消耗和buff配置索引'!T:T,MATCH($F309,'#建筑消耗和buff配置索引'!$M:$M,0))=0,"",INDEX('#建筑消耗和buff配置索引'!T:T,MATCH($F309,'#建筑消耗和buff配置索引'!$M:$M,0)))</f>
        <v/>
      </c>
      <c r="P309" s="133" t="str">
        <f>IF(INDEX('#建筑消耗和buff配置索引'!U:U,MATCH($F309,'#建筑消耗和buff配置索引'!$M:$M,0))=0,"",INDEX('#建筑消耗和buff配置索引'!U:U,MATCH($F309,'#建筑消耗和buff配置索引'!$M:$M,0)))</f>
        <v/>
      </c>
      <c r="Q309" s="133" t="str">
        <f>IF(INDEX('#建筑消耗和buff配置索引'!K:K,MATCH($F309,'#建筑消耗和buff配置索引'!$M:$M,0))=0,"",INDEX('#建筑消耗和buff配置索引'!K:K,MATCH($F309,'#建筑消耗和buff配置索引'!$M:$M,0)))</f>
        <v>201</v>
      </c>
      <c r="R309" s="133" t="str">
        <f>IF(INDEX('#建筑消耗和buff配置索引'!L:L,MATCH($F309,'#建筑消耗和buff配置索引'!$M:$M,0))=0,"",INDEX('#建筑消耗和buff配置索引'!L:L,MATCH($F309,'#建筑消耗和buff配置索引'!$M:$M,0)))</f>
        <v>4</v>
      </c>
      <c r="S309" s="133">
        <f>IF(INDEX('#建筑消耗和buff配置索引'!C:C,MATCH(F309,'#建筑消耗和buff配置索引'!M:M,0))=0,1,INDEX('#建筑消耗和buff配置索引'!C:C,MATCH(F309,'#建筑消耗和buff配置索引'!M:M,0)))</f>
        <v>1</v>
      </c>
      <c r="T309" s="133">
        <v>0</v>
      </c>
      <c r="U309" s="133">
        <v>0</v>
      </c>
      <c r="V309" s="133" t="str">
        <f>IF(E309=1,IF(INDEX('#建筑消耗和buff配置索引'!BY:BY,MATCH(D309,'#建筑消耗和buff配置索引'!A:A,0))=0,"",INDEX('#建筑消耗和buff配置索引'!BY:BY,MATCH(D309,'#建筑消耗和buff配置索引'!A:A,0))),"")</f>
        <v/>
      </c>
      <c r="W309" s="133" t="str">
        <f>IF(E309=1,IF(INDEX('#建筑消耗和buff配置索引'!BZ:BZ,MATCH(D309,'#建筑消耗和buff配置索引'!A:A,0))=0,"",INDEX('#建筑消耗和buff配置索引'!BZ:BZ,MATCH(D309,'#建筑消耗和buff配置索引'!A:A,0))),"")</f>
        <v/>
      </c>
      <c r="AA309" s="133">
        <f>INDEX('#建筑消耗和buff配置索引'!AO:AO,MATCH($F309,'#建筑消耗和buff配置索引'!$M:$M,0))</f>
        <v>30</v>
      </c>
      <c r="AB309" s="133">
        <f>IF(INDEX('#建筑消耗和buff配置索引'!AR:AR,MATCH($F309,'#建筑消耗和buff配置索引'!$M:$M,0))=0,"",INDEX('#建筑消耗和buff配置索引'!AR:AR,MATCH($F309,'#建筑消耗和buff配置索引'!$M:$M,0)))</f>
        <v>2553</v>
      </c>
      <c r="AC309" s="133">
        <f>IF(AB309="","",INDEX('#建筑消耗和buff配置索引'!AS:AS,MATCH($F309,'#建筑消耗和buff配置索引'!$M:$M,0)))</f>
        <v>0.08</v>
      </c>
      <c r="AF309" s="133">
        <f>IF(INDEX('#建筑消耗和buff配置索引'!AW:AW,MATCH($F309,'#建筑消耗和buff配置索引'!$M:$M,0))=0,"",INDEX('#建筑消耗和buff配置索引'!AW:AW,MATCH($F309,'#建筑消耗和buff配置索引'!$M:$M,0)))</f>
        <v>2570</v>
      </c>
      <c r="AG309" s="133">
        <f>IF(AF309="","",INDEX('#建筑消耗和buff配置索引'!AX:AX,MATCH($F309,'#建筑消耗和buff配置索引'!$M:$M,0)))</f>
        <v>1</v>
      </c>
      <c r="AJ309" s="133" t="str">
        <f>IF(INDEX('#建筑消耗和buff配置索引'!BB:BB,MATCH($F309,'#建筑消耗和buff配置索引'!$M:$M,0))=0,"",INDEX('#建筑消耗和buff配置索引'!BB:BB,MATCH($F309,'#建筑消耗和buff配置索引'!$M:$M,0)))</f>
        <v/>
      </c>
      <c r="AK309" s="133" t="str">
        <f>IF(AJ309="","",INDEX('#建筑消耗和buff配置索引'!BC:BC,MATCH($F309,'#建筑消耗和buff配置索引'!$M:$M,0)))</f>
        <v/>
      </c>
      <c r="AN309" s="133" t="str">
        <f>IF(INDEX('#建筑消耗和buff配置索引'!BG:BG,MATCH($F309,'#建筑消耗和buff配置索引'!$M:$M,0))=0,"",INDEX('#建筑消耗和buff配置索引'!BG:BG,MATCH($F309,'#建筑消耗和buff配置索引'!$M:$M,0)))</f>
        <v/>
      </c>
      <c r="AO309" s="133" t="str">
        <f>IF(AN309="","",INDEX('#建筑消耗和buff配置索引'!BH:BH,MATCH($F309,'#建筑消耗和buff配置索引'!$M:$M,0)))</f>
        <v/>
      </c>
      <c r="AR309" s="133" t="str">
        <f>IF(INDEX('#建筑消耗和buff配置索引'!BK:BK,MATCH($F309,'#建筑消耗和buff配置索引'!$M:$M,0))=0,"",INDEX('#建筑消耗和buff配置索引'!BK:BK,MATCH($F309,'#建筑消耗和buff配置索引'!$M:$M,0)))</f>
        <v/>
      </c>
      <c r="AS309" s="133" t="str">
        <f>IF(AR309="","",INDEX('#建筑消耗和buff配置索引'!BL:BL,MATCH($F309,'#建筑消耗和buff配置索引'!$M:$M,0)))</f>
        <v/>
      </c>
      <c r="AV309" s="133" t="str">
        <f>IF(INDEX('#建筑消耗和buff配置索引'!BO:BO,MATCH($F309,'#建筑消耗和buff配置索引'!$M:$M,0))=0,"",INDEX('#建筑消耗和buff配置索引'!BO:BO,MATCH($F309,'#建筑消耗和buff配置索引'!$M:$M,0)))</f>
        <v/>
      </c>
      <c r="AW309" s="133" t="str">
        <f>IF(AV309="","",INDEX('#建筑消耗和buff配置索引'!BP:BP,MATCH($F309,'#建筑消耗和buff配置索引'!$M:$M,0)))</f>
        <v/>
      </c>
      <c r="AZ309" s="133" t="str">
        <f>IF(INDEX('#建筑消耗和buff配置索引'!BS:BS,MATCH($F309,'#建筑消耗和buff配置索引'!$M:$M,0))=0,"",INDEX('#建筑消耗和buff配置索引'!BS:BS,MATCH($F309,'#建筑消耗和buff配置索引'!$M:$M,0)))</f>
        <v/>
      </c>
      <c r="BA309" s="133" t="str">
        <f>IF(AZ309="","",INDEX('#建筑消耗和buff配置索引'!BT:BT,MATCH($F309,'#建筑消耗和buff配置索引'!$M:$M,0)))</f>
        <v/>
      </c>
      <c r="BD309" s="133" t="str">
        <f>IF(INDEX('#建筑消耗和buff配置索引'!BW:BW,MATCH($F309,'#建筑消耗和buff配置索引'!$M:$M,0))=0,"",INDEX('#建筑消耗和buff配置索引'!BW:BW,MATCH($F309,'#建筑消耗和buff配置索引'!$M:$M,0)))</f>
        <v/>
      </c>
      <c r="BE309" s="133" t="str">
        <f>IF(BD309="","",INDEX('#建筑消耗和buff配置索引'!BX:BX,MATCH($F309,'#建筑消耗和buff配置索引'!$M:$M,0)))</f>
        <v/>
      </c>
      <c r="BI309" s="133">
        <v>20</v>
      </c>
    </row>
    <row r="310" spans="1:61" s="133" customFormat="1">
      <c r="A310" s="133">
        <v>2260005</v>
      </c>
      <c r="B310" s="133">
        <v>307</v>
      </c>
      <c r="C310" s="133">
        <v>226</v>
      </c>
      <c r="D310" s="133" t="s">
        <v>469</v>
      </c>
      <c r="E310" s="133">
        <v>5</v>
      </c>
      <c r="F310" s="133" t="str">
        <f t="shared" si="6"/>
        <v>瞭望塔5</v>
      </c>
      <c r="H310" s="146"/>
      <c r="I310" s="133">
        <v>1</v>
      </c>
      <c r="J310" s="150">
        <f>INDEX('#建筑消耗和buff配置索引'!AH:AH,MATCH($F310,'#建筑消耗和buff配置索引'!$M:$M,0))</f>
        <v>300</v>
      </c>
      <c r="K310" s="150">
        <f>INDEX('#建筑消耗和buff配置索引'!AA:AA,MATCH($F310,'#建筑消耗和buff配置索引'!$M:$M,0))</f>
        <v>3900</v>
      </c>
      <c r="L310" s="150">
        <f>INDEX('#建筑消耗和buff配置索引'!AB:AB,MATCH($F310,'#建筑消耗和buff配置索引'!$M:$M,0))</f>
        <v>7700</v>
      </c>
      <c r="M310" s="150">
        <f>INDEX('#建筑消耗和buff配置索引'!AC:AC,MATCH($F310,'#建筑消耗和buff配置索引'!$M:$M,0))</f>
        <v>3900</v>
      </c>
      <c r="N310" s="150">
        <f>INDEX('#建筑消耗和buff配置索引'!AD:AD,MATCH($F310,'#建筑消耗和buff配置索引'!$M:$M,0))</f>
        <v>0</v>
      </c>
      <c r="O310" s="150" t="str">
        <f>IF(INDEX('#建筑消耗和buff配置索引'!T:T,MATCH($F310,'#建筑消耗和buff配置索引'!$M:$M,0))=0,"",INDEX('#建筑消耗和buff配置索引'!T:T,MATCH($F310,'#建筑消耗和buff配置索引'!$M:$M,0)))</f>
        <v/>
      </c>
      <c r="P310" s="133" t="str">
        <f>IF(INDEX('#建筑消耗和buff配置索引'!U:U,MATCH($F310,'#建筑消耗和buff配置索引'!$M:$M,0))=0,"",INDEX('#建筑消耗和buff配置索引'!U:U,MATCH($F310,'#建筑消耗和buff配置索引'!$M:$M,0)))</f>
        <v/>
      </c>
      <c r="Q310" s="133" t="str">
        <f>IF(INDEX('#建筑消耗和buff配置索引'!K:K,MATCH($F310,'#建筑消耗和buff配置索引'!$M:$M,0))=0,"",INDEX('#建筑消耗和buff配置索引'!K:K,MATCH($F310,'#建筑消耗和buff配置索引'!$M:$M,0)))</f>
        <v>201</v>
      </c>
      <c r="R310" s="133" t="str">
        <f>IF(INDEX('#建筑消耗和buff配置索引'!L:L,MATCH($F310,'#建筑消耗和buff配置索引'!$M:$M,0))=0,"",INDEX('#建筑消耗和buff配置索引'!L:L,MATCH($F310,'#建筑消耗和buff配置索引'!$M:$M,0)))</f>
        <v>5</v>
      </c>
      <c r="S310" s="133">
        <f>IF(INDEX('#建筑消耗和buff配置索引'!C:C,MATCH(F310,'#建筑消耗和buff配置索引'!M:M,0))=0,1,INDEX('#建筑消耗和buff配置索引'!C:C,MATCH(F310,'#建筑消耗和buff配置索引'!M:M,0)))</f>
        <v>1</v>
      </c>
      <c r="T310" s="133">
        <v>0</v>
      </c>
      <c r="U310" s="133">
        <v>0</v>
      </c>
      <c r="V310" s="133" t="str">
        <f>IF(E310=1,IF(INDEX('#建筑消耗和buff配置索引'!BY:BY,MATCH(D310,'#建筑消耗和buff配置索引'!A:A,0))=0,"",INDEX('#建筑消耗和buff配置索引'!BY:BY,MATCH(D310,'#建筑消耗和buff配置索引'!A:A,0))),"")</f>
        <v/>
      </c>
      <c r="W310" s="133" t="str">
        <f>IF(E310=1,IF(INDEX('#建筑消耗和buff配置索引'!BZ:BZ,MATCH(D310,'#建筑消耗和buff配置索引'!A:A,0))=0,"",INDEX('#建筑消耗和buff配置索引'!BZ:BZ,MATCH(D310,'#建筑消耗和buff配置索引'!A:A,0))),"")</f>
        <v/>
      </c>
      <c r="AA310" s="133">
        <f>INDEX('#建筑消耗和buff配置索引'!AO:AO,MATCH($F310,'#建筑消耗和buff配置索引'!$M:$M,0))</f>
        <v>60</v>
      </c>
      <c r="AB310" s="133">
        <f>IF(INDEX('#建筑消耗和buff配置索引'!AR:AR,MATCH($F310,'#建筑消耗和buff配置索引'!$M:$M,0))=0,"",INDEX('#建筑消耗和buff配置索引'!AR:AR,MATCH($F310,'#建筑消耗和buff配置索引'!$M:$M,0)))</f>
        <v>2553</v>
      </c>
      <c r="AC310" s="133">
        <f>IF(AB310="","",INDEX('#建筑消耗和buff配置索引'!AS:AS,MATCH($F310,'#建筑消耗和buff配置索引'!$M:$M,0)))</f>
        <v>0.1</v>
      </c>
      <c r="AF310" s="133">
        <f>IF(INDEX('#建筑消耗和buff配置索引'!AW:AW,MATCH($F310,'#建筑消耗和buff配置索引'!$M:$M,0))=0,"",INDEX('#建筑消耗和buff配置索引'!AW:AW,MATCH($F310,'#建筑消耗和buff配置索引'!$M:$M,0)))</f>
        <v>2570</v>
      </c>
      <c r="AG310" s="133">
        <f>IF(AF310="","",INDEX('#建筑消耗和buff配置索引'!AX:AX,MATCH($F310,'#建筑消耗和buff配置索引'!$M:$M,0)))</f>
        <v>2</v>
      </c>
      <c r="AJ310" s="133" t="str">
        <f>IF(INDEX('#建筑消耗和buff配置索引'!BB:BB,MATCH($F310,'#建筑消耗和buff配置索引'!$M:$M,0))=0,"",INDEX('#建筑消耗和buff配置索引'!BB:BB,MATCH($F310,'#建筑消耗和buff配置索引'!$M:$M,0)))</f>
        <v/>
      </c>
      <c r="AK310" s="133" t="str">
        <f>IF(AJ310="","",INDEX('#建筑消耗和buff配置索引'!BC:BC,MATCH($F310,'#建筑消耗和buff配置索引'!$M:$M,0)))</f>
        <v/>
      </c>
      <c r="AN310" s="133" t="str">
        <f>IF(INDEX('#建筑消耗和buff配置索引'!BG:BG,MATCH($F310,'#建筑消耗和buff配置索引'!$M:$M,0))=0,"",INDEX('#建筑消耗和buff配置索引'!BG:BG,MATCH($F310,'#建筑消耗和buff配置索引'!$M:$M,0)))</f>
        <v/>
      </c>
      <c r="AO310" s="133" t="str">
        <f>IF(AN310="","",INDEX('#建筑消耗和buff配置索引'!BH:BH,MATCH($F310,'#建筑消耗和buff配置索引'!$M:$M,0)))</f>
        <v/>
      </c>
      <c r="AR310" s="133" t="str">
        <f>IF(INDEX('#建筑消耗和buff配置索引'!BK:BK,MATCH($F310,'#建筑消耗和buff配置索引'!$M:$M,0))=0,"",INDEX('#建筑消耗和buff配置索引'!BK:BK,MATCH($F310,'#建筑消耗和buff配置索引'!$M:$M,0)))</f>
        <v/>
      </c>
      <c r="AS310" s="133" t="str">
        <f>IF(AR310="","",INDEX('#建筑消耗和buff配置索引'!BL:BL,MATCH($F310,'#建筑消耗和buff配置索引'!$M:$M,0)))</f>
        <v/>
      </c>
      <c r="AV310" s="133" t="str">
        <f>IF(INDEX('#建筑消耗和buff配置索引'!BO:BO,MATCH($F310,'#建筑消耗和buff配置索引'!$M:$M,0))=0,"",INDEX('#建筑消耗和buff配置索引'!BO:BO,MATCH($F310,'#建筑消耗和buff配置索引'!$M:$M,0)))</f>
        <v/>
      </c>
      <c r="AW310" s="133" t="str">
        <f>IF(AV310="","",INDEX('#建筑消耗和buff配置索引'!BP:BP,MATCH($F310,'#建筑消耗和buff配置索引'!$M:$M,0)))</f>
        <v/>
      </c>
      <c r="AZ310" s="133" t="str">
        <f>IF(INDEX('#建筑消耗和buff配置索引'!BS:BS,MATCH($F310,'#建筑消耗和buff配置索引'!$M:$M,0))=0,"",INDEX('#建筑消耗和buff配置索引'!BS:BS,MATCH($F310,'#建筑消耗和buff配置索引'!$M:$M,0)))</f>
        <v/>
      </c>
      <c r="BA310" s="133" t="str">
        <f>IF(AZ310="","",INDEX('#建筑消耗和buff配置索引'!BT:BT,MATCH($F310,'#建筑消耗和buff配置索引'!$M:$M,0)))</f>
        <v/>
      </c>
      <c r="BD310" s="133" t="str">
        <f>IF(INDEX('#建筑消耗和buff配置索引'!BW:BW,MATCH($F310,'#建筑消耗和buff配置索引'!$M:$M,0))=0,"",INDEX('#建筑消耗和buff配置索引'!BW:BW,MATCH($F310,'#建筑消耗和buff配置索引'!$M:$M,0)))</f>
        <v/>
      </c>
      <c r="BE310" s="133" t="str">
        <f>IF(BD310="","",INDEX('#建筑消耗和buff配置索引'!BX:BX,MATCH($F310,'#建筑消耗和buff配置索引'!$M:$M,0)))</f>
        <v/>
      </c>
      <c r="BI310" s="133">
        <v>20</v>
      </c>
    </row>
    <row r="311" spans="1:61" s="133" customFormat="1">
      <c r="A311" s="133">
        <v>2260006</v>
      </c>
      <c r="B311" s="133">
        <v>308</v>
      </c>
      <c r="C311" s="133">
        <v>226</v>
      </c>
      <c r="D311" s="133" t="s">
        <v>469</v>
      </c>
      <c r="E311" s="133">
        <v>6</v>
      </c>
      <c r="F311" s="133" t="str">
        <f t="shared" si="6"/>
        <v>瞭望塔6</v>
      </c>
      <c r="H311" s="146"/>
      <c r="I311" s="133">
        <v>1</v>
      </c>
      <c r="J311" s="150">
        <f>INDEX('#建筑消耗和buff配置索引'!AH:AH,MATCH($F311,'#建筑消耗和buff配置索引'!$M:$M,0))</f>
        <v>540</v>
      </c>
      <c r="K311" s="150">
        <f>INDEX('#建筑消耗和buff配置索引'!AA:AA,MATCH($F311,'#建筑消耗和buff配置索引'!$M:$M,0))</f>
        <v>7200</v>
      </c>
      <c r="L311" s="150">
        <f>INDEX('#建筑消耗和buff配置索引'!AB:AB,MATCH($F311,'#建筑消耗和buff配置索引'!$M:$M,0))</f>
        <v>14000</v>
      </c>
      <c r="M311" s="150">
        <f>INDEX('#建筑消耗和buff配置索引'!AC:AC,MATCH($F311,'#建筑消耗和buff配置索引'!$M:$M,0))</f>
        <v>7200</v>
      </c>
      <c r="N311" s="150">
        <f>INDEX('#建筑消耗和buff配置索引'!AD:AD,MATCH($F311,'#建筑消耗和buff配置索引'!$M:$M,0))</f>
        <v>0</v>
      </c>
      <c r="O311" s="150" t="str">
        <f>IF(INDEX('#建筑消耗和buff配置索引'!T:T,MATCH($F311,'#建筑消耗和buff配置索引'!$M:$M,0))=0,"",INDEX('#建筑消耗和buff配置索引'!T:T,MATCH($F311,'#建筑消耗和buff配置索引'!$M:$M,0)))</f>
        <v/>
      </c>
      <c r="P311" s="133" t="str">
        <f>IF(INDEX('#建筑消耗和buff配置索引'!U:U,MATCH($F311,'#建筑消耗和buff配置索引'!$M:$M,0))=0,"",INDEX('#建筑消耗和buff配置索引'!U:U,MATCH($F311,'#建筑消耗和buff配置索引'!$M:$M,0)))</f>
        <v/>
      </c>
      <c r="Q311" s="133" t="str">
        <f>IF(INDEX('#建筑消耗和buff配置索引'!K:K,MATCH($F311,'#建筑消耗和buff配置索引'!$M:$M,0))=0,"",INDEX('#建筑消耗和buff配置索引'!K:K,MATCH($F311,'#建筑消耗和buff配置索引'!$M:$M,0)))</f>
        <v>201</v>
      </c>
      <c r="R311" s="133" t="str">
        <f>IF(INDEX('#建筑消耗和buff配置索引'!L:L,MATCH($F311,'#建筑消耗和buff配置索引'!$M:$M,0))=0,"",INDEX('#建筑消耗和buff配置索引'!L:L,MATCH($F311,'#建筑消耗和buff配置索引'!$M:$M,0)))</f>
        <v>6</v>
      </c>
      <c r="S311" s="133">
        <f>IF(INDEX('#建筑消耗和buff配置索引'!C:C,MATCH(F311,'#建筑消耗和buff配置索引'!M:M,0))=0,1,INDEX('#建筑消耗和buff配置索引'!C:C,MATCH(F311,'#建筑消耗和buff配置索引'!M:M,0)))</f>
        <v>1</v>
      </c>
      <c r="T311" s="133">
        <v>0</v>
      </c>
      <c r="U311" s="133">
        <v>0</v>
      </c>
      <c r="V311" s="133" t="str">
        <f>IF(E311=1,IF(INDEX('#建筑消耗和buff配置索引'!BY:BY,MATCH(D311,'#建筑消耗和buff配置索引'!A:A,0))=0,"",INDEX('#建筑消耗和buff配置索引'!BY:BY,MATCH(D311,'#建筑消耗和buff配置索引'!A:A,0))),"")</f>
        <v/>
      </c>
      <c r="W311" s="133" t="str">
        <f>IF(E311=1,IF(INDEX('#建筑消耗和buff配置索引'!BZ:BZ,MATCH(D311,'#建筑消耗和buff配置索引'!A:A,0))=0,"",INDEX('#建筑消耗和buff配置索引'!BZ:BZ,MATCH(D311,'#建筑消耗和buff配置索引'!A:A,0))),"")</f>
        <v/>
      </c>
      <c r="X311" s="156"/>
      <c r="Y311" s="156"/>
      <c r="Z311" s="156"/>
      <c r="AA311" s="133">
        <f>INDEX('#建筑消耗和buff配置索引'!AO:AO,MATCH($F311,'#建筑消耗和buff配置索引'!$M:$M,0))</f>
        <v>118</v>
      </c>
      <c r="AB311" s="133">
        <f>IF(INDEX('#建筑消耗和buff配置索引'!AR:AR,MATCH($F311,'#建筑消耗和buff配置索引'!$M:$M,0))=0,"",INDEX('#建筑消耗和buff配置索引'!AR:AR,MATCH($F311,'#建筑消耗和buff配置索引'!$M:$M,0)))</f>
        <v>2553</v>
      </c>
      <c r="AC311" s="133">
        <f>IF(AB311="","",INDEX('#建筑消耗和buff配置索引'!AS:AS,MATCH($F311,'#建筑消耗和buff配置索引'!$M:$M,0)))</f>
        <v>0.12</v>
      </c>
      <c r="AF311" s="133">
        <f>IF(INDEX('#建筑消耗和buff配置索引'!AW:AW,MATCH($F311,'#建筑消耗和buff配置索引'!$M:$M,0))=0,"",INDEX('#建筑消耗和buff配置索引'!AW:AW,MATCH($F311,'#建筑消耗和buff配置索引'!$M:$M,0)))</f>
        <v>2570</v>
      </c>
      <c r="AG311" s="133">
        <f>IF(AF311="","",INDEX('#建筑消耗和buff配置索引'!AX:AX,MATCH($F311,'#建筑消耗和buff配置索引'!$M:$M,0)))</f>
        <v>2</v>
      </c>
      <c r="AJ311" s="133" t="str">
        <f>IF(INDEX('#建筑消耗和buff配置索引'!BB:BB,MATCH($F311,'#建筑消耗和buff配置索引'!$M:$M,0))=0,"",INDEX('#建筑消耗和buff配置索引'!BB:BB,MATCH($F311,'#建筑消耗和buff配置索引'!$M:$M,0)))</f>
        <v/>
      </c>
      <c r="AK311" s="133" t="str">
        <f>IF(AJ311="","",INDEX('#建筑消耗和buff配置索引'!BC:BC,MATCH($F311,'#建筑消耗和buff配置索引'!$M:$M,0)))</f>
        <v/>
      </c>
      <c r="AN311" s="133" t="str">
        <f>IF(INDEX('#建筑消耗和buff配置索引'!BG:BG,MATCH($F311,'#建筑消耗和buff配置索引'!$M:$M,0))=0,"",INDEX('#建筑消耗和buff配置索引'!BG:BG,MATCH($F311,'#建筑消耗和buff配置索引'!$M:$M,0)))</f>
        <v/>
      </c>
      <c r="AO311" s="133" t="str">
        <f>IF(AN311="","",INDEX('#建筑消耗和buff配置索引'!BH:BH,MATCH($F311,'#建筑消耗和buff配置索引'!$M:$M,0)))</f>
        <v/>
      </c>
      <c r="AR311" s="133" t="str">
        <f>IF(INDEX('#建筑消耗和buff配置索引'!BK:BK,MATCH($F311,'#建筑消耗和buff配置索引'!$M:$M,0))=0,"",INDEX('#建筑消耗和buff配置索引'!BK:BK,MATCH($F311,'#建筑消耗和buff配置索引'!$M:$M,0)))</f>
        <v/>
      </c>
      <c r="AS311" s="133" t="str">
        <f>IF(AR311="","",INDEX('#建筑消耗和buff配置索引'!BL:BL,MATCH($F311,'#建筑消耗和buff配置索引'!$M:$M,0)))</f>
        <v/>
      </c>
      <c r="AV311" s="133" t="str">
        <f>IF(INDEX('#建筑消耗和buff配置索引'!BO:BO,MATCH($F311,'#建筑消耗和buff配置索引'!$M:$M,0))=0,"",INDEX('#建筑消耗和buff配置索引'!BO:BO,MATCH($F311,'#建筑消耗和buff配置索引'!$M:$M,0)))</f>
        <v/>
      </c>
      <c r="AW311" s="133" t="str">
        <f>IF(AV311="","",INDEX('#建筑消耗和buff配置索引'!BP:BP,MATCH($F311,'#建筑消耗和buff配置索引'!$M:$M,0)))</f>
        <v/>
      </c>
      <c r="AZ311" s="133" t="str">
        <f>IF(INDEX('#建筑消耗和buff配置索引'!BS:BS,MATCH($F311,'#建筑消耗和buff配置索引'!$M:$M,0))=0,"",INDEX('#建筑消耗和buff配置索引'!BS:BS,MATCH($F311,'#建筑消耗和buff配置索引'!$M:$M,0)))</f>
        <v/>
      </c>
      <c r="BA311" s="133" t="str">
        <f>IF(AZ311="","",INDEX('#建筑消耗和buff配置索引'!BT:BT,MATCH($F311,'#建筑消耗和buff配置索引'!$M:$M,0)))</f>
        <v/>
      </c>
      <c r="BD311" s="133" t="str">
        <f>IF(INDEX('#建筑消耗和buff配置索引'!BW:BW,MATCH($F311,'#建筑消耗和buff配置索引'!$M:$M,0))=0,"",INDEX('#建筑消耗和buff配置索引'!BW:BW,MATCH($F311,'#建筑消耗和buff配置索引'!$M:$M,0)))</f>
        <v/>
      </c>
      <c r="BE311" s="133" t="str">
        <f>IF(BD311="","",INDEX('#建筑消耗和buff配置索引'!BX:BX,MATCH($F311,'#建筑消耗和buff配置索引'!$M:$M,0)))</f>
        <v/>
      </c>
      <c r="BI311" s="133">
        <v>20</v>
      </c>
    </row>
    <row r="312" spans="1:61" s="133" customFormat="1">
      <c r="A312" s="133">
        <v>2260007</v>
      </c>
      <c r="B312" s="133">
        <v>309</v>
      </c>
      <c r="C312" s="133">
        <v>226</v>
      </c>
      <c r="D312" s="133" t="s">
        <v>469</v>
      </c>
      <c r="E312" s="133">
        <v>7</v>
      </c>
      <c r="F312" s="133" t="str">
        <f t="shared" si="6"/>
        <v>瞭望塔7</v>
      </c>
      <c r="H312" s="146"/>
      <c r="I312" s="133">
        <v>1</v>
      </c>
      <c r="J312" s="150">
        <f>INDEX('#建筑消耗和buff配置索引'!AH:AH,MATCH($F312,'#建筑消耗和buff配置索引'!$M:$M,0))</f>
        <v>900</v>
      </c>
      <c r="K312" s="150">
        <f>INDEX('#建筑消耗和buff配置索引'!AA:AA,MATCH($F312,'#建筑消耗和buff配置索引'!$M:$M,0))</f>
        <v>13000</v>
      </c>
      <c r="L312" s="150">
        <f>INDEX('#建筑消耗和buff配置索引'!AB:AB,MATCH($F312,'#建筑消耗和buff配置索引'!$M:$M,0))</f>
        <v>26000</v>
      </c>
      <c r="M312" s="150">
        <f>INDEX('#建筑消耗和buff配置索引'!AC:AC,MATCH($F312,'#建筑消耗和buff配置索引'!$M:$M,0))</f>
        <v>13000</v>
      </c>
      <c r="N312" s="150">
        <f>INDEX('#建筑消耗和buff配置索引'!AD:AD,MATCH($F312,'#建筑消耗和buff配置索引'!$M:$M,0))</f>
        <v>0</v>
      </c>
      <c r="O312" s="150" t="str">
        <f>IF(INDEX('#建筑消耗和buff配置索引'!T:T,MATCH($F312,'#建筑消耗和buff配置索引'!$M:$M,0))=0,"",INDEX('#建筑消耗和buff配置索引'!T:T,MATCH($F312,'#建筑消耗和buff配置索引'!$M:$M,0)))</f>
        <v/>
      </c>
      <c r="P312" s="133" t="str">
        <f>IF(INDEX('#建筑消耗和buff配置索引'!U:U,MATCH($F312,'#建筑消耗和buff配置索引'!$M:$M,0))=0,"",INDEX('#建筑消耗和buff配置索引'!U:U,MATCH($F312,'#建筑消耗和buff配置索引'!$M:$M,0)))</f>
        <v/>
      </c>
      <c r="Q312" s="133" t="str">
        <f>IF(INDEX('#建筑消耗和buff配置索引'!K:K,MATCH($F312,'#建筑消耗和buff配置索引'!$M:$M,0))=0,"",INDEX('#建筑消耗和buff配置索引'!K:K,MATCH($F312,'#建筑消耗和buff配置索引'!$M:$M,0)))</f>
        <v>201</v>
      </c>
      <c r="R312" s="133" t="str">
        <f>IF(INDEX('#建筑消耗和buff配置索引'!L:L,MATCH($F312,'#建筑消耗和buff配置索引'!$M:$M,0))=0,"",INDEX('#建筑消耗和buff配置索引'!L:L,MATCH($F312,'#建筑消耗和buff配置索引'!$M:$M,0)))</f>
        <v>7</v>
      </c>
      <c r="S312" s="133">
        <f>IF(INDEX('#建筑消耗和buff配置索引'!C:C,MATCH(F312,'#建筑消耗和buff配置索引'!M:M,0))=0,1,INDEX('#建筑消耗和buff配置索引'!C:C,MATCH(F312,'#建筑消耗和buff配置索引'!M:M,0)))</f>
        <v>1</v>
      </c>
      <c r="T312" s="133">
        <v>0</v>
      </c>
      <c r="U312" s="133">
        <v>0</v>
      </c>
      <c r="V312" s="133" t="str">
        <f>IF(E312=1,IF(INDEX('#建筑消耗和buff配置索引'!BY:BY,MATCH(D312,'#建筑消耗和buff配置索引'!A:A,0))=0,"",INDEX('#建筑消耗和buff配置索引'!BY:BY,MATCH(D312,'#建筑消耗和buff配置索引'!A:A,0))),"")</f>
        <v/>
      </c>
      <c r="W312" s="133" t="str">
        <f>IF(E312=1,IF(INDEX('#建筑消耗和buff配置索引'!BZ:BZ,MATCH(D312,'#建筑消耗和buff配置索引'!A:A,0))=0,"",INDEX('#建筑消耗和buff配置索引'!BZ:BZ,MATCH(D312,'#建筑消耗和buff配置索引'!A:A,0))),"")</f>
        <v/>
      </c>
      <c r="X312" s="156"/>
      <c r="Y312" s="156"/>
      <c r="Z312" s="156"/>
      <c r="AA312" s="133">
        <f>INDEX('#建筑消耗和buff配置索引'!AO:AO,MATCH($F312,'#建筑消耗和buff配置索引'!$M:$M,0))</f>
        <v>221</v>
      </c>
      <c r="AB312" s="133">
        <f>IF(INDEX('#建筑消耗和buff配置索引'!AR:AR,MATCH($F312,'#建筑消耗和buff配置索引'!$M:$M,0))=0,"",INDEX('#建筑消耗和buff配置索引'!AR:AR,MATCH($F312,'#建筑消耗和buff配置索引'!$M:$M,0)))</f>
        <v>2553</v>
      </c>
      <c r="AC312" s="133">
        <f>IF(AB312="","",INDEX('#建筑消耗和buff配置索引'!AS:AS,MATCH($F312,'#建筑消耗和buff配置索引'!$M:$M,0)))</f>
        <v>0.14000000000000001</v>
      </c>
      <c r="AF312" s="133">
        <f>IF(INDEX('#建筑消耗和buff配置索引'!AW:AW,MATCH($F312,'#建筑消耗和buff配置索引'!$M:$M,0))=0,"",INDEX('#建筑消耗和buff配置索引'!AW:AW,MATCH($F312,'#建筑消耗和buff配置索引'!$M:$M,0)))</f>
        <v>2570</v>
      </c>
      <c r="AG312" s="133">
        <f>IF(AF312="","",INDEX('#建筑消耗和buff配置索引'!AX:AX,MATCH($F312,'#建筑消耗和buff配置索引'!$M:$M,0)))</f>
        <v>2</v>
      </c>
      <c r="AJ312" s="133" t="str">
        <f>IF(INDEX('#建筑消耗和buff配置索引'!BB:BB,MATCH($F312,'#建筑消耗和buff配置索引'!$M:$M,0))=0,"",INDEX('#建筑消耗和buff配置索引'!BB:BB,MATCH($F312,'#建筑消耗和buff配置索引'!$M:$M,0)))</f>
        <v/>
      </c>
      <c r="AK312" s="133" t="str">
        <f>IF(AJ312="","",INDEX('#建筑消耗和buff配置索引'!BC:BC,MATCH($F312,'#建筑消耗和buff配置索引'!$M:$M,0)))</f>
        <v/>
      </c>
      <c r="AN312" s="133" t="str">
        <f>IF(INDEX('#建筑消耗和buff配置索引'!BG:BG,MATCH($F312,'#建筑消耗和buff配置索引'!$M:$M,0))=0,"",INDEX('#建筑消耗和buff配置索引'!BG:BG,MATCH($F312,'#建筑消耗和buff配置索引'!$M:$M,0)))</f>
        <v/>
      </c>
      <c r="AO312" s="133" t="str">
        <f>IF(AN312="","",INDEX('#建筑消耗和buff配置索引'!BH:BH,MATCH($F312,'#建筑消耗和buff配置索引'!$M:$M,0)))</f>
        <v/>
      </c>
      <c r="AR312" s="133" t="str">
        <f>IF(INDEX('#建筑消耗和buff配置索引'!BK:BK,MATCH($F312,'#建筑消耗和buff配置索引'!$M:$M,0))=0,"",INDEX('#建筑消耗和buff配置索引'!BK:BK,MATCH($F312,'#建筑消耗和buff配置索引'!$M:$M,0)))</f>
        <v/>
      </c>
      <c r="AS312" s="133" t="str">
        <f>IF(AR312="","",INDEX('#建筑消耗和buff配置索引'!BL:BL,MATCH($F312,'#建筑消耗和buff配置索引'!$M:$M,0)))</f>
        <v/>
      </c>
      <c r="AV312" s="133" t="str">
        <f>IF(INDEX('#建筑消耗和buff配置索引'!BO:BO,MATCH($F312,'#建筑消耗和buff配置索引'!$M:$M,0))=0,"",INDEX('#建筑消耗和buff配置索引'!BO:BO,MATCH($F312,'#建筑消耗和buff配置索引'!$M:$M,0)))</f>
        <v/>
      </c>
      <c r="AW312" s="133" t="str">
        <f>IF(AV312="","",INDEX('#建筑消耗和buff配置索引'!BP:BP,MATCH($F312,'#建筑消耗和buff配置索引'!$M:$M,0)))</f>
        <v/>
      </c>
      <c r="AZ312" s="133" t="str">
        <f>IF(INDEX('#建筑消耗和buff配置索引'!BS:BS,MATCH($F312,'#建筑消耗和buff配置索引'!$M:$M,0))=0,"",INDEX('#建筑消耗和buff配置索引'!BS:BS,MATCH($F312,'#建筑消耗和buff配置索引'!$M:$M,0)))</f>
        <v/>
      </c>
      <c r="BA312" s="133" t="str">
        <f>IF(AZ312="","",INDEX('#建筑消耗和buff配置索引'!BT:BT,MATCH($F312,'#建筑消耗和buff配置索引'!$M:$M,0)))</f>
        <v/>
      </c>
      <c r="BD312" s="133" t="str">
        <f>IF(INDEX('#建筑消耗和buff配置索引'!BW:BW,MATCH($F312,'#建筑消耗和buff配置索引'!$M:$M,0))=0,"",INDEX('#建筑消耗和buff配置索引'!BW:BW,MATCH($F312,'#建筑消耗和buff配置索引'!$M:$M,0)))</f>
        <v/>
      </c>
      <c r="BE312" s="133" t="str">
        <f>IF(BD312="","",INDEX('#建筑消耗和buff配置索引'!BX:BX,MATCH($F312,'#建筑消耗和buff配置索引'!$M:$M,0)))</f>
        <v/>
      </c>
      <c r="BI312" s="133">
        <v>20</v>
      </c>
    </row>
    <row r="313" spans="1:61" s="133" customFormat="1">
      <c r="A313" s="133">
        <v>2260008</v>
      </c>
      <c r="B313" s="133">
        <v>310</v>
      </c>
      <c r="C313" s="133">
        <v>226</v>
      </c>
      <c r="D313" s="133" t="s">
        <v>469</v>
      </c>
      <c r="E313" s="133">
        <v>8</v>
      </c>
      <c r="F313" s="133" t="str">
        <f t="shared" si="6"/>
        <v>瞭望塔8</v>
      </c>
      <c r="H313" s="146"/>
      <c r="I313" s="133">
        <v>1</v>
      </c>
      <c r="J313" s="150">
        <f>INDEX('#建筑消耗和buff配置索引'!AH:AH,MATCH($F313,'#建筑消耗和buff配置索引'!$M:$M,0))</f>
        <v>1440</v>
      </c>
      <c r="K313" s="150">
        <f>INDEX('#建筑消耗和buff配置索引'!AA:AA,MATCH($F313,'#建筑消耗和buff配置索引'!$M:$M,0))</f>
        <v>22000</v>
      </c>
      <c r="L313" s="150">
        <f>INDEX('#建筑消耗和buff配置索引'!AB:AB,MATCH($F313,'#建筑消耗和buff配置索引'!$M:$M,0))</f>
        <v>44000</v>
      </c>
      <c r="M313" s="150">
        <f>INDEX('#建筑消耗和buff配置索引'!AC:AC,MATCH($F313,'#建筑消耗和buff配置索引'!$M:$M,0))</f>
        <v>22000</v>
      </c>
      <c r="N313" s="150">
        <f>INDEX('#建筑消耗和buff配置索引'!AD:AD,MATCH($F313,'#建筑消耗和buff配置索引'!$M:$M,0))</f>
        <v>0</v>
      </c>
      <c r="O313" s="150" t="str">
        <f>IF(INDEX('#建筑消耗和buff配置索引'!T:T,MATCH($F313,'#建筑消耗和buff配置索引'!$M:$M,0))=0,"",INDEX('#建筑消耗和buff配置索引'!T:T,MATCH($F313,'#建筑消耗和buff配置索引'!$M:$M,0)))</f>
        <v/>
      </c>
      <c r="P313" s="133" t="str">
        <f>IF(INDEX('#建筑消耗和buff配置索引'!U:U,MATCH($F313,'#建筑消耗和buff配置索引'!$M:$M,0))=0,"",INDEX('#建筑消耗和buff配置索引'!U:U,MATCH($F313,'#建筑消耗和buff配置索引'!$M:$M,0)))</f>
        <v/>
      </c>
      <c r="Q313" s="133" t="str">
        <f>IF(INDEX('#建筑消耗和buff配置索引'!K:K,MATCH($F313,'#建筑消耗和buff配置索引'!$M:$M,0))=0,"",INDEX('#建筑消耗和buff配置索引'!K:K,MATCH($F313,'#建筑消耗和buff配置索引'!$M:$M,0)))</f>
        <v>201</v>
      </c>
      <c r="R313" s="133" t="str">
        <f>IF(INDEX('#建筑消耗和buff配置索引'!L:L,MATCH($F313,'#建筑消耗和buff配置索引'!$M:$M,0))=0,"",INDEX('#建筑消耗和buff配置索引'!L:L,MATCH($F313,'#建筑消耗和buff配置索引'!$M:$M,0)))</f>
        <v>8</v>
      </c>
      <c r="S313" s="133">
        <f>IF(INDEX('#建筑消耗和buff配置索引'!C:C,MATCH(F313,'#建筑消耗和buff配置索引'!M:M,0))=0,1,INDEX('#建筑消耗和buff配置索引'!C:C,MATCH(F313,'#建筑消耗和buff配置索引'!M:M,0)))</f>
        <v>1</v>
      </c>
      <c r="T313" s="133">
        <v>0</v>
      </c>
      <c r="U313" s="133">
        <v>0</v>
      </c>
      <c r="V313" s="133" t="str">
        <f>IF(E313=1,IF(INDEX('#建筑消耗和buff配置索引'!BY:BY,MATCH(D313,'#建筑消耗和buff配置索引'!A:A,0))=0,"",INDEX('#建筑消耗和buff配置索引'!BY:BY,MATCH(D313,'#建筑消耗和buff配置索引'!A:A,0))),"")</f>
        <v/>
      </c>
      <c r="W313" s="133" t="str">
        <f>IF(E313=1,IF(INDEX('#建筑消耗和buff配置索引'!BZ:BZ,MATCH(D313,'#建筑消耗和buff配置索引'!A:A,0))=0,"",INDEX('#建筑消耗和buff配置索引'!BZ:BZ,MATCH(D313,'#建筑消耗和buff配置索引'!A:A,0))),"")</f>
        <v/>
      </c>
      <c r="AA313" s="133">
        <f>INDEX('#建筑消耗和buff配置索引'!AO:AO,MATCH($F313,'#建筑消耗和buff配置索引'!$M:$M,0))</f>
        <v>397</v>
      </c>
      <c r="AB313" s="133">
        <f>IF(INDEX('#建筑消耗和buff配置索引'!AR:AR,MATCH($F313,'#建筑消耗和buff配置索引'!$M:$M,0))=0,"",INDEX('#建筑消耗和buff配置索引'!AR:AR,MATCH($F313,'#建筑消耗和buff配置索引'!$M:$M,0)))</f>
        <v>2553</v>
      </c>
      <c r="AC313" s="133">
        <f>IF(AB313="","",INDEX('#建筑消耗和buff配置索引'!AS:AS,MATCH($F313,'#建筑消耗和buff配置索引'!$M:$M,0)))</f>
        <v>0.16</v>
      </c>
      <c r="AF313" s="133">
        <f>IF(INDEX('#建筑消耗和buff配置索引'!AW:AW,MATCH($F313,'#建筑消耗和buff配置索引'!$M:$M,0))=0,"",INDEX('#建筑消耗和buff配置索引'!AW:AW,MATCH($F313,'#建筑消耗和buff配置索引'!$M:$M,0)))</f>
        <v>2570</v>
      </c>
      <c r="AG313" s="133">
        <f>IF(AF313="","",INDEX('#建筑消耗和buff配置索引'!AX:AX,MATCH($F313,'#建筑消耗和buff配置索引'!$M:$M,0)))</f>
        <v>2</v>
      </c>
      <c r="AJ313" s="133" t="str">
        <f>IF(INDEX('#建筑消耗和buff配置索引'!BB:BB,MATCH($F313,'#建筑消耗和buff配置索引'!$M:$M,0))=0,"",INDEX('#建筑消耗和buff配置索引'!BB:BB,MATCH($F313,'#建筑消耗和buff配置索引'!$M:$M,0)))</f>
        <v/>
      </c>
      <c r="AK313" s="133" t="str">
        <f>IF(AJ313="","",INDEX('#建筑消耗和buff配置索引'!BC:BC,MATCH($F313,'#建筑消耗和buff配置索引'!$M:$M,0)))</f>
        <v/>
      </c>
      <c r="AN313" s="133" t="str">
        <f>IF(INDEX('#建筑消耗和buff配置索引'!BG:BG,MATCH($F313,'#建筑消耗和buff配置索引'!$M:$M,0))=0,"",INDEX('#建筑消耗和buff配置索引'!BG:BG,MATCH($F313,'#建筑消耗和buff配置索引'!$M:$M,0)))</f>
        <v/>
      </c>
      <c r="AO313" s="133" t="str">
        <f>IF(AN313="","",INDEX('#建筑消耗和buff配置索引'!BH:BH,MATCH($F313,'#建筑消耗和buff配置索引'!$M:$M,0)))</f>
        <v/>
      </c>
      <c r="AR313" s="133" t="str">
        <f>IF(INDEX('#建筑消耗和buff配置索引'!BK:BK,MATCH($F313,'#建筑消耗和buff配置索引'!$M:$M,0))=0,"",INDEX('#建筑消耗和buff配置索引'!BK:BK,MATCH($F313,'#建筑消耗和buff配置索引'!$M:$M,0)))</f>
        <v/>
      </c>
      <c r="AS313" s="133" t="str">
        <f>IF(AR313="","",INDEX('#建筑消耗和buff配置索引'!BL:BL,MATCH($F313,'#建筑消耗和buff配置索引'!$M:$M,0)))</f>
        <v/>
      </c>
      <c r="AV313" s="133" t="str">
        <f>IF(INDEX('#建筑消耗和buff配置索引'!BO:BO,MATCH($F313,'#建筑消耗和buff配置索引'!$M:$M,0))=0,"",INDEX('#建筑消耗和buff配置索引'!BO:BO,MATCH($F313,'#建筑消耗和buff配置索引'!$M:$M,0)))</f>
        <v/>
      </c>
      <c r="AW313" s="133" t="str">
        <f>IF(AV313="","",INDEX('#建筑消耗和buff配置索引'!BP:BP,MATCH($F313,'#建筑消耗和buff配置索引'!$M:$M,0)))</f>
        <v/>
      </c>
      <c r="AZ313" s="133" t="str">
        <f>IF(INDEX('#建筑消耗和buff配置索引'!BS:BS,MATCH($F313,'#建筑消耗和buff配置索引'!$M:$M,0))=0,"",INDEX('#建筑消耗和buff配置索引'!BS:BS,MATCH($F313,'#建筑消耗和buff配置索引'!$M:$M,0)))</f>
        <v/>
      </c>
      <c r="BA313" s="133" t="str">
        <f>IF(AZ313="","",INDEX('#建筑消耗和buff配置索引'!BT:BT,MATCH($F313,'#建筑消耗和buff配置索引'!$M:$M,0)))</f>
        <v/>
      </c>
      <c r="BD313" s="133" t="str">
        <f>IF(INDEX('#建筑消耗和buff配置索引'!BW:BW,MATCH($F313,'#建筑消耗和buff配置索引'!$M:$M,0))=0,"",INDEX('#建筑消耗和buff配置索引'!BW:BW,MATCH($F313,'#建筑消耗和buff配置索引'!$M:$M,0)))</f>
        <v/>
      </c>
      <c r="BE313" s="133" t="str">
        <f>IF(BD313="","",INDEX('#建筑消耗和buff配置索引'!BX:BX,MATCH($F313,'#建筑消耗和buff配置索引'!$M:$M,0)))</f>
        <v/>
      </c>
      <c r="BI313" s="133">
        <v>20</v>
      </c>
    </row>
    <row r="314" spans="1:61" s="133" customFormat="1">
      <c r="A314" s="133">
        <v>2260009</v>
      </c>
      <c r="B314" s="133">
        <v>311</v>
      </c>
      <c r="C314" s="133">
        <v>226</v>
      </c>
      <c r="D314" s="133" t="s">
        <v>469</v>
      </c>
      <c r="E314" s="133">
        <v>9</v>
      </c>
      <c r="F314" s="133" t="str">
        <f t="shared" si="6"/>
        <v>瞭望塔9</v>
      </c>
      <c r="H314" s="146"/>
      <c r="I314" s="133">
        <v>1</v>
      </c>
      <c r="J314" s="150">
        <f>INDEX('#建筑消耗和buff配置索引'!AH:AH,MATCH($F314,'#建筑消耗和buff配置索引'!$M:$M,0))</f>
        <v>2880</v>
      </c>
      <c r="K314" s="150">
        <f>INDEX('#建筑消耗和buff配置索引'!AA:AA,MATCH($F314,'#建筑消耗和buff配置索引'!$M:$M,0))</f>
        <v>36000</v>
      </c>
      <c r="L314" s="150">
        <f>INDEX('#建筑消耗和buff配置索引'!AB:AB,MATCH($F314,'#建筑消耗和buff配置索引'!$M:$M,0))</f>
        <v>73000</v>
      </c>
      <c r="M314" s="150">
        <f>INDEX('#建筑消耗和buff配置索引'!AC:AC,MATCH($F314,'#建筑消耗和buff配置索引'!$M:$M,0))</f>
        <v>36000</v>
      </c>
      <c r="N314" s="150">
        <f>INDEX('#建筑消耗和buff配置索引'!AD:AD,MATCH($F314,'#建筑消耗和buff配置索引'!$M:$M,0))</f>
        <v>0</v>
      </c>
      <c r="O314" s="150" t="str">
        <f>IF(INDEX('#建筑消耗和buff配置索引'!T:T,MATCH($F314,'#建筑消耗和buff配置索引'!$M:$M,0))=0,"",INDEX('#建筑消耗和buff配置索引'!T:T,MATCH($F314,'#建筑消耗和buff配置索引'!$M:$M,0)))</f>
        <v/>
      </c>
      <c r="P314" s="133" t="str">
        <f>IF(INDEX('#建筑消耗和buff配置索引'!U:U,MATCH($F314,'#建筑消耗和buff配置索引'!$M:$M,0))=0,"",INDEX('#建筑消耗和buff配置索引'!U:U,MATCH($F314,'#建筑消耗和buff配置索引'!$M:$M,0)))</f>
        <v/>
      </c>
      <c r="Q314" s="133" t="str">
        <f>IF(INDEX('#建筑消耗和buff配置索引'!K:K,MATCH($F314,'#建筑消耗和buff配置索引'!$M:$M,0))=0,"",INDEX('#建筑消耗和buff配置索引'!K:K,MATCH($F314,'#建筑消耗和buff配置索引'!$M:$M,0)))</f>
        <v>201</v>
      </c>
      <c r="R314" s="133" t="str">
        <f>IF(INDEX('#建筑消耗和buff配置索引'!L:L,MATCH($F314,'#建筑消耗和buff配置索引'!$M:$M,0))=0,"",INDEX('#建筑消耗和buff配置索引'!L:L,MATCH($F314,'#建筑消耗和buff配置索引'!$M:$M,0)))</f>
        <v>9</v>
      </c>
      <c r="S314" s="133">
        <f>IF(INDEX('#建筑消耗和buff配置索引'!C:C,MATCH(F314,'#建筑消耗和buff配置索引'!M:M,0))=0,1,INDEX('#建筑消耗和buff配置索引'!C:C,MATCH(F314,'#建筑消耗和buff配置索引'!M:M,0)))</f>
        <v>1</v>
      </c>
      <c r="T314" s="133">
        <v>0</v>
      </c>
      <c r="U314" s="133">
        <v>0</v>
      </c>
      <c r="V314" s="133" t="str">
        <f>IF(E314=1,IF(INDEX('#建筑消耗和buff配置索引'!BY:BY,MATCH(D314,'#建筑消耗和buff配置索引'!A:A,0))=0,"",INDEX('#建筑消耗和buff配置索引'!BY:BY,MATCH(D314,'#建筑消耗和buff配置索引'!A:A,0))),"")</f>
        <v/>
      </c>
      <c r="W314" s="133" t="str">
        <f>IF(E314=1,IF(INDEX('#建筑消耗和buff配置索引'!BZ:BZ,MATCH(D314,'#建筑消耗和buff配置索引'!A:A,0))=0,"",INDEX('#建筑消耗和buff配置索引'!BZ:BZ,MATCH(D314,'#建筑消耗和buff配置索引'!A:A,0))),"")</f>
        <v/>
      </c>
      <c r="X314" s="156"/>
      <c r="Y314" s="156"/>
      <c r="Z314" s="156"/>
      <c r="AA314" s="133">
        <f>INDEX('#建筑消耗和buff配置索引'!AO:AO,MATCH($F314,'#建筑消耗和buff配置索引'!$M:$M,0))</f>
        <v>689</v>
      </c>
      <c r="AB314" s="133">
        <f>IF(INDEX('#建筑消耗和buff配置索引'!AR:AR,MATCH($F314,'#建筑消耗和buff配置索引'!$M:$M,0))=0,"",INDEX('#建筑消耗和buff配置索引'!AR:AR,MATCH($F314,'#建筑消耗和buff配置索引'!$M:$M,0)))</f>
        <v>2553</v>
      </c>
      <c r="AC314" s="133">
        <f>IF(AB314="","",INDEX('#建筑消耗和buff配置索引'!AS:AS,MATCH($F314,'#建筑消耗和buff配置索引'!$M:$M,0)))</f>
        <v>0.18</v>
      </c>
      <c r="AF314" s="133">
        <f>IF(INDEX('#建筑消耗和buff配置索引'!AW:AW,MATCH($F314,'#建筑消耗和buff配置索引'!$M:$M,0))=0,"",INDEX('#建筑消耗和buff配置索引'!AW:AW,MATCH($F314,'#建筑消耗和buff配置索引'!$M:$M,0)))</f>
        <v>2570</v>
      </c>
      <c r="AG314" s="133">
        <f>IF(AF314="","",INDEX('#建筑消耗和buff配置索引'!AX:AX,MATCH($F314,'#建筑消耗和buff配置索引'!$M:$M,0)))</f>
        <v>2</v>
      </c>
      <c r="AJ314" s="133" t="str">
        <f>IF(INDEX('#建筑消耗和buff配置索引'!BB:BB,MATCH($F314,'#建筑消耗和buff配置索引'!$M:$M,0))=0,"",INDEX('#建筑消耗和buff配置索引'!BB:BB,MATCH($F314,'#建筑消耗和buff配置索引'!$M:$M,0)))</f>
        <v/>
      </c>
      <c r="AK314" s="133" t="str">
        <f>IF(AJ314="","",INDEX('#建筑消耗和buff配置索引'!BC:BC,MATCH($F314,'#建筑消耗和buff配置索引'!$M:$M,0)))</f>
        <v/>
      </c>
      <c r="AN314" s="133" t="str">
        <f>IF(INDEX('#建筑消耗和buff配置索引'!BG:BG,MATCH($F314,'#建筑消耗和buff配置索引'!$M:$M,0))=0,"",INDEX('#建筑消耗和buff配置索引'!BG:BG,MATCH($F314,'#建筑消耗和buff配置索引'!$M:$M,0)))</f>
        <v/>
      </c>
      <c r="AO314" s="133" t="str">
        <f>IF(AN314="","",INDEX('#建筑消耗和buff配置索引'!BH:BH,MATCH($F314,'#建筑消耗和buff配置索引'!$M:$M,0)))</f>
        <v/>
      </c>
      <c r="AR314" s="133" t="str">
        <f>IF(INDEX('#建筑消耗和buff配置索引'!BK:BK,MATCH($F314,'#建筑消耗和buff配置索引'!$M:$M,0))=0,"",INDEX('#建筑消耗和buff配置索引'!BK:BK,MATCH($F314,'#建筑消耗和buff配置索引'!$M:$M,0)))</f>
        <v/>
      </c>
      <c r="AS314" s="133" t="str">
        <f>IF(AR314="","",INDEX('#建筑消耗和buff配置索引'!BL:BL,MATCH($F314,'#建筑消耗和buff配置索引'!$M:$M,0)))</f>
        <v/>
      </c>
      <c r="AV314" s="133" t="str">
        <f>IF(INDEX('#建筑消耗和buff配置索引'!BO:BO,MATCH($F314,'#建筑消耗和buff配置索引'!$M:$M,0))=0,"",INDEX('#建筑消耗和buff配置索引'!BO:BO,MATCH($F314,'#建筑消耗和buff配置索引'!$M:$M,0)))</f>
        <v/>
      </c>
      <c r="AW314" s="133" t="str">
        <f>IF(AV314="","",INDEX('#建筑消耗和buff配置索引'!BP:BP,MATCH($F314,'#建筑消耗和buff配置索引'!$M:$M,0)))</f>
        <v/>
      </c>
      <c r="AZ314" s="133" t="str">
        <f>IF(INDEX('#建筑消耗和buff配置索引'!BS:BS,MATCH($F314,'#建筑消耗和buff配置索引'!$M:$M,0))=0,"",INDEX('#建筑消耗和buff配置索引'!BS:BS,MATCH($F314,'#建筑消耗和buff配置索引'!$M:$M,0)))</f>
        <v/>
      </c>
      <c r="BA314" s="133" t="str">
        <f>IF(AZ314="","",INDEX('#建筑消耗和buff配置索引'!BT:BT,MATCH($F314,'#建筑消耗和buff配置索引'!$M:$M,0)))</f>
        <v/>
      </c>
      <c r="BD314" s="133" t="str">
        <f>IF(INDEX('#建筑消耗和buff配置索引'!BW:BW,MATCH($F314,'#建筑消耗和buff配置索引'!$M:$M,0))=0,"",INDEX('#建筑消耗和buff配置索引'!BW:BW,MATCH($F314,'#建筑消耗和buff配置索引'!$M:$M,0)))</f>
        <v/>
      </c>
      <c r="BE314" s="133" t="str">
        <f>IF(BD314="","",INDEX('#建筑消耗和buff配置索引'!BX:BX,MATCH($F314,'#建筑消耗和buff配置索引'!$M:$M,0)))</f>
        <v/>
      </c>
      <c r="BI314" s="133">
        <v>20</v>
      </c>
    </row>
    <row r="315" spans="1:61" s="133" customFormat="1">
      <c r="A315" s="133">
        <v>2260010</v>
      </c>
      <c r="B315" s="133">
        <v>312</v>
      </c>
      <c r="C315" s="133">
        <v>226</v>
      </c>
      <c r="D315" s="133" t="s">
        <v>469</v>
      </c>
      <c r="E315" s="133">
        <v>10</v>
      </c>
      <c r="F315" s="133" t="str">
        <f t="shared" si="6"/>
        <v>瞭望塔10</v>
      </c>
      <c r="H315" s="146"/>
      <c r="I315" s="133">
        <v>1</v>
      </c>
      <c r="J315" s="150">
        <f>INDEX('#建筑消耗和buff配置索引'!AH:AH,MATCH($F315,'#建筑消耗和buff配置索引'!$M:$M,0))</f>
        <v>4320</v>
      </c>
      <c r="K315" s="150">
        <f>INDEX('#建筑消耗和buff配置索引'!AA:AA,MATCH($F315,'#建筑消耗和buff配置索引'!$M:$M,0))</f>
        <v>46000</v>
      </c>
      <c r="L315" s="150">
        <f>INDEX('#建筑消耗和buff配置索引'!AB:AB,MATCH($F315,'#建筑消耗和buff配置索引'!$M:$M,0))</f>
        <v>92000</v>
      </c>
      <c r="M315" s="150">
        <f>INDEX('#建筑消耗和buff配置索引'!AC:AC,MATCH($F315,'#建筑消耗和buff配置索引'!$M:$M,0))</f>
        <v>46000</v>
      </c>
      <c r="N315" s="150">
        <f>INDEX('#建筑消耗和buff配置索引'!AD:AD,MATCH($F315,'#建筑消耗和buff配置索引'!$M:$M,0))</f>
        <v>46000</v>
      </c>
      <c r="O315" s="150" t="str">
        <f>IF(INDEX('#建筑消耗和buff配置索引'!T:T,MATCH($F315,'#建筑消耗和buff配置索引'!$M:$M,0))=0,"",INDEX('#建筑消耗和buff配置索引'!T:T,MATCH($F315,'#建筑消耗和buff配置索引'!$M:$M,0)))</f>
        <v/>
      </c>
      <c r="P315" s="133" t="str">
        <f>IF(INDEX('#建筑消耗和buff配置索引'!U:U,MATCH($F315,'#建筑消耗和buff配置索引'!$M:$M,0))=0,"",INDEX('#建筑消耗和buff配置索引'!U:U,MATCH($F315,'#建筑消耗和buff配置索引'!$M:$M,0)))</f>
        <v/>
      </c>
      <c r="Q315" s="133" t="str">
        <f>IF(INDEX('#建筑消耗和buff配置索引'!K:K,MATCH($F315,'#建筑消耗和buff配置索引'!$M:$M,0))=0,"",INDEX('#建筑消耗和buff配置索引'!K:K,MATCH($F315,'#建筑消耗和buff配置索引'!$M:$M,0)))</f>
        <v>201</v>
      </c>
      <c r="R315" s="133" t="str">
        <f>IF(INDEX('#建筑消耗和buff配置索引'!L:L,MATCH($F315,'#建筑消耗和buff配置索引'!$M:$M,0))=0,"",INDEX('#建筑消耗和buff配置索引'!L:L,MATCH($F315,'#建筑消耗和buff配置索引'!$M:$M,0)))</f>
        <v>10</v>
      </c>
      <c r="S315" s="133">
        <f>IF(INDEX('#建筑消耗和buff配置索引'!C:C,MATCH(F315,'#建筑消耗和buff配置索引'!M:M,0))=0,1,INDEX('#建筑消耗和buff配置索引'!C:C,MATCH(F315,'#建筑消耗和buff配置索引'!M:M,0)))</f>
        <v>1</v>
      </c>
      <c r="T315" s="133">
        <v>0</v>
      </c>
      <c r="U315" s="133">
        <v>0</v>
      </c>
      <c r="V315" s="133" t="str">
        <f>IF(E315=1,IF(INDEX('#建筑消耗和buff配置索引'!BY:BY,MATCH(D315,'#建筑消耗和buff配置索引'!A:A,0))=0,"",INDEX('#建筑消耗和buff配置索引'!BY:BY,MATCH(D315,'#建筑消耗和buff配置索引'!A:A,0))),"")</f>
        <v/>
      </c>
      <c r="W315" s="133" t="str">
        <f>IF(E315=1,IF(INDEX('#建筑消耗和buff配置索引'!BZ:BZ,MATCH(D315,'#建筑消耗和buff配置索引'!A:A,0))=0,"",INDEX('#建筑消耗和buff配置索引'!BZ:BZ,MATCH(D315,'#建筑消耗和buff配置索引'!A:A,0))),"")</f>
        <v/>
      </c>
      <c r="AA315" s="133">
        <f>INDEX('#建筑消耗和buff配置索引'!AO:AO,MATCH($F315,'#建筑消耗和buff配置索引'!$M:$M,0))</f>
        <v>1150</v>
      </c>
      <c r="AB315" s="133">
        <f>IF(INDEX('#建筑消耗和buff配置索引'!AR:AR,MATCH($F315,'#建筑消耗和buff配置索引'!$M:$M,0))=0,"",INDEX('#建筑消耗和buff配置索引'!AR:AR,MATCH($F315,'#建筑消耗和buff配置索引'!$M:$M,0)))</f>
        <v>2553</v>
      </c>
      <c r="AC315" s="133">
        <f>IF(AB315="","",INDEX('#建筑消耗和buff配置索引'!AS:AS,MATCH($F315,'#建筑消耗和buff配置索引'!$M:$M,0)))</f>
        <v>0.2</v>
      </c>
      <c r="AF315" s="133">
        <f>IF(INDEX('#建筑消耗和buff配置索引'!AW:AW,MATCH($F315,'#建筑消耗和buff配置索引'!$M:$M,0))=0,"",INDEX('#建筑消耗和buff配置索引'!AW:AW,MATCH($F315,'#建筑消耗和buff配置索引'!$M:$M,0)))</f>
        <v>2570</v>
      </c>
      <c r="AG315" s="133">
        <f>IF(AF315="","",INDEX('#建筑消耗和buff配置索引'!AX:AX,MATCH($F315,'#建筑消耗和buff配置索引'!$M:$M,0)))</f>
        <v>2</v>
      </c>
      <c r="AJ315" s="133" t="str">
        <f>IF(INDEX('#建筑消耗和buff配置索引'!BB:BB,MATCH($F315,'#建筑消耗和buff配置索引'!$M:$M,0))=0,"",INDEX('#建筑消耗和buff配置索引'!BB:BB,MATCH($F315,'#建筑消耗和buff配置索引'!$M:$M,0)))</f>
        <v/>
      </c>
      <c r="AK315" s="133" t="str">
        <f>IF(AJ315="","",INDEX('#建筑消耗和buff配置索引'!BC:BC,MATCH($F315,'#建筑消耗和buff配置索引'!$M:$M,0)))</f>
        <v/>
      </c>
      <c r="AN315" s="133" t="str">
        <f>IF(INDEX('#建筑消耗和buff配置索引'!BG:BG,MATCH($F315,'#建筑消耗和buff配置索引'!$M:$M,0))=0,"",INDEX('#建筑消耗和buff配置索引'!BG:BG,MATCH($F315,'#建筑消耗和buff配置索引'!$M:$M,0)))</f>
        <v/>
      </c>
      <c r="AO315" s="133" t="str">
        <f>IF(AN315="","",INDEX('#建筑消耗和buff配置索引'!BH:BH,MATCH($F315,'#建筑消耗和buff配置索引'!$M:$M,0)))</f>
        <v/>
      </c>
      <c r="AR315" s="133" t="str">
        <f>IF(INDEX('#建筑消耗和buff配置索引'!BK:BK,MATCH($F315,'#建筑消耗和buff配置索引'!$M:$M,0))=0,"",INDEX('#建筑消耗和buff配置索引'!BK:BK,MATCH($F315,'#建筑消耗和buff配置索引'!$M:$M,0)))</f>
        <v/>
      </c>
      <c r="AS315" s="133" t="str">
        <f>IF(AR315="","",INDEX('#建筑消耗和buff配置索引'!BL:BL,MATCH($F315,'#建筑消耗和buff配置索引'!$M:$M,0)))</f>
        <v/>
      </c>
      <c r="AV315" s="133" t="str">
        <f>IF(INDEX('#建筑消耗和buff配置索引'!BO:BO,MATCH($F315,'#建筑消耗和buff配置索引'!$M:$M,0))=0,"",INDEX('#建筑消耗和buff配置索引'!BO:BO,MATCH($F315,'#建筑消耗和buff配置索引'!$M:$M,0)))</f>
        <v/>
      </c>
      <c r="AW315" s="133" t="str">
        <f>IF(AV315="","",INDEX('#建筑消耗和buff配置索引'!BP:BP,MATCH($F315,'#建筑消耗和buff配置索引'!$M:$M,0)))</f>
        <v/>
      </c>
      <c r="AZ315" s="133" t="str">
        <f>IF(INDEX('#建筑消耗和buff配置索引'!BS:BS,MATCH($F315,'#建筑消耗和buff配置索引'!$M:$M,0))=0,"",INDEX('#建筑消耗和buff配置索引'!BS:BS,MATCH($F315,'#建筑消耗和buff配置索引'!$M:$M,0)))</f>
        <v/>
      </c>
      <c r="BA315" s="133" t="str">
        <f>IF(AZ315="","",INDEX('#建筑消耗和buff配置索引'!BT:BT,MATCH($F315,'#建筑消耗和buff配置索引'!$M:$M,0)))</f>
        <v/>
      </c>
      <c r="BD315" s="133" t="str">
        <f>IF(INDEX('#建筑消耗和buff配置索引'!BW:BW,MATCH($F315,'#建筑消耗和buff配置索引'!$M:$M,0))=0,"",INDEX('#建筑消耗和buff配置索引'!BW:BW,MATCH($F315,'#建筑消耗和buff配置索引'!$M:$M,0)))</f>
        <v/>
      </c>
      <c r="BE315" s="133" t="str">
        <f>IF(BD315="","",INDEX('#建筑消耗和buff配置索引'!BX:BX,MATCH($F315,'#建筑消耗和buff配置索引'!$M:$M,0)))</f>
        <v/>
      </c>
      <c r="BI315" s="133">
        <v>20</v>
      </c>
    </row>
    <row r="316" spans="1:61" s="133" customFormat="1">
      <c r="A316" s="133">
        <v>2260011</v>
      </c>
      <c r="B316" s="133">
        <v>313</v>
      </c>
      <c r="C316" s="133">
        <v>226</v>
      </c>
      <c r="D316" s="133" t="s">
        <v>469</v>
      </c>
      <c r="E316" s="133">
        <v>11</v>
      </c>
      <c r="F316" s="133" t="str">
        <f t="shared" si="6"/>
        <v>瞭望塔11</v>
      </c>
      <c r="H316" s="146"/>
      <c r="I316" s="133">
        <v>1</v>
      </c>
      <c r="J316" s="150">
        <f>INDEX('#建筑消耗和buff配置索引'!AH:AH,MATCH($F316,'#建筑消耗和buff配置索引'!$M:$M,0))</f>
        <v>6480</v>
      </c>
      <c r="K316" s="150">
        <f>INDEX('#建筑消耗和buff配置索引'!AA:AA,MATCH($F316,'#建筑消耗和buff配置索引'!$M:$M,0))</f>
        <v>70000</v>
      </c>
      <c r="L316" s="150">
        <f>INDEX('#建筑消耗和buff配置索引'!AB:AB,MATCH($F316,'#建筑消耗和buff配置索引'!$M:$M,0))</f>
        <v>140000</v>
      </c>
      <c r="M316" s="150">
        <f>INDEX('#建筑消耗和buff配置索引'!AC:AC,MATCH($F316,'#建筑消耗和buff配置索引'!$M:$M,0))</f>
        <v>70000</v>
      </c>
      <c r="N316" s="150">
        <f>INDEX('#建筑消耗和buff配置索引'!AD:AD,MATCH($F316,'#建筑消耗和buff配置索引'!$M:$M,0))</f>
        <v>70000</v>
      </c>
      <c r="O316" s="150" t="str">
        <f>IF(INDEX('#建筑消耗和buff配置索引'!T:T,MATCH($F316,'#建筑消耗和buff配置索引'!$M:$M,0))=0,"",INDEX('#建筑消耗和buff配置索引'!T:T,MATCH($F316,'#建筑消耗和buff配置索引'!$M:$M,0)))</f>
        <v/>
      </c>
      <c r="P316" s="133" t="str">
        <f>IF(INDEX('#建筑消耗和buff配置索引'!U:U,MATCH($F316,'#建筑消耗和buff配置索引'!$M:$M,0))=0,"",INDEX('#建筑消耗和buff配置索引'!U:U,MATCH($F316,'#建筑消耗和buff配置索引'!$M:$M,0)))</f>
        <v/>
      </c>
      <c r="Q316" s="133" t="str">
        <f>IF(INDEX('#建筑消耗和buff配置索引'!K:K,MATCH($F316,'#建筑消耗和buff配置索引'!$M:$M,0))=0,"",INDEX('#建筑消耗和buff配置索引'!K:K,MATCH($F316,'#建筑消耗和buff配置索引'!$M:$M,0)))</f>
        <v>201</v>
      </c>
      <c r="R316" s="133" t="str">
        <f>IF(INDEX('#建筑消耗和buff配置索引'!L:L,MATCH($F316,'#建筑消耗和buff配置索引'!$M:$M,0))=0,"",INDEX('#建筑消耗和buff配置索引'!L:L,MATCH($F316,'#建筑消耗和buff配置索引'!$M:$M,0)))</f>
        <v>11</v>
      </c>
      <c r="S316" s="133">
        <f>IF(INDEX('#建筑消耗和buff配置索引'!C:C,MATCH(F316,'#建筑消耗和buff配置索引'!M:M,0))=0,1,INDEX('#建筑消耗和buff配置索引'!C:C,MATCH(F316,'#建筑消耗和buff配置索引'!M:M,0)))</f>
        <v>1</v>
      </c>
      <c r="T316" s="133">
        <v>0</v>
      </c>
      <c r="U316" s="133">
        <v>0</v>
      </c>
      <c r="V316" s="133" t="str">
        <f>IF(E316=1,IF(INDEX('#建筑消耗和buff配置索引'!BY:BY,MATCH(D316,'#建筑消耗和buff配置索引'!A:A,0))=0,"",INDEX('#建筑消耗和buff配置索引'!BY:BY,MATCH(D316,'#建筑消耗和buff配置索引'!A:A,0))),"")</f>
        <v/>
      </c>
      <c r="W316" s="133" t="str">
        <f>IF(E316=1,IF(INDEX('#建筑消耗和buff配置索引'!BZ:BZ,MATCH(D316,'#建筑消耗和buff配置索引'!A:A,0))=0,"",INDEX('#建筑消耗和buff配置索引'!BZ:BZ,MATCH(D316,'#建筑消耗和buff配置索引'!A:A,0))),"")</f>
        <v/>
      </c>
      <c r="AA316" s="133">
        <f>INDEX('#建筑消耗和buff配置索引'!AO:AO,MATCH($F316,'#建筑消耗和buff配置索引'!$M:$M,0))</f>
        <v>1846</v>
      </c>
      <c r="AB316" s="133">
        <f>IF(INDEX('#建筑消耗和buff配置索引'!AR:AR,MATCH($F316,'#建筑消耗和buff配置索引'!$M:$M,0))=0,"",INDEX('#建筑消耗和buff配置索引'!AR:AR,MATCH($F316,'#建筑消耗和buff配置索引'!$M:$M,0)))</f>
        <v>2553</v>
      </c>
      <c r="AC316" s="133">
        <f>IF(AB316="","",INDEX('#建筑消耗和buff配置索引'!AS:AS,MATCH($F316,'#建筑消耗和buff配置索引'!$M:$M,0)))</f>
        <v>0.22</v>
      </c>
      <c r="AF316" s="133">
        <f>IF(INDEX('#建筑消耗和buff配置索引'!AW:AW,MATCH($F316,'#建筑消耗和buff配置索引'!$M:$M,0))=0,"",INDEX('#建筑消耗和buff配置索引'!AW:AW,MATCH($F316,'#建筑消耗和buff配置索引'!$M:$M,0)))</f>
        <v>2570</v>
      </c>
      <c r="AG316" s="133">
        <f>IF(AF316="","",INDEX('#建筑消耗和buff配置索引'!AX:AX,MATCH($F316,'#建筑消耗和buff配置索引'!$M:$M,0)))</f>
        <v>3</v>
      </c>
      <c r="AJ316" s="133" t="str">
        <f>IF(INDEX('#建筑消耗和buff配置索引'!BB:BB,MATCH($F316,'#建筑消耗和buff配置索引'!$M:$M,0))=0,"",INDEX('#建筑消耗和buff配置索引'!BB:BB,MATCH($F316,'#建筑消耗和buff配置索引'!$M:$M,0)))</f>
        <v/>
      </c>
      <c r="AK316" s="133" t="str">
        <f>IF(AJ316="","",INDEX('#建筑消耗和buff配置索引'!BC:BC,MATCH($F316,'#建筑消耗和buff配置索引'!$M:$M,0)))</f>
        <v/>
      </c>
      <c r="AN316" s="133" t="str">
        <f>IF(INDEX('#建筑消耗和buff配置索引'!BG:BG,MATCH($F316,'#建筑消耗和buff配置索引'!$M:$M,0))=0,"",INDEX('#建筑消耗和buff配置索引'!BG:BG,MATCH($F316,'#建筑消耗和buff配置索引'!$M:$M,0)))</f>
        <v/>
      </c>
      <c r="AO316" s="133" t="str">
        <f>IF(AN316="","",INDEX('#建筑消耗和buff配置索引'!BH:BH,MATCH($F316,'#建筑消耗和buff配置索引'!$M:$M,0)))</f>
        <v/>
      </c>
      <c r="AR316" s="133" t="str">
        <f>IF(INDEX('#建筑消耗和buff配置索引'!BK:BK,MATCH($F316,'#建筑消耗和buff配置索引'!$M:$M,0))=0,"",INDEX('#建筑消耗和buff配置索引'!BK:BK,MATCH($F316,'#建筑消耗和buff配置索引'!$M:$M,0)))</f>
        <v/>
      </c>
      <c r="AS316" s="133" t="str">
        <f>IF(AR316="","",INDEX('#建筑消耗和buff配置索引'!BL:BL,MATCH($F316,'#建筑消耗和buff配置索引'!$M:$M,0)))</f>
        <v/>
      </c>
      <c r="AV316" s="133" t="str">
        <f>IF(INDEX('#建筑消耗和buff配置索引'!BO:BO,MATCH($F316,'#建筑消耗和buff配置索引'!$M:$M,0))=0,"",INDEX('#建筑消耗和buff配置索引'!BO:BO,MATCH($F316,'#建筑消耗和buff配置索引'!$M:$M,0)))</f>
        <v/>
      </c>
      <c r="AW316" s="133" t="str">
        <f>IF(AV316="","",INDEX('#建筑消耗和buff配置索引'!BP:BP,MATCH($F316,'#建筑消耗和buff配置索引'!$M:$M,0)))</f>
        <v/>
      </c>
      <c r="AZ316" s="133" t="str">
        <f>IF(INDEX('#建筑消耗和buff配置索引'!BS:BS,MATCH($F316,'#建筑消耗和buff配置索引'!$M:$M,0))=0,"",INDEX('#建筑消耗和buff配置索引'!BS:BS,MATCH($F316,'#建筑消耗和buff配置索引'!$M:$M,0)))</f>
        <v/>
      </c>
      <c r="BA316" s="133" t="str">
        <f>IF(AZ316="","",INDEX('#建筑消耗和buff配置索引'!BT:BT,MATCH($F316,'#建筑消耗和buff配置索引'!$M:$M,0)))</f>
        <v/>
      </c>
      <c r="BD316" s="133" t="str">
        <f>IF(INDEX('#建筑消耗和buff配置索引'!BW:BW,MATCH($F316,'#建筑消耗和buff配置索引'!$M:$M,0))=0,"",INDEX('#建筑消耗和buff配置索引'!BW:BW,MATCH($F316,'#建筑消耗和buff配置索引'!$M:$M,0)))</f>
        <v/>
      </c>
      <c r="BE316" s="133" t="str">
        <f>IF(BD316="","",INDEX('#建筑消耗和buff配置索引'!BX:BX,MATCH($F316,'#建筑消耗和buff配置索引'!$M:$M,0)))</f>
        <v/>
      </c>
      <c r="BI316" s="133">
        <v>20</v>
      </c>
    </row>
    <row r="317" spans="1:61" s="133" customFormat="1">
      <c r="A317" s="133">
        <v>2260012</v>
      </c>
      <c r="B317" s="133">
        <v>314</v>
      </c>
      <c r="C317" s="133">
        <v>226</v>
      </c>
      <c r="D317" s="133" t="s">
        <v>469</v>
      </c>
      <c r="E317" s="133">
        <v>12</v>
      </c>
      <c r="F317" s="133" t="str">
        <f t="shared" si="6"/>
        <v>瞭望塔12</v>
      </c>
      <c r="H317" s="146"/>
      <c r="I317" s="133">
        <v>2</v>
      </c>
      <c r="J317" s="150">
        <f>INDEX('#建筑消耗和buff配置索引'!AH:AH,MATCH($F317,'#建筑消耗和buff配置索引'!$M:$M,0))</f>
        <v>8640</v>
      </c>
      <c r="K317" s="150">
        <f>INDEX('#建筑消耗和buff配置索引'!AA:AA,MATCH($F317,'#建筑消耗和buff配置索引'!$M:$M,0))</f>
        <v>100000</v>
      </c>
      <c r="L317" s="150">
        <f>INDEX('#建筑消耗和buff配置索引'!AB:AB,MATCH($F317,'#建筑消耗和buff配置索引'!$M:$M,0))</f>
        <v>200000</v>
      </c>
      <c r="M317" s="150">
        <f>INDEX('#建筑消耗和buff配置索引'!AC:AC,MATCH($F317,'#建筑消耗和buff配置索引'!$M:$M,0))</f>
        <v>100000</v>
      </c>
      <c r="N317" s="150">
        <f>INDEX('#建筑消耗和buff配置索引'!AD:AD,MATCH($F317,'#建筑消耗和buff配置索引'!$M:$M,0))</f>
        <v>100000</v>
      </c>
      <c r="O317" s="150" t="str">
        <f>IF(INDEX('#建筑消耗和buff配置索引'!T:T,MATCH($F317,'#建筑消耗和buff配置索引'!$M:$M,0))=0,"",INDEX('#建筑消耗和buff配置索引'!T:T,MATCH($F317,'#建筑消耗和buff配置索引'!$M:$M,0)))</f>
        <v/>
      </c>
      <c r="P317" s="133" t="str">
        <f>IF(INDEX('#建筑消耗和buff配置索引'!U:U,MATCH($F317,'#建筑消耗和buff配置索引'!$M:$M,0))=0,"",INDEX('#建筑消耗和buff配置索引'!U:U,MATCH($F317,'#建筑消耗和buff配置索引'!$M:$M,0)))</f>
        <v/>
      </c>
      <c r="Q317" s="133" t="str">
        <f>IF(INDEX('#建筑消耗和buff配置索引'!K:K,MATCH($F317,'#建筑消耗和buff配置索引'!$M:$M,0))=0,"",INDEX('#建筑消耗和buff配置索引'!K:K,MATCH($F317,'#建筑消耗和buff配置索引'!$M:$M,0)))</f>
        <v>201</v>
      </c>
      <c r="R317" s="133" t="str">
        <f>IF(INDEX('#建筑消耗和buff配置索引'!L:L,MATCH($F317,'#建筑消耗和buff配置索引'!$M:$M,0))=0,"",INDEX('#建筑消耗和buff配置索引'!L:L,MATCH($F317,'#建筑消耗和buff配置索引'!$M:$M,0)))</f>
        <v>12</v>
      </c>
      <c r="S317" s="133">
        <f>IF(INDEX('#建筑消耗和buff配置索引'!C:C,MATCH(F317,'#建筑消耗和buff配置索引'!M:M,0))=0,1,INDEX('#建筑消耗和buff配置索引'!C:C,MATCH(F317,'#建筑消耗和buff配置索引'!M:M,0)))</f>
        <v>1</v>
      </c>
      <c r="T317" s="133">
        <v>0</v>
      </c>
      <c r="U317" s="133">
        <v>0</v>
      </c>
      <c r="V317" s="133" t="str">
        <f>IF(E317=1,IF(INDEX('#建筑消耗和buff配置索引'!BY:BY,MATCH(D317,'#建筑消耗和buff配置索引'!A:A,0))=0,"",INDEX('#建筑消耗和buff配置索引'!BY:BY,MATCH(D317,'#建筑消耗和buff配置索引'!A:A,0))),"")</f>
        <v/>
      </c>
      <c r="W317" s="133" t="str">
        <f>IF(E317=1,IF(INDEX('#建筑消耗和buff配置索引'!BZ:BZ,MATCH(D317,'#建筑消耗和buff配置索引'!A:A,0))=0,"",INDEX('#建筑消耗和buff配置索引'!BZ:BZ,MATCH(D317,'#建筑消耗和buff配置索引'!A:A,0))),"")</f>
        <v/>
      </c>
      <c r="X317" s="156"/>
      <c r="Y317" s="156"/>
      <c r="Z317" s="156"/>
      <c r="AA317" s="133">
        <f>INDEX('#建筑消耗和buff配置索引'!AO:AO,MATCH($F317,'#建筑消耗和buff配置索引'!$M:$M,0))</f>
        <v>2849</v>
      </c>
      <c r="AB317" s="133">
        <f>IF(INDEX('#建筑消耗和buff配置索引'!AR:AR,MATCH($F317,'#建筑消耗和buff配置索引'!$M:$M,0))=0,"",INDEX('#建筑消耗和buff配置索引'!AR:AR,MATCH($F317,'#建筑消耗和buff配置索引'!$M:$M,0)))</f>
        <v>2553</v>
      </c>
      <c r="AC317" s="133">
        <f>IF(AB317="","",INDEX('#建筑消耗和buff配置索引'!AS:AS,MATCH($F317,'#建筑消耗和buff配置索引'!$M:$M,0)))</f>
        <v>0.24</v>
      </c>
      <c r="AF317" s="133">
        <f>IF(INDEX('#建筑消耗和buff配置索引'!AW:AW,MATCH($F317,'#建筑消耗和buff配置索引'!$M:$M,0))=0,"",INDEX('#建筑消耗和buff配置索引'!AW:AW,MATCH($F317,'#建筑消耗和buff配置索引'!$M:$M,0)))</f>
        <v>2570</v>
      </c>
      <c r="AG317" s="133">
        <f>IF(AF317="","",INDEX('#建筑消耗和buff配置索引'!AX:AX,MATCH($F317,'#建筑消耗和buff配置索引'!$M:$M,0)))</f>
        <v>3</v>
      </c>
      <c r="AJ317" s="133" t="str">
        <f>IF(INDEX('#建筑消耗和buff配置索引'!BB:BB,MATCH($F317,'#建筑消耗和buff配置索引'!$M:$M,0))=0,"",INDEX('#建筑消耗和buff配置索引'!BB:BB,MATCH($F317,'#建筑消耗和buff配置索引'!$M:$M,0)))</f>
        <v/>
      </c>
      <c r="AK317" s="133" t="str">
        <f>IF(AJ317="","",INDEX('#建筑消耗和buff配置索引'!BC:BC,MATCH($F317,'#建筑消耗和buff配置索引'!$M:$M,0)))</f>
        <v/>
      </c>
      <c r="AN317" s="133" t="str">
        <f>IF(INDEX('#建筑消耗和buff配置索引'!BG:BG,MATCH($F317,'#建筑消耗和buff配置索引'!$M:$M,0))=0,"",INDEX('#建筑消耗和buff配置索引'!BG:BG,MATCH($F317,'#建筑消耗和buff配置索引'!$M:$M,0)))</f>
        <v/>
      </c>
      <c r="AO317" s="133" t="str">
        <f>IF(AN317="","",INDEX('#建筑消耗和buff配置索引'!BH:BH,MATCH($F317,'#建筑消耗和buff配置索引'!$M:$M,0)))</f>
        <v/>
      </c>
      <c r="AR317" s="133" t="str">
        <f>IF(INDEX('#建筑消耗和buff配置索引'!BK:BK,MATCH($F317,'#建筑消耗和buff配置索引'!$M:$M,0))=0,"",INDEX('#建筑消耗和buff配置索引'!BK:BK,MATCH($F317,'#建筑消耗和buff配置索引'!$M:$M,0)))</f>
        <v/>
      </c>
      <c r="AS317" s="133" t="str">
        <f>IF(AR317="","",INDEX('#建筑消耗和buff配置索引'!BL:BL,MATCH($F317,'#建筑消耗和buff配置索引'!$M:$M,0)))</f>
        <v/>
      </c>
      <c r="AV317" s="133" t="str">
        <f>IF(INDEX('#建筑消耗和buff配置索引'!BO:BO,MATCH($F317,'#建筑消耗和buff配置索引'!$M:$M,0))=0,"",INDEX('#建筑消耗和buff配置索引'!BO:BO,MATCH($F317,'#建筑消耗和buff配置索引'!$M:$M,0)))</f>
        <v/>
      </c>
      <c r="AW317" s="133" t="str">
        <f>IF(AV317="","",INDEX('#建筑消耗和buff配置索引'!BP:BP,MATCH($F317,'#建筑消耗和buff配置索引'!$M:$M,0)))</f>
        <v/>
      </c>
      <c r="AZ317" s="133" t="str">
        <f>IF(INDEX('#建筑消耗和buff配置索引'!BS:BS,MATCH($F317,'#建筑消耗和buff配置索引'!$M:$M,0))=0,"",INDEX('#建筑消耗和buff配置索引'!BS:BS,MATCH($F317,'#建筑消耗和buff配置索引'!$M:$M,0)))</f>
        <v/>
      </c>
      <c r="BA317" s="133" t="str">
        <f>IF(AZ317="","",INDEX('#建筑消耗和buff配置索引'!BT:BT,MATCH($F317,'#建筑消耗和buff配置索引'!$M:$M,0)))</f>
        <v/>
      </c>
      <c r="BD317" s="133" t="str">
        <f>IF(INDEX('#建筑消耗和buff配置索引'!BW:BW,MATCH($F317,'#建筑消耗和buff配置索引'!$M:$M,0))=0,"",INDEX('#建筑消耗和buff配置索引'!BW:BW,MATCH($F317,'#建筑消耗和buff配置索引'!$M:$M,0)))</f>
        <v/>
      </c>
      <c r="BE317" s="133" t="str">
        <f>IF(BD317="","",INDEX('#建筑消耗和buff配置索引'!BX:BX,MATCH($F317,'#建筑消耗和buff配置索引'!$M:$M,0)))</f>
        <v/>
      </c>
      <c r="BI317" s="133">
        <v>20</v>
      </c>
    </row>
    <row r="318" spans="1:61" s="133" customFormat="1">
      <c r="A318" s="133">
        <v>2260013</v>
      </c>
      <c r="B318" s="133">
        <v>315</v>
      </c>
      <c r="C318" s="133">
        <v>226</v>
      </c>
      <c r="D318" s="133" t="s">
        <v>469</v>
      </c>
      <c r="E318" s="133">
        <v>13</v>
      </c>
      <c r="F318" s="133" t="str">
        <f t="shared" si="6"/>
        <v>瞭望塔13</v>
      </c>
      <c r="H318" s="146"/>
      <c r="I318" s="133">
        <v>2</v>
      </c>
      <c r="J318" s="150">
        <f>INDEX('#建筑消耗和buff配置索引'!AH:AH,MATCH($F318,'#建筑消耗和buff配置索引'!$M:$M,0))</f>
        <v>11520</v>
      </c>
      <c r="K318" s="150">
        <f>INDEX('#建筑消耗和buff配置索引'!AA:AA,MATCH($F318,'#建筑消耗和buff配置索引'!$M:$M,0))</f>
        <v>140000</v>
      </c>
      <c r="L318" s="150">
        <f>INDEX('#建筑消耗和buff配置索引'!AB:AB,MATCH($F318,'#建筑消耗和buff配置索引'!$M:$M,0))</f>
        <v>270000</v>
      </c>
      <c r="M318" s="150">
        <f>INDEX('#建筑消耗和buff配置索引'!AC:AC,MATCH($F318,'#建筑消耗和buff配置索引'!$M:$M,0))</f>
        <v>140000</v>
      </c>
      <c r="N318" s="150">
        <f>INDEX('#建筑消耗和buff配置索引'!AD:AD,MATCH($F318,'#建筑消耗和buff配置索引'!$M:$M,0))</f>
        <v>140000</v>
      </c>
      <c r="O318" s="150" t="str">
        <f>IF(INDEX('#建筑消耗和buff配置索引'!T:T,MATCH($F318,'#建筑消耗和buff配置索引'!$M:$M,0))=0,"",INDEX('#建筑消耗和buff配置索引'!T:T,MATCH($F318,'#建筑消耗和buff配置索引'!$M:$M,0)))</f>
        <v/>
      </c>
      <c r="P318" s="133" t="str">
        <f>IF(INDEX('#建筑消耗和buff配置索引'!U:U,MATCH($F318,'#建筑消耗和buff配置索引'!$M:$M,0))=0,"",INDEX('#建筑消耗和buff配置索引'!U:U,MATCH($F318,'#建筑消耗和buff配置索引'!$M:$M,0)))</f>
        <v/>
      </c>
      <c r="Q318" s="133" t="str">
        <f>IF(INDEX('#建筑消耗和buff配置索引'!K:K,MATCH($F318,'#建筑消耗和buff配置索引'!$M:$M,0))=0,"",INDEX('#建筑消耗和buff配置索引'!K:K,MATCH($F318,'#建筑消耗和buff配置索引'!$M:$M,0)))</f>
        <v>201</v>
      </c>
      <c r="R318" s="133" t="str">
        <f>IF(INDEX('#建筑消耗和buff配置索引'!L:L,MATCH($F318,'#建筑消耗和buff配置索引'!$M:$M,0))=0,"",INDEX('#建筑消耗和buff配置索引'!L:L,MATCH($F318,'#建筑消耗和buff配置索引'!$M:$M,0)))</f>
        <v>13</v>
      </c>
      <c r="S318" s="133">
        <f>IF(INDEX('#建筑消耗和buff配置索引'!C:C,MATCH(F318,'#建筑消耗和buff配置索引'!M:M,0))=0,1,INDEX('#建筑消耗和buff配置索引'!C:C,MATCH(F318,'#建筑消耗和buff配置索引'!M:M,0)))</f>
        <v>1</v>
      </c>
      <c r="T318" s="133">
        <v>0</v>
      </c>
      <c r="U318" s="133">
        <v>0</v>
      </c>
      <c r="V318" s="133" t="str">
        <f>IF(E318=1,IF(INDEX('#建筑消耗和buff配置索引'!BY:BY,MATCH(D318,'#建筑消耗和buff配置索引'!A:A,0))=0,"",INDEX('#建筑消耗和buff配置索引'!BY:BY,MATCH(D318,'#建筑消耗和buff配置索引'!A:A,0))),"")</f>
        <v/>
      </c>
      <c r="W318" s="133" t="str">
        <f>IF(E318=1,IF(INDEX('#建筑消耗和buff配置索引'!BZ:BZ,MATCH(D318,'#建筑消耗和buff配置索引'!A:A,0))=0,"",INDEX('#建筑消耗和buff配置索引'!BZ:BZ,MATCH(D318,'#建筑消耗和buff配置索引'!A:A,0))),"")</f>
        <v/>
      </c>
      <c r="AA318" s="133">
        <f>INDEX('#建筑消耗和buff配置索引'!AO:AO,MATCH($F318,'#建筑消耗和buff配置索引'!$M:$M,0))</f>
        <v>4222</v>
      </c>
      <c r="AB318" s="133">
        <f>IF(INDEX('#建筑消耗和buff配置索引'!AR:AR,MATCH($F318,'#建筑消耗和buff配置索引'!$M:$M,0))=0,"",INDEX('#建筑消耗和buff配置索引'!AR:AR,MATCH($F318,'#建筑消耗和buff配置索引'!$M:$M,0)))</f>
        <v>2553</v>
      </c>
      <c r="AC318" s="133">
        <f>IF(AB318="","",INDEX('#建筑消耗和buff配置索引'!AS:AS,MATCH($F318,'#建筑消耗和buff配置索引'!$M:$M,0)))</f>
        <v>0.26</v>
      </c>
      <c r="AF318" s="133">
        <f>IF(INDEX('#建筑消耗和buff配置索引'!AW:AW,MATCH($F318,'#建筑消耗和buff配置索引'!$M:$M,0))=0,"",INDEX('#建筑消耗和buff配置索引'!AW:AW,MATCH($F318,'#建筑消耗和buff配置索引'!$M:$M,0)))</f>
        <v>2570</v>
      </c>
      <c r="AG318" s="133">
        <f>IF(AF318="","",INDEX('#建筑消耗和buff配置索引'!AX:AX,MATCH($F318,'#建筑消耗和buff配置索引'!$M:$M,0)))</f>
        <v>3</v>
      </c>
      <c r="AJ318" s="133" t="str">
        <f>IF(INDEX('#建筑消耗和buff配置索引'!BB:BB,MATCH($F318,'#建筑消耗和buff配置索引'!$M:$M,0))=0,"",INDEX('#建筑消耗和buff配置索引'!BB:BB,MATCH($F318,'#建筑消耗和buff配置索引'!$M:$M,0)))</f>
        <v/>
      </c>
      <c r="AK318" s="133" t="str">
        <f>IF(AJ318="","",INDEX('#建筑消耗和buff配置索引'!BC:BC,MATCH($F318,'#建筑消耗和buff配置索引'!$M:$M,0)))</f>
        <v/>
      </c>
      <c r="AN318" s="133" t="str">
        <f>IF(INDEX('#建筑消耗和buff配置索引'!BG:BG,MATCH($F318,'#建筑消耗和buff配置索引'!$M:$M,0))=0,"",INDEX('#建筑消耗和buff配置索引'!BG:BG,MATCH($F318,'#建筑消耗和buff配置索引'!$M:$M,0)))</f>
        <v/>
      </c>
      <c r="AO318" s="133" t="str">
        <f>IF(AN318="","",INDEX('#建筑消耗和buff配置索引'!BH:BH,MATCH($F318,'#建筑消耗和buff配置索引'!$M:$M,0)))</f>
        <v/>
      </c>
      <c r="AR318" s="133" t="str">
        <f>IF(INDEX('#建筑消耗和buff配置索引'!BK:BK,MATCH($F318,'#建筑消耗和buff配置索引'!$M:$M,0))=0,"",INDEX('#建筑消耗和buff配置索引'!BK:BK,MATCH($F318,'#建筑消耗和buff配置索引'!$M:$M,0)))</f>
        <v/>
      </c>
      <c r="AS318" s="133" t="str">
        <f>IF(AR318="","",INDEX('#建筑消耗和buff配置索引'!BL:BL,MATCH($F318,'#建筑消耗和buff配置索引'!$M:$M,0)))</f>
        <v/>
      </c>
      <c r="AV318" s="133" t="str">
        <f>IF(INDEX('#建筑消耗和buff配置索引'!BO:BO,MATCH($F318,'#建筑消耗和buff配置索引'!$M:$M,0))=0,"",INDEX('#建筑消耗和buff配置索引'!BO:BO,MATCH($F318,'#建筑消耗和buff配置索引'!$M:$M,0)))</f>
        <v/>
      </c>
      <c r="AW318" s="133" t="str">
        <f>IF(AV318="","",INDEX('#建筑消耗和buff配置索引'!BP:BP,MATCH($F318,'#建筑消耗和buff配置索引'!$M:$M,0)))</f>
        <v/>
      </c>
      <c r="AZ318" s="133" t="str">
        <f>IF(INDEX('#建筑消耗和buff配置索引'!BS:BS,MATCH($F318,'#建筑消耗和buff配置索引'!$M:$M,0))=0,"",INDEX('#建筑消耗和buff配置索引'!BS:BS,MATCH($F318,'#建筑消耗和buff配置索引'!$M:$M,0)))</f>
        <v/>
      </c>
      <c r="BA318" s="133" t="str">
        <f>IF(AZ318="","",INDEX('#建筑消耗和buff配置索引'!BT:BT,MATCH($F318,'#建筑消耗和buff配置索引'!$M:$M,0)))</f>
        <v/>
      </c>
      <c r="BD318" s="133" t="str">
        <f>IF(INDEX('#建筑消耗和buff配置索引'!BW:BW,MATCH($F318,'#建筑消耗和buff配置索引'!$M:$M,0))=0,"",INDEX('#建筑消耗和buff配置索引'!BW:BW,MATCH($F318,'#建筑消耗和buff配置索引'!$M:$M,0)))</f>
        <v/>
      </c>
      <c r="BE318" s="133" t="str">
        <f>IF(BD318="","",INDEX('#建筑消耗和buff配置索引'!BX:BX,MATCH($F318,'#建筑消耗和buff配置索引'!$M:$M,0)))</f>
        <v/>
      </c>
      <c r="BI318" s="133">
        <v>20</v>
      </c>
    </row>
    <row r="319" spans="1:61" s="133" customFormat="1">
      <c r="A319" s="133">
        <v>2260014</v>
      </c>
      <c r="B319" s="133">
        <v>316</v>
      </c>
      <c r="C319" s="133">
        <v>226</v>
      </c>
      <c r="D319" s="133" t="s">
        <v>469</v>
      </c>
      <c r="E319" s="133">
        <v>14</v>
      </c>
      <c r="F319" s="133" t="str">
        <f t="shared" si="6"/>
        <v>瞭望塔14</v>
      </c>
      <c r="H319" s="146"/>
      <c r="I319" s="133">
        <v>2</v>
      </c>
      <c r="J319" s="150">
        <f>INDEX('#建筑消耗和buff配置索引'!AH:AH,MATCH($F319,'#建筑消耗和buff配置索引'!$M:$M,0))</f>
        <v>14400</v>
      </c>
      <c r="K319" s="150">
        <f>INDEX('#建筑消耗和buff配置索引'!AA:AA,MATCH($F319,'#建筑消耗和buff配置索引'!$M:$M,0))</f>
        <v>180000</v>
      </c>
      <c r="L319" s="150">
        <f>INDEX('#建筑消耗和buff配置索引'!AB:AB,MATCH($F319,'#建筑消耗和buff配置索引'!$M:$M,0))</f>
        <v>360000</v>
      </c>
      <c r="M319" s="150">
        <f>INDEX('#建筑消耗和buff配置索引'!AC:AC,MATCH($F319,'#建筑消耗和buff配置索引'!$M:$M,0))</f>
        <v>180000</v>
      </c>
      <c r="N319" s="150">
        <f>INDEX('#建筑消耗和buff配置索引'!AD:AD,MATCH($F319,'#建筑消耗和buff配置索引'!$M:$M,0))</f>
        <v>180000</v>
      </c>
      <c r="O319" s="150" t="str">
        <f>IF(INDEX('#建筑消耗和buff配置索引'!T:T,MATCH($F319,'#建筑消耗和buff配置索引'!$M:$M,0))=0,"",INDEX('#建筑消耗和buff配置索引'!T:T,MATCH($F319,'#建筑消耗和buff配置索引'!$M:$M,0)))</f>
        <v/>
      </c>
      <c r="P319" s="133" t="str">
        <f>IF(INDEX('#建筑消耗和buff配置索引'!U:U,MATCH($F319,'#建筑消耗和buff配置索引'!$M:$M,0))=0,"",INDEX('#建筑消耗和buff配置索引'!U:U,MATCH($F319,'#建筑消耗和buff配置索引'!$M:$M,0)))</f>
        <v/>
      </c>
      <c r="Q319" s="133" t="str">
        <f>IF(INDEX('#建筑消耗和buff配置索引'!K:K,MATCH($F319,'#建筑消耗和buff配置索引'!$M:$M,0))=0,"",INDEX('#建筑消耗和buff配置索引'!K:K,MATCH($F319,'#建筑消耗和buff配置索引'!$M:$M,0)))</f>
        <v>201</v>
      </c>
      <c r="R319" s="133" t="str">
        <f>IF(INDEX('#建筑消耗和buff配置索引'!L:L,MATCH($F319,'#建筑消耗和buff配置索引'!$M:$M,0))=0,"",INDEX('#建筑消耗和buff配置索引'!L:L,MATCH($F319,'#建筑消耗和buff配置索引'!$M:$M,0)))</f>
        <v>14</v>
      </c>
      <c r="S319" s="133">
        <f>IF(INDEX('#建筑消耗和buff配置索引'!C:C,MATCH(F319,'#建筑消耗和buff配置索引'!M:M,0))=0,1,INDEX('#建筑消耗和buff配置索引'!C:C,MATCH(F319,'#建筑消耗和buff配置索引'!M:M,0)))</f>
        <v>1</v>
      </c>
      <c r="T319" s="133">
        <v>0</v>
      </c>
      <c r="U319" s="133">
        <v>0</v>
      </c>
      <c r="V319" s="133" t="str">
        <f>IF(E319=1,IF(INDEX('#建筑消耗和buff配置索引'!BY:BY,MATCH(D319,'#建筑消耗和buff配置索引'!A:A,0))=0,"",INDEX('#建筑消耗和buff配置索引'!BY:BY,MATCH(D319,'#建筑消耗和buff配置索引'!A:A,0))),"")</f>
        <v/>
      </c>
      <c r="W319" s="133" t="str">
        <f>IF(E319=1,IF(INDEX('#建筑消耗和buff配置索引'!BZ:BZ,MATCH(D319,'#建筑消耗和buff配置索引'!A:A,0))=0,"",INDEX('#建筑消耗和buff配置索引'!BZ:BZ,MATCH(D319,'#建筑消耗和buff配置索引'!A:A,0))),"")</f>
        <v/>
      </c>
      <c r="X319" s="156"/>
      <c r="Y319" s="156"/>
      <c r="Z319" s="156"/>
      <c r="AA319" s="133">
        <f>INDEX('#建筑消耗和buff配置索引'!AO:AO,MATCH($F319,'#建筑消耗和buff配置索引'!$M:$M,0))</f>
        <v>6007</v>
      </c>
      <c r="AB319" s="133">
        <f>IF(INDEX('#建筑消耗和buff配置索引'!AR:AR,MATCH($F319,'#建筑消耗和buff配置索引'!$M:$M,0))=0,"",INDEX('#建筑消耗和buff配置索引'!AR:AR,MATCH($F319,'#建筑消耗和buff配置索引'!$M:$M,0)))</f>
        <v>2553</v>
      </c>
      <c r="AC319" s="133">
        <f>IF(AB319="","",INDEX('#建筑消耗和buff配置索引'!AS:AS,MATCH($F319,'#建筑消耗和buff配置索引'!$M:$M,0)))</f>
        <v>0.28000000000000003</v>
      </c>
      <c r="AF319" s="133">
        <f>IF(INDEX('#建筑消耗和buff配置索引'!AW:AW,MATCH($F319,'#建筑消耗和buff配置索引'!$M:$M,0))=0,"",INDEX('#建筑消耗和buff配置索引'!AW:AW,MATCH($F319,'#建筑消耗和buff配置索引'!$M:$M,0)))</f>
        <v>2570</v>
      </c>
      <c r="AG319" s="133">
        <f>IF(AF319="","",INDEX('#建筑消耗和buff配置索引'!AX:AX,MATCH($F319,'#建筑消耗和buff配置索引'!$M:$M,0)))</f>
        <v>3</v>
      </c>
      <c r="AJ319" s="133" t="str">
        <f>IF(INDEX('#建筑消耗和buff配置索引'!BB:BB,MATCH($F319,'#建筑消耗和buff配置索引'!$M:$M,0))=0,"",INDEX('#建筑消耗和buff配置索引'!BB:BB,MATCH($F319,'#建筑消耗和buff配置索引'!$M:$M,0)))</f>
        <v/>
      </c>
      <c r="AK319" s="133" t="str">
        <f>IF(AJ319="","",INDEX('#建筑消耗和buff配置索引'!BC:BC,MATCH($F319,'#建筑消耗和buff配置索引'!$M:$M,0)))</f>
        <v/>
      </c>
      <c r="AN319" s="133" t="str">
        <f>IF(INDEX('#建筑消耗和buff配置索引'!BG:BG,MATCH($F319,'#建筑消耗和buff配置索引'!$M:$M,0))=0,"",INDEX('#建筑消耗和buff配置索引'!BG:BG,MATCH($F319,'#建筑消耗和buff配置索引'!$M:$M,0)))</f>
        <v/>
      </c>
      <c r="AO319" s="133" t="str">
        <f>IF(AN319="","",INDEX('#建筑消耗和buff配置索引'!BH:BH,MATCH($F319,'#建筑消耗和buff配置索引'!$M:$M,0)))</f>
        <v/>
      </c>
      <c r="AR319" s="133" t="str">
        <f>IF(INDEX('#建筑消耗和buff配置索引'!BK:BK,MATCH($F319,'#建筑消耗和buff配置索引'!$M:$M,0))=0,"",INDEX('#建筑消耗和buff配置索引'!BK:BK,MATCH($F319,'#建筑消耗和buff配置索引'!$M:$M,0)))</f>
        <v/>
      </c>
      <c r="AS319" s="133" t="str">
        <f>IF(AR319="","",INDEX('#建筑消耗和buff配置索引'!BL:BL,MATCH($F319,'#建筑消耗和buff配置索引'!$M:$M,0)))</f>
        <v/>
      </c>
      <c r="AV319" s="133" t="str">
        <f>IF(INDEX('#建筑消耗和buff配置索引'!BO:BO,MATCH($F319,'#建筑消耗和buff配置索引'!$M:$M,0))=0,"",INDEX('#建筑消耗和buff配置索引'!BO:BO,MATCH($F319,'#建筑消耗和buff配置索引'!$M:$M,0)))</f>
        <v/>
      </c>
      <c r="AW319" s="133" t="str">
        <f>IF(AV319="","",INDEX('#建筑消耗和buff配置索引'!BP:BP,MATCH($F319,'#建筑消耗和buff配置索引'!$M:$M,0)))</f>
        <v/>
      </c>
      <c r="AZ319" s="133" t="str">
        <f>IF(INDEX('#建筑消耗和buff配置索引'!BS:BS,MATCH($F319,'#建筑消耗和buff配置索引'!$M:$M,0))=0,"",INDEX('#建筑消耗和buff配置索引'!BS:BS,MATCH($F319,'#建筑消耗和buff配置索引'!$M:$M,0)))</f>
        <v/>
      </c>
      <c r="BA319" s="133" t="str">
        <f>IF(AZ319="","",INDEX('#建筑消耗和buff配置索引'!BT:BT,MATCH($F319,'#建筑消耗和buff配置索引'!$M:$M,0)))</f>
        <v/>
      </c>
      <c r="BD319" s="133" t="str">
        <f>IF(INDEX('#建筑消耗和buff配置索引'!BW:BW,MATCH($F319,'#建筑消耗和buff配置索引'!$M:$M,0))=0,"",INDEX('#建筑消耗和buff配置索引'!BW:BW,MATCH($F319,'#建筑消耗和buff配置索引'!$M:$M,0)))</f>
        <v/>
      </c>
      <c r="BE319" s="133" t="str">
        <f>IF(BD319="","",INDEX('#建筑消耗和buff配置索引'!BX:BX,MATCH($F319,'#建筑消耗和buff配置索引'!$M:$M,0)))</f>
        <v/>
      </c>
      <c r="BI319" s="133">
        <v>20</v>
      </c>
    </row>
    <row r="320" spans="1:61" s="133" customFormat="1">
      <c r="A320" s="133">
        <v>2260015</v>
      </c>
      <c r="B320" s="133">
        <v>317</v>
      </c>
      <c r="C320" s="133">
        <v>226</v>
      </c>
      <c r="D320" s="133" t="s">
        <v>469</v>
      </c>
      <c r="E320" s="133">
        <v>15</v>
      </c>
      <c r="F320" s="133" t="str">
        <f t="shared" si="6"/>
        <v>瞭望塔15</v>
      </c>
      <c r="H320" s="146"/>
      <c r="I320" s="133">
        <v>2</v>
      </c>
      <c r="J320" s="150">
        <f>INDEX('#建筑消耗和buff配置索引'!AH:AH,MATCH($F320,'#建筑消耗和buff配置索引'!$M:$M,0))</f>
        <v>17280</v>
      </c>
      <c r="K320" s="150">
        <f>INDEX('#建筑消耗和buff配置索引'!AA:AA,MATCH($F320,'#建筑消耗和buff配置索引'!$M:$M,0))</f>
        <v>230000</v>
      </c>
      <c r="L320" s="150">
        <f>INDEX('#建筑消耗和buff配置索引'!AB:AB,MATCH($F320,'#建筑消耗和buff配置索引'!$M:$M,0))</f>
        <v>460000</v>
      </c>
      <c r="M320" s="150">
        <f>INDEX('#建筑消耗和buff配置索引'!AC:AC,MATCH($F320,'#建筑消耗和buff配置索引'!$M:$M,0))</f>
        <v>230000</v>
      </c>
      <c r="N320" s="150">
        <f>INDEX('#建筑消耗和buff配置索引'!AD:AD,MATCH($F320,'#建筑消耗和buff配置索引'!$M:$M,0))</f>
        <v>230000</v>
      </c>
      <c r="O320" s="150" t="str">
        <f>IF(INDEX('#建筑消耗和buff配置索引'!T:T,MATCH($F320,'#建筑消耗和buff配置索引'!$M:$M,0))=0,"",INDEX('#建筑消耗和buff配置索引'!T:T,MATCH($F320,'#建筑消耗和buff配置索引'!$M:$M,0)))</f>
        <v/>
      </c>
      <c r="P320" s="133" t="str">
        <f>IF(INDEX('#建筑消耗和buff配置索引'!U:U,MATCH($F320,'#建筑消耗和buff配置索引'!$M:$M,0))=0,"",INDEX('#建筑消耗和buff配置索引'!U:U,MATCH($F320,'#建筑消耗和buff配置索引'!$M:$M,0)))</f>
        <v/>
      </c>
      <c r="Q320" s="133" t="str">
        <f>IF(INDEX('#建筑消耗和buff配置索引'!K:K,MATCH($F320,'#建筑消耗和buff配置索引'!$M:$M,0))=0,"",INDEX('#建筑消耗和buff配置索引'!K:K,MATCH($F320,'#建筑消耗和buff配置索引'!$M:$M,0)))</f>
        <v>201</v>
      </c>
      <c r="R320" s="133" t="str">
        <f>IF(INDEX('#建筑消耗和buff配置索引'!L:L,MATCH($F320,'#建筑消耗和buff配置索引'!$M:$M,0))=0,"",INDEX('#建筑消耗和buff配置索引'!L:L,MATCH($F320,'#建筑消耗和buff配置索引'!$M:$M,0)))</f>
        <v>15</v>
      </c>
      <c r="S320" s="133">
        <f>IF(INDEX('#建筑消耗和buff配置索引'!C:C,MATCH(F320,'#建筑消耗和buff配置索引'!M:M,0))=0,1,INDEX('#建筑消耗和buff配置索引'!C:C,MATCH(F320,'#建筑消耗和buff配置索引'!M:M,0)))</f>
        <v>1</v>
      </c>
      <c r="T320" s="133">
        <v>0</v>
      </c>
      <c r="U320" s="133">
        <v>0</v>
      </c>
      <c r="V320" s="133" t="str">
        <f>IF(E320=1,IF(INDEX('#建筑消耗和buff配置索引'!BY:BY,MATCH(D320,'#建筑消耗和buff配置索引'!A:A,0))=0,"",INDEX('#建筑消耗和buff配置索引'!BY:BY,MATCH(D320,'#建筑消耗和buff配置索引'!A:A,0))),"")</f>
        <v/>
      </c>
      <c r="W320" s="133" t="str">
        <f>IF(E320=1,IF(INDEX('#建筑消耗和buff配置索引'!BZ:BZ,MATCH(D320,'#建筑消耗和buff配置索引'!A:A,0))=0,"",INDEX('#建筑消耗和buff配置索引'!BZ:BZ,MATCH(D320,'#建筑消耗和buff配置索引'!A:A,0))),"")</f>
        <v/>
      </c>
      <c r="AA320" s="133">
        <f>INDEX('#建筑消耗和buff配置索引'!AO:AO,MATCH($F320,'#建筑消耗和buff配置索引'!$M:$M,0))</f>
        <v>8293</v>
      </c>
      <c r="AB320" s="133">
        <f>IF(INDEX('#建筑消耗和buff配置索引'!AR:AR,MATCH($F320,'#建筑消耗和buff配置索引'!$M:$M,0))=0,"",INDEX('#建筑消耗和buff配置索引'!AR:AR,MATCH($F320,'#建筑消耗和buff配置索引'!$M:$M,0)))</f>
        <v>2553</v>
      </c>
      <c r="AC320" s="133">
        <f>IF(AB320="","",INDEX('#建筑消耗和buff配置索引'!AS:AS,MATCH($F320,'#建筑消耗和buff配置索引'!$M:$M,0)))</f>
        <v>0.3</v>
      </c>
      <c r="AF320" s="133">
        <f>IF(INDEX('#建筑消耗和buff配置索引'!AW:AW,MATCH($F320,'#建筑消耗和buff配置索引'!$M:$M,0))=0,"",INDEX('#建筑消耗和buff配置索引'!AW:AW,MATCH($F320,'#建筑消耗和buff配置索引'!$M:$M,0)))</f>
        <v>2570</v>
      </c>
      <c r="AG320" s="133">
        <f>IF(AF320="","",INDEX('#建筑消耗和buff配置索引'!AX:AX,MATCH($F320,'#建筑消耗和buff配置索引'!$M:$M,0)))</f>
        <v>3</v>
      </c>
      <c r="AJ320" s="133" t="str">
        <f>IF(INDEX('#建筑消耗和buff配置索引'!BB:BB,MATCH($F320,'#建筑消耗和buff配置索引'!$M:$M,0))=0,"",INDEX('#建筑消耗和buff配置索引'!BB:BB,MATCH($F320,'#建筑消耗和buff配置索引'!$M:$M,0)))</f>
        <v/>
      </c>
      <c r="AK320" s="133" t="str">
        <f>IF(AJ320="","",INDEX('#建筑消耗和buff配置索引'!BC:BC,MATCH($F320,'#建筑消耗和buff配置索引'!$M:$M,0)))</f>
        <v/>
      </c>
      <c r="AN320" s="133" t="str">
        <f>IF(INDEX('#建筑消耗和buff配置索引'!BG:BG,MATCH($F320,'#建筑消耗和buff配置索引'!$M:$M,0))=0,"",INDEX('#建筑消耗和buff配置索引'!BG:BG,MATCH($F320,'#建筑消耗和buff配置索引'!$M:$M,0)))</f>
        <v/>
      </c>
      <c r="AO320" s="133" t="str">
        <f>IF(AN320="","",INDEX('#建筑消耗和buff配置索引'!BH:BH,MATCH($F320,'#建筑消耗和buff配置索引'!$M:$M,0)))</f>
        <v/>
      </c>
      <c r="AR320" s="133" t="str">
        <f>IF(INDEX('#建筑消耗和buff配置索引'!BK:BK,MATCH($F320,'#建筑消耗和buff配置索引'!$M:$M,0))=0,"",INDEX('#建筑消耗和buff配置索引'!BK:BK,MATCH($F320,'#建筑消耗和buff配置索引'!$M:$M,0)))</f>
        <v/>
      </c>
      <c r="AS320" s="133" t="str">
        <f>IF(AR320="","",INDEX('#建筑消耗和buff配置索引'!BL:BL,MATCH($F320,'#建筑消耗和buff配置索引'!$M:$M,0)))</f>
        <v/>
      </c>
      <c r="AV320" s="133" t="str">
        <f>IF(INDEX('#建筑消耗和buff配置索引'!BO:BO,MATCH($F320,'#建筑消耗和buff配置索引'!$M:$M,0))=0,"",INDEX('#建筑消耗和buff配置索引'!BO:BO,MATCH($F320,'#建筑消耗和buff配置索引'!$M:$M,0)))</f>
        <v/>
      </c>
      <c r="AW320" s="133" t="str">
        <f>IF(AV320="","",INDEX('#建筑消耗和buff配置索引'!BP:BP,MATCH($F320,'#建筑消耗和buff配置索引'!$M:$M,0)))</f>
        <v/>
      </c>
      <c r="AZ320" s="133" t="str">
        <f>IF(INDEX('#建筑消耗和buff配置索引'!BS:BS,MATCH($F320,'#建筑消耗和buff配置索引'!$M:$M,0))=0,"",INDEX('#建筑消耗和buff配置索引'!BS:BS,MATCH($F320,'#建筑消耗和buff配置索引'!$M:$M,0)))</f>
        <v/>
      </c>
      <c r="BA320" s="133" t="str">
        <f>IF(AZ320="","",INDEX('#建筑消耗和buff配置索引'!BT:BT,MATCH($F320,'#建筑消耗和buff配置索引'!$M:$M,0)))</f>
        <v/>
      </c>
      <c r="BD320" s="133" t="str">
        <f>IF(INDEX('#建筑消耗和buff配置索引'!BW:BW,MATCH($F320,'#建筑消耗和buff配置索引'!$M:$M,0))=0,"",INDEX('#建筑消耗和buff配置索引'!BW:BW,MATCH($F320,'#建筑消耗和buff配置索引'!$M:$M,0)))</f>
        <v/>
      </c>
      <c r="BE320" s="133" t="str">
        <f>IF(BD320="","",INDEX('#建筑消耗和buff配置索引'!BX:BX,MATCH($F320,'#建筑消耗和buff配置索引'!$M:$M,0)))</f>
        <v/>
      </c>
      <c r="BI320" s="133">
        <v>20</v>
      </c>
    </row>
    <row r="321" spans="1:61" s="133" customFormat="1">
      <c r="A321" s="133">
        <v>2260016</v>
      </c>
      <c r="B321" s="133">
        <v>318</v>
      </c>
      <c r="C321" s="133">
        <v>226</v>
      </c>
      <c r="D321" s="133" t="s">
        <v>469</v>
      </c>
      <c r="E321" s="133">
        <v>16</v>
      </c>
      <c r="F321" s="133" t="str">
        <f t="shared" si="6"/>
        <v>瞭望塔16</v>
      </c>
      <c r="H321" s="146"/>
      <c r="I321" s="133">
        <v>2</v>
      </c>
      <c r="J321" s="150">
        <f>INDEX('#建筑消耗和buff配置索引'!AH:AH,MATCH($F321,'#建筑消耗和buff配置索引'!$M:$M,0))</f>
        <v>21600</v>
      </c>
      <c r="K321" s="150">
        <f>INDEX('#建筑消耗和buff配置索引'!AA:AA,MATCH($F321,'#建筑消耗和buff配置索引'!$M:$M,0))</f>
        <v>290000</v>
      </c>
      <c r="L321" s="150">
        <f>INDEX('#建筑消耗和buff配置索引'!AB:AB,MATCH($F321,'#建筑消耗和buff配置索引'!$M:$M,0))</f>
        <v>590000</v>
      </c>
      <c r="M321" s="150">
        <f>INDEX('#建筑消耗和buff配置索引'!AC:AC,MATCH($F321,'#建筑消耗和buff配置索引'!$M:$M,0))</f>
        <v>290000</v>
      </c>
      <c r="N321" s="150">
        <f>INDEX('#建筑消耗和buff配置索引'!AD:AD,MATCH($F321,'#建筑消耗和buff配置索引'!$M:$M,0))</f>
        <v>290000</v>
      </c>
      <c r="O321" s="150" t="str">
        <f>IF(INDEX('#建筑消耗和buff配置索引'!T:T,MATCH($F321,'#建筑消耗和buff配置索引'!$M:$M,0))=0,"",INDEX('#建筑消耗和buff配置索引'!T:T,MATCH($F321,'#建筑消耗和buff配置索引'!$M:$M,0)))</f>
        <v/>
      </c>
      <c r="P321" s="133" t="str">
        <f>IF(INDEX('#建筑消耗和buff配置索引'!U:U,MATCH($F321,'#建筑消耗和buff配置索引'!$M:$M,0))=0,"",INDEX('#建筑消耗和buff配置索引'!U:U,MATCH($F321,'#建筑消耗和buff配置索引'!$M:$M,0)))</f>
        <v/>
      </c>
      <c r="Q321" s="133" t="str">
        <f>IF(INDEX('#建筑消耗和buff配置索引'!K:K,MATCH($F321,'#建筑消耗和buff配置索引'!$M:$M,0))=0,"",INDEX('#建筑消耗和buff配置索引'!K:K,MATCH($F321,'#建筑消耗和buff配置索引'!$M:$M,0)))</f>
        <v>201</v>
      </c>
      <c r="R321" s="133" t="str">
        <f>IF(INDEX('#建筑消耗和buff配置索引'!L:L,MATCH($F321,'#建筑消耗和buff配置索引'!$M:$M,0))=0,"",INDEX('#建筑消耗和buff配置索引'!L:L,MATCH($F321,'#建筑消耗和buff配置索引'!$M:$M,0)))</f>
        <v>16</v>
      </c>
      <c r="S321" s="133">
        <f>IF(INDEX('#建筑消耗和buff配置索引'!C:C,MATCH(F321,'#建筑消耗和buff配置索引'!M:M,0))=0,1,INDEX('#建筑消耗和buff配置索引'!C:C,MATCH(F321,'#建筑消耗和buff配置索引'!M:M,0)))</f>
        <v>1</v>
      </c>
      <c r="T321" s="133">
        <v>0</v>
      </c>
      <c r="U321" s="133">
        <v>0</v>
      </c>
      <c r="V321" s="133" t="str">
        <f>IF(E321=1,IF(INDEX('#建筑消耗和buff配置索引'!BY:BY,MATCH(D321,'#建筑消耗和buff配置索引'!A:A,0))=0,"",INDEX('#建筑消耗和buff配置索引'!BY:BY,MATCH(D321,'#建筑消耗和buff配置索引'!A:A,0))),"")</f>
        <v/>
      </c>
      <c r="W321" s="133" t="str">
        <f>IF(E321=1,IF(INDEX('#建筑消耗和buff配置索引'!BZ:BZ,MATCH(D321,'#建筑消耗和buff配置索引'!A:A,0))=0,"",INDEX('#建筑消耗和buff配置索引'!BZ:BZ,MATCH(D321,'#建筑消耗和buff配置索引'!A:A,0))),"")</f>
        <v/>
      </c>
      <c r="X321" s="156"/>
      <c r="Y321" s="156"/>
      <c r="Z321" s="156"/>
      <c r="AA321" s="133">
        <f>INDEX('#建筑消耗和buff配置索引'!AO:AO,MATCH($F321,'#建筑消耗和buff配置索引'!$M:$M,0))</f>
        <v>11218</v>
      </c>
      <c r="AB321" s="133">
        <f>IF(INDEX('#建筑消耗和buff配置索引'!AR:AR,MATCH($F321,'#建筑消耗和buff配置索引'!$M:$M,0))=0,"",INDEX('#建筑消耗和buff配置索引'!AR:AR,MATCH($F321,'#建筑消耗和buff配置索引'!$M:$M,0)))</f>
        <v>2553</v>
      </c>
      <c r="AC321" s="133">
        <f>IF(AB321="","",INDEX('#建筑消耗和buff配置索引'!AS:AS,MATCH($F321,'#建筑消耗和buff配置索引'!$M:$M,0)))</f>
        <v>0.32</v>
      </c>
      <c r="AF321" s="133">
        <f>IF(INDEX('#建筑消耗和buff配置索引'!AW:AW,MATCH($F321,'#建筑消耗和buff配置索引'!$M:$M,0))=0,"",INDEX('#建筑消耗和buff配置索引'!AW:AW,MATCH($F321,'#建筑消耗和buff配置索引'!$M:$M,0)))</f>
        <v>2570</v>
      </c>
      <c r="AG321" s="133">
        <f>IF(AF321="","",INDEX('#建筑消耗和buff配置索引'!AX:AX,MATCH($F321,'#建筑消耗和buff配置索引'!$M:$M,0)))</f>
        <v>3</v>
      </c>
      <c r="AJ321" s="133" t="str">
        <f>IF(INDEX('#建筑消耗和buff配置索引'!BB:BB,MATCH($F321,'#建筑消耗和buff配置索引'!$M:$M,0))=0,"",INDEX('#建筑消耗和buff配置索引'!BB:BB,MATCH($F321,'#建筑消耗和buff配置索引'!$M:$M,0)))</f>
        <v/>
      </c>
      <c r="AK321" s="133" t="str">
        <f>IF(AJ321="","",INDEX('#建筑消耗和buff配置索引'!BC:BC,MATCH($F321,'#建筑消耗和buff配置索引'!$M:$M,0)))</f>
        <v/>
      </c>
      <c r="AN321" s="133" t="str">
        <f>IF(INDEX('#建筑消耗和buff配置索引'!BG:BG,MATCH($F321,'#建筑消耗和buff配置索引'!$M:$M,0))=0,"",INDEX('#建筑消耗和buff配置索引'!BG:BG,MATCH($F321,'#建筑消耗和buff配置索引'!$M:$M,0)))</f>
        <v/>
      </c>
      <c r="AO321" s="133" t="str">
        <f>IF(AN321="","",INDEX('#建筑消耗和buff配置索引'!BH:BH,MATCH($F321,'#建筑消耗和buff配置索引'!$M:$M,0)))</f>
        <v/>
      </c>
      <c r="AR321" s="133" t="str">
        <f>IF(INDEX('#建筑消耗和buff配置索引'!BK:BK,MATCH($F321,'#建筑消耗和buff配置索引'!$M:$M,0))=0,"",INDEX('#建筑消耗和buff配置索引'!BK:BK,MATCH($F321,'#建筑消耗和buff配置索引'!$M:$M,0)))</f>
        <v/>
      </c>
      <c r="AS321" s="133" t="str">
        <f>IF(AR321="","",INDEX('#建筑消耗和buff配置索引'!BL:BL,MATCH($F321,'#建筑消耗和buff配置索引'!$M:$M,0)))</f>
        <v/>
      </c>
      <c r="AV321" s="133" t="str">
        <f>IF(INDEX('#建筑消耗和buff配置索引'!BO:BO,MATCH($F321,'#建筑消耗和buff配置索引'!$M:$M,0))=0,"",INDEX('#建筑消耗和buff配置索引'!BO:BO,MATCH($F321,'#建筑消耗和buff配置索引'!$M:$M,0)))</f>
        <v/>
      </c>
      <c r="AW321" s="133" t="str">
        <f>IF(AV321="","",INDEX('#建筑消耗和buff配置索引'!BP:BP,MATCH($F321,'#建筑消耗和buff配置索引'!$M:$M,0)))</f>
        <v/>
      </c>
      <c r="AZ321" s="133" t="str">
        <f>IF(INDEX('#建筑消耗和buff配置索引'!BS:BS,MATCH($F321,'#建筑消耗和buff配置索引'!$M:$M,0))=0,"",INDEX('#建筑消耗和buff配置索引'!BS:BS,MATCH($F321,'#建筑消耗和buff配置索引'!$M:$M,0)))</f>
        <v/>
      </c>
      <c r="BA321" s="133" t="str">
        <f>IF(AZ321="","",INDEX('#建筑消耗和buff配置索引'!BT:BT,MATCH($F321,'#建筑消耗和buff配置索引'!$M:$M,0)))</f>
        <v/>
      </c>
      <c r="BD321" s="133" t="str">
        <f>IF(INDEX('#建筑消耗和buff配置索引'!BW:BW,MATCH($F321,'#建筑消耗和buff配置索引'!$M:$M,0))=0,"",INDEX('#建筑消耗和buff配置索引'!BW:BW,MATCH($F321,'#建筑消耗和buff配置索引'!$M:$M,0)))</f>
        <v/>
      </c>
      <c r="BE321" s="133" t="str">
        <f>IF(BD321="","",INDEX('#建筑消耗和buff配置索引'!BX:BX,MATCH($F321,'#建筑消耗和buff配置索引'!$M:$M,0)))</f>
        <v/>
      </c>
      <c r="BI321" s="133">
        <v>20</v>
      </c>
    </row>
    <row r="322" spans="1:61" s="133" customFormat="1">
      <c r="A322" s="133">
        <v>2260017</v>
      </c>
      <c r="B322" s="133">
        <v>319</v>
      </c>
      <c r="C322" s="133">
        <v>226</v>
      </c>
      <c r="D322" s="133" t="s">
        <v>469</v>
      </c>
      <c r="E322" s="133">
        <v>17</v>
      </c>
      <c r="F322" s="133" t="str">
        <f t="shared" si="6"/>
        <v>瞭望塔17</v>
      </c>
      <c r="H322" s="146"/>
      <c r="I322" s="133">
        <v>2</v>
      </c>
      <c r="J322" s="150">
        <f>INDEX('#建筑消耗和buff配置索引'!AH:AH,MATCH($F322,'#建筑消耗和buff配置索引'!$M:$M,0))</f>
        <v>28800</v>
      </c>
      <c r="K322" s="150">
        <f>INDEX('#建筑消耗和buff配置索引'!AA:AA,MATCH($F322,'#建筑消耗和buff配置索引'!$M:$M,0))</f>
        <v>370000</v>
      </c>
      <c r="L322" s="150">
        <f>INDEX('#建筑消耗和buff配置索引'!AB:AB,MATCH($F322,'#建筑消耗和buff配置索引'!$M:$M,0))</f>
        <v>750000</v>
      </c>
      <c r="M322" s="150">
        <f>INDEX('#建筑消耗和buff配置索引'!AC:AC,MATCH($F322,'#建筑消耗和buff配置索引'!$M:$M,0))</f>
        <v>370000</v>
      </c>
      <c r="N322" s="150">
        <f>INDEX('#建筑消耗和buff配置索引'!AD:AD,MATCH($F322,'#建筑消耗和buff配置索引'!$M:$M,0))</f>
        <v>370000</v>
      </c>
      <c r="O322" s="150" t="str">
        <f>IF(INDEX('#建筑消耗和buff配置索引'!T:T,MATCH($F322,'#建筑消耗和buff配置索引'!$M:$M,0))=0,"",INDEX('#建筑消耗和buff配置索引'!T:T,MATCH($F322,'#建筑消耗和buff配置索引'!$M:$M,0)))</f>
        <v/>
      </c>
      <c r="P322" s="133" t="str">
        <f>IF(INDEX('#建筑消耗和buff配置索引'!U:U,MATCH($F322,'#建筑消耗和buff配置索引'!$M:$M,0))=0,"",INDEX('#建筑消耗和buff配置索引'!U:U,MATCH($F322,'#建筑消耗和buff配置索引'!$M:$M,0)))</f>
        <v/>
      </c>
      <c r="Q322" s="133" t="str">
        <f>IF(INDEX('#建筑消耗和buff配置索引'!K:K,MATCH($F322,'#建筑消耗和buff配置索引'!$M:$M,0))=0,"",INDEX('#建筑消耗和buff配置索引'!K:K,MATCH($F322,'#建筑消耗和buff配置索引'!$M:$M,0)))</f>
        <v>201</v>
      </c>
      <c r="R322" s="133" t="str">
        <f>IF(INDEX('#建筑消耗和buff配置索引'!L:L,MATCH($F322,'#建筑消耗和buff配置索引'!$M:$M,0))=0,"",INDEX('#建筑消耗和buff配置索引'!L:L,MATCH($F322,'#建筑消耗和buff配置索引'!$M:$M,0)))</f>
        <v>17</v>
      </c>
      <c r="S322" s="133">
        <f>IF(INDEX('#建筑消耗和buff配置索引'!C:C,MATCH(F322,'#建筑消耗和buff配置索引'!M:M,0))=0,1,INDEX('#建筑消耗和buff配置索引'!C:C,MATCH(F322,'#建筑消耗和buff配置索引'!M:M,0)))</f>
        <v>1</v>
      </c>
      <c r="T322" s="133">
        <v>0</v>
      </c>
      <c r="U322" s="133">
        <v>0</v>
      </c>
      <c r="V322" s="133" t="str">
        <f>IF(E322=1,IF(INDEX('#建筑消耗和buff配置索引'!BY:BY,MATCH(D322,'#建筑消耗和buff配置索引'!A:A,0))=0,"",INDEX('#建筑消耗和buff配置索引'!BY:BY,MATCH(D322,'#建筑消耗和buff配置索引'!A:A,0))),"")</f>
        <v/>
      </c>
      <c r="W322" s="133" t="str">
        <f>IF(E322=1,IF(INDEX('#建筑消耗和buff配置索引'!BZ:BZ,MATCH(D322,'#建筑消耗和buff配置索引'!A:A,0))=0,"",INDEX('#建筑消耗和buff配置索引'!BZ:BZ,MATCH(D322,'#建筑消耗和buff配置索引'!A:A,0))),"")</f>
        <v/>
      </c>
      <c r="X322" s="156"/>
      <c r="Y322" s="156"/>
      <c r="Z322" s="156"/>
      <c r="AA322" s="133">
        <f>INDEX('#建筑消耗和buff配置索引'!AO:AO,MATCH($F322,'#建筑消耗和buff配置索引'!$M:$M,0))</f>
        <v>14962</v>
      </c>
      <c r="AB322" s="133">
        <f>IF(INDEX('#建筑消耗和buff配置索引'!AR:AR,MATCH($F322,'#建筑消耗和buff配置索引'!$M:$M,0))=0,"",INDEX('#建筑消耗和buff配置索引'!AR:AR,MATCH($F322,'#建筑消耗和buff配置索引'!$M:$M,0)))</f>
        <v>2553</v>
      </c>
      <c r="AC322" s="133">
        <f>IF(AB322="","",INDEX('#建筑消耗和buff配置索引'!AS:AS,MATCH($F322,'#建筑消耗和buff配置索引'!$M:$M,0)))</f>
        <v>0.34</v>
      </c>
      <c r="AF322" s="133">
        <f>IF(INDEX('#建筑消耗和buff配置索引'!AW:AW,MATCH($F322,'#建筑消耗和buff配置索引'!$M:$M,0))=0,"",INDEX('#建筑消耗和buff配置索引'!AW:AW,MATCH($F322,'#建筑消耗和buff配置索引'!$M:$M,0)))</f>
        <v>2570</v>
      </c>
      <c r="AG322" s="133">
        <f>IF(AF322="","",INDEX('#建筑消耗和buff配置索引'!AX:AX,MATCH($F322,'#建筑消耗和buff配置索引'!$M:$M,0)))</f>
        <v>3</v>
      </c>
      <c r="AJ322" s="133" t="str">
        <f>IF(INDEX('#建筑消耗和buff配置索引'!BB:BB,MATCH($F322,'#建筑消耗和buff配置索引'!$M:$M,0))=0,"",INDEX('#建筑消耗和buff配置索引'!BB:BB,MATCH($F322,'#建筑消耗和buff配置索引'!$M:$M,0)))</f>
        <v/>
      </c>
      <c r="AK322" s="133" t="str">
        <f>IF(AJ322="","",INDEX('#建筑消耗和buff配置索引'!BC:BC,MATCH($F322,'#建筑消耗和buff配置索引'!$M:$M,0)))</f>
        <v/>
      </c>
      <c r="AN322" s="133" t="str">
        <f>IF(INDEX('#建筑消耗和buff配置索引'!BG:BG,MATCH($F322,'#建筑消耗和buff配置索引'!$M:$M,0))=0,"",INDEX('#建筑消耗和buff配置索引'!BG:BG,MATCH($F322,'#建筑消耗和buff配置索引'!$M:$M,0)))</f>
        <v/>
      </c>
      <c r="AO322" s="133" t="str">
        <f>IF(AN322="","",INDEX('#建筑消耗和buff配置索引'!BH:BH,MATCH($F322,'#建筑消耗和buff配置索引'!$M:$M,0)))</f>
        <v/>
      </c>
      <c r="AR322" s="133" t="str">
        <f>IF(INDEX('#建筑消耗和buff配置索引'!BK:BK,MATCH($F322,'#建筑消耗和buff配置索引'!$M:$M,0))=0,"",INDEX('#建筑消耗和buff配置索引'!BK:BK,MATCH($F322,'#建筑消耗和buff配置索引'!$M:$M,0)))</f>
        <v/>
      </c>
      <c r="AS322" s="133" t="str">
        <f>IF(AR322="","",INDEX('#建筑消耗和buff配置索引'!BL:BL,MATCH($F322,'#建筑消耗和buff配置索引'!$M:$M,0)))</f>
        <v/>
      </c>
      <c r="AV322" s="133" t="str">
        <f>IF(INDEX('#建筑消耗和buff配置索引'!BO:BO,MATCH($F322,'#建筑消耗和buff配置索引'!$M:$M,0))=0,"",INDEX('#建筑消耗和buff配置索引'!BO:BO,MATCH($F322,'#建筑消耗和buff配置索引'!$M:$M,0)))</f>
        <v/>
      </c>
      <c r="AW322" s="133" t="str">
        <f>IF(AV322="","",INDEX('#建筑消耗和buff配置索引'!BP:BP,MATCH($F322,'#建筑消耗和buff配置索引'!$M:$M,0)))</f>
        <v/>
      </c>
      <c r="AZ322" s="133" t="str">
        <f>IF(INDEX('#建筑消耗和buff配置索引'!BS:BS,MATCH($F322,'#建筑消耗和buff配置索引'!$M:$M,0))=0,"",INDEX('#建筑消耗和buff配置索引'!BS:BS,MATCH($F322,'#建筑消耗和buff配置索引'!$M:$M,0)))</f>
        <v/>
      </c>
      <c r="BA322" s="133" t="str">
        <f>IF(AZ322="","",INDEX('#建筑消耗和buff配置索引'!BT:BT,MATCH($F322,'#建筑消耗和buff配置索引'!$M:$M,0)))</f>
        <v/>
      </c>
      <c r="BD322" s="133" t="str">
        <f>IF(INDEX('#建筑消耗和buff配置索引'!BW:BW,MATCH($F322,'#建筑消耗和buff配置索引'!$M:$M,0))=0,"",INDEX('#建筑消耗和buff配置索引'!BW:BW,MATCH($F322,'#建筑消耗和buff配置索引'!$M:$M,0)))</f>
        <v/>
      </c>
      <c r="BE322" s="133" t="str">
        <f>IF(BD322="","",INDEX('#建筑消耗和buff配置索引'!BX:BX,MATCH($F322,'#建筑消耗和buff配置索引'!$M:$M,0)))</f>
        <v/>
      </c>
      <c r="BI322" s="133">
        <v>20</v>
      </c>
    </row>
    <row r="323" spans="1:61" s="133" customFormat="1">
      <c r="A323" s="133">
        <v>2260018</v>
      </c>
      <c r="B323" s="133">
        <v>320</v>
      </c>
      <c r="C323" s="133">
        <v>226</v>
      </c>
      <c r="D323" s="133" t="s">
        <v>469</v>
      </c>
      <c r="E323" s="133">
        <v>18</v>
      </c>
      <c r="F323" s="133" t="str">
        <f t="shared" si="6"/>
        <v>瞭望塔18</v>
      </c>
      <c r="H323" s="146"/>
      <c r="I323" s="133">
        <v>2</v>
      </c>
      <c r="J323" s="150">
        <f>INDEX('#建筑消耗和buff配置索引'!AH:AH,MATCH($F323,'#建筑消耗和buff配置索引'!$M:$M,0))</f>
        <v>37440</v>
      </c>
      <c r="K323" s="150">
        <f>INDEX('#建筑消耗和buff配置索引'!AA:AA,MATCH($F323,'#建筑消耗和buff配置索引'!$M:$M,0))</f>
        <v>480000</v>
      </c>
      <c r="L323" s="150">
        <f>INDEX('#建筑消耗和buff配置索引'!AB:AB,MATCH($F323,'#建筑消耗和buff配置索引'!$M:$M,0))</f>
        <v>960000</v>
      </c>
      <c r="M323" s="150">
        <f>INDEX('#建筑消耗和buff配置索引'!AC:AC,MATCH($F323,'#建筑消耗和buff配置索引'!$M:$M,0))</f>
        <v>480000</v>
      </c>
      <c r="N323" s="150">
        <f>INDEX('#建筑消耗和buff配置索引'!AD:AD,MATCH($F323,'#建筑消耗和buff配置索引'!$M:$M,0))</f>
        <v>480000</v>
      </c>
      <c r="O323" s="150" t="str">
        <f>IF(INDEX('#建筑消耗和buff配置索引'!T:T,MATCH($F323,'#建筑消耗和buff配置索引'!$M:$M,0))=0,"",INDEX('#建筑消耗和buff配置索引'!T:T,MATCH($F323,'#建筑消耗和buff配置索引'!$M:$M,0)))</f>
        <v/>
      </c>
      <c r="P323" s="133" t="str">
        <f>IF(INDEX('#建筑消耗和buff配置索引'!U:U,MATCH($F323,'#建筑消耗和buff配置索引'!$M:$M,0))=0,"",INDEX('#建筑消耗和buff配置索引'!U:U,MATCH($F323,'#建筑消耗和buff配置索引'!$M:$M,0)))</f>
        <v/>
      </c>
      <c r="Q323" s="133" t="str">
        <f>IF(INDEX('#建筑消耗和buff配置索引'!K:K,MATCH($F323,'#建筑消耗和buff配置索引'!$M:$M,0))=0,"",INDEX('#建筑消耗和buff配置索引'!K:K,MATCH($F323,'#建筑消耗和buff配置索引'!$M:$M,0)))</f>
        <v>201</v>
      </c>
      <c r="R323" s="133" t="str">
        <f>IF(INDEX('#建筑消耗和buff配置索引'!L:L,MATCH($F323,'#建筑消耗和buff配置索引'!$M:$M,0))=0,"",INDEX('#建筑消耗和buff配置索引'!L:L,MATCH($F323,'#建筑消耗和buff配置索引'!$M:$M,0)))</f>
        <v>18</v>
      </c>
      <c r="S323" s="133">
        <f>IF(INDEX('#建筑消耗和buff配置索引'!C:C,MATCH(F323,'#建筑消耗和buff配置索引'!M:M,0))=0,1,INDEX('#建筑消耗和buff配置索引'!C:C,MATCH(F323,'#建筑消耗和buff配置索引'!M:M,0)))</f>
        <v>1</v>
      </c>
      <c r="T323" s="133">
        <v>0</v>
      </c>
      <c r="U323" s="133">
        <v>0</v>
      </c>
      <c r="V323" s="133" t="str">
        <f>IF(E323=1,IF(INDEX('#建筑消耗和buff配置索引'!BY:BY,MATCH(D323,'#建筑消耗和buff配置索引'!A:A,0))=0,"",INDEX('#建筑消耗和buff配置索引'!BY:BY,MATCH(D323,'#建筑消耗和buff配置索引'!A:A,0))),"")</f>
        <v/>
      </c>
      <c r="W323" s="133" t="str">
        <f>IF(E323=1,IF(INDEX('#建筑消耗和buff配置索引'!BZ:BZ,MATCH(D323,'#建筑消耗和buff配置索引'!A:A,0))=0,"",INDEX('#建筑消耗和buff配置索引'!BZ:BZ,MATCH(D323,'#建筑消耗和buff配置索引'!A:A,0))),"")</f>
        <v/>
      </c>
      <c r="AA323" s="133">
        <f>INDEX('#建筑消耗和buff配置索引'!AO:AO,MATCH($F323,'#建筑消耗和buff配置索引'!$M:$M,0))</f>
        <v>19754</v>
      </c>
      <c r="AB323" s="133">
        <f>IF(INDEX('#建筑消耗和buff配置索引'!AR:AR,MATCH($F323,'#建筑消耗和buff配置索引'!$M:$M,0))=0,"",INDEX('#建筑消耗和buff配置索引'!AR:AR,MATCH($F323,'#建筑消耗和buff配置索引'!$M:$M,0)))</f>
        <v>2553</v>
      </c>
      <c r="AC323" s="133">
        <f>IF(AB323="","",INDEX('#建筑消耗和buff配置索引'!AS:AS,MATCH($F323,'#建筑消耗和buff配置索引'!$M:$M,0)))</f>
        <v>0.36</v>
      </c>
      <c r="AF323" s="133">
        <f>IF(INDEX('#建筑消耗和buff配置索引'!AW:AW,MATCH($F323,'#建筑消耗和buff配置索引'!$M:$M,0))=0,"",INDEX('#建筑消耗和buff配置索引'!AW:AW,MATCH($F323,'#建筑消耗和buff配置索引'!$M:$M,0)))</f>
        <v>2570</v>
      </c>
      <c r="AG323" s="133">
        <f>IF(AF323="","",INDEX('#建筑消耗和buff配置索引'!AX:AX,MATCH($F323,'#建筑消耗和buff配置索引'!$M:$M,0)))</f>
        <v>3</v>
      </c>
      <c r="AJ323" s="133" t="str">
        <f>IF(INDEX('#建筑消耗和buff配置索引'!BB:BB,MATCH($F323,'#建筑消耗和buff配置索引'!$M:$M,0))=0,"",INDEX('#建筑消耗和buff配置索引'!BB:BB,MATCH($F323,'#建筑消耗和buff配置索引'!$M:$M,0)))</f>
        <v/>
      </c>
      <c r="AK323" s="133" t="str">
        <f>IF(AJ323="","",INDEX('#建筑消耗和buff配置索引'!BC:BC,MATCH($F323,'#建筑消耗和buff配置索引'!$M:$M,0)))</f>
        <v/>
      </c>
      <c r="AN323" s="133" t="str">
        <f>IF(INDEX('#建筑消耗和buff配置索引'!BG:BG,MATCH($F323,'#建筑消耗和buff配置索引'!$M:$M,0))=0,"",INDEX('#建筑消耗和buff配置索引'!BG:BG,MATCH($F323,'#建筑消耗和buff配置索引'!$M:$M,0)))</f>
        <v/>
      </c>
      <c r="AO323" s="133" t="str">
        <f>IF(AN323="","",INDEX('#建筑消耗和buff配置索引'!BH:BH,MATCH($F323,'#建筑消耗和buff配置索引'!$M:$M,0)))</f>
        <v/>
      </c>
      <c r="AR323" s="133" t="str">
        <f>IF(INDEX('#建筑消耗和buff配置索引'!BK:BK,MATCH($F323,'#建筑消耗和buff配置索引'!$M:$M,0))=0,"",INDEX('#建筑消耗和buff配置索引'!BK:BK,MATCH($F323,'#建筑消耗和buff配置索引'!$M:$M,0)))</f>
        <v/>
      </c>
      <c r="AS323" s="133" t="str">
        <f>IF(AR323="","",INDEX('#建筑消耗和buff配置索引'!BL:BL,MATCH($F323,'#建筑消耗和buff配置索引'!$M:$M,0)))</f>
        <v/>
      </c>
      <c r="AV323" s="133" t="str">
        <f>IF(INDEX('#建筑消耗和buff配置索引'!BO:BO,MATCH($F323,'#建筑消耗和buff配置索引'!$M:$M,0))=0,"",INDEX('#建筑消耗和buff配置索引'!BO:BO,MATCH($F323,'#建筑消耗和buff配置索引'!$M:$M,0)))</f>
        <v/>
      </c>
      <c r="AW323" s="133" t="str">
        <f>IF(AV323="","",INDEX('#建筑消耗和buff配置索引'!BP:BP,MATCH($F323,'#建筑消耗和buff配置索引'!$M:$M,0)))</f>
        <v/>
      </c>
      <c r="AZ323" s="133" t="str">
        <f>IF(INDEX('#建筑消耗和buff配置索引'!BS:BS,MATCH($F323,'#建筑消耗和buff配置索引'!$M:$M,0))=0,"",INDEX('#建筑消耗和buff配置索引'!BS:BS,MATCH($F323,'#建筑消耗和buff配置索引'!$M:$M,0)))</f>
        <v/>
      </c>
      <c r="BA323" s="133" t="str">
        <f>IF(AZ323="","",INDEX('#建筑消耗和buff配置索引'!BT:BT,MATCH($F323,'#建筑消耗和buff配置索引'!$M:$M,0)))</f>
        <v/>
      </c>
      <c r="BD323" s="133" t="str">
        <f>IF(INDEX('#建筑消耗和buff配置索引'!BW:BW,MATCH($F323,'#建筑消耗和buff配置索引'!$M:$M,0))=0,"",INDEX('#建筑消耗和buff配置索引'!BW:BW,MATCH($F323,'#建筑消耗和buff配置索引'!$M:$M,0)))</f>
        <v/>
      </c>
      <c r="BE323" s="133" t="str">
        <f>IF(BD323="","",INDEX('#建筑消耗和buff配置索引'!BX:BX,MATCH($F323,'#建筑消耗和buff配置索引'!$M:$M,0)))</f>
        <v/>
      </c>
      <c r="BI323" s="133">
        <v>20</v>
      </c>
    </row>
    <row r="324" spans="1:61" s="133" customFormat="1">
      <c r="A324" s="133">
        <v>2260019</v>
      </c>
      <c r="B324" s="133">
        <v>321</v>
      </c>
      <c r="C324" s="133">
        <v>226</v>
      </c>
      <c r="D324" s="133" t="s">
        <v>469</v>
      </c>
      <c r="E324" s="133">
        <v>19</v>
      </c>
      <c r="F324" s="133" t="str">
        <f t="shared" si="6"/>
        <v>瞭望塔19</v>
      </c>
      <c r="H324" s="146"/>
      <c r="I324" s="133">
        <v>2</v>
      </c>
      <c r="J324" s="150">
        <f>INDEX('#建筑消耗和buff配置索引'!AH:AH,MATCH($F324,'#建筑消耗和buff配置索引'!$M:$M,0))</f>
        <v>48960</v>
      </c>
      <c r="K324" s="150">
        <f>INDEX('#建筑消耗和buff配置索引'!AA:AA,MATCH($F324,'#建筑消耗和buff配置索引'!$M:$M,0))</f>
        <v>610000</v>
      </c>
      <c r="L324" s="150">
        <f>INDEX('#建筑消耗和buff配置索引'!AB:AB,MATCH($F324,'#建筑消耗和buff配置索引'!$M:$M,0))</f>
        <v>1200000</v>
      </c>
      <c r="M324" s="150">
        <f>INDEX('#建筑消耗和buff配置索引'!AC:AC,MATCH($F324,'#建筑消耗和buff配置索引'!$M:$M,0))</f>
        <v>610000</v>
      </c>
      <c r="N324" s="150">
        <f>INDEX('#建筑消耗和buff配置索引'!AD:AD,MATCH($F324,'#建筑消耗和buff配置索引'!$M:$M,0))</f>
        <v>610000</v>
      </c>
      <c r="O324" s="150" t="str">
        <f>IF(INDEX('#建筑消耗和buff配置索引'!T:T,MATCH($F324,'#建筑消耗和buff配置索引'!$M:$M,0))=0,"",INDEX('#建筑消耗和buff配置索引'!T:T,MATCH($F324,'#建筑消耗和buff配置索引'!$M:$M,0)))</f>
        <v/>
      </c>
      <c r="P324" s="133" t="str">
        <f>IF(INDEX('#建筑消耗和buff配置索引'!U:U,MATCH($F324,'#建筑消耗和buff配置索引'!$M:$M,0))=0,"",INDEX('#建筑消耗和buff配置索引'!U:U,MATCH($F324,'#建筑消耗和buff配置索引'!$M:$M,0)))</f>
        <v/>
      </c>
      <c r="Q324" s="133" t="str">
        <f>IF(INDEX('#建筑消耗和buff配置索引'!K:K,MATCH($F324,'#建筑消耗和buff配置索引'!$M:$M,0))=0,"",INDEX('#建筑消耗和buff配置索引'!K:K,MATCH($F324,'#建筑消耗和buff配置索引'!$M:$M,0)))</f>
        <v>201</v>
      </c>
      <c r="R324" s="133" t="str">
        <f>IF(INDEX('#建筑消耗和buff配置索引'!L:L,MATCH($F324,'#建筑消耗和buff配置索引'!$M:$M,0))=0,"",INDEX('#建筑消耗和buff配置索引'!L:L,MATCH($F324,'#建筑消耗和buff配置索引'!$M:$M,0)))</f>
        <v>19</v>
      </c>
      <c r="S324" s="133">
        <f>IF(INDEX('#建筑消耗和buff配置索引'!C:C,MATCH(F324,'#建筑消耗和buff配置索引'!M:M,0))=0,1,INDEX('#建筑消耗和buff配置索引'!C:C,MATCH(F324,'#建筑消耗和buff配置索引'!M:M,0)))</f>
        <v>1</v>
      </c>
      <c r="T324" s="133">
        <v>0</v>
      </c>
      <c r="U324" s="133">
        <v>0</v>
      </c>
      <c r="V324" s="133" t="str">
        <f>IF(E324=1,IF(INDEX('#建筑消耗和buff配置索引'!BY:BY,MATCH(D324,'#建筑消耗和buff配置索引'!A:A,0))=0,"",INDEX('#建筑消耗和buff配置索引'!BY:BY,MATCH(D324,'#建筑消耗和buff配置索引'!A:A,0))),"")</f>
        <v/>
      </c>
      <c r="W324" s="133" t="str">
        <f>IF(E324=1,IF(INDEX('#建筑消耗和buff配置索引'!BZ:BZ,MATCH(D324,'#建筑消耗和buff配置索引'!A:A,0))=0,"",INDEX('#建筑消耗和buff配置索引'!BZ:BZ,MATCH(D324,'#建筑消耗和buff配置索引'!A:A,0))),"")</f>
        <v/>
      </c>
      <c r="AA324" s="133">
        <f>INDEX('#建筑消耗和buff配置索引'!AO:AO,MATCH($F324,'#建筑消耗和buff配置索引'!$M:$M,0))</f>
        <v>25889</v>
      </c>
      <c r="AB324" s="133">
        <f>IF(INDEX('#建筑消耗和buff配置索引'!AR:AR,MATCH($F324,'#建筑消耗和buff配置索引'!$M:$M,0))=0,"",INDEX('#建筑消耗和buff配置索引'!AR:AR,MATCH($F324,'#建筑消耗和buff配置索引'!$M:$M,0)))</f>
        <v>2553</v>
      </c>
      <c r="AC324" s="133">
        <f>IF(AB324="","",INDEX('#建筑消耗和buff配置索引'!AS:AS,MATCH($F324,'#建筑消耗和buff配置索引'!$M:$M,0)))</f>
        <v>0.38</v>
      </c>
      <c r="AF324" s="133">
        <f>IF(INDEX('#建筑消耗和buff配置索引'!AW:AW,MATCH($F324,'#建筑消耗和buff配置索引'!$M:$M,0))=0,"",INDEX('#建筑消耗和buff配置索引'!AW:AW,MATCH($F324,'#建筑消耗和buff配置索引'!$M:$M,0)))</f>
        <v>2570</v>
      </c>
      <c r="AG324" s="133">
        <f>IF(AF324="","",INDEX('#建筑消耗和buff配置索引'!AX:AX,MATCH($F324,'#建筑消耗和buff配置索引'!$M:$M,0)))</f>
        <v>3</v>
      </c>
      <c r="AJ324" s="133" t="str">
        <f>IF(INDEX('#建筑消耗和buff配置索引'!BB:BB,MATCH($F324,'#建筑消耗和buff配置索引'!$M:$M,0))=0,"",INDEX('#建筑消耗和buff配置索引'!BB:BB,MATCH($F324,'#建筑消耗和buff配置索引'!$M:$M,0)))</f>
        <v/>
      </c>
      <c r="AK324" s="133" t="str">
        <f>IF(AJ324="","",INDEX('#建筑消耗和buff配置索引'!BC:BC,MATCH($F324,'#建筑消耗和buff配置索引'!$M:$M,0)))</f>
        <v/>
      </c>
      <c r="AN324" s="133" t="str">
        <f>IF(INDEX('#建筑消耗和buff配置索引'!BG:BG,MATCH($F324,'#建筑消耗和buff配置索引'!$M:$M,0))=0,"",INDEX('#建筑消耗和buff配置索引'!BG:BG,MATCH($F324,'#建筑消耗和buff配置索引'!$M:$M,0)))</f>
        <v/>
      </c>
      <c r="AO324" s="133" t="str">
        <f>IF(AN324="","",INDEX('#建筑消耗和buff配置索引'!BH:BH,MATCH($F324,'#建筑消耗和buff配置索引'!$M:$M,0)))</f>
        <v/>
      </c>
      <c r="AR324" s="133" t="str">
        <f>IF(INDEX('#建筑消耗和buff配置索引'!BK:BK,MATCH($F324,'#建筑消耗和buff配置索引'!$M:$M,0))=0,"",INDEX('#建筑消耗和buff配置索引'!BK:BK,MATCH($F324,'#建筑消耗和buff配置索引'!$M:$M,0)))</f>
        <v/>
      </c>
      <c r="AS324" s="133" t="str">
        <f>IF(AR324="","",INDEX('#建筑消耗和buff配置索引'!BL:BL,MATCH($F324,'#建筑消耗和buff配置索引'!$M:$M,0)))</f>
        <v/>
      </c>
      <c r="AV324" s="133" t="str">
        <f>IF(INDEX('#建筑消耗和buff配置索引'!BO:BO,MATCH($F324,'#建筑消耗和buff配置索引'!$M:$M,0))=0,"",INDEX('#建筑消耗和buff配置索引'!BO:BO,MATCH($F324,'#建筑消耗和buff配置索引'!$M:$M,0)))</f>
        <v/>
      </c>
      <c r="AW324" s="133" t="str">
        <f>IF(AV324="","",INDEX('#建筑消耗和buff配置索引'!BP:BP,MATCH($F324,'#建筑消耗和buff配置索引'!$M:$M,0)))</f>
        <v/>
      </c>
      <c r="AZ324" s="133" t="str">
        <f>IF(INDEX('#建筑消耗和buff配置索引'!BS:BS,MATCH($F324,'#建筑消耗和buff配置索引'!$M:$M,0))=0,"",INDEX('#建筑消耗和buff配置索引'!BS:BS,MATCH($F324,'#建筑消耗和buff配置索引'!$M:$M,0)))</f>
        <v/>
      </c>
      <c r="BA324" s="133" t="str">
        <f>IF(AZ324="","",INDEX('#建筑消耗和buff配置索引'!BT:BT,MATCH($F324,'#建筑消耗和buff配置索引'!$M:$M,0)))</f>
        <v/>
      </c>
      <c r="BD324" s="133" t="str">
        <f>IF(INDEX('#建筑消耗和buff配置索引'!BW:BW,MATCH($F324,'#建筑消耗和buff配置索引'!$M:$M,0))=0,"",INDEX('#建筑消耗和buff配置索引'!BW:BW,MATCH($F324,'#建筑消耗和buff配置索引'!$M:$M,0)))</f>
        <v/>
      </c>
      <c r="BE324" s="133" t="str">
        <f>IF(BD324="","",INDEX('#建筑消耗和buff配置索引'!BX:BX,MATCH($F324,'#建筑消耗和buff配置索引'!$M:$M,0)))</f>
        <v/>
      </c>
      <c r="BI324" s="133">
        <v>20</v>
      </c>
    </row>
    <row r="325" spans="1:61" s="133" customFormat="1">
      <c r="A325" s="133">
        <v>2260020</v>
      </c>
      <c r="B325" s="133">
        <v>322</v>
      </c>
      <c r="C325" s="133">
        <v>226</v>
      </c>
      <c r="D325" s="133" t="s">
        <v>469</v>
      </c>
      <c r="E325" s="133">
        <v>20</v>
      </c>
      <c r="F325" s="133" t="str">
        <f t="shared" si="6"/>
        <v>瞭望塔20</v>
      </c>
      <c r="H325" s="146"/>
      <c r="I325" s="133">
        <v>3</v>
      </c>
      <c r="J325" s="150">
        <f>INDEX('#建筑消耗和buff配置索引'!AH:AH,MATCH($F325,'#建筑消耗和buff配置索引'!$M:$M,0))</f>
        <v>69120</v>
      </c>
      <c r="K325" s="150">
        <f>INDEX('#建筑消耗和buff配置索引'!AA:AA,MATCH($F325,'#建筑消耗和buff配置索引'!$M:$M,0))</f>
        <v>790000</v>
      </c>
      <c r="L325" s="150">
        <f>INDEX('#建筑消耗和buff配置索引'!AB:AB,MATCH($F325,'#建筑消耗和buff配置索引'!$M:$M,0))</f>
        <v>1600000</v>
      </c>
      <c r="M325" s="150">
        <f>INDEX('#建筑消耗和buff配置索引'!AC:AC,MATCH($F325,'#建筑消耗和buff配置索引'!$M:$M,0))</f>
        <v>790000</v>
      </c>
      <c r="N325" s="150">
        <f>INDEX('#建筑消耗和buff配置索引'!AD:AD,MATCH($F325,'#建筑消耗和buff配置索引'!$M:$M,0))</f>
        <v>790000</v>
      </c>
      <c r="O325" s="150" t="str">
        <f>IF(INDEX('#建筑消耗和buff配置索引'!T:T,MATCH($F325,'#建筑消耗和buff配置索引'!$M:$M,0))=0,"",INDEX('#建筑消耗和buff配置索引'!T:T,MATCH($F325,'#建筑消耗和buff配置索引'!$M:$M,0)))</f>
        <v/>
      </c>
      <c r="P325" s="133" t="str">
        <f>IF(INDEX('#建筑消耗和buff配置索引'!U:U,MATCH($F325,'#建筑消耗和buff配置索引'!$M:$M,0))=0,"",INDEX('#建筑消耗和buff配置索引'!U:U,MATCH($F325,'#建筑消耗和buff配置索引'!$M:$M,0)))</f>
        <v/>
      </c>
      <c r="Q325" s="133" t="str">
        <f>IF(INDEX('#建筑消耗和buff配置索引'!K:K,MATCH($F325,'#建筑消耗和buff配置索引'!$M:$M,0))=0,"",INDEX('#建筑消耗和buff配置索引'!K:K,MATCH($F325,'#建筑消耗和buff配置索引'!$M:$M,0)))</f>
        <v>201</v>
      </c>
      <c r="R325" s="133" t="str">
        <f>IF(INDEX('#建筑消耗和buff配置索引'!L:L,MATCH($F325,'#建筑消耗和buff配置索引'!$M:$M,0))=0,"",INDEX('#建筑消耗和buff配置索引'!L:L,MATCH($F325,'#建筑消耗和buff配置索引'!$M:$M,0)))</f>
        <v>20</v>
      </c>
      <c r="S325" s="133">
        <f>IF(INDEX('#建筑消耗和buff配置索引'!C:C,MATCH(F325,'#建筑消耗和buff配置索引'!M:M,0))=0,1,INDEX('#建筑消耗和buff配置索引'!C:C,MATCH(F325,'#建筑消耗和buff配置索引'!M:M,0)))</f>
        <v>1</v>
      </c>
      <c r="T325" s="133">
        <v>0</v>
      </c>
      <c r="U325" s="133">
        <v>0</v>
      </c>
      <c r="V325" s="133" t="str">
        <f>IF(E325=1,IF(INDEX('#建筑消耗和buff配置索引'!BY:BY,MATCH(D325,'#建筑消耗和buff配置索引'!A:A,0))=0,"",INDEX('#建筑消耗和buff配置索引'!BY:BY,MATCH(D325,'#建筑消耗和buff配置索引'!A:A,0))),"")</f>
        <v/>
      </c>
      <c r="W325" s="133" t="str">
        <f>IF(E325=1,IF(INDEX('#建筑消耗和buff配置索引'!BZ:BZ,MATCH(D325,'#建筑消耗和buff配置索引'!A:A,0))=0,"",INDEX('#建筑消耗和buff配置索引'!BZ:BZ,MATCH(D325,'#建筑消耗和buff配置索引'!A:A,0))),"")</f>
        <v/>
      </c>
      <c r="X325" s="156"/>
      <c r="Y325" s="156"/>
      <c r="Z325" s="156"/>
      <c r="AA325" s="133">
        <f>INDEX('#建筑消耗和buff配置索引'!AO:AO,MATCH($F325,'#建筑消耗和buff配置索引'!$M:$M,0))</f>
        <v>33740</v>
      </c>
      <c r="AB325" s="133">
        <f>IF(INDEX('#建筑消耗和buff配置索引'!AR:AR,MATCH($F325,'#建筑消耗和buff配置索引'!$M:$M,0))=0,"",INDEX('#建筑消耗和buff配置索引'!AR:AR,MATCH($F325,'#建筑消耗和buff配置索引'!$M:$M,0)))</f>
        <v>2553</v>
      </c>
      <c r="AC325" s="133">
        <f>IF(AB325="","",INDEX('#建筑消耗和buff配置索引'!AS:AS,MATCH($F325,'#建筑消耗和buff配置索引'!$M:$M,0)))</f>
        <v>0.4</v>
      </c>
      <c r="AF325" s="133">
        <f>IF(INDEX('#建筑消耗和buff配置索引'!AW:AW,MATCH($F325,'#建筑消耗和buff配置索引'!$M:$M,0))=0,"",INDEX('#建筑消耗和buff配置索引'!AW:AW,MATCH($F325,'#建筑消耗和buff配置索引'!$M:$M,0)))</f>
        <v>2570</v>
      </c>
      <c r="AG325" s="133">
        <f>IF(AF325="","",INDEX('#建筑消耗和buff配置索引'!AX:AX,MATCH($F325,'#建筑消耗和buff配置索引'!$M:$M,0)))</f>
        <v>3</v>
      </c>
      <c r="AJ325" s="133" t="str">
        <f>IF(INDEX('#建筑消耗和buff配置索引'!BB:BB,MATCH($F325,'#建筑消耗和buff配置索引'!$M:$M,0))=0,"",INDEX('#建筑消耗和buff配置索引'!BB:BB,MATCH($F325,'#建筑消耗和buff配置索引'!$M:$M,0)))</f>
        <v/>
      </c>
      <c r="AK325" s="133" t="str">
        <f>IF(AJ325="","",INDEX('#建筑消耗和buff配置索引'!BC:BC,MATCH($F325,'#建筑消耗和buff配置索引'!$M:$M,0)))</f>
        <v/>
      </c>
      <c r="AN325" s="133" t="str">
        <f>IF(INDEX('#建筑消耗和buff配置索引'!BG:BG,MATCH($F325,'#建筑消耗和buff配置索引'!$M:$M,0))=0,"",INDEX('#建筑消耗和buff配置索引'!BG:BG,MATCH($F325,'#建筑消耗和buff配置索引'!$M:$M,0)))</f>
        <v/>
      </c>
      <c r="AO325" s="133" t="str">
        <f>IF(AN325="","",INDEX('#建筑消耗和buff配置索引'!BH:BH,MATCH($F325,'#建筑消耗和buff配置索引'!$M:$M,0)))</f>
        <v/>
      </c>
      <c r="AR325" s="133" t="str">
        <f>IF(INDEX('#建筑消耗和buff配置索引'!BK:BK,MATCH($F325,'#建筑消耗和buff配置索引'!$M:$M,0))=0,"",INDEX('#建筑消耗和buff配置索引'!BK:BK,MATCH($F325,'#建筑消耗和buff配置索引'!$M:$M,0)))</f>
        <v/>
      </c>
      <c r="AS325" s="133" t="str">
        <f>IF(AR325="","",INDEX('#建筑消耗和buff配置索引'!BL:BL,MATCH($F325,'#建筑消耗和buff配置索引'!$M:$M,0)))</f>
        <v/>
      </c>
      <c r="AV325" s="133" t="str">
        <f>IF(INDEX('#建筑消耗和buff配置索引'!BO:BO,MATCH($F325,'#建筑消耗和buff配置索引'!$M:$M,0))=0,"",INDEX('#建筑消耗和buff配置索引'!BO:BO,MATCH($F325,'#建筑消耗和buff配置索引'!$M:$M,0)))</f>
        <v/>
      </c>
      <c r="AW325" s="133" t="str">
        <f>IF(AV325="","",INDEX('#建筑消耗和buff配置索引'!BP:BP,MATCH($F325,'#建筑消耗和buff配置索引'!$M:$M,0)))</f>
        <v/>
      </c>
      <c r="AZ325" s="133" t="str">
        <f>IF(INDEX('#建筑消耗和buff配置索引'!BS:BS,MATCH($F325,'#建筑消耗和buff配置索引'!$M:$M,0))=0,"",INDEX('#建筑消耗和buff配置索引'!BS:BS,MATCH($F325,'#建筑消耗和buff配置索引'!$M:$M,0)))</f>
        <v/>
      </c>
      <c r="BA325" s="133" t="str">
        <f>IF(AZ325="","",INDEX('#建筑消耗和buff配置索引'!BT:BT,MATCH($F325,'#建筑消耗和buff配置索引'!$M:$M,0)))</f>
        <v/>
      </c>
      <c r="BD325" s="133" t="str">
        <f>IF(INDEX('#建筑消耗和buff配置索引'!BW:BW,MATCH($F325,'#建筑消耗和buff配置索引'!$M:$M,0))=0,"",INDEX('#建筑消耗和buff配置索引'!BW:BW,MATCH($F325,'#建筑消耗和buff配置索引'!$M:$M,0)))</f>
        <v/>
      </c>
      <c r="BE325" s="133" t="str">
        <f>IF(BD325="","",INDEX('#建筑消耗和buff配置索引'!BX:BX,MATCH($F325,'#建筑消耗和buff配置索引'!$M:$M,0)))</f>
        <v/>
      </c>
      <c r="BI325" s="133">
        <v>20</v>
      </c>
    </row>
    <row r="326" spans="1:61" s="133" customFormat="1">
      <c r="A326" s="133">
        <v>2260021</v>
      </c>
      <c r="B326" s="133">
        <v>323</v>
      </c>
      <c r="C326" s="133">
        <v>226</v>
      </c>
      <c r="D326" s="133" t="s">
        <v>469</v>
      </c>
      <c r="E326" s="133">
        <v>21</v>
      </c>
      <c r="F326" s="133" t="str">
        <f t="shared" si="6"/>
        <v>瞭望塔21</v>
      </c>
      <c r="H326" s="146"/>
      <c r="I326" s="133">
        <v>3</v>
      </c>
      <c r="J326" s="150">
        <f>INDEX('#建筑消耗和buff配置索引'!AH:AH,MATCH($F326,'#建筑消耗和buff配置索引'!$M:$M,0))</f>
        <v>92160</v>
      </c>
      <c r="K326" s="150">
        <f>INDEX('#建筑消耗和buff配置索引'!AA:AA,MATCH($F326,'#建筑消耗和buff配置索引'!$M:$M,0))</f>
        <v>1000000</v>
      </c>
      <c r="L326" s="150">
        <f>INDEX('#建筑消耗和buff配置索引'!AB:AB,MATCH($F326,'#建筑消耗和buff配置索引'!$M:$M,0))</f>
        <v>2000000</v>
      </c>
      <c r="M326" s="150">
        <f>INDEX('#建筑消耗和buff配置索引'!AC:AC,MATCH($F326,'#建筑消耗和buff配置索引'!$M:$M,0))</f>
        <v>1000000</v>
      </c>
      <c r="N326" s="150">
        <f>INDEX('#建筑消耗和buff配置索引'!AD:AD,MATCH($F326,'#建筑消耗和buff配置索引'!$M:$M,0))</f>
        <v>1000000</v>
      </c>
      <c r="O326" s="150" t="str">
        <f>IF(INDEX('#建筑消耗和buff配置索引'!T:T,MATCH($F326,'#建筑消耗和buff配置索引'!$M:$M,0))=0,"",INDEX('#建筑消耗和buff配置索引'!T:T,MATCH($F326,'#建筑消耗和buff配置索引'!$M:$M,0)))</f>
        <v/>
      </c>
      <c r="P326" s="133" t="str">
        <f>IF(INDEX('#建筑消耗和buff配置索引'!U:U,MATCH($F326,'#建筑消耗和buff配置索引'!$M:$M,0))=0,"",INDEX('#建筑消耗和buff配置索引'!U:U,MATCH($F326,'#建筑消耗和buff配置索引'!$M:$M,0)))</f>
        <v/>
      </c>
      <c r="Q326" s="133" t="str">
        <f>IF(INDEX('#建筑消耗和buff配置索引'!K:K,MATCH($F326,'#建筑消耗和buff配置索引'!$M:$M,0))=0,"",INDEX('#建筑消耗和buff配置索引'!K:K,MATCH($F326,'#建筑消耗和buff配置索引'!$M:$M,0)))</f>
        <v>201</v>
      </c>
      <c r="R326" s="133" t="str">
        <f>IF(INDEX('#建筑消耗和buff配置索引'!L:L,MATCH($F326,'#建筑消耗和buff配置索引'!$M:$M,0))=0,"",INDEX('#建筑消耗和buff配置索引'!L:L,MATCH($F326,'#建筑消耗和buff配置索引'!$M:$M,0)))</f>
        <v>21</v>
      </c>
      <c r="S326" s="133">
        <f>IF(INDEX('#建筑消耗和buff配置索引'!C:C,MATCH(F326,'#建筑消耗和buff配置索引'!M:M,0))=0,1,INDEX('#建筑消耗和buff配置索引'!C:C,MATCH(F326,'#建筑消耗和buff配置索引'!M:M,0)))</f>
        <v>1</v>
      </c>
      <c r="T326" s="133">
        <v>0</v>
      </c>
      <c r="U326" s="133">
        <v>0</v>
      </c>
      <c r="V326" s="133" t="str">
        <f>IF(E326=1,IF(INDEX('#建筑消耗和buff配置索引'!BY:BY,MATCH(D326,'#建筑消耗和buff配置索引'!A:A,0))=0,"",INDEX('#建筑消耗和buff配置索引'!BY:BY,MATCH(D326,'#建筑消耗和buff配置索引'!A:A,0))),"")</f>
        <v/>
      </c>
      <c r="W326" s="133" t="str">
        <f>IF(E326=1,IF(INDEX('#建筑消耗和buff配置索引'!BZ:BZ,MATCH(D326,'#建筑消耗和buff配置索引'!A:A,0))=0,"",INDEX('#建筑消耗和buff配置索引'!BZ:BZ,MATCH(D326,'#建筑消耗和buff配置索引'!A:A,0))),"")</f>
        <v/>
      </c>
      <c r="AA326" s="133">
        <f>INDEX('#建筑消耗和buff配置索引'!AO:AO,MATCH($F326,'#建筑消耗和buff配置索引'!$M:$M,0))</f>
        <v>43791</v>
      </c>
      <c r="AB326" s="133">
        <f>IF(INDEX('#建筑消耗和buff配置索引'!AR:AR,MATCH($F326,'#建筑消耗和buff配置索引'!$M:$M,0))=0,"",INDEX('#建筑消耗和buff配置索引'!AR:AR,MATCH($F326,'#建筑消耗和buff配置索引'!$M:$M,0)))</f>
        <v>2553</v>
      </c>
      <c r="AC326" s="133">
        <f>IF(AB326="","",INDEX('#建筑消耗和buff配置索引'!AS:AS,MATCH($F326,'#建筑消耗和buff配置索引'!$M:$M,0)))</f>
        <v>0.42</v>
      </c>
      <c r="AF326" s="133">
        <f>IF(INDEX('#建筑消耗和buff配置索引'!AW:AW,MATCH($F326,'#建筑消耗和buff配置索引'!$M:$M,0))=0,"",INDEX('#建筑消耗和buff配置索引'!AW:AW,MATCH($F326,'#建筑消耗和buff配置索引'!$M:$M,0)))</f>
        <v>2570</v>
      </c>
      <c r="AG326" s="133">
        <f>IF(AF326="","",INDEX('#建筑消耗和buff配置索引'!AX:AX,MATCH($F326,'#建筑消耗和buff配置索引'!$M:$M,0)))</f>
        <v>3</v>
      </c>
      <c r="AJ326" s="133" t="str">
        <f>IF(INDEX('#建筑消耗和buff配置索引'!BB:BB,MATCH($F326,'#建筑消耗和buff配置索引'!$M:$M,0))=0,"",INDEX('#建筑消耗和buff配置索引'!BB:BB,MATCH($F326,'#建筑消耗和buff配置索引'!$M:$M,0)))</f>
        <v/>
      </c>
      <c r="AK326" s="133" t="str">
        <f>IF(AJ326="","",INDEX('#建筑消耗和buff配置索引'!BC:BC,MATCH($F326,'#建筑消耗和buff配置索引'!$M:$M,0)))</f>
        <v/>
      </c>
      <c r="AN326" s="133" t="str">
        <f>IF(INDEX('#建筑消耗和buff配置索引'!BG:BG,MATCH($F326,'#建筑消耗和buff配置索引'!$M:$M,0))=0,"",INDEX('#建筑消耗和buff配置索引'!BG:BG,MATCH($F326,'#建筑消耗和buff配置索引'!$M:$M,0)))</f>
        <v/>
      </c>
      <c r="AO326" s="133" t="str">
        <f>IF(AN326="","",INDEX('#建筑消耗和buff配置索引'!BH:BH,MATCH($F326,'#建筑消耗和buff配置索引'!$M:$M,0)))</f>
        <v/>
      </c>
      <c r="AR326" s="133" t="str">
        <f>IF(INDEX('#建筑消耗和buff配置索引'!BK:BK,MATCH($F326,'#建筑消耗和buff配置索引'!$M:$M,0))=0,"",INDEX('#建筑消耗和buff配置索引'!BK:BK,MATCH($F326,'#建筑消耗和buff配置索引'!$M:$M,0)))</f>
        <v/>
      </c>
      <c r="AS326" s="133" t="str">
        <f>IF(AR326="","",INDEX('#建筑消耗和buff配置索引'!BL:BL,MATCH($F326,'#建筑消耗和buff配置索引'!$M:$M,0)))</f>
        <v/>
      </c>
      <c r="AV326" s="133" t="str">
        <f>IF(INDEX('#建筑消耗和buff配置索引'!BO:BO,MATCH($F326,'#建筑消耗和buff配置索引'!$M:$M,0))=0,"",INDEX('#建筑消耗和buff配置索引'!BO:BO,MATCH($F326,'#建筑消耗和buff配置索引'!$M:$M,0)))</f>
        <v/>
      </c>
      <c r="AW326" s="133" t="str">
        <f>IF(AV326="","",INDEX('#建筑消耗和buff配置索引'!BP:BP,MATCH($F326,'#建筑消耗和buff配置索引'!$M:$M,0)))</f>
        <v/>
      </c>
      <c r="AZ326" s="133" t="str">
        <f>IF(INDEX('#建筑消耗和buff配置索引'!BS:BS,MATCH($F326,'#建筑消耗和buff配置索引'!$M:$M,0))=0,"",INDEX('#建筑消耗和buff配置索引'!BS:BS,MATCH($F326,'#建筑消耗和buff配置索引'!$M:$M,0)))</f>
        <v/>
      </c>
      <c r="BA326" s="133" t="str">
        <f>IF(AZ326="","",INDEX('#建筑消耗和buff配置索引'!BT:BT,MATCH($F326,'#建筑消耗和buff配置索引'!$M:$M,0)))</f>
        <v/>
      </c>
      <c r="BD326" s="133" t="str">
        <f>IF(INDEX('#建筑消耗和buff配置索引'!BW:BW,MATCH($F326,'#建筑消耗和buff配置索引'!$M:$M,0))=0,"",INDEX('#建筑消耗和buff配置索引'!BW:BW,MATCH($F326,'#建筑消耗和buff配置索引'!$M:$M,0)))</f>
        <v/>
      </c>
      <c r="BE326" s="133" t="str">
        <f>IF(BD326="","",INDEX('#建筑消耗和buff配置索引'!BX:BX,MATCH($F326,'#建筑消耗和buff配置索引'!$M:$M,0)))</f>
        <v/>
      </c>
      <c r="BI326" s="133">
        <v>20</v>
      </c>
    </row>
    <row r="327" spans="1:61" s="133" customFormat="1">
      <c r="A327" s="133">
        <v>2260022</v>
      </c>
      <c r="B327" s="133">
        <v>324</v>
      </c>
      <c r="C327" s="133">
        <v>226</v>
      </c>
      <c r="D327" s="133" t="s">
        <v>469</v>
      </c>
      <c r="E327" s="133">
        <v>22</v>
      </c>
      <c r="F327" s="133" t="str">
        <f t="shared" si="6"/>
        <v>瞭望塔22</v>
      </c>
      <c r="H327" s="146"/>
      <c r="I327" s="133">
        <v>3</v>
      </c>
      <c r="J327" s="150">
        <f>INDEX('#建筑消耗和buff配置索引'!AH:AH,MATCH($F327,'#建筑消耗和buff配置索引'!$M:$M,0))</f>
        <v>120960</v>
      </c>
      <c r="K327" s="150">
        <f>INDEX('#建筑消耗和buff配置索引'!AA:AA,MATCH($F327,'#建筑消耗和buff配置索引'!$M:$M,0))</f>
        <v>1300000</v>
      </c>
      <c r="L327" s="150">
        <f>INDEX('#建筑消耗和buff配置索引'!AB:AB,MATCH($F327,'#建筑消耗和buff配置索引'!$M:$M,0))</f>
        <v>2600000</v>
      </c>
      <c r="M327" s="150">
        <f>INDEX('#建筑消耗和buff配置索引'!AC:AC,MATCH($F327,'#建筑消耗和buff配置索引'!$M:$M,0))</f>
        <v>1300000</v>
      </c>
      <c r="N327" s="150">
        <f>INDEX('#建筑消耗和buff配置索引'!AD:AD,MATCH($F327,'#建筑消耗和buff配置索引'!$M:$M,0))</f>
        <v>1300000</v>
      </c>
      <c r="O327" s="150" t="str">
        <f>IF(INDEX('#建筑消耗和buff配置索引'!T:T,MATCH($F327,'#建筑消耗和buff配置索引'!$M:$M,0))=0,"",INDEX('#建筑消耗和buff配置索引'!T:T,MATCH($F327,'#建筑消耗和buff配置索引'!$M:$M,0)))</f>
        <v/>
      </c>
      <c r="P327" s="133" t="str">
        <f>IF(INDEX('#建筑消耗和buff配置索引'!U:U,MATCH($F327,'#建筑消耗和buff配置索引'!$M:$M,0))=0,"",INDEX('#建筑消耗和buff配置索引'!U:U,MATCH($F327,'#建筑消耗和buff配置索引'!$M:$M,0)))</f>
        <v/>
      </c>
      <c r="Q327" s="133" t="str">
        <f>IF(INDEX('#建筑消耗和buff配置索引'!K:K,MATCH($F327,'#建筑消耗和buff配置索引'!$M:$M,0))=0,"",INDEX('#建筑消耗和buff配置索引'!K:K,MATCH($F327,'#建筑消耗和buff配置索引'!$M:$M,0)))</f>
        <v>201</v>
      </c>
      <c r="R327" s="133" t="str">
        <f>IF(INDEX('#建筑消耗和buff配置索引'!L:L,MATCH($F327,'#建筑消耗和buff配置索引'!$M:$M,0))=0,"",INDEX('#建筑消耗和buff配置索引'!L:L,MATCH($F327,'#建筑消耗和buff配置索引'!$M:$M,0)))</f>
        <v>22</v>
      </c>
      <c r="S327" s="133">
        <f>IF(INDEX('#建筑消耗和buff配置索引'!C:C,MATCH(F327,'#建筑消耗和buff配置索引'!M:M,0))=0,1,INDEX('#建筑消耗和buff配置索引'!C:C,MATCH(F327,'#建筑消耗和buff配置索引'!M:M,0)))</f>
        <v>1</v>
      </c>
      <c r="T327" s="133">
        <v>0</v>
      </c>
      <c r="U327" s="133">
        <v>0</v>
      </c>
      <c r="V327" s="133" t="str">
        <f>IF(E327=1,IF(INDEX('#建筑消耗和buff配置索引'!BY:BY,MATCH(D327,'#建筑消耗和buff配置索引'!A:A,0))=0,"",INDEX('#建筑消耗和buff配置索引'!BY:BY,MATCH(D327,'#建筑消耗和buff配置索引'!A:A,0))),"")</f>
        <v/>
      </c>
      <c r="W327" s="133" t="str">
        <f>IF(E327=1,IF(INDEX('#建筑消耗和buff配置索引'!BZ:BZ,MATCH(D327,'#建筑消耗和buff配置索引'!A:A,0))=0,"",INDEX('#建筑消耗和buff配置索引'!BZ:BZ,MATCH(D327,'#建筑消耗和buff配置索引'!A:A,0))),"")</f>
        <v/>
      </c>
      <c r="X327" s="156"/>
      <c r="Y327" s="156"/>
      <c r="Z327" s="156"/>
      <c r="AA327" s="133">
        <f>INDEX('#建筑消耗和buff配置索引'!AO:AO,MATCH($F327,'#建筑消耗和buff配置索引'!$M:$M,0))</f>
        <v>56656</v>
      </c>
      <c r="AB327" s="133">
        <f>IF(INDEX('#建筑消耗和buff配置索引'!AR:AR,MATCH($F327,'#建筑消耗和buff配置索引'!$M:$M,0))=0,"",INDEX('#建筑消耗和buff配置索引'!AR:AR,MATCH($F327,'#建筑消耗和buff配置索引'!$M:$M,0)))</f>
        <v>2553</v>
      </c>
      <c r="AC327" s="133">
        <f>IF(AB327="","",INDEX('#建筑消耗和buff配置索引'!AS:AS,MATCH($F327,'#建筑消耗和buff配置索引'!$M:$M,0)))</f>
        <v>0.44</v>
      </c>
      <c r="AF327" s="133">
        <f>IF(INDEX('#建筑消耗和buff配置索引'!AW:AW,MATCH($F327,'#建筑消耗和buff配置索引'!$M:$M,0))=0,"",INDEX('#建筑消耗和buff配置索引'!AW:AW,MATCH($F327,'#建筑消耗和buff配置索引'!$M:$M,0)))</f>
        <v>2570</v>
      </c>
      <c r="AG327" s="133">
        <f>IF(AF327="","",INDEX('#建筑消耗和buff配置索引'!AX:AX,MATCH($F327,'#建筑消耗和buff配置索引'!$M:$M,0)))</f>
        <v>3</v>
      </c>
      <c r="AJ327" s="133" t="str">
        <f>IF(INDEX('#建筑消耗和buff配置索引'!BB:BB,MATCH($F327,'#建筑消耗和buff配置索引'!$M:$M,0))=0,"",INDEX('#建筑消耗和buff配置索引'!BB:BB,MATCH($F327,'#建筑消耗和buff配置索引'!$M:$M,0)))</f>
        <v/>
      </c>
      <c r="AK327" s="133" t="str">
        <f>IF(AJ327="","",INDEX('#建筑消耗和buff配置索引'!BC:BC,MATCH($F327,'#建筑消耗和buff配置索引'!$M:$M,0)))</f>
        <v/>
      </c>
      <c r="AN327" s="133" t="str">
        <f>IF(INDEX('#建筑消耗和buff配置索引'!BG:BG,MATCH($F327,'#建筑消耗和buff配置索引'!$M:$M,0))=0,"",INDEX('#建筑消耗和buff配置索引'!BG:BG,MATCH($F327,'#建筑消耗和buff配置索引'!$M:$M,0)))</f>
        <v/>
      </c>
      <c r="AO327" s="133" t="str">
        <f>IF(AN327="","",INDEX('#建筑消耗和buff配置索引'!BH:BH,MATCH($F327,'#建筑消耗和buff配置索引'!$M:$M,0)))</f>
        <v/>
      </c>
      <c r="AR327" s="133" t="str">
        <f>IF(INDEX('#建筑消耗和buff配置索引'!BK:BK,MATCH($F327,'#建筑消耗和buff配置索引'!$M:$M,0))=0,"",INDEX('#建筑消耗和buff配置索引'!BK:BK,MATCH($F327,'#建筑消耗和buff配置索引'!$M:$M,0)))</f>
        <v/>
      </c>
      <c r="AS327" s="133" t="str">
        <f>IF(AR327="","",INDEX('#建筑消耗和buff配置索引'!BL:BL,MATCH($F327,'#建筑消耗和buff配置索引'!$M:$M,0)))</f>
        <v/>
      </c>
      <c r="AV327" s="133" t="str">
        <f>IF(INDEX('#建筑消耗和buff配置索引'!BO:BO,MATCH($F327,'#建筑消耗和buff配置索引'!$M:$M,0))=0,"",INDEX('#建筑消耗和buff配置索引'!BO:BO,MATCH($F327,'#建筑消耗和buff配置索引'!$M:$M,0)))</f>
        <v/>
      </c>
      <c r="AW327" s="133" t="str">
        <f>IF(AV327="","",INDEX('#建筑消耗和buff配置索引'!BP:BP,MATCH($F327,'#建筑消耗和buff配置索引'!$M:$M,0)))</f>
        <v/>
      </c>
      <c r="AZ327" s="133" t="str">
        <f>IF(INDEX('#建筑消耗和buff配置索引'!BS:BS,MATCH($F327,'#建筑消耗和buff配置索引'!$M:$M,0))=0,"",INDEX('#建筑消耗和buff配置索引'!BS:BS,MATCH($F327,'#建筑消耗和buff配置索引'!$M:$M,0)))</f>
        <v/>
      </c>
      <c r="BA327" s="133" t="str">
        <f>IF(AZ327="","",INDEX('#建筑消耗和buff配置索引'!BT:BT,MATCH($F327,'#建筑消耗和buff配置索引'!$M:$M,0)))</f>
        <v/>
      </c>
      <c r="BD327" s="133" t="str">
        <f>IF(INDEX('#建筑消耗和buff配置索引'!BW:BW,MATCH($F327,'#建筑消耗和buff配置索引'!$M:$M,0))=0,"",INDEX('#建筑消耗和buff配置索引'!BW:BW,MATCH($F327,'#建筑消耗和buff配置索引'!$M:$M,0)))</f>
        <v/>
      </c>
      <c r="BE327" s="133" t="str">
        <f>IF(BD327="","",INDEX('#建筑消耗和buff配置索引'!BX:BX,MATCH($F327,'#建筑消耗和buff配置索引'!$M:$M,0)))</f>
        <v/>
      </c>
      <c r="BI327" s="133">
        <v>20</v>
      </c>
    </row>
    <row r="328" spans="1:61" s="133" customFormat="1">
      <c r="A328" s="133">
        <v>2260023</v>
      </c>
      <c r="B328" s="133">
        <v>325</v>
      </c>
      <c r="C328" s="133">
        <v>226</v>
      </c>
      <c r="D328" s="133" t="s">
        <v>469</v>
      </c>
      <c r="E328" s="133">
        <v>23</v>
      </c>
      <c r="F328" s="133" t="str">
        <f t="shared" si="6"/>
        <v>瞭望塔23</v>
      </c>
      <c r="H328" s="146"/>
      <c r="I328" s="133">
        <v>3</v>
      </c>
      <c r="J328" s="150">
        <f>INDEX('#建筑消耗和buff配置索引'!AH:AH,MATCH($F328,'#建筑消耗和buff配置索引'!$M:$M,0))</f>
        <v>155520</v>
      </c>
      <c r="K328" s="150">
        <f>INDEX('#建筑消耗和buff配置索引'!AA:AA,MATCH($F328,'#建筑消耗和buff配置索引'!$M:$M,0))</f>
        <v>1600000</v>
      </c>
      <c r="L328" s="150">
        <f>INDEX('#建筑消耗和buff配置索引'!AB:AB,MATCH($F328,'#建筑消耗和buff配置索引'!$M:$M,0))</f>
        <v>3300000</v>
      </c>
      <c r="M328" s="150">
        <f>INDEX('#建筑消耗和buff配置索引'!AC:AC,MATCH($F328,'#建筑消耗和buff配置索引'!$M:$M,0))</f>
        <v>1600000</v>
      </c>
      <c r="N328" s="150">
        <f>INDEX('#建筑消耗和buff配置索引'!AD:AD,MATCH($F328,'#建筑消耗和buff配置索引'!$M:$M,0))</f>
        <v>1600000</v>
      </c>
      <c r="O328" s="150" t="str">
        <f>IF(INDEX('#建筑消耗和buff配置索引'!T:T,MATCH($F328,'#建筑消耗和buff配置索引'!$M:$M,0))=0,"",INDEX('#建筑消耗和buff配置索引'!T:T,MATCH($F328,'#建筑消耗和buff配置索引'!$M:$M,0)))</f>
        <v/>
      </c>
      <c r="P328" s="133" t="str">
        <f>IF(INDEX('#建筑消耗和buff配置索引'!U:U,MATCH($F328,'#建筑消耗和buff配置索引'!$M:$M,0))=0,"",INDEX('#建筑消耗和buff配置索引'!U:U,MATCH($F328,'#建筑消耗和buff配置索引'!$M:$M,0)))</f>
        <v/>
      </c>
      <c r="Q328" s="133" t="str">
        <f>IF(INDEX('#建筑消耗和buff配置索引'!K:K,MATCH($F328,'#建筑消耗和buff配置索引'!$M:$M,0))=0,"",INDEX('#建筑消耗和buff配置索引'!K:K,MATCH($F328,'#建筑消耗和buff配置索引'!$M:$M,0)))</f>
        <v>201</v>
      </c>
      <c r="R328" s="133" t="str">
        <f>IF(INDEX('#建筑消耗和buff配置索引'!L:L,MATCH($F328,'#建筑消耗和buff配置索引'!$M:$M,0))=0,"",INDEX('#建筑消耗和buff配置索引'!L:L,MATCH($F328,'#建筑消耗和buff配置索引'!$M:$M,0)))</f>
        <v>23</v>
      </c>
      <c r="S328" s="133">
        <f>IF(INDEX('#建筑消耗和buff配置索引'!C:C,MATCH(F328,'#建筑消耗和buff配置索引'!M:M,0))=0,1,INDEX('#建筑消耗和buff配置索引'!C:C,MATCH(F328,'#建筑消耗和buff配置索引'!M:M,0)))</f>
        <v>1</v>
      </c>
      <c r="T328" s="133">
        <v>0</v>
      </c>
      <c r="U328" s="133">
        <v>0</v>
      </c>
      <c r="V328" s="133" t="str">
        <f>IF(E328=1,IF(INDEX('#建筑消耗和buff配置索引'!BY:BY,MATCH(D328,'#建筑消耗和buff配置索引'!A:A,0))=0,"",INDEX('#建筑消耗和buff配置索引'!BY:BY,MATCH(D328,'#建筑消耗和buff配置索引'!A:A,0))),"")</f>
        <v/>
      </c>
      <c r="W328" s="133" t="str">
        <f>IF(E328=1,IF(INDEX('#建筑消耗和buff配置索引'!BZ:BZ,MATCH(D328,'#建筑消耗和buff配置索引'!A:A,0))=0,"",INDEX('#建筑消耗和buff配置索引'!BZ:BZ,MATCH(D328,'#建筑消耗和buff配置索引'!A:A,0))),"")</f>
        <v/>
      </c>
      <c r="AA328" s="133">
        <f>INDEX('#建筑消耗和buff配置索引'!AO:AO,MATCH($F328,'#建筑消耗和buff配置索引'!$M:$M,0))</f>
        <v>73122</v>
      </c>
      <c r="AB328" s="133">
        <f>IF(INDEX('#建筑消耗和buff配置索引'!AR:AR,MATCH($F328,'#建筑消耗和buff配置索引'!$M:$M,0))=0,"",INDEX('#建筑消耗和buff配置索引'!AR:AR,MATCH($F328,'#建筑消耗和buff配置索引'!$M:$M,0)))</f>
        <v>2553</v>
      </c>
      <c r="AC328" s="133">
        <f>IF(AB328="","",INDEX('#建筑消耗和buff配置索引'!AS:AS,MATCH($F328,'#建筑消耗和buff配置索引'!$M:$M,0)))</f>
        <v>0.46</v>
      </c>
      <c r="AF328" s="133">
        <f>IF(INDEX('#建筑消耗和buff配置索引'!AW:AW,MATCH($F328,'#建筑消耗和buff配置索引'!$M:$M,0))=0,"",INDEX('#建筑消耗和buff配置索引'!AW:AW,MATCH($F328,'#建筑消耗和buff配置索引'!$M:$M,0)))</f>
        <v>2570</v>
      </c>
      <c r="AG328" s="133">
        <f>IF(AF328="","",INDEX('#建筑消耗和buff配置索引'!AX:AX,MATCH($F328,'#建筑消耗和buff配置索引'!$M:$M,0)))</f>
        <v>3</v>
      </c>
      <c r="AJ328" s="133" t="str">
        <f>IF(INDEX('#建筑消耗和buff配置索引'!BB:BB,MATCH($F328,'#建筑消耗和buff配置索引'!$M:$M,0))=0,"",INDEX('#建筑消耗和buff配置索引'!BB:BB,MATCH($F328,'#建筑消耗和buff配置索引'!$M:$M,0)))</f>
        <v/>
      </c>
      <c r="AK328" s="133" t="str">
        <f>IF(AJ328="","",INDEX('#建筑消耗和buff配置索引'!BC:BC,MATCH($F328,'#建筑消耗和buff配置索引'!$M:$M,0)))</f>
        <v/>
      </c>
      <c r="AN328" s="133" t="str">
        <f>IF(INDEX('#建筑消耗和buff配置索引'!BG:BG,MATCH($F328,'#建筑消耗和buff配置索引'!$M:$M,0))=0,"",INDEX('#建筑消耗和buff配置索引'!BG:BG,MATCH($F328,'#建筑消耗和buff配置索引'!$M:$M,0)))</f>
        <v/>
      </c>
      <c r="AO328" s="133" t="str">
        <f>IF(AN328="","",INDEX('#建筑消耗和buff配置索引'!BH:BH,MATCH($F328,'#建筑消耗和buff配置索引'!$M:$M,0)))</f>
        <v/>
      </c>
      <c r="AR328" s="133" t="str">
        <f>IF(INDEX('#建筑消耗和buff配置索引'!BK:BK,MATCH($F328,'#建筑消耗和buff配置索引'!$M:$M,0))=0,"",INDEX('#建筑消耗和buff配置索引'!BK:BK,MATCH($F328,'#建筑消耗和buff配置索引'!$M:$M,0)))</f>
        <v/>
      </c>
      <c r="AS328" s="133" t="str">
        <f>IF(AR328="","",INDEX('#建筑消耗和buff配置索引'!BL:BL,MATCH($F328,'#建筑消耗和buff配置索引'!$M:$M,0)))</f>
        <v/>
      </c>
      <c r="AV328" s="133" t="str">
        <f>IF(INDEX('#建筑消耗和buff配置索引'!BO:BO,MATCH($F328,'#建筑消耗和buff配置索引'!$M:$M,0))=0,"",INDEX('#建筑消耗和buff配置索引'!BO:BO,MATCH($F328,'#建筑消耗和buff配置索引'!$M:$M,0)))</f>
        <v/>
      </c>
      <c r="AW328" s="133" t="str">
        <f>IF(AV328="","",INDEX('#建筑消耗和buff配置索引'!BP:BP,MATCH($F328,'#建筑消耗和buff配置索引'!$M:$M,0)))</f>
        <v/>
      </c>
      <c r="AZ328" s="133" t="str">
        <f>IF(INDEX('#建筑消耗和buff配置索引'!BS:BS,MATCH($F328,'#建筑消耗和buff配置索引'!$M:$M,0))=0,"",INDEX('#建筑消耗和buff配置索引'!BS:BS,MATCH($F328,'#建筑消耗和buff配置索引'!$M:$M,0)))</f>
        <v/>
      </c>
      <c r="BA328" s="133" t="str">
        <f>IF(AZ328="","",INDEX('#建筑消耗和buff配置索引'!BT:BT,MATCH($F328,'#建筑消耗和buff配置索引'!$M:$M,0)))</f>
        <v/>
      </c>
      <c r="BD328" s="133" t="str">
        <f>IF(INDEX('#建筑消耗和buff配置索引'!BW:BW,MATCH($F328,'#建筑消耗和buff配置索引'!$M:$M,0))=0,"",INDEX('#建筑消耗和buff配置索引'!BW:BW,MATCH($F328,'#建筑消耗和buff配置索引'!$M:$M,0)))</f>
        <v/>
      </c>
      <c r="BE328" s="133" t="str">
        <f>IF(BD328="","",INDEX('#建筑消耗和buff配置索引'!BX:BX,MATCH($F328,'#建筑消耗和buff配置索引'!$M:$M,0)))</f>
        <v/>
      </c>
      <c r="BI328" s="133">
        <v>20</v>
      </c>
    </row>
    <row r="329" spans="1:61" s="133" customFormat="1">
      <c r="A329" s="133">
        <v>2260024</v>
      </c>
      <c r="B329" s="133">
        <v>326</v>
      </c>
      <c r="C329" s="133">
        <v>226</v>
      </c>
      <c r="D329" s="133" t="s">
        <v>469</v>
      </c>
      <c r="E329" s="133">
        <v>24</v>
      </c>
      <c r="F329" s="133" t="str">
        <f t="shared" si="6"/>
        <v>瞭望塔24</v>
      </c>
      <c r="H329" s="146"/>
      <c r="I329" s="133">
        <v>3</v>
      </c>
      <c r="J329" s="150">
        <f>INDEX('#建筑消耗和buff配置索引'!AH:AH,MATCH($F329,'#建筑消耗和buff配置索引'!$M:$M,0))</f>
        <v>198720</v>
      </c>
      <c r="K329" s="150">
        <f>INDEX('#建筑消耗和buff配置索引'!AA:AA,MATCH($F329,'#建筑消耗和buff配置索引'!$M:$M,0))</f>
        <v>2100000</v>
      </c>
      <c r="L329" s="150">
        <f>INDEX('#建筑消耗和buff配置索引'!AB:AB,MATCH($F329,'#建筑消耗和buff配置索引'!$M:$M,0))</f>
        <v>4200000</v>
      </c>
      <c r="M329" s="150">
        <f>INDEX('#建筑消耗和buff配置索引'!AC:AC,MATCH($F329,'#建筑消耗和buff配置索引'!$M:$M,0))</f>
        <v>2100000</v>
      </c>
      <c r="N329" s="150">
        <f>INDEX('#建筑消耗和buff配置索引'!AD:AD,MATCH($F329,'#建筑消耗和buff配置索引'!$M:$M,0))</f>
        <v>2100000</v>
      </c>
      <c r="O329" s="150" t="str">
        <f>IF(INDEX('#建筑消耗和buff配置索引'!T:T,MATCH($F329,'#建筑消耗和buff配置索引'!$M:$M,0))=0,"",INDEX('#建筑消耗和buff配置索引'!T:T,MATCH($F329,'#建筑消耗和buff配置索引'!$M:$M,0)))</f>
        <v/>
      </c>
      <c r="P329" s="133" t="str">
        <f>IF(INDEX('#建筑消耗和buff配置索引'!U:U,MATCH($F329,'#建筑消耗和buff配置索引'!$M:$M,0))=0,"",INDEX('#建筑消耗和buff配置索引'!U:U,MATCH($F329,'#建筑消耗和buff配置索引'!$M:$M,0)))</f>
        <v/>
      </c>
      <c r="Q329" s="133" t="str">
        <f>IF(INDEX('#建筑消耗和buff配置索引'!K:K,MATCH($F329,'#建筑消耗和buff配置索引'!$M:$M,0))=0,"",INDEX('#建筑消耗和buff配置索引'!K:K,MATCH($F329,'#建筑消耗和buff配置索引'!$M:$M,0)))</f>
        <v>201</v>
      </c>
      <c r="R329" s="133" t="str">
        <f>IF(INDEX('#建筑消耗和buff配置索引'!L:L,MATCH($F329,'#建筑消耗和buff配置索引'!$M:$M,0))=0,"",INDEX('#建筑消耗和buff配置索引'!L:L,MATCH($F329,'#建筑消耗和buff配置索引'!$M:$M,0)))</f>
        <v>24</v>
      </c>
      <c r="S329" s="133">
        <f>IF(INDEX('#建筑消耗和buff配置索引'!C:C,MATCH(F329,'#建筑消耗和buff配置索引'!M:M,0))=0,1,INDEX('#建筑消耗和buff配置索引'!C:C,MATCH(F329,'#建筑消耗和buff配置索引'!M:M,0)))</f>
        <v>1</v>
      </c>
      <c r="T329" s="133">
        <v>0</v>
      </c>
      <c r="U329" s="133">
        <v>0</v>
      </c>
      <c r="V329" s="133" t="str">
        <f>IF(E329=1,IF(INDEX('#建筑消耗和buff配置索引'!BY:BY,MATCH(D329,'#建筑消耗和buff配置索引'!A:A,0))=0,"",INDEX('#建筑消耗和buff配置索引'!BY:BY,MATCH(D329,'#建筑消耗和buff配置索引'!A:A,0))),"")</f>
        <v/>
      </c>
      <c r="W329" s="133" t="str">
        <f>IF(E329=1,IF(INDEX('#建筑消耗和buff配置索引'!BZ:BZ,MATCH(D329,'#建筑消耗和buff配置索引'!A:A,0))=0,"",INDEX('#建筑消耗和buff配置索引'!BZ:BZ,MATCH(D329,'#建筑消耗和buff配置索引'!A:A,0))),"")</f>
        <v/>
      </c>
      <c r="X329" s="156"/>
      <c r="Y329" s="156"/>
      <c r="Z329" s="156"/>
      <c r="AA329" s="133">
        <f>INDEX('#建筑消耗和buff配置索引'!AO:AO,MATCH($F329,'#建筑消耗和buff配置索引'!$M:$M,0))</f>
        <v>94200</v>
      </c>
      <c r="AB329" s="133">
        <f>IF(INDEX('#建筑消耗和buff配置索引'!AR:AR,MATCH($F329,'#建筑消耗和buff配置索引'!$M:$M,0))=0,"",INDEX('#建筑消耗和buff配置索引'!AR:AR,MATCH($F329,'#建筑消耗和buff配置索引'!$M:$M,0)))</f>
        <v>2553</v>
      </c>
      <c r="AC329" s="133">
        <f>IF(AB329="","",INDEX('#建筑消耗和buff配置索引'!AS:AS,MATCH($F329,'#建筑消耗和buff配置索引'!$M:$M,0)))</f>
        <v>0.48</v>
      </c>
      <c r="AF329" s="133">
        <f>IF(INDEX('#建筑消耗和buff配置索引'!AW:AW,MATCH($F329,'#建筑消耗和buff配置索引'!$M:$M,0))=0,"",INDEX('#建筑消耗和buff配置索引'!AW:AW,MATCH($F329,'#建筑消耗和buff配置索引'!$M:$M,0)))</f>
        <v>2570</v>
      </c>
      <c r="AG329" s="133">
        <f>IF(AF329="","",INDEX('#建筑消耗和buff配置索引'!AX:AX,MATCH($F329,'#建筑消耗和buff配置索引'!$M:$M,0)))</f>
        <v>3</v>
      </c>
      <c r="AJ329" s="133" t="str">
        <f>IF(INDEX('#建筑消耗和buff配置索引'!BB:BB,MATCH($F329,'#建筑消耗和buff配置索引'!$M:$M,0))=0,"",INDEX('#建筑消耗和buff配置索引'!BB:BB,MATCH($F329,'#建筑消耗和buff配置索引'!$M:$M,0)))</f>
        <v/>
      </c>
      <c r="AK329" s="133" t="str">
        <f>IF(AJ329="","",INDEX('#建筑消耗和buff配置索引'!BC:BC,MATCH($F329,'#建筑消耗和buff配置索引'!$M:$M,0)))</f>
        <v/>
      </c>
      <c r="AN329" s="133" t="str">
        <f>IF(INDEX('#建筑消耗和buff配置索引'!BG:BG,MATCH($F329,'#建筑消耗和buff配置索引'!$M:$M,0))=0,"",INDEX('#建筑消耗和buff配置索引'!BG:BG,MATCH($F329,'#建筑消耗和buff配置索引'!$M:$M,0)))</f>
        <v/>
      </c>
      <c r="AO329" s="133" t="str">
        <f>IF(AN329="","",INDEX('#建筑消耗和buff配置索引'!BH:BH,MATCH($F329,'#建筑消耗和buff配置索引'!$M:$M,0)))</f>
        <v/>
      </c>
      <c r="AR329" s="133" t="str">
        <f>IF(INDEX('#建筑消耗和buff配置索引'!BK:BK,MATCH($F329,'#建筑消耗和buff配置索引'!$M:$M,0))=0,"",INDEX('#建筑消耗和buff配置索引'!BK:BK,MATCH($F329,'#建筑消耗和buff配置索引'!$M:$M,0)))</f>
        <v/>
      </c>
      <c r="AS329" s="133" t="str">
        <f>IF(AR329="","",INDEX('#建筑消耗和buff配置索引'!BL:BL,MATCH($F329,'#建筑消耗和buff配置索引'!$M:$M,0)))</f>
        <v/>
      </c>
      <c r="AV329" s="133" t="str">
        <f>IF(INDEX('#建筑消耗和buff配置索引'!BO:BO,MATCH($F329,'#建筑消耗和buff配置索引'!$M:$M,0))=0,"",INDEX('#建筑消耗和buff配置索引'!BO:BO,MATCH($F329,'#建筑消耗和buff配置索引'!$M:$M,0)))</f>
        <v/>
      </c>
      <c r="AW329" s="133" t="str">
        <f>IF(AV329="","",INDEX('#建筑消耗和buff配置索引'!BP:BP,MATCH($F329,'#建筑消耗和buff配置索引'!$M:$M,0)))</f>
        <v/>
      </c>
      <c r="AZ329" s="133" t="str">
        <f>IF(INDEX('#建筑消耗和buff配置索引'!BS:BS,MATCH($F329,'#建筑消耗和buff配置索引'!$M:$M,0))=0,"",INDEX('#建筑消耗和buff配置索引'!BS:BS,MATCH($F329,'#建筑消耗和buff配置索引'!$M:$M,0)))</f>
        <v/>
      </c>
      <c r="BA329" s="133" t="str">
        <f>IF(AZ329="","",INDEX('#建筑消耗和buff配置索引'!BT:BT,MATCH($F329,'#建筑消耗和buff配置索引'!$M:$M,0)))</f>
        <v/>
      </c>
      <c r="BD329" s="133" t="str">
        <f>IF(INDEX('#建筑消耗和buff配置索引'!BW:BW,MATCH($F329,'#建筑消耗和buff配置索引'!$M:$M,0))=0,"",INDEX('#建筑消耗和buff配置索引'!BW:BW,MATCH($F329,'#建筑消耗和buff配置索引'!$M:$M,0)))</f>
        <v/>
      </c>
      <c r="BE329" s="133" t="str">
        <f>IF(BD329="","",INDEX('#建筑消耗和buff配置索引'!BX:BX,MATCH($F329,'#建筑消耗和buff配置索引'!$M:$M,0)))</f>
        <v/>
      </c>
      <c r="BI329" s="133">
        <v>20</v>
      </c>
    </row>
    <row r="330" spans="1:61" s="133" customFormat="1">
      <c r="A330" s="133">
        <v>2260025</v>
      </c>
      <c r="B330" s="133">
        <v>327</v>
      </c>
      <c r="C330" s="133">
        <v>226</v>
      </c>
      <c r="D330" s="133" t="s">
        <v>469</v>
      </c>
      <c r="E330" s="133">
        <v>25</v>
      </c>
      <c r="F330" s="133" t="str">
        <f t="shared" si="6"/>
        <v>瞭望塔25</v>
      </c>
      <c r="H330" s="146"/>
      <c r="I330" s="133">
        <v>3</v>
      </c>
      <c r="J330" s="150">
        <f>INDEX('#建筑消耗和buff配置索引'!AH:AH,MATCH($F330,'#建筑消耗和buff配置索引'!$M:$M,0))</f>
        <v>250560</v>
      </c>
      <c r="K330" s="150">
        <f>INDEX('#建筑消耗和buff配置索引'!AA:AA,MATCH($F330,'#建筑消耗和buff配置索引'!$M:$M,0))</f>
        <v>2700000</v>
      </c>
      <c r="L330" s="150">
        <f>INDEX('#建筑消耗和buff配置索引'!AB:AB,MATCH($F330,'#建筑消耗和buff配置索引'!$M:$M,0))</f>
        <v>5400000</v>
      </c>
      <c r="M330" s="150">
        <f>INDEX('#建筑消耗和buff配置索引'!AC:AC,MATCH($F330,'#建筑消耗和buff配置索引'!$M:$M,0))</f>
        <v>2700000</v>
      </c>
      <c r="N330" s="150">
        <f>INDEX('#建筑消耗和buff配置索引'!AD:AD,MATCH($F330,'#建筑消耗和buff配置索引'!$M:$M,0))</f>
        <v>2700000</v>
      </c>
      <c r="O330" s="150" t="str">
        <f>IF(INDEX('#建筑消耗和buff配置索引'!T:T,MATCH($F330,'#建筑消耗和buff配置索引'!$M:$M,0))=0,"",INDEX('#建筑消耗和buff配置索引'!T:T,MATCH($F330,'#建筑消耗和buff配置索引'!$M:$M,0)))</f>
        <v/>
      </c>
      <c r="P330" s="133" t="str">
        <f>IF(INDEX('#建筑消耗和buff配置索引'!U:U,MATCH($F330,'#建筑消耗和buff配置索引'!$M:$M,0))=0,"",INDEX('#建筑消耗和buff配置索引'!U:U,MATCH($F330,'#建筑消耗和buff配置索引'!$M:$M,0)))</f>
        <v/>
      </c>
      <c r="Q330" s="133" t="str">
        <f>IF(INDEX('#建筑消耗和buff配置索引'!K:K,MATCH($F330,'#建筑消耗和buff配置索引'!$M:$M,0))=0,"",INDEX('#建筑消耗和buff配置索引'!K:K,MATCH($F330,'#建筑消耗和buff配置索引'!$M:$M,0)))</f>
        <v>201</v>
      </c>
      <c r="R330" s="133" t="str">
        <f>IF(INDEX('#建筑消耗和buff配置索引'!L:L,MATCH($F330,'#建筑消耗和buff配置索引'!$M:$M,0))=0,"",INDEX('#建筑消耗和buff配置索引'!L:L,MATCH($F330,'#建筑消耗和buff配置索引'!$M:$M,0)))</f>
        <v>25</v>
      </c>
      <c r="S330" s="133">
        <f>IF(INDEX('#建筑消耗和buff配置索引'!C:C,MATCH(F330,'#建筑消耗和buff配置索引'!M:M,0))=0,1,INDEX('#建筑消耗和buff配置索引'!C:C,MATCH(F330,'#建筑消耗和buff配置索引'!M:M,0)))</f>
        <v>1</v>
      </c>
      <c r="T330" s="133">
        <v>0</v>
      </c>
      <c r="U330" s="133">
        <v>0</v>
      </c>
      <c r="V330" s="133" t="str">
        <f>IF(E330=1,IF(INDEX('#建筑消耗和buff配置索引'!BY:BY,MATCH(D330,'#建筑消耗和buff配置索引'!A:A,0))=0,"",INDEX('#建筑消耗和buff配置索引'!BY:BY,MATCH(D330,'#建筑消耗和buff配置索引'!A:A,0))),"")</f>
        <v/>
      </c>
      <c r="W330" s="133" t="str">
        <f>IF(E330=1,IF(INDEX('#建筑消耗和buff配置索引'!BZ:BZ,MATCH(D330,'#建筑消耗和buff配置索引'!A:A,0))=0,"",INDEX('#建筑消耗和buff配置索引'!BZ:BZ,MATCH(D330,'#建筑消耗和buff配置索引'!A:A,0))),"")</f>
        <v/>
      </c>
      <c r="AA330" s="133">
        <f>INDEX('#建筑消耗和buff配置索引'!AO:AO,MATCH($F330,'#建筑消耗和buff配置索引'!$M:$M,0))</f>
        <v>121179</v>
      </c>
      <c r="AB330" s="133">
        <f>IF(INDEX('#建筑消耗和buff配置索引'!AR:AR,MATCH($F330,'#建筑消耗和buff配置索引'!$M:$M,0))=0,"",INDEX('#建筑消耗和buff配置索引'!AR:AR,MATCH($F330,'#建筑消耗和buff配置索引'!$M:$M,0)))</f>
        <v>2553</v>
      </c>
      <c r="AC330" s="133">
        <f>IF(AB330="","",INDEX('#建筑消耗和buff配置索引'!AS:AS,MATCH($F330,'#建筑消耗和buff配置索引'!$M:$M,0)))</f>
        <v>0.5</v>
      </c>
      <c r="AF330" s="133">
        <f>IF(INDEX('#建筑消耗和buff配置索引'!AW:AW,MATCH($F330,'#建筑消耗和buff配置索引'!$M:$M,0))=0,"",INDEX('#建筑消耗和buff配置索引'!AW:AW,MATCH($F330,'#建筑消耗和buff配置索引'!$M:$M,0)))</f>
        <v>2570</v>
      </c>
      <c r="AG330" s="133">
        <f>IF(AF330="","",INDEX('#建筑消耗和buff配置索引'!AX:AX,MATCH($F330,'#建筑消耗和buff配置索引'!$M:$M,0)))</f>
        <v>3</v>
      </c>
      <c r="AJ330" s="133" t="str">
        <f>IF(INDEX('#建筑消耗和buff配置索引'!BB:BB,MATCH($F330,'#建筑消耗和buff配置索引'!$M:$M,0))=0,"",INDEX('#建筑消耗和buff配置索引'!BB:BB,MATCH($F330,'#建筑消耗和buff配置索引'!$M:$M,0)))</f>
        <v/>
      </c>
      <c r="AK330" s="133" t="str">
        <f>IF(AJ330="","",INDEX('#建筑消耗和buff配置索引'!BC:BC,MATCH($F330,'#建筑消耗和buff配置索引'!$M:$M,0)))</f>
        <v/>
      </c>
      <c r="AN330" s="133" t="str">
        <f>IF(INDEX('#建筑消耗和buff配置索引'!BG:BG,MATCH($F330,'#建筑消耗和buff配置索引'!$M:$M,0))=0,"",INDEX('#建筑消耗和buff配置索引'!BG:BG,MATCH($F330,'#建筑消耗和buff配置索引'!$M:$M,0)))</f>
        <v/>
      </c>
      <c r="AO330" s="133" t="str">
        <f>IF(AN330="","",INDEX('#建筑消耗和buff配置索引'!BH:BH,MATCH($F330,'#建筑消耗和buff配置索引'!$M:$M,0)))</f>
        <v/>
      </c>
      <c r="AR330" s="133" t="str">
        <f>IF(INDEX('#建筑消耗和buff配置索引'!BK:BK,MATCH($F330,'#建筑消耗和buff配置索引'!$M:$M,0))=0,"",INDEX('#建筑消耗和buff配置索引'!BK:BK,MATCH($F330,'#建筑消耗和buff配置索引'!$M:$M,0)))</f>
        <v/>
      </c>
      <c r="AS330" s="133" t="str">
        <f>IF(AR330="","",INDEX('#建筑消耗和buff配置索引'!BL:BL,MATCH($F330,'#建筑消耗和buff配置索引'!$M:$M,0)))</f>
        <v/>
      </c>
      <c r="AV330" s="133" t="str">
        <f>IF(INDEX('#建筑消耗和buff配置索引'!BO:BO,MATCH($F330,'#建筑消耗和buff配置索引'!$M:$M,0))=0,"",INDEX('#建筑消耗和buff配置索引'!BO:BO,MATCH($F330,'#建筑消耗和buff配置索引'!$M:$M,0)))</f>
        <v/>
      </c>
      <c r="AW330" s="133" t="str">
        <f>IF(AV330="","",INDEX('#建筑消耗和buff配置索引'!BP:BP,MATCH($F330,'#建筑消耗和buff配置索引'!$M:$M,0)))</f>
        <v/>
      </c>
      <c r="AZ330" s="133" t="str">
        <f>IF(INDEX('#建筑消耗和buff配置索引'!BS:BS,MATCH($F330,'#建筑消耗和buff配置索引'!$M:$M,0))=0,"",INDEX('#建筑消耗和buff配置索引'!BS:BS,MATCH($F330,'#建筑消耗和buff配置索引'!$M:$M,0)))</f>
        <v/>
      </c>
      <c r="BA330" s="133" t="str">
        <f>IF(AZ330="","",INDEX('#建筑消耗和buff配置索引'!BT:BT,MATCH($F330,'#建筑消耗和buff配置索引'!$M:$M,0)))</f>
        <v/>
      </c>
      <c r="BD330" s="133" t="str">
        <f>IF(INDEX('#建筑消耗和buff配置索引'!BW:BW,MATCH($F330,'#建筑消耗和buff配置索引'!$M:$M,0))=0,"",INDEX('#建筑消耗和buff配置索引'!BW:BW,MATCH($F330,'#建筑消耗和buff配置索引'!$M:$M,0)))</f>
        <v/>
      </c>
      <c r="BE330" s="133" t="str">
        <f>IF(BD330="","",INDEX('#建筑消耗和buff配置索引'!BX:BX,MATCH($F330,'#建筑消耗和buff配置索引'!$M:$M,0)))</f>
        <v/>
      </c>
      <c r="BI330" s="133">
        <v>20</v>
      </c>
    </row>
    <row r="331" spans="1:61" s="133" customFormat="1">
      <c r="A331" s="133">
        <v>2260026</v>
      </c>
      <c r="B331" s="133">
        <v>328</v>
      </c>
      <c r="C331" s="133">
        <v>226</v>
      </c>
      <c r="D331" s="133" t="s">
        <v>469</v>
      </c>
      <c r="E331" s="133">
        <v>26</v>
      </c>
      <c r="F331" s="133" t="str">
        <f t="shared" si="6"/>
        <v>瞭望塔26</v>
      </c>
      <c r="H331" s="146"/>
      <c r="I331" s="133">
        <v>3</v>
      </c>
      <c r="J331" s="150">
        <f>INDEX('#建筑消耗和buff配置索引'!AH:AH,MATCH($F331,'#建筑消耗和buff配置索引'!$M:$M,0))</f>
        <v>311040</v>
      </c>
      <c r="K331" s="150">
        <f>INDEX('#建筑消耗和buff配置索引'!AA:AA,MATCH($F331,'#建筑消耗和buff配置索引'!$M:$M,0))</f>
        <v>3500000</v>
      </c>
      <c r="L331" s="150">
        <f>INDEX('#建筑消耗和buff配置索引'!AB:AB,MATCH($F331,'#建筑消耗和buff配置索引'!$M:$M,0))</f>
        <v>6900000</v>
      </c>
      <c r="M331" s="150">
        <f>INDEX('#建筑消耗和buff配置索引'!AC:AC,MATCH($F331,'#建筑消耗和buff配置索引'!$M:$M,0))</f>
        <v>3500000</v>
      </c>
      <c r="N331" s="150">
        <f>INDEX('#建筑消耗和buff配置索引'!AD:AD,MATCH($F331,'#建筑消耗和buff配置索引'!$M:$M,0))</f>
        <v>3500000</v>
      </c>
      <c r="O331" s="150" t="str">
        <f>IF(INDEX('#建筑消耗和buff配置索引'!T:T,MATCH($F331,'#建筑消耗和buff配置索引'!$M:$M,0))=0,"",INDEX('#建筑消耗和buff配置索引'!T:T,MATCH($F331,'#建筑消耗和buff配置索引'!$M:$M,0)))</f>
        <v/>
      </c>
      <c r="P331" s="133" t="str">
        <f>IF(INDEX('#建筑消耗和buff配置索引'!U:U,MATCH($F331,'#建筑消耗和buff配置索引'!$M:$M,0))=0,"",INDEX('#建筑消耗和buff配置索引'!U:U,MATCH($F331,'#建筑消耗和buff配置索引'!$M:$M,0)))</f>
        <v/>
      </c>
      <c r="Q331" s="133" t="str">
        <f>IF(INDEX('#建筑消耗和buff配置索引'!K:K,MATCH($F331,'#建筑消耗和buff配置索引'!$M:$M,0))=0,"",INDEX('#建筑消耗和buff配置索引'!K:K,MATCH($F331,'#建筑消耗和buff配置索引'!$M:$M,0)))</f>
        <v>201</v>
      </c>
      <c r="R331" s="133" t="str">
        <f>IF(INDEX('#建筑消耗和buff配置索引'!L:L,MATCH($F331,'#建筑消耗和buff配置索引'!$M:$M,0))=0,"",INDEX('#建筑消耗和buff配置索引'!L:L,MATCH($F331,'#建筑消耗和buff配置索引'!$M:$M,0)))</f>
        <v>26</v>
      </c>
      <c r="S331" s="133">
        <f>IF(INDEX('#建筑消耗和buff配置索引'!C:C,MATCH(F331,'#建筑消耗和buff配置索引'!M:M,0))=0,1,INDEX('#建筑消耗和buff配置索引'!C:C,MATCH(F331,'#建筑消耗和buff配置索引'!M:M,0)))</f>
        <v>1</v>
      </c>
      <c r="T331" s="133">
        <v>0</v>
      </c>
      <c r="U331" s="133">
        <v>0</v>
      </c>
      <c r="V331" s="133" t="str">
        <f>IF(E331=1,IF(INDEX('#建筑消耗和buff配置索引'!BY:BY,MATCH(D331,'#建筑消耗和buff配置索引'!A:A,0))=0,"",INDEX('#建筑消耗和buff配置索引'!BY:BY,MATCH(D331,'#建筑消耗和buff配置索引'!A:A,0))),"")</f>
        <v/>
      </c>
      <c r="W331" s="133" t="str">
        <f>IF(E331=1,IF(INDEX('#建筑消耗和buff配置索引'!BZ:BZ,MATCH(D331,'#建筑消耗和buff配置索引'!A:A,0))=0,"",INDEX('#建筑消耗和buff配置索引'!BZ:BZ,MATCH(D331,'#建筑消耗和buff配置索引'!A:A,0))),"")</f>
        <v/>
      </c>
      <c r="X331" s="156"/>
      <c r="Y331" s="156"/>
      <c r="Z331" s="156"/>
      <c r="AA331" s="133">
        <f>INDEX('#建筑消耗和buff配置索引'!AO:AO,MATCH($F331,'#建筑消耗和buff配置索引'!$M:$M,0))</f>
        <v>155712</v>
      </c>
      <c r="AB331" s="133">
        <f>IF(INDEX('#建筑消耗和buff配置索引'!AR:AR,MATCH($F331,'#建筑消耗和buff配置索引'!$M:$M,0))=0,"",INDEX('#建筑消耗和buff配置索引'!AR:AR,MATCH($F331,'#建筑消耗和buff配置索引'!$M:$M,0)))</f>
        <v>2553</v>
      </c>
      <c r="AC331" s="133">
        <f>IF(AB331="","",INDEX('#建筑消耗和buff配置索引'!AS:AS,MATCH($F331,'#建筑消耗和buff配置索引'!$M:$M,0)))</f>
        <v>0.54</v>
      </c>
      <c r="AF331" s="133">
        <f>IF(INDEX('#建筑消耗和buff配置索引'!AW:AW,MATCH($F331,'#建筑消耗和buff配置索引'!$M:$M,0))=0,"",INDEX('#建筑消耗和buff配置索引'!AW:AW,MATCH($F331,'#建筑消耗和buff配置索引'!$M:$M,0)))</f>
        <v>2570</v>
      </c>
      <c r="AG331" s="133">
        <f>IF(AF331="","",INDEX('#建筑消耗和buff配置索引'!AX:AX,MATCH($F331,'#建筑消耗和buff配置索引'!$M:$M,0)))</f>
        <v>3</v>
      </c>
      <c r="AJ331" s="133" t="str">
        <f>IF(INDEX('#建筑消耗和buff配置索引'!BB:BB,MATCH($F331,'#建筑消耗和buff配置索引'!$M:$M,0))=0,"",INDEX('#建筑消耗和buff配置索引'!BB:BB,MATCH($F331,'#建筑消耗和buff配置索引'!$M:$M,0)))</f>
        <v/>
      </c>
      <c r="AK331" s="133" t="str">
        <f>IF(AJ331="","",INDEX('#建筑消耗和buff配置索引'!BC:BC,MATCH($F331,'#建筑消耗和buff配置索引'!$M:$M,0)))</f>
        <v/>
      </c>
      <c r="AN331" s="133" t="str">
        <f>IF(INDEX('#建筑消耗和buff配置索引'!BG:BG,MATCH($F331,'#建筑消耗和buff配置索引'!$M:$M,0))=0,"",INDEX('#建筑消耗和buff配置索引'!BG:BG,MATCH($F331,'#建筑消耗和buff配置索引'!$M:$M,0)))</f>
        <v/>
      </c>
      <c r="AO331" s="133" t="str">
        <f>IF(AN331="","",INDEX('#建筑消耗和buff配置索引'!BH:BH,MATCH($F331,'#建筑消耗和buff配置索引'!$M:$M,0)))</f>
        <v/>
      </c>
      <c r="AR331" s="133" t="str">
        <f>IF(INDEX('#建筑消耗和buff配置索引'!BK:BK,MATCH($F331,'#建筑消耗和buff配置索引'!$M:$M,0))=0,"",INDEX('#建筑消耗和buff配置索引'!BK:BK,MATCH($F331,'#建筑消耗和buff配置索引'!$M:$M,0)))</f>
        <v/>
      </c>
      <c r="AS331" s="133" t="str">
        <f>IF(AR331="","",INDEX('#建筑消耗和buff配置索引'!BL:BL,MATCH($F331,'#建筑消耗和buff配置索引'!$M:$M,0)))</f>
        <v/>
      </c>
      <c r="AV331" s="133" t="str">
        <f>IF(INDEX('#建筑消耗和buff配置索引'!BO:BO,MATCH($F331,'#建筑消耗和buff配置索引'!$M:$M,0))=0,"",INDEX('#建筑消耗和buff配置索引'!BO:BO,MATCH($F331,'#建筑消耗和buff配置索引'!$M:$M,0)))</f>
        <v/>
      </c>
      <c r="AW331" s="133" t="str">
        <f>IF(AV331="","",INDEX('#建筑消耗和buff配置索引'!BP:BP,MATCH($F331,'#建筑消耗和buff配置索引'!$M:$M,0)))</f>
        <v/>
      </c>
      <c r="AZ331" s="133" t="str">
        <f>IF(INDEX('#建筑消耗和buff配置索引'!BS:BS,MATCH($F331,'#建筑消耗和buff配置索引'!$M:$M,0))=0,"",INDEX('#建筑消耗和buff配置索引'!BS:BS,MATCH($F331,'#建筑消耗和buff配置索引'!$M:$M,0)))</f>
        <v/>
      </c>
      <c r="BA331" s="133" t="str">
        <f>IF(AZ331="","",INDEX('#建筑消耗和buff配置索引'!BT:BT,MATCH($F331,'#建筑消耗和buff配置索引'!$M:$M,0)))</f>
        <v/>
      </c>
      <c r="BD331" s="133" t="str">
        <f>IF(INDEX('#建筑消耗和buff配置索引'!BW:BW,MATCH($F331,'#建筑消耗和buff配置索引'!$M:$M,0))=0,"",INDEX('#建筑消耗和buff配置索引'!BW:BW,MATCH($F331,'#建筑消耗和buff配置索引'!$M:$M,0)))</f>
        <v/>
      </c>
      <c r="BE331" s="133" t="str">
        <f>IF(BD331="","",INDEX('#建筑消耗和buff配置索引'!BX:BX,MATCH($F331,'#建筑消耗和buff配置索引'!$M:$M,0)))</f>
        <v/>
      </c>
      <c r="BI331" s="133">
        <v>20</v>
      </c>
    </row>
    <row r="332" spans="1:61" s="133" customFormat="1">
      <c r="A332" s="133">
        <v>2260027</v>
      </c>
      <c r="B332" s="133">
        <v>329</v>
      </c>
      <c r="C332" s="133">
        <v>226</v>
      </c>
      <c r="D332" s="133" t="s">
        <v>469</v>
      </c>
      <c r="E332" s="133">
        <v>27</v>
      </c>
      <c r="F332" s="133" t="str">
        <f t="shared" si="6"/>
        <v>瞭望塔27</v>
      </c>
      <c r="H332" s="146"/>
      <c r="I332" s="133">
        <v>3</v>
      </c>
      <c r="J332" s="150">
        <f>INDEX('#建筑消耗和buff配置索引'!AH:AH,MATCH($F332,'#建筑消耗和buff配置索引'!$M:$M,0))</f>
        <v>380160</v>
      </c>
      <c r="K332" s="150">
        <f>INDEX('#建筑消耗和buff配置索引'!AA:AA,MATCH($F332,'#建筑消耗和buff配置索引'!$M:$M,0))</f>
        <v>4400000</v>
      </c>
      <c r="L332" s="150">
        <f>INDEX('#建筑消耗和buff配置索引'!AB:AB,MATCH($F332,'#建筑消耗和buff配置索引'!$M:$M,0))</f>
        <v>8800000</v>
      </c>
      <c r="M332" s="150">
        <f>INDEX('#建筑消耗和buff配置索引'!AC:AC,MATCH($F332,'#建筑消耗和buff配置索引'!$M:$M,0))</f>
        <v>4400000</v>
      </c>
      <c r="N332" s="150">
        <f>INDEX('#建筑消耗和buff配置索引'!AD:AD,MATCH($F332,'#建筑消耗和buff配置索引'!$M:$M,0))</f>
        <v>4400000</v>
      </c>
      <c r="O332" s="150" t="str">
        <f>IF(INDEX('#建筑消耗和buff配置索引'!T:T,MATCH($F332,'#建筑消耗和buff配置索引'!$M:$M,0))=0,"",INDEX('#建筑消耗和buff配置索引'!T:T,MATCH($F332,'#建筑消耗和buff配置索引'!$M:$M,0)))</f>
        <v/>
      </c>
      <c r="P332" s="133" t="str">
        <f>IF(INDEX('#建筑消耗和buff配置索引'!U:U,MATCH($F332,'#建筑消耗和buff配置索引'!$M:$M,0))=0,"",INDEX('#建筑消耗和buff配置索引'!U:U,MATCH($F332,'#建筑消耗和buff配置索引'!$M:$M,0)))</f>
        <v/>
      </c>
      <c r="Q332" s="133" t="str">
        <f>IF(INDEX('#建筑消耗和buff配置索引'!K:K,MATCH($F332,'#建筑消耗和buff配置索引'!$M:$M,0))=0,"",INDEX('#建筑消耗和buff配置索引'!K:K,MATCH($F332,'#建筑消耗和buff配置索引'!$M:$M,0)))</f>
        <v>201</v>
      </c>
      <c r="R332" s="133" t="str">
        <f>IF(INDEX('#建筑消耗和buff配置索引'!L:L,MATCH($F332,'#建筑消耗和buff配置索引'!$M:$M,0))=0,"",INDEX('#建筑消耗和buff配置索引'!L:L,MATCH($F332,'#建筑消耗和buff配置索引'!$M:$M,0)))</f>
        <v>27</v>
      </c>
      <c r="S332" s="133">
        <f>IF(INDEX('#建筑消耗和buff配置索引'!C:C,MATCH(F332,'#建筑消耗和buff配置索引'!M:M,0))=0,1,INDEX('#建筑消耗和buff配置索引'!C:C,MATCH(F332,'#建筑消耗和buff配置索引'!M:M,0)))</f>
        <v>1</v>
      </c>
      <c r="T332" s="133">
        <v>0</v>
      </c>
      <c r="U332" s="133">
        <v>0</v>
      </c>
      <c r="V332" s="133" t="str">
        <f>IF(E332=1,IF(INDEX('#建筑消耗和buff配置索引'!BY:BY,MATCH(D332,'#建筑消耗和buff配置索引'!A:A,0))=0,"",INDEX('#建筑消耗和buff配置索引'!BY:BY,MATCH(D332,'#建筑消耗和buff配置索引'!A:A,0))),"")</f>
        <v/>
      </c>
      <c r="W332" s="133" t="str">
        <f>IF(E332=1,IF(INDEX('#建筑消耗和buff配置索引'!BZ:BZ,MATCH(D332,'#建筑消耗和buff配置索引'!A:A,0))=0,"",INDEX('#建筑消耗和buff配置索引'!BZ:BZ,MATCH(D332,'#建筑消耗和buff配置索引'!A:A,0))),"")</f>
        <v/>
      </c>
      <c r="X332" s="156"/>
      <c r="Y332" s="156"/>
      <c r="Z332" s="156"/>
      <c r="AA332" s="133">
        <f>INDEX('#建筑消耗和buff配置索引'!AO:AO,MATCH($F332,'#建筑消耗和buff配置索引'!$M:$M,0))</f>
        <v>199914</v>
      </c>
      <c r="AB332" s="133">
        <f>IF(INDEX('#建筑消耗和buff配置索引'!AR:AR,MATCH($F332,'#建筑消耗和buff配置索引'!$M:$M,0))=0,"",INDEX('#建筑消耗和buff配置索引'!AR:AR,MATCH($F332,'#建筑消耗和buff配置索引'!$M:$M,0)))</f>
        <v>2553</v>
      </c>
      <c r="AC332" s="133">
        <f>IF(AB332="","",INDEX('#建筑消耗和buff配置索引'!AS:AS,MATCH($F332,'#建筑消耗和buff配置索引'!$M:$M,0)))</f>
        <v>0.57999999999999996</v>
      </c>
      <c r="AF332" s="133">
        <f>IF(INDEX('#建筑消耗和buff配置索引'!AW:AW,MATCH($F332,'#建筑消耗和buff配置索引'!$M:$M,0))=0,"",INDEX('#建筑消耗和buff配置索引'!AW:AW,MATCH($F332,'#建筑消耗和buff配置索引'!$M:$M,0)))</f>
        <v>2570</v>
      </c>
      <c r="AG332" s="133">
        <f>IF(AF332="","",INDEX('#建筑消耗和buff配置索引'!AX:AX,MATCH($F332,'#建筑消耗和buff配置索引'!$M:$M,0)))</f>
        <v>3</v>
      </c>
      <c r="AJ332" s="133" t="str">
        <f>IF(INDEX('#建筑消耗和buff配置索引'!BB:BB,MATCH($F332,'#建筑消耗和buff配置索引'!$M:$M,0))=0,"",INDEX('#建筑消耗和buff配置索引'!BB:BB,MATCH($F332,'#建筑消耗和buff配置索引'!$M:$M,0)))</f>
        <v/>
      </c>
      <c r="AK332" s="133" t="str">
        <f>IF(AJ332="","",INDEX('#建筑消耗和buff配置索引'!BC:BC,MATCH($F332,'#建筑消耗和buff配置索引'!$M:$M,0)))</f>
        <v/>
      </c>
      <c r="AN332" s="133" t="str">
        <f>IF(INDEX('#建筑消耗和buff配置索引'!BG:BG,MATCH($F332,'#建筑消耗和buff配置索引'!$M:$M,0))=0,"",INDEX('#建筑消耗和buff配置索引'!BG:BG,MATCH($F332,'#建筑消耗和buff配置索引'!$M:$M,0)))</f>
        <v/>
      </c>
      <c r="AO332" s="133" t="str">
        <f>IF(AN332="","",INDEX('#建筑消耗和buff配置索引'!BH:BH,MATCH($F332,'#建筑消耗和buff配置索引'!$M:$M,0)))</f>
        <v/>
      </c>
      <c r="AR332" s="133" t="str">
        <f>IF(INDEX('#建筑消耗和buff配置索引'!BK:BK,MATCH($F332,'#建筑消耗和buff配置索引'!$M:$M,0))=0,"",INDEX('#建筑消耗和buff配置索引'!BK:BK,MATCH($F332,'#建筑消耗和buff配置索引'!$M:$M,0)))</f>
        <v/>
      </c>
      <c r="AS332" s="133" t="str">
        <f>IF(AR332="","",INDEX('#建筑消耗和buff配置索引'!BL:BL,MATCH($F332,'#建筑消耗和buff配置索引'!$M:$M,0)))</f>
        <v/>
      </c>
      <c r="AV332" s="133" t="str">
        <f>IF(INDEX('#建筑消耗和buff配置索引'!BO:BO,MATCH($F332,'#建筑消耗和buff配置索引'!$M:$M,0))=0,"",INDEX('#建筑消耗和buff配置索引'!BO:BO,MATCH($F332,'#建筑消耗和buff配置索引'!$M:$M,0)))</f>
        <v/>
      </c>
      <c r="AW332" s="133" t="str">
        <f>IF(AV332="","",INDEX('#建筑消耗和buff配置索引'!BP:BP,MATCH($F332,'#建筑消耗和buff配置索引'!$M:$M,0)))</f>
        <v/>
      </c>
      <c r="AZ332" s="133" t="str">
        <f>IF(INDEX('#建筑消耗和buff配置索引'!BS:BS,MATCH($F332,'#建筑消耗和buff配置索引'!$M:$M,0))=0,"",INDEX('#建筑消耗和buff配置索引'!BS:BS,MATCH($F332,'#建筑消耗和buff配置索引'!$M:$M,0)))</f>
        <v/>
      </c>
      <c r="BA332" s="133" t="str">
        <f>IF(AZ332="","",INDEX('#建筑消耗和buff配置索引'!BT:BT,MATCH($F332,'#建筑消耗和buff配置索引'!$M:$M,0)))</f>
        <v/>
      </c>
      <c r="BD332" s="133" t="str">
        <f>IF(INDEX('#建筑消耗和buff配置索引'!BW:BW,MATCH($F332,'#建筑消耗和buff配置索引'!$M:$M,0))=0,"",INDEX('#建筑消耗和buff配置索引'!BW:BW,MATCH($F332,'#建筑消耗和buff配置索引'!$M:$M,0)))</f>
        <v/>
      </c>
      <c r="BE332" s="133" t="str">
        <f>IF(BD332="","",INDEX('#建筑消耗和buff配置索引'!BX:BX,MATCH($F332,'#建筑消耗和buff配置索引'!$M:$M,0)))</f>
        <v/>
      </c>
      <c r="BI332" s="133">
        <v>20</v>
      </c>
    </row>
    <row r="333" spans="1:61" s="133" customFormat="1">
      <c r="A333" s="133">
        <v>2260028</v>
      </c>
      <c r="B333" s="133">
        <v>330</v>
      </c>
      <c r="C333" s="133">
        <v>226</v>
      </c>
      <c r="D333" s="133" t="s">
        <v>469</v>
      </c>
      <c r="E333" s="133">
        <v>28</v>
      </c>
      <c r="F333" s="133" t="str">
        <f t="shared" si="6"/>
        <v>瞭望塔28</v>
      </c>
      <c r="H333" s="146"/>
      <c r="I333" s="133">
        <v>3</v>
      </c>
      <c r="J333" s="150">
        <f>INDEX('#建筑消耗和buff配置索引'!AH:AH,MATCH($F333,'#建筑消耗和buff配置索引'!$M:$M,0))</f>
        <v>466560</v>
      </c>
      <c r="K333" s="150">
        <f>INDEX('#建筑消耗和buff配置索引'!AA:AA,MATCH($F333,'#建筑消耗和buff配置索引'!$M:$M,0))</f>
        <v>5700000</v>
      </c>
      <c r="L333" s="150">
        <f>INDEX('#建筑消耗和buff配置索引'!AB:AB,MATCH($F333,'#建筑消耗和buff配置索引'!$M:$M,0))</f>
        <v>11000000</v>
      </c>
      <c r="M333" s="150">
        <f>INDEX('#建筑消耗和buff配置索引'!AC:AC,MATCH($F333,'#建筑消耗和buff配置索引'!$M:$M,0))</f>
        <v>5700000</v>
      </c>
      <c r="N333" s="150">
        <f>INDEX('#建筑消耗和buff配置索引'!AD:AD,MATCH($F333,'#建筑消耗和buff配置索引'!$M:$M,0))</f>
        <v>5700000</v>
      </c>
      <c r="O333" s="150" t="str">
        <f>IF(INDEX('#建筑消耗和buff配置索引'!T:T,MATCH($F333,'#建筑消耗和buff配置索引'!$M:$M,0))=0,"",INDEX('#建筑消耗和buff配置索引'!T:T,MATCH($F333,'#建筑消耗和buff配置索引'!$M:$M,0)))</f>
        <v/>
      </c>
      <c r="P333" s="133" t="str">
        <f>IF(INDEX('#建筑消耗和buff配置索引'!U:U,MATCH($F333,'#建筑消耗和buff配置索引'!$M:$M,0))=0,"",INDEX('#建筑消耗和buff配置索引'!U:U,MATCH($F333,'#建筑消耗和buff配置索引'!$M:$M,0)))</f>
        <v/>
      </c>
      <c r="Q333" s="133" t="str">
        <f>IF(INDEX('#建筑消耗和buff配置索引'!K:K,MATCH($F333,'#建筑消耗和buff配置索引'!$M:$M,0))=0,"",INDEX('#建筑消耗和buff配置索引'!K:K,MATCH($F333,'#建筑消耗和buff配置索引'!$M:$M,0)))</f>
        <v>201</v>
      </c>
      <c r="R333" s="133" t="str">
        <f>IF(INDEX('#建筑消耗和buff配置索引'!L:L,MATCH($F333,'#建筑消耗和buff配置索引'!$M:$M,0))=0,"",INDEX('#建筑消耗和buff配置索引'!L:L,MATCH($F333,'#建筑消耗和buff配置索引'!$M:$M,0)))</f>
        <v>28</v>
      </c>
      <c r="S333" s="133">
        <f>IF(INDEX('#建筑消耗和buff配置索引'!C:C,MATCH(F333,'#建筑消耗和buff配置索引'!M:M,0))=0,1,INDEX('#建筑消耗和buff配置索引'!C:C,MATCH(F333,'#建筑消耗和buff配置索引'!M:M,0)))</f>
        <v>1</v>
      </c>
      <c r="T333" s="133">
        <v>0</v>
      </c>
      <c r="U333" s="133">
        <v>0</v>
      </c>
      <c r="V333" s="133" t="str">
        <f>IF(E333=1,IF(INDEX('#建筑消耗和buff配置索引'!BY:BY,MATCH(D333,'#建筑消耗和buff配置索引'!A:A,0))=0,"",INDEX('#建筑消耗和buff配置索引'!BY:BY,MATCH(D333,'#建筑消耗和buff配置索引'!A:A,0))),"")</f>
        <v/>
      </c>
      <c r="W333" s="133" t="str">
        <f>IF(E333=1,IF(INDEX('#建筑消耗和buff配置索引'!BZ:BZ,MATCH(D333,'#建筑消耗和buff配置索引'!A:A,0))=0,"",INDEX('#建筑消耗和buff配置索引'!BZ:BZ,MATCH(D333,'#建筑消耗和buff配置索引'!A:A,0))),"")</f>
        <v/>
      </c>
      <c r="AA333" s="133">
        <f>INDEX('#建筑消耗和buff配置索引'!AO:AO,MATCH($F333,'#建筑消耗和buff配置索引'!$M:$M,0))</f>
        <v>256493</v>
      </c>
      <c r="AB333" s="133">
        <f>IF(INDEX('#建筑消耗和buff配置索引'!AR:AR,MATCH($F333,'#建筑消耗和buff配置索引'!$M:$M,0))=0,"",INDEX('#建筑消耗和buff配置索引'!AR:AR,MATCH($F333,'#建筑消耗和buff配置索引'!$M:$M,0)))</f>
        <v>2553</v>
      </c>
      <c r="AC333" s="133">
        <f>IF(AB333="","",INDEX('#建筑消耗和buff配置索引'!AS:AS,MATCH($F333,'#建筑消耗和buff配置索引'!$M:$M,0)))</f>
        <v>0.62</v>
      </c>
      <c r="AF333" s="133">
        <f>IF(INDEX('#建筑消耗和buff配置索引'!AW:AW,MATCH($F333,'#建筑消耗和buff配置索引'!$M:$M,0))=0,"",INDEX('#建筑消耗和buff配置索引'!AW:AW,MATCH($F333,'#建筑消耗和buff配置索引'!$M:$M,0)))</f>
        <v>2570</v>
      </c>
      <c r="AG333" s="133">
        <f>IF(AF333="","",INDEX('#建筑消耗和buff配置索引'!AX:AX,MATCH($F333,'#建筑消耗和buff配置索引'!$M:$M,0)))</f>
        <v>3</v>
      </c>
      <c r="AJ333" s="133" t="str">
        <f>IF(INDEX('#建筑消耗和buff配置索引'!BB:BB,MATCH($F333,'#建筑消耗和buff配置索引'!$M:$M,0))=0,"",INDEX('#建筑消耗和buff配置索引'!BB:BB,MATCH($F333,'#建筑消耗和buff配置索引'!$M:$M,0)))</f>
        <v/>
      </c>
      <c r="AK333" s="133" t="str">
        <f>IF(AJ333="","",INDEX('#建筑消耗和buff配置索引'!BC:BC,MATCH($F333,'#建筑消耗和buff配置索引'!$M:$M,0)))</f>
        <v/>
      </c>
      <c r="AN333" s="133" t="str">
        <f>IF(INDEX('#建筑消耗和buff配置索引'!BG:BG,MATCH($F333,'#建筑消耗和buff配置索引'!$M:$M,0))=0,"",INDEX('#建筑消耗和buff配置索引'!BG:BG,MATCH($F333,'#建筑消耗和buff配置索引'!$M:$M,0)))</f>
        <v/>
      </c>
      <c r="AO333" s="133" t="str">
        <f>IF(AN333="","",INDEX('#建筑消耗和buff配置索引'!BH:BH,MATCH($F333,'#建筑消耗和buff配置索引'!$M:$M,0)))</f>
        <v/>
      </c>
      <c r="AR333" s="133" t="str">
        <f>IF(INDEX('#建筑消耗和buff配置索引'!BK:BK,MATCH($F333,'#建筑消耗和buff配置索引'!$M:$M,0))=0,"",INDEX('#建筑消耗和buff配置索引'!BK:BK,MATCH($F333,'#建筑消耗和buff配置索引'!$M:$M,0)))</f>
        <v/>
      </c>
      <c r="AS333" s="133" t="str">
        <f>IF(AR333="","",INDEX('#建筑消耗和buff配置索引'!BL:BL,MATCH($F333,'#建筑消耗和buff配置索引'!$M:$M,0)))</f>
        <v/>
      </c>
      <c r="AV333" s="133" t="str">
        <f>IF(INDEX('#建筑消耗和buff配置索引'!BO:BO,MATCH($F333,'#建筑消耗和buff配置索引'!$M:$M,0))=0,"",INDEX('#建筑消耗和buff配置索引'!BO:BO,MATCH($F333,'#建筑消耗和buff配置索引'!$M:$M,0)))</f>
        <v/>
      </c>
      <c r="AW333" s="133" t="str">
        <f>IF(AV333="","",INDEX('#建筑消耗和buff配置索引'!BP:BP,MATCH($F333,'#建筑消耗和buff配置索引'!$M:$M,0)))</f>
        <v/>
      </c>
      <c r="AZ333" s="133" t="str">
        <f>IF(INDEX('#建筑消耗和buff配置索引'!BS:BS,MATCH($F333,'#建筑消耗和buff配置索引'!$M:$M,0))=0,"",INDEX('#建筑消耗和buff配置索引'!BS:BS,MATCH($F333,'#建筑消耗和buff配置索引'!$M:$M,0)))</f>
        <v/>
      </c>
      <c r="BA333" s="133" t="str">
        <f>IF(AZ333="","",INDEX('#建筑消耗和buff配置索引'!BT:BT,MATCH($F333,'#建筑消耗和buff配置索引'!$M:$M,0)))</f>
        <v/>
      </c>
      <c r="BD333" s="133" t="str">
        <f>IF(INDEX('#建筑消耗和buff配置索引'!BW:BW,MATCH($F333,'#建筑消耗和buff配置索引'!$M:$M,0))=0,"",INDEX('#建筑消耗和buff配置索引'!BW:BW,MATCH($F333,'#建筑消耗和buff配置索引'!$M:$M,0)))</f>
        <v/>
      </c>
      <c r="BE333" s="133" t="str">
        <f>IF(BD333="","",INDEX('#建筑消耗和buff配置索引'!BX:BX,MATCH($F333,'#建筑消耗和buff配置索引'!$M:$M,0)))</f>
        <v/>
      </c>
      <c r="BI333" s="133">
        <v>20</v>
      </c>
    </row>
    <row r="334" spans="1:61" s="133" customFormat="1">
      <c r="A334" s="133">
        <v>2260029</v>
      </c>
      <c r="B334" s="133">
        <v>331</v>
      </c>
      <c r="C334" s="133">
        <v>226</v>
      </c>
      <c r="D334" s="133" t="s">
        <v>469</v>
      </c>
      <c r="E334" s="133">
        <v>29</v>
      </c>
      <c r="F334" s="133" t="str">
        <f t="shared" si="6"/>
        <v>瞭望塔29</v>
      </c>
      <c r="H334" s="146"/>
      <c r="I334" s="133">
        <v>3</v>
      </c>
      <c r="J334" s="150">
        <f>INDEX('#建筑消耗和buff配置索引'!AH:AH,MATCH($F334,'#建筑消耗和buff配置索引'!$M:$M,0))</f>
        <v>570240</v>
      </c>
      <c r="K334" s="150">
        <f>INDEX('#建筑消耗和buff配置索引'!AA:AA,MATCH($F334,'#建筑消耗和buff配置索引'!$M:$M,0))</f>
        <v>7200000</v>
      </c>
      <c r="L334" s="150">
        <f>INDEX('#建筑消耗和buff配置索引'!AB:AB,MATCH($F334,'#建筑消耗和buff配置索引'!$M:$M,0))</f>
        <v>14000000</v>
      </c>
      <c r="M334" s="150">
        <f>INDEX('#建筑消耗和buff配置索引'!AC:AC,MATCH($F334,'#建筑消耗和buff配置索引'!$M:$M,0))</f>
        <v>7200000</v>
      </c>
      <c r="N334" s="150">
        <f>INDEX('#建筑消耗和buff配置索引'!AD:AD,MATCH($F334,'#建筑消耗和buff配置索引'!$M:$M,0))</f>
        <v>7200000</v>
      </c>
      <c r="O334" s="150" t="str">
        <f>IF(INDEX('#建筑消耗和buff配置索引'!T:T,MATCH($F334,'#建筑消耗和buff配置索引'!$M:$M,0))=0,"",INDEX('#建筑消耗和buff配置索引'!T:T,MATCH($F334,'#建筑消耗和buff配置索引'!$M:$M,0)))</f>
        <v/>
      </c>
      <c r="P334" s="133" t="str">
        <f>IF(INDEX('#建筑消耗和buff配置索引'!U:U,MATCH($F334,'#建筑消耗和buff配置索引'!$M:$M,0))=0,"",INDEX('#建筑消耗和buff配置索引'!U:U,MATCH($F334,'#建筑消耗和buff配置索引'!$M:$M,0)))</f>
        <v/>
      </c>
      <c r="Q334" s="133" t="str">
        <f>IF(INDEX('#建筑消耗和buff配置索引'!K:K,MATCH($F334,'#建筑消耗和buff配置索引'!$M:$M,0))=0,"",INDEX('#建筑消耗和buff配置索引'!K:K,MATCH($F334,'#建筑消耗和buff配置索引'!$M:$M,0)))</f>
        <v>201</v>
      </c>
      <c r="R334" s="133" t="str">
        <f>IF(INDEX('#建筑消耗和buff配置索引'!L:L,MATCH($F334,'#建筑消耗和buff配置索引'!$M:$M,0))=0,"",INDEX('#建筑消耗和buff配置索引'!L:L,MATCH($F334,'#建筑消耗和buff配置索引'!$M:$M,0)))</f>
        <v>29</v>
      </c>
      <c r="S334" s="133">
        <f>IF(INDEX('#建筑消耗和buff配置索引'!C:C,MATCH(F334,'#建筑消耗和buff配置索引'!M:M,0))=0,1,INDEX('#建筑消耗和buff配置索引'!C:C,MATCH(F334,'#建筑消耗和buff配置索引'!M:M,0)))</f>
        <v>1</v>
      </c>
      <c r="T334" s="133">
        <v>0</v>
      </c>
      <c r="U334" s="133">
        <v>0</v>
      </c>
      <c r="V334" s="133" t="str">
        <f>IF(E334=1,IF(INDEX('#建筑消耗和buff配置索引'!BY:BY,MATCH(D334,'#建筑消耗和buff配置索引'!A:A,0))=0,"",INDEX('#建筑消耗和buff配置索引'!BY:BY,MATCH(D334,'#建筑消耗和buff配置索引'!A:A,0))),"")</f>
        <v/>
      </c>
      <c r="W334" s="133" t="str">
        <f>IF(E334=1,IF(INDEX('#建筑消耗和buff配置索引'!BZ:BZ,MATCH(D334,'#建筑消耗和buff配置索引'!A:A,0))=0,"",INDEX('#建筑消耗和buff配置索引'!BZ:BZ,MATCH(D334,'#建筑消耗和buff配置索引'!A:A,0))),"")</f>
        <v/>
      </c>
      <c r="AA334" s="133">
        <f>INDEX('#建筑消耗和buff配置索引'!AO:AO,MATCH($F334,'#建筑消耗和buff配置索引'!$M:$M,0))</f>
        <v>328914</v>
      </c>
      <c r="AB334" s="133">
        <f>IF(INDEX('#建筑消耗和buff配置索引'!AR:AR,MATCH($F334,'#建筑消耗和buff配置索引'!$M:$M,0))=0,"",INDEX('#建筑消耗和buff配置索引'!AR:AR,MATCH($F334,'#建筑消耗和buff配置索引'!$M:$M,0)))</f>
        <v>2553</v>
      </c>
      <c r="AC334" s="133">
        <f>IF(AB334="","",INDEX('#建筑消耗和buff配置索引'!AS:AS,MATCH($F334,'#建筑消耗和buff配置索引'!$M:$M,0)))</f>
        <v>0.66</v>
      </c>
      <c r="AF334" s="133">
        <f>IF(INDEX('#建筑消耗和buff配置索引'!AW:AW,MATCH($F334,'#建筑消耗和buff配置索引'!$M:$M,0))=0,"",INDEX('#建筑消耗和buff配置索引'!AW:AW,MATCH($F334,'#建筑消耗和buff配置索引'!$M:$M,0)))</f>
        <v>2570</v>
      </c>
      <c r="AG334" s="133">
        <f>IF(AF334="","",INDEX('#建筑消耗和buff配置索引'!AX:AX,MATCH($F334,'#建筑消耗和buff配置索引'!$M:$M,0)))</f>
        <v>3</v>
      </c>
      <c r="AJ334" s="133" t="str">
        <f>IF(INDEX('#建筑消耗和buff配置索引'!BB:BB,MATCH($F334,'#建筑消耗和buff配置索引'!$M:$M,0))=0,"",INDEX('#建筑消耗和buff配置索引'!BB:BB,MATCH($F334,'#建筑消耗和buff配置索引'!$M:$M,0)))</f>
        <v/>
      </c>
      <c r="AK334" s="133" t="str">
        <f>IF(AJ334="","",INDEX('#建筑消耗和buff配置索引'!BC:BC,MATCH($F334,'#建筑消耗和buff配置索引'!$M:$M,0)))</f>
        <v/>
      </c>
      <c r="AN334" s="133" t="str">
        <f>IF(INDEX('#建筑消耗和buff配置索引'!BG:BG,MATCH($F334,'#建筑消耗和buff配置索引'!$M:$M,0))=0,"",INDEX('#建筑消耗和buff配置索引'!BG:BG,MATCH($F334,'#建筑消耗和buff配置索引'!$M:$M,0)))</f>
        <v/>
      </c>
      <c r="AO334" s="133" t="str">
        <f>IF(AN334="","",INDEX('#建筑消耗和buff配置索引'!BH:BH,MATCH($F334,'#建筑消耗和buff配置索引'!$M:$M,0)))</f>
        <v/>
      </c>
      <c r="AR334" s="133" t="str">
        <f>IF(INDEX('#建筑消耗和buff配置索引'!BK:BK,MATCH($F334,'#建筑消耗和buff配置索引'!$M:$M,0))=0,"",INDEX('#建筑消耗和buff配置索引'!BK:BK,MATCH($F334,'#建筑消耗和buff配置索引'!$M:$M,0)))</f>
        <v/>
      </c>
      <c r="AS334" s="133" t="str">
        <f>IF(AR334="","",INDEX('#建筑消耗和buff配置索引'!BL:BL,MATCH($F334,'#建筑消耗和buff配置索引'!$M:$M,0)))</f>
        <v/>
      </c>
      <c r="AV334" s="133" t="str">
        <f>IF(INDEX('#建筑消耗和buff配置索引'!BO:BO,MATCH($F334,'#建筑消耗和buff配置索引'!$M:$M,0))=0,"",INDEX('#建筑消耗和buff配置索引'!BO:BO,MATCH($F334,'#建筑消耗和buff配置索引'!$M:$M,0)))</f>
        <v/>
      </c>
      <c r="AW334" s="133" t="str">
        <f>IF(AV334="","",INDEX('#建筑消耗和buff配置索引'!BP:BP,MATCH($F334,'#建筑消耗和buff配置索引'!$M:$M,0)))</f>
        <v/>
      </c>
      <c r="AZ334" s="133" t="str">
        <f>IF(INDEX('#建筑消耗和buff配置索引'!BS:BS,MATCH($F334,'#建筑消耗和buff配置索引'!$M:$M,0))=0,"",INDEX('#建筑消耗和buff配置索引'!BS:BS,MATCH($F334,'#建筑消耗和buff配置索引'!$M:$M,0)))</f>
        <v/>
      </c>
      <c r="BA334" s="133" t="str">
        <f>IF(AZ334="","",INDEX('#建筑消耗和buff配置索引'!BT:BT,MATCH($F334,'#建筑消耗和buff配置索引'!$M:$M,0)))</f>
        <v/>
      </c>
      <c r="BD334" s="133" t="str">
        <f>IF(INDEX('#建筑消耗和buff配置索引'!BW:BW,MATCH($F334,'#建筑消耗和buff配置索引'!$M:$M,0))=0,"",INDEX('#建筑消耗和buff配置索引'!BW:BW,MATCH($F334,'#建筑消耗和buff配置索引'!$M:$M,0)))</f>
        <v/>
      </c>
      <c r="BE334" s="133" t="str">
        <f>IF(BD334="","",INDEX('#建筑消耗和buff配置索引'!BX:BX,MATCH($F334,'#建筑消耗和buff配置索引'!$M:$M,0)))</f>
        <v/>
      </c>
      <c r="BI334" s="133">
        <v>20</v>
      </c>
    </row>
    <row r="335" spans="1:61" s="133" customFormat="1">
      <c r="A335" s="133">
        <v>2260030</v>
      </c>
      <c r="B335" s="133">
        <v>332</v>
      </c>
      <c r="C335" s="133">
        <v>226</v>
      </c>
      <c r="D335" s="133" t="s">
        <v>469</v>
      </c>
      <c r="E335" s="133">
        <v>30</v>
      </c>
      <c r="F335" s="133" t="str">
        <f t="shared" si="6"/>
        <v>瞭望塔30</v>
      </c>
      <c r="H335" s="146"/>
      <c r="I335" s="133">
        <v>3</v>
      </c>
      <c r="J335" s="150">
        <f>INDEX('#建筑消耗和buff配置索引'!AH:AH,MATCH($F335,'#建筑消耗和buff配置索引'!$M:$M,0))</f>
        <v>691200</v>
      </c>
      <c r="K335" s="150">
        <f>INDEX('#建筑消耗和buff配置索引'!AA:AA,MATCH($F335,'#建筑消耗和buff配置索引'!$M:$M,0))</f>
        <v>9300000</v>
      </c>
      <c r="L335" s="150">
        <f>INDEX('#建筑消耗和buff配置索引'!AB:AB,MATCH($F335,'#建筑消耗和buff配置索引'!$M:$M,0))</f>
        <v>19000000</v>
      </c>
      <c r="M335" s="150">
        <f>INDEX('#建筑消耗和buff配置索引'!AC:AC,MATCH($F335,'#建筑消耗和buff配置索引'!$M:$M,0))</f>
        <v>9300000</v>
      </c>
      <c r="N335" s="150">
        <f>INDEX('#建筑消耗和buff配置索引'!AD:AD,MATCH($F335,'#建筑消耗和buff配置索引'!$M:$M,0))</f>
        <v>9300000</v>
      </c>
      <c r="O335" s="150" t="str">
        <f>IF(INDEX('#建筑消耗和buff配置索引'!T:T,MATCH($F335,'#建筑消耗和buff配置索引'!$M:$M,0))=0,"",INDEX('#建筑消耗和buff配置索引'!T:T,MATCH($F335,'#建筑消耗和buff配置索引'!$M:$M,0)))</f>
        <v/>
      </c>
      <c r="P335" s="133" t="str">
        <f>IF(INDEX('#建筑消耗和buff配置索引'!U:U,MATCH($F335,'#建筑消耗和buff配置索引'!$M:$M,0))=0,"",INDEX('#建筑消耗和buff配置索引'!U:U,MATCH($F335,'#建筑消耗和buff配置索引'!$M:$M,0)))</f>
        <v/>
      </c>
      <c r="Q335" s="133" t="str">
        <f>IF(INDEX('#建筑消耗和buff配置索引'!K:K,MATCH($F335,'#建筑消耗和buff配置索引'!$M:$M,0))=0,"",INDEX('#建筑消耗和buff配置索引'!K:K,MATCH($F335,'#建筑消耗和buff配置索引'!$M:$M,0)))</f>
        <v>201</v>
      </c>
      <c r="R335" s="133" t="str">
        <f>IF(INDEX('#建筑消耗和buff配置索引'!L:L,MATCH($F335,'#建筑消耗和buff配置索引'!$M:$M,0))=0,"",INDEX('#建筑消耗和buff配置索引'!L:L,MATCH($F335,'#建筑消耗和buff配置索引'!$M:$M,0)))</f>
        <v>30</v>
      </c>
      <c r="S335" s="133">
        <f>IF(INDEX('#建筑消耗和buff配置索引'!C:C,MATCH(F335,'#建筑消耗和buff配置索引'!M:M,0))=0,1,INDEX('#建筑消耗和buff配置索引'!C:C,MATCH(F335,'#建筑消耗和buff配置索引'!M:M,0)))</f>
        <v>1</v>
      </c>
      <c r="T335" s="133">
        <v>0</v>
      </c>
      <c r="U335" s="133">
        <v>0</v>
      </c>
      <c r="V335" s="133" t="str">
        <f>IF(E335=1,IF(INDEX('#建筑消耗和buff配置索引'!BY:BY,MATCH(D335,'#建筑消耗和buff配置索引'!A:A,0))=0,"",INDEX('#建筑消耗和buff配置索引'!BY:BY,MATCH(D335,'#建筑消耗和buff配置索引'!A:A,0))),"")</f>
        <v/>
      </c>
      <c r="W335" s="133" t="str">
        <f>IF(E335=1,IF(INDEX('#建筑消耗和buff配置索引'!BZ:BZ,MATCH(D335,'#建筑消耗和buff配置索引'!A:A,0))=0,"",INDEX('#建筑消耗和buff配置索引'!BZ:BZ,MATCH(D335,'#建筑消耗和buff配置索引'!A:A,0))),"")</f>
        <v/>
      </c>
      <c r="X335" s="156"/>
      <c r="Y335" s="156"/>
      <c r="Z335" s="156"/>
      <c r="AA335" s="133">
        <f>INDEX('#建筑消耗和buff配置索引'!AO:AO,MATCH($F335,'#建筑消耗和buff配置索引'!$M:$M,0))</f>
        <v>421613</v>
      </c>
      <c r="AB335" s="133">
        <f>IF(INDEX('#建筑消耗和buff配置索引'!AR:AR,MATCH($F335,'#建筑消耗和buff配置索引'!$M:$M,0))=0,"",INDEX('#建筑消耗和buff配置索引'!AR:AR,MATCH($F335,'#建筑消耗和buff配置索引'!$M:$M,0)))</f>
        <v>2553</v>
      </c>
      <c r="AC335" s="133">
        <f>IF(AB335="","",INDEX('#建筑消耗和buff配置索引'!AS:AS,MATCH($F335,'#建筑消耗和buff配置索引'!$M:$M,0)))</f>
        <v>0.7</v>
      </c>
      <c r="AF335" s="133">
        <f>IF(INDEX('#建筑消耗和buff配置索引'!AW:AW,MATCH($F335,'#建筑消耗和buff配置索引'!$M:$M,0))=0,"",INDEX('#建筑消耗和buff配置索引'!AW:AW,MATCH($F335,'#建筑消耗和buff配置索引'!$M:$M,0)))</f>
        <v>2570</v>
      </c>
      <c r="AG335" s="133">
        <f>IF(AF335="","",INDEX('#建筑消耗和buff配置索引'!AX:AX,MATCH($F335,'#建筑消耗和buff配置索引'!$M:$M,0)))</f>
        <v>3</v>
      </c>
      <c r="AJ335" s="133" t="str">
        <f>IF(INDEX('#建筑消耗和buff配置索引'!BB:BB,MATCH($F335,'#建筑消耗和buff配置索引'!$M:$M,0))=0,"",INDEX('#建筑消耗和buff配置索引'!BB:BB,MATCH($F335,'#建筑消耗和buff配置索引'!$M:$M,0)))</f>
        <v/>
      </c>
      <c r="AK335" s="133" t="str">
        <f>IF(AJ335="","",INDEX('#建筑消耗和buff配置索引'!BC:BC,MATCH($F335,'#建筑消耗和buff配置索引'!$M:$M,0)))</f>
        <v/>
      </c>
      <c r="AN335" s="133" t="str">
        <f>IF(INDEX('#建筑消耗和buff配置索引'!BG:BG,MATCH($F335,'#建筑消耗和buff配置索引'!$M:$M,0))=0,"",INDEX('#建筑消耗和buff配置索引'!BG:BG,MATCH($F335,'#建筑消耗和buff配置索引'!$M:$M,0)))</f>
        <v/>
      </c>
      <c r="AO335" s="133" t="str">
        <f>IF(AN335="","",INDEX('#建筑消耗和buff配置索引'!BH:BH,MATCH($F335,'#建筑消耗和buff配置索引'!$M:$M,0)))</f>
        <v/>
      </c>
      <c r="AR335" s="133" t="str">
        <f>IF(INDEX('#建筑消耗和buff配置索引'!BK:BK,MATCH($F335,'#建筑消耗和buff配置索引'!$M:$M,0))=0,"",INDEX('#建筑消耗和buff配置索引'!BK:BK,MATCH($F335,'#建筑消耗和buff配置索引'!$M:$M,0)))</f>
        <v/>
      </c>
      <c r="AS335" s="133" t="str">
        <f>IF(AR335="","",INDEX('#建筑消耗和buff配置索引'!BL:BL,MATCH($F335,'#建筑消耗和buff配置索引'!$M:$M,0)))</f>
        <v/>
      </c>
      <c r="AV335" s="133" t="str">
        <f>IF(INDEX('#建筑消耗和buff配置索引'!BO:BO,MATCH($F335,'#建筑消耗和buff配置索引'!$M:$M,0))=0,"",INDEX('#建筑消耗和buff配置索引'!BO:BO,MATCH($F335,'#建筑消耗和buff配置索引'!$M:$M,0)))</f>
        <v/>
      </c>
      <c r="AW335" s="133" t="str">
        <f>IF(AV335="","",INDEX('#建筑消耗和buff配置索引'!BP:BP,MATCH($F335,'#建筑消耗和buff配置索引'!$M:$M,0)))</f>
        <v/>
      </c>
      <c r="AZ335" s="133" t="str">
        <f>IF(INDEX('#建筑消耗和buff配置索引'!BS:BS,MATCH($F335,'#建筑消耗和buff配置索引'!$M:$M,0))=0,"",INDEX('#建筑消耗和buff配置索引'!BS:BS,MATCH($F335,'#建筑消耗和buff配置索引'!$M:$M,0)))</f>
        <v/>
      </c>
      <c r="BA335" s="133" t="str">
        <f>IF(AZ335="","",INDEX('#建筑消耗和buff配置索引'!BT:BT,MATCH($F335,'#建筑消耗和buff配置索引'!$M:$M,0)))</f>
        <v/>
      </c>
      <c r="BD335" s="133" t="str">
        <f>IF(INDEX('#建筑消耗和buff配置索引'!BW:BW,MATCH($F335,'#建筑消耗和buff配置索引'!$M:$M,0))=0,"",INDEX('#建筑消耗和buff配置索引'!BW:BW,MATCH($F335,'#建筑消耗和buff配置索引'!$M:$M,0)))</f>
        <v/>
      </c>
      <c r="BE335" s="133" t="str">
        <f>IF(BD335="","",INDEX('#建筑消耗和buff配置索引'!BX:BX,MATCH($F335,'#建筑消耗和buff配置索引'!$M:$M,0)))</f>
        <v/>
      </c>
      <c r="BI335" s="133">
        <v>20</v>
      </c>
    </row>
    <row r="336" spans="1:61" s="133" customFormat="1">
      <c r="A336" s="133">
        <v>2270001</v>
      </c>
      <c r="B336" s="133">
        <v>333</v>
      </c>
      <c r="C336" s="133">
        <v>227</v>
      </c>
      <c r="D336" s="133" t="s">
        <v>940</v>
      </c>
      <c r="E336" s="133">
        <v>1</v>
      </c>
      <c r="F336" s="133" t="str">
        <f t="shared" si="6"/>
        <v>防卫塔1</v>
      </c>
      <c r="H336" s="146"/>
      <c r="I336" s="133" t="s">
        <v>1205</v>
      </c>
      <c r="J336" s="150">
        <f>INDEX('#建筑消耗和buff配置索引'!AH:AH,MATCH($F336,'#建筑消耗和buff配置索引'!$M:$M,0))</f>
        <v>25</v>
      </c>
      <c r="K336" s="150">
        <f>INDEX('#建筑消耗和buff配置索引'!AA:AA,MATCH($F336,'#建筑消耗和buff配置索引'!$M:$M,0))</f>
        <v>0</v>
      </c>
      <c r="L336" s="150">
        <f>INDEX('#建筑消耗和buff配置索引'!AB:AB,MATCH($F336,'#建筑消耗和buff配置索引'!$M:$M,0))</f>
        <v>0</v>
      </c>
      <c r="M336" s="150">
        <f>INDEX('#建筑消耗和buff配置索引'!AC:AC,MATCH($F336,'#建筑消耗和buff配置索引'!$M:$M,0))</f>
        <v>0</v>
      </c>
      <c r="N336" s="150">
        <f>INDEX('#建筑消耗和buff配置索引'!AD:AD,MATCH($F336,'#建筑消耗和buff配置索引'!$M:$M,0))</f>
        <v>0</v>
      </c>
      <c r="O336" s="150" t="str">
        <f>IF(INDEX('#建筑消耗和buff配置索引'!T:T,MATCH($F336,'#建筑消耗和buff配置索引'!$M:$M,0))=0,"",INDEX('#建筑消耗和buff配置索引'!T:T,MATCH($F336,'#建筑消耗和buff配置索引'!$M:$M,0)))</f>
        <v/>
      </c>
      <c r="P336" s="133" t="str">
        <f>IF(INDEX('#建筑消耗和buff配置索引'!U:U,MATCH($F336,'#建筑消耗和buff配置索引'!$M:$M,0))=0,"",INDEX('#建筑消耗和buff配置索引'!U:U,MATCH($F336,'#建筑消耗和buff配置索引'!$M:$M,0)))</f>
        <v/>
      </c>
      <c r="Q336" s="133" t="str">
        <f>IF(INDEX('#建筑消耗和buff配置索引'!K:K,MATCH($F336,'#建筑消耗和buff配置索引'!$M:$M,0))=0,"",INDEX('#建筑消耗和buff配置索引'!K:K,MATCH($F336,'#建筑消耗和buff配置索引'!$M:$M,0)))</f>
        <v>201</v>
      </c>
      <c r="R336" s="133" t="str">
        <f>IF(INDEX('#建筑消耗和buff配置索引'!L:L,MATCH($F336,'#建筑消耗和buff配置索引'!$M:$M,0))=0,"",INDEX('#建筑消耗和buff配置索引'!L:L,MATCH($F336,'#建筑消耗和buff配置索引'!$M:$M,0)))</f>
        <v>5</v>
      </c>
      <c r="S336" s="133">
        <f>IF(INDEX('#建筑消耗和buff配置索引'!C:C,MATCH(F336,'#建筑消耗和buff配置索引'!M:M,0))=0,1,INDEX('#建筑消耗和buff配置索引'!C:C,MATCH(F336,'#建筑消耗和buff配置索引'!M:M,0)))</f>
        <v>2</v>
      </c>
      <c r="T336" s="133">
        <v>0</v>
      </c>
      <c r="U336" s="133">
        <v>0</v>
      </c>
      <c r="V336" s="133" t="str">
        <f>IF(E336=1,IF(INDEX('#建筑消耗和buff配置索引'!BY:BY,MATCH(D336,'#建筑消耗和buff配置索引'!A:A,0))=0,"",INDEX('#建筑消耗和buff配置索引'!BY:BY,MATCH(D336,'#建筑消耗和buff配置索引'!A:A,0))),"")</f>
        <v>1</v>
      </c>
      <c r="W336" s="133" t="str">
        <f>IF(E336=1,IF(INDEX('#建筑消耗和buff配置索引'!BZ:BZ,MATCH(D336,'#建筑消耗和buff配置索引'!A:A,0))=0,"",INDEX('#建筑消耗和buff配置索引'!BZ:BZ,MATCH(D336,'#建筑消耗和buff配置索引'!A:A,0))),"")</f>
        <v>TID_Buff_BuilDetail_4207</v>
      </c>
      <c r="AA336" s="133">
        <f>INDEX('#建筑消耗和buff配置索引'!AO:AO,MATCH($F336,'#建筑消耗和buff配置索引'!$M:$M,0))</f>
        <v>2</v>
      </c>
      <c r="AB336" s="133">
        <f>IF(INDEX('#建筑消耗和buff配置索引'!AR:AR,MATCH($F336,'#建筑消耗和buff配置索引'!$M:$M,0))=0,"",INDEX('#建筑消耗和buff配置索引'!AR:AR,MATCH($F336,'#建筑消耗和buff配置索引'!$M:$M,0)))</f>
        <v>4207</v>
      </c>
      <c r="AC336" s="133">
        <f>IF(AB336="","",INDEX('#建筑消耗和buff配置索引'!AS:AS,MATCH($F336,'#建筑消耗和buff配置索引'!$M:$M,0)))</f>
        <v>40</v>
      </c>
      <c r="AF336" s="133" t="str">
        <f>IF(INDEX('#建筑消耗和buff配置索引'!AW:AW,MATCH($F336,'#建筑消耗和buff配置索引'!$M:$M,0))=0,"",INDEX('#建筑消耗和buff配置索引'!AW:AW,MATCH($F336,'#建筑消耗和buff配置索引'!$M:$M,0)))</f>
        <v/>
      </c>
      <c r="AG336" s="133" t="str">
        <f>IF(AF336="","",INDEX('#建筑消耗和buff配置索引'!AX:AX,MATCH($F336,'#建筑消耗和buff配置索引'!$M:$M,0)))</f>
        <v/>
      </c>
      <c r="AJ336" s="133" t="str">
        <f>IF(INDEX('#建筑消耗和buff配置索引'!BB:BB,MATCH($F336,'#建筑消耗和buff配置索引'!$M:$M,0))=0,"",INDEX('#建筑消耗和buff配置索引'!BB:BB,MATCH($F336,'#建筑消耗和buff配置索引'!$M:$M,0)))</f>
        <v/>
      </c>
      <c r="AK336" s="133" t="str">
        <f>IF(AJ336="","",INDEX('#建筑消耗和buff配置索引'!BC:BC,MATCH($F336,'#建筑消耗和buff配置索引'!$M:$M,0)))</f>
        <v/>
      </c>
      <c r="AN336" s="133" t="str">
        <f>IF(INDEX('#建筑消耗和buff配置索引'!BG:BG,MATCH($F336,'#建筑消耗和buff配置索引'!$M:$M,0))=0,"",INDEX('#建筑消耗和buff配置索引'!BG:BG,MATCH($F336,'#建筑消耗和buff配置索引'!$M:$M,0)))</f>
        <v/>
      </c>
      <c r="AO336" s="133" t="str">
        <f>IF(AN336="","",INDEX('#建筑消耗和buff配置索引'!BH:BH,MATCH($F336,'#建筑消耗和buff配置索引'!$M:$M,0)))</f>
        <v/>
      </c>
      <c r="AR336" s="133" t="str">
        <f>IF(INDEX('#建筑消耗和buff配置索引'!BK:BK,MATCH($F336,'#建筑消耗和buff配置索引'!$M:$M,0))=0,"",INDEX('#建筑消耗和buff配置索引'!BK:BK,MATCH($F336,'#建筑消耗和buff配置索引'!$M:$M,0)))</f>
        <v/>
      </c>
      <c r="AS336" s="133" t="str">
        <f>IF(AR336="","",INDEX('#建筑消耗和buff配置索引'!BL:BL,MATCH($F336,'#建筑消耗和buff配置索引'!$M:$M,0)))</f>
        <v/>
      </c>
      <c r="AV336" s="133" t="str">
        <f>IF(INDEX('#建筑消耗和buff配置索引'!BO:BO,MATCH($F336,'#建筑消耗和buff配置索引'!$M:$M,0))=0,"",INDEX('#建筑消耗和buff配置索引'!BO:BO,MATCH($F336,'#建筑消耗和buff配置索引'!$M:$M,0)))</f>
        <v/>
      </c>
      <c r="AW336" s="133" t="str">
        <f>IF(AV336="","",INDEX('#建筑消耗和buff配置索引'!BP:BP,MATCH($F336,'#建筑消耗和buff配置索引'!$M:$M,0)))</f>
        <v/>
      </c>
      <c r="AZ336" s="133" t="str">
        <f>IF(INDEX('#建筑消耗和buff配置索引'!BS:BS,MATCH($F336,'#建筑消耗和buff配置索引'!$M:$M,0))=0,"",INDEX('#建筑消耗和buff配置索引'!BS:BS,MATCH($F336,'#建筑消耗和buff配置索引'!$M:$M,0)))</f>
        <v/>
      </c>
      <c r="BA336" s="133" t="str">
        <f>IF(AZ336="","",INDEX('#建筑消耗和buff配置索引'!BT:BT,MATCH($F336,'#建筑消耗和buff配置索引'!$M:$M,0)))</f>
        <v/>
      </c>
      <c r="BD336" s="133" t="str">
        <f>IF(INDEX('#建筑消耗和buff配置索引'!BW:BW,MATCH($F336,'#建筑消耗和buff配置索引'!$M:$M,0))=0,"",INDEX('#建筑消耗和buff配置索引'!BW:BW,MATCH($F336,'#建筑消耗和buff配置索引'!$M:$M,0)))</f>
        <v/>
      </c>
      <c r="BE336" s="133" t="str">
        <f>IF(BD336="","",INDEX('#建筑消耗和buff配置索引'!BX:BX,MATCH($F336,'#建筑消耗和buff配置索引'!$M:$M,0)))</f>
        <v/>
      </c>
      <c r="BI336" s="133">
        <v>18</v>
      </c>
    </row>
    <row r="337" spans="1:61" s="133" customFormat="1">
      <c r="A337" s="133">
        <v>2270002</v>
      </c>
      <c r="B337" s="133">
        <v>334</v>
      </c>
      <c r="C337" s="133">
        <v>227</v>
      </c>
      <c r="D337" s="133" t="s">
        <v>940</v>
      </c>
      <c r="E337" s="133">
        <v>2</v>
      </c>
      <c r="F337" s="133" t="str">
        <f t="shared" si="6"/>
        <v>防卫塔2</v>
      </c>
      <c r="H337" s="146"/>
      <c r="I337" s="133" t="s">
        <v>1205</v>
      </c>
      <c r="J337" s="150">
        <f>INDEX('#建筑消耗和buff配置索引'!AH:AH,MATCH($F337,'#建筑消耗和buff配置索引'!$M:$M,0))</f>
        <v>45</v>
      </c>
      <c r="K337" s="150">
        <f>INDEX('#建筑消耗和buff配置索引'!AA:AA,MATCH($F337,'#建筑消耗和buff配置索引'!$M:$M,0))</f>
        <v>1300</v>
      </c>
      <c r="L337" s="150">
        <f>INDEX('#建筑消耗和buff配置索引'!AB:AB,MATCH($F337,'#建筑消耗和buff配置索引'!$M:$M,0))</f>
        <v>1300</v>
      </c>
      <c r="M337" s="150">
        <f>INDEX('#建筑消耗和buff配置索引'!AC:AC,MATCH($F337,'#建筑消耗和buff配置索引'!$M:$M,0))</f>
        <v>0</v>
      </c>
      <c r="N337" s="150">
        <f>INDEX('#建筑消耗和buff配置索引'!AD:AD,MATCH($F337,'#建筑消耗和buff配置索引'!$M:$M,0))</f>
        <v>0</v>
      </c>
      <c r="O337" s="150">
        <v>2068</v>
      </c>
      <c r="P337" s="133">
        <f>IF(INDEX('#建筑消耗和buff配置索引'!U:U,MATCH($F337,'#建筑消耗和buff配置索引'!$M:$M,0))=0,"",INDEX('#建筑消耗和buff配置索引'!U:U,MATCH($F337,'#建筑消耗和buff配置索引'!$M:$M,0)))</f>
        <v>2</v>
      </c>
      <c r="Q337" s="133" t="str">
        <f>IF(INDEX('#建筑消耗和buff配置索引'!K:K,MATCH($F337,'#建筑消耗和buff配置索引'!$M:$M,0))=0,"",INDEX('#建筑消耗和buff配置索引'!K:K,MATCH($F337,'#建筑消耗和buff配置索引'!$M:$M,0)))</f>
        <v>201</v>
      </c>
      <c r="R337" s="133" t="str">
        <f>IF(INDEX('#建筑消耗和buff配置索引'!L:L,MATCH($F337,'#建筑消耗和buff配置索引'!$M:$M,0))=0,"",INDEX('#建筑消耗和buff配置索引'!L:L,MATCH($F337,'#建筑消耗和buff配置索引'!$M:$M,0)))</f>
        <v>5</v>
      </c>
      <c r="S337" s="133">
        <f>IF(INDEX('#建筑消耗和buff配置索引'!C:C,MATCH(F337,'#建筑消耗和buff配置索引'!M:M,0))=0,1,INDEX('#建筑消耗和buff配置索引'!C:C,MATCH(F337,'#建筑消耗和buff配置索引'!M:M,0)))</f>
        <v>2</v>
      </c>
      <c r="T337" s="133">
        <v>0</v>
      </c>
      <c r="U337" s="133">
        <v>0</v>
      </c>
      <c r="V337" s="133" t="str">
        <f>IF(E337=1,IF(INDEX('#建筑消耗和buff配置索引'!BY:BY,MATCH(D337,'#建筑消耗和buff配置索引'!A:A,0))=0,"",INDEX('#建筑消耗和buff配置索引'!BY:BY,MATCH(D337,'#建筑消耗和buff配置索引'!A:A,0))),"")</f>
        <v/>
      </c>
      <c r="W337" s="133" t="str">
        <f>IF(E337=1,IF(INDEX('#建筑消耗和buff配置索引'!BZ:BZ,MATCH(D337,'#建筑消耗和buff配置索引'!A:A,0))=0,"",INDEX('#建筑消耗和buff配置索引'!BZ:BZ,MATCH(D337,'#建筑消耗和buff配置索引'!A:A,0))),"")</f>
        <v/>
      </c>
      <c r="AA337" s="133">
        <f>INDEX('#建筑消耗和buff配置索引'!AO:AO,MATCH($F337,'#建筑消耗和buff配置索引'!$M:$M,0))</f>
        <v>7</v>
      </c>
      <c r="AB337" s="133">
        <f>IF(INDEX('#建筑消耗和buff配置索引'!AR:AR,MATCH($F337,'#建筑消耗和buff配置索引'!$M:$M,0))=0,"",INDEX('#建筑消耗和buff配置索引'!AR:AR,MATCH($F337,'#建筑消耗和buff配置索引'!$M:$M,0)))</f>
        <v>4207</v>
      </c>
      <c r="AC337" s="133">
        <f>IF(AB337="","",INDEX('#建筑消耗和buff配置索引'!AS:AS,MATCH($F337,'#建筑消耗和buff配置索引'!$M:$M,0)))</f>
        <v>80</v>
      </c>
      <c r="AF337" s="133" t="str">
        <f>IF(INDEX('#建筑消耗和buff配置索引'!AW:AW,MATCH($F337,'#建筑消耗和buff配置索引'!$M:$M,0))=0,"",INDEX('#建筑消耗和buff配置索引'!AW:AW,MATCH($F337,'#建筑消耗和buff配置索引'!$M:$M,0)))</f>
        <v/>
      </c>
      <c r="AG337" s="133" t="str">
        <f>IF(AF337="","",INDEX('#建筑消耗和buff配置索引'!AX:AX,MATCH($F337,'#建筑消耗和buff配置索引'!$M:$M,0)))</f>
        <v/>
      </c>
      <c r="AJ337" s="133" t="str">
        <f>IF(INDEX('#建筑消耗和buff配置索引'!BB:BB,MATCH($F337,'#建筑消耗和buff配置索引'!$M:$M,0))=0,"",INDEX('#建筑消耗和buff配置索引'!BB:BB,MATCH($F337,'#建筑消耗和buff配置索引'!$M:$M,0)))</f>
        <v/>
      </c>
      <c r="AK337" s="133" t="str">
        <f>IF(AJ337="","",INDEX('#建筑消耗和buff配置索引'!BC:BC,MATCH($F337,'#建筑消耗和buff配置索引'!$M:$M,0)))</f>
        <v/>
      </c>
      <c r="AN337" s="133" t="str">
        <f>IF(INDEX('#建筑消耗和buff配置索引'!BG:BG,MATCH($F337,'#建筑消耗和buff配置索引'!$M:$M,0))=0,"",INDEX('#建筑消耗和buff配置索引'!BG:BG,MATCH($F337,'#建筑消耗和buff配置索引'!$M:$M,0)))</f>
        <v/>
      </c>
      <c r="AO337" s="133" t="str">
        <f>IF(AN337="","",INDEX('#建筑消耗和buff配置索引'!BH:BH,MATCH($F337,'#建筑消耗和buff配置索引'!$M:$M,0)))</f>
        <v/>
      </c>
      <c r="AR337" s="133" t="str">
        <f>IF(INDEX('#建筑消耗和buff配置索引'!BK:BK,MATCH($F337,'#建筑消耗和buff配置索引'!$M:$M,0))=0,"",INDEX('#建筑消耗和buff配置索引'!BK:BK,MATCH($F337,'#建筑消耗和buff配置索引'!$M:$M,0)))</f>
        <v/>
      </c>
      <c r="AS337" s="133" t="str">
        <f>IF(AR337="","",INDEX('#建筑消耗和buff配置索引'!BL:BL,MATCH($F337,'#建筑消耗和buff配置索引'!$M:$M,0)))</f>
        <v/>
      </c>
      <c r="AV337" s="133" t="str">
        <f>IF(INDEX('#建筑消耗和buff配置索引'!BO:BO,MATCH($F337,'#建筑消耗和buff配置索引'!$M:$M,0))=0,"",INDEX('#建筑消耗和buff配置索引'!BO:BO,MATCH($F337,'#建筑消耗和buff配置索引'!$M:$M,0)))</f>
        <v/>
      </c>
      <c r="AW337" s="133" t="str">
        <f>IF(AV337="","",INDEX('#建筑消耗和buff配置索引'!BP:BP,MATCH($F337,'#建筑消耗和buff配置索引'!$M:$M,0)))</f>
        <v/>
      </c>
      <c r="AZ337" s="133" t="str">
        <f>IF(INDEX('#建筑消耗和buff配置索引'!BS:BS,MATCH($F337,'#建筑消耗和buff配置索引'!$M:$M,0))=0,"",INDEX('#建筑消耗和buff配置索引'!BS:BS,MATCH($F337,'#建筑消耗和buff配置索引'!$M:$M,0)))</f>
        <v/>
      </c>
      <c r="BA337" s="133" t="str">
        <f>IF(AZ337="","",INDEX('#建筑消耗和buff配置索引'!BT:BT,MATCH($F337,'#建筑消耗和buff配置索引'!$M:$M,0)))</f>
        <v/>
      </c>
      <c r="BD337" s="133" t="str">
        <f>IF(INDEX('#建筑消耗和buff配置索引'!BW:BW,MATCH($F337,'#建筑消耗和buff配置索引'!$M:$M,0))=0,"",INDEX('#建筑消耗和buff配置索引'!BW:BW,MATCH($F337,'#建筑消耗和buff配置索引'!$M:$M,0)))</f>
        <v/>
      </c>
      <c r="BE337" s="133" t="str">
        <f>IF(BD337="","",INDEX('#建筑消耗和buff配置索引'!BX:BX,MATCH($F337,'#建筑消耗和buff配置索引'!$M:$M,0)))</f>
        <v/>
      </c>
      <c r="BI337" s="133">
        <v>18</v>
      </c>
    </row>
    <row r="338" spans="1:61" s="133" customFormat="1">
      <c r="A338" s="133">
        <v>2270003</v>
      </c>
      <c r="B338" s="133">
        <v>335</v>
      </c>
      <c r="C338" s="133">
        <v>227</v>
      </c>
      <c r="D338" s="133" t="s">
        <v>940</v>
      </c>
      <c r="E338" s="133">
        <v>3</v>
      </c>
      <c r="F338" s="133" t="str">
        <f t="shared" si="6"/>
        <v>防卫塔3</v>
      </c>
      <c r="H338" s="146"/>
      <c r="I338" s="133" t="s">
        <v>1205</v>
      </c>
      <c r="J338" s="150">
        <f>INDEX('#建筑消耗和buff配置索引'!AH:AH,MATCH($F338,'#建筑消耗和buff配置索引'!$M:$M,0))</f>
        <v>90</v>
      </c>
      <c r="K338" s="150">
        <f>INDEX('#建筑消耗和buff配置索引'!AA:AA,MATCH($F338,'#建筑消耗和buff配置索引'!$M:$M,0))</f>
        <v>2500</v>
      </c>
      <c r="L338" s="150">
        <f>INDEX('#建筑消耗和buff配置索引'!AB:AB,MATCH($F338,'#建筑消耗和buff配置索引'!$M:$M,0))</f>
        <v>2500</v>
      </c>
      <c r="M338" s="150">
        <f>INDEX('#建筑消耗和buff配置索引'!AC:AC,MATCH($F338,'#建筑消耗和buff配置索引'!$M:$M,0))</f>
        <v>0</v>
      </c>
      <c r="N338" s="150">
        <f>INDEX('#建筑消耗和buff配置索引'!AD:AD,MATCH($F338,'#建筑消耗和buff配置索引'!$M:$M,0))</f>
        <v>0</v>
      </c>
      <c r="O338" s="150">
        <v>2068</v>
      </c>
      <c r="P338" s="133">
        <f>IF(INDEX('#建筑消耗和buff配置索引'!U:U,MATCH($F338,'#建筑消耗和buff配置索引'!$M:$M,0))=0,"",INDEX('#建筑消耗和buff配置索引'!U:U,MATCH($F338,'#建筑消耗和buff配置索引'!$M:$M,0)))</f>
        <v>3</v>
      </c>
      <c r="Q338" s="133" t="str">
        <f>IF(INDEX('#建筑消耗和buff配置索引'!K:K,MATCH($F338,'#建筑消耗和buff配置索引'!$M:$M,0))=0,"",INDEX('#建筑消耗和buff配置索引'!K:K,MATCH($F338,'#建筑消耗和buff配置索引'!$M:$M,0)))</f>
        <v>201</v>
      </c>
      <c r="R338" s="133" t="str">
        <f>IF(INDEX('#建筑消耗和buff配置索引'!L:L,MATCH($F338,'#建筑消耗和buff配置索引'!$M:$M,0))=0,"",INDEX('#建筑消耗和buff配置索引'!L:L,MATCH($F338,'#建筑消耗和buff配置索引'!$M:$M,0)))</f>
        <v>5</v>
      </c>
      <c r="S338" s="133">
        <f>IF(INDEX('#建筑消耗和buff配置索引'!C:C,MATCH(F338,'#建筑消耗和buff配置索引'!M:M,0))=0,1,INDEX('#建筑消耗和buff配置索引'!C:C,MATCH(F338,'#建筑消耗和buff配置索引'!M:M,0)))</f>
        <v>2</v>
      </c>
      <c r="T338" s="133">
        <v>0</v>
      </c>
      <c r="U338" s="133">
        <v>0</v>
      </c>
      <c r="V338" s="133" t="str">
        <f>IF(E338=1,IF(INDEX('#建筑消耗和buff配置索引'!BY:BY,MATCH(D338,'#建筑消耗和buff配置索引'!A:A,0))=0,"",INDEX('#建筑消耗和buff配置索引'!BY:BY,MATCH(D338,'#建筑消耗和buff配置索引'!A:A,0))),"")</f>
        <v/>
      </c>
      <c r="W338" s="133" t="str">
        <f>IF(E338=1,IF(INDEX('#建筑消耗和buff配置索引'!BZ:BZ,MATCH(D338,'#建筑消耗和buff配置索引'!A:A,0))=0,"",INDEX('#建筑消耗和buff配置索引'!BZ:BZ,MATCH(D338,'#建筑消耗和buff配置索引'!A:A,0))),"")</f>
        <v/>
      </c>
      <c r="AA338" s="133">
        <f>INDEX('#建筑消耗和buff配置索引'!AO:AO,MATCH($F338,'#建筑消耗和buff配置索引'!$M:$M,0))</f>
        <v>17</v>
      </c>
      <c r="AB338" s="133">
        <f>IF(INDEX('#建筑消耗和buff配置索引'!AR:AR,MATCH($F338,'#建筑消耗和buff配置索引'!$M:$M,0))=0,"",INDEX('#建筑消耗和buff配置索引'!AR:AR,MATCH($F338,'#建筑消耗和buff配置索引'!$M:$M,0)))</f>
        <v>4207</v>
      </c>
      <c r="AC338" s="133">
        <f>IF(AB338="","",INDEX('#建筑消耗和buff配置索引'!AS:AS,MATCH($F338,'#建筑消耗和buff配置索引'!$M:$M,0)))</f>
        <v>120</v>
      </c>
      <c r="AF338" s="133" t="str">
        <f>IF(INDEX('#建筑消耗和buff配置索引'!AW:AW,MATCH($F338,'#建筑消耗和buff配置索引'!$M:$M,0))=0,"",INDEX('#建筑消耗和buff配置索引'!AW:AW,MATCH($F338,'#建筑消耗和buff配置索引'!$M:$M,0)))</f>
        <v/>
      </c>
      <c r="AG338" s="133" t="str">
        <f>IF(AF338="","",INDEX('#建筑消耗和buff配置索引'!AX:AX,MATCH($F338,'#建筑消耗和buff配置索引'!$M:$M,0)))</f>
        <v/>
      </c>
      <c r="AJ338" s="133" t="str">
        <f>IF(INDEX('#建筑消耗和buff配置索引'!BB:BB,MATCH($F338,'#建筑消耗和buff配置索引'!$M:$M,0))=0,"",INDEX('#建筑消耗和buff配置索引'!BB:BB,MATCH($F338,'#建筑消耗和buff配置索引'!$M:$M,0)))</f>
        <v/>
      </c>
      <c r="AK338" s="133" t="str">
        <f>IF(AJ338="","",INDEX('#建筑消耗和buff配置索引'!BC:BC,MATCH($F338,'#建筑消耗和buff配置索引'!$M:$M,0)))</f>
        <v/>
      </c>
      <c r="AN338" s="133" t="str">
        <f>IF(INDEX('#建筑消耗和buff配置索引'!BG:BG,MATCH($F338,'#建筑消耗和buff配置索引'!$M:$M,0))=0,"",INDEX('#建筑消耗和buff配置索引'!BG:BG,MATCH($F338,'#建筑消耗和buff配置索引'!$M:$M,0)))</f>
        <v/>
      </c>
      <c r="AO338" s="133" t="str">
        <f>IF(AN338="","",INDEX('#建筑消耗和buff配置索引'!BH:BH,MATCH($F338,'#建筑消耗和buff配置索引'!$M:$M,0)))</f>
        <v/>
      </c>
      <c r="AR338" s="133" t="str">
        <f>IF(INDEX('#建筑消耗和buff配置索引'!BK:BK,MATCH($F338,'#建筑消耗和buff配置索引'!$M:$M,0))=0,"",INDEX('#建筑消耗和buff配置索引'!BK:BK,MATCH($F338,'#建筑消耗和buff配置索引'!$M:$M,0)))</f>
        <v/>
      </c>
      <c r="AS338" s="133" t="str">
        <f>IF(AR338="","",INDEX('#建筑消耗和buff配置索引'!BL:BL,MATCH($F338,'#建筑消耗和buff配置索引'!$M:$M,0)))</f>
        <v/>
      </c>
      <c r="AV338" s="133" t="str">
        <f>IF(INDEX('#建筑消耗和buff配置索引'!BO:BO,MATCH($F338,'#建筑消耗和buff配置索引'!$M:$M,0))=0,"",INDEX('#建筑消耗和buff配置索引'!BO:BO,MATCH($F338,'#建筑消耗和buff配置索引'!$M:$M,0)))</f>
        <v/>
      </c>
      <c r="AW338" s="133" t="str">
        <f>IF(AV338="","",INDEX('#建筑消耗和buff配置索引'!BP:BP,MATCH($F338,'#建筑消耗和buff配置索引'!$M:$M,0)))</f>
        <v/>
      </c>
      <c r="AZ338" s="133" t="str">
        <f>IF(INDEX('#建筑消耗和buff配置索引'!BS:BS,MATCH($F338,'#建筑消耗和buff配置索引'!$M:$M,0))=0,"",INDEX('#建筑消耗和buff配置索引'!BS:BS,MATCH($F338,'#建筑消耗和buff配置索引'!$M:$M,0)))</f>
        <v/>
      </c>
      <c r="BA338" s="133" t="str">
        <f>IF(AZ338="","",INDEX('#建筑消耗和buff配置索引'!BT:BT,MATCH($F338,'#建筑消耗和buff配置索引'!$M:$M,0)))</f>
        <v/>
      </c>
      <c r="BD338" s="133" t="str">
        <f>IF(INDEX('#建筑消耗和buff配置索引'!BW:BW,MATCH($F338,'#建筑消耗和buff配置索引'!$M:$M,0))=0,"",INDEX('#建筑消耗和buff配置索引'!BW:BW,MATCH($F338,'#建筑消耗和buff配置索引'!$M:$M,0)))</f>
        <v/>
      </c>
      <c r="BE338" s="133" t="str">
        <f>IF(BD338="","",INDEX('#建筑消耗和buff配置索引'!BX:BX,MATCH($F338,'#建筑消耗和buff配置索引'!$M:$M,0)))</f>
        <v/>
      </c>
      <c r="BI338" s="133">
        <v>18</v>
      </c>
    </row>
    <row r="339" spans="1:61" s="133" customFormat="1">
      <c r="A339" s="133">
        <v>2270004</v>
      </c>
      <c r="B339" s="133">
        <v>336</v>
      </c>
      <c r="C339" s="133">
        <v>227</v>
      </c>
      <c r="D339" s="133" t="s">
        <v>940</v>
      </c>
      <c r="E339" s="133">
        <v>4</v>
      </c>
      <c r="F339" s="133" t="str">
        <f t="shared" si="6"/>
        <v>防卫塔4</v>
      </c>
      <c r="H339" s="146"/>
      <c r="I339" s="133" t="s">
        <v>1205</v>
      </c>
      <c r="J339" s="150">
        <f>INDEX('#建筑消耗和buff配置索引'!AH:AH,MATCH($F339,'#建筑消耗和buff配置索引'!$M:$M,0))</f>
        <v>180</v>
      </c>
      <c r="K339" s="150">
        <f>INDEX('#建筑消耗和buff配置索引'!AA:AA,MATCH($F339,'#建筑消耗和buff配置索引'!$M:$M,0))</f>
        <v>5000</v>
      </c>
      <c r="L339" s="150">
        <f>INDEX('#建筑消耗和buff配置索引'!AB:AB,MATCH($F339,'#建筑消耗和buff配置索引'!$M:$M,0))</f>
        <v>5000</v>
      </c>
      <c r="M339" s="150">
        <f>INDEX('#建筑消耗和buff配置索引'!AC:AC,MATCH($F339,'#建筑消耗和buff配置索引'!$M:$M,0))</f>
        <v>0</v>
      </c>
      <c r="N339" s="150">
        <f>INDEX('#建筑消耗和buff配置索引'!AD:AD,MATCH($F339,'#建筑消耗和buff配置索引'!$M:$M,0))</f>
        <v>0</v>
      </c>
      <c r="O339" s="150">
        <v>2068</v>
      </c>
      <c r="P339" s="133">
        <f>IF(INDEX('#建筑消耗和buff配置索引'!U:U,MATCH($F339,'#建筑消耗和buff配置索引'!$M:$M,0))=0,"",INDEX('#建筑消耗和buff配置索引'!U:U,MATCH($F339,'#建筑消耗和buff配置索引'!$M:$M,0)))</f>
        <v>4</v>
      </c>
      <c r="Q339" s="133" t="str">
        <f>IF(INDEX('#建筑消耗和buff配置索引'!K:K,MATCH($F339,'#建筑消耗和buff配置索引'!$M:$M,0))=0,"",INDEX('#建筑消耗和buff配置索引'!K:K,MATCH($F339,'#建筑消耗和buff配置索引'!$M:$M,0)))</f>
        <v>201</v>
      </c>
      <c r="R339" s="133" t="str">
        <f>IF(INDEX('#建筑消耗和buff配置索引'!L:L,MATCH($F339,'#建筑消耗和buff配置索引'!$M:$M,0))=0,"",INDEX('#建筑消耗和buff配置索引'!L:L,MATCH($F339,'#建筑消耗和buff配置索引'!$M:$M,0)))</f>
        <v>5</v>
      </c>
      <c r="S339" s="133">
        <f>IF(INDEX('#建筑消耗和buff配置索引'!C:C,MATCH(F339,'#建筑消耗和buff配置索引'!M:M,0))=0,1,INDEX('#建筑消耗和buff配置索引'!C:C,MATCH(F339,'#建筑消耗和buff配置索引'!M:M,0)))</f>
        <v>2</v>
      </c>
      <c r="T339" s="133">
        <v>0</v>
      </c>
      <c r="U339" s="133">
        <v>0</v>
      </c>
      <c r="V339" s="133" t="str">
        <f>IF(E339=1,IF(INDEX('#建筑消耗和buff配置索引'!BY:BY,MATCH(D339,'#建筑消耗和buff配置索引'!A:A,0))=0,"",INDEX('#建筑消耗和buff配置索引'!BY:BY,MATCH(D339,'#建筑消耗和buff配置索引'!A:A,0))),"")</f>
        <v/>
      </c>
      <c r="W339" s="133" t="str">
        <f>IF(E339=1,IF(INDEX('#建筑消耗和buff配置索引'!BZ:BZ,MATCH(D339,'#建筑消耗和buff配置索引'!A:A,0))=0,"",INDEX('#建筑消耗和buff配置索引'!BZ:BZ,MATCH(D339,'#建筑消耗和buff配置索引'!A:A,0))),"")</f>
        <v/>
      </c>
      <c r="AA339" s="133">
        <f>INDEX('#建筑消耗和buff配置索引'!AO:AO,MATCH($F339,'#建筑消耗和buff配置索引'!$M:$M,0))</f>
        <v>37</v>
      </c>
      <c r="AB339" s="133">
        <f>IF(INDEX('#建筑消耗和buff配置索引'!AR:AR,MATCH($F339,'#建筑消耗和buff配置索引'!$M:$M,0))=0,"",INDEX('#建筑消耗和buff配置索引'!AR:AR,MATCH($F339,'#建筑消耗和buff配置索引'!$M:$M,0)))</f>
        <v>4207</v>
      </c>
      <c r="AC339" s="133">
        <f>IF(AB339="","",INDEX('#建筑消耗和buff配置索引'!AS:AS,MATCH($F339,'#建筑消耗和buff配置索引'!$M:$M,0)))</f>
        <v>160</v>
      </c>
      <c r="AF339" s="133" t="str">
        <f>IF(INDEX('#建筑消耗和buff配置索引'!AW:AW,MATCH($F339,'#建筑消耗和buff配置索引'!$M:$M,0))=0,"",INDEX('#建筑消耗和buff配置索引'!AW:AW,MATCH($F339,'#建筑消耗和buff配置索引'!$M:$M,0)))</f>
        <v/>
      </c>
      <c r="AG339" s="133" t="str">
        <f>IF(AF339="","",INDEX('#建筑消耗和buff配置索引'!AX:AX,MATCH($F339,'#建筑消耗和buff配置索引'!$M:$M,0)))</f>
        <v/>
      </c>
      <c r="AJ339" s="133" t="str">
        <f>IF(INDEX('#建筑消耗和buff配置索引'!BB:BB,MATCH($F339,'#建筑消耗和buff配置索引'!$M:$M,0))=0,"",INDEX('#建筑消耗和buff配置索引'!BB:BB,MATCH($F339,'#建筑消耗和buff配置索引'!$M:$M,0)))</f>
        <v/>
      </c>
      <c r="AK339" s="133" t="str">
        <f>IF(AJ339="","",INDEX('#建筑消耗和buff配置索引'!BC:BC,MATCH($F339,'#建筑消耗和buff配置索引'!$M:$M,0)))</f>
        <v/>
      </c>
      <c r="AN339" s="133" t="str">
        <f>IF(INDEX('#建筑消耗和buff配置索引'!BG:BG,MATCH($F339,'#建筑消耗和buff配置索引'!$M:$M,0))=0,"",INDEX('#建筑消耗和buff配置索引'!BG:BG,MATCH($F339,'#建筑消耗和buff配置索引'!$M:$M,0)))</f>
        <v/>
      </c>
      <c r="AO339" s="133" t="str">
        <f>IF(AN339="","",INDEX('#建筑消耗和buff配置索引'!BH:BH,MATCH($F339,'#建筑消耗和buff配置索引'!$M:$M,0)))</f>
        <v/>
      </c>
      <c r="AR339" s="133" t="str">
        <f>IF(INDEX('#建筑消耗和buff配置索引'!BK:BK,MATCH($F339,'#建筑消耗和buff配置索引'!$M:$M,0))=0,"",INDEX('#建筑消耗和buff配置索引'!BK:BK,MATCH($F339,'#建筑消耗和buff配置索引'!$M:$M,0)))</f>
        <v/>
      </c>
      <c r="AS339" s="133" t="str">
        <f>IF(AR339="","",INDEX('#建筑消耗和buff配置索引'!BL:BL,MATCH($F339,'#建筑消耗和buff配置索引'!$M:$M,0)))</f>
        <v/>
      </c>
      <c r="AV339" s="133" t="str">
        <f>IF(INDEX('#建筑消耗和buff配置索引'!BO:BO,MATCH($F339,'#建筑消耗和buff配置索引'!$M:$M,0))=0,"",INDEX('#建筑消耗和buff配置索引'!BO:BO,MATCH($F339,'#建筑消耗和buff配置索引'!$M:$M,0)))</f>
        <v/>
      </c>
      <c r="AW339" s="133" t="str">
        <f>IF(AV339="","",INDEX('#建筑消耗和buff配置索引'!BP:BP,MATCH($F339,'#建筑消耗和buff配置索引'!$M:$M,0)))</f>
        <v/>
      </c>
      <c r="AZ339" s="133" t="str">
        <f>IF(INDEX('#建筑消耗和buff配置索引'!BS:BS,MATCH($F339,'#建筑消耗和buff配置索引'!$M:$M,0))=0,"",INDEX('#建筑消耗和buff配置索引'!BS:BS,MATCH($F339,'#建筑消耗和buff配置索引'!$M:$M,0)))</f>
        <v/>
      </c>
      <c r="BA339" s="133" t="str">
        <f>IF(AZ339="","",INDEX('#建筑消耗和buff配置索引'!BT:BT,MATCH($F339,'#建筑消耗和buff配置索引'!$M:$M,0)))</f>
        <v/>
      </c>
      <c r="BD339" s="133" t="str">
        <f>IF(INDEX('#建筑消耗和buff配置索引'!BW:BW,MATCH($F339,'#建筑消耗和buff配置索引'!$M:$M,0))=0,"",INDEX('#建筑消耗和buff配置索引'!BW:BW,MATCH($F339,'#建筑消耗和buff配置索引'!$M:$M,0)))</f>
        <v/>
      </c>
      <c r="BE339" s="133" t="str">
        <f>IF(BD339="","",INDEX('#建筑消耗和buff配置索引'!BX:BX,MATCH($F339,'#建筑消耗和buff配置索引'!$M:$M,0)))</f>
        <v/>
      </c>
      <c r="BI339" s="133">
        <v>18</v>
      </c>
    </row>
    <row r="340" spans="1:61" s="133" customFormat="1">
      <c r="A340" s="133">
        <v>2270005</v>
      </c>
      <c r="B340" s="133">
        <v>337</v>
      </c>
      <c r="C340" s="133">
        <v>227</v>
      </c>
      <c r="D340" s="133" t="s">
        <v>940</v>
      </c>
      <c r="E340" s="133">
        <v>5</v>
      </c>
      <c r="F340" s="133" t="str">
        <f t="shared" si="6"/>
        <v>防卫塔5</v>
      </c>
      <c r="H340" s="146"/>
      <c r="I340" s="133">
        <v>1</v>
      </c>
      <c r="J340" s="150">
        <f>INDEX('#建筑消耗和buff配置索引'!AH:AH,MATCH($F340,'#建筑消耗和buff配置索引'!$M:$M,0))</f>
        <v>375</v>
      </c>
      <c r="K340" s="150">
        <f>INDEX('#建筑消耗和buff配置索引'!AA:AA,MATCH($F340,'#建筑消耗和buff配置索引'!$M:$M,0))</f>
        <v>4800</v>
      </c>
      <c r="L340" s="150">
        <f>INDEX('#建筑消耗和buff配置索引'!AB:AB,MATCH($F340,'#建筑消耗和buff配置索引'!$M:$M,0))</f>
        <v>4800</v>
      </c>
      <c r="M340" s="150">
        <f>INDEX('#建筑消耗和buff配置索引'!AC:AC,MATCH($F340,'#建筑消耗和buff配置索引'!$M:$M,0))</f>
        <v>9700</v>
      </c>
      <c r="N340" s="150">
        <f>INDEX('#建筑消耗和buff配置索引'!AD:AD,MATCH($F340,'#建筑消耗和buff配置索引'!$M:$M,0))</f>
        <v>0</v>
      </c>
      <c r="O340" s="150">
        <v>2068</v>
      </c>
      <c r="P340" s="133">
        <f>IF(INDEX('#建筑消耗和buff配置索引'!U:U,MATCH($F340,'#建筑消耗和buff配置索引'!$M:$M,0))=0,"",INDEX('#建筑消耗和buff配置索引'!U:U,MATCH($F340,'#建筑消耗和buff配置索引'!$M:$M,0)))</f>
        <v>6</v>
      </c>
      <c r="Q340" s="133" t="str">
        <f>IF(INDEX('#建筑消耗和buff配置索引'!K:K,MATCH($F340,'#建筑消耗和buff配置索引'!$M:$M,0))=0,"",INDEX('#建筑消耗和buff配置索引'!K:K,MATCH($F340,'#建筑消耗和buff配置索引'!$M:$M,0)))</f>
        <v>201;215</v>
      </c>
      <c r="R340" s="133" t="str">
        <f>IF(INDEX('#建筑消耗和buff配置索引'!L:L,MATCH($F340,'#建筑消耗和buff配置索引'!$M:$M,0))=0,"",INDEX('#建筑消耗和buff配置索引'!L:L,MATCH($F340,'#建筑消耗和buff配置索引'!$M:$M,0)))</f>
        <v>5;5</v>
      </c>
      <c r="S340" s="133">
        <f>IF(INDEX('#建筑消耗和buff配置索引'!C:C,MATCH(F340,'#建筑消耗和buff配置索引'!M:M,0))=0,1,INDEX('#建筑消耗和buff配置索引'!C:C,MATCH(F340,'#建筑消耗和buff配置索引'!M:M,0)))</f>
        <v>2</v>
      </c>
      <c r="T340" s="133">
        <v>0</v>
      </c>
      <c r="U340" s="133">
        <v>0</v>
      </c>
      <c r="V340" s="133" t="str">
        <f>IF(E340=1,IF(INDEX('#建筑消耗和buff配置索引'!BY:BY,MATCH(D340,'#建筑消耗和buff配置索引'!A:A,0))=0,"",INDEX('#建筑消耗和buff配置索引'!BY:BY,MATCH(D340,'#建筑消耗和buff配置索引'!A:A,0))),"")</f>
        <v/>
      </c>
      <c r="W340" s="133" t="str">
        <f>IF(E340=1,IF(INDEX('#建筑消耗和buff配置索引'!BZ:BZ,MATCH(D340,'#建筑消耗和buff配置索引'!A:A,0))=0,"",INDEX('#建筑消耗和buff配置索引'!BZ:BZ,MATCH(D340,'#建筑消耗和buff配置索引'!A:A,0))),"")</f>
        <v/>
      </c>
      <c r="AA340" s="133">
        <f>INDEX('#建筑消耗和buff配置索引'!AO:AO,MATCH($F340,'#建筑消耗和buff配置索引'!$M:$M,0))</f>
        <v>76</v>
      </c>
      <c r="AB340" s="133">
        <f>IF(INDEX('#建筑消耗和buff配置索引'!AR:AR,MATCH($F340,'#建筑消耗和buff配置索引'!$M:$M,0))=0,"",INDEX('#建筑消耗和buff配置索引'!AR:AR,MATCH($F340,'#建筑消耗和buff配置索引'!$M:$M,0)))</f>
        <v>4207</v>
      </c>
      <c r="AC340" s="133">
        <f>IF(AB340="","",INDEX('#建筑消耗和buff配置索引'!AS:AS,MATCH($F340,'#建筑消耗和buff配置索引'!$M:$M,0)))</f>
        <v>200</v>
      </c>
      <c r="AF340" s="133" t="str">
        <f>IF(INDEX('#建筑消耗和buff配置索引'!AW:AW,MATCH($F340,'#建筑消耗和buff配置索引'!$M:$M,0))=0,"",INDEX('#建筑消耗和buff配置索引'!AW:AW,MATCH($F340,'#建筑消耗和buff配置索引'!$M:$M,0)))</f>
        <v/>
      </c>
      <c r="AG340" s="133" t="str">
        <f>IF(AF340="","",INDEX('#建筑消耗和buff配置索引'!AX:AX,MATCH($F340,'#建筑消耗和buff配置索引'!$M:$M,0)))</f>
        <v/>
      </c>
      <c r="AJ340" s="133" t="str">
        <f>IF(INDEX('#建筑消耗和buff配置索引'!BB:BB,MATCH($F340,'#建筑消耗和buff配置索引'!$M:$M,0))=0,"",INDEX('#建筑消耗和buff配置索引'!BB:BB,MATCH($F340,'#建筑消耗和buff配置索引'!$M:$M,0)))</f>
        <v/>
      </c>
      <c r="AK340" s="133" t="str">
        <f>IF(AJ340="","",INDEX('#建筑消耗和buff配置索引'!BC:BC,MATCH($F340,'#建筑消耗和buff配置索引'!$M:$M,0)))</f>
        <v/>
      </c>
      <c r="AN340" s="133" t="str">
        <f>IF(INDEX('#建筑消耗和buff配置索引'!BG:BG,MATCH($F340,'#建筑消耗和buff配置索引'!$M:$M,0))=0,"",INDEX('#建筑消耗和buff配置索引'!BG:BG,MATCH($F340,'#建筑消耗和buff配置索引'!$M:$M,0)))</f>
        <v/>
      </c>
      <c r="AO340" s="133" t="str">
        <f>IF(AN340="","",INDEX('#建筑消耗和buff配置索引'!BH:BH,MATCH($F340,'#建筑消耗和buff配置索引'!$M:$M,0)))</f>
        <v/>
      </c>
      <c r="AR340" s="133" t="str">
        <f>IF(INDEX('#建筑消耗和buff配置索引'!BK:BK,MATCH($F340,'#建筑消耗和buff配置索引'!$M:$M,0))=0,"",INDEX('#建筑消耗和buff配置索引'!BK:BK,MATCH($F340,'#建筑消耗和buff配置索引'!$M:$M,0)))</f>
        <v/>
      </c>
      <c r="AS340" s="133" t="str">
        <f>IF(AR340="","",INDEX('#建筑消耗和buff配置索引'!BL:BL,MATCH($F340,'#建筑消耗和buff配置索引'!$M:$M,0)))</f>
        <v/>
      </c>
      <c r="AV340" s="133" t="str">
        <f>IF(INDEX('#建筑消耗和buff配置索引'!BO:BO,MATCH($F340,'#建筑消耗和buff配置索引'!$M:$M,0))=0,"",INDEX('#建筑消耗和buff配置索引'!BO:BO,MATCH($F340,'#建筑消耗和buff配置索引'!$M:$M,0)))</f>
        <v/>
      </c>
      <c r="AW340" s="133" t="str">
        <f>IF(AV340="","",INDEX('#建筑消耗和buff配置索引'!BP:BP,MATCH($F340,'#建筑消耗和buff配置索引'!$M:$M,0)))</f>
        <v/>
      </c>
      <c r="AZ340" s="133" t="str">
        <f>IF(INDEX('#建筑消耗和buff配置索引'!BS:BS,MATCH($F340,'#建筑消耗和buff配置索引'!$M:$M,0))=0,"",INDEX('#建筑消耗和buff配置索引'!BS:BS,MATCH($F340,'#建筑消耗和buff配置索引'!$M:$M,0)))</f>
        <v/>
      </c>
      <c r="BA340" s="133" t="str">
        <f>IF(AZ340="","",INDEX('#建筑消耗和buff配置索引'!BT:BT,MATCH($F340,'#建筑消耗和buff配置索引'!$M:$M,0)))</f>
        <v/>
      </c>
      <c r="BD340" s="133" t="str">
        <f>IF(INDEX('#建筑消耗和buff配置索引'!BW:BW,MATCH($F340,'#建筑消耗和buff配置索引'!$M:$M,0))=0,"",INDEX('#建筑消耗和buff配置索引'!BW:BW,MATCH($F340,'#建筑消耗和buff配置索引'!$M:$M,0)))</f>
        <v/>
      </c>
      <c r="BE340" s="133" t="str">
        <f>IF(BD340="","",INDEX('#建筑消耗和buff配置索引'!BX:BX,MATCH($F340,'#建筑消耗和buff配置索引'!$M:$M,0)))</f>
        <v/>
      </c>
      <c r="BI340" s="133">
        <v>18</v>
      </c>
    </row>
    <row r="341" spans="1:61" s="133" customFormat="1">
      <c r="A341" s="133">
        <v>2270006</v>
      </c>
      <c r="B341" s="133">
        <v>338</v>
      </c>
      <c r="C341" s="133">
        <v>227</v>
      </c>
      <c r="D341" s="133" t="s">
        <v>940</v>
      </c>
      <c r="E341" s="133">
        <v>6</v>
      </c>
      <c r="F341" s="133" t="str">
        <f t="shared" si="6"/>
        <v>防卫塔6</v>
      </c>
      <c r="H341" s="146"/>
      <c r="I341" s="133">
        <v>1</v>
      </c>
      <c r="J341" s="150">
        <f>INDEX('#建筑消耗和buff配置索引'!AH:AH,MATCH($F341,'#建筑消耗和buff配置索引'!$M:$M,0))</f>
        <v>675</v>
      </c>
      <c r="K341" s="150">
        <f>INDEX('#建筑消耗和buff配置索引'!AA:AA,MATCH($F341,'#建筑消耗和buff配置索引'!$M:$M,0))</f>
        <v>9000</v>
      </c>
      <c r="L341" s="150">
        <f>INDEX('#建筑消耗和buff配置索引'!AB:AB,MATCH($F341,'#建筑消耗和buff配置索引'!$M:$M,0))</f>
        <v>9000</v>
      </c>
      <c r="M341" s="150">
        <f>INDEX('#建筑消耗和buff配置索引'!AC:AC,MATCH($F341,'#建筑消耗和buff配置索引'!$M:$M,0))</f>
        <v>18000</v>
      </c>
      <c r="N341" s="150">
        <f>INDEX('#建筑消耗和buff配置索引'!AD:AD,MATCH($F341,'#建筑消耗和buff配置索引'!$M:$M,0))</f>
        <v>0</v>
      </c>
      <c r="O341" s="150">
        <v>2068</v>
      </c>
      <c r="P341" s="133">
        <f>IF(INDEX('#建筑消耗和buff配置索引'!U:U,MATCH($F341,'#建筑消耗和buff配置索引'!$M:$M,0))=0,"",INDEX('#建筑消耗和buff配置索引'!U:U,MATCH($F341,'#建筑消耗和buff配置索引'!$M:$M,0)))</f>
        <v>10</v>
      </c>
      <c r="Q341" s="133" t="str">
        <f>IF(INDEX('#建筑消耗和buff配置索引'!K:K,MATCH($F341,'#建筑消耗和buff配置索引'!$M:$M,0))=0,"",INDEX('#建筑消耗和buff配置索引'!K:K,MATCH($F341,'#建筑消耗和buff配置索引'!$M:$M,0)))</f>
        <v>201;215</v>
      </c>
      <c r="R341" s="133" t="str">
        <f>IF(INDEX('#建筑消耗和buff配置索引'!L:L,MATCH($F341,'#建筑消耗和buff配置索引'!$M:$M,0))=0,"",INDEX('#建筑消耗和buff配置索引'!L:L,MATCH($F341,'#建筑消耗和buff配置索引'!$M:$M,0)))</f>
        <v>6;6</v>
      </c>
      <c r="S341" s="133">
        <f>IF(INDEX('#建筑消耗和buff配置索引'!C:C,MATCH(F341,'#建筑消耗和buff配置索引'!M:M,0))=0,1,INDEX('#建筑消耗和buff配置索引'!C:C,MATCH(F341,'#建筑消耗和buff配置索引'!M:M,0)))</f>
        <v>2</v>
      </c>
      <c r="T341" s="133">
        <v>0</v>
      </c>
      <c r="U341" s="133">
        <v>0</v>
      </c>
      <c r="V341" s="133" t="str">
        <f>IF(E341=1,IF(INDEX('#建筑消耗和buff配置索引'!BY:BY,MATCH(D341,'#建筑消耗和buff配置索引'!A:A,0))=0,"",INDEX('#建筑消耗和buff配置索引'!BY:BY,MATCH(D341,'#建筑消耗和buff配置索引'!A:A,0))),"")</f>
        <v/>
      </c>
      <c r="W341" s="133" t="str">
        <f>IF(E341=1,IF(INDEX('#建筑消耗和buff配置索引'!BZ:BZ,MATCH(D341,'#建筑消耗和buff配置索引'!A:A,0))=0,"",INDEX('#建筑消耗和buff配置索引'!BZ:BZ,MATCH(D341,'#建筑消耗和buff配置索引'!A:A,0))),"")</f>
        <v/>
      </c>
      <c r="AA341" s="133">
        <f>INDEX('#建筑消耗和buff配置索引'!AO:AO,MATCH($F341,'#建筑消耗和buff配置索引'!$M:$M,0))</f>
        <v>147</v>
      </c>
      <c r="AB341" s="133">
        <f>IF(INDEX('#建筑消耗和buff配置索引'!AR:AR,MATCH($F341,'#建筑消耗和buff配置索引'!$M:$M,0))=0,"",INDEX('#建筑消耗和buff配置索引'!AR:AR,MATCH($F341,'#建筑消耗和buff配置索引'!$M:$M,0)))</f>
        <v>4207</v>
      </c>
      <c r="AC341" s="133">
        <f>IF(AB341="","",INDEX('#建筑消耗和buff配置索引'!AS:AS,MATCH($F341,'#建筑消耗和buff配置索引'!$M:$M,0)))</f>
        <v>250</v>
      </c>
      <c r="AF341" s="133" t="str">
        <f>IF(INDEX('#建筑消耗和buff配置索引'!AW:AW,MATCH($F341,'#建筑消耗和buff配置索引'!$M:$M,0))=0,"",INDEX('#建筑消耗和buff配置索引'!AW:AW,MATCH($F341,'#建筑消耗和buff配置索引'!$M:$M,0)))</f>
        <v/>
      </c>
      <c r="AG341" s="133" t="str">
        <f>IF(AF341="","",INDEX('#建筑消耗和buff配置索引'!AX:AX,MATCH($F341,'#建筑消耗和buff配置索引'!$M:$M,0)))</f>
        <v/>
      </c>
      <c r="AJ341" s="133" t="str">
        <f>IF(INDEX('#建筑消耗和buff配置索引'!BB:BB,MATCH($F341,'#建筑消耗和buff配置索引'!$M:$M,0))=0,"",INDEX('#建筑消耗和buff配置索引'!BB:BB,MATCH($F341,'#建筑消耗和buff配置索引'!$M:$M,0)))</f>
        <v/>
      </c>
      <c r="AK341" s="133" t="str">
        <f>IF(AJ341="","",INDEX('#建筑消耗和buff配置索引'!BC:BC,MATCH($F341,'#建筑消耗和buff配置索引'!$M:$M,0)))</f>
        <v/>
      </c>
      <c r="AN341" s="133" t="str">
        <f>IF(INDEX('#建筑消耗和buff配置索引'!BG:BG,MATCH($F341,'#建筑消耗和buff配置索引'!$M:$M,0))=0,"",INDEX('#建筑消耗和buff配置索引'!BG:BG,MATCH($F341,'#建筑消耗和buff配置索引'!$M:$M,0)))</f>
        <v/>
      </c>
      <c r="AO341" s="133" t="str">
        <f>IF(AN341="","",INDEX('#建筑消耗和buff配置索引'!BH:BH,MATCH($F341,'#建筑消耗和buff配置索引'!$M:$M,0)))</f>
        <v/>
      </c>
      <c r="AR341" s="133" t="str">
        <f>IF(INDEX('#建筑消耗和buff配置索引'!BK:BK,MATCH($F341,'#建筑消耗和buff配置索引'!$M:$M,0))=0,"",INDEX('#建筑消耗和buff配置索引'!BK:BK,MATCH($F341,'#建筑消耗和buff配置索引'!$M:$M,0)))</f>
        <v/>
      </c>
      <c r="AS341" s="133" t="str">
        <f>IF(AR341="","",INDEX('#建筑消耗和buff配置索引'!BL:BL,MATCH($F341,'#建筑消耗和buff配置索引'!$M:$M,0)))</f>
        <v/>
      </c>
      <c r="AV341" s="133" t="str">
        <f>IF(INDEX('#建筑消耗和buff配置索引'!BO:BO,MATCH($F341,'#建筑消耗和buff配置索引'!$M:$M,0))=0,"",INDEX('#建筑消耗和buff配置索引'!BO:BO,MATCH($F341,'#建筑消耗和buff配置索引'!$M:$M,0)))</f>
        <v/>
      </c>
      <c r="AW341" s="133" t="str">
        <f>IF(AV341="","",INDEX('#建筑消耗和buff配置索引'!BP:BP,MATCH($F341,'#建筑消耗和buff配置索引'!$M:$M,0)))</f>
        <v/>
      </c>
      <c r="AZ341" s="133" t="str">
        <f>IF(INDEX('#建筑消耗和buff配置索引'!BS:BS,MATCH($F341,'#建筑消耗和buff配置索引'!$M:$M,0))=0,"",INDEX('#建筑消耗和buff配置索引'!BS:BS,MATCH($F341,'#建筑消耗和buff配置索引'!$M:$M,0)))</f>
        <v/>
      </c>
      <c r="BA341" s="133" t="str">
        <f>IF(AZ341="","",INDEX('#建筑消耗和buff配置索引'!BT:BT,MATCH($F341,'#建筑消耗和buff配置索引'!$M:$M,0)))</f>
        <v/>
      </c>
      <c r="BD341" s="133" t="str">
        <f>IF(INDEX('#建筑消耗和buff配置索引'!BW:BW,MATCH($F341,'#建筑消耗和buff配置索引'!$M:$M,0))=0,"",INDEX('#建筑消耗和buff配置索引'!BW:BW,MATCH($F341,'#建筑消耗和buff配置索引'!$M:$M,0)))</f>
        <v/>
      </c>
      <c r="BE341" s="133" t="str">
        <f>IF(BD341="","",INDEX('#建筑消耗和buff配置索引'!BX:BX,MATCH($F341,'#建筑消耗和buff配置索引'!$M:$M,0)))</f>
        <v/>
      </c>
      <c r="BI341" s="133">
        <v>18</v>
      </c>
    </row>
    <row r="342" spans="1:61" s="133" customFormat="1">
      <c r="A342" s="133">
        <v>2270007</v>
      </c>
      <c r="B342" s="133">
        <v>339</v>
      </c>
      <c r="C342" s="133">
        <v>227</v>
      </c>
      <c r="D342" s="133" t="s">
        <v>940</v>
      </c>
      <c r="E342" s="133">
        <v>7</v>
      </c>
      <c r="F342" s="133" t="str">
        <f t="shared" si="6"/>
        <v>防卫塔7</v>
      </c>
      <c r="H342" s="146"/>
      <c r="I342" s="133">
        <v>1</v>
      </c>
      <c r="J342" s="150">
        <f>INDEX('#建筑消耗和buff配置索引'!AH:AH,MATCH($F342,'#建筑消耗和buff配置索引'!$M:$M,0))</f>
        <v>1125</v>
      </c>
      <c r="K342" s="150">
        <f>INDEX('#建筑消耗和buff配置索引'!AA:AA,MATCH($F342,'#建筑消耗和buff配置索引'!$M:$M,0))</f>
        <v>16000</v>
      </c>
      <c r="L342" s="150">
        <f>INDEX('#建筑消耗和buff配置索引'!AB:AB,MATCH($F342,'#建筑消耗和buff配置索引'!$M:$M,0))</f>
        <v>16000</v>
      </c>
      <c r="M342" s="150">
        <f>INDEX('#建筑消耗和buff配置索引'!AC:AC,MATCH($F342,'#建筑消耗和buff配置索引'!$M:$M,0))</f>
        <v>32000</v>
      </c>
      <c r="N342" s="150">
        <f>INDEX('#建筑消耗和buff配置索引'!AD:AD,MATCH($F342,'#建筑消耗和buff配置索引'!$M:$M,0))</f>
        <v>0</v>
      </c>
      <c r="O342" s="150">
        <v>2068</v>
      </c>
      <c r="P342" s="133">
        <f>IF(INDEX('#建筑消耗和buff配置索引'!U:U,MATCH($F342,'#建筑消耗和buff配置索引'!$M:$M,0))=0,"",INDEX('#建筑消耗和buff配置索引'!U:U,MATCH($F342,'#建筑消耗和buff配置索引'!$M:$M,0)))</f>
        <v>15</v>
      </c>
      <c r="Q342" s="133" t="str">
        <f>IF(INDEX('#建筑消耗和buff配置索引'!K:K,MATCH($F342,'#建筑消耗和buff配置索引'!$M:$M,0))=0,"",INDEX('#建筑消耗和buff配置索引'!K:K,MATCH($F342,'#建筑消耗和buff配置索引'!$M:$M,0)))</f>
        <v>201;215</v>
      </c>
      <c r="R342" s="133" t="str">
        <f>IF(INDEX('#建筑消耗和buff配置索引'!L:L,MATCH($F342,'#建筑消耗和buff配置索引'!$M:$M,0))=0,"",INDEX('#建筑消耗和buff配置索引'!L:L,MATCH($F342,'#建筑消耗和buff配置索引'!$M:$M,0)))</f>
        <v>7;7</v>
      </c>
      <c r="S342" s="133">
        <f>IF(INDEX('#建筑消耗和buff配置索引'!C:C,MATCH(F342,'#建筑消耗和buff配置索引'!M:M,0))=0,1,INDEX('#建筑消耗和buff配置索引'!C:C,MATCH(F342,'#建筑消耗和buff配置索引'!M:M,0)))</f>
        <v>2</v>
      </c>
      <c r="T342" s="133">
        <v>0</v>
      </c>
      <c r="U342" s="133">
        <v>0</v>
      </c>
      <c r="V342" s="133" t="str">
        <f>IF(E342=1,IF(INDEX('#建筑消耗和buff配置索引'!BY:BY,MATCH(D342,'#建筑消耗和buff配置索引'!A:A,0))=0,"",INDEX('#建筑消耗和buff配置索引'!BY:BY,MATCH(D342,'#建筑消耗和buff配置索引'!A:A,0))),"")</f>
        <v/>
      </c>
      <c r="W342" s="133" t="str">
        <f>IF(E342=1,IF(INDEX('#建筑消耗和buff配置索引'!BZ:BZ,MATCH(D342,'#建筑消耗和buff配置索引'!A:A,0))=0,"",INDEX('#建筑消耗和buff配置索引'!BZ:BZ,MATCH(D342,'#建筑消耗和buff配置索引'!A:A,0))),"")</f>
        <v/>
      </c>
      <c r="AA342" s="133">
        <f>INDEX('#建筑消耗和buff配置索引'!AO:AO,MATCH($F342,'#建筑消耗和buff配置索引'!$M:$M,0))</f>
        <v>276</v>
      </c>
      <c r="AB342" s="133">
        <f>IF(INDEX('#建筑消耗和buff配置索引'!AR:AR,MATCH($F342,'#建筑消耗和buff配置索引'!$M:$M,0))=0,"",INDEX('#建筑消耗和buff配置索引'!AR:AR,MATCH($F342,'#建筑消耗和buff配置索引'!$M:$M,0)))</f>
        <v>4207</v>
      </c>
      <c r="AC342" s="133">
        <f>IF(AB342="","",INDEX('#建筑消耗和buff配置索引'!AS:AS,MATCH($F342,'#建筑消耗和buff配置索引'!$M:$M,0)))</f>
        <v>300</v>
      </c>
      <c r="AF342" s="133" t="str">
        <f>IF(INDEX('#建筑消耗和buff配置索引'!AW:AW,MATCH($F342,'#建筑消耗和buff配置索引'!$M:$M,0))=0,"",INDEX('#建筑消耗和buff配置索引'!AW:AW,MATCH($F342,'#建筑消耗和buff配置索引'!$M:$M,0)))</f>
        <v/>
      </c>
      <c r="AG342" s="133" t="str">
        <f>IF(AF342="","",INDEX('#建筑消耗和buff配置索引'!AX:AX,MATCH($F342,'#建筑消耗和buff配置索引'!$M:$M,0)))</f>
        <v/>
      </c>
      <c r="AJ342" s="133" t="str">
        <f>IF(INDEX('#建筑消耗和buff配置索引'!BB:BB,MATCH($F342,'#建筑消耗和buff配置索引'!$M:$M,0))=0,"",INDEX('#建筑消耗和buff配置索引'!BB:BB,MATCH($F342,'#建筑消耗和buff配置索引'!$M:$M,0)))</f>
        <v/>
      </c>
      <c r="AK342" s="133" t="str">
        <f>IF(AJ342="","",INDEX('#建筑消耗和buff配置索引'!BC:BC,MATCH($F342,'#建筑消耗和buff配置索引'!$M:$M,0)))</f>
        <v/>
      </c>
      <c r="AN342" s="133" t="str">
        <f>IF(INDEX('#建筑消耗和buff配置索引'!BG:BG,MATCH($F342,'#建筑消耗和buff配置索引'!$M:$M,0))=0,"",INDEX('#建筑消耗和buff配置索引'!BG:BG,MATCH($F342,'#建筑消耗和buff配置索引'!$M:$M,0)))</f>
        <v/>
      </c>
      <c r="AO342" s="133" t="str">
        <f>IF(AN342="","",INDEX('#建筑消耗和buff配置索引'!BH:BH,MATCH($F342,'#建筑消耗和buff配置索引'!$M:$M,0)))</f>
        <v/>
      </c>
      <c r="AR342" s="133" t="str">
        <f>IF(INDEX('#建筑消耗和buff配置索引'!BK:BK,MATCH($F342,'#建筑消耗和buff配置索引'!$M:$M,0))=0,"",INDEX('#建筑消耗和buff配置索引'!BK:BK,MATCH($F342,'#建筑消耗和buff配置索引'!$M:$M,0)))</f>
        <v/>
      </c>
      <c r="AS342" s="133" t="str">
        <f>IF(AR342="","",INDEX('#建筑消耗和buff配置索引'!BL:BL,MATCH($F342,'#建筑消耗和buff配置索引'!$M:$M,0)))</f>
        <v/>
      </c>
      <c r="AV342" s="133" t="str">
        <f>IF(INDEX('#建筑消耗和buff配置索引'!BO:BO,MATCH($F342,'#建筑消耗和buff配置索引'!$M:$M,0))=0,"",INDEX('#建筑消耗和buff配置索引'!BO:BO,MATCH($F342,'#建筑消耗和buff配置索引'!$M:$M,0)))</f>
        <v/>
      </c>
      <c r="AW342" s="133" t="str">
        <f>IF(AV342="","",INDEX('#建筑消耗和buff配置索引'!BP:BP,MATCH($F342,'#建筑消耗和buff配置索引'!$M:$M,0)))</f>
        <v/>
      </c>
      <c r="AZ342" s="133" t="str">
        <f>IF(INDEX('#建筑消耗和buff配置索引'!BS:BS,MATCH($F342,'#建筑消耗和buff配置索引'!$M:$M,0))=0,"",INDEX('#建筑消耗和buff配置索引'!BS:BS,MATCH($F342,'#建筑消耗和buff配置索引'!$M:$M,0)))</f>
        <v/>
      </c>
      <c r="BA342" s="133" t="str">
        <f>IF(AZ342="","",INDEX('#建筑消耗和buff配置索引'!BT:BT,MATCH($F342,'#建筑消耗和buff配置索引'!$M:$M,0)))</f>
        <v/>
      </c>
      <c r="BD342" s="133" t="str">
        <f>IF(INDEX('#建筑消耗和buff配置索引'!BW:BW,MATCH($F342,'#建筑消耗和buff配置索引'!$M:$M,0))=0,"",INDEX('#建筑消耗和buff配置索引'!BW:BW,MATCH($F342,'#建筑消耗和buff配置索引'!$M:$M,0)))</f>
        <v/>
      </c>
      <c r="BE342" s="133" t="str">
        <f>IF(BD342="","",INDEX('#建筑消耗和buff配置索引'!BX:BX,MATCH($F342,'#建筑消耗和buff配置索引'!$M:$M,0)))</f>
        <v/>
      </c>
      <c r="BI342" s="133">
        <v>18</v>
      </c>
    </row>
    <row r="343" spans="1:61" s="133" customFormat="1">
      <c r="A343" s="133">
        <v>2270008</v>
      </c>
      <c r="B343" s="133">
        <v>340</v>
      </c>
      <c r="C343" s="133">
        <v>227</v>
      </c>
      <c r="D343" s="133" t="s">
        <v>940</v>
      </c>
      <c r="E343" s="133">
        <v>8</v>
      </c>
      <c r="F343" s="133" t="str">
        <f t="shared" ref="F343:F436" si="7">D343&amp;E343</f>
        <v>防卫塔8</v>
      </c>
      <c r="H343" s="146"/>
      <c r="I343" s="133">
        <v>1</v>
      </c>
      <c r="J343" s="150">
        <f>INDEX('#建筑消耗和buff配置索引'!AH:AH,MATCH($F343,'#建筑消耗和buff配置索引'!$M:$M,0))</f>
        <v>1800</v>
      </c>
      <c r="K343" s="150">
        <f>INDEX('#建筑消耗和buff配置索引'!AA:AA,MATCH($F343,'#建筑消耗和buff配置索引'!$M:$M,0))</f>
        <v>28000</v>
      </c>
      <c r="L343" s="150">
        <f>INDEX('#建筑消耗和buff配置索引'!AB:AB,MATCH($F343,'#建筑消耗和buff配置索引'!$M:$M,0))</f>
        <v>28000</v>
      </c>
      <c r="M343" s="150">
        <f>INDEX('#建筑消耗和buff配置索引'!AC:AC,MATCH($F343,'#建筑消耗和buff配置索引'!$M:$M,0))</f>
        <v>55000</v>
      </c>
      <c r="N343" s="150">
        <f>INDEX('#建筑消耗和buff配置索引'!AD:AD,MATCH($F343,'#建筑消耗和buff配置索引'!$M:$M,0))</f>
        <v>0</v>
      </c>
      <c r="O343" s="150">
        <v>2068</v>
      </c>
      <c r="P343" s="133">
        <f>IF(INDEX('#建筑消耗和buff配置索引'!U:U,MATCH($F343,'#建筑消耗和buff配置索引'!$M:$M,0))=0,"",INDEX('#建筑消耗和buff配置索引'!U:U,MATCH($F343,'#建筑消耗和buff配置索引'!$M:$M,0)))</f>
        <v>20</v>
      </c>
      <c r="Q343" s="133" t="str">
        <f>IF(INDEX('#建筑消耗和buff配置索引'!K:K,MATCH($F343,'#建筑消耗和buff配置索引'!$M:$M,0))=0,"",INDEX('#建筑消耗和buff配置索引'!K:K,MATCH($F343,'#建筑消耗和buff配置索引'!$M:$M,0)))</f>
        <v>201;215</v>
      </c>
      <c r="R343" s="133" t="str">
        <f>IF(INDEX('#建筑消耗和buff配置索引'!L:L,MATCH($F343,'#建筑消耗和buff配置索引'!$M:$M,0))=0,"",INDEX('#建筑消耗和buff配置索引'!L:L,MATCH($F343,'#建筑消耗和buff配置索引'!$M:$M,0)))</f>
        <v>8;8</v>
      </c>
      <c r="S343" s="133">
        <f>IF(INDEX('#建筑消耗和buff配置索引'!C:C,MATCH(F343,'#建筑消耗和buff配置索引'!M:M,0))=0,1,INDEX('#建筑消耗和buff配置索引'!C:C,MATCH(F343,'#建筑消耗和buff配置索引'!M:M,0)))</f>
        <v>2</v>
      </c>
      <c r="T343" s="133">
        <v>0</v>
      </c>
      <c r="U343" s="133">
        <v>0</v>
      </c>
      <c r="V343" s="133" t="str">
        <f>IF(E343=1,IF(INDEX('#建筑消耗和buff配置索引'!BY:BY,MATCH(D343,'#建筑消耗和buff配置索引'!A:A,0))=0,"",INDEX('#建筑消耗和buff配置索引'!BY:BY,MATCH(D343,'#建筑消耗和buff配置索引'!A:A,0))),"")</f>
        <v/>
      </c>
      <c r="W343" s="133" t="str">
        <f>IF(E343=1,IF(INDEX('#建筑消耗和buff配置索引'!BZ:BZ,MATCH(D343,'#建筑消耗和buff配置索引'!A:A,0))=0,"",INDEX('#建筑消耗和buff配置索引'!BZ:BZ,MATCH(D343,'#建筑消耗和buff配置索引'!A:A,0))),"")</f>
        <v/>
      </c>
      <c r="AA343" s="133">
        <f>INDEX('#建筑消耗和buff配置索引'!AO:AO,MATCH($F343,'#建筑消耗和buff配置索引'!$M:$M,0))</f>
        <v>497</v>
      </c>
      <c r="AB343" s="133">
        <f>IF(INDEX('#建筑消耗和buff配置索引'!AR:AR,MATCH($F343,'#建筑消耗和buff配置索引'!$M:$M,0))=0,"",INDEX('#建筑消耗和buff配置索引'!AR:AR,MATCH($F343,'#建筑消耗和buff配置索引'!$M:$M,0)))</f>
        <v>4207</v>
      </c>
      <c r="AC343" s="133">
        <f>IF(AB343="","",INDEX('#建筑消耗和buff配置索引'!AS:AS,MATCH($F343,'#建筑消耗和buff配置索引'!$M:$M,0)))</f>
        <v>350</v>
      </c>
      <c r="AF343" s="133" t="str">
        <f>IF(INDEX('#建筑消耗和buff配置索引'!AW:AW,MATCH($F343,'#建筑消耗和buff配置索引'!$M:$M,0))=0,"",INDEX('#建筑消耗和buff配置索引'!AW:AW,MATCH($F343,'#建筑消耗和buff配置索引'!$M:$M,0)))</f>
        <v/>
      </c>
      <c r="AG343" s="133" t="str">
        <f>IF(AF343="","",INDEX('#建筑消耗和buff配置索引'!AX:AX,MATCH($F343,'#建筑消耗和buff配置索引'!$M:$M,0)))</f>
        <v/>
      </c>
      <c r="AJ343" s="133" t="str">
        <f>IF(INDEX('#建筑消耗和buff配置索引'!BB:BB,MATCH($F343,'#建筑消耗和buff配置索引'!$M:$M,0))=0,"",INDEX('#建筑消耗和buff配置索引'!BB:BB,MATCH($F343,'#建筑消耗和buff配置索引'!$M:$M,0)))</f>
        <v/>
      </c>
      <c r="AK343" s="133" t="str">
        <f>IF(AJ343="","",INDEX('#建筑消耗和buff配置索引'!BC:BC,MATCH($F343,'#建筑消耗和buff配置索引'!$M:$M,0)))</f>
        <v/>
      </c>
      <c r="AN343" s="133" t="str">
        <f>IF(INDEX('#建筑消耗和buff配置索引'!BG:BG,MATCH($F343,'#建筑消耗和buff配置索引'!$M:$M,0))=0,"",INDEX('#建筑消耗和buff配置索引'!BG:BG,MATCH($F343,'#建筑消耗和buff配置索引'!$M:$M,0)))</f>
        <v/>
      </c>
      <c r="AO343" s="133" t="str">
        <f>IF(AN343="","",INDEX('#建筑消耗和buff配置索引'!BH:BH,MATCH($F343,'#建筑消耗和buff配置索引'!$M:$M,0)))</f>
        <v/>
      </c>
      <c r="AR343" s="133" t="str">
        <f>IF(INDEX('#建筑消耗和buff配置索引'!BK:BK,MATCH($F343,'#建筑消耗和buff配置索引'!$M:$M,0))=0,"",INDEX('#建筑消耗和buff配置索引'!BK:BK,MATCH($F343,'#建筑消耗和buff配置索引'!$M:$M,0)))</f>
        <v/>
      </c>
      <c r="AS343" s="133" t="str">
        <f>IF(AR343="","",INDEX('#建筑消耗和buff配置索引'!BL:BL,MATCH($F343,'#建筑消耗和buff配置索引'!$M:$M,0)))</f>
        <v/>
      </c>
      <c r="AV343" s="133" t="str">
        <f>IF(INDEX('#建筑消耗和buff配置索引'!BO:BO,MATCH($F343,'#建筑消耗和buff配置索引'!$M:$M,0))=0,"",INDEX('#建筑消耗和buff配置索引'!BO:BO,MATCH($F343,'#建筑消耗和buff配置索引'!$M:$M,0)))</f>
        <v/>
      </c>
      <c r="AW343" s="133" t="str">
        <f>IF(AV343="","",INDEX('#建筑消耗和buff配置索引'!BP:BP,MATCH($F343,'#建筑消耗和buff配置索引'!$M:$M,0)))</f>
        <v/>
      </c>
      <c r="AZ343" s="133" t="str">
        <f>IF(INDEX('#建筑消耗和buff配置索引'!BS:BS,MATCH($F343,'#建筑消耗和buff配置索引'!$M:$M,0))=0,"",INDEX('#建筑消耗和buff配置索引'!BS:BS,MATCH($F343,'#建筑消耗和buff配置索引'!$M:$M,0)))</f>
        <v/>
      </c>
      <c r="BA343" s="133" t="str">
        <f>IF(AZ343="","",INDEX('#建筑消耗和buff配置索引'!BT:BT,MATCH($F343,'#建筑消耗和buff配置索引'!$M:$M,0)))</f>
        <v/>
      </c>
      <c r="BD343" s="133" t="str">
        <f>IF(INDEX('#建筑消耗和buff配置索引'!BW:BW,MATCH($F343,'#建筑消耗和buff配置索引'!$M:$M,0))=0,"",INDEX('#建筑消耗和buff配置索引'!BW:BW,MATCH($F343,'#建筑消耗和buff配置索引'!$M:$M,0)))</f>
        <v/>
      </c>
      <c r="BE343" s="133" t="str">
        <f>IF(BD343="","",INDEX('#建筑消耗和buff配置索引'!BX:BX,MATCH($F343,'#建筑消耗和buff配置索引'!$M:$M,0)))</f>
        <v/>
      </c>
      <c r="BI343" s="133">
        <v>18</v>
      </c>
    </row>
    <row r="344" spans="1:61" s="133" customFormat="1">
      <c r="A344" s="133">
        <v>2270009</v>
      </c>
      <c r="B344" s="133">
        <v>341</v>
      </c>
      <c r="C344" s="133">
        <v>227</v>
      </c>
      <c r="D344" s="133" t="s">
        <v>940</v>
      </c>
      <c r="E344" s="133">
        <v>9</v>
      </c>
      <c r="F344" s="133" t="str">
        <f t="shared" si="7"/>
        <v>防卫塔9</v>
      </c>
      <c r="H344" s="146"/>
      <c r="I344" s="133">
        <v>1</v>
      </c>
      <c r="J344" s="150">
        <f>INDEX('#建筑消耗和buff配置索引'!AH:AH,MATCH($F344,'#建筑消耗和buff配置索引'!$M:$M,0))</f>
        <v>3600</v>
      </c>
      <c r="K344" s="150">
        <f>INDEX('#建筑消耗和buff配置索引'!AA:AA,MATCH($F344,'#建筑消耗和buff配置索引'!$M:$M,0))</f>
        <v>46000</v>
      </c>
      <c r="L344" s="150">
        <f>INDEX('#建筑消耗和buff配置索引'!AB:AB,MATCH($F344,'#建筑消耗和buff配置索引'!$M:$M,0))</f>
        <v>46000</v>
      </c>
      <c r="M344" s="150">
        <f>INDEX('#建筑消耗和buff配置索引'!AC:AC,MATCH($F344,'#建筑消耗和buff配置索引'!$M:$M,0))</f>
        <v>91000</v>
      </c>
      <c r="N344" s="150">
        <f>INDEX('#建筑消耗和buff配置索引'!AD:AD,MATCH($F344,'#建筑消耗和buff配置索引'!$M:$M,0))</f>
        <v>0</v>
      </c>
      <c r="O344" s="150">
        <v>2068</v>
      </c>
      <c r="P344" s="133">
        <f>IF(INDEX('#建筑消耗和buff配置索引'!U:U,MATCH($F344,'#建筑消耗和buff配置索引'!$M:$M,0))=0,"",INDEX('#建筑消耗和buff配置索引'!U:U,MATCH($F344,'#建筑消耗和buff配置索引'!$M:$M,0)))</f>
        <v>25</v>
      </c>
      <c r="Q344" s="133" t="str">
        <f>IF(INDEX('#建筑消耗和buff配置索引'!K:K,MATCH($F344,'#建筑消耗和buff配置索引'!$M:$M,0))=0,"",INDEX('#建筑消耗和buff配置索引'!K:K,MATCH($F344,'#建筑消耗和buff配置索引'!$M:$M,0)))</f>
        <v>201;215</v>
      </c>
      <c r="R344" s="133" t="str">
        <f>IF(INDEX('#建筑消耗和buff配置索引'!L:L,MATCH($F344,'#建筑消耗和buff配置索引'!$M:$M,0))=0,"",INDEX('#建筑消耗和buff配置索引'!L:L,MATCH($F344,'#建筑消耗和buff配置索引'!$M:$M,0)))</f>
        <v>9;9</v>
      </c>
      <c r="S344" s="133">
        <f>IF(INDEX('#建筑消耗和buff配置索引'!C:C,MATCH(F344,'#建筑消耗和buff配置索引'!M:M,0))=0,1,INDEX('#建筑消耗和buff配置索引'!C:C,MATCH(F344,'#建筑消耗和buff配置索引'!M:M,0)))</f>
        <v>2</v>
      </c>
      <c r="T344" s="133">
        <v>0</v>
      </c>
      <c r="U344" s="133">
        <v>0</v>
      </c>
      <c r="V344" s="133" t="str">
        <f>IF(E344=1,IF(INDEX('#建筑消耗和buff配置索引'!BY:BY,MATCH(D344,'#建筑消耗和buff配置索引'!A:A,0))=0,"",INDEX('#建筑消耗和buff配置索引'!BY:BY,MATCH(D344,'#建筑消耗和buff配置索引'!A:A,0))),"")</f>
        <v/>
      </c>
      <c r="W344" s="133" t="str">
        <f>IF(E344=1,IF(INDEX('#建筑消耗和buff配置索引'!BZ:BZ,MATCH(D344,'#建筑消耗和buff配置索引'!A:A,0))=0,"",INDEX('#建筑消耗和buff配置索引'!BZ:BZ,MATCH(D344,'#建筑消耗和buff配置索引'!A:A,0))),"")</f>
        <v/>
      </c>
      <c r="AA344" s="133">
        <f>INDEX('#建筑消耗和buff配置索引'!AO:AO,MATCH($F344,'#建筑消耗和buff配置索引'!$M:$M,0))</f>
        <v>862</v>
      </c>
      <c r="AB344" s="133">
        <f>IF(INDEX('#建筑消耗和buff配置索引'!AR:AR,MATCH($F344,'#建筑消耗和buff配置索引'!$M:$M,0))=0,"",INDEX('#建筑消耗和buff配置索引'!AR:AR,MATCH($F344,'#建筑消耗和buff配置索引'!$M:$M,0)))</f>
        <v>4207</v>
      </c>
      <c r="AC344" s="133">
        <f>IF(AB344="","",INDEX('#建筑消耗和buff配置索引'!AS:AS,MATCH($F344,'#建筑消耗和buff配置索引'!$M:$M,0)))</f>
        <v>400</v>
      </c>
      <c r="AF344" s="133" t="str">
        <f>IF(INDEX('#建筑消耗和buff配置索引'!AW:AW,MATCH($F344,'#建筑消耗和buff配置索引'!$M:$M,0))=0,"",INDEX('#建筑消耗和buff配置索引'!AW:AW,MATCH($F344,'#建筑消耗和buff配置索引'!$M:$M,0)))</f>
        <v/>
      </c>
      <c r="AG344" s="133" t="str">
        <f>IF(AF344="","",INDEX('#建筑消耗和buff配置索引'!AX:AX,MATCH($F344,'#建筑消耗和buff配置索引'!$M:$M,0)))</f>
        <v/>
      </c>
      <c r="AJ344" s="133" t="str">
        <f>IF(INDEX('#建筑消耗和buff配置索引'!BB:BB,MATCH($F344,'#建筑消耗和buff配置索引'!$M:$M,0))=0,"",INDEX('#建筑消耗和buff配置索引'!BB:BB,MATCH($F344,'#建筑消耗和buff配置索引'!$M:$M,0)))</f>
        <v/>
      </c>
      <c r="AK344" s="133" t="str">
        <f>IF(AJ344="","",INDEX('#建筑消耗和buff配置索引'!BC:BC,MATCH($F344,'#建筑消耗和buff配置索引'!$M:$M,0)))</f>
        <v/>
      </c>
      <c r="AN344" s="133" t="str">
        <f>IF(INDEX('#建筑消耗和buff配置索引'!BG:BG,MATCH($F344,'#建筑消耗和buff配置索引'!$M:$M,0))=0,"",INDEX('#建筑消耗和buff配置索引'!BG:BG,MATCH($F344,'#建筑消耗和buff配置索引'!$M:$M,0)))</f>
        <v/>
      </c>
      <c r="AO344" s="133" t="str">
        <f>IF(AN344="","",INDEX('#建筑消耗和buff配置索引'!BH:BH,MATCH($F344,'#建筑消耗和buff配置索引'!$M:$M,0)))</f>
        <v/>
      </c>
      <c r="AR344" s="133" t="str">
        <f>IF(INDEX('#建筑消耗和buff配置索引'!BK:BK,MATCH($F344,'#建筑消耗和buff配置索引'!$M:$M,0))=0,"",INDEX('#建筑消耗和buff配置索引'!BK:BK,MATCH($F344,'#建筑消耗和buff配置索引'!$M:$M,0)))</f>
        <v/>
      </c>
      <c r="AS344" s="133" t="str">
        <f>IF(AR344="","",INDEX('#建筑消耗和buff配置索引'!BL:BL,MATCH($F344,'#建筑消耗和buff配置索引'!$M:$M,0)))</f>
        <v/>
      </c>
      <c r="AV344" s="133" t="str">
        <f>IF(INDEX('#建筑消耗和buff配置索引'!BO:BO,MATCH($F344,'#建筑消耗和buff配置索引'!$M:$M,0))=0,"",INDEX('#建筑消耗和buff配置索引'!BO:BO,MATCH($F344,'#建筑消耗和buff配置索引'!$M:$M,0)))</f>
        <v/>
      </c>
      <c r="AW344" s="133" t="str">
        <f>IF(AV344="","",INDEX('#建筑消耗和buff配置索引'!BP:BP,MATCH($F344,'#建筑消耗和buff配置索引'!$M:$M,0)))</f>
        <v/>
      </c>
      <c r="AZ344" s="133" t="str">
        <f>IF(INDEX('#建筑消耗和buff配置索引'!BS:BS,MATCH($F344,'#建筑消耗和buff配置索引'!$M:$M,0))=0,"",INDEX('#建筑消耗和buff配置索引'!BS:BS,MATCH($F344,'#建筑消耗和buff配置索引'!$M:$M,0)))</f>
        <v/>
      </c>
      <c r="BA344" s="133" t="str">
        <f>IF(AZ344="","",INDEX('#建筑消耗和buff配置索引'!BT:BT,MATCH($F344,'#建筑消耗和buff配置索引'!$M:$M,0)))</f>
        <v/>
      </c>
      <c r="BD344" s="133" t="str">
        <f>IF(INDEX('#建筑消耗和buff配置索引'!BW:BW,MATCH($F344,'#建筑消耗和buff配置索引'!$M:$M,0))=0,"",INDEX('#建筑消耗和buff配置索引'!BW:BW,MATCH($F344,'#建筑消耗和buff配置索引'!$M:$M,0)))</f>
        <v/>
      </c>
      <c r="BE344" s="133" t="str">
        <f>IF(BD344="","",INDEX('#建筑消耗和buff配置索引'!BX:BX,MATCH($F344,'#建筑消耗和buff配置索引'!$M:$M,0)))</f>
        <v/>
      </c>
      <c r="BI344" s="133">
        <v>18</v>
      </c>
    </row>
    <row r="345" spans="1:61" s="133" customFormat="1">
      <c r="A345" s="133">
        <v>2270010</v>
      </c>
      <c r="B345" s="133">
        <v>342</v>
      </c>
      <c r="C345" s="133">
        <v>227</v>
      </c>
      <c r="D345" s="133" t="s">
        <v>940</v>
      </c>
      <c r="E345" s="133">
        <v>10</v>
      </c>
      <c r="F345" s="133" t="str">
        <f t="shared" si="7"/>
        <v>防卫塔10</v>
      </c>
      <c r="H345" s="146"/>
      <c r="I345" s="133">
        <v>1</v>
      </c>
      <c r="J345" s="150">
        <f>INDEX('#建筑消耗和buff配置索引'!AH:AH,MATCH($F345,'#建筑消耗和buff配置索引'!$M:$M,0))</f>
        <v>5400</v>
      </c>
      <c r="K345" s="150">
        <f>INDEX('#建筑消耗和buff配置索引'!AA:AA,MATCH($F345,'#建筑消耗和buff配置索引'!$M:$M,0))</f>
        <v>58000</v>
      </c>
      <c r="L345" s="150">
        <f>INDEX('#建筑消耗和buff配置索引'!AB:AB,MATCH($F345,'#建筑消耗和buff配置索引'!$M:$M,0))</f>
        <v>58000</v>
      </c>
      <c r="M345" s="150">
        <f>INDEX('#建筑消耗和buff配置索引'!AC:AC,MATCH($F345,'#建筑消耗和buff配置索引'!$M:$M,0))</f>
        <v>120000</v>
      </c>
      <c r="N345" s="150">
        <f>INDEX('#建筑消耗和buff配置索引'!AD:AD,MATCH($F345,'#建筑消耗和buff配置索引'!$M:$M,0))</f>
        <v>58000</v>
      </c>
      <c r="O345" s="150">
        <v>2068</v>
      </c>
      <c r="P345" s="133">
        <f>IF(INDEX('#建筑消耗和buff配置索引'!U:U,MATCH($F345,'#建筑消耗和buff配置索引'!$M:$M,0))=0,"",INDEX('#建筑消耗和buff配置索引'!U:U,MATCH($F345,'#建筑消耗和buff配置索引'!$M:$M,0)))</f>
        <v>30</v>
      </c>
      <c r="Q345" s="133" t="str">
        <f>IF(INDEX('#建筑消耗和buff配置索引'!K:K,MATCH($F345,'#建筑消耗和buff配置索引'!$M:$M,0))=0,"",INDEX('#建筑消耗和buff配置索引'!K:K,MATCH($F345,'#建筑消耗和buff配置索引'!$M:$M,0)))</f>
        <v>201;215</v>
      </c>
      <c r="R345" s="133" t="str">
        <f>IF(INDEX('#建筑消耗和buff配置索引'!L:L,MATCH($F345,'#建筑消耗和buff配置索引'!$M:$M,0))=0,"",INDEX('#建筑消耗和buff配置索引'!L:L,MATCH($F345,'#建筑消耗和buff配置索引'!$M:$M,0)))</f>
        <v>10;10</v>
      </c>
      <c r="S345" s="133">
        <f>IF(INDEX('#建筑消耗和buff配置索引'!C:C,MATCH(F345,'#建筑消耗和buff配置索引'!M:M,0))=0,1,INDEX('#建筑消耗和buff配置索引'!C:C,MATCH(F345,'#建筑消耗和buff配置索引'!M:M,0)))</f>
        <v>2</v>
      </c>
      <c r="T345" s="133">
        <v>0</v>
      </c>
      <c r="U345" s="133">
        <v>0</v>
      </c>
      <c r="V345" s="133" t="str">
        <f>IF(E345=1,IF(INDEX('#建筑消耗和buff配置索引'!BY:BY,MATCH(D345,'#建筑消耗和buff配置索引'!A:A,0))=0,"",INDEX('#建筑消耗和buff配置索引'!BY:BY,MATCH(D345,'#建筑消耗和buff配置索引'!A:A,0))),"")</f>
        <v/>
      </c>
      <c r="W345" s="133" t="str">
        <f>IF(E345=1,IF(INDEX('#建筑消耗和buff配置索引'!BZ:BZ,MATCH(D345,'#建筑消耗和buff配置索引'!A:A,0))=0,"",INDEX('#建筑消耗和buff配置索引'!BZ:BZ,MATCH(D345,'#建筑消耗和buff配置索引'!A:A,0))),"")</f>
        <v/>
      </c>
      <c r="AA345" s="133">
        <f>INDEX('#建筑消耗和buff配置索引'!AO:AO,MATCH($F345,'#建筑消耗和buff配置索引'!$M:$M,0))</f>
        <v>1438</v>
      </c>
      <c r="AB345" s="133">
        <f>IF(INDEX('#建筑消耗和buff配置索引'!AR:AR,MATCH($F345,'#建筑消耗和buff配置索引'!$M:$M,0))=0,"",INDEX('#建筑消耗和buff配置索引'!AR:AR,MATCH($F345,'#建筑消耗和buff配置索引'!$M:$M,0)))</f>
        <v>4207</v>
      </c>
      <c r="AC345" s="133">
        <f>IF(AB345="","",INDEX('#建筑消耗和buff配置索引'!AS:AS,MATCH($F345,'#建筑消耗和buff配置索引'!$M:$M,0)))</f>
        <v>460</v>
      </c>
      <c r="AF345" s="133" t="str">
        <f>IF(INDEX('#建筑消耗和buff配置索引'!AW:AW,MATCH($F345,'#建筑消耗和buff配置索引'!$M:$M,0))=0,"",INDEX('#建筑消耗和buff配置索引'!AW:AW,MATCH($F345,'#建筑消耗和buff配置索引'!$M:$M,0)))</f>
        <v/>
      </c>
      <c r="AG345" s="133" t="str">
        <f>IF(AF345="","",INDEX('#建筑消耗和buff配置索引'!AX:AX,MATCH($F345,'#建筑消耗和buff配置索引'!$M:$M,0)))</f>
        <v/>
      </c>
      <c r="AJ345" s="133" t="str">
        <f>IF(INDEX('#建筑消耗和buff配置索引'!BB:BB,MATCH($F345,'#建筑消耗和buff配置索引'!$M:$M,0))=0,"",INDEX('#建筑消耗和buff配置索引'!BB:BB,MATCH($F345,'#建筑消耗和buff配置索引'!$M:$M,0)))</f>
        <v/>
      </c>
      <c r="AK345" s="133" t="str">
        <f>IF(AJ345="","",INDEX('#建筑消耗和buff配置索引'!BC:BC,MATCH($F345,'#建筑消耗和buff配置索引'!$M:$M,0)))</f>
        <v/>
      </c>
      <c r="AN345" s="133" t="str">
        <f>IF(INDEX('#建筑消耗和buff配置索引'!BG:BG,MATCH($F345,'#建筑消耗和buff配置索引'!$M:$M,0))=0,"",INDEX('#建筑消耗和buff配置索引'!BG:BG,MATCH($F345,'#建筑消耗和buff配置索引'!$M:$M,0)))</f>
        <v/>
      </c>
      <c r="AO345" s="133" t="str">
        <f>IF(AN345="","",INDEX('#建筑消耗和buff配置索引'!BH:BH,MATCH($F345,'#建筑消耗和buff配置索引'!$M:$M,0)))</f>
        <v/>
      </c>
      <c r="AR345" s="133" t="str">
        <f>IF(INDEX('#建筑消耗和buff配置索引'!BK:BK,MATCH($F345,'#建筑消耗和buff配置索引'!$M:$M,0))=0,"",INDEX('#建筑消耗和buff配置索引'!BK:BK,MATCH($F345,'#建筑消耗和buff配置索引'!$M:$M,0)))</f>
        <v/>
      </c>
      <c r="AS345" s="133" t="str">
        <f>IF(AR345="","",INDEX('#建筑消耗和buff配置索引'!BL:BL,MATCH($F345,'#建筑消耗和buff配置索引'!$M:$M,0)))</f>
        <v/>
      </c>
      <c r="AV345" s="133" t="str">
        <f>IF(INDEX('#建筑消耗和buff配置索引'!BO:BO,MATCH($F345,'#建筑消耗和buff配置索引'!$M:$M,0))=0,"",INDEX('#建筑消耗和buff配置索引'!BO:BO,MATCH($F345,'#建筑消耗和buff配置索引'!$M:$M,0)))</f>
        <v/>
      </c>
      <c r="AW345" s="133" t="str">
        <f>IF(AV345="","",INDEX('#建筑消耗和buff配置索引'!BP:BP,MATCH($F345,'#建筑消耗和buff配置索引'!$M:$M,0)))</f>
        <v/>
      </c>
      <c r="AZ345" s="133" t="str">
        <f>IF(INDEX('#建筑消耗和buff配置索引'!BS:BS,MATCH($F345,'#建筑消耗和buff配置索引'!$M:$M,0))=0,"",INDEX('#建筑消耗和buff配置索引'!BS:BS,MATCH($F345,'#建筑消耗和buff配置索引'!$M:$M,0)))</f>
        <v/>
      </c>
      <c r="BA345" s="133" t="str">
        <f>IF(AZ345="","",INDEX('#建筑消耗和buff配置索引'!BT:BT,MATCH($F345,'#建筑消耗和buff配置索引'!$M:$M,0)))</f>
        <v/>
      </c>
      <c r="BD345" s="133" t="str">
        <f>IF(INDEX('#建筑消耗和buff配置索引'!BW:BW,MATCH($F345,'#建筑消耗和buff配置索引'!$M:$M,0))=0,"",INDEX('#建筑消耗和buff配置索引'!BW:BW,MATCH($F345,'#建筑消耗和buff配置索引'!$M:$M,0)))</f>
        <v/>
      </c>
      <c r="BE345" s="133" t="str">
        <f>IF(BD345="","",INDEX('#建筑消耗和buff配置索引'!BX:BX,MATCH($F345,'#建筑消耗和buff配置索引'!$M:$M,0)))</f>
        <v/>
      </c>
      <c r="BI345" s="133">
        <v>18</v>
      </c>
    </row>
    <row r="346" spans="1:61" s="133" customFormat="1">
      <c r="A346" s="133">
        <v>2270011</v>
      </c>
      <c r="B346" s="133">
        <v>343</v>
      </c>
      <c r="C346" s="133">
        <v>227</v>
      </c>
      <c r="D346" s="133" t="s">
        <v>940</v>
      </c>
      <c r="E346" s="133">
        <v>11</v>
      </c>
      <c r="F346" s="133" t="str">
        <f t="shared" si="7"/>
        <v>防卫塔11</v>
      </c>
      <c r="H346" s="146"/>
      <c r="I346" s="133">
        <v>1</v>
      </c>
      <c r="J346" s="150">
        <f>INDEX('#建筑消耗和buff配置索引'!AH:AH,MATCH($F346,'#建筑消耗和buff配置索引'!$M:$M,0))</f>
        <v>8100</v>
      </c>
      <c r="K346" s="150">
        <f>INDEX('#建筑消耗和buff配置索引'!AA:AA,MATCH($F346,'#建筑消耗和buff配置索引'!$M:$M,0))</f>
        <v>87000</v>
      </c>
      <c r="L346" s="150">
        <f>INDEX('#建筑消耗和buff配置索引'!AB:AB,MATCH($F346,'#建筑消耗和buff配置索引'!$M:$M,0))</f>
        <v>87000</v>
      </c>
      <c r="M346" s="150">
        <f>INDEX('#建筑消耗和buff配置索引'!AC:AC,MATCH($F346,'#建筑消耗和buff配置索引'!$M:$M,0))</f>
        <v>170000</v>
      </c>
      <c r="N346" s="150">
        <f>INDEX('#建筑消耗和buff配置索引'!AD:AD,MATCH($F346,'#建筑消耗和buff配置索引'!$M:$M,0))</f>
        <v>87000</v>
      </c>
      <c r="O346" s="150">
        <v>2068</v>
      </c>
      <c r="P346" s="133">
        <f>IF(INDEX('#建筑消耗和buff配置索引'!U:U,MATCH($F346,'#建筑消耗和buff配置索引'!$M:$M,0))=0,"",INDEX('#建筑消耗和buff配置索引'!U:U,MATCH($F346,'#建筑消耗和buff配置索引'!$M:$M,0)))</f>
        <v>40</v>
      </c>
      <c r="Q346" s="133" t="str">
        <f>IF(INDEX('#建筑消耗和buff配置索引'!K:K,MATCH($F346,'#建筑消耗和buff配置索引'!$M:$M,0))=0,"",INDEX('#建筑消耗和buff配置索引'!K:K,MATCH($F346,'#建筑消耗和buff配置索引'!$M:$M,0)))</f>
        <v>201;215</v>
      </c>
      <c r="R346" s="133" t="str">
        <f>IF(INDEX('#建筑消耗和buff配置索引'!L:L,MATCH($F346,'#建筑消耗和buff配置索引'!$M:$M,0))=0,"",INDEX('#建筑消耗和buff配置索引'!L:L,MATCH($F346,'#建筑消耗和buff配置索引'!$M:$M,0)))</f>
        <v>11;11</v>
      </c>
      <c r="S346" s="133">
        <f>IF(INDEX('#建筑消耗和buff配置索引'!C:C,MATCH(F346,'#建筑消耗和buff配置索引'!M:M,0))=0,1,INDEX('#建筑消耗和buff配置索引'!C:C,MATCH(F346,'#建筑消耗和buff配置索引'!M:M,0)))</f>
        <v>2</v>
      </c>
      <c r="T346" s="133">
        <v>0</v>
      </c>
      <c r="U346" s="133">
        <v>0</v>
      </c>
      <c r="V346" s="133" t="str">
        <f>IF(E346=1,IF(INDEX('#建筑消耗和buff配置索引'!BY:BY,MATCH(D346,'#建筑消耗和buff配置索引'!A:A,0))=0,"",INDEX('#建筑消耗和buff配置索引'!BY:BY,MATCH(D346,'#建筑消耗和buff配置索引'!A:A,0))),"")</f>
        <v/>
      </c>
      <c r="W346" s="133" t="str">
        <f>IF(E346=1,IF(INDEX('#建筑消耗和buff配置索引'!BZ:BZ,MATCH(D346,'#建筑消耗和buff配置索引'!A:A,0))=0,"",INDEX('#建筑消耗和buff配置索引'!BZ:BZ,MATCH(D346,'#建筑消耗和buff配置索引'!A:A,0))),"")</f>
        <v/>
      </c>
      <c r="AA346" s="133">
        <f>INDEX('#建筑消耗和buff配置索引'!AO:AO,MATCH($F346,'#建筑消耗和buff配置索引'!$M:$M,0))</f>
        <v>2308</v>
      </c>
      <c r="AB346" s="133">
        <f>IF(INDEX('#建筑消耗和buff配置索引'!AR:AR,MATCH($F346,'#建筑消耗和buff配置索引'!$M:$M,0))=0,"",INDEX('#建筑消耗和buff配置索引'!AR:AR,MATCH($F346,'#建筑消耗和buff配置索引'!$M:$M,0)))</f>
        <v>4207</v>
      </c>
      <c r="AC346" s="133">
        <f>IF(AB346="","",INDEX('#建筑消耗和buff配置索引'!AS:AS,MATCH($F346,'#建筑消耗和buff配置索引'!$M:$M,0)))</f>
        <v>520</v>
      </c>
      <c r="AF346" s="133" t="str">
        <f>IF(INDEX('#建筑消耗和buff配置索引'!AW:AW,MATCH($F346,'#建筑消耗和buff配置索引'!$M:$M,0))=0,"",INDEX('#建筑消耗和buff配置索引'!AW:AW,MATCH($F346,'#建筑消耗和buff配置索引'!$M:$M,0)))</f>
        <v/>
      </c>
      <c r="AG346" s="133" t="str">
        <f>IF(AF346="","",INDEX('#建筑消耗和buff配置索引'!AX:AX,MATCH($F346,'#建筑消耗和buff配置索引'!$M:$M,0)))</f>
        <v/>
      </c>
      <c r="AJ346" s="133" t="str">
        <f>IF(INDEX('#建筑消耗和buff配置索引'!BB:BB,MATCH($F346,'#建筑消耗和buff配置索引'!$M:$M,0))=0,"",INDEX('#建筑消耗和buff配置索引'!BB:BB,MATCH($F346,'#建筑消耗和buff配置索引'!$M:$M,0)))</f>
        <v/>
      </c>
      <c r="AK346" s="133" t="str">
        <f>IF(AJ346="","",INDEX('#建筑消耗和buff配置索引'!BC:BC,MATCH($F346,'#建筑消耗和buff配置索引'!$M:$M,0)))</f>
        <v/>
      </c>
      <c r="AN346" s="133" t="str">
        <f>IF(INDEX('#建筑消耗和buff配置索引'!BG:BG,MATCH($F346,'#建筑消耗和buff配置索引'!$M:$M,0))=0,"",INDEX('#建筑消耗和buff配置索引'!BG:BG,MATCH($F346,'#建筑消耗和buff配置索引'!$M:$M,0)))</f>
        <v/>
      </c>
      <c r="AO346" s="133" t="str">
        <f>IF(AN346="","",INDEX('#建筑消耗和buff配置索引'!BH:BH,MATCH($F346,'#建筑消耗和buff配置索引'!$M:$M,0)))</f>
        <v/>
      </c>
      <c r="AR346" s="133" t="str">
        <f>IF(INDEX('#建筑消耗和buff配置索引'!BK:BK,MATCH($F346,'#建筑消耗和buff配置索引'!$M:$M,0))=0,"",INDEX('#建筑消耗和buff配置索引'!BK:BK,MATCH($F346,'#建筑消耗和buff配置索引'!$M:$M,0)))</f>
        <v/>
      </c>
      <c r="AS346" s="133" t="str">
        <f>IF(AR346="","",INDEX('#建筑消耗和buff配置索引'!BL:BL,MATCH($F346,'#建筑消耗和buff配置索引'!$M:$M,0)))</f>
        <v/>
      </c>
      <c r="AV346" s="133" t="str">
        <f>IF(INDEX('#建筑消耗和buff配置索引'!BO:BO,MATCH($F346,'#建筑消耗和buff配置索引'!$M:$M,0))=0,"",INDEX('#建筑消耗和buff配置索引'!BO:BO,MATCH($F346,'#建筑消耗和buff配置索引'!$M:$M,0)))</f>
        <v/>
      </c>
      <c r="AW346" s="133" t="str">
        <f>IF(AV346="","",INDEX('#建筑消耗和buff配置索引'!BP:BP,MATCH($F346,'#建筑消耗和buff配置索引'!$M:$M,0)))</f>
        <v/>
      </c>
      <c r="AZ346" s="133" t="str">
        <f>IF(INDEX('#建筑消耗和buff配置索引'!BS:BS,MATCH($F346,'#建筑消耗和buff配置索引'!$M:$M,0))=0,"",INDEX('#建筑消耗和buff配置索引'!BS:BS,MATCH($F346,'#建筑消耗和buff配置索引'!$M:$M,0)))</f>
        <v/>
      </c>
      <c r="BA346" s="133" t="str">
        <f>IF(AZ346="","",INDEX('#建筑消耗和buff配置索引'!BT:BT,MATCH($F346,'#建筑消耗和buff配置索引'!$M:$M,0)))</f>
        <v/>
      </c>
      <c r="BD346" s="133" t="str">
        <f>IF(INDEX('#建筑消耗和buff配置索引'!BW:BW,MATCH($F346,'#建筑消耗和buff配置索引'!$M:$M,0))=0,"",INDEX('#建筑消耗和buff配置索引'!BW:BW,MATCH($F346,'#建筑消耗和buff配置索引'!$M:$M,0)))</f>
        <v/>
      </c>
      <c r="BE346" s="133" t="str">
        <f>IF(BD346="","",INDEX('#建筑消耗和buff配置索引'!BX:BX,MATCH($F346,'#建筑消耗和buff配置索引'!$M:$M,0)))</f>
        <v/>
      </c>
      <c r="BI346" s="133">
        <v>18</v>
      </c>
    </row>
    <row r="347" spans="1:61" s="133" customFormat="1">
      <c r="A347" s="133">
        <v>2270012</v>
      </c>
      <c r="B347" s="133">
        <v>344</v>
      </c>
      <c r="C347" s="133">
        <v>227</v>
      </c>
      <c r="D347" s="133" t="s">
        <v>940</v>
      </c>
      <c r="E347" s="133">
        <v>12</v>
      </c>
      <c r="F347" s="133" t="str">
        <f t="shared" si="7"/>
        <v>防卫塔12</v>
      </c>
      <c r="H347" s="146"/>
      <c r="I347" s="133">
        <v>2</v>
      </c>
      <c r="J347" s="150">
        <f>INDEX('#建筑消耗和buff配置索引'!AH:AH,MATCH($F347,'#建筑消耗和buff配置索引'!$M:$M,0))</f>
        <v>10800</v>
      </c>
      <c r="K347" s="150">
        <f>INDEX('#建筑消耗和buff配置索引'!AA:AA,MATCH($F347,'#建筑消耗和buff配置索引'!$M:$M,0))</f>
        <v>130000</v>
      </c>
      <c r="L347" s="150">
        <f>INDEX('#建筑消耗和buff配置索引'!AB:AB,MATCH($F347,'#建筑消耗和buff配置索引'!$M:$M,0))</f>
        <v>130000</v>
      </c>
      <c r="M347" s="150">
        <f>INDEX('#建筑消耗和buff配置索引'!AC:AC,MATCH($F347,'#建筑消耗和buff配置索引'!$M:$M,0))</f>
        <v>250000</v>
      </c>
      <c r="N347" s="150">
        <f>INDEX('#建筑消耗和buff配置索引'!AD:AD,MATCH($F347,'#建筑消耗和buff配置索引'!$M:$M,0))</f>
        <v>130000</v>
      </c>
      <c r="O347" s="150">
        <v>2068</v>
      </c>
      <c r="P347" s="133">
        <f>IF(INDEX('#建筑消耗和buff配置索引'!U:U,MATCH($F347,'#建筑消耗和buff配置索引'!$M:$M,0))=0,"",INDEX('#建筑消耗和buff配置索引'!U:U,MATCH($F347,'#建筑消耗和buff配置索引'!$M:$M,0)))</f>
        <v>50</v>
      </c>
      <c r="Q347" s="133" t="str">
        <f>IF(INDEX('#建筑消耗和buff配置索引'!K:K,MATCH($F347,'#建筑消耗和buff配置索引'!$M:$M,0))=0,"",INDEX('#建筑消耗和buff配置索引'!K:K,MATCH($F347,'#建筑消耗和buff配置索引'!$M:$M,0)))</f>
        <v>201;215</v>
      </c>
      <c r="R347" s="133" t="str">
        <f>IF(INDEX('#建筑消耗和buff配置索引'!L:L,MATCH($F347,'#建筑消耗和buff配置索引'!$M:$M,0))=0,"",INDEX('#建筑消耗和buff配置索引'!L:L,MATCH($F347,'#建筑消耗和buff配置索引'!$M:$M,0)))</f>
        <v>12;12</v>
      </c>
      <c r="S347" s="133">
        <f>IF(INDEX('#建筑消耗和buff配置索引'!C:C,MATCH(F347,'#建筑消耗和buff配置索引'!M:M,0))=0,1,INDEX('#建筑消耗和buff配置索引'!C:C,MATCH(F347,'#建筑消耗和buff配置索引'!M:M,0)))</f>
        <v>2</v>
      </c>
      <c r="T347" s="133">
        <v>0</v>
      </c>
      <c r="U347" s="133">
        <v>0</v>
      </c>
      <c r="V347" s="133" t="str">
        <f>IF(E347=1,IF(INDEX('#建筑消耗和buff配置索引'!BY:BY,MATCH(D347,'#建筑消耗和buff配置索引'!A:A,0))=0,"",INDEX('#建筑消耗和buff配置索引'!BY:BY,MATCH(D347,'#建筑消耗和buff配置索引'!A:A,0))),"")</f>
        <v/>
      </c>
      <c r="W347" s="133" t="str">
        <f>IF(E347=1,IF(INDEX('#建筑消耗和buff配置索引'!BZ:BZ,MATCH(D347,'#建筑消耗和buff配置索引'!A:A,0))=0,"",INDEX('#建筑消耗和buff配置索引'!BZ:BZ,MATCH(D347,'#建筑消耗和buff配置索引'!A:A,0))),"")</f>
        <v/>
      </c>
      <c r="AA347" s="133">
        <f>INDEX('#建筑消耗和buff配置索引'!AO:AO,MATCH($F347,'#建筑消耗和buff配置索引'!$M:$M,0))</f>
        <v>3561</v>
      </c>
      <c r="AB347" s="133">
        <f>IF(INDEX('#建筑消耗和buff配置索引'!AR:AR,MATCH($F347,'#建筑消耗和buff配置索引'!$M:$M,0))=0,"",INDEX('#建筑消耗和buff配置索引'!AR:AR,MATCH($F347,'#建筑消耗和buff配置索引'!$M:$M,0)))</f>
        <v>4207</v>
      </c>
      <c r="AC347" s="133">
        <f>IF(AB347="","",INDEX('#建筑消耗和buff配置索引'!AS:AS,MATCH($F347,'#建筑消耗和buff配置索引'!$M:$M,0)))</f>
        <v>580</v>
      </c>
      <c r="AF347" s="133" t="str">
        <f>IF(INDEX('#建筑消耗和buff配置索引'!AW:AW,MATCH($F347,'#建筑消耗和buff配置索引'!$M:$M,0))=0,"",INDEX('#建筑消耗和buff配置索引'!AW:AW,MATCH($F347,'#建筑消耗和buff配置索引'!$M:$M,0)))</f>
        <v/>
      </c>
      <c r="AG347" s="133" t="str">
        <f>IF(AF347="","",INDEX('#建筑消耗和buff配置索引'!AX:AX,MATCH($F347,'#建筑消耗和buff配置索引'!$M:$M,0)))</f>
        <v/>
      </c>
      <c r="AJ347" s="133" t="str">
        <f>IF(INDEX('#建筑消耗和buff配置索引'!BB:BB,MATCH($F347,'#建筑消耗和buff配置索引'!$M:$M,0))=0,"",INDEX('#建筑消耗和buff配置索引'!BB:BB,MATCH($F347,'#建筑消耗和buff配置索引'!$M:$M,0)))</f>
        <v/>
      </c>
      <c r="AK347" s="133" t="str">
        <f>IF(AJ347="","",INDEX('#建筑消耗和buff配置索引'!BC:BC,MATCH($F347,'#建筑消耗和buff配置索引'!$M:$M,0)))</f>
        <v/>
      </c>
      <c r="AN347" s="133" t="str">
        <f>IF(INDEX('#建筑消耗和buff配置索引'!BG:BG,MATCH($F347,'#建筑消耗和buff配置索引'!$M:$M,0))=0,"",INDEX('#建筑消耗和buff配置索引'!BG:BG,MATCH($F347,'#建筑消耗和buff配置索引'!$M:$M,0)))</f>
        <v/>
      </c>
      <c r="AO347" s="133" t="str">
        <f>IF(AN347="","",INDEX('#建筑消耗和buff配置索引'!BH:BH,MATCH($F347,'#建筑消耗和buff配置索引'!$M:$M,0)))</f>
        <v/>
      </c>
      <c r="AR347" s="133" t="str">
        <f>IF(INDEX('#建筑消耗和buff配置索引'!BK:BK,MATCH($F347,'#建筑消耗和buff配置索引'!$M:$M,0))=0,"",INDEX('#建筑消耗和buff配置索引'!BK:BK,MATCH($F347,'#建筑消耗和buff配置索引'!$M:$M,0)))</f>
        <v/>
      </c>
      <c r="AS347" s="133" t="str">
        <f>IF(AR347="","",INDEX('#建筑消耗和buff配置索引'!BL:BL,MATCH($F347,'#建筑消耗和buff配置索引'!$M:$M,0)))</f>
        <v/>
      </c>
      <c r="AV347" s="133" t="str">
        <f>IF(INDEX('#建筑消耗和buff配置索引'!BO:BO,MATCH($F347,'#建筑消耗和buff配置索引'!$M:$M,0))=0,"",INDEX('#建筑消耗和buff配置索引'!BO:BO,MATCH($F347,'#建筑消耗和buff配置索引'!$M:$M,0)))</f>
        <v/>
      </c>
      <c r="AW347" s="133" t="str">
        <f>IF(AV347="","",INDEX('#建筑消耗和buff配置索引'!BP:BP,MATCH($F347,'#建筑消耗和buff配置索引'!$M:$M,0)))</f>
        <v/>
      </c>
      <c r="AZ347" s="133" t="str">
        <f>IF(INDEX('#建筑消耗和buff配置索引'!BS:BS,MATCH($F347,'#建筑消耗和buff配置索引'!$M:$M,0))=0,"",INDEX('#建筑消耗和buff配置索引'!BS:BS,MATCH($F347,'#建筑消耗和buff配置索引'!$M:$M,0)))</f>
        <v/>
      </c>
      <c r="BA347" s="133" t="str">
        <f>IF(AZ347="","",INDEX('#建筑消耗和buff配置索引'!BT:BT,MATCH($F347,'#建筑消耗和buff配置索引'!$M:$M,0)))</f>
        <v/>
      </c>
      <c r="BD347" s="133" t="str">
        <f>IF(INDEX('#建筑消耗和buff配置索引'!BW:BW,MATCH($F347,'#建筑消耗和buff配置索引'!$M:$M,0))=0,"",INDEX('#建筑消耗和buff配置索引'!BW:BW,MATCH($F347,'#建筑消耗和buff配置索引'!$M:$M,0)))</f>
        <v/>
      </c>
      <c r="BE347" s="133" t="str">
        <f>IF(BD347="","",INDEX('#建筑消耗和buff配置索引'!BX:BX,MATCH($F347,'#建筑消耗和buff配置索引'!$M:$M,0)))</f>
        <v/>
      </c>
      <c r="BI347" s="133">
        <v>18</v>
      </c>
    </row>
    <row r="348" spans="1:61" s="133" customFormat="1">
      <c r="A348" s="133">
        <v>2270013</v>
      </c>
      <c r="B348" s="133">
        <v>345</v>
      </c>
      <c r="C348" s="133">
        <v>227</v>
      </c>
      <c r="D348" s="133" t="s">
        <v>940</v>
      </c>
      <c r="E348" s="133">
        <v>13</v>
      </c>
      <c r="F348" s="133" t="str">
        <f t="shared" si="7"/>
        <v>防卫塔13</v>
      </c>
      <c r="H348" s="146"/>
      <c r="I348" s="133">
        <v>2</v>
      </c>
      <c r="J348" s="150">
        <f>INDEX('#建筑消耗和buff配置索引'!AH:AH,MATCH($F348,'#建筑消耗和buff配置索引'!$M:$M,0))</f>
        <v>14400</v>
      </c>
      <c r="K348" s="150">
        <f>INDEX('#建筑消耗和buff配置索引'!AA:AA,MATCH($F348,'#建筑消耗和buff配置索引'!$M:$M,0))</f>
        <v>170000</v>
      </c>
      <c r="L348" s="150">
        <f>INDEX('#建筑消耗和buff配置索引'!AB:AB,MATCH($F348,'#建筑消耗和buff配置索引'!$M:$M,0))</f>
        <v>170000</v>
      </c>
      <c r="M348" s="150">
        <f>INDEX('#建筑消耗和buff配置索引'!AC:AC,MATCH($F348,'#建筑消耗和buff配置索引'!$M:$M,0))</f>
        <v>340000</v>
      </c>
      <c r="N348" s="150">
        <f>INDEX('#建筑消耗和buff配置索引'!AD:AD,MATCH($F348,'#建筑消耗和buff配置索引'!$M:$M,0))</f>
        <v>170000</v>
      </c>
      <c r="O348" s="150">
        <v>2068</v>
      </c>
      <c r="P348" s="133">
        <f>IF(INDEX('#建筑消耗和buff配置索引'!U:U,MATCH($F348,'#建筑消耗和buff配置索引'!$M:$M,0))=0,"",INDEX('#建筑消耗和buff配置索引'!U:U,MATCH($F348,'#建筑消耗和buff配置索引'!$M:$M,0)))</f>
        <v>60</v>
      </c>
      <c r="Q348" s="133" t="str">
        <f>IF(INDEX('#建筑消耗和buff配置索引'!K:K,MATCH($F348,'#建筑消耗和buff配置索引'!$M:$M,0))=0,"",INDEX('#建筑消耗和buff配置索引'!K:K,MATCH($F348,'#建筑消耗和buff配置索引'!$M:$M,0)))</f>
        <v>201;215</v>
      </c>
      <c r="R348" s="133" t="str">
        <f>IF(INDEX('#建筑消耗和buff配置索引'!L:L,MATCH($F348,'#建筑消耗和buff配置索引'!$M:$M,0))=0,"",INDEX('#建筑消耗和buff配置索引'!L:L,MATCH($F348,'#建筑消耗和buff配置索引'!$M:$M,0)))</f>
        <v>13;13</v>
      </c>
      <c r="S348" s="133">
        <f>IF(INDEX('#建筑消耗和buff配置索引'!C:C,MATCH(F348,'#建筑消耗和buff配置索引'!M:M,0))=0,1,INDEX('#建筑消耗和buff配置索引'!C:C,MATCH(F348,'#建筑消耗和buff配置索引'!M:M,0)))</f>
        <v>2</v>
      </c>
      <c r="T348" s="133">
        <v>0</v>
      </c>
      <c r="U348" s="133">
        <v>0</v>
      </c>
      <c r="V348" s="133" t="str">
        <f>IF(E348=1,IF(INDEX('#建筑消耗和buff配置索引'!BY:BY,MATCH(D348,'#建筑消耗和buff配置索引'!A:A,0))=0,"",INDEX('#建筑消耗和buff配置索引'!BY:BY,MATCH(D348,'#建筑消耗和buff配置索引'!A:A,0))),"")</f>
        <v/>
      </c>
      <c r="W348" s="133" t="str">
        <f>IF(E348=1,IF(INDEX('#建筑消耗和buff配置索引'!BZ:BZ,MATCH(D348,'#建筑消耗和buff配置索引'!A:A,0))=0,"",INDEX('#建筑消耗和buff配置索引'!BZ:BZ,MATCH(D348,'#建筑消耗和buff配置索引'!A:A,0))),"")</f>
        <v/>
      </c>
      <c r="AA348" s="133">
        <f>INDEX('#建筑消耗和buff配置索引'!AO:AO,MATCH($F348,'#建筑消耗和buff配置索引'!$M:$M,0))</f>
        <v>5278</v>
      </c>
      <c r="AB348" s="133">
        <f>IF(INDEX('#建筑消耗和buff配置索引'!AR:AR,MATCH($F348,'#建筑消耗和buff配置索引'!$M:$M,0))=0,"",INDEX('#建筑消耗和buff配置索引'!AR:AR,MATCH($F348,'#建筑消耗和buff配置索引'!$M:$M,0)))</f>
        <v>4207</v>
      </c>
      <c r="AC348" s="133">
        <f>IF(AB348="","",INDEX('#建筑消耗和buff配置索引'!AS:AS,MATCH($F348,'#建筑消耗和buff配置索引'!$M:$M,0)))</f>
        <v>640</v>
      </c>
      <c r="AF348" s="133" t="str">
        <f>IF(INDEX('#建筑消耗和buff配置索引'!AW:AW,MATCH($F348,'#建筑消耗和buff配置索引'!$M:$M,0))=0,"",INDEX('#建筑消耗和buff配置索引'!AW:AW,MATCH($F348,'#建筑消耗和buff配置索引'!$M:$M,0)))</f>
        <v/>
      </c>
      <c r="AG348" s="133" t="str">
        <f>IF(AF348="","",INDEX('#建筑消耗和buff配置索引'!AX:AX,MATCH($F348,'#建筑消耗和buff配置索引'!$M:$M,0)))</f>
        <v/>
      </c>
      <c r="AJ348" s="133" t="str">
        <f>IF(INDEX('#建筑消耗和buff配置索引'!BB:BB,MATCH($F348,'#建筑消耗和buff配置索引'!$M:$M,0))=0,"",INDEX('#建筑消耗和buff配置索引'!BB:BB,MATCH($F348,'#建筑消耗和buff配置索引'!$M:$M,0)))</f>
        <v/>
      </c>
      <c r="AK348" s="133" t="str">
        <f>IF(AJ348="","",INDEX('#建筑消耗和buff配置索引'!BC:BC,MATCH($F348,'#建筑消耗和buff配置索引'!$M:$M,0)))</f>
        <v/>
      </c>
      <c r="AN348" s="133" t="str">
        <f>IF(INDEX('#建筑消耗和buff配置索引'!BG:BG,MATCH($F348,'#建筑消耗和buff配置索引'!$M:$M,0))=0,"",INDEX('#建筑消耗和buff配置索引'!BG:BG,MATCH($F348,'#建筑消耗和buff配置索引'!$M:$M,0)))</f>
        <v/>
      </c>
      <c r="AO348" s="133" t="str">
        <f>IF(AN348="","",INDEX('#建筑消耗和buff配置索引'!BH:BH,MATCH($F348,'#建筑消耗和buff配置索引'!$M:$M,0)))</f>
        <v/>
      </c>
      <c r="AR348" s="133" t="str">
        <f>IF(INDEX('#建筑消耗和buff配置索引'!BK:BK,MATCH($F348,'#建筑消耗和buff配置索引'!$M:$M,0))=0,"",INDEX('#建筑消耗和buff配置索引'!BK:BK,MATCH($F348,'#建筑消耗和buff配置索引'!$M:$M,0)))</f>
        <v/>
      </c>
      <c r="AS348" s="133" t="str">
        <f>IF(AR348="","",INDEX('#建筑消耗和buff配置索引'!BL:BL,MATCH($F348,'#建筑消耗和buff配置索引'!$M:$M,0)))</f>
        <v/>
      </c>
      <c r="AV348" s="133" t="str">
        <f>IF(INDEX('#建筑消耗和buff配置索引'!BO:BO,MATCH($F348,'#建筑消耗和buff配置索引'!$M:$M,0))=0,"",INDEX('#建筑消耗和buff配置索引'!BO:BO,MATCH($F348,'#建筑消耗和buff配置索引'!$M:$M,0)))</f>
        <v/>
      </c>
      <c r="AW348" s="133" t="str">
        <f>IF(AV348="","",INDEX('#建筑消耗和buff配置索引'!BP:BP,MATCH($F348,'#建筑消耗和buff配置索引'!$M:$M,0)))</f>
        <v/>
      </c>
      <c r="AZ348" s="133" t="str">
        <f>IF(INDEX('#建筑消耗和buff配置索引'!BS:BS,MATCH($F348,'#建筑消耗和buff配置索引'!$M:$M,0))=0,"",INDEX('#建筑消耗和buff配置索引'!BS:BS,MATCH($F348,'#建筑消耗和buff配置索引'!$M:$M,0)))</f>
        <v/>
      </c>
      <c r="BA348" s="133" t="str">
        <f>IF(AZ348="","",INDEX('#建筑消耗和buff配置索引'!BT:BT,MATCH($F348,'#建筑消耗和buff配置索引'!$M:$M,0)))</f>
        <v/>
      </c>
      <c r="BD348" s="133" t="str">
        <f>IF(INDEX('#建筑消耗和buff配置索引'!BW:BW,MATCH($F348,'#建筑消耗和buff配置索引'!$M:$M,0))=0,"",INDEX('#建筑消耗和buff配置索引'!BW:BW,MATCH($F348,'#建筑消耗和buff配置索引'!$M:$M,0)))</f>
        <v/>
      </c>
      <c r="BE348" s="133" t="str">
        <f>IF(BD348="","",INDEX('#建筑消耗和buff配置索引'!BX:BX,MATCH($F348,'#建筑消耗和buff配置索引'!$M:$M,0)))</f>
        <v/>
      </c>
      <c r="BI348" s="133">
        <v>18</v>
      </c>
    </row>
    <row r="349" spans="1:61" s="133" customFormat="1">
      <c r="A349" s="133">
        <v>2270014</v>
      </c>
      <c r="B349" s="133">
        <v>346</v>
      </c>
      <c r="C349" s="133">
        <v>227</v>
      </c>
      <c r="D349" s="133" t="s">
        <v>940</v>
      </c>
      <c r="E349" s="133">
        <v>14</v>
      </c>
      <c r="F349" s="133" t="str">
        <f t="shared" si="7"/>
        <v>防卫塔14</v>
      </c>
      <c r="H349" s="146"/>
      <c r="I349" s="133">
        <v>2</v>
      </c>
      <c r="J349" s="150">
        <f>INDEX('#建筑消耗和buff配置索引'!AH:AH,MATCH($F349,'#建筑消耗和buff配置索引'!$M:$M,0))</f>
        <v>18000</v>
      </c>
      <c r="K349" s="150">
        <f>INDEX('#建筑消耗和buff配置索引'!AA:AA,MATCH($F349,'#建筑消耗和buff配置索引'!$M:$M,0))</f>
        <v>220000</v>
      </c>
      <c r="L349" s="150">
        <f>INDEX('#建筑消耗和buff配置索引'!AB:AB,MATCH($F349,'#建筑消耗和buff配置索引'!$M:$M,0))</f>
        <v>220000</v>
      </c>
      <c r="M349" s="150">
        <f>INDEX('#建筑消耗和buff配置索引'!AC:AC,MATCH($F349,'#建筑消耗和buff配置索引'!$M:$M,0))</f>
        <v>450000</v>
      </c>
      <c r="N349" s="150">
        <f>INDEX('#建筑消耗和buff配置索引'!AD:AD,MATCH($F349,'#建筑消耗和buff配置索引'!$M:$M,0))</f>
        <v>220000</v>
      </c>
      <c r="O349" s="150">
        <v>2068</v>
      </c>
      <c r="P349" s="133">
        <f>IF(INDEX('#建筑消耗和buff配置索引'!U:U,MATCH($F349,'#建筑消耗和buff配置索引'!$M:$M,0))=0,"",INDEX('#建筑消耗和buff配置索引'!U:U,MATCH($F349,'#建筑消耗和buff配置索引'!$M:$M,0)))</f>
        <v>70</v>
      </c>
      <c r="Q349" s="133" t="str">
        <f>IF(INDEX('#建筑消耗和buff配置索引'!K:K,MATCH($F349,'#建筑消耗和buff配置索引'!$M:$M,0))=0,"",INDEX('#建筑消耗和buff配置索引'!K:K,MATCH($F349,'#建筑消耗和buff配置索引'!$M:$M,0)))</f>
        <v>201;215</v>
      </c>
      <c r="R349" s="133" t="str">
        <f>IF(INDEX('#建筑消耗和buff配置索引'!L:L,MATCH($F349,'#建筑消耗和buff配置索引'!$M:$M,0))=0,"",INDEX('#建筑消耗和buff配置索引'!L:L,MATCH($F349,'#建筑消耗和buff配置索引'!$M:$M,0)))</f>
        <v>14;14</v>
      </c>
      <c r="S349" s="133">
        <f>IF(INDEX('#建筑消耗和buff配置索引'!C:C,MATCH(F349,'#建筑消耗和buff配置索引'!M:M,0))=0,1,INDEX('#建筑消耗和buff配置索引'!C:C,MATCH(F349,'#建筑消耗和buff配置索引'!M:M,0)))</f>
        <v>2</v>
      </c>
      <c r="T349" s="133">
        <v>0</v>
      </c>
      <c r="U349" s="133">
        <v>0</v>
      </c>
      <c r="V349" s="133" t="str">
        <f>IF(E349=1,IF(INDEX('#建筑消耗和buff配置索引'!BY:BY,MATCH(D349,'#建筑消耗和buff配置索引'!A:A,0))=0,"",INDEX('#建筑消耗和buff配置索引'!BY:BY,MATCH(D349,'#建筑消耗和buff配置索引'!A:A,0))),"")</f>
        <v/>
      </c>
      <c r="W349" s="133" t="str">
        <f>IF(E349=1,IF(INDEX('#建筑消耗和buff配置索引'!BZ:BZ,MATCH(D349,'#建筑消耗和buff配置索引'!A:A,0))=0,"",INDEX('#建筑消耗和buff配置索引'!BZ:BZ,MATCH(D349,'#建筑消耗和buff配置索引'!A:A,0))),"")</f>
        <v/>
      </c>
      <c r="AA349" s="133">
        <f>INDEX('#建筑消耗和buff配置索引'!AO:AO,MATCH($F349,'#建筑消耗和buff配置索引'!$M:$M,0))</f>
        <v>7509</v>
      </c>
      <c r="AB349" s="133">
        <f>IF(INDEX('#建筑消耗和buff配置索引'!AR:AR,MATCH($F349,'#建筑消耗和buff配置索引'!$M:$M,0))=0,"",INDEX('#建筑消耗和buff配置索引'!AR:AR,MATCH($F349,'#建筑消耗和buff配置索引'!$M:$M,0)))</f>
        <v>4207</v>
      </c>
      <c r="AC349" s="133">
        <f>IF(AB349="","",INDEX('#建筑消耗和buff配置索引'!AS:AS,MATCH($F349,'#建筑消耗和buff配置索引'!$M:$M,0)))</f>
        <v>700</v>
      </c>
      <c r="AF349" s="133" t="str">
        <f>IF(INDEX('#建筑消耗和buff配置索引'!AW:AW,MATCH($F349,'#建筑消耗和buff配置索引'!$M:$M,0))=0,"",INDEX('#建筑消耗和buff配置索引'!AW:AW,MATCH($F349,'#建筑消耗和buff配置索引'!$M:$M,0)))</f>
        <v/>
      </c>
      <c r="AG349" s="133" t="str">
        <f>IF(AF349="","",INDEX('#建筑消耗和buff配置索引'!AX:AX,MATCH($F349,'#建筑消耗和buff配置索引'!$M:$M,0)))</f>
        <v/>
      </c>
      <c r="AJ349" s="133" t="str">
        <f>IF(INDEX('#建筑消耗和buff配置索引'!BB:BB,MATCH($F349,'#建筑消耗和buff配置索引'!$M:$M,0))=0,"",INDEX('#建筑消耗和buff配置索引'!BB:BB,MATCH($F349,'#建筑消耗和buff配置索引'!$M:$M,0)))</f>
        <v/>
      </c>
      <c r="AK349" s="133" t="str">
        <f>IF(AJ349="","",INDEX('#建筑消耗和buff配置索引'!BC:BC,MATCH($F349,'#建筑消耗和buff配置索引'!$M:$M,0)))</f>
        <v/>
      </c>
      <c r="AN349" s="133" t="str">
        <f>IF(INDEX('#建筑消耗和buff配置索引'!BG:BG,MATCH($F349,'#建筑消耗和buff配置索引'!$M:$M,0))=0,"",INDEX('#建筑消耗和buff配置索引'!BG:BG,MATCH($F349,'#建筑消耗和buff配置索引'!$M:$M,0)))</f>
        <v/>
      </c>
      <c r="AO349" s="133" t="str">
        <f>IF(AN349="","",INDEX('#建筑消耗和buff配置索引'!BH:BH,MATCH($F349,'#建筑消耗和buff配置索引'!$M:$M,0)))</f>
        <v/>
      </c>
      <c r="AR349" s="133" t="str">
        <f>IF(INDEX('#建筑消耗和buff配置索引'!BK:BK,MATCH($F349,'#建筑消耗和buff配置索引'!$M:$M,0))=0,"",INDEX('#建筑消耗和buff配置索引'!BK:BK,MATCH($F349,'#建筑消耗和buff配置索引'!$M:$M,0)))</f>
        <v/>
      </c>
      <c r="AS349" s="133" t="str">
        <f>IF(AR349="","",INDEX('#建筑消耗和buff配置索引'!BL:BL,MATCH($F349,'#建筑消耗和buff配置索引'!$M:$M,0)))</f>
        <v/>
      </c>
      <c r="AV349" s="133" t="str">
        <f>IF(INDEX('#建筑消耗和buff配置索引'!BO:BO,MATCH($F349,'#建筑消耗和buff配置索引'!$M:$M,0))=0,"",INDEX('#建筑消耗和buff配置索引'!BO:BO,MATCH($F349,'#建筑消耗和buff配置索引'!$M:$M,0)))</f>
        <v/>
      </c>
      <c r="AW349" s="133" t="str">
        <f>IF(AV349="","",INDEX('#建筑消耗和buff配置索引'!BP:BP,MATCH($F349,'#建筑消耗和buff配置索引'!$M:$M,0)))</f>
        <v/>
      </c>
      <c r="AZ349" s="133" t="str">
        <f>IF(INDEX('#建筑消耗和buff配置索引'!BS:BS,MATCH($F349,'#建筑消耗和buff配置索引'!$M:$M,0))=0,"",INDEX('#建筑消耗和buff配置索引'!BS:BS,MATCH($F349,'#建筑消耗和buff配置索引'!$M:$M,0)))</f>
        <v/>
      </c>
      <c r="BA349" s="133" t="str">
        <f>IF(AZ349="","",INDEX('#建筑消耗和buff配置索引'!BT:BT,MATCH($F349,'#建筑消耗和buff配置索引'!$M:$M,0)))</f>
        <v/>
      </c>
      <c r="BD349" s="133" t="str">
        <f>IF(INDEX('#建筑消耗和buff配置索引'!BW:BW,MATCH($F349,'#建筑消耗和buff配置索引'!$M:$M,0))=0,"",INDEX('#建筑消耗和buff配置索引'!BW:BW,MATCH($F349,'#建筑消耗和buff配置索引'!$M:$M,0)))</f>
        <v/>
      </c>
      <c r="BE349" s="133" t="str">
        <f>IF(BD349="","",INDEX('#建筑消耗和buff配置索引'!BX:BX,MATCH($F349,'#建筑消耗和buff配置索引'!$M:$M,0)))</f>
        <v/>
      </c>
      <c r="BI349" s="133">
        <v>18</v>
      </c>
    </row>
    <row r="350" spans="1:61" s="133" customFormat="1">
      <c r="A350" s="133">
        <v>2270015</v>
      </c>
      <c r="B350" s="133">
        <v>347</v>
      </c>
      <c r="C350" s="133">
        <v>227</v>
      </c>
      <c r="D350" s="133" t="s">
        <v>940</v>
      </c>
      <c r="E350" s="133">
        <v>15</v>
      </c>
      <c r="F350" s="133" t="str">
        <f t="shared" si="7"/>
        <v>防卫塔15</v>
      </c>
      <c r="H350" s="146"/>
      <c r="I350" s="133">
        <v>2</v>
      </c>
      <c r="J350" s="150">
        <f>INDEX('#建筑消耗和buff配置索引'!AH:AH,MATCH($F350,'#建筑消耗和buff配置索引'!$M:$M,0))</f>
        <v>21600</v>
      </c>
      <c r="K350" s="150">
        <f>INDEX('#建筑消耗和buff配置索引'!AA:AA,MATCH($F350,'#建筑消耗和buff配置索引'!$M:$M,0))</f>
        <v>290000</v>
      </c>
      <c r="L350" s="150">
        <f>INDEX('#建筑消耗和buff配置索引'!AB:AB,MATCH($F350,'#建筑消耗和buff配置索引'!$M:$M,0))</f>
        <v>290000</v>
      </c>
      <c r="M350" s="150">
        <f>INDEX('#建筑消耗和buff配置索引'!AC:AC,MATCH($F350,'#建筑消耗和buff配置索引'!$M:$M,0))</f>
        <v>570000</v>
      </c>
      <c r="N350" s="150">
        <f>INDEX('#建筑消耗和buff配置索引'!AD:AD,MATCH($F350,'#建筑消耗和buff配置索引'!$M:$M,0))</f>
        <v>290000</v>
      </c>
      <c r="O350" s="150">
        <v>2068</v>
      </c>
      <c r="P350" s="133">
        <f>IF(INDEX('#建筑消耗和buff配置索引'!U:U,MATCH($F350,'#建筑消耗和buff配置索引'!$M:$M,0))=0,"",INDEX('#建筑消耗和buff配置索引'!U:U,MATCH($F350,'#建筑消耗和buff配置索引'!$M:$M,0)))</f>
        <v>80</v>
      </c>
      <c r="Q350" s="133" t="str">
        <f>IF(INDEX('#建筑消耗和buff配置索引'!K:K,MATCH($F350,'#建筑消耗和buff配置索引'!$M:$M,0))=0,"",INDEX('#建筑消耗和buff配置索引'!K:K,MATCH($F350,'#建筑消耗和buff配置索引'!$M:$M,0)))</f>
        <v>201;215</v>
      </c>
      <c r="R350" s="133" t="str">
        <f>IF(INDEX('#建筑消耗和buff配置索引'!L:L,MATCH($F350,'#建筑消耗和buff配置索引'!$M:$M,0))=0,"",INDEX('#建筑消耗和buff配置索引'!L:L,MATCH($F350,'#建筑消耗和buff配置索引'!$M:$M,0)))</f>
        <v>15;15</v>
      </c>
      <c r="S350" s="133">
        <f>IF(INDEX('#建筑消耗和buff配置索引'!C:C,MATCH(F350,'#建筑消耗和buff配置索引'!M:M,0))=0,1,INDEX('#建筑消耗和buff配置索引'!C:C,MATCH(F350,'#建筑消耗和buff配置索引'!M:M,0)))</f>
        <v>2</v>
      </c>
      <c r="T350" s="133">
        <v>0</v>
      </c>
      <c r="U350" s="133">
        <v>0</v>
      </c>
      <c r="V350" s="133" t="str">
        <f>IF(E350=1,IF(INDEX('#建筑消耗和buff配置索引'!BY:BY,MATCH(D350,'#建筑消耗和buff配置索引'!A:A,0))=0,"",INDEX('#建筑消耗和buff配置索引'!BY:BY,MATCH(D350,'#建筑消耗和buff配置索引'!A:A,0))),"")</f>
        <v/>
      </c>
      <c r="W350" s="133" t="str">
        <f>IF(E350=1,IF(INDEX('#建筑消耗和buff配置索引'!BZ:BZ,MATCH(D350,'#建筑消耗和buff配置索引'!A:A,0))=0,"",INDEX('#建筑消耗和buff配置索引'!BZ:BZ,MATCH(D350,'#建筑消耗和buff配置索引'!A:A,0))),"")</f>
        <v/>
      </c>
      <c r="AA350" s="133">
        <f>INDEX('#建筑消耗和buff配置索引'!AO:AO,MATCH($F350,'#建筑消耗和buff配置索引'!$M:$M,0))</f>
        <v>10366</v>
      </c>
      <c r="AB350" s="133">
        <f>IF(INDEX('#建筑消耗和buff配置索引'!AR:AR,MATCH($F350,'#建筑消耗和buff配置索引'!$M:$M,0))=0,"",INDEX('#建筑消耗和buff配置索引'!AR:AR,MATCH($F350,'#建筑消耗和buff配置索引'!$M:$M,0)))</f>
        <v>4207</v>
      </c>
      <c r="AC350" s="133">
        <f>IF(AB350="","",INDEX('#建筑消耗和buff配置索引'!AS:AS,MATCH($F350,'#建筑消耗和buff配置索引'!$M:$M,0)))</f>
        <v>780</v>
      </c>
      <c r="AF350" s="133" t="str">
        <f>IF(INDEX('#建筑消耗和buff配置索引'!AW:AW,MATCH($F350,'#建筑消耗和buff配置索引'!$M:$M,0))=0,"",INDEX('#建筑消耗和buff配置索引'!AW:AW,MATCH($F350,'#建筑消耗和buff配置索引'!$M:$M,0)))</f>
        <v/>
      </c>
      <c r="AG350" s="133" t="str">
        <f>IF(AF350="","",INDEX('#建筑消耗和buff配置索引'!AX:AX,MATCH($F350,'#建筑消耗和buff配置索引'!$M:$M,0)))</f>
        <v/>
      </c>
      <c r="AJ350" s="133" t="str">
        <f>IF(INDEX('#建筑消耗和buff配置索引'!BB:BB,MATCH($F350,'#建筑消耗和buff配置索引'!$M:$M,0))=0,"",INDEX('#建筑消耗和buff配置索引'!BB:BB,MATCH($F350,'#建筑消耗和buff配置索引'!$M:$M,0)))</f>
        <v/>
      </c>
      <c r="AK350" s="133" t="str">
        <f>IF(AJ350="","",INDEX('#建筑消耗和buff配置索引'!BC:BC,MATCH($F350,'#建筑消耗和buff配置索引'!$M:$M,0)))</f>
        <v/>
      </c>
      <c r="AN350" s="133" t="str">
        <f>IF(INDEX('#建筑消耗和buff配置索引'!BG:BG,MATCH($F350,'#建筑消耗和buff配置索引'!$M:$M,0))=0,"",INDEX('#建筑消耗和buff配置索引'!BG:BG,MATCH($F350,'#建筑消耗和buff配置索引'!$M:$M,0)))</f>
        <v/>
      </c>
      <c r="AO350" s="133" t="str">
        <f>IF(AN350="","",INDEX('#建筑消耗和buff配置索引'!BH:BH,MATCH($F350,'#建筑消耗和buff配置索引'!$M:$M,0)))</f>
        <v/>
      </c>
      <c r="AR350" s="133" t="str">
        <f>IF(INDEX('#建筑消耗和buff配置索引'!BK:BK,MATCH($F350,'#建筑消耗和buff配置索引'!$M:$M,0))=0,"",INDEX('#建筑消耗和buff配置索引'!BK:BK,MATCH($F350,'#建筑消耗和buff配置索引'!$M:$M,0)))</f>
        <v/>
      </c>
      <c r="AS350" s="133" t="str">
        <f>IF(AR350="","",INDEX('#建筑消耗和buff配置索引'!BL:BL,MATCH($F350,'#建筑消耗和buff配置索引'!$M:$M,0)))</f>
        <v/>
      </c>
      <c r="AV350" s="133" t="str">
        <f>IF(INDEX('#建筑消耗和buff配置索引'!BO:BO,MATCH($F350,'#建筑消耗和buff配置索引'!$M:$M,0))=0,"",INDEX('#建筑消耗和buff配置索引'!BO:BO,MATCH($F350,'#建筑消耗和buff配置索引'!$M:$M,0)))</f>
        <v/>
      </c>
      <c r="AW350" s="133" t="str">
        <f>IF(AV350="","",INDEX('#建筑消耗和buff配置索引'!BP:BP,MATCH($F350,'#建筑消耗和buff配置索引'!$M:$M,0)))</f>
        <v/>
      </c>
      <c r="AZ350" s="133" t="str">
        <f>IF(INDEX('#建筑消耗和buff配置索引'!BS:BS,MATCH($F350,'#建筑消耗和buff配置索引'!$M:$M,0))=0,"",INDEX('#建筑消耗和buff配置索引'!BS:BS,MATCH($F350,'#建筑消耗和buff配置索引'!$M:$M,0)))</f>
        <v/>
      </c>
      <c r="BA350" s="133" t="str">
        <f>IF(AZ350="","",INDEX('#建筑消耗和buff配置索引'!BT:BT,MATCH($F350,'#建筑消耗和buff配置索引'!$M:$M,0)))</f>
        <v/>
      </c>
      <c r="BD350" s="133" t="str">
        <f>IF(INDEX('#建筑消耗和buff配置索引'!BW:BW,MATCH($F350,'#建筑消耗和buff配置索引'!$M:$M,0))=0,"",INDEX('#建筑消耗和buff配置索引'!BW:BW,MATCH($F350,'#建筑消耗和buff配置索引'!$M:$M,0)))</f>
        <v/>
      </c>
      <c r="BE350" s="133" t="str">
        <f>IF(BD350="","",INDEX('#建筑消耗和buff配置索引'!BX:BX,MATCH($F350,'#建筑消耗和buff配置索引'!$M:$M,0)))</f>
        <v/>
      </c>
      <c r="BI350" s="133">
        <v>18</v>
      </c>
    </row>
    <row r="351" spans="1:61" s="133" customFormat="1">
      <c r="A351" s="133">
        <v>2270016</v>
      </c>
      <c r="B351" s="133">
        <v>348</v>
      </c>
      <c r="C351" s="133">
        <v>227</v>
      </c>
      <c r="D351" s="133" t="s">
        <v>940</v>
      </c>
      <c r="E351" s="133">
        <v>16</v>
      </c>
      <c r="F351" s="133" t="str">
        <f t="shared" si="7"/>
        <v>防卫塔16</v>
      </c>
      <c r="H351" s="146"/>
      <c r="I351" s="133">
        <v>2</v>
      </c>
      <c r="J351" s="150">
        <f>INDEX('#建筑消耗和buff配置索引'!AH:AH,MATCH($F351,'#建筑消耗和buff配置索引'!$M:$M,0))</f>
        <v>27000</v>
      </c>
      <c r="K351" s="150">
        <f>INDEX('#建筑消耗和buff配置索引'!AA:AA,MATCH($F351,'#建筑消耗和buff配置索引'!$M:$M,0))</f>
        <v>370000</v>
      </c>
      <c r="L351" s="150">
        <f>INDEX('#建筑消耗和buff配置索引'!AB:AB,MATCH($F351,'#建筑消耗和buff配置索引'!$M:$M,0))</f>
        <v>370000</v>
      </c>
      <c r="M351" s="150">
        <f>INDEX('#建筑消耗和buff配置索引'!AC:AC,MATCH($F351,'#建筑消耗和buff配置索引'!$M:$M,0))</f>
        <v>730000</v>
      </c>
      <c r="N351" s="150">
        <f>INDEX('#建筑消耗和buff配置索引'!AD:AD,MATCH($F351,'#建筑消耗和buff配置索引'!$M:$M,0))</f>
        <v>370000</v>
      </c>
      <c r="O351" s="150">
        <v>2068</v>
      </c>
      <c r="P351" s="133">
        <f>IF(INDEX('#建筑消耗和buff配置索引'!U:U,MATCH($F351,'#建筑消耗和buff配置索引'!$M:$M,0))=0,"",INDEX('#建筑消耗和buff配置索引'!U:U,MATCH($F351,'#建筑消耗和buff配置索引'!$M:$M,0)))</f>
        <v>90</v>
      </c>
      <c r="Q351" s="133" t="str">
        <f>IF(INDEX('#建筑消耗和buff配置索引'!K:K,MATCH($F351,'#建筑消耗和buff配置索引'!$M:$M,0))=0,"",INDEX('#建筑消耗和buff配置索引'!K:K,MATCH($F351,'#建筑消耗和buff配置索引'!$M:$M,0)))</f>
        <v>201;215</v>
      </c>
      <c r="R351" s="133" t="str">
        <f>IF(INDEX('#建筑消耗和buff配置索引'!L:L,MATCH($F351,'#建筑消耗和buff配置索引'!$M:$M,0))=0,"",INDEX('#建筑消耗和buff配置索引'!L:L,MATCH($F351,'#建筑消耗和buff配置索引'!$M:$M,0)))</f>
        <v>16;16</v>
      </c>
      <c r="S351" s="133">
        <f>IF(INDEX('#建筑消耗和buff配置索引'!C:C,MATCH(F351,'#建筑消耗和buff配置索引'!M:M,0))=0,1,INDEX('#建筑消耗和buff配置索引'!C:C,MATCH(F351,'#建筑消耗和buff配置索引'!M:M,0)))</f>
        <v>2</v>
      </c>
      <c r="T351" s="133">
        <v>0</v>
      </c>
      <c r="U351" s="133">
        <v>0</v>
      </c>
      <c r="V351" s="133" t="str">
        <f>IF(E351=1,IF(INDEX('#建筑消耗和buff配置索引'!BY:BY,MATCH(D351,'#建筑消耗和buff配置索引'!A:A,0))=0,"",INDEX('#建筑消耗和buff配置索引'!BY:BY,MATCH(D351,'#建筑消耗和buff配置索引'!A:A,0))),"")</f>
        <v/>
      </c>
      <c r="W351" s="133" t="str">
        <f>IF(E351=1,IF(INDEX('#建筑消耗和buff配置索引'!BZ:BZ,MATCH(D351,'#建筑消耗和buff配置索引'!A:A,0))=0,"",INDEX('#建筑消耗和buff配置索引'!BZ:BZ,MATCH(D351,'#建筑消耗和buff配置索引'!A:A,0))),"")</f>
        <v/>
      </c>
      <c r="AA351" s="133">
        <f>INDEX('#建筑消耗和buff配置索引'!AO:AO,MATCH($F351,'#建筑消耗和buff配置索引'!$M:$M,0))</f>
        <v>14022</v>
      </c>
      <c r="AB351" s="133">
        <f>IF(INDEX('#建筑消耗和buff配置索引'!AR:AR,MATCH($F351,'#建筑消耗和buff配置索引'!$M:$M,0))=0,"",INDEX('#建筑消耗和buff配置索引'!AR:AR,MATCH($F351,'#建筑消耗和buff配置索引'!$M:$M,0)))</f>
        <v>4207</v>
      </c>
      <c r="AC351" s="133">
        <f>IF(AB351="","",INDEX('#建筑消耗和buff配置索引'!AS:AS,MATCH($F351,'#建筑消耗和buff配置索引'!$M:$M,0)))</f>
        <v>860</v>
      </c>
      <c r="AF351" s="133" t="str">
        <f>IF(INDEX('#建筑消耗和buff配置索引'!AW:AW,MATCH($F351,'#建筑消耗和buff配置索引'!$M:$M,0))=0,"",INDEX('#建筑消耗和buff配置索引'!AW:AW,MATCH($F351,'#建筑消耗和buff配置索引'!$M:$M,0)))</f>
        <v/>
      </c>
      <c r="AG351" s="133" t="str">
        <f>IF(AF351="","",INDEX('#建筑消耗和buff配置索引'!AX:AX,MATCH($F351,'#建筑消耗和buff配置索引'!$M:$M,0)))</f>
        <v/>
      </c>
      <c r="AJ351" s="133" t="str">
        <f>IF(INDEX('#建筑消耗和buff配置索引'!BB:BB,MATCH($F351,'#建筑消耗和buff配置索引'!$M:$M,0))=0,"",INDEX('#建筑消耗和buff配置索引'!BB:BB,MATCH($F351,'#建筑消耗和buff配置索引'!$M:$M,0)))</f>
        <v/>
      </c>
      <c r="AK351" s="133" t="str">
        <f>IF(AJ351="","",INDEX('#建筑消耗和buff配置索引'!BC:BC,MATCH($F351,'#建筑消耗和buff配置索引'!$M:$M,0)))</f>
        <v/>
      </c>
      <c r="AN351" s="133" t="str">
        <f>IF(INDEX('#建筑消耗和buff配置索引'!BG:BG,MATCH($F351,'#建筑消耗和buff配置索引'!$M:$M,0))=0,"",INDEX('#建筑消耗和buff配置索引'!BG:BG,MATCH($F351,'#建筑消耗和buff配置索引'!$M:$M,0)))</f>
        <v/>
      </c>
      <c r="AO351" s="133" t="str">
        <f>IF(AN351="","",INDEX('#建筑消耗和buff配置索引'!BH:BH,MATCH($F351,'#建筑消耗和buff配置索引'!$M:$M,0)))</f>
        <v/>
      </c>
      <c r="AR351" s="133" t="str">
        <f>IF(INDEX('#建筑消耗和buff配置索引'!BK:BK,MATCH($F351,'#建筑消耗和buff配置索引'!$M:$M,0))=0,"",INDEX('#建筑消耗和buff配置索引'!BK:BK,MATCH($F351,'#建筑消耗和buff配置索引'!$M:$M,0)))</f>
        <v/>
      </c>
      <c r="AS351" s="133" t="str">
        <f>IF(AR351="","",INDEX('#建筑消耗和buff配置索引'!BL:BL,MATCH($F351,'#建筑消耗和buff配置索引'!$M:$M,0)))</f>
        <v/>
      </c>
      <c r="AV351" s="133" t="str">
        <f>IF(INDEX('#建筑消耗和buff配置索引'!BO:BO,MATCH($F351,'#建筑消耗和buff配置索引'!$M:$M,0))=0,"",INDEX('#建筑消耗和buff配置索引'!BO:BO,MATCH($F351,'#建筑消耗和buff配置索引'!$M:$M,0)))</f>
        <v/>
      </c>
      <c r="AW351" s="133" t="str">
        <f>IF(AV351="","",INDEX('#建筑消耗和buff配置索引'!BP:BP,MATCH($F351,'#建筑消耗和buff配置索引'!$M:$M,0)))</f>
        <v/>
      </c>
      <c r="AZ351" s="133" t="str">
        <f>IF(INDEX('#建筑消耗和buff配置索引'!BS:BS,MATCH($F351,'#建筑消耗和buff配置索引'!$M:$M,0))=0,"",INDEX('#建筑消耗和buff配置索引'!BS:BS,MATCH($F351,'#建筑消耗和buff配置索引'!$M:$M,0)))</f>
        <v/>
      </c>
      <c r="BA351" s="133" t="str">
        <f>IF(AZ351="","",INDEX('#建筑消耗和buff配置索引'!BT:BT,MATCH($F351,'#建筑消耗和buff配置索引'!$M:$M,0)))</f>
        <v/>
      </c>
      <c r="BD351" s="133" t="str">
        <f>IF(INDEX('#建筑消耗和buff配置索引'!BW:BW,MATCH($F351,'#建筑消耗和buff配置索引'!$M:$M,0))=0,"",INDEX('#建筑消耗和buff配置索引'!BW:BW,MATCH($F351,'#建筑消耗和buff配置索引'!$M:$M,0)))</f>
        <v/>
      </c>
      <c r="BE351" s="133" t="str">
        <f>IF(BD351="","",INDEX('#建筑消耗和buff配置索引'!BX:BX,MATCH($F351,'#建筑消耗和buff配置索引'!$M:$M,0)))</f>
        <v/>
      </c>
      <c r="BI351" s="133">
        <v>18</v>
      </c>
    </row>
    <row r="352" spans="1:61" s="133" customFormat="1">
      <c r="A352" s="133">
        <v>2270017</v>
      </c>
      <c r="B352" s="133">
        <v>349</v>
      </c>
      <c r="C352" s="133">
        <v>227</v>
      </c>
      <c r="D352" s="133" t="s">
        <v>940</v>
      </c>
      <c r="E352" s="133">
        <v>17</v>
      </c>
      <c r="F352" s="133" t="str">
        <f t="shared" si="7"/>
        <v>防卫塔17</v>
      </c>
      <c r="H352" s="146"/>
      <c r="I352" s="133">
        <v>2</v>
      </c>
      <c r="J352" s="150">
        <f>INDEX('#建筑消耗和buff配置索引'!AH:AH,MATCH($F352,'#建筑消耗和buff配置索引'!$M:$M,0))</f>
        <v>36000</v>
      </c>
      <c r="K352" s="150">
        <f>INDEX('#建筑消耗和buff配置索引'!AA:AA,MATCH($F352,'#建筑消耗和buff配置索引'!$M:$M,0))</f>
        <v>470000</v>
      </c>
      <c r="L352" s="150">
        <f>INDEX('#建筑消耗和buff配置索引'!AB:AB,MATCH($F352,'#建筑消耗和buff配置索引'!$M:$M,0))</f>
        <v>470000</v>
      </c>
      <c r="M352" s="150">
        <f>INDEX('#建筑消耗和buff配置索引'!AC:AC,MATCH($F352,'#建筑消耗和buff配置索引'!$M:$M,0))</f>
        <v>940000</v>
      </c>
      <c r="N352" s="150">
        <f>INDEX('#建筑消耗和buff配置索引'!AD:AD,MATCH($F352,'#建筑消耗和buff配置索引'!$M:$M,0))</f>
        <v>470000</v>
      </c>
      <c r="O352" s="150">
        <v>2068</v>
      </c>
      <c r="P352" s="133">
        <f>IF(INDEX('#建筑消耗和buff配置索引'!U:U,MATCH($F352,'#建筑消耗和buff配置索引'!$M:$M,0))=0,"",INDEX('#建筑消耗和buff配置索引'!U:U,MATCH($F352,'#建筑消耗和buff配置索引'!$M:$M,0)))</f>
        <v>105</v>
      </c>
      <c r="Q352" s="133" t="str">
        <f>IF(INDEX('#建筑消耗和buff配置索引'!K:K,MATCH($F352,'#建筑消耗和buff配置索引'!$M:$M,0))=0,"",INDEX('#建筑消耗和buff配置索引'!K:K,MATCH($F352,'#建筑消耗和buff配置索引'!$M:$M,0)))</f>
        <v>201;215</v>
      </c>
      <c r="R352" s="133" t="str">
        <f>IF(INDEX('#建筑消耗和buff配置索引'!L:L,MATCH($F352,'#建筑消耗和buff配置索引'!$M:$M,0))=0,"",INDEX('#建筑消耗和buff配置索引'!L:L,MATCH($F352,'#建筑消耗和buff配置索引'!$M:$M,0)))</f>
        <v>17;17</v>
      </c>
      <c r="S352" s="133">
        <f>IF(INDEX('#建筑消耗和buff配置索引'!C:C,MATCH(F352,'#建筑消耗和buff配置索引'!M:M,0))=0,1,INDEX('#建筑消耗和buff配置索引'!C:C,MATCH(F352,'#建筑消耗和buff配置索引'!M:M,0)))</f>
        <v>2</v>
      </c>
      <c r="T352" s="133">
        <v>0</v>
      </c>
      <c r="U352" s="133">
        <v>0</v>
      </c>
      <c r="V352" s="133" t="str">
        <f>IF(E352=1,IF(INDEX('#建筑消耗和buff配置索引'!BY:BY,MATCH(D352,'#建筑消耗和buff配置索引'!A:A,0))=0,"",INDEX('#建筑消耗和buff配置索引'!BY:BY,MATCH(D352,'#建筑消耗和buff配置索引'!A:A,0))),"")</f>
        <v/>
      </c>
      <c r="W352" s="133" t="str">
        <f>IF(E352=1,IF(INDEX('#建筑消耗和buff配置索引'!BZ:BZ,MATCH(D352,'#建筑消耗和buff配置索引'!A:A,0))=0,"",INDEX('#建筑消耗和buff配置索引'!BZ:BZ,MATCH(D352,'#建筑消耗和buff配置索引'!A:A,0))),"")</f>
        <v/>
      </c>
      <c r="AA352" s="133">
        <f>INDEX('#建筑消耗和buff配置索引'!AO:AO,MATCH($F352,'#建筑消耗和buff配置索引'!$M:$M,0))</f>
        <v>18702</v>
      </c>
      <c r="AB352" s="133">
        <f>IF(INDEX('#建筑消耗和buff配置索引'!AR:AR,MATCH($F352,'#建筑消耗和buff配置索引'!$M:$M,0))=0,"",INDEX('#建筑消耗和buff配置索引'!AR:AR,MATCH($F352,'#建筑消耗和buff配置索引'!$M:$M,0)))</f>
        <v>4207</v>
      </c>
      <c r="AC352" s="133">
        <f>IF(AB352="","",INDEX('#建筑消耗和buff配置索引'!AS:AS,MATCH($F352,'#建筑消耗和buff配置索引'!$M:$M,0)))</f>
        <v>940</v>
      </c>
      <c r="AF352" s="133" t="str">
        <f>IF(INDEX('#建筑消耗和buff配置索引'!AW:AW,MATCH($F352,'#建筑消耗和buff配置索引'!$M:$M,0))=0,"",INDEX('#建筑消耗和buff配置索引'!AW:AW,MATCH($F352,'#建筑消耗和buff配置索引'!$M:$M,0)))</f>
        <v/>
      </c>
      <c r="AG352" s="133" t="str">
        <f>IF(AF352="","",INDEX('#建筑消耗和buff配置索引'!AX:AX,MATCH($F352,'#建筑消耗和buff配置索引'!$M:$M,0)))</f>
        <v/>
      </c>
      <c r="AJ352" s="133" t="str">
        <f>IF(INDEX('#建筑消耗和buff配置索引'!BB:BB,MATCH($F352,'#建筑消耗和buff配置索引'!$M:$M,0))=0,"",INDEX('#建筑消耗和buff配置索引'!BB:BB,MATCH($F352,'#建筑消耗和buff配置索引'!$M:$M,0)))</f>
        <v/>
      </c>
      <c r="AK352" s="133" t="str">
        <f>IF(AJ352="","",INDEX('#建筑消耗和buff配置索引'!BC:BC,MATCH($F352,'#建筑消耗和buff配置索引'!$M:$M,0)))</f>
        <v/>
      </c>
      <c r="AN352" s="133" t="str">
        <f>IF(INDEX('#建筑消耗和buff配置索引'!BG:BG,MATCH($F352,'#建筑消耗和buff配置索引'!$M:$M,0))=0,"",INDEX('#建筑消耗和buff配置索引'!BG:BG,MATCH($F352,'#建筑消耗和buff配置索引'!$M:$M,0)))</f>
        <v/>
      </c>
      <c r="AO352" s="133" t="str">
        <f>IF(AN352="","",INDEX('#建筑消耗和buff配置索引'!BH:BH,MATCH($F352,'#建筑消耗和buff配置索引'!$M:$M,0)))</f>
        <v/>
      </c>
      <c r="AR352" s="133" t="str">
        <f>IF(INDEX('#建筑消耗和buff配置索引'!BK:BK,MATCH($F352,'#建筑消耗和buff配置索引'!$M:$M,0))=0,"",INDEX('#建筑消耗和buff配置索引'!BK:BK,MATCH($F352,'#建筑消耗和buff配置索引'!$M:$M,0)))</f>
        <v/>
      </c>
      <c r="AS352" s="133" t="str">
        <f>IF(AR352="","",INDEX('#建筑消耗和buff配置索引'!BL:BL,MATCH($F352,'#建筑消耗和buff配置索引'!$M:$M,0)))</f>
        <v/>
      </c>
      <c r="AV352" s="133" t="str">
        <f>IF(INDEX('#建筑消耗和buff配置索引'!BO:BO,MATCH($F352,'#建筑消耗和buff配置索引'!$M:$M,0))=0,"",INDEX('#建筑消耗和buff配置索引'!BO:BO,MATCH($F352,'#建筑消耗和buff配置索引'!$M:$M,0)))</f>
        <v/>
      </c>
      <c r="AW352" s="133" t="str">
        <f>IF(AV352="","",INDEX('#建筑消耗和buff配置索引'!BP:BP,MATCH($F352,'#建筑消耗和buff配置索引'!$M:$M,0)))</f>
        <v/>
      </c>
      <c r="AZ352" s="133" t="str">
        <f>IF(INDEX('#建筑消耗和buff配置索引'!BS:BS,MATCH($F352,'#建筑消耗和buff配置索引'!$M:$M,0))=0,"",INDEX('#建筑消耗和buff配置索引'!BS:BS,MATCH($F352,'#建筑消耗和buff配置索引'!$M:$M,0)))</f>
        <v/>
      </c>
      <c r="BA352" s="133" t="str">
        <f>IF(AZ352="","",INDEX('#建筑消耗和buff配置索引'!BT:BT,MATCH($F352,'#建筑消耗和buff配置索引'!$M:$M,0)))</f>
        <v/>
      </c>
      <c r="BD352" s="133" t="str">
        <f>IF(INDEX('#建筑消耗和buff配置索引'!BW:BW,MATCH($F352,'#建筑消耗和buff配置索引'!$M:$M,0))=0,"",INDEX('#建筑消耗和buff配置索引'!BW:BW,MATCH($F352,'#建筑消耗和buff配置索引'!$M:$M,0)))</f>
        <v/>
      </c>
      <c r="BE352" s="133" t="str">
        <f>IF(BD352="","",INDEX('#建筑消耗和buff配置索引'!BX:BX,MATCH($F352,'#建筑消耗和buff配置索引'!$M:$M,0)))</f>
        <v/>
      </c>
      <c r="BI352" s="133">
        <v>18</v>
      </c>
    </row>
    <row r="353" spans="1:66" s="133" customFormat="1">
      <c r="A353" s="133">
        <v>2270018</v>
      </c>
      <c r="B353" s="133">
        <v>350</v>
      </c>
      <c r="C353" s="133">
        <v>227</v>
      </c>
      <c r="D353" s="133" t="s">
        <v>940</v>
      </c>
      <c r="E353" s="133">
        <v>18</v>
      </c>
      <c r="F353" s="133" t="str">
        <f t="shared" si="7"/>
        <v>防卫塔18</v>
      </c>
      <c r="H353" s="146"/>
      <c r="I353" s="133">
        <v>2</v>
      </c>
      <c r="J353" s="150">
        <f>INDEX('#建筑消耗和buff配置索引'!AH:AH,MATCH($F353,'#建筑消耗和buff配置索引'!$M:$M,0))</f>
        <v>46800</v>
      </c>
      <c r="K353" s="150">
        <f>INDEX('#建筑消耗和buff配置索引'!AA:AA,MATCH($F353,'#建筑消耗和buff配置索引'!$M:$M,0))</f>
        <v>600000</v>
      </c>
      <c r="L353" s="150">
        <f>INDEX('#建筑消耗和buff配置索引'!AB:AB,MATCH($F353,'#建筑消耗和buff配置索引'!$M:$M,0))</f>
        <v>600000</v>
      </c>
      <c r="M353" s="150">
        <f>INDEX('#建筑消耗和buff配置索引'!AC:AC,MATCH($F353,'#建筑消耗和buff配置索引'!$M:$M,0))</f>
        <v>1200000</v>
      </c>
      <c r="N353" s="150">
        <f>INDEX('#建筑消耗和buff配置索引'!AD:AD,MATCH($F353,'#建筑消耗和buff配置索引'!$M:$M,0))</f>
        <v>600000</v>
      </c>
      <c r="O353" s="150">
        <v>2068</v>
      </c>
      <c r="P353" s="133">
        <f>IF(INDEX('#建筑消耗和buff配置索引'!U:U,MATCH($F353,'#建筑消耗和buff配置索引'!$M:$M,0))=0,"",INDEX('#建筑消耗和buff配置索引'!U:U,MATCH($F353,'#建筑消耗和buff配置索引'!$M:$M,0)))</f>
        <v>120</v>
      </c>
      <c r="Q353" s="133" t="str">
        <f>IF(INDEX('#建筑消耗和buff配置索引'!K:K,MATCH($F353,'#建筑消耗和buff配置索引'!$M:$M,0))=0,"",INDEX('#建筑消耗和buff配置索引'!K:K,MATCH($F353,'#建筑消耗和buff配置索引'!$M:$M,0)))</f>
        <v>201;215</v>
      </c>
      <c r="R353" s="133" t="str">
        <f>IF(INDEX('#建筑消耗和buff配置索引'!L:L,MATCH($F353,'#建筑消耗和buff配置索引'!$M:$M,0))=0,"",INDEX('#建筑消耗和buff配置索引'!L:L,MATCH($F353,'#建筑消耗和buff配置索引'!$M:$M,0)))</f>
        <v>18;18</v>
      </c>
      <c r="S353" s="133">
        <f>IF(INDEX('#建筑消耗和buff配置索引'!C:C,MATCH(F353,'#建筑消耗和buff配置索引'!M:M,0))=0,1,INDEX('#建筑消耗和buff配置索引'!C:C,MATCH(F353,'#建筑消耗和buff配置索引'!M:M,0)))</f>
        <v>2</v>
      </c>
      <c r="T353" s="133">
        <v>0</v>
      </c>
      <c r="U353" s="133">
        <v>0</v>
      </c>
      <c r="V353" s="133" t="str">
        <f>IF(E353=1,IF(INDEX('#建筑消耗和buff配置索引'!BY:BY,MATCH(D353,'#建筑消耗和buff配置索引'!A:A,0))=0,"",INDEX('#建筑消耗和buff配置索引'!BY:BY,MATCH(D353,'#建筑消耗和buff配置索引'!A:A,0))),"")</f>
        <v/>
      </c>
      <c r="W353" s="133" t="str">
        <f>IF(E353=1,IF(INDEX('#建筑消耗和buff配置索引'!BZ:BZ,MATCH(D353,'#建筑消耗和buff配置索引'!A:A,0))=0,"",INDEX('#建筑消耗和buff配置索引'!BZ:BZ,MATCH(D353,'#建筑消耗和buff配置索引'!A:A,0))),"")</f>
        <v/>
      </c>
      <c r="AA353" s="133">
        <f>INDEX('#建筑消耗和buff配置索引'!AO:AO,MATCH($F353,'#建筑消耗和buff配置索引'!$M:$M,0))</f>
        <v>24693</v>
      </c>
      <c r="AB353" s="133">
        <f>IF(INDEX('#建筑消耗和buff配置索引'!AR:AR,MATCH($F353,'#建筑消耗和buff配置索引'!$M:$M,0))=0,"",INDEX('#建筑消耗和buff配置索引'!AR:AR,MATCH($F353,'#建筑消耗和buff配置索引'!$M:$M,0)))</f>
        <v>4207</v>
      </c>
      <c r="AC353" s="133">
        <f>IF(AB353="","",INDEX('#建筑消耗和buff配置索引'!AS:AS,MATCH($F353,'#建筑消耗和buff配置索引'!$M:$M,0)))</f>
        <v>1020</v>
      </c>
      <c r="AF353" s="133" t="str">
        <f>IF(INDEX('#建筑消耗和buff配置索引'!AW:AW,MATCH($F353,'#建筑消耗和buff配置索引'!$M:$M,0))=0,"",INDEX('#建筑消耗和buff配置索引'!AW:AW,MATCH($F353,'#建筑消耗和buff配置索引'!$M:$M,0)))</f>
        <v/>
      </c>
      <c r="AG353" s="133" t="str">
        <f>IF(AF353="","",INDEX('#建筑消耗和buff配置索引'!AX:AX,MATCH($F353,'#建筑消耗和buff配置索引'!$M:$M,0)))</f>
        <v/>
      </c>
      <c r="AJ353" s="133" t="str">
        <f>IF(INDEX('#建筑消耗和buff配置索引'!BB:BB,MATCH($F353,'#建筑消耗和buff配置索引'!$M:$M,0))=0,"",INDEX('#建筑消耗和buff配置索引'!BB:BB,MATCH($F353,'#建筑消耗和buff配置索引'!$M:$M,0)))</f>
        <v/>
      </c>
      <c r="AK353" s="133" t="str">
        <f>IF(AJ353="","",INDEX('#建筑消耗和buff配置索引'!BC:BC,MATCH($F353,'#建筑消耗和buff配置索引'!$M:$M,0)))</f>
        <v/>
      </c>
      <c r="AN353" s="133" t="str">
        <f>IF(INDEX('#建筑消耗和buff配置索引'!BG:BG,MATCH($F353,'#建筑消耗和buff配置索引'!$M:$M,0))=0,"",INDEX('#建筑消耗和buff配置索引'!BG:BG,MATCH($F353,'#建筑消耗和buff配置索引'!$M:$M,0)))</f>
        <v/>
      </c>
      <c r="AO353" s="133" t="str">
        <f>IF(AN353="","",INDEX('#建筑消耗和buff配置索引'!BH:BH,MATCH($F353,'#建筑消耗和buff配置索引'!$M:$M,0)))</f>
        <v/>
      </c>
      <c r="AR353" s="133" t="str">
        <f>IF(INDEX('#建筑消耗和buff配置索引'!BK:BK,MATCH($F353,'#建筑消耗和buff配置索引'!$M:$M,0))=0,"",INDEX('#建筑消耗和buff配置索引'!BK:BK,MATCH($F353,'#建筑消耗和buff配置索引'!$M:$M,0)))</f>
        <v/>
      </c>
      <c r="AS353" s="133" t="str">
        <f>IF(AR353="","",INDEX('#建筑消耗和buff配置索引'!BL:BL,MATCH($F353,'#建筑消耗和buff配置索引'!$M:$M,0)))</f>
        <v/>
      </c>
      <c r="AV353" s="133" t="str">
        <f>IF(INDEX('#建筑消耗和buff配置索引'!BO:BO,MATCH($F353,'#建筑消耗和buff配置索引'!$M:$M,0))=0,"",INDEX('#建筑消耗和buff配置索引'!BO:BO,MATCH($F353,'#建筑消耗和buff配置索引'!$M:$M,0)))</f>
        <v/>
      </c>
      <c r="AW353" s="133" t="str">
        <f>IF(AV353="","",INDEX('#建筑消耗和buff配置索引'!BP:BP,MATCH($F353,'#建筑消耗和buff配置索引'!$M:$M,0)))</f>
        <v/>
      </c>
      <c r="AZ353" s="133" t="str">
        <f>IF(INDEX('#建筑消耗和buff配置索引'!BS:BS,MATCH($F353,'#建筑消耗和buff配置索引'!$M:$M,0))=0,"",INDEX('#建筑消耗和buff配置索引'!BS:BS,MATCH($F353,'#建筑消耗和buff配置索引'!$M:$M,0)))</f>
        <v/>
      </c>
      <c r="BA353" s="133" t="str">
        <f>IF(AZ353="","",INDEX('#建筑消耗和buff配置索引'!BT:BT,MATCH($F353,'#建筑消耗和buff配置索引'!$M:$M,0)))</f>
        <v/>
      </c>
      <c r="BD353" s="133" t="str">
        <f>IF(INDEX('#建筑消耗和buff配置索引'!BW:BW,MATCH($F353,'#建筑消耗和buff配置索引'!$M:$M,0))=0,"",INDEX('#建筑消耗和buff配置索引'!BW:BW,MATCH($F353,'#建筑消耗和buff配置索引'!$M:$M,0)))</f>
        <v/>
      </c>
      <c r="BE353" s="133" t="str">
        <f>IF(BD353="","",INDEX('#建筑消耗和buff配置索引'!BX:BX,MATCH($F353,'#建筑消耗和buff配置索引'!$M:$M,0)))</f>
        <v/>
      </c>
      <c r="BI353" s="133">
        <v>18</v>
      </c>
    </row>
    <row r="354" spans="1:66" s="133" customFormat="1">
      <c r="A354" s="133">
        <v>2270019</v>
      </c>
      <c r="B354" s="133">
        <v>351</v>
      </c>
      <c r="C354" s="133">
        <v>227</v>
      </c>
      <c r="D354" s="133" t="s">
        <v>940</v>
      </c>
      <c r="E354" s="133">
        <v>19</v>
      </c>
      <c r="F354" s="133" t="str">
        <f t="shared" si="7"/>
        <v>防卫塔19</v>
      </c>
      <c r="H354" s="146"/>
      <c r="I354" s="133">
        <v>2</v>
      </c>
      <c r="J354" s="150">
        <f>INDEX('#建筑消耗和buff配置索引'!AH:AH,MATCH($F354,'#建筑消耗和buff配置索引'!$M:$M,0))</f>
        <v>61200</v>
      </c>
      <c r="K354" s="150">
        <f>INDEX('#建筑消耗和buff配置索引'!AA:AA,MATCH($F354,'#建筑消耗和buff配置索引'!$M:$M,0))</f>
        <v>770000</v>
      </c>
      <c r="L354" s="150">
        <f>INDEX('#建筑消耗和buff配置索引'!AB:AB,MATCH($F354,'#建筑消耗和buff配置索引'!$M:$M,0))</f>
        <v>770000</v>
      </c>
      <c r="M354" s="150">
        <f>INDEX('#建筑消耗和buff配置索引'!AC:AC,MATCH($F354,'#建筑消耗和buff配置索引'!$M:$M,0))</f>
        <v>1500000</v>
      </c>
      <c r="N354" s="150">
        <f>INDEX('#建筑消耗和buff配置索引'!AD:AD,MATCH($F354,'#建筑消耗和buff配置索引'!$M:$M,0))</f>
        <v>770000</v>
      </c>
      <c r="O354" s="150">
        <v>2068</v>
      </c>
      <c r="P354" s="133">
        <f>IF(INDEX('#建筑消耗和buff配置索引'!U:U,MATCH($F354,'#建筑消耗和buff配置索引'!$M:$M,0))=0,"",INDEX('#建筑消耗和buff配置索引'!U:U,MATCH($F354,'#建筑消耗和buff配置索引'!$M:$M,0)))</f>
        <v>135</v>
      </c>
      <c r="Q354" s="133" t="str">
        <f>IF(INDEX('#建筑消耗和buff配置索引'!K:K,MATCH($F354,'#建筑消耗和buff配置索引'!$M:$M,0))=0,"",INDEX('#建筑消耗和buff配置索引'!K:K,MATCH($F354,'#建筑消耗和buff配置索引'!$M:$M,0)))</f>
        <v>201;215</v>
      </c>
      <c r="R354" s="133" t="str">
        <f>IF(INDEX('#建筑消耗和buff配置索引'!L:L,MATCH($F354,'#建筑消耗和buff配置索引'!$M:$M,0))=0,"",INDEX('#建筑消耗和buff配置索引'!L:L,MATCH($F354,'#建筑消耗和buff配置索引'!$M:$M,0)))</f>
        <v>19;19</v>
      </c>
      <c r="S354" s="133">
        <f>IF(INDEX('#建筑消耗和buff配置索引'!C:C,MATCH(F354,'#建筑消耗和buff配置索引'!M:M,0))=0,1,INDEX('#建筑消耗和buff配置索引'!C:C,MATCH(F354,'#建筑消耗和buff配置索引'!M:M,0)))</f>
        <v>2</v>
      </c>
      <c r="T354" s="133">
        <v>0</v>
      </c>
      <c r="U354" s="133">
        <v>0</v>
      </c>
      <c r="V354" s="133" t="str">
        <f>IF(E354=1,IF(INDEX('#建筑消耗和buff配置索引'!BY:BY,MATCH(D354,'#建筑消耗和buff配置索引'!A:A,0))=0,"",INDEX('#建筑消耗和buff配置索引'!BY:BY,MATCH(D354,'#建筑消耗和buff配置索引'!A:A,0))),"")</f>
        <v/>
      </c>
      <c r="W354" s="133" t="str">
        <f>IF(E354=1,IF(INDEX('#建筑消耗和buff配置索引'!BZ:BZ,MATCH(D354,'#建筑消耗和buff配置索引'!A:A,0))=0,"",INDEX('#建筑消耗和buff配置索引'!BZ:BZ,MATCH(D354,'#建筑消耗和buff配置索引'!A:A,0))),"")</f>
        <v/>
      </c>
      <c r="AA354" s="133">
        <f>INDEX('#建筑消耗和buff配置索引'!AO:AO,MATCH($F354,'#建筑消耗和buff配置索引'!$M:$M,0))</f>
        <v>32361</v>
      </c>
      <c r="AB354" s="133">
        <f>IF(INDEX('#建筑消耗和buff配置索引'!AR:AR,MATCH($F354,'#建筑消耗和buff配置索引'!$M:$M,0))=0,"",INDEX('#建筑消耗和buff配置索引'!AR:AR,MATCH($F354,'#建筑消耗和buff配置索引'!$M:$M,0)))</f>
        <v>4207</v>
      </c>
      <c r="AC354" s="133">
        <f>IF(AB354="","",INDEX('#建筑消耗和buff配置索引'!AS:AS,MATCH($F354,'#建筑消耗和buff配置索引'!$M:$M,0)))</f>
        <v>1100</v>
      </c>
      <c r="AF354" s="133" t="str">
        <f>IF(INDEX('#建筑消耗和buff配置索引'!AW:AW,MATCH($F354,'#建筑消耗和buff配置索引'!$M:$M,0))=0,"",INDEX('#建筑消耗和buff配置索引'!AW:AW,MATCH($F354,'#建筑消耗和buff配置索引'!$M:$M,0)))</f>
        <v/>
      </c>
      <c r="AG354" s="133" t="str">
        <f>IF(AF354="","",INDEX('#建筑消耗和buff配置索引'!AX:AX,MATCH($F354,'#建筑消耗和buff配置索引'!$M:$M,0)))</f>
        <v/>
      </c>
      <c r="AJ354" s="133" t="str">
        <f>IF(INDEX('#建筑消耗和buff配置索引'!BB:BB,MATCH($F354,'#建筑消耗和buff配置索引'!$M:$M,0))=0,"",INDEX('#建筑消耗和buff配置索引'!BB:BB,MATCH($F354,'#建筑消耗和buff配置索引'!$M:$M,0)))</f>
        <v/>
      </c>
      <c r="AK354" s="133" t="str">
        <f>IF(AJ354="","",INDEX('#建筑消耗和buff配置索引'!BC:BC,MATCH($F354,'#建筑消耗和buff配置索引'!$M:$M,0)))</f>
        <v/>
      </c>
      <c r="AN354" s="133" t="str">
        <f>IF(INDEX('#建筑消耗和buff配置索引'!BG:BG,MATCH($F354,'#建筑消耗和buff配置索引'!$M:$M,0))=0,"",INDEX('#建筑消耗和buff配置索引'!BG:BG,MATCH($F354,'#建筑消耗和buff配置索引'!$M:$M,0)))</f>
        <v/>
      </c>
      <c r="AO354" s="133" t="str">
        <f>IF(AN354="","",INDEX('#建筑消耗和buff配置索引'!BH:BH,MATCH($F354,'#建筑消耗和buff配置索引'!$M:$M,0)))</f>
        <v/>
      </c>
      <c r="AR354" s="133" t="str">
        <f>IF(INDEX('#建筑消耗和buff配置索引'!BK:BK,MATCH($F354,'#建筑消耗和buff配置索引'!$M:$M,0))=0,"",INDEX('#建筑消耗和buff配置索引'!BK:BK,MATCH($F354,'#建筑消耗和buff配置索引'!$M:$M,0)))</f>
        <v/>
      </c>
      <c r="AS354" s="133" t="str">
        <f>IF(AR354="","",INDEX('#建筑消耗和buff配置索引'!BL:BL,MATCH($F354,'#建筑消耗和buff配置索引'!$M:$M,0)))</f>
        <v/>
      </c>
      <c r="AV354" s="133" t="str">
        <f>IF(INDEX('#建筑消耗和buff配置索引'!BO:BO,MATCH($F354,'#建筑消耗和buff配置索引'!$M:$M,0))=0,"",INDEX('#建筑消耗和buff配置索引'!BO:BO,MATCH($F354,'#建筑消耗和buff配置索引'!$M:$M,0)))</f>
        <v/>
      </c>
      <c r="AW354" s="133" t="str">
        <f>IF(AV354="","",INDEX('#建筑消耗和buff配置索引'!BP:BP,MATCH($F354,'#建筑消耗和buff配置索引'!$M:$M,0)))</f>
        <v/>
      </c>
      <c r="AZ354" s="133" t="str">
        <f>IF(INDEX('#建筑消耗和buff配置索引'!BS:BS,MATCH($F354,'#建筑消耗和buff配置索引'!$M:$M,0))=0,"",INDEX('#建筑消耗和buff配置索引'!BS:BS,MATCH($F354,'#建筑消耗和buff配置索引'!$M:$M,0)))</f>
        <v/>
      </c>
      <c r="BA354" s="133" t="str">
        <f>IF(AZ354="","",INDEX('#建筑消耗和buff配置索引'!BT:BT,MATCH($F354,'#建筑消耗和buff配置索引'!$M:$M,0)))</f>
        <v/>
      </c>
      <c r="BD354" s="133" t="str">
        <f>IF(INDEX('#建筑消耗和buff配置索引'!BW:BW,MATCH($F354,'#建筑消耗和buff配置索引'!$M:$M,0))=0,"",INDEX('#建筑消耗和buff配置索引'!BW:BW,MATCH($F354,'#建筑消耗和buff配置索引'!$M:$M,0)))</f>
        <v/>
      </c>
      <c r="BE354" s="133" t="str">
        <f>IF(BD354="","",INDEX('#建筑消耗和buff配置索引'!BX:BX,MATCH($F354,'#建筑消耗和buff配置索引'!$M:$M,0)))</f>
        <v/>
      </c>
      <c r="BI354" s="133">
        <v>18</v>
      </c>
    </row>
    <row r="355" spans="1:66" s="133" customFormat="1">
      <c r="A355" s="133">
        <v>2270020</v>
      </c>
      <c r="B355" s="133">
        <v>352</v>
      </c>
      <c r="C355" s="133">
        <v>227</v>
      </c>
      <c r="D355" s="133" t="s">
        <v>940</v>
      </c>
      <c r="E355" s="133">
        <v>20</v>
      </c>
      <c r="F355" s="133" t="str">
        <f t="shared" si="7"/>
        <v>防卫塔20</v>
      </c>
      <c r="H355" s="146"/>
      <c r="I355" s="133">
        <v>3</v>
      </c>
      <c r="J355" s="150">
        <f>INDEX('#建筑消耗和buff配置索引'!AH:AH,MATCH($F355,'#建筑消耗和buff配置索引'!$M:$M,0))</f>
        <v>86400</v>
      </c>
      <c r="K355" s="150">
        <f>INDEX('#建筑消耗和buff配置索引'!AA:AA,MATCH($F355,'#建筑消耗和buff配置索引'!$M:$M,0))</f>
        <v>980000</v>
      </c>
      <c r="L355" s="150">
        <f>INDEX('#建筑消耗和buff配置索引'!AB:AB,MATCH($F355,'#建筑消耗和buff配置索引'!$M:$M,0))</f>
        <v>980000</v>
      </c>
      <c r="M355" s="150">
        <f>INDEX('#建筑消耗和buff配置索引'!AC:AC,MATCH($F355,'#建筑消耗和buff配置索引'!$M:$M,0))</f>
        <v>2000000</v>
      </c>
      <c r="N355" s="150">
        <f>INDEX('#建筑消耗和buff配置索引'!AD:AD,MATCH($F355,'#建筑消耗和buff配置索引'!$M:$M,0))</f>
        <v>980000</v>
      </c>
      <c r="O355" s="150">
        <v>2068</v>
      </c>
      <c r="P355" s="133">
        <f>IF(INDEX('#建筑消耗和buff配置索引'!U:U,MATCH($F355,'#建筑消耗和buff配置索引'!$M:$M,0))=0,"",INDEX('#建筑消耗和buff配置索引'!U:U,MATCH($F355,'#建筑消耗和buff配置索引'!$M:$M,0)))</f>
        <v>150</v>
      </c>
      <c r="Q355" s="133" t="str">
        <f>IF(INDEX('#建筑消耗和buff配置索引'!K:K,MATCH($F355,'#建筑消耗和buff配置索引'!$M:$M,0))=0,"",INDEX('#建筑消耗和buff配置索引'!K:K,MATCH($F355,'#建筑消耗和buff配置索引'!$M:$M,0)))</f>
        <v>201;215</v>
      </c>
      <c r="R355" s="133" t="str">
        <f>IF(INDEX('#建筑消耗和buff配置索引'!L:L,MATCH($F355,'#建筑消耗和buff配置索引'!$M:$M,0))=0,"",INDEX('#建筑消耗和buff配置索引'!L:L,MATCH($F355,'#建筑消耗和buff配置索引'!$M:$M,0)))</f>
        <v>20;20</v>
      </c>
      <c r="S355" s="133">
        <f>IF(INDEX('#建筑消耗和buff配置索引'!C:C,MATCH(F355,'#建筑消耗和buff配置索引'!M:M,0))=0,1,INDEX('#建筑消耗和buff配置索引'!C:C,MATCH(F355,'#建筑消耗和buff配置索引'!M:M,0)))</f>
        <v>2</v>
      </c>
      <c r="T355" s="133">
        <v>0</v>
      </c>
      <c r="U355" s="133">
        <v>0</v>
      </c>
      <c r="V355" s="133" t="str">
        <f>IF(E355=1,IF(INDEX('#建筑消耗和buff配置索引'!BY:BY,MATCH(D355,'#建筑消耗和buff配置索引'!A:A,0))=0,"",INDEX('#建筑消耗和buff配置索引'!BY:BY,MATCH(D355,'#建筑消耗和buff配置索引'!A:A,0))),"")</f>
        <v/>
      </c>
      <c r="W355" s="133" t="str">
        <f>IF(E355=1,IF(INDEX('#建筑消耗和buff配置索引'!BZ:BZ,MATCH(D355,'#建筑消耗和buff配置索引'!A:A,0))=0,"",INDEX('#建筑消耗和buff配置索引'!BZ:BZ,MATCH(D355,'#建筑消耗和buff配置索引'!A:A,0))),"")</f>
        <v/>
      </c>
      <c r="AA355" s="133">
        <f>INDEX('#建筑消耗和buff配置索引'!AO:AO,MATCH($F355,'#建筑消耗和buff配置索引'!$M:$M,0))</f>
        <v>42176</v>
      </c>
      <c r="AB355" s="133">
        <f>IF(INDEX('#建筑消耗和buff配置索引'!AR:AR,MATCH($F355,'#建筑消耗和buff配置索引'!$M:$M,0))=0,"",INDEX('#建筑消耗和buff配置索引'!AR:AR,MATCH($F355,'#建筑消耗和buff配置索引'!$M:$M,0)))</f>
        <v>4207</v>
      </c>
      <c r="AC355" s="133">
        <f>IF(AB355="","",INDEX('#建筑消耗和buff配置索引'!AS:AS,MATCH($F355,'#建筑消耗和buff配置索引'!$M:$M,0)))</f>
        <v>1200</v>
      </c>
      <c r="AF355" s="133" t="str">
        <f>IF(INDEX('#建筑消耗和buff配置索引'!AW:AW,MATCH($F355,'#建筑消耗和buff配置索引'!$M:$M,0))=0,"",INDEX('#建筑消耗和buff配置索引'!AW:AW,MATCH($F355,'#建筑消耗和buff配置索引'!$M:$M,0)))</f>
        <v/>
      </c>
      <c r="AG355" s="133" t="str">
        <f>IF(AF355="","",INDEX('#建筑消耗和buff配置索引'!AX:AX,MATCH($F355,'#建筑消耗和buff配置索引'!$M:$M,0)))</f>
        <v/>
      </c>
      <c r="AJ355" s="133" t="str">
        <f>IF(INDEX('#建筑消耗和buff配置索引'!BB:BB,MATCH($F355,'#建筑消耗和buff配置索引'!$M:$M,0))=0,"",INDEX('#建筑消耗和buff配置索引'!BB:BB,MATCH($F355,'#建筑消耗和buff配置索引'!$M:$M,0)))</f>
        <v/>
      </c>
      <c r="AK355" s="133" t="str">
        <f>IF(AJ355="","",INDEX('#建筑消耗和buff配置索引'!BC:BC,MATCH($F355,'#建筑消耗和buff配置索引'!$M:$M,0)))</f>
        <v/>
      </c>
      <c r="AN355" s="133" t="str">
        <f>IF(INDEX('#建筑消耗和buff配置索引'!BG:BG,MATCH($F355,'#建筑消耗和buff配置索引'!$M:$M,0))=0,"",INDEX('#建筑消耗和buff配置索引'!BG:BG,MATCH($F355,'#建筑消耗和buff配置索引'!$M:$M,0)))</f>
        <v/>
      </c>
      <c r="AO355" s="133" t="str">
        <f>IF(AN355="","",INDEX('#建筑消耗和buff配置索引'!BH:BH,MATCH($F355,'#建筑消耗和buff配置索引'!$M:$M,0)))</f>
        <v/>
      </c>
      <c r="AR355" s="133" t="str">
        <f>IF(INDEX('#建筑消耗和buff配置索引'!BK:BK,MATCH($F355,'#建筑消耗和buff配置索引'!$M:$M,0))=0,"",INDEX('#建筑消耗和buff配置索引'!BK:BK,MATCH($F355,'#建筑消耗和buff配置索引'!$M:$M,0)))</f>
        <v/>
      </c>
      <c r="AS355" s="133" t="str">
        <f>IF(AR355="","",INDEX('#建筑消耗和buff配置索引'!BL:BL,MATCH($F355,'#建筑消耗和buff配置索引'!$M:$M,0)))</f>
        <v/>
      </c>
      <c r="AV355" s="133" t="str">
        <f>IF(INDEX('#建筑消耗和buff配置索引'!BO:BO,MATCH($F355,'#建筑消耗和buff配置索引'!$M:$M,0))=0,"",INDEX('#建筑消耗和buff配置索引'!BO:BO,MATCH($F355,'#建筑消耗和buff配置索引'!$M:$M,0)))</f>
        <v/>
      </c>
      <c r="AW355" s="133" t="str">
        <f>IF(AV355="","",INDEX('#建筑消耗和buff配置索引'!BP:BP,MATCH($F355,'#建筑消耗和buff配置索引'!$M:$M,0)))</f>
        <v/>
      </c>
      <c r="AZ355" s="133" t="str">
        <f>IF(INDEX('#建筑消耗和buff配置索引'!BS:BS,MATCH($F355,'#建筑消耗和buff配置索引'!$M:$M,0))=0,"",INDEX('#建筑消耗和buff配置索引'!BS:BS,MATCH($F355,'#建筑消耗和buff配置索引'!$M:$M,0)))</f>
        <v/>
      </c>
      <c r="BA355" s="133" t="str">
        <f>IF(AZ355="","",INDEX('#建筑消耗和buff配置索引'!BT:BT,MATCH($F355,'#建筑消耗和buff配置索引'!$M:$M,0)))</f>
        <v/>
      </c>
      <c r="BD355" s="133" t="str">
        <f>IF(INDEX('#建筑消耗和buff配置索引'!BW:BW,MATCH($F355,'#建筑消耗和buff配置索引'!$M:$M,0))=0,"",INDEX('#建筑消耗和buff配置索引'!BW:BW,MATCH($F355,'#建筑消耗和buff配置索引'!$M:$M,0)))</f>
        <v/>
      </c>
      <c r="BE355" s="133" t="str">
        <f>IF(BD355="","",INDEX('#建筑消耗和buff配置索引'!BX:BX,MATCH($F355,'#建筑消耗和buff配置索引'!$M:$M,0)))</f>
        <v/>
      </c>
      <c r="BI355" s="133">
        <v>18</v>
      </c>
    </row>
    <row r="356" spans="1:66" s="133" customFormat="1">
      <c r="A356" s="133">
        <v>2270021</v>
      </c>
      <c r="B356" s="133">
        <v>353</v>
      </c>
      <c r="C356" s="133">
        <v>227</v>
      </c>
      <c r="D356" s="133" t="s">
        <v>940</v>
      </c>
      <c r="E356" s="133">
        <v>21</v>
      </c>
      <c r="F356" s="133" t="str">
        <f t="shared" si="7"/>
        <v>防卫塔21</v>
      </c>
      <c r="H356" s="146"/>
      <c r="I356" s="133">
        <v>3</v>
      </c>
      <c r="J356" s="150">
        <f>INDEX('#建筑消耗和buff配置索引'!AH:AH,MATCH($F356,'#建筑消耗和buff配置索引'!$M:$M,0))</f>
        <v>115200</v>
      </c>
      <c r="K356" s="150">
        <f>INDEX('#建筑消耗和buff配置索引'!AA:AA,MATCH($F356,'#建筑消耗和buff配置索引'!$M:$M,0))</f>
        <v>1300000</v>
      </c>
      <c r="L356" s="150">
        <f>INDEX('#建筑消耗和buff配置索引'!AB:AB,MATCH($F356,'#建筑消耗和buff配置索引'!$M:$M,0))</f>
        <v>1300000</v>
      </c>
      <c r="M356" s="150">
        <f>INDEX('#建筑消耗和buff配置索引'!AC:AC,MATCH($F356,'#建筑消耗和buff配置索引'!$M:$M,0))</f>
        <v>2500000</v>
      </c>
      <c r="N356" s="150">
        <f>INDEX('#建筑消耗和buff配置索引'!AD:AD,MATCH($F356,'#建筑消耗和buff配置索引'!$M:$M,0))</f>
        <v>1300000</v>
      </c>
      <c r="O356" s="150">
        <v>2068</v>
      </c>
      <c r="P356" s="133">
        <f>IF(INDEX('#建筑消耗和buff配置索引'!U:U,MATCH($F356,'#建筑消耗和buff配置索引'!$M:$M,0))=0,"",INDEX('#建筑消耗和buff配置索引'!U:U,MATCH($F356,'#建筑消耗和buff配置索引'!$M:$M,0)))</f>
        <v>170</v>
      </c>
      <c r="Q356" s="133" t="str">
        <f>IF(INDEX('#建筑消耗和buff配置索引'!K:K,MATCH($F356,'#建筑消耗和buff配置索引'!$M:$M,0))=0,"",INDEX('#建筑消耗和buff配置索引'!K:K,MATCH($F356,'#建筑消耗和buff配置索引'!$M:$M,0)))</f>
        <v>201;215</v>
      </c>
      <c r="R356" s="133" t="str">
        <f>IF(INDEX('#建筑消耗和buff配置索引'!L:L,MATCH($F356,'#建筑消耗和buff配置索引'!$M:$M,0))=0,"",INDEX('#建筑消耗和buff配置索引'!L:L,MATCH($F356,'#建筑消耗和buff配置索引'!$M:$M,0)))</f>
        <v>21;21</v>
      </c>
      <c r="S356" s="133">
        <f>IF(INDEX('#建筑消耗和buff配置索引'!C:C,MATCH(F356,'#建筑消耗和buff配置索引'!M:M,0))=0,1,INDEX('#建筑消耗和buff配置索引'!C:C,MATCH(F356,'#建筑消耗和buff配置索引'!M:M,0)))</f>
        <v>2</v>
      </c>
      <c r="T356" s="133">
        <v>0</v>
      </c>
      <c r="U356" s="133">
        <v>0</v>
      </c>
      <c r="V356" s="133" t="str">
        <f>IF(E356=1,IF(INDEX('#建筑消耗和buff配置索引'!BY:BY,MATCH(D356,'#建筑消耗和buff配置索引'!A:A,0))=0,"",INDEX('#建筑消耗和buff配置索引'!BY:BY,MATCH(D356,'#建筑消耗和buff配置索引'!A:A,0))),"")</f>
        <v/>
      </c>
      <c r="W356" s="133" t="str">
        <f>IF(E356=1,IF(INDEX('#建筑消耗和buff配置索引'!BZ:BZ,MATCH(D356,'#建筑消耗和buff配置索引'!A:A,0))=0,"",INDEX('#建筑消耗和buff配置索引'!BZ:BZ,MATCH(D356,'#建筑消耗和buff配置索引'!A:A,0))),"")</f>
        <v/>
      </c>
      <c r="AA356" s="133">
        <f>INDEX('#建筑消耗和buff配置索引'!AO:AO,MATCH($F356,'#建筑消耗和buff配置索引'!$M:$M,0))</f>
        <v>54739</v>
      </c>
      <c r="AB356" s="133">
        <f>IF(INDEX('#建筑消耗和buff配置索引'!AR:AR,MATCH($F356,'#建筑消耗和buff配置索引'!$M:$M,0))=0,"",INDEX('#建筑消耗和buff配置索引'!AR:AR,MATCH($F356,'#建筑消耗和buff配置索引'!$M:$M,0)))</f>
        <v>4207</v>
      </c>
      <c r="AC356" s="133">
        <f>IF(AB356="","",INDEX('#建筑消耗和buff配置索引'!AS:AS,MATCH($F356,'#建筑消耗和buff配置索引'!$M:$M,0)))</f>
        <v>1300</v>
      </c>
      <c r="AF356" s="133" t="str">
        <f>IF(INDEX('#建筑消耗和buff配置索引'!AW:AW,MATCH($F356,'#建筑消耗和buff配置索引'!$M:$M,0))=0,"",INDEX('#建筑消耗和buff配置索引'!AW:AW,MATCH($F356,'#建筑消耗和buff配置索引'!$M:$M,0)))</f>
        <v/>
      </c>
      <c r="AG356" s="133" t="str">
        <f>IF(AF356="","",INDEX('#建筑消耗和buff配置索引'!AX:AX,MATCH($F356,'#建筑消耗和buff配置索引'!$M:$M,0)))</f>
        <v/>
      </c>
      <c r="AJ356" s="133" t="str">
        <f>IF(INDEX('#建筑消耗和buff配置索引'!BB:BB,MATCH($F356,'#建筑消耗和buff配置索引'!$M:$M,0))=0,"",INDEX('#建筑消耗和buff配置索引'!BB:BB,MATCH($F356,'#建筑消耗和buff配置索引'!$M:$M,0)))</f>
        <v/>
      </c>
      <c r="AK356" s="133" t="str">
        <f>IF(AJ356="","",INDEX('#建筑消耗和buff配置索引'!BC:BC,MATCH($F356,'#建筑消耗和buff配置索引'!$M:$M,0)))</f>
        <v/>
      </c>
      <c r="AN356" s="133" t="str">
        <f>IF(INDEX('#建筑消耗和buff配置索引'!BG:BG,MATCH($F356,'#建筑消耗和buff配置索引'!$M:$M,0))=0,"",INDEX('#建筑消耗和buff配置索引'!BG:BG,MATCH($F356,'#建筑消耗和buff配置索引'!$M:$M,0)))</f>
        <v/>
      </c>
      <c r="AO356" s="133" t="str">
        <f>IF(AN356="","",INDEX('#建筑消耗和buff配置索引'!BH:BH,MATCH($F356,'#建筑消耗和buff配置索引'!$M:$M,0)))</f>
        <v/>
      </c>
      <c r="AR356" s="133" t="str">
        <f>IF(INDEX('#建筑消耗和buff配置索引'!BK:BK,MATCH($F356,'#建筑消耗和buff配置索引'!$M:$M,0))=0,"",INDEX('#建筑消耗和buff配置索引'!BK:BK,MATCH($F356,'#建筑消耗和buff配置索引'!$M:$M,0)))</f>
        <v/>
      </c>
      <c r="AS356" s="133" t="str">
        <f>IF(AR356="","",INDEX('#建筑消耗和buff配置索引'!BL:BL,MATCH($F356,'#建筑消耗和buff配置索引'!$M:$M,0)))</f>
        <v/>
      </c>
      <c r="AV356" s="133" t="str">
        <f>IF(INDEX('#建筑消耗和buff配置索引'!BO:BO,MATCH($F356,'#建筑消耗和buff配置索引'!$M:$M,0))=0,"",INDEX('#建筑消耗和buff配置索引'!BO:BO,MATCH($F356,'#建筑消耗和buff配置索引'!$M:$M,0)))</f>
        <v/>
      </c>
      <c r="AW356" s="133" t="str">
        <f>IF(AV356="","",INDEX('#建筑消耗和buff配置索引'!BP:BP,MATCH($F356,'#建筑消耗和buff配置索引'!$M:$M,0)))</f>
        <v/>
      </c>
      <c r="AZ356" s="133" t="str">
        <f>IF(INDEX('#建筑消耗和buff配置索引'!BS:BS,MATCH($F356,'#建筑消耗和buff配置索引'!$M:$M,0))=0,"",INDEX('#建筑消耗和buff配置索引'!BS:BS,MATCH($F356,'#建筑消耗和buff配置索引'!$M:$M,0)))</f>
        <v/>
      </c>
      <c r="BA356" s="133" t="str">
        <f>IF(AZ356="","",INDEX('#建筑消耗和buff配置索引'!BT:BT,MATCH($F356,'#建筑消耗和buff配置索引'!$M:$M,0)))</f>
        <v/>
      </c>
      <c r="BD356" s="133" t="str">
        <f>IF(INDEX('#建筑消耗和buff配置索引'!BW:BW,MATCH($F356,'#建筑消耗和buff配置索引'!$M:$M,0))=0,"",INDEX('#建筑消耗和buff配置索引'!BW:BW,MATCH($F356,'#建筑消耗和buff配置索引'!$M:$M,0)))</f>
        <v/>
      </c>
      <c r="BE356" s="133" t="str">
        <f>IF(BD356="","",INDEX('#建筑消耗和buff配置索引'!BX:BX,MATCH($F356,'#建筑消耗和buff配置索引'!$M:$M,0)))</f>
        <v/>
      </c>
      <c r="BI356" s="133">
        <v>18</v>
      </c>
    </row>
    <row r="357" spans="1:66" s="133" customFormat="1">
      <c r="A357" s="133">
        <v>2270022</v>
      </c>
      <c r="B357" s="133">
        <v>354</v>
      </c>
      <c r="C357" s="133">
        <v>227</v>
      </c>
      <c r="D357" s="133" t="s">
        <v>940</v>
      </c>
      <c r="E357" s="133">
        <v>22</v>
      </c>
      <c r="F357" s="133" t="str">
        <f t="shared" si="7"/>
        <v>防卫塔22</v>
      </c>
      <c r="H357" s="146"/>
      <c r="I357" s="133">
        <v>3</v>
      </c>
      <c r="J357" s="150">
        <f>INDEX('#建筑消耗和buff配置索引'!AH:AH,MATCH($F357,'#建筑消耗和buff配置索引'!$M:$M,0))</f>
        <v>151200</v>
      </c>
      <c r="K357" s="150">
        <f>INDEX('#建筑消耗和buff配置索引'!AA:AA,MATCH($F357,'#建筑消耗和buff配置索引'!$M:$M,0))</f>
        <v>1600000</v>
      </c>
      <c r="L357" s="150">
        <f>INDEX('#建筑消耗和buff配置索引'!AB:AB,MATCH($F357,'#建筑消耗和buff配置索引'!$M:$M,0))</f>
        <v>1600000</v>
      </c>
      <c r="M357" s="150">
        <f>INDEX('#建筑消耗和buff配置索引'!AC:AC,MATCH($F357,'#建筑消耗和buff配置索引'!$M:$M,0))</f>
        <v>3200000</v>
      </c>
      <c r="N357" s="150">
        <f>INDEX('#建筑消耗和buff配置索引'!AD:AD,MATCH($F357,'#建筑消耗和buff配置索引'!$M:$M,0))</f>
        <v>1600000</v>
      </c>
      <c r="O357" s="150">
        <v>2068</v>
      </c>
      <c r="P357" s="133">
        <f>IF(INDEX('#建筑消耗和buff配置索引'!U:U,MATCH($F357,'#建筑消耗和buff配置索引'!$M:$M,0))=0,"",INDEX('#建筑消耗和buff配置索引'!U:U,MATCH($F357,'#建筑消耗和buff配置索引'!$M:$M,0)))</f>
        <v>185</v>
      </c>
      <c r="Q357" s="133" t="str">
        <f>IF(INDEX('#建筑消耗和buff配置索引'!K:K,MATCH($F357,'#建筑消耗和buff配置索引'!$M:$M,0))=0,"",INDEX('#建筑消耗和buff配置索引'!K:K,MATCH($F357,'#建筑消耗和buff配置索引'!$M:$M,0)))</f>
        <v>201;215</v>
      </c>
      <c r="R357" s="133" t="str">
        <f>IF(INDEX('#建筑消耗和buff配置索引'!L:L,MATCH($F357,'#建筑消耗和buff配置索引'!$M:$M,0))=0,"",INDEX('#建筑消耗和buff配置索引'!L:L,MATCH($F357,'#建筑消耗和buff配置索引'!$M:$M,0)))</f>
        <v>22;22</v>
      </c>
      <c r="S357" s="133">
        <f>IF(INDEX('#建筑消耗和buff配置索引'!C:C,MATCH(F357,'#建筑消耗和buff配置索引'!M:M,0))=0,1,INDEX('#建筑消耗和buff配置索引'!C:C,MATCH(F357,'#建筑消耗和buff配置索引'!M:M,0)))</f>
        <v>2</v>
      </c>
      <c r="T357" s="133">
        <v>0</v>
      </c>
      <c r="U357" s="133">
        <v>0</v>
      </c>
      <c r="V357" s="133" t="str">
        <f>IF(E357=1,IF(INDEX('#建筑消耗和buff配置索引'!BY:BY,MATCH(D357,'#建筑消耗和buff配置索引'!A:A,0))=0,"",INDEX('#建筑消耗和buff配置索引'!BY:BY,MATCH(D357,'#建筑消耗和buff配置索引'!A:A,0))),"")</f>
        <v/>
      </c>
      <c r="W357" s="133" t="str">
        <f>IF(E357=1,IF(INDEX('#建筑消耗和buff配置索引'!BZ:BZ,MATCH(D357,'#建筑消耗和buff配置索引'!A:A,0))=0,"",INDEX('#建筑消耗和buff配置索引'!BZ:BZ,MATCH(D357,'#建筑消耗和buff配置索引'!A:A,0))),"")</f>
        <v/>
      </c>
      <c r="AA357" s="133">
        <f>INDEX('#建筑消耗和buff配置索引'!AO:AO,MATCH($F357,'#建筑消耗和buff配置索引'!$M:$M,0))</f>
        <v>70820</v>
      </c>
      <c r="AB357" s="133">
        <f>IF(INDEX('#建筑消耗和buff配置索引'!AR:AR,MATCH($F357,'#建筑消耗和buff配置索引'!$M:$M,0))=0,"",INDEX('#建筑消耗和buff配置索引'!AR:AR,MATCH($F357,'#建筑消耗和buff配置索引'!$M:$M,0)))</f>
        <v>4207</v>
      </c>
      <c r="AC357" s="133">
        <f>IF(AB357="","",INDEX('#建筑消耗和buff配置索引'!AS:AS,MATCH($F357,'#建筑消耗和buff配置索引'!$M:$M,0)))</f>
        <v>1400</v>
      </c>
      <c r="AF357" s="133" t="str">
        <f>IF(INDEX('#建筑消耗和buff配置索引'!AW:AW,MATCH($F357,'#建筑消耗和buff配置索引'!$M:$M,0))=0,"",INDEX('#建筑消耗和buff配置索引'!AW:AW,MATCH($F357,'#建筑消耗和buff配置索引'!$M:$M,0)))</f>
        <v/>
      </c>
      <c r="AG357" s="133" t="str">
        <f>IF(AF357="","",INDEX('#建筑消耗和buff配置索引'!AX:AX,MATCH($F357,'#建筑消耗和buff配置索引'!$M:$M,0)))</f>
        <v/>
      </c>
      <c r="AJ357" s="133" t="str">
        <f>IF(INDEX('#建筑消耗和buff配置索引'!BB:BB,MATCH($F357,'#建筑消耗和buff配置索引'!$M:$M,0))=0,"",INDEX('#建筑消耗和buff配置索引'!BB:BB,MATCH($F357,'#建筑消耗和buff配置索引'!$M:$M,0)))</f>
        <v/>
      </c>
      <c r="AK357" s="133" t="str">
        <f>IF(AJ357="","",INDEX('#建筑消耗和buff配置索引'!BC:BC,MATCH($F357,'#建筑消耗和buff配置索引'!$M:$M,0)))</f>
        <v/>
      </c>
      <c r="AN357" s="133" t="str">
        <f>IF(INDEX('#建筑消耗和buff配置索引'!BG:BG,MATCH($F357,'#建筑消耗和buff配置索引'!$M:$M,0))=0,"",INDEX('#建筑消耗和buff配置索引'!BG:BG,MATCH($F357,'#建筑消耗和buff配置索引'!$M:$M,0)))</f>
        <v/>
      </c>
      <c r="AO357" s="133" t="str">
        <f>IF(AN357="","",INDEX('#建筑消耗和buff配置索引'!BH:BH,MATCH($F357,'#建筑消耗和buff配置索引'!$M:$M,0)))</f>
        <v/>
      </c>
      <c r="AR357" s="133" t="str">
        <f>IF(INDEX('#建筑消耗和buff配置索引'!BK:BK,MATCH($F357,'#建筑消耗和buff配置索引'!$M:$M,0))=0,"",INDEX('#建筑消耗和buff配置索引'!BK:BK,MATCH($F357,'#建筑消耗和buff配置索引'!$M:$M,0)))</f>
        <v/>
      </c>
      <c r="AS357" s="133" t="str">
        <f>IF(AR357="","",INDEX('#建筑消耗和buff配置索引'!BL:BL,MATCH($F357,'#建筑消耗和buff配置索引'!$M:$M,0)))</f>
        <v/>
      </c>
      <c r="AV357" s="133" t="str">
        <f>IF(INDEX('#建筑消耗和buff配置索引'!BO:BO,MATCH($F357,'#建筑消耗和buff配置索引'!$M:$M,0))=0,"",INDEX('#建筑消耗和buff配置索引'!BO:BO,MATCH($F357,'#建筑消耗和buff配置索引'!$M:$M,0)))</f>
        <v/>
      </c>
      <c r="AW357" s="133" t="str">
        <f>IF(AV357="","",INDEX('#建筑消耗和buff配置索引'!BP:BP,MATCH($F357,'#建筑消耗和buff配置索引'!$M:$M,0)))</f>
        <v/>
      </c>
      <c r="AZ357" s="133" t="str">
        <f>IF(INDEX('#建筑消耗和buff配置索引'!BS:BS,MATCH($F357,'#建筑消耗和buff配置索引'!$M:$M,0))=0,"",INDEX('#建筑消耗和buff配置索引'!BS:BS,MATCH($F357,'#建筑消耗和buff配置索引'!$M:$M,0)))</f>
        <v/>
      </c>
      <c r="BA357" s="133" t="str">
        <f>IF(AZ357="","",INDEX('#建筑消耗和buff配置索引'!BT:BT,MATCH($F357,'#建筑消耗和buff配置索引'!$M:$M,0)))</f>
        <v/>
      </c>
      <c r="BD357" s="133" t="str">
        <f>IF(INDEX('#建筑消耗和buff配置索引'!BW:BW,MATCH($F357,'#建筑消耗和buff配置索引'!$M:$M,0))=0,"",INDEX('#建筑消耗和buff配置索引'!BW:BW,MATCH($F357,'#建筑消耗和buff配置索引'!$M:$M,0)))</f>
        <v/>
      </c>
      <c r="BE357" s="133" t="str">
        <f>IF(BD357="","",INDEX('#建筑消耗和buff配置索引'!BX:BX,MATCH($F357,'#建筑消耗和buff配置索引'!$M:$M,0)))</f>
        <v/>
      </c>
      <c r="BI357" s="133">
        <v>18</v>
      </c>
    </row>
    <row r="358" spans="1:66" s="133" customFormat="1">
      <c r="A358" s="133">
        <v>2270023</v>
      </c>
      <c r="B358" s="133">
        <v>355</v>
      </c>
      <c r="C358" s="133">
        <v>227</v>
      </c>
      <c r="D358" s="133" t="s">
        <v>940</v>
      </c>
      <c r="E358" s="133">
        <v>23</v>
      </c>
      <c r="F358" s="133" t="str">
        <f t="shared" si="7"/>
        <v>防卫塔23</v>
      </c>
      <c r="H358" s="146"/>
      <c r="I358" s="133">
        <v>3</v>
      </c>
      <c r="J358" s="150">
        <f>INDEX('#建筑消耗和buff配置索引'!AH:AH,MATCH($F358,'#建筑消耗和buff配置索引'!$M:$M,0))</f>
        <v>194400</v>
      </c>
      <c r="K358" s="150">
        <f>INDEX('#建筑消耗和buff配置索引'!AA:AA,MATCH($F358,'#建筑消耗和buff配置索引'!$M:$M,0))</f>
        <v>2100000</v>
      </c>
      <c r="L358" s="150">
        <f>INDEX('#建筑消耗和buff配置索引'!AB:AB,MATCH($F358,'#建筑消耗和buff配置索引'!$M:$M,0))</f>
        <v>2100000</v>
      </c>
      <c r="M358" s="150">
        <f>INDEX('#建筑消耗和buff配置索引'!AC:AC,MATCH($F358,'#建筑消耗和buff配置索引'!$M:$M,0))</f>
        <v>4100000</v>
      </c>
      <c r="N358" s="150">
        <f>INDEX('#建筑消耗和buff配置索引'!AD:AD,MATCH($F358,'#建筑消耗和buff配置索引'!$M:$M,0))</f>
        <v>2100000</v>
      </c>
      <c r="O358" s="150">
        <v>2068</v>
      </c>
      <c r="P358" s="133">
        <f>IF(INDEX('#建筑消耗和buff配置索引'!U:U,MATCH($F358,'#建筑消耗和buff配置索引'!$M:$M,0))=0,"",INDEX('#建筑消耗和buff配置索引'!U:U,MATCH($F358,'#建筑消耗和buff配置索引'!$M:$M,0)))</f>
        <v>205</v>
      </c>
      <c r="Q358" s="133" t="str">
        <f>IF(INDEX('#建筑消耗和buff配置索引'!K:K,MATCH($F358,'#建筑消耗和buff配置索引'!$M:$M,0))=0,"",INDEX('#建筑消耗和buff配置索引'!K:K,MATCH($F358,'#建筑消耗和buff配置索引'!$M:$M,0)))</f>
        <v>201;215</v>
      </c>
      <c r="R358" s="133" t="str">
        <f>IF(INDEX('#建筑消耗和buff配置索引'!L:L,MATCH($F358,'#建筑消耗和buff配置索引'!$M:$M,0))=0,"",INDEX('#建筑消耗和buff配置索引'!L:L,MATCH($F358,'#建筑消耗和buff配置索引'!$M:$M,0)))</f>
        <v>23;23</v>
      </c>
      <c r="S358" s="133">
        <f>IF(INDEX('#建筑消耗和buff配置索引'!C:C,MATCH(F358,'#建筑消耗和buff配置索引'!M:M,0))=0,1,INDEX('#建筑消耗和buff配置索引'!C:C,MATCH(F358,'#建筑消耗和buff配置索引'!M:M,0)))</f>
        <v>2</v>
      </c>
      <c r="T358" s="133">
        <v>0</v>
      </c>
      <c r="U358" s="133">
        <v>0</v>
      </c>
      <c r="V358" s="133" t="str">
        <f>IF(E358=1,IF(INDEX('#建筑消耗和buff配置索引'!BY:BY,MATCH(D358,'#建筑消耗和buff配置索引'!A:A,0))=0,"",INDEX('#建筑消耗和buff配置索引'!BY:BY,MATCH(D358,'#建筑消耗和buff配置索引'!A:A,0))),"")</f>
        <v/>
      </c>
      <c r="W358" s="133" t="str">
        <f>IF(E358=1,IF(INDEX('#建筑消耗和buff配置索引'!BZ:BZ,MATCH(D358,'#建筑消耗和buff配置索引'!A:A,0))=0,"",INDEX('#建筑消耗和buff配置索引'!BZ:BZ,MATCH(D358,'#建筑消耗和buff配置索引'!A:A,0))),"")</f>
        <v/>
      </c>
      <c r="AA358" s="133">
        <f>INDEX('#建筑消耗和buff配置索引'!AO:AO,MATCH($F358,'#建筑消耗和buff配置索引'!$M:$M,0))</f>
        <v>91403</v>
      </c>
      <c r="AB358" s="133">
        <f>IF(INDEX('#建筑消耗和buff配置索引'!AR:AR,MATCH($F358,'#建筑消耗和buff配置索引'!$M:$M,0))=0,"",INDEX('#建筑消耗和buff配置索引'!AR:AR,MATCH($F358,'#建筑消耗和buff配置索引'!$M:$M,0)))</f>
        <v>4207</v>
      </c>
      <c r="AC358" s="133">
        <f>IF(AB358="","",INDEX('#建筑消耗和buff配置索引'!AS:AS,MATCH($F358,'#建筑消耗和buff配置索引'!$M:$M,0)))</f>
        <v>1500</v>
      </c>
      <c r="AF358" s="133" t="str">
        <f>IF(INDEX('#建筑消耗和buff配置索引'!AW:AW,MATCH($F358,'#建筑消耗和buff配置索引'!$M:$M,0))=0,"",INDEX('#建筑消耗和buff配置索引'!AW:AW,MATCH($F358,'#建筑消耗和buff配置索引'!$M:$M,0)))</f>
        <v/>
      </c>
      <c r="AG358" s="133" t="str">
        <f>IF(AF358="","",INDEX('#建筑消耗和buff配置索引'!AX:AX,MATCH($F358,'#建筑消耗和buff配置索引'!$M:$M,0)))</f>
        <v/>
      </c>
      <c r="AJ358" s="133" t="str">
        <f>IF(INDEX('#建筑消耗和buff配置索引'!BB:BB,MATCH($F358,'#建筑消耗和buff配置索引'!$M:$M,0))=0,"",INDEX('#建筑消耗和buff配置索引'!BB:BB,MATCH($F358,'#建筑消耗和buff配置索引'!$M:$M,0)))</f>
        <v/>
      </c>
      <c r="AK358" s="133" t="str">
        <f>IF(AJ358="","",INDEX('#建筑消耗和buff配置索引'!BC:BC,MATCH($F358,'#建筑消耗和buff配置索引'!$M:$M,0)))</f>
        <v/>
      </c>
      <c r="AN358" s="133" t="str">
        <f>IF(INDEX('#建筑消耗和buff配置索引'!BG:BG,MATCH($F358,'#建筑消耗和buff配置索引'!$M:$M,0))=0,"",INDEX('#建筑消耗和buff配置索引'!BG:BG,MATCH($F358,'#建筑消耗和buff配置索引'!$M:$M,0)))</f>
        <v/>
      </c>
      <c r="AO358" s="133" t="str">
        <f>IF(AN358="","",INDEX('#建筑消耗和buff配置索引'!BH:BH,MATCH($F358,'#建筑消耗和buff配置索引'!$M:$M,0)))</f>
        <v/>
      </c>
      <c r="AR358" s="133" t="str">
        <f>IF(INDEX('#建筑消耗和buff配置索引'!BK:BK,MATCH($F358,'#建筑消耗和buff配置索引'!$M:$M,0))=0,"",INDEX('#建筑消耗和buff配置索引'!BK:BK,MATCH($F358,'#建筑消耗和buff配置索引'!$M:$M,0)))</f>
        <v/>
      </c>
      <c r="AS358" s="133" t="str">
        <f>IF(AR358="","",INDEX('#建筑消耗和buff配置索引'!BL:BL,MATCH($F358,'#建筑消耗和buff配置索引'!$M:$M,0)))</f>
        <v/>
      </c>
      <c r="AV358" s="133" t="str">
        <f>IF(INDEX('#建筑消耗和buff配置索引'!BO:BO,MATCH($F358,'#建筑消耗和buff配置索引'!$M:$M,0))=0,"",INDEX('#建筑消耗和buff配置索引'!BO:BO,MATCH($F358,'#建筑消耗和buff配置索引'!$M:$M,0)))</f>
        <v/>
      </c>
      <c r="AW358" s="133" t="str">
        <f>IF(AV358="","",INDEX('#建筑消耗和buff配置索引'!BP:BP,MATCH($F358,'#建筑消耗和buff配置索引'!$M:$M,0)))</f>
        <v/>
      </c>
      <c r="AZ358" s="133" t="str">
        <f>IF(INDEX('#建筑消耗和buff配置索引'!BS:BS,MATCH($F358,'#建筑消耗和buff配置索引'!$M:$M,0))=0,"",INDEX('#建筑消耗和buff配置索引'!BS:BS,MATCH($F358,'#建筑消耗和buff配置索引'!$M:$M,0)))</f>
        <v/>
      </c>
      <c r="BA358" s="133" t="str">
        <f>IF(AZ358="","",INDEX('#建筑消耗和buff配置索引'!BT:BT,MATCH($F358,'#建筑消耗和buff配置索引'!$M:$M,0)))</f>
        <v/>
      </c>
      <c r="BD358" s="133" t="str">
        <f>IF(INDEX('#建筑消耗和buff配置索引'!BW:BW,MATCH($F358,'#建筑消耗和buff配置索引'!$M:$M,0))=0,"",INDEX('#建筑消耗和buff配置索引'!BW:BW,MATCH($F358,'#建筑消耗和buff配置索引'!$M:$M,0)))</f>
        <v/>
      </c>
      <c r="BE358" s="133" t="str">
        <f>IF(BD358="","",INDEX('#建筑消耗和buff配置索引'!BX:BX,MATCH($F358,'#建筑消耗和buff配置索引'!$M:$M,0)))</f>
        <v/>
      </c>
      <c r="BI358" s="133">
        <v>18</v>
      </c>
    </row>
    <row r="359" spans="1:66" s="133" customFormat="1">
      <c r="A359" s="133">
        <v>2270024</v>
      </c>
      <c r="B359" s="133">
        <v>356</v>
      </c>
      <c r="C359" s="133">
        <v>227</v>
      </c>
      <c r="D359" s="133" t="s">
        <v>940</v>
      </c>
      <c r="E359" s="133">
        <v>24</v>
      </c>
      <c r="F359" s="133" t="str">
        <f t="shared" si="7"/>
        <v>防卫塔24</v>
      </c>
      <c r="H359" s="146"/>
      <c r="I359" s="133">
        <v>3</v>
      </c>
      <c r="J359" s="150">
        <f>INDEX('#建筑消耗和buff配置索引'!AH:AH,MATCH($F359,'#建筑消耗和buff配置索引'!$M:$M,0))</f>
        <v>248400</v>
      </c>
      <c r="K359" s="150">
        <f>INDEX('#建筑消耗和buff配置索引'!AA:AA,MATCH($F359,'#建筑消耗和buff配置索引'!$M:$M,0))</f>
        <v>2600000</v>
      </c>
      <c r="L359" s="150">
        <f>INDEX('#建筑消耗和buff配置索引'!AB:AB,MATCH($F359,'#建筑消耗和buff配置索引'!$M:$M,0))</f>
        <v>2600000</v>
      </c>
      <c r="M359" s="150">
        <f>INDEX('#建筑消耗和buff配置索引'!AC:AC,MATCH($F359,'#建筑消耗和buff配置索引'!$M:$M,0))</f>
        <v>5300000</v>
      </c>
      <c r="N359" s="150">
        <f>INDEX('#建筑消耗和buff配置索引'!AD:AD,MATCH($F359,'#建筑消耗和buff配置索引'!$M:$M,0))</f>
        <v>2600000</v>
      </c>
      <c r="O359" s="150">
        <v>2068</v>
      </c>
      <c r="P359" s="133">
        <f>IF(INDEX('#建筑消耗和buff配置索引'!U:U,MATCH($F359,'#建筑消耗和buff配置索引'!$M:$M,0))=0,"",INDEX('#建筑消耗和buff配置索引'!U:U,MATCH($F359,'#建筑消耗和buff配置索引'!$M:$M,0)))</f>
        <v>225</v>
      </c>
      <c r="Q359" s="133" t="str">
        <f>IF(INDEX('#建筑消耗和buff配置索引'!K:K,MATCH($F359,'#建筑消耗和buff配置索引'!$M:$M,0))=0,"",INDEX('#建筑消耗和buff配置索引'!K:K,MATCH($F359,'#建筑消耗和buff配置索引'!$M:$M,0)))</f>
        <v>201;215</v>
      </c>
      <c r="R359" s="133" t="str">
        <f>IF(INDEX('#建筑消耗和buff配置索引'!L:L,MATCH($F359,'#建筑消耗和buff配置索引'!$M:$M,0))=0,"",INDEX('#建筑消耗和buff配置索引'!L:L,MATCH($F359,'#建筑消耗和buff配置索引'!$M:$M,0)))</f>
        <v>24;24</v>
      </c>
      <c r="S359" s="133">
        <f>IF(INDEX('#建筑消耗和buff配置索引'!C:C,MATCH(F359,'#建筑消耗和buff配置索引'!M:M,0))=0,1,INDEX('#建筑消耗和buff配置索引'!C:C,MATCH(F359,'#建筑消耗和buff配置索引'!M:M,0)))</f>
        <v>2</v>
      </c>
      <c r="T359" s="133">
        <v>0</v>
      </c>
      <c r="U359" s="133">
        <v>0</v>
      </c>
      <c r="V359" s="133" t="str">
        <f>IF(E359=1,IF(INDEX('#建筑消耗和buff配置索引'!BY:BY,MATCH(D359,'#建筑消耗和buff配置索引'!A:A,0))=0,"",INDEX('#建筑消耗和buff配置索引'!BY:BY,MATCH(D359,'#建筑消耗和buff配置索引'!A:A,0))),"")</f>
        <v/>
      </c>
      <c r="W359" s="133" t="str">
        <f>IF(E359=1,IF(INDEX('#建筑消耗和buff配置索引'!BZ:BZ,MATCH(D359,'#建筑消耗和buff配置索引'!A:A,0))=0,"",INDEX('#建筑消耗和buff配置索引'!BZ:BZ,MATCH(D359,'#建筑消耗和buff配置索引'!A:A,0))),"")</f>
        <v/>
      </c>
      <c r="AA359" s="133">
        <f>INDEX('#建筑消耗和buff配置索引'!AO:AO,MATCH($F359,'#建筑消耗和buff配置索引'!$M:$M,0))</f>
        <v>117750</v>
      </c>
      <c r="AB359" s="133">
        <f>IF(INDEX('#建筑消耗和buff配置索引'!AR:AR,MATCH($F359,'#建筑消耗和buff配置索引'!$M:$M,0))=0,"",INDEX('#建筑消耗和buff配置索引'!AR:AR,MATCH($F359,'#建筑消耗和buff配置索引'!$M:$M,0)))</f>
        <v>4207</v>
      </c>
      <c r="AC359" s="133">
        <f>IF(AB359="","",INDEX('#建筑消耗和buff配置索引'!AS:AS,MATCH($F359,'#建筑消耗和buff配置索引'!$M:$M,0)))</f>
        <v>1600</v>
      </c>
      <c r="AF359" s="133" t="str">
        <f>IF(INDEX('#建筑消耗和buff配置索引'!AW:AW,MATCH($F359,'#建筑消耗和buff配置索引'!$M:$M,0))=0,"",INDEX('#建筑消耗和buff配置索引'!AW:AW,MATCH($F359,'#建筑消耗和buff配置索引'!$M:$M,0)))</f>
        <v/>
      </c>
      <c r="AG359" s="133" t="str">
        <f>IF(AF359="","",INDEX('#建筑消耗和buff配置索引'!AX:AX,MATCH($F359,'#建筑消耗和buff配置索引'!$M:$M,0)))</f>
        <v/>
      </c>
      <c r="AJ359" s="133" t="str">
        <f>IF(INDEX('#建筑消耗和buff配置索引'!BB:BB,MATCH($F359,'#建筑消耗和buff配置索引'!$M:$M,0))=0,"",INDEX('#建筑消耗和buff配置索引'!BB:BB,MATCH($F359,'#建筑消耗和buff配置索引'!$M:$M,0)))</f>
        <v/>
      </c>
      <c r="AK359" s="133" t="str">
        <f>IF(AJ359="","",INDEX('#建筑消耗和buff配置索引'!BC:BC,MATCH($F359,'#建筑消耗和buff配置索引'!$M:$M,0)))</f>
        <v/>
      </c>
      <c r="AN359" s="133" t="str">
        <f>IF(INDEX('#建筑消耗和buff配置索引'!BG:BG,MATCH($F359,'#建筑消耗和buff配置索引'!$M:$M,0))=0,"",INDEX('#建筑消耗和buff配置索引'!BG:BG,MATCH($F359,'#建筑消耗和buff配置索引'!$M:$M,0)))</f>
        <v/>
      </c>
      <c r="AO359" s="133" t="str">
        <f>IF(AN359="","",INDEX('#建筑消耗和buff配置索引'!BH:BH,MATCH($F359,'#建筑消耗和buff配置索引'!$M:$M,0)))</f>
        <v/>
      </c>
      <c r="AR359" s="133" t="str">
        <f>IF(INDEX('#建筑消耗和buff配置索引'!BK:BK,MATCH($F359,'#建筑消耗和buff配置索引'!$M:$M,0))=0,"",INDEX('#建筑消耗和buff配置索引'!BK:BK,MATCH($F359,'#建筑消耗和buff配置索引'!$M:$M,0)))</f>
        <v/>
      </c>
      <c r="AS359" s="133" t="str">
        <f>IF(AR359="","",INDEX('#建筑消耗和buff配置索引'!BL:BL,MATCH($F359,'#建筑消耗和buff配置索引'!$M:$M,0)))</f>
        <v/>
      </c>
      <c r="AV359" s="133" t="str">
        <f>IF(INDEX('#建筑消耗和buff配置索引'!BO:BO,MATCH($F359,'#建筑消耗和buff配置索引'!$M:$M,0))=0,"",INDEX('#建筑消耗和buff配置索引'!BO:BO,MATCH($F359,'#建筑消耗和buff配置索引'!$M:$M,0)))</f>
        <v/>
      </c>
      <c r="AW359" s="133" t="str">
        <f>IF(AV359="","",INDEX('#建筑消耗和buff配置索引'!BP:BP,MATCH($F359,'#建筑消耗和buff配置索引'!$M:$M,0)))</f>
        <v/>
      </c>
      <c r="AZ359" s="133" t="str">
        <f>IF(INDEX('#建筑消耗和buff配置索引'!BS:BS,MATCH($F359,'#建筑消耗和buff配置索引'!$M:$M,0))=0,"",INDEX('#建筑消耗和buff配置索引'!BS:BS,MATCH($F359,'#建筑消耗和buff配置索引'!$M:$M,0)))</f>
        <v/>
      </c>
      <c r="BA359" s="133" t="str">
        <f>IF(AZ359="","",INDEX('#建筑消耗和buff配置索引'!BT:BT,MATCH($F359,'#建筑消耗和buff配置索引'!$M:$M,0)))</f>
        <v/>
      </c>
      <c r="BD359" s="133" t="str">
        <f>IF(INDEX('#建筑消耗和buff配置索引'!BW:BW,MATCH($F359,'#建筑消耗和buff配置索引'!$M:$M,0))=0,"",INDEX('#建筑消耗和buff配置索引'!BW:BW,MATCH($F359,'#建筑消耗和buff配置索引'!$M:$M,0)))</f>
        <v/>
      </c>
      <c r="BE359" s="133" t="str">
        <f>IF(BD359="","",INDEX('#建筑消耗和buff配置索引'!BX:BX,MATCH($F359,'#建筑消耗和buff配置索引'!$M:$M,0)))</f>
        <v/>
      </c>
      <c r="BI359" s="133">
        <v>18</v>
      </c>
    </row>
    <row r="360" spans="1:66" s="133" customFormat="1">
      <c r="A360" s="133">
        <v>2270025</v>
      </c>
      <c r="B360" s="133">
        <v>357</v>
      </c>
      <c r="C360" s="133">
        <v>227</v>
      </c>
      <c r="D360" s="133" t="s">
        <v>940</v>
      </c>
      <c r="E360" s="133">
        <v>25</v>
      </c>
      <c r="F360" s="133" t="str">
        <f t="shared" si="7"/>
        <v>防卫塔25</v>
      </c>
      <c r="H360" s="146"/>
      <c r="I360" s="133">
        <v>3</v>
      </c>
      <c r="J360" s="150">
        <f>INDEX('#建筑消耗和buff配置索引'!AH:AH,MATCH($F360,'#建筑消耗和buff配置索引'!$M:$M,0))</f>
        <v>313200</v>
      </c>
      <c r="K360" s="150">
        <f>INDEX('#建筑消耗和buff配置索引'!AA:AA,MATCH($F360,'#建筑消耗和buff配置索引'!$M:$M,0))</f>
        <v>3400000</v>
      </c>
      <c r="L360" s="150">
        <f>INDEX('#建筑消耗和buff配置索引'!AB:AB,MATCH($F360,'#建筑消耗和buff配置索引'!$M:$M,0))</f>
        <v>3400000</v>
      </c>
      <c r="M360" s="150">
        <f>INDEX('#建筑消耗和buff配置索引'!AC:AC,MATCH($F360,'#建筑消耗和buff配置索引'!$M:$M,0))</f>
        <v>6700000</v>
      </c>
      <c r="N360" s="150">
        <f>INDEX('#建筑消耗和buff配置索引'!AD:AD,MATCH($F360,'#建筑消耗和buff配置索引'!$M:$M,0))</f>
        <v>3400000</v>
      </c>
      <c r="O360" s="150">
        <v>2068</v>
      </c>
      <c r="P360" s="133">
        <f>IF(INDEX('#建筑消耗和buff配置索引'!U:U,MATCH($F360,'#建筑消耗和buff配置索引'!$M:$M,0))=0,"",INDEX('#建筑消耗和buff配置索引'!U:U,MATCH($F360,'#建筑消耗和buff配置索引'!$M:$M,0)))</f>
        <v>245</v>
      </c>
      <c r="Q360" s="133" t="str">
        <f>IF(INDEX('#建筑消耗和buff配置索引'!K:K,MATCH($F360,'#建筑消耗和buff配置索引'!$M:$M,0))=0,"",INDEX('#建筑消耗和buff配置索引'!K:K,MATCH($F360,'#建筑消耗和buff配置索引'!$M:$M,0)))</f>
        <v>201;215</v>
      </c>
      <c r="R360" s="133" t="str">
        <f>IF(INDEX('#建筑消耗和buff配置索引'!L:L,MATCH($F360,'#建筑消耗和buff配置索引'!$M:$M,0))=0,"",INDEX('#建筑消耗和buff配置索引'!L:L,MATCH($F360,'#建筑消耗和buff配置索引'!$M:$M,0)))</f>
        <v>25;25</v>
      </c>
      <c r="S360" s="133">
        <f>IF(INDEX('#建筑消耗和buff配置索引'!C:C,MATCH(F360,'#建筑消耗和buff配置索引'!M:M,0))=0,1,INDEX('#建筑消耗和buff配置索引'!C:C,MATCH(F360,'#建筑消耗和buff配置索引'!M:M,0)))</f>
        <v>2</v>
      </c>
      <c r="T360" s="133">
        <v>0</v>
      </c>
      <c r="U360" s="133">
        <v>0</v>
      </c>
      <c r="V360" s="133" t="str">
        <f>IF(E360=1,IF(INDEX('#建筑消耗和buff配置索引'!BY:BY,MATCH(D360,'#建筑消耗和buff配置索引'!A:A,0))=0,"",INDEX('#建筑消耗和buff配置索引'!BY:BY,MATCH(D360,'#建筑消耗和buff配置索引'!A:A,0))),"")</f>
        <v/>
      </c>
      <c r="W360" s="133" t="str">
        <f>IF(E360=1,IF(INDEX('#建筑消耗和buff配置索引'!BZ:BZ,MATCH(D360,'#建筑消耗和buff配置索引'!A:A,0))=0,"",INDEX('#建筑消耗和buff配置索引'!BZ:BZ,MATCH(D360,'#建筑消耗和buff配置索引'!A:A,0))),"")</f>
        <v/>
      </c>
      <c r="AA360" s="133">
        <f>INDEX('#建筑消耗和buff配置索引'!AO:AO,MATCH($F360,'#建筑消耗和buff配置索引'!$M:$M,0))</f>
        <v>151473</v>
      </c>
      <c r="AB360" s="133">
        <f>IF(INDEX('#建筑消耗和buff配置索引'!AR:AR,MATCH($F360,'#建筑消耗和buff配置索引'!$M:$M,0))=0,"",INDEX('#建筑消耗和buff配置索引'!AR:AR,MATCH($F360,'#建筑消耗和buff配置索引'!$M:$M,0)))</f>
        <v>4207</v>
      </c>
      <c r="AC360" s="133">
        <f>IF(AB360="","",INDEX('#建筑消耗和buff配置索引'!AS:AS,MATCH($F360,'#建筑消耗和buff配置索引'!$M:$M,0)))</f>
        <v>1700</v>
      </c>
      <c r="AF360" s="133" t="str">
        <f>IF(INDEX('#建筑消耗和buff配置索引'!AW:AW,MATCH($F360,'#建筑消耗和buff配置索引'!$M:$M,0))=0,"",INDEX('#建筑消耗和buff配置索引'!AW:AW,MATCH($F360,'#建筑消耗和buff配置索引'!$M:$M,0)))</f>
        <v/>
      </c>
      <c r="AG360" s="133" t="str">
        <f>IF(AF360="","",INDEX('#建筑消耗和buff配置索引'!AX:AX,MATCH($F360,'#建筑消耗和buff配置索引'!$M:$M,0)))</f>
        <v/>
      </c>
      <c r="AJ360" s="133" t="str">
        <f>IF(INDEX('#建筑消耗和buff配置索引'!BB:BB,MATCH($F360,'#建筑消耗和buff配置索引'!$M:$M,0))=0,"",INDEX('#建筑消耗和buff配置索引'!BB:BB,MATCH($F360,'#建筑消耗和buff配置索引'!$M:$M,0)))</f>
        <v/>
      </c>
      <c r="AK360" s="133" t="str">
        <f>IF(AJ360="","",INDEX('#建筑消耗和buff配置索引'!BC:BC,MATCH($F360,'#建筑消耗和buff配置索引'!$M:$M,0)))</f>
        <v/>
      </c>
      <c r="AN360" s="133" t="str">
        <f>IF(INDEX('#建筑消耗和buff配置索引'!BG:BG,MATCH($F360,'#建筑消耗和buff配置索引'!$M:$M,0))=0,"",INDEX('#建筑消耗和buff配置索引'!BG:BG,MATCH($F360,'#建筑消耗和buff配置索引'!$M:$M,0)))</f>
        <v/>
      </c>
      <c r="AO360" s="133" t="str">
        <f>IF(AN360="","",INDEX('#建筑消耗和buff配置索引'!BH:BH,MATCH($F360,'#建筑消耗和buff配置索引'!$M:$M,0)))</f>
        <v/>
      </c>
      <c r="AR360" s="133" t="str">
        <f>IF(INDEX('#建筑消耗和buff配置索引'!BK:BK,MATCH($F360,'#建筑消耗和buff配置索引'!$M:$M,0))=0,"",INDEX('#建筑消耗和buff配置索引'!BK:BK,MATCH($F360,'#建筑消耗和buff配置索引'!$M:$M,0)))</f>
        <v/>
      </c>
      <c r="AS360" s="133" t="str">
        <f>IF(AR360="","",INDEX('#建筑消耗和buff配置索引'!BL:BL,MATCH($F360,'#建筑消耗和buff配置索引'!$M:$M,0)))</f>
        <v/>
      </c>
      <c r="AV360" s="133" t="str">
        <f>IF(INDEX('#建筑消耗和buff配置索引'!BO:BO,MATCH($F360,'#建筑消耗和buff配置索引'!$M:$M,0))=0,"",INDEX('#建筑消耗和buff配置索引'!BO:BO,MATCH($F360,'#建筑消耗和buff配置索引'!$M:$M,0)))</f>
        <v/>
      </c>
      <c r="AW360" s="133" t="str">
        <f>IF(AV360="","",INDEX('#建筑消耗和buff配置索引'!BP:BP,MATCH($F360,'#建筑消耗和buff配置索引'!$M:$M,0)))</f>
        <v/>
      </c>
      <c r="AZ360" s="133" t="str">
        <f>IF(INDEX('#建筑消耗和buff配置索引'!BS:BS,MATCH($F360,'#建筑消耗和buff配置索引'!$M:$M,0))=0,"",INDEX('#建筑消耗和buff配置索引'!BS:BS,MATCH($F360,'#建筑消耗和buff配置索引'!$M:$M,0)))</f>
        <v/>
      </c>
      <c r="BA360" s="133" t="str">
        <f>IF(AZ360="","",INDEX('#建筑消耗和buff配置索引'!BT:BT,MATCH($F360,'#建筑消耗和buff配置索引'!$M:$M,0)))</f>
        <v/>
      </c>
      <c r="BD360" s="133" t="str">
        <f>IF(INDEX('#建筑消耗和buff配置索引'!BW:BW,MATCH($F360,'#建筑消耗和buff配置索引'!$M:$M,0))=0,"",INDEX('#建筑消耗和buff配置索引'!BW:BW,MATCH($F360,'#建筑消耗和buff配置索引'!$M:$M,0)))</f>
        <v/>
      </c>
      <c r="BE360" s="133" t="str">
        <f>IF(BD360="","",INDEX('#建筑消耗和buff配置索引'!BX:BX,MATCH($F360,'#建筑消耗和buff配置索引'!$M:$M,0)))</f>
        <v/>
      </c>
      <c r="BI360" s="133">
        <v>18</v>
      </c>
    </row>
    <row r="361" spans="1:66" s="133" customFormat="1">
      <c r="A361" s="133">
        <v>2270026</v>
      </c>
      <c r="B361" s="133">
        <v>358</v>
      </c>
      <c r="C361" s="133">
        <v>227</v>
      </c>
      <c r="D361" s="133" t="s">
        <v>940</v>
      </c>
      <c r="E361" s="133">
        <v>26</v>
      </c>
      <c r="F361" s="133" t="str">
        <f t="shared" si="7"/>
        <v>防卫塔26</v>
      </c>
      <c r="H361" s="146"/>
      <c r="I361" s="133">
        <v>3</v>
      </c>
      <c r="J361" s="150">
        <f>INDEX('#建筑消耗和buff配置索引'!AH:AH,MATCH($F361,'#建筑消耗和buff配置索引'!$M:$M,0))</f>
        <v>388800</v>
      </c>
      <c r="K361" s="150">
        <f>INDEX('#建筑消耗和buff配置索引'!AA:AA,MATCH($F361,'#建筑消耗和buff配置索引'!$M:$M,0))</f>
        <v>4300000</v>
      </c>
      <c r="L361" s="150">
        <f>INDEX('#建筑消耗和buff配置索引'!AB:AB,MATCH($F361,'#建筑消耗和buff配置索引'!$M:$M,0))</f>
        <v>4300000</v>
      </c>
      <c r="M361" s="150">
        <f>INDEX('#建筑消耗和buff配置索引'!AC:AC,MATCH($F361,'#建筑消耗和buff配置索引'!$M:$M,0))</f>
        <v>8600000</v>
      </c>
      <c r="N361" s="150">
        <f>INDEX('#建筑消耗和buff配置索引'!AD:AD,MATCH($F361,'#建筑消耗和buff配置索引'!$M:$M,0))</f>
        <v>4300000</v>
      </c>
      <c r="O361" s="150">
        <v>2068</v>
      </c>
      <c r="P361" s="133">
        <f>IF(INDEX('#建筑消耗和buff配置索引'!U:U,MATCH($F361,'#建筑消耗和buff配置索引'!$M:$M,0))=0,"",INDEX('#建筑消耗和buff配置索引'!U:U,MATCH($F361,'#建筑消耗和buff配置索引'!$M:$M,0)))</f>
        <v>265</v>
      </c>
      <c r="Q361" s="133" t="str">
        <f>IF(INDEX('#建筑消耗和buff配置索引'!K:K,MATCH($F361,'#建筑消耗和buff配置索引'!$M:$M,0))=0,"",INDEX('#建筑消耗和buff配置索引'!K:K,MATCH($F361,'#建筑消耗和buff配置索引'!$M:$M,0)))</f>
        <v>201;215</v>
      </c>
      <c r="R361" s="133" t="str">
        <f>IF(INDEX('#建筑消耗和buff配置索引'!L:L,MATCH($F361,'#建筑消耗和buff配置索引'!$M:$M,0))=0,"",INDEX('#建筑消耗和buff配置索引'!L:L,MATCH($F361,'#建筑消耗和buff配置索引'!$M:$M,0)))</f>
        <v>26;26</v>
      </c>
      <c r="S361" s="133">
        <f>IF(INDEX('#建筑消耗和buff配置索引'!C:C,MATCH(F361,'#建筑消耗和buff配置索引'!M:M,0))=0,1,INDEX('#建筑消耗和buff配置索引'!C:C,MATCH(F361,'#建筑消耗和buff配置索引'!M:M,0)))</f>
        <v>2</v>
      </c>
      <c r="T361" s="133">
        <v>0</v>
      </c>
      <c r="U361" s="133">
        <v>0</v>
      </c>
      <c r="V361" s="133" t="str">
        <f>IF(E361=1,IF(INDEX('#建筑消耗和buff配置索引'!BY:BY,MATCH(D361,'#建筑消耗和buff配置索引'!A:A,0))=0,"",INDEX('#建筑消耗和buff配置索引'!BY:BY,MATCH(D361,'#建筑消耗和buff配置索引'!A:A,0))),"")</f>
        <v/>
      </c>
      <c r="W361" s="133" t="str">
        <f>IF(E361=1,IF(INDEX('#建筑消耗和buff配置索引'!BZ:BZ,MATCH(D361,'#建筑消耗和buff配置索引'!A:A,0))=0,"",INDEX('#建筑消耗和buff配置索引'!BZ:BZ,MATCH(D361,'#建筑消耗和buff配置索引'!A:A,0))),"")</f>
        <v/>
      </c>
      <c r="AA361" s="133">
        <f>INDEX('#建筑消耗和buff配置索引'!AO:AO,MATCH($F361,'#建筑消耗和buff配置索引'!$M:$M,0))</f>
        <v>194640</v>
      </c>
      <c r="AB361" s="133">
        <f>IF(INDEX('#建筑消耗和buff配置索引'!AR:AR,MATCH($F361,'#建筑消耗和buff配置索引'!$M:$M,0))=0,"",INDEX('#建筑消耗和buff配置索引'!AR:AR,MATCH($F361,'#建筑消耗和buff配置索引'!$M:$M,0)))</f>
        <v>4207</v>
      </c>
      <c r="AC361" s="133">
        <f>IF(AB361="","",INDEX('#建筑消耗和buff配置索引'!AS:AS,MATCH($F361,'#建筑消耗和buff配置索引'!$M:$M,0)))</f>
        <v>1820</v>
      </c>
      <c r="AF361" s="133" t="str">
        <f>IF(INDEX('#建筑消耗和buff配置索引'!AW:AW,MATCH($F361,'#建筑消耗和buff配置索引'!$M:$M,0))=0,"",INDEX('#建筑消耗和buff配置索引'!AW:AW,MATCH($F361,'#建筑消耗和buff配置索引'!$M:$M,0)))</f>
        <v/>
      </c>
      <c r="AG361" s="133" t="str">
        <f>IF(AF361="","",INDEX('#建筑消耗和buff配置索引'!AX:AX,MATCH($F361,'#建筑消耗和buff配置索引'!$M:$M,0)))</f>
        <v/>
      </c>
      <c r="AJ361" s="133" t="str">
        <f>IF(INDEX('#建筑消耗和buff配置索引'!BB:BB,MATCH($F361,'#建筑消耗和buff配置索引'!$M:$M,0))=0,"",INDEX('#建筑消耗和buff配置索引'!BB:BB,MATCH($F361,'#建筑消耗和buff配置索引'!$M:$M,0)))</f>
        <v/>
      </c>
      <c r="AK361" s="133" t="str">
        <f>IF(AJ361="","",INDEX('#建筑消耗和buff配置索引'!BC:BC,MATCH($F361,'#建筑消耗和buff配置索引'!$M:$M,0)))</f>
        <v/>
      </c>
      <c r="AN361" s="133" t="str">
        <f>IF(INDEX('#建筑消耗和buff配置索引'!BG:BG,MATCH($F361,'#建筑消耗和buff配置索引'!$M:$M,0))=0,"",INDEX('#建筑消耗和buff配置索引'!BG:BG,MATCH($F361,'#建筑消耗和buff配置索引'!$M:$M,0)))</f>
        <v/>
      </c>
      <c r="AO361" s="133" t="str">
        <f>IF(AN361="","",INDEX('#建筑消耗和buff配置索引'!BH:BH,MATCH($F361,'#建筑消耗和buff配置索引'!$M:$M,0)))</f>
        <v/>
      </c>
      <c r="AR361" s="133" t="str">
        <f>IF(INDEX('#建筑消耗和buff配置索引'!BK:BK,MATCH($F361,'#建筑消耗和buff配置索引'!$M:$M,0))=0,"",INDEX('#建筑消耗和buff配置索引'!BK:BK,MATCH($F361,'#建筑消耗和buff配置索引'!$M:$M,0)))</f>
        <v/>
      </c>
      <c r="AS361" s="133" t="str">
        <f>IF(AR361="","",INDEX('#建筑消耗和buff配置索引'!BL:BL,MATCH($F361,'#建筑消耗和buff配置索引'!$M:$M,0)))</f>
        <v/>
      </c>
      <c r="AV361" s="133" t="str">
        <f>IF(INDEX('#建筑消耗和buff配置索引'!BO:BO,MATCH($F361,'#建筑消耗和buff配置索引'!$M:$M,0))=0,"",INDEX('#建筑消耗和buff配置索引'!BO:BO,MATCH($F361,'#建筑消耗和buff配置索引'!$M:$M,0)))</f>
        <v/>
      </c>
      <c r="AW361" s="133" t="str">
        <f>IF(AV361="","",INDEX('#建筑消耗和buff配置索引'!BP:BP,MATCH($F361,'#建筑消耗和buff配置索引'!$M:$M,0)))</f>
        <v/>
      </c>
      <c r="AZ361" s="133" t="str">
        <f>IF(INDEX('#建筑消耗和buff配置索引'!BS:BS,MATCH($F361,'#建筑消耗和buff配置索引'!$M:$M,0))=0,"",INDEX('#建筑消耗和buff配置索引'!BS:BS,MATCH($F361,'#建筑消耗和buff配置索引'!$M:$M,0)))</f>
        <v/>
      </c>
      <c r="BA361" s="133" t="str">
        <f>IF(AZ361="","",INDEX('#建筑消耗和buff配置索引'!BT:BT,MATCH($F361,'#建筑消耗和buff配置索引'!$M:$M,0)))</f>
        <v/>
      </c>
      <c r="BD361" s="133" t="str">
        <f>IF(INDEX('#建筑消耗和buff配置索引'!BW:BW,MATCH($F361,'#建筑消耗和buff配置索引'!$M:$M,0))=0,"",INDEX('#建筑消耗和buff配置索引'!BW:BW,MATCH($F361,'#建筑消耗和buff配置索引'!$M:$M,0)))</f>
        <v/>
      </c>
      <c r="BE361" s="133" t="str">
        <f>IF(BD361="","",INDEX('#建筑消耗和buff配置索引'!BX:BX,MATCH($F361,'#建筑消耗和buff配置索引'!$M:$M,0)))</f>
        <v/>
      </c>
      <c r="BI361" s="133">
        <v>18</v>
      </c>
    </row>
    <row r="362" spans="1:66" s="133" customFormat="1">
      <c r="A362" s="133">
        <v>2270027</v>
      </c>
      <c r="B362" s="133">
        <v>359</v>
      </c>
      <c r="C362" s="133">
        <v>227</v>
      </c>
      <c r="D362" s="133" t="s">
        <v>940</v>
      </c>
      <c r="E362" s="133">
        <v>27</v>
      </c>
      <c r="F362" s="133" t="str">
        <f t="shared" si="7"/>
        <v>防卫塔27</v>
      </c>
      <c r="H362" s="146"/>
      <c r="I362" s="133">
        <v>3</v>
      </c>
      <c r="J362" s="150">
        <f>INDEX('#建筑消耗和buff配置索引'!AH:AH,MATCH($F362,'#建筑消耗和buff配置索引'!$M:$M,0))</f>
        <v>475200</v>
      </c>
      <c r="K362" s="150">
        <f>INDEX('#建筑消耗和buff配置索引'!AA:AA,MATCH($F362,'#建筑消耗和buff配置索引'!$M:$M,0))</f>
        <v>5500000</v>
      </c>
      <c r="L362" s="150">
        <f>INDEX('#建筑消耗和buff配置索引'!AB:AB,MATCH($F362,'#建筑消耗和buff配置索引'!$M:$M,0))</f>
        <v>5500000</v>
      </c>
      <c r="M362" s="150">
        <f>INDEX('#建筑消耗和buff配置索引'!AC:AC,MATCH($F362,'#建筑消耗和buff配置索引'!$M:$M,0))</f>
        <v>11000000</v>
      </c>
      <c r="N362" s="150">
        <f>INDEX('#建筑消耗和buff配置索引'!AD:AD,MATCH($F362,'#建筑消耗和buff配置索引'!$M:$M,0))</f>
        <v>5500000</v>
      </c>
      <c r="O362" s="150">
        <v>2068</v>
      </c>
      <c r="P362" s="133">
        <f>IF(INDEX('#建筑消耗和buff配置索引'!U:U,MATCH($F362,'#建筑消耗和buff配置索引'!$M:$M,0))=0,"",INDEX('#建筑消耗和buff配置索引'!U:U,MATCH($F362,'#建筑消耗和buff配置索引'!$M:$M,0)))</f>
        <v>290</v>
      </c>
      <c r="Q362" s="133" t="str">
        <f>IF(INDEX('#建筑消耗和buff配置索引'!K:K,MATCH($F362,'#建筑消耗和buff配置索引'!$M:$M,0))=0,"",INDEX('#建筑消耗和buff配置索引'!K:K,MATCH($F362,'#建筑消耗和buff配置索引'!$M:$M,0)))</f>
        <v>201;215</v>
      </c>
      <c r="R362" s="133" t="str">
        <f>IF(INDEX('#建筑消耗和buff配置索引'!L:L,MATCH($F362,'#建筑消耗和buff配置索引'!$M:$M,0))=0,"",INDEX('#建筑消耗和buff配置索引'!L:L,MATCH($F362,'#建筑消耗和buff配置索引'!$M:$M,0)))</f>
        <v>27;27</v>
      </c>
      <c r="S362" s="133">
        <f>IF(INDEX('#建筑消耗和buff配置索引'!C:C,MATCH(F362,'#建筑消耗和buff配置索引'!M:M,0))=0,1,INDEX('#建筑消耗和buff配置索引'!C:C,MATCH(F362,'#建筑消耗和buff配置索引'!M:M,0)))</f>
        <v>2</v>
      </c>
      <c r="T362" s="133">
        <v>0</v>
      </c>
      <c r="U362" s="133">
        <v>0</v>
      </c>
      <c r="V362" s="133" t="str">
        <f>IF(E362=1,IF(INDEX('#建筑消耗和buff配置索引'!BY:BY,MATCH(D362,'#建筑消耗和buff配置索引'!A:A,0))=0,"",INDEX('#建筑消耗和buff配置索引'!BY:BY,MATCH(D362,'#建筑消耗和buff配置索引'!A:A,0))),"")</f>
        <v/>
      </c>
      <c r="W362" s="133" t="str">
        <f>IF(E362=1,IF(INDEX('#建筑消耗和buff配置索引'!BZ:BZ,MATCH(D362,'#建筑消耗和buff配置索引'!A:A,0))=0,"",INDEX('#建筑消耗和buff配置索引'!BZ:BZ,MATCH(D362,'#建筑消耗和buff配置索引'!A:A,0))),"")</f>
        <v/>
      </c>
      <c r="AA362" s="133">
        <f>INDEX('#建筑消耗和buff配置索引'!AO:AO,MATCH($F362,'#建筑消耗和buff配置索引'!$M:$M,0))</f>
        <v>249893</v>
      </c>
      <c r="AB362" s="133">
        <f>IF(INDEX('#建筑消耗和buff配置索引'!AR:AR,MATCH($F362,'#建筑消耗和buff配置索引'!$M:$M,0))=0,"",INDEX('#建筑消耗和buff配置索引'!AR:AR,MATCH($F362,'#建筑消耗和buff配置索引'!$M:$M,0)))</f>
        <v>4207</v>
      </c>
      <c r="AC362" s="133">
        <f>IF(AB362="","",INDEX('#建筑消耗和buff配置索引'!AS:AS,MATCH($F362,'#建筑消耗和buff配置索引'!$M:$M,0)))</f>
        <v>1970</v>
      </c>
      <c r="AF362" s="133" t="str">
        <f>IF(INDEX('#建筑消耗和buff配置索引'!AW:AW,MATCH($F362,'#建筑消耗和buff配置索引'!$M:$M,0))=0,"",INDEX('#建筑消耗和buff配置索引'!AW:AW,MATCH($F362,'#建筑消耗和buff配置索引'!$M:$M,0)))</f>
        <v/>
      </c>
      <c r="AG362" s="133" t="str">
        <f>IF(AF362="","",INDEX('#建筑消耗和buff配置索引'!AX:AX,MATCH($F362,'#建筑消耗和buff配置索引'!$M:$M,0)))</f>
        <v/>
      </c>
      <c r="AJ362" s="133" t="str">
        <f>IF(INDEX('#建筑消耗和buff配置索引'!BB:BB,MATCH($F362,'#建筑消耗和buff配置索引'!$M:$M,0))=0,"",INDEX('#建筑消耗和buff配置索引'!BB:BB,MATCH($F362,'#建筑消耗和buff配置索引'!$M:$M,0)))</f>
        <v/>
      </c>
      <c r="AK362" s="133" t="str">
        <f>IF(AJ362="","",INDEX('#建筑消耗和buff配置索引'!BC:BC,MATCH($F362,'#建筑消耗和buff配置索引'!$M:$M,0)))</f>
        <v/>
      </c>
      <c r="AN362" s="133" t="str">
        <f>IF(INDEX('#建筑消耗和buff配置索引'!BG:BG,MATCH($F362,'#建筑消耗和buff配置索引'!$M:$M,0))=0,"",INDEX('#建筑消耗和buff配置索引'!BG:BG,MATCH($F362,'#建筑消耗和buff配置索引'!$M:$M,0)))</f>
        <v/>
      </c>
      <c r="AO362" s="133" t="str">
        <f>IF(AN362="","",INDEX('#建筑消耗和buff配置索引'!BH:BH,MATCH($F362,'#建筑消耗和buff配置索引'!$M:$M,0)))</f>
        <v/>
      </c>
      <c r="AR362" s="133" t="str">
        <f>IF(INDEX('#建筑消耗和buff配置索引'!BK:BK,MATCH($F362,'#建筑消耗和buff配置索引'!$M:$M,0))=0,"",INDEX('#建筑消耗和buff配置索引'!BK:BK,MATCH($F362,'#建筑消耗和buff配置索引'!$M:$M,0)))</f>
        <v/>
      </c>
      <c r="AS362" s="133" t="str">
        <f>IF(AR362="","",INDEX('#建筑消耗和buff配置索引'!BL:BL,MATCH($F362,'#建筑消耗和buff配置索引'!$M:$M,0)))</f>
        <v/>
      </c>
      <c r="AV362" s="133" t="str">
        <f>IF(INDEX('#建筑消耗和buff配置索引'!BO:BO,MATCH($F362,'#建筑消耗和buff配置索引'!$M:$M,0))=0,"",INDEX('#建筑消耗和buff配置索引'!BO:BO,MATCH($F362,'#建筑消耗和buff配置索引'!$M:$M,0)))</f>
        <v/>
      </c>
      <c r="AW362" s="133" t="str">
        <f>IF(AV362="","",INDEX('#建筑消耗和buff配置索引'!BP:BP,MATCH($F362,'#建筑消耗和buff配置索引'!$M:$M,0)))</f>
        <v/>
      </c>
      <c r="AZ362" s="133" t="str">
        <f>IF(INDEX('#建筑消耗和buff配置索引'!BS:BS,MATCH($F362,'#建筑消耗和buff配置索引'!$M:$M,0))=0,"",INDEX('#建筑消耗和buff配置索引'!BS:BS,MATCH($F362,'#建筑消耗和buff配置索引'!$M:$M,0)))</f>
        <v/>
      </c>
      <c r="BA362" s="133" t="str">
        <f>IF(AZ362="","",INDEX('#建筑消耗和buff配置索引'!BT:BT,MATCH($F362,'#建筑消耗和buff配置索引'!$M:$M,0)))</f>
        <v/>
      </c>
      <c r="BD362" s="133" t="str">
        <f>IF(INDEX('#建筑消耗和buff配置索引'!BW:BW,MATCH($F362,'#建筑消耗和buff配置索引'!$M:$M,0))=0,"",INDEX('#建筑消耗和buff配置索引'!BW:BW,MATCH($F362,'#建筑消耗和buff配置索引'!$M:$M,0)))</f>
        <v/>
      </c>
      <c r="BE362" s="133" t="str">
        <f>IF(BD362="","",INDEX('#建筑消耗和buff配置索引'!BX:BX,MATCH($F362,'#建筑消耗和buff配置索引'!$M:$M,0)))</f>
        <v/>
      </c>
      <c r="BI362" s="133">
        <v>18</v>
      </c>
    </row>
    <row r="363" spans="1:66" s="133" customFormat="1">
      <c r="A363" s="133">
        <v>2270028</v>
      </c>
      <c r="B363" s="133">
        <v>360</v>
      </c>
      <c r="C363" s="133">
        <v>227</v>
      </c>
      <c r="D363" s="133" t="s">
        <v>940</v>
      </c>
      <c r="E363" s="133">
        <v>28</v>
      </c>
      <c r="F363" s="133" t="str">
        <f t="shared" si="7"/>
        <v>防卫塔28</v>
      </c>
      <c r="H363" s="146"/>
      <c r="I363" s="133">
        <v>3</v>
      </c>
      <c r="J363" s="150">
        <f>INDEX('#建筑消耗和buff配置索引'!AH:AH,MATCH($F363,'#建筑消耗和buff配置索引'!$M:$M,0))</f>
        <v>583200</v>
      </c>
      <c r="K363" s="150">
        <f>INDEX('#建筑消耗和buff配置索引'!AA:AA,MATCH($F363,'#建筑消耗和buff配置索引'!$M:$M,0))</f>
        <v>7100000</v>
      </c>
      <c r="L363" s="150">
        <f>INDEX('#建筑消耗和buff配置索引'!AB:AB,MATCH($F363,'#建筑消耗和buff配置索引'!$M:$M,0))</f>
        <v>7100000</v>
      </c>
      <c r="M363" s="150">
        <f>INDEX('#建筑消耗和buff配置索引'!AC:AC,MATCH($F363,'#建筑消耗和buff配置索引'!$M:$M,0))</f>
        <v>14000000</v>
      </c>
      <c r="N363" s="150">
        <f>INDEX('#建筑消耗和buff配置索引'!AD:AD,MATCH($F363,'#建筑消耗和buff配置索引'!$M:$M,0))</f>
        <v>7100000</v>
      </c>
      <c r="O363" s="150">
        <v>2068</v>
      </c>
      <c r="P363" s="133">
        <f>IF(INDEX('#建筑消耗和buff配置索引'!U:U,MATCH($F363,'#建筑消耗和buff配置索引'!$M:$M,0))=0,"",INDEX('#建筑消耗和buff配置索引'!U:U,MATCH($F363,'#建筑消耗和buff配置索引'!$M:$M,0)))</f>
        <v>310</v>
      </c>
      <c r="Q363" s="133" t="str">
        <f>IF(INDEX('#建筑消耗和buff配置索引'!K:K,MATCH($F363,'#建筑消耗和buff配置索引'!$M:$M,0))=0,"",INDEX('#建筑消耗和buff配置索引'!K:K,MATCH($F363,'#建筑消耗和buff配置索引'!$M:$M,0)))</f>
        <v>201;215</v>
      </c>
      <c r="R363" s="133" t="str">
        <f>IF(INDEX('#建筑消耗和buff配置索引'!L:L,MATCH($F363,'#建筑消耗和buff配置索引'!$M:$M,0))=0,"",INDEX('#建筑消耗和buff配置索引'!L:L,MATCH($F363,'#建筑消耗和buff配置索引'!$M:$M,0)))</f>
        <v>28;28</v>
      </c>
      <c r="S363" s="133">
        <f>IF(INDEX('#建筑消耗和buff配置索引'!C:C,MATCH(F363,'#建筑消耗和buff配置索引'!M:M,0))=0,1,INDEX('#建筑消耗和buff配置索引'!C:C,MATCH(F363,'#建筑消耗和buff配置索引'!M:M,0)))</f>
        <v>2</v>
      </c>
      <c r="T363" s="133">
        <v>0</v>
      </c>
      <c r="U363" s="133">
        <v>0</v>
      </c>
      <c r="V363" s="133" t="str">
        <f>IF(E363=1,IF(INDEX('#建筑消耗和buff配置索引'!BY:BY,MATCH(D363,'#建筑消耗和buff配置索引'!A:A,0))=0,"",INDEX('#建筑消耗和buff配置索引'!BY:BY,MATCH(D363,'#建筑消耗和buff配置索引'!A:A,0))),"")</f>
        <v/>
      </c>
      <c r="W363" s="133" t="str">
        <f>IF(E363=1,IF(INDEX('#建筑消耗和buff配置索引'!BZ:BZ,MATCH(D363,'#建筑消耗和buff配置索引'!A:A,0))=0,"",INDEX('#建筑消耗和buff配置索引'!BZ:BZ,MATCH(D363,'#建筑消耗和buff配置索引'!A:A,0))),"")</f>
        <v/>
      </c>
      <c r="AA363" s="133">
        <f>INDEX('#建筑消耗和buff配置索引'!AO:AO,MATCH($F363,'#建筑消耗和buff配置索引'!$M:$M,0))</f>
        <v>320616</v>
      </c>
      <c r="AB363" s="133">
        <f>IF(INDEX('#建筑消耗和buff配置索引'!AR:AR,MATCH($F363,'#建筑消耗和buff配置索引'!$M:$M,0))=0,"",INDEX('#建筑消耗和buff配置索引'!AR:AR,MATCH($F363,'#建筑消耗和buff配置索引'!$M:$M,0)))</f>
        <v>4207</v>
      </c>
      <c r="AC363" s="133">
        <f>IF(AB363="","",INDEX('#建筑消耗和buff配置索引'!AS:AS,MATCH($F363,'#建筑消耗和buff配置索引'!$M:$M,0)))</f>
        <v>2160</v>
      </c>
      <c r="AF363" s="133" t="str">
        <f>IF(INDEX('#建筑消耗和buff配置索引'!AW:AW,MATCH($F363,'#建筑消耗和buff配置索引'!$M:$M,0))=0,"",INDEX('#建筑消耗和buff配置索引'!AW:AW,MATCH($F363,'#建筑消耗和buff配置索引'!$M:$M,0)))</f>
        <v/>
      </c>
      <c r="AG363" s="133" t="str">
        <f>IF(AF363="","",INDEX('#建筑消耗和buff配置索引'!AX:AX,MATCH($F363,'#建筑消耗和buff配置索引'!$M:$M,0)))</f>
        <v/>
      </c>
      <c r="AJ363" s="133" t="str">
        <f>IF(INDEX('#建筑消耗和buff配置索引'!BB:BB,MATCH($F363,'#建筑消耗和buff配置索引'!$M:$M,0))=0,"",INDEX('#建筑消耗和buff配置索引'!BB:BB,MATCH($F363,'#建筑消耗和buff配置索引'!$M:$M,0)))</f>
        <v/>
      </c>
      <c r="AK363" s="133" t="str">
        <f>IF(AJ363="","",INDEX('#建筑消耗和buff配置索引'!BC:BC,MATCH($F363,'#建筑消耗和buff配置索引'!$M:$M,0)))</f>
        <v/>
      </c>
      <c r="AN363" s="133" t="str">
        <f>IF(INDEX('#建筑消耗和buff配置索引'!BG:BG,MATCH($F363,'#建筑消耗和buff配置索引'!$M:$M,0))=0,"",INDEX('#建筑消耗和buff配置索引'!BG:BG,MATCH($F363,'#建筑消耗和buff配置索引'!$M:$M,0)))</f>
        <v/>
      </c>
      <c r="AO363" s="133" t="str">
        <f>IF(AN363="","",INDEX('#建筑消耗和buff配置索引'!BH:BH,MATCH($F363,'#建筑消耗和buff配置索引'!$M:$M,0)))</f>
        <v/>
      </c>
      <c r="AR363" s="133" t="str">
        <f>IF(INDEX('#建筑消耗和buff配置索引'!BK:BK,MATCH($F363,'#建筑消耗和buff配置索引'!$M:$M,0))=0,"",INDEX('#建筑消耗和buff配置索引'!BK:BK,MATCH($F363,'#建筑消耗和buff配置索引'!$M:$M,0)))</f>
        <v/>
      </c>
      <c r="AS363" s="133" t="str">
        <f>IF(AR363="","",INDEX('#建筑消耗和buff配置索引'!BL:BL,MATCH($F363,'#建筑消耗和buff配置索引'!$M:$M,0)))</f>
        <v/>
      </c>
      <c r="AV363" s="133" t="str">
        <f>IF(INDEX('#建筑消耗和buff配置索引'!BO:BO,MATCH($F363,'#建筑消耗和buff配置索引'!$M:$M,0))=0,"",INDEX('#建筑消耗和buff配置索引'!BO:BO,MATCH($F363,'#建筑消耗和buff配置索引'!$M:$M,0)))</f>
        <v/>
      </c>
      <c r="AW363" s="133" t="str">
        <f>IF(AV363="","",INDEX('#建筑消耗和buff配置索引'!BP:BP,MATCH($F363,'#建筑消耗和buff配置索引'!$M:$M,0)))</f>
        <v/>
      </c>
      <c r="AZ363" s="133" t="str">
        <f>IF(INDEX('#建筑消耗和buff配置索引'!BS:BS,MATCH($F363,'#建筑消耗和buff配置索引'!$M:$M,0))=0,"",INDEX('#建筑消耗和buff配置索引'!BS:BS,MATCH($F363,'#建筑消耗和buff配置索引'!$M:$M,0)))</f>
        <v/>
      </c>
      <c r="BA363" s="133" t="str">
        <f>IF(AZ363="","",INDEX('#建筑消耗和buff配置索引'!BT:BT,MATCH($F363,'#建筑消耗和buff配置索引'!$M:$M,0)))</f>
        <v/>
      </c>
      <c r="BD363" s="133" t="str">
        <f>IF(INDEX('#建筑消耗和buff配置索引'!BW:BW,MATCH($F363,'#建筑消耗和buff配置索引'!$M:$M,0))=0,"",INDEX('#建筑消耗和buff配置索引'!BW:BW,MATCH($F363,'#建筑消耗和buff配置索引'!$M:$M,0)))</f>
        <v/>
      </c>
      <c r="BE363" s="133" t="str">
        <f>IF(BD363="","",INDEX('#建筑消耗和buff配置索引'!BX:BX,MATCH($F363,'#建筑消耗和buff配置索引'!$M:$M,0)))</f>
        <v/>
      </c>
      <c r="BI363" s="133">
        <v>18</v>
      </c>
    </row>
    <row r="364" spans="1:66" s="133" customFormat="1">
      <c r="A364" s="133">
        <v>2270029</v>
      </c>
      <c r="B364" s="133">
        <v>361</v>
      </c>
      <c r="C364" s="133">
        <v>227</v>
      </c>
      <c r="D364" s="133" t="s">
        <v>940</v>
      </c>
      <c r="E364" s="133">
        <v>29</v>
      </c>
      <c r="F364" s="133" t="str">
        <f t="shared" si="7"/>
        <v>防卫塔29</v>
      </c>
      <c r="H364" s="146"/>
      <c r="I364" s="133">
        <v>3</v>
      </c>
      <c r="J364" s="150">
        <f>INDEX('#建筑消耗和buff配置索引'!AH:AH,MATCH($F364,'#建筑消耗和buff配置索引'!$M:$M,0))</f>
        <v>712800</v>
      </c>
      <c r="K364" s="150">
        <f>INDEX('#建筑消耗和buff配置索引'!AA:AA,MATCH($F364,'#建筑消耗和buff配置索引'!$M:$M,0))</f>
        <v>9100000</v>
      </c>
      <c r="L364" s="150">
        <f>INDEX('#建筑消耗和buff配置索引'!AB:AB,MATCH($F364,'#建筑消耗和buff配置索引'!$M:$M,0))</f>
        <v>9100000</v>
      </c>
      <c r="M364" s="150">
        <f>INDEX('#建筑消耗和buff配置索引'!AC:AC,MATCH($F364,'#建筑消耗和buff配置索引'!$M:$M,0))</f>
        <v>18000000</v>
      </c>
      <c r="N364" s="150">
        <f>INDEX('#建筑消耗和buff配置索引'!AD:AD,MATCH($F364,'#建筑消耗和buff配置索引'!$M:$M,0))</f>
        <v>9100000</v>
      </c>
      <c r="O364" s="150">
        <v>2068</v>
      </c>
      <c r="P364" s="133">
        <f>IF(INDEX('#建筑消耗和buff配置索引'!U:U,MATCH($F364,'#建筑消耗和buff配置索引'!$M:$M,0))=0,"",INDEX('#建筑消耗和buff配置索引'!U:U,MATCH($F364,'#建筑消耗和buff配置索引'!$M:$M,0)))</f>
        <v>335</v>
      </c>
      <c r="Q364" s="133" t="str">
        <f>IF(INDEX('#建筑消耗和buff配置索引'!K:K,MATCH($F364,'#建筑消耗和buff配置索引'!$M:$M,0))=0,"",INDEX('#建筑消耗和buff配置索引'!K:K,MATCH($F364,'#建筑消耗和buff配置索引'!$M:$M,0)))</f>
        <v>201;215</v>
      </c>
      <c r="R364" s="133" t="str">
        <f>IF(INDEX('#建筑消耗和buff配置索引'!L:L,MATCH($F364,'#建筑消耗和buff配置索引'!$M:$M,0))=0,"",INDEX('#建筑消耗和buff配置索引'!L:L,MATCH($F364,'#建筑消耗和buff配置索引'!$M:$M,0)))</f>
        <v>29;29</v>
      </c>
      <c r="S364" s="133">
        <f>IF(INDEX('#建筑消耗和buff配置索引'!C:C,MATCH(F364,'#建筑消耗和buff配置索引'!M:M,0))=0,1,INDEX('#建筑消耗和buff配置索引'!C:C,MATCH(F364,'#建筑消耗和buff配置索引'!M:M,0)))</f>
        <v>2</v>
      </c>
      <c r="T364" s="133">
        <v>0</v>
      </c>
      <c r="U364" s="133">
        <v>0</v>
      </c>
      <c r="V364" s="133" t="str">
        <f>IF(E364=1,IF(INDEX('#建筑消耗和buff配置索引'!BY:BY,MATCH(D364,'#建筑消耗和buff配置索引'!A:A,0))=0,"",INDEX('#建筑消耗和buff配置索引'!BY:BY,MATCH(D364,'#建筑消耗和buff配置索引'!A:A,0))),"")</f>
        <v/>
      </c>
      <c r="W364" s="133" t="str">
        <f>IF(E364=1,IF(INDEX('#建筑消耗和buff配置索引'!BZ:BZ,MATCH(D364,'#建筑消耗和buff配置索引'!A:A,0))=0,"",INDEX('#建筑消耗和buff配置索引'!BZ:BZ,MATCH(D364,'#建筑消耗和buff配置索引'!A:A,0))),"")</f>
        <v/>
      </c>
      <c r="AA364" s="133">
        <f>INDEX('#建筑消耗和buff配置索引'!AO:AO,MATCH($F364,'#建筑消耗和buff配置索引'!$M:$M,0))</f>
        <v>411143</v>
      </c>
      <c r="AB364" s="133">
        <f>IF(INDEX('#建筑消耗和buff配置索引'!AR:AR,MATCH($F364,'#建筑消耗和buff配置索引'!$M:$M,0))=0,"",INDEX('#建筑消耗和buff配置索引'!AR:AR,MATCH($F364,'#建筑消耗和buff配置索引'!$M:$M,0)))</f>
        <v>4207</v>
      </c>
      <c r="AC364" s="133">
        <f>IF(AB364="","",INDEX('#建筑消耗和buff配置索引'!AS:AS,MATCH($F364,'#建筑消耗和buff配置索引'!$M:$M,0)))</f>
        <v>2400</v>
      </c>
      <c r="AF364" s="133" t="str">
        <f>IF(INDEX('#建筑消耗和buff配置索引'!AW:AW,MATCH($F364,'#建筑消耗和buff配置索引'!$M:$M,0))=0,"",INDEX('#建筑消耗和buff配置索引'!AW:AW,MATCH($F364,'#建筑消耗和buff配置索引'!$M:$M,0)))</f>
        <v/>
      </c>
      <c r="AG364" s="133" t="str">
        <f>IF(AF364="","",INDEX('#建筑消耗和buff配置索引'!AX:AX,MATCH($F364,'#建筑消耗和buff配置索引'!$M:$M,0)))</f>
        <v/>
      </c>
      <c r="AJ364" s="133" t="str">
        <f>IF(INDEX('#建筑消耗和buff配置索引'!BB:BB,MATCH($F364,'#建筑消耗和buff配置索引'!$M:$M,0))=0,"",INDEX('#建筑消耗和buff配置索引'!BB:BB,MATCH($F364,'#建筑消耗和buff配置索引'!$M:$M,0)))</f>
        <v/>
      </c>
      <c r="AK364" s="133" t="str">
        <f>IF(AJ364="","",INDEX('#建筑消耗和buff配置索引'!BC:BC,MATCH($F364,'#建筑消耗和buff配置索引'!$M:$M,0)))</f>
        <v/>
      </c>
      <c r="AN364" s="133" t="str">
        <f>IF(INDEX('#建筑消耗和buff配置索引'!BG:BG,MATCH($F364,'#建筑消耗和buff配置索引'!$M:$M,0))=0,"",INDEX('#建筑消耗和buff配置索引'!BG:BG,MATCH($F364,'#建筑消耗和buff配置索引'!$M:$M,0)))</f>
        <v/>
      </c>
      <c r="AO364" s="133" t="str">
        <f>IF(AN364="","",INDEX('#建筑消耗和buff配置索引'!BH:BH,MATCH($F364,'#建筑消耗和buff配置索引'!$M:$M,0)))</f>
        <v/>
      </c>
      <c r="AR364" s="133" t="str">
        <f>IF(INDEX('#建筑消耗和buff配置索引'!BK:BK,MATCH($F364,'#建筑消耗和buff配置索引'!$M:$M,0))=0,"",INDEX('#建筑消耗和buff配置索引'!BK:BK,MATCH($F364,'#建筑消耗和buff配置索引'!$M:$M,0)))</f>
        <v/>
      </c>
      <c r="AS364" s="133" t="str">
        <f>IF(AR364="","",INDEX('#建筑消耗和buff配置索引'!BL:BL,MATCH($F364,'#建筑消耗和buff配置索引'!$M:$M,0)))</f>
        <v/>
      </c>
      <c r="AV364" s="133" t="str">
        <f>IF(INDEX('#建筑消耗和buff配置索引'!BO:BO,MATCH($F364,'#建筑消耗和buff配置索引'!$M:$M,0))=0,"",INDEX('#建筑消耗和buff配置索引'!BO:BO,MATCH($F364,'#建筑消耗和buff配置索引'!$M:$M,0)))</f>
        <v/>
      </c>
      <c r="AW364" s="133" t="str">
        <f>IF(AV364="","",INDEX('#建筑消耗和buff配置索引'!BP:BP,MATCH($F364,'#建筑消耗和buff配置索引'!$M:$M,0)))</f>
        <v/>
      </c>
      <c r="AZ364" s="133" t="str">
        <f>IF(INDEX('#建筑消耗和buff配置索引'!BS:BS,MATCH($F364,'#建筑消耗和buff配置索引'!$M:$M,0))=0,"",INDEX('#建筑消耗和buff配置索引'!BS:BS,MATCH($F364,'#建筑消耗和buff配置索引'!$M:$M,0)))</f>
        <v/>
      </c>
      <c r="BA364" s="133" t="str">
        <f>IF(AZ364="","",INDEX('#建筑消耗和buff配置索引'!BT:BT,MATCH($F364,'#建筑消耗和buff配置索引'!$M:$M,0)))</f>
        <v/>
      </c>
      <c r="BD364" s="133" t="str">
        <f>IF(INDEX('#建筑消耗和buff配置索引'!BW:BW,MATCH($F364,'#建筑消耗和buff配置索引'!$M:$M,0))=0,"",INDEX('#建筑消耗和buff配置索引'!BW:BW,MATCH($F364,'#建筑消耗和buff配置索引'!$M:$M,0)))</f>
        <v/>
      </c>
      <c r="BE364" s="133" t="str">
        <f>IF(BD364="","",INDEX('#建筑消耗和buff配置索引'!BX:BX,MATCH($F364,'#建筑消耗和buff配置索引'!$M:$M,0)))</f>
        <v/>
      </c>
      <c r="BI364" s="133">
        <v>18</v>
      </c>
    </row>
    <row r="365" spans="1:66" s="133" customFormat="1">
      <c r="A365" s="133">
        <v>2270030</v>
      </c>
      <c r="B365" s="133">
        <v>362</v>
      </c>
      <c r="C365" s="133">
        <v>227</v>
      </c>
      <c r="D365" s="133" t="s">
        <v>940</v>
      </c>
      <c r="E365" s="133">
        <v>30</v>
      </c>
      <c r="F365" s="133" t="str">
        <f t="shared" si="7"/>
        <v>防卫塔30</v>
      </c>
      <c r="H365" s="146"/>
      <c r="I365" s="133">
        <v>3</v>
      </c>
      <c r="J365" s="150">
        <f>INDEX('#建筑消耗和buff配置索引'!AH:AH,MATCH($F365,'#建筑消耗和buff配置索引'!$M:$M,0))</f>
        <v>864000</v>
      </c>
      <c r="K365" s="150">
        <f>INDEX('#建筑消耗和buff配置索引'!AA:AA,MATCH($F365,'#建筑消耗和buff配置索引'!$M:$M,0))</f>
        <v>12000000</v>
      </c>
      <c r="L365" s="150">
        <f>INDEX('#建筑消耗和buff配置索引'!AB:AB,MATCH($F365,'#建筑消耗和buff配置索引'!$M:$M,0))</f>
        <v>12000000</v>
      </c>
      <c r="M365" s="150">
        <f>INDEX('#建筑消耗和buff配置索引'!AC:AC,MATCH($F365,'#建筑消耗和buff配置索引'!$M:$M,0))</f>
        <v>23000000</v>
      </c>
      <c r="N365" s="150">
        <f>INDEX('#建筑消耗和buff配置索引'!AD:AD,MATCH($F365,'#建筑消耗和buff配置索引'!$M:$M,0))</f>
        <v>12000000</v>
      </c>
      <c r="O365" s="150">
        <v>2068</v>
      </c>
      <c r="P365" s="133">
        <f>IF(INDEX('#建筑消耗和buff配置索引'!U:U,MATCH($F365,'#建筑消耗和buff配置索引'!$M:$M,0))=0,"",INDEX('#建筑消耗和buff配置索引'!U:U,MATCH($F365,'#建筑消耗和buff配置索引'!$M:$M,0)))</f>
        <v>360</v>
      </c>
      <c r="Q365" s="133" t="str">
        <f>IF(INDEX('#建筑消耗和buff配置索引'!K:K,MATCH($F365,'#建筑消耗和buff配置索引'!$M:$M,0))=0,"",INDEX('#建筑消耗和buff配置索引'!K:K,MATCH($F365,'#建筑消耗和buff配置索引'!$M:$M,0)))</f>
        <v>201;215</v>
      </c>
      <c r="R365" s="133" t="str">
        <f>IF(INDEX('#建筑消耗和buff配置索引'!L:L,MATCH($F365,'#建筑消耗和buff配置索引'!$M:$M,0))=0,"",INDEX('#建筑消耗和buff配置索引'!L:L,MATCH($F365,'#建筑消耗和buff配置索引'!$M:$M,0)))</f>
        <v>30;30</v>
      </c>
      <c r="S365" s="133">
        <f>IF(INDEX('#建筑消耗和buff配置索引'!C:C,MATCH(F365,'#建筑消耗和buff配置索引'!M:M,0))=0,1,INDEX('#建筑消耗和buff配置索引'!C:C,MATCH(F365,'#建筑消耗和buff配置索引'!M:M,0)))</f>
        <v>2</v>
      </c>
      <c r="T365" s="133">
        <v>0</v>
      </c>
      <c r="U365" s="133">
        <v>0</v>
      </c>
      <c r="V365" s="133" t="str">
        <f>IF(E365=1,IF(INDEX('#建筑消耗和buff配置索引'!BY:BY,MATCH(D365,'#建筑消耗和buff配置索引'!A:A,0))=0,"",INDEX('#建筑消耗和buff配置索引'!BY:BY,MATCH(D365,'#建筑消耗和buff配置索引'!A:A,0))),"")</f>
        <v/>
      </c>
      <c r="W365" s="133" t="str">
        <f>IF(E365=1,IF(INDEX('#建筑消耗和buff配置索引'!BZ:BZ,MATCH(D365,'#建筑消耗和buff配置索引'!A:A,0))=0,"",INDEX('#建筑消耗和buff配置索引'!BZ:BZ,MATCH(D365,'#建筑消耗和buff配置索引'!A:A,0))),"")</f>
        <v/>
      </c>
      <c r="AA365" s="133">
        <f>INDEX('#建筑消耗和buff配置索引'!AO:AO,MATCH($F365,'#建筑消耗和buff配置索引'!$M:$M,0))</f>
        <v>527017</v>
      </c>
      <c r="AB365" s="133">
        <f>IF(INDEX('#建筑消耗和buff配置索引'!AR:AR,MATCH($F365,'#建筑消耗和buff配置索引'!$M:$M,0))=0,"",INDEX('#建筑消耗和buff配置索引'!AR:AR,MATCH($F365,'#建筑消耗和buff配置索引'!$M:$M,0)))</f>
        <v>4207</v>
      </c>
      <c r="AC365" s="133">
        <f>IF(AB365="","",INDEX('#建筑消耗和buff配置索引'!AS:AS,MATCH($F365,'#建筑消耗和buff配置索引'!$M:$M,0)))</f>
        <v>2700</v>
      </c>
      <c r="AF365" s="133" t="str">
        <f>IF(INDEX('#建筑消耗和buff配置索引'!AW:AW,MATCH($F365,'#建筑消耗和buff配置索引'!$M:$M,0))=0,"",INDEX('#建筑消耗和buff配置索引'!AW:AW,MATCH($F365,'#建筑消耗和buff配置索引'!$M:$M,0)))</f>
        <v/>
      </c>
      <c r="AG365" s="133" t="str">
        <f>IF(AF365="","",INDEX('#建筑消耗和buff配置索引'!AX:AX,MATCH($F365,'#建筑消耗和buff配置索引'!$M:$M,0)))</f>
        <v/>
      </c>
      <c r="AJ365" s="133" t="str">
        <f>IF(INDEX('#建筑消耗和buff配置索引'!BB:BB,MATCH($F365,'#建筑消耗和buff配置索引'!$M:$M,0))=0,"",INDEX('#建筑消耗和buff配置索引'!BB:BB,MATCH($F365,'#建筑消耗和buff配置索引'!$M:$M,0)))</f>
        <v/>
      </c>
      <c r="AK365" s="133" t="str">
        <f>IF(AJ365="","",INDEX('#建筑消耗和buff配置索引'!BC:BC,MATCH($F365,'#建筑消耗和buff配置索引'!$M:$M,0)))</f>
        <v/>
      </c>
      <c r="AN365" s="133" t="str">
        <f>IF(INDEX('#建筑消耗和buff配置索引'!BG:BG,MATCH($F365,'#建筑消耗和buff配置索引'!$M:$M,0))=0,"",INDEX('#建筑消耗和buff配置索引'!BG:BG,MATCH($F365,'#建筑消耗和buff配置索引'!$M:$M,0)))</f>
        <v/>
      </c>
      <c r="AO365" s="133" t="str">
        <f>IF(AN365="","",INDEX('#建筑消耗和buff配置索引'!BH:BH,MATCH($F365,'#建筑消耗和buff配置索引'!$M:$M,0)))</f>
        <v/>
      </c>
      <c r="AR365" s="133" t="str">
        <f>IF(INDEX('#建筑消耗和buff配置索引'!BK:BK,MATCH($F365,'#建筑消耗和buff配置索引'!$M:$M,0))=0,"",INDEX('#建筑消耗和buff配置索引'!BK:BK,MATCH($F365,'#建筑消耗和buff配置索引'!$M:$M,0)))</f>
        <v/>
      </c>
      <c r="AS365" s="133" t="str">
        <f>IF(AR365="","",INDEX('#建筑消耗和buff配置索引'!BL:BL,MATCH($F365,'#建筑消耗和buff配置索引'!$M:$M,0)))</f>
        <v/>
      </c>
      <c r="AV365" s="133" t="str">
        <f>IF(INDEX('#建筑消耗和buff配置索引'!BO:BO,MATCH($F365,'#建筑消耗和buff配置索引'!$M:$M,0))=0,"",INDEX('#建筑消耗和buff配置索引'!BO:BO,MATCH($F365,'#建筑消耗和buff配置索引'!$M:$M,0)))</f>
        <v/>
      </c>
      <c r="AW365" s="133" t="str">
        <f>IF(AV365="","",INDEX('#建筑消耗和buff配置索引'!BP:BP,MATCH($F365,'#建筑消耗和buff配置索引'!$M:$M,0)))</f>
        <v/>
      </c>
      <c r="AZ365" s="133" t="str">
        <f>IF(INDEX('#建筑消耗和buff配置索引'!BS:BS,MATCH($F365,'#建筑消耗和buff配置索引'!$M:$M,0))=0,"",INDEX('#建筑消耗和buff配置索引'!BS:BS,MATCH($F365,'#建筑消耗和buff配置索引'!$M:$M,0)))</f>
        <v/>
      </c>
      <c r="BA365" s="133" t="str">
        <f>IF(AZ365="","",INDEX('#建筑消耗和buff配置索引'!BT:BT,MATCH($F365,'#建筑消耗和buff配置索引'!$M:$M,0)))</f>
        <v/>
      </c>
      <c r="BD365" s="133" t="str">
        <f>IF(INDEX('#建筑消耗和buff配置索引'!BW:BW,MATCH($F365,'#建筑消耗和buff配置索引'!$M:$M,0))=0,"",INDEX('#建筑消耗和buff配置索引'!BW:BW,MATCH($F365,'#建筑消耗和buff配置索引'!$M:$M,0)))</f>
        <v/>
      </c>
      <c r="BE365" s="133" t="str">
        <f>IF(BD365="","",INDEX('#建筑消耗和buff配置索引'!BX:BX,MATCH($F365,'#建筑消耗和buff配置索引'!$M:$M,0)))</f>
        <v/>
      </c>
      <c r="BI365" s="133">
        <v>18</v>
      </c>
    </row>
    <row r="366" spans="1:66" s="133" customFormat="1">
      <c r="A366" s="133">
        <v>2290001</v>
      </c>
      <c r="B366" s="133">
        <v>363</v>
      </c>
      <c r="C366" s="133">
        <v>229</v>
      </c>
      <c r="D366" s="133" t="s">
        <v>515</v>
      </c>
      <c r="E366" s="133">
        <v>1</v>
      </c>
      <c r="F366" s="133" t="str">
        <f t="shared" si="7"/>
        <v>战争大厅1</v>
      </c>
      <c r="H366" s="146"/>
      <c r="I366" s="133" t="s">
        <v>1205</v>
      </c>
      <c r="J366" s="150">
        <f>INDEX('#建筑消耗和buff配置索引'!AH:AH,MATCH($F366,'#建筑消耗和buff配置索引'!$M:$M,0))</f>
        <v>25</v>
      </c>
      <c r="K366" s="150">
        <f>INDEX('#建筑消耗和buff配置索引'!AA:AA,MATCH($F366,'#建筑消耗和buff配置索引'!$M:$M,0))</f>
        <v>0</v>
      </c>
      <c r="L366" s="150">
        <f>INDEX('#建筑消耗和buff配置索引'!AB:AB,MATCH($F366,'#建筑消耗和buff配置索引'!$M:$M,0))</f>
        <v>0</v>
      </c>
      <c r="M366" s="150">
        <f>INDEX('#建筑消耗和buff配置索引'!AC:AC,MATCH($F366,'#建筑消耗和buff配置索引'!$M:$M,0))</f>
        <v>0</v>
      </c>
      <c r="N366" s="150">
        <f>INDEX('#建筑消耗和buff配置索引'!AD:AD,MATCH($F366,'#建筑消耗和buff配置索引'!$M:$M,0))</f>
        <v>0</v>
      </c>
      <c r="O366" s="150" t="str">
        <f>IF(INDEX('#建筑消耗和buff配置索引'!T:T,MATCH($F366,'#建筑消耗和buff配置索引'!$M:$M,0))=0,"",INDEX('#建筑消耗和buff配置索引'!T:T,MATCH($F366,'#建筑消耗和buff配置索引'!$M:$M,0)))</f>
        <v/>
      </c>
      <c r="P366" s="133" t="str">
        <f>IF(INDEX('#建筑消耗和buff配置索引'!U:U,MATCH($F366,'#建筑消耗和buff配置索引'!$M:$M,0))=0,"",INDEX('#建筑消耗和buff配置索引'!U:U,MATCH($F366,'#建筑消耗和buff配置索引'!$M:$M,0)))</f>
        <v/>
      </c>
      <c r="Q366" s="133" t="str">
        <f>IF(INDEX('#建筑消耗和buff配置索引'!K:K,MATCH($F366,'#建筑消耗和buff配置索引'!$M:$M,0))=0,"",INDEX('#建筑消耗和buff配置索引'!K:K,MATCH($F366,'#建筑消耗和buff配置索引'!$M:$M,0)))</f>
        <v>201</v>
      </c>
      <c r="R366" s="133" t="str">
        <f>IF(INDEX('#建筑消耗和buff配置索引'!L:L,MATCH($F366,'#建筑消耗和buff配置索引'!$M:$M,0))=0,"",INDEX('#建筑消耗和buff配置索引'!L:L,MATCH($F366,'#建筑消耗和buff配置索引'!$M:$M,0)))</f>
        <v>12</v>
      </c>
      <c r="S366" s="133">
        <f>IF(INDEX('#建筑消耗和buff配置索引'!C:C,MATCH(F366,'#建筑消耗和buff配置索引'!M:M,0))=0,1,INDEX('#建筑消耗和buff配置索引'!C:C,MATCH(F366,'#建筑消耗和buff配置索引'!M:M,0)))</f>
        <v>3</v>
      </c>
      <c r="T366" s="133">
        <v>0</v>
      </c>
      <c r="U366" s="133">
        <v>0</v>
      </c>
      <c r="V366" s="133" t="str">
        <f>IF(E366=1,IF(INDEX('#建筑消耗和buff配置索引'!BY:BY,MATCH(D366,'#建筑消耗和buff配置索引'!A:A,0))=0,"",INDEX('#建筑消耗和buff配置索引'!BY:BY,MATCH(D366,'#建筑消耗和buff配置索引'!A:A,0))),"")</f>
        <v>1:2</v>
      </c>
      <c r="W366" s="133" t="str">
        <f>IF(E366=1,IF(INDEX('#建筑消耗和buff配置索引'!BZ:BZ,MATCH(D366,'#建筑消耗和buff配置索引'!A:A,0))=0,"",INDEX('#建筑消耗和buff配置索引'!BZ:BZ,MATCH(D366,'#建筑消耗和buff配置索引'!A:A,0))),"")</f>
        <v>TID_Buff_BuilDetail_1254:TID_Buff_BuilDetail_10000401</v>
      </c>
      <c r="AA366" s="133">
        <f>INDEX('#建筑消耗和buff配置索引'!AO:AO,MATCH($F366,'#建筑消耗和buff配置索引'!$M:$M,0))</f>
        <v>7</v>
      </c>
      <c r="AB366" s="133">
        <f>IF(INDEX('#建筑消耗和buff配置索引'!AR:AR,MATCH($F366,'#建筑消耗和buff配置索引'!$M:$M,0))=0,"",INDEX('#建筑消耗和buff配置索引'!AR:AR,MATCH($F366,'#建筑消耗和buff配置索引'!$M:$M,0)))</f>
        <v>1254</v>
      </c>
      <c r="AC366" s="133">
        <f>IF(AB366="","",INDEX('#建筑消耗和buff配置索引'!AS:AS,MATCH($F366,'#建筑消耗和buff配置索引'!$M:$M,0)))</f>
        <v>100000</v>
      </c>
      <c r="AF366" s="133">
        <f>IF(INDEX('#建筑消耗和buff配置索引'!AW:AW,MATCH($F366,'#建筑消耗和buff配置索引'!$M:$M,0))=0,"",INDEX('#建筑消耗和buff配置索引'!AW:AW,MATCH($F366,'#建筑消耗和buff配置索引'!$M:$M,0)))</f>
        <v>10000401</v>
      </c>
      <c r="AG366" s="133">
        <f>IF(AF366="","",INDEX('#建筑消耗和buff配置索引'!AX:AX,MATCH($F366,'#建筑消耗和buff配置索引'!$M:$M,0)))</f>
        <v>20000</v>
      </c>
      <c r="AJ366" s="133" t="str">
        <f>IF(INDEX('#建筑消耗和buff配置索引'!BB:BB,MATCH($F366,'#建筑消耗和buff配置索引'!$M:$M,0))=0,"",INDEX('#建筑消耗和buff配置索引'!BB:BB,MATCH($F366,'#建筑消耗和buff配置索引'!$M:$M,0)))</f>
        <v/>
      </c>
      <c r="AK366" s="133" t="str">
        <f>IF(AJ366="","",INDEX('#建筑消耗和buff配置索引'!BC:BC,MATCH($F366,'#建筑消耗和buff配置索引'!$M:$M,0)))</f>
        <v/>
      </c>
      <c r="AN366" s="133" t="str">
        <f>IF(INDEX('#建筑消耗和buff配置索引'!BG:BG,MATCH($F366,'#建筑消耗和buff配置索引'!$M:$M,0))=0,"",INDEX('#建筑消耗和buff配置索引'!BG:BG,MATCH($F366,'#建筑消耗和buff配置索引'!$M:$M,0)))</f>
        <v/>
      </c>
      <c r="AO366" s="133" t="str">
        <f>IF(AN366="","",INDEX('#建筑消耗和buff配置索引'!BH:BH,MATCH($F366,'#建筑消耗和buff配置索引'!$M:$M,0)))</f>
        <v/>
      </c>
      <c r="AR366" s="133" t="str">
        <f>IF(INDEX('#建筑消耗和buff配置索引'!BK:BK,MATCH($F366,'#建筑消耗和buff配置索引'!$M:$M,0))=0,"",INDEX('#建筑消耗和buff配置索引'!BK:BK,MATCH($F366,'#建筑消耗和buff配置索引'!$M:$M,0)))</f>
        <v/>
      </c>
      <c r="AS366" s="133" t="str">
        <f>IF(AR366="","",INDEX('#建筑消耗和buff配置索引'!BL:BL,MATCH($F366,'#建筑消耗和buff配置索引'!$M:$M,0)))</f>
        <v/>
      </c>
      <c r="AV366" s="133" t="str">
        <f>IF(INDEX('#建筑消耗和buff配置索引'!BO:BO,MATCH($F366,'#建筑消耗和buff配置索引'!$M:$M,0))=0,"",INDEX('#建筑消耗和buff配置索引'!BO:BO,MATCH($F366,'#建筑消耗和buff配置索引'!$M:$M,0)))</f>
        <v/>
      </c>
      <c r="AW366" s="133" t="str">
        <f>IF(AV366="","",INDEX('#建筑消耗和buff配置索引'!BP:BP,MATCH($F366,'#建筑消耗和buff配置索引'!$M:$M,0)))</f>
        <v/>
      </c>
      <c r="AZ366" s="133" t="str">
        <f>IF(INDEX('#建筑消耗和buff配置索引'!BS:BS,MATCH($F366,'#建筑消耗和buff配置索引'!$M:$M,0))=0,"",INDEX('#建筑消耗和buff配置索引'!BS:BS,MATCH($F366,'#建筑消耗和buff配置索引'!$M:$M,0)))</f>
        <v/>
      </c>
      <c r="BA366" s="133" t="str">
        <f>IF(AZ366="","",INDEX('#建筑消耗和buff配置索引'!BT:BT,MATCH($F366,'#建筑消耗和buff配置索引'!$M:$M,0)))</f>
        <v/>
      </c>
      <c r="BD366" s="133" t="str">
        <f>IF(INDEX('#建筑消耗和buff配置索引'!BW:BW,MATCH($F366,'#建筑消耗和buff配置索引'!$M:$M,0))=0,"",INDEX('#建筑消耗和buff配置索引'!BW:BW,MATCH($F366,'#建筑消耗和buff配置索引'!$M:$M,0)))</f>
        <v/>
      </c>
      <c r="BE366" s="133" t="str">
        <f>IF(BD366="","",INDEX('#建筑消耗和buff配置索引'!BX:BX,MATCH($F366,'#建筑消耗和buff配置索引'!$M:$M,0)))</f>
        <v/>
      </c>
      <c r="BI366" s="133">
        <v>25</v>
      </c>
      <c r="BN366" s="133">
        <v>3</v>
      </c>
    </row>
    <row r="367" spans="1:66" s="133" customFormat="1">
      <c r="A367" s="133">
        <v>2290002</v>
      </c>
      <c r="B367" s="133">
        <v>364</v>
      </c>
      <c r="C367" s="133">
        <v>229</v>
      </c>
      <c r="D367" s="133" t="s">
        <v>515</v>
      </c>
      <c r="E367" s="133">
        <v>2</v>
      </c>
      <c r="F367" s="133" t="str">
        <f t="shared" si="7"/>
        <v>战争大厅2</v>
      </c>
      <c r="H367" s="146"/>
      <c r="I367" s="133" t="s">
        <v>1205</v>
      </c>
      <c r="J367" s="150">
        <f>INDEX('#建筑消耗和buff配置索引'!AH:AH,MATCH($F367,'#建筑消耗和buff配置索引'!$M:$M,0))</f>
        <v>126</v>
      </c>
      <c r="K367" s="150">
        <f>INDEX('#建筑消耗和buff配置索引'!AA:AA,MATCH($F367,'#建筑消耗和buff配置索引'!$M:$M,0))</f>
        <v>2300</v>
      </c>
      <c r="L367" s="150">
        <f>INDEX('#建筑消耗和buff配置索引'!AB:AB,MATCH($F367,'#建筑消耗和buff配置索引'!$M:$M,0))</f>
        <v>4700</v>
      </c>
      <c r="M367" s="150">
        <f>INDEX('#建筑消耗和buff配置索引'!AC:AC,MATCH($F367,'#建筑消耗和buff配置索引'!$M:$M,0))</f>
        <v>0</v>
      </c>
      <c r="N367" s="150">
        <f>INDEX('#建筑消耗和buff配置索引'!AD:AD,MATCH($F367,'#建筑消耗和buff配置索引'!$M:$M,0))</f>
        <v>0</v>
      </c>
      <c r="O367" s="150">
        <f>IF(INDEX('#建筑消耗和buff配置索引'!T:T,MATCH($F367,'#建筑消耗和buff配置索引'!$M:$M,0))=0,"",INDEX('#建筑消耗和buff配置索引'!T:T,MATCH($F367,'#建筑消耗和buff配置索引'!$M:$M,0)))</f>
        <v>2061</v>
      </c>
      <c r="P367" s="133">
        <f>IF(INDEX('#建筑消耗和buff配置索引'!U:U,MATCH($F367,'#建筑消耗和buff配置索引'!$M:$M,0))=0,"",INDEX('#建筑消耗和buff配置索引'!U:U,MATCH($F367,'#建筑消耗和buff配置索引'!$M:$M,0)))</f>
        <v>2</v>
      </c>
      <c r="Q367" s="133" t="str">
        <f>IF(INDEX('#建筑消耗和buff配置索引'!K:K,MATCH($F367,'#建筑消耗和buff配置索引'!$M:$M,0))=0,"",INDEX('#建筑消耗和buff配置索引'!K:K,MATCH($F367,'#建筑消耗和buff配置索引'!$M:$M,0)))</f>
        <v>201</v>
      </c>
      <c r="R367" s="133" t="str">
        <f>IF(INDEX('#建筑消耗和buff配置索引'!L:L,MATCH($F367,'#建筑消耗和buff配置索引'!$M:$M,0))=0,"",INDEX('#建筑消耗和buff配置索引'!L:L,MATCH($F367,'#建筑消耗和buff配置索引'!$M:$M,0)))</f>
        <v>12</v>
      </c>
      <c r="S367" s="133">
        <f>IF(INDEX('#建筑消耗和buff配置索引'!C:C,MATCH(F367,'#建筑消耗和buff配置索引'!M:M,0))=0,1,INDEX('#建筑消耗和buff配置索引'!C:C,MATCH(F367,'#建筑消耗和buff配置索引'!M:M,0)))</f>
        <v>3</v>
      </c>
      <c r="T367" s="133">
        <v>0</v>
      </c>
      <c r="U367" s="133">
        <v>0</v>
      </c>
      <c r="V367" s="133" t="str">
        <f>IF(E367=1,IF(INDEX('#建筑消耗和buff配置索引'!BY:BY,MATCH(D367,'#建筑消耗和buff配置索引'!A:A,0))=0,"",INDEX('#建筑消耗和buff配置索引'!BY:BY,MATCH(D367,'#建筑消耗和buff配置索引'!A:A,0))),"")</f>
        <v/>
      </c>
      <c r="W367" s="133" t="str">
        <f>IF(E367=1,IF(INDEX('#建筑消耗和buff配置索引'!BZ:BZ,MATCH(D367,'#建筑消耗和buff配置索引'!A:A,0))=0,"",INDEX('#建筑消耗和buff配置索引'!BZ:BZ,MATCH(D367,'#建筑消耗和buff配置索引'!A:A,0))),"")</f>
        <v/>
      </c>
      <c r="AA367" s="133">
        <f>INDEX('#建筑消耗和buff配置索引'!AO:AO,MATCH($F367,'#建筑消耗和buff配置索引'!$M:$M,0))</f>
        <v>21</v>
      </c>
      <c r="AB367" s="133">
        <f>IF(INDEX('#建筑消耗和buff配置索引'!AR:AR,MATCH($F367,'#建筑消耗和buff配置索引'!$M:$M,0))=0,"",INDEX('#建筑消耗和buff配置索引'!AR:AR,MATCH($F367,'#建筑消耗和buff配置索引'!$M:$M,0)))</f>
        <v>1254</v>
      </c>
      <c r="AC367" s="133">
        <f>IF(AB367="","",INDEX('#建筑消耗和buff配置索引'!AS:AS,MATCH($F367,'#建筑消耗和buff配置索引'!$M:$M,0)))</f>
        <v>140000</v>
      </c>
      <c r="AF367" s="133">
        <f>IF(INDEX('#建筑消耗和buff配置索引'!AW:AW,MATCH($F367,'#建筑消耗和buff配置索引'!$M:$M,0))=0,"",INDEX('#建筑消耗和buff配置索引'!AW:AW,MATCH($F367,'#建筑消耗和buff配置索引'!$M:$M,0)))</f>
        <v>10000401</v>
      </c>
      <c r="AG367" s="133">
        <f>IF(AF367="","",INDEX('#建筑消耗和buff配置索引'!AX:AX,MATCH($F367,'#建筑消耗和buff配置索引'!$M:$M,0)))</f>
        <v>40000</v>
      </c>
      <c r="AJ367" s="133" t="str">
        <f>IF(INDEX('#建筑消耗和buff配置索引'!BB:BB,MATCH($F367,'#建筑消耗和buff配置索引'!$M:$M,0))=0,"",INDEX('#建筑消耗和buff配置索引'!BB:BB,MATCH($F367,'#建筑消耗和buff配置索引'!$M:$M,0)))</f>
        <v/>
      </c>
      <c r="AK367" s="133" t="str">
        <f>IF(AJ367="","",INDEX('#建筑消耗和buff配置索引'!BC:BC,MATCH($F367,'#建筑消耗和buff配置索引'!$M:$M,0)))</f>
        <v/>
      </c>
      <c r="AN367" s="133" t="str">
        <f>IF(INDEX('#建筑消耗和buff配置索引'!BG:BG,MATCH($F367,'#建筑消耗和buff配置索引'!$M:$M,0))=0,"",INDEX('#建筑消耗和buff配置索引'!BG:BG,MATCH($F367,'#建筑消耗和buff配置索引'!$M:$M,0)))</f>
        <v/>
      </c>
      <c r="AO367" s="133" t="str">
        <f>IF(AN367="","",INDEX('#建筑消耗和buff配置索引'!BH:BH,MATCH($F367,'#建筑消耗和buff配置索引'!$M:$M,0)))</f>
        <v/>
      </c>
      <c r="AR367" s="133" t="str">
        <f>IF(INDEX('#建筑消耗和buff配置索引'!BK:BK,MATCH($F367,'#建筑消耗和buff配置索引'!$M:$M,0))=0,"",INDEX('#建筑消耗和buff配置索引'!BK:BK,MATCH($F367,'#建筑消耗和buff配置索引'!$M:$M,0)))</f>
        <v/>
      </c>
      <c r="AS367" s="133" t="str">
        <f>IF(AR367="","",INDEX('#建筑消耗和buff配置索引'!BL:BL,MATCH($F367,'#建筑消耗和buff配置索引'!$M:$M,0)))</f>
        <v/>
      </c>
      <c r="AV367" s="133" t="str">
        <f>IF(INDEX('#建筑消耗和buff配置索引'!BO:BO,MATCH($F367,'#建筑消耗和buff配置索引'!$M:$M,0))=0,"",INDEX('#建筑消耗和buff配置索引'!BO:BO,MATCH($F367,'#建筑消耗和buff配置索引'!$M:$M,0)))</f>
        <v/>
      </c>
      <c r="AW367" s="133" t="str">
        <f>IF(AV367="","",INDEX('#建筑消耗和buff配置索引'!BP:BP,MATCH($F367,'#建筑消耗和buff配置索引'!$M:$M,0)))</f>
        <v/>
      </c>
      <c r="AZ367" s="133" t="str">
        <f>IF(INDEX('#建筑消耗和buff配置索引'!BS:BS,MATCH($F367,'#建筑消耗和buff配置索引'!$M:$M,0))=0,"",INDEX('#建筑消耗和buff配置索引'!BS:BS,MATCH($F367,'#建筑消耗和buff配置索引'!$M:$M,0)))</f>
        <v/>
      </c>
      <c r="BA367" s="133" t="str">
        <f>IF(AZ367="","",INDEX('#建筑消耗和buff配置索引'!BT:BT,MATCH($F367,'#建筑消耗和buff配置索引'!$M:$M,0)))</f>
        <v/>
      </c>
      <c r="BD367" s="133" t="str">
        <f>IF(INDEX('#建筑消耗和buff配置索引'!BW:BW,MATCH($F367,'#建筑消耗和buff配置索引'!$M:$M,0))=0,"",INDEX('#建筑消耗和buff配置索引'!BW:BW,MATCH($F367,'#建筑消耗和buff配置索引'!$M:$M,0)))</f>
        <v/>
      </c>
      <c r="BE367" s="133" t="str">
        <f>IF(BD367="","",INDEX('#建筑消耗和buff配置索引'!BX:BX,MATCH($F367,'#建筑消耗和buff配置索引'!$M:$M,0)))</f>
        <v/>
      </c>
      <c r="BI367" s="133">
        <v>25</v>
      </c>
    </row>
    <row r="368" spans="1:66" s="133" customFormat="1">
      <c r="A368" s="133">
        <v>2290003</v>
      </c>
      <c r="B368" s="133">
        <v>365</v>
      </c>
      <c r="C368" s="133">
        <v>229</v>
      </c>
      <c r="D368" s="133" t="s">
        <v>515</v>
      </c>
      <c r="E368" s="133">
        <v>3</v>
      </c>
      <c r="F368" s="133" t="str">
        <f t="shared" si="7"/>
        <v>战争大厅3</v>
      </c>
      <c r="H368" s="146"/>
      <c r="I368" s="133" t="s">
        <v>1205</v>
      </c>
      <c r="J368" s="150">
        <f>INDEX('#建筑消耗和buff配置索引'!AH:AH,MATCH($F368,'#建筑消耗和buff配置索引'!$M:$M,0))</f>
        <v>252</v>
      </c>
      <c r="K368" s="150">
        <f>INDEX('#建筑消耗和buff配置索引'!AA:AA,MATCH($F368,'#建筑消耗和buff配置索引'!$M:$M,0))</f>
        <v>4700</v>
      </c>
      <c r="L368" s="150">
        <f>INDEX('#建筑消耗和buff配置索引'!AB:AB,MATCH($F368,'#建筑消耗和buff配置索引'!$M:$M,0))</f>
        <v>9300</v>
      </c>
      <c r="M368" s="150">
        <f>INDEX('#建筑消耗和buff配置索引'!AC:AC,MATCH($F368,'#建筑消耗和buff配置索引'!$M:$M,0))</f>
        <v>0</v>
      </c>
      <c r="N368" s="150">
        <f>INDEX('#建筑消耗和buff配置索引'!AD:AD,MATCH($F368,'#建筑消耗和buff配置索引'!$M:$M,0))</f>
        <v>0</v>
      </c>
      <c r="O368" s="150">
        <f>IF(INDEX('#建筑消耗和buff配置索引'!T:T,MATCH($F368,'#建筑消耗和buff配置索引'!$M:$M,0))=0,"",INDEX('#建筑消耗和buff配置索引'!T:T,MATCH($F368,'#建筑消耗和buff配置索引'!$M:$M,0)))</f>
        <v>2061</v>
      </c>
      <c r="P368" s="133">
        <f>IF(INDEX('#建筑消耗和buff配置索引'!U:U,MATCH($F368,'#建筑消耗和buff配置索引'!$M:$M,0))=0,"",INDEX('#建筑消耗和buff配置索引'!U:U,MATCH($F368,'#建筑消耗和buff配置索引'!$M:$M,0)))</f>
        <v>3</v>
      </c>
      <c r="Q368" s="133" t="str">
        <f>IF(INDEX('#建筑消耗和buff配置索引'!K:K,MATCH($F368,'#建筑消耗和buff配置索引'!$M:$M,0))=0,"",INDEX('#建筑消耗和buff配置索引'!K:K,MATCH($F368,'#建筑消耗和buff配置索引'!$M:$M,0)))</f>
        <v>201</v>
      </c>
      <c r="R368" s="133" t="str">
        <f>IF(INDEX('#建筑消耗和buff配置索引'!L:L,MATCH($F368,'#建筑消耗和buff配置索引'!$M:$M,0))=0,"",INDEX('#建筑消耗和buff配置索引'!L:L,MATCH($F368,'#建筑消耗和buff配置索引'!$M:$M,0)))</f>
        <v>12</v>
      </c>
      <c r="S368" s="133">
        <f>IF(INDEX('#建筑消耗和buff配置索引'!C:C,MATCH(F368,'#建筑消耗和buff配置索引'!M:M,0))=0,1,INDEX('#建筑消耗和buff配置索引'!C:C,MATCH(F368,'#建筑消耗和buff配置索引'!M:M,0)))</f>
        <v>3</v>
      </c>
      <c r="T368" s="133">
        <v>0</v>
      </c>
      <c r="U368" s="133">
        <v>0</v>
      </c>
      <c r="V368" s="133" t="str">
        <f>IF(E368=1,IF(INDEX('#建筑消耗和buff配置索引'!BY:BY,MATCH(D368,'#建筑消耗和buff配置索引'!A:A,0))=0,"",INDEX('#建筑消耗和buff配置索引'!BY:BY,MATCH(D368,'#建筑消耗和buff配置索引'!A:A,0))),"")</f>
        <v/>
      </c>
      <c r="W368" s="133" t="str">
        <f>IF(E368=1,IF(INDEX('#建筑消耗和buff配置索引'!BZ:BZ,MATCH(D368,'#建筑消耗和buff配置索引'!A:A,0))=0,"",INDEX('#建筑消耗和buff配置索引'!BZ:BZ,MATCH(D368,'#建筑消耗和buff配置索引'!A:A,0))),"")</f>
        <v/>
      </c>
      <c r="AA368" s="133">
        <f>INDEX('#建筑消耗和buff配置索引'!AO:AO,MATCH($F368,'#建筑消耗和buff配置索引'!$M:$M,0))</f>
        <v>49</v>
      </c>
      <c r="AB368" s="133">
        <f>IF(INDEX('#建筑消耗和buff配置索引'!AR:AR,MATCH($F368,'#建筑消耗和buff配置索引'!$M:$M,0))=0,"",INDEX('#建筑消耗和buff配置索引'!AR:AR,MATCH($F368,'#建筑消耗和buff配置索引'!$M:$M,0)))</f>
        <v>1254</v>
      </c>
      <c r="AC368" s="133">
        <f>IF(AB368="","",INDEX('#建筑消耗和buff配置索引'!AS:AS,MATCH($F368,'#建筑消耗和buff配置索引'!$M:$M,0)))</f>
        <v>200000</v>
      </c>
      <c r="AF368" s="133">
        <f>IF(INDEX('#建筑消耗和buff配置索引'!AW:AW,MATCH($F368,'#建筑消耗和buff配置索引'!$M:$M,0))=0,"",INDEX('#建筑消耗和buff配置索引'!AW:AW,MATCH($F368,'#建筑消耗和buff配置索引'!$M:$M,0)))</f>
        <v>10000401</v>
      </c>
      <c r="AG368" s="133">
        <f>IF(AF368="","",INDEX('#建筑消耗和buff配置索引'!AX:AX,MATCH($F368,'#建筑消耗和buff配置索引'!$M:$M,0)))</f>
        <v>60000</v>
      </c>
      <c r="AJ368" s="133" t="str">
        <f>IF(INDEX('#建筑消耗和buff配置索引'!BB:BB,MATCH($F368,'#建筑消耗和buff配置索引'!$M:$M,0))=0,"",INDEX('#建筑消耗和buff配置索引'!BB:BB,MATCH($F368,'#建筑消耗和buff配置索引'!$M:$M,0)))</f>
        <v/>
      </c>
      <c r="AK368" s="133" t="str">
        <f>IF(AJ368="","",INDEX('#建筑消耗和buff配置索引'!BC:BC,MATCH($F368,'#建筑消耗和buff配置索引'!$M:$M,0)))</f>
        <v/>
      </c>
      <c r="AN368" s="133" t="str">
        <f>IF(INDEX('#建筑消耗和buff配置索引'!BG:BG,MATCH($F368,'#建筑消耗和buff配置索引'!$M:$M,0))=0,"",INDEX('#建筑消耗和buff配置索引'!BG:BG,MATCH($F368,'#建筑消耗和buff配置索引'!$M:$M,0)))</f>
        <v/>
      </c>
      <c r="AO368" s="133" t="str">
        <f>IF(AN368="","",INDEX('#建筑消耗和buff配置索引'!BH:BH,MATCH($F368,'#建筑消耗和buff配置索引'!$M:$M,0)))</f>
        <v/>
      </c>
      <c r="AR368" s="133" t="str">
        <f>IF(INDEX('#建筑消耗和buff配置索引'!BK:BK,MATCH($F368,'#建筑消耗和buff配置索引'!$M:$M,0))=0,"",INDEX('#建筑消耗和buff配置索引'!BK:BK,MATCH($F368,'#建筑消耗和buff配置索引'!$M:$M,0)))</f>
        <v/>
      </c>
      <c r="AS368" s="133" t="str">
        <f>IF(AR368="","",INDEX('#建筑消耗和buff配置索引'!BL:BL,MATCH($F368,'#建筑消耗和buff配置索引'!$M:$M,0)))</f>
        <v/>
      </c>
      <c r="AV368" s="133" t="str">
        <f>IF(INDEX('#建筑消耗和buff配置索引'!BO:BO,MATCH($F368,'#建筑消耗和buff配置索引'!$M:$M,0))=0,"",INDEX('#建筑消耗和buff配置索引'!BO:BO,MATCH($F368,'#建筑消耗和buff配置索引'!$M:$M,0)))</f>
        <v/>
      </c>
      <c r="AW368" s="133" t="str">
        <f>IF(AV368="","",INDEX('#建筑消耗和buff配置索引'!BP:BP,MATCH($F368,'#建筑消耗和buff配置索引'!$M:$M,0)))</f>
        <v/>
      </c>
      <c r="AZ368" s="133" t="str">
        <f>IF(INDEX('#建筑消耗和buff配置索引'!BS:BS,MATCH($F368,'#建筑消耗和buff配置索引'!$M:$M,0))=0,"",INDEX('#建筑消耗和buff配置索引'!BS:BS,MATCH($F368,'#建筑消耗和buff配置索引'!$M:$M,0)))</f>
        <v/>
      </c>
      <c r="BA368" s="133" t="str">
        <f>IF(AZ368="","",INDEX('#建筑消耗和buff配置索引'!BT:BT,MATCH($F368,'#建筑消耗和buff配置索引'!$M:$M,0)))</f>
        <v/>
      </c>
      <c r="BD368" s="133" t="str">
        <f>IF(INDEX('#建筑消耗和buff配置索引'!BW:BW,MATCH($F368,'#建筑消耗和buff配置索引'!$M:$M,0))=0,"",INDEX('#建筑消耗和buff配置索引'!BW:BW,MATCH($F368,'#建筑消耗和buff配置索引'!$M:$M,0)))</f>
        <v/>
      </c>
      <c r="BE368" s="133" t="str">
        <f>IF(BD368="","",INDEX('#建筑消耗和buff配置索引'!BX:BX,MATCH($F368,'#建筑消耗和buff配置索引'!$M:$M,0)))</f>
        <v/>
      </c>
      <c r="BI368" s="133">
        <v>25</v>
      </c>
    </row>
    <row r="369" spans="1:61" s="133" customFormat="1">
      <c r="A369" s="133">
        <v>2290004</v>
      </c>
      <c r="B369" s="133">
        <v>366</v>
      </c>
      <c r="C369" s="133">
        <v>229</v>
      </c>
      <c r="D369" s="133" t="s">
        <v>515</v>
      </c>
      <c r="E369" s="133">
        <v>4</v>
      </c>
      <c r="F369" s="133" t="str">
        <f t="shared" si="7"/>
        <v>战争大厅4</v>
      </c>
      <c r="H369" s="146"/>
      <c r="I369" s="133" t="s">
        <v>1205</v>
      </c>
      <c r="J369" s="150">
        <f>INDEX('#建筑消耗和buff配置索引'!AH:AH,MATCH($F369,'#建筑消耗和buff配置索引'!$M:$M,0))</f>
        <v>504</v>
      </c>
      <c r="K369" s="150">
        <f>INDEX('#建筑消耗和buff配置索引'!AA:AA,MATCH($F369,'#建筑消耗和buff配置索引'!$M:$M,0))</f>
        <v>9300</v>
      </c>
      <c r="L369" s="150">
        <f>INDEX('#建筑消耗和buff配置索引'!AB:AB,MATCH($F369,'#建筑消耗和buff配置索引'!$M:$M,0))</f>
        <v>19000</v>
      </c>
      <c r="M369" s="150">
        <f>INDEX('#建筑消耗和buff配置索引'!AC:AC,MATCH($F369,'#建筑消耗和buff配置索引'!$M:$M,0))</f>
        <v>0</v>
      </c>
      <c r="N369" s="150">
        <f>INDEX('#建筑消耗和buff配置索引'!AD:AD,MATCH($F369,'#建筑消耗和buff配置索引'!$M:$M,0))</f>
        <v>0</v>
      </c>
      <c r="O369" s="150">
        <f>IF(INDEX('#建筑消耗和buff配置索引'!T:T,MATCH($F369,'#建筑消耗和buff配置索引'!$M:$M,0))=0,"",INDEX('#建筑消耗和buff配置索引'!T:T,MATCH($F369,'#建筑消耗和buff配置索引'!$M:$M,0)))</f>
        <v>2061</v>
      </c>
      <c r="P369" s="133">
        <f>IF(INDEX('#建筑消耗和buff配置索引'!U:U,MATCH($F369,'#建筑消耗和buff配置索引'!$M:$M,0))=0,"",INDEX('#建筑消耗和buff配置索引'!U:U,MATCH($F369,'#建筑消耗和buff配置索引'!$M:$M,0)))</f>
        <v>4</v>
      </c>
      <c r="Q369" s="133" t="str">
        <f>IF(INDEX('#建筑消耗和buff配置索引'!K:K,MATCH($F369,'#建筑消耗和buff配置索引'!$M:$M,0))=0,"",INDEX('#建筑消耗和buff配置索引'!K:K,MATCH($F369,'#建筑消耗和buff配置索引'!$M:$M,0)))</f>
        <v>201</v>
      </c>
      <c r="R369" s="133" t="str">
        <f>IF(INDEX('#建筑消耗和buff配置索引'!L:L,MATCH($F369,'#建筑消耗和buff配置索引'!$M:$M,0))=0,"",INDEX('#建筑消耗和buff配置索引'!L:L,MATCH($F369,'#建筑消耗和buff配置索引'!$M:$M,0)))</f>
        <v>12</v>
      </c>
      <c r="S369" s="133">
        <f>IF(INDEX('#建筑消耗和buff配置索引'!C:C,MATCH(F369,'#建筑消耗和buff配置索引'!M:M,0))=0,1,INDEX('#建筑消耗和buff配置索引'!C:C,MATCH(F369,'#建筑消耗和buff配置索引'!M:M,0)))</f>
        <v>3</v>
      </c>
      <c r="T369" s="133">
        <v>0</v>
      </c>
      <c r="U369" s="133">
        <v>0</v>
      </c>
      <c r="V369" s="133" t="str">
        <f>IF(E369=1,IF(INDEX('#建筑消耗和buff配置索引'!BY:BY,MATCH(D369,'#建筑消耗和buff配置索引'!A:A,0))=0,"",INDEX('#建筑消耗和buff配置索引'!BY:BY,MATCH(D369,'#建筑消耗和buff配置索引'!A:A,0))),"")</f>
        <v/>
      </c>
      <c r="W369" s="133" t="str">
        <f>IF(E369=1,IF(INDEX('#建筑消耗和buff配置索引'!BZ:BZ,MATCH(D369,'#建筑消耗和buff配置索引'!A:A,0))=0,"",INDEX('#建筑消耗和buff配置索引'!BZ:BZ,MATCH(D369,'#建筑消耗和buff配置索引'!A:A,0))),"")</f>
        <v/>
      </c>
      <c r="AA369" s="133">
        <f>INDEX('#建筑消耗和buff配置索引'!AO:AO,MATCH($F369,'#建筑消耗和buff配置索引'!$M:$M,0))</f>
        <v>105</v>
      </c>
      <c r="AB369" s="133">
        <f>IF(INDEX('#建筑消耗和buff配置索引'!AR:AR,MATCH($F369,'#建筑消耗和buff配置索引'!$M:$M,0))=0,"",INDEX('#建筑消耗和buff配置索引'!AR:AR,MATCH($F369,'#建筑消耗和buff配置索引'!$M:$M,0)))</f>
        <v>1254</v>
      </c>
      <c r="AC369" s="133">
        <f>IF(AB369="","",INDEX('#建筑消耗和buff配置索引'!AS:AS,MATCH($F369,'#建筑消耗和buff配置索引'!$M:$M,0)))</f>
        <v>280000</v>
      </c>
      <c r="AF369" s="133">
        <f>IF(INDEX('#建筑消耗和buff配置索引'!AW:AW,MATCH($F369,'#建筑消耗和buff配置索引'!$M:$M,0))=0,"",INDEX('#建筑消耗和buff配置索引'!AW:AW,MATCH($F369,'#建筑消耗和buff配置索引'!$M:$M,0)))</f>
        <v>10000401</v>
      </c>
      <c r="AG369" s="133">
        <f>IF(AF369="","",INDEX('#建筑消耗和buff配置索引'!AX:AX,MATCH($F369,'#建筑消耗和buff配置索引'!$M:$M,0)))</f>
        <v>80000</v>
      </c>
      <c r="AJ369" s="133" t="str">
        <f>IF(INDEX('#建筑消耗和buff配置索引'!BB:BB,MATCH($F369,'#建筑消耗和buff配置索引'!$M:$M,0))=0,"",INDEX('#建筑消耗和buff配置索引'!BB:BB,MATCH($F369,'#建筑消耗和buff配置索引'!$M:$M,0)))</f>
        <v/>
      </c>
      <c r="AK369" s="133" t="str">
        <f>IF(AJ369="","",INDEX('#建筑消耗和buff配置索引'!BC:BC,MATCH($F369,'#建筑消耗和buff配置索引'!$M:$M,0)))</f>
        <v/>
      </c>
      <c r="AN369" s="133" t="str">
        <f>IF(INDEX('#建筑消耗和buff配置索引'!BG:BG,MATCH($F369,'#建筑消耗和buff配置索引'!$M:$M,0))=0,"",INDEX('#建筑消耗和buff配置索引'!BG:BG,MATCH($F369,'#建筑消耗和buff配置索引'!$M:$M,0)))</f>
        <v/>
      </c>
      <c r="AO369" s="133" t="str">
        <f>IF(AN369="","",INDEX('#建筑消耗和buff配置索引'!BH:BH,MATCH($F369,'#建筑消耗和buff配置索引'!$M:$M,0)))</f>
        <v/>
      </c>
      <c r="AR369" s="133" t="str">
        <f>IF(INDEX('#建筑消耗和buff配置索引'!BK:BK,MATCH($F369,'#建筑消耗和buff配置索引'!$M:$M,0))=0,"",INDEX('#建筑消耗和buff配置索引'!BK:BK,MATCH($F369,'#建筑消耗和buff配置索引'!$M:$M,0)))</f>
        <v/>
      </c>
      <c r="AS369" s="133" t="str">
        <f>IF(AR369="","",INDEX('#建筑消耗和buff配置索引'!BL:BL,MATCH($F369,'#建筑消耗和buff配置索引'!$M:$M,0)))</f>
        <v/>
      </c>
      <c r="AV369" s="133" t="str">
        <f>IF(INDEX('#建筑消耗和buff配置索引'!BO:BO,MATCH($F369,'#建筑消耗和buff配置索引'!$M:$M,0))=0,"",INDEX('#建筑消耗和buff配置索引'!BO:BO,MATCH($F369,'#建筑消耗和buff配置索引'!$M:$M,0)))</f>
        <v/>
      </c>
      <c r="AW369" s="133" t="str">
        <f>IF(AV369="","",INDEX('#建筑消耗和buff配置索引'!BP:BP,MATCH($F369,'#建筑消耗和buff配置索引'!$M:$M,0)))</f>
        <v/>
      </c>
      <c r="AZ369" s="133" t="str">
        <f>IF(INDEX('#建筑消耗和buff配置索引'!BS:BS,MATCH($F369,'#建筑消耗和buff配置索引'!$M:$M,0))=0,"",INDEX('#建筑消耗和buff配置索引'!BS:BS,MATCH($F369,'#建筑消耗和buff配置索引'!$M:$M,0)))</f>
        <v/>
      </c>
      <c r="BA369" s="133" t="str">
        <f>IF(AZ369="","",INDEX('#建筑消耗和buff配置索引'!BT:BT,MATCH($F369,'#建筑消耗和buff配置索引'!$M:$M,0)))</f>
        <v/>
      </c>
      <c r="BD369" s="133" t="str">
        <f>IF(INDEX('#建筑消耗和buff配置索引'!BW:BW,MATCH($F369,'#建筑消耗和buff配置索引'!$M:$M,0))=0,"",INDEX('#建筑消耗和buff配置索引'!BW:BW,MATCH($F369,'#建筑消耗和buff配置索引'!$M:$M,0)))</f>
        <v/>
      </c>
      <c r="BE369" s="133" t="str">
        <f>IF(BD369="","",INDEX('#建筑消耗和buff配置索引'!BX:BX,MATCH($F369,'#建筑消耗和buff配置索引'!$M:$M,0)))</f>
        <v/>
      </c>
      <c r="BI369" s="133">
        <v>25</v>
      </c>
    </row>
    <row r="370" spans="1:61" s="133" customFormat="1">
      <c r="A370" s="133">
        <v>2290005</v>
      </c>
      <c r="B370" s="133">
        <v>367</v>
      </c>
      <c r="C370" s="133">
        <v>229</v>
      </c>
      <c r="D370" s="133" t="s">
        <v>515</v>
      </c>
      <c r="E370" s="133">
        <v>5</v>
      </c>
      <c r="F370" s="133" t="str">
        <f t="shared" si="7"/>
        <v>战争大厅5</v>
      </c>
      <c r="H370" s="146"/>
      <c r="I370" s="133">
        <v>1</v>
      </c>
      <c r="J370" s="150">
        <f>INDEX('#建筑消耗和buff配置索引'!AH:AH,MATCH($F370,'#建筑消耗和buff配置索引'!$M:$M,0))</f>
        <v>1050</v>
      </c>
      <c r="K370" s="150">
        <f>INDEX('#建筑消耗和buff配置索引'!AA:AA,MATCH($F370,'#建筑消耗和buff配置索引'!$M:$M,0))</f>
        <v>11000</v>
      </c>
      <c r="L370" s="150">
        <f>INDEX('#建筑消耗和buff配置索引'!AB:AB,MATCH($F370,'#建筑消耗和buff配置索引'!$M:$M,0))</f>
        <v>22000</v>
      </c>
      <c r="M370" s="150">
        <f>INDEX('#建筑消耗和buff配置索引'!AC:AC,MATCH($F370,'#建筑消耗和buff配置索引'!$M:$M,0))</f>
        <v>22000</v>
      </c>
      <c r="N370" s="150">
        <f>INDEX('#建筑消耗和buff配置索引'!AD:AD,MATCH($F370,'#建筑消耗和buff配置索引'!$M:$M,0))</f>
        <v>0</v>
      </c>
      <c r="O370" s="150">
        <f>IF(INDEX('#建筑消耗和buff配置索引'!T:T,MATCH($F370,'#建筑消耗和buff配置索引'!$M:$M,0))=0,"",INDEX('#建筑消耗和buff配置索引'!T:T,MATCH($F370,'#建筑消耗和buff配置索引'!$M:$M,0)))</f>
        <v>2061</v>
      </c>
      <c r="P370" s="133">
        <f>IF(INDEX('#建筑消耗和buff配置索引'!U:U,MATCH($F370,'#建筑消耗和buff配置索引'!$M:$M,0))=0,"",INDEX('#建筑消耗和buff配置索引'!U:U,MATCH($F370,'#建筑消耗和buff配置索引'!$M:$M,0)))</f>
        <v>6</v>
      </c>
      <c r="Q370" s="133" t="str">
        <f>IF(INDEX('#建筑消耗和buff配置索引'!K:K,MATCH($F370,'#建筑消耗和buff配置索引'!$M:$M,0))=0,"",INDEX('#建筑消耗和buff配置索引'!K:K,MATCH($F370,'#建筑消耗和buff配置索引'!$M:$M,0)))</f>
        <v>201;230</v>
      </c>
      <c r="R370" s="133" t="str">
        <f>IF(INDEX('#建筑消耗和buff配置索引'!L:L,MATCH($F370,'#建筑消耗和buff配置索引'!$M:$M,0))=0,"",INDEX('#建筑消耗和buff配置索引'!L:L,MATCH($F370,'#建筑消耗和buff配置索引'!$M:$M,0)))</f>
        <v>12;5</v>
      </c>
      <c r="S370" s="133">
        <f>IF(INDEX('#建筑消耗和buff配置索引'!C:C,MATCH(F370,'#建筑消耗和buff配置索引'!M:M,0))=0,1,INDEX('#建筑消耗和buff配置索引'!C:C,MATCH(F370,'#建筑消耗和buff配置索引'!M:M,0)))</f>
        <v>3</v>
      </c>
      <c r="T370" s="133">
        <v>0</v>
      </c>
      <c r="U370" s="133">
        <v>0</v>
      </c>
      <c r="V370" s="133" t="str">
        <f>IF(E370=1,IF(INDEX('#建筑消耗和buff配置索引'!BY:BY,MATCH(D370,'#建筑消耗和buff配置索引'!A:A,0))=0,"",INDEX('#建筑消耗和buff配置索引'!BY:BY,MATCH(D370,'#建筑消耗和buff配置索引'!A:A,0))),"")</f>
        <v/>
      </c>
      <c r="W370" s="133" t="str">
        <f>IF(E370=1,IF(INDEX('#建筑消耗和buff配置索引'!BZ:BZ,MATCH(D370,'#建筑消耗和buff配置索引'!A:A,0))=0,"",INDEX('#建筑消耗和buff配置索引'!BZ:BZ,MATCH(D370,'#建筑消耗和buff配置索引'!A:A,0))),"")</f>
        <v/>
      </c>
      <c r="AA370" s="133">
        <f>INDEX('#建筑消耗和buff配置索引'!AO:AO,MATCH($F370,'#建筑消耗和buff配置索引'!$M:$M,0))</f>
        <v>213</v>
      </c>
      <c r="AB370" s="133">
        <f>IF(INDEX('#建筑消耗和buff配置索引'!AR:AR,MATCH($F370,'#建筑消耗和buff配置索引'!$M:$M,0))=0,"",INDEX('#建筑消耗和buff配置索引'!AR:AR,MATCH($F370,'#建筑消耗和buff配置索引'!$M:$M,0)))</f>
        <v>1254</v>
      </c>
      <c r="AC370" s="133">
        <f>IF(AB370="","",INDEX('#建筑消耗和buff配置索引'!AS:AS,MATCH($F370,'#建筑消耗和buff配置索引'!$M:$M,0)))</f>
        <v>450000</v>
      </c>
      <c r="AF370" s="133">
        <f>IF(INDEX('#建筑消耗和buff配置索引'!AW:AW,MATCH($F370,'#建筑消耗和buff配置索引'!$M:$M,0))=0,"",INDEX('#建筑消耗和buff配置索引'!AW:AW,MATCH($F370,'#建筑消耗和buff配置索引'!$M:$M,0)))</f>
        <v>10000401</v>
      </c>
      <c r="AG370" s="133">
        <f>IF(AF370="","",INDEX('#建筑消耗和buff配置索引'!AX:AX,MATCH($F370,'#建筑消耗和buff配置索引'!$M:$M,0)))</f>
        <v>100000</v>
      </c>
      <c r="AJ370" s="133" t="str">
        <f>IF(INDEX('#建筑消耗和buff配置索引'!BB:BB,MATCH($F370,'#建筑消耗和buff配置索引'!$M:$M,0))=0,"",INDEX('#建筑消耗和buff配置索引'!BB:BB,MATCH($F370,'#建筑消耗和buff配置索引'!$M:$M,0)))</f>
        <v/>
      </c>
      <c r="AK370" s="133" t="str">
        <f>IF(AJ370="","",INDEX('#建筑消耗和buff配置索引'!BC:BC,MATCH($F370,'#建筑消耗和buff配置索引'!$M:$M,0)))</f>
        <v/>
      </c>
      <c r="AN370" s="133" t="str">
        <f>IF(INDEX('#建筑消耗和buff配置索引'!BG:BG,MATCH($F370,'#建筑消耗和buff配置索引'!$M:$M,0))=0,"",INDEX('#建筑消耗和buff配置索引'!BG:BG,MATCH($F370,'#建筑消耗和buff配置索引'!$M:$M,0)))</f>
        <v/>
      </c>
      <c r="AO370" s="133" t="str">
        <f>IF(AN370="","",INDEX('#建筑消耗和buff配置索引'!BH:BH,MATCH($F370,'#建筑消耗和buff配置索引'!$M:$M,0)))</f>
        <v/>
      </c>
      <c r="AR370" s="133" t="str">
        <f>IF(INDEX('#建筑消耗和buff配置索引'!BK:BK,MATCH($F370,'#建筑消耗和buff配置索引'!$M:$M,0))=0,"",INDEX('#建筑消耗和buff配置索引'!BK:BK,MATCH($F370,'#建筑消耗和buff配置索引'!$M:$M,0)))</f>
        <v/>
      </c>
      <c r="AS370" s="133" t="str">
        <f>IF(AR370="","",INDEX('#建筑消耗和buff配置索引'!BL:BL,MATCH($F370,'#建筑消耗和buff配置索引'!$M:$M,0)))</f>
        <v/>
      </c>
      <c r="AV370" s="133" t="str">
        <f>IF(INDEX('#建筑消耗和buff配置索引'!BO:BO,MATCH($F370,'#建筑消耗和buff配置索引'!$M:$M,0))=0,"",INDEX('#建筑消耗和buff配置索引'!BO:BO,MATCH($F370,'#建筑消耗和buff配置索引'!$M:$M,0)))</f>
        <v/>
      </c>
      <c r="AW370" s="133" t="str">
        <f>IF(AV370="","",INDEX('#建筑消耗和buff配置索引'!BP:BP,MATCH($F370,'#建筑消耗和buff配置索引'!$M:$M,0)))</f>
        <v/>
      </c>
      <c r="AZ370" s="133" t="str">
        <f>IF(INDEX('#建筑消耗和buff配置索引'!BS:BS,MATCH($F370,'#建筑消耗和buff配置索引'!$M:$M,0))=0,"",INDEX('#建筑消耗和buff配置索引'!BS:BS,MATCH($F370,'#建筑消耗和buff配置索引'!$M:$M,0)))</f>
        <v/>
      </c>
      <c r="BA370" s="133" t="str">
        <f>IF(AZ370="","",INDEX('#建筑消耗和buff配置索引'!BT:BT,MATCH($F370,'#建筑消耗和buff配置索引'!$M:$M,0)))</f>
        <v/>
      </c>
      <c r="BD370" s="133" t="str">
        <f>IF(INDEX('#建筑消耗和buff配置索引'!BW:BW,MATCH($F370,'#建筑消耗和buff配置索引'!$M:$M,0))=0,"",INDEX('#建筑消耗和buff配置索引'!BW:BW,MATCH($F370,'#建筑消耗和buff配置索引'!$M:$M,0)))</f>
        <v/>
      </c>
      <c r="BE370" s="133" t="str">
        <f>IF(BD370="","",INDEX('#建筑消耗和buff配置索引'!BX:BX,MATCH($F370,'#建筑消耗和buff配置索引'!$M:$M,0)))</f>
        <v/>
      </c>
      <c r="BI370" s="133">
        <v>25</v>
      </c>
    </row>
    <row r="371" spans="1:61" s="133" customFormat="1">
      <c r="A371" s="133">
        <v>2290006</v>
      </c>
      <c r="B371" s="133">
        <v>368</v>
      </c>
      <c r="C371" s="133">
        <v>229</v>
      </c>
      <c r="D371" s="133" t="s">
        <v>515</v>
      </c>
      <c r="E371" s="133">
        <v>6</v>
      </c>
      <c r="F371" s="133" t="str">
        <f t="shared" si="7"/>
        <v>战争大厅6</v>
      </c>
      <c r="H371" s="146"/>
      <c r="I371" s="133">
        <v>1</v>
      </c>
      <c r="J371" s="150">
        <f>INDEX('#建筑消耗和buff配置索引'!AH:AH,MATCH($F371,'#建筑消耗和buff配置索引'!$M:$M,0))</f>
        <v>1890</v>
      </c>
      <c r="K371" s="150">
        <f>INDEX('#建筑消耗和buff配置索引'!AA:AA,MATCH($F371,'#建筑消耗和buff配置索引'!$M:$M,0))</f>
        <v>20000</v>
      </c>
      <c r="L371" s="150">
        <f>INDEX('#建筑消耗和buff配置索引'!AB:AB,MATCH($F371,'#建筑消耗和buff配置索引'!$M:$M,0))</f>
        <v>40000</v>
      </c>
      <c r="M371" s="150">
        <f>INDEX('#建筑消耗和buff配置索引'!AC:AC,MATCH($F371,'#建筑消耗和buff配置索引'!$M:$M,0))</f>
        <v>40000</v>
      </c>
      <c r="N371" s="150">
        <f>INDEX('#建筑消耗和buff配置索引'!AD:AD,MATCH($F371,'#建筑消耗和buff配置索引'!$M:$M,0))</f>
        <v>0</v>
      </c>
      <c r="O371" s="150">
        <f>IF(INDEX('#建筑消耗和buff配置索引'!T:T,MATCH($F371,'#建筑消耗和buff配置索引'!$M:$M,0))=0,"",INDEX('#建筑消耗和buff配置索引'!T:T,MATCH($F371,'#建筑消耗和buff配置索引'!$M:$M,0)))</f>
        <v>2061</v>
      </c>
      <c r="P371" s="133">
        <f>IF(INDEX('#建筑消耗和buff配置索引'!U:U,MATCH($F371,'#建筑消耗和buff配置索引'!$M:$M,0))=0,"",INDEX('#建筑消耗和buff配置索引'!U:U,MATCH($F371,'#建筑消耗和buff配置索引'!$M:$M,0)))</f>
        <v>10</v>
      </c>
      <c r="Q371" s="133" t="str">
        <f>IF(INDEX('#建筑消耗和buff配置索引'!K:K,MATCH($F371,'#建筑消耗和buff配置索引'!$M:$M,0))=0,"",INDEX('#建筑消耗和buff配置索引'!K:K,MATCH($F371,'#建筑消耗和buff配置索引'!$M:$M,0)))</f>
        <v>201;230</v>
      </c>
      <c r="R371" s="133" t="str">
        <f>IF(INDEX('#建筑消耗和buff配置索引'!L:L,MATCH($F371,'#建筑消耗和buff配置索引'!$M:$M,0))=0,"",INDEX('#建筑消耗和buff配置索引'!L:L,MATCH($F371,'#建筑消耗和buff配置索引'!$M:$M,0)))</f>
        <v>12;6</v>
      </c>
      <c r="S371" s="133">
        <f>IF(INDEX('#建筑消耗和buff配置索引'!C:C,MATCH(F371,'#建筑消耗和buff配置索引'!M:M,0))=0,1,INDEX('#建筑消耗和buff配置索引'!C:C,MATCH(F371,'#建筑消耗和buff配置索引'!M:M,0)))</f>
        <v>3</v>
      </c>
      <c r="T371" s="133">
        <v>0</v>
      </c>
      <c r="U371" s="133">
        <v>0</v>
      </c>
      <c r="V371" s="133" t="str">
        <f>IF(E371=1,IF(INDEX('#建筑消耗和buff配置索引'!BY:BY,MATCH(D371,'#建筑消耗和buff配置索引'!A:A,0))=0,"",INDEX('#建筑消耗和buff配置索引'!BY:BY,MATCH(D371,'#建筑消耗和buff配置索引'!A:A,0))),"")</f>
        <v/>
      </c>
      <c r="W371" s="133" t="str">
        <f>IF(E371=1,IF(INDEX('#建筑消耗和buff配置索引'!BZ:BZ,MATCH(D371,'#建筑消耗和buff配置索引'!A:A,0))=0,"",INDEX('#建筑消耗和buff配置索引'!BZ:BZ,MATCH(D371,'#建筑消耗和buff配置索引'!A:A,0))),"")</f>
        <v/>
      </c>
      <c r="AA371" s="133">
        <f>INDEX('#建筑消耗和buff配置索引'!AO:AO,MATCH($F371,'#建筑消耗和buff配置索引'!$M:$M,0))</f>
        <v>414</v>
      </c>
      <c r="AB371" s="133">
        <f>IF(INDEX('#建筑消耗和buff配置索引'!AR:AR,MATCH($F371,'#建筑消耗和buff配置索引'!$M:$M,0))=0,"",INDEX('#建筑消耗和buff配置索引'!AR:AR,MATCH($F371,'#建筑消耗和buff配置索引'!$M:$M,0)))</f>
        <v>1254</v>
      </c>
      <c r="AC371" s="133">
        <f>IF(AB371="","",INDEX('#建筑消耗和buff配置索引'!AS:AS,MATCH($F371,'#建筑消耗和buff配置索引'!$M:$M,0)))</f>
        <v>640000</v>
      </c>
      <c r="AF371" s="133">
        <f>IF(INDEX('#建筑消耗和buff配置索引'!AW:AW,MATCH($F371,'#建筑消耗和buff配置索引'!$M:$M,0))=0,"",INDEX('#建筑消耗和buff配置索引'!AW:AW,MATCH($F371,'#建筑消耗和buff配置索引'!$M:$M,0)))</f>
        <v>10000401</v>
      </c>
      <c r="AG371" s="133">
        <f>IF(AF371="","",INDEX('#建筑消耗和buff配置索引'!AX:AX,MATCH($F371,'#建筑消耗和buff配置索引'!$M:$M,0)))</f>
        <v>140000</v>
      </c>
      <c r="AJ371" s="133" t="str">
        <f>IF(INDEX('#建筑消耗和buff配置索引'!BB:BB,MATCH($F371,'#建筑消耗和buff配置索引'!$M:$M,0))=0,"",INDEX('#建筑消耗和buff配置索引'!BB:BB,MATCH($F371,'#建筑消耗和buff配置索引'!$M:$M,0)))</f>
        <v/>
      </c>
      <c r="AK371" s="133" t="str">
        <f>IF(AJ371="","",INDEX('#建筑消耗和buff配置索引'!BC:BC,MATCH($F371,'#建筑消耗和buff配置索引'!$M:$M,0)))</f>
        <v/>
      </c>
      <c r="AN371" s="133" t="str">
        <f>IF(INDEX('#建筑消耗和buff配置索引'!BG:BG,MATCH($F371,'#建筑消耗和buff配置索引'!$M:$M,0))=0,"",INDEX('#建筑消耗和buff配置索引'!BG:BG,MATCH($F371,'#建筑消耗和buff配置索引'!$M:$M,0)))</f>
        <v/>
      </c>
      <c r="AO371" s="133" t="str">
        <f>IF(AN371="","",INDEX('#建筑消耗和buff配置索引'!BH:BH,MATCH($F371,'#建筑消耗和buff配置索引'!$M:$M,0)))</f>
        <v/>
      </c>
      <c r="AR371" s="133" t="str">
        <f>IF(INDEX('#建筑消耗和buff配置索引'!BK:BK,MATCH($F371,'#建筑消耗和buff配置索引'!$M:$M,0))=0,"",INDEX('#建筑消耗和buff配置索引'!BK:BK,MATCH($F371,'#建筑消耗和buff配置索引'!$M:$M,0)))</f>
        <v/>
      </c>
      <c r="AS371" s="133" t="str">
        <f>IF(AR371="","",INDEX('#建筑消耗和buff配置索引'!BL:BL,MATCH($F371,'#建筑消耗和buff配置索引'!$M:$M,0)))</f>
        <v/>
      </c>
      <c r="AV371" s="133" t="str">
        <f>IF(INDEX('#建筑消耗和buff配置索引'!BO:BO,MATCH($F371,'#建筑消耗和buff配置索引'!$M:$M,0))=0,"",INDEX('#建筑消耗和buff配置索引'!BO:BO,MATCH($F371,'#建筑消耗和buff配置索引'!$M:$M,0)))</f>
        <v/>
      </c>
      <c r="AW371" s="133" t="str">
        <f>IF(AV371="","",INDEX('#建筑消耗和buff配置索引'!BP:BP,MATCH($F371,'#建筑消耗和buff配置索引'!$M:$M,0)))</f>
        <v/>
      </c>
      <c r="AZ371" s="133" t="str">
        <f>IF(INDEX('#建筑消耗和buff配置索引'!BS:BS,MATCH($F371,'#建筑消耗和buff配置索引'!$M:$M,0))=0,"",INDEX('#建筑消耗和buff配置索引'!BS:BS,MATCH($F371,'#建筑消耗和buff配置索引'!$M:$M,0)))</f>
        <v/>
      </c>
      <c r="BA371" s="133" t="str">
        <f>IF(AZ371="","",INDEX('#建筑消耗和buff配置索引'!BT:BT,MATCH($F371,'#建筑消耗和buff配置索引'!$M:$M,0)))</f>
        <v/>
      </c>
      <c r="BD371" s="133" t="str">
        <f>IF(INDEX('#建筑消耗和buff配置索引'!BW:BW,MATCH($F371,'#建筑消耗和buff配置索引'!$M:$M,0))=0,"",INDEX('#建筑消耗和buff配置索引'!BW:BW,MATCH($F371,'#建筑消耗和buff配置索引'!$M:$M,0)))</f>
        <v/>
      </c>
      <c r="BE371" s="133" t="str">
        <f>IF(BD371="","",INDEX('#建筑消耗和buff配置索引'!BX:BX,MATCH($F371,'#建筑消耗和buff配置索引'!$M:$M,0)))</f>
        <v/>
      </c>
      <c r="BI371" s="133">
        <v>25</v>
      </c>
    </row>
    <row r="372" spans="1:61" s="133" customFormat="1">
      <c r="A372" s="133">
        <v>2290007</v>
      </c>
      <c r="B372" s="133">
        <v>369</v>
      </c>
      <c r="C372" s="133">
        <v>229</v>
      </c>
      <c r="D372" s="133" t="s">
        <v>515</v>
      </c>
      <c r="E372" s="133">
        <v>7</v>
      </c>
      <c r="F372" s="133" t="str">
        <f t="shared" si="7"/>
        <v>战争大厅7</v>
      </c>
      <c r="H372" s="146"/>
      <c r="I372" s="133">
        <v>1</v>
      </c>
      <c r="J372" s="150">
        <f>INDEX('#建筑消耗和buff配置索引'!AH:AH,MATCH($F372,'#建筑消耗和buff配置索引'!$M:$M,0))</f>
        <v>3150</v>
      </c>
      <c r="K372" s="150">
        <f>INDEX('#建筑消耗和buff配置索引'!AA:AA,MATCH($F372,'#建筑消耗和buff配置索引'!$M:$M,0))</f>
        <v>36000</v>
      </c>
      <c r="L372" s="150">
        <f>INDEX('#建筑消耗和buff配置索引'!AB:AB,MATCH($F372,'#建筑消耗和buff配置索引'!$M:$M,0))</f>
        <v>72000</v>
      </c>
      <c r="M372" s="150">
        <f>INDEX('#建筑消耗和buff配置索引'!AC:AC,MATCH($F372,'#建筑消耗和buff配置索引'!$M:$M,0))</f>
        <v>72000</v>
      </c>
      <c r="N372" s="150">
        <f>INDEX('#建筑消耗和buff配置索引'!AD:AD,MATCH($F372,'#建筑消耗和buff配置索引'!$M:$M,0))</f>
        <v>0</v>
      </c>
      <c r="O372" s="150">
        <f>IF(INDEX('#建筑消耗和buff配置索引'!T:T,MATCH($F372,'#建筑消耗和buff配置索引'!$M:$M,0))=0,"",INDEX('#建筑消耗和buff配置索引'!T:T,MATCH($F372,'#建筑消耗和buff配置索引'!$M:$M,0)))</f>
        <v>2061</v>
      </c>
      <c r="P372" s="133">
        <f>IF(INDEX('#建筑消耗和buff配置索引'!U:U,MATCH($F372,'#建筑消耗和buff配置索引'!$M:$M,0))=0,"",INDEX('#建筑消耗和buff配置索引'!U:U,MATCH($F372,'#建筑消耗和buff配置索引'!$M:$M,0)))</f>
        <v>15</v>
      </c>
      <c r="Q372" s="133" t="str">
        <f>IF(INDEX('#建筑消耗和buff配置索引'!K:K,MATCH($F372,'#建筑消耗和buff配置索引'!$M:$M,0))=0,"",INDEX('#建筑消耗和buff配置索引'!K:K,MATCH($F372,'#建筑消耗和buff配置索引'!$M:$M,0)))</f>
        <v>201;230</v>
      </c>
      <c r="R372" s="133" t="str">
        <f>IF(INDEX('#建筑消耗和buff配置索引'!L:L,MATCH($F372,'#建筑消耗和buff配置索引'!$M:$M,0))=0,"",INDEX('#建筑消耗和buff配置索引'!L:L,MATCH($F372,'#建筑消耗和buff配置索引'!$M:$M,0)))</f>
        <v>12;7</v>
      </c>
      <c r="S372" s="133">
        <f>IF(INDEX('#建筑消耗和buff配置索引'!C:C,MATCH(F372,'#建筑消耗和buff配置索引'!M:M,0))=0,1,INDEX('#建筑消耗和buff配置索引'!C:C,MATCH(F372,'#建筑消耗和buff配置索引'!M:M,0)))</f>
        <v>3</v>
      </c>
      <c r="T372" s="133">
        <v>0</v>
      </c>
      <c r="U372" s="133">
        <v>0</v>
      </c>
      <c r="V372" s="133" t="str">
        <f>IF(E372=1,IF(INDEX('#建筑消耗和buff配置索引'!BY:BY,MATCH(D372,'#建筑消耗和buff配置索引'!A:A,0))=0,"",INDEX('#建筑消耗和buff配置索引'!BY:BY,MATCH(D372,'#建筑消耗和buff配置索引'!A:A,0))),"")</f>
        <v/>
      </c>
      <c r="W372" s="133" t="str">
        <f>IF(E372=1,IF(INDEX('#建筑消耗和buff配置索引'!BZ:BZ,MATCH(D372,'#建筑消耗和buff配置索引'!A:A,0))=0,"",INDEX('#建筑消耗和buff配置索引'!BZ:BZ,MATCH(D372,'#建筑消耗和buff配置索引'!A:A,0))),"")</f>
        <v/>
      </c>
      <c r="AA372" s="133">
        <f>INDEX('#建筑消耗和buff配置索引'!AO:AO,MATCH($F372,'#建筑消耗和buff配置索引'!$M:$M,0))</f>
        <v>773</v>
      </c>
      <c r="AB372" s="133">
        <f>IF(INDEX('#建筑消耗和buff配置索引'!AR:AR,MATCH($F372,'#建筑消耗和buff配置索引'!$M:$M,0))=0,"",INDEX('#建筑消耗和buff配置索引'!AR:AR,MATCH($F372,'#建筑消耗和buff配置索引'!$M:$M,0)))</f>
        <v>1254</v>
      </c>
      <c r="AC372" s="133">
        <f>IF(AB372="","",INDEX('#建筑消耗和buff配置索引'!AS:AS,MATCH($F372,'#建筑消耗和buff配置索引'!$M:$M,0)))</f>
        <v>850000</v>
      </c>
      <c r="AF372" s="133">
        <f>IF(INDEX('#建筑消耗和buff配置索引'!AW:AW,MATCH($F372,'#建筑消耗和buff配置索引'!$M:$M,0))=0,"",INDEX('#建筑消耗和buff配置索引'!AW:AW,MATCH($F372,'#建筑消耗和buff配置索引'!$M:$M,0)))</f>
        <v>10000401</v>
      </c>
      <c r="AG372" s="133">
        <f>IF(AF372="","",INDEX('#建筑消耗和buff配置索引'!AX:AX,MATCH($F372,'#建筑消耗和buff配置索引'!$M:$M,0)))</f>
        <v>180000</v>
      </c>
      <c r="AJ372" s="133" t="str">
        <f>IF(INDEX('#建筑消耗和buff配置索引'!BB:BB,MATCH($F372,'#建筑消耗和buff配置索引'!$M:$M,0))=0,"",INDEX('#建筑消耗和buff配置索引'!BB:BB,MATCH($F372,'#建筑消耗和buff配置索引'!$M:$M,0)))</f>
        <v/>
      </c>
      <c r="AK372" s="133" t="str">
        <f>IF(AJ372="","",INDEX('#建筑消耗和buff配置索引'!BC:BC,MATCH($F372,'#建筑消耗和buff配置索引'!$M:$M,0)))</f>
        <v/>
      </c>
      <c r="AN372" s="133" t="str">
        <f>IF(INDEX('#建筑消耗和buff配置索引'!BG:BG,MATCH($F372,'#建筑消耗和buff配置索引'!$M:$M,0))=0,"",INDEX('#建筑消耗和buff配置索引'!BG:BG,MATCH($F372,'#建筑消耗和buff配置索引'!$M:$M,0)))</f>
        <v/>
      </c>
      <c r="AO372" s="133" t="str">
        <f>IF(AN372="","",INDEX('#建筑消耗和buff配置索引'!BH:BH,MATCH($F372,'#建筑消耗和buff配置索引'!$M:$M,0)))</f>
        <v/>
      </c>
      <c r="AR372" s="133" t="str">
        <f>IF(INDEX('#建筑消耗和buff配置索引'!BK:BK,MATCH($F372,'#建筑消耗和buff配置索引'!$M:$M,0))=0,"",INDEX('#建筑消耗和buff配置索引'!BK:BK,MATCH($F372,'#建筑消耗和buff配置索引'!$M:$M,0)))</f>
        <v/>
      </c>
      <c r="AS372" s="133" t="str">
        <f>IF(AR372="","",INDEX('#建筑消耗和buff配置索引'!BL:BL,MATCH($F372,'#建筑消耗和buff配置索引'!$M:$M,0)))</f>
        <v/>
      </c>
      <c r="AV372" s="133" t="str">
        <f>IF(INDEX('#建筑消耗和buff配置索引'!BO:BO,MATCH($F372,'#建筑消耗和buff配置索引'!$M:$M,0))=0,"",INDEX('#建筑消耗和buff配置索引'!BO:BO,MATCH($F372,'#建筑消耗和buff配置索引'!$M:$M,0)))</f>
        <v/>
      </c>
      <c r="AW372" s="133" t="str">
        <f>IF(AV372="","",INDEX('#建筑消耗和buff配置索引'!BP:BP,MATCH($F372,'#建筑消耗和buff配置索引'!$M:$M,0)))</f>
        <v/>
      </c>
      <c r="AZ372" s="133" t="str">
        <f>IF(INDEX('#建筑消耗和buff配置索引'!BS:BS,MATCH($F372,'#建筑消耗和buff配置索引'!$M:$M,0))=0,"",INDEX('#建筑消耗和buff配置索引'!BS:BS,MATCH($F372,'#建筑消耗和buff配置索引'!$M:$M,0)))</f>
        <v/>
      </c>
      <c r="BA372" s="133" t="str">
        <f>IF(AZ372="","",INDEX('#建筑消耗和buff配置索引'!BT:BT,MATCH($F372,'#建筑消耗和buff配置索引'!$M:$M,0)))</f>
        <v/>
      </c>
      <c r="BD372" s="133" t="str">
        <f>IF(INDEX('#建筑消耗和buff配置索引'!BW:BW,MATCH($F372,'#建筑消耗和buff配置索引'!$M:$M,0))=0,"",INDEX('#建筑消耗和buff配置索引'!BW:BW,MATCH($F372,'#建筑消耗和buff配置索引'!$M:$M,0)))</f>
        <v/>
      </c>
      <c r="BE372" s="133" t="str">
        <f>IF(BD372="","",INDEX('#建筑消耗和buff配置索引'!BX:BX,MATCH($F372,'#建筑消耗和buff配置索引'!$M:$M,0)))</f>
        <v/>
      </c>
      <c r="BI372" s="133">
        <v>25</v>
      </c>
    </row>
    <row r="373" spans="1:61" s="133" customFormat="1">
      <c r="A373" s="133">
        <v>2290008</v>
      </c>
      <c r="B373" s="133">
        <v>370</v>
      </c>
      <c r="C373" s="133">
        <v>229</v>
      </c>
      <c r="D373" s="133" t="s">
        <v>515</v>
      </c>
      <c r="E373" s="133">
        <v>8</v>
      </c>
      <c r="F373" s="133" t="str">
        <f t="shared" si="7"/>
        <v>战争大厅8</v>
      </c>
      <c r="H373" s="146"/>
      <c r="I373" s="133">
        <v>1</v>
      </c>
      <c r="J373" s="150">
        <f>INDEX('#建筑消耗和buff配置索引'!AH:AH,MATCH($F373,'#建筑消耗和buff配置索引'!$M:$M,0))</f>
        <v>5040</v>
      </c>
      <c r="K373" s="150">
        <f>INDEX('#建筑消耗和buff配置索引'!AA:AA,MATCH($F373,'#建筑消耗和buff配置索引'!$M:$M,0))</f>
        <v>62000</v>
      </c>
      <c r="L373" s="150">
        <f>INDEX('#建筑消耗和buff配置索引'!AB:AB,MATCH($F373,'#建筑消耗和buff配置索引'!$M:$M,0))</f>
        <v>120000</v>
      </c>
      <c r="M373" s="150">
        <f>INDEX('#建筑消耗和buff配置索引'!AC:AC,MATCH($F373,'#建筑消耗和buff配置索引'!$M:$M,0))</f>
        <v>120000</v>
      </c>
      <c r="N373" s="150">
        <f>INDEX('#建筑消耗和buff配置索引'!AD:AD,MATCH($F373,'#建筑消耗和buff配置索引'!$M:$M,0))</f>
        <v>0</v>
      </c>
      <c r="O373" s="150">
        <f>IF(INDEX('#建筑消耗和buff配置索引'!T:T,MATCH($F373,'#建筑消耗和buff配置索引'!$M:$M,0))=0,"",INDEX('#建筑消耗和buff配置索引'!T:T,MATCH($F373,'#建筑消耗和buff配置索引'!$M:$M,0)))</f>
        <v>2061</v>
      </c>
      <c r="P373" s="133">
        <f>IF(INDEX('#建筑消耗和buff配置索引'!U:U,MATCH($F373,'#建筑消耗和buff配置索引'!$M:$M,0))=0,"",INDEX('#建筑消耗和buff配置索引'!U:U,MATCH($F373,'#建筑消耗和buff配置索引'!$M:$M,0)))</f>
        <v>20</v>
      </c>
      <c r="Q373" s="133" t="str">
        <f>IF(INDEX('#建筑消耗和buff配置索引'!K:K,MATCH($F373,'#建筑消耗和buff配置索引'!$M:$M,0))=0,"",INDEX('#建筑消耗和buff配置索引'!K:K,MATCH($F373,'#建筑消耗和buff配置索引'!$M:$M,0)))</f>
        <v>201;230</v>
      </c>
      <c r="R373" s="133" t="str">
        <f>IF(INDEX('#建筑消耗和buff配置索引'!L:L,MATCH($F373,'#建筑消耗和buff配置索引'!$M:$M,0))=0,"",INDEX('#建筑消耗和buff配置索引'!L:L,MATCH($F373,'#建筑消耗和buff配置索引'!$M:$M,0)))</f>
        <v>12;8</v>
      </c>
      <c r="S373" s="133">
        <f>IF(INDEX('#建筑消耗和buff配置索引'!C:C,MATCH(F373,'#建筑消耗和buff配置索引'!M:M,0))=0,1,INDEX('#建筑消耗和buff配置索引'!C:C,MATCH(F373,'#建筑消耗和buff配置索引'!M:M,0)))</f>
        <v>3</v>
      </c>
      <c r="T373" s="133">
        <v>0</v>
      </c>
      <c r="U373" s="133">
        <v>0</v>
      </c>
      <c r="V373" s="133" t="str">
        <f>IF(E373=1,IF(INDEX('#建筑消耗和buff配置索引'!BY:BY,MATCH(D373,'#建筑消耗和buff配置索引'!A:A,0))=0,"",INDEX('#建筑消耗和buff配置索引'!BY:BY,MATCH(D373,'#建筑消耗和buff配置索引'!A:A,0))),"")</f>
        <v/>
      </c>
      <c r="W373" s="133" t="str">
        <f>IF(E373=1,IF(INDEX('#建筑消耗和buff配置索引'!BZ:BZ,MATCH(D373,'#建筑消耗和buff配置索引'!A:A,0))=0,"",INDEX('#建筑消耗和buff配置索引'!BZ:BZ,MATCH(D373,'#建筑消耗和buff配置索引'!A:A,0))),"")</f>
        <v/>
      </c>
      <c r="AA373" s="133">
        <f>INDEX('#建筑消耗和buff配置索引'!AO:AO,MATCH($F373,'#建筑消耗和buff配置索引'!$M:$M,0))</f>
        <v>1392</v>
      </c>
      <c r="AB373" s="133">
        <f>IF(INDEX('#建筑消耗和buff配置索引'!AR:AR,MATCH($F373,'#建筑消耗和buff配置索引'!$M:$M,0))=0,"",INDEX('#建筑消耗和buff配置索引'!AR:AR,MATCH($F373,'#建筑消耗和buff配置索引'!$M:$M,0)))</f>
        <v>1254</v>
      </c>
      <c r="AC373" s="133">
        <f>IF(AB373="","",INDEX('#建筑消耗和buff配置索引'!AS:AS,MATCH($F373,'#建筑消耗和buff配置索引'!$M:$M,0)))</f>
        <v>1080000</v>
      </c>
      <c r="AF373" s="133">
        <f>IF(INDEX('#建筑消耗和buff配置索引'!AW:AW,MATCH($F373,'#建筑消耗和buff配置索引'!$M:$M,0))=0,"",INDEX('#建筑消耗和buff配置索引'!AW:AW,MATCH($F373,'#建筑消耗和buff配置索引'!$M:$M,0)))</f>
        <v>10000401</v>
      </c>
      <c r="AG373" s="133">
        <f>IF(AF373="","",INDEX('#建筑消耗和buff配置索引'!AX:AX,MATCH($F373,'#建筑消耗和buff配置索引'!$M:$M,0)))</f>
        <v>220000</v>
      </c>
      <c r="AJ373" s="133" t="str">
        <f>IF(INDEX('#建筑消耗和buff配置索引'!BB:BB,MATCH($F373,'#建筑消耗和buff配置索引'!$M:$M,0))=0,"",INDEX('#建筑消耗和buff配置索引'!BB:BB,MATCH($F373,'#建筑消耗和buff配置索引'!$M:$M,0)))</f>
        <v/>
      </c>
      <c r="AK373" s="133" t="str">
        <f>IF(AJ373="","",INDEX('#建筑消耗和buff配置索引'!BC:BC,MATCH($F373,'#建筑消耗和buff配置索引'!$M:$M,0)))</f>
        <v/>
      </c>
      <c r="AN373" s="133" t="str">
        <f>IF(INDEX('#建筑消耗和buff配置索引'!BG:BG,MATCH($F373,'#建筑消耗和buff配置索引'!$M:$M,0))=0,"",INDEX('#建筑消耗和buff配置索引'!BG:BG,MATCH($F373,'#建筑消耗和buff配置索引'!$M:$M,0)))</f>
        <v/>
      </c>
      <c r="AO373" s="133" t="str">
        <f>IF(AN373="","",INDEX('#建筑消耗和buff配置索引'!BH:BH,MATCH($F373,'#建筑消耗和buff配置索引'!$M:$M,0)))</f>
        <v/>
      </c>
      <c r="AR373" s="133" t="str">
        <f>IF(INDEX('#建筑消耗和buff配置索引'!BK:BK,MATCH($F373,'#建筑消耗和buff配置索引'!$M:$M,0))=0,"",INDEX('#建筑消耗和buff配置索引'!BK:BK,MATCH($F373,'#建筑消耗和buff配置索引'!$M:$M,0)))</f>
        <v/>
      </c>
      <c r="AS373" s="133" t="str">
        <f>IF(AR373="","",INDEX('#建筑消耗和buff配置索引'!BL:BL,MATCH($F373,'#建筑消耗和buff配置索引'!$M:$M,0)))</f>
        <v/>
      </c>
      <c r="AV373" s="133" t="str">
        <f>IF(INDEX('#建筑消耗和buff配置索引'!BO:BO,MATCH($F373,'#建筑消耗和buff配置索引'!$M:$M,0))=0,"",INDEX('#建筑消耗和buff配置索引'!BO:BO,MATCH($F373,'#建筑消耗和buff配置索引'!$M:$M,0)))</f>
        <v/>
      </c>
      <c r="AW373" s="133" t="str">
        <f>IF(AV373="","",INDEX('#建筑消耗和buff配置索引'!BP:BP,MATCH($F373,'#建筑消耗和buff配置索引'!$M:$M,0)))</f>
        <v/>
      </c>
      <c r="AZ373" s="133" t="str">
        <f>IF(INDEX('#建筑消耗和buff配置索引'!BS:BS,MATCH($F373,'#建筑消耗和buff配置索引'!$M:$M,0))=0,"",INDEX('#建筑消耗和buff配置索引'!BS:BS,MATCH($F373,'#建筑消耗和buff配置索引'!$M:$M,0)))</f>
        <v/>
      </c>
      <c r="BA373" s="133" t="str">
        <f>IF(AZ373="","",INDEX('#建筑消耗和buff配置索引'!BT:BT,MATCH($F373,'#建筑消耗和buff配置索引'!$M:$M,0)))</f>
        <v/>
      </c>
      <c r="BD373" s="133" t="str">
        <f>IF(INDEX('#建筑消耗和buff配置索引'!BW:BW,MATCH($F373,'#建筑消耗和buff配置索引'!$M:$M,0))=0,"",INDEX('#建筑消耗和buff配置索引'!BW:BW,MATCH($F373,'#建筑消耗和buff配置索引'!$M:$M,0)))</f>
        <v/>
      </c>
      <c r="BE373" s="133" t="str">
        <f>IF(BD373="","",INDEX('#建筑消耗和buff配置索引'!BX:BX,MATCH($F373,'#建筑消耗和buff配置索引'!$M:$M,0)))</f>
        <v/>
      </c>
      <c r="BI373" s="133">
        <v>25</v>
      </c>
    </row>
    <row r="374" spans="1:61" s="133" customFormat="1">
      <c r="A374" s="133">
        <v>2290009</v>
      </c>
      <c r="B374" s="133">
        <v>371</v>
      </c>
      <c r="C374" s="133">
        <v>229</v>
      </c>
      <c r="D374" s="133" t="s">
        <v>515</v>
      </c>
      <c r="E374" s="133">
        <v>9</v>
      </c>
      <c r="F374" s="133" t="str">
        <f t="shared" si="7"/>
        <v>战争大厅9</v>
      </c>
      <c r="H374" s="146"/>
      <c r="I374" s="133">
        <v>1</v>
      </c>
      <c r="J374" s="150">
        <f>INDEX('#建筑消耗和buff配置索引'!AH:AH,MATCH($F374,'#建筑消耗和buff配置索引'!$M:$M,0))</f>
        <v>10080</v>
      </c>
      <c r="K374" s="150">
        <f>INDEX('#建筑消耗和buff配置索引'!AA:AA,MATCH($F374,'#建筑消耗和buff配置索引'!$M:$M,0))</f>
        <v>100000</v>
      </c>
      <c r="L374" s="150">
        <f>INDEX('#建筑消耗和buff配置索引'!AB:AB,MATCH($F374,'#建筑消耗和buff配置索引'!$M:$M,0))</f>
        <v>200000</v>
      </c>
      <c r="M374" s="150">
        <f>INDEX('#建筑消耗和buff配置索引'!AC:AC,MATCH($F374,'#建筑消耗和buff配置索引'!$M:$M,0))</f>
        <v>200000</v>
      </c>
      <c r="N374" s="150">
        <f>INDEX('#建筑消耗和buff配置索引'!AD:AD,MATCH($F374,'#建筑消耗和buff配置索引'!$M:$M,0))</f>
        <v>0</v>
      </c>
      <c r="O374" s="150">
        <f>IF(INDEX('#建筑消耗和buff配置索引'!T:T,MATCH($F374,'#建筑消耗和buff配置索引'!$M:$M,0))=0,"",INDEX('#建筑消耗和buff配置索引'!T:T,MATCH($F374,'#建筑消耗和buff配置索引'!$M:$M,0)))</f>
        <v>2061</v>
      </c>
      <c r="P374" s="133">
        <f>IF(INDEX('#建筑消耗和buff配置索引'!U:U,MATCH($F374,'#建筑消耗和buff配置索引'!$M:$M,0))=0,"",INDEX('#建筑消耗和buff配置索引'!U:U,MATCH($F374,'#建筑消耗和buff配置索引'!$M:$M,0)))</f>
        <v>25</v>
      </c>
      <c r="Q374" s="133" t="str">
        <f>IF(INDEX('#建筑消耗和buff配置索引'!K:K,MATCH($F374,'#建筑消耗和buff配置索引'!$M:$M,0))=0,"",INDEX('#建筑消耗和buff配置索引'!K:K,MATCH($F374,'#建筑消耗和buff配置索引'!$M:$M,0)))</f>
        <v>201;230</v>
      </c>
      <c r="R374" s="133" t="str">
        <f>IF(INDEX('#建筑消耗和buff配置索引'!L:L,MATCH($F374,'#建筑消耗和buff配置索引'!$M:$M,0))=0,"",INDEX('#建筑消耗和buff配置索引'!L:L,MATCH($F374,'#建筑消耗和buff配置索引'!$M:$M,0)))</f>
        <v>12;9</v>
      </c>
      <c r="S374" s="133">
        <f>IF(INDEX('#建筑消耗和buff配置索引'!C:C,MATCH(F374,'#建筑消耗和buff配置索引'!M:M,0))=0,1,INDEX('#建筑消耗和buff配置索引'!C:C,MATCH(F374,'#建筑消耗和buff配置索引'!M:M,0)))</f>
        <v>3</v>
      </c>
      <c r="T374" s="133">
        <v>0</v>
      </c>
      <c r="U374" s="133">
        <v>0</v>
      </c>
      <c r="V374" s="133" t="str">
        <f>IF(E374=1,IF(INDEX('#建筑消耗和buff配置索引'!BY:BY,MATCH(D374,'#建筑消耗和buff配置索引'!A:A,0))=0,"",INDEX('#建筑消耗和buff配置索引'!BY:BY,MATCH(D374,'#建筑消耗和buff配置索引'!A:A,0))),"")</f>
        <v/>
      </c>
      <c r="W374" s="133" t="str">
        <f>IF(E374=1,IF(INDEX('#建筑消耗和buff配置索引'!BZ:BZ,MATCH(D374,'#建筑消耗和buff配置索引'!A:A,0))=0,"",INDEX('#建筑消耗和buff配置索引'!BZ:BZ,MATCH(D374,'#建筑消耗和buff配置索引'!A:A,0))),"")</f>
        <v/>
      </c>
      <c r="AA374" s="133">
        <f>INDEX('#建筑消耗和buff配置索引'!AO:AO,MATCH($F374,'#建筑消耗和buff配置索引'!$M:$M,0))</f>
        <v>2414</v>
      </c>
      <c r="AB374" s="133">
        <f>IF(INDEX('#建筑消耗和buff配置索引'!AR:AR,MATCH($F374,'#建筑消耗和buff配置索引'!$M:$M,0))=0,"",INDEX('#建筑消耗和buff配置索引'!AR:AR,MATCH($F374,'#建筑消耗和buff配置索引'!$M:$M,0)))</f>
        <v>1254</v>
      </c>
      <c r="AC374" s="133">
        <f>IF(AB374="","",INDEX('#建筑消耗和buff配置索引'!AS:AS,MATCH($F374,'#建筑消耗和buff配置索引'!$M:$M,0)))</f>
        <v>1330000</v>
      </c>
      <c r="AF374" s="133">
        <f>IF(INDEX('#建筑消耗和buff配置索引'!AW:AW,MATCH($F374,'#建筑消耗和buff配置索引'!$M:$M,0))=0,"",INDEX('#建筑消耗和buff配置索引'!AW:AW,MATCH($F374,'#建筑消耗和buff配置索引'!$M:$M,0)))</f>
        <v>10000401</v>
      </c>
      <c r="AG374" s="133">
        <f>IF(AF374="","",INDEX('#建筑消耗和buff配置索引'!AX:AX,MATCH($F374,'#建筑消耗和buff配置索引'!$M:$M,0)))</f>
        <v>260000</v>
      </c>
      <c r="AJ374" s="133" t="str">
        <f>IF(INDEX('#建筑消耗和buff配置索引'!BB:BB,MATCH($F374,'#建筑消耗和buff配置索引'!$M:$M,0))=0,"",INDEX('#建筑消耗和buff配置索引'!BB:BB,MATCH($F374,'#建筑消耗和buff配置索引'!$M:$M,0)))</f>
        <v/>
      </c>
      <c r="AK374" s="133" t="str">
        <f>IF(AJ374="","",INDEX('#建筑消耗和buff配置索引'!BC:BC,MATCH($F374,'#建筑消耗和buff配置索引'!$M:$M,0)))</f>
        <v/>
      </c>
      <c r="AN374" s="133" t="str">
        <f>IF(INDEX('#建筑消耗和buff配置索引'!BG:BG,MATCH($F374,'#建筑消耗和buff配置索引'!$M:$M,0))=0,"",INDEX('#建筑消耗和buff配置索引'!BG:BG,MATCH($F374,'#建筑消耗和buff配置索引'!$M:$M,0)))</f>
        <v/>
      </c>
      <c r="AO374" s="133" t="str">
        <f>IF(AN374="","",INDEX('#建筑消耗和buff配置索引'!BH:BH,MATCH($F374,'#建筑消耗和buff配置索引'!$M:$M,0)))</f>
        <v/>
      </c>
      <c r="AR374" s="133" t="str">
        <f>IF(INDEX('#建筑消耗和buff配置索引'!BK:BK,MATCH($F374,'#建筑消耗和buff配置索引'!$M:$M,0))=0,"",INDEX('#建筑消耗和buff配置索引'!BK:BK,MATCH($F374,'#建筑消耗和buff配置索引'!$M:$M,0)))</f>
        <v/>
      </c>
      <c r="AS374" s="133" t="str">
        <f>IF(AR374="","",INDEX('#建筑消耗和buff配置索引'!BL:BL,MATCH($F374,'#建筑消耗和buff配置索引'!$M:$M,0)))</f>
        <v/>
      </c>
      <c r="AV374" s="133" t="str">
        <f>IF(INDEX('#建筑消耗和buff配置索引'!BO:BO,MATCH($F374,'#建筑消耗和buff配置索引'!$M:$M,0))=0,"",INDEX('#建筑消耗和buff配置索引'!BO:BO,MATCH($F374,'#建筑消耗和buff配置索引'!$M:$M,0)))</f>
        <v/>
      </c>
      <c r="AW374" s="133" t="str">
        <f>IF(AV374="","",INDEX('#建筑消耗和buff配置索引'!BP:BP,MATCH($F374,'#建筑消耗和buff配置索引'!$M:$M,0)))</f>
        <v/>
      </c>
      <c r="AZ374" s="133" t="str">
        <f>IF(INDEX('#建筑消耗和buff配置索引'!BS:BS,MATCH($F374,'#建筑消耗和buff配置索引'!$M:$M,0))=0,"",INDEX('#建筑消耗和buff配置索引'!BS:BS,MATCH($F374,'#建筑消耗和buff配置索引'!$M:$M,0)))</f>
        <v/>
      </c>
      <c r="BA374" s="133" t="str">
        <f>IF(AZ374="","",INDEX('#建筑消耗和buff配置索引'!BT:BT,MATCH($F374,'#建筑消耗和buff配置索引'!$M:$M,0)))</f>
        <v/>
      </c>
      <c r="BD374" s="133" t="str">
        <f>IF(INDEX('#建筑消耗和buff配置索引'!BW:BW,MATCH($F374,'#建筑消耗和buff配置索引'!$M:$M,0))=0,"",INDEX('#建筑消耗和buff配置索引'!BW:BW,MATCH($F374,'#建筑消耗和buff配置索引'!$M:$M,0)))</f>
        <v/>
      </c>
      <c r="BE374" s="133" t="str">
        <f>IF(BD374="","",INDEX('#建筑消耗和buff配置索引'!BX:BX,MATCH($F374,'#建筑消耗和buff配置索引'!$M:$M,0)))</f>
        <v/>
      </c>
      <c r="BI374" s="133">
        <v>25</v>
      </c>
    </row>
    <row r="375" spans="1:61" s="133" customFormat="1">
      <c r="A375" s="133">
        <v>2290010</v>
      </c>
      <c r="B375" s="133">
        <v>372</v>
      </c>
      <c r="C375" s="133">
        <v>229</v>
      </c>
      <c r="D375" s="133" t="s">
        <v>515</v>
      </c>
      <c r="E375" s="133">
        <v>10</v>
      </c>
      <c r="F375" s="133" t="str">
        <f t="shared" si="7"/>
        <v>战争大厅10</v>
      </c>
      <c r="H375" s="146"/>
      <c r="I375" s="133">
        <v>1</v>
      </c>
      <c r="J375" s="150">
        <f>INDEX('#建筑消耗和buff配置索引'!AH:AH,MATCH($F375,'#建筑消耗和buff配置索引'!$M:$M,0))</f>
        <v>15120</v>
      </c>
      <c r="K375" s="150">
        <f>INDEX('#建筑消耗和buff配置索引'!AA:AA,MATCH($F375,'#建筑消耗和buff配置索引'!$M:$M,0))</f>
        <v>120000</v>
      </c>
      <c r="L375" s="150">
        <f>INDEX('#建筑消耗和buff配置索引'!AB:AB,MATCH($F375,'#建筑消耗和buff配置索引'!$M:$M,0))</f>
        <v>230000</v>
      </c>
      <c r="M375" s="150">
        <f>INDEX('#建筑消耗和buff配置索引'!AC:AC,MATCH($F375,'#建筑消耗和buff配置索引'!$M:$M,0))</f>
        <v>230000</v>
      </c>
      <c r="N375" s="150">
        <f>INDEX('#建筑消耗和buff配置索引'!AD:AD,MATCH($F375,'#建筑消耗和buff配置索引'!$M:$M,0))</f>
        <v>230000</v>
      </c>
      <c r="O375" s="150">
        <f>IF(INDEX('#建筑消耗和buff配置索引'!T:T,MATCH($F375,'#建筑消耗和buff配置索引'!$M:$M,0))=0,"",INDEX('#建筑消耗和buff配置索引'!T:T,MATCH($F375,'#建筑消耗和buff配置索引'!$M:$M,0)))</f>
        <v>2061</v>
      </c>
      <c r="P375" s="133">
        <f>IF(INDEX('#建筑消耗和buff配置索引'!U:U,MATCH($F375,'#建筑消耗和buff配置索引'!$M:$M,0))=0,"",INDEX('#建筑消耗和buff配置索引'!U:U,MATCH($F375,'#建筑消耗和buff配置索引'!$M:$M,0)))</f>
        <v>30</v>
      </c>
      <c r="Q375" s="133" t="str">
        <f>IF(INDEX('#建筑消耗和buff配置索引'!K:K,MATCH($F375,'#建筑消耗和buff配置索引'!$M:$M,0))=0,"",INDEX('#建筑消耗和buff配置索引'!K:K,MATCH($F375,'#建筑消耗和buff配置索引'!$M:$M,0)))</f>
        <v>201;230</v>
      </c>
      <c r="R375" s="133" t="str">
        <f>IF(INDEX('#建筑消耗和buff配置索引'!L:L,MATCH($F375,'#建筑消耗和buff配置索引'!$M:$M,0))=0,"",INDEX('#建筑消耗和buff配置索引'!L:L,MATCH($F375,'#建筑消耗和buff配置索引'!$M:$M,0)))</f>
        <v>12;10</v>
      </c>
      <c r="S375" s="133">
        <f>IF(INDEX('#建筑消耗和buff配置索引'!C:C,MATCH(F375,'#建筑消耗和buff配置索引'!M:M,0))=0,1,INDEX('#建筑消耗和buff配置索引'!C:C,MATCH(F375,'#建筑消耗和buff配置索引'!M:M,0)))</f>
        <v>3</v>
      </c>
      <c r="T375" s="133">
        <v>0</v>
      </c>
      <c r="U375" s="133">
        <v>0</v>
      </c>
      <c r="V375" s="133" t="str">
        <f>IF(E375=1,IF(INDEX('#建筑消耗和buff配置索引'!BY:BY,MATCH(D375,'#建筑消耗和buff配置索引'!A:A,0))=0,"",INDEX('#建筑消耗和buff配置索引'!BY:BY,MATCH(D375,'#建筑消耗和buff配置索引'!A:A,0))),"")</f>
        <v/>
      </c>
      <c r="W375" s="133" t="str">
        <f>IF(E375=1,IF(INDEX('#建筑消耗和buff配置索引'!BZ:BZ,MATCH(D375,'#建筑消耗和buff配置索引'!A:A,0))=0,"",INDEX('#建筑消耗和buff配置索引'!BZ:BZ,MATCH(D375,'#建筑消耗和buff配置索引'!A:A,0))),"")</f>
        <v/>
      </c>
      <c r="AA375" s="133">
        <f>INDEX('#建筑消耗和buff配置索引'!AO:AO,MATCH($F375,'#建筑消耗和buff配置索引'!$M:$M,0))</f>
        <v>4027</v>
      </c>
      <c r="AB375" s="133">
        <f>IF(INDEX('#建筑消耗和buff配置索引'!AR:AR,MATCH($F375,'#建筑消耗和buff配置索引'!$M:$M,0))=0,"",INDEX('#建筑消耗和buff配置索引'!AR:AR,MATCH($F375,'#建筑消耗和buff配置索引'!$M:$M,0)))</f>
        <v>1254</v>
      </c>
      <c r="AC375" s="133">
        <f>IF(AB375="","",INDEX('#建筑消耗和buff配置索引'!AS:AS,MATCH($F375,'#建筑消耗和buff配置索引'!$M:$M,0)))</f>
        <v>1820000</v>
      </c>
      <c r="AF375" s="133">
        <f>IF(INDEX('#建筑消耗和buff配置索引'!AW:AW,MATCH($F375,'#建筑消耗和buff配置索引'!$M:$M,0))=0,"",INDEX('#建筑消耗和buff配置索引'!AW:AW,MATCH($F375,'#建筑消耗和buff配置索引'!$M:$M,0)))</f>
        <v>10000401</v>
      </c>
      <c r="AG375" s="133">
        <f>IF(AF375="","",INDEX('#建筑消耗和buff配置索引'!AX:AX,MATCH($F375,'#建筑消耗和buff配置索引'!$M:$M,0)))</f>
        <v>300000</v>
      </c>
      <c r="AJ375" s="133" t="str">
        <f>IF(INDEX('#建筑消耗和buff配置索引'!BB:BB,MATCH($F375,'#建筑消耗和buff配置索引'!$M:$M,0))=0,"",INDEX('#建筑消耗和buff配置索引'!BB:BB,MATCH($F375,'#建筑消耗和buff配置索引'!$M:$M,0)))</f>
        <v/>
      </c>
      <c r="AK375" s="133" t="str">
        <f>IF(AJ375="","",INDEX('#建筑消耗和buff配置索引'!BC:BC,MATCH($F375,'#建筑消耗和buff配置索引'!$M:$M,0)))</f>
        <v/>
      </c>
      <c r="AN375" s="133" t="str">
        <f>IF(INDEX('#建筑消耗和buff配置索引'!BG:BG,MATCH($F375,'#建筑消耗和buff配置索引'!$M:$M,0))=0,"",INDEX('#建筑消耗和buff配置索引'!BG:BG,MATCH($F375,'#建筑消耗和buff配置索引'!$M:$M,0)))</f>
        <v/>
      </c>
      <c r="AO375" s="133" t="str">
        <f>IF(AN375="","",INDEX('#建筑消耗和buff配置索引'!BH:BH,MATCH($F375,'#建筑消耗和buff配置索引'!$M:$M,0)))</f>
        <v/>
      </c>
      <c r="AR375" s="133" t="str">
        <f>IF(INDEX('#建筑消耗和buff配置索引'!BK:BK,MATCH($F375,'#建筑消耗和buff配置索引'!$M:$M,0))=0,"",INDEX('#建筑消耗和buff配置索引'!BK:BK,MATCH($F375,'#建筑消耗和buff配置索引'!$M:$M,0)))</f>
        <v/>
      </c>
      <c r="AS375" s="133" t="str">
        <f>IF(AR375="","",INDEX('#建筑消耗和buff配置索引'!BL:BL,MATCH($F375,'#建筑消耗和buff配置索引'!$M:$M,0)))</f>
        <v/>
      </c>
      <c r="AV375" s="133" t="str">
        <f>IF(INDEX('#建筑消耗和buff配置索引'!BO:BO,MATCH($F375,'#建筑消耗和buff配置索引'!$M:$M,0))=0,"",INDEX('#建筑消耗和buff配置索引'!BO:BO,MATCH($F375,'#建筑消耗和buff配置索引'!$M:$M,0)))</f>
        <v/>
      </c>
      <c r="AW375" s="133" t="str">
        <f>IF(AV375="","",INDEX('#建筑消耗和buff配置索引'!BP:BP,MATCH($F375,'#建筑消耗和buff配置索引'!$M:$M,0)))</f>
        <v/>
      </c>
      <c r="AZ375" s="133" t="str">
        <f>IF(INDEX('#建筑消耗和buff配置索引'!BS:BS,MATCH($F375,'#建筑消耗和buff配置索引'!$M:$M,0))=0,"",INDEX('#建筑消耗和buff配置索引'!BS:BS,MATCH($F375,'#建筑消耗和buff配置索引'!$M:$M,0)))</f>
        <v/>
      </c>
      <c r="BA375" s="133" t="str">
        <f>IF(AZ375="","",INDEX('#建筑消耗和buff配置索引'!BT:BT,MATCH($F375,'#建筑消耗和buff配置索引'!$M:$M,0)))</f>
        <v/>
      </c>
      <c r="BD375" s="133" t="str">
        <f>IF(INDEX('#建筑消耗和buff配置索引'!BW:BW,MATCH($F375,'#建筑消耗和buff配置索引'!$M:$M,0))=0,"",INDEX('#建筑消耗和buff配置索引'!BW:BW,MATCH($F375,'#建筑消耗和buff配置索引'!$M:$M,0)))</f>
        <v/>
      </c>
      <c r="BE375" s="133" t="str">
        <f>IF(BD375="","",INDEX('#建筑消耗和buff配置索引'!BX:BX,MATCH($F375,'#建筑消耗和buff配置索引'!$M:$M,0)))</f>
        <v/>
      </c>
      <c r="BI375" s="133">
        <v>25</v>
      </c>
    </row>
    <row r="376" spans="1:61" s="133" customFormat="1">
      <c r="A376" s="133">
        <v>2290011</v>
      </c>
      <c r="B376" s="133">
        <v>373</v>
      </c>
      <c r="C376" s="133">
        <v>229</v>
      </c>
      <c r="D376" s="133" t="s">
        <v>515</v>
      </c>
      <c r="E376" s="133">
        <v>11</v>
      </c>
      <c r="F376" s="133" t="str">
        <f t="shared" si="7"/>
        <v>战争大厅11</v>
      </c>
      <c r="H376" s="146"/>
      <c r="I376" s="133">
        <v>1</v>
      </c>
      <c r="J376" s="150">
        <f>INDEX('#建筑消耗和buff配置索引'!AH:AH,MATCH($F376,'#建筑消耗和buff配置索引'!$M:$M,0))</f>
        <v>22680</v>
      </c>
      <c r="K376" s="150">
        <f>INDEX('#建筑消耗和buff配置索引'!AA:AA,MATCH($F376,'#建筑消耗和buff配置索引'!$M:$M,0))</f>
        <v>170000</v>
      </c>
      <c r="L376" s="150">
        <f>INDEX('#建筑消耗和buff配置索引'!AB:AB,MATCH($F376,'#建筑消耗和buff配置索引'!$M:$M,0))</f>
        <v>350000</v>
      </c>
      <c r="M376" s="150">
        <f>INDEX('#建筑消耗和buff配置索引'!AC:AC,MATCH($F376,'#建筑消耗和buff配置索引'!$M:$M,0))</f>
        <v>350000</v>
      </c>
      <c r="N376" s="150">
        <f>INDEX('#建筑消耗和buff配置索引'!AD:AD,MATCH($F376,'#建筑消耗和buff配置索引'!$M:$M,0))</f>
        <v>350000</v>
      </c>
      <c r="O376" s="150">
        <f>IF(INDEX('#建筑消耗和buff配置索引'!T:T,MATCH($F376,'#建筑消耗和buff配置索引'!$M:$M,0))=0,"",INDEX('#建筑消耗和buff配置索引'!T:T,MATCH($F376,'#建筑消耗和buff配置索引'!$M:$M,0)))</f>
        <v>2061</v>
      </c>
      <c r="P376" s="133">
        <f>IF(INDEX('#建筑消耗和buff配置索引'!U:U,MATCH($F376,'#建筑消耗和buff配置索引'!$M:$M,0))=0,"",INDEX('#建筑消耗和buff配置索引'!U:U,MATCH($F376,'#建筑消耗和buff配置索引'!$M:$M,0)))</f>
        <v>40</v>
      </c>
      <c r="Q376" s="133" t="str">
        <f>IF(INDEX('#建筑消耗和buff配置索引'!K:K,MATCH($F376,'#建筑消耗和buff配置索引'!$M:$M,0))=0,"",INDEX('#建筑消耗和buff配置索引'!K:K,MATCH($F376,'#建筑消耗和buff配置索引'!$M:$M,0)))</f>
        <v>201;230</v>
      </c>
      <c r="R376" s="133" t="str">
        <f>IF(INDEX('#建筑消耗和buff配置索引'!L:L,MATCH($F376,'#建筑消耗和buff配置索引'!$M:$M,0))=0,"",INDEX('#建筑消耗和buff配置索引'!L:L,MATCH($F376,'#建筑消耗和buff配置索引'!$M:$M,0)))</f>
        <v>12;11</v>
      </c>
      <c r="S376" s="133">
        <f>IF(INDEX('#建筑消耗和buff配置索引'!C:C,MATCH(F376,'#建筑消耗和buff配置索引'!M:M,0))=0,1,INDEX('#建筑消耗和buff配置索引'!C:C,MATCH(F376,'#建筑消耗和buff配置索引'!M:M,0)))</f>
        <v>3</v>
      </c>
      <c r="T376" s="133">
        <v>0</v>
      </c>
      <c r="U376" s="133">
        <v>0</v>
      </c>
      <c r="V376" s="133" t="str">
        <f>IF(E376=1,IF(INDEX('#建筑消耗和buff配置索引'!BY:BY,MATCH(D376,'#建筑消耗和buff配置索引'!A:A,0))=0,"",INDEX('#建筑消耗和buff配置索引'!BY:BY,MATCH(D376,'#建筑消耗和buff配置索引'!A:A,0))),"")</f>
        <v/>
      </c>
      <c r="W376" s="133" t="str">
        <f>IF(E376=1,IF(INDEX('#建筑消耗和buff配置索引'!BZ:BZ,MATCH(D376,'#建筑消耗和buff配置索引'!A:A,0))=0,"",INDEX('#建筑消耗和buff配置索引'!BZ:BZ,MATCH(D376,'#建筑消耗和buff配置索引'!A:A,0))),"")</f>
        <v/>
      </c>
      <c r="AA376" s="133">
        <f>INDEX('#建筑消耗和buff配置索引'!AO:AO,MATCH($F376,'#建筑消耗和buff配置索引'!$M:$M,0))</f>
        <v>6464</v>
      </c>
      <c r="AB376" s="133">
        <f>IF(INDEX('#建筑消耗和buff配置索引'!AR:AR,MATCH($F376,'#建筑消耗和buff配置索引'!$M:$M,0))=0,"",INDEX('#建筑消耗和buff配置索引'!AR:AR,MATCH($F376,'#建筑消耗和buff配置索引'!$M:$M,0)))</f>
        <v>1254</v>
      </c>
      <c r="AC376" s="133">
        <f>IF(AB376="","",INDEX('#建筑消耗和buff配置索引'!AS:AS,MATCH($F376,'#建筑消耗和buff配置索引'!$M:$M,0)))</f>
        <v>2330000</v>
      </c>
      <c r="AF376" s="133">
        <f>IF(INDEX('#建筑消耗和buff配置索引'!AW:AW,MATCH($F376,'#建筑消耗和buff配置索引'!$M:$M,0))=0,"",INDEX('#建筑消耗和buff配置索引'!AW:AW,MATCH($F376,'#建筑消耗和buff配置索引'!$M:$M,0)))</f>
        <v>10000401</v>
      </c>
      <c r="AG376" s="133">
        <f>IF(AF376="","",INDEX('#建筑消耗和buff配置索引'!AX:AX,MATCH($F376,'#建筑消耗和buff配置索引'!$M:$M,0)))</f>
        <v>360000</v>
      </c>
      <c r="AJ376" s="133" t="str">
        <f>IF(INDEX('#建筑消耗和buff配置索引'!BB:BB,MATCH($F376,'#建筑消耗和buff配置索引'!$M:$M,0))=0,"",INDEX('#建筑消耗和buff配置索引'!BB:BB,MATCH($F376,'#建筑消耗和buff配置索引'!$M:$M,0)))</f>
        <v/>
      </c>
      <c r="AK376" s="133" t="str">
        <f>IF(AJ376="","",INDEX('#建筑消耗和buff配置索引'!BC:BC,MATCH($F376,'#建筑消耗和buff配置索引'!$M:$M,0)))</f>
        <v/>
      </c>
      <c r="AN376" s="133" t="str">
        <f>IF(INDEX('#建筑消耗和buff配置索引'!BG:BG,MATCH($F376,'#建筑消耗和buff配置索引'!$M:$M,0))=0,"",INDEX('#建筑消耗和buff配置索引'!BG:BG,MATCH($F376,'#建筑消耗和buff配置索引'!$M:$M,0)))</f>
        <v/>
      </c>
      <c r="AO376" s="133" t="str">
        <f>IF(AN376="","",INDEX('#建筑消耗和buff配置索引'!BH:BH,MATCH($F376,'#建筑消耗和buff配置索引'!$M:$M,0)))</f>
        <v/>
      </c>
      <c r="AR376" s="133" t="str">
        <f>IF(INDEX('#建筑消耗和buff配置索引'!BK:BK,MATCH($F376,'#建筑消耗和buff配置索引'!$M:$M,0))=0,"",INDEX('#建筑消耗和buff配置索引'!BK:BK,MATCH($F376,'#建筑消耗和buff配置索引'!$M:$M,0)))</f>
        <v/>
      </c>
      <c r="AS376" s="133" t="str">
        <f>IF(AR376="","",INDEX('#建筑消耗和buff配置索引'!BL:BL,MATCH($F376,'#建筑消耗和buff配置索引'!$M:$M,0)))</f>
        <v/>
      </c>
      <c r="AV376" s="133" t="str">
        <f>IF(INDEX('#建筑消耗和buff配置索引'!BO:BO,MATCH($F376,'#建筑消耗和buff配置索引'!$M:$M,0))=0,"",INDEX('#建筑消耗和buff配置索引'!BO:BO,MATCH($F376,'#建筑消耗和buff配置索引'!$M:$M,0)))</f>
        <v/>
      </c>
      <c r="AW376" s="133" t="str">
        <f>IF(AV376="","",INDEX('#建筑消耗和buff配置索引'!BP:BP,MATCH($F376,'#建筑消耗和buff配置索引'!$M:$M,0)))</f>
        <v/>
      </c>
      <c r="AZ376" s="133" t="str">
        <f>IF(INDEX('#建筑消耗和buff配置索引'!BS:BS,MATCH($F376,'#建筑消耗和buff配置索引'!$M:$M,0))=0,"",INDEX('#建筑消耗和buff配置索引'!BS:BS,MATCH($F376,'#建筑消耗和buff配置索引'!$M:$M,0)))</f>
        <v/>
      </c>
      <c r="BA376" s="133" t="str">
        <f>IF(AZ376="","",INDEX('#建筑消耗和buff配置索引'!BT:BT,MATCH($F376,'#建筑消耗和buff配置索引'!$M:$M,0)))</f>
        <v/>
      </c>
      <c r="BD376" s="133" t="str">
        <f>IF(INDEX('#建筑消耗和buff配置索引'!BW:BW,MATCH($F376,'#建筑消耗和buff配置索引'!$M:$M,0))=0,"",INDEX('#建筑消耗和buff配置索引'!BW:BW,MATCH($F376,'#建筑消耗和buff配置索引'!$M:$M,0)))</f>
        <v/>
      </c>
      <c r="BE376" s="133" t="str">
        <f>IF(BD376="","",INDEX('#建筑消耗和buff配置索引'!BX:BX,MATCH($F376,'#建筑消耗和buff配置索引'!$M:$M,0)))</f>
        <v/>
      </c>
      <c r="BI376" s="133">
        <v>25</v>
      </c>
    </row>
    <row r="377" spans="1:61" s="133" customFormat="1">
      <c r="A377" s="133">
        <v>2290012</v>
      </c>
      <c r="B377" s="133">
        <v>374</v>
      </c>
      <c r="C377" s="133">
        <v>229</v>
      </c>
      <c r="D377" s="133" t="s">
        <v>515</v>
      </c>
      <c r="E377" s="133">
        <v>12</v>
      </c>
      <c r="F377" s="133" t="str">
        <f t="shared" si="7"/>
        <v>战争大厅12</v>
      </c>
      <c r="H377" s="146"/>
      <c r="I377" s="133">
        <v>2</v>
      </c>
      <c r="J377" s="150">
        <f>INDEX('#建筑消耗和buff配置索引'!AH:AH,MATCH($F377,'#建筑消耗和buff配置索引'!$M:$M,0))</f>
        <v>30240</v>
      </c>
      <c r="K377" s="150">
        <f>INDEX('#建筑消耗和buff配置索引'!AA:AA,MATCH($F377,'#建筑消耗和buff配置索引'!$M:$M,0))</f>
        <v>250000</v>
      </c>
      <c r="L377" s="150">
        <f>INDEX('#建筑消耗和buff配置索引'!AB:AB,MATCH($F377,'#建筑消耗和buff配置索引'!$M:$M,0))</f>
        <v>500000</v>
      </c>
      <c r="M377" s="150">
        <f>INDEX('#建筑消耗和buff配置索引'!AC:AC,MATCH($F377,'#建筑消耗和buff配置索引'!$M:$M,0))</f>
        <v>500000</v>
      </c>
      <c r="N377" s="150">
        <f>INDEX('#建筑消耗和buff配置索引'!AD:AD,MATCH($F377,'#建筑消耗和buff配置索引'!$M:$M,0))</f>
        <v>500000</v>
      </c>
      <c r="O377" s="150">
        <f>IF(INDEX('#建筑消耗和buff配置索引'!T:T,MATCH($F377,'#建筑消耗和buff配置索引'!$M:$M,0))=0,"",INDEX('#建筑消耗和buff配置索引'!T:T,MATCH($F377,'#建筑消耗和buff配置索引'!$M:$M,0)))</f>
        <v>2061</v>
      </c>
      <c r="P377" s="133">
        <f>IF(INDEX('#建筑消耗和buff配置索引'!U:U,MATCH($F377,'#建筑消耗和buff配置索引'!$M:$M,0))=0,"",INDEX('#建筑消耗和buff配置索引'!U:U,MATCH($F377,'#建筑消耗和buff配置索引'!$M:$M,0)))</f>
        <v>50</v>
      </c>
      <c r="Q377" s="133" t="str">
        <f>IF(INDEX('#建筑消耗和buff配置索引'!K:K,MATCH($F377,'#建筑消耗和buff配置索引'!$M:$M,0))=0,"",INDEX('#建筑消耗和buff配置索引'!K:K,MATCH($F377,'#建筑消耗和buff配置索引'!$M:$M,0)))</f>
        <v>201;230</v>
      </c>
      <c r="R377" s="133" t="str">
        <f>IF(INDEX('#建筑消耗和buff配置索引'!L:L,MATCH($F377,'#建筑消耗和buff配置索引'!$M:$M,0))=0,"",INDEX('#建筑消耗和buff配置索引'!L:L,MATCH($F377,'#建筑消耗和buff配置索引'!$M:$M,0)))</f>
        <v>12;12</v>
      </c>
      <c r="S377" s="133">
        <f>IF(INDEX('#建筑消耗和buff配置索引'!C:C,MATCH(F377,'#建筑消耗和buff配置索引'!M:M,0))=0,1,INDEX('#建筑消耗和buff配置索引'!C:C,MATCH(F377,'#建筑消耗和buff配置索引'!M:M,0)))</f>
        <v>3</v>
      </c>
      <c r="T377" s="133">
        <v>0</v>
      </c>
      <c r="U377" s="133">
        <v>0</v>
      </c>
      <c r="V377" s="133" t="str">
        <f>IF(E377=1,IF(INDEX('#建筑消耗和buff配置索引'!BY:BY,MATCH(D377,'#建筑消耗和buff配置索引'!A:A,0))=0,"",INDEX('#建筑消耗和buff配置索引'!BY:BY,MATCH(D377,'#建筑消耗和buff配置索引'!A:A,0))),"")</f>
        <v/>
      </c>
      <c r="W377" s="133" t="str">
        <f>IF(E377=1,IF(INDEX('#建筑消耗和buff配置索引'!BZ:BZ,MATCH(D377,'#建筑消耗和buff配置索引'!A:A,0))=0,"",INDEX('#建筑消耗和buff配置索引'!BZ:BZ,MATCH(D377,'#建筑消耗和buff配置索引'!A:A,0))),"")</f>
        <v/>
      </c>
      <c r="AA377" s="133">
        <f>INDEX('#建筑消耗和buff配置索引'!AO:AO,MATCH($F377,'#建筑消耗和buff配置索引'!$M:$M,0))</f>
        <v>9972</v>
      </c>
      <c r="AB377" s="133">
        <f>IF(INDEX('#建筑消耗和buff配置索引'!AR:AR,MATCH($F377,'#建筑消耗和buff配置索引'!$M:$M,0))=0,"",INDEX('#建筑消耗和buff配置索引'!AR:AR,MATCH($F377,'#建筑消耗和buff配置索引'!$M:$M,0)))</f>
        <v>1254</v>
      </c>
      <c r="AC377" s="133">
        <f>IF(AB377="","",INDEX('#建筑消耗和buff配置索引'!AS:AS,MATCH($F377,'#建筑消耗和buff配置索引'!$M:$M,0)))</f>
        <v>2860000</v>
      </c>
      <c r="AF377" s="133">
        <f>IF(INDEX('#建筑消耗和buff配置索引'!AW:AW,MATCH($F377,'#建筑消耗和buff配置索引'!$M:$M,0))=0,"",INDEX('#建筑消耗和buff配置索引'!AW:AW,MATCH($F377,'#建筑消耗和buff配置索引'!$M:$M,0)))</f>
        <v>10000401</v>
      </c>
      <c r="AG377" s="133">
        <f>IF(AF377="","",INDEX('#建筑消耗和buff配置索引'!AX:AX,MATCH($F377,'#建筑消耗和buff配置索引'!$M:$M,0)))</f>
        <v>420000</v>
      </c>
      <c r="AJ377" s="133" t="str">
        <f>IF(INDEX('#建筑消耗和buff配置索引'!BB:BB,MATCH($F377,'#建筑消耗和buff配置索引'!$M:$M,0))=0,"",INDEX('#建筑消耗和buff配置索引'!BB:BB,MATCH($F377,'#建筑消耗和buff配置索引'!$M:$M,0)))</f>
        <v/>
      </c>
      <c r="AK377" s="133" t="str">
        <f>IF(AJ377="","",INDEX('#建筑消耗和buff配置索引'!BC:BC,MATCH($F377,'#建筑消耗和buff配置索引'!$M:$M,0)))</f>
        <v/>
      </c>
      <c r="AN377" s="133" t="str">
        <f>IF(INDEX('#建筑消耗和buff配置索引'!BG:BG,MATCH($F377,'#建筑消耗和buff配置索引'!$M:$M,0))=0,"",INDEX('#建筑消耗和buff配置索引'!BG:BG,MATCH($F377,'#建筑消耗和buff配置索引'!$M:$M,0)))</f>
        <v/>
      </c>
      <c r="AO377" s="133" t="str">
        <f>IF(AN377="","",INDEX('#建筑消耗和buff配置索引'!BH:BH,MATCH($F377,'#建筑消耗和buff配置索引'!$M:$M,0)))</f>
        <v/>
      </c>
      <c r="AR377" s="133" t="str">
        <f>IF(INDEX('#建筑消耗和buff配置索引'!BK:BK,MATCH($F377,'#建筑消耗和buff配置索引'!$M:$M,0))=0,"",INDEX('#建筑消耗和buff配置索引'!BK:BK,MATCH($F377,'#建筑消耗和buff配置索引'!$M:$M,0)))</f>
        <v/>
      </c>
      <c r="AS377" s="133" t="str">
        <f>IF(AR377="","",INDEX('#建筑消耗和buff配置索引'!BL:BL,MATCH($F377,'#建筑消耗和buff配置索引'!$M:$M,0)))</f>
        <v/>
      </c>
      <c r="AV377" s="133" t="str">
        <f>IF(INDEX('#建筑消耗和buff配置索引'!BO:BO,MATCH($F377,'#建筑消耗和buff配置索引'!$M:$M,0))=0,"",INDEX('#建筑消耗和buff配置索引'!BO:BO,MATCH($F377,'#建筑消耗和buff配置索引'!$M:$M,0)))</f>
        <v/>
      </c>
      <c r="AW377" s="133" t="str">
        <f>IF(AV377="","",INDEX('#建筑消耗和buff配置索引'!BP:BP,MATCH($F377,'#建筑消耗和buff配置索引'!$M:$M,0)))</f>
        <v/>
      </c>
      <c r="AZ377" s="133" t="str">
        <f>IF(INDEX('#建筑消耗和buff配置索引'!BS:BS,MATCH($F377,'#建筑消耗和buff配置索引'!$M:$M,0))=0,"",INDEX('#建筑消耗和buff配置索引'!BS:BS,MATCH($F377,'#建筑消耗和buff配置索引'!$M:$M,0)))</f>
        <v/>
      </c>
      <c r="BA377" s="133" t="str">
        <f>IF(AZ377="","",INDEX('#建筑消耗和buff配置索引'!BT:BT,MATCH($F377,'#建筑消耗和buff配置索引'!$M:$M,0)))</f>
        <v/>
      </c>
      <c r="BD377" s="133" t="str">
        <f>IF(INDEX('#建筑消耗和buff配置索引'!BW:BW,MATCH($F377,'#建筑消耗和buff配置索引'!$M:$M,0))=0,"",INDEX('#建筑消耗和buff配置索引'!BW:BW,MATCH($F377,'#建筑消耗和buff配置索引'!$M:$M,0)))</f>
        <v/>
      </c>
      <c r="BE377" s="133" t="str">
        <f>IF(BD377="","",INDEX('#建筑消耗和buff配置索引'!BX:BX,MATCH($F377,'#建筑消耗和buff配置索引'!$M:$M,0)))</f>
        <v/>
      </c>
      <c r="BI377" s="133">
        <v>25</v>
      </c>
    </row>
    <row r="378" spans="1:61" s="133" customFormat="1">
      <c r="A378" s="133">
        <v>2290013</v>
      </c>
      <c r="B378" s="133">
        <v>375</v>
      </c>
      <c r="C378" s="133">
        <v>229</v>
      </c>
      <c r="D378" s="133" t="s">
        <v>515</v>
      </c>
      <c r="E378" s="133">
        <v>13</v>
      </c>
      <c r="F378" s="133" t="str">
        <f t="shared" si="7"/>
        <v>战争大厅13</v>
      </c>
      <c r="H378" s="146"/>
      <c r="I378" s="133">
        <v>2</v>
      </c>
      <c r="J378" s="150">
        <f>INDEX('#建筑消耗和buff配置索引'!AH:AH,MATCH($F378,'#建筑消耗和buff配置索引'!$M:$M,0))</f>
        <v>40320</v>
      </c>
      <c r="K378" s="150">
        <f>INDEX('#建筑消耗和buff配置索引'!AA:AA,MATCH($F378,'#建筑消耗和buff配置索引'!$M:$M,0))</f>
        <v>340000</v>
      </c>
      <c r="L378" s="150">
        <f>INDEX('#建筑消耗和buff配置索引'!AB:AB,MATCH($F378,'#建筑消耗和buff配置索引'!$M:$M,0))</f>
        <v>690000</v>
      </c>
      <c r="M378" s="150">
        <f>INDEX('#建筑消耗和buff配置索引'!AC:AC,MATCH($F378,'#建筑消耗和buff配置索引'!$M:$M,0))</f>
        <v>690000</v>
      </c>
      <c r="N378" s="150">
        <f>INDEX('#建筑消耗和buff配置索引'!AD:AD,MATCH($F378,'#建筑消耗和buff配置索引'!$M:$M,0))</f>
        <v>690000</v>
      </c>
      <c r="O378" s="150">
        <f>IF(INDEX('#建筑消耗和buff配置索引'!T:T,MATCH($F378,'#建筑消耗和buff配置索引'!$M:$M,0))=0,"",INDEX('#建筑消耗和buff配置索引'!T:T,MATCH($F378,'#建筑消耗和buff配置索引'!$M:$M,0)))</f>
        <v>2061</v>
      </c>
      <c r="P378" s="133">
        <f>IF(INDEX('#建筑消耗和buff配置索引'!U:U,MATCH($F378,'#建筑消耗和buff配置索引'!$M:$M,0))=0,"",INDEX('#建筑消耗和buff配置索引'!U:U,MATCH($F378,'#建筑消耗和buff配置索引'!$M:$M,0)))</f>
        <v>60</v>
      </c>
      <c r="Q378" s="133" t="str">
        <f>IF(INDEX('#建筑消耗和buff配置索引'!K:K,MATCH($F378,'#建筑消耗和buff配置索引'!$M:$M,0))=0,"",INDEX('#建筑消耗和buff配置索引'!K:K,MATCH($F378,'#建筑消耗和buff配置索引'!$M:$M,0)))</f>
        <v>201;230</v>
      </c>
      <c r="R378" s="133" t="str">
        <f>IF(INDEX('#建筑消耗和buff配置索引'!L:L,MATCH($F378,'#建筑消耗和buff配置索引'!$M:$M,0))=0,"",INDEX('#建筑消耗和buff配置索引'!L:L,MATCH($F378,'#建筑消耗和buff配置索引'!$M:$M,0)))</f>
        <v>13;13</v>
      </c>
      <c r="S378" s="133">
        <f>IF(INDEX('#建筑消耗和buff配置索引'!C:C,MATCH(F378,'#建筑消耗和buff配置索引'!M:M,0))=0,1,INDEX('#建筑消耗和buff配置索引'!C:C,MATCH(F378,'#建筑消耗和buff配置索引'!M:M,0)))</f>
        <v>3</v>
      </c>
      <c r="T378" s="133">
        <v>0</v>
      </c>
      <c r="U378" s="133">
        <v>0</v>
      </c>
      <c r="V378" s="133" t="str">
        <f>IF(E378=1,IF(INDEX('#建筑消耗和buff配置索引'!BY:BY,MATCH(D378,'#建筑消耗和buff配置索引'!A:A,0))=0,"",INDEX('#建筑消耗和buff配置索引'!BY:BY,MATCH(D378,'#建筑消耗和buff配置索引'!A:A,0))),"")</f>
        <v/>
      </c>
      <c r="W378" s="133" t="str">
        <f>IF(E378=1,IF(INDEX('#建筑消耗和buff配置索引'!BZ:BZ,MATCH(D378,'#建筑消耗和buff配置索引'!A:A,0))=0,"",INDEX('#建筑消耗和buff配置索引'!BZ:BZ,MATCH(D378,'#建筑消耗和buff配置索引'!A:A,0))),"")</f>
        <v/>
      </c>
      <c r="AA378" s="133">
        <f>INDEX('#建筑消耗和buff配置索引'!AO:AO,MATCH($F378,'#建筑消耗和buff配置索引'!$M:$M,0))</f>
        <v>14779</v>
      </c>
      <c r="AB378" s="133">
        <f>IF(INDEX('#建筑消耗和buff配置索引'!AR:AR,MATCH($F378,'#建筑消耗和buff配置索引'!$M:$M,0))=0,"",INDEX('#建筑消耗和buff配置索引'!AR:AR,MATCH($F378,'#建筑消耗和buff配置索引'!$M:$M,0)))</f>
        <v>1254</v>
      </c>
      <c r="AC378" s="133">
        <f>IF(AB378="","",INDEX('#建筑消耗和buff配置索引'!AS:AS,MATCH($F378,'#建筑消耗和buff配置索引'!$M:$M,0)))</f>
        <v>3410000</v>
      </c>
      <c r="AF378" s="133">
        <f>IF(INDEX('#建筑消耗和buff配置索引'!AW:AW,MATCH($F378,'#建筑消耗和buff配置索引'!$M:$M,0))=0,"",INDEX('#建筑消耗和buff配置索引'!AW:AW,MATCH($F378,'#建筑消耗和buff配置索引'!$M:$M,0)))</f>
        <v>10000401</v>
      </c>
      <c r="AG378" s="133">
        <f>IF(AF378="","",INDEX('#建筑消耗和buff配置索引'!AX:AX,MATCH($F378,'#建筑消耗和buff配置索引'!$M:$M,0)))</f>
        <v>480000</v>
      </c>
      <c r="AJ378" s="133" t="str">
        <f>IF(INDEX('#建筑消耗和buff配置索引'!BB:BB,MATCH($F378,'#建筑消耗和buff配置索引'!$M:$M,0))=0,"",INDEX('#建筑消耗和buff配置索引'!BB:BB,MATCH($F378,'#建筑消耗和buff配置索引'!$M:$M,0)))</f>
        <v/>
      </c>
      <c r="AK378" s="133" t="str">
        <f>IF(AJ378="","",INDEX('#建筑消耗和buff配置索引'!BC:BC,MATCH($F378,'#建筑消耗和buff配置索引'!$M:$M,0)))</f>
        <v/>
      </c>
      <c r="AN378" s="133" t="str">
        <f>IF(INDEX('#建筑消耗和buff配置索引'!BG:BG,MATCH($F378,'#建筑消耗和buff配置索引'!$M:$M,0))=0,"",INDEX('#建筑消耗和buff配置索引'!BG:BG,MATCH($F378,'#建筑消耗和buff配置索引'!$M:$M,0)))</f>
        <v/>
      </c>
      <c r="AO378" s="133" t="str">
        <f>IF(AN378="","",INDEX('#建筑消耗和buff配置索引'!BH:BH,MATCH($F378,'#建筑消耗和buff配置索引'!$M:$M,0)))</f>
        <v/>
      </c>
      <c r="AR378" s="133" t="str">
        <f>IF(INDEX('#建筑消耗和buff配置索引'!BK:BK,MATCH($F378,'#建筑消耗和buff配置索引'!$M:$M,0))=0,"",INDEX('#建筑消耗和buff配置索引'!BK:BK,MATCH($F378,'#建筑消耗和buff配置索引'!$M:$M,0)))</f>
        <v/>
      </c>
      <c r="AS378" s="133" t="str">
        <f>IF(AR378="","",INDEX('#建筑消耗和buff配置索引'!BL:BL,MATCH($F378,'#建筑消耗和buff配置索引'!$M:$M,0)))</f>
        <v/>
      </c>
      <c r="AV378" s="133" t="str">
        <f>IF(INDEX('#建筑消耗和buff配置索引'!BO:BO,MATCH($F378,'#建筑消耗和buff配置索引'!$M:$M,0))=0,"",INDEX('#建筑消耗和buff配置索引'!BO:BO,MATCH($F378,'#建筑消耗和buff配置索引'!$M:$M,0)))</f>
        <v/>
      </c>
      <c r="AW378" s="133" t="str">
        <f>IF(AV378="","",INDEX('#建筑消耗和buff配置索引'!BP:BP,MATCH($F378,'#建筑消耗和buff配置索引'!$M:$M,0)))</f>
        <v/>
      </c>
      <c r="AZ378" s="133" t="str">
        <f>IF(INDEX('#建筑消耗和buff配置索引'!BS:BS,MATCH($F378,'#建筑消耗和buff配置索引'!$M:$M,0))=0,"",INDEX('#建筑消耗和buff配置索引'!BS:BS,MATCH($F378,'#建筑消耗和buff配置索引'!$M:$M,0)))</f>
        <v/>
      </c>
      <c r="BA378" s="133" t="str">
        <f>IF(AZ378="","",INDEX('#建筑消耗和buff配置索引'!BT:BT,MATCH($F378,'#建筑消耗和buff配置索引'!$M:$M,0)))</f>
        <v/>
      </c>
      <c r="BD378" s="133" t="str">
        <f>IF(INDEX('#建筑消耗和buff配置索引'!BW:BW,MATCH($F378,'#建筑消耗和buff配置索引'!$M:$M,0))=0,"",INDEX('#建筑消耗和buff配置索引'!BW:BW,MATCH($F378,'#建筑消耗和buff配置索引'!$M:$M,0)))</f>
        <v/>
      </c>
      <c r="BE378" s="133" t="str">
        <f>IF(BD378="","",INDEX('#建筑消耗和buff配置索引'!BX:BX,MATCH($F378,'#建筑消耗和buff配置索引'!$M:$M,0)))</f>
        <v/>
      </c>
      <c r="BI378" s="133">
        <v>25</v>
      </c>
    </row>
    <row r="379" spans="1:61" s="133" customFormat="1">
      <c r="A379" s="133">
        <v>2290014</v>
      </c>
      <c r="B379" s="133">
        <v>376</v>
      </c>
      <c r="C379" s="133">
        <v>229</v>
      </c>
      <c r="D379" s="133" t="s">
        <v>515</v>
      </c>
      <c r="E379" s="133">
        <v>14</v>
      </c>
      <c r="F379" s="133" t="str">
        <f t="shared" si="7"/>
        <v>战争大厅14</v>
      </c>
      <c r="H379" s="146"/>
      <c r="I379" s="133">
        <v>2</v>
      </c>
      <c r="J379" s="150">
        <f>INDEX('#建筑消耗和buff配置索引'!AH:AH,MATCH($F379,'#建筑消耗和buff配置索引'!$M:$M,0))</f>
        <v>50400</v>
      </c>
      <c r="K379" s="150">
        <f>INDEX('#建筑消耗和buff配置索引'!AA:AA,MATCH($F379,'#建筑消耗和buff配置索引'!$M:$M,0))</f>
        <v>450000</v>
      </c>
      <c r="L379" s="150">
        <f>INDEX('#建筑消耗和buff配置索引'!AB:AB,MATCH($F379,'#建筑消耗和buff配置索引'!$M:$M,0))</f>
        <v>890000</v>
      </c>
      <c r="M379" s="150">
        <f>INDEX('#建筑消耗和buff配置索引'!AC:AC,MATCH($F379,'#建筑消耗和buff配置索引'!$M:$M,0))</f>
        <v>890000</v>
      </c>
      <c r="N379" s="150">
        <f>INDEX('#建筑消耗和buff配置索引'!AD:AD,MATCH($F379,'#建筑消耗和buff配置索引'!$M:$M,0))</f>
        <v>890000</v>
      </c>
      <c r="O379" s="150">
        <f>IF(INDEX('#建筑消耗和buff配置索引'!T:T,MATCH($F379,'#建筑消耗和buff配置索引'!$M:$M,0))=0,"",INDEX('#建筑消耗和buff配置索引'!T:T,MATCH($F379,'#建筑消耗和buff配置索引'!$M:$M,0)))</f>
        <v>2061</v>
      </c>
      <c r="P379" s="133">
        <f>IF(INDEX('#建筑消耗和buff配置索引'!U:U,MATCH($F379,'#建筑消耗和buff配置索引'!$M:$M,0))=0,"",INDEX('#建筑消耗和buff配置索引'!U:U,MATCH($F379,'#建筑消耗和buff配置索引'!$M:$M,0)))</f>
        <v>70</v>
      </c>
      <c r="Q379" s="133" t="str">
        <f>IF(INDEX('#建筑消耗和buff配置索引'!K:K,MATCH($F379,'#建筑消耗和buff配置索引'!$M:$M,0))=0,"",INDEX('#建筑消耗和buff配置索引'!K:K,MATCH($F379,'#建筑消耗和buff配置索引'!$M:$M,0)))</f>
        <v>201;230</v>
      </c>
      <c r="R379" s="133" t="str">
        <f>IF(INDEX('#建筑消耗和buff配置索引'!L:L,MATCH($F379,'#建筑消耗和buff配置索引'!$M:$M,0))=0,"",INDEX('#建筑消耗和buff配置索引'!L:L,MATCH($F379,'#建筑消耗和buff配置索引'!$M:$M,0)))</f>
        <v>14;14</v>
      </c>
      <c r="S379" s="133">
        <f>IF(INDEX('#建筑消耗和buff配置索引'!C:C,MATCH(F379,'#建筑消耗和buff配置索引'!M:M,0))=0,1,INDEX('#建筑消耗和buff配置索引'!C:C,MATCH(F379,'#建筑消耗和buff配置索引'!M:M,0)))</f>
        <v>3</v>
      </c>
      <c r="T379" s="133">
        <v>0</v>
      </c>
      <c r="U379" s="133">
        <v>0</v>
      </c>
      <c r="V379" s="133" t="str">
        <f>IF(E379=1,IF(INDEX('#建筑消耗和buff配置索引'!BY:BY,MATCH(D379,'#建筑消耗和buff配置索引'!A:A,0))=0,"",INDEX('#建筑消耗和buff配置索引'!BY:BY,MATCH(D379,'#建筑消耗和buff配置索引'!A:A,0))),"")</f>
        <v/>
      </c>
      <c r="W379" s="133" t="str">
        <f>IF(E379=1,IF(INDEX('#建筑消耗和buff配置索引'!BZ:BZ,MATCH(D379,'#建筑消耗和buff配置索引'!A:A,0))=0,"",INDEX('#建筑消耗和buff配置索引'!BZ:BZ,MATCH(D379,'#建筑消耗和buff配置索引'!A:A,0))),"")</f>
        <v/>
      </c>
      <c r="AA379" s="133">
        <f>INDEX('#建筑消耗和buff配置索引'!AO:AO,MATCH($F379,'#建筑消耗和buff配置索引'!$M:$M,0))</f>
        <v>21027</v>
      </c>
      <c r="AB379" s="133">
        <f>IF(INDEX('#建筑消耗和buff配置索引'!AR:AR,MATCH($F379,'#建筑消耗和buff配置索引'!$M:$M,0))=0,"",INDEX('#建筑消耗和buff配置索引'!AR:AR,MATCH($F379,'#建筑消耗和buff配置索引'!$M:$M,0)))</f>
        <v>1254</v>
      </c>
      <c r="AC379" s="133">
        <f>IF(AB379="","",INDEX('#建筑消耗和buff配置索引'!AS:AS,MATCH($F379,'#建筑消耗和buff配置索引'!$M:$M,0)))</f>
        <v>3980000</v>
      </c>
      <c r="AF379" s="133">
        <f>IF(INDEX('#建筑消耗和buff配置索引'!AW:AW,MATCH($F379,'#建筑消耗和buff配置索引'!$M:$M,0))=0,"",INDEX('#建筑消耗和buff配置索引'!AW:AW,MATCH($F379,'#建筑消耗和buff配置索引'!$M:$M,0)))</f>
        <v>10000401</v>
      </c>
      <c r="AG379" s="133">
        <f>IF(AF379="","",INDEX('#建筑消耗和buff配置索引'!AX:AX,MATCH($F379,'#建筑消耗和buff配置索引'!$M:$M,0)))</f>
        <v>540000</v>
      </c>
      <c r="AJ379" s="133" t="str">
        <f>IF(INDEX('#建筑消耗和buff配置索引'!BB:BB,MATCH($F379,'#建筑消耗和buff配置索引'!$M:$M,0))=0,"",INDEX('#建筑消耗和buff配置索引'!BB:BB,MATCH($F379,'#建筑消耗和buff配置索引'!$M:$M,0)))</f>
        <v/>
      </c>
      <c r="AK379" s="133" t="str">
        <f>IF(AJ379="","",INDEX('#建筑消耗和buff配置索引'!BC:BC,MATCH($F379,'#建筑消耗和buff配置索引'!$M:$M,0)))</f>
        <v/>
      </c>
      <c r="AN379" s="133" t="str">
        <f>IF(INDEX('#建筑消耗和buff配置索引'!BG:BG,MATCH($F379,'#建筑消耗和buff配置索引'!$M:$M,0))=0,"",INDEX('#建筑消耗和buff配置索引'!BG:BG,MATCH($F379,'#建筑消耗和buff配置索引'!$M:$M,0)))</f>
        <v/>
      </c>
      <c r="AO379" s="133" t="str">
        <f>IF(AN379="","",INDEX('#建筑消耗和buff配置索引'!BH:BH,MATCH($F379,'#建筑消耗和buff配置索引'!$M:$M,0)))</f>
        <v/>
      </c>
      <c r="AR379" s="133" t="str">
        <f>IF(INDEX('#建筑消耗和buff配置索引'!BK:BK,MATCH($F379,'#建筑消耗和buff配置索引'!$M:$M,0))=0,"",INDEX('#建筑消耗和buff配置索引'!BK:BK,MATCH($F379,'#建筑消耗和buff配置索引'!$M:$M,0)))</f>
        <v/>
      </c>
      <c r="AS379" s="133" t="str">
        <f>IF(AR379="","",INDEX('#建筑消耗和buff配置索引'!BL:BL,MATCH($F379,'#建筑消耗和buff配置索引'!$M:$M,0)))</f>
        <v/>
      </c>
      <c r="AV379" s="133" t="str">
        <f>IF(INDEX('#建筑消耗和buff配置索引'!BO:BO,MATCH($F379,'#建筑消耗和buff配置索引'!$M:$M,0))=0,"",INDEX('#建筑消耗和buff配置索引'!BO:BO,MATCH($F379,'#建筑消耗和buff配置索引'!$M:$M,0)))</f>
        <v/>
      </c>
      <c r="AW379" s="133" t="str">
        <f>IF(AV379="","",INDEX('#建筑消耗和buff配置索引'!BP:BP,MATCH($F379,'#建筑消耗和buff配置索引'!$M:$M,0)))</f>
        <v/>
      </c>
      <c r="AZ379" s="133" t="str">
        <f>IF(INDEX('#建筑消耗和buff配置索引'!BS:BS,MATCH($F379,'#建筑消耗和buff配置索引'!$M:$M,0))=0,"",INDEX('#建筑消耗和buff配置索引'!BS:BS,MATCH($F379,'#建筑消耗和buff配置索引'!$M:$M,0)))</f>
        <v/>
      </c>
      <c r="BA379" s="133" t="str">
        <f>IF(AZ379="","",INDEX('#建筑消耗和buff配置索引'!BT:BT,MATCH($F379,'#建筑消耗和buff配置索引'!$M:$M,0)))</f>
        <v/>
      </c>
      <c r="BD379" s="133" t="str">
        <f>IF(INDEX('#建筑消耗和buff配置索引'!BW:BW,MATCH($F379,'#建筑消耗和buff配置索引'!$M:$M,0))=0,"",INDEX('#建筑消耗和buff配置索引'!BW:BW,MATCH($F379,'#建筑消耗和buff配置索引'!$M:$M,0)))</f>
        <v/>
      </c>
      <c r="BE379" s="133" t="str">
        <f>IF(BD379="","",INDEX('#建筑消耗和buff配置索引'!BX:BX,MATCH($F379,'#建筑消耗和buff配置索引'!$M:$M,0)))</f>
        <v/>
      </c>
      <c r="BI379" s="133">
        <v>25</v>
      </c>
    </row>
    <row r="380" spans="1:61" s="133" customFormat="1">
      <c r="A380" s="133">
        <v>2290015</v>
      </c>
      <c r="B380" s="133">
        <v>377</v>
      </c>
      <c r="C380" s="133">
        <v>229</v>
      </c>
      <c r="D380" s="133" t="s">
        <v>515</v>
      </c>
      <c r="E380" s="133">
        <v>15</v>
      </c>
      <c r="F380" s="133" t="str">
        <f t="shared" si="7"/>
        <v>战争大厅15</v>
      </c>
      <c r="H380" s="146"/>
      <c r="I380" s="133">
        <v>2</v>
      </c>
      <c r="J380" s="150">
        <f>INDEX('#建筑消耗和buff配置索引'!AH:AH,MATCH($F380,'#建筑消耗和buff配置索引'!$M:$M,0))</f>
        <v>60480</v>
      </c>
      <c r="K380" s="150">
        <f>INDEX('#建筑消耗和buff配置索引'!AA:AA,MATCH($F380,'#建筑消耗和buff配置索引'!$M:$M,0))</f>
        <v>570000</v>
      </c>
      <c r="L380" s="150">
        <f>INDEX('#建筑消耗和buff配置索引'!AB:AB,MATCH($F380,'#建筑消耗和buff配置索引'!$M:$M,0))</f>
        <v>1100000</v>
      </c>
      <c r="M380" s="150">
        <f>INDEX('#建筑消耗和buff配置索引'!AC:AC,MATCH($F380,'#建筑消耗和buff配置索引'!$M:$M,0))</f>
        <v>1100000</v>
      </c>
      <c r="N380" s="150">
        <f>INDEX('#建筑消耗和buff配置索引'!AD:AD,MATCH($F380,'#建筑消耗和buff配置索引'!$M:$M,0))</f>
        <v>1100000</v>
      </c>
      <c r="O380" s="150">
        <f>IF(INDEX('#建筑消耗和buff配置索引'!T:T,MATCH($F380,'#建筑消耗和buff配置索引'!$M:$M,0))=0,"",INDEX('#建筑消耗和buff配置索引'!T:T,MATCH($F380,'#建筑消耗和buff配置索引'!$M:$M,0)))</f>
        <v>2061</v>
      </c>
      <c r="P380" s="133">
        <f>IF(INDEX('#建筑消耗和buff配置索引'!U:U,MATCH($F380,'#建筑消耗和buff配置索引'!$M:$M,0))=0,"",INDEX('#建筑消耗和buff配置索引'!U:U,MATCH($F380,'#建筑消耗和buff配置索引'!$M:$M,0)))</f>
        <v>80</v>
      </c>
      <c r="Q380" s="133" t="str">
        <f>IF(INDEX('#建筑消耗和buff配置索引'!K:K,MATCH($F380,'#建筑消耗和buff配置索引'!$M:$M,0))=0,"",INDEX('#建筑消耗和buff配置索引'!K:K,MATCH($F380,'#建筑消耗和buff配置索引'!$M:$M,0)))</f>
        <v>201;230</v>
      </c>
      <c r="R380" s="133" t="str">
        <f>IF(INDEX('#建筑消耗和buff配置索引'!L:L,MATCH($F380,'#建筑消耗和buff配置索引'!$M:$M,0))=0,"",INDEX('#建筑消耗和buff配置索引'!L:L,MATCH($F380,'#建筑消耗和buff配置索引'!$M:$M,0)))</f>
        <v>15;15</v>
      </c>
      <c r="S380" s="133">
        <f>IF(INDEX('#建筑消耗和buff配置索引'!C:C,MATCH(F380,'#建筑消耗和buff配置索引'!M:M,0))=0,1,INDEX('#建筑消耗和buff配置索引'!C:C,MATCH(F380,'#建筑消耗和buff配置索引'!M:M,0)))</f>
        <v>3</v>
      </c>
      <c r="T380" s="133">
        <v>0</v>
      </c>
      <c r="U380" s="133">
        <v>0</v>
      </c>
      <c r="V380" s="133" t="str">
        <f>IF(E380=1,IF(INDEX('#建筑消耗和buff配置索引'!BY:BY,MATCH(D380,'#建筑消耗和buff配置索引'!A:A,0))=0,"",INDEX('#建筑消耗和buff配置索引'!BY:BY,MATCH(D380,'#建筑消耗和buff配置索引'!A:A,0))),"")</f>
        <v/>
      </c>
      <c r="W380" s="133" t="str">
        <f>IF(E380=1,IF(INDEX('#建筑消耗和buff配置索引'!BZ:BZ,MATCH(D380,'#建筑消耗和buff配置索引'!A:A,0))=0,"",INDEX('#建筑消耗和buff配置索引'!BZ:BZ,MATCH(D380,'#建筑消耗和buff配置索引'!A:A,0))),"")</f>
        <v/>
      </c>
      <c r="AA380" s="133">
        <f>INDEX('#建筑消耗和buff配置索引'!AO:AO,MATCH($F380,'#建筑消耗和buff配置索引'!$M:$M,0))</f>
        <v>29026</v>
      </c>
      <c r="AB380" s="133">
        <f>IF(INDEX('#建筑消耗和buff配置索引'!AR:AR,MATCH($F380,'#建筑消耗和buff配置索引'!$M:$M,0))=0,"",INDEX('#建筑消耗和buff配置索引'!AR:AR,MATCH($F380,'#建筑消耗和buff配置索引'!$M:$M,0)))</f>
        <v>1254</v>
      </c>
      <c r="AC380" s="133">
        <f>IF(AB380="","",INDEX('#建筑消耗和buff配置索引'!AS:AS,MATCH($F380,'#建筑消耗和buff配置索引'!$M:$M,0)))</f>
        <v>4640000</v>
      </c>
      <c r="AF380" s="133">
        <f>IF(INDEX('#建筑消耗和buff配置索引'!AW:AW,MATCH($F380,'#建筑消耗和buff配置索引'!$M:$M,0))=0,"",INDEX('#建筑消耗和buff配置索引'!AW:AW,MATCH($F380,'#建筑消耗和buff配置索引'!$M:$M,0)))</f>
        <v>10000401</v>
      </c>
      <c r="AG380" s="133">
        <f>IF(AF380="","",INDEX('#建筑消耗和buff配置索引'!AX:AX,MATCH($F380,'#建筑消耗和buff配置索引'!$M:$M,0)))</f>
        <v>600000</v>
      </c>
      <c r="AJ380" s="133" t="str">
        <f>IF(INDEX('#建筑消耗和buff配置索引'!BB:BB,MATCH($F380,'#建筑消耗和buff配置索引'!$M:$M,0))=0,"",INDEX('#建筑消耗和buff配置索引'!BB:BB,MATCH($F380,'#建筑消耗和buff配置索引'!$M:$M,0)))</f>
        <v/>
      </c>
      <c r="AK380" s="133" t="str">
        <f>IF(AJ380="","",INDEX('#建筑消耗和buff配置索引'!BC:BC,MATCH($F380,'#建筑消耗和buff配置索引'!$M:$M,0)))</f>
        <v/>
      </c>
      <c r="AN380" s="133" t="str">
        <f>IF(INDEX('#建筑消耗和buff配置索引'!BG:BG,MATCH($F380,'#建筑消耗和buff配置索引'!$M:$M,0))=0,"",INDEX('#建筑消耗和buff配置索引'!BG:BG,MATCH($F380,'#建筑消耗和buff配置索引'!$M:$M,0)))</f>
        <v/>
      </c>
      <c r="AO380" s="133" t="str">
        <f>IF(AN380="","",INDEX('#建筑消耗和buff配置索引'!BH:BH,MATCH($F380,'#建筑消耗和buff配置索引'!$M:$M,0)))</f>
        <v/>
      </c>
      <c r="AR380" s="133" t="str">
        <f>IF(INDEX('#建筑消耗和buff配置索引'!BK:BK,MATCH($F380,'#建筑消耗和buff配置索引'!$M:$M,0))=0,"",INDEX('#建筑消耗和buff配置索引'!BK:BK,MATCH($F380,'#建筑消耗和buff配置索引'!$M:$M,0)))</f>
        <v/>
      </c>
      <c r="AS380" s="133" t="str">
        <f>IF(AR380="","",INDEX('#建筑消耗和buff配置索引'!BL:BL,MATCH($F380,'#建筑消耗和buff配置索引'!$M:$M,0)))</f>
        <v/>
      </c>
      <c r="AV380" s="133" t="str">
        <f>IF(INDEX('#建筑消耗和buff配置索引'!BO:BO,MATCH($F380,'#建筑消耗和buff配置索引'!$M:$M,0))=0,"",INDEX('#建筑消耗和buff配置索引'!BO:BO,MATCH($F380,'#建筑消耗和buff配置索引'!$M:$M,0)))</f>
        <v/>
      </c>
      <c r="AW380" s="133" t="str">
        <f>IF(AV380="","",INDEX('#建筑消耗和buff配置索引'!BP:BP,MATCH($F380,'#建筑消耗和buff配置索引'!$M:$M,0)))</f>
        <v/>
      </c>
      <c r="AZ380" s="133" t="str">
        <f>IF(INDEX('#建筑消耗和buff配置索引'!BS:BS,MATCH($F380,'#建筑消耗和buff配置索引'!$M:$M,0))=0,"",INDEX('#建筑消耗和buff配置索引'!BS:BS,MATCH($F380,'#建筑消耗和buff配置索引'!$M:$M,0)))</f>
        <v/>
      </c>
      <c r="BA380" s="133" t="str">
        <f>IF(AZ380="","",INDEX('#建筑消耗和buff配置索引'!BT:BT,MATCH($F380,'#建筑消耗和buff配置索引'!$M:$M,0)))</f>
        <v/>
      </c>
      <c r="BD380" s="133" t="str">
        <f>IF(INDEX('#建筑消耗和buff配置索引'!BW:BW,MATCH($F380,'#建筑消耗和buff配置索引'!$M:$M,0))=0,"",INDEX('#建筑消耗和buff配置索引'!BW:BW,MATCH($F380,'#建筑消耗和buff配置索引'!$M:$M,0)))</f>
        <v/>
      </c>
      <c r="BE380" s="133" t="str">
        <f>IF(BD380="","",INDEX('#建筑消耗和buff配置索引'!BX:BX,MATCH($F380,'#建筑消耗和buff配置索引'!$M:$M,0)))</f>
        <v/>
      </c>
      <c r="BI380" s="133">
        <v>25</v>
      </c>
    </row>
    <row r="381" spans="1:61" s="133" customFormat="1">
      <c r="A381" s="133">
        <v>2290016</v>
      </c>
      <c r="B381" s="133">
        <v>378</v>
      </c>
      <c r="C381" s="133">
        <v>229</v>
      </c>
      <c r="D381" s="133" t="s">
        <v>515</v>
      </c>
      <c r="E381" s="133">
        <v>16</v>
      </c>
      <c r="F381" s="133" t="str">
        <f t="shared" si="7"/>
        <v>战争大厅16</v>
      </c>
      <c r="H381" s="146"/>
      <c r="I381" s="133">
        <v>2</v>
      </c>
      <c r="J381" s="150">
        <f>INDEX('#建筑消耗和buff配置索引'!AH:AH,MATCH($F381,'#建筑消耗和buff配置索引'!$M:$M,0))</f>
        <v>75600</v>
      </c>
      <c r="K381" s="150">
        <f>INDEX('#建筑消耗和buff配置索引'!AA:AA,MATCH($F381,'#建筑消耗和buff配置索引'!$M:$M,0))</f>
        <v>730000</v>
      </c>
      <c r="L381" s="150">
        <f>INDEX('#建筑消耗和buff配置索引'!AB:AB,MATCH($F381,'#建筑消耗和buff配置索引'!$M:$M,0))</f>
        <v>1500000</v>
      </c>
      <c r="M381" s="150">
        <f>INDEX('#建筑消耗和buff配置索引'!AC:AC,MATCH($F381,'#建筑消耗和buff配置索引'!$M:$M,0))</f>
        <v>1500000</v>
      </c>
      <c r="N381" s="150">
        <f>INDEX('#建筑消耗和buff配置索引'!AD:AD,MATCH($F381,'#建筑消耗和buff配置索引'!$M:$M,0))</f>
        <v>1500000</v>
      </c>
      <c r="O381" s="150">
        <f>IF(INDEX('#建筑消耗和buff配置索引'!T:T,MATCH($F381,'#建筑消耗和buff配置索引'!$M:$M,0))=0,"",INDEX('#建筑消耗和buff配置索引'!T:T,MATCH($F381,'#建筑消耗和buff配置索引'!$M:$M,0)))</f>
        <v>2061</v>
      </c>
      <c r="P381" s="133">
        <f>IF(INDEX('#建筑消耗和buff配置索引'!U:U,MATCH($F381,'#建筑消耗和buff配置索引'!$M:$M,0))=0,"",INDEX('#建筑消耗和buff配置索引'!U:U,MATCH($F381,'#建筑消耗和buff配置索引'!$M:$M,0)))</f>
        <v>90</v>
      </c>
      <c r="Q381" s="133" t="str">
        <f>IF(INDEX('#建筑消耗和buff配置索引'!K:K,MATCH($F381,'#建筑消耗和buff配置索引'!$M:$M,0))=0,"",INDEX('#建筑消耗和buff配置索引'!K:K,MATCH($F381,'#建筑消耗和buff配置索引'!$M:$M,0)))</f>
        <v>201;230</v>
      </c>
      <c r="R381" s="133" t="str">
        <f>IF(INDEX('#建筑消耗和buff配置索引'!L:L,MATCH($F381,'#建筑消耗和buff配置索引'!$M:$M,0))=0,"",INDEX('#建筑消耗和buff配置索引'!L:L,MATCH($F381,'#建筑消耗和buff配置索引'!$M:$M,0)))</f>
        <v>16;16</v>
      </c>
      <c r="S381" s="133">
        <f>IF(INDEX('#建筑消耗和buff配置索引'!C:C,MATCH(F381,'#建筑消耗和buff配置索引'!M:M,0))=0,1,INDEX('#建筑消耗和buff配置索引'!C:C,MATCH(F381,'#建筑消耗和buff配置索引'!M:M,0)))</f>
        <v>3</v>
      </c>
      <c r="T381" s="133">
        <v>0</v>
      </c>
      <c r="U381" s="133">
        <v>0</v>
      </c>
      <c r="V381" s="133" t="str">
        <f>IF(E381=1,IF(INDEX('#建筑消耗和buff配置索引'!BY:BY,MATCH(D381,'#建筑消耗和buff配置索引'!A:A,0))=0,"",INDEX('#建筑消耗和buff配置索引'!BY:BY,MATCH(D381,'#建筑消耗和buff配置索引'!A:A,0))),"")</f>
        <v/>
      </c>
      <c r="W381" s="133" t="str">
        <f>IF(E381=1,IF(INDEX('#建筑消耗和buff配置索引'!BZ:BZ,MATCH(D381,'#建筑消耗和buff配置索引'!A:A,0))=0,"",INDEX('#建筑消耗和buff配置索引'!BZ:BZ,MATCH(D381,'#建筑消耗和buff配置索引'!A:A,0))),"")</f>
        <v/>
      </c>
      <c r="AA381" s="133">
        <f>INDEX('#建筑消耗和buff配置索引'!AO:AO,MATCH($F381,'#建筑消耗和buff配置索引'!$M:$M,0))</f>
        <v>39263</v>
      </c>
      <c r="AB381" s="133">
        <f>IF(INDEX('#建筑消耗和buff配置索引'!AR:AR,MATCH($F381,'#建筑消耗和buff配置索引'!$M:$M,0))=0,"",INDEX('#建筑消耗和buff配置索引'!AR:AR,MATCH($F381,'#建筑消耗和buff配置索引'!$M:$M,0)))</f>
        <v>1254</v>
      </c>
      <c r="AC381" s="133">
        <f>IF(AB381="","",INDEX('#建筑消耗和buff配置索引'!AS:AS,MATCH($F381,'#建筑消耗和buff配置索引'!$M:$M,0)))</f>
        <v>5320000</v>
      </c>
      <c r="AF381" s="133">
        <f>IF(INDEX('#建筑消耗和buff配置索引'!AW:AW,MATCH($F381,'#建筑消耗和buff配置索引'!$M:$M,0))=0,"",INDEX('#建筑消耗和buff配置索引'!AW:AW,MATCH($F381,'#建筑消耗和buff配置索引'!$M:$M,0)))</f>
        <v>10000401</v>
      </c>
      <c r="AG381" s="133">
        <f>IF(AF381="","",INDEX('#建筑消耗和buff配置索引'!AX:AX,MATCH($F381,'#建筑消耗和buff配置索引'!$M:$M,0)))</f>
        <v>660000</v>
      </c>
      <c r="AJ381" s="133" t="str">
        <f>IF(INDEX('#建筑消耗和buff配置索引'!BB:BB,MATCH($F381,'#建筑消耗和buff配置索引'!$M:$M,0))=0,"",INDEX('#建筑消耗和buff配置索引'!BB:BB,MATCH($F381,'#建筑消耗和buff配置索引'!$M:$M,0)))</f>
        <v/>
      </c>
      <c r="AK381" s="133" t="str">
        <f>IF(AJ381="","",INDEX('#建筑消耗和buff配置索引'!BC:BC,MATCH($F381,'#建筑消耗和buff配置索引'!$M:$M,0)))</f>
        <v/>
      </c>
      <c r="AN381" s="133" t="str">
        <f>IF(INDEX('#建筑消耗和buff配置索引'!BG:BG,MATCH($F381,'#建筑消耗和buff配置索引'!$M:$M,0))=0,"",INDEX('#建筑消耗和buff配置索引'!BG:BG,MATCH($F381,'#建筑消耗和buff配置索引'!$M:$M,0)))</f>
        <v/>
      </c>
      <c r="AO381" s="133" t="str">
        <f>IF(AN381="","",INDEX('#建筑消耗和buff配置索引'!BH:BH,MATCH($F381,'#建筑消耗和buff配置索引'!$M:$M,0)))</f>
        <v/>
      </c>
      <c r="AR381" s="133" t="str">
        <f>IF(INDEX('#建筑消耗和buff配置索引'!BK:BK,MATCH($F381,'#建筑消耗和buff配置索引'!$M:$M,0))=0,"",INDEX('#建筑消耗和buff配置索引'!BK:BK,MATCH($F381,'#建筑消耗和buff配置索引'!$M:$M,0)))</f>
        <v/>
      </c>
      <c r="AS381" s="133" t="str">
        <f>IF(AR381="","",INDEX('#建筑消耗和buff配置索引'!BL:BL,MATCH($F381,'#建筑消耗和buff配置索引'!$M:$M,0)))</f>
        <v/>
      </c>
      <c r="AV381" s="133" t="str">
        <f>IF(INDEX('#建筑消耗和buff配置索引'!BO:BO,MATCH($F381,'#建筑消耗和buff配置索引'!$M:$M,0))=0,"",INDEX('#建筑消耗和buff配置索引'!BO:BO,MATCH($F381,'#建筑消耗和buff配置索引'!$M:$M,0)))</f>
        <v/>
      </c>
      <c r="AW381" s="133" t="str">
        <f>IF(AV381="","",INDEX('#建筑消耗和buff配置索引'!BP:BP,MATCH($F381,'#建筑消耗和buff配置索引'!$M:$M,0)))</f>
        <v/>
      </c>
      <c r="AZ381" s="133" t="str">
        <f>IF(INDEX('#建筑消耗和buff配置索引'!BS:BS,MATCH($F381,'#建筑消耗和buff配置索引'!$M:$M,0))=0,"",INDEX('#建筑消耗和buff配置索引'!BS:BS,MATCH($F381,'#建筑消耗和buff配置索引'!$M:$M,0)))</f>
        <v/>
      </c>
      <c r="BA381" s="133" t="str">
        <f>IF(AZ381="","",INDEX('#建筑消耗和buff配置索引'!BT:BT,MATCH($F381,'#建筑消耗和buff配置索引'!$M:$M,0)))</f>
        <v/>
      </c>
      <c r="BD381" s="133" t="str">
        <f>IF(INDEX('#建筑消耗和buff配置索引'!BW:BW,MATCH($F381,'#建筑消耗和buff配置索引'!$M:$M,0))=0,"",INDEX('#建筑消耗和buff配置索引'!BW:BW,MATCH($F381,'#建筑消耗和buff配置索引'!$M:$M,0)))</f>
        <v/>
      </c>
      <c r="BE381" s="133" t="str">
        <f>IF(BD381="","",INDEX('#建筑消耗和buff配置索引'!BX:BX,MATCH($F381,'#建筑消耗和buff配置索引'!$M:$M,0)))</f>
        <v/>
      </c>
      <c r="BI381" s="133">
        <v>25</v>
      </c>
    </row>
    <row r="382" spans="1:61" s="133" customFormat="1">
      <c r="A382" s="133">
        <v>2290017</v>
      </c>
      <c r="B382" s="133">
        <v>379</v>
      </c>
      <c r="C382" s="133">
        <v>229</v>
      </c>
      <c r="D382" s="133" t="s">
        <v>515</v>
      </c>
      <c r="E382" s="133">
        <v>17</v>
      </c>
      <c r="F382" s="133" t="str">
        <f t="shared" si="7"/>
        <v>战争大厅17</v>
      </c>
      <c r="H382" s="146"/>
      <c r="I382" s="133">
        <v>2</v>
      </c>
      <c r="J382" s="150">
        <f>INDEX('#建筑消耗和buff配置索引'!AH:AH,MATCH($F382,'#建筑消耗和buff配置索引'!$M:$M,0))</f>
        <v>100800</v>
      </c>
      <c r="K382" s="150">
        <f>INDEX('#建筑消耗和buff配置索引'!AA:AA,MATCH($F382,'#建筑消耗和buff配置索引'!$M:$M,0))</f>
        <v>940000</v>
      </c>
      <c r="L382" s="150">
        <f>INDEX('#建筑消耗和buff配置索引'!AB:AB,MATCH($F382,'#建筑消耗和buff配置索引'!$M:$M,0))</f>
        <v>1900000</v>
      </c>
      <c r="M382" s="150">
        <f>INDEX('#建筑消耗和buff配置索引'!AC:AC,MATCH($F382,'#建筑消耗和buff配置索引'!$M:$M,0))</f>
        <v>1900000</v>
      </c>
      <c r="N382" s="150">
        <f>INDEX('#建筑消耗和buff配置索引'!AD:AD,MATCH($F382,'#建筑消耗和buff配置索引'!$M:$M,0))</f>
        <v>1900000</v>
      </c>
      <c r="O382" s="150">
        <f>IF(INDEX('#建筑消耗和buff配置索引'!T:T,MATCH($F382,'#建筑消耗和buff配置索引'!$M:$M,0))=0,"",INDEX('#建筑消耗和buff配置索引'!T:T,MATCH($F382,'#建筑消耗和buff配置索引'!$M:$M,0)))</f>
        <v>2061</v>
      </c>
      <c r="P382" s="133">
        <f>IF(INDEX('#建筑消耗和buff配置索引'!U:U,MATCH($F382,'#建筑消耗和buff配置索引'!$M:$M,0))=0,"",INDEX('#建筑消耗和buff配置索引'!U:U,MATCH($F382,'#建筑消耗和buff配置索引'!$M:$M,0)))</f>
        <v>105</v>
      </c>
      <c r="Q382" s="133" t="str">
        <f>IF(INDEX('#建筑消耗和buff配置索引'!K:K,MATCH($F382,'#建筑消耗和buff配置索引'!$M:$M,0))=0,"",INDEX('#建筑消耗和buff配置索引'!K:K,MATCH($F382,'#建筑消耗和buff配置索引'!$M:$M,0)))</f>
        <v>201;230</v>
      </c>
      <c r="R382" s="133" t="str">
        <f>IF(INDEX('#建筑消耗和buff配置索引'!L:L,MATCH($F382,'#建筑消耗和buff配置索引'!$M:$M,0))=0,"",INDEX('#建筑消耗和buff配置索引'!L:L,MATCH($F382,'#建筑消耗和buff配置索引'!$M:$M,0)))</f>
        <v>17;17</v>
      </c>
      <c r="S382" s="133">
        <f>IF(INDEX('#建筑消耗和buff配置索引'!C:C,MATCH(F382,'#建筑消耗和buff配置索引'!M:M,0))=0,1,INDEX('#建筑消耗和buff配置索引'!C:C,MATCH(F382,'#建筑消耗和buff配置索引'!M:M,0)))</f>
        <v>3</v>
      </c>
      <c r="T382" s="133">
        <v>0</v>
      </c>
      <c r="U382" s="133">
        <v>0</v>
      </c>
      <c r="V382" s="133" t="str">
        <f>IF(E382=1,IF(INDEX('#建筑消耗和buff配置索引'!BY:BY,MATCH(D382,'#建筑消耗和buff配置索引'!A:A,0))=0,"",INDEX('#建筑消耗和buff配置索引'!BY:BY,MATCH(D382,'#建筑消耗和buff配置索引'!A:A,0))),"")</f>
        <v/>
      </c>
      <c r="W382" s="133" t="str">
        <f>IF(E382=1,IF(INDEX('#建筑消耗和buff配置索引'!BZ:BZ,MATCH(D382,'#建筑消耗和buff配置索引'!A:A,0))=0,"",INDEX('#建筑消耗和buff配置索引'!BZ:BZ,MATCH(D382,'#建筑消耗和buff配置索引'!A:A,0))),"")</f>
        <v/>
      </c>
      <c r="AA382" s="133">
        <f>INDEX('#建筑消耗和buff配置索引'!AO:AO,MATCH($F382,'#建筑消耗和buff配置索引'!$M:$M,0))</f>
        <v>52368</v>
      </c>
      <c r="AB382" s="133">
        <f>IF(INDEX('#建筑消耗和buff配置索引'!AR:AR,MATCH($F382,'#建筑消耗和buff配置索引'!$M:$M,0))=0,"",INDEX('#建筑消耗和buff配置索引'!AR:AR,MATCH($F382,'#建筑消耗和buff配置索引'!$M:$M,0)))</f>
        <v>1254</v>
      </c>
      <c r="AC382" s="133">
        <f>IF(AB382="","",INDEX('#建筑消耗和buff配置索引'!AS:AS,MATCH($F382,'#建筑消耗和buff配置索引'!$M:$M,0)))</f>
        <v>6020000</v>
      </c>
      <c r="AF382" s="133">
        <f>IF(INDEX('#建筑消耗和buff配置索引'!AW:AW,MATCH($F382,'#建筑消耗和buff配置索引'!$M:$M,0))=0,"",INDEX('#建筑消耗和buff配置索引'!AW:AW,MATCH($F382,'#建筑消耗和buff配置索引'!$M:$M,0)))</f>
        <v>10000401</v>
      </c>
      <c r="AG382" s="133">
        <f>IF(AF382="","",INDEX('#建筑消耗和buff配置索引'!AX:AX,MATCH($F382,'#建筑消耗和buff配置索引'!$M:$M,0)))</f>
        <v>720000</v>
      </c>
      <c r="AJ382" s="133" t="str">
        <f>IF(INDEX('#建筑消耗和buff配置索引'!BB:BB,MATCH($F382,'#建筑消耗和buff配置索引'!$M:$M,0))=0,"",INDEX('#建筑消耗和buff配置索引'!BB:BB,MATCH($F382,'#建筑消耗和buff配置索引'!$M:$M,0)))</f>
        <v/>
      </c>
      <c r="AK382" s="133" t="str">
        <f>IF(AJ382="","",INDEX('#建筑消耗和buff配置索引'!BC:BC,MATCH($F382,'#建筑消耗和buff配置索引'!$M:$M,0)))</f>
        <v/>
      </c>
      <c r="AN382" s="133" t="str">
        <f>IF(INDEX('#建筑消耗和buff配置索引'!BG:BG,MATCH($F382,'#建筑消耗和buff配置索引'!$M:$M,0))=0,"",INDEX('#建筑消耗和buff配置索引'!BG:BG,MATCH($F382,'#建筑消耗和buff配置索引'!$M:$M,0)))</f>
        <v/>
      </c>
      <c r="AO382" s="133" t="str">
        <f>IF(AN382="","",INDEX('#建筑消耗和buff配置索引'!BH:BH,MATCH($F382,'#建筑消耗和buff配置索引'!$M:$M,0)))</f>
        <v/>
      </c>
      <c r="AR382" s="133" t="str">
        <f>IF(INDEX('#建筑消耗和buff配置索引'!BK:BK,MATCH($F382,'#建筑消耗和buff配置索引'!$M:$M,0))=0,"",INDEX('#建筑消耗和buff配置索引'!BK:BK,MATCH($F382,'#建筑消耗和buff配置索引'!$M:$M,0)))</f>
        <v/>
      </c>
      <c r="AS382" s="133" t="str">
        <f>IF(AR382="","",INDEX('#建筑消耗和buff配置索引'!BL:BL,MATCH($F382,'#建筑消耗和buff配置索引'!$M:$M,0)))</f>
        <v/>
      </c>
      <c r="AV382" s="133" t="str">
        <f>IF(INDEX('#建筑消耗和buff配置索引'!BO:BO,MATCH($F382,'#建筑消耗和buff配置索引'!$M:$M,0))=0,"",INDEX('#建筑消耗和buff配置索引'!BO:BO,MATCH($F382,'#建筑消耗和buff配置索引'!$M:$M,0)))</f>
        <v/>
      </c>
      <c r="AW382" s="133" t="str">
        <f>IF(AV382="","",INDEX('#建筑消耗和buff配置索引'!BP:BP,MATCH($F382,'#建筑消耗和buff配置索引'!$M:$M,0)))</f>
        <v/>
      </c>
      <c r="AZ382" s="133" t="str">
        <f>IF(INDEX('#建筑消耗和buff配置索引'!BS:BS,MATCH($F382,'#建筑消耗和buff配置索引'!$M:$M,0))=0,"",INDEX('#建筑消耗和buff配置索引'!BS:BS,MATCH($F382,'#建筑消耗和buff配置索引'!$M:$M,0)))</f>
        <v/>
      </c>
      <c r="BA382" s="133" t="str">
        <f>IF(AZ382="","",INDEX('#建筑消耗和buff配置索引'!BT:BT,MATCH($F382,'#建筑消耗和buff配置索引'!$M:$M,0)))</f>
        <v/>
      </c>
      <c r="BD382" s="133" t="str">
        <f>IF(INDEX('#建筑消耗和buff配置索引'!BW:BW,MATCH($F382,'#建筑消耗和buff配置索引'!$M:$M,0))=0,"",INDEX('#建筑消耗和buff配置索引'!BW:BW,MATCH($F382,'#建筑消耗和buff配置索引'!$M:$M,0)))</f>
        <v/>
      </c>
      <c r="BE382" s="133" t="str">
        <f>IF(BD382="","",INDEX('#建筑消耗和buff配置索引'!BX:BX,MATCH($F382,'#建筑消耗和buff配置索引'!$M:$M,0)))</f>
        <v/>
      </c>
      <c r="BI382" s="133">
        <v>25</v>
      </c>
    </row>
    <row r="383" spans="1:61" s="133" customFormat="1">
      <c r="A383" s="133">
        <v>2290018</v>
      </c>
      <c r="B383" s="133">
        <v>380</v>
      </c>
      <c r="C383" s="133">
        <v>229</v>
      </c>
      <c r="D383" s="133" t="s">
        <v>515</v>
      </c>
      <c r="E383" s="133">
        <v>18</v>
      </c>
      <c r="F383" s="133" t="str">
        <f t="shared" si="7"/>
        <v>战争大厅18</v>
      </c>
      <c r="H383" s="146"/>
      <c r="I383" s="133">
        <v>2</v>
      </c>
      <c r="J383" s="150">
        <f>INDEX('#建筑消耗和buff配置索引'!AH:AH,MATCH($F383,'#建筑消耗和buff配置索引'!$M:$M,0))</f>
        <v>131040</v>
      </c>
      <c r="K383" s="150">
        <f>INDEX('#建筑消耗和buff配置索引'!AA:AA,MATCH($F383,'#建筑消耗和buff配置索引'!$M:$M,0))</f>
        <v>1200000</v>
      </c>
      <c r="L383" s="150">
        <f>INDEX('#建筑消耗和buff配置索引'!AB:AB,MATCH($F383,'#建筑消耗和buff配置索引'!$M:$M,0))</f>
        <v>2400000</v>
      </c>
      <c r="M383" s="150">
        <f>INDEX('#建筑消耗和buff配置索引'!AC:AC,MATCH($F383,'#建筑消耗和buff配置索引'!$M:$M,0))</f>
        <v>2400000</v>
      </c>
      <c r="N383" s="150">
        <f>INDEX('#建筑消耗和buff配置索引'!AD:AD,MATCH($F383,'#建筑消耗和buff配置索引'!$M:$M,0))</f>
        <v>2400000</v>
      </c>
      <c r="O383" s="150">
        <f>IF(INDEX('#建筑消耗和buff配置索引'!T:T,MATCH($F383,'#建筑消耗和buff配置索引'!$M:$M,0))=0,"",INDEX('#建筑消耗和buff配置索引'!T:T,MATCH($F383,'#建筑消耗和buff配置索引'!$M:$M,0)))</f>
        <v>2061</v>
      </c>
      <c r="P383" s="133">
        <f>IF(INDEX('#建筑消耗和buff配置索引'!U:U,MATCH($F383,'#建筑消耗和buff配置索引'!$M:$M,0))=0,"",INDEX('#建筑消耗和buff配置索引'!U:U,MATCH($F383,'#建筑消耗和buff配置索引'!$M:$M,0)))</f>
        <v>120</v>
      </c>
      <c r="Q383" s="133" t="str">
        <f>IF(INDEX('#建筑消耗和buff配置索引'!K:K,MATCH($F383,'#建筑消耗和buff配置索引'!$M:$M,0))=0,"",INDEX('#建筑消耗和buff配置索引'!K:K,MATCH($F383,'#建筑消耗和buff配置索引'!$M:$M,0)))</f>
        <v>201;230</v>
      </c>
      <c r="R383" s="133" t="str">
        <f>IF(INDEX('#建筑消耗和buff配置索引'!L:L,MATCH($F383,'#建筑消耗和buff配置索引'!$M:$M,0))=0,"",INDEX('#建筑消耗和buff配置索引'!L:L,MATCH($F383,'#建筑消耗和buff配置索引'!$M:$M,0)))</f>
        <v>18;18</v>
      </c>
      <c r="S383" s="133">
        <f>IF(INDEX('#建筑消耗和buff配置索引'!C:C,MATCH(F383,'#建筑消耗和buff配置索引'!M:M,0))=0,1,INDEX('#建筑消耗和buff配置索引'!C:C,MATCH(F383,'#建筑消耗和buff配置索引'!M:M,0)))</f>
        <v>3</v>
      </c>
      <c r="T383" s="133">
        <v>0</v>
      </c>
      <c r="U383" s="133">
        <v>0</v>
      </c>
      <c r="V383" s="133" t="str">
        <f>IF(E383=1,IF(INDEX('#建筑消耗和buff配置索引'!BY:BY,MATCH(D383,'#建筑消耗和buff配置索引'!A:A,0))=0,"",INDEX('#建筑消耗和buff配置索引'!BY:BY,MATCH(D383,'#建筑消耗和buff配置索引'!A:A,0))),"")</f>
        <v/>
      </c>
      <c r="W383" s="133" t="str">
        <f>IF(E383=1,IF(INDEX('#建筑消耗和buff配置索引'!BZ:BZ,MATCH(D383,'#建筑消耗和buff配置索引'!A:A,0))=0,"",INDEX('#建筑消耗和buff配置索引'!BZ:BZ,MATCH(D383,'#建筑消耗和buff配置索引'!A:A,0))),"")</f>
        <v/>
      </c>
      <c r="AA383" s="133">
        <f>INDEX('#建筑消耗和buff配置索引'!AO:AO,MATCH($F383,'#建筑消耗和buff配置索引'!$M:$M,0))</f>
        <v>69141</v>
      </c>
      <c r="AB383" s="133">
        <f>IF(INDEX('#建筑消耗和buff配置索引'!AR:AR,MATCH($F383,'#建筑消耗和buff配置索引'!$M:$M,0))=0,"",INDEX('#建筑消耗和buff配置索引'!AR:AR,MATCH($F383,'#建筑消耗和buff配置索引'!$M:$M,0)))</f>
        <v>1254</v>
      </c>
      <c r="AC383" s="133">
        <f>IF(AB383="","",INDEX('#建筑消耗和buff配置索引'!AS:AS,MATCH($F383,'#建筑消耗和buff配置索引'!$M:$M,0)))</f>
        <v>6740000</v>
      </c>
      <c r="AF383" s="133">
        <f>IF(INDEX('#建筑消耗和buff配置索引'!AW:AW,MATCH($F383,'#建筑消耗和buff配置索引'!$M:$M,0))=0,"",INDEX('#建筑消耗和buff配置索引'!AW:AW,MATCH($F383,'#建筑消耗和buff配置索引'!$M:$M,0)))</f>
        <v>10000401</v>
      </c>
      <c r="AG383" s="133">
        <f>IF(AF383="","",INDEX('#建筑消耗和buff配置索引'!AX:AX,MATCH($F383,'#建筑消耗和buff配置索引'!$M:$M,0)))</f>
        <v>780000</v>
      </c>
      <c r="AJ383" s="133" t="str">
        <f>IF(INDEX('#建筑消耗和buff配置索引'!BB:BB,MATCH($F383,'#建筑消耗和buff配置索引'!$M:$M,0))=0,"",INDEX('#建筑消耗和buff配置索引'!BB:BB,MATCH($F383,'#建筑消耗和buff配置索引'!$M:$M,0)))</f>
        <v/>
      </c>
      <c r="AK383" s="133" t="str">
        <f>IF(AJ383="","",INDEX('#建筑消耗和buff配置索引'!BC:BC,MATCH($F383,'#建筑消耗和buff配置索引'!$M:$M,0)))</f>
        <v/>
      </c>
      <c r="AN383" s="133" t="str">
        <f>IF(INDEX('#建筑消耗和buff配置索引'!BG:BG,MATCH($F383,'#建筑消耗和buff配置索引'!$M:$M,0))=0,"",INDEX('#建筑消耗和buff配置索引'!BG:BG,MATCH($F383,'#建筑消耗和buff配置索引'!$M:$M,0)))</f>
        <v/>
      </c>
      <c r="AO383" s="133" t="str">
        <f>IF(AN383="","",INDEX('#建筑消耗和buff配置索引'!BH:BH,MATCH($F383,'#建筑消耗和buff配置索引'!$M:$M,0)))</f>
        <v/>
      </c>
      <c r="AR383" s="133" t="str">
        <f>IF(INDEX('#建筑消耗和buff配置索引'!BK:BK,MATCH($F383,'#建筑消耗和buff配置索引'!$M:$M,0))=0,"",INDEX('#建筑消耗和buff配置索引'!BK:BK,MATCH($F383,'#建筑消耗和buff配置索引'!$M:$M,0)))</f>
        <v/>
      </c>
      <c r="AS383" s="133" t="str">
        <f>IF(AR383="","",INDEX('#建筑消耗和buff配置索引'!BL:BL,MATCH($F383,'#建筑消耗和buff配置索引'!$M:$M,0)))</f>
        <v/>
      </c>
      <c r="AV383" s="133" t="str">
        <f>IF(INDEX('#建筑消耗和buff配置索引'!BO:BO,MATCH($F383,'#建筑消耗和buff配置索引'!$M:$M,0))=0,"",INDEX('#建筑消耗和buff配置索引'!BO:BO,MATCH($F383,'#建筑消耗和buff配置索引'!$M:$M,0)))</f>
        <v/>
      </c>
      <c r="AW383" s="133" t="str">
        <f>IF(AV383="","",INDEX('#建筑消耗和buff配置索引'!BP:BP,MATCH($F383,'#建筑消耗和buff配置索引'!$M:$M,0)))</f>
        <v/>
      </c>
      <c r="AZ383" s="133" t="str">
        <f>IF(INDEX('#建筑消耗和buff配置索引'!BS:BS,MATCH($F383,'#建筑消耗和buff配置索引'!$M:$M,0))=0,"",INDEX('#建筑消耗和buff配置索引'!BS:BS,MATCH($F383,'#建筑消耗和buff配置索引'!$M:$M,0)))</f>
        <v/>
      </c>
      <c r="BA383" s="133" t="str">
        <f>IF(AZ383="","",INDEX('#建筑消耗和buff配置索引'!BT:BT,MATCH($F383,'#建筑消耗和buff配置索引'!$M:$M,0)))</f>
        <v/>
      </c>
      <c r="BD383" s="133" t="str">
        <f>IF(INDEX('#建筑消耗和buff配置索引'!BW:BW,MATCH($F383,'#建筑消耗和buff配置索引'!$M:$M,0))=0,"",INDEX('#建筑消耗和buff配置索引'!BW:BW,MATCH($F383,'#建筑消耗和buff配置索引'!$M:$M,0)))</f>
        <v/>
      </c>
      <c r="BE383" s="133" t="str">
        <f>IF(BD383="","",INDEX('#建筑消耗和buff配置索引'!BX:BX,MATCH($F383,'#建筑消耗和buff配置索引'!$M:$M,0)))</f>
        <v/>
      </c>
      <c r="BI383" s="133">
        <v>25</v>
      </c>
    </row>
    <row r="384" spans="1:61" s="133" customFormat="1">
      <c r="A384" s="133">
        <v>2290019</v>
      </c>
      <c r="B384" s="133">
        <v>381</v>
      </c>
      <c r="C384" s="133">
        <v>229</v>
      </c>
      <c r="D384" s="133" t="s">
        <v>515</v>
      </c>
      <c r="E384" s="133">
        <v>19</v>
      </c>
      <c r="F384" s="133" t="str">
        <f t="shared" si="7"/>
        <v>战争大厅19</v>
      </c>
      <c r="H384" s="146"/>
      <c r="I384" s="133">
        <v>2</v>
      </c>
      <c r="J384" s="150">
        <f>INDEX('#建筑消耗和buff配置索引'!AH:AH,MATCH($F384,'#建筑消耗和buff配置索引'!$M:$M,0))</f>
        <v>171360</v>
      </c>
      <c r="K384" s="150">
        <f>INDEX('#建筑消耗和buff配置索引'!AA:AA,MATCH($F384,'#建筑消耗和buff配置索引'!$M:$M,0))</f>
        <v>1500000</v>
      </c>
      <c r="L384" s="150">
        <f>INDEX('#建筑消耗和buff配置索引'!AB:AB,MATCH($F384,'#建筑消耗和buff配置索引'!$M:$M,0))</f>
        <v>3100000</v>
      </c>
      <c r="M384" s="150">
        <f>INDEX('#建筑消耗和buff配置索引'!AC:AC,MATCH($F384,'#建筑消耗和buff配置索引'!$M:$M,0))</f>
        <v>3100000</v>
      </c>
      <c r="N384" s="150">
        <f>INDEX('#建筑消耗和buff配置索引'!AD:AD,MATCH($F384,'#建筑消耗和buff配置索引'!$M:$M,0))</f>
        <v>3100000</v>
      </c>
      <c r="O384" s="150">
        <f>IF(INDEX('#建筑消耗和buff配置索引'!T:T,MATCH($F384,'#建筑消耗和buff配置索引'!$M:$M,0))=0,"",INDEX('#建筑消耗和buff配置索引'!T:T,MATCH($F384,'#建筑消耗和buff配置索引'!$M:$M,0)))</f>
        <v>2061</v>
      </c>
      <c r="P384" s="133">
        <f>IF(INDEX('#建筑消耗和buff配置索引'!U:U,MATCH($F384,'#建筑消耗和buff配置索引'!$M:$M,0))=0,"",INDEX('#建筑消耗和buff配置索引'!U:U,MATCH($F384,'#建筑消耗和buff配置索引'!$M:$M,0)))</f>
        <v>135</v>
      </c>
      <c r="Q384" s="133" t="str">
        <f>IF(INDEX('#建筑消耗和buff配置索引'!K:K,MATCH($F384,'#建筑消耗和buff配置索引'!$M:$M,0))=0,"",INDEX('#建筑消耗和buff配置索引'!K:K,MATCH($F384,'#建筑消耗和buff配置索引'!$M:$M,0)))</f>
        <v>201;230</v>
      </c>
      <c r="R384" s="133" t="str">
        <f>IF(INDEX('#建筑消耗和buff配置索引'!L:L,MATCH($F384,'#建筑消耗和buff配置索引'!$M:$M,0))=0,"",INDEX('#建筑消耗和buff配置索引'!L:L,MATCH($F384,'#建筑消耗和buff配置索引'!$M:$M,0)))</f>
        <v>19;19</v>
      </c>
      <c r="S384" s="133">
        <f>IF(INDEX('#建筑消耗和buff配置索引'!C:C,MATCH(F384,'#建筑消耗和buff配置索引'!M:M,0))=0,1,INDEX('#建筑消耗和buff配置索引'!C:C,MATCH(F384,'#建筑消耗和buff配置索引'!M:M,0)))</f>
        <v>3</v>
      </c>
      <c r="T384" s="133">
        <v>0</v>
      </c>
      <c r="U384" s="133">
        <v>0</v>
      </c>
      <c r="V384" s="133" t="str">
        <f>IF(E384=1,IF(INDEX('#建筑消耗和buff配置索引'!BY:BY,MATCH(D384,'#建筑消耗和buff配置索引'!A:A,0))=0,"",INDEX('#建筑消耗和buff配置索引'!BY:BY,MATCH(D384,'#建筑消耗和buff配置索引'!A:A,0))),"")</f>
        <v/>
      </c>
      <c r="W384" s="133" t="str">
        <f>IF(E384=1,IF(INDEX('#建筑消耗和buff配置索引'!BZ:BZ,MATCH(D384,'#建筑消耗和buff配置索引'!A:A,0))=0,"",INDEX('#建筑消耗和buff配置索引'!BZ:BZ,MATCH(D384,'#建筑消耗和buff配置索引'!A:A,0))),"")</f>
        <v/>
      </c>
      <c r="AA384" s="133">
        <f>INDEX('#建筑消耗和buff配置索引'!AO:AO,MATCH($F384,'#建筑消耗和buff配置索引'!$M:$M,0))</f>
        <v>90611</v>
      </c>
      <c r="AB384" s="133">
        <f>IF(INDEX('#建筑消耗和buff配置索引'!AR:AR,MATCH($F384,'#建筑消耗和buff配置索引'!$M:$M,0))=0,"",INDEX('#建筑消耗和buff配置索引'!AR:AR,MATCH($F384,'#建筑消耗和buff配置索引'!$M:$M,0)))</f>
        <v>1254</v>
      </c>
      <c r="AC384" s="133">
        <f>IF(AB384="","",INDEX('#建筑消耗和buff配置索引'!AS:AS,MATCH($F384,'#建筑消耗和buff配置索引'!$M:$M,0)))</f>
        <v>7480000</v>
      </c>
      <c r="AF384" s="133">
        <f>IF(INDEX('#建筑消耗和buff配置索引'!AW:AW,MATCH($F384,'#建筑消耗和buff配置索引'!$M:$M,0))=0,"",INDEX('#建筑消耗和buff配置索引'!AW:AW,MATCH($F384,'#建筑消耗和buff配置索引'!$M:$M,0)))</f>
        <v>10000401</v>
      </c>
      <c r="AG384" s="133">
        <f>IF(AF384="","",INDEX('#建筑消耗和buff配置索引'!AX:AX,MATCH($F384,'#建筑消耗和buff配置索引'!$M:$M,0)))</f>
        <v>840000</v>
      </c>
      <c r="AJ384" s="133" t="str">
        <f>IF(INDEX('#建筑消耗和buff配置索引'!BB:BB,MATCH($F384,'#建筑消耗和buff配置索引'!$M:$M,0))=0,"",INDEX('#建筑消耗和buff配置索引'!BB:BB,MATCH($F384,'#建筑消耗和buff配置索引'!$M:$M,0)))</f>
        <v/>
      </c>
      <c r="AK384" s="133" t="str">
        <f>IF(AJ384="","",INDEX('#建筑消耗和buff配置索引'!BC:BC,MATCH($F384,'#建筑消耗和buff配置索引'!$M:$M,0)))</f>
        <v/>
      </c>
      <c r="AN384" s="133" t="str">
        <f>IF(INDEX('#建筑消耗和buff配置索引'!BG:BG,MATCH($F384,'#建筑消耗和buff配置索引'!$M:$M,0))=0,"",INDEX('#建筑消耗和buff配置索引'!BG:BG,MATCH($F384,'#建筑消耗和buff配置索引'!$M:$M,0)))</f>
        <v/>
      </c>
      <c r="AO384" s="133" t="str">
        <f>IF(AN384="","",INDEX('#建筑消耗和buff配置索引'!BH:BH,MATCH($F384,'#建筑消耗和buff配置索引'!$M:$M,0)))</f>
        <v/>
      </c>
      <c r="AR384" s="133" t="str">
        <f>IF(INDEX('#建筑消耗和buff配置索引'!BK:BK,MATCH($F384,'#建筑消耗和buff配置索引'!$M:$M,0))=0,"",INDEX('#建筑消耗和buff配置索引'!BK:BK,MATCH($F384,'#建筑消耗和buff配置索引'!$M:$M,0)))</f>
        <v/>
      </c>
      <c r="AS384" s="133" t="str">
        <f>IF(AR384="","",INDEX('#建筑消耗和buff配置索引'!BL:BL,MATCH($F384,'#建筑消耗和buff配置索引'!$M:$M,0)))</f>
        <v/>
      </c>
      <c r="AV384" s="133" t="str">
        <f>IF(INDEX('#建筑消耗和buff配置索引'!BO:BO,MATCH($F384,'#建筑消耗和buff配置索引'!$M:$M,0))=0,"",INDEX('#建筑消耗和buff配置索引'!BO:BO,MATCH($F384,'#建筑消耗和buff配置索引'!$M:$M,0)))</f>
        <v/>
      </c>
      <c r="AW384" s="133" t="str">
        <f>IF(AV384="","",INDEX('#建筑消耗和buff配置索引'!BP:BP,MATCH($F384,'#建筑消耗和buff配置索引'!$M:$M,0)))</f>
        <v/>
      </c>
      <c r="AZ384" s="133" t="str">
        <f>IF(INDEX('#建筑消耗和buff配置索引'!BS:BS,MATCH($F384,'#建筑消耗和buff配置索引'!$M:$M,0))=0,"",INDEX('#建筑消耗和buff配置索引'!BS:BS,MATCH($F384,'#建筑消耗和buff配置索引'!$M:$M,0)))</f>
        <v/>
      </c>
      <c r="BA384" s="133" t="str">
        <f>IF(AZ384="","",INDEX('#建筑消耗和buff配置索引'!BT:BT,MATCH($F384,'#建筑消耗和buff配置索引'!$M:$M,0)))</f>
        <v/>
      </c>
      <c r="BD384" s="133" t="str">
        <f>IF(INDEX('#建筑消耗和buff配置索引'!BW:BW,MATCH($F384,'#建筑消耗和buff配置索引'!$M:$M,0))=0,"",INDEX('#建筑消耗和buff配置索引'!BW:BW,MATCH($F384,'#建筑消耗和buff配置索引'!$M:$M,0)))</f>
        <v/>
      </c>
      <c r="BE384" s="133" t="str">
        <f>IF(BD384="","",INDEX('#建筑消耗和buff配置索引'!BX:BX,MATCH($F384,'#建筑消耗和buff配置索引'!$M:$M,0)))</f>
        <v/>
      </c>
      <c r="BI384" s="133">
        <v>25</v>
      </c>
    </row>
    <row r="385" spans="1:66" s="133" customFormat="1">
      <c r="A385" s="133">
        <v>2290020</v>
      </c>
      <c r="B385" s="133">
        <v>382</v>
      </c>
      <c r="C385" s="133">
        <v>229</v>
      </c>
      <c r="D385" s="133" t="s">
        <v>515</v>
      </c>
      <c r="E385" s="133">
        <v>20</v>
      </c>
      <c r="F385" s="133" t="str">
        <f t="shared" si="7"/>
        <v>战争大厅20</v>
      </c>
      <c r="H385" s="146"/>
      <c r="I385" s="133">
        <v>3</v>
      </c>
      <c r="J385" s="150">
        <f>INDEX('#建筑消耗和buff配置索引'!AH:AH,MATCH($F385,'#建筑消耗和buff配置索引'!$M:$M,0))</f>
        <v>241920</v>
      </c>
      <c r="K385" s="150">
        <f>INDEX('#建筑消耗和buff配置索引'!AA:AA,MATCH($F385,'#建筑消耗和buff配置索引'!$M:$M,0))</f>
        <v>2000000</v>
      </c>
      <c r="L385" s="150">
        <f>INDEX('#建筑消耗和buff配置索引'!AB:AB,MATCH($F385,'#建筑消耗和buff配置索引'!$M:$M,0))</f>
        <v>3900000</v>
      </c>
      <c r="M385" s="150">
        <f>INDEX('#建筑消耗和buff配置索引'!AC:AC,MATCH($F385,'#建筑消耗和buff配置索引'!$M:$M,0))</f>
        <v>3900000</v>
      </c>
      <c r="N385" s="150">
        <f>INDEX('#建筑消耗和buff配置索引'!AD:AD,MATCH($F385,'#建筑消耗和buff配置索引'!$M:$M,0))</f>
        <v>3900000</v>
      </c>
      <c r="O385" s="150">
        <f>IF(INDEX('#建筑消耗和buff配置索引'!T:T,MATCH($F385,'#建筑消耗和buff配置索引'!$M:$M,0))=0,"",INDEX('#建筑消耗和buff配置索引'!T:T,MATCH($F385,'#建筑消耗和buff配置索引'!$M:$M,0)))</f>
        <v>2061</v>
      </c>
      <c r="P385" s="133">
        <f>IF(INDEX('#建筑消耗和buff配置索引'!U:U,MATCH($F385,'#建筑消耗和buff配置索引'!$M:$M,0))=0,"",INDEX('#建筑消耗和buff配置索引'!U:U,MATCH($F385,'#建筑消耗和buff配置索引'!$M:$M,0)))</f>
        <v>150</v>
      </c>
      <c r="Q385" s="133" t="str">
        <f>IF(INDEX('#建筑消耗和buff配置索引'!K:K,MATCH($F385,'#建筑消耗和buff配置索引'!$M:$M,0))=0,"",INDEX('#建筑消耗和buff配置索引'!K:K,MATCH($F385,'#建筑消耗和buff配置索引'!$M:$M,0)))</f>
        <v>201;230</v>
      </c>
      <c r="R385" s="133" t="str">
        <f>IF(INDEX('#建筑消耗和buff配置索引'!L:L,MATCH($F385,'#建筑消耗和buff配置索引'!$M:$M,0))=0,"",INDEX('#建筑消耗和buff配置索引'!L:L,MATCH($F385,'#建筑消耗和buff配置索引'!$M:$M,0)))</f>
        <v>20;20</v>
      </c>
      <c r="S385" s="133">
        <f>IF(INDEX('#建筑消耗和buff配置索引'!C:C,MATCH(F385,'#建筑消耗和buff配置索引'!M:M,0))=0,1,INDEX('#建筑消耗和buff配置索引'!C:C,MATCH(F385,'#建筑消耗和buff配置索引'!M:M,0)))</f>
        <v>3</v>
      </c>
      <c r="T385" s="133">
        <v>0</v>
      </c>
      <c r="U385" s="133">
        <v>0</v>
      </c>
      <c r="V385" s="133" t="str">
        <f>IF(E385=1,IF(INDEX('#建筑消耗和buff配置索引'!BY:BY,MATCH(D385,'#建筑消耗和buff配置索引'!A:A,0))=0,"",INDEX('#建筑消耗和buff配置索引'!BY:BY,MATCH(D385,'#建筑消耗和buff配置索引'!A:A,0))),"")</f>
        <v/>
      </c>
      <c r="W385" s="133" t="str">
        <f>IF(E385=1,IF(INDEX('#建筑消耗和buff配置索引'!BZ:BZ,MATCH(D385,'#建筑消耗和buff配置索引'!A:A,0))=0,"",INDEX('#建筑消耗和buff配置索引'!BZ:BZ,MATCH(D385,'#建筑消耗和buff配置索引'!A:A,0))),"")</f>
        <v/>
      </c>
      <c r="AA385" s="133">
        <f>INDEX('#建筑消耗和buff配置索引'!AO:AO,MATCH($F385,'#建筑消耗和buff配置索引'!$M:$M,0))</f>
        <v>118093</v>
      </c>
      <c r="AB385" s="133">
        <f>IF(INDEX('#建筑消耗和buff配置索引'!AR:AR,MATCH($F385,'#建筑消耗和buff配置索引'!$M:$M,0))=0,"",INDEX('#建筑消耗和buff配置索引'!AR:AR,MATCH($F385,'#建筑消耗和buff配置索引'!$M:$M,0)))</f>
        <v>1254</v>
      </c>
      <c r="AC385" s="133">
        <f>IF(AB385="","",INDEX('#建筑消耗和buff配置索引'!AS:AS,MATCH($F385,'#建筑消耗和buff配置索引'!$M:$M,0)))</f>
        <v>8460000</v>
      </c>
      <c r="AF385" s="133">
        <f>IF(INDEX('#建筑消耗和buff配置索引'!AW:AW,MATCH($F385,'#建筑消耗和buff配置索引'!$M:$M,0))=0,"",INDEX('#建筑消耗和buff配置索引'!AW:AW,MATCH($F385,'#建筑消耗和buff配置索引'!$M:$M,0)))</f>
        <v>10000401</v>
      </c>
      <c r="AG385" s="133">
        <f>IF(AF385="","",INDEX('#建筑消耗和buff配置索引'!AX:AX,MATCH($F385,'#建筑消耗和buff配置索引'!$M:$M,0)))</f>
        <v>900000</v>
      </c>
      <c r="AJ385" s="133" t="str">
        <f>IF(INDEX('#建筑消耗和buff配置索引'!BB:BB,MATCH($F385,'#建筑消耗和buff配置索引'!$M:$M,0))=0,"",INDEX('#建筑消耗和buff配置索引'!BB:BB,MATCH($F385,'#建筑消耗和buff配置索引'!$M:$M,0)))</f>
        <v/>
      </c>
      <c r="AK385" s="133" t="str">
        <f>IF(AJ385="","",INDEX('#建筑消耗和buff配置索引'!BC:BC,MATCH($F385,'#建筑消耗和buff配置索引'!$M:$M,0)))</f>
        <v/>
      </c>
      <c r="AN385" s="133" t="str">
        <f>IF(INDEX('#建筑消耗和buff配置索引'!BG:BG,MATCH($F385,'#建筑消耗和buff配置索引'!$M:$M,0))=0,"",INDEX('#建筑消耗和buff配置索引'!BG:BG,MATCH($F385,'#建筑消耗和buff配置索引'!$M:$M,0)))</f>
        <v/>
      </c>
      <c r="AO385" s="133" t="str">
        <f>IF(AN385="","",INDEX('#建筑消耗和buff配置索引'!BH:BH,MATCH($F385,'#建筑消耗和buff配置索引'!$M:$M,0)))</f>
        <v/>
      </c>
      <c r="AR385" s="133" t="str">
        <f>IF(INDEX('#建筑消耗和buff配置索引'!BK:BK,MATCH($F385,'#建筑消耗和buff配置索引'!$M:$M,0))=0,"",INDEX('#建筑消耗和buff配置索引'!BK:BK,MATCH($F385,'#建筑消耗和buff配置索引'!$M:$M,0)))</f>
        <v/>
      </c>
      <c r="AS385" s="133" t="str">
        <f>IF(AR385="","",INDEX('#建筑消耗和buff配置索引'!BL:BL,MATCH($F385,'#建筑消耗和buff配置索引'!$M:$M,0)))</f>
        <v/>
      </c>
      <c r="AV385" s="133" t="str">
        <f>IF(INDEX('#建筑消耗和buff配置索引'!BO:BO,MATCH($F385,'#建筑消耗和buff配置索引'!$M:$M,0))=0,"",INDEX('#建筑消耗和buff配置索引'!BO:BO,MATCH($F385,'#建筑消耗和buff配置索引'!$M:$M,0)))</f>
        <v/>
      </c>
      <c r="AW385" s="133" t="str">
        <f>IF(AV385="","",INDEX('#建筑消耗和buff配置索引'!BP:BP,MATCH($F385,'#建筑消耗和buff配置索引'!$M:$M,0)))</f>
        <v/>
      </c>
      <c r="AZ385" s="133" t="str">
        <f>IF(INDEX('#建筑消耗和buff配置索引'!BS:BS,MATCH($F385,'#建筑消耗和buff配置索引'!$M:$M,0))=0,"",INDEX('#建筑消耗和buff配置索引'!BS:BS,MATCH($F385,'#建筑消耗和buff配置索引'!$M:$M,0)))</f>
        <v/>
      </c>
      <c r="BA385" s="133" t="str">
        <f>IF(AZ385="","",INDEX('#建筑消耗和buff配置索引'!BT:BT,MATCH($F385,'#建筑消耗和buff配置索引'!$M:$M,0)))</f>
        <v/>
      </c>
      <c r="BD385" s="133" t="str">
        <f>IF(INDEX('#建筑消耗和buff配置索引'!BW:BW,MATCH($F385,'#建筑消耗和buff配置索引'!$M:$M,0))=0,"",INDEX('#建筑消耗和buff配置索引'!BW:BW,MATCH($F385,'#建筑消耗和buff配置索引'!$M:$M,0)))</f>
        <v/>
      </c>
      <c r="BE385" s="133" t="str">
        <f>IF(BD385="","",INDEX('#建筑消耗和buff配置索引'!BX:BX,MATCH($F385,'#建筑消耗和buff配置索引'!$M:$M,0)))</f>
        <v/>
      </c>
      <c r="BI385" s="133">
        <v>25</v>
      </c>
    </row>
    <row r="386" spans="1:66" s="133" customFormat="1">
      <c r="A386" s="133">
        <v>2290021</v>
      </c>
      <c r="B386" s="133">
        <v>383</v>
      </c>
      <c r="C386" s="133">
        <v>229</v>
      </c>
      <c r="D386" s="133" t="s">
        <v>515</v>
      </c>
      <c r="E386" s="133">
        <v>21</v>
      </c>
      <c r="F386" s="133" t="str">
        <f t="shared" si="7"/>
        <v>战争大厅21</v>
      </c>
      <c r="H386" s="146"/>
      <c r="I386" s="133">
        <v>3</v>
      </c>
      <c r="J386" s="150">
        <f>INDEX('#建筑消耗和buff配置索引'!AH:AH,MATCH($F386,'#建筑消耗和buff配置索引'!$M:$M,0))</f>
        <v>322560</v>
      </c>
      <c r="K386" s="150">
        <f>INDEX('#建筑消耗和buff配置索引'!AA:AA,MATCH($F386,'#建筑消耗和buff配置索引'!$M:$M,0))</f>
        <v>2500000</v>
      </c>
      <c r="L386" s="150">
        <f>INDEX('#建筑消耗和buff配置索引'!AB:AB,MATCH($F386,'#建筑消耗和buff配置索引'!$M:$M,0))</f>
        <v>5000000</v>
      </c>
      <c r="M386" s="150">
        <f>INDEX('#建筑消耗和buff配置索引'!AC:AC,MATCH($F386,'#建筑消耗和buff配置索引'!$M:$M,0))</f>
        <v>5000000</v>
      </c>
      <c r="N386" s="150">
        <f>INDEX('#建筑消耗和buff配置索引'!AD:AD,MATCH($F386,'#建筑消耗和buff配置索引'!$M:$M,0))</f>
        <v>5000000</v>
      </c>
      <c r="O386" s="150">
        <f>IF(INDEX('#建筑消耗和buff配置索引'!T:T,MATCH($F386,'#建筑消耗和buff配置索引'!$M:$M,0))=0,"",INDEX('#建筑消耗和buff配置索引'!T:T,MATCH($F386,'#建筑消耗和buff配置索引'!$M:$M,0)))</f>
        <v>2061</v>
      </c>
      <c r="P386" s="133">
        <f>IF(INDEX('#建筑消耗和buff配置索引'!U:U,MATCH($F386,'#建筑消耗和buff配置索引'!$M:$M,0))=0,"",INDEX('#建筑消耗和buff配置索引'!U:U,MATCH($F386,'#建筑消耗和buff配置索引'!$M:$M,0)))</f>
        <v>170</v>
      </c>
      <c r="Q386" s="133" t="str">
        <f>IF(INDEX('#建筑消耗和buff配置索引'!K:K,MATCH($F386,'#建筑消耗和buff配置索引'!$M:$M,0))=0,"",INDEX('#建筑消耗和buff配置索引'!K:K,MATCH($F386,'#建筑消耗和buff配置索引'!$M:$M,0)))</f>
        <v>201;230</v>
      </c>
      <c r="R386" s="133" t="str">
        <f>IF(INDEX('#建筑消耗和buff配置索引'!L:L,MATCH($F386,'#建筑消耗和buff配置索引'!$M:$M,0))=0,"",INDEX('#建筑消耗和buff配置索引'!L:L,MATCH($F386,'#建筑消耗和buff配置索引'!$M:$M,0)))</f>
        <v>21;21</v>
      </c>
      <c r="S386" s="133">
        <f>IF(INDEX('#建筑消耗和buff配置索引'!C:C,MATCH(F386,'#建筑消耗和buff配置索引'!M:M,0))=0,1,INDEX('#建筑消耗和buff配置索引'!C:C,MATCH(F386,'#建筑消耗和buff配置索引'!M:M,0)))</f>
        <v>3</v>
      </c>
      <c r="T386" s="133">
        <v>0</v>
      </c>
      <c r="U386" s="133">
        <v>0</v>
      </c>
      <c r="V386" s="133" t="str">
        <f>IF(E386=1,IF(INDEX('#建筑消耗和buff配置索引'!BY:BY,MATCH(D386,'#建筑消耗和buff配置索引'!A:A,0))=0,"",INDEX('#建筑消耗和buff配置索引'!BY:BY,MATCH(D386,'#建筑消耗和buff配置索引'!A:A,0))),"")</f>
        <v/>
      </c>
      <c r="W386" s="133" t="str">
        <f>IF(E386=1,IF(INDEX('#建筑消耗和buff配置索引'!BZ:BZ,MATCH(D386,'#建筑消耗和buff配置索引'!A:A,0))=0,"",INDEX('#建筑消耗和buff配置索引'!BZ:BZ,MATCH(D386,'#建筑消耗和buff配置索引'!A:A,0))),"")</f>
        <v/>
      </c>
      <c r="AA386" s="133">
        <f>INDEX('#建筑消耗和buff配置索引'!AO:AO,MATCH($F386,'#建筑消耗和buff配置索引'!$M:$M,0))</f>
        <v>153270</v>
      </c>
      <c r="AB386" s="133">
        <f>IF(INDEX('#建筑消耗和buff配置索引'!AR:AR,MATCH($F386,'#建筑消耗和buff配置索引'!$M:$M,0))=0,"",INDEX('#建筑消耗和buff配置索引'!AR:AR,MATCH($F386,'#建筑消耗和buff配置索引'!$M:$M,0)))</f>
        <v>1254</v>
      </c>
      <c r="AC386" s="133">
        <f>IF(AB386="","",INDEX('#建筑消耗和buff配置索引'!AS:AS,MATCH($F386,'#建筑消耗和buff配置索引'!$M:$M,0)))</f>
        <v>9460000</v>
      </c>
      <c r="AF386" s="133">
        <f>IF(INDEX('#建筑消耗和buff配置索引'!AW:AW,MATCH($F386,'#建筑消耗和buff配置索引'!$M:$M,0))=0,"",INDEX('#建筑消耗和buff配置索引'!AW:AW,MATCH($F386,'#建筑消耗和buff配置索引'!$M:$M,0)))</f>
        <v>10000401</v>
      </c>
      <c r="AG386" s="133">
        <f>IF(AF386="","",INDEX('#建筑消耗和buff配置索引'!AX:AX,MATCH($F386,'#建筑消耗和buff配置索引'!$M:$M,0)))</f>
        <v>980000</v>
      </c>
      <c r="AJ386" s="133" t="str">
        <f>IF(INDEX('#建筑消耗和buff配置索引'!BB:BB,MATCH($F386,'#建筑消耗和buff配置索引'!$M:$M,0))=0,"",INDEX('#建筑消耗和buff配置索引'!BB:BB,MATCH($F386,'#建筑消耗和buff配置索引'!$M:$M,0)))</f>
        <v/>
      </c>
      <c r="AK386" s="133" t="str">
        <f>IF(AJ386="","",INDEX('#建筑消耗和buff配置索引'!BC:BC,MATCH($F386,'#建筑消耗和buff配置索引'!$M:$M,0)))</f>
        <v/>
      </c>
      <c r="AN386" s="133" t="str">
        <f>IF(INDEX('#建筑消耗和buff配置索引'!BG:BG,MATCH($F386,'#建筑消耗和buff配置索引'!$M:$M,0))=0,"",INDEX('#建筑消耗和buff配置索引'!BG:BG,MATCH($F386,'#建筑消耗和buff配置索引'!$M:$M,0)))</f>
        <v/>
      </c>
      <c r="AO386" s="133" t="str">
        <f>IF(AN386="","",INDEX('#建筑消耗和buff配置索引'!BH:BH,MATCH($F386,'#建筑消耗和buff配置索引'!$M:$M,0)))</f>
        <v/>
      </c>
      <c r="AR386" s="133" t="str">
        <f>IF(INDEX('#建筑消耗和buff配置索引'!BK:BK,MATCH($F386,'#建筑消耗和buff配置索引'!$M:$M,0))=0,"",INDEX('#建筑消耗和buff配置索引'!BK:BK,MATCH($F386,'#建筑消耗和buff配置索引'!$M:$M,0)))</f>
        <v/>
      </c>
      <c r="AS386" s="133" t="str">
        <f>IF(AR386="","",INDEX('#建筑消耗和buff配置索引'!BL:BL,MATCH($F386,'#建筑消耗和buff配置索引'!$M:$M,0)))</f>
        <v/>
      </c>
      <c r="AV386" s="133" t="str">
        <f>IF(INDEX('#建筑消耗和buff配置索引'!BO:BO,MATCH($F386,'#建筑消耗和buff配置索引'!$M:$M,0))=0,"",INDEX('#建筑消耗和buff配置索引'!BO:BO,MATCH($F386,'#建筑消耗和buff配置索引'!$M:$M,0)))</f>
        <v/>
      </c>
      <c r="AW386" s="133" t="str">
        <f>IF(AV386="","",INDEX('#建筑消耗和buff配置索引'!BP:BP,MATCH($F386,'#建筑消耗和buff配置索引'!$M:$M,0)))</f>
        <v/>
      </c>
      <c r="AZ386" s="133" t="str">
        <f>IF(INDEX('#建筑消耗和buff配置索引'!BS:BS,MATCH($F386,'#建筑消耗和buff配置索引'!$M:$M,0))=0,"",INDEX('#建筑消耗和buff配置索引'!BS:BS,MATCH($F386,'#建筑消耗和buff配置索引'!$M:$M,0)))</f>
        <v/>
      </c>
      <c r="BA386" s="133" t="str">
        <f>IF(AZ386="","",INDEX('#建筑消耗和buff配置索引'!BT:BT,MATCH($F386,'#建筑消耗和buff配置索引'!$M:$M,0)))</f>
        <v/>
      </c>
      <c r="BD386" s="133" t="str">
        <f>IF(INDEX('#建筑消耗和buff配置索引'!BW:BW,MATCH($F386,'#建筑消耗和buff配置索引'!$M:$M,0))=0,"",INDEX('#建筑消耗和buff配置索引'!BW:BW,MATCH($F386,'#建筑消耗和buff配置索引'!$M:$M,0)))</f>
        <v/>
      </c>
      <c r="BE386" s="133" t="str">
        <f>IF(BD386="","",INDEX('#建筑消耗和buff配置索引'!BX:BX,MATCH($F386,'#建筑消耗和buff配置索引'!$M:$M,0)))</f>
        <v/>
      </c>
      <c r="BI386" s="133">
        <v>25</v>
      </c>
    </row>
    <row r="387" spans="1:66" s="133" customFormat="1">
      <c r="A387" s="133">
        <v>2290022</v>
      </c>
      <c r="B387" s="133">
        <v>384</v>
      </c>
      <c r="C387" s="133">
        <v>229</v>
      </c>
      <c r="D387" s="133" t="s">
        <v>515</v>
      </c>
      <c r="E387" s="133">
        <v>22</v>
      </c>
      <c r="F387" s="133" t="str">
        <f t="shared" si="7"/>
        <v>战争大厅22</v>
      </c>
      <c r="H387" s="146"/>
      <c r="I387" s="133">
        <v>3</v>
      </c>
      <c r="J387" s="150">
        <f>INDEX('#建筑消耗和buff配置索引'!AH:AH,MATCH($F387,'#建筑消耗和buff配置索引'!$M:$M,0))</f>
        <v>423360</v>
      </c>
      <c r="K387" s="150">
        <f>INDEX('#建筑消耗和buff配置索引'!AA:AA,MATCH($F387,'#建筑消耗和buff配置索引'!$M:$M,0))</f>
        <v>3200000</v>
      </c>
      <c r="L387" s="150">
        <f>INDEX('#建筑消耗和buff配置索引'!AB:AB,MATCH($F387,'#建筑消耗和buff配置索引'!$M:$M,0))</f>
        <v>6400000</v>
      </c>
      <c r="M387" s="150">
        <f>INDEX('#建筑消耗和buff配置索引'!AC:AC,MATCH($F387,'#建筑消耗和buff配置索引'!$M:$M,0))</f>
        <v>6400000</v>
      </c>
      <c r="N387" s="150">
        <f>INDEX('#建筑消耗和buff配置索引'!AD:AD,MATCH($F387,'#建筑消耗和buff配置索引'!$M:$M,0))</f>
        <v>6400000</v>
      </c>
      <c r="O387" s="150">
        <f>IF(INDEX('#建筑消耗和buff配置索引'!T:T,MATCH($F387,'#建筑消耗和buff配置索引'!$M:$M,0))=0,"",INDEX('#建筑消耗和buff配置索引'!T:T,MATCH($F387,'#建筑消耗和buff配置索引'!$M:$M,0)))</f>
        <v>2061</v>
      </c>
      <c r="P387" s="133">
        <f>IF(INDEX('#建筑消耗和buff配置索引'!U:U,MATCH($F387,'#建筑消耗和buff配置索引'!$M:$M,0))=0,"",INDEX('#建筑消耗和buff配置索引'!U:U,MATCH($F387,'#建筑消耗和buff配置索引'!$M:$M,0)))</f>
        <v>185</v>
      </c>
      <c r="Q387" s="133" t="str">
        <f>IF(INDEX('#建筑消耗和buff配置索引'!K:K,MATCH($F387,'#建筑消耗和buff配置索引'!$M:$M,0))=0,"",INDEX('#建筑消耗和buff配置索引'!K:K,MATCH($F387,'#建筑消耗和buff配置索引'!$M:$M,0)))</f>
        <v>201;230</v>
      </c>
      <c r="R387" s="133" t="str">
        <f>IF(INDEX('#建筑消耗和buff配置索引'!L:L,MATCH($F387,'#建筑消耗和buff配置索引'!$M:$M,0))=0,"",INDEX('#建筑消耗和buff配置索引'!L:L,MATCH($F387,'#建筑消耗和buff配置索引'!$M:$M,0)))</f>
        <v>22;22</v>
      </c>
      <c r="S387" s="133">
        <f>IF(INDEX('#建筑消耗和buff配置索引'!C:C,MATCH(F387,'#建筑消耗和buff配置索引'!M:M,0))=0,1,INDEX('#建筑消耗和buff配置索引'!C:C,MATCH(F387,'#建筑消耗和buff配置索引'!M:M,0)))</f>
        <v>3</v>
      </c>
      <c r="T387" s="133">
        <v>0</v>
      </c>
      <c r="U387" s="133">
        <v>0</v>
      </c>
      <c r="V387" s="133" t="str">
        <f>IF(E387=1,IF(INDEX('#建筑消耗和buff配置索引'!BY:BY,MATCH(D387,'#建筑消耗和buff配置索引'!A:A,0))=0,"",INDEX('#建筑消耗和buff配置索引'!BY:BY,MATCH(D387,'#建筑消耗和buff配置索引'!A:A,0))),"")</f>
        <v/>
      </c>
      <c r="W387" s="133" t="str">
        <f>IF(E387=1,IF(INDEX('#建筑消耗和buff配置索引'!BZ:BZ,MATCH(D387,'#建筑消耗和buff配置索引'!A:A,0))=0,"",INDEX('#建筑消耗和buff配置索引'!BZ:BZ,MATCH(D387,'#建筑消耗和buff配置索引'!A:A,0))),"")</f>
        <v/>
      </c>
      <c r="AA387" s="133">
        <f>INDEX('#建筑消耗和buff配置索引'!AO:AO,MATCH($F387,'#建筑消耗和buff配置索引'!$M:$M,0))</f>
        <v>198296</v>
      </c>
      <c r="AB387" s="133">
        <f>IF(INDEX('#建筑消耗和buff配置索引'!AR:AR,MATCH($F387,'#建筑消耗和buff配置索引'!$M:$M,0))=0,"",INDEX('#建筑消耗和buff配置索引'!AR:AR,MATCH($F387,'#建筑消耗和buff配置索引'!$M:$M,0)))</f>
        <v>1254</v>
      </c>
      <c r="AC387" s="133">
        <f>IF(AB387="","",INDEX('#建筑消耗和buff配置索引'!AS:AS,MATCH($F387,'#建筑消耗和buff配置索引'!$M:$M,0)))</f>
        <v>10480000</v>
      </c>
      <c r="AF387" s="133">
        <f>IF(INDEX('#建筑消耗和buff配置索引'!AW:AW,MATCH($F387,'#建筑消耗和buff配置索引'!$M:$M,0))=0,"",INDEX('#建筑消耗和buff配置索引'!AW:AW,MATCH($F387,'#建筑消耗和buff配置索引'!$M:$M,0)))</f>
        <v>10000401</v>
      </c>
      <c r="AG387" s="133">
        <f>IF(AF387="","",INDEX('#建筑消耗和buff配置索引'!AX:AX,MATCH($F387,'#建筑消耗和buff配置索引'!$M:$M,0)))</f>
        <v>1060000</v>
      </c>
      <c r="AJ387" s="133" t="str">
        <f>IF(INDEX('#建筑消耗和buff配置索引'!BB:BB,MATCH($F387,'#建筑消耗和buff配置索引'!$M:$M,0))=0,"",INDEX('#建筑消耗和buff配置索引'!BB:BB,MATCH($F387,'#建筑消耗和buff配置索引'!$M:$M,0)))</f>
        <v/>
      </c>
      <c r="AK387" s="133" t="str">
        <f>IF(AJ387="","",INDEX('#建筑消耗和buff配置索引'!BC:BC,MATCH($F387,'#建筑消耗和buff配置索引'!$M:$M,0)))</f>
        <v/>
      </c>
      <c r="AN387" s="133" t="str">
        <f>IF(INDEX('#建筑消耗和buff配置索引'!BG:BG,MATCH($F387,'#建筑消耗和buff配置索引'!$M:$M,0))=0,"",INDEX('#建筑消耗和buff配置索引'!BG:BG,MATCH($F387,'#建筑消耗和buff配置索引'!$M:$M,0)))</f>
        <v/>
      </c>
      <c r="AO387" s="133" t="str">
        <f>IF(AN387="","",INDEX('#建筑消耗和buff配置索引'!BH:BH,MATCH($F387,'#建筑消耗和buff配置索引'!$M:$M,0)))</f>
        <v/>
      </c>
      <c r="AR387" s="133" t="str">
        <f>IF(INDEX('#建筑消耗和buff配置索引'!BK:BK,MATCH($F387,'#建筑消耗和buff配置索引'!$M:$M,0))=0,"",INDEX('#建筑消耗和buff配置索引'!BK:BK,MATCH($F387,'#建筑消耗和buff配置索引'!$M:$M,0)))</f>
        <v/>
      </c>
      <c r="AS387" s="133" t="str">
        <f>IF(AR387="","",INDEX('#建筑消耗和buff配置索引'!BL:BL,MATCH($F387,'#建筑消耗和buff配置索引'!$M:$M,0)))</f>
        <v/>
      </c>
      <c r="AV387" s="133" t="str">
        <f>IF(INDEX('#建筑消耗和buff配置索引'!BO:BO,MATCH($F387,'#建筑消耗和buff配置索引'!$M:$M,0))=0,"",INDEX('#建筑消耗和buff配置索引'!BO:BO,MATCH($F387,'#建筑消耗和buff配置索引'!$M:$M,0)))</f>
        <v/>
      </c>
      <c r="AW387" s="133" t="str">
        <f>IF(AV387="","",INDEX('#建筑消耗和buff配置索引'!BP:BP,MATCH($F387,'#建筑消耗和buff配置索引'!$M:$M,0)))</f>
        <v/>
      </c>
      <c r="AZ387" s="133" t="str">
        <f>IF(INDEX('#建筑消耗和buff配置索引'!BS:BS,MATCH($F387,'#建筑消耗和buff配置索引'!$M:$M,0))=0,"",INDEX('#建筑消耗和buff配置索引'!BS:BS,MATCH($F387,'#建筑消耗和buff配置索引'!$M:$M,0)))</f>
        <v/>
      </c>
      <c r="BA387" s="133" t="str">
        <f>IF(AZ387="","",INDEX('#建筑消耗和buff配置索引'!BT:BT,MATCH($F387,'#建筑消耗和buff配置索引'!$M:$M,0)))</f>
        <v/>
      </c>
      <c r="BD387" s="133" t="str">
        <f>IF(INDEX('#建筑消耗和buff配置索引'!BW:BW,MATCH($F387,'#建筑消耗和buff配置索引'!$M:$M,0))=0,"",INDEX('#建筑消耗和buff配置索引'!BW:BW,MATCH($F387,'#建筑消耗和buff配置索引'!$M:$M,0)))</f>
        <v/>
      </c>
      <c r="BE387" s="133" t="str">
        <f>IF(BD387="","",INDEX('#建筑消耗和buff配置索引'!BX:BX,MATCH($F387,'#建筑消耗和buff配置索引'!$M:$M,0)))</f>
        <v/>
      </c>
      <c r="BI387" s="133">
        <v>25</v>
      </c>
    </row>
    <row r="388" spans="1:66" s="133" customFormat="1">
      <c r="A388" s="133">
        <v>2290023</v>
      </c>
      <c r="B388" s="133">
        <v>385</v>
      </c>
      <c r="C388" s="133">
        <v>229</v>
      </c>
      <c r="D388" s="133" t="s">
        <v>515</v>
      </c>
      <c r="E388" s="133">
        <v>23</v>
      </c>
      <c r="F388" s="133" t="str">
        <f t="shared" si="7"/>
        <v>战争大厅23</v>
      </c>
      <c r="H388" s="146"/>
      <c r="I388" s="133">
        <v>3</v>
      </c>
      <c r="J388" s="150">
        <f>INDEX('#建筑消耗和buff配置索引'!AH:AH,MATCH($F388,'#建筑消耗和buff配置索引'!$M:$M,0))</f>
        <v>544320</v>
      </c>
      <c r="K388" s="150">
        <f>INDEX('#建筑消耗和buff配置索引'!AA:AA,MATCH($F388,'#建筑消耗和buff配置索引'!$M:$M,0))</f>
        <v>4100000</v>
      </c>
      <c r="L388" s="150">
        <f>INDEX('#建筑消耗和buff配置索引'!AB:AB,MATCH($F388,'#建筑消耗和buff配置索引'!$M:$M,0))</f>
        <v>8200000</v>
      </c>
      <c r="M388" s="150">
        <f>INDEX('#建筑消耗和buff配置索引'!AC:AC,MATCH($F388,'#建筑消耗和buff配置索引'!$M:$M,0))</f>
        <v>8200000</v>
      </c>
      <c r="N388" s="150">
        <f>INDEX('#建筑消耗和buff配置索引'!AD:AD,MATCH($F388,'#建筑消耗和buff配置索引'!$M:$M,0))</f>
        <v>8200000</v>
      </c>
      <c r="O388" s="150">
        <f>IF(INDEX('#建筑消耗和buff配置索引'!T:T,MATCH($F388,'#建筑消耗和buff配置索引'!$M:$M,0))=0,"",INDEX('#建筑消耗和buff配置索引'!T:T,MATCH($F388,'#建筑消耗和buff配置索引'!$M:$M,0)))</f>
        <v>2061</v>
      </c>
      <c r="P388" s="133">
        <f>IF(INDEX('#建筑消耗和buff配置索引'!U:U,MATCH($F388,'#建筑消耗和buff配置索引'!$M:$M,0))=0,"",INDEX('#建筑消耗和buff配置索引'!U:U,MATCH($F388,'#建筑消耗和buff配置索引'!$M:$M,0)))</f>
        <v>205</v>
      </c>
      <c r="Q388" s="133" t="str">
        <f>IF(INDEX('#建筑消耗和buff配置索引'!K:K,MATCH($F388,'#建筑消耗和buff配置索引'!$M:$M,0))=0,"",INDEX('#建筑消耗和buff配置索引'!K:K,MATCH($F388,'#建筑消耗和buff配置索引'!$M:$M,0)))</f>
        <v>201;230</v>
      </c>
      <c r="R388" s="133" t="str">
        <f>IF(INDEX('#建筑消耗和buff配置索引'!L:L,MATCH($F388,'#建筑消耗和buff配置索引'!$M:$M,0))=0,"",INDEX('#建筑消耗和buff配置索引'!L:L,MATCH($F388,'#建筑消耗和buff配置索引'!$M:$M,0)))</f>
        <v>23;23</v>
      </c>
      <c r="S388" s="133">
        <f>IF(INDEX('#建筑消耗和buff配置索引'!C:C,MATCH(F388,'#建筑消耗和buff配置索引'!M:M,0))=0,1,INDEX('#建筑消耗和buff配置索引'!C:C,MATCH(F388,'#建筑消耗和buff配置索引'!M:M,0)))</f>
        <v>3</v>
      </c>
      <c r="T388" s="133">
        <v>0</v>
      </c>
      <c r="U388" s="133">
        <v>0</v>
      </c>
      <c r="V388" s="133" t="str">
        <f>IF(E388=1,IF(INDEX('#建筑消耗和buff配置索引'!BY:BY,MATCH(D388,'#建筑消耗和buff配置索引'!A:A,0))=0,"",INDEX('#建筑消耗和buff配置索引'!BY:BY,MATCH(D388,'#建筑消耗和buff配置索引'!A:A,0))),"")</f>
        <v/>
      </c>
      <c r="W388" s="133" t="str">
        <f>IF(E388=1,IF(INDEX('#建筑消耗和buff配置索引'!BZ:BZ,MATCH(D388,'#建筑消耗和buff配置索引'!A:A,0))=0,"",INDEX('#建筑消耗和buff配置索引'!BZ:BZ,MATCH(D388,'#建筑消耗和buff配置索引'!A:A,0))),"")</f>
        <v/>
      </c>
      <c r="AA388" s="133">
        <f>INDEX('#建筑消耗和buff配置索引'!AO:AO,MATCH($F388,'#建筑消耗和buff配置索引'!$M:$M,0))</f>
        <v>255929</v>
      </c>
      <c r="AB388" s="133">
        <f>IF(INDEX('#建筑消耗和buff配置索引'!AR:AR,MATCH($F388,'#建筑消耗和buff配置索引'!$M:$M,0))=0,"",INDEX('#建筑消耗和buff配置索引'!AR:AR,MATCH($F388,'#建筑消耗和buff配置索引'!$M:$M,0)))</f>
        <v>1254</v>
      </c>
      <c r="AC388" s="133">
        <f>IF(AB388="","",INDEX('#建筑消耗和buff配置索引'!AS:AS,MATCH($F388,'#建筑消耗和buff配置索引'!$M:$M,0)))</f>
        <v>11520000</v>
      </c>
      <c r="AF388" s="133">
        <f>IF(INDEX('#建筑消耗和buff配置索引'!AW:AW,MATCH($F388,'#建筑消耗和buff配置索引'!$M:$M,0))=0,"",INDEX('#建筑消耗和buff配置索引'!AW:AW,MATCH($F388,'#建筑消耗和buff配置索引'!$M:$M,0)))</f>
        <v>10000401</v>
      </c>
      <c r="AG388" s="133">
        <f>IF(AF388="","",INDEX('#建筑消耗和buff配置索引'!AX:AX,MATCH($F388,'#建筑消耗和buff配置索引'!$M:$M,0)))</f>
        <v>1140000</v>
      </c>
      <c r="AJ388" s="133" t="str">
        <f>IF(INDEX('#建筑消耗和buff配置索引'!BB:BB,MATCH($F388,'#建筑消耗和buff配置索引'!$M:$M,0))=0,"",INDEX('#建筑消耗和buff配置索引'!BB:BB,MATCH($F388,'#建筑消耗和buff配置索引'!$M:$M,0)))</f>
        <v/>
      </c>
      <c r="AK388" s="133" t="str">
        <f>IF(AJ388="","",INDEX('#建筑消耗和buff配置索引'!BC:BC,MATCH($F388,'#建筑消耗和buff配置索引'!$M:$M,0)))</f>
        <v/>
      </c>
      <c r="AN388" s="133" t="str">
        <f>IF(INDEX('#建筑消耗和buff配置索引'!BG:BG,MATCH($F388,'#建筑消耗和buff配置索引'!$M:$M,0))=0,"",INDEX('#建筑消耗和buff配置索引'!BG:BG,MATCH($F388,'#建筑消耗和buff配置索引'!$M:$M,0)))</f>
        <v/>
      </c>
      <c r="AO388" s="133" t="str">
        <f>IF(AN388="","",INDEX('#建筑消耗和buff配置索引'!BH:BH,MATCH($F388,'#建筑消耗和buff配置索引'!$M:$M,0)))</f>
        <v/>
      </c>
      <c r="AR388" s="133" t="str">
        <f>IF(INDEX('#建筑消耗和buff配置索引'!BK:BK,MATCH($F388,'#建筑消耗和buff配置索引'!$M:$M,0))=0,"",INDEX('#建筑消耗和buff配置索引'!BK:BK,MATCH($F388,'#建筑消耗和buff配置索引'!$M:$M,0)))</f>
        <v/>
      </c>
      <c r="AS388" s="133" t="str">
        <f>IF(AR388="","",INDEX('#建筑消耗和buff配置索引'!BL:BL,MATCH($F388,'#建筑消耗和buff配置索引'!$M:$M,0)))</f>
        <v/>
      </c>
      <c r="AV388" s="133" t="str">
        <f>IF(INDEX('#建筑消耗和buff配置索引'!BO:BO,MATCH($F388,'#建筑消耗和buff配置索引'!$M:$M,0))=0,"",INDEX('#建筑消耗和buff配置索引'!BO:BO,MATCH($F388,'#建筑消耗和buff配置索引'!$M:$M,0)))</f>
        <v/>
      </c>
      <c r="AW388" s="133" t="str">
        <f>IF(AV388="","",INDEX('#建筑消耗和buff配置索引'!BP:BP,MATCH($F388,'#建筑消耗和buff配置索引'!$M:$M,0)))</f>
        <v/>
      </c>
      <c r="AZ388" s="133" t="str">
        <f>IF(INDEX('#建筑消耗和buff配置索引'!BS:BS,MATCH($F388,'#建筑消耗和buff配置索引'!$M:$M,0))=0,"",INDEX('#建筑消耗和buff配置索引'!BS:BS,MATCH($F388,'#建筑消耗和buff配置索引'!$M:$M,0)))</f>
        <v/>
      </c>
      <c r="BA388" s="133" t="str">
        <f>IF(AZ388="","",INDEX('#建筑消耗和buff配置索引'!BT:BT,MATCH($F388,'#建筑消耗和buff配置索引'!$M:$M,0)))</f>
        <v/>
      </c>
      <c r="BD388" s="133" t="str">
        <f>IF(INDEX('#建筑消耗和buff配置索引'!BW:BW,MATCH($F388,'#建筑消耗和buff配置索引'!$M:$M,0))=0,"",INDEX('#建筑消耗和buff配置索引'!BW:BW,MATCH($F388,'#建筑消耗和buff配置索引'!$M:$M,0)))</f>
        <v/>
      </c>
      <c r="BE388" s="133" t="str">
        <f>IF(BD388="","",INDEX('#建筑消耗和buff配置索引'!BX:BX,MATCH($F388,'#建筑消耗和buff配置索引'!$M:$M,0)))</f>
        <v/>
      </c>
      <c r="BI388" s="133">
        <v>25</v>
      </c>
    </row>
    <row r="389" spans="1:66" s="133" customFormat="1">
      <c r="A389" s="133">
        <v>2290024</v>
      </c>
      <c r="B389" s="133">
        <v>386</v>
      </c>
      <c r="C389" s="133">
        <v>229</v>
      </c>
      <c r="D389" s="133" t="s">
        <v>515</v>
      </c>
      <c r="E389" s="133">
        <v>24</v>
      </c>
      <c r="F389" s="133" t="str">
        <f t="shared" si="7"/>
        <v>战争大厅24</v>
      </c>
      <c r="H389" s="146"/>
      <c r="I389" s="133">
        <v>3</v>
      </c>
      <c r="J389" s="150">
        <f>INDEX('#建筑消耗和buff配置索引'!AH:AH,MATCH($F389,'#建筑消耗和buff配置索引'!$M:$M,0))</f>
        <v>695520</v>
      </c>
      <c r="K389" s="150">
        <f>INDEX('#建筑消耗和buff配置索引'!AA:AA,MATCH($F389,'#建筑消耗和buff配置索引'!$M:$M,0))</f>
        <v>5300000</v>
      </c>
      <c r="L389" s="150">
        <f>INDEX('#建筑消耗和buff配置索引'!AB:AB,MATCH($F389,'#建筑消耗和buff配置索引'!$M:$M,0))</f>
        <v>11000000</v>
      </c>
      <c r="M389" s="150">
        <f>INDEX('#建筑消耗和buff配置索引'!AC:AC,MATCH($F389,'#建筑消耗和buff配置索引'!$M:$M,0))</f>
        <v>11000000</v>
      </c>
      <c r="N389" s="150">
        <f>INDEX('#建筑消耗和buff配置索引'!AD:AD,MATCH($F389,'#建筑消耗和buff配置索引'!$M:$M,0))</f>
        <v>11000000</v>
      </c>
      <c r="O389" s="150">
        <f>IF(INDEX('#建筑消耗和buff配置索引'!T:T,MATCH($F389,'#建筑消耗和buff配置索引'!$M:$M,0))=0,"",INDEX('#建筑消耗和buff配置索引'!T:T,MATCH($F389,'#建筑消耗和buff配置索引'!$M:$M,0)))</f>
        <v>2061</v>
      </c>
      <c r="P389" s="133">
        <f>IF(INDEX('#建筑消耗和buff配置索引'!U:U,MATCH($F389,'#建筑消耗和buff配置索引'!$M:$M,0))=0,"",INDEX('#建筑消耗和buff配置索引'!U:U,MATCH($F389,'#建筑消耗和buff配置索引'!$M:$M,0)))</f>
        <v>225</v>
      </c>
      <c r="Q389" s="133" t="str">
        <f>IF(INDEX('#建筑消耗和buff配置索引'!K:K,MATCH($F389,'#建筑消耗和buff配置索引'!$M:$M,0))=0,"",INDEX('#建筑消耗和buff配置索引'!K:K,MATCH($F389,'#建筑消耗和buff配置索引'!$M:$M,0)))</f>
        <v>201;230</v>
      </c>
      <c r="R389" s="133" t="str">
        <f>IF(INDEX('#建筑消耗和buff配置索引'!L:L,MATCH($F389,'#建筑消耗和buff配置索引'!$M:$M,0))=0,"",INDEX('#建筑消耗和buff配置索引'!L:L,MATCH($F389,'#建筑消耗和buff配置索引'!$M:$M,0)))</f>
        <v>24;24</v>
      </c>
      <c r="S389" s="133">
        <f>IF(INDEX('#建筑消耗和buff配置索引'!C:C,MATCH(F389,'#建筑消耗和buff配置索引'!M:M,0))=0,1,INDEX('#建筑消耗和buff配置索引'!C:C,MATCH(F389,'#建筑消耗和buff配置索引'!M:M,0)))</f>
        <v>3</v>
      </c>
      <c r="T389" s="133">
        <v>0</v>
      </c>
      <c r="U389" s="133">
        <v>0</v>
      </c>
      <c r="V389" s="133" t="str">
        <f>IF(E389=1,IF(INDEX('#建筑消耗和buff配置索引'!BY:BY,MATCH(D389,'#建筑消耗和buff配置索引'!A:A,0))=0,"",INDEX('#建筑消耗和buff配置索引'!BY:BY,MATCH(D389,'#建筑消耗和buff配置索引'!A:A,0))),"")</f>
        <v/>
      </c>
      <c r="W389" s="133" t="str">
        <f>IF(E389=1,IF(INDEX('#建筑消耗和buff配置索引'!BZ:BZ,MATCH(D389,'#建筑消耗和buff配置索引'!A:A,0))=0,"",INDEX('#建筑消耗和buff配置索引'!BZ:BZ,MATCH(D389,'#建筑消耗和buff配置索引'!A:A,0))),"")</f>
        <v/>
      </c>
      <c r="AA389" s="133">
        <f>INDEX('#建筑消耗和buff配置索引'!AO:AO,MATCH($F389,'#建筑消耗和buff配置索引'!$M:$M,0))</f>
        <v>329700</v>
      </c>
      <c r="AB389" s="133">
        <f>IF(INDEX('#建筑消耗和buff配置索引'!AR:AR,MATCH($F389,'#建筑消耗和buff配置索引'!$M:$M,0))=0,"",INDEX('#建筑消耗和buff配置索引'!AR:AR,MATCH($F389,'#建筑消耗和buff配置索引'!$M:$M,0)))</f>
        <v>1254</v>
      </c>
      <c r="AC389" s="133">
        <f>IF(AB389="","",INDEX('#建筑消耗和buff配置索引'!AS:AS,MATCH($F389,'#建筑消耗和buff配置索引'!$M:$M,0)))</f>
        <v>12580000</v>
      </c>
      <c r="AF389" s="133">
        <f>IF(INDEX('#建筑消耗和buff配置索引'!AW:AW,MATCH($F389,'#建筑消耗和buff配置索引'!$M:$M,0))=0,"",INDEX('#建筑消耗和buff配置索引'!AW:AW,MATCH($F389,'#建筑消耗和buff配置索引'!$M:$M,0)))</f>
        <v>10000401</v>
      </c>
      <c r="AG389" s="133">
        <f>IF(AF389="","",INDEX('#建筑消耗和buff配置索引'!AX:AX,MATCH($F389,'#建筑消耗和buff配置索引'!$M:$M,0)))</f>
        <v>1220000</v>
      </c>
      <c r="AJ389" s="133" t="str">
        <f>IF(INDEX('#建筑消耗和buff配置索引'!BB:BB,MATCH($F389,'#建筑消耗和buff配置索引'!$M:$M,0))=0,"",INDEX('#建筑消耗和buff配置索引'!BB:BB,MATCH($F389,'#建筑消耗和buff配置索引'!$M:$M,0)))</f>
        <v/>
      </c>
      <c r="AK389" s="133" t="str">
        <f>IF(AJ389="","",INDEX('#建筑消耗和buff配置索引'!BC:BC,MATCH($F389,'#建筑消耗和buff配置索引'!$M:$M,0)))</f>
        <v/>
      </c>
      <c r="AN389" s="133" t="str">
        <f>IF(INDEX('#建筑消耗和buff配置索引'!BG:BG,MATCH($F389,'#建筑消耗和buff配置索引'!$M:$M,0))=0,"",INDEX('#建筑消耗和buff配置索引'!BG:BG,MATCH($F389,'#建筑消耗和buff配置索引'!$M:$M,0)))</f>
        <v/>
      </c>
      <c r="AO389" s="133" t="str">
        <f>IF(AN389="","",INDEX('#建筑消耗和buff配置索引'!BH:BH,MATCH($F389,'#建筑消耗和buff配置索引'!$M:$M,0)))</f>
        <v/>
      </c>
      <c r="AR389" s="133" t="str">
        <f>IF(INDEX('#建筑消耗和buff配置索引'!BK:BK,MATCH($F389,'#建筑消耗和buff配置索引'!$M:$M,0))=0,"",INDEX('#建筑消耗和buff配置索引'!BK:BK,MATCH($F389,'#建筑消耗和buff配置索引'!$M:$M,0)))</f>
        <v/>
      </c>
      <c r="AS389" s="133" t="str">
        <f>IF(AR389="","",INDEX('#建筑消耗和buff配置索引'!BL:BL,MATCH($F389,'#建筑消耗和buff配置索引'!$M:$M,0)))</f>
        <v/>
      </c>
      <c r="AV389" s="133" t="str">
        <f>IF(INDEX('#建筑消耗和buff配置索引'!BO:BO,MATCH($F389,'#建筑消耗和buff配置索引'!$M:$M,0))=0,"",INDEX('#建筑消耗和buff配置索引'!BO:BO,MATCH($F389,'#建筑消耗和buff配置索引'!$M:$M,0)))</f>
        <v/>
      </c>
      <c r="AW389" s="133" t="str">
        <f>IF(AV389="","",INDEX('#建筑消耗和buff配置索引'!BP:BP,MATCH($F389,'#建筑消耗和buff配置索引'!$M:$M,0)))</f>
        <v/>
      </c>
      <c r="AZ389" s="133" t="str">
        <f>IF(INDEX('#建筑消耗和buff配置索引'!BS:BS,MATCH($F389,'#建筑消耗和buff配置索引'!$M:$M,0))=0,"",INDEX('#建筑消耗和buff配置索引'!BS:BS,MATCH($F389,'#建筑消耗和buff配置索引'!$M:$M,0)))</f>
        <v/>
      </c>
      <c r="BA389" s="133" t="str">
        <f>IF(AZ389="","",INDEX('#建筑消耗和buff配置索引'!BT:BT,MATCH($F389,'#建筑消耗和buff配置索引'!$M:$M,0)))</f>
        <v/>
      </c>
      <c r="BD389" s="133" t="str">
        <f>IF(INDEX('#建筑消耗和buff配置索引'!BW:BW,MATCH($F389,'#建筑消耗和buff配置索引'!$M:$M,0))=0,"",INDEX('#建筑消耗和buff配置索引'!BW:BW,MATCH($F389,'#建筑消耗和buff配置索引'!$M:$M,0)))</f>
        <v/>
      </c>
      <c r="BE389" s="133" t="str">
        <f>IF(BD389="","",INDEX('#建筑消耗和buff配置索引'!BX:BX,MATCH($F389,'#建筑消耗和buff配置索引'!$M:$M,0)))</f>
        <v/>
      </c>
      <c r="BI389" s="133">
        <v>25</v>
      </c>
    </row>
    <row r="390" spans="1:66" s="133" customFormat="1">
      <c r="A390" s="133">
        <v>2290025</v>
      </c>
      <c r="B390" s="133">
        <v>387</v>
      </c>
      <c r="C390" s="133">
        <v>229</v>
      </c>
      <c r="D390" s="133" t="s">
        <v>515</v>
      </c>
      <c r="E390" s="133">
        <v>25</v>
      </c>
      <c r="F390" s="133" t="str">
        <f t="shared" si="7"/>
        <v>战争大厅25</v>
      </c>
      <c r="H390" s="146"/>
      <c r="I390" s="133">
        <v>3</v>
      </c>
      <c r="J390" s="150">
        <f>INDEX('#建筑消耗和buff配置索引'!AH:AH,MATCH($F390,'#建筑消耗和buff配置索引'!$M:$M,0))</f>
        <v>876960</v>
      </c>
      <c r="K390" s="150">
        <f>INDEX('#建筑消耗和buff配置索引'!AA:AA,MATCH($F390,'#建筑消耗和buff配置索引'!$M:$M,0))</f>
        <v>6700000</v>
      </c>
      <c r="L390" s="150">
        <f>INDEX('#建筑消耗和buff配置索引'!AB:AB,MATCH($F390,'#建筑消耗和buff配置索引'!$M:$M,0))</f>
        <v>13000000</v>
      </c>
      <c r="M390" s="150">
        <f>INDEX('#建筑消耗和buff配置索引'!AC:AC,MATCH($F390,'#建筑消耗和buff配置索引'!$M:$M,0))</f>
        <v>13000000</v>
      </c>
      <c r="N390" s="150">
        <f>INDEX('#建筑消耗和buff配置索引'!AD:AD,MATCH($F390,'#建筑消耗和buff配置索引'!$M:$M,0))</f>
        <v>13000000</v>
      </c>
      <c r="O390" s="150">
        <f>IF(INDEX('#建筑消耗和buff配置索引'!T:T,MATCH($F390,'#建筑消耗和buff配置索引'!$M:$M,0))=0,"",INDEX('#建筑消耗和buff配置索引'!T:T,MATCH($F390,'#建筑消耗和buff配置索引'!$M:$M,0)))</f>
        <v>2061</v>
      </c>
      <c r="P390" s="133">
        <f>IF(INDEX('#建筑消耗和buff配置索引'!U:U,MATCH($F390,'#建筑消耗和buff配置索引'!$M:$M,0))=0,"",INDEX('#建筑消耗和buff配置索引'!U:U,MATCH($F390,'#建筑消耗和buff配置索引'!$M:$M,0)))</f>
        <v>245</v>
      </c>
      <c r="Q390" s="133" t="str">
        <f>IF(INDEX('#建筑消耗和buff配置索引'!K:K,MATCH($F390,'#建筑消耗和buff配置索引'!$M:$M,0))=0,"",INDEX('#建筑消耗和buff配置索引'!K:K,MATCH($F390,'#建筑消耗和buff配置索引'!$M:$M,0)))</f>
        <v>201;230</v>
      </c>
      <c r="R390" s="133" t="str">
        <f>IF(INDEX('#建筑消耗和buff配置索引'!L:L,MATCH($F390,'#建筑消耗和buff配置索引'!$M:$M,0))=0,"",INDEX('#建筑消耗和buff配置索引'!L:L,MATCH($F390,'#建筑消耗和buff配置索引'!$M:$M,0)))</f>
        <v>25;25</v>
      </c>
      <c r="S390" s="133">
        <f>IF(INDEX('#建筑消耗和buff配置索引'!C:C,MATCH(F390,'#建筑消耗和buff配置索引'!M:M,0))=0,1,INDEX('#建筑消耗和buff配置索引'!C:C,MATCH(F390,'#建筑消耗和buff配置索引'!M:M,0)))</f>
        <v>3</v>
      </c>
      <c r="T390" s="133">
        <v>0</v>
      </c>
      <c r="U390" s="133">
        <v>0</v>
      </c>
      <c r="V390" s="133" t="str">
        <f>IF(E390=1,IF(INDEX('#建筑消耗和buff配置索引'!BY:BY,MATCH(D390,'#建筑消耗和buff配置索引'!A:A,0))=0,"",INDEX('#建筑消耗和buff配置索引'!BY:BY,MATCH(D390,'#建筑消耗和buff配置索引'!A:A,0))),"")</f>
        <v/>
      </c>
      <c r="W390" s="133" t="str">
        <f>IF(E390=1,IF(INDEX('#建筑消耗和buff配置索引'!BZ:BZ,MATCH(D390,'#建筑消耗和buff配置索引'!A:A,0))=0,"",INDEX('#建筑消耗和buff配置索引'!BZ:BZ,MATCH(D390,'#建筑消耗和buff配置索引'!A:A,0))),"")</f>
        <v/>
      </c>
      <c r="AA390" s="133">
        <f>INDEX('#建筑消耗和buff配置索引'!AO:AO,MATCH($F390,'#建筑消耗和buff配置索引'!$M:$M,0))</f>
        <v>424126</v>
      </c>
      <c r="AB390" s="133">
        <f>IF(INDEX('#建筑消耗和buff配置索引'!AR:AR,MATCH($F390,'#建筑消耗和buff配置索引'!$M:$M,0))=0,"",INDEX('#建筑消耗和buff配置索引'!AR:AR,MATCH($F390,'#建筑消耗和buff配置索引'!$M:$M,0)))</f>
        <v>1254</v>
      </c>
      <c r="AC390" s="133">
        <f>IF(AB390="","",INDEX('#建筑消耗和buff配置索引'!AS:AS,MATCH($F390,'#建筑消耗和buff配置索引'!$M:$M,0)))</f>
        <v>13730000</v>
      </c>
      <c r="AF390" s="133">
        <f>IF(INDEX('#建筑消耗和buff配置索引'!AW:AW,MATCH($F390,'#建筑消耗和buff配置索引'!$M:$M,0))=0,"",INDEX('#建筑消耗和buff配置索引'!AW:AW,MATCH($F390,'#建筑消耗和buff配置索引'!$M:$M,0)))</f>
        <v>10000401</v>
      </c>
      <c r="AG390" s="133">
        <f>IF(AF390="","",INDEX('#建筑消耗和buff配置索引'!AX:AX,MATCH($F390,'#建筑消耗和buff配置索引'!$M:$M,0)))</f>
        <v>1300000</v>
      </c>
      <c r="AJ390" s="133" t="str">
        <f>IF(INDEX('#建筑消耗和buff配置索引'!BB:BB,MATCH($F390,'#建筑消耗和buff配置索引'!$M:$M,0))=0,"",INDEX('#建筑消耗和buff配置索引'!BB:BB,MATCH($F390,'#建筑消耗和buff配置索引'!$M:$M,0)))</f>
        <v/>
      </c>
      <c r="AK390" s="133" t="str">
        <f>IF(AJ390="","",INDEX('#建筑消耗和buff配置索引'!BC:BC,MATCH($F390,'#建筑消耗和buff配置索引'!$M:$M,0)))</f>
        <v/>
      </c>
      <c r="AN390" s="133" t="str">
        <f>IF(INDEX('#建筑消耗和buff配置索引'!BG:BG,MATCH($F390,'#建筑消耗和buff配置索引'!$M:$M,0))=0,"",INDEX('#建筑消耗和buff配置索引'!BG:BG,MATCH($F390,'#建筑消耗和buff配置索引'!$M:$M,0)))</f>
        <v/>
      </c>
      <c r="AO390" s="133" t="str">
        <f>IF(AN390="","",INDEX('#建筑消耗和buff配置索引'!BH:BH,MATCH($F390,'#建筑消耗和buff配置索引'!$M:$M,0)))</f>
        <v/>
      </c>
      <c r="AR390" s="133" t="str">
        <f>IF(INDEX('#建筑消耗和buff配置索引'!BK:BK,MATCH($F390,'#建筑消耗和buff配置索引'!$M:$M,0))=0,"",INDEX('#建筑消耗和buff配置索引'!BK:BK,MATCH($F390,'#建筑消耗和buff配置索引'!$M:$M,0)))</f>
        <v/>
      </c>
      <c r="AS390" s="133" t="str">
        <f>IF(AR390="","",INDEX('#建筑消耗和buff配置索引'!BL:BL,MATCH($F390,'#建筑消耗和buff配置索引'!$M:$M,0)))</f>
        <v/>
      </c>
      <c r="AV390" s="133" t="str">
        <f>IF(INDEX('#建筑消耗和buff配置索引'!BO:BO,MATCH($F390,'#建筑消耗和buff配置索引'!$M:$M,0))=0,"",INDEX('#建筑消耗和buff配置索引'!BO:BO,MATCH($F390,'#建筑消耗和buff配置索引'!$M:$M,0)))</f>
        <v/>
      </c>
      <c r="AW390" s="133" t="str">
        <f>IF(AV390="","",INDEX('#建筑消耗和buff配置索引'!BP:BP,MATCH($F390,'#建筑消耗和buff配置索引'!$M:$M,0)))</f>
        <v/>
      </c>
      <c r="AZ390" s="133" t="str">
        <f>IF(INDEX('#建筑消耗和buff配置索引'!BS:BS,MATCH($F390,'#建筑消耗和buff配置索引'!$M:$M,0))=0,"",INDEX('#建筑消耗和buff配置索引'!BS:BS,MATCH($F390,'#建筑消耗和buff配置索引'!$M:$M,0)))</f>
        <v/>
      </c>
      <c r="BA390" s="133" t="str">
        <f>IF(AZ390="","",INDEX('#建筑消耗和buff配置索引'!BT:BT,MATCH($F390,'#建筑消耗和buff配置索引'!$M:$M,0)))</f>
        <v/>
      </c>
      <c r="BD390" s="133" t="str">
        <f>IF(INDEX('#建筑消耗和buff配置索引'!BW:BW,MATCH($F390,'#建筑消耗和buff配置索引'!$M:$M,0))=0,"",INDEX('#建筑消耗和buff配置索引'!BW:BW,MATCH($F390,'#建筑消耗和buff配置索引'!$M:$M,0)))</f>
        <v/>
      </c>
      <c r="BE390" s="133" t="str">
        <f>IF(BD390="","",INDEX('#建筑消耗和buff配置索引'!BX:BX,MATCH($F390,'#建筑消耗和buff配置索引'!$M:$M,0)))</f>
        <v/>
      </c>
      <c r="BI390" s="133">
        <v>25</v>
      </c>
    </row>
    <row r="391" spans="1:66" s="133" customFormat="1">
      <c r="A391" s="133">
        <v>2290026</v>
      </c>
      <c r="B391" s="133">
        <v>388</v>
      </c>
      <c r="C391" s="133">
        <v>229</v>
      </c>
      <c r="D391" s="133" t="s">
        <v>515</v>
      </c>
      <c r="E391" s="133">
        <v>26</v>
      </c>
      <c r="F391" s="133" t="str">
        <f t="shared" si="7"/>
        <v>战争大厅26</v>
      </c>
      <c r="H391" s="146"/>
      <c r="I391" s="133">
        <v>3</v>
      </c>
      <c r="J391" s="150">
        <f>INDEX('#建筑消耗和buff配置索引'!AH:AH,MATCH($F391,'#建筑消耗和buff配置索引'!$M:$M,0))</f>
        <v>1088640</v>
      </c>
      <c r="K391" s="150">
        <f>INDEX('#建筑消耗和buff配置索引'!AA:AA,MATCH($F391,'#建筑消耗和buff配置索引'!$M:$M,0))</f>
        <v>8600000</v>
      </c>
      <c r="L391" s="150">
        <f>INDEX('#建筑消耗和buff配置索引'!AB:AB,MATCH($F391,'#建筑消耗和buff配置索引'!$M:$M,0))</f>
        <v>17000000</v>
      </c>
      <c r="M391" s="150">
        <f>INDEX('#建筑消耗和buff配置索引'!AC:AC,MATCH($F391,'#建筑消耗和buff配置索引'!$M:$M,0))</f>
        <v>17000000</v>
      </c>
      <c r="N391" s="150">
        <f>INDEX('#建筑消耗和buff配置索引'!AD:AD,MATCH($F391,'#建筑消耗和buff配置索引'!$M:$M,0))</f>
        <v>17000000</v>
      </c>
      <c r="O391" s="150">
        <f>IF(INDEX('#建筑消耗和buff配置索引'!T:T,MATCH($F391,'#建筑消耗和buff配置索引'!$M:$M,0))=0,"",INDEX('#建筑消耗和buff配置索引'!T:T,MATCH($F391,'#建筑消耗和buff配置索引'!$M:$M,0)))</f>
        <v>2061</v>
      </c>
      <c r="P391" s="133">
        <f>IF(INDEX('#建筑消耗和buff配置索引'!U:U,MATCH($F391,'#建筑消耗和buff配置索引'!$M:$M,0))=0,"",INDEX('#建筑消耗和buff配置索引'!U:U,MATCH($F391,'#建筑消耗和buff配置索引'!$M:$M,0)))</f>
        <v>265</v>
      </c>
      <c r="Q391" s="133" t="str">
        <f>IF(INDEX('#建筑消耗和buff配置索引'!K:K,MATCH($F391,'#建筑消耗和buff配置索引'!$M:$M,0))=0,"",INDEX('#建筑消耗和buff配置索引'!K:K,MATCH($F391,'#建筑消耗和buff配置索引'!$M:$M,0)))</f>
        <v>201;230</v>
      </c>
      <c r="R391" s="133" t="str">
        <f>IF(INDEX('#建筑消耗和buff配置索引'!L:L,MATCH($F391,'#建筑消耗和buff配置索引'!$M:$M,0))=0,"",INDEX('#建筑消耗和buff配置索引'!L:L,MATCH($F391,'#建筑消耗和buff配置索引'!$M:$M,0)))</f>
        <v>26;26</v>
      </c>
      <c r="S391" s="133">
        <f>IF(INDEX('#建筑消耗和buff配置索引'!C:C,MATCH(F391,'#建筑消耗和buff配置索引'!M:M,0))=0,1,INDEX('#建筑消耗和buff配置索引'!C:C,MATCH(F391,'#建筑消耗和buff配置索引'!M:M,0)))</f>
        <v>3</v>
      </c>
      <c r="T391" s="133">
        <v>0</v>
      </c>
      <c r="U391" s="133">
        <v>0</v>
      </c>
      <c r="V391" s="133" t="str">
        <f>IF(E391=1,IF(INDEX('#建筑消耗和buff配置索引'!BY:BY,MATCH(D391,'#建筑消耗和buff配置索引'!A:A,0))=0,"",INDEX('#建筑消耗和buff配置索引'!BY:BY,MATCH(D391,'#建筑消耗和buff配置索引'!A:A,0))),"")</f>
        <v/>
      </c>
      <c r="W391" s="133" t="str">
        <f>IF(E391=1,IF(INDEX('#建筑消耗和buff配置索引'!BZ:BZ,MATCH(D391,'#建筑消耗和buff配置索引'!A:A,0))=0,"",INDEX('#建筑消耗和buff配置索引'!BZ:BZ,MATCH(D391,'#建筑消耗和buff配置索引'!A:A,0))),"")</f>
        <v/>
      </c>
      <c r="AA391" s="133">
        <f>INDEX('#建筑消耗和buff配置索引'!AO:AO,MATCH($F391,'#建筑消耗和buff配置索引'!$M:$M,0))</f>
        <v>544992</v>
      </c>
      <c r="AB391" s="133">
        <f>IF(INDEX('#建筑消耗和buff配置索引'!AR:AR,MATCH($F391,'#建筑消耗和buff配置索引'!$M:$M,0))=0,"",INDEX('#建筑消耗和buff配置索引'!AR:AR,MATCH($F391,'#建筑消耗和buff配置索引'!$M:$M,0)))</f>
        <v>1254</v>
      </c>
      <c r="AC391" s="133">
        <f>IF(AB391="","",INDEX('#建筑消耗和buff配置索引'!AS:AS,MATCH($F391,'#建筑消耗和buff配置索引'!$M:$M,0)))</f>
        <v>14900000</v>
      </c>
      <c r="AF391" s="133">
        <f>IF(INDEX('#建筑消耗和buff配置索引'!AW:AW,MATCH($F391,'#建筑消耗和buff配置索引'!$M:$M,0))=0,"",INDEX('#建筑消耗和buff配置索引'!AW:AW,MATCH($F391,'#建筑消耗和buff配置索引'!$M:$M,0)))</f>
        <v>10000401</v>
      </c>
      <c r="AG391" s="133">
        <f>IF(AF391="","",INDEX('#建筑消耗和buff配置索引'!AX:AX,MATCH($F391,'#建筑消耗和buff配置索引'!$M:$M,0)))</f>
        <v>1400000</v>
      </c>
      <c r="AJ391" s="133" t="str">
        <f>IF(INDEX('#建筑消耗和buff配置索引'!BB:BB,MATCH($F391,'#建筑消耗和buff配置索引'!$M:$M,0))=0,"",INDEX('#建筑消耗和buff配置索引'!BB:BB,MATCH($F391,'#建筑消耗和buff配置索引'!$M:$M,0)))</f>
        <v/>
      </c>
      <c r="AK391" s="133" t="str">
        <f>IF(AJ391="","",INDEX('#建筑消耗和buff配置索引'!BC:BC,MATCH($F391,'#建筑消耗和buff配置索引'!$M:$M,0)))</f>
        <v/>
      </c>
      <c r="AN391" s="133" t="str">
        <f>IF(INDEX('#建筑消耗和buff配置索引'!BG:BG,MATCH($F391,'#建筑消耗和buff配置索引'!$M:$M,0))=0,"",INDEX('#建筑消耗和buff配置索引'!BG:BG,MATCH($F391,'#建筑消耗和buff配置索引'!$M:$M,0)))</f>
        <v/>
      </c>
      <c r="AO391" s="133" t="str">
        <f>IF(AN391="","",INDEX('#建筑消耗和buff配置索引'!BH:BH,MATCH($F391,'#建筑消耗和buff配置索引'!$M:$M,0)))</f>
        <v/>
      </c>
      <c r="AR391" s="133" t="str">
        <f>IF(INDEX('#建筑消耗和buff配置索引'!BK:BK,MATCH($F391,'#建筑消耗和buff配置索引'!$M:$M,0))=0,"",INDEX('#建筑消耗和buff配置索引'!BK:BK,MATCH($F391,'#建筑消耗和buff配置索引'!$M:$M,0)))</f>
        <v/>
      </c>
      <c r="AS391" s="133" t="str">
        <f>IF(AR391="","",INDEX('#建筑消耗和buff配置索引'!BL:BL,MATCH($F391,'#建筑消耗和buff配置索引'!$M:$M,0)))</f>
        <v/>
      </c>
      <c r="AV391" s="133" t="str">
        <f>IF(INDEX('#建筑消耗和buff配置索引'!BO:BO,MATCH($F391,'#建筑消耗和buff配置索引'!$M:$M,0))=0,"",INDEX('#建筑消耗和buff配置索引'!BO:BO,MATCH($F391,'#建筑消耗和buff配置索引'!$M:$M,0)))</f>
        <v/>
      </c>
      <c r="AW391" s="133" t="str">
        <f>IF(AV391="","",INDEX('#建筑消耗和buff配置索引'!BP:BP,MATCH($F391,'#建筑消耗和buff配置索引'!$M:$M,0)))</f>
        <v/>
      </c>
      <c r="AZ391" s="133" t="str">
        <f>IF(INDEX('#建筑消耗和buff配置索引'!BS:BS,MATCH($F391,'#建筑消耗和buff配置索引'!$M:$M,0))=0,"",INDEX('#建筑消耗和buff配置索引'!BS:BS,MATCH($F391,'#建筑消耗和buff配置索引'!$M:$M,0)))</f>
        <v/>
      </c>
      <c r="BA391" s="133" t="str">
        <f>IF(AZ391="","",INDEX('#建筑消耗和buff配置索引'!BT:BT,MATCH($F391,'#建筑消耗和buff配置索引'!$M:$M,0)))</f>
        <v/>
      </c>
      <c r="BD391" s="133" t="str">
        <f>IF(INDEX('#建筑消耗和buff配置索引'!BW:BW,MATCH($F391,'#建筑消耗和buff配置索引'!$M:$M,0))=0,"",INDEX('#建筑消耗和buff配置索引'!BW:BW,MATCH($F391,'#建筑消耗和buff配置索引'!$M:$M,0)))</f>
        <v/>
      </c>
      <c r="BE391" s="133" t="str">
        <f>IF(BD391="","",INDEX('#建筑消耗和buff配置索引'!BX:BX,MATCH($F391,'#建筑消耗和buff配置索引'!$M:$M,0)))</f>
        <v/>
      </c>
      <c r="BI391" s="133">
        <v>25</v>
      </c>
    </row>
    <row r="392" spans="1:66" s="133" customFormat="1">
      <c r="A392" s="133">
        <v>2290027</v>
      </c>
      <c r="B392" s="133">
        <v>389</v>
      </c>
      <c r="C392" s="133">
        <v>229</v>
      </c>
      <c r="D392" s="133" t="s">
        <v>515</v>
      </c>
      <c r="E392" s="133">
        <v>27</v>
      </c>
      <c r="F392" s="133" t="str">
        <f t="shared" si="7"/>
        <v>战争大厅27</v>
      </c>
      <c r="H392" s="146"/>
      <c r="I392" s="133">
        <v>3</v>
      </c>
      <c r="J392" s="150">
        <f>INDEX('#建筑消耗和buff配置索引'!AH:AH,MATCH($F392,'#建筑消耗和buff配置索引'!$M:$M,0))</f>
        <v>1330560</v>
      </c>
      <c r="K392" s="150">
        <f>INDEX('#建筑消耗和buff配置索引'!AA:AA,MATCH($F392,'#建筑消耗和buff配置索引'!$M:$M,0))</f>
        <v>11000000</v>
      </c>
      <c r="L392" s="150">
        <f>INDEX('#建筑消耗和buff配置索引'!AB:AB,MATCH($F392,'#建筑消耗和buff配置索引'!$M:$M,0))</f>
        <v>22000000</v>
      </c>
      <c r="M392" s="150">
        <f>INDEX('#建筑消耗和buff配置索引'!AC:AC,MATCH($F392,'#建筑消耗和buff配置索引'!$M:$M,0))</f>
        <v>22000000</v>
      </c>
      <c r="N392" s="150">
        <f>INDEX('#建筑消耗和buff配置索引'!AD:AD,MATCH($F392,'#建筑消耗和buff配置索引'!$M:$M,0))</f>
        <v>22000000</v>
      </c>
      <c r="O392" s="150">
        <f>IF(INDEX('#建筑消耗和buff配置索引'!T:T,MATCH($F392,'#建筑消耗和buff配置索引'!$M:$M,0))=0,"",INDEX('#建筑消耗和buff配置索引'!T:T,MATCH($F392,'#建筑消耗和buff配置索引'!$M:$M,0)))</f>
        <v>2061</v>
      </c>
      <c r="P392" s="133">
        <f>IF(INDEX('#建筑消耗和buff配置索引'!U:U,MATCH($F392,'#建筑消耗和buff配置索引'!$M:$M,0))=0,"",INDEX('#建筑消耗和buff配置索引'!U:U,MATCH($F392,'#建筑消耗和buff配置索引'!$M:$M,0)))</f>
        <v>290</v>
      </c>
      <c r="Q392" s="133" t="str">
        <f>IF(INDEX('#建筑消耗和buff配置索引'!K:K,MATCH($F392,'#建筑消耗和buff配置索引'!$M:$M,0))=0,"",INDEX('#建筑消耗和buff配置索引'!K:K,MATCH($F392,'#建筑消耗和buff配置索引'!$M:$M,0)))</f>
        <v>201;230</v>
      </c>
      <c r="R392" s="133" t="str">
        <f>IF(INDEX('#建筑消耗和buff配置索引'!L:L,MATCH($F392,'#建筑消耗和buff配置索引'!$M:$M,0))=0,"",INDEX('#建筑消耗和buff配置索引'!L:L,MATCH($F392,'#建筑消耗和buff配置索引'!$M:$M,0)))</f>
        <v>27;27</v>
      </c>
      <c r="S392" s="133">
        <f>IF(INDEX('#建筑消耗和buff配置索引'!C:C,MATCH(F392,'#建筑消耗和buff配置索引'!M:M,0))=0,1,INDEX('#建筑消耗和buff配置索引'!C:C,MATCH(F392,'#建筑消耗和buff配置索引'!M:M,0)))</f>
        <v>3</v>
      </c>
      <c r="T392" s="133">
        <v>0</v>
      </c>
      <c r="U392" s="133">
        <v>0</v>
      </c>
      <c r="V392" s="133" t="str">
        <f>IF(E392=1,IF(INDEX('#建筑消耗和buff配置索引'!BY:BY,MATCH(D392,'#建筑消耗和buff配置索引'!A:A,0))=0,"",INDEX('#建筑消耗和buff配置索引'!BY:BY,MATCH(D392,'#建筑消耗和buff配置索引'!A:A,0))),"")</f>
        <v/>
      </c>
      <c r="W392" s="133" t="str">
        <f>IF(E392=1,IF(INDEX('#建筑消耗和buff配置索引'!BZ:BZ,MATCH(D392,'#建筑消耗和buff配置索引'!A:A,0))=0,"",INDEX('#建筑消耗和buff配置索引'!BZ:BZ,MATCH(D392,'#建筑消耗和buff配置索引'!A:A,0))),"")</f>
        <v/>
      </c>
      <c r="AA392" s="133">
        <f>INDEX('#建筑消耗和buff配置索引'!AO:AO,MATCH($F392,'#建筑消耗和buff配置索引'!$M:$M,0))</f>
        <v>699700</v>
      </c>
      <c r="AB392" s="133">
        <f>IF(INDEX('#建筑消耗和buff配置索引'!AR:AR,MATCH($F392,'#建筑消耗和buff配置索引'!$M:$M,0))=0,"",INDEX('#建筑消耗和buff配置索引'!AR:AR,MATCH($F392,'#建筑消耗和buff配置索引'!$M:$M,0)))</f>
        <v>1254</v>
      </c>
      <c r="AC392" s="133">
        <f>IF(AB392="","",INDEX('#建筑消耗和buff配置索引'!AS:AS,MATCH($F392,'#建筑消耗和buff配置索引'!$M:$M,0)))</f>
        <v>16090000</v>
      </c>
      <c r="AF392" s="133">
        <f>IF(INDEX('#建筑消耗和buff配置索引'!AW:AW,MATCH($F392,'#建筑消耗和buff配置索引'!$M:$M,0))=0,"",INDEX('#建筑消耗和buff配置索引'!AW:AW,MATCH($F392,'#建筑消耗和buff配置索引'!$M:$M,0)))</f>
        <v>10000401</v>
      </c>
      <c r="AG392" s="133">
        <f>IF(AF392="","",INDEX('#建筑消耗和buff配置索引'!AX:AX,MATCH($F392,'#建筑消耗和buff配置索引'!$M:$M,0)))</f>
        <v>1520000</v>
      </c>
      <c r="AJ392" s="133" t="str">
        <f>IF(INDEX('#建筑消耗和buff配置索引'!BB:BB,MATCH($F392,'#建筑消耗和buff配置索引'!$M:$M,0))=0,"",INDEX('#建筑消耗和buff配置索引'!BB:BB,MATCH($F392,'#建筑消耗和buff配置索引'!$M:$M,0)))</f>
        <v/>
      </c>
      <c r="AK392" s="133" t="str">
        <f>IF(AJ392="","",INDEX('#建筑消耗和buff配置索引'!BC:BC,MATCH($F392,'#建筑消耗和buff配置索引'!$M:$M,0)))</f>
        <v/>
      </c>
      <c r="AN392" s="133" t="str">
        <f>IF(INDEX('#建筑消耗和buff配置索引'!BG:BG,MATCH($F392,'#建筑消耗和buff配置索引'!$M:$M,0))=0,"",INDEX('#建筑消耗和buff配置索引'!BG:BG,MATCH($F392,'#建筑消耗和buff配置索引'!$M:$M,0)))</f>
        <v/>
      </c>
      <c r="AO392" s="133" t="str">
        <f>IF(AN392="","",INDEX('#建筑消耗和buff配置索引'!BH:BH,MATCH($F392,'#建筑消耗和buff配置索引'!$M:$M,0)))</f>
        <v/>
      </c>
      <c r="AR392" s="133" t="str">
        <f>IF(INDEX('#建筑消耗和buff配置索引'!BK:BK,MATCH($F392,'#建筑消耗和buff配置索引'!$M:$M,0))=0,"",INDEX('#建筑消耗和buff配置索引'!BK:BK,MATCH($F392,'#建筑消耗和buff配置索引'!$M:$M,0)))</f>
        <v/>
      </c>
      <c r="AS392" s="133" t="str">
        <f>IF(AR392="","",INDEX('#建筑消耗和buff配置索引'!BL:BL,MATCH($F392,'#建筑消耗和buff配置索引'!$M:$M,0)))</f>
        <v/>
      </c>
      <c r="AV392" s="133" t="str">
        <f>IF(INDEX('#建筑消耗和buff配置索引'!BO:BO,MATCH($F392,'#建筑消耗和buff配置索引'!$M:$M,0))=0,"",INDEX('#建筑消耗和buff配置索引'!BO:BO,MATCH($F392,'#建筑消耗和buff配置索引'!$M:$M,0)))</f>
        <v/>
      </c>
      <c r="AW392" s="133" t="str">
        <f>IF(AV392="","",INDEX('#建筑消耗和buff配置索引'!BP:BP,MATCH($F392,'#建筑消耗和buff配置索引'!$M:$M,0)))</f>
        <v/>
      </c>
      <c r="AZ392" s="133" t="str">
        <f>IF(INDEX('#建筑消耗和buff配置索引'!BS:BS,MATCH($F392,'#建筑消耗和buff配置索引'!$M:$M,0))=0,"",INDEX('#建筑消耗和buff配置索引'!BS:BS,MATCH($F392,'#建筑消耗和buff配置索引'!$M:$M,0)))</f>
        <v/>
      </c>
      <c r="BA392" s="133" t="str">
        <f>IF(AZ392="","",INDEX('#建筑消耗和buff配置索引'!BT:BT,MATCH($F392,'#建筑消耗和buff配置索引'!$M:$M,0)))</f>
        <v/>
      </c>
      <c r="BD392" s="133" t="str">
        <f>IF(INDEX('#建筑消耗和buff配置索引'!BW:BW,MATCH($F392,'#建筑消耗和buff配置索引'!$M:$M,0))=0,"",INDEX('#建筑消耗和buff配置索引'!BW:BW,MATCH($F392,'#建筑消耗和buff配置索引'!$M:$M,0)))</f>
        <v/>
      </c>
      <c r="BE392" s="133" t="str">
        <f>IF(BD392="","",INDEX('#建筑消耗和buff配置索引'!BX:BX,MATCH($F392,'#建筑消耗和buff配置索引'!$M:$M,0)))</f>
        <v/>
      </c>
      <c r="BI392" s="133">
        <v>25</v>
      </c>
    </row>
    <row r="393" spans="1:66" s="133" customFormat="1">
      <c r="A393" s="133">
        <v>2290028</v>
      </c>
      <c r="B393" s="133">
        <v>390</v>
      </c>
      <c r="C393" s="133">
        <v>229</v>
      </c>
      <c r="D393" s="133" t="s">
        <v>515</v>
      </c>
      <c r="E393" s="133">
        <v>28</v>
      </c>
      <c r="F393" s="133" t="str">
        <f t="shared" si="7"/>
        <v>战争大厅28</v>
      </c>
      <c r="H393" s="146"/>
      <c r="I393" s="133">
        <v>3</v>
      </c>
      <c r="J393" s="150">
        <f>INDEX('#建筑消耗和buff配置索引'!AH:AH,MATCH($F393,'#建筑消耗和buff配置索引'!$M:$M,0))</f>
        <v>1632960</v>
      </c>
      <c r="K393" s="150">
        <f>INDEX('#建筑消耗和buff配置索引'!AA:AA,MATCH($F393,'#建筑消耗和buff配置索引'!$M:$M,0))</f>
        <v>14000000</v>
      </c>
      <c r="L393" s="150">
        <f>INDEX('#建筑消耗和buff配置索引'!AB:AB,MATCH($F393,'#建筑消耗和buff配置索引'!$M:$M,0))</f>
        <v>28000000</v>
      </c>
      <c r="M393" s="150">
        <f>INDEX('#建筑消耗和buff配置索引'!AC:AC,MATCH($F393,'#建筑消耗和buff配置索引'!$M:$M,0))</f>
        <v>28000000</v>
      </c>
      <c r="N393" s="150">
        <f>INDEX('#建筑消耗和buff配置索引'!AD:AD,MATCH($F393,'#建筑消耗和buff配置索引'!$M:$M,0))</f>
        <v>28000000</v>
      </c>
      <c r="O393" s="150">
        <f>IF(INDEX('#建筑消耗和buff配置索引'!T:T,MATCH($F393,'#建筑消耗和buff配置索引'!$M:$M,0))=0,"",INDEX('#建筑消耗和buff配置索引'!T:T,MATCH($F393,'#建筑消耗和buff配置索引'!$M:$M,0)))</f>
        <v>2061</v>
      </c>
      <c r="P393" s="133">
        <f>IF(INDEX('#建筑消耗和buff配置索引'!U:U,MATCH($F393,'#建筑消耗和buff配置索引'!$M:$M,0))=0,"",INDEX('#建筑消耗和buff配置索引'!U:U,MATCH($F393,'#建筑消耗和buff配置索引'!$M:$M,0)))</f>
        <v>310</v>
      </c>
      <c r="Q393" s="133" t="str">
        <f>IF(INDEX('#建筑消耗和buff配置索引'!K:K,MATCH($F393,'#建筑消耗和buff配置索引'!$M:$M,0))=0,"",INDEX('#建筑消耗和buff配置索引'!K:K,MATCH($F393,'#建筑消耗和buff配置索引'!$M:$M,0)))</f>
        <v>201;230</v>
      </c>
      <c r="R393" s="133" t="str">
        <f>IF(INDEX('#建筑消耗和buff配置索引'!L:L,MATCH($F393,'#建筑消耗和buff配置索引'!$M:$M,0))=0,"",INDEX('#建筑消耗和buff配置索引'!L:L,MATCH($F393,'#建筑消耗和buff配置索引'!$M:$M,0)))</f>
        <v>28;28</v>
      </c>
      <c r="S393" s="133">
        <f>IF(INDEX('#建筑消耗和buff配置索引'!C:C,MATCH(F393,'#建筑消耗和buff配置索引'!M:M,0))=0,1,INDEX('#建筑消耗和buff配置索引'!C:C,MATCH(F393,'#建筑消耗和buff配置索引'!M:M,0)))</f>
        <v>3</v>
      </c>
      <c r="T393" s="133">
        <v>0</v>
      </c>
      <c r="U393" s="133">
        <v>0</v>
      </c>
      <c r="V393" s="133" t="str">
        <f>IF(E393=1,IF(INDEX('#建筑消耗和buff配置索引'!BY:BY,MATCH(D393,'#建筑消耗和buff配置索引'!A:A,0))=0,"",INDEX('#建筑消耗和buff配置索引'!BY:BY,MATCH(D393,'#建筑消耗和buff配置索引'!A:A,0))),"")</f>
        <v/>
      </c>
      <c r="W393" s="133" t="str">
        <f>IF(E393=1,IF(INDEX('#建筑消耗和buff配置索引'!BZ:BZ,MATCH(D393,'#建筑消耗和buff配置索引'!A:A,0))=0,"",INDEX('#建筑消耗和buff配置索引'!BZ:BZ,MATCH(D393,'#建筑消耗和buff配置索引'!A:A,0))),"")</f>
        <v/>
      </c>
      <c r="AA393" s="133">
        <f>INDEX('#建筑消耗和buff配置索引'!AO:AO,MATCH($F393,'#建筑消耗和buff配置索引'!$M:$M,0))</f>
        <v>897727</v>
      </c>
      <c r="AB393" s="133">
        <f>IF(INDEX('#建筑消耗和buff配置索引'!AR:AR,MATCH($F393,'#建筑消耗和buff配置索引'!$M:$M,0))=0,"",INDEX('#建筑消耗和buff配置索引'!AR:AR,MATCH($F393,'#建筑消耗和buff配置索引'!$M:$M,0)))</f>
        <v>1254</v>
      </c>
      <c r="AC393" s="133">
        <f>IF(AB393="","",INDEX('#建筑消耗和buff配置索引'!AS:AS,MATCH($F393,'#建筑消耗和buff配置索引'!$M:$M,0)))</f>
        <v>17300000</v>
      </c>
      <c r="AF393" s="133">
        <f>IF(INDEX('#建筑消耗和buff配置索引'!AW:AW,MATCH($F393,'#建筑消耗和buff配置索引'!$M:$M,0))=0,"",INDEX('#建筑消耗和buff配置索引'!AW:AW,MATCH($F393,'#建筑消耗和buff配置索引'!$M:$M,0)))</f>
        <v>10000401</v>
      </c>
      <c r="AG393" s="133">
        <f>IF(AF393="","",INDEX('#建筑消耗和buff配置索引'!AX:AX,MATCH($F393,'#建筑消耗和buff配置索引'!$M:$M,0)))</f>
        <v>1660000</v>
      </c>
      <c r="AJ393" s="133" t="str">
        <f>IF(INDEX('#建筑消耗和buff配置索引'!BB:BB,MATCH($F393,'#建筑消耗和buff配置索引'!$M:$M,0))=0,"",INDEX('#建筑消耗和buff配置索引'!BB:BB,MATCH($F393,'#建筑消耗和buff配置索引'!$M:$M,0)))</f>
        <v/>
      </c>
      <c r="AK393" s="133" t="str">
        <f>IF(AJ393="","",INDEX('#建筑消耗和buff配置索引'!BC:BC,MATCH($F393,'#建筑消耗和buff配置索引'!$M:$M,0)))</f>
        <v/>
      </c>
      <c r="AN393" s="133" t="str">
        <f>IF(INDEX('#建筑消耗和buff配置索引'!BG:BG,MATCH($F393,'#建筑消耗和buff配置索引'!$M:$M,0))=0,"",INDEX('#建筑消耗和buff配置索引'!BG:BG,MATCH($F393,'#建筑消耗和buff配置索引'!$M:$M,0)))</f>
        <v/>
      </c>
      <c r="AO393" s="133" t="str">
        <f>IF(AN393="","",INDEX('#建筑消耗和buff配置索引'!BH:BH,MATCH($F393,'#建筑消耗和buff配置索引'!$M:$M,0)))</f>
        <v/>
      </c>
      <c r="AR393" s="133" t="str">
        <f>IF(INDEX('#建筑消耗和buff配置索引'!BK:BK,MATCH($F393,'#建筑消耗和buff配置索引'!$M:$M,0))=0,"",INDEX('#建筑消耗和buff配置索引'!BK:BK,MATCH($F393,'#建筑消耗和buff配置索引'!$M:$M,0)))</f>
        <v/>
      </c>
      <c r="AS393" s="133" t="str">
        <f>IF(AR393="","",INDEX('#建筑消耗和buff配置索引'!BL:BL,MATCH($F393,'#建筑消耗和buff配置索引'!$M:$M,0)))</f>
        <v/>
      </c>
      <c r="AV393" s="133" t="str">
        <f>IF(INDEX('#建筑消耗和buff配置索引'!BO:BO,MATCH($F393,'#建筑消耗和buff配置索引'!$M:$M,0))=0,"",INDEX('#建筑消耗和buff配置索引'!BO:BO,MATCH($F393,'#建筑消耗和buff配置索引'!$M:$M,0)))</f>
        <v/>
      </c>
      <c r="AW393" s="133" t="str">
        <f>IF(AV393="","",INDEX('#建筑消耗和buff配置索引'!BP:BP,MATCH($F393,'#建筑消耗和buff配置索引'!$M:$M,0)))</f>
        <v/>
      </c>
      <c r="AZ393" s="133" t="str">
        <f>IF(INDEX('#建筑消耗和buff配置索引'!BS:BS,MATCH($F393,'#建筑消耗和buff配置索引'!$M:$M,0))=0,"",INDEX('#建筑消耗和buff配置索引'!BS:BS,MATCH($F393,'#建筑消耗和buff配置索引'!$M:$M,0)))</f>
        <v/>
      </c>
      <c r="BA393" s="133" t="str">
        <f>IF(AZ393="","",INDEX('#建筑消耗和buff配置索引'!BT:BT,MATCH($F393,'#建筑消耗和buff配置索引'!$M:$M,0)))</f>
        <v/>
      </c>
      <c r="BD393" s="133" t="str">
        <f>IF(INDEX('#建筑消耗和buff配置索引'!BW:BW,MATCH($F393,'#建筑消耗和buff配置索引'!$M:$M,0))=0,"",INDEX('#建筑消耗和buff配置索引'!BW:BW,MATCH($F393,'#建筑消耗和buff配置索引'!$M:$M,0)))</f>
        <v/>
      </c>
      <c r="BE393" s="133" t="str">
        <f>IF(BD393="","",INDEX('#建筑消耗和buff配置索引'!BX:BX,MATCH($F393,'#建筑消耗和buff配置索引'!$M:$M,0)))</f>
        <v/>
      </c>
      <c r="BI393" s="133">
        <v>25</v>
      </c>
    </row>
    <row r="394" spans="1:66" s="133" customFormat="1">
      <c r="A394" s="133">
        <v>2290029</v>
      </c>
      <c r="B394" s="133">
        <v>391</v>
      </c>
      <c r="C394" s="133">
        <v>229</v>
      </c>
      <c r="D394" s="133" t="s">
        <v>515</v>
      </c>
      <c r="E394" s="133">
        <v>29</v>
      </c>
      <c r="F394" s="133" t="str">
        <f t="shared" si="7"/>
        <v>战争大厅29</v>
      </c>
      <c r="H394" s="146"/>
      <c r="I394" s="133">
        <v>3</v>
      </c>
      <c r="J394" s="150">
        <f>INDEX('#建筑消耗和buff配置索引'!AH:AH,MATCH($F394,'#建筑消耗和buff配置索引'!$M:$M,0))</f>
        <v>1995840</v>
      </c>
      <c r="K394" s="150">
        <f>INDEX('#建筑消耗和buff配置索引'!AA:AA,MATCH($F394,'#建筑消耗和buff配置索引'!$M:$M,0))</f>
        <v>18000000</v>
      </c>
      <c r="L394" s="150">
        <f>INDEX('#建筑消耗和buff配置索引'!AB:AB,MATCH($F394,'#建筑消耗和buff配置索引'!$M:$M,0))</f>
        <v>36000000</v>
      </c>
      <c r="M394" s="150">
        <f>INDEX('#建筑消耗和buff配置索引'!AC:AC,MATCH($F394,'#建筑消耗和buff配置索引'!$M:$M,0))</f>
        <v>36000000</v>
      </c>
      <c r="N394" s="150">
        <f>INDEX('#建筑消耗和buff配置索引'!AD:AD,MATCH($F394,'#建筑消耗和buff配置索引'!$M:$M,0))</f>
        <v>36000000</v>
      </c>
      <c r="O394" s="150">
        <f>IF(INDEX('#建筑消耗和buff配置索引'!T:T,MATCH($F394,'#建筑消耗和buff配置索引'!$M:$M,0))=0,"",INDEX('#建筑消耗和buff配置索引'!T:T,MATCH($F394,'#建筑消耗和buff配置索引'!$M:$M,0)))</f>
        <v>2061</v>
      </c>
      <c r="P394" s="133">
        <f>IF(INDEX('#建筑消耗和buff配置索引'!U:U,MATCH($F394,'#建筑消耗和buff配置索引'!$M:$M,0))=0,"",INDEX('#建筑消耗和buff配置索引'!U:U,MATCH($F394,'#建筑消耗和buff配置索引'!$M:$M,0)))</f>
        <v>335</v>
      </c>
      <c r="Q394" s="133" t="str">
        <f>IF(INDEX('#建筑消耗和buff配置索引'!K:K,MATCH($F394,'#建筑消耗和buff配置索引'!$M:$M,0))=0,"",INDEX('#建筑消耗和buff配置索引'!K:K,MATCH($F394,'#建筑消耗和buff配置索引'!$M:$M,0)))</f>
        <v>201;230</v>
      </c>
      <c r="R394" s="133" t="str">
        <f>IF(INDEX('#建筑消耗和buff配置索引'!L:L,MATCH($F394,'#建筑消耗和buff配置索引'!$M:$M,0))=0,"",INDEX('#建筑消耗和buff配置索引'!L:L,MATCH($F394,'#建筑消耗和buff配置索引'!$M:$M,0)))</f>
        <v>29;29</v>
      </c>
      <c r="S394" s="133">
        <f>IF(INDEX('#建筑消耗和buff配置索引'!C:C,MATCH(F394,'#建筑消耗和buff配置索引'!M:M,0))=0,1,INDEX('#建筑消耗和buff配置索引'!C:C,MATCH(F394,'#建筑消耗和buff配置索引'!M:M,0)))</f>
        <v>3</v>
      </c>
      <c r="T394" s="133">
        <v>0</v>
      </c>
      <c r="U394" s="133">
        <v>0</v>
      </c>
      <c r="V394" s="133" t="str">
        <f>IF(E394=1,IF(INDEX('#建筑消耗和buff配置索引'!BY:BY,MATCH(D394,'#建筑消耗和buff配置索引'!A:A,0))=0,"",INDEX('#建筑消耗和buff配置索引'!BY:BY,MATCH(D394,'#建筑消耗和buff配置索引'!A:A,0))),"")</f>
        <v/>
      </c>
      <c r="W394" s="133" t="str">
        <f>IF(E394=1,IF(INDEX('#建筑消耗和buff配置索引'!BZ:BZ,MATCH(D394,'#建筑消耗和buff配置索引'!A:A,0))=0,"",INDEX('#建筑消耗和buff配置索引'!BZ:BZ,MATCH(D394,'#建筑消耗和buff配置索引'!A:A,0))),"")</f>
        <v/>
      </c>
      <c r="AA394" s="133">
        <f>INDEX('#建筑消耗和buff配置索引'!AO:AO,MATCH($F394,'#建筑消耗和buff配置索引'!$M:$M,0))</f>
        <v>1151201</v>
      </c>
      <c r="AB394" s="133">
        <f>IF(INDEX('#建筑消耗和buff配置索引'!AR:AR,MATCH($F394,'#建筑消耗和buff配置索引'!$M:$M,0))=0,"",INDEX('#建筑消耗和buff配置索引'!AR:AR,MATCH($F394,'#建筑消耗和buff配置索引'!$M:$M,0)))</f>
        <v>1254</v>
      </c>
      <c r="AC394" s="133">
        <f>IF(AB394="","",INDEX('#建筑消耗和buff配置索引'!AS:AS,MATCH($F394,'#建筑消耗和buff配置索引'!$M:$M,0)))</f>
        <v>18530000</v>
      </c>
      <c r="AF394" s="133">
        <f>IF(INDEX('#建筑消耗和buff配置索引'!AW:AW,MATCH($F394,'#建筑消耗和buff配置索引'!$M:$M,0))=0,"",INDEX('#建筑消耗和buff配置索引'!AW:AW,MATCH($F394,'#建筑消耗和buff配置索引'!$M:$M,0)))</f>
        <v>10000401</v>
      </c>
      <c r="AG394" s="133">
        <f>IF(AF394="","",INDEX('#建筑消耗和buff配置索引'!AX:AX,MATCH($F394,'#建筑消耗和buff配置索引'!$M:$M,0)))</f>
        <v>1820000</v>
      </c>
      <c r="AJ394" s="133" t="str">
        <f>IF(INDEX('#建筑消耗和buff配置索引'!BB:BB,MATCH($F394,'#建筑消耗和buff配置索引'!$M:$M,0))=0,"",INDEX('#建筑消耗和buff配置索引'!BB:BB,MATCH($F394,'#建筑消耗和buff配置索引'!$M:$M,0)))</f>
        <v/>
      </c>
      <c r="AK394" s="133" t="str">
        <f>IF(AJ394="","",INDEX('#建筑消耗和buff配置索引'!BC:BC,MATCH($F394,'#建筑消耗和buff配置索引'!$M:$M,0)))</f>
        <v/>
      </c>
      <c r="AN394" s="133" t="str">
        <f>IF(INDEX('#建筑消耗和buff配置索引'!BG:BG,MATCH($F394,'#建筑消耗和buff配置索引'!$M:$M,0))=0,"",INDEX('#建筑消耗和buff配置索引'!BG:BG,MATCH($F394,'#建筑消耗和buff配置索引'!$M:$M,0)))</f>
        <v/>
      </c>
      <c r="AO394" s="133" t="str">
        <f>IF(AN394="","",INDEX('#建筑消耗和buff配置索引'!BH:BH,MATCH($F394,'#建筑消耗和buff配置索引'!$M:$M,0)))</f>
        <v/>
      </c>
      <c r="AR394" s="133" t="str">
        <f>IF(INDEX('#建筑消耗和buff配置索引'!BK:BK,MATCH($F394,'#建筑消耗和buff配置索引'!$M:$M,0))=0,"",INDEX('#建筑消耗和buff配置索引'!BK:BK,MATCH($F394,'#建筑消耗和buff配置索引'!$M:$M,0)))</f>
        <v/>
      </c>
      <c r="AS394" s="133" t="str">
        <f>IF(AR394="","",INDEX('#建筑消耗和buff配置索引'!BL:BL,MATCH($F394,'#建筑消耗和buff配置索引'!$M:$M,0)))</f>
        <v/>
      </c>
      <c r="AV394" s="133" t="str">
        <f>IF(INDEX('#建筑消耗和buff配置索引'!BO:BO,MATCH($F394,'#建筑消耗和buff配置索引'!$M:$M,0))=0,"",INDEX('#建筑消耗和buff配置索引'!BO:BO,MATCH($F394,'#建筑消耗和buff配置索引'!$M:$M,0)))</f>
        <v/>
      </c>
      <c r="AW394" s="133" t="str">
        <f>IF(AV394="","",INDEX('#建筑消耗和buff配置索引'!BP:BP,MATCH($F394,'#建筑消耗和buff配置索引'!$M:$M,0)))</f>
        <v/>
      </c>
      <c r="AZ394" s="133" t="str">
        <f>IF(INDEX('#建筑消耗和buff配置索引'!BS:BS,MATCH($F394,'#建筑消耗和buff配置索引'!$M:$M,0))=0,"",INDEX('#建筑消耗和buff配置索引'!BS:BS,MATCH($F394,'#建筑消耗和buff配置索引'!$M:$M,0)))</f>
        <v/>
      </c>
      <c r="BA394" s="133" t="str">
        <f>IF(AZ394="","",INDEX('#建筑消耗和buff配置索引'!BT:BT,MATCH($F394,'#建筑消耗和buff配置索引'!$M:$M,0)))</f>
        <v/>
      </c>
      <c r="BD394" s="133" t="str">
        <f>IF(INDEX('#建筑消耗和buff配置索引'!BW:BW,MATCH($F394,'#建筑消耗和buff配置索引'!$M:$M,0))=0,"",INDEX('#建筑消耗和buff配置索引'!BW:BW,MATCH($F394,'#建筑消耗和buff配置索引'!$M:$M,0)))</f>
        <v/>
      </c>
      <c r="BE394" s="133" t="str">
        <f>IF(BD394="","",INDEX('#建筑消耗和buff配置索引'!BX:BX,MATCH($F394,'#建筑消耗和buff配置索引'!$M:$M,0)))</f>
        <v/>
      </c>
      <c r="BI394" s="133">
        <v>25</v>
      </c>
    </row>
    <row r="395" spans="1:66" s="133" customFormat="1">
      <c r="A395" s="133">
        <v>2290030</v>
      </c>
      <c r="B395" s="133">
        <v>392</v>
      </c>
      <c r="C395" s="133">
        <v>229</v>
      </c>
      <c r="D395" s="133" t="s">
        <v>515</v>
      </c>
      <c r="E395" s="133">
        <v>30</v>
      </c>
      <c r="F395" s="133" t="str">
        <f t="shared" si="7"/>
        <v>战争大厅30</v>
      </c>
      <c r="H395" s="146"/>
      <c r="I395" s="133">
        <v>3</v>
      </c>
      <c r="J395" s="150">
        <f>INDEX('#建筑消耗和buff配置索引'!AH:AH,MATCH($F395,'#建筑消耗和buff配置索引'!$M:$M,0))</f>
        <v>2419200</v>
      </c>
      <c r="K395" s="150">
        <f>INDEX('#建筑消耗和buff配置索引'!AA:AA,MATCH($F395,'#建筑消耗和buff配置索引'!$M:$M,0))</f>
        <v>23000000</v>
      </c>
      <c r="L395" s="150">
        <f>INDEX('#建筑消耗和buff配置索引'!AB:AB,MATCH($F395,'#建筑消耗和buff配置索引'!$M:$M,0))</f>
        <v>46000000</v>
      </c>
      <c r="M395" s="150">
        <f>INDEX('#建筑消耗和buff配置索引'!AC:AC,MATCH($F395,'#建筑消耗和buff配置索引'!$M:$M,0))</f>
        <v>46000000</v>
      </c>
      <c r="N395" s="150">
        <f>INDEX('#建筑消耗和buff配置索引'!AD:AD,MATCH($F395,'#建筑消耗和buff配置索引'!$M:$M,0))</f>
        <v>46000000</v>
      </c>
      <c r="O395" s="150">
        <f>IF(INDEX('#建筑消耗和buff配置索引'!T:T,MATCH($F395,'#建筑消耗和buff配置索引'!$M:$M,0))=0,"",INDEX('#建筑消耗和buff配置索引'!T:T,MATCH($F395,'#建筑消耗和buff配置索引'!$M:$M,0)))</f>
        <v>2061</v>
      </c>
      <c r="P395" s="133">
        <f>IF(INDEX('#建筑消耗和buff配置索引'!U:U,MATCH($F395,'#建筑消耗和buff配置索引'!$M:$M,0))=0,"",INDEX('#建筑消耗和buff配置索引'!U:U,MATCH($F395,'#建筑消耗和buff配置索引'!$M:$M,0)))</f>
        <v>360</v>
      </c>
      <c r="Q395" s="133" t="str">
        <f>IF(INDEX('#建筑消耗和buff配置索引'!K:K,MATCH($F395,'#建筑消耗和buff配置索引'!$M:$M,0))=0,"",INDEX('#建筑消耗和buff配置索引'!K:K,MATCH($F395,'#建筑消耗和buff配置索引'!$M:$M,0)))</f>
        <v>201;230</v>
      </c>
      <c r="R395" s="133" t="str">
        <f>IF(INDEX('#建筑消耗和buff配置索引'!L:L,MATCH($F395,'#建筑消耗和buff配置索引'!$M:$M,0))=0,"",INDEX('#建筑消耗和buff配置索引'!L:L,MATCH($F395,'#建筑消耗和buff配置索引'!$M:$M,0)))</f>
        <v>30;30</v>
      </c>
      <c r="S395" s="133">
        <f>IF(INDEX('#建筑消耗和buff配置索引'!C:C,MATCH(F395,'#建筑消耗和buff配置索引'!M:M,0))=0,1,INDEX('#建筑消耗和buff配置索引'!C:C,MATCH(F395,'#建筑消耗和buff配置索引'!M:M,0)))</f>
        <v>3</v>
      </c>
      <c r="T395" s="133">
        <v>0</v>
      </c>
      <c r="U395" s="133">
        <v>0</v>
      </c>
      <c r="V395" s="133" t="str">
        <f>IF(E395=1,IF(INDEX('#建筑消耗和buff配置索引'!BY:BY,MATCH(D395,'#建筑消耗和buff配置索引'!A:A,0))=0,"",INDEX('#建筑消耗和buff配置索引'!BY:BY,MATCH(D395,'#建筑消耗和buff配置索引'!A:A,0))),"")</f>
        <v/>
      </c>
      <c r="W395" s="133" t="str">
        <f>IF(E395=1,IF(INDEX('#建筑消耗和buff配置索引'!BZ:BZ,MATCH(D395,'#建筑消耗和buff配置索引'!A:A,0))=0,"",INDEX('#建筑消耗和buff配置索引'!BZ:BZ,MATCH(D395,'#建筑消耗和buff配置索引'!A:A,0))),"")</f>
        <v/>
      </c>
      <c r="AA395" s="133">
        <f>INDEX('#建筑消耗和buff配置索引'!AO:AO,MATCH($F395,'#建筑消耗和buff配置索引'!$M:$M,0))</f>
        <v>1475648</v>
      </c>
      <c r="AB395" s="133">
        <f>IF(INDEX('#建筑消耗和buff配置索引'!AR:AR,MATCH($F395,'#建筑消耗和buff配置索引'!$M:$M,0))=0,"",INDEX('#建筑消耗和buff配置索引'!AR:AR,MATCH($F395,'#建筑消耗和buff配置索引'!$M:$M,0)))</f>
        <v>1254</v>
      </c>
      <c r="AC395" s="133">
        <f>IF(AB395="","",INDEX('#建筑消耗和buff配置索引'!AS:AS,MATCH($F395,'#建筑消耗和buff配置索引'!$M:$M,0)))</f>
        <v>20000000</v>
      </c>
      <c r="AF395" s="133">
        <f>IF(INDEX('#建筑消耗和buff配置索引'!AW:AW,MATCH($F395,'#建筑消耗和buff配置索引'!$M:$M,0))=0,"",INDEX('#建筑消耗和buff配置索引'!AW:AW,MATCH($F395,'#建筑消耗和buff配置索引'!$M:$M,0)))</f>
        <v>10000401</v>
      </c>
      <c r="AG395" s="133">
        <f>IF(AF395="","",INDEX('#建筑消耗和buff配置索引'!AX:AX,MATCH($F395,'#建筑消耗和buff配置索引'!$M:$M,0)))</f>
        <v>2000000</v>
      </c>
      <c r="AJ395" s="133" t="str">
        <f>IF(INDEX('#建筑消耗和buff配置索引'!BB:BB,MATCH($F395,'#建筑消耗和buff配置索引'!$M:$M,0))=0,"",INDEX('#建筑消耗和buff配置索引'!BB:BB,MATCH($F395,'#建筑消耗和buff配置索引'!$M:$M,0)))</f>
        <v/>
      </c>
      <c r="AK395" s="133" t="str">
        <f>IF(AJ395="","",INDEX('#建筑消耗和buff配置索引'!BC:BC,MATCH($F395,'#建筑消耗和buff配置索引'!$M:$M,0)))</f>
        <v/>
      </c>
      <c r="AN395" s="133" t="str">
        <f>IF(INDEX('#建筑消耗和buff配置索引'!BG:BG,MATCH($F395,'#建筑消耗和buff配置索引'!$M:$M,0))=0,"",INDEX('#建筑消耗和buff配置索引'!BG:BG,MATCH($F395,'#建筑消耗和buff配置索引'!$M:$M,0)))</f>
        <v/>
      </c>
      <c r="AO395" s="133" t="str">
        <f>IF(AN395="","",INDEX('#建筑消耗和buff配置索引'!BH:BH,MATCH($F395,'#建筑消耗和buff配置索引'!$M:$M,0)))</f>
        <v/>
      </c>
      <c r="AR395" s="133" t="str">
        <f>IF(INDEX('#建筑消耗和buff配置索引'!BK:BK,MATCH($F395,'#建筑消耗和buff配置索引'!$M:$M,0))=0,"",INDEX('#建筑消耗和buff配置索引'!BK:BK,MATCH($F395,'#建筑消耗和buff配置索引'!$M:$M,0)))</f>
        <v/>
      </c>
      <c r="AS395" s="133" t="str">
        <f>IF(AR395="","",INDEX('#建筑消耗和buff配置索引'!BL:BL,MATCH($F395,'#建筑消耗和buff配置索引'!$M:$M,0)))</f>
        <v/>
      </c>
      <c r="AV395" s="133" t="str">
        <f>IF(INDEX('#建筑消耗和buff配置索引'!BO:BO,MATCH($F395,'#建筑消耗和buff配置索引'!$M:$M,0))=0,"",INDEX('#建筑消耗和buff配置索引'!BO:BO,MATCH($F395,'#建筑消耗和buff配置索引'!$M:$M,0)))</f>
        <v/>
      </c>
      <c r="AW395" s="133" t="str">
        <f>IF(AV395="","",INDEX('#建筑消耗和buff配置索引'!BP:BP,MATCH($F395,'#建筑消耗和buff配置索引'!$M:$M,0)))</f>
        <v/>
      </c>
      <c r="AZ395" s="133" t="str">
        <f>IF(INDEX('#建筑消耗和buff配置索引'!BS:BS,MATCH($F395,'#建筑消耗和buff配置索引'!$M:$M,0))=0,"",INDEX('#建筑消耗和buff配置索引'!BS:BS,MATCH($F395,'#建筑消耗和buff配置索引'!$M:$M,0)))</f>
        <v/>
      </c>
      <c r="BA395" s="133" t="str">
        <f>IF(AZ395="","",INDEX('#建筑消耗和buff配置索引'!BT:BT,MATCH($F395,'#建筑消耗和buff配置索引'!$M:$M,0)))</f>
        <v/>
      </c>
      <c r="BD395" s="133" t="str">
        <f>IF(INDEX('#建筑消耗和buff配置索引'!BW:BW,MATCH($F395,'#建筑消耗和buff配置索引'!$M:$M,0))=0,"",INDEX('#建筑消耗和buff配置索引'!BW:BW,MATCH($F395,'#建筑消耗和buff配置索引'!$M:$M,0)))</f>
        <v/>
      </c>
      <c r="BE395" s="133" t="str">
        <f>IF(BD395="","",INDEX('#建筑消耗和buff配置索引'!BX:BX,MATCH($F395,'#建筑消耗和buff配置索引'!$M:$M,0)))</f>
        <v/>
      </c>
      <c r="BI395" s="133">
        <v>25</v>
      </c>
    </row>
    <row r="396" spans="1:66" s="133" customFormat="1">
      <c r="A396" s="133">
        <v>2300001</v>
      </c>
      <c r="B396" s="133">
        <v>393</v>
      </c>
      <c r="C396" s="133">
        <v>230</v>
      </c>
      <c r="D396" s="133" t="s">
        <v>539</v>
      </c>
      <c r="E396" s="133">
        <v>1</v>
      </c>
      <c r="F396" s="133" t="str">
        <f t="shared" si="7"/>
        <v>大使馆1</v>
      </c>
      <c r="H396" s="146"/>
      <c r="I396" s="133" t="s">
        <v>1205</v>
      </c>
      <c r="J396" s="150">
        <f>INDEX('#建筑消耗和buff配置索引'!AH:AH,MATCH($F396,'#建筑消耗和buff配置索引'!$M:$M,0))</f>
        <v>25</v>
      </c>
      <c r="K396" s="150">
        <f>INDEX('#建筑消耗和buff配置索引'!AA:AA,MATCH($F396,'#建筑消耗和buff配置索引'!$M:$M,0))</f>
        <v>0</v>
      </c>
      <c r="L396" s="150">
        <f>INDEX('#建筑消耗和buff配置索引'!AB:AB,MATCH($F396,'#建筑消耗和buff配置索引'!$M:$M,0))</f>
        <v>0</v>
      </c>
      <c r="M396" s="150">
        <f>INDEX('#建筑消耗和buff配置索引'!AC:AC,MATCH($F396,'#建筑消耗和buff配置索引'!$M:$M,0))</f>
        <v>0</v>
      </c>
      <c r="N396" s="150">
        <f>INDEX('#建筑消耗和buff配置索引'!AD:AD,MATCH($F396,'#建筑消耗和buff配置索引'!$M:$M,0))</f>
        <v>0</v>
      </c>
      <c r="O396" s="150" t="str">
        <f>IF(INDEX('#建筑消耗和buff配置索引'!T:T,MATCH($F396,'#建筑消耗和buff配置索引'!$M:$M,0))=0,"",INDEX('#建筑消耗和buff配置索引'!T:T,MATCH($F396,'#建筑消耗和buff配置索引'!$M:$M,0)))</f>
        <v/>
      </c>
      <c r="P396" s="133" t="str">
        <f>IF(INDEX('#建筑消耗和buff配置索引'!U:U,MATCH($F396,'#建筑消耗和buff配置索引'!$M:$M,0))=0,"",INDEX('#建筑消耗和buff配置索引'!U:U,MATCH($F396,'#建筑消耗和buff配置索引'!$M:$M,0)))</f>
        <v/>
      </c>
      <c r="Q396" s="133" t="str">
        <f>IF(INDEX('#建筑消耗和buff配置索引'!K:K,MATCH($F396,'#建筑消耗和buff配置索引'!$M:$M,0))=0,"",INDEX('#建筑消耗和buff配置索引'!K:K,MATCH($F396,'#建筑消耗和buff配置索引'!$M:$M,0)))</f>
        <v>201</v>
      </c>
      <c r="R396" s="133" t="str">
        <f>IF(INDEX('#建筑消耗和buff配置索引'!L:L,MATCH($F396,'#建筑消耗和buff配置索引'!$M:$M,0))=0,"",INDEX('#建筑消耗和buff配置索引'!L:L,MATCH($F396,'#建筑消耗和buff配置索引'!$M:$M,0)))</f>
        <v>8</v>
      </c>
      <c r="S396" s="133">
        <f>IF(INDEX('#建筑消耗和buff配置索引'!C:C,MATCH(F396,'#建筑消耗和buff配置索引'!M:M,0))=0,1,INDEX('#建筑消耗和buff配置索引'!C:C,MATCH(F396,'#建筑消耗和buff配置索引'!M:M,0)))</f>
        <v>2</v>
      </c>
      <c r="T396" s="133">
        <v>0</v>
      </c>
      <c r="U396" s="133">
        <v>0</v>
      </c>
      <c r="V396" s="133" t="str">
        <f>IF(E396=1,IF(INDEX('#建筑消耗和buff配置索引'!BY:BY,MATCH(D396,'#建筑消耗和buff配置索引'!A:A,0))=0,"",INDEX('#建筑消耗和buff配置索引'!BY:BY,MATCH(D396,'#建筑消耗和buff配置索引'!A:A,0))),"")</f>
        <v>1:2</v>
      </c>
      <c r="W396" s="133" t="str">
        <f>IF(E396=1,IF(INDEX('#建筑消耗和buff配置索引'!BZ:BZ,MATCH(D396,'#建筑消耗和buff配置索引'!A:A,0))=0,"",INDEX('#建筑消耗和buff配置索引'!BZ:BZ,MATCH(D396,'#建筑消耗和buff配置索引'!A:A,0))),"")</f>
        <v>TID_Buff_BuilDetail_2601:TID_Buff_BuilDetail_1400</v>
      </c>
      <c r="AA396" s="133">
        <f>INDEX('#建筑消耗和buff配置索引'!AO:AO,MATCH($F396,'#建筑消耗和buff配置索引'!$M:$M,0))</f>
        <v>4</v>
      </c>
      <c r="AB396" s="133">
        <f>IF(INDEX('#建筑消耗和buff配置索引'!AR:AR,MATCH($F396,'#建筑消耗和buff配置索引'!$M:$M,0))=0,"",INDEX('#建筑消耗和buff配置索引'!AR:AR,MATCH($F396,'#建筑消耗和buff配置索引'!$M:$M,0)))</f>
        <v>2601</v>
      </c>
      <c r="AC396" s="133">
        <f>IF(AB396="","",INDEX('#建筑消耗和buff配置索引'!AS:AS,MATCH($F396,'#建筑消耗和buff配置索引'!$M:$M,0)))</f>
        <v>20000</v>
      </c>
      <c r="AF396" s="133">
        <f>IF(INDEX('#建筑消耗和buff配置索引'!AW:AW,MATCH($F396,'#建筑消耗和buff配置索引'!$M:$M,0))=0,"",INDEX('#建筑消耗和buff配置索引'!AW:AW,MATCH($F396,'#建筑消耗和buff配置索引'!$M:$M,0)))</f>
        <v>1400</v>
      </c>
      <c r="AG396" s="133">
        <f>IF(AF396="","",INDEX('#建筑消耗和buff配置索引'!AX:AX,MATCH($F396,'#建筑消耗和buff配置索引'!$M:$M,0)))</f>
        <v>1</v>
      </c>
      <c r="AJ396" s="133" t="str">
        <f>IF(INDEX('#建筑消耗和buff配置索引'!BB:BB,MATCH($F396,'#建筑消耗和buff配置索引'!$M:$M,0))=0,"",INDEX('#建筑消耗和buff配置索引'!BB:BB,MATCH($F396,'#建筑消耗和buff配置索引'!$M:$M,0)))</f>
        <v/>
      </c>
      <c r="AK396" s="133" t="str">
        <f>IF(AJ396="","",INDEX('#建筑消耗和buff配置索引'!BC:BC,MATCH($F396,'#建筑消耗和buff配置索引'!$M:$M,0)))</f>
        <v/>
      </c>
      <c r="AN396" s="133" t="str">
        <f>IF(INDEX('#建筑消耗和buff配置索引'!BG:BG,MATCH($F396,'#建筑消耗和buff配置索引'!$M:$M,0))=0,"",INDEX('#建筑消耗和buff配置索引'!BG:BG,MATCH($F396,'#建筑消耗和buff配置索引'!$M:$M,0)))</f>
        <v/>
      </c>
      <c r="AO396" s="133" t="str">
        <f>IF(AN396="","",INDEX('#建筑消耗和buff配置索引'!BH:BH,MATCH($F396,'#建筑消耗和buff配置索引'!$M:$M,0)))</f>
        <v/>
      </c>
      <c r="AR396" s="133" t="str">
        <f>IF(INDEX('#建筑消耗和buff配置索引'!BK:BK,MATCH($F396,'#建筑消耗和buff配置索引'!$M:$M,0))=0,"",INDEX('#建筑消耗和buff配置索引'!BK:BK,MATCH($F396,'#建筑消耗和buff配置索引'!$M:$M,0)))</f>
        <v/>
      </c>
      <c r="AS396" s="133" t="str">
        <f>IF(AR396="","",INDEX('#建筑消耗和buff配置索引'!BL:BL,MATCH($F396,'#建筑消耗和buff配置索引'!$M:$M,0)))</f>
        <v/>
      </c>
      <c r="AV396" s="133" t="str">
        <f>IF(INDEX('#建筑消耗和buff配置索引'!BO:BO,MATCH($F396,'#建筑消耗和buff配置索引'!$M:$M,0))=0,"",INDEX('#建筑消耗和buff配置索引'!BO:BO,MATCH($F396,'#建筑消耗和buff配置索引'!$M:$M,0)))</f>
        <v/>
      </c>
      <c r="AW396" s="133" t="str">
        <f>IF(AV396="","",INDEX('#建筑消耗和buff配置索引'!BP:BP,MATCH($F396,'#建筑消耗和buff配置索引'!$M:$M,0)))</f>
        <v/>
      </c>
      <c r="AZ396" s="133" t="str">
        <f>IF(INDEX('#建筑消耗和buff配置索引'!BS:BS,MATCH($F396,'#建筑消耗和buff配置索引'!$M:$M,0))=0,"",INDEX('#建筑消耗和buff配置索引'!BS:BS,MATCH($F396,'#建筑消耗和buff配置索引'!$M:$M,0)))</f>
        <v/>
      </c>
      <c r="BA396" s="133" t="str">
        <f>IF(AZ396="","",INDEX('#建筑消耗和buff配置索引'!BT:BT,MATCH($F396,'#建筑消耗和buff配置索引'!$M:$M,0)))</f>
        <v/>
      </c>
      <c r="BD396" s="133" t="str">
        <f>IF(INDEX('#建筑消耗和buff配置索引'!BW:BW,MATCH($F396,'#建筑消耗和buff配置索引'!$M:$M,0))=0,"",INDEX('#建筑消耗和buff配置索引'!BW:BW,MATCH($F396,'#建筑消耗和buff配置索引'!$M:$M,0)))</f>
        <v/>
      </c>
      <c r="BE396" s="133" t="str">
        <f>IF(BD396="","",INDEX('#建筑消耗和buff配置索引'!BX:BX,MATCH($F396,'#建筑消耗和buff配置索引'!$M:$M,0)))</f>
        <v/>
      </c>
      <c r="BI396" s="133">
        <v>24</v>
      </c>
      <c r="BN396" s="133">
        <v>3</v>
      </c>
    </row>
    <row r="397" spans="1:66" s="133" customFormat="1">
      <c r="A397" s="133">
        <v>2300002</v>
      </c>
      <c r="B397" s="133">
        <v>394</v>
      </c>
      <c r="C397" s="133">
        <v>230</v>
      </c>
      <c r="D397" s="133" t="s">
        <v>539</v>
      </c>
      <c r="E397" s="133">
        <v>2</v>
      </c>
      <c r="F397" s="133" t="str">
        <f t="shared" si="7"/>
        <v>大使馆2</v>
      </c>
      <c r="H397" s="146"/>
      <c r="I397" s="133" t="s">
        <v>1205</v>
      </c>
      <c r="J397" s="150">
        <f>INDEX('#建筑消耗和buff配置索引'!AH:AH,MATCH($F397,'#建筑消耗和buff配置索引'!$M:$M,0))</f>
        <v>72</v>
      </c>
      <c r="K397" s="150">
        <f>INDEX('#建筑消耗和buff配置索引'!AA:AA,MATCH($F397,'#建筑消耗和buff配置索引'!$M:$M,0))</f>
        <v>1300</v>
      </c>
      <c r="L397" s="150">
        <f>INDEX('#建筑消耗和buff配置索引'!AB:AB,MATCH($F397,'#建筑消耗和buff配置索引'!$M:$M,0))</f>
        <v>2700</v>
      </c>
      <c r="M397" s="150">
        <f>INDEX('#建筑消耗和buff配置索引'!AC:AC,MATCH($F397,'#建筑消耗和buff配置索引'!$M:$M,0))</f>
        <v>0</v>
      </c>
      <c r="N397" s="150">
        <f>INDEX('#建筑消耗和buff配置索引'!AD:AD,MATCH($F397,'#建筑消耗和buff配置索引'!$M:$M,0))</f>
        <v>0</v>
      </c>
      <c r="O397" s="150" t="str">
        <f>IF(INDEX('#建筑消耗和buff配置索引'!T:T,MATCH($F397,'#建筑消耗和buff配置索引'!$M:$M,0))=0,"",INDEX('#建筑消耗和buff配置索引'!T:T,MATCH($F397,'#建筑消耗和buff配置索引'!$M:$M,0)))</f>
        <v/>
      </c>
      <c r="P397" s="133" t="str">
        <f>IF(INDEX('#建筑消耗和buff配置索引'!U:U,MATCH($F397,'#建筑消耗和buff配置索引'!$M:$M,0))=0,"",INDEX('#建筑消耗和buff配置索引'!U:U,MATCH($F397,'#建筑消耗和buff配置索引'!$M:$M,0)))</f>
        <v/>
      </c>
      <c r="Q397" s="133" t="str">
        <f>IF(INDEX('#建筑消耗和buff配置索引'!K:K,MATCH($F397,'#建筑消耗和buff配置索引'!$M:$M,0))=0,"",INDEX('#建筑消耗和buff配置索引'!K:K,MATCH($F397,'#建筑消耗和buff配置索引'!$M:$M,0)))</f>
        <v>201</v>
      </c>
      <c r="R397" s="133" t="str">
        <f>IF(INDEX('#建筑消耗和buff配置索引'!L:L,MATCH($F397,'#建筑消耗和buff配置索引'!$M:$M,0))=0,"",INDEX('#建筑消耗和buff配置索引'!L:L,MATCH($F397,'#建筑消耗和buff配置索引'!$M:$M,0)))</f>
        <v>8</v>
      </c>
      <c r="S397" s="133">
        <f>IF(INDEX('#建筑消耗和buff配置索引'!C:C,MATCH(F397,'#建筑消耗和buff配置索引'!M:M,0))=0,1,INDEX('#建筑消耗和buff配置索引'!C:C,MATCH(F397,'#建筑消耗和buff配置索引'!M:M,0)))</f>
        <v>2</v>
      </c>
      <c r="T397" s="133">
        <v>0</v>
      </c>
      <c r="U397" s="133">
        <v>0</v>
      </c>
      <c r="V397" s="133" t="str">
        <f>IF(E397=1,IF(INDEX('#建筑消耗和buff配置索引'!BY:BY,MATCH(D397,'#建筑消耗和buff配置索引'!A:A,0))=0,"",INDEX('#建筑消耗和buff配置索引'!BY:BY,MATCH(D397,'#建筑消耗和buff配置索引'!A:A,0))),"")</f>
        <v/>
      </c>
      <c r="W397" s="133" t="str">
        <f>IF(E397=1,IF(INDEX('#建筑消耗和buff配置索引'!BZ:BZ,MATCH(D397,'#建筑消耗和buff配置索引'!A:A,0))=0,"",INDEX('#建筑消耗和buff配置索引'!BZ:BZ,MATCH(D397,'#建筑消耗和buff配置索引'!A:A,0))),"")</f>
        <v/>
      </c>
      <c r="AA397" s="133">
        <f>INDEX('#建筑消耗和buff配置索引'!AO:AO,MATCH($F397,'#建筑消耗和buff配置索引'!$M:$M,0))</f>
        <v>12</v>
      </c>
      <c r="AB397" s="133">
        <f>IF(INDEX('#建筑消耗和buff配置索引'!AR:AR,MATCH($F397,'#建筑消耗和buff配置索引'!$M:$M,0))=0,"",INDEX('#建筑消耗和buff配置索引'!AR:AR,MATCH($F397,'#建筑消耗和buff配置索引'!$M:$M,0)))</f>
        <v>2601</v>
      </c>
      <c r="AC397" s="133">
        <f>IF(AB397="","",INDEX('#建筑消耗和buff配置索引'!AS:AS,MATCH($F397,'#建筑消耗和buff配置索引'!$M:$M,0)))</f>
        <v>40000</v>
      </c>
      <c r="AF397" s="133">
        <f>IF(INDEX('#建筑消耗和buff配置索引'!AW:AW,MATCH($F397,'#建筑消耗和buff配置索引'!$M:$M,0))=0,"",INDEX('#建筑消耗和buff配置索引'!AW:AW,MATCH($F397,'#建筑消耗和buff配置索引'!$M:$M,0)))</f>
        <v>1400</v>
      </c>
      <c r="AG397" s="133">
        <f>IF(AF397="","",INDEX('#建筑消耗和buff配置索引'!AX:AX,MATCH($F397,'#建筑消耗和buff配置索引'!$M:$M,0)))</f>
        <v>1</v>
      </c>
      <c r="AJ397" s="133" t="str">
        <f>IF(INDEX('#建筑消耗和buff配置索引'!BB:BB,MATCH($F397,'#建筑消耗和buff配置索引'!$M:$M,0))=0,"",INDEX('#建筑消耗和buff配置索引'!BB:BB,MATCH($F397,'#建筑消耗和buff配置索引'!$M:$M,0)))</f>
        <v/>
      </c>
      <c r="AK397" s="133" t="str">
        <f>IF(AJ397="","",INDEX('#建筑消耗和buff配置索引'!BC:BC,MATCH($F397,'#建筑消耗和buff配置索引'!$M:$M,0)))</f>
        <v/>
      </c>
      <c r="AN397" s="133" t="str">
        <f>IF(INDEX('#建筑消耗和buff配置索引'!BG:BG,MATCH($F397,'#建筑消耗和buff配置索引'!$M:$M,0))=0,"",INDEX('#建筑消耗和buff配置索引'!BG:BG,MATCH($F397,'#建筑消耗和buff配置索引'!$M:$M,0)))</f>
        <v/>
      </c>
      <c r="AO397" s="133" t="str">
        <f>IF(AN397="","",INDEX('#建筑消耗和buff配置索引'!BH:BH,MATCH($F397,'#建筑消耗和buff配置索引'!$M:$M,0)))</f>
        <v/>
      </c>
      <c r="AR397" s="133" t="str">
        <f>IF(INDEX('#建筑消耗和buff配置索引'!BK:BK,MATCH($F397,'#建筑消耗和buff配置索引'!$M:$M,0))=0,"",INDEX('#建筑消耗和buff配置索引'!BK:BK,MATCH($F397,'#建筑消耗和buff配置索引'!$M:$M,0)))</f>
        <v/>
      </c>
      <c r="AS397" s="133" t="str">
        <f>IF(AR397="","",INDEX('#建筑消耗和buff配置索引'!BL:BL,MATCH($F397,'#建筑消耗和buff配置索引'!$M:$M,0)))</f>
        <v/>
      </c>
      <c r="AV397" s="133" t="str">
        <f>IF(INDEX('#建筑消耗和buff配置索引'!BO:BO,MATCH($F397,'#建筑消耗和buff配置索引'!$M:$M,0))=0,"",INDEX('#建筑消耗和buff配置索引'!BO:BO,MATCH($F397,'#建筑消耗和buff配置索引'!$M:$M,0)))</f>
        <v/>
      </c>
      <c r="AW397" s="133" t="str">
        <f>IF(AV397="","",INDEX('#建筑消耗和buff配置索引'!BP:BP,MATCH($F397,'#建筑消耗和buff配置索引'!$M:$M,0)))</f>
        <v/>
      </c>
      <c r="AZ397" s="133" t="str">
        <f>IF(INDEX('#建筑消耗和buff配置索引'!BS:BS,MATCH($F397,'#建筑消耗和buff配置索引'!$M:$M,0))=0,"",INDEX('#建筑消耗和buff配置索引'!BS:BS,MATCH($F397,'#建筑消耗和buff配置索引'!$M:$M,0)))</f>
        <v/>
      </c>
      <c r="BA397" s="133" t="str">
        <f>IF(AZ397="","",INDEX('#建筑消耗和buff配置索引'!BT:BT,MATCH($F397,'#建筑消耗和buff配置索引'!$M:$M,0)))</f>
        <v/>
      </c>
      <c r="BD397" s="133" t="str">
        <f>IF(INDEX('#建筑消耗和buff配置索引'!BW:BW,MATCH($F397,'#建筑消耗和buff配置索引'!$M:$M,0))=0,"",INDEX('#建筑消耗和buff配置索引'!BW:BW,MATCH($F397,'#建筑消耗和buff配置索引'!$M:$M,0)))</f>
        <v/>
      </c>
      <c r="BE397" s="133" t="str">
        <f>IF(BD397="","",INDEX('#建筑消耗和buff配置索引'!BX:BX,MATCH($F397,'#建筑消耗和buff配置索引'!$M:$M,0)))</f>
        <v/>
      </c>
      <c r="BI397" s="133">
        <v>24</v>
      </c>
    </row>
    <row r="398" spans="1:66" s="133" customFormat="1">
      <c r="A398" s="133">
        <v>2300003</v>
      </c>
      <c r="B398" s="133">
        <v>395</v>
      </c>
      <c r="C398" s="133">
        <v>230</v>
      </c>
      <c r="D398" s="133" t="s">
        <v>539</v>
      </c>
      <c r="E398" s="133">
        <v>3</v>
      </c>
      <c r="F398" s="133" t="str">
        <f t="shared" si="7"/>
        <v>大使馆3</v>
      </c>
      <c r="H398" s="146"/>
      <c r="I398" s="133" t="s">
        <v>1205</v>
      </c>
      <c r="J398" s="150">
        <f>INDEX('#建筑消耗和buff配置索引'!AH:AH,MATCH($F398,'#建筑消耗和buff配置索引'!$M:$M,0))</f>
        <v>144</v>
      </c>
      <c r="K398" s="150">
        <f>INDEX('#建筑消耗和buff配置索引'!AA:AA,MATCH($F398,'#建筑消耗和buff配置索引'!$M:$M,0))</f>
        <v>2700</v>
      </c>
      <c r="L398" s="150">
        <f>INDEX('#建筑消耗和buff配置索引'!AB:AB,MATCH($F398,'#建筑消耗和buff配置索引'!$M:$M,0))</f>
        <v>5300</v>
      </c>
      <c r="M398" s="150">
        <f>INDEX('#建筑消耗和buff配置索引'!AC:AC,MATCH($F398,'#建筑消耗和buff配置索引'!$M:$M,0))</f>
        <v>0</v>
      </c>
      <c r="N398" s="150">
        <f>INDEX('#建筑消耗和buff配置索引'!AD:AD,MATCH($F398,'#建筑消耗和buff配置索引'!$M:$M,0))</f>
        <v>0</v>
      </c>
      <c r="O398" s="150" t="str">
        <f>IF(INDEX('#建筑消耗和buff配置索引'!T:T,MATCH($F398,'#建筑消耗和buff配置索引'!$M:$M,0))=0,"",INDEX('#建筑消耗和buff配置索引'!T:T,MATCH($F398,'#建筑消耗和buff配置索引'!$M:$M,0)))</f>
        <v/>
      </c>
      <c r="P398" s="133" t="str">
        <f>IF(INDEX('#建筑消耗和buff配置索引'!U:U,MATCH($F398,'#建筑消耗和buff配置索引'!$M:$M,0))=0,"",INDEX('#建筑消耗和buff配置索引'!U:U,MATCH($F398,'#建筑消耗和buff配置索引'!$M:$M,0)))</f>
        <v/>
      </c>
      <c r="Q398" s="133" t="str">
        <f>IF(INDEX('#建筑消耗和buff配置索引'!K:K,MATCH($F398,'#建筑消耗和buff配置索引'!$M:$M,0))=0,"",INDEX('#建筑消耗和buff配置索引'!K:K,MATCH($F398,'#建筑消耗和buff配置索引'!$M:$M,0)))</f>
        <v>201</v>
      </c>
      <c r="R398" s="133" t="str">
        <f>IF(INDEX('#建筑消耗和buff配置索引'!L:L,MATCH($F398,'#建筑消耗和buff配置索引'!$M:$M,0))=0,"",INDEX('#建筑消耗和buff配置索引'!L:L,MATCH($F398,'#建筑消耗和buff配置索引'!$M:$M,0)))</f>
        <v>8</v>
      </c>
      <c r="S398" s="133">
        <f>IF(INDEX('#建筑消耗和buff配置索引'!C:C,MATCH(F398,'#建筑消耗和buff配置索引'!M:M,0))=0,1,INDEX('#建筑消耗和buff配置索引'!C:C,MATCH(F398,'#建筑消耗和buff配置索引'!M:M,0)))</f>
        <v>2</v>
      </c>
      <c r="T398" s="133">
        <v>0</v>
      </c>
      <c r="U398" s="133">
        <v>0</v>
      </c>
      <c r="V398" s="133" t="str">
        <f>IF(E398=1,IF(INDEX('#建筑消耗和buff配置索引'!BY:BY,MATCH(D398,'#建筑消耗和buff配置索引'!A:A,0))=0,"",INDEX('#建筑消耗和buff配置索引'!BY:BY,MATCH(D398,'#建筑消耗和buff配置索引'!A:A,0))),"")</f>
        <v/>
      </c>
      <c r="W398" s="133" t="str">
        <f>IF(E398=1,IF(INDEX('#建筑消耗和buff配置索引'!BZ:BZ,MATCH(D398,'#建筑消耗和buff配置索引'!A:A,0))=0,"",INDEX('#建筑消耗和buff配置索引'!BZ:BZ,MATCH(D398,'#建筑消耗和buff配置索引'!A:A,0))),"")</f>
        <v/>
      </c>
      <c r="AA398" s="133">
        <f>INDEX('#建筑消耗和buff配置索引'!AO:AO,MATCH($F398,'#建筑消耗和buff配置索引'!$M:$M,0))</f>
        <v>28</v>
      </c>
      <c r="AB398" s="133">
        <f>IF(INDEX('#建筑消耗和buff配置索引'!AR:AR,MATCH($F398,'#建筑消耗和buff配置索引'!$M:$M,0))=0,"",INDEX('#建筑消耗和buff配置索引'!AR:AR,MATCH($F398,'#建筑消耗和buff配置索引'!$M:$M,0)))</f>
        <v>2601</v>
      </c>
      <c r="AC398" s="133">
        <f>IF(AB398="","",INDEX('#建筑消耗和buff配置索引'!AS:AS,MATCH($F398,'#建筑消耗和buff配置索引'!$M:$M,0)))</f>
        <v>60000</v>
      </c>
      <c r="AF398" s="133">
        <f>IF(INDEX('#建筑消耗和buff配置索引'!AW:AW,MATCH($F398,'#建筑消耗和buff配置索引'!$M:$M,0))=0,"",INDEX('#建筑消耗和buff配置索引'!AW:AW,MATCH($F398,'#建筑消耗和buff配置索引'!$M:$M,0)))</f>
        <v>1400</v>
      </c>
      <c r="AG398" s="133">
        <f>IF(AF398="","",INDEX('#建筑消耗和buff配置索引'!AX:AX,MATCH($F398,'#建筑消耗和buff配置索引'!$M:$M,0)))</f>
        <v>2</v>
      </c>
      <c r="AJ398" s="133" t="str">
        <f>IF(INDEX('#建筑消耗和buff配置索引'!BB:BB,MATCH($F398,'#建筑消耗和buff配置索引'!$M:$M,0))=0,"",INDEX('#建筑消耗和buff配置索引'!BB:BB,MATCH($F398,'#建筑消耗和buff配置索引'!$M:$M,0)))</f>
        <v/>
      </c>
      <c r="AK398" s="133" t="str">
        <f>IF(AJ398="","",INDEX('#建筑消耗和buff配置索引'!BC:BC,MATCH($F398,'#建筑消耗和buff配置索引'!$M:$M,0)))</f>
        <v/>
      </c>
      <c r="AN398" s="133" t="str">
        <f>IF(INDEX('#建筑消耗和buff配置索引'!BG:BG,MATCH($F398,'#建筑消耗和buff配置索引'!$M:$M,0))=0,"",INDEX('#建筑消耗和buff配置索引'!BG:BG,MATCH($F398,'#建筑消耗和buff配置索引'!$M:$M,0)))</f>
        <v/>
      </c>
      <c r="AO398" s="133" t="str">
        <f>IF(AN398="","",INDEX('#建筑消耗和buff配置索引'!BH:BH,MATCH($F398,'#建筑消耗和buff配置索引'!$M:$M,0)))</f>
        <v/>
      </c>
      <c r="AR398" s="133" t="str">
        <f>IF(INDEX('#建筑消耗和buff配置索引'!BK:BK,MATCH($F398,'#建筑消耗和buff配置索引'!$M:$M,0))=0,"",INDEX('#建筑消耗和buff配置索引'!BK:BK,MATCH($F398,'#建筑消耗和buff配置索引'!$M:$M,0)))</f>
        <v/>
      </c>
      <c r="AS398" s="133" t="str">
        <f>IF(AR398="","",INDEX('#建筑消耗和buff配置索引'!BL:BL,MATCH($F398,'#建筑消耗和buff配置索引'!$M:$M,0)))</f>
        <v/>
      </c>
      <c r="AV398" s="133" t="str">
        <f>IF(INDEX('#建筑消耗和buff配置索引'!BO:BO,MATCH($F398,'#建筑消耗和buff配置索引'!$M:$M,0))=0,"",INDEX('#建筑消耗和buff配置索引'!BO:BO,MATCH($F398,'#建筑消耗和buff配置索引'!$M:$M,0)))</f>
        <v/>
      </c>
      <c r="AW398" s="133" t="str">
        <f>IF(AV398="","",INDEX('#建筑消耗和buff配置索引'!BP:BP,MATCH($F398,'#建筑消耗和buff配置索引'!$M:$M,0)))</f>
        <v/>
      </c>
      <c r="AZ398" s="133" t="str">
        <f>IF(INDEX('#建筑消耗和buff配置索引'!BS:BS,MATCH($F398,'#建筑消耗和buff配置索引'!$M:$M,0))=0,"",INDEX('#建筑消耗和buff配置索引'!BS:BS,MATCH($F398,'#建筑消耗和buff配置索引'!$M:$M,0)))</f>
        <v/>
      </c>
      <c r="BA398" s="133" t="str">
        <f>IF(AZ398="","",INDEX('#建筑消耗和buff配置索引'!BT:BT,MATCH($F398,'#建筑消耗和buff配置索引'!$M:$M,0)))</f>
        <v/>
      </c>
      <c r="BD398" s="133" t="str">
        <f>IF(INDEX('#建筑消耗和buff配置索引'!BW:BW,MATCH($F398,'#建筑消耗和buff配置索引'!$M:$M,0))=0,"",INDEX('#建筑消耗和buff配置索引'!BW:BW,MATCH($F398,'#建筑消耗和buff配置索引'!$M:$M,0)))</f>
        <v/>
      </c>
      <c r="BE398" s="133" t="str">
        <f>IF(BD398="","",INDEX('#建筑消耗和buff配置索引'!BX:BX,MATCH($F398,'#建筑消耗和buff配置索引'!$M:$M,0)))</f>
        <v/>
      </c>
      <c r="BI398" s="133">
        <v>24</v>
      </c>
    </row>
    <row r="399" spans="1:66" s="133" customFormat="1">
      <c r="A399" s="133">
        <v>2300004</v>
      </c>
      <c r="B399" s="133">
        <v>396</v>
      </c>
      <c r="C399" s="133">
        <v>230</v>
      </c>
      <c r="D399" s="133" t="s">
        <v>539</v>
      </c>
      <c r="E399" s="133">
        <v>4</v>
      </c>
      <c r="F399" s="133" t="str">
        <f t="shared" si="7"/>
        <v>大使馆4</v>
      </c>
      <c r="H399" s="146"/>
      <c r="I399" s="133" t="s">
        <v>1205</v>
      </c>
      <c r="J399" s="150">
        <f>INDEX('#建筑消耗和buff配置索引'!AH:AH,MATCH($F399,'#建筑消耗和buff配置索引'!$M:$M,0))</f>
        <v>288</v>
      </c>
      <c r="K399" s="150">
        <f>INDEX('#建筑消耗和buff配置索引'!AA:AA,MATCH($F399,'#建筑消耗和buff配置索引'!$M:$M,0))</f>
        <v>5300</v>
      </c>
      <c r="L399" s="150">
        <f>INDEX('#建筑消耗和buff配置索引'!AB:AB,MATCH($F399,'#建筑消耗和buff配置索引'!$M:$M,0))</f>
        <v>11000</v>
      </c>
      <c r="M399" s="150">
        <f>INDEX('#建筑消耗和buff配置索引'!AC:AC,MATCH($F399,'#建筑消耗和buff配置索引'!$M:$M,0))</f>
        <v>0</v>
      </c>
      <c r="N399" s="150">
        <f>INDEX('#建筑消耗和buff配置索引'!AD:AD,MATCH($F399,'#建筑消耗和buff配置索引'!$M:$M,0))</f>
        <v>0</v>
      </c>
      <c r="O399" s="150" t="str">
        <f>IF(INDEX('#建筑消耗和buff配置索引'!T:T,MATCH($F399,'#建筑消耗和buff配置索引'!$M:$M,0))=0,"",INDEX('#建筑消耗和buff配置索引'!T:T,MATCH($F399,'#建筑消耗和buff配置索引'!$M:$M,0)))</f>
        <v/>
      </c>
      <c r="P399" s="133" t="str">
        <f>IF(INDEX('#建筑消耗和buff配置索引'!U:U,MATCH($F399,'#建筑消耗和buff配置索引'!$M:$M,0))=0,"",INDEX('#建筑消耗和buff配置索引'!U:U,MATCH($F399,'#建筑消耗和buff配置索引'!$M:$M,0)))</f>
        <v/>
      </c>
      <c r="Q399" s="133" t="str">
        <f>IF(INDEX('#建筑消耗和buff配置索引'!K:K,MATCH($F399,'#建筑消耗和buff配置索引'!$M:$M,0))=0,"",INDEX('#建筑消耗和buff配置索引'!K:K,MATCH($F399,'#建筑消耗和buff配置索引'!$M:$M,0)))</f>
        <v>201</v>
      </c>
      <c r="R399" s="133" t="str">
        <f>IF(INDEX('#建筑消耗和buff配置索引'!L:L,MATCH($F399,'#建筑消耗和buff配置索引'!$M:$M,0))=0,"",INDEX('#建筑消耗和buff配置索引'!L:L,MATCH($F399,'#建筑消耗和buff配置索引'!$M:$M,0)))</f>
        <v>8</v>
      </c>
      <c r="S399" s="133">
        <f>IF(INDEX('#建筑消耗和buff配置索引'!C:C,MATCH(F399,'#建筑消耗和buff配置索引'!M:M,0))=0,1,INDEX('#建筑消耗和buff配置索引'!C:C,MATCH(F399,'#建筑消耗和buff配置索引'!M:M,0)))</f>
        <v>2</v>
      </c>
      <c r="T399" s="133">
        <v>0</v>
      </c>
      <c r="U399" s="133">
        <v>0</v>
      </c>
      <c r="V399" s="133" t="str">
        <f>IF(E399=1,IF(INDEX('#建筑消耗和buff配置索引'!BY:BY,MATCH(D399,'#建筑消耗和buff配置索引'!A:A,0))=0,"",INDEX('#建筑消耗和buff配置索引'!BY:BY,MATCH(D399,'#建筑消耗和buff配置索引'!A:A,0))),"")</f>
        <v/>
      </c>
      <c r="W399" s="133" t="str">
        <f>IF(E399=1,IF(INDEX('#建筑消耗和buff配置索引'!BZ:BZ,MATCH(D399,'#建筑消耗和buff配置索引'!A:A,0))=0,"",INDEX('#建筑消耗和buff配置索引'!BZ:BZ,MATCH(D399,'#建筑消耗和buff配置索引'!A:A,0))),"")</f>
        <v/>
      </c>
      <c r="AA399" s="133">
        <f>INDEX('#建筑消耗和buff配置索引'!AO:AO,MATCH($F399,'#建筑消耗和buff配置索引'!$M:$M,0))</f>
        <v>60</v>
      </c>
      <c r="AB399" s="133">
        <f>IF(INDEX('#建筑消耗和buff配置索引'!AR:AR,MATCH($F399,'#建筑消耗和buff配置索引'!$M:$M,0))=0,"",INDEX('#建筑消耗和buff配置索引'!AR:AR,MATCH($F399,'#建筑消耗和buff配置索引'!$M:$M,0)))</f>
        <v>2601</v>
      </c>
      <c r="AC399" s="133">
        <f>IF(AB399="","",INDEX('#建筑消耗和buff配置索引'!AS:AS,MATCH($F399,'#建筑消耗和buff配置索引'!$M:$M,0)))</f>
        <v>80000</v>
      </c>
      <c r="AF399" s="133">
        <f>IF(INDEX('#建筑消耗和buff配置索引'!AW:AW,MATCH($F399,'#建筑消耗和buff配置索引'!$M:$M,0))=0,"",INDEX('#建筑消耗和buff配置索引'!AW:AW,MATCH($F399,'#建筑消耗和buff配置索引'!$M:$M,0)))</f>
        <v>1400</v>
      </c>
      <c r="AG399" s="133">
        <f>IF(AF399="","",INDEX('#建筑消耗和buff配置索引'!AX:AX,MATCH($F399,'#建筑消耗和buff配置索引'!$M:$M,0)))</f>
        <v>2</v>
      </c>
      <c r="AJ399" s="133" t="str">
        <f>IF(INDEX('#建筑消耗和buff配置索引'!BB:BB,MATCH($F399,'#建筑消耗和buff配置索引'!$M:$M,0))=0,"",INDEX('#建筑消耗和buff配置索引'!BB:BB,MATCH($F399,'#建筑消耗和buff配置索引'!$M:$M,0)))</f>
        <v/>
      </c>
      <c r="AK399" s="133" t="str">
        <f>IF(AJ399="","",INDEX('#建筑消耗和buff配置索引'!BC:BC,MATCH($F399,'#建筑消耗和buff配置索引'!$M:$M,0)))</f>
        <v/>
      </c>
      <c r="AN399" s="133" t="str">
        <f>IF(INDEX('#建筑消耗和buff配置索引'!BG:BG,MATCH($F399,'#建筑消耗和buff配置索引'!$M:$M,0))=0,"",INDEX('#建筑消耗和buff配置索引'!BG:BG,MATCH($F399,'#建筑消耗和buff配置索引'!$M:$M,0)))</f>
        <v/>
      </c>
      <c r="AO399" s="133" t="str">
        <f>IF(AN399="","",INDEX('#建筑消耗和buff配置索引'!BH:BH,MATCH($F399,'#建筑消耗和buff配置索引'!$M:$M,0)))</f>
        <v/>
      </c>
      <c r="AR399" s="133" t="str">
        <f>IF(INDEX('#建筑消耗和buff配置索引'!BK:BK,MATCH($F399,'#建筑消耗和buff配置索引'!$M:$M,0))=0,"",INDEX('#建筑消耗和buff配置索引'!BK:BK,MATCH($F399,'#建筑消耗和buff配置索引'!$M:$M,0)))</f>
        <v/>
      </c>
      <c r="AS399" s="133" t="str">
        <f>IF(AR399="","",INDEX('#建筑消耗和buff配置索引'!BL:BL,MATCH($F399,'#建筑消耗和buff配置索引'!$M:$M,0)))</f>
        <v/>
      </c>
      <c r="AV399" s="133" t="str">
        <f>IF(INDEX('#建筑消耗和buff配置索引'!BO:BO,MATCH($F399,'#建筑消耗和buff配置索引'!$M:$M,0))=0,"",INDEX('#建筑消耗和buff配置索引'!BO:BO,MATCH($F399,'#建筑消耗和buff配置索引'!$M:$M,0)))</f>
        <v/>
      </c>
      <c r="AW399" s="133" t="str">
        <f>IF(AV399="","",INDEX('#建筑消耗和buff配置索引'!BP:BP,MATCH($F399,'#建筑消耗和buff配置索引'!$M:$M,0)))</f>
        <v/>
      </c>
      <c r="AZ399" s="133" t="str">
        <f>IF(INDEX('#建筑消耗和buff配置索引'!BS:BS,MATCH($F399,'#建筑消耗和buff配置索引'!$M:$M,0))=0,"",INDEX('#建筑消耗和buff配置索引'!BS:BS,MATCH($F399,'#建筑消耗和buff配置索引'!$M:$M,0)))</f>
        <v/>
      </c>
      <c r="BA399" s="133" t="str">
        <f>IF(AZ399="","",INDEX('#建筑消耗和buff配置索引'!BT:BT,MATCH($F399,'#建筑消耗和buff配置索引'!$M:$M,0)))</f>
        <v/>
      </c>
      <c r="BD399" s="133" t="str">
        <f>IF(INDEX('#建筑消耗和buff配置索引'!BW:BW,MATCH($F399,'#建筑消耗和buff配置索引'!$M:$M,0))=0,"",INDEX('#建筑消耗和buff配置索引'!BW:BW,MATCH($F399,'#建筑消耗和buff配置索引'!$M:$M,0)))</f>
        <v/>
      </c>
      <c r="BE399" s="133" t="str">
        <f>IF(BD399="","",INDEX('#建筑消耗和buff配置索引'!BX:BX,MATCH($F399,'#建筑消耗和buff配置索引'!$M:$M,0)))</f>
        <v/>
      </c>
      <c r="BI399" s="133">
        <v>24</v>
      </c>
    </row>
    <row r="400" spans="1:66" s="133" customFormat="1">
      <c r="A400" s="133">
        <v>2300005</v>
      </c>
      <c r="B400" s="133">
        <v>397</v>
      </c>
      <c r="C400" s="133">
        <v>230</v>
      </c>
      <c r="D400" s="133" t="s">
        <v>539</v>
      </c>
      <c r="E400" s="133">
        <v>5</v>
      </c>
      <c r="F400" s="133" t="str">
        <f t="shared" si="7"/>
        <v>大使馆5</v>
      </c>
      <c r="H400" s="146"/>
      <c r="I400" s="133">
        <v>1</v>
      </c>
      <c r="J400" s="150">
        <f>INDEX('#建筑消耗和buff配置索引'!AH:AH,MATCH($F400,'#建筑消耗和buff配置索引'!$M:$M,0))</f>
        <v>600</v>
      </c>
      <c r="K400" s="150">
        <f>INDEX('#建筑消耗和buff配置索引'!AA:AA,MATCH($F400,'#建筑消耗和buff配置索引'!$M:$M,0))</f>
        <v>6200</v>
      </c>
      <c r="L400" s="150">
        <f>INDEX('#建筑消耗和buff配置索引'!AB:AB,MATCH($F400,'#建筑消耗和buff配置索引'!$M:$M,0))</f>
        <v>12000</v>
      </c>
      <c r="M400" s="150">
        <f>INDEX('#建筑消耗和buff配置索引'!AC:AC,MATCH($F400,'#建筑消耗和buff配置索引'!$M:$M,0))</f>
        <v>12000</v>
      </c>
      <c r="N400" s="150">
        <f>INDEX('#建筑消耗和buff配置索引'!AD:AD,MATCH($F400,'#建筑消耗和buff配置索引'!$M:$M,0))</f>
        <v>0</v>
      </c>
      <c r="O400" s="150" t="str">
        <f>IF(INDEX('#建筑消耗和buff配置索引'!T:T,MATCH($F400,'#建筑消耗和buff配置索引'!$M:$M,0))=0,"",INDEX('#建筑消耗和buff配置索引'!T:T,MATCH($F400,'#建筑消耗和buff配置索引'!$M:$M,0)))</f>
        <v/>
      </c>
      <c r="P400" s="133" t="str">
        <f>IF(INDEX('#建筑消耗和buff配置索引'!U:U,MATCH($F400,'#建筑消耗和buff配置索引'!$M:$M,0))=0,"",INDEX('#建筑消耗和buff配置索引'!U:U,MATCH($F400,'#建筑消耗和buff配置索引'!$M:$M,0)))</f>
        <v/>
      </c>
      <c r="Q400" s="133" t="str">
        <f>IF(INDEX('#建筑消耗和buff配置索引'!K:K,MATCH($F400,'#建筑消耗和buff配置索引'!$M:$M,0))=0,"",INDEX('#建筑消耗和buff配置索引'!K:K,MATCH($F400,'#建筑消耗和buff配置索引'!$M:$M,0)))</f>
        <v>201</v>
      </c>
      <c r="R400" s="133" t="str">
        <f>IF(INDEX('#建筑消耗和buff配置索引'!L:L,MATCH($F400,'#建筑消耗和buff配置索引'!$M:$M,0))=0,"",INDEX('#建筑消耗和buff配置索引'!L:L,MATCH($F400,'#建筑消耗和buff配置索引'!$M:$M,0)))</f>
        <v>8</v>
      </c>
      <c r="S400" s="133">
        <f>IF(INDEX('#建筑消耗和buff配置索引'!C:C,MATCH(F400,'#建筑消耗和buff配置索引'!M:M,0))=0,1,INDEX('#建筑消耗和buff配置索引'!C:C,MATCH(F400,'#建筑消耗和buff配置索引'!M:M,0)))</f>
        <v>2</v>
      </c>
      <c r="T400" s="133">
        <v>0</v>
      </c>
      <c r="U400" s="133">
        <v>0</v>
      </c>
      <c r="V400" s="133" t="str">
        <f>IF(E400=1,IF(INDEX('#建筑消耗和buff配置索引'!BY:BY,MATCH(D400,'#建筑消耗和buff配置索引'!A:A,0))=0,"",INDEX('#建筑消耗和buff配置索引'!BY:BY,MATCH(D400,'#建筑消耗和buff配置索引'!A:A,0))),"")</f>
        <v/>
      </c>
      <c r="W400" s="133" t="str">
        <f>IF(E400=1,IF(INDEX('#建筑消耗和buff配置索引'!BZ:BZ,MATCH(D400,'#建筑消耗和buff配置索引'!A:A,0))=0,"",INDEX('#建筑消耗和buff配置索引'!BZ:BZ,MATCH(D400,'#建筑消耗和buff配置索引'!A:A,0))),"")</f>
        <v/>
      </c>
      <c r="AA400" s="133">
        <f>INDEX('#建筑消耗和buff配置索引'!AO:AO,MATCH($F400,'#建筑消耗和buff配置索引'!$M:$M,0))</f>
        <v>121</v>
      </c>
      <c r="AB400" s="133">
        <f>IF(INDEX('#建筑消耗和buff配置索引'!AR:AR,MATCH($F400,'#建筑消耗和buff配置索引'!$M:$M,0))=0,"",INDEX('#建筑消耗和buff配置索引'!AR:AR,MATCH($F400,'#建筑消耗和buff配置索引'!$M:$M,0)))</f>
        <v>2601</v>
      </c>
      <c r="AC400" s="133">
        <f>IF(AB400="","",INDEX('#建筑消耗和buff配置索引'!AS:AS,MATCH($F400,'#建筑消耗和buff配置索引'!$M:$M,0)))</f>
        <v>100000</v>
      </c>
      <c r="AF400" s="133">
        <f>IF(INDEX('#建筑消耗和buff配置索引'!AW:AW,MATCH($F400,'#建筑消耗和buff配置索引'!$M:$M,0))=0,"",INDEX('#建筑消耗和buff配置索引'!AW:AW,MATCH($F400,'#建筑消耗和buff配置索引'!$M:$M,0)))</f>
        <v>1400</v>
      </c>
      <c r="AG400" s="133">
        <f>IF(AF400="","",INDEX('#建筑消耗和buff配置索引'!AX:AX,MATCH($F400,'#建筑消耗和buff配置索引'!$M:$M,0)))</f>
        <v>3</v>
      </c>
      <c r="AJ400" s="133" t="str">
        <f>IF(INDEX('#建筑消耗和buff配置索引'!BB:BB,MATCH($F400,'#建筑消耗和buff配置索引'!$M:$M,0))=0,"",INDEX('#建筑消耗和buff配置索引'!BB:BB,MATCH($F400,'#建筑消耗和buff配置索引'!$M:$M,0)))</f>
        <v/>
      </c>
      <c r="AK400" s="133" t="str">
        <f>IF(AJ400="","",INDEX('#建筑消耗和buff配置索引'!BC:BC,MATCH($F400,'#建筑消耗和buff配置索引'!$M:$M,0)))</f>
        <v/>
      </c>
      <c r="AN400" s="133" t="str">
        <f>IF(INDEX('#建筑消耗和buff配置索引'!BG:BG,MATCH($F400,'#建筑消耗和buff配置索引'!$M:$M,0))=0,"",INDEX('#建筑消耗和buff配置索引'!BG:BG,MATCH($F400,'#建筑消耗和buff配置索引'!$M:$M,0)))</f>
        <v/>
      </c>
      <c r="AO400" s="133" t="str">
        <f>IF(AN400="","",INDEX('#建筑消耗和buff配置索引'!BH:BH,MATCH($F400,'#建筑消耗和buff配置索引'!$M:$M,0)))</f>
        <v/>
      </c>
      <c r="AR400" s="133" t="str">
        <f>IF(INDEX('#建筑消耗和buff配置索引'!BK:BK,MATCH($F400,'#建筑消耗和buff配置索引'!$M:$M,0))=0,"",INDEX('#建筑消耗和buff配置索引'!BK:BK,MATCH($F400,'#建筑消耗和buff配置索引'!$M:$M,0)))</f>
        <v/>
      </c>
      <c r="AS400" s="133" t="str">
        <f>IF(AR400="","",INDEX('#建筑消耗和buff配置索引'!BL:BL,MATCH($F400,'#建筑消耗和buff配置索引'!$M:$M,0)))</f>
        <v/>
      </c>
      <c r="AV400" s="133" t="str">
        <f>IF(INDEX('#建筑消耗和buff配置索引'!BO:BO,MATCH($F400,'#建筑消耗和buff配置索引'!$M:$M,0))=0,"",INDEX('#建筑消耗和buff配置索引'!BO:BO,MATCH($F400,'#建筑消耗和buff配置索引'!$M:$M,0)))</f>
        <v/>
      </c>
      <c r="AW400" s="133" t="str">
        <f>IF(AV400="","",INDEX('#建筑消耗和buff配置索引'!BP:BP,MATCH($F400,'#建筑消耗和buff配置索引'!$M:$M,0)))</f>
        <v/>
      </c>
      <c r="AZ400" s="133" t="str">
        <f>IF(INDEX('#建筑消耗和buff配置索引'!BS:BS,MATCH($F400,'#建筑消耗和buff配置索引'!$M:$M,0))=0,"",INDEX('#建筑消耗和buff配置索引'!BS:BS,MATCH($F400,'#建筑消耗和buff配置索引'!$M:$M,0)))</f>
        <v/>
      </c>
      <c r="BA400" s="133" t="str">
        <f>IF(AZ400="","",INDEX('#建筑消耗和buff配置索引'!BT:BT,MATCH($F400,'#建筑消耗和buff配置索引'!$M:$M,0)))</f>
        <v/>
      </c>
      <c r="BD400" s="133" t="str">
        <f>IF(INDEX('#建筑消耗和buff配置索引'!BW:BW,MATCH($F400,'#建筑消耗和buff配置索引'!$M:$M,0))=0,"",INDEX('#建筑消耗和buff配置索引'!BW:BW,MATCH($F400,'#建筑消耗和buff配置索引'!$M:$M,0)))</f>
        <v/>
      </c>
      <c r="BE400" s="133" t="str">
        <f>IF(BD400="","",INDEX('#建筑消耗和buff配置索引'!BX:BX,MATCH($F400,'#建筑消耗和buff配置索引'!$M:$M,0)))</f>
        <v/>
      </c>
      <c r="BI400" s="133">
        <v>24</v>
      </c>
    </row>
    <row r="401" spans="1:61" s="133" customFormat="1">
      <c r="A401" s="133">
        <v>2300006</v>
      </c>
      <c r="B401" s="133">
        <v>398</v>
      </c>
      <c r="C401" s="133">
        <v>230</v>
      </c>
      <c r="D401" s="133" t="s">
        <v>539</v>
      </c>
      <c r="E401" s="133">
        <v>6</v>
      </c>
      <c r="F401" s="133" t="str">
        <f t="shared" si="7"/>
        <v>大使馆6</v>
      </c>
      <c r="H401" s="146"/>
      <c r="I401" s="133">
        <v>1</v>
      </c>
      <c r="J401" s="150">
        <f>INDEX('#建筑消耗和buff配置索引'!AH:AH,MATCH($F401,'#建筑消耗和buff配置索引'!$M:$M,0))</f>
        <v>1080</v>
      </c>
      <c r="K401" s="150">
        <f>INDEX('#建筑消耗和buff配置索引'!AA:AA,MATCH($F401,'#建筑消耗和buff配置索引'!$M:$M,0))</f>
        <v>11000</v>
      </c>
      <c r="L401" s="150">
        <f>INDEX('#建筑消耗和buff配置索引'!AB:AB,MATCH($F401,'#建筑消耗和buff配置索引'!$M:$M,0))</f>
        <v>23000</v>
      </c>
      <c r="M401" s="150">
        <f>INDEX('#建筑消耗和buff配置索引'!AC:AC,MATCH($F401,'#建筑消耗和buff配置索引'!$M:$M,0))</f>
        <v>23000</v>
      </c>
      <c r="N401" s="150">
        <f>INDEX('#建筑消耗和buff配置索引'!AD:AD,MATCH($F401,'#建筑消耗和buff配置索引'!$M:$M,0))</f>
        <v>0</v>
      </c>
      <c r="O401" s="150" t="str">
        <f>IF(INDEX('#建筑消耗和buff配置索引'!T:T,MATCH($F401,'#建筑消耗和buff配置索引'!$M:$M,0))=0,"",INDEX('#建筑消耗和buff配置索引'!T:T,MATCH($F401,'#建筑消耗和buff配置索引'!$M:$M,0)))</f>
        <v/>
      </c>
      <c r="P401" s="133" t="str">
        <f>IF(INDEX('#建筑消耗和buff配置索引'!U:U,MATCH($F401,'#建筑消耗和buff配置索引'!$M:$M,0))=0,"",INDEX('#建筑消耗和buff配置索引'!U:U,MATCH($F401,'#建筑消耗和buff配置索引'!$M:$M,0)))</f>
        <v/>
      </c>
      <c r="Q401" s="133" t="str">
        <f>IF(INDEX('#建筑消耗和buff配置索引'!K:K,MATCH($F401,'#建筑消耗和buff配置索引'!$M:$M,0))=0,"",INDEX('#建筑消耗和buff配置索引'!K:K,MATCH($F401,'#建筑消耗和buff配置索引'!$M:$M,0)))</f>
        <v>201</v>
      </c>
      <c r="R401" s="133" t="str">
        <f>IF(INDEX('#建筑消耗和buff配置索引'!L:L,MATCH($F401,'#建筑消耗和buff配置索引'!$M:$M,0))=0,"",INDEX('#建筑消耗和buff配置索引'!L:L,MATCH($F401,'#建筑消耗和buff配置索引'!$M:$M,0)))</f>
        <v>8</v>
      </c>
      <c r="S401" s="133">
        <f>IF(INDEX('#建筑消耗和buff配置索引'!C:C,MATCH(F401,'#建筑消耗和buff配置索引'!M:M,0))=0,1,INDEX('#建筑消耗和buff配置索引'!C:C,MATCH(F401,'#建筑消耗和buff配置索引'!M:M,0)))</f>
        <v>2</v>
      </c>
      <c r="T401" s="133">
        <v>0</v>
      </c>
      <c r="U401" s="133">
        <v>0</v>
      </c>
      <c r="V401" s="133" t="str">
        <f>IF(E401=1,IF(INDEX('#建筑消耗和buff配置索引'!BY:BY,MATCH(D401,'#建筑消耗和buff配置索引'!A:A,0))=0,"",INDEX('#建筑消耗和buff配置索引'!BY:BY,MATCH(D401,'#建筑消耗和buff配置索引'!A:A,0))),"")</f>
        <v/>
      </c>
      <c r="W401" s="133" t="str">
        <f>IF(E401=1,IF(INDEX('#建筑消耗和buff配置索引'!BZ:BZ,MATCH(D401,'#建筑消耗和buff配置索引'!A:A,0))=0,"",INDEX('#建筑消耗和buff配置索引'!BZ:BZ,MATCH(D401,'#建筑消耗和buff配置索引'!A:A,0))),"")</f>
        <v/>
      </c>
      <c r="AA401" s="133">
        <f>INDEX('#建筑消耗和buff配置索引'!AO:AO,MATCH($F401,'#建筑消耗和buff配置索引'!$M:$M,0))</f>
        <v>236</v>
      </c>
      <c r="AB401" s="133">
        <f>IF(INDEX('#建筑消耗和buff配置索引'!AR:AR,MATCH($F401,'#建筑消耗和buff配置索引'!$M:$M,0))=0,"",INDEX('#建筑消耗和buff配置索引'!AR:AR,MATCH($F401,'#建筑消耗和buff配置索引'!$M:$M,0)))</f>
        <v>2601</v>
      </c>
      <c r="AC401" s="133">
        <f>IF(AB401="","",INDEX('#建筑消耗和buff配置索引'!AS:AS,MATCH($F401,'#建筑消耗和buff配置索引'!$M:$M,0)))</f>
        <v>120000</v>
      </c>
      <c r="AF401" s="133">
        <f>IF(INDEX('#建筑消耗和buff配置索引'!AW:AW,MATCH($F401,'#建筑消耗和buff配置索引'!$M:$M,0))=0,"",INDEX('#建筑消耗和buff配置索引'!AW:AW,MATCH($F401,'#建筑消耗和buff配置索引'!$M:$M,0)))</f>
        <v>1400</v>
      </c>
      <c r="AG401" s="133">
        <f>IF(AF401="","",INDEX('#建筑消耗和buff配置索引'!AX:AX,MATCH($F401,'#建筑消耗和buff配置索引'!$M:$M,0)))</f>
        <v>3</v>
      </c>
      <c r="AJ401" s="133" t="str">
        <f>IF(INDEX('#建筑消耗和buff配置索引'!BB:BB,MATCH($F401,'#建筑消耗和buff配置索引'!$M:$M,0))=0,"",INDEX('#建筑消耗和buff配置索引'!BB:BB,MATCH($F401,'#建筑消耗和buff配置索引'!$M:$M,0)))</f>
        <v/>
      </c>
      <c r="AK401" s="133" t="str">
        <f>IF(AJ401="","",INDEX('#建筑消耗和buff配置索引'!BC:BC,MATCH($F401,'#建筑消耗和buff配置索引'!$M:$M,0)))</f>
        <v/>
      </c>
      <c r="AN401" s="133" t="str">
        <f>IF(INDEX('#建筑消耗和buff配置索引'!BG:BG,MATCH($F401,'#建筑消耗和buff配置索引'!$M:$M,0))=0,"",INDEX('#建筑消耗和buff配置索引'!BG:BG,MATCH($F401,'#建筑消耗和buff配置索引'!$M:$M,0)))</f>
        <v/>
      </c>
      <c r="AO401" s="133" t="str">
        <f>IF(AN401="","",INDEX('#建筑消耗和buff配置索引'!BH:BH,MATCH($F401,'#建筑消耗和buff配置索引'!$M:$M,0)))</f>
        <v/>
      </c>
      <c r="AR401" s="133" t="str">
        <f>IF(INDEX('#建筑消耗和buff配置索引'!BK:BK,MATCH($F401,'#建筑消耗和buff配置索引'!$M:$M,0))=0,"",INDEX('#建筑消耗和buff配置索引'!BK:BK,MATCH($F401,'#建筑消耗和buff配置索引'!$M:$M,0)))</f>
        <v/>
      </c>
      <c r="AS401" s="133" t="str">
        <f>IF(AR401="","",INDEX('#建筑消耗和buff配置索引'!BL:BL,MATCH($F401,'#建筑消耗和buff配置索引'!$M:$M,0)))</f>
        <v/>
      </c>
      <c r="AV401" s="133" t="str">
        <f>IF(INDEX('#建筑消耗和buff配置索引'!BO:BO,MATCH($F401,'#建筑消耗和buff配置索引'!$M:$M,0))=0,"",INDEX('#建筑消耗和buff配置索引'!BO:BO,MATCH($F401,'#建筑消耗和buff配置索引'!$M:$M,0)))</f>
        <v/>
      </c>
      <c r="AW401" s="133" t="str">
        <f>IF(AV401="","",INDEX('#建筑消耗和buff配置索引'!BP:BP,MATCH($F401,'#建筑消耗和buff配置索引'!$M:$M,0)))</f>
        <v/>
      </c>
      <c r="AZ401" s="133" t="str">
        <f>IF(INDEX('#建筑消耗和buff配置索引'!BS:BS,MATCH($F401,'#建筑消耗和buff配置索引'!$M:$M,0))=0,"",INDEX('#建筑消耗和buff配置索引'!BS:BS,MATCH($F401,'#建筑消耗和buff配置索引'!$M:$M,0)))</f>
        <v/>
      </c>
      <c r="BA401" s="133" t="str">
        <f>IF(AZ401="","",INDEX('#建筑消耗和buff配置索引'!BT:BT,MATCH($F401,'#建筑消耗和buff配置索引'!$M:$M,0)))</f>
        <v/>
      </c>
      <c r="BD401" s="133" t="str">
        <f>IF(INDEX('#建筑消耗和buff配置索引'!BW:BW,MATCH($F401,'#建筑消耗和buff配置索引'!$M:$M,0))=0,"",INDEX('#建筑消耗和buff配置索引'!BW:BW,MATCH($F401,'#建筑消耗和buff配置索引'!$M:$M,0)))</f>
        <v/>
      </c>
      <c r="BE401" s="133" t="str">
        <f>IF(BD401="","",INDEX('#建筑消耗和buff配置索引'!BX:BX,MATCH($F401,'#建筑消耗和buff配置索引'!$M:$M,0)))</f>
        <v/>
      </c>
      <c r="BI401" s="133">
        <v>24</v>
      </c>
    </row>
    <row r="402" spans="1:61" s="133" customFormat="1">
      <c r="A402" s="133">
        <v>2300007</v>
      </c>
      <c r="B402" s="133">
        <v>399</v>
      </c>
      <c r="C402" s="133">
        <v>230</v>
      </c>
      <c r="D402" s="133" t="s">
        <v>539</v>
      </c>
      <c r="E402" s="133">
        <v>7</v>
      </c>
      <c r="F402" s="133" t="str">
        <f t="shared" si="7"/>
        <v>大使馆7</v>
      </c>
      <c r="H402" s="146"/>
      <c r="I402" s="133">
        <v>1</v>
      </c>
      <c r="J402" s="150">
        <f>INDEX('#建筑消耗和buff配置索引'!AH:AH,MATCH($F402,'#建筑消耗和buff配置索引'!$M:$M,0))</f>
        <v>1800</v>
      </c>
      <c r="K402" s="150">
        <f>INDEX('#建筑消耗和buff配置索引'!AA:AA,MATCH($F402,'#建筑消耗和buff配置索引'!$M:$M,0))</f>
        <v>21000</v>
      </c>
      <c r="L402" s="150">
        <f>INDEX('#建筑消耗和buff配置索引'!AB:AB,MATCH($F402,'#建筑消耗和buff配置索引'!$M:$M,0))</f>
        <v>41000</v>
      </c>
      <c r="M402" s="150">
        <f>INDEX('#建筑消耗和buff配置索引'!AC:AC,MATCH($F402,'#建筑消耗和buff配置索引'!$M:$M,0))</f>
        <v>41000</v>
      </c>
      <c r="N402" s="150">
        <f>INDEX('#建筑消耗和buff配置索引'!AD:AD,MATCH($F402,'#建筑消耗和buff配置索引'!$M:$M,0))</f>
        <v>0</v>
      </c>
      <c r="O402" s="150" t="str">
        <f>IF(INDEX('#建筑消耗和buff配置索引'!T:T,MATCH($F402,'#建筑消耗和buff配置索引'!$M:$M,0))=0,"",INDEX('#建筑消耗和buff配置索引'!T:T,MATCH($F402,'#建筑消耗和buff配置索引'!$M:$M,0)))</f>
        <v/>
      </c>
      <c r="P402" s="133" t="str">
        <f>IF(INDEX('#建筑消耗和buff配置索引'!U:U,MATCH($F402,'#建筑消耗和buff配置索引'!$M:$M,0))=0,"",INDEX('#建筑消耗和buff配置索引'!U:U,MATCH($F402,'#建筑消耗和buff配置索引'!$M:$M,0)))</f>
        <v/>
      </c>
      <c r="Q402" s="133" t="str">
        <f>IF(INDEX('#建筑消耗和buff配置索引'!K:K,MATCH($F402,'#建筑消耗和buff配置索引'!$M:$M,0))=0,"",INDEX('#建筑消耗和buff配置索引'!K:K,MATCH($F402,'#建筑消耗和buff配置索引'!$M:$M,0)))</f>
        <v>201</v>
      </c>
      <c r="R402" s="133" t="str">
        <f>IF(INDEX('#建筑消耗和buff配置索引'!L:L,MATCH($F402,'#建筑消耗和buff配置索引'!$M:$M,0))=0,"",INDEX('#建筑消耗和buff配置索引'!L:L,MATCH($F402,'#建筑消耗和buff配置索引'!$M:$M,0)))</f>
        <v>8</v>
      </c>
      <c r="S402" s="133">
        <f>IF(INDEX('#建筑消耗和buff配置索引'!C:C,MATCH(F402,'#建筑消耗和buff配置索引'!M:M,0))=0,1,INDEX('#建筑消耗和buff配置索引'!C:C,MATCH(F402,'#建筑消耗和buff配置索引'!M:M,0)))</f>
        <v>2</v>
      </c>
      <c r="T402" s="133">
        <v>0</v>
      </c>
      <c r="U402" s="133">
        <v>0</v>
      </c>
      <c r="V402" s="133" t="str">
        <f>IF(E402=1,IF(INDEX('#建筑消耗和buff配置索引'!BY:BY,MATCH(D402,'#建筑消耗和buff配置索引'!A:A,0))=0,"",INDEX('#建筑消耗和buff配置索引'!BY:BY,MATCH(D402,'#建筑消耗和buff配置索引'!A:A,0))),"")</f>
        <v/>
      </c>
      <c r="W402" s="133" t="str">
        <f>IF(E402=1,IF(INDEX('#建筑消耗和buff配置索引'!BZ:BZ,MATCH(D402,'#建筑消耗和buff配置索引'!A:A,0))=0,"",INDEX('#建筑消耗和buff配置索引'!BZ:BZ,MATCH(D402,'#建筑消耗和buff配置索引'!A:A,0))),"")</f>
        <v/>
      </c>
      <c r="AA402" s="133">
        <f>INDEX('#建筑消耗和buff配置索引'!AO:AO,MATCH($F402,'#建筑消耗和buff配置索引'!$M:$M,0))</f>
        <v>442</v>
      </c>
      <c r="AB402" s="133">
        <f>IF(INDEX('#建筑消耗和buff配置索引'!AR:AR,MATCH($F402,'#建筑消耗和buff配置索引'!$M:$M,0))=0,"",INDEX('#建筑消耗和buff配置索引'!AR:AR,MATCH($F402,'#建筑消耗和buff配置索引'!$M:$M,0)))</f>
        <v>2601</v>
      </c>
      <c r="AC402" s="133">
        <f>IF(AB402="","",INDEX('#建筑消耗和buff配置索引'!AS:AS,MATCH($F402,'#建筑消耗和buff配置索引'!$M:$M,0)))</f>
        <v>140000</v>
      </c>
      <c r="AF402" s="133">
        <f>IF(INDEX('#建筑消耗和buff配置索引'!AW:AW,MATCH($F402,'#建筑消耗和buff配置索引'!$M:$M,0))=0,"",INDEX('#建筑消耗和buff配置索引'!AW:AW,MATCH($F402,'#建筑消耗和buff配置索引'!$M:$M,0)))</f>
        <v>1400</v>
      </c>
      <c r="AG402" s="133">
        <f>IF(AF402="","",INDEX('#建筑消耗和buff配置索引'!AX:AX,MATCH($F402,'#建筑消耗和buff配置索引'!$M:$M,0)))</f>
        <v>4</v>
      </c>
      <c r="AJ402" s="133" t="str">
        <f>IF(INDEX('#建筑消耗和buff配置索引'!BB:BB,MATCH($F402,'#建筑消耗和buff配置索引'!$M:$M,0))=0,"",INDEX('#建筑消耗和buff配置索引'!BB:BB,MATCH($F402,'#建筑消耗和buff配置索引'!$M:$M,0)))</f>
        <v/>
      </c>
      <c r="AK402" s="133" t="str">
        <f>IF(AJ402="","",INDEX('#建筑消耗和buff配置索引'!BC:BC,MATCH($F402,'#建筑消耗和buff配置索引'!$M:$M,0)))</f>
        <v/>
      </c>
      <c r="AN402" s="133" t="str">
        <f>IF(INDEX('#建筑消耗和buff配置索引'!BG:BG,MATCH($F402,'#建筑消耗和buff配置索引'!$M:$M,0))=0,"",INDEX('#建筑消耗和buff配置索引'!BG:BG,MATCH($F402,'#建筑消耗和buff配置索引'!$M:$M,0)))</f>
        <v/>
      </c>
      <c r="AO402" s="133" t="str">
        <f>IF(AN402="","",INDEX('#建筑消耗和buff配置索引'!BH:BH,MATCH($F402,'#建筑消耗和buff配置索引'!$M:$M,0)))</f>
        <v/>
      </c>
      <c r="AR402" s="133" t="str">
        <f>IF(INDEX('#建筑消耗和buff配置索引'!BK:BK,MATCH($F402,'#建筑消耗和buff配置索引'!$M:$M,0))=0,"",INDEX('#建筑消耗和buff配置索引'!BK:BK,MATCH($F402,'#建筑消耗和buff配置索引'!$M:$M,0)))</f>
        <v/>
      </c>
      <c r="AS402" s="133" t="str">
        <f>IF(AR402="","",INDEX('#建筑消耗和buff配置索引'!BL:BL,MATCH($F402,'#建筑消耗和buff配置索引'!$M:$M,0)))</f>
        <v/>
      </c>
      <c r="AV402" s="133" t="str">
        <f>IF(INDEX('#建筑消耗和buff配置索引'!BO:BO,MATCH($F402,'#建筑消耗和buff配置索引'!$M:$M,0))=0,"",INDEX('#建筑消耗和buff配置索引'!BO:BO,MATCH($F402,'#建筑消耗和buff配置索引'!$M:$M,0)))</f>
        <v/>
      </c>
      <c r="AW402" s="133" t="str">
        <f>IF(AV402="","",INDEX('#建筑消耗和buff配置索引'!BP:BP,MATCH($F402,'#建筑消耗和buff配置索引'!$M:$M,0)))</f>
        <v/>
      </c>
      <c r="AZ402" s="133" t="str">
        <f>IF(INDEX('#建筑消耗和buff配置索引'!BS:BS,MATCH($F402,'#建筑消耗和buff配置索引'!$M:$M,0))=0,"",INDEX('#建筑消耗和buff配置索引'!BS:BS,MATCH($F402,'#建筑消耗和buff配置索引'!$M:$M,0)))</f>
        <v/>
      </c>
      <c r="BA402" s="133" t="str">
        <f>IF(AZ402="","",INDEX('#建筑消耗和buff配置索引'!BT:BT,MATCH($F402,'#建筑消耗和buff配置索引'!$M:$M,0)))</f>
        <v/>
      </c>
      <c r="BD402" s="133" t="str">
        <f>IF(INDEX('#建筑消耗和buff配置索引'!BW:BW,MATCH($F402,'#建筑消耗和buff配置索引'!$M:$M,0))=0,"",INDEX('#建筑消耗和buff配置索引'!BW:BW,MATCH($F402,'#建筑消耗和buff配置索引'!$M:$M,0)))</f>
        <v/>
      </c>
      <c r="BE402" s="133" t="str">
        <f>IF(BD402="","",INDEX('#建筑消耗和buff配置索引'!BX:BX,MATCH($F402,'#建筑消耗和buff配置索引'!$M:$M,0)))</f>
        <v/>
      </c>
      <c r="BI402" s="133">
        <v>24</v>
      </c>
    </row>
    <row r="403" spans="1:61" s="133" customFormat="1">
      <c r="A403" s="133">
        <v>2300008</v>
      </c>
      <c r="B403" s="133">
        <v>400</v>
      </c>
      <c r="C403" s="133">
        <v>230</v>
      </c>
      <c r="D403" s="133" t="s">
        <v>539</v>
      </c>
      <c r="E403" s="133">
        <v>8</v>
      </c>
      <c r="F403" s="133" t="str">
        <f t="shared" si="7"/>
        <v>大使馆8</v>
      </c>
      <c r="H403" s="146"/>
      <c r="I403" s="133">
        <v>1</v>
      </c>
      <c r="J403" s="150">
        <f>INDEX('#建筑消耗和buff配置索引'!AH:AH,MATCH($F403,'#建筑消耗和buff配置索引'!$M:$M,0))</f>
        <v>2880</v>
      </c>
      <c r="K403" s="150">
        <f>INDEX('#建筑消耗和buff配置索引'!AA:AA,MATCH($F403,'#建筑消耗和buff配置索引'!$M:$M,0))</f>
        <v>35000</v>
      </c>
      <c r="L403" s="150">
        <f>INDEX('#建筑消耗和buff配置索引'!AB:AB,MATCH($F403,'#建筑消耗和buff配置索引'!$M:$M,0))</f>
        <v>71000</v>
      </c>
      <c r="M403" s="150">
        <f>INDEX('#建筑消耗和buff配置索引'!AC:AC,MATCH($F403,'#建筑消耗和buff配置索引'!$M:$M,0))</f>
        <v>71000</v>
      </c>
      <c r="N403" s="150">
        <f>INDEX('#建筑消耗和buff配置索引'!AD:AD,MATCH($F403,'#建筑消耗和buff配置索引'!$M:$M,0))</f>
        <v>0</v>
      </c>
      <c r="O403" s="150" t="str">
        <f>IF(INDEX('#建筑消耗和buff配置索引'!T:T,MATCH($F403,'#建筑消耗和buff配置索引'!$M:$M,0))=0,"",INDEX('#建筑消耗和buff配置索引'!T:T,MATCH($F403,'#建筑消耗和buff配置索引'!$M:$M,0)))</f>
        <v/>
      </c>
      <c r="P403" s="133" t="str">
        <f>IF(INDEX('#建筑消耗和buff配置索引'!U:U,MATCH($F403,'#建筑消耗和buff配置索引'!$M:$M,0))=0,"",INDEX('#建筑消耗和buff配置索引'!U:U,MATCH($F403,'#建筑消耗和buff配置索引'!$M:$M,0)))</f>
        <v/>
      </c>
      <c r="Q403" s="133" t="str">
        <f>IF(INDEX('#建筑消耗和buff配置索引'!K:K,MATCH($F403,'#建筑消耗和buff配置索引'!$M:$M,0))=0,"",INDEX('#建筑消耗和buff配置索引'!K:K,MATCH($F403,'#建筑消耗和buff配置索引'!$M:$M,0)))</f>
        <v>201</v>
      </c>
      <c r="R403" s="133" t="str">
        <f>IF(INDEX('#建筑消耗和buff配置索引'!L:L,MATCH($F403,'#建筑消耗和buff配置索引'!$M:$M,0))=0,"",INDEX('#建筑消耗和buff配置索引'!L:L,MATCH($F403,'#建筑消耗和buff配置索引'!$M:$M,0)))</f>
        <v>8</v>
      </c>
      <c r="S403" s="133">
        <f>IF(INDEX('#建筑消耗和buff配置索引'!C:C,MATCH(F403,'#建筑消耗和buff配置索引'!M:M,0))=0,1,INDEX('#建筑消耗和buff配置索引'!C:C,MATCH(F403,'#建筑消耗和buff配置索引'!M:M,0)))</f>
        <v>2</v>
      </c>
      <c r="T403" s="133">
        <v>0</v>
      </c>
      <c r="U403" s="133">
        <v>0</v>
      </c>
      <c r="V403" s="133" t="str">
        <f>IF(E403=1,IF(INDEX('#建筑消耗和buff配置索引'!BY:BY,MATCH(D403,'#建筑消耗和buff配置索引'!A:A,0))=0,"",INDEX('#建筑消耗和buff配置索引'!BY:BY,MATCH(D403,'#建筑消耗和buff配置索引'!A:A,0))),"")</f>
        <v/>
      </c>
      <c r="W403" s="133" t="str">
        <f>IF(E403=1,IF(INDEX('#建筑消耗和buff配置索引'!BZ:BZ,MATCH(D403,'#建筑消耗和buff配置索引'!A:A,0))=0,"",INDEX('#建筑消耗和buff配置索引'!BZ:BZ,MATCH(D403,'#建筑消耗和buff配置索引'!A:A,0))),"")</f>
        <v/>
      </c>
      <c r="AA403" s="133">
        <f>INDEX('#建筑消耗和buff配置索引'!AO:AO,MATCH($F403,'#建筑消耗和buff配置索引'!$M:$M,0))</f>
        <v>795</v>
      </c>
      <c r="AB403" s="133">
        <f>IF(INDEX('#建筑消耗和buff配置索引'!AR:AR,MATCH($F403,'#建筑消耗和buff配置索引'!$M:$M,0))=0,"",INDEX('#建筑消耗和buff配置索引'!AR:AR,MATCH($F403,'#建筑消耗和buff配置索引'!$M:$M,0)))</f>
        <v>2601</v>
      </c>
      <c r="AC403" s="133">
        <f>IF(AB403="","",INDEX('#建筑消耗和buff配置索引'!AS:AS,MATCH($F403,'#建筑消耗和buff配置索引'!$M:$M,0)))</f>
        <v>160000</v>
      </c>
      <c r="AF403" s="133">
        <f>IF(INDEX('#建筑消耗和buff配置索引'!AW:AW,MATCH($F403,'#建筑消耗和buff配置索引'!$M:$M,0))=0,"",INDEX('#建筑消耗和buff配置索引'!AW:AW,MATCH($F403,'#建筑消耗和buff配置索引'!$M:$M,0)))</f>
        <v>1400</v>
      </c>
      <c r="AG403" s="133">
        <f>IF(AF403="","",INDEX('#建筑消耗和buff配置索引'!AX:AX,MATCH($F403,'#建筑消耗和buff配置索引'!$M:$M,0)))</f>
        <v>4</v>
      </c>
      <c r="AJ403" s="133" t="str">
        <f>IF(INDEX('#建筑消耗和buff配置索引'!BB:BB,MATCH($F403,'#建筑消耗和buff配置索引'!$M:$M,0))=0,"",INDEX('#建筑消耗和buff配置索引'!BB:BB,MATCH($F403,'#建筑消耗和buff配置索引'!$M:$M,0)))</f>
        <v/>
      </c>
      <c r="AK403" s="133" t="str">
        <f>IF(AJ403="","",INDEX('#建筑消耗和buff配置索引'!BC:BC,MATCH($F403,'#建筑消耗和buff配置索引'!$M:$M,0)))</f>
        <v/>
      </c>
      <c r="AN403" s="133" t="str">
        <f>IF(INDEX('#建筑消耗和buff配置索引'!BG:BG,MATCH($F403,'#建筑消耗和buff配置索引'!$M:$M,0))=0,"",INDEX('#建筑消耗和buff配置索引'!BG:BG,MATCH($F403,'#建筑消耗和buff配置索引'!$M:$M,0)))</f>
        <v/>
      </c>
      <c r="AO403" s="133" t="str">
        <f>IF(AN403="","",INDEX('#建筑消耗和buff配置索引'!BH:BH,MATCH($F403,'#建筑消耗和buff配置索引'!$M:$M,0)))</f>
        <v/>
      </c>
      <c r="AR403" s="133" t="str">
        <f>IF(INDEX('#建筑消耗和buff配置索引'!BK:BK,MATCH($F403,'#建筑消耗和buff配置索引'!$M:$M,0))=0,"",INDEX('#建筑消耗和buff配置索引'!BK:BK,MATCH($F403,'#建筑消耗和buff配置索引'!$M:$M,0)))</f>
        <v/>
      </c>
      <c r="AS403" s="133" t="str">
        <f>IF(AR403="","",INDEX('#建筑消耗和buff配置索引'!BL:BL,MATCH($F403,'#建筑消耗和buff配置索引'!$M:$M,0)))</f>
        <v/>
      </c>
      <c r="AV403" s="133" t="str">
        <f>IF(INDEX('#建筑消耗和buff配置索引'!BO:BO,MATCH($F403,'#建筑消耗和buff配置索引'!$M:$M,0))=0,"",INDEX('#建筑消耗和buff配置索引'!BO:BO,MATCH($F403,'#建筑消耗和buff配置索引'!$M:$M,0)))</f>
        <v/>
      </c>
      <c r="AW403" s="133" t="str">
        <f>IF(AV403="","",INDEX('#建筑消耗和buff配置索引'!BP:BP,MATCH($F403,'#建筑消耗和buff配置索引'!$M:$M,0)))</f>
        <v/>
      </c>
      <c r="AZ403" s="133" t="str">
        <f>IF(INDEX('#建筑消耗和buff配置索引'!BS:BS,MATCH($F403,'#建筑消耗和buff配置索引'!$M:$M,0))=0,"",INDEX('#建筑消耗和buff配置索引'!BS:BS,MATCH($F403,'#建筑消耗和buff配置索引'!$M:$M,0)))</f>
        <v/>
      </c>
      <c r="BA403" s="133" t="str">
        <f>IF(AZ403="","",INDEX('#建筑消耗和buff配置索引'!BT:BT,MATCH($F403,'#建筑消耗和buff配置索引'!$M:$M,0)))</f>
        <v/>
      </c>
      <c r="BD403" s="133" t="str">
        <f>IF(INDEX('#建筑消耗和buff配置索引'!BW:BW,MATCH($F403,'#建筑消耗和buff配置索引'!$M:$M,0))=0,"",INDEX('#建筑消耗和buff配置索引'!BW:BW,MATCH($F403,'#建筑消耗和buff配置索引'!$M:$M,0)))</f>
        <v/>
      </c>
      <c r="BE403" s="133" t="str">
        <f>IF(BD403="","",INDEX('#建筑消耗和buff配置索引'!BX:BX,MATCH($F403,'#建筑消耗和buff配置索引'!$M:$M,0)))</f>
        <v/>
      </c>
      <c r="BI403" s="133">
        <v>24</v>
      </c>
    </row>
    <row r="404" spans="1:61" s="133" customFormat="1">
      <c r="A404" s="133">
        <v>2300009</v>
      </c>
      <c r="B404" s="133">
        <v>401</v>
      </c>
      <c r="C404" s="133">
        <v>230</v>
      </c>
      <c r="D404" s="133" t="s">
        <v>539</v>
      </c>
      <c r="E404" s="133">
        <v>9</v>
      </c>
      <c r="F404" s="133" t="str">
        <f t="shared" si="7"/>
        <v>大使馆9</v>
      </c>
      <c r="H404" s="146"/>
      <c r="I404" s="133">
        <v>1</v>
      </c>
      <c r="J404" s="150">
        <f>INDEX('#建筑消耗和buff配置索引'!AH:AH,MATCH($F404,'#建筑消耗和buff配置索引'!$M:$M,0))</f>
        <v>5760</v>
      </c>
      <c r="K404" s="150">
        <f>INDEX('#建筑消耗和buff配置索引'!AA:AA,MATCH($F404,'#建筑消耗和buff配置索引'!$M:$M,0))</f>
        <v>58000</v>
      </c>
      <c r="L404" s="150">
        <f>INDEX('#建筑消耗和buff配置索引'!AB:AB,MATCH($F404,'#建筑消耗和buff配置索引'!$M:$M,0))</f>
        <v>120000</v>
      </c>
      <c r="M404" s="150">
        <f>INDEX('#建筑消耗和buff配置索引'!AC:AC,MATCH($F404,'#建筑消耗和buff配置索引'!$M:$M,0))</f>
        <v>120000</v>
      </c>
      <c r="N404" s="150">
        <f>INDEX('#建筑消耗和buff配置索引'!AD:AD,MATCH($F404,'#建筑消耗和buff配置索引'!$M:$M,0))</f>
        <v>0</v>
      </c>
      <c r="O404" s="150" t="str">
        <f>IF(INDEX('#建筑消耗和buff配置索引'!T:T,MATCH($F404,'#建筑消耗和buff配置索引'!$M:$M,0))=0,"",INDEX('#建筑消耗和buff配置索引'!T:T,MATCH($F404,'#建筑消耗和buff配置索引'!$M:$M,0)))</f>
        <v/>
      </c>
      <c r="P404" s="133" t="str">
        <f>IF(INDEX('#建筑消耗和buff配置索引'!U:U,MATCH($F404,'#建筑消耗和buff配置索引'!$M:$M,0))=0,"",INDEX('#建筑消耗和buff配置索引'!U:U,MATCH($F404,'#建筑消耗和buff配置索引'!$M:$M,0)))</f>
        <v/>
      </c>
      <c r="Q404" s="133" t="str">
        <f>IF(INDEX('#建筑消耗和buff配置索引'!K:K,MATCH($F404,'#建筑消耗和buff配置索引'!$M:$M,0))=0,"",INDEX('#建筑消耗和buff配置索引'!K:K,MATCH($F404,'#建筑消耗和buff配置索引'!$M:$M,0)))</f>
        <v>201</v>
      </c>
      <c r="R404" s="133" t="str">
        <f>IF(INDEX('#建筑消耗和buff配置索引'!L:L,MATCH($F404,'#建筑消耗和buff配置索引'!$M:$M,0))=0,"",INDEX('#建筑消耗和buff配置索引'!L:L,MATCH($F404,'#建筑消耗和buff配置索引'!$M:$M,0)))</f>
        <v>9</v>
      </c>
      <c r="S404" s="133">
        <f>IF(INDEX('#建筑消耗和buff配置索引'!C:C,MATCH(F404,'#建筑消耗和buff配置索引'!M:M,0))=0,1,INDEX('#建筑消耗和buff配置索引'!C:C,MATCH(F404,'#建筑消耗和buff配置索引'!M:M,0)))</f>
        <v>2</v>
      </c>
      <c r="T404" s="133">
        <v>0</v>
      </c>
      <c r="U404" s="133">
        <v>0</v>
      </c>
      <c r="V404" s="133" t="str">
        <f>IF(E404=1,IF(INDEX('#建筑消耗和buff配置索引'!BY:BY,MATCH(D404,'#建筑消耗和buff配置索引'!A:A,0))=0,"",INDEX('#建筑消耗和buff配置索引'!BY:BY,MATCH(D404,'#建筑消耗和buff配置索引'!A:A,0))),"")</f>
        <v/>
      </c>
      <c r="W404" s="133" t="str">
        <f>IF(E404=1,IF(INDEX('#建筑消耗和buff配置索引'!BZ:BZ,MATCH(D404,'#建筑消耗和buff配置索引'!A:A,0))=0,"",INDEX('#建筑消耗和buff配置索引'!BZ:BZ,MATCH(D404,'#建筑消耗和buff配置索引'!A:A,0))),"")</f>
        <v/>
      </c>
      <c r="AA404" s="133">
        <f>INDEX('#建筑消耗和buff配置索引'!AO:AO,MATCH($F404,'#建筑消耗和buff配置索引'!$M:$M,0))</f>
        <v>1379</v>
      </c>
      <c r="AB404" s="133">
        <f>IF(INDEX('#建筑消耗和buff配置索引'!AR:AR,MATCH($F404,'#建筑消耗和buff配置索引'!$M:$M,0))=0,"",INDEX('#建筑消耗和buff配置索引'!AR:AR,MATCH($F404,'#建筑消耗和buff配置索引'!$M:$M,0)))</f>
        <v>2601</v>
      </c>
      <c r="AC404" s="133">
        <f>IF(AB404="","",INDEX('#建筑消耗和buff配置索引'!AS:AS,MATCH($F404,'#建筑消耗和buff配置索引'!$M:$M,0)))</f>
        <v>180000</v>
      </c>
      <c r="AF404" s="133">
        <f>IF(INDEX('#建筑消耗和buff配置索引'!AW:AW,MATCH($F404,'#建筑消耗和buff配置索引'!$M:$M,0))=0,"",INDEX('#建筑消耗和buff配置索引'!AW:AW,MATCH($F404,'#建筑消耗和buff配置索引'!$M:$M,0)))</f>
        <v>1400</v>
      </c>
      <c r="AG404" s="133">
        <f>IF(AF404="","",INDEX('#建筑消耗和buff配置索引'!AX:AX,MATCH($F404,'#建筑消耗和buff配置索引'!$M:$M,0)))</f>
        <v>5</v>
      </c>
      <c r="AJ404" s="133" t="str">
        <f>IF(INDEX('#建筑消耗和buff配置索引'!BB:BB,MATCH($F404,'#建筑消耗和buff配置索引'!$M:$M,0))=0,"",INDEX('#建筑消耗和buff配置索引'!BB:BB,MATCH($F404,'#建筑消耗和buff配置索引'!$M:$M,0)))</f>
        <v/>
      </c>
      <c r="AK404" s="133" t="str">
        <f>IF(AJ404="","",INDEX('#建筑消耗和buff配置索引'!BC:BC,MATCH($F404,'#建筑消耗和buff配置索引'!$M:$M,0)))</f>
        <v/>
      </c>
      <c r="AN404" s="133" t="str">
        <f>IF(INDEX('#建筑消耗和buff配置索引'!BG:BG,MATCH($F404,'#建筑消耗和buff配置索引'!$M:$M,0))=0,"",INDEX('#建筑消耗和buff配置索引'!BG:BG,MATCH($F404,'#建筑消耗和buff配置索引'!$M:$M,0)))</f>
        <v/>
      </c>
      <c r="AO404" s="133" t="str">
        <f>IF(AN404="","",INDEX('#建筑消耗和buff配置索引'!BH:BH,MATCH($F404,'#建筑消耗和buff配置索引'!$M:$M,0)))</f>
        <v/>
      </c>
      <c r="AR404" s="133" t="str">
        <f>IF(INDEX('#建筑消耗和buff配置索引'!BK:BK,MATCH($F404,'#建筑消耗和buff配置索引'!$M:$M,0))=0,"",INDEX('#建筑消耗和buff配置索引'!BK:BK,MATCH($F404,'#建筑消耗和buff配置索引'!$M:$M,0)))</f>
        <v/>
      </c>
      <c r="AS404" s="133" t="str">
        <f>IF(AR404="","",INDEX('#建筑消耗和buff配置索引'!BL:BL,MATCH($F404,'#建筑消耗和buff配置索引'!$M:$M,0)))</f>
        <v/>
      </c>
      <c r="AV404" s="133" t="str">
        <f>IF(INDEX('#建筑消耗和buff配置索引'!BO:BO,MATCH($F404,'#建筑消耗和buff配置索引'!$M:$M,0))=0,"",INDEX('#建筑消耗和buff配置索引'!BO:BO,MATCH($F404,'#建筑消耗和buff配置索引'!$M:$M,0)))</f>
        <v/>
      </c>
      <c r="AW404" s="133" t="str">
        <f>IF(AV404="","",INDEX('#建筑消耗和buff配置索引'!BP:BP,MATCH($F404,'#建筑消耗和buff配置索引'!$M:$M,0)))</f>
        <v/>
      </c>
      <c r="AZ404" s="133" t="str">
        <f>IF(INDEX('#建筑消耗和buff配置索引'!BS:BS,MATCH($F404,'#建筑消耗和buff配置索引'!$M:$M,0))=0,"",INDEX('#建筑消耗和buff配置索引'!BS:BS,MATCH($F404,'#建筑消耗和buff配置索引'!$M:$M,0)))</f>
        <v/>
      </c>
      <c r="BA404" s="133" t="str">
        <f>IF(AZ404="","",INDEX('#建筑消耗和buff配置索引'!BT:BT,MATCH($F404,'#建筑消耗和buff配置索引'!$M:$M,0)))</f>
        <v/>
      </c>
      <c r="BD404" s="133" t="str">
        <f>IF(INDEX('#建筑消耗和buff配置索引'!BW:BW,MATCH($F404,'#建筑消耗和buff配置索引'!$M:$M,0))=0,"",INDEX('#建筑消耗和buff配置索引'!BW:BW,MATCH($F404,'#建筑消耗和buff配置索引'!$M:$M,0)))</f>
        <v/>
      </c>
      <c r="BE404" s="133" t="str">
        <f>IF(BD404="","",INDEX('#建筑消耗和buff配置索引'!BX:BX,MATCH($F404,'#建筑消耗和buff配置索引'!$M:$M,0)))</f>
        <v/>
      </c>
      <c r="BI404" s="133">
        <v>24</v>
      </c>
    </row>
    <row r="405" spans="1:61" s="133" customFormat="1">
      <c r="A405" s="133">
        <v>2300010</v>
      </c>
      <c r="B405" s="133">
        <v>402</v>
      </c>
      <c r="C405" s="133">
        <v>230</v>
      </c>
      <c r="D405" s="133" t="s">
        <v>539</v>
      </c>
      <c r="E405" s="133">
        <v>10</v>
      </c>
      <c r="F405" s="133" t="str">
        <f t="shared" si="7"/>
        <v>大使馆10</v>
      </c>
      <c r="H405" s="146"/>
      <c r="I405" s="133">
        <v>1</v>
      </c>
      <c r="J405" s="150">
        <f>INDEX('#建筑消耗和buff配置索引'!AH:AH,MATCH($F405,'#建筑消耗和buff配置索引'!$M:$M,0))</f>
        <v>8640</v>
      </c>
      <c r="K405" s="150">
        <f>INDEX('#建筑消耗和buff配置索引'!AA:AA,MATCH($F405,'#建筑消耗和buff配置索引'!$M:$M,0))</f>
        <v>66000</v>
      </c>
      <c r="L405" s="150">
        <f>INDEX('#建筑消耗和buff配置索引'!AB:AB,MATCH($F405,'#建筑消耗和buff配置索引'!$M:$M,0))</f>
        <v>130000</v>
      </c>
      <c r="M405" s="150">
        <f>INDEX('#建筑消耗和buff配置索引'!AC:AC,MATCH($F405,'#建筑消耗和buff配置索引'!$M:$M,0))</f>
        <v>130000</v>
      </c>
      <c r="N405" s="150">
        <f>INDEX('#建筑消耗和buff配置索引'!AD:AD,MATCH($F405,'#建筑消耗和buff配置索引'!$M:$M,0))</f>
        <v>130000</v>
      </c>
      <c r="O405" s="150" t="str">
        <f>IF(INDEX('#建筑消耗和buff配置索引'!T:T,MATCH($F405,'#建筑消耗和buff配置索引'!$M:$M,0))=0,"",INDEX('#建筑消耗和buff配置索引'!T:T,MATCH($F405,'#建筑消耗和buff配置索引'!$M:$M,0)))</f>
        <v/>
      </c>
      <c r="P405" s="133" t="str">
        <f>IF(INDEX('#建筑消耗和buff配置索引'!U:U,MATCH($F405,'#建筑消耗和buff配置索引'!$M:$M,0))=0,"",INDEX('#建筑消耗和buff配置索引'!U:U,MATCH($F405,'#建筑消耗和buff配置索引'!$M:$M,0)))</f>
        <v/>
      </c>
      <c r="Q405" s="133" t="str">
        <f>IF(INDEX('#建筑消耗和buff配置索引'!K:K,MATCH($F405,'#建筑消耗和buff配置索引'!$M:$M,0))=0,"",INDEX('#建筑消耗和buff配置索引'!K:K,MATCH($F405,'#建筑消耗和buff配置索引'!$M:$M,0)))</f>
        <v>201</v>
      </c>
      <c r="R405" s="133" t="str">
        <f>IF(INDEX('#建筑消耗和buff配置索引'!L:L,MATCH($F405,'#建筑消耗和buff配置索引'!$M:$M,0))=0,"",INDEX('#建筑消耗和buff配置索引'!L:L,MATCH($F405,'#建筑消耗和buff配置索引'!$M:$M,0)))</f>
        <v>10</v>
      </c>
      <c r="S405" s="133">
        <f>IF(INDEX('#建筑消耗和buff配置索引'!C:C,MATCH(F405,'#建筑消耗和buff配置索引'!M:M,0))=0,1,INDEX('#建筑消耗和buff配置索引'!C:C,MATCH(F405,'#建筑消耗和buff配置索引'!M:M,0)))</f>
        <v>2</v>
      </c>
      <c r="T405" s="133">
        <v>0</v>
      </c>
      <c r="U405" s="133">
        <v>0</v>
      </c>
      <c r="V405" s="133" t="str">
        <f>IF(E405=1,IF(INDEX('#建筑消耗和buff配置索引'!BY:BY,MATCH(D405,'#建筑消耗和buff配置索引'!A:A,0))=0,"",INDEX('#建筑消耗和buff配置索引'!BY:BY,MATCH(D405,'#建筑消耗和buff配置索引'!A:A,0))),"")</f>
        <v/>
      </c>
      <c r="W405" s="133" t="str">
        <f>IF(E405=1,IF(INDEX('#建筑消耗和buff配置索引'!BZ:BZ,MATCH(D405,'#建筑消耗和buff配置索引'!A:A,0))=0,"",INDEX('#建筑消耗和buff配置索引'!BZ:BZ,MATCH(D405,'#建筑消耗和buff配置索引'!A:A,0))),"")</f>
        <v/>
      </c>
      <c r="AA405" s="133">
        <f>INDEX('#建筑消耗和buff配置索引'!AO:AO,MATCH($F405,'#建筑消耗和buff配置索引'!$M:$M,0))</f>
        <v>2301</v>
      </c>
      <c r="AB405" s="133">
        <f>IF(INDEX('#建筑消耗和buff配置索引'!AR:AR,MATCH($F405,'#建筑消耗和buff配置索引'!$M:$M,0))=0,"",INDEX('#建筑消耗和buff配置索引'!AR:AR,MATCH($F405,'#建筑消耗和buff配置索引'!$M:$M,0)))</f>
        <v>2601</v>
      </c>
      <c r="AC405" s="133">
        <f>IF(AB405="","",INDEX('#建筑消耗和buff配置索引'!AS:AS,MATCH($F405,'#建筑消耗和buff配置索引'!$M:$M,0)))</f>
        <v>200000</v>
      </c>
      <c r="AF405" s="133">
        <f>IF(INDEX('#建筑消耗和buff配置索引'!AW:AW,MATCH($F405,'#建筑消耗和buff配置索引'!$M:$M,0))=0,"",INDEX('#建筑消耗和buff配置索引'!AW:AW,MATCH($F405,'#建筑消耗和buff配置索引'!$M:$M,0)))</f>
        <v>1400</v>
      </c>
      <c r="AG405" s="133">
        <f>IF(AF405="","",INDEX('#建筑消耗和buff配置索引'!AX:AX,MATCH($F405,'#建筑消耗和buff配置索引'!$M:$M,0)))</f>
        <v>5</v>
      </c>
      <c r="AJ405" s="133" t="str">
        <f>IF(INDEX('#建筑消耗和buff配置索引'!BB:BB,MATCH($F405,'#建筑消耗和buff配置索引'!$M:$M,0))=0,"",INDEX('#建筑消耗和buff配置索引'!BB:BB,MATCH($F405,'#建筑消耗和buff配置索引'!$M:$M,0)))</f>
        <v/>
      </c>
      <c r="AK405" s="133" t="str">
        <f>IF(AJ405="","",INDEX('#建筑消耗和buff配置索引'!BC:BC,MATCH($F405,'#建筑消耗和buff配置索引'!$M:$M,0)))</f>
        <v/>
      </c>
      <c r="AN405" s="133" t="str">
        <f>IF(INDEX('#建筑消耗和buff配置索引'!BG:BG,MATCH($F405,'#建筑消耗和buff配置索引'!$M:$M,0))=0,"",INDEX('#建筑消耗和buff配置索引'!BG:BG,MATCH($F405,'#建筑消耗和buff配置索引'!$M:$M,0)))</f>
        <v/>
      </c>
      <c r="AO405" s="133" t="str">
        <f>IF(AN405="","",INDEX('#建筑消耗和buff配置索引'!BH:BH,MATCH($F405,'#建筑消耗和buff配置索引'!$M:$M,0)))</f>
        <v/>
      </c>
      <c r="AR405" s="133" t="str">
        <f>IF(INDEX('#建筑消耗和buff配置索引'!BK:BK,MATCH($F405,'#建筑消耗和buff配置索引'!$M:$M,0))=0,"",INDEX('#建筑消耗和buff配置索引'!BK:BK,MATCH($F405,'#建筑消耗和buff配置索引'!$M:$M,0)))</f>
        <v/>
      </c>
      <c r="AS405" s="133" t="str">
        <f>IF(AR405="","",INDEX('#建筑消耗和buff配置索引'!BL:BL,MATCH($F405,'#建筑消耗和buff配置索引'!$M:$M,0)))</f>
        <v/>
      </c>
      <c r="AV405" s="133" t="str">
        <f>IF(INDEX('#建筑消耗和buff配置索引'!BO:BO,MATCH($F405,'#建筑消耗和buff配置索引'!$M:$M,0))=0,"",INDEX('#建筑消耗和buff配置索引'!BO:BO,MATCH($F405,'#建筑消耗和buff配置索引'!$M:$M,0)))</f>
        <v/>
      </c>
      <c r="AW405" s="133" t="str">
        <f>IF(AV405="","",INDEX('#建筑消耗和buff配置索引'!BP:BP,MATCH($F405,'#建筑消耗和buff配置索引'!$M:$M,0)))</f>
        <v/>
      </c>
      <c r="AZ405" s="133" t="str">
        <f>IF(INDEX('#建筑消耗和buff配置索引'!BS:BS,MATCH($F405,'#建筑消耗和buff配置索引'!$M:$M,0))=0,"",INDEX('#建筑消耗和buff配置索引'!BS:BS,MATCH($F405,'#建筑消耗和buff配置索引'!$M:$M,0)))</f>
        <v/>
      </c>
      <c r="BA405" s="133" t="str">
        <f>IF(AZ405="","",INDEX('#建筑消耗和buff配置索引'!BT:BT,MATCH($F405,'#建筑消耗和buff配置索引'!$M:$M,0)))</f>
        <v/>
      </c>
      <c r="BD405" s="133" t="str">
        <f>IF(INDEX('#建筑消耗和buff配置索引'!BW:BW,MATCH($F405,'#建筑消耗和buff配置索引'!$M:$M,0))=0,"",INDEX('#建筑消耗和buff配置索引'!BW:BW,MATCH($F405,'#建筑消耗和buff配置索引'!$M:$M,0)))</f>
        <v/>
      </c>
      <c r="BE405" s="133" t="str">
        <f>IF(BD405="","",INDEX('#建筑消耗和buff配置索引'!BX:BX,MATCH($F405,'#建筑消耗和buff配置索引'!$M:$M,0)))</f>
        <v/>
      </c>
      <c r="BI405" s="133">
        <v>24</v>
      </c>
    </row>
    <row r="406" spans="1:61" s="133" customFormat="1">
      <c r="A406" s="133">
        <v>2300011</v>
      </c>
      <c r="B406" s="133">
        <v>403</v>
      </c>
      <c r="C406" s="133">
        <v>230</v>
      </c>
      <c r="D406" s="133" t="s">
        <v>539</v>
      </c>
      <c r="E406" s="133">
        <v>11</v>
      </c>
      <c r="F406" s="133" t="str">
        <f t="shared" si="7"/>
        <v>大使馆11</v>
      </c>
      <c r="H406" s="146"/>
      <c r="I406" s="133">
        <v>1</v>
      </c>
      <c r="J406" s="150">
        <f>INDEX('#建筑消耗和buff配置索引'!AH:AH,MATCH($F406,'#建筑消耗和buff配置索引'!$M:$M,0))</f>
        <v>12960</v>
      </c>
      <c r="K406" s="150">
        <f>INDEX('#建筑消耗和buff配置索引'!AA:AA,MATCH($F406,'#建筑消耗和buff配置索引'!$M:$M,0))</f>
        <v>99000</v>
      </c>
      <c r="L406" s="150">
        <f>INDEX('#建筑消耗和buff配置索引'!AB:AB,MATCH($F406,'#建筑消耗和buff配置索引'!$M:$M,0))</f>
        <v>200000</v>
      </c>
      <c r="M406" s="150">
        <f>INDEX('#建筑消耗和buff配置索引'!AC:AC,MATCH($F406,'#建筑消耗和buff配置索引'!$M:$M,0))</f>
        <v>200000</v>
      </c>
      <c r="N406" s="150">
        <f>INDEX('#建筑消耗和buff配置索引'!AD:AD,MATCH($F406,'#建筑消耗和buff配置索引'!$M:$M,0))</f>
        <v>200000</v>
      </c>
      <c r="O406" s="150" t="str">
        <f>IF(INDEX('#建筑消耗和buff配置索引'!T:T,MATCH($F406,'#建筑消耗和buff配置索引'!$M:$M,0))=0,"",INDEX('#建筑消耗和buff配置索引'!T:T,MATCH($F406,'#建筑消耗和buff配置索引'!$M:$M,0)))</f>
        <v/>
      </c>
      <c r="P406" s="133" t="str">
        <f>IF(INDEX('#建筑消耗和buff配置索引'!U:U,MATCH($F406,'#建筑消耗和buff配置索引'!$M:$M,0))=0,"",INDEX('#建筑消耗和buff配置索引'!U:U,MATCH($F406,'#建筑消耗和buff配置索引'!$M:$M,0)))</f>
        <v/>
      </c>
      <c r="Q406" s="133" t="str">
        <f>IF(INDEX('#建筑消耗和buff配置索引'!K:K,MATCH($F406,'#建筑消耗和buff配置索引'!$M:$M,0))=0,"",INDEX('#建筑消耗和buff配置索引'!K:K,MATCH($F406,'#建筑消耗和buff配置索引'!$M:$M,0)))</f>
        <v>201</v>
      </c>
      <c r="R406" s="133" t="str">
        <f>IF(INDEX('#建筑消耗和buff配置索引'!L:L,MATCH($F406,'#建筑消耗和buff配置索引'!$M:$M,0))=0,"",INDEX('#建筑消耗和buff配置索引'!L:L,MATCH($F406,'#建筑消耗和buff配置索引'!$M:$M,0)))</f>
        <v>11</v>
      </c>
      <c r="S406" s="133">
        <f>IF(INDEX('#建筑消耗和buff配置索引'!C:C,MATCH(F406,'#建筑消耗和buff配置索引'!M:M,0))=0,1,INDEX('#建筑消耗和buff配置索引'!C:C,MATCH(F406,'#建筑消耗和buff配置索引'!M:M,0)))</f>
        <v>2</v>
      </c>
      <c r="T406" s="133">
        <v>0</v>
      </c>
      <c r="U406" s="133">
        <v>0</v>
      </c>
      <c r="V406" s="133" t="str">
        <f>IF(E406=1,IF(INDEX('#建筑消耗和buff配置索引'!BY:BY,MATCH(D406,'#建筑消耗和buff配置索引'!A:A,0))=0,"",INDEX('#建筑消耗和buff配置索引'!BY:BY,MATCH(D406,'#建筑消耗和buff配置索引'!A:A,0))),"")</f>
        <v/>
      </c>
      <c r="W406" s="133" t="str">
        <f>IF(E406=1,IF(INDEX('#建筑消耗和buff配置索引'!BZ:BZ,MATCH(D406,'#建筑消耗和buff配置索引'!A:A,0))=0,"",INDEX('#建筑消耗和buff配置索引'!BZ:BZ,MATCH(D406,'#建筑消耗和buff配置索引'!A:A,0))),"")</f>
        <v/>
      </c>
      <c r="AA406" s="133">
        <f>INDEX('#建筑消耗和buff配置索引'!AO:AO,MATCH($F406,'#建筑消耗和buff配置索引'!$M:$M,0))</f>
        <v>3693</v>
      </c>
      <c r="AB406" s="133">
        <f>IF(INDEX('#建筑消耗和buff配置索引'!AR:AR,MATCH($F406,'#建筑消耗和buff配置索引'!$M:$M,0))=0,"",INDEX('#建筑消耗和buff配置索引'!AR:AR,MATCH($F406,'#建筑消耗和buff配置索引'!$M:$M,0)))</f>
        <v>2601</v>
      </c>
      <c r="AC406" s="133">
        <f>IF(AB406="","",INDEX('#建筑消耗和buff配置索引'!AS:AS,MATCH($F406,'#建筑消耗和buff配置索引'!$M:$M,0)))</f>
        <v>230000</v>
      </c>
      <c r="AF406" s="133">
        <f>IF(INDEX('#建筑消耗和buff配置索引'!AW:AW,MATCH($F406,'#建筑消耗和buff配置索引'!$M:$M,0))=0,"",INDEX('#建筑消耗和buff配置索引'!AW:AW,MATCH($F406,'#建筑消耗和buff配置索引'!$M:$M,0)))</f>
        <v>1400</v>
      </c>
      <c r="AG406" s="133">
        <f>IF(AF406="","",INDEX('#建筑消耗和buff配置索引'!AX:AX,MATCH($F406,'#建筑消耗和buff配置索引'!$M:$M,0)))</f>
        <v>6</v>
      </c>
      <c r="AJ406" s="133" t="str">
        <f>IF(INDEX('#建筑消耗和buff配置索引'!BB:BB,MATCH($F406,'#建筑消耗和buff配置索引'!$M:$M,0))=0,"",INDEX('#建筑消耗和buff配置索引'!BB:BB,MATCH($F406,'#建筑消耗和buff配置索引'!$M:$M,0)))</f>
        <v/>
      </c>
      <c r="AK406" s="133" t="str">
        <f>IF(AJ406="","",INDEX('#建筑消耗和buff配置索引'!BC:BC,MATCH($F406,'#建筑消耗和buff配置索引'!$M:$M,0)))</f>
        <v/>
      </c>
      <c r="AN406" s="133" t="str">
        <f>IF(INDEX('#建筑消耗和buff配置索引'!BG:BG,MATCH($F406,'#建筑消耗和buff配置索引'!$M:$M,0))=0,"",INDEX('#建筑消耗和buff配置索引'!BG:BG,MATCH($F406,'#建筑消耗和buff配置索引'!$M:$M,0)))</f>
        <v/>
      </c>
      <c r="AO406" s="133" t="str">
        <f>IF(AN406="","",INDEX('#建筑消耗和buff配置索引'!BH:BH,MATCH($F406,'#建筑消耗和buff配置索引'!$M:$M,0)))</f>
        <v/>
      </c>
      <c r="AR406" s="133" t="str">
        <f>IF(INDEX('#建筑消耗和buff配置索引'!BK:BK,MATCH($F406,'#建筑消耗和buff配置索引'!$M:$M,0))=0,"",INDEX('#建筑消耗和buff配置索引'!BK:BK,MATCH($F406,'#建筑消耗和buff配置索引'!$M:$M,0)))</f>
        <v/>
      </c>
      <c r="AS406" s="133" t="str">
        <f>IF(AR406="","",INDEX('#建筑消耗和buff配置索引'!BL:BL,MATCH($F406,'#建筑消耗和buff配置索引'!$M:$M,0)))</f>
        <v/>
      </c>
      <c r="AV406" s="133" t="str">
        <f>IF(INDEX('#建筑消耗和buff配置索引'!BO:BO,MATCH($F406,'#建筑消耗和buff配置索引'!$M:$M,0))=0,"",INDEX('#建筑消耗和buff配置索引'!BO:BO,MATCH($F406,'#建筑消耗和buff配置索引'!$M:$M,0)))</f>
        <v/>
      </c>
      <c r="AW406" s="133" t="str">
        <f>IF(AV406="","",INDEX('#建筑消耗和buff配置索引'!BP:BP,MATCH($F406,'#建筑消耗和buff配置索引'!$M:$M,0)))</f>
        <v/>
      </c>
      <c r="AZ406" s="133" t="str">
        <f>IF(INDEX('#建筑消耗和buff配置索引'!BS:BS,MATCH($F406,'#建筑消耗和buff配置索引'!$M:$M,0))=0,"",INDEX('#建筑消耗和buff配置索引'!BS:BS,MATCH($F406,'#建筑消耗和buff配置索引'!$M:$M,0)))</f>
        <v/>
      </c>
      <c r="BA406" s="133" t="str">
        <f>IF(AZ406="","",INDEX('#建筑消耗和buff配置索引'!BT:BT,MATCH($F406,'#建筑消耗和buff配置索引'!$M:$M,0)))</f>
        <v/>
      </c>
      <c r="BD406" s="133" t="str">
        <f>IF(INDEX('#建筑消耗和buff配置索引'!BW:BW,MATCH($F406,'#建筑消耗和buff配置索引'!$M:$M,0))=0,"",INDEX('#建筑消耗和buff配置索引'!BW:BW,MATCH($F406,'#建筑消耗和buff配置索引'!$M:$M,0)))</f>
        <v/>
      </c>
      <c r="BE406" s="133" t="str">
        <f>IF(BD406="","",INDEX('#建筑消耗和buff配置索引'!BX:BX,MATCH($F406,'#建筑消耗和buff配置索引'!$M:$M,0)))</f>
        <v/>
      </c>
      <c r="BI406" s="133">
        <v>24</v>
      </c>
    </row>
    <row r="407" spans="1:61" s="133" customFormat="1">
      <c r="A407" s="133">
        <v>2300012</v>
      </c>
      <c r="B407" s="133">
        <v>404</v>
      </c>
      <c r="C407" s="133">
        <v>230</v>
      </c>
      <c r="D407" s="133" t="s">
        <v>539</v>
      </c>
      <c r="E407" s="133">
        <v>12</v>
      </c>
      <c r="F407" s="133" t="str">
        <f t="shared" si="7"/>
        <v>大使馆12</v>
      </c>
      <c r="H407" s="146"/>
      <c r="I407" s="133">
        <v>2</v>
      </c>
      <c r="J407" s="150">
        <f>INDEX('#建筑消耗和buff配置索引'!AH:AH,MATCH($F407,'#建筑消耗和buff配置索引'!$M:$M,0))</f>
        <v>17280</v>
      </c>
      <c r="K407" s="150">
        <f>INDEX('#建筑消耗和buff配置索引'!AA:AA,MATCH($F407,'#建筑消耗和buff配置索引'!$M:$M,0))</f>
        <v>140000</v>
      </c>
      <c r="L407" s="150">
        <f>INDEX('#建筑消耗和buff配置索引'!AB:AB,MATCH($F407,'#建筑消耗和buff配置索引'!$M:$M,0))</f>
        <v>290000</v>
      </c>
      <c r="M407" s="150">
        <f>INDEX('#建筑消耗和buff配置索引'!AC:AC,MATCH($F407,'#建筑消耗和buff配置索引'!$M:$M,0))</f>
        <v>290000</v>
      </c>
      <c r="N407" s="150">
        <f>INDEX('#建筑消耗和buff配置索引'!AD:AD,MATCH($F407,'#建筑消耗和buff配置索引'!$M:$M,0))</f>
        <v>290000</v>
      </c>
      <c r="O407" s="150" t="str">
        <f>IF(INDEX('#建筑消耗和buff配置索引'!T:T,MATCH($F407,'#建筑消耗和buff配置索引'!$M:$M,0))=0,"",INDEX('#建筑消耗和buff配置索引'!T:T,MATCH($F407,'#建筑消耗和buff配置索引'!$M:$M,0)))</f>
        <v/>
      </c>
      <c r="P407" s="133" t="str">
        <f>IF(INDEX('#建筑消耗和buff配置索引'!U:U,MATCH($F407,'#建筑消耗和buff配置索引'!$M:$M,0))=0,"",INDEX('#建筑消耗和buff配置索引'!U:U,MATCH($F407,'#建筑消耗和buff配置索引'!$M:$M,0)))</f>
        <v/>
      </c>
      <c r="Q407" s="133" t="str">
        <f>IF(INDEX('#建筑消耗和buff配置索引'!K:K,MATCH($F407,'#建筑消耗和buff配置索引'!$M:$M,0))=0,"",INDEX('#建筑消耗和buff配置索引'!K:K,MATCH($F407,'#建筑消耗和buff配置索引'!$M:$M,0)))</f>
        <v>201</v>
      </c>
      <c r="R407" s="133" t="str">
        <f>IF(INDEX('#建筑消耗和buff配置索引'!L:L,MATCH($F407,'#建筑消耗和buff配置索引'!$M:$M,0))=0,"",INDEX('#建筑消耗和buff配置索引'!L:L,MATCH($F407,'#建筑消耗和buff配置索引'!$M:$M,0)))</f>
        <v>12</v>
      </c>
      <c r="S407" s="133">
        <f>IF(INDEX('#建筑消耗和buff配置索引'!C:C,MATCH(F407,'#建筑消耗和buff配置索引'!M:M,0))=0,1,INDEX('#建筑消耗和buff配置索引'!C:C,MATCH(F407,'#建筑消耗和buff配置索引'!M:M,0)))</f>
        <v>2</v>
      </c>
      <c r="T407" s="133">
        <v>0</v>
      </c>
      <c r="U407" s="133">
        <v>0</v>
      </c>
      <c r="V407" s="133" t="str">
        <f>IF(E407=1,IF(INDEX('#建筑消耗和buff配置索引'!BY:BY,MATCH(D407,'#建筑消耗和buff配置索引'!A:A,0))=0,"",INDEX('#建筑消耗和buff配置索引'!BY:BY,MATCH(D407,'#建筑消耗和buff配置索引'!A:A,0))),"")</f>
        <v/>
      </c>
      <c r="W407" s="133" t="str">
        <f>IF(E407=1,IF(INDEX('#建筑消耗和buff配置索引'!BZ:BZ,MATCH(D407,'#建筑消耗和buff配置索引'!A:A,0))=0,"",INDEX('#建筑消耗和buff配置索引'!BZ:BZ,MATCH(D407,'#建筑消耗和buff配置索引'!A:A,0))),"")</f>
        <v/>
      </c>
      <c r="AA407" s="133">
        <f>INDEX('#建筑消耗和buff配置索引'!AO:AO,MATCH($F407,'#建筑消耗和buff配置索引'!$M:$M,0))</f>
        <v>5698</v>
      </c>
      <c r="AB407" s="133">
        <f>IF(INDEX('#建筑消耗和buff配置索引'!AR:AR,MATCH($F407,'#建筑消耗和buff配置索引'!$M:$M,0))=0,"",INDEX('#建筑消耗和buff配置索引'!AR:AR,MATCH($F407,'#建筑消耗和buff配置索引'!$M:$M,0)))</f>
        <v>2601</v>
      </c>
      <c r="AC407" s="133">
        <f>IF(AB407="","",INDEX('#建筑消耗和buff配置索引'!AS:AS,MATCH($F407,'#建筑消耗和buff配置索引'!$M:$M,0)))</f>
        <v>260000</v>
      </c>
      <c r="AF407" s="133">
        <f>IF(INDEX('#建筑消耗和buff配置索引'!AW:AW,MATCH($F407,'#建筑消耗和buff配置索引'!$M:$M,0))=0,"",INDEX('#建筑消耗和buff配置索引'!AW:AW,MATCH($F407,'#建筑消耗和buff配置索引'!$M:$M,0)))</f>
        <v>1400</v>
      </c>
      <c r="AG407" s="133">
        <f>IF(AF407="","",INDEX('#建筑消耗和buff配置索引'!AX:AX,MATCH($F407,'#建筑消耗和buff配置索引'!$M:$M,0)))</f>
        <v>6</v>
      </c>
      <c r="AJ407" s="133" t="str">
        <f>IF(INDEX('#建筑消耗和buff配置索引'!BB:BB,MATCH($F407,'#建筑消耗和buff配置索引'!$M:$M,0))=0,"",INDEX('#建筑消耗和buff配置索引'!BB:BB,MATCH($F407,'#建筑消耗和buff配置索引'!$M:$M,0)))</f>
        <v/>
      </c>
      <c r="AK407" s="133" t="str">
        <f>IF(AJ407="","",INDEX('#建筑消耗和buff配置索引'!BC:BC,MATCH($F407,'#建筑消耗和buff配置索引'!$M:$M,0)))</f>
        <v/>
      </c>
      <c r="AN407" s="133" t="str">
        <f>IF(INDEX('#建筑消耗和buff配置索引'!BG:BG,MATCH($F407,'#建筑消耗和buff配置索引'!$M:$M,0))=0,"",INDEX('#建筑消耗和buff配置索引'!BG:BG,MATCH($F407,'#建筑消耗和buff配置索引'!$M:$M,0)))</f>
        <v/>
      </c>
      <c r="AO407" s="133" t="str">
        <f>IF(AN407="","",INDEX('#建筑消耗和buff配置索引'!BH:BH,MATCH($F407,'#建筑消耗和buff配置索引'!$M:$M,0)))</f>
        <v/>
      </c>
      <c r="AR407" s="133" t="str">
        <f>IF(INDEX('#建筑消耗和buff配置索引'!BK:BK,MATCH($F407,'#建筑消耗和buff配置索引'!$M:$M,0))=0,"",INDEX('#建筑消耗和buff配置索引'!BK:BK,MATCH($F407,'#建筑消耗和buff配置索引'!$M:$M,0)))</f>
        <v/>
      </c>
      <c r="AS407" s="133" t="str">
        <f>IF(AR407="","",INDEX('#建筑消耗和buff配置索引'!BL:BL,MATCH($F407,'#建筑消耗和buff配置索引'!$M:$M,0)))</f>
        <v/>
      </c>
      <c r="AV407" s="133" t="str">
        <f>IF(INDEX('#建筑消耗和buff配置索引'!BO:BO,MATCH($F407,'#建筑消耗和buff配置索引'!$M:$M,0))=0,"",INDEX('#建筑消耗和buff配置索引'!BO:BO,MATCH($F407,'#建筑消耗和buff配置索引'!$M:$M,0)))</f>
        <v/>
      </c>
      <c r="AW407" s="133" t="str">
        <f>IF(AV407="","",INDEX('#建筑消耗和buff配置索引'!BP:BP,MATCH($F407,'#建筑消耗和buff配置索引'!$M:$M,0)))</f>
        <v/>
      </c>
      <c r="AZ407" s="133" t="str">
        <f>IF(INDEX('#建筑消耗和buff配置索引'!BS:BS,MATCH($F407,'#建筑消耗和buff配置索引'!$M:$M,0))=0,"",INDEX('#建筑消耗和buff配置索引'!BS:BS,MATCH($F407,'#建筑消耗和buff配置索引'!$M:$M,0)))</f>
        <v/>
      </c>
      <c r="BA407" s="133" t="str">
        <f>IF(AZ407="","",INDEX('#建筑消耗和buff配置索引'!BT:BT,MATCH($F407,'#建筑消耗和buff配置索引'!$M:$M,0)))</f>
        <v/>
      </c>
      <c r="BD407" s="133" t="str">
        <f>IF(INDEX('#建筑消耗和buff配置索引'!BW:BW,MATCH($F407,'#建筑消耗和buff配置索引'!$M:$M,0))=0,"",INDEX('#建筑消耗和buff配置索引'!BW:BW,MATCH($F407,'#建筑消耗和buff配置索引'!$M:$M,0)))</f>
        <v/>
      </c>
      <c r="BE407" s="133" t="str">
        <f>IF(BD407="","",INDEX('#建筑消耗和buff配置索引'!BX:BX,MATCH($F407,'#建筑消耗和buff配置索引'!$M:$M,0)))</f>
        <v/>
      </c>
      <c r="BI407" s="133">
        <v>24</v>
      </c>
    </row>
    <row r="408" spans="1:61" s="133" customFormat="1">
      <c r="A408" s="133">
        <v>2300013</v>
      </c>
      <c r="B408" s="133">
        <v>405</v>
      </c>
      <c r="C408" s="133">
        <v>230</v>
      </c>
      <c r="D408" s="133" t="s">
        <v>539</v>
      </c>
      <c r="E408" s="133">
        <v>13</v>
      </c>
      <c r="F408" s="133" t="str">
        <f t="shared" si="7"/>
        <v>大使馆13</v>
      </c>
      <c r="H408" s="146"/>
      <c r="I408" s="133">
        <v>2</v>
      </c>
      <c r="J408" s="150">
        <f>INDEX('#建筑消耗和buff配置索引'!AH:AH,MATCH($F408,'#建筑消耗和buff配置索引'!$M:$M,0))</f>
        <v>23040</v>
      </c>
      <c r="K408" s="150">
        <f>INDEX('#建筑消耗和buff配置索引'!AA:AA,MATCH($F408,'#建筑消耗和buff配置索引'!$M:$M,0))</f>
        <v>200000</v>
      </c>
      <c r="L408" s="150">
        <f>INDEX('#建筑消耗和buff配置索引'!AB:AB,MATCH($F408,'#建筑消耗和buff配置索引'!$M:$M,0))</f>
        <v>390000</v>
      </c>
      <c r="M408" s="150">
        <f>INDEX('#建筑消耗和buff配置索引'!AC:AC,MATCH($F408,'#建筑消耗和buff配置索引'!$M:$M,0))</f>
        <v>390000</v>
      </c>
      <c r="N408" s="150">
        <f>INDEX('#建筑消耗和buff配置索引'!AD:AD,MATCH($F408,'#建筑消耗和buff配置索引'!$M:$M,0))</f>
        <v>390000</v>
      </c>
      <c r="O408" s="150" t="str">
        <f>IF(INDEX('#建筑消耗和buff配置索引'!T:T,MATCH($F408,'#建筑消耗和buff配置索引'!$M:$M,0))=0,"",INDEX('#建筑消耗和buff配置索引'!T:T,MATCH($F408,'#建筑消耗和buff配置索引'!$M:$M,0)))</f>
        <v/>
      </c>
      <c r="P408" s="133" t="str">
        <f>IF(INDEX('#建筑消耗和buff配置索引'!U:U,MATCH($F408,'#建筑消耗和buff配置索引'!$M:$M,0))=0,"",INDEX('#建筑消耗和buff配置索引'!U:U,MATCH($F408,'#建筑消耗和buff配置索引'!$M:$M,0)))</f>
        <v/>
      </c>
      <c r="Q408" s="133" t="str">
        <f>IF(INDEX('#建筑消耗和buff配置索引'!K:K,MATCH($F408,'#建筑消耗和buff配置索引'!$M:$M,0))=0,"",INDEX('#建筑消耗和buff配置索引'!K:K,MATCH($F408,'#建筑消耗和buff配置索引'!$M:$M,0)))</f>
        <v>201</v>
      </c>
      <c r="R408" s="133" t="str">
        <f>IF(INDEX('#建筑消耗和buff配置索引'!L:L,MATCH($F408,'#建筑消耗和buff配置索引'!$M:$M,0))=0,"",INDEX('#建筑消耗和buff配置索引'!L:L,MATCH($F408,'#建筑消耗和buff配置索引'!$M:$M,0)))</f>
        <v>13</v>
      </c>
      <c r="S408" s="133">
        <f>IF(INDEX('#建筑消耗和buff配置索引'!C:C,MATCH(F408,'#建筑消耗和buff配置索引'!M:M,0))=0,1,INDEX('#建筑消耗和buff配置索引'!C:C,MATCH(F408,'#建筑消耗和buff配置索引'!M:M,0)))</f>
        <v>2</v>
      </c>
      <c r="T408" s="133">
        <v>0</v>
      </c>
      <c r="U408" s="133">
        <v>0</v>
      </c>
      <c r="V408" s="133" t="str">
        <f>IF(E408=1,IF(INDEX('#建筑消耗和buff配置索引'!BY:BY,MATCH(D408,'#建筑消耗和buff配置索引'!A:A,0))=0,"",INDEX('#建筑消耗和buff配置索引'!BY:BY,MATCH(D408,'#建筑消耗和buff配置索引'!A:A,0))),"")</f>
        <v/>
      </c>
      <c r="W408" s="133" t="str">
        <f>IF(E408=1,IF(INDEX('#建筑消耗和buff配置索引'!BZ:BZ,MATCH(D408,'#建筑消耗和buff配置索引'!A:A,0))=0,"",INDEX('#建筑消耗和buff配置索引'!BZ:BZ,MATCH(D408,'#建筑消耗和buff配置索引'!A:A,0))),"")</f>
        <v/>
      </c>
      <c r="AA408" s="133">
        <f>INDEX('#建筑消耗和buff配置索引'!AO:AO,MATCH($F408,'#建筑消耗和buff配置索引'!$M:$M,0))</f>
        <v>8445</v>
      </c>
      <c r="AB408" s="133">
        <f>IF(INDEX('#建筑消耗和buff配置索引'!AR:AR,MATCH($F408,'#建筑消耗和buff配置索引'!$M:$M,0))=0,"",INDEX('#建筑消耗和buff配置索引'!AR:AR,MATCH($F408,'#建筑消耗和buff配置索引'!$M:$M,0)))</f>
        <v>2601</v>
      </c>
      <c r="AC408" s="133">
        <f>IF(AB408="","",INDEX('#建筑消耗和buff配置索引'!AS:AS,MATCH($F408,'#建筑消耗和buff配置索引'!$M:$M,0)))</f>
        <v>290000</v>
      </c>
      <c r="AF408" s="133">
        <f>IF(INDEX('#建筑消耗和buff配置索引'!AW:AW,MATCH($F408,'#建筑消耗和buff配置索引'!$M:$M,0))=0,"",INDEX('#建筑消耗和buff配置索引'!AW:AW,MATCH($F408,'#建筑消耗和buff配置索引'!$M:$M,0)))</f>
        <v>1400</v>
      </c>
      <c r="AG408" s="133">
        <f>IF(AF408="","",INDEX('#建筑消耗和buff配置索引'!AX:AX,MATCH($F408,'#建筑消耗和buff配置索引'!$M:$M,0)))</f>
        <v>7</v>
      </c>
      <c r="AJ408" s="133" t="str">
        <f>IF(INDEX('#建筑消耗和buff配置索引'!BB:BB,MATCH($F408,'#建筑消耗和buff配置索引'!$M:$M,0))=0,"",INDEX('#建筑消耗和buff配置索引'!BB:BB,MATCH($F408,'#建筑消耗和buff配置索引'!$M:$M,0)))</f>
        <v/>
      </c>
      <c r="AK408" s="133" t="str">
        <f>IF(AJ408="","",INDEX('#建筑消耗和buff配置索引'!BC:BC,MATCH($F408,'#建筑消耗和buff配置索引'!$M:$M,0)))</f>
        <v/>
      </c>
      <c r="AN408" s="133" t="str">
        <f>IF(INDEX('#建筑消耗和buff配置索引'!BG:BG,MATCH($F408,'#建筑消耗和buff配置索引'!$M:$M,0))=0,"",INDEX('#建筑消耗和buff配置索引'!BG:BG,MATCH($F408,'#建筑消耗和buff配置索引'!$M:$M,0)))</f>
        <v/>
      </c>
      <c r="AO408" s="133" t="str">
        <f>IF(AN408="","",INDEX('#建筑消耗和buff配置索引'!BH:BH,MATCH($F408,'#建筑消耗和buff配置索引'!$M:$M,0)))</f>
        <v/>
      </c>
      <c r="AR408" s="133" t="str">
        <f>IF(INDEX('#建筑消耗和buff配置索引'!BK:BK,MATCH($F408,'#建筑消耗和buff配置索引'!$M:$M,0))=0,"",INDEX('#建筑消耗和buff配置索引'!BK:BK,MATCH($F408,'#建筑消耗和buff配置索引'!$M:$M,0)))</f>
        <v/>
      </c>
      <c r="AS408" s="133" t="str">
        <f>IF(AR408="","",INDEX('#建筑消耗和buff配置索引'!BL:BL,MATCH($F408,'#建筑消耗和buff配置索引'!$M:$M,0)))</f>
        <v/>
      </c>
      <c r="AV408" s="133" t="str">
        <f>IF(INDEX('#建筑消耗和buff配置索引'!BO:BO,MATCH($F408,'#建筑消耗和buff配置索引'!$M:$M,0))=0,"",INDEX('#建筑消耗和buff配置索引'!BO:BO,MATCH($F408,'#建筑消耗和buff配置索引'!$M:$M,0)))</f>
        <v/>
      </c>
      <c r="AW408" s="133" t="str">
        <f>IF(AV408="","",INDEX('#建筑消耗和buff配置索引'!BP:BP,MATCH($F408,'#建筑消耗和buff配置索引'!$M:$M,0)))</f>
        <v/>
      </c>
      <c r="AZ408" s="133" t="str">
        <f>IF(INDEX('#建筑消耗和buff配置索引'!BS:BS,MATCH($F408,'#建筑消耗和buff配置索引'!$M:$M,0))=0,"",INDEX('#建筑消耗和buff配置索引'!BS:BS,MATCH($F408,'#建筑消耗和buff配置索引'!$M:$M,0)))</f>
        <v/>
      </c>
      <c r="BA408" s="133" t="str">
        <f>IF(AZ408="","",INDEX('#建筑消耗和buff配置索引'!BT:BT,MATCH($F408,'#建筑消耗和buff配置索引'!$M:$M,0)))</f>
        <v/>
      </c>
      <c r="BD408" s="133" t="str">
        <f>IF(INDEX('#建筑消耗和buff配置索引'!BW:BW,MATCH($F408,'#建筑消耗和buff配置索引'!$M:$M,0))=0,"",INDEX('#建筑消耗和buff配置索引'!BW:BW,MATCH($F408,'#建筑消耗和buff配置索引'!$M:$M,0)))</f>
        <v/>
      </c>
      <c r="BE408" s="133" t="str">
        <f>IF(BD408="","",INDEX('#建筑消耗和buff配置索引'!BX:BX,MATCH($F408,'#建筑消耗和buff配置索引'!$M:$M,0)))</f>
        <v/>
      </c>
      <c r="BI408" s="133">
        <v>24</v>
      </c>
    </row>
    <row r="409" spans="1:61" s="133" customFormat="1">
      <c r="A409" s="133">
        <v>2300014</v>
      </c>
      <c r="B409" s="133">
        <v>406</v>
      </c>
      <c r="C409" s="133">
        <v>230</v>
      </c>
      <c r="D409" s="133" t="s">
        <v>539</v>
      </c>
      <c r="E409" s="133">
        <v>14</v>
      </c>
      <c r="F409" s="133" t="str">
        <f t="shared" si="7"/>
        <v>大使馆14</v>
      </c>
      <c r="H409" s="146"/>
      <c r="I409" s="133">
        <v>2</v>
      </c>
      <c r="J409" s="150">
        <f>INDEX('#建筑消耗和buff配置索引'!AH:AH,MATCH($F409,'#建筑消耗和buff配置索引'!$M:$M,0))</f>
        <v>28800</v>
      </c>
      <c r="K409" s="150">
        <f>INDEX('#建筑消耗和buff配置索引'!AA:AA,MATCH($F409,'#建筑消耗和buff配置索引'!$M:$M,0))</f>
        <v>260000</v>
      </c>
      <c r="L409" s="150">
        <f>INDEX('#建筑消耗和buff配置索引'!AB:AB,MATCH($F409,'#建筑消耗和buff配置索引'!$M:$M,0))</f>
        <v>510000</v>
      </c>
      <c r="M409" s="150">
        <f>INDEX('#建筑消耗和buff配置索引'!AC:AC,MATCH($F409,'#建筑消耗和buff配置索引'!$M:$M,0))</f>
        <v>510000</v>
      </c>
      <c r="N409" s="150">
        <f>INDEX('#建筑消耗和buff配置索引'!AD:AD,MATCH($F409,'#建筑消耗和buff配置索引'!$M:$M,0))</f>
        <v>510000</v>
      </c>
      <c r="O409" s="150" t="str">
        <f>IF(INDEX('#建筑消耗和buff配置索引'!T:T,MATCH($F409,'#建筑消耗和buff配置索引'!$M:$M,0))=0,"",INDEX('#建筑消耗和buff配置索引'!T:T,MATCH($F409,'#建筑消耗和buff配置索引'!$M:$M,0)))</f>
        <v/>
      </c>
      <c r="P409" s="133" t="str">
        <f>IF(INDEX('#建筑消耗和buff配置索引'!U:U,MATCH($F409,'#建筑消耗和buff配置索引'!$M:$M,0))=0,"",INDEX('#建筑消耗和buff配置索引'!U:U,MATCH($F409,'#建筑消耗和buff配置索引'!$M:$M,0)))</f>
        <v/>
      </c>
      <c r="Q409" s="133" t="str">
        <f>IF(INDEX('#建筑消耗和buff配置索引'!K:K,MATCH($F409,'#建筑消耗和buff配置索引'!$M:$M,0))=0,"",INDEX('#建筑消耗和buff配置索引'!K:K,MATCH($F409,'#建筑消耗和buff配置索引'!$M:$M,0)))</f>
        <v>201</v>
      </c>
      <c r="R409" s="133" t="str">
        <f>IF(INDEX('#建筑消耗和buff配置索引'!L:L,MATCH($F409,'#建筑消耗和buff配置索引'!$M:$M,0))=0,"",INDEX('#建筑消耗和buff配置索引'!L:L,MATCH($F409,'#建筑消耗和buff配置索引'!$M:$M,0)))</f>
        <v>14</v>
      </c>
      <c r="S409" s="133">
        <f>IF(INDEX('#建筑消耗和buff配置索引'!C:C,MATCH(F409,'#建筑消耗和buff配置索引'!M:M,0))=0,1,INDEX('#建筑消耗和buff配置索引'!C:C,MATCH(F409,'#建筑消耗和buff配置索引'!M:M,0)))</f>
        <v>2</v>
      </c>
      <c r="T409" s="133">
        <v>0</v>
      </c>
      <c r="U409" s="133">
        <v>0</v>
      </c>
      <c r="V409" s="133" t="str">
        <f>IF(E409=1,IF(INDEX('#建筑消耗和buff配置索引'!BY:BY,MATCH(D409,'#建筑消耗和buff配置索引'!A:A,0))=0,"",INDEX('#建筑消耗和buff配置索引'!BY:BY,MATCH(D409,'#建筑消耗和buff配置索引'!A:A,0))),"")</f>
        <v/>
      </c>
      <c r="W409" s="133" t="str">
        <f>IF(E409=1,IF(INDEX('#建筑消耗和buff配置索引'!BZ:BZ,MATCH(D409,'#建筑消耗和buff配置索引'!A:A,0))=0,"",INDEX('#建筑消耗和buff配置索引'!BZ:BZ,MATCH(D409,'#建筑消耗和buff配置索引'!A:A,0))),"")</f>
        <v/>
      </c>
      <c r="AA409" s="133">
        <f>INDEX('#建筑消耗和buff配置索引'!AO:AO,MATCH($F409,'#建筑消耗和buff配置索引'!$M:$M,0))</f>
        <v>12015</v>
      </c>
      <c r="AB409" s="133">
        <f>IF(INDEX('#建筑消耗和buff配置索引'!AR:AR,MATCH($F409,'#建筑消耗和buff配置索引'!$M:$M,0))=0,"",INDEX('#建筑消耗和buff配置索引'!AR:AR,MATCH($F409,'#建筑消耗和buff配置索引'!$M:$M,0)))</f>
        <v>2601</v>
      </c>
      <c r="AC409" s="133">
        <f>IF(AB409="","",INDEX('#建筑消耗和buff配置索引'!AS:AS,MATCH($F409,'#建筑消耗和buff配置索引'!$M:$M,0)))</f>
        <v>320000</v>
      </c>
      <c r="AF409" s="133">
        <f>IF(INDEX('#建筑消耗和buff配置索引'!AW:AW,MATCH($F409,'#建筑消耗和buff配置索引'!$M:$M,0))=0,"",INDEX('#建筑消耗和buff配置索引'!AW:AW,MATCH($F409,'#建筑消耗和buff配置索引'!$M:$M,0)))</f>
        <v>1400</v>
      </c>
      <c r="AG409" s="133">
        <f>IF(AF409="","",INDEX('#建筑消耗和buff配置索引'!AX:AX,MATCH($F409,'#建筑消耗和buff配置索引'!$M:$M,0)))</f>
        <v>7</v>
      </c>
      <c r="AJ409" s="133" t="str">
        <f>IF(INDEX('#建筑消耗和buff配置索引'!BB:BB,MATCH($F409,'#建筑消耗和buff配置索引'!$M:$M,0))=0,"",INDEX('#建筑消耗和buff配置索引'!BB:BB,MATCH($F409,'#建筑消耗和buff配置索引'!$M:$M,0)))</f>
        <v/>
      </c>
      <c r="AK409" s="133" t="str">
        <f>IF(AJ409="","",INDEX('#建筑消耗和buff配置索引'!BC:BC,MATCH($F409,'#建筑消耗和buff配置索引'!$M:$M,0)))</f>
        <v/>
      </c>
      <c r="AN409" s="133" t="str">
        <f>IF(INDEX('#建筑消耗和buff配置索引'!BG:BG,MATCH($F409,'#建筑消耗和buff配置索引'!$M:$M,0))=0,"",INDEX('#建筑消耗和buff配置索引'!BG:BG,MATCH($F409,'#建筑消耗和buff配置索引'!$M:$M,0)))</f>
        <v/>
      </c>
      <c r="AO409" s="133" t="str">
        <f>IF(AN409="","",INDEX('#建筑消耗和buff配置索引'!BH:BH,MATCH($F409,'#建筑消耗和buff配置索引'!$M:$M,0)))</f>
        <v/>
      </c>
      <c r="AR409" s="133" t="str">
        <f>IF(INDEX('#建筑消耗和buff配置索引'!BK:BK,MATCH($F409,'#建筑消耗和buff配置索引'!$M:$M,0))=0,"",INDEX('#建筑消耗和buff配置索引'!BK:BK,MATCH($F409,'#建筑消耗和buff配置索引'!$M:$M,0)))</f>
        <v/>
      </c>
      <c r="AS409" s="133" t="str">
        <f>IF(AR409="","",INDEX('#建筑消耗和buff配置索引'!BL:BL,MATCH($F409,'#建筑消耗和buff配置索引'!$M:$M,0)))</f>
        <v/>
      </c>
      <c r="AV409" s="133" t="str">
        <f>IF(INDEX('#建筑消耗和buff配置索引'!BO:BO,MATCH($F409,'#建筑消耗和buff配置索引'!$M:$M,0))=0,"",INDEX('#建筑消耗和buff配置索引'!BO:BO,MATCH($F409,'#建筑消耗和buff配置索引'!$M:$M,0)))</f>
        <v/>
      </c>
      <c r="AW409" s="133" t="str">
        <f>IF(AV409="","",INDEX('#建筑消耗和buff配置索引'!BP:BP,MATCH($F409,'#建筑消耗和buff配置索引'!$M:$M,0)))</f>
        <v/>
      </c>
      <c r="AZ409" s="133" t="str">
        <f>IF(INDEX('#建筑消耗和buff配置索引'!BS:BS,MATCH($F409,'#建筑消耗和buff配置索引'!$M:$M,0))=0,"",INDEX('#建筑消耗和buff配置索引'!BS:BS,MATCH($F409,'#建筑消耗和buff配置索引'!$M:$M,0)))</f>
        <v/>
      </c>
      <c r="BA409" s="133" t="str">
        <f>IF(AZ409="","",INDEX('#建筑消耗和buff配置索引'!BT:BT,MATCH($F409,'#建筑消耗和buff配置索引'!$M:$M,0)))</f>
        <v/>
      </c>
      <c r="BD409" s="133" t="str">
        <f>IF(INDEX('#建筑消耗和buff配置索引'!BW:BW,MATCH($F409,'#建筑消耗和buff配置索引'!$M:$M,0))=0,"",INDEX('#建筑消耗和buff配置索引'!BW:BW,MATCH($F409,'#建筑消耗和buff配置索引'!$M:$M,0)))</f>
        <v/>
      </c>
      <c r="BE409" s="133" t="str">
        <f>IF(BD409="","",INDEX('#建筑消耗和buff配置索引'!BX:BX,MATCH($F409,'#建筑消耗和buff配置索引'!$M:$M,0)))</f>
        <v/>
      </c>
      <c r="BI409" s="133">
        <v>24</v>
      </c>
    </row>
    <row r="410" spans="1:61" s="133" customFormat="1">
      <c r="A410" s="133">
        <v>2300015</v>
      </c>
      <c r="B410" s="133">
        <v>407</v>
      </c>
      <c r="C410" s="133">
        <v>230</v>
      </c>
      <c r="D410" s="133" t="s">
        <v>539</v>
      </c>
      <c r="E410" s="133">
        <v>15</v>
      </c>
      <c r="F410" s="133" t="str">
        <f t="shared" si="7"/>
        <v>大使馆15</v>
      </c>
      <c r="H410" s="146"/>
      <c r="I410" s="133">
        <v>2</v>
      </c>
      <c r="J410" s="150">
        <f>INDEX('#建筑消耗和buff配置索引'!AH:AH,MATCH($F410,'#建筑消耗和buff配置索引'!$M:$M,0))</f>
        <v>34560</v>
      </c>
      <c r="K410" s="150">
        <f>INDEX('#建筑消耗和buff配置索引'!AA:AA,MATCH($F410,'#建筑消耗和buff配置索引'!$M:$M,0))</f>
        <v>330000</v>
      </c>
      <c r="L410" s="150">
        <f>INDEX('#建筑消耗和buff配置索引'!AB:AB,MATCH($F410,'#建筑消耗和buff配置索引'!$M:$M,0))</f>
        <v>650000</v>
      </c>
      <c r="M410" s="150">
        <f>INDEX('#建筑消耗和buff配置索引'!AC:AC,MATCH($F410,'#建筑消耗和buff配置索引'!$M:$M,0))</f>
        <v>650000</v>
      </c>
      <c r="N410" s="150">
        <f>INDEX('#建筑消耗和buff配置索引'!AD:AD,MATCH($F410,'#建筑消耗和buff配置索引'!$M:$M,0))</f>
        <v>650000</v>
      </c>
      <c r="O410" s="150" t="str">
        <f>IF(INDEX('#建筑消耗和buff配置索引'!T:T,MATCH($F410,'#建筑消耗和buff配置索引'!$M:$M,0))=0,"",INDEX('#建筑消耗和buff配置索引'!T:T,MATCH($F410,'#建筑消耗和buff配置索引'!$M:$M,0)))</f>
        <v/>
      </c>
      <c r="P410" s="133" t="str">
        <f>IF(INDEX('#建筑消耗和buff配置索引'!U:U,MATCH($F410,'#建筑消耗和buff配置索引'!$M:$M,0))=0,"",INDEX('#建筑消耗和buff配置索引'!U:U,MATCH($F410,'#建筑消耗和buff配置索引'!$M:$M,0)))</f>
        <v/>
      </c>
      <c r="Q410" s="133" t="str">
        <f>IF(INDEX('#建筑消耗和buff配置索引'!K:K,MATCH($F410,'#建筑消耗和buff配置索引'!$M:$M,0))=0,"",INDEX('#建筑消耗和buff配置索引'!K:K,MATCH($F410,'#建筑消耗和buff配置索引'!$M:$M,0)))</f>
        <v>201</v>
      </c>
      <c r="R410" s="133" t="str">
        <f>IF(INDEX('#建筑消耗和buff配置索引'!L:L,MATCH($F410,'#建筑消耗和buff配置索引'!$M:$M,0))=0,"",INDEX('#建筑消耗和buff配置索引'!L:L,MATCH($F410,'#建筑消耗和buff配置索引'!$M:$M,0)))</f>
        <v>15</v>
      </c>
      <c r="S410" s="133">
        <f>IF(INDEX('#建筑消耗和buff配置索引'!C:C,MATCH(F410,'#建筑消耗和buff配置索引'!M:M,0))=0,1,INDEX('#建筑消耗和buff配置索引'!C:C,MATCH(F410,'#建筑消耗和buff配置索引'!M:M,0)))</f>
        <v>2</v>
      </c>
      <c r="T410" s="133">
        <v>0</v>
      </c>
      <c r="U410" s="133">
        <v>0</v>
      </c>
      <c r="V410" s="133" t="str">
        <f>IF(E410=1,IF(INDEX('#建筑消耗和buff配置索引'!BY:BY,MATCH(D410,'#建筑消耗和buff配置索引'!A:A,0))=0,"",INDEX('#建筑消耗和buff配置索引'!BY:BY,MATCH(D410,'#建筑消耗和buff配置索引'!A:A,0))),"")</f>
        <v/>
      </c>
      <c r="W410" s="133" t="str">
        <f>IF(E410=1,IF(INDEX('#建筑消耗和buff配置索引'!BZ:BZ,MATCH(D410,'#建筑消耗和buff配置索引'!A:A,0))=0,"",INDEX('#建筑消耗和buff配置索引'!BZ:BZ,MATCH(D410,'#建筑消耗和buff配置索引'!A:A,0))),"")</f>
        <v/>
      </c>
      <c r="AA410" s="133">
        <f>INDEX('#建筑消耗和buff配置索引'!AO:AO,MATCH($F410,'#建筑消耗和buff配置索引'!$M:$M,0))</f>
        <v>16586</v>
      </c>
      <c r="AB410" s="133">
        <f>IF(INDEX('#建筑消耗和buff配置索引'!AR:AR,MATCH($F410,'#建筑消耗和buff配置索引'!$M:$M,0))=0,"",INDEX('#建筑消耗和buff配置索引'!AR:AR,MATCH($F410,'#建筑消耗和buff配置索引'!$M:$M,0)))</f>
        <v>2601</v>
      </c>
      <c r="AC410" s="133">
        <f>IF(AB410="","",INDEX('#建筑消耗和buff配置索引'!AS:AS,MATCH($F410,'#建筑消耗和buff配置索引'!$M:$M,0)))</f>
        <v>350000</v>
      </c>
      <c r="AF410" s="133">
        <f>IF(INDEX('#建筑消耗和buff配置索引'!AW:AW,MATCH($F410,'#建筑消耗和buff配置索引'!$M:$M,0))=0,"",INDEX('#建筑消耗和buff配置索引'!AW:AW,MATCH($F410,'#建筑消耗和buff配置索引'!$M:$M,0)))</f>
        <v>1400</v>
      </c>
      <c r="AG410" s="133">
        <f>IF(AF410="","",INDEX('#建筑消耗和buff配置索引'!AX:AX,MATCH($F410,'#建筑消耗和buff配置索引'!$M:$M,0)))</f>
        <v>8</v>
      </c>
      <c r="AJ410" s="133" t="str">
        <f>IF(INDEX('#建筑消耗和buff配置索引'!BB:BB,MATCH($F410,'#建筑消耗和buff配置索引'!$M:$M,0))=0,"",INDEX('#建筑消耗和buff配置索引'!BB:BB,MATCH($F410,'#建筑消耗和buff配置索引'!$M:$M,0)))</f>
        <v/>
      </c>
      <c r="AK410" s="133" t="str">
        <f>IF(AJ410="","",INDEX('#建筑消耗和buff配置索引'!BC:BC,MATCH($F410,'#建筑消耗和buff配置索引'!$M:$M,0)))</f>
        <v/>
      </c>
      <c r="AN410" s="133" t="str">
        <f>IF(INDEX('#建筑消耗和buff配置索引'!BG:BG,MATCH($F410,'#建筑消耗和buff配置索引'!$M:$M,0))=0,"",INDEX('#建筑消耗和buff配置索引'!BG:BG,MATCH($F410,'#建筑消耗和buff配置索引'!$M:$M,0)))</f>
        <v/>
      </c>
      <c r="AO410" s="133" t="str">
        <f>IF(AN410="","",INDEX('#建筑消耗和buff配置索引'!BH:BH,MATCH($F410,'#建筑消耗和buff配置索引'!$M:$M,0)))</f>
        <v/>
      </c>
      <c r="AR410" s="133" t="str">
        <f>IF(INDEX('#建筑消耗和buff配置索引'!BK:BK,MATCH($F410,'#建筑消耗和buff配置索引'!$M:$M,0))=0,"",INDEX('#建筑消耗和buff配置索引'!BK:BK,MATCH($F410,'#建筑消耗和buff配置索引'!$M:$M,0)))</f>
        <v/>
      </c>
      <c r="AS410" s="133" t="str">
        <f>IF(AR410="","",INDEX('#建筑消耗和buff配置索引'!BL:BL,MATCH($F410,'#建筑消耗和buff配置索引'!$M:$M,0)))</f>
        <v/>
      </c>
      <c r="AV410" s="133" t="str">
        <f>IF(INDEX('#建筑消耗和buff配置索引'!BO:BO,MATCH($F410,'#建筑消耗和buff配置索引'!$M:$M,0))=0,"",INDEX('#建筑消耗和buff配置索引'!BO:BO,MATCH($F410,'#建筑消耗和buff配置索引'!$M:$M,0)))</f>
        <v/>
      </c>
      <c r="AW410" s="133" t="str">
        <f>IF(AV410="","",INDEX('#建筑消耗和buff配置索引'!BP:BP,MATCH($F410,'#建筑消耗和buff配置索引'!$M:$M,0)))</f>
        <v/>
      </c>
      <c r="AZ410" s="133" t="str">
        <f>IF(INDEX('#建筑消耗和buff配置索引'!BS:BS,MATCH($F410,'#建筑消耗和buff配置索引'!$M:$M,0))=0,"",INDEX('#建筑消耗和buff配置索引'!BS:BS,MATCH($F410,'#建筑消耗和buff配置索引'!$M:$M,0)))</f>
        <v/>
      </c>
      <c r="BA410" s="133" t="str">
        <f>IF(AZ410="","",INDEX('#建筑消耗和buff配置索引'!BT:BT,MATCH($F410,'#建筑消耗和buff配置索引'!$M:$M,0)))</f>
        <v/>
      </c>
      <c r="BD410" s="133" t="str">
        <f>IF(INDEX('#建筑消耗和buff配置索引'!BW:BW,MATCH($F410,'#建筑消耗和buff配置索引'!$M:$M,0))=0,"",INDEX('#建筑消耗和buff配置索引'!BW:BW,MATCH($F410,'#建筑消耗和buff配置索引'!$M:$M,0)))</f>
        <v/>
      </c>
      <c r="BE410" s="133" t="str">
        <f>IF(BD410="","",INDEX('#建筑消耗和buff配置索引'!BX:BX,MATCH($F410,'#建筑消耗和buff配置索引'!$M:$M,0)))</f>
        <v/>
      </c>
      <c r="BI410" s="133">
        <v>24</v>
      </c>
    </row>
    <row r="411" spans="1:61" s="133" customFormat="1">
      <c r="A411" s="133">
        <v>2300016</v>
      </c>
      <c r="B411" s="133">
        <v>408</v>
      </c>
      <c r="C411" s="133">
        <v>230</v>
      </c>
      <c r="D411" s="133" t="s">
        <v>539</v>
      </c>
      <c r="E411" s="133">
        <v>16</v>
      </c>
      <c r="F411" s="133" t="str">
        <f t="shared" si="7"/>
        <v>大使馆16</v>
      </c>
      <c r="H411" s="146"/>
      <c r="I411" s="133">
        <v>2</v>
      </c>
      <c r="J411" s="150">
        <f>INDEX('#建筑消耗和buff配置索引'!AH:AH,MATCH($F411,'#建筑消耗和buff配置索引'!$M:$M,0))</f>
        <v>43200</v>
      </c>
      <c r="K411" s="150">
        <f>INDEX('#建筑消耗和buff配置索引'!AA:AA,MATCH($F411,'#建筑消耗和buff配置索引'!$M:$M,0))</f>
        <v>420000</v>
      </c>
      <c r="L411" s="150">
        <f>INDEX('#建筑消耗和buff配置索引'!AB:AB,MATCH($F411,'#建筑消耗和buff配置索引'!$M:$M,0))</f>
        <v>840000</v>
      </c>
      <c r="M411" s="150">
        <f>INDEX('#建筑消耗和buff配置索引'!AC:AC,MATCH($F411,'#建筑消耗和buff配置索引'!$M:$M,0))</f>
        <v>840000</v>
      </c>
      <c r="N411" s="150">
        <f>INDEX('#建筑消耗和buff配置索引'!AD:AD,MATCH($F411,'#建筑消耗和buff配置索引'!$M:$M,0))</f>
        <v>840000</v>
      </c>
      <c r="O411" s="150" t="str">
        <f>IF(INDEX('#建筑消耗和buff配置索引'!T:T,MATCH($F411,'#建筑消耗和buff配置索引'!$M:$M,0))=0,"",INDEX('#建筑消耗和buff配置索引'!T:T,MATCH($F411,'#建筑消耗和buff配置索引'!$M:$M,0)))</f>
        <v/>
      </c>
      <c r="P411" s="133" t="str">
        <f>IF(INDEX('#建筑消耗和buff配置索引'!U:U,MATCH($F411,'#建筑消耗和buff配置索引'!$M:$M,0))=0,"",INDEX('#建筑消耗和buff配置索引'!U:U,MATCH($F411,'#建筑消耗和buff配置索引'!$M:$M,0)))</f>
        <v/>
      </c>
      <c r="Q411" s="133" t="str">
        <f>IF(INDEX('#建筑消耗和buff配置索引'!K:K,MATCH($F411,'#建筑消耗和buff配置索引'!$M:$M,0))=0,"",INDEX('#建筑消耗和buff配置索引'!K:K,MATCH($F411,'#建筑消耗和buff配置索引'!$M:$M,0)))</f>
        <v>201</v>
      </c>
      <c r="R411" s="133" t="str">
        <f>IF(INDEX('#建筑消耗和buff配置索引'!L:L,MATCH($F411,'#建筑消耗和buff配置索引'!$M:$M,0))=0,"",INDEX('#建筑消耗和buff配置索引'!L:L,MATCH($F411,'#建筑消耗和buff配置索引'!$M:$M,0)))</f>
        <v>16</v>
      </c>
      <c r="S411" s="133">
        <f>IF(INDEX('#建筑消耗和buff配置索引'!C:C,MATCH(F411,'#建筑消耗和buff配置索引'!M:M,0))=0,1,INDEX('#建筑消耗和buff配置索引'!C:C,MATCH(F411,'#建筑消耗和buff配置索引'!M:M,0)))</f>
        <v>2</v>
      </c>
      <c r="T411" s="133">
        <v>0</v>
      </c>
      <c r="U411" s="133">
        <v>0</v>
      </c>
      <c r="V411" s="133" t="str">
        <f>IF(E411=1,IF(INDEX('#建筑消耗和buff配置索引'!BY:BY,MATCH(D411,'#建筑消耗和buff配置索引'!A:A,0))=0,"",INDEX('#建筑消耗和buff配置索引'!BY:BY,MATCH(D411,'#建筑消耗和buff配置索引'!A:A,0))),"")</f>
        <v/>
      </c>
      <c r="W411" s="133" t="str">
        <f>IF(E411=1,IF(INDEX('#建筑消耗和buff配置索引'!BZ:BZ,MATCH(D411,'#建筑消耗和buff配置索引'!A:A,0))=0,"",INDEX('#建筑消耗和buff配置索引'!BZ:BZ,MATCH(D411,'#建筑消耗和buff配置索引'!A:A,0))),"")</f>
        <v/>
      </c>
      <c r="AA411" s="133">
        <f>INDEX('#建筑消耗和buff配置索引'!AO:AO,MATCH($F411,'#建筑消耗和buff配置索引'!$M:$M,0))</f>
        <v>22436</v>
      </c>
      <c r="AB411" s="133">
        <f>IF(INDEX('#建筑消耗和buff配置索引'!AR:AR,MATCH($F411,'#建筑消耗和buff配置索引'!$M:$M,0))=0,"",INDEX('#建筑消耗和buff配置索引'!AR:AR,MATCH($F411,'#建筑消耗和buff配置索引'!$M:$M,0)))</f>
        <v>2601</v>
      </c>
      <c r="AC411" s="133">
        <f>IF(AB411="","",INDEX('#建筑消耗和buff配置索引'!AS:AS,MATCH($F411,'#建筑消耗和buff配置索引'!$M:$M,0)))</f>
        <v>380000</v>
      </c>
      <c r="AF411" s="133">
        <f>IF(INDEX('#建筑消耗和buff配置索引'!AW:AW,MATCH($F411,'#建筑消耗和buff配置索引'!$M:$M,0))=0,"",INDEX('#建筑消耗和buff配置索引'!AW:AW,MATCH($F411,'#建筑消耗和buff配置索引'!$M:$M,0)))</f>
        <v>1400</v>
      </c>
      <c r="AG411" s="133">
        <f>IF(AF411="","",INDEX('#建筑消耗和buff配置索引'!AX:AX,MATCH($F411,'#建筑消耗和buff配置索引'!$M:$M,0)))</f>
        <v>8</v>
      </c>
      <c r="AJ411" s="133" t="str">
        <f>IF(INDEX('#建筑消耗和buff配置索引'!BB:BB,MATCH($F411,'#建筑消耗和buff配置索引'!$M:$M,0))=0,"",INDEX('#建筑消耗和buff配置索引'!BB:BB,MATCH($F411,'#建筑消耗和buff配置索引'!$M:$M,0)))</f>
        <v/>
      </c>
      <c r="AK411" s="133" t="str">
        <f>IF(AJ411="","",INDEX('#建筑消耗和buff配置索引'!BC:BC,MATCH($F411,'#建筑消耗和buff配置索引'!$M:$M,0)))</f>
        <v/>
      </c>
      <c r="AN411" s="133" t="str">
        <f>IF(INDEX('#建筑消耗和buff配置索引'!BG:BG,MATCH($F411,'#建筑消耗和buff配置索引'!$M:$M,0))=0,"",INDEX('#建筑消耗和buff配置索引'!BG:BG,MATCH($F411,'#建筑消耗和buff配置索引'!$M:$M,0)))</f>
        <v/>
      </c>
      <c r="AO411" s="133" t="str">
        <f>IF(AN411="","",INDEX('#建筑消耗和buff配置索引'!BH:BH,MATCH($F411,'#建筑消耗和buff配置索引'!$M:$M,0)))</f>
        <v/>
      </c>
      <c r="AR411" s="133" t="str">
        <f>IF(INDEX('#建筑消耗和buff配置索引'!BK:BK,MATCH($F411,'#建筑消耗和buff配置索引'!$M:$M,0))=0,"",INDEX('#建筑消耗和buff配置索引'!BK:BK,MATCH($F411,'#建筑消耗和buff配置索引'!$M:$M,0)))</f>
        <v/>
      </c>
      <c r="AS411" s="133" t="str">
        <f>IF(AR411="","",INDEX('#建筑消耗和buff配置索引'!BL:BL,MATCH($F411,'#建筑消耗和buff配置索引'!$M:$M,0)))</f>
        <v/>
      </c>
      <c r="AV411" s="133" t="str">
        <f>IF(INDEX('#建筑消耗和buff配置索引'!BO:BO,MATCH($F411,'#建筑消耗和buff配置索引'!$M:$M,0))=0,"",INDEX('#建筑消耗和buff配置索引'!BO:BO,MATCH($F411,'#建筑消耗和buff配置索引'!$M:$M,0)))</f>
        <v/>
      </c>
      <c r="AW411" s="133" t="str">
        <f>IF(AV411="","",INDEX('#建筑消耗和buff配置索引'!BP:BP,MATCH($F411,'#建筑消耗和buff配置索引'!$M:$M,0)))</f>
        <v/>
      </c>
      <c r="AZ411" s="133" t="str">
        <f>IF(INDEX('#建筑消耗和buff配置索引'!BS:BS,MATCH($F411,'#建筑消耗和buff配置索引'!$M:$M,0))=0,"",INDEX('#建筑消耗和buff配置索引'!BS:BS,MATCH($F411,'#建筑消耗和buff配置索引'!$M:$M,0)))</f>
        <v/>
      </c>
      <c r="BA411" s="133" t="str">
        <f>IF(AZ411="","",INDEX('#建筑消耗和buff配置索引'!BT:BT,MATCH($F411,'#建筑消耗和buff配置索引'!$M:$M,0)))</f>
        <v/>
      </c>
      <c r="BD411" s="133" t="str">
        <f>IF(INDEX('#建筑消耗和buff配置索引'!BW:BW,MATCH($F411,'#建筑消耗和buff配置索引'!$M:$M,0))=0,"",INDEX('#建筑消耗和buff配置索引'!BW:BW,MATCH($F411,'#建筑消耗和buff配置索引'!$M:$M,0)))</f>
        <v/>
      </c>
      <c r="BE411" s="133" t="str">
        <f>IF(BD411="","",INDEX('#建筑消耗和buff配置索引'!BX:BX,MATCH($F411,'#建筑消耗和buff配置索引'!$M:$M,0)))</f>
        <v/>
      </c>
      <c r="BI411" s="133">
        <v>24</v>
      </c>
    </row>
    <row r="412" spans="1:61" s="133" customFormat="1">
      <c r="A412" s="133">
        <v>2300017</v>
      </c>
      <c r="B412" s="133">
        <v>409</v>
      </c>
      <c r="C412" s="133">
        <v>230</v>
      </c>
      <c r="D412" s="133" t="s">
        <v>539</v>
      </c>
      <c r="E412" s="133">
        <v>17</v>
      </c>
      <c r="F412" s="133" t="str">
        <f t="shared" si="7"/>
        <v>大使馆17</v>
      </c>
      <c r="H412" s="146"/>
      <c r="I412" s="133">
        <v>2</v>
      </c>
      <c r="J412" s="150">
        <f>INDEX('#建筑消耗和buff配置索引'!AH:AH,MATCH($F412,'#建筑消耗和buff配置索引'!$M:$M,0))</f>
        <v>57600</v>
      </c>
      <c r="K412" s="150">
        <f>INDEX('#建筑消耗和buff配置索引'!AA:AA,MATCH($F412,'#建筑消耗和buff配置索引'!$M:$M,0))</f>
        <v>530000</v>
      </c>
      <c r="L412" s="150">
        <f>INDEX('#建筑消耗和buff配置索引'!AB:AB,MATCH($F412,'#建筑消耗和buff配置索引'!$M:$M,0))</f>
        <v>1100000</v>
      </c>
      <c r="M412" s="150">
        <f>INDEX('#建筑消耗和buff配置索引'!AC:AC,MATCH($F412,'#建筑消耗和buff配置索引'!$M:$M,0))</f>
        <v>1100000</v>
      </c>
      <c r="N412" s="150">
        <f>INDEX('#建筑消耗和buff配置索引'!AD:AD,MATCH($F412,'#建筑消耗和buff配置索引'!$M:$M,0))</f>
        <v>1100000</v>
      </c>
      <c r="O412" s="150" t="str">
        <f>IF(INDEX('#建筑消耗和buff配置索引'!T:T,MATCH($F412,'#建筑消耗和buff配置索引'!$M:$M,0))=0,"",INDEX('#建筑消耗和buff配置索引'!T:T,MATCH($F412,'#建筑消耗和buff配置索引'!$M:$M,0)))</f>
        <v/>
      </c>
      <c r="P412" s="133" t="str">
        <f>IF(INDEX('#建筑消耗和buff配置索引'!U:U,MATCH($F412,'#建筑消耗和buff配置索引'!$M:$M,0))=0,"",INDEX('#建筑消耗和buff配置索引'!U:U,MATCH($F412,'#建筑消耗和buff配置索引'!$M:$M,0)))</f>
        <v/>
      </c>
      <c r="Q412" s="133" t="str">
        <f>IF(INDEX('#建筑消耗和buff配置索引'!K:K,MATCH($F412,'#建筑消耗和buff配置索引'!$M:$M,0))=0,"",INDEX('#建筑消耗和buff配置索引'!K:K,MATCH($F412,'#建筑消耗和buff配置索引'!$M:$M,0)))</f>
        <v>201</v>
      </c>
      <c r="R412" s="133" t="str">
        <f>IF(INDEX('#建筑消耗和buff配置索引'!L:L,MATCH($F412,'#建筑消耗和buff配置索引'!$M:$M,0))=0,"",INDEX('#建筑消耗和buff配置索引'!L:L,MATCH($F412,'#建筑消耗和buff配置索引'!$M:$M,0)))</f>
        <v>17</v>
      </c>
      <c r="S412" s="133">
        <f>IF(INDEX('#建筑消耗和buff配置索引'!C:C,MATCH(F412,'#建筑消耗和buff配置索引'!M:M,0))=0,1,INDEX('#建筑消耗和buff配置索引'!C:C,MATCH(F412,'#建筑消耗和buff配置索引'!M:M,0)))</f>
        <v>2</v>
      </c>
      <c r="T412" s="133">
        <v>0</v>
      </c>
      <c r="U412" s="133">
        <v>0</v>
      </c>
      <c r="V412" s="133" t="str">
        <f>IF(E412=1,IF(INDEX('#建筑消耗和buff配置索引'!BY:BY,MATCH(D412,'#建筑消耗和buff配置索引'!A:A,0))=0,"",INDEX('#建筑消耗和buff配置索引'!BY:BY,MATCH(D412,'#建筑消耗和buff配置索引'!A:A,0))),"")</f>
        <v/>
      </c>
      <c r="W412" s="133" t="str">
        <f>IF(E412=1,IF(INDEX('#建筑消耗和buff配置索引'!BZ:BZ,MATCH(D412,'#建筑消耗和buff配置索引'!A:A,0))=0,"",INDEX('#建筑消耗和buff配置索引'!BZ:BZ,MATCH(D412,'#建筑消耗和buff配置索引'!A:A,0))),"")</f>
        <v/>
      </c>
      <c r="AA412" s="133">
        <f>INDEX('#建筑消耗和buff配置索引'!AO:AO,MATCH($F412,'#建筑消耗和buff配置索引'!$M:$M,0))</f>
        <v>29924</v>
      </c>
      <c r="AB412" s="133">
        <f>IF(INDEX('#建筑消耗和buff配置索引'!AR:AR,MATCH($F412,'#建筑消耗和buff配置索引'!$M:$M,0))=0,"",INDEX('#建筑消耗和buff配置索引'!AR:AR,MATCH($F412,'#建筑消耗和buff配置索引'!$M:$M,0)))</f>
        <v>2601</v>
      </c>
      <c r="AC412" s="133">
        <f>IF(AB412="","",INDEX('#建筑消耗和buff配置索引'!AS:AS,MATCH($F412,'#建筑消耗和buff配置索引'!$M:$M,0)))</f>
        <v>420000</v>
      </c>
      <c r="AF412" s="133">
        <f>IF(INDEX('#建筑消耗和buff配置索引'!AW:AW,MATCH($F412,'#建筑消耗和buff配置索引'!$M:$M,0))=0,"",INDEX('#建筑消耗和buff配置索引'!AW:AW,MATCH($F412,'#建筑消耗和buff配置索引'!$M:$M,0)))</f>
        <v>1400</v>
      </c>
      <c r="AG412" s="133">
        <f>IF(AF412="","",INDEX('#建筑消耗和buff配置索引'!AX:AX,MATCH($F412,'#建筑消耗和buff配置索引'!$M:$M,0)))</f>
        <v>9</v>
      </c>
      <c r="AJ412" s="133" t="str">
        <f>IF(INDEX('#建筑消耗和buff配置索引'!BB:BB,MATCH($F412,'#建筑消耗和buff配置索引'!$M:$M,0))=0,"",INDEX('#建筑消耗和buff配置索引'!BB:BB,MATCH($F412,'#建筑消耗和buff配置索引'!$M:$M,0)))</f>
        <v/>
      </c>
      <c r="AK412" s="133" t="str">
        <f>IF(AJ412="","",INDEX('#建筑消耗和buff配置索引'!BC:BC,MATCH($F412,'#建筑消耗和buff配置索引'!$M:$M,0)))</f>
        <v/>
      </c>
      <c r="AN412" s="133" t="str">
        <f>IF(INDEX('#建筑消耗和buff配置索引'!BG:BG,MATCH($F412,'#建筑消耗和buff配置索引'!$M:$M,0))=0,"",INDEX('#建筑消耗和buff配置索引'!BG:BG,MATCH($F412,'#建筑消耗和buff配置索引'!$M:$M,0)))</f>
        <v/>
      </c>
      <c r="AO412" s="133" t="str">
        <f>IF(AN412="","",INDEX('#建筑消耗和buff配置索引'!BH:BH,MATCH($F412,'#建筑消耗和buff配置索引'!$M:$M,0)))</f>
        <v/>
      </c>
      <c r="AR412" s="133" t="str">
        <f>IF(INDEX('#建筑消耗和buff配置索引'!BK:BK,MATCH($F412,'#建筑消耗和buff配置索引'!$M:$M,0))=0,"",INDEX('#建筑消耗和buff配置索引'!BK:BK,MATCH($F412,'#建筑消耗和buff配置索引'!$M:$M,0)))</f>
        <v/>
      </c>
      <c r="AS412" s="133" t="str">
        <f>IF(AR412="","",INDEX('#建筑消耗和buff配置索引'!BL:BL,MATCH($F412,'#建筑消耗和buff配置索引'!$M:$M,0)))</f>
        <v/>
      </c>
      <c r="AV412" s="133" t="str">
        <f>IF(INDEX('#建筑消耗和buff配置索引'!BO:BO,MATCH($F412,'#建筑消耗和buff配置索引'!$M:$M,0))=0,"",INDEX('#建筑消耗和buff配置索引'!BO:BO,MATCH($F412,'#建筑消耗和buff配置索引'!$M:$M,0)))</f>
        <v/>
      </c>
      <c r="AW412" s="133" t="str">
        <f>IF(AV412="","",INDEX('#建筑消耗和buff配置索引'!BP:BP,MATCH($F412,'#建筑消耗和buff配置索引'!$M:$M,0)))</f>
        <v/>
      </c>
      <c r="AZ412" s="133" t="str">
        <f>IF(INDEX('#建筑消耗和buff配置索引'!BS:BS,MATCH($F412,'#建筑消耗和buff配置索引'!$M:$M,0))=0,"",INDEX('#建筑消耗和buff配置索引'!BS:BS,MATCH($F412,'#建筑消耗和buff配置索引'!$M:$M,0)))</f>
        <v/>
      </c>
      <c r="BA412" s="133" t="str">
        <f>IF(AZ412="","",INDEX('#建筑消耗和buff配置索引'!BT:BT,MATCH($F412,'#建筑消耗和buff配置索引'!$M:$M,0)))</f>
        <v/>
      </c>
      <c r="BD412" s="133" t="str">
        <f>IF(INDEX('#建筑消耗和buff配置索引'!BW:BW,MATCH($F412,'#建筑消耗和buff配置索引'!$M:$M,0))=0,"",INDEX('#建筑消耗和buff配置索引'!BW:BW,MATCH($F412,'#建筑消耗和buff配置索引'!$M:$M,0)))</f>
        <v/>
      </c>
      <c r="BE412" s="133" t="str">
        <f>IF(BD412="","",INDEX('#建筑消耗和buff配置索引'!BX:BX,MATCH($F412,'#建筑消耗和buff配置索引'!$M:$M,0)))</f>
        <v/>
      </c>
      <c r="BI412" s="133">
        <v>24</v>
      </c>
    </row>
    <row r="413" spans="1:61" s="133" customFormat="1">
      <c r="A413" s="133">
        <v>2300018</v>
      </c>
      <c r="B413" s="133">
        <v>410</v>
      </c>
      <c r="C413" s="133">
        <v>230</v>
      </c>
      <c r="D413" s="133" t="s">
        <v>539</v>
      </c>
      <c r="E413" s="133">
        <v>18</v>
      </c>
      <c r="F413" s="133" t="str">
        <f t="shared" si="7"/>
        <v>大使馆18</v>
      </c>
      <c r="H413" s="146"/>
      <c r="I413" s="133">
        <v>2</v>
      </c>
      <c r="J413" s="150">
        <f>INDEX('#建筑消耗和buff配置索引'!AH:AH,MATCH($F413,'#建筑消耗和buff配置索引'!$M:$M,0))</f>
        <v>74880</v>
      </c>
      <c r="K413" s="150">
        <f>INDEX('#建筑消耗和buff配置索引'!AA:AA,MATCH($F413,'#建筑消耗和buff配置索引'!$M:$M,0))</f>
        <v>680000</v>
      </c>
      <c r="L413" s="150">
        <f>INDEX('#建筑消耗和buff配置索引'!AB:AB,MATCH($F413,'#建筑消耗和buff配置索引'!$M:$M,0))</f>
        <v>1400000</v>
      </c>
      <c r="M413" s="150">
        <f>INDEX('#建筑消耗和buff配置索引'!AC:AC,MATCH($F413,'#建筑消耗和buff配置索引'!$M:$M,0))</f>
        <v>1400000</v>
      </c>
      <c r="N413" s="150">
        <f>INDEX('#建筑消耗和buff配置索引'!AD:AD,MATCH($F413,'#建筑消耗和buff配置索引'!$M:$M,0))</f>
        <v>1400000</v>
      </c>
      <c r="O413" s="150" t="str">
        <f>IF(INDEX('#建筑消耗和buff配置索引'!T:T,MATCH($F413,'#建筑消耗和buff配置索引'!$M:$M,0))=0,"",INDEX('#建筑消耗和buff配置索引'!T:T,MATCH($F413,'#建筑消耗和buff配置索引'!$M:$M,0)))</f>
        <v/>
      </c>
      <c r="P413" s="133" t="str">
        <f>IF(INDEX('#建筑消耗和buff配置索引'!U:U,MATCH($F413,'#建筑消耗和buff配置索引'!$M:$M,0))=0,"",INDEX('#建筑消耗和buff配置索引'!U:U,MATCH($F413,'#建筑消耗和buff配置索引'!$M:$M,0)))</f>
        <v/>
      </c>
      <c r="Q413" s="133" t="str">
        <f>IF(INDEX('#建筑消耗和buff配置索引'!K:K,MATCH($F413,'#建筑消耗和buff配置索引'!$M:$M,0))=0,"",INDEX('#建筑消耗和buff配置索引'!K:K,MATCH($F413,'#建筑消耗和buff配置索引'!$M:$M,0)))</f>
        <v>201</v>
      </c>
      <c r="R413" s="133" t="str">
        <f>IF(INDEX('#建筑消耗和buff配置索引'!L:L,MATCH($F413,'#建筑消耗和buff配置索引'!$M:$M,0))=0,"",INDEX('#建筑消耗和buff配置索引'!L:L,MATCH($F413,'#建筑消耗和buff配置索引'!$M:$M,0)))</f>
        <v>18</v>
      </c>
      <c r="S413" s="133">
        <f>IF(INDEX('#建筑消耗和buff配置索引'!C:C,MATCH(F413,'#建筑消耗和buff配置索引'!M:M,0))=0,1,INDEX('#建筑消耗和buff配置索引'!C:C,MATCH(F413,'#建筑消耗和buff配置索引'!M:M,0)))</f>
        <v>2</v>
      </c>
      <c r="T413" s="133">
        <v>0</v>
      </c>
      <c r="U413" s="133">
        <v>0</v>
      </c>
      <c r="V413" s="133" t="str">
        <f>IF(E413=1,IF(INDEX('#建筑消耗和buff配置索引'!BY:BY,MATCH(D413,'#建筑消耗和buff配置索引'!A:A,0))=0,"",INDEX('#建筑消耗和buff配置索引'!BY:BY,MATCH(D413,'#建筑消耗和buff配置索引'!A:A,0))),"")</f>
        <v/>
      </c>
      <c r="W413" s="133" t="str">
        <f>IF(E413=1,IF(INDEX('#建筑消耗和buff配置索引'!BZ:BZ,MATCH(D413,'#建筑消耗和buff配置索引'!A:A,0))=0,"",INDEX('#建筑消耗和buff配置索引'!BZ:BZ,MATCH(D413,'#建筑消耗和buff配置索引'!A:A,0))),"")</f>
        <v/>
      </c>
      <c r="AA413" s="133">
        <f>INDEX('#建筑消耗和buff配置索引'!AO:AO,MATCH($F413,'#建筑消耗和buff配置索引'!$M:$M,0))</f>
        <v>39509</v>
      </c>
      <c r="AB413" s="133">
        <f>IF(INDEX('#建筑消耗和buff配置索引'!AR:AR,MATCH($F413,'#建筑消耗和buff配置索引'!$M:$M,0))=0,"",INDEX('#建筑消耗和buff配置索引'!AR:AR,MATCH($F413,'#建筑消耗和buff配置索引'!$M:$M,0)))</f>
        <v>2601</v>
      </c>
      <c r="AC413" s="133">
        <f>IF(AB413="","",INDEX('#建筑消耗和buff配置索引'!AS:AS,MATCH($F413,'#建筑消耗和buff配置索引'!$M:$M,0)))</f>
        <v>460000</v>
      </c>
      <c r="AF413" s="133">
        <f>IF(INDEX('#建筑消耗和buff配置索引'!AW:AW,MATCH($F413,'#建筑消耗和buff配置索引'!$M:$M,0))=0,"",INDEX('#建筑消耗和buff配置索引'!AW:AW,MATCH($F413,'#建筑消耗和buff配置索引'!$M:$M,0)))</f>
        <v>1400</v>
      </c>
      <c r="AG413" s="133">
        <f>IF(AF413="","",INDEX('#建筑消耗和buff配置索引'!AX:AX,MATCH($F413,'#建筑消耗和buff配置索引'!$M:$M,0)))</f>
        <v>9</v>
      </c>
      <c r="AJ413" s="133" t="str">
        <f>IF(INDEX('#建筑消耗和buff配置索引'!BB:BB,MATCH($F413,'#建筑消耗和buff配置索引'!$M:$M,0))=0,"",INDEX('#建筑消耗和buff配置索引'!BB:BB,MATCH($F413,'#建筑消耗和buff配置索引'!$M:$M,0)))</f>
        <v/>
      </c>
      <c r="AK413" s="133" t="str">
        <f>IF(AJ413="","",INDEX('#建筑消耗和buff配置索引'!BC:BC,MATCH($F413,'#建筑消耗和buff配置索引'!$M:$M,0)))</f>
        <v/>
      </c>
      <c r="AN413" s="133" t="str">
        <f>IF(INDEX('#建筑消耗和buff配置索引'!BG:BG,MATCH($F413,'#建筑消耗和buff配置索引'!$M:$M,0))=0,"",INDEX('#建筑消耗和buff配置索引'!BG:BG,MATCH($F413,'#建筑消耗和buff配置索引'!$M:$M,0)))</f>
        <v/>
      </c>
      <c r="AO413" s="133" t="str">
        <f>IF(AN413="","",INDEX('#建筑消耗和buff配置索引'!BH:BH,MATCH($F413,'#建筑消耗和buff配置索引'!$M:$M,0)))</f>
        <v/>
      </c>
      <c r="AR413" s="133" t="str">
        <f>IF(INDEX('#建筑消耗和buff配置索引'!BK:BK,MATCH($F413,'#建筑消耗和buff配置索引'!$M:$M,0))=0,"",INDEX('#建筑消耗和buff配置索引'!BK:BK,MATCH($F413,'#建筑消耗和buff配置索引'!$M:$M,0)))</f>
        <v/>
      </c>
      <c r="AS413" s="133" t="str">
        <f>IF(AR413="","",INDEX('#建筑消耗和buff配置索引'!BL:BL,MATCH($F413,'#建筑消耗和buff配置索引'!$M:$M,0)))</f>
        <v/>
      </c>
      <c r="AV413" s="133" t="str">
        <f>IF(INDEX('#建筑消耗和buff配置索引'!BO:BO,MATCH($F413,'#建筑消耗和buff配置索引'!$M:$M,0))=0,"",INDEX('#建筑消耗和buff配置索引'!BO:BO,MATCH($F413,'#建筑消耗和buff配置索引'!$M:$M,0)))</f>
        <v/>
      </c>
      <c r="AW413" s="133" t="str">
        <f>IF(AV413="","",INDEX('#建筑消耗和buff配置索引'!BP:BP,MATCH($F413,'#建筑消耗和buff配置索引'!$M:$M,0)))</f>
        <v/>
      </c>
      <c r="AZ413" s="133" t="str">
        <f>IF(INDEX('#建筑消耗和buff配置索引'!BS:BS,MATCH($F413,'#建筑消耗和buff配置索引'!$M:$M,0))=0,"",INDEX('#建筑消耗和buff配置索引'!BS:BS,MATCH($F413,'#建筑消耗和buff配置索引'!$M:$M,0)))</f>
        <v/>
      </c>
      <c r="BA413" s="133" t="str">
        <f>IF(AZ413="","",INDEX('#建筑消耗和buff配置索引'!BT:BT,MATCH($F413,'#建筑消耗和buff配置索引'!$M:$M,0)))</f>
        <v/>
      </c>
      <c r="BD413" s="133" t="str">
        <f>IF(INDEX('#建筑消耗和buff配置索引'!BW:BW,MATCH($F413,'#建筑消耗和buff配置索引'!$M:$M,0))=0,"",INDEX('#建筑消耗和buff配置索引'!BW:BW,MATCH($F413,'#建筑消耗和buff配置索引'!$M:$M,0)))</f>
        <v/>
      </c>
      <c r="BE413" s="133" t="str">
        <f>IF(BD413="","",INDEX('#建筑消耗和buff配置索引'!BX:BX,MATCH($F413,'#建筑消耗和buff配置索引'!$M:$M,0)))</f>
        <v/>
      </c>
      <c r="BI413" s="133">
        <v>24</v>
      </c>
    </row>
    <row r="414" spans="1:61" s="133" customFormat="1">
      <c r="A414" s="133">
        <v>2300019</v>
      </c>
      <c r="B414" s="133">
        <v>411</v>
      </c>
      <c r="C414" s="133">
        <v>230</v>
      </c>
      <c r="D414" s="133" t="s">
        <v>539</v>
      </c>
      <c r="E414" s="133">
        <v>19</v>
      </c>
      <c r="F414" s="133" t="str">
        <f t="shared" si="7"/>
        <v>大使馆19</v>
      </c>
      <c r="H414" s="146"/>
      <c r="I414" s="133">
        <v>2</v>
      </c>
      <c r="J414" s="150">
        <f>INDEX('#建筑消耗和buff配置索引'!AH:AH,MATCH($F414,'#建筑消耗和buff配置索引'!$M:$M,0))</f>
        <v>97920</v>
      </c>
      <c r="K414" s="150">
        <f>INDEX('#建筑消耗和buff配置索引'!AA:AA,MATCH($F414,'#建筑消耗和buff配置索引'!$M:$M,0))</f>
        <v>880000</v>
      </c>
      <c r="L414" s="150">
        <f>INDEX('#建筑消耗和buff配置索引'!AB:AB,MATCH($F414,'#建筑消耗和buff配置索引'!$M:$M,0))</f>
        <v>1800000</v>
      </c>
      <c r="M414" s="150">
        <f>INDEX('#建筑消耗和buff配置索引'!AC:AC,MATCH($F414,'#建筑消耗和buff配置索引'!$M:$M,0))</f>
        <v>1800000</v>
      </c>
      <c r="N414" s="150">
        <f>INDEX('#建筑消耗和buff配置索引'!AD:AD,MATCH($F414,'#建筑消耗和buff配置索引'!$M:$M,0))</f>
        <v>1800000</v>
      </c>
      <c r="O414" s="150" t="str">
        <f>IF(INDEX('#建筑消耗和buff配置索引'!T:T,MATCH($F414,'#建筑消耗和buff配置索引'!$M:$M,0))=0,"",INDEX('#建筑消耗和buff配置索引'!T:T,MATCH($F414,'#建筑消耗和buff配置索引'!$M:$M,0)))</f>
        <v/>
      </c>
      <c r="P414" s="133" t="str">
        <f>IF(INDEX('#建筑消耗和buff配置索引'!U:U,MATCH($F414,'#建筑消耗和buff配置索引'!$M:$M,0))=0,"",INDEX('#建筑消耗和buff配置索引'!U:U,MATCH($F414,'#建筑消耗和buff配置索引'!$M:$M,0)))</f>
        <v/>
      </c>
      <c r="Q414" s="133" t="str">
        <f>IF(INDEX('#建筑消耗和buff配置索引'!K:K,MATCH($F414,'#建筑消耗和buff配置索引'!$M:$M,0))=0,"",INDEX('#建筑消耗和buff配置索引'!K:K,MATCH($F414,'#建筑消耗和buff配置索引'!$M:$M,0)))</f>
        <v>201</v>
      </c>
      <c r="R414" s="133" t="str">
        <f>IF(INDEX('#建筑消耗和buff配置索引'!L:L,MATCH($F414,'#建筑消耗和buff配置索引'!$M:$M,0))=0,"",INDEX('#建筑消耗和buff配置索引'!L:L,MATCH($F414,'#建筑消耗和buff配置索引'!$M:$M,0)))</f>
        <v>19</v>
      </c>
      <c r="S414" s="133">
        <f>IF(INDEX('#建筑消耗和buff配置索引'!C:C,MATCH(F414,'#建筑消耗和buff配置索引'!M:M,0))=0,1,INDEX('#建筑消耗和buff配置索引'!C:C,MATCH(F414,'#建筑消耗和buff配置索引'!M:M,0)))</f>
        <v>2</v>
      </c>
      <c r="T414" s="133">
        <v>0</v>
      </c>
      <c r="U414" s="133">
        <v>0</v>
      </c>
      <c r="V414" s="133" t="str">
        <f>IF(E414=1,IF(INDEX('#建筑消耗和buff配置索引'!BY:BY,MATCH(D414,'#建筑消耗和buff配置索引'!A:A,0))=0,"",INDEX('#建筑消耗和buff配置索引'!BY:BY,MATCH(D414,'#建筑消耗和buff配置索引'!A:A,0))),"")</f>
        <v/>
      </c>
      <c r="W414" s="133" t="str">
        <f>IF(E414=1,IF(INDEX('#建筑消耗和buff配置索引'!BZ:BZ,MATCH(D414,'#建筑消耗和buff配置索引'!A:A,0))=0,"",INDEX('#建筑消耗和buff配置索引'!BZ:BZ,MATCH(D414,'#建筑消耗和buff配置索引'!A:A,0))),"")</f>
        <v/>
      </c>
      <c r="AA414" s="133">
        <f>INDEX('#建筑消耗和buff配置索引'!AO:AO,MATCH($F414,'#建筑消耗和buff配置索引'!$M:$M,0))</f>
        <v>51778</v>
      </c>
      <c r="AB414" s="133">
        <f>IF(INDEX('#建筑消耗和buff配置索引'!AR:AR,MATCH($F414,'#建筑消耗和buff配置索引'!$M:$M,0))=0,"",INDEX('#建筑消耗和buff配置索引'!AR:AR,MATCH($F414,'#建筑消耗和buff配置索引'!$M:$M,0)))</f>
        <v>2601</v>
      </c>
      <c r="AC414" s="133">
        <f>IF(AB414="","",INDEX('#建筑消耗和buff配置索引'!AS:AS,MATCH($F414,'#建筑消耗和buff配置索引'!$M:$M,0)))</f>
        <v>500000</v>
      </c>
      <c r="AF414" s="133">
        <f>IF(INDEX('#建筑消耗和buff配置索引'!AW:AW,MATCH($F414,'#建筑消耗和buff配置索引'!$M:$M,0))=0,"",INDEX('#建筑消耗和buff配置索引'!AW:AW,MATCH($F414,'#建筑消耗和buff配置索引'!$M:$M,0)))</f>
        <v>1400</v>
      </c>
      <c r="AG414" s="133">
        <f>IF(AF414="","",INDEX('#建筑消耗和buff配置索引'!AX:AX,MATCH($F414,'#建筑消耗和buff配置索引'!$M:$M,0)))</f>
        <v>10</v>
      </c>
      <c r="AJ414" s="133" t="str">
        <f>IF(INDEX('#建筑消耗和buff配置索引'!BB:BB,MATCH($F414,'#建筑消耗和buff配置索引'!$M:$M,0))=0,"",INDEX('#建筑消耗和buff配置索引'!BB:BB,MATCH($F414,'#建筑消耗和buff配置索引'!$M:$M,0)))</f>
        <v/>
      </c>
      <c r="AK414" s="133" t="str">
        <f>IF(AJ414="","",INDEX('#建筑消耗和buff配置索引'!BC:BC,MATCH($F414,'#建筑消耗和buff配置索引'!$M:$M,0)))</f>
        <v/>
      </c>
      <c r="AN414" s="133" t="str">
        <f>IF(INDEX('#建筑消耗和buff配置索引'!BG:BG,MATCH($F414,'#建筑消耗和buff配置索引'!$M:$M,0))=0,"",INDEX('#建筑消耗和buff配置索引'!BG:BG,MATCH($F414,'#建筑消耗和buff配置索引'!$M:$M,0)))</f>
        <v/>
      </c>
      <c r="AO414" s="133" t="str">
        <f>IF(AN414="","",INDEX('#建筑消耗和buff配置索引'!BH:BH,MATCH($F414,'#建筑消耗和buff配置索引'!$M:$M,0)))</f>
        <v/>
      </c>
      <c r="AR414" s="133" t="str">
        <f>IF(INDEX('#建筑消耗和buff配置索引'!BK:BK,MATCH($F414,'#建筑消耗和buff配置索引'!$M:$M,0))=0,"",INDEX('#建筑消耗和buff配置索引'!BK:BK,MATCH($F414,'#建筑消耗和buff配置索引'!$M:$M,0)))</f>
        <v/>
      </c>
      <c r="AS414" s="133" t="str">
        <f>IF(AR414="","",INDEX('#建筑消耗和buff配置索引'!BL:BL,MATCH($F414,'#建筑消耗和buff配置索引'!$M:$M,0)))</f>
        <v/>
      </c>
      <c r="AV414" s="133" t="str">
        <f>IF(INDEX('#建筑消耗和buff配置索引'!BO:BO,MATCH($F414,'#建筑消耗和buff配置索引'!$M:$M,0))=0,"",INDEX('#建筑消耗和buff配置索引'!BO:BO,MATCH($F414,'#建筑消耗和buff配置索引'!$M:$M,0)))</f>
        <v/>
      </c>
      <c r="AW414" s="133" t="str">
        <f>IF(AV414="","",INDEX('#建筑消耗和buff配置索引'!BP:BP,MATCH($F414,'#建筑消耗和buff配置索引'!$M:$M,0)))</f>
        <v/>
      </c>
      <c r="AZ414" s="133" t="str">
        <f>IF(INDEX('#建筑消耗和buff配置索引'!BS:BS,MATCH($F414,'#建筑消耗和buff配置索引'!$M:$M,0))=0,"",INDEX('#建筑消耗和buff配置索引'!BS:BS,MATCH($F414,'#建筑消耗和buff配置索引'!$M:$M,0)))</f>
        <v/>
      </c>
      <c r="BA414" s="133" t="str">
        <f>IF(AZ414="","",INDEX('#建筑消耗和buff配置索引'!BT:BT,MATCH($F414,'#建筑消耗和buff配置索引'!$M:$M,0)))</f>
        <v/>
      </c>
      <c r="BD414" s="133" t="str">
        <f>IF(INDEX('#建筑消耗和buff配置索引'!BW:BW,MATCH($F414,'#建筑消耗和buff配置索引'!$M:$M,0))=0,"",INDEX('#建筑消耗和buff配置索引'!BW:BW,MATCH($F414,'#建筑消耗和buff配置索引'!$M:$M,0)))</f>
        <v/>
      </c>
      <c r="BE414" s="133" t="str">
        <f>IF(BD414="","",INDEX('#建筑消耗和buff配置索引'!BX:BX,MATCH($F414,'#建筑消耗和buff配置索引'!$M:$M,0)))</f>
        <v/>
      </c>
      <c r="BI414" s="133">
        <v>24</v>
      </c>
    </row>
    <row r="415" spans="1:61" s="133" customFormat="1">
      <c r="A415" s="133">
        <v>2300020</v>
      </c>
      <c r="B415" s="133">
        <v>412</v>
      </c>
      <c r="C415" s="133">
        <v>230</v>
      </c>
      <c r="D415" s="133" t="s">
        <v>539</v>
      </c>
      <c r="E415" s="133">
        <v>20</v>
      </c>
      <c r="F415" s="133" t="str">
        <f t="shared" si="7"/>
        <v>大使馆20</v>
      </c>
      <c r="H415" s="146"/>
      <c r="I415" s="133">
        <v>3</v>
      </c>
      <c r="J415" s="150">
        <f>INDEX('#建筑消耗和buff配置索引'!AH:AH,MATCH($F415,'#建筑消耗和buff配置索引'!$M:$M,0))</f>
        <v>138240</v>
      </c>
      <c r="K415" s="150">
        <f>INDEX('#建筑消耗和buff配置索引'!AA:AA,MATCH($F415,'#建筑消耗和buff配置索引'!$M:$M,0))</f>
        <v>1100000</v>
      </c>
      <c r="L415" s="150">
        <f>INDEX('#建筑消耗和buff配置索引'!AB:AB,MATCH($F415,'#建筑消耗和buff配置索引'!$M:$M,0))</f>
        <v>2200000</v>
      </c>
      <c r="M415" s="150">
        <f>INDEX('#建筑消耗和buff配置索引'!AC:AC,MATCH($F415,'#建筑消耗和buff配置索引'!$M:$M,0))</f>
        <v>2200000</v>
      </c>
      <c r="N415" s="150">
        <f>INDEX('#建筑消耗和buff配置索引'!AD:AD,MATCH($F415,'#建筑消耗和buff配置索引'!$M:$M,0))</f>
        <v>2200000</v>
      </c>
      <c r="O415" s="150" t="str">
        <f>IF(INDEX('#建筑消耗和buff配置索引'!T:T,MATCH($F415,'#建筑消耗和buff配置索引'!$M:$M,0))=0,"",INDEX('#建筑消耗和buff配置索引'!T:T,MATCH($F415,'#建筑消耗和buff配置索引'!$M:$M,0)))</f>
        <v/>
      </c>
      <c r="P415" s="133" t="str">
        <f>IF(INDEX('#建筑消耗和buff配置索引'!U:U,MATCH($F415,'#建筑消耗和buff配置索引'!$M:$M,0))=0,"",INDEX('#建筑消耗和buff配置索引'!U:U,MATCH($F415,'#建筑消耗和buff配置索引'!$M:$M,0)))</f>
        <v/>
      </c>
      <c r="Q415" s="133" t="str">
        <f>IF(INDEX('#建筑消耗和buff配置索引'!K:K,MATCH($F415,'#建筑消耗和buff配置索引'!$M:$M,0))=0,"",INDEX('#建筑消耗和buff配置索引'!K:K,MATCH($F415,'#建筑消耗和buff配置索引'!$M:$M,0)))</f>
        <v>201</v>
      </c>
      <c r="R415" s="133" t="str">
        <f>IF(INDEX('#建筑消耗和buff配置索引'!L:L,MATCH($F415,'#建筑消耗和buff配置索引'!$M:$M,0))=0,"",INDEX('#建筑消耗和buff配置索引'!L:L,MATCH($F415,'#建筑消耗和buff配置索引'!$M:$M,0)))</f>
        <v>20</v>
      </c>
      <c r="S415" s="133">
        <f>IF(INDEX('#建筑消耗和buff配置索引'!C:C,MATCH(F415,'#建筑消耗和buff配置索引'!M:M,0))=0,1,INDEX('#建筑消耗和buff配置索引'!C:C,MATCH(F415,'#建筑消耗和buff配置索引'!M:M,0)))</f>
        <v>2</v>
      </c>
      <c r="T415" s="133">
        <v>0</v>
      </c>
      <c r="U415" s="133">
        <v>0</v>
      </c>
      <c r="V415" s="133" t="str">
        <f>IF(E415=1,IF(INDEX('#建筑消耗和buff配置索引'!BY:BY,MATCH(D415,'#建筑消耗和buff配置索引'!A:A,0))=0,"",INDEX('#建筑消耗和buff配置索引'!BY:BY,MATCH(D415,'#建筑消耗和buff配置索引'!A:A,0))),"")</f>
        <v/>
      </c>
      <c r="W415" s="133" t="str">
        <f>IF(E415=1,IF(INDEX('#建筑消耗和buff配置索引'!BZ:BZ,MATCH(D415,'#建筑消耗和buff配置索引'!A:A,0))=0,"",INDEX('#建筑消耗和buff配置索引'!BZ:BZ,MATCH(D415,'#建筑消耗和buff配置索引'!A:A,0))),"")</f>
        <v/>
      </c>
      <c r="AA415" s="133">
        <f>INDEX('#建筑消耗和buff配置索引'!AO:AO,MATCH($F415,'#建筑消耗和buff配置索引'!$M:$M,0))</f>
        <v>67481</v>
      </c>
      <c r="AB415" s="133">
        <f>IF(INDEX('#建筑消耗和buff配置索引'!AR:AR,MATCH($F415,'#建筑消耗和buff配置索引'!$M:$M,0))=0,"",INDEX('#建筑消耗和buff配置索引'!AR:AR,MATCH($F415,'#建筑消耗和buff配置索引'!$M:$M,0)))</f>
        <v>2601</v>
      </c>
      <c r="AC415" s="133">
        <f>IF(AB415="","",INDEX('#建筑消耗和buff配置索引'!AS:AS,MATCH($F415,'#建筑消耗和buff配置索引'!$M:$M,0)))</f>
        <v>540000</v>
      </c>
      <c r="AF415" s="133">
        <f>IF(INDEX('#建筑消耗和buff配置索引'!AW:AW,MATCH($F415,'#建筑消耗和buff配置索引'!$M:$M,0))=0,"",INDEX('#建筑消耗和buff配置索引'!AW:AW,MATCH($F415,'#建筑消耗和buff配置索引'!$M:$M,0)))</f>
        <v>1400</v>
      </c>
      <c r="AG415" s="133">
        <f>IF(AF415="","",INDEX('#建筑消耗和buff配置索引'!AX:AX,MATCH($F415,'#建筑消耗和buff配置索引'!$M:$M,0)))</f>
        <v>10</v>
      </c>
      <c r="AJ415" s="133" t="str">
        <f>IF(INDEX('#建筑消耗和buff配置索引'!BB:BB,MATCH($F415,'#建筑消耗和buff配置索引'!$M:$M,0))=0,"",INDEX('#建筑消耗和buff配置索引'!BB:BB,MATCH($F415,'#建筑消耗和buff配置索引'!$M:$M,0)))</f>
        <v/>
      </c>
      <c r="AK415" s="133" t="str">
        <f>IF(AJ415="","",INDEX('#建筑消耗和buff配置索引'!BC:BC,MATCH($F415,'#建筑消耗和buff配置索引'!$M:$M,0)))</f>
        <v/>
      </c>
      <c r="AN415" s="133" t="str">
        <f>IF(INDEX('#建筑消耗和buff配置索引'!BG:BG,MATCH($F415,'#建筑消耗和buff配置索引'!$M:$M,0))=0,"",INDEX('#建筑消耗和buff配置索引'!BG:BG,MATCH($F415,'#建筑消耗和buff配置索引'!$M:$M,0)))</f>
        <v/>
      </c>
      <c r="AO415" s="133" t="str">
        <f>IF(AN415="","",INDEX('#建筑消耗和buff配置索引'!BH:BH,MATCH($F415,'#建筑消耗和buff配置索引'!$M:$M,0)))</f>
        <v/>
      </c>
      <c r="AR415" s="133" t="str">
        <f>IF(INDEX('#建筑消耗和buff配置索引'!BK:BK,MATCH($F415,'#建筑消耗和buff配置索引'!$M:$M,0))=0,"",INDEX('#建筑消耗和buff配置索引'!BK:BK,MATCH($F415,'#建筑消耗和buff配置索引'!$M:$M,0)))</f>
        <v/>
      </c>
      <c r="AS415" s="133" t="str">
        <f>IF(AR415="","",INDEX('#建筑消耗和buff配置索引'!BL:BL,MATCH($F415,'#建筑消耗和buff配置索引'!$M:$M,0)))</f>
        <v/>
      </c>
      <c r="AV415" s="133" t="str">
        <f>IF(INDEX('#建筑消耗和buff配置索引'!BO:BO,MATCH($F415,'#建筑消耗和buff配置索引'!$M:$M,0))=0,"",INDEX('#建筑消耗和buff配置索引'!BO:BO,MATCH($F415,'#建筑消耗和buff配置索引'!$M:$M,0)))</f>
        <v/>
      </c>
      <c r="AW415" s="133" t="str">
        <f>IF(AV415="","",INDEX('#建筑消耗和buff配置索引'!BP:BP,MATCH($F415,'#建筑消耗和buff配置索引'!$M:$M,0)))</f>
        <v/>
      </c>
      <c r="AZ415" s="133" t="str">
        <f>IF(INDEX('#建筑消耗和buff配置索引'!BS:BS,MATCH($F415,'#建筑消耗和buff配置索引'!$M:$M,0))=0,"",INDEX('#建筑消耗和buff配置索引'!BS:BS,MATCH($F415,'#建筑消耗和buff配置索引'!$M:$M,0)))</f>
        <v/>
      </c>
      <c r="BA415" s="133" t="str">
        <f>IF(AZ415="","",INDEX('#建筑消耗和buff配置索引'!BT:BT,MATCH($F415,'#建筑消耗和buff配置索引'!$M:$M,0)))</f>
        <v/>
      </c>
      <c r="BD415" s="133" t="str">
        <f>IF(INDEX('#建筑消耗和buff配置索引'!BW:BW,MATCH($F415,'#建筑消耗和buff配置索引'!$M:$M,0))=0,"",INDEX('#建筑消耗和buff配置索引'!BW:BW,MATCH($F415,'#建筑消耗和buff配置索引'!$M:$M,0)))</f>
        <v/>
      </c>
      <c r="BE415" s="133" t="str">
        <f>IF(BD415="","",INDEX('#建筑消耗和buff配置索引'!BX:BX,MATCH($F415,'#建筑消耗和buff配置索引'!$M:$M,0)))</f>
        <v/>
      </c>
      <c r="BI415" s="133">
        <v>24</v>
      </c>
    </row>
    <row r="416" spans="1:61" s="133" customFormat="1">
      <c r="A416" s="133">
        <v>2300021</v>
      </c>
      <c r="B416" s="133">
        <v>413</v>
      </c>
      <c r="C416" s="133">
        <v>230</v>
      </c>
      <c r="D416" s="133" t="s">
        <v>539</v>
      </c>
      <c r="E416" s="133">
        <v>21</v>
      </c>
      <c r="F416" s="133" t="str">
        <f t="shared" si="7"/>
        <v>大使馆21</v>
      </c>
      <c r="H416" s="146"/>
      <c r="I416" s="133">
        <v>3</v>
      </c>
      <c r="J416" s="150">
        <f>INDEX('#建筑消耗和buff配置索引'!AH:AH,MATCH($F416,'#建筑消耗和buff配置索引'!$M:$M,0))</f>
        <v>184320</v>
      </c>
      <c r="K416" s="150">
        <f>INDEX('#建筑消耗和buff配置索引'!AA:AA,MATCH($F416,'#建筑消耗和buff配置索引'!$M:$M,0))</f>
        <v>1400000</v>
      </c>
      <c r="L416" s="150">
        <f>INDEX('#建筑消耗和buff配置索引'!AB:AB,MATCH($F416,'#建筑消耗和buff配置索引'!$M:$M,0))</f>
        <v>2900000</v>
      </c>
      <c r="M416" s="150">
        <f>INDEX('#建筑消耗和buff配置索引'!AC:AC,MATCH($F416,'#建筑消耗和buff配置索引'!$M:$M,0))</f>
        <v>2900000</v>
      </c>
      <c r="N416" s="150">
        <f>INDEX('#建筑消耗和buff配置索引'!AD:AD,MATCH($F416,'#建筑消耗和buff配置索引'!$M:$M,0))</f>
        <v>2900000</v>
      </c>
      <c r="O416" s="150" t="str">
        <f>IF(INDEX('#建筑消耗和buff配置索引'!T:T,MATCH($F416,'#建筑消耗和buff配置索引'!$M:$M,0))=0,"",INDEX('#建筑消耗和buff配置索引'!T:T,MATCH($F416,'#建筑消耗和buff配置索引'!$M:$M,0)))</f>
        <v/>
      </c>
      <c r="P416" s="133" t="str">
        <f>IF(INDEX('#建筑消耗和buff配置索引'!U:U,MATCH($F416,'#建筑消耗和buff配置索引'!$M:$M,0))=0,"",INDEX('#建筑消耗和buff配置索引'!U:U,MATCH($F416,'#建筑消耗和buff配置索引'!$M:$M,0)))</f>
        <v/>
      </c>
      <c r="Q416" s="133" t="str">
        <f>IF(INDEX('#建筑消耗和buff配置索引'!K:K,MATCH($F416,'#建筑消耗和buff配置索引'!$M:$M,0))=0,"",INDEX('#建筑消耗和buff配置索引'!K:K,MATCH($F416,'#建筑消耗和buff配置索引'!$M:$M,0)))</f>
        <v>201</v>
      </c>
      <c r="R416" s="133" t="str">
        <f>IF(INDEX('#建筑消耗和buff配置索引'!L:L,MATCH($F416,'#建筑消耗和buff配置索引'!$M:$M,0))=0,"",INDEX('#建筑消耗和buff配置索引'!L:L,MATCH($F416,'#建筑消耗和buff配置索引'!$M:$M,0)))</f>
        <v>21</v>
      </c>
      <c r="S416" s="133">
        <f>IF(INDEX('#建筑消耗和buff配置索引'!C:C,MATCH(F416,'#建筑消耗和buff配置索引'!M:M,0))=0,1,INDEX('#建筑消耗和buff配置索引'!C:C,MATCH(F416,'#建筑消耗和buff配置索引'!M:M,0)))</f>
        <v>2</v>
      </c>
      <c r="T416" s="133">
        <v>0</v>
      </c>
      <c r="U416" s="133">
        <v>0</v>
      </c>
      <c r="V416" s="133" t="str">
        <f>IF(E416=1,IF(INDEX('#建筑消耗和buff配置索引'!BY:BY,MATCH(D416,'#建筑消耗和buff配置索引'!A:A,0))=0,"",INDEX('#建筑消耗和buff配置索引'!BY:BY,MATCH(D416,'#建筑消耗和buff配置索引'!A:A,0))),"")</f>
        <v/>
      </c>
      <c r="W416" s="133" t="str">
        <f>IF(E416=1,IF(INDEX('#建筑消耗和buff配置索引'!BZ:BZ,MATCH(D416,'#建筑消耗和buff配置索引'!A:A,0))=0,"",INDEX('#建筑消耗和buff配置索引'!BZ:BZ,MATCH(D416,'#建筑消耗和buff配置索引'!A:A,0))),"")</f>
        <v/>
      </c>
      <c r="AA416" s="133">
        <f>INDEX('#建筑消耗和buff配置索引'!AO:AO,MATCH($F416,'#建筑消耗和buff配置索引'!$M:$M,0))</f>
        <v>87582</v>
      </c>
      <c r="AB416" s="133">
        <f>IF(INDEX('#建筑消耗和buff配置索引'!AR:AR,MATCH($F416,'#建筑消耗和buff配置索引'!$M:$M,0))=0,"",INDEX('#建筑消耗和buff配置索引'!AR:AR,MATCH($F416,'#建筑消耗和buff配置索引'!$M:$M,0)))</f>
        <v>2601</v>
      </c>
      <c r="AC416" s="133">
        <f>IF(AB416="","",INDEX('#建筑消耗和buff配置索引'!AS:AS,MATCH($F416,'#建筑消耗和buff配置索引'!$M:$M,0)))</f>
        <v>580000</v>
      </c>
      <c r="AF416" s="133">
        <f>IF(INDEX('#建筑消耗和buff配置索引'!AW:AW,MATCH($F416,'#建筑消耗和buff配置索引'!$M:$M,0))=0,"",INDEX('#建筑消耗和buff配置索引'!AW:AW,MATCH($F416,'#建筑消耗和buff配置索引'!$M:$M,0)))</f>
        <v>1400</v>
      </c>
      <c r="AG416" s="133">
        <f>IF(AF416="","",INDEX('#建筑消耗和buff配置索引'!AX:AX,MATCH($F416,'#建筑消耗和buff配置索引'!$M:$M,0)))</f>
        <v>11</v>
      </c>
      <c r="AJ416" s="133" t="str">
        <f>IF(INDEX('#建筑消耗和buff配置索引'!BB:BB,MATCH($F416,'#建筑消耗和buff配置索引'!$M:$M,0))=0,"",INDEX('#建筑消耗和buff配置索引'!BB:BB,MATCH($F416,'#建筑消耗和buff配置索引'!$M:$M,0)))</f>
        <v/>
      </c>
      <c r="AK416" s="133" t="str">
        <f>IF(AJ416="","",INDEX('#建筑消耗和buff配置索引'!BC:BC,MATCH($F416,'#建筑消耗和buff配置索引'!$M:$M,0)))</f>
        <v/>
      </c>
      <c r="AN416" s="133" t="str">
        <f>IF(INDEX('#建筑消耗和buff配置索引'!BG:BG,MATCH($F416,'#建筑消耗和buff配置索引'!$M:$M,0))=0,"",INDEX('#建筑消耗和buff配置索引'!BG:BG,MATCH($F416,'#建筑消耗和buff配置索引'!$M:$M,0)))</f>
        <v/>
      </c>
      <c r="AO416" s="133" t="str">
        <f>IF(AN416="","",INDEX('#建筑消耗和buff配置索引'!BH:BH,MATCH($F416,'#建筑消耗和buff配置索引'!$M:$M,0)))</f>
        <v/>
      </c>
      <c r="AR416" s="133" t="str">
        <f>IF(INDEX('#建筑消耗和buff配置索引'!BK:BK,MATCH($F416,'#建筑消耗和buff配置索引'!$M:$M,0))=0,"",INDEX('#建筑消耗和buff配置索引'!BK:BK,MATCH($F416,'#建筑消耗和buff配置索引'!$M:$M,0)))</f>
        <v/>
      </c>
      <c r="AS416" s="133" t="str">
        <f>IF(AR416="","",INDEX('#建筑消耗和buff配置索引'!BL:BL,MATCH($F416,'#建筑消耗和buff配置索引'!$M:$M,0)))</f>
        <v/>
      </c>
      <c r="AV416" s="133" t="str">
        <f>IF(INDEX('#建筑消耗和buff配置索引'!BO:BO,MATCH($F416,'#建筑消耗和buff配置索引'!$M:$M,0))=0,"",INDEX('#建筑消耗和buff配置索引'!BO:BO,MATCH($F416,'#建筑消耗和buff配置索引'!$M:$M,0)))</f>
        <v/>
      </c>
      <c r="AW416" s="133" t="str">
        <f>IF(AV416="","",INDEX('#建筑消耗和buff配置索引'!BP:BP,MATCH($F416,'#建筑消耗和buff配置索引'!$M:$M,0)))</f>
        <v/>
      </c>
      <c r="AZ416" s="133" t="str">
        <f>IF(INDEX('#建筑消耗和buff配置索引'!BS:BS,MATCH($F416,'#建筑消耗和buff配置索引'!$M:$M,0))=0,"",INDEX('#建筑消耗和buff配置索引'!BS:BS,MATCH($F416,'#建筑消耗和buff配置索引'!$M:$M,0)))</f>
        <v/>
      </c>
      <c r="BA416" s="133" t="str">
        <f>IF(AZ416="","",INDEX('#建筑消耗和buff配置索引'!BT:BT,MATCH($F416,'#建筑消耗和buff配置索引'!$M:$M,0)))</f>
        <v/>
      </c>
      <c r="BD416" s="133" t="str">
        <f>IF(INDEX('#建筑消耗和buff配置索引'!BW:BW,MATCH($F416,'#建筑消耗和buff配置索引'!$M:$M,0))=0,"",INDEX('#建筑消耗和buff配置索引'!BW:BW,MATCH($F416,'#建筑消耗和buff配置索引'!$M:$M,0)))</f>
        <v/>
      </c>
      <c r="BE416" s="133" t="str">
        <f>IF(BD416="","",INDEX('#建筑消耗和buff配置索引'!BX:BX,MATCH($F416,'#建筑消耗和buff配置索引'!$M:$M,0)))</f>
        <v/>
      </c>
      <c r="BI416" s="133">
        <v>24</v>
      </c>
    </row>
    <row r="417" spans="1:66" s="133" customFormat="1">
      <c r="A417" s="133">
        <v>2300022</v>
      </c>
      <c r="B417" s="133">
        <v>414</v>
      </c>
      <c r="C417" s="133">
        <v>230</v>
      </c>
      <c r="D417" s="133" t="s">
        <v>539</v>
      </c>
      <c r="E417" s="133">
        <v>22</v>
      </c>
      <c r="F417" s="133" t="str">
        <f t="shared" si="7"/>
        <v>大使馆22</v>
      </c>
      <c r="H417" s="146"/>
      <c r="I417" s="133">
        <v>3</v>
      </c>
      <c r="J417" s="150">
        <f>INDEX('#建筑消耗和buff配置索引'!AH:AH,MATCH($F417,'#建筑消耗和buff配置索引'!$M:$M,0))</f>
        <v>241920</v>
      </c>
      <c r="K417" s="150">
        <f>INDEX('#建筑消耗和buff配置索引'!AA:AA,MATCH($F417,'#建筑消耗和buff配置索引'!$M:$M,0))</f>
        <v>1800000</v>
      </c>
      <c r="L417" s="150">
        <f>INDEX('#建筑消耗和buff配置索引'!AB:AB,MATCH($F417,'#建筑消耗和buff配置索引'!$M:$M,0))</f>
        <v>3700000</v>
      </c>
      <c r="M417" s="150">
        <f>INDEX('#建筑消耗和buff配置索引'!AC:AC,MATCH($F417,'#建筑消耗和buff配置索引'!$M:$M,0))</f>
        <v>3700000</v>
      </c>
      <c r="N417" s="150">
        <f>INDEX('#建筑消耗和buff配置索引'!AD:AD,MATCH($F417,'#建筑消耗和buff配置索引'!$M:$M,0))</f>
        <v>3700000</v>
      </c>
      <c r="O417" s="150" t="str">
        <f>IF(INDEX('#建筑消耗和buff配置索引'!T:T,MATCH($F417,'#建筑消耗和buff配置索引'!$M:$M,0))=0,"",INDEX('#建筑消耗和buff配置索引'!T:T,MATCH($F417,'#建筑消耗和buff配置索引'!$M:$M,0)))</f>
        <v/>
      </c>
      <c r="P417" s="133" t="str">
        <f>IF(INDEX('#建筑消耗和buff配置索引'!U:U,MATCH($F417,'#建筑消耗和buff配置索引'!$M:$M,0))=0,"",INDEX('#建筑消耗和buff配置索引'!U:U,MATCH($F417,'#建筑消耗和buff配置索引'!$M:$M,0)))</f>
        <v/>
      </c>
      <c r="Q417" s="133" t="str">
        <f>IF(INDEX('#建筑消耗和buff配置索引'!K:K,MATCH($F417,'#建筑消耗和buff配置索引'!$M:$M,0))=0,"",INDEX('#建筑消耗和buff配置索引'!K:K,MATCH($F417,'#建筑消耗和buff配置索引'!$M:$M,0)))</f>
        <v>201</v>
      </c>
      <c r="R417" s="133" t="str">
        <f>IF(INDEX('#建筑消耗和buff配置索引'!L:L,MATCH($F417,'#建筑消耗和buff配置索引'!$M:$M,0))=0,"",INDEX('#建筑消耗和buff配置索引'!L:L,MATCH($F417,'#建筑消耗和buff配置索引'!$M:$M,0)))</f>
        <v>22</v>
      </c>
      <c r="S417" s="133">
        <f>IF(INDEX('#建筑消耗和buff配置索引'!C:C,MATCH(F417,'#建筑消耗和buff配置索引'!M:M,0))=0,1,INDEX('#建筑消耗和buff配置索引'!C:C,MATCH(F417,'#建筑消耗和buff配置索引'!M:M,0)))</f>
        <v>2</v>
      </c>
      <c r="T417" s="133">
        <v>0</v>
      </c>
      <c r="U417" s="133">
        <v>0</v>
      </c>
      <c r="V417" s="133" t="str">
        <f>IF(E417=1,IF(INDEX('#建筑消耗和buff配置索引'!BY:BY,MATCH(D417,'#建筑消耗和buff配置索引'!A:A,0))=0,"",INDEX('#建筑消耗和buff配置索引'!BY:BY,MATCH(D417,'#建筑消耗和buff配置索引'!A:A,0))),"")</f>
        <v/>
      </c>
      <c r="W417" s="133" t="str">
        <f>IF(E417=1,IF(INDEX('#建筑消耗和buff配置索引'!BZ:BZ,MATCH(D417,'#建筑消耗和buff配置索引'!A:A,0))=0,"",INDEX('#建筑消耗和buff配置索引'!BZ:BZ,MATCH(D417,'#建筑消耗和buff配置索引'!A:A,0))),"")</f>
        <v/>
      </c>
      <c r="AA417" s="133">
        <f>INDEX('#建筑消耗和buff配置索引'!AO:AO,MATCH($F417,'#建筑消耗和buff配置索引'!$M:$M,0))</f>
        <v>113312</v>
      </c>
      <c r="AB417" s="133">
        <f>IF(INDEX('#建筑消耗和buff配置索引'!AR:AR,MATCH($F417,'#建筑消耗和buff配置索引'!$M:$M,0))=0,"",INDEX('#建筑消耗和buff配置索引'!AR:AR,MATCH($F417,'#建筑消耗和buff配置索引'!$M:$M,0)))</f>
        <v>2601</v>
      </c>
      <c r="AC417" s="133">
        <f>IF(AB417="","",INDEX('#建筑消耗和buff配置索引'!AS:AS,MATCH($F417,'#建筑消耗和buff配置索引'!$M:$M,0)))</f>
        <v>620000</v>
      </c>
      <c r="AF417" s="133">
        <f>IF(INDEX('#建筑消耗和buff配置索引'!AW:AW,MATCH($F417,'#建筑消耗和buff配置索引'!$M:$M,0))=0,"",INDEX('#建筑消耗和buff配置索引'!AW:AW,MATCH($F417,'#建筑消耗和buff配置索引'!$M:$M,0)))</f>
        <v>1400</v>
      </c>
      <c r="AG417" s="133">
        <f>IF(AF417="","",INDEX('#建筑消耗和buff配置索引'!AX:AX,MATCH($F417,'#建筑消耗和buff配置索引'!$M:$M,0)))</f>
        <v>12</v>
      </c>
      <c r="AJ417" s="133" t="str">
        <f>IF(INDEX('#建筑消耗和buff配置索引'!BB:BB,MATCH($F417,'#建筑消耗和buff配置索引'!$M:$M,0))=0,"",INDEX('#建筑消耗和buff配置索引'!BB:BB,MATCH($F417,'#建筑消耗和buff配置索引'!$M:$M,0)))</f>
        <v/>
      </c>
      <c r="AK417" s="133" t="str">
        <f>IF(AJ417="","",INDEX('#建筑消耗和buff配置索引'!BC:BC,MATCH($F417,'#建筑消耗和buff配置索引'!$M:$M,0)))</f>
        <v/>
      </c>
      <c r="AN417" s="133" t="str">
        <f>IF(INDEX('#建筑消耗和buff配置索引'!BG:BG,MATCH($F417,'#建筑消耗和buff配置索引'!$M:$M,0))=0,"",INDEX('#建筑消耗和buff配置索引'!BG:BG,MATCH($F417,'#建筑消耗和buff配置索引'!$M:$M,0)))</f>
        <v/>
      </c>
      <c r="AO417" s="133" t="str">
        <f>IF(AN417="","",INDEX('#建筑消耗和buff配置索引'!BH:BH,MATCH($F417,'#建筑消耗和buff配置索引'!$M:$M,0)))</f>
        <v/>
      </c>
      <c r="AR417" s="133" t="str">
        <f>IF(INDEX('#建筑消耗和buff配置索引'!BK:BK,MATCH($F417,'#建筑消耗和buff配置索引'!$M:$M,0))=0,"",INDEX('#建筑消耗和buff配置索引'!BK:BK,MATCH($F417,'#建筑消耗和buff配置索引'!$M:$M,0)))</f>
        <v/>
      </c>
      <c r="AS417" s="133" t="str">
        <f>IF(AR417="","",INDEX('#建筑消耗和buff配置索引'!BL:BL,MATCH($F417,'#建筑消耗和buff配置索引'!$M:$M,0)))</f>
        <v/>
      </c>
      <c r="AV417" s="133" t="str">
        <f>IF(INDEX('#建筑消耗和buff配置索引'!BO:BO,MATCH($F417,'#建筑消耗和buff配置索引'!$M:$M,0))=0,"",INDEX('#建筑消耗和buff配置索引'!BO:BO,MATCH($F417,'#建筑消耗和buff配置索引'!$M:$M,0)))</f>
        <v/>
      </c>
      <c r="AW417" s="133" t="str">
        <f>IF(AV417="","",INDEX('#建筑消耗和buff配置索引'!BP:BP,MATCH($F417,'#建筑消耗和buff配置索引'!$M:$M,0)))</f>
        <v/>
      </c>
      <c r="AZ417" s="133" t="str">
        <f>IF(INDEX('#建筑消耗和buff配置索引'!BS:BS,MATCH($F417,'#建筑消耗和buff配置索引'!$M:$M,0))=0,"",INDEX('#建筑消耗和buff配置索引'!BS:BS,MATCH($F417,'#建筑消耗和buff配置索引'!$M:$M,0)))</f>
        <v/>
      </c>
      <c r="BA417" s="133" t="str">
        <f>IF(AZ417="","",INDEX('#建筑消耗和buff配置索引'!BT:BT,MATCH($F417,'#建筑消耗和buff配置索引'!$M:$M,0)))</f>
        <v/>
      </c>
      <c r="BD417" s="133" t="str">
        <f>IF(INDEX('#建筑消耗和buff配置索引'!BW:BW,MATCH($F417,'#建筑消耗和buff配置索引'!$M:$M,0))=0,"",INDEX('#建筑消耗和buff配置索引'!BW:BW,MATCH($F417,'#建筑消耗和buff配置索引'!$M:$M,0)))</f>
        <v/>
      </c>
      <c r="BE417" s="133" t="str">
        <f>IF(BD417="","",INDEX('#建筑消耗和buff配置索引'!BX:BX,MATCH($F417,'#建筑消耗和buff配置索引'!$M:$M,0)))</f>
        <v/>
      </c>
      <c r="BI417" s="133">
        <v>24</v>
      </c>
    </row>
    <row r="418" spans="1:66" s="133" customFormat="1">
      <c r="A418" s="133">
        <v>2300023</v>
      </c>
      <c r="B418" s="133">
        <v>415</v>
      </c>
      <c r="C418" s="133">
        <v>230</v>
      </c>
      <c r="D418" s="133" t="s">
        <v>539</v>
      </c>
      <c r="E418" s="133">
        <v>23</v>
      </c>
      <c r="F418" s="133" t="str">
        <f t="shared" si="7"/>
        <v>大使馆23</v>
      </c>
      <c r="H418" s="146"/>
      <c r="I418" s="133">
        <v>3</v>
      </c>
      <c r="J418" s="150">
        <f>INDEX('#建筑消耗和buff配置索引'!AH:AH,MATCH($F418,'#建筑消耗和buff配置索引'!$M:$M,0))</f>
        <v>311040</v>
      </c>
      <c r="K418" s="150">
        <f>INDEX('#建筑消耗和buff配置索引'!AA:AA,MATCH($F418,'#建筑消耗和buff配置索引'!$M:$M,0))</f>
        <v>2400000</v>
      </c>
      <c r="L418" s="150">
        <f>INDEX('#建筑消耗和buff配置索引'!AB:AB,MATCH($F418,'#建筑消耗和buff配置索引'!$M:$M,0))</f>
        <v>4700000</v>
      </c>
      <c r="M418" s="150">
        <f>INDEX('#建筑消耗和buff配置索引'!AC:AC,MATCH($F418,'#建筑消耗和buff配置索引'!$M:$M,0))</f>
        <v>4700000</v>
      </c>
      <c r="N418" s="150">
        <f>INDEX('#建筑消耗和buff配置索引'!AD:AD,MATCH($F418,'#建筑消耗和buff配置索引'!$M:$M,0))</f>
        <v>4700000</v>
      </c>
      <c r="O418" s="150" t="str">
        <f>IF(INDEX('#建筑消耗和buff配置索引'!T:T,MATCH($F418,'#建筑消耗和buff配置索引'!$M:$M,0))=0,"",INDEX('#建筑消耗和buff配置索引'!T:T,MATCH($F418,'#建筑消耗和buff配置索引'!$M:$M,0)))</f>
        <v/>
      </c>
      <c r="P418" s="133" t="str">
        <f>IF(INDEX('#建筑消耗和buff配置索引'!U:U,MATCH($F418,'#建筑消耗和buff配置索引'!$M:$M,0))=0,"",INDEX('#建筑消耗和buff配置索引'!U:U,MATCH($F418,'#建筑消耗和buff配置索引'!$M:$M,0)))</f>
        <v/>
      </c>
      <c r="Q418" s="133" t="str">
        <f>IF(INDEX('#建筑消耗和buff配置索引'!K:K,MATCH($F418,'#建筑消耗和buff配置索引'!$M:$M,0))=0,"",INDEX('#建筑消耗和buff配置索引'!K:K,MATCH($F418,'#建筑消耗和buff配置索引'!$M:$M,0)))</f>
        <v>201</v>
      </c>
      <c r="R418" s="133" t="str">
        <f>IF(INDEX('#建筑消耗和buff配置索引'!L:L,MATCH($F418,'#建筑消耗和buff配置索引'!$M:$M,0))=0,"",INDEX('#建筑消耗和buff配置索引'!L:L,MATCH($F418,'#建筑消耗和buff配置索引'!$M:$M,0)))</f>
        <v>23</v>
      </c>
      <c r="S418" s="133">
        <f>IF(INDEX('#建筑消耗和buff配置索引'!C:C,MATCH(F418,'#建筑消耗和buff配置索引'!M:M,0))=0,1,INDEX('#建筑消耗和buff配置索引'!C:C,MATCH(F418,'#建筑消耗和buff配置索引'!M:M,0)))</f>
        <v>2</v>
      </c>
      <c r="T418" s="133">
        <v>0</v>
      </c>
      <c r="U418" s="133">
        <v>0</v>
      </c>
      <c r="V418" s="133" t="str">
        <f>IF(E418=1,IF(INDEX('#建筑消耗和buff配置索引'!BY:BY,MATCH(D418,'#建筑消耗和buff配置索引'!A:A,0))=0,"",INDEX('#建筑消耗和buff配置索引'!BY:BY,MATCH(D418,'#建筑消耗和buff配置索引'!A:A,0))),"")</f>
        <v/>
      </c>
      <c r="W418" s="133" t="str">
        <f>IF(E418=1,IF(INDEX('#建筑消耗和buff配置索引'!BZ:BZ,MATCH(D418,'#建筑消耗和buff配置索引'!A:A,0))=0,"",INDEX('#建筑消耗和buff配置索引'!BZ:BZ,MATCH(D418,'#建筑消耗和buff配置索引'!A:A,0))),"")</f>
        <v/>
      </c>
      <c r="AA418" s="133">
        <f>INDEX('#建筑消耗和buff配置索引'!AO:AO,MATCH($F418,'#建筑消耗和buff配置索引'!$M:$M,0))</f>
        <v>146245</v>
      </c>
      <c r="AB418" s="133">
        <f>IF(INDEX('#建筑消耗和buff配置索引'!AR:AR,MATCH($F418,'#建筑消耗和buff配置索引'!$M:$M,0))=0,"",INDEX('#建筑消耗和buff配置索引'!AR:AR,MATCH($F418,'#建筑消耗和buff配置索引'!$M:$M,0)))</f>
        <v>2601</v>
      </c>
      <c r="AC418" s="133">
        <f>IF(AB418="","",INDEX('#建筑消耗和buff配置索引'!AS:AS,MATCH($F418,'#建筑消耗和buff配置索引'!$M:$M,0)))</f>
        <v>660000</v>
      </c>
      <c r="AF418" s="133">
        <f>IF(INDEX('#建筑消耗和buff配置索引'!AW:AW,MATCH($F418,'#建筑消耗和buff配置索引'!$M:$M,0))=0,"",INDEX('#建筑消耗和buff配置索引'!AW:AW,MATCH($F418,'#建筑消耗和buff配置索引'!$M:$M,0)))</f>
        <v>1400</v>
      </c>
      <c r="AG418" s="133">
        <f>IF(AF418="","",INDEX('#建筑消耗和buff配置索引'!AX:AX,MATCH($F418,'#建筑消耗和buff配置索引'!$M:$M,0)))</f>
        <v>13</v>
      </c>
      <c r="AJ418" s="133" t="str">
        <f>IF(INDEX('#建筑消耗和buff配置索引'!BB:BB,MATCH($F418,'#建筑消耗和buff配置索引'!$M:$M,0))=0,"",INDEX('#建筑消耗和buff配置索引'!BB:BB,MATCH($F418,'#建筑消耗和buff配置索引'!$M:$M,0)))</f>
        <v/>
      </c>
      <c r="AK418" s="133" t="str">
        <f>IF(AJ418="","",INDEX('#建筑消耗和buff配置索引'!BC:BC,MATCH($F418,'#建筑消耗和buff配置索引'!$M:$M,0)))</f>
        <v/>
      </c>
      <c r="AN418" s="133" t="str">
        <f>IF(INDEX('#建筑消耗和buff配置索引'!BG:BG,MATCH($F418,'#建筑消耗和buff配置索引'!$M:$M,0))=0,"",INDEX('#建筑消耗和buff配置索引'!BG:BG,MATCH($F418,'#建筑消耗和buff配置索引'!$M:$M,0)))</f>
        <v/>
      </c>
      <c r="AO418" s="133" t="str">
        <f>IF(AN418="","",INDEX('#建筑消耗和buff配置索引'!BH:BH,MATCH($F418,'#建筑消耗和buff配置索引'!$M:$M,0)))</f>
        <v/>
      </c>
      <c r="AR418" s="133" t="str">
        <f>IF(INDEX('#建筑消耗和buff配置索引'!BK:BK,MATCH($F418,'#建筑消耗和buff配置索引'!$M:$M,0))=0,"",INDEX('#建筑消耗和buff配置索引'!BK:BK,MATCH($F418,'#建筑消耗和buff配置索引'!$M:$M,0)))</f>
        <v/>
      </c>
      <c r="AS418" s="133" t="str">
        <f>IF(AR418="","",INDEX('#建筑消耗和buff配置索引'!BL:BL,MATCH($F418,'#建筑消耗和buff配置索引'!$M:$M,0)))</f>
        <v/>
      </c>
      <c r="AV418" s="133" t="str">
        <f>IF(INDEX('#建筑消耗和buff配置索引'!BO:BO,MATCH($F418,'#建筑消耗和buff配置索引'!$M:$M,0))=0,"",INDEX('#建筑消耗和buff配置索引'!BO:BO,MATCH($F418,'#建筑消耗和buff配置索引'!$M:$M,0)))</f>
        <v/>
      </c>
      <c r="AW418" s="133" t="str">
        <f>IF(AV418="","",INDEX('#建筑消耗和buff配置索引'!BP:BP,MATCH($F418,'#建筑消耗和buff配置索引'!$M:$M,0)))</f>
        <v/>
      </c>
      <c r="AZ418" s="133" t="str">
        <f>IF(INDEX('#建筑消耗和buff配置索引'!BS:BS,MATCH($F418,'#建筑消耗和buff配置索引'!$M:$M,0))=0,"",INDEX('#建筑消耗和buff配置索引'!BS:BS,MATCH($F418,'#建筑消耗和buff配置索引'!$M:$M,0)))</f>
        <v/>
      </c>
      <c r="BA418" s="133" t="str">
        <f>IF(AZ418="","",INDEX('#建筑消耗和buff配置索引'!BT:BT,MATCH($F418,'#建筑消耗和buff配置索引'!$M:$M,0)))</f>
        <v/>
      </c>
      <c r="BD418" s="133" t="str">
        <f>IF(INDEX('#建筑消耗和buff配置索引'!BW:BW,MATCH($F418,'#建筑消耗和buff配置索引'!$M:$M,0))=0,"",INDEX('#建筑消耗和buff配置索引'!BW:BW,MATCH($F418,'#建筑消耗和buff配置索引'!$M:$M,0)))</f>
        <v/>
      </c>
      <c r="BE418" s="133" t="str">
        <f>IF(BD418="","",INDEX('#建筑消耗和buff配置索引'!BX:BX,MATCH($F418,'#建筑消耗和buff配置索引'!$M:$M,0)))</f>
        <v/>
      </c>
      <c r="BI418" s="133">
        <v>24</v>
      </c>
    </row>
    <row r="419" spans="1:66" s="133" customFormat="1">
      <c r="A419" s="133">
        <v>2300024</v>
      </c>
      <c r="B419" s="133">
        <v>416</v>
      </c>
      <c r="C419" s="133">
        <v>230</v>
      </c>
      <c r="D419" s="133" t="s">
        <v>539</v>
      </c>
      <c r="E419" s="133">
        <v>24</v>
      </c>
      <c r="F419" s="133" t="str">
        <f t="shared" si="7"/>
        <v>大使馆24</v>
      </c>
      <c r="H419" s="146"/>
      <c r="I419" s="133">
        <v>3</v>
      </c>
      <c r="J419" s="150">
        <f>INDEX('#建筑消耗和buff配置索引'!AH:AH,MATCH($F419,'#建筑消耗和buff配置索引'!$M:$M,0))</f>
        <v>397440</v>
      </c>
      <c r="K419" s="150">
        <f>INDEX('#建筑消耗和buff配置索引'!AA:AA,MATCH($F419,'#建筑消耗和buff配置索引'!$M:$M,0))</f>
        <v>3000000</v>
      </c>
      <c r="L419" s="150">
        <f>INDEX('#建筑消耗和buff配置索引'!AB:AB,MATCH($F419,'#建筑消耗和buff配置索引'!$M:$M,0))</f>
        <v>6000000</v>
      </c>
      <c r="M419" s="150">
        <f>INDEX('#建筑消耗和buff配置索引'!AC:AC,MATCH($F419,'#建筑消耗和buff配置索引'!$M:$M,0))</f>
        <v>6000000</v>
      </c>
      <c r="N419" s="150">
        <f>INDEX('#建筑消耗和buff配置索引'!AD:AD,MATCH($F419,'#建筑消耗和buff配置索引'!$M:$M,0))</f>
        <v>6000000</v>
      </c>
      <c r="O419" s="150" t="str">
        <f>IF(INDEX('#建筑消耗和buff配置索引'!T:T,MATCH($F419,'#建筑消耗和buff配置索引'!$M:$M,0))=0,"",INDEX('#建筑消耗和buff配置索引'!T:T,MATCH($F419,'#建筑消耗和buff配置索引'!$M:$M,0)))</f>
        <v/>
      </c>
      <c r="P419" s="133" t="str">
        <f>IF(INDEX('#建筑消耗和buff配置索引'!U:U,MATCH($F419,'#建筑消耗和buff配置索引'!$M:$M,0))=0,"",INDEX('#建筑消耗和buff配置索引'!U:U,MATCH($F419,'#建筑消耗和buff配置索引'!$M:$M,0)))</f>
        <v/>
      </c>
      <c r="Q419" s="133" t="str">
        <f>IF(INDEX('#建筑消耗和buff配置索引'!K:K,MATCH($F419,'#建筑消耗和buff配置索引'!$M:$M,0))=0,"",INDEX('#建筑消耗和buff配置索引'!K:K,MATCH($F419,'#建筑消耗和buff配置索引'!$M:$M,0)))</f>
        <v>201</v>
      </c>
      <c r="R419" s="133" t="str">
        <f>IF(INDEX('#建筑消耗和buff配置索引'!L:L,MATCH($F419,'#建筑消耗和buff配置索引'!$M:$M,0))=0,"",INDEX('#建筑消耗和buff配置索引'!L:L,MATCH($F419,'#建筑消耗和buff配置索引'!$M:$M,0)))</f>
        <v>24</v>
      </c>
      <c r="S419" s="133">
        <f>IF(INDEX('#建筑消耗和buff配置索引'!C:C,MATCH(F419,'#建筑消耗和buff配置索引'!M:M,0))=0,1,INDEX('#建筑消耗和buff配置索引'!C:C,MATCH(F419,'#建筑消耗和buff配置索引'!M:M,0)))</f>
        <v>2</v>
      </c>
      <c r="T419" s="133">
        <v>0</v>
      </c>
      <c r="U419" s="133">
        <v>0</v>
      </c>
      <c r="V419" s="133" t="str">
        <f>IF(E419=1,IF(INDEX('#建筑消耗和buff配置索引'!BY:BY,MATCH(D419,'#建筑消耗和buff配置索引'!A:A,0))=0,"",INDEX('#建筑消耗和buff配置索引'!BY:BY,MATCH(D419,'#建筑消耗和buff配置索引'!A:A,0))),"")</f>
        <v/>
      </c>
      <c r="W419" s="133" t="str">
        <f>IF(E419=1,IF(INDEX('#建筑消耗和buff配置索引'!BZ:BZ,MATCH(D419,'#建筑消耗和buff配置索引'!A:A,0))=0,"",INDEX('#建筑消耗和buff配置索引'!BZ:BZ,MATCH(D419,'#建筑消耗和buff配置索引'!A:A,0))),"")</f>
        <v/>
      </c>
      <c r="AA419" s="133">
        <f>INDEX('#建筑消耗和buff配置索引'!AO:AO,MATCH($F419,'#建筑消耗和buff配置索引'!$M:$M,0))</f>
        <v>188400</v>
      </c>
      <c r="AB419" s="133">
        <f>IF(INDEX('#建筑消耗和buff配置索引'!AR:AR,MATCH($F419,'#建筑消耗和buff配置索引'!$M:$M,0))=0,"",INDEX('#建筑消耗和buff配置索引'!AR:AR,MATCH($F419,'#建筑消耗和buff配置索引'!$M:$M,0)))</f>
        <v>2601</v>
      </c>
      <c r="AC419" s="133">
        <f>IF(AB419="","",INDEX('#建筑消耗和buff配置索引'!AS:AS,MATCH($F419,'#建筑消耗和buff配置索引'!$M:$M,0)))</f>
        <v>700000</v>
      </c>
      <c r="AF419" s="133">
        <f>IF(INDEX('#建筑消耗和buff配置索引'!AW:AW,MATCH($F419,'#建筑消耗和buff配置索引'!$M:$M,0))=0,"",INDEX('#建筑消耗和buff配置索引'!AW:AW,MATCH($F419,'#建筑消耗和buff配置索引'!$M:$M,0)))</f>
        <v>1400</v>
      </c>
      <c r="AG419" s="133">
        <f>IF(AF419="","",INDEX('#建筑消耗和buff配置索引'!AX:AX,MATCH($F419,'#建筑消耗和buff配置索引'!$M:$M,0)))</f>
        <v>14</v>
      </c>
      <c r="AJ419" s="133" t="str">
        <f>IF(INDEX('#建筑消耗和buff配置索引'!BB:BB,MATCH($F419,'#建筑消耗和buff配置索引'!$M:$M,0))=0,"",INDEX('#建筑消耗和buff配置索引'!BB:BB,MATCH($F419,'#建筑消耗和buff配置索引'!$M:$M,0)))</f>
        <v/>
      </c>
      <c r="AK419" s="133" t="str">
        <f>IF(AJ419="","",INDEX('#建筑消耗和buff配置索引'!BC:BC,MATCH($F419,'#建筑消耗和buff配置索引'!$M:$M,0)))</f>
        <v/>
      </c>
      <c r="AN419" s="133" t="str">
        <f>IF(INDEX('#建筑消耗和buff配置索引'!BG:BG,MATCH($F419,'#建筑消耗和buff配置索引'!$M:$M,0))=0,"",INDEX('#建筑消耗和buff配置索引'!BG:BG,MATCH($F419,'#建筑消耗和buff配置索引'!$M:$M,0)))</f>
        <v/>
      </c>
      <c r="AO419" s="133" t="str">
        <f>IF(AN419="","",INDEX('#建筑消耗和buff配置索引'!BH:BH,MATCH($F419,'#建筑消耗和buff配置索引'!$M:$M,0)))</f>
        <v/>
      </c>
      <c r="AR419" s="133" t="str">
        <f>IF(INDEX('#建筑消耗和buff配置索引'!BK:BK,MATCH($F419,'#建筑消耗和buff配置索引'!$M:$M,0))=0,"",INDEX('#建筑消耗和buff配置索引'!BK:BK,MATCH($F419,'#建筑消耗和buff配置索引'!$M:$M,0)))</f>
        <v/>
      </c>
      <c r="AS419" s="133" t="str">
        <f>IF(AR419="","",INDEX('#建筑消耗和buff配置索引'!BL:BL,MATCH($F419,'#建筑消耗和buff配置索引'!$M:$M,0)))</f>
        <v/>
      </c>
      <c r="AV419" s="133" t="str">
        <f>IF(INDEX('#建筑消耗和buff配置索引'!BO:BO,MATCH($F419,'#建筑消耗和buff配置索引'!$M:$M,0))=0,"",INDEX('#建筑消耗和buff配置索引'!BO:BO,MATCH($F419,'#建筑消耗和buff配置索引'!$M:$M,0)))</f>
        <v/>
      </c>
      <c r="AW419" s="133" t="str">
        <f>IF(AV419="","",INDEX('#建筑消耗和buff配置索引'!BP:BP,MATCH($F419,'#建筑消耗和buff配置索引'!$M:$M,0)))</f>
        <v/>
      </c>
      <c r="AZ419" s="133" t="str">
        <f>IF(INDEX('#建筑消耗和buff配置索引'!BS:BS,MATCH($F419,'#建筑消耗和buff配置索引'!$M:$M,0))=0,"",INDEX('#建筑消耗和buff配置索引'!BS:BS,MATCH($F419,'#建筑消耗和buff配置索引'!$M:$M,0)))</f>
        <v/>
      </c>
      <c r="BA419" s="133" t="str">
        <f>IF(AZ419="","",INDEX('#建筑消耗和buff配置索引'!BT:BT,MATCH($F419,'#建筑消耗和buff配置索引'!$M:$M,0)))</f>
        <v/>
      </c>
      <c r="BD419" s="133" t="str">
        <f>IF(INDEX('#建筑消耗和buff配置索引'!BW:BW,MATCH($F419,'#建筑消耗和buff配置索引'!$M:$M,0))=0,"",INDEX('#建筑消耗和buff配置索引'!BW:BW,MATCH($F419,'#建筑消耗和buff配置索引'!$M:$M,0)))</f>
        <v/>
      </c>
      <c r="BE419" s="133" t="str">
        <f>IF(BD419="","",INDEX('#建筑消耗和buff配置索引'!BX:BX,MATCH($F419,'#建筑消耗和buff配置索引'!$M:$M,0)))</f>
        <v/>
      </c>
      <c r="BI419" s="133">
        <v>24</v>
      </c>
    </row>
    <row r="420" spans="1:66" s="133" customFormat="1">
      <c r="A420" s="133">
        <v>2300025</v>
      </c>
      <c r="B420" s="133">
        <v>417</v>
      </c>
      <c r="C420" s="133">
        <v>230</v>
      </c>
      <c r="D420" s="133" t="s">
        <v>539</v>
      </c>
      <c r="E420" s="133">
        <v>25</v>
      </c>
      <c r="F420" s="133" t="str">
        <f t="shared" si="7"/>
        <v>大使馆25</v>
      </c>
      <c r="H420" s="146"/>
      <c r="I420" s="133">
        <v>3</v>
      </c>
      <c r="J420" s="150">
        <f>INDEX('#建筑消耗和buff配置索引'!AH:AH,MATCH($F420,'#建筑消耗和buff配置索引'!$M:$M,0))</f>
        <v>501120</v>
      </c>
      <c r="K420" s="150">
        <f>INDEX('#建筑消耗和buff配置索引'!AA:AA,MATCH($F420,'#建筑消耗和buff配置索引'!$M:$M,0))</f>
        <v>3900000</v>
      </c>
      <c r="L420" s="150">
        <f>INDEX('#建筑消耗和buff配置索引'!AB:AB,MATCH($F420,'#建筑消耗和buff配置索引'!$M:$M,0))</f>
        <v>7700000</v>
      </c>
      <c r="M420" s="150">
        <f>INDEX('#建筑消耗和buff配置索引'!AC:AC,MATCH($F420,'#建筑消耗和buff配置索引'!$M:$M,0))</f>
        <v>7700000</v>
      </c>
      <c r="N420" s="150">
        <f>INDEX('#建筑消耗和buff配置索引'!AD:AD,MATCH($F420,'#建筑消耗和buff配置索引'!$M:$M,0))</f>
        <v>7700000</v>
      </c>
      <c r="O420" s="150" t="str">
        <f>IF(INDEX('#建筑消耗和buff配置索引'!T:T,MATCH($F420,'#建筑消耗和buff配置索引'!$M:$M,0))=0,"",INDEX('#建筑消耗和buff配置索引'!T:T,MATCH($F420,'#建筑消耗和buff配置索引'!$M:$M,0)))</f>
        <v/>
      </c>
      <c r="P420" s="133" t="str">
        <f>IF(INDEX('#建筑消耗和buff配置索引'!U:U,MATCH($F420,'#建筑消耗和buff配置索引'!$M:$M,0))=0,"",INDEX('#建筑消耗和buff配置索引'!U:U,MATCH($F420,'#建筑消耗和buff配置索引'!$M:$M,0)))</f>
        <v/>
      </c>
      <c r="Q420" s="133" t="str">
        <f>IF(INDEX('#建筑消耗和buff配置索引'!K:K,MATCH($F420,'#建筑消耗和buff配置索引'!$M:$M,0))=0,"",INDEX('#建筑消耗和buff配置索引'!K:K,MATCH($F420,'#建筑消耗和buff配置索引'!$M:$M,0)))</f>
        <v>201</v>
      </c>
      <c r="R420" s="133" t="str">
        <f>IF(INDEX('#建筑消耗和buff配置索引'!L:L,MATCH($F420,'#建筑消耗和buff配置索引'!$M:$M,0))=0,"",INDEX('#建筑消耗和buff配置索引'!L:L,MATCH($F420,'#建筑消耗和buff配置索引'!$M:$M,0)))</f>
        <v>25</v>
      </c>
      <c r="S420" s="133">
        <f>IF(INDEX('#建筑消耗和buff配置索引'!C:C,MATCH(F420,'#建筑消耗和buff配置索引'!M:M,0))=0,1,INDEX('#建筑消耗和buff配置索引'!C:C,MATCH(F420,'#建筑消耗和buff配置索引'!M:M,0)))</f>
        <v>2</v>
      </c>
      <c r="T420" s="133">
        <v>0</v>
      </c>
      <c r="U420" s="133">
        <v>0</v>
      </c>
      <c r="V420" s="133" t="str">
        <f>IF(E420=1,IF(INDEX('#建筑消耗和buff配置索引'!BY:BY,MATCH(D420,'#建筑消耗和buff配置索引'!A:A,0))=0,"",INDEX('#建筑消耗和buff配置索引'!BY:BY,MATCH(D420,'#建筑消耗和buff配置索引'!A:A,0))),"")</f>
        <v/>
      </c>
      <c r="W420" s="133" t="str">
        <f>IF(E420=1,IF(INDEX('#建筑消耗和buff配置索引'!BZ:BZ,MATCH(D420,'#建筑消耗和buff配置索引'!A:A,0))=0,"",INDEX('#建筑消耗和buff配置索引'!BZ:BZ,MATCH(D420,'#建筑消耗和buff配置索引'!A:A,0))),"")</f>
        <v/>
      </c>
      <c r="AA420" s="133">
        <f>INDEX('#建筑消耗和buff配置索引'!AO:AO,MATCH($F420,'#建筑消耗和buff配置索引'!$M:$M,0))</f>
        <v>242358</v>
      </c>
      <c r="AB420" s="133">
        <f>IF(INDEX('#建筑消耗和buff配置索引'!AR:AR,MATCH($F420,'#建筑消耗和buff配置索引'!$M:$M,0))=0,"",INDEX('#建筑消耗和buff配置索引'!AR:AR,MATCH($F420,'#建筑消耗和buff配置索引'!$M:$M,0)))</f>
        <v>2601</v>
      </c>
      <c r="AC420" s="133">
        <f>IF(AB420="","",INDEX('#建筑消耗和buff配置索引'!AS:AS,MATCH($F420,'#建筑消耗和buff配置索引'!$M:$M,0)))</f>
        <v>750000</v>
      </c>
      <c r="AF420" s="133">
        <f>IF(INDEX('#建筑消耗和buff配置索引'!AW:AW,MATCH($F420,'#建筑消耗和buff配置索引'!$M:$M,0))=0,"",INDEX('#建筑消耗和buff配置索引'!AW:AW,MATCH($F420,'#建筑消耗和buff配置索引'!$M:$M,0)))</f>
        <v>1400</v>
      </c>
      <c r="AG420" s="133">
        <f>IF(AF420="","",INDEX('#建筑消耗和buff配置索引'!AX:AX,MATCH($F420,'#建筑消耗和buff配置索引'!$M:$M,0)))</f>
        <v>15</v>
      </c>
      <c r="AJ420" s="133" t="str">
        <f>IF(INDEX('#建筑消耗和buff配置索引'!BB:BB,MATCH($F420,'#建筑消耗和buff配置索引'!$M:$M,0))=0,"",INDEX('#建筑消耗和buff配置索引'!BB:BB,MATCH($F420,'#建筑消耗和buff配置索引'!$M:$M,0)))</f>
        <v/>
      </c>
      <c r="AK420" s="133" t="str">
        <f>IF(AJ420="","",INDEX('#建筑消耗和buff配置索引'!BC:BC,MATCH($F420,'#建筑消耗和buff配置索引'!$M:$M,0)))</f>
        <v/>
      </c>
      <c r="AN420" s="133" t="str">
        <f>IF(INDEX('#建筑消耗和buff配置索引'!BG:BG,MATCH($F420,'#建筑消耗和buff配置索引'!$M:$M,0))=0,"",INDEX('#建筑消耗和buff配置索引'!BG:BG,MATCH($F420,'#建筑消耗和buff配置索引'!$M:$M,0)))</f>
        <v/>
      </c>
      <c r="AO420" s="133" t="str">
        <f>IF(AN420="","",INDEX('#建筑消耗和buff配置索引'!BH:BH,MATCH($F420,'#建筑消耗和buff配置索引'!$M:$M,0)))</f>
        <v/>
      </c>
      <c r="AR420" s="133" t="str">
        <f>IF(INDEX('#建筑消耗和buff配置索引'!BK:BK,MATCH($F420,'#建筑消耗和buff配置索引'!$M:$M,0))=0,"",INDEX('#建筑消耗和buff配置索引'!BK:BK,MATCH($F420,'#建筑消耗和buff配置索引'!$M:$M,0)))</f>
        <v/>
      </c>
      <c r="AS420" s="133" t="str">
        <f>IF(AR420="","",INDEX('#建筑消耗和buff配置索引'!BL:BL,MATCH($F420,'#建筑消耗和buff配置索引'!$M:$M,0)))</f>
        <v/>
      </c>
      <c r="AV420" s="133" t="str">
        <f>IF(INDEX('#建筑消耗和buff配置索引'!BO:BO,MATCH($F420,'#建筑消耗和buff配置索引'!$M:$M,0))=0,"",INDEX('#建筑消耗和buff配置索引'!BO:BO,MATCH($F420,'#建筑消耗和buff配置索引'!$M:$M,0)))</f>
        <v/>
      </c>
      <c r="AW420" s="133" t="str">
        <f>IF(AV420="","",INDEX('#建筑消耗和buff配置索引'!BP:BP,MATCH($F420,'#建筑消耗和buff配置索引'!$M:$M,0)))</f>
        <v/>
      </c>
      <c r="AZ420" s="133" t="str">
        <f>IF(INDEX('#建筑消耗和buff配置索引'!BS:BS,MATCH($F420,'#建筑消耗和buff配置索引'!$M:$M,0))=0,"",INDEX('#建筑消耗和buff配置索引'!BS:BS,MATCH($F420,'#建筑消耗和buff配置索引'!$M:$M,0)))</f>
        <v/>
      </c>
      <c r="BA420" s="133" t="str">
        <f>IF(AZ420="","",INDEX('#建筑消耗和buff配置索引'!BT:BT,MATCH($F420,'#建筑消耗和buff配置索引'!$M:$M,0)))</f>
        <v/>
      </c>
      <c r="BD420" s="133" t="str">
        <f>IF(INDEX('#建筑消耗和buff配置索引'!BW:BW,MATCH($F420,'#建筑消耗和buff配置索引'!$M:$M,0))=0,"",INDEX('#建筑消耗和buff配置索引'!BW:BW,MATCH($F420,'#建筑消耗和buff配置索引'!$M:$M,0)))</f>
        <v/>
      </c>
      <c r="BE420" s="133" t="str">
        <f>IF(BD420="","",INDEX('#建筑消耗和buff配置索引'!BX:BX,MATCH($F420,'#建筑消耗和buff配置索引'!$M:$M,0)))</f>
        <v/>
      </c>
      <c r="BI420" s="133">
        <v>24</v>
      </c>
    </row>
    <row r="421" spans="1:66" s="133" customFormat="1">
      <c r="A421" s="133">
        <v>2300026</v>
      </c>
      <c r="B421" s="133">
        <v>418</v>
      </c>
      <c r="C421" s="133">
        <v>230</v>
      </c>
      <c r="D421" s="133" t="s">
        <v>539</v>
      </c>
      <c r="E421" s="133">
        <v>26</v>
      </c>
      <c r="F421" s="133" t="str">
        <f t="shared" si="7"/>
        <v>大使馆26</v>
      </c>
      <c r="H421" s="146"/>
      <c r="I421" s="133">
        <v>3</v>
      </c>
      <c r="J421" s="150">
        <f>INDEX('#建筑消耗和buff配置索引'!AH:AH,MATCH($F421,'#建筑消耗和buff配置索引'!$M:$M,0))</f>
        <v>622080</v>
      </c>
      <c r="K421" s="150">
        <f>INDEX('#建筑消耗和buff配置索引'!AA:AA,MATCH($F421,'#建筑消耗和buff配置索引'!$M:$M,0))</f>
        <v>4900000</v>
      </c>
      <c r="L421" s="150">
        <f>INDEX('#建筑消耗和buff配置索引'!AB:AB,MATCH($F421,'#建筑消耗和buff配置索引'!$M:$M,0))</f>
        <v>9900000</v>
      </c>
      <c r="M421" s="150">
        <f>INDEX('#建筑消耗和buff配置索引'!AC:AC,MATCH($F421,'#建筑消耗和buff配置索引'!$M:$M,0))</f>
        <v>9900000</v>
      </c>
      <c r="N421" s="150">
        <f>INDEX('#建筑消耗和buff配置索引'!AD:AD,MATCH($F421,'#建筑消耗和buff配置索引'!$M:$M,0))</f>
        <v>9900000</v>
      </c>
      <c r="O421" s="150" t="str">
        <f>IF(INDEX('#建筑消耗和buff配置索引'!T:T,MATCH($F421,'#建筑消耗和buff配置索引'!$M:$M,0))=0,"",INDEX('#建筑消耗和buff配置索引'!T:T,MATCH($F421,'#建筑消耗和buff配置索引'!$M:$M,0)))</f>
        <v/>
      </c>
      <c r="P421" s="133" t="str">
        <f>IF(INDEX('#建筑消耗和buff配置索引'!U:U,MATCH($F421,'#建筑消耗和buff配置索引'!$M:$M,0))=0,"",INDEX('#建筑消耗和buff配置索引'!U:U,MATCH($F421,'#建筑消耗和buff配置索引'!$M:$M,0)))</f>
        <v/>
      </c>
      <c r="Q421" s="133" t="str">
        <f>IF(INDEX('#建筑消耗和buff配置索引'!K:K,MATCH($F421,'#建筑消耗和buff配置索引'!$M:$M,0))=0,"",INDEX('#建筑消耗和buff配置索引'!K:K,MATCH($F421,'#建筑消耗和buff配置索引'!$M:$M,0)))</f>
        <v>201</v>
      </c>
      <c r="R421" s="133" t="str">
        <f>IF(INDEX('#建筑消耗和buff配置索引'!L:L,MATCH($F421,'#建筑消耗和buff配置索引'!$M:$M,0))=0,"",INDEX('#建筑消耗和buff配置索引'!L:L,MATCH($F421,'#建筑消耗和buff配置索引'!$M:$M,0)))</f>
        <v>26</v>
      </c>
      <c r="S421" s="133">
        <f>IF(INDEX('#建筑消耗和buff配置索引'!C:C,MATCH(F421,'#建筑消耗和buff配置索引'!M:M,0))=0,1,INDEX('#建筑消耗和buff配置索引'!C:C,MATCH(F421,'#建筑消耗和buff配置索引'!M:M,0)))</f>
        <v>2</v>
      </c>
      <c r="T421" s="133">
        <v>0</v>
      </c>
      <c r="U421" s="133">
        <v>0</v>
      </c>
      <c r="V421" s="133" t="str">
        <f>IF(E421=1,IF(INDEX('#建筑消耗和buff配置索引'!BY:BY,MATCH(D421,'#建筑消耗和buff配置索引'!A:A,0))=0,"",INDEX('#建筑消耗和buff配置索引'!BY:BY,MATCH(D421,'#建筑消耗和buff配置索引'!A:A,0))),"")</f>
        <v/>
      </c>
      <c r="W421" s="133" t="str">
        <f>IF(E421=1,IF(INDEX('#建筑消耗和buff配置索引'!BZ:BZ,MATCH(D421,'#建筑消耗和buff配置索引'!A:A,0))=0,"",INDEX('#建筑消耗和buff配置索引'!BZ:BZ,MATCH(D421,'#建筑消耗和buff配置索引'!A:A,0))),"")</f>
        <v/>
      </c>
      <c r="AA421" s="133">
        <f>INDEX('#建筑消耗和buff配置索引'!AO:AO,MATCH($F421,'#建筑消耗和buff配置索引'!$M:$M,0))</f>
        <v>311424</v>
      </c>
      <c r="AB421" s="133">
        <f>IF(INDEX('#建筑消耗和buff配置索引'!AR:AR,MATCH($F421,'#建筑消耗和buff配置索引'!$M:$M,0))=0,"",INDEX('#建筑消耗和buff配置索引'!AR:AR,MATCH($F421,'#建筑消耗和buff配置索引'!$M:$M,0)))</f>
        <v>2601</v>
      </c>
      <c r="AC421" s="133">
        <f>IF(AB421="","",INDEX('#建筑消耗和buff配置索引'!AS:AS,MATCH($F421,'#建筑消耗和buff配置索引'!$M:$M,0)))</f>
        <v>800000</v>
      </c>
      <c r="AF421" s="133">
        <f>IF(INDEX('#建筑消耗和buff配置索引'!AW:AW,MATCH($F421,'#建筑消耗和buff配置索引'!$M:$M,0))=0,"",INDEX('#建筑消耗和buff配置索引'!AW:AW,MATCH($F421,'#建筑消耗和buff配置索引'!$M:$M,0)))</f>
        <v>1400</v>
      </c>
      <c r="AG421" s="133">
        <f>IF(AF421="","",INDEX('#建筑消耗和buff配置索引'!AX:AX,MATCH($F421,'#建筑消耗和buff配置索引'!$M:$M,0)))</f>
        <v>16</v>
      </c>
      <c r="AJ421" s="133" t="str">
        <f>IF(INDEX('#建筑消耗和buff配置索引'!BB:BB,MATCH($F421,'#建筑消耗和buff配置索引'!$M:$M,0))=0,"",INDEX('#建筑消耗和buff配置索引'!BB:BB,MATCH($F421,'#建筑消耗和buff配置索引'!$M:$M,0)))</f>
        <v/>
      </c>
      <c r="AK421" s="133" t="str">
        <f>IF(AJ421="","",INDEX('#建筑消耗和buff配置索引'!BC:BC,MATCH($F421,'#建筑消耗和buff配置索引'!$M:$M,0)))</f>
        <v/>
      </c>
      <c r="AN421" s="133" t="str">
        <f>IF(INDEX('#建筑消耗和buff配置索引'!BG:BG,MATCH($F421,'#建筑消耗和buff配置索引'!$M:$M,0))=0,"",INDEX('#建筑消耗和buff配置索引'!BG:BG,MATCH($F421,'#建筑消耗和buff配置索引'!$M:$M,0)))</f>
        <v/>
      </c>
      <c r="AO421" s="133" t="str">
        <f>IF(AN421="","",INDEX('#建筑消耗和buff配置索引'!BH:BH,MATCH($F421,'#建筑消耗和buff配置索引'!$M:$M,0)))</f>
        <v/>
      </c>
      <c r="AR421" s="133" t="str">
        <f>IF(INDEX('#建筑消耗和buff配置索引'!BK:BK,MATCH($F421,'#建筑消耗和buff配置索引'!$M:$M,0))=0,"",INDEX('#建筑消耗和buff配置索引'!BK:BK,MATCH($F421,'#建筑消耗和buff配置索引'!$M:$M,0)))</f>
        <v/>
      </c>
      <c r="AS421" s="133" t="str">
        <f>IF(AR421="","",INDEX('#建筑消耗和buff配置索引'!BL:BL,MATCH($F421,'#建筑消耗和buff配置索引'!$M:$M,0)))</f>
        <v/>
      </c>
      <c r="AV421" s="133" t="str">
        <f>IF(INDEX('#建筑消耗和buff配置索引'!BO:BO,MATCH($F421,'#建筑消耗和buff配置索引'!$M:$M,0))=0,"",INDEX('#建筑消耗和buff配置索引'!BO:BO,MATCH($F421,'#建筑消耗和buff配置索引'!$M:$M,0)))</f>
        <v/>
      </c>
      <c r="AW421" s="133" t="str">
        <f>IF(AV421="","",INDEX('#建筑消耗和buff配置索引'!BP:BP,MATCH($F421,'#建筑消耗和buff配置索引'!$M:$M,0)))</f>
        <v/>
      </c>
      <c r="AZ421" s="133" t="str">
        <f>IF(INDEX('#建筑消耗和buff配置索引'!BS:BS,MATCH($F421,'#建筑消耗和buff配置索引'!$M:$M,0))=0,"",INDEX('#建筑消耗和buff配置索引'!BS:BS,MATCH($F421,'#建筑消耗和buff配置索引'!$M:$M,0)))</f>
        <v/>
      </c>
      <c r="BA421" s="133" t="str">
        <f>IF(AZ421="","",INDEX('#建筑消耗和buff配置索引'!BT:BT,MATCH($F421,'#建筑消耗和buff配置索引'!$M:$M,0)))</f>
        <v/>
      </c>
      <c r="BD421" s="133" t="str">
        <f>IF(INDEX('#建筑消耗和buff配置索引'!BW:BW,MATCH($F421,'#建筑消耗和buff配置索引'!$M:$M,0))=0,"",INDEX('#建筑消耗和buff配置索引'!BW:BW,MATCH($F421,'#建筑消耗和buff配置索引'!$M:$M,0)))</f>
        <v/>
      </c>
      <c r="BE421" s="133" t="str">
        <f>IF(BD421="","",INDEX('#建筑消耗和buff配置索引'!BX:BX,MATCH($F421,'#建筑消耗和buff配置索引'!$M:$M,0)))</f>
        <v/>
      </c>
      <c r="BI421" s="133">
        <v>24</v>
      </c>
    </row>
    <row r="422" spans="1:66" s="133" customFormat="1">
      <c r="A422" s="133">
        <v>2300027</v>
      </c>
      <c r="B422" s="133">
        <v>419</v>
      </c>
      <c r="C422" s="133">
        <v>230</v>
      </c>
      <c r="D422" s="133" t="s">
        <v>539</v>
      </c>
      <c r="E422" s="133">
        <v>27</v>
      </c>
      <c r="F422" s="133" t="str">
        <f t="shared" si="7"/>
        <v>大使馆27</v>
      </c>
      <c r="H422" s="146"/>
      <c r="I422" s="133">
        <v>3</v>
      </c>
      <c r="J422" s="150">
        <f>INDEX('#建筑消耗和buff配置索引'!AH:AH,MATCH($F422,'#建筑消耗和buff配置索引'!$M:$M,0))</f>
        <v>760320</v>
      </c>
      <c r="K422" s="150">
        <f>INDEX('#建筑消耗和buff配置索引'!AA:AA,MATCH($F422,'#建筑消耗和buff配置索引'!$M:$M,0))</f>
        <v>6300000</v>
      </c>
      <c r="L422" s="150">
        <f>INDEX('#建筑消耗和buff配置索引'!AB:AB,MATCH($F422,'#建筑消耗和buff配置索引'!$M:$M,0))</f>
        <v>13000000</v>
      </c>
      <c r="M422" s="150">
        <f>INDEX('#建筑消耗和buff配置索引'!AC:AC,MATCH($F422,'#建筑消耗和buff配置索引'!$M:$M,0))</f>
        <v>13000000</v>
      </c>
      <c r="N422" s="150">
        <f>INDEX('#建筑消耗和buff配置索引'!AD:AD,MATCH($F422,'#建筑消耗和buff配置索引'!$M:$M,0))</f>
        <v>13000000</v>
      </c>
      <c r="O422" s="150" t="str">
        <f>IF(INDEX('#建筑消耗和buff配置索引'!T:T,MATCH($F422,'#建筑消耗和buff配置索引'!$M:$M,0))=0,"",INDEX('#建筑消耗和buff配置索引'!T:T,MATCH($F422,'#建筑消耗和buff配置索引'!$M:$M,0)))</f>
        <v/>
      </c>
      <c r="P422" s="133" t="str">
        <f>IF(INDEX('#建筑消耗和buff配置索引'!U:U,MATCH($F422,'#建筑消耗和buff配置索引'!$M:$M,0))=0,"",INDEX('#建筑消耗和buff配置索引'!U:U,MATCH($F422,'#建筑消耗和buff配置索引'!$M:$M,0)))</f>
        <v/>
      </c>
      <c r="Q422" s="133" t="str">
        <f>IF(INDEX('#建筑消耗和buff配置索引'!K:K,MATCH($F422,'#建筑消耗和buff配置索引'!$M:$M,0))=0,"",INDEX('#建筑消耗和buff配置索引'!K:K,MATCH($F422,'#建筑消耗和buff配置索引'!$M:$M,0)))</f>
        <v>201</v>
      </c>
      <c r="R422" s="133" t="str">
        <f>IF(INDEX('#建筑消耗和buff配置索引'!L:L,MATCH($F422,'#建筑消耗和buff配置索引'!$M:$M,0))=0,"",INDEX('#建筑消耗和buff配置索引'!L:L,MATCH($F422,'#建筑消耗和buff配置索引'!$M:$M,0)))</f>
        <v>27</v>
      </c>
      <c r="S422" s="133">
        <f>IF(INDEX('#建筑消耗和buff配置索引'!C:C,MATCH(F422,'#建筑消耗和buff配置索引'!M:M,0))=0,1,INDEX('#建筑消耗和buff配置索引'!C:C,MATCH(F422,'#建筑消耗和buff配置索引'!M:M,0)))</f>
        <v>2</v>
      </c>
      <c r="T422" s="133">
        <v>0</v>
      </c>
      <c r="U422" s="133">
        <v>0</v>
      </c>
      <c r="V422" s="133" t="str">
        <f>IF(E422=1,IF(INDEX('#建筑消耗和buff配置索引'!BY:BY,MATCH(D422,'#建筑消耗和buff配置索引'!A:A,0))=0,"",INDEX('#建筑消耗和buff配置索引'!BY:BY,MATCH(D422,'#建筑消耗和buff配置索引'!A:A,0))),"")</f>
        <v/>
      </c>
      <c r="W422" s="133" t="str">
        <f>IF(E422=1,IF(INDEX('#建筑消耗和buff配置索引'!BZ:BZ,MATCH(D422,'#建筑消耗和buff配置索引'!A:A,0))=0,"",INDEX('#建筑消耗和buff配置索引'!BZ:BZ,MATCH(D422,'#建筑消耗和buff配置索引'!A:A,0))),"")</f>
        <v/>
      </c>
      <c r="AA422" s="133">
        <f>INDEX('#建筑消耗和buff配置索引'!AO:AO,MATCH($F422,'#建筑消耗和buff配置索引'!$M:$M,0))</f>
        <v>399829</v>
      </c>
      <c r="AB422" s="133">
        <f>IF(INDEX('#建筑消耗和buff配置索引'!AR:AR,MATCH($F422,'#建筑消耗和buff配置索引'!$M:$M,0))=0,"",INDEX('#建筑消耗和buff配置索引'!AR:AR,MATCH($F422,'#建筑消耗和buff配置索引'!$M:$M,0)))</f>
        <v>2601</v>
      </c>
      <c r="AC422" s="133">
        <f>IF(AB422="","",INDEX('#建筑消耗和buff配置索引'!AS:AS,MATCH($F422,'#建筑消耗和buff配置索引'!$M:$M,0)))</f>
        <v>850000</v>
      </c>
      <c r="AF422" s="133">
        <f>IF(INDEX('#建筑消耗和buff配置索引'!AW:AW,MATCH($F422,'#建筑消耗和buff配置索引'!$M:$M,0))=0,"",INDEX('#建筑消耗和buff配置索引'!AW:AW,MATCH($F422,'#建筑消耗和buff配置索引'!$M:$M,0)))</f>
        <v>1400</v>
      </c>
      <c r="AG422" s="133">
        <f>IF(AF422="","",INDEX('#建筑消耗和buff配置索引'!AX:AX,MATCH($F422,'#建筑消耗和buff配置索引'!$M:$M,0)))</f>
        <v>17</v>
      </c>
      <c r="AJ422" s="133" t="str">
        <f>IF(INDEX('#建筑消耗和buff配置索引'!BB:BB,MATCH($F422,'#建筑消耗和buff配置索引'!$M:$M,0))=0,"",INDEX('#建筑消耗和buff配置索引'!BB:BB,MATCH($F422,'#建筑消耗和buff配置索引'!$M:$M,0)))</f>
        <v/>
      </c>
      <c r="AK422" s="133" t="str">
        <f>IF(AJ422="","",INDEX('#建筑消耗和buff配置索引'!BC:BC,MATCH($F422,'#建筑消耗和buff配置索引'!$M:$M,0)))</f>
        <v/>
      </c>
      <c r="AN422" s="133" t="str">
        <f>IF(INDEX('#建筑消耗和buff配置索引'!BG:BG,MATCH($F422,'#建筑消耗和buff配置索引'!$M:$M,0))=0,"",INDEX('#建筑消耗和buff配置索引'!BG:BG,MATCH($F422,'#建筑消耗和buff配置索引'!$M:$M,0)))</f>
        <v/>
      </c>
      <c r="AO422" s="133" t="str">
        <f>IF(AN422="","",INDEX('#建筑消耗和buff配置索引'!BH:BH,MATCH($F422,'#建筑消耗和buff配置索引'!$M:$M,0)))</f>
        <v/>
      </c>
      <c r="AR422" s="133" t="str">
        <f>IF(INDEX('#建筑消耗和buff配置索引'!BK:BK,MATCH($F422,'#建筑消耗和buff配置索引'!$M:$M,0))=0,"",INDEX('#建筑消耗和buff配置索引'!BK:BK,MATCH($F422,'#建筑消耗和buff配置索引'!$M:$M,0)))</f>
        <v/>
      </c>
      <c r="AS422" s="133" t="str">
        <f>IF(AR422="","",INDEX('#建筑消耗和buff配置索引'!BL:BL,MATCH($F422,'#建筑消耗和buff配置索引'!$M:$M,0)))</f>
        <v/>
      </c>
      <c r="AV422" s="133" t="str">
        <f>IF(INDEX('#建筑消耗和buff配置索引'!BO:BO,MATCH($F422,'#建筑消耗和buff配置索引'!$M:$M,0))=0,"",INDEX('#建筑消耗和buff配置索引'!BO:BO,MATCH($F422,'#建筑消耗和buff配置索引'!$M:$M,0)))</f>
        <v/>
      </c>
      <c r="AW422" s="133" t="str">
        <f>IF(AV422="","",INDEX('#建筑消耗和buff配置索引'!BP:BP,MATCH($F422,'#建筑消耗和buff配置索引'!$M:$M,0)))</f>
        <v/>
      </c>
      <c r="AZ422" s="133" t="str">
        <f>IF(INDEX('#建筑消耗和buff配置索引'!BS:BS,MATCH($F422,'#建筑消耗和buff配置索引'!$M:$M,0))=0,"",INDEX('#建筑消耗和buff配置索引'!BS:BS,MATCH($F422,'#建筑消耗和buff配置索引'!$M:$M,0)))</f>
        <v/>
      </c>
      <c r="BA422" s="133" t="str">
        <f>IF(AZ422="","",INDEX('#建筑消耗和buff配置索引'!BT:BT,MATCH($F422,'#建筑消耗和buff配置索引'!$M:$M,0)))</f>
        <v/>
      </c>
      <c r="BD422" s="133" t="str">
        <f>IF(INDEX('#建筑消耗和buff配置索引'!BW:BW,MATCH($F422,'#建筑消耗和buff配置索引'!$M:$M,0))=0,"",INDEX('#建筑消耗和buff配置索引'!BW:BW,MATCH($F422,'#建筑消耗和buff配置索引'!$M:$M,0)))</f>
        <v/>
      </c>
      <c r="BE422" s="133" t="str">
        <f>IF(BD422="","",INDEX('#建筑消耗和buff配置索引'!BX:BX,MATCH($F422,'#建筑消耗和buff配置索引'!$M:$M,0)))</f>
        <v/>
      </c>
      <c r="BI422" s="133">
        <v>24</v>
      </c>
    </row>
    <row r="423" spans="1:66" s="133" customFormat="1">
      <c r="A423" s="133">
        <v>2300028</v>
      </c>
      <c r="B423" s="133">
        <v>420</v>
      </c>
      <c r="C423" s="133">
        <v>230</v>
      </c>
      <c r="D423" s="133" t="s">
        <v>539</v>
      </c>
      <c r="E423" s="133">
        <v>28</v>
      </c>
      <c r="F423" s="133" t="str">
        <f t="shared" si="7"/>
        <v>大使馆28</v>
      </c>
      <c r="H423" s="146"/>
      <c r="I423" s="133">
        <v>3</v>
      </c>
      <c r="J423" s="150">
        <f>INDEX('#建筑消耗和buff配置索引'!AH:AH,MATCH($F423,'#建筑消耗和buff配置索引'!$M:$M,0))</f>
        <v>933120</v>
      </c>
      <c r="K423" s="150">
        <f>INDEX('#建筑消耗和buff配置索引'!AA:AA,MATCH($F423,'#建筑消耗和buff配置索引'!$M:$M,0))</f>
        <v>8100000</v>
      </c>
      <c r="L423" s="150">
        <f>INDEX('#建筑消耗和buff配置索引'!AB:AB,MATCH($F423,'#建筑消耗和buff配置索引'!$M:$M,0))</f>
        <v>16000000</v>
      </c>
      <c r="M423" s="150">
        <f>INDEX('#建筑消耗和buff配置索引'!AC:AC,MATCH($F423,'#建筑消耗和buff配置索引'!$M:$M,0))</f>
        <v>16000000</v>
      </c>
      <c r="N423" s="150">
        <f>INDEX('#建筑消耗和buff配置索引'!AD:AD,MATCH($F423,'#建筑消耗和buff配置索引'!$M:$M,0))</f>
        <v>16000000</v>
      </c>
      <c r="O423" s="150" t="str">
        <f>IF(INDEX('#建筑消耗和buff配置索引'!T:T,MATCH($F423,'#建筑消耗和buff配置索引'!$M:$M,0))=0,"",INDEX('#建筑消耗和buff配置索引'!T:T,MATCH($F423,'#建筑消耗和buff配置索引'!$M:$M,0)))</f>
        <v/>
      </c>
      <c r="P423" s="133" t="str">
        <f>IF(INDEX('#建筑消耗和buff配置索引'!U:U,MATCH($F423,'#建筑消耗和buff配置索引'!$M:$M,0))=0,"",INDEX('#建筑消耗和buff配置索引'!U:U,MATCH($F423,'#建筑消耗和buff配置索引'!$M:$M,0)))</f>
        <v/>
      </c>
      <c r="Q423" s="133" t="str">
        <f>IF(INDEX('#建筑消耗和buff配置索引'!K:K,MATCH($F423,'#建筑消耗和buff配置索引'!$M:$M,0))=0,"",INDEX('#建筑消耗和buff配置索引'!K:K,MATCH($F423,'#建筑消耗和buff配置索引'!$M:$M,0)))</f>
        <v>201</v>
      </c>
      <c r="R423" s="133" t="str">
        <f>IF(INDEX('#建筑消耗和buff配置索引'!L:L,MATCH($F423,'#建筑消耗和buff配置索引'!$M:$M,0))=0,"",INDEX('#建筑消耗和buff配置索引'!L:L,MATCH($F423,'#建筑消耗和buff配置索引'!$M:$M,0)))</f>
        <v>28</v>
      </c>
      <c r="S423" s="133">
        <f>IF(INDEX('#建筑消耗和buff配置索引'!C:C,MATCH(F423,'#建筑消耗和buff配置索引'!M:M,0))=0,1,INDEX('#建筑消耗和buff配置索引'!C:C,MATCH(F423,'#建筑消耗和buff配置索引'!M:M,0)))</f>
        <v>2</v>
      </c>
      <c r="T423" s="133">
        <v>0</v>
      </c>
      <c r="U423" s="133">
        <v>0</v>
      </c>
      <c r="V423" s="133" t="str">
        <f>IF(E423=1,IF(INDEX('#建筑消耗和buff配置索引'!BY:BY,MATCH(D423,'#建筑消耗和buff配置索引'!A:A,0))=0,"",INDEX('#建筑消耗和buff配置索引'!BY:BY,MATCH(D423,'#建筑消耗和buff配置索引'!A:A,0))),"")</f>
        <v/>
      </c>
      <c r="W423" s="133" t="str">
        <f>IF(E423=1,IF(INDEX('#建筑消耗和buff配置索引'!BZ:BZ,MATCH(D423,'#建筑消耗和buff配置索引'!A:A,0))=0,"",INDEX('#建筑消耗和buff配置索引'!BZ:BZ,MATCH(D423,'#建筑消耗和buff配置索引'!A:A,0))),"")</f>
        <v/>
      </c>
      <c r="AA423" s="133">
        <f>INDEX('#建筑消耗和buff配置索引'!AO:AO,MATCH($F423,'#建筑消耗和buff配置索引'!$M:$M,0))</f>
        <v>512987</v>
      </c>
      <c r="AB423" s="133">
        <f>IF(INDEX('#建筑消耗和buff配置索引'!AR:AR,MATCH($F423,'#建筑消耗和buff配置索引'!$M:$M,0))=0,"",INDEX('#建筑消耗和buff配置索引'!AR:AR,MATCH($F423,'#建筑消耗和buff配置索引'!$M:$M,0)))</f>
        <v>2601</v>
      </c>
      <c r="AC423" s="133">
        <f>IF(AB423="","",INDEX('#建筑消耗和buff配置索引'!AS:AS,MATCH($F423,'#建筑消耗和buff配置索引'!$M:$M,0)))</f>
        <v>900000</v>
      </c>
      <c r="AF423" s="133">
        <f>IF(INDEX('#建筑消耗和buff配置索引'!AW:AW,MATCH($F423,'#建筑消耗和buff配置索引'!$M:$M,0))=0,"",INDEX('#建筑消耗和buff配置索引'!AW:AW,MATCH($F423,'#建筑消耗和buff配置索引'!$M:$M,0)))</f>
        <v>1400</v>
      </c>
      <c r="AG423" s="133">
        <f>IF(AF423="","",INDEX('#建筑消耗和buff配置索引'!AX:AX,MATCH($F423,'#建筑消耗和buff配置索引'!$M:$M,0)))</f>
        <v>18</v>
      </c>
      <c r="AJ423" s="133" t="str">
        <f>IF(INDEX('#建筑消耗和buff配置索引'!BB:BB,MATCH($F423,'#建筑消耗和buff配置索引'!$M:$M,0))=0,"",INDEX('#建筑消耗和buff配置索引'!BB:BB,MATCH($F423,'#建筑消耗和buff配置索引'!$M:$M,0)))</f>
        <v/>
      </c>
      <c r="AK423" s="133" t="str">
        <f>IF(AJ423="","",INDEX('#建筑消耗和buff配置索引'!BC:BC,MATCH($F423,'#建筑消耗和buff配置索引'!$M:$M,0)))</f>
        <v/>
      </c>
      <c r="AN423" s="133" t="str">
        <f>IF(INDEX('#建筑消耗和buff配置索引'!BG:BG,MATCH($F423,'#建筑消耗和buff配置索引'!$M:$M,0))=0,"",INDEX('#建筑消耗和buff配置索引'!BG:BG,MATCH($F423,'#建筑消耗和buff配置索引'!$M:$M,0)))</f>
        <v/>
      </c>
      <c r="AO423" s="133" t="str">
        <f>IF(AN423="","",INDEX('#建筑消耗和buff配置索引'!BH:BH,MATCH($F423,'#建筑消耗和buff配置索引'!$M:$M,0)))</f>
        <v/>
      </c>
      <c r="AR423" s="133" t="str">
        <f>IF(INDEX('#建筑消耗和buff配置索引'!BK:BK,MATCH($F423,'#建筑消耗和buff配置索引'!$M:$M,0))=0,"",INDEX('#建筑消耗和buff配置索引'!BK:BK,MATCH($F423,'#建筑消耗和buff配置索引'!$M:$M,0)))</f>
        <v/>
      </c>
      <c r="AS423" s="133" t="str">
        <f>IF(AR423="","",INDEX('#建筑消耗和buff配置索引'!BL:BL,MATCH($F423,'#建筑消耗和buff配置索引'!$M:$M,0)))</f>
        <v/>
      </c>
      <c r="AV423" s="133" t="str">
        <f>IF(INDEX('#建筑消耗和buff配置索引'!BO:BO,MATCH($F423,'#建筑消耗和buff配置索引'!$M:$M,0))=0,"",INDEX('#建筑消耗和buff配置索引'!BO:BO,MATCH($F423,'#建筑消耗和buff配置索引'!$M:$M,0)))</f>
        <v/>
      </c>
      <c r="AW423" s="133" t="str">
        <f>IF(AV423="","",INDEX('#建筑消耗和buff配置索引'!BP:BP,MATCH($F423,'#建筑消耗和buff配置索引'!$M:$M,0)))</f>
        <v/>
      </c>
      <c r="AZ423" s="133" t="str">
        <f>IF(INDEX('#建筑消耗和buff配置索引'!BS:BS,MATCH($F423,'#建筑消耗和buff配置索引'!$M:$M,0))=0,"",INDEX('#建筑消耗和buff配置索引'!BS:BS,MATCH($F423,'#建筑消耗和buff配置索引'!$M:$M,0)))</f>
        <v/>
      </c>
      <c r="BA423" s="133" t="str">
        <f>IF(AZ423="","",INDEX('#建筑消耗和buff配置索引'!BT:BT,MATCH($F423,'#建筑消耗和buff配置索引'!$M:$M,0)))</f>
        <v/>
      </c>
      <c r="BD423" s="133" t="str">
        <f>IF(INDEX('#建筑消耗和buff配置索引'!BW:BW,MATCH($F423,'#建筑消耗和buff配置索引'!$M:$M,0))=0,"",INDEX('#建筑消耗和buff配置索引'!BW:BW,MATCH($F423,'#建筑消耗和buff配置索引'!$M:$M,0)))</f>
        <v/>
      </c>
      <c r="BE423" s="133" t="str">
        <f>IF(BD423="","",INDEX('#建筑消耗和buff配置索引'!BX:BX,MATCH($F423,'#建筑消耗和buff配置索引'!$M:$M,0)))</f>
        <v/>
      </c>
      <c r="BI423" s="133">
        <v>24</v>
      </c>
    </row>
    <row r="424" spans="1:66" s="133" customFormat="1">
      <c r="A424" s="133">
        <v>2300029</v>
      </c>
      <c r="B424" s="133">
        <v>421</v>
      </c>
      <c r="C424" s="133">
        <v>230</v>
      </c>
      <c r="D424" s="133" t="s">
        <v>539</v>
      </c>
      <c r="E424" s="133">
        <v>29</v>
      </c>
      <c r="F424" s="133" t="str">
        <f t="shared" si="7"/>
        <v>大使馆29</v>
      </c>
      <c r="H424" s="146"/>
      <c r="I424" s="133">
        <v>3</v>
      </c>
      <c r="J424" s="150">
        <f>INDEX('#建筑消耗和buff配置索引'!AH:AH,MATCH($F424,'#建筑消耗和buff配置索引'!$M:$M,0))</f>
        <v>1140480</v>
      </c>
      <c r="K424" s="150">
        <f>INDEX('#建筑消耗和buff配置索引'!AA:AA,MATCH($F424,'#建筑消耗和buff配置索引'!$M:$M,0))</f>
        <v>10000000</v>
      </c>
      <c r="L424" s="150">
        <f>INDEX('#建筑消耗和buff配置索引'!AB:AB,MATCH($F424,'#建筑消耗和buff配置索引'!$M:$M,0))</f>
        <v>21000000</v>
      </c>
      <c r="M424" s="150">
        <f>INDEX('#建筑消耗和buff配置索引'!AC:AC,MATCH($F424,'#建筑消耗和buff配置索引'!$M:$M,0))</f>
        <v>21000000</v>
      </c>
      <c r="N424" s="150">
        <f>INDEX('#建筑消耗和buff配置索引'!AD:AD,MATCH($F424,'#建筑消耗和buff配置索引'!$M:$M,0))</f>
        <v>21000000</v>
      </c>
      <c r="O424" s="150" t="str">
        <f>IF(INDEX('#建筑消耗和buff配置索引'!T:T,MATCH($F424,'#建筑消耗和buff配置索引'!$M:$M,0))=0,"",INDEX('#建筑消耗和buff配置索引'!T:T,MATCH($F424,'#建筑消耗和buff配置索引'!$M:$M,0)))</f>
        <v/>
      </c>
      <c r="P424" s="133" t="str">
        <f>IF(INDEX('#建筑消耗和buff配置索引'!U:U,MATCH($F424,'#建筑消耗和buff配置索引'!$M:$M,0))=0,"",INDEX('#建筑消耗和buff配置索引'!U:U,MATCH($F424,'#建筑消耗和buff配置索引'!$M:$M,0)))</f>
        <v/>
      </c>
      <c r="Q424" s="133" t="str">
        <f>IF(INDEX('#建筑消耗和buff配置索引'!K:K,MATCH($F424,'#建筑消耗和buff配置索引'!$M:$M,0))=0,"",INDEX('#建筑消耗和buff配置索引'!K:K,MATCH($F424,'#建筑消耗和buff配置索引'!$M:$M,0)))</f>
        <v>201</v>
      </c>
      <c r="R424" s="133" t="str">
        <f>IF(INDEX('#建筑消耗和buff配置索引'!L:L,MATCH($F424,'#建筑消耗和buff配置索引'!$M:$M,0))=0,"",INDEX('#建筑消耗和buff配置索引'!L:L,MATCH($F424,'#建筑消耗和buff配置索引'!$M:$M,0)))</f>
        <v>29</v>
      </c>
      <c r="S424" s="133">
        <f>IF(INDEX('#建筑消耗和buff配置索引'!C:C,MATCH(F424,'#建筑消耗和buff配置索引'!M:M,0))=0,1,INDEX('#建筑消耗和buff配置索引'!C:C,MATCH(F424,'#建筑消耗和buff配置索引'!M:M,0)))</f>
        <v>2</v>
      </c>
      <c r="T424" s="133">
        <v>0</v>
      </c>
      <c r="U424" s="133">
        <v>0</v>
      </c>
      <c r="V424" s="133" t="str">
        <f>IF(E424=1,IF(INDEX('#建筑消耗和buff配置索引'!BY:BY,MATCH(D424,'#建筑消耗和buff配置索引'!A:A,0))=0,"",INDEX('#建筑消耗和buff配置索引'!BY:BY,MATCH(D424,'#建筑消耗和buff配置索引'!A:A,0))),"")</f>
        <v/>
      </c>
      <c r="W424" s="133" t="str">
        <f>IF(E424=1,IF(INDEX('#建筑消耗和buff配置索引'!BZ:BZ,MATCH(D424,'#建筑消耗和buff配置索引'!A:A,0))=0,"",INDEX('#建筑消耗和buff配置索引'!BZ:BZ,MATCH(D424,'#建筑消耗和buff配置索引'!A:A,0))),"")</f>
        <v/>
      </c>
      <c r="AA424" s="133">
        <f>INDEX('#建筑消耗和buff配置索引'!AO:AO,MATCH($F424,'#建筑消耗和buff配置索引'!$M:$M,0))</f>
        <v>657829</v>
      </c>
      <c r="AB424" s="133">
        <f>IF(INDEX('#建筑消耗和buff配置索引'!AR:AR,MATCH($F424,'#建筑消耗和buff配置索引'!$M:$M,0))=0,"",INDEX('#建筑消耗和buff配置索引'!AR:AR,MATCH($F424,'#建筑消耗和buff配置索引'!$M:$M,0)))</f>
        <v>2601</v>
      </c>
      <c r="AC424" s="133">
        <f>IF(AB424="","",INDEX('#建筑消耗和buff配置索引'!AS:AS,MATCH($F424,'#建筑消耗和buff配置索引'!$M:$M,0)))</f>
        <v>950000</v>
      </c>
      <c r="AF424" s="133">
        <f>IF(INDEX('#建筑消耗和buff配置索引'!AW:AW,MATCH($F424,'#建筑消耗和buff配置索引'!$M:$M,0))=0,"",INDEX('#建筑消耗和buff配置索引'!AW:AW,MATCH($F424,'#建筑消耗和buff配置索引'!$M:$M,0)))</f>
        <v>1400</v>
      </c>
      <c r="AG424" s="133">
        <f>IF(AF424="","",INDEX('#建筑消耗和buff配置索引'!AX:AX,MATCH($F424,'#建筑消耗和buff配置索引'!$M:$M,0)))</f>
        <v>19</v>
      </c>
      <c r="AJ424" s="133" t="str">
        <f>IF(INDEX('#建筑消耗和buff配置索引'!BB:BB,MATCH($F424,'#建筑消耗和buff配置索引'!$M:$M,0))=0,"",INDEX('#建筑消耗和buff配置索引'!BB:BB,MATCH($F424,'#建筑消耗和buff配置索引'!$M:$M,0)))</f>
        <v/>
      </c>
      <c r="AK424" s="133" t="str">
        <f>IF(AJ424="","",INDEX('#建筑消耗和buff配置索引'!BC:BC,MATCH($F424,'#建筑消耗和buff配置索引'!$M:$M,0)))</f>
        <v/>
      </c>
      <c r="AN424" s="133" t="str">
        <f>IF(INDEX('#建筑消耗和buff配置索引'!BG:BG,MATCH($F424,'#建筑消耗和buff配置索引'!$M:$M,0))=0,"",INDEX('#建筑消耗和buff配置索引'!BG:BG,MATCH($F424,'#建筑消耗和buff配置索引'!$M:$M,0)))</f>
        <v/>
      </c>
      <c r="AO424" s="133" t="str">
        <f>IF(AN424="","",INDEX('#建筑消耗和buff配置索引'!BH:BH,MATCH($F424,'#建筑消耗和buff配置索引'!$M:$M,0)))</f>
        <v/>
      </c>
      <c r="AR424" s="133" t="str">
        <f>IF(INDEX('#建筑消耗和buff配置索引'!BK:BK,MATCH($F424,'#建筑消耗和buff配置索引'!$M:$M,0))=0,"",INDEX('#建筑消耗和buff配置索引'!BK:BK,MATCH($F424,'#建筑消耗和buff配置索引'!$M:$M,0)))</f>
        <v/>
      </c>
      <c r="AS424" s="133" t="str">
        <f>IF(AR424="","",INDEX('#建筑消耗和buff配置索引'!BL:BL,MATCH($F424,'#建筑消耗和buff配置索引'!$M:$M,0)))</f>
        <v/>
      </c>
      <c r="AV424" s="133" t="str">
        <f>IF(INDEX('#建筑消耗和buff配置索引'!BO:BO,MATCH($F424,'#建筑消耗和buff配置索引'!$M:$M,0))=0,"",INDEX('#建筑消耗和buff配置索引'!BO:BO,MATCH($F424,'#建筑消耗和buff配置索引'!$M:$M,0)))</f>
        <v/>
      </c>
      <c r="AW424" s="133" t="str">
        <f>IF(AV424="","",INDEX('#建筑消耗和buff配置索引'!BP:BP,MATCH($F424,'#建筑消耗和buff配置索引'!$M:$M,0)))</f>
        <v/>
      </c>
      <c r="AZ424" s="133" t="str">
        <f>IF(INDEX('#建筑消耗和buff配置索引'!BS:BS,MATCH($F424,'#建筑消耗和buff配置索引'!$M:$M,0))=0,"",INDEX('#建筑消耗和buff配置索引'!BS:BS,MATCH($F424,'#建筑消耗和buff配置索引'!$M:$M,0)))</f>
        <v/>
      </c>
      <c r="BA424" s="133" t="str">
        <f>IF(AZ424="","",INDEX('#建筑消耗和buff配置索引'!BT:BT,MATCH($F424,'#建筑消耗和buff配置索引'!$M:$M,0)))</f>
        <v/>
      </c>
      <c r="BD424" s="133" t="str">
        <f>IF(INDEX('#建筑消耗和buff配置索引'!BW:BW,MATCH($F424,'#建筑消耗和buff配置索引'!$M:$M,0))=0,"",INDEX('#建筑消耗和buff配置索引'!BW:BW,MATCH($F424,'#建筑消耗和buff配置索引'!$M:$M,0)))</f>
        <v/>
      </c>
      <c r="BE424" s="133" t="str">
        <f>IF(BD424="","",INDEX('#建筑消耗和buff配置索引'!BX:BX,MATCH($F424,'#建筑消耗和buff配置索引'!$M:$M,0)))</f>
        <v/>
      </c>
      <c r="BI424" s="133">
        <v>24</v>
      </c>
    </row>
    <row r="425" spans="1:66" s="133" customFormat="1">
      <c r="A425" s="133">
        <v>2300030</v>
      </c>
      <c r="B425" s="133">
        <v>422</v>
      </c>
      <c r="C425" s="133">
        <v>230</v>
      </c>
      <c r="D425" s="133" t="s">
        <v>539</v>
      </c>
      <c r="E425" s="133">
        <v>30</v>
      </c>
      <c r="F425" s="133" t="str">
        <f t="shared" si="7"/>
        <v>大使馆30</v>
      </c>
      <c r="H425" s="146"/>
      <c r="I425" s="133">
        <v>3</v>
      </c>
      <c r="J425" s="150">
        <f>INDEX('#建筑消耗和buff配置索引'!AH:AH,MATCH($F425,'#建筑消耗和buff配置索引'!$M:$M,0))</f>
        <v>1382400</v>
      </c>
      <c r="K425" s="150">
        <f>INDEX('#建筑消耗和buff配置索引'!AA:AA,MATCH($F425,'#建筑消耗和buff配置索引'!$M:$M,0))</f>
        <v>13000000</v>
      </c>
      <c r="L425" s="150">
        <f>INDEX('#建筑消耗和buff配置索引'!AB:AB,MATCH($F425,'#建筑消耗和buff配置索引'!$M:$M,0))</f>
        <v>26000000</v>
      </c>
      <c r="M425" s="150">
        <f>INDEX('#建筑消耗和buff配置索引'!AC:AC,MATCH($F425,'#建筑消耗和buff配置索引'!$M:$M,0))</f>
        <v>26000000</v>
      </c>
      <c r="N425" s="150">
        <f>INDEX('#建筑消耗和buff配置索引'!AD:AD,MATCH($F425,'#建筑消耗和buff配置索引'!$M:$M,0))</f>
        <v>26000000</v>
      </c>
      <c r="O425" s="150" t="str">
        <f>IF(INDEX('#建筑消耗和buff配置索引'!T:T,MATCH($F425,'#建筑消耗和buff配置索引'!$M:$M,0))=0,"",INDEX('#建筑消耗和buff配置索引'!T:T,MATCH($F425,'#建筑消耗和buff配置索引'!$M:$M,0)))</f>
        <v/>
      </c>
      <c r="P425" s="133" t="str">
        <f>IF(INDEX('#建筑消耗和buff配置索引'!U:U,MATCH($F425,'#建筑消耗和buff配置索引'!$M:$M,0))=0,"",INDEX('#建筑消耗和buff配置索引'!U:U,MATCH($F425,'#建筑消耗和buff配置索引'!$M:$M,0)))</f>
        <v/>
      </c>
      <c r="Q425" s="133" t="str">
        <f>IF(INDEX('#建筑消耗和buff配置索引'!K:K,MATCH($F425,'#建筑消耗和buff配置索引'!$M:$M,0))=0,"",INDEX('#建筑消耗和buff配置索引'!K:K,MATCH($F425,'#建筑消耗和buff配置索引'!$M:$M,0)))</f>
        <v>201</v>
      </c>
      <c r="R425" s="133" t="str">
        <f>IF(INDEX('#建筑消耗和buff配置索引'!L:L,MATCH($F425,'#建筑消耗和buff配置索引'!$M:$M,0))=0,"",INDEX('#建筑消耗和buff配置索引'!L:L,MATCH($F425,'#建筑消耗和buff配置索引'!$M:$M,0)))</f>
        <v>30</v>
      </c>
      <c r="S425" s="133">
        <f>IF(INDEX('#建筑消耗和buff配置索引'!C:C,MATCH(F425,'#建筑消耗和buff配置索引'!M:M,0))=0,1,INDEX('#建筑消耗和buff配置索引'!C:C,MATCH(F425,'#建筑消耗和buff配置索引'!M:M,0)))</f>
        <v>2</v>
      </c>
      <c r="T425" s="133">
        <v>0</v>
      </c>
      <c r="U425" s="133">
        <v>0</v>
      </c>
      <c r="V425" s="133" t="str">
        <f>IF(E425=1,IF(INDEX('#建筑消耗和buff配置索引'!BY:BY,MATCH(D425,'#建筑消耗和buff配置索引'!A:A,0))=0,"",INDEX('#建筑消耗和buff配置索引'!BY:BY,MATCH(D425,'#建筑消耗和buff配置索引'!A:A,0))),"")</f>
        <v/>
      </c>
      <c r="W425" s="133" t="str">
        <f>IF(E425=1,IF(INDEX('#建筑消耗和buff配置索引'!BZ:BZ,MATCH(D425,'#建筑消耗和buff配置索引'!A:A,0))=0,"",INDEX('#建筑消耗和buff配置索引'!BZ:BZ,MATCH(D425,'#建筑消耗和buff配置索引'!A:A,0))),"")</f>
        <v/>
      </c>
      <c r="AA425" s="133">
        <f>INDEX('#建筑消耗和buff配置索引'!AO:AO,MATCH($F425,'#建筑消耗和buff配置索引'!$M:$M,0))</f>
        <v>843227</v>
      </c>
      <c r="AB425" s="133">
        <f>IF(INDEX('#建筑消耗和buff配置索引'!AR:AR,MATCH($F425,'#建筑消耗和buff配置索引'!$M:$M,0))=0,"",INDEX('#建筑消耗和buff配置索引'!AR:AR,MATCH($F425,'#建筑消耗和buff配置索引'!$M:$M,0)))</f>
        <v>2601</v>
      </c>
      <c r="AC425" s="133">
        <f>IF(AB425="","",INDEX('#建筑消耗和buff配置索引'!AS:AS,MATCH($F425,'#建筑消耗和buff配置索引'!$M:$M,0)))</f>
        <v>1000000</v>
      </c>
      <c r="AF425" s="133">
        <f>IF(INDEX('#建筑消耗和buff配置索引'!AW:AW,MATCH($F425,'#建筑消耗和buff配置索引'!$M:$M,0))=0,"",INDEX('#建筑消耗和buff配置索引'!AW:AW,MATCH($F425,'#建筑消耗和buff配置索引'!$M:$M,0)))</f>
        <v>1400</v>
      </c>
      <c r="AG425" s="133">
        <f>IF(AF425="","",INDEX('#建筑消耗和buff配置索引'!AX:AX,MATCH($F425,'#建筑消耗和buff配置索引'!$M:$M,0)))</f>
        <v>20</v>
      </c>
      <c r="AJ425" s="133" t="str">
        <f>IF(INDEX('#建筑消耗和buff配置索引'!BB:BB,MATCH($F425,'#建筑消耗和buff配置索引'!$M:$M,0))=0,"",INDEX('#建筑消耗和buff配置索引'!BB:BB,MATCH($F425,'#建筑消耗和buff配置索引'!$M:$M,0)))</f>
        <v/>
      </c>
      <c r="AK425" s="133" t="str">
        <f>IF(AJ425="","",INDEX('#建筑消耗和buff配置索引'!BC:BC,MATCH($F425,'#建筑消耗和buff配置索引'!$M:$M,0)))</f>
        <v/>
      </c>
      <c r="AN425" s="133" t="str">
        <f>IF(INDEX('#建筑消耗和buff配置索引'!BG:BG,MATCH($F425,'#建筑消耗和buff配置索引'!$M:$M,0))=0,"",INDEX('#建筑消耗和buff配置索引'!BG:BG,MATCH($F425,'#建筑消耗和buff配置索引'!$M:$M,0)))</f>
        <v/>
      </c>
      <c r="AO425" s="133" t="str">
        <f>IF(AN425="","",INDEX('#建筑消耗和buff配置索引'!BH:BH,MATCH($F425,'#建筑消耗和buff配置索引'!$M:$M,0)))</f>
        <v/>
      </c>
      <c r="AR425" s="133" t="str">
        <f>IF(INDEX('#建筑消耗和buff配置索引'!BK:BK,MATCH($F425,'#建筑消耗和buff配置索引'!$M:$M,0))=0,"",INDEX('#建筑消耗和buff配置索引'!BK:BK,MATCH($F425,'#建筑消耗和buff配置索引'!$M:$M,0)))</f>
        <v/>
      </c>
      <c r="AS425" s="133" t="str">
        <f>IF(AR425="","",INDEX('#建筑消耗和buff配置索引'!BL:BL,MATCH($F425,'#建筑消耗和buff配置索引'!$M:$M,0)))</f>
        <v/>
      </c>
      <c r="AV425" s="133" t="str">
        <f>IF(INDEX('#建筑消耗和buff配置索引'!BO:BO,MATCH($F425,'#建筑消耗和buff配置索引'!$M:$M,0))=0,"",INDEX('#建筑消耗和buff配置索引'!BO:BO,MATCH($F425,'#建筑消耗和buff配置索引'!$M:$M,0)))</f>
        <v/>
      </c>
      <c r="AW425" s="133" t="str">
        <f>IF(AV425="","",INDEX('#建筑消耗和buff配置索引'!BP:BP,MATCH($F425,'#建筑消耗和buff配置索引'!$M:$M,0)))</f>
        <v/>
      </c>
      <c r="AZ425" s="133" t="str">
        <f>IF(INDEX('#建筑消耗和buff配置索引'!BS:BS,MATCH($F425,'#建筑消耗和buff配置索引'!$M:$M,0))=0,"",INDEX('#建筑消耗和buff配置索引'!BS:BS,MATCH($F425,'#建筑消耗和buff配置索引'!$M:$M,0)))</f>
        <v/>
      </c>
      <c r="BA425" s="133" t="str">
        <f>IF(AZ425="","",INDEX('#建筑消耗和buff配置索引'!BT:BT,MATCH($F425,'#建筑消耗和buff配置索引'!$M:$M,0)))</f>
        <v/>
      </c>
      <c r="BD425" s="133" t="str">
        <f>IF(INDEX('#建筑消耗和buff配置索引'!BW:BW,MATCH($F425,'#建筑消耗和buff配置索引'!$M:$M,0))=0,"",INDEX('#建筑消耗和buff配置索引'!BW:BW,MATCH($F425,'#建筑消耗和buff配置索引'!$M:$M,0)))</f>
        <v/>
      </c>
      <c r="BE425" s="133" t="str">
        <f>IF(BD425="","",INDEX('#建筑消耗和buff配置索引'!BX:BX,MATCH($F425,'#建筑消耗和buff配置索引'!$M:$M,0)))</f>
        <v/>
      </c>
      <c r="BI425" s="133">
        <v>24</v>
      </c>
    </row>
    <row r="426" spans="1:66" s="133" customFormat="1">
      <c r="A426" s="133">
        <v>2320001</v>
      </c>
      <c r="B426" s="133">
        <v>423</v>
      </c>
      <c r="C426" s="133">
        <v>232</v>
      </c>
      <c r="D426" s="133" t="s">
        <v>319</v>
      </c>
      <c r="E426" s="133">
        <v>1</v>
      </c>
      <c r="F426" s="133" t="str">
        <f t="shared" si="7"/>
        <v>枪兵营1</v>
      </c>
      <c r="H426" s="146"/>
      <c r="I426" s="133" t="s">
        <v>1205</v>
      </c>
      <c r="J426" s="150">
        <f>INDEX('#建筑消耗和buff配置索引'!AH:AH,MATCH($F426,'#建筑消耗和buff配置索引'!$M:$M,0))</f>
        <v>25</v>
      </c>
      <c r="K426" s="150">
        <f>INDEX('#建筑消耗和buff配置索引'!AA:AA,MATCH($F426,'#建筑消耗和buff配置索引'!$M:$M,0))</f>
        <v>0</v>
      </c>
      <c r="L426" s="150">
        <f>INDEX('#建筑消耗和buff配置索引'!AB:AB,MATCH($F426,'#建筑消耗和buff配置索引'!$M:$M,0))</f>
        <v>0</v>
      </c>
      <c r="M426" s="150">
        <f>INDEX('#建筑消耗和buff配置索引'!AC:AC,MATCH($F426,'#建筑消耗和buff配置索引'!$M:$M,0))</f>
        <v>0</v>
      </c>
      <c r="N426" s="150">
        <f>INDEX('#建筑消耗和buff配置索引'!AD:AD,MATCH($F426,'#建筑消耗和buff配置索引'!$M:$M,0))</f>
        <v>0</v>
      </c>
      <c r="O426" s="150" t="str">
        <f>IF(INDEX('#建筑消耗和buff配置索引'!T:T,MATCH($F426,'#建筑消耗和buff配置索引'!$M:$M,0))=0,"",INDEX('#建筑消耗和buff配置索引'!T:T,MATCH($F426,'#建筑消耗和buff配置索引'!$M:$M,0)))</f>
        <v/>
      </c>
      <c r="P426" s="133" t="str">
        <f>IF(INDEX('#建筑消耗和buff配置索引'!U:U,MATCH($F426,'#建筑消耗和buff配置索引'!$M:$M,0))=0,"",INDEX('#建筑消耗和buff配置索引'!U:U,MATCH($F426,'#建筑消耗和buff配置索引'!$M:$M,0)))</f>
        <v/>
      </c>
      <c r="Q426" s="133" t="str">
        <f>IF(INDEX('#建筑消耗和buff配置索引'!K:K,MATCH($F426,'#建筑消耗和buff配置索引'!$M:$M,0))=0,"",INDEX('#建筑消耗和buff配置索引'!K:K,MATCH($F426,'#建筑消耗和buff配置索引'!$M:$M,0)))</f>
        <v>201</v>
      </c>
      <c r="R426" s="133" t="str">
        <f>IF(INDEX('#建筑消耗和buff配置索引'!L:L,MATCH($F426,'#建筑消耗和buff配置索引'!$M:$M,0))=0,"",INDEX('#建筑消耗和buff配置索引'!L:L,MATCH($F426,'#建筑消耗和buff配置索引'!$M:$M,0)))</f>
        <v>1</v>
      </c>
      <c r="S426" s="133">
        <f>IF(INDEX('#建筑消耗和buff配置索引'!C:C,MATCH(F426,'#建筑消耗和buff配置索引'!M:M,0))=0,1,INDEX('#建筑消耗和buff配置索引'!C:C,MATCH(F426,'#建筑消耗和buff配置索引'!M:M,0)))</f>
        <v>1</v>
      </c>
      <c r="T426" s="133">
        <v>0</v>
      </c>
      <c r="U426" s="133">
        <v>0</v>
      </c>
      <c r="V426" s="133" t="str">
        <f>IF(E426=1,IF(INDEX('#建筑消耗和buff配置索引'!BY:BY,MATCH(D426,'#建筑消耗和buff配置索引'!A:A,0))=0,"",INDEX('#建筑消耗和buff配置索引'!BY:BY,MATCH(D426,'#建筑消耗和buff配置索引'!A:A,0))),"")</f>
        <v>1:2</v>
      </c>
      <c r="W426" s="133" t="str">
        <f>IF(E426=1,IF(INDEX('#建筑消耗和buff配置索引'!BZ:BZ,MATCH(D426,'#建筑消耗和buff配置索引'!A:A,0))=0,"",INDEX('#建筑消耗和buff配置索引'!BZ:BZ,MATCH(D426,'#建筑消耗和buff配置索引'!A:A,0))),"")</f>
        <v>TID_Buff_BuilDetail_3000:TID_Buff_BuilDetail_3016</v>
      </c>
      <c r="AA426" s="133">
        <f>INDEX('#建筑消耗和buff配置索引'!AO:AO,MATCH($F426,'#建筑消耗和buff配置索引'!$M:$M,0))</f>
        <v>3</v>
      </c>
      <c r="AB426" s="133">
        <f>IF(INDEX('#建筑消耗和buff配置索引'!AR:AR,MATCH($F426,'#建筑消耗和buff配置索引'!$M:$M,0))=0,"",INDEX('#建筑消耗和buff配置索引'!AR:AR,MATCH($F426,'#建筑消耗和buff配置索引'!$M:$M,0)))</f>
        <v>3000</v>
      </c>
      <c r="AC426" s="133">
        <f>IF(AB426="","",INDEX('#建筑消耗和buff配置索引'!AS:AS,MATCH($F426,'#建筑消耗和buff配置索引'!$M:$M,0)))</f>
        <v>2E-3</v>
      </c>
      <c r="AF426" s="133">
        <f>IF(INDEX('#建筑消耗和buff配置索引'!AW:AW,MATCH($F426,'#建筑消耗和buff配置索引'!$M:$M,0))=0,"",INDEX('#建筑消耗和buff配置索引'!AW:AW,MATCH($F426,'#建筑消耗和buff配置索引'!$M:$M,0)))</f>
        <v>3016</v>
      </c>
      <c r="AG426" s="133">
        <f>IF(AF426="","",INDEX('#建筑消耗和buff配置索引'!AX:AX,MATCH($F426,'#建筑消耗和buff配置索引'!$M:$M,0)))</f>
        <v>20</v>
      </c>
      <c r="AJ426" s="133" t="str">
        <f>IF(INDEX('#建筑消耗和buff配置索引'!BB:BB,MATCH($F426,'#建筑消耗和buff配置索引'!$M:$M,0))=0,"",INDEX('#建筑消耗和buff配置索引'!BB:BB,MATCH($F426,'#建筑消耗和buff配置索引'!$M:$M,0)))</f>
        <v/>
      </c>
      <c r="AK426" s="133" t="str">
        <f>IF(AJ426="","",INDEX('#建筑消耗和buff配置索引'!BC:BC,MATCH($F426,'#建筑消耗和buff配置索引'!$M:$M,0)))</f>
        <v/>
      </c>
      <c r="AN426" s="133" t="str">
        <f>IF(INDEX('#建筑消耗和buff配置索引'!BG:BG,MATCH($F426,'#建筑消耗和buff配置索引'!$M:$M,0))=0,"",INDEX('#建筑消耗和buff配置索引'!BG:BG,MATCH($F426,'#建筑消耗和buff配置索引'!$M:$M,0)))</f>
        <v/>
      </c>
      <c r="AO426" s="133" t="str">
        <f>IF(AN426="","",INDEX('#建筑消耗和buff配置索引'!BH:BH,MATCH($F426,'#建筑消耗和buff配置索引'!$M:$M,0)))</f>
        <v/>
      </c>
      <c r="AR426" s="133" t="str">
        <f>IF(INDEX('#建筑消耗和buff配置索引'!BK:BK,MATCH($F426,'#建筑消耗和buff配置索引'!$M:$M,0))=0,"",INDEX('#建筑消耗和buff配置索引'!BK:BK,MATCH($F426,'#建筑消耗和buff配置索引'!$M:$M,0)))</f>
        <v/>
      </c>
      <c r="AS426" s="133" t="str">
        <f>IF(AR426="","",INDEX('#建筑消耗和buff配置索引'!BL:BL,MATCH($F426,'#建筑消耗和buff配置索引'!$M:$M,0)))</f>
        <v/>
      </c>
      <c r="AV426" s="133" t="str">
        <f>IF(INDEX('#建筑消耗和buff配置索引'!BO:BO,MATCH($F426,'#建筑消耗和buff配置索引'!$M:$M,0))=0,"",INDEX('#建筑消耗和buff配置索引'!BO:BO,MATCH($F426,'#建筑消耗和buff配置索引'!$M:$M,0)))</f>
        <v/>
      </c>
      <c r="AW426" s="133" t="str">
        <f>IF(AV426="","",INDEX('#建筑消耗和buff配置索引'!BP:BP,MATCH($F426,'#建筑消耗和buff配置索引'!$M:$M,0)))</f>
        <v/>
      </c>
      <c r="AZ426" s="133" t="str">
        <f>IF(INDEX('#建筑消耗和buff配置索引'!BS:BS,MATCH($F426,'#建筑消耗和buff配置索引'!$M:$M,0))=0,"",INDEX('#建筑消耗和buff配置索引'!BS:BS,MATCH($F426,'#建筑消耗和buff配置索引'!$M:$M,0)))</f>
        <v/>
      </c>
      <c r="BA426" s="133" t="str">
        <f>IF(AZ426="","",INDEX('#建筑消耗和buff配置索引'!BT:BT,MATCH($F426,'#建筑消耗和buff配置索引'!$M:$M,0)))</f>
        <v/>
      </c>
      <c r="BD426" s="133" t="str">
        <f>IF(INDEX('#建筑消耗和buff配置索引'!BW:BW,MATCH($F426,'#建筑消耗和buff配置索引'!$M:$M,0))=0,"",INDEX('#建筑消耗和buff配置索引'!BW:BW,MATCH($F426,'#建筑消耗和buff配置索引'!$M:$M,0)))</f>
        <v/>
      </c>
      <c r="BE426" s="133" t="str">
        <f>IF(BD426="","",INDEX('#建筑消耗和buff配置索引'!BX:BX,MATCH($F426,'#建筑消耗和buff配置索引'!$M:$M,0)))</f>
        <v/>
      </c>
      <c r="BI426" s="133">
        <v>9</v>
      </c>
      <c r="BN426" s="133">
        <v>3</v>
      </c>
    </row>
    <row r="427" spans="1:66" s="133" customFormat="1">
      <c r="A427" s="133">
        <v>2320002</v>
      </c>
      <c r="B427" s="133">
        <v>424</v>
      </c>
      <c r="C427" s="133">
        <v>232</v>
      </c>
      <c r="D427" s="133" t="s">
        <v>319</v>
      </c>
      <c r="E427" s="133">
        <v>2</v>
      </c>
      <c r="F427" s="133" t="str">
        <f t="shared" si="7"/>
        <v>枪兵营2</v>
      </c>
      <c r="H427" s="146"/>
      <c r="I427" s="133" t="s">
        <v>1205</v>
      </c>
      <c r="J427" s="150">
        <f>INDEX('#建筑消耗和buff配置索引'!AH:AH,MATCH($F427,'#建筑消耗和buff配置索引'!$M:$M,0))</f>
        <v>54</v>
      </c>
      <c r="K427" s="150">
        <f>INDEX('#建筑消耗和buff配置索引'!AA:AA,MATCH($F427,'#建筑消耗和buff配置索引'!$M:$M,0))</f>
        <v>1500</v>
      </c>
      <c r="L427" s="150">
        <f>INDEX('#建筑消耗和buff配置索引'!AB:AB,MATCH($F427,'#建筑消耗和buff配置索引'!$M:$M,0))</f>
        <v>1500</v>
      </c>
      <c r="M427" s="150">
        <f>INDEX('#建筑消耗和buff配置索引'!AC:AC,MATCH($F427,'#建筑消耗和buff配置索引'!$M:$M,0))</f>
        <v>0</v>
      </c>
      <c r="N427" s="150">
        <f>INDEX('#建筑消耗和buff配置索引'!AD:AD,MATCH($F427,'#建筑消耗和buff配置索引'!$M:$M,0))</f>
        <v>0</v>
      </c>
      <c r="O427" s="150" t="str">
        <f>IF(INDEX('#建筑消耗和buff配置索引'!T:T,MATCH($F427,'#建筑消耗和buff配置索引'!$M:$M,0))=0,"",INDEX('#建筑消耗和buff配置索引'!T:T,MATCH($F427,'#建筑消耗和buff配置索引'!$M:$M,0)))</f>
        <v/>
      </c>
      <c r="P427" s="133" t="str">
        <f>IF(INDEX('#建筑消耗和buff配置索引'!U:U,MATCH($F427,'#建筑消耗和buff配置索引'!$M:$M,0))=0,"",INDEX('#建筑消耗和buff配置索引'!U:U,MATCH($F427,'#建筑消耗和buff配置索引'!$M:$M,0)))</f>
        <v/>
      </c>
      <c r="Q427" s="133" t="str">
        <f>IF(INDEX('#建筑消耗和buff配置索引'!K:K,MATCH($F427,'#建筑消耗和buff配置索引'!$M:$M,0))=0,"",INDEX('#建筑消耗和buff配置索引'!K:K,MATCH($F427,'#建筑消耗和buff配置索引'!$M:$M,0)))</f>
        <v>201</v>
      </c>
      <c r="R427" s="133" t="str">
        <f>IF(INDEX('#建筑消耗和buff配置索引'!L:L,MATCH($F427,'#建筑消耗和buff配置索引'!$M:$M,0))=0,"",INDEX('#建筑消耗和buff配置索引'!L:L,MATCH($F427,'#建筑消耗和buff配置索引'!$M:$M,0)))</f>
        <v>2</v>
      </c>
      <c r="S427" s="133">
        <f>IF(INDEX('#建筑消耗和buff配置索引'!C:C,MATCH(F427,'#建筑消耗和buff配置索引'!M:M,0))=0,1,INDEX('#建筑消耗和buff配置索引'!C:C,MATCH(F427,'#建筑消耗和buff配置索引'!M:M,0)))</f>
        <v>1</v>
      </c>
      <c r="T427" s="133">
        <v>0</v>
      </c>
      <c r="U427" s="133">
        <v>0</v>
      </c>
      <c r="V427" s="133" t="str">
        <f>IF(E427=1,IF(INDEX('#建筑消耗和buff配置索引'!BY:BY,MATCH(D427,'#建筑消耗和buff配置索引'!A:A,0))=0,"",INDEX('#建筑消耗和buff配置索引'!BY:BY,MATCH(D427,'#建筑消耗和buff配置索引'!A:A,0))),"")</f>
        <v/>
      </c>
      <c r="W427" s="133" t="str">
        <f>IF(E427=1,IF(INDEX('#建筑消耗和buff配置索引'!BZ:BZ,MATCH(D427,'#建筑消耗和buff配置索引'!A:A,0))=0,"",INDEX('#建筑消耗和buff配置索引'!BZ:BZ,MATCH(D427,'#建筑消耗和buff配置索引'!A:A,0))),"")</f>
        <v/>
      </c>
      <c r="AA427" s="133">
        <f>INDEX('#建筑消耗和buff配置索引'!AO:AO,MATCH($F427,'#建筑消耗和buff配置索引'!$M:$M,0))</f>
        <v>9</v>
      </c>
      <c r="AB427" s="133">
        <f>IF(INDEX('#建筑消耗和buff配置索引'!AR:AR,MATCH($F427,'#建筑消耗和buff配置索引'!$M:$M,0))=0,"",INDEX('#建筑消耗和buff配置索引'!AR:AR,MATCH($F427,'#建筑消耗和buff配置索引'!$M:$M,0)))</f>
        <v>3000</v>
      </c>
      <c r="AC427" s="133">
        <f>IF(AB427="","",INDEX('#建筑消耗和buff配置索引'!AS:AS,MATCH($F427,'#建筑消耗和buff配置索引'!$M:$M,0)))</f>
        <v>5.0000000000000001E-3</v>
      </c>
      <c r="AF427" s="133">
        <f>IF(INDEX('#建筑消耗和buff配置索引'!AW:AW,MATCH($F427,'#建筑消耗和buff配置索引'!$M:$M,0))=0,"",INDEX('#建筑消耗和buff配置索引'!AW:AW,MATCH($F427,'#建筑消耗和buff配置索引'!$M:$M,0)))</f>
        <v>3016</v>
      </c>
      <c r="AG427" s="133">
        <f>IF(AF427="","",INDEX('#建筑消耗和buff配置索引'!AX:AX,MATCH($F427,'#建筑消耗和buff配置索引'!$M:$M,0)))</f>
        <v>50</v>
      </c>
      <c r="AJ427" s="133" t="str">
        <f>IF(INDEX('#建筑消耗和buff配置索引'!BB:BB,MATCH($F427,'#建筑消耗和buff配置索引'!$M:$M,0))=0,"",INDEX('#建筑消耗和buff配置索引'!BB:BB,MATCH($F427,'#建筑消耗和buff配置索引'!$M:$M,0)))</f>
        <v/>
      </c>
      <c r="AK427" s="133" t="str">
        <f>IF(AJ427="","",INDEX('#建筑消耗和buff配置索引'!BC:BC,MATCH($F427,'#建筑消耗和buff配置索引'!$M:$M,0)))</f>
        <v/>
      </c>
      <c r="AN427" s="133" t="str">
        <f>IF(INDEX('#建筑消耗和buff配置索引'!BG:BG,MATCH($F427,'#建筑消耗和buff配置索引'!$M:$M,0))=0,"",INDEX('#建筑消耗和buff配置索引'!BG:BG,MATCH($F427,'#建筑消耗和buff配置索引'!$M:$M,0)))</f>
        <v/>
      </c>
      <c r="AO427" s="133" t="str">
        <f>IF(AN427="","",INDEX('#建筑消耗和buff配置索引'!BH:BH,MATCH($F427,'#建筑消耗和buff配置索引'!$M:$M,0)))</f>
        <v/>
      </c>
      <c r="AR427" s="133" t="str">
        <f>IF(INDEX('#建筑消耗和buff配置索引'!BK:BK,MATCH($F427,'#建筑消耗和buff配置索引'!$M:$M,0))=0,"",INDEX('#建筑消耗和buff配置索引'!BK:BK,MATCH($F427,'#建筑消耗和buff配置索引'!$M:$M,0)))</f>
        <v/>
      </c>
      <c r="AS427" s="133" t="str">
        <f>IF(AR427="","",INDEX('#建筑消耗和buff配置索引'!BL:BL,MATCH($F427,'#建筑消耗和buff配置索引'!$M:$M,0)))</f>
        <v/>
      </c>
      <c r="AV427" s="133" t="str">
        <f>IF(INDEX('#建筑消耗和buff配置索引'!BO:BO,MATCH($F427,'#建筑消耗和buff配置索引'!$M:$M,0))=0,"",INDEX('#建筑消耗和buff配置索引'!BO:BO,MATCH($F427,'#建筑消耗和buff配置索引'!$M:$M,0)))</f>
        <v/>
      </c>
      <c r="AW427" s="133" t="str">
        <f>IF(AV427="","",INDEX('#建筑消耗和buff配置索引'!BP:BP,MATCH($F427,'#建筑消耗和buff配置索引'!$M:$M,0)))</f>
        <v/>
      </c>
      <c r="AZ427" s="133" t="str">
        <f>IF(INDEX('#建筑消耗和buff配置索引'!BS:BS,MATCH($F427,'#建筑消耗和buff配置索引'!$M:$M,0))=0,"",INDEX('#建筑消耗和buff配置索引'!BS:BS,MATCH($F427,'#建筑消耗和buff配置索引'!$M:$M,0)))</f>
        <v/>
      </c>
      <c r="BA427" s="133" t="str">
        <f>IF(AZ427="","",INDEX('#建筑消耗和buff配置索引'!BT:BT,MATCH($F427,'#建筑消耗和buff配置索引'!$M:$M,0)))</f>
        <v/>
      </c>
      <c r="BD427" s="133" t="str">
        <f>IF(INDEX('#建筑消耗和buff配置索引'!BW:BW,MATCH($F427,'#建筑消耗和buff配置索引'!$M:$M,0))=0,"",INDEX('#建筑消耗和buff配置索引'!BW:BW,MATCH($F427,'#建筑消耗和buff配置索引'!$M:$M,0)))</f>
        <v/>
      </c>
      <c r="BE427" s="133" t="str">
        <f>IF(BD427="","",INDEX('#建筑消耗和buff配置索引'!BX:BX,MATCH($F427,'#建筑消耗和buff配置索引'!$M:$M,0)))</f>
        <v/>
      </c>
      <c r="BI427" s="133">
        <v>9</v>
      </c>
    </row>
    <row r="428" spans="1:66" s="133" customFormat="1">
      <c r="A428" s="133">
        <v>2320003</v>
      </c>
      <c r="B428" s="133">
        <v>425</v>
      </c>
      <c r="C428" s="133">
        <v>232</v>
      </c>
      <c r="D428" s="133" t="s">
        <v>319</v>
      </c>
      <c r="E428" s="133">
        <v>3</v>
      </c>
      <c r="F428" s="133" t="str">
        <f t="shared" si="7"/>
        <v>枪兵营3</v>
      </c>
      <c r="H428" s="146"/>
      <c r="I428" s="133" t="s">
        <v>1205</v>
      </c>
      <c r="J428" s="150">
        <f>INDEX('#建筑消耗和buff配置索引'!AH:AH,MATCH($F428,'#建筑消耗和buff配置索引'!$M:$M,0))</f>
        <v>108</v>
      </c>
      <c r="K428" s="150">
        <f>INDEX('#建筑消耗和buff配置索引'!AA:AA,MATCH($F428,'#建筑消耗和buff配置索引'!$M:$M,0))</f>
        <v>3000</v>
      </c>
      <c r="L428" s="150">
        <f>INDEX('#建筑消耗和buff配置索引'!AB:AB,MATCH($F428,'#建筑消耗和buff配置索引'!$M:$M,0))</f>
        <v>3000</v>
      </c>
      <c r="M428" s="150">
        <f>INDEX('#建筑消耗和buff配置索引'!AC:AC,MATCH($F428,'#建筑消耗和buff配置索引'!$M:$M,0))</f>
        <v>0</v>
      </c>
      <c r="N428" s="150">
        <f>INDEX('#建筑消耗和buff配置索引'!AD:AD,MATCH($F428,'#建筑消耗和buff配置索引'!$M:$M,0))</f>
        <v>0</v>
      </c>
      <c r="O428" s="150" t="str">
        <f>IF(INDEX('#建筑消耗和buff配置索引'!T:T,MATCH($F428,'#建筑消耗和buff配置索引'!$M:$M,0))=0,"",INDEX('#建筑消耗和buff配置索引'!T:T,MATCH($F428,'#建筑消耗和buff配置索引'!$M:$M,0)))</f>
        <v/>
      </c>
      <c r="P428" s="133" t="str">
        <f>IF(INDEX('#建筑消耗和buff配置索引'!U:U,MATCH($F428,'#建筑消耗和buff配置索引'!$M:$M,0))=0,"",INDEX('#建筑消耗和buff配置索引'!U:U,MATCH($F428,'#建筑消耗和buff配置索引'!$M:$M,0)))</f>
        <v/>
      </c>
      <c r="Q428" s="133" t="str">
        <f>IF(INDEX('#建筑消耗和buff配置索引'!K:K,MATCH($F428,'#建筑消耗和buff配置索引'!$M:$M,0))=0,"",INDEX('#建筑消耗和buff配置索引'!K:K,MATCH($F428,'#建筑消耗和buff配置索引'!$M:$M,0)))</f>
        <v>201</v>
      </c>
      <c r="R428" s="133" t="str">
        <f>IF(INDEX('#建筑消耗和buff配置索引'!L:L,MATCH($F428,'#建筑消耗和buff配置索引'!$M:$M,0))=0,"",INDEX('#建筑消耗和buff配置索引'!L:L,MATCH($F428,'#建筑消耗和buff配置索引'!$M:$M,0)))</f>
        <v>3</v>
      </c>
      <c r="S428" s="133">
        <f>IF(INDEX('#建筑消耗和buff配置索引'!C:C,MATCH(F428,'#建筑消耗和buff配置索引'!M:M,0))=0,1,INDEX('#建筑消耗和buff配置索引'!C:C,MATCH(F428,'#建筑消耗和buff配置索引'!M:M,0)))</f>
        <v>1</v>
      </c>
      <c r="T428" s="133">
        <v>0</v>
      </c>
      <c r="U428" s="133">
        <v>0</v>
      </c>
      <c r="V428" s="133" t="str">
        <f>IF(E428=1,IF(INDEX('#建筑消耗和buff配置索引'!BY:BY,MATCH(D428,'#建筑消耗和buff配置索引'!A:A,0))=0,"",INDEX('#建筑消耗和buff配置索引'!BY:BY,MATCH(D428,'#建筑消耗和buff配置索引'!A:A,0))),"")</f>
        <v/>
      </c>
      <c r="W428" s="133" t="str">
        <f>IF(E428=1,IF(INDEX('#建筑消耗和buff配置索引'!BZ:BZ,MATCH(D428,'#建筑消耗和buff配置索引'!A:A,0))=0,"",INDEX('#建筑消耗和buff配置索引'!BZ:BZ,MATCH(D428,'#建筑消耗和buff配置索引'!A:A,0))),"")</f>
        <v/>
      </c>
      <c r="AA428" s="133">
        <f>INDEX('#建筑消耗和buff配置索引'!AO:AO,MATCH($F428,'#建筑消耗和buff配置索引'!$M:$M,0))</f>
        <v>21</v>
      </c>
      <c r="AB428" s="133">
        <f>IF(INDEX('#建筑消耗和buff配置索引'!AR:AR,MATCH($F428,'#建筑消耗和buff配置索引'!$M:$M,0))=0,"",INDEX('#建筑消耗和buff配置索引'!AR:AR,MATCH($F428,'#建筑消耗和buff配置索引'!$M:$M,0)))</f>
        <v>3000</v>
      </c>
      <c r="AC428" s="133">
        <f>IF(AB428="","",INDEX('#建筑消耗和buff配置索引'!AS:AS,MATCH($F428,'#建筑消耗和buff配置索引'!$M:$M,0)))</f>
        <v>0.01</v>
      </c>
      <c r="AF428" s="133">
        <f>IF(INDEX('#建筑消耗和buff配置索引'!AW:AW,MATCH($F428,'#建筑消耗和buff配置索引'!$M:$M,0))=0,"",INDEX('#建筑消耗和buff配置索引'!AW:AW,MATCH($F428,'#建筑消耗和buff配置索引'!$M:$M,0)))</f>
        <v>3016</v>
      </c>
      <c r="AG428" s="133">
        <f>IF(AF428="","",INDEX('#建筑消耗和buff配置索引'!AX:AX,MATCH($F428,'#建筑消耗和buff配置索引'!$M:$M,0)))</f>
        <v>100</v>
      </c>
      <c r="AJ428" s="133" t="str">
        <f>IF(INDEX('#建筑消耗和buff配置索引'!BB:BB,MATCH($F428,'#建筑消耗和buff配置索引'!$M:$M,0))=0,"",INDEX('#建筑消耗和buff配置索引'!BB:BB,MATCH($F428,'#建筑消耗和buff配置索引'!$M:$M,0)))</f>
        <v/>
      </c>
      <c r="AK428" s="133" t="str">
        <f>IF(AJ428="","",INDEX('#建筑消耗和buff配置索引'!BC:BC,MATCH($F428,'#建筑消耗和buff配置索引'!$M:$M,0)))</f>
        <v/>
      </c>
      <c r="AN428" s="133" t="str">
        <f>IF(INDEX('#建筑消耗和buff配置索引'!BG:BG,MATCH($F428,'#建筑消耗和buff配置索引'!$M:$M,0))=0,"",INDEX('#建筑消耗和buff配置索引'!BG:BG,MATCH($F428,'#建筑消耗和buff配置索引'!$M:$M,0)))</f>
        <v/>
      </c>
      <c r="AO428" s="133" t="str">
        <f>IF(AN428="","",INDEX('#建筑消耗和buff配置索引'!BH:BH,MATCH($F428,'#建筑消耗和buff配置索引'!$M:$M,0)))</f>
        <v/>
      </c>
      <c r="AR428" s="133" t="str">
        <f>IF(INDEX('#建筑消耗和buff配置索引'!BK:BK,MATCH($F428,'#建筑消耗和buff配置索引'!$M:$M,0))=0,"",INDEX('#建筑消耗和buff配置索引'!BK:BK,MATCH($F428,'#建筑消耗和buff配置索引'!$M:$M,0)))</f>
        <v/>
      </c>
      <c r="AS428" s="133" t="str">
        <f>IF(AR428="","",INDEX('#建筑消耗和buff配置索引'!BL:BL,MATCH($F428,'#建筑消耗和buff配置索引'!$M:$M,0)))</f>
        <v/>
      </c>
      <c r="AV428" s="133" t="str">
        <f>IF(INDEX('#建筑消耗和buff配置索引'!BO:BO,MATCH($F428,'#建筑消耗和buff配置索引'!$M:$M,0))=0,"",INDEX('#建筑消耗和buff配置索引'!BO:BO,MATCH($F428,'#建筑消耗和buff配置索引'!$M:$M,0)))</f>
        <v/>
      </c>
      <c r="AW428" s="133" t="str">
        <f>IF(AV428="","",INDEX('#建筑消耗和buff配置索引'!BP:BP,MATCH($F428,'#建筑消耗和buff配置索引'!$M:$M,0)))</f>
        <v/>
      </c>
      <c r="AZ428" s="133" t="str">
        <f>IF(INDEX('#建筑消耗和buff配置索引'!BS:BS,MATCH($F428,'#建筑消耗和buff配置索引'!$M:$M,0))=0,"",INDEX('#建筑消耗和buff配置索引'!BS:BS,MATCH($F428,'#建筑消耗和buff配置索引'!$M:$M,0)))</f>
        <v/>
      </c>
      <c r="BA428" s="133" t="str">
        <f>IF(AZ428="","",INDEX('#建筑消耗和buff配置索引'!BT:BT,MATCH($F428,'#建筑消耗和buff配置索引'!$M:$M,0)))</f>
        <v/>
      </c>
      <c r="BD428" s="133" t="str">
        <f>IF(INDEX('#建筑消耗和buff配置索引'!BW:BW,MATCH($F428,'#建筑消耗和buff配置索引'!$M:$M,0))=0,"",INDEX('#建筑消耗和buff配置索引'!BW:BW,MATCH($F428,'#建筑消耗和buff配置索引'!$M:$M,0)))</f>
        <v/>
      </c>
      <c r="BE428" s="133" t="str">
        <f>IF(BD428="","",INDEX('#建筑消耗和buff配置索引'!BX:BX,MATCH($F428,'#建筑消耗和buff配置索引'!$M:$M,0)))</f>
        <v/>
      </c>
      <c r="BI428" s="133">
        <v>9</v>
      </c>
    </row>
    <row r="429" spans="1:66" s="133" customFormat="1">
      <c r="A429" s="133">
        <v>2320004</v>
      </c>
      <c r="B429" s="133">
        <v>426</v>
      </c>
      <c r="C429" s="133">
        <v>232</v>
      </c>
      <c r="D429" s="133" t="s">
        <v>319</v>
      </c>
      <c r="E429" s="133">
        <v>4</v>
      </c>
      <c r="F429" s="133" t="str">
        <f t="shared" si="7"/>
        <v>枪兵营4</v>
      </c>
      <c r="H429" s="146"/>
      <c r="I429" s="133" t="s">
        <v>1205</v>
      </c>
      <c r="J429" s="150">
        <f>INDEX('#建筑消耗和buff配置索引'!AH:AH,MATCH($F429,'#建筑消耗和buff配置索引'!$M:$M,0))</f>
        <v>216</v>
      </c>
      <c r="K429" s="150">
        <f>INDEX('#建筑消耗和buff配置索引'!AA:AA,MATCH($F429,'#建筑消耗和buff配置索引'!$M:$M,0))</f>
        <v>6000</v>
      </c>
      <c r="L429" s="150">
        <f>INDEX('#建筑消耗和buff配置索引'!AB:AB,MATCH($F429,'#建筑消耗和buff配置索引'!$M:$M,0))</f>
        <v>6000</v>
      </c>
      <c r="M429" s="150">
        <f>INDEX('#建筑消耗和buff配置索引'!AC:AC,MATCH($F429,'#建筑消耗和buff配置索引'!$M:$M,0))</f>
        <v>0</v>
      </c>
      <c r="N429" s="150">
        <f>INDEX('#建筑消耗和buff配置索引'!AD:AD,MATCH($F429,'#建筑消耗和buff配置索引'!$M:$M,0))</f>
        <v>0</v>
      </c>
      <c r="O429" s="150" t="str">
        <f>IF(INDEX('#建筑消耗和buff配置索引'!T:T,MATCH($F429,'#建筑消耗和buff配置索引'!$M:$M,0))=0,"",INDEX('#建筑消耗和buff配置索引'!T:T,MATCH($F429,'#建筑消耗和buff配置索引'!$M:$M,0)))</f>
        <v/>
      </c>
      <c r="P429" s="133" t="str">
        <f>IF(INDEX('#建筑消耗和buff配置索引'!U:U,MATCH($F429,'#建筑消耗和buff配置索引'!$M:$M,0))=0,"",INDEX('#建筑消耗和buff配置索引'!U:U,MATCH($F429,'#建筑消耗和buff配置索引'!$M:$M,0)))</f>
        <v/>
      </c>
      <c r="Q429" s="133" t="str">
        <f>IF(INDEX('#建筑消耗和buff配置索引'!K:K,MATCH($F429,'#建筑消耗和buff配置索引'!$M:$M,0))=0,"",INDEX('#建筑消耗和buff配置索引'!K:K,MATCH($F429,'#建筑消耗和buff配置索引'!$M:$M,0)))</f>
        <v>201</v>
      </c>
      <c r="R429" s="133" t="str">
        <f>IF(INDEX('#建筑消耗和buff配置索引'!L:L,MATCH($F429,'#建筑消耗和buff配置索引'!$M:$M,0))=0,"",INDEX('#建筑消耗和buff配置索引'!L:L,MATCH($F429,'#建筑消耗和buff配置索引'!$M:$M,0)))</f>
        <v>4</v>
      </c>
      <c r="S429" s="133">
        <f>IF(INDEX('#建筑消耗和buff配置索引'!C:C,MATCH(F429,'#建筑消耗和buff配置索引'!M:M,0))=0,1,INDEX('#建筑消耗和buff配置索引'!C:C,MATCH(F429,'#建筑消耗和buff配置索引'!M:M,0)))</f>
        <v>1</v>
      </c>
      <c r="T429" s="133">
        <v>0</v>
      </c>
      <c r="U429" s="133">
        <v>0</v>
      </c>
      <c r="V429" s="133" t="str">
        <f>IF(E429=1,IF(INDEX('#建筑消耗和buff配置索引'!BY:BY,MATCH(D429,'#建筑消耗和buff配置索引'!A:A,0))=0,"",INDEX('#建筑消耗和buff配置索引'!BY:BY,MATCH(D429,'#建筑消耗和buff配置索引'!A:A,0))),"")</f>
        <v/>
      </c>
      <c r="W429" s="133" t="str">
        <f>IF(E429=1,IF(INDEX('#建筑消耗和buff配置索引'!BZ:BZ,MATCH(D429,'#建筑消耗和buff配置索引'!A:A,0))=0,"",INDEX('#建筑消耗和buff配置索引'!BZ:BZ,MATCH(D429,'#建筑消耗和buff配置索引'!A:A,0))),"")</f>
        <v/>
      </c>
      <c r="AA429" s="133">
        <f>INDEX('#建筑消耗和buff配置索引'!AO:AO,MATCH($F429,'#建筑消耗和buff配置索引'!$M:$M,0))</f>
        <v>45</v>
      </c>
      <c r="AB429" s="133">
        <f>IF(INDEX('#建筑消耗和buff配置索引'!AR:AR,MATCH($F429,'#建筑消耗和buff配置索引'!$M:$M,0))=0,"",INDEX('#建筑消耗和buff配置索引'!AR:AR,MATCH($F429,'#建筑消耗和buff配置索引'!$M:$M,0)))</f>
        <v>3000</v>
      </c>
      <c r="AC429" s="133">
        <f>IF(AB429="","",INDEX('#建筑消耗和buff配置索引'!AS:AS,MATCH($F429,'#建筑消耗和buff配置索引'!$M:$M,0)))</f>
        <v>1.4999999999999999E-2</v>
      </c>
      <c r="AF429" s="133">
        <f>IF(INDEX('#建筑消耗和buff配置索引'!AW:AW,MATCH($F429,'#建筑消耗和buff配置索引'!$M:$M,0))=0,"",INDEX('#建筑消耗和buff配置索引'!AW:AW,MATCH($F429,'#建筑消耗和buff配置索引'!$M:$M,0)))</f>
        <v>3016</v>
      </c>
      <c r="AG429" s="133">
        <f>IF(AF429="","",INDEX('#建筑消耗和buff配置索引'!AX:AX,MATCH($F429,'#建筑消耗和buff配置索引'!$M:$M,0)))</f>
        <v>150</v>
      </c>
      <c r="AJ429" s="133" t="str">
        <f>IF(INDEX('#建筑消耗和buff配置索引'!BB:BB,MATCH($F429,'#建筑消耗和buff配置索引'!$M:$M,0))=0,"",INDEX('#建筑消耗和buff配置索引'!BB:BB,MATCH($F429,'#建筑消耗和buff配置索引'!$M:$M,0)))</f>
        <v/>
      </c>
      <c r="AK429" s="133" t="str">
        <f>IF(AJ429="","",INDEX('#建筑消耗和buff配置索引'!BC:BC,MATCH($F429,'#建筑消耗和buff配置索引'!$M:$M,0)))</f>
        <v/>
      </c>
      <c r="AN429" s="133" t="str">
        <f>IF(INDEX('#建筑消耗和buff配置索引'!BG:BG,MATCH($F429,'#建筑消耗和buff配置索引'!$M:$M,0))=0,"",INDEX('#建筑消耗和buff配置索引'!BG:BG,MATCH($F429,'#建筑消耗和buff配置索引'!$M:$M,0)))</f>
        <v/>
      </c>
      <c r="AO429" s="133" t="str">
        <f>IF(AN429="","",INDEX('#建筑消耗和buff配置索引'!BH:BH,MATCH($F429,'#建筑消耗和buff配置索引'!$M:$M,0)))</f>
        <v/>
      </c>
      <c r="AR429" s="133" t="str">
        <f>IF(INDEX('#建筑消耗和buff配置索引'!BK:BK,MATCH($F429,'#建筑消耗和buff配置索引'!$M:$M,0))=0,"",INDEX('#建筑消耗和buff配置索引'!BK:BK,MATCH($F429,'#建筑消耗和buff配置索引'!$M:$M,0)))</f>
        <v/>
      </c>
      <c r="AS429" s="133" t="str">
        <f>IF(AR429="","",INDEX('#建筑消耗和buff配置索引'!BL:BL,MATCH($F429,'#建筑消耗和buff配置索引'!$M:$M,0)))</f>
        <v/>
      </c>
      <c r="AV429" s="133" t="str">
        <f>IF(INDEX('#建筑消耗和buff配置索引'!BO:BO,MATCH($F429,'#建筑消耗和buff配置索引'!$M:$M,0))=0,"",INDEX('#建筑消耗和buff配置索引'!BO:BO,MATCH($F429,'#建筑消耗和buff配置索引'!$M:$M,0)))</f>
        <v/>
      </c>
      <c r="AW429" s="133" t="str">
        <f>IF(AV429="","",INDEX('#建筑消耗和buff配置索引'!BP:BP,MATCH($F429,'#建筑消耗和buff配置索引'!$M:$M,0)))</f>
        <v/>
      </c>
      <c r="AZ429" s="133" t="str">
        <f>IF(INDEX('#建筑消耗和buff配置索引'!BS:BS,MATCH($F429,'#建筑消耗和buff配置索引'!$M:$M,0))=0,"",INDEX('#建筑消耗和buff配置索引'!BS:BS,MATCH($F429,'#建筑消耗和buff配置索引'!$M:$M,0)))</f>
        <v/>
      </c>
      <c r="BA429" s="133" t="str">
        <f>IF(AZ429="","",INDEX('#建筑消耗和buff配置索引'!BT:BT,MATCH($F429,'#建筑消耗和buff配置索引'!$M:$M,0)))</f>
        <v/>
      </c>
      <c r="BD429" s="133" t="str">
        <f>IF(INDEX('#建筑消耗和buff配置索引'!BW:BW,MATCH($F429,'#建筑消耗和buff配置索引'!$M:$M,0))=0,"",INDEX('#建筑消耗和buff配置索引'!BW:BW,MATCH($F429,'#建筑消耗和buff配置索引'!$M:$M,0)))</f>
        <v/>
      </c>
      <c r="BE429" s="133" t="str">
        <f>IF(BD429="","",INDEX('#建筑消耗和buff配置索引'!BX:BX,MATCH($F429,'#建筑消耗和buff配置索引'!$M:$M,0)))</f>
        <v/>
      </c>
      <c r="BI429" s="133">
        <v>9</v>
      </c>
    </row>
    <row r="430" spans="1:66" s="133" customFormat="1">
      <c r="A430" s="133">
        <v>2320005</v>
      </c>
      <c r="B430" s="133">
        <v>427</v>
      </c>
      <c r="C430" s="133">
        <v>232</v>
      </c>
      <c r="D430" s="133" t="s">
        <v>319</v>
      </c>
      <c r="E430" s="133">
        <v>5</v>
      </c>
      <c r="F430" s="133" t="str">
        <f t="shared" si="7"/>
        <v>枪兵营5</v>
      </c>
      <c r="H430" s="146"/>
      <c r="I430" s="133">
        <v>1</v>
      </c>
      <c r="J430" s="150">
        <f>INDEX('#建筑消耗和buff配置索引'!AH:AH,MATCH($F430,'#建筑消耗和buff配置索引'!$M:$M,0))</f>
        <v>450</v>
      </c>
      <c r="K430" s="150">
        <f>INDEX('#建筑消耗和buff配置索引'!AA:AA,MATCH($F430,'#建筑消耗和buff配置索引'!$M:$M,0))</f>
        <v>7700</v>
      </c>
      <c r="L430" s="150">
        <f>INDEX('#建筑消耗和buff配置索引'!AB:AB,MATCH($F430,'#建筑消耗和buff配置索引'!$M:$M,0))</f>
        <v>7700</v>
      </c>
      <c r="M430" s="150">
        <f>INDEX('#建筑消耗和buff配置索引'!AC:AC,MATCH($F430,'#建筑消耗和buff配置索引'!$M:$M,0))</f>
        <v>7700</v>
      </c>
      <c r="N430" s="150">
        <f>INDEX('#建筑消耗和buff配置索引'!AD:AD,MATCH($F430,'#建筑消耗和buff配置索引'!$M:$M,0))</f>
        <v>0</v>
      </c>
      <c r="O430" s="150" t="str">
        <f>IF(INDEX('#建筑消耗和buff配置索引'!T:T,MATCH($F430,'#建筑消耗和buff配置索引'!$M:$M,0))=0,"",INDEX('#建筑消耗和buff配置索引'!T:T,MATCH($F430,'#建筑消耗和buff配置索引'!$M:$M,0)))</f>
        <v/>
      </c>
      <c r="P430" s="133" t="str">
        <f>IF(INDEX('#建筑消耗和buff配置索引'!U:U,MATCH($F430,'#建筑消耗和buff配置索引'!$M:$M,0))=0,"",INDEX('#建筑消耗和buff配置索引'!U:U,MATCH($F430,'#建筑消耗和buff配置索引'!$M:$M,0)))</f>
        <v/>
      </c>
      <c r="Q430" s="133" t="str">
        <f>IF(INDEX('#建筑消耗和buff配置索引'!K:K,MATCH($F430,'#建筑消耗和buff配置索引'!$M:$M,0))=0,"",INDEX('#建筑消耗和buff配置索引'!K:K,MATCH($F430,'#建筑消耗和buff配置索引'!$M:$M,0)))</f>
        <v>201;204</v>
      </c>
      <c r="R430" s="133" t="str">
        <f>IF(INDEX('#建筑消耗和buff配置索引'!L:L,MATCH($F430,'#建筑消耗和buff配置索引'!$M:$M,0))=0,"",INDEX('#建筑消耗和buff配置索引'!L:L,MATCH($F430,'#建筑消耗和buff配置索引'!$M:$M,0)))</f>
        <v>5;5</v>
      </c>
      <c r="S430" s="133">
        <f>IF(INDEX('#建筑消耗和buff配置索引'!C:C,MATCH(F430,'#建筑消耗和buff配置索引'!M:M,0))=0,1,INDEX('#建筑消耗和buff配置索引'!C:C,MATCH(F430,'#建筑消耗和buff配置索引'!M:M,0)))</f>
        <v>1</v>
      </c>
      <c r="T430" s="133">
        <v>0</v>
      </c>
      <c r="U430" s="133">
        <v>0</v>
      </c>
      <c r="V430" s="133" t="str">
        <f>IF(E430=1,IF(INDEX('#建筑消耗和buff配置索引'!BY:BY,MATCH(D430,'#建筑消耗和buff配置索引'!A:A,0))=0,"",INDEX('#建筑消耗和buff配置索引'!BY:BY,MATCH(D430,'#建筑消耗和buff配置索引'!A:A,0))),"")</f>
        <v/>
      </c>
      <c r="W430" s="133" t="str">
        <f>IF(E430=1,IF(INDEX('#建筑消耗和buff配置索引'!BZ:BZ,MATCH(D430,'#建筑消耗和buff配置索引'!A:A,0))=0,"",INDEX('#建筑消耗和buff配置索引'!BZ:BZ,MATCH(D430,'#建筑消耗和buff配置索引'!A:A,0))),"")</f>
        <v/>
      </c>
      <c r="AA430" s="133">
        <f>INDEX('#建筑消耗和buff配置索引'!AO:AO,MATCH($F430,'#建筑消耗和buff配置索引'!$M:$M,0))</f>
        <v>91</v>
      </c>
      <c r="AB430" s="133">
        <f>IF(INDEX('#建筑消耗和buff配置索引'!AR:AR,MATCH($F430,'#建筑消耗和buff配置索引'!$M:$M,0))=0,"",INDEX('#建筑消耗和buff配置索引'!AR:AR,MATCH($F430,'#建筑消耗和buff配置索引'!$M:$M,0)))</f>
        <v>3000</v>
      </c>
      <c r="AC430" s="133">
        <f>IF(AB430="","",INDEX('#建筑消耗和buff配置索引'!AS:AS,MATCH($F430,'#建筑消耗和buff配置索引'!$M:$M,0)))</f>
        <v>0.02</v>
      </c>
      <c r="AF430" s="133">
        <f>IF(INDEX('#建筑消耗和buff配置索引'!AW:AW,MATCH($F430,'#建筑消耗和buff配置索引'!$M:$M,0))=0,"",INDEX('#建筑消耗和buff配置索引'!AW:AW,MATCH($F430,'#建筑消耗和buff配置索引'!$M:$M,0)))</f>
        <v>3016</v>
      </c>
      <c r="AG430" s="133">
        <f>IF(AF430="","",INDEX('#建筑消耗和buff配置索引'!AX:AX,MATCH($F430,'#建筑消耗和buff配置索引'!$M:$M,0)))</f>
        <v>200</v>
      </c>
      <c r="AJ430" s="133" t="str">
        <f>IF(INDEX('#建筑消耗和buff配置索引'!BB:BB,MATCH($F430,'#建筑消耗和buff配置索引'!$M:$M,0))=0,"",INDEX('#建筑消耗和buff配置索引'!BB:BB,MATCH($F430,'#建筑消耗和buff配置索引'!$M:$M,0)))</f>
        <v/>
      </c>
      <c r="AK430" s="133" t="str">
        <f>IF(AJ430="","",INDEX('#建筑消耗和buff配置索引'!BC:BC,MATCH($F430,'#建筑消耗和buff配置索引'!$M:$M,0)))</f>
        <v/>
      </c>
      <c r="AN430" s="133" t="str">
        <f>IF(INDEX('#建筑消耗和buff配置索引'!BG:BG,MATCH($F430,'#建筑消耗和buff配置索引'!$M:$M,0))=0,"",INDEX('#建筑消耗和buff配置索引'!BG:BG,MATCH($F430,'#建筑消耗和buff配置索引'!$M:$M,0)))</f>
        <v/>
      </c>
      <c r="AO430" s="133" t="str">
        <f>IF(AN430="","",INDEX('#建筑消耗和buff配置索引'!BH:BH,MATCH($F430,'#建筑消耗和buff配置索引'!$M:$M,0)))</f>
        <v/>
      </c>
      <c r="AR430" s="133" t="str">
        <f>IF(INDEX('#建筑消耗和buff配置索引'!BK:BK,MATCH($F430,'#建筑消耗和buff配置索引'!$M:$M,0))=0,"",INDEX('#建筑消耗和buff配置索引'!BK:BK,MATCH($F430,'#建筑消耗和buff配置索引'!$M:$M,0)))</f>
        <v/>
      </c>
      <c r="AS430" s="133" t="str">
        <f>IF(AR430="","",INDEX('#建筑消耗和buff配置索引'!BL:BL,MATCH($F430,'#建筑消耗和buff配置索引'!$M:$M,0)))</f>
        <v/>
      </c>
      <c r="AV430" s="133" t="str">
        <f>IF(INDEX('#建筑消耗和buff配置索引'!BO:BO,MATCH($F430,'#建筑消耗和buff配置索引'!$M:$M,0))=0,"",INDEX('#建筑消耗和buff配置索引'!BO:BO,MATCH($F430,'#建筑消耗和buff配置索引'!$M:$M,0)))</f>
        <v/>
      </c>
      <c r="AW430" s="133" t="str">
        <f>IF(AV430="","",INDEX('#建筑消耗和buff配置索引'!BP:BP,MATCH($F430,'#建筑消耗和buff配置索引'!$M:$M,0)))</f>
        <v/>
      </c>
      <c r="AZ430" s="133" t="str">
        <f>IF(INDEX('#建筑消耗和buff配置索引'!BS:BS,MATCH($F430,'#建筑消耗和buff配置索引'!$M:$M,0))=0,"",INDEX('#建筑消耗和buff配置索引'!BS:BS,MATCH($F430,'#建筑消耗和buff配置索引'!$M:$M,0)))</f>
        <v/>
      </c>
      <c r="BA430" s="133" t="str">
        <f>IF(AZ430="","",INDEX('#建筑消耗和buff配置索引'!BT:BT,MATCH($F430,'#建筑消耗和buff配置索引'!$M:$M,0)))</f>
        <v/>
      </c>
      <c r="BD430" s="133" t="str">
        <f>IF(INDEX('#建筑消耗和buff配置索引'!BW:BW,MATCH($F430,'#建筑消耗和buff配置索引'!$M:$M,0))=0,"",INDEX('#建筑消耗和buff配置索引'!BW:BW,MATCH($F430,'#建筑消耗和buff配置索引'!$M:$M,0)))</f>
        <v/>
      </c>
      <c r="BE430" s="133" t="str">
        <f>IF(BD430="","",INDEX('#建筑消耗和buff配置索引'!BX:BX,MATCH($F430,'#建筑消耗和buff配置索引'!$M:$M,0)))</f>
        <v/>
      </c>
      <c r="BI430" s="133">
        <v>9</v>
      </c>
      <c r="BJ430" s="133">
        <v>299</v>
      </c>
    </row>
    <row r="431" spans="1:66" s="133" customFormat="1">
      <c r="A431" s="133">
        <v>2320006</v>
      </c>
      <c r="B431" s="133">
        <v>428</v>
      </c>
      <c r="C431" s="133">
        <v>232</v>
      </c>
      <c r="D431" s="133" t="s">
        <v>319</v>
      </c>
      <c r="E431" s="133">
        <v>6</v>
      </c>
      <c r="F431" s="133" t="str">
        <f t="shared" si="7"/>
        <v>枪兵营6</v>
      </c>
      <c r="H431" s="146"/>
      <c r="I431" s="133">
        <v>1</v>
      </c>
      <c r="J431" s="150">
        <f>INDEX('#建筑消耗和buff配置索引'!AH:AH,MATCH($F431,'#建筑消耗和buff配置索引'!$M:$M,0))</f>
        <v>810</v>
      </c>
      <c r="K431" s="150">
        <f>INDEX('#建筑消耗和buff配置索引'!AA:AA,MATCH($F431,'#建筑消耗和buff配置索引'!$M:$M,0))</f>
        <v>14000</v>
      </c>
      <c r="L431" s="150">
        <f>INDEX('#建筑消耗和buff配置索引'!AB:AB,MATCH($F431,'#建筑消耗和buff配置索引'!$M:$M,0))</f>
        <v>14000</v>
      </c>
      <c r="M431" s="150">
        <f>INDEX('#建筑消耗和buff配置索引'!AC:AC,MATCH($F431,'#建筑消耗和buff配置索引'!$M:$M,0))</f>
        <v>14000</v>
      </c>
      <c r="N431" s="150">
        <f>INDEX('#建筑消耗和buff配置索引'!AD:AD,MATCH($F431,'#建筑消耗和buff配置索引'!$M:$M,0))</f>
        <v>0</v>
      </c>
      <c r="O431" s="150" t="str">
        <f>IF(INDEX('#建筑消耗和buff配置索引'!T:T,MATCH($F431,'#建筑消耗和buff配置索引'!$M:$M,0))=0,"",INDEX('#建筑消耗和buff配置索引'!T:T,MATCH($F431,'#建筑消耗和buff配置索引'!$M:$M,0)))</f>
        <v/>
      </c>
      <c r="P431" s="133" t="str">
        <f>IF(INDEX('#建筑消耗和buff配置索引'!U:U,MATCH($F431,'#建筑消耗和buff配置索引'!$M:$M,0))=0,"",INDEX('#建筑消耗和buff配置索引'!U:U,MATCH($F431,'#建筑消耗和buff配置索引'!$M:$M,0)))</f>
        <v/>
      </c>
      <c r="Q431" s="133" t="str">
        <f>IF(INDEX('#建筑消耗和buff配置索引'!K:K,MATCH($F431,'#建筑消耗和buff配置索引'!$M:$M,0))=0,"",INDEX('#建筑消耗和buff配置索引'!K:K,MATCH($F431,'#建筑消耗和buff配置索引'!$M:$M,0)))</f>
        <v>201;204</v>
      </c>
      <c r="R431" s="133" t="str">
        <f>IF(INDEX('#建筑消耗和buff配置索引'!L:L,MATCH($F431,'#建筑消耗和buff配置索引'!$M:$M,0))=0,"",INDEX('#建筑消耗和buff配置索引'!L:L,MATCH($F431,'#建筑消耗和buff配置索引'!$M:$M,0)))</f>
        <v>6;6</v>
      </c>
      <c r="S431" s="133">
        <f>IF(INDEX('#建筑消耗和buff配置索引'!C:C,MATCH(F431,'#建筑消耗和buff配置索引'!M:M,0))=0,1,INDEX('#建筑消耗和buff配置索引'!C:C,MATCH(F431,'#建筑消耗和buff配置索引'!M:M,0)))</f>
        <v>1</v>
      </c>
      <c r="T431" s="133">
        <v>0</v>
      </c>
      <c r="U431" s="133">
        <v>0</v>
      </c>
      <c r="V431" s="133" t="str">
        <f>IF(E431=1,IF(INDEX('#建筑消耗和buff配置索引'!BY:BY,MATCH(D431,'#建筑消耗和buff配置索引'!A:A,0))=0,"",INDEX('#建筑消耗和buff配置索引'!BY:BY,MATCH(D431,'#建筑消耗和buff配置索引'!A:A,0))),"")</f>
        <v/>
      </c>
      <c r="W431" s="133" t="str">
        <f>IF(E431=1,IF(INDEX('#建筑消耗和buff配置索引'!BZ:BZ,MATCH(D431,'#建筑消耗和buff配置索引'!A:A,0))=0,"",INDEX('#建筑消耗和buff配置索引'!BZ:BZ,MATCH(D431,'#建筑消耗和buff配置索引'!A:A,0))),"")</f>
        <v/>
      </c>
      <c r="AA431" s="133">
        <f>INDEX('#建筑消耗和buff配置索引'!AO:AO,MATCH($F431,'#建筑消耗和buff配置索引'!$M:$M,0))</f>
        <v>177</v>
      </c>
      <c r="AB431" s="133">
        <f>IF(INDEX('#建筑消耗和buff配置索引'!AR:AR,MATCH($F431,'#建筑消耗和buff配置索引'!$M:$M,0))=0,"",INDEX('#建筑消耗和buff配置索引'!AR:AR,MATCH($F431,'#建筑消耗和buff配置索引'!$M:$M,0)))</f>
        <v>3000</v>
      </c>
      <c r="AC431" s="133">
        <f>IF(AB431="","",INDEX('#建筑消耗和buff配置索引'!AS:AS,MATCH($F431,'#建筑消耗和buff配置索引'!$M:$M,0)))</f>
        <v>2.5000000000000001E-2</v>
      </c>
      <c r="AF431" s="133">
        <f>IF(INDEX('#建筑消耗和buff配置索引'!AW:AW,MATCH($F431,'#建筑消耗和buff配置索引'!$M:$M,0))=0,"",INDEX('#建筑消耗和buff配置索引'!AW:AW,MATCH($F431,'#建筑消耗和buff配置索引'!$M:$M,0)))</f>
        <v>3016</v>
      </c>
      <c r="AG431" s="133">
        <f>IF(AF431="","",INDEX('#建筑消耗和buff配置索引'!AX:AX,MATCH($F431,'#建筑消耗和buff配置索引'!$M:$M,0)))</f>
        <v>250</v>
      </c>
      <c r="AJ431" s="133" t="str">
        <f>IF(INDEX('#建筑消耗和buff配置索引'!BB:BB,MATCH($F431,'#建筑消耗和buff配置索引'!$M:$M,0))=0,"",INDEX('#建筑消耗和buff配置索引'!BB:BB,MATCH($F431,'#建筑消耗和buff配置索引'!$M:$M,0)))</f>
        <v/>
      </c>
      <c r="AK431" s="133" t="str">
        <f>IF(AJ431="","",INDEX('#建筑消耗和buff配置索引'!BC:BC,MATCH($F431,'#建筑消耗和buff配置索引'!$M:$M,0)))</f>
        <v/>
      </c>
      <c r="AN431" s="133" t="str">
        <f>IF(INDEX('#建筑消耗和buff配置索引'!BG:BG,MATCH($F431,'#建筑消耗和buff配置索引'!$M:$M,0))=0,"",INDEX('#建筑消耗和buff配置索引'!BG:BG,MATCH($F431,'#建筑消耗和buff配置索引'!$M:$M,0)))</f>
        <v/>
      </c>
      <c r="AO431" s="133" t="str">
        <f>IF(AN431="","",INDEX('#建筑消耗和buff配置索引'!BH:BH,MATCH($F431,'#建筑消耗和buff配置索引'!$M:$M,0)))</f>
        <v/>
      </c>
      <c r="AR431" s="133" t="str">
        <f>IF(INDEX('#建筑消耗和buff配置索引'!BK:BK,MATCH($F431,'#建筑消耗和buff配置索引'!$M:$M,0))=0,"",INDEX('#建筑消耗和buff配置索引'!BK:BK,MATCH($F431,'#建筑消耗和buff配置索引'!$M:$M,0)))</f>
        <v/>
      </c>
      <c r="AS431" s="133" t="str">
        <f>IF(AR431="","",INDEX('#建筑消耗和buff配置索引'!BL:BL,MATCH($F431,'#建筑消耗和buff配置索引'!$M:$M,0)))</f>
        <v/>
      </c>
      <c r="AV431" s="133" t="str">
        <f>IF(INDEX('#建筑消耗和buff配置索引'!BO:BO,MATCH($F431,'#建筑消耗和buff配置索引'!$M:$M,0))=0,"",INDEX('#建筑消耗和buff配置索引'!BO:BO,MATCH($F431,'#建筑消耗和buff配置索引'!$M:$M,0)))</f>
        <v/>
      </c>
      <c r="AW431" s="133" t="str">
        <f>IF(AV431="","",INDEX('#建筑消耗和buff配置索引'!BP:BP,MATCH($F431,'#建筑消耗和buff配置索引'!$M:$M,0)))</f>
        <v/>
      </c>
      <c r="AZ431" s="133" t="str">
        <f>IF(INDEX('#建筑消耗和buff配置索引'!BS:BS,MATCH($F431,'#建筑消耗和buff配置索引'!$M:$M,0))=0,"",INDEX('#建筑消耗和buff配置索引'!BS:BS,MATCH($F431,'#建筑消耗和buff配置索引'!$M:$M,0)))</f>
        <v/>
      </c>
      <c r="BA431" s="133" t="str">
        <f>IF(AZ431="","",INDEX('#建筑消耗和buff配置索引'!BT:BT,MATCH($F431,'#建筑消耗和buff配置索引'!$M:$M,0)))</f>
        <v/>
      </c>
      <c r="BD431" s="133" t="str">
        <f>IF(INDEX('#建筑消耗和buff配置索引'!BW:BW,MATCH($F431,'#建筑消耗和buff配置索引'!$M:$M,0))=0,"",INDEX('#建筑消耗和buff配置索引'!BW:BW,MATCH($F431,'#建筑消耗和buff配置索引'!$M:$M,0)))</f>
        <v/>
      </c>
      <c r="BE431" s="133" t="str">
        <f>IF(BD431="","",INDEX('#建筑消耗和buff配置索引'!BX:BX,MATCH($F431,'#建筑消耗和buff配置索引'!$M:$M,0)))</f>
        <v/>
      </c>
      <c r="BI431" s="133">
        <v>9</v>
      </c>
      <c r="BJ431" s="133">
        <v>299</v>
      </c>
    </row>
    <row r="432" spans="1:66" s="133" customFormat="1">
      <c r="A432" s="133">
        <v>2320007</v>
      </c>
      <c r="B432" s="133">
        <v>429</v>
      </c>
      <c r="C432" s="133">
        <v>232</v>
      </c>
      <c r="D432" s="133" t="s">
        <v>319</v>
      </c>
      <c r="E432" s="133">
        <v>7</v>
      </c>
      <c r="F432" s="133" t="str">
        <f t="shared" si="7"/>
        <v>枪兵营7</v>
      </c>
      <c r="H432" s="146"/>
      <c r="I432" s="133">
        <v>1</v>
      </c>
      <c r="J432" s="150">
        <f>INDEX('#建筑消耗和buff配置索引'!AH:AH,MATCH($F432,'#建筑消耗和buff配置索引'!$M:$M,0))</f>
        <v>1350</v>
      </c>
      <c r="K432" s="150">
        <f>INDEX('#建筑消耗和buff配置索引'!AA:AA,MATCH($F432,'#建筑消耗和buff配置索引'!$M:$M,0))</f>
        <v>26000</v>
      </c>
      <c r="L432" s="150">
        <f>INDEX('#建筑消耗和buff配置索引'!AB:AB,MATCH($F432,'#建筑消耗和buff配置索引'!$M:$M,0))</f>
        <v>26000</v>
      </c>
      <c r="M432" s="150">
        <f>INDEX('#建筑消耗和buff配置索引'!AC:AC,MATCH($F432,'#建筑消耗和buff配置索引'!$M:$M,0))</f>
        <v>26000</v>
      </c>
      <c r="N432" s="150">
        <f>INDEX('#建筑消耗和buff配置索引'!AD:AD,MATCH($F432,'#建筑消耗和buff配置索引'!$M:$M,0))</f>
        <v>0</v>
      </c>
      <c r="O432" s="150" t="str">
        <f>IF(INDEX('#建筑消耗和buff配置索引'!T:T,MATCH($F432,'#建筑消耗和buff配置索引'!$M:$M,0))=0,"",INDEX('#建筑消耗和buff配置索引'!T:T,MATCH($F432,'#建筑消耗和buff配置索引'!$M:$M,0)))</f>
        <v/>
      </c>
      <c r="P432" s="133" t="str">
        <f>IF(INDEX('#建筑消耗和buff配置索引'!U:U,MATCH($F432,'#建筑消耗和buff配置索引'!$M:$M,0))=0,"",INDEX('#建筑消耗和buff配置索引'!U:U,MATCH($F432,'#建筑消耗和buff配置索引'!$M:$M,0)))</f>
        <v/>
      </c>
      <c r="Q432" s="133" t="str">
        <f>IF(INDEX('#建筑消耗和buff配置索引'!K:K,MATCH($F432,'#建筑消耗和buff配置索引'!$M:$M,0))=0,"",INDEX('#建筑消耗和buff配置索引'!K:K,MATCH($F432,'#建筑消耗和buff配置索引'!$M:$M,0)))</f>
        <v>201;204</v>
      </c>
      <c r="R432" s="133" t="str">
        <f>IF(INDEX('#建筑消耗和buff配置索引'!L:L,MATCH($F432,'#建筑消耗和buff配置索引'!$M:$M,0))=0,"",INDEX('#建筑消耗和buff配置索引'!L:L,MATCH($F432,'#建筑消耗和buff配置索引'!$M:$M,0)))</f>
        <v>7;7</v>
      </c>
      <c r="S432" s="133">
        <f>IF(INDEX('#建筑消耗和buff配置索引'!C:C,MATCH(F432,'#建筑消耗和buff配置索引'!M:M,0))=0,1,INDEX('#建筑消耗和buff配置索引'!C:C,MATCH(F432,'#建筑消耗和buff配置索引'!M:M,0)))</f>
        <v>1</v>
      </c>
      <c r="T432" s="133">
        <v>0</v>
      </c>
      <c r="U432" s="133">
        <v>0</v>
      </c>
      <c r="V432" s="133" t="str">
        <f>IF(E432=1,IF(INDEX('#建筑消耗和buff配置索引'!BY:BY,MATCH(D432,'#建筑消耗和buff配置索引'!A:A,0))=0,"",INDEX('#建筑消耗和buff配置索引'!BY:BY,MATCH(D432,'#建筑消耗和buff配置索引'!A:A,0))),"")</f>
        <v/>
      </c>
      <c r="W432" s="133" t="str">
        <f>IF(E432=1,IF(INDEX('#建筑消耗和buff配置索引'!BZ:BZ,MATCH(D432,'#建筑消耗和buff配置索引'!A:A,0))=0,"",INDEX('#建筑消耗和buff配置索引'!BZ:BZ,MATCH(D432,'#建筑消耗和buff配置索引'!A:A,0))),"")</f>
        <v/>
      </c>
      <c r="AA432" s="133">
        <f>INDEX('#建筑消耗和buff配置索引'!AO:AO,MATCH($F432,'#建筑消耗和buff配置索引'!$M:$M,0))</f>
        <v>331</v>
      </c>
      <c r="AB432" s="133">
        <f>IF(INDEX('#建筑消耗和buff配置索引'!AR:AR,MATCH($F432,'#建筑消耗和buff配置索引'!$M:$M,0))=0,"",INDEX('#建筑消耗和buff配置索引'!AR:AR,MATCH($F432,'#建筑消耗和buff配置索引'!$M:$M,0)))</f>
        <v>3000</v>
      </c>
      <c r="AC432" s="133">
        <f>IF(AB432="","",INDEX('#建筑消耗和buff配置索引'!AS:AS,MATCH($F432,'#建筑消耗和buff配置索引'!$M:$M,0)))</f>
        <v>0.03</v>
      </c>
      <c r="AF432" s="133">
        <f>IF(INDEX('#建筑消耗和buff配置索引'!AW:AW,MATCH($F432,'#建筑消耗和buff配置索引'!$M:$M,0))=0,"",INDEX('#建筑消耗和buff配置索引'!AW:AW,MATCH($F432,'#建筑消耗和buff配置索引'!$M:$M,0)))</f>
        <v>3016</v>
      </c>
      <c r="AG432" s="133">
        <f>IF(AF432="","",INDEX('#建筑消耗和buff配置索引'!AX:AX,MATCH($F432,'#建筑消耗和buff配置索引'!$M:$M,0)))</f>
        <v>300</v>
      </c>
      <c r="AJ432" s="133" t="str">
        <f>IF(INDEX('#建筑消耗和buff配置索引'!BB:BB,MATCH($F432,'#建筑消耗和buff配置索引'!$M:$M,0))=0,"",INDEX('#建筑消耗和buff配置索引'!BB:BB,MATCH($F432,'#建筑消耗和buff配置索引'!$M:$M,0)))</f>
        <v/>
      </c>
      <c r="AK432" s="133" t="str">
        <f>IF(AJ432="","",INDEX('#建筑消耗和buff配置索引'!BC:BC,MATCH($F432,'#建筑消耗和buff配置索引'!$M:$M,0)))</f>
        <v/>
      </c>
      <c r="AN432" s="133" t="str">
        <f>IF(INDEX('#建筑消耗和buff配置索引'!BG:BG,MATCH($F432,'#建筑消耗和buff配置索引'!$M:$M,0))=0,"",INDEX('#建筑消耗和buff配置索引'!BG:BG,MATCH($F432,'#建筑消耗和buff配置索引'!$M:$M,0)))</f>
        <v/>
      </c>
      <c r="AO432" s="133" t="str">
        <f>IF(AN432="","",INDEX('#建筑消耗和buff配置索引'!BH:BH,MATCH($F432,'#建筑消耗和buff配置索引'!$M:$M,0)))</f>
        <v/>
      </c>
      <c r="AR432" s="133" t="str">
        <f>IF(INDEX('#建筑消耗和buff配置索引'!BK:BK,MATCH($F432,'#建筑消耗和buff配置索引'!$M:$M,0))=0,"",INDEX('#建筑消耗和buff配置索引'!BK:BK,MATCH($F432,'#建筑消耗和buff配置索引'!$M:$M,0)))</f>
        <v/>
      </c>
      <c r="AS432" s="133" t="str">
        <f>IF(AR432="","",INDEX('#建筑消耗和buff配置索引'!BL:BL,MATCH($F432,'#建筑消耗和buff配置索引'!$M:$M,0)))</f>
        <v/>
      </c>
      <c r="AV432" s="133" t="str">
        <f>IF(INDEX('#建筑消耗和buff配置索引'!BO:BO,MATCH($F432,'#建筑消耗和buff配置索引'!$M:$M,0))=0,"",INDEX('#建筑消耗和buff配置索引'!BO:BO,MATCH($F432,'#建筑消耗和buff配置索引'!$M:$M,0)))</f>
        <v/>
      </c>
      <c r="AW432" s="133" t="str">
        <f>IF(AV432="","",INDEX('#建筑消耗和buff配置索引'!BP:BP,MATCH($F432,'#建筑消耗和buff配置索引'!$M:$M,0)))</f>
        <v/>
      </c>
      <c r="AZ432" s="133" t="str">
        <f>IF(INDEX('#建筑消耗和buff配置索引'!BS:BS,MATCH($F432,'#建筑消耗和buff配置索引'!$M:$M,0))=0,"",INDEX('#建筑消耗和buff配置索引'!BS:BS,MATCH($F432,'#建筑消耗和buff配置索引'!$M:$M,0)))</f>
        <v/>
      </c>
      <c r="BA432" s="133" t="str">
        <f>IF(AZ432="","",INDEX('#建筑消耗和buff配置索引'!BT:BT,MATCH($F432,'#建筑消耗和buff配置索引'!$M:$M,0)))</f>
        <v/>
      </c>
      <c r="BD432" s="133" t="str">
        <f>IF(INDEX('#建筑消耗和buff配置索引'!BW:BW,MATCH($F432,'#建筑消耗和buff配置索引'!$M:$M,0))=0,"",INDEX('#建筑消耗和buff配置索引'!BW:BW,MATCH($F432,'#建筑消耗和buff配置索引'!$M:$M,0)))</f>
        <v/>
      </c>
      <c r="BE432" s="133" t="str">
        <f>IF(BD432="","",INDEX('#建筑消耗和buff配置索引'!BX:BX,MATCH($F432,'#建筑消耗和buff配置索引'!$M:$M,0)))</f>
        <v/>
      </c>
      <c r="BI432" s="133">
        <v>9</v>
      </c>
      <c r="BJ432" s="133">
        <v>299</v>
      </c>
    </row>
    <row r="433" spans="1:62" s="133" customFormat="1">
      <c r="A433" s="133">
        <v>2320008</v>
      </c>
      <c r="B433" s="133">
        <v>430</v>
      </c>
      <c r="C433" s="133">
        <v>232</v>
      </c>
      <c r="D433" s="133" t="s">
        <v>319</v>
      </c>
      <c r="E433" s="133">
        <v>8</v>
      </c>
      <c r="F433" s="133" t="str">
        <f t="shared" si="7"/>
        <v>枪兵营8</v>
      </c>
      <c r="H433" s="146"/>
      <c r="I433" s="133">
        <v>1</v>
      </c>
      <c r="J433" s="150">
        <f>INDEX('#建筑消耗和buff配置索引'!AH:AH,MATCH($F433,'#建筑消耗和buff配置索引'!$M:$M,0))</f>
        <v>2160</v>
      </c>
      <c r="K433" s="150">
        <f>INDEX('#建筑消耗和buff配置索引'!AA:AA,MATCH($F433,'#建筑消耗和buff配置索引'!$M:$M,0))</f>
        <v>44000</v>
      </c>
      <c r="L433" s="150">
        <f>INDEX('#建筑消耗和buff配置索引'!AB:AB,MATCH($F433,'#建筑消耗和buff配置索引'!$M:$M,0))</f>
        <v>44000</v>
      </c>
      <c r="M433" s="150">
        <f>INDEX('#建筑消耗和buff配置索引'!AC:AC,MATCH($F433,'#建筑消耗和buff配置索引'!$M:$M,0))</f>
        <v>44000</v>
      </c>
      <c r="N433" s="150">
        <f>INDEX('#建筑消耗和buff配置索引'!AD:AD,MATCH($F433,'#建筑消耗和buff配置索引'!$M:$M,0))</f>
        <v>0</v>
      </c>
      <c r="O433" s="150" t="str">
        <f>IF(INDEX('#建筑消耗和buff配置索引'!T:T,MATCH($F433,'#建筑消耗和buff配置索引'!$M:$M,0))=0,"",INDEX('#建筑消耗和buff配置索引'!T:T,MATCH($F433,'#建筑消耗和buff配置索引'!$M:$M,0)))</f>
        <v/>
      </c>
      <c r="P433" s="133" t="str">
        <f>IF(INDEX('#建筑消耗和buff配置索引'!U:U,MATCH($F433,'#建筑消耗和buff配置索引'!$M:$M,0))=0,"",INDEX('#建筑消耗和buff配置索引'!U:U,MATCH($F433,'#建筑消耗和buff配置索引'!$M:$M,0)))</f>
        <v/>
      </c>
      <c r="Q433" s="133" t="str">
        <f>IF(INDEX('#建筑消耗和buff配置索引'!K:K,MATCH($F433,'#建筑消耗和buff配置索引'!$M:$M,0))=0,"",INDEX('#建筑消耗和buff配置索引'!K:K,MATCH($F433,'#建筑消耗和buff配置索引'!$M:$M,0)))</f>
        <v>201;204</v>
      </c>
      <c r="R433" s="133" t="str">
        <f>IF(INDEX('#建筑消耗和buff配置索引'!L:L,MATCH($F433,'#建筑消耗和buff配置索引'!$M:$M,0))=0,"",INDEX('#建筑消耗和buff配置索引'!L:L,MATCH($F433,'#建筑消耗和buff配置索引'!$M:$M,0)))</f>
        <v>8;8</v>
      </c>
      <c r="S433" s="133">
        <f>IF(INDEX('#建筑消耗和buff配置索引'!C:C,MATCH(F433,'#建筑消耗和buff配置索引'!M:M,0))=0,1,INDEX('#建筑消耗和buff配置索引'!C:C,MATCH(F433,'#建筑消耗和buff配置索引'!M:M,0)))</f>
        <v>1</v>
      </c>
      <c r="T433" s="133">
        <v>0</v>
      </c>
      <c r="U433" s="133">
        <v>0</v>
      </c>
      <c r="V433" s="133" t="str">
        <f>IF(E433=1,IF(INDEX('#建筑消耗和buff配置索引'!BY:BY,MATCH(D433,'#建筑消耗和buff配置索引'!A:A,0))=0,"",INDEX('#建筑消耗和buff配置索引'!BY:BY,MATCH(D433,'#建筑消耗和buff配置索引'!A:A,0))),"")</f>
        <v/>
      </c>
      <c r="W433" s="133" t="str">
        <f>IF(E433=1,IF(INDEX('#建筑消耗和buff配置索引'!BZ:BZ,MATCH(D433,'#建筑消耗和buff配置索引'!A:A,0))=0,"",INDEX('#建筑消耗和buff配置索引'!BZ:BZ,MATCH(D433,'#建筑消耗和buff配置索引'!A:A,0))),"")</f>
        <v/>
      </c>
      <c r="AA433" s="133">
        <f>INDEX('#建筑消耗和buff配置索引'!AO:AO,MATCH($F433,'#建筑消耗和buff配置索引'!$M:$M,0))</f>
        <v>596</v>
      </c>
      <c r="AB433" s="133">
        <f>IF(INDEX('#建筑消耗和buff配置索引'!AR:AR,MATCH($F433,'#建筑消耗和buff配置索引'!$M:$M,0))=0,"",INDEX('#建筑消耗和buff配置索引'!AR:AR,MATCH($F433,'#建筑消耗和buff配置索引'!$M:$M,0)))</f>
        <v>3000</v>
      </c>
      <c r="AC433" s="133">
        <f>IF(AB433="","",INDEX('#建筑消耗和buff配置索引'!AS:AS,MATCH($F433,'#建筑消耗和buff配置索引'!$M:$M,0)))</f>
        <v>3.5000000000000003E-2</v>
      </c>
      <c r="AF433" s="133">
        <f>IF(INDEX('#建筑消耗和buff配置索引'!AW:AW,MATCH($F433,'#建筑消耗和buff配置索引'!$M:$M,0))=0,"",INDEX('#建筑消耗和buff配置索引'!AW:AW,MATCH($F433,'#建筑消耗和buff配置索引'!$M:$M,0)))</f>
        <v>3016</v>
      </c>
      <c r="AG433" s="133">
        <f>IF(AF433="","",INDEX('#建筑消耗和buff配置索引'!AX:AX,MATCH($F433,'#建筑消耗和buff配置索引'!$M:$M,0)))</f>
        <v>350</v>
      </c>
      <c r="AJ433" s="133" t="str">
        <f>IF(INDEX('#建筑消耗和buff配置索引'!BB:BB,MATCH($F433,'#建筑消耗和buff配置索引'!$M:$M,0))=0,"",INDEX('#建筑消耗和buff配置索引'!BB:BB,MATCH($F433,'#建筑消耗和buff配置索引'!$M:$M,0)))</f>
        <v/>
      </c>
      <c r="AK433" s="133" t="str">
        <f>IF(AJ433="","",INDEX('#建筑消耗和buff配置索引'!BC:BC,MATCH($F433,'#建筑消耗和buff配置索引'!$M:$M,0)))</f>
        <v/>
      </c>
      <c r="AN433" s="133" t="str">
        <f>IF(INDEX('#建筑消耗和buff配置索引'!BG:BG,MATCH($F433,'#建筑消耗和buff配置索引'!$M:$M,0))=0,"",INDEX('#建筑消耗和buff配置索引'!BG:BG,MATCH($F433,'#建筑消耗和buff配置索引'!$M:$M,0)))</f>
        <v/>
      </c>
      <c r="AO433" s="133" t="str">
        <f>IF(AN433="","",INDEX('#建筑消耗和buff配置索引'!BH:BH,MATCH($F433,'#建筑消耗和buff配置索引'!$M:$M,0)))</f>
        <v/>
      </c>
      <c r="AR433" s="133" t="str">
        <f>IF(INDEX('#建筑消耗和buff配置索引'!BK:BK,MATCH($F433,'#建筑消耗和buff配置索引'!$M:$M,0))=0,"",INDEX('#建筑消耗和buff配置索引'!BK:BK,MATCH($F433,'#建筑消耗和buff配置索引'!$M:$M,0)))</f>
        <v/>
      </c>
      <c r="AS433" s="133" t="str">
        <f>IF(AR433="","",INDEX('#建筑消耗和buff配置索引'!BL:BL,MATCH($F433,'#建筑消耗和buff配置索引'!$M:$M,0)))</f>
        <v/>
      </c>
      <c r="AV433" s="133" t="str">
        <f>IF(INDEX('#建筑消耗和buff配置索引'!BO:BO,MATCH($F433,'#建筑消耗和buff配置索引'!$M:$M,0))=0,"",INDEX('#建筑消耗和buff配置索引'!BO:BO,MATCH($F433,'#建筑消耗和buff配置索引'!$M:$M,0)))</f>
        <v/>
      </c>
      <c r="AW433" s="133" t="str">
        <f>IF(AV433="","",INDEX('#建筑消耗和buff配置索引'!BP:BP,MATCH($F433,'#建筑消耗和buff配置索引'!$M:$M,0)))</f>
        <v/>
      </c>
      <c r="AZ433" s="133" t="str">
        <f>IF(INDEX('#建筑消耗和buff配置索引'!BS:BS,MATCH($F433,'#建筑消耗和buff配置索引'!$M:$M,0))=0,"",INDEX('#建筑消耗和buff配置索引'!BS:BS,MATCH($F433,'#建筑消耗和buff配置索引'!$M:$M,0)))</f>
        <v/>
      </c>
      <c r="BA433" s="133" t="str">
        <f>IF(AZ433="","",INDEX('#建筑消耗和buff配置索引'!BT:BT,MATCH($F433,'#建筑消耗和buff配置索引'!$M:$M,0)))</f>
        <v/>
      </c>
      <c r="BD433" s="133" t="str">
        <f>IF(INDEX('#建筑消耗和buff配置索引'!BW:BW,MATCH($F433,'#建筑消耗和buff配置索引'!$M:$M,0))=0,"",INDEX('#建筑消耗和buff配置索引'!BW:BW,MATCH($F433,'#建筑消耗和buff配置索引'!$M:$M,0)))</f>
        <v/>
      </c>
      <c r="BE433" s="133" t="str">
        <f>IF(BD433="","",INDEX('#建筑消耗和buff配置索引'!BX:BX,MATCH($F433,'#建筑消耗和buff配置索引'!$M:$M,0)))</f>
        <v/>
      </c>
      <c r="BI433" s="133">
        <v>9</v>
      </c>
      <c r="BJ433" s="133">
        <v>299</v>
      </c>
    </row>
    <row r="434" spans="1:62" s="133" customFormat="1">
      <c r="A434" s="133">
        <v>2320009</v>
      </c>
      <c r="B434" s="133">
        <v>431</v>
      </c>
      <c r="C434" s="133">
        <v>232</v>
      </c>
      <c r="D434" s="133" t="s">
        <v>319</v>
      </c>
      <c r="E434" s="133">
        <v>9</v>
      </c>
      <c r="F434" s="133" t="str">
        <f t="shared" si="7"/>
        <v>枪兵营9</v>
      </c>
      <c r="H434" s="146"/>
      <c r="I434" s="133">
        <v>1</v>
      </c>
      <c r="J434" s="150">
        <f>INDEX('#建筑消耗和buff配置索引'!AH:AH,MATCH($F434,'#建筑消耗和buff配置索引'!$M:$M,0))</f>
        <v>4320</v>
      </c>
      <c r="K434" s="150">
        <f>INDEX('#建筑消耗和buff配置索引'!AA:AA,MATCH($F434,'#建筑消耗和buff配置索引'!$M:$M,0))</f>
        <v>73000</v>
      </c>
      <c r="L434" s="150">
        <f>INDEX('#建筑消耗和buff配置索引'!AB:AB,MATCH($F434,'#建筑消耗和buff配置索引'!$M:$M,0))</f>
        <v>73000</v>
      </c>
      <c r="M434" s="150">
        <f>INDEX('#建筑消耗和buff配置索引'!AC:AC,MATCH($F434,'#建筑消耗和buff配置索引'!$M:$M,0))</f>
        <v>73000</v>
      </c>
      <c r="N434" s="150">
        <f>INDEX('#建筑消耗和buff配置索引'!AD:AD,MATCH($F434,'#建筑消耗和buff配置索引'!$M:$M,0))</f>
        <v>0</v>
      </c>
      <c r="O434" s="150" t="str">
        <f>IF(INDEX('#建筑消耗和buff配置索引'!T:T,MATCH($F434,'#建筑消耗和buff配置索引'!$M:$M,0))=0,"",INDEX('#建筑消耗和buff配置索引'!T:T,MATCH($F434,'#建筑消耗和buff配置索引'!$M:$M,0)))</f>
        <v/>
      </c>
      <c r="P434" s="133" t="str">
        <f>IF(INDEX('#建筑消耗和buff配置索引'!U:U,MATCH($F434,'#建筑消耗和buff配置索引'!$M:$M,0))=0,"",INDEX('#建筑消耗和buff配置索引'!U:U,MATCH($F434,'#建筑消耗和buff配置索引'!$M:$M,0)))</f>
        <v/>
      </c>
      <c r="Q434" s="133" t="str">
        <f>IF(INDEX('#建筑消耗和buff配置索引'!K:K,MATCH($F434,'#建筑消耗和buff配置索引'!$M:$M,0))=0,"",INDEX('#建筑消耗和buff配置索引'!K:K,MATCH($F434,'#建筑消耗和buff配置索引'!$M:$M,0)))</f>
        <v>201;204</v>
      </c>
      <c r="R434" s="133" t="str">
        <f>IF(INDEX('#建筑消耗和buff配置索引'!L:L,MATCH($F434,'#建筑消耗和buff配置索引'!$M:$M,0))=0,"",INDEX('#建筑消耗和buff配置索引'!L:L,MATCH($F434,'#建筑消耗和buff配置索引'!$M:$M,0)))</f>
        <v>9;9</v>
      </c>
      <c r="S434" s="133">
        <f>IF(INDEX('#建筑消耗和buff配置索引'!C:C,MATCH(F434,'#建筑消耗和buff配置索引'!M:M,0))=0,1,INDEX('#建筑消耗和buff配置索引'!C:C,MATCH(F434,'#建筑消耗和buff配置索引'!M:M,0)))</f>
        <v>1</v>
      </c>
      <c r="T434" s="133">
        <v>0</v>
      </c>
      <c r="U434" s="133">
        <v>0</v>
      </c>
      <c r="V434" s="133" t="str">
        <f>IF(E434=1,IF(INDEX('#建筑消耗和buff配置索引'!BY:BY,MATCH(D434,'#建筑消耗和buff配置索引'!A:A,0))=0,"",INDEX('#建筑消耗和buff配置索引'!BY:BY,MATCH(D434,'#建筑消耗和buff配置索引'!A:A,0))),"")</f>
        <v/>
      </c>
      <c r="W434" s="133" t="str">
        <f>IF(E434=1,IF(INDEX('#建筑消耗和buff配置索引'!BZ:BZ,MATCH(D434,'#建筑消耗和buff配置索引'!A:A,0))=0,"",INDEX('#建筑消耗和buff配置索引'!BZ:BZ,MATCH(D434,'#建筑消耗和buff配置索引'!A:A,0))),"")</f>
        <v/>
      </c>
      <c r="AA434" s="133">
        <f>INDEX('#建筑消耗和buff配置索引'!AO:AO,MATCH($F434,'#建筑消耗和buff配置索引'!$M:$M,0))</f>
        <v>1034</v>
      </c>
      <c r="AB434" s="133">
        <f>IF(INDEX('#建筑消耗和buff配置索引'!AR:AR,MATCH($F434,'#建筑消耗和buff配置索引'!$M:$M,0))=0,"",INDEX('#建筑消耗和buff配置索引'!AR:AR,MATCH($F434,'#建筑消耗和buff配置索引'!$M:$M,0)))</f>
        <v>3000</v>
      </c>
      <c r="AC434" s="133">
        <f>IF(AB434="","",INDEX('#建筑消耗和buff配置索引'!AS:AS,MATCH($F434,'#建筑消耗和buff配置索引'!$M:$M,0)))</f>
        <v>0.04</v>
      </c>
      <c r="AF434" s="133">
        <f>IF(INDEX('#建筑消耗和buff配置索引'!AW:AW,MATCH($F434,'#建筑消耗和buff配置索引'!$M:$M,0))=0,"",INDEX('#建筑消耗和buff配置索引'!AW:AW,MATCH($F434,'#建筑消耗和buff配置索引'!$M:$M,0)))</f>
        <v>3016</v>
      </c>
      <c r="AG434" s="133">
        <f>IF(AF434="","",INDEX('#建筑消耗和buff配置索引'!AX:AX,MATCH($F434,'#建筑消耗和buff配置索引'!$M:$M,0)))</f>
        <v>400</v>
      </c>
      <c r="AJ434" s="133" t="str">
        <f>IF(INDEX('#建筑消耗和buff配置索引'!BB:BB,MATCH($F434,'#建筑消耗和buff配置索引'!$M:$M,0))=0,"",INDEX('#建筑消耗和buff配置索引'!BB:BB,MATCH($F434,'#建筑消耗和buff配置索引'!$M:$M,0)))</f>
        <v/>
      </c>
      <c r="AK434" s="133" t="str">
        <f>IF(AJ434="","",INDEX('#建筑消耗和buff配置索引'!BC:BC,MATCH($F434,'#建筑消耗和buff配置索引'!$M:$M,0)))</f>
        <v/>
      </c>
      <c r="AN434" s="133" t="str">
        <f>IF(INDEX('#建筑消耗和buff配置索引'!BG:BG,MATCH($F434,'#建筑消耗和buff配置索引'!$M:$M,0))=0,"",INDEX('#建筑消耗和buff配置索引'!BG:BG,MATCH($F434,'#建筑消耗和buff配置索引'!$M:$M,0)))</f>
        <v/>
      </c>
      <c r="AO434" s="133" t="str">
        <f>IF(AN434="","",INDEX('#建筑消耗和buff配置索引'!BH:BH,MATCH($F434,'#建筑消耗和buff配置索引'!$M:$M,0)))</f>
        <v/>
      </c>
      <c r="AR434" s="133" t="str">
        <f>IF(INDEX('#建筑消耗和buff配置索引'!BK:BK,MATCH($F434,'#建筑消耗和buff配置索引'!$M:$M,0))=0,"",INDEX('#建筑消耗和buff配置索引'!BK:BK,MATCH($F434,'#建筑消耗和buff配置索引'!$M:$M,0)))</f>
        <v/>
      </c>
      <c r="AS434" s="133" t="str">
        <f>IF(AR434="","",INDEX('#建筑消耗和buff配置索引'!BL:BL,MATCH($F434,'#建筑消耗和buff配置索引'!$M:$M,0)))</f>
        <v/>
      </c>
      <c r="AV434" s="133" t="str">
        <f>IF(INDEX('#建筑消耗和buff配置索引'!BO:BO,MATCH($F434,'#建筑消耗和buff配置索引'!$M:$M,0))=0,"",INDEX('#建筑消耗和buff配置索引'!BO:BO,MATCH($F434,'#建筑消耗和buff配置索引'!$M:$M,0)))</f>
        <v/>
      </c>
      <c r="AW434" s="133" t="str">
        <f>IF(AV434="","",INDEX('#建筑消耗和buff配置索引'!BP:BP,MATCH($F434,'#建筑消耗和buff配置索引'!$M:$M,0)))</f>
        <v/>
      </c>
      <c r="AZ434" s="133" t="str">
        <f>IF(INDEX('#建筑消耗和buff配置索引'!BS:BS,MATCH($F434,'#建筑消耗和buff配置索引'!$M:$M,0))=0,"",INDEX('#建筑消耗和buff配置索引'!BS:BS,MATCH($F434,'#建筑消耗和buff配置索引'!$M:$M,0)))</f>
        <v/>
      </c>
      <c r="BA434" s="133" t="str">
        <f>IF(AZ434="","",INDEX('#建筑消耗和buff配置索引'!BT:BT,MATCH($F434,'#建筑消耗和buff配置索引'!$M:$M,0)))</f>
        <v/>
      </c>
      <c r="BD434" s="133" t="str">
        <f>IF(INDEX('#建筑消耗和buff配置索引'!BW:BW,MATCH($F434,'#建筑消耗和buff配置索引'!$M:$M,0))=0,"",INDEX('#建筑消耗和buff配置索引'!BW:BW,MATCH($F434,'#建筑消耗和buff配置索引'!$M:$M,0)))</f>
        <v/>
      </c>
      <c r="BE434" s="133" t="str">
        <f>IF(BD434="","",INDEX('#建筑消耗和buff配置索引'!BX:BX,MATCH($F434,'#建筑消耗和buff配置索引'!$M:$M,0)))</f>
        <v/>
      </c>
      <c r="BI434" s="133">
        <v>9</v>
      </c>
      <c r="BJ434" s="133">
        <v>299</v>
      </c>
    </row>
    <row r="435" spans="1:62" s="133" customFormat="1">
      <c r="A435" s="133">
        <v>2320010</v>
      </c>
      <c r="B435" s="133">
        <v>432</v>
      </c>
      <c r="C435" s="133">
        <v>232</v>
      </c>
      <c r="D435" s="133" t="s">
        <v>319</v>
      </c>
      <c r="E435" s="133">
        <v>10</v>
      </c>
      <c r="F435" s="133" t="str">
        <f t="shared" si="7"/>
        <v>枪兵营10</v>
      </c>
      <c r="H435" s="146"/>
      <c r="I435" s="133">
        <v>1</v>
      </c>
      <c r="J435" s="150">
        <f>INDEX('#建筑消耗和buff配置索引'!AH:AH,MATCH($F435,'#建筑消耗和buff配置索引'!$M:$M,0))</f>
        <v>6480</v>
      </c>
      <c r="K435" s="150">
        <f>INDEX('#建筑消耗和buff配置索引'!AA:AA,MATCH($F435,'#建筑消耗和buff配置索引'!$M:$M,0))</f>
        <v>86000</v>
      </c>
      <c r="L435" s="150">
        <f>INDEX('#建筑消耗和buff配置索引'!AB:AB,MATCH($F435,'#建筑消耗和buff配置索引'!$M:$M,0))</f>
        <v>86000</v>
      </c>
      <c r="M435" s="150">
        <f>INDEX('#建筑消耗和buff配置索引'!AC:AC,MATCH($F435,'#建筑消耗和buff配置索引'!$M:$M,0))</f>
        <v>86000</v>
      </c>
      <c r="N435" s="150">
        <f>INDEX('#建筑消耗和buff配置索引'!AD:AD,MATCH($F435,'#建筑消耗和buff配置索引'!$M:$M,0))</f>
        <v>86000</v>
      </c>
      <c r="O435" s="150" t="str">
        <f>IF(INDEX('#建筑消耗和buff配置索引'!T:T,MATCH($F435,'#建筑消耗和buff配置索引'!$M:$M,0))=0,"",INDEX('#建筑消耗和buff配置索引'!T:T,MATCH($F435,'#建筑消耗和buff配置索引'!$M:$M,0)))</f>
        <v/>
      </c>
      <c r="P435" s="133" t="str">
        <f>IF(INDEX('#建筑消耗和buff配置索引'!U:U,MATCH($F435,'#建筑消耗和buff配置索引'!$M:$M,0))=0,"",INDEX('#建筑消耗和buff配置索引'!U:U,MATCH($F435,'#建筑消耗和buff配置索引'!$M:$M,0)))</f>
        <v/>
      </c>
      <c r="Q435" s="133" t="str">
        <f>IF(INDEX('#建筑消耗和buff配置索引'!K:K,MATCH($F435,'#建筑消耗和buff配置索引'!$M:$M,0))=0,"",INDEX('#建筑消耗和buff配置索引'!K:K,MATCH($F435,'#建筑消耗和buff配置索引'!$M:$M,0)))</f>
        <v>201;204</v>
      </c>
      <c r="R435" s="133" t="str">
        <f>IF(INDEX('#建筑消耗和buff配置索引'!L:L,MATCH($F435,'#建筑消耗和buff配置索引'!$M:$M,0))=0,"",INDEX('#建筑消耗和buff配置索引'!L:L,MATCH($F435,'#建筑消耗和buff配置索引'!$M:$M,0)))</f>
        <v>10;10</v>
      </c>
      <c r="S435" s="133">
        <f>IF(INDEX('#建筑消耗和buff配置索引'!C:C,MATCH(F435,'#建筑消耗和buff配置索引'!M:M,0))=0,1,INDEX('#建筑消耗和buff配置索引'!C:C,MATCH(F435,'#建筑消耗和buff配置索引'!M:M,0)))</f>
        <v>1</v>
      </c>
      <c r="T435" s="133">
        <v>0</v>
      </c>
      <c r="U435" s="133">
        <v>0</v>
      </c>
      <c r="V435" s="133" t="str">
        <f>IF(E435=1,IF(INDEX('#建筑消耗和buff配置索引'!BY:BY,MATCH(D435,'#建筑消耗和buff配置索引'!A:A,0))=0,"",INDEX('#建筑消耗和buff配置索引'!BY:BY,MATCH(D435,'#建筑消耗和buff配置索引'!A:A,0))),"")</f>
        <v/>
      </c>
      <c r="W435" s="133" t="str">
        <f>IF(E435=1,IF(INDEX('#建筑消耗和buff配置索引'!BZ:BZ,MATCH(D435,'#建筑消耗和buff配置索引'!A:A,0))=0,"",INDEX('#建筑消耗和buff配置索引'!BZ:BZ,MATCH(D435,'#建筑消耗和buff配置索引'!A:A,0))),"")</f>
        <v/>
      </c>
      <c r="AA435" s="133">
        <f>INDEX('#建筑消耗和buff配置索引'!AO:AO,MATCH($F435,'#建筑消耗和buff配置索引'!$M:$M,0))</f>
        <v>1726</v>
      </c>
      <c r="AB435" s="133">
        <f>IF(INDEX('#建筑消耗和buff配置索引'!AR:AR,MATCH($F435,'#建筑消耗和buff配置索引'!$M:$M,0))=0,"",INDEX('#建筑消耗和buff配置索引'!AR:AR,MATCH($F435,'#建筑消耗和buff配置索引'!$M:$M,0)))</f>
        <v>3000</v>
      </c>
      <c r="AC435" s="133">
        <f>IF(AB435="","",INDEX('#建筑消耗和buff配置索引'!AS:AS,MATCH($F435,'#建筑消耗和buff配置索引'!$M:$M,0)))</f>
        <v>4.4999999999999998E-2</v>
      </c>
      <c r="AF435" s="133">
        <f>IF(INDEX('#建筑消耗和buff配置索引'!AW:AW,MATCH($F435,'#建筑消耗和buff配置索引'!$M:$M,0))=0,"",INDEX('#建筑消耗和buff配置索引'!AW:AW,MATCH($F435,'#建筑消耗和buff配置索引'!$M:$M,0)))</f>
        <v>3016</v>
      </c>
      <c r="AG435" s="133">
        <f>IF(AF435="","",INDEX('#建筑消耗和buff配置索引'!AX:AX,MATCH($F435,'#建筑消耗和buff配置索引'!$M:$M,0)))</f>
        <v>450</v>
      </c>
      <c r="AJ435" s="133" t="str">
        <f>IF(INDEX('#建筑消耗和buff配置索引'!BB:BB,MATCH($F435,'#建筑消耗和buff配置索引'!$M:$M,0))=0,"",INDEX('#建筑消耗和buff配置索引'!BB:BB,MATCH($F435,'#建筑消耗和buff配置索引'!$M:$M,0)))</f>
        <v/>
      </c>
      <c r="AK435" s="133" t="str">
        <f>IF(AJ435="","",INDEX('#建筑消耗和buff配置索引'!BC:BC,MATCH($F435,'#建筑消耗和buff配置索引'!$M:$M,0)))</f>
        <v/>
      </c>
      <c r="AN435" s="133" t="str">
        <f>IF(INDEX('#建筑消耗和buff配置索引'!BG:BG,MATCH($F435,'#建筑消耗和buff配置索引'!$M:$M,0))=0,"",INDEX('#建筑消耗和buff配置索引'!BG:BG,MATCH($F435,'#建筑消耗和buff配置索引'!$M:$M,0)))</f>
        <v/>
      </c>
      <c r="AO435" s="133" t="str">
        <f>IF(AN435="","",INDEX('#建筑消耗和buff配置索引'!BH:BH,MATCH($F435,'#建筑消耗和buff配置索引'!$M:$M,0)))</f>
        <v/>
      </c>
      <c r="AR435" s="133" t="str">
        <f>IF(INDEX('#建筑消耗和buff配置索引'!BK:BK,MATCH($F435,'#建筑消耗和buff配置索引'!$M:$M,0))=0,"",INDEX('#建筑消耗和buff配置索引'!BK:BK,MATCH($F435,'#建筑消耗和buff配置索引'!$M:$M,0)))</f>
        <v/>
      </c>
      <c r="AS435" s="133" t="str">
        <f>IF(AR435="","",INDEX('#建筑消耗和buff配置索引'!BL:BL,MATCH($F435,'#建筑消耗和buff配置索引'!$M:$M,0)))</f>
        <v/>
      </c>
      <c r="AV435" s="133" t="str">
        <f>IF(INDEX('#建筑消耗和buff配置索引'!BO:BO,MATCH($F435,'#建筑消耗和buff配置索引'!$M:$M,0))=0,"",INDEX('#建筑消耗和buff配置索引'!BO:BO,MATCH($F435,'#建筑消耗和buff配置索引'!$M:$M,0)))</f>
        <v/>
      </c>
      <c r="AW435" s="133" t="str">
        <f>IF(AV435="","",INDEX('#建筑消耗和buff配置索引'!BP:BP,MATCH($F435,'#建筑消耗和buff配置索引'!$M:$M,0)))</f>
        <v/>
      </c>
      <c r="AZ435" s="133" t="str">
        <f>IF(INDEX('#建筑消耗和buff配置索引'!BS:BS,MATCH($F435,'#建筑消耗和buff配置索引'!$M:$M,0))=0,"",INDEX('#建筑消耗和buff配置索引'!BS:BS,MATCH($F435,'#建筑消耗和buff配置索引'!$M:$M,0)))</f>
        <v/>
      </c>
      <c r="BA435" s="133" t="str">
        <f>IF(AZ435="","",INDEX('#建筑消耗和buff配置索引'!BT:BT,MATCH($F435,'#建筑消耗和buff配置索引'!$M:$M,0)))</f>
        <v/>
      </c>
      <c r="BD435" s="133" t="str">
        <f>IF(INDEX('#建筑消耗和buff配置索引'!BW:BW,MATCH($F435,'#建筑消耗和buff配置索引'!$M:$M,0))=0,"",INDEX('#建筑消耗和buff配置索引'!BW:BW,MATCH($F435,'#建筑消耗和buff配置索引'!$M:$M,0)))</f>
        <v/>
      </c>
      <c r="BE435" s="133" t="str">
        <f>IF(BD435="","",INDEX('#建筑消耗和buff配置索引'!BX:BX,MATCH($F435,'#建筑消耗和buff配置索引'!$M:$M,0)))</f>
        <v/>
      </c>
      <c r="BI435" s="133">
        <v>9</v>
      </c>
    </row>
    <row r="436" spans="1:62" s="133" customFormat="1">
      <c r="A436" s="133">
        <v>2320011</v>
      </c>
      <c r="B436" s="133">
        <v>433</v>
      </c>
      <c r="C436" s="133">
        <v>232</v>
      </c>
      <c r="D436" s="133" t="s">
        <v>319</v>
      </c>
      <c r="E436" s="133">
        <v>11</v>
      </c>
      <c r="F436" s="133" t="str">
        <f t="shared" si="7"/>
        <v>枪兵营11</v>
      </c>
      <c r="H436" s="146"/>
      <c r="I436" s="133">
        <v>1</v>
      </c>
      <c r="J436" s="150">
        <f>INDEX('#建筑消耗和buff配置索引'!AH:AH,MATCH($F436,'#建筑消耗和buff配置索引'!$M:$M,0))</f>
        <v>9720</v>
      </c>
      <c r="K436" s="150">
        <f>INDEX('#建筑消耗和buff配置索引'!AA:AA,MATCH($F436,'#建筑消耗和buff配置索引'!$M:$M,0))</f>
        <v>130000</v>
      </c>
      <c r="L436" s="150">
        <f>INDEX('#建筑消耗和buff配置索引'!AB:AB,MATCH($F436,'#建筑消耗和buff配置索引'!$M:$M,0))</f>
        <v>130000</v>
      </c>
      <c r="M436" s="150">
        <f>INDEX('#建筑消耗和buff配置索引'!AC:AC,MATCH($F436,'#建筑消耗和buff配置索引'!$M:$M,0))</f>
        <v>130000</v>
      </c>
      <c r="N436" s="150">
        <f>INDEX('#建筑消耗和buff配置索引'!AD:AD,MATCH($F436,'#建筑消耗和buff配置索引'!$M:$M,0))</f>
        <v>130000</v>
      </c>
      <c r="O436" s="150" t="str">
        <f>IF(INDEX('#建筑消耗和buff配置索引'!T:T,MATCH($F436,'#建筑消耗和buff配置索引'!$M:$M,0))=0,"",INDEX('#建筑消耗和buff配置索引'!T:T,MATCH($F436,'#建筑消耗和buff配置索引'!$M:$M,0)))</f>
        <v/>
      </c>
      <c r="P436" s="133" t="str">
        <f>IF(INDEX('#建筑消耗和buff配置索引'!U:U,MATCH($F436,'#建筑消耗和buff配置索引'!$M:$M,0))=0,"",INDEX('#建筑消耗和buff配置索引'!U:U,MATCH($F436,'#建筑消耗和buff配置索引'!$M:$M,0)))</f>
        <v/>
      </c>
      <c r="Q436" s="133" t="str">
        <f>IF(INDEX('#建筑消耗和buff配置索引'!K:K,MATCH($F436,'#建筑消耗和buff配置索引'!$M:$M,0))=0,"",INDEX('#建筑消耗和buff配置索引'!K:K,MATCH($F436,'#建筑消耗和buff配置索引'!$M:$M,0)))</f>
        <v>201;204</v>
      </c>
      <c r="R436" s="133" t="str">
        <f>IF(INDEX('#建筑消耗和buff配置索引'!L:L,MATCH($F436,'#建筑消耗和buff配置索引'!$M:$M,0))=0,"",INDEX('#建筑消耗和buff配置索引'!L:L,MATCH($F436,'#建筑消耗和buff配置索引'!$M:$M,0)))</f>
        <v>11;11</v>
      </c>
      <c r="S436" s="133">
        <f>IF(INDEX('#建筑消耗和buff配置索引'!C:C,MATCH(F436,'#建筑消耗和buff配置索引'!M:M,0))=0,1,INDEX('#建筑消耗和buff配置索引'!C:C,MATCH(F436,'#建筑消耗和buff配置索引'!M:M,0)))</f>
        <v>1</v>
      </c>
      <c r="T436" s="133">
        <v>0</v>
      </c>
      <c r="U436" s="133">
        <v>0</v>
      </c>
      <c r="V436" s="133" t="str">
        <f>IF(E436=1,IF(INDEX('#建筑消耗和buff配置索引'!BY:BY,MATCH(D436,'#建筑消耗和buff配置索引'!A:A,0))=0,"",INDEX('#建筑消耗和buff配置索引'!BY:BY,MATCH(D436,'#建筑消耗和buff配置索引'!A:A,0))),"")</f>
        <v/>
      </c>
      <c r="W436" s="133" t="str">
        <f>IF(E436=1,IF(INDEX('#建筑消耗和buff配置索引'!BZ:BZ,MATCH(D436,'#建筑消耗和buff配置索引'!A:A,0))=0,"",INDEX('#建筑消耗和buff配置索引'!BZ:BZ,MATCH(D436,'#建筑消耗和buff配置索引'!A:A,0))),"")</f>
        <v/>
      </c>
      <c r="AA436" s="133">
        <f>INDEX('#建筑消耗和buff配置索引'!AO:AO,MATCH($F436,'#建筑消耗和buff配置索引'!$M:$M,0))</f>
        <v>2770</v>
      </c>
      <c r="AB436" s="133">
        <f>IF(INDEX('#建筑消耗和buff配置索引'!AR:AR,MATCH($F436,'#建筑消耗和buff配置索引'!$M:$M,0))=0,"",INDEX('#建筑消耗和buff配置索引'!AR:AR,MATCH($F436,'#建筑消耗和buff配置索引'!$M:$M,0)))</f>
        <v>3000</v>
      </c>
      <c r="AC436" s="133">
        <f>IF(AB436="","",INDEX('#建筑消耗和buff配置索引'!AS:AS,MATCH($F436,'#建筑消耗和buff配置索引'!$M:$M,0)))</f>
        <v>0.05</v>
      </c>
      <c r="AF436" s="133">
        <f>IF(INDEX('#建筑消耗和buff配置索引'!AW:AW,MATCH($F436,'#建筑消耗和buff配置索引'!$M:$M,0))=0,"",INDEX('#建筑消耗和buff配置索引'!AW:AW,MATCH($F436,'#建筑消耗和buff配置索引'!$M:$M,0)))</f>
        <v>3016</v>
      </c>
      <c r="AG436" s="133">
        <f>IF(AF436="","",INDEX('#建筑消耗和buff配置索引'!AX:AX,MATCH($F436,'#建筑消耗和buff配置索引'!$M:$M,0)))</f>
        <v>500</v>
      </c>
      <c r="AJ436" s="133" t="str">
        <f>IF(INDEX('#建筑消耗和buff配置索引'!BB:BB,MATCH($F436,'#建筑消耗和buff配置索引'!$M:$M,0))=0,"",INDEX('#建筑消耗和buff配置索引'!BB:BB,MATCH($F436,'#建筑消耗和buff配置索引'!$M:$M,0)))</f>
        <v/>
      </c>
      <c r="AK436" s="133" t="str">
        <f>IF(AJ436="","",INDEX('#建筑消耗和buff配置索引'!BC:BC,MATCH($F436,'#建筑消耗和buff配置索引'!$M:$M,0)))</f>
        <v/>
      </c>
      <c r="AN436" s="133" t="str">
        <f>IF(INDEX('#建筑消耗和buff配置索引'!BG:BG,MATCH($F436,'#建筑消耗和buff配置索引'!$M:$M,0))=0,"",INDEX('#建筑消耗和buff配置索引'!BG:BG,MATCH($F436,'#建筑消耗和buff配置索引'!$M:$M,0)))</f>
        <v/>
      </c>
      <c r="AO436" s="133" t="str">
        <f>IF(AN436="","",INDEX('#建筑消耗和buff配置索引'!BH:BH,MATCH($F436,'#建筑消耗和buff配置索引'!$M:$M,0)))</f>
        <v/>
      </c>
      <c r="AR436" s="133" t="str">
        <f>IF(INDEX('#建筑消耗和buff配置索引'!BK:BK,MATCH($F436,'#建筑消耗和buff配置索引'!$M:$M,0))=0,"",INDEX('#建筑消耗和buff配置索引'!BK:BK,MATCH($F436,'#建筑消耗和buff配置索引'!$M:$M,0)))</f>
        <v/>
      </c>
      <c r="AS436" s="133" t="str">
        <f>IF(AR436="","",INDEX('#建筑消耗和buff配置索引'!BL:BL,MATCH($F436,'#建筑消耗和buff配置索引'!$M:$M,0)))</f>
        <v/>
      </c>
      <c r="AV436" s="133" t="str">
        <f>IF(INDEX('#建筑消耗和buff配置索引'!BO:BO,MATCH($F436,'#建筑消耗和buff配置索引'!$M:$M,0))=0,"",INDEX('#建筑消耗和buff配置索引'!BO:BO,MATCH($F436,'#建筑消耗和buff配置索引'!$M:$M,0)))</f>
        <v/>
      </c>
      <c r="AW436" s="133" t="str">
        <f>IF(AV436="","",INDEX('#建筑消耗和buff配置索引'!BP:BP,MATCH($F436,'#建筑消耗和buff配置索引'!$M:$M,0)))</f>
        <v/>
      </c>
      <c r="AZ436" s="133" t="str">
        <f>IF(INDEX('#建筑消耗和buff配置索引'!BS:BS,MATCH($F436,'#建筑消耗和buff配置索引'!$M:$M,0))=0,"",INDEX('#建筑消耗和buff配置索引'!BS:BS,MATCH($F436,'#建筑消耗和buff配置索引'!$M:$M,0)))</f>
        <v/>
      </c>
      <c r="BA436" s="133" t="str">
        <f>IF(AZ436="","",INDEX('#建筑消耗和buff配置索引'!BT:BT,MATCH($F436,'#建筑消耗和buff配置索引'!$M:$M,0)))</f>
        <v/>
      </c>
      <c r="BD436" s="133" t="str">
        <f>IF(INDEX('#建筑消耗和buff配置索引'!BW:BW,MATCH($F436,'#建筑消耗和buff配置索引'!$M:$M,0))=0,"",INDEX('#建筑消耗和buff配置索引'!BW:BW,MATCH($F436,'#建筑消耗和buff配置索引'!$M:$M,0)))</f>
        <v/>
      </c>
      <c r="BE436" s="133" t="str">
        <f>IF(BD436="","",INDEX('#建筑消耗和buff配置索引'!BX:BX,MATCH($F436,'#建筑消耗和buff配置索引'!$M:$M,0)))</f>
        <v/>
      </c>
      <c r="BI436" s="133">
        <v>9</v>
      </c>
    </row>
    <row r="437" spans="1:62" s="133" customFormat="1">
      <c r="A437" s="133">
        <v>2320012</v>
      </c>
      <c r="B437" s="133">
        <v>434</v>
      </c>
      <c r="C437" s="133">
        <v>232</v>
      </c>
      <c r="D437" s="133" t="s">
        <v>319</v>
      </c>
      <c r="E437" s="133">
        <v>12</v>
      </c>
      <c r="F437" s="133" t="str">
        <f t="shared" ref="F437:F530" si="8">D437&amp;E437</f>
        <v>枪兵营12</v>
      </c>
      <c r="H437" s="146"/>
      <c r="I437" s="133">
        <v>2</v>
      </c>
      <c r="J437" s="150">
        <f>INDEX('#建筑消耗和buff配置索引'!AH:AH,MATCH($F437,'#建筑消耗和buff配置索引'!$M:$M,0))</f>
        <v>12960</v>
      </c>
      <c r="K437" s="150">
        <f>INDEX('#建筑消耗和buff配置索引'!AA:AA,MATCH($F437,'#建筑消耗和buff配置索引'!$M:$M,0))</f>
        <v>190000</v>
      </c>
      <c r="L437" s="150">
        <f>INDEX('#建筑消耗和buff配置索引'!AB:AB,MATCH($F437,'#建筑消耗和buff配置索引'!$M:$M,0))</f>
        <v>190000</v>
      </c>
      <c r="M437" s="150">
        <f>INDEX('#建筑消耗和buff配置索引'!AC:AC,MATCH($F437,'#建筑消耗和buff配置索引'!$M:$M,0))</f>
        <v>190000</v>
      </c>
      <c r="N437" s="150">
        <f>INDEX('#建筑消耗和buff配置索引'!AD:AD,MATCH($F437,'#建筑消耗和buff配置索引'!$M:$M,0))</f>
        <v>190000</v>
      </c>
      <c r="O437" s="150" t="str">
        <f>IF(INDEX('#建筑消耗和buff配置索引'!T:T,MATCH($F437,'#建筑消耗和buff配置索引'!$M:$M,0))=0,"",INDEX('#建筑消耗和buff配置索引'!T:T,MATCH($F437,'#建筑消耗和buff配置索引'!$M:$M,0)))</f>
        <v/>
      </c>
      <c r="P437" s="133" t="str">
        <f>IF(INDEX('#建筑消耗和buff配置索引'!U:U,MATCH($F437,'#建筑消耗和buff配置索引'!$M:$M,0))=0,"",INDEX('#建筑消耗和buff配置索引'!U:U,MATCH($F437,'#建筑消耗和buff配置索引'!$M:$M,0)))</f>
        <v/>
      </c>
      <c r="Q437" s="133" t="str">
        <f>IF(INDEX('#建筑消耗和buff配置索引'!K:K,MATCH($F437,'#建筑消耗和buff配置索引'!$M:$M,0))=0,"",INDEX('#建筑消耗和buff配置索引'!K:K,MATCH($F437,'#建筑消耗和buff配置索引'!$M:$M,0)))</f>
        <v>201;204</v>
      </c>
      <c r="R437" s="133" t="str">
        <f>IF(INDEX('#建筑消耗和buff配置索引'!L:L,MATCH($F437,'#建筑消耗和buff配置索引'!$M:$M,0))=0,"",INDEX('#建筑消耗和buff配置索引'!L:L,MATCH($F437,'#建筑消耗和buff配置索引'!$M:$M,0)))</f>
        <v>12;12</v>
      </c>
      <c r="S437" s="133">
        <f>IF(INDEX('#建筑消耗和buff配置索引'!C:C,MATCH(F437,'#建筑消耗和buff配置索引'!M:M,0))=0,1,INDEX('#建筑消耗和buff配置索引'!C:C,MATCH(F437,'#建筑消耗和buff配置索引'!M:M,0)))</f>
        <v>1</v>
      </c>
      <c r="T437" s="133">
        <v>0</v>
      </c>
      <c r="U437" s="133">
        <v>0</v>
      </c>
      <c r="V437" s="133" t="str">
        <f>IF(E437=1,IF(INDEX('#建筑消耗和buff配置索引'!BY:BY,MATCH(D437,'#建筑消耗和buff配置索引'!A:A,0))=0,"",INDEX('#建筑消耗和buff配置索引'!BY:BY,MATCH(D437,'#建筑消耗和buff配置索引'!A:A,0))),"")</f>
        <v/>
      </c>
      <c r="W437" s="133" t="str">
        <f>IF(E437=1,IF(INDEX('#建筑消耗和buff配置索引'!BZ:BZ,MATCH(D437,'#建筑消耗和buff配置索引'!A:A,0))=0,"",INDEX('#建筑消耗和buff配置索引'!BZ:BZ,MATCH(D437,'#建筑消耗和buff配置索引'!A:A,0))),"")</f>
        <v/>
      </c>
      <c r="AA437" s="133">
        <f>INDEX('#建筑消耗和buff配置索引'!AO:AO,MATCH($F437,'#建筑消耗和buff配置索引'!$M:$M,0))</f>
        <v>4273</v>
      </c>
      <c r="AB437" s="133">
        <f>IF(INDEX('#建筑消耗和buff配置索引'!AR:AR,MATCH($F437,'#建筑消耗和buff配置索引'!$M:$M,0))=0,"",INDEX('#建筑消耗和buff配置索引'!AR:AR,MATCH($F437,'#建筑消耗和buff配置索引'!$M:$M,0)))</f>
        <v>3000</v>
      </c>
      <c r="AC437" s="133">
        <f>IF(AB437="","",INDEX('#建筑消耗和buff配置索引'!AS:AS,MATCH($F437,'#建筑消耗和buff配置索引'!$M:$M,0)))</f>
        <v>5.5E-2</v>
      </c>
      <c r="AF437" s="133">
        <f>IF(INDEX('#建筑消耗和buff配置索引'!AW:AW,MATCH($F437,'#建筑消耗和buff配置索引'!$M:$M,0))=0,"",INDEX('#建筑消耗和buff配置索引'!AW:AW,MATCH($F437,'#建筑消耗和buff配置索引'!$M:$M,0)))</f>
        <v>3016</v>
      </c>
      <c r="AG437" s="133">
        <f>IF(AF437="","",INDEX('#建筑消耗和buff配置索引'!AX:AX,MATCH($F437,'#建筑消耗和buff配置索引'!$M:$M,0)))</f>
        <v>550</v>
      </c>
      <c r="AJ437" s="133" t="str">
        <f>IF(INDEX('#建筑消耗和buff配置索引'!BB:BB,MATCH($F437,'#建筑消耗和buff配置索引'!$M:$M,0))=0,"",INDEX('#建筑消耗和buff配置索引'!BB:BB,MATCH($F437,'#建筑消耗和buff配置索引'!$M:$M,0)))</f>
        <v/>
      </c>
      <c r="AK437" s="133" t="str">
        <f>IF(AJ437="","",INDEX('#建筑消耗和buff配置索引'!BC:BC,MATCH($F437,'#建筑消耗和buff配置索引'!$M:$M,0)))</f>
        <v/>
      </c>
      <c r="AN437" s="133" t="str">
        <f>IF(INDEX('#建筑消耗和buff配置索引'!BG:BG,MATCH($F437,'#建筑消耗和buff配置索引'!$M:$M,0))=0,"",INDEX('#建筑消耗和buff配置索引'!BG:BG,MATCH($F437,'#建筑消耗和buff配置索引'!$M:$M,0)))</f>
        <v/>
      </c>
      <c r="AO437" s="133" t="str">
        <f>IF(AN437="","",INDEX('#建筑消耗和buff配置索引'!BH:BH,MATCH($F437,'#建筑消耗和buff配置索引'!$M:$M,0)))</f>
        <v/>
      </c>
      <c r="AR437" s="133" t="str">
        <f>IF(INDEX('#建筑消耗和buff配置索引'!BK:BK,MATCH($F437,'#建筑消耗和buff配置索引'!$M:$M,0))=0,"",INDEX('#建筑消耗和buff配置索引'!BK:BK,MATCH($F437,'#建筑消耗和buff配置索引'!$M:$M,0)))</f>
        <v/>
      </c>
      <c r="AS437" s="133" t="str">
        <f>IF(AR437="","",INDEX('#建筑消耗和buff配置索引'!BL:BL,MATCH($F437,'#建筑消耗和buff配置索引'!$M:$M,0)))</f>
        <v/>
      </c>
      <c r="AV437" s="133" t="str">
        <f>IF(INDEX('#建筑消耗和buff配置索引'!BO:BO,MATCH($F437,'#建筑消耗和buff配置索引'!$M:$M,0))=0,"",INDEX('#建筑消耗和buff配置索引'!BO:BO,MATCH($F437,'#建筑消耗和buff配置索引'!$M:$M,0)))</f>
        <v/>
      </c>
      <c r="AW437" s="133" t="str">
        <f>IF(AV437="","",INDEX('#建筑消耗和buff配置索引'!BP:BP,MATCH($F437,'#建筑消耗和buff配置索引'!$M:$M,0)))</f>
        <v/>
      </c>
      <c r="AZ437" s="133" t="str">
        <f>IF(INDEX('#建筑消耗和buff配置索引'!BS:BS,MATCH($F437,'#建筑消耗和buff配置索引'!$M:$M,0))=0,"",INDEX('#建筑消耗和buff配置索引'!BS:BS,MATCH($F437,'#建筑消耗和buff配置索引'!$M:$M,0)))</f>
        <v/>
      </c>
      <c r="BA437" s="133" t="str">
        <f>IF(AZ437="","",INDEX('#建筑消耗和buff配置索引'!BT:BT,MATCH($F437,'#建筑消耗和buff配置索引'!$M:$M,0)))</f>
        <v/>
      </c>
      <c r="BD437" s="133" t="str">
        <f>IF(INDEX('#建筑消耗和buff配置索引'!BW:BW,MATCH($F437,'#建筑消耗和buff配置索引'!$M:$M,0))=0,"",INDEX('#建筑消耗和buff配置索引'!BW:BW,MATCH($F437,'#建筑消耗和buff配置索引'!$M:$M,0)))</f>
        <v/>
      </c>
      <c r="BE437" s="133" t="str">
        <f>IF(BD437="","",INDEX('#建筑消耗和buff配置索引'!BX:BX,MATCH($F437,'#建筑消耗和buff配置索引'!$M:$M,0)))</f>
        <v/>
      </c>
      <c r="BI437" s="133">
        <v>9</v>
      </c>
    </row>
    <row r="438" spans="1:62" s="133" customFormat="1">
      <c r="A438" s="133">
        <v>2320013</v>
      </c>
      <c r="B438" s="133">
        <v>435</v>
      </c>
      <c r="C438" s="133">
        <v>232</v>
      </c>
      <c r="D438" s="133" t="s">
        <v>319</v>
      </c>
      <c r="E438" s="133">
        <v>13</v>
      </c>
      <c r="F438" s="133" t="str">
        <f t="shared" si="8"/>
        <v>枪兵营13</v>
      </c>
      <c r="H438" s="146"/>
      <c r="I438" s="133">
        <v>2</v>
      </c>
      <c r="J438" s="150">
        <f>INDEX('#建筑消耗和buff配置索引'!AH:AH,MATCH($F438,'#建筑消耗和buff配置索引'!$M:$M,0))</f>
        <v>17280</v>
      </c>
      <c r="K438" s="150">
        <f>INDEX('#建筑消耗和buff配置索引'!AA:AA,MATCH($F438,'#建筑消耗和buff配置索引'!$M:$M,0))</f>
        <v>260000</v>
      </c>
      <c r="L438" s="150">
        <f>INDEX('#建筑消耗和buff配置索引'!AB:AB,MATCH($F438,'#建筑消耗和buff配置索引'!$M:$M,0))</f>
        <v>260000</v>
      </c>
      <c r="M438" s="150">
        <f>INDEX('#建筑消耗和buff配置索引'!AC:AC,MATCH($F438,'#建筑消耗和buff配置索引'!$M:$M,0))</f>
        <v>260000</v>
      </c>
      <c r="N438" s="150">
        <f>INDEX('#建筑消耗和buff配置索引'!AD:AD,MATCH($F438,'#建筑消耗和buff配置索引'!$M:$M,0))</f>
        <v>260000</v>
      </c>
      <c r="O438" s="150" t="str">
        <f>IF(INDEX('#建筑消耗和buff配置索引'!T:T,MATCH($F438,'#建筑消耗和buff配置索引'!$M:$M,0))=0,"",INDEX('#建筑消耗和buff配置索引'!T:T,MATCH($F438,'#建筑消耗和buff配置索引'!$M:$M,0)))</f>
        <v/>
      </c>
      <c r="P438" s="133" t="str">
        <f>IF(INDEX('#建筑消耗和buff配置索引'!U:U,MATCH($F438,'#建筑消耗和buff配置索引'!$M:$M,0))=0,"",INDEX('#建筑消耗和buff配置索引'!U:U,MATCH($F438,'#建筑消耗和buff配置索引'!$M:$M,0)))</f>
        <v/>
      </c>
      <c r="Q438" s="133" t="str">
        <f>IF(INDEX('#建筑消耗和buff配置索引'!K:K,MATCH($F438,'#建筑消耗和buff配置索引'!$M:$M,0))=0,"",INDEX('#建筑消耗和buff配置索引'!K:K,MATCH($F438,'#建筑消耗和buff配置索引'!$M:$M,0)))</f>
        <v>201;204</v>
      </c>
      <c r="R438" s="133" t="str">
        <f>IF(INDEX('#建筑消耗和buff配置索引'!L:L,MATCH($F438,'#建筑消耗和buff配置索引'!$M:$M,0))=0,"",INDEX('#建筑消耗和buff配置索引'!L:L,MATCH($F438,'#建筑消耗和buff配置索引'!$M:$M,0)))</f>
        <v>13;13</v>
      </c>
      <c r="S438" s="133">
        <f>IF(INDEX('#建筑消耗和buff配置索引'!C:C,MATCH(F438,'#建筑消耗和buff配置索引'!M:M,0))=0,1,INDEX('#建筑消耗和buff配置索引'!C:C,MATCH(F438,'#建筑消耗和buff配置索引'!M:M,0)))</f>
        <v>1</v>
      </c>
      <c r="T438" s="133">
        <v>0</v>
      </c>
      <c r="U438" s="133">
        <v>0</v>
      </c>
      <c r="V438" s="133" t="str">
        <f>IF(E438=1,IF(INDEX('#建筑消耗和buff配置索引'!BY:BY,MATCH(D438,'#建筑消耗和buff配置索引'!A:A,0))=0,"",INDEX('#建筑消耗和buff配置索引'!BY:BY,MATCH(D438,'#建筑消耗和buff配置索引'!A:A,0))),"")</f>
        <v/>
      </c>
      <c r="W438" s="133" t="str">
        <f>IF(E438=1,IF(INDEX('#建筑消耗和buff配置索引'!BZ:BZ,MATCH(D438,'#建筑消耗和buff配置索引'!A:A,0))=0,"",INDEX('#建筑消耗和buff配置索引'!BZ:BZ,MATCH(D438,'#建筑消耗和buff配置索引'!A:A,0))),"")</f>
        <v/>
      </c>
      <c r="AA438" s="133">
        <f>INDEX('#建筑消耗和buff配置索引'!AO:AO,MATCH($F438,'#建筑消耗和buff配置索引'!$M:$M,0))</f>
        <v>6333</v>
      </c>
      <c r="AB438" s="133">
        <f>IF(INDEX('#建筑消耗和buff配置索引'!AR:AR,MATCH($F438,'#建筑消耗和buff配置索引'!$M:$M,0))=0,"",INDEX('#建筑消耗和buff配置索引'!AR:AR,MATCH($F438,'#建筑消耗和buff配置索引'!$M:$M,0)))</f>
        <v>3000</v>
      </c>
      <c r="AC438" s="133">
        <f>IF(AB438="","",INDEX('#建筑消耗和buff配置索引'!AS:AS,MATCH($F438,'#建筑消耗和buff配置索引'!$M:$M,0)))</f>
        <v>0.06</v>
      </c>
      <c r="AF438" s="133">
        <f>IF(INDEX('#建筑消耗和buff配置索引'!AW:AW,MATCH($F438,'#建筑消耗和buff配置索引'!$M:$M,0))=0,"",INDEX('#建筑消耗和buff配置索引'!AW:AW,MATCH($F438,'#建筑消耗和buff配置索引'!$M:$M,0)))</f>
        <v>3016</v>
      </c>
      <c r="AG438" s="133">
        <f>IF(AF438="","",INDEX('#建筑消耗和buff配置索引'!AX:AX,MATCH($F438,'#建筑消耗和buff配置索引'!$M:$M,0)))</f>
        <v>600</v>
      </c>
      <c r="AJ438" s="133" t="str">
        <f>IF(INDEX('#建筑消耗和buff配置索引'!BB:BB,MATCH($F438,'#建筑消耗和buff配置索引'!$M:$M,0))=0,"",INDEX('#建筑消耗和buff配置索引'!BB:BB,MATCH($F438,'#建筑消耗和buff配置索引'!$M:$M,0)))</f>
        <v/>
      </c>
      <c r="AK438" s="133" t="str">
        <f>IF(AJ438="","",INDEX('#建筑消耗和buff配置索引'!BC:BC,MATCH($F438,'#建筑消耗和buff配置索引'!$M:$M,0)))</f>
        <v/>
      </c>
      <c r="AN438" s="133" t="str">
        <f>IF(INDEX('#建筑消耗和buff配置索引'!BG:BG,MATCH($F438,'#建筑消耗和buff配置索引'!$M:$M,0))=0,"",INDEX('#建筑消耗和buff配置索引'!BG:BG,MATCH($F438,'#建筑消耗和buff配置索引'!$M:$M,0)))</f>
        <v/>
      </c>
      <c r="AO438" s="133" t="str">
        <f>IF(AN438="","",INDEX('#建筑消耗和buff配置索引'!BH:BH,MATCH($F438,'#建筑消耗和buff配置索引'!$M:$M,0)))</f>
        <v/>
      </c>
      <c r="AR438" s="133" t="str">
        <f>IF(INDEX('#建筑消耗和buff配置索引'!BK:BK,MATCH($F438,'#建筑消耗和buff配置索引'!$M:$M,0))=0,"",INDEX('#建筑消耗和buff配置索引'!BK:BK,MATCH($F438,'#建筑消耗和buff配置索引'!$M:$M,0)))</f>
        <v/>
      </c>
      <c r="AS438" s="133" t="str">
        <f>IF(AR438="","",INDEX('#建筑消耗和buff配置索引'!BL:BL,MATCH($F438,'#建筑消耗和buff配置索引'!$M:$M,0)))</f>
        <v/>
      </c>
      <c r="AV438" s="133" t="str">
        <f>IF(INDEX('#建筑消耗和buff配置索引'!BO:BO,MATCH($F438,'#建筑消耗和buff配置索引'!$M:$M,0))=0,"",INDEX('#建筑消耗和buff配置索引'!BO:BO,MATCH($F438,'#建筑消耗和buff配置索引'!$M:$M,0)))</f>
        <v/>
      </c>
      <c r="AW438" s="133" t="str">
        <f>IF(AV438="","",INDEX('#建筑消耗和buff配置索引'!BP:BP,MATCH($F438,'#建筑消耗和buff配置索引'!$M:$M,0)))</f>
        <v/>
      </c>
      <c r="AZ438" s="133" t="str">
        <f>IF(INDEX('#建筑消耗和buff配置索引'!BS:BS,MATCH($F438,'#建筑消耗和buff配置索引'!$M:$M,0))=0,"",INDEX('#建筑消耗和buff配置索引'!BS:BS,MATCH($F438,'#建筑消耗和buff配置索引'!$M:$M,0)))</f>
        <v/>
      </c>
      <c r="BA438" s="133" t="str">
        <f>IF(AZ438="","",INDEX('#建筑消耗和buff配置索引'!BT:BT,MATCH($F438,'#建筑消耗和buff配置索引'!$M:$M,0)))</f>
        <v/>
      </c>
      <c r="BD438" s="133" t="str">
        <f>IF(INDEX('#建筑消耗和buff配置索引'!BW:BW,MATCH($F438,'#建筑消耗和buff配置索引'!$M:$M,0))=0,"",INDEX('#建筑消耗和buff配置索引'!BW:BW,MATCH($F438,'#建筑消耗和buff配置索引'!$M:$M,0)))</f>
        <v/>
      </c>
      <c r="BE438" s="133" t="str">
        <f>IF(BD438="","",INDEX('#建筑消耗和buff配置索引'!BX:BX,MATCH($F438,'#建筑消耗和buff配置索引'!$M:$M,0)))</f>
        <v/>
      </c>
      <c r="BI438" s="133">
        <v>9</v>
      </c>
    </row>
    <row r="439" spans="1:62" s="133" customFormat="1">
      <c r="A439" s="133">
        <v>2320014</v>
      </c>
      <c r="B439" s="133">
        <v>436</v>
      </c>
      <c r="C439" s="133">
        <v>232</v>
      </c>
      <c r="D439" s="133" t="s">
        <v>319</v>
      </c>
      <c r="E439" s="133">
        <v>14</v>
      </c>
      <c r="F439" s="133" t="str">
        <f t="shared" si="8"/>
        <v>枪兵营14</v>
      </c>
      <c r="H439" s="146"/>
      <c r="I439" s="133">
        <v>2</v>
      </c>
      <c r="J439" s="150">
        <f>INDEX('#建筑消耗和buff配置索引'!AH:AH,MATCH($F439,'#建筑消耗和buff配置索引'!$M:$M,0))</f>
        <v>21600</v>
      </c>
      <c r="K439" s="150">
        <f>INDEX('#建筑消耗和buff配置索引'!AA:AA,MATCH($F439,'#建筑消耗和buff配置索引'!$M:$M,0))</f>
        <v>330000</v>
      </c>
      <c r="L439" s="150">
        <f>INDEX('#建筑消耗和buff配置索引'!AB:AB,MATCH($F439,'#建筑消耗和buff配置索引'!$M:$M,0))</f>
        <v>330000</v>
      </c>
      <c r="M439" s="150">
        <f>INDEX('#建筑消耗和buff配置索引'!AC:AC,MATCH($F439,'#建筑消耗和buff配置索引'!$M:$M,0))</f>
        <v>330000</v>
      </c>
      <c r="N439" s="150">
        <f>INDEX('#建筑消耗和buff配置索引'!AD:AD,MATCH($F439,'#建筑消耗和buff配置索引'!$M:$M,0))</f>
        <v>330000</v>
      </c>
      <c r="O439" s="150" t="str">
        <f>IF(INDEX('#建筑消耗和buff配置索引'!T:T,MATCH($F439,'#建筑消耗和buff配置索引'!$M:$M,0))=0,"",INDEX('#建筑消耗和buff配置索引'!T:T,MATCH($F439,'#建筑消耗和buff配置索引'!$M:$M,0)))</f>
        <v/>
      </c>
      <c r="P439" s="133" t="str">
        <f>IF(INDEX('#建筑消耗和buff配置索引'!U:U,MATCH($F439,'#建筑消耗和buff配置索引'!$M:$M,0))=0,"",INDEX('#建筑消耗和buff配置索引'!U:U,MATCH($F439,'#建筑消耗和buff配置索引'!$M:$M,0)))</f>
        <v/>
      </c>
      <c r="Q439" s="133" t="str">
        <f>IF(INDEX('#建筑消耗和buff配置索引'!K:K,MATCH($F439,'#建筑消耗和buff配置索引'!$M:$M,0))=0,"",INDEX('#建筑消耗和buff配置索引'!K:K,MATCH($F439,'#建筑消耗和buff配置索引'!$M:$M,0)))</f>
        <v>201;204</v>
      </c>
      <c r="R439" s="133" t="str">
        <f>IF(INDEX('#建筑消耗和buff配置索引'!L:L,MATCH($F439,'#建筑消耗和buff配置索引'!$M:$M,0))=0,"",INDEX('#建筑消耗和buff配置索引'!L:L,MATCH($F439,'#建筑消耗和buff配置索引'!$M:$M,0)))</f>
        <v>14;14</v>
      </c>
      <c r="S439" s="133">
        <f>IF(INDEX('#建筑消耗和buff配置索引'!C:C,MATCH(F439,'#建筑消耗和buff配置索引'!M:M,0))=0,1,INDEX('#建筑消耗和buff配置索引'!C:C,MATCH(F439,'#建筑消耗和buff配置索引'!M:M,0)))</f>
        <v>1</v>
      </c>
      <c r="T439" s="133">
        <v>0</v>
      </c>
      <c r="U439" s="133">
        <v>0</v>
      </c>
      <c r="V439" s="133" t="str">
        <f>IF(E439=1,IF(INDEX('#建筑消耗和buff配置索引'!BY:BY,MATCH(D439,'#建筑消耗和buff配置索引'!A:A,0))=0,"",INDEX('#建筑消耗和buff配置索引'!BY:BY,MATCH(D439,'#建筑消耗和buff配置索引'!A:A,0))),"")</f>
        <v/>
      </c>
      <c r="W439" s="133" t="str">
        <f>IF(E439=1,IF(INDEX('#建筑消耗和buff配置索引'!BZ:BZ,MATCH(D439,'#建筑消耗和buff配置索引'!A:A,0))=0,"",INDEX('#建筑消耗和buff配置索引'!BZ:BZ,MATCH(D439,'#建筑消耗和buff配置索引'!A:A,0))),"")</f>
        <v/>
      </c>
      <c r="AA439" s="133">
        <f>INDEX('#建筑消耗和buff配置索引'!AO:AO,MATCH($F439,'#建筑消耗和buff配置索引'!$M:$M,0))</f>
        <v>9011</v>
      </c>
      <c r="AB439" s="133">
        <f>IF(INDEX('#建筑消耗和buff配置索引'!AR:AR,MATCH($F439,'#建筑消耗和buff配置索引'!$M:$M,0))=0,"",INDEX('#建筑消耗和buff配置索引'!AR:AR,MATCH($F439,'#建筑消耗和buff配置索引'!$M:$M,0)))</f>
        <v>3000</v>
      </c>
      <c r="AC439" s="133">
        <f>IF(AB439="","",INDEX('#建筑消耗和buff配置索引'!AS:AS,MATCH($F439,'#建筑消耗和buff配置索引'!$M:$M,0)))</f>
        <v>6.5000000000000002E-2</v>
      </c>
      <c r="AF439" s="133">
        <f>IF(INDEX('#建筑消耗和buff配置索引'!AW:AW,MATCH($F439,'#建筑消耗和buff配置索引'!$M:$M,0))=0,"",INDEX('#建筑消耗和buff配置索引'!AW:AW,MATCH($F439,'#建筑消耗和buff配置索引'!$M:$M,0)))</f>
        <v>3016</v>
      </c>
      <c r="AG439" s="133">
        <f>IF(AF439="","",INDEX('#建筑消耗和buff配置索引'!AX:AX,MATCH($F439,'#建筑消耗和buff配置索引'!$M:$M,0)))</f>
        <v>650</v>
      </c>
      <c r="AJ439" s="133" t="str">
        <f>IF(INDEX('#建筑消耗和buff配置索引'!BB:BB,MATCH($F439,'#建筑消耗和buff配置索引'!$M:$M,0))=0,"",INDEX('#建筑消耗和buff配置索引'!BB:BB,MATCH($F439,'#建筑消耗和buff配置索引'!$M:$M,0)))</f>
        <v/>
      </c>
      <c r="AK439" s="133" t="str">
        <f>IF(AJ439="","",INDEX('#建筑消耗和buff配置索引'!BC:BC,MATCH($F439,'#建筑消耗和buff配置索引'!$M:$M,0)))</f>
        <v/>
      </c>
      <c r="AN439" s="133" t="str">
        <f>IF(INDEX('#建筑消耗和buff配置索引'!BG:BG,MATCH($F439,'#建筑消耗和buff配置索引'!$M:$M,0))=0,"",INDEX('#建筑消耗和buff配置索引'!BG:BG,MATCH($F439,'#建筑消耗和buff配置索引'!$M:$M,0)))</f>
        <v/>
      </c>
      <c r="AO439" s="133" t="str">
        <f>IF(AN439="","",INDEX('#建筑消耗和buff配置索引'!BH:BH,MATCH($F439,'#建筑消耗和buff配置索引'!$M:$M,0)))</f>
        <v/>
      </c>
      <c r="AR439" s="133" t="str">
        <f>IF(INDEX('#建筑消耗和buff配置索引'!BK:BK,MATCH($F439,'#建筑消耗和buff配置索引'!$M:$M,0))=0,"",INDEX('#建筑消耗和buff配置索引'!BK:BK,MATCH($F439,'#建筑消耗和buff配置索引'!$M:$M,0)))</f>
        <v/>
      </c>
      <c r="AS439" s="133" t="str">
        <f>IF(AR439="","",INDEX('#建筑消耗和buff配置索引'!BL:BL,MATCH($F439,'#建筑消耗和buff配置索引'!$M:$M,0)))</f>
        <v/>
      </c>
      <c r="AV439" s="133" t="str">
        <f>IF(INDEX('#建筑消耗和buff配置索引'!BO:BO,MATCH($F439,'#建筑消耗和buff配置索引'!$M:$M,0))=0,"",INDEX('#建筑消耗和buff配置索引'!BO:BO,MATCH($F439,'#建筑消耗和buff配置索引'!$M:$M,0)))</f>
        <v/>
      </c>
      <c r="AW439" s="133" t="str">
        <f>IF(AV439="","",INDEX('#建筑消耗和buff配置索引'!BP:BP,MATCH($F439,'#建筑消耗和buff配置索引'!$M:$M,0)))</f>
        <v/>
      </c>
      <c r="AZ439" s="133" t="str">
        <f>IF(INDEX('#建筑消耗和buff配置索引'!BS:BS,MATCH($F439,'#建筑消耗和buff配置索引'!$M:$M,0))=0,"",INDEX('#建筑消耗和buff配置索引'!BS:BS,MATCH($F439,'#建筑消耗和buff配置索引'!$M:$M,0)))</f>
        <v/>
      </c>
      <c r="BA439" s="133" t="str">
        <f>IF(AZ439="","",INDEX('#建筑消耗和buff配置索引'!BT:BT,MATCH($F439,'#建筑消耗和buff配置索引'!$M:$M,0)))</f>
        <v/>
      </c>
      <c r="BD439" s="133" t="str">
        <f>IF(INDEX('#建筑消耗和buff配置索引'!BW:BW,MATCH($F439,'#建筑消耗和buff配置索引'!$M:$M,0))=0,"",INDEX('#建筑消耗和buff配置索引'!BW:BW,MATCH($F439,'#建筑消耗和buff配置索引'!$M:$M,0)))</f>
        <v/>
      </c>
      <c r="BE439" s="133" t="str">
        <f>IF(BD439="","",INDEX('#建筑消耗和buff配置索引'!BX:BX,MATCH($F439,'#建筑消耗和buff配置索引'!$M:$M,0)))</f>
        <v/>
      </c>
      <c r="BI439" s="133">
        <v>9</v>
      </c>
    </row>
    <row r="440" spans="1:62" s="133" customFormat="1">
      <c r="A440" s="133">
        <v>2320015</v>
      </c>
      <c r="B440" s="133">
        <v>437</v>
      </c>
      <c r="C440" s="133">
        <v>232</v>
      </c>
      <c r="D440" s="133" t="s">
        <v>319</v>
      </c>
      <c r="E440" s="133">
        <v>15</v>
      </c>
      <c r="F440" s="133" t="str">
        <f t="shared" si="8"/>
        <v>枪兵营15</v>
      </c>
      <c r="H440" s="146"/>
      <c r="I440" s="133">
        <v>2</v>
      </c>
      <c r="J440" s="150">
        <f>INDEX('#建筑消耗和buff配置索引'!AH:AH,MATCH($F440,'#建筑消耗和buff配置索引'!$M:$M,0))</f>
        <v>25920</v>
      </c>
      <c r="K440" s="150">
        <f>INDEX('#建筑消耗和buff配置索引'!AA:AA,MATCH($F440,'#建筑消耗和buff配置索引'!$M:$M,0))</f>
        <v>430000</v>
      </c>
      <c r="L440" s="150">
        <f>INDEX('#建筑消耗和buff配置索引'!AB:AB,MATCH($F440,'#建筑消耗和buff配置索引'!$M:$M,0))</f>
        <v>430000</v>
      </c>
      <c r="M440" s="150">
        <f>INDEX('#建筑消耗和buff配置索引'!AC:AC,MATCH($F440,'#建筑消耗和buff配置索引'!$M:$M,0))</f>
        <v>430000</v>
      </c>
      <c r="N440" s="150">
        <f>INDEX('#建筑消耗和buff配置索引'!AD:AD,MATCH($F440,'#建筑消耗和buff配置索引'!$M:$M,0))</f>
        <v>430000</v>
      </c>
      <c r="O440" s="150" t="str">
        <f>IF(INDEX('#建筑消耗和buff配置索引'!T:T,MATCH($F440,'#建筑消耗和buff配置索引'!$M:$M,0))=0,"",INDEX('#建筑消耗和buff配置索引'!T:T,MATCH($F440,'#建筑消耗和buff配置索引'!$M:$M,0)))</f>
        <v/>
      </c>
      <c r="P440" s="133" t="str">
        <f>IF(INDEX('#建筑消耗和buff配置索引'!U:U,MATCH($F440,'#建筑消耗和buff配置索引'!$M:$M,0))=0,"",INDEX('#建筑消耗和buff配置索引'!U:U,MATCH($F440,'#建筑消耗和buff配置索引'!$M:$M,0)))</f>
        <v/>
      </c>
      <c r="Q440" s="133" t="str">
        <f>IF(INDEX('#建筑消耗和buff配置索引'!K:K,MATCH($F440,'#建筑消耗和buff配置索引'!$M:$M,0))=0,"",INDEX('#建筑消耗和buff配置索引'!K:K,MATCH($F440,'#建筑消耗和buff配置索引'!$M:$M,0)))</f>
        <v>201;204</v>
      </c>
      <c r="R440" s="133" t="str">
        <f>IF(INDEX('#建筑消耗和buff配置索引'!L:L,MATCH($F440,'#建筑消耗和buff配置索引'!$M:$M,0))=0,"",INDEX('#建筑消耗和buff配置索引'!L:L,MATCH($F440,'#建筑消耗和buff配置索引'!$M:$M,0)))</f>
        <v>15;15</v>
      </c>
      <c r="S440" s="133">
        <f>IF(INDEX('#建筑消耗和buff配置索引'!C:C,MATCH(F440,'#建筑消耗和buff配置索引'!M:M,0))=0,1,INDEX('#建筑消耗和buff配置索引'!C:C,MATCH(F440,'#建筑消耗和buff配置索引'!M:M,0)))</f>
        <v>1</v>
      </c>
      <c r="T440" s="133">
        <v>0</v>
      </c>
      <c r="U440" s="133">
        <v>0</v>
      </c>
      <c r="V440" s="133" t="str">
        <f>IF(E440=1,IF(INDEX('#建筑消耗和buff配置索引'!BY:BY,MATCH(D440,'#建筑消耗和buff配置索引'!A:A,0))=0,"",INDEX('#建筑消耗和buff配置索引'!BY:BY,MATCH(D440,'#建筑消耗和buff配置索引'!A:A,0))),"")</f>
        <v/>
      </c>
      <c r="W440" s="133" t="str">
        <f>IF(E440=1,IF(INDEX('#建筑消耗和buff配置索引'!BZ:BZ,MATCH(D440,'#建筑消耗和buff配置索引'!A:A,0))=0,"",INDEX('#建筑消耗和buff配置索引'!BZ:BZ,MATCH(D440,'#建筑消耗和buff配置索引'!A:A,0))),"")</f>
        <v/>
      </c>
      <c r="AA440" s="133">
        <f>INDEX('#建筑消耗和buff配置索引'!AO:AO,MATCH($F440,'#建筑消耗和buff配置索引'!$M:$M,0))</f>
        <v>12439</v>
      </c>
      <c r="AB440" s="133">
        <f>IF(INDEX('#建筑消耗和buff配置索引'!AR:AR,MATCH($F440,'#建筑消耗和buff配置索引'!$M:$M,0))=0,"",INDEX('#建筑消耗和buff配置索引'!AR:AR,MATCH($F440,'#建筑消耗和buff配置索引'!$M:$M,0)))</f>
        <v>3000</v>
      </c>
      <c r="AC440" s="133">
        <f>IF(AB440="","",INDEX('#建筑消耗和buff配置索引'!AS:AS,MATCH($F440,'#建筑消耗和buff配置索引'!$M:$M,0)))</f>
        <v>7.0000000000000007E-2</v>
      </c>
      <c r="AF440" s="133">
        <f>IF(INDEX('#建筑消耗和buff配置索引'!AW:AW,MATCH($F440,'#建筑消耗和buff配置索引'!$M:$M,0))=0,"",INDEX('#建筑消耗和buff配置索引'!AW:AW,MATCH($F440,'#建筑消耗和buff配置索引'!$M:$M,0)))</f>
        <v>3016</v>
      </c>
      <c r="AG440" s="133">
        <f>IF(AF440="","",INDEX('#建筑消耗和buff配置索引'!AX:AX,MATCH($F440,'#建筑消耗和buff配置索引'!$M:$M,0)))</f>
        <v>700</v>
      </c>
      <c r="AJ440" s="133" t="str">
        <f>IF(INDEX('#建筑消耗和buff配置索引'!BB:BB,MATCH($F440,'#建筑消耗和buff配置索引'!$M:$M,0))=0,"",INDEX('#建筑消耗和buff配置索引'!BB:BB,MATCH($F440,'#建筑消耗和buff配置索引'!$M:$M,0)))</f>
        <v/>
      </c>
      <c r="AK440" s="133" t="str">
        <f>IF(AJ440="","",INDEX('#建筑消耗和buff配置索引'!BC:BC,MATCH($F440,'#建筑消耗和buff配置索引'!$M:$M,0)))</f>
        <v/>
      </c>
      <c r="AN440" s="133" t="str">
        <f>IF(INDEX('#建筑消耗和buff配置索引'!BG:BG,MATCH($F440,'#建筑消耗和buff配置索引'!$M:$M,0))=0,"",INDEX('#建筑消耗和buff配置索引'!BG:BG,MATCH($F440,'#建筑消耗和buff配置索引'!$M:$M,0)))</f>
        <v/>
      </c>
      <c r="AO440" s="133" t="str">
        <f>IF(AN440="","",INDEX('#建筑消耗和buff配置索引'!BH:BH,MATCH($F440,'#建筑消耗和buff配置索引'!$M:$M,0)))</f>
        <v/>
      </c>
      <c r="AR440" s="133" t="str">
        <f>IF(INDEX('#建筑消耗和buff配置索引'!BK:BK,MATCH($F440,'#建筑消耗和buff配置索引'!$M:$M,0))=0,"",INDEX('#建筑消耗和buff配置索引'!BK:BK,MATCH($F440,'#建筑消耗和buff配置索引'!$M:$M,0)))</f>
        <v/>
      </c>
      <c r="AS440" s="133" t="str">
        <f>IF(AR440="","",INDEX('#建筑消耗和buff配置索引'!BL:BL,MATCH($F440,'#建筑消耗和buff配置索引'!$M:$M,0)))</f>
        <v/>
      </c>
      <c r="AV440" s="133" t="str">
        <f>IF(INDEX('#建筑消耗和buff配置索引'!BO:BO,MATCH($F440,'#建筑消耗和buff配置索引'!$M:$M,0))=0,"",INDEX('#建筑消耗和buff配置索引'!BO:BO,MATCH($F440,'#建筑消耗和buff配置索引'!$M:$M,0)))</f>
        <v/>
      </c>
      <c r="AW440" s="133" t="str">
        <f>IF(AV440="","",INDEX('#建筑消耗和buff配置索引'!BP:BP,MATCH($F440,'#建筑消耗和buff配置索引'!$M:$M,0)))</f>
        <v/>
      </c>
      <c r="AZ440" s="133" t="str">
        <f>IF(INDEX('#建筑消耗和buff配置索引'!BS:BS,MATCH($F440,'#建筑消耗和buff配置索引'!$M:$M,0))=0,"",INDEX('#建筑消耗和buff配置索引'!BS:BS,MATCH($F440,'#建筑消耗和buff配置索引'!$M:$M,0)))</f>
        <v/>
      </c>
      <c r="BA440" s="133" t="str">
        <f>IF(AZ440="","",INDEX('#建筑消耗和buff配置索引'!BT:BT,MATCH($F440,'#建筑消耗和buff配置索引'!$M:$M,0)))</f>
        <v/>
      </c>
      <c r="BD440" s="133" t="str">
        <f>IF(INDEX('#建筑消耗和buff配置索引'!BW:BW,MATCH($F440,'#建筑消耗和buff配置索引'!$M:$M,0))=0,"",INDEX('#建筑消耗和buff配置索引'!BW:BW,MATCH($F440,'#建筑消耗和buff配置索引'!$M:$M,0)))</f>
        <v/>
      </c>
      <c r="BE440" s="133" t="str">
        <f>IF(BD440="","",INDEX('#建筑消耗和buff配置索引'!BX:BX,MATCH($F440,'#建筑消耗和buff配置索引'!$M:$M,0)))</f>
        <v/>
      </c>
      <c r="BI440" s="133">
        <v>9</v>
      </c>
    </row>
    <row r="441" spans="1:62" s="133" customFormat="1">
      <c r="A441" s="133">
        <v>2320016</v>
      </c>
      <c r="B441" s="133">
        <v>438</v>
      </c>
      <c r="C441" s="133">
        <v>232</v>
      </c>
      <c r="D441" s="133" t="s">
        <v>319</v>
      </c>
      <c r="E441" s="133">
        <v>16</v>
      </c>
      <c r="F441" s="133" t="str">
        <f t="shared" si="8"/>
        <v>枪兵营16</v>
      </c>
      <c r="H441" s="146"/>
      <c r="I441" s="133">
        <v>2</v>
      </c>
      <c r="J441" s="150">
        <f>INDEX('#建筑消耗和buff配置索引'!AH:AH,MATCH($F441,'#建筑消耗和buff配置索引'!$M:$M,0))</f>
        <v>32400</v>
      </c>
      <c r="K441" s="150">
        <f>INDEX('#建筑消耗和buff配置索引'!AA:AA,MATCH($F441,'#建筑消耗和buff配置索引'!$M:$M,0))</f>
        <v>550000</v>
      </c>
      <c r="L441" s="150">
        <f>INDEX('#建筑消耗和buff配置索引'!AB:AB,MATCH($F441,'#建筑消耗和buff配置索引'!$M:$M,0))</f>
        <v>550000</v>
      </c>
      <c r="M441" s="150">
        <f>INDEX('#建筑消耗和buff配置索引'!AC:AC,MATCH($F441,'#建筑消耗和buff配置索引'!$M:$M,0))</f>
        <v>550000</v>
      </c>
      <c r="N441" s="150">
        <f>INDEX('#建筑消耗和buff配置索引'!AD:AD,MATCH($F441,'#建筑消耗和buff配置索引'!$M:$M,0))</f>
        <v>550000</v>
      </c>
      <c r="O441" s="150" t="str">
        <f>IF(INDEX('#建筑消耗和buff配置索引'!T:T,MATCH($F441,'#建筑消耗和buff配置索引'!$M:$M,0))=0,"",INDEX('#建筑消耗和buff配置索引'!T:T,MATCH($F441,'#建筑消耗和buff配置索引'!$M:$M,0)))</f>
        <v/>
      </c>
      <c r="P441" s="133" t="str">
        <f>IF(INDEX('#建筑消耗和buff配置索引'!U:U,MATCH($F441,'#建筑消耗和buff配置索引'!$M:$M,0))=0,"",INDEX('#建筑消耗和buff配置索引'!U:U,MATCH($F441,'#建筑消耗和buff配置索引'!$M:$M,0)))</f>
        <v/>
      </c>
      <c r="Q441" s="133" t="str">
        <f>IF(INDEX('#建筑消耗和buff配置索引'!K:K,MATCH($F441,'#建筑消耗和buff配置索引'!$M:$M,0))=0,"",INDEX('#建筑消耗和buff配置索引'!K:K,MATCH($F441,'#建筑消耗和buff配置索引'!$M:$M,0)))</f>
        <v>201;204</v>
      </c>
      <c r="R441" s="133" t="str">
        <f>IF(INDEX('#建筑消耗和buff配置索引'!L:L,MATCH($F441,'#建筑消耗和buff配置索引'!$M:$M,0))=0,"",INDEX('#建筑消耗和buff配置索引'!L:L,MATCH($F441,'#建筑消耗和buff配置索引'!$M:$M,0)))</f>
        <v>16;16</v>
      </c>
      <c r="S441" s="133">
        <f>IF(INDEX('#建筑消耗和buff配置索引'!C:C,MATCH(F441,'#建筑消耗和buff配置索引'!M:M,0))=0,1,INDEX('#建筑消耗和buff配置索引'!C:C,MATCH(F441,'#建筑消耗和buff配置索引'!M:M,0)))</f>
        <v>1</v>
      </c>
      <c r="T441" s="133">
        <v>0</v>
      </c>
      <c r="U441" s="133">
        <v>0</v>
      </c>
      <c r="V441" s="133" t="str">
        <f>IF(E441=1,IF(INDEX('#建筑消耗和buff配置索引'!BY:BY,MATCH(D441,'#建筑消耗和buff配置索引'!A:A,0))=0,"",INDEX('#建筑消耗和buff配置索引'!BY:BY,MATCH(D441,'#建筑消耗和buff配置索引'!A:A,0))),"")</f>
        <v/>
      </c>
      <c r="W441" s="133" t="str">
        <f>IF(E441=1,IF(INDEX('#建筑消耗和buff配置索引'!BZ:BZ,MATCH(D441,'#建筑消耗和buff配置索引'!A:A,0))=0,"",INDEX('#建筑消耗和buff配置索引'!BZ:BZ,MATCH(D441,'#建筑消耗和buff配置索引'!A:A,0))),"")</f>
        <v/>
      </c>
      <c r="X441" s="133" t="str">
        <f>INDEX('#建筑消耗和buff配置索引'!BC:BC,MATCH(F441,'#建筑消耗和buff配置索引'!M:M,0))*100&amp;"%"</f>
        <v>0%</v>
      </c>
      <c r="AA441" s="133">
        <f>INDEX('#建筑消耗和buff配置索引'!AO:AO,MATCH($F441,'#建筑消耗和buff配置索引'!$M:$M,0))</f>
        <v>16827</v>
      </c>
      <c r="AB441" s="133">
        <f>IF(INDEX('#建筑消耗和buff配置索引'!AR:AR,MATCH($F441,'#建筑消耗和buff配置索引'!$M:$M,0))=0,"",INDEX('#建筑消耗和buff配置索引'!AR:AR,MATCH($F441,'#建筑消耗和buff配置索引'!$M:$M,0)))</f>
        <v>3000</v>
      </c>
      <c r="AC441" s="133">
        <f>IF(AB441="","",INDEX('#建筑消耗和buff配置索引'!AS:AS,MATCH($F441,'#建筑消耗和buff配置索引'!$M:$M,0)))</f>
        <v>7.4999999999999997E-2</v>
      </c>
      <c r="AF441" s="133">
        <f>IF(INDEX('#建筑消耗和buff配置索引'!AW:AW,MATCH($F441,'#建筑消耗和buff配置索引'!$M:$M,0))=0,"",INDEX('#建筑消耗和buff配置索引'!AW:AW,MATCH($F441,'#建筑消耗和buff配置索引'!$M:$M,0)))</f>
        <v>3016</v>
      </c>
      <c r="AG441" s="133">
        <f>IF(AF441="","",INDEX('#建筑消耗和buff配置索引'!AX:AX,MATCH($F441,'#建筑消耗和buff配置索引'!$M:$M,0)))</f>
        <v>750</v>
      </c>
      <c r="AJ441" s="133" t="str">
        <f>IF(INDEX('#建筑消耗和buff配置索引'!BB:BB,MATCH($F441,'#建筑消耗和buff配置索引'!$M:$M,0))=0,"",INDEX('#建筑消耗和buff配置索引'!BB:BB,MATCH($F441,'#建筑消耗和buff配置索引'!$M:$M,0)))</f>
        <v/>
      </c>
      <c r="AK441" s="133" t="str">
        <f>IF(AJ441="","",INDEX('#建筑消耗和buff配置索引'!BC:BC,MATCH($F441,'#建筑消耗和buff配置索引'!$M:$M,0)))</f>
        <v/>
      </c>
      <c r="AN441" s="133" t="str">
        <f>IF(INDEX('#建筑消耗和buff配置索引'!BG:BG,MATCH($F441,'#建筑消耗和buff配置索引'!$M:$M,0))=0,"",INDEX('#建筑消耗和buff配置索引'!BG:BG,MATCH($F441,'#建筑消耗和buff配置索引'!$M:$M,0)))</f>
        <v/>
      </c>
      <c r="AO441" s="133" t="str">
        <f>IF(AN441="","",INDEX('#建筑消耗和buff配置索引'!BH:BH,MATCH($F441,'#建筑消耗和buff配置索引'!$M:$M,0)))</f>
        <v/>
      </c>
      <c r="AR441" s="133" t="str">
        <f>IF(INDEX('#建筑消耗和buff配置索引'!BK:BK,MATCH($F441,'#建筑消耗和buff配置索引'!$M:$M,0))=0,"",INDEX('#建筑消耗和buff配置索引'!BK:BK,MATCH($F441,'#建筑消耗和buff配置索引'!$M:$M,0)))</f>
        <v/>
      </c>
      <c r="AS441" s="133" t="str">
        <f>IF(AR441="","",INDEX('#建筑消耗和buff配置索引'!BL:BL,MATCH($F441,'#建筑消耗和buff配置索引'!$M:$M,0)))</f>
        <v/>
      </c>
      <c r="AV441" s="133" t="str">
        <f>IF(INDEX('#建筑消耗和buff配置索引'!BO:BO,MATCH($F441,'#建筑消耗和buff配置索引'!$M:$M,0))=0,"",INDEX('#建筑消耗和buff配置索引'!BO:BO,MATCH($F441,'#建筑消耗和buff配置索引'!$M:$M,0)))</f>
        <v/>
      </c>
      <c r="AW441" s="133" t="str">
        <f>IF(AV441="","",INDEX('#建筑消耗和buff配置索引'!BP:BP,MATCH($F441,'#建筑消耗和buff配置索引'!$M:$M,0)))</f>
        <v/>
      </c>
      <c r="AZ441" s="133" t="str">
        <f>IF(INDEX('#建筑消耗和buff配置索引'!BS:BS,MATCH($F441,'#建筑消耗和buff配置索引'!$M:$M,0))=0,"",INDEX('#建筑消耗和buff配置索引'!BS:BS,MATCH($F441,'#建筑消耗和buff配置索引'!$M:$M,0)))</f>
        <v/>
      </c>
      <c r="BA441" s="133" t="str">
        <f>IF(AZ441="","",INDEX('#建筑消耗和buff配置索引'!BT:BT,MATCH($F441,'#建筑消耗和buff配置索引'!$M:$M,0)))</f>
        <v/>
      </c>
      <c r="BD441" s="133" t="str">
        <f>IF(INDEX('#建筑消耗和buff配置索引'!BW:BW,MATCH($F441,'#建筑消耗和buff配置索引'!$M:$M,0))=0,"",INDEX('#建筑消耗和buff配置索引'!BW:BW,MATCH($F441,'#建筑消耗和buff配置索引'!$M:$M,0)))</f>
        <v/>
      </c>
      <c r="BE441" s="133" t="str">
        <f>IF(BD441="","",INDEX('#建筑消耗和buff配置索引'!BX:BX,MATCH($F441,'#建筑消耗和buff配置索引'!$M:$M,0)))</f>
        <v/>
      </c>
      <c r="BI441" s="133">
        <v>9</v>
      </c>
    </row>
    <row r="442" spans="1:62" s="133" customFormat="1">
      <c r="A442" s="133">
        <v>2320017</v>
      </c>
      <c r="B442" s="133">
        <v>439</v>
      </c>
      <c r="C442" s="133">
        <v>232</v>
      </c>
      <c r="D442" s="133" t="s">
        <v>319</v>
      </c>
      <c r="E442" s="133">
        <v>17</v>
      </c>
      <c r="F442" s="133" t="str">
        <f t="shared" si="8"/>
        <v>枪兵营17</v>
      </c>
      <c r="H442" s="146"/>
      <c r="I442" s="133">
        <v>2</v>
      </c>
      <c r="J442" s="150">
        <f>INDEX('#建筑消耗和buff配置索引'!AH:AH,MATCH($F442,'#建筑消耗和buff配置索引'!$M:$M,0))</f>
        <v>43200</v>
      </c>
      <c r="K442" s="150">
        <f>INDEX('#建筑消耗和buff配置索引'!AA:AA,MATCH($F442,'#建筑消耗和buff配置索引'!$M:$M,0))</f>
        <v>700000</v>
      </c>
      <c r="L442" s="150">
        <f>INDEX('#建筑消耗和buff配置索引'!AB:AB,MATCH($F442,'#建筑消耗和buff配置索引'!$M:$M,0))</f>
        <v>700000</v>
      </c>
      <c r="M442" s="150">
        <f>INDEX('#建筑消耗和buff配置索引'!AC:AC,MATCH($F442,'#建筑消耗和buff配置索引'!$M:$M,0))</f>
        <v>700000</v>
      </c>
      <c r="N442" s="150">
        <f>INDEX('#建筑消耗和buff配置索引'!AD:AD,MATCH($F442,'#建筑消耗和buff配置索引'!$M:$M,0))</f>
        <v>700000</v>
      </c>
      <c r="O442" s="150" t="str">
        <f>IF(INDEX('#建筑消耗和buff配置索引'!T:T,MATCH($F442,'#建筑消耗和buff配置索引'!$M:$M,0))=0,"",INDEX('#建筑消耗和buff配置索引'!T:T,MATCH($F442,'#建筑消耗和buff配置索引'!$M:$M,0)))</f>
        <v/>
      </c>
      <c r="P442" s="133" t="str">
        <f>IF(INDEX('#建筑消耗和buff配置索引'!U:U,MATCH($F442,'#建筑消耗和buff配置索引'!$M:$M,0))=0,"",INDEX('#建筑消耗和buff配置索引'!U:U,MATCH($F442,'#建筑消耗和buff配置索引'!$M:$M,0)))</f>
        <v/>
      </c>
      <c r="Q442" s="133" t="str">
        <f>IF(INDEX('#建筑消耗和buff配置索引'!K:K,MATCH($F442,'#建筑消耗和buff配置索引'!$M:$M,0))=0,"",INDEX('#建筑消耗和buff配置索引'!K:K,MATCH($F442,'#建筑消耗和buff配置索引'!$M:$M,0)))</f>
        <v>201;204</v>
      </c>
      <c r="R442" s="133" t="str">
        <f>IF(INDEX('#建筑消耗和buff配置索引'!L:L,MATCH($F442,'#建筑消耗和buff配置索引'!$M:$M,0))=0,"",INDEX('#建筑消耗和buff配置索引'!L:L,MATCH($F442,'#建筑消耗和buff配置索引'!$M:$M,0)))</f>
        <v>17;17</v>
      </c>
      <c r="S442" s="133">
        <f>IF(INDEX('#建筑消耗和buff配置索引'!C:C,MATCH(F442,'#建筑消耗和buff配置索引'!M:M,0))=0,1,INDEX('#建筑消耗和buff配置索引'!C:C,MATCH(F442,'#建筑消耗和buff配置索引'!M:M,0)))</f>
        <v>1</v>
      </c>
      <c r="T442" s="133">
        <v>0</v>
      </c>
      <c r="U442" s="133">
        <v>0</v>
      </c>
      <c r="V442" s="133" t="str">
        <f>IF(E442=1,IF(INDEX('#建筑消耗和buff配置索引'!BY:BY,MATCH(D442,'#建筑消耗和buff配置索引'!A:A,0))=0,"",INDEX('#建筑消耗和buff配置索引'!BY:BY,MATCH(D442,'#建筑消耗和buff配置索引'!A:A,0))),"")</f>
        <v/>
      </c>
      <c r="W442" s="133" t="str">
        <f>IF(E442=1,IF(INDEX('#建筑消耗和buff配置索引'!BZ:BZ,MATCH(D442,'#建筑消耗和buff配置索引'!A:A,0))=0,"",INDEX('#建筑消耗和buff配置索引'!BZ:BZ,MATCH(D442,'#建筑消耗和buff配置索引'!A:A,0))),"")</f>
        <v/>
      </c>
      <c r="X442" s="133" t="str">
        <f>INDEX('#建筑消耗和buff配置索引'!BC:BC,MATCH(F442,'#建筑消耗和buff配置索引'!M:M,0))*100&amp;"%"</f>
        <v>0%</v>
      </c>
      <c r="AA442" s="133">
        <f>INDEX('#建筑消耗和buff配置索引'!AO:AO,MATCH($F442,'#建筑消耗和buff配置索引'!$M:$M,0))</f>
        <v>22443</v>
      </c>
      <c r="AB442" s="133">
        <f>IF(INDEX('#建筑消耗和buff配置索引'!AR:AR,MATCH($F442,'#建筑消耗和buff配置索引'!$M:$M,0))=0,"",INDEX('#建筑消耗和buff配置索引'!AR:AR,MATCH($F442,'#建筑消耗和buff配置索引'!$M:$M,0)))</f>
        <v>3000</v>
      </c>
      <c r="AC442" s="133">
        <f>IF(AB442="","",INDEX('#建筑消耗和buff配置索引'!AS:AS,MATCH($F442,'#建筑消耗和buff配置索引'!$M:$M,0)))</f>
        <v>0.08</v>
      </c>
      <c r="AF442" s="133">
        <f>IF(INDEX('#建筑消耗和buff配置索引'!AW:AW,MATCH($F442,'#建筑消耗和buff配置索引'!$M:$M,0))=0,"",INDEX('#建筑消耗和buff配置索引'!AW:AW,MATCH($F442,'#建筑消耗和buff配置索引'!$M:$M,0)))</f>
        <v>3016</v>
      </c>
      <c r="AG442" s="133">
        <f>IF(AF442="","",INDEX('#建筑消耗和buff配置索引'!AX:AX,MATCH($F442,'#建筑消耗和buff配置索引'!$M:$M,0)))</f>
        <v>800</v>
      </c>
      <c r="AJ442" s="133" t="str">
        <f>IF(INDEX('#建筑消耗和buff配置索引'!BB:BB,MATCH($F442,'#建筑消耗和buff配置索引'!$M:$M,0))=0,"",INDEX('#建筑消耗和buff配置索引'!BB:BB,MATCH($F442,'#建筑消耗和buff配置索引'!$M:$M,0)))</f>
        <v/>
      </c>
      <c r="AK442" s="133" t="str">
        <f>IF(AJ442="","",INDEX('#建筑消耗和buff配置索引'!BC:BC,MATCH($F442,'#建筑消耗和buff配置索引'!$M:$M,0)))</f>
        <v/>
      </c>
      <c r="AN442" s="133" t="str">
        <f>IF(INDEX('#建筑消耗和buff配置索引'!BG:BG,MATCH($F442,'#建筑消耗和buff配置索引'!$M:$M,0))=0,"",INDEX('#建筑消耗和buff配置索引'!BG:BG,MATCH($F442,'#建筑消耗和buff配置索引'!$M:$M,0)))</f>
        <v/>
      </c>
      <c r="AO442" s="133" t="str">
        <f>IF(AN442="","",INDEX('#建筑消耗和buff配置索引'!BH:BH,MATCH($F442,'#建筑消耗和buff配置索引'!$M:$M,0)))</f>
        <v/>
      </c>
      <c r="AR442" s="133" t="str">
        <f>IF(INDEX('#建筑消耗和buff配置索引'!BK:BK,MATCH($F442,'#建筑消耗和buff配置索引'!$M:$M,0))=0,"",INDEX('#建筑消耗和buff配置索引'!BK:BK,MATCH($F442,'#建筑消耗和buff配置索引'!$M:$M,0)))</f>
        <v/>
      </c>
      <c r="AS442" s="133" t="str">
        <f>IF(AR442="","",INDEX('#建筑消耗和buff配置索引'!BL:BL,MATCH($F442,'#建筑消耗和buff配置索引'!$M:$M,0)))</f>
        <v/>
      </c>
      <c r="AV442" s="133" t="str">
        <f>IF(INDEX('#建筑消耗和buff配置索引'!BO:BO,MATCH($F442,'#建筑消耗和buff配置索引'!$M:$M,0))=0,"",INDEX('#建筑消耗和buff配置索引'!BO:BO,MATCH($F442,'#建筑消耗和buff配置索引'!$M:$M,0)))</f>
        <v/>
      </c>
      <c r="AW442" s="133" t="str">
        <f>IF(AV442="","",INDEX('#建筑消耗和buff配置索引'!BP:BP,MATCH($F442,'#建筑消耗和buff配置索引'!$M:$M,0)))</f>
        <v/>
      </c>
      <c r="AZ442" s="133" t="str">
        <f>IF(INDEX('#建筑消耗和buff配置索引'!BS:BS,MATCH($F442,'#建筑消耗和buff配置索引'!$M:$M,0))=0,"",INDEX('#建筑消耗和buff配置索引'!BS:BS,MATCH($F442,'#建筑消耗和buff配置索引'!$M:$M,0)))</f>
        <v/>
      </c>
      <c r="BA442" s="133" t="str">
        <f>IF(AZ442="","",INDEX('#建筑消耗和buff配置索引'!BT:BT,MATCH($F442,'#建筑消耗和buff配置索引'!$M:$M,0)))</f>
        <v/>
      </c>
      <c r="BD442" s="133" t="str">
        <f>IF(INDEX('#建筑消耗和buff配置索引'!BW:BW,MATCH($F442,'#建筑消耗和buff配置索引'!$M:$M,0))=0,"",INDEX('#建筑消耗和buff配置索引'!BW:BW,MATCH($F442,'#建筑消耗和buff配置索引'!$M:$M,0)))</f>
        <v/>
      </c>
      <c r="BE442" s="133" t="str">
        <f>IF(BD442="","",INDEX('#建筑消耗和buff配置索引'!BX:BX,MATCH($F442,'#建筑消耗和buff配置索引'!$M:$M,0)))</f>
        <v/>
      </c>
      <c r="BI442" s="133">
        <v>9</v>
      </c>
    </row>
    <row r="443" spans="1:62" s="133" customFormat="1">
      <c r="A443" s="133">
        <v>2320018</v>
      </c>
      <c r="B443" s="133">
        <v>440</v>
      </c>
      <c r="C443" s="133">
        <v>232</v>
      </c>
      <c r="D443" s="133" t="s">
        <v>319</v>
      </c>
      <c r="E443" s="133">
        <v>18</v>
      </c>
      <c r="F443" s="133" t="str">
        <f t="shared" si="8"/>
        <v>枪兵营18</v>
      </c>
      <c r="H443" s="146"/>
      <c r="I443" s="133">
        <v>2</v>
      </c>
      <c r="J443" s="150">
        <f>INDEX('#建筑消耗和buff配置索引'!AH:AH,MATCH($F443,'#建筑消耗和buff配置索引'!$M:$M,0))</f>
        <v>56160</v>
      </c>
      <c r="K443" s="150">
        <f>INDEX('#建筑消耗和buff配置索引'!AA:AA,MATCH($F443,'#建筑消耗和buff配置索引'!$M:$M,0))</f>
        <v>900000</v>
      </c>
      <c r="L443" s="150">
        <f>INDEX('#建筑消耗和buff配置索引'!AB:AB,MATCH($F443,'#建筑消耗和buff配置索引'!$M:$M,0))</f>
        <v>900000</v>
      </c>
      <c r="M443" s="150">
        <f>INDEX('#建筑消耗和buff配置索引'!AC:AC,MATCH($F443,'#建筑消耗和buff配置索引'!$M:$M,0))</f>
        <v>900000</v>
      </c>
      <c r="N443" s="150">
        <f>INDEX('#建筑消耗和buff配置索引'!AD:AD,MATCH($F443,'#建筑消耗和buff配置索引'!$M:$M,0))</f>
        <v>900000</v>
      </c>
      <c r="O443" s="150" t="str">
        <f>IF(INDEX('#建筑消耗和buff配置索引'!T:T,MATCH($F443,'#建筑消耗和buff配置索引'!$M:$M,0))=0,"",INDEX('#建筑消耗和buff配置索引'!T:T,MATCH($F443,'#建筑消耗和buff配置索引'!$M:$M,0)))</f>
        <v/>
      </c>
      <c r="P443" s="133" t="str">
        <f>IF(INDEX('#建筑消耗和buff配置索引'!U:U,MATCH($F443,'#建筑消耗和buff配置索引'!$M:$M,0))=0,"",INDEX('#建筑消耗和buff配置索引'!U:U,MATCH($F443,'#建筑消耗和buff配置索引'!$M:$M,0)))</f>
        <v/>
      </c>
      <c r="Q443" s="133" t="str">
        <f>IF(INDEX('#建筑消耗和buff配置索引'!K:K,MATCH($F443,'#建筑消耗和buff配置索引'!$M:$M,0))=0,"",INDEX('#建筑消耗和buff配置索引'!K:K,MATCH($F443,'#建筑消耗和buff配置索引'!$M:$M,0)))</f>
        <v>201;204</v>
      </c>
      <c r="R443" s="133" t="str">
        <f>IF(INDEX('#建筑消耗和buff配置索引'!L:L,MATCH($F443,'#建筑消耗和buff配置索引'!$M:$M,0))=0,"",INDEX('#建筑消耗和buff配置索引'!L:L,MATCH($F443,'#建筑消耗和buff配置索引'!$M:$M,0)))</f>
        <v>18;18</v>
      </c>
      <c r="S443" s="133">
        <f>IF(INDEX('#建筑消耗和buff配置索引'!C:C,MATCH(F443,'#建筑消耗和buff配置索引'!M:M,0))=0,1,INDEX('#建筑消耗和buff配置索引'!C:C,MATCH(F443,'#建筑消耗和buff配置索引'!M:M,0)))</f>
        <v>1</v>
      </c>
      <c r="T443" s="133">
        <v>0</v>
      </c>
      <c r="U443" s="133">
        <v>0</v>
      </c>
      <c r="V443" s="133" t="str">
        <f>IF(E443=1,IF(INDEX('#建筑消耗和buff配置索引'!BY:BY,MATCH(D443,'#建筑消耗和buff配置索引'!A:A,0))=0,"",INDEX('#建筑消耗和buff配置索引'!BY:BY,MATCH(D443,'#建筑消耗和buff配置索引'!A:A,0))),"")</f>
        <v/>
      </c>
      <c r="W443" s="133" t="str">
        <f>IF(E443=1,IF(INDEX('#建筑消耗和buff配置索引'!BZ:BZ,MATCH(D443,'#建筑消耗和buff配置索引'!A:A,0))=0,"",INDEX('#建筑消耗和buff配置索引'!BZ:BZ,MATCH(D443,'#建筑消耗和buff配置索引'!A:A,0))),"")</f>
        <v/>
      </c>
      <c r="X443" s="133" t="str">
        <f>INDEX('#建筑消耗和buff配置索引'!BC:BC,MATCH(F443,'#建筑消耗和buff配置索引'!M:M,0))*100&amp;"%"</f>
        <v>0%</v>
      </c>
      <c r="AA443" s="133">
        <f>INDEX('#建筑消耗和buff配置索引'!AO:AO,MATCH($F443,'#建筑消耗和buff配置索引'!$M:$M,0))</f>
        <v>29632</v>
      </c>
      <c r="AB443" s="133">
        <f>IF(INDEX('#建筑消耗和buff配置索引'!AR:AR,MATCH($F443,'#建筑消耗和buff配置索引'!$M:$M,0))=0,"",INDEX('#建筑消耗和buff配置索引'!AR:AR,MATCH($F443,'#建筑消耗和buff配置索引'!$M:$M,0)))</f>
        <v>3000</v>
      </c>
      <c r="AC443" s="133">
        <f>IF(AB443="","",INDEX('#建筑消耗和buff配置索引'!AS:AS,MATCH($F443,'#建筑消耗和buff配置索引'!$M:$M,0)))</f>
        <v>8.5000000000000006E-2</v>
      </c>
      <c r="AF443" s="133">
        <f>IF(INDEX('#建筑消耗和buff配置索引'!AW:AW,MATCH($F443,'#建筑消耗和buff配置索引'!$M:$M,0))=0,"",INDEX('#建筑消耗和buff配置索引'!AW:AW,MATCH($F443,'#建筑消耗和buff配置索引'!$M:$M,0)))</f>
        <v>3016</v>
      </c>
      <c r="AG443" s="133">
        <f>IF(AF443="","",INDEX('#建筑消耗和buff配置索引'!AX:AX,MATCH($F443,'#建筑消耗和buff配置索引'!$M:$M,0)))</f>
        <v>850</v>
      </c>
      <c r="AJ443" s="133" t="str">
        <f>IF(INDEX('#建筑消耗和buff配置索引'!BB:BB,MATCH($F443,'#建筑消耗和buff配置索引'!$M:$M,0))=0,"",INDEX('#建筑消耗和buff配置索引'!BB:BB,MATCH($F443,'#建筑消耗和buff配置索引'!$M:$M,0)))</f>
        <v/>
      </c>
      <c r="AK443" s="133" t="str">
        <f>IF(AJ443="","",INDEX('#建筑消耗和buff配置索引'!BC:BC,MATCH($F443,'#建筑消耗和buff配置索引'!$M:$M,0)))</f>
        <v/>
      </c>
      <c r="AN443" s="133" t="str">
        <f>IF(INDEX('#建筑消耗和buff配置索引'!BG:BG,MATCH($F443,'#建筑消耗和buff配置索引'!$M:$M,0))=0,"",INDEX('#建筑消耗和buff配置索引'!BG:BG,MATCH($F443,'#建筑消耗和buff配置索引'!$M:$M,0)))</f>
        <v/>
      </c>
      <c r="AO443" s="133" t="str">
        <f>IF(AN443="","",INDEX('#建筑消耗和buff配置索引'!BH:BH,MATCH($F443,'#建筑消耗和buff配置索引'!$M:$M,0)))</f>
        <v/>
      </c>
      <c r="AR443" s="133" t="str">
        <f>IF(INDEX('#建筑消耗和buff配置索引'!BK:BK,MATCH($F443,'#建筑消耗和buff配置索引'!$M:$M,0))=0,"",INDEX('#建筑消耗和buff配置索引'!BK:BK,MATCH($F443,'#建筑消耗和buff配置索引'!$M:$M,0)))</f>
        <v/>
      </c>
      <c r="AS443" s="133" t="str">
        <f>IF(AR443="","",INDEX('#建筑消耗和buff配置索引'!BL:BL,MATCH($F443,'#建筑消耗和buff配置索引'!$M:$M,0)))</f>
        <v/>
      </c>
      <c r="AV443" s="133" t="str">
        <f>IF(INDEX('#建筑消耗和buff配置索引'!BO:BO,MATCH($F443,'#建筑消耗和buff配置索引'!$M:$M,0))=0,"",INDEX('#建筑消耗和buff配置索引'!BO:BO,MATCH($F443,'#建筑消耗和buff配置索引'!$M:$M,0)))</f>
        <v/>
      </c>
      <c r="AW443" s="133" t="str">
        <f>IF(AV443="","",INDEX('#建筑消耗和buff配置索引'!BP:BP,MATCH($F443,'#建筑消耗和buff配置索引'!$M:$M,0)))</f>
        <v/>
      </c>
      <c r="AZ443" s="133" t="str">
        <f>IF(INDEX('#建筑消耗和buff配置索引'!BS:BS,MATCH($F443,'#建筑消耗和buff配置索引'!$M:$M,0))=0,"",INDEX('#建筑消耗和buff配置索引'!BS:BS,MATCH($F443,'#建筑消耗和buff配置索引'!$M:$M,0)))</f>
        <v/>
      </c>
      <c r="BA443" s="133" t="str">
        <f>IF(AZ443="","",INDEX('#建筑消耗和buff配置索引'!BT:BT,MATCH($F443,'#建筑消耗和buff配置索引'!$M:$M,0)))</f>
        <v/>
      </c>
      <c r="BD443" s="133" t="str">
        <f>IF(INDEX('#建筑消耗和buff配置索引'!BW:BW,MATCH($F443,'#建筑消耗和buff配置索引'!$M:$M,0))=0,"",INDEX('#建筑消耗和buff配置索引'!BW:BW,MATCH($F443,'#建筑消耗和buff配置索引'!$M:$M,0)))</f>
        <v/>
      </c>
      <c r="BE443" s="133" t="str">
        <f>IF(BD443="","",INDEX('#建筑消耗和buff配置索引'!BX:BX,MATCH($F443,'#建筑消耗和buff配置索引'!$M:$M,0)))</f>
        <v/>
      </c>
      <c r="BI443" s="133">
        <v>9</v>
      </c>
    </row>
    <row r="444" spans="1:62" s="133" customFormat="1">
      <c r="A444" s="133">
        <v>2320019</v>
      </c>
      <c r="B444" s="133">
        <v>441</v>
      </c>
      <c r="C444" s="133">
        <v>232</v>
      </c>
      <c r="D444" s="133" t="s">
        <v>319</v>
      </c>
      <c r="E444" s="133">
        <v>19</v>
      </c>
      <c r="F444" s="133" t="str">
        <f t="shared" si="8"/>
        <v>枪兵营19</v>
      </c>
      <c r="H444" s="146"/>
      <c r="I444" s="133">
        <v>2</v>
      </c>
      <c r="J444" s="150">
        <f>INDEX('#建筑消耗和buff配置索引'!AH:AH,MATCH($F444,'#建筑消耗和buff配置索引'!$M:$M,0))</f>
        <v>73440</v>
      </c>
      <c r="K444" s="150">
        <f>INDEX('#建筑消耗和buff配置索引'!AA:AA,MATCH($F444,'#建筑消耗和buff配置索引'!$M:$M,0))</f>
        <v>1200000</v>
      </c>
      <c r="L444" s="150">
        <f>INDEX('#建筑消耗和buff配置索引'!AB:AB,MATCH($F444,'#建筑消耗和buff配置索引'!$M:$M,0))</f>
        <v>1200000</v>
      </c>
      <c r="M444" s="150">
        <f>INDEX('#建筑消耗和buff配置索引'!AC:AC,MATCH($F444,'#建筑消耗和buff配置索引'!$M:$M,0))</f>
        <v>1200000</v>
      </c>
      <c r="N444" s="150">
        <f>INDEX('#建筑消耗和buff配置索引'!AD:AD,MATCH($F444,'#建筑消耗和buff配置索引'!$M:$M,0))</f>
        <v>1200000</v>
      </c>
      <c r="O444" s="150" t="str">
        <f>IF(INDEX('#建筑消耗和buff配置索引'!T:T,MATCH($F444,'#建筑消耗和buff配置索引'!$M:$M,0))=0,"",INDEX('#建筑消耗和buff配置索引'!T:T,MATCH($F444,'#建筑消耗和buff配置索引'!$M:$M,0)))</f>
        <v/>
      </c>
      <c r="P444" s="133" t="str">
        <f>IF(INDEX('#建筑消耗和buff配置索引'!U:U,MATCH($F444,'#建筑消耗和buff配置索引'!$M:$M,0))=0,"",INDEX('#建筑消耗和buff配置索引'!U:U,MATCH($F444,'#建筑消耗和buff配置索引'!$M:$M,0)))</f>
        <v/>
      </c>
      <c r="Q444" s="133" t="str">
        <f>IF(INDEX('#建筑消耗和buff配置索引'!K:K,MATCH($F444,'#建筑消耗和buff配置索引'!$M:$M,0))=0,"",INDEX('#建筑消耗和buff配置索引'!K:K,MATCH($F444,'#建筑消耗和buff配置索引'!$M:$M,0)))</f>
        <v>201;204</v>
      </c>
      <c r="R444" s="133" t="str">
        <f>IF(INDEX('#建筑消耗和buff配置索引'!L:L,MATCH($F444,'#建筑消耗和buff配置索引'!$M:$M,0))=0,"",INDEX('#建筑消耗和buff配置索引'!L:L,MATCH($F444,'#建筑消耗和buff配置索引'!$M:$M,0)))</f>
        <v>19;19</v>
      </c>
      <c r="S444" s="133">
        <f>IF(INDEX('#建筑消耗和buff配置索引'!C:C,MATCH(F444,'#建筑消耗和buff配置索引'!M:M,0))=0,1,INDEX('#建筑消耗和buff配置索引'!C:C,MATCH(F444,'#建筑消耗和buff配置索引'!M:M,0)))</f>
        <v>1</v>
      </c>
      <c r="T444" s="133">
        <v>0</v>
      </c>
      <c r="U444" s="133">
        <v>0</v>
      </c>
      <c r="V444" s="133" t="str">
        <f>IF(E444=1,IF(INDEX('#建筑消耗和buff配置索引'!BY:BY,MATCH(D444,'#建筑消耗和buff配置索引'!A:A,0))=0,"",INDEX('#建筑消耗和buff配置索引'!BY:BY,MATCH(D444,'#建筑消耗和buff配置索引'!A:A,0))),"")</f>
        <v/>
      </c>
      <c r="W444" s="133" t="str">
        <f>IF(E444=1,IF(INDEX('#建筑消耗和buff配置索引'!BZ:BZ,MATCH(D444,'#建筑消耗和buff配置索引'!A:A,0))=0,"",INDEX('#建筑消耗和buff配置索引'!BZ:BZ,MATCH(D444,'#建筑消耗和buff配置索引'!A:A,0))),"")</f>
        <v/>
      </c>
      <c r="X444" s="133" t="str">
        <f>INDEX('#建筑消耗和buff配置索引'!BC:BC,MATCH(F444,'#建筑消耗和buff配置索引'!M:M,0))*100&amp;"%"</f>
        <v>0%</v>
      </c>
      <c r="AA444" s="133">
        <f>INDEX('#建筑消耗和buff配置索引'!AO:AO,MATCH($F444,'#建筑消耗和buff配置索引'!$M:$M,0))</f>
        <v>38833</v>
      </c>
      <c r="AB444" s="133">
        <f>IF(INDEX('#建筑消耗和buff配置索引'!AR:AR,MATCH($F444,'#建筑消耗和buff配置索引'!$M:$M,0))=0,"",INDEX('#建筑消耗和buff配置索引'!AR:AR,MATCH($F444,'#建筑消耗和buff配置索引'!$M:$M,0)))</f>
        <v>3000</v>
      </c>
      <c r="AC444" s="133">
        <f>IF(AB444="","",INDEX('#建筑消耗和buff配置索引'!AS:AS,MATCH($F444,'#建筑消耗和buff配置索引'!$M:$M,0)))</f>
        <v>0.09</v>
      </c>
      <c r="AF444" s="133">
        <f>IF(INDEX('#建筑消耗和buff配置索引'!AW:AW,MATCH($F444,'#建筑消耗和buff配置索引'!$M:$M,0))=0,"",INDEX('#建筑消耗和buff配置索引'!AW:AW,MATCH($F444,'#建筑消耗和buff配置索引'!$M:$M,0)))</f>
        <v>3016</v>
      </c>
      <c r="AG444" s="133">
        <f>IF(AF444="","",INDEX('#建筑消耗和buff配置索引'!AX:AX,MATCH($F444,'#建筑消耗和buff配置索引'!$M:$M,0)))</f>
        <v>900</v>
      </c>
      <c r="AJ444" s="133" t="str">
        <f>IF(INDEX('#建筑消耗和buff配置索引'!BB:BB,MATCH($F444,'#建筑消耗和buff配置索引'!$M:$M,0))=0,"",INDEX('#建筑消耗和buff配置索引'!BB:BB,MATCH($F444,'#建筑消耗和buff配置索引'!$M:$M,0)))</f>
        <v/>
      </c>
      <c r="AK444" s="133" t="str">
        <f>IF(AJ444="","",INDEX('#建筑消耗和buff配置索引'!BC:BC,MATCH($F444,'#建筑消耗和buff配置索引'!$M:$M,0)))</f>
        <v/>
      </c>
      <c r="AN444" s="133" t="str">
        <f>IF(INDEX('#建筑消耗和buff配置索引'!BG:BG,MATCH($F444,'#建筑消耗和buff配置索引'!$M:$M,0))=0,"",INDEX('#建筑消耗和buff配置索引'!BG:BG,MATCH($F444,'#建筑消耗和buff配置索引'!$M:$M,0)))</f>
        <v/>
      </c>
      <c r="AO444" s="133" t="str">
        <f>IF(AN444="","",INDEX('#建筑消耗和buff配置索引'!BH:BH,MATCH($F444,'#建筑消耗和buff配置索引'!$M:$M,0)))</f>
        <v/>
      </c>
      <c r="AR444" s="133" t="str">
        <f>IF(INDEX('#建筑消耗和buff配置索引'!BK:BK,MATCH($F444,'#建筑消耗和buff配置索引'!$M:$M,0))=0,"",INDEX('#建筑消耗和buff配置索引'!BK:BK,MATCH($F444,'#建筑消耗和buff配置索引'!$M:$M,0)))</f>
        <v/>
      </c>
      <c r="AS444" s="133" t="str">
        <f>IF(AR444="","",INDEX('#建筑消耗和buff配置索引'!BL:BL,MATCH($F444,'#建筑消耗和buff配置索引'!$M:$M,0)))</f>
        <v/>
      </c>
      <c r="AV444" s="133" t="str">
        <f>IF(INDEX('#建筑消耗和buff配置索引'!BO:BO,MATCH($F444,'#建筑消耗和buff配置索引'!$M:$M,0))=0,"",INDEX('#建筑消耗和buff配置索引'!BO:BO,MATCH($F444,'#建筑消耗和buff配置索引'!$M:$M,0)))</f>
        <v/>
      </c>
      <c r="AW444" s="133" t="str">
        <f>IF(AV444="","",INDEX('#建筑消耗和buff配置索引'!BP:BP,MATCH($F444,'#建筑消耗和buff配置索引'!$M:$M,0)))</f>
        <v/>
      </c>
      <c r="AZ444" s="133" t="str">
        <f>IF(INDEX('#建筑消耗和buff配置索引'!BS:BS,MATCH($F444,'#建筑消耗和buff配置索引'!$M:$M,0))=0,"",INDEX('#建筑消耗和buff配置索引'!BS:BS,MATCH($F444,'#建筑消耗和buff配置索引'!$M:$M,0)))</f>
        <v/>
      </c>
      <c r="BA444" s="133" t="str">
        <f>IF(AZ444="","",INDEX('#建筑消耗和buff配置索引'!BT:BT,MATCH($F444,'#建筑消耗和buff配置索引'!$M:$M,0)))</f>
        <v/>
      </c>
      <c r="BD444" s="133" t="str">
        <f>IF(INDEX('#建筑消耗和buff配置索引'!BW:BW,MATCH($F444,'#建筑消耗和buff配置索引'!$M:$M,0))=0,"",INDEX('#建筑消耗和buff配置索引'!BW:BW,MATCH($F444,'#建筑消耗和buff配置索引'!$M:$M,0)))</f>
        <v/>
      </c>
      <c r="BE444" s="133" t="str">
        <f>IF(BD444="","",INDEX('#建筑消耗和buff配置索引'!BX:BX,MATCH($F444,'#建筑消耗和buff配置索引'!$M:$M,0)))</f>
        <v/>
      </c>
      <c r="BI444" s="133">
        <v>9</v>
      </c>
    </row>
    <row r="445" spans="1:62" s="133" customFormat="1">
      <c r="A445" s="133">
        <v>2320020</v>
      </c>
      <c r="B445" s="133">
        <v>442</v>
      </c>
      <c r="C445" s="133">
        <v>232</v>
      </c>
      <c r="D445" s="133" t="s">
        <v>319</v>
      </c>
      <c r="E445" s="133">
        <v>20</v>
      </c>
      <c r="F445" s="133" t="str">
        <f t="shared" si="8"/>
        <v>枪兵营20</v>
      </c>
      <c r="H445" s="146"/>
      <c r="I445" s="133">
        <v>3</v>
      </c>
      <c r="J445" s="150">
        <f>INDEX('#建筑消耗和buff配置索引'!AH:AH,MATCH($F445,'#建筑消耗和buff配置索引'!$M:$M,0))</f>
        <v>103680</v>
      </c>
      <c r="K445" s="150">
        <f>INDEX('#建筑消耗和buff配置索引'!AA:AA,MATCH($F445,'#建筑消耗和buff配置索引'!$M:$M,0))</f>
        <v>1500000</v>
      </c>
      <c r="L445" s="150">
        <f>INDEX('#建筑消耗和buff配置索引'!AB:AB,MATCH($F445,'#建筑消耗和buff配置索引'!$M:$M,0))</f>
        <v>1500000</v>
      </c>
      <c r="M445" s="150">
        <f>INDEX('#建筑消耗和buff配置索引'!AC:AC,MATCH($F445,'#建筑消耗和buff配置索引'!$M:$M,0))</f>
        <v>1500000</v>
      </c>
      <c r="N445" s="150">
        <f>INDEX('#建筑消耗和buff配置索引'!AD:AD,MATCH($F445,'#建筑消耗和buff配置索引'!$M:$M,0))</f>
        <v>1500000</v>
      </c>
      <c r="O445" s="150" t="str">
        <f>IF(INDEX('#建筑消耗和buff配置索引'!T:T,MATCH($F445,'#建筑消耗和buff配置索引'!$M:$M,0))=0,"",INDEX('#建筑消耗和buff配置索引'!T:T,MATCH($F445,'#建筑消耗和buff配置索引'!$M:$M,0)))</f>
        <v/>
      </c>
      <c r="P445" s="133" t="str">
        <f>IF(INDEX('#建筑消耗和buff配置索引'!U:U,MATCH($F445,'#建筑消耗和buff配置索引'!$M:$M,0))=0,"",INDEX('#建筑消耗和buff配置索引'!U:U,MATCH($F445,'#建筑消耗和buff配置索引'!$M:$M,0)))</f>
        <v/>
      </c>
      <c r="Q445" s="133" t="str">
        <f>IF(INDEX('#建筑消耗和buff配置索引'!K:K,MATCH($F445,'#建筑消耗和buff配置索引'!$M:$M,0))=0,"",INDEX('#建筑消耗和buff配置索引'!K:K,MATCH($F445,'#建筑消耗和buff配置索引'!$M:$M,0)))</f>
        <v>201;204</v>
      </c>
      <c r="R445" s="133" t="str">
        <f>IF(INDEX('#建筑消耗和buff配置索引'!L:L,MATCH($F445,'#建筑消耗和buff配置索引'!$M:$M,0))=0,"",INDEX('#建筑消耗和buff配置索引'!L:L,MATCH($F445,'#建筑消耗和buff配置索引'!$M:$M,0)))</f>
        <v>20;20</v>
      </c>
      <c r="S445" s="133">
        <f>IF(INDEX('#建筑消耗和buff配置索引'!C:C,MATCH(F445,'#建筑消耗和buff配置索引'!M:M,0))=0,1,INDEX('#建筑消耗和buff配置索引'!C:C,MATCH(F445,'#建筑消耗和buff配置索引'!M:M,0)))</f>
        <v>1</v>
      </c>
      <c r="T445" s="133">
        <v>0</v>
      </c>
      <c r="U445" s="133">
        <v>0</v>
      </c>
      <c r="V445" s="133" t="str">
        <f>IF(E445=1,IF(INDEX('#建筑消耗和buff配置索引'!BY:BY,MATCH(D445,'#建筑消耗和buff配置索引'!A:A,0))=0,"",INDEX('#建筑消耗和buff配置索引'!BY:BY,MATCH(D445,'#建筑消耗和buff配置索引'!A:A,0))),"")</f>
        <v/>
      </c>
      <c r="W445" s="133" t="str">
        <f>IF(E445=1,IF(INDEX('#建筑消耗和buff配置索引'!BZ:BZ,MATCH(D445,'#建筑消耗和buff配置索引'!A:A,0))=0,"",INDEX('#建筑消耗和buff配置索引'!BZ:BZ,MATCH(D445,'#建筑消耗和buff配置索引'!A:A,0))),"")</f>
        <v/>
      </c>
      <c r="X445" s="133" t="str">
        <f>INDEX('#建筑消耗和buff配置索引'!BC:BC,MATCH(F445,'#建筑消耗和buff配置索引'!M:M,0))*100&amp;"%"</f>
        <v>0%</v>
      </c>
      <c r="AA445" s="133">
        <f>INDEX('#建筑消耗和buff配置索引'!AO:AO,MATCH($F445,'#建筑消耗和buff配置索引'!$M:$M,0))</f>
        <v>50611</v>
      </c>
      <c r="AB445" s="133">
        <f>IF(INDEX('#建筑消耗和buff配置索引'!AR:AR,MATCH($F445,'#建筑消耗和buff配置索引'!$M:$M,0))=0,"",INDEX('#建筑消耗和buff配置索引'!AR:AR,MATCH($F445,'#建筑消耗和buff配置索引'!$M:$M,0)))</f>
        <v>3000</v>
      </c>
      <c r="AC445" s="133">
        <f>IF(AB445="","",INDEX('#建筑消耗和buff配置索引'!AS:AS,MATCH($F445,'#建筑消耗和buff配置索引'!$M:$M,0)))</f>
        <v>9.5000000000000001E-2</v>
      </c>
      <c r="AF445" s="133">
        <f>IF(INDEX('#建筑消耗和buff配置索引'!AW:AW,MATCH($F445,'#建筑消耗和buff配置索引'!$M:$M,0))=0,"",INDEX('#建筑消耗和buff配置索引'!AW:AW,MATCH($F445,'#建筑消耗和buff配置索引'!$M:$M,0)))</f>
        <v>3016</v>
      </c>
      <c r="AG445" s="133">
        <f>IF(AF445="","",INDEX('#建筑消耗和buff配置索引'!AX:AX,MATCH($F445,'#建筑消耗和buff配置索引'!$M:$M,0)))</f>
        <v>950</v>
      </c>
      <c r="AJ445" s="133" t="str">
        <f>IF(INDEX('#建筑消耗和buff配置索引'!BB:BB,MATCH($F445,'#建筑消耗和buff配置索引'!$M:$M,0))=0,"",INDEX('#建筑消耗和buff配置索引'!BB:BB,MATCH($F445,'#建筑消耗和buff配置索引'!$M:$M,0)))</f>
        <v/>
      </c>
      <c r="AK445" s="133" t="str">
        <f>IF(AJ445="","",INDEX('#建筑消耗和buff配置索引'!BC:BC,MATCH($F445,'#建筑消耗和buff配置索引'!$M:$M,0)))</f>
        <v/>
      </c>
      <c r="AN445" s="133" t="str">
        <f>IF(INDEX('#建筑消耗和buff配置索引'!BG:BG,MATCH($F445,'#建筑消耗和buff配置索引'!$M:$M,0))=0,"",INDEX('#建筑消耗和buff配置索引'!BG:BG,MATCH($F445,'#建筑消耗和buff配置索引'!$M:$M,0)))</f>
        <v/>
      </c>
      <c r="AO445" s="133" t="str">
        <f>IF(AN445="","",INDEX('#建筑消耗和buff配置索引'!BH:BH,MATCH($F445,'#建筑消耗和buff配置索引'!$M:$M,0)))</f>
        <v/>
      </c>
      <c r="AR445" s="133" t="str">
        <f>IF(INDEX('#建筑消耗和buff配置索引'!BK:BK,MATCH($F445,'#建筑消耗和buff配置索引'!$M:$M,0))=0,"",INDEX('#建筑消耗和buff配置索引'!BK:BK,MATCH($F445,'#建筑消耗和buff配置索引'!$M:$M,0)))</f>
        <v/>
      </c>
      <c r="AS445" s="133" t="str">
        <f>IF(AR445="","",INDEX('#建筑消耗和buff配置索引'!BL:BL,MATCH($F445,'#建筑消耗和buff配置索引'!$M:$M,0)))</f>
        <v/>
      </c>
      <c r="AV445" s="133" t="str">
        <f>IF(INDEX('#建筑消耗和buff配置索引'!BO:BO,MATCH($F445,'#建筑消耗和buff配置索引'!$M:$M,0))=0,"",INDEX('#建筑消耗和buff配置索引'!BO:BO,MATCH($F445,'#建筑消耗和buff配置索引'!$M:$M,0)))</f>
        <v/>
      </c>
      <c r="AW445" s="133" t="str">
        <f>IF(AV445="","",INDEX('#建筑消耗和buff配置索引'!BP:BP,MATCH($F445,'#建筑消耗和buff配置索引'!$M:$M,0)))</f>
        <v/>
      </c>
      <c r="AZ445" s="133" t="str">
        <f>IF(INDEX('#建筑消耗和buff配置索引'!BS:BS,MATCH($F445,'#建筑消耗和buff配置索引'!$M:$M,0))=0,"",INDEX('#建筑消耗和buff配置索引'!BS:BS,MATCH($F445,'#建筑消耗和buff配置索引'!$M:$M,0)))</f>
        <v/>
      </c>
      <c r="BA445" s="133" t="str">
        <f>IF(AZ445="","",INDEX('#建筑消耗和buff配置索引'!BT:BT,MATCH($F445,'#建筑消耗和buff配置索引'!$M:$M,0)))</f>
        <v/>
      </c>
      <c r="BD445" s="133" t="str">
        <f>IF(INDEX('#建筑消耗和buff配置索引'!BW:BW,MATCH($F445,'#建筑消耗和buff配置索引'!$M:$M,0))=0,"",INDEX('#建筑消耗和buff配置索引'!BW:BW,MATCH($F445,'#建筑消耗和buff配置索引'!$M:$M,0)))</f>
        <v/>
      </c>
      <c r="BE445" s="133" t="str">
        <f>IF(BD445="","",INDEX('#建筑消耗和buff配置索引'!BX:BX,MATCH($F445,'#建筑消耗和buff配置索引'!$M:$M,0)))</f>
        <v/>
      </c>
      <c r="BI445" s="133">
        <v>9</v>
      </c>
    </row>
    <row r="446" spans="1:62" s="133" customFormat="1">
      <c r="A446" s="133">
        <v>2320021</v>
      </c>
      <c r="B446" s="133">
        <v>443</v>
      </c>
      <c r="C446" s="133">
        <v>232</v>
      </c>
      <c r="D446" s="133" t="s">
        <v>319</v>
      </c>
      <c r="E446" s="133">
        <v>21</v>
      </c>
      <c r="F446" s="133" t="str">
        <f t="shared" si="8"/>
        <v>枪兵营21</v>
      </c>
      <c r="H446" s="146"/>
      <c r="I446" s="133">
        <v>3</v>
      </c>
      <c r="J446" s="150">
        <f>INDEX('#建筑消耗和buff配置索引'!AH:AH,MATCH($F446,'#建筑消耗和buff配置索引'!$M:$M,0))</f>
        <v>138240</v>
      </c>
      <c r="K446" s="150">
        <f>INDEX('#建筑消耗和buff配置索引'!AA:AA,MATCH($F446,'#建筑消耗和buff配置索引'!$M:$M,0))</f>
        <v>1900000</v>
      </c>
      <c r="L446" s="150">
        <f>INDEX('#建筑消耗和buff配置索引'!AB:AB,MATCH($F446,'#建筑消耗和buff配置索引'!$M:$M,0))</f>
        <v>1900000</v>
      </c>
      <c r="M446" s="150">
        <f>INDEX('#建筑消耗和buff配置索引'!AC:AC,MATCH($F446,'#建筑消耗和buff配置索引'!$M:$M,0))</f>
        <v>1900000</v>
      </c>
      <c r="N446" s="150">
        <f>INDEX('#建筑消耗和buff配置索引'!AD:AD,MATCH($F446,'#建筑消耗和buff配置索引'!$M:$M,0))</f>
        <v>1900000</v>
      </c>
      <c r="O446" s="150" t="str">
        <f>IF(INDEX('#建筑消耗和buff配置索引'!T:T,MATCH($F446,'#建筑消耗和buff配置索引'!$M:$M,0))=0,"",INDEX('#建筑消耗和buff配置索引'!T:T,MATCH($F446,'#建筑消耗和buff配置索引'!$M:$M,0)))</f>
        <v/>
      </c>
      <c r="P446" s="133" t="str">
        <f>IF(INDEX('#建筑消耗和buff配置索引'!U:U,MATCH($F446,'#建筑消耗和buff配置索引'!$M:$M,0))=0,"",INDEX('#建筑消耗和buff配置索引'!U:U,MATCH($F446,'#建筑消耗和buff配置索引'!$M:$M,0)))</f>
        <v/>
      </c>
      <c r="Q446" s="133" t="str">
        <f>IF(INDEX('#建筑消耗和buff配置索引'!K:K,MATCH($F446,'#建筑消耗和buff配置索引'!$M:$M,0))=0,"",INDEX('#建筑消耗和buff配置索引'!K:K,MATCH($F446,'#建筑消耗和buff配置索引'!$M:$M,0)))</f>
        <v>201;204</v>
      </c>
      <c r="R446" s="133" t="str">
        <f>IF(INDEX('#建筑消耗和buff配置索引'!L:L,MATCH($F446,'#建筑消耗和buff配置索引'!$M:$M,0))=0,"",INDEX('#建筑消耗和buff配置索引'!L:L,MATCH($F446,'#建筑消耗和buff配置索引'!$M:$M,0)))</f>
        <v>21;21</v>
      </c>
      <c r="S446" s="133">
        <f>IF(INDEX('#建筑消耗和buff配置索引'!C:C,MATCH(F446,'#建筑消耗和buff配置索引'!M:M,0))=0,1,INDEX('#建筑消耗和buff配置索引'!C:C,MATCH(F446,'#建筑消耗和buff配置索引'!M:M,0)))</f>
        <v>1</v>
      </c>
      <c r="T446" s="133">
        <v>0</v>
      </c>
      <c r="U446" s="133">
        <v>0</v>
      </c>
      <c r="V446" s="133" t="str">
        <f>IF(E446=1,IF(INDEX('#建筑消耗和buff配置索引'!BY:BY,MATCH(D446,'#建筑消耗和buff配置索引'!A:A,0))=0,"",INDEX('#建筑消耗和buff配置索引'!BY:BY,MATCH(D446,'#建筑消耗和buff配置索引'!A:A,0))),"")</f>
        <v/>
      </c>
      <c r="W446" s="133" t="str">
        <f>IF(E446=1,IF(INDEX('#建筑消耗和buff配置索引'!BZ:BZ,MATCH(D446,'#建筑消耗和buff配置索引'!A:A,0))=0,"",INDEX('#建筑消耗和buff配置索引'!BZ:BZ,MATCH(D446,'#建筑消耗和buff配置索引'!A:A,0))),"")</f>
        <v/>
      </c>
      <c r="AA446" s="133">
        <f>INDEX('#建筑消耗和buff配置索引'!AO:AO,MATCH($F446,'#建筑消耗和buff配置索引'!$M:$M,0))</f>
        <v>65687</v>
      </c>
      <c r="AB446" s="133">
        <f>IF(INDEX('#建筑消耗和buff配置索引'!AR:AR,MATCH($F446,'#建筑消耗和buff配置索引'!$M:$M,0))=0,"",INDEX('#建筑消耗和buff配置索引'!AR:AR,MATCH($F446,'#建筑消耗和buff配置索引'!$M:$M,0)))</f>
        <v>3000</v>
      </c>
      <c r="AC446" s="133">
        <f>IF(AB446="","",INDEX('#建筑消耗和buff配置索引'!AS:AS,MATCH($F446,'#建筑消耗和buff配置索引'!$M:$M,0)))</f>
        <v>0.1</v>
      </c>
      <c r="AF446" s="133">
        <f>IF(INDEX('#建筑消耗和buff配置索引'!AW:AW,MATCH($F446,'#建筑消耗和buff配置索引'!$M:$M,0))=0,"",INDEX('#建筑消耗和buff配置索引'!AW:AW,MATCH($F446,'#建筑消耗和buff配置索引'!$M:$M,0)))</f>
        <v>3016</v>
      </c>
      <c r="AG446" s="133">
        <f>IF(AF446="","",INDEX('#建筑消耗和buff配置索引'!AX:AX,MATCH($F446,'#建筑消耗和buff配置索引'!$M:$M,0)))</f>
        <v>1000</v>
      </c>
      <c r="AJ446" s="133" t="str">
        <f>IF(INDEX('#建筑消耗和buff配置索引'!BB:BB,MATCH($F446,'#建筑消耗和buff配置索引'!$M:$M,0))=0,"",INDEX('#建筑消耗和buff配置索引'!BB:BB,MATCH($F446,'#建筑消耗和buff配置索引'!$M:$M,0)))</f>
        <v/>
      </c>
      <c r="AK446" s="133" t="str">
        <f>IF(AJ446="","",INDEX('#建筑消耗和buff配置索引'!BC:BC,MATCH($F446,'#建筑消耗和buff配置索引'!$M:$M,0)))</f>
        <v/>
      </c>
      <c r="AN446" s="133" t="str">
        <f>IF(INDEX('#建筑消耗和buff配置索引'!BG:BG,MATCH($F446,'#建筑消耗和buff配置索引'!$M:$M,0))=0,"",INDEX('#建筑消耗和buff配置索引'!BG:BG,MATCH($F446,'#建筑消耗和buff配置索引'!$M:$M,0)))</f>
        <v/>
      </c>
      <c r="AO446" s="133" t="str">
        <f>IF(AN446="","",INDEX('#建筑消耗和buff配置索引'!BH:BH,MATCH($F446,'#建筑消耗和buff配置索引'!$M:$M,0)))</f>
        <v/>
      </c>
      <c r="AR446" s="133" t="str">
        <f>IF(INDEX('#建筑消耗和buff配置索引'!BK:BK,MATCH($F446,'#建筑消耗和buff配置索引'!$M:$M,0))=0,"",INDEX('#建筑消耗和buff配置索引'!BK:BK,MATCH($F446,'#建筑消耗和buff配置索引'!$M:$M,0)))</f>
        <v/>
      </c>
      <c r="AS446" s="133" t="str">
        <f>IF(AR446="","",INDEX('#建筑消耗和buff配置索引'!BL:BL,MATCH($F446,'#建筑消耗和buff配置索引'!$M:$M,0)))</f>
        <v/>
      </c>
      <c r="AV446" s="133" t="str">
        <f>IF(INDEX('#建筑消耗和buff配置索引'!BO:BO,MATCH($F446,'#建筑消耗和buff配置索引'!$M:$M,0))=0,"",INDEX('#建筑消耗和buff配置索引'!BO:BO,MATCH($F446,'#建筑消耗和buff配置索引'!$M:$M,0)))</f>
        <v/>
      </c>
      <c r="AW446" s="133" t="str">
        <f>IF(AV446="","",INDEX('#建筑消耗和buff配置索引'!BP:BP,MATCH($F446,'#建筑消耗和buff配置索引'!$M:$M,0)))</f>
        <v/>
      </c>
      <c r="AZ446" s="133" t="str">
        <f>IF(INDEX('#建筑消耗和buff配置索引'!BS:BS,MATCH($F446,'#建筑消耗和buff配置索引'!$M:$M,0))=0,"",INDEX('#建筑消耗和buff配置索引'!BS:BS,MATCH($F446,'#建筑消耗和buff配置索引'!$M:$M,0)))</f>
        <v/>
      </c>
      <c r="BA446" s="133" t="str">
        <f>IF(AZ446="","",INDEX('#建筑消耗和buff配置索引'!BT:BT,MATCH($F446,'#建筑消耗和buff配置索引'!$M:$M,0)))</f>
        <v/>
      </c>
      <c r="BD446" s="133" t="str">
        <f>IF(INDEX('#建筑消耗和buff配置索引'!BW:BW,MATCH($F446,'#建筑消耗和buff配置索引'!$M:$M,0))=0,"",INDEX('#建筑消耗和buff配置索引'!BW:BW,MATCH($F446,'#建筑消耗和buff配置索引'!$M:$M,0)))</f>
        <v/>
      </c>
      <c r="BE446" s="133" t="str">
        <f>IF(BD446="","",INDEX('#建筑消耗和buff配置索引'!BX:BX,MATCH($F446,'#建筑消耗和buff配置索引'!$M:$M,0)))</f>
        <v/>
      </c>
      <c r="BI446" s="133">
        <v>9</v>
      </c>
    </row>
    <row r="447" spans="1:62" s="133" customFormat="1">
      <c r="A447" s="133">
        <v>2320022</v>
      </c>
      <c r="B447" s="133">
        <v>444</v>
      </c>
      <c r="C447" s="133">
        <v>232</v>
      </c>
      <c r="D447" s="133" t="s">
        <v>319</v>
      </c>
      <c r="E447" s="133">
        <v>22</v>
      </c>
      <c r="F447" s="133" t="str">
        <f t="shared" si="8"/>
        <v>枪兵营22</v>
      </c>
      <c r="H447" s="146"/>
      <c r="I447" s="133">
        <v>3</v>
      </c>
      <c r="J447" s="150">
        <f>INDEX('#建筑消耗和buff配置索引'!AH:AH,MATCH($F447,'#建筑消耗和buff配置索引'!$M:$M,0))</f>
        <v>181440</v>
      </c>
      <c r="K447" s="150">
        <f>INDEX('#建筑消耗和buff配置索引'!AA:AA,MATCH($F447,'#建筑消耗和buff配置索引'!$M:$M,0))</f>
        <v>2400000</v>
      </c>
      <c r="L447" s="150">
        <f>INDEX('#建筑消耗和buff配置索引'!AB:AB,MATCH($F447,'#建筑消耗和buff配置索引'!$M:$M,0))</f>
        <v>2400000</v>
      </c>
      <c r="M447" s="150">
        <f>INDEX('#建筑消耗和buff配置索引'!AC:AC,MATCH($F447,'#建筑消耗和buff配置索引'!$M:$M,0))</f>
        <v>2400000</v>
      </c>
      <c r="N447" s="150">
        <f>INDEX('#建筑消耗和buff配置索引'!AD:AD,MATCH($F447,'#建筑消耗和buff配置索引'!$M:$M,0))</f>
        <v>2400000</v>
      </c>
      <c r="O447" s="150" t="str">
        <f>IF(INDEX('#建筑消耗和buff配置索引'!T:T,MATCH($F447,'#建筑消耗和buff配置索引'!$M:$M,0))=0,"",INDEX('#建筑消耗和buff配置索引'!T:T,MATCH($F447,'#建筑消耗和buff配置索引'!$M:$M,0)))</f>
        <v/>
      </c>
      <c r="P447" s="133" t="str">
        <f>IF(INDEX('#建筑消耗和buff配置索引'!U:U,MATCH($F447,'#建筑消耗和buff配置索引'!$M:$M,0))=0,"",INDEX('#建筑消耗和buff配置索引'!U:U,MATCH($F447,'#建筑消耗和buff配置索引'!$M:$M,0)))</f>
        <v/>
      </c>
      <c r="Q447" s="133" t="str">
        <f>IF(INDEX('#建筑消耗和buff配置索引'!K:K,MATCH($F447,'#建筑消耗和buff配置索引'!$M:$M,0))=0,"",INDEX('#建筑消耗和buff配置索引'!K:K,MATCH($F447,'#建筑消耗和buff配置索引'!$M:$M,0)))</f>
        <v>201;204</v>
      </c>
      <c r="R447" s="133" t="str">
        <f>IF(INDEX('#建筑消耗和buff配置索引'!L:L,MATCH($F447,'#建筑消耗和buff配置索引'!$M:$M,0))=0,"",INDEX('#建筑消耗和buff配置索引'!L:L,MATCH($F447,'#建筑消耗和buff配置索引'!$M:$M,0)))</f>
        <v>22;22</v>
      </c>
      <c r="S447" s="133">
        <f>IF(INDEX('#建筑消耗和buff配置索引'!C:C,MATCH(F447,'#建筑消耗和buff配置索引'!M:M,0))=0,1,INDEX('#建筑消耗和buff配置索引'!C:C,MATCH(F447,'#建筑消耗和buff配置索引'!M:M,0)))</f>
        <v>1</v>
      </c>
      <c r="T447" s="133">
        <v>0</v>
      </c>
      <c r="U447" s="133">
        <v>0</v>
      </c>
      <c r="V447" s="133" t="str">
        <f>IF(E447=1,IF(INDEX('#建筑消耗和buff配置索引'!BY:BY,MATCH(D447,'#建筑消耗和buff配置索引'!A:A,0))=0,"",INDEX('#建筑消耗和buff配置索引'!BY:BY,MATCH(D447,'#建筑消耗和buff配置索引'!A:A,0))),"")</f>
        <v/>
      </c>
      <c r="W447" s="133" t="str">
        <f>IF(E447=1,IF(INDEX('#建筑消耗和buff配置索引'!BZ:BZ,MATCH(D447,'#建筑消耗和buff配置索引'!A:A,0))=0,"",INDEX('#建筑消耗和buff配置索引'!BZ:BZ,MATCH(D447,'#建筑消耗和buff配置索引'!A:A,0))),"")</f>
        <v/>
      </c>
      <c r="AA447" s="133">
        <f>INDEX('#建筑消耗和buff配置索引'!AO:AO,MATCH($F447,'#建筑消耗和buff配置索引'!$M:$M,0))</f>
        <v>84984</v>
      </c>
      <c r="AB447" s="133">
        <f>IF(INDEX('#建筑消耗和buff配置索引'!AR:AR,MATCH($F447,'#建筑消耗和buff配置索引'!$M:$M,0))=0,"",INDEX('#建筑消耗和buff配置索引'!AR:AR,MATCH($F447,'#建筑消耗和buff配置索引'!$M:$M,0)))</f>
        <v>3000</v>
      </c>
      <c r="AC447" s="133">
        <f>IF(AB447="","",INDEX('#建筑消耗和buff配置索引'!AS:AS,MATCH($F447,'#建筑消耗和buff配置索引'!$M:$M,0)))</f>
        <v>0.105</v>
      </c>
      <c r="AF447" s="133">
        <f>IF(INDEX('#建筑消耗和buff配置索引'!AW:AW,MATCH($F447,'#建筑消耗和buff配置索引'!$M:$M,0))=0,"",INDEX('#建筑消耗和buff配置索引'!AW:AW,MATCH($F447,'#建筑消耗和buff配置索引'!$M:$M,0)))</f>
        <v>3016</v>
      </c>
      <c r="AG447" s="133">
        <f>IF(AF447="","",INDEX('#建筑消耗和buff配置索引'!AX:AX,MATCH($F447,'#建筑消耗和buff配置索引'!$M:$M,0)))</f>
        <v>1050</v>
      </c>
      <c r="AJ447" s="133" t="str">
        <f>IF(INDEX('#建筑消耗和buff配置索引'!BB:BB,MATCH($F447,'#建筑消耗和buff配置索引'!$M:$M,0))=0,"",INDEX('#建筑消耗和buff配置索引'!BB:BB,MATCH($F447,'#建筑消耗和buff配置索引'!$M:$M,0)))</f>
        <v/>
      </c>
      <c r="AK447" s="133" t="str">
        <f>IF(AJ447="","",INDEX('#建筑消耗和buff配置索引'!BC:BC,MATCH($F447,'#建筑消耗和buff配置索引'!$M:$M,0)))</f>
        <v/>
      </c>
      <c r="AN447" s="133" t="str">
        <f>IF(INDEX('#建筑消耗和buff配置索引'!BG:BG,MATCH($F447,'#建筑消耗和buff配置索引'!$M:$M,0))=0,"",INDEX('#建筑消耗和buff配置索引'!BG:BG,MATCH($F447,'#建筑消耗和buff配置索引'!$M:$M,0)))</f>
        <v/>
      </c>
      <c r="AO447" s="133" t="str">
        <f>IF(AN447="","",INDEX('#建筑消耗和buff配置索引'!BH:BH,MATCH($F447,'#建筑消耗和buff配置索引'!$M:$M,0)))</f>
        <v/>
      </c>
      <c r="AR447" s="133" t="str">
        <f>IF(INDEX('#建筑消耗和buff配置索引'!BK:BK,MATCH($F447,'#建筑消耗和buff配置索引'!$M:$M,0))=0,"",INDEX('#建筑消耗和buff配置索引'!BK:BK,MATCH($F447,'#建筑消耗和buff配置索引'!$M:$M,0)))</f>
        <v/>
      </c>
      <c r="AS447" s="133" t="str">
        <f>IF(AR447="","",INDEX('#建筑消耗和buff配置索引'!BL:BL,MATCH($F447,'#建筑消耗和buff配置索引'!$M:$M,0)))</f>
        <v/>
      </c>
      <c r="AV447" s="133" t="str">
        <f>IF(INDEX('#建筑消耗和buff配置索引'!BO:BO,MATCH($F447,'#建筑消耗和buff配置索引'!$M:$M,0))=0,"",INDEX('#建筑消耗和buff配置索引'!BO:BO,MATCH($F447,'#建筑消耗和buff配置索引'!$M:$M,0)))</f>
        <v/>
      </c>
      <c r="AW447" s="133" t="str">
        <f>IF(AV447="","",INDEX('#建筑消耗和buff配置索引'!BP:BP,MATCH($F447,'#建筑消耗和buff配置索引'!$M:$M,0)))</f>
        <v/>
      </c>
      <c r="AZ447" s="133" t="str">
        <f>IF(INDEX('#建筑消耗和buff配置索引'!BS:BS,MATCH($F447,'#建筑消耗和buff配置索引'!$M:$M,0))=0,"",INDEX('#建筑消耗和buff配置索引'!BS:BS,MATCH($F447,'#建筑消耗和buff配置索引'!$M:$M,0)))</f>
        <v/>
      </c>
      <c r="BA447" s="133" t="str">
        <f>IF(AZ447="","",INDEX('#建筑消耗和buff配置索引'!BT:BT,MATCH($F447,'#建筑消耗和buff配置索引'!$M:$M,0)))</f>
        <v/>
      </c>
      <c r="BD447" s="133" t="str">
        <f>IF(INDEX('#建筑消耗和buff配置索引'!BW:BW,MATCH($F447,'#建筑消耗和buff配置索引'!$M:$M,0))=0,"",INDEX('#建筑消耗和buff配置索引'!BW:BW,MATCH($F447,'#建筑消耗和buff配置索引'!$M:$M,0)))</f>
        <v/>
      </c>
      <c r="BE447" s="133" t="str">
        <f>IF(BD447="","",INDEX('#建筑消耗和buff配置索引'!BX:BX,MATCH($F447,'#建筑消耗和buff配置索引'!$M:$M,0)))</f>
        <v/>
      </c>
      <c r="BI447" s="133">
        <v>9</v>
      </c>
    </row>
    <row r="448" spans="1:62" s="133" customFormat="1">
      <c r="A448" s="133">
        <v>2320023</v>
      </c>
      <c r="B448" s="133">
        <v>445</v>
      </c>
      <c r="C448" s="133">
        <v>232</v>
      </c>
      <c r="D448" s="133" t="s">
        <v>319</v>
      </c>
      <c r="E448" s="133">
        <v>23</v>
      </c>
      <c r="F448" s="133" t="str">
        <f t="shared" si="8"/>
        <v>枪兵营23</v>
      </c>
      <c r="H448" s="146"/>
      <c r="I448" s="133">
        <v>3</v>
      </c>
      <c r="J448" s="150">
        <f>INDEX('#建筑消耗和buff配置索引'!AH:AH,MATCH($F448,'#建筑消耗和buff配置索引'!$M:$M,0))</f>
        <v>233280</v>
      </c>
      <c r="K448" s="150">
        <f>INDEX('#建筑消耗和buff配置索引'!AA:AA,MATCH($F448,'#建筑消耗和buff配置索引'!$M:$M,0))</f>
        <v>3100000</v>
      </c>
      <c r="L448" s="150">
        <f>INDEX('#建筑消耗和buff配置索引'!AB:AB,MATCH($F448,'#建筑消耗和buff配置索引'!$M:$M,0))</f>
        <v>3100000</v>
      </c>
      <c r="M448" s="150">
        <f>INDEX('#建筑消耗和buff配置索引'!AC:AC,MATCH($F448,'#建筑消耗和buff配置索引'!$M:$M,0))</f>
        <v>3100000</v>
      </c>
      <c r="N448" s="150">
        <f>INDEX('#建筑消耗和buff配置索引'!AD:AD,MATCH($F448,'#建筑消耗和buff配置索引'!$M:$M,0))</f>
        <v>3100000</v>
      </c>
      <c r="O448" s="150" t="str">
        <f>IF(INDEX('#建筑消耗和buff配置索引'!T:T,MATCH($F448,'#建筑消耗和buff配置索引'!$M:$M,0))=0,"",INDEX('#建筑消耗和buff配置索引'!T:T,MATCH($F448,'#建筑消耗和buff配置索引'!$M:$M,0)))</f>
        <v/>
      </c>
      <c r="P448" s="133" t="str">
        <f>IF(INDEX('#建筑消耗和buff配置索引'!U:U,MATCH($F448,'#建筑消耗和buff配置索引'!$M:$M,0))=0,"",INDEX('#建筑消耗和buff配置索引'!U:U,MATCH($F448,'#建筑消耗和buff配置索引'!$M:$M,0)))</f>
        <v/>
      </c>
      <c r="Q448" s="133" t="str">
        <f>IF(INDEX('#建筑消耗和buff配置索引'!K:K,MATCH($F448,'#建筑消耗和buff配置索引'!$M:$M,0))=0,"",INDEX('#建筑消耗和buff配置索引'!K:K,MATCH($F448,'#建筑消耗和buff配置索引'!$M:$M,0)))</f>
        <v>201;204</v>
      </c>
      <c r="R448" s="133" t="str">
        <f>IF(INDEX('#建筑消耗和buff配置索引'!L:L,MATCH($F448,'#建筑消耗和buff配置索引'!$M:$M,0))=0,"",INDEX('#建筑消耗和buff配置索引'!L:L,MATCH($F448,'#建筑消耗和buff配置索引'!$M:$M,0)))</f>
        <v>23;23</v>
      </c>
      <c r="S448" s="133">
        <f>IF(INDEX('#建筑消耗和buff配置索引'!C:C,MATCH(F448,'#建筑消耗和buff配置索引'!M:M,0))=0,1,INDEX('#建筑消耗和buff配置索引'!C:C,MATCH(F448,'#建筑消耗和buff配置索引'!M:M,0)))</f>
        <v>1</v>
      </c>
      <c r="T448" s="133">
        <v>0</v>
      </c>
      <c r="U448" s="133">
        <v>0</v>
      </c>
      <c r="V448" s="133" t="str">
        <f>IF(E448=1,IF(INDEX('#建筑消耗和buff配置索引'!BY:BY,MATCH(D448,'#建筑消耗和buff配置索引'!A:A,0))=0,"",INDEX('#建筑消耗和buff配置索引'!BY:BY,MATCH(D448,'#建筑消耗和buff配置索引'!A:A,0))),"")</f>
        <v/>
      </c>
      <c r="W448" s="133" t="str">
        <f>IF(E448=1,IF(INDEX('#建筑消耗和buff配置索引'!BZ:BZ,MATCH(D448,'#建筑消耗和buff配置索引'!A:A,0))=0,"",INDEX('#建筑消耗和buff配置索引'!BZ:BZ,MATCH(D448,'#建筑消耗和buff配置索引'!A:A,0))),"")</f>
        <v/>
      </c>
      <c r="AA448" s="133">
        <f>INDEX('#建筑消耗和buff配置索引'!AO:AO,MATCH($F448,'#建筑消耗和buff配置索引'!$M:$M,0))</f>
        <v>109684</v>
      </c>
      <c r="AB448" s="133">
        <f>IF(INDEX('#建筑消耗和buff配置索引'!AR:AR,MATCH($F448,'#建筑消耗和buff配置索引'!$M:$M,0))=0,"",INDEX('#建筑消耗和buff配置索引'!AR:AR,MATCH($F448,'#建筑消耗和buff配置索引'!$M:$M,0)))</f>
        <v>3000</v>
      </c>
      <c r="AC448" s="133">
        <f>IF(AB448="","",INDEX('#建筑消耗和buff配置索引'!AS:AS,MATCH($F448,'#建筑消耗和buff配置索引'!$M:$M,0)))</f>
        <v>0.11</v>
      </c>
      <c r="AF448" s="133">
        <f>IF(INDEX('#建筑消耗和buff配置索引'!AW:AW,MATCH($F448,'#建筑消耗和buff配置索引'!$M:$M,0))=0,"",INDEX('#建筑消耗和buff配置索引'!AW:AW,MATCH($F448,'#建筑消耗和buff配置索引'!$M:$M,0)))</f>
        <v>3016</v>
      </c>
      <c r="AG448" s="133">
        <f>IF(AF448="","",INDEX('#建筑消耗和buff配置索引'!AX:AX,MATCH($F448,'#建筑消耗和buff配置索引'!$M:$M,0)))</f>
        <v>1100</v>
      </c>
      <c r="AJ448" s="133" t="str">
        <f>IF(INDEX('#建筑消耗和buff配置索引'!BB:BB,MATCH($F448,'#建筑消耗和buff配置索引'!$M:$M,0))=0,"",INDEX('#建筑消耗和buff配置索引'!BB:BB,MATCH($F448,'#建筑消耗和buff配置索引'!$M:$M,0)))</f>
        <v/>
      </c>
      <c r="AK448" s="133" t="str">
        <f>IF(AJ448="","",INDEX('#建筑消耗和buff配置索引'!BC:BC,MATCH($F448,'#建筑消耗和buff配置索引'!$M:$M,0)))</f>
        <v/>
      </c>
      <c r="AN448" s="133" t="str">
        <f>IF(INDEX('#建筑消耗和buff配置索引'!BG:BG,MATCH($F448,'#建筑消耗和buff配置索引'!$M:$M,0))=0,"",INDEX('#建筑消耗和buff配置索引'!BG:BG,MATCH($F448,'#建筑消耗和buff配置索引'!$M:$M,0)))</f>
        <v/>
      </c>
      <c r="AO448" s="133" t="str">
        <f>IF(AN448="","",INDEX('#建筑消耗和buff配置索引'!BH:BH,MATCH($F448,'#建筑消耗和buff配置索引'!$M:$M,0)))</f>
        <v/>
      </c>
      <c r="AR448" s="133" t="str">
        <f>IF(INDEX('#建筑消耗和buff配置索引'!BK:BK,MATCH($F448,'#建筑消耗和buff配置索引'!$M:$M,0))=0,"",INDEX('#建筑消耗和buff配置索引'!BK:BK,MATCH($F448,'#建筑消耗和buff配置索引'!$M:$M,0)))</f>
        <v/>
      </c>
      <c r="AS448" s="133" t="str">
        <f>IF(AR448="","",INDEX('#建筑消耗和buff配置索引'!BL:BL,MATCH($F448,'#建筑消耗和buff配置索引'!$M:$M,0)))</f>
        <v/>
      </c>
      <c r="AV448" s="133" t="str">
        <f>IF(INDEX('#建筑消耗和buff配置索引'!BO:BO,MATCH($F448,'#建筑消耗和buff配置索引'!$M:$M,0))=0,"",INDEX('#建筑消耗和buff配置索引'!BO:BO,MATCH($F448,'#建筑消耗和buff配置索引'!$M:$M,0)))</f>
        <v/>
      </c>
      <c r="AW448" s="133" t="str">
        <f>IF(AV448="","",INDEX('#建筑消耗和buff配置索引'!BP:BP,MATCH($F448,'#建筑消耗和buff配置索引'!$M:$M,0)))</f>
        <v/>
      </c>
      <c r="AZ448" s="133" t="str">
        <f>IF(INDEX('#建筑消耗和buff配置索引'!BS:BS,MATCH($F448,'#建筑消耗和buff配置索引'!$M:$M,0))=0,"",INDEX('#建筑消耗和buff配置索引'!BS:BS,MATCH($F448,'#建筑消耗和buff配置索引'!$M:$M,0)))</f>
        <v/>
      </c>
      <c r="BA448" s="133" t="str">
        <f>IF(AZ448="","",INDEX('#建筑消耗和buff配置索引'!BT:BT,MATCH($F448,'#建筑消耗和buff配置索引'!$M:$M,0)))</f>
        <v/>
      </c>
      <c r="BD448" s="133" t="str">
        <f>IF(INDEX('#建筑消耗和buff配置索引'!BW:BW,MATCH($F448,'#建筑消耗和buff配置索引'!$M:$M,0))=0,"",INDEX('#建筑消耗和buff配置索引'!BW:BW,MATCH($F448,'#建筑消耗和buff配置索引'!$M:$M,0)))</f>
        <v/>
      </c>
      <c r="BE448" s="133" t="str">
        <f>IF(BD448="","",INDEX('#建筑消耗和buff配置索引'!BX:BX,MATCH($F448,'#建筑消耗和buff配置索引'!$M:$M,0)))</f>
        <v/>
      </c>
      <c r="BI448" s="133">
        <v>9</v>
      </c>
    </row>
    <row r="449" spans="1:70" s="133" customFormat="1">
      <c r="A449" s="133">
        <v>2320024</v>
      </c>
      <c r="B449" s="133">
        <v>446</v>
      </c>
      <c r="C449" s="133">
        <v>232</v>
      </c>
      <c r="D449" s="133" t="s">
        <v>319</v>
      </c>
      <c r="E449" s="133">
        <v>24</v>
      </c>
      <c r="F449" s="133" t="str">
        <f t="shared" si="8"/>
        <v>枪兵营24</v>
      </c>
      <c r="H449" s="146"/>
      <c r="I449" s="133">
        <v>3</v>
      </c>
      <c r="J449" s="150">
        <f>INDEX('#建筑消耗和buff配置索引'!AH:AH,MATCH($F449,'#建筑消耗和buff配置索引'!$M:$M,0))</f>
        <v>298080</v>
      </c>
      <c r="K449" s="150">
        <f>INDEX('#建筑消耗和buff配置索引'!AA:AA,MATCH($F449,'#建筑消耗和buff配置索引'!$M:$M,0))</f>
        <v>4000000</v>
      </c>
      <c r="L449" s="150">
        <f>INDEX('#建筑消耗和buff配置索引'!AB:AB,MATCH($F449,'#建筑消耗和buff配置索引'!$M:$M,0))</f>
        <v>4000000</v>
      </c>
      <c r="M449" s="150">
        <f>INDEX('#建筑消耗和buff配置索引'!AC:AC,MATCH($F449,'#建筑消耗和buff配置索引'!$M:$M,0))</f>
        <v>4000000</v>
      </c>
      <c r="N449" s="150">
        <f>INDEX('#建筑消耗和buff配置索引'!AD:AD,MATCH($F449,'#建筑消耗和buff配置索引'!$M:$M,0))</f>
        <v>4000000</v>
      </c>
      <c r="O449" s="150" t="str">
        <f>IF(INDEX('#建筑消耗和buff配置索引'!T:T,MATCH($F449,'#建筑消耗和buff配置索引'!$M:$M,0))=0,"",INDEX('#建筑消耗和buff配置索引'!T:T,MATCH($F449,'#建筑消耗和buff配置索引'!$M:$M,0)))</f>
        <v/>
      </c>
      <c r="P449" s="133" t="str">
        <f>IF(INDEX('#建筑消耗和buff配置索引'!U:U,MATCH($F449,'#建筑消耗和buff配置索引'!$M:$M,0))=0,"",INDEX('#建筑消耗和buff配置索引'!U:U,MATCH($F449,'#建筑消耗和buff配置索引'!$M:$M,0)))</f>
        <v/>
      </c>
      <c r="Q449" s="133" t="str">
        <f>IF(INDEX('#建筑消耗和buff配置索引'!K:K,MATCH($F449,'#建筑消耗和buff配置索引'!$M:$M,0))=0,"",INDEX('#建筑消耗和buff配置索引'!K:K,MATCH($F449,'#建筑消耗和buff配置索引'!$M:$M,0)))</f>
        <v>201;204</v>
      </c>
      <c r="R449" s="133" t="str">
        <f>IF(INDEX('#建筑消耗和buff配置索引'!L:L,MATCH($F449,'#建筑消耗和buff配置索引'!$M:$M,0))=0,"",INDEX('#建筑消耗和buff配置索引'!L:L,MATCH($F449,'#建筑消耗和buff配置索引'!$M:$M,0)))</f>
        <v>24;24</v>
      </c>
      <c r="S449" s="133">
        <f>IF(INDEX('#建筑消耗和buff配置索引'!C:C,MATCH(F449,'#建筑消耗和buff配置索引'!M:M,0))=0,1,INDEX('#建筑消耗和buff配置索引'!C:C,MATCH(F449,'#建筑消耗和buff配置索引'!M:M,0)))</f>
        <v>1</v>
      </c>
      <c r="T449" s="133">
        <v>0</v>
      </c>
      <c r="U449" s="133">
        <v>0</v>
      </c>
      <c r="V449" s="133" t="str">
        <f>IF(E449=1,IF(INDEX('#建筑消耗和buff配置索引'!BY:BY,MATCH(D449,'#建筑消耗和buff配置索引'!A:A,0))=0,"",INDEX('#建筑消耗和buff配置索引'!BY:BY,MATCH(D449,'#建筑消耗和buff配置索引'!A:A,0))),"")</f>
        <v/>
      </c>
      <c r="W449" s="133" t="str">
        <f>IF(E449=1,IF(INDEX('#建筑消耗和buff配置索引'!BZ:BZ,MATCH(D449,'#建筑消耗和buff配置索引'!A:A,0))=0,"",INDEX('#建筑消耗和buff配置索引'!BZ:BZ,MATCH(D449,'#建筑消耗和buff配置索引'!A:A,0))),"")</f>
        <v/>
      </c>
      <c r="AA449" s="133">
        <f>INDEX('#建筑消耗和buff配置索引'!AO:AO,MATCH($F449,'#建筑消耗和buff配置索引'!$M:$M,0))</f>
        <v>141300</v>
      </c>
      <c r="AB449" s="133">
        <f>IF(INDEX('#建筑消耗和buff配置索引'!AR:AR,MATCH($F449,'#建筑消耗和buff配置索引'!$M:$M,0))=0,"",INDEX('#建筑消耗和buff配置索引'!AR:AR,MATCH($F449,'#建筑消耗和buff配置索引'!$M:$M,0)))</f>
        <v>3000</v>
      </c>
      <c r="AC449" s="133">
        <f>IF(AB449="","",INDEX('#建筑消耗和buff配置索引'!AS:AS,MATCH($F449,'#建筑消耗和buff配置索引'!$M:$M,0)))</f>
        <v>0.115</v>
      </c>
      <c r="AF449" s="133">
        <f>IF(INDEX('#建筑消耗和buff配置索引'!AW:AW,MATCH($F449,'#建筑消耗和buff配置索引'!$M:$M,0))=0,"",INDEX('#建筑消耗和buff配置索引'!AW:AW,MATCH($F449,'#建筑消耗和buff配置索引'!$M:$M,0)))</f>
        <v>3016</v>
      </c>
      <c r="AG449" s="133">
        <f>IF(AF449="","",INDEX('#建筑消耗和buff配置索引'!AX:AX,MATCH($F449,'#建筑消耗和buff配置索引'!$M:$M,0)))</f>
        <v>1150</v>
      </c>
      <c r="AJ449" s="133" t="str">
        <f>IF(INDEX('#建筑消耗和buff配置索引'!BB:BB,MATCH($F449,'#建筑消耗和buff配置索引'!$M:$M,0))=0,"",INDEX('#建筑消耗和buff配置索引'!BB:BB,MATCH($F449,'#建筑消耗和buff配置索引'!$M:$M,0)))</f>
        <v/>
      </c>
      <c r="AK449" s="133" t="str">
        <f>IF(AJ449="","",INDEX('#建筑消耗和buff配置索引'!BC:BC,MATCH($F449,'#建筑消耗和buff配置索引'!$M:$M,0)))</f>
        <v/>
      </c>
      <c r="AN449" s="133" t="str">
        <f>IF(INDEX('#建筑消耗和buff配置索引'!BG:BG,MATCH($F449,'#建筑消耗和buff配置索引'!$M:$M,0))=0,"",INDEX('#建筑消耗和buff配置索引'!BG:BG,MATCH($F449,'#建筑消耗和buff配置索引'!$M:$M,0)))</f>
        <v/>
      </c>
      <c r="AO449" s="133" t="str">
        <f>IF(AN449="","",INDEX('#建筑消耗和buff配置索引'!BH:BH,MATCH($F449,'#建筑消耗和buff配置索引'!$M:$M,0)))</f>
        <v/>
      </c>
      <c r="AR449" s="133" t="str">
        <f>IF(INDEX('#建筑消耗和buff配置索引'!BK:BK,MATCH($F449,'#建筑消耗和buff配置索引'!$M:$M,0))=0,"",INDEX('#建筑消耗和buff配置索引'!BK:BK,MATCH($F449,'#建筑消耗和buff配置索引'!$M:$M,0)))</f>
        <v/>
      </c>
      <c r="AS449" s="133" t="str">
        <f>IF(AR449="","",INDEX('#建筑消耗和buff配置索引'!BL:BL,MATCH($F449,'#建筑消耗和buff配置索引'!$M:$M,0)))</f>
        <v/>
      </c>
      <c r="AV449" s="133" t="str">
        <f>IF(INDEX('#建筑消耗和buff配置索引'!BO:BO,MATCH($F449,'#建筑消耗和buff配置索引'!$M:$M,0))=0,"",INDEX('#建筑消耗和buff配置索引'!BO:BO,MATCH($F449,'#建筑消耗和buff配置索引'!$M:$M,0)))</f>
        <v/>
      </c>
      <c r="AW449" s="133" t="str">
        <f>IF(AV449="","",INDEX('#建筑消耗和buff配置索引'!BP:BP,MATCH($F449,'#建筑消耗和buff配置索引'!$M:$M,0)))</f>
        <v/>
      </c>
      <c r="AZ449" s="133" t="str">
        <f>IF(INDEX('#建筑消耗和buff配置索引'!BS:BS,MATCH($F449,'#建筑消耗和buff配置索引'!$M:$M,0))=0,"",INDEX('#建筑消耗和buff配置索引'!BS:BS,MATCH($F449,'#建筑消耗和buff配置索引'!$M:$M,0)))</f>
        <v/>
      </c>
      <c r="BA449" s="133" t="str">
        <f>IF(AZ449="","",INDEX('#建筑消耗和buff配置索引'!BT:BT,MATCH($F449,'#建筑消耗和buff配置索引'!$M:$M,0)))</f>
        <v/>
      </c>
      <c r="BD449" s="133" t="str">
        <f>IF(INDEX('#建筑消耗和buff配置索引'!BW:BW,MATCH($F449,'#建筑消耗和buff配置索引'!$M:$M,0))=0,"",INDEX('#建筑消耗和buff配置索引'!BW:BW,MATCH($F449,'#建筑消耗和buff配置索引'!$M:$M,0)))</f>
        <v/>
      </c>
      <c r="BE449" s="133" t="str">
        <f>IF(BD449="","",INDEX('#建筑消耗和buff配置索引'!BX:BX,MATCH($F449,'#建筑消耗和buff配置索引'!$M:$M,0)))</f>
        <v/>
      </c>
      <c r="BI449" s="133">
        <v>9</v>
      </c>
    </row>
    <row r="450" spans="1:70" s="133" customFormat="1">
      <c r="A450" s="133">
        <v>2320025</v>
      </c>
      <c r="B450" s="133">
        <v>447</v>
      </c>
      <c r="C450" s="133">
        <v>232</v>
      </c>
      <c r="D450" s="133" t="s">
        <v>319</v>
      </c>
      <c r="E450" s="133">
        <v>25</v>
      </c>
      <c r="F450" s="133" t="str">
        <f t="shared" si="8"/>
        <v>枪兵营25</v>
      </c>
      <c r="H450" s="146"/>
      <c r="I450" s="133">
        <v>3</v>
      </c>
      <c r="J450" s="150">
        <f>INDEX('#建筑消耗和buff配置索引'!AH:AH,MATCH($F450,'#建筑消耗和buff配置索引'!$M:$M,0))</f>
        <v>375840</v>
      </c>
      <c r="K450" s="150">
        <f>INDEX('#建筑消耗和buff配置索引'!AA:AA,MATCH($F450,'#建筑消耗和buff配置索引'!$M:$M,0))</f>
        <v>5100000</v>
      </c>
      <c r="L450" s="150">
        <f>INDEX('#建筑消耗和buff配置索引'!AB:AB,MATCH($F450,'#建筑消耗和buff配置索引'!$M:$M,0))</f>
        <v>5100000</v>
      </c>
      <c r="M450" s="150">
        <f>INDEX('#建筑消耗和buff配置索引'!AC:AC,MATCH($F450,'#建筑消耗和buff配置索引'!$M:$M,0))</f>
        <v>5100000</v>
      </c>
      <c r="N450" s="150">
        <f>INDEX('#建筑消耗和buff配置索引'!AD:AD,MATCH($F450,'#建筑消耗和buff配置索引'!$M:$M,0))</f>
        <v>5100000</v>
      </c>
      <c r="O450" s="150" t="str">
        <f>IF(INDEX('#建筑消耗和buff配置索引'!T:T,MATCH($F450,'#建筑消耗和buff配置索引'!$M:$M,0))=0,"",INDEX('#建筑消耗和buff配置索引'!T:T,MATCH($F450,'#建筑消耗和buff配置索引'!$M:$M,0)))</f>
        <v/>
      </c>
      <c r="P450" s="133" t="str">
        <f>IF(INDEX('#建筑消耗和buff配置索引'!U:U,MATCH($F450,'#建筑消耗和buff配置索引'!$M:$M,0))=0,"",INDEX('#建筑消耗和buff配置索引'!U:U,MATCH($F450,'#建筑消耗和buff配置索引'!$M:$M,0)))</f>
        <v/>
      </c>
      <c r="Q450" s="133" t="str">
        <f>IF(INDEX('#建筑消耗和buff配置索引'!K:K,MATCH($F450,'#建筑消耗和buff配置索引'!$M:$M,0))=0,"",INDEX('#建筑消耗和buff配置索引'!K:K,MATCH($F450,'#建筑消耗和buff配置索引'!$M:$M,0)))</f>
        <v>201;204</v>
      </c>
      <c r="R450" s="133" t="str">
        <f>IF(INDEX('#建筑消耗和buff配置索引'!L:L,MATCH($F450,'#建筑消耗和buff配置索引'!$M:$M,0))=0,"",INDEX('#建筑消耗和buff配置索引'!L:L,MATCH($F450,'#建筑消耗和buff配置索引'!$M:$M,0)))</f>
        <v>25;25</v>
      </c>
      <c r="S450" s="133">
        <f>IF(INDEX('#建筑消耗和buff配置索引'!C:C,MATCH(F450,'#建筑消耗和buff配置索引'!M:M,0))=0,1,INDEX('#建筑消耗和buff配置索引'!C:C,MATCH(F450,'#建筑消耗和buff配置索引'!M:M,0)))</f>
        <v>1</v>
      </c>
      <c r="T450" s="133">
        <v>0</v>
      </c>
      <c r="U450" s="133">
        <v>0</v>
      </c>
      <c r="V450" s="133" t="str">
        <f>IF(E450=1,IF(INDEX('#建筑消耗和buff配置索引'!BY:BY,MATCH(D450,'#建筑消耗和buff配置索引'!A:A,0))=0,"",INDEX('#建筑消耗和buff配置索引'!BY:BY,MATCH(D450,'#建筑消耗和buff配置索引'!A:A,0))),"")</f>
        <v/>
      </c>
      <c r="W450" s="133" t="str">
        <f>IF(E450=1,IF(INDEX('#建筑消耗和buff配置索引'!BZ:BZ,MATCH(D450,'#建筑消耗和buff配置索引'!A:A,0))=0,"",INDEX('#建筑消耗和buff配置索引'!BZ:BZ,MATCH(D450,'#建筑消耗和buff配置索引'!A:A,0))),"")</f>
        <v/>
      </c>
      <c r="AA450" s="133">
        <f>INDEX('#建筑消耗和buff配置索引'!AO:AO,MATCH($F450,'#建筑消耗和buff配置索引'!$M:$M,0))</f>
        <v>181768</v>
      </c>
      <c r="AB450" s="133">
        <f>IF(INDEX('#建筑消耗和buff配置索引'!AR:AR,MATCH($F450,'#建筑消耗和buff配置索引'!$M:$M,0))=0,"",INDEX('#建筑消耗和buff配置索引'!AR:AR,MATCH($F450,'#建筑消耗和buff配置索引'!$M:$M,0)))</f>
        <v>3000</v>
      </c>
      <c r="AC450" s="133">
        <f>IF(AB450="","",INDEX('#建筑消耗和buff配置索引'!AS:AS,MATCH($F450,'#建筑消耗和buff配置索引'!$M:$M,0)))</f>
        <v>0.12</v>
      </c>
      <c r="AF450" s="133">
        <f>IF(INDEX('#建筑消耗和buff配置索引'!AW:AW,MATCH($F450,'#建筑消耗和buff配置索引'!$M:$M,0))=0,"",INDEX('#建筑消耗和buff配置索引'!AW:AW,MATCH($F450,'#建筑消耗和buff配置索引'!$M:$M,0)))</f>
        <v>3016</v>
      </c>
      <c r="AG450" s="133">
        <f>IF(AF450="","",INDEX('#建筑消耗和buff配置索引'!AX:AX,MATCH($F450,'#建筑消耗和buff配置索引'!$M:$M,0)))</f>
        <v>1200</v>
      </c>
      <c r="AJ450" s="133" t="str">
        <f>IF(INDEX('#建筑消耗和buff配置索引'!BB:BB,MATCH($F450,'#建筑消耗和buff配置索引'!$M:$M,0))=0,"",INDEX('#建筑消耗和buff配置索引'!BB:BB,MATCH($F450,'#建筑消耗和buff配置索引'!$M:$M,0)))</f>
        <v/>
      </c>
      <c r="AK450" s="133" t="str">
        <f>IF(AJ450="","",INDEX('#建筑消耗和buff配置索引'!BC:BC,MATCH($F450,'#建筑消耗和buff配置索引'!$M:$M,0)))</f>
        <v/>
      </c>
      <c r="AN450" s="133" t="str">
        <f>IF(INDEX('#建筑消耗和buff配置索引'!BG:BG,MATCH($F450,'#建筑消耗和buff配置索引'!$M:$M,0))=0,"",INDEX('#建筑消耗和buff配置索引'!BG:BG,MATCH($F450,'#建筑消耗和buff配置索引'!$M:$M,0)))</f>
        <v/>
      </c>
      <c r="AO450" s="133" t="str">
        <f>IF(AN450="","",INDEX('#建筑消耗和buff配置索引'!BH:BH,MATCH($F450,'#建筑消耗和buff配置索引'!$M:$M,0)))</f>
        <v/>
      </c>
      <c r="AR450" s="133" t="str">
        <f>IF(INDEX('#建筑消耗和buff配置索引'!BK:BK,MATCH($F450,'#建筑消耗和buff配置索引'!$M:$M,0))=0,"",INDEX('#建筑消耗和buff配置索引'!BK:BK,MATCH($F450,'#建筑消耗和buff配置索引'!$M:$M,0)))</f>
        <v/>
      </c>
      <c r="AS450" s="133" t="str">
        <f>IF(AR450="","",INDEX('#建筑消耗和buff配置索引'!BL:BL,MATCH($F450,'#建筑消耗和buff配置索引'!$M:$M,0)))</f>
        <v/>
      </c>
      <c r="AV450" s="133" t="str">
        <f>IF(INDEX('#建筑消耗和buff配置索引'!BO:BO,MATCH($F450,'#建筑消耗和buff配置索引'!$M:$M,0))=0,"",INDEX('#建筑消耗和buff配置索引'!BO:BO,MATCH($F450,'#建筑消耗和buff配置索引'!$M:$M,0)))</f>
        <v/>
      </c>
      <c r="AW450" s="133" t="str">
        <f>IF(AV450="","",INDEX('#建筑消耗和buff配置索引'!BP:BP,MATCH($F450,'#建筑消耗和buff配置索引'!$M:$M,0)))</f>
        <v/>
      </c>
      <c r="AZ450" s="133" t="str">
        <f>IF(INDEX('#建筑消耗和buff配置索引'!BS:BS,MATCH($F450,'#建筑消耗和buff配置索引'!$M:$M,0))=0,"",INDEX('#建筑消耗和buff配置索引'!BS:BS,MATCH($F450,'#建筑消耗和buff配置索引'!$M:$M,0)))</f>
        <v/>
      </c>
      <c r="BA450" s="133" t="str">
        <f>IF(AZ450="","",INDEX('#建筑消耗和buff配置索引'!BT:BT,MATCH($F450,'#建筑消耗和buff配置索引'!$M:$M,0)))</f>
        <v/>
      </c>
      <c r="BD450" s="133" t="str">
        <f>IF(INDEX('#建筑消耗和buff配置索引'!BW:BW,MATCH($F450,'#建筑消耗和buff配置索引'!$M:$M,0))=0,"",INDEX('#建筑消耗和buff配置索引'!BW:BW,MATCH($F450,'#建筑消耗和buff配置索引'!$M:$M,0)))</f>
        <v/>
      </c>
      <c r="BE450" s="133" t="str">
        <f>IF(BD450="","",INDEX('#建筑消耗和buff配置索引'!BX:BX,MATCH($F450,'#建筑消耗和buff配置索引'!$M:$M,0)))</f>
        <v/>
      </c>
      <c r="BI450" s="133">
        <v>9</v>
      </c>
    </row>
    <row r="451" spans="1:70" s="133" customFormat="1">
      <c r="A451" s="133">
        <v>2320026</v>
      </c>
      <c r="B451" s="133">
        <v>448</v>
      </c>
      <c r="C451" s="133">
        <v>232</v>
      </c>
      <c r="D451" s="133" t="s">
        <v>319</v>
      </c>
      <c r="E451" s="133">
        <v>26</v>
      </c>
      <c r="F451" s="133" t="str">
        <f t="shared" si="8"/>
        <v>枪兵营26</v>
      </c>
      <c r="H451" s="146"/>
      <c r="I451" s="133">
        <v>3</v>
      </c>
      <c r="J451" s="150">
        <f>INDEX('#建筑消耗和buff配置索引'!AH:AH,MATCH($F451,'#建筑消耗和buff配置索引'!$M:$M,0))</f>
        <v>466560</v>
      </c>
      <c r="K451" s="150">
        <f>INDEX('#建筑消耗和buff配置索引'!AA:AA,MATCH($F451,'#建筑消耗和buff配置索引'!$M:$M,0))</f>
        <v>6500000</v>
      </c>
      <c r="L451" s="150">
        <f>INDEX('#建筑消耗和buff配置索引'!AB:AB,MATCH($F451,'#建筑消耗和buff配置索引'!$M:$M,0))</f>
        <v>6500000</v>
      </c>
      <c r="M451" s="150">
        <f>INDEX('#建筑消耗和buff配置索引'!AC:AC,MATCH($F451,'#建筑消耗和buff配置索引'!$M:$M,0))</f>
        <v>6500000</v>
      </c>
      <c r="N451" s="150">
        <f>INDEX('#建筑消耗和buff配置索引'!AD:AD,MATCH($F451,'#建筑消耗和buff配置索引'!$M:$M,0))</f>
        <v>6500000</v>
      </c>
      <c r="O451" s="150" t="str">
        <f>IF(INDEX('#建筑消耗和buff配置索引'!T:T,MATCH($F451,'#建筑消耗和buff配置索引'!$M:$M,0))=0,"",INDEX('#建筑消耗和buff配置索引'!T:T,MATCH($F451,'#建筑消耗和buff配置索引'!$M:$M,0)))</f>
        <v/>
      </c>
      <c r="P451" s="133" t="str">
        <f>IF(INDEX('#建筑消耗和buff配置索引'!U:U,MATCH($F451,'#建筑消耗和buff配置索引'!$M:$M,0))=0,"",INDEX('#建筑消耗和buff配置索引'!U:U,MATCH($F451,'#建筑消耗和buff配置索引'!$M:$M,0)))</f>
        <v/>
      </c>
      <c r="Q451" s="133" t="str">
        <f>IF(INDEX('#建筑消耗和buff配置索引'!K:K,MATCH($F451,'#建筑消耗和buff配置索引'!$M:$M,0))=0,"",INDEX('#建筑消耗和buff配置索引'!K:K,MATCH($F451,'#建筑消耗和buff配置索引'!$M:$M,0)))</f>
        <v>201;204</v>
      </c>
      <c r="R451" s="133" t="str">
        <f>IF(INDEX('#建筑消耗和buff配置索引'!L:L,MATCH($F451,'#建筑消耗和buff配置索引'!$M:$M,0))=0,"",INDEX('#建筑消耗和buff配置索引'!L:L,MATCH($F451,'#建筑消耗和buff配置索引'!$M:$M,0)))</f>
        <v>26;26</v>
      </c>
      <c r="S451" s="133">
        <f>IF(INDEX('#建筑消耗和buff配置索引'!C:C,MATCH(F451,'#建筑消耗和buff配置索引'!M:M,0))=0,1,INDEX('#建筑消耗和buff配置索引'!C:C,MATCH(F451,'#建筑消耗和buff配置索引'!M:M,0)))</f>
        <v>1</v>
      </c>
      <c r="T451" s="133">
        <v>0</v>
      </c>
      <c r="U451" s="133">
        <v>0</v>
      </c>
      <c r="V451" s="133" t="str">
        <f>IF(E451=1,IF(INDEX('#建筑消耗和buff配置索引'!BY:BY,MATCH(D451,'#建筑消耗和buff配置索引'!A:A,0))=0,"",INDEX('#建筑消耗和buff配置索引'!BY:BY,MATCH(D451,'#建筑消耗和buff配置索引'!A:A,0))),"")</f>
        <v/>
      </c>
      <c r="W451" s="133" t="str">
        <f>IF(E451=1,IF(INDEX('#建筑消耗和buff配置索引'!BZ:BZ,MATCH(D451,'#建筑消耗和buff配置索引'!A:A,0))=0,"",INDEX('#建筑消耗和buff配置索引'!BZ:BZ,MATCH(D451,'#建筑消耗和buff配置索引'!A:A,0))),"")</f>
        <v/>
      </c>
      <c r="X451" s="133" t="str">
        <f>INDEX('#建筑消耗和buff配置索引'!BC:BC,MATCH(F451,'#建筑消耗和buff配置索引'!M:M,0))*100&amp;"%"</f>
        <v>0%</v>
      </c>
      <c r="AA451" s="133">
        <f>INDEX('#建筑消耗和buff配置索引'!AO:AO,MATCH($F451,'#建筑消耗和buff配置索引'!$M:$M,0))</f>
        <v>233568</v>
      </c>
      <c r="AB451" s="133">
        <f>IF(INDEX('#建筑消耗和buff配置索引'!AR:AR,MATCH($F451,'#建筑消耗和buff配置索引'!$M:$M,0))=0,"",INDEX('#建筑消耗和buff配置索引'!AR:AR,MATCH($F451,'#建筑消耗和buff配置索引'!$M:$M,0)))</f>
        <v>3000</v>
      </c>
      <c r="AC451" s="133">
        <f>IF(AB451="","",INDEX('#建筑消耗和buff配置索引'!AS:AS,MATCH($F451,'#建筑消耗和buff配置索引'!$M:$M,0)))</f>
        <v>0.13</v>
      </c>
      <c r="AF451" s="133">
        <f>IF(INDEX('#建筑消耗和buff配置索引'!AW:AW,MATCH($F451,'#建筑消耗和buff配置索引'!$M:$M,0))=0,"",INDEX('#建筑消耗和buff配置索引'!AW:AW,MATCH($F451,'#建筑消耗和buff配置索引'!$M:$M,0)))</f>
        <v>3016</v>
      </c>
      <c r="AG451" s="133">
        <f>IF(AF451="","",INDEX('#建筑消耗和buff配置索引'!AX:AX,MATCH($F451,'#建筑消耗和buff配置索引'!$M:$M,0)))</f>
        <v>1300</v>
      </c>
      <c r="AJ451" s="133" t="str">
        <f>IF(INDEX('#建筑消耗和buff配置索引'!BB:BB,MATCH($F451,'#建筑消耗和buff配置索引'!$M:$M,0))=0,"",INDEX('#建筑消耗和buff配置索引'!BB:BB,MATCH($F451,'#建筑消耗和buff配置索引'!$M:$M,0)))</f>
        <v/>
      </c>
      <c r="AK451" s="133" t="str">
        <f>IF(AJ451="","",INDEX('#建筑消耗和buff配置索引'!BC:BC,MATCH($F451,'#建筑消耗和buff配置索引'!$M:$M,0)))</f>
        <v/>
      </c>
      <c r="AN451" s="133" t="str">
        <f>IF(INDEX('#建筑消耗和buff配置索引'!BG:BG,MATCH($F451,'#建筑消耗和buff配置索引'!$M:$M,0))=0,"",INDEX('#建筑消耗和buff配置索引'!BG:BG,MATCH($F451,'#建筑消耗和buff配置索引'!$M:$M,0)))</f>
        <v/>
      </c>
      <c r="AO451" s="133" t="str">
        <f>IF(AN451="","",INDEX('#建筑消耗和buff配置索引'!BH:BH,MATCH($F451,'#建筑消耗和buff配置索引'!$M:$M,0)))</f>
        <v/>
      </c>
      <c r="AR451" s="133" t="str">
        <f>IF(INDEX('#建筑消耗和buff配置索引'!BK:BK,MATCH($F451,'#建筑消耗和buff配置索引'!$M:$M,0))=0,"",INDEX('#建筑消耗和buff配置索引'!BK:BK,MATCH($F451,'#建筑消耗和buff配置索引'!$M:$M,0)))</f>
        <v/>
      </c>
      <c r="AS451" s="133" t="str">
        <f>IF(AR451="","",INDEX('#建筑消耗和buff配置索引'!BL:BL,MATCH($F451,'#建筑消耗和buff配置索引'!$M:$M,0)))</f>
        <v/>
      </c>
      <c r="AV451" s="133" t="str">
        <f>IF(INDEX('#建筑消耗和buff配置索引'!BO:BO,MATCH($F451,'#建筑消耗和buff配置索引'!$M:$M,0))=0,"",INDEX('#建筑消耗和buff配置索引'!BO:BO,MATCH($F451,'#建筑消耗和buff配置索引'!$M:$M,0)))</f>
        <v/>
      </c>
      <c r="AW451" s="133" t="str">
        <f>IF(AV451="","",INDEX('#建筑消耗和buff配置索引'!BP:BP,MATCH($F451,'#建筑消耗和buff配置索引'!$M:$M,0)))</f>
        <v/>
      </c>
      <c r="AZ451" s="133" t="str">
        <f>IF(INDEX('#建筑消耗和buff配置索引'!BS:BS,MATCH($F451,'#建筑消耗和buff配置索引'!$M:$M,0))=0,"",INDEX('#建筑消耗和buff配置索引'!BS:BS,MATCH($F451,'#建筑消耗和buff配置索引'!$M:$M,0)))</f>
        <v/>
      </c>
      <c r="BA451" s="133" t="str">
        <f>IF(AZ451="","",INDEX('#建筑消耗和buff配置索引'!BT:BT,MATCH($F451,'#建筑消耗和buff配置索引'!$M:$M,0)))</f>
        <v/>
      </c>
      <c r="BD451" s="133" t="str">
        <f>IF(INDEX('#建筑消耗和buff配置索引'!BW:BW,MATCH($F451,'#建筑消耗和buff配置索引'!$M:$M,0))=0,"",INDEX('#建筑消耗和buff配置索引'!BW:BW,MATCH($F451,'#建筑消耗和buff配置索引'!$M:$M,0)))</f>
        <v/>
      </c>
      <c r="BE451" s="133" t="str">
        <f>IF(BD451="","",INDEX('#建筑消耗和buff配置索引'!BX:BX,MATCH($F451,'#建筑消耗和buff配置索引'!$M:$M,0)))</f>
        <v/>
      </c>
      <c r="BI451" s="133">
        <v>9</v>
      </c>
    </row>
    <row r="452" spans="1:70" s="133" customFormat="1">
      <c r="A452" s="133">
        <v>2320027</v>
      </c>
      <c r="B452" s="133">
        <v>449</v>
      </c>
      <c r="C452" s="133">
        <v>232</v>
      </c>
      <c r="D452" s="133" t="s">
        <v>319</v>
      </c>
      <c r="E452" s="133">
        <v>27</v>
      </c>
      <c r="F452" s="133" t="str">
        <f t="shared" si="8"/>
        <v>枪兵营27</v>
      </c>
      <c r="H452" s="146"/>
      <c r="I452" s="133">
        <v>3</v>
      </c>
      <c r="J452" s="150">
        <f>INDEX('#建筑消耗和buff配置索引'!AH:AH,MATCH($F452,'#建筑消耗和buff配置索引'!$M:$M,0))</f>
        <v>570240</v>
      </c>
      <c r="K452" s="150">
        <f>INDEX('#建筑消耗和buff配置索引'!AA:AA,MATCH($F452,'#建筑消耗和buff配置索引'!$M:$M,0))</f>
        <v>8300000</v>
      </c>
      <c r="L452" s="150">
        <f>INDEX('#建筑消耗和buff配置索引'!AB:AB,MATCH($F452,'#建筑消耗和buff配置索引'!$M:$M,0))</f>
        <v>8300000</v>
      </c>
      <c r="M452" s="150">
        <f>INDEX('#建筑消耗和buff配置索引'!AC:AC,MATCH($F452,'#建筑消耗和buff配置索引'!$M:$M,0))</f>
        <v>8300000</v>
      </c>
      <c r="N452" s="150">
        <f>INDEX('#建筑消耗和buff配置索引'!AD:AD,MATCH($F452,'#建筑消耗和buff配置索引'!$M:$M,0))</f>
        <v>8300000</v>
      </c>
      <c r="O452" s="150" t="str">
        <f>IF(INDEX('#建筑消耗和buff配置索引'!T:T,MATCH($F452,'#建筑消耗和buff配置索引'!$M:$M,0))=0,"",INDEX('#建筑消耗和buff配置索引'!T:T,MATCH($F452,'#建筑消耗和buff配置索引'!$M:$M,0)))</f>
        <v/>
      </c>
      <c r="P452" s="133" t="str">
        <f>IF(INDEX('#建筑消耗和buff配置索引'!U:U,MATCH($F452,'#建筑消耗和buff配置索引'!$M:$M,0))=0,"",INDEX('#建筑消耗和buff配置索引'!U:U,MATCH($F452,'#建筑消耗和buff配置索引'!$M:$M,0)))</f>
        <v/>
      </c>
      <c r="Q452" s="133" t="str">
        <f>IF(INDEX('#建筑消耗和buff配置索引'!K:K,MATCH($F452,'#建筑消耗和buff配置索引'!$M:$M,0))=0,"",INDEX('#建筑消耗和buff配置索引'!K:K,MATCH($F452,'#建筑消耗和buff配置索引'!$M:$M,0)))</f>
        <v>201;204</v>
      </c>
      <c r="R452" s="133" t="str">
        <f>IF(INDEX('#建筑消耗和buff配置索引'!L:L,MATCH($F452,'#建筑消耗和buff配置索引'!$M:$M,0))=0,"",INDEX('#建筑消耗和buff配置索引'!L:L,MATCH($F452,'#建筑消耗和buff配置索引'!$M:$M,0)))</f>
        <v>27;27</v>
      </c>
      <c r="S452" s="133">
        <f>IF(INDEX('#建筑消耗和buff配置索引'!C:C,MATCH(F452,'#建筑消耗和buff配置索引'!M:M,0))=0,1,INDEX('#建筑消耗和buff配置索引'!C:C,MATCH(F452,'#建筑消耗和buff配置索引'!M:M,0)))</f>
        <v>1</v>
      </c>
      <c r="T452" s="133">
        <v>0</v>
      </c>
      <c r="U452" s="133">
        <v>0</v>
      </c>
      <c r="V452" s="133" t="str">
        <f>IF(E452=1,IF(INDEX('#建筑消耗和buff配置索引'!BY:BY,MATCH(D452,'#建筑消耗和buff配置索引'!A:A,0))=0,"",INDEX('#建筑消耗和buff配置索引'!BY:BY,MATCH(D452,'#建筑消耗和buff配置索引'!A:A,0))),"")</f>
        <v/>
      </c>
      <c r="W452" s="133" t="str">
        <f>IF(E452=1,IF(INDEX('#建筑消耗和buff配置索引'!BZ:BZ,MATCH(D452,'#建筑消耗和buff配置索引'!A:A,0))=0,"",INDEX('#建筑消耗和buff配置索引'!BZ:BZ,MATCH(D452,'#建筑消耗和buff配置索引'!A:A,0))),"")</f>
        <v/>
      </c>
      <c r="X452" s="133" t="str">
        <f>INDEX('#建筑消耗和buff配置索引'!BC:BC,MATCH(F452,'#建筑消耗和buff配置索引'!M:M,0))*100&amp;"%"</f>
        <v>0%</v>
      </c>
      <c r="AA452" s="133">
        <f>INDEX('#建筑消耗和buff配置索引'!AO:AO,MATCH($F452,'#建筑消耗和buff配置索引'!$M:$M,0))</f>
        <v>299871</v>
      </c>
      <c r="AB452" s="133">
        <f>IF(INDEX('#建筑消耗和buff配置索引'!AR:AR,MATCH($F452,'#建筑消耗和buff配置索引'!$M:$M,0))=0,"",INDEX('#建筑消耗和buff配置索引'!AR:AR,MATCH($F452,'#建筑消耗和buff配置索引'!$M:$M,0)))</f>
        <v>3000</v>
      </c>
      <c r="AC452" s="133">
        <f>IF(AB452="","",INDEX('#建筑消耗和buff配置索引'!AS:AS,MATCH($F452,'#建筑消耗和buff配置索引'!$M:$M,0)))</f>
        <v>0.14000000000000001</v>
      </c>
      <c r="AF452" s="133">
        <f>IF(INDEX('#建筑消耗和buff配置索引'!AW:AW,MATCH($F452,'#建筑消耗和buff配置索引'!$M:$M,0))=0,"",INDEX('#建筑消耗和buff配置索引'!AW:AW,MATCH($F452,'#建筑消耗和buff配置索引'!$M:$M,0)))</f>
        <v>3016</v>
      </c>
      <c r="AG452" s="133">
        <f>IF(AF452="","",INDEX('#建筑消耗和buff配置索引'!AX:AX,MATCH($F452,'#建筑消耗和buff配置索引'!$M:$M,0)))</f>
        <v>1400</v>
      </c>
      <c r="AJ452" s="133" t="str">
        <f>IF(INDEX('#建筑消耗和buff配置索引'!BB:BB,MATCH($F452,'#建筑消耗和buff配置索引'!$M:$M,0))=0,"",INDEX('#建筑消耗和buff配置索引'!BB:BB,MATCH($F452,'#建筑消耗和buff配置索引'!$M:$M,0)))</f>
        <v/>
      </c>
      <c r="AK452" s="133" t="str">
        <f>IF(AJ452="","",INDEX('#建筑消耗和buff配置索引'!BC:BC,MATCH($F452,'#建筑消耗和buff配置索引'!$M:$M,0)))</f>
        <v/>
      </c>
      <c r="AN452" s="133" t="str">
        <f>IF(INDEX('#建筑消耗和buff配置索引'!BG:BG,MATCH($F452,'#建筑消耗和buff配置索引'!$M:$M,0))=0,"",INDEX('#建筑消耗和buff配置索引'!BG:BG,MATCH($F452,'#建筑消耗和buff配置索引'!$M:$M,0)))</f>
        <v/>
      </c>
      <c r="AO452" s="133" t="str">
        <f>IF(AN452="","",INDEX('#建筑消耗和buff配置索引'!BH:BH,MATCH($F452,'#建筑消耗和buff配置索引'!$M:$M,0)))</f>
        <v/>
      </c>
      <c r="AR452" s="133" t="str">
        <f>IF(INDEX('#建筑消耗和buff配置索引'!BK:BK,MATCH($F452,'#建筑消耗和buff配置索引'!$M:$M,0))=0,"",INDEX('#建筑消耗和buff配置索引'!BK:BK,MATCH($F452,'#建筑消耗和buff配置索引'!$M:$M,0)))</f>
        <v/>
      </c>
      <c r="AS452" s="133" t="str">
        <f>IF(AR452="","",INDEX('#建筑消耗和buff配置索引'!BL:BL,MATCH($F452,'#建筑消耗和buff配置索引'!$M:$M,0)))</f>
        <v/>
      </c>
      <c r="AV452" s="133" t="str">
        <f>IF(INDEX('#建筑消耗和buff配置索引'!BO:BO,MATCH($F452,'#建筑消耗和buff配置索引'!$M:$M,0))=0,"",INDEX('#建筑消耗和buff配置索引'!BO:BO,MATCH($F452,'#建筑消耗和buff配置索引'!$M:$M,0)))</f>
        <v/>
      </c>
      <c r="AW452" s="133" t="str">
        <f>IF(AV452="","",INDEX('#建筑消耗和buff配置索引'!BP:BP,MATCH($F452,'#建筑消耗和buff配置索引'!$M:$M,0)))</f>
        <v/>
      </c>
      <c r="AZ452" s="133" t="str">
        <f>IF(INDEX('#建筑消耗和buff配置索引'!BS:BS,MATCH($F452,'#建筑消耗和buff配置索引'!$M:$M,0))=0,"",INDEX('#建筑消耗和buff配置索引'!BS:BS,MATCH($F452,'#建筑消耗和buff配置索引'!$M:$M,0)))</f>
        <v/>
      </c>
      <c r="BA452" s="133" t="str">
        <f>IF(AZ452="","",INDEX('#建筑消耗和buff配置索引'!BT:BT,MATCH($F452,'#建筑消耗和buff配置索引'!$M:$M,0)))</f>
        <v/>
      </c>
      <c r="BD452" s="133" t="str">
        <f>IF(INDEX('#建筑消耗和buff配置索引'!BW:BW,MATCH($F452,'#建筑消耗和buff配置索引'!$M:$M,0))=0,"",INDEX('#建筑消耗和buff配置索引'!BW:BW,MATCH($F452,'#建筑消耗和buff配置索引'!$M:$M,0)))</f>
        <v/>
      </c>
      <c r="BE452" s="133" t="str">
        <f>IF(BD452="","",INDEX('#建筑消耗和buff配置索引'!BX:BX,MATCH($F452,'#建筑消耗和buff配置索引'!$M:$M,0)))</f>
        <v/>
      </c>
      <c r="BI452" s="133">
        <v>9</v>
      </c>
    </row>
    <row r="453" spans="1:70" s="133" customFormat="1">
      <c r="A453" s="133">
        <v>2320028</v>
      </c>
      <c r="B453" s="133">
        <v>450</v>
      </c>
      <c r="C453" s="133">
        <v>232</v>
      </c>
      <c r="D453" s="133" t="s">
        <v>319</v>
      </c>
      <c r="E453" s="133">
        <v>28</v>
      </c>
      <c r="F453" s="133" t="str">
        <f t="shared" si="8"/>
        <v>枪兵营28</v>
      </c>
      <c r="H453" s="146"/>
      <c r="I453" s="133">
        <v>3</v>
      </c>
      <c r="J453" s="150">
        <f>INDEX('#建筑消耗和buff配置索引'!AH:AH,MATCH($F453,'#建筑消耗和buff配置索引'!$M:$M,0))</f>
        <v>699840</v>
      </c>
      <c r="K453" s="150">
        <f>INDEX('#建筑消耗和buff配置索引'!AA:AA,MATCH($F453,'#建筑消耗和buff配置索引'!$M:$M,0))</f>
        <v>11000000</v>
      </c>
      <c r="L453" s="150">
        <f>INDEX('#建筑消耗和buff配置索引'!AB:AB,MATCH($F453,'#建筑消耗和buff配置索引'!$M:$M,0))</f>
        <v>11000000</v>
      </c>
      <c r="M453" s="150">
        <f>INDEX('#建筑消耗和buff配置索引'!AC:AC,MATCH($F453,'#建筑消耗和buff配置索引'!$M:$M,0))</f>
        <v>11000000</v>
      </c>
      <c r="N453" s="150">
        <f>INDEX('#建筑消耗和buff配置索引'!AD:AD,MATCH($F453,'#建筑消耗和buff配置索引'!$M:$M,0))</f>
        <v>11000000</v>
      </c>
      <c r="O453" s="150" t="str">
        <f>IF(INDEX('#建筑消耗和buff配置索引'!T:T,MATCH($F453,'#建筑消耗和buff配置索引'!$M:$M,0))=0,"",INDEX('#建筑消耗和buff配置索引'!T:T,MATCH($F453,'#建筑消耗和buff配置索引'!$M:$M,0)))</f>
        <v/>
      </c>
      <c r="P453" s="133" t="str">
        <f>IF(INDEX('#建筑消耗和buff配置索引'!U:U,MATCH($F453,'#建筑消耗和buff配置索引'!$M:$M,0))=0,"",INDEX('#建筑消耗和buff配置索引'!U:U,MATCH($F453,'#建筑消耗和buff配置索引'!$M:$M,0)))</f>
        <v/>
      </c>
      <c r="Q453" s="133" t="str">
        <f>IF(INDEX('#建筑消耗和buff配置索引'!K:K,MATCH($F453,'#建筑消耗和buff配置索引'!$M:$M,0))=0,"",INDEX('#建筑消耗和buff配置索引'!K:K,MATCH($F453,'#建筑消耗和buff配置索引'!$M:$M,0)))</f>
        <v>201;204</v>
      </c>
      <c r="R453" s="133" t="str">
        <f>IF(INDEX('#建筑消耗和buff配置索引'!L:L,MATCH($F453,'#建筑消耗和buff配置索引'!$M:$M,0))=0,"",INDEX('#建筑消耗和buff配置索引'!L:L,MATCH($F453,'#建筑消耗和buff配置索引'!$M:$M,0)))</f>
        <v>28;28</v>
      </c>
      <c r="S453" s="133">
        <f>IF(INDEX('#建筑消耗和buff配置索引'!C:C,MATCH(F453,'#建筑消耗和buff配置索引'!M:M,0))=0,1,INDEX('#建筑消耗和buff配置索引'!C:C,MATCH(F453,'#建筑消耗和buff配置索引'!M:M,0)))</f>
        <v>1</v>
      </c>
      <c r="T453" s="133">
        <v>0</v>
      </c>
      <c r="U453" s="133">
        <v>0</v>
      </c>
      <c r="V453" s="133" t="str">
        <f>IF(E453=1,IF(INDEX('#建筑消耗和buff配置索引'!BY:BY,MATCH(D453,'#建筑消耗和buff配置索引'!A:A,0))=0,"",INDEX('#建筑消耗和buff配置索引'!BY:BY,MATCH(D453,'#建筑消耗和buff配置索引'!A:A,0))),"")</f>
        <v/>
      </c>
      <c r="W453" s="133" t="str">
        <f>IF(E453=1,IF(INDEX('#建筑消耗和buff配置索引'!BZ:BZ,MATCH(D453,'#建筑消耗和buff配置索引'!A:A,0))=0,"",INDEX('#建筑消耗和buff配置索引'!BZ:BZ,MATCH(D453,'#建筑消耗和buff配置索引'!A:A,0))),"")</f>
        <v/>
      </c>
      <c r="X453" s="133" t="str">
        <f>INDEX('#建筑消耗和buff配置索引'!BC:BC,MATCH(F453,'#建筑消耗和buff配置索引'!M:M,0))*100&amp;"%"</f>
        <v>0%</v>
      </c>
      <c r="AA453" s="133">
        <f>INDEX('#建筑消耗和buff配置索引'!AO:AO,MATCH($F453,'#建筑消耗和buff配置索引'!$M:$M,0))</f>
        <v>384740</v>
      </c>
      <c r="AB453" s="133">
        <f>IF(INDEX('#建筑消耗和buff配置索引'!AR:AR,MATCH($F453,'#建筑消耗和buff配置索引'!$M:$M,0))=0,"",INDEX('#建筑消耗和buff配置索引'!AR:AR,MATCH($F453,'#建筑消耗和buff配置索引'!$M:$M,0)))</f>
        <v>3000</v>
      </c>
      <c r="AC453" s="133">
        <f>IF(AB453="","",INDEX('#建筑消耗和buff配置索引'!AS:AS,MATCH($F453,'#建筑消耗和buff配置索引'!$M:$M,0)))</f>
        <v>0.15</v>
      </c>
      <c r="AF453" s="133">
        <f>IF(INDEX('#建筑消耗和buff配置索引'!AW:AW,MATCH($F453,'#建筑消耗和buff配置索引'!$M:$M,0))=0,"",INDEX('#建筑消耗和buff配置索引'!AW:AW,MATCH($F453,'#建筑消耗和buff配置索引'!$M:$M,0)))</f>
        <v>3016</v>
      </c>
      <c r="AG453" s="133">
        <f>IF(AF453="","",INDEX('#建筑消耗和buff配置索引'!AX:AX,MATCH($F453,'#建筑消耗和buff配置索引'!$M:$M,0)))</f>
        <v>1500</v>
      </c>
      <c r="AJ453" s="133" t="str">
        <f>IF(INDEX('#建筑消耗和buff配置索引'!BB:BB,MATCH($F453,'#建筑消耗和buff配置索引'!$M:$M,0))=0,"",INDEX('#建筑消耗和buff配置索引'!BB:BB,MATCH($F453,'#建筑消耗和buff配置索引'!$M:$M,0)))</f>
        <v/>
      </c>
      <c r="AK453" s="133" t="str">
        <f>IF(AJ453="","",INDEX('#建筑消耗和buff配置索引'!BC:BC,MATCH($F453,'#建筑消耗和buff配置索引'!$M:$M,0)))</f>
        <v/>
      </c>
      <c r="AN453" s="133" t="str">
        <f>IF(INDEX('#建筑消耗和buff配置索引'!BG:BG,MATCH($F453,'#建筑消耗和buff配置索引'!$M:$M,0))=0,"",INDEX('#建筑消耗和buff配置索引'!BG:BG,MATCH($F453,'#建筑消耗和buff配置索引'!$M:$M,0)))</f>
        <v/>
      </c>
      <c r="AO453" s="133" t="str">
        <f>IF(AN453="","",INDEX('#建筑消耗和buff配置索引'!BH:BH,MATCH($F453,'#建筑消耗和buff配置索引'!$M:$M,0)))</f>
        <v/>
      </c>
      <c r="AR453" s="133" t="str">
        <f>IF(INDEX('#建筑消耗和buff配置索引'!BK:BK,MATCH($F453,'#建筑消耗和buff配置索引'!$M:$M,0))=0,"",INDEX('#建筑消耗和buff配置索引'!BK:BK,MATCH($F453,'#建筑消耗和buff配置索引'!$M:$M,0)))</f>
        <v/>
      </c>
      <c r="AS453" s="133" t="str">
        <f>IF(AR453="","",INDEX('#建筑消耗和buff配置索引'!BL:BL,MATCH($F453,'#建筑消耗和buff配置索引'!$M:$M,0)))</f>
        <v/>
      </c>
      <c r="AV453" s="133" t="str">
        <f>IF(INDEX('#建筑消耗和buff配置索引'!BO:BO,MATCH($F453,'#建筑消耗和buff配置索引'!$M:$M,0))=0,"",INDEX('#建筑消耗和buff配置索引'!BO:BO,MATCH($F453,'#建筑消耗和buff配置索引'!$M:$M,0)))</f>
        <v/>
      </c>
      <c r="AW453" s="133" t="str">
        <f>IF(AV453="","",INDEX('#建筑消耗和buff配置索引'!BP:BP,MATCH($F453,'#建筑消耗和buff配置索引'!$M:$M,0)))</f>
        <v/>
      </c>
      <c r="AZ453" s="133" t="str">
        <f>IF(INDEX('#建筑消耗和buff配置索引'!BS:BS,MATCH($F453,'#建筑消耗和buff配置索引'!$M:$M,0))=0,"",INDEX('#建筑消耗和buff配置索引'!BS:BS,MATCH($F453,'#建筑消耗和buff配置索引'!$M:$M,0)))</f>
        <v/>
      </c>
      <c r="BA453" s="133" t="str">
        <f>IF(AZ453="","",INDEX('#建筑消耗和buff配置索引'!BT:BT,MATCH($F453,'#建筑消耗和buff配置索引'!$M:$M,0)))</f>
        <v/>
      </c>
      <c r="BD453" s="133" t="str">
        <f>IF(INDEX('#建筑消耗和buff配置索引'!BW:BW,MATCH($F453,'#建筑消耗和buff配置索引'!$M:$M,0))=0,"",INDEX('#建筑消耗和buff配置索引'!BW:BW,MATCH($F453,'#建筑消耗和buff配置索引'!$M:$M,0)))</f>
        <v/>
      </c>
      <c r="BE453" s="133" t="str">
        <f>IF(BD453="","",INDEX('#建筑消耗和buff配置索引'!BX:BX,MATCH($F453,'#建筑消耗和buff配置索引'!$M:$M,0)))</f>
        <v/>
      </c>
      <c r="BI453" s="133">
        <v>9</v>
      </c>
    </row>
    <row r="454" spans="1:70" s="133" customFormat="1">
      <c r="A454" s="133">
        <v>2320029</v>
      </c>
      <c r="B454" s="133">
        <v>451</v>
      </c>
      <c r="C454" s="133">
        <v>232</v>
      </c>
      <c r="D454" s="133" t="s">
        <v>319</v>
      </c>
      <c r="E454" s="133">
        <v>29</v>
      </c>
      <c r="F454" s="133" t="str">
        <f t="shared" si="8"/>
        <v>枪兵营29</v>
      </c>
      <c r="H454" s="146"/>
      <c r="I454" s="133">
        <v>3</v>
      </c>
      <c r="J454" s="150">
        <f>INDEX('#建筑消耗和buff配置索引'!AH:AH,MATCH($F454,'#建筑消耗和buff配置索引'!$M:$M,0))</f>
        <v>855360</v>
      </c>
      <c r="K454" s="150">
        <f>INDEX('#建筑消耗和buff配置索引'!AA:AA,MATCH($F454,'#建筑消耗和buff配置索引'!$M:$M,0))</f>
        <v>14000000</v>
      </c>
      <c r="L454" s="150">
        <f>INDEX('#建筑消耗和buff配置索引'!AB:AB,MATCH($F454,'#建筑消耗和buff配置索引'!$M:$M,0))</f>
        <v>14000000</v>
      </c>
      <c r="M454" s="150">
        <f>INDEX('#建筑消耗和buff配置索引'!AC:AC,MATCH($F454,'#建筑消耗和buff配置索引'!$M:$M,0))</f>
        <v>14000000</v>
      </c>
      <c r="N454" s="150">
        <f>INDEX('#建筑消耗和buff配置索引'!AD:AD,MATCH($F454,'#建筑消耗和buff配置索引'!$M:$M,0))</f>
        <v>14000000</v>
      </c>
      <c r="O454" s="150" t="str">
        <f>IF(INDEX('#建筑消耗和buff配置索引'!T:T,MATCH($F454,'#建筑消耗和buff配置索引'!$M:$M,0))=0,"",INDEX('#建筑消耗和buff配置索引'!T:T,MATCH($F454,'#建筑消耗和buff配置索引'!$M:$M,0)))</f>
        <v/>
      </c>
      <c r="P454" s="133" t="str">
        <f>IF(INDEX('#建筑消耗和buff配置索引'!U:U,MATCH($F454,'#建筑消耗和buff配置索引'!$M:$M,0))=0,"",INDEX('#建筑消耗和buff配置索引'!U:U,MATCH($F454,'#建筑消耗和buff配置索引'!$M:$M,0)))</f>
        <v/>
      </c>
      <c r="Q454" s="133" t="str">
        <f>IF(INDEX('#建筑消耗和buff配置索引'!K:K,MATCH($F454,'#建筑消耗和buff配置索引'!$M:$M,0))=0,"",INDEX('#建筑消耗和buff配置索引'!K:K,MATCH($F454,'#建筑消耗和buff配置索引'!$M:$M,0)))</f>
        <v>201;204</v>
      </c>
      <c r="R454" s="133" t="str">
        <f>IF(INDEX('#建筑消耗和buff配置索引'!L:L,MATCH($F454,'#建筑消耗和buff配置索引'!$M:$M,0))=0,"",INDEX('#建筑消耗和buff配置索引'!L:L,MATCH($F454,'#建筑消耗和buff配置索引'!$M:$M,0)))</f>
        <v>29;29</v>
      </c>
      <c r="S454" s="133">
        <f>IF(INDEX('#建筑消耗和buff配置索引'!C:C,MATCH(F454,'#建筑消耗和buff配置索引'!M:M,0))=0,1,INDEX('#建筑消耗和buff配置索引'!C:C,MATCH(F454,'#建筑消耗和buff配置索引'!M:M,0)))</f>
        <v>1</v>
      </c>
      <c r="T454" s="133">
        <v>0</v>
      </c>
      <c r="U454" s="133">
        <v>0</v>
      </c>
      <c r="V454" s="133" t="str">
        <f>IF(E454=1,IF(INDEX('#建筑消耗和buff配置索引'!BY:BY,MATCH(D454,'#建筑消耗和buff配置索引'!A:A,0))=0,"",INDEX('#建筑消耗和buff配置索引'!BY:BY,MATCH(D454,'#建筑消耗和buff配置索引'!A:A,0))),"")</f>
        <v/>
      </c>
      <c r="W454" s="133" t="str">
        <f>IF(E454=1,IF(INDEX('#建筑消耗和buff配置索引'!BZ:BZ,MATCH(D454,'#建筑消耗和buff配置索引'!A:A,0))=0,"",INDEX('#建筑消耗和buff配置索引'!BZ:BZ,MATCH(D454,'#建筑消耗和buff配置索引'!A:A,0))),"")</f>
        <v/>
      </c>
      <c r="X454" s="133" t="str">
        <f>INDEX('#建筑消耗和buff配置索引'!BC:BC,MATCH(F454,'#建筑消耗和buff配置索引'!M:M,0))*100&amp;"%"</f>
        <v>0%</v>
      </c>
      <c r="AA454" s="133">
        <f>INDEX('#建筑消耗和buff配置索引'!AO:AO,MATCH($F454,'#建筑消耗和buff配置索引'!$M:$M,0))</f>
        <v>493372</v>
      </c>
      <c r="AB454" s="133">
        <f>IF(INDEX('#建筑消耗和buff配置索引'!AR:AR,MATCH($F454,'#建筑消耗和buff配置索引'!$M:$M,0))=0,"",INDEX('#建筑消耗和buff配置索引'!AR:AR,MATCH($F454,'#建筑消耗和buff配置索引'!$M:$M,0)))</f>
        <v>3000</v>
      </c>
      <c r="AC454" s="133">
        <f>IF(AB454="","",INDEX('#建筑消耗和buff配置索引'!AS:AS,MATCH($F454,'#建筑消耗和buff配置索引'!$M:$M,0)))</f>
        <v>0.16</v>
      </c>
      <c r="AF454" s="133">
        <f>IF(INDEX('#建筑消耗和buff配置索引'!AW:AW,MATCH($F454,'#建筑消耗和buff配置索引'!$M:$M,0))=0,"",INDEX('#建筑消耗和buff配置索引'!AW:AW,MATCH($F454,'#建筑消耗和buff配置索引'!$M:$M,0)))</f>
        <v>3016</v>
      </c>
      <c r="AG454" s="133">
        <f>IF(AF454="","",INDEX('#建筑消耗和buff配置索引'!AX:AX,MATCH($F454,'#建筑消耗和buff配置索引'!$M:$M,0)))</f>
        <v>1600</v>
      </c>
      <c r="AJ454" s="133" t="str">
        <f>IF(INDEX('#建筑消耗和buff配置索引'!BB:BB,MATCH($F454,'#建筑消耗和buff配置索引'!$M:$M,0))=0,"",INDEX('#建筑消耗和buff配置索引'!BB:BB,MATCH($F454,'#建筑消耗和buff配置索引'!$M:$M,0)))</f>
        <v/>
      </c>
      <c r="AK454" s="133" t="str">
        <f>IF(AJ454="","",INDEX('#建筑消耗和buff配置索引'!BC:BC,MATCH($F454,'#建筑消耗和buff配置索引'!$M:$M,0)))</f>
        <v/>
      </c>
      <c r="AN454" s="133" t="str">
        <f>IF(INDEX('#建筑消耗和buff配置索引'!BG:BG,MATCH($F454,'#建筑消耗和buff配置索引'!$M:$M,0))=0,"",INDEX('#建筑消耗和buff配置索引'!BG:BG,MATCH($F454,'#建筑消耗和buff配置索引'!$M:$M,0)))</f>
        <v/>
      </c>
      <c r="AO454" s="133" t="str">
        <f>IF(AN454="","",INDEX('#建筑消耗和buff配置索引'!BH:BH,MATCH($F454,'#建筑消耗和buff配置索引'!$M:$M,0)))</f>
        <v/>
      </c>
      <c r="AR454" s="133" t="str">
        <f>IF(INDEX('#建筑消耗和buff配置索引'!BK:BK,MATCH($F454,'#建筑消耗和buff配置索引'!$M:$M,0))=0,"",INDEX('#建筑消耗和buff配置索引'!BK:BK,MATCH($F454,'#建筑消耗和buff配置索引'!$M:$M,0)))</f>
        <v/>
      </c>
      <c r="AS454" s="133" t="str">
        <f>IF(AR454="","",INDEX('#建筑消耗和buff配置索引'!BL:BL,MATCH($F454,'#建筑消耗和buff配置索引'!$M:$M,0)))</f>
        <v/>
      </c>
      <c r="AV454" s="133" t="str">
        <f>IF(INDEX('#建筑消耗和buff配置索引'!BO:BO,MATCH($F454,'#建筑消耗和buff配置索引'!$M:$M,0))=0,"",INDEX('#建筑消耗和buff配置索引'!BO:BO,MATCH($F454,'#建筑消耗和buff配置索引'!$M:$M,0)))</f>
        <v/>
      </c>
      <c r="AW454" s="133" t="str">
        <f>IF(AV454="","",INDEX('#建筑消耗和buff配置索引'!BP:BP,MATCH($F454,'#建筑消耗和buff配置索引'!$M:$M,0)))</f>
        <v/>
      </c>
      <c r="AZ454" s="133" t="str">
        <f>IF(INDEX('#建筑消耗和buff配置索引'!BS:BS,MATCH($F454,'#建筑消耗和buff配置索引'!$M:$M,0))=0,"",INDEX('#建筑消耗和buff配置索引'!BS:BS,MATCH($F454,'#建筑消耗和buff配置索引'!$M:$M,0)))</f>
        <v/>
      </c>
      <c r="BA454" s="133" t="str">
        <f>IF(AZ454="","",INDEX('#建筑消耗和buff配置索引'!BT:BT,MATCH($F454,'#建筑消耗和buff配置索引'!$M:$M,0)))</f>
        <v/>
      </c>
      <c r="BD454" s="133" t="str">
        <f>IF(INDEX('#建筑消耗和buff配置索引'!BW:BW,MATCH($F454,'#建筑消耗和buff配置索引'!$M:$M,0))=0,"",INDEX('#建筑消耗和buff配置索引'!BW:BW,MATCH($F454,'#建筑消耗和buff配置索引'!$M:$M,0)))</f>
        <v/>
      </c>
      <c r="BE454" s="133" t="str">
        <f>IF(BD454="","",INDEX('#建筑消耗和buff配置索引'!BX:BX,MATCH($F454,'#建筑消耗和buff配置索引'!$M:$M,0)))</f>
        <v/>
      </c>
      <c r="BI454" s="133">
        <v>9</v>
      </c>
    </row>
    <row r="455" spans="1:70" s="133" customFormat="1">
      <c r="A455" s="133">
        <v>2320030</v>
      </c>
      <c r="B455" s="133">
        <v>452</v>
      </c>
      <c r="C455" s="133">
        <v>232</v>
      </c>
      <c r="D455" s="133" t="s">
        <v>319</v>
      </c>
      <c r="E455" s="133">
        <v>30</v>
      </c>
      <c r="F455" s="133" t="str">
        <f t="shared" si="8"/>
        <v>枪兵营30</v>
      </c>
      <c r="H455" s="146"/>
      <c r="I455" s="133">
        <v>3</v>
      </c>
      <c r="J455" s="150">
        <f>INDEX('#建筑消耗和buff配置索引'!AH:AH,MATCH($F455,'#建筑消耗和buff配置索引'!$M:$M,0))</f>
        <v>1036800</v>
      </c>
      <c r="K455" s="150">
        <f>INDEX('#建筑消耗和buff配置索引'!AA:AA,MATCH($F455,'#建筑消耗和buff配置索引'!$M:$M,0))</f>
        <v>17000000</v>
      </c>
      <c r="L455" s="150">
        <f>INDEX('#建筑消耗和buff配置索引'!AB:AB,MATCH($F455,'#建筑消耗和buff配置索引'!$M:$M,0))</f>
        <v>17000000</v>
      </c>
      <c r="M455" s="150">
        <f>INDEX('#建筑消耗和buff配置索引'!AC:AC,MATCH($F455,'#建筑消耗和buff配置索引'!$M:$M,0))</f>
        <v>17000000</v>
      </c>
      <c r="N455" s="150">
        <f>INDEX('#建筑消耗和buff配置索引'!AD:AD,MATCH($F455,'#建筑消耗和buff配置索引'!$M:$M,0))</f>
        <v>17000000</v>
      </c>
      <c r="O455" s="150" t="str">
        <f>IF(INDEX('#建筑消耗和buff配置索引'!T:T,MATCH($F455,'#建筑消耗和buff配置索引'!$M:$M,0))=0,"",INDEX('#建筑消耗和buff配置索引'!T:T,MATCH($F455,'#建筑消耗和buff配置索引'!$M:$M,0)))</f>
        <v/>
      </c>
      <c r="P455" s="133" t="str">
        <f>IF(INDEX('#建筑消耗和buff配置索引'!U:U,MATCH($F455,'#建筑消耗和buff配置索引'!$M:$M,0))=0,"",INDEX('#建筑消耗和buff配置索引'!U:U,MATCH($F455,'#建筑消耗和buff配置索引'!$M:$M,0)))</f>
        <v/>
      </c>
      <c r="Q455" s="133" t="str">
        <f>IF(INDEX('#建筑消耗和buff配置索引'!K:K,MATCH($F455,'#建筑消耗和buff配置索引'!$M:$M,0))=0,"",INDEX('#建筑消耗和buff配置索引'!K:K,MATCH($F455,'#建筑消耗和buff配置索引'!$M:$M,0)))</f>
        <v>201;204</v>
      </c>
      <c r="R455" s="133" t="str">
        <f>IF(INDEX('#建筑消耗和buff配置索引'!L:L,MATCH($F455,'#建筑消耗和buff配置索引'!$M:$M,0))=0,"",INDEX('#建筑消耗和buff配置索引'!L:L,MATCH($F455,'#建筑消耗和buff配置索引'!$M:$M,0)))</f>
        <v>30;30</v>
      </c>
      <c r="S455" s="133">
        <f>IF(INDEX('#建筑消耗和buff配置索引'!C:C,MATCH(F455,'#建筑消耗和buff配置索引'!M:M,0))=0,1,INDEX('#建筑消耗和buff配置索引'!C:C,MATCH(F455,'#建筑消耗和buff配置索引'!M:M,0)))</f>
        <v>1</v>
      </c>
      <c r="T455" s="133">
        <v>0</v>
      </c>
      <c r="U455" s="133">
        <v>0</v>
      </c>
      <c r="V455" s="133" t="str">
        <f>IF(E455=1,IF(INDEX('#建筑消耗和buff配置索引'!BY:BY,MATCH(D455,'#建筑消耗和buff配置索引'!A:A,0))=0,"",INDEX('#建筑消耗和buff配置索引'!BY:BY,MATCH(D455,'#建筑消耗和buff配置索引'!A:A,0))),"")</f>
        <v/>
      </c>
      <c r="W455" s="133" t="str">
        <f>IF(E455=1,IF(INDEX('#建筑消耗和buff配置索引'!BZ:BZ,MATCH(D455,'#建筑消耗和buff配置索引'!A:A,0))=0,"",INDEX('#建筑消耗和buff配置索引'!BZ:BZ,MATCH(D455,'#建筑消耗和buff配置索引'!A:A,0))),"")</f>
        <v/>
      </c>
      <c r="X455" s="133" t="str">
        <f>INDEX('#建筑消耗和buff配置索引'!BC:BC,MATCH(F455,'#建筑消耗和buff配置索引'!M:M,0))*100&amp;"%"</f>
        <v>0%</v>
      </c>
      <c r="AA455" s="133">
        <f>INDEX('#建筑消耗和buff配置索引'!AO:AO,MATCH($F455,'#建筑消耗和buff配置索引'!$M:$M,0))</f>
        <v>632420</v>
      </c>
      <c r="AB455" s="133">
        <f>IF(INDEX('#建筑消耗和buff配置索引'!AR:AR,MATCH($F455,'#建筑消耗和buff配置索引'!$M:$M,0))=0,"",INDEX('#建筑消耗和buff配置索引'!AR:AR,MATCH($F455,'#建筑消耗和buff配置索引'!$M:$M,0)))</f>
        <v>3000</v>
      </c>
      <c r="AC455" s="133">
        <f>IF(AB455="","",INDEX('#建筑消耗和buff配置索引'!AS:AS,MATCH($F455,'#建筑消耗和buff配置索引'!$M:$M,0)))</f>
        <v>0.17</v>
      </c>
      <c r="AF455" s="133">
        <f>IF(INDEX('#建筑消耗和buff配置索引'!AW:AW,MATCH($F455,'#建筑消耗和buff配置索引'!$M:$M,0))=0,"",INDEX('#建筑消耗和buff配置索引'!AW:AW,MATCH($F455,'#建筑消耗和buff配置索引'!$M:$M,0)))</f>
        <v>3016</v>
      </c>
      <c r="AG455" s="133">
        <f>IF(AF455="","",INDEX('#建筑消耗和buff配置索引'!AX:AX,MATCH($F455,'#建筑消耗和buff配置索引'!$M:$M,0)))</f>
        <v>1700</v>
      </c>
      <c r="AJ455" s="133" t="str">
        <f>IF(INDEX('#建筑消耗和buff配置索引'!BB:BB,MATCH($F455,'#建筑消耗和buff配置索引'!$M:$M,0))=0,"",INDEX('#建筑消耗和buff配置索引'!BB:BB,MATCH($F455,'#建筑消耗和buff配置索引'!$M:$M,0)))</f>
        <v/>
      </c>
      <c r="AK455" s="133" t="str">
        <f>IF(AJ455="","",INDEX('#建筑消耗和buff配置索引'!BC:BC,MATCH($F455,'#建筑消耗和buff配置索引'!$M:$M,0)))</f>
        <v/>
      </c>
      <c r="AN455" s="133" t="str">
        <f>IF(INDEX('#建筑消耗和buff配置索引'!BG:BG,MATCH($F455,'#建筑消耗和buff配置索引'!$M:$M,0))=0,"",INDEX('#建筑消耗和buff配置索引'!BG:BG,MATCH($F455,'#建筑消耗和buff配置索引'!$M:$M,0)))</f>
        <v/>
      </c>
      <c r="AO455" s="133" t="str">
        <f>IF(AN455="","",INDEX('#建筑消耗和buff配置索引'!BH:BH,MATCH($F455,'#建筑消耗和buff配置索引'!$M:$M,0)))</f>
        <v/>
      </c>
      <c r="AR455" s="133" t="str">
        <f>IF(INDEX('#建筑消耗和buff配置索引'!BK:BK,MATCH($F455,'#建筑消耗和buff配置索引'!$M:$M,0))=0,"",INDEX('#建筑消耗和buff配置索引'!BK:BK,MATCH($F455,'#建筑消耗和buff配置索引'!$M:$M,0)))</f>
        <v/>
      </c>
      <c r="AS455" s="133" t="str">
        <f>IF(AR455="","",INDEX('#建筑消耗和buff配置索引'!BL:BL,MATCH($F455,'#建筑消耗和buff配置索引'!$M:$M,0)))</f>
        <v/>
      </c>
      <c r="AV455" s="133" t="str">
        <f>IF(INDEX('#建筑消耗和buff配置索引'!BO:BO,MATCH($F455,'#建筑消耗和buff配置索引'!$M:$M,0))=0,"",INDEX('#建筑消耗和buff配置索引'!BO:BO,MATCH($F455,'#建筑消耗和buff配置索引'!$M:$M,0)))</f>
        <v/>
      </c>
      <c r="AW455" s="133" t="str">
        <f>IF(AV455="","",INDEX('#建筑消耗和buff配置索引'!BP:BP,MATCH($F455,'#建筑消耗和buff配置索引'!$M:$M,0)))</f>
        <v/>
      </c>
      <c r="AZ455" s="133" t="str">
        <f>IF(INDEX('#建筑消耗和buff配置索引'!BS:BS,MATCH($F455,'#建筑消耗和buff配置索引'!$M:$M,0))=0,"",INDEX('#建筑消耗和buff配置索引'!BS:BS,MATCH($F455,'#建筑消耗和buff配置索引'!$M:$M,0)))</f>
        <v/>
      </c>
      <c r="BA455" s="133" t="str">
        <f>IF(AZ455="","",INDEX('#建筑消耗和buff配置索引'!BT:BT,MATCH($F455,'#建筑消耗和buff配置索引'!$M:$M,0)))</f>
        <v/>
      </c>
      <c r="BD455" s="133" t="str">
        <f>IF(INDEX('#建筑消耗和buff配置索引'!BW:BW,MATCH($F455,'#建筑消耗和buff配置索引'!$M:$M,0))=0,"",INDEX('#建筑消耗和buff配置索引'!BW:BW,MATCH($F455,'#建筑消耗和buff配置索引'!$M:$M,0)))</f>
        <v/>
      </c>
      <c r="BE455" s="133" t="str">
        <f>IF(BD455="","",INDEX('#建筑消耗和buff配置索引'!BX:BX,MATCH($F455,'#建筑消耗和buff配置索引'!$M:$M,0)))</f>
        <v/>
      </c>
      <c r="BI455" s="133">
        <v>9</v>
      </c>
    </row>
    <row r="456" spans="1:70">
      <c r="A456" s="133">
        <v>2340001</v>
      </c>
      <c r="B456" s="133">
        <v>453</v>
      </c>
      <c r="C456" s="133">
        <v>234</v>
      </c>
      <c r="D456" s="133" t="s">
        <v>271</v>
      </c>
      <c r="E456" s="133">
        <v>1</v>
      </c>
      <c r="F456" s="133" t="str">
        <f t="shared" si="8"/>
        <v>金矿场1</v>
      </c>
      <c r="G456" s="133"/>
      <c r="H456" s="146"/>
      <c r="I456" s="133" t="s">
        <v>1205</v>
      </c>
      <c r="J456" s="150">
        <f>INDEX('#建筑消耗和buff配置索引'!AH:AH,MATCH($F456,'#建筑消耗和buff配置索引'!$M:$M,0))</f>
        <v>25</v>
      </c>
      <c r="K456" s="150">
        <f>INDEX('#建筑消耗和buff配置索引'!AA:AA,MATCH($F456,'#建筑消耗和buff配置索引'!$M:$M,0))</f>
        <v>0</v>
      </c>
      <c r="L456" s="150">
        <f>INDEX('#建筑消耗和buff配置索引'!AB:AB,MATCH($F456,'#建筑消耗和buff配置索引'!$M:$M,0))</f>
        <v>0</v>
      </c>
      <c r="M456" s="150">
        <f>INDEX('#建筑消耗和buff配置索引'!AC:AC,MATCH($F456,'#建筑消耗和buff配置索引'!$M:$M,0))</f>
        <v>0</v>
      </c>
      <c r="N456" s="150">
        <f>INDEX('#建筑消耗和buff配置索引'!AD:AD,MATCH($F456,'#建筑消耗和buff配置索引'!$M:$M,0))</f>
        <v>0</v>
      </c>
      <c r="O456" s="150" t="str">
        <f>IF(INDEX('#建筑消耗和buff配置索引'!T:T,MATCH($F456,'#建筑消耗和buff配置索引'!$M:$M,0))=0,"",INDEX('#建筑消耗和buff配置索引'!T:T,MATCH($F456,'#建筑消耗和buff配置索引'!$M:$M,0)))</f>
        <v/>
      </c>
      <c r="P456" s="133" t="str">
        <f>IF(INDEX('#建筑消耗和buff配置索引'!U:U,MATCH($F456,'#建筑消耗和buff配置索引'!$M:$M,0))=0,"",INDEX('#建筑消耗和buff配置索引'!U:U,MATCH($F456,'#建筑消耗和buff配置索引'!$M:$M,0)))</f>
        <v/>
      </c>
      <c r="Q456" s="133" t="str">
        <f>IF(INDEX('#建筑消耗和buff配置索引'!K:K,MATCH($F456,'#建筑消耗和buff配置索引'!$M:$M,0))=0,"",INDEX('#建筑消耗和buff配置索引'!K:K,MATCH($F456,'#建筑消耗和buff配置索引'!$M:$M,0)))</f>
        <v>201</v>
      </c>
      <c r="R456" s="133" t="str">
        <f>IF(INDEX('#建筑消耗和buff配置索引'!L:L,MATCH($F456,'#建筑消耗和buff配置索引'!$M:$M,0))=0,"",INDEX('#建筑消耗和buff配置索引'!L:L,MATCH($F456,'#建筑消耗和buff配置索引'!$M:$M,0)))</f>
        <v>10</v>
      </c>
      <c r="S456" s="133">
        <f>IF(INDEX('#建筑消耗和buff配置索引'!C:C,MATCH(F456,'#建筑消耗和buff配置索引'!M:M,0))=0,1,INDEX('#建筑消耗和buff配置索引'!C:C,MATCH(F456,'#建筑消耗和buff配置索引'!M:M,0)))</f>
        <v>3</v>
      </c>
      <c r="T456" s="133">
        <v>0</v>
      </c>
      <c r="U456" s="133">
        <v>0</v>
      </c>
      <c r="V456" s="133" t="str">
        <f>IF(E456=1,IF(INDEX('#建筑消耗和buff配置索引'!BY:BY,MATCH(D456,'#建筑消耗和buff配置索引'!A:A,0))=0,"",INDEX('#建筑消耗和buff配置索引'!BY:BY,MATCH(D456,'#建筑消耗和buff配置索引'!A:A,0))),"")</f>
        <v>1</v>
      </c>
      <c r="W456" s="133" t="str">
        <f>IF(E456=1,IF(INDEX('#建筑消耗和buff配置索引'!BZ:BZ,MATCH(D456,'#建筑消耗和buff配置索引'!A:A,0))=0,"",INDEX('#建筑消耗和buff配置索引'!BZ:BZ,MATCH(D456,'#建筑消耗和buff配置索引'!A:A,0))),"")</f>
        <v>TID_Buff_BuilDetail_1019</v>
      </c>
      <c r="X456" s="133"/>
      <c r="Y456" s="133"/>
      <c r="Z456" s="133"/>
      <c r="AA456" s="133">
        <f>INDEX('#建筑消耗和buff配置索引'!AO:AO,MATCH($F456,'#建筑消耗和buff配置索引'!$M:$M,0))</f>
        <v>1</v>
      </c>
      <c r="AB456" s="133">
        <f>IF(INDEX('#建筑消耗和buff配置索引'!AR:AR,MATCH($F456,'#建筑消耗和buff配置索引'!$M:$M,0))=0,"",INDEX('#建筑消耗和buff配置索引'!AR:AR,MATCH($F456,'#建筑消耗和buff配置索引'!$M:$M,0)))</f>
        <v>1019</v>
      </c>
      <c r="AC456" s="133">
        <f>IF(AB456="","",INDEX('#建筑消耗和buff配置索引'!AS:AS,MATCH($F456,'#建筑消耗和buff配置索引'!$M:$M,0)))</f>
        <v>400</v>
      </c>
      <c r="AD456" s="133"/>
      <c r="AE456" s="133"/>
      <c r="AF456" s="133" t="str">
        <f>IF(INDEX('#建筑消耗和buff配置索引'!AW:AW,MATCH($F456,'#建筑消耗和buff配置索引'!$M:$M,0))=0,"",INDEX('#建筑消耗和buff配置索引'!AW:AW,MATCH($F456,'#建筑消耗和buff配置索引'!$M:$M,0)))</f>
        <v/>
      </c>
      <c r="AG456" s="133" t="str">
        <f>IF(AF456="","",INDEX('#建筑消耗和buff配置索引'!AX:AX,MATCH($F456,'#建筑消耗和buff配置索引'!$M:$M,0)))</f>
        <v/>
      </c>
      <c r="AH456" s="133"/>
      <c r="AI456" s="133"/>
      <c r="AJ456" s="133" t="str">
        <f>IF(INDEX('#建筑消耗和buff配置索引'!BB:BB,MATCH($F456,'#建筑消耗和buff配置索引'!$M:$M,0))=0,"",INDEX('#建筑消耗和buff配置索引'!BB:BB,MATCH($F456,'#建筑消耗和buff配置索引'!$M:$M,0)))</f>
        <v/>
      </c>
      <c r="AK456" s="133" t="str">
        <f>IF(AJ456="","",INDEX('#建筑消耗和buff配置索引'!BC:BC,MATCH($F456,'#建筑消耗和buff配置索引'!$M:$M,0)))</f>
        <v/>
      </c>
      <c r="AL456" s="133"/>
      <c r="AM456" s="133"/>
      <c r="AN456" s="133" t="str">
        <f>IF(INDEX('#建筑消耗和buff配置索引'!BG:BG,MATCH($F456,'#建筑消耗和buff配置索引'!$M:$M,0))=0,"",INDEX('#建筑消耗和buff配置索引'!BG:BG,MATCH($F456,'#建筑消耗和buff配置索引'!$M:$M,0)))</f>
        <v/>
      </c>
      <c r="AO456" s="133" t="str">
        <f>IF(AN456="","",INDEX('#建筑消耗和buff配置索引'!BH:BH,MATCH($F456,'#建筑消耗和buff配置索引'!$M:$M,0)))</f>
        <v/>
      </c>
      <c r="AP456" s="133"/>
      <c r="AQ456" s="133"/>
      <c r="AR456" s="133" t="str">
        <f>IF(INDEX('#建筑消耗和buff配置索引'!BK:BK,MATCH($F456,'#建筑消耗和buff配置索引'!$M:$M,0))=0,"",INDEX('#建筑消耗和buff配置索引'!BK:BK,MATCH($F456,'#建筑消耗和buff配置索引'!$M:$M,0)))</f>
        <v/>
      </c>
      <c r="AS456" s="133" t="str">
        <f>IF(AR456="","",INDEX('#建筑消耗和buff配置索引'!BL:BL,MATCH($F456,'#建筑消耗和buff配置索引'!$M:$M,0)))</f>
        <v/>
      </c>
      <c r="AT456" s="133"/>
      <c r="AU456" s="133"/>
      <c r="AV456" s="133" t="str">
        <f>IF(INDEX('#建筑消耗和buff配置索引'!BO:BO,MATCH($F456,'#建筑消耗和buff配置索引'!$M:$M,0))=0,"",INDEX('#建筑消耗和buff配置索引'!BO:BO,MATCH($F456,'#建筑消耗和buff配置索引'!$M:$M,0)))</f>
        <v/>
      </c>
      <c r="AW456" s="133" t="str">
        <f>IF(AV456="","",INDEX('#建筑消耗和buff配置索引'!BP:BP,MATCH($F456,'#建筑消耗和buff配置索引'!$M:$M,0)))</f>
        <v/>
      </c>
      <c r="AX456" s="133"/>
      <c r="AY456" s="133"/>
      <c r="AZ456" s="133" t="str">
        <f>IF(INDEX('#建筑消耗和buff配置索引'!BS:BS,MATCH($F456,'#建筑消耗和buff配置索引'!$M:$M,0))=0,"",INDEX('#建筑消耗和buff配置索引'!BS:BS,MATCH($F456,'#建筑消耗和buff配置索引'!$M:$M,0)))</f>
        <v/>
      </c>
      <c r="BA456" s="133" t="str">
        <f>IF(AZ456="","",INDEX('#建筑消耗和buff配置索引'!BT:BT,MATCH($F456,'#建筑消耗和buff配置索引'!$M:$M,0)))</f>
        <v/>
      </c>
      <c r="BB456" s="133"/>
      <c r="BC456" s="133"/>
      <c r="BD456" s="133" t="str">
        <f>IF(INDEX('#建筑消耗和buff配置索引'!BW:BW,MATCH($F456,'#建筑消耗和buff配置索引'!$M:$M,0))=0,"",INDEX('#建筑消耗和buff配置索引'!BW:BW,MATCH($F456,'#建筑消耗和buff配置索引'!$M:$M,0)))</f>
        <v/>
      </c>
      <c r="BE456" s="133" t="str">
        <f>IF(BD456="","",INDEX('#建筑消耗和buff配置索引'!BX:BX,MATCH($F456,'#建筑消耗和buff配置索引'!$M:$M,0)))</f>
        <v/>
      </c>
      <c r="BF456" s="133"/>
      <c r="BG456" s="133"/>
      <c r="BH456" s="133"/>
      <c r="BI456" s="133">
        <v>8</v>
      </c>
      <c r="BJ456" s="133"/>
      <c r="BN456" s="140">
        <v>3</v>
      </c>
      <c r="BO456" s="133">
        <v>3</v>
      </c>
      <c r="BP456" s="140" t="s">
        <v>1360</v>
      </c>
      <c r="BQ456" s="140">
        <v>10003603</v>
      </c>
      <c r="BR456" s="140">
        <v>300</v>
      </c>
    </row>
    <row r="457" spans="1:70">
      <c r="A457" s="133">
        <v>2340002</v>
      </c>
      <c r="B457" s="133">
        <v>454</v>
      </c>
      <c r="C457" s="133">
        <v>234</v>
      </c>
      <c r="D457" s="133" t="s">
        <v>271</v>
      </c>
      <c r="E457" s="133">
        <v>2</v>
      </c>
      <c r="F457" s="133" t="str">
        <f t="shared" si="8"/>
        <v>金矿场2</v>
      </c>
      <c r="G457" s="133"/>
      <c r="H457" s="146"/>
      <c r="I457" s="133" t="s">
        <v>1205</v>
      </c>
      <c r="J457" s="150">
        <f>INDEX('#建筑消耗和buff配置索引'!AH:AH,MATCH($F457,'#建筑消耗和buff配置索引'!$M:$M,0))</f>
        <v>25</v>
      </c>
      <c r="K457" s="150">
        <f>INDEX('#建筑消耗和buff配置索引'!AA:AA,MATCH($F457,'#建筑消耗和buff配置索引'!$M:$M,0))</f>
        <v>500</v>
      </c>
      <c r="L457" s="150">
        <f>INDEX('#建筑消耗和buff配置索引'!AB:AB,MATCH($F457,'#建筑消耗和buff配置索引'!$M:$M,0))</f>
        <v>500</v>
      </c>
      <c r="M457" s="150">
        <f>INDEX('#建筑消耗和buff配置索引'!AC:AC,MATCH($F457,'#建筑消耗和buff配置索引'!$M:$M,0))</f>
        <v>0</v>
      </c>
      <c r="N457" s="150">
        <f>INDEX('#建筑消耗和buff配置索引'!AD:AD,MATCH($F457,'#建筑消耗和buff配置索引'!$M:$M,0))</f>
        <v>0</v>
      </c>
      <c r="O457" s="150" t="str">
        <f>IF(INDEX('#建筑消耗和buff配置索引'!T:T,MATCH($F457,'#建筑消耗和buff配置索引'!$M:$M,0))=0,"",INDEX('#建筑消耗和buff配置索引'!T:T,MATCH($F457,'#建筑消耗和buff配置索引'!$M:$M,0)))</f>
        <v/>
      </c>
      <c r="P457" s="133" t="str">
        <f>IF(INDEX('#建筑消耗和buff配置索引'!U:U,MATCH($F457,'#建筑消耗和buff配置索引'!$M:$M,0))=0,"",INDEX('#建筑消耗和buff配置索引'!U:U,MATCH($F457,'#建筑消耗和buff配置索引'!$M:$M,0)))</f>
        <v/>
      </c>
      <c r="Q457" s="133" t="str">
        <f>IF(INDEX('#建筑消耗和buff配置索引'!K:K,MATCH($F457,'#建筑消耗和buff配置索引'!$M:$M,0))=0,"",INDEX('#建筑消耗和buff配置索引'!K:K,MATCH($F457,'#建筑消耗和buff配置索引'!$M:$M,0)))</f>
        <v>201</v>
      </c>
      <c r="R457" s="133" t="str">
        <f>IF(INDEX('#建筑消耗和buff配置索引'!L:L,MATCH($F457,'#建筑消耗和buff配置索引'!$M:$M,0))=0,"",INDEX('#建筑消耗和buff配置索引'!L:L,MATCH($F457,'#建筑消耗和buff配置索引'!$M:$M,0)))</f>
        <v>10</v>
      </c>
      <c r="S457" s="133">
        <f>IF(INDEX('#建筑消耗和buff配置索引'!C:C,MATCH(F457,'#建筑消耗和buff配置索引'!M:M,0))=0,1,INDEX('#建筑消耗和buff配置索引'!C:C,MATCH(F457,'#建筑消耗和buff配置索引'!M:M,0)))</f>
        <v>3</v>
      </c>
      <c r="T457" s="133">
        <v>0</v>
      </c>
      <c r="U457" s="133">
        <v>0</v>
      </c>
      <c r="V457" s="133" t="str">
        <f>IF(E457=1,IF(INDEX('#建筑消耗和buff配置索引'!BY:BY,MATCH(D457,'#建筑消耗和buff配置索引'!A:A,0))=0,"",INDEX('#建筑消耗和buff配置索引'!BY:BY,MATCH(D457,'#建筑消耗和buff配置索引'!A:A,0))),"")</f>
        <v/>
      </c>
      <c r="W457" s="133" t="str">
        <f>IF(E457=1,IF(INDEX('#建筑消耗和buff配置索引'!BZ:BZ,MATCH(D457,'#建筑消耗和buff配置索引'!A:A,0))=0,"",INDEX('#建筑消耗和buff配置索引'!BZ:BZ,MATCH(D457,'#建筑消耗和buff配置索引'!A:A,0))),"")</f>
        <v/>
      </c>
      <c r="X457" s="133"/>
      <c r="Y457" s="133"/>
      <c r="Z457" s="133"/>
      <c r="AA457" s="133">
        <f>INDEX('#建筑消耗和buff配置索引'!AO:AO,MATCH($F457,'#建筑消耗和buff配置索引'!$M:$M,0))</f>
        <v>3</v>
      </c>
      <c r="AB457" s="133">
        <f>IF(INDEX('#建筑消耗和buff配置索引'!AR:AR,MATCH($F457,'#建筑消耗和buff配置索引'!$M:$M,0))=0,"",INDEX('#建筑消耗和buff配置索引'!AR:AR,MATCH($F457,'#建筑消耗和buff配置索引'!$M:$M,0)))</f>
        <v>1019</v>
      </c>
      <c r="AC457" s="133">
        <f>IF(AB457="","",INDEX('#建筑消耗和buff配置索引'!AS:AS,MATCH($F457,'#建筑消耗和buff配置索引'!$M:$M,0)))</f>
        <v>600</v>
      </c>
      <c r="AD457" s="133"/>
      <c r="AE457" s="133"/>
      <c r="AF457" s="133" t="str">
        <f>IF(INDEX('#建筑消耗和buff配置索引'!AW:AW,MATCH($F457,'#建筑消耗和buff配置索引'!$M:$M,0))=0,"",INDEX('#建筑消耗和buff配置索引'!AW:AW,MATCH($F457,'#建筑消耗和buff配置索引'!$M:$M,0)))</f>
        <v/>
      </c>
      <c r="AG457" s="133" t="str">
        <f>IF(AF457="","",INDEX('#建筑消耗和buff配置索引'!AX:AX,MATCH($F457,'#建筑消耗和buff配置索引'!$M:$M,0)))</f>
        <v/>
      </c>
      <c r="AH457" s="133"/>
      <c r="AI457" s="133"/>
      <c r="AJ457" s="133" t="str">
        <f>IF(INDEX('#建筑消耗和buff配置索引'!BB:BB,MATCH($F457,'#建筑消耗和buff配置索引'!$M:$M,0))=0,"",INDEX('#建筑消耗和buff配置索引'!BB:BB,MATCH($F457,'#建筑消耗和buff配置索引'!$M:$M,0)))</f>
        <v/>
      </c>
      <c r="AK457" s="133" t="str">
        <f>IF(AJ457="","",INDEX('#建筑消耗和buff配置索引'!BC:BC,MATCH($F457,'#建筑消耗和buff配置索引'!$M:$M,0)))</f>
        <v/>
      </c>
      <c r="AL457" s="133"/>
      <c r="AM457" s="133"/>
      <c r="AN457" s="133" t="str">
        <f>IF(INDEX('#建筑消耗和buff配置索引'!BG:BG,MATCH($F457,'#建筑消耗和buff配置索引'!$M:$M,0))=0,"",INDEX('#建筑消耗和buff配置索引'!BG:BG,MATCH($F457,'#建筑消耗和buff配置索引'!$M:$M,0)))</f>
        <v/>
      </c>
      <c r="AO457" s="133" t="str">
        <f>IF(AN457="","",INDEX('#建筑消耗和buff配置索引'!BH:BH,MATCH($F457,'#建筑消耗和buff配置索引'!$M:$M,0)))</f>
        <v/>
      </c>
      <c r="AP457" s="133"/>
      <c r="AQ457" s="133"/>
      <c r="AR457" s="133" t="str">
        <f>IF(INDEX('#建筑消耗和buff配置索引'!BK:BK,MATCH($F457,'#建筑消耗和buff配置索引'!$M:$M,0))=0,"",INDEX('#建筑消耗和buff配置索引'!BK:BK,MATCH($F457,'#建筑消耗和buff配置索引'!$M:$M,0)))</f>
        <v/>
      </c>
      <c r="AS457" s="133" t="str">
        <f>IF(AR457="","",INDEX('#建筑消耗和buff配置索引'!BL:BL,MATCH($F457,'#建筑消耗和buff配置索引'!$M:$M,0)))</f>
        <v/>
      </c>
      <c r="AT457" s="133"/>
      <c r="AU457" s="133"/>
      <c r="AV457" s="133" t="str">
        <f>IF(INDEX('#建筑消耗和buff配置索引'!BO:BO,MATCH($F457,'#建筑消耗和buff配置索引'!$M:$M,0))=0,"",INDEX('#建筑消耗和buff配置索引'!BO:BO,MATCH($F457,'#建筑消耗和buff配置索引'!$M:$M,0)))</f>
        <v/>
      </c>
      <c r="AW457" s="133" t="str">
        <f>IF(AV457="","",INDEX('#建筑消耗和buff配置索引'!BP:BP,MATCH($F457,'#建筑消耗和buff配置索引'!$M:$M,0)))</f>
        <v/>
      </c>
      <c r="AX457" s="133"/>
      <c r="AY457" s="133"/>
      <c r="AZ457" s="133" t="str">
        <f>IF(INDEX('#建筑消耗和buff配置索引'!BS:BS,MATCH($F457,'#建筑消耗和buff配置索引'!$M:$M,0))=0,"",INDEX('#建筑消耗和buff配置索引'!BS:BS,MATCH($F457,'#建筑消耗和buff配置索引'!$M:$M,0)))</f>
        <v/>
      </c>
      <c r="BA457" s="133" t="str">
        <f>IF(AZ457="","",INDEX('#建筑消耗和buff配置索引'!BT:BT,MATCH($F457,'#建筑消耗和buff配置索引'!$M:$M,0)))</f>
        <v/>
      </c>
      <c r="BB457" s="133"/>
      <c r="BC457" s="133"/>
      <c r="BD457" s="133" t="str">
        <f>IF(INDEX('#建筑消耗和buff配置索引'!BW:BW,MATCH($F457,'#建筑消耗和buff配置索引'!$M:$M,0))=0,"",INDEX('#建筑消耗和buff配置索引'!BW:BW,MATCH($F457,'#建筑消耗和buff配置索引'!$M:$M,0)))</f>
        <v/>
      </c>
      <c r="BE457" s="133" t="str">
        <f>IF(BD457="","",INDEX('#建筑消耗和buff配置索引'!BX:BX,MATCH($F457,'#建筑消耗和buff配置索引'!$M:$M,0)))</f>
        <v/>
      </c>
      <c r="BF457" s="133"/>
      <c r="BG457" s="133"/>
      <c r="BH457" s="133"/>
      <c r="BI457" s="133">
        <v>8</v>
      </c>
      <c r="BJ457" s="133"/>
      <c r="BO457" s="133">
        <v>3</v>
      </c>
      <c r="BP457" s="140" t="s">
        <v>1360</v>
      </c>
      <c r="BQ457" s="140">
        <v>10003603</v>
      </c>
      <c r="BR457" s="140">
        <v>300</v>
      </c>
    </row>
    <row r="458" spans="1:70">
      <c r="A458" s="133">
        <v>2340003</v>
      </c>
      <c r="B458" s="133">
        <v>455</v>
      </c>
      <c r="C458" s="133">
        <v>234</v>
      </c>
      <c r="D458" s="133" t="s">
        <v>271</v>
      </c>
      <c r="E458" s="133">
        <v>3</v>
      </c>
      <c r="F458" s="133" t="str">
        <f t="shared" si="8"/>
        <v>金矿场3</v>
      </c>
      <c r="G458" s="133"/>
      <c r="H458" s="146"/>
      <c r="I458" s="133" t="s">
        <v>1205</v>
      </c>
      <c r="J458" s="150">
        <f>INDEX('#建筑消耗和buff配置索引'!AH:AH,MATCH($F458,'#建筑消耗和buff配置索引'!$M:$M,0))</f>
        <v>36</v>
      </c>
      <c r="K458" s="150">
        <f>INDEX('#建筑消耗和buff配置索引'!AA:AA,MATCH($F458,'#建筑消耗和buff配置索引'!$M:$M,0))</f>
        <v>1000</v>
      </c>
      <c r="L458" s="150">
        <f>INDEX('#建筑消耗和buff配置索引'!AB:AB,MATCH($F458,'#建筑消耗和buff配置索引'!$M:$M,0))</f>
        <v>1000</v>
      </c>
      <c r="M458" s="150">
        <f>INDEX('#建筑消耗和buff配置索引'!AC:AC,MATCH($F458,'#建筑消耗和buff配置索引'!$M:$M,0))</f>
        <v>0</v>
      </c>
      <c r="N458" s="150">
        <f>INDEX('#建筑消耗和buff配置索引'!AD:AD,MATCH($F458,'#建筑消耗和buff配置索引'!$M:$M,0))</f>
        <v>0</v>
      </c>
      <c r="O458" s="150" t="str">
        <f>IF(INDEX('#建筑消耗和buff配置索引'!T:T,MATCH($F458,'#建筑消耗和buff配置索引'!$M:$M,0))=0,"",INDEX('#建筑消耗和buff配置索引'!T:T,MATCH($F458,'#建筑消耗和buff配置索引'!$M:$M,0)))</f>
        <v/>
      </c>
      <c r="P458" s="133" t="str">
        <f>IF(INDEX('#建筑消耗和buff配置索引'!U:U,MATCH($F458,'#建筑消耗和buff配置索引'!$M:$M,0))=0,"",INDEX('#建筑消耗和buff配置索引'!U:U,MATCH($F458,'#建筑消耗和buff配置索引'!$M:$M,0)))</f>
        <v/>
      </c>
      <c r="Q458" s="133" t="str">
        <f>IF(INDEX('#建筑消耗和buff配置索引'!K:K,MATCH($F458,'#建筑消耗和buff配置索引'!$M:$M,0))=0,"",INDEX('#建筑消耗和buff配置索引'!K:K,MATCH($F458,'#建筑消耗和buff配置索引'!$M:$M,0)))</f>
        <v>201</v>
      </c>
      <c r="R458" s="133" t="str">
        <f>IF(INDEX('#建筑消耗和buff配置索引'!L:L,MATCH($F458,'#建筑消耗和buff配置索引'!$M:$M,0))=0,"",INDEX('#建筑消耗和buff配置索引'!L:L,MATCH($F458,'#建筑消耗和buff配置索引'!$M:$M,0)))</f>
        <v>10</v>
      </c>
      <c r="S458" s="133">
        <f>IF(INDEX('#建筑消耗和buff配置索引'!C:C,MATCH(F458,'#建筑消耗和buff配置索引'!M:M,0))=0,1,INDEX('#建筑消耗和buff配置索引'!C:C,MATCH(F458,'#建筑消耗和buff配置索引'!M:M,0)))</f>
        <v>3</v>
      </c>
      <c r="T458" s="133">
        <v>0</v>
      </c>
      <c r="U458" s="133">
        <v>0</v>
      </c>
      <c r="V458" s="133" t="str">
        <f>IF(E458=1,IF(INDEX('#建筑消耗和buff配置索引'!BY:BY,MATCH(D458,'#建筑消耗和buff配置索引'!A:A,0))=0,"",INDEX('#建筑消耗和buff配置索引'!BY:BY,MATCH(D458,'#建筑消耗和buff配置索引'!A:A,0))),"")</f>
        <v/>
      </c>
      <c r="W458" s="133" t="str">
        <f>IF(E458=1,IF(INDEX('#建筑消耗和buff配置索引'!BZ:BZ,MATCH(D458,'#建筑消耗和buff配置索引'!A:A,0))=0,"",INDEX('#建筑消耗和buff配置索引'!BZ:BZ,MATCH(D458,'#建筑消耗和buff配置索引'!A:A,0))),"")</f>
        <v/>
      </c>
      <c r="X458" s="133"/>
      <c r="Y458" s="133"/>
      <c r="Z458" s="133"/>
      <c r="AA458" s="133">
        <f>INDEX('#建筑消耗和buff配置索引'!AO:AO,MATCH($F458,'#建筑消耗和buff配置索引'!$M:$M,0))</f>
        <v>7</v>
      </c>
      <c r="AB458" s="133">
        <f>IF(INDEX('#建筑消耗和buff配置索引'!AR:AR,MATCH($F458,'#建筑消耗和buff配置索引'!$M:$M,0))=0,"",INDEX('#建筑消耗和buff配置索引'!AR:AR,MATCH($F458,'#建筑消耗和buff配置索引'!$M:$M,0)))</f>
        <v>1019</v>
      </c>
      <c r="AC458" s="133">
        <f>IF(AB458="","",INDEX('#建筑消耗和buff配置索引'!AS:AS,MATCH($F458,'#建筑消耗和buff配置索引'!$M:$M,0)))</f>
        <v>800</v>
      </c>
      <c r="AD458" s="133"/>
      <c r="AE458" s="133"/>
      <c r="AF458" s="133" t="str">
        <f>IF(INDEX('#建筑消耗和buff配置索引'!AW:AW,MATCH($F458,'#建筑消耗和buff配置索引'!$M:$M,0))=0,"",INDEX('#建筑消耗和buff配置索引'!AW:AW,MATCH($F458,'#建筑消耗和buff配置索引'!$M:$M,0)))</f>
        <v/>
      </c>
      <c r="AG458" s="133" t="str">
        <f>IF(AF458="","",INDEX('#建筑消耗和buff配置索引'!AX:AX,MATCH($F458,'#建筑消耗和buff配置索引'!$M:$M,0)))</f>
        <v/>
      </c>
      <c r="AH458" s="133"/>
      <c r="AI458" s="133"/>
      <c r="AJ458" s="133" t="str">
        <f>IF(INDEX('#建筑消耗和buff配置索引'!BB:BB,MATCH($F458,'#建筑消耗和buff配置索引'!$M:$M,0))=0,"",INDEX('#建筑消耗和buff配置索引'!BB:BB,MATCH($F458,'#建筑消耗和buff配置索引'!$M:$M,0)))</f>
        <v/>
      </c>
      <c r="AK458" s="133" t="str">
        <f>IF(AJ458="","",INDEX('#建筑消耗和buff配置索引'!BC:BC,MATCH($F458,'#建筑消耗和buff配置索引'!$M:$M,0)))</f>
        <v/>
      </c>
      <c r="AL458" s="133"/>
      <c r="AM458" s="133"/>
      <c r="AN458" s="133" t="str">
        <f>IF(INDEX('#建筑消耗和buff配置索引'!BG:BG,MATCH($F458,'#建筑消耗和buff配置索引'!$M:$M,0))=0,"",INDEX('#建筑消耗和buff配置索引'!BG:BG,MATCH($F458,'#建筑消耗和buff配置索引'!$M:$M,0)))</f>
        <v/>
      </c>
      <c r="AO458" s="133" t="str">
        <f>IF(AN458="","",INDEX('#建筑消耗和buff配置索引'!BH:BH,MATCH($F458,'#建筑消耗和buff配置索引'!$M:$M,0)))</f>
        <v/>
      </c>
      <c r="AP458" s="133"/>
      <c r="AQ458" s="133"/>
      <c r="AR458" s="133" t="str">
        <f>IF(INDEX('#建筑消耗和buff配置索引'!BK:BK,MATCH($F458,'#建筑消耗和buff配置索引'!$M:$M,0))=0,"",INDEX('#建筑消耗和buff配置索引'!BK:BK,MATCH($F458,'#建筑消耗和buff配置索引'!$M:$M,0)))</f>
        <v/>
      </c>
      <c r="AS458" s="133" t="str">
        <f>IF(AR458="","",INDEX('#建筑消耗和buff配置索引'!BL:BL,MATCH($F458,'#建筑消耗和buff配置索引'!$M:$M,0)))</f>
        <v/>
      </c>
      <c r="AT458" s="133"/>
      <c r="AU458" s="133"/>
      <c r="AV458" s="133" t="str">
        <f>IF(INDEX('#建筑消耗和buff配置索引'!BO:BO,MATCH($F458,'#建筑消耗和buff配置索引'!$M:$M,0))=0,"",INDEX('#建筑消耗和buff配置索引'!BO:BO,MATCH($F458,'#建筑消耗和buff配置索引'!$M:$M,0)))</f>
        <v/>
      </c>
      <c r="AW458" s="133" t="str">
        <f>IF(AV458="","",INDEX('#建筑消耗和buff配置索引'!BP:BP,MATCH($F458,'#建筑消耗和buff配置索引'!$M:$M,0)))</f>
        <v/>
      </c>
      <c r="AX458" s="133"/>
      <c r="AY458" s="133"/>
      <c r="AZ458" s="133" t="str">
        <f>IF(INDEX('#建筑消耗和buff配置索引'!BS:BS,MATCH($F458,'#建筑消耗和buff配置索引'!$M:$M,0))=0,"",INDEX('#建筑消耗和buff配置索引'!BS:BS,MATCH($F458,'#建筑消耗和buff配置索引'!$M:$M,0)))</f>
        <v/>
      </c>
      <c r="BA458" s="133" t="str">
        <f>IF(AZ458="","",INDEX('#建筑消耗和buff配置索引'!BT:BT,MATCH($F458,'#建筑消耗和buff配置索引'!$M:$M,0)))</f>
        <v/>
      </c>
      <c r="BB458" s="133"/>
      <c r="BC458" s="133"/>
      <c r="BD458" s="133" t="str">
        <f>IF(INDEX('#建筑消耗和buff配置索引'!BW:BW,MATCH($F458,'#建筑消耗和buff配置索引'!$M:$M,0))=0,"",INDEX('#建筑消耗和buff配置索引'!BW:BW,MATCH($F458,'#建筑消耗和buff配置索引'!$M:$M,0)))</f>
        <v/>
      </c>
      <c r="BE458" s="133" t="str">
        <f>IF(BD458="","",INDEX('#建筑消耗和buff配置索引'!BX:BX,MATCH($F458,'#建筑消耗和buff配置索引'!$M:$M,0)))</f>
        <v/>
      </c>
      <c r="BF458" s="133"/>
      <c r="BG458" s="133"/>
      <c r="BH458" s="133"/>
      <c r="BI458" s="133">
        <v>8</v>
      </c>
      <c r="BJ458" s="133"/>
      <c r="BO458" s="133">
        <v>3</v>
      </c>
      <c r="BP458" s="140" t="s">
        <v>1360</v>
      </c>
      <c r="BQ458" s="140">
        <v>10003603</v>
      </c>
      <c r="BR458" s="140">
        <v>300</v>
      </c>
    </row>
    <row r="459" spans="1:70">
      <c r="A459" s="133">
        <v>2340004</v>
      </c>
      <c r="B459" s="133">
        <v>456</v>
      </c>
      <c r="C459" s="133">
        <v>234</v>
      </c>
      <c r="D459" s="133" t="s">
        <v>271</v>
      </c>
      <c r="E459" s="133">
        <v>4</v>
      </c>
      <c r="F459" s="133" t="str">
        <f t="shared" si="8"/>
        <v>金矿场4</v>
      </c>
      <c r="G459" s="133"/>
      <c r="H459" s="146"/>
      <c r="I459" s="133" t="s">
        <v>1205</v>
      </c>
      <c r="J459" s="150">
        <f>INDEX('#建筑消耗和buff配置索引'!AH:AH,MATCH($F459,'#建筑消耗和buff配置索引'!$M:$M,0))</f>
        <v>72</v>
      </c>
      <c r="K459" s="150">
        <f>INDEX('#建筑消耗和buff配置索引'!AA:AA,MATCH($F459,'#建筑消耗和buff配置索引'!$M:$M,0))</f>
        <v>2000</v>
      </c>
      <c r="L459" s="150">
        <f>INDEX('#建筑消耗和buff配置索引'!AB:AB,MATCH($F459,'#建筑消耗和buff配置索引'!$M:$M,0))</f>
        <v>2000</v>
      </c>
      <c r="M459" s="150">
        <f>INDEX('#建筑消耗和buff配置索引'!AC:AC,MATCH($F459,'#建筑消耗和buff配置索引'!$M:$M,0))</f>
        <v>0</v>
      </c>
      <c r="N459" s="150">
        <f>INDEX('#建筑消耗和buff配置索引'!AD:AD,MATCH($F459,'#建筑消耗和buff配置索引'!$M:$M,0))</f>
        <v>0</v>
      </c>
      <c r="O459" s="150" t="str">
        <f>IF(INDEX('#建筑消耗和buff配置索引'!T:T,MATCH($F459,'#建筑消耗和buff配置索引'!$M:$M,0))=0,"",INDEX('#建筑消耗和buff配置索引'!T:T,MATCH($F459,'#建筑消耗和buff配置索引'!$M:$M,0)))</f>
        <v/>
      </c>
      <c r="P459" s="133" t="str">
        <f>IF(INDEX('#建筑消耗和buff配置索引'!U:U,MATCH($F459,'#建筑消耗和buff配置索引'!$M:$M,0))=0,"",INDEX('#建筑消耗和buff配置索引'!U:U,MATCH($F459,'#建筑消耗和buff配置索引'!$M:$M,0)))</f>
        <v/>
      </c>
      <c r="Q459" s="133" t="str">
        <f>IF(INDEX('#建筑消耗和buff配置索引'!K:K,MATCH($F459,'#建筑消耗和buff配置索引'!$M:$M,0))=0,"",INDEX('#建筑消耗和buff配置索引'!K:K,MATCH($F459,'#建筑消耗和buff配置索引'!$M:$M,0)))</f>
        <v>201</v>
      </c>
      <c r="R459" s="133" t="str">
        <f>IF(INDEX('#建筑消耗和buff配置索引'!L:L,MATCH($F459,'#建筑消耗和buff配置索引'!$M:$M,0))=0,"",INDEX('#建筑消耗和buff配置索引'!L:L,MATCH($F459,'#建筑消耗和buff配置索引'!$M:$M,0)))</f>
        <v>10</v>
      </c>
      <c r="S459" s="133">
        <f>IF(INDEX('#建筑消耗和buff配置索引'!C:C,MATCH(F459,'#建筑消耗和buff配置索引'!M:M,0))=0,1,INDEX('#建筑消耗和buff配置索引'!C:C,MATCH(F459,'#建筑消耗和buff配置索引'!M:M,0)))</f>
        <v>3</v>
      </c>
      <c r="T459" s="133">
        <v>0</v>
      </c>
      <c r="U459" s="133">
        <v>0</v>
      </c>
      <c r="V459" s="133" t="str">
        <f>IF(E459=1,IF(INDEX('#建筑消耗和buff配置索引'!BY:BY,MATCH(D459,'#建筑消耗和buff配置索引'!A:A,0))=0,"",INDEX('#建筑消耗和buff配置索引'!BY:BY,MATCH(D459,'#建筑消耗和buff配置索引'!A:A,0))),"")</f>
        <v/>
      </c>
      <c r="W459" s="133" t="str">
        <f>IF(E459=1,IF(INDEX('#建筑消耗和buff配置索引'!BZ:BZ,MATCH(D459,'#建筑消耗和buff配置索引'!A:A,0))=0,"",INDEX('#建筑消耗和buff配置索引'!BZ:BZ,MATCH(D459,'#建筑消耗和buff配置索引'!A:A,0))),"")</f>
        <v/>
      </c>
      <c r="X459" s="133"/>
      <c r="Y459" s="133"/>
      <c r="Z459" s="133"/>
      <c r="AA459" s="133">
        <f>INDEX('#建筑消耗和buff配置索引'!AO:AO,MATCH($F459,'#建筑消耗和buff配置索引'!$M:$M,0))</f>
        <v>15</v>
      </c>
      <c r="AB459" s="133">
        <f>IF(INDEX('#建筑消耗和buff配置索引'!AR:AR,MATCH($F459,'#建筑消耗和buff配置索引'!$M:$M,0))=0,"",INDEX('#建筑消耗和buff配置索引'!AR:AR,MATCH($F459,'#建筑消耗和buff配置索引'!$M:$M,0)))</f>
        <v>1019</v>
      </c>
      <c r="AC459" s="133">
        <f>IF(AB459="","",INDEX('#建筑消耗和buff配置索引'!AS:AS,MATCH($F459,'#建筑消耗和buff配置索引'!$M:$M,0)))</f>
        <v>1000</v>
      </c>
      <c r="AD459" s="133"/>
      <c r="AE459" s="133"/>
      <c r="AF459" s="133" t="str">
        <f>IF(INDEX('#建筑消耗和buff配置索引'!AW:AW,MATCH($F459,'#建筑消耗和buff配置索引'!$M:$M,0))=0,"",INDEX('#建筑消耗和buff配置索引'!AW:AW,MATCH($F459,'#建筑消耗和buff配置索引'!$M:$M,0)))</f>
        <v/>
      </c>
      <c r="AG459" s="133" t="str">
        <f>IF(AF459="","",INDEX('#建筑消耗和buff配置索引'!AX:AX,MATCH($F459,'#建筑消耗和buff配置索引'!$M:$M,0)))</f>
        <v/>
      </c>
      <c r="AH459" s="133"/>
      <c r="AI459" s="133"/>
      <c r="AJ459" s="133" t="str">
        <f>IF(INDEX('#建筑消耗和buff配置索引'!BB:BB,MATCH($F459,'#建筑消耗和buff配置索引'!$M:$M,0))=0,"",INDEX('#建筑消耗和buff配置索引'!BB:BB,MATCH($F459,'#建筑消耗和buff配置索引'!$M:$M,0)))</f>
        <v/>
      </c>
      <c r="AK459" s="133" t="str">
        <f>IF(AJ459="","",INDEX('#建筑消耗和buff配置索引'!BC:BC,MATCH($F459,'#建筑消耗和buff配置索引'!$M:$M,0)))</f>
        <v/>
      </c>
      <c r="AL459" s="133"/>
      <c r="AM459" s="133"/>
      <c r="AN459" s="133" t="str">
        <f>IF(INDEX('#建筑消耗和buff配置索引'!BG:BG,MATCH($F459,'#建筑消耗和buff配置索引'!$M:$M,0))=0,"",INDEX('#建筑消耗和buff配置索引'!BG:BG,MATCH($F459,'#建筑消耗和buff配置索引'!$M:$M,0)))</f>
        <v/>
      </c>
      <c r="AO459" s="133" t="str">
        <f>IF(AN459="","",INDEX('#建筑消耗和buff配置索引'!BH:BH,MATCH($F459,'#建筑消耗和buff配置索引'!$M:$M,0)))</f>
        <v/>
      </c>
      <c r="AP459" s="133"/>
      <c r="AQ459" s="133"/>
      <c r="AR459" s="133" t="str">
        <f>IF(INDEX('#建筑消耗和buff配置索引'!BK:BK,MATCH($F459,'#建筑消耗和buff配置索引'!$M:$M,0))=0,"",INDEX('#建筑消耗和buff配置索引'!BK:BK,MATCH($F459,'#建筑消耗和buff配置索引'!$M:$M,0)))</f>
        <v/>
      </c>
      <c r="AS459" s="133" t="str">
        <f>IF(AR459="","",INDEX('#建筑消耗和buff配置索引'!BL:BL,MATCH($F459,'#建筑消耗和buff配置索引'!$M:$M,0)))</f>
        <v/>
      </c>
      <c r="AT459" s="133"/>
      <c r="AU459" s="133"/>
      <c r="AV459" s="133" t="str">
        <f>IF(INDEX('#建筑消耗和buff配置索引'!BO:BO,MATCH($F459,'#建筑消耗和buff配置索引'!$M:$M,0))=0,"",INDEX('#建筑消耗和buff配置索引'!BO:BO,MATCH($F459,'#建筑消耗和buff配置索引'!$M:$M,0)))</f>
        <v/>
      </c>
      <c r="AW459" s="133" t="str">
        <f>IF(AV459="","",INDEX('#建筑消耗和buff配置索引'!BP:BP,MATCH($F459,'#建筑消耗和buff配置索引'!$M:$M,0)))</f>
        <v/>
      </c>
      <c r="AX459" s="133"/>
      <c r="AY459" s="133"/>
      <c r="AZ459" s="133" t="str">
        <f>IF(INDEX('#建筑消耗和buff配置索引'!BS:BS,MATCH($F459,'#建筑消耗和buff配置索引'!$M:$M,0))=0,"",INDEX('#建筑消耗和buff配置索引'!BS:BS,MATCH($F459,'#建筑消耗和buff配置索引'!$M:$M,0)))</f>
        <v/>
      </c>
      <c r="BA459" s="133" t="str">
        <f>IF(AZ459="","",INDEX('#建筑消耗和buff配置索引'!BT:BT,MATCH($F459,'#建筑消耗和buff配置索引'!$M:$M,0)))</f>
        <v/>
      </c>
      <c r="BB459" s="133"/>
      <c r="BC459" s="133"/>
      <c r="BD459" s="133" t="str">
        <f>IF(INDEX('#建筑消耗和buff配置索引'!BW:BW,MATCH($F459,'#建筑消耗和buff配置索引'!$M:$M,0))=0,"",INDEX('#建筑消耗和buff配置索引'!BW:BW,MATCH($F459,'#建筑消耗和buff配置索引'!$M:$M,0)))</f>
        <v/>
      </c>
      <c r="BE459" s="133" t="str">
        <f>IF(BD459="","",INDEX('#建筑消耗和buff配置索引'!BX:BX,MATCH($F459,'#建筑消耗和buff配置索引'!$M:$M,0)))</f>
        <v/>
      </c>
      <c r="BF459" s="133"/>
      <c r="BG459" s="133"/>
      <c r="BH459" s="133"/>
      <c r="BI459" s="133">
        <v>8</v>
      </c>
      <c r="BJ459" s="133"/>
      <c r="BO459" s="133">
        <v>3</v>
      </c>
      <c r="BP459" s="140" t="s">
        <v>1360</v>
      </c>
      <c r="BQ459" s="140">
        <v>10003603</v>
      </c>
      <c r="BR459" s="140">
        <v>300</v>
      </c>
    </row>
    <row r="460" spans="1:70">
      <c r="A460" s="133">
        <v>2340005</v>
      </c>
      <c r="B460" s="133">
        <v>457</v>
      </c>
      <c r="C460" s="133">
        <v>234</v>
      </c>
      <c r="D460" s="133" t="s">
        <v>271</v>
      </c>
      <c r="E460" s="133">
        <v>5</v>
      </c>
      <c r="F460" s="133" t="str">
        <f t="shared" si="8"/>
        <v>金矿场5</v>
      </c>
      <c r="G460" s="133"/>
      <c r="H460" s="146"/>
      <c r="I460" s="133">
        <v>1</v>
      </c>
      <c r="J460" s="150">
        <f>INDEX('#建筑消耗和buff配置索引'!AH:AH,MATCH($F460,'#建筑消耗和buff配置索引'!$M:$M,0))</f>
        <v>150</v>
      </c>
      <c r="K460" s="150">
        <f>INDEX('#建筑消耗和buff配置索引'!AA:AA,MATCH($F460,'#建筑消耗和buff配置索引'!$M:$M,0))</f>
        <v>2600</v>
      </c>
      <c r="L460" s="150">
        <f>INDEX('#建筑消耗和buff配置索引'!AB:AB,MATCH($F460,'#建筑消耗和buff配置索引'!$M:$M,0))</f>
        <v>2600</v>
      </c>
      <c r="M460" s="150">
        <f>INDEX('#建筑消耗和buff配置索引'!AC:AC,MATCH($F460,'#建筑消耗和buff配置索引'!$M:$M,0))</f>
        <v>2600</v>
      </c>
      <c r="N460" s="150">
        <f>INDEX('#建筑消耗和buff配置索引'!AD:AD,MATCH($F460,'#建筑消耗和buff配置索引'!$M:$M,0))</f>
        <v>0</v>
      </c>
      <c r="O460" s="150" t="str">
        <f>IF(INDEX('#建筑消耗和buff配置索引'!T:T,MATCH($F460,'#建筑消耗和buff配置索引'!$M:$M,0))=0,"",INDEX('#建筑消耗和buff配置索引'!T:T,MATCH($F460,'#建筑消耗和buff配置索引'!$M:$M,0)))</f>
        <v/>
      </c>
      <c r="P460" s="133" t="str">
        <f>IF(INDEX('#建筑消耗和buff配置索引'!U:U,MATCH($F460,'#建筑消耗和buff配置索引'!$M:$M,0))=0,"",INDEX('#建筑消耗和buff配置索引'!U:U,MATCH($F460,'#建筑消耗和buff配置索引'!$M:$M,0)))</f>
        <v/>
      </c>
      <c r="Q460" s="133" t="str">
        <f>IF(INDEX('#建筑消耗和buff配置索引'!K:K,MATCH($F460,'#建筑消耗和buff配置索引'!$M:$M,0))=0,"",INDEX('#建筑消耗和buff配置索引'!K:K,MATCH($F460,'#建筑消耗和buff配置索引'!$M:$M,0)))</f>
        <v>201</v>
      </c>
      <c r="R460" s="133" t="str">
        <f>IF(INDEX('#建筑消耗和buff配置索引'!L:L,MATCH($F460,'#建筑消耗和buff配置索引'!$M:$M,0))=0,"",INDEX('#建筑消耗和buff配置索引'!L:L,MATCH($F460,'#建筑消耗和buff配置索引'!$M:$M,0)))</f>
        <v>10</v>
      </c>
      <c r="S460" s="133">
        <f>IF(INDEX('#建筑消耗和buff配置索引'!C:C,MATCH(F460,'#建筑消耗和buff配置索引'!M:M,0))=0,1,INDEX('#建筑消耗和buff配置索引'!C:C,MATCH(F460,'#建筑消耗和buff配置索引'!M:M,0)))</f>
        <v>3</v>
      </c>
      <c r="T460" s="133">
        <v>0</v>
      </c>
      <c r="U460" s="133">
        <v>0</v>
      </c>
      <c r="V460" s="133" t="str">
        <f>IF(E460=1,IF(INDEX('#建筑消耗和buff配置索引'!BY:BY,MATCH(D460,'#建筑消耗和buff配置索引'!A:A,0))=0,"",INDEX('#建筑消耗和buff配置索引'!BY:BY,MATCH(D460,'#建筑消耗和buff配置索引'!A:A,0))),"")</f>
        <v/>
      </c>
      <c r="W460" s="133" t="str">
        <f>IF(E460=1,IF(INDEX('#建筑消耗和buff配置索引'!BZ:BZ,MATCH(D460,'#建筑消耗和buff配置索引'!A:A,0))=0,"",INDEX('#建筑消耗和buff配置索引'!BZ:BZ,MATCH(D460,'#建筑消耗和buff配置索引'!A:A,0))),"")</f>
        <v/>
      </c>
      <c r="X460" s="133"/>
      <c r="Y460" s="133"/>
      <c r="Z460" s="133"/>
      <c r="AA460" s="133">
        <f>INDEX('#建筑消耗和buff配置索引'!AO:AO,MATCH($F460,'#建筑消耗和buff配置索引'!$M:$M,0))</f>
        <v>30</v>
      </c>
      <c r="AB460" s="133">
        <f>IF(INDEX('#建筑消耗和buff配置索引'!AR:AR,MATCH($F460,'#建筑消耗和buff配置索引'!$M:$M,0))=0,"",INDEX('#建筑消耗和buff配置索引'!AR:AR,MATCH($F460,'#建筑消耗和buff配置索引'!$M:$M,0)))</f>
        <v>1019</v>
      </c>
      <c r="AC460" s="133">
        <f>IF(AB460="","",INDEX('#建筑消耗和buff配置索引'!AS:AS,MATCH($F460,'#建筑消耗和buff配置索引'!$M:$M,0)))</f>
        <v>1350</v>
      </c>
      <c r="AD460" s="133"/>
      <c r="AE460" s="133"/>
      <c r="AF460" s="133" t="str">
        <f>IF(INDEX('#建筑消耗和buff配置索引'!AW:AW,MATCH($F460,'#建筑消耗和buff配置索引'!$M:$M,0))=0,"",INDEX('#建筑消耗和buff配置索引'!AW:AW,MATCH($F460,'#建筑消耗和buff配置索引'!$M:$M,0)))</f>
        <v/>
      </c>
      <c r="AG460" s="133" t="str">
        <f>IF(AF460="","",INDEX('#建筑消耗和buff配置索引'!AX:AX,MATCH($F460,'#建筑消耗和buff配置索引'!$M:$M,0)))</f>
        <v/>
      </c>
      <c r="AH460" s="133"/>
      <c r="AI460" s="133"/>
      <c r="AJ460" s="133" t="str">
        <f>IF(INDEX('#建筑消耗和buff配置索引'!BB:BB,MATCH($F460,'#建筑消耗和buff配置索引'!$M:$M,0))=0,"",INDEX('#建筑消耗和buff配置索引'!BB:BB,MATCH($F460,'#建筑消耗和buff配置索引'!$M:$M,0)))</f>
        <v/>
      </c>
      <c r="AK460" s="133" t="str">
        <f>IF(AJ460="","",INDEX('#建筑消耗和buff配置索引'!BC:BC,MATCH($F460,'#建筑消耗和buff配置索引'!$M:$M,0)))</f>
        <v/>
      </c>
      <c r="AL460" s="133"/>
      <c r="AM460" s="133"/>
      <c r="AN460" s="133" t="str">
        <f>IF(INDEX('#建筑消耗和buff配置索引'!BG:BG,MATCH($F460,'#建筑消耗和buff配置索引'!$M:$M,0))=0,"",INDEX('#建筑消耗和buff配置索引'!BG:BG,MATCH($F460,'#建筑消耗和buff配置索引'!$M:$M,0)))</f>
        <v/>
      </c>
      <c r="AO460" s="133" t="str">
        <f>IF(AN460="","",INDEX('#建筑消耗和buff配置索引'!BH:BH,MATCH($F460,'#建筑消耗和buff配置索引'!$M:$M,0)))</f>
        <v/>
      </c>
      <c r="AP460" s="133"/>
      <c r="AQ460" s="133"/>
      <c r="AR460" s="133" t="str">
        <f>IF(INDEX('#建筑消耗和buff配置索引'!BK:BK,MATCH($F460,'#建筑消耗和buff配置索引'!$M:$M,0))=0,"",INDEX('#建筑消耗和buff配置索引'!BK:BK,MATCH($F460,'#建筑消耗和buff配置索引'!$M:$M,0)))</f>
        <v/>
      </c>
      <c r="AS460" s="133" t="str">
        <f>IF(AR460="","",INDEX('#建筑消耗和buff配置索引'!BL:BL,MATCH($F460,'#建筑消耗和buff配置索引'!$M:$M,0)))</f>
        <v/>
      </c>
      <c r="AT460" s="133"/>
      <c r="AU460" s="133"/>
      <c r="AV460" s="133" t="str">
        <f>IF(INDEX('#建筑消耗和buff配置索引'!BO:BO,MATCH($F460,'#建筑消耗和buff配置索引'!$M:$M,0))=0,"",INDEX('#建筑消耗和buff配置索引'!BO:BO,MATCH($F460,'#建筑消耗和buff配置索引'!$M:$M,0)))</f>
        <v/>
      </c>
      <c r="AW460" s="133" t="str">
        <f>IF(AV460="","",INDEX('#建筑消耗和buff配置索引'!BP:BP,MATCH($F460,'#建筑消耗和buff配置索引'!$M:$M,0)))</f>
        <v/>
      </c>
      <c r="AX460" s="133"/>
      <c r="AY460" s="133"/>
      <c r="AZ460" s="133" t="str">
        <f>IF(INDEX('#建筑消耗和buff配置索引'!BS:BS,MATCH($F460,'#建筑消耗和buff配置索引'!$M:$M,0))=0,"",INDEX('#建筑消耗和buff配置索引'!BS:BS,MATCH($F460,'#建筑消耗和buff配置索引'!$M:$M,0)))</f>
        <v/>
      </c>
      <c r="BA460" s="133" t="str">
        <f>IF(AZ460="","",INDEX('#建筑消耗和buff配置索引'!BT:BT,MATCH($F460,'#建筑消耗和buff配置索引'!$M:$M,0)))</f>
        <v/>
      </c>
      <c r="BB460" s="133"/>
      <c r="BC460" s="133"/>
      <c r="BD460" s="133" t="str">
        <f>IF(INDEX('#建筑消耗和buff配置索引'!BW:BW,MATCH($F460,'#建筑消耗和buff配置索引'!$M:$M,0))=0,"",INDEX('#建筑消耗和buff配置索引'!BW:BW,MATCH($F460,'#建筑消耗和buff配置索引'!$M:$M,0)))</f>
        <v/>
      </c>
      <c r="BE460" s="133" t="str">
        <f>IF(BD460="","",INDEX('#建筑消耗和buff配置索引'!BX:BX,MATCH($F460,'#建筑消耗和buff配置索引'!$M:$M,0)))</f>
        <v/>
      </c>
      <c r="BF460" s="133"/>
      <c r="BG460" s="133"/>
      <c r="BH460" s="133"/>
      <c r="BI460" s="133">
        <v>8</v>
      </c>
      <c r="BJ460" s="133"/>
      <c r="BO460" s="133">
        <v>3</v>
      </c>
      <c r="BP460" s="140" t="s">
        <v>1360</v>
      </c>
      <c r="BQ460" s="140">
        <v>10003603</v>
      </c>
      <c r="BR460" s="140">
        <v>300</v>
      </c>
    </row>
    <row r="461" spans="1:70">
      <c r="A461" s="133">
        <v>2340006</v>
      </c>
      <c r="B461" s="133">
        <v>458</v>
      </c>
      <c r="C461" s="133">
        <v>234</v>
      </c>
      <c r="D461" s="133" t="s">
        <v>271</v>
      </c>
      <c r="E461" s="133">
        <v>6</v>
      </c>
      <c r="F461" s="133" t="str">
        <f t="shared" si="8"/>
        <v>金矿场6</v>
      </c>
      <c r="G461" s="133"/>
      <c r="H461" s="146"/>
      <c r="I461" s="133">
        <v>1</v>
      </c>
      <c r="J461" s="150">
        <f>INDEX('#建筑消耗和buff配置索引'!AH:AH,MATCH($F461,'#建筑消耗和buff配置索引'!$M:$M,0))</f>
        <v>270</v>
      </c>
      <c r="K461" s="150">
        <f>INDEX('#建筑消耗和buff配置索引'!AA:AA,MATCH($F461,'#建筑消耗和buff配置索引'!$M:$M,0))</f>
        <v>4800</v>
      </c>
      <c r="L461" s="150">
        <f>INDEX('#建筑消耗和buff配置索引'!AB:AB,MATCH($F461,'#建筑消耗和buff配置索引'!$M:$M,0))</f>
        <v>4800</v>
      </c>
      <c r="M461" s="150">
        <f>INDEX('#建筑消耗和buff配置索引'!AC:AC,MATCH($F461,'#建筑消耗和buff配置索引'!$M:$M,0))</f>
        <v>4800</v>
      </c>
      <c r="N461" s="150">
        <f>INDEX('#建筑消耗和buff配置索引'!AD:AD,MATCH($F461,'#建筑消耗和buff配置索引'!$M:$M,0))</f>
        <v>0</v>
      </c>
      <c r="O461" s="150" t="str">
        <f>IF(INDEX('#建筑消耗和buff配置索引'!T:T,MATCH($F461,'#建筑消耗和buff配置索引'!$M:$M,0))=0,"",INDEX('#建筑消耗和buff配置索引'!T:T,MATCH($F461,'#建筑消耗和buff配置索引'!$M:$M,0)))</f>
        <v/>
      </c>
      <c r="P461" s="133" t="str">
        <f>IF(INDEX('#建筑消耗和buff配置索引'!U:U,MATCH($F461,'#建筑消耗和buff配置索引'!$M:$M,0))=0,"",INDEX('#建筑消耗和buff配置索引'!U:U,MATCH($F461,'#建筑消耗和buff配置索引'!$M:$M,0)))</f>
        <v/>
      </c>
      <c r="Q461" s="133" t="str">
        <f>IF(INDEX('#建筑消耗和buff配置索引'!K:K,MATCH($F461,'#建筑消耗和buff配置索引'!$M:$M,0))=0,"",INDEX('#建筑消耗和buff配置索引'!K:K,MATCH($F461,'#建筑消耗和buff配置索引'!$M:$M,0)))</f>
        <v>201</v>
      </c>
      <c r="R461" s="133" t="str">
        <f>IF(INDEX('#建筑消耗和buff配置索引'!L:L,MATCH($F461,'#建筑消耗和buff配置索引'!$M:$M,0))=0,"",INDEX('#建筑消耗和buff配置索引'!L:L,MATCH($F461,'#建筑消耗和buff配置索引'!$M:$M,0)))</f>
        <v>10</v>
      </c>
      <c r="S461" s="133">
        <f>IF(INDEX('#建筑消耗和buff配置索引'!C:C,MATCH(F461,'#建筑消耗和buff配置索引'!M:M,0))=0,1,INDEX('#建筑消耗和buff配置索引'!C:C,MATCH(F461,'#建筑消耗和buff配置索引'!M:M,0)))</f>
        <v>3</v>
      </c>
      <c r="T461" s="133">
        <v>0</v>
      </c>
      <c r="U461" s="133">
        <v>0</v>
      </c>
      <c r="V461" s="133" t="str">
        <f>IF(E461=1,IF(INDEX('#建筑消耗和buff配置索引'!BY:BY,MATCH(D461,'#建筑消耗和buff配置索引'!A:A,0))=0,"",INDEX('#建筑消耗和buff配置索引'!BY:BY,MATCH(D461,'#建筑消耗和buff配置索引'!A:A,0))),"")</f>
        <v/>
      </c>
      <c r="W461" s="133" t="str">
        <f>IF(E461=1,IF(INDEX('#建筑消耗和buff配置索引'!BZ:BZ,MATCH(D461,'#建筑消耗和buff配置索引'!A:A,0))=0,"",INDEX('#建筑消耗和buff配置索引'!BZ:BZ,MATCH(D461,'#建筑消耗和buff配置索引'!A:A,0))),"")</f>
        <v/>
      </c>
      <c r="X461" s="133"/>
      <c r="Y461" s="133"/>
      <c r="Z461" s="133"/>
      <c r="AA461" s="133">
        <f>INDEX('#建筑消耗和buff配置索引'!AO:AO,MATCH($F461,'#建筑消耗和buff配置索引'!$M:$M,0))</f>
        <v>59</v>
      </c>
      <c r="AB461" s="133">
        <f>IF(INDEX('#建筑消耗和buff配置索引'!AR:AR,MATCH($F461,'#建筑消耗和buff配置索引'!$M:$M,0))=0,"",INDEX('#建筑消耗和buff配置索引'!AR:AR,MATCH($F461,'#建筑消耗和buff配置索引'!$M:$M,0)))</f>
        <v>1019</v>
      </c>
      <c r="AC461" s="133">
        <f>IF(AB461="","",INDEX('#建筑消耗和buff配置索引'!AS:AS,MATCH($F461,'#建筑消耗和buff配置索引'!$M:$M,0)))</f>
        <v>1700</v>
      </c>
      <c r="AD461" s="133"/>
      <c r="AE461" s="133"/>
      <c r="AF461" s="133" t="str">
        <f>IF(INDEX('#建筑消耗和buff配置索引'!AW:AW,MATCH($F461,'#建筑消耗和buff配置索引'!$M:$M,0))=0,"",INDEX('#建筑消耗和buff配置索引'!AW:AW,MATCH($F461,'#建筑消耗和buff配置索引'!$M:$M,0)))</f>
        <v/>
      </c>
      <c r="AG461" s="133" t="str">
        <f>IF(AF461="","",INDEX('#建筑消耗和buff配置索引'!AX:AX,MATCH($F461,'#建筑消耗和buff配置索引'!$M:$M,0)))</f>
        <v/>
      </c>
      <c r="AH461" s="133"/>
      <c r="AI461" s="133"/>
      <c r="AJ461" s="133" t="str">
        <f>IF(INDEX('#建筑消耗和buff配置索引'!BB:BB,MATCH($F461,'#建筑消耗和buff配置索引'!$M:$M,0))=0,"",INDEX('#建筑消耗和buff配置索引'!BB:BB,MATCH($F461,'#建筑消耗和buff配置索引'!$M:$M,0)))</f>
        <v/>
      </c>
      <c r="AK461" s="133" t="str">
        <f>IF(AJ461="","",INDEX('#建筑消耗和buff配置索引'!BC:BC,MATCH($F461,'#建筑消耗和buff配置索引'!$M:$M,0)))</f>
        <v/>
      </c>
      <c r="AL461" s="133"/>
      <c r="AM461" s="133"/>
      <c r="AN461" s="133" t="str">
        <f>IF(INDEX('#建筑消耗和buff配置索引'!BG:BG,MATCH($F461,'#建筑消耗和buff配置索引'!$M:$M,0))=0,"",INDEX('#建筑消耗和buff配置索引'!BG:BG,MATCH($F461,'#建筑消耗和buff配置索引'!$M:$M,0)))</f>
        <v/>
      </c>
      <c r="AO461" s="133" t="str">
        <f>IF(AN461="","",INDEX('#建筑消耗和buff配置索引'!BH:BH,MATCH($F461,'#建筑消耗和buff配置索引'!$M:$M,0)))</f>
        <v/>
      </c>
      <c r="AP461" s="133"/>
      <c r="AQ461" s="133"/>
      <c r="AR461" s="133" t="str">
        <f>IF(INDEX('#建筑消耗和buff配置索引'!BK:BK,MATCH($F461,'#建筑消耗和buff配置索引'!$M:$M,0))=0,"",INDEX('#建筑消耗和buff配置索引'!BK:BK,MATCH($F461,'#建筑消耗和buff配置索引'!$M:$M,0)))</f>
        <v/>
      </c>
      <c r="AS461" s="133" t="str">
        <f>IF(AR461="","",INDEX('#建筑消耗和buff配置索引'!BL:BL,MATCH($F461,'#建筑消耗和buff配置索引'!$M:$M,0)))</f>
        <v/>
      </c>
      <c r="AT461" s="133"/>
      <c r="AU461" s="133"/>
      <c r="AV461" s="133" t="str">
        <f>IF(INDEX('#建筑消耗和buff配置索引'!BO:BO,MATCH($F461,'#建筑消耗和buff配置索引'!$M:$M,0))=0,"",INDEX('#建筑消耗和buff配置索引'!BO:BO,MATCH($F461,'#建筑消耗和buff配置索引'!$M:$M,0)))</f>
        <v/>
      </c>
      <c r="AW461" s="133" t="str">
        <f>IF(AV461="","",INDEX('#建筑消耗和buff配置索引'!BP:BP,MATCH($F461,'#建筑消耗和buff配置索引'!$M:$M,0)))</f>
        <v/>
      </c>
      <c r="AX461" s="133"/>
      <c r="AY461" s="133"/>
      <c r="AZ461" s="133" t="str">
        <f>IF(INDEX('#建筑消耗和buff配置索引'!BS:BS,MATCH($F461,'#建筑消耗和buff配置索引'!$M:$M,0))=0,"",INDEX('#建筑消耗和buff配置索引'!BS:BS,MATCH($F461,'#建筑消耗和buff配置索引'!$M:$M,0)))</f>
        <v/>
      </c>
      <c r="BA461" s="133" t="str">
        <f>IF(AZ461="","",INDEX('#建筑消耗和buff配置索引'!BT:BT,MATCH($F461,'#建筑消耗和buff配置索引'!$M:$M,0)))</f>
        <v/>
      </c>
      <c r="BB461" s="133"/>
      <c r="BC461" s="133"/>
      <c r="BD461" s="133" t="str">
        <f>IF(INDEX('#建筑消耗和buff配置索引'!BW:BW,MATCH($F461,'#建筑消耗和buff配置索引'!$M:$M,0))=0,"",INDEX('#建筑消耗和buff配置索引'!BW:BW,MATCH($F461,'#建筑消耗和buff配置索引'!$M:$M,0)))</f>
        <v/>
      </c>
      <c r="BE461" s="133" t="str">
        <f>IF(BD461="","",INDEX('#建筑消耗和buff配置索引'!BX:BX,MATCH($F461,'#建筑消耗和buff配置索引'!$M:$M,0)))</f>
        <v/>
      </c>
      <c r="BF461" s="133"/>
      <c r="BG461" s="133"/>
      <c r="BH461" s="133"/>
      <c r="BI461" s="133">
        <v>8</v>
      </c>
      <c r="BJ461" s="133"/>
      <c r="BO461" s="133">
        <v>3</v>
      </c>
      <c r="BP461" s="140" t="s">
        <v>1360</v>
      </c>
      <c r="BQ461" s="140">
        <v>10003603</v>
      </c>
      <c r="BR461" s="140">
        <v>300</v>
      </c>
    </row>
    <row r="462" spans="1:70">
      <c r="A462" s="133">
        <v>2340007</v>
      </c>
      <c r="B462" s="133">
        <v>459</v>
      </c>
      <c r="C462" s="133">
        <v>234</v>
      </c>
      <c r="D462" s="133" t="s">
        <v>271</v>
      </c>
      <c r="E462" s="133">
        <v>7</v>
      </c>
      <c r="F462" s="133" t="str">
        <f t="shared" si="8"/>
        <v>金矿场7</v>
      </c>
      <c r="G462" s="133"/>
      <c r="H462" s="146"/>
      <c r="I462" s="133">
        <v>1</v>
      </c>
      <c r="J462" s="150">
        <f>INDEX('#建筑消耗和buff配置索引'!AH:AH,MATCH($F462,'#建筑消耗和buff配置索引'!$M:$M,0))</f>
        <v>450</v>
      </c>
      <c r="K462" s="150">
        <f>INDEX('#建筑消耗和buff配置索引'!AA:AA,MATCH($F462,'#建筑消耗和buff配置索引'!$M:$M,0))</f>
        <v>8600</v>
      </c>
      <c r="L462" s="150">
        <f>INDEX('#建筑消耗和buff配置索引'!AB:AB,MATCH($F462,'#建筑消耗和buff配置索引'!$M:$M,0))</f>
        <v>8600</v>
      </c>
      <c r="M462" s="150">
        <f>INDEX('#建筑消耗和buff配置索引'!AC:AC,MATCH($F462,'#建筑消耗和buff配置索引'!$M:$M,0))</f>
        <v>8600</v>
      </c>
      <c r="N462" s="150">
        <f>INDEX('#建筑消耗和buff配置索引'!AD:AD,MATCH($F462,'#建筑消耗和buff配置索引'!$M:$M,0))</f>
        <v>0</v>
      </c>
      <c r="O462" s="150" t="str">
        <f>IF(INDEX('#建筑消耗和buff配置索引'!T:T,MATCH($F462,'#建筑消耗和buff配置索引'!$M:$M,0))=0,"",INDEX('#建筑消耗和buff配置索引'!T:T,MATCH($F462,'#建筑消耗和buff配置索引'!$M:$M,0)))</f>
        <v/>
      </c>
      <c r="P462" s="133" t="str">
        <f>IF(INDEX('#建筑消耗和buff配置索引'!U:U,MATCH($F462,'#建筑消耗和buff配置索引'!$M:$M,0))=0,"",INDEX('#建筑消耗和buff配置索引'!U:U,MATCH($F462,'#建筑消耗和buff配置索引'!$M:$M,0)))</f>
        <v/>
      </c>
      <c r="Q462" s="133" t="str">
        <f>IF(INDEX('#建筑消耗和buff配置索引'!K:K,MATCH($F462,'#建筑消耗和buff配置索引'!$M:$M,0))=0,"",INDEX('#建筑消耗和buff配置索引'!K:K,MATCH($F462,'#建筑消耗和buff配置索引'!$M:$M,0)))</f>
        <v>201</v>
      </c>
      <c r="R462" s="133" t="str">
        <f>IF(INDEX('#建筑消耗和buff配置索引'!L:L,MATCH($F462,'#建筑消耗和buff配置索引'!$M:$M,0))=0,"",INDEX('#建筑消耗和buff配置索引'!L:L,MATCH($F462,'#建筑消耗和buff配置索引'!$M:$M,0)))</f>
        <v>10</v>
      </c>
      <c r="S462" s="133">
        <f>IF(INDEX('#建筑消耗和buff配置索引'!C:C,MATCH(F462,'#建筑消耗和buff配置索引'!M:M,0))=0,1,INDEX('#建筑消耗和buff配置索引'!C:C,MATCH(F462,'#建筑消耗和buff配置索引'!M:M,0)))</f>
        <v>3</v>
      </c>
      <c r="T462" s="133">
        <v>0</v>
      </c>
      <c r="U462" s="133">
        <v>0</v>
      </c>
      <c r="V462" s="133" t="str">
        <f>IF(E462=1,IF(INDEX('#建筑消耗和buff配置索引'!BY:BY,MATCH(D462,'#建筑消耗和buff配置索引'!A:A,0))=0,"",INDEX('#建筑消耗和buff配置索引'!BY:BY,MATCH(D462,'#建筑消耗和buff配置索引'!A:A,0))),"")</f>
        <v/>
      </c>
      <c r="W462" s="133" t="str">
        <f>IF(E462=1,IF(INDEX('#建筑消耗和buff配置索引'!BZ:BZ,MATCH(D462,'#建筑消耗和buff配置索引'!A:A,0))=0,"",INDEX('#建筑消耗和buff配置索引'!BZ:BZ,MATCH(D462,'#建筑消耗和buff配置索引'!A:A,0))),"")</f>
        <v/>
      </c>
      <c r="X462" s="133"/>
      <c r="Y462" s="133"/>
      <c r="Z462" s="133"/>
      <c r="AA462" s="133">
        <f>INDEX('#建筑消耗和buff配置索引'!AO:AO,MATCH($F462,'#建筑消耗和buff配置索引'!$M:$M,0))</f>
        <v>110</v>
      </c>
      <c r="AB462" s="133">
        <f>IF(INDEX('#建筑消耗和buff配置索引'!AR:AR,MATCH($F462,'#建筑消耗和buff配置索引'!$M:$M,0))=0,"",INDEX('#建筑消耗和buff配置索引'!AR:AR,MATCH($F462,'#建筑消耗和buff配置索引'!$M:$M,0)))</f>
        <v>1019</v>
      </c>
      <c r="AC462" s="133">
        <f>IF(AB462="","",INDEX('#建筑消耗和buff配置索引'!AS:AS,MATCH($F462,'#建筑消耗和buff配置索引'!$M:$M,0)))</f>
        <v>2050</v>
      </c>
      <c r="AD462" s="133"/>
      <c r="AE462" s="133"/>
      <c r="AF462" s="133" t="str">
        <f>IF(INDEX('#建筑消耗和buff配置索引'!AW:AW,MATCH($F462,'#建筑消耗和buff配置索引'!$M:$M,0))=0,"",INDEX('#建筑消耗和buff配置索引'!AW:AW,MATCH($F462,'#建筑消耗和buff配置索引'!$M:$M,0)))</f>
        <v/>
      </c>
      <c r="AG462" s="133" t="str">
        <f>IF(AF462="","",INDEX('#建筑消耗和buff配置索引'!AX:AX,MATCH($F462,'#建筑消耗和buff配置索引'!$M:$M,0)))</f>
        <v/>
      </c>
      <c r="AH462" s="133"/>
      <c r="AI462" s="133"/>
      <c r="AJ462" s="133" t="str">
        <f>IF(INDEX('#建筑消耗和buff配置索引'!BB:BB,MATCH($F462,'#建筑消耗和buff配置索引'!$M:$M,0))=0,"",INDEX('#建筑消耗和buff配置索引'!BB:BB,MATCH($F462,'#建筑消耗和buff配置索引'!$M:$M,0)))</f>
        <v/>
      </c>
      <c r="AK462" s="133" t="str">
        <f>IF(AJ462="","",INDEX('#建筑消耗和buff配置索引'!BC:BC,MATCH($F462,'#建筑消耗和buff配置索引'!$M:$M,0)))</f>
        <v/>
      </c>
      <c r="AL462" s="133"/>
      <c r="AM462" s="133"/>
      <c r="AN462" s="133" t="str">
        <f>IF(INDEX('#建筑消耗和buff配置索引'!BG:BG,MATCH($F462,'#建筑消耗和buff配置索引'!$M:$M,0))=0,"",INDEX('#建筑消耗和buff配置索引'!BG:BG,MATCH($F462,'#建筑消耗和buff配置索引'!$M:$M,0)))</f>
        <v/>
      </c>
      <c r="AO462" s="133" t="str">
        <f>IF(AN462="","",INDEX('#建筑消耗和buff配置索引'!BH:BH,MATCH($F462,'#建筑消耗和buff配置索引'!$M:$M,0)))</f>
        <v/>
      </c>
      <c r="AP462" s="133"/>
      <c r="AQ462" s="133"/>
      <c r="AR462" s="133" t="str">
        <f>IF(INDEX('#建筑消耗和buff配置索引'!BK:BK,MATCH($F462,'#建筑消耗和buff配置索引'!$M:$M,0))=0,"",INDEX('#建筑消耗和buff配置索引'!BK:BK,MATCH($F462,'#建筑消耗和buff配置索引'!$M:$M,0)))</f>
        <v/>
      </c>
      <c r="AS462" s="133" t="str">
        <f>IF(AR462="","",INDEX('#建筑消耗和buff配置索引'!BL:BL,MATCH($F462,'#建筑消耗和buff配置索引'!$M:$M,0)))</f>
        <v/>
      </c>
      <c r="AT462" s="133"/>
      <c r="AU462" s="133"/>
      <c r="AV462" s="133" t="str">
        <f>IF(INDEX('#建筑消耗和buff配置索引'!BO:BO,MATCH($F462,'#建筑消耗和buff配置索引'!$M:$M,0))=0,"",INDEX('#建筑消耗和buff配置索引'!BO:BO,MATCH($F462,'#建筑消耗和buff配置索引'!$M:$M,0)))</f>
        <v/>
      </c>
      <c r="AW462" s="133" t="str">
        <f>IF(AV462="","",INDEX('#建筑消耗和buff配置索引'!BP:BP,MATCH($F462,'#建筑消耗和buff配置索引'!$M:$M,0)))</f>
        <v/>
      </c>
      <c r="AX462" s="133"/>
      <c r="AY462" s="133"/>
      <c r="AZ462" s="133" t="str">
        <f>IF(INDEX('#建筑消耗和buff配置索引'!BS:BS,MATCH($F462,'#建筑消耗和buff配置索引'!$M:$M,0))=0,"",INDEX('#建筑消耗和buff配置索引'!BS:BS,MATCH($F462,'#建筑消耗和buff配置索引'!$M:$M,0)))</f>
        <v/>
      </c>
      <c r="BA462" s="133" t="str">
        <f>IF(AZ462="","",INDEX('#建筑消耗和buff配置索引'!BT:BT,MATCH($F462,'#建筑消耗和buff配置索引'!$M:$M,0)))</f>
        <v/>
      </c>
      <c r="BB462" s="133"/>
      <c r="BC462" s="133"/>
      <c r="BD462" s="133" t="str">
        <f>IF(INDEX('#建筑消耗和buff配置索引'!BW:BW,MATCH($F462,'#建筑消耗和buff配置索引'!$M:$M,0))=0,"",INDEX('#建筑消耗和buff配置索引'!BW:BW,MATCH($F462,'#建筑消耗和buff配置索引'!$M:$M,0)))</f>
        <v/>
      </c>
      <c r="BE462" s="133" t="str">
        <f>IF(BD462="","",INDEX('#建筑消耗和buff配置索引'!BX:BX,MATCH($F462,'#建筑消耗和buff配置索引'!$M:$M,0)))</f>
        <v/>
      </c>
      <c r="BF462" s="133"/>
      <c r="BG462" s="133"/>
      <c r="BH462" s="133"/>
      <c r="BI462" s="133">
        <v>8</v>
      </c>
      <c r="BJ462" s="133">
        <v>299</v>
      </c>
      <c r="BO462" s="133">
        <v>3</v>
      </c>
      <c r="BP462" s="140" t="s">
        <v>1360</v>
      </c>
      <c r="BQ462" s="140">
        <v>10003603</v>
      </c>
      <c r="BR462" s="140">
        <v>300</v>
      </c>
    </row>
    <row r="463" spans="1:70">
      <c r="A463" s="133">
        <v>2340008</v>
      </c>
      <c r="B463" s="133">
        <v>460</v>
      </c>
      <c r="C463" s="133">
        <v>234</v>
      </c>
      <c r="D463" s="133" t="s">
        <v>271</v>
      </c>
      <c r="E463" s="133">
        <v>8</v>
      </c>
      <c r="F463" s="133" t="str">
        <f t="shared" si="8"/>
        <v>金矿场8</v>
      </c>
      <c r="G463" s="133"/>
      <c r="H463" s="146"/>
      <c r="I463" s="133">
        <v>1</v>
      </c>
      <c r="J463" s="150">
        <f>INDEX('#建筑消耗和buff配置索引'!AH:AH,MATCH($F463,'#建筑消耗和buff配置索引'!$M:$M,0))</f>
        <v>720</v>
      </c>
      <c r="K463" s="150">
        <f>INDEX('#建筑消耗和buff配置索引'!AA:AA,MATCH($F463,'#建筑消耗和buff配置索引'!$M:$M,0))</f>
        <v>15000</v>
      </c>
      <c r="L463" s="150">
        <f>INDEX('#建筑消耗和buff配置索引'!AB:AB,MATCH($F463,'#建筑消耗和buff配置索引'!$M:$M,0))</f>
        <v>15000</v>
      </c>
      <c r="M463" s="150">
        <f>INDEX('#建筑消耗和buff配置索引'!AC:AC,MATCH($F463,'#建筑消耗和buff配置索引'!$M:$M,0))</f>
        <v>15000</v>
      </c>
      <c r="N463" s="150">
        <f>INDEX('#建筑消耗和buff配置索引'!AD:AD,MATCH($F463,'#建筑消耗和buff配置索引'!$M:$M,0))</f>
        <v>0</v>
      </c>
      <c r="O463" s="150" t="str">
        <f>IF(INDEX('#建筑消耗和buff配置索引'!T:T,MATCH($F463,'#建筑消耗和buff配置索引'!$M:$M,0))=0,"",INDEX('#建筑消耗和buff配置索引'!T:T,MATCH($F463,'#建筑消耗和buff配置索引'!$M:$M,0)))</f>
        <v/>
      </c>
      <c r="P463" s="133" t="str">
        <f>IF(INDEX('#建筑消耗和buff配置索引'!U:U,MATCH($F463,'#建筑消耗和buff配置索引'!$M:$M,0))=0,"",INDEX('#建筑消耗和buff配置索引'!U:U,MATCH($F463,'#建筑消耗和buff配置索引'!$M:$M,0)))</f>
        <v/>
      </c>
      <c r="Q463" s="133" t="str">
        <f>IF(INDEX('#建筑消耗和buff配置索引'!K:K,MATCH($F463,'#建筑消耗和buff配置索引'!$M:$M,0))=0,"",INDEX('#建筑消耗和buff配置索引'!K:K,MATCH($F463,'#建筑消耗和buff配置索引'!$M:$M,0)))</f>
        <v>201</v>
      </c>
      <c r="R463" s="133" t="str">
        <f>IF(INDEX('#建筑消耗和buff配置索引'!L:L,MATCH($F463,'#建筑消耗和buff配置索引'!$M:$M,0))=0,"",INDEX('#建筑消耗和buff配置索引'!L:L,MATCH($F463,'#建筑消耗和buff配置索引'!$M:$M,0)))</f>
        <v>10</v>
      </c>
      <c r="S463" s="133">
        <f>IF(INDEX('#建筑消耗和buff配置索引'!C:C,MATCH(F463,'#建筑消耗和buff配置索引'!M:M,0))=0,1,INDEX('#建筑消耗和buff配置索引'!C:C,MATCH(F463,'#建筑消耗和buff配置索引'!M:M,0)))</f>
        <v>3</v>
      </c>
      <c r="T463" s="133">
        <v>0</v>
      </c>
      <c r="U463" s="133">
        <v>0</v>
      </c>
      <c r="V463" s="133" t="str">
        <f>IF(E463=1,IF(INDEX('#建筑消耗和buff配置索引'!BY:BY,MATCH(D463,'#建筑消耗和buff配置索引'!A:A,0))=0,"",INDEX('#建筑消耗和buff配置索引'!BY:BY,MATCH(D463,'#建筑消耗和buff配置索引'!A:A,0))),"")</f>
        <v/>
      </c>
      <c r="W463" s="133" t="str">
        <f>IF(E463=1,IF(INDEX('#建筑消耗和buff配置索引'!BZ:BZ,MATCH(D463,'#建筑消耗和buff配置索引'!A:A,0))=0,"",INDEX('#建筑消耗和buff配置索引'!BZ:BZ,MATCH(D463,'#建筑消耗和buff配置索引'!A:A,0))),"")</f>
        <v/>
      </c>
      <c r="X463" s="133"/>
      <c r="Y463" s="133"/>
      <c r="Z463" s="133"/>
      <c r="AA463" s="133">
        <f>INDEX('#建筑消耗和buff配置索引'!AO:AO,MATCH($F463,'#建筑消耗和buff配置索引'!$M:$M,0))</f>
        <v>198</v>
      </c>
      <c r="AB463" s="133">
        <f>IF(INDEX('#建筑消耗和buff配置索引'!AR:AR,MATCH($F463,'#建筑消耗和buff配置索引'!$M:$M,0))=0,"",INDEX('#建筑消耗和buff配置索引'!AR:AR,MATCH($F463,'#建筑消耗和buff配置索引'!$M:$M,0)))</f>
        <v>1019</v>
      </c>
      <c r="AC463" s="133">
        <f>IF(AB463="","",INDEX('#建筑消耗和buff配置索引'!AS:AS,MATCH($F463,'#建筑消耗和buff配置索引'!$M:$M,0)))</f>
        <v>2400</v>
      </c>
      <c r="AD463" s="133"/>
      <c r="AE463" s="133"/>
      <c r="AF463" s="133" t="str">
        <f>IF(INDEX('#建筑消耗和buff配置索引'!AW:AW,MATCH($F463,'#建筑消耗和buff配置索引'!$M:$M,0))=0,"",INDEX('#建筑消耗和buff配置索引'!AW:AW,MATCH($F463,'#建筑消耗和buff配置索引'!$M:$M,0)))</f>
        <v/>
      </c>
      <c r="AG463" s="133" t="str">
        <f>IF(AF463="","",INDEX('#建筑消耗和buff配置索引'!AX:AX,MATCH($F463,'#建筑消耗和buff配置索引'!$M:$M,0)))</f>
        <v/>
      </c>
      <c r="AH463" s="133"/>
      <c r="AI463" s="133"/>
      <c r="AJ463" s="133" t="str">
        <f>IF(INDEX('#建筑消耗和buff配置索引'!BB:BB,MATCH($F463,'#建筑消耗和buff配置索引'!$M:$M,0))=0,"",INDEX('#建筑消耗和buff配置索引'!BB:BB,MATCH($F463,'#建筑消耗和buff配置索引'!$M:$M,0)))</f>
        <v/>
      </c>
      <c r="AK463" s="133" t="str">
        <f>IF(AJ463="","",INDEX('#建筑消耗和buff配置索引'!BC:BC,MATCH($F463,'#建筑消耗和buff配置索引'!$M:$M,0)))</f>
        <v/>
      </c>
      <c r="AL463" s="133"/>
      <c r="AM463" s="133"/>
      <c r="AN463" s="133" t="str">
        <f>IF(INDEX('#建筑消耗和buff配置索引'!BG:BG,MATCH($F463,'#建筑消耗和buff配置索引'!$M:$M,0))=0,"",INDEX('#建筑消耗和buff配置索引'!BG:BG,MATCH($F463,'#建筑消耗和buff配置索引'!$M:$M,0)))</f>
        <v/>
      </c>
      <c r="AO463" s="133" t="str">
        <f>IF(AN463="","",INDEX('#建筑消耗和buff配置索引'!BH:BH,MATCH($F463,'#建筑消耗和buff配置索引'!$M:$M,0)))</f>
        <v/>
      </c>
      <c r="AP463" s="133"/>
      <c r="AQ463" s="133"/>
      <c r="AR463" s="133" t="str">
        <f>IF(INDEX('#建筑消耗和buff配置索引'!BK:BK,MATCH($F463,'#建筑消耗和buff配置索引'!$M:$M,0))=0,"",INDEX('#建筑消耗和buff配置索引'!BK:BK,MATCH($F463,'#建筑消耗和buff配置索引'!$M:$M,0)))</f>
        <v/>
      </c>
      <c r="AS463" s="133" t="str">
        <f>IF(AR463="","",INDEX('#建筑消耗和buff配置索引'!BL:BL,MATCH($F463,'#建筑消耗和buff配置索引'!$M:$M,0)))</f>
        <v/>
      </c>
      <c r="AT463" s="133"/>
      <c r="AU463" s="133"/>
      <c r="AV463" s="133" t="str">
        <f>IF(INDEX('#建筑消耗和buff配置索引'!BO:BO,MATCH($F463,'#建筑消耗和buff配置索引'!$M:$M,0))=0,"",INDEX('#建筑消耗和buff配置索引'!BO:BO,MATCH($F463,'#建筑消耗和buff配置索引'!$M:$M,0)))</f>
        <v/>
      </c>
      <c r="AW463" s="133" t="str">
        <f>IF(AV463="","",INDEX('#建筑消耗和buff配置索引'!BP:BP,MATCH($F463,'#建筑消耗和buff配置索引'!$M:$M,0)))</f>
        <v/>
      </c>
      <c r="AX463" s="133"/>
      <c r="AY463" s="133"/>
      <c r="AZ463" s="133" t="str">
        <f>IF(INDEX('#建筑消耗和buff配置索引'!BS:BS,MATCH($F463,'#建筑消耗和buff配置索引'!$M:$M,0))=0,"",INDEX('#建筑消耗和buff配置索引'!BS:BS,MATCH($F463,'#建筑消耗和buff配置索引'!$M:$M,0)))</f>
        <v/>
      </c>
      <c r="BA463" s="133" t="str">
        <f>IF(AZ463="","",INDEX('#建筑消耗和buff配置索引'!BT:BT,MATCH($F463,'#建筑消耗和buff配置索引'!$M:$M,0)))</f>
        <v/>
      </c>
      <c r="BB463" s="133"/>
      <c r="BC463" s="133"/>
      <c r="BD463" s="133" t="str">
        <f>IF(INDEX('#建筑消耗和buff配置索引'!BW:BW,MATCH($F463,'#建筑消耗和buff配置索引'!$M:$M,0))=0,"",INDEX('#建筑消耗和buff配置索引'!BW:BW,MATCH($F463,'#建筑消耗和buff配置索引'!$M:$M,0)))</f>
        <v/>
      </c>
      <c r="BE463" s="133" t="str">
        <f>IF(BD463="","",INDEX('#建筑消耗和buff配置索引'!BX:BX,MATCH($F463,'#建筑消耗和buff配置索引'!$M:$M,0)))</f>
        <v/>
      </c>
      <c r="BF463" s="133"/>
      <c r="BG463" s="133"/>
      <c r="BH463" s="133"/>
      <c r="BI463" s="133">
        <v>8</v>
      </c>
      <c r="BJ463" s="133">
        <v>299</v>
      </c>
      <c r="BO463" s="133">
        <v>3</v>
      </c>
      <c r="BP463" s="140" t="s">
        <v>1360</v>
      </c>
      <c r="BQ463" s="140">
        <v>10003603</v>
      </c>
      <c r="BR463" s="140">
        <v>300</v>
      </c>
    </row>
    <row r="464" spans="1:70">
      <c r="A464" s="133">
        <v>2340009</v>
      </c>
      <c r="B464" s="133">
        <v>461</v>
      </c>
      <c r="C464" s="133">
        <v>234</v>
      </c>
      <c r="D464" s="133" t="s">
        <v>271</v>
      </c>
      <c r="E464" s="133">
        <v>9</v>
      </c>
      <c r="F464" s="133" t="str">
        <f t="shared" si="8"/>
        <v>金矿场9</v>
      </c>
      <c r="G464" s="133"/>
      <c r="H464" s="146"/>
      <c r="I464" s="133">
        <v>1</v>
      </c>
      <c r="J464" s="150">
        <f>INDEX('#建筑消耗和buff配置索引'!AH:AH,MATCH($F464,'#建筑消耗和buff配置索引'!$M:$M,0))</f>
        <v>1440</v>
      </c>
      <c r="K464" s="150">
        <f>INDEX('#建筑消耗和buff配置索引'!AA:AA,MATCH($F464,'#建筑消耗和buff配置索引'!$M:$M,0))</f>
        <v>24000</v>
      </c>
      <c r="L464" s="150">
        <f>INDEX('#建筑消耗和buff配置索引'!AB:AB,MATCH($F464,'#建筑消耗和buff配置索引'!$M:$M,0))</f>
        <v>24000</v>
      </c>
      <c r="M464" s="150">
        <f>INDEX('#建筑消耗和buff配置索引'!AC:AC,MATCH($F464,'#建筑消耗和buff配置索引'!$M:$M,0))</f>
        <v>24000</v>
      </c>
      <c r="N464" s="150">
        <f>INDEX('#建筑消耗和buff配置索引'!AD:AD,MATCH($F464,'#建筑消耗和buff配置索引'!$M:$M,0))</f>
        <v>0</v>
      </c>
      <c r="O464" s="150" t="str">
        <f>IF(INDEX('#建筑消耗和buff配置索引'!T:T,MATCH($F464,'#建筑消耗和buff配置索引'!$M:$M,0))=0,"",INDEX('#建筑消耗和buff配置索引'!T:T,MATCH($F464,'#建筑消耗和buff配置索引'!$M:$M,0)))</f>
        <v/>
      </c>
      <c r="P464" s="133" t="str">
        <f>IF(INDEX('#建筑消耗和buff配置索引'!U:U,MATCH($F464,'#建筑消耗和buff配置索引'!$M:$M,0))=0,"",INDEX('#建筑消耗和buff配置索引'!U:U,MATCH($F464,'#建筑消耗和buff配置索引'!$M:$M,0)))</f>
        <v/>
      </c>
      <c r="Q464" s="133" t="str">
        <f>IF(INDEX('#建筑消耗和buff配置索引'!K:K,MATCH($F464,'#建筑消耗和buff配置索引'!$M:$M,0))=0,"",INDEX('#建筑消耗和buff配置索引'!K:K,MATCH($F464,'#建筑消耗和buff配置索引'!$M:$M,0)))</f>
        <v>201</v>
      </c>
      <c r="R464" s="133" t="str">
        <f>IF(INDEX('#建筑消耗和buff配置索引'!L:L,MATCH($F464,'#建筑消耗和buff配置索引'!$M:$M,0))=0,"",INDEX('#建筑消耗和buff配置索引'!L:L,MATCH($F464,'#建筑消耗和buff配置索引'!$M:$M,0)))</f>
        <v>10</v>
      </c>
      <c r="S464" s="133">
        <f>IF(INDEX('#建筑消耗和buff配置索引'!C:C,MATCH(F464,'#建筑消耗和buff配置索引'!M:M,0))=0,1,INDEX('#建筑消耗和buff配置索引'!C:C,MATCH(F464,'#建筑消耗和buff配置索引'!M:M,0)))</f>
        <v>3</v>
      </c>
      <c r="T464" s="133">
        <v>0</v>
      </c>
      <c r="U464" s="133">
        <v>0</v>
      </c>
      <c r="V464" s="133" t="str">
        <f>IF(E464=1,IF(INDEX('#建筑消耗和buff配置索引'!BY:BY,MATCH(D464,'#建筑消耗和buff配置索引'!A:A,0))=0,"",INDEX('#建筑消耗和buff配置索引'!BY:BY,MATCH(D464,'#建筑消耗和buff配置索引'!A:A,0))),"")</f>
        <v/>
      </c>
      <c r="W464" s="133" t="str">
        <f>IF(E464=1,IF(INDEX('#建筑消耗和buff配置索引'!BZ:BZ,MATCH(D464,'#建筑消耗和buff配置索引'!A:A,0))=0,"",INDEX('#建筑消耗和buff配置索引'!BZ:BZ,MATCH(D464,'#建筑消耗和buff配置索引'!A:A,0))),"")</f>
        <v/>
      </c>
      <c r="X464" s="133"/>
      <c r="Y464" s="133"/>
      <c r="Z464" s="133"/>
      <c r="AA464" s="133">
        <f>INDEX('#建筑消耗和buff配置索引'!AO:AO,MATCH($F464,'#建筑消耗和buff配置索引'!$M:$M,0))</f>
        <v>344</v>
      </c>
      <c r="AB464" s="133">
        <f>IF(INDEX('#建筑消耗和buff配置索引'!AR:AR,MATCH($F464,'#建筑消耗和buff配置索引'!$M:$M,0))=0,"",INDEX('#建筑消耗和buff配置索引'!AR:AR,MATCH($F464,'#建筑消耗和buff配置索引'!$M:$M,0)))</f>
        <v>1019</v>
      </c>
      <c r="AC464" s="133">
        <f>IF(AB464="","",INDEX('#建筑消耗和buff配置索引'!AS:AS,MATCH($F464,'#建筑消耗和buff配置索引'!$M:$M,0)))</f>
        <v>2750</v>
      </c>
      <c r="AD464" s="133"/>
      <c r="AE464" s="133"/>
      <c r="AF464" s="133" t="str">
        <f>IF(INDEX('#建筑消耗和buff配置索引'!AW:AW,MATCH($F464,'#建筑消耗和buff配置索引'!$M:$M,0))=0,"",INDEX('#建筑消耗和buff配置索引'!AW:AW,MATCH($F464,'#建筑消耗和buff配置索引'!$M:$M,0)))</f>
        <v/>
      </c>
      <c r="AG464" s="133" t="str">
        <f>IF(AF464="","",INDEX('#建筑消耗和buff配置索引'!AX:AX,MATCH($F464,'#建筑消耗和buff配置索引'!$M:$M,0)))</f>
        <v/>
      </c>
      <c r="AH464" s="133"/>
      <c r="AI464" s="133"/>
      <c r="AJ464" s="133" t="str">
        <f>IF(INDEX('#建筑消耗和buff配置索引'!BB:BB,MATCH($F464,'#建筑消耗和buff配置索引'!$M:$M,0))=0,"",INDEX('#建筑消耗和buff配置索引'!BB:BB,MATCH($F464,'#建筑消耗和buff配置索引'!$M:$M,0)))</f>
        <v/>
      </c>
      <c r="AK464" s="133" t="str">
        <f>IF(AJ464="","",INDEX('#建筑消耗和buff配置索引'!BC:BC,MATCH($F464,'#建筑消耗和buff配置索引'!$M:$M,0)))</f>
        <v/>
      </c>
      <c r="AL464" s="133"/>
      <c r="AM464" s="133"/>
      <c r="AN464" s="133" t="str">
        <f>IF(INDEX('#建筑消耗和buff配置索引'!BG:BG,MATCH($F464,'#建筑消耗和buff配置索引'!$M:$M,0))=0,"",INDEX('#建筑消耗和buff配置索引'!BG:BG,MATCH($F464,'#建筑消耗和buff配置索引'!$M:$M,0)))</f>
        <v/>
      </c>
      <c r="AO464" s="133" t="str">
        <f>IF(AN464="","",INDEX('#建筑消耗和buff配置索引'!BH:BH,MATCH($F464,'#建筑消耗和buff配置索引'!$M:$M,0)))</f>
        <v/>
      </c>
      <c r="AP464" s="133"/>
      <c r="AQ464" s="133"/>
      <c r="AR464" s="133" t="str">
        <f>IF(INDEX('#建筑消耗和buff配置索引'!BK:BK,MATCH($F464,'#建筑消耗和buff配置索引'!$M:$M,0))=0,"",INDEX('#建筑消耗和buff配置索引'!BK:BK,MATCH($F464,'#建筑消耗和buff配置索引'!$M:$M,0)))</f>
        <v/>
      </c>
      <c r="AS464" s="133" t="str">
        <f>IF(AR464="","",INDEX('#建筑消耗和buff配置索引'!BL:BL,MATCH($F464,'#建筑消耗和buff配置索引'!$M:$M,0)))</f>
        <v/>
      </c>
      <c r="AT464" s="133"/>
      <c r="AU464" s="133"/>
      <c r="AV464" s="133" t="str">
        <f>IF(INDEX('#建筑消耗和buff配置索引'!BO:BO,MATCH($F464,'#建筑消耗和buff配置索引'!$M:$M,0))=0,"",INDEX('#建筑消耗和buff配置索引'!BO:BO,MATCH($F464,'#建筑消耗和buff配置索引'!$M:$M,0)))</f>
        <v/>
      </c>
      <c r="AW464" s="133" t="str">
        <f>IF(AV464="","",INDEX('#建筑消耗和buff配置索引'!BP:BP,MATCH($F464,'#建筑消耗和buff配置索引'!$M:$M,0)))</f>
        <v/>
      </c>
      <c r="AX464" s="133"/>
      <c r="AY464" s="133"/>
      <c r="AZ464" s="133" t="str">
        <f>IF(INDEX('#建筑消耗和buff配置索引'!BS:BS,MATCH($F464,'#建筑消耗和buff配置索引'!$M:$M,0))=0,"",INDEX('#建筑消耗和buff配置索引'!BS:BS,MATCH($F464,'#建筑消耗和buff配置索引'!$M:$M,0)))</f>
        <v/>
      </c>
      <c r="BA464" s="133" t="str">
        <f>IF(AZ464="","",INDEX('#建筑消耗和buff配置索引'!BT:BT,MATCH($F464,'#建筑消耗和buff配置索引'!$M:$M,0)))</f>
        <v/>
      </c>
      <c r="BB464" s="133"/>
      <c r="BC464" s="133"/>
      <c r="BD464" s="133" t="str">
        <f>IF(INDEX('#建筑消耗和buff配置索引'!BW:BW,MATCH($F464,'#建筑消耗和buff配置索引'!$M:$M,0))=0,"",INDEX('#建筑消耗和buff配置索引'!BW:BW,MATCH($F464,'#建筑消耗和buff配置索引'!$M:$M,0)))</f>
        <v/>
      </c>
      <c r="BE464" s="133" t="str">
        <f>IF(BD464="","",INDEX('#建筑消耗和buff配置索引'!BX:BX,MATCH($F464,'#建筑消耗和buff配置索引'!$M:$M,0)))</f>
        <v/>
      </c>
      <c r="BF464" s="133"/>
      <c r="BG464" s="133"/>
      <c r="BH464" s="133"/>
      <c r="BI464" s="133">
        <v>8</v>
      </c>
      <c r="BJ464" s="133">
        <v>299</v>
      </c>
      <c r="BO464" s="133">
        <v>3</v>
      </c>
      <c r="BP464" s="140" t="s">
        <v>1360</v>
      </c>
      <c r="BQ464" s="140">
        <v>10003603</v>
      </c>
      <c r="BR464" s="140">
        <v>300</v>
      </c>
    </row>
    <row r="465" spans="1:70">
      <c r="A465" s="133">
        <v>2340010</v>
      </c>
      <c r="B465" s="133">
        <v>462</v>
      </c>
      <c r="C465" s="133">
        <v>234</v>
      </c>
      <c r="D465" s="133" t="s">
        <v>271</v>
      </c>
      <c r="E465" s="133">
        <v>10</v>
      </c>
      <c r="F465" s="133" t="str">
        <f t="shared" si="8"/>
        <v>金矿场10</v>
      </c>
      <c r="G465" s="133"/>
      <c r="H465" s="146"/>
      <c r="I465" s="133">
        <v>1</v>
      </c>
      <c r="J465" s="150">
        <f>INDEX('#建筑消耗和buff配置索引'!AH:AH,MATCH($F465,'#建筑消耗和buff配置索引'!$M:$M,0))</f>
        <v>2160</v>
      </c>
      <c r="K465" s="150">
        <f>INDEX('#建筑消耗和buff配置索引'!AA:AA,MATCH($F465,'#建筑消耗和buff配置索引'!$M:$M,0))</f>
        <v>38000</v>
      </c>
      <c r="L465" s="150">
        <f>INDEX('#建筑消耗和buff配置索引'!AB:AB,MATCH($F465,'#建筑消耗和buff配置索引'!$M:$M,0))</f>
        <v>38000</v>
      </c>
      <c r="M465" s="150">
        <f>INDEX('#建筑消耗和buff配置索引'!AC:AC,MATCH($F465,'#建筑消耗和buff配置索引'!$M:$M,0))</f>
        <v>38000</v>
      </c>
      <c r="N465" s="150">
        <f>INDEX('#建筑消耗和buff配置索引'!AD:AD,MATCH($F465,'#建筑消耗和buff配置索引'!$M:$M,0))</f>
        <v>0</v>
      </c>
      <c r="O465" s="150" t="str">
        <f>IF(INDEX('#建筑消耗和buff配置索引'!T:T,MATCH($F465,'#建筑消耗和buff配置索引'!$M:$M,0))=0,"",INDEX('#建筑消耗和buff配置索引'!T:T,MATCH($F465,'#建筑消耗和buff配置索引'!$M:$M,0)))</f>
        <v/>
      </c>
      <c r="P465" s="133" t="str">
        <f>IF(INDEX('#建筑消耗和buff配置索引'!U:U,MATCH($F465,'#建筑消耗和buff配置索引'!$M:$M,0))=0,"",INDEX('#建筑消耗和buff配置索引'!U:U,MATCH($F465,'#建筑消耗和buff配置索引'!$M:$M,0)))</f>
        <v/>
      </c>
      <c r="Q465" s="133" t="str">
        <f>IF(INDEX('#建筑消耗和buff配置索引'!K:K,MATCH($F465,'#建筑消耗和buff配置索引'!$M:$M,0))=0,"",INDEX('#建筑消耗和buff配置索引'!K:K,MATCH($F465,'#建筑消耗和buff配置索引'!$M:$M,0)))</f>
        <v>201</v>
      </c>
      <c r="R465" s="133" t="str">
        <f>IF(INDEX('#建筑消耗和buff配置索引'!L:L,MATCH($F465,'#建筑消耗和buff配置索引'!$M:$M,0))=0,"",INDEX('#建筑消耗和buff配置索引'!L:L,MATCH($F465,'#建筑消耗和buff配置索引'!$M:$M,0)))</f>
        <v>10</v>
      </c>
      <c r="S465" s="133">
        <f>IF(INDEX('#建筑消耗和buff配置索引'!C:C,MATCH(F465,'#建筑消耗和buff配置索引'!M:M,0))=0,1,INDEX('#建筑消耗和buff配置索引'!C:C,MATCH(F465,'#建筑消耗和buff配置索引'!M:M,0)))</f>
        <v>3</v>
      </c>
      <c r="T465" s="133">
        <v>0</v>
      </c>
      <c r="U465" s="133">
        <v>0</v>
      </c>
      <c r="V465" s="133" t="str">
        <f>IF(E465=1,IF(INDEX('#建筑消耗和buff配置索引'!BY:BY,MATCH(D465,'#建筑消耗和buff配置索引'!A:A,0))=0,"",INDEX('#建筑消耗和buff配置索引'!BY:BY,MATCH(D465,'#建筑消耗和buff配置索引'!A:A,0))),"")</f>
        <v/>
      </c>
      <c r="W465" s="133" t="str">
        <f>IF(E465=1,IF(INDEX('#建筑消耗和buff配置索引'!BZ:BZ,MATCH(D465,'#建筑消耗和buff配置索引'!A:A,0))=0,"",INDEX('#建筑消耗和buff配置索引'!BZ:BZ,MATCH(D465,'#建筑消耗和buff配置索引'!A:A,0))),"")</f>
        <v/>
      </c>
      <c r="X465" s="133"/>
      <c r="Y465" s="133"/>
      <c r="Z465" s="133"/>
      <c r="AA465" s="133">
        <f>INDEX('#建筑消耗和buff配置索引'!AO:AO,MATCH($F465,'#建筑消耗和buff配置索引'!$M:$M,0))</f>
        <v>575</v>
      </c>
      <c r="AB465" s="133">
        <f>IF(INDEX('#建筑消耗和buff配置索引'!AR:AR,MATCH($F465,'#建筑消耗和buff配置索引'!$M:$M,0))=0,"",INDEX('#建筑消耗和buff配置索引'!AR:AR,MATCH($F465,'#建筑消耗和buff配置索引'!$M:$M,0)))</f>
        <v>1019</v>
      </c>
      <c r="AC465" s="133">
        <f>IF(AB465="","",INDEX('#建筑消耗和buff配置索引'!AS:AS,MATCH($F465,'#建筑消耗和buff配置索引'!$M:$M,0)))</f>
        <v>3100</v>
      </c>
      <c r="AD465" s="133"/>
      <c r="AE465" s="133"/>
      <c r="AF465" s="133" t="str">
        <f>IF(INDEX('#建筑消耗和buff配置索引'!AW:AW,MATCH($F465,'#建筑消耗和buff配置索引'!$M:$M,0))=0,"",INDEX('#建筑消耗和buff配置索引'!AW:AW,MATCH($F465,'#建筑消耗和buff配置索引'!$M:$M,0)))</f>
        <v/>
      </c>
      <c r="AG465" s="133" t="str">
        <f>IF(AF465="","",INDEX('#建筑消耗和buff配置索引'!AX:AX,MATCH($F465,'#建筑消耗和buff配置索引'!$M:$M,0)))</f>
        <v/>
      </c>
      <c r="AH465" s="133"/>
      <c r="AI465" s="133"/>
      <c r="AJ465" s="133" t="str">
        <f>IF(INDEX('#建筑消耗和buff配置索引'!BB:BB,MATCH($F465,'#建筑消耗和buff配置索引'!$M:$M,0))=0,"",INDEX('#建筑消耗和buff配置索引'!BB:BB,MATCH($F465,'#建筑消耗和buff配置索引'!$M:$M,0)))</f>
        <v/>
      </c>
      <c r="AK465" s="133" t="str">
        <f>IF(AJ465="","",INDEX('#建筑消耗和buff配置索引'!BC:BC,MATCH($F465,'#建筑消耗和buff配置索引'!$M:$M,0)))</f>
        <v/>
      </c>
      <c r="AL465" s="133"/>
      <c r="AM465" s="133"/>
      <c r="AN465" s="133" t="str">
        <f>IF(INDEX('#建筑消耗和buff配置索引'!BG:BG,MATCH($F465,'#建筑消耗和buff配置索引'!$M:$M,0))=0,"",INDEX('#建筑消耗和buff配置索引'!BG:BG,MATCH($F465,'#建筑消耗和buff配置索引'!$M:$M,0)))</f>
        <v/>
      </c>
      <c r="AO465" s="133" t="str">
        <f>IF(AN465="","",INDEX('#建筑消耗和buff配置索引'!BH:BH,MATCH($F465,'#建筑消耗和buff配置索引'!$M:$M,0)))</f>
        <v/>
      </c>
      <c r="AP465" s="133"/>
      <c r="AQ465" s="133"/>
      <c r="AR465" s="133" t="str">
        <f>IF(INDEX('#建筑消耗和buff配置索引'!BK:BK,MATCH($F465,'#建筑消耗和buff配置索引'!$M:$M,0))=0,"",INDEX('#建筑消耗和buff配置索引'!BK:BK,MATCH($F465,'#建筑消耗和buff配置索引'!$M:$M,0)))</f>
        <v/>
      </c>
      <c r="AS465" s="133" t="str">
        <f>IF(AR465="","",INDEX('#建筑消耗和buff配置索引'!BL:BL,MATCH($F465,'#建筑消耗和buff配置索引'!$M:$M,0)))</f>
        <v/>
      </c>
      <c r="AT465" s="133"/>
      <c r="AU465" s="133"/>
      <c r="AV465" s="133" t="str">
        <f>IF(INDEX('#建筑消耗和buff配置索引'!BO:BO,MATCH($F465,'#建筑消耗和buff配置索引'!$M:$M,0))=0,"",INDEX('#建筑消耗和buff配置索引'!BO:BO,MATCH($F465,'#建筑消耗和buff配置索引'!$M:$M,0)))</f>
        <v/>
      </c>
      <c r="AW465" s="133" t="str">
        <f>IF(AV465="","",INDEX('#建筑消耗和buff配置索引'!BP:BP,MATCH($F465,'#建筑消耗和buff配置索引'!$M:$M,0)))</f>
        <v/>
      </c>
      <c r="AX465" s="133"/>
      <c r="AY465" s="133"/>
      <c r="AZ465" s="133" t="str">
        <f>IF(INDEX('#建筑消耗和buff配置索引'!BS:BS,MATCH($F465,'#建筑消耗和buff配置索引'!$M:$M,0))=0,"",INDEX('#建筑消耗和buff配置索引'!BS:BS,MATCH($F465,'#建筑消耗和buff配置索引'!$M:$M,0)))</f>
        <v/>
      </c>
      <c r="BA465" s="133" t="str">
        <f>IF(AZ465="","",INDEX('#建筑消耗和buff配置索引'!BT:BT,MATCH($F465,'#建筑消耗和buff配置索引'!$M:$M,0)))</f>
        <v/>
      </c>
      <c r="BB465" s="133"/>
      <c r="BC465" s="133"/>
      <c r="BD465" s="133" t="str">
        <f>IF(INDEX('#建筑消耗和buff配置索引'!BW:BW,MATCH($F465,'#建筑消耗和buff配置索引'!$M:$M,0))=0,"",INDEX('#建筑消耗和buff配置索引'!BW:BW,MATCH($F465,'#建筑消耗和buff配置索引'!$M:$M,0)))</f>
        <v/>
      </c>
      <c r="BE465" s="133" t="str">
        <f>IF(BD465="","",INDEX('#建筑消耗和buff配置索引'!BX:BX,MATCH($F465,'#建筑消耗和buff配置索引'!$M:$M,0)))</f>
        <v/>
      </c>
      <c r="BF465" s="133"/>
      <c r="BG465" s="133"/>
      <c r="BH465" s="133"/>
      <c r="BI465" s="133">
        <v>8</v>
      </c>
      <c r="BJ465" s="133"/>
      <c r="BO465" s="133">
        <v>4</v>
      </c>
      <c r="BP465" s="140" t="s">
        <v>1360</v>
      </c>
      <c r="BQ465" s="140">
        <v>10003603</v>
      </c>
      <c r="BR465" s="140">
        <v>300</v>
      </c>
    </row>
    <row r="466" spans="1:70">
      <c r="A466" s="133">
        <v>2340011</v>
      </c>
      <c r="B466" s="133">
        <v>463</v>
      </c>
      <c r="C466" s="133">
        <v>234</v>
      </c>
      <c r="D466" s="133" t="s">
        <v>271</v>
      </c>
      <c r="E466" s="133">
        <v>11</v>
      </c>
      <c r="F466" s="133" t="str">
        <f t="shared" si="8"/>
        <v>金矿场11</v>
      </c>
      <c r="G466" s="133"/>
      <c r="H466" s="146"/>
      <c r="I466" s="133">
        <v>1</v>
      </c>
      <c r="J466" s="150">
        <f>INDEX('#建筑消耗和buff配置索引'!AH:AH,MATCH($F466,'#建筑消耗和buff配置索引'!$M:$M,0))</f>
        <v>3240</v>
      </c>
      <c r="K466" s="150">
        <f>INDEX('#建筑消耗和buff配置索引'!AA:AA,MATCH($F466,'#建筑消耗和buff配置索引'!$M:$M,0))</f>
        <v>58000</v>
      </c>
      <c r="L466" s="150">
        <f>INDEX('#建筑消耗和buff配置索引'!AB:AB,MATCH($F466,'#建筑消耗和buff配置索引'!$M:$M,0))</f>
        <v>58000</v>
      </c>
      <c r="M466" s="150">
        <f>INDEX('#建筑消耗和buff配置索引'!AC:AC,MATCH($F466,'#建筑消耗和buff配置索引'!$M:$M,0))</f>
        <v>58000</v>
      </c>
      <c r="N466" s="150">
        <f>INDEX('#建筑消耗和buff配置索引'!AD:AD,MATCH($F466,'#建筑消耗和buff配置索引'!$M:$M,0))</f>
        <v>0</v>
      </c>
      <c r="O466" s="150" t="str">
        <f>IF(INDEX('#建筑消耗和buff配置索引'!T:T,MATCH($F466,'#建筑消耗和buff配置索引'!$M:$M,0))=0,"",INDEX('#建筑消耗和buff配置索引'!T:T,MATCH($F466,'#建筑消耗和buff配置索引'!$M:$M,0)))</f>
        <v/>
      </c>
      <c r="P466" s="133" t="str">
        <f>IF(INDEX('#建筑消耗和buff配置索引'!U:U,MATCH($F466,'#建筑消耗和buff配置索引'!$M:$M,0))=0,"",INDEX('#建筑消耗和buff配置索引'!U:U,MATCH($F466,'#建筑消耗和buff配置索引'!$M:$M,0)))</f>
        <v/>
      </c>
      <c r="Q466" s="133" t="str">
        <f>IF(INDEX('#建筑消耗和buff配置索引'!K:K,MATCH($F466,'#建筑消耗和buff配置索引'!$M:$M,0))=0,"",INDEX('#建筑消耗和buff配置索引'!K:K,MATCH($F466,'#建筑消耗和buff配置索引'!$M:$M,0)))</f>
        <v>201</v>
      </c>
      <c r="R466" s="133" t="str">
        <f>IF(INDEX('#建筑消耗和buff配置索引'!L:L,MATCH($F466,'#建筑消耗和buff配置索引'!$M:$M,0))=0,"",INDEX('#建筑消耗和buff配置索引'!L:L,MATCH($F466,'#建筑消耗和buff配置索引'!$M:$M,0)))</f>
        <v>11</v>
      </c>
      <c r="S466" s="133">
        <f>IF(INDEX('#建筑消耗和buff配置索引'!C:C,MATCH(F466,'#建筑消耗和buff配置索引'!M:M,0))=0,1,INDEX('#建筑消耗和buff配置索引'!C:C,MATCH(F466,'#建筑消耗和buff配置索引'!M:M,0)))</f>
        <v>3</v>
      </c>
      <c r="T466" s="133">
        <v>0</v>
      </c>
      <c r="U466" s="133">
        <v>0</v>
      </c>
      <c r="V466" s="133" t="str">
        <f>IF(E466=1,IF(INDEX('#建筑消耗和buff配置索引'!BY:BY,MATCH(D466,'#建筑消耗和buff配置索引'!A:A,0))=0,"",INDEX('#建筑消耗和buff配置索引'!BY:BY,MATCH(D466,'#建筑消耗和buff配置索引'!A:A,0))),"")</f>
        <v/>
      </c>
      <c r="W466" s="133" t="str">
        <f>IF(E466=1,IF(INDEX('#建筑消耗和buff配置索引'!BZ:BZ,MATCH(D466,'#建筑消耗和buff配置索引'!A:A,0))=0,"",INDEX('#建筑消耗和buff配置索引'!BZ:BZ,MATCH(D466,'#建筑消耗和buff配置索引'!A:A,0))),"")</f>
        <v/>
      </c>
      <c r="X466" s="133"/>
      <c r="Y466" s="133"/>
      <c r="Z466" s="133"/>
      <c r="AA466" s="133">
        <f>INDEX('#建筑消耗和buff配置索引'!AO:AO,MATCH($F466,'#建筑消耗和buff配置索引'!$M:$M,0))</f>
        <v>923</v>
      </c>
      <c r="AB466" s="133">
        <f>IF(INDEX('#建筑消耗和buff配置索引'!AR:AR,MATCH($F466,'#建筑消耗和buff配置索引'!$M:$M,0))=0,"",INDEX('#建筑消耗和buff配置索引'!AR:AR,MATCH($F466,'#建筑消耗和buff配置索引'!$M:$M,0)))</f>
        <v>1019</v>
      </c>
      <c r="AC466" s="133">
        <f>IF(AB466="","",INDEX('#建筑消耗和buff配置索引'!AS:AS,MATCH($F466,'#建筑消耗和buff配置索引'!$M:$M,0)))</f>
        <v>3600</v>
      </c>
      <c r="AD466" s="133"/>
      <c r="AE466" s="133"/>
      <c r="AF466" s="133" t="str">
        <f>IF(INDEX('#建筑消耗和buff配置索引'!AW:AW,MATCH($F466,'#建筑消耗和buff配置索引'!$M:$M,0))=0,"",INDEX('#建筑消耗和buff配置索引'!AW:AW,MATCH($F466,'#建筑消耗和buff配置索引'!$M:$M,0)))</f>
        <v/>
      </c>
      <c r="AG466" s="133" t="str">
        <f>IF(AF466="","",INDEX('#建筑消耗和buff配置索引'!AX:AX,MATCH($F466,'#建筑消耗和buff配置索引'!$M:$M,0)))</f>
        <v/>
      </c>
      <c r="AH466" s="133"/>
      <c r="AI466" s="133"/>
      <c r="AJ466" s="133" t="str">
        <f>IF(INDEX('#建筑消耗和buff配置索引'!BB:BB,MATCH($F466,'#建筑消耗和buff配置索引'!$M:$M,0))=0,"",INDEX('#建筑消耗和buff配置索引'!BB:BB,MATCH($F466,'#建筑消耗和buff配置索引'!$M:$M,0)))</f>
        <v/>
      </c>
      <c r="AK466" s="133" t="str">
        <f>IF(AJ466="","",INDEX('#建筑消耗和buff配置索引'!BC:BC,MATCH($F466,'#建筑消耗和buff配置索引'!$M:$M,0)))</f>
        <v/>
      </c>
      <c r="AL466" s="133"/>
      <c r="AM466" s="133"/>
      <c r="AN466" s="133" t="str">
        <f>IF(INDEX('#建筑消耗和buff配置索引'!BG:BG,MATCH($F466,'#建筑消耗和buff配置索引'!$M:$M,0))=0,"",INDEX('#建筑消耗和buff配置索引'!BG:BG,MATCH($F466,'#建筑消耗和buff配置索引'!$M:$M,0)))</f>
        <v/>
      </c>
      <c r="AO466" s="133" t="str">
        <f>IF(AN466="","",INDEX('#建筑消耗和buff配置索引'!BH:BH,MATCH($F466,'#建筑消耗和buff配置索引'!$M:$M,0)))</f>
        <v/>
      </c>
      <c r="AP466" s="133"/>
      <c r="AQ466" s="133"/>
      <c r="AR466" s="133" t="str">
        <f>IF(INDEX('#建筑消耗和buff配置索引'!BK:BK,MATCH($F466,'#建筑消耗和buff配置索引'!$M:$M,0))=0,"",INDEX('#建筑消耗和buff配置索引'!BK:BK,MATCH($F466,'#建筑消耗和buff配置索引'!$M:$M,0)))</f>
        <v/>
      </c>
      <c r="AS466" s="133" t="str">
        <f>IF(AR466="","",INDEX('#建筑消耗和buff配置索引'!BL:BL,MATCH($F466,'#建筑消耗和buff配置索引'!$M:$M,0)))</f>
        <v/>
      </c>
      <c r="AT466" s="133"/>
      <c r="AU466" s="133"/>
      <c r="AV466" s="133" t="str">
        <f>IF(INDEX('#建筑消耗和buff配置索引'!BO:BO,MATCH($F466,'#建筑消耗和buff配置索引'!$M:$M,0))=0,"",INDEX('#建筑消耗和buff配置索引'!BO:BO,MATCH($F466,'#建筑消耗和buff配置索引'!$M:$M,0)))</f>
        <v/>
      </c>
      <c r="AW466" s="133" t="str">
        <f>IF(AV466="","",INDEX('#建筑消耗和buff配置索引'!BP:BP,MATCH($F466,'#建筑消耗和buff配置索引'!$M:$M,0)))</f>
        <v/>
      </c>
      <c r="AX466" s="133"/>
      <c r="AY466" s="133"/>
      <c r="AZ466" s="133" t="str">
        <f>IF(INDEX('#建筑消耗和buff配置索引'!BS:BS,MATCH($F466,'#建筑消耗和buff配置索引'!$M:$M,0))=0,"",INDEX('#建筑消耗和buff配置索引'!BS:BS,MATCH($F466,'#建筑消耗和buff配置索引'!$M:$M,0)))</f>
        <v/>
      </c>
      <c r="BA466" s="133" t="str">
        <f>IF(AZ466="","",INDEX('#建筑消耗和buff配置索引'!BT:BT,MATCH($F466,'#建筑消耗和buff配置索引'!$M:$M,0)))</f>
        <v/>
      </c>
      <c r="BB466" s="133"/>
      <c r="BC466" s="133"/>
      <c r="BD466" s="133" t="str">
        <f>IF(INDEX('#建筑消耗和buff配置索引'!BW:BW,MATCH($F466,'#建筑消耗和buff配置索引'!$M:$M,0))=0,"",INDEX('#建筑消耗和buff配置索引'!BW:BW,MATCH($F466,'#建筑消耗和buff配置索引'!$M:$M,0)))</f>
        <v/>
      </c>
      <c r="BE466" s="133" t="str">
        <f>IF(BD466="","",INDEX('#建筑消耗和buff配置索引'!BX:BX,MATCH($F466,'#建筑消耗和buff配置索引'!$M:$M,0)))</f>
        <v/>
      </c>
      <c r="BF466" s="133"/>
      <c r="BG466" s="133"/>
      <c r="BH466" s="133"/>
      <c r="BI466" s="133">
        <v>8</v>
      </c>
      <c r="BJ466" s="133"/>
      <c r="BO466" s="133">
        <v>4</v>
      </c>
      <c r="BP466" s="140" t="s">
        <v>1360</v>
      </c>
      <c r="BQ466" s="140">
        <v>10003603</v>
      </c>
      <c r="BR466" s="140">
        <v>300</v>
      </c>
    </row>
    <row r="467" spans="1:70">
      <c r="A467" s="133">
        <v>2340012</v>
      </c>
      <c r="B467" s="133">
        <v>464</v>
      </c>
      <c r="C467" s="133">
        <v>234</v>
      </c>
      <c r="D467" s="133" t="s">
        <v>271</v>
      </c>
      <c r="E467" s="133">
        <v>12</v>
      </c>
      <c r="F467" s="133" t="str">
        <f t="shared" si="8"/>
        <v>金矿场12</v>
      </c>
      <c r="G467" s="133"/>
      <c r="H467" s="146"/>
      <c r="I467" s="133">
        <v>2</v>
      </c>
      <c r="J467" s="150">
        <f>INDEX('#建筑消耗和buff配置索引'!AH:AH,MATCH($F467,'#建筑消耗和buff配置索引'!$M:$M,0))</f>
        <v>4320</v>
      </c>
      <c r="K467" s="150">
        <f>INDEX('#建筑消耗和buff配置索引'!AA:AA,MATCH($F467,'#建筑消耗和buff配置索引'!$M:$M,0))</f>
        <v>84000</v>
      </c>
      <c r="L467" s="150">
        <f>INDEX('#建筑消耗和buff配置索引'!AB:AB,MATCH($F467,'#建筑消耗和buff配置索引'!$M:$M,0))</f>
        <v>84000</v>
      </c>
      <c r="M467" s="150">
        <f>INDEX('#建筑消耗和buff配置索引'!AC:AC,MATCH($F467,'#建筑消耗和buff配置索引'!$M:$M,0))</f>
        <v>84000</v>
      </c>
      <c r="N467" s="150">
        <f>INDEX('#建筑消耗和buff配置索引'!AD:AD,MATCH($F467,'#建筑消耗和buff配置索引'!$M:$M,0))</f>
        <v>0</v>
      </c>
      <c r="O467" s="150" t="str">
        <f>IF(INDEX('#建筑消耗和buff配置索引'!T:T,MATCH($F467,'#建筑消耗和buff配置索引'!$M:$M,0))=0,"",INDEX('#建筑消耗和buff配置索引'!T:T,MATCH($F467,'#建筑消耗和buff配置索引'!$M:$M,0)))</f>
        <v/>
      </c>
      <c r="P467" s="133" t="str">
        <f>IF(INDEX('#建筑消耗和buff配置索引'!U:U,MATCH($F467,'#建筑消耗和buff配置索引'!$M:$M,0))=0,"",INDEX('#建筑消耗和buff配置索引'!U:U,MATCH($F467,'#建筑消耗和buff配置索引'!$M:$M,0)))</f>
        <v/>
      </c>
      <c r="Q467" s="133" t="str">
        <f>IF(INDEX('#建筑消耗和buff配置索引'!K:K,MATCH($F467,'#建筑消耗和buff配置索引'!$M:$M,0))=0,"",INDEX('#建筑消耗和buff配置索引'!K:K,MATCH($F467,'#建筑消耗和buff配置索引'!$M:$M,0)))</f>
        <v>201</v>
      </c>
      <c r="R467" s="133" t="str">
        <f>IF(INDEX('#建筑消耗和buff配置索引'!L:L,MATCH($F467,'#建筑消耗和buff配置索引'!$M:$M,0))=0,"",INDEX('#建筑消耗和buff配置索引'!L:L,MATCH($F467,'#建筑消耗和buff配置索引'!$M:$M,0)))</f>
        <v>12</v>
      </c>
      <c r="S467" s="133">
        <f>IF(INDEX('#建筑消耗和buff配置索引'!C:C,MATCH(F467,'#建筑消耗和buff配置索引'!M:M,0))=0,1,INDEX('#建筑消耗和buff配置索引'!C:C,MATCH(F467,'#建筑消耗和buff配置索引'!M:M,0)))</f>
        <v>3</v>
      </c>
      <c r="T467" s="133">
        <v>0</v>
      </c>
      <c r="U467" s="133">
        <v>0</v>
      </c>
      <c r="V467" s="133" t="str">
        <f>IF(E467=1,IF(INDEX('#建筑消耗和buff配置索引'!BY:BY,MATCH(D467,'#建筑消耗和buff配置索引'!A:A,0))=0,"",INDEX('#建筑消耗和buff配置索引'!BY:BY,MATCH(D467,'#建筑消耗和buff配置索引'!A:A,0))),"")</f>
        <v/>
      </c>
      <c r="W467" s="133" t="str">
        <f>IF(E467=1,IF(INDEX('#建筑消耗和buff配置索引'!BZ:BZ,MATCH(D467,'#建筑消耗和buff配置索引'!A:A,0))=0,"",INDEX('#建筑消耗和buff配置索引'!BZ:BZ,MATCH(D467,'#建筑消耗和buff配置索引'!A:A,0))),"")</f>
        <v/>
      </c>
      <c r="X467" s="133"/>
      <c r="Y467" s="133"/>
      <c r="Z467" s="133"/>
      <c r="AA467" s="133">
        <f>INDEX('#建筑消耗和buff配置索引'!AO:AO,MATCH($F467,'#建筑消耗和buff配置索引'!$M:$M,0))</f>
        <v>1424</v>
      </c>
      <c r="AB467" s="133">
        <f>IF(INDEX('#建筑消耗和buff配置索引'!AR:AR,MATCH($F467,'#建筑消耗和buff配置索引'!$M:$M,0))=0,"",INDEX('#建筑消耗和buff配置索引'!AR:AR,MATCH($F467,'#建筑消耗和buff配置索引'!$M:$M,0)))</f>
        <v>1019</v>
      </c>
      <c r="AC467" s="133">
        <f>IF(AB467="","",INDEX('#建筑消耗和buff配置索引'!AS:AS,MATCH($F467,'#建筑消耗和buff配置索引'!$M:$M,0)))</f>
        <v>4100</v>
      </c>
      <c r="AD467" s="133"/>
      <c r="AE467" s="133"/>
      <c r="AF467" s="133" t="str">
        <f>IF(INDEX('#建筑消耗和buff配置索引'!AW:AW,MATCH($F467,'#建筑消耗和buff配置索引'!$M:$M,0))=0,"",INDEX('#建筑消耗和buff配置索引'!AW:AW,MATCH($F467,'#建筑消耗和buff配置索引'!$M:$M,0)))</f>
        <v/>
      </c>
      <c r="AG467" s="133" t="str">
        <f>IF(AF467="","",INDEX('#建筑消耗和buff配置索引'!AX:AX,MATCH($F467,'#建筑消耗和buff配置索引'!$M:$M,0)))</f>
        <v/>
      </c>
      <c r="AH467" s="133"/>
      <c r="AI467" s="133"/>
      <c r="AJ467" s="133" t="str">
        <f>IF(INDEX('#建筑消耗和buff配置索引'!BB:BB,MATCH($F467,'#建筑消耗和buff配置索引'!$M:$M,0))=0,"",INDEX('#建筑消耗和buff配置索引'!BB:BB,MATCH($F467,'#建筑消耗和buff配置索引'!$M:$M,0)))</f>
        <v/>
      </c>
      <c r="AK467" s="133" t="str">
        <f>IF(AJ467="","",INDEX('#建筑消耗和buff配置索引'!BC:BC,MATCH($F467,'#建筑消耗和buff配置索引'!$M:$M,0)))</f>
        <v/>
      </c>
      <c r="AL467" s="133"/>
      <c r="AM467" s="133"/>
      <c r="AN467" s="133" t="str">
        <f>IF(INDEX('#建筑消耗和buff配置索引'!BG:BG,MATCH($F467,'#建筑消耗和buff配置索引'!$M:$M,0))=0,"",INDEX('#建筑消耗和buff配置索引'!BG:BG,MATCH($F467,'#建筑消耗和buff配置索引'!$M:$M,0)))</f>
        <v/>
      </c>
      <c r="AO467" s="133" t="str">
        <f>IF(AN467="","",INDEX('#建筑消耗和buff配置索引'!BH:BH,MATCH($F467,'#建筑消耗和buff配置索引'!$M:$M,0)))</f>
        <v/>
      </c>
      <c r="AP467" s="133"/>
      <c r="AQ467" s="133"/>
      <c r="AR467" s="133" t="str">
        <f>IF(INDEX('#建筑消耗和buff配置索引'!BK:BK,MATCH($F467,'#建筑消耗和buff配置索引'!$M:$M,0))=0,"",INDEX('#建筑消耗和buff配置索引'!BK:BK,MATCH($F467,'#建筑消耗和buff配置索引'!$M:$M,0)))</f>
        <v/>
      </c>
      <c r="AS467" s="133" t="str">
        <f>IF(AR467="","",INDEX('#建筑消耗和buff配置索引'!BL:BL,MATCH($F467,'#建筑消耗和buff配置索引'!$M:$M,0)))</f>
        <v/>
      </c>
      <c r="AT467" s="133"/>
      <c r="AU467" s="133"/>
      <c r="AV467" s="133" t="str">
        <f>IF(INDEX('#建筑消耗和buff配置索引'!BO:BO,MATCH($F467,'#建筑消耗和buff配置索引'!$M:$M,0))=0,"",INDEX('#建筑消耗和buff配置索引'!BO:BO,MATCH($F467,'#建筑消耗和buff配置索引'!$M:$M,0)))</f>
        <v/>
      </c>
      <c r="AW467" s="133" t="str">
        <f>IF(AV467="","",INDEX('#建筑消耗和buff配置索引'!BP:BP,MATCH($F467,'#建筑消耗和buff配置索引'!$M:$M,0)))</f>
        <v/>
      </c>
      <c r="AX467" s="133"/>
      <c r="AY467" s="133"/>
      <c r="AZ467" s="133" t="str">
        <f>IF(INDEX('#建筑消耗和buff配置索引'!BS:BS,MATCH($F467,'#建筑消耗和buff配置索引'!$M:$M,0))=0,"",INDEX('#建筑消耗和buff配置索引'!BS:BS,MATCH($F467,'#建筑消耗和buff配置索引'!$M:$M,0)))</f>
        <v/>
      </c>
      <c r="BA467" s="133" t="str">
        <f>IF(AZ467="","",INDEX('#建筑消耗和buff配置索引'!BT:BT,MATCH($F467,'#建筑消耗和buff配置索引'!$M:$M,0)))</f>
        <v/>
      </c>
      <c r="BB467" s="133"/>
      <c r="BC467" s="133"/>
      <c r="BD467" s="133" t="str">
        <f>IF(INDEX('#建筑消耗和buff配置索引'!BW:BW,MATCH($F467,'#建筑消耗和buff配置索引'!$M:$M,0))=0,"",INDEX('#建筑消耗和buff配置索引'!BW:BW,MATCH($F467,'#建筑消耗和buff配置索引'!$M:$M,0)))</f>
        <v/>
      </c>
      <c r="BE467" s="133" t="str">
        <f>IF(BD467="","",INDEX('#建筑消耗和buff配置索引'!BX:BX,MATCH($F467,'#建筑消耗和buff配置索引'!$M:$M,0)))</f>
        <v/>
      </c>
      <c r="BF467" s="133"/>
      <c r="BG467" s="133"/>
      <c r="BH467" s="133"/>
      <c r="BI467" s="133">
        <v>8</v>
      </c>
      <c r="BJ467" s="133"/>
      <c r="BO467" s="133">
        <v>4</v>
      </c>
      <c r="BP467" s="140" t="s">
        <v>1360</v>
      </c>
      <c r="BQ467" s="140">
        <v>10003603</v>
      </c>
      <c r="BR467" s="140">
        <v>300</v>
      </c>
    </row>
    <row r="468" spans="1:70">
      <c r="A468" s="133">
        <v>2340013</v>
      </c>
      <c r="B468" s="133">
        <v>465</v>
      </c>
      <c r="C468" s="133">
        <v>234</v>
      </c>
      <c r="D468" s="133" t="s">
        <v>271</v>
      </c>
      <c r="E468" s="133">
        <v>13</v>
      </c>
      <c r="F468" s="133" t="str">
        <f t="shared" si="8"/>
        <v>金矿场13</v>
      </c>
      <c r="G468" s="133"/>
      <c r="H468" s="146"/>
      <c r="I468" s="133">
        <v>2</v>
      </c>
      <c r="J468" s="150">
        <f>INDEX('#建筑消耗和buff配置索引'!AH:AH,MATCH($F468,'#建筑消耗和buff配置索引'!$M:$M,0))</f>
        <v>5760</v>
      </c>
      <c r="K468" s="150">
        <f>INDEX('#建筑消耗和buff配置索引'!AA:AA,MATCH($F468,'#建筑消耗和buff配置索引'!$M:$M,0))</f>
        <v>110000</v>
      </c>
      <c r="L468" s="150">
        <f>INDEX('#建筑消耗和buff配置索引'!AB:AB,MATCH($F468,'#建筑消耗和buff配置索引'!$M:$M,0))</f>
        <v>110000</v>
      </c>
      <c r="M468" s="150">
        <f>INDEX('#建筑消耗和buff配置索引'!AC:AC,MATCH($F468,'#建筑消耗和buff配置索引'!$M:$M,0))</f>
        <v>110000</v>
      </c>
      <c r="N468" s="150">
        <f>INDEX('#建筑消耗和buff配置索引'!AD:AD,MATCH($F468,'#建筑消耗和buff配置索引'!$M:$M,0))</f>
        <v>0</v>
      </c>
      <c r="O468" s="150" t="str">
        <f>IF(INDEX('#建筑消耗和buff配置索引'!T:T,MATCH($F468,'#建筑消耗和buff配置索引'!$M:$M,0))=0,"",INDEX('#建筑消耗和buff配置索引'!T:T,MATCH($F468,'#建筑消耗和buff配置索引'!$M:$M,0)))</f>
        <v/>
      </c>
      <c r="P468" s="133" t="str">
        <f>IF(INDEX('#建筑消耗和buff配置索引'!U:U,MATCH($F468,'#建筑消耗和buff配置索引'!$M:$M,0))=0,"",INDEX('#建筑消耗和buff配置索引'!U:U,MATCH($F468,'#建筑消耗和buff配置索引'!$M:$M,0)))</f>
        <v/>
      </c>
      <c r="Q468" s="133" t="str">
        <f>IF(INDEX('#建筑消耗和buff配置索引'!K:K,MATCH($F468,'#建筑消耗和buff配置索引'!$M:$M,0))=0,"",INDEX('#建筑消耗和buff配置索引'!K:K,MATCH($F468,'#建筑消耗和buff配置索引'!$M:$M,0)))</f>
        <v>201</v>
      </c>
      <c r="R468" s="133" t="str">
        <f>IF(INDEX('#建筑消耗和buff配置索引'!L:L,MATCH($F468,'#建筑消耗和buff配置索引'!$M:$M,0))=0,"",INDEX('#建筑消耗和buff配置索引'!L:L,MATCH($F468,'#建筑消耗和buff配置索引'!$M:$M,0)))</f>
        <v>13</v>
      </c>
      <c r="S468" s="133">
        <f>IF(INDEX('#建筑消耗和buff配置索引'!C:C,MATCH(F468,'#建筑消耗和buff配置索引'!M:M,0))=0,1,INDEX('#建筑消耗和buff配置索引'!C:C,MATCH(F468,'#建筑消耗和buff配置索引'!M:M,0)))</f>
        <v>3</v>
      </c>
      <c r="T468" s="133">
        <v>0</v>
      </c>
      <c r="U468" s="133">
        <v>0</v>
      </c>
      <c r="V468" s="133" t="str">
        <f>IF(E468=1,IF(INDEX('#建筑消耗和buff配置索引'!BY:BY,MATCH(D468,'#建筑消耗和buff配置索引'!A:A,0))=0,"",INDEX('#建筑消耗和buff配置索引'!BY:BY,MATCH(D468,'#建筑消耗和buff配置索引'!A:A,0))),"")</f>
        <v/>
      </c>
      <c r="W468" s="133" t="str">
        <f>IF(E468=1,IF(INDEX('#建筑消耗和buff配置索引'!BZ:BZ,MATCH(D468,'#建筑消耗和buff配置索引'!A:A,0))=0,"",INDEX('#建筑消耗和buff配置索引'!BZ:BZ,MATCH(D468,'#建筑消耗和buff配置索引'!A:A,0))),"")</f>
        <v/>
      </c>
      <c r="X468" s="133"/>
      <c r="Y468" s="133"/>
      <c r="Z468" s="133"/>
      <c r="AA468" s="133">
        <f>INDEX('#建筑消耗和buff配置索引'!AO:AO,MATCH($F468,'#建筑消耗和buff配置索引'!$M:$M,0))</f>
        <v>2111</v>
      </c>
      <c r="AB468" s="133">
        <f>IF(INDEX('#建筑消耗和buff配置索引'!AR:AR,MATCH($F468,'#建筑消耗和buff配置索引'!$M:$M,0))=0,"",INDEX('#建筑消耗和buff配置索引'!AR:AR,MATCH($F468,'#建筑消耗和buff配置索引'!$M:$M,0)))</f>
        <v>1019</v>
      </c>
      <c r="AC468" s="133">
        <f>IF(AB468="","",INDEX('#建筑消耗和buff配置索引'!AS:AS,MATCH($F468,'#建筑消耗和buff配置索引'!$M:$M,0)))</f>
        <v>4600</v>
      </c>
      <c r="AD468" s="133"/>
      <c r="AE468" s="133"/>
      <c r="AF468" s="133" t="str">
        <f>IF(INDEX('#建筑消耗和buff配置索引'!AW:AW,MATCH($F468,'#建筑消耗和buff配置索引'!$M:$M,0))=0,"",INDEX('#建筑消耗和buff配置索引'!AW:AW,MATCH($F468,'#建筑消耗和buff配置索引'!$M:$M,0)))</f>
        <v/>
      </c>
      <c r="AG468" s="133" t="str">
        <f>IF(AF468="","",INDEX('#建筑消耗和buff配置索引'!AX:AX,MATCH($F468,'#建筑消耗和buff配置索引'!$M:$M,0)))</f>
        <v/>
      </c>
      <c r="AH468" s="133"/>
      <c r="AI468" s="133"/>
      <c r="AJ468" s="133" t="str">
        <f>IF(INDEX('#建筑消耗和buff配置索引'!BB:BB,MATCH($F468,'#建筑消耗和buff配置索引'!$M:$M,0))=0,"",INDEX('#建筑消耗和buff配置索引'!BB:BB,MATCH($F468,'#建筑消耗和buff配置索引'!$M:$M,0)))</f>
        <v/>
      </c>
      <c r="AK468" s="133" t="str">
        <f>IF(AJ468="","",INDEX('#建筑消耗和buff配置索引'!BC:BC,MATCH($F468,'#建筑消耗和buff配置索引'!$M:$M,0)))</f>
        <v/>
      </c>
      <c r="AL468" s="133"/>
      <c r="AM468" s="133"/>
      <c r="AN468" s="133" t="str">
        <f>IF(INDEX('#建筑消耗和buff配置索引'!BG:BG,MATCH($F468,'#建筑消耗和buff配置索引'!$M:$M,0))=0,"",INDEX('#建筑消耗和buff配置索引'!BG:BG,MATCH($F468,'#建筑消耗和buff配置索引'!$M:$M,0)))</f>
        <v/>
      </c>
      <c r="AO468" s="133" t="str">
        <f>IF(AN468="","",INDEX('#建筑消耗和buff配置索引'!BH:BH,MATCH($F468,'#建筑消耗和buff配置索引'!$M:$M,0)))</f>
        <v/>
      </c>
      <c r="AP468" s="133"/>
      <c r="AQ468" s="133"/>
      <c r="AR468" s="133" t="str">
        <f>IF(INDEX('#建筑消耗和buff配置索引'!BK:BK,MATCH($F468,'#建筑消耗和buff配置索引'!$M:$M,0))=0,"",INDEX('#建筑消耗和buff配置索引'!BK:BK,MATCH($F468,'#建筑消耗和buff配置索引'!$M:$M,0)))</f>
        <v/>
      </c>
      <c r="AS468" s="133" t="str">
        <f>IF(AR468="","",INDEX('#建筑消耗和buff配置索引'!BL:BL,MATCH($F468,'#建筑消耗和buff配置索引'!$M:$M,0)))</f>
        <v/>
      </c>
      <c r="AT468" s="133"/>
      <c r="AU468" s="133"/>
      <c r="AV468" s="133" t="str">
        <f>IF(INDEX('#建筑消耗和buff配置索引'!BO:BO,MATCH($F468,'#建筑消耗和buff配置索引'!$M:$M,0))=0,"",INDEX('#建筑消耗和buff配置索引'!BO:BO,MATCH($F468,'#建筑消耗和buff配置索引'!$M:$M,0)))</f>
        <v/>
      </c>
      <c r="AW468" s="133" t="str">
        <f>IF(AV468="","",INDEX('#建筑消耗和buff配置索引'!BP:BP,MATCH($F468,'#建筑消耗和buff配置索引'!$M:$M,0)))</f>
        <v/>
      </c>
      <c r="AX468" s="133"/>
      <c r="AY468" s="133"/>
      <c r="AZ468" s="133" t="str">
        <f>IF(INDEX('#建筑消耗和buff配置索引'!BS:BS,MATCH($F468,'#建筑消耗和buff配置索引'!$M:$M,0))=0,"",INDEX('#建筑消耗和buff配置索引'!BS:BS,MATCH($F468,'#建筑消耗和buff配置索引'!$M:$M,0)))</f>
        <v/>
      </c>
      <c r="BA468" s="133" t="str">
        <f>IF(AZ468="","",INDEX('#建筑消耗和buff配置索引'!BT:BT,MATCH($F468,'#建筑消耗和buff配置索引'!$M:$M,0)))</f>
        <v/>
      </c>
      <c r="BB468" s="133"/>
      <c r="BC468" s="133"/>
      <c r="BD468" s="133" t="str">
        <f>IF(INDEX('#建筑消耗和buff配置索引'!BW:BW,MATCH($F468,'#建筑消耗和buff配置索引'!$M:$M,0))=0,"",INDEX('#建筑消耗和buff配置索引'!BW:BW,MATCH($F468,'#建筑消耗和buff配置索引'!$M:$M,0)))</f>
        <v/>
      </c>
      <c r="BE468" s="133" t="str">
        <f>IF(BD468="","",INDEX('#建筑消耗和buff配置索引'!BX:BX,MATCH($F468,'#建筑消耗和buff配置索引'!$M:$M,0)))</f>
        <v/>
      </c>
      <c r="BF468" s="133"/>
      <c r="BG468" s="133"/>
      <c r="BH468" s="133"/>
      <c r="BI468" s="133">
        <v>8</v>
      </c>
      <c r="BJ468" s="133"/>
      <c r="BO468" s="133">
        <v>4</v>
      </c>
      <c r="BP468" s="140" t="s">
        <v>1360</v>
      </c>
      <c r="BQ468" s="140">
        <v>10003603</v>
      </c>
      <c r="BR468" s="140">
        <v>300</v>
      </c>
    </row>
    <row r="469" spans="1:70">
      <c r="A469" s="133">
        <v>2340014</v>
      </c>
      <c r="B469" s="133">
        <v>466</v>
      </c>
      <c r="C469" s="133">
        <v>234</v>
      </c>
      <c r="D469" s="133" t="s">
        <v>271</v>
      </c>
      <c r="E469" s="133">
        <v>14</v>
      </c>
      <c r="F469" s="133" t="str">
        <f t="shared" si="8"/>
        <v>金矿场14</v>
      </c>
      <c r="G469" s="133"/>
      <c r="H469" s="146"/>
      <c r="I469" s="133">
        <v>2</v>
      </c>
      <c r="J469" s="150">
        <f>INDEX('#建筑消耗和buff配置索引'!AH:AH,MATCH($F469,'#建筑消耗和buff配置索引'!$M:$M,0))</f>
        <v>7200</v>
      </c>
      <c r="K469" s="150">
        <f>INDEX('#建筑消耗和buff配置索引'!AA:AA,MATCH($F469,'#建筑消耗和buff配置索引'!$M:$M,0))</f>
        <v>150000</v>
      </c>
      <c r="L469" s="150">
        <f>INDEX('#建筑消耗和buff配置索引'!AB:AB,MATCH($F469,'#建筑消耗和buff配置索引'!$M:$M,0))</f>
        <v>150000</v>
      </c>
      <c r="M469" s="150">
        <f>INDEX('#建筑消耗和buff配置索引'!AC:AC,MATCH($F469,'#建筑消耗和buff配置索引'!$M:$M,0))</f>
        <v>150000</v>
      </c>
      <c r="N469" s="150">
        <f>INDEX('#建筑消耗和buff配置索引'!AD:AD,MATCH($F469,'#建筑消耗和buff配置索引'!$M:$M,0))</f>
        <v>0</v>
      </c>
      <c r="O469" s="150" t="str">
        <f>IF(INDEX('#建筑消耗和buff配置索引'!T:T,MATCH($F469,'#建筑消耗和buff配置索引'!$M:$M,0))=0,"",INDEX('#建筑消耗和buff配置索引'!T:T,MATCH($F469,'#建筑消耗和buff配置索引'!$M:$M,0)))</f>
        <v/>
      </c>
      <c r="P469" s="133" t="str">
        <f>IF(INDEX('#建筑消耗和buff配置索引'!U:U,MATCH($F469,'#建筑消耗和buff配置索引'!$M:$M,0))=0,"",INDEX('#建筑消耗和buff配置索引'!U:U,MATCH($F469,'#建筑消耗和buff配置索引'!$M:$M,0)))</f>
        <v/>
      </c>
      <c r="Q469" s="133" t="str">
        <f>IF(INDEX('#建筑消耗和buff配置索引'!K:K,MATCH($F469,'#建筑消耗和buff配置索引'!$M:$M,0))=0,"",INDEX('#建筑消耗和buff配置索引'!K:K,MATCH($F469,'#建筑消耗和buff配置索引'!$M:$M,0)))</f>
        <v>201</v>
      </c>
      <c r="R469" s="133" t="str">
        <f>IF(INDEX('#建筑消耗和buff配置索引'!L:L,MATCH($F469,'#建筑消耗和buff配置索引'!$M:$M,0))=0,"",INDEX('#建筑消耗和buff配置索引'!L:L,MATCH($F469,'#建筑消耗和buff配置索引'!$M:$M,0)))</f>
        <v>14</v>
      </c>
      <c r="S469" s="133">
        <f>IF(INDEX('#建筑消耗和buff配置索引'!C:C,MATCH(F469,'#建筑消耗和buff配置索引'!M:M,0))=0,1,INDEX('#建筑消耗和buff配置索引'!C:C,MATCH(F469,'#建筑消耗和buff配置索引'!M:M,0)))</f>
        <v>3</v>
      </c>
      <c r="T469" s="133">
        <v>0</v>
      </c>
      <c r="U469" s="133">
        <v>0</v>
      </c>
      <c r="V469" s="133" t="str">
        <f>IF(E469=1,IF(INDEX('#建筑消耗和buff配置索引'!BY:BY,MATCH(D469,'#建筑消耗和buff配置索引'!A:A,0))=0,"",INDEX('#建筑消耗和buff配置索引'!BY:BY,MATCH(D469,'#建筑消耗和buff配置索引'!A:A,0))),"")</f>
        <v/>
      </c>
      <c r="W469" s="133" t="str">
        <f>IF(E469=1,IF(INDEX('#建筑消耗和buff配置索引'!BZ:BZ,MATCH(D469,'#建筑消耗和buff配置索引'!A:A,0))=0,"",INDEX('#建筑消耗和buff配置索引'!BZ:BZ,MATCH(D469,'#建筑消耗和buff配置索引'!A:A,0))),"")</f>
        <v/>
      </c>
      <c r="X469" s="133"/>
      <c r="Y469" s="133"/>
      <c r="Z469" s="133"/>
      <c r="AA469" s="133">
        <f>INDEX('#建筑消耗和buff配置索引'!AO:AO,MATCH($F469,'#建筑消耗和buff配置索引'!$M:$M,0))</f>
        <v>3003</v>
      </c>
      <c r="AB469" s="133">
        <f>IF(INDEX('#建筑消耗和buff配置索引'!AR:AR,MATCH($F469,'#建筑消耗和buff配置索引'!$M:$M,0))=0,"",INDEX('#建筑消耗和buff配置索引'!AR:AR,MATCH($F469,'#建筑消耗和buff配置索引'!$M:$M,0)))</f>
        <v>1019</v>
      </c>
      <c r="AC469" s="133">
        <f>IF(AB469="","",INDEX('#建筑消耗和buff配置索引'!AS:AS,MATCH($F469,'#建筑消耗和buff配置索引'!$M:$M,0)))</f>
        <v>5100</v>
      </c>
      <c r="AD469" s="133"/>
      <c r="AE469" s="133"/>
      <c r="AF469" s="133" t="str">
        <f>IF(INDEX('#建筑消耗和buff配置索引'!AW:AW,MATCH($F469,'#建筑消耗和buff配置索引'!$M:$M,0))=0,"",INDEX('#建筑消耗和buff配置索引'!AW:AW,MATCH($F469,'#建筑消耗和buff配置索引'!$M:$M,0)))</f>
        <v/>
      </c>
      <c r="AG469" s="133" t="str">
        <f>IF(AF469="","",INDEX('#建筑消耗和buff配置索引'!AX:AX,MATCH($F469,'#建筑消耗和buff配置索引'!$M:$M,0)))</f>
        <v/>
      </c>
      <c r="AH469" s="133"/>
      <c r="AI469" s="133"/>
      <c r="AJ469" s="133" t="str">
        <f>IF(INDEX('#建筑消耗和buff配置索引'!BB:BB,MATCH($F469,'#建筑消耗和buff配置索引'!$M:$M,0))=0,"",INDEX('#建筑消耗和buff配置索引'!BB:BB,MATCH($F469,'#建筑消耗和buff配置索引'!$M:$M,0)))</f>
        <v/>
      </c>
      <c r="AK469" s="133" t="str">
        <f>IF(AJ469="","",INDEX('#建筑消耗和buff配置索引'!BC:BC,MATCH($F469,'#建筑消耗和buff配置索引'!$M:$M,0)))</f>
        <v/>
      </c>
      <c r="AL469" s="133"/>
      <c r="AM469" s="133"/>
      <c r="AN469" s="133" t="str">
        <f>IF(INDEX('#建筑消耗和buff配置索引'!BG:BG,MATCH($F469,'#建筑消耗和buff配置索引'!$M:$M,0))=0,"",INDEX('#建筑消耗和buff配置索引'!BG:BG,MATCH($F469,'#建筑消耗和buff配置索引'!$M:$M,0)))</f>
        <v/>
      </c>
      <c r="AO469" s="133" t="str">
        <f>IF(AN469="","",INDEX('#建筑消耗和buff配置索引'!BH:BH,MATCH($F469,'#建筑消耗和buff配置索引'!$M:$M,0)))</f>
        <v/>
      </c>
      <c r="AP469" s="133"/>
      <c r="AQ469" s="133"/>
      <c r="AR469" s="133" t="str">
        <f>IF(INDEX('#建筑消耗和buff配置索引'!BK:BK,MATCH($F469,'#建筑消耗和buff配置索引'!$M:$M,0))=0,"",INDEX('#建筑消耗和buff配置索引'!BK:BK,MATCH($F469,'#建筑消耗和buff配置索引'!$M:$M,0)))</f>
        <v/>
      </c>
      <c r="AS469" s="133" t="str">
        <f>IF(AR469="","",INDEX('#建筑消耗和buff配置索引'!BL:BL,MATCH($F469,'#建筑消耗和buff配置索引'!$M:$M,0)))</f>
        <v/>
      </c>
      <c r="AT469" s="133"/>
      <c r="AU469" s="133"/>
      <c r="AV469" s="133" t="str">
        <f>IF(INDEX('#建筑消耗和buff配置索引'!BO:BO,MATCH($F469,'#建筑消耗和buff配置索引'!$M:$M,0))=0,"",INDEX('#建筑消耗和buff配置索引'!BO:BO,MATCH($F469,'#建筑消耗和buff配置索引'!$M:$M,0)))</f>
        <v/>
      </c>
      <c r="AW469" s="133" t="str">
        <f>IF(AV469="","",INDEX('#建筑消耗和buff配置索引'!BP:BP,MATCH($F469,'#建筑消耗和buff配置索引'!$M:$M,0)))</f>
        <v/>
      </c>
      <c r="AX469" s="133"/>
      <c r="AY469" s="133"/>
      <c r="AZ469" s="133" t="str">
        <f>IF(INDEX('#建筑消耗和buff配置索引'!BS:BS,MATCH($F469,'#建筑消耗和buff配置索引'!$M:$M,0))=0,"",INDEX('#建筑消耗和buff配置索引'!BS:BS,MATCH($F469,'#建筑消耗和buff配置索引'!$M:$M,0)))</f>
        <v/>
      </c>
      <c r="BA469" s="133" t="str">
        <f>IF(AZ469="","",INDEX('#建筑消耗和buff配置索引'!BT:BT,MATCH($F469,'#建筑消耗和buff配置索引'!$M:$M,0)))</f>
        <v/>
      </c>
      <c r="BB469" s="133"/>
      <c r="BC469" s="133"/>
      <c r="BD469" s="133" t="str">
        <f>IF(INDEX('#建筑消耗和buff配置索引'!BW:BW,MATCH($F469,'#建筑消耗和buff配置索引'!$M:$M,0))=0,"",INDEX('#建筑消耗和buff配置索引'!BW:BW,MATCH($F469,'#建筑消耗和buff配置索引'!$M:$M,0)))</f>
        <v/>
      </c>
      <c r="BE469" s="133" t="str">
        <f>IF(BD469="","",INDEX('#建筑消耗和buff配置索引'!BX:BX,MATCH($F469,'#建筑消耗和buff配置索引'!$M:$M,0)))</f>
        <v/>
      </c>
      <c r="BF469" s="133"/>
      <c r="BG469" s="133"/>
      <c r="BH469" s="133"/>
      <c r="BI469" s="133">
        <v>8</v>
      </c>
      <c r="BJ469" s="133"/>
      <c r="BO469" s="133">
        <v>4</v>
      </c>
      <c r="BP469" s="140" t="s">
        <v>1360</v>
      </c>
      <c r="BQ469" s="140">
        <v>10003603</v>
      </c>
      <c r="BR469" s="140">
        <v>300</v>
      </c>
    </row>
    <row r="470" spans="1:70">
      <c r="A470" s="133">
        <v>2340015</v>
      </c>
      <c r="B470" s="133">
        <v>467</v>
      </c>
      <c r="C470" s="133">
        <v>234</v>
      </c>
      <c r="D470" s="133" t="s">
        <v>271</v>
      </c>
      <c r="E470" s="133">
        <v>15</v>
      </c>
      <c r="F470" s="133" t="str">
        <f t="shared" si="8"/>
        <v>金矿场15</v>
      </c>
      <c r="G470" s="133"/>
      <c r="H470" s="146"/>
      <c r="I470" s="133">
        <v>2</v>
      </c>
      <c r="J470" s="150">
        <f>INDEX('#建筑消耗和buff配置索引'!AH:AH,MATCH($F470,'#建筑消耗和buff配置索引'!$M:$M,0))</f>
        <v>8640</v>
      </c>
      <c r="K470" s="150">
        <f>INDEX('#建筑消耗和buff配置索引'!AA:AA,MATCH($F470,'#建筑消耗和buff配置索引'!$M:$M,0))</f>
        <v>190000</v>
      </c>
      <c r="L470" s="150">
        <f>INDEX('#建筑消耗和buff配置索引'!AB:AB,MATCH($F470,'#建筑消耗和buff配置索引'!$M:$M,0))</f>
        <v>190000</v>
      </c>
      <c r="M470" s="150">
        <f>INDEX('#建筑消耗和buff配置索引'!AC:AC,MATCH($F470,'#建筑消耗和buff配置索引'!$M:$M,0))</f>
        <v>190000</v>
      </c>
      <c r="N470" s="150">
        <f>INDEX('#建筑消耗和buff配置索引'!AD:AD,MATCH($F470,'#建筑消耗和buff配置索引'!$M:$M,0))</f>
        <v>0</v>
      </c>
      <c r="O470" s="150" t="str">
        <f>IF(INDEX('#建筑消耗和buff配置索引'!T:T,MATCH($F470,'#建筑消耗和buff配置索引'!$M:$M,0))=0,"",INDEX('#建筑消耗和buff配置索引'!T:T,MATCH($F470,'#建筑消耗和buff配置索引'!$M:$M,0)))</f>
        <v/>
      </c>
      <c r="P470" s="133" t="str">
        <f>IF(INDEX('#建筑消耗和buff配置索引'!U:U,MATCH($F470,'#建筑消耗和buff配置索引'!$M:$M,0))=0,"",INDEX('#建筑消耗和buff配置索引'!U:U,MATCH($F470,'#建筑消耗和buff配置索引'!$M:$M,0)))</f>
        <v/>
      </c>
      <c r="Q470" s="133" t="str">
        <f>IF(INDEX('#建筑消耗和buff配置索引'!K:K,MATCH($F470,'#建筑消耗和buff配置索引'!$M:$M,0))=0,"",INDEX('#建筑消耗和buff配置索引'!K:K,MATCH($F470,'#建筑消耗和buff配置索引'!$M:$M,0)))</f>
        <v>201</v>
      </c>
      <c r="R470" s="133" t="str">
        <f>IF(INDEX('#建筑消耗和buff配置索引'!L:L,MATCH($F470,'#建筑消耗和buff配置索引'!$M:$M,0))=0,"",INDEX('#建筑消耗和buff配置索引'!L:L,MATCH($F470,'#建筑消耗和buff配置索引'!$M:$M,0)))</f>
        <v>15</v>
      </c>
      <c r="S470" s="133">
        <f>IF(INDEX('#建筑消耗和buff配置索引'!C:C,MATCH(F470,'#建筑消耗和buff配置索引'!M:M,0))=0,1,INDEX('#建筑消耗和buff配置索引'!C:C,MATCH(F470,'#建筑消耗和buff配置索引'!M:M,0)))</f>
        <v>3</v>
      </c>
      <c r="T470" s="133">
        <v>0</v>
      </c>
      <c r="U470" s="133">
        <v>0</v>
      </c>
      <c r="V470" s="133" t="str">
        <f>IF(E470=1,IF(INDEX('#建筑消耗和buff配置索引'!BY:BY,MATCH(D470,'#建筑消耗和buff配置索引'!A:A,0))=0,"",INDEX('#建筑消耗和buff配置索引'!BY:BY,MATCH(D470,'#建筑消耗和buff配置索引'!A:A,0))),"")</f>
        <v/>
      </c>
      <c r="W470" s="133" t="str">
        <f>IF(E470=1,IF(INDEX('#建筑消耗和buff配置索引'!BZ:BZ,MATCH(D470,'#建筑消耗和buff配置索引'!A:A,0))=0,"",INDEX('#建筑消耗和buff配置索引'!BZ:BZ,MATCH(D470,'#建筑消耗和buff配置索引'!A:A,0))),"")</f>
        <v/>
      </c>
      <c r="X470" s="133"/>
      <c r="Y470" s="133"/>
      <c r="Z470" s="133"/>
      <c r="AA470" s="133">
        <f>INDEX('#建筑消耗和buff配置索引'!AO:AO,MATCH($F470,'#建筑消耗和buff配置索引'!$M:$M,0))</f>
        <v>4146</v>
      </c>
      <c r="AB470" s="133">
        <f>IF(INDEX('#建筑消耗和buff配置索引'!AR:AR,MATCH($F470,'#建筑消耗和buff配置索引'!$M:$M,0))=0,"",INDEX('#建筑消耗和buff配置索引'!AR:AR,MATCH($F470,'#建筑消耗和buff配置索引'!$M:$M,0)))</f>
        <v>1019</v>
      </c>
      <c r="AC470" s="133">
        <f>IF(AB470="","",INDEX('#建筑消耗和buff配置索引'!AS:AS,MATCH($F470,'#建筑消耗和buff配置索引'!$M:$M,0)))</f>
        <v>5600</v>
      </c>
      <c r="AD470" s="133"/>
      <c r="AE470" s="133"/>
      <c r="AF470" s="133" t="str">
        <f>IF(INDEX('#建筑消耗和buff配置索引'!AW:AW,MATCH($F470,'#建筑消耗和buff配置索引'!$M:$M,0))=0,"",INDEX('#建筑消耗和buff配置索引'!AW:AW,MATCH($F470,'#建筑消耗和buff配置索引'!$M:$M,0)))</f>
        <v/>
      </c>
      <c r="AG470" s="133" t="str">
        <f>IF(AF470="","",INDEX('#建筑消耗和buff配置索引'!AX:AX,MATCH($F470,'#建筑消耗和buff配置索引'!$M:$M,0)))</f>
        <v/>
      </c>
      <c r="AH470" s="133"/>
      <c r="AI470" s="133"/>
      <c r="AJ470" s="133" t="str">
        <f>IF(INDEX('#建筑消耗和buff配置索引'!BB:BB,MATCH($F470,'#建筑消耗和buff配置索引'!$M:$M,0))=0,"",INDEX('#建筑消耗和buff配置索引'!BB:BB,MATCH($F470,'#建筑消耗和buff配置索引'!$M:$M,0)))</f>
        <v/>
      </c>
      <c r="AK470" s="133" t="str">
        <f>IF(AJ470="","",INDEX('#建筑消耗和buff配置索引'!BC:BC,MATCH($F470,'#建筑消耗和buff配置索引'!$M:$M,0)))</f>
        <v/>
      </c>
      <c r="AL470" s="133"/>
      <c r="AM470" s="133"/>
      <c r="AN470" s="133" t="str">
        <f>IF(INDEX('#建筑消耗和buff配置索引'!BG:BG,MATCH($F470,'#建筑消耗和buff配置索引'!$M:$M,0))=0,"",INDEX('#建筑消耗和buff配置索引'!BG:BG,MATCH($F470,'#建筑消耗和buff配置索引'!$M:$M,0)))</f>
        <v/>
      </c>
      <c r="AO470" s="133" t="str">
        <f>IF(AN470="","",INDEX('#建筑消耗和buff配置索引'!BH:BH,MATCH($F470,'#建筑消耗和buff配置索引'!$M:$M,0)))</f>
        <v/>
      </c>
      <c r="AP470" s="133"/>
      <c r="AQ470" s="133"/>
      <c r="AR470" s="133" t="str">
        <f>IF(INDEX('#建筑消耗和buff配置索引'!BK:BK,MATCH($F470,'#建筑消耗和buff配置索引'!$M:$M,0))=0,"",INDEX('#建筑消耗和buff配置索引'!BK:BK,MATCH($F470,'#建筑消耗和buff配置索引'!$M:$M,0)))</f>
        <v/>
      </c>
      <c r="AS470" s="133" t="str">
        <f>IF(AR470="","",INDEX('#建筑消耗和buff配置索引'!BL:BL,MATCH($F470,'#建筑消耗和buff配置索引'!$M:$M,0)))</f>
        <v/>
      </c>
      <c r="AT470" s="133"/>
      <c r="AU470" s="133"/>
      <c r="AV470" s="133" t="str">
        <f>IF(INDEX('#建筑消耗和buff配置索引'!BO:BO,MATCH($F470,'#建筑消耗和buff配置索引'!$M:$M,0))=0,"",INDEX('#建筑消耗和buff配置索引'!BO:BO,MATCH($F470,'#建筑消耗和buff配置索引'!$M:$M,0)))</f>
        <v/>
      </c>
      <c r="AW470" s="133" t="str">
        <f>IF(AV470="","",INDEX('#建筑消耗和buff配置索引'!BP:BP,MATCH($F470,'#建筑消耗和buff配置索引'!$M:$M,0)))</f>
        <v/>
      </c>
      <c r="AX470" s="133"/>
      <c r="AY470" s="133"/>
      <c r="AZ470" s="133" t="str">
        <f>IF(INDEX('#建筑消耗和buff配置索引'!BS:BS,MATCH($F470,'#建筑消耗和buff配置索引'!$M:$M,0))=0,"",INDEX('#建筑消耗和buff配置索引'!BS:BS,MATCH($F470,'#建筑消耗和buff配置索引'!$M:$M,0)))</f>
        <v/>
      </c>
      <c r="BA470" s="133" t="str">
        <f>IF(AZ470="","",INDEX('#建筑消耗和buff配置索引'!BT:BT,MATCH($F470,'#建筑消耗和buff配置索引'!$M:$M,0)))</f>
        <v/>
      </c>
      <c r="BB470" s="133"/>
      <c r="BC470" s="133"/>
      <c r="BD470" s="133" t="str">
        <f>IF(INDEX('#建筑消耗和buff配置索引'!BW:BW,MATCH($F470,'#建筑消耗和buff配置索引'!$M:$M,0))=0,"",INDEX('#建筑消耗和buff配置索引'!BW:BW,MATCH($F470,'#建筑消耗和buff配置索引'!$M:$M,0)))</f>
        <v/>
      </c>
      <c r="BE470" s="133" t="str">
        <f>IF(BD470="","",INDEX('#建筑消耗和buff配置索引'!BX:BX,MATCH($F470,'#建筑消耗和buff配置索引'!$M:$M,0)))</f>
        <v/>
      </c>
      <c r="BF470" s="133"/>
      <c r="BG470" s="133"/>
      <c r="BH470" s="133"/>
      <c r="BI470" s="133">
        <v>8</v>
      </c>
      <c r="BJ470" s="133"/>
      <c r="BO470" s="133">
        <v>4</v>
      </c>
      <c r="BP470" s="140" t="s">
        <v>1360</v>
      </c>
      <c r="BQ470" s="140">
        <v>10003603</v>
      </c>
      <c r="BR470" s="140">
        <v>300</v>
      </c>
    </row>
    <row r="471" spans="1:70">
      <c r="A471" s="133">
        <v>2340016</v>
      </c>
      <c r="B471" s="133">
        <v>468</v>
      </c>
      <c r="C471" s="133">
        <v>234</v>
      </c>
      <c r="D471" s="133" t="s">
        <v>271</v>
      </c>
      <c r="E471" s="133">
        <v>16</v>
      </c>
      <c r="F471" s="133" t="str">
        <f t="shared" si="8"/>
        <v>金矿场16</v>
      </c>
      <c r="G471" s="133"/>
      <c r="H471" s="146"/>
      <c r="I471" s="133">
        <v>2</v>
      </c>
      <c r="J471" s="150">
        <f>INDEX('#建筑消耗和buff配置索引'!AH:AH,MATCH($F471,'#建筑消耗和buff配置索引'!$M:$M,0))</f>
        <v>10800</v>
      </c>
      <c r="K471" s="150">
        <f>INDEX('#建筑消耗和buff配置索引'!AA:AA,MATCH($F471,'#建筑消耗和buff配置索引'!$M:$M,0))</f>
        <v>240000</v>
      </c>
      <c r="L471" s="150">
        <f>INDEX('#建筑消耗和buff配置索引'!AB:AB,MATCH($F471,'#建筑消耗和buff配置索引'!$M:$M,0))</f>
        <v>240000</v>
      </c>
      <c r="M471" s="150">
        <f>INDEX('#建筑消耗和buff配置索引'!AC:AC,MATCH($F471,'#建筑消耗和buff配置索引'!$M:$M,0))</f>
        <v>240000</v>
      </c>
      <c r="N471" s="150">
        <f>INDEX('#建筑消耗和buff配置索引'!AD:AD,MATCH($F471,'#建筑消耗和buff配置索引'!$M:$M,0))</f>
        <v>0</v>
      </c>
      <c r="O471" s="150" t="str">
        <f>IF(INDEX('#建筑消耗和buff配置索引'!T:T,MATCH($F471,'#建筑消耗和buff配置索引'!$M:$M,0))=0,"",INDEX('#建筑消耗和buff配置索引'!T:T,MATCH($F471,'#建筑消耗和buff配置索引'!$M:$M,0)))</f>
        <v/>
      </c>
      <c r="P471" s="133" t="str">
        <f>IF(INDEX('#建筑消耗和buff配置索引'!U:U,MATCH($F471,'#建筑消耗和buff配置索引'!$M:$M,0))=0,"",INDEX('#建筑消耗和buff配置索引'!U:U,MATCH($F471,'#建筑消耗和buff配置索引'!$M:$M,0)))</f>
        <v/>
      </c>
      <c r="Q471" s="133" t="str">
        <f>IF(INDEX('#建筑消耗和buff配置索引'!K:K,MATCH($F471,'#建筑消耗和buff配置索引'!$M:$M,0))=0,"",INDEX('#建筑消耗和buff配置索引'!K:K,MATCH($F471,'#建筑消耗和buff配置索引'!$M:$M,0)))</f>
        <v>201</v>
      </c>
      <c r="R471" s="133" t="str">
        <f>IF(INDEX('#建筑消耗和buff配置索引'!L:L,MATCH($F471,'#建筑消耗和buff配置索引'!$M:$M,0))=0,"",INDEX('#建筑消耗和buff配置索引'!L:L,MATCH($F471,'#建筑消耗和buff配置索引'!$M:$M,0)))</f>
        <v>16</v>
      </c>
      <c r="S471" s="133">
        <f>IF(INDEX('#建筑消耗和buff配置索引'!C:C,MATCH(F471,'#建筑消耗和buff配置索引'!M:M,0))=0,1,INDEX('#建筑消耗和buff配置索引'!C:C,MATCH(F471,'#建筑消耗和buff配置索引'!M:M,0)))</f>
        <v>3</v>
      </c>
      <c r="T471" s="133">
        <v>0</v>
      </c>
      <c r="U471" s="133">
        <v>0</v>
      </c>
      <c r="V471" s="133" t="str">
        <f>IF(E471=1,IF(INDEX('#建筑消耗和buff配置索引'!BY:BY,MATCH(D471,'#建筑消耗和buff配置索引'!A:A,0))=0,"",INDEX('#建筑消耗和buff配置索引'!BY:BY,MATCH(D471,'#建筑消耗和buff配置索引'!A:A,0))),"")</f>
        <v/>
      </c>
      <c r="W471" s="133" t="str">
        <f>IF(E471=1,IF(INDEX('#建筑消耗和buff配置索引'!BZ:BZ,MATCH(D471,'#建筑消耗和buff配置索引'!A:A,0))=0,"",INDEX('#建筑消耗和buff配置索引'!BZ:BZ,MATCH(D471,'#建筑消耗和buff配置索引'!A:A,0))),"")</f>
        <v/>
      </c>
      <c r="X471" s="133"/>
      <c r="Y471" s="133"/>
      <c r="Z471" s="133"/>
      <c r="AA471" s="133">
        <f>INDEX('#建筑消耗和buff配置索引'!AO:AO,MATCH($F471,'#建筑消耗和buff配置索引'!$M:$M,0))</f>
        <v>5609</v>
      </c>
      <c r="AB471" s="133">
        <f>IF(INDEX('#建筑消耗和buff配置索引'!AR:AR,MATCH($F471,'#建筑消耗和buff配置索引'!$M:$M,0))=0,"",INDEX('#建筑消耗和buff配置索引'!AR:AR,MATCH($F471,'#建筑消耗和buff配置索引'!$M:$M,0)))</f>
        <v>1019</v>
      </c>
      <c r="AC471" s="133">
        <f>IF(AB471="","",INDEX('#建筑消耗和buff配置索引'!AS:AS,MATCH($F471,'#建筑消耗和buff配置索引'!$M:$M,0)))</f>
        <v>6250</v>
      </c>
      <c r="AD471" s="133"/>
      <c r="AE471" s="133"/>
      <c r="AF471" s="133" t="str">
        <f>IF(INDEX('#建筑消耗和buff配置索引'!AW:AW,MATCH($F471,'#建筑消耗和buff配置索引'!$M:$M,0))=0,"",INDEX('#建筑消耗和buff配置索引'!AW:AW,MATCH($F471,'#建筑消耗和buff配置索引'!$M:$M,0)))</f>
        <v/>
      </c>
      <c r="AG471" s="133" t="str">
        <f>IF(AF471="","",INDEX('#建筑消耗和buff配置索引'!AX:AX,MATCH($F471,'#建筑消耗和buff配置索引'!$M:$M,0)))</f>
        <v/>
      </c>
      <c r="AH471" s="133"/>
      <c r="AI471" s="133"/>
      <c r="AJ471" s="133" t="str">
        <f>IF(INDEX('#建筑消耗和buff配置索引'!BB:BB,MATCH($F471,'#建筑消耗和buff配置索引'!$M:$M,0))=0,"",INDEX('#建筑消耗和buff配置索引'!BB:BB,MATCH($F471,'#建筑消耗和buff配置索引'!$M:$M,0)))</f>
        <v/>
      </c>
      <c r="AK471" s="133" t="str">
        <f>IF(AJ471="","",INDEX('#建筑消耗和buff配置索引'!BC:BC,MATCH($F471,'#建筑消耗和buff配置索引'!$M:$M,0)))</f>
        <v/>
      </c>
      <c r="AL471" s="133"/>
      <c r="AM471" s="133"/>
      <c r="AN471" s="133" t="str">
        <f>IF(INDEX('#建筑消耗和buff配置索引'!BG:BG,MATCH($F471,'#建筑消耗和buff配置索引'!$M:$M,0))=0,"",INDEX('#建筑消耗和buff配置索引'!BG:BG,MATCH($F471,'#建筑消耗和buff配置索引'!$M:$M,0)))</f>
        <v/>
      </c>
      <c r="AO471" s="133" t="str">
        <f>IF(AN471="","",INDEX('#建筑消耗和buff配置索引'!BH:BH,MATCH($F471,'#建筑消耗和buff配置索引'!$M:$M,0)))</f>
        <v/>
      </c>
      <c r="AP471" s="133"/>
      <c r="AQ471" s="133"/>
      <c r="AR471" s="133" t="str">
        <f>IF(INDEX('#建筑消耗和buff配置索引'!BK:BK,MATCH($F471,'#建筑消耗和buff配置索引'!$M:$M,0))=0,"",INDEX('#建筑消耗和buff配置索引'!BK:BK,MATCH($F471,'#建筑消耗和buff配置索引'!$M:$M,0)))</f>
        <v/>
      </c>
      <c r="AS471" s="133" t="str">
        <f>IF(AR471="","",INDEX('#建筑消耗和buff配置索引'!BL:BL,MATCH($F471,'#建筑消耗和buff配置索引'!$M:$M,0)))</f>
        <v/>
      </c>
      <c r="AT471" s="133"/>
      <c r="AU471" s="133"/>
      <c r="AV471" s="133" t="str">
        <f>IF(INDEX('#建筑消耗和buff配置索引'!BO:BO,MATCH($F471,'#建筑消耗和buff配置索引'!$M:$M,0))=0,"",INDEX('#建筑消耗和buff配置索引'!BO:BO,MATCH($F471,'#建筑消耗和buff配置索引'!$M:$M,0)))</f>
        <v/>
      </c>
      <c r="AW471" s="133" t="str">
        <f>IF(AV471="","",INDEX('#建筑消耗和buff配置索引'!BP:BP,MATCH($F471,'#建筑消耗和buff配置索引'!$M:$M,0)))</f>
        <v/>
      </c>
      <c r="AX471" s="133"/>
      <c r="AY471" s="133"/>
      <c r="AZ471" s="133" t="str">
        <f>IF(INDEX('#建筑消耗和buff配置索引'!BS:BS,MATCH($F471,'#建筑消耗和buff配置索引'!$M:$M,0))=0,"",INDEX('#建筑消耗和buff配置索引'!BS:BS,MATCH($F471,'#建筑消耗和buff配置索引'!$M:$M,0)))</f>
        <v/>
      </c>
      <c r="BA471" s="133" t="str">
        <f>IF(AZ471="","",INDEX('#建筑消耗和buff配置索引'!BT:BT,MATCH($F471,'#建筑消耗和buff配置索引'!$M:$M,0)))</f>
        <v/>
      </c>
      <c r="BB471" s="133"/>
      <c r="BC471" s="133"/>
      <c r="BD471" s="133" t="str">
        <f>IF(INDEX('#建筑消耗和buff配置索引'!BW:BW,MATCH($F471,'#建筑消耗和buff配置索引'!$M:$M,0))=0,"",INDEX('#建筑消耗和buff配置索引'!BW:BW,MATCH($F471,'#建筑消耗和buff配置索引'!$M:$M,0)))</f>
        <v/>
      </c>
      <c r="BE471" s="133" t="str">
        <f>IF(BD471="","",INDEX('#建筑消耗和buff配置索引'!BX:BX,MATCH($F471,'#建筑消耗和buff配置索引'!$M:$M,0)))</f>
        <v/>
      </c>
      <c r="BF471" s="133"/>
      <c r="BG471" s="133"/>
      <c r="BH471" s="133"/>
      <c r="BI471" s="133">
        <v>8</v>
      </c>
      <c r="BJ471" s="133"/>
      <c r="BO471" s="133">
        <v>4</v>
      </c>
      <c r="BP471" s="140" t="s">
        <v>1360</v>
      </c>
      <c r="BQ471" s="140">
        <v>10003603</v>
      </c>
      <c r="BR471" s="140">
        <v>300</v>
      </c>
    </row>
    <row r="472" spans="1:70">
      <c r="A472" s="133">
        <v>2340017</v>
      </c>
      <c r="B472" s="133">
        <v>469</v>
      </c>
      <c r="C472" s="133">
        <v>234</v>
      </c>
      <c r="D472" s="133" t="s">
        <v>271</v>
      </c>
      <c r="E472" s="133">
        <v>17</v>
      </c>
      <c r="F472" s="133" t="str">
        <f t="shared" si="8"/>
        <v>金矿场17</v>
      </c>
      <c r="G472" s="133"/>
      <c r="H472" s="146"/>
      <c r="I472" s="133">
        <v>2</v>
      </c>
      <c r="J472" s="150">
        <f>INDEX('#建筑消耗和buff配置索引'!AH:AH,MATCH($F472,'#建筑消耗和buff配置索引'!$M:$M,0))</f>
        <v>14400</v>
      </c>
      <c r="K472" s="150">
        <f>INDEX('#建筑消耗和buff配置索引'!AA:AA,MATCH($F472,'#建筑消耗和buff配置索引'!$M:$M,0))</f>
        <v>310000</v>
      </c>
      <c r="L472" s="150">
        <f>INDEX('#建筑消耗和buff配置索引'!AB:AB,MATCH($F472,'#建筑消耗和buff配置索引'!$M:$M,0))</f>
        <v>310000</v>
      </c>
      <c r="M472" s="150">
        <f>INDEX('#建筑消耗和buff配置索引'!AC:AC,MATCH($F472,'#建筑消耗和buff配置索引'!$M:$M,0))</f>
        <v>310000</v>
      </c>
      <c r="N472" s="150">
        <f>INDEX('#建筑消耗和buff配置索引'!AD:AD,MATCH($F472,'#建筑消耗和buff配置索引'!$M:$M,0))</f>
        <v>0</v>
      </c>
      <c r="O472" s="150" t="str">
        <f>IF(INDEX('#建筑消耗和buff配置索引'!T:T,MATCH($F472,'#建筑消耗和buff配置索引'!$M:$M,0))=0,"",INDEX('#建筑消耗和buff配置索引'!T:T,MATCH($F472,'#建筑消耗和buff配置索引'!$M:$M,0)))</f>
        <v/>
      </c>
      <c r="P472" s="133" t="str">
        <f>IF(INDEX('#建筑消耗和buff配置索引'!U:U,MATCH($F472,'#建筑消耗和buff配置索引'!$M:$M,0))=0,"",INDEX('#建筑消耗和buff配置索引'!U:U,MATCH($F472,'#建筑消耗和buff配置索引'!$M:$M,0)))</f>
        <v/>
      </c>
      <c r="Q472" s="133" t="str">
        <f>IF(INDEX('#建筑消耗和buff配置索引'!K:K,MATCH($F472,'#建筑消耗和buff配置索引'!$M:$M,0))=0,"",INDEX('#建筑消耗和buff配置索引'!K:K,MATCH($F472,'#建筑消耗和buff配置索引'!$M:$M,0)))</f>
        <v>201</v>
      </c>
      <c r="R472" s="133" t="str">
        <f>IF(INDEX('#建筑消耗和buff配置索引'!L:L,MATCH($F472,'#建筑消耗和buff配置索引'!$M:$M,0))=0,"",INDEX('#建筑消耗和buff配置索引'!L:L,MATCH($F472,'#建筑消耗和buff配置索引'!$M:$M,0)))</f>
        <v>17</v>
      </c>
      <c r="S472" s="133">
        <f>IF(INDEX('#建筑消耗和buff配置索引'!C:C,MATCH(F472,'#建筑消耗和buff配置索引'!M:M,0))=0,1,INDEX('#建筑消耗和buff配置索引'!C:C,MATCH(F472,'#建筑消耗和buff配置索引'!M:M,0)))</f>
        <v>3</v>
      </c>
      <c r="T472" s="133">
        <v>0</v>
      </c>
      <c r="U472" s="133">
        <v>0</v>
      </c>
      <c r="V472" s="133" t="str">
        <f>IF(E472=1,IF(INDEX('#建筑消耗和buff配置索引'!BY:BY,MATCH(D472,'#建筑消耗和buff配置索引'!A:A,0))=0,"",INDEX('#建筑消耗和buff配置索引'!BY:BY,MATCH(D472,'#建筑消耗和buff配置索引'!A:A,0))),"")</f>
        <v/>
      </c>
      <c r="W472" s="133" t="str">
        <f>IF(E472=1,IF(INDEX('#建筑消耗和buff配置索引'!BZ:BZ,MATCH(D472,'#建筑消耗和buff配置索引'!A:A,0))=0,"",INDEX('#建筑消耗和buff配置索引'!BZ:BZ,MATCH(D472,'#建筑消耗和buff配置索引'!A:A,0))),"")</f>
        <v/>
      </c>
      <c r="X472" s="133"/>
      <c r="Y472" s="133"/>
      <c r="Z472" s="133"/>
      <c r="AA472" s="133">
        <f>INDEX('#建筑消耗和buff配置索引'!AO:AO,MATCH($F472,'#建筑消耗和buff配置索引'!$M:$M,0))</f>
        <v>7481</v>
      </c>
      <c r="AB472" s="133">
        <f>IF(INDEX('#建筑消耗和buff配置索引'!AR:AR,MATCH($F472,'#建筑消耗和buff配置索引'!$M:$M,0))=0,"",INDEX('#建筑消耗和buff配置索引'!AR:AR,MATCH($F472,'#建筑消耗和buff配置索引'!$M:$M,0)))</f>
        <v>1019</v>
      </c>
      <c r="AC472" s="133">
        <f>IF(AB472="","",INDEX('#建筑消耗和buff配置索引'!AS:AS,MATCH($F472,'#建筑消耗和buff配置索引'!$M:$M,0)))</f>
        <v>6900</v>
      </c>
      <c r="AD472" s="133"/>
      <c r="AE472" s="133"/>
      <c r="AF472" s="133" t="str">
        <f>IF(INDEX('#建筑消耗和buff配置索引'!AW:AW,MATCH($F472,'#建筑消耗和buff配置索引'!$M:$M,0))=0,"",INDEX('#建筑消耗和buff配置索引'!AW:AW,MATCH($F472,'#建筑消耗和buff配置索引'!$M:$M,0)))</f>
        <v/>
      </c>
      <c r="AG472" s="133" t="str">
        <f>IF(AF472="","",INDEX('#建筑消耗和buff配置索引'!AX:AX,MATCH($F472,'#建筑消耗和buff配置索引'!$M:$M,0)))</f>
        <v/>
      </c>
      <c r="AH472" s="133"/>
      <c r="AI472" s="133"/>
      <c r="AJ472" s="133" t="str">
        <f>IF(INDEX('#建筑消耗和buff配置索引'!BB:BB,MATCH($F472,'#建筑消耗和buff配置索引'!$M:$M,0))=0,"",INDEX('#建筑消耗和buff配置索引'!BB:BB,MATCH($F472,'#建筑消耗和buff配置索引'!$M:$M,0)))</f>
        <v/>
      </c>
      <c r="AK472" s="133" t="str">
        <f>IF(AJ472="","",INDEX('#建筑消耗和buff配置索引'!BC:BC,MATCH($F472,'#建筑消耗和buff配置索引'!$M:$M,0)))</f>
        <v/>
      </c>
      <c r="AL472" s="133"/>
      <c r="AM472" s="133"/>
      <c r="AN472" s="133" t="str">
        <f>IF(INDEX('#建筑消耗和buff配置索引'!BG:BG,MATCH($F472,'#建筑消耗和buff配置索引'!$M:$M,0))=0,"",INDEX('#建筑消耗和buff配置索引'!BG:BG,MATCH($F472,'#建筑消耗和buff配置索引'!$M:$M,0)))</f>
        <v/>
      </c>
      <c r="AO472" s="133" t="str">
        <f>IF(AN472="","",INDEX('#建筑消耗和buff配置索引'!BH:BH,MATCH($F472,'#建筑消耗和buff配置索引'!$M:$M,0)))</f>
        <v/>
      </c>
      <c r="AP472" s="133"/>
      <c r="AQ472" s="133"/>
      <c r="AR472" s="133" t="str">
        <f>IF(INDEX('#建筑消耗和buff配置索引'!BK:BK,MATCH($F472,'#建筑消耗和buff配置索引'!$M:$M,0))=0,"",INDEX('#建筑消耗和buff配置索引'!BK:BK,MATCH($F472,'#建筑消耗和buff配置索引'!$M:$M,0)))</f>
        <v/>
      </c>
      <c r="AS472" s="133" t="str">
        <f>IF(AR472="","",INDEX('#建筑消耗和buff配置索引'!BL:BL,MATCH($F472,'#建筑消耗和buff配置索引'!$M:$M,0)))</f>
        <v/>
      </c>
      <c r="AT472" s="133"/>
      <c r="AU472" s="133"/>
      <c r="AV472" s="133" t="str">
        <f>IF(INDEX('#建筑消耗和buff配置索引'!BO:BO,MATCH($F472,'#建筑消耗和buff配置索引'!$M:$M,0))=0,"",INDEX('#建筑消耗和buff配置索引'!BO:BO,MATCH($F472,'#建筑消耗和buff配置索引'!$M:$M,0)))</f>
        <v/>
      </c>
      <c r="AW472" s="133" t="str">
        <f>IF(AV472="","",INDEX('#建筑消耗和buff配置索引'!BP:BP,MATCH($F472,'#建筑消耗和buff配置索引'!$M:$M,0)))</f>
        <v/>
      </c>
      <c r="AX472" s="133"/>
      <c r="AY472" s="133"/>
      <c r="AZ472" s="133" t="str">
        <f>IF(INDEX('#建筑消耗和buff配置索引'!BS:BS,MATCH($F472,'#建筑消耗和buff配置索引'!$M:$M,0))=0,"",INDEX('#建筑消耗和buff配置索引'!BS:BS,MATCH($F472,'#建筑消耗和buff配置索引'!$M:$M,0)))</f>
        <v/>
      </c>
      <c r="BA472" s="133" t="str">
        <f>IF(AZ472="","",INDEX('#建筑消耗和buff配置索引'!BT:BT,MATCH($F472,'#建筑消耗和buff配置索引'!$M:$M,0)))</f>
        <v/>
      </c>
      <c r="BB472" s="133"/>
      <c r="BC472" s="133"/>
      <c r="BD472" s="133" t="str">
        <f>IF(INDEX('#建筑消耗和buff配置索引'!BW:BW,MATCH($F472,'#建筑消耗和buff配置索引'!$M:$M,0))=0,"",INDEX('#建筑消耗和buff配置索引'!BW:BW,MATCH($F472,'#建筑消耗和buff配置索引'!$M:$M,0)))</f>
        <v/>
      </c>
      <c r="BE472" s="133" t="str">
        <f>IF(BD472="","",INDEX('#建筑消耗和buff配置索引'!BX:BX,MATCH($F472,'#建筑消耗和buff配置索引'!$M:$M,0)))</f>
        <v/>
      </c>
      <c r="BF472" s="133"/>
      <c r="BG472" s="133"/>
      <c r="BH472" s="133"/>
      <c r="BI472" s="133">
        <v>8</v>
      </c>
      <c r="BJ472" s="133"/>
      <c r="BO472" s="133">
        <v>4</v>
      </c>
      <c r="BP472" s="140" t="s">
        <v>1360</v>
      </c>
      <c r="BQ472" s="140">
        <v>10003603</v>
      </c>
      <c r="BR472" s="140">
        <v>300</v>
      </c>
    </row>
    <row r="473" spans="1:70" s="133" customFormat="1">
      <c r="A473" s="133">
        <v>2340018</v>
      </c>
      <c r="B473" s="133">
        <v>470</v>
      </c>
      <c r="C473" s="133">
        <v>234</v>
      </c>
      <c r="D473" s="133" t="s">
        <v>271</v>
      </c>
      <c r="E473" s="133">
        <v>18</v>
      </c>
      <c r="F473" s="133" t="str">
        <f t="shared" si="8"/>
        <v>金矿场18</v>
      </c>
      <c r="H473" s="146"/>
      <c r="I473" s="133">
        <v>2</v>
      </c>
      <c r="J473" s="150">
        <f>INDEX('#建筑消耗和buff配置索引'!AH:AH,MATCH($F473,'#建筑消耗和buff配置索引'!$M:$M,0))</f>
        <v>18720</v>
      </c>
      <c r="K473" s="150">
        <f>INDEX('#建筑消耗和buff配置索引'!AA:AA,MATCH($F473,'#建筑消耗和buff配置索引'!$M:$M,0))</f>
        <v>400000</v>
      </c>
      <c r="L473" s="150">
        <f>INDEX('#建筑消耗和buff配置索引'!AB:AB,MATCH($F473,'#建筑消耗和buff配置索引'!$M:$M,0))</f>
        <v>400000</v>
      </c>
      <c r="M473" s="150">
        <f>INDEX('#建筑消耗和buff配置索引'!AC:AC,MATCH($F473,'#建筑消耗和buff配置索引'!$M:$M,0))</f>
        <v>400000</v>
      </c>
      <c r="N473" s="150">
        <f>INDEX('#建筑消耗和buff配置索引'!AD:AD,MATCH($F473,'#建筑消耗和buff配置索引'!$M:$M,0))</f>
        <v>0</v>
      </c>
      <c r="O473" s="150" t="str">
        <f>IF(INDEX('#建筑消耗和buff配置索引'!T:T,MATCH($F473,'#建筑消耗和buff配置索引'!$M:$M,0))=0,"",INDEX('#建筑消耗和buff配置索引'!T:T,MATCH($F473,'#建筑消耗和buff配置索引'!$M:$M,0)))</f>
        <v/>
      </c>
      <c r="P473" s="133" t="str">
        <f>IF(INDEX('#建筑消耗和buff配置索引'!U:U,MATCH($F473,'#建筑消耗和buff配置索引'!$M:$M,0))=0,"",INDEX('#建筑消耗和buff配置索引'!U:U,MATCH($F473,'#建筑消耗和buff配置索引'!$M:$M,0)))</f>
        <v/>
      </c>
      <c r="Q473" s="133" t="str">
        <f>IF(INDEX('#建筑消耗和buff配置索引'!K:K,MATCH($F473,'#建筑消耗和buff配置索引'!$M:$M,0))=0,"",INDEX('#建筑消耗和buff配置索引'!K:K,MATCH($F473,'#建筑消耗和buff配置索引'!$M:$M,0)))</f>
        <v>201</v>
      </c>
      <c r="R473" s="133" t="str">
        <f>IF(INDEX('#建筑消耗和buff配置索引'!L:L,MATCH($F473,'#建筑消耗和buff配置索引'!$M:$M,0))=0,"",INDEX('#建筑消耗和buff配置索引'!L:L,MATCH($F473,'#建筑消耗和buff配置索引'!$M:$M,0)))</f>
        <v>18</v>
      </c>
      <c r="S473" s="133">
        <f>IF(INDEX('#建筑消耗和buff配置索引'!C:C,MATCH(F473,'#建筑消耗和buff配置索引'!M:M,0))=0,1,INDEX('#建筑消耗和buff配置索引'!C:C,MATCH(F473,'#建筑消耗和buff配置索引'!M:M,0)))</f>
        <v>3</v>
      </c>
      <c r="T473" s="133">
        <v>0</v>
      </c>
      <c r="U473" s="133">
        <v>0</v>
      </c>
      <c r="V473" s="133" t="str">
        <f>IF(E473=1,IF(INDEX('#建筑消耗和buff配置索引'!BY:BY,MATCH(D473,'#建筑消耗和buff配置索引'!A:A,0))=0,"",INDEX('#建筑消耗和buff配置索引'!BY:BY,MATCH(D473,'#建筑消耗和buff配置索引'!A:A,0))),"")</f>
        <v/>
      </c>
      <c r="W473" s="133" t="str">
        <f>IF(E473=1,IF(INDEX('#建筑消耗和buff配置索引'!BZ:BZ,MATCH(D473,'#建筑消耗和buff配置索引'!A:A,0))=0,"",INDEX('#建筑消耗和buff配置索引'!BZ:BZ,MATCH(D473,'#建筑消耗和buff配置索引'!A:A,0))),"")</f>
        <v/>
      </c>
      <c r="AA473" s="133">
        <f>INDEX('#建筑消耗和buff配置索引'!AO:AO,MATCH($F473,'#建筑消耗和buff配置索引'!$M:$M,0))</f>
        <v>9877</v>
      </c>
      <c r="AB473" s="133">
        <f>IF(INDEX('#建筑消耗和buff配置索引'!AR:AR,MATCH($F473,'#建筑消耗和buff配置索引'!$M:$M,0))=0,"",INDEX('#建筑消耗和buff配置索引'!AR:AR,MATCH($F473,'#建筑消耗和buff配置索引'!$M:$M,0)))</f>
        <v>1019</v>
      </c>
      <c r="AC473" s="133">
        <f>IF(AB473="","",INDEX('#建筑消耗和buff配置索引'!AS:AS,MATCH($F473,'#建筑消耗和buff配置索引'!$M:$M,0)))</f>
        <v>7600</v>
      </c>
      <c r="AF473" s="133" t="str">
        <f>IF(INDEX('#建筑消耗和buff配置索引'!AW:AW,MATCH($F473,'#建筑消耗和buff配置索引'!$M:$M,0))=0,"",INDEX('#建筑消耗和buff配置索引'!AW:AW,MATCH($F473,'#建筑消耗和buff配置索引'!$M:$M,0)))</f>
        <v/>
      </c>
      <c r="AG473" s="133" t="str">
        <f>IF(AF473="","",INDEX('#建筑消耗和buff配置索引'!AX:AX,MATCH($F473,'#建筑消耗和buff配置索引'!$M:$M,0)))</f>
        <v/>
      </c>
      <c r="AJ473" s="133" t="str">
        <f>IF(INDEX('#建筑消耗和buff配置索引'!BB:BB,MATCH($F473,'#建筑消耗和buff配置索引'!$M:$M,0))=0,"",INDEX('#建筑消耗和buff配置索引'!BB:BB,MATCH($F473,'#建筑消耗和buff配置索引'!$M:$M,0)))</f>
        <v/>
      </c>
      <c r="AK473" s="133" t="str">
        <f>IF(AJ473="","",INDEX('#建筑消耗和buff配置索引'!BC:BC,MATCH($F473,'#建筑消耗和buff配置索引'!$M:$M,0)))</f>
        <v/>
      </c>
      <c r="AN473" s="133" t="str">
        <f>IF(INDEX('#建筑消耗和buff配置索引'!BG:BG,MATCH($F473,'#建筑消耗和buff配置索引'!$M:$M,0))=0,"",INDEX('#建筑消耗和buff配置索引'!BG:BG,MATCH($F473,'#建筑消耗和buff配置索引'!$M:$M,0)))</f>
        <v/>
      </c>
      <c r="AO473" s="133" t="str">
        <f>IF(AN473="","",INDEX('#建筑消耗和buff配置索引'!BH:BH,MATCH($F473,'#建筑消耗和buff配置索引'!$M:$M,0)))</f>
        <v/>
      </c>
      <c r="AR473" s="133" t="str">
        <f>IF(INDEX('#建筑消耗和buff配置索引'!BK:BK,MATCH($F473,'#建筑消耗和buff配置索引'!$M:$M,0))=0,"",INDEX('#建筑消耗和buff配置索引'!BK:BK,MATCH($F473,'#建筑消耗和buff配置索引'!$M:$M,0)))</f>
        <v/>
      </c>
      <c r="AS473" s="133" t="str">
        <f>IF(AR473="","",INDEX('#建筑消耗和buff配置索引'!BL:BL,MATCH($F473,'#建筑消耗和buff配置索引'!$M:$M,0)))</f>
        <v/>
      </c>
      <c r="AV473" s="133" t="str">
        <f>IF(INDEX('#建筑消耗和buff配置索引'!BO:BO,MATCH($F473,'#建筑消耗和buff配置索引'!$M:$M,0))=0,"",INDEX('#建筑消耗和buff配置索引'!BO:BO,MATCH($F473,'#建筑消耗和buff配置索引'!$M:$M,0)))</f>
        <v/>
      </c>
      <c r="AW473" s="133" t="str">
        <f>IF(AV473="","",INDEX('#建筑消耗和buff配置索引'!BP:BP,MATCH($F473,'#建筑消耗和buff配置索引'!$M:$M,0)))</f>
        <v/>
      </c>
      <c r="AZ473" s="133" t="str">
        <f>IF(INDEX('#建筑消耗和buff配置索引'!BS:BS,MATCH($F473,'#建筑消耗和buff配置索引'!$M:$M,0))=0,"",INDEX('#建筑消耗和buff配置索引'!BS:BS,MATCH($F473,'#建筑消耗和buff配置索引'!$M:$M,0)))</f>
        <v/>
      </c>
      <c r="BA473" s="133" t="str">
        <f>IF(AZ473="","",INDEX('#建筑消耗和buff配置索引'!BT:BT,MATCH($F473,'#建筑消耗和buff配置索引'!$M:$M,0)))</f>
        <v/>
      </c>
      <c r="BD473" s="133" t="str">
        <f>IF(INDEX('#建筑消耗和buff配置索引'!BW:BW,MATCH($F473,'#建筑消耗和buff配置索引'!$M:$M,0))=0,"",INDEX('#建筑消耗和buff配置索引'!BW:BW,MATCH($F473,'#建筑消耗和buff配置索引'!$M:$M,0)))</f>
        <v/>
      </c>
      <c r="BE473" s="133" t="str">
        <f>IF(BD473="","",INDEX('#建筑消耗和buff配置索引'!BX:BX,MATCH($F473,'#建筑消耗和buff配置索引'!$M:$M,0)))</f>
        <v/>
      </c>
      <c r="BI473" s="133">
        <v>8</v>
      </c>
      <c r="BO473" s="133">
        <v>4</v>
      </c>
      <c r="BP473" s="140" t="s">
        <v>1360</v>
      </c>
      <c r="BQ473" s="140">
        <v>10003603</v>
      </c>
      <c r="BR473" s="140">
        <v>300</v>
      </c>
    </row>
    <row r="474" spans="1:70" s="133" customFormat="1">
      <c r="A474" s="133">
        <v>2340019</v>
      </c>
      <c r="B474" s="133">
        <v>471</v>
      </c>
      <c r="C474" s="133">
        <v>234</v>
      </c>
      <c r="D474" s="133" t="s">
        <v>271</v>
      </c>
      <c r="E474" s="133">
        <v>19</v>
      </c>
      <c r="F474" s="133" t="str">
        <f t="shared" si="8"/>
        <v>金矿场19</v>
      </c>
      <c r="H474" s="146"/>
      <c r="I474" s="133">
        <v>2</v>
      </c>
      <c r="J474" s="150">
        <f>INDEX('#建筑消耗和buff配置索引'!AH:AH,MATCH($F474,'#建筑消耗和buff配置索引'!$M:$M,0))</f>
        <v>24480</v>
      </c>
      <c r="K474" s="150">
        <f>INDEX('#建筑消耗和buff配置索引'!AA:AA,MATCH($F474,'#建筑消耗和buff配置索引'!$M:$M,0))</f>
        <v>510000</v>
      </c>
      <c r="L474" s="150">
        <f>INDEX('#建筑消耗和buff配置索引'!AB:AB,MATCH($F474,'#建筑消耗和buff配置索引'!$M:$M,0))</f>
        <v>510000</v>
      </c>
      <c r="M474" s="150">
        <f>INDEX('#建筑消耗和buff配置索引'!AC:AC,MATCH($F474,'#建筑消耗和buff配置索引'!$M:$M,0))</f>
        <v>510000</v>
      </c>
      <c r="N474" s="150">
        <f>INDEX('#建筑消耗和buff配置索引'!AD:AD,MATCH($F474,'#建筑消耗和buff配置索引'!$M:$M,0))</f>
        <v>0</v>
      </c>
      <c r="O474" s="150" t="str">
        <f>IF(INDEX('#建筑消耗和buff配置索引'!T:T,MATCH($F474,'#建筑消耗和buff配置索引'!$M:$M,0))=0,"",INDEX('#建筑消耗和buff配置索引'!T:T,MATCH($F474,'#建筑消耗和buff配置索引'!$M:$M,0)))</f>
        <v/>
      </c>
      <c r="P474" s="133" t="str">
        <f>IF(INDEX('#建筑消耗和buff配置索引'!U:U,MATCH($F474,'#建筑消耗和buff配置索引'!$M:$M,0))=0,"",INDEX('#建筑消耗和buff配置索引'!U:U,MATCH($F474,'#建筑消耗和buff配置索引'!$M:$M,0)))</f>
        <v/>
      </c>
      <c r="Q474" s="133" t="str">
        <f>IF(INDEX('#建筑消耗和buff配置索引'!K:K,MATCH($F474,'#建筑消耗和buff配置索引'!$M:$M,0))=0,"",INDEX('#建筑消耗和buff配置索引'!K:K,MATCH($F474,'#建筑消耗和buff配置索引'!$M:$M,0)))</f>
        <v>201</v>
      </c>
      <c r="R474" s="133" t="str">
        <f>IF(INDEX('#建筑消耗和buff配置索引'!L:L,MATCH($F474,'#建筑消耗和buff配置索引'!$M:$M,0))=0,"",INDEX('#建筑消耗和buff配置索引'!L:L,MATCH($F474,'#建筑消耗和buff配置索引'!$M:$M,0)))</f>
        <v>19</v>
      </c>
      <c r="S474" s="133">
        <f>IF(INDEX('#建筑消耗和buff配置索引'!C:C,MATCH(F474,'#建筑消耗和buff配置索引'!M:M,0))=0,1,INDEX('#建筑消耗和buff配置索引'!C:C,MATCH(F474,'#建筑消耗和buff配置索引'!M:M,0)))</f>
        <v>3</v>
      </c>
      <c r="T474" s="133">
        <v>0</v>
      </c>
      <c r="U474" s="133">
        <v>0</v>
      </c>
      <c r="V474" s="133" t="str">
        <f>IF(E474=1,IF(INDEX('#建筑消耗和buff配置索引'!BY:BY,MATCH(D474,'#建筑消耗和buff配置索引'!A:A,0))=0,"",INDEX('#建筑消耗和buff配置索引'!BY:BY,MATCH(D474,'#建筑消耗和buff配置索引'!A:A,0))),"")</f>
        <v/>
      </c>
      <c r="W474" s="133" t="str">
        <f>IF(E474=1,IF(INDEX('#建筑消耗和buff配置索引'!BZ:BZ,MATCH(D474,'#建筑消耗和buff配置索引'!A:A,0))=0,"",INDEX('#建筑消耗和buff配置索引'!BZ:BZ,MATCH(D474,'#建筑消耗和buff配置索引'!A:A,0))),"")</f>
        <v/>
      </c>
      <c r="AA474" s="133">
        <f>INDEX('#建筑消耗和buff配置索引'!AO:AO,MATCH($F474,'#建筑消耗和buff配置索引'!$M:$M,0))</f>
        <v>12944</v>
      </c>
      <c r="AB474" s="133">
        <f>IF(INDEX('#建筑消耗和buff配置索引'!AR:AR,MATCH($F474,'#建筑消耗和buff配置索引'!$M:$M,0))=0,"",INDEX('#建筑消耗和buff配置索引'!AR:AR,MATCH($F474,'#建筑消耗和buff配置索引'!$M:$M,0)))</f>
        <v>1019</v>
      </c>
      <c r="AC474" s="133">
        <f>IF(AB474="","",INDEX('#建筑消耗和buff配置索引'!AS:AS,MATCH($F474,'#建筑消耗和buff配置索引'!$M:$M,0)))</f>
        <v>8300</v>
      </c>
      <c r="AF474" s="133" t="str">
        <f>IF(INDEX('#建筑消耗和buff配置索引'!AW:AW,MATCH($F474,'#建筑消耗和buff配置索引'!$M:$M,0))=0,"",INDEX('#建筑消耗和buff配置索引'!AW:AW,MATCH($F474,'#建筑消耗和buff配置索引'!$M:$M,0)))</f>
        <v/>
      </c>
      <c r="AG474" s="133" t="str">
        <f>IF(AF474="","",INDEX('#建筑消耗和buff配置索引'!AX:AX,MATCH($F474,'#建筑消耗和buff配置索引'!$M:$M,0)))</f>
        <v/>
      </c>
      <c r="AJ474" s="133" t="str">
        <f>IF(INDEX('#建筑消耗和buff配置索引'!BB:BB,MATCH($F474,'#建筑消耗和buff配置索引'!$M:$M,0))=0,"",INDEX('#建筑消耗和buff配置索引'!BB:BB,MATCH($F474,'#建筑消耗和buff配置索引'!$M:$M,0)))</f>
        <v/>
      </c>
      <c r="AK474" s="133" t="str">
        <f>IF(AJ474="","",INDEX('#建筑消耗和buff配置索引'!BC:BC,MATCH($F474,'#建筑消耗和buff配置索引'!$M:$M,0)))</f>
        <v/>
      </c>
      <c r="AN474" s="133" t="str">
        <f>IF(INDEX('#建筑消耗和buff配置索引'!BG:BG,MATCH($F474,'#建筑消耗和buff配置索引'!$M:$M,0))=0,"",INDEX('#建筑消耗和buff配置索引'!BG:BG,MATCH($F474,'#建筑消耗和buff配置索引'!$M:$M,0)))</f>
        <v/>
      </c>
      <c r="AO474" s="133" t="str">
        <f>IF(AN474="","",INDEX('#建筑消耗和buff配置索引'!BH:BH,MATCH($F474,'#建筑消耗和buff配置索引'!$M:$M,0)))</f>
        <v/>
      </c>
      <c r="AR474" s="133" t="str">
        <f>IF(INDEX('#建筑消耗和buff配置索引'!BK:BK,MATCH($F474,'#建筑消耗和buff配置索引'!$M:$M,0))=0,"",INDEX('#建筑消耗和buff配置索引'!BK:BK,MATCH($F474,'#建筑消耗和buff配置索引'!$M:$M,0)))</f>
        <v/>
      </c>
      <c r="AS474" s="133" t="str">
        <f>IF(AR474="","",INDEX('#建筑消耗和buff配置索引'!BL:BL,MATCH($F474,'#建筑消耗和buff配置索引'!$M:$M,0)))</f>
        <v/>
      </c>
      <c r="AV474" s="133" t="str">
        <f>IF(INDEX('#建筑消耗和buff配置索引'!BO:BO,MATCH($F474,'#建筑消耗和buff配置索引'!$M:$M,0))=0,"",INDEX('#建筑消耗和buff配置索引'!BO:BO,MATCH($F474,'#建筑消耗和buff配置索引'!$M:$M,0)))</f>
        <v/>
      </c>
      <c r="AW474" s="133" t="str">
        <f>IF(AV474="","",INDEX('#建筑消耗和buff配置索引'!BP:BP,MATCH($F474,'#建筑消耗和buff配置索引'!$M:$M,0)))</f>
        <v/>
      </c>
      <c r="AZ474" s="133" t="str">
        <f>IF(INDEX('#建筑消耗和buff配置索引'!BS:BS,MATCH($F474,'#建筑消耗和buff配置索引'!$M:$M,0))=0,"",INDEX('#建筑消耗和buff配置索引'!BS:BS,MATCH($F474,'#建筑消耗和buff配置索引'!$M:$M,0)))</f>
        <v/>
      </c>
      <c r="BA474" s="133" t="str">
        <f>IF(AZ474="","",INDEX('#建筑消耗和buff配置索引'!BT:BT,MATCH($F474,'#建筑消耗和buff配置索引'!$M:$M,0)))</f>
        <v/>
      </c>
      <c r="BD474" s="133" t="str">
        <f>IF(INDEX('#建筑消耗和buff配置索引'!BW:BW,MATCH($F474,'#建筑消耗和buff配置索引'!$M:$M,0))=0,"",INDEX('#建筑消耗和buff配置索引'!BW:BW,MATCH($F474,'#建筑消耗和buff配置索引'!$M:$M,0)))</f>
        <v/>
      </c>
      <c r="BE474" s="133" t="str">
        <f>IF(BD474="","",INDEX('#建筑消耗和buff配置索引'!BX:BX,MATCH($F474,'#建筑消耗和buff配置索引'!$M:$M,0)))</f>
        <v/>
      </c>
      <c r="BI474" s="133">
        <v>8</v>
      </c>
      <c r="BO474" s="133">
        <v>4</v>
      </c>
      <c r="BP474" s="140" t="s">
        <v>1360</v>
      </c>
      <c r="BQ474" s="140">
        <v>10003603</v>
      </c>
      <c r="BR474" s="140">
        <v>300</v>
      </c>
    </row>
    <row r="475" spans="1:70" s="133" customFormat="1">
      <c r="A475" s="133">
        <v>2340020</v>
      </c>
      <c r="B475" s="133">
        <v>472</v>
      </c>
      <c r="C475" s="133">
        <v>234</v>
      </c>
      <c r="D475" s="133" t="s">
        <v>271</v>
      </c>
      <c r="E475" s="133">
        <v>20</v>
      </c>
      <c r="F475" s="133" t="str">
        <f t="shared" si="8"/>
        <v>金矿场20</v>
      </c>
      <c r="H475" s="146"/>
      <c r="I475" s="133">
        <v>3</v>
      </c>
      <c r="J475" s="150">
        <f>INDEX('#建筑消耗和buff配置索引'!AH:AH,MATCH($F475,'#建筑消耗和buff配置索引'!$M:$M,0))</f>
        <v>34560</v>
      </c>
      <c r="K475" s="150">
        <f>INDEX('#建筑消耗和buff配置索引'!AA:AA,MATCH($F475,'#建筑消耗和buff配置索引'!$M:$M,0))</f>
        <v>650000</v>
      </c>
      <c r="L475" s="150">
        <f>INDEX('#建筑消耗和buff配置索引'!AB:AB,MATCH($F475,'#建筑消耗和buff配置索引'!$M:$M,0))</f>
        <v>650000</v>
      </c>
      <c r="M475" s="150">
        <f>INDEX('#建筑消耗和buff配置索引'!AC:AC,MATCH($F475,'#建筑消耗和buff配置索引'!$M:$M,0))</f>
        <v>650000</v>
      </c>
      <c r="N475" s="150">
        <f>INDEX('#建筑消耗和buff配置索引'!AD:AD,MATCH($F475,'#建筑消耗和buff配置索引'!$M:$M,0))</f>
        <v>0</v>
      </c>
      <c r="O475" s="150" t="str">
        <f>IF(INDEX('#建筑消耗和buff配置索引'!T:T,MATCH($F475,'#建筑消耗和buff配置索引'!$M:$M,0))=0,"",INDEX('#建筑消耗和buff配置索引'!T:T,MATCH($F475,'#建筑消耗和buff配置索引'!$M:$M,0)))</f>
        <v/>
      </c>
      <c r="P475" s="133" t="str">
        <f>IF(INDEX('#建筑消耗和buff配置索引'!U:U,MATCH($F475,'#建筑消耗和buff配置索引'!$M:$M,0))=0,"",INDEX('#建筑消耗和buff配置索引'!U:U,MATCH($F475,'#建筑消耗和buff配置索引'!$M:$M,0)))</f>
        <v/>
      </c>
      <c r="Q475" s="133" t="str">
        <f>IF(INDEX('#建筑消耗和buff配置索引'!K:K,MATCH($F475,'#建筑消耗和buff配置索引'!$M:$M,0))=0,"",INDEX('#建筑消耗和buff配置索引'!K:K,MATCH($F475,'#建筑消耗和buff配置索引'!$M:$M,0)))</f>
        <v>201</v>
      </c>
      <c r="R475" s="133" t="str">
        <f>IF(INDEX('#建筑消耗和buff配置索引'!L:L,MATCH($F475,'#建筑消耗和buff配置索引'!$M:$M,0))=0,"",INDEX('#建筑消耗和buff配置索引'!L:L,MATCH($F475,'#建筑消耗和buff配置索引'!$M:$M,0)))</f>
        <v>20</v>
      </c>
      <c r="S475" s="133">
        <f>IF(INDEX('#建筑消耗和buff配置索引'!C:C,MATCH(F475,'#建筑消耗和buff配置索引'!M:M,0))=0,1,INDEX('#建筑消耗和buff配置索引'!C:C,MATCH(F475,'#建筑消耗和buff配置索引'!M:M,0)))</f>
        <v>3</v>
      </c>
      <c r="T475" s="133">
        <v>0</v>
      </c>
      <c r="U475" s="133">
        <v>0</v>
      </c>
      <c r="V475" s="133" t="str">
        <f>IF(E475=1,IF(INDEX('#建筑消耗和buff配置索引'!BY:BY,MATCH(D475,'#建筑消耗和buff配置索引'!A:A,0))=0,"",INDEX('#建筑消耗和buff配置索引'!BY:BY,MATCH(D475,'#建筑消耗和buff配置索引'!A:A,0))),"")</f>
        <v/>
      </c>
      <c r="W475" s="133" t="str">
        <f>IF(E475=1,IF(INDEX('#建筑消耗和buff配置索引'!BZ:BZ,MATCH(D475,'#建筑消耗和buff配置索引'!A:A,0))=0,"",INDEX('#建筑消耗和buff配置索引'!BZ:BZ,MATCH(D475,'#建筑消耗和buff配置索引'!A:A,0))),"")</f>
        <v/>
      </c>
      <c r="AA475" s="133">
        <f>INDEX('#建筑消耗和buff配置索引'!AO:AO,MATCH($F475,'#建筑消耗和buff配置索引'!$M:$M,0))</f>
        <v>16870</v>
      </c>
      <c r="AB475" s="133">
        <f>IF(INDEX('#建筑消耗和buff配置索引'!AR:AR,MATCH($F475,'#建筑消耗和buff配置索引'!$M:$M,0))=0,"",INDEX('#建筑消耗和buff配置索引'!AR:AR,MATCH($F475,'#建筑消耗和buff配置索引'!$M:$M,0)))</f>
        <v>1019</v>
      </c>
      <c r="AC475" s="133">
        <f>IF(AB475="","",INDEX('#建筑消耗和buff配置索引'!AS:AS,MATCH($F475,'#建筑消耗和buff配置索引'!$M:$M,0)))</f>
        <v>9000</v>
      </c>
      <c r="AF475" s="133" t="str">
        <f>IF(INDEX('#建筑消耗和buff配置索引'!AW:AW,MATCH($F475,'#建筑消耗和buff配置索引'!$M:$M,0))=0,"",INDEX('#建筑消耗和buff配置索引'!AW:AW,MATCH($F475,'#建筑消耗和buff配置索引'!$M:$M,0)))</f>
        <v/>
      </c>
      <c r="AG475" s="133" t="str">
        <f>IF(AF475="","",INDEX('#建筑消耗和buff配置索引'!AX:AX,MATCH($F475,'#建筑消耗和buff配置索引'!$M:$M,0)))</f>
        <v/>
      </c>
      <c r="AJ475" s="133" t="str">
        <f>IF(INDEX('#建筑消耗和buff配置索引'!BB:BB,MATCH($F475,'#建筑消耗和buff配置索引'!$M:$M,0))=0,"",INDEX('#建筑消耗和buff配置索引'!BB:BB,MATCH($F475,'#建筑消耗和buff配置索引'!$M:$M,0)))</f>
        <v/>
      </c>
      <c r="AK475" s="133" t="str">
        <f>IF(AJ475="","",INDEX('#建筑消耗和buff配置索引'!BC:BC,MATCH($F475,'#建筑消耗和buff配置索引'!$M:$M,0)))</f>
        <v/>
      </c>
      <c r="AN475" s="133" t="str">
        <f>IF(INDEX('#建筑消耗和buff配置索引'!BG:BG,MATCH($F475,'#建筑消耗和buff配置索引'!$M:$M,0))=0,"",INDEX('#建筑消耗和buff配置索引'!BG:BG,MATCH($F475,'#建筑消耗和buff配置索引'!$M:$M,0)))</f>
        <v/>
      </c>
      <c r="AO475" s="133" t="str">
        <f>IF(AN475="","",INDEX('#建筑消耗和buff配置索引'!BH:BH,MATCH($F475,'#建筑消耗和buff配置索引'!$M:$M,0)))</f>
        <v/>
      </c>
      <c r="AR475" s="133" t="str">
        <f>IF(INDEX('#建筑消耗和buff配置索引'!BK:BK,MATCH($F475,'#建筑消耗和buff配置索引'!$M:$M,0))=0,"",INDEX('#建筑消耗和buff配置索引'!BK:BK,MATCH($F475,'#建筑消耗和buff配置索引'!$M:$M,0)))</f>
        <v/>
      </c>
      <c r="AS475" s="133" t="str">
        <f>IF(AR475="","",INDEX('#建筑消耗和buff配置索引'!BL:BL,MATCH($F475,'#建筑消耗和buff配置索引'!$M:$M,0)))</f>
        <v/>
      </c>
      <c r="AV475" s="133" t="str">
        <f>IF(INDEX('#建筑消耗和buff配置索引'!BO:BO,MATCH($F475,'#建筑消耗和buff配置索引'!$M:$M,0))=0,"",INDEX('#建筑消耗和buff配置索引'!BO:BO,MATCH($F475,'#建筑消耗和buff配置索引'!$M:$M,0)))</f>
        <v/>
      </c>
      <c r="AW475" s="133" t="str">
        <f>IF(AV475="","",INDEX('#建筑消耗和buff配置索引'!BP:BP,MATCH($F475,'#建筑消耗和buff配置索引'!$M:$M,0)))</f>
        <v/>
      </c>
      <c r="AZ475" s="133" t="str">
        <f>IF(INDEX('#建筑消耗和buff配置索引'!BS:BS,MATCH($F475,'#建筑消耗和buff配置索引'!$M:$M,0))=0,"",INDEX('#建筑消耗和buff配置索引'!BS:BS,MATCH($F475,'#建筑消耗和buff配置索引'!$M:$M,0)))</f>
        <v/>
      </c>
      <c r="BA475" s="133" t="str">
        <f>IF(AZ475="","",INDEX('#建筑消耗和buff配置索引'!BT:BT,MATCH($F475,'#建筑消耗和buff配置索引'!$M:$M,0)))</f>
        <v/>
      </c>
      <c r="BD475" s="133" t="str">
        <f>IF(INDEX('#建筑消耗和buff配置索引'!BW:BW,MATCH($F475,'#建筑消耗和buff配置索引'!$M:$M,0))=0,"",INDEX('#建筑消耗和buff配置索引'!BW:BW,MATCH($F475,'#建筑消耗和buff配置索引'!$M:$M,0)))</f>
        <v/>
      </c>
      <c r="BE475" s="133" t="str">
        <f>IF(BD475="","",INDEX('#建筑消耗和buff配置索引'!BX:BX,MATCH($F475,'#建筑消耗和buff配置索引'!$M:$M,0)))</f>
        <v/>
      </c>
      <c r="BI475" s="133">
        <v>8</v>
      </c>
      <c r="BO475" s="133">
        <v>5</v>
      </c>
      <c r="BP475" s="140" t="s">
        <v>1360</v>
      </c>
      <c r="BQ475" s="140">
        <v>10003603</v>
      </c>
      <c r="BR475" s="140">
        <v>300</v>
      </c>
    </row>
    <row r="476" spans="1:70">
      <c r="A476" s="133">
        <v>2340021</v>
      </c>
      <c r="B476" s="133">
        <v>473</v>
      </c>
      <c r="C476" s="133">
        <v>234</v>
      </c>
      <c r="D476" s="133" t="s">
        <v>271</v>
      </c>
      <c r="E476" s="133">
        <v>21</v>
      </c>
      <c r="F476" s="133" t="str">
        <f t="shared" si="8"/>
        <v>金矿场21</v>
      </c>
      <c r="G476" s="133"/>
      <c r="H476" s="146"/>
      <c r="I476" s="133">
        <v>3</v>
      </c>
      <c r="J476" s="150">
        <f>INDEX('#建筑消耗和buff配置索引'!AH:AH,MATCH($F476,'#建筑消耗和buff配置索引'!$M:$M,0))</f>
        <v>46080</v>
      </c>
      <c r="K476" s="150">
        <f>INDEX('#建筑消耗和buff配置索引'!AA:AA,MATCH($F476,'#建筑消耗和buff配置索引'!$M:$M,0))</f>
        <v>840000</v>
      </c>
      <c r="L476" s="150">
        <f>INDEX('#建筑消耗和buff配置索引'!AB:AB,MATCH($F476,'#建筑消耗和buff配置索引'!$M:$M,0))</f>
        <v>840000</v>
      </c>
      <c r="M476" s="150">
        <f>INDEX('#建筑消耗和buff配置索引'!AC:AC,MATCH($F476,'#建筑消耗和buff配置索引'!$M:$M,0))</f>
        <v>840000</v>
      </c>
      <c r="N476" s="150">
        <f>INDEX('#建筑消耗和buff配置索引'!AD:AD,MATCH($F476,'#建筑消耗和buff配置索引'!$M:$M,0))</f>
        <v>0</v>
      </c>
      <c r="O476" s="150" t="str">
        <f>IF(INDEX('#建筑消耗和buff配置索引'!T:T,MATCH($F476,'#建筑消耗和buff配置索引'!$M:$M,0))=0,"",INDEX('#建筑消耗和buff配置索引'!T:T,MATCH($F476,'#建筑消耗和buff配置索引'!$M:$M,0)))</f>
        <v/>
      </c>
      <c r="P476" s="133" t="str">
        <f>IF(INDEX('#建筑消耗和buff配置索引'!U:U,MATCH($F476,'#建筑消耗和buff配置索引'!$M:$M,0))=0,"",INDEX('#建筑消耗和buff配置索引'!U:U,MATCH($F476,'#建筑消耗和buff配置索引'!$M:$M,0)))</f>
        <v/>
      </c>
      <c r="Q476" s="133" t="str">
        <f>IF(INDEX('#建筑消耗和buff配置索引'!K:K,MATCH($F476,'#建筑消耗和buff配置索引'!$M:$M,0))=0,"",INDEX('#建筑消耗和buff配置索引'!K:K,MATCH($F476,'#建筑消耗和buff配置索引'!$M:$M,0)))</f>
        <v>201</v>
      </c>
      <c r="R476" s="133" t="str">
        <f>IF(INDEX('#建筑消耗和buff配置索引'!L:L,MATCH($F476,'#建筑消耗和buff配置索引'!$M:$M,0))=0,"",INDEX('#建筑消耗和buff配置索引'!L:L,MATCH($F476,'#建筑消耗和buff配置索引'!$M:$M,0)))</f>
        <v>21</v>
      </c>
      <c r="S476" s="133">
        <f>IF(INDEX('#建筑消耗和buff配置索引'!C:C,MATCH(F476,'#建筑消耗和buff配置索引'!M:M,0))=0,1,INDEX('#建筑消耗和buff配置索引'!C:C,MATCH(F476,'#建筑消耗和buff配置索引'!M:M,0)))</f>
        <v>3</v>
      </c>
      <c r="T476" s="133">
        <v>0</v>
      </c>
      <c r="U476" s="133">
        <v>0</v>
      </c>
      <c r="V476" s="133" t="str">
        <f>IF(E476=1,IF(INDEX('#建筑消耗和buff配置索引'!BY:BY,MATCH(D476,'#建筑消耗和buff配置索引'!A:A,0))=0,"",INDEX('#建筑消耗和buff配置索引'!BY:BY,MATCH(D476,'#建筑消耗和buff配置索引'!A:A,0))),"")</f>
        <v/>
      </c>
      <c r="W476" s="133" t="str">
        <f>IF(E476=1,IF(INDEX('#建筑消耗和buff配置索引'!BZ:BZ,MATCH(D476,'#建筑消耗和buff配置索引'!A:A,0))=0,"",INDEX('#建筑消耗和buff配置索引'!BZ:BZ,MATCH(D476,'#建筑消耗和buff配置索引'!A:A,0))),"")</f>
        <v/>
      </c>
      <c r="X476" s="133"/>
      <c r="Y476" s="133"/>
      <c r="Z476" s="133"/>
      <c r="AA476" s="133">
        <f>INDEX('#建筑消耗和buff配置索引'!AO:AO,MATCH($F476,'#建筑消耗和buff配置索引'!$M:$M,0))</f>
        <v>21895</v>
      </c>
      <c r="AB476" s="133">
        <f>IF(INDEX('#建筑消耗和buff配置索引'!AR:AR,MATCH($F476,'#建筑消耗和buff配置索引'!$M:$M,0))=0,"",INDEX('#建筑消耗和buff配置索引'!AR:AR,MATCH($F476,'#建筑消耗和buff配置索引'!$M:$M,0)))</f>
        <v>1019</v>
      </c>
      <c r="AC476" s="133">
        <f>IF(AB476="","",INDEX('#建筑消耗和buff配置索引'!AS:AS,MATCH($F476,'#建筑消耗和buff配置索引'!$M:$M,0)))</f>
        <v>9800</v>
      </c>
      <c r="AD476" s="133"/>
      <c r="AE476" s="133"/>
      <c r="AF476" s="133" t="str">
        <f>IF(INDEX('#建筑消耗和buff配置索引'!AW:AW,MATCH($F476,'#建筑消耗和buff配置索引'!$M:$M,0))=0,"",INDEX('#建筑消耗和buff配置索引'!AW:AW,MATCH($F476,'#建筑消耗和buff配置索引'!$M:$M,0)))</f>
        <v/>
      </c>
      <c r="AG476" s="133" t="str">
        <f>IF(AF476="","",INDEX('#建筑消耗和buff配置索引'!AX:AX,MATCH($F476,'#建筑消耗和buff配置索引'!$M:$M,0)))</f>
        <v/>
      </c>
      <c r="AH476" s="133"/>
      <c r="AI476" s="133"/>
      <c r="AJ476" s="133" t="str">
        <f>IF(INDEX('#建筑消耗和buff配置索引'!BB:BB,MATCH($F476,'#建筑消耗和buff配置索引'!$M:$M,0))=0,"",INDEX('#建筑消耗和buff配置索引'!BB:BB,MATCH($F476,'#建筑消耗和buff配置索引'!$M:$M,0)))</f>
        <v/>
      </c>
      <c r="AK476" s="133" t="str">
        <f>IF(AJ476="","",INDEX('#建筑消耗和buff配置索引'!BC:BC,MATCH($F476,'#建筑消耗和buff配置索引'!$M:$M,0)))</f>
        <v/>
      </c>
      <c r="AL476" s="133"/>
      <c r="AM476" s="133"/>
      <c r="AN476" s="133" t="str">
        <f>IF(INDEX('#建筑消耗和buff配置索引'!BG:BG,MATCH($F476,'#建筑消耗和buff配置索引'!$M:$M,0))=0,"",INDEX('#建筑消耗和buff配置索引'!BG:BG,MATCH($F476,'#建筑消耗和buff配置索引'!$M:$M,0)))</f>
        <v/>
      </c>
      <c r="AO476" s="133" t="str">
        <f>IF(AN476="","",INDEX('#建筑消耗和buff配置索引'!BH:BH,MATCH($F476,'#建筑消耗和buff配置索引'!$M:$M,0)))</f>
        <v/>
      </c>
      <c r="AP476" s="133"/>
      <c r="AQ476" s="133"/>
      <c r="AR476" s="133" t="str">
        <f>IF(INDEX('#建筑消耗和buff配置索引'!BK:BK,MATCH($F476,'#建筑消耗和buff配置索引'!$M:$M,0))=0,"",INDEX('#建筑消耗和buff配置索引'!BK:BK,MATCH($F476,'#建筑消耗和buff配置索引'!$M:$M,0)))</f>
        <v/>
      </c>
      <c r="AS476" s="133" t="str">
        <f>IF(AR476="","",INDEX('#建筑消耗和buff配置索引'!BL:BL,MATCH($F476,'#建筑消耗和buff配置索引'!$M:$M,0)))</f>
        <v/>
      </c>
      <c r="AT476" s="133"/>
      <c r="AU476" s="133"/>
      <c r="AV476" s="133" t="str">
        <f>IF(INDEX('#建筑消耗和buff配置索引'!BO:BO,MATCH($F476,'#建筑消耗和buff配置索引'!$M:$M,0))=0,"",INDEX('#建筑消耗和buff配置索引'!BO:BO,MATCH($F476,'#建筑消耗和buff配置索引'!$M:$M,0)))</f>
        <v/>
      </c>
      <c r="AW476" s="133" t="str">
        <f>IF(AV476="","",INDEX('#建筑消耗和buff配置索引'!BP:BP,MATCH($F476,'#建筑消耗和buff配置索引'!$M:$M,0)))</f>
        <v/>
      </c>
      <c r="AX476" s="133"/>
      <c r="AY476" s="133"/>
      <c r="AZ476" s="133" t="str">
        <f>IF(INDEX('#建筑消耗和buff配置索引'!BS:BS,MATCH($F476,'#建筑消耗和buff配置索引'!$M:$M,0))=0,"",INDEX('#建筑消耗和buff配置索引'!BS:BS,MATCH($F476,'#建筑消耗和buff配置索引'!$M:$M,0)))</f>
        <v/>
      </c>
      <c r="BA476" s="133" t="str">
        <f>IF(AZ476="","",INDEX('#建筑消耗和buff配置索引'!BT:BT,MATCH($F476,'#建筑消耗和buff配置索引'!$M:$M,0)))</f>
        <v/>
      </c>
      <c r="BB476" s="133"/>
      <c r="BC476" s="133"/>
      <c r="BD476" s="133" t="str">
        <f>IF(INDEX('#建筑消耗和buff配置索引'!BW:BW,MATCH($F476,'#建筑消耗和buff配置索引'!$M:$M,0))=0,"",INDEX('#建筑消耗和buff配置索引'!BW:BW,MATCH($F476,'#建筑消耗和buff配置索引'!$M:$M,0)))</f>
        <v/>
      </c>
      <c r="BE476" s="133" t="str">
        <f>IF(BD476="","",INDEX('#建筑消耗和buff配置索引'!BX:BX,MATCH($F476,'#建筑消耗和buff配置索引'!$M:$M,0)))</f>
        <v/>
      </c>
      <c r="BF476" s="133"/>
      <c r="BG476" s="133"/>
      <c r="BH476" s="133"/>
      <c r="BI476" s="133">
        <v>8</v>
      </c>
      <c r="BJ476" s="133"/>
      <c r="BO476" s="133">
        <v>5</v>
      </c>
      <c r="BP476" s="140" t="s">
        <v>1360</v>
      </c>
      <c r="BQ476" s="140">
        <v>10003603</v>
      </c>
      <c r="BR476" s="140">
        <v>300</v>
      </c>
    </row>
    <row r="477" spans="1:70">
      <c r="A477" s="133">
        <v>2340022</v>
      </c>
      <c r="B477" s="133">
        <v>474</v>
      </c>
      <c r="C477" s="133">
        <v>234</v>
      </c>
      <c r="D477" s="133" t="s">
        <v>271</v>
      </c>
      <c r="E477" s="133">
        <v>22</v>
      </c>
      <c r="F477" s="133" t="str">
        <f t="shared" si="8"/>
        <v>金矿场22</v>
      </c>
      <c r="G477" s="133"/>
      <c r="H477" s="146"/>
      <c r="I477" s="133">
        <v>3</v>
      </c>
      <c r="J477" s="150">
        <f>INDEX('#建筑消耗和buff配置索引'!AH:AH,MATCH($F477,'#建筑消耗和buff配置索引'!$M:$M,0))</f>
        <v>60480</v>
      </c>
      <c r="K477" s="150">
        <f>INDEX('#建筑消耗和buff配置索引'!AA:AA,MATCH($F477,'#建筑消耗和buff配置索引'!$M:$M,0))</f>
        <v>1100000</v>
      </c>
      <c r="L477" s="150">
        <f>INDEX('#建筑消耗和buff配置索引'!AB:AB,MATCH($F477,'#建筑消耗和buff配置索引'!$M:$M,0))</f>
        <v>1100000</v>
      </c>
      <c r="M477" s="150">
        <f>INDEX('#建筑消耗和buff配置索引'!AC:AC,MATCH($F477,'#建筑消耗和buff配置索引'!$M:$M,0))</f>
        <v>1100000</v>
      </c>
      <c r="N477" s="150">
        <f>INDEX('#建筑消耗和buff配置索引'!AD:AD,MATCH($F477,'#建筑消耗和buff配置索引'!$M:$M,0))</f>
        <v>0</v>
      </c>
      <c r="O477" s="150" t="str">
        <f>IF(INDEX('#建筑消耗和buff配置索引'!T:T,MATCH($F477,'#建筑消耗和buff配置索引'!$M:$M,0))=0,"",INDEX('#建筑消耗和buff配置索引'!T:T,MATCH($F477,'#建筑消耗和buff配置索引'!$M:$M,0)))</f>
        <v/>
      </c>
      <c r="P477" s="133" t="str">
        <f>IF(INDEX('#建筑消耗和buff配置索引'!U:U,MATCH($F477,'#建筑消耗和buff配置索引'!$M:$M,0))=0,"",INDEX('#建筑消耗和buff配置索引'!U:U,MATCH($F477,'#建筑消耗和buff配置索引'!$M:$M,0)))</f>
        <v/>
      </c>
      <c r="Q477" s="133" t="str">
        <f>IF(INDEX('#建筑消耗和buff配置索引'!K:K,MATCH($F477,'#建筑消耗和buff配置索引'!$M:$M,0))=0,"",INDEX('#建筑消耗和buff配置索引'!K:K,MATCH($F477,'#建筑消耗和buff配置索引'!$M:$M,0)))</f>
        <v>201</v>
      </c>
      <c r="R477" s="133" t="str">
        <f>IF(INDEX('#建筑消耗和buff配置索引'!L:L,MATCH($F477,'#建筑消耗和buff配置索引'!$M:$M,0))=0,"",INDEX('#建筑消耗和buff配置索引'!L:L,MATCH($F477,'#建筑消耗和buff配置索引'!$M:$M,0)))</f>
        <v>22</v>
      </c>
      <c r="S477" s="133">
        <f>IF(INDEX('#建筑消耗和buff配置索引'!C:C,MATCH(F477,'#建筑消耗和buff配置索引'!M:M,0))=0,1,INDEX('#建筑消耗和buff配置索引'!C:C,MATCH(F477,'#建筑消耗和buff配置索引'!M:M,0)))</f>
        <v>3</v>
      </c>
      <c r="T477" s="133">
        <v>0</v>
      </c>
      <c r="U477" s="133">
        <v>0</v>
      </c>
      <c r="V477" s="133" t="str">
        <f>IF(E477=1,IF(INDEX('#建筑消耗和buff配置索引'!BY:BY,MATCH(D477,'#建筑消耗和buff配置索引'!A:A,0))=0,"",INDEX('#建筑消耗和buff配置索引'!BY:BY,MATCH(D477,'#建筑消耗和buff配置索引'!A:A,0))),"")</f>
        <v/>
      </c>
      <c r="W477" s="133" t="str">
        <f>IF(E477=1,IF(INDEX('#建筑消耗和buff配置索引'!BZ:BZ,MATCH(D477,'#建筑消耗和buff配置索引'!A:A,0))=0,"",INDEX('#建筑消耗和buff配置索引'!BZ:BZ,MATCH(D477,'#建筑消耗和buff配置索引'!A:A,0))),"")</f>
        <v/>
      </c>
      <c r="X477" s="133"/>
      <c r="Y477" s="133"/>
      <c r="Z477" s="133"/>
      <c r="AA477" s="133">
        <f>INDEX('#建筑消耗和buff配置索引'!AO:AO,MATCH($F477,'#建筑消耗和buff配置索引'!$M:$M,0))</f>
        <v>28328</v>
      </c>
      <c r="AB477" s="133">
        <f>IF(INDEX('#建筑消耗和buff配置索引'!AR:AR,MATCH($F477,'#建筑消耗和buff配置索引'!$M:$M,0))=0,"",INDEX('#建筑消耗和buff配置索引'!AR:AR,MATCH($F477,'#建筑消耗和buff配置索引'!$M:$M,0)))</f>
        <v>1019</v>
      </c>
      <c r="AC477" s="133">
        <f>IF(AB477="","",INDEX('#建筑消耗和buff配置索引'!AS:AS,MATCH($F477,'#建筑消耗和buff配置索引'!$M:$M,0)))</f>
        <v>10600</v>
      </c>
      <c r="AD477" s="133"/>
      <c r="AE477" s="133"/>
      <c r="AF477" s="133" t="str">
        <f>IF(INDEX('#建筑消耗和buff配置索引'!AW:AW,MATCH($F477,'#建筑消耗和buff配置索引'!$M:$M,0))=0,"",INDEX('#建筑消耗和buff配置索引'!AW:AW,MATCH($F477,'#建筑消耗和buff配置索引'!$M:$M,0)))</f>
        <v/>
      </c>
      <c r="AG477" s="133" t="str">
        <f>IF(AF477="","",INDEX('#建筑消耗和buff配置索引'!AX:AX,MATCH($F477,'#建筑消耗和buff配置索引'!$M:$M,0)))</f>
        <v/>
      </c>
      <c r="AH477" s="133"/>
      <c r="AI477" s="133"/>
      <c r="AJ477" s="133" t="str">
        <f>IF(INDEX('#建筑消耗和buff配置索引'!BB:BB,MATCH($F477,'#建筑消耗和buff配置索引'!$M:$M,0))=0,"",INDEX('#建筑消耗和buff配置索引'!BB:BB,MATCH($F477,'#建筑消耗和buff配置索引'!$M:$M,0)))</f>
        <v/>
      </c>
      <c r="AK477" s="133" t="str">
        <f>IF(AJ477="","",INDEX('#建筑消耗和buff配置索引'!BC:BC,MATCH($F477,'#建筑消耗和buff配置索引'!$M:$M,0)))</f>
        <v/>
      </c>
      <c r="AL477" s="133"/>
      <c r="AM477" s="133"/>
      <c r="AN477" s="133" t="str">
        <f>IF(INDEX('#建筑消耗和buff配置索引'!BG:BG,MATCH($F477,'#建筑消耗和buff配置索引'!$M:$M,0))=0,"",INDEX('#建筑消耗和buff配置索引'!BG:BG,MATCH($F477,'#建筑消耗和buff配置索引'!$M:$M,0)))</f>
        <v/>
      </c>
      <c r="AO477" s="133" t="str">
        <f>IF(AN477="","",INDEX('#建筑消耗和buff配置索引'!BH:BH,MATCH($F477,'#建筑消耗和buff配置索引'!$M:$M,0)))</f>
        <v/>
      </c>
      <c r="AP477" s="133"/>
      <c r="AQ477" s="133"/>
      <c r="AR477" s="133" t="str">
        <f>IF(INDEX('#建筑消耗和buff配置索引'!BK:BK,MATCH($F477,'#建筑消耗和buff配置索引'!$M:$M,0))=0,"",INDEX('#建筑消耗和buff配置索引'!BK:BK,MATCH($F477,'#建筑消耗和buff配置索引'!$M:$M,0)))</f>
        <v/>
      </c>
      <c r="AS477" s="133" t="str">
        <f>IF(AR477="","",INDEX('#建筑消耗和buff配置索引'!BL:BL,MATCH($F477,'#建筑消耗和buff配置索引'!$M:$M,0)))</f>
        <v/>
      </c>
      <c r="AT477" s="133"/>
      <c r="AU477" s="133"/>
      <c r="AV477" s="133" t="str">
        <f>IF(INDEX('#建筑消耗和buff配置索引'!BO:BO,MATCH($F477,'#建筑消耗和buff配置索引'!$M:$M,0))=0,"",INDEX('#建筑消耗和buff配置索引'!BO:BO,MATCH($F477,'#建筑消耗和buff配置索引'!$M:$M,0)))</f>
        <v/>
      </c>
      <c r="AW477" s="133" t="str">
        <f>IF(AV477="","",INDEX('#建筑消耗和buff配置索引'!BP:BP,MATCH($F477,'#建筑消耗和buff配置索引'!$M:$M,0)))</f>
        <v/>
      </c>
      <c r="AX477" s="133"/>
      <c r="AY477" s="133"/>
      <c r="AZ477" s="133" t="str">
        <f>IF(INDEX('#建筑消耗和buff配置索引'!BS:BS,MATCH($F477,'#建筑消耗和buff配置索引'!$M:$M,0))=0,"",INDEX('#建筑消耗和buff配置索引'!BS:BS,MATCH($F477,'#建筑消耗和buff配置索引'!$M:$M,0)))</f>
        <v/>
      </c>
      <c r="BA477" s="133" t="str">
        <f>IF(AZ477="","",INDEX('#建筑消耗和buff配置索引'!BT:BT,MATCH($F477,'#建筑消耗和buff配置索引'!$M:$M,0)))</f>
        <v/>
      </c>
      <c r="BB477" s="133"/>
      <c r="BC477" s="133"/>
      <c r="BD477" s="133" t="str">
        <f>IF(INDEX('#建筑消耗和buff配置索引'!BW:BW,MATCH($F477,'#建筑消耗和buff配置索引'!$M:$M,0))=0,"",INDEX('#建筑消耗和buff配置索引'!BW:BW,MATCH($F477,'#建筑消耗和buff配置索引'!$M:$M,0)))</f>
        <v/>
      </c>
      <c r="BE477" s="133" t="str">
        <f>IF(BD477="","",INDEX('#建筑消耗和buff配置索引'!BX:BX,MATCH($F477,'#建筑消耗和buff配置索引'!$M:$M,0)))</f>
        <v/>
      </c>
      <c r="BF477" s="133"/>
      <c r="BG477" s="133"/>
      <c r="BH477" s="133"/>
      <c r="BI477" s="133">
        <v>8</v>
      </c>
      <c r="BJ477" s="133"/>
      <c r="BO477" s="133">
        <v>5</v>
      </c>
      <c r="BP477" s="140" t="s">
        <v>1360</v>
      </c>
      <c r="BQ477" s="140">
        <v>10003603</v>
      </c>
      <c r="BR477" s="140">
        <v>300</v>
      </c>
    </row>
    <row r="478" spans="1:70">
      <c r="A478" s="133">
        <v>2340023</v>
      </c>
      <c r="B478" s="133">
        <v>475</v>
      </c>
      <c r="C478" s="133">
        <v>234</v>
      </c>
      <c r="D478" s="133" t="s">
        <v>271</v>
      </c>
      <c r="E478" s="133">
        <v>23</v>
      </c>
      <c r="F478" s="133" t="str">
        <f t="shared" si="8"/>
        <v>金矿场23</v>
      </c>
      <c r="G478" s="133"/>
      <c r="H478" s="146"/>
      <c r="I478" s="133">
        <v>3</v>
      </c>
      <c r="J478" s="150">
        <f>INDEX('#建筑消耗和buff配置索引'!AH:AH,MATCH($F478,'#建筑消耗和buff配置索引'!$M:$M,0))</f>
        <v>77760</v>
      </c>
      <c r="K478" s="150">
        <f>INDEX('#建筑消耗和buff配置索引'!AA:AA,MATCH($F478,'#建筑消耗和buff配置索引'!$M:$M,0))</f>
        <v>1400000</v>
      </c>
      <c r="L478" s="150">
        <f>INDEX('#建筑消耗和buff配置索引'!AB:AB,MATCH($F478,'#建筑消耗和buff配置索引'!$M:$M,0))</f>
        <v>1400000</v>
      </c>
      <c r="M478" s="150">
        <f>INDEX('#建筑消耗和buff配置索引'!AC:AC,MATCH($F478,'#建筑消耗和buff配置索引'!$M:$M,0))</f>
        <v>1400000</v>
      </c>
      <c r="N478" s="150">
        <f>INDEX('#建筑消耗和buff配置索引'!AD:AD,MATCH($F478,'#建筑消耗和buff配置索引'!$M:$M,0))</f>
        <v>0</v>
      </c>
      <c r="O478" s="150" t="str">
        <f>IF(INDEX('#建筑消耗和buff配置索引'!T:T,MATCH($F478,'#建筑消耗和buff配置索引'!$M:$M,0))=0,"",INDEX('#建筑消耗和buff配置索引'!T:T,MATCH($F478,'#建筑消耗和buff配置索引'!$M:$M,0)))</f>
        <v/>
      </c>
      <c r="P478" s="133" t="str">
        <f>IF(INDEX('#建筑消耗和buff配置索引'!U:U,MATCH($F478,'#建筑消耗和buff配置索引'!$M:$M,0))=0,"",INDEX('#建筑消耗和buff配置索引'!U:U,MATCH($F478,'#建筑消耗和buff配置索引'!$M:$M,0)))</f>
        <v/>
      </c>
      <c r="Q478" s="133" t="str">
        <f>IF(INDEX('#建筑消耗和buff配置索引'!K:K,MATCH($F478,'#建筑消耗和buff配置索引'!$M:$M,0))=0,"",INDEX('#建筑消耗和buff配置索引'!K:K,MATCH($F478,'#建筑消耗和buff配置索引'!$M:$M,0)))</f>
        <v>201</v>
      </c>
      <c r="R478" s="133" t="str">
        <f>IF(INDEX('#建筑消耗和buff配置索引'!L:L,MATCH($F478,'#建筑消耗和buff配置索引'!$M:$M,0))=0,"",INDEX('#建筑消耗和buff配置索引'!L:L,MATCH($F478,'#建筑消耗和buff配置索引'!$M:$M,0)))</f>
        <v>23</v>
      </c>
      <c r="S478" s="133">
        <f>IF(INDEX('#建筑消耗和buff配置索引'!C:C,MATCH(F478,'#建筑消耗和buff配置索引'!M:M,0))=0,1,INDEX('#建筑消耗和buff配置索引'!C:C,MATCH(F478,'#建筑消耗和buff配置索引'!M:M,0)))</f>
        <v>3</v>
      </c>
      <c r="T478" s="133">
        <v>0</v>
      </c>
      <c r="U478" s="133">
        <v>0</v>
      </c>
      <c r="V478" s="133" t="str">
        <f>IF(E478=1,IF(INDEX('#建筑消耗和buff配置索引'!BY:BY,MATCH(D478,'#建筑消耗和buff配置索引'!A:A,0))=0,"",INDEX('#建筑消耗和buff配置索引'!BY:BY,MATCH(D478,'#建筑消耗和buff配置索引'!A:A,0))),"")</f>
        <v/>
      </c>
      <c r="W478" s="133" t="str">
        <f>IF(E478=1,IF(INDEX('#建筑消耗和buff配置索引'!BZ:BZ,MATCH(D478,'#建筑消耗和buff配置索引'!A:A,0))=0,"",INDEX('#建筑消耗和buff配置索引'!BZ:BZ,MATCH(D478,'#建筑消耗和buff配置索引'!A:A,0))),"")</f>
        <v/>
      </c>
      <c r="X478" s="133"/>
      <c r="Y478" s="133"/>
      <c r="Z478" s="133"/>
      <c r="AA478" s="133">
        <f>INDEX('#建筑消耗和buff配置索引'!AO:AO,MATCH($F478,'#建筑消耗和buff配置索引'!$M:$M,0))</f>
        <v>36561</v>
      </c>
      <c r="AB478" s="133">
        <f>IF(INDEX('#建筑消耗和buff配置索引'!AR:AR,MATCH($F478,'#建筑消耗和buff配置索引'!$M:$M,0))=0,"",INDEX('#建筑消耗和buff配置索引'!AR:AR,MATCH($F478,'#建筑消耗和buff配置索引'!$M:$M,0)))</f>
        <v>1019</v>
      </c>
      <c r="AC478" s="133">
        <f>IF(AB478="","",INDEX('#建筑消耗和buff配置索引'!AS:AS,MATCH($F478,'#建筑消耗和buff配置索引'!$M:$M,0)))</f>
        <v>11400</v>
      </c>
      <c r="AD478" s="133"/>
      <c r="AE478" s="133"/>
      <c r="AF478" s="133" t="str">
        <f>IF(INDEX('#建筑消耗和buff配置索引'!AW:AW,MATCH($F478,'#建筑消耗和buff配置索引'!$M:$M,0))=0,"",INDEX('#建筑消耗和buff配置索引'!AW:AW,MATCH($F478,'#建筑消耗和buff配置索引'!$M:$M,0)))</f>
        <v/>
      </c>
      <c r="AG478" s="133" t="str">
        <f>IF(AF478="","",INDEX('#建筑消耗和buff配置索引'!AX:AX,MATCH($F478,'#建筑消耗和buff配置索引'!$M:$M,0)))</f>
        <v/>
      </c>
      <c r="AH478" s="133"/>
      <c r="AI478" s="133"/>
      <c r="AJ478" s="133" t="str">
        <f>IF(INDEX('#建筑消耗和buff配置索引'!BB:BB,MATCH($F478,'#建筑消耗和buff配置索引'!$M:$M,0))=0,"",INDEX('#建筑消耗和buff配置索引'!BB:BB,MATCH($F478,'#建筑消耗和buff配置索引'!$M:$M,0)))</f>
        <v/>
      </c>
      <c r="AK478" s="133" t="str">
        <f>IF(AJ478="","",INDEX('#建筑消耗和buff配置索引'!BC:BC,MATCH($F478,'#建筑消耗和buff配置索引'!$M:$M,0)))</f>
        <v/>
      </c>
      <c r="AL478" s="133"/>
      <c r="AM478" s="133"/>
      <c r="AN478" s="133" t="str">
        <f>IF(INDEX('#建筑消耗和buff配置索引'!BG:BG,MATCH($F478,'#建筑消耗和buff配置索引'!$M:$M,0))=0,"",INDEX('#建筑消耗和buff配置索引'!BG:BG,MATCH($F478,'#建筑消耗和buff配置索引'!$M:$M,0)))</f>
        <v/>
      </c>
      <c r="AO478" s="133" t="str">
        <f>IF(AN478="","",INDEX('#建筑消耗和buff配置索引'!BH:BH,MATCH($F478,'#建筑消耗和buff配置索引'!$M:$M,0)))</f>
        <v/>
      </c>
      <c r="AP478" s="133"/>
      <c r="AQ478" s="133"/>
      <c r="AR478" s="133" t="str">
        <f>IF(INDEX('#建筑消耗和buff配置索引'!BK:BK,MATCH($F478,'#建筑消耗和buff配置索引'!$M:$M,0))=0,"",INDEX('#建筑消耗和buff配置索引'!BK:BK,MATCH($F478,'#建筑消耗和buff配置索引'!$M:$M,0)))</f>
        <v/>
      </c>
      <c r="AS478" s="133" t="str">
        <f>IF(AR478="","",INDEX('#建筑消耗和buff配置索引'!BL:BL,MATCH($F478,'#建筑消耗和buff配置索引'!$M:$M,0)))</f>
        <v/>
      </c>
      <c r="AT478" s="133"/>
      <c r="AU478" s="133"/>
      <c r="AV478" s="133" t="str">
        <f>IF(INDEX('#建筑消耗和buff配置索引'!BO:BO,MATCH($F478,'#建筑消耗和buff配置索引'!$M:$M,0))=0,"",INDEX('#建筑消耗和buff配置索引'!BO:BO,MATCH($F478,'#建筑消耗和buff配置索引'!$M:$M,0)))</f>
        <v/>
      </c>
      <c r="AW478" s="133" t="str">
        <f>IF(AV478="","",INDEX('#建筑消耗和buff配置索引'!BP:BP,MATCH($F478,'#建筑消耗和buff配置索引'!$M:$M,0)))</f>
        <v/>
      </c>
      <c r="AX478" s="133"/>
      <c r="AY478" s="133"/>
      <c r="AZ478" s="133" t="str">
        <f>IF(INDEX('#建筑消耗和buff配置索引'!BS:BS,MATCH($F478,'#建筑消耗和buff配置索引'!$M:$M,0))=0,"",INDEX('#建筑消耗和buff配置索引'!BS:BS,MATCH($F478,'#建筑消耗和buff配置索引'!$M:$M,0)))</f>
        <v/>
      </c>
      <c r="BA478" s="133" t="str">
        <f>IF(AZ478="","",INDEX('#建筑消耗和buff配置索引'!BT:BT,MATCH($F478,'#建筑消耗和buff配置索引'!$M:$M,0)))</f>
        <v/>
      </c>
      <c r="BB478" s="133"/>
      <c r="BC478" s="133"/>
      <c r="BD478" s="133" t="str">
        <f>IF(INDEX('#建筑消耗和buff配置索引'!BW:BW,MATCH($F478,'#建筑消耗和buff配置索引'!$M:$M,0))=0,"",INDEX('#建筑消耗和buff配置索引'!BW:BW,MATCH($F478,'#建筑消耗和buff配置索引'!$M:$M,0)))</f>
        <v/>
      </c>
      <c r="BE478" s="133" t="str">
        <f>IF(BD478="","",INDEX('#建筑消耗和buff配置索引'!BX:BX,MATCH($F478,'#建筑消耗和buff配置索引'!$M:$M,0)))</f>
        <v/>
      </c>
      <c r="BF478" s="133"/>
      <c r="BG478" s="133"/>
      <c r="BH478" s="133"/>
      <c r="BI478" s="133">
        <v>8</v>
      </c>
      <c r="BJ478" s="133"/>
      <c r="BO478" s="133">
        <v>5</v>
      </c>
      <c r="BP478" s="140" t="s">
        <v>1360</v>
      </c>
      <c r="BQ478" s="140">
        <v>10003603</v>
      </c>
      <c r="BR478" s="140">
        <v>300</v>
      </c>
    </row>
    <row r="479" spans="1:70">
      <c r="A479" s="133">
        <v>2340024</v>
      </c>
      <c r="B479" s="133">
        <v>476</v>
      </c>
      <c r="C479" s="133">
        <v>234</v>
      </c>
      <c r="D479" s="133" t="s">
        <v>271</v>
      </c>
      <c r="E479" s="133">
        <v>24</v>
      </c>
      <c r="F479" s="133" t="str">
        <f t="shared" si="8"/>
        <v>金矿场24</v>
      </c>
      <c r="G479" s="133"/>
      <c r="H479" s="146"/>
      <c r="I479" s="133">
        <v>3</v>
      </c>
      <c r="J479" s="150">
        <f>INDEX('#建筑消耗和buff配置索引'!AH:AH,MATCH($F479,'#建筑消耗和buff配置索引'!$M:$M,0))</f>
        <v>99360</v>
      </c>
      <c r="K479" s="150">
        <f>INDEX('#建筑消耗和buff配置索引'!AA:AA,MATCH($F479,'#建筑消耗和buff配置索引'!$M:$M,0))</f>
        <v>1800000</v>
      </c>
      <c r="L479" s="150">
        <f>INDEX('#建筑消耗和buff配置索引'!AB:AB,MATCH($F479,'#建筑消耗和buff配置索引'!$M:$M,0))</f>
        <v>1800000</v>
      </c>
      <c r="M479" s="150">
        <f>INDEX('#建筑消耗和buff配置索引'!AC:AC,MATCH($F479,'#建筑消耗和buff配置索引'!$M:$M,0))</f>
        <v>1800000</v>
      </c>
      <c r="N479" s="150">
        <f>INDEX('#建筑消耗和buff配置索引'!AD:AD,MATCH($F479,'#建筑消耗和buff配置索引'!$M:$M,0))</f>
        <v>0</v>
      </c>
      <c r="O479" s="150" t="str">
        <f>IF(INDEX('#建筑消耗和buff配置索引'!T:T,MATCH($F479,'#建筑消耗和buff配置索引'!$M:$M,0))=0,"",INDEX('#建筑消耗和buff配置索引'!T:T,MATCH($F479,'#建筑消耗和buff配置索引'!$M:$M,0)))</f>
        <v/>
      </c>
      <c r="P479" s="133" t="str">
        <f>IF(INDEX('#建筑消耗和buff配置索引'!U:U,MATCH($F479,'#建筑消耗和buff配置索引'!$M:$M,0))=0,"",INDEX('#建筑消耗和buff配置索引'!U:U,MATCH($F479,'#建筑消耗和buff配置索引'!$M:$M,0)))</f>
        <v/>
      </c>
      <c r="Q479" s="133" t="str">
        <f>IF(INDEX('#建筑消耗和buff配置索引'!K:K,MATCH($F479,'#建筑消耗和buff配置索引'!$M:$M,0))=0,"",INDEX('#建筑消耗和buff配置索引'!K:K,MATCH($F479,'#建筑消耗和buff配置索引'!$M:$M,0)))</f>
        <v>201</v>
      </c>
      <c r="R479" s="133" t="str">
        <f>IF(INDEX('#建筑消耗和buff配置索引'!L:L,MATCH($F479,'#建筑消耗和buff配置索引'!$M:$M,0))=0,"",INDEX('#建筑消耗和buff配置索引'!L:L,MATCH($F479,'#建筑消耗和buff配置索引'!$M:$M,0)))</f>
        <v>24</v>
      </c>
      <c r="S479" s="133">
        <f>IF(INDEX('#建筑消耗和buff配置索引'!C:C,MATCH(F479,'#建筑消耗和buff配置索引'!M:M,0))=0,1,INDEX('#建筑消耗和buff配置索引'!C:C,MATCH(F479,'#建筑消耗和buff配置索引'!M:M,0)))</f>
        <v>3</v>
      </c>
      <c r="T479" s="133">
        <v>0</v>
      </c>
      <c r="U479" s="133">
        <v>0</v>
      </c>
      <c r="V479" s="133" t="str">
        <f>IF(E479=1,IF(INDEX('#建筑消耗和buff配置索引'!BY:BY,MATCH(D479,'#建筑消耗和buff配置索引'!A:A,0))=0,"",INDEX('#建筑消耗和buff配置索引'!BY:BY,MATCH(D479,'#建筑消耗和buff配置索引'!A:A,0))),"")</f>
        <v/>
      </c>
      <c r="W479" s="133" t="str">
        <f>IF(E479=1,IF(INDEX('#建筑消耗和buff配置索引'!BZ:BZ,MATCH(D479,'#建筑消耗和buff配置索引'!A:A,0))=0,"",INDEX('#建筑消耗和buff配置索引'!BZ:BZ,MATCH(D479,'#建筑消耗和buff配置索引'!A:A,0))),"")</f>
        <v/>
      </c>
      <c r="X479" s="133"/>
      <c r="Y479" s="133"/>
      <c r="Z479" s="133"/>
      <c r="AA479" s="133">
        <f>INDEX('#建筑消耗和buff配置索引'!AO:AO,MATCH($F479,'#建筑消耗和buff配置索引'!$M:$M,0))</f>
        <v>47100</v>
      </c>
      <c r="AB479" s="133">
        <f>IF(INDEX('#建筑消耗和buff配置索引'!AR:AR,MATCH($F479,'#建筑消耗和buff配置索引'!$M:$M,0))=0,"",INDEX('#建筑消耗和buff配置索引'!AR:AR,MATCH($F479,'#建筑消耗和buff配置索引'!$M:$M,0)))</f>
        <v>1019</v>
      </c>
      <c r="AC479" s="133">
        <f>IF(AB479="","",INDEX('#建筑消耗和buff配置索引'!AS:AS,MATCH($F479,'#建筑消耗和buff配置索引'!$M:$M,0)))</f>
        <v>12200</v>
      </c>
      <c r="AD479" s="133"/>
      <c r="AE479" s="133"/>
      <c r="AF479" s="133" t="str">
        <f>IF(INDEX('#建筑消耗和buff配置索引'!AW:AW,MATCH($F479,'#建筑消耗和buff配置索引'!$M:$M,0))=0,"",INDEX('#建筑消耗和buff配置索引'!AW:AW,MATCH($F479,'#建筑消耗和buff配置索引'!$M:$M,0)))</f>
        <v/>
      </c>
      <c r="AG479" s="133" t="str">
        <f>IF(AF479="","",INDEX('#建筑消耗和buff配置索引'!AX:AX,MATCH($F479,'#建筑消耗和buff配置索引'!$M:$M,0)))</f>
        <v/>
      </c>
      <c r="AH479" s="133"/>
      <c r="AI479" s="133"/>
      <c r="AJ479" s="133" t="str">
        <f>IF(INDEX('#建筑消耗和buff配置索引'!BB:BB,MATCH($F479,'#建筑消耗和buff配置索引'!$M:$M,0))=0,"",INDEX('#建筑消耗和buff配置索引'!BB:BB,MATCH($F479,'#建筑消耗和buff配置索引'!$M:$M,0)))</f>
        <v/>
      </c>
      <c r="AK479" s="133" t="str">
        <f>IF(AJ479="","",INDEX('#建筑消耗和buff配置索引'!BC:BC,MATCH($F479,'#建筑消耗和buff配置索引'!$M:$M,0)))</f>
        <v/>
      </c>
      <c r="AL479" s="133"/>
      <c r="AM479" s="133"/>
      <c r="AN479" s="133" t="str">
        <f>IF(INDEX('#建筑消耗和buff配置索引'!BG:BG,MATCH($F479,'#建筑消耗和buff配置索引'!$M:$M,0))=0,"",INDEX('#建筑消耗和buff配置索引'!BG:BG,MATCH($F479,'#建筑消耗和buff配置索引'!$M:$M,0)))</f>
        <v/>
      </c>
      <c r="AO479" s="133" t="str">
        <f>IF(AN479="","",INDEX('#建筑消耗和buff配置索引'!BH:BH,MATCH($F479,'#建筑消耗和buff配置索引'!$M:$M,0)))</f>
        <v/>
      </c>
      <c r="AP479" s="133"/>
      <c r="AQ479" s="133"/>
      <c r="AR479" s="133" t="str">
        <f>IF(INDEX('#建筑消耗和buff配置索引'!BK:BK,MATCH($F479,'#建筑消耗和buff配置索引'!$M:$M,0))=0,"",INDEX('#建筑消耗和buff配置索引'!BK:BK,MATCH($F479,'#建筑消耗和buff配置索引'!$M:$M,0)))</f>
        <v/>
      </c>
      <c r="AS479" s="133" t="str">
        <f>IF(AR479="","",INDEX('#建筑消耗和buff配置索引'!BL:BL,MATCH($F479,'#建筑消耗和buff配置索引'!$M:$M,0)))</f>
        <v/>
      </c>
      <c r="AT479" s="133"/>
      <c r="AU479" s="133"/>
      <c r="AV479" s="133" t="str">
        <f>IF(INDEX('#建筑消耗和buff配置索引'!BO:BO,MATCH($F479,'#建筑消耗和buff配置索引'!$M:$M,0))=0,"",INDEX('#建筑消耗和buff配置索引'!BO:BO,MATCH($F479,'#建筑消耗和buff配置索引'!$M:$M,0)))</f>
        <v/>
      </c>
      <c r="AW479" s="133" t="str">
        <f>IF(AV479="","",INDEX('#建筑消耗和buff配置索引'!BP:BP,MATCH($F479,'#建筑消耗和buff配置索引'!$M:$M,0)))</f>
        <v/>
      </c>
      <c r="AX479" s="133"/>
      <c r="AY479" s="133"/>
      <c r="AZ479" s="133" t="str">
        <f>IF(INDEX('#建筑消耗和buff配置索引'!BS:BS,MATCH($F479,'#建筑消耗和buff配置索引'!$M:$M,0))=0,"",INDEX('#建筑消耗和buff配置索引'!BS:BS,MATCH($F479,'#建筑消耗和buff配置索引'!$M:$M,0)))</f>
        <v/>
      </c>
      <c r="BA479" s="133" t="str">
        <f>IF(AZ479="","",INDEX('#建筑消耗和buff配置索引'!BT:BT,MATCH($F479,'#建筑消耗和buff配置索引'!$M:$M,0)))</f>
        <v/>
      </c>
      <c r="BB479" s="133"/>
      <c r="BC479" s="133"/>
      <c r="BD479" s="133" t="str">
        <f>IF(INDEX('#建筑消耗和buff配置索引'!BW:BW,MATCH($F479,'#建筑消耗和buff配置索引'!$M:$M,0))=0,"",INDEX('#建筑消耗和buff配置索引'!BW:BW,MATCH($F479,'#建筑消耗和buff配置索引'!$M:$M,0)))</f>
        <v/>
      </c>
      <c r="BE479" s="133" t="str">
        <f>IF(BD479="","",INDEX('#建筑消耗和buff配置索引'!BX:BX,MATCH($F479,'#建筑消耗和buff配置索引'!$M:$M,0)))</f>
        <v/>
      </c>
      <c r="BF479" s="133"/>
      <c r="BG479" s="133"/>
      <c r="BH479" s="133"/>
      <c r="BI479" s="133">
        <v>8</v>
      </c>
      <c r="BJ479" s="133"/>
      <c r="BO479" s="133">
        <v>5</v>
      </c>
      <c r="BP479" s="140" t="s">
        <v>1360</v>
      </c>
      <c r="BQ479" s="140">
        <v>10003603</v>
      </c>
      <c r="BR479" s="140">
        <v>300</v>
      </c>
    </row>
    <row r="480" spans="1:70">
      <c r="A480" s="133">
        <v>2340025</v>
      </c>
      <c r="B480" s="133">
        <v>477</v>
      </c>
      <c r="C480" s="133">
        <v>234</v>
      </c>
      <c r="D480" s="133" t="s">
        <v>271</v>
      </c>
      <c r="E480" s="133">
        <v>25</v>
      </c>
      <c r="F480" s="133" t="str">
        <f t="shared" si="8"/>
        <v>金矿场25</v>
      </c>
      <c r="G480" s="133"/>
      <c r="H480" s="146"/>
      <c r="I480" s="133">
        <v>3</v>
      </c>
      <c r="J480" s="150">
        <f>INDEX('#建筑消耗和buff配置索引'!AH:AH,MATCH($F480,'#建筑消耗和buff配置索引'!$M:$M,0))</f>
        <v>125280</v>
      </c>
      <c r="K480" s="150">
        <f>INDEX('#建筑消耗和buff配置索引'!AA:AA,MATCH($F480,'#建筑消耗和buff配置索引'!$M:$M,0))</f>
        <v>2200000</v>
      </c>
      <c r="L480" s="150">
        <f>INDEX('#建筑消耗和buff配置索引'!AB:AB,MATCH($F480,'#建筑消耗和buff配置索引'!$M:$M,0))</f>
        <v>2200000</v>
      </c>
      <c r="M480" s="150">
        <f>INDEX('#建筑消耗和buff配置索引'!AC:AC,MATCH($F480,'#建筑消耗和buff配置索引'!$M:$M,0))</f>
        <v>2200000</v>
      </c>
      <c r="N480" s="150">
        <f>INDEX('#建筑消耗和buff配置索引'!AD:AD,MATCH($F480,'#建筑消耗和buff配置索引'!$M:$M,0))</f>
        <v>0</v>
      </c>
      <c r="O480" s="150" t="str">
        <f>IF(INDEX('#建筑消耗和buff配置索引'!T:T,MATCH($F480,'#建筑消耗和buff配置索引'!$M:$M,0))=0,"",INDEX('#建筑消耗和buff配置索引'!T:T,MATCH($F480,'#建筑消耗和buff配置索引'!$M:$M,0)))</f>
        <v/>
      </c>
      <c r="P480" s="133" t="str">
        <f>IF(INDEX('#建筑消耗和buff配置索引'!U:U,MATCH($F480,'#建筑消耗和buff配置索引'!$M:$M,0))=0,"",INDEX('#建筑消耗和buff配置索引'!U:U,MATCH($F480,'#建筑消耗和buff配置索引'!$M:$M,0)))</f>
        <v/>
      </c>
      <c r="Q480" s="133" t="str">
        <f>IF(INDEX('#建筑消耗和buff配置索引'!K:K,MATCH($F480,'#建筑消耗和buff配置索引'!$M:$M,0))=0,"",INDEX('#建筑消耗和buff配置索引'!K:K,MATCH($F480,'#建筑消耗和buff配置索引'!$M:$M,0)))</f>
        <v>201</v>
      </c>
      <c r="R480" s="133" t="str">
        <f>IF(INDEX('#建筑消耗和buff配置索引'!L:L,MATCH($F480,'#建筑消耗和buff配置索引'!$M:$M,0))=0,"",INDEX('#建筑消耗和buff配置索引'!L:L,MATCH($F480,'#建筑消耗和buff配置索引'!$M:$M,0)))</f>
        <v>25</v>
      </c>
      <c r="S480" s="133">
        <f>IF(INDEX('#建筑消耗和buff配置索引'!C:C,MATCH(F480,'#建筑消耗和buff配置索引'!M:M,0))=0,1,INDEX('#建筑消耗和buff配置索引'!C:C,MATCH(F480,'#建筑消耗和buff配置索引'!M:M,0)))</f>
        <v>3</v>
      </c>
      <c r="T480" s="133">
        <v>0</v>
      </c>
      <c r="U480" s="133">
        <v>0</v>
      </c>
      <c r="V480" s="133" t="str">
        <f>IF(E480=1,IF(INDEX('#建筑消耗和buff配置索引'!BY:BY,MATCH(D480,'#建筑消耗和buff配置索引'!A:A,0))=0,"",INDEX('#建筑消耗和buff配置索引'!BY:BY,MATCH(D480,'#建筑消耗和buff配置索引'!A:A,0))),"")</f>
        <v/>
      </c>
      <c r="W480" s="133" t="str">
        <f>IF(E480=1,IF(INDEX('#建筑消耗和buff配置索引'!BZ:BZ,MATCH(D480,'#建筑消耗和buff配置索引'!A:A,0))=0,"",INDEX('#建筑消耗和buff配置索引'!BZ:BZ,MATCH(D480,'#建筑消耗和buff配置索引'!A:A,0))),"")</f>
        <v/>
      </c>
      <c r="X480" s="133"/>
      <c r="Y480" s="133"/>
      <c r="Z480" s="133"/>
      <c r="AA480" s="133">
        <f>INDEX('#建筑消耗和buff配置索引'!AO:AO,MATCH($F480,'#建筑消耗和buff配置索引'!$M:$M,0))</f>
        <v>60589</v>
      </c>
      <c r="AB480" s="133">
        <f>IF(INDEX('#建筑消耗和buff配置索引'!AR:AR,MATCH($F480,'#建筑消耗和buff配置索引'!$M:$M,0))=0,"",INDEX('#建筑消耗和buff配置索引'!AR:AR,MATCH($F480,'#建筑消耗和buff配置索引'!$M:$M,0)))</f>
        <v>1019</v>
      </c>
      <c r="AC480" s="133">
        <f>IF(AB480="","",INDEX('#建筑消耗和buff配置索引'!AS:AS,MATCH($F480,'#建筑消耗和buff配置索引'!$M:$M,0)))</f>
        <v>13000</v>
      </c>
      <c r="AD480" s="133"/>
      <c r="AE480" s="133"/>
      <c r="AF480" s="133" t="str">
        <f>IF(INDEX('#建筑消耗和buff配置索引'!AW:AW,MATCH($F480,'#建筑消耗和buff配置索引'!$M:$M,0))=0,"",INDEX('#建筑消耗和buff配置索引'!AW:AW,MATCH($F480,'#建筑消耗和buff配置索引'!$M:$M,0)))</f>
        <v/>
      </c>
      <c r="AG480" s="133" t="str">
        <f>IF(AF480="","",INDEX('#建筑消耗和buff配置索引'!AX:AX,MATCH($F480,'#建筑消耗和buff配置索引'!$M:$M,0)))</f>
        <v/>
      </c>
      <c r="AH480" s="133"/>
      <c r="AI480" s="133"/>
      <c r="AJ480" s="133" t="str">
        <f>IF(INDEX('#建筑消耗和buff配置索引'!BB:BB,MATCH($F480,'#建筑消耗和buff配置索引'!$M:$M,0))=0,"",INDEX('#建筑消耗和buff配置索引'!BB:BB,MATCH($F480,'#建筑消耗和buff配置索引'!$M:$M,0)))</f>
        <v/>
      </c>
      <c r="AK480" s="133" t="str">
        <f>IF(AJ480="","",INDEX('#建筑消耗和buff配置索引'!BC:BC,MATCH($F480,'#建筑消耗和buff配置索引'!$M:$M,0)))</f>
        <v/>
      </c>
      <c r="AL480" s="133"/>
      <c r="AM480" s="133"/>
      <c r="AN480" s="133" t="str">
        <f>IF(INDEX('#建筑消耗和buff配置索引'!BG:BG,MATCH($F480,'#建筑消耗和buff配置索引'!$M:$M,0))=0,"",INDEX('#建筑消耗和buff配置索引'!BG:BG,MATCH($F480,'#建筑消耗和buff配置索引'!$M:$M,0)))</f>
        <v/>
      </c>
      <c r="AO480" s="133" t="str">
        <f>IF(AN480="","",INDEX('#建筑消耗和buff配置索引'!BH:BH,MATCH($F480,'#建筑消耗和buff配置索引'!$M:$M,0)))</f>
        <v/>
      </c>
      <c r="AP480" s="133"/>
      <c r="AQ480" s="133"/>
      <c r="AR480" s="133" t="str">
        <f>IF(INDEX('#建筑消耗和buff配置索引'!BK:BK,MATCH($F480,'#建筑消耗和buff配置索引'!$M:$M,0))=0,"",INDEX('#建筑消耗和buff配置索引'!BK:BK,MATCH($F480,'#建筑消耗和buff配置索引'!$M:$M,0)))</f>
        <v/>
      </c>
      <c r="AS480" s="133" t="str">
        <f>IF(AR480="","",INDEX('#建筑消耗和buff配置索引'!BL:BL,MATCH($F480,'#建筑消耗和buff配置索引'!$M:$M,0)))</f>
        <v/>
      </c>
      <c r="AT480" s="133"/>
      <c r="AU480" s="133"/>
      <c r="AV480" s="133" t="str">
        <f>IF(INDEX('#建筑消耗和buff配置索引'!BO:BO,MATCH($F480,'#建筑消耗和buff配置索引'!$M:$M,0))=0,"",INDEX('#建筑消耗和buff配置索引'!BO:BO,MATCH($F480,'#建筑消耗和buff配置索引'!$M:$M,0)))</f>
        <v/>
      </c>
      <c r="AW480" s="133" t="str">
        <f>IF(AV480="","",INDEX('#建筑消耗和buff配置索引'!BP:BP,MATCH($F480,'#建筑消耗和buff配置索引'!$M:$M,0)))</f>
        <v/>
      </c>
      <c r="AX480" s="133"/>
      <c r="AY480" s="133"/>
      <c r="AZ480" s="133" t="str">
        <f>IF(INDEX('#建筑消耗和buff配置索引'!BS:BS,MATCH($F480,'#建筑消耗和buff配置索引'!$M:$M,0))=0,"",INDEX('#建筑消耗和buff配置索引'!BS:BS,MATCH($F480,'#建筑消耗和buff配置索引'!$M:$M,0)))</f>
        <v/>
      </c>
      <c r="BA480" s="133" t="str">
        <f>IF(AZ480="","",INDEX('#建筑消耗和buff配置索引'!BT:BT,MATCH($F480,'#建筑消耗和buff配置索引'!$M:$M,0)))</f>
        <v/>
      </c>
      <c r="BB480" s="133"/>
      <c r="BC480" s="133"/>
      <c r="BD480" s="133" t="str">
        <f>IF(INDEX('#建筑消耗和buff配置索引'!BW:BW,MATCH($F480,'#建筑消耗和buff配置索引'!$M:$M,0))=0,"",INDEX('#建筑消耗和buff配置索引'!BW:BW,MATCH($F480,'#建筑消耗和buff配置索引'!$M:$M,0)))</f>
        <v/>
      </c>
      <c r="BE480" s="133" t="str">
        <f>IF(BD480="","",INDEX('#建筑消耗和buff配置索引'!BX:BX,MATCH($F480,'#建筑消耗和buff配置索引'!$M:$M,0)))</f>
        <v/>
      </c>
      <c r="BF480" s="133"/>
      <c r="BG480" s="133"/>
      <c r="BH480" s="133"/>
      <c r="BI480" s="133">
        <v>8</v>
      </c>
      <c r="BJ480" s="133"/>
      <c r="BO480" s="133">
        <v>5</v>
      </c>
      <c r="BP480" s="140" t="s">
        <v>1360</v>
      </c>
      <c r="BQ480" s="140">
        <v>10003603</v>
      </c>
      <c r="BR480" s="140">
        <v>300</v>
      </c>
    </row>
    <row r="481" spans="1:70">
      <c r="A481" s="133">
        <v>2340026</v>
      </c>
      <c r="B481" s="133">
        <v>478</v>
      </c>
      <c r="C481" s="133">
        <v>234</v>
      </c>
      <c r="D481" s="133" t="s">
        <v>271</v>
      </c>
      <c r="E481" s="133">
        <v>26</v>
      </c>
      <c r="F481" s="133" t="str">
        <f t="shared" si="8"/>
        <v>金矿场26</v>
      </c>
      <c r="G481" s="133"/>
      <c r="H481" s="146"/>
      <c r="I481" s="133">
        <v>3</v>
      </c>
      <c r="J481" s="150">
        <f>INDEX('#建筑消耗和buff配置索引'!AH:AH,MATCH($F481,'#建筑消耗和buff配置索引'!$M:$M,0))</f>
        <v>155520</v>
      </c>
      <c r="K481" s="150">
        <f>INDEX('#建筑消耗和buff配置索引'!AA:AA,MATCH($F481,'#建筑消耗和buff配置索引'!$M:$M,0))</f>
        <v>2900000</v>
      </c>
      <c r="L481" s="150">
        <f>INDEX('#建筑消耗和buff配置索引'!AB:AB,MATCH($F481,'#建筑消耗和buff配置索引'!$M:$M,0))</f>
        <v>2900000</v>
      </c>
      <c r="M481" s="150">
        <f>INDEX('#建筑消耗和buff配置索引'!AC:AC,MATCH($F481,'#建筑消耗和buff配置索引'!$M:$M,0))</f>
        <v>2900000</v>
      </c>
      <c r="N481" s="150">
        <f>INDEX('#建筑消耗和buff配置索引'!AD:AD,MATCH($F481,'#建筑消耗和buff配置索引'!$M:$M,0))</f>
        <v>0</v>
      </c>
      <c r="O481" s="150" t="str">
        <f>IF(INDEX('#建筑消耗和buff配置索引'!T:T,MATCH($F481,'#建筑消耗和buff配置索引'!$M:$M,0))=0,"",INDEX('#建筑消耗和buff配置索引'!T:T,MATCH($F481,'#建筑消耗和buff配置索引'!$M:$M,0)))</f>
        <v/>
      </c>
      <c r="P481" s="133" t="str">
        <f>IF(INDEX('#建筑消耗和buff配置索引'!U:U,MATCH($F481,'#建筑消耗和buff配置索引'!$M:$M,0))=0,"",INDEX('#建筑消耗和buff配置索引'!U:U,MATCH($F481,'#建筑消耗和buff配置索引'!$M:$M,0)))</f>
        <v/>
      </c>
      <c r="Q481" s="133" t="str">
        <f>IF(INDEX('#建筑消耗和buff配置索引'!K:K,MATCH($F481,'#建筑消耗和buff配置索引'!$M:$M,0))=0,"",INDEX('#建筑消耗和buff配置索引'!K:K,MATCH($F481,'#建筑消耗和buff配置索引'!$M:$M,0)))</f>
        <v>201</v>
      </c>
      <c r="R481" s="133" t="str">
        <f>IF(INDEX('#建筑消耗和buff配置索引'!L:L,MATCH($F481,'#建筑消耗和buff配置索引'!$M:$M,0))=0,"",INDEX('#建筑消耗和buff配置索引'!L:L,MATCH($F481,'#建筑消耗和buff配置索引'!$M:$M,0)))</f>
        <v>26</v>
      </c>
      <c r="S481" s="133">
        <f>IF(INDEX('#建筑消耗和buff配置索引'!C:C,MATCH(F481,'#建筑消耗和buff配置索引'!M:M,0))=0,1,INDEX('#建筑消耗和buff配置索引'!C:C,MATCH(F481,'#建筑消耗和buff配置索引'!M:M,0)))</f>
        <v>3</v>
      </c>
      <c r="T481" s="133">
        <v>0</v>
      </c>
      <c r="U481" s="133">
        <v>0</v>
      </c>
      <c r="V481" s="133" t="str">
        <f>IF(E481=1,IF(INDEX('#建筑消耗和buff配置索引'!BY:BY,MATCH(D481,'#建筑消耗和buff配置索引'!A:A,0))=0,"",INDEX('#建筑消耗和buff配置索引'!BY:BY,MATCH(D481,'#建筑消耗和buff配置索引'!A:A,0))),"")</f>
        <v/>
      </c>
      <c r="W481" s="133" t="str">
        <f>IF(E481=1,IF(INDEX('#建筑消耗和buff配置索引'!BZ:BZ,MATCH(D481,'#建筑消耗和buff配置索引'!A:A,0))=0,"",INDEX('#建筑消耗和buff配置索引'!BZ:BZ,MATCH(D481,'#建筑消耗和buff配置索引'!A:A,0))),"")</f>
        <v/>
      </c>
      <c r="X481" s="133"/>
      <c r="Y481" s="133"/>
      <c r="Z481" s="133"/>
      <c r="AA481" s="133">
        <f>INDEX('#建筑消耗和buff配置索引'!AO:AO,MATCH($F481,'#建筑消耗和buff配置索引'!$M:$M,0))</f>
        <v>77856</v>
      </c>
      <c r="AB481" s="133">
        <f>IF(INDEX('#建筑消耗和buff配置索引'!AR:AR,MATCH($F481,'#建筑消耗和buff配置索引'!$M:$M,0))=0,"",INDEX('#建筑消耗和buff配置索引'!AR:AR,MATCH($F481,'#建筑消耗和buff配置索引'!$M:$M,0)))</f>
        <v>1019</v>
      </c>
      <c r="AC481" s="133">
        <f>IF(AB481="","",INDEX('#建筑消耗和buff配置索引'!AS:AS,MATCH($F481,'#建筑消耗和buff配置索引'!$M:$M,0)))</f>
        <v>14000</v>
      </c>
      <c r="AD481" s="133"/>
      <c r="AE481" s="133"/>
      <c r="AF481" s="133" t="str">
        <f>IF(INDEX('#建筑消耗和buff配置索引'!AW:AW,MATCH($F481,'#建筑消耗和buff配置索引'!$M:$M,0))=0,"",INDEX('#建筑消耗和buff配置索引'!AW:AW,MATCH($F481,'#建筑消耗和buff配置索引'!$M:$M,0)))</f>
        <v/>
      </c>
      <c r="AG481" s="133" t="str">
        <f>IF(AF481="","",INDEX('#建筑消耗和buff配置索引'!AX:AX,MATCH($F481,'#建筑消耗和buff配置索引'!$M:$M,0)))</f>
        <v/>
      </c>
      <c r="AH481" s="133"/>
      <c r="AI481" s="133"/>
      <c r="AJ481" s="133" t="str">
        <f>IF(INDEX('#建筑消耗和buff配置索引'!BB:BB,MATCH($F481,'#建筑消耗和buff配置索引'!$M:$M,0))=0,"",INDEX('#建筑消耗和buff配置索引'!BB:BB,MATCH($F481,'#建筑消耗和buff配置索引'!$M:$M,0)))</f>
        <v/>
      </c>
      <c r="AK481" s="133" t="str">
        <f>IF(AJ481="","",INDEX('#建筑消耗和buff配置索引'!BC:BC,MATCH($F481,'#建筑消耗和buff配置索引'!$M:$M,0)))</f>
        <v/>
      </c>
      <c r="AL481" s="133"/>
      <c r="AM481" s="133"/>
      <c r="AN481" s="133" t="str">
        <f>IF(INDEX('#建筑消耗和buff配置索引'!BG:BG,MATCH($F481,'#建筑消耗和buff配置索引'!$M:$M,0))=0,"",INDEX('#建筑消耗和buff配置索引'!BG:BG,MATCH($F481,'#建筑消耗和buff配置索引'!$M:$M,0)))</f>
        <v/>
      </c>
      <c r="AO481" s="133" t="str">
        <f>IF(AN481="","",INDEX('#建筑消耗和buff配置索引'!BH:BH,MATCH($F481,'#建筑消耗和buff配置索引'!$M:$M,0)))</f>
        <v/>
      </c>
      <c r="AP481" s="133"/>
      <c r="AQ481" s="133"/>
      <c r="AR481" s="133" t="str">
        <f>IF(INDEX('#建筑消耗和buff配置索引'!BK:BK,MATCH($F481,'#建筑消耗和buff配置索引'!$M:$M,0))=0,"",INDEX('#建筑消耗和buff配置索引'!BK:BK,MATCH($F481,'#建筑消耗和buff配置索引'!$M:$M,0)))</f>
        <v/>
      </c>
      <c r="AS481" s="133" t="str">
        <f>IF(AR481="","",INDEX('#建筑消耗和buff配置索引'!BL:BL,MATCH($F481,'#建筑消耗和buff配置索引'!$M:$M,0)))</f>
        <v/>
      </c>
      <c r="AT481" s="133"/>
      <c r="AU481" s="133"/>
      <c r="AV481" s="133" t="str">
        <f>IF(INDEX('#建筑消耗和buff配置索引'!BO:BO,MATCH($F481,'#建筑消耗和buff配置索引'!$M:$M,0))=0,"",INDEX('#建筑消耗和buff配置索引'!BO:BO,MATCH($F481,'#建筑消耗和buff配置索引'!$M:$M,0)))</f>
        <v/>
      </c>
      <c r="AW481" s="133" t="str">
        <f>IF(AV481="","",INDEX('#建筑消耗和buff配置索引'!BP:BP,MATCH($F481,'#建筑消耗和buff配置索引'!$M:$M,0)))</f>
        <v/>
      </c>
      <c r="AX481" s="133"/>
      <c r="AY481" s="133"/>
      <c r="AZ481" s="133" t="str">
        <f>IF(INDEX('#建筑消耗和buff配置索引'!BS:BS,MATCH($F481,'#建筑消耗和buff配置索引'!$M:$M,0))=0,"",INDEX('#建筑消耗和buff配置索引'!BS:BS,MATCH($F481,'#建筑消耗和buff配置索引'!$M:$M,0)))</f>
        <v/>
      </c>
      <c r="BA481" s="133" t="str">
        <f>IF(AZ481="","",INDEX('#建筑消耗和buff配置索引'!BT:BT,MATCH($F481,'#建筑消耗和buff配置索引'!$M:$M,0)))</f>
        <v/>
      </c>
      <c r="BB481" s="133"/>
      <c r="BC481" s="133"/>
      <c r="BD481" s="133" t="str">
        <f>IF(INDEX('#建筑消耗和buff配置索引'!BW:BW,MATCH($F481,'#建筑消耗和buff配置索引'!$M:$M,0))=0,"",INDEX('#建筑消耗和buff配置索引'!BW:BW,MATCH($F481,'#建筑消耗和buff配置索引'!$M:$M,0)))</f>
        <v/>
      </c>
      <c r="BE481" s="133" t="str">
        <f>IF(BD481="","",INDEX('#建筑消耗和buff配置索引'!BX:BX,MATCH($F481,'#建筑消耗和buff配置索引'!$M:$M,0)))</f>
        <v/>
      </c>
      <c r="BF481" s="133"/>
      <c r="BG481" s="133"/>
      <c r="BH481" s="133"/>
      <c r="BI481" s="133">
        <v>8</v>
      </c>
      <c r="BJ481" s="133"/>
      <c r="BO481" s="133">
        <v>5</v>
      </c>
      <c r="BP481" s="140" t="s">
        <v>1360</v>
      </c>
      <c r="BQ481" s="140">
        <v>10003603</v>
      </c>
      <c r="BR481" s="140">
        <v>300</v>
      </c>
    </row>
    <row r="482" spans="1:70">
      <c r="A482" s="133">
        <v>2340027</v>
      </c>
      <c r="B482" s="133">
        <v>479</v>
      </c>
      <c r="C482" s="133">
        <v>234</v>
      </c>
      <c r="D482" s="133" t="s">
        <v>271</v>
      </c>
      <c r="E482" s="133">
        <v>27</v>
      </c>
      <c r="F482" s="133" t="str">
        <f t="shared" si="8"/>
        <v>金矿场27</v>
      </c>
      <c r="G482" s="133"/>
      <c r="H482" s="146"/>
      <c r="I482" s="133">
        <v>3</v>
      </c>
      <c r="J482" s="150">
        <f>INDEX('#建筑消耗和buff配置索引'!AH:AH,MATCH($F482,'#建筑消耗和buff配置索引'!$M:$M,0))</f>
        <v>190080</v>
      </c>
      <c r="K482" s="150">
        <f>INDEX('#建筑消耗和buff配置索引'!AA:AA,MATCH($F482,'#建筑消耗和buff配置索引'!$M:$M,0))</f>
        <v>3700000</v>
      </c>
      <c r="L482" s="150">
        <f>INDEX('#建筑消耗和buff配置索引'!AB:AB,MATCH($F482,'#建筑消耗和buff配置索引'!$M:$M,0))</f>
        <v>3700000</v>
      </c>
      <c r="M482" s="150">
        <f>INDEX('#建筑消耗和buff配置索引'!AC:AC,MATCH($F482,'#建筑消耗和buff配置索引'!$M:$M,0))</f>
        <v>3700000</v>
      </c>
      <c r="N482" s="150">
        <f>INDEX('#建筑消耗和buff配置索引'!AD:AD,MATCH($F482,'#建筑消耗和buff配置索引'!$M:$M,0))</f>
        <v>0</v>
      </c>
      <c r="O482" s="150" t="str">
        <f>IF(INDEX('#建筑消耗和buff配置索引'!T:T,MATCH($F482,'#建筑消耗和buff配置索引'!$M:$M,0))=0,"",INDEX('#建筑消耗和buff配置索引'!T:T,MATCH($F482,'#建筑消耗和buff配置索引'!$M:$M,0)))</f>
        <v/>
      </c>
      <c r="P482" s="133" t="str">
        <f>IF(INDEX('#建筑消耗和buff配置索引'!U:U,MATCH($F482,'#建筑消耗和buff配置索引'!$M:$M,0))=0,"",INDEX('#建筑消耗和buff配置索引'!U:U,MATCH($F482,'#建筑消耗和buff配置索引'!$M:$M,0)))</f>
        <v/>
      </c>
      <c r="Q482" s="133" t="str">
        <f>IF(INDEX('#建筑消耗和buff配置索引'!K:K,MATCH($F482,'#建筑消耗和buff配置索引'!$M:$M,0))=0,"",INDEX('#建筑消耗和buff配置索引'!K:K,MATCH($F482,'#建筑消耗和buff配置索引'!$M:$M,0)))</f>
        <v>201</v>
      </c>
      <c r="R482" s="133" t="str">
        <f>IF(INDEX('#建筑消耗和buff配置索引'!L:L,MATCH($F482,'#建筑消耗和buff配置索引'!$M:$M,0))=0,"",INDEX('#建筑消耗和buff配置索引'!L:L,MATCH($F482,'#建筑消耗和buff配置索引'!$M:$M,0)))</f>
        <v>27</v>
      </c>
      <c r="S482" s="133">
        <f>IF(INDEX('#建筑消耗和buff配置索引'!C:C,MATCH(F482,'#建筑消耗和buff配置索引'!M:M,0))=0,1,INDEX('#建筑消耗和buff配置索引'!C:C,MATCH(F482,'#建筑消耗和buff配置索引'!M:M,0)))</f>
        <v>3</v>
      </c>
      <c r="T482" s="133">
        <v>0</v>
      </c>
      <c r="U482" s="133">
        <v>0</v>
      </c>
      <c r="V482" s="133" t="str">
        <f>IF(E482=1,IF(INDEX('#建筑消耗和buff配置索引'!BY:BY,MATCH(D482,'#建筑消耗和buff配置索引'!A:A,0))=0,"",INDEX('#建筑消耗和buff配置索引'!BY:BY,MATCH(D482,'#建筑消耗和buff配置索引'!A:A,0))),"")</f>
        <v/>
      </c>
      <c r="W482" s="133" t="str">
        <f>IF(E482=1,IF(INDEX('#建筑消耗和buff配置索引'!BZ:BZ,MATCH(D482,'#建筑消耗和buff配置索引'!A:A,0))=0,"",INDEX('#建筑消耗和buff配置索引'!BZ:BZ,MATCH(D482,'#建筑消耗和buff配置索引'!A:A,0))),"")</f>
        <v/>
      </c>
      <c r="X482" s="133"/>
      <c r="Y482" s="133"/>
      <c r="Z482" s="133"/>
      <c r="AA482" s="133">
        <f>INDEX('#建筑消耗和buff配置索引'!AO:AO,MATCH($F482,'#建筑消耗和buff配置索引'!$M:$M,0))</f>
        <v>99957</v>
      </c>
      <c r="AB482" s="133">
        <f>IF(INDEX('#建筑消耗和buff配置索引'!AR:AR,MATCH($F482,'#建筑消耗和buff配置索引'!$M:$M,0))=0,"",INDEX('#建筑消耗和buff配置索引'!AR:AR,MATCH($F482,'#建筑消耗和buff配置索引'!$M:$M,0)))</f>
        <v>1019</v>
      </c>
      <c r="AC482" s="133">
        <f>IF(AB482="","",INDEX('#建筑消耗和buff配置索引'!AS:AS,MATCH($F482,'#建筑消耗和buff配置索引'!$M:$M,0)))</f>
        <v>15200</v>
      </c>
      <c r="AD482" s="133"/>
      <c r="AE482" s="133"/>
      <c r="AF482" s="133" t="str">
        <f>IF(INDEX('#建筑消耗和buff配置索引'!AW:AW,MATCH($F482,'#建筑消耗和buff配置索引'!$M:$M,0))=0,"",INDEX('#建筑消耗和buff配置索引'!AW:AW,MATCH($F482,'#建筑消耗和buff配置索引'!$M:$M,0)))</f>
        <v/>
      </c>
      <c r="AG482" s="133" t="str">
        <f>IF(AF482="","",INDEX('#建筑消耗和buff配置索引'!AX:AX,MATCH($F482,'#建筑消耗和buff配置索引'!$M:$M,0)))</f>
        <v/>
      </c>
      <c r="AH482" s="133"/>
      <c r="AI482" s="133"/>
      <c r="AJ482" s="133" t="str">
        <f>IF(INDEX('#建筑消耗和buff配置索引'!BB:BB,MATCH($F482,'#建筑消耗和buff配置索引'!$M:$M,0))=0,"",INDEX('#建筑消耗和buff配置索引'!BB:BB,MATCH($F482,'#建筑消耗和buff配置索引'!$M:$M,0)))</f>
        <v/>
      </c>
      <c r="AK482" s="133" t="str">
        <f>IF(AJ482="","",INDEX('#建筑消耗和buff配置索引'!BC:BC,MATCH($F482,'#建筑消耗和buff配置索引'!$M:$M,0)))</f>
        <v/>
      </c>
      <c r="AL482" s="133"/>
      <c r="AM482" s="133"/>
      <c r="AN482" s="133" t="str">
        <f>IF(INDEX('#建筑消耗和buff配置索引'!BG:BG,MATCH($F482,'#建筑消耗和buff配置索引'!$M:$M,0))=0,"",INDEX('#建筑消耗和buff配置索引'!BG:BG,MATCH($F482,'#建筑消耗和buff配置索引'!$M:$M,0)))</f>
        <v/>
      </c>
      <c r="AO482" s="133" t="str">
        <f>IF(AN482="","",INDEX('#建筑消耗和buff配置索引'!BH:BH,MATCH($F482,'#建筑消耗和buff配置索引'!$M:$M,0)))</f>
        <v/>
      </c>
      <c r="AP482" s="133"/>
      <c r="AQ482" s="133"/>
      <c r="AR482" s="133" t="str">
        <f>IF(INDEX('#建筑消耗和buff配置索引'!BK:BK,MATCH($F482,'#建筑消耗和buff配置索引'!$M:$M,0))=0,"",INDEX('#建筑消耗和buff配置索引'!BK:BK,MATCH($F482,'#建筑消耗和buff配置索引'!$M:$M,0)))</f>
        <v/>
      </c>
      <c r="AS482" s="133" t="str">
        <f>IF(AR482="","",INDEX('#建筑消耗和buff配置索引'!BL:BL,MATCH($F482,'#建筑消耗和buff配置索引'!$M:$M,0)))</f>
        <v/>
      </c>
      <c r="AT482" s="133"/>
      <c r="AU482" s="133"/>
      <c r="AV482" s="133" t="str">
        <f>IF(INDEX('#建筑消耗和buff配置索引'!BO:BO,MATCH($F482,'#建筑消耗和buff配置索引'!$M:$M,0))=0,"",INDEX('#建筑消耗和buff配置索引'!BO:BO,MATCH($F482,'#建筑消耗和buff配置索引'!$M:$M,0)))</f>
        <v/>
      </c>
      <c r="AW482" s="133" t="str">
        <f>IF(AV482="","",INDEX('#建筑消耗和buff配置索引'!BP:BP,MATCH($F482,'#建筑消耗和buff配置索引'!$M:$M,0)))</f>
        <v/>
      </c>
      <c r="AX482" s="133"/>
      <c r="AY482" s="133"/>
      <c r="AZ482" s="133" t="str">
        <f>IF(INDEX('#建筑消耗和buff配置索引'!BS:BS,MATCH($F482,'#建筑消耗和buff配置索引'!$M:$M,0))=0,"",INDEX('#建筑消耗和buff配置索引'!BS:BS,MATCH($F482,'#建筑消耗和buff配置索引'!$M:$M,0)))</f>
        <v/>
      </c>
      <c r="BA482" s="133" t="str">
        <f>IF(AZ482="","",INDEX('#建筑消耗和buff配置索引'!BT:BT,MATCH($F482,'#建筑消耗和buff配置索引'!$M:$M,0)))</f>
        <v/>
      </c>
      <c r="BB482" s="133"/>
      <c r="BC482" s="133"/>
      <c r="BD482" s="133" t="str">
        <f>IF(INDEX('#建筑消耗和buff配置索引'!BW:BW,MATCH($F482,'#建筑消耗和buff配置索引'!$M:$M,0))=0,"",INDEX('#建筑消耗和buff配置索引'!BW:BW,MATCH($F482,'#建筑消耗和buff配置索引'!$M:$M,0)))</f>
        <v/>
      </c>
      <c r="BE482" s="133" t="str">
        <f>IF(BD482="","",INDEX('#建筑消耗和buff配置索引'!BX:BX,MATCH($F482,'#建筑消耗和buff配置索引'!$M:$M,0)))</f>
        <v/>
      </c>
      <c r="BF482" s="133"/>
      <c r="BG482" s="133"/>
      <c r="BH482" s="133"/>
      <c r="BI482" s="133">
        <v>8</v>
      </c>
      <c r="BJ482" s="133"/>
      <c r="BO482" s="133">
        <v>5</v>
      </c>
      <c r="BP482" s="140" t="s">
        <v>1360</v>
      </c>
      <c r="BQ482" s="140">
        <v>10003603</v>
      </c>
      <c r="BR482" s="140">
        <v>300</v>
      </c>
    </row>
    <row r="483" spans="1:70" s="133" customFormat="1">
      <c r="A483" s="133">
        <v>2340028</v>
      </c>
      <c r="B483" s="133">
        <v>480</v>
      </c>
      <c r="C483" s="133">
        <v>234</v>
      </c>
      <c r="D483" s="133" t="s">
        <v>271</v>
      </c>
      <c r="E483" s="133">
        <v>28</v>
      </c>
      <c r="F483" s="133" t="str">
        <f t="shared" si="8"/>
        <v>金矿场28</v>
      </c>
      <c r="H483" s="146"/>
      <c r="I483" s="133">
        <v>3</v>
      </c>
      <c r="J483" s="150">
        <f>INDEX('#建筑消耗和buff配置索引'!AH:AH,MATCH($F483,'#建筑消耗和buff配置索引'!$M:$M,0))</f>
        <v>233280</v>
      </c>
      <c r="K483" s="150">
        <f>INDEX('#建筑消耗和buff配置索引'!AA:AA,MATCH($F483,'#建筑消耗和buff配置索引'!$M:$M,0))</f>
        <v>4700000</v>
      </c>
      <c r="L483" s="150">
        <f>INDEX('#建筑消耗和buff配置索引'!AB:AB,MATCH($F483,'#建筑消耗和buff配置索引'!$M:$M,0))</f>
        <v>4700000</v>
      </c>
      <c r="M483" s="150">
        <f>INDEX('#建筑消耗和buff配置索引'!AC:AC,MATCH($F483,'#建筑消耗和buff配置索引'!$M:$M,0))</f>
        <v>4700000</v>
      </c>
      <c r="N483" s="150">
        <f>INDEX('#建筑消耗和buff配置索引'!AD:AD,MATCH($F483,'#建筑消耗和buff配置索引'!$M:$M,0))</f>
        <v>0</v>
      </c>
      <c r="O483" s="150" t="str">
        <f>IF(INDEX('#建筑消耗和buff配置索引'!T:T,MATCH($F483,'#建筑消耗和buff配置索引'!$M:$M,0))=0,"",INDEX('#建筑消耗和buff配置索引'!T:T,MATCH($F483,'#建筑消耗和buff配置索引'!$M:$M,0)))</f>
        <v/>
      </c>
      <c r="P483" s="133" t="str">
        <f>IF(INDEX('#建筑消耗和buff配置索引'!U:U,MATCH($F483,'#建筑消耗和buff配置索引'!$M:$M,0))=0,"",INDEX('#建筑消耗和buff配置索引'!U:U,MATCH($F483,'#建筑消耗和buff配置索引'!$M:$M,0)))</f>
        <v/>
      </c>
      <c r="Q483" s="133" t="str">
        <f>IF(INDEX('#建筑消耗和buff配置索引'!K:K,MATCH($F483,'#建筑消耗和buff配置索引'!$M:$M,0))=0,"",INDEX('#建筑消耗和buff配置索引'!K:K,MATCH($F483,'#建筑消耗和buff配置索引'!$M:$M,0)))</f>
        <v>201</v>
      </c>
      <c r="R483" s="133" t="str">
        <f>IF(INDEX('#建筑消耗和buff配置索引'!L:L,MATCH($F483,'#建筑消耗和buff配置索引'!$M:$M,0))=0,"",INDEX('#建筑消耗和buff配置索引'!L:L,MATCH($F483,'#建筑消耗和buff配置索引'!$M:$M,0)))</f>
        <v>28</v>
      </c>
      <c r="S483" s="133">
        <f>IF(INDEX('#建筑消耗和buff配置索引'!C:C,MATCH(F483,'#建筑消耗和buff配置索引'!M:M,0))=0,1,INDEX('#建筑消耗和buff配置索引'!C:C,MATCH(F483,'#建筑消耗和buff配置索引'!M:M,0)))</f>
        <v>3</v>
      </c>
      <c r="T483" s="133">
        <v>0</v>
      </c>
      <c r="U483" s="133">
        <v>0</v>
      </c>
      <c r="V483" s="133" t="str">
        <f>IF(E483=1,IF(INDEX('#建筑消耗和buff配置索引'!BY:BY,MATCH(D483,'#建筑消耗和buff配置索引'!A:A,0))=0,"",INDEX('#建筑消耗和buff配置索引'!BY:BY,MATCH(D483,'#建筑消耗和buff配置索引'!A:A,0))),"")</f>
        <v/>
      </c>
      <c r="W483" s="133" t="str">
        <f>IF(E483=1,IF(INDEX('#建筑消耗和buff配置索引'!BZ:BZ,MATCH(D483,'#建筑消耗和buff配置索引'!A:A,0))=0,"",INDEX('#建筑消耗和buff配置索引'!BZ:BZ,MATCH(D483,'#建筑消耗和buff配置索引'!A:A,0))),"")</f>
        <v/>
      </c>
      <c r="AA483" s="133">
        <f>INDEX('#建筑消耗和buff配置索引'!AO:AO,MATCH($F483,'#建筑消耗和buff配置索引'!$M:$M,0))</f>
        <v>128246</v>
      </c>
      <c r="AB483" s="133">
        <f>IF(INDEX('#建筑消耗和buff配置索引'!AR:AR,MATCH($F483,'#建筑消耗和buff配置索引'!$M:$M,0))=0,"",INDEX('#建筑消耗和buff配置索引'!AR:AR,MATCH($F483,'#建筑消耗和buff配置索引'!$M:$M,0)))</f>
        <v>1019</v>
      </c>
      <c r="AC483" s="133">
        <f>IF(AB483="","",INDEX('#建筑消耗和buff配置索引'!AS:AS,MATCH($F483,'#建筑消耗和buff配置索引'!$M:$M,0)))</f>
        <v>16600</v>
      </c>
      <c r="AF483" s="133" t="str">
        <f>IF(INDEX('#建筑消耗和buff配置索引'!AW:AW,MATCH($F483,'#建筑消耗和buff配置索引'!$M:$M,0))=0,"",INDEX('#建筑消耗和buff配置索引'!AW:AW,MATCH($F483,'#建筑消耗和buff配置索引'!$M:$M,0)))</f>
        <v/>
      </c>
      <c r="AG483" s="133" t="str">
        <f>IF(AF483="","",INDEX('#建筑消耗和buff配置索引'!AX:AX,MATCH($F483,'#建筑消耗和buff配置索引'!$M:$M,0)))</f>
        <v/>
      </c>
      <c r="AJ483" s="133" t="str">
        <f>IF(INDEX('#建筑消耗和buff配置索引'!BB:BB,MATCH($F483,'#建筑消耗和buff配置索引'!$M:$M,0))=0,"",INDEX('#建筑消耗和buff配置索引'!BB:BB,MATCH($F483,'#建筑消耗和buff配置索引'!$M:$M,0)))</f>
        <v/>
      </c>
      <c r="AK483" s="133" t="str">
        <f>IF(AJ483="","",INDEX('#建筑消耗和buff配置索引'!BC:BC,MATCH($F483,'#建筑消耗和buff配置索引'!$M:$M,0)))</f>
        <v/>
      </c>
      <c r="AN483" s="133" t="str">
        <f>IF(INDEX('#建筑消耗和buff配置索引'!BG:BG,MATCH($F483,'#建筑消耗和buff配置索引'!$M:$M,0))=0,"",INDEX('#建筑消耗和buff配置索引'!BG:BG,MATCH($F483,'#建筑消耗和buff配置索引'!$M:$M,0)))</f>
        <v/>
      </c>
      <c r="AO483" s="133" t="str">
        <f>IF(AN483="","",INDEX('#建筑消耗和buff配置索引'!BH:BH,MATCH($F483,'#建筑消耗和buff配置索引'!$M:$M,0)))</f>
        <v/>
      </c>
      <c r="AR483" s="133" t="str">
        <f>IF(INDEX('#建筑消耗和buff配置索引'!BK:BK,MATCH($F483,'#建筑消耗和buff配置索引'!$M:$M,0))=0,"",INDEX('#建筑消耗和buff配置索引'!BK:BK,MATCH($F483,'#建筑消耗和buff配置索引'!$M:$M,0)))</f>
        <v/>
      </c>
      <c r="AS483" s="133" t="str">
        <f>IF(AR483="","",INDEX('#建筑消耗和buff配置索引'!BL:BL,MATCH($F483,'#建筑消耗和buff配置索引'!$M:$M,0)))</f>
        <v/>
      </c>
      <c r="AV483" s="133" t="str">
        <f>IF(INDEX('#建筑消耗和buff配置索引'!BO:BO,MATCH($F483,'#建筑消耗和buff配置索引'!$M:$M,0))=0,"",INDEX('#建筑消耗和buff配置索引'!BO:BO,MATCH($F483,'#建筑消耗和buff配置索引'!$M:$M,0)))</f>
        <v/>
      </c>
      <c r="AW483" s="133" t="str">
        <f>IF(AV483="","",INDEX('#建筑消耗和buff配置索引'!BP:BP,MATCH($F483,'#建筑消耗和buff配置索引'!$M:$M,0)))</f>
        <v/>
      </c>
      <c r="AZ483" s="133" t="str">
        <f>IF(INDEX('#建筑消耗和buff配置索引'!BS:BS,MATCH($F483,'#建筑消耗和buff配置索引'!$M:$M,0))=0,"",INDEX('#建筑消耗和buff配置索引'!BS:BS,MATCH($F483,'#建筑消耗和buff配置索引'!$M:$M,0)))</f>
        <v/>
      </c>
      <c r="BA483" s="133" t="str">
        <f>IF(AZ483="","",INDEX('#建筑消耗和buff配置索引'!BT:BT,MATCH($F483,'#建筑消耗和buff配置索引'!$M:$M,0)))</f>
        <v/>
      </c>
      <c r="BD483" s="133" t="str">
        <f>IF(INDEX('#建筑消耗和buff配置索引'!BW:BW,MATCH($F483,'#建筑消耗和buff配置索引'!$M:$M,0))=0,"",INDEX('#建筑消耗和buff配置索引'!BW:BW,MATCH($F483,'#建筑消耗和buff配置索引'!$M:$M,0)))</f>
        <v/>
      </c>
      <c r="BE483" s="133" t="str">
        <f>IF(BD483="","",INDEX('#建筑消耗和buff配置索引'!BX:BX,MATCH($F483,'#建筑消耗和buff配置索引'!$M:$M,0)))</f>
        <v/>
      </c>
      <c r="BI483" s="133">
        <v>8</v>
      </c>
      <c r="BO483" s="133">
        <v>5</v>
      </c>
      <c r="BP483" s="140" t="s">
        <v>1360</v>
      </c>
      <c r="BQ483" s="140">
        <v>10003603</v>
      </c>
      <c r="BR483" s="140">
        <v>300</v>
      </c>
    </row>
    <row r="484" spans="1:70" s="133" customFormat="1">
      <c r="A484" s="133">
        <v>2340029</v>
      </c>
      <c r="B484" s="133">
        <v>481</v>
      </c>
      <c r="C484" s="133">
        <v>234</v>
      </c>
      <c r="D484" s="133" t="s">
        <v>271</v>
      </c>
      <c r="E484" s="133">
        <v>29</v>
      </c>
      <c r="F484" s="133" t="str">
        <f t="shared" si="8"/>
        <v>金矿场29</v>
      </c>
      <c r="H484" s="146"/>
      <c r="I484" s="133">
        <v>3</v>
      </c>
      <c r="J484" s="150">
        <f>INDEX('#建筑消耗和buff配置索引'!AH:AH,MATCH($F484,'#建筑消耗和buff配置索引'!$M:$M,0))</f>
        <v>285120</v>
      </c>
      <c r="K484" s="150">
        <f>INDEX('#建筑消耗和buff配置索引'!AA:AA,MATCH($F484,'#建筑消耗和buff配置索引'!$M:$M,0))</f>
        <v>6000000</v>
      </c>
      <c r="L484" s="150">
        <f>INDEX('#建筑消耗和buff配置索引'!AB:AB,MATCH($F484,'#建筑消耗和buff配置索引'!$M:$M,0))</f>
        <v>6000000</v>
      </c>
      <c r="M484" s="150">
        <f>INDEX('#建筑消耗和buff配置索引'!AC:AC,MATCH($F484,'#建筑消耗和buff配置索引'!$M:$M,0))</f>
        <v>6000000</v>
      </c>
      <c r="N484" s="150">
        <f>INDEX('#建筑消耗和buff配置索引'!AD:AD,MATCH($F484,'#建筑消耗和buff配置索引'!$M:$M,0))</f>
        <v>0</v>
      </c>
      <c r="O484" s="150" t="str">
        <f>IF(INDEX('#建筑消耗和buff配置索引'!T:T,MATCH($F484,'#建筑消耗和buff配置索引'!$M:$M,0))=0,"",INDEX('#建筑消耗和buff配置索引'!T:T,MATCH($F484,'#建筑消耗和buff配置索引'!$M:$M,0)))</f>
        <v/>
      </c>
      <c r="P484" s="133" t="str">
        <f>IF(INDEX('#建筑消耗和buff配置索引'!U:U,MATCH($F484,'#建筑消耗和buff配置索引'!$M:$M,0))=0,"",INDEX('#建筑消耗和buff配置索引'!U:U,MATCH($F484,'#建筑消耗和buff配置索引'!$M:$M,0)))</f>
        <v/>
      </c>
      <c r="Q484" s="133" t="str">
        <f>IF(INDEX('#建筑消耗和buff配置索引'!K:K,MATCH($F484,'#建筑消耗和buff配置索引'!$M:$M,0))=0,"",INDEX('#建筑消耗和buff配置索引'!K:K,MATCH($F484,'#建筑消耗和buff配置索引'!$M:$M,0)))</f>
        <v>201</v>
      </c>
      <c r="R484" s="133" t="str">
        <f>IF(INDEX('#建筑消耗和buff配置索引'!L:L,MATCH($F484,'#建筑消耗和buff配置索引'!$M:$M,0))=0,"",INDEX('#建筑消耗和buff配置索引'!L:L,MATCH($F484,'#建筑消耗和buff配置索引'!$M:$M,0)))</f>
        <v>29</v>
      </c>
      <c r="S484" s="133">
        <f>IF(INDEX('#建筑消耗和buff配置索引'!C:C,MATCH(F484,'#建筑消耗和buff配置索引'!M:M,0))=0,1,INDEX('#建筑消耗和buff配置索引'!C:C,MATCH(F484,'#建筑消耗和buff配置索引'!M:M,0)))</f>
        <v>3</v>
      </c>
      <c r="T484" s="133">
        <v>0</v>
      </c>
      <c r="U484" s="133">
        <v>0</v>
      </c>
      <c r="V484" s="133" t="str">
        <f>IF(E484=1,IF(INDEX('#建筑消耗和buff配置索引'!BY:BY,MATCH(D484,'#建筑消耗和buff配置索引'!A:A,0))=0,"",INDEX('#建筑消耗和buff配置索引'!BY:BY,MATCH(D484,'#建筑消耗和buff配置索引'!A:A,0))),"")</f>
        <v/>
      </c>
      <c r="W484" s="133" t="str">
        <f>IF(E484=1,IF(INDEX('#建筑消耗和buff配置索引'!BZ:BZ,MATCH(D484,'#建筑消耗和buff配置索引'!A:A,0))=0,"",INDEX('#建筑消耗和buff配置索引'!BZ:BZ,MATCH(D484,'#建筑消耗和buff配置索引'!A:A,0))),"")</f>
        <v/>
      </c>
      <c r="AA484" s="133">
        <f>INDEX('#建筑消耗和buff配置索引'!AO:AO,MATCH($F484,'#建筑消耗和buff配置索引'!$M:$M,0))</f>
        <v>164457</v>
      </c>
      <c r="AB484" s="133">
        <f>IF(INDEX('#建筑消耗和buff配置索引'!AR:AR,MATCH($F484,'#建筑消耗和buff配置索引'!$M:$M,0))=0,"",INDEX('#建筑消耗和buff配置索引'!AR:AR,MATCH($F484,'#建筑消耗和buff配置索引'!$M:$M,0)))</f>
        <v>1019</v>
      </c>
      <c r="AC484" s="133">
        <f>IF(AB484="","",INDEX('#建筑消耗和buff配置索引'!AS:AS,MATCH($F484,'#建筑消耗和buff配置索引'!$M:$M,0)))</f>
        <v>18200</v>
      </c>
      <c r="AF484" s="133" t="str">
        <f>IF(INDEX('#建筑消耗和buff配置索引'!AW:AW,MATCH($F484,'#建筑消耗和buff配置索引'!$M:$M,0))=0,"",INDEX('#建筑消耗和buff配置索引'!AW:AW,MATCH($F484,'#建筑消耗和buff配置索引'!$M:$M,0)))</f>
        <v/>
      </c>
      <c r="AG484" s="133" t="str">
        <f>IF(AF484="","",INDEX('#建筑消耗和buff配置索引'!AX:AX,MATCH($F484,'#建筑消耗和buff配置索引'!$M:$M,0)))</f>
        <v/>
      </c>
      <c r="AJ484" s="133" t="str">
        <f>IF(INDEX('#建筑消耗和buff配置索引'!BB:BB,MATCH($F484,'#建筑消耗和buff配置索引'!$M:$M,0))=0,"",INDEX('#建筑消耗和buff配置索引'!BB:BB,MATCH($F484,'#建筑消耗和buff配置索引'!$M:$M,0)))</f>
        <v/>
      </c>
      <c r="AK484" s="133" t="str">
        <f>IF(AJ484="","",INDEX('#建筑消耗和buff配置索引'!BC:BC,MATCH($F484,'#建筑消耗和buff配置索引'!$M:$M,0)))</f>
        <v/>
      </c>
      <c r="AN484" s="133" t="str">
        <f>IF(INDEX('#建筑消耗和buff配置索引'!BG:BG,MATCH($F484,'#建筑消耗和buff配置索引'!$M:$M,0))=0,"",INDEX('#建筑消耗和buff配置索引'!BG:BG,MATCH($F484,'#建筑消耗和buff配置索引'!$M:$M,0)))</f>
        <v/>
      </c>
      <c r="AO484" s="133" t="str">
        <f>IF(AN484="","",INDEX('#建筑消耗和buff配置索引'!BH:BH,MATCH($F484,'#建筑消耗和buff配置索引'!$M:$M,0)))</f>
        <v/>
      </c>
      <c r="AR484" s="133" t="str">
        <f>IF(INDEX('#建筑消耗和buff配置索引'!BK:BK,MATCH($F484,'#建筑消耗和buff配置索引'!$M:$M,0))=0,"",INDEX('#建筑消耗和buff配置索引'!BK:BK,MATCH($F484,'#建筑消耗和buff配置索引'!$M:$M,0)))</f>
        <v/>
      </c>
      <c r="AS484" s="133" t="str">
        <f>IF(AR484="","",INDEX('#建筑消耗和buff配置索引'!BL:BL,MATCH($F484,'#建筑消耗和buff配置索引'!$M:$M,0)))</f>
        <v/>
      </c>
      <c r="AV484" s="133" t="str">
        <f>IF(INDEX('#建筑消耗和buff配置索引'!BO:BO,MATCH($F484,'#建筑消耗和buff配置索引'!$M:$M,0))=0,"",INDEX('#建筑消耗和buff配置索引'!BO:BO,MATCH($F484,'#建筑消耗和buff配置索引'!$M:$M,0)))</f>
        <v/>
      </c>
      <c r="AW484" s="133" t="str">
        <f>IF(AV484="","",INDEX('#建筑消耗和buff配置索引'!BP:BP,MATCH($F484,'#建筑消耗和buff配置索引'!$M:$M,0)))</f>
        <v/>
      </c>
      <c r="AZ484" s="133" t="str">
        <f>IF(INDEX('#建筑消耗和buff配置索引'!BS:BS,MATCH($F484,'#建筑消耗和buff配置索引'!$M:$M,0))=0,"",INDEX('#建筑消耗和buff配置索引'!BS:BS,MATCH($F484,'#建筑消耗和buff配置索引'!$M:$M,0)))</f>
        <v/>
      </c>
      <c r="BA484" s="133" t="str">
        <f>IF(AZ484="","",INDEX('#建筑消耗和buff配置索引'!BT:BT,MATCH($F484,'#建筑消耗和buff配置索引'!$M:$M,0)))</f>
        <v/>
      </c>
      <c r="BD484" s="133" t="str">
        <f>IF(INDEX('#建筑消耗和buff配置索引'!BW:BW,MATCH($F484,'#建筑消耗和buff配置索引'!$M:$M,0))=0,"",INDEX('#建筑消耗和buff配置索引'!BW:BW,MATCH($F484,'#建筑消耗和buff配置索引'!$M:$M,0)))</f>
        <v/>
      </c>
      <c r="BE484" s="133" t="str">
        <f>IF(BD484="","",INDEX('#建筑消耗和buff配置索引'!BX:BX,MATCH($F484,'#建筑消耗和buff配置索引'!$M:$M,0)))</f>
        <v/>
      </c>
      <c r="BI484" s="133">
        <v>8</v>
      </c>
      <c r="BO484" s="133">
        <v>5</v>
      </c>
      <c r="BP484" s="140" t="s">
        <v>1360</v>
      </c>
      <c r="BQ484" s="140">
        <v>10003603</v>
      </c>
      <c r="BR484" s="140">
        <v>300</v>
      </c>
    </row>
    <row r="485" spans="1:70" s="133" customFormat="1">
      <c r="A485" s="133">
        <v>2340030</v>
      </c>
      <c r="B485" s="133">
        <v>482</v>
      </c>
      <c r="C485" s="133">
        <v>234</v>
      </c>
      <c r="D485" s="133" t="s">
        <v>271</v>
      </c>
      <c r="E485" s="133">
        <v>30</v>
      </c>
      <c r="F485" s="133" t="str">
        <f t="shared" si="8"/>
        <v>金矿场30</v>
      </c>
      <c r="H485" s="146"/>
      <c r="I485" s="133">
        <v>3</v>
      </c>
      <c r="J485" s="150">
        <f>INDEX('#建筑消耗和buff配置索引'!AH:AH,MATCH($F485,'#建筑消耗和buff配置索引'!$M:$M,0))</f>
        <v>345600</v>
      </c>
      <c r="K485" s="150">
        <f>INDEX('#建筑消耗和buff配置索引'!AA:AA,MATCH($F485,'#建筑消耗和buff配置索引'!$M:$M,0))</f>
        <v>7700000</v>
      </c>
      <c r="L485" s="150">
        <f>INDEX('#建筑消耗和buff配置索引'!AB:AB,MATCH($F485,'#建筑消耗和buff配置索引'!$M:$M,0))</f>
        <v>7700000</v>
      </c>
      <c r="M485" s="150">
        <f>INDEX('#建筑消耗和buff配置索引'!AC:AC,MATCH($F485,'#建筑消耗和buff配置索引'!$M:$M,0))</f>
        <v>7700000</v>
      </c>
      <c r="N485" s="150">
        <f>INDEX('#建筑消耗和buff配置索引'!AD:AD,MATCH($F485,'#建筑消耗和buff配置索引'!$M:$M,0))</f>
        <v>0</v>
      </c>
      <c r="O485" s="150" t="str">
        <f>IF(INDEX('#建筑消耗和buff配置索引'!T:T,MATCH($F485,'#建筑消耗和buff配置索引'!$M:$M,0))=0,"",INDEX('#建筑消耗和buff配置索引'!T:T,MATCH($F485,'#建筑消耗和buff配置索引'!$M:$M,0)))</f>
        <v/>
      </c>
      <c r="P485" s="133" t="str">
        <f>IF(INDEX('#建筑消耗和buff配置索引'!U:U,MATCH($F485,'#建筑消耗和buff配置索引'!$M:$M,0))=0,"",INDEX('#建筑消耗和buff配置索引'!U:U,MATCH($F485,'#建筑消耗和buff配置索引'!$M:$M,0)))</f>
        <v/>
      </c>
      <c r="Q485" s="133" t="str">
        <f>IF(INDEX('#建筑消耗和buff配置索引'!K:K,MATCH($F485,'#建筑消耗和buff配置索引'!$M:$M,0))=0,"",INDEX('#建筑消耗和buff配置索引'!K:K,MATCH($F485,'#建筑消耗和buff配置索引'!$M:$M,0)))</f>
        <v>201</v>
      </c>
      <c r="R485" s="133" t="str">
        <f>IF(INDEX('#建筑消耗和buff配置索引'!L:L,MATCH($F485,'#建筑消耗和buff配置索引'!$M:$M,0))=0,"",INDEX('#建筑消耗和buff配置索引'!L:L,MATCH($F485,'#建筑消耗和buff配置索引'!$M:$M,0)))</f>
        <v>30</v>
      </c>
      <c r="S485" s="133">
        <f>IF(INDEX('#建筑消耗和buff配置索引'!C:C,MATCH(F485,'#建筑消耗和buff配置索引'!M:M,0))=0,1,INDEX('#建筑消耗和buff配置索引'!C:C,MATCH(F485,'#建筑消耗和buff配置索引'!M:M,0)))</f>
        <v>3</v>
      </c>
      <c r="T485" s="133">
        <v>0</v>
      </c>
      <c r="U485" s="133">
        <v>0</v>
      </c>
      <c r="V485" s="133" t="str">
        <f>IF(E485=1,IF(INDEX('#建筑消耗和buff配置索引'!BY:BY,MATCH(D485,'#建筑消耗和buff配置索引'!A:A,0))=0,"",INDEX('#建筑消耗和buff配置索引'!BY:BY,MATCH(D485,'#建筑消耗和buff配置索引'!A:A,0))),"")</f>
        <v/>
      </c>
      <c r="W485" s="133" t="str">
        <f>IF(E485=1,IF(INDEX('#建筑消耗和buff配置索引'!BZ:BZ,MATCH(D485,'#建筑消耗和buff配置索引'!A:A,0))=0,"",INDEX('#建筑消耗和buff配置索引'!BZ:BZ,MATCH(D485,'#建筑消耗和buff配置索引'!A:A,0))),"")</f>
        <v/>
      </c>
      <c r="AA485" s="133">
        <f>INDEX('#建筑消耗和buff配置索引'!AO:AO,MATCH($F485,'#建筑消耗和buff配置索引'!$M:$M,0))</f>
        <v>210806</v>
      </c>
      <c r="AB485" s="133">
        <f>IF(INDEX('#建筑消耗和buff配置索引'!AR:AR,MATCH($F485,'#建筑消耗和buff配置索引'!$M:$M,0))=0,"",INDEX('#建筑消耗和buff配置索引'!AR:AR,MATCH($F485,'#建筑消耗和buff配置索引'!$M:$M,0)))</f>
        <v>1019</v>
      </c>
      <c r="AC485" s="133">
        <f>IF(AB485="","",INDEX('#建筑消耗和buff配置索引'!AS:AS,MATCH($F485,'#建筑消耗和buff配置索引'!$M:$M,0)))</f>
        <v>20000</v>
      </c>
      <c r="AF485" s="133" t="str">
        <f>IF(INDEX('#建筑消耗和buff配置索引'!AW:AW,MATCH($F485,'#建筑消耗和buff配置索引'!$M:$M,0))=0,"",INDEX('#建筑消耗和buff配置索引'!AW:AW,MATCH($F485,'#建筑消耗和buff配置索引'!$M:$M,0)))</f>
        <v/>
      </c>
      <c r="AG485" s="133" t="str">
        <f>IF(AF485="","",INDEX('#建筑消耗和buff配置索引'!AX:AX,MATCH($F485,'#建筑消耗和buff配置索引'!$M:$M,0)))</f>
        <v/>
      </c>
      <c r="AJ485" s="133" t="str">
        <f>IF(INDEX('#建筑消耗和buff配置索引'!BB:BB,MATCH($F485,'#建筑消耗和buff配置索引'!$M:$M,0))=0,"",INDEX('#建筑消耗和buff配置索引'!BB:BB,MATCH($F485,'#建筑消耗和buff配置索引'!$M:$M,0)))</f>
        <v/>
      </c>
      <c r="AK485" s="133" t="str">
        <f>IF(AJ485="","",INDEX('#建筑消耗和buff配置索引'!BC:BC,MATCH($F485,'#建筑消耗和buff配置索引'!$M:$M,0)))</f>
        <v/>
      </c>
      <c r="AN485" s="133" t="str">
        <f>IF(INDEX('#建筑消耗和buff配置索引'!BG:BG,MATCH($F485,'#建筑消耗和buff配置索引'!$M:$M,0))=0,"",INDEX('#建筑消耗和buff配置索引'!BG:BG,MATCH($F485,'#建筑消耗和buff配置索引'!$M:$M,0)))</f>
        <v/>
      </c>
      <c r="AO485" s="133" t="str">
        <f>IF(AN485="","",INDEX('#建筑消耗和buff配置索引'!BH:BH,MATCH($F485,'#建筑消耗和buff配置索引'!$M:$M,0)))</f>
        <v/>
      </c>
      <c r="AR485" s="133" t="str">
        <f>IF(INDEX('#建筑消耗和buff配置索引'!BK:BK,MATCH($F485,'#建筑消耗和buff配置索引'!$M:$M,0))=0,"",INDEX('#建筑消耗和buff配置索引'!BK:BK,MATCH($F485,'#建筑消耗和buff配置索引'!$M:$M,0)))</f>
        <v/>
      </c>
      <c r="AS485" s="133" t="str">
        <f>IF(AR485="","",INDEX('#建筑消耗和buff配置索引'!BL:BL,MATCH($F485,'#建筑消耗和buff配置索引'!$M:$M,0)))</f>
        <v/>
      </c>
      <c r="AV485" s="133" t="str">
        <f>IF(INDEX('#建筑消耗和buff配置索引'!BO:BO,MATCH($F485,'#建筑消耗和buff配置索引'!$M:$M,0))=0,"",INDEX('#建筑消耗和buff配置索引'!BO:BO,MATCH($F485,'#建筑消耗和buff配置索引'!$M:$M,0)))</f>
        <v/>
      </c>
      <c r="AW485" s="133" t="str">
        <f>IF(AV485="","",INDEX('#建筑消耗和buff配置索引'!BP:BP,MATCH($F485,'#建筑消耗和buff配置索引'!$M:$M,0)))</f>
        <v/>
      </c>
      <c r="AZ485" s="133" t="str">
        <f>IF(INDEX('#建筑消耗和buff配置索引'!BS:BS,MATCH($F485,'#建筑消耗和buff配置索引'!$M:$M,0))=0,"",INDEX('#建筑消耗和buff配置索引'!BS:BS,MATCH($F485,'#建筑消耗和buff配置索引'!$M:$M,0)))</f>
        <v/>
      </c>
      <c r="BA485" s="133" t="str">
        <f>IF(AZ485="","",INDEX('#建筑消耗和buff配置索引'!BT:BT,MATCH($F485,'#建筑消耗和buff配置索引'!$M:$M,0)))</f>
        <v/>
      </c>
      <c r="BD485" s="133" t="str">
        <f>IF(INDEX('#建筑消耗和buff配置索引'!BW:BW,MATCH($F485,'#建筑消耗和buff配置索引'!$M:$M,0))=0,"",INDEX('#建筑消耗和buff配置索引'!BW:BW,MATCH($F485,'#建筑消耗和buff配置索引'!$M:$M,0)))</f>
        <v/>
      </c>
      <c r="BE485" s="133" t="str">
        <f>IF(BD485="","",INDEX('#建筑消耗和buff配置索引'!BX:BX,MATCH($F485,'#建筑消耗和buff配置索引'!$M:$M,0)))</f>
        <v/>
      </c>
      <c r="BI485" s="133">
        <v>8</v>
      </c>
      <c r="BO485" s="133">
        <v>5</v>
      </c>
      <c r="BP485" s="140" t="s">
        <v>1360</v>
      </c>
      <c r="BQ485" s="140">
        <v>10003603</v>
      </c>
      <c r="BR485" s="140">
        <v>300</v>
      </c>
    </row>
    <row r="486" spans="1:70" s="133" customFormat="1">
      <c r="A486" s="133">
        <v>2310001</v>
      </c>
      <c r="B486" s="133">
        <v>483</v>
      </c>
      <c r="C486" s="133">
        <v>231</v>
      </c>
      <c r="D486" s="133" t="s">
        <v>591</v>
      </c>
      <c r="E486" s="133">
        <v>1</v>
      </c>
      <c r="F486" s="133" t="str">
        <f t="shared" si="8"/>
        <v>市集1</v>
      </c>
      <c r="H486" s="146"/>
      <c r="I486" s="133" t="s">
        <v>1205</v>
      </c>
      <c r="J486" s="150">
        <f>INDEX('#建筑消耗和buff配置索引'!AH:AH,MATCH($F486,'#建筑消耗和buff配置索引'!$M:$M,0))</f>
        <v>25</v>
      </c>
      <c r="K486" s="150">
        <f>INDEX('#建筑消耗和buff配置索引'!AA:AA,MATCH($F486,'#建筑消耗和buff配置索引'!$M:$M,0))</f>
        <v>0</v>
      </c>
      <c r="L486" s="150">
        <f>INDEX('#建筑消耗和buff配置索引'!AB:AB,MATCH($F486,'#建筑消耗和buff配置索引'!$M:$M,0))</f>
        <v>0</v>
      </c>
      <c r="M486" s="150">
        <f>INDEX('#建筑消耗和buff配置索引'!AC:AC,MATCH($F486,'#建筑消耗和buff配置索引'!$M:$M,0))</f>
        <v>0</v>
      </c>
      <c r="N486" s="150">
        <f>INDEX('#建筑消耗和buff配置索引'!AD:AD,MATCH($F486,'#建筑消耗和buff配置索引'!$M:$M,0))</f>
        <v>0</v>
      </c>
      <c r="O486" s="150" t="str">
        <f>IF(INDEX('#建筑消耗和buff配置索引'!T:T,MATCH($F486,'#建筑消耗和buff配置索引'!$M:$M,0))=0,"",INDEX('#建筑消耗和buff配置索引'!T:T,MATCH($F486,'#建筑消耗和buff配置索引'!$M:$M,0)))</f>
        <v/>
      </c>
      <c r="P486" s="133" t="str">
        <f>IF(INDEX('#建筑消耗和buff配置索引'!U:U,MATCH($F486,'#建筑消耗和buff配置索引'!$M:$M,0))=0,"",INDEX('#建筑消耗和buff配置索引'!U:U,MATCH($F486,'#建筑消耗和buff配置索引'!$M:$M,0)))</f>
        <v/>
      </c>
      <c r="Q486" s="133" t="str">
        <f>IF(INDEX('#建筑消耗和buff配置索引'!K:K,MATCH($F486,'#建筑消耗和buff配置索引'!$M:$M,0))=0,"",INDEX('#建筑消耗和buff配置索引'!K:K,MATCH($F486,'#建筑消耗和buff配置索引'!$M:$M,0)))</f>
        <v>201</v>
      </c>
      <c r="R486" s="133" t="str">
        <f>IF(INDEX('#建筑消耗和buff配置索引'!L:L,MATCH($F486,'#建筑消耗和buff配置索引'!$M:$M,0))=0,"",INDEX('#建筑消耗和buff配置索引'!L:L,MATCH($F486,'#建筑消耗和buff配置索引'!$M:$M,0)))</f>
        <v>6</v>
      </c>
      <c r="S486" s="133">
        <f>IF(INDEX('#建筑消耗和buff配置索引'!C:C,MATCH(F486,'#建筑消耗和buff配置索引'!M:M,0))=0,1,INDEX('#建筑消耗和buff配置索引'!C:C,MATCH(F486,'#建筑消耗和buff配置索引'!M:M,0)))</f>
        <v>2</v>
      </c>
      <c r="T486" s="133">
        <v>0</v>
      </c>
      <c r="U486" s="133">
        <v>0</v>
      </c>
      <c r="V486" s="133" t="str">
        <f>IF(E486=1,IF(INDEX('#建筑消耗和buff配置索引'!BY:BY,MATCH(D486,'#建筑消耗和buff配置索引'!A:A,0))=0,"",INDEX('#建筑消耗和buff配置索引'!BY:BY,MATCH(D486,'#建筑消耗和buff配置索引'!A:A,0))),"")</f>
        <v>1:2</v>
      </c>
      <c r="W486" s="133" t="str">
        <f>IF(E486=1,IF(INDEX('#建筑消耗和buff配置索引'!BZ:BZ,MATCH(D486,'#建筑消耗和buff配置索引'!A:A,0))=0,"",INDEX('#建筑消耗和buff配置索引'!BZ:BZ,MATCH(D486,'#建筑消耗和buff配置索引'!A:A,0))),"")</f>
        <v>TID_Buff_BuilDetail_1328:TID_Buff_BuilDetail_1329</v>
      </c>
      <c r="AA486" s="133">
        <f>INDEX('#建筑消耗和buff配置索引'!AO:AO,MATCH($F486,'#建筑消耗和buff配置索引'!$M:$M,0))</f>
        <v>2</v>
      </c>
      <c r="AB486" s="133">
        <f>IF(INDEX('#建筑消耗和buff配置索引'!AR:AR,MATCH($F486,'#建筑消耗和buff配置索引'!$M:$M,0))=0,"",INDEX('#建筑消耗和buff配置索引'!AR:AR,MATCH($F486,'#建筑消耗和buff配置索引'!$M:$M,0)))</f>
        <v>1328</v>
      </c>
      <c r="AC486" s="133">
        <f>IF(AB486="","",INDEX('#建筑消耗和buff配置索引'!AS:AS,MATCH($F486,'#建筑消耗和buff配置索引'!$M:$M,0)))</f>
        <v>0.7</v>
      </c>
      <c r="AF486" s="133">
        <f>IF(INDEX('#建筑消耗和buff配置索引'!AW:AW,MATCH($F486,'#建筑消耗和buff配置索引'!$M:$M,0))=0,"",INDEX('#建筑消耗和buff配置索引'!AW:AW,MATCH($F486,'#建筑消耗和buff配置索引'!$M:$M,0)))</f>
        <v>1329</v>
      </c>
      <c r="AG486" s="133">
        <f>IF(AF486="","",INDEX('#建筑消耗和buff配置索引'!AX:AX,MATCH($F486,'#建筑消耗和buff配置索引'!$M:$M,0)))</f>
        <v>200000</v>
      </c>
      <c r="AJ486" s="133" t="str">
        <f>IF(INDEX('#建筑消耗和buff配置索引'!BB:BB,MATCH($F486,'#建筑消耗和buff配置索引'!$M:$M,0))=0,"",INDEX('#建筑消耗和buff配置索引'!BB:BB,MATCH($F486,'#建筑消耗和buff配置索引'!$M:$M,0)))</f>
        <v/>
      </c>
      <c r="AK486" s="133" t="str">
        <f>IF(AJ486="","",INDEX('#建筑消耗和buff配置索引'!BC:BC,MATCH($F486,'#建筑消耗和buff配置索引'!$M:$M,0)))</f>
        <v/>
      </c>
      <c r="AN486" s="133" t="str">
        <f>IF(INDEX('#建筑消耗和buff配置索引'!BG:BG,MATCH($F486,'#建筑消耗和buff配置索引'!$M:$M,0))=0,"",INDEX('#建筑消耗和buff配置索引'!BG:BG,MATCH($F486,'#建筑消耗和buff配置索引'!$M:$M,0)))</f>
        <v/>
      </c>
      <c r="AO486" s="133" t="str">
        <f>IF(AN486="","",INDEX('#建筑消耗和buff配置索引'!BH:BH,MATCH($F486,'#建筑消耗和buff配置索引'!$M:$M,0)))</f>
        <v/>
      </c>
      <c r="AR486" s="133" t="str">
        <f>IF(INDEX('#建筑消耗和buff配置索引'!BK:BK,MATCH($F486,'#建筑消耗和buff配置索引'!$M:$M,0))=0,"",INDEX('#建筑消耗和buff配置索引'!BK:BK,MATCH($F486,'#建筑消耗和buff配置索引'!$M:$M,0)))</f>
        <v/>
      </c>
      <c r="AS486" s="133" t="str">
        <f>IF(AR486="","",INDEX('#建筑消耗和buff配置索引'!BL:BL,MATCH($F486,'#建筑消耗和buff配置索引'!$M:$M,0)))</f>
        <v/>
      </c>
      <c r="AV486" s="133" t="str">
        <f>IF(INDEX('#建筑消耗和buff配置索引'!BO:BO,MATCH($F486,'#建筑消耗和buff配置索引'!$M:$M,0))=0,"",INDEX('#建筑消耗和buff配置索引'!BO:BO,MATCH($F486,'#建筑消耗和buff配置索引'!$M:$M,0)))</f>
        <v/>
      </c>
      <c r="AW486" s="133" t="str">
        <f>IF(AV486="","",INDEX('#建筑消耗和buff配置索引'!BP:BP,MATCH($F486,'#建筑消耗和buff配置索引'!$M:$M,0)))</f>
        <v/>
      </c>
      <c r="AZ486" s="133" t="str">
        <f>IF(INDEX('#建筑消耗和buff配置索引'!BS:BS,MATCH($F486,'#建筑消耗和buff配置索引'!$M:$M,0))=0,"",INDEX('#建筑消耗和buff配置索引'!BS:BS,MATCH($F486,'#建筑消耗和buff配置索引'!$M:$M,0)))</f>
        <v/>
      </c>
      <c r="BA486" s="133" t="str">
        <f>IF(AZ486="","",INDEX('#建筑消耗和buff配置索引'!BT:BT,MATCH($F486,'#建筑消耗和buff配置索引'!$M:$M,0)))</f>
        <v/>
      </c>
      <c r="BD486" s="133" t="str">
        <f>IF(INDEX('#建筑消耗和buff配置索引'!BW:BW,MATCH($F486,'#建筑消耗和buff配置索引'!$M:$M,0))=0,"",INDEX('#建筑消耗和buff配置索引'!BW:BW,MATCH($F486,'#建筑消耗和buff配置索引'!$M:$M,0)))</f>
        <v/>
      </c>
      <c r="BE486" s="133" t="str">
        <f>IF(BD486="","",INDEX('#建筑消耗和buff配置索引'!BX:BX,MATCH($F486,'#建筑消耗和buff配置索引'!$M:$M,0)))</f>
        <v/>
      </c>
      <c r="BI486" s="133">
        <v>23</v>
      </c>
      <c r="BN486" s="133">
        <v>3</v>
      </c>
    </row>
    <row r="487" spans="1:70" s="133" customFormat="1">
      <c r="A487" s="133">
        <v>2310002</v>
      </c>
      <c r="B487" s="133">
        <v>484</v>
      </c>
      <c r="C487" s="133">
        <v>231</v>
      </c>
      <c r="D487" s="133" t="s">
        <v>591</v>
      </c>
      <c r="E487" s="133">
        <v>2</v>
      </c>
      <c r="F487" s="133" t="str">
        <f t="shared" si="8"/>
        <v>市集2</v>
      </c>
      <c r="H487" s="146"/>
      <c r="I487" s="133" t="s">
        <v>1205</v>
      </c>
      <c r="J487" s="150">
        <f>INDEX('#建筑消耗和buff配置索引'!AH:AH,MATCH($F487,'#建筑消耗和buff配置索引'!$M:$M,0))</f>
        <v>36</v>
      </c>
      <c r="K487" s="150">
        <f>INDEX('#建筑消耗和buff配置索引'!AA:AA,MATCH($F487,'#建筑消耗和buff配置索引'!$M:$M,0))</f>
        <v>1000</v>
      </c>
      <c r="L487" s="150">
        <f>INDEX('#建筑消耗和buff配置索引'!AB:AB,MATCH($F487,'#建筑消耗和buff配置索引'!$M:$M,0))</f>
        <v>1000</v>
      </c>
      <c r="M487" s="150">
        <f>INDEX('#建筑消耗和buff配置索引'!AC:AC,MATCH($F487,'#建筑消耗和buff配置索引'!$M:$M,0))</f>
        <v>0</v>
      </c>
      <c r="N487" s="150">
        <f>INDEX('#建筑消耗和buff配置索引'!AD:AD,MATCH($F487,'#建筑消耗和buff配置索引'!$M:$M,0))</f>
        <v>0</v>
      </c>
      <c r="O487" s="150" t="str">
        <f>IF(INDEX('#建筑消耗和buff配置索引'!T:T,MATCH($F487,'#建筑消耗和buff配置索引'!$M:$M,0))=0,"",INDEX('#建筑消耗和buff配置索引'!T:T,MATCH($F487,'#建筑消耗和buff配置索引'!$M:$M,0)))</f>
        <v/>
      </c>
      <c r="P487" s="133" t="str">
        <f>IF(INDEX('#建筑消耗和buff配置索引'!U:U,MATCH($F487,'#建筑消耗和buff配置索引'!$M:$M,0))=0,"",INDEX('#建筑消耗和buff配置索引'!U:U,MATCH($F487,'#建筑消耗和buff配置索引'!$M:$M,0)))</f>
        <v/>
      </c>
      <c r="Q487" s="133" t="str">
        <f>IF(INDEX('#建筑消耗和buff配置索引'!K:K,MATCH($F487,'#建筑消耗和buff配置索引'!$M:$M,0))=0,"",INDEX('#建筑消耗和buff配置索引'!K:K,MATCH($F487,'#建筑消耗和buff配置索引'!$M:$M,0)))</f>
        <v>201</v>
      </c>
      <c r="R487" s="133" t="str">
        <f>IF(INDEX('#建筑消耗和buff配置索引'!L:L,MATCH($F487,'#建筑消耗和buff配置索引'!$M:$M,0))=0,"",INDEX('#建筑消耗和buff配置索引'!L:L,MATCH($F487,'#建筑消耗和buff配置索引'!$M:$M,0)))</f>
        <v>6</v>
      </c>
      <c r="S487" s="133">
        <f>IF(INDEX('#建筑消耗和buff配置索引'!C:C,MATCH(F487,'#建筑消耗和buff配置索引'!M:M,0))=0,1,INDEX('#建筑消耗和buff配置索引'!C:C,MATCH(F487,'#建筑消耗和buff配置索引'!M:M,0)))</f>
        <v>2</v>
      </c>
      <c r="T487" s="133">
        <v>0</v>
      </c>
      <c r="U487" s="133">
        <v>0</v>
      </c>
      <c r="V487" s="133" t="str">
        <f>IF(E487=1,IF(INDEX('#建筑消耗和buff配置索引'!BY:BY,MATCH(D487,'#建筑消耗和buff配置索引'!A:A,0))=0,"",INDEX('#建筑消耗和buff配置索引'!BY:BY,MATCH(D487,'#建筑消耗和buff配置索引'!A:A,0))),"")</f>
        <v/>
      </c>
      <c r="W487" s="133" t="str">
        <f>IF(E487=1,IF(INDEX('#建筑消耗和buff配置索引'!BZ:BZ,MATCH(D487,'#建筑消耗和buff配置索引'!A:A,0))=0,"",INDEX('#建筑消耗和buff配置索引'!BZ:BZ,MATCH(D487,'#建筑消耗和buff配置索引'!A:A,0))),"")</f>
        <v/>
      </c>
      <c r="AA487" s="133">
        <f>INDEX('#建筑消耗和buff配置索引'!AO:AO,MATCH($F487,'#建筑消耗和buff配置索引'!$M:$M,0))</f>
        <v>6</v>
      </c>
      <c r="AB487" s="133">
        <f>IF(INDEX('#建筑消耗和buff配置索引'!AR:AR,MATCH($F487,'#建筑消耗和buff配置索引'!$M:$M,0))=0,"",INDEX('#建筑消耗和buff配置索引'!AR:AR,MATCH($F487,'#建筑消耗和buff配置索引'!$M:$M,0)))</f>
        <v>1328</v>
      </c>
      <c r="AC487" s="133">
        <f>IF(AB487="","",INDEX('#建筑消耗和buff配置索引'!AS:AS,MATCH($F487,'#建筑消耗和buff配置索引'!$M:$M,0)))</f>
        <v>0.70899999999999996</v>
      </c>
      <c r="AF487" s="133">
        <f>IF(INDEX('#建筑消耗和buff配置索引'!AW:AW,MATCH($F487,'#建筑消耗和buff配置索引'!$M:$M,0))=0,"",INDEX('#建筑消耗和buff配置索引'!AW:AW,MATCH($F487,'#建筑消耗和buff配置索引'!$M:$M,0)))</f>
        <v>1329</v>
      </c>
      <c r="AG487" s="133">
        <f>IF(AF487="","",INDEX('#建筑消耗和buff配置索引'!AX:AX,MATCH($F487,'#建筑消耗和buff配置索引'!$M:$M,0)))</f>
        <v>240000</v>
      </c>
      <c r="AJ487" s="133" t="str">
        <f>IF(INDEX('#建筑消耗和buff配置索引'!BB:BB,MATCH($F487,'#建筑消耗和buff配置索引'!$M:$M,0))=0,"",INDEX('#建筑消耗和buff配置索引'!BB:BB,MATCH($F487,'#建筑消耗和buff配置索引'!$M:$M,0)))</f>
        <v/>
      </c>
      <c r="AK487" s="133" t="str">
        <f>IF(AJ487="","",INDEX('#建筑消耗和buff配置索引'!BC:BC,MATCH($F487,'#建筑消耗和buff配置索引'!$M:$M,0)))</f>
        <v/>
      </c>
      <c r="AN487" s="133" t="str">
        <f>IF(INDEX('#建筑消耗和buff配置索引'!BG:BG,MATCH($F487,'#建筑消耗和buff配置索引'!$M:$M,0))=0,"",INDEX('#建筑消耗和buff配置索引'!BG:BG,MATCH($F487,'#建筑消耗和buff配置索引'!$M:$M,0)))</f>
        <v/>
      </c>
      <c r="AO487" s="133" t="str">
        <f>IF(AN487="","",INDEX('#建筑消耗和buff配置索引'!BH:BH,MATCH($F487,'#建筑消耗和buff配置索引'!$M:$M,0)))</f>
        <v/>
      </c>
      <c r="AR487" s="133" t="str">
        <f>IF(INDEX('#建筑消耗和buff配置索引'!BK:BK,MATCH($F487,'#建筑消耗和buff配置索引'!$M:$M,0))=0,"",INDEX('#建筑消耗和buff配置索引'!BK:BK,MATCH($F487,'#建筑消耗和buff配置索引'!$M:$M,0)))</f>
        <v/>
      </c>
      <c r="AS487" s="133" t="str">
        <f>IF(AR487="","",INDEX('#建筑消耗和buff配置索引'!BL:BL,MATCH($F487,'#建筑消耗和buff配置索引'!$M:$M,0)))</f>
        <v/>
      </c>
      <c r="AV487" s="133" t="str">
        <f>IF(INDEX('#建筑消耗和buff配置索引'!BO:BO,MATCH($F487,'#建筑消耗和buff配置索引'!$M:$M,0))=0,"",INDEX('#建筑消耗和buff配置索引'!BO:BO,MATCH($F487,'#建筑消耗和buff配置索引'!$M:$M,0)))</f>
        <v/>
      </c>
      <c r="AW487" s="133" t="str">
        <f>IF(AV487="","",INDEX('#建筑消耗和buff配置索引'!BP:BP,MATCH($F487,'#建筑消耗和buff配置索引'!$M:$M,0)))</f>
        <v/>
      </c>
      <c r="AZ487" s="133" t="str">
        <f>IF(INDEX('#建筑消耗和buff配置索引'!BS:BS,MATCH($F487,'#建筑消耗和buff配置索引'!$M:$M,0))=0,"",INDEX('#建筑消耗和buff配置索引'!BS:BS,MATCH($F487,'#建筑消耗和buff配置索引'!$M:$M,0)))</f>
        <v/>
      </c>
      <c r="BA487" s="133" t="str">
        <f>IF(AZ487="","",INDEX('#建筑消耗和buff配置索引'!BT:BT,MATCH($F487,'#建筑消耗和buff配置索引'!$M:$M,0)))</f>
        <v/>
      </c>
      <c r="BD487" s="133" t="str">
        <f>IF(INDEX('#建筑消耗和buff配置索引'!BW:BW,MATCH($F487,'#建筑消耗和buff配置索引'!$M:$M,0))=0,"",INDEX('#建筑消耗和buff配置索引'!BW:BW,MATCH($F487,'#建筑消耗和buff配置索引'!$M:$M,0)))</f>
        <v/>
      </c>
      <c r="BE487" s="133" t="str">
        <f>IF(BD487="","",INDEX('#建筑消耗和buff配置索引'!BX:BX,MATCH($F487,'#建筑消耗和buff配置索引'!$M:$M,0)))</f>
        <v/>
      </c>
      <c r="BI487" s="133">
        <v>23</v>
      </c>
    </row>
    <row r="488" spans="1:70" s="133" customFormat="1">
      <c r="A488" s="133">
        <v>2310003</v>
      </c>
      <c r="B488" s="133">
        <v>485</v>
      </c>
      <c r="C488" s="133">
        <v>231</v>
      </c>
      <c r="D488" s="133" t="s">
        <v>591</v>
      </c>
      <c r="E488" s="133">
        <v>3</v>
      </c>
      <c r="F488" s="133" t="str">
        <f t="shared" si="8"/>
        <v>市集3</v>
      </c>
      <c r="H488" s="146"/>
      <c r="I488" s="133" t="s">
        <v>1205</v>
      </c>
      <c r="J488" s="150">
        <f>INDEX('#建筑消耗和buff配置索引'!AH:AH,MATCH($F488,'#建筑消耗和buff配置索引'!$M:$M,0))</f>
        <v>72</v>
      </c>
      <c r="K488" s="150">
        <f>INDEX('#建筑消耗和buff配置索引'!AA:AA,MATCH($F488,'#建筑消耗和buff配置索引'!$M:$M,0))</f>
        <v>2000</v>
      </c>
      <c r="L488" s="150">
        <f>INDEX('#建筑消耗和buff配置索引'!AB:AB,MATCH($F488,'#建筑消耗和buff配置索引'!$M:$M,0))</f>
        <v>2000</v>
      </c>
      <c r="M488" s="150">
        <f>INDEX('#建筑消耗和buff配置索引'!AC:AC,MATCH($F488,'#建筑消耗和buff配置索引'!$M:$M,0))</f>
        <v>0</v>
      </c>
      <c r="N488" s="150">
        <f>INDEX('#建筑消耗和buff配置索引'!AD:AD,MATCH($F488,'#建筑消耗和buff配置索引'!$M:$M,0))</f>
        <v>0</v>
      </c>
      <c r="O488" s="150" t="str">
        <f>IF(INDEX('#建筑消耗和buff配置索引'!T:T,MATCH($F488,'#建筑消耗和buff配置索引'!$M:$M,0))=0,"",INDEX('#建筑消耗和buff配置索引'!T:T,MATCH($F488,'#建筑消耗和buff配置索引'!$M:$M,0)))</f>
        <v/>
      </c>
      <c r="P488" s="133" t="str">
        <f>IF(INDEX('#建筑消耗和buff配置索引'!U:U,MATCH($F488,'#建筑消耗和buff配置索引'!$M:$M,0))=0,"",INDEX('#建筑消耗和buff配置索引'!U:U,MATCH($F488,'#建筑消耗和buff配置索引'!$M:$M,0)))</f>
        <v/>
      </c>
      <c r="Q488" s="133" t="str">
        <f>IF(INDEX('#建筑消耗和buff配置索引'!K:K,MATCH($F488,'#建筑消耗和buff配置索引'!$M:$M,0))=0,"",INDEX('#建筑消耗和buff配置索引'!K:K,MATCH($F488,'#建筑消耗和buff配置索引'!$M:$M,0)))</f>
        <v>201</v>
      </c>
      <c r="R488" s="133" t="str">
        <f>IF(INDEX('#建筑消耗和buff配置索引'!L:L,MATCH($F488,'#建筑消耗和buff配置索引'!$M:$M,0))=0,"",INDEX('#建筑消耗和buff配置索引'!L:L,MATCH($F488,'#建筑消耗和buff配置索引'!$M:$M,0)))</f>
        <v>6</v>
      </c>
      <c r="S488" s="133">
        <f>IF(INDEX('#建筑消耗和buff配置索引'!C:C,MATCH(F488,'#建筑消耗和buff配置索引'!M:M,0))=0,1,INDEX('#建筑消耗和buff配置索引'!C:C,MATCH(F488,'#建筑消耗和buff配置索引'!M:M,0)))</f>
        <v>2</v>
      </c>
      <c r="T488" s="133">
        <v>0</v>
      </c>
      <c r="U488" s="133">
        <v>0</v>
      </c>
      <c r="V488" s="133" t="str">
        <f>IF(E488=1,IF(INDEX('#建筑消耗和buff配置索引'!BY:BY,MATCH(D488,'#建筑消耗和buff配置索引'!A:A,0))=0,"",INDEX('#建筑消耗和buff配置索引'!BY:BY,MATCH(D488,'#建筑消耗和buff配置索引'!A:A,0))),"")</f>
        <v/>
      </c>
      <c r="W488" s="133" t="str">
        <f>IF(E488=1,IF(INDEX('#建筑消耗和buff配置索引'!BZ:BZ,MATCH(D488,'#建筑消耗和buff配置索引'!A:A,0))=0,"",INDEX('#建筑消耗和buff配置索引'!BZ:BZ,MATCH(D488,'#建筑消耗和buff配置索引'!A:A,0))),"")</f>
        <v/>
      </c>
      <c r="AA488" s="133">
        <f>INDEX('#建筑消耗和buff配置索引'!AO:AO,MATCH($F488,'#建筑消耗和buff配置索引'!$M:$M,0))</f>
        <v>14</v>
      </c>
      <c r="AB488" s="133">
        <f>IF(INDEX('#建筑消耗和buff配置索引'!AR:AR,MATCH($F488,'#建筑消耗和buff配置索引'!$M:$M,0))=0,"",INDEX('#建筑消耗和buff配置索引'!AR:AR,MATCH($F488,'#建筑消耗和buff配置索引'!$M:$M,0)))</f>
        <v>1328</v>
      </c>
      <c r="AC488" s="133">
        <f>IF(AB488="","",INDEX('#建筑消耗和buff配置索引'!AS:AS,MATCH($F488,'#建筑消耗和buff配置索引'!$M:$M,0)))</f>
        <v>0.71799999999999997</v>
      </c>
      <c r="AF488" s="133">
        <f>IF(INDEX('#建筑消耗和buff配置索引'!AW:AW,MATCH($F488,'#建筑消耗和buff配置索引'!$M:$M,0))=0,"",INDEX('#建筑消耗和buff配置索引'!AW:AW,MATCH($F488,'#建筑消耗和buff配置索引'!$M:$M,0)))</f>
        <v>1329</v>
      </c>
      <c r="AG488" s="133">
        <f>IF(AF488="","",INDEX('#建筑消耗和buff配置索引'!AX:AX,MATCH($F488,'#建筑消耗和buff配置索引'!$M:$M,0)))</f>
        <v>280000</v>
      </c>
      <c r="AJ488" s="133" t="str">
        <f>IF(INDEX('#建筑消耗和buff配置索引'!BB:BB,MATCH($F488,'#建筑消耗和buff配置索引'!$M:$M,0))=0,"",INDEX('#建筑消耗和buff配置索引'!BB:BB,MATCH($F488,'#建筑消耗和buff配置索引'!$M:$M,0)))</f>
        <v/>
      </c>
      <c r="AK488" s="133" t="str">
        <f>IF(AJ488="","",INDEX('#建筑消耗和buff配置索引'!BC:BC,MATCH($F488,'#建筑消耗和buff配置索引'!$M:$M,0)))</f>
        <v/>
      </c>
      <c r="AN488" s="133" t="str">
        <f>IF(INDEX('#建筑消耗和buff配置索引'!BG:BG,MATCH($F488,'#建筑消耗和buff配置索引'!$M:$M,0))=0,"",INDEX('#建筑消耗和buff配置索引'!BG:BG,MATCH($F488,'#建筑消耗和buff配置索引'!$M:$M,0)))</f>
        <v/>
      </c>
      <c r="AO488" s="133" t="str">
        <f>IF(AN488="","",INDEX('#建筑消耗和buff配置索引'!BH:BH,MATCH($F488,'#建筑消耗和buff配置索引'!$M:$M,0)))</f>
        <v/>
      </c>
      <c r="AR488" s="133" t="str">
        <f>IF(INDEX('#建筑消耗和buff配置索引'!BK:BK,MATCH($F488,'#建筑消耗和buff配置索引'!$M:$M,0))=0,"",INDEX('#建筑消耗和buff配置索引'!BK:BK,MATCH($F488,'#建筑消耗和buff配置索引'!$M:$M,0)))</f>
        <v/>
      </c>
      <c r="AS488" s="133" t="str">
        <f>IF(AR488="","",INDEX('#建筑消耗和buff配置索引'!BL:BL,MATCH($F488,'#建筑消耗和buff配置索引'!$M:$M,0)))</f>
        <v/>
      </c>
      <c r="AV488" s="133" t="str">
        <f>IF(INDEX('#建筑消耗和buff配置索引'!BO:BO,MATCH($F488,'#建筑消耗和buff配置索引'!$M:$M,0))=0,"",INDEX('#建筑消耗和buff配置索引'!BO:BO,MATCH($F488,'#建筑消耗和buff配置索引'!$M:$M,0)))</f>
        <v/>
      </c>
      <c r="AW488" s="133" t="str">
        <f>IF(AV488="","",INDEX('#建筑消耗和buff配置索引'!BP:BP,MATCH($F488,'#建筑消耗和buff配置索引'!$M:$M,0)))</f>
        <v/>
      </c>
      <c r="AZ488" s="133" t="str">
        <f>IF(INDEX('#建筑消耗和buff配置索引'!BS:BS,MATCH($F488,'#建筑消耗和buff配置索引'!$M:$M,0))=0,"",INDEX('#建筑消耗和buff配置索引'!BS:BS,MATCH($F488,'#建筑消耗和buff配置索引'!$M:$M,0)))</f>
        <v/>
      </c>
      <c r="BA488" s="133" t="str">
        <f>IF(AZ488="","",INDEX('#建筑消耗和buff配置索引'!BT:BT,MATCH($F488,'#建筑消耗和buff配置索引'!$M:$M,0)))</f>
        <v/>
      </c>
      <c r="BD488" s="133" t="str">
        <f>IF(INDEX('#建筑消耗和buff配置索引'!BW:BW,MATCH($F488,'#建筑消耗和buff配置索引'!$M:$M,0))=0,"",INDEX('#建筑消耗和buff配置索引'!BW:BW,MATCH($F488,'#建筑消耗和buff配置索引'!$M:$M,0)))</f>
        <v/>
      </c>
      <c r="BE488" s="133" t="str">
        <f>IF(BD488="","",INDEX('#建筑消耗和buff配置索引'!BX:BX,MATCH($F488,'#建筑消耗和buff配置索引'!$M:$M,0)))</f>
        <v/>
      </c>
      <c r="BI488" s="133">
        <v>23</v>
      </c>
    </row>
    <row r="489" spans="1:70" s="133" customFormat="1">
      <c r="A489" s="133">
        <v>2310004</v>
      </c>
      <c r="B489" s="133">
        <v>486</v>
      </c>
      <c r="C489" s="133">
        <v>231</v>
      </c>
      <c r="D489" s="133" t="s">
        <v>591</v>
      </c>
      <c r="E489" s="133">
        <v>4</v>
      </c>
      <c r="F489" s="133" t="str">
        <f t="shared" si="8"/>
        <v>市集4</v>
      </c>
      <c r="H489" s="146"/>
      <c r="I489" s="133" t="s">
        <v>1205</v>
      </c>
      <c r="J489" s="150">
        <f>INDEX('#建筑消耗和buff配置索引'!AH:AH,MATCH($F489,'#建筑消耗和buff配置索引'!$M:$M,0))</f>
        <v>144</v>
      </c>
      <c r="K489" s="150">
        <f>INDEX('#建筑消耗和buff配置索引'!AA:AA,MATCH($F489,'#建筑消耗和buff配置索引'!$M:$M,0))</f>
        <v>4000</v>
      </c>
      <c r="L489" s="150">
        <f>INDEX('#建筑消耗和buff配置索引'!AB:AB,MATCH($F489,'#建筑消耗和buff配置索引'!$M:$M,0))</f>
        <v>4000</v>
      </c>
      <c r="M489" s="150">
        <f>INDEX('#建筑消耗和buff配置索引'!AC:AC,MATCH($F489,'#建筑消耗和buff配置索引'!$M:$M,0))</f>
        <v>0</v>
      </c>
      <c r="N489" s="150">
        <f>INDEX('#建筑消耗和buff配置索引'!AD:AD,MATCH($F489,'#建筑消耗和buff配置索引'!$M:$M,0))</f>
        <v>0</v>
      </c>
      <c r="O489" s="150" t="str">
        <f>IF(INDEX('#建筑消耗和buff配置索引'!T:T,MATCH($F489,'#建筑消耗和buff配置索引'!$M:$M,0))=0,"",INDEX('#建筑消耗和buff配置索引'!T:T,MATCH($F489,'#建筑消耗和buff配置索引'!$M:$M,0)))</f>
        <v/>
      </c>
      <c r="P489" s="133" t="str">
        <f>IF(INDEX('#建筑消耗和buff配置索引'!U:U,MATCH($F489,'#建筑消耗和buff配置索引'!$M:$M,0))=0,"",INDEX('#建筑消耗和buff配置索引'!U:U,MATCH($F489,'#建筑消耗和buff配置索引'!$M:$M,0)))</f>
        <v/>
      </c>
      <c r="Q489" s="133" t="str">
        <f>IF(INDEX('#建筑消耗和buff配置索引'!K:K,MATCH($F489,'#建筑消耗和buff配置索引'!$M:$M,0))=0,"",INDEX('#建筑消耗和buff配置索引'!K:K,MATCH($F489,'#建筑消耗和buff配置索引'!$M:$M,0)))</f>
        <v>201</v>
      </c>
      <c r="R489" s="133" t="str">
        <f>IF(INDEX('#建筑消耗和buff配置索引'!L:L,MATCH($F489,'#建筑消耗和buff配置索引'!$M:$M,0))=0,"",INDEX('#建筑消耗和buff配置索引'!L:L,MATCH($F489,'#建筑消耗和buff配置索引'!$M:$M,0)))</f>
        <v>6</v>
      </c>
      <c r="S489" s="133">
        <f>IF(INDEX('#建筑消耗和buff配置索引'!C:C,MATCH(F489,'#建筑消耗和buff配置索引'!M:M,0))=0,1,INDEX('#建筑消耗和buff配置索引'!C:C,MATCH(F489,'#建筑消耗和buff配置索引'!M:M,0)))</f>
        <v>2</v>
      </c>
      <c r="T489" s="133">
        <v>0</v>
      </c>
      <c r="U489" s="133">
        <v>0</v>
      </c>
      <c r="V489" s="133" t="str">
        <f>IF(E489=1,IF(INDEX('#建筑消耗和buff配置索引'!BY:BY,MATCH(D489,'#建筑消耗和buff配置索引'!A:A,0))=0,"",INDEX('#建筑消耗和buff配置索引'!BY:BY,MATCH(D489,'#建筑消耗和buff配置索引'!A:A,0))),"")</f>
        <v/>
      </c>
      <c r="W489" s="133" t="str">
        <f>IF(E489=1,IF(INDEX('#建筑消耗和buff配置索引'!BZ:BZ,MATCH(D489,'#建筑消耗和buff配置索引'!A:A,0))=0,"",INDEX('#建筑消耗和buff配置索引'!BZ:BZ,MATCH(D489,'#建筑消耗和buff配置索引'!A:A,0))),"")</f>
        <v/>
      </c>
      <c r="AA489" s="133">
        <f>INDEX('#建筑消耗和buff配置索引'!AO:AO,MATCH($F489,'#建筑消耗和buff配置索引'!$M:$M,0))</f>
        <v>30</v>
      </c>
      <c r="AB489" s="133">
        <f>IF(INDEX('#建筑消耗和buff配置索引'!AR:AR,MATCH($F489,'#建筑消耗和buff配置索引'!$M:$M,0))=0,"",INDEX('#建筑消耗和buff配置索引'!AR:AR,MATCH($F489,'#建筑消耗和buff配置索引'!$M:$M,0)))</f>
        <v>1328</v>
      </c>
      <c r="AC489" s="133">
        <f>IF(AB489="","",INDEX('#建筑消耗和buff配置索引'!AS:AS,MATCH($F489,'#建筑消耗和buff配置索引'!$M:$M,0)))</f>
        <v>0.72699999999999998</v>
      </c>
      <c r="AF489" s="133">
        <f>IF(INDEX('#建筑消耗和buff配置索引'!AW:AW,MATCH($F489,'#建筑消耗和buff配置索引'!$M:$M,0))=0,"",INDEX('#建筑消耗和buff配置索引'!AW:AW,MATCH($F489,'#建筑消耗和buff配置索引'!$M:$M,0)))</f>
        <v>1329</v>
      </c>
      <c r="AG489" s="133">
        <f>IF(AF489="","",INDEX('#建筑消耗和buff配置索引'!AX:AX,MATCH($F489,'#建筑消耗和buff配置索引'!$M:$M,0)))</f>
        <v>320000</v>
      </c>
      <c r="AJ489" s="133" t="str">
        <f>IF(INDEX('#建筑消耗和buff配置索引'!BB:BB,MATCH($F489,'#建筑消耗和buff配置索引'!$M:$M,0))=0,"",INDEX('#建筑消耗和buff配置索引'!BB:BB,MATCH($F489,'#建筑消耗和buff配置索引'!$M:$M,0)))</f>
        <v/>
      </c>
      <c r="AK489" s="133" t="str">
        <f>IF(AJ489="","",INDEX('#建筑消耗和buff配置索引'!BC:BC,MATCH($F489,'#建筑消耗和buff配置索引'!$M:$M,0)))</f>
        <v/>
      </c>
      <c r="AN489" s="133" t="str">
        <f>IF(INDEX('#建筑消耗和buff配置索引'!BG:BG,MATCH($F489,'#建筑消耗和buff配置索引'!$M:$M,0))=0,"",INDEX('#建筑消耗和buff配置索引'!BG:BG,MATCH($F489,'#建筑消耗和buff配置索引'!$M:$M,0)))</f>
        <v/>
      </c>
      <c r="AO489" s="133" t="str">
        <f>IF(AN489="","",INDEX('#建筑消耗和buff配置索引'!BH:BH,MATCH($F489,'#建筑消耗和buff配置索引'!$M:$M,0)))</f>
        <v/>
      </c>
      <c r="AR489" s="133" t="str">
        <f>IF(INDEX('#建筑消耗和buff配置索引'!BK:BK,MATCH($F489,'#建筑消耗和buff配置索引'!$M:$M,0))=0,"",INDEX('#建筑消耗和buff配置索引'!BK:BK,MATCH($F489,'#建筑消耗和buff配置索引'!$M:$M,0)))</f>
        <v/>
      </c>
      <c r="AS489" s="133" t="str">
        <f>IF(AR489="","",INDEX('#建筑消耗和buff配置索引'!BL:BL,MATCH($F489,'#建筑消耗和buff配置索引'!$M:$M,0)))</f>
        <v/>
      </c>
      <c r="AV489" s="133" t="str">
        <f>IF(INDEX('#建筑消耗和buff配置索引'!BO:BO,MATCH($F489,'#建筑消耗和buff配置索引'!$M:$M,0))=0,"",INDEX('#建筑消耗和buff配置索引'!BO:BO,MATCH($F489,'#建筑消耗和buff配置索引'!$M:$M,0)))</f>
        <v/>
      </c>
      <c r="AW489" s="133" t="str">
        <f>IF(AV489="","",INDEX('#建筑消耗和buff配置索引'!BP:BP,MATCH($F489,'#建筑消耗和buff配置索引'!$M:$M,0)))</f>
        <v/>
      </c>
      <c r="AZ489" s="133" t="str">
        <f>IF(INDEX('#建筑消耗和buff配置索引'!BS:BS,MATCH($F489,'#建筑消耗和buff配置索引'!$M:$M,0))=0,"",INDEX('#建筑消耗和buff配置索引'!BS:BS,MATCH($F489,'#建筑消耗和buff配置索引'!$M:$M,0)))</f>
        <v/>
      </c>
      <c r="BA489" s="133" t="str">
        <f>IF(AZ489="","",INDEX('#建筑消耗和buff配置索引'!BT:BT,MATCH($F489,'#建筑消耗和buff配置索引'!$M:$M,0)))</f>
        <v/>
      </c>
      <c r="BD489" s="133" t="str">
        <f>IF(INDEX('#建筑消耗和buff配置索引'!BW:BW,MATCH($F489,'#建筑消耗和buff配置索引'!$M:$M,0))=0,"",INDEX('#建筑消耗和buff配置索引'!BW:BW,MATCH($F489,'#建筑消耗和buff配置索引'!$M:$M,0)))</f>
        <v/>
      </c>
      <c r="BE489" s="133" t="str">
        <f>IF(BD489="","",INDEX('#建筑消耗和buff配置索引'!BX:BX,MATCH($F489,'#建筑消耗和buff配置索引'!$M:$M,0)))</f>
        <v/>
      </c>
      <c r="BI489" s="133">
        <v>23</v>
      </c>
    </row>
    <row r="490" spans="1:70" s="133" customFormat="1">
      <c r="A490" s="133">
        <v>2310005</v>
      </c>
      <c r="B490" s="133">
        <v>487</v>
      </c>
      <c r="C490" s="133">
        <v>231</v>
      </c>
      <c r="D490" s="133" t="s">
        <v>591</v>
      </c>
      <c r="E490" s="133">
        <v>5</v>
      </c>
      <c r="F490" s="133" t="str">
        <f t="shared" si="8"/>
        <v>市集5</v>
      </c>
      <c r="H490" s="146"/>
      <c r="I490" s="133" t="s">
        <v>1205</v>
      </c>
      <c r="J490" s="150">
        <f>INDEX('#建筑消耗和buff配置索引'!AH:AH,MATCH($F490,'#建筑消耗和buff配置索引'!$M:$M,0))</f>
        <v>300</v>
      </c>
      <c r="K490" s="150">
        <f>INDEX('#建筑消耗和buff配置索引'!AA:AA,MATCH($F490,'#建筑消耗和buff配置索引'!$M:$M,0))</f>
        <v>5100</v>
      </c>
      <c r="L490" s="150">
        <f>INDEX('#建筑消耗和buff配置索引'!AB:AB,MATCH($F490,'#建筑消耗和buff配置索引'!$M:$M,0))</f>
        <v>5100</v>
      </c>
      <c r="M490" s="150">
        <f>INDEX('#建筑消耗和buff配置索引'!AC:AC,MATCH($F490,'#建筑消耗和buff配置索引'!$M:$M,0))</f>
        <v>5100</v>
      </c>
      <c r="N490" s="150">
        <f>INDEX('#建筑消耗和buff配置索引'!AD:AD,MATCH($F490,'#建筑消耗和buff配置索引'!$M:$M,0))</f>
        <v>0</v>
      </c>
      <c r="O490" s="150" t="str">
        <f>IF(INDEX('#建筑消耗和buff配置索引'!T:T,MATCH($F490,'#建筑消耗和buff配置索引'!$M:$M,0))=0,"",INDEX('#建筑消耗和buff配置索引'!T:T,MATCH($F490,'#建筑消耗和buff配置索引'!$M:$M,0)))</f>
        <v/>
      </c>
      <c r="P490" s="133" t="str">
        <f>IF(INDEX('#建筑消耗和buff配置索引'!U:U,MATCH($F490,'#建筑消耗和buff配置索引'!$M:$M,0))=0,"",INDEX('#建筑消耗和buff配置索引'!U:U,MATCH($F490,'#建筑消耗和buff配置索引'!$M:$M,0)))</f>
        <v/>
      </c>
      <c r="Q490" s="133" t="str">
        <f>IF(INDEX('#建筑消耗和buff配置索引'!K:K,MATCH($F490,'#建筑消耗和buff配置索引'!$M:$M,0))=0,"",INDEX('#建筑消耗和buff配置索引'!K:K,MATCH($F490,'#建筑消耗和buff配置索引'!$M:$M,0)))</f>
        <v>201;400</v>
      </c>
      <c r="R490" s="133" t="str">
        <f>IF(INDEX('#建筑消耗和buff配置索引'!L:L,MATCH($F490,'#建筑消耗和buff配置索引'!$M:$M,0))=0,"",INDEX('#建筑消耗和buff配置索引'!L:L,MATCH($F490,'#建筑消耗和buff配置索引'!$M:$M,0)))</f>
        <v>6;5</v>
      </c>
      <c r="S490" s="133">
        <f>IF(INDEX('#建筑消耗和buff配置索引'!C:C,MATCH(F490,'#建筑消耗和buff配置索引'!M:M,0))=0,1,INDEX('#建筑消耗和buff配置索引'!C:C,MATCH(F490,'#建筑消耗和buff配置索引'!M:M,0)))</f>
        <v>2</v>
      </c>
      <c r="T490" s="133">
        <v>0</v>
      </c>
      <c r="U490" s="133">
        <v>0</v>
      </c>
      <c r="V490" s="133" t="str">
        <f>IF(E490=1,IF(INDEX('#建筑消耗和buff配置索引'!BY:BY,MATCH(D490,'#建筑消耗和buff配置索引'!A:A,0))=0,"",INDEX('#建筑消耗和buff配置索引'!BY:BY,MATCH(D490,'#建筑消耗和buff配置索引'!A:A,0))),"")</f>
        <v/>
      </c>
      <c r="W490" s="133" t="str">
        <f>IF(E490=1,IF(INDEX('#建筑消耗和buff配置索引'!BZ:BZ,MATCH(D490,'#建筑消耗和buff配置索引'!A:A,0))=0,"",INDEX('#建筑消耗和buff配置索引'!BZ:BZ,MATCH(D490,'#建筑消耗和buff配置索引'!A:A,0))),"")</f>
        <v/>
      </c>
      <c r="AA490" s="133">
        <f>INDEX('#建筑消耗和buff配置索引'!AO:AO,MATCH($F490,'#建筑消耗和buff配置索引'!$M:$M,0))</f>
        <v>60</v>
      </c>
      <c r="AB490" s="133">
        <f>IF(INDEX('#建筑消耗和buff配置索引'!AR:AR,MATCH($F490,'#建筑消耗和buff配置索引'!$M:$M,0))=0,"",INDEX('#建筑消耗和buff配置索引'!AR:AR,MATCH($F490,'#建筑消耗和buff配置索引'!$M:$M,0)))</f>
        <v>1328</v>
      </c>
      <c r="AC490" s="133">
        <f>IF(AB490="","",INDEX('#建筑消耗和buff配置索引'!AS:AS,MATCH($F490,'#建筑消耗和buff配置索引'!$M:$M,0)))</f>
        <v>0.73599999999999999</v>
      </c>
      <c r="AF490" s="133">
        <f>IF(INDEX('#建筑消耗和buff配置索引'!AW:AW,MATCH($F490,'#建筑消耗和buff配置索引'!$M:$M,0))=0,"",INDEX('#建筑消耗和buff配置索引'!AW:AW,MATCH($F490,'#建筑消耗和buff配置索引'!$M:$M,0)))</f>
        <v>1329</v>
      </c>
      <c r="AG490" s="133">
        <f>IF(AF490="","",INDEX('#建筑消耗和buff配置索引'!AX:AX,MATCH($F490,'#建筑消耗和buff配置索引'!$M:$M,0)))</f>
        <v>360000</v>
      </c>
      <c r="AJ490" s="133" t="str">
        <f>IF(INDEX('#建筑消耗和buff配置索引'!BB:BB,MATCH($F490,'#建筑消耗和buff配置索引'!$M:$M,0))=0,"",INDEX('#建筑消耗和buff配置索引'!BB:BB,MATCH($F490,'#建筑消耗和buff配置索引'!$M:$M,0)))</f>
        <v/>
      </c>
      <c r="AK490" s="133" t="str">
        <f>IF(AJ490="","",INDEX('#建筑消耗和buff配置索引'!BC:BC,MATCH($F490,'#建筑消耗和buff配置索引'!$M:$M,0)))</f>
        <v/>
      </c>
      <c r="AN490" s="133" t="str">
        <f>IF(INDEX('#建筑消耗和buff配置索引'!BG:BG,MATCH($F490,'#建筑消耗和buff配置索引'!$M:$M,0))=0,"",INDEX('#建筑消耗和buff配置索引'!BG:BG,MATCH($F490,'#建筑消耗和buff配置索引'!$M:$M,0)))</f>
        <v/>
      </c>
      <c r="AO490" s="133" t="str">
        <f>IF(AN490="","",INDEX('#建筑消耗和buff配置索引'!BH:BH,MATCH($F490,'#建筑消耗和buff配置索引'!$M:$M,0)))</f>
        <v/>
      </c>
      <c r="AR490" s="133" t="str">
        <f>IF(INDEX('#建筑消耗和buff配置索引'!BK:BK,MATCH($F490,'#建筑消耗和buff配置索引'!$M:$M,0))=0,"",INDEX('#建筑消耗和buff配置索引'!BK:BK,MATCH($F490,'#建筑消耗和buff配置索引'!$M:$M,0)))</f>
        <v/>
      </c>
      <c r="AS490" s="133" t="str">
        <f>IF(AR490="","",INDEX('#建筑消耗和buff配置索引'!BL:BL,MATCH($F490,'#建筑消耗和buff配置索引'!$M:$M,0)))</f>
        <v/>
      </c>
      <c r="AV490" s="133" t="str">
        <f>IF(INDEX('#建筑消耗和buff配置索引'!BO:BO,MATCH($F490,'#建筑消耗和buff配置索引'!$M:$M,0))=0,"",INDEX('#建筑消耗和buff配置索引'!BO:BO,MATCH($F490,'#建筑消耗和buff配置索引'!$M:$M,0)))</f>
        <v/>
      </c>
      <c r="AW490" s="133" t="str">
        <f>IF(AV490="","",INDEX('#建筑消耗和buff配置索引'!BP:BP,MATCH($F490,'#建筑消耗和buff配置索引'!$M:$M,0)))</f>
        <v/>
      </c>
      <c r="AZ490" s="133" t="str">
        <f>IF(INDEX('#建筑消耗和buff配置索引'!BS:BS,MATCH($F490,'#建筑消耗和buff配置索引'!$M:$M,0))=0,"",INDEX('#建筑消耗和buff配置索引'!BS:BS,MATCH($F490,'#建筑消耗和buff配置索引'!$M:$M,0)))</f>
        <v/>
      </c>
      <c r="BA490" s="133" t="str">
        <f>IF(AZ490="","",INDEX('#建筑消耗和buff配置索引'!BT:BT,MATCH($F490,'#建筑消耗和buff配置索引'!$M:$M,0)))</f>
        <v/>
      </c>
      <c r="BD490" s="133" t="str">
        <f>IF(INDEX('#建筑消耗和buff配置索引'!BW:BW,MATCH($F490,'#建筑消耗和buff配置索引'!$M:$M,0))=0,"",INDEX('#建筑消耗和buff配置索引'!BW:BW,MATCH($F490,'#建筑消耗和buff配置索引'!$M:$M,0)))</f>
        <v/>
      </c>
      <c r="BE490" s="133" t="str">
        <f>IF(BD490="","",INDEX('#建筑消耗和buff配置索引'!BX:BX,MATCH($F490,'#建筑消耗和buff配置索引'!$M:$M,0)))</f>
        <v/>
      </c>
      <c r="BI490" s="133">
        <v>23</v>
      </c>
    </row>
    <row r="491" spans="1:70" s="133" customFormat="1">
      <c r="A491" s="133">
        <v>2310006</v>
      </c>
      <c r="B491" s="133">
        <v>488</v>
      </c>
      <c r="C491" s="133">
        <v>231</v>
      </c>
      <c r="D491" s="133" t="s">
        <v>591</v>
      </c>
      <c r="E491" s="133">
        <v>6</v>
      </c>
      <c r="F491" s="133" t="str">
        <f t="shared" si="8"/>
        <v>市集6</v>
      </c>
      <c r="H491" s="146"/>
      <c r="I491" s="133" t="s">
        <v>1205</v>
      </c>
      <c r="J491" s="150">
        <f>INDEX('#建筑消耗和buff配置索引'!AH:AH,MATCH($F491,'#建筑消耗和buff配置索引'!$M:$M,0))</f>
        <v>540</v>
      </c>
      <c r="K491" s="150">
        <f>INDEX('#建筑消耗和buff配置索引'!AA:AA,MATCH($F491,'#建筑消耗和buff配置索引'!$M:$M,0))</f>
        <v>9600</v>
      </c>
      <c r="L491" s="150">
        <f>INDEX('#建筑消耗和buff配置索引'!AB:AB,MATCH($F491,'#建筑消耗和buff配置索引'!$M:$M,0))</f>
        <v>9600</v>
      </c>
      <c r="M491" s="150">
        <f>INDEX('#建筑消耗和buff配置索引'!AC:AC,MATCH($F491,'#建筑消耗和buff配置索引'!$M:$M,0))</f>
        <v>9600</v>
      </c>
      <c r="N491" s="150">
        <f>INDEX('#建筑消耗和buff配置索引'!AD:AD,MATCH($F491,'#建筑消耗和buff配置索引'!$M:$M,0))</f>
        <v>0</v>
      </c>
      <c r="O491" s="150" t="str">
        <f>IF(INDEX('#建筑消耗和buff配置索引'!T:T,MATCH($F491,'#建筑消耗和buff配置索引'!$M:$M,0))=0,"",INDEX('#建筑消耗和buff配置索引'!T:T,MATCH($F491,'#建筑消耗和buff配置索引'!$M:$M,0)))</f>
        <v/>
      </c>
      <c r="P491" s="133" t="str">
        <f>IF(INDEX('#建筑消耗和buff配置索引'!U:U,MATCH($F491,'#建筑消耗和buff配置索引'!$M:$M,0))=0,"",INDEX('#建筑消耗和buff配置索引'!U:U,MATCH($F491,'#建筑消耗和buff配置索引'!$M:$M,0)))</f>
        <v/>
      </c>
      <c r="Q491" s="133" t="str">
        <f>IF(INDEX('#建筑消耗和buff配置索引'!K:K,MATCH($F491,'#建筑消耗和buff配置索引'!$M:$M,0))=0,"",INDEX('#建筑消耗和buff配置索引'!K:K,MATCH($F491,'#建筑消耗和buff配置索引'!$M:$M,0)))</f>
        <v>201;400</v>
      </c>
      <c r="R491" s="133" t="str">
        <f>IF(INDEX('#建筑消耗和buff配置索引'!L:L,MATCH($F491,'#建筑消耗和buff配置索引'!$M:$M,0))=0,"",INDEX('#建筑消耗和buff配置索引'!L:L,MATCH($F491,'#建筑消耗和buff配置索引'!$M:$M,0)))</f>
        <v>6;6</v>
      </c>
      <c r="S491" s="133">
        <f>IF(INDEX('#建筑消耗和buff配置索引'!C:C,MATCH(F491,'#建筑消耗和buff配置索引'!M:M,0))=0,1,INDEX('#建筑消耗和buff配置索引'!C:C,MATCH(F491,'#建筑消耗和buff配置索引'!M:M,0)))</f>
        <v>2</v>
      </c>
      <c r="T491" s="133">
        <v>0</v>
      </c>
      <c r="U491" s="133">
        <v>0</v>
      </c>
      <c r="V491" s="133" t="str">
        <f>IF(E491=1,IF(INDEX('#建筑消耗和buff配置索引'!BY:BY,MATCH(D491,'#建筑消耗和buff配置索引'!A:A,0))=0,"",INDEX('#建筑消耗和buff配置索引'!BY:BY,MATCH(D491,'#建筑消耗和buff配置索引'!A:A,0))),"")</f>
        <v/>
      </c>
      <c r="W491" s="133" t="str">
        <f>IF(E491=1,IF(INDEX('#建筑消耗和buff配置索引'!BZ:BZ,MATCH(D491,'#建筑消耗和buff配置索引'!A:A,0))=0,"",INDEX('#建筑消耗和buff配置索引'!BZ:BZ,MATCH(D491,'#建筑消耗和buff配置索引'!A:A,0))),"")</f>
        <v/>
      </c>
      <c r="AA491" s="133">
        <f>INDEX('#建筑消耗和buff配置索引'!AO:AO,MATCH($F491,'#建筑消耗和buff配置索引'!$M:$M,0))</f>
        <v>118</v>
      </c>
      <c r="AB491" s="133">
        <f>IF(INDEX('#建筑消耗和buff配置索引'!AR:AR,MATCH($F491,'#建筑消耗和buff配置索引'!$M:$M,0))=0,"",INDEX('#建筑消耗和buff配置索引'!AR:AR,MATCH($F491,'#建筑消耗和buff配置索引'!$M:$M,0)))</f>
        <v>1328</v>
      </c>
      <c r="AC491" s="133">
        <f>IF(AB491="","",INDEX('#建筑消耗和buff配置索引'!AS:AS,MATCH($F491,'#建筑消耗和buff配置索引'!$M:$M,0)))</f>
        <v>0.745</v>
      </c>
      <c r="AF491" s="133">
        <f>IF(INDEX('#建筑消耗和buff配置索引'!AW:AW,MATCH($F491,'#建筑消耗和buff配置索引'!$M:$M,0))=0,"",INDEX('#建筑消耗和buff配置索引'!AW:AW,MATCH($F491,'#建筑消耗和buff配置索引'!$M:$M,0)))</f>
        <v>1329</v>
      </c>
      <c r="AG491" s="133">
        <f>IF(AF491="","",INDEX('#建筑消耗和buff配置索引'!AX:AX,MATCH($F491,'#建筑消耗和buff配置索引'!$M:$M,0)))</f>
        <v>400000</v>
      </c>
      <c r="AJ491" s="133" t="str">
        <f>IF(INDEX('#建筑消耗和buff配置索引'!BB:BB,MATCH($F491,'#建筑消耗和buff配置索引'!$M:$M,0))=0,"",INDEX('#建筑消耗和buff配置索引'!BB:BB,MATCH($F491,'#建筑消耗和buff配置索引'!$M:$M,0)))</f>
        <v/>
      </c>
      <c r="AK491" s="133" t="str">
        <f>IF(AJ491="","",INDEX('#建筑消耗和buff配置索引'!BC:BC,MATCH($F491,'#建筑消耗和buff配置索引'!$M:$M,0)))</f>
        <v/>
      </c>
      <c r="AN491" s="133" t="str">
        <f>IF(INDEX('#建筑消耗和buff配置索引'!BG:BG,MATCH($F491,'#建筑消耗和buff配置索引'!$M:$M,0))=0,"",INDEX('#建筑消耗和buff配置索引'!BG:BG,MATCH($F491,'#建筑消耗和buff配置索引'!$M:$M,0)))</f>
        <v/>
      </c>
      <c r="AO491" s="133" t="str">
        <f>IF(AN491="","",INDEX('#建筑消耗和buff配置索引'!BH:BH,MATCH($F491,'#建筑消耗和buff配置索引'!$M:$M,0)))</f>
        <v/>
      </c>
      <c r="AR491" s="133" t="str">
        <f>IF(INDEX('#建筑消耗和buff配置索引'!BK:BK,MATCH($F491,'#建筑消耗和buff配置索引'!$M:$M,0))=0,"",INDEX('#建筑消耗和buff配置索引'!BK:BK,MATCH($F491,'#建筑消耗和buff配置索引'!$M:$M,0)))</f>
        <v/>
      </c>
      <c r="AS491" s="133" t="str">
        <f>IF(AR491="","",INDEX('#建筑消耗和buff配置索引'!BL:BL,MATCH($F491,'#建筑消耗和buff配置索引'!$M:$M,0)))</f>
        <v/>
      </c>
      <c r="AV491" s="133" t="str">
        <f>IF(INDEX('#建筑消耗和buff配置索引'!BO:BO,MATCH($F491,'#建筑消耗和buff配置索引'!$M:$M,0))=0,"",INDEX('#建筑消耗和buff配置索引'!BO:BO,MATCH($F491,'#建筑消耗和buff配置索引'!$M:$M,0)))</f>
        <v/>
      </c>
      <c r="AW491" s="133" t="str">
        <f>IF(AV491="","",INDEX('#建筑消耗和buff配置索引'!BP:BP,MATCH($F491,'#建筑消耗和buff配置索引'!$M:$M,0)))</f>
        <v/>
      </c>
      <c r="AZ491" s="133" t="str">
        <f>IF(INDEX('#建筑消耗和buff配置索引'!BS:BS,MATCH($F491,'#建筑消耗和buff配置索引'!$M:$M,0))=0,"",INDEX('#建筑消耗和buff配置索引'!BS:BS,MATCH($F491,'#建筑消耗和buff配置索引'!$M:$M,0)))</f>
        <v/>
      </c>
      <c r="BA491" s="133" t="str">
        <f>IF(AZ491="","",INDEX('#建筑消耗和buff配置索引'!BT:BT,MATCH($F491,'#建筑消耗和buff配置索引'!$M:$M,0)))</f>
        <v/>
      </c>
      <c r="BD491" s="133" t="str">
        <f>IF(INDEX('#建筑消耗和buff配置索引'!BW:BW,MATCH($F491,'#建筑消耗和buff配置索引'!$M:$M,0))=0,"",INDEX('#建筑消耗和buff配置索引'!BW:BW,MATCH($F491,'#建筑消耗和buff配置索引'!$M:$M,0)))</f>
        <v/>
      </c>
      <c r="BE491" s="133" t="str">
        <f>IF(BD491="","",INDEX('#建筑消耗和buff配置索引'!BX:BX,MATCH($F491,'#建筑消耗和buff配置索引'!$M:$M,0)))</f>
        <v/>
      </c>
      <c r="BI491" s="133">
        <v>23</v>
      </c>
    </row>
    <row r="492" spans="1:70" s="133" customFormat="1">
      <c r="A492" s="133">
        <v>2310007</v>
      </c>
      <c r="B492" s="133">
        <v>489</v>
      </c>
      <c r="C492" s="133">
        <v>231</v>
      </c>
      <c r="D492" s="133" t="s">
        <v>591</v>
      </c>
      <c r="E492" s="133">
        <v>7</v>
      </c>
      <c r="F492" s="133" t="str">
        <f t="shared" si="8"/>
        <v>市集7</v>
      </c>
      <c r="H492" s="146"/>
      <c r="I492" s="133" t="s">
        <v>1205</v>
      </c>
      <c r="J492" s="150">
        <f>INDEX('#建筑消耗和buff配置索引'!AH:AH,MATCH($F492,'#建筑消耗和buff配置索引'!$M:$M,0))</f>
        <v>900</v>
      </c>
      <c r="K492" s="150">
        <f>INDEX('#建筑消耗和buff配置索引'!AA:AA,MATCH($F492,'#建筑消耗和buff配置索引'!$M:$M,0))</f>
        <v>17000</v>
      </c>
      <c r="L492" s="150">
        <f>INDEX('#建筑消耗和buff配置索引'!AB:AB,MATCH($F492,'#建筑消耗和buff配置索引'!$M:$M,0))</f>
        <v>17000</v>
      </c>
      <c r="M492" s="150">
        <f>INDEX('#建筑消耗和buff配置索引'!AC:AC,MATCH($F492,'#建筑消耗和buff配置索引'!$M:$M,0))</f>
        <v>17000</v>
      </c>
      <c r="N492" s="150">
        <f>INDEX('#建筑消耗和buff配置索引'!AD:AD,MATCH($F492,'#建筑消耗和buff配置索引'!$M:$M,0))</f>
        <v>0</v>
      </c>
      <c r="O492" s="150" t="str">
        <f>IF(INDEX('#建筑消耗和buff配置索引'!T:T,MATCH($F492,'#建筑消耗和buff配置索引'!$M:$M,0))=0,"",INDEX('#建筑消耗和buff配置索引'!T:T,MATCH($F492,'#建筑消耗和buff配置索引'!$M:$M,0)))</f>
        <v/>
      </c>
      <c r="P492" s="133" t="str">
        <f>IF(INDEX('#建筑消耗和buff配置索引'!U:U,MATCH($F492,'#建筑消耗和buff配置索引'!$M:$M,0))=0,"",INDEX('#建筑消耗和buff配置索引'!U:U,MATCH($F492,'#建筑消耗和buff配置索引'!$M:$M,0)))</f>
        <v/>
      </c>
      <c r="Q492" s="133" t="str">
        <f>IF(INDEX('#建筑消耗和buff配置索引'!K:K,MATCH($F492,'#建筑消耗和buff配置索引'!$M:$M,0))=0,"",INDEX('#建筑消耗和buff配置索引'!K:K,MATCH($F492,'#建筑消耗和buff配置索引'!$M:$M,0)))</f>
        <v>201;400</v>
      </c>
      <c r="R492" s="133" t="str">
        <f>IF(INDEX('#建筑消耗和buff配置索引'!L:L,MATCH($F492,'#建筑消耗和buff配置索引'!$M:$M,0))=0,"",INDEX('#建筑消耗和buff配置索引'!L:L,MATCH($F492,'#建筑消耗和buff配置索引'!$M:$M,0)))</f>
        <v>7;7</v>
      </c>
      <c r="S492" s="133">
        <f>IF(INDEX('#建筑消耗和buff配置索引'!C:C,MATCH(F492,'#建筑消耗和buff配置索引'!M:M,0))=0,1,INDEX('#建筑消耗和buff配置索引'!C:C,MATCH(F492,'#建筑消耗和buff配置索引'!M:M,0)))</f>
        <v>2</v>
      </c>
      <c r="T492" s="133">
        <v>0</v>
      </c>
      <c r="U492" s="133">
        <v>0</v>
      </c>
      <c r="V492" s="133" t="str">
        <f>IF(E492=1,IF(INDEX('#建筑消耗和buff配置索引'!BY:BY,MATCH(D492,'#建筑消耗和buff配置索引'!A:A,0))=0,"",INDEX('#建筑消耗和buff配置索引'!BY:BY,MATCH(D492,'#建筑消耗和buff配置索引'!A:A,0))),"")</f>
        <v/>
      </c>
      <c r="W492" s="133" t="str">
        <f>IF(E492=1,IF(INDEX('#建筑消耗和buff配置索引'!BZ:BZ,MATCH(D492,'#建筑消耗和buff配置索引'!A:A,0))=0,"",INDEX('#建筑消耗和buff配置索引'!BZ:BZ,MATCH(D492,'#建筑消耗和buff配置索引'!A:A,0))),"")</f>
        <v/>
      </c>
      <c r="AA492" s="133">
        <f>INDEX('#建筑消耗和buff配置索引'!AO:AO,MATCH($F492,'#建筑消耗和buff配置索引'!$M:$M,0))</f>
        <v>221</v>
      </c>
      <c r="AB492" s="133">
        <f>IF(INDEX('#建筑消耗和buff配置索引'!AR:AR,MATCH($F492,'#建筑消耗和buff配置索引'!$M:$M,0))=0,"",INDEX('#建筑消耗和buff配置索引'!AR:AR,MATCH($F492,'#建筑消耗和buff配置索引'!$M:$M,0)))</f>
        <v>1328</v>
      </c>
      <c r="AC492" s="133">
        <f>IF(AB492="","",INDEX('#建筑消耗和buff配置索引'!AS:AS,MATCH($F492,'#建筑消耗和buff配置索引'!$M:$M,0)))</f>
        <v>0.754</v>
      </c>
      <c r="AF492" s="133">
        <f>IF(INDEX('#建筑消耗和buff配置索引'!AW:AW,MATCH($F492,'#建筑消耗和buff配置索引'!$M:$M,0))=0,"",INDEX('#建筑消耗和buff配置索引'!AW:AW,MATCH($F492,'#建筑消耗和buff配置索引'!$M:$M,0)))</f>
        <v>1329</v>
      </c>
      <c r="AG492" s="133">
        <f>IF(AF492="","",INDEX('#建筑消耗和buff配置索引'!AX:AX,MATCH($F492,'#建筑消耗和buff配置索引'!$M:$M,0)))</f>
        <v>460000</v>
      </c>
      <c r="AJ492" s="133" t="str">
        <f>IF(INDEX('#建筑消耗和buff配置索引'!BB:BB,MATCH($F492,'#建筑消耗和buff配置索引'!$M:$M,0))=0,"",INDEX('#建筑消耗和buff配置索引'!BB:BB,MATCH($F492,'#建筑消耗和buff配置索引'!$M:$M,0)))</f>
        <v/>
      </c>
      <c r="AK492" s="133" t="str">
        <f>IF(AJ492="","",INDEX('#建筑消耗和buff配置索引'!BC:BC,MATCH($F492,'#建筑消耗和buff配置索引'!$M:$M,0)))</f>
        <v/>
      </c>
      <c r="AN492" s="133" t="str">
        <f>IF(INDEX('#建筑消耗和buff配置索引'!BG:BG,MATCH($F492,'#建筑消耗和buff配置索引'!$M:$M,0))=0,"",INDEX('#建筑消耗和buff配置索引'!BG:BG,MATCH($F492,'#建筑消耗和buff配置索引'!$M:$M,0)))</f>
        <v/>
      </c>
      <c r="AO492" s="133" t="str">
        <f>IF(AN492="","",INDEX('#建筑消耗和buff配置索引'!BH:BH,MATCH($F492,'#建筑消耗和buff配置索引'!$M:$M,0)))</f>
        <v/>
      </c>
      <c r="AR492" s="133" t="str">
        <f>IF(INDEX('#建筑消耗和buff配置索引'!BK:BK,MATCH($F492,'#建筑消耗和buff配置索引'!$M:$M,0))=0,"",INDEX('#建筑消耗和buff配置索引'!BK:BK,MATCH($F492,'#建筑消耗和buff配置索引'!$M:$M,0)))</f>
        <v/>
      </c>
      <c r="AS492" s="133" t="str">
        <f>IF(AR492="","",INDEX('#建筑消耗和buff配置索引'!BL:BL,MATCH($F492,'#建筑消耗和buff配置索引'!$M:$M,0)))</f>
        <v/>
      </c>
      <c r="AV492" s="133" t="str">
        <f>IF(INDEX('#建筑消耗和buff配置索引'!BO:BO,MATCH($F492,'#建筑消耗和buff配置索引'!$M:$M,0))=0,"",INDEX('#建筑消耗和buff配置索引'!BO:BO,MATCH($F492,'#建筑消耗和buff配置索引'!$M:$M,0)))</f>
        <v/>
      </c>
      <c r="AW492" s="133" t="str">
        <f>IF(AV492="","",INDEX('#建筑消耗和buff配置索引'!BP:BP,MATCH($F492,'#建筑消耗和buff配置索引'!$M:$M,0)))</f>
        <v/>
      </c>
      <c r="AZ492" s="133" t="str">
        <f>IF(INDEX('#建筑消耗和buff配置索引'!BS:BS,MATCH($F492,'#建筑消耗和buff配置索引'!$M:$M,0))=0,"",INDEX('#建筑消耗和buff配置索引'!BS:BS,MATCH($F492,'#建筑消耗和buff配置索引'!$M:$M,0)))</f>
        <v/>
      </c>
      <c r="BA492" s="133" t="str">
        <f>IF(AZ492="","",INDEX('#建筑消耗和buff配置索引'!BT:BT,MATCH($F492,'#建筑消耗和buff配置索引'!$M:$M,0)))</f>
        <v/>
      </c>
      <c r="BD492" s="133" t="str">
        <f>IF(INDEX('#建筑消耗和buff配置索引'!BW:BW,MATCH($F492,'#建筑消耗和buff配置索引'!$M:$M,0))=0,"",INDEX('#建筑消耗和buff配置索引'!BW:BW,MATCH($F492,'#建筑消耗和buff配置索引'!$M:$M,0)))</f>
        <v/>
      </c>
      <c r="BE492" s="133" t="str">
        <f>IF(BD492="","",INDEX('#建筑消耗和buff配置索引'!BX:BX,MATCH($F492,'#建筑消耗和buff配置索引'!$M:$M,0)))</f>
        <v/>
      </c>
      <c r="BI492" s="133">
        <v>23</v>
      </c>
    </row>
    <row r="493" spans="1:70" s="133" customFormat="1">
      <c r="A493" s="133">
        <v>2310008</v>
      </c>
      <c r="B493" s="133">
        <v>490</v>
      </c>
      <c r="C493" s="133">
        <v>231</v>
      </c>
      <c r="D493" s="133" t="s">
        <v>591</v>
      </c>
      <c r="E493" s="133">
        <v>8</v>
      </c>
      <c r="F493" s="133" t="str">
        <f t="shared" si="8"/>
        <v>市集8</v>
      </c>
      <c r="H493" s="146"/>
      <c r="I493" s="133" t="s">
        <v>1205</v>
      </c>
      <c r="J493" s="150">
        <f>INDEX('#建筑消耗和buff配置索引'!AH:AH,MATCH($F493,'#建筑消耗和buff配置索引'!$M:$M,0))</f>
        <v>1440</v>
      </c>
      <c r="K493" s="150">
        <f>INDEX('#建筑消耗和buff配置索引'!AA:AA,MATCH($F493,'#建筑消耗和buff配置索引'!$M:$M,0))</f>
        <v>29000</v>
      </c>
      <c r="L493" s="150">
        <f>INDEX('#建筑消耗和buff配置索引'!AB:AB,MATCH($F493,'#建筑消耗和buff配置索引'!$M:$M,0))</f>
        <v>29000</v>
      </c>
      <c r="M493" s="150">
        <f>INDEX('#建筑消耗和buff配置索引'!AC:AC,MATCH($F493,'#建筑消耗和buff配置索引'!$M:$M,0))</f>
        <v>29000</v>
      </c>
      <c r="N493" s="150">
        <f>INDEX('#建筑消耗和buff配置索引'!AD:AD,MATCH($F493,'#建筑消耗和buff配置索引'!$M:$M,0))</f>
        <v>0</v>
      </c>
      <c r="O493" s="150" t="str">
        <f>IF(INDEX('#建筑消耗和buff配置索引'!T:T,MATCH($F493,'#建筑消耗和buff配置索引'!$M:$M,0))=0,"",INDEX('#建筑消耗和buff配置索引'!T:T,MATCH($F493,'#建筑消耗和buff配置索引'!$M:$M,0)))</f>
        <v/>
      </c>
      <c r="P493" s="133" t="str">
        <f>IF(INDEX('#建筑消耗和buff配置索引'!U:U,MATCH($F493,'#建筑消耗和buff配置索引'!$M:$M,0))=0,"",INDEX('#建筑消耗和buff配置索引'!U:U,MATCH($F493,'#建筑消耗和buff配置索引'!$M:$M,0)))</f>
        <v/>
      </c>
      <c r="Q493" s="133" t="str">
        <f>IF(INDEX('#建筑消耗和buff配置索引'!K:K,MATCH($F493,'#建筑消耗和buff配置索引'!$M:$M,0))=0,"",INDEX('#建筑消耗和buff配置索引'!K:K,MATCH($F493,'#建筑消耗和buff配置索引'!$M:$M,0)))</f>
        <v>201;400</v>
      </c>
      <c r="R493" s="133" t="str">
        <f>IF(INDEX('#建筑消耗和buff配置索引'!L:L,MATCH($F493,'#建筑消耗和buff配置索引'!$M:$M,0))=0,"",INDEX('#建筑消耗和buff配置索引'!L:L,MATCH($F493,'#建筑消耗和buff配置索引'!$M:$M,0)))</f>
        <v>8;8</v>
      </c>
      <c r="S493" s="133">
        <f>IF(INDEX('#建筑消耗和buff配置索引'!C:C,MATCH(F493,'#建筑消耗和buff配置索引'!M:M,0))=0,1,INDEX('#建筑消耗和buff配置索引'!C:C,MATCH(F493,'#建筑消耗和buff配置索引'!M:M,0)))</f>
        <v>2</v>
      </c>
      <c r="T493" s="133">
        <v>0</v>
      </c>
      <c r="U493" s="133">
        <v>0</v>
      </c>
      <c r="V493" s="133" t="str">
        <f>IF(E493=1,IF(INDEX('#建筑消耗和buff配置索引'!BY:BY,MATCH(D493,'#建筑消耗和buff配置索引'!A:A,0))=0,"",INDEX('#建筑消耗和buff配置索引'!BY:BY,MATCH(D493,'#建筑消耗和buff配置索引'!A:A,0))),"")</f>
        <v/>
      </c>
      <c r="W493" s="133" t="str">
        <f>IF(E493=1,IF(INDEX('#建筑消耗和buff配置索引'!BZ:BZ,MATCH(D493,'#建筑消耗和buff配置索引'!A:A,0))=0,"",INDEX('#建筑消耗和buff配置索引'!BZ:BZ,MATCH(D493,'#建筑消耗和buff配置索引'!A:A,0))),"")</f>
        <v/>
      </c>
      <c r="AA493" s="133">
        <f>INDEX('#建筑消耗和buff配置索引'!AO:AO,MATCH($F493,'#建筑消耗和buff配置索引'!$M:$M,0))</f>
        <v>397</v>
      </c>
      <c r="AB493" s="133">
        <f>IF(INDEX('#建筑消耗和buff配置索引'!AR:AR,MATCH($F493,'#建筑消耗和buff配置索引'!$M:$M,0))=0,"",INDEX('#建筑消耗和buff配置索引'!AR:AR,MATCH($F493,'#建筑消耗和buff配置索引'!$M:$M,0)))</f>
        <v>1328</v>
      </c>
      <c r="AC493" s="133">
        <f>IF(AB493="","",INDEX('#建筑消耗和buff配置索引'!AS:AS,MATCH($F493,'#建筑消耗和buff配置索引'!$M:$M,0)))</f>
        <v>0.76300000000000001</v>
      </c>
      <c r="AF493" s="133">
        <f>IF(INDEX('#建筑消耗和buff配置索引'!AW:AW,MATCH($F493,'#建筑消耗和buff配置索引'!$M:$M,0))=0,"",INDEX('#建筑消耗和buff配置索引'!AW:AW,MATCH($F493,'#建筑消耗和buff配置索引'!$M:$M,0)))</f>
        <v>1329</v>
      </c>
      <c r="AG493" s="133">
        <f>IF(AF493="","",INDEX('#建筑消耗和buff配置索引'!AX:AX,MATCH($F493,'#建筑消耗和buff配置索引'!$M:$M,0)))</f>
        <v>520000</v>
      </c>
      <c r="AJ493" s="133" t="str">
        <f>IF(INDEX('#建筑消耗和buff配置索引'!BB:BB,MATCH($F493,'#建筑消耗和buff配置索引'!$M:$M,0))=0,"",INDEX('#建筑消耗和buff配置索引'!BB:BB,MATCH($F493,'#建筑消耗和buff配置索引'!$M:$M,0)))</f>
        <v/>
      </c>
      <c r="AK493" s="133" t="str">
        <f>IF(AJ493="","",INDEX('#建筑消耗和buff配置索引'!BC:BC,MATCH($F493,'#建筑消耗和buff配置索引'!$M:$M,0)))</f>
        <v/>
      </c>
      <c r="AN493" s="133" t="str">
        <f>IF(INDEX('#建筑消耗和buff配置索引'!BG:BG,MATCH($F493,'#建筑消耗和buff配置索引'!$M:$M,0))=0,"",INDEX('#建筑消耗和buff配置索引'!BG:BG,MATCH($F493,'#建筑消耗和buff配置索引'!$M:$M,0)))</f>
        <v/>
      </c>
      <c r="AO493" s="133" t="str">
        <f>IF(AN493="","",INDEX('#建筑消耗和buff配置索引'!BH:BH,MATCH($F493,'#建筑消耗和buff配置索引'!$M:$M,0)))</f>
        <v/>
      </c>
      <c r="AR493" s="133" t="str">
        <f>IF(INDEX('#建筑消耗和buff配置索引'!BK:BK,MATCH($F493,'#建筑消耗和buff配置索引'!$M:$M,0))=0,"",INDEX('#建筑消耗和buff配置索引'!BK:BK,MATCH($F493,'#建筑消耗和buff配置索引'!$M:$M,0)))</f>
        <v/>
      </c>
      <c r="AS493" s="133" t="str">
        <f>IF(AR493="","",INDEX('#建筑消耗和buff配置索引'!BL:BL,MATCH($F493,'#建筑消耗和buff配置索引'!$M:$M,0)))</f>
        <v/>
      </c>
      <c r="AV493" s="133" t="str">
        <f>IF(INDEX('#建筑消耗和buff配置索引'!BO:BO,MATCH($F493,'#建筑消耗和buff配置索引'!$M:$M,0))=0,"",INDEX('#建筑消耗和buff配置索引'!BO:BO,MATCH($F493,'#建筑消耗和buff配置索引'!$M:$M,0)))</f>
        <v/>
      </c>
      <c r="AW493" s="133" t="str">
        <f>IF(AV493="","",INDEX('#建筑消耗和buff配置索引'!BP:BP,MATCH($F493,'#建筑消耗和buff配置索引'!$M:$M,0)))</f>
        <v/>
      </c>
      <c r="AZ493" s="133" t="str">
        <f>IF(INDEX('#建筑消耗和buff配置索引'!BS:BS,MATCH($F493,'#建筑消耗和buff配置索引'!$M:$M,0))=0,"",INDEX('#建筑消耗和buff配置索引'!BS:BS,MATCH($F493,'#建筑消耗和buff配置索引'!$M:$M,0)))</f>
        <v/>
      </c>
      <c r="BA493" s="133" t="str">
        <f>IF(AZ493="","",INDEX('#建筑消耗和buff配置索引'!BT:BT,MATCH($F493,'#建筑消耗和buff配置索引'!$M:$M,0)))</f>
        <v/>
      </c>
      <c r="BD493" s="133" t="str">
        <f>IF(INDEX('#建筑消耗和buff配置索引'!BW:BW,MATCH($F493,'#建筑消耗和buff配置索引'!$M:$M,0))=0,"",INDEX('#建筑消耗和buff配置索引'!BW:BW,MATCH($F493,'#建筑消耗和buff配置索引'!$M:$M,0)))</f>
        <v/>
      </c>
      <c r="BE493" s="133" t="str">
        <f>IF(BD493="","",INDEX('#建筑消耗和buff配置索引'!BX:BX,MATCH($F493,'#建筑消耗和buff配置索引'!$M:$M,0)))</f>
        <v/>
      </c>
      <c r="BI493" s="133">
        <v>23</v>
      </c>
    </row>
    <row r="494" spans="1:70" s="133" customFormat="1">
      <c r="A494" s="133">
        <v>2310009</v>
      </c>
      <c r="B494" s="133">
        <v>491</v>
      </c>
      <c r="C494" s="133">
        <v>231</v>
      </c>
      <c r="D494" s="133" t="s">
        <v>591</v>
      </c>
      <c r="E494" s="133">
        <v>9</v>
      </c>
      <c r="F494" s="133" t="str">
        <f t="shared" si="8"/>
        <v>市集9</v>
      </c>
      <c r="H494" s="146"/>
      <c r="I494" s="133" t="s">
        <v>1205</v>
      </c>
      <c r="J494" s="150">
        <f>INDEX('#建筑消耗和buff配置索引'!AH:AH,MATCH($F494,'#建筑消耗和buff配置索引'!$M:$M,0))</f>
        <v>2880</v>
      </c>
      <c r="K494" s="150">
        <f>INDEX('#建筑消耗和buff配置索引'!AA:AA,MATCH($F494,'#建筑消耗和buff配置索引'!$M:$M,0))</f>
        <v>49000</v>
      </c>
      <c r="L494" s="150">
        <f>INDEX('#建筑消耗和buff配置索引'!AB:AB,MATCH($F494,'#建筑消耗和buff配置索引'!$M:$M,0))</f>
        <v>49000</v>
      </c>
      <c r="M494" s="150">
        <f>INDEX('#建筑消耗和buff配置索引'!AC:AC,MATCH($F494,'#建筑消耗和buff配置索引'!$M:$M,0))</f>
        <v>49000</v>
      </c>
      <c r="N494" s="150">
        <f>INDEX('#建筑消耗和buff配置索引'!AD:AD,MATCH($F494,'#建筑消耗和buff配置索引'!$M:$M,0))</f>
        <v>0</v>
      </c>
      <c r="O494" s="150" t="str">
        <f>IF(INDEX('#建筑消耗和buff配置索引'!T:T,MATCH($F494,'#建筑消耗和buff配置索引'!$M:$M,0))=0,"",INDEX('#建筑消耗和buff配置索引'!T:T,MATCH($F494,'#建筑消耗和buff配置索引'!$M:$M,0)))</f>
        <v/>
      </c>
      <c r="P494" s="133" t="str">
        <f>IF(INDEX('#建筑消耗和buff配置索引'!U:U,MATCH($F494,'#建筑消耗和buff配置索引'!$M:$M,0))=0,"",INDEX('#建筑消耗和buff配置索引'!U:U,MATCH($F494,'#建筑消耗和buff配置索引'!$M:$M,0)))</f>
        <v/>
      </c>
      <c r="Q494" s="133" t="str">
        <f>IF(INDEX('#建筑消耗和buff配置索引'!K:K,MATCH($F494,'#建筑消耗和buff配置索引'!$M:$M,0))=0,"",INDEX('#建筑消耗和buff配置索引'!K:K,MATCH($F494,'#建筑消耗和buff配置索引'!$M:$M,0)))</f>
        <v>201;400</v>
      </c>
      <c r="R494" s="133" t="str">
        <f>IF(INDEX('#建筑消耗和buff配置索引'!L:L,MATCH($F494,'#建筑消耗和buff配置索引'!$M:$M,0))=0,"",INDEX('#建筑消耗和buff配置索引'!L:L,MATCH($F494,'#建筑消耗和buff配置索引'!$M:$M,0)))</f>
        <v>9;9</v>
      </c>
      <c r="S494" s="133">
        <f>IF(INDEX('#建筑消耗和buff配置索引'!C:C,MATCH(F494,'#建筑消耗和buff配置索引'!M:M,0))=0,1,INDEX('#建筑消耗和buff配置索引'!C:C,MATCH(F494,'#建筑消耗和buff配置索引'!M:M,0)))</f>
        <v>2</v>
      </c>
      <c r="T494" s="133">
        <v>0</v>
      </c>
      <c r="U494" s="133">
        <v>0</v>
      </c>
      <c r="V494" s="133" t="str">
        <f>IF(E494=1,IF(INDEX('#建筑消耗和buff配置索引'!BY:BY,MATCH(D494,'#建筑消耗和buff配置索引'!A:A,0))=0,"",INDEX('#建筑消耗和buff配置索引'!BY:BY,MATCH(D494,'#建筑消耗和buff配置索引'!A:A,0))),"")</f>
        <v/>
      </c>
      <c r="W494" s="133" t="str">
        <f>IF(E494=1,IF(INDEX('#建筑消耗和buff配置索引'!BZ:BZ,MATCH(D494,'#建筑消耗和buff配置索引'!A:A,0))=0,"",INDEX('#建筑消耗和buff配置索引'!BZ:BZ,MATCH(D494,'#建筑消耗和buff配置索引'!A:A,0))),"")</f>
        <v/>
      </c>
      <c r="AA494" s="133">
        <f>INDEX('#建筑消耗和buff配置索引'!AO:AO,MATCH($F494,'#建筑消耗和buff配置索引'!$M:$M,0))</f>
        <v>689</v>
      </c>
      <c r="AB494" s="133">
        <f>IF(INDEX('#建筑消耗和buff配置索引'!AR:AR,MATCH($F494,'#建筑消耗和buff配置索引'!$M:$M,0))=0,"",INDEX('#建筑消耗和buff配置索引'!AR:AR,MATCH($F494,'#建筑消耗和buff配置索引'!$M:$M,0)))</f>
        <v>1328</v>
      </c>
      <c r="AC494" s="133">
        <f>IF(AB494="","",INDEX('#建筑消耗和buff配置索引'!AS:AS,MATCH($F494,'#建筑消耗和buff配置索引'!$M:$M,0)))</f>
        <v>0.77200000000000002</v>
      </c>
      <c r="AF494" s="133">
        <f>IF(INDEX('#建筑消耗和buff配置索引'!AW:AW,MATCH($F494,'#建筑消耗和buff配置索引'!$M:$M,0))=0,"",INDEX('#建筑消耗和buff配置索引'!AW:AW,MATCH($F494,'#建筑消耗和buff配置索引'!$M:$M,0)))</f>
        <v>1329</v>
      </c>
      <c r="AG494" s="133">
        <f>IF(AF494="","",INDEX('#建筑消耗和buff配置索引'!AX:AX,MATCH($F494,'#建筑消耗和buff配置索引'!$M:$M,0)))</f>
        <v>580000</v>
      </c>
      <c r="AJ494" s="133" t="str">
        <f>IF(INDEX('#建筑消耗和buff配置索引'!BB:BB,MATCH($F494,'#建筑消耗和buff配置索引'!$M:$M,0))=0,"",INDEX('#建筑消耗和buff配置索引'!BB:BB,MATCH($F494,'#建筑消耗和buff配置索引'!$M:$M,0)))</f>
        <v/>
      </c>
      <c r="AK494" s="133" t="str">
        <f>IF(AJ494="","",INDEX('#建筑消耗和buff配置索引'!BC:BC,MATCH($F494,'#建筑消耗和buff配置索引'!$M:$M,0)))</f>
        <v/>
      </c>
      <c r="AN494" s="133" t="str">
        <f>IF(INDEX('#建筑消耗和buff配置索引'!BG:BG,MATCH($F494,'#建筑消耗和buff配置索引'!$M:$M,0))=0,"",INDEX('#建筑消耗和buff配置索引'!BG:BG,MATCH($F494,'#建筑消耗和buff配置索引'!$M:$M,0)))</f>
        <v/>
      </c>
      <c r="AO494" s="133" t="str">
        <f>IF(AN494="","",INDEX('#建筑消耗和buff配置索引'!BH:BH,MATCH($F494,'#建筑消耗和buff配置索引'!$M:$M,0)))</f>
        <v/>
      </c>
      <c r="AR494" s="133" t="str">
        <f>IF(INDEX('#建筑消耗和buff配置索引'!BK:BK,MATCH($F494,'#建筑消耗和buff配置索引'!$M:$M,0))=0,"",INDEX('#建筑消耗和buff配置索引'!BK:BK,MATCH($F494,'#建筑消耗和buff配置索引'!$M:$M,0)))</f>
        <v/>
      </c>
      <c r="AS494" s="133" t="str">
        <f>IF(AR494="","",INDEX('#建筑消耗和buff配置索引'!BL:BL,MATCH($F494,'#建筑消耗和buff配置索引'!$M:$M,0)))</f>
        <v/>
      </c>
      <c r="AV494" s="133" t="str">
        <f>IF(INDEX('#建筑消耗和buff配置索引'!BO:BO,MATCH($F494,'#建筑消耗和buff配置索引'!$M:$M,0))=0,"",INDEX('#建筑消耗和buff配置索引'!BO:BO,MATCH($F494,'#建筑消耗和buff配置索引'!$M:$M,0)))</f>
        <v/>
      </c>
      <c r="AW494" s="133" t="str">
        <f>IF(AV494="","",INDEX('#建筑消耗和buff配置索引'!BP:BP,MATCH($F494,'#建筑消耗和buff配置索引'!$M:$M,0)))</f>
        <v/>
      </c>
      <c r="AZ494" s="133" t="str">
        <f>IF(INDEX('#建筑消耗和buff配置索引'!BS:BS,MATCH($F494,'#建筑消耗和buff配置索引'!$M:$M,0))=0,"",INDEX('#建筑消耗和buff配置索引'!BS:BS,MATCH($F494,'#建筑消耗和buff配置索引'!$M:$M,0)))</f>
        <v/>
      </c>
      <c r="BA494" s="133" t="str">
        <f>IF(AZ494="","",INDEX('#建筑消耗和buff配置索引'!BT:BT,MATCH($F494,'#建筑消耗和buff配置索引'!$M:$M,0)))</f>
        <v/>
      </c>
      <c r="BD494" s="133" t="str">
        <f>IF(INDEX('#建筑消耗和buff配置索引'!BW:BW,MATCH($F494,'#建筑消耗和buff配置索引'!$M:$M,0))=0,"",INDEX('#建筑消耗和buff配置索引'!BW:BW,MATCH($F494,'#建筑消耗和buff配置索引'!$M:$M,0)))</f>
        <v/>
      </c>
      <c r="BE494" s="133" t="str">
        <f>IF(BD494="","",INDEX('#建筑消耗和buff配置索引'!BX:BX,MATCH($F494,'#建筑消耗和buff配置索引'!$M:$M,0)))</f>
        <v/>
      </c>
      <c r="BI494" s="133">
        <v>23</v>
      </c>
    </row>
    <row r="495" spans="1:70" s="133" customFormat="1">
      <c r="A495" s="133">
        <v>2310010</v>
      </c>
      <c r="B495" s="133">
        <v>492</v>
      </c>
      <c r="C495" s="133">
        <v>231</v>
      </c>
      <c r="D495" s="133" t="s">
        <v>591</v>
      </c>
      <c r="E495" s="133">
        <v>10</v>
      </c>
      <c r="F495" s="133" t="str">
        <f t="shared" si="8"/>
        <v>市集10</v>
      </c>
      <c r="H495" s="146"/>
      <c r="I495" s="133" t="s">
        <v>1205</v>
      </c>
      <c r="J495" s="150">
        <f>INDEX('#建筑消耗和buff配置索引'!AH:AH,MATCH($F495,'#建筑消耗和buff配置索引'!$M:$M,0))</f>
        <v>4320</v>
      </c>
      <c r="K495" s="150">
        <f>INDEX('#建筑消耗和buff配置索引'!AA:AA,MATCH($F495,'#建筑消耗和buff配置索引'!$M:$M,0))</f>
        <v>38000</v>
      </c>
      <c r="L495" s="150">
        <f>INDEX('#建筑消耗和buff配置索引'!AB:AB,MATCH($F495,'#建筑消耗和buff配置索引'!$M:$M,0))</f>
        <v>38000</v>
      </c>
      <c r="M495" s="150">
        <f>INDEX('#建筑消耗和buff配置索引'!AC:AC,MATCH($F495,'#建筑消耗和buff配置索引'!$M:$M,0))</f>
        <v>38000</v>
      </c>
      <c r="N495" s="150">
        <f>INDEX('#建筑消耗和buff配置索引'!AD:AD,MATCH($F495,'#建筑消耗和buff配置索引'!$M:$M,0))</f>
        <v>120000</v>
      </c>
      <c r="O495" s="150" t="str">
        <f>IF(INDEX('#建筑消耗和buff配置索引'!T:T,MATCH($F495,'#建筑消耗和buff配置索引'!$M:$M,0))=0,"",INDEX('#建筑消耗和buff配置索引'!T:T,MATCH($F495,'#建筑消耗和buff配置索引'!$M:$M,0)))</f>
        <v/>
      </c>
      <c r="P495" s="133" t="str">
        <f>IF(INDEX('#建筑消耗和buff配置索引'!U:U,MATCH($F495,'#建筑消耗和buff配置索引'!$M:$M,0))=0,"",INDEX('#建筑消耗和buff配置索引'!U:U,MATCH($F495,'#建筑消耗和buff配置索引'!$M:$M,0)))</f>
        <v/>
      </c>
      <c r="Q495" s="133" t="str">
        <f>IF(INDEX('#建筑消耗和buff配置索引'!K:K,MATCH($F495,'#建筑消耗和buff配置索引'!$M:$M,0))=0,"",INDEX('#建筑消耗和buff配置索引'!K:K,MATCH($F495,'#建筑消耗和buff配置索引'!$M:$M,0)))</f>
        <v>201;400</v>
      </c>
      <c r="R495" s="133" t="str">
        <f>IF(INDEX('#建筑消耗和buff配置索引'!L:L,MATCH($F495,'#建筑消耗和buff配置索引'!$M:$M,0))=0,"",INDEX('#建筑消耗和buff配置索引'!L:L,MATCH($F495,'#建筑消耗和buff配置索引'!$M:$M,0)))</f>
        <v>10;10</v>
      </c>
      <c r="S495" s="133">
        <f>IF(INDEX('#建筑消耗和buff配置索引'!C:C,MATCH(F495,'#建筑消耗和buff配置索引'!M:M,0))=0,1,INDEX('#建筑消耗和buff配置索引'!C:C,MATCH(F495,'#建筑消耗和buff配置索引'!M:M,0)))</f>
        <v>2</v>
      </c>
      <c r="T495" s="133">
        <v>0</v>
      </c>
      <c r="U495" s="133">
        <v>0</v>
      </c>
      <c r="V495" s="133" t="str">
        <f>IF(E495=1,IF(INDEX('#建筑消耗和buff配置索引'!BY:BY,MATCH(D495,'#建筑消耗和buff配置索引'!A:A,0))=0,"",INDEX('#建筑消耗和buff配置索引'!BY:BY,MATCH(D495,'#建筑消耗和buff配置索引'!A:A,0))),"")</f>
        <v/>
      </c>
      <c r="W495" s="133" t="str">
        <f>IF(E495=1,IF(INDEX('#建筑消耗和buff配置索引'!BZ:BZ,MATCH(D495,'#建筑消耗和buff配置索引'!A:A,0))=0,"",INDEX('#建筑消耗和buff配置索引'!BZ:BZ,MATCH(D495,'#建筑消耗和buff配置索引'!A:A,0))),"")</f>
        <v/>
      </c>
      <c r="AA495" s="133">
        <f>INDEX('#建筑消耗和buff配置索引'!AO:AO,MATCH($F495,'#建筑消耗和buff配置索引'!$M:$M,0))</f>
        <v>1150</v>
      </c>
      <c r="AB495" s="133">
        <f>IF(INDEX('#建筑消耗和buff配置索引'!AR:AR,MATCH($F495,'#建筑消耗和buff配置索引'!$M:$M,0))=0,"",INDEX('#建筑消耗和buff配置索引'!AR:AR,MATCH($F495,'#建筑消耗和buff配置索引'!$M:$M,0)))</f>
        <v>1328</v>
      </c>
      <c r="AC495" s="133">
        <f>IF(AB495="","",INDEX('#建筑消耗和buff配置索引'!AS:AS,MATCH($F495,'#建筑消耗和buff配置索引'!$M:$M,0)))</f>
        <v>0.78200000000000003</v>
      </c>
      <c r="AF495" s="133">
        <f>IF(INDEX('#建筑消耗和buff配置索引'!AW:AW,MATCH($F495,'#建筑消耗和buff配置索引'!$M:$M,0))=0,"",INDEX('#建筑消耗和buff配置索引'!AW:AW,MATCH($F495,'#建筑消耗和buff配置索引'!$M:$M,0)))</f>
        <v>1329</v>
      </c>
      <c r="AG495" s="133">
        <f>IF(AF495="","",INDEX('#建筑消耗和buff配置索引'!AX:AX,MATCH($F495,'#建筑消耗和buff配置索引'!$M:$M,0)))</f>
        <v>640000</v>
      </c>
      <c r="AJ495" s="133" t="str">
        <f>IF(INDEX('#建筑消耗和buff配置索引'!BB:BB,MATCH($F495,'#建筑消耗和buff配置索引'!$M:$M,0))=0,"",INDEX('#建筑消耗和buff配置索引'!BB:BB,MATCH($F495,'#建筑消耗和buff配置索引'!$M:$M,0)))</f>
        <v/>
      </c>
      <c r="AK495" s="133" t="str">
        <f>IF(AJ495="","",INDEX('#建筑消耗和buff配置索引'!BC:BC,MATCH($F495,'#建筑消耗和buff配置索引'!$M:$M,0)))</f>
        <v/>
      </c>
      <c r="AN495" s="133" t="str">
        <f>IF(INDEX('#建筑消耗和buff配置索引'!BG:BG,MATCH($F495,'#建筑消耗和buff配置索引'!$M:$M,0))=0,"",INDEX('#建筑消耗和buff配置索引'!BG:BG,MATCH($F495,'#建筑消耗和buff配置索引'!$M:$M,0)))</f>
        <v/>
      </c>
      <c r="AO495" s="133" t="str">
        <f>IF(AN495="","",INDEX('#建筑消耗和buff配置索引'!BH:BH,MATCH($F495,'#建筑消耗和buff配置索引'!$M:$M,0)))</f>
        <v/>
      </c>
      <c r="AR495" s="133" t="str">
        <f>IF(INDEX('#建筑消耗和buff配置索引'!BK:BK,MATCH($F495,'#建筑消耗和buff配置索引'!$M:$M,0))=0,"",INDEX('#建筑消耗和buff配置索引'!BK:BK,MATCH($F495,'#建筑消耗和buff配置索引'!$M:$M,0)))</f>
        <v/>
      </c>
      <c r="AS495" s="133" t="str">
        <f>IF(AR495="","",INDEX('#建筑消耗和buff配置索引'!BL:BL,MATCH($F495,'#建筑消耗和buff配置索引'!$M:$M,0)))</f>
        <v/>
      </c>
      <c r="AV495" s="133" t="str">
        <f>IF(INDEX('#建筑消耗和buff配置索引'!BO:BO,MATCH($F495,'#建筑消耗和buff配置索引'!$M:$M,0))=0,"",INDEX('#建筑消耗和buff配置索引'!BO:BO,MATCH($F495,'#建筑消耗和buff配置索引'!$M:$M,0)))</f>
        <v/>
      </c>
      <c r="AW495" s="133" t="str">
        <f>IF(AV495="","",INDEX('#建筑消耗和buff配置索引'!BP:BP,MATCH($F495,'#建筑消耗和buff配置索引'!$M:$M,0)))</f>
        <v/>
      </c>
      <c r="AZ495" s="133" t="str">
        <f>IF(INDEX('#建筑消耗和buff配置索引'!BS:BS,MATCH($F495,'#建筑消耗和buff配置索引'!$M:$M,0))=0,"",INDEX('#建筑消耗和buff配置索引'!BS:BS,MATCH($F495,'#建筑消耗和buff配置索引'!$M:$M,0)))</f>
        <v/>
      </c>
      <c r="BA495" s="133" t="str">
        <f>IF(AZ495="","",INDEX('#建筑消耗和buff配置索引'!BT:BT,MATCH($F495,'#建筑消耗和buff配置索引'!$M:$M,0)))</f>
        <v/>
      </c>
      <c r="BD495" s="133" t="str">
        <f>IF(INDEX('#建筑消耗和buff配置索引'!BW:BW,MATCH($F495,'#建筑消耗和buff配置索引'!$M:$M,0))=0,"",INDEX('#建筑消耗和buff配置索引'!BW:BW,MATCH($F495,'#建筑消耗和buff配置索引'!$M:$M,0)))</f>
        <v/>
      </c>
      <c r="BE495" s="133" t="str">
        <f>IF(BD495="","",INDEX('#建筑消耗和buff配置索引'!BX:BX,MATCH($F495,'#建筑消耗和buff配置索引'!$M:$M,0)))</f>
        <v/>
      </c>
      <c r="BI495" s="133">
        <v>23</v>
      </c>
    </row>
    <row r="496" spans="1:70" s="133" customFormat="1">
      <c r="A496" s="133">
        <v>2310011</v>
      </c>
      <c r="B496" s="133">
        <v>493</v>
      </c>
      <c r="C496" s="133">
        <v>231</v>
      </c>
      <c r="D496" s="133" t="s">
        <v>591</v>
      </c>
      <c r="E496" s="133">
        <v>11</v>
      </c>
      <c r="F496" s="133" t="str">
        <f t="shared" si="8"/>
        <v>市集11</v>
      </c>
      <c r="H496" s="146"/>
      <c r="I496" s="133" t="s">
        <v>1205</v>
      </c>
      <c r="J496" s="150">
        <f>INDEX('#建筑消耗和buff配置索引'!AH:AH,MATCH($F496,'#建筑消耗和buff配置索引'!$M:$M,0))</f>
        <v>6480</v>
      </c>
      <c r="K496" s="150">
        <f>INDEX('#建筑消耗和buff配置索引'!AA:AA,MATCH($F496,'#建筑消耗和buff配置索引'!$M:$M,0))</f>
        <v>58000</v>
      </c>
      <c r="L496" s="150">
        <f>INDEX('#建筑消耗和buff配置索引'!AB:AB,MATCH($F496,'#建筑消耗和buff配置索引'!$M:$M,0))</f>
        <v>58000</v>
      </c>
      <c r="M496" s="150">
        <f>INDEX('#建筑消耗和buff配置索引'!AC:AC,MATCH($F496,'#建筑消耗和buff配置索引'!$M:$M,0))</f>
        <v>58000</v>
      </c>
      <c r="N496" s="150">
        <f>INDEX('#建筑消耗和buff配置索引'!AD:AD,MATCH($F496,'#建筑消耗和buff配置索引'!$M:$M,0))</f>
        <v>170000</v>
      </c>
      <c r="O496" s="150" t="str">
        <f>IF(INDEX('#建筑消耗和buff配置索引'!T:T,MATCH($F496,'#建筑消耗和buff配置索引'!$M:$M,0))=0,"",INDEX('#建筑消耗和buff配置索引'!T:T,MATCH($F496,'#建筑消耗和buff配置索引'!$M:$M,0)))</f>
        <v/>
      </c>
      <c r="P496" s="133" t="str">
        <f>IF(INDEX('#建筑消耗和buff配置索引'!U:U,MATCH($F496,'#建筑消耗和buff配置索引'!$M:$M,0))=0,"",INDEX('#建筑消耗和buff配置索引'!U:U,MATCH($F496,'#建筑消耗和buff配置索引'!$M:$M,0)))</f>
        <v/>
      </c>
      <c r="Q496" s="133" t="str">
        <f>IF(INDEX('#建筑消耗和buff配置索引'!K:K,MATCH($F496,'#建筑消耗和buff配置索引'!$M:$M,0))=0,"",INDEX('#建筑消耗和buff配置索引'!K:K,MATCH($F496,'#建筑消耗和buff配置索引'!$M:$M,0)))</f>
        <v>201;400</v>
      </c>
      <c r="R496" s="133" t="str">
        <f>IF(INDEX('#建筑消耗和buff配置索引'!L:L,MATCH($F496,'#建筑消耗和buff配置索引'!$M:$M,0))=0,"",INDEX('#建筑消耗和buff配置索引'!L:L,MATCH($F496,'#建筑消耗和buff配置索引'!$M:$M,0)))</f>
        <v>11;11</v>
      </c>
      <c r="S496" s="133">
        <f>IF(INDEX('#建筑消耗和buff配置索引'!C:C,MATCH(F496,'#建筑消耗和buff配置索引'!M:M,0))=0,1,INDEX('#建筑消耗和buff配置索引'!C:C,MATCH(F496,'#建筑消耗和buff配置索引'!M:M,0)))</f>
        <v>2</v>
      </c>
      <c r="T496" s="133">
        <v>0</v>
      </c>
      <c r="U496" s="133">
        <v>0</v>
      </c>
      <c r="V496" s="133" t="str">
        <f>IF(E496=1,IF(INDEX('#建筑消耗和buff配置索引'!BY:BY,MATCH(D496,'#建筑消耗和buff配置索引'!A:A,0))=0,"",INDEX('#建筑消耗和buff配置索引'!BY:BY,MATCH(D496,'#建筑消耗和buff配置索引'!A:A,0))),"")</f>
        <v/>
      </c>
      <c r="W496" s="133" t="str">
        <f>IF(E496=1,IF(INDEX('#建筑消耗和buff配置索引'!BZ:BZ,MATCH(D496,'#建筑消耗和buff配置索引'!A:A,0))=0,"",INDEX('#建筑消耗和buff配置索引'!BZ:BZ,MATCH(D496,'#建筑消耗和buff配置索引'!A:A,0))),"")</f>
        <v/>
      </c>
      <c r="AA496" s="133">
        <f>INDEX('#建筑消耗和buff配置索引'!AO:AO,MATCH($F496,'#建筑消耗和buff配置索引'!$M:$M,0))</f>
        <v>1846</v>
      </c>
      <c r="AB496" s="133">
        <f>IF(INDEX('#建筑消耗和buff配置索引'!AR:AR,MATCH($F496,'#建筑消耗和buff配置索引'!$M:$M,0))=0,"",INDEX('#建筑消耗和buff配置索引'!AR:AR,MATCH($F496,'#建筑消耗和buff配置索引'!$M:$M,0)))</f>
        <v>1328</v>
      </c>
      <c r="AC496" s="133">
        <f>IF(AB496="","",INDEX('#建筑消耗和buff配置索引'!AS:AS,MATCH($F496,'#建筑消耗和buff配置索引'!$M:$M,0)))</f>
        <v>0.79200000000000004</v>
      </c>
      <c r="AF496" s="133">
        <f>IF(INDEX('#建筑消耗和buff配置索引'!AW:AW,MATCH($F496,'#建筑消耗和buff配置索引'!$M:$M,0))=0,"",INDEX('#建筑消耗和buff配置索引'!AW:AW,MATCH($F496,'#建筑消耗和buff配置索引'!$M:$M,0)))</f>
        <v>1329</v>
      </c>
      <c r="AG496" s="133">
        <f>IF(AF496="","",INDEX('#建筑消耗和buff配置索引'!AX:AX,MATCH($F496,'#建筑消耗和buff配置索引'!$M:$M,0)))</f>
        <v>700000</v>
      </c>
      <c r="AJ496" s="133" t="str">
        <f>IF(INDEX('#建筑消耗和buff配置索引'!BB:BB,MATCH($F496,'#建筑消耗和buff配置索引'!$M:$M,0))=0,"",INDEX('#建筑消耗和buff配置索引'!BB:BB,MATCH($F496,'#建筑消耗和buff配置索引'!$M:$M,0)))</f>
        <v/>
      </c>
      <c r="AK496" s="133" t="str">
        <f>IF(AJ496="","",INDEX('#建筑消耗和buff配置索引'!BC:BC,MATCH($F496,'#建筑消耗和buff配置索引'!$M:$M,0)))</f>
        <v/>
      </c>
      <c r="AN496" s="133" t="str">
        <f>IF(INDEX('#建筑消耗和buff配置索引'!BG:BG,MATCH($F496,'#建筑消耗和buff配置索引'!$M:$M,0))=0,"",INDEX('#建筑消耗和buff配置索引'!BG:BG,MATCH($F496,'#建筑消耗和buff配置索引'!$M:$M,0)))</f>
        <v/>
      </c>
      <c r="AO496" s="133" t="str">
        <f>IF(AN496="","",INDEX('#建筑消耗和buff配置索引'!BH:BH,MATCH($F496,'#建筑消耗和buff配置索引'!$M:$M,0)))</f>
        <v/>
      </c>
      <c r="AR496" s="133" t="str">
        <f>IF(INDEX('#建筑消耗和buff配置索引'!BK:BK,MATCH($F496,'#建筑消耗和buff配置索引'!$M:$M,0))=0,"",INDEX('#建筑消耗和buff配置索引'!BK:BK,MATCH($F496,'#建筑消耗和buff配置索引'!$M:$M,0)))</f>
        <v/>
      </c>
      <c r="AS496" s="133" t="str">
        <f>IF(AR496="","",INDEX('#建筑消耗和buff配置索引'!BL:BL,MATCH($F496,'#建筑消耗和buff配置索引'!$M:$M,0)))</f>
        <v/>
      </c>
      <c r="AV496" s="133" t="str">
        <f>IF(INDEX('#建筑消耗和buff配置索引'!BO:BO,MATCH($F496,'#建筑消耗和buff配置索引'!$M:$M,0))=0,"",INDEX('#建筑消耗和buff配置索引'!BO:BO,MATCH($F496,'#建筑消耗和buff配置索引'!$M:$M,0)))</f>
        <v/>
      </c>
      <c r="AW496" s="133" t="str">
        <f>IF(AV496="","",INDEX('#建筑消耗和buff配置索引'!BP:BP,MATCH($F496,'#建筑消耗和buff配置索引'!$M:$M,0)))</f>
        <v/>
      </c>
      <c r="AZ496" s="133" t="str">
        <f>IF(INDEX('#建筑消耗和buff配置索引'!BS:BS,MATCH($F496,'#建筑消耗和buff配置索引'!$M:$M,0))=0,"",INDEX('#建筑消耗和buff配置索引'!BS:BS,MATCH($F496,'#建筑消耗和buff配置索引'!$M:$M,0)))</f>
        <v/>
      </c>
      <c r="BA496" s="133" t="str">
        <f>IF(AZ496="","",INDEX('#建筑消耗和buff配置索引'!BT:BT,MATCH($F496,'#建筑消耗和buff配置索引'!$M:$M,0)))</f>
        <v/>
      </c>
      <c r="BD496" s="133" t="str">
        <f>IF(INDEX('#建筑消耗和buff配置索引'!BW:BW,MATCH($F496,'#建筑消耗和buff配置索引'!$M:$M,0))=0,"",INDEX('#建筑消耗和buff配置索引'!BW:BW,MATCH($F496,'#建筑消耗和buff配置索引'!$M:$M,0)))</f>
        <v/>
      </c>
      <c r="BE496" s="133" t="str">
        <f>IF(BD496="","",INDEX('#建筑消耗和buff配置索引'!BX:BX,MATCH($F496,'#建筑消耗和buff配置索引'!$M:$M,0)))</f>
        <v/>
      </c>
      <c r="BI496" s="133">
        <v>23</v>
      </c>
    </row>
    <row r="497" spans="1:61" s="133" customFormat="1">
      <c r="A497" s="133">
        <v>2310012</v>
      </c>
      <c r="B497" s="133">
        <v>494</v>
      </c>
      <c r="C497" s="133">
        <v>231</v>
      </c>
      <c r="D497" s="133" t="s">
        <v>591</v>
      </c>
      <c r="E497" s="133">
        <v>12</v>
      </c>
      <c r="F497" s="133" t="str">
        <f t="shared" si="8"/>
        <v>市集12</v>
      </c>
      <c r="H497" s="146"/>
      <c r="I497" s="133" t="s">
        <v>1205</v>
      </c>
      <c r="J497" s="150">
        <f>INDEX('#建筑消耗和buff配置索引'!AH:AH,MATCH($F497,'#建筑消耗和buff配置索引'!$M:$M,0))</f>
        <v>8640</v>
      </c>
      <c r="K497" s="150">
        <f>INDEX('#建筑消耗和buff配置索引'!AA:AA,MATCH($F497,'#建筑消耗和buff配置索引'!$M:$M,0))</f>
        <v>84000</v>
      </c>
      <c r="L497" s="150">
        <f>INDEX('#建筑消耗和buff配置索引'!AB:AB,MATCH($F497,'#建筑消耗和buff配置索引'!$M:$M,0))</f>
        <v>84000</v>
      </c>
      <c r="M497" s="150">
        <f>INDEX('#建筑消耗和buff配置索引'!AC:AC,MATCH($F497,'#建筑消耗和buff配置索引'!$M:$M,0))</f>
        <v>84000</v>
      </c>
      <c r="N497" s="150">
        <f>INDEX('#建筑消耗和buff配置索引'!AD:AD,MATCH($F497,'#建筑消耗和buff配置索引'!$M:$M,0))</f>
        <v>250000</v>
      </c>
      <c r="O497" s="150" t="str">
        <f>IF(INDEX('#建筑消耗和buff配置索引'!T:T,MATCH($F497,'#建筑消耗和buff配置索引'!$M:$M,0))=0,"",INDEX('#建筑消耗和buff配置索引'!T:T,MATCH($F497,'#建筑消耗和buff配置索引'!$M:$M,0)))</f>
        <v/>
      </c>
      <c r="P497" s="133" t="str">
        <f>IF(INDEX('#建筑消耗和buff配置索引'!U:U,MATCH($F497,'#建筑消耗和buff配置索引'!$M:$M,0))=0,"",INDEX('#建筑消耗和buff配置索引'!U:U,MATCH($F497,'#建筑消耗和buff配置索引'!$M:$M,0)))</f>
        <v/>
      </c>
      <c r="Q497" s="133" t="str">
        <f>IF(INDEX('#建筑消耗和buff配置索引'!K:K,MATCH($F497,'#建筑消耗和buff配置索引'!$M:$M,0))=0,"",INDEX('#建筑消耗和buff配置索引'!K:K,MATCH($F497,'#建筑消耗和buff配置索引'!$M:$M,0)))</f>
        <v>201;400</v>
      </c>
      <c r="R497" s="133" t="str">
        <f>IF(INDEX('#建筑消耗和buff配置索引'!L:L,MATCH($F497,'#建筑消耗和buff配置索引'!$M:$M,0))=0,"",INDEX('#建筑消耗和buff配置索引'!L:L,MATCH($F497,'#建筑消耗和buff配置索引'!$M:$M,0)))</f>
        <v>12;12</v>
      </c>
      <c r="S497" s="133">
        <f>IF(INDEX('#建筑消耗和buff配置索引'!C:C,MATCH(F497,'#建筑消耗和buff配置索引'!M:M,0))=0,1,INDEX('#建筑消耗和buff配置索引'!C:C,MATCH(F497,'#建筑消耗和buff配置索引'!M:M,0)))</f>
        <v>2</v>
      </c>
      <c r="T497" s="133">
        <v>0</v>
      </c>
      <c r="U497" s="133">
        <v>0</v>
      </c>
      <c r="V497" s="133" t="str">
        <f>IF(E497=1,IF(INDEX('#建筑消耗和buff配置索引'!BY:BY,MATCH(D497,'#建筑消耗和buff配置索引'!A:A,0))=0,"",INDEX('#建筑消耗和buff配置索引'!BY:BY,MATCH(D497,'#建筑消耗和buff配置索引'!A:A,0))),"")</f>
        <v/>
      </c>
      <c r="W497" s="133" t="str">
        <f>IF(E497=1,IF(INDEX('#建筑消耗和buff配置索引'!BZ:BZ,MATCH(D497,'#建筑消耗和buff配置索引'!A:A,0))=0,"",INDEX('#建筑消耗和buff配置索引'!BZ:BZ,MATCH(D497,'#建筑消耗和buff配置索引'!A:A,0))),"")</f>
        <v/>
      </c>
      <c r="AA497" s="133">
        <f>INDEX('#建筑消耗和buff配置索引'!AO:AO,MATCH($F497,'#建筑消耗和buff配置索引'!$M:$M,0))</f>
        <v>2849</v>
      </c>
      <c r="AB497" s="133">
        <f>IF(INDEX('#建筑消耗和buff配置索引'!AR:AR,MATCH($F497,'#建筑消耗和buff配置索引'!$M:$M,0))=0,"",INDEX('#建筑消耗和buff配置索引'!AR:AR,MATCH($F497,'#建筑消耗和buff配置索引'!$M:$M,0)))</f>
        <v>1328</v>
      </c>
      <c r="AC497" s="133">
        <f>IF(AB497="","",INDEX('#建筑消耗和buff配置索引'!AS:AS,MATCH($F497,'#建筑消耗和buff配置索引'!$M:$M,0)))</f>
        <v>0.80200000000000005</v>
      </c>
      <c r="AF497" s="133">
        <f>IF(INDEX('#建筑消耗和buff配置索引'!AW:AW,MATCH($F497,'#建筑消耗和buff配置索引'!$M:$M,0))=0,"",INDEX('#建筑消耗和buff配置索引'!AW:AW,MATCH($F497,'#建筑消耗和buff配置索引'!$M:$M,0)))</f>
        <v>1329</v>
      </c>
      <c r="AG497" s="133">
        <f>IF(AF497="","",INDEX('#建筑消耗和buff配置索引'!AX:AX,MATCH($F497,'#建筑消耗和buff配置索引'!$M:$M,0)))</f>
        <v>780000</v>
      </c>
      <c r="AJ497" s="133" t="str">
        <f>IF(INDEX('#建筑消耗和buff配置索引'!BB:BB,MATCH($F497,'#建筑消耗和buff配置索引'!$M:$M,0))=0,"",INDEX('#建筑消耗和buff配置索引'!BB:BB,MATCH($F497,'#建筑消耗和buff配置索引'!$M:$M,0)))</f>
        <v/>
      </c>
      <c r="AK497" s="133" t="str">
        <f>IF(AJ497="","",INDEX('#建筑消耗和buff配置索引'!BC:BC,MATCH($F497,'#建筑消耗和buff配置索引'!$M:$M,0)))</f>
        <v/>
      </c>
      <c r="AN497" s="133" t="str">
        <f>IF(INDEX('#建筑消耗和buff配置索引'!BG:BG,MATCH($F497,'#建筑消耗和buff配置索引'!$M:$M,0))=0,"",INDEX('#建筑消耗和buff配置索引'!BG:BG,MATCH($F497,'#建筑消耗和buff配置索引'!$M:$M,0)))</f>
        <v/>
      </c>
      <c r="AO497" s="133" t="str">
        <f>IF(AN497="","",INDEX('#建筑消耗和buff配置索引'!BH:BH,MATCH($F497,'#建筑消耗和buff配置索引'!$M:$M,0)))</f>
        <v/>
      </c>
      <c r="AR497" s="133" t="str">
        <f>IF(INDEX('#建筑消耗和buff配置索引'!BK:BK,MATCH($F497,'#建筑消耗和buff配置索引'!$M:$M,0))=0,"",INDEX('#建筑消耗和buff配置索引'!BK:BK,MATCH($F497,'#建筑消耗和buff配置索引'!$M:$M,0)))</f>
        <v/>
      </c>
      <c r="AS497" s="133" t="str">
        <f>IF(AR497="","",INDEX('#建筑消耗和buff配置索引'!BL:BL,MATCH($F497,'#建筑消耗和buff配置索引'!$M:$M,0)))</f>
        <v/>
      </c>
      <c r="AV497" s="133" t="str">
        <f>IF(INDEX('#建筑消耗和buff配置索引'!BO:BO,MATCH($F497,'#建筑消耗和buff配置索引'!$M:$M,0))=0,"",INDEX('#建筑消耗和buff配置索引'!BO:BO,MATCH($F497,'#建筑消耗和buff配置索引'!$M:$M,0)))</f>
        <v/>
      </c>
      <c r="AW497" s="133" t="str">
        <f>IF(AV497="","",INDEX('#建筑消耗和buff配置索引'!BP:BP,MATCH($F497,'#建筑消耗和buff配置索引'!$M:$M,0)))</f>
        <v/>
      </c>
      <c r="AZ497" s="133" t="str">
        <f>IF(INDEX('#建筑消耗和buff配置索引'!BS:BS,MATCH($F497,'#建筑消耗和buff配置索引'!$M:$M,0))=0,"",INDEX('#建筑消耗和buff配置索引'!BS:BS,MATCH($F497,'#建筑消耗和buff配置索引'!$M:$M,0)))</f>
        <v/>
      </c>
      <c r="BA497" s="133" t="str">
        <f>IF(AZ497="","",INDEX('#建筑消耗和buff配置索引'!BT:BT,MATCH($F497,'#建筑消耗和buff配置索引'!$M:$M,0)))</f>
        <v/>
      </c>
      <c r="BD497" s="133" t="str">
        <f>IF(INDEX('#建筑消耗和buff配置索引'!BW:BW,MATCH($F497,'#建筑消耗和buff配置索引'!$M:$M,0))=0,"",INDEX('#建筑消耗和buff配置索引'!BW:BW,MATCH($F497,'#建筑消耗和buff配置索引'!$M:$M,0)))</f>
        <v/>
      </c>
      <c r="BE497" s="133" t="str">
        <f>IF(BD497="","",INDEX('#建筑消耗和buff配置索引'!BX:BX,MATCH($F497,'#建筑消耗和buff配置索引'!$M:$M,0)))</f>
        <v/>
      </c>
      <c r="BI497" s="133">
        <v>23</v>
      </c>
    </row>
    <row r="498" spans="1:61" s="133" customFormat="1">
      <c r="A498" s="133">
        <v>2310013</v>
      </c>
      <c r="B498" s="133">
        <v>495</v>
      </c>
      <c r="C498" s="133">
        <v>231</v>
      </c>
      <c r="D498" s="133" t="s">
        <v>591</v>
      </c>
      <c r="E498" s="133">
        <v>13</v>
      </c>
      <c r="F498" s="133" t="str">
        <f t="shared" si="8"/>
        <v>市集13</v>
      </c>
      <c r="H498" s="146"/>
      <c r="I498" s="133" t="s">
        <v>1205</v>
      </c>
      <c r="J498" s="150">
        <f>INDEX('#建筑消耗和buff配置索引'!AH:AH,MATCH($F498,'#建筑消耗和buff配置索引'!$M:$M,0))</f>
        <v>11520</v>
      </c>
      <c r="K498" s="150">
        <f>INDEX('#建筑消耗和buff配置索引'!AA:AA,MATCH($F498,'#建筑消耗和buff配置索引'!$M:$M,0))</f>
        <v>110000</v>
      </c>
      <c r="L498" s="150">
        <f>INDEX('#建筑消耗和buff配置索引'!AB:AB,MATCH($F498,'#建筑消耗和buff配置索引'!$M:$M,0))</f>
        <v>110000</v>
      </c>
      <c r="M498" s="150">
        <f>INDEX('#建筑消耗和buff配置索引'!AC:AC,MATCH($F498,'#建筑消耗和buff配置索引'!$M:$M,0))</f>
        <v>110000</v>
      </c>
      <c r="N498" s="150">
        <f>INDEX('#建筑消耗和buff配置索引'!AD:AD,MATCH($F498,'#建筑消耗和buff配置索引'!$M:$M,0))</f>
        <v>340000</v>
      </c>
      <c r="O498" s="150" t="str">
        <f>IF(INDEX('#建筑消耗和buff配置索引'!T:T,MATCH($F498,'#建筑消耗和buff配置索引'!$M:$M,0))=0,"",INDEX('#建筑消耗和buff配置索引'!T:T,MATCH($F498,'#建筑消耗和buff配置索引'!$M:$M,0)))</f>
        <v/>
      </c>
      <c r="P498" s="133" t="str">
        <f>IF(INDEX('#建筑消耗和buff配置索引'!U:U,MATCH($F498,'#建筑消耗和buff配置索引'!$M:$M,0))=0,"",INDEX('#建筑消耗和buff配置索引'!U:U,MATCH($F498,'#建筑消耗和buff配置索引'!$M:$M,0)))</f>
        <v/>
      </c>
      <c r="Q498" s="133" t="str">
        <f>IF(INDEX('#建筑消耗和buff配置索引'!K:K,MATCH($F498,'#建筑消耗和buff配置索引'!$M:$M,0))=0,"",INDEX('#建筑消耗和buff配置索引'!K:K,MATCH($F498,'#建筑消耗和buff配置索引'!$M:$M,0)))</f>
        <v>201;400</v>
      </c>
      <c r="R498" s="133" t="str">
        <f>IF(INDEX('#建筑消耗和buff配置索引'!L:L,MATCH($F498,'#建筑消耗和buff配置索引'!$M:$M,0))=0,"",INDEX('#建筑消耗和buff配置索引'!L:L,MATCH($F498,'#建筑消耗和buff配置索引'!$M:$M,0)))</f>
        <v>13;13</v>
      </c>
      <c r="S498" s="133">
        <f>IF(INDEX('#建筑消耗和buff配置索引'!C:C,MATCH(F498,'#建筑消耗和buff配置索引'!M:M,0))=0,1,INDEX('#建筑消耗和buff配置索引'!C:C,MATCH(F498,'#建筑消耗和buff配置索引'!M:M,0)))</f>
        <v>2</v>
      </c>
      <c r="T498" s="133">
        <v>0</v>
      </c>
      <c r="U498" s="133">
        <v>0</v>
      </c>
      <c r="V498" s="133" t="str">
        <f>IF(E498=1,IF(INDEX('#建筑消耗和buff配置索引'!BY:BY,MATCH(D498,'#建筑消耗和buff配置索引'!A:A,0))=0,"",INDEX('#建筑消耗和buff配置索引'!BY:BY,MATCH(D498,'#建筑消耗和buff配置索引'!A:A,0))),"")</f>
        <v/>
      </c>
      <c r="W498" s="133" t="str">
        <f>IF(E498=1,IF(INDEX('#建筑消耗和buff配置索引'!BZ:BZ,MATCH(D498,'#建筑消耗和buff配置索引'!A:A,0))=0,"",INDEX('#建筑消耗和buff配置索引'!BZ:BZ,MATCH(D498,'#建筑消耗和buff配置索引'!A:A,0))),"")</f>
        <v/>
      </c>
      <c r="AA498" s="133">
        <f>INDEX('#建筑消耗和buff配置索引'!AO:AO,MATCH($F498,'#建筑消耗和buff配置索引'!$M:$M,0))</f>
        <v>4222</v>
      </c>
      <c r="AB498" s="133">
        <f>IF(INDEX('#建筑消耗和buff配置索引'!AR:AR,MATCH($F498,'#建筑消耗和buff配置索引'!$M:$M,0))=0,"",INDEX('#建筑消耗和buff配置索引'!AR:AR,MATCH($F498,'#建筑消耗和buff配置索引'!$M:$M,0)))</f>
        <v>1328</v>
      </c>
      <c r="AC498" s="133">
        <f>IF(AB498="","",INDEX('#建筑消耗和buff配置索引'!AS:AS,MATCH($F498,'#建筑消耗和buff配置索引'!$M:$M,0)))</f>
        <v>0.81200000000000006</v>
      </c>
      <c r="AF498" s="133">
        <f>IF(INDEX('#建筑消耗和buff配置索引'!AW:AW,MATCH($F498,'#建筑消耗和buff配置索引'!$M:$M,0))=0,"",INDEX('#建筑消耗和buff配置索引'!AW:AW,MATCH($F498,'#建筑消耗和buff配置索引'!$M:$M,0)))</f>
        <v>1329</v>
      </c>
      <c r="AG498" s="133">
        <f>IF(AF498="","",INDEX('#建筑消耗和buff配置索引'!AX:AX,MATCH($F498,'#建筑消耗和buff配置索引'!$M:$M,0)))</f>
        <v>860000</v>
      </c>
      <c r="AJ498" s="133" t="str">
        <f>IF(INDEX('#建筑消耗和buff配置索引'!BB:BB,MATCH($F498,'#建筑消耗和buff配置索引'!$M:$M,0))=0,"",INDEX('#建筑消耗和buff配置索引'!BB:BB,MATCH($F498,'#建筑消耗和buff配置索引'!$M:$M,0)))</f>
        <v/>
      </c>
      <c r="AK498" s="133" t="str">
        <f>IF(AJ498="","",INDEX('#建筑消耗和buff配置索引'!BC:BC,MATCH($F498,'#建筑消耗和buff配置索引'!$M:$M,0)))</f>
        <v/>
      </c>
      <c r="AN498" s="133" t="str">
        <f>IF(INDEX('#建筑消耗和buff配置索引'!BG:BG,MATCH($F498,'#建筑消耗和buff配置索引'!$M:$M,0))=0,"",INDEX('#建筑消耗和buff配置索引'!BG:BG,MATCH($F498,'#建筑消耗和buff配置索引'!$M:$M,0)))</f>
        <v/>
      </c>
      <c r="AO498" s="133" t="str">
        <f>IF(AN498="","",INDEX('#建筑消耗和buff配置索引'!BH:BH,MATCH($F498,'#建筑消耗和buff配置索引'!$M:$M,0)))</f>
        <v/>
      </c>
      <c r="AR498" s="133" t="str">
        <f>IF(INDEX('#建筑消耗和buff配置索引'!BK:BK,MATCH($F498,'#建筑消耗和buff配置索引'!$M:$M,0))=0,"",INDEX('#建筑消耗和buff配置索引'!BK:BK,MATCH($F498,'#建筑消耗和buff配置索引'!$M:$M,0)))</f>
        <v/>
      </c>
      <c r="AS498" s="133" t="str">
        <f>IF(AR498="","",INDEX('#建筑消耗和buff配置索引'!BL:BL,MATCH($F498,'#建筑消耗和buff配置索引'!$M:$M,0)))</f>
        <v/>
      </c>
      <c r="AV498" s="133" t="str">
        <f>IF(INDEX('#建筑消耗和buff配置索引'!BO:BO,MATCH($F498,'#建筑消耗和buff配置索引'!$M:$M,0))=0,"",INDEX('#建筑消耗和buff配置索引'!BO:BO,MATCH($F498,'#建筑消耗和buff配置索引'!$M:$M,0)))</f>
        <v/>
      </c>
      <c r="AW498" s="133" t="str">
        <f>IF(AV498="","",INDEX('#建筑消耗和buff配置索引'!BP:BP,MATCH($F498,'#建筑消耗和buff配置索引'!$M:$M,0)))</f>
        <v/>
      </c>
      <c r="AZ498" s="133" t="str">
        <f>IF(INDEX('#建筑消耗和buff配置索引'!BS:BS,MATCH($F498,'#建筑消耗和buff配置索引'!$M:$M,0))=0,"",INDEX('#建筑消耗和buff配置索引'!BS:BS,MATCH($F498,'#建筑消耗和buff配置索引'!$M:$M,0)))</f>
        <v/>
      </c>
      <c r="BA498" s="133" t="str">
        <f>IF(AZ498="","",INDEX('#建筑消耗和buff配置索引'!BT:BT,MATCH($F498,'#建筑消耗和buff配置索引'!$M:$M,0)))</f>
        <v/>
      </c>
      <c r="BD498" s="133" t="str">
        <f>IF(INDEX('#建筑消耗和buff配置索引'!BW:BW,MATCH($F498,'#建筑消耗和buff配置索引'!$M:$M,0))=0,"",INDEX('#建筑消耗和buff配置索引'!BW:BW,MATCH($F498,'#建筑消耗和buff配置索引'!$M:$M,0)))</f>
        <v/>
      </c>
      <c r="BE498" s="133" t="str">
        <f>IF(BD498="","",INDEX('#建筑消耗和buff配置索引'!BX:BX,MATCH($F498,'#建筑消耗和buff配置索引'!$M:$M,0)))</f>
        <v/>
      </c>
      <c r="BI498" s="133">
        <v>23</v>
      </c>
    </row>
    <row r="499" spans="1:61" s="133" customFormat="1">
      <c r="A499" s="133">
        <v>2310014</v>
      </c>
      <c r="B499" s="133">
        <v>496</v>
      </c>
      <c r="C499" s="133">
        <v>231</v>
      </c>
      <c r="D499" s="133" t="s">
        <v>591</v>
      </c>
      <c r="E499" s="133">
        <v>14</v>
      </c>
      <c r="F499" s="133" t="str">
        <f t="shared" si="8"/>
        <v>市集14</v>
      </c>
      <c r="H499" s="146"/>
      <c r="I499" s="133" t="s">
        <v>1205</v>
      </c>
      <c r="J499" s="150">
        <f>INDEX('#建筑消耗和buff配置索引'!AH:AH,MATCH($F499,'#建筑消耗和buff配置索引'!$M:$M,0))</f>
        <v>14400</v>
      </c>
      <c r="K499" s="150">
        <f>INDEX('#建筑消耗和buff配置索引'!AA:AA,MATCH($F499,'#建筑消耗和buff配置索引'!$M:$M,0))</f>
        <v>150000</v>
      </c>
      <c r="L499" s="150">
        <f>INDEX('#建筑消耗和buff配置索引'!AB:AB,MATCH($F499,'#建筑消耗和buff配置索引'!$M:$M,0))</f>
        <v>150000</v>
      </c>
      <c r="M499" s="150">
        <f>INDEX('#建筑消耗和buff配置索引'!AC:AC,MATCH($F499,'#建筑消耗和buff配置索引'!$M:$M,0))</f>
        <v>150000</v>
      </c>
      <c r="N499" s="150">
        <f>INDEX('#建筑消耗和buff配置索引'!AD:AD,MATCH($F499,'#建筑消耗和buff配置索引'!$M:$M,0))</f>
        <v>450000</v>
      </c>
      <c r="O499" s="150" t="str">
        <f>IF(INDEX('#建筑消耗和buff配置索引'!T:T,MATCH($F499,'#建筑消耗和buff配置索引'!$M:$M,0))=0,"",INDEX('#建筑消耗和buff配置索引'!T:T,MATCH($F499,'#建筑消耗和buff配置索引'!$M:$M,0)))</f>
        <v/>
      </c>
      <c r="P499" s="133" t="str">
        <f>IF(INDEX('#建筑消耗和buff配置索引'!U:U,MATCH($F499,'#建筑消耗和buff配置索引'!$M:$M,0))=0,"",INDEX('#建筑消耗和buff配置索引'!U:U,MATCH($F499,'#建筑消耗和buff配置索引'!$M:$M,0)))</f>
        <v/>
      </c>
      <c r="Q499" s="133" t="str">
        <f>IF(INDEX('#建筑消耗和buff配置索引'!K:K,MATCH($F499,'#建筑消耗和buff配置索引'!$M:$M,0))=0,"",INDEX('#建筑消耗和buff配置索引'!K:K,MATCH($F499,'#建筑消耗和buff配置索引'!$M:$M,0)))</f>
        <v>201;400</v>
      </c>
      <c r="R499" s="133" t="str">
        <f>IF(INDEX('#建筑消耗和buff配置索引'!L:L,MATCH($F499,'#建筑消耗和buff配置索引'!$M:$M,0))=0,"",INDEX('#建筑消耗和buff配置索引'!L:L,MATCH($F499,'#建筑消耗和buff配置索引'!$M:$M,0)))</f>
        <v>14;14</v>
      </c>
      <c r="S499" s="133">
        <f>IF(INDEX('#建筑消耗和buff配置索引'!C:C,MATCH(F499,'#建筑消耗和buff配置索引'!M:M,0))=0,1,INDEX('#建筑消耗和buff配置索引'!C:C,MATCH(F499,'#建筑消耗和buff配置索引'!M:M,0)))</f>
        <v>2</v>
      </c>
      <c r="T499" s="133">
        <v>0</v>
      </c>
      <c r="U499" s="133">
        <v>0</v>
      </c>
      <c r="V499" s="133" t="str">
        <f>IF(E499=1,IF(INDEX('#建筑消耗和buff配置索引'!BY:BY,MATCH(D499,'#建筑消耗和buff配置索引'!A:A,0))=0,"",INDEX('#建筑消耗和buff配置索引'!BY:BY,MATCH(D499,'#建筑消耗和buff配置索引'!A:A,0))),"")</f>
        <v/>
      </c>
      <c r="W499" s="133" t="str">
        <f>IF(E499=1,IF(INDEX('#建筑消耗和buff配置索引'!BZ:BZ,MATCH(D499,'#建筑消耗和buff配置索引'!A:A,0))=0,"",INDEX('#建筑消耗和buff配置索引'!BZ:BZ,MATCH(D499,'#建筑消耗和buff配置索引'!A:A,0))),"")</f>
        <v/>
      </c>
      <c r="AA499" s="133">
        <f>INDEX('#建筑消耗和buff配置索引'!AO:AO,MATCH($F499,'#建筑消耗和buff配置索引'!$M:$M,0))</f>
        <v>6007</v>
      </c>
      <c r="AB499" s="133">
        <f>IF(INDEX('#建筑消耗和buff配置索引'!AR:AR,MATCH($F499,'#建筑消耗和buff配置索引'!$M:$M,0))=0,"",INDEX('#建筑消耗和buff配置索引'!AR:AR,MATCH($F499,'#建筑消耗和buff配置索引'!$M:$M,0)))</f>
        <v>1328</v>
      </c>
      <c r="AC499" s="133">
        <f>IF(AB499="","",INDEX('#建筑消耗和buff配置索引'!AS:AS,MATCH($F499,'#建筑消耗和buff配置索引'!$M:$M,0)))</f>
        <v>0.82199999999999995</v>
      </c>
      <c r="AF499" s="133">
        <f>IF(INDEX('#建筑消耗和buff配置索引'!AW:AW,MATCH($F499,'#建筑消耗和buff配置索引'!$M:$M,0))=0,"",INDEX('#建筑消耗和buff配置索引'!AW:AW,MATCH($F499,'#建筑消耗和buff配置索引'!$M:$M,0)))</f>
        <v>1329</v>
      </c>
      <c r="AG499" s="133">
        <f>IF(AF499="","",INDEX('#建筑消耗和buff配置索引'!AX:AX,MATCH($F499,'#建筑消耗和buff配置索引'!$M:$M,0)))</f>
        <v>940000</v>
      </c>
      <c r="AJ499" s="133" t="str">
        <f>IF(INDEX('#建筑消耗和buff配置索引'!BB:BB,MATCH($F499,'#建筑消耗和buff配置索引'!$M:$M,0))=0,"",INDEX('#建筑消耗和buff配置索引'!BB:BB,MATCH($F499,'#建筑消耗和buff配置索引'!$M:$M,0)))</f>
        <v/>
      </c>
      <c r="AK499" s="133" t="str">
        <f>IF(AJ499="","",INDEX('#建筑消耗和buff配置索引'!BC:BC,MATCH($F499,'#建筑消耗和buff配置索引'!$M:$M,0)))</f>
        <v/>
      </c>
      <c r="AN499" s="133" t="str">
        <f>IF(INDEX('#建筑消耗和buff配置索引'!BG:BG,MATCH($F499,'#建筑消耗和buff配置索引'!$M:$M,0))=0,"",INDEX('#建筑消耗和buff配置索引'!BG:BG,MATCH($F499,'#建筑消耗和buff配置索引'!$M:$M,0)))</f>
        <v/>
      </c>
      <c r="AO499" s="133" t="str">
        <f>IF(AN499="","",INDEX('#建筑消耗和buff配置索引'!BH:BH,MATCH($F499,'#建筑消耗和buff配置索引'!$M:$M,0)))</f>
        <v/>
      </c>
      <c r="AR499" s="133" t="str">
        <f>IF(INDEX('#建筑消耗和buff配置索引'!BK:BK,MATCH($F499,'#建筑消耗和buff配置索引'!$M:$M,0))=0,"",INDEX('#建筑消耗和buff配置索引'!BK:BK,MATCH($F499,'#建筑消耗和buff配置索引'!$M:$M,0)))</f>
        <v/>
      </c>
      <c r="AS499" s="133" t="str">
        <f>IF(AR499="","",INDEX('#建筑消耗和buff配置索引'!BL:BL,MATCH($F499,'#建筑消耗和buff配置索引'!$M:$M,0)))</f>
        <v/>
      </c>
      <c r="AV499" s="133" t="str">
        <f>IF(INDEX('#建筑消耗和buff配置索引'!BO:BO,MATCH($F499,'#建筑消耗和buff配置索引'!$M:$M,0))=0,"",INDEX('#建筑消耗和buff配置索引'!BO:BO,MATCH($F499,'#建筑消耗和buff配置索引'!$M:$M,0)))</f>
        <v/>
      </c>
      <c r="AW499" s="133" t="str">
        <f>IF(AV499="","",INDEX('#建筑消耗和buff配置索引'!BP:BP,MATCH($F499,'#建筑消耗和buff配置索引'!$M:$M,0)))</f>
        <v/>
      </c>
      <c r="AZ499" s="133" t="str">
        <f>IF(INDEX('#建筑消耗和buff配置索引'!BS:BS,MATCH($F499,'#建筑消耗和buff配置索引'!$M:$M,0))=0,"",INDEX('#建筑消耗和buff配置索引'!BS:BS,MATCH($F499,'#建筑消耗和buff配置索引'!$M:$M,0)))</f>
        <v/>
      </c>
      <c r="BA499" s="133" t="str">
        <f>IF(AZ499="","",INDEX('#建筑消耗和buff配置索引'!BT:BT,MATCH($F499,'#建筑消耗和buff配置索引'!$M:$M,0)))</f>
        <v/>
      </c>
      <c r="BD499" s="133" t="str">
        <f>IF(INDEX('#建筑消耗和buff配置索引'!BW:BW,MATCH($F499,'#建筑消耗和buff配置索引'!$M:$M,0))=0,"",INDEX('#建筑消耗和buff配置索引'!BW:BW,MATCH($F499,'#建筑消耗和buff配置索引'!$M:$M,0)))</f>
        <v/>
      </c>
      <c r="BE499" s="133" t="str">
        <f>IF(BD499="","",INDEX('#建筑消耗和buff配置索引'!BX:BX,MATCH($F499,'#建筑消耗和buff配置索引'!$M:$M,0)))</f>
        <v/>
      </c>
      <c r="BI499" s="133">
        <v>23</v>
      </c>
    </row>
    <row r="500" spans="1:61" s="133" customFormat="1">
      <c r="A500" s="133">
        <v>2310015</v>
      </c>
      <c r="B500" s="133">
        <v>497</v>
      </c>
      <c r="C500" s="133">
        <v>231</v>
      </c>
      <c r="D500" s="133" t="s">
        <v>591</v>
      </c>
      <c r="E500" s="133">
        <v>15</v>
      </c>
      <c r="F500" s="133" t="str">
        <f t="shared" si="8"/>
        <v>市集15</v>
      </c>
      <c r="H500" s="146"/>
      <c r="I500" s="133" t="s">
        <v>1205</v>
      </c>
      <c r="J500" s="150">
        <f>INDEX('#建筑消耗和buff配置索引'!AH:AH,MATCH($F500,'#建筑消耗和buff配置索引'!$M:$M,0))</f>
        <v>17280</v>
      </c>
      <c r="K500" s="150">
        <f>INDEX('#建筑消耗和buff配置索引'!AA:AA,MATCH($F500,'#建筑消耗和buff配置索引'!$M:$M,0))</f>
        <v>190000</v>
      </c>
      <c r="L500" s="150">
        <f>INDEX('#建筑消耗和buff配置索引'!AB:AB,MATCH($F500,'#建筑消耗和buff配置索引'!$M:$M,0))</f>
        <v>190000</v>
      </c>
      <c r="M500" s="150">
        <f>INDEX('#建筑消耗和buff配置索引'!AC:AC,MATCH($F500,'#建筑消耗和buff配置索引'!$M:$M,0))</f>
        <v>190000</v>
      </c>
      <c r="N500" s="150">
        <f>INDEX('#建筑消耗和buff配置索引'!AD:AD,MATCH($F500,'#建筑消耗和buff配置索引'!$M:$M,0))</f>
        <v>570000</v>
      </c>
      <c r="O500" s="150" t="str">
        <f>IF(INDEX('#建筑消耗和buff配置索引'!T:T,MATCH($F500,'#建筑消耗和buff配置索引'!$M:$M,0))=0,"",INDEX('#建筑消耗和buff配置索引'!T:T,MATCH($F500,'#建筑消耗和buff配置索引'!$M:$M,0)))</f>
        <v/>
      </c>
      <c r="P500" s="133" t="str">
        <f>IF(INDEX('#建筑消耗和buff配置索引'!U:U,MATCH($F500,'#建筑消耗和buff配置索引'!$M:$M,0))=0,"",INDEX('#建筑消耗和buff配置索引'!U:U,MATCH($F500,'#建筑消耗和buff配置索引'!$M:$M,0)))</f>
        <v/>
      </c>
      <c r="Q500" s="133" t="str">
        <f>IF(INDEX('#建筑消耗和buff配置索引'!K:K,MATCH($F500,'#建筑消耗和buff配置索引'!$M:$M,0))=0,"",INDEX('#建筑消耗和buff配置索引'!K:K,MATCH($F500,'#建筑消耗和buff配置索引'!$M:$M,0)))</f>
        <v>201;400</v>
      </c>
      <c r="R500" s="133" t="str">
        <f>IF(INDEX('#建筑消耗和buff配置索引'!L:L,MATCH($F500,'#建筑消耗和buff配置索引'!$M:$M,0))=0,"",INDEX('#建筑消耗和buff配置索引'!L:L,MATCH($F500,'#建筑消耗和buff配置索引'!$M:$M,0)))</f>
        <v>15;15</v>
      </c>
      <c r="S500" s="133">
        <f>IF(INDEX('#建筑消耗和buff配置索引'!C:C,MATCH(F500,'#建筑消耗和buff配置索引'!M:M,0))=0,1,INDEX('#建筑消耗和buff配置索引'!C:C,MATCH(F500,'#建筑消耗和buff配置索引'!M:M,0)))</f>
        <v>2</v>
      </c>
      <c r="T500" s="133">
        <v>0</v>
      </c>
      <c r="U500" s="133">
        <v>0</v>
      </c>
      <c r="V500" s="133" t="str">
        <f>IF(E500=1,IF(INDEX('#建筑消耗和buff配置索引'!BY:BY,MATCH(D500,'#建筑消耗和buff配置索引'!A:A,0))=0,"",INDEX('#建筑消耗和buff配置索引'!BY:BY,MATCH(D500,'#建筑消耗和buff配置索引'!A:A,0))),"")</f>
        <v/>
      </c>
      <c r="W500" s="133" t="str">
        <f>IF(E500=1,IF(INDEX('#建筑消耗和buff配置索引'!BZ:BZ,MATCH(D500,'#建筑消耗和buff配置索引'!A:A,0))=0,"",INDEX('#建筑消耗和buff配置索引'!BZ:BZ,MATCH(D500,'#建筑消耗和buff配置索引'!A:A,0))),"")</f>
        <v/>
      </c>
      <c r="AA500" s="133">
        <f>INDEX('#建筑消耗和buff配置索引'!AO:AO,MATCH($F500,'#建筑消耗和buff配置索引'!$M:$M,0))</f>
        <v>8293</v>
      </c>
      <c r="AB500" s="133">
        <f>IF(INDEX('#建筑消耗和buff配置索引'!AR:AR,MATCH($F500,'#建筑消耗和buff配置索引'!$M:$M,0))=0,"",INDEX('#建筑消耗和buff配置索引'!AR:AR,MATCH($F500,'#建筑消耗和buff配置索引'!$M:$M,0)))</f>
        <v>1328</v>
      </c>
      <c r="AC500" s="133">
        <f>IF(AB500="","",INDEX('#建筑消耗和buff配置索引'!AS:AS,MATCH($F500,'#建筑消耗和buff配置索引'!$M:$M,0)))</f>
        <v>0.83199999999999996</v>
      </c>
      <c r="AF500" s="133">
        <f>IF(INDEX('#建筑消耗和buff配置索引'!AW:AW,MATCH($F500,'#建筑消耗和buff配置索引'!$M:$M,0))=0,"",INDEX('#建筑消耗和buff配置索引'!AW:AW,MATCH($F500,'#建筑消耗和buff配置索引'!$M:$M,0)))</f>
        <v>1329</v>
      </c>
      <c r="AG500" s="133">
        <f>IF(AF500="","",INDEX('#建筑消耗和buff配置索引'!AX:AX,MATCH($F500,'#建筑消耗和buff配置索引'!$M:$M,0)))</f>
        <v>1020000</v>
      </c>
      <c r="AJ500" s="133" t="str">
        <f>IF(INDEX('#建筑消耗和buff配置索引'!BB:BB,MATCH($F500,'#建筑消耗和buff配置索引'!$M:$M,0))=0,"",INDEX('#建筑消耗和buff配置索引'!BB:BB,MATCH($F500,'#建筑消耗和buff配置索引'!$M:$M,0)))</f>
        <v/>
      </c>
      <c r="AK500" s="133" t="str">
        <f>IF(AJ500="","",INDEX('#建筑消耗和buff配置索引'!BC:BC,MATCH($F500,'#建筑消耗和buff配置索引'!$M:$M,0)))</f>
        <v/>
      </c>
      <c r="AN500" s="133" t="str">
        <f>IF(INDEX('#建筑消耗和buff配置索引'!BG:BG,MATCH($F500,'#建筑消耗和buff配置索引'!$M:$M,0))=0,"",INDEX('#建筑消耗和buff配置索引'!BG:BG,MATCH($F500,'#建筑消耗和buff配置索引'!$M:$M,0)))</f>
        <v/>
      </c>
      <c r="AO500" s="133" t="str">
        <f>IF(AN500="","",INDEX('#建筑消耗和buff配置索引'!BH:BH,MATCH($F500,'#建筑消耗和buff配置索引'!$M:$M,0)))</f>
        <v/>
      </c>
      <c r="AR500" s="133" t="str">
        <f>IF(INDEX('#建筑消耗和buff配置索引'!BK:BK,MATCH($F500,'#建筑消耗和buff配置索引'!$M:$M,0))=0,"",INDEX('#建筑消耗和buff配置索引'!BK:BK,MATCH($F500,'#建筑消耗和buff配置索引'!$M:$M,0)))</f>
        <v/>
      </c>
      <c r="AS500" s="133" t="str">
        <f>IF(AR500="","",INDEX('#建筑消耗和buff配置索引'!BL:BL,MATCH($F500,'#建筑消耗和buff配置索引'!$M:$M,0)))</f>
        <v/>
      </c>
      <c r="AV500" s="133" t="str">
        <f>IF(INDEX('#建筑消耗和buff配置索引'!BO:BO,MATCH($F500,'#建筑消耗和buff配置索引'!$M:$M,0))=0,"",INDEX('#建筑消耗和buff配置索引'!BO:BO,MATCH($F500,'#建筑消耗和buff配置索引'!$M:$M,0)))</f>
        <v/>
      </c>
      <c r="AW500" s="133" t="str">
        <f>IF(AV500="","",INDEX('#建筑消耗和buff配置索引'!BP:BP,MATCH($F500,'#建筑消耗和buff配置索引'!$M:$M,0)))</f>
        <v/>
      </c>
      <c r="AZ500" s="133" t="str">
        <f>IF(INDEX('#建筑消耗和buff配置索引'!BS:BS,MATCH($F500,'#建筑消耗和buff配置索引'!$M:$M,0))=0,"",INDEX('#建筑消耗和buff配置索引'!BS:BS,MATCH($F500,'#建筑消耗和buff配置索引'!$M:$M,0)))</f>
        <v/>
      </c>
      <c r="BA500" s="133" t="str">
        <f>IF(AZ500="","",INDEX('#建筑消耗和buff配置索引'!BT:BT,MATCH($F500,'#建筑消耗和buff配置索引'!$M:$M,0)))</f>
        <v/>
      </c>
      <c r="BD500" s="133" t="str">
        <f>IF(INDEX('#建筑消耗和buff配置索引'!BW:BW,MATCH($F500,'#建筑消耗和buff配置索引'!$M:$M,0))=0,"",INDEX('#建筑消耗和buff配置索引'!BW:BW,MATCH($F500,'#建筑消耗和buff配置索引'!$M:$M,0)))</f>
        <v/>
      </c>
      <c r="BE500" s="133" t="str">
        <f>IF(BD500="","",INDEX('#建筑消耗和buff配置索引'!BX:BX,MATCH($F500,'#建筑消耗和buff配置索引'!$M:$M,0)))</f>
        <v/>
      </c>
      <c r="BI500" s="133">
        <v>23</v>
      </c>
    </row>
    <row r="501" spans="1:61" s="133" customFormat="1">
      <c r="A501" s="133">
        <v>2310016</v>
      </c>
      <c r="B501" s="133">
        <v>498</v>
      </c>
      <c r="C501" s="133">
        <v>231</v>
      </c>
      <c r="D501" s="133" t="s">
        <v>591</v>
      </c>
      <c r="E501" s="133">
        <v>16</v>
      </c>
      <c r="F501" s="133" t="str">
        <f t="shared" si="8"/>
        <v>市集16</v>
      </c>
      <c r="H501" s="146"/>
      <c r="I501" s="133" t="s">
        <v>1205</v>
      </c>
      <c r="J501" s="150">
        <f>INDEX('#建筑消耗和buff配置索引'!AH:AH,MATCH($F501,'#建筑消耗和buff配置索引'!$M:$M,0))</f>
        <v>21600</v>
      </c>
      <c r="K501" s="150">
        <f>INDEX('#建筑消耗和buff配置索引'!AA:AA,MATCH($F501,'#建筑消耗和buff配置索引'!$M:$M,0))</f>
        <v>240000</v>
      </c>
      <c r="L501" s="150">
        <f>INDEX('#建筑消耗和buff配置索引'!AB:AB,MATCH($F501,'#建筑消耗和buff配置索引'!$M:$M,0))</f>
        <v>240000</v>
      </c>
      <c r="M501" s="150">
        <f>INDEX('#建筑消耗和buff配置索引'!AC:AC,MATCH($F501,'#建筑消耗和buff配置索引'!$M:$M,0))</f>
        <v>240000</v>
      </c>
      <c r="N501" s="150">
        <f>INDEX('#建筑消耗和buff配置索引'!AD:AD,MATCH($F501,'#建筑消耗和buff配置索引'!$M:$M,0))</f>
        <v>730000</v>
      </c>
      <c r="O501" s="150" t="str">
        <f>IF(INDEX('#建筑消耗和buff配置索引'!T:T,MATCH($F501,'#建筑消耗和buff配置索引'!$M:$M,0))=0,"",INDEX('#建筑消耗和buff配置索引'!T:T,MATCH($F501,'#建筑消耗和buff配置索引'!$M:$M,0)))</f>
        <v/>
      </c>
      <c r="P501" s="133" t="str">
        <f>IF(INDEX('#建筑消耗和buff配置索引'!U:U,MATCH($F501,'#建筑消耗和buff配置索引'!$M:$M,0))=0,"",INDEX('#建筑消耗和buff配置索引'!U:U,MATCH($F501,'#建筑消耗和buff配置索引'!$M:$M,0)))</f>
        <v/>
      </c>
      <c r="Q501" s="133" t="str">
        <f>IF(INDEX('#建筑消耗和buff配置索引'!K:K,MATCH($F501,'#建筑消耗和buff配置索引'!$M:$M,0))=0,"",INDEX('#建筑消耗和buff配置索引'!K:K,MATCH($F501,'#建筑消耗和buff配置索引'!$M:$M,0)))</f>
        <v>201;400</v>
      </c>
      <c r="R501" s="133" t="str">
        <f>IF(INDEX('#建筑消耗和buff配置索引'!L:L,MATCH($F501,'#建筑消耗和buff配置索引'!$M:$M,0))=0,"",INDEX('#建筑消耗和buff配置索引'!L:L,MATCH($F501,'#建筑消耗和buff配置索引'!$M:$M,0)))</f>
        <v>16;16</v>
      </c>
      <c r="S501" s="133">
        <f>IF(INDEX('#建筑消耗和buff配置索引'!C:C,MATCH(F501,'#建筑消耗和buff配置索引'!M:M,0))=0,1,INDEX('#建筑消耗和buff配置索引'!C:C,MATCH(F501,'#建筑消耗和buff配置索引'!M:M,0)))</f>
        <v>2</v>
      </c>
      <c r="T501" s="133">
        <v>0</v>
      </c>
      <c r="U501" s="133">
        <v>0</v>
      </c>
      <c r="V501" s="133" t="str">
        <f>IF(E501=1,IF(INDEX('#建筑消耗和buff配置索引'!BY:BY,MATCH(D501,'#建筑消耗和buff配置索引'!A:A,0))=0,"",INDEX('#建筑消耗和buff配置索引'!BY:BY,MATCH(D501,'#建筑消耗和buff配置索引'!A:A,0))),"")</f>
        <v/>
      </c>
      <c r="W501" s="133" t="str">
        <f>IF(E501=1,IF(INDEX('#建筑消耗和buff配置索引'!BZ:BZ,MATCH(D501,'#建筑消耗和buff配置索引'!A:A,0))=0,"",INDEX('#建筑消耗和buff配置索引'!BZ:BZ,MATCH(D501,'#建筑消耗和buff配置索引'!A:A,0))),"")</f>
        <v/>
      </c>
      <c r="AA501" s="133">
        <f>INDEX('#建筑消耗和buff配置索引'!AO:AO,MATCH($F501,'#建筑消耗和buff配置索引'!$M:$M,0))</f>
        <v>11218</v>
      </c>
      <c r="AB501" s="133">
        <f>IF(INDEX('#建筑消耗和buff配置索引'!AR:AR,MATCH($F501,'#建筑消耗和buff配置索引'!$M:$M,0))=0,"",INDEX('#建筑消耗和buff配置索引'!AR:AR,MATCH($F501,'#建筑消耗和buff配置索引'!$M:$M,0)))</f>
        <v>1328</v>
      </c>
      <c r="AC501" s="133">
        <f>IF(AB501="","",INDEX('#建筑消耗和buff配置索引'!AS:AS,MATCH($F501,'#建筑消耗和buff配置索引'!$M:$M,0)))</f>
        <v>0.84199999999999997</v>
      </c>
      <c r="AF501" s="133">
        <f>IF(INDEX('#建筑消耗和buff配置索引'!AW:AW,MATCH($F501,'#建筑消耗和buff配置索引'!$M:$M,0))=0,"",INDEX('#建筑消耗和buff配置索引'!AW:AW,MATCH($F501,'#建筑消耗和buff配置索引'!$M:$M,0)))</f>
        <v>1329</v>
      </c>
      <c r="AG501" s="133">
        <f>IF(AF501="","",INDEX('#建筑消耗和buff配置索引'!AX:AX,MATCH($F501,'#建筑消耗和buff配置索引'!$M:$M,0)))</f>
        <v>1100000</v>
      </c>
      <c r="AJ501" s="133" t="str">
        <f>IF(INDEX('#建筑消耗和buff配置索引'!BB:BB,MATCH($F501,'#建筑消耗和buff配置索引'!$M:$M,0))=0,"",INDEX('#建筑消耗和buff配置索引'!BB:BB,MATCH($F501,'#建筑消耗和buff配置索引'!$M:$M,0)))</f>
        <v/>
      </c>
      <c r="AK501" s="133" t="str">
        <f>IF(AJ501="","",INDEX('#建筑消耗和buff配置索引'!BC:BC,MATCH($F501,'#建筑消耗和buff配置索引'!$M:$M,0)))</f>
        <v/>
      </c>
      <c r="AN501" s="133" t="str">
        <f>IF(INDEX('#建筑消耗和buff配置索引'!BG:BG,MATCH($F501,'#建筑消耗和buff配置索引'!$M:$M,0))=0,"",INDEX('#建筑消耗和buff配置索引'!BG:BG,MATCH($F501,'#建筑消耗和buff配置索引'!$M:$M,0)))</f>
        <v/>
      </c>
      <c r="AO501" s="133" t="str">
        <f>IF(AN501="","",INDEX('#建筑消耗和buff配置索引'!BH:BH,MATCH($F501,'#建筑消耗和buff配置索引'!$M:$M,0)))</f>
        <v/>
      </c>
      <c r="AR501" s="133" t="str">
        <f>IF(INDEX('#建筑消耗和buff配置索引'!BK:BK,MATCH($F501,'#建筑消耗和buff配置索引'!$M:$M,0))=0,"",INDEX('#建筑消耗和buff配置索引'!BK:BK,MATCH($F501,'#建筑消耗和buff配置索引'!$M:$M,0)))</f>
        <v/>
      </c>
      <c r="AS501" s="133" t="str">
        <f>IF(AR501="","",INDEX('#建筑消耗和buff配置索引'!BL:BL,MATCH($F501,'#建筑消耗和buff配置索引'!$M:$M,0)))</f>
        <v/>
      </c>
      <c r="AV501" s="133" t="str">
        <f>IF(INDEX('#建筑消耗和buff配置索引'!BO:BO,MATCH($F501,'#建筑消耗和buff配置索引'!$M:$M,0))=0,"",INDEX('#建筑消耗和buff配置索引'!BO:BO,MATCH($F501,'#建筑消耗和buff配置索引'!$M:$M,0)))</f>
        <v/>
      </c>
      <c r="AW501" s="133" t="str">
        <f>IF(AV501="","",INDEX('#建筑消耗和buff配置索引'!BP:BP,MATCH($F501,'#建筑消耗和buff配置索引'!$M:$M,0)))</f>
        <v/>
      </c>
      <c r="AZ501" s="133" t="str">
        <f>IF(INDEX('#建筑消耗和buff配置索引'!BS:BS,MATCH($F501,'#建筑消耗和buff配置索引'!$M:$M,0))=0,"",INDEX('#建筑消耗和buff配置索引'!BS:BS,MATCH($F501,'#建筑消耗和buff配置索引'!$M:$M,0)))</f>
        <v/>
      </c>
      <c r="BA501" s="133" t="str">
        <f>IF(AZ501="","",INDEX('#建筑消耗和buff配置索引'!BT:BT,MATCH($F501,'#建筑消耗和buff配置索引'!$M:$M,0)))</f>
        <v/>
      </c>
      <c r="BD501" s="133" t="str">
        <f>IF(INDEX('#建筑消耗和buff配置索引'!BW:BW,MATCH($F501,'#建筑消耗和buff配置索引'!$M:$M,0))=0,"",INDEX('#建筑消耗和buff配置索引'!BW:BW,MATCH($F501,'#建筑消耗和buff配置索引'!$M:$M,0)))</f>
        <v/>
      </c>
      <c r="BE501" s="133" t="str">
        <f>IF(BD501="","",INDEX('#建筑消耗和buff配置索引'!BX:BX,MATCH($F501,'#建筑消耗和buff配置索引'!$M:$M,0)))</f>
        <v/>
      </c>
      <c r="BI501" s="133">
        <v>23</v>
      </c>
    </row>
    <row r="502" spans="1:61" s="133" customFormat="1">
      <c r="A502" s="133">
        <v>2310017</v>
      </c>
      <c r="B502" s="133">
        <v>499</v>
      </c>
      <c r="C502" s="133">
        <v>231</v>
      </c>
      <c r="D502" s="133" t="s">
        <v>591</v>
      </c>
      <c r="E502" s="133">
        <v>17</v>
      </c>
      <c r="F502" s="133" t="str">
        <f t="shared" si="8"/>
        <v>市集17</v>
      </c>
      <c r="H502" s="146"/>
      <c r="I502" s="133" t="s">
        <v>1205</v>
      </c>
      <c r="J502" s="150">
        <f>INDEX('#建筑消耗和buff配置索引'!AH:AH,MATCH($F502,'#建筑消耗和buff配置索引'!$M:$M,0))</f>
        <v>28800</v>
      </c>
      <c r="K502" s="150">
        <f>INDEX('#建筑消耗和buff配置索引'!AA:AA,MATCH($F502,'#建筑消耗和buff配置索引'!$M:$M,0))</f>
        <v>310000</v>
      </c>
      <c r="L502" s="150">
        <f>INDEX('#建筑消耗和buff配置索引'!AB:AB,MATCH($F502,'#建筑消耗和buff配置索引'!$M:$M,0))</f>
        <v>310000</v>
      </c>
      <c r="M502" s="150">
        <f>INDEX('#建筑消耗和buff配置索引'!AC:AC,MATCH($F502,'#建筑消耗和buff配置索引'!$M:$M,0))</f>
        <v>310000</v>
      </c>
      <c r="N502" s="150">
        <f>INDEX('#建筑消耗和buff配置索引'!AD:AD,MATCH($F502,'#建筑消耗和buff配置索引'!$M:$M,0))</f>
        <v>940000</v>
      </c>
      <c r="O502" s="150" t="str">
        <f>IF(INDEX('#建筑消耗和buff配置索引'!T:T,MATCH($F502,'#建筑消耗和buff配置索引'!$M:$M,0))=0,"",INDEX('#建筑消耗和buff配置索引'!T:T,MATCH($F502,'#建筑消耗和buff配置索引'!$M:$M,0)))</f>
        <v/>
      </c>
      <c r="P502" s="133" t="str">
        <f>IF(INDEX('#建筑消耗和buff配置索引'!U:U,MATCH($F502,'#建筑消耗和buff配置索引'!$M:$M,0))=0,"",INDEX('#建筑消耗和buff配置索引'!U:U,MATCH($F502,'#建筑消耗和buff配置索引'!$M:$M,0)))</f>
        <v/>
      </c>
      <c r="Q502" s="133" t="str">
        <f>IF(INDEX('#建筑消耗和buff配置索引'!K:K,MATCH($F502,'#建筑消耗和buff配置索引'!$M:$M,0))=0,"",INDEX('#建筑消耗和buff配置索引'!K:K,MATCH($F502,'#建筑消耗和buff配置索引'!$M:$M,0)))</f>
        <v>201;400</v>
      </c>
      <c r="R502" s="133" t="str">
        <f>IF(INDEX('#建筑消耗和buff配置索引'!L:L,MATCH($F502,'#建筑消耗和buff配置索引'!$M:$M,0))=0,"",INDEX('#建筑消耗和buff配置索引'!L:L,MATCH($F502,'#建筑消耗和buff配置索引'!$M:$M,0)))</f>
        <v>17;17</v>
      </c>
      <c r="S502" s="133">
        <f>IF(INDEX('#建筑消耗和buff配置索引'!C:C,MATCH(F502,'#建筑消耗和buff配置索引'!M:M,0))=0,1,INDEX('#建筑消耗和buff配置索引'!C:C,MATCH(F502,'#建筑消耗和buff配置索引'!M:M,0)))</f>
        <v>2</v>
      </c>
      <c r="T502" s="133">
        <v>0</v>
      </c>
      <c r="U502" s="133">
        <v>0</v>
      </c>
      <c r="V502" s="133" t="str">
        <f>IF(E502=1,IF(INDEX('#建筑消耗和buff配置索引'!BY:BY,MATCH(D502,'#建筑消耗和buff配置索引'!A:A,0))=0,"",INDEX('#建筑消耗和buff配置索引'!BY:BY,MATCH(D502,'#建筑消耗和buff配置索引'!A:A,0))),"")</f>
        <v/>
      </c>
      <c r="W502" s="133" t="str">
        <f>IF(E502=1,IF(INDEX('#建筑消耗和buff配置索引'!BZ:BZ,MATCH(D502,'#建筑消耗和buff配置索引'!A:A,0))=0,"",INDEX('#建筑消耗和buff配置索引'!BZ:BZ,MATCH(D502,'#建筑消耗和buff配置索引'!A:A,0))),"")</f>
        <v/>
      </c>
      <c r="AA502" s="133">
        <f>INDEX('#建筑消耗和buff配置索引'!AO:AO,MATCH($F502,'#建筑消耗和buff配置索引'!$M:$M,0))</f>
        <v>14962</v>
      </c>
      <c r="AB502" s="133">
        <f>IF(INDEX('#建筑消耗和buff配置索引'!AR:AR,MATCH($F502,'#建筑消耗和buff配置索引'!$M:$M,0))=0,"",INDEX('#建筑消耗和buff配置索引'!AR:AR,MATCH($F502,'#建筑消耗和buff配置索引'!$M:$M,0)))</f>
        <v>1328</v>
      </c>
      <c r="AC502" s="133">
        <f>IF(AB502="","",INDEX('#建筑消耗和buff配置索引'!AS:AS,MATCH($F502,'#建筑消耗和buff配置索引'!$M:$M,0)))</f>
        <v>0.85199999999999998</v>
      </c>
      <c r="AF502" s="133">
        <f>IF(INDEX('#建筑消耗和buff配置索引'!AW:AW,MATCH($F502,'#建筑消耗和buff配置索引'!$M:$M,0))=0,"",INDEX('#建筑消耗和buff配置索引'!AW:AW,MATCH($F502,'#建筑消耗和buff配置索引'!$M:$M,0)))</f>
        <v>1329</v>
      </c>
      <c r="AG502" s="133">
        <f>IF(AF502="","",INDEX('#建筑消耗和buff配置索引'!AX:AX,MATCH($F502,'#建筑消耗和buff配置索引'!$M:$M,0)))</f>
        <v>1200000</v>
      </c>
      <c r="AJ502" s="133" t="str">
        <f>IF(INDEX('#建筑消耗和buff配置索引'!BB:BB,MATCH($F502,'#建筑消耗和buff配置索引'!$M:$M,0))=0,"",INDEX('#建筑消耗和buff配置索引'!BB:BB,MATCH($F502,'#建筑消耗和buff配置索引'!$M:$M,0)))</f>
        <v/>
      </c>
      <c r="AK502" s="133" t="str">
        <f>IF(AJ502="","",INDEX('#建筑消耗和buff配置索引'!BC:BC,MATCH($F502,'#建筑消耗和buff配置索引'!$M:$M,0)))</f>
        <v/>
      </c>
      <c r="AN502" s="133" t="str">
        <f>IF(INDEX('#建筑消耗和buff配置索引'!BG:BG,MATCH($F502,'#建筑消耗和buff配置索引'!$M:$M,0))=0,"",INDEX('#建筑消耗和buff配置索引'!BG:BG,MATCH($F502,'#建筑消耗和buff配置索引'!$M:$M,0)))</f>
        <v/>
      </c>
      <c r="AO502" s="133" t="str">
        <f>IF(AN502="","",INDEX('#建筑消耗和buff配置索引'!BH:BH,MATCH($F502,'#建筑消耗和buff配置索引'!$M:$M,0)))</f>
        <v/>
      </c>
      <c r="AR502" s="133" t="str">
        <f>IF(INDEX('#建筑消耗和buff配置索引'!BK:BK,MATCH($F502,'#建筑消耗和buff配置索引'!$M:$M,0))=0,"",INDEX('#建筑消耗和buff配置索引'!BK:BK,MATCH($F502,'#建筑消耗和buff配置索引'!$M:$M,0)))</f>
        <v/>
      </c>
      <c r="AS502" s="133" t="str">
        <f>IF(AR502="","",INDEX('#建筑消耗和buff配置索引'!BL:BL,MATCH($F502,'#建筑消耗和buff配置索引'!$M:$M,0)))</f>
        <v/>
      </c>
      <c r="AV502" s="133" t="str">
        <f>IF(INDEX('#建筑消耗和buff配置索引'!BO:BO,MATCH($F502,'#建筑消耗和buff配置索引'!$M:$M,0))=0,"",INDEX('#建筑消耗和buff配置索引'!BO:BO,MATCH($F502,'#建筑消耗和buff配置索引'!$M:$M,0)))</f>
        <v/>
      </c>
      <c r="AW502" s="133" t="str">
        <f>IF(AV502="","",INDEX('#建筑消耗和buff配置索引'!BP:BP,MATCH($F502,'#建筑消耗和buff配置索引'!$M:$M,0)))</f>
        <v/>
      </c>
      <c r="AZ502" s="133" t="str">
        <f>IF(INDEX('#建筑消耗和buff配置索引'!BS:BS,MATCH($F502,'#建筑消耗和buff配置索引'!$M:$M,0))=0,"",INDEX('#建筑消耗和buff配置索引'!BS:BS,MATCH($F502,'#建筑消耗和buff配置索引'!$M:$M,0)))</f>
        <v/>
      </c>
      <c r="BA502" s="133" t="str">
        <f>IF(AZ502="","",INDEX('#建筑消耗和buff配置索引'!BT:BT,MATCH($F502,'#建筑消耗和buff配置索引'!$M:$M,0)))</f>
        <v/>
      </c>
      <c r="BD502" s="133" t="str">
        <f>IF(INDEX('#建筑消耗和buff配置索引'!BW:BW,MATCH($F502,'#建筑消耗和buff配置索引'!$M:$M,0))=0,"",INDEX('#建筑消耗和buff配置索引'!BW:BW,MATCH($F502,'#建筑消耗和buff配置索引'!$M:$M,0)))</f>
        <v/>
      </c>
      <c r="BE502" s="133" t="str">
        <f>IF(BD502="","",INDEX('#建筑消耗和buff配置索引'!BX:BX,MATCH($F502,'#建筑消耗和buff配置索引'!$M:$M,0)))</f>
        <v/>
      </c>
      <c r="BI502" s="133">
        <v>23</v>
      </c>
    </row>
    <row r="503" spans="1:61" s="133" customFormat="1">
      <c r="A503" s="133">
        <v>2310018</v>
      </c>
      <c r="B503" s="133">
        <v>500</v>
      </c>
      <c r="C503" s="133">
        <v>231</v>
      </c>
      <c r="D503" s="133" t="s">
        <v>591</v>
      </c>
      <c r="E503" s="133">
        <v>18</v>
      </c>
      <c r="F503" s="133" t="str">
        <f t="shared" si="8"/>
        <v>市集18</v>
      </c>
      <c r="H503" s="146"/>
      <c r="I503" s="133" t="s">
        <v>1205</v>
      </c>
      <c r="J503" s="150">
        <f>INDEX('#建筑消耗和buff配置索引'!AH:AH,MATCH($F503,'#建筑消耗和buff配置索引'!$M:$M,0))</f>
        <v>37440</v>
      </c>
      <c r="K503" s="150">
        <f>INDEX('#建筑消耗和buff配置索引'!AA:AA,MATCH($F503,'#建筑消耗和buff配置索引'!$M:$M,0))</f>
        <v>400000</v>
      </c>
      <c r="L503" s="150">
        <f>INDEX('#建筑消耗和buff配置索引'!AB:AB,MATCH($F503,'#建筑消耗和buff配置索引'!$M:$M,0))</f>
        <v>400000</v>
      </c>
      <c r="M503" s="150">
        <f>INDEX('#建筑消耗和buff配置索引'!AC:AC,MATCH($F503,'#建筑消耗和buff配置索引'!$M:$M,0))</f>
        <v>400000</v>
      </c>
      <c r="N503" s="150">
        <f>INDEX('#建筑消耗和buff配置索引'!AD:AD,MATCH($F503,'#建筑消耗和buff配置索引'!$M:$M,0))</f>
        <v>1200000</v>
      </c>
      <c r="O503" s="150" t="str">
        <f>IF(INDEX('#建筑消耗和buff配置索引'!T:T,MATCH($F503,'#建筑消耗和buff配置索引'!$M:$M,0))=0,"",INDEX('#建筑消耗和buff配置索引'!T:T,MATCH($F503,'#建筑消耗和buff配置索引'!$M:$M,0)))</f>
        <v/>
      </c>
      <c r="P503" s="133" t="str">
        <f>IF(INDEX('#建筑消耗和buff配置索引'!U:U,MATCH($F503,'#建筑消耗和buff配置索引'!$M:$M,0))=0,"",INDEX('#建筑消耗和buff配置索引'!U:U,MATCH($F503,'#建筑消耗和buff配置索引'!$M:$M,0)))</f>
        <v/>
      </c>
      <c r="Q503" s="133" t="str">
        <f>IF(INDEX('#建筑消耗和buff配置索引'!K:K,MATCH($F503,'#建筑消耗和buff配置索引'!$M:$M,0))=0,"",INDEX('#建筑消耗和buff配置索引'!K:K,MATCH($F503,'#建筑消耗和buff配置索引'!$M:$M,0)))</f>
        <v>201;400</v>
      </c>
      <c r="R503" s="133" t="str">
        <f>IF(INDEX('#建筑消耗和buff配置索引'!L:L,MATCH($F503,'#建筑消耗和buff配置索引'!$M:$M,0))=0,"",INDEX('#建筑消耗和buff配置索引'!L:L,MATCH($F503,'#建筑消耗和buff配置索引'!$M:$M,0)))</f>
        <v>18;18</v>
      </c>
      <c r="S503" s="133">
        <f>IF(INDEX('#建筑消耗和buff配置索引'!C:C,MATCH(F503,'#建筑消耗和buff配置索引'!M:M,0))=0,1,INDEX('#建筑消耗和buff配置索引'!C:C,MATCH(F503,'#建筑消耗和buff配置索引'!M:M,0)))</f>
        <v>2</v>
      </c>
      <c r="T503" s="133">
        <v>0</v>
      </c>
      <c r="U503" s="133">
        <v>0</v>
      </c>
      <c r="V503" s="133" t="str">
        <f>IF(E503=1,IF(INDEX('#建筑消耗和buff配置索引'!BY:BY,MATCH(D503,'#建筑消耗和buff配置索引'!A:A,0))=0,"",INDEX('#建筑消耗和buff配置索引'!BY:BY,MATCH(D503,'#建筑消耗和buff配置索引'!A:A,0))),"")</f>
        <v/>
      </c>
      <c r="W503" s="133" t="str">
        <f>IF(E503=1,IF(INDEX('#建筑消耗和buff配置索引'!BZ:BZ,MATCH(D503,'#建筑消耗和buff配置索引'!A:A,0))=0,"",INDEX('#建筑消耗和buff配置索引'!BZ:BZ,MATCH(D503,'#建筑消耗和buff配置索引'!A:A,0))),"")</f>
        <v/>
      </c>
      <c r="AA503" s="133">
        <f>INDEX('#建筑消耗和buff配置索引'!AO:AO,MATCH($F503,'#建筑消耗和buff配置索引'!$M:$M,0))</f>
        <v>19754</v>
      </c>
      <c r="AB503" s="133">
        <f>IF(INDEX('#建筑消耗和buff配置索引'!AR:AR,MATCH($F503,'#建筑消耗和buff配置索引'!$M:$M,0))=0,"",INDEX('#建筑消耗和buff配置索引'!AR:AR,MATCH($F503,'#建筑消耗和buff配置索引'!$M:$M,0)))</f>
        <v>1328</v>
      </c>
      <c r="AC503" s="133">
        <f>IF(AB503="","",INDEX('#建筑消耗和buff配置索引'!AS:AS,MATCH($F503,'#建筑消耗和buff配置索引'!$M:$M,0)))</f>
        <v>0.86299999999999999</v>
      </c>
      <c r="AF503" s="133">
        <f>IF(INDEX('#建筑消耗和buff配置索引'!AW:AW,MATCH($F503,'#建筑消耗和buff配置索引'!$M:$M,0))=0,"",INDEX('#建筑消耗和buff配置索引'!AW:AW,MATCH($F503,'#建筑消耗和buff配置索引'!$M:$M,0)))</f>
        <v>1329</v>
      </c>
      <c r="AG503" s="133">
        <f>IF(AF503="","",INDEX('#建筑消耗和buff配置索引'!AX:AX,MATCH($F503,'#建筑消耗和buff配置索引'!$M:$M,0)))</f>
        <v>1300000</v>
      </c>
      <c r="AJ503" s="133" t="str">
        <f>IF(INDEX('#建筑消耗和buff配置索引'!BB:BB,MATCH($F503,'#建筑消耗和buff配置索引'!$M:$M,0))=0,"",INDEX('#建筑消耗和buff配置索引'!BB:BB,MATCH($F503,'#建筑消耗和buff配置索引'!$M:$M,0)))</f>
        <v/>
      </c>
      <c r="AK503" s="133" t="str">
        <f>IF(AJ503="","",INDEX('#建筑消耗和buff配置索引'!BC:BC,MATCH($F503,'#建筑消耗和buff配置索引'!$M:$M,0)))</f>
        <v/>
      </c>
      <c r="AN503" s="133" t="str">
        <f>IF(INDEX('#建筑消耗和buff配置索引'!BG:BG,MATCH($F503,'#建筑消耗和buff配置索引'!$M:$M,0))=0,"",INDEX('#建筑消耗和buff配置索引'!BG:BG,MATCH($F503,'#建筑消耗和buff配置索引'!$M:$M,0)))</f>
        <v/>
      </c>
      <c r="AO503" s="133" t="str">
        <f>IF(AN503="","",INDEX('#建筑消耗和buff配置索引'!BH:BH,MATCH($F503,'#建筑消耗和buff配置索引'!$M:$M,0)))</f>
        <v/>
      </c>
      <c r="AR503" s="133" t="str">
        <f>IF(INDEX('#建筑消耗和buff配置索引'!BK:BK,MATCH($F503,'#建筑消耗和buff配置索引'!$M:$M,0))=0,"",INDEX('#建筑消耗和buff配置索引'!BK:BK,MATCH($F503,'#建筑消耗和buff配置索引'!$M:$M,0)))</f>
        <v/>
      </c>
      <c r="AS503" s="133" t="str">
        <f>IF(AR503="","",INDEX('#建筑消耗和buff配置索引'!BL:BL,MATCH($F503,'#建筑消耗和buff配置索引'!$M:$M,0)))</f>
        <v/>
      </c>
      <c r="AV503" s="133" t="str">
        <f>IF(INDEX('#建筑消耗和buff配置索引'!BO:BO,MATCH($F503,'#建筑消耗和buff配置索引'!$M:$M,0))=0,"",INDEX('#建筑消耗和buff配置索引'!BO:BO,MATCH($F503,'#建筑消耗和buff配置索引'!$M:$M,0)))</f>
        <v/>
      </c>
      <c r="AW503" s="133" t="str">
        <f>IF(AV503="","",INDEX('#建筑消耗和buff配置索引'!BP:BP,MATCH($F503,'#建筑消耗和buff配置索引'!$M:$M,0)))</f>
        <v/>
      </c>
      <c r="AZ503" s="133" t="str">
        <f>IF(INDEX('#建筑消耗和buff配置索引'!BS:BS,MATCH($F503,'#建筑消耗和buff配置索引'!$M:$M,0))=0,"",INDEX('#建筑消耗和buff配置索引'!BS:BS,MATCH($F503,'#建筑消耗和buff配置索引'!$M:$M,0)))</f>
        <v/>
      </c>
      <c r="BA503" s="133" t="str">
        <f>IF(AZ503="","",INDEX('#建筑消耗和buff配置索引'!BT:BT,MATCH($F503,'#建筑消耗和buff配置索引'!$M:$M,0)))</f>
        <v/>
      </c>
      <c r="BD503" s="133" t="str">
        <f>IF(INDEX('#建筑消耗和buff配置索引'!BW:BW,MATCH($F503,'#建筑消耗和buff配置索引'!$M:$M,0))=0,"",INDEX('#建筑消耗和buff配置索引'!BW:BW,MATCH($F503,'#建筑消耗和buff配置索引'!$M:$M,0)))</f>
        <v/>
      </c>
      <c r="BE503" s="133" t="str">
        <f>IF(BD503="","",INDEX('#建筑消耗和buff配置索引'!BX:BX,MATCH($F503,'#建筑消耗和buff配置索引'!$M:$M,0)))</f>
        <v/>
      </c>
      <c r="BI503" s="133">
        <v>23</v>
      </c>
    </row>
    <row r="504" spans="1:61" s="133" customFormat="1">
      <c r="A504" s="133">
        <v>2310019</v>
      </c>
      <c r="B504" s="133">
        <v>501</v>
      </c>
      <c r="C504" s="133">
        <v>231</v>
      </c>
      <c r="D504" s="133" t="s">
        <v>591</v>
      </c>
      <c r="E504" s="133">
        <v>19</v>
      </c>
      <c r="F504" s="133" t="str">
        <f t="shared" si="8"/>
        <v>市集19</v>
      </c>
      <c r="H504" s="146"/>
      <c r="I504" s="133" t="s">
        <v>1205</v>
      </c>
      <c r="J504" s="150">
        <f>INDEX('#建筑消耗和buff配置索引'!AH:AH,MATCH($F504,'#建筑消耗和buff配置索引'!$M:$M,0))</f>
        <v>48960</v>
      </c>
      <c r="K504" s="150">
        <f>INDEX('#建筑消耗和buff配置索引'!AA:AA,MATCH($F504,'#建筑消耗和buff配置索引'!$M:$M,0))</f>
        <v>510000</v>
      </c>
      <c r="L504" s="150">
        <f>INDEX('#建筑消耗和buff配置索引'!AB:AB,MATCH($F504,'#建筑消耗和buff配置索引'!$M:$M,0))</f>
        <v>510000</v>
      </c>
      <c r="M504" s="150">
        <f>INDEX('#建筑消耗和buff配置索引'!AC:AC,MATCH($F504,'#建筑消耗和buff配置索引'!$M:$M,0))</f>
        <v>510000</v>
      </c>
      <c r="N504" s="150">
        <f>INDEX('#建筑消耗和buff配置索引'!AD:AD,MATCH($F504,'#建筑消耗和buff配置索引'!$M:$M,0))</f>
        <v>1500000</v>
      </c>
      <c r="O504" s="150" t="str">
        <f>IF(INDEX('#建筑消耗和buff配置索引'!T:T,MATCH($F504,'#建筑消耗和buff配置索引'!$M:$M,0))=0,"",INDEX('#建筑消耗和buff配置索引'!T:T,MATCH($F504,'#建筑消耗和buff配置索引'!$M:$M,0)))</f>
        <v/>
      </c>
      <c r="P504" s="133" t="str">
        <f>IF(INDEX('#建筑消耗和buff配置索引'!U:U,MATCH($F504,'#建筑消耗和buff配置索引'!$M:$M,0))=0,"",INDEX('#建筑消耗和buff配置索引'!U:U,MATCH($F504,'#建筑消耗和buff配置索引'!$M:$M,0)))</f>
        <v/>
      </c>
      <c r="Q504" s="133" t="str">
        <f>IF(INDEX('#建筑消耗和buff配置索引'!K:K,MATCH($F504,'#建筑消耗和buff配置索引'!$M:$M,0))=0,"",INDEX('#建筑消耗和buff配置索引'!K:K,MATCH($F504,'#建筑消耗和buff配置索引'!$M:$M,0)))</f>
        <v>201;400</v>
      </c>
      <c r="R504" s="133" t="str">
        <f>IF(INDEX('#建筑消耗和buff配置索引'!L:L,MATCH($F504,'#建筑消耗和buff配置索引'!$M:$M,0))=0,"",INDEX('#建筑消耗和buff配置索引'!L:L,MATCH($F504,'#建筑消耗和buff配置索引'!$M:$M,0)))</f>
        <v>19;19</v>
      </c>
      <c r="S504" s="133">
        <f>IF(INDEX('#建筑消耗和buff配置索引'!C:C,MATCH(F504,'#建筑消耗和buff配置索引'!M:M,0))=0,1,INDEX('#建筑消耗和buff配置索引'!C:C,MATCH(F504,'#建筑消耗和buff配置索引'!M:M,0)))</f>
        <v>2</v>
      </c>
      <c r="T504" s="133">
        <v>0</v>
      </c>
      <c r="U504" s="133">
        <v>0</v>
      </c>
      <c r="V504" s="133" t="str">
        <f>IF(E504=1,IF(INDEX('#建筑消耗和buff配置索引'!BY:BY,MATCH(D504,'#建筑消耗和buff配置索引'!A:A,0))=0,"",INDEX('#建筑消耗和buff配置索引'!BY:BY,MATCH(D504,'#建筑消耗和buff配置索引'!A:A,0))),"")</f>
        <v/>
      </c>
      <c r="W504" s="133" t="str">
        <f>IF(E504=1,IF(INDEX('#建筑消耗和buff配置索引'!BZ:BZ,MATCH(D504,'#建筑消耗和buff配置索引'!A:A,0))=0,"",INDEX('#建筑消耗和buff配置索引'!BZ:BZ,MATCH(D504,'#建筑消耗和buff配置索引'!A:A,0))),"")</f>
        <v/>
      </c>
      <c r="AA504" s="133">
        <f>INDEX('#建筑消耗和buff配置索引'!AO:AO,MATCH($F504,'#建筑消耗和buff配置索引'!$M:$M,0))</f>
        <v>25889</v>
      </c>
      <c r="AB504" s="133">
        <f>IF(INDEX('#建筑消耗和buff配置索引'!AR:AR,MATCH($F504,'#建筑消耗和buff配置索引'!$M:$M,0))=0,"",INDEX('#建筑消耗和buff配置索引'!AR:AR,MATCH($F504,'#建筑消耗和buff配置索引'!$M:$M,0)))</f>
        <v>1328</v>
      </c>
      <c r="AC504" s="133">
        <f>IF(AB504="","",INDEX('#建筑消耗和buff配置索引'!AS:AS,MATCH($F504,'#建筑消耗和buff配置索引'!$M:$M,0)))</f>
        <v>0.874</v>
      </c>
      <c r="AF504" s="133">
        <f>IF(INDEX('#建筑消耗和buff配置索引'!AW:AW,MATCH($F504,'#建筑消耗和buff配置索引'!$M:$M,0))=0,"",INDEX('#建筑消耗和buff配置索引'!AW:AW,MATCH($F504,'#建筑消耗和buff配置索引'!$M:$M,0)))</f>
        <v>1329</v>
      </c>
      <c r="AG504" s="133">
        <f>IF(AF504="","",INDEX('#建筑消耗和buff配置索引'!AX:AX,MATCH($F504,'#建筑消耗和buff配置索引'!$M:$M,0)))</f>
        <v>1400000</v>
      </c>
      <c r="AJ504" s="133" t="str">
        <f>IF(INDEX('#建筑消耗和buff配置索引'!BB:BB,MATCH($F504,'#建筑消耗和buff配置索引'!$M:$M,0))=0,"",INDEX('#建筑消耗和buff配置索引'!BB:BB,MATCH($F504,'#建筑消耗和buff配置索引'!$M:$M,0)))</f>
        <v/>
      </c>
      <c r="AK504" s="133" t="str">
        <f>IF(AJ504="","",INDEX('#建筑消耗和buff配置索引'!BC:BC,MATCH($F504,'#建筑消耗和buff配置索引'!$M:$M,0)))</f>
        <v/>
      </c>
      <c r="AN504" s="133" t="str">
        <f>IF(INDEX('#建筑消耗和buff配置索引'!BG:BG,MATCH($F504,'#建筑消耗和buff配置索引'!$M:$M,0))=0,"",INDEX('#建筑消耗和buff配置索引'!BG:BG,MATCH($F504,'#建筑消耗和buff配置索引'!$M:$M,0)))</f>
        <v/>
      </c>
      <c r="AO504" s="133" t="str">
        <f>IF(AN504="","",INDEX('#建筑消耗和buff配置索引'!BH:BH,MATCH($F504,'#建筑消耗和buff配置索引'!$M:$M,0)))</f>
        <v/>
      </c>
      <c r="AR504" s="133" t="str">
        <f>IF(INDEX('#建筑消耗和buff配置索引'!BK:BK,MATCH($F504,'#建筑消耗和buff配置索引'!$M:$M,0))=0,"",INDEX('#建筑消耗和buff配置索引'!BK:BK,MATCH($F504,'#建筑消耗和buff配置索引'!$M:$M,0)))</f>
        <v/>
      </c>
      <c r="AS504" s="133" t="str">
        <f>IF(AR504="","",INDEX('#建筑消耗和buff配置索引'!BL:BL,MATCH($F504,'#建筑消耗和buff配置索引'!$M:$M,0)))</f>
        <v/>
      </c>
      <c r="AV504" s="133" t="str">
        <f>IF(INDEX('#建筑消耗和buff配置索引'!BO:BO,MATCH($F504,'#建筑消耗和buff配置索引'!$M:$M,0))=0,"",INDEX('#建筑消耗和buff配置索引'!BO:BO,MATCH($F504,'#建筑消耗和buff配置索引'!$M:$M,0)))</f>
        <v/>
      </c>
      <c r="AW504" s="133" t="str">
        <f>IF(AV504="","",INDEX('#建筑消耗和buff配置索引'!BP:BP,MATCH($F504,'#建筑消耗和buff配置索引'!$M:$M,0)))</f>
        <v/>
      </c>
      <c r="AZ504" s="133" t="str">
        <f>IF(INDEX('#建筑消耗和buff配置索引'!BS:BS,MATCH($F504,'#建筑消耗和buff配置索引'!$M:$M,0))=0,"",INDEX('#建筑消耗和buff配置索引'!BS:BS,MATCH($F504,'#建筑消耗和buff配置索引'!$M:$M,0)))</f>
        <v/>
      </c>
      <c r="BA504" s="133" t="str">
        <f>IF(AZ504="","",INDEX('#建筑消耗和buff配置索引'!BT:BT,MATCH($F504,'#建筑消耗和buff配置索引'!$M:$M,0)))</f>
        <v/>
      </c>
      <c r="BD504" s="133" t="str">
        <f>IF(INDEX('#建筑消耗和buff配置索引'!BW:BW,MATCH($F504,'#建筑消耗和buff配置索引'!$M:$M,0))=0,"",INDEX('#建筑消耗和buff配置索引'!BW:BW,MATCH($F504,'#建筑消耗和buff配置索引'!$M:$M,0)))</f>
        <v/>
      </c>
      <c r="BE504" s="133" t="str">
        <f>IF(BD504="","",INDEX('#建筑消耗和buff配置索引'!BX:BX,MATCH($F504,'#建筑消耗和buff配置索引'!$M:$M,0)))</f>
        <v/>
      </c>
      <c r="BI504" s="133">
        <v>23</v>
      </c>
    </row>
    <row r="505" spans="1:61" s="133" customFormat="1">
      <c r="A505" s="133">
        <v>2310020</v>
      </c>
      <c r="B505" s="133">
        <v>502</v>
      </c>
      <c r="C505" s="133">
        <v>231</v>
      </c>
      <c r="D505" s="133" t="s">
        <v>591</v>
      </c>
      <c r="E505" s="133">
        <v>20</v>
      </c>
      <c r="F505" s="133" t="str">
        <f t="shared" si="8"/>
        <v>市集20</v>
      </c>
      <c r="H505" s="146"/>
      <c r="I505" s="133" t="s">
        <v>1205</v>
      </c>
      <c r="J505" s="150">
        <f>INDEX('#建筑消耗和buff配置索引'!AH:AH,MATCH($F505,'#建筑消耗和buff配置索引'!$M:$M,0))</f>
        <v>69120</v>
      </c>
      <c r="K505" s="150">
        <f>INDEX('#建筑消耗和buff配置索引'!AA:AA,MATCH($F505,'#建筑消耗和buff配置索引'!$M:$M,0))</f>
        <v>650000</v>
      </c>
      <c r="L505" s="150">
        <f>INDEX('#建筑消耗和buff配置索引'!AB:AB,MATCH($F505,'#建筑消耗和buff配置索引'!$M:$M,0))</f>
        <v>650000</v>
      </c>
      <c r="M505" s="150">
        <f>INDEX('#建筑消耗和buff配置索引'!AC:AC,MATCH($F505,'#建筑消耗和buff配置索引'!$M:$M,0))</f>
        <v>650000</v>
      </c>
      <c r="N505" s="150">
        <f>INDEX('#建筑消耗和buff配置索引'!AD:AD,MATCH($F505,'#建筑消耗和buff配置索引'!$M:$M,0))</f>
        <v>2000000</v>
      </c>
      <c r="O505" s="150" t="str">
        <f>IF(INDEX('#建筑消耗和buff配置索引'!T:T,MATCH($F505,'#建筑消耗和buff配置索引'!$M:$M,0))=0,"",INDEX('#建筑消耗和buff配置索引'!T:T,MATCH($F505,'#建筑消耗和buff配置索引'!$M:$M,0)))</f>
        <v/>
      </c>
      <c r="P505" s="133" t="str">
        <f>IF(INDEX('#建筑消耗和buff配置索引'!U:U,MATCH($F505,'#建筑消耗和buff配置索引'!$M:$M,0))=0,"",INDEX('#建筑消耗和buff配置索引'!U:U,MATCH($F505,'#建筑消耗和buff配置索引'!$M:$M,0)))</f>
        <v/>
      </c>
      <c r="Q505" s="133" t="str">
        <f>IF(INDEX('#建筑消耗和buff配置索引'!K:K,MATCH($F505,'#建筑消耗和buff配置索引'!$M:$M,0))=0,"",INDEX('#建筑消耗和buff配置索引'!K:K,MATCH($F505,'#建筑消耗和buff配置索引'!$M:$M,0)))</f>
        <v>201;400</v>
      </c>
      <c r="R505" s="133" t="str">
        <f>IF(INDEX('#建筑消耗和buff配置索引'!L:L,MATCH($F505,'#建筑消耗和buff配置索引'!$M:$M,0))=0,"",INDEX('#建筑消耗和buff配置索引'!L:L,MATCH($F505,'#建筑消耗和buff配置索引'!$M:$M,0)))</f>
        <v>20;20</v>
      </c>
      <c r="S505" s="133">
        <f>IF(INDEX('#建筑消耗和buff配置索引'!C:C,MATCH(F505,'#建筑消耗和buff配置索引'!M:M,0))=0,1,INDEX('#建筑消耗和buff配置索引'!C:C,MATCH(F505,'#建筑消耗和buff配置索引'!M:M,0)))</f>
        <v>2</v>
      </c>
      <c r="T505" s="133">
        <v>0</v>
      </c>
      <c r="U505" s="133">
        <v>0</v>
      </c>
      <c r="V505" s="133" t="str">
        <f>IF(E505=1,IF(INDEX('#建筑消耗和buff配置索引'!BY:BY,MATCH(D505,'#建筑消耗和buff配置索引'!A:A,0))=0,"",INDEX('#建筑消耗和buff配置索引'!BY:BY,MATCH(D505,'#建筑消耗和buff配置索引'!A:A,0))),"")</f>
        <v/>
      </c>
      <c r="W505" s="133" t="str">
        <f>IF(E505=1,IF(INDEX('#建筑消耗和buff配置索引'!BZ:BZ,MATCH(D505,'#建筑消耗和buff配置索引'!A:A,0))=0,"",INDEX('#建筑消耗和buff配置索引'!BZ:BZ,MATCH(D505,'#建筑消耗和buff配置索引'!A:A,0))),"")</f>
        <v/>
      </c>
      <c r="AA505" s="133">
        <f>INDEX('#建筑消耗和buff配置索引'!AO:AO,MATCH($F505,'#建筑消耗和buff配置索引'!$M:$M,0))</f>
        <v>33740</v>
      </c>
      <c r="AB505" s="133">
        <f>IF(INDEX('#建筑消耗和buff配置索引'!AR:AR,MATCH($F505,'#建筑消耗和buff配置索引'!$M:$M,0))=0,"",INDEX('#建筑消耗和buff配置索引'!AR:AR,MATCH($F505,'#建筑消耗和buff配置索引'!$M:$M,0)))</f>
        <v>1328</v>
      </c>
      <c r="AC505" s="133">
        <f>IF(AB505="","",INDEX('#建筑消耗和buff配置索引'!AS:AS,MATCH($F505,'#建筑消耗和buff配置索引'!$M:$M,0)))</f>
        <v>0.88500000000000001</v>
      </c>
      <c r="AF505" s="133">
        <f>IF(INDEX('#建筑消耗和buff配置索引'!AW:AW,MATCH($F505,'#建筑消耗和buff配置索引'!$M:$M,0))=0,"",INDEX('#建筑消耗和buff配置索引'!AW:AW,MATCH($F505,'#建筑消耗和buff配置索引'!$M:$M,0)))</f>
        <v>1329</v>
      </c>
      <c r="AG505" s="133">
        <f>IF(AF505="","",INDEX('#建筑消耗和buff配置索引'!AX:AX,MATCH($F505,'#建筑消耗和buff配置索引'!$M:$M,0)))</f>
        <v>1500000</v>
      </c>
      <c r="AJ505" s="133" t="str">
        <f>IF(INDEX('#建筑消耗和buff配置索引'!BB:BB,MATCH($F505,'#建筑消耗和buff配置索引'!$M:$M,0))=0,"",INDEX('#建筑消耗和buff配置索引'!BB:BB,MATCH($F505,'#建筑消耗和buff配置索引'!$M:$M,0)))</f>
        <v/>
      </c>
      <c r="AK505" s="133" t="str">
        <f>IF(AJ505="","",INDEX('#建筑消耗和buff配置索引'!BC:BC,MATCH($F505,'#建筑消耗和buff配置索引'!$M:$M,0)))</f>
        <v/>
      </c>
      <c r="AN505" s="133" t="str">
        <f>IF(INDEX('#建筑消耗和buff配置索引'!BG:BG,MATCH($F505,'#建筑消耗和buff配置索引'!$M:$M,0))=0,"",INDEX('#建筑消耗和buff配置索引'!BG:BG,MATCH($F505,'#建筑消耗和buff配置索引'!$M:$M,0)))</f>
        <v/>
      </c>
      <c r="AO505" s="133" t="str">
        <f>IF(AN505="","",INDEX('#建筑消耗和buff配置索引'!BH:BH,MATCH($F505,'#建筑消耗和buff配置索引'!$M:$M,0)))</f>
        <v/>
      </c>
      <c r="AR505" s="133" t="str">
        <f>IF(INDEX('#建筑消耗和buff配置索引'!BK:BK,MATCH($F505,'#建筑消耗和buff配置索引'!$M:$M,0))=0,"",INDEX('#建筑消耗和buff配置索引'!BK:BK,MATCH($F505,'#建筑消耗和buff配置索引'!$M:$M,0)))</f>
        <v/>
      </c>
      <c r="AS505" s="133" t="str">
        <f>IF(AR505="","",INDEX('#建筑消耗和buff配置索引'!BL:BL,MATCH($F505,'#建筑消耗和buff配置索引'!$M:$M,0)))</f>
        <v/>
      </c>
      <c r="AV505" s="133" t="str">
        <f>IF(INDEX('#建筑消耗和buff配置索引'!BO:BO,MATCH($F505,'#建筑消耗和buff配置索引'!$M:$M,0))=0,"",INDEX('#建筑消耗和buff配置索引'!BO:BO,MATCH($F505,'#建筑消耗和buff配置索引'!$M:$M,0)))</f>
        <v/>
      </c>
      <c r="AW505" s="133" t="str">
        <f>IF(AV505="","",INDEX('#建筑消耗和buff配置索引'!BP:BP,MATCH($F505,'#建筑消耗和buff配置索引'!$M:$M,0)))</f>
        <v/>
      </c>
      <c r="AZ505" s="133" t="str">
        <f>IF(INDEX('#建筑消耗和buff配置索引'!BS:BS,MATCH($F505,'#建筑消耗和buff配置索引'!$M:$M,0))=0,"",INDEX('#建筑消耗和buff配置索引'!BS:BS,MATCH($F505,'#建筑消耗和buff配置索引'!$M:$M,0)))</f>
        <v/>
      </c>
      <c r="BA505" s="133" t="str">
        <f>IF(AZ505="","",INDEX('#建筑消耗和buff配置索引'!BT:BT,MATCH($F505,'#建筑消耗和buff配置索引'!$M:$M,0)))</f>
        <v/>
      </c>
      <c r="BD505" s="133" t="str">
        <f>IF(INDEX('#建筑消耗和buff配置索引'!BW:BW,MATCH($F505,'#建筑消耗和buff配置索引'!$M:$M,0))=0,"",INDEX('#建筑消耗和buff配置索引'!BW:BW,MATCH($F505,'#建筑消耗和buff配置索引'!$M:$M,0)))</f>
        <v/>
      </c>
      <c r="BE505" s="133" t="str">
        <f>IF(BD505="","",INDEX('#建筑消耗和buff配置索引'!BX:BX,MATCH($F505,'#建筑消耗和buff配置索引'!$M:$M,0)))</f>
        <v/>
      </c>
      <c r="BI505" s="133">
        <v>23</v>
      </c>
    </row>
    <row r="506" spans="1:61" s="133" customFormat="1">
      <c r="A506" s="133">
        <v>2310021</v>
      </c>
      <c r="B506" s="133">
        <v>503</v>
      </c>
      <c r="C506" s="133">
        <v>231</v>
      </c>
      <c r="D506" s="133" t="s">
        <v>591</v>
      </c>
      <c r="E506" s="133">
        <v>21</v>
      </c>
      <c r="F506" s="133" t="str">
        <f t="shared" si="8"/>
        <v>市集21</v>
      </c>
      <c r="H506" s="146"/>
      <c r="I506" s="133" t="s">
        <v>1205</v>
      </c>
      <c r="J506" s="150">
        <f>INDEX('#建筑消耗和buff配置索引'!AH:AH,MATCH($F506,'#建筑消耗和buff配置索引'!$M:$M,0))</f>
        <v>92160</v>
      </c>
      <c r="K506" s="150">
        <f>INDEX('#建筑消耗和buff配置索引'!AA:AA,MATCH($F506,'#建筑消耗和buff配置索引'!$M:$M,0))</f>
        <v>840000</v>
      </c>
      <c r="L506" s="150">
        <f>INDEX('#建筑消耗和buff配置索引'!AB:AB,MATCH($F506,'#建筑消耗和buff配置索引'!$M:$M,0))</f>
        <v>840000</v>
      </c>
      <c r="M506" s="150">
        <f>INDEX('#建筑消耗和buff配置索引'!AC:AC,MATCH($F506,'#建筑消耗和buff配置索引'!$M:$M,0))</f>
        <v>840000</v>
      </c>
      <c r="N506" s="150">
        <f>INDEX('#建筑消耗和buff配置索引'!AD:AD,MATCH($F506,'#建筑消耗和buff配置索引'!$M:$M,0))</f>
        <v>2500000</v>
      </c>
      <c r="O506" s="150" t="str">
        <f>IF(INDEX('#建筑消耗和buff配置索引'!T:T,MATCH($F506,'#建筑消耗和buff配置索引'!$M:$M,0))=0,"",INDEX('#建筑消耗和buff配置索引'!T:T,MATCH($F506,'#建筑消耗和buff配置索引'!$M:$M,0)))</f>
        <v/>
      </c>
      <c r="P506" s="133" t="str">
        <f>IF(INDEX('#建筑消耗和buff配置索引'!U:U,MATCH($F506,'#建筑消耗和buff配置索引'!$M:$M,0))=0,"",INDEX('#建筑消耗和buff配置索引'!U:U,MATCH($F506,'#建筑消耗和buff配置索引'!$M:$M,0)))</f>
        <v/>
      </c>
      <c r="Q506" s="133" t="str">
        <f>IF(INDEX('#建筑消耗和buff配置索引'!K:K,MATCH($F506,'#建筑消耗和buff配置索引'!$M:$M,0))=0,"",INDEX('#建筑消耗和buff配置索引'!K:K,MATCH($F506,'#建筑消耗和buff配置索引'!$M:$M,0)))</f>
        <v>201;400</v>
      </c>
      <c r="R506" s="133" t="str">
        <f>IF(INDEX('#建筑消耗和buff配置索引'!L:L,MATCH($F506,'#建筑消耗和buff配置索引'!$M:$M,0))=0,"",INDEX('#建筑消耗和buff配置索引'!L:L,MATCH($F506,'#建筑消耗和buff配置索引'!$M:$M,0)))</f>
        <v>21;21</v>
      </c>
      <c r="S506" s="133">
        <f>IF(INDEX('#建筑消耗和buff配置索引'!C:C,MATCH(F506,'#建筑消耗和buff配置索引'!M:M,0))=0,1,INDEX('#建筑消耗和buff配置索引'!C:C,MATCH(F506,'#建筑消耗和buff配置索引'!M:M,0)))</f>
        <v>2</v>
      </c>
      <c r="T506" s="133">
        <v>0</v>
      </c>
      <c r="U506" s="133">
        <v>0</v>
      </c>
      <c r="V506" s="133" t="str">
        <f>IF(E506=1,IF(INDEX('#建筑消耗和buff配置索引'!BY:BY,MATCH(D506,'#建筑消耗和buff配置索引'!A:A,0))=0,"",INDEX('#建筑消耗和buff配置索引'!BY:BY,MATCH(D506,'#建筑消耗和buff配置索引'!A:A,0))),"")</f>
        <v/>
      </c>
      <c r="W506" s="133" t="str">
        <f>IF(E506=1,IF(INDEX('#建筑消耗和buff配置索引'!BZ:BZ,MATCH(D506,'#建筑消耗和buff配置索引'!A:A,0))=0,"",INDEX('#建筑消耗和buff配置索引'!BZ:BZ,MATCH(D506,'#建筑消耗和buff配置索引'!A:A,0))),"")</f>
        <v/>
      </c>
      <c r="AA506" s="133">
        <f>INDEX('#建筑消耗和buff配置索引'!AO:AO,MATCH($F506,'#建筑消耗和buff配置索引'!$M:$M,0))</f>
        <v>43791</v>
      </c>
      <c r="AB506" s="133">
        <f>IF(INDEX('#建筑消耗和buff配置索引'!AR:AR,MATCH($F506,'#建筑消耗和buff配置索引'!$M:$M,0))=0,"",INDEX('#建筑消耗和buff配置索引'!AR:AR,MATCH($F506,'#建筑消耗和buff配置索引'!$M:$M,0)))</f>
        <v>1328</v>
      </c>
      <c r="AC506" s="133">
        <f>IF(AB506="","",INDEX('#建筑消耗和buff配置索引'!AS:AS,MATCH($F506,'#建筑消耗和buff配置索引'!$M:$M,0)))</f>
        <v>0.89600000000000002</v>
      </c>
      <c r="AF506" s="133">
        <f>IF(INDEX('#建筑消耗和buff配置索引'!AW:AW,MATCH($F506,'#建筑消耗和buff配置索引'!$M:$M,0))=0,"",INDEX('#建筑消耗和buff配置索引'!AW:AW,MATCH($F506,'#建筑消耗和buff配置索引'!$M:$M,0)))</f>
        <v>1329</v>
      </c>
      <c r="AG506" s="133">
        <f>IF(AF506="","",INDEX('#建筑消耗和buff配置索引'!AX:AX,MATCH($F506,'#建筑消耗和buff配置索引'!$M:$M,0)))</f>
        <v>1620000</v>
      </c>
      <c r="AJ506" s="133" t="str">
        <f>IF(INDEX('#建筑消耗和buff配置索引'!BB:BB,MATCH($F506,'#建筑消耗和buff配置索引'!$M:$M,0))=0,"",INDEX('#建筑消耗和buff配置索引'!BB:BB,MATCH($F506,'#建筑消耗和buff配置索引'!$M:$M,0)))</f>
        <v/>
      </c>
      <c r="AK506" s="133" t="str">
        <f>IF(AJ506="","",INDEX('#建筑消耗和buff配置索引'!BC:BC,MATCH($F506,'#建筑消耗和buff配置索引'!$M:$M,0)))</f>
        <v/>
      </c>
      <c r="AN506" s="133" t="str">
        <f>IF(INDEX('#建筑消耗和buff配置索引'!BG:BG,MATCH($F506,'#建筑消耗和buff配置索引'!$M:$M,0))=0,"",INDEX('#建筑消耗和buff配置索引'!BG:BG,MATCH($F506,'#建筑消耗和buff配置索引'!$M:$M,0)))</f>
        <v/>
      </c>
      <c r="AO506" s="133" t="str">
        <f>IF(AN506="","",INDEX('#建筑消耗和buff配置索引'!BH:BH,MATCH($F506,'#建筑消耗和buff配置索引'!$M:$M,0)))</f>
        <v/>
      </c>
      <c r="AR506" s="133" t="str">
        <f>IF(INDEX('#建筑消耗和buff配置索引'!BK:BK,MATCH($F506,'#建筑消耗和buff配置索引'!$M:$M,0))=0,"",INDEX('#建筑消耗和buff配置索引'!BK:BK,MATCH($F506,'#建筑消耗和buff配置索引'!$M:$M,0)))</f>
        <v/>
      </c>
      <c r="AS506" s="133" t="str">
        <f>IF(AR506="","",INDEX('#建筑消耗和buff配置索引'!BL:BL,MATCH($F506,'#建筑消耗和buff配置索引'!$M:$M,0)))</f>
        <v/>
      </c>
      <c r="AV506" s="133" t="str">
        <f>IF(INDEX('#建筑消耗和buff配置索引'!BO:BO,MATCH($F506,'#建筑消耗和buff配置索引'!$M:$M,0))=0,"",INDEX('#建筑消耗和buff配置索引'!BO:BO,MATCH($F506,'#建筑消耗和buff配置索引'!$M:$M,0)))</f>
        <v/>
      </c>
      <c r="AW506" s="133" t="str">
        <f>IF(AV506="","",INDEX('#建筑消耗和buff配置索引'!BP:BP,MATCH($F506,'#建筑消耗和buff配置索引'!$M:$M,0)))</f>
        <v/>
      </c>
      <c r="AZ506" s="133" t="str">
        <f>IF(INDEX('#建筑消耗和buff配置索引'!BS:BS,MATCH($F506,'#建筑消耗和buff配置索引'!$M:$M,0))=0,"",INDEX('#建筑消耗和buff配置索引'!BS:BS,MATCH($F506,'#建筑消耗和buff配置索引'!$M:$M,0)))</f>
        <v/>
      </c>
      <c r="BA506" s="133" t="str">
        <f>IF(AZ506="","",INDEX('#建筑消耗和buff配置索引'!BT:BT,MATCH($F506,'#建筑消耗和buff配置索引'!$M:$M,0)))</f>
        <v/>
      </c>
      <c r="BD506" s="133" t="str">
        <f>IF(INDEX('#建筑消耗和buff配置索引'!BW:BW,MATCH($F506,'#建筑消耗和buff配置索引'!$M:$M,0))=0,"",INDEX('#建筑消耗和buff配置索引'!BW:BW,MATCH($F506,'#建筑消耗和buff配置索引'!$M:$M,0)))</f>
        <v/>
      </c>
      <c r="BE506" s="133" t="str">
        <f>IF(BD506="","",INDEX('#建筑消耗和buff配置索引'!BX:BX,MATCH($F506,'#建筑消耗和buff配置索引'!$M:$M,0)))</f>
        <v/>
      </c>
      <c r="BI506" s="133">
        <v>23</v>
      </c>
    </row>
    <row r="507" spans="1:61" s="133" customFormat="1">
      <c r="A507" s="133">
        <v>2310022</v>
      </c>
      <c r="B507" s="133">
        <v>504</v>
      </c>
      <c r="C507" s="133">
        <v>231</v>
      </c>
      <c r="D507" s="133" t="s">
        <v>591</v>
      </c>
      <c r="E507" s="133">
        <v>22</v>
      </c>
      <c r="F507" s="133" t="str">
        <f t="shared" si="8"/>
        <v>市集22</v>
      </c>
      <c r="H507" s="146"/>
      <c r="I507" s="133" t="s">
        <v>1205</v>
      </c>
      <c r="J507" s="150">
        <f>INDEX('#建筑消耗和buff配置索引'!AH:AH,MATCH($F507,'#建筑消耗和buff配置索引'!$M:$M,0))</f>
        <v>120960</v>
      </c>
      <c r="K507" s="150">
        <f>INDEX('#建筑消耗和buff配置索引'!AA:AA,MATCH($F507,'#建筑消耗和buff配置索引'!$M:$M,0))</f>
        <v>1100000</v>
      </c>
      <c r="L507" s="150">
        <f>INDEX('#建筑消耗和buff配置索引'!AB:AB,MATCH($F507,'#建筑消耗和buff配置索引'!$M:$M,0))</f>
        <v>1100000</v>
      </c>
      <c r="M507" s="150">
        <f>INDEX('#建筑消耗和buff配置索引'!AC:AC,MATCH($F507,'#建筑消耗和buff配置索引'!$M:$M,0))</f>
        <v>1100000</v>
      </c>
      <c r="N507" s="150">
        <f>INDEX('#建筑消耗和buff配置索引'!AD:AD,MATCH($F507,'#建筑消耗和buff配置索引'!$M:$M,0))</f>
        <v>3200000</v>
      </c>
      <c r="O507" s="150" t="str">
        <f>IF(INDEX('#建筑消耗和buff配置索引'!T:T,MATCH($F507,'#建筑消耗和buff配置索引'!$M:$M,0))=0,"",INDEX('#建筑消耗和buff配置索引'!T:T,MATCH($F507,'#建筑消耗和buff配置索引'!$M:$M,0)))</f>
        <v/>
      </c>
      <c r="P507" s="133" t="str">
        <f>IF(INDEX('#建筑消耗和buff配置索引'!U:U,MATCH($F507,'#建筑消耗和buff配置索引'!$M:$M,0))=0,"",INDEX('#建筑消耗和buff配置索引'!U:U,MATCH($F507,'#建筑消耗和buff配置索引'!$M:$M,0)))</f>
        <v/>
      </c>
      <c r="Q507" s="133" t="str">
        <f>IF(INDEX('#建筑消耗和buff配置索引'!K:K,MATCH($F507,'#建筑消耗和buff配置索引'!$M:$M,0))=0,"",INDEX('#建筑消耗和buff配置索引'!K:K,MATCH($F507,'#建筑消耗和buff配置索引'!$M:$M,0)))</f>
        <v>201;400</v>
      </c>
      <c r="R507" s="133" t="str">
        <f>IF(INDEX('#建筑消耗和buff配置索引'!L:L,MATCH($F507,'#建筑消耗和buff配置索引'!$M:$M,0))=0,"",INDEX('#建筑消耗和buff配置索引'!L:L,MATCH($F507,'#建筑消耗和buff配置索引'!$M:$M,0)))</f>
        <v>22;22</v>
      </c>
      <c r="S507" s="133">
        <f>IF(INDEX('#建筑消耗和buff配置索引'!C:C,MATCH(F507,'#建筑消耗和buff配置索引'!M:M,0))=0,1,INDEX('#建筑消耗和buff配置索引'!C:C,MATCH(F507,'#建筑消耗和buff配置索引'!M:M,0)))</f>
        <v>2</v>
      </c>
      <c r="T507" s="133">
        <v>0</v>
      </c>
      <c r="U507" s="133">
        <v>0</v>
      </c>
      <c r="V507" s="133" t="str">
        <f>IF(E507=1,IF(INDEX('#建筑消耗和buff配置索引'!BY:BY,MATCH(D507,'#建筑消耗和buff配置索引'!A:A,0))=0,"",INDEX('#建筑消耗和buff配置索引'!BY:BY,MATCH(D507,'#建筑消耗和buff配置索引'!A:A,0))),"")</f>
        <v/>
      </c>
      <c r="W507" s="133" t="str">
        <f>IF(E507=1,IF(INDEX('#建筑消耗和buff配置索引'!BZ:BZ,MATCH(D507,'#建筑消耗和buff配置索引'!A:A,0))=0,"",INDEX('#建筑消耗和buff配置索引'!BZ:BZ,MATCH(D507,'#建筑消耗和buff配置索引'!A:A,0))),"")</f>
        <v/>
      </c>
      <c r="AA507" s="133">
        <f>INDEX('#建筑消耗和buff配置索引'!AO:AO,MATCH($F507,'#建筑消耗和buff配置索引'!$M:$M,0))</f>
        <v>56656</v>
      </c>
      <c r="AB507" s="133">
        <f>IF(INDEX('#建筑消耗和buff配置索引'!AR:AR,MATCH($F507,'#建筑消耗和buff配置索引'!$M:$M,0))=0,"",INDEX('#建筑消耗和buff配置索引'!AR:AR,MATCH($F507,'#建筑消耗和buff配置索引'!$M:$M,0)))</f>
        <v>1328</v>
      </c>
      <c r="AC507" s="133">
        <f>IF(AB507="","",INDEX('#建筑消耗和buff配置索引'!AS:AS,MATCH($F507,'#建筑消耗和buff配置索引'!$M:$M,0)))</f>
        <v>0.90700000000000003</v>
      </c>
      <c r="AF507" s="133">
        <f>IF(INDEX('#建筑消耗和buff配置索引'!AW:AW,MATCH($F507,'#建筑消耗和buff配置索引'!$M:$M,0))=0,"",INDEX('#建筑消耗和buff配置索引'!AW:AW,MATCH($F507,'#建筑消耗和buff配置索引'!$M:$M,0)))</f>
        <v>1329</v>
      </c>
      <c r="AG507" s="133">
        <f>IF(AF507="","",INDEX('#建筑消耗和buff配置索引'!AX:AX,MATCH($F507,'#建筑消耗和buff配置索引'!$M:$M,0)))</f>
        <v>1740000</v>
      </c>
      <c r="AJ507" s="133" t="str">
        <f>IF(INDEX('#建筑消耗和buff配置索引'!BB:BB,MATCH($F507,'#建筑消耗和buff配置索引'!$M:$M,0))=0,"",INDEX('#建筑消耗和buff配置索引'!BB:BB,MATCH($F507,'#建筑消耗和buff配置索引'!$M:$M,0)))</f>
        <v/>
      </c>
      <c r="AK507" s="133" t="str">
        <f>IF(AJ507="","",INDEX('#建筑消耗和buff配置索引'!BC:BC,MATCH($F507,'#建筑消耗和buff配置索引'!$M:$M,0)))</f>
        <v/>
      </c>
      <c r="AN507" s="133" t="str">
        <f>IF(INDEX('#建筑消耗和buff配置索引'!BG:BG,MATCH($F507,'#建筑消耗和buff配置索引'!$M:$M,0))=0,"",INDEX('#建筑消耗和buff配置索引'!BG:BG,MATCH($F507,'#建筑消耗和buff配置索引'!$M:$M,0)))</f>
        <v/>
      </c>
      <c r="AO507" s="133" t="str">
        <f>IF(AN507="","",INDEX('#建筑消耗和buff配置索引'!BH:BH,MATCH($F507,'#建筑消耗和buff配置索引'!$M:$M,0)))</f>
        <v/>
      </c>
      <c r="AR507" s="133" t="str">
        <f>IF(INDEX('#建筑消耗和buff配置索引'!BK:BK,MATCH($F507,'#建筑消耗和buff配置索引'!$M:$M,0))=0,"",INDEX('#建筑消耗和buff配置索引'!BK:BK,MATCH($F507,'#建筑消耗和buff配置索引'!$M:$M,0)))</f>
        <v/>
      </c>
      <c r="AS507" s="133" t="str">
        <f>IF(AR507="","",INDEX('#建筑消耗和buff配置索引'!BL:BL,MATCH($F507,'#建筑消耗和buff配置索引'!$M:$M,0)))</f>
        <v/>
      </c>
      <c r="AV507" s="133" t="str">
        <f>IF(INDEX('#建筑消耗和buff配置索引'!BO:BO,MATCH($F507,'#建筑消耗和buff配置索引'!$M:$M,0))=0,"",INDEX('#建筑消耗和buff配置索引'!BO:BO,MATCH($F507,'#建筑消耗和buff配置索引'!$M:$M,0)))</f>
        <v/>
      </c>
      <c r="AW507" s="133" t="str">
        <f>IF(AV507="","",INDEX('#建筑消耗和buff配置索引'!BP:BP,MATCH($F507,'#建筑消耗和buff配置索引'!$M:$M,0)))</f>
        <v/>
      </c>
      <c r="AZ507" s="133" t="str">
        <f>IF(INDEX('#建筑消耗和buff配置索引'!BS:BS,MATCH($F507,'#建筑消耗和buff配置索引'!$M:$M,0))=0,"",INDEX('#建筑消耗和buff配置索引'!BS:BS,MATCH($F507,'#建筑消耗和buff配置索引'!$M:$M,0)))</f>
        <v/>
      </c>
      <c r="BA507" s="133" t="str">
        <f>IF(AZ507="","",INDEX('#建筑消耗和buff配置索引'!BT:BT,MATCH($F507,'#建筑消耗和buff配置索引'!$M:$M,0)))</f>
        <v/>
      </c>
      <c r="BD507" s="133" t="str">
        <f>IF(INDEX('#建筑消耗和buff配置索引'!BW:BW,MATCH($F507,'#建筑消耗和buff配置索引'!$M:$M,0))=0,"",INDEX('#建筑消耗和buff配置索引'!BW:BW,MATCH($F507,'#建筑消耗和buff配置索引'!$M:$M,0)))</f>
        <v/>
      </c>
      <c r="BE507" s="133" t="str">
        <f>IF(BD507="","",INDEX('#建筑消耗和buff配置索引'!BX:BX,MATCH($F507,'#建筑消耗和buff配置索引'!$M:$M,0)))</f>
        <v/>
      </c>
      <c r="BI507" s="133">
        <v>23</v>
      </c>
    </row>
    <row r="508" spans="1:61" s="133" customFormat="1">
      <c r="A508" s="133">
        <v>2310023</v>
      </c>
      <c r="B508" s="133">
        <v>505</v>
      </c>
      <c r="C508" s="133">
        <v>231</v>
      </c>
      <c r="D508" s="133" t="s">
        <v>591</v>
      </c>
      <c r="E508" s="133">
        <v>23</v>
      </c>
      <c r="F508" s="133" t="str">
        <f t="shared" si="8"/>
        <v>市集23</v>
      </c>
      <c r="H508" s="146"/>
      <c r="I508" s="133" t="s">
        <v>1205</v>
      </c>
      <c r="J508" s="150">
        <f>INDEX('#建筑消耗和buff配置索引'!AH:AH,MATCH($F508,'#建筑消耗和buff配置索引'!$M:$M,0))</f>
        <v>155520</v>
      </c>
      <c r="K508" s="150">
        <f>INDEX('#建筑消耗和buff配置索引'!AA:AA,MATCH($F508,'#建筑消耗和buff配置索引'!$M:$M,0))</f>
        <v>1400000</v>
      </c>
      <c r="L508" s="150">
        <f>INDEX('#建筑消耗和buff配置索引'!AB:AB,MATCH($F508,'#建筑消耗和buff配置索引'!$M:$M,0))</f>
        <v>1400000</v>
      </c>
      <c r="M508" s="150">
        <f>INDEX('#建筑消耗和buff配置索引'!AC:AC,MATCH($F508,'#建筑消耗和buff配置索引'!$M:$M,0))</f>
        <v>1400000</v>
      </c>
      <c r="N508" s="150">
        <f>INDEX('#建筑消耗和buff配置索引'!AD:AD,MATCH($F508,'#建筑消耗和buff配置索引'!$M:$M,0))</f>
        <v>4100000</v>
      </c>
      <c r="O508" s="150" t="str">
        <f>IF(INDEX('#建筑消耗和buff配置索引'!T:T,MATCH($F508,'#建筑消耗和buff配置索引'!$M:$M,0))=0,"",INDEX('#建筑消耗和buff配置索引'!T:T,MATCH($F508,'#建筑消耗和buff配置索引'!$M:$M,0)))</f>
        <v/>
      </c>
      <c r="P508" s="133" t="str">
        <f>IF(INDEX('#建筑消耗和buff配置索引'!U:U,MATCH($F508,'#建筑消耗和buff配置索引'!$M:$M,0))=0,"",INDEX('#建筑消耗和buff配置索引'!U:U,MATCH($F508,'#建筑消耗和buff配置索引'!$M:$M,0)))</f>
        <v/>
      </c>
      <c r="Q508" s="133" t="str">
        <f>IF(INDEX('#建筑消耗和buff配置索引'!K:K,MATCH($F508,'#建筑消耗和buff配置索引'!$M:$M,0))=0,"",INDEX('#建筑消耗和buff配置索引'!K:K,MATCH($F508,'#建筑消耗和buff配置索引'!$M:$M,0)))</f>
        <v>201;400</v>
      </c>
      <c r="R508" s="133" t="str">
        <f>IF(INDEX('#建筑消耗和buff配置索引'!L:L,MATCH($F508,'#建筑消耗和buff配置索引'!$M:$M,0))=0,"",INDEX('#建筑消耗和buff配置索引'!L:L,MATCH($F508,'#建筑消耗和buff配置索引'!$M:$M,0)))</f>
        <v>23;23</v>
      </c>
      <c r="S508" s="133">
        <f>IF(INDEX('#建筑消耗和buff配置索引'!C:C,MATCH(F508,'#建筑消耗和buff配置索引'!M:M,0))=0,1,INDEX('#建筑消耗和buff配置索引'!C:C,MATCH(F508,'#建筑消耗和buff配置索引'!M:M,0)))</f>
        <v>2</v>
      </c>
      <c r="T508" s="133">
        <v>0</v>
      </c>
      <c r="U508" s="133">
        <v>0</v>
      </c>
      <c r="V508" s="133" t="str">
        <f>IF(E508=1,IF(INDEX('#建筑消耗和buff配置索引'!BY:BY,MATCH(D508,'#建筑消耗和buff配置索引'!A:A,0))=0,"",INDEX('#建筑消耗和buff配置索引'!BY:BY,MATCH(D508,'#建筑消耗和buff配置索引'!A:A,0))),"")</f>
        <v/>
      </c>
      <c r="W508" s="133" t="str">
        <f>IF(E508=1,IF(INDEX('#建筑消耗和buff配置索引'!BZ:BZ,MATCH(D508,'#建筑消耗和buff配置索引'!A:A,0))=0,"",INDEX('#建筑消耗和buff配置索引'!BZ:BZ,MATCH(D508,'#建筑消耗和buff配置索引'!A:A,0))),"")</f>
        <v/>
      </c>
      <c r="AA508" s="133">
        <f>INDEX('#建筑消耗和buff配置索引'!AO:AO,MATCH($F508,'#建筑消耗和buff配置索引'!$M:$M,0))</f>
        <v>73122</v>
      </c>
      <c r="AB508" s="133">
        <f>IF(INDEX('#建筑消耗和buff配置索引'!AR:AR,MATCH($F508,'#建筑消耗和buff配置索引'!$M:$M,0))=0,"",INDEX('#建筑消耗和buff配置索引'!AR:AR,MATCH($F508,'#建筑消耗和buff配置索引'!$M:$M,0)))</f>
        <v>1328</v>
      </c>
      <c r="AC508" s="133">
        <f>IF(AB508="","",INDEX('#建筑消耗和buff配置索引'!AS:AS,MATCH($F508,'#建筑消耗和buff配置索引'!$M:$M,0)))</f>
        <v>0.91800000000000004</v>
      </c>
      <c r="AF508" s="133">
        <f>IF(INDEX('#建筑消耗和buff配置索引'!AW:AW,MATCH($F508,'#建筑消耗和buff配置索引'!$M:$M,0))=0,"",INDEX('#建筑消耗和buff配置索引'!AW:AW,MATCH($F508,'#建筑消耗和buff配置索引'!$M:$M,0)))</f>
        <v>1329</v>
      </c>
      <c r="AG508" s="133">
        <f>IF(AF508="","",INDEX('#建筑消耗和buff配置索引'!AX:AX,MATCH($F508,'#建筑消耗和buff配置索引'!$M:$M,0)))</f>
        <v>1860000</v>
      </c>
      <c r="AJ508" s="133" t="str">
        <f>IF(INDEX('#建筑消耗和buff配置索引'!BB:BB,MATCH($F508,'#建筑消耗和buff配置索引'!$M:$M,0))=0,"",INDEX('#建筑消耗和buff配置索引'!BB:BB,MATCH($F508,'#建筑消耗和buff配置索引'!$M:$M,0)))</f>
        <v/>
      </c>
      <c r="AK508" s="133" t="str">
        <f>IF(AJ508="","",INDEX('#建筑消耗和buff配置索引'!BC:BC,MATCH($F508,'#建筑消耗和buff配置索引'!$M:$M,0)))</f>
        <v/>
      </c>
      <c r="AN508" s="133" t="str">
        <f>IF(INDEX('#建筑消耗和buff配置索引'!BG:BG,MATCH($F508,'#建筑消耗和buff配置索引'!$M:$M,0))=0,"",INDEX('#建筑消耗和buff配置索引'!BG:BG,MATCH($F508,'#建筑消耗和buff配置索引'!$M:$M,0)))</f>
        <v/>
      </c>
      <c r="AO508" s="133" t="str">
        <f>IF(AN508="","",INDEX('#建筑消耗和buff配置索引'!BH:BH,MATCH($F508,'#建筑消耗和buff配置索引'!$M:$M,0)))</f>
        <v/>
      </c>
      <c r="AR508" s="133" t="str">
        <f>IF(INDEX('#建筑消耗和buff配置索引'!BK:BK,MATCH($F508,'#建筑消耗和buff配置索引'!$M:$M,0))=0,"",INDEX('#建筑消耗和buff配置索引'!BK:BK,MATCH($F508,'#建筑消耗和buff配置索引'!$M:$M,0)))</f>
        <v/>
      </c>
      <c r="AS508" s="133" t="str">
        <f>IF(AR508="","",INDEX('#建筑消耗和buff配置索引'!BL:BL,MATCH($F508,'#建筑消耗和buff配置索引'!$M:$M,0)))</f>
        <v/>
      </c>
      <c r="AV508" s="133" t="str">
        <f>IF(INDEX('#建筑消耗和buff配置索引'!BO:BO,MATCH($F508,'#建筑消耗和buff配置索引'!$M:$M,0))=0,"",INDEX('#建筑消耗和buff配置索引'!BO:BO,MATCH($F508,'#建筑消耗和buff配置索引'!$M:$M,0)))</f>
        <v/>
      </c>
      <c r="AW508" s="133" t="str">
        <f>IF(AV508="","",INDEX('#建筑消耗和buff配置索引'!BP:BP,MATCH($F508,'#建筑消耗和buff配置索引'!$M:$M,0)))</f>
        <v/>
      </c>
      <c r="AZ508" s="133" t="str">
        <f>IF(INDEX('#建筑消耗和buff配置索引'!BS:BS,MATCH($F508,'#建筑消耗和buff配置索引'!$M:$M,0))=0,"",INDEX('#建筑消耗和buff配置索引'!BS:BS,MATCH($F508,'#建筑消耗和buff配置索引'!$M:$M,0)))</f>
        <v/>
      </c>
      <c r="BA508" s="133" t="str">
        <f>IF(AZ508="","",INDEX('#建筑消耗和buff配置索引'!BT:BT,MATCH($F508,'#建筑消耗和buff配置索引'!$M:$M,0)))</f>
        <v/>
      </c>
      <c r="BD508" s="133" t="str">
        <f>IF(INDEX('#建筑消耗和buff配置索引'!BW:BW,MATCH($F508,'#建筑消耗和buff配置索引'!$M:$M,0))=0,"",INDEX('#建筑消耗和buff配置索引'!BW:BW,MATCH($F508,'#建筑消耗和buff配置索引'!$M:$M,0)))</f>
        <v/>
      </c>
      <c r="BE508" s="133" t="str">
        <f>IF(BD508="","",INDEX('#建筑消耗和buff配置索引'!BX:BX,MATCH($F508,'#建筑消耗和buff配置索引'!$M:$M,0)))</f>
        <v/>
      </c>
      <c r="BI508" s="133">
        <v>23</v>
      </c>
    </row>
    <row r="509" spans="1:61" s="133" customFormat="1">
      <c r="A509" s="133">
        <v>2310024</v>
      </c>
      <c r="B509" s="133">
        <v>506</v>
      </c>
      <c r="C509" s="133">
        <v>231</v>
      </c>
      <c r="D509" s="133" t="s">
        <v>591</v>
      </c>
      <c r="E509" s="133">
        <v>24</v>
      </c>
      <c r="F509" s="133" t="str">
        <f t="shared" si="8"/>
        <v>市集24</v>
      </c>
      <c r="H509" s="146"/>
      <c r="I509" s="133" t="s">
        <v>1205</v>
      </c>
      <c r="J509" s="150">
        <f>INDEX('#建筑消耗和buff配置索引'!AH:AH,MATCH($F509,'#建筑消耗和buff配置索引'!$M:$M,0))</f>
        <v>198720</v>
      </c>
      <c r="K509" s="150">
        <f>INDEX('#建筑消耗和buff配置索引'!AA:AA,MATCH($F509,'#建筑消耗和buff配置索引'!$M:$M,0))</f>
        <v>1800000</v>
      </c>
      <c r="L509" s="150">
        <f>INDEX('#建筑消耗和buff配置索引'!AB:AB,MATCH($F509,'#建筑消耗和buff配置索引'!$M:$M,0))</f>
        <v>1800000</v>
      </c>
      <c r="M509" s="150">
        <f>INDEX('#建筑消耗和buff配置索引'!AC:AC,MATCH($F509,'#建筑消耗和buff配置索引'!$M:$M,0))</f>
        <v>1800000</v>
      </c>
      <c r="N509" s="150">
        <f>INDEX('#建筑消耗和buff配置索引'!AD:AD,MATCH($F509,'#建筑消耗和buff配置索引'!$M:$M,0))</f>
        <v>5300000</v>
      </c>
      <c r="O509" s="150" t="str">
        <f>IF(INDEX('#建筑消耗和buff配置索引'!T:T,MATCH($F509,'#建筑消耗和buff配置索引'!$M:$M,0))=0,"",INDEX('#建筑消耗和buff配置索引'!T:T,MATCH($F509,'#建筑消耗和buff配置索引'!$M:$M,0)))</f>
        <v/>
      </c>
      <c r="P509" s="133" t="str">
        <f>IF(INDEX('#建筑消耗和buff配置索引'!U:U,MATCH($F509,'#建筑消耗和buff配置索引'!$M:$M,0))=0,"",INDEX('#建筑消耗和buff配置索引'!U:U,MATCH($F509,'#建筑消耗和buff配置索引'!$M:$M,0)))</f>
        <v/>
      </c>
      <c r="Q509" s="133" t="str">
        <f>IF(INDEX('#建筑消耗和buff配置索引'!K:K,MATCH($F509,'#建筑消耗和buff配置索引'!$M:$M,0))=0,"",INDEX('#建筑消耗和buff配置索引'!K:K,MATCH($F509,'#建筑消耗和buff配置索引'!$M:$M,0)))</f>
        <v>201;400</v>
      </c>
      <c r="R509" s="133" t="str">
        <f>IF(INDEX('#建筑消耗和buff配置索引'!L:L,MATCH($F509,'#建筑消耗和buff配置索引'!$M:$M,0))=0,"",INDEX('#建筑消耗和buff配置索引'!L:L,MATCH($F509,'#建筑消耗和buff配置索引'!$M:$M,0)))</f>
        <v>24;24</v>
      </c>
      <c r="S509" s="133">
        <f>IF(INDEX('#建筑消耗和buff配置索引'!C:C,MATCH(F509,'#建筑消耗和buff配置索引'!M:M,0))=0,1,INDEX('#建筑消耗和buff配置索引'!C:C,MATCH(F509,'#建筑消耗和buff配置索引'!M:M,0)))</f>
        <v>2</v>
      </c>
      <c r="T509" s="133">
        <v>0</v>
      </c>
      <c r="U509" s="133">
        <v>0</v>
      </c>
      <c r="V509" s="133" t="str">
        <f>IF(E509=1,IF(INDEX('#建筑消耗和buff配置索引'!BY:BY,MATCH(D509,'#建筑消耗和buff配置索引'!A:A,0))=0,"",INDEX('#建筑消耗和buff配置索引'!BY:BY,MATCH(D509,'#建筑消耗和buff配置索引'!A:A,0))),"")</f>
        <v/>
      </c>
      <c r="W509" s="133" t="str">
        <f>IF(E509=1,IF(INDEX('#建筑消耗和buff配置索引'!BZ:BZ,MATCH(D509,'#建筑消耗和buff配置索引'!A:A,0))=0,"",INDEX('#建筑消耗和buff配置索引'!BZ:BZ,MATCH(D509,'#建筑消耗和buff配置索引'!A:A,0))),"")</f>
        <v/>
      </c>
      <c r="AA509" s="133">
        <f>INDEX('#建筑消耗和buff配置索引'!AO:AO,MATCH($F509,'#建筑消耗和buff配置索引'!$M:$M,0))</f>
        <v>94200</v>
      </c>
      <c r="AB509" s="133">
        <f>IF(INDEX('#建筑消耗和buff配置索引'!AR:AR,MATCH($F509,'#建筑消耗和buff配置索引'!$M:$M,0))=0,"",INDEX('#建筑消耗和buff配置索引'!AR:AR,MATCH($F509,'#建筑消耗和buff配置索引'!$M:$M,0)))</f>
        <v>1328</v>
      </c>
      <c r="AC509" s="133">
        <f>IF(AB509="","",INDEX('#建筑消耗和buff配置索引'!AS:AS,MATCH($F509,'#建筑消耗和buff配置索引'!$M:$M,0)))</f>
        <v>0.92900000000000005</v>
      </c>
      <c r="AF509" s="133">
        <f>IF(INDEX('#建筑消耗和buff配置索引'!AW:AW,MATCH($F509,'#建筑消耗和buff配置索引'!$M:$M,0))=0,"",INDEX('#建筑消耗和buff配置索引'!AW:AW,MATCH($F509,'#建筑消耗和buff配置索引'!$M:$M,0)))</f>
        <v>1329</v>
      </c>
      <c r="AG509" s="133">
        <f>IF(AF509="","",INDEX('#建筑消耗和buff配置索引'!AX:AX,MATCH($F509,'#建筑消耗和buff配置索引'!$M:$M,0)))</f>
        <v>1980000</v>
      </c>
      <c r="AJ509" s="133" t="str">
        <f>IF(INDEX('#建筑消耗和buff配置索引'!BB:BB,MATCH($F509,'#建筑消耗和buff配置索引'!$M:$M,0))=0,"",INDEX('#建筑消耗和buff配置索引'!BB:BB,MATCH($F509,'#建筑消耗和buff配置索引'!$M:$M,0)))</f>
        <v/>
      </c>
      <c r="AK509" s="133" t="str">
        <f>IF(AJ509="","",INDEX('#建筑消耗和buff配置索引'!BC:BC,MATCH($F509,'#建筑消耗和buff配置索引'!$M:$M,0)))</f>
        <v/>
      </c>
      <c r="AN509" s="133" t="str">
        <f>IF(INDEX('#建筑消耗和buff配置索引'!BG:BG,MATCH($F509,'#建筑消耗和buff配置索引'!$M:$M,0))=0,"",INDEX('#建筑消耗和buff配置索引'!BG:BG,MATCH($F509,'#建筑消耗和buff配置索引'!$M:$M,0)))</f>
        <v/>
      </c>
      <c r="AO509" s="133" t="str">
        <f>IF(AN509="","",INDEX('#建筑消耗和buff配置索引'!BH:BH,MATCH($F509,'#建筑消耗和buff配置索引'!$M:$M,0)))</f>
        <v/>
      </c>
      <c r="AR509" s="133" t="str">
        <f>IF(INDEX('#建筑消耗和buff配置索引'!BK:BK,MATCH($F509,'#建筑消耗和buff配置索引'!$M:$M,0))=0,"",INDEX('#建筑消耗和buff配置索引'!BK:BK,MATCH($F509,'#建筑消耗和buff配置索引'!$M:$M,0)))</f>
        <v/>
      </c>
      <c r="AS509" s="133" t="str">
        <f>IF(AR509="","",INDEX('#建筑消耗和buff配置索引'!BL:BL,MATCH($F509,'#建筑消耗和buff配置索引'!$M:$M,0)))</f>
        <v/>
      </c>
      <c r="AV509" s="133" t="str">
        <f>IF(INDEX('#建筑消耗和buff配置索引'!BO:BO,MATCH($F509,'#建筑消耗和buff配置索引'!$M:$M,0))=0,"",INDEX('#建筑消耗和buff配置索引'!BO:BO,MATCH($F509,'#建筑消耗和buff配置索引'!$M:$M,0)))</f>
        <v/>
      </c>
      <c r="AW509" s="133" t="str">
        <f>IF(AV509="","",INDEX('#建筑消耗和buff配置索引'!BP:BP,MATCH($F509,'#建筑消耗和buff配置索引'!$M:$M,0)))</f>
        <v/>
      </c>
      <c r="AZ509" s="133" t="str">
        <f>IF(INDEX('#建筑消耗和buff配置索引'!BS:BS,MATCH($F509,'#建筑消耗和buff配置索引'!$M:$M,0))=0,"",INDEX('#建筑消耗和buff配置索引'!BS:BS,MATCH($F509,'#建筑消耗和buff配置索引'!$M:$M,0)))</f>
        <v/>
      </c>
      <c r="BA509" s="133" t="str">
        <f>IF(AZ509="","",INDEX('#建筑消耗和buff配置索引'!BT:BT,MATCH($F509,'#建筑消耗和buff配置索引'!$M:$M,0)))</f>
        <v/>
      </c>
      <c r="BD509" s="133" t="str">
        <f>IF(INDEX('#建筑消耗和buff配置索引'!BW:BW,MATCH($F509,'#建筑消耗和buff配置索引'!$M:$M,0))=0,"",INDEX('#建筑消耗和buff配置索引'!BW:BW,MATCH($F509,'#建筑消耗和buff配置索引'!$M:$M,0)))</f>
        <v/>
      </c>
      <c r="BE509" s="133" t="str">
        <f>IF(BD509="","",INDEX('#建筑消耗和buff配置索引'!BX:BX,MATCH($F509,'#建筑消耗和buff配置索引'!$M:$M,0)))</f>
        <v/>
      </c>
      <c r="BI509" s="133">
        <v>23</v>
      </c>
    </row>
    <row r="510" spans="1:61" s="133" customFormat="1">
      <c r="A510" s="133">
        <v>2310025</v>
      </c>
      <c r="B510" s="133">
        <v>507</v>
      </c>
      <c r="C510" s="133">
        <v>231</v>
      </c>
      <c r="D510" s="133" t="s">
        <v>591</v>
      </c>
      <c r="E510" s="133">
        <v>25</v>
      </c>
      <c r="F510" s="133" t="str">
        <f t="shared" si="8"/>
        <v>市集25</v>
      </c>
      <c r="H510" s="146"/>
      <c r="I510" s="133" t="s">
        <v>1205</v>
      </c>
      <c r="J510" s="150">
        <f>INDEX('#建筑消耗和buff配置索引'!AH:AH,MATCH($F510,'#建筑消耗和buff配置索引'!$M:$M,0))</f>
        <v>250560</v>
      </c>
      <c r="K510" s="150">
        <f>INDEX('#建筑消耗和buff配置索引'!AA:AA,MATCH($F510,'#建筑消耗和buff配置索引'!$M:$M,0))</f>
        <v>2200000</v>
      </c>
      <c r="L510" s="150">
        <f>INDEX('#建筑消耗和buff配置索引'!AB:AB,MATCH($F510,'#建筑消耗和buff配置索引'!$M:$M,0))</f>
        <v>2200000</v>
      </c>
      <c r="M510" s="150">
        <f>INDEX('#建筑消耗和buff配置索引'!AC:AC,MATCH($F510,'#建筑消耗和buff配置索引'!$M:$M,0))</f>
        <v>2200000</v>
      </c>
      <c r="N510" s="150">
        <f>INDEX('#建筑消耗和buff配置索引'!AD:AD,MATCH($F510,'#建筑消耗和buff配置索引'!$M:$M,0))</f>
        <v>6700000</v>
      </c>
      <c r="O510" s="150" t="str">
        <f>IF(INDEX('#建筑消耗和buff配置索引'!T:T,MATCH($F510,'#建筑消耗和buff配置索引'!$M:$M,0))=0,"",INDEX('#建筑消耗和buff配置索引'!T:T,MATCH($F510,'#建筑消耗和buff配置索引'!$M:$M,0)))</f>
        <v/>
      </c>
      <c r="P510" s="133" t="str">
        <f>IF(INDEX('#建筑消耗和buff配置索引'!U:U,MATCH($F510,'#建筑消耗和buff配置索引'!$M:$M,0))=0,"",INDEX('#建筑消耗和buff配置索引'!U:U,MATCH($F510,'#建筑消耗和buff配置索引'!$M:$M,0)))</f>
        <v/>
      </c>
      <c r="Q510" s="133" t="str">
        <f>IF(INDEX('#建筑消耗和buff配置索引'!K:K,MATCH($F510,'#建筑消耗和buff配置索引'!$M:$M,0))=0,"",INDEX('#建筑消耗和buff配置索引'!K:K,MATCH($F510,'#建筑消耗和buff配置索引'!$M:$M,0)))</f>
        <v>201;400</v>
      </c>
      <c r="R510" s="133" t="str">
        <f>IF(INDEX('#建筑消耗和buff配置索引'!L:L,MATCH($F510,'#建筑消耗和buff配置索引'!$M:$M,0))=0,"",INDEX('#建筑消耗和buff配置索引'!L:L,MATCH($F510,'#建筑消耗和buff配置索引'!$M:$M,0)))</f>
        <v>25;25</v>
      </c>
      <c r="S510" s="133">
        <f>IF(INDEX('#建筑消耗和buff配置索引'!C:C,MATCH(F510,'#建筑消耗和buff配置索引'!M:M,0))=0,1,INDEX('#建筑消耗和buff配置索引'!C:C,MATCH(F510,'#建筑消耗和buff配置索引'!M:M,0)))</f>
        <v>2</v>
      </c>
      <c r="T510" s="133">
        <v>0</v>
      </c>
      <c r="U510" s="133">
        <v>0</v>
      </c>
      <c r="V510" s="133" t="str">
        <f>IF(E510=1,IF(INDEX('#建筑消耗和buff配置索引'!BY:BY,MATCH(D510,'#建筑消耗和buff配置索引'!A:A,0))=0,"",INDEX('#建筑消耗和buff配置索引'!BY:BY,MATCH(D510,'#建筑消耗和buff配置索引'!A:A,0))),"")</f>
        <v/>
      </c>
      <c r="W510" s="133" t="str">
        <f>IF(E510=1,IF(INDEX('#建筑消耗和buff配置索引'!BZ:BZ,MATCH(D510,'#建筑消耗和buff配置索引'!A:A,0))=0,"",INDEX('#建筑消耗和buff配置索引'!BZ:BZ,MATCH(D510,'#建筑消耗和buff配置索引'!A:A,0))),"")</f>
        <v/>
      </c>
      <c r="AA510" s="133">
        <f>INDEX('#建筑消耗和buff配置索引'!AO:AO,MATCH($F510,'#建筑消耗和buff配置索引'!$M:$M,0))</f>
        <v>121179</v>
      </c>
      <c r="AB510" s="133">
        <f>IF(INDEX('#建筑消耗和buff配置索引'!AR:AR,MATCH($F510,'#建筑消耗和buff配置索引'!$M:$M,0))=0,"",INDEX('#建筑消耗和buff配置索引'!AR:AR,MATCH($F510,'#建筑消耗和buff配置索引'!$M:$M,0)))</f>
        <v>1328</v>
      </c>
      <c r="AC510" s="133">
        <f>IF(AB510="","",INDEX('#建筑消耗和buff配置索引'!AS:AS,MATCH($F510,'#建筑消耗和buff配置索引'!$M:$M,0)))</f>
        <v>0.94</v>
      </c>
      <c r="AF510" s="133">
        <f>IF(INDEX('#建筑消耗和buff配置索引'!AW:AW,MATCH($F510,'#建筑消耗和buff配置索引'!$M:$M,0))=0,"",INDEX('#建筑消耗和buff配置索引'!AW:AW,MATCH($F510,'#建筑消耗和buff配置索引'!$M:$M,0)))</f>
        <v>1329</v>
      </c>
      <c r="AG510" s="133">
        <f>IF(AF510="","",INDEX('#建筑消耗和buff配置索引'!AX:AX,MATCH($F510,'#建筑消耗和buff配置索引'!$M:$M,0)))</f>
        <v>2100000</v>
      </c>
      <c r="AJ510" s="133" t="str">
        <f>IF(INDEX('#建筑消耗和buff配置索引'!BB:BB,MATCH($F510,'#建筑消耗和buff配置索引'!$M:$M,0))=0,"",INDEX('#建筑消耗和buff配置索引'!BB:BB,MATCH($F510,'#建筑消耗和buff配置索引'!$M:$M,0)))</f>
        <v/>
      </c>
      <c r="AK510" s="133" t="str">
        <f>IF(AJ510="","",INDEX('#建筑消耗和buff配置索引'!BC:BC,MATCH($F510,'#建筑消耗和buff配置索引'!$M:$M,0)))</f>
        <v/>
      </c>
      <c r="AN510" s="133" t="str">
        <f>IF(INDEX('#建筑消耗和buff配置索引'!BG:BG,MATCH($F510,'#建筑消耗和buff配置索引'!$M:$M,0))=0,"",INDEX('#建筑消耗和buff配置索引'!BG:BG,MATCH($F510,'#建筑消耗和buff配置索引'!$M:$M,0)))</f>
        <v/>
      </c>
      <c r="AO510" s="133" t="str">
        <f>IF(AN510="","",INDEX('#建筑消耗和buff配置索引'!BH:BH,MATCH($F510,'#建筑消耗和buff配置索引'!$M:$M,0)))</f>
        <v/>
      </c>
      <c r="AR510" s="133" t="str">
        <f>IF(INDEX('#建筑消耗和buff配置索引'!BK:BK,MATCH($F510,'#建筑消耗和buff配置索引'!$M:$M,0))=0,"",INDEX('#建筑消耗和buff配置索引'!BK:BK,MATCH($F510,'#建筑消耗和buff配置索引'!$M:$M,0)))</f>
        <v/>
      </c>
      <c r="AS510" s="133" t="str">
        <f>IF(AR510="","",INDEX('#建筑消耗和buff配置索引'!BL:BL,MATCH($F510,'#建筑消耗和buff配置索引'!$M:$M,0)))</f>
        <v/>
      </c>
      <c r="AV510" s="133" t="str">
        <f>IF(INDEX('#建筑消耗和buff配置索引'!BO:BO,MATCH($F510,'#建筑消耗和buff配置索引'!$M:$M,0))=0,"",INDEX('#建筑消耗和buff配置索引'!BO:BO,MATCH($F510,'#建筑消耗和buff配置索引'!$M:$M,0)))</f>
        <v/>
      </c>
      <c r="AW510" s="133" t="str">
        <f>IF(AV510="","",INDEX('#建筑消耗和buff配置索引'!BP:BP,MATCH($F510,'#建筑消耗和buff配置索引'!$M:$M,0)))</f>
        <v/>
      </c>
      <c r="AZ510" s="133" t="str">
        <f>IF(INDEX('#建筑消耗和buff配置索引'!BS:BS,MATCH($F510,'#建筑消耗和buff配置索引'!$M:$M,0))=0,"",INDEX('#建筑消耗和buff配置索引'!BS:BS,MATCH($F510,'#建筑消耗和buff配置索引'!$M:$M,0)))</f>
        <v/>
      </c>
      <c r="BA510" s="133" t="str">
        <f>IF(AZ510="","",INDEX('#建筑消耗和buff配置索引'!BT:BT,MATCH($F510,'#建筑消耗和buff配置索引'!$M:$M,0)))</f>
        <v/>
      </c>
      <c r="BD510" s="133" t="str">
        <f>IF(INDEX('#建筑消耗和buff配置索引'!BW:BW,MATCH($F510,'#建筑消耗和buff配置索引'!$M:$M,0))=0,"",INDEX('#建筑消耗和buff配置索引'!BW:BW,MATCH($F510,'#建筑消耗和buff配置索引'!$M:$M,0)))</f>
        <v/>
      </c>
      <c r="BE510" s="133" t="str">
        <f>IF(BD510="","",INDEX('#建筑消耗和buff配置索引'!BX:BX,MATCH($F510,'#建筑消耗和buff配置索引'!$M:$M,0)))</f>
        <v/>
      </c>
      <c r="BI510" s="133">
        <v>23</v>
      </c>
    </row>
    <row r="511" spans="1:61" s="133" customFormat="1">
      <c r="A511" s="133">
        <v>2310026</v>
      </c>
      <c r="B511" s="133">
        <v>508</v>
      </c>
      <c r="C511" s="133">
        <v>231</v>
      </c>
      <c r="D511" s="133" t="s">
        <v>591</v>
      </c>
      <c r="E511" s="133">
        <v>26</v>
      </c>
      <c r="F511" s="133" t="str">
        <f t="shared" si="8"/>
        <v>市集26</v>
      </c>
      <c r="H511" s="146"/>
      <c r="I511" s="133" t="s">
        <v>1205</v>
      </c>
      <c r="J511" s="150">
        <f>INDEX('#建筑消耗和buff配置索引'!AH:AH,MATCH($F511,'#建筑消耗和buff配置索引'!$M:$M,0))</f>
        <v>311040</v>
      </c>
      <c r="K511" s="150">
        <f>INDEX('#建筑消耗和buff配置索引'!AA:AA,MATCH($F511,'#建筑消耗和buff配置索引'!$M:$M,0))</f>
        <v>2900000</v>
      </c>
      <c r="L511" s="150">
        <f>INDEX('#建筑消耗和buff配置索引'!AB:AB,MATCH($F511,'#建筑消耗和buff配置索引'!$M:$M,0))</f>
        <v>2900000</v>
      </c>
      <c r="M511" s="150">
        <f>INDEX('#建筑消耗和buff配置索引'!AC:AC,MATCH($F511,'#建筑消耗和buff配置索引'!$M:$M,0))</f>
        <v>2900000</v>
      </c>
      <c r="N511" s="150">
        <f>INDEX('#建筑消耗和buff配置索引'!AD:AD,MATCH($F511,'#建筑消耗和buff配置索引'!$M:$M,0))</f>
        <v>8600000</v>
      </c>
      <c r="O511" s="150" t="str">
        <f>IF(INDEX('#建筑消耗和buff配置索引'!T:T,MATCH($F511,'#建筑消耗和buff配置索引'!$M:$M,0))=0,"",INDEX('#建筑消耗和buff配置索引'!T:T,MATCH($F511,'#建筑消耗和buff配置索引'!$M:$M,0)))</f>
        <v/>
      </c>
      <c r="P511" s="133" t="str">
        <f>IF(INDEX('#建筑消耗和buff配置索引'!U:U,MATCH($F511,'#建筑消耗和buff配置索引'!$M:$M,0))=0,"",INDEX('#建筑消耗和buff配置索引'!U:U,MATCH($F511,'#建筑消耗和buff配置索引'!$M:$M,0)))</f>
        <v/>
      </c>
      <c r="Q511" s="133" t="str">
        <f>IF(INDEX('#建筑消耗和buff配置索引'!K:K,MATCH($F511,'#建筑消耗和buff配置索引'!$M:$M,0))=0,"",INDEX('#建筑消耗和buff配置索引'!K:K,MATCH($F511,'#建筑消耗和buff配置索引'!$M:$M,0)))</f>
        <v>201;400</v>
      </c>
      <c r="R511" s="133" t="str">
        <f>IF(INDEX('#建筑消耗和buff配置索引'!L:L,MATCH($F511,'#建筑消耗和buff配置索引'!$M:$M,0))=0,"",INDEX('#建筑消耗和buff配置索引'!L:L,MATCH($F511,'#建筑消耗和buff配置索引'!$M:$M,0)))</f>
        <v>26;26</v>
      </c>
      <c r="S511" s="133">
        <f>IF(INDEX('#建筑消耗和buff配置索引'!C:C,MATCH(F511,'#建筑消耗和buff配置索引'!M:M,0))=0,1,INDEX('#建筑消耗和buff配置索引'!C:C,MATCH(F511,'#建筑消耗和buff配置索引'!M:M,0)))</f>
        <v>2</v>
      </c>
      <c r="T511" s="133">
        <v>0</v>
      </c>
      <c r="U511" s="133">
        <v>0</v>
      </c>
      <c r="V511" s="133" t="str">
        <f>IF(E511=1,IF(INDEX('#建筑消耗和buff配置索引'!BY:BY,MATCH(D511,'#建筑消耗和buff配置索引'!A:A,0))=0,"",INDEX('#建筑消耗和buff配置索引'!BY:BY,MATCH(D511,'#建筑消耗和buff配置索引'!A:A,0))),"")</f>
        <v/>
      </c>
      <c r="W511" s="133" t="str">
        <f>IF(E511=1,IF(INDEX('#建筑消耗和buff配置索引'!BZ:BZ,MATCH(D511,'#建筑消耗和buff配置索引'!A:A,0))=0,"",INDEX('#建筑消耗和buff配置索引'!BZ:BZ,MATCH(D511,'#建筑消耗和buff配置索引'!A:A,0))),"")</f>
        <v/>
      </c>
      <c r="AA511" s="133">
        <f>INDEX('#建筑消耗和buff配置索引'!AO:AO,MATCH($F511,'#建筑消耗和buff配置索引'!$M:$M,0))</f>
        <v>155712</v>
      </c>
      <c r="AB511" s="133">
        <f>IF(INDEX('#建筑消耗和buff配置索引'!AR:AR,MATCH($F511,'#建筑消耗和buff配置索引'!$M:$M,0))=0,"",INDEX('#建筑消耗和buff配置索引'!AR:AR,MATCH($F511,'#建筑消耗和buff配置索引'!$M:$M,0)))</f>
        <v>1328</v>
      </c>
      <c r="AC511" s="133">
        <f>IF(AB511="","",INDEX('#建筑消耗和buff配置索引'!AS:AS,MATCH($F511,'#建筑消耗和buff配置索引'!$M:$M,0)))</f>
        <v>0.95199999999999996</v>
      </c>
      <c r="AF511" s="133">
        <f>IF(INDEX('#建筑消耗和buff配置索引'!AW:AW,MATCH($F511,'#建筑消耗和buff配置索引'!$M:$M,0))=0,"",INDEX('#建筑消耗和buff配置索引'!AW:AW,MATCH($F511,'#建筑消耗和buff配置索引'!$M:$M,0)))</f>
        <v>1329</v>
      </c>
      <c r="AG511" s="133">
        <f>IF(AF511="","",INDEX('#建筑消耗和buff配置索引'!AX:AX,MATCH($F511,'#建筑消耗和buff配置索引'!$M:$M,0)))</f>
        <v>2240000</v>
      </c>
      <c r="AJ511" s="133" t="str">
        <f>IF(INDEX('#建筑消耗和buff配置索引'!BB:BB,MATCH($F511,'#建筑消耗和buff配置索引'!$M:$M,0))=0,"",INDEX('#建筑消耗和buff配置索引'!BB:BB,MATCH($F511,'#建筑消耗和buff配置索引'!$M:$M,0)))</f>
        <v/>
      </c>
      <c r="AK511" s="133" t="str">
        <f>IF(AJ511="","",INDEX('#建筑消耗和buff配置索引'!BC:BC,MATCH($F511,'#建筑消耗和buff配置索引'!$M:$M,0)))</f>
        <v/>
      </c>
      <c r="AN511" s="133" t="str">
        <f>IF(INDEX('#建筑消耗和buff配置索引'!BG:BG,MATCH($F511,'#建筑消耗和buff配置索引'!$M:$M,0))=0,"",INDEX('#建筑消耗和buff配置索引'!BG:BG,MATCH($F511,'#建筑消耗和buff配置索引'!$M:$M,0)))</f>
        <v/>
      </c>
      <c r="AO511" s="133" t="str">
        <f>IF(AN511="","",INDEX('#建筑消耗和buff配置索引'!BH:BH,MATCH($F511,'#建筑消耗和buff配置索引'!$M:$M,0)))</f>
        <v/>
      </c>
      <c r="AR511" s="133" t="str">
        <f>IF(INDEX('#建筑消耗和buff配置索引'!BK:BK,MATCH($F511,'#建筑消耗和buff配置索引'!$M:$M,0))=0,"",INDEX('#建筑消耗和buff配置索引'!BK:BK,MATCH($F511,'#建筑消耗和buff配置索引'!$M:$M,0)))</f>
        <v/>
      </c>
      <c r="AS511" s="133" t="str">
        <f>IF(AR511="","",INDEX('#建筑消耗和buff配置索引'!BL:BL,MATCH($F511,'#建筑消耗和buff配置索引'!$M:$M,0)))</f>
        <v/>
      </c>
      <c r="AV511" s="133" t="str">
        <f>IF(INDEX('#建筑消耗和buff配置索引'!BO:BO,MATCH($F511,'#建筑消耗和buff配置索引'!$M:$M,0))=0,"",INDEX('#建筑消耗和buff配置索引'!BO:BO,MATCH($F511,'#建筑消耗和buff配置索引'!$M:$M,0)))</f>
        <v/>
      </c>
      <c r="AW511" s="133" t="str">
        <f>IF(AV511="","",INDEX('#建筑消耗和buff配置索引'!BP:BP,MATCH($F511,'#建筑消耗和buff配置索引'!$M:$M,0)))</f>
        <v/>
      </c>
      <c r="AZ511" s="133" t="str">
        <f>IF(INDEX('#建筑消耗和buff配置索引'!BS:BS,MATCH($F511,'#建筑消耗和buff配置索引'!$M:$M,0))=0,"",INDEX('#建筑消耗和buff配置索引'!BS:BS,MATCH($F511,'#建筑消耗和buff配置索引'!$M:$M,0)))</f>
        <v/>
      </c>
      <c r="BA511" s="133" t="str">
        <f>IF(AZ511="","",INDEX('#建筑消耗和buff配置索引'!BT:BT,MATCH($F511,'#建筑消耗和buff配置索引'!$M:$M,0)))</f>
        <v/>
      </c>
      <c r="BD511" s="133" t="str">
        <f>IF(INDEX('#建筑消耗和buff配置索引'!BW:BW,MATCH($F511,'#建筑消耗和buff配置索引'!$M:$M,0))=0,"",INDEX('#建筑消耗和buff配置索引'!BW:BW,MATCH($F511,'#建筑消耗和buff配置索引'!$M:$M,0)))</f>
        <v/>
      </c>
      <c r="BE511" s="133" t="str">
        <f>IF(BD511="","",INDEX('#建筑消耗和buff配置索引'!BX:BX,MATCH($F511,'#建筑消耗和buff配置索引'!$M:$M,0)))</f>
        <v/>
      </c>
      <c r="BI511" s="133">
        <v>23</v>
      </c>
    </row>
    <row r="512" spans="1:61" s="133" customFormat="1">
      <c r="A512" s="133">
        <v>2310027</v>
      </c>
      <c r="B512" s="133">
        <v>509</v>
      </c>
      <c r="C512" s="133">
        <v>231</v>
      </c>
      <c r="D512" s="133" t="s">
        <v>591</v>
      </c>
      <c r="E512" s="133">
        <v>27</v>
      </c>
      <c r="F512" s="133" t="str">
        <f t="shared" si="8"/>
        <v>市集27</v>
      </c>
      <c r="H512" s="146"/>
      <c r="I512" s="133" t="s">
        <v>1205</v>
      </c>
      <c r="J512" s="150">
        <f>INDEX('#建筑消耗和buff配置索引'!AH:AH,MATCH($F512,'#建筑消耗和buff配置索引'!$M:$M,0))</f>
        <v>380160</v>
      </c>
      <c r="K512" s="150">
        <f>INDEX('#建筑消耗和buff配置索引'!AA:AA,MATCH($F512,'#建筑消耗和buff配置索引'!$M:$M,0))</f>
        <v>3700000</v>
      </c>
      <c r="L512" s="150">
        <f>INDEX('#建筑消耗和buff配置索引'!AB:AB,MATCH($F512,'#建筑消耗和buff配置索引'!$M:$M,0))</f>
        <v>3700000</v>
      </c>
      <c r="M512" s="150">
        <f>INDEX('#建筑消耗和buff配置索引'!AC:AC,MATCH($F512,'#建筑消耗和buff配置索引'!$M:$M,0))</f>
        <v>3700000</v>
      </c>
      <c r="N512" s="150">
        <f>INDEX('#建筑消耗和buff配置索引'!AD:AD,MATCH($F512,'#建筑消耗和buff配置索引'!$M:$M,0))</f>
        <v>11000000</v>
      </c>
      <c r="O512" s="150" t="str">
        <f>IF(INDEX('#建筑消耗和buff配置索引'!T:T,MATCH($F512,'#建筑消耗和buff配置索引'!$M:$M,0))=0,"",INDEX('#建筑消耗和buff配置索引'!T:T,MATCH($F512,'#建筑消耗和buff配置索引'!$M:$M,0)))</f>
        <v/>
      </c>
      <c r="P512" s="133" t="str">
        <f>IF(INDEX('#建筑消耗和buff配置索引'!U:U,MATCH($F512,'#建筑消耗和buff配置索引'!$M:$M,0))=0,"",INDEX('#建筑消耗和buff配置索引'!U:U,MATCH($F512,'#建筑消耗和buff配置索引'!$M:$M,0)))</f>
        <v/>
      </c>
      <c r="Q512" s="133" t="str">
        <f>IF(INDEX('#建筑消耗和buff配置索引'!K:K,MATCH($F512,'#建筑消耗和buff配置索引'!$M:$M,0))=0,"",INDEX('#建筑消耗和buff配置索引'!K:K,MATCH($F512,'#建筑消耗和buff配置索引'!$M:$M,0)))</f>
        <v>201;400</v>
      </c>
      <c r="R512" s="133" t="str">
        <f>IF(INDEX('#建筑消耗和buff配置索引'!L:L,MATCH($F512,'#建筑消耗和buff配置索引'!$M:$M,0))=0,"",INDEX('#建筑消耗和buff配置索引'!L:L,MATCH($F512,'#建筑消耗和buff配置索引'!$M:$M,0)))</f>
        <v>27;27</v>
      </c>
      <c r="S512" s="133">
        <f>IF(INDEX('#建筑消耗和buff配置索引'!C:C,MATCH(F512,'#建筑消耗和buff配置索引'!M:M,0))=0,1,INDEX('#建筑消耗和buff配置索引'!C:C,MATCH(F512,'#建筑消耗和buff配置索引'!M:M,0)))</f>
        <v>2</v>
      </c>
      <c r="T512" s="133">
        <v>0</v>
      </c>
      <c r="U512" s="133">
        <v>0</v>
      </c>
      <c r="V512" s="133" t="str">
        <f>IF(E512=1,IF(INDEX('#建筑消耗和buff配置索引'!BY:BY,MATCH(D512,'#建筑消耗和buff配置索引'!A:A,0))=0,"",INDEX('#建筑消耗和buff配置索引'!BY:BY,MATCH(D512,'#建筑消耗和buff配置索引'!A:A,0))),"")</f>
        <v/>
      </c>
      <c r="W512" s="133" t="str">
        <f>IF(E512=1,IF(INDEX('#建筑消耗和buff配置索引'!BZ:BZ,MATCH(D512,'#建筑消耗和buff配置索引'!A:A,0))=0,"",INDEX('#建筑消耗和buff配置索引'!BZ:BZ,MATCH(D512,'#建筑消耗和buff配置索引'!A:A,0))),"")</f>
        <v/>
      </c>
      <c r="AA512" s="133">
        <f>INDEX('#建筑消耗和buff配置索引'!AO:AO,MATCH($F512,'#建筑消耗和buff配置索引'!$M:$M,0))</f>
        <v>199914</v>
      </c>
      <c r="AB512" s="133">
        <f>IF(INDEX('#建筑消耗和buff配置索引'!AR:AR,MATCH($F512,'#建筑消耗和buff配置索引'!$M:$M,0))=0,"",INDEX('#建筑消耗和buff配置索引'!AR:AR,MATCH($F512,'#建筑消耗和buff配置索引'!$M:$M,0)))</f>
        <v>1328</v>
      </c>
      <c r="AC512" s="133">
        <f>IF(AB512="","",INDEX('#建筑消耗和buff配置索引'!AS:AS,MATCH($F512,'#建筑消耗和buff配置索引'!$M:$M,0)))</f>
        <v>0.96399999999999997</v>
      </c>
      <c r="AF512" s="133">
        <f>IF(INDEX('#建筑消耗和buff配置索引'!AW:AW,MATCH($F512,'#建筑消耗和buff配置索引'!$M:$M,0))=0,"",INDEX('#建筑消耗和buff配置索引'!AW:AW,MATCH($F512,'#建筑消耗和buff配置索引'!$M:$M,0)))</f>
        <v>1329</v>
      </c>
      <c r="AG512" s="133">
        <f>IF(AF512="","",INDEX('#建筑消耗和buff配置索引'!AX:AX,MATCH($F512,'#建筑消耗和buff配置索引'!$M:$M,0)))</f>
        <v>2400000</v>
      </c>
      <c r="AJ512" s="133" t="str">
        <f>IF(INDEX('#建筑消耗和buff配置索引'!BB:BB,MATCH($F512,'#建筑消耗和buff配置索引'!$M:$M,0))=0,"",INDEX('#建筑消耗和buff配置索引'!BB:BB,MATCH($F512,'#建筑消耗和buff配置索引'!$M:$M,0)))</f>
        <v/>
      </c>
      <c r="AK512" s="133" t="str">
        <f>IF(AJ512="","",INDEX('#建筑消耗和buff配置索引'!BC:BC,MATCH($F512,'#建筑消耗和buff配置索引'!$M:$M,0)))</f>
        <v/>
      </c>
      <c r="AN512" s="133" t="str">
        <f>IF(INDEX('#建筑消耗和buff配置索引'!BG:BG,MATCH($F512,'#建筑消耗和buff配置索引'!$M:$M,0))=0,"",INDEX('#建筑消耗和buff配置索引'!BG:BG,MATCH($F512,'#建筑消耗和buff配置索引'!$M:$M,0)))</f>
        <v/>
      </c>
      <c r="AO512" s="133" t="str">
        <f>IF(AN512="","",INDEX('#建筑消耗和buff配置索引'!BH:BH,MATCH($F512,'#建筑消耗和buff配置索引'!$M:$M,0)))</f>
        <v/>
      </c>
      <c r="AR512" s="133" t="str">
        <f>IF(INDEX('#建筑消耗和buff配置索引'!BK:BK,MATCH($F512,'#建筑消耗和buff配置索引'!$M:$M,0))=0,"",INDEX('#建筑消耗和buff配置索引'!BK:BK,MATCH($F512,'#建筑消耗和buff配置索引'!$M:$M,0)))</f>
        <v/>
      </c>
      <c r="AS512" s="133" t="str">
        <f>IF(AR512="","",INDEX('#建筑消耗和buff配置索引'!BL:BL,MATCH($F512,'#建筑消耗和buff配置索引'!$M:$M,0)))</f>
        <v/>
      </c>
      <c r="AV512" s="133" t="str">
        <f>IF(INDEX('#建筑消耗和buff配置索引'!BO:BO,MATCH($F512,'#建筑消耗和buff配置索引'!$M:$M,0))=0,"",INDEX('#建筑消耗和buff配置索引'!BO:BO,MATCH($F512,'#建筑消耗和buff配置索引'!$M:$M,0)))</f>
        <v/>
      </c>
      <c r="AW512" s="133" t="str">
        <f>IF(AV512="","",INDEX('#建筑消耗和buff配置索引'!BP:BP,MATCH($F512,'#建筑消耗和buff配置索引'!$M:$M,0)))</f>
        <v/>
      </c>
      <c r="AZ512" s="133" t="str">
        <f>IF(INDEX('#建筑消耗和buff配置索引'!BS:BS,MATCH($F512,'#建筑消耗和buff配置索引'!$M:$M,0))=0,"",INDEX('#建筑消耗和buff配置索引'!BS:BS,MATCH($F512,'#建筑消耗和buff配置索引'!$M:$M,0)))</f>
        <v/>
      </c>
      <c r="BA512" s="133" t="str">
        <f>IF(AZ512="","",INDEX('#建筑消耗和buff配置索引'!BT:BT,MATCH($F512,'#建筑消耗和buff配置索引'!$M:$M,0)))</f>
        <v/>
      </c>
      <c r="BD512" s="133" t="str">
        <f>IF(INDEX('#建筑消耗和buff配置索引'!BW:BW,MATCH($F512,'#建筑消耗和buff配置索引'!$M:$M,0))=0,"",INDEX('#建筑消耗和buff配置索引'!BW:BW,MATCH($F512,'#建筑消耗和buff配置索引'!$M:$M,0)))</f>
        <v/>
      </c>
      <c r="BE512" s="133" t="str">
        <f>IF(BD512="","",INDEX('#建筑消耗和buff配置索引'!BX:BX,MATCH($F512,'#建筑消耗和buff配置索引'!$M:$M,0)))</f>
        <v/>
      </c>
      <c r="BI512" s="133">
        <v>23</v>
      </c>
    </row>
    <row r="513" spans="1:70" s="133" customFormat="1">
      <c r="A513" s="133">
        <v>2310028</v>
      </c>
      <c r="B513" s="133">
        <v>510</v>
      </c>
      <c r="C513" s="133">
        <v>231</v>
      </c>
      <c r="D513" s="133" t="s">
        <v>591</v>
      </c>
      <c r="E513" s="133">
        <v>28</v>
      </c>
      <c r="F513" s="133" t="str">
        <f t="shared" si="8"/>
        <v>市集28</v>
      </c>
      <c r="H513" s="146"/>
      <c r="I513" s="133" t="s">
        <v>1205</v>
      </c>
      <c r="J513" s="150">
        <f>INDEX('#建筑消耗和buff配置索引'!AH:AH,MATCH($F513,'#建筑消耗和buff配置索引'!$M:$M,0))</f>
        <v>466560</v>
      </c>
      <c r="K513" s="150">
        <f>INDEX('#建筑消耗和buff配置索引'!AA:AA,MATCH($F513,'#建筑消耗和buff配置索引'!$M:$M,0))</f>
        <v>4700000</v>
      </c>
      <c r="L513" s="150">
        <f>INDEX('#建筑消耗和buff配置索引'!AB:AB,MATCH($F513,'#建筑消耗和buff配置索引'!$M:$M,0))</f>
        <v>4700000</v>
      </c>
      <c r="M513" s="150">
        <f>INDEX('#建筑消耗和buff配置索引'!AC:AC,MATCH($F513,'#建筑消耗和buff配置索引'!$M:$M,0))</f>
        <v>4700000</v>
      </c>
      <c r="N513" s="150">
        <f>INDEX('#建筑消耗和buff配置索引'!AD:AD,MATCH($F513,'#建筑消耗和buff配置索引'!$M:$M,0))</f>
        <v>14000000</v>
      </c>
      <c r="O513" s="150" t="str">
        <f>IF(INDEX('#建筑消耗和buff配置索引'!T:T,MATCH($F513,'#建筑消耗和buff配置索引'!$M:$M,0))=0,"",INDEX('#建筑消耗和buff配置索引'!T:T,MATCH($F513,'#建筑消耗和buff配置索引'!$M:$M,0)))</f>
        <v/>
      </c>
      <c r="P513" s="133" t="str">
        <f>IF(INDEX('#建筑消耗和buff配置索引'!U:U,MATCH($F513,'#建筑消耗和buff配置索引'!$M:$M,0))=0,"",INDEX('#建筑消耗和buff配置索引'!U:U,MATCH($F513,'#建筑消耗和buff配置索引'!$M:$M,0)))</f>
        <v/>
      </c>
      <c r="Q513" s="133" t="str">
        <f>IF(INDEX('#建筑消耗和buff配置索引'!K:K,MATCH($F513,'#建筑消耗和buff配置索引'!$M:$M,0))=0,"",INDEX('#建筑消耗和buff配置索引'!K:K,MATCH($F513,'#建筑消耗和buff配置索引'!$M:$M,0)))</f>
        <v>201;400</v>
      </c>
      <c r="R513" s="133" t="str">
        <f>IF(INDEX('#建筑消耗和buff配置索引'!L:L,MATCH($F513,'#建筑消耗和buff配置索引'!$M:$M,0))=0,"",INDEX('#建筑消耗和buff配置索引'!L:L,MATCH($F513,'#建筑消耗和buff配置索引'!$M:$M,0)))</f>
        <v>28;28</v>
      </c>
      <c r="S513" s="133">
        <f>IF(INDEX('#建筑消耗和buff配置索引'!C:C,MATCH(F513,'#建筑消耗和buff配置索引'!M:M,0))=0,1,INDEX('#建筑消耗和buff配置索引'!C:C,MATCH(F513,'#建筑消耗和buff配置索引'!M:M,0)))</f>
        <v>2</v>
      </c>
      <c r="T513" s="133">
        <v>0</v>
      </c>
      <c r="U513" s="133">
        <v>0</v>
      </c>
      <c r="V513" s="133" t="str">
        <f>IF(E513=1,IF(INDEX('#建筑消耗和buff配置索引'!BY:BY,MATCH(D513,'#建筑消耗和buff配置索引'!A:A,0))=0,"",INDEX('#建筑消耗和buff配置索引'!BY:BY,MATCH(D513,'#建筑消耗和buff配置索引'!A:A,0))),"")</f>
        <v/>
      </c>
      <c r="W513" s="133" t="str">
        <f>IF(E513=1,IF(INDEX('#建筑消耗和buff配置索引'!BZ:BZ,MATCH(D513,'#建筑消耗和buff配置索引'!A:A,0))=0,"",INDEX('#建筑消耗和buff配置索引'!BZ:BZ,MATCH(D513,'#建筑消耗和buff配置索引'!A:A,0))),"")</f>
        <v/>
      </c>
      <c r="AA513" s="133">
        <f>INDEX('#建筑消耗和buff配置索引'!AO:AO,MATCH($F513,'#建筑消耗和buff配置索引'!$M:$M,0))</f>
        <v>256493</v>
      </c>
      <c r="AB513" s="133">
        <f>IF(INDEX('#建筑消耗和buff配置索引'!AR:AR,MATCH($F513,'#建筑消耗和buff配置索引'!$M:$M,0))=0,"",INDEX('#建筑消耗和buff配置索引'!AR:AR,MATCH($F513,'#建筑消耗和buff配置索引'!$M:$M,0)))</f>
        <v>1328</v>
      </c>
      <c r="AC513" s="133">
        <f>IF(AB513="","",INDEX('#建筑消耗和buff配置索引'!AS:AS,MATCH($F513,'#建筑消耗和buff配置索引'!$M:$M,0)))</f>
        <v>0.97599999999999998</v>
      </c>
      <c r="AF513" s="133">
        <f>IF(INDEX('#建筑消耗和buff配置索引'!AW:AW,MATCH($F513,'#建筑消耗和buff配置索引'!$M:$M,0))=0,"",INDEX('#建筑消耗和buff配置索引'!AW:AW,MATCH($F513,'#建筑消耗和buff配置索引'!$M:$M,0)))</f>
        <v>1329</v>
      </c>
      <c r="AG513" s="133">
        <f>IF(AF513="","",INDEX('#建筑消耗和buff配置索引'!AX:AX,MATCH($F513,'#建筑消耗和buff配置索引'!$M:$M,0)))</f>
        <v>2580000</v>
      </c>
      <c r="AJ513" s="133" t="str">
        <f>IF(INDEX('#建筑消耗和buff配置索引'!BB:BB,MATCH($F513,'#建筑消耗和buff配置索引'!$M:$M,0))=0,"",INDEX('#建筑消耗和buff配置索引'!BB:BB,MATCH($F513,'#建筑消耗和buff配置索引'!$M:$M,0)))</f>
        <v/>
      </c>
      <c r="AK513" s="133" t="str">
        <f>IF(AJ513="","",INDEX('#建筑消耗和buff配置索引'!BC:BC,MATCH($F513,'#建筑消耗和buff配置索引'!$M:$M,0)))</f>
        <v/>
      </c>
      <c r="AN513" s="133" t="str">
        <f>IF(INDEX('#建筑消耗和buff配置索引'!BG:BG,MATCH($F513,'#建筑消耗和buff配置索引'!$M:$M,0))=0,"",INDEX('#建筑消耗和buff配置索引'!BG:BG,MATCH($F513,'#建筑消耗和buff配置索引'!$M:$M,0)))</f>
        <v/>
      </c>
      <c r="AO513" s="133" t="str">
        <f>IF(AN513="","",INDEX('#建筑消耗和buff配置索引'!BH:BH,MATCH($F513,'#建筑消耗和buff配置索引'!$M:$M,0)))</f>
        <v/>
      </c>
      <c r="AR513" s="133" t="str">
        <f>IF(INDEX('#建筑消耗和buff配置索引'!BK:BK,MATCH($F513,'#建筑消耗和buff配置索引'!$M:$M,0))=0,"",INDEX('#建筑消耗和buff配置索引'!BK:BK,MATCH($F513,'#建筑消耗和buff配置索引'!$M:$M,0)))</f>
        <v/>
      </c>
      <c r="AS513" s="133" t="str">
        <f>IF(AR513="","",INDEX('#建筑消耗和buff配置索引'!BL:BL,MATCH($F513,'#建筑消耗和buff配置索引'!$M:$M,0)))</f>
        <v/>
      </c>
      <c r="AV513" s="133" t="str">
        <f>IF(INDEX('#建筑消耗和buff配置索引'!BO:BO,MATCH($F513,'#建筑消耗和buff配置索引'!$M:$M,0))=0,"",INDEX('#建筑消耗和buff配置索引'!BO:BO,MATCH($F513,'#建筑消耗和buff配置索引'!$M:$M,0)))</f>
        <v/>
      </c>
      <c r="AW513" s="133" t="str">
        <f>IF(AV513="","",INDEX('#建筑消耗和buff配置索引'!BP:BP,MATCH($F513,'#建筑消耗和buff配置索引'!$M:$M,0)))</f>
        <v/>
      </c>
      <c r="AZ513" s="133" t="str">
        <f>IF(INDEX('#建筑消耗和buff配置索引'!BS:BS,MATCH($F513,'#建筑消耗和buff配置索引'!$M:$M,0))=0,"",INDEX('#建筑消耗和buff配置索引'!BS:BS,MATCH($F513,'#建筑消耗和buff配置索引'!$M:$M,0)))</f>
        <v/>
      </c>
      <c r="BA513" s="133" t="str">
        <f>IF(AZ513="","",INDEX('#建筑消耗和buff配置索引'!BT:BT,MATCH($F513,'#建筑消耗和buff配置索引'!$M:$M,0)))</f>
        <v/>
      </c>
      <c r="BD513" s="133" t="str">
        <f>IF(INDEX('#建筑消耗和buff配置索引'!BW:BW,MATCH($F513,'#建筑消耗和buff配置索引'!$M:$M,0))=0,"",INDEX('#建筑消耗和buff配置索引'!BW:BW,MATCH($F513,'#建筑消耗和buff配置索引'!$M:$M,0)))</f>
        <v/>
      </c>
      <c r="BE513" s="133" t="str">
        <f>IF(BD513="","",INDEX('#建筑消耗和buff配置索引'!BX:BX,MATCH($F513,'#建筑消耗和buff配置索引'!$M:$M,0)))</f>
        <v/>
      </c>
      <c r="BI513" s="133">
        <v>23</v>
      </c>
    </row>
    <row r="514" spans="1:70" s="133" customFormat="1">
      <c r="A514" s="133">
        <v>2310029</v>
      </c>
      <c r="B514" s="133">
        <v>511</v>
      </c>
      <c r="C514" s="133">
        <v>231</v>
      </c>
      <c r="D514" s="133" t="s">
        <v>591</v>
      </c>
      <c r="E514" s="133">
        <v>29</v>
      </c>
      <c r="F514" s="133" t="str">
        <f t="shared" si="8"/>
        <v>市集29</v>
      </c>
      <c r="H514" s="146"/>
      <c r="I514" s="133" t="s">
        <v>1205</v>
      </c>
      <c r="J514" s="150">
        <f>INDEX('#建筑消耗和buff配置索引'!AH:AH,MATCH($F514,'#建筑消耗和buff配置索引'!$M:$M,0))</f>
        <v>570240</v>
      </c>
      <c r="K514" s="150">
        <f>INDEX('#建筑消耗和buff配置索引'!AA:AA,MATCH($F514,'#建筑消耗和buff配置索引'!$M:$M,0))</f>
        <v>6000000</v>
      </c>
      <c r="L514" s="150">
        <f>INDEX('#建筑消耗和buff配置索引'!AB:AB,MATCH($F514,'#建筑消耗和buff配置索引'!$M:$M,0))</f>
        <v>6000000</v>
      </c>
      <c r="M514" s="150">
        <f>INDEX('#建筑消耗和buff配置索引'!AC:AC,MATCH($F514,'#建筑消耗和buff配置索引'!$M:$M,0))</f>
        <v>6000000</v>
      </c>
      <c r="N514" s="150">
        <f>INDEX('#建筑消耗和buff配置索引'!AD:AD,MATCH($F514,'#建筑消耗和buff配置索引'!$M:$M,0))</f>
        <v>18000000</v>
      </c>
      <c r="O514" s="150" t="str">
        <f>IF(INDEX('#建筑消耗和buff配置索引'!T:T,MATCH($F514,'#建筑消耗和buff配置索引'!$M:$M,0))=0,"",INDEX('#建筑消耗和buff配置索引'!T:T,MATCH($F514,'#建筑消耗和buff配置索引'!$M:$M,0)))</f>
        <v/>
      </c>
      <c r="P514" s="133" t="str">
        <f>IF(INDEX('#建筑消耗和buff配置索引'!U:U,MATCH($F514,'#建筑消耗和buff配置索引'!$M:$M,0))=0,"",INDEX('#建筑消耗和buff配置索引'!U:U,MATCH($F514,'#建筑消耗和buff配置索引'!$M:$M,0)))</f>
        <v/>
      </c>
      <c r="Q514" s="133" t="str">
        <f>IF(INDEX('#建筑消耗和buff配置索引'!K:K,MATCH($F514,'#建筑消耗和buff配置索引'!$M:$M,0))=0,"",INDEX('#建筑消耗和buff配置索引'!K:K,MATCH($F514,'#建筑消耗和buff配置索引'!$M:$M,0)))</f>
        <v>201;400</v>
      </c>
      <c r="R514" s="133" t="str">
        <f>IF(INDEX('#建筑消耗和buff配置索引'!L:L,MATCH($F514,'#建筑消耗和buff配置索引'!$M:$M,0))=0,"",INDEX('#建筑消耗和buff配置索引'!L:L,MATCH($F514,'#建筑消耗和buff配置索引'!$M:$M,0)))</f>
        <v>29;29</v>
      </c>
      <c r="S514" s="133">
        <f>IF(INDEX('#建筑消耗和buff配置索引'!C:C,MATCH(F514,'#建筑消耗和buff配置索引'!M:M,0))=0,1,INDEX('#建筑消耗和buff配置索引'!C:C,MATCH(F514,'#建筑消耗和buff配置索引'!M:M,0)))</f>
        <v>2</v>
      </c>
      <c r="T514" s="133">
        <v>0</v>
      </c>
      <c r="U514" s="133">
        <v>0</v>
      </c>
      <c r="V514" s="133" t="str">
        <f>IF(E514=1,IF(INDEX('#建筑消耗和buff配置索引'!BY:BY,MATCH(D514,'#建筑消耗和buff配置索引'!A:A,0))=0,"",INDEX('#建筑消耗和buff配置索引'!BY:BY,MATCH(D514,'#建筑消耗和buff配置索引'!A:A,0))),"")</f>
        <v/>
      </c>
      <c r="W514" s="133" t="str">
        <f>IF(E514=1,IF(INDEX('#建筑消耗和buff配置索引'!BZ:BZ,MATCH(D514,'#建筑消耗和buff配置索引'!A:A,0))=0,"",INDEX('#建筑消耗和buff配置索引'!BZ:BZ,MATCH(D514,'#建筑消耗和buff配置索引'!A:A,0))),"")</f>
        <v/>
      </c>
      <c r="AA514" s="133">
        <f>INDEX('#建筑消耗和buff配置索引'!AO:AO,MATCH($F514,'#建筑消耗和buff配置索引'!$M:$M,0))</f>
        <v>328914</v>
      </c>
      <c r="AB514" s="133">
        <f>IF(INDEX('#建筑消耗和buff配置索引'!AR:AR,MATCH($F514,'#建筑消耗和buff配置索引'!$M:$M,0))=0,"",INDEX('#建筑消耗和buff配置索引'!AR:AR,MATCH($F514,'#建筑消耗和buff配置索引'!$M:$M,0)))</f>
        <v>1328</v>
      </c>
      <c r="AC514" s="133">
        <f>IF(AB514="","",INDEX('#建筑消耗和buff配置索引'!AS:AS,MATCH($F514,'#建筑消耗和buff配置索引'!$M:$M,0)))</f>
        <v>0.98799999999999999</v>
      </c>
      <c r="AF514" s="133">
        <f>IF(INDEX('#建筑消耗和buff配置索引'!AW:AW,MATCH($F514,'#建筑消耗和buff配置索引'!$M:$M,0))=0,"",INDEX('#建筑消耗和buff配置索引'!AW:AW,MATCH($F514,'#建筑消耗和buff配置索引'!$M:$M,0)))</f>
        <v>1329</v>
      </c>
      <c r="AG514" s="133">
        <f>IF(AF514="","",INDEX('#建筑消耗和buff配置索引'!AX:AX,MATCH($F514,'#建筑消耗和buff配置索引'!$M:$M,0)))</f>
        <v>2780000</v>
      </c>
      <c r="AJ514" s="133" t="str">
        <f>IF(INDEX('#建筑消耗和buff配置索引'!BB:BB,MATCH($F514,'#建筑消耗和buff配置索引'!$M:$M,0))=0,"",INDEX('#建筑消耗和buff配置索引'!BB:BB,MATCH($F514,'#建筑消耗和buff配置索引'!$M:$M,0)))</f>
        <v/>
      </c>
      <c r="AK514" s="133" t="str">
        <f>IF(AJ514="","",INDEX('#建筑消耗和buff配置索引'!BC:BC,MATCH($F514,'#建筑消耗和buff配置索引'!$M:$M,0)))</f>
        <v/>
      </c>
      <c r="AN514" s="133" t="str">
        <f>IF(INDEX('#建筑消耗和buff配置索引'!BG:BG,MATCH($F514,'#建筑消耗和buff配置索引'!$M:$M,0))=0,"",INDEX('#建筑消耗和buff配置索引'!BG:BG,MATCH($F514,'#建筑消耗和buff配置索引'!$M:$M,0)))</f>
        <v/>
      </c>
      <c r="AO514" s="133" t="str">
        <f>IF(AN514="","",INDEX('#建筑消耗和buff配置索引'!BH:BH,MATCH($F514,'#建筑消耗和buff配置索引'!$M:$M,0)))</f>
        <v/>
      </c>
      <c r="AR514" s="133" t="str">
        <f>IF(INDEX('#建筑消耗和buff配置索引'!BK:BK,MATCH($F514,'#建筑消耗和buff配置索引'!$M:$M,0))=0,"",INDEX('#建筑消耗和buff配置索引'!BK:BK,MATCH($F514,'#建筑消耗和buff配置索引'!$M:$M,0)))</f>
        <v/>
      </c>
      <c r="AS514" s="133" t="str">
        <f>IF(AR514="","",INDEX('#建筑消耗和buff配置索引'!BL:BL,MATCH($F514,'#建筑消耗和buff配置索引'!$M:$M,0)))</f>
        <v/>
      </c>
      <c r="AV514" s="133" t="str">
        <f>IF(INDEX('#建筑消耗和buff配置索引'!BO:BO,MATCH($F514,'#建筑消耗和buff配置索引'!$M:$M,0))=0,"",INDEX('#建筑消耗和buff配置索引'!BO:BO,MATCH($F514,'#建筑消耗和buff配置索引'!$M:$M,0)))</f>
        <v/>
      </c>
      <c r="AW514" s="133" t="str">
        <f>IF(AV514="","",INDEX('#建筑消耗和buff配置索引'!BP:BP,MATCH($F514,'#建筑消耗和buff配置索引'!$M:$M,0)))</f>
        <v/>
      </c>
      <c r="AZ514" s="133" t="str">
        <f>IF(INDEX('#建筑消耗和buff配置索引'!BS:BS,MATCH($F514,'#建筑消耗和buff配置索引'!$M:$M,0))=0,"",INDEX('#建筑消耗和buff配置索引'!BS:BS,MATCH($F514,'#建筑消耗和buff配置索引'!$M:$M,0)))</f>
        <v/>
      </c>
      <c r="BA514" s="133" t="str">
        <f>IF(AZ514="","",INDEX('#建筑消耗和buff配置索引'!BT:BT,MATCH($F514,'#建筑消耗和buff配置索引'!$M:$M,0)))</f>
        <v/>
      </c>
      <c r="BD514" s="133" t="str">
        <f>IF(INDEX('#建筑消耗和buff配置索引'!BW:BW,MATCH($F514,'#建筑消耗和buff配置索引'!$M:$M,0))=0,"",INDEX('#建筑消耗和buff配置索引'!BW:BW,MATCH($F514,'#建筑消耗和buff配置索引'!$M:$M,0)))</f>
        <v/>
      </c>
      <c r="BE514" s="133" t="str">
        <f>IF(BD514="","",INDEX('#建筑消耗和buff配置索引'!BX:BX,MATCH($F514,'#建筑消耗和buff配置索引'!$M:$M,0)))</f>
        <v/>
      </c>
      <c r="BI514" s="133">
        <v>23</v>
      </c>
    </row>
    <row r="515" spans="1:70" s="133" customFormat="1">
      <c r="A515" s="133">
        <v>2310030</v>
      </c>
      <c r="B515" s="133">
        <v>512</v>
      </c>
      <c r="C515" s="133">
        <v>231</v>
      </c>
      <c r="D515" s="133" t="s">
        <v>591</v>
      </c>
      <c r="E515" s="133">
        <v>30</v>
      </c>
      <c r="F515" s="133" t="str">
        <f t="shared" si="8"/>
        <v>市集30</v>
      </c>
      <c r="H515" s="146"/>
      <c r="I515" s="133" t="s">
        <v>1205</v>
      </c>
      <c r="J515" s="150">
        <f>INDEX('#建筑消耗和buff配置索引'!AH:AH,MATCH($F515,'#建筑消耗和buff配置索引'!$M:$M,0))</f>
        <v>691200</v>
      </c>
      <c r="K515" s="150">
        <f>INDEX('#建筑消耗和buff配置索引'!AA:AA,MATCH($F515,'#建筑消耗和buff配置索引'!$M:$M,0))</f>
        <v>7700000</v>
      </c>
      <c r="L515" s="150">
        <f>INDEX('#建筑消耗和buff配置索引'!AB:AB,MATCH($F515,'#建筑消耗和buff配置索引'!$M:$M,0))</f>
        <v>7700000</v>
      </c>
      <c r="M515" s="150">
        <f>INDEX('#建筑消耗和buff配置索引'!AC:AC,MATCH($F515,'#建筑消耗和buff配置索引'!$M:$M,0))</f>
        <v>7700000</v>
      </c>
      <c r="N515" s="150">
        <f>INDEX('#建筑消耗和buff配置索引'!AD:AD,MATCH($F515,'#建筑消耗和buff配置索引'!$M:$M,0))</f>
        <v>23000000</v>
      </c>
      <c r="O515" s="150" t="str">
        <f>IF(INDEX('#建筑消耗和buff配置索引'!T:T,MATCH($F515,'#建筑消耗和buff配置索引'!$M:$M,0))=0,"",INDEX('#建筑消耗和buff配置索引'!T:T,MATCH($F515,'#建筑消耗和buff配置索引'!$M:$M,0)))</f>
        <v/>
      </c>
      <c r="P515" s="133" t="str">
        <f>IF(INDEX('#建筑消耗和buff配置索引'!U:U,MATCH($F515,'#建筑消耗和buff配置索引'!$M:$M,0))=0,"",INDEX('#建筑消耗和buff配置索引'!U:U,MATCH($F515,'#建筑消耗和buff配置索引'!$M:$M,0)))</f>
        <v/>
      </c>
      <c r="Q515" s="133" t="str">
        <f>IF(INDEX('#建筑消耗和buff配置索引'!K:K,MATCH($F515,'#建筑消耗和buff配置索引'!$M:$M,0))=0,"",INDEX('#建筑消耗和buff配置索引'!K:K,MATCH($F515,'#建筑消耗和buff配置索引'!$M:$M,0)))</f>
        <v>201;400</v>
      </c>
      <c r="R515" s="133" t="str">
        <f>IF(INDEX('#建筑消耗和buff配置索引'!L:L,MATCH($F515,'#建筑消耗和buff配置索引'!$M:$M,0))=0,"",INDEX('#建筑消耗和buff配置索引'!L:L,MATCH($F515,'#建筑消耗和buff配置索引'!$M:$M,0)))</f>
        <v>30;30</v>
      </c>
      <c r="S515" s="133">
        <f>IF(INDEX('#建筑消耗和buff配置索引'!C:C,MATCH(F515,'#建筑消耗和buff配置索引'!M:M,0))=0,1,INDEX('#建筑消耗和buff配置索引'!C:C,MATCH(F515,'#建筑消耗和buff配置索引'!M:M,0)))</f>
        <v>2</v>
      </c>
      <c r="T515" s="133">
        <v>0</v>
      </c>
      <c r="U515" s="133">
        <v>0</v>
      </c>
      <c r="V515" s="133" t="str">
        <f>IF(E515=1,IF(INDEX('#建筑消耗和buff配置索引'!BY:BY,MATCH(D515,'#建筑消耗和buff配置索引'!A:A,0))=0,"",INDEX('#建筑消耗和buff配置索引'!BY:BY,MATCH(D515,'#建筑消耗和buff配置索引'!A:A,0))),"")</f>
        <v/>
      </c>
      <c r="W515" s="133" t="str">
        <f>IF(E515=1,IF(INDEX('#建筑消耗和buff配置索引'!BZ:BZ,MATCH(D515,'#建筑消耗和buff配置索引'!A:A,0))=0,"",INDEX('#建筑消耗和buff配置索引'!BZ:BZ,MATCH(D515,'#建筑消耗和buff配置索引'!A:A,0))),"")</f>
        <v/>
      </c>
      <c r="AA515" s="133">
        <f>INDEX('#建筑消耗和buff配置索引'!AO:AO,MATCH($F515,'#建筑消耗和buff配置索引'!$M:$M,0))</f>
        <v>421613</v>
      </c>
      <c r="AB515" s="133">
        <f>IF(INDEX('#建筑消耗和buff配置索引'!AR:AR,MATCH($F515,'#建筑消耗和buff配置索引'!$M:$M,0))=0,"",INDEX('#建筑消耗和buff配置索引'!AR:AR,MATCH($F515,'#建筑消耗和buff配置索引'!$M:$M,0)))</f>
        <v>1328</v>
      </c>
      <c r="AC515" s="133">
        <f>IF(AB515="","",INDEX('#建筑消耗和buff配置索引'!AS:AS,MATCH($F515,'#建筑消耗和buff配置索引'!$M:$M,0)))</f>
        <v>1</v>
      </c>
      <c r="AF515" s="133">
        <f>IF(INDEX('#建筑消耗和buff配置索引'!AW:AW,MATCH($F515,'#建筑消耗和buff配置索引'!$M:$M,0))=0,"",INDEX('#建筑消耗和buff配置索引'!AW:AW,MATCH($F515,'#建筑消耗和buff配置索引'!$M:$M,0)))</f>
        <v>1329</v>
      </c>
      <c r="AG515" s="133">
        <f>IF(AF515="","",INDEX('#建筑消耗和buff配置索引'!AX:AX,MATCH($F515,'#建筑消耗和buff配置索引'!$M:$M,0)))</f>
        <v>3000000</v>
      </c>
      <c r="AJ515" s="133" t="str">
        <f>IF(INDEX('#建筑消耗和buff配置索引'!BB:BB,MATCH($F515,'#建筑消耗和buff配置索引'!$M:$M,0))=0,"",INDEX('#建筑消耗和buff配置索引'!BB:BB,MATCH($F515,'#建筑消耗和buff配置索引'!$M:$M,0)))</f>
        <v/>
      </c>
      <c r="AK515" s="133" t="str">
        <f>IF(AJ515="","",INDEX('#建筑消耗和buff配置索引'!BC:BC,MATCH($F515,'#建筑消耗和buff配置索引'!$M:$M,0)))</f>
        <v/>
      </c>
      <c r="AN515" s="133" t="str">
        <f>IF(INDEX('#建筑消耗和buff配置索引'!BG:BG,MATCH($F515,'#建筑消耗和buff配置索引'!$M:$M,0))=0,"",INDEX('#建筑消耗和buff配置索引'!BG:BG,MATCH($F515,'#建筑消耗和buff配置索引'!$M:$M,0)))</f>
        <v/>
      </c>
      <c r="AO515" s="133" t="str">
        <f>IF(AN515="","",INDEX('#建筑消耗和buff配置索引'!BH:BH,MATCH($F515,'#建筑消耗和buff配置索引'!$M:$M,0)))</f>
        <v/>
      </c>
      <c r="AR515" s="133" t="str">
        <f>IF(INDEX('#建筑消耗和buff配置索引'!BK:BK,MATCH($F515,'#建筑消耗和buff配置索引'!$M:$M,0))=0,"",INDEX('#建筑消耗和buff配置索引'!BK:BK,MATCH($F515,'#建筑消耗和buff配置索引'!$M:$M,0)))</f>
        <v/>
      </c>
      <c r="AS515" s="133" t="str">
        <f>IF(AR515="","",INDEX('#建筑消耗和buff配置索引'!BL:BL,MATCH($F515,'#建筑消耗和buff配置索引'!$M:$M,0)))</f>
        <v/>
      </c>
      <c r="AV515" s="133" t="str">
        <f>IF(INDEX('#建筑消耗和buff配置索引'!BO:BO,MATCH($F515,'#建筑消耗和buff配置索引'!$M:$M,0))=0,"",INDEX('#建筑消耗和buff配置索引'!BO:BO,MATCH($F515,'#建筑消耗和buff配置索引'!$M:$M,0)))</f>
        <v/>
      </c>
      <c r="AW515" s="133" t="str">
        <f>IF(AV515="","",INDEX('#建筑消耗和buff配置索引'!BP:BP,MATCH($F515,'#建筑消耗和buff配置索引'!$M:$M,0)))</f>
        <v/>
      </c>
      <c r="AZ515" s="133" t="str">
        <f>IF(INDEX('#建筑消耗和buff配置索引'!BS:BS,MATCH($F515,'#建筑消耗和buff配置索引'!$M:$M,0))=0,"",INDEX('#建筑消耗和buff配置索引'!BS:BS,MATCH($F515,'#建筑消耗和buff配置索引'!$M:$M,0)))</f>
        <v/>
      </c>
      <c r="BA515" s="133" t="str">
        <f>IF(AZ515="","",INDEX('#建筑消耗和buff配置索引'!BT:BT,MATCH($F515,'#建筑消耗和buff配置索引'!$M:$M,0)))</f>
        <v/>
      </c>
      <c r="BD515" s="133" t="str">
        <f>IF(INDEX('#建筑消耗和buff配置索引'!BW:BW,MATCH($F515,'#建筑消耗和buff配置索引'!$M:$M,0))=0,"",INDEX('#建筑消耗和buff配置索引'!BW:BW,MATCH($F515,'#建筑消耗和buff配置索引'!$M:$M,0)))</f>
        <v/>
      </c>
      <c r="BE515" s="133" t="str">
        <f>IF(BD515="","",INDEX('#建筑消耗和buff配置索引'!BX:BX,MATCH($F515,'#建筑消耗和buff配置索引'!$M:$M,0)))</f>
        <v/>
      </c>
      <c r="BI515" s="133">
        <v>23</v>
      </c>
    </row>
    <row r="516" spans="1:70" s="134" customFormat="1">
      <c r="A516" s="134">
        <v>2070001</v>
      </c>
      <c r="B516" s="134">
        <v>513</v>
      </c>
      <c r="C516" s="134">
        <v>207</v>
      </c>
      <c r="D516" s="134" t="s">
        <v>595</v>
      </c>
      <c r="E516" s="134">
        <v>1</v>
      </c>
      <c r="F516" s="134" t="str">
        <f t="shared" si="8"/>
        <v>农田1</v>
      </c>
      <c r="H516" s="154"/>
      <c r="I516" s="134">
        <v>0</v>
      </c>
      <c r="J516" s="155">
        <f>INDEX('#建筑消耗和buff配置索引'!AH:AH,MATCH($F516,'#建筑消耗和buff配置索引'!$M:$M,0))</f>
        <v>1</v>
      </c>
      <c r="K516" s="155">
        <f>INDEX('#建筑消耗和buff配置索引'!AA:AA,MATCH($F516,'#建筑消耗和buff配置索引'!$M:$M,0))</f>
        <v>0</v>
      </c>
      <c r="L516" s="155">
        <f>INDEX('#建筑消耗和buff配置索引'!AB:AB,MATCH($F516,'#建筑消耗和buff配置索引'!$M:$M,0))</f>
        <v>0</v>
      </c>
      <c r="M516" s="155">
        <f>INDEX('#建筑消耗和buff配置索引'!AC:AC,MATCH($F516,'#建筑消耗和buff配置索引'!$M:$M,0))</f>
        <v>0</v>
      </c>
      <c r="N516" s="155">
        <f>INDEX('#建筑消耗和buff配置索引'!AD:AD,MATCH($F516,'#建筑消耗和buff配置索引'!$M:$M,0))</f>
        <v>0</v>
      </c>
      <c r="O516" s="150" t="str">
        <f>IF(INDEX('#建筑消耗和buff配置索引'!T:T,MATCH($F516,'#建筑消耗和buff配置索引'!$M:$M,0))=0,"",INDEX('#建筑消耗和buff配置索引'!T:T,MATCH($F516,'#建筑消耗和buff配置索引'!$M:$M,0)))</f>
        <v/>
      </c>
      <c r="P516" s="133" t="str">
        <f>IF(INDEX('#建筑消耗和buff配置索引'!U:U,MATCH($F516,'#建筑消耗和buff配置索引'!$M:$M,0))=0,"",INDEX('#建筑消耗和buff配置索引'!U:U,MATCH($F516,'#建筑消耗和buff配置索引'!$M:$M,0)))</f>
        <v/>
      </c>
      <c r="Q516" s="133" t="str">
        <f>IF(INDEX('#建筑消耗和buff配置索引'!K:K,MATCH($F516,'#建筑消耗和buff配置索引'!$M:$M,0))=0,"",INDEX('#建筑消耗和buff配置索引'!K:K,MATCH($F516,'#建筑消耗和buff配置索引'!$M:$M,0)))</f>
        <v>203</v>
      </c>
      <c r="R516" s="133" t="str">
        <f>IF(INDEX('#建筑消耗和buff配置索引'!L:L,MATCH($F516,'#建筑消耗和buff配置索引'!$M:$M,0))=0,"",INDEX('#建筑消耗和buff配置索引'!L:L,MATCH($F516,'#建筑消耗和buff配置索引'!$M:$M,0)))</f>
        <v>1</v>
      </c>
      <c r="S516" s="134">
        <f>IF(INDEX('#建筑消耗和buff配置索引'!C:C,MATCH(F516,'#建筑消耗和buff配置索引'!M:M,0))=0,1,INDEX('#建筑消耗和buff配置索引'!C:C,MATCH(F516,'#建筑消耗和buff配置索引'!M:M,0)))</f>
        <v>1</v>
      </c>
      <c r="T516" s="134">
        <v>0</v>
      </c>
      <c r="U516" s="134">
        <v>0</v>
      </c>
      <c r="V516" s="133" t="str">
        <f>IF(E516=1,IF(INDEX('#建筑消耗和buff配置索引'!BY:BY,MATCH(D516,'#建筑消耗和buff配置索引'!A:A,0))=0,"",INDEX('#建筑消耗和buff配置索引'!BY:BY,MATCH(D516,'#建筑消耗和buff配置索引'!A:A,0))),"")</f>
        <v>1</v>
      </c>
      <c r="W516" s="133" t="str">
        <f>IF(E516=1,IF(INDEX('#建筑消耗和buff配置索引'!BZ:BZ,MATCH(D516,'#建筑消耗和buff配置索引'!A:A,0))=0,"",INDEX('#建筑消耗和buff配置索引'!BZ:BZ,MATCH(D516,'#建筑消耗和buff配置索引'!A:A,0))),"")</f>
        <v>TID_Buff_BuilDetail_1015</v>
      </c>
      <c r="AA516" s="134">
        <f>INDEX('#建筑消耗和buff配置索引'!AO:AO,MATCH($F516,'#建筑消耗和buff配置索引'!$M:$M,0))</f>
        <v>0</v>
      </c>
      <c r="AB516" s="134">
        <f>IF(INDEX('#建筑消耗和buff配置索引'!AR:AR,MATCH($F516,'#建筑消耗和buff配置索引'!$M:$M,0))=0,"",INDEX('#建筑消耗和buff配置索引'!AR:AR,MATCH($F516,'#建筑消耗和buff配置索引'!$M:$M,0)))</f>
        <v>1015</v>
      </c>
      <c r="AC516" s="134">
        <f>IF(AB516="","",INDEX('#建筑消耗和buff配置索引'!AS:AS,MATCH($F516,'#建筑消耗和buff配置索引'!$M:$M,0)))</f>
        <v>200</v>
      </c>
      <c r="AF516" s="134" t="str">
        <f>IF(INDEX('#建筑消耗和buff配置索引'!AW:AW,MATCH($F516,'#建筑消耗和buff配置索引'!$M:$M,0))=0,"",INDEX('#建筑消耗和buff配置索引'!AW:AW,MATCH($F516,'#建筑消耗和buff配置索引'!$M:$M,0)))</f>
        <v/>
      </c>
      <c r="AG516" s="134" t="str">
        <f>IF(AF516="","",INDEX('#建筑消耗和buff配置索引'!AX:AX,MATCH($F516,'#建筑消耗和buff配置索引'!$M:$M,0)))</f>
        <v/>
      </c>
      <c r="AJ516" s="133" t="str">
        <f>IF(INDEX('#建筑消耗和buff配置索引'!BB:BB,MATCH($F516,'#建筑消耗和buff配置索引'!$M:$M,0))=0,"",INDEX('#建筑消耗和buff配置索引'!BB:BB,MATCH($F516,'#建筑消耗和buff配置索引'!$M:$M,0)))</f>
        <v/>
      </c>
      <c r="AK516" s="133" t="str">
        <f>IF(AJ516="","",INDEX('#建筑消耗和buff配置索引'!BC:BC,MATCH($F516,'#建筑消耗和buff配置索引'!$M:$M,0)))</f>
        <v/>
      </c>
      <c r="AL516" s="133"/>
      <c r="AM516" s="133"/>
      <c r="AN516" s="133" t="str">
        <f>IF(INDEX('#建筑消耗和buff配置索引'!BG:BG,MATCH($F516,'#建筑消耗和buff配置索引'!$M:$M,0))=0,"",INDEX('#建筑消耗和buff配置索引'!BG:BG,MATCH($F516,'#建筑消耗和buff配置索引'!$M:$M,0)))</f>
        <v/>
      </c>
      <c r="AO516" s="133" t="str">
        <f>IF(AN516="","",INDEX('#建筑消耗和buff配置索引'!BH:BH,MATCH($F516,'#建筑消耗和buff配置索引'!$M:$M,0)))</f>
        <v/>
      </c>
      <c r="AP516" s="133"/>
      <c r="AQ516" s="133"/>
      <c r="AR516" s="133" t="str">
        <f>IF(INDEX('#建筑消耗和buff配置索引'!BK:BK,MATCH($F516,'#建筑消耗和buff配置索引'!$M:$M,0))=0,"",INDEX('#建筑消耗和buff配置索引'!BK:BK,MATCH($F516,'#建筑消耗和buff配置索引'!$M:$M,0)))</f>
        <v/>
      </c>
      <c r="AS516" s="133" t="str">
        <f>IF(AR516="","",INDEX('#建筑消耗和buff配置索引'!BL:BL,MATCH($F516,'#建筑消耗和buff配置索引'!$M:$M,0)))</f>
        <v/>
      </c>
      <c r="AT516" s="133"/>
      <c r="AU516" s="133"/>
      <c r="AV516" s="133" t="str">
        <f>IF(INDEX('#建筑消耗和buff配置索引'!BO:BO,MATCH($F516,'#建筑消耗和buff配置索引'!$M:$M,0))=0,"",INDEX('#建筑消耗和buff配置索引'!BO:BO,MATCH($F516,'#建筑消耗和buff配置索引'!$M:$M,0)))</f>
        <v/>
      </c>
      <c r="AW516" s="133" t="str">
        <f>IF(AV516="","",INDEX('#建筑消耗和buff配置索引'!BP:BP,MATCH($F516,'#建筑消耗和buff配置索引'!$M:$M,0)))</f>
        <v/>
      </c>
      <c r="AX516" s="133"/>
      <c r="AY516" s="133"/>
      <c r="AZ516" s="133" t="str">
        <f>IF(INDEX('#建筑消耗和buff配置索引'!BS:BS,MATCH($F516,'#建筑消耗和buff配置索引'!$M:$M,0))=0,"",INDEX('#建筑消耗和buff配置索引'!BS:BS,MATCH($F516,'#建筑消耗和buff配置索引'!$M:$M,0)))</f>
        <v/>
      </c>
      <c r="BA516" s="133" t="str">
        <f>IF(AZ516="","",INDEX('#建筑消耗和buff配置索引'!BT:BT,MATCH($F516,'#建筑消耗和buff配置索引'!$M:$M,0)))</f>
        <v/>
      </c>
      <c r="BB516" s="133"/>
      <c r="BC516" s="133"/>
      <c r="BD516" s="133" t="str">
        <f>IF(INDEX('#建筑消耗和buff配置索引'!BW:BW,MATCH($F516,'#建筑消耗和buff配置索引'!$M:$M,0))=0,"",INDEX('#建筑消耗和buff配置索引'!BW:BW,MATCH($F516,'#建筑消耗和buff配置索引'!$M:$M,0)))</f>
        <v/>
      </c>
      <c r="BE516" s="133" t="str">
        <f>IF(BD516="","",INDEX('#建筑消耗和buff配置索引'!BX:BX,MATCH($F516,'#建筑消耗和buff配置索引'!$M:$M,0)))</f>
        <v/>
      </c>
      <c r="BF516" s="159"/>
      <c r="BG516" s="159"/>
      <c r="BI516" s="134">
        <v>28</v>
      </c>
      <c r="BO516" s="134">
        <v>3</v>
      </c>
      <c r="BP516" s="134" t="s">
        <v>1360</v>
      </c>
      <c r="BQ516" s="134">
        <v>10003604</v>
      </c>
      <c r="BR516" s="134">
        <v>300</v>
      </c>
    </row>
    <row r="517" spans="1:70" s="135" customFormat="1">
      <c r="A517" s="134">
        <v>2360001</v>
      </c>
      <c r="B517" s="134">
        <v>514</v>
      </c>
      <c r="C517" s="134">
        <v>236</v>
      </c>
      <c r="D517" s="134" t="s">
        <v>999</v>
      </c>
      <c r="E517" s="134">
        <v>1</v>
      </c>
      <c r="F517" s="134" t="str">
        <f t="shared" si="8"/>
        <v>纪念碑1</v>
      </c>
      <c r="G517" s="134"/>
      <c r="H517" s="154"/>
      <c r="I517" s="134" t="s">
        <v>1205</v>
      </c>
      <c r="J517" s="155">
        <f>INDEX('#建筑消耗和buff配置索引'!AH:AH,MATCH($F517,'#建筑消耗和buff配置索引'!$M:$M,0))</f>
        <v>25</v>
      </c>
      <c r="K517" s="155">
        <f>INDEX('#建筑消耗和buff配置索引'!AA:AA,MATCH($F517,'#建筑消耗和buff配置索引'!$M:$M,0))</f>
        <v>0</v>
      </c>
      <c r="L517" s="155">
        <f>INDEX('#建筑消耗和buff配置索引'!AB:AB,MATCH($F517,'#建筑消耗和buff配置索引'!$M:$M,0))</f>
        <v>0</v>
      </c>
      <c r="M517" s="155">
        <f>INDEX('#建筑消耗和buff配置索引'!AC:AC,MATCH($F517,'#建筑消耗和buff配置索引'!$M:$M,0))</f>
        <v>0</v>
      </c>
      <c r="N517" s="155">
        <f>INDEX('#建筑消耗和buff配置索引'!AD:AD,MATCH($F517,'#建筑消耗和buff配置索引'!$M:$M,0))</f>
        <v>0</v>
      </c>
      <c r="O517" s="150" t="str">
        <f>IF(INDEX('#建筑消耗和buff配置索引'!T:T,MATCH($F517,'#建筑消耗和buff配置索引'!$M:$M,0))=0,"",INDEX('#建筑消耗和buff配置索引'!T:T,MATCH($F517,'#建筑消耗和buff配置索引'!$M:$M,0)))</f>
        <v/>
      </c>
      <c r="P517" s="133" t="str">
        <f>IF(INDEX('#建筑消耗和buff配置索引'!U:U,MATCH($F517,'#建筑消耗和buff配置索引'!$M:$M,0))=0,"",INDEX('#建筑消耗和buff配置索引'!U:U,MATCH($F517,'#建筑消耗和buff配置索引'!$M:$M,0)))</f>
        <v/>
      </c>
      <c r="Q517" s="133" t="str">
        <f>IF(INDEX('#建筑消耗和buff配置索引'!K:K,MATCH($F517,'#建筑消耗和buff配置索引'!$M:$M,0))=0,"",INDEX('#建筑消耗和buff配置索引'!K:K,MATCH($F517,'#建筑消耗和buff配置索引'!$M:$M,0)))</f>
        <v>201</v>
      </c>
      <c r="R517" s="133" t="str">
        <f>IF(INDEX('#建筑消耗和buff配置索引'!L:L,MATCH($F517,'#建筑消耗和buff配置索引'!$M:$M,0))=0,"",INDEX('#建筑消耗和buff配置索引'!L:L,MATCH($F517,'#建筑消耗和buff配置索引'!$M:$M,0)))</f>
        <v>1</v>
      </c>
      <c r="S517" s="134">
        <f>IF(INDEX('#建筑消耗和buff配置索引'!C:C,MATCH(F517,'#建筑消耗和buff配置索引'!M:M,0))=0,1,INDEX('#建筑消耗和buff配置索引'!C:C,MATCH(F517,'#建筑消耗和buff配置索引'!M:M,0)))</f>
        <v>1</v>
      </c>
      <c r="T517" s="134">
        <v>0</v>
      </c>
      <c r="U517" s="134">
        <v>0</v>
      </c>
      <c r="V517" s="133" t="str">
        <f>IF(E517=1,IF(INDEX('#建筑消耗和buff配置索引'!BY:BY,MATCH(D517,'#建筑消耗和buff配置索引'!A:A,0))=0,"",INDEX('#建筑消耗和buff配置索引'!BY:BY,MATCH(D517,'#建筑消耗和buff配置索引'!A:A,0))),"")</f>
        <v/>
      </c>
      <c r="W517" s="133" t="str">
        <f>IF(E517=1,IF(INDEX('#建筑消耗和buff配置索引'!BZ:BZ,MATCH(D517,'#建筑消耗和buff配置索引'!A:A,0))=0,"",INDEX('#建筑消耗和buff配置索引'!BZ:BZ,MATCH(D517,'#建筑消耗和buff配置索引'!A:A,0))),"")</f>
        <v/>
      </c>
      <c r="X517" s="134"/>
      <c r="Y517" s="134"/>
      <c r="Z517" s="134"/>
      <c r="AA517" s="134">
        <f>INDEX('#建筑消耗和buff配置索引'!AO:AO,MATCH($F517,'#建筑消耗和buff配置索引'!$M:$M,0))</f>
        <v>0</v>
      </c>
      <c r="AB517" s="134" t="str">
        <f>IF(INDEX('#建筑消耗和buff配置索引'!AR:AR,MATCH($F517,'#建筑消耗和buff配置索引'!$M:$M,0))=0,"",INDEX('#建筑消耗和buff配置索引'!AR:AR,MATCH($F517,'#建筑消耗和buff配置索引'!$M:$M,0)))</f>
        <v/>
      </c>
      <c r="AC517" s="134" t="str">
        <f>IF(AB517="","",INDEX('#建筑消耗和buff配置索引'!AS:AS,MATCH($F517,'#建筑消耗和buff配置索引'!$M:$M,0)))</f>
        <v/>
      </c>
      <c r="AD517" s="134"/>
      <c r="AE517" s="134"/>
      <c r="AF517" s="134" t="str">
        <f>IF(INDEX('#建筑消耗和buff配置索引'!AW:AW,MATCH($F517,'#建筑消耗和buff配置索引'!$M:$M,0))=0,"",INDEX('#建筑消耗和buff配置索引'!AW:AW,MATCH($F517,'#建筑消耗和buff配置索引'!$M:$M,0)))</f>
        <v/>
      </c>
      <c r="AG517" s="134" t="str">
        <f>IF(AF517="","",INDEX('#建筑消耗和buff配置索引'!AX:AX,MATCH($F517,'#建筑消耗和buff配置索引'!$M:$M,0)))</f>
        <v/>
      </c>
      <c r="AH517" s="134"/>
      <c r="AI517" s="134"/>
      <c r="AJ517" s="133" t="str">
        <f>IF(INDEX('#建筑消耗和buff配置索引'!BB:BB,MATCH($F517,'#建筑消耗和buff配置索引'!$M:$M,0))=0,"",INDEX('#建筑消耗和buff配置索引'!BB:BB,MATCH($F517,'#建筑消耗和buff配置索引'!$M:$M,0)))</f>
        <v/>
      </c>
      <c r="AK517" s="133" t="str">
        <f>IF(AJ517="","",INDEX('#建筑消耗和buff配置索引'!BC:BC,MATCH($F517,'#建筑消耗和buff配置索引'!$M:$M,0)))</f>
        <v/>
      </c>
      <c r="AL517" s="133"/>
      <c r="AM517" s="133"/>
      <c r="AN517" s="133" t="str">
        <f>IF(INDEX('#建筑消耗和buff配置索引'!BG:BG,MATCH($F517,'#建筑消耗和buff配置索引'!$M:$M,0))=0,"",INDEX('#建筑消耗和buff配置索引'!BG:BG,MATCH($F517,'#建筑消耗和buff配置索引'!$M:$M,0)))</f>
        <v/>
      </c>
      <c r="AO517" s="133" t="str">
        <f>IF(AN517="","",INDEX('#建筑消耗和buff配置索引'!BH:BH,MATCH($F517,'#建筑消耗和buff配置索引'!$M:$M,0)))</f>
        <v/>
      </c>
      <c r="AP517" s="133"/>
      <c r="AQ517" s="133"/>
      <c r="AR517" s="133" t="str">
        <f>IF(INDEX('#建筑消耗和buff配置索引'!BK:BK,MATCH($F517,'#建筑消耗和buff配置索引'!$M:$M,0))=0,"",INDEX('#建筑消耗和buff配置索引'!BK:BK,MATCH($F517,'#建筑消耗和buff配置索引'!$M:$M,0)))</f>
        <v/>
      </c>
      <c r="AS517" s="133" t="str">
        <f>IF(AR517="","",INDEX('#建筑消耗和buff配置索引'!BL:BL,MATCH($F517,'#建筑消耗和buff配置索引'!$M:$M,0)))</f>
        <v/>
      </c>
      <c r="AT517" s="133"/>
      <c r="AU517" s="133"/>
      <c r="AV517" s="133" t="str">
        <f>IF(INDEX('#建筑消耗和buff配置索引'!BO:BO,MATCH($F517,'#建筑消耗和buff配置索引'!$M:$M,0))=0,"",INDEX('#建筑消耗和buff配置索引'!BO:BO,MATCH($F517,'#建筑消耗和buff配置索引'!$M:$M,0)))</f>
        <v/>
      </c>
      <c r="AW517" s="133" t="str">
        <f>IF(AV517="","",INDEX('#建筑消耗和buff配置索引'!BP:BP,MATCH($F517,'#建筑消耗和buff配置索引'!$M:$M,0)))</f>
        <v/>
      </c>
      <c r="AX517" s="133"/>
      <c r="AY517" s="133"/>
      <c r="AZ517" s="133" t="str">
        <f>IF(INDEX('#建筑消耗和buff配置索引'!BS:BS,MATCH($F517,'#建筑消耗和buff配置索引'!$M:$M,0))=0,"",INDEX('#建筑消耗和buff配置索引'!BS:BS,MATCH($F517,'#建筑消耗和buff配置索引'!$M:$M,0)))</f>
        <v/>
      </c>
      <c r="BA517" s="133" t="str">
        <f>IF(AZ517="","",INDEX('#建筑消耗和buff配置索引'!BT:BT,MATCH($F517,'#建筑消耗和buff配置索引'!$M:$M,0)))</f>
        <v/>
      </c>
      <c r="BB517" s="133"/>
      <c r="BC517" s="133"/>
      <c r="BD517" s="133" t="str">
        <f>IF(INDEX('#建筑消耗和buff配置索引'!BW:BW,MATCH($F517,'#建筑消耗和buff配置索引'!$M:$M,0))=0,"",INDEX('#建筑消耗和buff配置索引'!BW:BW,MATCH($F517,'#建筑消耗和buff配置索引'!$M:$M,0)))</f>
        <v/>
      </c>
      <c r="BE517" s="133" t="str">
        <f>IF(BD517="","",INDEX('#建筑消耗和buff配置索引'!BX:BX,MATCH($F517,'#建筑消耗和buff配置索引'!$M:$M,0)))</f>
        <v/>
      </c>
      <c r="BF517" s="160"/>
      <c r="BG517" s="160"/>
      <c r="BH517" s="134"/>
      <c r="BI517" s="134">
        <v>24</v>
      </c>
      <c r="BJ517" s="134"/>
    </row>
    <row r="518" spans="1:70" s="134" customFormat="1">
      <c r="A518" s="134">
        <v>2130001</v>
      </c>
      <c r="B518" s="134">
        <v>515</v>
      </c>
      <c r="C518" s="134">
        <v>213</v>
      </c>
      <c r="D518" s="134" t="s">
        <v>599</v>
      </c>
      <c r="E518" s="134">
        <v>1</v>
      </c>
      <c r="F518" s="134" t="str">
        <f t="shared" si="8"/>
        <v>码头1</v>
      </c>
      <c r="H518" s="154"/>
      <c r="I518" s="134" t="s">
        <v>1205</v>
      </c>
      <c r="J518" s="155">
        <f>INDEX('#建筑消耗和buff配置索引'!AH:AH,MATCH($F518,'#建筑消耗和buff配置索引'!$M:$M,0))</f>
        <v>1</v>
      </c>
      <c r="K518" s="155">
        <f>INDEX('#建筑消耗和buff配置索引'!AA:AA,MATCH($F518,'#建筑消耗和buff配置索引'!$M:$M,0))</f>
        <v>0</v>
      </c>
      <c r="L518" s="155">
        <f>INDEX('#建筑消耗和buff配置索引'!AB:AB,MATCH($F518,'#建筑消耗和buff配置索引'!$M:$M,0))</f>
        <v>0</v>
      </c>
      <c r="M518" s="155">
        <f>INDEX('#建筑消耗和buff配置索引'!AC:AC,MATCH($F518,'#建筑消耗和buff配置索引'!$M:$M,0))</f>
        <v>0</v>
      </c>
      <c r="N518" s="155">
        <f>INDEX('#建筑消耗和buff配置索引'!AD:AD,MATCH($F518,'#建筑消耗和buff配置索引'!$M:$M,0))</f>
        <v>0</v>
      </c>
      <c r="O518" s="150" t="str">
        <f>IF(INDEX('#建筑消耗和buff配置索引'!T:T,MATCH($F518,'#建筑消耗和buff配置索引'!$M:$M,0))=0,"",INDEX('#建筑消耗和buff配置索引'!T:T,MATCH($F518,'#建筑消耗和buff配置索引'!$M:$M,0)))</f>
        <v/>
      </c>
      <c r="P518" s="133" t="str">
        <f>IF(INDEX('#建筑消耗和buff配置索引'!U:U,MATCH($F518,'#建筑消耗和buff配置索引'!$M:$M,0))=0,"",INDEX('#建筑消耗和buff配置索引'!U:U,MATCH($F518,'#建筑消耗和buff配置索引'!$M:$M,0)))</f>
        <v/>
      </c>
      <c r="Q518" s="133" t="str">
        <f>IF(INDEX('#建筑消耗和buff配置索引'!K:K,MATCH($F518,'#建筑消耗和buff配置索引'!$M:$M,0))=0,"",INDEX('#建筑消耗和buff配置索引'!K:K,MATCH($F518,'#建筑消耗和buff配置索引'!$M:$M,0)))</f>
        <v>201</v>
      </c>
      <c r="R518" s="133" t="str">
        <f>IF(INDEX('#建筑消耗和buff配置索引'!L:L,MATCH($F518,'#建筑消耗和buff配置索引'!$M:$M,0))=0,"",INDEX('#建筑消耗和buff配置索引'!L:L,MATCH($F518,'#建筑消耗和buff配置索引'!$M:$M,0)))</f>
        <v>2</v>
      </c>
      <c r="S518" s="134">
        <f>IF(INDEX('#建筑消耗和buff配置索引'!C:C,MATCH(F518,'#建筑消耗和buff配置索引'!M:M,0))=0,1,INDEX('#建筑消耗和buff配置索引'!C:C,MATCH(F518,'#建筑消耗和buff配置索引'!M:M,0)))</f>
        <v>1</v>
      </c>
      <c r="T518" s="134">
        <v>0</v>
      </c>
      <c r="U518" s="134">
        <v>0</v>
      </c>
      <c r="V518" s="133" t="str">
        <f>IF(E518=1,IF(INDEX('#建筑消耗和buff配置索引'!BY:BY,MATCH(D518,'#建筑消耗和buff配置索引'!A:A,0))=0,"",INDEX('#建筑消耗和buff配置索引'!BY:BY,MATCH(D518,'#建筑消耗和buff配置索引'!A:A,0))),"")</f>
        <v/>
      </c>
      <c r="W518" s="133" t="str">
        <f>IF(E518=1,IF(INDEX('#建筑消耗和buff配置索引'!BZ:BZ,MATCH(D518,'#建筑消耗和buff配置索引'!A:A,0))=0,"",INDEX('#建筑消耗和buff配置索引'!BZ:BZ,MATCH(D518,'#建筑消耗和buff配置索引'!A:A,0))),"")</f>
        <v/>
      </c>
      <c r="AA518" s="134">
        <f>INDEX('#建筑消耗和buff配置索引'!AO:AO,MATCH($F518,'#建筑消耗和buff配置索引'!$M:$M,0))</f>
        <v>0</v>
      </c>
      <c r="AB518" s="134" t="str">
        <f>IF(INDEX('#建筑消耗和buff配置索引'!AR:AR,MATCH($F518,'#建筑消耗和buff配置索引'!$M:$M,0))=0,"",INDEX('#建筑消耗和buff配置索引'!AR:AR,MATCH($F518,'#建筑消耗和buff配置索引'!$M:$M,0)))</f>
        <v/>
      </c>
      <c r="AC518" s="134" t="str">
        <f>IF(AB518="","",INDEX('#建筑消耗和buff配置索引'!AS:AS,MATCH($F518,'#建筑消耗和buff配置索引'!$M:$M,0)))</f>
        <v/>
      </c>
      <c r="AF518" s="134" t="str">
        <f>IF(INDEX('#建筑消耗和buff配置索引'!AW:AW,MATCH($F518,'#建筑消耗和buff配置索引'!$M:$M,0))=0,"",INDEX('#建筑消耗和buff配置索引'!AW:AW,MATCH($F518,'#建筑消耗和buff配置索引'!$M:$M,0)))</f>
        <v/>
      </c>
      <c r="AG518" s="134" t="str">
        <f>IF(AF518="","",INDEX('#建筑消耗和buff配置索引'!AX:AX,MATCH($F518,'#建筑消耗和buff配置索引'!$M:$M,0)))</f>
        <v/>
      </c>
      <c r="AJ518" s="133" t="str">
        <f>IF(INDEX('#建筑消耗和buff配置索引'!BB:BB,MATCH($F518,'#建筑消耗和buff配置索引'!$M:$M,0))=0,"",INDEX('#建筑消耗和buff配置索引'!BB:BB,MATCH($F518,'#建筑消耗和buff配置索引'!$M:$M,0)))</f>
        <v/>
      </c>
      <c r="AK518" s="133" t="str">
        <f>IF(AJ518="","",INDEX('#建筑消耗和buff配置索引'!BC:BC,MATCH($F518,'#建筑消耗和buff配置索引'!$M:$M,0)))</f>
        <v/>
      </c>
      <c r="AL518" s="133"/>
      <c r="AM518" s="133"/>
      <c r="AN518" s="133" t="str">
        <f>IF(INDEX('#建筑消耗和buff配置索引'!BG:BG,MATCH($F518,'#建筑消耗和buff配置索引'!$M:$M,0))=0,"",INDEX('#建筑消耗和buff配置索引'!BG:BG,MATCH($F518,'#建筑消耗和buff配置索引'!$M:$M,0)))</f>
        <v/>
      </c>
      <c r="AO518" s="133" t="str">
        <f>IF(AN518="","",INDEX('#建筑消耗和buff配置索引'!BH:BH,MATCH($F518,'#建筑消耗和buff配置索引'!$M:$M,0)))</f>
        <v/>
      </c>
      <c r="AP518" s="133"/>
      <c r="AQ518" s="133"/>
      <c r="AR518" s="133" t="str">
        <f>IF(INDEX('#建筑消耗和buff配置索引'!BK:BK,MATCH($F518,'#建筑消耗和buff配置索引'!$M:$M,0))=0,"",INDEX('#建筑消耗和buff配置索引'!BK:BK,MATCH($F518,'#建筑消耗和buff配置索引'!$M:$M,0)))</f>
        <v/>
      </c>
      <c r="AS518" s="133" t="str">
        <f>IF(AR518="","",INDEX('#建筑消耗和buff配置索引'!BL:BL,MATCH($F518,'#建筑消耗和buff配置索引'!$M:$M,0)))</f>
        <v/>
      </c>
      <c r="AT518" s="133"/>
      <c r="AU518" s="133"/>
      <c r="AV518" s="133" t="str">
        <f>IF(INDEX('#建筑消耗和buff配置索引'!BO:BO,MATCH($F518,'#建筑消耗和buff配置索引'!$M:$M,0))=0,"",INDEX('#建筑消耗和buff配置索引'!BO:BO,MATCH($F518,'#建筑消耗和buff配置索引'!$M:$M,0)))</f>
        <v/>
      </c>
      <c r="AW518" s="133" t="str">
        <f>IF(AV518="","",INDEX('#建筑消耗和buff配置索引'!BP:BP,MATCH($F518,'#建筑消耗和buff配置索引'!$M:$M,0)))</f>
        <v/>
      </c>
      <c r="AX518" s="133"/>
      <c r="AY518" s="133"/>
      <c r="AZ518" s="133" t="str">
        <f>IF(INDEX('#建筑消耗和buff配置索引'!BS:BS,MATCH($F518,'#建筑消耗和buff配置索引'!$M:$M,0))=0,"",INDEX('#建筑消耗和buff配置索引'!BS:BS,MATCH($F518,'#建筑消耗和buff配置索引'!$M:$M,0)))</f>
        <v/>
      </c>
      <c r="BA518" s="133" t="str">
        <f>IF(AZ518="","",INDEX('#建筑消耗和buff配置索引'!BT:BT,MATCH($F518,'#建筑消耗和buff配置索引'!$M:$M,0)))</f>
        <v/>
      </c>
      <c r="BB518" s="133"/>
      <c r="BC518" s="133"/>
      <c r="BD518" s="133" t="str">
        <f>IF(INDEX('#建筑消耗和buff配置索引'!BW:BW,MATCH($F518,'#建筑消耗和buff配置索引'!$M:$M,0))=0,"",INDEX('#建筑消耗和buff配置索引'!BW:BW,MATCH($F518,'#建筑消耗和buff配置索引'!$M:$M,0)))</f>
        <v/>
      </c>
      <c r="BE518" s="133" t="str">
        <f>IF(BD518="","",INDEX('#建筑消耗和buff配置索引'!BX:BX,MATCH($F518,'#建筑消耗和buff配置索引'!$M:$M,0)))</f>
        <v/>
      </c>
      <c r="BF518" s="160"/>
      <c r="BG518" s="160"/>
      <c r="BI518" s="134">
        <v>6</v>
      </c>
    </row>
    <row r="519" spans="1:70">
      <c r="A519" s="133">
        <v>2370001</v>
      </c>
      <c r="B519" s="133">
        <v>516</v>
      </c>
      <c r="C519" s="133">
        <v>237</v>
      </c>
      <c r="D519" s="133" t="s">
        <v>565</v>
      </c>
      <c r="E519" s="133">
        <v>1</v>
      </c>
      <c r="F519" s="133" t="str">
        <f t="shared" si="8"/>
        <v>酒馆1</v>
      </c>
      <c r="G519" s="133"/>
      <c r="H519" s="146"/>
      <c r="I519" s="133" t="s">
        <v>1205</v>
      </c>
      <c r="J519" s="150">
        <f>INDEX('#建筑消耗和buff配置索引'!AH:AH,MATCH($F519,'#建筑消耗和buff配置索引'!$M:$M,0))</f>
        <v>25</v>
      </c>
      <c r="K519" s="150">
        <f>INDEX('#建筑消耗和buff配置索引'!AA:AA,MATCH($F519,'#建筑消耗和buff配置索引'!$M:$M,0))</f>
        <v>0</v>
      </c>
      <c r="L519" s="150">
        <f>INDEX('#建筑消耗和buff配置索引'!AB:AB,MATCH($F519,'#建筑消耗和buff配置索引'!$M:$M,0))</f>
        <v>0</v>
      </c>
      <c r="M519" s="150">
        <f>INDEX('#建筑消耗和buff配置索引'!AC:AC,MATCH($F519,'#建筑消耗和buff配置索引'!$M:$M,0))</f>
        <v>0</v>
      </c>
      <c r="N519" s="150">
        <f>INDEX('#建筑消耗和buff配置索引'!AD:AD,MATCH($F519,'#建筑消耗和buff配置索引'!$M:$M,0))</f>
        <v>0</v>
      </c>
      <c r="O519" s="150" t="str">
        <f>IF(INDEX('#建筑消耗和buff配置索引'!T:T,MATCH($F519,'#建筑消耗和buff配置索引'!$M:$M,0))=0,"",INDEX('#建筑消耗和buff配置索引'!T:T,MATCH($F519,'#建筑消耗和buff配置索引'!$M:$M,0)))</f>
        <v/>
      </c>
      <c r="P519" s="133" t="str">
        <f>IF(INDEX('#建筑消耗和buff配置索引'!U:U,MATCH($F519,'#建筑消耗和buff配置索引'!$M:$M,0))=0,"",INDEX('#建筑消耗和buff配置索引'!U:U,MATCH($F519,'#建筑消耗和buff配置索引'!$M:$M,0)))</f>
        <v/>
      </c>
      <c r="Q519" s="133" t="str">
        <f>IF(INDEX('#建筑消耗和buff配置索引'!K:K,MATCH($F519,'#建筑消耗和buff配置索引'!$M:$M,0))=0,"",INDEX('#建筑消耗和buff配置索引'!K:K,MATCH($F519,'#建筑消耗和buff配置索引'!$M:$M,0)))</f>
        <v>201</v>
      </c>
      <c r="R519" s="133" t="str">
        <f>IF(INDEX('#建筑消耗和buff配置索引'!L:L,MATCH($F519,'#建筑消耗和buff配置索引'!$M:$M,0))=0,"",INDEX('#建筑消耗和buff配置索引'!L:L,MATCH($F519,'#建筑消耗和buff配置索引'!$M:$M,0)))</f>
        <v>1</v>
      </c>
      <c r="S519" s="133">
        <f>IF(INDEX('#建筑消耗和buff配置索引'!C:C,MATCH(F519,'#建筑消耗和buff配置索引'!M:M,0))=0,1,INDEX('#建筑消耗和buff配置索引'!C:C,MATCH(F519,'#建筑消耗和buff配置索引'!M:M,0)))</f>
        <v>1</v>
      </c>
      <c r="T519" s="133">
        <v>0</v>
      </c>
      <c r="U519" s="133">
        <v>0</v>
      </c>
      <c r="V519" s="133" t="str">
        <f>IF(E519=1,IF(INDEX('#建筑消耗和buff配置索引'!BY:BY,MATCH(D519,'#建筑消耗和buff配置索引'!A:A,0))=0,"",INDEX('#建筑消耗和buff配置索引'!BY:BY,MATCH(D519,'#建筑消耗和buff配置索引'!A:A,0))),"")</f>
        <v>1:2</v>
      </c>
      <c r="W519" s="133" t="str">
        <f>IF(E519=1,IF(INDEX('#建筑消耗和buff配置索引'!BZ:BZ,MATCH(D519,'#建筑消耗和buff配置索引'!A:A,0))=0,"",INDEX('#建筑消耗和buff配置索引'!BZ:BZ,MATCH(D519,'#建筑消耗和buff配置索引'!A:A,0))),"")</f>
        <v>TID_Buff_BuilDetail_10000601:TID_Buff_BuilDetail_10000701</v>
      </c>
      <c r="X519" s="133"/>
      <c r="Y519" s="133"/>
      <c r="Z519" s="133"/>
      <c r="AA519" s="133">
        <f>INDEX('#建筑消耗和buff配置索引'!AO:AO,MATCH($F519,'#建筑消耗和buff配置索引'!$M:$M,0))</f>
        <v>3</v>
      </c>
      <c r="AB519" s="133">
        <f>IF(INDEX('#建筑消耗和buff配置索引'!AR:AR,MATCH($F519,'#建筑消耗和buff配置索引'!$M:$M,0))=0,"",INDEX('#建筑消耗和buff配置索引'!AR:AR,MATCH($F519,'#建筑消耗和buff配置索引'!$M:$M,0)))</f>
        <v>10000601</v>
      </c>
      <c r="AC519" s="133">
        <f>IF(AB519="","",INDEX('#建筑消耗和buff配置索引'!AS:AS,MATCH($F519,'#建筑消耗和buff配置索引'!$M:$M,0)))</f>
        <v>10</v>
      </c>
      <c r="AD519" s="133"/>
      <c r="AE519" s="133"/>
      <c r="AF519" s="133">
        <f>IF(INDEX('#建筑消耗和buff配置索引'!AW:AW,MATCH($F519,'#建筑消耗和buff配置索引'!$M:$M,0))=0,"",INDEX('#建筑消耗和buff配置索引'!AW:AW,MATCH($F519,'#建筑消耗和buff配置索引'!$M:$M,0)))</f>
        <v>10000701</v>
      </c>
      <c r="AG519" s="133">
        <f>IF(AF519="","",INDEX('#建筑消耗和buff配置索引'!AX:AX,MATCH($F519,'#建筑消耗和buff配置索引'!$M:$M,0)))</f>
        <v>0.02</v>
      </c>
      <c r="AH519" s="133"/>
      <c r="AI519" s="133"/>
      <c r="AJ519" s="133" t="str">
        <f>IF(INDEX('#建筑消耗和buff配置索引'!BB:BB,MATCH($F519,'#建筑消耗和buff配置索引'!$M:$M,0))=0,"",INDEX('#建筑消耗和buff配置索引'!BB:BB,MATCH($F519,'#建筑消耗和buff配置索引'!$M:$M,0)))</f>
        <v/>
      </c>
      <c r="AK519" s="133" t="str">
        <f>IF(AJ519="","",INDEX('#建筑消耗和buff配置索引'!BC:BC,MATCH($F519,'#建筑消耗和buff配置索引'!$M:$M,0)))</f>
        <v/>
      </c>
      <c r="AL519" s="133"/>
      <c r="AM519" s="133"/>
      <c r="AN519" s="133" t="str">
        <f>IF(INDEX('#建筑消耗和buff配置索引'!BG:BG,MATCH($F519,'#建筑消耗和buff配置索引'!$M:$M,0))=0,"",INDEX('#建筑消耗和buff配置索引'!BG:BG,MATCH($F519,'#建筑消耗和buff配置索引'!$M:$M,0)))</f>
        <v/>
      </c>
      <c r="AO519" s="133" t="str">
        <f>IF(AN519="","",INDEX('#建筑消耗和buff配置索引'!BH:BH,MATCH($F519,'#建筑消耗和buff配置索引'!$M:$M,0)))</f>
        <v/>
      </c>
      <c r="AP519" s="133"/>
      <c r="AQ519" s="133"/>
      <c r="AR519" s="133" t="str">
        <f>IF(INDEX('#建筑消耗和buff配置索引'!BK:BK,MATCH($F519,'#建筑消耗和buff配置索引'!$M:$M,0))=0,"",INDEX('#建筑消耗和buff配置索引'!BK:BK,MATCH($F519,'#建筑消耗和buff配置索引'!$M:$M,0)))</f>
        <v/>
      </c>
      <c r="AS519" s="133" t="str">
        <f>IF(AR519="","",INDEX('#建筑消耗和buff配置索引'!BL:BL,MATCH($F519,'#建筑消耗和buff配置索引'!$M:$M,0)))</f>
        <v/>
      </c>
      <c r="AT519" s="133"/>
      <c r="AU519" s="133"/>
      <c r="AV519" s="133" t="str">
        <f>IF(INDEX('#建筑消耗和buff配置索引'!BO:BO,MATCH($F519,'#建筑消耗和buff配置索引'!$M:$M,0))=0,"",INDEX('#建筑消耗和buff配置索引'!BO:BO,MATCH($F519,'#建筑消耗和buff配置索引'!$M:$M,0)))</f>
        <v/>
      </c>
      <c r="AW519" s="133" t="str">
        <f>IF(AV519="","",INDEX('#建筑消耗和buff配置索引'!BP:BP,MATCH($F519,'#建筑消耗和buff配置索引'!$M:$M,0)))</f>
        <v/>
      </c>
      <c r="AX519" s="133"/>
      <c r="AY519" s="133"/>
      <c r="AZ519" s="133" t="str">
        <f>IF(INDEX('#建筑消耗和buff配置索引'!BS:BS,MATCH($F519,'#建筑消耗和buff配置索引'!$M:$M,0))=0,"",INDEX('#建筑消耗和buff配置索引'!BS:BS,MATCH($F519,'#建筑消耗和buff配置索引'!$M:$M,0)))</f>
        <v/>
      </c>
      <c r="BA519" s="133" t="str">
        <f>IF(AZ519="","",INDEX('#建筑消耗和buff配置索引'!BT:BT,MATCH($F519,'#建筑消耗和buff配置索引'!$M:$M,0)))</f>
        <v/>
      </c>
      <c r="BB519" s="133"/>
      <c r="BC519" s="133"/>
      <c r="BD519" s="133" t="str">
        <f>IF(INDEX('#建筑消耗和buff配置索引'!BW:BW,MATCH($F519,'#建筑消耗和buff配置索引'!$M:$M,0))=0,"",INDEX('#建筑消耗和buff配置索引'!BW:BW,MATCH($F519,'#建筑消耗和buff配置索引'!$M:$M,0)))</f>
        <v/>
      </c>
      <c r="BE519" s="133" t="str">
        <f>IF(BD519="","",INDEX('#建筑消耗和buff配置索引'!BX:BX,MATCH($F519,'#建筑消耗和buff配置索引'!$M:$M,0)))</f>
        <v/>
      </c>
      <c r="BF519" s="133"/>
      <c r="BG519" s="133"/>
      <c r="BH519" s="133"/>
      <c r="BI519" s="133">
        <v>24</v>
      </c>
      <c r="BJ519" s="133"/>
      <c r="BN519" s="140">
        <v>3</v>
      </c>
    </row>
    <row r="520" spans="1:70">
      <c r="A520" s="133">
        <v>2370002</v>
      </c>
      <c r="B520" s="133">
        <v>517</v>
      </c>
      <c r="C520" s="133">
        <v>237</v>
      </c>
      <c r="D520" s="133" t="s">
        <v>565</v>
      </c>
      <c r="E520" s="133">
        <v>2</v>
      </c>
      <c r="F520" s="133" t="str">
        <f t="shared" si="8"/>
        <v>酒馆2</v>
      </c>
      <c r="G520" s="133"/>
      <c r="H520" s="146"/>
      <c r="I520" s="133" t="s">
        <v>1205</v>
      </c>
      <c r="J520" s="150">
        <f>INDEX('#建筑消耗和buff配置索引'!AH:AH,MATCH($F520,'#建筑消耗和buff配置索引'!$M:$M,0))</f>
        <v>54</v>
      </c>
      <c r="K520" s="150">
        <f>INDEX('#建筑消耗和buff配置索引'!AA:AA,MATCH($F520,'#建筑消耗和buff配置索引'!$M:$M,0))</f>
        <v>1000</v>
      </c>
      <c r="L520" s="150">
        <f>INDEX('#建筑消耗和buff配置索引'!AB:AB,MATCH($F520,'#建筑消耗和buff配置索引'!$M:$M,0))</f>
        <v>2000</v>
      </c>
      <c r="M520" s="150">
        <f>INDEX('#建筑消耗和buff配置索引'!AC:AC,MATCH($F520,'#建筑消耗和buff配置索引'!$M:$M,0))</f>
        <v>0</v>
      </c>
      <c r="N520" s="150">
        <f>INDEX('#建筑消耗和buff配置索引'!AD:AD,MATCH($F520,'#建筑消耗和buff配置索引'!$M:$M,0))</f>
        <v>0</v>
      </c>
      <c r="O520" s="150" t="str">
        <f>IF(INDEX('#建筑消耗和buff配置索引'!T:T,MATCH($F520,'#建筑消耗和buff配置索引'!$M:$M,0))=0,"",INDEX('#建筑消耗和buff配置索引'!T:T,MATCH($F520,'#建筑消耗和buff配置索引'!$M:$M,0)))</f>
        <v/>
      </c>
      <c r="P520" s="133" t="str">
        <f>IF(INDEX('#建筑消耗和buff配置索引'!U:U,MATCH($F520,'#建筑消耗和buff配置索引'!$M:$M,0))=0,"",INDEX('#建筑消耗和buff配置索引'!U:U,MATCH($F520,'#建筑消耗和buff配置索引'!$M:$M,0)))</f>
        <v/>
      </c>
      <c r="Q520" s="133" t="str">
        <f>IF(INDEX('#建筑消耗和buff配置索引'!K:K,MATCH($F520,'#建筑消耗和buff配置索引'!$M:$M,0))=0,"",INDEX('#建筑消耗和buff配置索引'!K:K,MATCH($F520,'#建筑消耗和buff配置索引'!$M:$M,0)))</f>
        <v>201</v>
      </c>
      <c r="R520" s="133" t="str">
        <f>IF(INDEX('#建筑消耗和buff配置索引'!L:L,MATCH($F520,'#建筑消耗和buff配置索引'!$M:$M,0))=0,"",INDEX('#建筑消耗和buff配置索引'!L:L,MATCH($F520,'#建筑消耗和buff配置索引'!$M:$M,0)))</f>
        <v>2</v>
      </c>
      <c r="S520" s="133">
        <f>IF(INDEX('#建筑消耗和buff配置索引'!C:C,MATCH(F520,'#建筑消耗和buff配置索引'!M:M,0))=0,1,INDEX('#建筑消耗和buff配置索引'!C:C,MATCH(F520,'#建筑消耗和buff配置索引'!M:M,0)))</f>
        <v>1</v>
      </c>
      <c r="T520" s="133">
        <v>0</v>
      </c>
      <c r="U520" s="133">
        <v>0</v>
      </c>
      <c r="V520" s="133" t="str">
        <f>IF(E520=1,IF(INDEX('#建筑消耗和buff配置索引'!BY:BY,MATCH(D520,'#建筑消耗和buff配置索引'!A:A,0))=0,"",INDEX('#建筑消耗和buff配置索引'!BY:BY,MATCH(D520,'#建筑消耗和buff配置索引'!A:A,0))),"")</f>
        <v/>
      </c>
      <c r="W520" s="133" t="str">
        <f>IF(E520=1,IF(INDEX('#建筑消耗和buff配置索引'!BZ:BZ,MATCH(D520,'#建筑消耗和buff配置索引'!A:A,0))=0,"",INDEX('#建筑消耗和buff配置索引'!BZ:BZ,MATCH(D520,'#建筑消耗和buff配置索引'!A:A,0))),"")</f>
        <v/>
      </c>
      <c r="X520" s="133"/>
      <c r="Y520" s="133"/>
      <c r="Z520" s="133"/>
      <c r="AA520" s="133">
        <f>INDEX('#建筑消耗和buff配置索引'!AO:AO,MATCH($F520,'#建筑消耗和buff配置索引'!$M:$M,0))</f>
        <v>9</v>
      </c>
      <c r="AB520" s="133">
        <f>IF(INDEX('#建筑消耗和buff配置索引'!AR:AR,MATCH($F520,'#建筑消耗和buff配置索引'!$M:$M,0))=0,"",INDEX('#建筑消耗和buff配置索引'!AR:AR,MATCH($F520,'#建筑消耗和buff配置索引'!$M:$M,0)))</f>
        <v>10000601</v>
      </c>
      <c r="AC520" s="133">
        <f>IF(AB520="","",INDEX('#建筑消耗和buff配置索引'!AS:AS,MATCH($F520,'#建筑消耗和buff配置索引'!$M:$M,0)))</f>
        <v>10</v>
      </c>
      <c r="AD520" s="133"/>
      <c r="AE520" s="133"/>
      <c r="AF520" s="133">
        <f>IF(INDEX('#建筑消耗和buff配置索引'!AW:AW,MATCH($F520,'#建筑消耗和buff配置索引'!$M:$M,0))=0,"",INDEX('#建筑消耗和buff配置索引'!AW:AW,MATCH($F520,'#建筑消耗和buff配置索引'!$M:$M,0)))</f>
        <v>10000701</v>
      </c>
      <c r="AG520" s="133">
        <f>IF(AF520="","",INDEX('#建筑消耗和buff配置索引'!AX:AX,MATCH($F520,'#建筑消耗和buff配置索引'!$M:$M,0)))</f>
        <v>0.04</v>
      </c>
      <c r="AH520" s="133"/>
      <c r="AI520" s="133"/>
      <c r="AJ520" s="133" t="str">
        <f>IF(INDEX('#建筑消耗和buff配置索引'!BB:BB,MATCH($F520,'#建筑消耗和buff配置索引'!$M:$M,0))=0,"",INDEX('#建筑消耗和buff配置索引'!BB:BB,MATCH($F520,'#建筑消耗和buff配置索引'!$M:$M,0)))</f>
        <v/>
      </c>
      <c r="AK520" s="133" t="str">
        <f>IF(AJ520="","",INDEX('#建筑消耗和buff配置索引'!BC:BC,MATCH($F520,'#建筑消耗和buff配置索引'!$M:$M,0)))</f>
        <v/>
      </c>
      <c r="AL520" s="133"/>
      <c r="AM520" s="133"/>
      <c r="AN520" s="133" t="str">
        <f>IF(INDEX('#建筑消耗和buff配置索引'!BG:BG,MATCH($F520,'#建筑消耗和buff配置索引'!$M:$M,0))=0,"",INDEX('#建筑消耗和buff配置索引'!BG:BG,MATCH($F520,'#建筑消耗和buff配置索引'!$M:$M,0)))</f>
        <v/>
      </c>
      <c r="AO520" s="133" t="str">
        <f>IF(AN520="","",INDEX('#建筑消耗和buff配置索引'!BH:BH,MATCH($F520,'#建筑消耗和buff配置索引'!$M:$M,0)))</f>
        <v/>
      </c>
      <c r="AP520" s="133"/>
      <c r="AQ520" s="133"/>
      <c r="AR520" s="133" t="str">
        <f>IF(INDEX('#建筑消耗和buff配置索引'!BK:BK,MATCH($F520,'#建筑消耗和buff配置索引'!$M:$M,0))=0,"",INDEX('#建筑消耗和buff配置索引'!BK:BK,MATCH($F520,'#建筑消耗和buff配置索引'!$M:$M,0)))</f>
        <v/>
      </c>
      <c r="AS520" s="133" t="str">
        <f>IF(AR520="","",INDEX('#建筑消耗和buff配置索引'!BL:BL,MATCH($F520,'#建筑消耗和buff配置索引'!$M:$M,0)))</f>
        <v/>
      </c>
      <c r="AT520" s="133"/>
      <c r="AU520" s="133"/>
      <c r="AV520" s="133" t="str">
        <f>IF(INDEX('#建筑消耗和buff配置索引'!BO:BO,MATCH($F520,'#建筑消耗和buff配置索引'!$M:$M,0))=0,"",INDEX('#建筑消耗和buff配置索引'!BO:BO,MATCH($F520,'#建筑消耗和buff配置索引'!$M:$M,0)))</f>
        <v/>
      </c>
      <c r="AW520" s="133" t="str">
        <f>IF(AV520="","",INDEX('#建筑消耗和buff配置索引'!BP:BP,MATCH($F520,'#建筑消耗和buff配置索引'!$M:$M,0)))</f>
        <v/>
      </c>
      <c r="AX520" s="133"/>
      <c r="AY520" s="133"/>
      <c r="AZ520" s="133" t="str">
        <f>IF(INDEX('#建筑消耗和buff配置索引'!BS:BS,MATCH($F520,'#建筑消耗和buff配置索引'!$M:$M,0))=0,"",INDEX('#建筑消耗和buff配置索引'!BS:BS,MATCH($F520,'#建筑消耗和buff配置索引'!$M:$M,0)))</f>
        <v/>
      </c>
      <c r="BA520" s="133" t="str">
        <f>IF(AZ520="","",INDEX('#建筑消耗和buff配置索引'!BT:BT,MATCH($F520,'#建筑消耗和buff配置索引'!$M:$M,0)))</f>
        <v/>
      </c>
      <c r="BB520" s="133"/>
      <c r="BC520" s="133"/>
      <c r="BD520" s="133" t="str">
        <f>IF(INDEX('#建筑消耗和buff配置索引'!BW:BW,MATCH($F520,'#建筑消耗和buff配置索引'!$M:$M,0))=0,"",INDEX('#建筑消耗和buff配置索引'!BW:BW,MATCH($F520,'#建筑消耗和buff配置索引'!$M:$M,0)))</f>
        <v/>
      </c>
      <c r="BE520" s="133" t="str">
        <f>IF(BD520="","",INDEX('#建筑消耗和buff配置索引'!BX:BX,MATCH($F520,'#建筑消耗和buff配置索引'!$M:$M,0)))</f>
        <v/>
      </c>
      <c r="BF520" s="133"/>
      <c r="BG520" s="133"/>
      <c r="BH520" s="133"/>
      <c r="BI520" s="133">
        <v>24</v>
      </c>
      <c r="BJ520" s="133"/>
    </row>
    <row r="521" spans="1:70">
      <c r="A521" s="133">
        <v>2370003</v>
      </c>
      <c r="B521" s="133">
        <v>518</v>
      </c>
      <c r="C521" s="133">
        <v>237</v>
      </c>
      <c r="D521" s="133" t="s">
        <v>565</v>
      </c>
      <c r="E521" s="133">
        <v>3</v>
      </c>
      <c r="F521" s="133" t="str">
        <f t="shared" si="8"/>
        <v>酒馆3</v>
      </c>
      <c r="G521" s="133"/>
      <c r="H521" s="146"/>
      <c r="I521" s="133" t="s">
        <v>1205</v>
      </c>
      <c r="J521" s="150">
        <f>INDEX('#建筑消耗和buff配置索引'!AH:AH,MATCH($F521,'#建筑消耗和buff配置索引'!$M:$M,0))</f>
        <v>108</v>
      </c>
      <c r="K521" s="150">
        <f>INDEX('#建筑消耗和buff配置索引'!AA:AA,MATCH($F521,'#建筑消耗和buff配置索引'!$M:$M,0))</f>
        <v>2000</v>
      </c>
      <c r="L521" s="150">
        <f>INDEX('#建筑消耗和buff配置索引'!AB:AB,MATCH($F521,'#建筑消耗和buff配置索引'!$M:$M,0))</f>
        <v>4000</v>
      </c>
      <c r="M521" s="150">
        <f>INDEX('#建筑消耗和buff配置索引'!AC:AC,MATCH($F521,'#建筑消耗和buff配置索引'!$M:$M,0))</f>
        <v>0</v>
      </c>
      <c r="N521" s="150">
        <f>INDEX('#建筑消耗和buff配置索引'!AD:AD,MATCH($F521,'#建筑消耗和buff配置索引'!$M:$M,0))</f>
        <v>0</v>
      </c>
      <c r="O521" s="150" t="str">
        <f>IF(INDEX('#建筑消耗和buff配置索引'!T:T,MATCH($F521,'#建筑消耗和buff配置索引'!$M:$M,0))=0,"",INDEX('#建筑消耗和buff配置索引'!T:T,MATCH($F521,'#建筑消耗和buff配置索引'!$M:$M,0)))</f>
        <v/>
      </c>
      <c r="P521" s="133" t="str">
        <f>IF(INDEX('#建筑消耗和buff配置索引'!U:U,MATCH($F521,'#建筑消耗和buff配置索引'!$M:$M,0))=0,"",INDEX('#建筑消耗和buff配置索引'!U:U,MATCH($F521,'#建筑消耗和buff配置索引'!$M:$M,0)))</f>
        <v/>
      </c>
      <c r="Q521" s="133" t="str">
        <f>IF(INDEX('#建筑消耗和buff配置索引'!K:K,MATCH($F521,'#建筑消耗和buff配置索引'!$M:$M,0))=0,"",INDEX('#建筑消耗和buff配置索引'!K:K,MATCH($F521,'#建筑消耗和buff配置索引'!$M:$M,0)))</f>
        <v>201</v>
      </c>
      <c r="R521" s="133" t="str">
        <f>IF(INDEX('#建筑消耗和buff配置索引'!L:L,MATCH($F521,'#建筑消耗和buff配置索引'!$M:$M,0))=0,"",INDEX('#建筑消耗和buff配置索引'!L:L,MATCH($F521,'#建筑消耗和buff配置索引'!$M:$M,0)))</f>
        <v>3</v>
      </c>
      <c r="S521" s="133">
        <f>IF(INDEX('#建筑消耗和buff配置索引'!C:C,MATCH(F521,'#建筑消耗和buff配置索引'!M:M,0))=0,1,INDEX('#建筑消耗和buff配置索引'!C:C,MATCH(F521,'#建筑消耗和buff配置索引'!M:M,0)))</f>
        <v>1</v>
      </c>
      <c r="T521" s="133">
        <v>0</v>
      </c>
      <c r="U521" s="133">
        <v>0</v>
      </c>
      <c r="V521" s="133" t="str">
        <f>IF(E521=1,IF(INDEX('#建筑消耗和buff配置索引'!BY:BY,MATCH(D521,'#建筑消耗和buff配置索引'!A:A,0))=0,"",INDEX('#建筑消耗和buff配置索引'!BY:BY,MATCH(D521,'#建筑消耗和buff配置索引'!A:A,0))),"")</f>
        <v/>
      </c>
      <c r="W521" s="133" t="str">
        <f>IF(E521=1,IF(INDEX('#建筑消耗和buff配置索引'!BZ:BZ,MATCH(D521,'#建筑消耗和buff配置索引'!A:A,0))=0,"",INDEX('#建筑消耗和buff配置索引'!BZ:BZ,MATCH(D521,'#建筑消耗和buff配置索引'!A:A,0))),"")</f>
        <v/>
      </c>
      <c r="X521" s="133"/>
      <c r="Y521" s="133"/>
      <c r="Z521" s="133"/>
      <c r="AA521" s="133">
        <f>INDEX('#建筑消耗和buff配置索引'!AO:AO,MATCH($F521,'#建筑消耗和buff配置索引'!$M:$M,0))</f>
        <v>21</v>
      </c>
      <c r="AB521" s="133">
        <f>IF(INDEX('#建筑消耗和buff配置索引'!AR:AR,MATCH($F521,'#建筑消耗和buff配置索引'!$M:$M,0))=0,"",INDEX('#建筑消耗和buff配置索引'!AR:AR,MATCH($F521,'#建筑消耗和buff配置索引'!$M:$M,0)))</f>
        <v>10000601</v>
      </c>
      <c r="AC521" s="133">
        <f>IF(AB521="","",INDEX('#建筑消耗和buff配置索引'!AS:AS,MATCH($F521,'#建筑消耗和buff配置索引'!$M:$M,0)))</f>
        <v>10</v>
      </c>
      <c r="AD521" s="133"/>
      <c r="AE521" s="133"/>
      <c r="AF521" s="133">
        <f>IF(INDEX('#建筑消耗和buff配置索引'!AW:AW,MATCH($F521,'#建筑消耗和buff配置索引'!$M:$M,0))=0,"",INDEX('#建筑消耗和buff配置索引'!AW:AW,MATCH($F521,'#建筑消耗和buff配置索引'!$M:$M,0)))</f>
        <v>10000701</v>
      </c>
      <c r="AG521" s="133">
        <f>IF(AF521="","",INDEX('#建筑消耗和buff配置索引'!AX:AX,MATCH($F521,'#建筑消耗和buff配置索引'!$M:$M,0)))</f>
        <v>0.06</v>
      </c>
      <c r="AH521" s="133"/>
      <c r="AI521" s="133"/>
      <c r="AJ521" s="133" t="str">
        <f>IF(INDEX('#建筑消耗和buff配置索引'!BB:BB,MATCH($F521,'#建筑消耗和buff配置索引'!$M:$M,0))=0,"",INDEX('#建筑消耗和buff配置索引'!BB:BB,MATCH($F521,'#建筑消耗和buff配置索引'!$M:$M,0)))</f>
        <v/>
      </c>
      <c r="AK521" s="133" t="str">
        <f>IF(AJ521="","",INDEX('#建筑消耗和buff配置索引'!BC:BC,MATCH($F521,'#建筑消耗和buff配置索引'!$M:$M,0)))</f>
        <v/>
      </c>
      <c r="AL521" s="133"/>
      <c r="AM521" s="133"/>
      <c r="AN521" s="133" t="str">
        <f>IF(INDEX('#建筑消耗和buff配置索引'!BG:BG,MATCH($F521,'#建筑消耗和buff配置索引'!$M:$M,0))=0,"",INDEX('#建筑消耗和buff配置索引'!BG:BG,MATCH($F521,'#建筑消耗和buff配置索引'!$M:$M,0)))</f>
        <v/>
      </c>
      <c r="AO521" s="133" t="str">
        <f>IF(AN521="","",INDEX('#建筑消耗和buff配置索引'!BH:BH,MATCH($F521,'#建筑消耗和buff配置索引'!$M:$M,0)))</f>
        <v/>
      </c>
      <c r="AP521" s="133"/>
      <c r="AQ521" s="133"/>
      <c r="AR521" s="133" t="str">
        <f>IF(INDEX('#建筑消耗和buff配置索引'!BK:BK,MATCH($F521,'#建筑消耗和buff配置索引'!$M:$M,0))=0,"",INDEX('#建筑消耗和buff配置索引'!BK:BK,MATCH($F521,'#建筑消耗和buff配置索引'!$M:$M,0)))</f>
        <v/>
      </c>
      <c r="AS521" s="133" t="str">
        <f>IF(AR521="","",INDEX('#建筑消耗和buff配置索引'!BL:BL,MATCH($F521,'#建筑消耗和buff配置索引'!$M:$M,0)))</f>
        <v/>
      </c>
      <c r="AT521" s="133"/>
      <c r="AU521" s="133"/>
      <c r="AV521" s="133" t="str">
        <f>IF(INDEX('#建筑消耗和buff配置索引'!BO:BO,MATCH($F521,'#建筑消耗和buff配置索引'!$M:$M,0))=0,"",INDEX('#建筑消耗和buff配置索引'!BO:BO,MATCH($F521,'#建筑消耗和buff配置索引'!$M:$M,0)))</f>
        <v/>
      </c>
      <c r="AW521" s="133" t="str">
        <f>IF(AV521="","",INDEX('#建筑消耗和buff配置索引'!BP:BP,MATCH($F521,'#建筑消耗和buff配置索引'!$M:$M,0)))</f>
        <v/>
      </c>
      <c r="AX521" s="133"/>
      <c r="AY521" s="133"/>
      <c r="AZ521" s="133" t="str">
        <f>IF(INDEX('#建筑消耗和buff配置索引'!BS:BS,MATCH($F521,'#建筑消耗和buff配置索引'!$M:$M,0))=0,"",INDEX('#建筑消耗和buff配置索引'!BS:BS,MATCH($F521,'#建筑消耗和buff配置索引'!$M:$M,0)))</f>
        <v/>
      </c>
      <c r="BA521" s="133" t="str">
        <f>IF(AZ521="","",INDEX('#建筑消耗和buff配置索引'!BT:BT,MATCH($F521,'#建筑消耗和buff配置索引'!$M:$M,0)))</f>
        <v/>
      </c>
      <c r="BB521" s="133"/>
      <c r="BC521" s="133"/>
      <c r="BD521" s="133" t="str">
        <f>IF(INDEX('#建筑消耗和buff配置索引'!BW:BW,MATCH($F521,'#建筑消耗和buff配置索引'!$M:$M,0))=0,"",INDEX('#建筑消耗和buff配置索引'!BW:BW,MATCH($F521,'#建筑消耗和buff配置索引'!$M:$M,0)))</f>
        <v/>
      </c>
      <c r="BE521" s="133" t="str">
        <f>IF(BD521="","",INDEX('#建筑消耗和buff配置索引'!BX:BX,MATCH($F521,'#建筑消耗和buff配置索引'!$M:$M,0)))</f>
        <v/>
      </c>
      <c r="BF521" s="133"/>
      <c r="BG521" s="133"/>
      <c r="BH521" s="133"/>
      <c r="BI521" s="133">
        <v>24</v>
      </c>
      <c r="BJ521" s="133"/>
    </row>
    <row r="522" spans="1:70">
      <c r="A522" s="133">
        <v>2370004</v>
      </c>
      <c r="B522" s="133">
        <v>519</v>
      </c>
      <c r="C522" s="133">
        <v>237</v>
      </c>
      <c r="D522" s="133" t="s">
        <v>565</v>
      </c>
      <c r="E522" s="133">
        <v>4</v>
      </c>
      <c r="F522" s="133" t="str">
        <f t="shared" si="8"/>
        <v>酒馆4</v>
      </c>
      <c r="G522" s="133"/>
      <c r="H522" s="146"/>
      <c r="I522" s="133" t="s">
        <v>1205</v>
      </c>
      <c r="J522" s="150">
        <f>INDEX('#建筑消耗和buff配置索引'!AH:AH,MATCH($F522,'#建筑消耗和buff配置索引'!$M:$M,0))</f>
        <v>216</v>
      </c>
      <c r="K522" s="150">
        <f>INDEX('#建筑消耗和buff配置索引'!AA:AA,MATCH($F522,'#建筑消耗和buff配置索引'!$M:$M,0))</f>
        <v>4000</v>
      </c>
      <c r="L522" s="150">
        <f>INDEX('#建筑消耗和buff配置索引'!AB:AB,MATCH($F522,'#建筑消耗和buff配置索引'!$M:$M,0))</f>
        <v>8000</v>
      </c>
      <c r="M522" s="150">
        <f>INDEX('#建筑消耗和buff配置索引'!AC:AC,MATCH($F522,'#建筑消耗和buff配置索引'!$M:$M,0))</f>
        <v>0</v>
      </c>
      <c r="N522" s="150">
        <f>INDEX('#建筑消耗和buff配置索引'!AD:AD,MATCH($F522,'#建筑消耗和buff配置索引'!$M:$M,0))</f>
        <v>0</v>
      </c>
      <c r="O522" s="150" t="str">
        <f>IF(INDEX('#建筑消耗和buff配置索引'!T:T,MATCH($F522,'#建筑消耗和buff配置索引'!$M:$M,0))=0,"",INDEX('#建筑消耗和buff配置索引'!T:T,MATCH($F522,'#建筑消耗和buff配置索引'!$M:$M,0)))</f>
        <v/>
      </c>
      <c r="P522" s="133" t="str">
        <f>IF(INDEX('#建筑消耗和buff配置索引'!U:U,MATCH($F522,'#建筑消耗和buff配置索引'!$M:$M,0))=0,"",INDEX('#建筑消耗和buff配置索引'!U:U,MATCH($F522,'#建筑消耗和buff配置索引'!$M:$M,0)))</f>
        <v/>
      </c>
      <c r="Q522" s="133" t="str">
        <f>IF(INDEX('#建筑消耗和buff配置索引'!K:K,MATCH($F522,'#建筑消耗和buff配置索引'!$M:$M,0))=0,"",INDEX('#建筑消耗和buff配置索引'!K:K,MATCH($F522,'#建筑消耗和buff配置索引'!$M:$M,0)))</f>
        <v>201</v>
      </c>
      <c r="R522" s="133" t="str">
        <f>IF(INDEX('#建筑消耗和buff配置索引'!L:L,MATCH($F522,'#建筑消耗和buff配置索引'!$M:$M,0))=0,"",INDEX('#建筑消耗和buff配置索引'!L:L,MATCH($F522,'#建筑消耗和buff配置索引'!$M:$M,0)))</f>
        <v>4</v>
      </c>
      <c r="S522" s="133">
        <f>IF(INDEX('#建筑消耗和buff配置索引'!C:C,MATCH(F522,'#建筑消耗和buff配置索引'!M:M,0))=0,1,INDEX('#建筑消耗和buff配置索引'!C:C,MATCH(F522,'#建筑消耗和buff配置索引'!M:M,0)))</f>
        <v>1</v>
      </c>
      <c r="T522" s="133">
        <v>0</v>
      </c>
      <c r="U522" s="133">
        <v>0</v>
      </c>
      <c r="V522" s="133" t="str">
        <f>IF(E522=1,IF(INDEX('#建筑消耗和buff配置索引'!BY:BY,MATCH(D522,'#建筑消耗和buff配置索引'!A:A,0))=0,"",INDEX('#建筑消耗和buff配置索引'!BY:BY,MATCH(D522,'#建筑消耗和buff配置索引'!A:A,0))),"")</f>
        <v/>
      </c>
      <c r="W522" s="133" t="str">
        <f>IF(E522=1,IF(INDEX('#建筑消耗和buff配置索引'!BZ:BZ,MATCH(D522,'#建筑消耗和buff配置索引'!A:A,0))=0,"",INDEX('#建筑消耗和buff配置索引'!BZ:BZ,MATCH(D522,'#建筑消耗和buff配置索引'!A:A,0))),"")</f>
        <v/>
      </c>
      <c r="X522" s="133"/>
      <c r="Y522" s="133"/>
      <c r="Z522" s="133"/>
      <c r="AA522" s="133">
        <f>INDEX('#建筑消耗和buff配置索引'!AO:AO,MATCH($F522,'#建筑消耗和buff配置索引'!$M:$M,0))</f>
        <v>45</v>
      </c>
      <c r="AB522" s="133">
        <f>IF(INDEX('#建筑消耗和buff配置索引'!AR:AR,MATCH($F522,'#建筑消耗和buff配置索引'!$M:$M,0))=0,"",INDEX('#建筑消耗和buff配置索引'!AR:AR,MATCH($F522,'#建筑消耗和buff配置索引'!$M:$M,0)))</f>
        <v>10000601</v>
      </c>
      <c r="AC522" s="133">
        <f>IF(AB522="","",INDEX('#建筑消耗和buff配置索引'!AS:AS,MATCH($F522,'#建筑消耗和buff配置索引'!$M:$M,0)))</f>
        <v>10</v>
      </c>
      <c r="AD522" s="133"/>
      <c r="AE522" s="133"/>
      <c r="AF522" s="133">
        <f>IF(INDEX('#建筑消耗和buff配置索引'!AW:AW,MATCH($F522,'#建筑消耗和buff配置索引'!$M:$M,0))=0,"",INDEX('#建筑消耗和buff配置索引'!AW:AW,MATCH($F522,'#建筑消耗和buff配置索引'!$M:$M,0)))</f>
        <v>10000701</v>
      </c>
      <c r="AG522" s="133">
        <f>IF(AF522="","",INDEX('#建筑消耗和buff配置索引'!AX:AX,MATCH($F522,'#建筑消耗和buff配置索引'!$M:$M,0)))</f>
        <v>0.08</v>
      </c>
      <c r="AH522" s="133"/>
      <c r="AI522" s="133"/>
      <c r="AJ522" s="133" t="str">
        <f>IF(INDEX('#建筑消耗和buff配置索引'!BB:BB,MATCH($F522,'#建筑消耗和buff配置索引'!$M:$M,0))=0,"",INDEX('#建筑消耗和buff配置索引'!BB:BB,MATCH($F522,'#建筑消耗和buff配置索引'!$M:$M,0)))</f>
        <v/>
      </c>
      <c r="AK522" s="133" t="str">
        <f>IF(AJ522="","",INDEX('#建筑消耗和buff配置索引'!BC:BC,MATCH($F522,'#建筑消耗和buff配置索引'!$M:$M,0)))</f>
        <v/>
      </c>
      <c r="AL522" s="133"/>
      <c r="AM522" s="133"/>
      <c r="AN522" s="133" t="str">
        <f>IF(INDEX('#建筑消耗和buff配置索引'!BG:BG,MATCH($F522,'#建筑消耗和buff配置索引'!$M:$M,0))=0,"",INDEX('#建筑消耗和buff配置索引'!BG:BG,MATCH($F522,'#建筑消耗和buff配置索引'!$M:$M,0)))</f>
        <v/>
      </c>
      <c r="AO522" s="133" t="str">
        <f>IF(AN522="","",INDEX('#建筑消耗和buff配置索引'!BH:BH,MATCH($F522,'#建筑消耗和buff配置索引'!$M:$M,0)))</f>
        <v/>
      </c>
      <c r="AP522" s="133"/>
      <c r="AQ522" s="133"/>
      <c r="AR522" s="133" t="str">
        <f>IF(INDEX('#建筑消耗和buff配置索引'!BK:BK,MATCH($F522,'#建筑消耗和buff配置索引'!$M:$M,0))=0,"",INDEX('#建筑消耗和buff配置索引'!BK:BK,MATCH($F522,'#建筑消耗和buff配置索引'!$M:$M,0)))</f>
        <v/>
      </c>
      <c r="AS522" s="133" t="str">
        <f>IF(AR522="","",INDEX('#建筑消耗和buff配置索引'!BL:BL,MATCH($F522,'#建筑消耗和buff配置索引'!$M:$M,0)))</f>
        <v/>
      </c>
      <c r="AT522" s="133"/>
      <c r="AU522" s="133"/>
      <c r="AV522" s="133" t="str">
        <f>IF(INDEX('#建筑消耗和buff配置索引'!BO:BO,MATCH($F522,'#建筑消耗和buff配置索引'!$M:$M,0))=0,"",INDEX('#建筑消耗和buff配置索引'!BO:BO,MATCH($F522,'#建筑消耗和buff配置索引'!$M:$M,0)))</f>
        <v/>
      </c>
      <c r="AW522" s="133" t="str">
        <f>IF(AV522="","",INDEX('#建筑消耗和buff配置索引'!BP:BP,MATCH($F522,'#建筑消耗和buff配置索引'!$M:$M,0)))</f>
        <v/>
      </c>
      <c r="AX522" s="133"/>
      <c r="AY522" s="133"/>
      <c r="AZ522" s="133" t="str">
        <f>IF(INDEX('#建筑消耗和buff配置索引'!BS:BS,MATCH($F522,'#建筑消耗和buff配置索引'!$M:$M,0))=0,"",INDEX('#建筑消耗和buff配置索引'!BS:BS,MATCH($F522,'#建筑消耗和buff配置索引'!$M:$M,0)))</f>
        <v/>
      </c>
      <c r="BA522" s="133" t="str">
        <f>IF(AZ522="","",INDEX('#建筑消耗和buff配置索引'!BT:BT,MATCH($F522,'#建筑消耗和buff配置索引'!$M:$M,0)))</f>
        <v/>
      </c>
      <c r="BB522" s="133"/>
      <c r="BC522" s="133"/>
      <c r="BD522" s="133" t="str">
        <f>IF(INDEX('#建筑消耗和buff配置索引'!BW:BW,MATCH($F522,'#建筑消耗和buff配置索引'!$M:$M,0))=0,"",INDEX('#建筑消耗和buff配置索引'!BW:BW,MATCH($F522,'#建筑消耗和buff配置索引'!$M:$M,0)))</f>
        <v/>
      </c>
      <c r="BE522" s="133" t="str">
        <f>IF(BD522="","",INDEX('#建筑消耗和buff配置索引'!BX:BX,MATCH($F522,'#建筑消耗和buff配置索引'!$M:$M,0)))</f>
        <v/>
      </c>
      <c r="BF522" s="133"/>
      <c r="BG522" s="133"/>
      <c r="BH522" s="133"/>
      <c r="BI522" s="133">
        <v>24</v>
      </c>
      <c r="BJ522" s="133"/>
    </row>
    <row r="523" spans="1:70">
      <c r="A523" s="133">
        <v>2370005</v>
      </c>
      <c r="B523" s="133">
        <v>520</v>
      </c>
      <c r="C523" s="133">
        <v>237</v>
      </c>
      <c r="D523" s="133" t="s">
        <v>565</v>
      </c>
      <c r="E523" s="133">
        <v>5</v>
      </c>
      <c r="F523" s="133" t="str">
        <f t="shared" si="8"/>
        <v>酒馆5</v>
      </c>
      <c r="G523" s="133"/>
      <c r="H523" s="146"/>
      <c r="I523" s="133" t="s">
        <v>1205</v>
      </c>
      <c r="J523" s="150">
        <f>INDEX('#建筑消耗和buff配置索引'!AH:AH,MATCH($F523,'#建筑消耗和buff配置索引'!$M:$M,0))</f>
        <v>450</v>
      </c>
      <c r="K523" s="150">
        <f>INDEX('#建筑消耗和buff配置索引'!AA:AA,MATCH($F523,'#建筑消耗和buff配置索引'!$M:$M,0))</f>
        <v>4600</v>
      </c>
      <c r="L523" s="150">
        <f>INDEX('#建筑消耗和buff配置索引'!AB:AB,MATCH($F523,'#建筑消耗和buff配置索引'!$M:$M,0))</f>
        <v>9300</v>
      </c>
      <c r="M523" s="150">
        <f>INDEX('#建筑消耗和buff配置索引'!AC:AC,MATCH($F523,'#建筑消耗和buff配置索引'!$M:$M,0))</f>
        <v>9300</v>
      </c>
      <c r="N523" s="150">
        <f>INDEX('#建筑消耗和buff配置索引'!AD:AD,MATCH($F523,'#建筑消耗和buff配置索引'!$M:$M,0))</f>
        <v>0</v>
      </c>
      <c r="O523" s="150" t="str">
        <f>IF(INDEX('#建筑消耗和buff配置索引'!T:T,MATCH($F523,'#建筑消耗和buff配置索引'!$M:$M,0))=0,"",INDEX('#建筑消耗和buff配置索引'!T:T,MATCH($F523,'#建筑消耗和buff配置索引'!$M:$M,0)))</f>
        <v/>
      </c>
      <c r="P523" s="133" t="str">
        <f>IF(INDEX('#建筑消耗和buff配置索引'!U:U,MATCH($F523,'#建筑消耗和buff配置索引'!$M:$M,0))=0,"",INDEX('#建筑消耗和buff配置索引'!U:U,MATCH($F523,'#建筑消耗和buff配置索引'!$M:$M,0)))</f>
        <v/>
      </c>
      <c r="Q523" s="133" t="str">
        <f>IF(INDEX('#建筑消耗和buff配置索引'!K:K,MATCH($F523,'#建筑消耗和buff配置索引'!$M:$M,0))=0,"",INDEX('#建筑消耗和buff配置索引'!K:K,MATCH($F523,'#建筑消耗和buff配置索引'!$M:$M,0)))</f>
        <v>201</v>
      </c>
      <c r="R523" s="133" t="str">
        <f>IF(INDEX('#建筑消耗和buff配置索引'!L:L,MATCH($F523,'#建筑消耗和buff配置索引'!$M:$M,0))=0,"",INDEX('#建筑消耗和buff配置索引'!L:L,MATCH($F523,'#建筑消耗和buff配置索引'!$M:$M,0)))</f>
        <v>5</v>
      </c>
      <c r="S523" s="133">
        <f>IF(INDEX('#建筑消耗和buff配置索引'!C:C,MATCH(F523,'#建筑消耗和buff配置索引'!M:M,0))=0,1,INDEX('#建筑消耗和buff配置索引'!C:C,MATCH(F523,'#建筑消耗和buff配置索引'!M:M,0)))</f>
        <v>1</v>
      </c>
      <c r="T523" s="133">
        <v>0</v>
      </c>
      <c r="U523" s="133">
        <v>0</v>
      </c>
      <c r="V523" s="133" t="str">
        <f>IF(E523=1,IF(INDEX('#建筑消耗和buff配置索引'!BY:BY,MATCH(D523,'#建筑消耗和buff配置索引'!A:A,0))=0,"",INDEX('#建筑消耗和buff配置索引'!BY:BY,MATCH(D523,'#建筑消耗和buff配置索引'!A:A,0))),"")</f>
        <v/>
      </c>
      <c r="W523" s="133" t="str">
        <f>IF(E523=1,IF(INDEX('#建筑消耗和buff配置索引'!BZ:BZ,MATCH(D523,'#建筑消耗和buff配置索引'!A:A,0))=0,"",INDEX('#建筑消耗和buff配置索引'!BZ:BZ,MATCH(D523,'#建筑消耗和buff配置索引'!A:A,0))),"")</f>
        <v/>
      </c>
      <c r="X523" s="133"/>
      <c r="Y523" s="133"/>
      <c r="Z523" s="133"/>
      <c r="AA523" s="133">
        <f>INDEX('#建筑消耗和buff配置索引'!AO:AO,MATCH($F523,'#建筑消耗和buff配置索引'!$M:$M,0))</f>
        <v>91</v>
      </c>
      <c r="AB523" s="133">
        <f>IF(INDEX('#建筑消耗和buff配置索引'!AR:AR,MATCH($F523,'#建筑消耗和buff配置索引'!$M:$M,0))=0,"",INDEX('#建筑消耗和buff配置索引'!AR:AR,MATCH($F523,'#建筑消耗和buff配置索引'!$M:$M,0)))</f>
        <v>10000601</v>
      </c>
      <c r="AC523" s="133">
        <f>IF(AB523="","",INDEX('#建筑消耗和buff配置索引'!AS:AS,MATCH($F523,'#建筑消耗和buff配置索引'!$M:$M,0)))</f>
        <v>10</v>
      </c>
      <c r="AD523" s="133"/>
      <c r="AE523" s="133"/>
      <c r="AF523" s="133">
        <f>IF(INDEX('#建筑消耗和buff配置索引'!AW:AW,MATCH($F523,'#建筑消耗和buff配置索引'!$M:$M,0))=0,"",INDEX('#建筑消耗和buff配置索引'!AW:AW,MATCH($F523,'#建筑消耗和buff配置索引'!$M:$M,0)))</f>
        <v>10000701</v>
      </c>
      <c r="AG523" s="133">
        <f>IF(AF523="","",INDEX('#建筑消耗和buff配置索引'!AX:AX,MATCH($F523,'#建筑消耗和buff配置索引'!$M:$M,0)))</f>
        <v>0.1</v>
      </c>
      <c r="AH523" s="133"/>
      <c r="AI523" s="133"/>
      <c r="AJ523" s="133" t="str">
        <f>IF(INDEX('#建筑消耗和buff配置索引'!BB:BB,MATCH($F523,'#建筑消耗和buff配置索引'!$M:$M,0))=0,"",INDEX('#建筑消耗和buff配置索引'!BB:BB,MATCH($F523,'#建筑消耗和buff配置索引'!$M:$M,0)))</f>
        <v/>
      </c>
      <c r="AK523" s="133" t="str">
        <f>IF(AJ523="","",INDEX('#建筑消耗和buff配置索引'!BC:BC,MATCH($F523,'#建筑消耗和buff配置索引'!$M:$M,0)))</f>
        <v/>
      </c>
      <c r="AL523" s="133"/>
      <c r="AM523" s="133"/>
      <c r="AN523" s="133" t="str">
        <f>IF(INDEX('#建筑消耗和buff配置索引'!BG:BG,MATCH($F523,'#建筑消耗和buff配置索引'!$M:$M,0))=0,"",INDEX('#建筑消耗和buff配置索引'!BG:BG,MATCH($F523,'#建筑消耗和buff配置索引'!$M:$M,0)))</f>
        <v/>
      </c>
      <c r="AO523" s="133" t="str">
        <f>IF(AN523="","",INDEX('#建筑消耗和buff配置索引'!BH:BH,MATCH($F523,'#建筑消耗和buff配置索引'!$M:$M,0)))</f>
        <v/>
      </c>
      <c r="AP523" s="133"/>
      <c r="AQ523" s="133"/>
      <c r="AR523" s="133" t="str">
        <f>IF(INDEX('#建筑消耗和buff配置索引'!BK:BK,MATCH($F523,'#建筑消耗和buff配置索引'!$M:$M,0))=0,"",INDEX('#建筑消耗和buff配置索引'!BK:BK,MATCH($F523,'#建筑消耗和buff配置索引'!$M:$M,0)))</f>
        <v/>
      </c>
      <c r="AS523" s="133" t="str">
        <f>IF(AR523="","",INDEX('#建筑消耗和buff配置索引'!BL:BL,MATCH($F523,'#建筑消耗和buff配置索引'!$M:$M,0)))</f>
        <v/>
      </c>
      <c r="AT523" s="133"/>
      <c r="AU523" s="133"/>
      <c r="AV523" s="133" t="str">
        <f>IF(INDEX('#建筑消耗和buff配置索引'!BO:BO,MATCH($F523,'#建筑消耗和buff配置索引'!$M:$M,0))=0,"",INDEX('#建筑消耗和buff配置索引'!BO:BO,MATCH($F523,'#建筑消耗和buff配置索引'!$M:$M,0)))</f>
        <v/>
      </c>
      <c r="AW523" s="133" t="str">
        <f>IF(AV523="","",INDEX('#建筑消耗和buff配置索引'!BP:BP,MATCH($F523,'#建筑消耗和buff配置索引'!$M:$M,0)))</f>
        <v/>
      </c>
      <c r="AX523" s="133"/>
      <c r="AY523" s="133"/>
      <c r="AZ523" s="133" t="str">
        <f>IF(INDEX('#建筑消耗和buff配置索引'!BS:BS,MATCH($F523,'#建筑消耗和buff配置索引'!$M:$M,0))=0,"",INDEX('#建筑消耗和buff配置索引'!BS:BS,MATCH($F523,'#建筑消耗和buff配置索引'!$M:$M,0)))</f>
        <v/>
      </c>
      <c r="BA523" s="133" t="str">
        <f>IF(AZ523="","",INDEX('#建筑消耗和buff配置索引'!BT:BT,MATCH($F523,'#建筑消耗和buff配置索引'!$M:$M,0)))</f>
        <v/>
      </c>
      <c r="BB523" s="133"/>
      <c r="BC523" s="133"/>
      <c r="BD523" s="133" t="str">
        <f>IF(INDEX('#建筑消耗和buff配置索引'!BW:BW,MATCH($F523,'#建筑消耗和buff配置索引'!$M:$M,0))=0,"",INDEX('#建筑消耗和buff配置索引'!BW:BW,MATCH($F523,'#建筑消耗和buff配置索引'!$M:$M,0)))</f>
        <v/>
      </c>
      <c r="BE523" s="133" t="str">
        <f>IF(BD523="","",INDEX('#建筑消耗和buff配置索引'!BX:BX,MATCH($F523,'#建筑消耗和buff配置索引'!$M:$M,0)))</f>
        <v/>
      </c>
      <c r="BF523" s="133"/>
      <c r="BG523" s="133"/>
      <c r="BH523" s="133"/>
      <c r="BI523" s="133">
        <v>24</v>
      </c>
      <c r="BJ523" s="133"/>
    </row>
    <row r="524" spans="1:70">
      <c r="A524" s="133">
        <v>2370006</v>
      </c>
      <c r="B524" s="133">
        <v>521</v>
      </c>
      <c r="C524" s="133">
        <v>237</v>
      </c>
      <c r="D524" s="133" t="s">
        <v>565</v>
      </c>
      <c r="E524" s="133">
        <v>6</v>
      </c>
      <c r="F524" s="133" t="str">
        <f t="shared" si="8"/>
        <v>酒馆6</v>
      </c>
      <c r="G524" s="133"/>
      <c r="H524" s="146"/>
      <c r="I524" s="133" t="s">
        <v>1205</v>
      </c>
      <c r="J524" s="150">
        <f>INDEX('#建筑消耗和buff配置索引'!AH:AH,MATCH($F524,'#建筑消耗和buff配置索引'!$M:$M,0))</f>
        <v>810</v>
      </c>
      <c r="K524" s="150">
        <f>INDEX('#建筑消耗和buff配置索引'!AA:AA,MATCH($F524,'#建筑消耗和buff配置索引'!$M:$M,0))</f>
        <v>8600</v>
      </c>
      <c r="L524" s="150">
        <f>INDEX('#建筑消耗和buff配置索引'!AB:AB,MATCH($F524,'#建筑消耗和buff配置索引'!$M:$M,0))</f>
        <v>17000</v>
      </c>
      <c r="M524" s="150">
        <f>INDEX('#建筑消耗和buff配置索引'!AC:AC,MATCH($F524,'#建筑消耗和buff配置索引'!$M:$M,0))</f>
        <v>17000</v>
      </c>
      <c r="N524" s="150">
        <f>INDEX('#建筑消耗和buff配置索引'!AD:AD,MATCH($F524,'#建筑消耗和buff配置索引'!$M:$M,0))</f>
        <v>0</v>
      </c>
      <c r="O524" s="150" t="str">
        <f>IF(INDEX('#建筑消耗和buff配置索引'!T:T,MATCH($F524,'#建筑消耗和buff配置索引'!$M:$M,0))=0,"",INDEX('#建筑消耗和buff配置索引'!T:T,MATCH($F524,'#建筑消耗和buff配置索引'!$M:$M,0)))</f>
        <v/>
      </c>
      <c r="P524" s="133" t="str">
        <f>IF(INDEX('#建筑消耗和buff配置索引'!U:U,MATCH($F524,'#建筑消耗和buff配置索引'!$M:$M,0))=0,"",INDEX('#建筑消耗和buff配置索引'!U:U,MATCH($F524,'#建筑消耗和buff配置索引'!$M:$M,0)))</f>
        <v/>
      </c>
      <c r="Q524" s="133" t="str">
        <f>IF(INDEX('#建筑消耗和buff配置索引'!K:K,MATCH($F524,'#建筑消耗和buff配置索引'!$M:$M,0))=0,"",INDEX('#建筑消耗和buff配置索引'!K:K,MATCH($F524,'#建筑消耗和buff配置索引'!$M:$M,0)))</f>
        <v>201</v>
      </c>
      <c r="R524" s="133" t="str">
        <f>IF(INDEX('#建筑消耗和buff配置索引'!L:L,MATCH($F524,'#建筑消耗和buff配置索引'!$M:$M,0))=0,"",INDEX('#建筑消耗和buff配置索引'!L:L,MATCH($F524,'#建筑消耗和buff配置索引'!$M:$M,0)))</f>
        <v>6</v>
      </c>
      <c r="S524" s="133">
        <f>IF(INDEX('#建筑消耗和buff配置索引'!C:C,MATCH(F524,'#建筑消耗和buff配置索引'!M:M,0))=0,1,INDEX('#建筑消耗和buff配置索引'!C:C,MATCH(F524,'#建筑消耗和buff配置索引'!M:M,0)))</f>
        <v>1</v>
      </c>
      <c r="T524" s="133">
        <v>0</v>
      </c>
      <c r="U524" s="133">
        <v>0</v>
      </c>
      <c r="V524" s="133" t="str">
        <f>IF(E524=1,IF(INDEX('#建筑消耗和buff配置索引'!BY:BY,MATCH(D524,'#建筑消耗和buff配置索引'!A:A,0))=0,"",INDEX('#建筑消耗和buff配置索引'!BY:BY,MATCH(D524,'#建筑消耗和buff配置索引'!A:A,0))),"")</f>
        <v/>
      </c>
      <c r="W524" s="133" t="str">
        <f>IF(E524=1,IF(INDEX('#建筑消耗和buff配置索引'!BZ:BZ,MATCH(D524,'#建筑消耗和buff配置索引'!A:A,0))=0,"",INDEX('#建筑消耗和buff配置索引'!BZ:BZ,MATCH(D524,'#建筑消耗和buff配置索引'!A:A,0))),"")</f>
        <v/>
      </c>
      <c r="X524" s="133"/>
      <c r="Y524" s="133"/>
      <c r="Z524" s="133"/>
      <c r="AA524" s="133">
        <f>INDEX('#建筑消耗和buff配置索引'!AO:AO,MATCH($F524,'#建筑消耗和buff配置索引'!$M:$M,0))</f>
        <v>177</v>
      </c>
      <c r="AB524" s="133">
        <f>IF(INDEX('#建筑消耗和buff配置索引'!AR:AR,MATCH($F524,'#建筑消耗和buff配置索引'!$M:$M,0))=0,"",INDEX('#建筑消耗和buff配置索引'!AR:AR,MATCH($F524,'#建筑消耗和buff配置索引'!$M:$M,0)))</f>
        <v>10000601</v>
      </c>
      <c r="AC524" s="133">
        <f>IF(AB524="","",INDEX('#建筑消耗和buff配置索引'!AS:AS,MATCH($F524,'#建筑消耗和buff配置索引'!$M:$M,0)))</f>
        <v>10</v>
      </c>
      <c r="AD524" s="133"/>
      <c r="AE524" s="133"/>
      <c r="AF524" s="133">
        <f>IF(INDEX('#建筑消耗和buff配置索引'!AW:AW,MATCH($F524,'#建筑消耗和buff配置索引'!$M:$M,0))=0,"",INDEX('#建筑消耗和buff配置索引'!AW:AW,MATCH($F524,'#建筑消耗和buff配置索引'!$M:$M,0)))</f>
        <v>10000701</v>
      </c>
      <c r="AG524" s="133">
        <f>IF(AF524="","",INDEX('#建筑消耗和buff配置索引'!AX:AX,MATCH($F524,'#建筑消耗和buff配置索引'!$M:$M,0)))</f>
        <v>0.12</v>
      </c>
      <c r="AH524" s="133"/>
      <c r="AI524" s="133"/>
      <c r="AJ524" s="133" t="str">
        <f>IF(INDEX('#建筑消耗和buff配置索引'!BB:BB,MATCH($F524,'#建筑消耗和buff配置索引'!$M:$M,0))=0,"",INDEX('#建筑消耗和buff配置索引'!BB:BB,MATCH($F524,'#建筑消耗和buff配置索引'!$M:$M,0)))</f>
        <v/>
      </c>
      <c r="AK524" s="133" t="str">
        <f>IF(AJ524="","",INDEX('#建筑消耗和buff配置索引'!BC:BC,MATCH($F524,'#建筑消耗和buff配置索引'!$M:$M,0)))</f>
        <v/>
      </c>
      <c r="AL524" s="133"/>
      <c r="AM524" s="133"/>
      <c r="AN524" s="133" t="str">
        <f>IF(INDEX('#建筑消耗和buff配置索引'!BG:BG,MATCH($F524,'#建筑消耗和buff配置索引'!$M:$M,0))=0,"",INDEX('#建筑消耗和buff配置索引'!BG:BG,MATCH($F524,'#建筑消耗和buff配置索引'!$M:$M,0)))</f>
        <v/>
      </c>
      <c r="AO524" s="133" t="str">
        <f>IF(AN524="","",INDEX('#建筑消耗和buff配置索引'!BH:BH,MATCH($F524,'#建筑消耗和buff配置索引'!$M:$M,0)))</f>
        <v/>
      </c>
      <c r="AP524" s="133"/>
      <c r="AQ524" s="133"/>
      <c r="AR524" s="133" t="str">
        <f>IF(INDEX('#建筑消耗和buff配置索引'!BK:BK,MATCH($F524,'#建筑消耗和buff配置索引'!$M:$M,0))=0,"",INDEX('#建筑消耗和buff配置索引'!BK:BK,MATCH($F524,'#建筑消耗和buff配置索引'!$M:$M,0)))</f>
        <v/>
      </c>
      <c r="AS524" s="133" t="str">
        <f>IF(AR524="","",INDEX('#建筑消耗和buff配置索引'!BL:BL,MATCH($F524,'#建筑消耗和buff配置索引'!$M:$M,0)))</f>
        <v/>
      </c>
      <c r="AT524" s="133"/>
      <c r="AU524" s="133"/>
      <c r="AV524" s="133" t="str">
        <f>IF(INDEX('#建筑消耗和buff配置索引'!BO:BO,MATCH($F524,'#建筑消耗和buff配置索引'!$M:$M,0))=0,"",INDEX('#建筑消耗和buff配置索引'!BO:BO,MATCH($F524,'#建筑消耗和buff配置索引'!$M:$M,0)))</f>
        <v/>
      </c>
      <c r="AW524" s="133" t="str">
        <f>IF(AV524="","",INDEX('#建筑消耗和buff配置索引'!BP:BP,MATCH($F524,'#建筑消耗和buff配置索引'!$M:$M,0)))</f>
        <v/>
      </c>
      <c r="AX524" s="133"/>
      <c r="AY524" s="133"/>
      <c r="AZ524" s="133" t="str">
        <f>IF(INDEX('#建筑消耗和buff配置索引'!BS:BS,MATCH($F524,'#建筑消耗和buff配置索引'!$M:$M,0))=0,"",INDEX('#建筑消耗和buff配置索引'!BS:BS,MATCH($F524,'#建筑消耗和buff配置索引'!$M:$M,0)))</f>
        <v/>
      </c>
      <c r="BA524" s="133" t="str">
        <f>IF(AZ524="","",INDEX('#建筑消耗和buff配置索引'!BT:BT,MATCH($F524,'#建筑消耗和buff配置索引'!$M:$M,0)))</f>
        <v/>
      </c>
      <c r="BB524" s="133"/>
      <c r="BC524" s="133"/>
      <c r="BD524" s="133" t="str">
        <f>IF(INDEX('#建筑消耗和buff配置索引'!BW:BW,MATCH($F524,'#建筑消耗和buff配置索引'!$M:$M,0))=0,"",INDEX('#建筑消耗和buff配置索引'!BW:BW,MATCH($F524,'#建筑消耗和buff配置索引'!$M:$M,0)))</f>
        <v/>
      </c>
      <c r="BE524" s="133" t="str">
        <f>IF(BD524="","",INDEX('#建筑消耗和buff配置索引'!BX:BX,MATCH($F524,'#建筑消耗和buff配置索引'!$M:$M,0)))</f>
        <v/>
      </c>
      <c r="BF524" s="133"/>
      <c r="BG524" s="133"/>
      <c r="BH524" s="133"/>
      <c r="BI524" s="133">
        <v>24</v>
      </c>
      <c r="BJ524" s="133"/>
    </row>
    <row r="525" spans="1:70">
      <c r="A525" s="133">
        <v>2370007</v>
      </c>
      <c r="B525" s="133">
        <v>522</v>
      </c>
      <c r="C525" s="133">
        <v>237</v>
      </c>
      <c r="D525" s="133" t="s">
        <v>565</v>
      </c>
      <c r="E525" s="133">
        <v>7</v>
      </c>
      <c r="F525" s="133" t="str">
        <f t="shared" si="8"/>
        <v>酒馆7</v>
      </c>
      <c r="G525" s="133"/>
      <c r="H525" s="146"/>
      <c r="I525" s="133" t="s">
        <v>1205</v>
      </c>
      <c r="J525" s="150">
        <f>INDEX('#建筑消耗和buff配置索引'!AH:AH,MATCH($F525,'#建筑消耗和buff配置索引'!$M:$M,0))</f>
        <v>1350</v>
      </c>
      <c r="K525" s="150">
        <f>INDEX('#建筑消耗和buff配置索引'!AA:AA,MATCH($F525,'#建筑消耗和buff配置索引'!$M:$M,0))</f>
        <v>15000</v>
      </c>
      <c r="L525" s="150">
        <f>INDEX('#建筑消耗和buff配置索引'!AB:AB,MATCH($F525,'#建筑消耗和buff配置索引'!$M:$M,0))</f>
        <v>31000</v>
      </c>
      <c r="M525" s="150">
        <f>INDEX('#建筑消耗和buff配置索引'!AC:AC,MATCH($F525,'#建筑消耗和buff配置索引'!$M:$M,0))</f>
        <v>31000</v>
      </c>
      <c r="N525" s="150">
        <f>INDEX('#建筑消耗和buff配置索引'!AD:AD,MATCH($F525,'#建筑消耗和buff配置索引'!$M:$M,0))</f>
        <v>0</v>
      </c>
      <c r="O525" s="150" t="str">
        <f>IF(INDEX('#建筑消耗和buff配置索引'!T:T,MATCH($F525,'#建筑消耗和buff配置索引'!$M:$M,0))=0,"",INDEX('#建筑消耗和buff配置索引'!T:T,MATCH($F525,'#建筑消耗和buff配置索引'!$M:$M,0)))</f>
        <v/>
      </c>
      <c r="P525" s="133" t="str">
        <f>IF(INDEX('#建筑消耗和buff配置索引'!U:U,MATCH($F525,'#建筑消耗和buff配置索引'!$M:$M,0))=0,"",INDEX('#建筑消耗和buff配置索引'!U:U,MATCH($F525,'#建筑消耗和buff配置索引'!$M:$M,0)))</f>
        <v/>
      </c>
      <c r="Q525" s="133" t="str">
        <f>IF(INDEX('#建筑消耗和buff配置索引'!K:K,MATCH($F525,'#建筑消耗和buff配置索引'!$M:$M,0))=0,"",INDEX('#建筑消耗和buff配置索引'!K:K,MATCH($F525,'#建筑消耗和buff配置索引'!$M:$M,0)))</f>
        <v>201</v>
      </c>
      <c r="R525" s="133" t="str">
        <f>IF(INDEX('#建筑消耗和buff配置索引'!L:L,MATCH($F525,'#建筑消耗和buff配置索引'!$M:$M,0))=0,"",INDEX('#建筑消耗和buff配置索引'!L:L,MATCH($F525,'#建筑消耗和buff配置索引'!$M:$M,0)))</f>
        <v>7</v>
      </c>
      <c r="S525" s="133">
        <f>IF(INDEX('#建筑消耗和buff配置索引'!C:C,MATCH(F525,'#建筑消耗和buff配置索引'!M:M,0))=0,1,INDEX('#建筑消耗和buff配置索引'!C:C,MATCH(F525,'#建筑消耗和buff配置索引'!M:M,0)))</f>
        <v>1</v>
      </c>
      <c r="T525" s="133">
        <v>0</v>
      </c>
      <c r="U525" s="133">
        <v>0</v>
      </c>
      <c r="V525" s="133" t="str">
        <f>IF(E525=1,IF(INDEX('#建筑消耗和buff配置索引'!BY:BY,MATCH(D525,'#建筑消耗和buff配置索引'!A:A,0))=0,"",INDEX('#建筑消耗和buff配置索引'!BY:BY,MATCH(D525,'#建筑消耗和buff配置索引'!A:A,0))),"")</f>
        <v/>
      </c>
      <c r="W525" s="133" t="str">
        <f>IF(E525=1,IF(INDEX('#建筑消耗和buff配置索引'!BZ:BZ,MATCH(D525,'#建筑消耗和buff配置索引'!A:A,0))=0,"",INDEX('#建筑消耗和buff配置索引'!BZ:BZ,MATCH(D525,'#建筑消耗和buff配置索引'!A:A,0))),"")</f>
        <v/>
      </c>
      <c r="X525" s="133"/>
      <c r="Y525" s="133"/>
      <c r="Z525" s="133"/>
      <c r="AA525" s="133">
        <f>INDEX('#建筑消耗和buff配置索引'!AO:AO,MATCH($F525,'#建筑消耗和buff配置索引'!$M:$M,0))</f>
        <v>331</v>
      </c>
      <c r="AB525" s="133">
        <f>IF(INDEX('#建筑消耗和buff配置索引'!AR:AR,MATCH($F525,'#建筑消耗和buff配置索引'!$M:$M,0))=0,"",INDEX('#建筑消耗和buff配置索引'!AR:AR,MATCH($F525,'#建筑消耗和buff配置索引'!$M:$M,0)))</f>
        <v>10000601</v>
      </c>
      <c r="AC525" s="133">
        <f>IF(AB525="","",INDEX('#建筑消耗和buff配置索引'!AS:AS,MATCH($F525,'#建筑消耗和buff配置索引'!$M:$M,0)))</f>
        <v>15</v>
      </c>
      <c r="AD525" s="133"/>
      <c r="AE525" s="133"/>
      <c r="AF525" s="133">
        <f>IF(INDEX('#建筑消耗和buff配置索引'!AW:AW,MATCH($F525,'#建筑消耗和buff配置索引'!$M:$M,0))=0,"",INDEX('#建筑消耗和buff配置索引'!AW:AW,MATCH($F525,'#建筑消耗和buff配置索引'!$M:$M,0)))</f>
        <v>10000701</v>
      </c>
      <c r="AG525" s="133">
        <f>IF(AF525="","",INDEX('#建筑消耗和buff配置索引'!AX:AX,MATCH($F525,'#建筑消耗和buff配置索引'!$M:$M,0)))</f>
        <v>0.14000000000000001</v>
      </c>
      <c r="AH525" s="133"/>
      <c r="AI525" s="133"/>
      <c r="AJ525" s="133" t="str">
        <f>IF(INDEX('#建筑消耗和buff配置索引'!BB:BB,MATCH($F525,'#建筑消耗和buff配置索引'!$M:$M,0))=0,"",INDEX('#建筑消耗和buff配置索引'!BB:BB,MATCH($F525,'#建筑消耗和buff配置索引'!$M:$M,0)))</f>
        <v/>
      </c>
      <c r="AK525" s="133" t="str">
        <f>IF(AJ525="","",INDEX('#建筑消耗和buff配置索引'!BC:BC,MATCH($F525,'#建筑消耗和buff配置索引'!$M:$M,0)))</f>
        <v/>
      </c>
      <c r="AL525" s="133"/>
      <c r="AM525" s="133"/>
      <c r="AN525" s="133" t="str">
        <f>IF(INDEX('#建筑消耗和buff配置索引'!BG:BG,MATCH($F525,'#建筑消耗和buff配置索引'!$M:$M,0))=0,"",INDEX('#建筑消耗和buff配置索引'!BG:BG,MATCH($F525,'#建筑消耗和buff配置索引'!$M:$M,0)))</f>
        <v/>
      </c>
      <c r="AO525" s="133" t="str">
        <f>IF(AN525="","",INDEX('#建筑消耗和buff配置索引'!BH:BH,MATCH($F525,'#建筑消耗和buff配置索引'!$M:$M,0)))</f>
        <v/>
      </c>
      <c r="AP525" s="133"/>
      <c r="AQ525" s="133"/>
      <c r="AR525" s="133" t="str">
        <f>IF(INDEX('#建筑消耗和buff配置索引'!BK:BK,MATCH($F525,'#建筑消耗和buff配置索引'!$M:$M,0))=0,"",INDEX('#建筑消耗和buff配置索引'!BK:BK,MATCH($F525,'#建筑消耗和buff配置索引'!$M:$M,0)))</f>
        <v/>
      </c>
      <c r="AS525" s="133" t="str">
        <f>IF(AR525="","",INDEX('#建筑消耗和buff配置索引'!BL:BL,MATCH($F525,'#建筑消耗和buff配置索引'!$M:$M,0)))</f>
        <v/>
      </c>
      <c r="AT525" s="133"/>
      <c r="AU525" s="133"/>
      <c r="AV525" s="133" t="str">
        <f>IF(INDEX('#建筑消耗和buff配置索引'!BO:BO,MATCH($F525,'#建筑消耗和buff配置索引'!$M:$M,0))=0,"",INDEX('#建筑消耗和buff配置索引'!BO:BO,MATCH($F525,'#建筑消耗和buff配置索引'!$M:$M,0)))</f>
        <v/>
      </c>
      <c r="AW525" s="133" t="str">
        <f>IF(AV525="","",INDEX('#建筑消耗和buff配置索引'!BP:BP,MATCH($F525,'#建筑消耗和buff配置索引'!$M:$M,0)))</f>
        <v/>
      </c>
      <c r="AX525" s="133"/>
      <c r="AY525" s="133"/>
      <c r="AZ525" s="133" t="str">
        <f>IF(INDEX('#建筑消耗和buff配置索引'!BS:BS,MATCH($F525,'#建筑消耗和buff配置索引'!$M:$M,0))=0,"",INDEX('#建筑消耗和buff配置索引'!BS:BS,MATCH($F525,'#建筑消耗和buff配置索引'!$M:$M,0)))</f>
        <v/>
      </c>
      <c r="BA525" s="133" t="str">
        <f>IF(AZ525="","",INDEX('#建筑消耗和buff配置索引'!BT:BT,MATCH($F525,'#建筑消耗和buff配置索引'!$M:$M,0)))</f>
        <v/>
      </c>
      <c r="BB525" s="133"/>
      <c r="BC525" s="133"/>
      <c r="BD525" s="133" t="str">
        <f>IF(INDEX('#建筑消耗和buff配置索引'!BW:BW,MATCH($F525,'#建筑消耗和buff配置索引'!$M:$M,0))=0,"",INDEX('#建筑消耗和buff配置索引'!BW:BW,MATCH($F525,'#建筑消耗和buff配置索引'!$M:$M,0)))</f>
        <v/>
      </c>
      <c r="BE525" s="133" t="str">
        <f>IF(BD525="","",INDEX('#建筑消耗和buff配置索引'!BX:BX,MATCH($F525,'#建筑消耗和buff配置索引'!$M:$M,0)))</f>
        <v/>
      </c>
      <c r="BF525" s="133"/>
      <c r="BG525" s="133"/>
      <c r="BH525" s="133"/>
      <c r="BI525" s="133">
        <v>24</v>
      </c>
      <c r="BJ525" s="133"/>
    </row>
    <row r="526" spans="1:70">
      <c r="A526" s="133">
        <v>2370008</v>
      </c>
      <c r="B526" s="133">
        <v>523</v>
      </c>
      <c r="C526" s="133">
        <v>237</v>
      </c>
      <c r="D526" s="133" t="s">
        <v>565</v>
      </c>
      <c r="E526" s="133">
        <v>8</v>
      </c>
      <c r="F526" s="133" t="str">
        <f t="shared" si="8"/>
        <v>酒馆8</v>
      </c>
      <c r="G526" s="133"/>
      <c r="H526" s="146"/>
      <c r="I526" s="133" t="s">
        <v>1205</v>
      </c>
      <c r="J526" s="150">
        <f>INDEX('#建筑消耗和buff配置索引'!AH:AH,MATCH($F526,'#建筑消耗和buff配置索引'!$M:$M,0))</f>
        <v>2160</v>
      </c>
      <c r="K526" s="150">
        <f>INDEX('#建筑消耗和buff配置索引'!AA:AA,MATCH($F526,'#建筑消耗和buff配置索引'!$M:$M,0))</f>
        <v>27000</v>
      </c>
      <c r="L526" s="150">
        <f>INDEX('#建筑消耗和buff配置索引'!AB:AB,MATCH($F526,'#建筑消耗和buff配置索引'!$M:$M,0))</f>
        <v>53000</v>
      </c>
      <c r="M526" s="150">
        <f>INDEX('#建筑消耗和buff配置索引'!AC:AC,MATCH($F526,'#建筑消耗和buff配置索引'!$M:$M,0))</f>
        <v>53000</v>
      </c>
      <c r="N526" s="150">
        <f>INDEX('#建筑消耗和buff配置索引'!AD:AD,MATCH($F526,'#建筑消耗和buff配置索引'!$M:$M,0))</f>
        <v>0</v>
      </c>
      <c r="O526" s="150" t="str">
        <f>IF(INDEX('#建筑消耗和buff配置索引'!T:T,MATCH($F526,'#建筑消耗和buff配置索引'!$M:$M,0))=0,"",INDEX('#建筑消耗和buff配置索引'!T:T,MATCH($F526,'#建筑消耗和buff配置索引'!$M:$M,0)))</f>
        <v/>
      </c>
      <c r="P526" s="133" t="str">
        <f>IF(INDEX('#建筑消耗和buff配置索引'!U:U,MATCH($F526,'#建筑消耗和buff配置索引'!$M:$M,0))=0,"",INDEX('#建筑消耗和buff配置索引'!U:U,MATCH($F526,'#建筑消耗和buff配置索引'!$M:$M,0)))</f>
        <v/>
      </c>
      <c r="Q526" s="133" t="str">
        <f>IF(INDEX('#建筑消耗和buff配置索引'!K:K,MATCH($F526,'#建筑消耗和buff配置索引'!$M:$M,0))=0,"",INDEX('#建筑消耗和buff配置索引'!K:K,MATCH($F526,'#建筑消耗和buff配置索引'!$M:$M,0)))</f>
        <v>201</v>
      </c>
      <c r="R526" s="133" t="str">
        <f>IF(INDEX('#建筑消耗和buff配置索引'!L:L,MATCH($F526,'#建筑消耗和buff配置索引'!$M:$M,0))=0,"",INDEX('#建筑消耗和buff配置索引'!L:L,MATCH($F526,'#建筑消耗和buff配置索引'!$M:$M,0)))</f>
        <v>8</v>
      </c>
      <c r="S526" s="133">
        <f>IF(INDEX('#建筑消耗和buff配置索引'!C:C,MATCH(F526,'#建筑消耗和buff配置索引'!M:M,0))=0,1,INDEX('#建筑消耗和buff配置索引'!C:C,MATCH(F526,'#建筑消耗和buff配置索引'!M:M,0)))</f>
        <v>1</v>
      </c>
      <c r="T526" s="133">
        <v>0</v>
      </c>
      <c r="U526" s="133">
        <v>0</v>
      </c>
      <c r="V526" s="133" t="str">
        <f>IF(E526=1,IF(INDEX('#建筑消耗和buff配置索引'!BY:BY,MATCH(D526,'#建筑消耗和buff配置索引'!A:A,0))=0,"",INDEX('#建筑消耗和buff配置索引'!BY:BY,MATCH(D526,'#建筑消耗和buff配置索引'!A:A,0))),"")</f>
        <v/>
      </c>
      <c r="W526" s="133" t="str">
        <f>IF(E526=1,IF(INDEX('#建筑消耗和buff配置索引'!BZ:BZ,MATCH(D526,'#建筑消耗和buff配置索引'!A:A,0))=0,"",INDEX('#建筑消耗和buff配置索引'!BZ:BZ,MATCH(D526,'#建筑消耗和buff配置索引'!A:A,0))),"")</f>
        <v/>
      </c>
      <c r="X526" s="133"/>
      <c r="Y526" s="133"/>
      <c r="Z526" s="133"/>
      <c r="AA526" s="133">
        <f>INDEX('#建筑消耗和buff配置索引'!AO:AO,MATCH($F526,'#建筑消耗和buff配置索引'!$M:$M,0))</f>
        <v>596</v>
      </c>
      <c r="AB526" s="133">
        <f>IF(INDEX('#建筑消耗和buff配置索引'!AR:AR,MATCH($F526,'#建筑消耗和buff配置索引'!$M:$M,0))=0,"",INDEX('#建筑消耗和buff配置索引'!AR:AR,MATCH($F526,'#建筑消耗和buff配置索引'!$M:$M,0)))</f>
        <v>10000601</v>
      </c>
      <c r="AC526" s="133">
        <f>IF(AB526="","",INDEX('#建筑消耗和buff配置索引'!AS:AS,MATCH($F526,'#建筑消耗和buff配置索引'!$M:$M,0)))</f>
        <v>20</v>
      </c>
      <c r="AD526" s="133"/>
      <c r="AE526" s="133"/>
      <c r="AF526" s="133">
        <f>IF(INDEX('#建筑消耗和buff配置索引'!AW:AW,MATCH($F526,'#建筑消耗和buff配置索引'!$M:$M,0))=0,"",INDEX('#建筑消耗和buff配置索引'!AW:AW,MATCH($F526,'#建筑消耗和buff配置索引'!$M:$M,0)))</f>
        <v>10000701</v>
      </c>
      <c r="AG526" s="133">
        <f>IF(AF526="","",INDEX('#建筑消耗和buff配置索引'!AX:AX,MATCH($F526,'#建筑消耗和buff配置索引'!$M:$M,0)))</f>
        <v>0.16</v>
      </c>
      <c r="AH526" s="133"/>
      <c r="AI526" s="133"/>
      <c r="AJ526" s="133" t="str">
        <f>IF(INDEX('#建筑消耗和buff配置索引'!BB:BB,MATCH($F526,'#建筑消耗和buff配置索引'!$M:$M,0))=0,"",INDEX('#建筑消耗和buff配置索引'!BB:BB,MATCH($F526,'#建筑消耗和buff配置索引'!$M:$M,0)))</f>
        <v/>
      </c>
      <c r="AK526" s="133" t="str">
        <f>IF(AJ526="","",INDEX('#建筑消耗和buff配置索引'!BC:BC,MATCH($F526,'#建筑消耗和buff配置索引'!$M:$M,0)))</f>
        <v/>
      </c>
      <c r="AL526" s="133"/>
      <c r="AM526" s="133"/>
      <c r="AN526" s="133" t="str">
        <f>IF(INDEX('#建筑消耗和buff配置索引'!BG:BG,MATCH($F526,'#建筑消耗和buff配置索引'!$M:$M,0))=0,"",INDEX('#建筑消耗和buff配置索引'!BG:BG,MATCH($F526,'#建筑消耗和buff配置索引'!$M:$M,0)))</f>
        <v/>
      </c>
      <c r="AO526" s="133" t="str">
        <f>IF(AN526="","",INDEX('#建筑消耗和buff配置索引'!BH:BH,MATCH($F526,'#建筑消耗和buff配置索引'!$M:$M,0)))</f>
        <v/>
      </c>
      <c r="AP526" s="133"/>
      <c r="AQ526" s="133"/>
      <c r="AR526" s="133" t="str">
        <f>IF(INDEX('#建筑消耗和buff配置索引'!BK:BK,MATCH($F526,'#建筑消耗和buff配置索引'!$M:$M,0))=0,"",INDEX('#建筑消耗和buff配置索引'!BK:BK,MATCH($F526,'#建筑消耗和buff配置索引'!$M:$M,0)))</f>
        <v/>
      </c>
      <c r="AS526" s="133" t="str">
        <f>IF(AR526="","",INDEX('#建筑消耗和buff配置索引'!BL:BL,MATCH($F526,'#建筑消耗和buff配置索引'!$M:$M,0)))</f>
        <v/>
      </c>
      <c r="AT526" s="133"/>
      <c r="AU526" s="133"/>
      <c r="AV526" s="133" t="str">
        <f>IF(INDEX('#建筑消耗和buff配置索引'!BO:BO,MATCH($F526,'#建筑消耗和buff配置索引'!$M:$M,0))=0,"",INDEX('#建筑消耗和buff配置索引'!BO:BO,MATCH($F526,'#建筑消耗和buff配置索引'!$M:$M,0)))</f>
        <v/>
      </c>
      <c r="AW526" s="133" t="str">
        <f>IF(AV526="","",INDEX('#建筑消耗和buff配置索引'!BP:BP,MATCH($F526,'#建筑消耗和buff配置索引'!$M:$M,0)))</f>
        <v/>
      </c>
      <c r="AX526" s="133"/>
      <c r="AY526" s="133"/>
      <c r="AZ526" s="133" t="str">
        <f>IF(INDEX('#建筑消耗和buff配置索引'!BS:BS,MATCH($F526,'#建筑消耗和buff配置索引'!$M:$M,0))=0,"",INDEX('#建筑消耗和buff配置索引'!BS:BS,MATCH($F526,'#建筑消耗和buff配置索引'!$M:$M,0)))</f>
        <v/>
      </c>
      <c r="BA526" s="133" t="str">
        <f>IF(AZ526="","",INDEX('#建筑消耗和buff配置索引'!BT:BT,MATCH($F526,'#建筑消耗和buff配置索引'!$M:$M,0)))</f>
        <v/>
      </c>
      <c r="BB526" s="133"/>
      <c r="BC526" s="133"/>
      <c r="BD526" s="133" t="str">
        <f>IF(INDEX('#建筑消耗和buff配置索引'!BW:BW,MATCH($F526,'#建筑消耗和buff配置索引'!$M:$M,0))=0,"",INDEX('#建筑消耗和buff配置索引'!BW:BW,MATCH($F526,'#建筑消耗和buff配置索引'!$M:$M,0)))</f>
        <v/>
      </c>
      <c r="BE526" s="133" t="str">
        <f>IF(BD526="","",INDEX('#建筑消耗和buff配置索引'!BX:BX,MATCH($F526,'#建筑消耗和buff配置索引'!$M:$M,0)))</f>
        <v/>
      </c>
      <c r="BF526" s="133"/>
      <c r="BG526" s="133"/>
      <c r="BH526" s="133"/>
      <c r="BI526" s="133">
        <v>24</v>
      </c>
      <c r="BJ526" s="133"/>
    </row>
    <row r="527" spans="1:70">
      <c r="A527" s="133">
        <v>2370009</v>
      </c>
      <c r="B527" s="133">
        <v>524</v>
      </c>
      <c r="C527" s="133">
        <v>237</v>
      </c>
      <c r="D527" s="133" t="s">
        <v>565</v>
      </c>
      <c r="E527" s="133">
        <v>9</v>
      </c>
      <c r="F527" s="133" t="str">
        <f t="shared" si="8"/>
        <v>酒馆9</v>
      </c>
      <c r="G527" s="133"/>
      <c r="H527" s="146"/>
      <c r="I527" s="133" t="s">
        <v>1205</v>
      </c>
      <c r="J527" s="150">
        <f>INDEX('#建筑消耗和buff配置索引'!AH:AH,MATCH($F527,'#建筑消耗和buff配置索引'!$M:$M,0))</f>
        <v>4320</v>
      </c>
      <c r="K527" s="150">
        <f>INDEX('#建筑消耗和buff配置索引'!AA:AA,MATCH($F527,'#建筑消耗和buff配置索引'!$M:$M,0))</f>
        <v>44000</v>
      </c>
      <c r="L527" s="150">
        <f>INDEX('#建筑消耗和buff配置索引'!AB:AB,MATCH($F527,'#建筑消耗和buff配置索引'!$M:$M,0))</f>
        <v>88000</v>
      </c>
      <c r="M527" s="150">
        <f>INDEX('#建筑消耗和buff配置索引'!AC:AC,MATCH($F527,'#建筑消耗和buff配置索引'!$M:$M,0))</f>
        <v>88000</v>
      </c>
      <c r="N527" s="150">
        <f>INDEX('#建筑消耗和buff配置索引'!AD:AD,MATCH($F527,'#建筑消耗和buff配置索引'!$M:$M,0))</f>
        <v>0</v>
      </c>
      <c r="O527" s="150" t="str">
        <f>IF(INDEX('#建筑消耗和buff配置索引'!T:T,MATCH($F527,'#建筑消耗和buff配置索引'!$M:$M,0))=0,"",INDEX('#建筑消耗和buff配置索引'!T:T,MATCH($F527,'#建筑消耗和buff配置索引'!$M:$M,0)))</f>
        <v/>
      </c>
      <c r="P527" s="133" t="str">
        <f>IF(INDEX('#建筑消耗和buff配置索引'!U:U,MATCH($F527,'#建筑消耗和buff配置索引'!$M:$M,0))=0,"",INDEX('#建筑消耗和buff配置索引'!U:U,MATCH($F527,'#建筑消耗和buff配置索引'!$M:$M,0)))</f>
        <v/>
      </c>
      <c r="Q527" s="133" t="str">
        <f>IF(INDEX('#建筑消耗和buff配置索引'!K:K,MATCH($F527,'#建筑消耗和buff配置索引'!$M:$M,0))=0,"",INDEX('#建筑消耗和buff配置索引'!K:K,MATCH($F527,'#建筑消耗和buff配置索引'!$M:$M,0)))</f>
        <v>201</v>
      </c>
      <c r="R527" s="133" t="str">
        <f>IF(INDEX('#建筑消耗和buff配置索引'!L:L,MATCH($F527,'#建筑消耗和buff配置索引'!$M:$M,0))=0,"",INDEX('#建筑消耗和buff配置索引'!L:L,MATCH($F527,'#建筑消耗和buff配置索引'!$M:$M,0)))</f>
        <v>9</v>
      </c>
      <c r="S527" s="133">
        <f>IF(INDEX('#建筑消耗和buff配置索引'!C:C,MATCH(F527,'#建筑消耗和buff配置索引'!M:M,0))=0,1,INDEX('#建筑消耗和buff配置索引'!C:C,MATCH(F527,'#建筑消耗和buff配置索引'!M:M,0)))</f>
        <v>1</v>
      </c>
      <c r="T527" s="133">
        <v>0</v>
      </c>
      <c r="U527" s="133">
        <v>0</v>
      </c>
      <c r="V527" s="133" t="str">
        <f>IF(E527=1,IF(INDEX('#建筑消耗和buff配置索引'!BY:BY,MATCH(D527,'#建筑消耗和buff配置索引'!A:A,0))=0,"",INDEX('#建筑消耗和buff配置索引'!BY:BY,MATCH(D527,'#建筑消耗和buff配置索引'!A:A,0))),"")</f>
        <v/>
      </c>
      <c r="W527" s="133" t="str">
        <f>IF(E527=1,IF(INDEX('#建筑消耗和buff配置索引'!BZ:BZ,MATCH(D527,'#建筑消耗和buff配置索引'!A:A,0))=0,"",INDEX('#建筑消耗和buff配置索引'!BZ:BZ,MATCH(D527,'#建筑消耗和buff配置索引'!A:A,0))),"")</f>
        <v/>
      </c>
      <c r="X527" s="133"/>
      <c r="Y527" s="133"/>
      <c r="Z527" s="133"/>
      <c r="AA527" s="133">
        <f>INDEX('#建筑消耗和buff配置索引'!AO:AO,MATCH($F527,'#建筑消耗和buff配置索引'!$M:$M,0))</f>
        <v>1034</v>
      </c>
      <c r="AB527" s="133">
        <f>IF(INDEX('#建筑消耗和buff配置索引'!AR:AR,MATCH($F527,'#建筑消耗和buff配置索引'!$M:$M,0))=0,"",INDEX('#建筑消耗和buff配置索引'!AR:AR,MATCH($F527,'#建筑消耗和buff配置索引'!$M:$M,0)))</f>
        <v>10000601</v>
      </c>
      <c r="AC527" s="133">
        <f>IF(AB527="","",INDEX('#建筑消耗和buff配置索引'!AS:AS,MATCH($F527,'#建筑消耗和buff配置索引'!$M:$M,0)))</f>
        <v>25</v>
      </c>
      <c r="AD527" s="133"/>
      <c r="AE527" s="133"/>
      <c r="AF527" s="133">
        <f>IF(INDEX('#建筑消耗和buff配置索引'!AW:AW,MATCH($F527,'#建筑消耗和buff配置索引'!$M:$M,0))=0,"",INDEX('#建筑消耗和buff配置索引'!AW:AW,MATCH($F527,'#建筑消耗和buff配置索引'!$M:$M,0)))</f>
        <v>10000701</v>
      </c>
      <c r="AG527" s="133">
        <f>IF(AF527="","",INDEX('#建筑消耗和buff配置索引'!AX:AX,MATCH($F527,'#建筑消耗和buff配置索引'!$M:$M,0)))</f>
        <v>0.18</v>
      </c>
      <c r="AH527" s="133"/>
      <c r="AI527" s="133"/>
      <c r="AJ527" s="133" t="str">
        <f>IF(INDEX('#建筑消耗和buff配置索引'!BB:BB,MATCH($F527,'#建筑消耗和buff配置索引'!$M:$M,0))=0,"",INDEX('#建筑消耗和buff配置索引'!BB:BB,MATCH($F527,'#建筑消耗和buff配置索引'!$M:$M,0)))</f>
        <v/>
      </c>
      <c r="AK527" s="133" t="str">
        <f>IF(AJ527="","",INDEX('#建筑消耗和buff配置索引'!BC:BC,MATCH($F527,'#建筑消耗和buff配置索引'!$M:$M,0)))</f>
        <v/>
      </c>
      <c r="AL527" s="133"/>
      <c r="AM527" s="133"/>
      <c r="AN527" s="133" t="str">
        <f>IF(INDEX('#建筑消耗和buff配置索引'!BG:BG,MATCH($F527,'#建筑消耗和buff配置索引'!$M:$M,0))=0,"",INDEX('#建筑消耗和buff配置索引'!BG:BG,MATCH($F527,'#建筑消耗和buff配置索引'!$M:$M,0)))</f>
        <v/>
      </c>
      <c r="AO527" s="133" t="str">
        <f>IF(AN527="","",INDEX('#建筑消耗和buff配置索引'!BH:BH,MATCH($F527,'#建筑消耗和buff配置索引'!$M:$M,0)))</f>
        <v/>
      </c>
      <c r="AP527" s="133"/>
      <c r="AQ527" s="133"/>
      <c r="AR527" s="133" t="str">
        <f>IF(INDEX('#建筑消耗和buff配置索引'!BK:BK,MATCH($F527,'#建筑消耗和buff配置索引'!$M:$M,0))=0,"",INDEX('#建筑消耗和buff配置索引'!BK:BK,MATCH($F527,'#建筑消耗和buff配置索引'!$M:$M,0)))</f>
        <v/>
      </c>
      <c r="AS527" s="133" t="str">
        <f>IF(AR527="","",INDEX('#建筑消耗和buff配置索引'!BL:BL,MATCH($F527,'#建筑消耗和buff配置索引'!$M:$M,0)))</f>
        <v/>
      </c>
      <c r="AT527" s="133"/>
      <c r="AU527" s="133"/>
      <c r="AV527" s="133" t="str">
        <f>IF(INDEX('#建筑消耗和buff配置索引'!BO:BO,MATCH($F527,'#建筑消耗和buff配置索引'!$M:$M,0))=0,"",INDEX('#建筑消耗和buff配置索引'!BO:BO,MATCH($F527,'#建筑消耗和buff配置索引'!$M:$M,0)))</f>
        <v/>
      </c>
      <c r="AW527" s="133" t="str">
        <f>IF(AV527="","",INDEX('#建筑消耗和buff配置索引'!BP:BP,MATCH($F527,'#建筑消耗和buff配置索引'!$M:$M,0)))</f>
        <v/>
      </c>
      <c r="AX527" s="133"/>
      <c r="AY527" s="133"/>
      <c r="AZ527" s="133" t="str">
        <f>IF(INDEX('#建筑消耗和buff配置索引'!BS:BS,MATCH($F527,'#建筑消耗和buff配置索引'!$M:$M,0))=0,"",INDEX('#建筑消耗和buff配置索引'!BS:BS,MATCH($F527,'#建筑消耗和buff配置索引'!$M:$M,0)))</f>
        <v/>
      </c>
      <c r="BA527" s="133" t="str">
        <f>IF(AZ527="","",INDEX('#建筑消耗和buff配置索引'!BT:BT,MATCH($F527,'#建筑消耗和buff配置索引'!$M:$M,0)))</f>
        <v/>
      </c>
      <c r="BB527" s="133"/>
      <c r="BC527" s="133"/>
      <c r="BD527" s="133" t="str">
        <f>IF(INDEX('#建筑消耗和buff配置索引'!BW:BW,MATCH($F527,'#建筑消耗和buff配置索引'!$M:$M,0))=0,"",INDEX('#建筑消耗和buff配置索引'!BW:BW,MATCH($F527,'#建筑消耗和buff配置索引'!$M:$M,0)))</f>
        <v/>
      </c>
      <c r="BE527" s="133" t="str">
        <f>IF(BD527="","",INDEX('#建筑消耗和buff配置索引'!BX:BX,MATCH($F527,'#建筑消耗和buff配置索引'!$M:$M,0)))</f>
        <v/>
      </c>
      <c r="BF527" s="133"/>
      <c r="BG527" s="133"/>
      <c r="BH527" s="133"/>
      <c r="BI527" s="133">
        <v>24</v>
      </c>
      <c r="BJ527" s="133"/>
    </row>
    <row r="528" spans="1:70">
      <c r="A528" s="133">
        <v>2370010</v>
      </c>
      <c r="B528" s="133">
        <v>525</v>
      </c>
      <c r="C528" s="133">
        <v>237</v>
      </c>
      <c r="D528" s="133" t="s">
        <v>565</v>
      </c>
      <c r="E528" s="133">
        <v>10</v>
      </c>
      <c r="F528" s="133" t="str">
        <f t="shared" si="8"/>
        <v>酒馆10</v>
      </c>
      <c r="G528" s="133"/>
      <c r="H528" s="146"/>
      <c r="I528" s="133" t="s">
        <v>1205</v>
      </c>
      <c r="J528" s="150">
        <f>INDEX('#建筑消耗和buff配置索引'!AH:AH,MATCH($F528,'#建筑消耗和buff配置索引'!$M:$M,0))</f>
        <v>6480</v>
      </c>
      <c r="K528" s="150">
        <f>INDEX('#建筑消耗和buff配置索引'!AA:AA,MATCH($F528,'#建筑消耗和buff配置索引'!$M:$M,0))</f>
        <v>58000</v>
      </c>
      <c r="L528" s="150">
        <f>INDEX('#建筑消耗和buff配置索引'!AB:AB,MATCH($F528,'#建筑消耗和buff配置索引'!$M:$M,0))</f>
        <v>120000</v>
      </c>
      <c r="M528" s="150">
        <f>INDEX('#建筑消耗和buff配置索引'!AC:AC,MATCH($F528,'#建筑消耗和buff配置索引'!$M:$M,0))</f>
        <v>120000</v>
      </c>
      <c r="N528" s="150">
        <f>INDEX('#建筑消耗和buff配置索引'!AD:AD,MATCH($F528,'#建筑消耗和buff配置索引'!$M:$M,0))</f>
        <v>58000</v>
      </c>
      <c r="O528" s="150" t="str">
        <f>IF(INDEX('#建筑消耗和buff配置索引'!T:T,MATCH($F528,'#建筑消耗和buff配置索引'!$M:$M,0))=0,"",INDEX('#建筑消耗和buff配置索引'!T:T,MATCH($F528,'#建筑消耗和buff配置索引'!$M:$M,0)))</f>
        <v/>
      </c>
      <c r="P528" s="133" t="str">
        <f>IF(INDEX('#建筑消耗和buff配置索引'!U:U,MATCH($F528,'#建筑消耗和buff配置索引'!$M:$M,0))=0,"",INDEX('#建筑消耗和buff配置索引'!U:U,MATCH($F528,'#建筑消耗和buff配置索引'!$M:$M,0)))</f>
        <v/>
      </c>
      <c r="Q528" s="133" t="str">
        <f>IF(INDEX('#建筑消耗和buff配置索引'!K:K,MATCH($F528,'#建筑消耗和buff配置索引'!$M:$M,0))=0,"",INDEX('#建筑消耗和buff配置索引'!K:K,MATCH($F528,'#建筑消耗和buff配置索引'!$M:$M,0)))</f>
        <v>201</v>
      </c>
      <c r="R528" s="133" t="str">
        <f>IF(INDEX('#建筑消耗和buff配置索引'!L:L,MATCH($F528,'#建筑消耗和buff配置索引'!$M:$M,0))=0,"",INDEX('#建筑消耗和buff配置索引'!L:L,MATCH($F528,'#建筑消耗和buff配置索引'!$M:$M,0)))</f>
        <v>10</v>
      </c>
      <c r="S528" s="133">
        <f>IF(INDEX('#建筑消耗和buff配置索引'!C:C,MATCH(F528,'#建筑消耗和buff配置索引'!M:M,0))=0,1,INDEX('#建筑消耗和buff配置索引'!C:C,MATCH(F528,'#建筑消耗和buff配置索引'!M:M,0)))</f>
        <v>1</v>
      </c>
      <c r="T528" s="133">
        <v>0</v>
      </c>
      <c r="U528" s="133">
        <v>0</v>
      </c>
      <c r="V528" s="133" t="str">
        <f>IF(E528=1,IF(INDEX('#建筑消耗和buff配置索引'!BY:BY,MATCH(D528,'#建筑消耗和buff配置索引'!A:A,0))=0,"",INDEX('#建筑消耗和buff配置索引'!BY:BY,MATCH(D528,'#建筑消耗和buff配置索引'!A:A,0))),"")</f>
        <v/>
      </c>
      <c r="W528" s="133" t="str">
        <f>IF(E528=1,IF(INDEX('#建筑消耗和buff配置索引'!BZ:BZ,MATCH(D528,'#建筑消耗和buff配置索引'!A:A,0))=0,"",INDEX('#建筑消耗和buff配置索引'!BZ:BZ,MATCH(D528,'#建筑消耗和buff配置索引'!A:A,0))),"")</f>
        <v/>
      </c>
      <c r="X528" s="133"/>
      <c r="Y528" s="133"/>
      <c r="Z528" s="133"/>
      <c r="AA528" s="133">
        <f>INDEX('#建筑消耗和buff配置索引'!AO:AO,MATCH($F528,'#建筑消耗和buff配置索引'!$M:$M,0))</f>
        <v>1726</v>
      </c>
      <c r="AB528" s="133">
        <f>IF(INDEX('#建筑消耗和buff配置索引'!AR:AR,MATCH($F528,'#建筑消耗和buff配置索引'!$M:$M,0))=0,"",INDEX('#建筑消耗和buff配置索引'!AR:AR,MATCH($F528,'#建筑消耗和buff配置索引'!$M:$M,0)))</f>
        <v>10000601</v>
      </c>
      <c r="AC528" s="133">
        <f>IF(AB528="","",INDEX('#建筑消耗和buff配置索引'!AS:AS,MATCH($F528,'#建筑消耗和buff配置索引'!$M:$M,0)))</f>
        <v>30</v>
      </c>
      <c r="AD528" s="133"/>
      <c r="AE528" s="133"/>
      <c r="AF528" s="133">
        <f>IF(INDEX('#建筑消耗和buff配置索引'!AW:AW,MATCH($F528,'#建筑消耗和buff配置索引'!$M:$M,0))=0,"",INDEX('#建筑消耗和buff配置索引'!AW:AW,MATCH($F528,'#建筑消耗和buff配置索引'!$M:$M,0)))</f>
        <v>10000701</v>
      </c>
      <c r="AG528" s="133">
        <f>IF(AF528="","",INDEX('#建筑消耗和buff配置索引'!AX:AX,MATCH($F528,'#建筑消耗和buff配置索引'!$M:$M,0)))</f>
        <v>0.2</v>
      </c>
      <c r="AH528" s="133"/>
      <c r="AI528" s="133"/>
      <c r="AJ528" s="133" t="str">
        <f>IF(INDEX('#建筑消耗和buff配置索引'!BB:BB,MATCH($F528,'#建筑消耗和buff配置索引'!$M:$M,0))=0,"",INDEX('#建筑消耗和buff配置索引'!BB:BB,MATCH($F528,'#建筑消耗和buff配置索引'!$M:$M,0)))</f>
        <v/>
      </c>
      <c r="AK528" s="133" t="str">
        <f>IF(AJ528="","",INDEX('#建筑消耗和buff配置索引'!BC:BC,MATCH($F528,'#建筑消耗和buff配置索引'!$M:$M,0)))</f>
        <v/>
      </c>
      <c r="AL528" s="133"/>
      <c r="AM528" s="133"/>
      <c r="AN528" s="133" t="str">
        <f>IF(INDEX('#建筑消耗和buff配置索引'!BG:BG,MATCH($F528,'#建筑消耗和buff配置索引'!$M:$M,0))=0,"",INDEX('#建筑消耗和buff配置索引'!BG:BG,MATCH($F528,'#建筑消耗和buff配置索引'!$M:$M,0)))</f>
        <v/>
      </c>
      <c r="AO528" s="133" t="str">
        <f>IF(AN528="","",INDEX('#建筑消耗和buff配置索引'!BH:BH,MATCH($F528,'#建筑消耗和buff配置索引'!$M:$M,0)))</f>
        <v/>
      </c>
      <c r="AP528" s="133"/>
      <c r="AQ528" s="133"/>
      <c r="AR528" s="133" t="str">
        <f>IF(INDEX('#建筑消耗和buff配置索引'!BK:BK,MATCH($F528,'#建筑消耗和buff配置索引'!$M:$M,0))=0,"",INDEX('#建筑消耗和buff配置索引'!BK:BK,MATCH($F528,'#建筑消耗和buff配置索引'!$M:$M,0)))</f>
        <v/>
      </c>
      <c r="AS528" s="133" t="str">
        <f>IF(AR528="","",INDEX('#建筑消耗和buff配置索引'!BL:BL,MATCH($F528,'#建筑消耗和buff配置索引'!$M:$M,0)))</f>
        <v/>
      </c>
      <c r="AT528" s="133"/>
      <c r="AU528" s="133"/>
      <c r="AV528" s="133" t="str">
        <f>IF(INDEX('#建筑消耗和buff配置索引'!BO:BO,MATCH($F528,'#建筑消耗和buff配置索引'!$M:$M,0))=0,"",INDEX('#建筑消耗和buff配置索引'!BO:BO,MATCH($F528,'#建筑消耗和buff配置索引'!$M:$M,0)))</f>
        <v/>
      </c>
      <c r="AW528" s="133" t="str">
        <f>IF(AV528="","",INDEX('#建筑消耗和buff配置索引'!BP:BP,MATCH($F528,'#建筑消耗和buff配置索引'!$M:$M,0)))</f>
        <v/>
      </c>
      <c r="AX528" s="133"/>
      <c r="AY528" s="133"/>
      <c r="AZ528" s="133" t="str">
        <f>IF(INDEX('#建筑消耗和buff配置索引'!BS:BS,MATCH($F528,'#建筑消耗和buff配置索引'!$M:$M,0))=0,"",INDEX('#建筑消耗和buff配置索引'!BS:BS,MATCH($F528,'#建筑消耗和buff配置索引'!$M:$M,0)))</f>
        <v/>
      </c>
      <c r="BA528" s="133" t="str">
        <f>IF(AZ528="","",INDEX('#建筑消耗和buff配置索引'!BT:BT,MATCH($F528,'#建筑消耗和buff配置索引'!$M:$M,0)))</f>
        <v/>
      </c>
      <c r="BB528" s="133"/>
      <c r="BC528" s="133"/>
      <c r="BD528" s="133" t="str">
        <f>IF(INDEX('#建筑消耗和buff配置索引'!BW:BW,MATCH($F528,'#建筑消耗和buff配置索引'!$M:$M,0))=0,"",INDEX('#建筑消耗和buff配置索引'!BW:BW,MATCH($F528,'#建筑消耗和buff配置索引'!$M:$M,0)))</f>
        <v/>
      </c>
      <c r="BE528" s="133" t="str">
        <f>IF(BD528="","",INDEX('#建筑消耗和buff配置索引'!BX:BX,MATCH($F528,'#建筑消耗和buff配置索引'!$M:$M,0)))</f>
        <v/>
      </c>
      <c r="BF528" s="133"/>
      <c r="BG528" s="133"/>
      <c r="BH528" s="133"/>
      <c r="BI528" s="133">
        <v>24</v>
      </c>
      <c r="BJ528" s="133"/>
    </row>
    <row r="529" spans="1:62">
      <c r="A529" s="133">
        <v>2370011</v>
      </c>
      <c r="B529" s="133">
        <v>526</v>
      </c>
      <c r="C529" s="133">
        <v>237</v>
      </c>
      <c r="D529" s="133" t="s">
        <v>565</v>
      </c>
      <c r="E529" s="133">
        <v>11</v>
      </c>
      <c r="F529" s="133" t="str">
        <f t="shared" si="8"/>
        <v>酒馆11</v>
      </c>
      <c r="G529" s="133"/>
      <c r="H529" s="146"/>
      <c r="I529" s="133" t="s">
        <v>1205</v>
      </c>
      <c r="J529" s="150">
        <f>INDEX('#建筑消耗和buff配置索引'!AH:AH,MATCH($F529,'#建筑消耗和buff配置索引'!$M:$M,0))</f>
        <v>9720</v>
      </c>
      <c r="K529" s="150">
        <f>INDEX('#建筑消耗和buff配置索引'!AA:AA,MATCH($F529,'#建筑消耗和buff配置索引'!$M:$M,0))</f>
        <v>87000</v>
      </c>
      <c r="L529" s="150">
        <f>INDEX('#建筑消耗和buff配置索引'!AB:AB,MATCH($F529,'#建筑消耗和buff配置索引'!$M:$M,0))</f>
        <v>170000</v>
      </c>
      <c r="M529" s="150">
        <f>INDEX('#建筑消耗和buff配置索引'!AC:AC,MATCH($F529,'#建筑消耗和buff配置索引'!$M:$M,0))</f>
        <v>170000</v>
      </c>
      <c r="N529" s="150">
        <f>INDEX('#建筑消耗和buff配置索引'!AD:AD,MATCH($F529,'#建筑消耗和buff配置索引'!$M:$M,0))</f>
        <v>87000</v>
      </c>
      <c r="O529" s="150" t="str">
        <f>IF(INDEX('#建筑消耗和buff配置索引'!T:T,MATCH($F529,'#建筑消耗和buff配置索引'!$M:$M,0))=0,"",INDEX('#建筑消耗和buff配置索引'!T:T,MATCH($F529,'#建筑消耗和buff配置索引'!$M:$M,0)))</f>
        <v/>
      </c>
      <c r="P529" s="133" t="str">
        <f>IF(INDEX('#建筑消耗和buff配置索引'!U:U,MATCH($F529,'#建筑消耗和buff配置索引'!$M:$M,0))=0,"",INDEX('#建筑消耗和buff配置索引'!U:U,MATCH($F529,'#建筑消耗和buff配置索引'!$M:$M,0)))</f>
        <v/>
      </c>
      <c r="Q529" s="133" t="str">
        <f>IF(INDEX('#建筑消耗和buff配置索引'!K:K,MATCH($F529,'#建筑消耗和buff配置索引'!$M:$M,0))=0,"",INDEX('#建筑消耗和buff配置索引'!K:K,MATCH($F529,'#建筑消耗和buff配置索引'!$M:$M,0)))</f>
        <v>201</v>
      </c>
      <c r="R529" s="133" t="str">
        <f>IF(INDEX('#建筑消耗和buff配置索引'!L:L,MATCH($F529,'#建筑消耗和buff配置索引'!$M:$M,0))=0,"",INDEX('#建筑消耗和buff配置索引'!L:L,MATCH($F529,'#建筑消耗和buff配置索引'!$M:$M,0)))</f>
        <v>11</v>
      </c>
      <c r="S529" s="133">
        <f>IF(INDEX('#建筑消耗和buff配置索引'!C:C,MATCH(F529,'#建筑消耗和buff配置索引'!M:M,0))=0,1,INDEX('#建筑消耗和buff配置索引'!C:C,MATCH(F529,'#建筑消耗和buff配置索引'!M:M,0)))</f>
        <v>1</v>
      </c>
      <c r="T529" s="133">
        <v>0</v>
      </c>
      <c r="U529" s="133">
        <v>0</v>
      </c>
      <c r="V529" s="133" t="str">
        <f>IF(E529=1,IF(INDEX('#建筑消耗和buff配置索引'!BY:BY,MATCH(D529,'#建筑消耗和buff配置索引'!A:A,0))=0,"",INDEX('#建筑消耗和buff配置索引'!BY:BY,MATCH(D529,'#建筑消耗和buff配置索引'!A:A,0))),"")</f>
        <v/>
      </c>
      <c r="W529" s="133" t="str">
        <f>IF(E529=1,IF(INDEX('#建筑消耗和buff配置索引'!BZ:BZ,MATCH(D529,'#建筑消耗和buff配置索引'!A:A,0))=0,"",INDEX('#建筑消耗和buff配置索引'!BZ:BZ,MATCH(D529,'#建筑消耗和buff配置索引'!A:A,0))),"")</f>
        <v/>
      </c>
      <c r="X529" s="133"/>
      <c r="Y529" s="133"/>
      <c r="Z529" s="133"/>
      <c r="AA529" s="133">
        <f>INDEX('#建筑消耗和buff配置索引'!AO:AO,MATCH($F529,'#建筑消耗和buff配置索引'!$M:$M,0))</f>
        <v>2770</v>
      </c>
      <c r="AB529" s="133">
        <f>IF(INDEX('#建筑消耗和buff配置索引'!AR:AR,MATCH($F529,'#建筑消耗和buff配置索引'!$M:$M,0))=0,"",INDEX('#建筑消耗和buff配置索引'!AR:AR,MATCH($F529,'#建筑消耗和buff配置索引'!$M:$M,0)))</f>
        <v>10000601</v>
      </c>
      <c r="AC529" s="133">
        <f>IF(AB529="","",INDEX('#建筑消耗和buff配置索引'!AS:AS,MATCH($F529,'#建筑消耗和buff配置索引'!$M:$M,0)))</f>
        <v>35</v>
      </c>
      <c r="AD529" s="133"/>
      <c r="AE529" s="133"/>
      <c r="AF529" s="133">
        <f>IF(INDEX('#建筑消耗和buff配置索引'!AW:AW,MATCH($F529,'#建筑消耗和buff配置索引'!$M:$M,0))=0,"",INDEX('#建筑消耗和buff配置索引'!AW:AW,MATCH($F529,'#建筑消耗和buff配置索引'!$M:$M,0)))</f>
        <v>10000701</v>
      </c>
      <c r="AG529" s="133">
        <f>IF(AF529="","",INDEX('#建筑消耗和buff配置索引'!AX:AX,MATCH($F529,'#建筑消耗和buff配置索引'!$M:$M,0)))</f>
        <v>0.22</v>
      </c>
      <c r="AH529" s="133"/>
      <c r="AI529" s="133"/>
      <c r="AJ529" s="133" t="str">
        <f>IF(INDEX('#建筑消耗和buff配置索引'!BB:BB,MATCH($F529,'#建筑消耗和buff配置索引'!$M:$M,0))=0,"",INDEX('#建筑消耗和buff配置索引'!BB:BB,MATCH($F529,'#建筑消耗和buff配置索引'!$M:$M,0)))</f>
        <v/>
      </c>
      <c r="AK529" s="133" t="str">
        <f>IF(AJ529="","",INDEX('#建筑消耗和buff配置索引'!BC:BC,MATCH($F529,'#建筑消耗和buff配置索引'!$M:$M,0)))</f>
        <v/>
      </c>
      <c r="AL529" s="133"/>
      <c r="AM529" s="133"/>
      <c r="AN529" s="133" t="str">
        <f>IF(INDEX('#建筑消耗和buff配置索引'!BG:BG,MATCH($F529,'#建筑消耗和buff配置索引'!$M:$M,0))=0,"",INDEX('#建筑消耗和buff配置索引'!BG:BG,MATCH($F529,'#建筑消耗和buff配置索引'!$M:$M,0)))</f>
        <v/>
      </c>
      <c r="AO529" s="133" t="str">
        <f>IF(AN529="","",INDEX('#建筑消耗和buff配置索引'!BH:BH,MATCH($F529,'#建筑消耗和buff配置索引'!$M:$M,0)))</f>
        <v/>
      </c>
      <c r="AP529" s="133"/>
      <c r="AQ529" s="133"/>
      <c r="AR529" s="133" t="str">
        <f>IF(INDEX('#建筑消耗和buff配置索引'!BK:BK,MATCH($F529,'#建筑消耗和buff配置索引'!$M:$M,0))=0,"",INDEX('#建筑消耗和buff配置索引'!BK:BK,MATCH($F529,'#建筑消耗和buff配置索引'!$M:$M,0)))</f>
        <v/>
      </c>
      <c r="AS529" s="133" t="str">
        <f>IF(AR529="","",INDEX('#建筑消耗和buff配置索引'!BL:BL,MATCH($F529,'#建筑消耗和buff配置索引'!$M:$M,0)))</f>
        <v/>
      </c>
      <c r="AT529" s="133"/>
      <c r="AU529" s="133"/>
      <c r="AV529" s="133" t="str">
        <f>IF(INDEX('#建筑消耗和buff配置索引'!BO:BO,MATCH($F529,'#建筑消耗和buff配置索引'!$M:$M,0))=0,"",INDEX('#建筑消耗和buff配置索引'!BO:BO,MATCH($F529,'#建筑消耗和buff配置索引'!$M:$M,0)))</f>
        <v/>
      </c>
      <c r="AW529" s="133" t="str">
        <f>IF(AV529="","",INDEX('#建筑消耗和buff配置索引'!BP:BP,MATCH($F529,'#建筑消耗和buff配置索引'!$M:$M,0)))</f>
        <v/>
      </c>
      <c r="AX529" s="133"/>
      <c r="AY529" s="133"/>
      <c r="AZ529" s="133" t="str">
        <f>IF(INDEX('#建筑消耗和buff配置索引'!BS:BS,MATCH($F529,'#建筑消耗和buff配置索引'!$M:$M,0))=0,"",INDEX('#建筑消耗和buff配置索引'!BS:BS,MATCH($F529,'#建筑消耗和buff配置索引'!$M:$M,0)))</f>
        <v/>
      </c>
      <c r="BA529" s="133" t="str">
        <f>IF(AZ529="","",INDEX('#建筑消耗和buff配置索引'!BT:BT,MATCH($F529,'#建筑消耗和buff配置索引'!$M:$M,0)))</f>
        <v/>
      </c>
      <c r="BB529" s="133"/>
      <c r="BC529" s="133"/>
      <c r="BD529" s="133" t="str">
        <f>IF(INDEX('#建筑消耗和buff配置索引'!BW:BW,MATCH($F529,'#建筑消耗和buff配置索引'!$M:$M,0))=0,"",INDEX('#建筑消耗和buff配置索引'!BW:BW,MATCH($F529,'#建筑消耗和buff配置索引'!$M:$M,0)))</f>
        <v/>
      </c>
      <c r="BE529" s="133" t="str">
        <f>IF(BD529="","",INDEX('#建筑消耗和buff配置索引'!BX:BX,MATCH($F529,'#建筑消耗和buff配置索引'!$M:$M,0)))</f>
        <v/>
      </c>
      <c r="BF529" s="133"/>
      <c r="BG529" s="133"/>
      <c r="BH529" s="133"/>
      <c r="BI529" s="133">
        <v>24</v>
      </c>
      <c r="BJ529" s="133"/>
    </row>
    <row r="530" spans="1:62">
      <c r="A530" s="133">
        <v>2370012</v>
      </c>
      <c r="B530" s="133">
        <v>527</v>
      </c>
      <c r="C530" s="133">
        <v>237</v>
      </c>
      <c r="D530" s="133" t="s">
        <v>565</v>
      </c>
      <c r="E530" s="133">
        <v>12</v>
      </c>
      <c r="F530" s="133" t="str">
        <f t="shared" si="8"/>
        <v>酒馆12</v>
      </c>
      <c r="G530" s="133"/>
      <c r="H530" s="146"/>
      <c r="I530" s="133" t="s">
        <v>1205</v>
      </c>
      <c r="J530" s="150">
        <f>INDEX('#建筑消耗和buff配置索引'!AH:AH,MATCH($F530,'#建筑消耗和buff配置索引'!$M:$M,0))</f>
        <v>12960</v>
      </c>
      <c r="K530" s="150">
        <f>INDEX('#建筑消耗和buff配置索引'!AA:AA,MATCH($F530,'#建筑消耗和buff配置索引'!$M:$M,0))</f>
        <v>130000</v>
      </c>
      <c r="L530" s="150">
        <f>INDEX('#建筑消耗和buff配置索引'!AB:AB,MATCH($F530,'#建筑消耗和buff配置索引'!$M:$M,0))</f>
        <v>250000</v>
      </c>
      <c r="M530" s="150">
        <f>INDEX('#建筑消耗和buff配置索引'!AC:AC,MATCH($F530,'#建筑消耗和buff配置索引'!$M:$M,0))</f>
        <v>250000</v>
      </c>
      <c r="N530" s="150">
        <f>INDEX('#建筑消耗和buff配置索引'!AD:AD,MATCH($F530,'#建筑消耗和buff配置索引'!$M:$M,0))</f>
        <v>130000</v>
      </c>
      <c r="O530" s="150" t="str">
        <f>IF(INDEX('#建筑消耗和buff配置索引'!T:T,MATCH($F530,'#建筑消耗和buff配置索引'!$M:$M,0))=0,"",INDEX('#建筑消耗和buff配置索引'!T:T,MATCH($F530,'#建筑消耗和buff配置索引'!$M:$M,0)))</f>
        <v/>
      </c>
      <c r="P530" s="133" t="str">
        <f>IF(INDEX('#建筑消耗和buff配置索引'!U:U,MATCH($F530,'#建筑消耗和buff配置索引'!$M:$M,0))=0,"",INDEX('#建筑消耗和buff配置索引'!U:U,MATCH($F530,'#建筑消耗和buff配置索引'!$M:$M,0)))</f>
        <v/>
      </c>
      <c r="Q530" s="133" t="str">
        <f>IF(INDEX('#建筑消耗和buff配置索引'!K:K,MATCH($F530,'#建筑消耗和buff配置索引'!$M:$M,0))=0,"",INDEX('#建筑消耗和buff配置索引'!K:K,MATCH($F530,'#建筑消耗和buff配置索引'!$M:$M,0)))</f>
        <v>201</v>
      </c>
      <c r="R530" s="133" t="str">
        <f>IF(INDEX('#建筑消耗和buff配置索引'!L:L,MATCH($F530,'#建筑消耗和buff配置索引'!$M:$M,0))=0,"",INDEX('#建筑消耗和buff配置索引'!L:L,MATCH($F530,'#建筑消耗和buff配置索引'!$M:$M,0)))</f>
        <v>12</v>
      </c>
      <c r="S530" s="133">
        <f>IF(INDEX('#建筑消耗和buff配置索引'!C:C,MATCH(F530,'#建筑消耗和buff配置索引'!M:M,0))=0,1,INDEX('#建筑消耗和buff配置索引'!C:C,MATCH(F530,'#建筑消耗和buff配置索引'!M:M,0)))</f>
        <v>1</v>
      </c>
      <c r="T530" s="133">
        <v>0</v>
      </c>
      <c r="U530" s="133">
        <v>0</v>
      </c>
      <c r="V530" s="133" t="str">
        <f>IF(E530=1,IF(INDEX('#建筑消耗和buff配置索引'!BY:BY,MATCH(D530,'#建筑消耗和buff配置索引'!A:A,0))=0,"",INDEX('#建筑消耗和buff配置索引'!BY:BY,MATCH(D530,'#建筑消耗和buff配置索引'!A:A,0))),"")</f>
        <v/>
      </c>
      <c r="W530" s="133" t="str">
        <f>IF(E530=1,IF(INDEX('#建筑消耗和buff配置索引'!BZ:BZ,MATCH(D530,'#建筑消耗和buff配置索引'!A:A,0))=0,"",INDEX('#建筑消耗和buff配置索引'!BZ:BZ,MATCH(D530,'#建筑消耗和buff配置索引'!A:A,0))),"")</f>
        <v/>
      </c>
      <c r="X530" s="133"/>
      <c r="Y530" s="133"/>
      <c r="Z530" s="133"/>
      <c r="AA530" s="133">
        <f>INDEX('#建筑消耗和buff配置索引'!AO:AO,MATCH($F530,'#建筑消耗和buff配置索引'!$M:$M,0))</f>
        <v>4273</v>
      </c>
      <c r="AB530" s="133">
        <f>IF(INDEX('#建筑消耗和buff配置索引'!AR:AR,MATCH($F530,'#建筑消耗和buff配置索引'!$M:$M,0))=0,"",INDEX('#建筑消耗和buff配置索引'!AR:AR,MATCH($F530,'#建筑消耗和buff配置索引'!$M:$M,0)))</f>
        <v>10000601</v>
      </c>
      <c r="AC530" s="133">
        <f>IF(AB530="","",INDEX('#建筑消耗和buff配置索引'!AS:AS,MATCH($F530,'#建筑消耗和buff配置索引'!$M:$M,0)))</f>
        <v>40</v>
      </c>
      <c r="AD530" s="133"/>
      <c r="AE530" s="133"/>
      <c r="AF530" s="133">
        <f>IF(INDEX('#建筑消耗和buff配置索引'!AW:AW,MATCH($F530,'#建筑消耗和buff配置索引'!$M:$M,0))=0,"",INDEX('#建筑消耗和buff配置索引'!AW:AW,MATCH($F530,'#建筑消耗和buff配置索引'!$M:$M,0)))</f>
        <v>10000701</v>
      </c>
      <c r="AG530" s="133">
        <f>IF(AF530="","",INDEX('#建筑消耗和buff配置索引'!AX:AX,MATCH($F530,'#建筑消耗和buff配置索引'!$M:$M,0)))</f>
        <v>0.24</v>
      </c>
      <c r="AH530" s="133"/>
      <c r="AI530" s="133"/>
      <c r="AJ530" s="133" t="str">
        <f>IF(INDEX('#建筑消耗和buff配置索引'!BB:BB,MATCH($F530,'#建筑消耗和buff配置索引'!$M:$M,0))=0,"",INDEX('#建筑消耗和buff配置索引'!BB:BB,MATCH($F530,'#建筑消耗和buff配置索引'!$M:$M,0)))</f>
        <v/>
      </c>
      <c r="AK530" s="133" t="str">
        <f>IF(AJ530="","",INDEX('#建筑消耗和buff配置索引'!BC:BC,MATCH($F530,'#建筑消耗和buff配置索引'!$M:$M,0)))</f>
        <v/>
      </c>
      <c r="AL530" s="133"/>
      <c r="AM530" s="133"/>
      <c r="AN530" s="133" t="str">
        <f>IF(INDEX('#建筑消耗和buff配置索引'!BG:BG,MATCH($F530,'#建筑消耗和buff配置索引'!$M:$M,0))=0,"",INDEX('#建筑消耗和buff配置索引'!BG:BG,MATCH($F530,'#建筑消耗和buff配置索引'!$M:$M,0)))</f>
        <v/>
      </c>
      <c r="AO530" s="133" t="str">
        <f>IF(AN530="","",INDEX('#建筑消耗和buff配置索引'!BH:BH,MATCH($F530,'#建筑消耗和buff配置索引'!$M:$M,0)))</f>
        <v/>
      </c>
      <c r="AP530" s="133"/>
      <c r="AQ530" s="133"/>
      <c r="AR530" s="133" t="str">
        <f>IF(INDEX('#建筑消耗和buff配置索引'!BK:BK,MATCH($F530,'#建筑消耗和buff配置索引'!$M:$M,0))=0,"",INDEX('#建筑消耗和buff配置索引'!BK:BK,MATCH($F530,'#建筑消耗和buff配置索引'!$M:$M,0)))</f>
        <v/>
      </c>
      <c r="AS530" s="133" t="str">
        <f>IF(AR530="","",INDEX('#建筑消耗和buff配置索引'!BL:BL,MATCH($F530,'#建筑消耗和buff配置索引'!$M:$M,0)))</f>
        <v/>
      </c>
      <c r="AT530" s="133"/>
      <c r="AU530" s="133"/>
      <c r="AV530" s="133" t="str">
        <f>IF(INDEX('#建筑消耗和buff配置索引'!BO:BO,MATCH($F530,'#建筑消耗和buff配置索引'!$M:$M,0))=0,"",INDEX('#建筑消耗和buff配置索引'!BO:BO,MATCH($F530,'#建筑消耗和buff配置索引'!$M:$M,0)))</f>
        <v/>
      </c>
      <c r="AW530" s="133" t="str">
        <f>IF(AV530="","",INDEX('#建筑消耗和buff配置索引'!BP:BP,MATCH($F530,'#建筑消耗和buff配置索引'!$M:$M,0)))</f>
        <v/>
      </c>
      <c r="AX530" s="133"/>
      <c r="AY530" s="133"/>
      <c r="AZ530" s="133" t="str">
        <f>IF(INDEX('#建筑消耗和buff配置索引'!BS:BS,MATCH($F530,'#建筑消耗和buff配置索引'!$M:$M,0))=0,"",INDEX('#建筑消耗和buff配置索引'!BS:BS,MATCH($F530,'#建筑消耗和buff配置索引'!$M:$M,0)))</f>
        <v/>
      </c>
      <c r="BA530" s="133" t="str">
        <f>IF(AZ530="","",INDEX('#建筑消耗和buff配置索引'!BT:BT,MATCH($F530,'#建筑消耗和buff配置索引'!$M:$M,0)))</f>
        <v/>
      </c>
      <c r="BB530" s="133"/>
      <c r="BC530" s="133"/>
      <c r="BD530" s="133" t="str">
        <f>IF(INDEX('#建筑消耗和buff配置索引'!BW:BW,MATCH($F530,'#建筑消耗和buff配置索引'!$M:$M,0))=0,"",INDEX('#建筑消耗和buff配置索引'!BW:BW,MATCH($F530,'#建筑消耗和buff配置索引'!$M:$M,0)))</f>
        <v/>
      </c>
      <c r="BE530" s="133" t="str">
        <f>IF(BD530="","",INDEX('#建筑消耗和buff配置索引'!BX:BX,MATCH($F530,'#建筑消耗和buff配置索引'!$M:$M,0)))</f>
        <v/>
      </c>
      <c r="BF530" s="133"/>
      <c r="BG530" s="133"/>
      <c r="BH530" s="133"/>
      <c r="BI530" s="133">
        <v>24</v>
      </c>
      <c r="BJ530" s="133"/>
    </row>
    <row r="531" spans="1:62">
      <c r="A531" s="133">
        <v>2370013</v>
      </c>
      <c r="B531" s="133">
        <v>528</v>
      </c>
      <c r="C531" s="133">
        <v>237</v>
      </c>
      <c r="D531" s="133" t="s">
        <v>565</v>
      </c>
      <c r="E531" s="133">
        <v>13</v>
      </c>
      <c r="F531" s="133" t="str">
        <f t="shared" ref="F531:F551" si="9">D531&amp;E531</f>
        <v>酒馆13</v>
      </c>
      <c r="G531" s="133"/>
      <c r="H531" s="146"/>
      <c r="I531" s="133" t="s">
        <v>1205</v>
      </c>
      <c r="J531" s="150">
        <f>INDEX('#建筑消耗和buff配置索引'!AH:AH,MATCH($F531,'#建筑消耗和buff配置索引'!$M:$M,0))</f>
        <v>17280</v>
      </c>
      <c r="K531" s="150">
        <f>INDEX('#建筑消耗和buff配置索引'!AA:AA,MATCH($F531,'#建筑消耗和buff配置索引'!$M:$M,0))</f>
        <v>170000</v>
      </c>
      <c r="L531" s="150">
        <f>INDEX('#建筑消耗和buff配置索引'!AB:AB,MATCH($F531,'#建筑消耗和buff配置索引'!$M:$M,0))</f>
        <v>340000</v>
      </c>
      <c r="M531" s="150">
        <f>INDEX('#建筑消耗和buff配置索引'!AC:AC,MATCH($F531,'#建筑消耗和buff配置索引'!$M:$M,0))</f>
        <v>340000</v>
      </c>
      <c r="N531" s="150">
        <f>INDEX('#建筑消耗和buff配置索引'!AD:AD,MATCH($F531,'#建筑消耗和buff配置索引'!$M:$M,0))</f>
        <v>170000</v>
      </c>
      <c r="O531" s="150" t="str">
        <f>IF(INDEX('#建筑消耗和buff配置索引'!T:T,MATCH($F531,'#建筑消耗和buff配置索引'!$M:$M,0))=0,"",INDEX('#建筑消耗和buff配置索引'!T:T,MATCH($F531,'#建筑消耗和buff配置索引'!$M:$M,0)))</f>
        <v/>
      </c>
      <c r="P531" s="133" t="str">
        <f>IF(INDEX('#建筑消耗和buff配置索引'!U:U,MATCH($F531,'#建筑消耗和buff配置索引'!$M:$M,0))=0,"",INDEX('#建筑消耗和buff配置索引'!U:U,MATCH($F531,'#建筑消耗和buff配置索引'!$M:$M,0)))</f>
        <v/>
      </c>
      <c r="Q531" s="133" t="str">
        <f>IF(INDEX('#建筑消耗和buff配置索引'!K:K,MATCH($F531,'#建筑消耗和buff配置索引'!$M:$M,0))=0,"",INDEX('#建筑消耗和buff配置索引'!K:K,MATCH($F531,'#建筑消耗和buff配置索引'!$M:$M,0)))</f>
        <v>201</v>
      </c>
      <c r="R531" s="133" t="str">
        <f>IF(INDEX('#建筑消耗和buff配置索引'!L:L,MATCH($F531,'#建筑消耗和buff配置索引'!$M:$M,0))=0,"",INDEX('#建筑消耗和buff配置索引'!L:L,MATCH($F531,'#建筑消耗和buff配置索引'!$M:$M,0)))</f>
        <v>13</v>
      </c>
      <c r="S531" s="133">
        <f>IF(INDEX('#建筑消耗和buff配置索引'!C:C,MATCH(F531,'#建筑消耗和buff配置索引'!M:M,0))=0,1,INDEX('#建筑消耗和buff配置索引'!C:C,MATCH(F531,'#建筑消耗和buff配置索引'!M:M,0)))</f>
        <v>1</v>
      </c>
      <c r="T531" s="133">
        <v>0</v>
      </c>
      <c r="U531" s="133">
        <v>0</v>
      </c>
      <c r="V531" s="133" t="str">
        <f>IF(E531=1,IF(INDEX('#建筑消耗和buff配置索引'!BY:BY,MATCH(D531,'#建筑消耗和buff配置索引'!A:A,0))=0,"",INDEX('#建筑消耗和buff配置索引'!BY:BY,MATCH(D531,'#建筑消耗和buff配置索引'!A:A,0))),"")</f>
        <v/>
      </c>
      <c r="W531" s="133" t="str">
        <f>IF(E531=1,IF(INDEX('#建筑消耗和buff配置索引'!BZ:BZ,MATCH(D531,'#建筑消耗和buff配置索引'!A:A,0))=0,"",INDEX('#建筑消耗和buff配置索引'!BZ:BZ,MATCH(D531,'#建筑消耗和buff配置索引'!A:A,0))),"")</f>
        <v/>
      </c>
      <c r="X531" s="133"/>
      <c r="Y531" s="133"/>
      <c r="Z531" s="133"/>
      <c r="AA531" s="133">
        <f>INDEX('#建筑消耗和buff配置索引'!AO:AO,MATCH($F531,'#建筑消耗和buff配置索引'!$M:$M,0))</f>
        <v>6333</v>
      </c>
      <c r="AB531" s="133">
        <f>IF(INDEX('#建筑消耗和buff配置索引'!AR:AR,MATCH($F531,'#建筑消耗和buff配置索引'!$M:$M,0))=0,"",INDEX('#建筑消耗和buff配置索引'!AR:AR,MATCH($F531,'#建筑消耗和buff配置索引'!$M:$M,0)))</f>
        <v>10000601</v>
      </c>
      <c r="AC531" s="133">
        <f>IF(AB531="","",INDEX('#建筑消耗和buff配置索引'!AS:AS,MATCH($F531,'#建筑消耗和buff配置索引'!$M:$M,0)))</f>
        <v>45</v>
      </c>
      <c r="AD531" s="133"/>
      <c r="AE531" s="133"/>
      <c r="AF531" s="133">
        <f>IF(INDEX('#建筑消耗和buff配置索引'!AW:AW,MATCH($F531,'#建筑消耗和buff配置索引'!$M:$M,0))=0,"",INDEX('#建筑消耗和buff配置索引'!AW:AW,MATCH($F531,'#建筑消耗和buff配置索引'!$M:$M,0)))</f>
        <v>10000701</v>
      </c>
      <c r="AG531" s="133">
        <f>IF(AF531="","",INDEX('#建筑消耗和buff配置索引'!AX:AX,MATCH($F531,'#建筑消耗和buff配置索引'!$M:$M,0)))</f>
        <v>0.26</v>
      </c>
      <c r="AH531" s="133"/>
      <c r="AI531" s="133"/>
      <c r="AJ531" s="133" t="str">
        <f>IF(INDEX('#建筑消耗和buff配置索引'!BB:BB,MATCH($F531,'#建筑消耗和buff配置索引'!$M:$M,0))=0,"",INDEX('#建筑消耗和buff配置索引'!BB:BB,MATCH($F531,'#建筑消耗和buff配置索引'!$M:$M,0)))</f>
        <v/>
      </c>
      <c r="AK531" s="133" t="str">
        <f>IF(AJ531="","",INDEX('#建筑消耗和buff配置索引'!BC:BC,MATCH($F531,'#建筑消耗和buff配置索引'!$M:$M,0)))</f>
        <v/>
      </c>
      <c r="AL531" s="133"/>
      <c r="AM531" s="133"/>
      <c r="AN531" s="133" t="str">
        <f>IF(INDEX('#建筑消耗和buff配置索引'!BG:BG,MATCH($F531,'#建筑消耗和buff配置索引'!$M:$M,0))=0,"",INDEX('#建筑消耗和buff配置索引'!BG:BG,MATCH($F531,'#建筑消耗和buff配置索引'!$M:$M,0)))</f>
        <v/>
      </c>
      <c r="AO531" s="133" t="str">
        <f>IF(AN531="","",INDEX('#建筑消耗和buff配置索引'!BH:BH,MATCH($F531,'#建筑消耗和buff配置索引'!$M:$M,0)))</f>
        <v/>
      </c>
      <c r="AP531" s="133"/>
      <c r="AQ531" s="133"/>
      <c r="AR531" s="133" t="str">
        <f>IF(INDEX('#建筑消耗和buff配置索引'!BK:BK,MATCH($F531,'#建筑消耗和buff配置索引'!$M:$M,0))=0,"",INDEX('#建筑消耗和buff配置索引'!BK:BK,MATCH($F531,'#建筑消耗和buff配置索引'!$M:$M,0)))</f>
        <v/>
      </c>
      <c r="AS531" s="133" t="str">
        <f>IF(AR531="","",INDEX('#建筑消耗和buff配置索引'!BL:BL,MATCH($F531,'#建筑消耗和buff配置索引'!$M:$M,0)))</f>
        <v/>
      </c>
      <c r="AT531" s="133"/>
      <c r="AU531" s="133"/>
      <c r="AV531" s="133" t="str">
        <f>IF(INDEX('#建筑消耗和buff配置索引'!BO:BO,MATCH($F531,'#建筑消耗和buff配置索引'!$M:$M,0))=0,"",INDEX('#建筑消耗和buff配置索引'!BO:BO,MATCH($F531,'#建筑消耗和buff配置索引'!$M:$M,0)))</f>
        <v/>
      </c>
      <c r="AW531" s="133" t="str">
        <f>IF(AV531="","",INDEX('#建筑消耗和buff配置索引'!BP:BP,MATCH($F531,'#建筑消耗和buff配置索引'!$M:$M,0)))</f>
        <v/>
      </c>
      <c r="AX531" s="133"/>
      <c r="AY531" s="133"/>
      <c r="AZ531" s="133" t="str">
        <f>IF(INDEX('#建筑消耗和buff配置索引'!BS:BS,MATCH($F531,'#建筑消耗和buff配置索引'!$M:$M,0))=0,"",INDEX('#建筑消耗和buff配置索引'!BS:BS,MATCH($F531,'#建筑消耗和buff配置索引'!$M:$M,0)))</f>
        <v/>
      </c>
      <c r="BA531" s="133" t="str">
        <f>IF(AZ531="","",INDEX('#建筑消耗和buff配置索引'!BT:BT,MATCH($F531,'#建筑消耗和buff配置索引'!$M:$M,0)))</f>
        <v/>
      </c>
      <c r="BB531" s="133"/>
      <c r="BC531" s="133"/>
      <c r="BD531" s="133" t="str">
        <f>IF(INDEX('#建筑消耗和buff配置索引'!BW:BW,MATCH($F531,'#建筑消耗和buff配置索引'!$M:$M,0))=0,"",INDEX('#建筑消耗和buff配置索引'!BW:BW,MATCH($F531,'#建筑消耗和buff配置索引'!$M:$M,0)))</f>
        <v/>
      </c>
      <c r="BE531" s="133" t="str">
        <f>IF(BD531="","",INDEX('#建筑消耗和buff配置索引'!BX:BX,MATCH($F531,'#建筑消耗和buff配置索引'!$M:$M,0)))</f>
        <v/>
      </c>
      <c r="BF531" s="133"/>
      <c r="BG531" s="133"/>
      <c r="BH531" s="133"/>
      <c r="BI531" s="133">
        <v>24</v>
      </c>
      <c r="BJ531" s="133"/>
    </row>
    <row r="532" spans="1:62">
      <c r="A532" s="133">
        <v>2370014</v>
      </c>
      <c r="B532" s="133">
        <v>529</v>
      </c>
      <c r="C532" s="133">
        <v>237</v>
      </c>
      <c r="D532" s="133" t="s">
        <v>565</v>
      </c>
      <c r="E532" s="133">
        <v>14</v>
      </c>
      <c r="F532" s="133" t="str">
        <f t="shared" si="9"/>
        <v>酒馆14</v>
      </c>
      <c r="G532" s="133"/>
      <c r="H532" s="146"/>
      <c r="I532" s="133" t="s">
        <v>1205</v>
      </c>
      <c r="J532" s="150">
        <f>INDEX('#建筑消耗和buff配置索引'!AH:AH,MATCH($F532,'#建筑消耗和buff配置索引'!$M:$M,0))</f>
        <v>21600</v>
      </c>
      <c r="K532" s="150">
        <f>INDEX('#建筑消耗和buff配置索引'!AA:AA,MATCH($F532,'#建筑消耗和buff配置索引'!$M:$M,0))</f>
        <v>220000</v>
      </c>
      <c r="L532" s="150">
        <f>INDEX('#建筑消耗和buff配置索引'!AB:AB,MATCH($F532,'#建筑消耗和buff配置索引'!$M:$M,0))</f>
        <v>450000</v>
      </c>
      <c r="M532" s="150">
        <f>INDEX('#建筑消耗和buff配置索引'!AC:AC,MATCH($F532,'#建筑消耗和buff配置索引'!$M:$M,0))</f>
        <v>450000</v>
      </c>
      <c r="N532" s="150">
        <f>INDEX('#建筑消耗和buff配置索引'!AD:AD,MATCH($F532,'#建筑消耗和buff配置索引'!$M:$M,0))</f>
        <v>220000</v>
      </c>
      <c r="O532" s="150" t="str">
        <f>IF(INDEX('#建筑消耗和buff配置索引'!T:T,MATCH($F532,'#建筑消耗和buff配置索引'!$M:$M,0))=0,"",INDEX('#建筑消耗和buff配置索引'!T:T,MATCH($F532,'#建筑消耗和buff配置索引'!$M:$M,0)))</f>
        <v/>
      </c>
      <c r="P532" s="133" t="str">
        <f>IF(INDEX('#建筑消耗和buff配置索引'!U:U,MATCH($F532,'#建筑消耗和buff配置索引'!$M:$M,0))=0,"",INDEX('#建筑消耗和buff配置索引'!U:U,MATCH($F532,'#建筑消耗和buff配置索引'!$M:$M,0)))</f>
        <v/>
      </c>
      <c r="Q532" s="133" t="str">
        <f>IF(INDEX('#建筑消耗和buff配置索引'!K:K,MATCH($F532,'#建筑消耗和buff配置索引'!$M:$M,0))=0,"",INDEX('#建筑消耗和buff配置索引'!K:K,MATCH($F532,'#建筑消耗和buff配置索引'!$M:$M,0)))</f>
        <v>201</v>
      </c>
      <c r="R532" s="133" t="str">
        <f>IF(INDEX('#建筑消耗和buff配置索引'!L:L,MATCH($F532,'#建筑消耗和buff配置索引'!$M:$M,0))=0,"",INDEX('#建筑消耗和buff配置索引'!L:L,MATCH($F532,'#建筑消耗和buff配置索引'!$M:$M,0)))</f>
        <v>14</v>
      </c>
      <c r="S532" s="133">
        <f>IF(INDEX('#建筑消耗和buff配置索引'!C:C,MATCH(F532,'#建筑消耗和buff配置索引'!M:M,0))=0,1,INDEX('#建筑消耗和buff配置索引'!C:C,MATCH(F532,'#建筑消耗和buff配置索引'!M:M,0)))</f>
        <v>1</v>
      </c>
      <c r="T532" s="133">
        <v>0</v>
      </c>
      <c r="U532" s="133">
        <v>0</v>
      </c>
      <c r="V532" s="133" t="str">
        <f>IF(E532=1,IF(INDEX('#建筑消耗和buff配置索引'!BY:BY,MATCH(D532,'#建筑消耗和buff配置索引'!A:A,0))=0,"",INDEX('#建筑消耗和buff配置索引'!BY:BY,MATCH(D532,'#建筑消耗和buff配置索引'!A:A,0))),"")</f>
        <v/>
      </c>
      <c r="W532" s="133" t="str">
        <f>IF(E532=1,IF(INDEX('#建筑消耗和buff配置索引'!BZ:BZ,MATCH(D532,'#建筑消耗和buff配置索引'!A:A,0))=0,"",INDEX('#建筑消耗和buff配置索引'!BZ:BZ,MATCH(D532,'#建筑消耗和buff配置索引'!A:A,0))),"")</f>
        <v/>
      </c>
      <c r="X532" s="133"/>
      <c r="Y532" s="133"/>
      <c r="Z532" s="133"/>
      <c r="AA532" s="133">
        <f>INDEX('#建筑消耗和buff配置索引'!AO:AO,MATCH($F532,'#建筑消耗和buff配置索引'!$M:$M,0))</f>
        <v>9011</v>
      </c>
      <c r="AB532" s="133">
        <f>IF(INDEX('#建筑消耗和buff配置索引'!AR:AR,MATCH($F532,'#建筑消耗和buff配置索引'!$M:$M,0))=0,"",INDEX('#建筑消耗和buff配置索引'!AR:AR,MATCH($F532,'#建筑消耗和buff配置索引'!$M:$M,0)))</f>
        <v>10000601</v>
      </c>
      <c r="AC532" s="133">
        <f>IF(AB532="","",INDEX('#建筑消耗和buff配置索引'!AS:AS,MATCH($F532,'#建筑消耗和buff配置索引'!$M:$M,0)))</f>
        <v>50</v>
      </c>
      <c r="AD532" s="133"/>
      <c r="AE532" s="133"/>
      <c r="AF532" s="133">
        <f>IF(INDEX('#建筑消耗和buff配置索引'!AW:AW,MATCH($F532,'#建筑消耗和buff配置索引'!$M:$M,0))=0,"",INDEX('#建筑消耗和buff配置索引'!AW:AW,MATCH($F532,'#建筑消耗和buff配置索引'!$M:$M,0)))</f>
        <v>10000701</v>
      </c>
      <c r="AG532" s="133">
        <f>IF(AF532="","",INDEX('#建筑消耗和buff配置索引'!AX:AX,MATCH($F532,'#建筑消耗和buff配置索引'!$M:$M,0)))</f>
        <v>0.28000000000000003</v>
      </c>
      <c r="AH532" s="133"/>
      <c r="AI532" s="133"/>
      <c r="AJ532" s="133" t="str">
        <f>IF(INDEX('#建筑消耗和buff配置索引'!BB:BB,MATCH($F532,'#建筑消耗和buff配置索引'!$M:$M,0))=0,"",INDEX('#建筑消耗和buff配置索引'!BB:BB,MATCH($F532,'#建筑消耗和buff配置索引'!$M:$M,0)))</f>
        <v/>
      </c>
      <c r="AK532" s="133" t="str">
        <f>IF(AJ532="","",INDEX('#建筑消耗和buff配置索引'!BC:BC,MATCH($F532,'#建筑消耗和buff配置索引'!$M:$M,0)))</f>
        <v/>
      </c>
      <c r="AL532" s="133"/>
      <c r="AM532" s="133"/>
      <c r="AN532" s="133" t="str">
        <f>IF(INDEX('#建筑消耗和buff配置索引'!BG:BG,MATCH($F532,'#建筑消耗和buff配置索引'!$M:$M,0))=0,"",INDEX('#建筑消耗和buff配置索引'!BG:BG,MATCH($F532,'#建筑消耗和buff配置索引'!$M:$M,0)))</f>
        <v/>
      </c>
      <c r="AO532" s="133" t="str">
        <f>IF(AN532="","",INDEX('#建筑消耗和buff配置索引'!BH:BH,MATCH($F532,'#建筑消耗和buff配置索引'!$M:$M,0)))</f>
        <v/>
      </c>
      <c r="AP532" s="133"/>
      <c r="AQ532" s="133"/>
      <c r="AR532" s="133" t="str">
        <f>IF(INDEX('#建筑消耗和buff配置索引'!BK:BK,MATCH($F532,'#建筑消耗和buff配置索引'!$M:$M,0))=0,"",INDEX('#建筑消耗和buff配置索引'!BK:BK,MATCH($F532,'#建筑消耗和buff配置索引'!$M:$M,0)))</f>
        <v/>
      </c>
      <c r="AS532" s="133" t="str">
        <f>IF(AR532="","",INDEX('#建筑消耗和buff配置索引'!BL:BL,MATCH($F532,'#建筑消耗和buff配置索引'!$M:$M,0)))</f>
        <v/>
      </c>
      <c r="AT532" s="133"/>
      <c r="AU532" s="133"/>
      <c r="AV532" s="133" t="str">
        <f>IF(INDEX('#建筑消耗和buff配置索引'!BO:BO,MATCH($F532,'#建筑消耗和buff配置索引'!$M:$M,0))=0,"",INDEX('#建筑消耗和buff配置索引'!BO:BO,MATCH($F532,'#建筑消耗和buff配置索引'!$M:$M,0)))</f>
        <v/>
      </c>
      <c r="AW532" s="133" t="str">
        <f>IF(AV532="","",INDEX('#建筑消耗和buff配置索引'!BP:BP,MATCH($F532,'#建筑消耗和buff配置索引'!$M:$M,0)))</f>
        <v/>
      </c>
      <c r="AX532" s="133"/>
      <c r="AY532" s="133"/>
      <c r="AZ532" s="133" t="str">
        <f>IF(INDEX('#建筑消耗和buff配置索引'!BS:BS,MATCH($F532,'#建筑消耗和buff配置索引'!$M:$M,0))=0,"",INDEX('#建筑消耗和buff配置索引'!BS:BS,MATCH($F532,'#建筑消耗和buff配置索引'!$M:$M,0)))</f>
        <v/>
      </c>
      <c r="BA532" s="133" t="str">
        <f>IF(AZ532="","",INDEX('#建筑消耗和buff配置索引'!BT:BT,MATCH($F532,'#建筑消耗和buff配置索引'!$M:$M,0)))</f>
        <v/>
      </c>
      <c r="BB532" s="133"/>
      <c r="BC532" s="133"/>
      <c r="BD532" s="133" t="str">
        <f>IF(INDEX('#建筑消耗和buff配置索引'!BW:BW,MATCH($F532,'#建筑消耗和buff配置索引'!$M:$M,0))=0,"",INDEX('#建筑消耗和buff配置索引'!BW:BW,MATCH($F532,'#建筑消耗和buff配置索引'!$M:$M,0)))</f>
        <v/>
      </c>
      <c r="BE532" s="133" t="str">
        <f>IF(BD532="","",INDEX('#建筑消耗和buff配置索引'!BX:BX,MATCH($F532,'#建筑消耗和buff配置索引'!$M:$M,0)))</f>
        <v/>
      </c>
      <c r="BF532" s="133"/>
      <c r="BG532" s="133"/>
      <c r="BH532" s="133"/>
      <c r="BI532" s="133">
        <v>24</v>
      </c>
      <c r="BJ532" s="133"/>
    </row>
    <row r="533" spans="1:62">
      <c r="A533" s="133">
        <v>2370015</v>
      </c>
      <c r="B533" s="133">
        <v>530</v>
      </c>
      <c r="C533" s="133">
        <v>237</v>
      </c>
      <c r="D533" s="133" t="s">
        <v>565</v>
      </c>
      <c r="E533" s="133">
        <v>15</v>
      </c>
      <c r="F533" s="133" t="str">
        <f t="shared" si="9"/>
        <v>酒馆15</v>
      </c>
      <c r="G533" s="133"/>
      <c r="H533" s="146"/>
      <c r="I533" s="133" t="s">
        <v>1205</v>
      </c>
      <c r="J533" s="150">
        <f>INDEX('#建筑消耗和buff配置索引'!AH:AH,MATCH($F533,'#建筑消耗和buff配置索引'!$M:$M,0))</f>
        <v>25920</v>
      </c>
      <c r="K533" s="150">
        <f>INDEX('#建筑消耗和buff配置索引'!AA:AA,MATCH($F533,'#建筑消耗和buff配置索引'!$M:$M,0))</f>
        <v>290000</v>
      </c>
      <c r="L533" s="150">
        <f>INDEX('#建筑消耗和buff配置索引'!AB:AB,MATCH($F533,'#建筑消耗和buff配置索引'!$M:$M,0))</f>
        <v>570000</v>
      </c>
      <c r="M533" s="150">
        <f>INDEX('#建筑消耗和buff配置索引'!AC:AC,MATCH($F533,'#建筑消耗和buff配置索引'!$M:$M,0))</f>
        <v>570000</v>
      </c>
      <c r="N533" s="150">
        <f>INDEX('#建筑消耗和buff配置索引'!AD:AD,MATCH($F533,'#建筑消耗和buff配置索引'!$M:$M,0))</f>
        <v>290000</v>
      </c>
      <c r="O533" s="150" t="str">
        <f>IF(INDEX('#建筑消耗和buff配置索引'!T:T,MATCH($F533,'#建筑消耗和buff配置索引'!$M:$M,0))=0,"",INDEX('#建筑消耗和buff配置索引'!T:T,MATCH($F533,'#建筑消耗和buff配置索引'!$M:$M,0)))</f>
        <v/>
      </c>
      <c r="P533" s="133" t="str">
        <f>IF(INDEX('#建筑消耗和buff配置索引'!U:U,MATCH($F533,'#建筑消耗和buff配置索引'!$M:$M,0))=0,"",INDEX('#建筑消耗和buff配置索引'!U:U,MATCH($F533,'#建筑消耗和buff配置索引'!$M:$M,0)))</f>
        <v/>
      </c>
      <c r="Q533" s="133" t="str">
        <f>IF(INDEX('#建筑消耗和buff配置索引'!K:K,MATCH($F533,'#建筑消耗和buff配置索引'!$M:$M,0))=0,"",INDEX('#建筑消耗和buff配置索引'!K:K,MATCH($F533,'#建筑消耗和buff配置索引'!$M:$M,0)))</f>
        <v>201</v>
      </c>
      <c r="R533" s="133" t="str">
        <f>IF(INDEX('#建筑消耗和buff配置索引'!L:L,MATCH($F533,'#建筑消耗和buff配置索引'!$M:$M,0))=0,"",INDEX('#建筑消耗和buff配置索引'!L:L,MATCH($F533,'#建筑消耗和buff配置索引'!$M:$M,0)))</f>
        <v>15</v>
      </c>
      <c r="S533" s="133">
        <f>IF(INDEX('#建筑消耗和buff配置索引'!C:C,MATCH(F533,'#建筑消耗和buff配置索引'!M:M,0))=0,1,INDEX('#建筑消耗和buff配置索引'!C:C,MATCH(F533,'#建筑消耗和buff配置索引'!M:M,0)))</f>
        <v>1</v>
      </c>
      <c r="T533" s="133">
        <v>0</v>
      </c>
      <c r="U533" s="133">
        <v>0</v>
      </c>
      <c r="V533" s="133" t="str">
        <f>IF(E533=1,IF(INDEX('#建筑消耗和buff配置索引'!BY:BY,MATCH(D533,'#建筑消耗和buff配置索引'!A:A,0))=0,"",INDEX('#建筑消耗和buff配置索引'!BY:BY,MATCH(D533,'#建筑消耗和buff配置索引'!A:A,0))),"")</f>
        <v/>
      </c>
      <c r="W533" s="133" t="str">
        <f>IF(E533=1,IF(INDEX('#建筑消耗和buff配置索引'!BZ:BZ,MATCH(D533,'#建筑消耗和buff配置索引'!A:A,0))=0,"",INDEX('#建筑消耗和buff配置索引'!BZ:BZ,MATCH(D533,'#建筑消耗和buff配置索引'!A:A,0))),"")</f>
        <v/>
      </c>
      <c r="X533" s="133"/>
      <c r="Y533" s="133"/>
      <c r="Z533" s="133"/>
      <c r="AA533" s="133">
        <f>INDEX('#建筑消耗和buff配置索引'!AO:AO,MATCH($F533,'#建筑消耗和buff配置索引'!$M:$M,0))</f>
        <v>12439</v>
      </c>
      <c r="AB533" s="133">
        <f>IF(INDEX('#建筑消耗和buff配置索引'!AR:AR,MATCH($F533,'#建筑消耗和buff配置索引'!$M:$M,0))=0,"",INDEX('#建筑消耗和buff配置索引'!AR:AR,MATCH($F533,'#建筑消耗和buff配置索引'!$M:$M,0)))</f>
        <v>10000601</v>
      </c>
      <c r="AC533" s="133">
        <f>IF(AB533="","",INDEX('#建筑消耗和buff配置索引'!AS:AS,MATCH($F533,'#建筑消耗和buff配置索引'!$M:$M,0)))</f>
        <v>55</v>
      </c>
      <c r="AD533" s="133"/>
      <c r="AE533" s="133"/>
      <c r="AF533" s="133">
        <f>IF(INDEX('#建筑消耗和buff配置索引'!AW:AW,MATCH($F533,'#建筑消耗和buff配置索引'!$M:$M,0))=0,"",INDEX('#建筑消耗和buff配置索引'!AW:AW,MATCH($F533,'#建筑消耗和buff配置索引'!$M:$M,0)))</f>
        <v>10000701</v>
      </c>
      <c r="AG533" s="133">
        <f>IF(AF533="","",INDEX('#建筑消耗和buff配置索引'!AX:AX,MATCH($F533,'#建筑消耗和buff配置索引'!$M:$M,0)))</f>
        <v>0.3</v>
      </c>
      <c r="AH533" s="133"/>
      <c r="AI533" s="133"/>
      <c r="AJ533" s="133" t="str">
        <f>IF(INDEX('#建筑消耗和buff配置索引'!BB:BB,MATCH($F533,'#建筑消耗和buff配置索引'!$M:$M,0))=0,"",INDEX('#建筑消耗和buff配置索引'!BB:BB,MATCH($F533,'#建筑消耗和buff配置索引'!$M:$M,0)))</f>
        <v/>
      </c>
      <c r="AK533" s="133" t="str">
        <f>IF(AJ533="","",INDEX('#建筑消耗和buff配置索引'!BC:BC,MATCH($F533,'#建筑消耗和buff配置索引'!$M:$M,0)))</f>
        <v/>
      </c>
      <c r="AL533" s="133"/>
      <c r="AM533" s="133"/>
      <c r="AN533" s="133" t="str">
        <f>IF(INDEX('#建筑消耗和buff配置索引'!BG:BG,MATCH($F533,'#建筑消耗和buff配置索引'!$M:$M,0))=0,"",INDEX('#建筑消耗和buff配置索引'!BG:BG,MATCH($F533,'#建筑消耗和buff配置索引'!$M:$M,0)))</f>
        <v/>
      </c>
      <c r="AO533" s="133" t="str">
        <f>IF(AN533="","",INDEX('#建筑消耗和buff配置索引'!BH:BH,MATCH($F533,'#建筑消耗和buff配置索引'!$M:$M,0)))</f>
        <v/>
      </c>
      <c r="AP533" s="133"/>
      <c r="AQ533" s="133"/>
      <c r="AR533" s="133" t="str">
        <f>IF(INDEX('#建筑消耗和buff配置索引'!BK:BK,MATCH($F533,'#建筑消耗和buff配置索引'!$M:$M,0))=0,"",INDEX('#建筑消耗和buff配置索引'!BK:BK,MATCH($F533,'#建筑消耗和buff配置索引'!$M:$M,0)))</f>
        <v/>
      </c>
      <c r="AS533" s="133" t="str">
        <f>IF(AR533="","",INDEX('#建筑消耗和buff配置索引'!BL:BL,MATCH($F533,'#建筑消耗和buff配置索引'!$M:$M,0)))</f>
        <v/>
      </c>
      <c r="AT533" s="133"/>
      <c r="AU533" s="133"/>
      <c r="AV533" s="133" t="str">
        <f>IF(INDEX('#建筑消耗和buff配置索引'!BO:BO,MATCH($F533,'#建筑消耗和buff配置索引'!$M:$M,0))=0,"",INDEX('#建筑消耗和buff配置索引'!BO:BO,MATCH($F533,'#建筑消耗和buff配置索引'!$M:$M,0)))</f>
        <v/>
      </c>
      <c r="AW533" s="133" t="str">
        <f>IF(AV533="","",INDEX('#建筑消耗和buff配置索引'!BP:BP,MATCH($F533,'#建筑消耗和buff配置索引'!$M:$M,0)))</f>
        <v/>
      </c>
      <c r="AX533" s="133"/>
      <c r="AY533" s="133"/>
      <c r="AZ533" s="133" t="str">
        <f>IF(INDEX('#建筑消耗和buff配置索引'!BS:BS,MATCH($F533,'#建筑消耗和buff配置索引'!$M:$M,0))=0,"",INDEX('#建筑消耗和buff配置索引'!BS:BS,MATCH($F533,'#建筑消耗和buff配置索引'!$M:$M,0)))</f>
        <v/>
      </c>
      <c r="BA533" s="133" t="str">
        <f>IF(AZ533="","",INDEX('#建筑消耗和buff配置索引'!BT:BT,MATCH($F533,'#建筑消耗和buff配置索引'!$M:$M,0)))</f>
        <v/>
      </c>
      <c r="BB533" s="133"/>
      <c r="BC533" s="133"/>
      <c r="BD533" s="133" t="str">
        <f>IF(INDEX('#建筑消耗和buff配置索引'!BW:BW,MATCH($F533,'#建筑消耗和buff配置索引'!$M:$M,0))=0,"",INDEX('#建筑消耗和buff配置索引'!BW:BW,MATCH($F533,'#建筑消耗和buff配置索引'!$M:$M,0)))</f>
        <v/>
      </c>
      <c r="BE533" s="133" t="str">
        <f>IF(BD533="","",INDEX('#建筑消耗和buff配置索引'!BX:BX,MATCH($F533,'#建筑消耗和buff配置索引'!$M:$M,0)))</f>
        <v/>
      </c>
      <c r="BF533" s="133"/>
      <c r="BG533" s="133"/>
      <c r="BH533" s="133"/>
      <c r="BI533" s="133">
        <v>24</v>
      </c>
      <c r="BJ533" s="133"/>
    </row>
    <row r="534" spans="1:62">
      <c r="A534" s="133">
        <v>2370016</v>
      </c>
      <c r="B534" s="133">
        <v>531</v>
      </c>
      <c r="C534" s="133">
        <v>237</v>
      </c>
      <c r="D534" s="133" t="s">
        <v>565</v>
      </c>
      <c r="E534" s="133">
        <v>16</v>
      </c>
      <c r="F534" s="133" t="str">
        <f t="shared" si="9"/>
        <v>酒馆16</v>
      </c>
      <c r="G534" s="133"/>
      <c r="H534" s="146"/>
      <c r="I534" s="133" t="s">
        <v>1205</v>
      </c>
      <c r="J534" s="150">
        <f>INDEX('#建筑消耗和buff配置索引'!AH:AH,MATCH($F534,'#建筑消耗和buff配置索引'!$M:$M,0))</f>
        <v>32400</v>
      </c>
      <c r="K534" s="150">
        <f>INDEX('#建筑消耗和buff配置索引'!AA:AA,MATCH($F534,'#建筑消耗和buff配置索引'!$M:$M,0))</f>
        <v>370000</v>
      </c>
      <c r="L534" s="150">
        <f>INDEX('#建筑消耗和buff配置索引'!AB:AB,MATCH($F534,'#建筑消耗和buff配置索引'!$M:$M,0))</f>
        <v>730000</v>
      </c>
      <c r="M534" s="150">
        <f>INDEX('#建筑消耗和buff配置索引'!AC:AC,MATCH($F534,'#建筑消耗和buff配置索引'!$M:$M,0))</f>
        <v>730000</v>
      </c>
      <c r="N534" s="150">
        <f>INDEX('#建筑消耗和buff配置索引'!AD:AD,MATCH($F534,'#建筑消耗和buff配置索引'!$M:$M,0))</f>
        <v>370000</v>
      </c>
      <c r="O534" s="150" t="str">
        <f>IF(INDEX('#建筑消耗和buff配置索引'!T:T,MATCH($F534,'#建筑消耗和buff配置索引'!$M:$M,0))=0,"",INDEX('#建筑消耗和buff配置索引'!T:T,MATCH($F534,'#建筑消耗和buff配置索引'!$M:$M,0)))</f>
        <v/>
      </c>
      <c r="P534" s="133" t="str">
        <f>IF(INDEX('#建筑消耗和buff配置索引'!U:U,MATCH($F534,'#建筑消耗和buff配置索引'!$M:$M,0))=0,"",INDEX('#建筑消耗和buff配置索引'!U:U,MATCH($F534,'#建筑消耗和buff配置索引'!$M:$M,0)))</f>
        <v/>
      </c>
      <c r="Q534" s="133" t="str">
        <f>IF(INDEX('#建筑消耗和buff配置索引'!K:K,MATCH($F534,'#建筑消耗和buff配置索引'!$M:$M,0))=0,"",INDEX('#建筑消耗和buff配置索引'!K:K,MATCH($F534,'#建筑消耗和buff配置索引'!$M:$M,0)))</f>
        <v>201</v>
      </c>
      <c r="R534" s="133" t="str">
        <f>IF(INDEX('#建筑消耗和buff配置索引'!L:L,MATCH($F534,'#建筑消耗和buff配置索引'!$M:$M,0))=0,"",INDEX('#建筑消耗和buff配置索引'!L:L,MATCH($F534,'#建筑消耗和buff配置索引'!$M:$M,0)))</f>
        <v>16</v>
      </c>
      <c r="S534" s="133">
        <f>IF(INDEX('#建筑消耗和buff配置索引'!C:C,MATCH(F534,'#建筑消耗和buff配置索引'!M:M,0))=0,1,INDEX('#建筑消耗和buff配置索引'!C:C,MATCH(F534,'#建筑消耗和buff配置索引'!M:M,0)))</f>
        <v>1</v>
      </c>
      <c r="T534" s="133">
        <v>0</v>
      </c>
      <c r="U534" s="133">
        <v>0</v>
      </c>
      <c r="V534" s="133" t="str">
        <f>IF(E534=1,IF(INDEX('#建筑消耗和buff配置索引'!BY:BY,MATCH(D534,'#建筑消耗和buff配置索引'!A:A,0))=0,"",INDEX('#建筑消耗和buff配置索引'!BY:BY,MATCH(D534,'#建筑消耗和buff配置索引'!A:A,0))),"")</f>
        <v/>
      </c>
      <c r="W534" s="133" t="str">
        <f>IF(E534=1,IF(INDEX('#建筑消耗和buff配置索引'!BZ:BZ,MATCH(D534,'#建筑消耗和buff配置索引'!A:A,0))=0,"",INDEX('#建筑消耗和buff配置索引'!BZ:BZ,MATCH(D534,'#建筑消耗和buff配置索引'!A:A,0))),"")</f>
        <v/>
      </c>
      <c r="X534" s="133"/>
      <c r="Y534" s="133"/>
      <c r="Z534" s="133"/>
      <c r="AA534" s="133">
        <f>INDEX('#建筑消耗和buff配置索引'!AO:AO,MATCH($F534,'#建筑消耗和buff配置索引'!$M:$M,0))</f>
        <v>16827</v>
      </c>
      <c r="AB534" s="133">
        <f>IF(INDEX('#建筑消耗和buff配置索引'!AR:AR,MATCH($F534,'#建筑消耗和buff配置索引'!$M:$M,0))=0,"",INDEX('#建筑消耗和buff配置索引'!AR:AR,MATCH($F534,'#建筑消耗和buff配置索引'!$M:$M,0)))</f>
        <v>10000601</v>
      </c>
      <c r="AC534" s="133">
        <f>IF(AB534="","",INDEX('#建筑消耗和buff配置索引'!AS:AS,MATCH($F534,'#建筑消耗和buff配置索引'!$M:$M,0)))</f>
        <v>60</v>
      </c>
      <c r="AD534" s="133"/>
      <c r="AE534" s="133"/>
      <c r="AF534" s="133">
        <f>IF(INDEX('#建筑消耗和buff配置索引'!AW:AW,MATCH($F534,'#建筑消耗和buff配置索引'!$M:$M,0))=0,"",INDEX('#建筑消耗和buff配置索引'!AW:AW,MATCH($F534,'#建筑消耗和buff配置索引'!$M:$M,0)))</f>
        <v>10000701</v>
      </c>
      <c r="AG534" s="133">
        <f>IF(AF534="","",INDEX('#建筑消耗和buff配置索引'!AX:AX,MATCH($F534,'#建筑消耗和buff配置索引'!$M:$M,0)))</f>
        <v>0.32</v>
      </c>
      <c r="AH534" s="133"/>
      <c r="AI534" s="133"/>
      <c r="AJ534" s="133" t="str">
        <f>IF(INDEX('#建筑消耗和buff配置索引'!BB:BB,MATCH($F534,'#建筑消耗和buff配置索引'!$M:$M,0))=0,"",INDEX('#建筑消耗和buff配置索引'!BB:BB,MATCH($F534,'#建筑消耗和buff配置索引'!$M:$M,0)))</f>
        <v/>
      </c>
      <c r="AK534" s="133" t="str">
        <f>IF(AJ534="","",INDEX('#建筑消耗和buff配置索引'!BC:BC,MATCH($F534,'#建筑消耗和buff配置索引'!$M:$M,0)))</f>
        <v/>
      </c>
      <c r="AL534" s="133"/>
      <c r="AM534" s="133"/>
      <c r="AN534" s="133" t="str">
        <f>IF(INDEX('#建筑消耗和buff配置索引'!BG:BG,MATCH($F534,'#建筑消耗和buff配置索引'!$M:$M,0))=0,"",INDEX('#建筑消耗和buff配置索引'!BG:BG,MATCH($F534,'#建筑消耗和buff配置索引'!$M:$M,0)))</f>
        <v/>
      </c>
      <c r="AO534" s="133" t="str">
        <f>IF(AN534="","",INDEX('#建筑消耗和buff配置索引'!BH:BH,MATCH($F534,'#建筑消耗和buff配置索引'!$M:$M,0)))</f>
        <v/>
      </c>
      <c r="AP534" s="133"/>
      <c r="AQ534" s="133"/>
      <c r="AR534" s="133" t="str">
        <f>IF(INDEX('#建筑消耗和buff配置索引'!BK:BK,MATCH($F534,'#建筑消耗和buff配置索引'!$M:$M,0))=0,"",INDEX('#建筑消耗和buff配置索引'!BK:BK,MATCH($F534,'#建筑消耗和buff配置索引'!$M:$M,0)))</f>
        <v/>
      </c>
      <c r="AS534" s="133" t="str">
        <f>IF(AR534="","",INDEX('#建筑消耗和buff配置索引'!BL:BL,MATCH($F534,'#建筑消耗和buff配置索引'!$M:$M,0)))</f>
        <v/>
      </c>
      <c r="AT534" s="133"/>
      <c r="AU534" s="133"/>
      <c r="AV534" s="133" t="str">
        <f>IF(INDEX('#建筑消耗和buff配置索引'!BO:BO,MATCH($F534,'#建筑消耗和buff配置索引'!$M:$M,0))=0,"",INDEX('#建筑消耗和buff配置索引'!BO:BO,MATCH($F534,'#建筑消耗和buff配置索引'!$M:$M,0)))</f>
        <v/>
      </c>
      <c r="AW534" s="133" t="str">
        <f>IF(AV534="","",INDEX('#建筑消耗和buff配置索引'!BP:BP,MATCH($F534,'#建筑消耗和buff配置索引'!$M:$M,0)))</f>
        <v/>
      </c>
      <c r="AX534" s="133"/>
      <c r="AY534" s="133"/>
      <c r="AZ534" s="133" t="str">
        <f>IF(INDEX('#建筑消耗和buff配置索引'!BS:BS,MATCH($F534,'#建筑消耗和buff配置索引'!$M:$M,0))=0,"",INDEX('#建筑消耗和buff配置索引'!BS:BS,MATCH($F534,'#建筑消耗和buff配置索引'!$M:$M,0)))</f>
        <v/>
      </c>
      <c r="BA534" s="133" t="str">
        <f>IF(AZ534="","",INDEX('#建筑消耗和buff配置索引'!BT:BT,MATCH($F534,'#建筑消耗和buff配置索引'!$M:$M,0)))</f>
        <v/>
      </c>
      <c r="BB534" s="133"/>
      <c r="BC534" s="133"/>
      <c r="BD534" s="133" t="str">
        <f>IF(INDEX('#建筑消耗和buff配置索引'!BW:BW,MATCH($F534,'#建筑消耗和buff配置索引'!$M:$M,0))=0,"",INDEX('#建筑消耗和buff配置索引'!BW:BW,MATCH($F534,'#建筑消耗和buff配置索引'!$M:$M,0)))</f>
        <v/>
      </c>
      <c r="BE534" s="133" t="str">
        <f>IF(BD534="","",INDEX('#建筑消耗和buff配置索引'!BX:BX,MATCH($F534,'#建筑消耗和buff配置索引'!$M:$M,0)))</f>
        <v/>
      </c>
      <c r="BF534" s="133"/>
      <c r="BG534" s="133"/>
      <c r="BH534" s="133"/>
      <c r="BI534" s="133">
        <v>24</v>
      </c>
      <c r="BJ534" s="133"/>
    </row>
    <row r="535" spans="1:62">
      <c r="A535" s="133">
        <v>2370017</v>
      </c>
      <c r="B535" s="133">
        <v>532</v>
      </c>
      <c r="C535" s="133">
        <v>237</v>
      </c>
      <c r="D535" s="133" t="s">
        <v>565</v>
      </c>
      <c r="E535" s="133">
        <v>17</v>
      </c>
      <c r="F535" s="133" t="str">
        <f t="shared" si="9"/>
        <v>酒馆17</v>
      </c>
      <c r="G535" s="133"/>
      <c r="H535" s="146"/>
      <c r="I535" s="133" t="s">
        <v>1205</v>
      </c>
      <c r="J535" s="150">
        <f>INDEX('#建筑消耗和buff配置索引'!AH:AH,MATCH($F535,'#建筑消耗和buff配置索引'!$M:$M,0))</f>
        <v>43200</v>
      </c>
      <c r="K535" s="150">
        <f>INDEX('#建筑消耗和buff配置索引'!AA:AA,MATCH($F535,'#建筑消耗和buff配置索引'!$M:$M,0))</f>
        <v>470000</v>
      </c>
      <c r="L535" s="150">
        <f>INDEX('#建筑消耗和buff配置索引'!AB:AB,MATCH($F535,'#建筑消耗和buff配置索引'!$M:$M,0))</f>
        <v>940000</v>
      </c>
      <c r="M535" s="150">
        <f>INDEX('#建筑消耗和buff配置索引'!AC:AC,MATCH($F535,'#建筑消耗和buff配置索引'!$M:$M,0))</f>
        <v>940000</v>
      </c>
      <c r="N535" s="150">
        <f>INDEX('#建筑消耗和buff配置索引'!AD:AD,MATCH($F535,'#建筑消耗和buff配置索引'!$M:$M,0))</f>
        <v>470000</v>
      </c>
      <c r="O535" s="150" t="str">
        <f>IF(INDEX('#建筑消耗和buff配置索引'!T:T,MATCH($F535,'#建筑消耗和buff配置索引'!$M:$M,0))=0,"",INDEX('#建筑消耗和buff配置索引'!T:T,MATCH($F535,'#建筑消耗和buff配置索引'!$M:$M,0)))</f>
        <v/>
      </c>
      <c r="P535" s="133" t="str">
        <f>IF(INDEX('#建筑消耗和buff配置索引'!U:U,MATCH($F535,'#建筑消耗和buff配置索引'!$M:$M,0))=0,"",INDEX('#建筑消耗和buff配置索引'!U:U,MATCH($F535,'#建筑消耗和buff配置索引'!$M:$M,0)))</f>
        <v/>
      </c>
      <c r="Q535" s="133" t="str">
        <f>IF(INDEX('#建筑消耗和buff配置索引'!K:K,MATCH($F535,'#建筑消耗和buff配置索引'!$M:$M,0))=0,"",INDEX('#建筑消耗和buff配置索引'!K:K,MATCH($F535,'#建筑消耗和buff配置索引'!$M:$M,0)))</f>
        <v>201</v>
      </c>
      <c r="R535" s="133" t="str">
        <f>IF(INDEX('#建筑消耗和buff配置索引'!L:L,MATCH($F535,'#建筑消耗和buff配置索引'!$M:$M,0))=0,"",INDEX('#建筑消耗和buff配置索引'!L:L,MATCH($F535,'#建筑消耗和buff配置索引'!$M:$M,0)))</f>
        <v>17</v>
      </c>
      <c r="S535" s="133">
        <f>IF(INDEX('#建筑消耗和buff配置索引'!C:C,MATCH(F535,'#建筑消耗和buff配置索引'!M:M,0))=0,1,INDEX('#建筑消耗和buff配置索引'!C:C,MATCH(F535,'#建筑消耗和buff配置索引'!M:M,0)))</f>
        <v>1</v>
      </c>
      <c r="T535" s="133">
        <v>0</v>
      </c>
      <c r="U535" s="133">
        <v>0</v>
      </c>
      <c r="V535" s="133" t="str">
        <f>IF(E535=1,IF(INDEX('#建筑消耗和buff配置索引'!BY:BY,MATCH(D535,'#建筑消耗和buff配置索引'!A:A,0))=0,"",INDEX('#建筑消耗和buff配置索引'!BY:BY,MATCH(D535,'#建筑消耗和buff配置索引'!A:A,0))),"")</f>
        <v/>
      </c>
      <c r="W535" s="133" t="str">
        <f>IF(E535=1,IF(INDEX('#建筑消耗和buff配置索引'!BZ:BZ,MATCH(D535,'#建筑消耗和buff配置索引'!A:A,0))=0,"",INDEX('#建筑消耗和buff配置索引'!BZ:BZ,MATCH(D535,'#建筑消耗和buff配置索引'!A:A,0))),"")</f>
        <v/>
      </c>
      <c r="X535" s="133"/>
      <c r="Y535" s="133"/>
      <c r="Z535" s="133"/>
      <c r="AA535" s="133">
        <f>INDEX('#建筑消耗和buff配置索引'!AO:AO,MATCH($F535,'#建筑消耗和buff配置索引'!$M:$M,0))</f>
        <v>22443</v>
      </c>
      <c r="AB535" s="133">
        <f>IF(INDEX('#建筑消耗和buff配置索引'!AR:AR,MATCH($F535,'#建筑消耗和buff配置索引'!$M:$M,0))=0,"",INDEX('#建筑消耗和buff配置索引'!AR:AR,MATCH($F535,'#建筑消耗和buff配置索引'!$M:$M,0)))</f>
        <v>10000601</v>
      </c>
      <c r="AC535" s="133">
        <f>IF(AB535="","",INDEX('#建筑消耗和buff配置索引'!AS:AS,MATCH($F535,'#建筑消耗和buff配置索引'!$M:$M,0)))</f>
        <v>65</v>
      </c>
      <c r="AD535" s="133"/>
      <c r="AE535" s="133"/>
      <c r="AF535" s="133">
        <f>IF(INDEX('#建筑消耗和buff配置索引'!AW:AW,MATCH($F535,'#建筑消耗和buff配置索引'!$M:$M,0))=0,"",INDEX('#建筑消耗和buff配置索引'!AW:AW,MATCH($F535,'#建筑消耗和buff配置索引'!$M:$M,0)))</f>
        <v>10000701</v>
      </c>
      <c r="AG535" s="133">
        <f>IF(AF535="","",INDEX('#建筑消耗和buff配置索引'!AX:AX,MATCH($F535,'#建筑消耗和buff配置索引'!$M:$M,0)))</f>
        <v>0.34</v>
      </c>
      <c r="AH535" s="133"/>
      <c r="AI535" s="133"/>
      <c r="AJ535" s="133" t="str">
        <f>IF(INDEX('#建筑消耗和buff配置索引'!BB:BB,MATCH($F535,'#建筑消耗和buff配置索引'!$M:$M,0))=0,"",INDEX('#建筑消耗和buff配置索引'!BB:BB,MATCH($F535,'#建筑消耗和buff配置索引'!$M:$M,0)))</f>
        <v/>
      </c>
      <c r="AK535" s="133" t="str">
        <f>IF(AJ535="","",INDEX('#建筑消耗和buff配置索引'!BC:BC,MATCH($F535,'#建筑消耗和buff配置索引'!$M:$M,0)))</f>
        <v/>
      </c>
      <c r="AL535" s="133"/>
      <c r="AM535" s="133"/>
      <c r="AN535" s="133" t="str">
        <f>IF(INDEX('#建筑消耗和buff配置索引'!BG:BG,MATCH($F535,'#建筑消耗和buff配置索引'!$M:$M,0))=0,"",INDEX('#建筑消耗和buff配置索引'!BG:BG,MATCH($F535,'#建筑消耗和buff配置索引'!$M:$M,0)))</f>
        <v/>
      </c>
      <c r="AO535" s="133" t="str">
        <f>IF(AN535="","",INDEX('#建筑消耗和buff配置索引'!BH:BH,MATCH($F535,'#建筑消耗和buff配置索引'!$M:$M,0)))</f>
        <v/>
      </c>
      <c r="AP535" s="133"/>
      <c r="AQ535" s="133"/>
      <c r="AR535" s="133" t="str">
        <f>IF(INDEX('#建筑消耗和buff配置索引'!BK:BK,MATCH($F535,'#建筑消耗和buff配置索引'!$M:$M,0))=0,"",INDEX('#建筑消耗和buff配置索引'!BK:BK,MATCH($F535,'#建筑消耗和buff配置索引'!$M:$M,0)))</f>
        <v/>
      </c>
      <c r="AS535" s="133" t="str">
        <f>IF(AR535="","",INDEX('#建筑消耗和buff配置索引'!BL:BL,MATCH($F535,'#建筑消耗和buff配置索引'!$M:$M,0)))</f>
        <v/>
      </c>
      <c r="AT535" s="133"/>
      <c r="AU535" s="133"/>
      <c r="AV535" s="133" t="str">
        <f>IF(INDEX('#建筑消耗和buff配置索引'!BO:BO,MATCH($F535,'#建筑消耗和buff配置索引'!$M:$M,0))=0,"",INDEX('#建筑消耗和buff配置索引'!BO:BO,MATCH($F535,'#建筑消耗和buff配置索引'!$M:$M,0)))</f>
        <v/>
      </c>
      <c r="AW535" s="133" t="str">
        <f>IF(AV535="","",INDEX('#建筑消耗和buff配置索引'!BP:BP,MATCH($F535,'#建筑消耗和buff配置索引'!$M:$M,0)))</f>
        <v/>
      </c>
      <c r="AX535" s="133"/>
      <c r="AY535" s="133"/>
      <c r="AZ535" s="133" t="str">
        <f>IF(INDEX('#建筑消耗和buff配置索引'!BS:BS,MATCH($F535,'#建筑消耗和buff配置索引'!$M:$M,0))=0,"",INDEX('#建筑消耗和buff配置索引'!BS:BS,MATCH($F535,'#建筑消耗和buff配置索引'!$M:$M,0)))</f>
        <v/>
      </c>
      <c r="BA535" s="133" t="str">
        <f>IF(AZ535="","",INDEX('#建筑消耗和buff配置索引'!BT:BT,MATCH($F535,'#建筑消耗和buff配置索引'!$M:$M,0)))</f>
        <v/>
      </c>
      <c r="BB535" s="133"/>
      <c r="BC535" s="133"/>
      <c r="BD535" s="133" t="str">
        <f>IF(INDEX('#建筑消耗和buff配置索引'!BW:BW,MATCH($F535,'#建筑消耗和buff配置索引'!$M:$M,0))=0,"",INDEX('#建筑消耗和buff配置索引'!BW:BW,MATCH($F535,'#建筑消耗和buff配置索引'!$M:$M,0)))</f>
        <v/>
      </c>
      <c r="BE535" s="133" t="str">
        <f>IF(BD535="","",INDEX('#建筑消耗和buff配置索引'!BX:BX,MATCH($F535,'#建筑消耗和buff配置索引'!$M:$M,0)))</f>
        <v/>
      </c>
      <c r="BF535" s="133"/>
      <c r="BG535" s="133"/>
      <c r="BH535" s="133"/>
      <c r="BI535" s="133">
        <v>24</v>
      </c>
      <c r="BJ535" s="133"/>
    </row>
    <row r="536" spans="1:62">
      <c r="A536" s="133">
        <v>2370018</v>
      </c>
      <c r="B536" s="133">
        <v>533</v>
      </c>
      <c r="C536" s="133">
        <v>237</v>
      </c>
      <c r="D536" s="133" t="s">
        <v>565</v>
      </c>
      <c r="E536" s="133">
        <v>18</v>
      </c>
      <c r="F536" s="133" t="str">
        <f t="shared" si="9"/>
        <v>酒馆18</v>
      </c>
      <c r="G536" s="133"/>
      <c r="H536" s="146"/>
      <c r="I536" s="133" t="s">
        <v>1205</v>
      </c>
      <c r="J536" s="150">
        <f>INDEX('#建筑消耗和buff配置索引'!AH:AH,MATCH($F536,'#建筑消耗和buff配置索引'!$M:$M,0))</f>
        <v>56160</v>
      </c>
      <c r="K536" s="150">
        <f>INDEX('#建筑消耗和buff配置索引'!AA:AA,MATCH($F536,'#建筑消耗和buff配置索引'!$M:$M,0))</f>
        <v>600000</v>
      </c>
      <c r="L536" s="150">
        <f>INDEX('#建筑消耗和buff配置索引'!AB:AB,MATCH($F536,'#建筑消耗和buff配置索引'!$M:$M,0))</f>
        <v>1200000</v>
      </c>
      <c r="M536" s="150">
        <f>INDEX('#建筑消耗和buff配置索引'!AC:AC,MATCH($F536,'#建筑消耗和buff配置索引'!$M:$M,0))</f>
        <v>1200000</v>
      </c>
      <c r="N536" s="150">
        <f>INDEX('#建筑消耗和buff配置索引'!AD:AD,MATCH($F536,'#建筑消耗和buff配置索引'!$M:$M,0))</f>
        <v>600000</v>
      </c>
      <c r="O536" s="150" t="str">
        <f>IF(INDEX('#建筑消耗和buff配置索引'!T:T,MATCH($F536,'#建筑消耗和buff配置索引'!$M:$M,0))=0,"",INDEX('#建筑消耗和buff配置索引'!T:T,MATCH($F536,'#建筑消耗和buff配置索引'!$M:$M,0)))</f>
        <v/>
      </c>
      <c r="P536" s="133" t="str">
        <f>IF(INDEX('#建筑消耗和buff配置索引'!U:U,MATCH($F536,'#建筑消耗和buff配置索引'!$M:$M,0))=0,"",INDEX('#建筑消耗和buff配置索引'!U:U,MATCH($F536,'#建筑消耗和buff配置索引'!$M:$M,0)))</f>
        <v/>
      </c>
      <c r="Q536" s="133" t="str">
        <f>IF(INDEX('#建筑消耗和buff配置索引'!K:K,MATCH($F536,'#建筑消耗和buff配置索引'!$M:$M,0))=0,"",INDEX('#建筑消耗和buff配置索引'!K:K,MATCH($F536,'#建筑消耗和buff配置索引'!$M:$M,0)))</f>
        <v>201</v>
      </c>
      <c r="R536" s="133" t="str">
        <f>IF(INDEX('#建筑消耗和buff配置索引'!L:L,MATCH($F536,'#建筑消耗和buff配置索引'!$M:$M,0))=0,"",INDEX('#建筑消耗和buff配置索引'!L:L,MATCH($F536,'#建筑消耗和buff配置索引'!$M:$M,0)))</f>
        <v>18</v>
      </c>
      <c r="S536" s="133">
        <f>IF(INDEX('#建筑消耗和buff配置索引'!C:C,MATCH(F536,'#建筑消耗和buff配置索引'!M:M,0))=0,1,INDEX('#建筑消耗和buff配置索引'!C:C,MATCH(F536,'#建筑消耗和buff配置索引'!M:M,0)))</f>
        <v>1</v>
      </c>
      <c r="T536" s="133">
        <v>0</v>
      </c>
      <c r="U536" s="133">
        <v>0</v>
      </c>
      <c r="V536" s="133" t="str">
        <f>IF(E536=1,IF(INDEX('#建筑消耗和buff配置索引'!BY:BY,MATCH(D536,'#建筑消耗和buff配置索引'!A:A,0))=0,"",INDEX('#建筑消耗和buff配置索引'!BY:BY,MATCH(D536,'#建筑消耗和buff配置索引'!A:A,0))),"")</f>
        <v/>
      </c>
      <c r="W536" s="133" t="str">
        <f>IF(E536=1,IF(INDEX('#建筑消耗和buff配置索引'!BZ:BZ,MATCH(D536,'#建筑消耗和buff配置索引'!A:A,0))=0,"",INDEX('#建筑消耗和buff配置索引'!BZ:BZ,MATCH(D536,'#建筑消耗和buff配置索引'!A:A,0))),"")</f>
        <v/>
      </c>
      <c r="X536" s="133"/>
      <c r="Y536" s="133"/>
      <c r="Z536" s="133"/>
      <c r="AA536" s="133">
        <f>INDEX('#建筑消耗和buff配置索引'!AO:AO,MATCH($F536,'#建筑消耗和buff配置索引'!$M:$M,0))</f>
        <v>29632</v>
      </c>
      <c r="AB536" s="133">
        <f>IF(INDEX('#建筑消耗和buff配置索引'!AR:AR,MATCH($F536,'#建筑消耗和buff配置索引'!$M:$M,0))=0,"",INDEX('#建筑消耗和buff配置索引'!AR:AR,MATCH($F536,'#建筑消耗和buff配置索引'!$M:$M,0)))</f>
        <v>10000601</v>
      </c>
      <c r="AC536" s="133">
        <f>IF(AB536="","",INDEX('#建筑消耗和buff配置索引'!AS:AS,MATCH($F536,'#建筑消耗和buff配置索引'!$M:$M,0)))</f>
        <v>70</v>
      </c>
      <c r="AD536" s="133"/>
      <c r="AE536" s="133"/>
      <c r="AF536" s="133">
        <f>IF(INDEX('#建筑消耗和buff配置索引'!AW:AW,MATCH($F536,'#建筑消耗和buff配置索引'!$M:$M,0))=0,"",INDEX('#建筑消耗和buff配置索引'!AW:AW,MATCH($F536,'#建筑消耗和buff配置索引'!$M:$M,0)))</f>
        <v>10000701</v>
      </c>
      <c r="AG536" s="133">
        <f>IF(AF536="","",INDEX('#建筑消耗和buff配置索引'!AX:AX,MATCH($F536,'#建筑消耗和buff配置索引'!$M:$M,0)))</f>
        <v>0.36</v>
      </c>
      <c r="AH536" s="133"/>
      <c r="AI536" s="133"/>
      <c r="AJ536" s="133" t="str">
        <f>IF(INDEX('#建筑消耗和buff配置索引'!BB:BB,MATCH($F536,'#建筑消耗和buff配置索引'!$M:$M,0))=0,"",INDEX('#建筑消耗和buff配置索引'!BB:BB,MATCH($F536,'#建筑消耗和buff配置索引'!$M:$M,0)))</f>
        <v/>
      </c>
      <c r="AK536" s="133" t="str">
        <f>IF(AJ536="","",INDEX('#建筑消耗和buff配置索引'!BC:BC,MATCH($F536,'#建筑消耗和buff配置索引'!$M:$M,0)))</f>
        <v/>
      </c>
      <c r="AL536" s="133"/>
      <c r="AM536" s="133"/>
      <c r="AN536" s="133" t="str">
        <f>IF(INDEX('#建筑消耗和buff配置索引'!BG:BG,MATCH($F536,'#建筑消耗和buff配置索引'!$M:$M,0))=0,"",INDEX('#建筑消耗和buff配置索引'!BG:BG,MATCH($F536,'#建筑消耗和buff配置索引'!$M:$M,0)))</f>
        <v/>
      </c>
      <c r="AO536" s="133" t="str">
        <f>IF(AN536="","",INDEX('#建筑消耗和buff配置索引'!BH:BH,MATCH($F536,'#建筑消耗和buff配置索引'!$M:$M,0)))</f>
        <v/>
      </c>
      <c r="AP536" s="133"/>
      <c r="AQ536" s="133"/>
      <c r="AR536" s="133" t="str">
        <f>IF(INDEX('#建筑消耗和buff配置索引'!BK:BK,MATCH($F536,'#建筑消耗和buff配置索引'!$M:$M,0))=0,"",INDEX('#建筑消耗和buff配置索引'!BK:BK,MATCH($F536,'#建筑消耗和buff配置索引'!$M:$M,0)))</f>
        <v/>
      </c>
      <c r="AS536" s="133" t="str">
        <f>IF(AR536="","",INDEX('#建筑消耗和buff配置索引'!BL:BL,MATCH($F536,'#建筑消耗和buff配置索引'!$M:$M,0)))</f>
        <v/>
      </c>
      <c r="AT536" s="133"/>
      <c r="AU536" s="133"/>
      <c r="AV536" s="133" t="str">
        <f>IF(INDEX('#建筑消耗和buff配置索引'!BO:BO,MATCH($F536,'#建筑消耗和buff配置索引'!$M:$M,0))=0,"",INDEX('#建筑消耗和buff配置索引'!BO:BO,MATCH($F536,'#建筑消耗和buff配置索引'!$M:$M,0)))</f>
        <v/>
      </c>
      <c r="AW536" s="133" t="str">
        <f>IF(AV536="","",INDEX('#建筑消耗和buff配置索引'!BP:BP,MATCH($F536,'#建筑消耗和buff配置索引'!$M:$M,0)))</f>
        <v/>
      </c>
      <c r="AX536" s="133"/>
      <c r="AY536" s="133"/>
      <c r="AZ536" s="133" t="str">
        <f>IF(INDEX('#建筑消耗和buff配置索引'!BS:BS,MATCH($F536,'#建筑消耗和buff配置索引'!$M:$M,0))=0,"",INDEX('#建筑消耗和buff配置索引'!BS:BS,MATCH($F536,'#建筑消耗和buff配置索引'!$M:$M,0)))</f>
        <v/>
      </c>
      <c r="BA536" s="133" t="str">
        <f>IF(AZ536="","",INDEX('#建筑消耗和buff配置索引'!BT:BT,MATCH($F536,'#建筑消耗和buff配置索引'!$M:$M,0)))</f>
        <v/>
      </c>
      <c r="BB536" s="133"/>
      <c r="BC536" s="133"/>
      <c r="BD536" s="133" t="str">
        <f>IF(INDEX('#建筑消耗和buff配置索引'!BW:BW,MATCH($F536,'#建筑消耗和buff配置索引'!$M:$M,0))=0,"",INDEX('#建筑消耗和buff配置索引'!BW:BW,MATCH($F536,'#建筑消耗和buff配置索引'!$M:$M,0)))</f>
        <v/>
      </c>
      <c r="BE536" s="133" t="str">
        <f>IF(BD536="","",INDEX('#建筑消耗和buff配置索引'!BX:BX,MATCH($F536,'#建筑消耗和buff配置索引'!$M:$M,0)))</f>
        <v/>
      </c>
      <c r="BF536" s="133"/>
      <c r="BG536" s="133"/>
      <c r="BH536" s="133"/>
      <c r="BI536" s="133">
        <v>24</v>
      </c>
      <c r="BJ536" s="133"/>
    </row>
    <row r="537" spans="1:62">
      <c r="A537" s="133">
        <v>2370019</v>
      </c>
      <c r="B537" s="133">
        <v>534</v>
      </c>
      <c r="C537" s="133">
        <v>237</v>
      </c>
      <c r="D537" s="133" t="s">
        <v>565</v>
      </c>
      <c r="E537" s="133">
        <v>19</v>
      </c>
      <c r="F537" s="133" t="str">
        <f t="shared" si="9"/>
        <v>酒馆19</v>
      </c>
      <c r="G537" s="133"/>
      <c r="H537" s="146"/>
      <c r="I537" s="133" t="s">
        <v>1205</v>
      </c>
      <c r="J537" s="150">
        <f>INDEX('#建筑消耗和buff配置索引'!AH:AH,MATCH($F537,'#建筑消耗和buff配置索引'!$M:$M,0))</f>
        <v>73440</v>
      </c>
      <c r="K537" s="150">
        <f>INDEX('#建筑消耗和buff配置索引'!AA:AA,MATCH($F537,'#建筑消耗和buff配置索引'!$M:$M,0))</f>
        <v>770000</v>
      </c>
      <c r="L537" s="150">
        <f>INDEX('#建筑消耗和buff配置索引'!AB:AB,MATCH($F537,'#建筑消耗和buff配置索引'!$M:$M,0))</f>
        <v>1500000</v>
      </c>
      <c r="M537" s="150">
        <f>INDEX('#建筑消耗和buff配置索引'!AC:AC,MATCH($F537,'#建筑消耗和buff配置索引'!$M:$M,0))</f>
        <v>1500000</v>
      </c>
      <c r="N537" s="150">
        <f>INDEX('#建筑消耗和buff配置索引'!AD:AD,MATCH($F537,'#建筑消耗和buff配置索引'!$M:$M,0))</f>
        <v>770000</v>
      </c>
      <c r="O537" s="150" t="str">
        <f>IF(INDEX('#建筑消耗和buff配置索引'!T:T,MATCH($F537,'#建筑消耗和buff配置索引'!$M:$M,0))=0,"",INDEX('#建筑消耗和buff配置索引'!T:T,MATCH($F537,'#建筑消耗和buff配置索引'!$M:$M,0)))</f>
        <v/>
      </c>
      <c r="P537" s="133" t="str">
        <f>IF(INDEX('#建筑消耗和buff配置索引'!U:U,MATCH($F537,'#建筑消耗和buff配置索引'!$M:$M,0))=0,"",INDEX('#建筑消耗和buff配置索引'!U:U,MATCH($F537,'#建筑消耗和buff配置索引'!$M:$M,0)))</f>
        <v/>
      </c>
      <c r="Q537" s="133" t="str">
        <f>IF(INDEX('#建筑消耗和buff配置索引'!K:K,MATCH($F537,'#建筑消耗和buff配置索引'!$M:$M,0))=0,"",INDEX('#建筑消耗和buff配置索引'!K:K,MATCH($F537,'#建筑消耗和buff配置索引'!$M:$M,0)))</f>
        <v>201</v>
      </c>
      <c r="R537" s="133" t="str">
        <f>IF(INDEX('#建筑消耗和buff配置索引'!L:L,MATCH($F537,'#建筑消耗和buff配置索引'!$M:$M,0))=0,"",INDEX('#建筑消耗和buff配置索引'!L:L,MATCH($F537,'#建筑消耗和buff配置索引'!$M:$M,0)))</f>
        <v>19</v>
      </c>
      <c r="S537" s="133">
        <f>IF(INDEX('#建筑消耗和buff配置索引'!C:C,MATCH(F537,'#建筑消耗和buff配置索引'!M:M,0))=0,1,INDEX('#建筑消耗和buff配置索引'!C:C,MATCH(F537,'#建筑消耗和buff配置索引'!M:M,0)))</f>
        <v>1</v>
      </c>
      <c r="T537" s="133">
        <v>0</v>
      </c>
      <c r="U537" s="133">
        <v>0</v>
      </c>
      <c r="V537" s="133" t="str">
        <f>IF(E537=1,IF(INDEX('#建筑消耗和buff配置索引'!BY:BY,MATCH(D537,'#建筑消耗和buff配置索引'!A:A,0))=0,"",INDEX('#建筑消耗和buff配置索引'!BY:BY,MATCH(D537,'#建筑消耗和buff配置索引'!A:A,0))),"")</f>
        <v/>
      </c>
      <c r="W537" s="133" t="str">
        <f>IF(E537=1,IF(INDEX('#建筑消耗和buff配置索引'!BZ:BZ,MATCH(D537,'#建筑消耗和buff配置索引'!A:A,0))=0,"",INDEX('#建筑消耗和buff配置索引'!BZ:BZ,MATCH(D537,'#建筑消耗和buff配置索引'!A:A,0))),"")</f>
        <v/>
      </c>
      <c r="X537" s="133"/>
      <c r="Y537" s="133"/>
      <c r="Z537" s="133"/>
      <c r="AA537" s="133">
        <f>INDEX('#建筑消耗和buff配置索引'!AO:AO,MATCH($F537,'#建筑消耗和buff配置索引'!$M:$M,0))</f>
        <v>38833</v>
      </c>
      <c r="AB537" s="133">
        <f>IF(INDEX('#建筑消耗和buff配置索引'!AR:AR,MATCH($F537,'#建筑消耗和buff配置索引'!$M:$M,0))=0,"",INDEX('#建筑消耗和buff配置索引'!AR:AR,MATCH($F537,'#建筑消耗和buff配置索引'!$M:$M,0)))</f>
        <v>10000601</v>
      </c>
      <c r="AC537" s="133">
        <f>IF(AB537="","",INDEX('#建筑消耗和buff配置索引'!AS:AS,MATCH($F537,'#建筑消耗和buff配置索引'!$M:$M,0)))</f>
        <v>75</v>
      </c>
      <c r="AD537" s="133"/>
      <c r="AE537" s="133"/>
      <c r="AF537" s="133">
        <f>IF(INDEX('#建筑消耗和buff配置索引'!AW:AW,MATCH($F537,'#建筑消耗和buff配置索引'!$M:$M,0))=0,"",INDEX('#建筑消耗和buff配置索引'!AW:AW,MATCH($F537,'#建筑消耗和buff配置索引'!$M:$M,0)))</f>
        <v>10000701</v>
      </c>
      <c r="AG537" s="133">
        <f>IF(AF537="","",INDEX('#建筑消耗和buff配置索引'!AX:AX,MATCH($F537,'#建筑消耗和buff配置索引'!$M:$M,0)))</f>
        <v>0.38</v>
      </c>
      <c r="AH537" s="133"/>
      <c r="AI537" s="133"/>
      <c r="AJ537" s="133" t="str">
        <f>IF(INDEX('#建筑消耗和buff配置索引'!BB:BB,MATCH($F537,'#建筑消耗和buff配置索引'!$M:$M,0))=0,"",INDEX('#建筑消耗和buff配置索引'!BB:BB,MATCH($F537,'#建筑消耗和buff配置索引'!$M:$M,0)))</f>
        <v/>
      </c>
      <c r="AK537" s="133" t="str">
        <f>IF(AJ537="","",INDEX('#建筑消耗和buff配置索引'!BC:BC,MATCH($F537,'#建筑消耗和buff配置索引'!$M:$M,0)))</f>
        <v/>
      </c>
      <c r="AL537" s="133"/>
      <c r="AM537" s="133"/>
      <c r="AN537" s="133" t="str">
        <f>IF(INDEX('#建筑消耗和buff配置索引'!BG:BG,MATCH($F537,'#建筑消耗和buff配置索引'!$M:$M,0))=0,"",INDEX('#建筑消耗和buff配置索引'!BG:BG,MATCH($F537,'#建筑消耗和buff配置索引'!$M:$M,0)))</f>
        <v/>
      </c>
      <c r="AO537" s="133" t="str">
        <f>IF(AN537="","",INDEX('#建筑消耗和buff配置索引'!BH:BH,MATCH($F537,'#建筑消耗和buff配置索引'!$M:$M,0)))</f>
        <v/>
      </c>
      <c r="AP537" s="133"/>
      <c r="AQ537" s="133"/>
      <c r="AR537" s="133" t="str">
        <f>IF(INDEX('#建筑消耗和buff配置索引'!BK:BK,MATCH($F537,'#建筑消耗和buff配置索引'!$M:$M,0))=0,"",INDEX('#建筑消耗和buff配置索引'!BK:BK,MATCH($F537,'#建筑消耗和buff配置索引'!$M:$M,0)))</f>
        <v/>
      </c>
      <c r="AS537" s="133" t="str">
        <f>IF(AR537="","",INDEX('#建筑消耗和buff配置索引'!BL:BL,MATCH($F537,'#建筑消耗和buff配置索引'!$M:$M,0)))</f>
        <v/>
      </c>
      <c r="AT537" s="133"/>
      <c r="AU537" s="133"/>
      <c r="AV537" s="133" t="str">
        <f>IF(INDEX('#建筑消耗和buff配置索引'!BO:BO,MATCH($F537,'#建筑消耗和buff配置索引'!$M:$M,0))=0,"",INDEX('#建筑消耗和buff配置索引'!BO:BO,MATCH($F537,'#建筑消耗和buff配置索引'!$M:$M,0)))</f>
        <v/>
      </c>
      <c r="AW537" s="133" t="str">
        <f>IF(AV537="","",INDEX('#建筑消耗和buff配置索引'!BP:BP,MATCH($F537,'#建筑消耗和buff配置索引'!$M:$M,0)))</f>
        <v/>
      </c>
      <c r="AX537" s="133"/>
      <c r="AY537" s="133"/>
      <c r="AZ537" s="133" t="str">
        <f>IF(INDEX('#建筑消耗和buff配置索引'!BS:BS,MATCH($F537,'#建筑消耗和buff配置索引'!$M:$M,0))=0,"",INDEX('#建筑消耗和buff配置索引'!BS:BS,MATCH($F537,'#建筑消耗和buff配置索引'!$M:$M,0)))</f>
        <v/>
      </c>
      <c r="BA537" s="133" t="str">
        <f>IF(AZ537="","",INDEX('#建筑消耗和buff配置索引'!BT:BT,MATCH($F537,'#建筑消耗和buff配置索引'!$M:$M,0)))</f>
        <v/>
      </c>
      <c r="BB537" s="133"/>
      <c r="BC537" s="133"/>
      <c r="BD537" s="133" t="str">
        <f>IF(INDEX('#建筑消耗和buff配置索引'!BW:BW,MATCH($F537,'#建筑消耗和buff配置索引'!$M:$M,0))=0,"",INDEX('#建筑消耗和buff配置索引'!BW:BW,MATCH($F537,'#建筑消耗和buff配置索引'!$M:$M,0)))</f>
        <v/>
      </c>
      <c r="BE537" s="133" t="str">
        <f>IF(BD537="","",INDEX('#建筑消耗和buff配置索引'!BX:BX,MATCH($F537,'#建筑消耗和buff配置索引'!$M:$M,0)))</f>
        <v/>
      </c>
      <c r="BF537" s="133"/>
      <c r="BG537" s="133"/>
      <c r="BH537" s="133"/>
      <c r="BI537" s="133">
        <v>24</v>
      </c>
      <c r="BJ537" s="133"/>
    </row>
    <row r="538" spans="1:62">
      <c r="A538" s="133">
        <v>2370020</v>
      </c>
      <c r="B538" s="133">
        <v>535</v>
      </c>
      <c r="C538" s="133">
        <v>237</v>
      </c>
      <c r="D538" s="133" t="s">
        <v>565</v>
      </c>
      <c r="E538" s="133">
        <v>20</v>
      </c>
      <c r="F538" s="133" t="str">
        <f t="shared" si="9"/>
        <v>酒馆20</v>
      </c>
      <c r="G538" s="133"/>
      <c r="H538" s="146"/>
      <c r="I538" s="133" t="s">
        <v>1205</v>
      </c>
      <c r="J538" s="150">
        <f>INDEX('#建筑消耗和buff配置索引'!AH:AH,MATCH($F538,'#建筑消耗和buff配置索引'!$M:$M,0))</f>
        <v>103680</v>
      </c>
      <c r="K538" s="150">
        <f>INDEX('#建筑消耗和buff配置索引'!AA:AA,MATCH($F538,'#建筑消耗和buff配置索引'!$M:$M,0))</f>
        <v>980000</v>
      </c>
      <c r="L538" s="150">
        <f>INDEX('#建筑消耗和buff配置索引'!AB:AB,MATCH($F538,'#建筑消耗和buff配置索引'!$M:$M,0))</f>
        <v>2000000</v>
      </c>
      <c r="M538" s="150">
        <f>INDEX('#建筑消耗和buff配置索引'!AC:AC,MATCH($F538,'#建筑消耗和buff配置索引'!$M:$M,0))</f>
        <v>2000000</v>
      </c>
      <c r="N538" s="150">
        <f>INDEX('#建筑消耗和buff配置索引'!AD:AD,MATCH($F538,'#建筑消耗和buff配置索引'!$M:$M,0))</f>
        <v>980000</v>
      </c>
      <c r="O538" s="150" t="str">
        <f>IF(INDEX('#建筑消耗和buff配置索引'!T:T,MATCH($F538,'#建筑消耗和buff配置索引'!$M:$M,0))=0,"",INDEX('#建筑消耗和buff配置索引'!T:T,MATCH($F538,'#建筑消耗和buff配置索引'!$M:$M,0)))</f>
        <v/>
      </c>
      <c r="P538" s="133" t="str">
        <f>IF(INDEX('#建筑消耗和buff配置索引'!U:U,MATCH($F538,'#建筑消耗和buff配置索引'!$M:$M,0))=0,"",INDEX('#建筑消耗和buff配置索引'!U:U,MATCH($F538,'#建筑消耗和buff配置索引'!$M:$M,0)))</f>
        <v/>
      </c>
      <c r="Q538" s="133" t="str">
        <f>IF(INDEX('#建筑消耗和buff配置索引'!K:K,MATCH($F538,'#建筑消耗和buff配置索引'!$M:$M,0))=0,"",INDEX('#建筑消耗和buff配置索引'!K:K,MATCH($F538,'#建筑消耗和buff配置索引'!$M:$M,0)))</f>
        <v>201</v>
      </c>
      <c r="R538" s="133" t="str">
        <f>IF(INDEX('#建筑消耗和buff配置索引'!L:L,MATCH($F538,'#建筑消耗和buff配置索引'!$M:$M,0))=0,"",INDEX('#建筑消耗和buff配置索引'!L:L,MATCH($F538,'#建筑消耗和buff配置索引'!$M:$M,0)))</f>
        <v>20</v>
      </c>
      <c r="S538" s="133">
        <f>IF(INDEX('#建筑消耗和buff配置索引'!C:C,MATCH(F538,'#建筑消耗和buff配置索引'!M:M,0))=0,1,INDEX('#建筑消耗和buff配置索引'!C:C,MATCH(F538,'#建筑消耗和buff配置索引'!M:M,0)))</f>
        <v>1</v>
      </c>
      <c r="T538" s="133">
        <v>0</v>
      </c>
      <c r="U538" s="133">
        <v>0</v>
      </c>
      <c r="V538" s="133" t="str">
        <f>IF(E538=1,IF(INDEX('#建筑消耗和buff配置索引'!BY:BY,MATCH(D538,'#建筑消耗和buff配置索引'!A:A,0))=0,"",INDEX('#建筑消耗和buff配置索引'!BY:BY,MATCH(D538,'#建筑消耗和buff配置索引'!A:A,0))),"")</f>
        <v/>
      </c>
      <c r="W538" s="133" t="str">
        <f>IF(E538=1,IF(INDEX('#建筑消耗和buff配置索引'!BZ:BZ,MATCH(D538,'#建筑消耗和buff配置索引'!A:A,0))=0,"",INDEX('#建筑消耗和buff配置索引'!BZ:BZ,MATCH(D538,'#建筑消耗和buff配置索引'!A:A,0))),"")</f>
        <v/>
      </c>
      <c r="X538" s="133"/>
      <c r="Y538" s="133"/>
      <c r="Z538" s="133"/>
      <c r="AA538" s="133">
        <f>INDEX('#建筑消耗和buff配置索引'!AO:AO,MATCH($F538,'#建筑消耗和buff配置索引'!$M:$M,0))</f>
        <v>50611</v>
      </c>
      <c r="AB538" s="133">
        <f>IF(INDEX('#建筑消耗和buff配置索引'!AR:AR,MATCH($F538,'#建筑消耗和buff配置索引'!$M:$M,0))=0,"",INDEX('#建筑消耗和buff配置索引'!AR:AR,MATCH($F538,'#建筑消耗和buff配置索引'!$M:$M,0)))</f>
        <v>10000601</v>
      </c>
      <c r="AC538" s="133">
        <f>IF(AB538="","",INDEX('#建筑消耗和buff配置索引'!AS:AS,MATCH($F538,'#建筑消耗和buff配置索引'!$M:$M,0)))</f>
        <v>80</v>
      </c>
      <c r="AD538" s="133"/>
      <c r="AE538" s="133"/>
      <c r="AF538" s="133">
        <f>IF(INDEX('#建筑消耗和buff配置索引'!AW:AW,MATCH($F538,'#建筑消耗和buff配置索引'!$M:$M,0))=0,"",INDEX('#建筑消耗和buff配置索引'!AW:AW,MATCH($F538,'#建筑消耗和buff配置索引'!$M:$M,0)))</f>
        <v>10000701</v>
      </c>
      <c r="AG538" s="133">
        <f>IF(AF538="","",INDEX('#建筑消耗和buff配置索引'!AX:AX,MATCH($F538,'#建筑消耗和buff配置索引'!$M:$M,0)))</f>
        <v>0.4</v>
      </c>
      <c r="AH538" s="133"/>
      <c r="AI538" s="133"/>
      <c r="AJ538" s="133" t="str">
        <f>IF(INDEX('#建筑消耗和buff配置索引'!BB:BB,MATCH($F538,'#建筑消耗和buff配置索引'!$M:$M,0))=0,"",INDEX('#建筑消耗和buff配置索引'!BB:BB,MATCH($F538,'#建筑消耗和buff配置索引'!$M:$M,0)))</f>
        <v/>
      </c>
      <c r="AK538" s="133" t="str">
        <f>IF(AJ538="","",INDEX('#建筑消耗和buff配置索引'!BC:BC,MATCH($F538,'#建筑消耗和buff配置索引'!$M:$M,0)))</f>
        <v/>
      </c>
      <c r="AL538" s="133"/>
      <c r="AM538" s="133"/>
      <c r="AN538" s="133" t="str">
        <f>IF(INDEX('#建筑消耗和buff配置索引'!BG:BG,MATCH($F538,'#建筑消耗和buff配置索引'!$M:$M,0))=0,"",INDEX('#建筑消耗和buff配置索引'!BG:BG,MATCH($F538,'#建筑消耗和buff配置索引'!$M:$M,0)))</f>
        <v/>
      </c>
      <c r="AO538" s="133" t="str">
        <f>IF(AN538="","",INDEX('#建筑消耗和buff配置索引'!BH:BH,MATCH($F538,'#建筑消耗和buff配置索引'!$M:$M,0)))</f>
        <v/>
      </c>
      <c r="AP538" s="133"/>
      <c r="AQ538" s="133"/>
      <c r="AR538" s="133" t="str">
        <f>IF(INDEX('#建筑消耗和buff配置索引'!BK:BK,MATCH($F538,'#建筑消耗和buff配置索引'!$M:$M,0))=0,"",INDEX('#建筑消耗和buff配置索引'!BK:BK,MATCH($F538,'#建筑消耗和buff配置索引'!$M:$M,0)))</f>
        <v/>
      </c>
      <c r="AS538" s="133" t="str">
        <f>IF(AR538="","",INDEX('#建筑消耗和buff配置索引'!BL:BL,MATCH($F538,'#建筑消耗和buff配置索引'!$M:$M,0)))</f>
        <v/>
      </c>
      <c r="AT538" s="133"/>
      <c r="AU538" s="133"/>
      <c r="AV538" s="133" t="str">
        <f>IF(INDEX('#建筑消耗和buff配置索引'!BO:BO,MATCH($F538,'#建筑消耗和buff配置索引'!$M:$M,0))=0,"",INDEX('#建筑消耗和buff配置索引'!BO:BO,MATCH($F538,'#建筑消耗和buff配置索引'!$M:$M,0)))</f>
        <v/>
      </c>
      <c r="AW538" s="133" t="str">
        <f>IF(AV538="","",INDEX('#建筑消耗和buff配置索引'!BP:BP,MATCH($F538,'#建筑消耗和buff配置索引'!$M:$M,0)))</f>
        <v/>
      </c>
      <c r="AX538" s="133"/>
      <c r="AY538" s="133"/>
      <c r="AZ538" s="133" t="str">
        <f>IF(INDEX('#建筑消耗和buff配置索引'!BS:BS,MATCH($F538,'#建筑消耗和buff配置索引'!$M:$M,0))=0,"",INDEX('#建筑消耗和buff配置索引'!BS:BS,MATCH($F538,'#建筑消耗和buff配置索引'!$M:$M,0)))</f>
        <v/>
      </c>
      <c r="BA538" s="133" t="str">
        <f>IF(AZ538="","",INDEX('#建筑消耗和buff配置索引'!BT:BT,MATCH($F538,'#建筑消耗和buff配置索引'!$M:$M,0)))</f>
        <v/>
      </c>
      <c r="BB538" s="133"/>
      <c r="BC538" s="133"/>
      <c r="BD538" s="133" t="str">
        <f>IF(INDEX('#建筑消耗和buff配置索引'!BW:BW,MATCH($F538,'#建筑消耗和buff配置索引'!$M:$M,0))=0,"",INDEX('#建筑消耗和buff配置索引'!BW:BW,MATCH($F538,'#建筑消耗和buff配置索引'!$M:$M,0)))</f>
        <v/>
      </c>
      <c r="BE538" s="133" t="str">
        <f>IF(BD538="","",INDEX('#建筑消耗和buff配置索引'!BX:BX,MATCH($F538,'#建筑消耗和buff配置索引'!$M:$M,0)))</f>
        <v/>
      </c>
      <c r="BF538" s="133"/>
      <c r="BG538" s="133"/>
      <c r="BH538" s="133"/>
      <c r="BI538" s="133">
        <v>24</v>
      </c>
      <c r="BJ538" s="133"/>
    </row>
    <row r="539" spans="1:62">
      <c r="A539" s="133">
        <v>2370021</v>
      </c>
      <c r="B539" s="133">
        <v>536</v>
      </c>
      <c r="C539" s="133">
        <v>237</v>
      </c>
      <c r="D539" s="133" t="s">
        <v>565</v>
      </c>
      <c r="E539" s="133">
        <v>21</v>
      </c>
      <c r="F539" s="133" t="str">
        <f t="shared" si="9"/>
        <v>酒馆21</v>
      </c>
      <c r="G539" s="133"/>
      <c r="H539" s="146"/>
      <c r="I539" s="133" t="s">
        <v>1205</v>
      </c>
      <c r="J539" s="150">
        <f>INDEX('#建筑消耗和buff配置索引'!AH:AH,MATCH($F539,'#建筑消耗和buff配置索引'!$M:$M,0))</f>
        <v>138240</v>
      </c>
      <c r="K539" s="150">
        <f>INDEX('#建筑消耗和buff配置索引'!AA:AA,MATCH($F539,'#建筑消耗和buff配置索引'!$M:$M,0))</f>
        <v>1300000</v>
      </c>
      <c r="L539" s="150">
        <f>INDEX('#建筑消耗和buff配置索引'!AB:AB,MATCH($F539,'#建筑消耗和buff配置索引'!$M:$M,0))</f>
        <v>2500000</v>
      </c>
      <c r="M539" s="150">
        <f>INDEX('#建筑消耗和buff配置索引'!AC:AC,MATCH($F539,'#建筑消耗和buff配置索引'!$M:$M,0))</f>
        <v>2500000</v>
      </c>
      <c r="N539" s="150">
        <f>INDEX('#建筑消耗和buff配置索引'!AD:AD,MATCH($F539,'#建筑消耗和buff配置索引'!$M:$M,0))</f>
        <v>1300000</v>
      </c>
      <c r="O539" s="150" t="str">
        <f>IF(INDEX('#建筑消耗和buff配置索引'!T:T,MATCH($F539,'#建筑消耗和buff配置索引'!$M:$M,0))=0,"",INDEX('#建筑消耗和buff配置索引'!T:T,MATCH($F539,'#建筑消耗和buff配置索引'!$M:$M,0)))</f>
        <v/>
      </c>
      <c r="P539" s="133" t="str">
        <f>IF(INDEX('#建筑消耗和buff配置索引'!U:U,MATCH($F539,'#建筑消耗和buff配置索引'!$M:$M,0))=0,"",INDEX('#建筑消耗和buff配置索引'!U:U,MATCH($F539,'#建筑消耗和buff配置索引'!$M:$M,0)))</f>
        <v/>
      </c>
      <c r="Q539" s="133" t="str">
        <f>IF(INDEX('#建筑消耗和buff配置索引'!K:K,MATCH($F539,'#建筑消耗和buff配置索引'!$M:$M,0))=0,"",INDEX('#建筑消耗和buff配置索引'!K:K,MATCH($F539,'#建筑消耗和buff配置索引'!$M:$M,0)))</f>
        <v>201</v>
      </c>
      <c r="R539" s="133" t="str">
        <f>IF(INDEX('#建筑消耗和buff配置索引'!L:L,MATCH($F539,'#建筑消耗和buff配置索引'!$M:$M,0))=0,"",INDEX('#建筑消耗和buff配置索引'!L:L,MATCH($F539,'#建筑消耗和buff配置索引'!$M:$M,0)))</f>
        <v>21</v>
      </c>
      <c r="S539" s="133">
        <f>IF(INDEX('#建筑消耗和buff配置索引'!C:C,MATCH(F539,'#建筑消耗和buff配置索引'!M:M,0))=0,1,INDEX('#建筑消耗和buff配置索引'!C:C,MATCH(F539,'#建筑消耗和buff配置索引'!M:M,0)))</f>
        <v>1</v>
      </c>
      <c r="T539" s="133">
        <v>0</v>
      </c>
      <c r="U539" s="133">
        <v>0</v>
      </c>
      <c r="V539" s="133" t="str">
        <f>IF(E539=1,IF(INDEX('#建筑消耗和buff配置索引'!BY:BY,MATCH(D539,'#建筑消耗和buff配置索引'!A:A,0))=0,"",INDEX('#建筑消耗和buff配置索引'!BY:BY,MATCH(D539,'#建筑消耗和buff配置索引'!A:A,0))),"")</f>
        <v/>
      </c>
      <c r="W539" s="133" t="str">
        <f>IF(E539=1,IF(INDEX('#建筑消耗和buff配置索引'!BZ:BZ,MATCH(D539,'#建筑消耗和buff配置索引'!A:A,0))=0,"",INDEX('#建筑消耗和buff配置索引'!BZ:BZ,MATCH(D539,'#建筑消耗和buff配置索引'!A:A,0))),"")</f>
        <v/>
      </c>
      <c r="X539" s="133"/>
      <c r="Y539" s="133"/>
      <c r="Z539" s="133"/>
      <c r="AA539" s="133">
        <f>INDEX('#建筑消耗和buff配置索引'!AO:AO,MATCH($F539,'#建筑消耗和buff配置索引'!$M:$M,0))</f>
        <v>65687</v>
      </c>
      <c r="AB539" s="133">
        <f>IF(INDEX('#建筑消耗和buff配置索引'!AR:AR,MATCH($F539,'#建筑消耗和buff配置索引'!$M:$M,0))=0,"",INDEX('#建筑消耗和buff配置索引'!AR:AR,MATCH($F539,'#建筑消耗和buff配置索引'!$M:$M,0)))</f>
        <v>10000601</v>
      </c>
      <c r="AC539" s="133">
        <f>IF(AB539="","",INDEX('#建筑消耗和buff配置索引'!AS:AS,MATCH($F539,'#建筑消耗和buff配置索引'!$M:$M,0)))</f>
        <v>85</v>
      </c>
      <c r="AD539" s="133"/>
      <c r="AE539" s="133"/>
      <c r="AF539" s="133">
        <f>IF(INDEX('#建筑消耗和buff配置索引'!AW:AW,MATCH($F539,'#建筑消耗和buff配置索引'!$M:$M,0))=0,"",INDEX('#建筑消耗和buff配置索引'!AW:AW,MATCH($F539,'#建筑消耗和buff配置索引'!$M:$M,0)))</f>
        <v>10000701</v>
      </c>
      <c r="AG539" s="133">
        <f>IF(AF539="","",INDEX('#建筑消耗和buff配置索引'!AX:AX,MATCH($F539,'#建筑消耗和buff配置索引'!$M:$M,0)))</f>
        <v>0.42</v>
      </c>
      <c r="AH539" s="133"/>
      <c r="AI539" s="133"/>
      <c r="AJ539" s="133" t="str">
        <f>IF(INDEX('#建筑消耗和buff配置索引'!BB:BB,MATCH($F539,'#建筑消耗和buff配置索引'!$M:$M,0))=0,"",INDEX('#建筑消耗和buff配置索引'!BB:BB,MATCH($F539,'#建筑消耗和buff配置索引'!$M:$M,0)))</f>
        <v/>
      </c>
      <c r="AK539" s="133" t="str">
        <f>IF(AJ539="","",INDEX('#建筑消耗和buff配置索引'!BC:BC,MATCH($F539,'#建筑消耗和buff配置索引'!$M:$M,0)))</f>
        <v/>
      </c>
      <c r="AL539" s="133"/>
      <c r="AM539" s="133"/>
      <c r="AN539" s="133" t="str">
        <f>IF(INDEX('#建筑消耗和buff配置索引'!BG:BG,MATCH($F539,'#建筑消耗和buff配置索引'!$M:$M,0))=0,"",INDEX('#建筑消耗和buff配置索引'!BG:BG,MATCH($F539,'#建筑消耗和buff配置索引'!$M:$M,0)))</f>
        <v/>
      </c>
      <c r="AO539" s="133" t="str">
        <f>IF(AN539="","",INDEX('#建筑消耗和buff配置索引'!BH:BH,MATCH($F539,'#建筑消耗和buff配置索引'!$M:$M,0)))</f>
        <v/>
      </c>
      <c r="AP539" s="133"/>
      <c r="AQ539" s="133"/>
      <c r="AR539" s="133" t="str">
        <f>IF(INDEX('#建筑消耗和buff配置索引'!BK:BK,MATCH($F539,'#建筑消耗和buff配置索引'!$M:$M,0))=0,"",INDEX('#建筑消耗和buff配置索引'!BK:BK,MATCH($F539,'#建筑消耗和buff配置索引'!$M:$M,0)))</f>
        <v/>
      </c>
      <c r="AS539" s="133" t="str">
        <f>IF(AR539="","",INDEX('#建筑消耗和buff配置索引'!BL:BL,MATCH($F539,'#建筑消耗和buff配置索引'!$M:$M,0)))</f>
        <v/>
      </c>
      <c r="AT539" s="133"/>
      <c r="AU539" s="133"/>
      <c r="AV539" s="133" t="str">
        <f>IF(INDEX('#建筑消耗和buff配置索引'!BO:BO,MATCH($F539,'#建筑消耗和buff配置索引'!$M:$M,0))=0,"",INDEX('#建筑消耗和buff配置索引'!BO:BO,MATCH($F539,'#建筑消耗和buff配置索引'!$M:$M,0)))</f>
        <v/>
      </c>
      <c r="AW539" s="133" t="str">
        <f>IF(AV539="","",INDEX('#建筑消耗和buff配置索引'!BP:BP,MATCH($F539,'#建筑消耗和buff配置索引'!$M:$M,0)))</f>
        <v/>
      </c>
      <c r="AX539" s="133"/>
      <c r="AY539" s="133"/>
      <c r="AZ539" s="133" t="str">
        <f>IF(INDEX('#建筑消耗和buff配置索引'!BS:BS,MATCH($F539,'#建筑消耗和buff配置索引'!$M:$M,0))=0,"",INDEX('#建筑消耗和buff配置索引'!BS:BS,MATCH($F539,'#建筑消耗和buff配置索引'!$M:$M,0)))</f>
        <v/>
      </c>
      <c r="BA539" s="133" t="str">
        <f>IF(AZ539="","",INDEX('#建筑消耗和buff配置索引'!BT:BT,MATCH($F539,'#建筑消耗和buff配置索引'!$M:$M,0)))</f>
        <v/>
      </c>
      <c r="BB539" s="133"/>
      <c r="BC539" s="133"/>
      <c r="BD539" s="133" t="str">
        <f>IF(INDEX('#建筑消耗和buff配置索引'!BW:BW,MATCH($F539,'#建筑消耗和buff配置索引'!$M:$M,0))=0,"",INDEX('#建筑消耗和buff配置索引'!BW:BW,MATCH($F539,'#建筑消耗和buff配置索引'!$M:$M,0)))</f>
        <v/>
      </c>
      <c r="BE539" s="133" t="str">
        <f>IF(BD539="","",INDEX('#建筑消耗和buff配置索引'!BX:BX,MATCH($F539,'#建筑消耗和buff配置索引'!$M:$M,0)))</f>
        <v/>
      </c>
      <c r="BF539" s="133"/>
      <c r="BG539" s="133"/>
      <c r="BH539" s="133"/>
      <c r="BI539" s="133">
        <v>24</v>
      </c>
      <c r="BJ539" s="133"/>
    </row>
    <row r="540" spans="1:62">
      <c r="A540" s="133">
        <v>2370022</v>
      </c>
      <c r="B540" s="133">
        <v>537</v>
      </c>
      <c r="C540" s="133">
        <v>237</v>
      </c>
      <c r="D540" s="133" t="s">
        <v>565</v>
      </c>
      <c r="E540" s="133">
        <v>22</v>
      </c>
      <c r="F540" s="133" t="str">
        <f t="shared" si="9"/>
        <v>酒馆22</v>
      </c>
      <c r="G540" s="133"/>
      <c r="H540" s="146"/>
      <c r="I540" s="133" t="s">
        <v>1205</v>
      </c>
      <c r="J540" s="150">
        <f>INDEX('#建筑消耗和buff配置索引'!AH:AH,MATCH($F540,'#建筑消耗和buff配置索引'!$M:$M,0))</f>
        <v>181440</v>
      </c>
      <c r="K540" s="150">
        <f>INDEX('#建筑消耗和buff配置索引'!AA:AA,MATCH($F540,'#建筑消耗和buff配置索引'!$M:$M,0))</f>
        <v>1600000</v>
      </c>
      <c r="L540" s="150">
        <f>INDEX('#建筑消耗和buff配置索引'!AB:AB,MATCH($F540,'#建筑消耗和buff配置索引'!$M:$M,0))</f>
        <v>3200000</v>
      </c>
      <c r="M540" s="150">
        <f>INDEX('#建筑消耗和buff配置索引'!AC:AC,MATCH($F540,'#建筑消耗和buff配置索引'!$M:$M,0))</f>
        <v>3200000</v>
      </c>
      <c r="N540" s="150">
        <f>INDEX('#建筑消耗和buff配置索引'!AD:AD,MATCH($F540,'#建筑消耗和buff配置索引'!$M:$M,0))</f>
        <v>1600000</v>
      </c>
      <c r="O540" s="150" t="str">
        <f>IF(INDEX('#建筑消耗和buff配置索引'!T:T,MATCH($F540,'#建筑消耗和buff配置索引'!$M:$M,0))=0,"",INDEX('#建筑消耗和buff配置索引'!T:T,MATCH($F540,'#建筑消耗和buff配置索引'!$M:$M,0)))</f>
        <v/>
      </c>
      <c r="P540" s="133" t="str">
        <f>IF(INDEX('#建筑消耗和buff配置索引'!U:U,MATCH($F540,'#建筑消耗和buff配置索引'!$M:$M,0))=0,"",INDEX('#建筑消耗和buff配置索引'!U:U,MATCH($F540,'#建筑消耗和buff配置索引'!$M:$M,0)))</f>
        <v/>
      </c>
      <c r="Q540" s="133" t="str">
        <f>IF(INDEX('#建筑消耗和buff配置索引'!K:K,MATCH($F540,'#建筑消耗和buff配置索引'!$M:$M,0))=0,"",INDEX('#建筑消耗和buff配置索引'!K:K,MATCH($F540,'#建筑消耗和buff配置索引'!$M:$M,0)))</f>
        <v>201</v>
      </c>
      <c r="R540" s="133" t="str">
        <f>IF(INDEX('#建筑消耗和buff配置索引'!L:L,MATCH($F540,'#建筑消耗和buff配置索引'!$M:$M,0))=0,"",INDEX('#建筑消耗和buff配置索引'!L:L,MATCH($F540,'#建筑消耗和buff配置索引'!$M:$M,0)))</f>
        <v>22</v>
      </c>
      <c r="S540" s="133">
        <f>IF(INDEX('#建筑消耗和buff配置索引'!C:C,MATCH(F540,'#建筑消耗和buff配置索引'!M:M,0))=0,1,INDEX('#建筑消耗和buff配置索引'!C:C,MATCH(F540,'#建筑消耗和buff配置索引'!M:M,0)))</f>
        <v>1</v>
      </c>
      <c r="T540" s="133">
        <v>0</v>
      </c>
      <c r="U540" s="133">
        <v>0</v>
      </c>
      <c r="V540" s="133" t="str">
        <f>IF(E540=1,IF(INDEX('#建筑消耗和buff配置索引'!BY:BY,MATCH(D540,'#建筑消耗和buff配置索引'!A:A,0))=0,"",INDEX('#建筑消耗和buff配置索引'!BY:BY,MATCH(D540,'#建筑消耗和buff配置索引'!A:A,0))),"")</f>
        <v/>
      </c>
      <c r="W540" s="133" t="str">
        <f>IF(E540=1,IF(INDEX('#建筑消耗和buff配置索引'!BZ:BZ,MATCH(D540,'#建筑消耗和buff配置索引'!A:A,0))=0,"",INDEX('#建筑消耗和buff配置索引'!BZ:BZ,MATCH(D540,'#建筑消耗和buff配置索引'!A:A,0))),"")</f>
        <v/>
      </c>
      <c r="X540" s="133"/>
      <c r="Y540" s="133"/>
      <c r="Z540" s="133"/>
      <c r="AA540" s="133">
        <f>INDEX('#建筑消耗和buff配置索引'!AO:AO,MATCH($F540,'#建筑消耗和buff配置索引'!$M:$M,0))</f>
        <v>84984</v>
      </c>
      <c r="AB540" s="133">
        <f>IF(INDEX('#建筑消耗和buff配置索引'!AR:AR,MATCH($F540,'#建筑消耗和buff配置索引'!$M:$M,0))=0,"",INDEX('#建筑消耗和buff配置索引'!AR:AR,MATCH($F540,'#建筑消耗和buff配置索引'!$M:$M,0)))</f>
        <v>10000601</v>
      </c>
      <c r="AC540" s="133">
        <f>IF(AB540="","",INDEX('#建筑消耗和buff配置索引'!AS:AS,MATCH($F540,'#建筑消耗和buff配置索引'!$M:$M,0)))</f>
        <v>90</v>
      </c>
      <c r="AD540" s="133"/>
      <c r="AE540" s="133"/>
      <c r="AF540" s="133">
        <f>IF(INDEX('#建筑消耗和buff配置索引'!AW:AW,MATCH($F540,'#建筑消耗和buff配置索引'!$M:$M,0))=0,"",INDEX('#建筑消耗和buff配置索引'!AW:AW,MATCH($F540,'#建筑消耗和buff配置索引'!$M:$M,0)))</f>
        <v>10000701</v>
      </c>
      <c r="AG540" s="133">
        <f>IF(AF540="","",INDEX('#建筑消耗和buff配置索引'!AX:AX,MATCH($F540,'#建筑消耗和buff配置索引'!$M:$M,0)))</f>
        <v>0.44</v>
      </c>
      <c r="AH540" s="133"/>
      <c r="AI540" s="133"/>
      <c r="AJ540" s="133" t="str">
        <f>IF(INDEX('#建筑消耗和buff配置索引'!BB:BB,MATCH($F540,'#建筑消耗和buff配置索引'!$M:$M,0))=0,"",INDEX('#建筑消耗和buff配置索引'!BB:BB,MATCH($F540,'#建筑消耗和buff配置索引'!$M:$M,0)))</f>
        <v/>
      </c>
      <c r="AK540" s="133" t="str">
        <f>IF(AJ540="","",INDEX('#建筑消耗和buff配置索引'!BC:BC,MATCH($F540,'#建筑消耗和buff配置索引'!$M:$M,0)))</f>
        <v/>
      </c>
      <c r="AL540" s="133"/>
      <c r="AM540" s="133"/>
      <c r="AN540" s="133" t="str">
        <f>IF(INDEX('#建筑消耗和buff配置索引'!BG:BG,MATCH($F540,'#建筑消耗和buff配置索引'!$M:$M,0))=0,"",INDEX('#建筑消耗和buff配置索引'!BG:BG,MATCH($F540,'#建筑消耗和buff配置索引'!$M:$M,0)))</f>
        <v/>
      </c>
      <c r="AO540" s="133" t="str">
        <f>IF(AN540="","",INDEX('#建筑消耗和buff配置索引'!BH:BH,MATCH($F540,'#建筑消耗和buff配置索引'!$M:$M,0)))</f>
        <v/>
      </c>
      <c r="AP540" s="133"/>
      <c r="AQ540" s="133"/>
      <c r="AR540" s="133" t="str">
        <f>IF(INDEX('#建筑消耗和buff配置索引'!BK:BK,MATCH($F540,'#建筑消耗和buff配置索引'!$M:$M,0))=0,"",INDEX('#建筑消耗和buff配置索引'!BK:BK,MATCH($F540,'#建筑消耗和buff配置索引'!$M:$M,0)))</f>
        <v/>
      </c>
      <c r="AS540" s="133" t="str">
        <f>IF(AR540="","",INDEX('#建筑消耗和buff配置索引'!BL:BL,MATCH($F540,'#建筑消耗和buff配置索引'!$M:$M,0)))</f>
        <v/>
      </c>
      <c r="AT540" s="133"/>
      <c r="AU540" s="133"/>
      <c r="AV540" s="133" t="str">
        <f>IF(INDEX('#建筑消耗和buff配置索引'!BO:BO,MATCH($F540,'#建筑消耗和buff配置索引'!$M:$M,0))=0,"",INDEX('#建筑消耗和buff配置索引'!BO:BO,MATCH($F540,'#建筑消耗和buff配置索引'!$M:$M,0)))</f>
        <v/>
      </c>
      <c r="AW540" s="133" t="str">
        <f>IF(AV540="","",INDEX('#建筑消耗和buff配置索引'!BP:BP,MATCH($F540,'#建筑消耗和buff配置索引'!$M:$M,0)))</f>
        <v/>
      </c>
      <c r="AX540" s="133"/>
      <c r="AY540" s="133"/>
      <c r="AZ540" s="133" t="str">
        <f>IF(INDEX('#建筑消耗和buff配置索引'!BS:BS,MATCH($F540,'#建筑消耗和buff配置索引'!$M:$M,0))=0,"",INDEX('#建筑消耗和buff配置索引'!BS:BS,MATCH($F540,'#建筑消耗和buff配置索引'!$M:$M,0)))</f>
        <v/>
      </c>
      <c r="BA540" s="133" t="str">
        <f>IF(AZ540="","",INDEX('#建筑消耗和buff配置索引'!BT:BT,MATCH($F540,'#建筑消耗和buff配置索引'!$M:$M,0)))</f>
        <v/>
      </c>
      <c r="BB540" s="133"/>
      <c r="BC540" s="133"/>
      <c r="BD540" s="133" t="str">
        <f>IF(INDEX('#建筑消耗和buff配置索引'!BW:BW,MATCH($F540,'#建筑消耗和buff配置索引'!$M:$M,0))=0,"",INDEX('#建筑消耗和buff配置索引'!BW:BW,MATCH($F540,'#建筑消耗和buff配置索引'!$M:$M,0)))</f>
        <v/>
      </c>
      <c r="BE540" s="133" t="str">
        <f>IF(BD540="","",INDEX('#建筑消耗和buff配置索引'!BX:BX,MATCH($F540,'#建筑消耗和buff配置索引'!$M:$M,0)))</f>
        <v/>
      </c>
      <c r="BF540" s="133"/>
      <c r="BG540" s="133"/>
      <c r="BH540" s="133"/>
      <c r="BI540" s="133">
        <v>24</v>
      </c>
      <c r="BJ540" s="133"/>
    </row>
    <row r="541" spans="1:62">
      <c r="A541" s="133">
        <v>2370023</v>
      </c>
      <c r="B541" s="133">
        <v>538</v>
      </c>
      <c r="C541" s="133">
        <v>237</v>
      </c>
      <c r="D541" s="133" t="s">
        <v>565</v>
      </c>
      <c r="E541" s="133">
        <v>23</v>
      </c>
      <c r="F541" s="133" t="str">
        <f t="shared" si="9"/>
        <v>酒馆23</v>
      </c>
      <c r="G541" s="133"/>
      <c r="H541" s="146"/>
      <c r="I541" s="133" t="s">
        <v>1205</v>
      </c>
      <c r="J541" s="150">
        <f>INDEX('#建筑消耗和buff配置索引'!AH:AH,MATCH($F541,'#建筑消耗和buff配置索引'!$M:$M,0))</f>
        <v>233280</v>
      </c>
      <c r="K541" s="150">
        <f>INDEX('#建筑消耗和buff配置索引'!AA:AA,MATCH($F541,'#建筑消耗和buff配置索引'!$M:$M,0))</f>
        <v>2100000</v>
      </c>
      <c r="L541" s="150">
        <f>INDEX('#建筑消耗和buff配置索引'!AB:AB,MATCH($F541,'#建筑消耗和buff配置索引'!$M:$M,0))</f>
        <v>4100000</v>
      </c>
      <c r="M541" s="150">
        <f>INDEX('#建筑消耗和buff配置索引'!AC:AC,MATCH($F541,'#建筑消耗和buff配置索引'!$M:$M,0))</f>
        <v>4100000</v>
      </c>
      <c r="N541" s="150">
        <f>INDEX('#建筑消耗和buff配置索引'!AD:AD,MATCH($F541,'#建筑消耗和buff配置索引'!$M:$M,0))</f>
        <v>2100000</v>
      </c>
      <c r="O541" s="150" t="str">
        <f>IF(INDEX('#建筑消耗和buff配置索引'!T:T,MATCH($F541,'#建筑消耗和buff配置索引'!$M:$M,0))=0,"",INDEX('#建筑消耗和buff配置索引'!T:T,MATCH($F541,'#建筑消耗和buff配置索引'!$M:$M,0)))</f>
        <v/>
      </c>
      <c r="P541" s="133" t="str">
        <f>IF(INDEX('#建筑消耗和buff配置索引'!U:U,MATCH($F541,'#建筑消耗和buff配置索引'!$M:$M,0))=0,"",INDEX('#建筑消耗和buff配置索引'!U:U,MATCH($F541,'#建筑消耗和buff配置索引'!$M:$M,0)))</f>
        <v/>
      </c>
      <c r="Q541" s="133" t="str">
        <f>IF(INDEX('#建筑消耗和buff配置索引'!K:K,MATCH($F541,'#建筑消耗和buff配置索引'!$M:$M,0))=0,"",INDEX('#建筑消耗和buff配置索引'!K:K,MATCH($F541,'#建筑消耗和buff配置索引'!$M:$M,0)))</f>
        <v>201</v>
      </c>
      <c r="R541" s="133" t="str">
        <f>IF(INDEX('#建筑消耗和buff配置索引'!L:L,MATCH($F541,'#建筑消耗和buff配置索引'!$M:$M,0))=0,"",INDEX('#建筑消耗和buff配置索引'!L:L,MATCH($F541,'#建筑消耗和buff配置索引'!$M:$M,0)))</f>
        <v>23</v>
      </c>
      <c r="S541" s="133">
        <f>IF(INDEX('#建筑消耗和buff配置索引'!C:C,MATCH(F541,'#建筑消耗和buff配置索引'!M:M,0))=0,1,INDEX('#建筑消耗和buff配置索引'!C:C,MATCH(F541,'#建筑消耗和buff配置索引'!M:M,0)))</f>
        <v>1</v>
      </c>
      <c r="T541" s="133">
        <v>0</v>
      </c>
      <c r="U541" s="133">
        <v>0</v>
      </c>
      <c r="V541" s="133" t="str">
        <f>IF(E541=1,IF(INDEX('#建筑消耗和buff配置索引'!BY:BY,MATCH(D541,'#建筑消耗和buff配置索引'!A:A,0))=0,"",INDEX('#建筑消耗和buff配置索引'!BY:BY,MATCH(D541,'#建筑消耗和buff配置索引'!A:A,0))),"")</f>
        <v/>
      </c>
      <c r="W541" s="133" t="str">
        <f>IF(E541=1,IF(INDEX('#建筑消耗和buff配置索引'!BZ:BZ,MATCH(D541,'#建筑消耗和buff配置索引'!A:A,0))=0,"",INDEX('#建筑消耗和buff配置索引'!BZ:BZ,MATCH(D541,'#建筑消耗和buff配置索引'!A:A,0))),"")</f>
        <v/>
      </c>
      <c r="X541" s="133"/>
      <c r="Y541" s="133"/>
      <c r="Z541" s="133"/>
      <c r="AA541" s="133">
        <f>INDEX('#建筑消耗和buff配置索引'!AO:AO,MATCH($F541,'#建筑消耗和buff配置索引'!$M:$M,0))</f>
        <v>109684</v>
      </c>
      <c r="AB541" s="133">
        <f>IF(INDEX('#建筑消耗和buff配置索引'!AR:AR,MATCH($F541,'#建筑消耗和buff配置索引'!$M:$M,0))=0,"",INDEX('#建筑消耗和buff配置索引'!AR:AR,MATCH($F541,'#建筑消耗和buff配置索引'!$M:$M,0)))</f>
        <v>10000601</v>
      </c>
      <c r="AC541" s="133">
        <f>IF(AB541="","",INDEX('#建筑消耗和buff配置索引'!AS:AS,MATCH($F541,'#建筑消耗和buff配置索引'!$M:$M,0)))</f>
        <v>95</v>
      </c>
      <c r="AD541" s="133"/>
      <c r="AE541" s="133"/>
      <c r="AF541" s="133">
        <f>IF(INDEX('#建筑消耗和buff配置索引'!AW:AW,MATCH($F541,'#建筑消耗和buff配置索引'!$M:$M,0))=0,"",INDEX('#建筑消耗和buff配置索引'!AW:AW,MATCH($F541,'#建筑消耗和buff配置索引'!$M:$M,0)))</f>
        <v>10000701</v>
      </c>
      <c r="AG541" s="133">
        <f>IF(AF541="","",INDEX('#建筑消耗和buff配置索引'!AX:AX,MATCH($F541,'#建筑消耗和buff配置索引'!$M:$M,0)))</f>
        <v>0.46</v>
      </c>
      <c r="AH541" s="133"/>
      <c r="AI541" s="133"/>
      <c r="AJ541" s="133" t="str">
        <f>IF(INDEX('#建筑消耗和buff配置索引'!BB:BB,MATCH($F541,'#建筑消耗和buff配置索引'!$M:$M,0))=0,"",INDEX('#建筑消耗和buff配置索引'!BB:BB,MATCH($F541,'#建筑消耗和buff配置索引'!$M:$M,0)))</f>
        <v/>
      </c>
      <c r="AK541" s="133" t="str">
        <f>IF(AJ541="","",INDEX('#建筑消耗和buff配置索引'!BC:BC,MATCH($F541,'#建筑消耗和buff配置索引'!$M:$M,0)))</f>
        <v/>
      </c>
      <c r="AL541" s="133"/>
      <c r="AM541" s="133"/>
      <c r="AN541" s="133" t="str">
        <f>IF(INDEX('#建筑消耗和buff配置索引'!BG:BG,MATCH($F541,'#建筑消耗和buff配置索引'!$M:$M,0))=0,"",INDEX('#建筑消耗和buff配置索引'!BG:BG,MATCH($F541,'#建筑消耗和buff配置索引'!$M:$M,0)))</f>
        <v/>
      </c>
      <c r="AO541" s="133" t="str">
        <f>IF(AN541="","",INDEX('#建筑消耗和buff配置索引'!BH:BH,MATCH($F541,'#建筑消耗和buff配置索引'!$M:$M,0)))</f>
        <v/>
      </c>
      <c r="AP541" s="133"/>
      <c r="AQ541" s="133"/>
      <c r="AR541" s="133" t="str">
        <f>IF(INDEX('#建筑消耗和buff配置索引'!BK:BK,MATCH($F541,'#建筑消耗和buff配置索引'!$M:$M,0))=0,"",INDEX('#建筑消耗和buff配置索引'!BK:BK,MATCH($F541,'#建筑消耗和buff配置索引'!$M:$M,0)))</f>
        <v/>
      </c>
      <c r="AS541" s="133" t="str">
        <f>IF(AR541="","",INDEX('#建筑消耗和buff配置索引'!BL:BL,MATCH($F541,'#建筑消耗和buff配置索引'!$M:$M,0)))</f>
        <v/>
      </c>
      <c r="AT541" s="133"/>
      <c r="AU541" s="133"/>
      <c r="AV541" s="133" t="str">
        <f>IF(INDEX('#建筑消耗和buff配置索引'!BO:BO,MATCH($F541,'#建筑消耗和buff配置索引'!$M:$M,0))=0,"",INDEX('#建筑消耗和buff配置索引'!BO:BO,MATCH($F541,'#建筑消耗和buff配置索引'!$M:$M,0)))</f>
        <v/>
      </c>
      <c r="AW541" s="133" t="str">
        <f>IF(AV541="","",INDEX('#建筑消耗和buff配置索引'!BP:BP,MATCH($F541,'#建筑消耗和buff配置索引'!$M:$M,0)))</f>
        <v/>
      </c>
      <c r="AX541" s="133"/>
      <c r="AY541" s="133"/>
      <c r="AZ541" s="133" t="str">
        <f>IF(INDEX('#建筑消耗和buff配置索引'!BS:BS,MATCH($F541,'#建筑消耗和buff配置索引'!$M:$M,0))=0,"",INDEX('#建筑消耗和buff配置索引'!BS:BS,MATCH($F541,'#建筑消耗和buff配置索引'!$M:$M,0)))</f>
        <v/>
      </c>
      <c r="BA541" s="133" t="str">
        <f>IF(AZ541="","",INDEX('#建筑消耗和buff配置索引'!BT:BT,MATCH($F541,'#建筑消耗和buff配置索引'!$M:$M,0)))</f>
        <v/>
      </c>
      <c r="BB541" s="133"/>
      <c r="BC541" s="133"/>
      <c r="BD541" s="133" t="str">
        <f>IF(INDEX('#建筑消耗和buff配置索引'!BW:BW,MATCH($F541,'#建筑消耗和buff配置索引'!$M:$M,0))=0,"",INDEX('#建筑消耗和buff配置索引'!BW:BW,MATCH($F541,'#建筑消耗和buff配置索引'!$M:$M,0)))</f>
        <v/>
      </c>
      <c r="BE541" s="133" t="str">
        <f>IF(BD541="","",INDEX('#建筑消耗和buff配置索引'!BX:BX,MATCH($F541,'#建筑消耗和buff配置索引'!$M:$M,0)))</f>
        <v/>
      </c>
      <c r="BF541" s="133"/>
      <c r="BG541" s="133"/>
      <c r="BH541" s="133"/>
      <c r="BI541" s="133">
        <v>24</v>
      </c>
      <c r="BJ541" s="133"/>
    </row>
    <row r="542" spans="1:62">
      <c r="A542" s="133">
        <v>2370024</v>
      </c>
      <c r="B542" s="133">
        <v>539</v>
      </c>
      <c r="C542" s="133">
        <v>237</v>
      </c>
      <c r="D542" s="133" t="s">
        <v>565</v>
      </c>
      <c r="E542" s="133">
        <v>24</v>
      </c>
      <c r="F542" s="133" t="str">
        <f t="shared" si="9"/>
        <v>酒馆24</v>
      </c>
      <c r="G542" s="133"/>
      <c r="H542" s="146"/>
      <c r="I542" s="133" t="s">
        <v>1205</v>
      </c>
      <c r="J542" s="150">
        <f>INDEX('#建筑消耗和buff配置索引'!AH:AH,MATCH($F542,'#建筑消耗和buff配置索引'!$M:$M,0))</f>
        <v>298080</v>
      </c>
      <c r="K542" s="150">
        <f>INDEX('#建筑消耗和buff配置索引'!AA:AA,MATCH($F542,'#建筑消耗和buff配置索引'!$M:$M,0))</f>
        <v>2600000</v>
      </c>
      <c r="L542" s="150">
        <f>INDEX('#建筑消耗和buff配置索引'!AB:AB,MATCH($F542,'#建筑消耗和buff配置索引'!$M:$M,0))</f>
        <v>5300000</v>
      </c>
      <c r="M542" s="150">
        <f>INDEX('#建筑消耗和buff配置索引'!AC:AC,MATCH($F542,'#建筑消耗和buff配置索引'!$M:$M,0))</f>
        <v>5300000</v>
      </c>
      <c r="N542" s="150">
        <f>INDEX('#建筑消耗和buff配置索引'!AD:AD,MATCH($F542,'#建筑消耗和buff配置索引'!$M:$M,0))</f>
        <v>2600000</v>
      </c>
      <c r="O542" s="150" t="str">
        <f>IF(INDEX('#建筑消耗和buff配置索引'!T:T,MATCH($F542,'#建筑消耗和buff配置索引'!$M:$M,0))=0,"",INDEX('#建筑消耗和buff配置索引'!T:T,MATCH($F542,'#建筑消耗和buff配置索引'!$M:$M,0)))</f>
        <v/>
      </c>
      <c r="P542" s="133" t="str">
        <f>IF(INDEX('#建筑消耗和buff配置索引'!U:U,MATCH($F542,'#建筑消耗和buff配置索引'!$M:$M,0))=0,"",INDEX('#建筑消耗和buff配置索引'!U:U,MATCH($F542,'#建筑消耗和buff配置索引'!$M:$M,0)))</f>
        <v/>
      </c>
      <c r="Q542" s="133" t="str">
        <f>IF(INDEX('#建筑消耗和buff配置索引'!K:K,MATCH($F542,'#建筑消耗和buff配置索引'!$M:$M,0))=0,"",INDEX('#建筑消耗和buff配置索引'!K:K,MATCH($F542,'#建筑消耗和buff配置索引'!$M:$M,0)))</f>
        <v>201</v>
      </c>
      <c r="R542" s="133" t="str">
        <f>IF(INDEX('#建筑消耗和buff配置索引'!L:L,MATCH($F542,'#建筑消耗和buff配置索引'!$M:$M,0))=0,"",INDEX('#建筑消耗和buff配置索引'!L:L,MATCH($F542,'#建筑消耗和buff配置索引'!$M:$M,0)))</f>
        <v>24</v>
      </c>
      <c r="S542" s="133">
        <f>IF(INDEX('#建筑消耗和buff配置索引'!C:C,MATCH(F542,'#建筑消耗和buff配置索引'!M:M,0))=0,1,INDEX('#建筑消耗和buff配置索引'!C:C,MATCH(F542,'#建筑消耗和buff配置索引'!M:M,0)))</f>
        <v>1</v>
      </c>
      <c r="T542" s="133">
        <v>0</v>
      </c>
      <c r="U542" s="133">
        <v>0</v>
      </c>
      <c r="V542" s="133" t="str">
        <f>IF(E542=1,IF(INDEX('#建筑消耗和buff配置索引'!BY:BY,MATCH(D542,'#建筑消耗和buff配置索引'!A:A,0))=0,"",INDEX('#建筑消耗和buff配置索引'!BY:BY,MATCH(D542,'#建筑消耗和buff配置索引'!A:A,0))),"")</f>
        <v/>
      </c>
      <c r="W542" s="133" t="str">
        <f>IF(E542=1,IF(INDEX('#建筑消耗和buff配置索引'!BZ:BZ,MATCH(D542,'#建筑消耗和buff配置索引'!A:A,0))=0,"",INDEX('#建筑消耗和buff配置索引'!BZ:BZ,MATCH(D542,'#建筑消耗和buff配置索引'!A:A,0))),"")</f>
        <v/>
      </c>
      <c r="X542" s="133"/>
      <c r="Y542" s="133"/>
      <c r="Z542" s="133"/>
      <c r="AA542" s="133">
        <f>INDEX('#建筑消耗和buff配置索引'!AO:AO,MATCH($F542,'#建筑消耗和buff配置索引'!$M:$M,0))</f>
        <v>141300</v>
      </c>
      <c r="AB542" s="133">
        <f>IF(INDEX('#建筑消耗和buff配置索引'!AR:AR,MATCH($F542,'#建筑消耗和buff配置索引'!$M:$M,0))=0,"",INDEX('#建筑消耗和buff配置索引'!AR:AR,MATCH($F542,'#建筑消耗和buff配置索引'!$M:$M,0)))</f>
        <v>10000601</v>
      </c>
      <c r="AC542" s="133">
        <f>IF(AB542="","",INDEX('#建筑消耗和buff配置索引'!AS:AS,MATCH($F542,'#建筑消耗和buff配置索引'!$M:$M,0)))</f>
        <v>100</v>
      </c>
      <c r="AD542" s="133"/>
      <c r="AE542" s="133"/>
      <c r="AF542" s="133">
        <f>IF(INDEX('#建筑消耗和buff配置索引'!AW:AW,MATCH($F542,'#建筑消耗和buff配置索引'!$M:$M,0))=0,"",INDEX('#建筑消耗和buff配置索引'!AW:AW,MATCH($F542,'#建筑消耗和buff配置索引'!$M:$M,0)))</f>
        <v>10000701</v>
      </c>
      <c r="AG542" s="133">
        <f>IF(AF542="","",INDEX('#建筑消耗和buff配置索引'!AX:AX,MATCH($F542,'#建筑消耗和buff配置索引'!$M:$M,0)))</f>
        <v>0.48</v>
      </c>
      <c r="AH542" s="133"/>
      <c r="AI542" s="133"/>
      <c r="AJ542" s="133" t="str">
        <f>IF(INDEX('#建筑消耗和buff配置索引'!BB:BB,MATCH($F542,'#建筑消耗和buff配置索引'!$M:$M,0))=0,"",INDEX('#建筑消耗和buff配置索引'!BB:BB,MATCH($F542,'#建筑消耗和buff配置索引'!$M:$M,0)))</f>
        <v/>
      </c>
      <c r="AK542" s="133" t="str">
        <f>IF(AJ542="","",INDEX('#建筑消耗和buff配置索引'!BC:BC,MATCH($F542,'#建筑消耗和buff配置索引'!$M:$M,0)))</f>
        <v/>
      </c>
      <c r="AL542" s="133"/>
      <c r="AM542" s="133"/>
      <c r="AN542" s="133" t="str">
        <f>IF(INDEX('#建筑消耗和buff配置索引'!BG:BG,MATCH($F542,'#建筑消耗和buff配置索引'!$M:$M,0))=0,"",INDEX('#建筑消耗和buff配置索引'!BG:BG,MATCH($F542,'#建筑消耗和buff配置索引'!$M:$M,0)))</f>
        <v/>
      </c>
      <c r="AO542" s="133" t="str">
        <f>IF(AN542="","",INDEX('#建筑消耗和buff配置索引'!BH:BH,MATCH($F542,'#建筑消耗和buff配置索引'!$M:$M,0)))</f>
        <v/>
      </c>
      <c r="AP542" s="133"/>
      <c r="AQ542" s="133"/>
      <c r="AR542" s="133" t="str">
        <f>IF(INDEX('#建筑消耗和buff配置索引'!BK:BK,MATCH($F542,'#建筑消耗和buff配置索引'!$M:$M,0))=0,"",INDEX('#建筑消耗和buff配置索引'!BK:BK,MATCH($F542,'#建筑消耗和buff配置索引'!$M:$M,0)))</f>
        <v/>
      </c>
      <c r="AS542" s="133" t="str">
        <f>IF(AR542="","",INDEX('#建筑消耗和buff配置索引'!BL:BL,MATCH($F542,'#建筑消耗和buff配置索引'!$M:$M,0)))</f>
        <v/>
      </c>
      <c r="AT542" s="133"/>
      <c r="AU542" s="133"/>
      <c r="AV542" s="133" t="str">
        <f>IF(INDEX('#建筑消耗和buff配置索引'!BO:BO,MATCH($F542,'#建筑消耗和buff配置索引'!$M:$M,0))=0,"",INDEX('#建筑消耗和buff配置索引'!BO:BO,MATCH($F542,'#建筑消耗和buff配置索引'!$M:$M,0)))</f>
        <v/>
      </c>
      <c r="AW542" s="133" t="str">
        <f>IF(AV542="","",INDEX('#建筑消耗和buff配置索引'!BP:BP,MATCH($F542,'#建筑消耗和buff配置索引'!$M:$M,0)))</f>
        <v/>
      </c>
      <c r="AX542" s="133"/>
      <c r="AY542" s="133"/>
      <c r="AZ542" s="133" t="str">
        <f>IF(INDEX('#建筑消耗和buff配置索引'!BS:BS,MATCH($F542,'#建筑消耗和buff配置索引'!$M:$M,0))=0,"",INDEX('#建筑消耗和buff配置索引'!BS:BS,MATCH($F542,'#建筑消耗和buff配置索引'!$M:$M,0)))</f>
        <v/>
      </c>
      <c r="BA542" s="133" t="str">
        <f>IF(AZ542="","",INDEX('#建筑消耗和buff配置索引'!BT:BT,MATCH($F542,'#建筑消耗和buff配置索引'!$M:$M,0)))</f>
        <v/>
      </c>
      <c r="BB542" s="133"/>
      <c r="BC542" s="133"/>
      <c r="BD542" s="133" t="str">
        <f>IF(INDEX('#建筑消耗和buff配置索引'!BW:BW,MATCH($F542,'#建筑消耗和buff配置索引'!$M:$M,0))=0,"",INDEX('#建筑消耗和buff配置索引'!BW:BW,MATCH($F542,'#建筑消耗和buff配置索引'!$M:$M,0)))</f>
        <v/>
      </c>
      <c r="BE542" s="133" t="str">
        <f>IF(BD542="","",INDEX('#建筑消耗和buff配置索引'!BX:BX,MATCH($F542,'#建筑消耗和buff配置索引'!$M:$M,0)))</f>
        <v/>
      </c>
      <c r="BF542" s="133"/>
      <c r="BG542" s="133"/>
      <c r="BH542" s="133"/>
      <c r="BI542" s="133">
        <v>24</v>
      </c>
      <c r="BJ542" s="133"/>
    </row>
    <row r="543" spans="1:62">
      <c r="A543" s="133">
        <v>2370025</v>
      </c>
      <c r="B543" s="133">
        <v>540</v>
      </c>
      <c r="C543" s="133">
        <v>237</v>
      </c>
      <c r="D543" s="133" t="s">
        <v>565</v>
      </c>
      <c r="E543" s="133">
        <v>25</v>
      </c>
      <c r="F543" s="133" t="str">
        <f t="shared" si="9"/>
        <v>酒馆25</v>
      </c>
      <c r="G543" s="133"/>
      <c r="H543" s="146"/>
      <c r="I543" s="133" t="s">
        <v>1205</v>
      </c>
      <c r="J543" s="150">
        <f>INDEX('#建筑消耗和buff配置索引'!AH:AH,MATCH($F543,'#建筑消耗和buff配置索引'!$M:$M,0))</f>
        <v>375840</v>
      </c>
      <c r="K543" s="150">
        <f>INDEX('#建筑消耗和buff配置索引'!AA:AA,MATCH($F543,'#建筑消耗和buff配置索引'!$M:$M,0))</f>
        <v>3400000</v>
      </c>
      <c r="L543" s="150">
        <f>INDEX('#建筑消耗和buff配置索引'!AB:AB,MATCH($F543,'#建筑消耗和buff配置索引'!$M:$M,0))</f>
        <v>6700000</v>
      </c>
      <c r="M543" s="150">
        <f>INDEX('#建筑消耗和buff配置索引'!AC:AC,MATCH($F543,'#建筑消耗和buff配置索引'!$M:$M,0))</f>
        <v>6700000</v>
      </c>
      <c r="N543" s="150">
        <f>INDEX('#建筑消耗和buff配置索引'!AD:AD,MATCH($F543,'#建筑消耗和buff配置索引'!$M:$M,0))</f>
        <v>3400000</v>
      </c>
      <c r="O543" s="150" t="str">
        <f>IF(INDEX('#建筑消耗和buff配置索引'!T:T,MATCH($F543,'#建筑消耗和buff配置索引'!$M:$M,0))=0,"",INDEX('#建筑消耗和buff配置索引'!T:T,MATCH($F543,'#建筑消耗和buff配置索引'!$M:$M,0)))</f>
        <v/>
      </c>
      <c r="P543" s="133" t="str">
        <f>IF(INDEX('#建筑消耗和buff配置索引'!U:U,MATCH($F543,'#建筑消耗和buff配置索引'!$M:$M,0))=0,"",INDEX('#建筑消耗和buff配置索引'!U:U,MATCH($F543,'#建筑消耗和buff配置索引'!$M:$M,0)))</f>
        <v/>
      </c>
      <c r="Q543" s="133" t="str">
        <f>IF(INDEX('#建筑消耗和buff配置索引'!K:K,MATCH($F543,'#建筑消耗和buff配置索引'!$M:$M,0))=0,"",INDEX('#建筑消耗和buff配置索引'!K:K,MATCH($F543,'#建筑消耗和buff配置索引'!$M:$M,0)))</f>
        <v>201</v>
      </c>
      <c r="R543" s="133" t="str">
        <f>IF(INDEX('#建筑消耗和buff配置索引'!L:L,MATCH($F543,'#建筑消耗和buff配置索引'!$M:$M,0))=0,"",INDEX('#建筑消耗和buff配置索引'!L:L,MATCH($F543,'#建筑消耗和buff配置索引'!$M:$M,0)))</f>
        <v>25</v>
      </c>
      <c r="S543" s="133">
        <f>IF(INDEX('#建筑消耗和buff配置索引'!C:C,MATCH(F543,'#建筑消耗和buff配置索引'!M:M,0))=0,1,INDEX('#建筑消耗和buff配置索引'!C:C,MATCH(F543,'#建筑消耗和buff配置索引'!M:M,0)))</f>
        <v>1</v>
      </c>
      <c r="T543" s="133">
        <v>0</v>
      </c>
      <c r="U543" s="133">
        <v>0</v>
      </c>
      <c r="V543" s="133" t="str">
        <f>IF(E543=1,IF(INDEX('#建筑消耗和buff配置索引'!BY:BY,MATCH(D543,'#建筑消耗和buff配置索引'!A:A,0))=0,"",INDEX('#建筑消耗和buff配置索引'!BY:BY,MATCH(D543,'#建筑消耗和buff配置索引'!A:A,0))),"")</f>
        <v/>
      </c>
      <c r="W543" s="133" t="str">
        <f>IF(E543=1,IF(INDEX('#建筑消耗和buff配置索引'!BZ:BZ,MATCH(D543,'#建筑消耗和buff配置索引'!A:A,0))=0,"",INDEX('#建筑消耗和buff配置索引'!BZ:BZ,MATCH(D543,'#建筑消耗和buff配置索引'!A:A,0))),"")</f>
        <v/>
      </c>
      <c r="X543" s="133"/>
      <c r="Y543" s="133"/>
      <c r="Z543" s="133"/>
      <c r="AA543" s="133">
        <f>INDEX('#建筑消耗和buff配置索引'!AO:AO,MATCH($F543,'#建筑消耗和buff配置索引'!$M:$M,0))</f>
        <v>181768</v>
      </c>
      <c r="AB543" s="133">
        <f>IF(INDEX('#建筑消耗和buff配置索引'!AR:AR,MATCH($F543,'#建筑消耗和buff配置索引'!$M:$M,0))=0,"",INDEX('#建筑消耗和buff配置索引'!AR:AR,MATCH($F543,'#建筑消耗和buff配置索引'!$M:$M,0)))</f>
        <v>10000601</v>
      </c>
      <c r="AC543" s="133">
        <f>IF(AB543="","",INDEX('#建筑消耗和buff配置索引'!AS:AS,MATCH($F543,'#建筑消耗和buff配置索引'!$M:$M,0)))</f>
        <v>105</v>
      </c>
      <c r="AD543" s="133"/>
      <c r="AE543" s="133"/>
      <c r="AF543" s="133">
        <f>IF(INDEX('#建筑消耗和buff配置索引'!AW:AW,MATCH($F543,'#建筑消耗和buff配置索引'!$M:$M,0))=0,"",INDEX('#建筑消耗和buff配置索引'!AW:AW,MATCH($F543,'#建筑消耗和buff配置索引'!$M:$M,0)))</f>
        <v>10000701</v>
      </c>
      <c r="AG543" s="133">
        <f>IF(AF543="","",INDEX('#建筑消耗和buff配置索引'!AX:AX,MATCH($F543,'#建筑消耗和buff配置索引'!$M:$M,0)))</f>
        <v>0.5</v>
      </c>
      <c r="AH543" s="133"/>
      <c r="AI543" s="133"/>
      <c r="AJ543" s="133" t="str">
        <f>IF(INDEX('#建筑消耗和buff配置索引'!BB:BB,MATCH($F543,'#建筑消耗和buff配置索引'!$M:$M,0))=0,"",INDEX('#建筑消耗和buff配置索引'!BB:BB,MATCH($F543,'#建筑消耗和buff配置索引'!$M:$M,0)))</f>
        <v/>
      </c>
      <c r="AK543" s="133" t="str">
        <f>IF(AJ543="","",INDEX('#建筑消耗和buff配置索引'!BC:BC,MATCH($F543,'#建筑消耗和buff配置索引'!$M:$M,0)))</f>
        <v/>
      </c>
      <c r="AL543" s="133"/>
      <c r="AM543" s="133"/>
      <c r="AN543" s="133" t="str">
        <f>IF(INDEX('#建筑消耗和buff配置索引'!BG:BG,MATCH($F543,'#建筑消耗和buff配置索引'!$M:$M,0))=0,"",INDEX('#建筑消耗和buff配置索引'!BG:BG,MATCH($F543,'#建筑消耗和buff配置索引'!$M:$M,0)))</f>
        <v/>
      </c>
      <c r="AO543" s="133" t="str">
        <f>IF(AN543="","",INDEX('#建筑消耗和buff配置索引'!BH:BH,MATCH($F543,'#建筑消耗和buff配置索引'!$M:$M,0)))</f>
        <v/>
      </c>
      <c r="AP543" s="133"/>
      <c r="AQ543" s="133"/>
      <c r="AR543" s="133" t="str">
        <f>IF(INDEX('#建筑消耗和buff配置索引'!BK:BK,MATCH($F543,'#建筑消耗和buff配置索引'!$M:$M,0))=0,"",INDEX('#建筑消耗和buff配置索引'!BK:BK,MATCH($F543,'#建筑消耗和buff配置索引'!$M:$M,0)))</f>
        <v/>
      </c>
      <c r="AS543" s="133" t="str">
        <f>IF(AR543="","",INDEX('#建筑消耗和buff配置索引'!BL:BL,MATCH($F543,'#建筑消耗和buff配置索引'!$M:$M,0)))</f>
        <v/>
      </c>
      <c r="AT543" s="133"/>
      <c r="AU543" s="133"/>
      <c r="AV543" s="133" t="str">
        <f>IF(INDEX('#建筑消耗和buff配置索引'!BO:BO,MATCH($F543,'#建筑消耗和buff配置索引'!$M:$M,0))=0,"",INDEX('#建筑消耗和buff配置索引'!BO:BO,MATCH($F543,'#建筑消耗和buff配置索引'!$M:$M,0)))</f>
        <v/>
      </c>
      <c r="AW543" s="133" t="str">
        <f>IF(AV543="","",INDEX('#建筑消耗和buff配置索引'!BP:BP,MATCH($F543,'#建筑消耗和buff配置索引'!$M:$M,0)))</f>
        <v/>
      </c>
      <c r="AX543" s="133"/>
      <c r="AY543" s="133"/>
      <c r="AZ543" s="133" t="str">
        <f>IF(INDEX('#建筑消耗和buff配置索引'!BS:BS,MATCH($F543,'#建筑消耗和buff配置索引'!$M:$M,0))=0,"",INDEX('#建筑消耗和buff配置索引'!BS:BS,MATCH($F543,'#建筑消耗和buff配置索引'!$M:$M,0)))</f>
        <v/>
      </c>
      <c r="BA543" s="133" t="str">
        <f>IF(AZ543="","",INDEX('#建筑消耗和buff配置索引'!BT:BT,MATCH($F543,'#建筑消耗和buff配置索引'!$M:$M,0)))</f>
        <v/>
      </c>
      <c r="BB543" s="133"/>
      <c r="BC543" s="133"/>
      <c r="BD543" s="133" t="str">
        <f>IF(INDEX('#建筑消耗和buff配置索引'!BW:BW,MATCH($F543,'#建筑消耗和buff配置索引'!$M:$M,0))=0,"",INDEX('#建筑消耗和buff配置索引'!BW:BW,MATCH($F543,'#建筑消耗和buff配置索引'!$M:$M,0)))</f>
        <v/>
      </c>
      <c r="BE543" s="133" t="str">
        <f>IF(BD543="","",INDEX('#建筑消耗和buff配置索引'!BX:BX,MATCH($F543,'#建筑消耗和buff配置索引'!$M:$M,0)))</f>
        <v/>
      </c>
      <c r="BF543" s="133"/>
      <c r="BG543" s="133"/>
      <c r="BH543" s="133"/>
      <c r="BI543" s="133">
        <v>24</v>
      </c>
      <c r="BJ543" s="133"/>
    </row>
    <row r="544" spans="1:62">
      <c r="A544" s="133">
        <v>2370026</v>
      </c>
      <c r="B544" s="133">
        <v>541</v>
      </c>
      <c r="C544" s="133">
        <v>237</v>
      </c>
      <c r="D544" s="133" t="s">
        <v>565</v>
      </c>
      <c r="E544" s="133">
        <v>26</v>
      </c>
      <c r="F544" s="133" t="str">
        <f t="shared" si="9"/>
        <v>酒馆26</v>
      </c>
      <c r="G544" s="133"/>
      <c r="H544" s="146"/>
      <c r="I544" s="133" t="s">
        <v>1205</v>
      </c>
      <c r="J544" s="150">
        <f>INDEX('#建筑消耗和buff配置索引'!AH:AH,MATCH($F544,'#建筑消耗和buff配置索引'!$M:$M,0))</f>
        <v>466560</v>
      </c>
      <c r="K544" s="150">
        <f>INDEX('#建筑消耗和buff配置索引'!AA:AA,MATCH($F544,'#建筑消耗和buff配置索引'!$M:$M,0))</f>
        <v>4300000</v>
      </c>
      <c r="L544" s="150">
        <f>INDEX('#建筑消耗和buff配置索引'!AB:AB,MATCH($F544,'#建筑消耗和buff配置索引'!$M:$M,0))</f>
        <v>8600000</v>
      </c>
      <c r="M544" s="150">
        <f>INDEX('#建筑消耗和buff配置索引'!AC:AC,MATCH($F544,'#建筑消耗和buff配置索引'!$M:$M,0))</f>
        <v>8600000</v>
      </c>
      <c r="N544" s="150">
        <f>INDEX('#建筑消耗和buff配置索引'!AD:AD,MATCH($F544,'#建筑消耗和buff配置索引'!$M:$M,0))</f>
        <v>4300000</v>
      </c>
      <c r="O544" s="150" t="str">
        <f>IF(INDEX('#建筑消耗和buff配置索引'!T:T,MATCH($F544,'#建筑消耗和buff配置索引'!$M:$M,0))=0,"",INDEX('#建筑消耗和buff配置索引'!T:T,MATCH($F544,'#建筑消耗和buff配置索引'!$M:$M,0)))</f>
        <v/>
      </c>
      <c r="P544" s="133" t="str">
        <f>IF(INDEX('#建筑消耗和buff配置索引'!U:U,MATCH($F544,'#建筑消耗和buff配置索引'!$M:$M,0))=0,"",INDEX('#建筑消耗和buff配置索引'!U:U,MATCH($F544,'#建筑消耗和buff配置索引'!$M:$M,0)))</f>
        <v/>
      </c>
      <c r="Q544" s="133" t="str">
        <f>IF(INDEX('#建筑消耗和buff配置索引'!K:K,MATCH($F544,'#建筑消耗和buff配置索引'!$M:$M,0))=0,"",INDEX('#建筑消耗和buff配置索引'!K:K,MATCH($F544,'#建筑消耗和buff配置索引'!$M:$M,0)))</f>
        <v>201</v>
      </c>
      <c r="R544" s="133" t="str">
        <f>IF(INDEX('#建筑消耗和buff配置索引'!L:L,MATCH($F544,'#建筑消耗和buff配置索引'!$M:$M,0))=0,"",INDEX('#建筑消耗和buff配置索引'!L:L,MATCH($F544,'#建筑消耗和buff配置索引'!$M:$M,0)))</f>
        <v>26</v>
      </c>
      <c r="S544" s="133">
        <f>IF(INDEX('#建筑消耗和buff配置索引'!C:C,MATCH(F544,'#建筑消耗和buff配置索引'!M:M,0))=0,1,INDEX('#建筑消耗和buff配置索引'!C:C,MATCH(F544,'#建筑消耗和buff配置索引'!M:M,0)))</f>
        <v>1</v>
      </c>
      <c r="T544" s="133">
        <v>0</v>
      </c>
      <c r="U544" s="133">
        <v>0</v>
      </c>
      <c r="V544" s="133" t="str">
        <f>IF(E544=1,IF(INDEX('#建筑消耗和buff配置索引'!BY:BY,MATCH(D544,'#建筑消耗和buff配置索引'!A:A,0))=0,"",INDEX('#建筑消耗和buff配置索引'!BY:BY,MATCH(D544,'#建筑消耗和buff配置索引'!A:A,0))),"")</f>
        <v/>
      </c>
      <c r="W544" s="133" t="str">
        <f>IF(E544=1,IF(INDEX('#建筑消耗和buff配置索引'!BZ:BZ,MATCH(D544,'#建筑消耗和buff配置索引'!A:A,0))=0,"",INDEX('#建筑消耗和buff配置索引'!BZ:BZ,MATCH(D544,'#建筑消耗和buff配置索引'!A:A,0))),"")</f>
        <v/>
      </c>
      <c r="X544" s="133"/>
      <c r="Y544" s="133"/>
      <c r="Z544" s="133"/>
      <c r="AA544" s="133">
        <f>INDEX('#建筑消耗和buff配置索引'!AO:AO,MATCH($F544,'#建筑消耗和buff配置索引'!$M:$M,0))</f>
        <v>233568</v>
      </c>
      <c r="AB544" s="133">
        <f>IF(INDEX('#建筑消耗和buff配置索引'!AR:AR,MATCH($F544,'#建筑消耗和buff配置索引'!$M:$M,0))=0,"",INDEX('#建筑消耗和buff配置索引'!AR:AR,MATCH($F544,'#建筑消耗和buff配置索引'!$M:$M,0)))</f>
        <v>10000601</v>
      </c>
      <c r="AC544" s="133">
        <f>IF(AB544="","",INDEX('#建筑消耗和buff配置索引'!AS:AS,MATCH($F544,'#建筑消耗和buff配置索引'!$M:$M,0)))</f>
        <v>110</v>
      </c>
      <c r="AD544" s="133"/>
      <c r="AE544" s="133"/>
      <c r="AF544" s="133">
        <f>IF(INDEX('#建筑消耗和buff配置索引'!AW:AW,MATCH($F544,'#建筑消耗和buff配置索引'!$M:$M,0))=0,"",INDEX('#建筑消耗和buff配置索引'!AW:AW,MATCH($F544,'#建筑消耗和buff配置索引'!$M:$M,0)))</f>
        <v>10000701</v>
      </c>
      <c r="AG544" s="133">
        <f>IF(AF544="","",INDEX('#建筑消耗和buff配置索引'!AX:AX,MATCH($F544,'#建筑消耗和buff配置索引'!$M:$M,0)))</f>
        <v>0.54</v>
      </c>
      <c r="AH544" s="133"/>
      <c r="AI544" s="133"/>
      <c r="AJ544" s="133" t="str">
        <f>IF(INDEX('#建筑消耗和buff配置索引'!BB:BB,MATCH($F544,'#建筑消耗和buff配置索引'!$M:$M,0))=0,"",INDEX('#建筑消耗和buff配置索引'!BB:BB,MATCH($F544,'#建筑消耗和buff配置索引'!$M:$M,0)))</f>
        <v/>
      </c>
      <c r="AK544" s="133" t="str">
        <f>IF(AJ544="","",INDEX('#建筑消耗和buff配置索引'!BC:BC,MATCH($F544,'#建筑消耗和buff配置索引'!$M:$M,0)))</f>
        <v/>
      </c>
      <c r="AL544" s="133"/>
      <c r="AM544" s="133"/>
      <c r="AN544" s="133" t="str">
        <f>IF(INDEX('#建筑消耗和buff配置索引'!BG:BG,MATCH($F544,'#建筑消耗和buff配置索引'!$M:$M,0))=0,"",INDEX('#建筑消耗和buff配置索引'!BG:BG,MATCH($F544,'#建筑消耗和buff配置索引'!$M:$M,0)))</f>
        <v/>
      </c>
      <c r="AO544" s="133" t="str">
        <f>IF(AN544="","",INDEX('#建筑消耗和buff配置索引'!BH:BH,MATCH($F544,'#建筑消耗和buff配置索引'!$M:$M,0)))</f>
        <v/>
      </c>
      <c r="AP544" s="133"/>
      <c r="AQ544" s="133"/>
      <c r="AR544" s="133" t="str">
        <f>IF(INDEX('#建筑消耗和buff配置索引'!BK:BK,MATCH($F544,'#建筑消耗和buff配置索引'!$M:$M,0))=0,"",INDEX('#建筑消耗和buff配置索引'!BK:BK,MATCH($F544,'#建筑消耗和buff配置索引'!$M:$M,0)))</f>
        <v/>
      </c>
      <c r="AS544" s="133" t="str">
        <f>IF(AR544="","",INDEX('#建筑消耗和buff配置索引'!BL:BL,MATCH($F544,'#建筑消耗和buff配置索引'!$M:$M,0)))</f>
        <v/>
      </c>
      <c r="AT544" s="133"/>
      <c r="AU544" s="133"/>
      <c r="AV544" s="133" t="str">
        <f>IF(INDEX('#建筑消耗和buff配置索引'!BO:BO,MATCH($F544,'#建筑消耗和buff配置索引'!$M:$M,0))=0,"",INDEX('#建筑消耗和buff配置索引'!BO:BO,MATCH($F544,'#建筑消耗和buff配置索引'!$M:$M,0)))</f>
        <v/>
      </c>
      <c r="AW544" s="133" t="str">
        <f>IF(AV544="","",INDEX('#建筑消耗和buff配置索引'!BP:BP,MATCH($F544,'#建筑消耗和buff配置索引'!$M:$M,0)))</f>
        <v/>
      </c>
      <c r="AX544" s="133"/>
      <c r="AY544" s="133"/>
      <c r="AZ544" s="133" t="str">
        <f>IF(INDEX('#建筑消耗和buff配置索引'!BS:BS,MATCH($F544,'#建筑消耗和buff配置索引'!$M:$M,0))=0,"",INDEX('#建筑消耗和buff配置索引'!BS:BS,MATCH($F544,'#建筑消耗和buff配置索引'!$M:$M,0)))</f>
        <v/>
      </c>
      <c r="BA544" s="133" t="str">
        <f>IF(AZ544="","",INDEX('#建筑消耗和buff配置索引'!BT:BT,MATCH($F544,'#建筑消耗和buff配置索引'!$M:$M,0)))</f>
        <v/>
      </c>
      <c r="BB544" s="133"/>
      <c r="BC544" s="133"/>
      <c r="BD544" s="133" t="str">
        <f>IF(INDEX('#建筑消耗和buff配置索引'!BW:BW,MATCH($F544,'#建筑消耗和buff配置索引'!$M:$M,0))=0,"",INDEX('#建筑消耗和buff配置索引'!BW:BW,MATCH($F544,'#建筑消耗和buff配置索引'!$M:$M,0)))</f>
        <v/>
      </c>
      <c r="BE544" s="133" t="str">
        <f>IF(BD544="","",INDEX('#建筑消耗和buff配置索引'!BX:BX,MATCH($F544,'#建筑消耗和buff配置索引'!$M:$M,0)))</f>
        <v/>
      </c>
      <c r="BF544" s="133"/>
      <c r="BG544" s="133"/>
      <c r="BH544" s="133"/>
      <c r="BI544" s="133">
        <v>24</v>
      </c>
      <c r="BJ544" s="133"/>
    </row>
    <row r="545" spans="1:66">
      <c r="A545" s="133">
        <v>2370027</v>
      </c>
      <c r="B545" s="133">
        <v>542</v>
      </c>
      <c r="C545" s="133">
        <v>237</v>
      </c>
      <c r="D545" s="133" t="s">
        <v>565</v>
      </c>
      <c r="E545" s="133">
        <v>27</v>
      </c>
      <c r="F545" s="133" t="str">
        <f t="shared" si="9"/>
        <v>酒馆27</v>
      </c>
      <c r="G545" s="133"/>
      <c r="H545" s="146"/>
      <c r="I545" s="133" t="s">
        <v>1205</v>
      </c>
      <c r="J545" s="150">
        <f>INDEX('#建筑消耗和buff配置索引'!AH:AH,MATCH($F545,'#建筑消耗和buff配置索引'!$M:$M,0))</f>
        <v>570240</v>
      </c>
      <c r="K545" s="150">
        <f>INDEX('#建筑消耗和buff配置索引'!AA:AA,MATCH($F545,'#建筑消耗和buff配置索引'!$M:$M,0))</f>
        <v>5500000</v>
      </c>
      <c r="L545" s="150">
        <f>INDEX('#建筑消耗和buff配置索引'!AB:AB,MATCH($F545,'#建筑消耗和buff配置索引'!$M:$M,0))</f>
        <v>11000000</v>
      </c>
      <c r="M545" s="150">
        <f>INDEX('#建筑消耗和buff配置索引'!AC:AC,MATCH($F545,'#建筑消耗和buff配置索引'!$M:$M,0))</f>
        <v>11000000</v>
      </c>
      <c r="N545" s="150">
        <f>INDEX('#建筑消耗和buff配置索引'!AD:AD,MATCH($F545,'#建筑消耗和buff配置索引'!$M:$M,0))</f>
        <v>5500000</v>
      </c>
      <c r="O545" s="150" t="str">
        <f>IF(INDEX('#建筑消耗和buff配置索引'!T:T,MATCH($F545,'#建筑消耗和buff配置索引'!$M:$M,0))=0,"",INDEX('#建筑消耗和buff配置索引'!T:T,MATCH($F545,'#建筑消耗和buff配置索引'!$M:$M,0)))</f>
        <v/>
      </c>
      <c r="P545" s="133" t="str">
        <f>IF(INDEX('#建筑消耗和buff配置索引'!U:U,MATCH($F545,'#建筑消耗和buff配置索引'!$M:$M,0))=0,"",INDEX('#建筑消耗和buff配置索引'!U:U,MATCH($F545,'#建筑消耗和buff配置索引'!$M:$M,0)))</f>
        <v/>
      </c>
      <c r="Q545" s="133" t="str">
        <f>IF(INDEX('#建筑消耗和buff配置索引'!K:K,MATCH($F545,'#建筑消耗和buff配置索引'!$M:$M,0))=0,"",INDEX('#建筑消耗和buff配置索引'!K:K,MATCH($F545,'#建筑消耗和buff配置索引'!$M:$M,0)))</f>
        <v>201</v>
      </c>
      <c r="R545" s="133" t="str">
        <f>IF(INDEX('#建筑消耗和buff配置索引'!L:L,MATCH($F545,'#建筑消耗和buff配置索引'!$M:$M,0))=0,"",INDEX('#建筑消耗和buff配置索引'!L:L,MATCH($F545,'#建筑消耗和buff配置索引'!$M:$M,0)))</f>
        <v>27</v>
      </c>
      <c r="S545" s="133">
        <f>IF(INDEX('#建筑消耗和buff配置索引'!C:C,MATCH(F545,'#建筑消耗和buff配置索引'!M:M,0))=0,1,INDEX('#建筑消耗和buff配置索引'!C:C,MATCH(F545,'#建筑消耗和buff配置索引'!M:M,0)))</f>
        <v>1</v>
      </c>
      <c r="T545" s="133">
        <v>0</v>
      </c>
      <c r="U545" s="133">
        <v>0</v>
      </c>
      <c r="V545" s="133" t="str">
        <f>IF(E545=1,IF(INDEX('#建筑消耗和buff配置索引'!BY:BY,MATCH(D545,'#建筑消耗和buff配置索引'!A:A,0))=0,"",INDEX('#建筑消耗和buff配置索引'!BY:BY,MATCH(D545,'#建筑消耗和buff配置索引'!A:A,0))),"")</f>
        <v/>
      </c>
      <c r="W545" s="133" t="str">
        <f>IF(E545=1,IF(INDEX('#建筑消耗和buff配置索引'!BZ:BZ,MATCH(D545,'#建筑消耗和buff配置索引'!A:A,0))=0,"",INDEX('#建筑消耗和buff配置索引'!BZ:BZ,MATCH(D545,'#建筑消耗和buff配置索引'!A:A,0))),"")</f>
        <v/>
      </c>
      <c r="X545" s="133"/>
      <c r="Y545" s="133"/>
      <c r="Z545" s="133"/>
      <c r="AA545" s="133">
        <f>INDEX('#建筑消耗和buff配置索引'!AO:AO,MATCH($F545,'#建筑消耗和buff配置索引'!$M:$M,0))</f>
        <v>299871</v>
      </c>
      <c r="AB545" s="133">
        <f>IF(INDEX('#建筑消耗和buff配置索引'!AR:AR,MATCH($F545,'#建筑消耗和buff配置索引'!$M:$M,0))=0,"",INDEX('#建筑消耗和buff配置索引'!AR:AR,MATCH($F545,'#建筑消耗和buff配置索引'!$M:$M,0)))</f>
        <v>10000601</v>
      </c>
      <c r="AC545" s="133">
        <f>IF(AB545="","",INDEX('#建筑消耗和buff配置索引'!AS:AS,MATCH($F545,'#建筑消耗和buff配置索引'!$M:$M,0)))</f>
        <v>110</v>
      </c>
      <c r="AD545" s="133"/>
      <c r="AE545" s="133"/>
      <c r="AF545" s="133">
        <f>IF(INDEX('#建筑消耗和buff配置索引'!AW:AW,MATCH($F545,'#建筑消耗和buff配置索引'!$M:$M,0))=0,"",INDEX('#建筑消耗和buff配置索引'!AW:AW,MATCH($F545,'#建筑消耗和buff配置索引'!$M:$M,0)))</f>
        <v>10000701</v>
      </c>
      <c r="AG545" s="133">
        <f>IF(AF545="","",INDEX('#建筑消耗和buff配置索引'!AX:AX,MATCH($F545,'#建筑消耗和buff配置索引'!$M:$M,0)))</f>
        <v>0.57999999999999996</v>
      </c>
      <c r="AH545" s="133"/>
      <c r="AI545" s="133"/>
      <c r="AJ545" s="133" t="str">
        <f>IF(INDEX('#建筑消耗和buff配置索引'!BB:BB,MATCH($F545,'#建筑消耗和buff配置索引'!$M:$M,0))=0,"",INDEX('#建筑消耗和buff配置索引'!BB:BB,MATCH($F545,'#建筑消耗和buff配置索引'!$M:$M,0)))</f>
        <v/>
      </c>
      <c r="AK545" s="133" t="str">
        <f>IF(AJ545="","",INDEX('#建筑消耗和buff配置索引'!BC:BC,MATCH($F545,'#建筑消耗和buff配置索引'!$M:$M,0)))</f>
        <v/>
      </c>
      <c r="AL545" s="133"/>
      <c r="AM545" s="133"/>
      <c r="AN545" s="133" t="str">
        <f>IF(INDEX('#建筑消耗和buff配置索引'!BG:BG,MATCH($F545,'#建筑消耗和buff配置索引'!$M:$M,0))=0,"",INDEX('#建筑消耗和buff配置索引'!BG:BG,MATCH($F545,'#建筑消耗和buff配置索引'!$M:$M,0)))</f>
        <v/>
      </c>
      <c r="AO545" s="133" t="str">
        <f>IF(AN545="","",INDEX('#建筑消耗和buff配置索引'!BH:BH,MATCH($F545,'#建筑消耗和buff配置索引'!$M:$M,0)))</f>
        <v/>
      </c>
      <c r="AP545" s="133"/>
      <c r="AQ545" s="133"/>
      <c r="AR545" s="133" t="str">
        <f>IF(INDEX('#建筑消耗和buff配置索引'!BK:BK,MATCH($F545,'#建筑消耗和buff配置索引'!$M:$M,0))=0,"",INDEX('#建筑消耗和buff配置索引'!BK:BK,MATCH($F545,'#建筑消耗和buff配置索引'!$M:$M,0)))</f>
        <v/>
      </c>
      <c r="AS545" s="133" t="str">
        <f>IF(AR545="","",INDEX('#建筑消耗和buff配置索引'!BL:BL,MATCH($F545,'#建筑消耗和buff配置索引'!$M:$M,0)))</f>
        <v/>
      </c>
      <c r="AT545" s="133"/>
      <c r="AU545" s="133"/>
      <c r="AV545" s="133" t="str">
        <f>IF(INDEX('#建筑消耗和buff配置索引'!BO:BO,MATCH($F545,'#建筑消耗和buff配置索引'!$M:$M,0))=0,"",INDEX('#建筑消耗和buff配置索引'!BO:BO,MATCH($F545,'#建筑消耗和buff配置索引'!$M:$M,0)))</f>
        <v/>
      </c>
      <c r="AW545" s="133" t="str">
        <f>IF(AV545="","",INDEX('#建筑消耗和buff配置索引'!BP:BP,MATCH($F545,'#建筑消耗和buff配置索引'!$M:$M,0)))</f>
        <v/>
      </c>
      <c r="AX545" s="133"/>
      <c r="AY545" s="133"/>
      <c r="AZ545" s="133" t="str">
        <f>IF(INDEX('#建筑消耗和buff配置索引'!BS:BS,MATCH($F545,'#建筑消耗和buff配置索引'!$M:$M,0))=0,"",INDEX('#建筑消耗和buff配置索引'!BS:BS,MATCH($F545,'#建筑消耗和buff配置索引'!$M:$M,0)))</f>
        <v/>
      </c>
      <c r="BA545" s="133" t="str">
        <f>IF(AZ545="","",INDEX('#建筑消耗和buff配置索引'!BT:BT,MATCH($F545,'#建筑消耗和buff配置索引'!$M:$M,0)))</f>
        <v/>
      </c>
      <c r="BB545" s="133"/>
      <c r="BC545" s="133"/>
      <c r="BD545" s="133" t="str">
        <f>IF(INDEX('#建筑消耗和buff配置索引'!BW:BW,MATCH($F545,'#建筑消耗和buff配置索引'!$M:$M,0))=0,"",INDEX('#建筑消耗和buff配置索引'!BW:BW,MATCH($F545,'#建筑消耗和buff配置索引'!$M:$M,0)))</f>
        <v/>
      </c>
      <c r="BE545" s="133" t="str">
        <f>IF(BD545="","",INDEX('#建筑消耗和buff配置索引'!BX:BX,MATCH($F545,'#建筑消耗和buff配置索引'!$M:$M,0)))</f>
        <v/>
      </c>
      <c r="BF545" s="133"/>
      <c r="BG545" s="133"/>
      <c r="BH545" s="133"/>
      <c r="BI545" s="133">
        <v>24</v>
      </c>
      <c r="BJ545" s="133"/>
    </row>
    <row r="546" spans="1:66">
      <c r="A546" s="133">
        <v>2370028</v>
      </c>
      <c r="B546" s="133">
        <v>543</v>
      </c>
      <c r="C546" s="133">
        <v>237</v>
      </c>
      <c r="D546" s="133" t="s">
        <v>565</v>
      </c>
      <c r="E546" s="133">
        <v>28</v>
      </c>
      <c r="F546" s="133" t="str">
        <f t="shared" si="9"/>
        <v>酒馆28</v>
      </c>
      <c r="G546" s="133"/>
      <c r="H546" s="146"/>
      <c r="I546" s="133" t="s">
        <v>1205</v>
      </c>
      <c r="J546" s="150">
        <f>INDEX('#建筑消耗和buff配置索引'!AH:AH,MATCH($F546,'#建筑消耗和buff配置索引'!$M:$M,0))</f>
        <v>699840</v>
      </c>
      <c r="K546" s="150">
        <f>INDEX('#建筑消耗和buff配置索引'!AA:AA,MATCH($F546,'#建筑消耗和buff配置索引'!$M:$M,0))</f>
        <v>7100000</v>
      </c>
      <c r="L546" s="150">
        <f>INDEX('#建筑消耗和buff配置索引'!AB:AB,MATCH($F546,'#建筑消耗和buff配置索引'!$M:$M,0))</f>
        <v>14000000</v>
      </c>
      <c r="M546" s="150">
        <f>INDEX('#建筑消耗和buff配置索引'!AC:AC,MATCH($F546,'#建筑消耗和buff配置索引'!$M:$M,0))</f>
        <v>14000000</v>
      </c>
      <c r="N546" s="150">
        <f>INDEX('#建筑消耗和buff配置索引'!AD:AD,MATCH($F546,'#建筑消耗和buff配置索引'!$M:$M,0))</f>
        <v>7100000</v>
      </c>
      <c r="O546" s="150" t="str">
        <f>IF(INDEX('#建筑消耗和buff配置索引'!T:T,MATCH($F546,'#建筑消耗和buff配置索引'!$M:$M,0))=0,"",INDEX('#建筑消耗和buff配置索引'!T:T,MATCH($F546,'#建筑消耗和buff配置索引'!$M:$M,0)))</f>
        <v/>
      </c>
      <c r="P546" s="133" t="str">
        <f>IF(INDEX('#建筑消耗和buff配置索引'!U:U,MATCH($F546,'#建筑消耗和buff配置索引'!$M:$M,0))=0,"",INDEX('#建筑消耗和buff配置索引'!U:U,MATCH($F546,'#建筑消耗和buff配置索引'!$M:$M,0)))</f>
        <v/>
      </c>
      <c r="Q546" s="133" t="str">
        <f>IF(INDEX('#建筑消耗和buff配置索引'!K:K,MATCH($F546,'#建筑消耗和buff配置索引'!$M:$M,0))=0,"",INDEX('#建筑消耗和buff配置索引'!K:K,MATCH($F546,'#建筑消耗和buff配置索引'!$M:$M,0)))</f>
        <v>201</v>
      </c>
      <c r="R546" s="133" t="str">
        <f>IF(INDEX('#建筑消耗和buff配置索引'!L:L,MATCH($F546,'#建筑消耗和buff配置索引'!$M:$M,0))=0,"",INDEX('#建筑消耗和buff配置索引'!L:L,MATCH($F546,'#建筑消耗和buff配置索引'!$M:$M,0)))</f>
        <v>28</v>
      </c>
      <c r="S546" s="133">
        <f>IF(INDEX('#建筑消耗和buff配置索引'!C:C,MATCH(F546,'#建筑消耗和buff配置索引'!M:M,0))=0,1,INDEX('#建筑消耗和buff配置索引'!C:C,MATCH(F546,'#建筑消耗和buff配置索引'!M:M,0)))</f>
        <v>1</v>
      </c>
      <c r="T546" s="133">
        <v>0</v>
      </c>
      <c r="U546" s="133">
        <v>0</v>
      </c>
      <c r="V546" s="133" t="str">
        <f>IF(E546=1,IF(INDEX('#建筑消耗和buff配置索引'!BY:BY,MATCH(D546,'#建筑消耗和buff配置索引'!A:A,0))=0,"",INDEX('#建筑消耗和buff配置索引'!BY:BY,MATCH(D546,'#建筑消耗和buff配置索引'!A:A,0))),"")</f>
        <v/>
      </c>
      <c r="W546" s="133" t="str">
        <f>IF(E546=1,IF(INDEX('#建筑消耗和buff配置索引'!BZ:BZ,MATCH(D546,'#建筑消耗和buff配置索引'!A:A,0))=0,"",INDEX('#建筑消耗和buff配置索引'!BZ:BZ,MATCH(D546,'#建筑消耗和buff配置索引'!A:A,0))),"")</f>
        <v/>
      </c>
      <c r="X546" s="133"/>
      <c r="Y546" s="133"/>
      <c r="Z546" s="133"/>
      <c r="AA546" s="133">
        <f>INDEX('#建筑消耗和buff配置索引'!AO:AO,MATCH($F546,'#建筑消耗和buff配置索引'!$M:$M,0))</f>
        <v>384740</v>
      </c>
      <c r="AB546" s="133">
        <f>IF(INDEX('#建筑消耗和buff配置索引'!AR:AR,MATCH($F546,'#建筑消耗和buff配置索引'!$M:$M,0))=0,"",INDEX('#建筑消耗和buff配置索引'!AR:AR,MATCH($F546,'#建筑消耗和buff配置索引'!$M:$M,0)))</f>
        <v>10000601</v>
      </c>
      <c r="AC546" s="133">
        <f>IF(AB546="","",INDEX('#建筑消耗和buff配置索引'!AS:AS,MATCH($F546,'#建筑消耗和buff配置索引'!$M:$M,0)))</f>
        <v>110</v>
      </c>
      <c r="AD546" s="133"/>
      <c r="AE546" s="133"/>
      <c r="AF546" s="133">
        <f>IF(INDEX('#建筑消耗和buff配置索引'!AW:AW,MATCH($F546,'#建筑消耗和buff配置索引'!$M:$M,0))=0,"",INDEX('#建筑消耗和buff配置索引'!AW:AW,MATCH($F546,'#建筑消耗和buff配置索引'!$M:$M,0)))</f>
        <v>10000701</v>
      </c>
      <c r="AG546" s="133">
        <f>IF(AF546="","",INDEX('#建筑消耗和buff配置索引'!AX:AX,MATCH($F546,'#建筑消耗和buff配置索引'!$M:$M,0)))</f>
        <v>0.62</v>
      </c>
      <c r="AH546" s="133"/>
      <c r="AI546" s="133"/>
      <c r="AJ546" s="133" t="str">
        <f>IF(INDEX('#建筑消耗和buff配置索引'!BB:BB,MATCH($F546,'#建筑消耗和buff配置索引'!$M:$M,0))=0,"",INDEX('#建筑消耗和buff配置索引'!BB:BB,MATCH($F546,'#建筑消耗和buff配置索引'!$M:$M,0)))</f>
        <v/>
      </c>
      <c r="AK546" s="133" t="str">
        <f>IF(AJ546="","",INDEX('#建筑消耗和buff配置索引'!BC:BC,MATCH($F546,'#建筑消耗和buff配置索引'!$M:$M,0)))</f>
        <v/>
      </c>
      <c r="AL546" s="133"/>
      <c r="AM546" s="133"/>
      <c r="AN546" s="133" t="str">
        <f>IF(INDEX('#建筑消耗和buff配置索引'!BG:BG,MATCH($F546,'#建筑消耗和buff配置索引'!$M:$M,0))=0,"",INDEX('#建筑消耗和buff配置索引'!BG:BG,MATCH($F546,'#建筑消耗和buff配置索引'!$M:$M,0)))</f>
        <v/>
      </c>
      <c r="AO546" s="133" t="str">
        <f>IF(AN546="","",INDEX('#建筑消耗和buff配置索引'!BH:BH,MATCH($F546,'#建筑消耗和buff配置索引'!$M:$M,0)))</f>
        <v/>
      </c>
      <c r="AP546" s="133"/>
      <c r="AQ546" s="133"/>
      <c r="AR546" s="133" t="str">
        <f>IF(INDEX('#建筑消耗和buff配置索引'!BK:BK,MATCH($F546,'#建筑消耗和buff配置索引'!$M:$M,0))=0,"",INDEX('#建筑消耗和buff配置索引'!BK:BK,MATCH($F546,'#建筑消耗和buff配置索引'!$M:$M,0)))</f>
        <v/>
      </c>
      <c r="AS546" s="133" t="str">
        <f>IF(AR546="","",INDEX('#建筑消耗和buff配置索引'!BL:BL,MATCH($F546,'#建筑消耗和buff配置索引'!$M:$M,0)))</f>
        <v/>
      </c>
      <c r="AT546" s="133"/>
      <c r="AU546" s="133"/>
      <c r="AV546" s="133" t="str">
        <f>IF(INDEX('#建筑消耗和buff配置索引'!BO:BO,MATCH($F546,'#建筑消耗和buff配置索引'!$M:$M,0))=0,"",INDEX('#建筑消耗和buff配置索引'!BO:BO,MATCH($F546,'#建筑消耗和buff配置索引'!$M:$M,0)))</f>
        <v/>
      </c>
      <c r="AW546" s="133" t="str">
        <f>IF(AV546="","",INDEX('#建筑消耗和buff配置索引'!BP:BP,MATCH($F546,'#建筑消耗和buff配置索引'!$M:$M,0)))</f>
        <v/>
      </c>
      <c r="AX546" s="133"/>
      <c r="AY546" s="133"/>
      <c r="AZ546" s="133" t="str">
        <f>IF(INDEX('#建筑消耗和buff配置索引'!BS:BS,MATCH($F546,'#建筑消耗和buff配置索引'!$M:$M,0))=0,"",INDEX('#建筑消耗和buff配置索引'!BS:BS,MATCH($F546,'#建筑消耗和buff配置索引'!$M:$M,0)))</f>
        <v/>
      </c>
      <c r="BA546" s="133" t="str">
        <f>IF(AZ546="","",INDEX('#建筑消耗和buff配置索引'!BT:BT,MATCH($F546,'#建筑消耗和buff配置索引'!$M:$M,0)))</f>
        <v/>
      </c>
      <c r="BB546" s="133"/>
      <c r="BC546" s="133"/>
      <c r="BD546" s="133" t="str">
        <f>IF(INDEX('#建筑消耗和buff配置索引'!BW:BW,MATCH($F546,'#建筑消耗和buff配置索引'!$M:$M,0))=0,"",INDEX('#建筑消耗和buff配置索引'!BW:BW,MATCH($F546,'#建筑消耗和buff配置索引'!$M:$M,0)))</f>
        <v/>
      </c>
      <c r="BE546" s="133" t="str">
        <f>IF(BD546="","",INDEX('#建筑消耗和buff配置索引'!BX:BX,MATCH($F546,'#建筑消耗和buff配置索引'!$M:$M,0)))</f>
        <v/>
      </c>
      <c r="BF546" s="133"/>
      <c r="BG546" s="133"/>
      <c r="BH546" s="133"/>
      <c r="BI546" s="133">
        <v>24</v>
      </c>
      <c r="BJ546" s="133"/>
    </row>
    <row r="547" spans="1:66">
      <c r="A547" s="133">
        <v>2370029</v>
      </c>
      <c r="B547" s="133">
        <v>544</v>
      </c>
      <c r="C547" s="133">
        <v>237</v>
      </c>
      <c r="D547" s="133" t="s">
        <v>565</v>
      </c>
      <c r="E547" s="133">
        <v>29</v>
      </c>
      <c r="F547" s="133" t="str">
        <f t="shared" si="9"/>
        <v>酒馆29</v>
      </c>
      <c r="G547" s="133"/>
      <c r="H547" s="146"/>
      <c r="I547" s="133" t="s">
        <v>1205</v>
      </c>
      <c r="J547" s="150">
        <f>INDEX('#建筑消耗和buff配置索引'!AH:AH,MATCH($F547,'#建筑消耗和buff配置索引'!$M:$M,0))</f>
        <v>855360</v>
      </c>
      <c r="K547" s="150">
        <f>INDEX('#建筑消耗和buff配置索引'!AA:AA,MATCH($F547,'#建筑消耗和buff配置索引'!$M:$M,0))</f>
        <v>9100000</v>
      </c>
      <c r="L547" s="150">
        <f>INDEX('#建筑消耗和buff配置索引'!AB:AB,MATCH($F547,'#建筑消耗和buff配置索引'!$M:$M,0))</f>
        <v>18000000</v>
      </c>
      <c r="M547" s="150">
        <f>INDEX('#建筑消耗和buff配置索引'!AC:AC,MATCH($F547,'#建筑消耗和buff配置索引'!$M:$M,0))</f>
        <v>18000000</v>
      </c>
      <c r="N547" s="150">
        <f>INDEX('#建筑消耗和buff配置索引'!AD:AD,MATCH($F547,'#建筑消耗和buff配置索引'!$M:$M,0))</f>
        <v>9100000</v>
      </c>
      <c r="O547" s="150" t="str">
        <f>IF(INDEX('#建筑消耗和buff配置索引'!T:T,MATCH($F547,'#建筑消耗和buff配置索引'!$M:$M,0))=0,"",INDEX('#建筑消耗和buff配置索引'!T:T,MATCH($F547,'#建筑消耗和buff配置索引'!$M:$M,0)))</f>
        <v/>
      </c>
      <c r="P547" s="133" t="str">
        <f>IF(INDEX('#建筑消耗和buff配置索引'!U:U,MATCH($F547,'#建筑消耗和buff配置索引'!$M:$M,0))=0,"",INDEX('#建筑消耗和buff配置索引'!U:U,MATCH($F547,'#建筑消耗和buff配置索引'!$M:$M,0)))</f>
        <v/>
      </c>
      <c r="Q547" s="133" t="str">
        <f>IF(INDEX('#建筑消耗和buff配置索引'!K:K,MATCH($F547,'#建筑消耗和buff配置索引'!$M:$M,0))=0,"",INDEX('#建筑消耗和buff配置索引'!K:K,MATCH($F547,'#建筑消耗和buff配置索引'!$M:$M,0)))</f>
        <v>201</v>
      </c>
      <c r="R547" s="133" t="str">
        <f>IF(INDEX('#建筑消耗和buff配置索引'!L:L,MATCH($F547,'#建筑消耗和buff配置索引'!$M:$M,0))=0,"",INDEX('#建筑消耗和buff配置索引'!L:L,MATCH($F547,'#建筑消耗和buff配置索引'!$M:$M,0)))</f>
        <v>29</v>
      </c>
      <c r="S547" s="133">
        <f>IF(INDEX('#建筑消耗和buff配置索引'!C:C,MATCH(F547,'#建筑消耗和buff配置索引'!M:M,0))=0,1,INDEX('#建筑消耗和buff配置索引'!C:C,MATCH(F547,'#建筑消耗和buff配置索引'!M:M,0)))</f>
        <v>1</v>
      </c>
      <c r="T547" s="133">
        <v>0</v>
      </c>
      <c r="U547" s="133">
        <v>0</v>
      </c>
      <c r="V547" s="133" t="str">
        <f>IF(E547=1,IF(INDEX('#建筑消耗和buff配置索引'!BY:BY,MATCH(D547,'#建筑消耗和buff配置索引'!A:A,0))=0,"",INDEX('#建筑消耗和buff配置索引'!BY:BY,MATCH(D547,'#建筑消耗和buff配置索引'!A:A,0))),"")</f>
        <v/>
      </c>
      <c r="W547" s="133" t="str">
        <f>IF(E547=1,IF(INDEX('#建筑消耗和buff配置索引'!BZ:BZ,MATCH(D547,'#建筑消耗和buff配置索引'!A:A,0))=0,"",INDEX('#建筑消耗和buff配置索引'!BZ:BZ,MATCH(D547,'#建筑消耗和buff配置索引'!A:A,0))),"")</f>
        <v/>
      </c>
      <c r="X547" s="133"/>
      <c r="Y547" s="133"/>
      <c r="Z547" s="133"/>
      <c r="AA547" s="133">
        <f>INDEX('#建筑消耗和buff配置索引'!AO:AO,MATCH($F547,'#建筑消耗和buff配置索引'!$M:$M,0))</f>
        <v>493372</v>
      </c>
      <c r="AB547" s="133">
        <f>IF(INDEX('#建筑消耗和buff配置索引'!AR:AR,MATCH($F547,'#建筑消耗和buff配置索引'!$M:$M,0))=0,"",INDEX('#建筑消耗和buff配置索引'!AR:AR,MATCH($F547,'#建筑消耗和buff配置索引'!$M:$M,0)))</f>
        <v>10000601</v>
      </c>
      <c r="AC547" s="133">
        <f>IF(AB547="","",INDEX('#建筑消耗和buff配置索引'!AS:AS,MATCH($F547,'#建筑消耗和buff配置索引'!$M:$M,0)))</f>
        <v>110</v>
      </c>
      <c r="AD547" s="133"/>
      <c r="AE547" s="133"/>
      <c r="AF547" s="133">
        <f>IF(INDEX('#建筑消耗和buff配置索引'!AW:AW,MATCH($F547,'#建筑消耗和buff配置索引'!$M:$M,0))=0,"",INDEX('#建筑消耗和buff配置索引'!AW:AW,MATCH($F547,'#建筑消耗和buff配置索引'!$M:$M,0)))</f>
        <v>10000701</v>
      </c>
      <c r="AG547" s="133">
        <f>IF(AF547="","",INDEX('#建筑消耗和buff配置索引'!AX:AX,MATCH($F547,'#建筑消耗和buff配置索引'!$M:$M,0)))</f>
        <v>0.66</v>
      </c>
      <c r="AH547" s="133"/>
      <c r="AI547" s="133"/>
      <c r="AJ547" s="133" t="str">
        <f>IF(INDEX('#建筑消耗和buff配置索引'!BB:BB,MATCH($F547,'#建筑消耗和buff配置索引'!$M:$M,0))=0,"",INDEX('#建筑消耗和buff配置索引'!BB:BB,MATCH($F547,'#建筑消耗和buff配置索引'!$M:$M,0)))</f>
        <v/>
      </c>
      <c r="AK547" s="133" t="str">
        <f>IF(AJ547="","",INDEX('#建筑消耗和buff配置索引'!BC:BC,MATCH($F547,'#建筑消耗和buff配置索引'!$M:$M,0)))</f>
        <v/>
      </c>
      <c r="AL547" s="133"/>
      <c r="AM547" s="133"/>
      <c r="AN547" s="133" t="str">
        <f>IF(INDEX('#建筑消耗和buff配置索引'!BG:BG,MATCH($F547,'#建筑消耗和buff配置索引'!$M:$M,0))=0,"",INDEX('#建筑消耗和buff配置索引'!BG:BG,MATCH($F547,'#建筑消耗和buff配置索引'!$M:$M,0)))</f>
        <v/>
      </c>
      <c r="AO547" s="133" t="str">
        <f>IF(AN547="","",INDEX('#建筑消耗和buff配置索引'!BH:BH,MATCH($F547,'#建筑消耗和buff配置索引'!$M:$M,0)))</f>
        <v/>
      </c>
      <c r="AP547" s="133"/>
      <c r="AQ547" s="133"/>
      <c r="AR547" s="133" t="str">
        <f>IF(INDEX('#建筑消耗和buff配置索引'!BK:BK,MATCH($F547,'#建筑消耗和buff配置索引'!$M:$M,0))=0,"",INDEX('#建筑消耗和buff配置索引'!BK:BK,MATCH($F547,'#建筑消耗和buff配置索引'!$M:$M,0)))</f>
        <v/>
      </c>
      <c r="AS547" s="133" t="str">
        <f>IF(AR547="","",INDEX('#建筑消耗和buff配置索引'!BL:BL,MATCH($F547,'#建筑消耗和buff配置索引'!$M:$M,0)))</f>
        <v/>
      </c>
      <c r="AT547" s="133"/>
      <c r="AU547" s="133"/>
      <c r="AV547" s="133" t="str">
        <f>IF(INDEX('#建筑消耗和buff配置索引'!BO:BO,MATCH($F547,'#建筑消耗和buff配置索引'!$M:$M,0))=0,"",INDEX('#建筑消耗和buff配置索引'!BO:BO,MATCH($F547,'#建筑消耗和buff配置索引'!$M:$M,0)))</f>
        <v/>
      </c>
      <c r="AW547" s="133" t="str">
        <f>IF(AV547="","",INDEX('#建筑消耗和buff配置索引'!BP:BP,MATCH($F547,'#建筑消耗和buff配置索引'!$M:$M,0)))</f>
        <v/>
      </c>
      <c r="AX547" s="133"/>
      <c r="AY547" s="133"/>
      <c r="AZ547" s="133" t="str">
        <f>IF(INDEX('#建筑消耗和buff配置索引'!BS:BS,MATCH($F547,'#建筑消耗和buff配置索引'!$M:$M,0))=0,"",INDEX('#建筑消耗和buff配置索引'!BS:BS,MATCH($F547,'#建筑消耗和buff配置索引'!$M:$M,0)))</f>
        <v/>
      </c>
      <c r="BA547" s="133" t="str">
        <f>IF(AZ547="","",INDEX('#建筑消耗和buff配置索引'!BT:BT,MATCH($F547,'#建筑消耗和buff配置索引'!$M:$M,0)))</f>
        <v/>
      </c>
      <c r="BB547" s="133"/>
      <c r="BC547" s="133"/>
      <c r="BD547" s="133" t="str">
        <f>IF(INDEX('#建筑消耗和buff配置索引'!BW:BW,MATCH($F547,'#建筑消耗和buff配置索引'!$M:$M,0))=0,"",INDEX('#建筑消耗和buff配置索引'!BW:BW,MATCH($F547,'#建筑消耗和buff配置索引'!$M:$M,0)))</f>
        <v/>
      </c>
      <c r="BE547" s="133" t="str">
        <f>IF(BD547="","",INDEX('#建筑消耗和buff配置索引'!BX:BX,MATCH($F547,'#建筑消耗和buff配置索引'!$M:$M,0)))</f>
        <v/>
      </c>
      <c r="BF547" s="133"/>
      <c r="BG547" s="133"/>
      <c r="BH547" s="133"/>
      <c r="BI547" s="133">
        <v>24</v>
      </c>
      <c r="BJ547" s="133"/>
    </row>
    <row r="548" spans="1:66">
      <c r="A548" s="133">
        <v>2370030</v>
      </c>
      <c r="B548" s="133">
        <v>545</v>
      </c>
      <c r="C548" s="133">
        <v>237</v>
      </c>
      <c r="D548" s="133" t="s">
        <v>565</v>
      </c>
      <c r="E548" s="133">
        <v>30</v>
      </c>
      <c r="F548" s="133" t="str">
        <f t="shared" si="9"/>
        <v>酒馆30</v>
      </c>
      <c r="G548" s="133"/>
      <c r="H548" s="146"/>
      <c r="I548" s="133" t="s">
        <v>1205</v>
      </c>
      <c r="J548" s="150">
        <f>INDEX('#建筑消耗和buff配置索引'!AH:AH,MATCH($F548,'#建筑消耗和buff配置索引'!$M:$M,0))</f>
        <v>1036800</v>
      </c>
      <c r="K548" s="150">
        <f>INDEX('#建筑消耗和buff配置索引'!AA:AA,MATCH($F548,'#建筑消耗和buff配置索引'!$M:$M,0))</f>
        <v>12000000</v>
      </c>
      <c r="L548" s="150">
        <f>INDEX('#建筑消耗和buff配置索引'!AB:AB,MATCH($F548,'#建筑消耗和buff配置索引'!$M:$M,0))</f>
        <v>23000000</v>
      </c>
      <c r="M548" s="150">
        <f>INDEX('#建筑消耗和buff配置索引'!AC:AC,MATCH($F548,'#建筑消耗和buff配置索引'!$M:$M,0))</f>
        <v>23000000</v>
      </c>
      <c r="N548" s="150">
        <f>INDEX('#建筑消耗和buff配置索引'!AD:AD,MATCH($F548,'#建筑消耗和buff配置索引'!$M:$M,0))</f>
        <v>12000000</v>
      </c>
      <c r="O548" s="150" t="str">
        <f>IF(INDEX('#建筑消耗和buff配置索引'!T:T,MATCH($F548,'#建筑消耗和buff配置索引'!$M:$M,0))=0,"",INDEX('#建筑消耗和buff配置索引'!T:T,MATCH($F548,'#建筑消耗和buff配置索引'!$M:$M,0)))</f>
        <v/>
      </c>
      <c r="P548" s="133" t="str">
        <f>IF(INDEX('#建筑消耗和buff配置索引'!U:U,MATCH($F548,'#建筑消耗和buff配置索引'!$M:$M,0))=0,"",INDEX('#建筑消耗和buff配置索引'!U:U,MATCH($F548,'#建筑消耗和buff配置索引'!$M:$M,0)))</f>
        <v/>
      </c>
      <c r="Q548" s="133" t="str">
        <f>IF(INDEX('#建筑消耗和buff配置索引'!K:K,MATCH($F548,'#建筑消耗和buff配置索引'!$M:$M,0))=0,"",INDEX('#建筑消耗和buff配置索引'!K:K,MATCH($F548,'#建筑消耗和buff配置索引'!$M:$M,0)))</f>
        <v>201</v>
      </c>
      <c r="R548" s="133" t="str">
        <f>IF(INDEX('#建筑消耗和buff配置索引'!L:L,MATCH($F548,'#建筑消耗和buff配置索引'!$M:$M,0))=0,"",INDEX('#建筑消耗和buff配置索引'!L:L,MATCH($F548,'#建筑消耗和buff配置索引'!$M:$M,0)))</f>
        <v>30</v>
      </c>
      <c r="S548" s="133">
        <f>IF(INDEX('#建筑消耗和buff配置索引'!C:C,MATCH(F548,'#建筑消耗和buff配置索引'!M:M,0))=0,1,INDEX('#建筑消耗和buff配置索引'!C:C,MATCH(F548,'#建筑消耗和buff配置索引'!M:M,0)))</f>
        <v>1</v>
      </c>
      <c r="T548" s="133">
        <v>0</v>
      </c>
      <c r="U548" s="133">
        <v>0</v>
      </c>
      <c r="V548" s="133" t="str">
        <f>IF(E548=1,IF(INDEX('#建筑消耗和buff配置索引'!BY:BY,MATCH(D548,'#建筑消耗和buff配置索引'!A:A,0))=0,"",INDEX('#建筑消耗和buff配置索引'!BY:BY,MATCH(D548,'#建筑消耗和buff配置索引'!A:A,0))),"")</f>
        <v/>
      </c>
      <c r="W548" s="133" t="str">
        <f>IF(E548=1,IF(INDEX('#建筑消耗和buff配置索引'!BZ:BZ,MATCH(D548,'#建筑消耗和buff配置索引'!A:A,0))=0,"",INDEX('#建筑消耗和buff配置索引'!BZ:BZ,MATCH(D548,'#建筑消耗和buff配置索引'!A:A,0))),"")</f>
        <v/>
      </c>
      <c r="X548" s="133"/>
      <c r="Y548" s="133"/>
      <c r="Z548" s="133"/>
      <c r="AA548" s="133">
        <f>INDEX('#建筑消耗和buff配置索引'!AO:AO,MATCH($F548,'#建筑消耗和buff配置索引'!$M:$M,0))</f>
        <v>632420</v>
      </c>
      <c r="AB548" s="133">
        <f>IF(INDEX('#建筑消耗和buff配置索引'!AR:AR,MATCH($F548,'#建筑消耗和buff配置索引'!$M:$M,0))=0,"",INDEX('#建筑消耗和buff配置索引'!AR:AR,MATCH($F548,'#建筑消耗和buff配置索引'!$M:$M,0)))</f>
        <v>10000601</v>
      </c>
      <c r="AC548" s="133">
        <f>IF(AB548="","",INDEX('#建筑消耗和buff配置索引'!AS:AS,MATCH($F548,'#建筑消耗和buff配置索引'!$M:$M,0)))</f>
        <v>110</v>
      </c>
      <c r="AD548" s="133"/>
      <c r="AE548" s="133"/>
      <c r="AF548" s="133">
        <f>IF(INDEX('#建筑消耗和buff配置索引'!AW:AW,MATCH($F548,'#建筑消耗和buff配置索引'!$M:$M,0))=0,"",INDEX('#建筑消耗和buff配置索引'!AW:AW,MATCH($F548,'#建筑消耗和buff配置索引'!$M:$M,0)))</f>
        <v>10000701</v>
      </c>
      <c r="AG548" s="133">
        <f>IF(AF548="","",INDEX('#建筑消耗和buff配置索引'!AX:AX,MATCH($F548,'#建筑消耗和buff配置索引'!$M:$M,0)))</f>
        <v>0.7</v>
      </c>
      <c r="AH548" s="133"/>
      <c r="AI548" s="133"/>
      <c r="AJ548" s="133" t="str">
        <f>IF(INDEX('#建筑消耗和buff配置索引'!BB:BB,MATCH($F548,'#建筑消耗和buff配置索引'!$M:$M,0))=0,"",INDEX('#建筑消耗和buff配置索引'!BB:BB,MATCH($F548,'#建筑消耗和buff配置索引'!$M:$M,0)))</f>
        <v/>
      </c>
      <c r="AK548" s="133" t="str">
        <f>IF(AJ548="","",INDEX('#建筑消耗和buff配置索引'!BC:BC,MATCH($F548,'#建筑消耗和buff配置索引'!$M:$M,0)))</f>
        <v/>
      </c>
      <c r="AL548" s="133"/>
      <c r="AM548" s="133"/>
      <c r="AN548" s="133" t="str">
        <f>IF(INDEX('#建筑消耗和buff配置索引'!BG:BG,MATCH($F548,'#建筑消耗和buff配置索引'!$M:$M,0))=0,"",INDEX('#建筑消耗和buff配置索引'!BG:BG,MATCH($F548,'#建筑消耗和buff配置索引'!$M:$M,0)))</f>
        <v/>
      </c>
      <c r="AO548" s="133" t="str">
        <f>IF(AN548="","",INDEX('#建筑消耗和buff配置索引'!BH:BH,MATCH($F548,'#建筑消耗和buff配置索引'!$M:$M,0)))</f>
        <v/>
      </c>
      <c r="AP548" s="133"/>
      <c r="AQ548" s="133"/>
      <c r="AR548" s="133" t="str">
        <f>IF(INDEX('#建筑消耗和buff配置索引'!BK:BK,MATCH($F548,'#建筑消耗和buff配置索引'!$M:$M,0))=0,"",INDEX('#建筑消耗和buff配置索引'!BK:BK,MATCH($F548,'#建筑消耗和buff配置索引'!$M:$M,0)))</f>
        <v/>
      </c>
      <c r="AS548" s="133" t="str">
        <f>IF(AR548="","",INDEX('#建筑消耗和buff配置索引'!BL:BL,MATCH($F548,'#建筑消耗和buff配置索引'!$M:$M,0)))</f>
        <v/>
      </c>
      <c r="AT548" s="133"/>
      <c r="AU548" s="133"/>
      <c r="AV548" s="133" t="str">
        <f>IF(INDEX('#建筑消耗和buff配置索引'!BO:BO,MATCH($F548,'#建筑消耗和buff配置索引'!$M:$M,0))=0,"",INDEX('#建筑消耗和buff配置索引'!BO:BO,MATCH($F548,'#建筑消耗和buff配置索引'!$M:$M,0)))</f>
        <v/>
      </c>
      <c r="AW548" s="133" t="str">
        <f>IF(AV548="","",INDEX('#建筑消耗和buff配置索引'!BP:BP,MATCH($F548,'#建筑消耗和buff配置索引'!$M:$M,0)))</f>
        <v/>
      </c>
      <c r="AX548" s="133"/>
      <c r="AY548" s="133"/>
      <c r="AZ548" s="133" t="str">
        <f>IF(INDEX('#建筑消耗和buff配置索引'!BS:BS,MATCH($F548,'#建筑消耗和buff配置索引'!$M:$M,0))=0,"",INDEX('#建筑消耗和buff配置索引'!BS:BS,MATCH($F548,'#建筑消耗和buff配置索引'!$M:$M,0)))</f>
        <v/>
      </c>
      <c r="BA548" s="133" t="str">
        <f>IF(AZ548="","",INDEX('#建筑消耗和buff配置索引'!BT:BT,MATCH($F548,'#建筑消耗和buff配置索引'!$M:$M,0)))</f>
        <v/>
      </c>
      <c r="BB548" s="133"/>
      <c r="BC548" s="133"/>
      <c r="BD548" s="133" t="str">
        <f>IF(INDEX('#建筑消耗和buff配置索引'!BW:BW,MATCH($F548,'#建筑消耗和buff配置索引'!$M:$M,0))=0,"",INDEX('#建筑消耗和buff配置索引'!BW:BW,MATCH($F548,'#建筑消耗和buff配置索引'!$M:$M,0)))</f>
        <v/>
      </c>
      <c r="BE548" s="133" t="str">
        <f>IF(BD548="","",INDEX('#建筑消耗和buff配置索引'!BX:BX,MATCH($F548,'#建筑消耗和buff配置索引'!$M:$M,0)))</f>
        <v/>
      </c>
      <c r="BF548" s="133"/>
      <c r="BG548" s="133"/>
      <c r="BH548" s="133"/>
      <c r="BI548" s="133">
        <v>24</v>
      </c>
      <c r="BJ548" s="133"/>
    </row>
    <row r="549" spans="1:66" s="136" customFormat="1">
      <c r="A549" s="136">
        <v>2330001</v>
      </c>
      <c r="B549" s="136">
        <v>546</v>
      </c>
      <c r="C549" s="157">
        <v>233</v>
      </c>
      <c r="D549" s="157" t="s">
        <v>593</v>
      </c>
      <c r="E549" s="157">
        <v>1</v>
      </c>
      <c r="F549" s="157" t="str">
        <f t="shared" si="9"/>
        <v>博物馆1</v>
      </c>
      <c r="G549" s="157"/>
      <c r="H549" s="157"/>
      <c r="I549" s="157">
        <v>0</v>
      </c>
      <c r="J549" s="158">
        <f>INDEX('#建筑消耗和buff配置索引'!AH:AH,MATCH($F549,'#建筑消耗和buff配置索引'!$M:$M,0))</f>
        <v>25</v>
      </c>
      <c r="K549" s="158">
        <f>INDEX('#建筑消耗和buff配置索引'!AA:AA,MATCH($F549,'#建筑消耗和buff配置索引'!$M:$M,0))</f>
        <v>0</v>
      </c>
      <c r="L549" s="158">
        <f>INDEX('#建筑消耗和buff配置索引'!AB:AB,MATCH($F549,'#建筑消耗和buff配置索引'!$M:$M,0))</f>
        <v>0</v>
      </c>
      <c r="M549" s="157">
        <f>INDEX('#建筑消耗和buff配置索引'!AC:AC,MATCH($F549,'#建筑消耗和buff配置索引'!$M:$M,0))</f>
        <v>0</v>
      </c>
      <c r="N549" s="157">
        <f>INDEX('#建筑消耗和buff配置索引'!AD:AD,MATCH($F549,'#建筑消耗和buff配置索引'!$M:$M,0))</f>
        <v>0</v>
      </c>
      <c r="O549" s="150" t="str">
        <f>IF(INDEX('#建筑消耗和buff配置索引'!T:T,MATCH($F549,'#建筑消耗和buff配置索引'!$M:$M,0))=0,"",INDEX('#建筑消耗和buff配置索引'!T:T,MATCH($F549,'#建筑消耗和buff配置索引'!$M:$M,0)))</f>
        <v/>
      </c>
      <c r="P549" s="133" t="str">
        <f>IF(INDEX('#建筑消耗和buff配置索引'!U:U,MATCH($F549,'#建筑消耗和buff配置索引'!$M:$M,0))=0,"",INDEX('#建筑消耗和buff配置索引'!U:U,MATCH($F549,'#建筑消耗和buff配置索引'!$M:$M,0)))</f>
        <v/>
      </c>
      <c r="Q549" s="133" t="str">
        <f>IF(INDEX('#建筑消耗和buff配置索引'!K:K,MATCH($F549,'#建筑消耗和buff配置索引'!$M:$M,0))=0,"",INDEX('#建筑消耗和buff配置索引'!K:K,MATCH($F549,'#建筑消耗和buff配置索引'!$M:$M,0)))</f>
        <v>201</v>
      </c>
      <c r="R549" s="133" t="str">
        <f>IF(INDEX('#建筑消耗和buff配置索引'!L:L,MATCH($F549,'#建筑消耗和buff配置索引'!$M:$M,0))=0,"",INDEX('#建筑消耗和buff配置索引'!L:L,MATCH($F549,'#建筑消耗和buff配置索引'!$M:$M,0)))</f>
        <v>1</v>
      </c>
      <c r="S549" s="136">
        <f>IF(INDEX('#建筑消耗和buff配置索引'!C:C,MATCH(F549,'#建筑消耗和buff配置索引'!M:M,0))=0,1,INDEX('#建筑消耗和buff配置索引'!C:C,MATCH(F549,'#建筑消耗和buff配置索引'!M:M,0)))</f>
        <v>1</v>
      </c>
      <c r="T549" s="157">
        <v>0</v>
      </c>
      <c r="U549" s="136">
        <v>0</v>
      </c>
      <c r="V549" s="133" t="str">
        <f>IF(E549=1,IF(INDEX('#建筑消耗和buff配置索引'!BY:BY,MATCH(D549,'#建筑消耗和buff配置索引'!A:A,0))=0,"",INDEX('#建筑消耗和buff配置索引'!BY:BY,MATCH(D549,'#建筑消耗和buff配置索引'!A:A,0))),"")</f>
        <v/>
      </c>
      <c r="W549" s="133" t="str">
        <f>IF(E549=1,IF(INDEX('#建筑消耗和buff配置索引'!BZ:BZ,MATCH(D549,'#建筑消耗和buff配置索引'!A:A,0))=0,"",INDEX('#建筑消耗和buff配置索引'!BZ:BZ,MATCH(D549,'#建筑消耗和buff配置索引'!A:A,0))),"")</f>
        <v/>
      </c>
      <c r="X549" s="157"/>
      <c r="Y549" s="157"/>
      <c r="Z549" s="157"/>
      <c r="AA549" s="136">
        <f>INDEX('#建筑消耗和buff配置索引'!AO:AO,MATCH($F549,'#建筑消耗和buff配置索引'!$M:$M,0))</f>
        <v>0</v>
      </c>
      <c r="AB549" s="136" t="str">
        <f>IF(INDEX('#建筑消耗和buff配置索引'!AR:AR,MATCH($F549,'#建筑消耗和buff配置索引'!$M:$M,0))=0,"",INDEX('#建筑消耗和buff配置索引'!AR:AR,MATCH($F549,'#建筑消耗和buff配置索引'!$M:$M,0)))</f>
        <v/>
      </c>
      <c r="AC549" s="136" t="str">
        <f>IF(AB549="","",INDEX('#建筑消耗和buff配置索引'!AS:AS,MATCH($F549,'#建筑消耗和buff配置索引'!$M:$M,0)))</f>
        <v/>
      </c>
      <c r="AD549" s="157"/>
      <c r="AE549" s="157"/>
      <c r="AF549" s="136" t="str">
        <f>IF(INDEX('#建筑消耗和buff配置索引'!AW:AW,MATCH($F549,'#建筑消耗和buff配置索引'!$M:$M,0))=0,"",INDEX('#建筑消耗和buff配置索引'!AW:AW,MATCH($F549,'#建筑消耗和buff配置索引'!$M:$M,0)))</f>
        <v/>
      </c>
      <c r="AG549" s="136" t="str">
        <f>IF(AF549="","",INDEX('#建筑消耗和buff配置索引'!AX:AX,MATCH($F549,'#建筑消耗和buff配置索引'!$M:$M,0)))</f>
        <v/>
      </c>
      <c r="AH549" s="157"/>
      <c r="AI549" s="157"/>
      <c r="AJ549" s="133" t="str">
        <f>IF(INDEX('#建筑消耗和buff配置索引'!BB:BB,MATCH($F549,'#建筑消耗和buff配置索引'!$M:$M,0))=0,"",INDEX('#建筑消耗和buff配置索引'!BB:BB,MATCH($F549,'#建筑消耗和buff配置索引'!$M:$M,0)))</f>
        <v/>
      </c>
      <c r="AK549" s="133" t="str">
        <f>IF(AJ549="","",INDEX('#建筑消耗和buff配置索引'!BC:BC,MATCH($F549,'#建筑消耗和buff配置索引'!$M:$M,0)))</f>
        <v/>
      </c>
      <c r="AL549" s="133"/>
      <c r="AM549" s="133"/>
      <c r="AN549" s="133" t="str">
        <f>IF(INDEX('#建筑消耗和buff配置索引'!BG:BG,MATCH($F549,'#建筑消耗和buff配置索引'!$M:$M,0))=0,"",INDEX('#建筑消耗和buff配置索引'!BG:BG,MATCH($F549,'#建筑消耗和buff配置索引'!$M:$M,0)))</f>
        <v/>
      </c>
      <c r="AO549" s="133" t="str">
        <f>IF(AN549="","",INDEX('#建筑消耗和buff配置索引'!BH:BH,MATCH($F549,'#建筑消耗和buff配置索引'!$M:$M,0)))</f>
        <v/>
      </c>
      <c r="AP549" s="133"/>
      <c r="AQ549" s="133"/>
      <c r="AR549" s="133" t="str">
        <f>IF(INDEX('#建筑消耗和buff配置索引'!BK:BK,MATCH($F549,'#建筑消耗和buff配置索引'!$M:$M,0))=0,"",INDEX('#建筑消耗和buff配置索引'!BK:BK,MATCH($F549,'#建筑消耗和buff配置索引'!$M:$M,0)))</f>
        <v/>
      </c>
      <c r="AS549" s="133" t="str">
        <f>IF(AR549="","",INDEX('#建筑消耗和buff配置索引'!BL:BL,MATCH($F549,'#建筑消耗和buff配置索引'!$M:$M,0)))</f>
        <v/>
      </c>
      <c r="AT549" s="133"/>
      <c r="AU549" s="133"/>
      <c r="AV549" s="133" t="str">
        <f>IF(INDEX('#建筑消耗和buff配置索引'!BO:BO,MATCH($F549,'#建筑消耗和buff配置索引'!$M:$M,0))=0,"",INDEX('#建筑消耗和buff配置索引'!BO:BO,MATCH($F549,'#建筑消耗和buff配置索引'!$M:$M,0)))</f>
        <v/>
      </c>
      <c r="AW549" s="133" t="str">
        <f>IF(AV549="","",INDEX('#建筑消耗和buff配置索引'!BP:BP,MATCH($F549,'#建筑消耗和buff配置索引'!$M:$M,0)))</f>
        <v/>
      </c>
      <c r="AX549" s="133"/>
      <c r="AY549" s="133"/>
      <c r="AZ549" s="133" t="str">
        <f>IF(INDEX('#建筑消耗和buff配置索引'!BS:BS,MATCH($F549,'#建筑消耗和buff配置索引'!$M:$M,0))=0,"",INDEX('#建筑消耗和buff配置索引'!BS:BS,MATCH($F549,'#建筑消耗和buff配置索引'!$M:$M,0)))</f>
        <v/>
      </c>
      <c r="BA549" s="133" t="str">
        <f>IF(AZ549="","",INDEX('#建筑消耗和buff配置索引'!BT:BT,MATCH($F549,'#建筑消耗和buff配置索引'!$M:$M,0)))</f>
        <v/>
      </c>
      <c r="BB549" s="133"/>
      <c r="BC549" s="133"/>
      <c r="BD549" s="133" t="str">
        <f>IF(INDEX('#建筑消耗和buff配置索引'!BW:BW,MATCH($F549,'#建筑消耗和buff配置索引'!$M:$M,0))=0,"",INDEX('#建筑消耗和buff配置索引'!BW:BW,MATCH($F549,'#建筑消耗和buff配置索引'!$M:$M,0)))</f>
        <v/>
      </c>
      <c r="BE549" s="133" t="str">
        <f>IF(BD549="","",INDEX('#建筑消耗和buff配置索引'!BX:BX,MATCH($F549,'#建筑消耗和buff配置索引'!$M:$M,0)))</f>
        <v/>
      </c>
      <c r="BH549" s="157"/>
      <c r="BI549" s="157">
        <v>28</v>
      </c>
    </row>
    <row r="550" spans="1:66" s="135" customFormat="1">
      <c r="A550" s="134">
        <v>2350001</v>
      </c>
      <c r="B550" s="134">
        <v>547</v>
      </c>
      <c r="C550" s="134">
        <v>235</v>
      </c>
      <c r="D550" s="134" t="s">
        <v>994</v>
      </c>
      <c r="E550" s="134">
        <v>1</v>
      </c>
      <c r="F550" s="134" t="str">
        <f t="shared" si="9"/>
        <v>点将台1</v>
      </c>
      <c r="G550" s="134"/>
      <c r="H550" s="154"/>
      <c r="I550" s="134">
        <v>0</v>
      </c>
      <c r="J550" s="155">
        <f>INDEX('#建筑消耗和buff配置索引'!AH:AH,MATCH($F550,'#建筑消耗和buff配置索引'!$M:$M,0))</f>
        <v>25</v>
      </c>
      <c r="K550" s="155">
        <f>INDEX('#建筑消耗和buff配置索引'!AA:AA,MATCH($F550,'#建筑消耗和buff配置索引'!$M:$M,0))</f>
        <v>0</v>
      </c>
      <c r="L550" s="155">
        <f>INDEX('#建筑消耗和buff配置索引'!AB:AB,MATCH($F550,'#建筑消耗和buff配置索引'!$M:$M,0))</f>
        <v>0</v>
      </c>
      <c r="M550" s="155">
        <f>INDEX('#建筑消耗和buff配置索引'!AC:AC,MATCH($F550,'#建筑消耗和buff配置索引'!$M:$M,0))</f>
        <v>0</v>
      </c>
      <c r="N550" s="155">
        <f>INDEX('#建筑消耗和buff配置索引'!AD:AD,MATCH($F550,'#建筑消耗和buff配置索引'!$M:$M,0))</f>
        <v>0</v>
      </c>
      <c r="O550" s="150" t="str">
        <f>IF(INDEX('#建筑消耗和buff配置索引'!T:T,MATCH($F550,'#建筑消耗和buff配置索引'!$M:$M,0))=0,"",INDEX('#建筑消耗和buff配置索引'!T:T,MATCH($F550,'#建筑消耗和buff配置索引'!$M:$M,0)))</f>
        <v/>
      </c>
      <c r="P550" s="133" t="str">
        <f>IF(INDEX('#建筑消耗和buff配置索引'!U:U,MATCH($F550,'#建筑消耗和buff配置索引'!$M:$M,0))=0,"",INDEX('#建筑消耗和buff配置索引'!U:U,MATCH($F550,'#建筑消耗和buff配置索引'!$M:$M,0)))</f>
        <v/>
      </c>
      <c r="Q550" s="133" t="str">
        <f>IF(INDEX('#建筑消耗和buff配置索引'!K:K,MATCH($F550,'#建筑消耗和buff配置索引'!$M:$M,0))=0,"",INDEX('#建筑消耗和buff配置索引'!K:K,MATCH($F550,'#建筑消耗和buff配置索引'!$M:$M,0)))</f>
        <v>201</v>
      </c>
      <c r="R550" s="133" t="str">
        <f>IF(INDEX('#建筑消耗和buff配置索引'!L:L,MATCH($F550,'#建筑消耗和buff配置索引'!$M:$M,0))=0,"",INDEX('#建筑消耗和buff配置索引'!L:L,MATCH($F550,'#建筑消耗和buff配置索引'!$M:$M,0)))</f>
        <v>1</v>
      </c>
      <c r="S550" s="134">
        <f>IF(INDEX('#建筑消耗和buff配置索引'!C:C,MATCH(F550,'#建筑消耗和buff配置索引'!M:M,0))=0,1,INDEX('#建筑消耗和buff配置索引'!C:C,MATCH(F550,'#建筑消耗和buff配置索引'!M:M,0)))</f>
        <v>1</v>
      </c>
      <c r="T550" s="134">
        <v>0</v>
      </c>
      <c r="U550" s="134">
        <v>0</v>
      </c>
      <c r="V550" s="133" t="str">
        <f>IF(E550=1,IF(INDEX('#建筑消耗和buff配置索引'!BY:BY,MATCH(D550,'#建筑消耗和buff配置索引'!A:A,0))=0,"",INDEX('#建筑消耗和buff配置索引'!BY:BY,MATCH(D550,'#建筑消耗和buff配置索引'!A:A,0))),"")</f>
        <v/>
      </c>
      <c r="W550" s="133" t="str">
        <f>IF(E550=1,IF(INDEX('#建筑消耗和buff配置索引'!BZ:BZ,MATCH(D550,'#建筑消耗和buff配置索引'!A:A,0))=0,"",INDEX('#建筑消耗和buff配置索引'!BZ:BZ,MATCH(D550,'#建筑消耗和buff配置索引'!A:A,0))),"")</f>
        <v/>
      </c>
      <c r="X550" s="134"/>
      <c r="Y550" s="134"/>
      <c r="Z550" s="134"/>
      <c r="AA550" s="134">
        <f>INDEX('#建筑消耗和buff配置索引'!AO:AO,MATCH($F550,'#建筑消耗和buff配置索引'!$M:$M,0))</f>
        <v>0</v>
      </c>
      <c r="AB550" s="134" t="str">
        <f>IF(INDEX('#建筑消耗和buff配置索引'!AR:AR,MATCH($F550,'#建筑消耗和buff配置索引'!$M:$M,0))=0,"",INDEX('#建筑消耗和buff配置索引'!AR:AR,MATCH($F550,'#建筑消耗和buff配置索引'!$M:$M,0)))</f>
        <v/>
      </c>
      <c r="AC550" s="134" t="str">
        <f>IF(AB550="","",INDEX('#建筑消耗和buff配置索引'!AS:AS,MATCH($F550,'#建筑消耗和buff配置索引'!$M:$M,0)))</f>
        <v/>
      </c>
      <c r="AD550" s="134"/>
      <c r="AE550" s="134"/>
      <c r="AF550" s="134" t="str">
        <f>IF(INDEX('#建筑消耗和buff配置索引'!AW:AW,MATCH($F550,'#建筑消耗和buff配置索引'!$M:$M,0))=0,"",INDEX('#建筑消耗和buff配置索引'!AW:AW,MATCH($F550,'#建筑消耗和buff配置索引'!$M:$M,0)))</f>
        <v/>
      </c>
      <c r="AG550" s="134" t="str">
        <f>IF(AF550="","",INDEX('#建筑消耗和buff配置索引'!AX:AX,MATCH($F550,'#建筑消耗和buff配置索引'!$M:$M,0)))</f>
        <v/>
      </c>
      <c r="AH550" s="134"/>
      <c r="AI550" s="134"/>
      <c r="AJ550" s="133" t="str">
        <f>IF(INDEX('#建筑消耗和buff配置索引'!BB:BB,MATCH($F550,'#建筑消耗和buff配置索引'!$M:$M,0))=0,"",INDEX('#建筑消耗和buff配置索引'!BB:BB,MATCH($F550,'#建筑消耗和buff配置索引'!$M:$M,0)))</f>
        <v/>
      </c>
      <c r="AK550" s="133" t="str">
        <f>IF(AJ550="","",INDEX('#建筑消耗和buff配置索引'!BC:BC,MATCH($F550,'#建筑消耗和buff配置索引'!$M:$M,0)))</f>
        <v/>
      </c>
      <c r="AL550" s="133"/>
      <c r="AM550" s="133"/>
      <c r="AN550" s="133" t="str">
        <f>IF(INDEX('#建筑消耗和buff配置索引'!BG:BG,MATCH($F550,'#建筑消耗和buff配置索引'!$M:$M,0))=0,"",INDEX('#建筑消耗和buff配置索引'!BG:BG,MATCH($F550,'#建筑消耗和buff配置索引'!$M:$M,0)))</f>
        <v/>
      </c>
      <c r="AO550" s="133" t="str">
        <f>IF(AN550="","",INDEX('#建筑消耗和buff配置索引'!BH:BH,MATCH($F550,'#建筑消耗和buff配置索引'!$M:$M,0)))</f>
        <v/>
      </c>
      <c r="AP550" s="133"/>
      <c r="AQ550" s="133"/>
      <c r="AR550" s="133" t="str">
        <f>IF(INDEX('#建筑消耗和buff配置索引'!BK:BK,MATCH($F550,'#建筑消耗和buff配置索引'!$M:$M,0))=0,"",INDEX('#建筑消耗和buff配置索引'!BK:BK,MATCH($F550,'#建筑消耗和buff配置索引'!$M:$M,0)))</f>
        <v/>
      </c>
      <c r="AS550" s="133" t="str">
        <f>IF(AR550="","",INDEX('#建筑消耗和buff配置索引'!BL:BL,MATCH($F550,'#建筑消耗和buff配置索引'!$M:$M,0)))</f>
        <v/>
      </c>
      <c r="AT550" s="133"/>
      <c r="AU550" s="133"/>
      <c r="AV550" s="133" t="str">
        <f>IF(INDEX('#建筑消耗和buff配置索引'!BO:BO,MATCH($F550,'#建筑消耗和buff配置索引'!$M:$M,0))=0,"",INDEX('#建筑消耗和buff配置索引'!BO:BO,MATCH($F550,'#建筑消耗和buff配置索引'!$M:$M,0)))</f>
        <v/>
      </c>
      <c r="AW550" s="133" t="str">
        <f>IF(AV550="","",INDEX('#建筑消耗和buff配置索引'!BP:BP,MATCH($F550,'#建筑消耗和buff配置索引'!$M:$M,0)))</f>
        <v/>
      </c>
      <c r="AX550" s="133"/>
      <c r="AY550" s="133"/>
      <c r="AZ550" s="133" t="str">
        <f>IF(INDEX('#建筑消耗和buff配置索引'!BS:BS,MATCH($F550,'#建筑消耗和buff配置索引'!$M:$M,0))=0,"",INDEX('#建筑消耗和buff配置索引'!BS:BS,MATCH($F550,'#建筑消耗和buff配置索引'!$M:$M,0)))</f>
        <v/>
      </c>
      <c r="BA550" s="133" t="str">
        <f>IF(AZ550="","",INDEX('#建筑消耗和buff配置索引'!BT:BT,MATCH($F550,'#建筑消耗和buff配置索引'!$M:$M,0)))</f>
        <v/>
      </c>
      <c r="BB550" s="133"/>
      <c r="BC550" s="133"/>
      <c r="BD550" s="133" t="str">
        <f>IF(INDEX('#建筑消耗和buff配置索引'!BW:BW,MATCH($F550,'#建筑消耗和buff配置索引'!$M:$M,0))=0,"",INDEX('#建筑消耗和buff配置索引'!BW:BW,MATCH($F550,'#建筑消耗和buff配置索引'!$M:$M,0)))</f>
        <v/>
      </c>
      <c r="BE550" s="133" t="str">
        <f>IF(BD550="","",INDEX('#建筑消耗和buff配置索引'!BX:BX,MATCH($F550,'#建筑消耗和buff配置索引'!$M:$M,0)))</f>
        <v/>
      </c>
      <c r="BF550" s="160"/>
      <c r="BG550" s="160"/>
      <c r="BH550" s="134"/>
      <c r="BI550" s="134">
        <v>28</v>
      </c>
      <c r="BJ550" s="134"/>
    </row>
    <row r="551" spans="1:66" s="133" customFormat="1">
      <c r="A551" s="133">
        <v>2110001</v>
      </c>
      <c r="B551" s="133">
        <v>548</v>
      </c>
      <c r="C551" s="133">
        <v>211</v>
      </c>
      <c r="D551" s="133" t="s">
        <v>605</v>
      </c>
      <c r="E551" s="133">
        <v>1</v>
      </c>
      <c r="F551" s="133" t="str">
        <f t="shared" si="9"/>
        <v>学院1</v>
      </c>
      <c r="H551" s="146"/>
      <c r="I551" s="133" t="s">
        <v>1205</v>
      </c>
      <c r="J551" s="150">
        <f>INDEX('#建筑消耗和buff配置索引'!AH:AH,MATCH($F551,'#建筑消耗和buff配置索引'!$M:$M,0))</f>
        <v>25</v>
      </c>
      <c r="K551" s="150">
        <f>INDEX('#建筑消耗和buff配置索引'!AA:AA,MATCH($F551,'#建筑消耗和buff配置索引'!$M:$M,0))</f>
        <v>0</v>
      </c>
      <c r="L551" s="150">
        <f>INDEX('#建筑消耗和buff配置索引'!AB:AB,MATCH($F551,'#建筑消耗和buff配置索引'!$M:$M,0))</f>
        <v>0</v>
      </c>
      <c r="M551" s="150">
        <f>INDEX('#建筑消耗和buff配置索引'!AC:AC,MATCH($F551,'#建筑消耗和buff配置索引'!$M:$M,0))</f>
        <v>0</v>
      </c>
      <c r="N551" s="150">
        <f>INDEX('#建筑消耗和buff配置索引'!AD:AD,MATCH($F551,'#建筑消耗和buff配置索引'!$M:$M,0))</f>
        <v>0</v>
      </c>
      <c r="O551" s="150" t="str">
        <f>IF(INDEX('#建筑消耗和buff配置索引'!T:T,MATCH($F551,'#建筑消耗和buff配置索引'!$M:$M,0))=0,"",INDEX('#建筑消耗和buff配置索引'!T:T,MATCH($F551,'#建筑消耗和buff配置索引'!$M:$M,0)))</f>
        <v/>
      </c>
      <c r="P551" s="133" t="str">
        <f>IF(INDEX('#建筑消耗和buff配置索引'!U:U,MATCH($F551,'#建筑消耗和buff配置索引'!$M:$M,0))=0,"",INDEX('#建筑消耗和buff配置索引'!U:U,MATCH($F551,'#建筑消耗和buff配置索引'!$M:$M,0)))</f>
        <v/>
      </c>
      <c r="Q551" s="133" t="str">
        <f>IF(INDEX('#建筑消耗和buff配置索引'!K:K,MATCH($F551,'#建筑消耗和buff配置索引'!$M:$M,0))=0,"",INDEX('#建筑消耗和buff配置索引'!K:K,MATCH($F551,'#建筑消耗和buff配置索引'!$M:$M,0)))</f>
        <v>201</v>
      </c>
      <c r="R551" s="133" t="str">
        <f>IF(INDEX('#建筑消耗和buff配置索引'!L:L,MATCH($F551,'#建筑消耗和buff配置索引'!$M:$M,0))=0,"",INDEX('#建筑消耗和buff配置索引'!L:L,MATCH($F551,'#建筑消耗和buff配置索引'!$M:$M,0)))</f>
        <v>4</v>
      </c>
      <c r="S551" s="133">
        <f>IF(INDEX('#建筑消耗和buff配置索引'!C:C,MATCH(F551,'#建筑消耗和buff配置索引'!M:M,0))=0,1,INDEX('#建筑消耗和buff配置索引'!C:C,MATCH(F551,'#建筑消耗和buff配置索引'!M:M,0)))</f>
        <v>2</v>
      </c>
      <c r="T551" s="133">
        <v>0</v>
      </c>
      <c r="U551" s="133">
        <v>0</v>
      </c>
      <c r="V551" s="133" t="str">
        <f>IF(E551=1,IF(INDEX('#建筑消耗和buff配置索引'!BY:BY,MATCH(D551,'#建筑消耗和buff配置索引'!A:A,0))=0,"",INDEX('#建筑消耗和buff配置索引'!BY:BY,MATCH(D551,'#建筑消耗和buff配置索引'!A:A,0))),"")</f>
        <v>1</v>
      </c>
      <c r="W551" s="133" t="str">
        <f>IF(E551=1,IF(INDEX('#建筑消耗和buff配置索引'!BZ:BZ,MATCH(D551,'#建筑消耗和buff配置索引'!A:A,0))=0,"",INDEX('#建筑消耗和buff配置索引'!BZ:BZ,MATCH(D551,'#建筑消耗和buff配置索引'!A:A,0))),"")</f>
        <v>TID_Buff_BuilDetail_1300</v>
      </c>
      <c r="AA551" s="133">
        <f>INDEX('#建筑消耗和buff配置索引'!AO:AO,MATCH($F551,'#建筑消耗和buff配置索引'!$M:$M,0))</f>
        <v>4</v>
      </c>
      <c r="AB551" s="133">
        <f>IF(INDEX('#建筑消耗和buff配置索引'!AR:AR,MATCH($F551,'#建筑消耗和buff配置索引'!$M:$M,0))=0,"",INDEX('#建筑消耗和buff配置索引'!AR:AR,MATCH($F551,'#建筑消耗和buff配置索引'!$M:$M,0)))</f>
        <v>1300</v>
      </c>
      <c r="AC551" s="133">
        <f>IF(AB551="","",INDEX('#建筑消耗和buff配置索引'!AS:AS,MATCH($F551,'#建筑消耗和buff配置索引'!$M:$M,0)))</f>
        <v>0.01</v>
      </c>
      <c r="AF551" s="133" t="str">
        <f>IF(INDEX('#建筑消耗和buff配置索引'!AW:AW,MATCH($F551,'#建筑消耗和buff配置索引'!$M:$M,0))=0,"",INDEX('#建筑消耗和buff配置索引'!AW:AW,MATCH($F551,'#建筑消耗和buff配置索引'!$M:$M,0)))</f>
        <v/>
      </c>
      <c r="AG551" s="133" t="str">
        <f>IF(AF551="","",INDEX('#建筑消耗和buff配置索引'!AX:AX,MATCH($F551,'#建筑消耗和buff配置索引'!$M:$M,0)))</f>
        <v/>
      </c>
      <c r="AJ551" s="133" t="str">
        <f>IF(INDEX('#建筑消耗和buff配置索引'!BB:BB,MATCH($F551,'#建筑消耗和buff配置索引'!$M:$M,0))=0,"",INDEX('#建筑消耗和buff配置索引'!BB:BB,MATCH($F551,'#建筑消耗和buff配置索引'!$M:$M,0)))</f>
        <v/>
      </c>
      <c r="AK551" s="133" t="str">
        <f>IF(AJ551="","",INDEX('#建筑消耗和buff配置索引'!BC:BC,MATCH($F551,'#建筑消耗和buff配置索引'!$M:$M,0)))</f>
        <v/>
      </c>
      <c r="AN551" s="133" t="str">
        <f>IF(INDEX('#建筑消耗和buff配置索引'!BG:BG,MATCH($F551,'#建筑消耗和buff配置索引'!$M:$M,0))=0,"",INDEX('#建筑消耗和buff配置索引'!BG:BG,MATCH($F551,'#建筑消耗和buff配置索引'!$M:$M,0)))</f>
        <v/>
      </c>
      <c r="AO551" s="133" t="str">
        <f>IF(AN551="","",INDEX('#建筑消耗和buff配置索引'!BH:BH,MATCH($F551,'#建筑消耗和buff配置索引'!$M:$M,0)))</f>
        <v/>
      </c>
      <c r="AR551" s="133" t="str">
        <f>IF(INDEX('#建筑消耗和buff配置索引'!BK:BK,MATCH($F551,'#建筑消耗和buff配置索引'!$M:$M,0))=0,"",INDEX('#建筑消耗和buff配置索引'!BK:BK,MATCH($F551,'#建筑消耗和buff配置索引'!$M:$M,0)))</f>
        <v/>
      </c>
      <c r="AS551" s="133" t="str">
        <f>IF(AR551="","",INDEX('#建筑消耗和buff配置索引'!BL:BL,MATCH($F551,'#建筑消耗和buff配置索引'!$M:$M,0)))</f>
        <v/>
      </c>
      <c r="AV551" s="133" t="str">
        <f>IF(INDEX('#建筑消耗和buff配置索引'!BO:BO,MATCH($F551,'#建筑消耗和buff配置索引'!$M:$M,0))=0,"",INDEX('#建筑消耗和buff配置索引'!BO:BO,MATCH($F551,'#建筑消耗和buff配置索引'!$M:$M,0)))</f>
        <v/>
      </c>
      <c r="AW551" s="133" t="str">
        <f>IF(AV551="","",INDEX('#建筑消耗和buff配置索引'!BP:BP,MATCH($F551,'#建筑消耗和buff配置索引'!$M:$M,0)))</f>
        <v/>
      </c>
      <c r="AZ551" s="133" t="str">
        <f>IF(INDEX('#建筑消耗和buff配置索引'!BS:BS,MATCH($F551,'#建筑消耗和buff配置索引'!$M:$M,0))=0,"",INDEX('#建筑消耗和buff配置索引'!BS:BS,MATCH($F551,'#建筑消耗和buff配置索引'!$M:$M,0)))</f>
        <v/>
      </c>
      <c r="BA551" s="133" t="str">
        <f>IF(AZ551="","",INDEX('#建筑消耗和buff配置索引'!BT:BT,MATCH($F551,'#建筑消耗和buff配置索引'!$M:$M,0)))</f>
        <v/>
      </c>
      <c r="BD551" s="133" t="str">
        <f>IF(INDEX('#建筑消耗和buff配置索引'!BW:BW,MATCH($F551,'#建筑消耗和buff配置索引'!$M:$M,0))=0,"",INDEX('#建筑消耗和buff配置索引'!BW:BW,MATCH($F551,'#建筑消耗和buff配置索引'!$M:$M,0)))</f>
        <v/>
      </c>
      <c r="BE551" s="133" t="str">
        <f>IF(BD551="","",INDEX('#建筑消耗和buff配置索引'!BX:BX,MATCH($F551,'#建筑消耗和buff配置索引'!$M:$M,0)))</f>
        <v/>
      </c>
      <c r="BI551" s="133">
        <v>22</v>
      </c>
      <c r="BN551" s="133">
        <v>3</v>
      </c>
    </row>
    <row r="552" spans="1:66" s="133" customFormat="1">
      <c r="A552" s="133">
        <v>2110002</v>
      </c>
      <c r="B552" s="133">
        <v>549</v>
      </c>
      <c r="C552" s="133">
        <v>211</v>
      </c>
      <c r="D552" s="133" t="s">
        <v>605</v>
      </c>
      <c r="E552" s="133">
        <v>2</v>
      </c>
      <c r="F552" s="133" t="str">
        <f t="shared" ref="F552:F619" si="10">D552&amp;E552</f>
        <v>学院2</v>
      </c>
      <c r="H552" s="146"/>
      <c r="I552" s="133" t="s">
        <v>1205</v>
      </c>
      <c r="J552" s="150">
        <f>INDEX('#建筑消耗和buff配置索引'!AH:AH,MATCH($F552,'#建筑消耗和buff配置索引'!$M:$M,0))</f>
        <v>72</v>
      </c>
      <c r="K552" s="150">
        <f>INDEX('#建筑消耗和buff配置索引'!AA:AA,MATCH($F552,'#建筑消耗和buff配置索引'!$M:$M,0))</f>
        <v>2000</v>
      </c>
      <c r="L552" s="150">
        <f>INDEX('#建筑消耗和buff配置索引'!AB:AB,MATCH($F552,'#建筑消耗和buff配置索引'!$M:$M,0))</f>
        <v>2000</v>
      </c>
      <c r="M552" s="150">
        <f>INDEX('#建筑消耗和buff配置索引'!AC:AC,MATCH($F552,'#建筑消耗和buff配置索引'!$M:$M,0))</f>
        <v>0</v>
      </c>
      <c r="N552" s="150">
        <f>INDEX('#建筑消耗和buff配置索引'!AD:AD,MATCH($F552,'#建筑消耗和buff配置索引'!$M:$M,0))</f>
        <v>0</v>
      </c>
      <c r="O552" s="150" t="str">
        <f>IF(INDEX('#建筑消耗和buff配置索引'!T:T,MATCH($F552,'#建筑消耗和buff配置索引'!$M:$M,0))=0,"",INDEX('#建筑消耗和buff配置索引'!T:T,MATCH($F552,'#建筑消耗和buff配置索引'!$M:$M,0)))</f>
        <v/>
      </c>
      <c r="P552" s="133" t="str">
        <f>IF(INDEX('#建筑消耗和buff配置索引'!U:U,MATCH($F552,'#建筑消耗和buff配置索引'!$M:$M,0))=0,"",INDEX('#建筑消耗和buff配置索引'!U:U,MATCH($F552,'#建筑消耗和buff配置索引'!$M:$M,0)))</f>
        <v/>
      </c>
      <c r="Q552" s="133" t="str">
        <f>IF(INDEX('#建筑消耗和buff配置索引'!K:K,MATCH($F552,'#建筑消耗和buff配置索引'!$M:$M,0))=0,"",INDEX('#建筑消耗和buff配置索引'!K:K,MATCH($F552,'#建筑消耗和buff配置索引'!$M:$M,0)))</f>
        <v>201</v>
      </c>
      <c r="R552" s="133" t="str">
        <f>IF(INDEX('#建筑消耗和buff配置索引'!L:L,MATCH($F552,'#建筑消耗和buff配置索引'!$M:$M,0))=0,"",INDEX('#建筑消耗和buff配置索引'!L:L,MATCH($F552,'#建筑消耗和buff配置索引'!$M:$M,0)))</f>
        <v>4</v>
      </c>
      <c r="S552" s="133">
        <f>IF(INDEX('#建筑消耗和buff配置索引'!C:C,MATCH(F552,'#建筑消耗和buff配置索引'!M:M,0))=0,1,INDEX('#建筑消耗和buff配置索引'!C:C,MATCH(F552,'#建筑消耗和buff配置索引'!M:M,0)))</f>
        <v>2</v>
      </c>
      <c r="T552" s="133">
        <v>0</v>
      </c>
      <c r="U552" s="133">
        <v>0</v>
      </c>
      <c r="V552" s="133" t="str">
        <f>IF(E552=1,IF(INDEX('#建筑消耗和buff配置索引'!BY:BY,MATCH(D552,'#建筑消耗和buff配置索引'!A:A,0))=0,"",INDEX('#建筑消耗和buff配置索引'!BY:BY,MATCH(D552,'#建筑消耗和buff配置索引'!A:A,0))),"")</f>
        <v/>
      </c>
      <c r="W552" s="133" t="str">
        <f>IF(E552=1,IF(INDEX('#建筑消耗和buff配置索引'!BZ:BZ,MATCH(D552,'#建筑消耗和buff配置索引'!A:A,0))=0,"",INDEX('#建筑消耗和buff配置索引'!BZ:BZ,MATCH(D552,'#建筑消耗和buff配置索引'!A:A,0))),"")</f>
        <v/>
      </c>
      <c r="AA552" s="133">
        <f>INDEX('#建筑消耗和buff配置索引'!AO:AO,MATCH($F552,'#建筑消耗和buff配置索引'!$M:$M,0))</f>
        <v>12</v>
      </c>
      <c r="AB552" s="133">
        <f>IF(INDEX('#建筑消耗和buff配置索引'!AR:AR,MATCH($F552,'#建筑消耗和buff配置索引'!$M:$M,0))=0,"",INDEX('#建筑消耗和buff配置索引'!AR:AR,MATCH($F552,'#建筑消耗和buff配置索引'!$M:$M,0)))</f>
        <v>1300</v>
      </c>
      <c r="AC552" s="133">
        <f>IF(AB552="","",INDEX('#建筑消耗和buff配置索引'!AS:AS,MATCH($F552,'#建筑消耗和buff配置索引'!$M:$M,0)))</f>
        <v>0.02</v>
      </c>
      <c r="AF552" s="133" t="str">
        <f>IF(INDEX('#建筑消耗和buff配置索引'!AW:AW,MATCH($F552,'#建筑消耗和buff配置索引'!$M:$M,0))=0,"",INDEX('#建筑消耗和buff配置索引'!AW:AW,MATCH($F552,'#建筑消耗和buff配置索引'!$M:$M,0)))</f>
        <v/>
      </c>
      <c r="AG552" s="133" t="str">
        <f>IF(AF552="","",INDEX('#建筑消耗和buff配置索引'!AX:AX,MATCH($F552,'#建筑消耗和buff配置索引'!$M:$M,0)))</f>
        <v/>
      </c>
      <c r="AJ552" s="133" t="str">
        <f>IF(INDEX('#建筑消耗和buff配置索引'!BB:BB,MATCH($F552,'#建筑消耗和buff配置索引'!$M:$M,0))=0,"",INDEX('#建筑消耗和buff配置索引'!BB:BB,MATCH($F552,'#建筑消耗和buff配置索引'!$M:$M,0)))</f>
        <v/>
      </c>
      <c r="AK552" s="133" t="str">
        <f>IF(AJ552="","",INDEX('#建筑消耗和buff配置索引'!BC:BC,MATCH($F552,'#建筑消耗和buff配置索引'!$M:$M,0)))</f>
        <v/>
      </c>
      <c r="AN552" s="133" t="str">
        <f>IF(INDEX('#建筑消耗和buff配置索引'!BG:BG,MATCH($F552,'#建筑消耗和buff配置索引'!$M:$M,0))=0,"",INDEX('#建筑消耗和buff配置索引'!BG:BG,MATCH($F552,'#建筑消耗和buff配置索引'!$M:$M,0)))</f>
        <v/>
      </c>
      <c r="AO552" s="133" t="str">
        <f>IF(AN552="","",INDEX('#建筑消耗和buff配置索引'!BH:BH,MATCH($F552,'#建筑消耗和buff配置索引'!$M:$M,0)))</f>
        <v/>
      </c>
      <c r="AR552" s="133" t="str">
        <f>IF(INDEX('#建筑消耗和buff配置索引'!BK:BK,MATCH($F552,'#建筑消耗和buff配置索引'!$M:$M,0))=0,"",INDEX('#建筑消耗和buff配置索引'!BK:BK,MATCH($F552,'#建筑消耗和buff配置索引'!$M:$M,0)))</f>
        <v/>
      </c>
      <c r="AS552" s="133" t="str">
        <f>IF(AR552="","",INDEX('#建筑消耗和buff配置索引'!BL:BL,MATCH($F552,'#建筑消耗和buff配置索引'!$M:$M,0)))</f>
        <v/>
      </c>
      <c r="AV552" s="133" t="str">
        <f>IF(INDEX('#建筑消耗和buff配置索引'!BO:BO,MATCH($F552,'#建筑消耗和buff配置索引'!$M:$M,0))=0,"",INDEX('#建筑消耗和buff配置索引'!BO:BO,MATCH($F552,'#建筑消耗和buff配置索引'!$M:$M,0)))</f>
        <v/>
      </c>
      <c r="AW552" s="133" t="str">
        <f>IF(AV552="","",INDEX('#建筑消耗和buff配置索引'!BP:BP,MATCH($F552,'#建筑消耗和buff配置索引'!$M:$M,0)))</f>
        <v/>
      </c>
      <c r="AZ552" s="133" t="str">
        <f>IF(INDEX('#建筑消耗和buff配置索引'!BS:BS,MATCH($F552,'#建筑消耗和buff配置索引'!$M:$M,0))=0,"",INDEX('#建筑消耗和buff配置索引'!BS:BS,MATCH($F552,'#建筑消耗和buff配置索引'!$M:$M,0)))</f>
        <v/>
      </c>
      <c r="BA552" s="133" t="str">
        <f>IF(AZ552="","",INDEX('#建筑消耗和buff配置索引'!BT:BT,MATCH($F552,'#建筑消耗和buff配置索引'!$M:$M,0)))</f>
        <v/>
      </c>
      <c r="BD552" s="133" t="str">
        <f>IF(INDEX('#建筑消耗和buff配置索引'!BW:BW,MATCH($F552,'#建筑消耗和buff配置索引'!$M:$M,0))=0,"",INDEX('#建筑消耗和buff配置索引'!BW:BW,MATCH($F552,'#建筑消耗和buff配置索引'!$M:$M,0)))</f>
        <v/>
      </c>
      <c r="BE552" s="133" t="str">
        <f>IF(BD552="","",INDEX('#建筑消耗和buff配置索引'!BX:BX,MATCH($F552,'#建筑消耗和buff配置索引'!$M:$M,0)))</f>
        <v/>
      </c>
      <c r="BI552" s="133">
        <v>22</v>
      </c>
    </row>
    <row r="553" spans="1:66" s="133" customFormat="1">
      <c r="A553" s="133">
        <v>2110003</v>
      </c>
      <c r="B553" s="133">
        <v>550</v>
      </c>
      <c r="C553" s="133">
        <v>211</v>
      </c>
      <c r="D553" s="133" t="s">
        <v>605</v>
      </c>
      <c r="E553" s="133">
        <v>3</v>
      </c>
      <c r="F553" s="133" t="str">
        <f t="shared" si="10"/>
        <v>学院3</v>
      </c>
      <c r="H553" s="146"/>
      <c r="I553" s="133" t="s">
        <v>1205</v>
      </c>
      <c r="J553" s="150">
        <f>INDEX('#建筑消耗和buff配置索引'!AH:AH,MATCH($F553,'#建筑消耗和buff配置索引'!$M:$M,0))</f>
        <v>144</v>
      </c>
      <c r="K553" s="150">
        <f>INDEX('#建筑消耗和buff配置索引'!AA:AA,MATCH($F553,'#建筑消耗和buff配置索引'!$M:$M,0))</f>
        <v>4000</v>
      </c>
      <c r="L553" s="150">
        <f>INDEX('#建筑消耗和buff配置索引'!AB:AB,MATCH($F553,'#建筑消耗和buff配置索引'!$M:$M,0))</f>
        <v>4000</v>
      </c>
      <c r="M553" s="150">
        <f>INDEX('#建筑消耗和buff配置索引'!AC:AC,MATCH($F553,'#建筑消耗和buff配置索引'!$M:$M,0))</f>
        <v>0</v>
      </c>
      <c r="N553" s="150">
        <f>INDEX('#建筑消耗和buff配置索引'!AD:AD,MATCH($F553,'#建筑消耗和buff配置索引'!$M:$M,0))</f>
        <v>0</v>
      </c>
      <c r="O553" s="150" t="str">
        <f>IF(INDEX('#建筑消耗和buff配置索引'!T:T,MATCH($F553,'#建筑消耗和buff配置索引'!$M:$M,0))=0,"",INDEX('#建筑消耗和buff配置索引'!T:T,MATCH($F553,'#建筑消耗和buff配置索引'!$M:$M,0)))</f>
        <v/>
      </c>
      <c r="P553" s="133" t="str">
        <f>IF(INDEX('#建筑消耗和buff配置索引'!U:U,MATCH($F553,'#建筑消耗和buff配置索引'!$M:$M,0))=0,"",INDEX('#建筑消耗和buff配置索引'!U:U,MATCH($F553,'#建筑消耗和buff配置索引'!$M:$M,0)))</f>
        <v/>
      </c>
      <c r="Q553" s="133" t="str">
        <f>IF(INDEX('#建筑消耗和buff配置索引'!K:K,MATCH($F553,'#建筑消耗和buff配置索引'!$M:$M,0))=0,"",INDEX('#建筑消耗和buff配置索引'!K:K,MATCH($F553,'#建筑消耗和buff配置索引'!$M:$M,0)))</f>
        <v>201</v>
      </c>
      <c r="R553" s="133" t="str">
        <f>IF(INDEX('#建筑消耗和buff配置索引'!L:L,MATCH($F553,'#建筑消耗和buff配置索引'!$M:$M,0))=0,"",INDEX('#建筑消耗和buff配置索引'!L:L,MATCH($F553,'#建筑消耗和buff配置索引'!$M:$M,0)))</f>
        <v>4</v>
      </c>
      <c r="S553" s="133">
        <f>IF(INDEX('#建筑消耗和buff配置索引'!C:C,MATCH(F553,'#建筑消耗和buff配置索引'!M:M,0))=0,1,INDEX('#建筑消耗和buff配置索引'!C:C,MATCH(F553,'#建筑消耗和buff配置索引'!M:M,0)))</f>
        <v>2</v>
      </c>
      <c r="T553" s="133">
        <v>0</v>
      </c>
      <c r="U553" s="133">
        <v>0</v>
      </c>
      <c r="V553" s="133" t="str">
        <f>IF(E553=1,IF(INDEX('#建筑消耗和buff配置索引'!BY:BY,MATCH(D553,'#建筑消耗和buff配置索引'!A:A,0))=0,"",INDEX('#建筑消耗和buff配置索引'!BY:BY,MATCH(D553,'#建筑消耗和buff配置索引'!A:A,0))),"")</f>
        <v/>
      </c>
      <c r="W553" s="133" t="str">
        <f>IF(E553=1,IF(INDEX('#建筑消耗和buff配置索引'!BZ:BZ,MATCH(D553,'#建筑消耗和buff配置索引'!A:A,0))=0,"",INDEX('#建筑消耗和buff配置索引'!BZ:BZ,MATCH(D553,'#建筑消耗和buff配置索引'!A:A,0))),"")</f>
        <v/>
      </c>
      <c r="AA553" s="133">
        <f>INDEX('#建筑消耗和buff配置索引'!AO:AO,MATCH($F553,'#建筑消耗和buff配置索引'!$M:$M,0))</f>
        <v>28</v>
      </c>
      <c r="AB553" s="133">
        <f>IF(INDEX('#建筑消耗和buff配置索引'!AR:AR,MATCH($F553,'#建筑消耗和buff配置索引'!$M:$M,0))=0,"",INDEX('#建筑消耗和buff配置索引'!AR:AR,MATCH($F553,'#建筑消耗和buff配置索引'!$M:$M,0)))</f>
        <v>1300</v>
      </c>
      <c r="AC553" s="133">
        <f>IF(AB553="","",INDEX('#建筑消耗和buff配置索引'!AS:AS,MATCH($F553,'#建筑消耗和buff配置索引'!$M:$M,0)))</f>
        <v>0.03</v>
      </c>
      <c r="AF553" s="133" t="str">
        <f>IF(INDEX('#建筑消耗和buff配置索引'!AW:AW,MATCH($F553,'#建筑消耗和buff配置索引'!$M:$M,0))=0,"",INDEX('#建筑消耗和buff配置索引'!AW:AW,MATCH($F553,'#建筑消耗和buff配置索引'!$M:$M,0)))</f>
        <v/>
      </c>
      <c r="AG553" s="133" t="str">
        <f>IF(AF553="","",INDEX('#建筑消耗和buff配置索引'!AX:AX,MATCH($F553,'#建筑消耗和buff配置索引'!$M:$M,0)))</f>
        <v/>
      </c>
      <c r="AJ553" s="133" t="str">
        <f>IF(INDEX('#建筑消耗和buff配置索引'!BB:BB,MATCH($F553,'#建筑消耗和buff配置索引'!$M:$M,0))=0,"",INDEX('#建筑消耗和buff配置索引'!BB:BB,MATCH($F553,'#建筑消耗和buff配置索引'!$M:$M,0)))</f>
        <v/>
      </c>
      <c r="AK553" s="133" t="str">
        <f>IF(AJ553="","",INDEX('#建筑消耗和buff配置索引'!BC:BC,MATCH($F553,'#建筑消耗和buff配置索引'!$M:$M,0)))</f>
        <v/>
      </c>
      <c r="AN553" s="133" t="str">
        <f>IF(INDEX('#建筑消耗和buff配置索引'!BG:BG,MATCH($F553,'#建筑消耗和buff配置索引'!$M:$M,0))=0,"",INDEX('#建筑消耗和buff配置索引'!BG:BG,MATCH($F553,'#建筑消耗和buff配置索引'!$M:$M,0)))</f>
        <v/>
      </c>
      <c r="AO553" s="133" t="str">
        <f>IF(AN553="","",INDEX('#建筑消耗和buff配置索引'!BH:BH,MATCH($F553,'#建筑消耗和buff配置索引'!$M:$M,0)))</f>
        <v/>
      </c>
      <c r="AR553" s="133" t="str">
        <f>IF(INDEX('#建筑消耗和buff配置索引'!BK:BK,MATCH($F553,'#建筑消耗和buff配置索引'!$M:$M,0))=0,"",INDEX('#建筑消耗和buff配置索引'!BK:BK,MATCH($F553,'#建筑消耗和buff配置索引'!$M:$M,0)))</f>
        <v/>
      </c>
      <c r="AS553" s="133" t="str">
        <f>IF(AR553="","",INDEX('#建筑消耗和buff配置索引'!BL:BL,MATCH($F553,'#建筑消耗和buff配置索引'!$M:$M,0)))</f>
        <v/>
      </c>
      <c r="AV553" s="133" t="str">
        <f>IF(INDEX('#建筑消耗和buff配置索引'!BO:BO,MATCH($F553,'#建筑消耗和buff配置索引'!$M:$M,0))=0,"",INDEX('#建筑消耗和buff配置索引'!BO:BO,MATCH($F553,'#建筑消耗和buff配置索引'!$M:$M,0)))</f>
        <v/>
      </c>
      <c r="AW553" s="133" t="str">
        <f>IF(AV553="","",INDEX('#建筑消耗和buff配置索引'!BP:BP,MATCH($F553,'#建筑消耗和buff配置索引'!$M:$M,0)))</f>
        <v/>
      </c>
      <c r="AZ553" s="133" t="str">
        <f>IF(INDEX('#建筑消耗和buff配置索引'!BS:BS,MATCH($F553,'#建筑消耗和buff配置索引'!$M:$M,0))=0,"",INDEX('#建筑消耗和buff配置索引'!BS:BS,MATCH($F553,'#建筑消耗和buff配置索引'!$M:$M,0)))</f>
        <v/>
      </c>
      <c r="BA553" s="133" t="str">
        <f>IF(AZ553="","",INDEX('#建筑消耗和buff配置索引'!BT:BT,MATCH($F553,'#建筑消耗和buff配置索引'!$M:$M,0)))</f>
        <v/>
      </c>
      <c r="BD553" s="133" t="str">
        <f>IF(INDEX('#建筑消耗和buff配置索引'!BW:BW,MATCH($F553,'#建筑消耗和buff配置索引'!$M:$M,0))=0,"",INDEX('#建筑消耗和buff配置索引'!BW:BW,MATCH($F553,'#建筑消耗和buff配置索引'!$M:$M,0)))</f>
        <v/>
      </c>
      <c r="BE553" s="133" t="str">
        <f>IF(BD553="","",INDEX('#建筑消耗和buff配置索引'!BX:BX,MATCH($F553,'#建筑消耗和buff配置索引'!$M:$M,0)))</f>
        <v/>
      </c>
      <c r="BI553" s="133">
        <v>22</v>
      </c>
    </row>
    <row r="554" spans="1:66" s="133" customFormat="1">
      <c r="A554" s="133">
        <v>2110004</v>
      </c>
      <c r="B554" s="133">
        <v>551</v>
      </c>
      <c r="C554" s="133">
        <v>211</v>
      </c>
      <c r="D554" s="133" t="s">
        <v>605</v>
      </c>
      <c r="E554" s="133">
        <v>4</v>
      </c>
      <c r="F554" s="133" t="str">
        <f t="shared" si="10"/>
        <v>学院4</v>
      </c>
      <c r="H554" s="146"/>
      <c r="I554" s="133" t="s">
        <v>1205</v>
      </c>
      <c r="J554" s="150">
        <f>INDEX('#建筑消耗和buff配置索引'!AH:AH,MATCH($F554,'#建筑消耗和buff配置索引'!$M:$M,0))</f>
        <v>288</v>
      </c>
      <c r="K554" s="150">
        <f>INDEX('#建筑消耗和buff配置索引'!AA:AA,MATCH($F554,'#建筑消耗和buff配置索引'!$M:$M,0))</f>
        <v>8000</v>
      </c>
      <c r="L554" s="150">
        <f>INDEX('#建筑消耗和buff配置索引'!AB:AB,MATCH($F554,'#建筑消耗和buff配置索引'!$M:$M,0))</f>
        <v>8000</v>
      </c>
      <c r="M554" s="150">
        <f>INDEX('#建筑消耗和buff配置索引'!AC:AC,MATCH($F554,'#建筑消耗和buff配置索引'!$M:$M,0))</f>
        <v>0</v>
      </c>
      <c r="N554" s="150">
        <f>INDEX('#建筑消耗和buff配置索引'!AD:AD,MATCH($F554,'#建筑消耗和buff配置索引'!$M:$M,0))</f>
        <v>0</v>
      </c>
      <c r="O554" s="150" t="str">
        <f>IF(INDEX('#建筑消耗和buff配置索引'!T:T,MATCH($F554,'#建筑消耗和buff配置索引'!$M:$M,0))=0,"",INDEX('#建筑消耗和buff配置索引'!T:T,MATCH($F554,'#建筑消耗和buff配置索引'!$M:$M,0)))</f>
        <v/>
      </c>
      <c r="P554" s="133" t="str">
        <f>IF(INDEX('#建筑消耗和buff配置索引'!U:U,MATCH($F554,'#建筑消耗和buff配置索引'!$M:$M,0))=0,"",INDEX('#建筑消耗和buff配置索引'!U:U,MATCH($F554,'#建筑消耗和buff配置索引'!$M:$M,0)))</f>
        <v/>
      </c>
      <c r="Q554" s="133" t="str">
        <f>IF(INDEX('#建筑消耗和buff配置索引'!K:K,MATCH($F554,'#建筑消耗和buff配置索引'!$M:$M,0))=0,"",INDEX('#建筑消耗和buff配置索引'!K:K,MATCH($F554,'#建筑消耗和buff配置索引'!$M:$M,0)))</f>
        <v>201</v>
      </c>
      <c r="R554" s="133" t="str">
        <f>IF(INDEX('#建筑消耗和buff配置索引'!L:L,MATCH($F554,'#建筑消耗和buff配置索引'!$M:$M,0))=0,"",INDEX('#建筑消耗和buff配置索引'!L:L,MATCH($F554,'#建筑消耗和buff配置索引'!$M:$M,0)))</f>
        <v>4</v>
      </c>
      <c r="S554" s="133">
        <f>IF(INDEX('#建筑消耗和buff配置索引'!C:C,MATCH(F554,'#建筑消耗和buff配置索引'!M:M,0))=0,1,INDEX('#建筑消耗和buff配置索引'!C:C,MATCH(F554,'#建筑消耗和buff配置索引'!M:M,0)))</f>
        <v>2</v>
      </c>
      <c r="T554" s="133">
        <v>0</v>
      </c>
      <c r="U554" s="133">
        <v>0</v>
      </c>
      <c r="V554" s="133" t="str">
        <f>IF(E554=1,IF(INDEX('#建筑消耗和buff配置索引'!BY:BY,MATCH(D554,'#建筑消耗和buff配置索引'!A:A,0))=0,"",INDEX('#建筑消耗和buff配置索引'!BY:BY,MATCH(D554,'#建筑消耗和buff配置索引'!A:A,0))),"")</f>
        <v/>
      </c>
      <c r="W554" s="133" t="str">
        <f>IF(E554=1,IF(INDEX('#建筑消耗和buff配置索引'!BZ:BZ,MATCH(D554,'#建筑消耗和buff配置索引'!A:A,0))=0,"",INDEX('#建筑消耗和buff配置索引'!BZ:BZ,MATCH(D554,'#建筑消耗和buff配置索引'!A:A,0))),"")</f>
        <v/>
      </c>
      <c r="AA554" s="133">
        <f>INDEX('#建筑消耗和buff配置索引'!AO:AO,MATCH($F554,'#建筑消耗和buff配置索引'!$M:$M,0))</f>
        <v>60</v>
      </c>
      <c r="AB554" s="133">
        <f>IF(INDEX('#建筑消耗和buff配置索引'!AR:AR,MATCH($F554,'#建筑消耗和buff配置索引'!$M:$M,0))=0,"",INDEX('#建筑消耗和buff配置索引'!AR:AR,MATCH($F554,'#建筑消耗和buff配置索引'!$M:$M,0)))</f>
        <v>1300</v>
      </c>
      <c r="AC554" s="133">
        <f>IF(AB554="","",INDEX('#建筑消耗和buff配置索引'!AS:AS,MATCH($F554,'#建筑消耗和buff配置索引'!$M:$M,0)))</f>
        <v>0.04</v>
      </c>
      <c r="AF554" s="133" t="str">
        <f>IF(INDEX('#建筑消耗和buff配置索引'!AW:AW,MATCH($F554,'#建筑消耗和buff配置索引'!$M:$M,0))=0,"",INDEX('#建筑消耗和buff配置索引'!AW:AW,MATCH($F554,'#建筑消耗和buff配置索引'!$M:$M,0)))</f>
        <v/>
      </c>
      <c r="AG554" s="133" t="str">
        <f>IF(AF554="","",INDEX('#建筑消耗和buff配置索引'!AX:AX,MATCH($F554,'#建筑消耗和buff配置索引'!$M:$M,0)))</f>
        <v/>
      </c>
      <c r="AJ554" s="133" t="str">
        <f>IF(INDEX('#建筑消耗和buff配置索引'!BB:BB,MATCH($F554,'#建筑消耗和buff配置索引'!$M:$M,0))=0,"",INDEX('#建筑消耗和buff配置索引'!BB:BB,MATCH($F554,'#建筑消耗和buff配置索引'!$M:$M,0)))</f>
        <v/>
      </c>
      <c r="AK554" s="133" t="str">
        <f>IF(AJ554="","",INDEX('#建筑消耗和buff配置索引'!BC:BC,MATCH($F554,'#建筑消耗和buff配置索引'!$M:$M,0)))</f>
        <v/>
      </c>
      <c r="AN554" s="133" t="str">
        <f>IF(INDEX('#建筑消耗和buff配置索引'!BG:BG,MATCH($F554,'#建筑消耗和buff配置索引'!$M:$M,0))=0,"",INDEX('#建筑消耗和buff配置索引'!BG:BG,MATCH($F554,'#建筑消耗和buff配置索引'!$M:$M,0)))</f>
        <v/>
      </c>
      <c r="AO554" s="133" t="str">
        <f>IF(AN554="","",INDEX('#建筑消耗和buff配置索引'!BH:BH,MATCH($F554,'#建筑消耗和buff配置索引'!$M:$M,0)))</f>
        <v/>
      </c>
      <c r="AR554" s="133" t="str">
        <f>IF(INDEX('#建筑消耗和buff配置索引'!BK:BK,MATCH($F554,'#建筑消耗和buff配置索引'!$M:$M,0))=0,"",INDEX('#建筑消耗和buff配置索引'!BK:BK,MATCH($F554,'#建筑消耗和buff配置索引'!$M:$M,0)))</f>
        <v/>
      </c>
      <c r="AS554" s="133" t="str">
        <f>IF(AR554="","",INDEX('#建筑消耗和buff配置索引'!BL:BL,MATCH($F554,'#建筑消耗和buff配置索引'!$M:$M,0)))</f>
        <v/>
      </c>
      <c r="AV554" s="133" t="str">
        <f>IF(INDEX('#建筑消耗和buff配置索引'!BO:BO,MATCH($F554,'#建筑消耗和buff配置索引'!$M:$M,0))=0,"",INDEX('#建筑消耗和buff配置索引'!BO:BO,MATCH($F554,'#建筑消耗和buff配置索引'!$M:$M,0)))</f>
        <v/>
      </c>
      <c r="AW554" s="133" t="str">
        <f>IF(AV554="","",INDEX('#建筑消耗和buff配置索引'!BP:BP,MATCH($F554,'#建筑消耗和buff配置索引'!$M:$M,0)))</f>
        <v/>
      </c>
      <c r="AZ554" s="133" t="str">
        <f>IF(INDEX('#建筑消耗和buff配置索引'!BS:BS,MATCH($F554,'#建筑消耗和buff配置索引'!$M:$M,0))=0,"",INDEX('#建筑消耗和buff配置索引'!BS:BS,MATCH($F554,'#建筑消耗和buff配置索引'!$M:$M,0)))</f>
        <v/>
      </c>
      <c r="BA554" s="133" t="str">
        <f>IF(AZ554="","",INDEX('#建筑消耗和buff配置索引'!BT:BT,MATCH($F554,'#建筑消耗和buff配置索引'!$M:$M,0)))</f>
        <v/>
      </c>
      <c r="BD554" s="133" t="str">
        <f>IF(INDEX('#建筑消耗和buff配置索引'!BW:BW,MATCH($F554,'#建筑消耗和buff配置索引'!$M:$M,0))=0,"",INDEX('#建筑消耗和buff配置索引'!BW:BW,MATCH($F554,'#建筑消耗和buff配置索引'!$M:$M,0)))</f>
        <v/>
      </c>
      <c r="BE554" s="133" t="str">
        <f>IF(BD554="","",INDEX('#建筑消耗和buff配置索引'!BX:BX,MATCH($F554,'#建筑消耗和buff配置索引'!$M:$M,0)))</f>
        <v/>
      </c>
      <c r="BI554" s="133">
        <v>22</v>
      </c>
    </row>
    <row r="555" spans="1:66" s="133" customFormat="1">
      <c r="A555" s="133">
        <v>2110005</v>
      </c>
      <c r="B555" s="133">
        <v>552</v>
      </c>
      <c r="C555" s="133">
        <v>211</v>
      </c>
      <c r="D555" s="133" t="s">
        <v>605</v>
      </c>
      <c r="E555" s="133">
        <v>5</v>
      </c>
      <c r="F555" s="133" t="str">
        <f t="shared" si="10"/>
        <v>学院5</v>
      </c>
      <c r="H555" s="146"/>
      <c r="I555" s="133" t="s">
        <v>1205</v>
      </c>
      <c r="J555" s="150">
        <f>INDEX('#建筑消耗和buff配置索引'!AH:AH,MATCH($F555,'#建筑消耗和buff配置索引'!$M:$M,0))</f>
        <v>600</v>
      </c>
      <c r="K555" s="150">
        <f>INDEX('#建筑消耗和buff配置索引'!AA:AA,MATCH($F555,'#建筑消耗和buff配置索引'!$M:$M,0))</f>
        <v>10000</v>
      </c>
      <c r="L555" s="150">
        <f>INDEX('#建筑消耗和buff配置索引'!AB:AB,MATCH($F555,'#建筑消耗和buff配置索引'!$M:$M,0))</f>
        <v>10000</v>
      </c>
      <c r="M555" s="150">
        <f>INDEX('#建筑消耗和buff配置索引'!AC:AC,MATCH($F555,'#建筑消耗和buff配置索引'!$M:$M,0))</f>
        <v>10000</v>
      </c>
      <c r="N555" s="150">
        <f>INDEX('#建筑消耗和buff配置索引'!AD:AD,MATCH($F555,'#建筑消耗和buff配置索引'!$M:$M,0))</f>
        <v>0</v>
      </c>
      <c r="O555" s="150" t="str">
        <f>IF(INDEX('#建筑消耗和buff配置索引'!T:T,MATCH($F555,'#建筑消耗和buff配置索引'!$M:$M,0))=0,"",INDEX('#建筑消耗和buff配置索引'!T:T,MATCH($F555,'#建筑消耗和buff配置索引'!$M:$M,0)))</f>
        <v/>
      </c>
      <c r="P555" s="133" t="str">
        <f>IF(INDEX('#建筑消耗和buff配置索引'!U:U,MATCH($F555,'#建筑消耗和buff配置索引'!$M:$M,0))=0,"",INDEX('#建筑消耗和buff配置索引'!U:U,MATCH($F555,'#建筑消耗和buff配置索引'!$M:$M,0)))</f>
        <v/>
      </c>
      <c r="Q555" s="133" t="str">
        <f>IF(INDEX('#建筑消耗和buff配置索引'!K:K,MATCH($F555,'#建筑消耗和buff配置索引'!$M:$M,0))=0,"",INDEX('#建筑消耗和buff配置索引'!K:K,MATCH($F555,'#建筑消耗和buff配置索引'!$M:$M,0)))</f>
        <v>201;202</v>
      </c>
      <c r="R555" s="133" t="str">
        <f>IF(INDEX('#建筑消耗和buff配置索引'!L:L,MATCH($F555,'#建筑消耗和buff配置索引'!$M:$M,0))=0,"",INDEX('#建筑消耗和buff配置索引'!L:L,MATCH($F555,'#建筑消耗和buff配置索引'!$M:$M,0)))</f>
        <v>5;5</v>
      </c>
      <c r="S555" s="133">
        <f>IF(INDEX('#建筑消耗和buff配置索引'!C:C,MATCH(F555,'#建筑消耗和buff配置索引'!M:M,0))=0,1,INDEX('#建筑消耗和buff配置索引'!C:C,MATCH(F555,'#建筑消耗和buff配置索引'!M:M,0)))</f>
        <v>2</v>
      </c>
      <c r="T555" s="133">
        <v>0</v>
      </c>
      <c r="U555" s="133">
        <v>0</v>
      </c>
      <c r="V555" s="133" t="str">
        <f>IF(E555=1,IF(INDEX('#建筑消耗和buff配置索引'!BY:BY,MATCH(D555,'#建筑消耗和buff配置索引'!A:A,0))=0,"",INDEX('#建筑消耗和buff配置索引'!BY:BY,MATCH(D555,'#建筑消耗和buff配置索引'!A:A,0))),"")</f>
        <v/>
      </c>
      <c r="W555" s="133" t="str">
        <f>IF(E555=1,IF(INDEX('#建筑消耗和buff配置索引'!BZ:BZ,MATCH(D555,'#建筑消耗和buff配置索引'!A:A,0))=0,"",INDEX('#建筑消耗和buff配置索引'!BZ:BZ,MATCH(D555,'#建筑消耗和buff配置索引'!A:A,0))),"")</f>
        <v/>
      </c>
      <c r="AA555" s="133">
        <f>INDEX('#建筑消耗和buff配置索引'!AO:AO,MATCH($F555,'#建筑消耗和buff配置索引'!$M:$M,0))</f>
        <v>121</v>
      </c>
      <c r="AB555" s="133">
        <f>IF(INDEX('#建筑消耗和buff配置索引'!AR:AR,MATCH($F555,'#建筑消耗和buff配置索引'!$M:$M,0))=0,"",INDEX('#建筑消耗和buff配置索引'!AR:AR,MATCH($F555,'#建筑消耗和buff配置索引'!$M:$M,0)))</f>
        <v>1300</v>
      </c>
      <c r="AC555" s="133">
        <f>IF(AB555="","",INDEX('#建筑消耗和buff配置索引'!AS:AS,MATCH($F555,'#建筑消耗和buff配置索引'!$M:$M,0)))</f>
        <v>0.05</v>
      </c>
      <c r="AF555" s="133" t="str">
        <f>IF(INDEX('#建筑消耗和buff配置索引'!AW:AW,MATCH($F555,'#建筑消耗和buff配置索引'!$M:$M,0))=0,"",INDEX('#建筑消耗和buff配置索引'!AW:AW,MATCH($F555,'#建筑消耗和buff配置索引'!$M:$M,0)))</f>
        <v/>
      </c>
      <c r="AG555" s="133" t="str">
        <f>IF(AF555="","",INDEX('#建筑消耗和buff配置索引'!AX:AX,MATCH($F555,'#建筑消耗和buff配置索引'!$M:$M,0)))</f>
        <v/>
      </c>
      <c r="AJ555" s="133" t="str">
        <f>IF(INDEX('#建筑消耗和buff配置索引'!BB:BB,MATCH($F555,'#建筑消耗和buff配置索引'!$M:$M,0))=0,"",INDEX('#建筑消耗和buff配置索引'!BB:BB,MATCH($F555,'#建筑消耗和buff配置索引'!$M:$M,0)))</f>
        <v/>
      </c>
      <c r="AK555" s="133" t="str">
        <f>IF(AJ555="","",INDEX('#建筑消耗和buff配置索引'!BC:BC,MATCH($F555,'#建筑消耗和buff配置索引'!$M:$M,0)))</f>
        <v/>
      </c>
      <c r="AN555" s="133" t="str">
        <f>IF(INDEX('#建筑消耗和buff配置索引'!BG:BG,MATCH($F555,'#建筑消耗和buff配置索引'!$M:$M,0))=0,"",INDEX('#建筑消耗和buff配置索引'!BG:BG,MATCH($F555,'#建筑消耗和buff配置索引'!$M:$M,0)))</f>
        <v/>
      </c>
      <c r="AO555" s="133" t="str">
        <f>IF(AN555="","",INDEX('#建筑消耗和buff配置索引'!BH:BH,MATCH($F555,'#建筑消耗和buff配置索引'!$M:$M,0)))</f>
        <v/>
      </c>
      <c r="AR555" s="133" t="str">
        <f>IF(INDEX('#建筑消耗和buff配置索引'!BK:BK,MATCH($F555,'#建筑消耗和buff配置索引'!$M:$M,0))=0,"",INDEX('#建筑消耗和buff配置索引'!BK:BK,MATCH($F555,'#建筑消耗和buff配置索引'!$M:$M,0)))</f>
        <v/>
      </c>
      <c r="AS555" s="133" t="str">
        <f>IF(AR555="","",INDEX('#建筑消耗和buff配置索引'!BL:BL,MATCH($F555,'#建筑消耗和buff配置索引'!$M:$M,0)))</f>
        <v/>
      </c>
      <c r="AV555" s="133" t="str">
        <f>IF(INDEX('#建筑消耗和buff配置索引'!BO:BO,MATCH($F555,'#建筑消耗和buff配置索引'!$M:$M,0))=0,"",INDEX('#建筑消耗和buff配置索引'!BO:BO,MATCH($F555,'#建筑消耗和buff配置索引'!$M:$M,0)))</f>
        <v/>
      </c>
      <c r="AW555" s="133" t="str">
        <f>IF(AV555="","",INDEX('#建筑消耗和buff配置索引'!BP:BP,MATCH($F555,'#建筑消耗和buff配置索引'!$M:$M,0)))</f>
        <v/>
      </c>
      <c r="AZ555" s="133" t="str">
        <f>IF(INDEX('#建筑消耗和buff配置索引'!BS:BS,MATCH($F555,'#建筑消耗和buff配置索引'!$M:$M,0))=0,"",INDEX('#建筑消耗和buff配置索引'!BS:BS,MATCH($F555,'#建筑消耗和buff配置索引'!$M:$M,0)))</f>
        <v/>
      </c>
      <c r="BA555" s="133" t="str">
        <f>IF(AZ555="","",INDEX('#建筑消耗和buff配置索引'!BT:BT,MATCH($F555,'#建筑消耗和buff配置索引'!$M:$M,0)))</f>
        <v/>
      </c>
      <c r="BD555" s="133" t="str">
        <f>IF(INDEX('#建筑消耗和buff配置索引'!BW:BW,MATCH($F555,'#建筑消耗和buff配置索引'!$M:$M,0))=0,"",INDEX('#建筑消耗和buff配置索引'!BW:BW,MATCH($F555,'#建筑消耗和buff配置索引'!$M:$M,0)))</f>
        <v/>
      </c>
      <c r="BE555" s="133" t="str">
        <f>IF(BD555="","",INDEX('#建筑消耗和buff配置索引'!BX:BX,MATCH($F555,'#建筑消耗和buff配置索引'!$M:$M,0)))</f>
        <v/>
      </c>
      <c r="BI555" s="133">
        <v>22</v>
      </c>
    </row>
    <row r="556" spans="1:66" s="133" customFormat="1">
      <c r="A556" s="133">
        <v>2110006</v>
      </c>
      <c r="B556" s="133">
        <v>553</v>
      </c>
      <c r="C556" s="133">
        <v>211</v>
      </c>
      <c r="D556" s="133" t="s">
        <v>605</v>
      </c>
      <c r="E556" s="133">
        <v>6</v>
      </c>
      <c r="F556" s="133" t="str">
        <f t="shared" si="10"/>
        <v>学院6</v>
      </c>
      <c r="H556" s="146"/>
      <c r="I556" s="133" t="s">
        <v>1205</v>
      </c>
      <c r="J556" s="150">
        <f>INDEX('#建筑消耗和buff配置索引'!AH:AH,MATCH($F556,'#建筑消耗和buff配置索引'!$M:$M,0))</f>
        <v>1080</v>
      </c>
      <c r="K556" s="150">
        <f>INDEX('#建筑消耗和buff配置索引'!AA:AA,MATCH($F556,'#建筑消耗和buff配置索引'!$M:$M,0))</f>
        <v>19000</v>
      </c>
      <c r="L556" s="150">
        <f>INDEX('#建筑消耗和buff配置索引'!AB:AB,MATCH($F556,'#建筑消耗和buff配置索引'!$M:$M,0))</f>
        <v>19000</v>
      </c>
      <c r="M556" s="150">
        <f>INDEX('#建筑消耗和buff配置索引'!AC:AC,MATCH($F556,'#建筑消耗和buff配置索引'!$M:$M,0))</f>
        <v>19000</v>
      </c>
      <c r="N556" s="150">
        <f>INDEX('#建筑消耗和buff配置索引'!AD:AD,MATCH($F556,'#建筑消耗和buff配置索引'!$M:$M,0))</f>
        <v>0</v>
      </c>
      <c r="O556" s="150" t="str">
        <f>IF(INDEX('#建筑消耗和buff配置索引'!T:T,MATCH($F556,'#建筑消耗和buff配置索引'!$M:$M,0))=0,"",INDEX('#建筑消耗和buff配置索引'!T:T,MATCH($F556,'#建筑消耗和buff配置索引'!$M:$M,0)))</f>
        <v/>
      </c>
      <c r="P556" s="133" t="str">
        <f>IF(INDEX('#建筑消耗和buff配置索引'!U:U,MATCH($F556,'#建筑消耗和buff配置索引'!$M:$M,0))=0,"",INDEX('#建筑消耗和buff配置索引'!U:U,MATCH($F556,'#建筑消耗和buff配置索引'!$M:$M,0)))</f>
        <v/>
      </c>
      <c r="Q556" s="133" t="str">
        <f>IF(INDEX('#建筑消耗和buff配置索引'!K:K,MATCH($F556,'#建筑消耗和buff配置索引'!$M:$M,0))=0,"",INDEX('#建筑消耗和buff配置索引'!K:K,MATCH($F556,'#建筑消耗和buff配置索引'!$M:$M,0)))</f>
        <v>201;202</v>
      </c>
      <c r="R556" s="133" t="str">
        <f>IF(INDEX('#建筑消耗和buff配置索引'!L:L,MATCH($F556,'#建筑消耗和buff配置索引'!$M:$M,0))=0,"",INDEX('#建筑消耗和buff配置索引'!L:L,MATCH($F556,'#建筑消耗和buff配置索引'!$M:$M,0)))</f>
        <v>6;6</v>
      </c>
      <c r="S556" s="133">
        <f>IF(INDEX('#建筑消耗和buff配置索引'!C:C,MATCH(F556,'#建筑消耗和buff配置索引'!M:M,0))=0,1,INDEX('#建筑消耗和buff配置索引'!C:C,MATCH(F556,'#建筑消耗和buff配置索引'!M:M,0)))</f>
        <v>2</v>
      </c>
      <c r="T556" s="133">
        <v>0</v>
      </c>
      <c r="U556" s="133">
        <v>0</v>
      </c>
      <c r="V556" s="133" t="str">
        <f>IF(E556=1,IF(INDEX('#建筑消耗和buff配置索引'!BY:BY,MATCH(D556,'#建筑消耗和buff配置索引'!A:A,0))=0,"",INDEX('#建筑消耗和buff配置索引'!BY:BY,MATCH(D556,'#建筑消耗和buff配置索引'!A:A,0))),"")</f>
        <v/>
      </c>
      <c r="W556" s="133" t="str">
        <f>IF(E556=1,IF(INDEX('#建筑消耗和buff配置索引'!BZ:BZ,MATCH(D556,'#建筑消耗和buff配置索引'!A:A,0))=0,"",INDEX('#建筑消耗和buff配置索引'!BZ:BZ,MATCH(D556,'#建筑消耗和buff配置索引'!A:A,0))),"")</f>
        <v/>
      </c>
      <c r="AA556" s="133">
        <f>INDEX('#建筑消耗和buff配置索引'!AO:AO,MATCH($F556,'#建筑消耗和buff配置索引'!$M:$M,0))</f>
        <v>236</v>
      </c>
      <c r="AB556" s="133">
        <f>IF(INDEX('#建筑消耗和buff配置索引'!AR:AR,MATCH($F556,'#建筑消耗和buff配置索引'!$M:$M,0))=0,"",INDEX('#建筑消耗和buff配置索引'!AR:AR,MATCH($F556,'#建筑消耗和buff配置索引'!$M:$M,0)))</f>
        <v>1300</v>
      </c>
      <c r="AC556" s="133">
        <f>IF(AB556="","",INDEX('#建筑消耗和buff配置索引'!AS:AS,MATCH($F556,'#建筑消耗和buff配置索引'!$M:$M,0)))</f>
        <v>0.06</v>
      </c>
      <c r="AF556" s="133" t="str">
        <f>IF(INDEX('#建筑消耗和buff配置索引'!AW:AW,MATCH($F556,'#建筑消耗和buff配置索引'!$M:$M,0))=0,"",INDEX('#建筑消耗和buff配置索引'!AW:AW,MATCH($F556,'#建筑消耗和buff配置索引'!$M:$M,0)))</f>
        <v/>
      </c>
      <c r="AG556" s="133" t="str">
        <f>IF(AF556="","",INDEX('#建筑消耗和buff配置索引'!AX:AX,MATCH($F556,'#建筑消耗和buff配置索引'!$M:$M,0)))</f>
        <v/>
      </c>
      <c r="AJ556" s="133" t="str">
        <f>IF(INDEX('#建筑消耗和buff配置索引'!BB:BB,MATCH($F556,'#建筑消耗和buff配置索引'!$M:$M,0))=0,"",INDEX('#建筑消耗和buff配置索引'!BB:BB,MATCH($F556,'#建筑消耗和buff配置索引'!$M:$M,0)))</f>
        <v/>
      </c>
      <c r="AK556" s="133" t="str">
        <f>IF(AJ556="","",INDEX('#建筑消耗和buff配置索引'!BC:BC,MATCH($F556,'#建筑消耗和buff配置索引'!$M:$M,0)))</f>
        <v/>
      </c>
      <c r="AN556" s="133" t="str">
        <f>IF(INDEX('#建筑消耗和buff配置索引'!BG:BG,MATCH($F556,'#建筑消耗和buff配置索引'!$M:$M,0))=0,"",INDEX('#建筑消耗和buff配置索引'!BG:BG,MATCH($F556,'#建筑消耗和buff配置索引'!$M:$M,0)))</f>
        <v/>
      </c>
      <c r="AO556" s="133" t="str">
        <f>IF(AN556="","",INDEX('#建筑消耗和buff配置索引'!BH:BH,MATCH($F556,'#建筑消耗和buff配置索引'!$M:$M,0)))</f>
        <v/>
      </c>
      <c r="AR556" s="133" t="str">
        <f>IF(INDEX('#建筑消耗和buff配置索引'!BK:BK,MATCH($F556,'#建筑消耗和buff配置索引'!$M:$M,0))=0,"",INDEX('#建筑消耗和buff配置索引'!BK:BK,MATCH($F556,'#建筑消耗和buff配置索引'!$M:$M,0)))</f>
        <v/>
      </c>
      <c r="AS556" s="133" t="str">
        <f>IF(AR556="","",INDEX('#建筑消耗和buff配置索引'!BL:BL,MATCH($F556,'#建筑消耗和buff配置索引'!$M:$M,0)))</f>
        <v/>
      </c>
      <c r="AV556" s="133" t="str">
        <f>IF(INDEX('#建筑消耗和buff配置索引'!BO:BO,MATCH($F556,'#建筑消耗和buff配置索引'!$M:$M,0))=0,"",INDEX('#建筑消耗和buff配置索引'!BO:BO,MATCH($F556,'#建筑消耗和buff配置索引'!$M:$M,0)))</f>
        <v/>
      </c>
      <c r="AW556" s="133" t="str">
        <f>IF(AV556="","",INDEX('#建筑消耗和buff配置索引'!BP:BP,MATCH($F556,'#建筑消耗和buff配置索引'!$M:$M,0)))</f>
        <v/>
      </c>
      <c r="AZ556" s="133" t="str">
        <f>IF(INDEX('#建筑消耗和buff配置索引'!BS:BS,MATCH($F556,'#建筑消耗和buff配置索引'!$M:$M,0))=0,"",INDEX('#建筑消耗和buff配置索引'!BS:BS,MATCH($F556,'#建筑消耗和buff配置索引'!$M:$M,0)))</f>
        <v/>
      </c>
      <c r="BA556" s="133" t="str">
        <f>IF(AZ556="","",INDEX('#建筑消耗和buff配置索引'!BT:BT,MATCH($F556,'#建筑消耗和buff配置索引'!$M:$M,0)))</f>
        <v/>
      </c>
      <c r="BD556" s="133" t="str">
        <f>IF(INDEX('#建筑消耗和buff配置索引'!BW:BW,MATCH($F556,'#建筑消耗和buff配置索引'!$M:$M,0))=0,"",INDEX('#建筑消耗和buff配置索引'!BW:BW,MATCH($F556,'#建筑消耗和buff配置索引'!$M:$M,0)))</f>
        <v/>
      </c>
      <c r="BE556" s="133" t="str">
        <f>IF(BD556="","",INDEX('#建筑消耗和buff配置索引'!BX:BX,MATCH($F556,'#建筑消耗和buff配置索引'!$M:$M,0)))</f>
        <v/>
      </c>
      <c r="BI556" s="133">
        <v>22</v>
      </c>
    </row>
    <row r="557" spans="1:66" s="133" customFormat="1">
      <c r="A557" s="133">
        <v>2110007</v>
      </c>
      <c r="B557" s="133">
        <v>554</v>
      </c>
      <c r="C557" s="133">
        <v>211</v>
      </c>
      <c r="D557" s="133" t="s">
        <v>605</v>
      </c>
      <c r="E557" s="133">
        <v>7</v>
      </c>
      <c r="F557" s="133" t="str">
        <f t="shared" si="10"/>
        <v>学院7</v>
      </c>
      <c r="H557" s="146"/>
      <c r="I557" s="133" t="s">
        <v>1205</v>
      </c>
      <c r="J557" s="150">
        <f>INDEX('#建筑消耗和buff配置索引'!AH:AH,MATCH($F557,'#建筑消耗和buff配置索引'!$M:$M,0))</f>
        <v>1800</v>
      </c>
      <c r="K557" s="150">
        <f>INDEX('#建筑消耗和buff配置索引'!AA:AA,MATCH($F557,'#建筑消耗和buff配置索引'!$M:$M,0))</f>
        <v>34000</v>
      </c>
      <c r="L557" s="150">
        <f>INDEX('#建筑消耗和buff配置索引'!AB:AB,MATCH($F557,'#建筑消耗和buff配置索引'!$M:$M,0))</f>
        <v>34000</v>
      </c>
      <c r="M557" s="150">
        <f>INDEX('#建筑消耗和buff配置索引'!AC:AC,MATCH($F557,'#建筑消耗和buff配置索引'!$M:$M,0))</f>
        <v>34000</v>
      </c>
      <c r="N557" s="150">
        <f>INDEX('#建筑消耗和buff配置索引'!AD:AD,MATCH($F557,'#建筑消耗和buff配置索引'!$M:$M,0))</f>
        <v>0</v>
      </c>
      <c r="O557" s="150" t="str">
        <f>IF(INDEX('#建筑消耗和buff配置索引'!T:T,MATCH($F557,'#建筑消耗和buff配置索引'!$M:$M,0))=0,"",INDEX('#建筑消耗和buff配置索引'!T:T,MATCH($F557,'#建筑消耗和buff配置索引'!$M:$M,0)))</f>
        <v/>
      </c>
      <c r="P557" s="133" t="str">
        <f>IF(INDEX('#建筑消耗和buff配置索引'!U:U,MATCH($F557,'#建筑消耗和buff配置索引'!$M:$M,0))=0,"",INDEX('#建筑消耗和buff配置索引'!U:U,MATCH($F557,'#建筑消耗和buff配置索引'!$M:$M,0)))</f>
        <v/>
      </c>
      <c r="Q557" s="133" t="str">
        <f>IF(INDEX('#建筑消耗和buff配置索引'!K:K,MATCH($F557,'#建筑消耗和buff配置索引'!$M:$M,0))=0,"",INDEX('#建筑消耗和buff配置索引'!K:K,MATCH($F557,'#建筑消耗和buff配置索引'!$M:$M,0)))</f>
        <v>201;202</v>
      </c>
      <c r="R557" s="133" t="str">
        <f>IF(INDEX('#建筑消耗和buff配置索引'!L:L,MATCH($F557,'#建筑消耗和buff配置索引'!$M:$M,0))=0,"",INDEX('#建筑消耗和buff配置索引'!L:L,MATCH($F557,'#建筑消耗和buff配置索引'!$M:$M,0)))</f>
        <v>7;7</v>
      </c>
      <c r="S557" s="133">
        <f>IF(INDEX('#建筑消耗和buff配置索引'!C:C,MATCH(F557,'#建筑消耗和buff配置索引'!M:M,0))=0,1,INDEX('#建筑消耗和buff配置索引'!C:C,MATCH(F557,'#建筑消耗和buff配置索引'!M:M,0)))</f>
        <v>2</v>
      </c>
      <c r="T557" s="133">
        <v>0</v>
      </c>
      <c r="U557" s="133">
        <v>0</v>
      </c>
      <c r="V557" s="133" t="str">
        <f>IF(E557=1,IF(INDEX('#建筑消耗和buff配置索引'!BY:BY,MATCH(D557,'#建筑消耗和buff配置索引'!A:A,0))=0,"",INDEX('#建筑消耗和buff配置索引'!BY:BY,MATCH(D557,'#建筑消耗和buff配置索引'!A:A,0))),"")</f>
        <v/>
      </c>
      <c r="W557" s="133" t="str">
        <f>IF(E557=1,IF(INDEX('#建筑消耗和buff配置索引'!BZ:BZ,MATCH(D557,'#建筑消耗和buff配置索引'!A:A,0))=0,"",INDEX('#建筑消耗和buff配置索引'!BZ:BZ,MATCH(D557,'#建筑消耗和buff配置索引'!A:A,0))),"")</f>
        <v/>
      </c>
      <c r="AA557" s="133">
        <f>INDEX('#建筑消耗和buff配置索引'!AO:AO,MATCH($F557,'#建筑消耗和buff配置索引'!$M:$M,0))</f>
        <v>442</v>
      </c>
      <c r="AB557" s="133">
        <f>IF(INDEX('#建筑消耗和buff配置索引'!AR:AR,MATCH($F557,'#建筑消耗和buff配置索引'!$M:$M,0))=0,"",INDEX('#建筑消耗和buff配置索引'!AR:AR,MATCH($F557,'#建筑消耗和buff配置索引'!$M:$M,0)))</f>
        <v>1300</v>
      </c>
      <c r="AC557" s="133">
        <f>IF(AB557="","",INDEX('#建筑消耗和buff配置索引'!AS:AS,MATCH($F557,'#建筑消耗和buff配置索引'!$M:$M,0)))</f>
        <v>7.0000000000000007E-2</v>
      </c>
      <c r="AF557" s="133" t="str">
        <f>IF(INDEX('#建筑消耗和buff配置索引'!AW:AW,MATCH($F557,'#建筑消耗和buff配置索引'!$M:$M,0))=0,"",INDEX('#建筑消耗和buff配置索引'!AW:AW,MATCH($F557,'#建筑消耗和buff配置索引'!$M:$M,0)))</f>
        <v/>
      </c>
      <c r="AG557" s="133" t="str">
        <f>IF(AF557="","",INDEX('#建筑消耗和buff配置索引'!AX:AX,MATCH($F557,'#建筑消耗和buff配置索引'!$M:$M,0)))</f>
        <v/>
      </c>
      <c r="AJ557" s="133" t="str">
        <f>IF(INDEX('#建筑消耗和buff配置索引'!BB:BB,MATCH($F557,'#建筑消耗和buff配置索引'!$M:$M,0))=0,"",INDEX('#建筑消耗和buff配置索引'!BB:BB,MATCH($F557,'#建筑消耗和buff配置索引'!$M:$M,0)))</f>
        <v/>
      </c>
      <c r="AK557" s="133" t="str">
        <f>IF(AJ557="","",INDEX('#建筑消耗和buff配置索引'!BC:BC,MATCH($F557,'#建筑消耗和buff配置索引'!$M:$M,0)))</f>
        <v/>
      </c>
      <c r="AN557" s="133" t="str">
        <f>IF(INDEX('#建筑消耗和buff配置索引'!BG:BG,MATCH($F557,'#建筑消耗和buff配置索引'!$M:$M,0))=0,"",INDEX('#建筑消耗和buff配置索引'!BG:BG,MATCH($F557,'#建筑消耗和buff配置索引'!$M:$M,0)))</f>
        <v/>
      </c>
      <c r="AO557" s="133" t="str">
        <f>IF(AN557="","",INDEX('#建筑消耗和buff配置索引'!BH:BH,MATCH($F557,'#建筑消耗和buff配置索引'!$M:$M,0)))</f>
        <v/>
      </c>
      <c r="AR557" s="133" t="str">
        <f>IF(INDEX('#建筑消耗和buff配置索引'!BK:BK,MATCH($F557,'#建筑消耗和buff配置索引'!$M:$M,0))=0,"",INDEX('#建筑消耗和buff配置索引'!BK:BK,MATCH($F557,'#建筑消耗和buff配置索引'!$M:$M,0)))</f>
        <v/>
      </c>
      <c r="AS557" s="133" t="str">
        <f>IF(AR557="","",INDEX('#建筑消耗和buff配置索引'!BL:BL,MATCH($F557,'#建筑消耗和buff配置索引'!$M:$M,0)))</f>
        <v/>
      </c>
      <c r="AV557" s="133" t="str">
        <f>IF(INDEX('#建筑消耗和buff配置索引'!BO:BO,MATCH($F557,'#建筑消耗和buff配置索引'!$M:$M,0))=0,"",INDEX('#建筑消耗和buff配置索引'!BO:BO,MATCH($F557,'#建筑消耗和buff配置索引'!$M:$M,0)))</f>
        <v/>
      </c>
      <c r="AW557" s="133" t="str">
        <f>IF(AV557="","",INDEX('#建筑消耗和buff配置索引'!BP:BP,MATCH($F557,'#建筑消耗和buff配置索引'!$M:$M,0)))</f>
        <v/>
      </c>
      <c r="AZ557" s="133" t="str">
        <f>IF(INDEX('#建筑消耗和buff配置索引'!BS:BS,MATCH($F557,'#建筑消耗和buff配置索引'!$M:$M,0))=0,"",INDEX('#建筑消耗和buff配置索引'!BS:BS,MATCH($F557,'#建筑消耗和buff配置索引'!$M:$M,0)))</f>
        <v/>
      </c>
      <c r="BA557" s="133" t="str">
        <f>IF(AZ557="","",INDEX('#建筑消耗和buff配置索引'!BT:BT,MATCH($F557,'#建筑消耗和buff配置索引'!$M:$M,0)))</f>
        <v/>
      </c>
      <c r="BD557" s="133" t="str">
        <f>IF(INDEX('#建筑消耗和buff配置索引'!BW:BW,MATCH($F557,'#建筑消耗和buff配置索引'!$M:$M,0))=0,"",INDEX('#建筑消耗和buff配置索引'!BW:BW,MATCH($F557,'#建筑消耗和buff配置索引'!$M:$M,0)))</f>
        <v/>
      </c>
      <c r="BE557" s="133" t="str">
        <f>IF(BD557="","",INDEX('#建筑消耗和buff配置索引'!BX:BX,MATCH($F557,'#建筑消耗和buff配置索引'!$M:$M,0)))</f>
        <v/>
      </c>
      <c r="BI557" s="133">
        <v>22</v>
      </c>
    </row>
    <row r="558" spans="1:66" s="133" customFormat="1">
      <c r="A558" s="133">
        <v>2110008</v>
      </c>
      <c r="B558" s="133">
        <v>555</v>
      </c>
      <c r="C558" s="133">
        <v>211</v>
      </c>
      <c r="D558" s="133" t="s">
        <v>605</v>
      </c>
      <c r="E558" s="133">
        <v>8</v>
      </c>
      <c r="F558" s="133" t="str">
        <f t="shared" si="10"/>
        <v>学院8</v>
      </c>
      <c r="H558" s="146"/>
      <c r="I558" s="133" t="s">
        <v>1205</v>
      </c>
      <c r="J558" s="150">
        <f>INDEX('#建筑消耗和buff配置索引'!AH:AH,MATCH($F558,'#建筑消耗和buff配置索引'!$M:$M,0))</f>
        <v>2880</v>
      </c>
      <c r="K558" s="150">
        <f>INDEX('#建筑消耗和buff配置索引'!AA:AA,MATCH($F558,'#建筑消耗和buff配置索引'!$M:$M,0))</f>
        <v>59000</v>
      </c>
      <c r="L558" s="150">
        <f>INDEX('#建筑消耗和buff配置索引'!AB:AB,MATCH($F558,'#建筑消耗和buff配置索引'!$M:$M,0))</f>
        <v>59000</v>
      </c>
      <c r="M558" s="150">
        <f>INDEX('#建筑消耗和buff配置索引'!AC:AC,MATCH($F558,'#建筑消耗和buff配置索引'!$M:$M,0))</f>
        <v>59000</v>
      </c>
      <c r="N558" s="150">
        <f>INDEX('#建筑消耗和buff配置索引'!AD:AD,MATCH($F558,'#建筑消耗和buff配置索引'!$M:$M,0))</f>
        <v>0</v>
      </c>
      <c r="O558" s="150" t="str">
        <f>IF(INDEX('#建筑消耗和buff配置索引'!T:T,MATCH($F558,'#建筑消耗和buff配置索引'!$M:$M,0))=0,"",INDEX('#建筑消耗和buff配置索引'!T:T,MATCH($F558,'#建筑消耗和buff配置索引'!$M:$M,0)))</f>
        <v/>
      </c>
      <c r="P558" s="133" t="str">
        <f>IF(INDEX('#建筑消耗和buff配置索引'!U:U,MATCH($F558,'#建筑消耗和buff配置索引'!$M:$M,0))=0,"",INDEX('#建筑消耗和buff配置索引'!U:U,MATCH($F558,'#建筑消耗和buff配置索引'!$M:$M,0)))</f>
        <v/>
      </c>
      <c r="Q558" s="133" t="str">
        <f>IF(INDEX('#建筑消耗和buff配置索引'!K:K,MATCH($F558,'#建筑消耗和buff配置索引'!$M:$M,0))=0,"",INDEX('#建筑消耗和buff配置索引'!K:K,MATCH($F558,'#建筑消耗和buff配置索引'!$M:$M,0)))</f>
        <v>201;202</v>
      </c>
      <c r="R558" s="133" t="str">
        <f>IF(INDEX('#建筑消耗和buff配置索引'!L:L,MATCH($F558,'#建筑消耗和buff配置索引'!$M:$M,0))=0,"",INDEX('#建筑消耗和buff配置索引'!L:L,MATCH($F558,'#建筑消耗和buff配置索引'!$M:$M,0)))</f>
        <v>8;8</v>
      </c>
      <c r="S558" s="133">
        <f>IF(INDEX('#建筑消耗和buff配置索引'!C:C,MATCH(F558,'#建筑消耗和buff配置索引'!M:M,0))=0,1,INDEX('#建筑消耗和buff配置索引'!C:C,MATCH(F558,'#建筑消耗和buff配置索引'!M:M,0)))</f>
        <v>2</v>
      </c>
      <c r="T558" s="133">
        <v>0</v>
      </c>
      <c r="U558" s="133">
        <v>0</v>
      </c>
      <c r="V558" s="133" t="str">
        <f>IF(E558=1,IF(INDEX('#建筑消耗和buff配置索引'!BY:BY,MATCH(D558,'#建筑消耗和buff配置索引'!A:A,0))=0,"",INDEX('#建筑消耗和buff配置索引'!BY:BY,MATCH(D558,'#建筑消耗和buff配置索引'!A:A,0))),"")</f>
        <v/>
      </c>
      <c r="W558" s="133" t="str">
        <f>IF(E558=1,IF(INDEX('#建筑消耗和buff配置索引'!BZ:BZ,MATCH(D558,'#建筑消耗和buff配置索引'!A:A,0))=0,"",INDEX('#建筑消耗和buff配置索引'!BZ:BZ,MATCH(D558,'#建筑消耗和buff配置索引'!A:A,0))),"")</f>
        <v/>
      </c>
      <c r="AA558" s="133">
        <f>INDEX('#建筑消耗和buff配置索引'!AO:AO,MATCH($F558,'#建筑消耗和buff配置索引'!$M:$M,0))</f>
        <v>795</v>
      </c>
      <c r="AB558" s="133">
        <f>IF(INDEX('#建筑消耗和buff配置索引'!AR:AR,MATCH($F558,'#建筑消耗和buff配置索引'!$M:$M,0))=0,"",INDEX('#建筑消耗和buff配置索引'!AR:AR,MATCH($F558,'#建筑消耗和buff配置索引'!$M:$M,0)))</f>
        <v>1300</v>
      </c>
      <c r="AC558" s="133">
        <f>IF(AB558="","",INDEX('#建筑消耗和buff配置索引'!AS:AS,MATCH($F558,'#建筑消耗和buff配置索引'!$M:$M,0)))</f>
        <v>0.08</v>
      </c>
      <c r="AF558" s="133" t="str">
        <f>IF(INDEX('#建筑消耗和buff配置索引'!AW:AW,MATCH($F558,'#建筑消耗和buff配置索引'!$M:$M,0))=0,"",INDEX('#建筑消耗和buff配置索引'!AW:AW,MATCH($F558,'#建筑消耗和buff配置索引'!$M:$M,0)))</f>
        <v/>
      </c>
      <c r="AG558" s="133" t="str">
        <f>IF(AF558="","",INDEX('#建筑消耗和buff配置索引'!AX:AX,MATCH($F558,'#建筑消耗和buff配置索引'!$M:$M,0)))</f>
        <v/>
      </c>
      <c r="AJ558" s="133" t="str">
        <f>IF(INDEX('#建筑消耗和buff配置索引'!BB:BB,MATCH($F558,'#建筑消耗和buff配置索引'!$M:$M,0))=0,"",INDEX('#建筑消耗和buff配置索引'!BB:BB,MATCH($F558,'#建筑消耗和buff配置索引'!$M:$M,0)))</f>
        <v/>
      </c>
      <c r="AK558" s="133" t="str">
        <f>IF(AJ558="","",INDEX('#建筑消耗和buff配置索引'!BC:BC,MATCH($F558,'#建筑消耗和buff配置索引'!$M:$M,0)))</f>
        <v/>
      </c>
      <c r="AN558" s="133" t="str">
        <f>IF(INDEX('#建筑消耗和buff配置索引'!BG:BG,MATCH($F558,'#建筑消耗和buff配置索引'!$M:$M,0))=0,"",INDEX('#建筑消耗和buff配置索引'!BG:BG,MATCH($F558,'#建筑消耗和buff配置索引'!$M:$M,0)))</f>
        <v/>
      </c>
      <c r="AO558" s="133" t="str">
        <f>IF(AN558="","",INDEX('#建筑消耗和buff配置索引'!BH:BH,MATCH($F558,'#建筑消耗和buff配置索引'!$M:$M,0)))</f>
        <v/>
      </c>
      <c r="AR558" s="133" t="str">
        <f>IF(INDEX('#建筑消耗和buff配置索引'!BK:BK,MATCH($F558,'#建筑消耗和buff配置索引'!$M:$M,0))=0,"",INDEX('#建筑消耗和buff配置索引'!BK:BK,MATCH($F558,'#建筑消耗和buff配置索引'!$M:$M,0)))</f>
        <v/>
      </c>
      <c r="AS558" s="133" t="str">
        <f>IF(AR558="","",INDEX('#建筑消耗和buff配置索引'!BL:BL,MATCH($F558,'#建筑消耗和buff配置索引'!$M:$M,0)))</f>
        <v/>
      </c>
      <c r="AV558" s="133" t="str">
        <f>IF(INDEX('#建筑消耗和buff配置索引'!BO:BO,MATCH($F558,'#建筑消耗和buff配置索引'!$M:$M,0))=0,"",INDEX('#建筑消耗和buff配置索引'!BO:BO,MATCH($F558,'#建筑消耗和buff配置索引'!$M:$M,0)))</f>
        <v/>
      </c>
      <c r="AW558" s="133" t="str">
        <f>IF(AV558="","",INDEX('#建筑消耗和buff配置索引'!BP:BP,MATCH($F558,'#建筑消耗和buff配置索引'!$M:$M,0)))</f>
        <v/>
      </c>
      <c r="AZ558" s="133" t="str">
        <f>IF(INDEX('#建筑消耗和buff配置索引'!BS:BS,MATCH($F558,'#建筑消耗和buff配置索引'!$M:$M,0))=0,"",INDEX('#建筑消耗和buff配置索引'!BS:BS,MATCH($F558,'#建筑消耗和buff配置索引'!$M:$M,0)))</f>
        <v/>
      </c>
      <c r="BA558" s="133" t="str">
        <f>IF(AZ558="","",INDEX('#建筑消耗和buff配置索引'!BT:BT,MATCH($F558,'#建筑消耗和buff配置索引'!$M:$M,0)))</f>
        <v/>
      </c>
      <c r="BD558" s="133" t="str">
        <f>IF(INDEX('#建筑消耗和buff配置索引'!BW:BW,MATCH($F558,'#建筑消耗和buff配置索引'!$M:$M,0))=0,"",INDEX('#建筑消耗和buff配置索引'!BW:BW,MATCH($F558,'#建筑消耗和buff配置索引'!$M:$M,0)))</f>
        <v/>
      </c>
      <c r="BE558" s="133" t="str">
        <f>IF(BD558="","",INDEX('#建筑消耗和buff配置索引'!BX:BX,MATCH($F558,'#建筑消耗和buff配置索引'!$M:$M,0)))</f>
        <v/>
      </c>
      <c r="BI558" s="133">
        <v>22</v>
      </c>
    </row>
    <row r="559" spans="1:66" s="133" customFormat="1">
      <c r="A559" s="133">
        <v>2110009</v>
      </c>
      <c r="B559" s="133">
        <v>556</v>
      </c>
      <c r="C559" s="133">
        <v>211</v>
      </c>
      <c r="D559" s="133" t="s">
        <v>605</v>
      </c>
      <c r="E559" s="133">
        <v>9</v>
      </c>
      <c r="F559" s="133" t="str">
        <f t="shared" si="10"/>
        <v>学院9</v>
      </c>
      <c r="H559" s="146"/>
      <c r="I559" s="133" t="s">
        <v>1205</v>
      </c>
      <c r="J559" s="150">
        <f>INDEX('#建筑消耗和buff配置索引'!AH:AH,MATCH($F559,'#建筑消耗和buff配置索引'!$M:$M,0))</f>
        <v>5760</v>
      </c>
      <c r="K559" s="150">
        <f>INDEX('#建筑消耗和buff配置索引'!AA:AA,MATCH($F559,'#建筑消耗和buff配置索引'!$M:$M,0))</f>
        <v>97000</v>
      </c>
      <c r="L559" s="150">
        <f>INDEX('#建筑消耗和buff配置索引'!AB:AB,MATCH($F559,'#建筑消耗和buff配置索引'!$M:$M,0))</f>
        <v>97000</v>
      </c>
      <c r="M559" s="150">
        <f>INDEX('#建筑消耗和buff配置索引'!AC:AC,MATCH($F559,'#建筑消耗和buff配置索引'!$M:$M,0))</f>
        <v>97000</v>
      </c>
      <c r="N559" s="150">
        <f>INDEX('#建筑消耗和buff配置索引'!AD:AD,MATCH($F559,'#建筑消耗和buff配置索引'!$M:$M,0))</f>
        <v>0</v>
      </c>
      <c r="O559" s="150" t="str">
        <f>IF(INDEX('#建筑消耗和buff配置索引'!T:T,MATCH($F559,'#建筑消耗和buff配置索引'!$M:$M,0))=0,"",INDEX('#建筑消耗和buff配置索引'!T:T,MATCH($F559,'#建筑消耗和buff配置索引'!$M:$M,0)))</f>
        <v/>
      </c>
      <c r="P559" s="133" t="str">
        <f>IF(INDEX('#建筑消耗和buff配置索引'!U:U,MATCH($F559,'#建筑消耗和buff配置索引'!$M:$M,0))=0,"",INDEX('#建筑消耗和buff配置索引'!U:U,MATCH($F559,'#建筑消耗和buff配置索引'!$M:$M,0)))</f>
        <v/>
      </c>
      <c r="Q559" s="133" t="str">
        <f>IF(INDEX('#建筑消耗和buff配置索引'!K:K,MATCH($F559,'#建筑消耗和buff配置索引'!$M:$M,0))=0,"",INDEX('#建筑消耗和buff配置索引'!K:K,MATCH($F559,'#建筑消耗和buff配置索引'!$M:$M,0)))</f>
        <v>201;202</v>
      </c>
      <c r="R559" s="133" t="str">
        <f>IF(INDEX('#建筑消耗和buff配置索引'!L:L,MATCH($F559,'#建筑消耗和buff配置索引'!$M:$M,0))=0,"",INDEX('#建筑消耗和buff配置索引'!L:L,MATCH($F559,'#建筑消耗和buff配置索引'!$M:$M,0)))</f>
        <v>9;9</v>
      </c>
      <c r="S559" s="133">
        <f>IF(INDEX('#建筑消耗和buff配置索引'!C:C,MATCH(F559,'#建筑消耗和buff配置索引'!M:M,0))=0,1,INDEX('#建筑消耗和buff配置索引'!C:C,MATCH(F559,'#建筑消耗和buff配置索引'!M:M,0)))</f>
        <v>2</v>
      </c>
      <c r="T559" s="133">
        <v>0</v>
      </c>
      <c r="U559" s="133">
        <v>0</v>
      </c>
      <c r="V559" s="133" t="str">
        <f>IF(E559=1,IF(INDEX('#建筑消耗和buff配置索引'!BY:BY,MATCH(D559,'#建筑消耗和buff配置索引'!A:A,0))=0,"",INDEX('#建筑消耗和buff配置索引'!BY:BY,MATCH(D559,'#建筑消耗和buff配置索引'!A:A,0))),"")</f>
        <v/>
      </c>
      <c r="W559" s="133" t="str">
        <f>IF(E559=1,IF(INDEX('#建筑消耗和buff配置索引'!BZ:BZ,MATCH(D559,'#建筑消耗和buff配置索引'!A:A,0))=0,"",INDEX('#建筑消耗和buff配置索引'!BZ:BZ,MATCH(D559,'#建筑消耗和buff配置索引'!A:A,0))),"")</f>
        <v/>
      </c>
      <c r="AA559" s="133">
        <f>INDEX('#建筑消耗和buff配置索引'!AO:AO,MATCH($F559,'#建筑消耗和buff配置索引'!$M:$M,0))</f>
        <v>1379</v>
      </c>
      <c r="AB559" s="133">
        <f>IF(INDEX('#建筑消耗和buff配置索引'!AR:AR,MATCH($F559,'#建筑消耗和buff配置索引'!$M:$M,0))=0,"",INDEX('#建筑消耗和buff配置索引'!AR:AR,MATCH($F559,'#建筑消耗和buff配置索引'!$M:$M,0)))</f>
        <v>1300</v>
      </c>
      <c r="AC559" s="133">
        <f>IF(AB559="","",INDEX('#建筑消耗和buff配置索引'!AS:AS,MATCH($F559,'#建筑消耗和buff配置索引'!$M:$M,0)))</f>
        <v>0.09</v>
      </c>
      <c r="AF559" s="133" t="str">
        <f>IF(INDEX('#建筑消耗和buff配置索引'!AW:AW,MATCH($F559,'#建筑消耗和buff配置索引'!$M:$M,0))=0,"",INDEX('#建筑消耗和buff配置索引'!AW:AW,MATCH($F559,'#建筑消耗和buff配置索引'!$M:$M,0)))</f>
        <v/>
      </c>
      <c r="AG559" s="133" t="str">
        <f>IF(AF559="","",INDEX('#建筑消耗和buff配置索引'!AX:AX,MATCH($F559,'#建筑消耗和buff配置索引'!$M:$M,0)))</f>
        <v/>
      </c>
      <c r="AJ559" s="133" t="str">
        <f>IF(INDEX('#建筑消耗和buff配置索引'!BB:BB,MATCH($F559,'#建筑消耗和buff配置索引'!$M:$M,0))=0,"",INDEX('#建筑消耗和buff配置索引'!BB:BB,MATCH($F559,'#建筑消耗和buff配置索引'!$M:$M,0)))</f>
        <v/>
      </c>
      <c r="AK559" s="133" t="str">
        <f>IF(AJ559="","",INDEX('#建筑消耗和buff配置索引'!BC:BC,MATCH($F559,'#建筑消耗和buff配置索引'!$M:$M,0)))</f>
        <v/>
      </c>
      <c r="AN559" s="133" t="str">
        <f>IF(INDEX('#建筑消耗和buff配置索引'!BG:BG,MATCH($F559,'#建筑消耗和buff配置索引'!$M:$M,0))=0,"",INDEX('#建筑消耗和buff配置索引'!BG:BG,MATCH($F559,'#建筑消耗和buff配置索引'!$M:$M,0)))</f>
        <v/>
      </c>
      <c r="AO559" s="133" t="str">
        <f>IF(AN559="","",INDEX('#建筑消耗和buff配置索引'!BH:BH,MATCH($F559,'#建筑消耗和buff配置索引'!$M:$M,0)))</f>
        <v/>
      </c>
      <c r="AR559" s="133" t="str">
        <f>IF(INDEX('#建筑消耗和buff配置索引'!BK:BK,MATCH($F559,'#建筑消耗和buff配置索引'!$M:$M,0))=0,"",INDEX('#建筑消耗和buff配置索引'!BK:BK,MATCH($F559,'#建筑消耗和buff配置索引'!$M:$M,0)))</f>
        <v/>
      </c>
      <c r="AS559" s="133" t="str">
        <f>IF(AR559="","",INDEX('#建筑消耗和buff配置索引'!BL:BL,MATCH($F559,'#建筑消耗和buff配置索引'!$M:$M,0)))</f>
        <v/>
      </c>
      <c r="AV559" s="133" t="str">
        <f>IF(INDEX('#建筑消耗和buff配置索引'!BO:BO,MATCH($F559,'#建筑消耗和buff配置索引'!$M:$M,0))=0,"",INDEX('#建筑消耗和buff配置索引'!BO:BO,MATCH($F559,'#建筑消耗和buff配置索引'!$M:$M,0)))</f>
        <v/>
      </c>
      <c r="AW559" s="133" t="str">
        <f>IF(AV559="","",INDEX('#建筑消耗和buff配置索引'!BP:BP,MATCH($F559,'#建筑消耗和buff配置索引'!$M:$M,0)))</f>
        <v/>
      </c>
      <c r="AZ559" s="133" t="str">
        <f>IF(INDEX('#建筑消耗和buff配置索引'!BS:BS,MATCH($F559,'#建筑消耗和buff配置索引'!$M:$M,0))=0,"",INDEX('#建筑消耗和buff配置索引'!BS:BS,MATCH($F559,'#建筑消耗和buff配置索引'!$M:$M,0)))</f>
        <v/>
      </c>
      <c r="BA559" s="133" t="str">
        <f>IF(AZ559="","",INDEX('#建筑消耗和buff配置索引'!BT:BT,MATCH($F559,'#建筑消耗和buff配置索引'!$M:$M,0)))</f>
        <v/>
      </c>
      <c r="BD559" s="133" t="str">
        <f>IF(INDEX('#建筑消耗和buff配置索引'!BW:BW,MATCH($F559,'#建筑消耗和buff配置索引'!$M:$M,0))=0,"",INDEX('#建筑消耗和buff配置索引'!BW:BW,MATCH($F559,'#建筑消耗和buff配置索引'!$M:$M,0)))</f>
        <v/>
      </c>
      <c r="BE559" s="133" t="str">
        <f>IF(BD559="","",INDEX('#建筑消耗和buff配置索引'!BX:BX,MATCH($F559,'#建筑消耗和buff配置索引'!$M:$M,0)))</f>
        <v/>
      </c>
      <c r="BI559" s="133">
        <v>22</v>
      </c>
    </row>
    <row r="560" spans="1:66" s="133" customFormat="1">
      <c r="A560" s="133">
        <v>2110010</v>
      </c>
      <c r="B560" s="133">
        <v>557</v>
      </c>
      <c r="C560" s="133">
        <v>211</v>
      </c>
      <c r="D560" s="133" t="s">
        <v>605</v>
      </c>
      <c r="E560" s="133">
        <v>10</v>
      </c>
      <c r="F560" s="133" t="str">
        <f t="shared" si="10"/>
        <v>学院10</v>
      </c>
      <c r="H560" s="146"/>
      <c r="I560" s="133" t="s">
        <v>1205</v>
      </c>
      <c r="J560" s="150">
        <f>INDEX('#建筑消耗和buff配置索引'!AH:AH,MATCH($F560,'#建筑消耗和buff配置索引'!$M:$M,0))</f>
        <v>8640</v>
      </c>
      <c r="K560" s="150">
        <f>INDEX('#建筑消耗和buff配置索引'!AA:AA,MATCH($F560,'#建筑消耗和buff配置索引'!$M:$M,0))</f>
        <v>120000</v>
      </c>
      <c r="L560" s="150">
        <f>INDEX('#建筑消耗和buff配置索引'!AB:AB,MATCH($F560,'#建筑消耗和buff配置索引'!$M:$M,0))</f>
        <v>120000</v>
      </c>
      <c r="M560" s="150">
        <f>INDEX('#建筑消耗和buff配置索引'!AC:AC,MATCH($F560,'#建筑消耗和buff配置索引'!$M:$M,0))</f>
        <v>120000</v>
      </c>
      <c r="N560" s="150">
        <f>INDEX('#建筑消耗和buff配置索引'!AD:AD,MATCH($F560,'#建筑消耗和buff配置索引'!$M:$M,0))</f>
        <v>120000</v>
      </c>
      <c r="O560" s="150" t="str">
        <f>IF(INDEX('#建筑消耗和buff配置索引'!T:T,MATCH($F560,'#建筑消耗和buff配置索引'!$M:$M,0))=0,"",INDEX('#建筑消耗和buff配置索引'!T:T,MATCH($F560,'#建筑消耗和buff配置索引'!$M:$M,0)))</f>
        <v/>
      </c>
      <c r="P560" s="133" t="str">
        <f>IF(INDEX('#建筑消耗和buff配置索引'!U:U,MATCH($F560,'#建筑消耗和buff配置索引'!$M:$M,0))=0,"",INDEX('#建筑消耗和buff配置索引'!U:U,MATCH($F560,'#建筑消耗和buff配置索引'!$M:$M,0)))</f>
        <v/>
      </c>
      <c r="Q560" s="133" t="str">
        <f>IF(INDEX('#建筑消耗和buff配置索引'!K:K,MATCH($F560,'#建筑消耗和buff配置索引'!$M:$M,0))=0,"",INDEX('#建筑消耗和buff配置索引'!K:K,MATCH($F560,'#建筑消耗和buff配置索引'!$M:$M,0)))</f>
        <v>201;202</v>
      </c>
      <c r="R560" s="133" t="str">
        <f>IF(INDEX('#建筑消耗和buff配置索引'!L:L,MATCH($F560,'#建筑消耗和buff配置索引'!$M:$M,0))=0,"",INDEX('#建筑消耗和buff配置索引'!L:L,MATCH($F560,'#建筑消耗和buff配置索引'!$M:$M,0)))</f>
        <v>10;10</v>
      </c>
      <c r="S560" s="133">
        <f>IF(INDEX('#建筑消耗和buff配置索引'!C:C,MATCH(F560,'#建筑消耗和buff配置索引'!M:M,0))=0,1,INDEX('#建筑消耗和buff配置索引'!C:C,MATCH(F560,'#建筑消耗和buff配置索引'!M:M,0)))</f>
        <v>2</v>
      </c>
      <c r="T560" s="133">
        <v>0</v>
      </c>
      <c r="U560" s="133">
        <v>0</v>
      </c>
      <c r="V560" s="133" t="str">
        <f>IF(E560=1,IF(INDEX('#建筑消耗和buff配置索引'!BY:BY,MATCH(D560,'#建筑消耗和buff配置索引'!A:A,0))=0,"",INDEX('#建筑消耗和buff配置索引'!BY:BY,MATCH(D560,'#建筑消耗和buff配置索引'!A:A,0))),"")</f>
        <v/>
      </c>
      <c r="W560" s="133" t="str">
        <f>IF(E560=1,IF(INDEX('#建筑消耗和buff配置索引'!BZ:BZ,MATCH(D560,'#建筑消耗和buff配置索引'!A:A,0))=0,"",INDEX('#建筑消耗和buff配置索引'!BZ:BZ,MATCH(D560,'#建筑消耗和buff配置索引'!A:A,0))),"")</f>
        <v/>
      </c>
      <c r="AA560" s="133">
        <f>INDEX('#建筑消耗和buff配置索引'!AO:AO,MATCH($F560,'#建筑消耗和buff配置索引'!$M:$M,0))</f>
        <v>2301</v>
      </c>
      <c r="AB560" s="133">
        <f>IF(INDEX('#建筑消耗和buff配置索引'!AR:AR,MATCH($F560,'#建筑消耗和buff配置索引'!$M:$M,0))=0,"",INDEX('#建筑消耗和buff配置索引'!AR:AR,MATCH($F560,'#建筑消耗和buff配置索引'!$M:$M,0)))</f>
        <v>1300</v>
      </c>
      <c r="AC560" s="133">
        <f>IF(AB560="","",INDEX('#建筑消耗和buff配置索引'!AS:AS,MATCH($F560,'#建筑消耗和buff配置索引'!$M:$M,0)))</f>
        <v>0.1</v>
      </c>
      <c r="AF560" s="133" t="str">
        <f>IF(INDEX('#建筑消耗和buff配置索引'!AW:AW,MATCH($F560,'#建筑消耗和buff配置索引'!$M:$M,0))=0,"",INDEX('#建筑消耗和buff配置索引'!AW:AW,MATCH($F560,'#建筑消耗和buff配置索引'!$M:$M,0)))</f>
        <v/>
      </c>
      <c r="AG560" s="133" t="str">
        <f>IF(AF560="","",INDEX('#建筑消耗和buff配置索引'!AX:AX,MATCH($F560,'#建筑消耗和buff配置索引'!$M:$M,0)))</f>
        <v/>
      </c>
      <c r="AJ560" s="133" t="str">
        <f>IF(INDEX('#建筑消耗和buff配置索引'!BB:BB,MATCH($F560,'#建筑消耗和buff配置索引'!$M:$M,0))=0,"",INDEX('#建筑消耗和buff配置索引'!BB:BB,MATCH($F560,'#建筑消耗和buff配置索引'!$M:$M,0)))</f>
        <v/>
      </c>
      <c r="AK560" s="133" t="str">
        <f>IF(AJ560="","",INDEX('#建筑消耗和buff配置索引'!BC:BC,MATCH($F560,'#建筑消耗和buff配置索引'!$M:$M,0)))</f>
        <v/>
      </c>
      <c r="AN560" s="133" t="str">
        <f>IF(INDEX('#建筑消耗和buff配置索引'!BG:BG,MATCH($F560,'#建筑消耗和buff配置索引'!$M:$M,0))=0,"",INDEX('#建筑消耗和buff配置索引'!BG:BG,MATCH($F560,'#建筑消耗和buff配置索引'!$M:$M,0)))</f>
        <v/>
      </c>
      <c r="AO560" s="133" t="str">
        <f>IF(AN560="","",INDEX('#建筑消耗和buff配置索引'!BH:BH,MATCH($F560,'#建筑消耗和buff配置索引'!$M:$M,0)))</f>
        <v/>
      </c>
      <c r="AR560" s="133" t="str">
        <f>IF(INDEX('#建筑消耗和buff配置索引'!BK:BK,MATCH($F560,'#建筑消耗和buff配置索引'!$M:$M,0))=0,"",INDEX('#建筑消耗和buff配置索引'!BK:BK,MATCH($F560,'#建筑消耗和buff配置索引'!$M:$M,0)))</f>
        <v/>
      </c>
      <c r="AS560" s="133" t="str">
        <f>IF(AR560="","",INDEX('#建筑消耗和buff配置索引'!BL:BL,MATCH($F560,'#建筑消耗和buff配置索引'!$M:$M,0)))</f>
        <v/>
      </c>
      <c r="AV560" s="133" t="str">
        <f>IF(INDEX('#建筑消耗和buff配置索引'!BO:BO,MATCH($F560,'#建筑消耗和buff配置索引'!$M:$M,0))=0,"",INDEX('#建筑消耗和buff配置索引'!BO:BO,MATCH($F560,'#建筑消耗和buff配置索引'!$M:$M,0)))</f>
        <v/>
      </c>
      <c r="AW560" s="133" t="str">
        <f>IF(AV560="","",INDEX('#建筑消耗和buff配置索引'!BP:BP,MATCH($F560,'#建筑消耗和buff配置索引'!$M:$M,0)))</f>
        <v/>
      </c>
      <c r="AZ560" s="133" t="str">
        <f>IF(INDEX('#建筑消耗和buff配置索引'!BS:BS,MATCH($F560,'#建筑消耗和buff配置索引'!$M:$M,0))=0,"",INDEX('#建筑消耗和buff配置索引'!BS:BS,MATCH($F560,'#建筑消耗和buff配置索引'!$M:$M,0)))</f>
        <v/>
      </c>
      <c r="BA560" s="133" t="str">
        <f>IF(AZ560="","",INDEX('#建筑消耗和buff配置索引'!BT:BT,MATCH($F560,'#建筑消耗和buff配置索引'!$M:$M,0)))</f>
        <v/>
      </c>
      <c r="BD560" s="133" t="str">
        <f>IF(INDEX('#建筑消耗和buff配置索引'!BW:BW,MATCH($F560,'#建筑消耗和buff配置索引'!$M:$M,0))=0,"",INDEX('#建筑消耗和buff配置索引'!BW:BW,MATCH($F560,'#建筑消耗和buff配置索引'!$M:$M,0)))</f>
        <v/>
      </c>
      <c r="BE560" s="133" t="str">
        <f>IF(BD560="","",INDEX('#建筑消耗和buff配置索引'!BX:BX,MATCH($F560,'#建筑消耗和buff配置索引'!$M:$M,0)))</f>
        <v/>
      </c>
      <c r="BI560" s="133">
        <v>22</v>
      </c>
    </row>
    <row r="561" spans="1:61" s="133" customFormat="1">
      <c r="A561" s="133">
        <v>2110011</v>
      </c>
      <c r="B561" s="133">
        <v>558</v>
      </c>
      <c r="C561" s="133">
        <v>211</v>
      </c>
      <c r="D561" s="133" t="s">
        <v>605</v>
      </c>
      <c r="E561" s="133">
        <v>11</v>
      </c>
      <c r="F561" s="133" t="str">
        <f t="shared" si="10"/>
        <v>学院11</v>
      </c>
      <c r="H561" s="146"/>
      <c r="I561" s="133" t="s">
        <v>1205</v>
      </c>
      <c r="J561" s="150">
        <f>INDEX('#建筑消耗和buff配置索引'!AH:AH,MATCH($F561,'#建筑消耗和buff配置索引'!$M:$M,0))</f>
        <v>12960</v>
      </c>
      <c r="K561" s="150">
        <f>INDEX('#建筑消耗和buff配置索引'!AA:AA,MATCH($F561,'#建筑消耗和buff配置索引'!$M:$M,0))</f>
        <v>170000</v>
      </c>
      <c r="L561" s="150">
        <f>INDEX('#建筑消耗和buff配置索引'!AB:AB,MATCH($F561,'#建筑消耗和buff配置索引'!$M:$M,0))</f>
        <v>170000</v>
      </c>
      <c r="M561" s="150">
        <f>INDEX('#建筑消耗和buff配置索引'!AC:AC,MATCH($F561,'#建筑消耗和buff配置索引'!$M:$M,0))</f>
        <v>170000</v>
      </c>
      <c r="N561" s="150">
        <f>INDEX('#建筑消耗和buff配置索引'!AD:AD,MATCH($F561,'#建筑消耗和buff配置索引'!$M:$M,0))</f>
        <v>170000</v>
      </c>
      <c r="O561" s="150" t="str">
        <f>IF(INDEX('#建筑消耗和buff配置索引'!T:T,MATCH($F561,'#建筑消耗和buff配置索引'!$M:$M,0))=0,"",INDEX('#建筑消耗和buff配置索引'!T:T,MATCH($F561,'#建筑消耗和buff配置索引'!$M:$M,0)))</f>
        <v/>
      </c>
      <c r="P561" s="133" t="str">
        <f>IF(INDEX('#建筑消耗和buff配置索引'!U:U,MATCH($F561,'#建筑消耗和buff配置索引'!$M:$M,0))=0,"",INDEX('#建筑消耗和buff配置索引'!U:U,MATCH($F561,'#建筑消耗和buff配置索引'!$M:$M,0)))</f>
        <v/>
      </c>
      <c r="Q561" s="133" t="str">
        <f>IF(INDEX('#建筑消耗和buff配置索引'!K:K,MATCH($F561,'#建筑消耗和buff配置索引'!$M:$M,0))=0,"",INDEX('#建筑消耗和buff配置索引'!K:K,MATCH($F561,'#建筑消耗和buff配置索引'!$M:$M,0)))</f>
        <v>201;202</v>
      </c>
      <c r="R561" s="133" t="str">
        <f>IF(INDEX('#建筑消耗和buff配置索引'!L:L,MATCH($F561,'#建筑消耗和buff配置索引'!$M:$M,0))=0,"",INDEX('#建筑消耗和buff配置索引'!L:L,MATCH($F561,'#建筑消耗和buff配置索引'!$M:$M,0)))</f>
        <v>11;11</v>
      </c>
      <c r="S561" s="133">
        <f>IF(INDEX('#建筑消耗和buff配置索引'!C:C,MATCH(F561,'#建筑消耗和buff配置索引'!M:M,0))=0,1,INDEX('#建筑消耗和buff配置索引'!C:C,MATCH(F561,'#建筑消耗和buff配置索引'!M:M,0)))</f>
        <v>2</v>
      </c>
      <c r="T561" s="133">
        <v>0</v>
      </c>
      <c r="U561" s="133">
        <v>0</v>
      </c>
      <c r="V561" s="133" t="str">
        <f>IF(E561=1,IF(INDEX('#建筑消耗和buff配置索引'!BY:BY,MATCH(D561,'#建筑消耗和buff配置索引'!A:A,0))=0,"",INDEX('#建筑消耗和buff配置索引'!BY:BY,MATCH(D561,'#建筑消耗和buff配置索引'!A:A,0))),"")</f>
        <v/>
      </c>
      <c r="W561" s="133" t="str">
        <f>IF(E561=1,IF(INDEX('#建筑消耗和buff配置索引'!BZ:BZ,MATCH(D561,'#建筑消耗和buff配置索引'!A:A,0))=0,"",INDEX('#建筑消耗和buff配置索引'!BZ:BZ,MATCH(D561,'#建筑消耗和buff配置索引'!A:A,0))),"")</f>
        <v/>
      </c>
      <c r="AA561" s="133">
        <f>INDEX('#建筑消耗和buff配置索引'!AO:AO,MATCH($F561,'#建筑消耗和buff配置索引'!$M:$M,0))</f>
        <v>3693</v>
      </c>
      <c r="AB561" s="133">
        <f>IF(INDEX('#建筑消耗和buff配置索引'!AR:AR,MATCH($F561,'#建筑消耗和buff配置索引'!$M:$M,0))=0,"",INDEX('#建筑消耗和buff配置索引'!AR:AR,MATCH($F561,'#建筑消耗和buff配置索引'!$M:$M,0)))</f>
        <v>1300</v>
      </c>
      <c r="AC561" s="133">
        <f>IF(AB561="","",INDEX('#建筑消耗和buff配置索引'!AS:AS,MATCH($F561,'#建筑消耗和buff配置索引'!$M:$M,0)))</f>
        <v>0.11</v>
      </c>
      <c r="AF561" s="133" t="str">
        <f>IF(INDEX('#建筑消耗和buff配置索引'!AW:AW,MATCH($F561,'#建筑消耗和buff配置索引'!$M:$M,0))=0,"",INDEX('#建筑消耗和buff配置索引'!AW:AW,MATCH($F561,'#建筑消耗和buff配置索引'!$M:$M,0)))</f>
        <v/>
      </c>
      <c r="AG561" s="133" t="str">
        <f>IF(AF561="","",INDEX('#建筑消耗和buff配置索引'!AX:AX,MATCH($F561,'#建筑消耗和buff配置索引'!$M:$M,0)))</f>
        <v/>
      </c>
      <c r="AJ561" s="133" t="str">
        <f>IF(INDEX('#建筑消耗和buff配置索引'!BB:BB,MATCH($F561,'#建筑消耗和buff配置索引'!$M:$M,0))=0,"",INDEX('#建筑消耗和buff配置索引'!BB:BB,MATCH($F561,'#建筑消耗和buff配置索引'!$M:$M,0)))</f>
        <v/>
      </c>
      <c r="AK561" s="133" t="str">
        <f>IF(AJ561="","",INDEX('#建筑消耗和buff配置索引'!BC:BC,MATCH($F561,'#建筑消耗和buff配置索引'!$M:$M,0)))</f>
        <v/>
      </c>
      <c r="AN561" s="133" t="str">
        <f>IF(INDEX('#建筑消耗和buff配置索引'!BG:BG,MATCH($F561,'#建筑消耗和buff配置索引'!$M:$M,0))=0,"",INDEX('#建筑消耗和buff配置索引'!BG:BG,MATCH($F561,'#建筑消耗和buff配置索引'!$M:$M,0)))</f>
        <v/>
      </c>
      <c r="AO561" s="133" t="str">
        <f>IF(AN561="","",INDEX('#建筑消耗和buff配置索引'!BH:BH,MATCH($F561,'#建筑消耗和buff配置索引'!$M:$M,0)))</f>
        <v/>
      </c>
      <c r="AR561" s="133" t="str">
        <f>IF(INDEX('#建筑消耗和buff配置索引'!BK:BK,MATCH($F561,'#建筑消耗和buff配置索引'!$M:$M,0))=0,"",INDEX('#建筑消耗和buff配置索引'!BK:BK,MATCH($F561,'#建筑消耗和buff配置索引'!$M:$M,0)))</f>
        <v/>
      </c>
      <c r="AS561" s="133" t="str">
        <f>IF(AR561="","",INDEX('#建筑消耗和buff配置索引'!BL:BL,MATCH($F561,'#建筑消耗和buff配置索引'!$M:$M,0)))</f>
        <v/>
      </c>
      <c r="AV561" s="133" t="str">
        <f>IF(INDEX('#建筑消耗和buff配置索引'!BO:BO,MATCH($F561,'#建筑消耗和buff配置索引'!$M:$M,0))=0,"",INDEX('#建筑消耗和buff配置索引'!BO:BO,MATCH($F561,'#建筑消耗和buff配置索引'!$M:$M,0)))</f>
        <v/>
      </c>
      <c r="AW561" s="133" t="str">
        <f>IF(AV561="","",INDEX('#建筑消耗和buff配置索引'!BP:BP,MATCH($F561,'#建筑消耗和buff配置索引'!$M:$M,0)))</f>
        <v/>
      </c>
      <c r="AZ561" s="133" t="str">
        <f>IF(INDEX('#建筑消耗和buff配置索引'!BS:BS,MATCH($F561,'#建筑消耗和buff配置索引'!$M:$M,0))=0,"",INDEX('#建筑消耗和buff配置索引'!BS:BS,MATCH($F561,'#建筑消耗和buff配置索引'!$M:$M,0)))</f>
        <v/>
      </c>
      <c r="BA561" s="133" t="str">
        <f>IF(AZ561="","",INDEX('#建筑消耗和buff配置索引'!BT:BT,MATCH($F561,'#建筑消耗和buff配置索引'!$M:$M,0)))</f>
        <v/>
      </c>
      <c r="BD561" s="133" t="str">
        <f>IF(INDEX('#建筑消耗和buff配置索引'!BW:BW,MATCH($F561,'#建筑消耗和buff配置索引'!$M:$M,0))=0,"",INDEX('#建筑消耗和buff配置索引'!BW:BW,MATCH($F561,'#建筑消耗和buff配置索引'!$M:$M,0)))</f>
        <v/>
      </c>
      <c r="BE561" s="133" t="str">
        <f>IF(BD561="","",INDEX('#建筑消耗和buff配置索引'!BX:BX,MATCH($F561,'#建筑消耗和buff配置索引'!$M:$M,0)))</f>
        <v/>
      </c>
      <c r="BI561" s="133">
        <v>22</v>
      </c>
    </row>
    <row r="562" spans="1:61" s="133" customFormat="1">
      <c r="A562" s="133">
        <v>2110012</v>
      </c>
      <c r="B562" s="133">
        <v>559</v>
      </c>
      <c r="C562" s="133">
        <v>211</v>
      </c>
      <c r="D562" s="133" t="s">
        <v>605</v>
      </c>
      <c r="E562" s="133">
        <v>12</v>
      </c>
      <c r="F562" s="133" t="str">
        <f t="shared" si="10"/>
        <v>学院12</v>
      </c>
      <c r="H562" s="146"/>
      <c r="I562" s="133" t="s">
        <v>1205</v>
      </c>
      <c r="J562" s="150">
        <f>INDEX('#建筑消耗和buff配置索引'!AH:AH,MATCH($F562,'#建筑消耗和buff配置索引'!$M:$M,0))</f>
        <v>17280</v>
      </c>
      <c r="K562" s="150">
        <f>INDEX('#建筑消耗和buff配置索引'!AA:AA,MATCH($F562,'#建筑消耗和buff配置索引'!$M:$M,0))</f>
        <v>250000</v>
      </c>
      <c r="L562" s="150">
        <f>INDEX('#建筑消耗和buff配置索引'!AB:AB,MATCH($F562,'#建筑消耗和buff配置索引'!$M:$M,0))</f>
        <v>250000</v>
      </c>
      <c r="M562" s="150">
        <f>INDEX('#建筑消耗和buff配置索引'!AC:AC,MATCH($F562,'#建筑消耗和buff配置索引'!$M:$M,0))</f>
        <v>250000</v>
      </c>
      <c r="N562" s="150">
        <f>INDEX('#建筑消耗和buff配置索引'!AD:AD,MATCH($F562,'#建筑消耗和buff配置索引'!$M:$M,0))</f>
        <v>250000</v>
      </c>
      <c r="O562" s="150" t="str">
        <f>IF(INDEX('#建筑消耗和buff配置索引'!T:T,MATCH($F562,'#建筑消耗和buff配置索引'!$M:$M,0))=0,"",INDEX('#建筑消耗和buff配置索引'!T:T,MATCH($F562,'#建筑消耗和buff配置索引'!$M:$M,0)))</f>
        <v/>
      </c>
      <c r="P562" s="133" t="str">
        <f>IF(INDEX('#建筑消耗和buff配置索引'!U:U,MATCH($F562,'#建筑消耗和buff配置索引'!$M:$M,0))=0,"",INDEX('#建筑消耗和buff配置索引'!U:U,MATCH($F562,'#建筑消耗和buff配置索引'!$M:$M,0)))</f>
        <v/>
      </c>
      <c r="Q562" s="133" t="str">
        <f>IF(INDEX('#建筑消耗和buff配置索引'!K:K,MATCH($F562,'#建筑消耗和buff配置索引'!$M:$M,0))=0,"",INDEX('#建筑消耗和buff配置索引'!K:K,MATCH($F562,'#建筑消耗和buff配置索引'!$M:$M,0)))</f>
        <v>201;202</v>
      </c>
      <c r="R562" s="133" t="str">
        <f>IF(INDEX('#建筑消耗和buff配置索引'!L:L,MATCH($F562,'#建筑消耗和buff配置索引'!$M:$M,0))=0,"",INDEX('#建筑消耗和buff配置索引'!L:L,MATCH($F562,'#建筑消耗和buff配置索引'!$M:$M,0)))</f>
        <v>12;12</v>
      </c>
      <c r="S562" s="133">
        <f>IF(INDEX('#建筑消耗和buff配置索引'!C:C,MATCH(F562,'#建筑消耗和buff配置索引'!M:M,0))=0,1,INDEX('#建筑消耗和buff配置索引'!C:C,MATCH(F562,'#建筑消耗和buff配置索引'!M:M,0)))</f>
        <v>2</v>
      </c>
      <c r="T562" s="133">
        <v>0</v>
      </c>
      <c r="U562" s="133">
        <v>0</v>
      </c>
      <c r="V562" s="133" t="str">
        <f>IF(E562=1,IF(INDEX('#建筑消耗和buff配置索引'!BY:BY,MATCH(D562,'#建筑消耗和buff配置索引'!A:A,0))=0,"",INDEX('#建筑消耗和buff配置索引'!BY:BY,MATCH(D562,'#建筑消耗和buff配置索引'!A:A,0))),"")</f>
        <v/>
      </c>
      <c r="W562" s="133" t="str">
        <f>IF(E562=1,IF(INDEX('#建筑消耗和buff配置索引'!BZ:BZ,MATCH(D562,'#建筑消耗和buff配置索引'!A:A,0))=0,"",INDEX('#建筑消耗和buff配置索引'!BZ:BZ,MATCH(D562,'#建筑消耗和buff配置索引'!A:A,0))),"")</f>
        <v/>
      </c>
      <c r="AA562" s="133">
        <f>INDEX('#建筑消耗和buff配置索引'!AO:AO,MATCH($F562,'#建筑消耗和buff配置索引'!$M:$M,0))</f>
        <v>5698</v>
      </c>
      <c r="AB562" s="133">
        <f>IF(INDEX('#建筑消耗和buff配置索引'!AR:AR,MATCH($F562,'#建筑消耗和buff配置索引'!$M:$M,0))=0,"",INDEX('#建筑消耗和buff配置索引'!AR:AR,MATCH($F562,'#建筑消耗和buff配置索引'!$M:$M,0)))</f>
        <v>1300</v>
      </c>
      <c r="AC562" s="133">
        <f>IF(AB562="","",INDEX('#建筑消耗和buff配置索引'!AS:AS,MATCH($F562,'#建筑消耗和buff配置索引'!$M:$M,0)))</f>
        <v>0.12</v>
      </c>
      <c r="AF562" s="133" t="str">
        <f>IF(INDEX('#建筑消耗和buff配置索引'!AW:AW,MATCH($F562,'#建筑消耗和buff配置索引'!$M:$M,0))=0,"",INDEX('#建筑消耗和buff配置索引'!AW:AW,MATCH($F562,'#建筑消耗和buff配置索引'!$M:$M,0)))</f>
        <v/>
      </c>
      <c r="AG562" s="133" t="str">
        <f>IF(AF562="","",INDEX('#建筑消耗和buff配置索引'!AX:AX,MATCH($F562,'#建筑消耗和buff配置索引'!$M:$M,0)))</f>
        <v/>
      </c>
      <c r="AJ562" s="133" t="str">
        <f>IF(INDEX('#建筑消耗和buff配置索引'!BB:BB,MATCH($F562,'#建筑消耗和buff配置索引'!$M:$M,0))=0,"",INDEX('#建筑消耗和buff配置索引'!BB:BB,MATCH($F562,'#建筑消耗和buff配置索引'!$M:$M,0)))</f>
        <v/>
      </c>
      <c r="AK562" s="133" t="str">
        <f>IF(AJ562="","",INDEX('#建筑消耗和buff配置索引'!BC:BC,MATCH($F562,'#建筑消耗和buff配置索引'!$M:$M,0)))</f>
        <v/>
      </c>
      <c r="AN562" s="133" t="str">
        <f>IF(INDEX('#建筑消耗和buff配置索引'!BG:BG,MATCH($F562,'#建筑消耗和buff配置索引'!$M:$M,0))=0,"",INDEX('#建筑消耗和buff配置索引'!BG:BG,MATCH($F562,'#建筑消耗和buff配置索引'!$M:$M,0)))</f>
        <v/>
      </c>
      <c r="AO562" s="133" t="str">
        <f>IF(AN562="","",INDEX('#建筑消耗和buff配置索引'!BH:BH,MATCH($F562,'#建筑消耗和buff配置索引'!$M:$M,0)))</f>
        <v/>
      </c>
      <c r="AR562" s="133" t="str">
        <f>IF(INDEX('#建筑消耗和buff配置索引'!BK:BK,MATCH($F562,'#建筑消耗和buff配置索引'!$M:$M,0))=0,"",INDEX('#建筑消耗和buff配置索引'!BK:BK,MATCH($F562,'#建筑消耗和buff配置索引'!$M:$M,0)))</f>
        <v/>
      </c>
      <c r="AS562" s="133" t="str">
        <f>IF(AR562="","",INDEX('#建筑消耗和buff配置索引'!BL:BL,MATCH($F562,'#建筑消耗和buff配置索引'!$M:$M,0)))</f>
        <v/>
      </c>
      <c r="AV562" s="133" t="str">
        <f>IF(INDEX('#建筑消耗和buff配置索引'!BO:BO,MATCH($F562,'#建筑消耗和buff配置索引'!$M:$M,0))=0,"",INDEX('#建筑消耗和buff配置索引'!BO:BO,MATCH($F562,'#建筑消耗和buff配置索引'!$M:$M,0)))</f>
        <v/>
      </c>
      <c r="AW562" s="133" t="str">
        <f>IF(AV562="","",INDEX('#建筑消耗和buff配置索引'!BP:BP,MATCH($F562,'#建筑消耗和buff配置索引'!$M:$M,0)))</f>
        <v/>
      </c>
      <c r="AZ562" s="133" t="str">
        <f>IF(INDEX('#建筑消耗和buff配置索引'!BS:BS,MATCH($F562,'#建筑消耗和buff配置索引'!$M:$M,0))=0,"",INDEX('#建筑消耗和buff配置索引'!BS:BS,MATCH($F562,'#建筑消耗和buff配置索引'!$M:$M,0)))</f>
        <v/>
      </c>
      <c r="BA562" s="133" t="str">
        <f>IF(AZ562="","",INDEX('#建筑消耗和buff配置索引'!BT:BT,MATCH($F562,'#建筑消耗和buff配置索引'!$M:$M,0)))</f>
        <v/>
      </c>
      <c r="BD562" s="133" t="str">
        <f>IF(INDEX('#建筑消耗和buff配置索引'!BW:BW,MATCH($F562,'#建筑消耗和buff配置索引'!$M:$M,0))=0,"",INDEX('#建筑消耗和buff配置索引'!BW:BW,MATCH($F562,'#建筑消耗和buff配置索引'!$M:$M,0)))</f>
        <v/>
      </c>
      <c r="BE562" s="133" t="str">
        <f>IF(BD562="","",INDEX('#建筑消耗和buff配置索引'!BX:BX,MATCH($F562,'#建筑消耗和buff配置索引'!$M:$M,0)))</f>
        <v/>
      </c>
      <c r="BI562" s="133">
        <v>22</v>
      </c>
    </row>
    <row r="563" spans="1:61" s="133" customFormat="1">
      <c r="A563" s="133">
        <v>2110013</v>
      </c>
      <c r="B563" s="133">
        <v>560</v>
      </c>
      <c r="C563" s="133">
        <v>211</v>
      </c>
      <c r="D563" s="133" t="s">
        <v>605</v>
      </c>
      <c r="E563" s="133">
        <v>13</v>
      </c>
      <c r="F563" s="133" t="str">
        <f t="shared" si="10"/>
        <v>学院13</v>
      </c>
      <c r="H563" s="146"/>
      <c r="I563" s="133" t="s">
        <v>1205</v>
      </c>
      <c r="J563" s="150">
        <f>INDEX('#建筑消耗和buff配置索引'!AH:AH,MATCH($F563,'#建筑消耗和buff配置索引'!$M:$M,0))</f>
        <v>23040</v>
      </c>
      <c r="K563" s="150">
        <f>INDEX('#建筑消耗和buff配置索引'!AA:AA,MATCH($F563,'#建筑消耗和buff配置索引'!$M:$M,0))</f>
        <v>340000</v>
      </c>
      <c r="L563" s="150">
        <f>INDEX('#建筑消耗和buff配置索引'!AB:AB,MATCH($F563,'#建筑消耗和buff配置索引'!$M:$M,0))</f>
        <v>340000</v>
      </c>
      <c r="M563" s="150">
        <f>INDEX('#建筑消耗和buff配置索引'!AC:AC,MATCH($F563,'#建筑消耗和buff配置索引'!$M:$M,0))</f>
        <v>340000</v>
      </c>
      <c r="N563" s="150">
        <f>INDEX('#建筑消耗和buff配置索引'!AD:AD,MATCH($F563,'#建筑消耗和buff配置索引'!$M:$M,0))</f>
        <v>340000</v>
      </c>
      <c r="O563" s="150" t="str">
        <f>IF(INDEX('#建筑消耗和buff配置索引'!T:T,MATCH($F563,'#建筑消耗和buff配置索引'!$M:$M,0))=0,"",INDEX('#建筑消耗和buff配置索引'!T:T,MATCH($F563,'#建筑消耗和buff配置索引'!$M:$M,0)))</f>
        <v/>
      </c>
      <c r="P563" s="133" t="str">
        <f>IF(INDEX('#建筑消耗和buff配置索引'!U:U,MATCH($F563,'#建筑消耗和buff配置索引'!$M:$M,0))=0,"",INDEX('#建筑消耗和buff配置索引'!U:U,MATCH($F563,'#建筑消耗和buff配置索引'!$M:$M,0)))</f>
        <v/>
      </c>
      <c r="Q563" s="133" t="str">
        <f>IF(INDEX('#建筑消耗和buff配置索引'!K:K,MATCH($F563,'#建筑消耗和buff配置索引'!$M:$M,0))=0,"",INDEX('#建筑消耗和buff配置索引'!K:K,MATCH($F563,'#建筑消耗和buff配置索引'!$M:$M,0)))</f>
        <v>201;202</v>
      </c>
      <c r="R563" s="133" t="str">
        <f>IF(INDEX('#建筑消耗和buff配置索引'!L:L,MATCH($F563,'#建筑消耗和buff配置索引'!$M:$M,0))=0,"",INDEX('#建筑消耗和buff配置索引'!L:L,MATCH($F563,'#建筑消耗和buff配置索引'!$M:$M,0)))</f>
        <v>13;13</v>
      </c>
      <c r="S563" s="133">
        <f>IF(INDEX('#建筑消耗和buff配置索引'!C:C,MATCH(F563,'#建筑消耗和buff配置索引'!M:M,0))=0,1,INDEX('#建筑消耗和buff配置索引'!C:C,MATCH(F563,'#建筑消耗和buff配置索引'!M:M,0)))</f>
        <v>2</v>
      </c>
      <c r="T563" s="133">
        <v>0</v>
      </c>
      <c r="U563" s="133">
        <v>0</v>
      </c>
      <c r="V563" s="133" t="str">
        <f>IF(E563=1,IF(INDEX('#建筑消耗和buff配置索引'!BY:BY,MATCH(D563,'#建筑消耗和buff配置索引'!A:A,0))=0,"",INDEX('#建筑消耗和buff配置索引'!BY:BY,MATCH(D563,'#建筑消耗和buff配置索引'!A:A,0))),"")</f>
        <v/>
      </c>
      <c r="W563" s="133" t="str">
        <f>IF(E563=1,IF(INDEX('#建筑消耗和buff配置索引'!BZ:BZ,MATCH(D563,'#建筑消耗和buff配置索引'!A:A,0))=0,"",INDEX('#建筑消耗和buff配置索引'!BZ:BZ,MATCH(D563,'#建筑消耗和buff配置索引'!A:A,0))),"")</f>
        <v/>
      </c>
      <c r="AA563" s="133">
        <f>INDEX('#建筑消耗和buff配置索引'!AO:AO,MATCH($F563,'#建筑消耗和buff配置索引'!$M:$M,0))</f>
        <v>8445</v>
      </c>
      <c r="AB563" s="133">
        <f>IF(INDEX('#建筑消耗和buff配置索引'!AR:AR,MATCH($F563,'#建筑消耗和buff配置索引'!$M:$M,0))=0,"",INDEX('#建筑消耗和buff配置索引'!AR:AR,MATCH($F563,'#建筑消耗和buff配置索引'!$M:$M,0)))</f>
        <v>1300</v>
      </c>
      <c r="AC563" s="133">
        <f>IF(AB563="","",INDEX('#建筑消耗和buff配置索引'!AS:AS,MATCH($F563,'#建筑消耗和buff配置索引'!$M:$M,0)))</f>
        <v>0.13</v>
      </c>
      <c r="AF563" s="133" t="str">
        <f>IF(INDEX('#建筑消耗和buff配置索引'!AW:AW,MATCH($F563,'#建筑消耗和buff配置索引'!$M:$M,0))=0,"",INDEX('#建筑消耗和buff配置索引'!AW:AW,MATCH($F563,'#建筑消耗和buff配置索引'!$M:$M,0)))</f>
        <v/>
      </c>
      <c r="AG563" s="133" t="str">
        <f>IF(AF563="","",INDEX('#建筑消耗和buff配置索引'!AX:AX,MATCH($F563,'#建筑消耗和buff配置索引'!$M:$M,0)))</f>
        <v/>
      </c>
      <c r="AJ563" s="133" t="str">
        <f>IF(INDEX('#建筑消耗和buff配置索引'!BB:BB,MATCH($F563,'#建筑消耗和buff配置索引'!$M:$M,0))=0,"",INDEX('#建筑消耗和buff配置索引'!BB:BB,MATCH($F563,'#建筑消耗和buff配置索引'!$M:$M,0)))</f>
        <v/>
      </c>
      <c r="AK563" s="133" t="str">
        <f>IF(AJ563="","",INDEX('#建筑消耗和buff配置索引'!BC:BC,MATCH($F563,'#建筑消耗和buff配置索引'!$M:$M,0)))</f>
        <v/>
      </c>
      <c r="AN563" s="133" t="str">
        <f>IF(INDEX('#建筑消耗和buff配置索引'!BG:BG,MATCH($F563,'#建筑消耗和buff配置索引'!$M:$M,0))=0,"",INDEX('#建筑消耗和buff配置索引'!BG:BG,MATCH($F563,'#建筑消耗和buff配置索引'!$M:$M,0)))</f>
        <v/>
      </c>
      <c r="AO563" s="133" t="str">
        <f>IF(AN563="","",INDEX('#建筑消耗和buff配置索引'!BH:BH,MATCH($F563,'#建筑消耗和buff配置索引'!$M:$M,0)))</f>
        <v/>
      </c>
      <c r="AR563" s="133" t="str">
        <f>IF(INDEX('#建筑消耗和buff配置索引'!BK:BK,MATCH($F563,'#建筑消耗和buff配置索引'!$M:$M,0))=0,"",INDEX('#建筑消耗和buff配置索引'!BK:BK,MATCH($F563,'#建筑消耗和buff配置索引'!$M:$M,0)))</f>
        <v/>
      </c>
      <c r="AS563" s="133" t="str">
        <f>IF(AR563="","",INDEX('#建筑消耗和buff配置索引'!BL:BL,MATCH($F563,'#建筑消耗和buff配置索引'!$M:$M,0)))</f>
        <v/>
      </c>
      <c r="AV563" s="133" t="str">
        <f>IF(INDEX('#建筑消耗和buff配置索引'!BO:BO,MATCH($F563,'#建筑消耗和buff配置索引'!$M:$M,0))=0,"",INDEX('#建筑消耗和buff配置索引'!BO:BO,MATCH($F563,'#建筑消耗和buff配置索引'!$M:$M,0)))</f>
        <v/>
      </c>
      <c r="AW563" s="133" t="str">
        <f>IF(AV563="","",INDEX('#建筑消耗和buff配置索引'!BP:BP,MATCH($F563,'#建筑消耗和buff配置索引'!$M:$M,0)))</f>
        <v/>
      </c>
      <c r="AZ563" s="133" t="str">
        <f>IF(INDEX('#建筑消耗和buff配置索引'!BS:BS,MATCH($F563,'#建筑消耗和buff配置索引'!$M:$M,0))=0,"",INDEX('#建筑消耗和buff配置索引'!BS:BS,MATCH($F563,'#建筑消耗和buff配置索引'!$M:$M,0)))</f>
        <v/>
      </c>
      <c r="BA563" s="133" t="str">
        <f>IF(AZ563="","",INDEX('#建筑消耗和buff配置索引'!BT:BT,MATCH($F563,'#建筑消耗和buff配置索引'!$M:$M,0)))</f>
        <v/>
      </c>
      <c r="BD563" s="133" t="str">
        <f>IF(INDEX('#建筑消耗和buff配置索引'!BW:BW,MATCH($F563,'#建筑消耗和buff配置索引'!$M:$M,0))=0,"",INDEX('#建筑消耗和buff配置索引'!BW:BW,MATCH($F563,'#建筑消耗和buff配置索引'!$M:$M,0)))</f>
        <v/>
      </c>
      <c r="BE563" s="133" t="str">
        <f>IF(BD563="","",INDEX('#建筑消耗和buff配置索引'!BX:BX,MATCH($F563,'#建筑消耗和buff配置索引'!$M:$M,0)))</f>
        <v/>
      </c>
      <c r="BI563" s="133">
        <v>22</v>
      </c>
    </row>
    <row r="564" spans="1:61" s="133" customFormat="1">
      <c r="A564" s="133">
        <v>2110014</v>
      </c>
      <c r="B564" s="133">
        <v>561</v>
      </c>
      <c r="C564" s="133">
        <v>211</v>
      </c>
      <c r="D564" s="133" t="s">
        <v>605</v>
      </c>
      <c r="E564" s="133">
        <v>14</v>
      </c>
      <c r="F564" s="133" t="str">
        <f t="shared" si="10"/>
        <v>学院14</v>
      </c>
      <c r="H564" s="146"/>
      <c r="I564" s="133" t="s">
        <v>1205</v>
      </c>
      <c r="J564" s="150">
        <f>INDEX('#建筑消耗和buff配置索引'!AH:AH,MATCH($F564,'#建筑消耗和buff配置索引'!$M:$M,0))</f>
        <v>28800</v>
      </c>
      <c r="K564" s="150">
        <f>INDEX('#建筑消耗和buff配置索引'!AA:AA,MATCH($F564,'#建筑消耗和buff配置索引'!$M:$M,0))</f>
        <v>450000</v>
      </c>
      <c r="L564" s="150">
        <f>INDEX('#建筑消耗和buff配置索引'!AB:AB,MATCH($F564,'#建筑消耗和buff配置索引'!$M:$M,0))</f>
        <v>450000</v>
      </c>
      <c r="M564" s="150">
        <f>INDEX('#建筑消耗和buff配置索引'!AC:AC,MATCH($F564,'#建筑消耗和buff配置索引'!$M:$M,0))</f>
        <v>450000</v>
      </c>
      <c r="N564" s="150">
        <f>INDEX('#建筑消耗和buff配置索引'!AD:AD,MATCH($F564,'#建筑消耗和buff配置索引'!$M:$M,0))</f>
        <v>450000</v>
      </c>
      <c r="O564" s="150" t="str">
        <f>IF(INDEX('#建筑消耗和buff配置索引'!T:T,MATCH($F564,'#建筑消耗和buff配置索引'!$M:$M,0))=0,"",INDEX('#建筑消耗和buff配置索引'!T:T,MATCH($F564,'#建筑消耗和buff配置索引'!$M:$M,0)))</f>
        <v/>
      </c>
      <c r="P564" s="133" t="str">
        <f>IF(INDEX('#建筑消耗和buff配置索引'!U:U,MATCH($F564,'#建筑消耗和buff配置索引'!$M:$M,0))=0,"",INDEX('#建筑消耗和buff配置索引'!U:U,MATCH($F564,'#建筑消耗和buff配置索引'!$M:$M,0)))</f>
        <v/>
      </c>
      <c r="Q564" s="133" t="str">
        <f>IF(INDEX('#建筑消耗和buff配置索引'!K:K,MATCH($F564,'#建筑消耗和buff配置索引'!$M:$M,0))=0,"",INDEX('#建筑消耗和buff配置索引'!K:K,MATCH($F564,'#建筑消耗和buff配置索引'!$M:$M,0)))</f>
        <v>201;202</v>
      </c>
      <c r="R564" s="133" t="str">
        <f>IF(INDEX('#建筑消耗和buff配置索引'!L:L,MATCH($F564,'#建筑消耗和buff配置索引'!$M:$M,0))=0,"",INDEX('#建筑消耗和buff配置索引'!L:L,MATCH($F564,'#建筑消耗和buff配置索引'!$M:$M,0)))</f>
        <v>14;14</v>
      </c>
      <c r="S564" s="133">
        <f>IF(INDEX('#建筑消耗和buff配置索引'!C:C,MATCH(F564,'#建筑消耗和buff配置索引'!M:M,0))=0,1,INDEX('#建筑消耗和buff配置索引'!C:C,MATCH(F564,'#建筑消耗和buff配置索引'!M:M,0)))</f>
        <v>2</v>
      </c>
      <c r="T564" s="133">
        <v>0</v>
      </c>
      <c r="U564" s="133">
        <v>0</v>
      </c>
      <c r="V564" s="133" t="str">
        <f>IF(E564=1,IF(INDEX('#建筑消耗和buff配置索引'!BY:BY,MATCH(D564,'#建筑消耗和buff配置索引'!A:A,0))=0,"",INDEX('#建筑消耗和buff配置索引'!BY:BY,MATCH(D564,'#建筑消耗和buff配置索引'!A:A,0))),"")</f>
        <v/>
      </c>
      <c r="W564" s="133" t="str">
        <f>IF(E564=1,IF(INDEX('#建筑消耗和buff配置索引'!BZ:BZ,MATCH(D564,'#建筑消耗和buff配置索引'!A:A,0))=0,"",INDEX('#建筑消耗和buff配置索引'!BZ:BZ,MATCH(D564,'#建筑消耗和buff配置索引'!A:A,0))),"")</f>
        <v/>
      </c>
      <c r="AA564" s="133">
        <f>INDEX('#建筑消耗和buff配置索引'!AO:AO,MATCH($F564,'#建筑消耗和buff配置索引'!$M:$M,0))</f>
        <v>12015</v>
      </c>
      <c r="AB564" s="133">
        <f>IF(INDEX('#建筑消耗和buff配置索引'!AR:AR,MATCH($F564,'#建筑消耗和buff配置索引'!$M:$M,0))=0,"",INDEX('#建筑消耗和buff配置索引'!AR:AR,MATCH($F564,'#建筑消耗和buff配置索引'!$M:$M,0)))</f>
        <v>1300</v>
      </c>
      <c r="AC564" s="133">
        <f>IF(AB564="","",INDEX('#建筑消耗和buff配置索引'!AS:AS,MATCH($F564,'#建筑消耗和buff配置索引'!$M:$M,0)))</f>
        <v>0.14000000000000001</v>
      </c>
      <c r="AF564" s="133" t="str">
        <f>IF(INDEX('#建筑消耗和buff配置索引'!AW:AW,MATCH($F564,'#建筑消耗和buff配置索引'!$M:$M,0))=0,"",INDEX('#建筑消耗和buff配置索引'!AW:AW,MATCH($F564,'#建筑消耗和buff配置索引'!$M:$M,0)))</f>
        <v/>
      </c>
      <c r="AG564" s="133" t="str">
        <f>IF(AF564="","",INDEX('#建筑消耗和buff配置索引'!AX:AX,MATCH($F564,'#建筑消耗和buff配置索引'!$M:$M,0)))</f>
        <v/>
      </c>
      <c r="AJ564" s="133" t="str">
        <f>IF(INDEX('#建筑消耗和buff配置索引'!BB:BB,MATCH($F564,'#建筑消耗和buff配置索引'!$M:$M,0))=0,"",INDEX('#建筑消耗和buff配置索引'!BB:BB,MATCH($F564,'#建筑消耗和buff配置索引'!$M:$M,0)))</f>
        <v/>
      </c>
      <c r="AK564" s="133" t="str">
        <f>IF(AJ564="","",INDEX('#建筑消耗和buff配置索引'!BC:BC,MATCH($F564,'#建筑消耗和buff配置索引'!$M:$M,0)))</f>
        <v/>
      </c>
      <c r="AN564" s="133" t="str">
        <f>IF(INDEX('#建筑消耗和buff配置索引'!BG:BG,MATCH($F564,'#建筑消耗和buff配置索引'!$M:$M,0))=0,"",INDEX('#建筑消耗和buff配置索引'!BG:BG,MATCH($F564,'#建筑消耗和buff配置索引'!$M:$M,0)))</f>
        <v/>
      </c>
      <c r="AO564" s="133" t="str">
        <f>IF(AN564="","",INDEX('#建筑消耗和buff配置索引'!BH:BH,MATCH($F564,'#建筑消耗和buff配置索引'!$M:$M,0)))</f>
        <v/>
      </c>
      <c r="AR564" s="133" t="str">
        <f>IF(INDEX('#建筑消耗和buff配置索引'!BK:BK,MATCH($F564,'#建筑消耗和buff配置索引'!$M:$M,0))=0,"",INDEX('#建筑消耗和buff配置索引'!BK:BK,MATCH($F564,'#建筑消耗和buff配置索引'!$M:$M,0)))</f>
        <v/>
      </c>
      <c r="AS564" s="133" t="str">
        <f>IF(AR564="","",INDEX('#建筑消耗和buff配置索引'!BL:BL,MATCH($F564,'#建筑消耗和buff配置索引'!$M:$M,0)))</f>
        <v/>
      </c>
      <c r="AV564" s="133" t="str">
        <f>IF(INDEX('#建筑消耗和buff配置索引'!BO:BO,MATCH($F564,'#建筑消耗和buff配置索引'!$M:$M,0))=0,"",INDEX('#建筑消耗和buff配置索引'!BO:BO,MATCH($F564,'#建筑消耗和buff配置索引'!$M:$M,0)))</f>
        <v/>
      </c>
      <c r="AW564" s="133" t="str">
        <f>IF(AV564="","",INDEX('#建筑消耗和buff配置索引'!BP:BP,MATCH($F564,'#建筑消耗和buff配置索引'!$M:$M,0)))</f>
        <v/>
      </c>
      <c r="AZ564" s="133" t="str">
        <f>IF(INDEX('#建筑消耗和buff配置索引'!BS:BS,MATCH($F564,'#建筑消耗和buff配置索引'!$M:$M,0))=0,"",INDEX('#建筑消耗和buff配置索引'!BS:BS,MATCH($F564,'#建筑消耗和buff配置索引'!$M:$M,0)))</f>
        <v/>
      </c>
      <c r="BA564" s="133" t="str">
        <f>IF(AZ564="","",INDEX('#建筑消耗和buff配置索引'!BT:BT,MATCH($F564,'#建筑消耗和buff配置索引'!$M:$M,0)))</f>
        <v/>
      </c>
      <c r="BD564" s="133" t="str">
        <f>IF(INDEX('#建筑消耗和buff配置索引'!BW:BW,MATCH($F564,'#建筑消耗和buff配置索引'!$M:$M,0))=0,"",INDEX('#建筑消耗和buff配置索引'!BW:BW,MATCH($F564,'#建筑消耗和buff配置索引'!$M:$M,0)))</f>
        <v/>
      </c>
      <c r="BE564" s="133" t="str">
        <f>IF(BD564="","",INDEX('#建筑消耗和buff配置索引'!BX:BX,MATCH($F564,'#建筑消耗和buff配置索引'!$M:$M,0)))</f>
        <v/>
      </c>
      <c r="BI564" s="133">
        <v>22</v>
      </c>
    </row>
    <row r="565" spans="1:61" s="133" customFormat="1">
      <c r="A565" s="133">
        <v>2110015</v>
      </c>
      <c r="B565" s="133">
        <v>562</v>
      </c>
      <c r="C565" s="133">
        <v>211</v>
      </c>
      <c r="D565" s="133" t="s">
        <v>605</v>
      </c>
      <c r="E565" s="133">
        <v>15</v>
      </c>
      <c r="F565" s="133" t="str">
        <f t="shared" si="10"/>
        <v>学院15</v>
      </c>
      <c r="H565" s="146"/>
      <c r="I565" s="133" t="s">
        <v>1205</v>
      </c>
      <c r="J565" s="150">
        <f>INDEX('#建筑消耗和buff配置索引'!AH:AH,MATCH($F565,'#建筑消耗和buff配置索引'!$M:$M,0))</f>
        <v>34560</v>
      </c>
      <c r="K565" s="150">
        <f>INDEX('#建筑消耗和buff配置索引'!AA:AA,MATCH($F565,'#建筑消耗和buff配置索引'!$M:$M,0))</f>
        <v>570000</v>
      </c>
      <c r="L565" s="150">
        <f>INDEX('#建筑消耗和buff配置索引'!AB:AB,MATCH($F565,'#建筑消耗和buff配置索引'!$M:$M,0))</f>
        <v>570000</v>
      </c>
      <c r="M565" s="150">
        <f>INDEX('#建筑消耗和buff配置索引'!AC:AC,MATCH($F565,'#建筑消耗和buff配置索引'!$M:$M,0))</f>
        <v>570000</v>
      </c>
      <c r="N565" s="150">
        <f>INDEX('#建筑消耗和buff配置索引'!AD:AD,MATCH($F565,'#建筑消耗和buff配置索引'!$M:$M,0))</f>
        <v>570000</v>
      </c>
      <c r="O565" s="150" t="str">
        <f>IF(INDEX('#建筑消耗和buff配置索引'!T:T,MATCH($F565,'#建筑消耗和buff配置索引'!$M:$M,0))=0,"",INDEX('#建筑消耗和buff配置索引'!T:T,MATCH($F565,'#建筑消耗和buff配置索引'!$M:$M,0)))</f>
        <v/>
      </c>
      <c r="P565" s="133" t="str">
        <f>IF(INDEX('#建筑消耗和buff配置索引'!U:U,MATCH($F565,'#建筑消耗和buff配置索引'!$M:$M,0))=0,"",INDEX('#建筑消耗和buff配置索引'!U:U,MATCH($F565,'#建筑消耗和buff配置索引'!$M:$M,0)))</f>
        <v/>
      </c>
      <c r="Q565" s="133" t="str">
        <f>IF(INDEX('#建筑消耗和buff配置索引'!K:K,MATCH($F565,'#建筑消耗和buff配置索引'!$M:$M,0))=0,"",INDEX('#建筑消耗和buff配置索引'!K:K,MATCH($F565,'#建筑消耗和buff配置索引'!$M:$M,0)))</f>
        <v>201;202</v>
      </c>
      <c r="R565" s="133" t="str">
        <f>IF(INDEX('#建筑消耗和buff配置索引'!L:L,MATCH($F565,'#建筑消耗和buff配置索引'!$M:$M,0))=0,"",INDEX('#建筑消耗和buff配置索引'!L:L,MATCH($F565,'#建筑消耗和buff配置索引'!$M:$M,0)))</f>
        <v>15;15</v>
      </c>
      <c r="S565" s="133">
        <f>IF(INDEX('#建筑消耗和buff配置索引'!C:C,MATCH(F565,'#建筑消耗和buff配置索引'!M:M,0))=0,1,INDEX('#建筑消耗和buff配置索引'!C:C,MATCH(F565,'#建筑消耗和buff配置索引'!M:M,0)))</f>
        <v>2</v>
      </c>
      <c r="T565" s="133">
        <v>0</v>
      </c>
      <c r="U565" s="133">
        <v>0</v>
      </c>
      <c r="V565" s="133" t="str">
        <f>IF(E565=1,IF(INDEX('#建筑消耗和buff配置索引'!BY:BY,MATCH(D565,'#建筑消耗和buff配置索引'!A:A,0))=0,"",INDEX('#建筑消耗和buff配置索引'!BY:BY,MATCH(D565,'#建筑消耗和buff配置索引'!A:A,0))),"")</f>
        <v/>
      </c>
      <c r="W565" s="133" t="str">
        <f>IF(E565=1,IF(INDEX('#建筑消耗和buff配置索引'!BZ:BZ,MATCH(D565,'#建筑消耗和buff配置索引'!A:A,0))=0,"",INDEX('#建筑消耗和buff配置索引'!BZ:BZ,MATCH(D565,'#建筑消耗和buff配置索引'!A:A,0))),"")</f>
        <v/>
      </c>
      <c r="AA565" s="133">
        <f>INDEX('#建筑消耗和buff配置索引'!AO:AO,MATCH($F565,'#建筑消耗和buff配置索引'!$M:$M,0))</f>
        <v>16586</v>
      </c>
      <c r="AB565" s="133">
        <f>IF(INDEX('#建筑消耗和buff配置索引'!AR:AR,MATCH($F565,'#建筑消耗和buff配置索引'!$M:$M,0))=0,"",INDEX('#建筑消耗和buff配置索引'!AR:AR,MATCH($F565,'#建筑消耗和buff配置索引'!$M:$M,0)))</f>
        <v>1300</v>
      </c>
      <c r="AC565" s="133">
        <f>IF(AB565="","",INDEX('#建筑消耗和buff配置索引'!AS:AS,MATCH($F565,'#建筑消耗和buff配置索引'!$M:$M,0)))</f>
        <v>0.15</v>
      </c>
      <c r="AF565" s="133" t="str">
        <f>IF(INDEX('#建筑消耗和buff配置索引'!AW:AW,MATCH($F565,'#建筑消耗和buff配置索引'!$M:$M,0))=0,"",INDEX('#建筑消耗和buff配置索引'!AW:AW,MATCH($F565,'#建筑消耗和buff配置索引'!$M:$M,0)))</f>
        <v/>
      </c>
      <c r="AG565" s="133" t="str">
        <f>IF(AF565="","",INDEX('#建筑消耗和buff配置索引'!AX:AX,MATCH($F565,'#建筑消耗和buff配置索引'!$M:$M,0)))</f>
        <v/>
      </c>
      <c r="AJ565" s="133" t="str">
        <f>IF(INDEX('#建筑消耗和buff配置索引'!BB:BB,MATCH($F565,'#建筑消耗和buff配置索引'!$M:$M,0))=0,"",INDEX('#建筑消耗和buff配置索引'!BB:BB,MATCH($F565,'#建筑消耗和buff配置索引'!$M:$M,0)))</f>
        <v/>
      </c>
      <c r="AK565" s="133" t="str">
        <f>IF(AJ565="","",INDEX('#建筑消耗和buff配置索引'!BC:BC,MATCH($F565,'#建筑消耗和buff配置索引'!$M:$M,0)))</f>
        <v/>
      </c>
      <c r="AN565" s="133" t="str">
        <f>IF(INDEX('#建筑消耗和buff配置索引'!BG:BG,MATCH($F565,'#建筑消耗和buff配置索引'!$M:$M,0))=0,"",INDEX('#建筑消耗和buff配置索引'!BG:BG,MATCH($F565,'#建筑消耗和buff配置索引'!$M:$M,0)))</f>
        <v/>
      </c>
      <c r="AO565" s="133" t="str">
        <f>IF(AN565="","",INDEX('#建筑消耗和buff配置索引'!BH:BH,MATCH($F565,'#建筑消耗和buff配置索引'!$M:$M,0)))</f>
        <v/>
      </c>
      <c r="AR565" s="133" t="str">
        <f>IF(INDEX('#建筑消耗和buff配置索引'!BK:BK,MATCH($F565,'#建筑消耗和buff配置索引'!$M:$M,0))=0,"",INDEX('#建筑消耗和buff配置索引'!BK:BK,MATCH($F565,'#建筑消耗和buff配置索引'!$M:$M,0)))</f>
        <v/>
      </c>
      <c r="AS565" s="133" t="str">
        <f>IF(AR565="","",INDEX('#建筑消耗和buff配置索引'!BL:BL,MATCH($F565,'#建筑消耗和buff配置索引'!$M:$M,0)))</f>
        <v/>
      </c>
      <c r="AV565" s="133" t="str">
        <f>IF(INDEX('#建筑消耗和buff配置索引'!BO:BO,MATCH($F565,'#建筑消耗和buff配置索引'!$M:$M,0))=0,"",INDEX('#建筑消耗和buff配置索引'!BO:BO,MATCH($F565,'#建筑消耗和buff配置索引'!$M:$M,0)))</f>
        <v/>
      </c>
      <c r="AW565" s="133" t="str">
        <f>IF(AV565="","",INDEX('#建筑消耗和buff配置索引'!BP:BP,MATCH($F565,'#建筑消耗和buff配置索引'!$M:$M,0)))</f>
        <v/>
      </c>
      <c r="AZ565" s="133" t="str">
        <f>IF(INDEX('#建筑消耗和buff配置索引'!BS:BS,MATCH($F565,'#建筑消耗和buff配置索引'!$M:$M,0))=0,"",INDEX('#建筑消耗和buff配置索引'!BS:BS,MATCH($F565,'#建筑消耗和buff配置索引'!$M:$M,0)))</f>
        <v/>
      </c>
      <c r="BA565" s="133" t="str">
        <f>IF(AZ565="","",INDEX('#建筑消耗和buff配置索引'!BT:BT,MATCH($F565,'#建筑消耗和buff配置索引'!$M:$M,0)))</f>
        <v/>
      </c>
      <c r="BD565" s="133" t="str">
        <f>IF(INDEX('#建筑消耗和buff配置索引'!BW:BW,MATCH($F565,'#建筑消耗和buff配置索引'!$M:$M,0))=0,"",INDEX('#建筑消耗和buff配置索引'!BW:BW,MATCH($F565,'#建筑消耗和buff配置索引'!$M:$M,0)))</f>
        <v/>
      </c>
      <c r="BE565" s="133" t="str">
        <f>IF(BD565="","",INDEX('#建筑消耗和buff配置索引'!BX:BX,MATCH($F565,'#建筑消耗和buff配置索引'!$M:$M,0)))</f>
        <v/>
      </c>
      <c r="BI565" s="133">
        <v>22</v>
      </c>
    </row>
    <row r="566" spans="1:61" s="133" customFormat="1">
      <c r="A566" s="133">
        <v>2110016</v>
      </c>
      <c r="B566" s="133">
        <v>563</v>
      </c>
      <c r="C566" s="133">
        <v>211</v>
      </c>
      <c r="D566" s="133" t="s">
        <v>605</v>
      </c>
      <c r="E566" s="133">
        <v>16</v>
      </c>
      <c r="F566" s="133" t="str">
        <f t="shared" si="10"/>
        <v>学院16</v>
      </c>
      <c r="H566" s="146"/>
      <c r="I566" s="133" t="s">
        <v>1205</v>
      </c>
      <c r="J566" s="150">
        <f>INDEX('#建筑消耗和buff配置索引'!AH:AH,MATCH($F566,'#建筑消耗和buff配置索引'!$M:$M,0))</f>
        <v>43200</v>
      </c>
      <c r="K566" s="150">
        <f>INDEX('#建筑消耗和buff配置索引'!AA:AA,MATCH($F566,'#建筑消耗和buff配置索引'!$M:$M,0))</f>
        <v>730000</v>
      </c>
      <c r="L566" s="150">
        <f>INDEX('#建筑消耗和buff配置索引'!AB:AB,MATCH($F566,'#建筑消耗和buff配置索引'!$M:$M,0))</f>
        <v>730000</v>
      </c>
      <c r="M566" s="150">
        <f>INDEX('#建筑消耗和buff配置索引'!AC:AC,MATCH($F566,'#建筑消耗和buff配置索引'!$M:$M,0))</f>
        <v>730000</v>
      </c>
      <c r="N566" s="150">
        <f>INDEX('#建筑消耗和buff配置索引'!AD:AD,MATCH($F566,'#建筑消耗和buff配置索引'!$M:$M,0))</f>
        <v>730000</v>
      </c>
      <c r="O566" s="150" t="str">
        <f>IF(INDEX('#建筑消耗和buff配置索引'!T:T,MATCH($F566,'#建筑消耗和buff配置索引'!$M:$M,0))=0,"",INDEX('#建筑消耗和buff配置索引'!T:T,MATCH($F566,'#建筑消耗和buff配置索引'!$M:$M,0)))</f>
        <v/>
      </c>
      <c r="P566" s="133" t="str">
        <f>IF(INDEX('#建筑消耗和buff配置索引'!U:U,MATCH($F566,'#建筑消耗和buff配置索引'!$M:$M,0))=0,"",INDEX('#建筑消耗和buff配置索引'!U:U,MATCH($F566,'#建筑消耗和buff配置索引'!$M:$M,0)))</f>
        <v/>
      </c>
      <c r="Q566" s="133" t="str">
        <f>IF(INDEX('#建筑消耗和buff配置索引'!K:K,MATCH($F566,'#建筑消耗和buff配置索引'!$M:$M,0))=0,"",INDEX('#建筑消耗和buff配置索引'!K:K,MATCH($F566,'#建筑消耗和buff配置索引'!$M:$M,0)))</f>
        <v>201;202</v>
      </c>
      <c r="R566" s="133" t="str">
        <f>IF(INDEX('#建筑消耗和buff配置索引'!L:L,MATCH($F566,'#建筑消耗和buff配置索引'!$M:$M,0))=0,"",INDEX('#建筑消耗和buff配置索引'!L:L,MATCH($F566,'#建筑消耗和buff配置索引'!$M:$M,0)))</f>
        <v>16;16</v>
      </c>
      <c r="S566" s="133">
        <f>IF(INDEX('#建筑消耗和buff配置索引'!C:C,MATCH(F566,'#建筑消耗和buff配置索引'!M:M,0))=0,1,INDEX('#建筑消耗和buff配置索引'!C:C,MATCH(F566,'#建筑消耗和buff配置索引'!M:M,0)))</f>
        <v>2</v>
      </c>
      <c r="T566" s="133">
        <v>0</v>
      </c>
      <c r="U566" s="133">
        <v>0</v>
      </c>
      <c r="V566" s="133" t="str">
        <f>IF(E566=1,IF(INDEX('#建筑消耗和buff配置索引'!BY:BY,MATCH(D566,'#建筑消耗和buff配置索引'!A:A,0))=0,"",INDEX('#建筑消耗和buff配置索引'!BY:BY,MATCH(D566,'#建筑消耗和buff配置索引'!A:A,0))),"")</f>
        <v/>
      </c>
      <c r="W566" s="133" t="str">
        <f>IF(E566=1,IF(INDEX('#建筑消耗和buff配置索引'!BZ:BZ,MATCH(D566,'#建筑消耗和buff配置索引'!A:A,0))=0,"",INDEX('#建筑消耗和buff配置索引'!BZ:BZ,MATCH(D566,'#建筑消耗和buff配置索引'!A:A,0))),"")</f>
        <v/>
      </c>
      <c r="AA566" s="133">
        <f>INDEX('#建筑消耗和buff配置索引'!AO:AO,MATCH($F566,'#建筑消耗和buff配置索引'!$M:$M,0))</f>
        <v>22436</v>
      </c>
      <c r="AB566" s="133">
        <f>IF(INDEX('#建筑消耗和buff配置索引'!AR:AR,MATCH($F566,'#建筑消耗和buff配置索引'!$M:$M,0))=0,"",INDEX('#建筑消耗和buff配置索引'!AR:AR,MATCH($F566,'#建筑消耗和buff配置索引'!$M:$M,0)))</f>
        <v>1300</v>
      </c>
      <c r="AC566" s="133">
        <f>IF(AB566="","",INDEX('#建筑消耗和buff配置索引'!AS:AS,MATCH($F566,'#建筑消耗和buff配置索引'!$M:$M,0)))</f>
        <v>0.16</v>
      </c>
      <c r="AF566" s="133" t="str">
        <f>IF(INDEX('#建筑消耗和buff配置索引'!AW:AW,MATCH($F566,'#建筑消耗和buff配置索引'!$M:$M,0))=0,"",INDEX('#建筑消耗和buff配置索引'!AW:AW,MATCH($F566,'#建筑消耗和buff配置索引'!$M:$M,0)))</f>
        <v/>
      </c>
      <c r="AG566" s="133" t="str">
        <f>IF(AF566="","",INDEX('#建筑消耗和buff配置索引'!AX:AX,MATCH($F566,'#建筑消耗和buff配置索引'!$M:$M,0)))</f>
        <v/>
      </c>
      <c r="AJ566" s="133" t="str">
        <f>IF(INDEX('#建筑消耗和buff配置索引'!BB:BB,MATCH($F566,'#建筑消耗和buff配置索引'!$M:$M,0))=0,"",INDEX('#建筑消耗和buff配置索引'!BB:BB,MATCH($F566,'#建筑消耗和buff配置索引'!$M:$M,0)))</f>
        <v/>
      </c>
      <c r="AK566" s="133" t="str">
        <f>IF(AJ566="","",INDEX('#建筑消耗和buff配置索引'!BC:BC,MATCH($F566,'#建筑消耗和buff配置索引'!$M:$M,0)))</f>
        <v/>
      </c>
      <c r="AN566" s="133" t="str">
        <f>IF(INDEX('#建筑消耗和buff配置索引'!BG:BG,MATCH($F566,'#建筑消耗和buff配置索引'!$M:$M,0))=0,"",INDEX('#建筑消耗和buff配置索引'!BG:BG,MATCH($F566,'#建筑消耗和buff配置索引'!$M:$M,0)))</f>
        <v/>
      </c>
      <c r="AO566" s="133" t="str">
        <f>IF(AN566="","",INDEX('#建筑消耗和buff配置索引'!BH:BH,MATCH($F566,'#建筑消耗和buff配置索引'!$M:$M,0)))</f>
        <v/>
      </c>
      <c r="AR566" s="133" t="str">
        <f>IF(INDEX('#建筑消耗和buff配置索引'!BK:BK,MATCH($F566,'#建筑消耗和buff配置索引'!$M:$M,0))=0,"",INDEX('#建筑消耗和buff配置索引'!BK:BK,MATCH($F566,'#建筑消耗和buff配置索引'!$M:$M,0)))</f>
        <v/>
      </c>
      <c r="AS566" s="133" t="str">
        <f>IF(AR566="","",INDEX('#建筑消耗和buff配置索引'!BL:BL,MATCH($F566,'#建筑消耗和buff配置索引'!$M:$M,0)))</f>
        <v/>
      </c>
      <c r="AV566" s="133" t="str">
        <f>IF(INDEX('#建筑消耗和buff配置索引'!BO:BO,MATCH($F566,'#建筑消耗和buff配置索引'!$M:$M,0))=0,"",INDEX('#建筑消耗和buff配置索引'!BO:BO,MATCH($F566,'#建筑消耗和buff配置索引'!$M:$M,0)))</f>
        <v/>
      </c>
      <c r="AW566" s="133" t="str">
        <f>IF(AV566="","",INDEX('#建筑消耗和buff配置索引'!BP:BP,MATCH($F566,'#建筑消耗和buff配置索引'!$M:$M,0)))</f>
        <v/>
      </c>
      <c r="AZ566" s="133" t="str">
        <f>IF(INDEX('#建筑消耗和buff配置索引'!BS:BS,MATCH($F566,'#建筑消耗和buff配置索引'!$M:$M,0))=0,"",INDEX('#建筑消耗和buff配置索引'!BS:BS,MATCH($F566,'#建筑消耗和buff配置索引'!$M:$M,0)))</f>
        <v/>
      </c>
      <c r="BA566" s="133" t="str">
        <f>IF(AZ566="","",INDEX('#建筑消耗和buff配置索引'!BT:BT,MATCH($F566,'#建筑消耗和buff配置索引'!$M:$M,0)))</f>
        <v/>
      </c>
      <c r="BD566" s="133" t="str">
        <f>IF(INDEX('#建筑消耗和buff配置索引'!BW:BW,MATCH($F566,'#建筑消耗和buff配置索引'!$M:$M,0))=0,"",INDEX('#建筑消耗和buff配置索引'!BW:BW,MATCH($F566,'#建筑消耗和buff配置索引'!$M:$M,0)))</f>
        <v/>
      </c>
      <c r="BE566" s="133" t="str">
        <f>IF(BD566="","",INDEX('#建筑消耗和buff配置索引'!BX:BX,MATCH($F566,'#建筑消耗和buff配置索引'!$M:$M,0)))</f>
        <v/>
      </c>
      <c r="BI566" s="133">
        <v>22</v>
      </c>
    </row>
    <row r="567" spans="1:61" s="133" customFormat="1">
      <c r="A567" s="133">
        <v>2110017</v>
      </c>
      <c r="B567" s="133">
        <v>564</v>
      </c>
      <c r="C567" s="133">
        <v>211</v>
      </c>
      <c r="D567" s="133" t="s">
        <v>605</v>
      </c>
      <c r="E567" s="133">
        <v>17</v>
      </c>
      <c r="F567" s="133" t="str">
        <f t="shared" si="10"/>
        <v>学院17</v>
      </c>
      <c r="H567" s="146"/>
      <c r="I567" s="133" t="s">
        <v>1205</v>
      </c>
      <c r="J567" s="150">
        <f>INDEX('#建筑消耗和buff配置索引'!AH:AH,MATCH($F567,'#建筑消耗和buff配置索引'!$M:$M,0))</f>
        <v>57600</v>
      </c>
      <c r="K567" s="150">
        <f>INDEX('#建筑消耗和buff配置索引'!AA:AA,MATCH($F567,'#建筑消耗和buff配置索引'!$M:$M,0))</f>
        <v>940000</v>
      </c>
      <c r="L567" s="150">
        <f>INDEX('#建筑消耗和buff配置索引'!AB:AB,MATCH($F567,'#建筑消耗和buff配置索引'!$M:$M,0))</f>
        <v>940000</v>
      </c>
      <c r="M567" s="150">
        <f>INDEX('#建筑消耗和buff配置索引'!AC:AC,MATCH($F567,'#建筑消耗和buff配置索引'!$M:$M,0))</f>
        <v>940000</v>
      </c>
      <c r="N567" s="150">
        <f>INDEX('#建筑消耗和buff配置索引'!AD:AD,MATCH($F567,'#建筑消耗和buff配置索引'!$M:$M,0))</f>
        <v>940000</v>
      </c>
      <c r="O567" s="150" t="str">
        <f>IF(INDEX('#建筑消耗和buff配置索引'!T:T,MATCH($F567,'#建筑消耗和buff配置索引'!$M:$M,0))=0,"",INDEX('#建筑消耗和buff配置索引'!T:T,MATCH($F567,'#建筑消耗和buff配置索引'!$M:$M,0)))</f>
        <v/>
      </c>
      <c r="P567" s="133" t="str">
        <f>IF(INDEX('#建筑消耗和buff配置索引'!U:U,MATCH($F567,'#建筑消耗和buff配置索引'!$M:$M,0))=0,"",INDEX('#建筑消耗和buff配置索引'!U:U,MATCH($F567,'#建筑消耗和buff配置索引'!$M:$M,0)))</f>
        <v/>
      </c>
      <c r="Q567" s="133" t="str">
        <f>IF(INDEX('#建筑消耗和buff配置索引'!K:K,MATCH($F567,'#建筑消耗和buff配置索引'!$M:$M,0))=0,"",INDEX('#建筑消耗和buff配置索引'!K:K,MATCH($F567,'#建筑消耗和buff配置索引'!$M:$M,0)))</f>
        <v>201;202</v>
      </c>
      <c r="R567" s="133" t="str">
        <f>IF(INDEX('#建筑消耗和buff配置索引'!L:L,MATCH($F567,'#建筑消耗和buff配置索引'!$M:$M,0))=0,"",INDEX('#建筑消耗和buff配置索引'!L:L,MATCH($F567,'#建筑消耗和buff配置索引'!$M:$M,0)))</f>
        <v>17;17</v>
      </c>
      <c r="S567" s="133">
        <f>IF(INDEX('#建筑消耗和buff配置索引'!C:C,MATCH(F567,'#建筑消耗和buff配置索引'!M:M,0))=0,1,INDEX('#建筑消耗和buff配置索引'!C:C,MATCH(F567,'#建筑消耗和buff配置索引'!M:M,0)))</f>
        <v>2</v>
      </c>
      <c r="T567" s="133">
        <v>0</v>
      </c>
      <c r="U567" s="133">
        <v>0</v>
      </c>
      <c r="V567" s="133" t="str">
        <f>IF(E567=1,IF(INDEX('#建筑消耗和buff配置索引'!BY:BY,MATCH(D567,'#建筑消耗和buff配置索引'!A:A,0))=0,"",INDEX('#建筑消耗和buff配置索引'!BY:BY,MATCH(D567,'#建筑消耗和buff配置索引'!A:A,0))),"")</f>
        <v/>
      </c>
      <c r="W567" s="133" t="str">
        <f>IF(E567=1,IF(INDEX('#建筑消耗和buff配置索引'!BZ:BZ,MATCH(D567,'#建筑消耗和buff配置索引'!A:A,0))=0,"",INDEX('#建筑消耗和buff配置索引'!BZ:BZ,MATCH(D567,'#建筑消耗和buff配置索引'!A:A,0))),"")</f>
        <v/>
      </c>
      <c r="AA567" s="133">
        <f>INDEX('#建筑消耗和buff配置索引'!AO:AO,MATCH($F567,'#建筑消耗和buff配置索引'!$M:$M,0))</f>
        <v>29924</v>
      </c>
      <c r="AB567" s="133">
        <f>IF(INDEX('#建筑消耗和buff配置索引'!AR:AR,MATCH($F567,'#建筑消耗和buff配置索引'!$M:$M,0))=0,"",INDEX('#建筑消耗和buff配置索引'!AR:AR,MATCH($F567,'#建筑消耗和buff配置索引'!$M:$M,0)))</f>
        <v>1300</v>
      </c>
      <c r="AC567" s="133">
        <f>IF(AB567="","",INDEX('#建筑消耗和buff配置索引'!AS:AS,MATCH($F567,'#建筑消耗和buff配置索引'!$M:$M,0)))</f>
        <v>0.17</v>
      </c>
      <c r="AF567" s="133" t="str">
        <f>IF(INDEX('#建筑消耗和buff配置索引'!AW:AW,MATCH($F567,'#建筑消耗和buff配置索引'!$M:$M,0))=0,"",INDEX('#建筑消耗和buff配置索引'!AW:AW,MATCH($F567,'#建筑消耗和buff配置索引'!$M:$M,0)))</f>
        <v/>
      </c>
      <c r="AG567" s="133" t="str">
        <f>IF(AF567="","",INDEX('#建筑消耗和buff配置索引'!AX:AX,MATCH($F567,'#建筑消耗和buff配置索引'!$M:$M,0)))</f>
        <v/>
      </c>
      <c r="AJ567" s="133" t="str">
        <f>IF(INDEX('#建筑消耗和buff配置索引'!BB:BB,MATCH($F567,'#建筑消耗和buff配置索引'!$M:$M,0))=0,"",INDEX('#建筑消耗和buff配置索引'!BB:BB,MATCH($F567,'#建筑消耗和buff配置索引'!$M:$M,0)))</f>
        <v/>
      </c>
      <c r="AK567" s="133" t="str">
        <f>IF(AJ567="","",INDEX('#建筑消耗和buff配置索引'!BC:BC,MATCH($F567,'#建筑消耗和buff配置索引'!$M:$M,0)))</f>
        <v/>
      </c>
      <c r="AN567" s="133" t="str">
        <f>IF(INDEX('#建筑消耗和buff配置索引'!BG:BG,MATCH($F567,'#建筑消耗和buff配置索引'!$M:$M,0))=0,"",INDEX('#建筑消耗和buff配置索引'!BG:BG,MATCH($F567,'#建筑消耗和buff配置索引'!$M:$M,0)))</f>
        <v/>
      </c>
      <c r="AO567" s="133" t="str">
        <f>IF(AN567="","",INDEX('#建筑消耗和buff配置索引'!BH:BH,MATCH($F567,'#建筑消耗和buff配置索引'!$M:$M,0)))</f>
        <v/>
      </c>
      <c r="AR567" s="133" t="str">
        <f>IF(INDEX('#建筑消耗和buff配置索引'!BK:BK,MATCH($F567,'#建筑消耗和buff配置索引'!$M:$M,0))=0,"",INDEX('#建筑消耗和buff配置索引'!BK:BK,MATCH($F567,'#建筑消耗和buff配置索引'!$M:$M,0)))</f>
        <v/>
      </c>
      <c r="AS567" s="133" t="str">
        <f>IF(AR567="","",INDEX('#建筑消耗和buff配置索引'!BL:BL,MATCH($F567,'#建筑消耗和buff配置索引'!$M:$M,0)))</f>
        <v/>
      </c>
      <c r="AV567" s="133" t="str">
        <f>IF(INDEX('#建筑消耗和buff配置索引'!BO:BO,MATCH($F567,'#建筑消耗和buff配置索引'!$M:$M,0))=0,"",INDEX('#建筑消耗和buff配置索引'!BO:BO,MATCH($F567,'#建筑消耗和buff配置索引'!$M:$M,0)))</f>
        <v/>
      </c>
      <c r="AW567" s="133" t="str">
        <f>IF(AV567="","",INDEX('#建筑消耗和buff配置索引'!BP:BP,MATCH($F567,'#建筑消耗和buff配置索引'!$M:$M,0)))</f>
        <v/>
      </c>
      <c r="AZ567" s="133" t="str">
        <f>IF(INDEX('#建筑消耗和buff配置索引'!BS:BS,MATCH($F567,'#建筑消耗和buff配置索引'!$M:$M,0))=0,"",INDEX('#建筑消耗和buff配置索引'!BS:BS,MATCH($F567,'#建筑消耗和buff配置索引'!$M:$M,0)))</f>
        <v/>
      </c>
      <c r="BA567" s="133" t="str">
        <f>IF(AZ567="","",INDEX('#建筑消耗和buff配置索引'!BT:BT,MATCH($F567,'#建筑消耗和buff配置索引'!$M:$M,0)))</f>
        <v/>
      </c>
      <c r="BD567" s="133" t="str">
        <f>IF(INDEX('#建筑消耗和buff配置索引'!BW:BW,MATCH($F567,'#建筑消耗和buff配置索引'!$M:$M,0))=0,"",INDEX('#建筑消耗和buff配置索引'!BW:BW,MATCH($F567,'#建筑消耗和buff配置索引'!$M:$M,0)))</f>
        <v/>
      </c>
      <c r="BE567" s="133" t="str">
        <f>IF(BD567="","",INDEX('#建筑消耗和buff配置索引'!BX:BX,MATCH($F567,'#建筑消耗和buff配置索引'!$M:$M,0)))</f>
        <v/>
      </c>
      <c r="BI567" s="133">
        <v>22</v>
      </c>
    </row>
    <row r="568" spans="1:61" s="133" customFormat="1">
      <c r="A568" s="133">
        <v>2110018</v>
      </c>
      <c r="B568" s="133">
        <v>565</v>
      </c>
      <c r="C568" s="133">
        <v>211</v>
      </c>
      <c r="D568" s="133" t="s">
        <v>605</v>
      </c>
      <c r="E568" s="133">
        <v>18</v>
      </c>
      <c r="F568" s="133" t="str">
        <f t="shared" si="10"/>
        <v>学院18</v>
      </c>
      <c r="H568" s="146"/>
      <c r="I568" s="133" t="s">
        <v>1205</v>
      </c>
      <c r="J568" s="150">
        <f>INDEX('#建筑消耗和buff配置索引'!AH:AH,MATCH($F568,'#建筑消耗和buff配置索引'!$M:$M,0))</f>
        <v>74880</v>
      </c>
      <c r="K568" s="150">
        <f>INDEX('#建筑消耗和buff配置索引'!AA:AA,MATCH($F568,'#建筑消耗和buff配置索引'!$M:$M,0))</f>
        <v>1200000</v>
      </c>
      <c r="L568" s="150">
        <f>INDEX('#建筑消耗和buff配置索引'!AB:AB,MATCH($F568,'#建筑消耗和buff配置索引'!$M:$M,0))</f>
        <v>1200000</v>
      </c>
      <c r="M568" s="150">
        <f>INDEX('#建筑消耗和buff配置索引'!AC:AC,MATCH($F568,'#建筑消耗和buff配置索引'!$M:$M,0))</f>
        <v>1200000</v>
      </c>
      <c r="N568" s="150">
        <f>INDEX('#建筑消耗和buff配置索引'!AD:AD,MATCH($F568,'#建筑消耗和buff配置索引'!$M:$M,0))</f>
        <v>1200000</v>
      </c>
      <c r="O568" s="150" t="str">
        <f>IF(INDEX('#建筑消耗和buff配置索引'!T:T,MATCH($F568,'#建筑消耗和buff配置索引'!$M:$M,0))=0,"",INDEX('#建筑消耗和buff配置索引'!T:T,MATCH($F568,'#建筑消耗和buff配置索引'!$M:$M,0)))</f>
        <v/>
      </c>
      <c r="P568" s="133" t="str">
        <f>IF(INDEX('#建筑消耗和buff配置索引'!U:U,MATCH($F568,'#建筑消耗和buff配置索引'!$M:$M,0))=0,"",INDEX('#建筑消耗和buff配置索引'!U:U,MATCH($F568,'#建筑消耗和buff配置索引'!$M:$M,0)))</f>
        <v/>
      </c>
      <c r="Q568" s="133" t="str">
        <f>IF(INDEX('#建筑消耗和buff配置索引'!K:K,MATCH($F568,'#建筑消耗和buff配置索引'!$M:$M,0))=0,"",INDEX('#建筑消耗和buff配置索引'!K:K,MATCH($F568,'#建筑消耗和buff配置索引'!$M:$M,0)))</f>
        <v>201;202</v>
      </c>
      <c r="R568" s="133" t="str">
        <f>IF(INDEX('#建筑消耗和buff配置索引'!L:L,MATCH($F568,'#建筑消耗和buff配置索引'!$M:$M,0))=0,"",INDEX('#建筑消耗和buff配置索引'!L:L,MATCH($F568,'#建筑消耗和buff配置索引'!$M:$M,0)))</f>
        <v>18;18</v>
      </c>
      <c r="S568" s="133">
        <f>IF(INDEX('#建筑消耗和buff配置索引'!C:C,MATCH(F568,'#建筑消耗和buff配置索引'!M:M,0))=0,1,INDEX('#建筑消耗和buff配置索引'!C:C,MATCH(F568,'#建筑消耗和buff配置索引'!M:M,0)))</f>
        <v>2</v>
      </c>
      <c r="T568" s="133">
        <v>0</v>
      </c>
      <c r="U568" s="133">
        <v>0</v>
      </c>
      <c r="V568" s="133" t="str">
        <f>IF(E568=1,IF(INDEX('#建筑消耗和buff配置索引'!BY:BY,MATCH(D568,'#建筑消耗和buff配置索引'!A:A,0))=0,"",INDEX('#建筑消耗和buff配置索引'!BY:BY,MATCH(D568,'#建筑消耗和buff配置索引'!A:A,0))),"")</f>
        <v/>
      </c>
      <c r="W568" s="133" t="str">
        <f>IF(E568=1,IF(INDEX('#建筑消耗和buff配置索引'!BZ:BZ,MATCH(D568,'#建筑消耗和buff配置索引'!A:A,0))=0,"",INDEX('#建筑消耗和buff配置索引'!BZ:BZ,MATCH(D568,'#建筑消耗和buff配置索引'!A:A,0))),"")</f>
        <v/>
      </c>
      <c r="AA568" s="133">
        <f>INDEX('#建筑消耗和buff配置索引'!AO:AO,MATCH($F568,'#建筑消耗和buff配置索引'!$M:$M,0))</f>
        <v>39509</v>
      </c>
      <c r="AB568" s="133">
        <f>IF(INDEX('#建筑消耗和buff配置索引'!AR:AR,MATCH($F568,'#建筑消耗和buff配置索引'!$M:$M,0))=0,"",INDEX('#建筑消耗和buff配置索引'!AR:AR,MATCH($F568,'#建筑消耗和buff配置索引'!$M:$M,0)))</f>
        <v>1300</v>
      </c>
      <c r="AC568" s="133">
        <f>IF(AB568="","",INDEX('#建筑消耗和buff配置索引'!AS:AS,MATCH($F568,'#建筑消耗和buff配置索引'!$M:$M,0)))</f>
        <v>0.18</v>
      </c>
      <c r="AF568" s="133" t="str">
        <f>IF(INDEX('#建筑消耗和buff配置索引'!AW:AW,MATCH($F568,'#建筑消耗和buff配置索引'!$M:$M,0))=0,"",INDEX('#建筑消耗和buff配置索引'!AW:AW,MATCH($F568,'#建筑消耗和buff配置索引'!$M:$M,0)))</f>
        <v/>
      </c>
      <c r="AG568" s="133" t="str">
        <f>IF(AF568="","",INDEX('#建筑消耗和buff配置索引'!AX:AX,MATCH($F568,'#建筑消耗和buff配置索引'!$M:$M,0)))</f>
        <v/>
      </c>
      <c r="AJ568" s="133" t="str">
        <f>IF(INDEX('#建筑消耗和buff配置索引'!BB:BB,MATCH($F568,'#建筑消耗和buff配置索引'!$M:$M,0))=0,"",INDEX('#建筑消耗和buff配置索引'!BB:BB,MATCH($F568,'#建筑消耗和buff配置索引'!$M:$M,0)))</f>
        <v/>
      </c>
      <c r="AK568" s="133" t="str">
        <f>IF(AJ568="","",INDEX('#建筑消耗和buff配置索引'!BC:BC,MATCH($F568,'#建筑消耗和buff配置索引'!$M:$M,0)))</f>
        <v/>
      </c>
      <c r="AN568" s="133" t="str">
        <f>IF(INDEX('#建筑消耗和buff配置索引'!BG:BG,MATCH($F568,'#建筑消耗和buff配置索引'!$M:$M,0))=0,"",INDEX('#建筑消耗和buff配置索引'!BG:BG,MATCH($F568,'#建筑消耗和buff配置索引'!$M:$M,0)))</f>
        <v/>
      </c>
      <c r="AO568" s="133" t="str">
        <f>IF(AN568="","",INDEX('#建筑消耗和buff配置索引'!BH:BH,MATCH($F568,'#建筑消耗和buff配置索引'!$M:$M,0)))</f>
        <v/>
      </c>
      <c r="AR568" s="133" t="str">
        <f>IF(INDEX('#建筑消耗和buff配置索引'!BK:BK,MATCH($F568,'#建筑消耗和buff配置索引'!$M:$M,0))=0,"",INDEX('#建筑消耗和buff配置索引'!BK:BK,MATCH($F568,'#建筑消耗和buff配置索引'!$M:$M,0)))</f>
        <v/>
      </c>
      <c r="AS568" s="133" t="str">
        <f>IF(AR568="","",INDEX('#建筑消耗和buff配置索引'!BL:BL,MATCH($F568,'#建筑消耗和buff配置索引'!$M:$M,0)))</f>
        <v/>
      </c>
      <c r="AV568" s="133" t="str">
        <f>IF(INDEX('#建筑消耗和buff配置索引'!BO:BO,MATCH($F568,'#建筑消耗和buff配置索引'!$M:$M,0))=0,"",INDEX('#建筑消耗和buff配置索引'!BO:BO,MATCH($F568,'#建筑消耗和buff配置索引'!$M:$M,0)))</f>
        <v/>
      </c>
      <c r="AW568" s="133" t="str">
        <f>IF(AV568="","",INDEX('#建筑消耗和buff配置索引'!BP:BP,MATCH($F568,'#建筑消耗和buff配置索引'!$M:$M,0)))</f>
        <v/>
      </c>
      <c r="AZ568" s="133" t="str">
        <f>IF(INDEX('#建筑消耗和buff配置索引'!BS:BS,MATCH($F568,'#建筑消耗和buff配置索引'!$M:$M,0))=0,"",INDEX('#建筑消耗和buff配置索引'!BS:BS,MATCH($F568,'#建筑消耗和buff配置索引'!$M:$M,0)))</f>
        <v/>
      </c>
      <c r="BA568" s="133" t="str">
        <f>IF(AZ568="","",INDEX('#建筑消耗和buff配置索引'!BT:BT,MATCH($F568,'#建筑消耗和buff配置索引'!$M:$M,0)))</f>
        <v/>
      </c>
      <c r="BD568" s="133" t="str">
        <f>IF(INDEX('#建筑消耗和buff配置索引'!BW:BW,MATCH($F568,'#建筑消耗和buff配置索引'!$M:$M,0))=0,"",INDEX('#建筑消耗和buff配置索引'!BW:BW,MATCH($F568,'#建筑消耗和buff配置索引'!$M:$M,0)))</f>
        <v/>
      </c>
      <c r="BE568" s="133" t="str">
        <f>IF(BD568="","",INDEX('#建筑消耗和buff配置索引'!BX:BX,MATCH($F568,'#建筑消耗和buff配置索引'!$M:$M,0)))</f>
        <v/>
      </c>
      <c r="BI568" s="133">
        <v>22</v>
      </c>
    </row>
    <row r="569" spans="1:61" s="133" customFormat="1">
      <c r="A569" s="133">
        <v>2110019</v>
      </c>
      <c r="B569" s="133">
        <v>566</v>
      </c>
      <c r="C569" s="133">
        <v>211</v>
      </c>
      <c r="D569" s="133" t="s">
        <v>605</v>
      </c>
      <c r="E569" s="133">
        <v>19</v>
      </c>
      <c r="F569" s="133" t="str">
        <f t="shared" si="10"/>
        <v>学院19</v>
      </c>
      <c r="H569" s="146"/>
      <c r="I569" s="133" t="s">
        <v>1205</v>
      </c>
      <c r="J569" s="150">
        <f>INDEX('#建筑消耗和buff配置索引'!AH:AH,MATCH($F569,'#建筑消耗和buff配置索引'!$M:$M,0))</f>
        <v>97920</v>
      </c>
      <c r="K569" s="150">
        <f>INDEX('#建筑消耗和buff配置索引'!AA:AA,MATCH($F569,'#建筑消耗和buff配置索引'!$M:$M,0))</f>
        <v>1500000</v>
      </c>
      <c r="L569" s="150">
        <f>INDEX('#建筑消耗和buff配置索引'!AB:AB,MATCH($F569,'#建筑消耗和buff配置索引'!$M:$M,0))</f>
        <v>1500000</v>
      </c>
      <c r="M569" s="150">
        <f>INDEX('#建筑消耗和buff配置索引'!AC:AC,MATCH($F569,'#建筑消耗和buff配置索引'!$M:$M,0))</f>
        <v>1500000</v>
      </c>
      <c r="N569" s="150">
        <f>INDEX('#建筑消耗和buff配置索引'!AD:AD,MATCH($F569,'#建筑消耗和buff配置索引'!$M:$M,0))</f>
        <v>1500000</v>
      </c>
      <c r="O569" s="150" t="str">
        <f>IF(INDEX('#建筑消耗和buff配置索引'!T:T,MATCH($F569,'#建筑消耗和buff配置索引'!$M:$M,0))=0,"",INDEX('#建筑消耗和buff配置索引'!T:T,MATCH($F569,'#建筑消耗和buff配置索引'!$M:$M,0)))</f>
        <v/>
      </c>
      <c r="P569" s="133" t="str">
        <f>IF(INDEX('#建筑消耗和buff配置索引'!U:U,MATCH($F569,'#建筑消耗和buff配置索引'!$M:$M,0))=0,"",INDEX('#建筑消耗和buff配置索引'!U:U,MATCH($F569,'#建筑消耗和buff配置索引'!$M:$M,0)))</f>
        <v/>
      </c>
      <c r="Q569" s="133" t="str">
        <f>IF(INDEX('#建筑消耗和buff配置索引'!K:K,MATCH($F569,'#建筑消耗和buff配置索引'!$M:$M,0))=0,"",INDEX('#建筑消耗和buff配置索引'!K:K,MATCH($F569,'#建筑消耗和buff配置索引'!$M:$M,0)))</f>
        <v>201;202</v>
      </c>
      <c r="R569" s="133" t="str">
        <f>IF(INDEX('#建筑消耗和buff配置索引'!L:L,MATCH($F569,'#建筑消耗和buff配置索引'!$M:$M,0))=0,"",INDEX('#建筑消耗和buff配置索引'!L:L,MATCH($F569,'#建筑消耗和buff配置索引'!$M:$M,0)))</f>
        <v>19;19</v>
      </c>
      <c r="S569" s="133">
        <f>IF(INDEX('#建筑消耗和buff配置索引'!C:C,MATCH(F569,'#建筑消耗和buff配置索引'!M:M,0))=0,1,INDEX('#建筑消耗和buff配置索引'!C:C,MATCH(F569,'#建筑消耗和buff配置索引'!M:M,0)))</f>
        <v>2</v>
      </c>
      <c r="T569" s="133">
        <v>0</v>
      </c>
      <c r="U569" s="133">
        <v>0</v>
      </c>
      <c r="V569" s="133" t="str">
        <f>IF(E569=1,IF(INDEX('#建筑消耗和buff配置索引'!BY:BY,MATCH(D569,'#建筑消耗和buff配置索引'!A:A,0))=0,"",INDEX('#建筑消耗和buff配置索引'!BY:BY,MATCH(D569,'#建筑消耗和buff配置索引'!A:A,0))),"")</f>
        <v/>
      </c>
      <c r="W569" s="133" t="str">
        <f>IF(E569=1,IF(INDEX('#建筑消耗和buff配置索引'!BZ:BZ,MATCH(D569,'#建筑消耗和buff配置索引'!A:A,0))=0,"",INDEX('#建筑消耗和buff配置索引'!BZ:BZ,MATCH(D569,'#建筑消耗和buff配置索引'!A:A,0))),"")</f>
        <v/>
      </c>
      <c r="AA569" s="133">
        <f>INDEX('#建筑消耗和buff配置索引'!AO:AO,MATCH($F569,'#建筑消耗和buff配置索引'!$M:$M,0))</f>
        <v>51778</v>
      </c>
      <c r="AB569" s="133">
        <f>IF(INDEX('#建筑消耗和buff配置索引'!AR:AR,MATCH($F569,'#建筑消耗和buff配置索引'!$M:$M,0))=0,"",INDEX('#建筑消耗和buff配置索引'!AR:AR,MATCH($F569,'#建筑消耗和buff配置索引'!$M:$M,0)))</f>
        <v>1300</v>
      </c>
      <c r="AC569" s="133">
        <f>IF(AB569="","",INDEX('#建筑消耗和buff配置索引'!AS:AS,MATCH($F569,'#建筑消耗和buff配置索引'!$M:$M,0)))</f>
        <v>0.19</v>
      </c>
      <c r="AF569" s="133" t="str">
        <f>IF(INDEX('#建筑消耗和buff配置索引'!AW:AW,MATCH($F569,'#建筑消耗和buff配置索引'!$M:$M,0))=0,"",INDEX('#建筑消耗和buff配置索引'!AW:AW,MATCH($F569,'#建筑消耗和buff配置索引'!$M:$M,0)))</f>
        <v/>
      </c>
      <c r="AG569" s="133" t="str">
        <f>IF(AF569="","",INDEX('#建筑消耗和buff配置索引'!AX:AX,MATCH($F569,'#建筑消耗和buff配置索引'!$M:$M,0)))</f>
        <v/>
      </c>
      <c r="AJ569" s="133" t="str">
        <f>IF(INDEX('#建筑消耗和buff配置索引'!BB:BB,MATCH($F569,'#建筑消耗和buff配置索引'!$M:$M,0))=0,"",INDEX('#建筑消耗和buff配置索引'!BB:BB,MATCH($F569,'#建筑消耗和buff配置索引'!$M:$M,0)))</f>
        <v/>
      </c>
      <c r="AK569" s="133" t="str">
        <f>IF(AJ569="","",INDEX('#建筑消耗和buff配置索引'!BC:BC,MATCH($F569,'#建筑消耗和buff配置索引'!$M:$M,0)))</f>
        <v/>
      </c>
      <c r="AN569" s="133" t="str">
        <f>IF(INDEX('#建筑消耗和buff配置索引'!BG:BG,MATCH($F569,'#建筑消耗和buff配置索引'!$M:$M,0))=0,"",INDEX('#建筑消耗和buff配置索引'!BG:BG,MATCH($F569,'#建筑消耗和buff配置索引'!$M:$M,0)))</f>
        <v/>
      </c>
      <c r="AO569" s="133" t="str">
        <f>IF(AN569="","",INDEX('#建筑消耗和buff配置索引'!BH:BH,MATCH($F569,'#建筑消耗和buff配置索引'!$M:$M,0)))</f>
        <v/>
      </c>
      <c r="AR569" s="133" t="str">
        <f>IF(INDEX('#建筑消耗和buff配置索引'!BK:BK,MATCH($F569,'#建筑消耗和buff配置索引'!$M:$M,0))=0,"",INDEX('#建筑消耗和buff配置索引'!BK:BK,MATCH($F569,'#建筑消耗和buff配置索引'!$M:$M,0)))</f>
        <v/>
      </c>
      <c r="AS569" s="133" t="str">
        <f>IF(AR569="","",INDEX('#建筑消耗和buff配置索引'!BL:BL,MATCH($F569,'#建筑消耗和buff配置索引'!$M:$M,0)))</f>
        <v/>
      </c>
      <c r="AV569" s="133" t="str">
        <f>IF(INDEX('#建筑消耗和buff配置索引'!BO:BO,MATCH($F569,'#建筑消耗和buff配置索引'!$M:$M,0))=0,"",INDEX('#建筑消耗和buff配置索引'!BO:BO,MATCH($F569,'#建筑消耗和buff配置索引'!$M:$M,0)))</f>
        <v/>
      </c>
      <c r="AW569" s="133" t="str">
        <f>IF(AV569="","",INDEX('#建筑消耗和buff配置索引'!BP:BP,MATCH($F569,'#建筑消耗和buff配置索引'!$M:$M,0)))</f>
        <v/>
      </c>
      <c r="AZ569" s="133" t="str">
        <f>IF(INDEX('#建筑消耗和buff配置索引'!BS:BS,MATCH($F569,'#建筑消耗和buff配置索引'!$M:$M,0))=0,"",INDEX('#建筑消耗和buff配置索引'!BS:BS,MATCH($F569,'#建筑消耗和buff配置索引'!$M:$M,0)))</f>
        <v/>
      </c>
      <c r="BA569" s="133" t="str">
        <f>IF(AZ569="","",INDEX('#建筑消耗和buff配置索引'!BT:BT,MATCH($F569,'#建筑消耗和buff配置索引'!$M:$M,0)))</f>
        <v/>
      </c>
      <c r="BD569" s="133" t="str">
        <f>IF(INDEX('#建筑消耗和buff配置索引'!BW:BW,MATCH($F569,'#建筑消耗和buff配置索引'!$M:$M,0))=0,"",INDEX('#建筑消耗和buff配置索引'!BW:BW,MATCH($F569,'#建筑消耗和buff配置索引'!$M:$M,0)))</f>
        <v/>
      </c>
      <c r="BE569" s="133" t="str">
        <f>IF(BD569="","",INDEX('#建筑消耗和buff配置索引'!BX:BX,MATCH($F569,'#建筑消耗和buff配置索引'!$M:$M,0)))</f>
        <v/>
      </c>
      <c r="BI569" s="133">
        <v>22</v>
      </c>
    </row>
    <row r="570" spans="1:61" s="133" customFormat="1">
      <c r="A570" s="133">
        <v>2110020</v>
      </c>
      <c r="B570" s="133">
        <v>567</v>
      </c>
      <c r="C570" s="133">
        <v>211</v>
      </c>
      <c r="D570" s="133" t="s">
        <v>605</v>
      </c>
      <c r="E570" s="133">
        <v>20</v>
      </c>
      <c r="F570" s="133" t="str">
        <f t="shared" si="10"/>
        <v>学院20</v>
      </c>
      <c r="H570" s="146"/>
      <c r="I570" s="133" t="s">
        <v>1205</v>
      </c>
      <c r="J570" s="150">
        <f>INDEX('#建筑消耗和buff配置索引'!AH:AH,MATCH($F570,'#建筑消耗和buff配置索引'!$M:$M,0))</f>
        <v>138240</v>
      </c>
      <c r="K570" s="150">
        <f>INDEX('#建筑消耗和buff配置索引'!AA:AA,MATCH($F570,'#建筑消耗和buff配置索引'!$M:$M,0))</f>
        <v>2000000</v>
      </c>
      <c r="L570" s="150">
        <f>INDEX('#建筑消耗和buff配置索引'!AB:AB,MATCH($F570,'#建筑消耗和buff配置索引'!$M:$M,0))</f>
        <v>2000000</v>
      </c>
      <c r="M570" s="150">
        <f>INDEX('#建筑消耗和buff配置索引'!AC:AC,MATCH($F570,'#建筑消耗和buff配置索引'!$M:$M,0))</f>
        <v>2000000</v>
      </c>
      <c r="N570" s="150">
        <f>INDEX('#建筑消耗和buff配置索引'!AD:AD,MATCH($F570,'#建筑消耗和buff配置索引'!$M:$M,0))</f>
        <v>2000000</v>
      </c>
      <c r="O570" s="150" t="str">
        <f>IF(INDEX('#建筑消耗和buff配置索引'!T:T,MATCH($F570,'#建筑消耗和buff配置索引'!$M:$M,0))=0,"",INDEX('#建筑消耗和buff配置索引'!T:T,MATCH($F570,'#建筑消耗和buff配置索引'!$M:$M,0)))</f>
        <v/>
      </c>
      <c r="P570" s="133" t="str">
        <f>IF(INDEX('#建筑消耗和buff配置索引'!U:U,MATCH($F570,'#建筑消耗和buff配置索引'!$M:$M,0))=0,"",INDEX('#建筑消耗和buff配置索引'!U:U,MATCH($F570,'#建筑消耗和buff配置索引'!$M:$M,0)))</f>
        <v/>
      </c>
      <c r="Q570" s="133" t="str">
        <f>IF(INDEX('#建筑消耗和buff配置索引'!K:K,MATCH($F570,'#建筑消耗和buff配置索引'!$M:$M,0))=0,"",INDEX('#建筑消耗和buff配置索引'!K:K,MATCH($F570,'#建筑消耗和buff配置索引'!$M:$M,0)))</f>
        <v>201;202</v>
      </c>
      <c r="R570" s="133" t="str">
        <f>IF(INDEX('#建筑消耗和buff配置索引'!L:L,MATCH($F570,'#建筑消耗和buff配置索引'!$M:$M,0))=0,"",INDEX('#建筑消耗和buff配置索引'!L:L,MATCH($F570,'#建筑消耗和buff配置索引'!$M:$M,0)))</f>
        <v>20;20</v>
      </c>
      <c r="S570" s="133">
        <f>IF(INDEX('#建筑消耗和buff配置索引'!C:C,MATCH(F570,'#建筑消耗和buff配置索引'!M:M,0))=0,1,INDEX('#建筑消耗和buff配置索引'!C:C,MATCH(F570,'#建筑消耗和buff配置索引'!M:M,0)))</f>
        <v>2</v>
      </c>
      <c r="T570" s="133">
        <v>0</v>
      </c>
      <c r="U570" s="133">
        <v>0</v>
      </c>
      <c r="V570" s="133" t="str">
        <f>IF(E570=1,IF(INDEX('#建筑消耗和buff配置索引'!BY:BY,MATCH(D570,'#建筑消耗和buff配置索引'!A:A,0))=0,"",INDEX('#建筑消耗和buff配置索引'!BY:BY,MATCH(D570,'#建筑消耗和buff配置索引'!A:A,0))),"")</f>
        <v/>
      </c>
      <c r="W570" s="133" t="str">
        <f>IF(E570=1,IF(INDEX('#建筑消耗和buff配置索引'!BZ:BZ,MATCH(D570,'#建筑消耗和buff配置索引'!A:A,0))=0,"",INDEX('#建筑消耗和buff配置索引'!BZ:BZ,MATCH(D570,'#建筑消耗和buff配置索引'!A:A,0))),"")</f>
        <v/>
      </c>
      <c r="AA570" s="133">
        <f>INDEX('#建筑消耗和buff配置索引'!AO:AO,MATCH($F570,'#建筑消耗和buff配置索引'!$M:$M,0))</f>
        <v>67481</v>
      </c>
      <c r="AB570" s="133">
        <f>IF(INDEX('#建筑消耗和buff配置索引'!AR:AR,MATCH($F570,'#建筑消耗和buff配置索引'!$M:$M,0))=0,"",INDEX('#建筑消耗和buff配置索引'!AR:AR,MATCH($F570,'#建筑消耗和buff配置索引'!$M:$M,0)))</f>
        <v>1300</v>
      </c>
      <c r="AC570" s="133">
        <f>IF(AB570="","",INDEX('#建筑消耗和buff配置索引'!AS:AS,MATCH($F570,'#建筑消耗和buff配置索引'!$M:$M,0)))</f>
        <v>0.2</v>
      </c>
      <c r="AF570" s="133" t="str">
        <f>IF(INDEX('#建筑消耗和buff配置索引'!AW:AW,MATCH($F570,'#建筑消耗和buff配置索引'!$M:$M,0))=0,"",INDEX('#建筑消耗和buff配置索引'!AW:AW,MATCH($F570,'#建筑消耗和buff配置索引'!$M:$M,0)))</f>
        <v/>
      </c>
      <c r="AG570" s="133" t="str">
        <f>IF(AF570="","",INDEX('#建筑消耗和buff配置索引'!AX:AX,MATCH($F570,'#建筑消耗和buff配置索引'!$M:$M,0)))</f>
        <v/>
      </c>
      <c r="AJ570" s="133" t="str">
        <f>IF(INDEX('#建筑消耗和buff配置索引'!BB:BB,MATCH($F570,'#建筑消耗和buff配置索引'!$M:$M,0))=0,"",INDEX('#建筑消耗和buff配置索引'!BB:BB,MATCH($F570,'#建筑消耗和buff配置索引'!$M:$M,0)))</f>
        <v/>
      </c>
      <c r="AK570" s="133" t="str">
        <f>IF(AJ570="","",INDEX('#建筑消耗和buff配置索引'!BC:BC,MATCH($F570,'#建筑消耗和buff配置索引'!$M:$M,0)))</f>
        <v/>
      </c>
      <c r="AN570" s="133" t="str">
        <f>IF(INDEX('#建筑消耗和buff配置索引'!BG:BG,MATCH($F570,'#建筑消耗和buff配置索引'!$M:$M,0))=0,"",INDEX('#建筑消耗和buff配置索引'!BG:BG,MATCH($F570,'#建筑消耗和buff配置索引'!$M:$M,0)))</f>
        <v/>
      </c>
      <c r="AO570" s="133" t="str">
        <f>IF(AN570="","",INDEX('#建筑消耗和buff配置索引'!BH:BH,MATCH($F570,'#建筑消耗和buff配置索引'!$M:$M,0)))</f>
        <v/>
      </c>
      <c r="AR570" s="133" t="str">
        <f>IF(INDEX('#建筑消耗和buff配置索引'!BK:BK,MATCH($F570,'#建筑消耗和buff配置索引'!$M:$M,0))=0,"",INDEX('#建筑消耗和buff配置索引'!BK:BK,MATCH($F570,'#建筑消耗和buff配置索引'!$M:$M,0)))</f>
        <v/>
      </c>
      <c r="AS570" s="133" t="str">
        <f>IF(AR570="","",INDEX('#建筑消耗和buff配置索引'!BL:BL,MATCH($F570,'#建筑消耗和buff配置索引'!$M:$M,0)))</f>
        <v/>
      </c>
      <c r="AV570" s="133" t="str">
        <f>IF(INDEX('#建筑消耗和buff配置索引'!BO:BO,MATCH($F570,'#建筑消耗和buff配置索引'!$M:$M,0))=0,"",INDEX('#建筑消耗和buff配置索引'!BO:BO,MATCH($F570,'#建筑消耗和buff配置索引'!$M:$M,0)))</f>
        <v/>
      </c>
      <c r="AW570" s="133" t="str">
        <f>IF(AV570="","",INDEX('#建筑消耗和buff配置索引'!BP:BP,MATCH($F570,'#建筑消耗和buff配置索引'!$M:$M,0)))</f>
        <v/>
      </c>
      <c r="AZ570" s="133" t="str">
        <f>IF(INDEX('#建筑消耗和buff配置索引'!BS:BS,MATCH($F570,'#建筑消耗和buff配置索引'!$M:$M,0))=0,"",INDEX('#建筑消耗和buff配置索引'!BS:BS,MATCH($F570,'#建筑消耗和buff配置索引'!$M:$M,0)))</f>
        <v/>
      </c>
      <c r="BA570" s="133" t="str">
        <f>IF(AZ570="","",INDEX('#建筑消耗和buff配置索引'!BT:BT,MATCH($F570,'#建筑消耗和buff配置索引'!$M:$M,0)))</f>
        <v/>
      </c>
      <c r="BD570" s="133" t="str">
        <f>IF(INDEX('#建筑消耗和buff配置索引'!BW:BW,MATCH($F570,'#建筑消耗和buff配置索引'!$M:$M,0))=0,"",INDEX('#建筑消耗和buff配置索引'!BW:BW,MATCH($F570,'#建筑消耗和buff配置索引'!$M:$M,0)))</f>
        <v/>
      </c>
      <c r="BE570" s="133" t="str">
        <f>IF(BD570="","",INDEX('#建筑消耗和buff配置索引'!BX:BX,MATCH($F570,'#建筑消耗和buff配置索引'!$M:$M,0)))</f>
        <v/>
      </c>
      <c r="BI570" s="133">
        <v>22</v>
      </c>
    </row>
    <row r="571" spans="1:61" s="133" customFormat="1">
      <c r="A571" s="133">
        <v>2110021</v>
      </c>
      <c r="B571" s="133">
        <v>568</v>
      </c>
      <c r="C571" s="133">
        <v>211</v>
      </c>
      <c r="D571" s="133" t="s">
        <v>605</v>
      </c>
      <c r="E571" s="133">
        <v>21</v>
      </c>
      <c r="F571" s="133" t="str">
        <f t="shared" si="10"/>
        <v>学院21</v>
      </c>
      <c r="H571" s="146"/>
      <c r="I571" s="133" t="s">
        <v>1205</v>
      </c>
      <c r="J571" s="150">
        <f>INDEX('#建筑消耗和buff配置索引'!AH:AH,MATCH($F571,'#建筑消耗和buff配置索引'!$M:$M,0))</f>
        <v>184320</v>
      </c>
      <c r="K571" s="150">
        <f>INDEX('#建筑消耗和buff配置索引'!AA:AA,MATCH($F571,'#建筑消耗和buff配置索引'!$M:$M,0))</f>
        <v>2500000</v>
      </c>
      <c r="L571" s="150">
        <f>INDEX('#建筑消耗和buff配置索引'!AB:AB,MATCH($F571,'#建筑消耗和buff配置索引'!$M:$M,0))</f>
        <v>2500000</v>
      </c>
      <c r="M571" s="150">
        <f>INDEX('#建筑消耗和buff配置索引'!AC:AC,MATCH($F571,'#建筑消耗和buff配置索引'!$M:$M,0))</f>
        <v>2500000</v>
      </c>
      <c r="N571" s="150">
        <f>INDEX('#建筑消耗和buff配置索引'!AD:AD,MATCH($F571,'#建筑消耗和buff配置索引'!$M:$M,0))</f>
        <v>2500000</v>
      </c>
      <c r="O571" s="150" t="str">
        <f>IF(INDEX('#建筑消耗和buff配置索引'!T:T,MATCH($F571,'#建筑消耗和buff配置索引'!$M:$M,0))=0,"",INDEX('#建筑消耗和buff配置索引'!T:T,MATCH($F571,'#建筑消耗和buff配置索引'!$M:$M,0)))</f>
        <v/>
      </c>
      <c r="P571" s="133" t="str">
        <f>IF(INDEX('#建筑消耗和buff配置索引'!U:U,MATCH($F571,'#建筑消耗和buff配置索引'!$M:$M,0))=0,"",INDEX('#建筑消耗和buff配置索引'!U:U,MATCH($F571,'#建筑消耗和buff配置索引'!$M:$M,0)))</f>
        <v/>
      </c>
      <c r="Q571" s="133" t="str">
        <f>IF(INDEX('#建筑消耗和buff配置索引'!K:K,MATCH($F571,'#建筑消耗和buff配置索引'!$M:$M,0))=0,"",INDEX('#建筑消耗和buff配置索引'!K:K,MATCH($F571,'#建筑消耗和buff配置索引'!$M:$M,0)))</f>
        <v>201;202</v>
      </c>
      <c r="R571" s="133" t="str">
        <f>IF(INDEX('#建筑消耗和buff配置索引'!L:L,MATCH($F571,'#建筑消耗和buff配置索引'!$M:$M,0))=0,"",INDEX('#建筑消耗和buff配置索引'!L:L,MATCH($F571,'#建筑消耗和buff配置索引'!$M:$M,0)))</f>
        <v>21;21</v>
      </c>
      <c r="S571" s="133">
        <f>IF(INDEX('#建筑消耗和buff配置索引'!C:C,MATCH(F571,'#建筑消耗和buff配置索引'!M:M,0))=0,1,INDEX('#建筑消耗和buff配置索引'!C:C,MATCH(F571,'#建筑消耗和buff配置索引'!M:M,0)))</f>
        <v>2</v>
      </c>
      <c r="T571" s="133">
        <v>0</v>
      </c>
      <c r="U571" s="133">
        <v>0</v>
      </c>
      <c r="V571" s="133" t="str">
        <f>IF(E571=1,IF(INDEX('#建筑消耗和buff配置索引'!BY:BY,MATCH(D571,'#建筑消耗和buff配置索引'!A:A,0))=0,"",INDEX('#建筑消耗和buff配置索引'!BY:BY,MATCH(D571,'#建筑消耗和buff配置索引'!A:A,0))),"")</f>
        <v/>
      </c>
      <c r="W571" s="133" t="str">
        <f>IF(E571=1,IF(INDEX('#建筑消耗和buff配置索引'!BZ:BZ,MATCH(D571,'#建筑消耗和buff配置索引'!A:A,0))=0,"",INDEX('#建筑消耗和buff配置索引'!BZ:BZ,MATCH(D571,'#建筑消耗和buff配置索引'!A:A,0))),"")</f>
        <v/>
      </c>
      <c r="AA571" s="133">
        <f>INDEX('#建筑消耗和buff配置索引'!AO:AO,MATCH($F571,'#建筑消耗和buff配置索引'!$M:$M,0))</f>
        <v>87582</v>
      </c>
      <c r="AB571" s="133">
        <f>IF(INDEX('#建筑消耗和buff配置索引'!AR:AR,MATCH($F571,'#建筑消耗和buff配置索引'!$M:$M,0))=0,"",INDEX('#建筑消耗和buff配置索引'!AR:AR,MATCH($F571,'#建筑消耗和buff配置索引'!$M:$M,0)))</f>
        <v>1300</v>
      </c>
      <c r="AC571" s="133">
        <f>IF(AB571="","",INDEX('#建筑消耗和buff配置索引'!AS:AS,MATCH($F571,'#建筑消耗和buff配置索引'!$M:$M,0)))</f>
        <v>0.21</v>
      </c>
      <c r="AF571" s="133" t="str">
        <f>IF(INDEX('#建筑消耗和buff配置索引'!AW:AW,MATCH($F571,'#建筑消耗和buff配置索引'!$M:$M,0))=0,"",INDEX('#建筑消耗和buff配置索引'!AW:AW,MATCH($F571,'#建筑消耗和buff配置索引'!$M:$M,0)))</f>
        <v/>
      </c>
      <c r="AG571" s="133" t="str">
        <f>IF(AF571="","",INDEX('#建筑消耗和buff配置索引'!AX:AX,MATCH($F571,'#建筑消耗和buff配置索引'!$M:$M,0)))</f>
        <v/>
      </c>
      <c r="AJ571" s="133" t="str">
        <f>IF(INDEX('#建筑消耗和buff配置索引'!BB:BB,MATCH($F571,'#建筑消耗和buff配置索引'!$M:$M,0))=0,"",INDEX('#建筑消耗和buff配置索引'!BB:BB,MATCH($F571,'#建筑消耗和buff配置索引'!$M:$M,0)))</f>
        <v/>
      </c>
      <c r="AK571" s="133" t="str">
        <f>IF(AJ571="","",INDEX('#建筑消耗和buff配置索引'!BC:BC,MATCH($F571,'#建筑消耗和buff配置索引'!$M:$M,0)))</f>
        <v/>
      </c>
      <c r="AN571" s="133" t="str">
        <f>IF(INDEX('#建筑消耗和buff配置索引'!BG:BG,MATCH($F571,'#建筑消耗和buff配置索引'!$M:$M,0))=0,"",INDEX('#建筑消耗和buff配置索引'!BG:BG,MATCH($F571,'#建筑消耗和buff配置索引'!$M:$M,0)))</f>
        <v/>
      </c>
      <c r="AO571" s="133" t="str">
        <f>IF(AN571="","",INDEX('#建筑消耗和buff配置索引'!BH:BH,MATCH($F571,'#建筑消耗和buff配置索引'!$M:$M,0)))</f>
        <v/>
      </c>
      <c r="AR571" s="133" t="str">
        <f>IF(INDEX('#建筑消耗和buff配置索引'!BK:BK,MATCH($F571,'#建筑消耗和buff配置索引'!$M:$M,0))=0,"",INDEX('#建筑消耗和buff配置索引'!BK:BK,MATCH($F571,'#建筑消耗和buff配置索引'!$M:$M,0)))</f>
        <v/>
      </c>
      <c r="AS571" s="133" t="str">
        <f>IF(AR571="","",INDEX('#建筑消耗和buff配置索引'!BL:BL,MATCH($F571,'#建筑消耗和buff配置索引'!$M:$M,0)))</f>
        <v/>
      </c>
      <c r="AV571" s="133" t="str">
        <f>IF(INDEX('#建筑消耗和buff配置索引'!BO:BO,MATCH($F571,'#建筑消耗和buff配置索引'!$M:$M,0))=0,"",INDEX('#建筑消耗和buff配置索引'!BO:BO,MATCH($F571,'#建筑消耗和buff配置索引'!$M:$M,0)))</f>
        <v/>
      </c>
      <c r="AW571" s="133" t="str">
        <f>IF(AV571="","",INDEX('#建筑消耗和buff配置索引'!BP:BP,MATCH($F571,'#建筑消耗和buff配置索引'!$M:$M,0)))</f>
        <v/>
      </c>
      <c r="AZ571" s="133" t="str">
        <f>IF(INDEX('#建筑消耗和buff配置索引'!BS:BS,MATCH($F571,'#建筑消耗和buff配置索引'!$M:$M,0))=0,"",INDEX('#建筑消耗和buff配置索引'!BS:BS,MATCH($F571,'#建筑消耗和buff配置索引'!$M:$M,0)))</f>
        <v/>
      </c>
      <c r="BA571" s="133" t="str">
        <f>IF(AZ571="","",INDEX('#建筑消耗和buff配置索引'!BT:BT,MATCH($F571,'#建筑消耗和buff配置索引'!$M:$M,0)))</f>
        <v/>
      </c>
      <c r="BD571" s="133" t="str">
        <f>IF(INDEX('#建筑消耗和buff配置索引'!BW:BW,MATCH($F571,'#建筑消耗和buff配置索引'!$M:$M,0))=0,"",INDEX('#建筑消耗和buff配置索引'!BW:BW,MATCH($F571,'#建筑消耗和buff配置索引'!$M:$M,0)))</f>
        <v/>
      </c>
      <c r="BE571" s="133" t="str">
        <f>IF(BD571="","",INDEX('#建筑消耗和buff配置索引'!BX:BX,MATCH($F571,'#建筑消耗和buff配置索引'!$M:$M,0)))</f>
        <v/>
      </c>
      <c r="BI571" s="133">
        <v>22</v>
      </c>
    </row>
    <row r="572" spans="1:61" s="133" customFormat="1">
      <c r="A572" s="133">
        <v>2110022</v>
      </c>
      <c r="B572" s="133">
        <v>569</v>
      </c>
      <c r="C572" s="133">
        <v>211</v>
      </c>
      <c r="D572" s="133" t="s">
        <v>605</v>
      </c>
      <c r="E572" s="133">
        <v>22</v>
      </c>
      <c r="F572" s="133" t="str">
        <f t="shared" si="10"/>
        <v>学院22</v>
      </c>
      <c r="H572" s="146"/>
      <c r="I572" s="133" t="s">
        <v>1205</v>
      </c>
      <c r="J572" s="150">
        <f>INDEX('#建筑消耗和buff配置索引'!AH:AH,MATCH($F572,'#建筑消耗和buff配置索引'!$M:$M,0))</f>
        <v>241920</v>
      </c>
      <c r="K572" s="150">
        <f>INDEX('#建筑消耗和buff配置索引'!AA:AA,MATCH($F572,'#建筑消耗和buff配置索引'!$M:$M,0))</f>
        <v>3200000</v>
      </c>
      <c r="L572" s="150">
        <f>INDEX('#建筑消耗和buff配置索引'!AB:AB,MATCH($F572,'#建筑消耗和buff配置索引'!$M:$M,0))</f>
        <v>3200000</v>
      </c>
      <c r="M572" s="150">
        <f>INDEX('#建筑消耗和buff配置索引'!AC:AC,MATCH($F572,'#建筑消耗和buff配置索引'!$M:$M,0))</f>
        <v>3200000</v>
      </c>
      <c r="N572" s="150">
        <f>INDEX('#建筑消耗和buff配置索引'!AD:AD,MATCH($F572,'#建筑消耗和buff配置索引'!$M:$M,0))</f>
        <v>3200000</v>
      </c>
      <c r="O572" s="150" t="str">
        <f>IF(INDEX('#建筑消耗和buff配置索引'!T:T,MATCH($F572,'#建筑消耗和buff配置索引'!$M:$M,0))=0,"",INDEX('#建筑消耗和buff配置索引'!T:T,MATCH($F572,'#建筑消耗和buff配置索引'!$M:$M,0)))</f>
        <v/>
      </c>
      <c r="P572" s="133" t="str">
        <f>IF(INDEX('#建筑消耗和buff配置索引'!U:U,MATCH($F572,'#建筑消耗和buff配置索引'!$M:$M,0))=0,"",INDEX('#建筑消耗和buff配置索引'!U:U,MATCH($F572,'#建筑消耗和buff配置索引'!$M:$M,0)))</f>
        <v/>
      </c>
      <c r="Q572" s="133" t="str">
        <f>IF(INDEX('#建筑消耗和buff配置索引'!K:K,MATCH($F572,'#建筑消耗和buff配置索引'!$M:$M,0))=0,"",INDEX('#建筑消耗和buff配置索引'!K:K,MATCH($F572,'#建筑消耗和buff配置索引'!$M:$M,0)))</f>
        <v>201;202</v>
      </c>
      <c r="R572" s="133" t="str">
        <f>IF(INDEX('#建筑消耗和buff配置索引'!L:L,MATCH($F572,'#建筑消耗和buff配置索引'!$M:$M,0))=0,"",INDEX('#建筑消耗和buff配置索引'!L:L,MATCH($F572,'#建筑消耗和buff配置索引'!$M:$M,0)))</f>
        <v>22;22</v>
      </c>
      <c r="S572" s="133">
        <f>IF(INDEX('#建筑消耗和buff配置索引'!C:C,MATCH(F572,'#建筑消耗和buff配置索引'!M:M,0))=0,1,INDEX('#建筑消耗和buff配置索引'!C:C,MATCH(F572,'#建筑消耗和buff配置索引'!M:M,0)))</f>
        <v>2</v>
      </c>
      <c r="T572" s="133">
        <v>0</v>
      </c>
      <c r="U572" s="133">
        <v>0</v>
      </c>
      <c r="V572" s="133" t="str">
        <f>IF(E572=1,IF(INDEX('#建筑消耗和buff配置索引'!BY:BY,MATCH(D572,'#建筑消耗和buff配置索引'!A:A,0))=0,"",INDEX('#建筑消耗和buff配置索引'!BY:BY,MATCH(D572,'#建筑消耗和buff配置索引'!A:A,0))),"")</f>
        <v/>
      </c>
      <c r="W572" s="133" t="str">
        <f>IF(E572=1,IF(INDEX('#建筑消耗和buff配置索引'!BZ:BZ,MATCH(D572,'#建筑消耗和buff配置索引'!A:A,0))=0,"",INDEX('#建筑消耗和buff配置索引'!BZ:BZ,MATCH(D572,'#建筑消耗和buff配置索引'!A:A,0))),"")</f>
        <v/>
      </c>
      <c r="AA572" s="133">
        <f>INDEX('#建筑消耗和buff配置索引'!AO:AO,MATCH($F572,'#建筑消耗和buff配置索引'!$M:$M,0))</f>
        <v>113312</v>
      </c>
      <c r="AB572" s="133">
        <f>IF(INDEX('#建筑消耗和buff配置索引'!AR:AR,MATCH($F572,'#建筑消耗和buff配置索引'!$M:$M,0))=0,"",INDEX('#建筑消耗和buff配置索引'!AR:AR,MATCH($F572,'#建筑消耗和buff配置索引'!$M:$M,0)))</f>
        <v>1300</v>
      </c>
      <c r="AC572" s="133">
        <f>IF(AB572="","",INDEX('#建筑消耗和buff配置索引'!AS:AS,MATCH($F572,'#建筑消耗和buff配置索引'!$M:$M,0)))</f>
        <v>0.22</v>
      </c>
      <c r="AF572" s="133" t="str">
        <f>IF(INDEX('#建筑消耗和buff配置索引'!AW:AW,MATCH($F572,'#建筑消耗和buff配置索引'!$M:$M,0))=0,"",INDEX('#建筑消耗和buff配置索引'!AW:AW,MATCH($F572,'#建筑消耗和buff配置索引'!$M:$M,0)))</f>
        <v/>
      </c>
      <c r="AG572" s="133" t="str">
        <f>IF(AF572="","",INDEX('#建筑消耗和buff配置索引'!AX:AX,MATCH($F572,'#建筑消耗和buff配置索引'!$M:$M,0)))</f>
        <v/>
      </c>
      <c r="AJ572" s="133" t="str">
        <f>IF(INDEX('#建筑消耗和buff配置索引'!BB:BB,MATCH($F572,'#建筑消耗和buff配置索引'!$M:$M,0))=0,"",INDEX('#建筑消耗和buff配置索引'!BB:BB,MATCH($F572,'#建筑消耗和buff配置索引'!$M:$M,0)))</f>
        <v/>
      </c>
      <c r="AK572" s="133" t="str">
        <f>IF(AJ572="","",INDEX('#建筑消耗和buff配置索引'!BC:BC,MATCH($F572,'#建筑消耗和buff配置索引'!$M:$M,0)))</f>
        <v/>
      </c>
      <c r="AN572" s="133" t="str">
        <f>IF(INDEX('#建筑消耗和buff配置索引'!BG:BG,MATCH($F572,'#建筑消耗和buff配置索引'!$M:$M,0))=0,"",INDEX('#建筑消耗和buff配置索引'!BG:BG,MATCH($F572,'#建筑消耗和buff配置索引'!$M:$M,0)))</f>
        <v/>
      </c>
      <c r="AO572" s="133" t="str">
        <f>IF(AN572="","",INDEX('#建筑消耗和buff配置索引'!BH:BH,MATCH($F572,'#建筑消耗和buff配置索引'!$M:$M,0)))</f>
        <v/>
      </c>
      <c r="AR572" s="133" t="str">
        <f>IF(INDEX('#建筑消耗和buff配置索引'!BK:BK,MATCH($F572,'#建筑消耗和buff配置索引'!$M:$M,0))=0,"",INDEX('#建筑消耗和buff配置索引'!BK:BK,MATCH($F572,'#建筑消耗和buff配置索引'!$M:$M,0)))</f>
        <v/>
      </c>
      <c r="AS572" s="133" t="str">
        <f>IF(AR572="","",INDEX('#建筑消耗和buff配置索引'!BL:BL,MATCH($F572,'#建筑消耗和buff配置索引'!$M:$M,0)))</f>
        <v/>
      </c>
      <c r="AV572" s="133" t="str">
        <f>IF(INDEX('#建筑消耗和buff配置索引'!BO:BO,MATCH($F572,'#建筑消耗和buff配置索引'!$M:$M,0))=0,"",INDEX('#建筑消耗和buff配置索引'!BO:BO,MATCH($F572,'#建筑消耗和buff配置索引'!$M:$M,0)))</f>
        <v/>
      </c>
      <c r="AW572" s="133" t="str">
        <f>IF(AV572="","",INDEX('#建筑消耗和buff配置索引'!BP:BP,MATCH($F572,'#建筑消耗和buff配置索引'!$M:$M,0)))</f>
        <v/>
      </c>
      <c r="AZ572" s="133" t="str">
        <f>IF(INDEX('#建筑消耗和buff配置索引'!BS:BS,MATCH($F572,'#建筑消耗和buff配置索引'!$M:$M,0))=0,"",INDEX('#建筑消耗和buff配置索引'!BS:BS,MATCH($F572,'#建筑消耗和buff配置索引'!$M:$M,0)))</f>
        <v/>
      </c>
      <c r="BA572" s="133" t="str">
        <f>IF(AZ572="","",INDEX('#建筑消耗和buff配置索引'!BT:BT,MATCH($F572,'#建筑消耗和buff配置索引'!$M:$M,0)))</f>
        <v/>
      </c>
      <c r="BD572" s="133" t="str">
        <f>IF(INDEX('#建筑消耗和buff配置索引'!BW:BW,MATCH($F572,'#建筑消耗和buff配置索引'!$M:$M,0))=0,"",INDEX('#建筑消耗和buff配置索引'!BW:BW,MATCH($F572,'#建筑消耗和buff配置索引'!$M:$M,0)))</f>
        <v/>
      </c>
      <c r="BE572" s="133" t="str">
        <f>IF(BD572="","",INDEX('#建筑消耗和buff配置索引'!BX:BX,MATCH($F572,'#建筑消耗和buff配置索引'!$M:$M,0)))</f>
        <v/>
      </c>
      <c r="BI572" s="133">
        <v>22</v>
      </c>
    </row>
    <row r="573" spans="1:61" s="133" customFormat="1">
      <c r="A573" s="133">
        <v>2110023</v>
      </c>
      <c r="B573" s="133">
        <v>570</v>
      </c>
      <c r="C573" s="133">
        <v>211</v>
      </c>
      <c r="D573" s="133" t="s">
        <v>605</v>
      </c>
      <c r="E573" s="133">
        <v>23</v>
      </c>
      <c r="F573" s="133" t="str">
        <f t="shared" si="10"/>
        <v>学院23</v>
      </c>
      <c r="H573" s="146"/>
      <c r="I573" s="133" t="s">
        <v>1205</v>
      </c>
      <c r="J573" s="150">
        <f>INDEX('#建筑消耗和buff配置索引'!AH:AH,MATCH($F573,'#建筑消耗和buff配置索引'!$M:$M,0))</f>
        <v>311040</v>
      </c>
      <c r="K573" s="150">
        <f>INDEX('#建筑消耗和buff配置索引'!AA:AA,MATCH($F573,'#建筑消耗和buff配置索引'!$M:$M,0))</f>
        <v>4100000</v>
      </c>
      <c r="L573" s="150">
        <f>INDEX('#建筑消耗和buff配置索引'!AB:AB,MATCH($F573,'#建筑消耗和buff配置索引'!$M:$M,0))</f>
        <v>4100000</v>
      </c>
      <c r="M573" s="150">
        <f>INDEX('#建筑消耗和buff配置索引'!AC:AC,MATCH($F573,'#建筑消耗和buff配置索引'!$M:$M,0))</f>
        <v>4100000</v>
      </c>
      <c r="N573" s="150">
        <f>INDEX('#建筑消耗和buff配置索引'!AD:AD,MATCH($F573,'#建筑消耗和buff配置索引'!$M:$M,0))</f>
        <v>4100000</v>
      </c>
      <c r="O573" s="150" t="str">
        <f>IF(INDEX('#建筑消耗和buff配置索引'!T:T,MATCH($F573,'#建筑消耗和buff配置索引'!$M:$M,0))=0,"",INDEX('#建筑消耗和buff配置索引'!T:T,MATCH($F573,'#建筑消耗和buff配置索引'!$M:$M,0)))</f>
        <v/>
      </c>
      <c r="P573" s="133" t="str">
        <f>IF(INDEX('#建筑消耗和buff配置索引'!U:U,MATCH($F573,'#建筑消耗和buff配置索引'!$M:$M,0))=0,"",INDEX('#建筑消耗和buff配置索引'!U:U,MATCH($F573,'#建筑消耗和buff配置索引'!$M:$M,0)))</f>
        <v/>
      </c>
      <c r="Q573" s="133" t="str">
        <f>IF(INDEX('#建筑消耗和buff配置索引'!K:K,MATCH($F573,'#建筑消耗和buff配置索引'!$M:$M,0))=0,"",INDEX('#建筑消耗和buff配置索引'!K:K,MATCH($F573,'#建筑消耗和buff配置索引'!$M:$M,0)))</f>
        <v>201;202</v>
      </c>
      <c r="R573" s="133" t="str">
        <f>IF(INDEX('#建筑消耗和buff配置索引'!L:L,MATCH($F573,'#建筑消耗和buff配置索引'!$M:$M,0))=0,"",INDEX('#建筑消耗和buff配置索引'!L:L,MATCH($F573,'#建筑消耗和buff配置索引'!$M:$M,0)))</f>
        <v>23;23</v>
      </c>
      <c r="S573" s="133">
        <f>IF(INDEX('#建筑消耗和buff配置索引'!C:C,MATCH(F573,'#建筑消耗和buff配置索引'!M:M,0))=0,1,INDEX('#建筑消耗和buff配置索引'!C:C,MATCH(F573,'#建筑消耗和buff配置索引'!M:M,0)))</f>
        <v>2</v>
      </c>
      <c r="T573" s="133">
        <v>0</v>
      </c>
      <c r="U573" s="133">
        <v>0</v>
      </c>
      <c r="V573" s="133" t="str">
        <f>IF(E573=1,IF(INDEX('#建筑消耗和buff配置索引'!BY:BY,MATCH(D573,'#建筑消耗和buff配置索引'!A:A,0))=0,"",INDEX('#建筑消耗和buff配置索引'!BY:BY,MATCH(D573,'#建筑消耗和buff配置索引'!A:A,0))),"")</f>
        <v/>
      </c>
      <c r="W573" s="133" t="str">
        <f>IF(E573=1,IF(INDEX('#建筑消耗和buff配置索引'!BZ:BZ,MATCH(D573,'#建筑消耗和buff配置索引'!A:A,0))=0,"",INDEX('#建筑消耗和buff配置索引'!BZ:BZ,MATCH(D573,'#建筑消耗和buff配置索引'!A:A,0))),"")</f>
        <v/>
      </c>
      <c r="AA573" s="133">
        <f>INDEX('#建筑消耗和buff配置索引'!AO:AO,MATCH($F573,'#建筑消耗和buff配置索引'!$M:$M,0))</f>
        <v>146245</v>
      </c>
      <c r="AB573" s="133">
        <f>IF(INDEX('#建筑消耗和buff配置索引'!AR:AR,MATCH($F573,'#建筑消耗和buff配置索引'!$M:$M,0))=0,"",INDEX('#建筑消耗和buff配置索引'!AR:AR,MATCH($F573,'#建筑消耗和buff配置索引'!$M:$M,0)))</f>
        <v>1300</v>
      </c>
      <c r="AC573" s="133">
        <f>IF(AB573="","",INDEX('#建筑消耗和buff配置索引'!AS:AS,MATCH($F573,'#建筑消耗和buff配置索引'!$M:$M,0)))</f>
        <v>0.23</v>
      </c>
      <c r="AF573" s="133" t="str">
        <f>IF(INDEX('#建筑消耗和buff配置索引'!AW:AW,MATCH($F573,'#建筑消耗和buff配置索引'!$M:$M,0))=0,"",INDEX('#建筑消耗和buff配置索引'!AW:AW,MATCH($F573,'#建筑消耗和buff配置索引'!$M:$M,0)))</f>
        <v/>
      </c>
      <c r="AG573" s="133" t="str">
        <f>IF(AF573="","",INDEX('#建筑消耗和buff配置索引'!AX:AX,MATCH($F573,'#建筑消耗和buff配置索引'!$M:$M,0)))</f>
        <v/>
      </c>
      <c r="AJ573" s="133" t="str">
        <f>IF(INDEX('#建筑消耗和buff配置索引'!BB:BB,MATCH($F573,'#建筑消耗和buff配置索引'!$M:$M,0))=0,"",INDEX('#建筑消耗和buff配置索引'!BB:BB,MATCH($F573,'#建筑消耗和buff配置索引'!$M:$M,0)))</f>
        <v/>
      </c>
      <c r="AK573" s="133" t="str">
        <f>IF(AJ573="","",INDEX('#建筑消耗和buff配置索引'!BC:BC,MATCH($F573,'#建筑消耗和buff配置索引'!$M:$M,0)))</f>
        <v/>
      </c>
      <c r="AN573" s="133" t="str">
        <f>IF(INDEX('#建筑消耗和buff配置索引'!BG:BG,MATCH($F573,'#建筑消耗和buff配置索引'!$M:$M,0))=0,"",INDEX('#建筑消耗和buff配置索引'!BG:BG,MATCH($F573,'#建筑消耗和buff配置索引'!$M:$M,0)))</f>
        <v/>
      </c>
      <c r="AO573" s="133" t="str">
        <f>IF(AN573="","",INDEX('#建筑消耗和buff配置索引'!BH:BH,MATCH($F573,'#建筑消耗和buff配置索引'!$M:$M,0)))</f>
        <v/>
      </c>
      <c r="AR573" s="133" t="str">
        <f>IF(INDEX('#建筑消耗和buff配置索引'!BK:BK,MATCH($F573,'#建筑消耗和buff配置索引'!$M:$M,0))=0,"",INDEX('#建筑消耗和buff配置索引'!BK:BK,MATCH($F573,'#建筑消耗和buff配置索引'!$M:$M,0)))</f>
        <v/>
      </c>
      <c r="AS573" s="133" t="str">
        <f>IF(AR573="","",INDEX('#建筑消耗和buff配置索引'!BL:BL,MATCH($F573,'#建筑消耗和buff配置索引'!$M:$M,0)))</f>
        <v/>
      </c>
      <c r="AV573" s="133" t="str">
        <f>IF(INDEX('#建筑消耗和buff配置索引'!BO:BO,MATCH($F573,'#建筑消耗和buff配置索引'!$M:$M,0))=0,"",INDEX('#建筑消耗和buff配置索引'!BO:BO,MATCH($F573,'#建筑消耗和buff配置索引'!$M:$M,0)))</f>
        <v/>
      </c>
      <c r="AW573" s="133" t="str">
        <f>IF(AV573="","",INDEX('#建筑消耗和buff配置索引'!BP:BP,MATCH($F573,'#建筑消耗和buff配置索引'!$M:$M,0)))</f>
        <v/>
      </c>
      <c r="AZ573" s="133" t="str">
        <f>IF(INDEX('#建筑消耗和buff配置索引'!BS:BS,MATCH($F573,'#建筑消耗和buff配置索引'!$M:$M,0))=0,"",INDEX('#建筑消耗和buff配置索引'!BS:BS,MATCH($F573,'#建筑消耗和buff配置索引'!$M:$M,0)))</f>
        <v/>
      </c>
      <c r="BA573" s="133" t="str">
        <f>IF(AZ573="","",INDEX('#建筑消耗和buff配置索引'!BT:BT,MATCH($F573,'#建筑消耗和buff配置索引'!$M:$M,0)))</f>
        <v/>
      </c>
      <c r="BD573" s="133" t="str">
        <f>IF(INDEX('#建筑消耗和buff配置索引'!BW:BW,MATCH($F573,'#建筑消耗和buff配置索引'!$M:$M,0))=0,"",INDEX('#建筑消耗和buff配置索引'!BW:BW,MATCH($F573,'#建筑消耗和buff配置索引'!$M:$M,0)))</f>
        <v/>
      </c>
      <c r="BE573" s="133" t="str">
        <f>IF(BD573="","",INDEX('#建筑消耗和buff配置索引'!BX:BX,MATCH($F573,'#建筑消耗和buff配置索引'!$M:$M,0)))</f>
        <v/>
      </c>
      <c r="BI573" s="133">
        <v>22</v>
      </c>
    </row>
    <row r="574" spans="1:61" s="133" customFormat="1">
      <c r="A574" s="133">
        <v>2110024</v>
      </c>
      <c r="B574" s="133">
        <v>571</v>
      </c>
      <c r="C574" s="133">
        <v>211</v>
      </c>
      <c r="D574" s="133" t="s">
        <v>605</v>
      </c>
      <c r="E574" s="133">
        <v>24</v>
      </c>
      <c r="F574" s="133" t="str">
        <f t="shared" si="10"/>
        <v>学院24</v>
      </c>
      <c r="H574" s="146"/>
      <c r="I574" s="133" t="s">
        <v>1205</v>
      </c>
      <c r="J574" s="150">
        <f>INDEX('#建筑消耗和buff配置索引'!AH:AH,MATCH($F574,'#建筑消耗和buff配置索引'!$M:$M,0))</f>
        <v>397440</v>
      </c>
      <c r="K574" s="150">
        <f>INDEX('#建筑消耗和buff配置索引'!AA:AA,MATCH($F574,'#建筑消耗和buff配置索引'!$M:$M,0))</f>
        <v>5300000</v>
      </c>
      <c r="L574" s="150">
        <f>INDEX('#建筑消耗和buff配置索引'!AB:AB,MATCH($F574,'#建筑消耗和buff配置索引'!$M:$M,0))</f>
        <v>5300000</v>
      </c>
      <c r="M574" s="150">
        <f>INDEX('#建筑消耗和buff配置索引'!AC:AC,MATCH($F574,'#建筑消耗和buff配置索引'!$M:$M,0))</f>
        <v>5300000</v>
      </c>
      <c r="N574" s="150">
        <f>INDEX('#建筑消耗和buff配置索引'!AD:AD,MATCH($F574,'#建筑消耗和buff配置索引'!$M:$M,0))</f>
        <v>5300000</v>
      </c>
      <c r="O574" s="150" t="str">
        <f>IF(INDEX('#建筑消耗和buff配置索引'!T:T,MATCH($F574,'#建筑消耗和buff配置索引'!$M:$M,0))=0,"",INDEX('#建筑消耗和buff配置索引'!T:T,MATCH($F574,'#建筑消耗和buff配置索引'!$M:$M,0)))</f>
        <v/>
      </c>
      <c r="P574" s="133" t="str">
        <f>IF(INDEX('#建筑消耗和buff配置索引'!U:U,MATCH($F574,'#建筑消耗和buff配置索引'!$M:$M,0))=0,"",INDEX('#建筑消耗和buff配置索引'!U:U,MATCH($F574,'#建筑消耗和buff配置索引'!$M:$M,0)))</f>
        <v/>
      </c>
      <c r="Q574" s="133" t="str">
        <f>IF(INDEX('#建筑消耗和buff配置索引'!K:K,MATCH($F574,'#建筑消耗和buff配置索引'!$M:$M,0))=0,"",INDEX('#建筑消耗和buff配置索引'!K:K,MATCH($F574,'#建筑消耗和buff配置索引'!$M:$M,0)))</f>
        <v>201;202</v>
      </c>
      <c r="R574" s="133" t="str">
        <f>IF(INDEX('#建筑消耗和buff配置索引'!L:L,MATCH($F574,'#建筑消耗和buff配置索引'!$M:$M,0))=0,"",INDEX('#建筑消耗和buff配置索引'!L:L,MATCH($F574,'#建筑消耗和buff配置索引'!$M:$M,0)))</f>
        <v>24;24</v>
      </c>
      <c r="S574" s="133">
        <f>IF(INDEX('#建筑消耗和buff配置索引'!C:C,MATCH(F574,'#建筑消耗和buff配置索引'!M:M,0))=0,1,INDEX('#建筑消耗和buff配置索引'!C:C,MATCH(F574,'#建筑消耗和buff配置索引'!M:M,0)))</f>
        <v>2</v>
      </c>
      <c r="T574" s="133">
        <v>0</v>
      </c>
      <c r="U574" s="133">
        <v>0</v>
      </c>
      <c r="V574" s="133" t="str">
        <f>IF(E574=1,IF(INDEX('#建筑消耗和buff配置索引'!BY:BY,MATCH(D574,'#建筑消耗和buff配置索引'!A:A,0))=0,"",INDEX('#建筑消耗和buff配置索引'!BY:BY,MATCH(D574,'#建筑消耗和buff配置索引'!A:A,0))),"")</f>
        <v/>
      </c>
      <c r="W574" s="133" t="str">
        <f>IF(E574=1,IF(INDEX('#建筑消耗和buff配置索引'!BZ:BZ,MATCH(D574,'#建筑消耗和buff配置索引'!A:A,0))=0,"",INDEX('#建筑消耗和buff配置索引'!BZ:BZ,MATCH(D574,'#建筑消耗和buff配置索引'!A:A,0))),"")</f>
        <v/>
      </c>
      <c r="AA574" s="133">
        <f>INDEX('#建筑消耗和buff配置索引'!AO:AO,MATCH($F574,'#建筑消耗和buff配置索引'!$M:$M,0))</f>
        <v>188400</v>
      </c>
      <c r="AB574" s="133">
        <f>IF(INDEX('#建筑消耗和buff配置索引'!AR:AR,MATCH($F574,'#建筑消耗和buff配置索引'!$M:$M,0))=0,"",INDEX('#建筑消耗和buff配置索引'!AR:AR,MATCH($F574,'#建筑消耗和buff配置索引'!$M:$M,0)))</f>
        <v>1300</v>
      </c>
      <c r="AC574" s="133">
        <f>IF(AB574="","",INDEX('#建筑消耗和buff配置索引'!AS:AS,MATCH($F574,'#建筑消耗和buff配置索引'!$M:$M,0)))</f>
        <v>0.24</v>
      </c>
      <c r="AF574" s="133" t="str">
        <f>IF(INDEX('#建筑消耗和buff配置索引'!AW:AW,MATCH($F574,'#建筑消耗和buff配置索引'!$M:$M,0))=0,"",INDEX('#建筑消耗和buff配置索引'!AW:AW,MATCH($F574,'#建筑消耗和buff配置索引'!$M:$M,0)))</f>
        <v/>
      </c>
      <c r="AG574" s="133" t="str">
        <f>IF(AF574="","",INDEX('#建筑消耗和buff配置索引'!AX:AX,MATCH($F574,'#建筑消耗和buff配置索引'!$M:$M,0)))</f>
        <v/>
      </c>
      <c r="AJ574" s="133" t="str">
        <f>IF(INDEX('#建筑消耗和buff配置索引'!BB:BB,MATCH($F574,'#建筑消耗和buff配置索引'!$M:$M,0))=0,"",INDEX('#建筑消耗和buff配置索引'!BB:BB,MATCH($F574,'#建筑消耗和buff配置索引'!$M:$M,0)))</f>
        <v/>
      </c>
      <c r="AK574" s="133" t="str">
        <f>IF(AJ574="","",INDEX('#建筑消耗和buff配置索引'!BC:BC,MATCH($F574,'#建筑消耗和buff配置索引'!$M:$M,0)))</f>
        <v/>
      </c>
      <c r="AN574" s="133" t="str">
        <f>IF(INDEX('#建筑消耗和buff配置索引'!BG:BG,MATCH($F574,'#建筑消耗和buff配置索引'!$M:$M,0))=0,"",INDEX('#建筑消耗和buff配置索引'!BG:BG,MATCH($F574,'#建筑消耗和buff配置索引'!$M:$M,0)))</f>
        <v/>
      </c>
      <c r="AO574" s="133" t="str">
        <f>IF(AN574="","",INDEX('#建筑消耗和buff配置索引'!BH:BH,MATCH($F574,'#建筑消耗和buff配置索引'!$M:$M,0)))</f>
        <v/>
      </c>
      <c r="AR574" s="133" t="str">
        <f>IF(INDEX('#建筑消耗和buff配置索引'!BK:BK,MATCH($F574,'#建筑消耗和buff配置索引'!$M:$M,0))=0,"",INDEX('#建筑消耗和buff配置索引'!BK:BK,MATCH($F574,'#建筑消耗和buff配置索引'!$M:$M,0)))</f>
        <v/>
      </c>
      <c r="AS574" s="133" t="str">
        <f>IF(AR574="","",INDEX('#建筑消耗和buff配置索引'!BL:BL,MATCH($F574,'#建筑消耗和buff配置索引'!$M:$M,0)))</f>
        <v/>
      </c>
      <c r="AV574" s="133" t="str">
        <f>IF(INDEX('#建筑消耗和buff配置索引'!BO:BO,MATCH($F574,'#建筑消耗和buff配置索引'!$M:$M,0))=0,"",INDEX('#建筑消耗和buff配置索引'!BO:BO,MATCH($F574,'#建筑消耗和buff配置索引'!$M:$M,0)))</f>
        <v/>
      </c>
      <c r="AW574" s="133" t="str">
        <f>IF(AV574="","",INDEX('#建筑消耗和buff配置索引'!BP:BP,MATCH($F574,'#建筑消耗和buff配置索引'!$M:$M,0)))</f>
        <v/>
      </c>
      <c r="AZ574" s="133" t="str">
        <f>IF(INDEX('#建筑消耗和buff配置索引'!BS:BS,MATCH($F574,'#建筑消耗和buff配置索引'!$M:$M,0))=0,"",INDEX('#建筑消耗和buff配置索引'!BS:BS,MATCH($F574,'#建筑消耗和buff配置索引'!$M:$M,0)))</f>
        <v/>
      </c>
      <c r="BA574" s="133" t="str">
        <f>IF(AZ574="","",INDEX('#建筑消耗和buff配置索引'!BT:BT,MATCH($F574,'#建筑消耗和buff配置索引'!$M:$M,0)))</f>
        <v/>
      </c>
      <c r="BD574" s="133" t="str">
        <f>IF(INDEX('#建筑消耗和buff配置索引'!BW:BW,MATCH($F574,'#建筑消耗和buff配置索引'!$M:$M,0))=0,"",INDEX('#建筑消耗和buff配置索引'!BW:BW,MATCH($F574,'#建筑消耗和buff配置索引'!$M:$M,0)))</f>
        <v/>
      </c>
      <c r="BE574" s="133" t="str">
        <f>IF(BD574="","",INDEX('#建筑消耗和buff配置索引'!BX:BX,MATCH($F574,'#建筑消耗和buff配置索引'!$M:$M,0)))</f>
        <v/>
      </c>
      <c r="BI574" s="133">
        <v>22</v>
      </c>
    </row>
    <row r="575" spans="1:61" s="133" customFormat="1">
      <c r="A575" s="133">
        <v>2110025</v>
      </c>
      <c r="B575" s="133">
        <v>572</v>
      </c>
      <c r="C575" s="133">
        <v>211</v>
      </c>
      <c r="D575" s="133" t="s">
        <v>605</v>
      </c>
      <c r="E575" s="133">
        <v>25</v>
      </c>
      <c r="F575" s="133" t="str">
        <f t="shared" si="10"/>
        <v>学院25</v>
      </c>
      <c r="H575" s="146"/>
      <c r="I575" s="133" t="s">
        <v>1205</v>
      </c>
      <c r="J575" s="150">
        <f>INDEX('#建筑消耗和buff配置索引'!AH:AH,MATCH($F575,'#建筑消耗和buff配置索引'!$M:$M,0))</f>
        <v>501120</v>
      </c>
      <c r="K575" s="150">
        <f>INDEX('#建筑消耗和buff配置索引'!AA:AA,MATCH($F575,'#建筑消耗和buff配置索引'!$M:$M,0))</f>
        <v>6700000</v>
      </c>
      <c r="L575" s="150">
        <f>INDEX('#建筑消耗和buff配置索引'!AB:AB,MATCH($F575,'#建筑消耗和buff配置索引'!$M:$M,0))</f>
        <v>6700000</v>
      </c>
      <c r="M575" s="150">
        <f>INDEX('#建筑消耗和buff配置索引'!AC:AC,MATCH($F575,'#建筑消耗和buff配置索引'!$M:$M,0))</f>
        <v>6700000</v>
      </c>
      <c r="N575" s="150">
        <f>INDEX('#建筑消耗和buff配置索引'!AD:AD,MATCH($F575,'#建筑消耗和buff配置索引'!$M:$M,0))</f>
        <v>6700000</v>
      </c>
      <c r="O575" s="150" t="str">
        <f>IF(INDEX('#建筑消耗和buff配置索引'!T:T,MATCH($F575,'#建筑消耗和buff配置索引'!$M:$M,0))=0,"",INDEX('#建筑消耗和buff配置索引'!T:T,MATCH($F575,'#建筑消耗和buff配置索引'!$M:$M,0)))</f>
        <v/>
      </c>
      <c r="P575" s="133" t="str">
        <f>IF(INDEX('#建筑消耗和buff配置索引'!U:U,MATCH($F575,'#建筑消耗和buff配置索引'!$M:$M,0))=0,"",INDEX('#建筑消耗和buff配置索引'!U:U,MATCH($F575,'#建筑消耗和buff配置索引'!$M:$M,0)))</f>
        <v/>
      </c>
      <c r="Q575" s="133" t="str">
        <f>IF(INDEX('#建筑消耗和buff配置索引'!K:K,MATCH($F575,'#建筑消耗和buff配置索引'!$M:$M,0))=0,"",INDEX('#建筑消耗和buff配置索引'!K:K,MATCH($F575,'#建筑消耗和buff配置索引'!$M:$M,0)))</f>
        <v>201;202</v>
      </c>
      <c r="R575" s="133" t="str">
        <f>IF(INDEX('#建筑消耗和buff配置索引'!L:L,MATCH($F575,'#建筑消耗和buff配置索引'!$M:$M,0))=0,"",INDEX('#建筑消耗和buff配置索引'!L:L,MATCH($F575,'#建筑消耗和buff配置索引'!$M:$M,0)))</f>
        <v>25;25</v>
      </c>
      <c r="S575" s="133">
        <f>IF(INDEX('#建筑消耗和buff配置索引'!C:C,MATCH(F575,'#建筑消耗和buff配置索引'!M:M,0))=0,1,INDEX('#建筑消耗和buff配置索引'!C:C,MATCH(F575,'#建筑消耗和buff配置索引'!M:M,0)))</f>
        <v>2</v>
      </c>
      <c r="T575" s="133">
        <v>0</v>
      </c>
      <c r="U575" s="133">
        <v>0</v>
      </c>
      <c r="V575" s="133" t="str">
        <f>IF(E575=1,IF(INDEX('#建筑消耗和buff配置索引'!BY:BY,MATCH(D575,'#建筑消耗和buff配置索引'!A:A,0))=0,"",INDEX('#建筑消耗和buff配置索引'!BY:BY,MATCH(D575,'#建筑消耗和buff配置索引'!A:A,0))),"")</f>
        <v/>
      </c>
      <c r="W575" s="133" t="str">
        <f>IF(E575=1,IF(INDEX('#建筑消耗和buff配置索引'!BZ:BZ,MATCH(D575,'#建筑消耗和buff配置索引'!A:A,0))=0,"",INDEX('#建筑消耗和buff配置索引'!BZ:BZ,MATCH(D575,'#建筑消耗和buff配置索引'!A:A,0))),"")</f>
        <v/>
      </c>
      <c r="AA575" s="133">
        <f>INDEX('#建筑消耗和buff配置索引'!AO:AO,MATCH($F575,'#建筑消耗和buff配置索引'!$M:$M,0))</f>
        <v>242358</v>
      </c>
      <c r="AB575" s="133">
        <f>IF(INDEX('#建筑消耗和buff配置索引'!AR:AR,MATCH($F575,'#建筑消耗和buff配置索引'!$M:$M,0))=0,"",INDEX('#建筑消耗和buff配置索引'!AR:AR,MATCH($F575,'#建筑消耗和buff配置索引'!$M:$M,0)))</f>
        <v>1300</v>
      </c>
      <c r="AC575" s="133">
        <f>IF(AB575="","",INDEX('#建筑消耗和buff配置索引'!AS:AS,MATCH($F575,'#建筑消耗和buff配置索引'!$M:$M,0)))</f>
        <v>0.25</v>
      </c>
      <c r="AF575" s="133" t="str">
        <f>IF(INDEX('#建筑消耗和buff配置索引'!AW:AW,MATCH($F575,'#建筑消耗和buff配置索引'!$M:$M,0))=0,"",INDEX('#建筑消耗和buff配置索引'!AW:AW,MATCH($F575,'#建筑消耗和buff配置索引'!$M:$M,0)))</f>
        <v/>
      </c>
      <c r="AG575" s="133" t="str">
        <f>IF(AF575="","",INDEX('#建筑消耗和buff配置索引'!AX:AX,MATCH($F575,'#建筑消耗和buff配置索引'!$M:$M,0)))</f>
        <v/>
      </c>
      <c r="AJ575" s="133" t="str">
        <f>IF(INDEX('#建筑消耗和buff配置索引'!BB:BB,MATCH($F575,'#建筑消耗和buff配置索引'!$M:$M,0))=0,"",INDEX('#建筑消耗和buff配置索引'!BB:BB,MATCH($F575,'#建筑消耗和buff配置索引'!$M:$M,0)))</f>
        <v/>
      </c>
      <c r="AK575" s="133" t="str">
        <f>IF(AJ575="","",INDEX('#建筑消耗和buff配置索引'!BC:BC,MATCH($F575,'#建筑消耗和buff配置索引'!$M:$M,0)))</f>
        <v/>
      </c>
      <c r="AN575" s="133" t="str">
        <f>IF(INDEX('#建筑消耗和buff配置索引'!BG:BG,MATCH($F575,'#建筑消耗和buff配置索引'!$M:$M,0))=0,"",INDEX('#建筑消耗和buff配置索引'!BG:BG,MATCH($F575,'#建筑消耗和buff配置索引'!$M:$M,0)))</f>
        <v/>
      </c>
      <c r="AO575" s="133" t="str">
        <f>IF(AN575="","",INDEX('#建筑消耗和buff配置索引'!BH:BH,MATCH($F575,'#建筑消耗和buff配置索引'!$M:$M,0)))</f>
        <v/>
      </c>
      <c r="AR575" s="133" t="str">
        <f>IF(INDEX('#建筑消耗和buff配置索引'!BK:BK,MATCH($F575,'#建筑消耗和buff配置索引'!$M:$M,0))=0,"",INDEX('#建筑消耗和buff配置索引'!BK:BK,MATCH($F575,'#建筑消耗和buff配置索引'!$M:$M,0)))</f>
        <v/>
      </c>
      <c r="AS575" s="133" t="str">
        <f>IF(AR575="","",INDEX('#建筑消耗和buff配置索引'!BL:BL,MATCH($F575,'#建筑消耗和buff配置索引'!$M:$M,0)))</f>
        <v/>
      </c>
      <c r="AV575" s="133" t="str">
        <f>IF(INDEX('#建筑消耗和buff配置索引'!BO:BO,MATCH($F575,'#建筑消耗和buff配置索引'!$M:$M,0))=0,"",INDEX('#建筑消耗和buff配置索引'!BO:BO,MATCH($F575,'#建筑消耗和buff配置索引'!$M:$M,0)))</f>
        <v/>
      </c>
      <c r="AW575" s="133" t="str">
        <f>IF(AV575="","",INDEX('#建筑消耗和buff配置索引'!BP:BP,MATCH($F575,'#建筑消耗和buff配置索引'!$M:$M,0)))</f>
        <v/>
      </c>
      <c r="AZ575" s="133" t="str">
        <f>IF(INDEX('#建筑消耗和buff配置索引'!BS:BS,MATCH($F575,'#建筑消耗和buff配置索引'!$M:$M,0))=0,"",INDEX('#建筑消耗和buff配置索引'!BS:BS,MATCH($F575,'#建筑消耗和buff配置索引'!$M:$M,0)))</f>
        <v/>
      </c>
      <c r="BA575" s="133" t="str">
        <f>IF(AZ575="","",INDEX('#建筑消耗和buff配置索引'!BT:BT,MATCH($F575,'#建筑消耗和buff配置索引'!$M:$M,0)))</f>
        <v/>
      </c>
      <c r="BD575" s="133" t="str">
        <f>IF(INDEX('#建筑消耗和buff配置索引'!BW:BW,MATCH($F575,'#建筑消耗和buff配置索引'!$M:$M,0))=0,"",INDEX('#建筑消耗和buff配置索引'!BW:BW,MATCH($F575,'#建筑消耗和buff配置索引'!$M:$M,0)))</f>
        <v/>
      </c>
      <c r="BE575" s="133" t="str">
        <f>IF(BD575="","",INDEX('#建筑消耗和buff配置索引'!BX:BX,MATCH($F575,'#建筑消耗和buff配置索引'!$M:$M,0)))</f>
        <v/>
      </c>
      <c r="BI575" s="133">
        <v>22</v>
      </c>
    </row>
    <row r="576" spans="1:61" s="133" customFormat="1">
      <c r="A576" s="133">
        <v>2110026</v>
      </c>
      <c r="B576" s="133">
        <v>573</v>
      </c>
      <c r="C576" s="133">
        <v>211</v>
      </c>
      <c r="D576" s="133" t="s">
        <v>605</v>
      </c>
      <c r="E576" s="133">
        <v>26</v>
      </c>
      <c r="F576" s="133" t="str">
        <f t="shared" si="10"/>
        <v>学院26</v>
      </c>
      <c r="H576" s="146"/>
      <c r="I576" s="133" t="s">
        <v>1205</v>
      </c>
      <c r="J576" s="150">
        <f>INDEX('#建筑消耗和buff配置索引'!AH:AH,MATCH($F576,'#建筑消耗和buff配置索引'!$M:$M,0))</f>
        <v>622080</v>
      </c>
      <c r="K576" s="150">
        <f>INDEX('#建筑消耗和buff配置索引'!AA:AA,MATCH($F576,'#建筑消耗和buff配置索引'!$M:$M,0))</f>
        <v>8600000</v>
      </c>
      <c r="L576" s="150">
        <f>INDEX('#建筑消耗和buff配置索引'!AB:AB,MATCH($F576,'#建筑消耗和buff配置索引'!$M:$M,0))</f>
        <v>8600000</v>
      </c>
      <c r="M576" s="150">
        <f>INDEX('#建筑消耗和buff配置索引'!AC:AC,MATCH($F576,'#建筑消耗和buff配置索引'!$M:$M,0))</f>
        <v>8600000</v>
      </c>
      <c r="N576" s="150">
        <f>INDEX('#建筑消耗和buff配置索引'!AD:AD,MATCH($F576,'#建筑消耗和buff配置索引'!$M:$M,0))</f>
        <v>8600000</v>
      </c>
      <c r="O576" s="150" t="str">
        <f>IF(INDEX('#建筑消耗和buff配置索引'!T:T,MATCH($F576,'#建筑消耗和buff配置索引'!$M:$M,0))=0,"",INDEX('#建筑消耗和buff配置索引'!T:T,MATCH($F576,'#建筑消耗和buff配置索引'!$M:$M,0)))</f>
        <v/>
      </c>
      <c r="P576" s="133" t="str">
        <f>IF(INDEX('#建筑消耗和buff配置索引'!U:U,MATCH($F576,'#建筑消耗和buff配置索引'!$M:$M,0))=0,"",INDEX('#建筑消耗和buff配置索引'!U:U,MATCH($F576,'#建筑消耗和buff配置索引'!$M:$M,0)))</f>
        <v/>
      </c>
      <c r="Q576" s="133" t="str">
        <f>IF(INDEX('#建筑消耗和buff配置索引'!K:K,MATCH($F576,'#建筑消耗和buff配置索引'!$M:$M,0))=0,"",INDEX('#建筑消耗和buff配置索引'!K:K,MATCH($F576,'#建筑消耗和buff配置索引'!$M:$M,0)))</f>
        <v>201;202</v>
      </c>
      <c r="R576" s="133" t="str">
        <f>IF(INDEX('#建筑消耗和buff配置索引'!L:L,MATCH($F576,'#建筑消耗和buff配置索引'!$M:$M,0))=0,"",INDEX('#建筑消耗和buff配置索引'!L:L,MATCH($F576,'#建筑消耗和buff配置索引'!$M:$M,0)))</f>
        <v>26;26</v>
      </c>
      <c r="S576" s="133">
        <f>IF(INDEX('#建筑消耗和buff配置索引'!C:C,MATCH(F576,'#建筑消耗和buff配置索引'!M:M,0))=0,1,INDEX('#建筑消耗和buff配置索引'!C:C,MATCH(F576,'#建筑消耗和buff配置索引'!M:M,0)))</f>
        <v>2</v>
      </c>
      <c r="T576" s="133">
        <v>0</v>
      </c>
      <c r="U576" s="133">
        <v>0</v>
      </c>
      <c r="V576" s="133" t="str">
        <f>IF(E576=1,IF(INDEX('#建筑消耗和buff配置索引'!BY:BY,MATCH(D576,'#建筑消耗和buff配置索引'!A:A,0))=0,"",INDEX('#建筑消耗和buff配置索引'!BY:BY,MATCH(D576,'#建筑消耗和buff配置索引'!A:A,0))),"")</f>
        <v/>
      </c>
      <c r="W576" s="133" t="str">
        <f>IF(E576=1,IF(INDEX('#建筑消耗和buff配置索引'!BZ:BZ,MATCH(D576,'#建筑消耗和buff配置索引'!A:A,0))=0,"",INDEX('#建筑消耗和buff配置索引'!BZ:BZ,MATCH(D576,'#建筑消耗和buff配置索引'!A:A,0))),"")</f>
        <v/>
      </c>
      <c r="AA576" s="133">
        <f>INDEX('#建筑消耗和buff配置索引'!AO:AO,MATCH($F576,'#建筑消耗和buff配置索引'!$M:$M,0))</f>
        <v>311424</v>
      </c>
      <c r="AB576" s="133">
        <f>IF(INDEX('#建筑消耗和buff配置索引'!AR:AR,MATCH($F576,'#建筑消耗和buff配置索引'!$M:$M,0))=0,"",INDEX('#建筑消耗和buff配置索引'!AR:AR,MATCH($F576,'#建筑消耗和buff配置索引'!$M:$M,0)))</f>
        <v>1300</v>
      </c>
      <c r="AC576" s="133">
        <f>IF(AB576="","",INDEX('#建筑消耗和buff配置索引'!AS:AS,MATCH($F576,'#建筑消耗和buff配置索引'!$M:$M,0)))</f>
        <v>0.27</v>
      </c>
      <c r="AF576" s="133" t="str">
        <f>IF(INDEX('#建筑消耗和buff配置索引'!AW:AW,MATCH($F576,'#建筑消耗和buff配置索引'!$M:$M,0))=0,"",INDEX('#建筑消耗和buff配置索引'!AW:AW,MATCH($F576,'#建筑消耗和buff配置索引'!$M:$M,0)))</f>
        <v/>
      </c>
      <c r="AG576" s="133" t="str">
        <f>IF(AF576="","",INDEX('#建筑消耗和buff配置索引'!AX:AX,MATCH($F576,'#建筑消耗和buff配置索引'!$M:$M,0)))</f>
        <v/>
      </c>
      <c r="AJ576" s="133" t="str">
        <f>IF(INDEX('#建筑消耗和buff配置索引'!BB:BB,MATCH($F576,'#建筑消耗和buff配置索引'!$M:$M,0))=0,"",INDEX('#建筑消耗和buff配置索引'!BB:BB,MATCH($F576,'#建筑消耗和buff配置索引'!$M:$M,0)))</f>
        <v/>
      </c>
      <c r="AK576" s="133" t="str">
        <f>IF(AJ576="","",INDEX('#建筑消耗和buff配置索引'!BC:BC,MATCH($F576,'#建筑消耗和buff配置索引'!$M:$M,0)))</f>
        <v/>
      </c>
      <c r="AN576" s="133" t="str">
        <f>IF(INDEX('#建筑消耗和buff配置索引'!BG:BG,MATCH($F576,'#建筑消耗和buff配置索引'!$M:$M,0))=0,"",INDEX('#建筑消耗和buff配置索引'!BG:BG,MATCH($F576,'#建筑消耗和buff配置索引'!$M:$M,0)))</f>
        <v/>
      </c>
      <c r="AO576" s="133" t="str">
        <f>IF(AN576="","",INDEX('#建筑消耗和buff配置索引'!BH:BH,MATCH($F576,'#建筑消耗和buff配置索引'!$M:$M,0)))</f>
        <v/>
      </c>
      <c r="AR576" s="133" t="str">
        <f>IF(INDEX('#建筑消耗和buff配置索引'!BK:BK,MATCH($F576,'#建筑消耗和buff配置索引'!$M:$M,0))=0,"",INDEX('#建筑消耗和buff配置索引'!BK:BK,MATCH($F576,'#建筑消耗和buff配置索引'!$M:$M,0)))</f>
        <v/>
      </c>
      <c r="AS576" s="133" t="str">
        <f>IF(AR576="","",INDEX('#建筑消耗和buff配置索引'!BL:BL,MATCH($F576,'#建筑消耗和buff配置索引'!$M:$M,0)))</f>
        <v/>
      </c>
      <c r="AV576" s="133" t="str">
        <f>IF(INDEX('#建筑消耗和buff配置索引'!BO:BO,MATCH($F576,'#建筑消耗和buff配置索引'!$M:$M,0))=0,"",INDEX('#建筑消耗和buff配置索引'!BO:BO,MATCH($F576,'#建筑消耗和buff配置索引'!$M:$M,0)))</f>
        <v/>
      </c>
      <c r="AW576" s="133" t="str">
        <f>IF(AV576="","",INDEX('#建筑消耗和buff配置索引'!BP:BP,MATCH($F576,'#建筑消耗和buff配置索引'!$M:$M,0)))</f>
        <v/>
      </c>
      <c r="AZ576" s="133" t="str">
        <f>IF(INDEX('#建筑消耗和buff配置索引'!BS:BS,MATCH($F576,'#建筑消耗和buff配置索引'!$M:$M,0))=0,"",INDEX('#建筑消耗和buff配置索引'!BS:BS,MATCH($F576,'#建筑消耗和buff配置索引'!$M:$M,0)))</f>
        <v/>
      </c>
      <c r="BA576" s="133" t="str">
        <f>IF(AZ576="","",INDEX('#建筑消耗和buff配置索引'!BT:BT,MATCH($F576,'#建筑消耗和buff配置索引'!$M:$M,0)))</f>
        <v/>
      </c>
      <c r="BD576" s="133" t="str">
        <f>IF(INDEX('#建筑消耗和buff配置索引'!BW:BW,MATCH($F576,'#建筑消耗和buff配置索引'!$M:$M,0))=0,"",INDEX('#建筑消耗和buff配置索引'!BW:BW,MATCH($F576,'#建筑消耗和buff配置索引'!$M:$M,0)))</f>
        <v/>
      </c>
      <c r="BE576" s="133" t="str">
        <f>IF(BD576="","",INDEX('#建筑消耗和buff配置索引'!BX:BX,MATCH($F576,'#建筑消耗和buff配置索引'!$M:$M,0)))</f>
        <v/>
      </c>
      <c r="BI576" s="133">
        <v>22</v>
      </c>
    </row>
    <row r="577" spans="1:66" s="133" customFormat="1">
      <c r="A577" s="133">
        <v>2110027</v>
      </c>
      <c r="B577" s="133">
        <v>574</v>
      </c>
      <c r="C577" s="133">
        <v>211</v>
      </c>
      <c r="D577" s="133" t="s">
        <v>605</v>
      </c>
      <c r="E577" s="133">
        <v>27</v>
      </c>
      <c r="F577" s="133" t="str">
        <f t="shared" si="10"/>
        <v>学院27</v>
      </c>
      <c r="H577" s="146"/>
      <c r="I577" s="133" t="s">
        <v>1205</v>
      </c>
      <c r="J577" s="150">
        <f>INDEX('#建筑消耗和buff配置索引'!AH:AH,MATCH($F577,'#建筑消耗和buff配置索引'!$M:$M,0))</f>
        <v>760320</v>
      </c>
      <c r="K577" s="150">
        <f>INDEX('#建筑消耗和buff配置索引'!AA:AA,MATCH($F577,'#建筑消耗和buff配置索引'!$M:$M,0))</f>
        <v>11000000</v>
      </c>
      <c r="L577" s="150">
        <f>INDEX('#建筑消耗和buff配置索引'!AB:AB,MATCH($F577,'#建筑消耗和buff配置索引'!$M:$M,0))</f>
        <v>11000000</v>
      </c>
      <c r="M577" s="150">
        <f>INDEX('#建筑消耗和buff配置索引'!AC:AC,MATCH($F577,'#建筑消耗和buff配置索引'!$M:$M,0))</f>
        <v>11000000</v>
      </c>
      <c r="N577" s="150">
        <f>INDEX('#建筑消耗和buff配置索引'!AD:AD,MATCH($F577,'#建筑消耗和buff配置索引'!$M:$M,0))</f>
        <v>11000000</v>
      </c>
      <c r="O577" s="150" t="str">
        <f>IF(INDEX('#建筑消耗和buff配置索引'!T:T,MATCH($F577,'#建筑消耗和buff配置索引'!$M:$M,0))=0,"",INDEX('#建筑消耗和buff配置索引'!T:T,MATCH($F577,'#建筑消耗和buff配置索引'!$M:$M,0)))</f>
        <v/>
      </c>
      <c r="P577" s="133" t="str">
        <f>IF(INDEX('#建筑消耗和buff配置索引'!U:U,MATCH($F577,'#建筑消耗和buff配置索引'!$M:$M,0))=0,"",INDEX('#建筑消耗和buff配置索引'!U:U,MATCH($F577,'#建筑消耗和buff配置索引'!$M:$M,0)))</f>
        <v/>
      </c>
      <c r="Q577" s="133" t="str">
        <f>IF(INDEX('#建筑消耗和buff配置索引'!K:K,MATCH($F577,'#建筑消耗和buff配置索引'!$M:$M,0))=0,"",INDEX('#建筑消耗和buff配置索引'!K:K,MATCH($F577,'#建筑消耗和buff配置索引'!$M:$M,0)))</f>
        <v>201;202</v>
      </c>
      <c r="R577" s="133" t="str">
        <f>IF(INDEX('#建筑消耗和buff配置索引'!L:L,MATCH($F577,'#建筑消耗和buff配置索引'!$M:$M,0))=0,"",INDEX('#建筑消耗和buff配置索引'!L:L,MATCH($F577,'#建筑消耗和buff配置索引'!$M:$M,0)))</f>
        <v>27;27</v>
      </c>
      <c r="S577" s="133">
        <f>IF(INDEX('#建筑消耗和buff配置索引'!C:C,MATCH(F577,'#建筑消耗和buff配置索引'!M:M,0))=0,1,INDEX('#建筑消耗和buff配置索引'!C:C,MATCH(F577,'#建筑消耗和buff配置索引'!M:M,0)))</f>
        <v>2</v>
      </c>
      <c r="T577" s="133">
        <v>0</v>
      </c>
      <c r="U577" s="133">
        <v>0</v>
      </c>
      <c r="V577" s="133" t="str">
        <f>IF(E577=1,IF(INDEX('#建筑消耗和buff配置索引'!BY:BY,MATCH(D577,'#建筑消耗和buff配置索引'!A:A,0))=0,"",INDEX('#建筑消耗和buff配置索引'!BY:BY,MATCH(D577,'#建筑消耗和buff配置索引'!A:A,0))),"")</f>
        <v/>
      </c>
      <c r="W577" s="133" t="str">
        <f>IF(E577=1,IF(INDEX('#建筑消耗和buff配置索引'!BZ:BZ,MATCH(D577,'#建筑消耗和buff配置索引'!A:A,0))=0,"",INDEX('#建筑消耗和buff配置索引'!BZ:BZ,MATCH(D577,'#建筑消耗和buff配置索引'!A:A,0))),"")</f>
        <v/>
      </c>
      <c r="AA577" s="133">
        <f>INDEX('#建筑消耗和buff配置索引'!AO:AO,MATCH($F577,'#建筑消耗和buff配置索引'!$M:$M,0))</f>
        <v>399829</v>
      </c>
      <c r="AB577" s="133">
        <f>IF(INDEX('#建筑消耗和buff配置索引'!AR:AR,MATCH($F577,'#建筑消耗和buff配置索引'!$M:$M,0))=0,"",INDEX('#建筑消耗和buff配置索引'!AR:AR,MATCH($F577,'#建筑消耗和buff配置索引'!$M:$M,0)))</f>
        <v>1300</v>
      </c>
      <c r="AC577" s="133">
        <f>IF(AB577="","",INDEX('#建筑消耗和buff配置索引'!AS:AS,MATCH($F577,'#建筑消耗和buff配置索引'!$M:$M,0)))</f>
        <v>0.28999999999999998</v>
      </c>
      <c r="AF577" s="133" t="str">
        <f>IF(INDEX('#建筑消耗和buff配置索引'!AW:AW,MATCH($F577,'#建筑消耗和buff配置索引'!$M:$M,0))=0,"",INDEX('#建筑消耗和buff配置索引'!AW:AW,MATCH($F577,'#建筑消耗和buff配置索引'!$M:$M,0)))</f>
        <v/>
      </c>
      <c r="AG577" s="133" t="str">
        <f>IF(AF577="","",INDEX('#建筑消耗和buff配置索引'!AX:AX,MATCH($F577,'#建筑消耗和buff配置索引'!$M:$M,0)))</f>
        <v/>
      </c>
      <c r="AJ577" s="133" t="str">
        <f>IF(INDEX('#建筑消耗和buff配置索引'!BB:BB,MATCH($F577,'#建筑消耗和buff配置索引'!$M:$M,0))=0,"",INDEX('#建筑消耗和buff配置索引'!BB:BB,MATCH($F577,'#建筑消耗和buff配置索引'!$M:$M,0)))</f>
        <v/>
      </c>
      <c r="AK577" s="133" t="str">
        <f>IF(AJ577="","",INDEX('#建筑消耗和buff配置索引'!BC:BC,MATCH($F577,'#建筑消耗和buff配置索引'!$M:$M,0)))</f>
        <v/>
      </c>
      <c r="AN577" s="133" t="str">
        <f>IF(INDEX('#建筑消耗和buff配置索引'!BG:BG,MATCH($F577,'#建筑消耗和buff配置索引'!$M:$M,0))=0,"",INDEX('#建筑消耗和buff配置索引'!BG:BG,MATCH($F577,'#建筑消耗和buff配置索引'!$M:$M,0)))</f>
        <v/>
      </c>
      <c r="AO577" s="133" t="str">
        <f>IF(AN577="","",INDEX('#建筑消耗和buff配置索引'!BH:BH,MATCH($F577,'#建筑消耗和buff配置索引'!$M:$M,0)))</f>
        <v/>
      </c>
      <c r="AR577" s="133" t="str">
        <f>IF(INDEX('#建筑消耗和buff配置索引'!BK:BK,MATCH($F577,'#建筑消耗和buff配置索引'!$M:$M,0))=0,"",INDEX('#建筑消耗和buff配置索引'!BK:BK,MATCH($F577,'#建筑消耗和buff配置索引'!$M:$M,0)))</f>
        <v/>
      </c>
      <c r="AS577" s="133" t="str">
        <f>IF(AR577="","",INDEX('#建筑消耗和buff配置索引'!BL:BL,MATCH($F577,'#建筑消耗和buff配置索引'!$M:$M,0)))</f>
        <v/>
      </c>
      <c r="AV577" s="133" t="str">
        <f>IF(INDEX('#建筑消耗和buff配置索引'!BO:BO,MATCH($F577,'#建筑消耗和buff配置索引'!$M:$M,0))=0,"",INDEX('#建筑消耗和buff配置索引'!BO:BO,MATCH($F577,'#建筑消耗和buff配置索引'!$M:$M,0)))</f>
        <v/>
      </c>
      <c r="AW577" s="133" t="str">
        <f>IF(AV577="","",INDEX('#建筑消耗和buff配置索引'!BP:BP,MATCH($F577,'#建筑消耗和buff配置索引'!$M:$M,0)))</f>
        <v/>
      </c>
      <c r="AZ577" s="133" t="str">
        <f>IF(INDEX('#建筑消耗和buff配置索引'!BS:BS,MATCH($F577,'#建筑消耗和buff配置索引'!$M:$M,0))=0,"",INDEX('#建筑消耗和buff配置索引'!BS:BS,MATCH($F577,'#建筑消耗和buff配置索引'!$M:$M,0)))</f>
        <v/>
      </c>
      <c r="BA577" s="133" t="str">
        <f>IF(AZ577="","",INDEX('#建筑消耗和buff配置索引'!BT:BT,MATCH($F577,'#建筑消耗和buff配置索引'!$M:$M,0)))</f>
        <v/>
      </c>
      <c r="BD577" s="133" t="str">
        <f>IF(INDEX('#建筑消耗和buff配置索引'!BW:BW,MATCH($F577,'#建筑消耗和buff配置索引'!$M:$M,0))=0,"",INDEX('#建筑消耗和buff配置索引'!BW:BW,MATCH($F577,'#建筑消耗和buff配置索引'!$M:$M,0)))</f>
        <v/>
      </c>
      <c r="BE577" s="133" t="str">
        <f>IF(BD577="","",INDEX('#建筑消耗和buff配置索引'!BX:BX,MATCH($F577,'#建筑消耗和buff配置索引'!$M:$M,0)))</f>
        <v/>
      </c>
      <c r="BI577" s="133">
        <v>22</v>
      </c>
    </row>
    <row r="578" spans="1:66" s="133" customFormat="1">
      <c r="A578" s="133">
        <v>2110028</v>
      </c>
      <c r="B578" s="133">
        <v>575</v>
      </c>
      <c r="C578" s="133">
        <v>211</v>
      </c>
      <c r="D578" s="133" t="s">
        <v>605</v>
      </c>
      <c r="E578" s="133">
        <v>28</v>
      </c>
      <c r="F578" s="133" t="str">
        <f t="shared" si="10"/>
        <v>学院28</v>
      </c>
      <c r="H578" s="146"/>
      <c r="I578" s="133" t="s">
        <v>1205</v>
      </c>
      <c r="J578" s="150">
        <f>INDEX('#建筑消耗和buff配置索引'!AH:AH,MATCH($F578,'#建筑消耗和buff配置索引'!$M:$M,0))</f>
        <v>933120</v>
      </c>
      <c r="K578" s="150">
        <f>INDEX('#建筑消耗和buff配置索引'!AA:AA,MATCH($F578,'#建筑消耗和buff配置索引'!$M:$M,0))</f>
        <v>14000000</v>
      </c>
      <c r="L578" s="150">
        <f>INDEX('#建筑消耗和buff配置索引'!AB:AB,MATCH($F578,'#建筑消耗和buff配置索引'!$M:$M,0))</f>
        <v>14000000</v>
      </c>
      <c r="M578" s="150">
        <f>INDEX('#建筑消耗和buff配置索引'!AC:AC,MATCH($F578,'#建筑消耗和buff配置索引'!$M:$M,0))</f>
        <v>14000000</v>
      </c>
      <c r="N578" s="150">
        <f>INDEX('#建筑消耗和buff配置索引'!AD:AD,MATCH($F578,'#建筑消耗和buff配置索引'!$M:$M,0))</f>
        <v>14000000</v>
      </c>
      <c r="O578" s="150" t="str">
        <f>IF(INDEX('#建筑消耗和buff配置索引'!T:T,MATCH($F578,'#建筑消耗和buff配置索引'!$M:$M,0))=0,"",INDEX('#建筑消耗和buff配置索引'!T:T,MATCH($F578,'#建筑消耗和buff配置索引'!$M:$M,0)))</f>
        <v/>
      </c>
      <c r="P578" s="133" t="str">
        <f>IF(INDEX('#建筑消耗和buff配置索引'!U:U,MATCH($F578,'#建筑消耗和buff配置索引'!$M:$M,0))=0,"",INDEX('#建筑消耗和buff配置索引'!U:U,MATCH($F578,'#建筑消耗和buff配置索引'!$M:$M,0)))</f>
        <v/>
      </c>
      <c r="Q578" s="133" t="str">
        <f>IF(INDEX('#建筑消耗和buff配置索引'!K:K,MATCH($F578,'#建筑消耗和buff配置索引'!$M:$M,0))=0,"",INDEX('#建筑消耗和buff配置索引'!K:K,MATCH($F578,'#建筑消耗和buff配置索引'!$M:$M,0)))</f>
        <v>201;202</v>
      </c>
      <c r="R578" s="133" t="str">
        <f>IF(INDEX('#建筑消耗和buff配置索引'!L:L,MATCH($F578,'#建筑消耗和buff配置索引'!$M:$M,0))=0,"",INDEX('#建筑消耗和buff配置索引'!L:L,MATCH($F578,'#建筑消耗和buff配置索引'!$M:$M,0)))</f>
        <v>28;28</v>
      </c>
      <c r="S578" s="133">
        <f>IF(INDEX('#建筑消耗和buff配置索引'!C:C,MATCH(F578,'#建筑消耗和buff配置索引'!M:M,0))=0,1,INDEX('#建筑消耗和buff配置索引'!C:C,MATCH(F578,'#建筑消耗和buff配置索引'!M:M,0)))</f>
        <v>2</v>
      </c>
      <c r="T578" s="133">
        <v>0</v>
      </c>
      <c r="U578" s="133">
        <v>0</v>
      </c>
      <c r="V578" s="133" t="str">
        <f>IF(E578=1,IF(INDEX('#建筑消耗和buff配置索引'!BY:BY,MATCH(D578,'#建筑消耗和buff配置索引'!A:A,0))=0,"",INDEX('#建筑消耗和buff配置索引'!BY:BY,MATCH(D578,'#建筑消耗和buff配置索引'!A:A,0))),"")</f>
        <v/>
      </c>
      <c r="W578" s="133" t="str">
        <f>IF(E578=1,IF(INDEX('#建筑消耗和buff配置索引'!BZ:BZ,MATCH(D578,'#建筑消耗和buff配置索引'!A:A,0))=0,"",INDEX('#建筑消耗和buff配置索引'!BZ:BZ,MATCH(D578,'#建筑消耗和buff配置索引'!A:A,0))),"")</f>
        <v/>
      </c>
      <c r="AA578" s="133">
        <f>INDEX('#建筑消耗和buff配置索引'!AO:AO,MATCH($F578,'#建筑消耗和buff配置索引'!$M:$M,0))</f>
        <v>512987</v>
      </c>
      <c r="AB578" s="133">
        <f>IF(INDEX('#建筑消耗和buff配置索引'!AR:AR,MATCH($F578,'#建筑消耗和buff配置索引'!$M:$M,0))=0,"",INDEX('#建筑消耗和buff配置索引'!AR:AR,MATCH($F578,'#建筑消耗和buff配置索引'!$M:$M,0)))</f>
        <v>1300</v>
      </c>
      <c r="AC578" s="133">
        <f>IF(AB578="","",INDEX('#建筑消耗和buff配置索引'!AS:AS,MATCH($F578,'#建筑消耗和buff配置索引'!$M:$M,0)))</f>
        <v>0.31</v>
      </c>
      <c r="AF578" s="133" t="str">
        <f>IF(INDEX('#建筑消耗和buff配置索引'!AW:AW,MATCH($F578,'#建筑消耗和buff配置索引'!$M:$M,0))=0,"",INDEX('#建筑消耗和buff配置索引'!AW:AW,MATCH($F578,'#建筑消耗和buff配置索引'!$M:$M,0)))</f>
        <v/>
      </c>
      <c r="AG578" s="133" t="str">
        <f>IF(AF578="","",INDEX('#建筑消耗和buff配置索引'!AX:AX,MATCH($F578,'#建筑消耗和buff配置索引'!$M:$M,0)))</f>
        <v/>
      </c>
      <c r="AJ578" s="133" t="str">
        <f>IF(INDEX('#建筑消耗和buff配置索引'!BB:BB,MATCH($F578,'#建筑消耗和buff配置索引'!$M:$M,0))=0,"",INDEX('#建筑消耗和buff配置索引'!BB:BB,MATCH($F578,'#建筑消耗和buff配置索引'!$M:$M,0)))</f>
        <v/>
      </c>
      <c r="AK578" s="133" t="str">
        <f>IF(AJ578="","",INDEX('#建筑消耗和buff配置索引'!BC:BC,MATCH($F578,'#建筑消耗和buff配置索引'!$M:$M,0)))</f>
        <v/>
      </c>
      <c r="AN578" s="133" t="str">
        <f>IF(INDEX('#建筑消耗和buff配置索引'!BG:BG,MATCH($F578,'#建筑消耗和buff配置索引'!$M:$M,0))=0,"",INDEX('#建筑消耗和buff配置索引'!BG:BG,MATCH($F578,'#建筑消耗和buff配置索引'!$M:$M,0)))</f>
        <v/>
      </c>
      <c r="AO578" s="133" t="str">
        <f>IF(AN578="","",INDEX('#建筑消耗和buff配置索引'!BH:BH,MATCH($F578,'#建筑消耗和buff配置索引'!$M:$M,0)))</f>
        <v/>
      </c>
      <c r="AR578" s="133" t="str">
        <f>IF(INDEX('#建筑消耗和buff配置索引'!BK:BK,MATCH($F578,'#建筑消耗和buff配置索引'!$M:$M,0))=0,"",INDEX('#建筑消耗和buff配置索引'!BK:BK,MATCH($F578,'#建筑消耗和buff配置索引'!$M:$M,0)))</f>
        <v/>
      </c>
      <c r="AS578" s="133" t="str">
        <f>IF(AR578="","",INDEX('#建筑消耗和buff配置索引'!BL:BL,MATCH($F578,'#建筑消耗和buff配置索引'!$M:$M,0)))</f>
        <v/>
      </c>
      <c r="AV578" s="133" t="str">
        <f>IF(INDEX('#建筑消耗和buff配置索引'!BO:BO,MATCH($F578,'#建筑消耗和buff配置索引'!$M:$M,0))=0,"",INDEX('#建筑消耗和buff配置索引'!BO:BO,MATCH($F578,'#建筑消耗和buff配置索引'!$M:$M,0)))</f>
        <v/>
      </c>
      <c r="AW578" s="133" t="str">
        <f>IF(AV578="","",INDEX('#建筑消耗和buff配置索引'!BP:BP,MATCH($F578,'#建筑消耗和buff配置索引'!$M:$M,0)))</f>
        <v/>
      </c>
      <c r="AZ578" s="133" t="str">
        <f>IF(INDEX('#建筑消耗和buff配置索引'!BS:BS,MATCH($F578,'#建筑消耗和buff配置索引'!$M:$M,0))=0,"",INDEX('#建筑消耗和buff配置索引'!BS:BS,MATCH($F578,'#建筑消耗和buff配置索引'!$M:$M,0)))</f>
        <v/>
      </c>
      <c r="BA578" s="133" t="str">
        <f>IF(AZ578="","",INDEX('#建筑消耗和buff配置索引'!BT:BT,MATCH($F578,'#建筑消耗和buff配置索引'!$M:$M,0)))</f>
        <v/>
      </c>
      <c r="BD578" s="133" t="str">
        <f>IF(INDEX('#建筑消耗和buff配置索引'!BW:BW,MATCH($F578,'#建筑消耗和buff配置索引'!$M:$M,0))=0,"",INDEX('#建筑消耗和buff配置索引'!BW:BW,MATCH($F578,'#建筑消耗和buff配置索引'!$M:$M,0)))</f>
        <v/>
      </c>
      <c r="BE578" s="133" t="str">
        <f>IF(BD578="","",INDEX('#建筑消耗和buff配置索引'!BX:BX,MATCH($F578,'#建筑消耗和buff配置索引'!$M:$M,0)))</f>
        <v/>
      </c>
      <c r="BI578" s="133">
        <v>22</v>
      </c>
    </row>
    <row r="579" spans="1:66" s="133" customFormat="1">
      <c r="A579" s="133">
        <v>2110029</v>
      </c>
      <c r="B579" s="133">
        <v>576</v>
      </c>
      <c r="C579" s="133">
        <v>211</v>
      </c>
      <c r="D579" s="133" t="s">
        <v>605</v>
      </c>
      <c r="E579" s="133">
        <v>29</v>
      </c>
      <c r="F579" s="133" t="str">
        <f t="shared" si="10"/>
        <v>学院29</v>
      </c>
      <c r="H579" s="146"/>
      <c r="I579" s="133" t="s">
        <v>1205</v>
      </c>
      <c r="J579" s="150">
        <f>INDEX('#建筑消耗和buff配置索引'!AH:AH,MATCH($F579,'#建筑消耗和buff配置索引'!$M:$M,0))</f>
        <v>1140480</v>
      </c>
      <c r="K579" s="150">
        <f>INDEX('#建筑消耗和buff配置索引'!AA:AA,MATCH($F579,'#建筑消耗和buff配置索引'!$M:$M,0))</f>
        <v>18000000</v>
      </c>
      <c r="L579" s="150">
        <f>INDEX('#建筑消耗和buff配置索引'!AB:AB,MATCH($F579,'#建筑消耗和buff配置索引'!$M:$M,0))</f>
        <v>18000000</v>
      </c>
      <c r="M579" s="150">
        <f>INDEX('#建筑消耗和buff配置索引'!AC:AC,MATCH($F579,'#建筑消耗和buff配置索引'!$M:$M,0))</f>
        <v>18000000</v>
      </c>
      <c r="N579" s="150">
        <f>INDEX('#建筑消耗和buff配置索引'!AD:AD,MATCH($F579,'#建筑消耗和buff配置索引'!$M:$M,0))</f>
        <v>18000000</v>
      </c>
      <c r="O579" s="150" t="str">
        <f>IF(INDEX('#建筑消耗和buff配置索引'!T:T,MATCH($F579,'#建筑消耗和buff配置索引'!$M:$M,0))=0,"",INDEX('#建筑消耗和buff配置索引'!T:T,MATCH($F579,'#建筑消耗和buff配置索引'!$M:$M,0)))</f>
        <v/>
      </c>
      <c r="P579" s="133" t="str">
        <f>IF(INDEX('#建筑消耗和buff配置索引'!U:U,MATCH($F579,'#建筑消耗和buff配置索引'!$M:$M,0))=0,"",INDEX('#建筑消耗和buff配置索引'!U:U,MATCH($F579,'#建筑消耗和buff配置索引'!$M:$M,0)))</f>
        <v/>
      </c>
      <c r="Q579" s="133" t="str">
        <f>IF(INDEX('#建筑消耗和buff配置索引'!K:K,MATCH($F579,'#建筑消耗和buff配置索引'!$M:$M,0))=0,"",INDEX('#建筑消耗和buff配置索引'!K:K,MATCH($F579,'#建筑消耗和buff配置索引'!$M:$M,0)))</f>
        <v>201;202</v>
      </c>
      <c r="R579" s="133" t="str">
        <f>IF(INDEX('#建筑消耗和buff配置索引'!L:L,MATCH($F579,'#建筑消耗和buff配置索引'!$M:$M,0))=0,"",INDEX('#建筑消耗和buff配置索引'!L:L,MATCH($F579,'#建筑消耗和buff配置索引'!$M:$M,0)))</f>
        <v>29;29</v>
      </c>
      <c r="S579" s="133">
        <f>IF(INDEX('#建筑消耗和buff配置索引'!C:C,MATCH(F579,'#建筑消耗和buff配置索引'!M:M,0))=0,1,INDEX('#建筑消耗和buff配置索引'!C:C,MATCH(F579,'#建筑消耗和buff配置索引'!M:M,0)))</f>
        <v>2</v>
      </c>
      <c r="T579" s="133">
        <v>0</v>
      </c>
      <c r="U579" s="133">
        <v>0</v>
      </c>
      <c r="V579" s="133" t="str">
        <f>IF(E579=1,IF(INDEX('#建筑消耗和buff配置索引'!BY:BY,MATCH(D579,'#建筑消耗和buff配置索引'!A:A,0))=0,"",INDEX('#建筑消耗和buff配置索引'!BY:BY,MATCH(D579,'#建筑消耗和buff配置索引'!A:A,0))),"")</f>
        <v/>
      </c>
      <c r="W579" s="133" t="str">
        <f>IF(E579=1,IF(INDEX('#建筑消耗和buff配置索引'!BZ:BZ,MATCH(D579,'#建筑消耗和buff配置索引'!A:A,0))=0,"",INDEX('#建筑消耗和buff配置索引'!BZ:BZ,MATCH(D579,'#建筑消耗和buff配置索引'!A:A,0))),"")</f>
        <v/>
      </c>
      <c r="AA579" s="133">
        <f>INDEX('#建筑消耗和buff配置索引'!AO:AO,MATCH($F579,'#建筑消耗和buff配置索引'!$M:$M,0))</f>
        <v>657829</v>
      </c>
      <c r="AB579" s="133">
        <f>IF(INDEX('#建筑消耗和buff配置索引'!AR:AR,MATCH($F579,'#建筑消耗和buff配置索引'!$M:$M,0))=0,"",INDEX('#建筑消耗和buff配置索引'!AR:AR,MATCH($F579,'#建筑消耗和buff配置索引'!$M:$M,0)))</f>
        <v>1300</v>
      </c>
      <c r="AC579" s="133">
        <f>IF(AB579="","",INDEX('#建筑消耗和buff配置索引'!AS:AS,MATCH($F579,'#建筑消耗和buff配置索引'!$M:$M,0)))</f>
        <v>0.33</v>
      </c>
      <c r="AF579" s="133" t="str">
        <f>IF(INDEX('#建筑消耗和buff配置索引'!AW:AW,MATCH($F579,'#建筑消耗和buff配置索引'!$M:$M,0))=0,"",INDEX('#建筑消耗和buff配置索引'!AW:AW,MATCH($F579,'#建筑消耗和buff配置索引'!$M:$M,0)))</f>
        <v/>
      </c>
      <c r="AG579" s="133" t="str">
        <f>IF(AF579="","",INDEX('#建筑消耗和buff配置索引'!AX:AX,MATCH($F579,'#建筑消耗和buff配置索引'!$M:$M,0)))</f>
        <v/>
      </c>
      <c r="AJ579" s="133" t="str">
        <f>IF(INDEX('#建筑消耗和buff配置索引'!BB:BB,MATCH($F579,'#建筑消耗和buff配置索引'!$M:$M,0))=0,"",INDEX('#建筑消耗和buff配置索引'!BB:BB,MATCH($F579,'#建筑消耗和buff配置索引'!$M:$M,0)))</f>
        <v/>
      </c>
      <c r="AK579" s="133" t="str">
        <f>IF(AJ579="","",INDEX('#建筑消耗和buff配置索引'!BC:BC,MATCH($F579,'#建筑消耗和buff配置索引'!$M:$M,0)))</f>
        <v/>
      </c>
      <c r="AN579" s="133" t="str">
        <f>IF(INDEX('#建筑消耗和buff配置索引'!BG:BG,MATCH($F579,'#建筑消耗和buff配置索引'!$M:$M,0))=0,"",INDEX('#建筑消耗和buff配置索引'!BG:BG,MATCH($F579,'#建筑消耗和buff配置索引'!$M:$M,0)))</f>
        <v/>
      </c>
      <c r="AO579" s="133" t="str">
        <f>IF(AN579="","",INDEX('#建筑消耗和buff配置索引'!BH:BH,MATCH($F579,'#建筑消耗和buff配置索引'!$M:$M,0)))</f>
        <v/>
      </c>
      <c r="AR579" s="133" t="str">
        <f>IF(INDEX('#建筑消耗和buff配置索引'!BK:BK,MATCH($F579,'#建筑消耗和buff配置索引'!$M:$M,0))=0,"",INDEX('#建筑消耗和buff配置索引'!BK:BK,MATCH($F579,'#建筑消耗和buff配置索引'!$M:$M,0)))</f>
        <v/>
      </c>
      <c r="AS579" s="133" t="str">
        <f>IF(AR579="","",INDEX('#建筑消耗和buff配置索引'!BL:BL,MATCH($F579,'#建筑消耗和buff配置索引'!$M:$M,0)))</f>
        <v/>
      </c>
      <c r="AV579" s="133" t="str">
        <f>IF(INDEX('#建筑消耗和buff配置索引'!BO:BO,MATCH($F579,'#建筑消耗和buff配置索引'!$M:$M,0))=0,"",INDEX('#建筑消耗和buff配置索引'!BO:BO,MATCH($F579,'#建筑消耗和buff配置索引'!$M:$M,0)))</f>
        <v/>
      </c>
      <c r="AW579" s="133" t="str">
        <f>IF(AV579="","",INDEX('#建筑消耗和buff配置索引'!BP:BP,MATCH($F579,'#建筑消耗和buff配置索引'!$M:$M,0)))</f>
        <v/>
      </c>
      <c r="AZ579" s="133" t="str">
        <f>IF(INDEX('#建筑消耗和buff配置索引'!BS:BS,MATCH($F579,'#建筑消耗和buff配置索引'!$M:$M,0))=0,"",INDEX('#建筑消耗和buff配置索引'!BS:BS,MATCH($F579,'#建筑消耗和buff配置索引'!$M:$M,0)))</f>
        <v/>
      </c>
      <c r="BA579" s="133" t="str">
        <f>IF(AZ579="","",INDEX('#建筑消耗和buff配置索引'!BT:BT,MATCH($F579,'#建筑消耗和buff配置索引'!$M:$M,0)))</f>
        <v/>
      </c>
      <c r="BD579" s="133" t="str">
        <f>IF(INDEX('#建筑消耗和buff配置索引'!BW:BW,MATCH($F579,'#建筑消耗和buff配置索引'!$M:$M,0))=0,"",INDEX('#建筑消耗和buff配置索引'!BW:BW,MATCH($F579,'#建筑消耗和buff配置索引'!$M:$M,0)))</f>
        <v/>
      </c>
      <c r="BE579" s="133" t="str">
        <f>IF(BD579="","",INDEX('#建筑消耗和buff配置索引'!BX:BX,MATCH($F579,'#建筑消耗和buff配置索引'!$M:$M,0)))</f>
        <v/>
      </c>
      <c r="BI579" s="133">
        <v>22</v>
      </c>
    </row>
    <row r="580" spans="1:66" s="133" customFormat="1">
      <c r="A580" s="133">
        <v>2110030</v>
      </c>
      <c r="B580" s="133">
        <v>577</v>
      </c>
      <c r="C580" s="133">
        <v>211</v>
      </c>
      <c r="D580" s="133" t="s">
        <v>605</v>
      </c>
      <c r="E580" s="133">
        <v>30</v>
      </c>
      <c r="F580" s="133" t="str">
        <f t="shared" si="10"/>
        <v>学院30</v>
      </c>
      <c r="H580" s="146"/>
      <c r="I580" s="133" t="s">
        <v>1205</v>
      </c>
      <c r="J580" s="150">
        <f>INDEX('#建筑消耗和buff配置索引'!AH:AH,MATCH($F580,'#建筑消耗和buff配置索引'!$M:$M,0))</f>
        <v>1382400</v>
      </c>
      <c r="K580" s="150">
        <f>INDEX('#建筑消耗和buff配置索引'!AA:AA,MATCH($F580,'#建筑消耗和buff配置索引'!$M:$M,0))</f>
        <v>23000000</v>
      </c>
      <c r="L580" s="150">
        <f>INDEX('#建筑消耗和buff配置索引'!AB:AB,MATCH($F580,'#建筑消耗和buff配置索引'!$M:$M,0))</f>
        <v>23000000</v>
      </c>
      <c r="M580" s="150">
        <f>INDEX('#建筑消耗和buff配置索引'!AC:AC,MATCH($F580,'#建筑消耗和buff配置索引'!$M:$M,0))</f>
        <v>23000000</v>
      </c>
      <c r="N580" s="150">
        <f>INDEX('#建筑消耗和buff配置索引'!AD:AD,MATCH($F580,'#建筑消耗和buff配置索引'!$M:$M,0))</f>
        <v>23000000</v>
      </c>
      <c r="O580" s="150" t="str">
        <f>IF(INDEX('#建筑消耗和buff配置索引'!T:T,MATCH($F580,'#建筑消耗和buff配置索引'!$M:$M,0))=0,"",INDEX('#建筑消耗和buff配置索引'!T:T,MATCH($F580,'#建筑消耗和buff配置索引'!$M:$M,0)))</f>
        <v/>
      </c>
      <c r="P580" s="133" t="str">
        <f>IF(INDEX('#建筑消耗和buff配置索引'!U:U,MATCH($F580,'#建筑消耗和buff配置索引'!$M:$M,0))=0,"",INDEX('#建筑消耗和buff配置索引'!U:U,MATCH($F580,'#建筑消耗和buff配置索引'!$M:$M,0)))</f>
        <v/>
      </c>
      <c r="Q580" s="133" t="str">
        <f>IF(INDEX('#建筑消耗和buff配置索引'!K:K,MATCH($F580,'#建筑消耗和buff配置索引'!$M:$M,0))=0,"",INDEX('#建筑消耗和buff配置索引'!K:K,MATCH($F580,'#建筑消耗和buff配置索引'!$M:$M,0)))</f>
        <v>201;202</v>
      </c>
      <c r="R580" s="133" t="str">
        <f>IF(INDEX('#建筑消耗和buff配置索引'!L:L,MATCH($F580,'#建筑消耗和buff配置索引'!$M:$M,0))=0,"",INDEX('#建筑消耗和buff配置索引'!L:L,MATCH($F580,'#建筑消耗和buff配置索引'!$M:$M,0)))</f>
        <v>30;30</v>
      </c>
      <c r="S580" s="133">
        <f>IF(INDEX('#建筑消耗和buff配置索引'!C:C,MATCH(F580,'#建筑消耗和buff配置索引'!M:M,0))=0,1,INDEX('#建筑消耗和buff配置索引'!C:C,MATCH(F580,'#建筑消耗和buff配置索引'!M:M,0)))</f>
        <v>2</v>
      </c>
      <c r="T580" s="133">
        <v>0</v>
      </c>
      <c r="U580" s="133">
        <v>0</v>
      </c>
      <c r="V580" s="133" t="str">
        <f>IF(E580=1,IF(INDEX('#建筑消耗和buff配置索引'!BY:BY,MATCH(D580,'#建筑消耗和buff配置索引'!A:A,0))=0,"",INDEX('#建筑消耗和buff配置索引'!BY:BY,MATCH(D580,'#建筑消耗和buff配置索引'!A:A,0))),"")</f>
        <v/>
      </c>
      <c r="W580" s="133" t="str">
        <f>IF(E580=1,IF(INDEX('#建筑消耗和buff配置索引'!BZ:BZ,MATCH(D580,'#建筑消耗和buff配置索引'!A:A,0))=0,"",INDEX('#建筑消耗和buff配置索引'!BZ:BZ,MATCH(D580,'#建筑消耗和buff配置索引'!A:A,0))),"")</f>
        <v/>
      </c>
      <c r="AA580" s="133">
        <f>INDEX('#建筑消耗和buff配置索引'!AO:AO,MATCH($F580,'#建筑消耗和buff配置索引'!$M:$M,0))</f>
        <v>843227</v>
      </c>
      <c r="AB580" s="133">
        <f>IF(INDEX('#建筑消耗和buff配置索引'!AR:AR,MATCH($F580,'#建筑消耗和buff配置索引'!$M:$M,0))=0,"",INDEX('#建筑消耗和buff配置索引'!AR:AR,MATCH($F580,'#建筑消耗和buff配置索引'!$M:$M,0)))</f>
        <v>1300</v>
      </c>
      <c r="AC580" s="133">
        <f>IF(AB580="","",INDEX('#建筑消耗和buff配置索引'!AS:AS,MATCH($F580,'#建筑消耗和buff配置索引'!$M:$M,0)))</f>
        <v>0.35</v>
      </c>
      <c r="AF580" s="133" t="str">
        <f>IF(INDEX('#建筑消耗和buff配置索引'!AW:AW,MATCH($F580,'#建筑消耗和buff配置索引'!$M:$M,0))=0,"",INDEX('#建筑消耗和buff配置索引'!AW:AW,MATCH($F580,'#建筑消耗和buff配置索引'!$M:$M,0)))</f>
        <v/>
      </c>
      <c r="AG580" s="133" t="str">
        <f>IF(AF580="","",INDEX('#建筑消耗和buff配置索引'!AX:AX,MATCH($F580,'#建筑消耗和buff配置索引'!$M:$M,0)))</f>
        <v/>
      </c>
      <c r="AJ580" s="133" t="str">
        <f>IF(INDEX('#建筑消耗和buff配置索引'!BB:BB,MATCH($F580,'#建筑消耗和buff配置索引'!$M:$M,0))=0,"",INDEX('#建筑消耗和buff配置索引'!BB:BB,MATCH($F580,'#建筑消耗和buff配置索引'!$M:$M,0)))</f>
        <v/>
      </c>
      <c r="AK580" s="133" t="str">
        <f>IF(AJ580="","",INDEX('#建筑消耗和buff配置索引'!BC:BC,MATCH($F580,'#建筑消耗和buff配置索引'!$M:$M,0)))</f>
        <v/>
      </c>
      <c r="AN580" s="133" t="str">
        <f>IF(INDEX('#建筑消耗和buff配置索引'!BG:BG,MATCH($F580,'#建筑消耗和buff配置索引'!$M:$M,0))=0,"",INDEX('#建筑消耗和buff配置索引'!BG:BG,MATCH($F580,'#建筑消耗和buff配置索引'!$M:$M,0)))</f>
        <v/>
      </c>
      <c r="AO580" s="133" t="str">
        <f>IF(AN580="","",INDEX('#建筑消耗和buff配置索引'!BH:BH,MATCH($F580,'#建筑消耗和buff配置索引'!$M:$M,0)))</f>
        <v/>
      </c>
      <c r="AR580" s="133" t="str">
        <f>IF(INDEX('#建筑消耗和buff配置索引'!BK:BK,MATCH($F580,'#建筑消耗和buff配置索引'!$M:$M,0))=0,"",INDEX('#建筑消耗和buff配置索引'!BK:BK,MATCH($F580,'#建筑消耗和buff配置索引'!$M:$M,0)))</f>
        <v/>
      </c>
      <c r="AS580" s="133" t="str">
        <f>IF(AR580="","",INDEX('#建筑消耗和buff配置索引'!BL:BL,MATCH($F580,'#建筑消耗和buff配置索引'!$M:$M,0)))</f>
        <v/>
      </c>
      <c r="AV580" s="133" t="str">
        <f>IF(INDEX('#建筑消耗和buff配置索引'!BO:BO,MATCH($F580,'#建筑消耗和buff配置索引'!$M:$M,0))=0,"",INDEX('#建筑消耗和buff配置索引'!BO:BO,MATCH($F580,'#建筑消耗和buff配置索引'!$M:$M,0)))</f>
        <v/>
      </c>
      <c r="AW580" s="133" t="str">
        <f>IF(AV580="","",INDEX('#建筑消耗和buff配置索引'!BP:BP,MATCH($F580,'#建筑消耗和buff配置索引'!$M:$M,0)))</f>
        <v/>
      </c>
      <c r="AZ580" s="133" t="str">
        <f>IF(INDEX('#建筑消耗和buff配置索引'!BS:BS,MATCH($F580,'#建筑消耗和buff配置索引'!$M:$M,0))=0,"",INDEX('#建筑消耗和buff配置索引'!BS:BS,MATCH($F580,'#建筑消耗和buff配置索引'!$M:$M,0)))</f>
        <v/>
      </c>
      <c r="BA580" s="133" t="str">
        <f>IF(AZ580="","",INDEX('#建筑消耗和buff配置索引'!BT:BT,MATCH($F580,'#建筑消耗和buff配置索引'!$M:$M,0)))</f>
        <v/>
      </c>
      <c r="BD580" s="133" t="str">
        <f>IF(INDEX('#建筑消耗和buff配置索引'!BW:BW,MATCH($F580,'#建筑消耗和buff配置索引'!$M:$M,0))=0,"",INDEX('#建筑消耗和buff配置索引'!BW:BW,MATCH($F580,'#建筑消耗和buff配置索引'!$M:$M,0)))</f>
        <v/>
      </c>
      <c r="BE580" s="133" t="str">
        <f>IF(BD580="","",INDEX('#建筑消耗和buff配置索引'!BX:BX,MATCH($F580,'#建筑消耗和buff配置索引'!$M:$M,0)))</f>
        <v/>
      </c>
      <c r="BI580" s="133">
        <v>22</v>
      </c>
    </row>
    <row r="581" spans="1:66" s="137" customFormat="1" ht="16.5">
      <c r="A581" s="135">
        <v>3000001</v>
      </c>
      <c r="B581" s="135">
        <v>583</v>
      </c>
      <c r="C581" s="135">
        <v>300</v>
      </c>
      <c r="D581" s="135" t="s">
        <v>1010</v>
      </c>
      <c r="E581" s="135">
        <v>1</v>
      </c>
      <c r="F581" s="135" t="str">
        <f t="shared" si="10"/>
        <v>公告板1</v>
      </c>
      <c r="G581" s="161"/>
      <c r="H581" s="162"/>
      <c r="I581" s="134" t="s">
        <v>1205</v>
      </c>
      <c r="J581" s="134">
        <f>INDEX('#建筑消耗和buff配置索引'!AH:AH,MATCH($F581,'#建筑消耗和buff配置索引'!$M:$M,0))</f>
        <v>25</v>
      </c>
      <c r="K581" s="134">
        <f>INDEX('#建筑消耗和buff配置索引'!AA:AA,MATCH($F581,'#建筑消耗和buff配置索引'!$M:$M,0))</f>
        <v>0</v>
      </c>
      <c r="L581" s="134">
        <f>INDEX('#建筑消耗和buff配置索引'!AB:AB,MATCH($F581,'#建筑消耗和buff配置索引'!$M:$M,0))</f>
        <v>0</v>
      </c>
      <c r="M581" s="134">
        <f>INDEX('#建筑消耗和buff配置索引'!AC:AC,MATCH($F581,'#建筑消耗和buff配置索引'!$M:$M,0))</f>
        <v>0</v>
      </c>
      <c r="N581" s="134">
        <f>INDEX('#建筑消耗和buff配置索引'!AD:AD,MATCH($F581,'#建筑消耗和buff配置索引'!$M:$M,0))</f>
        <v>0</v>
      </c>
      <c r="O581" s="150" t="str">
        <f>IF(INDEX('#建筑消耗和buff配置索引'!T:T,MATCH($F581,'#建筑消耗和buff配置索引'!$M:$M,0))=0,"",INDEX('#建筑消耗和buff配置索引'!T:T,MATCH($F581,'#建筑消耗和buff配置索引'!$M:$M,0)))</f>
        <v/>
      </c>
      <c r="P581" s="133" t="str">
        <f>IF(INDEX('#建筑消耗和buff配置索引'!U:U,MATCH($F581,'#建筑消耗和buff配置索引'!$M:$M,0))=0,"",INDEX('#建筑消耗和buff配置索引'!U:U,MATCH($F581,'#建筑消耗和buff配置索引'!$M:$M,0)))</f>
        <v/>
      </c>
      <c r="Q581" s="133" t="str">
        <f>IF(INDEX('#建筑消耗和buff配置索引'!K:K,MATCH($F581,'#建筑消耗和buff配置索引'!$M:$M,0))=0,"",INDEX('#建筑消耗和buff配置索引'!K:K,MATCH($F581,'#建筑消耗和buff配置索引'!$M:$M,0)))</f>
        <v>201</v>
      </c>
      <c r="R581" s="133" t="str">
        <f>IF(INDEX('#建筑消耗和buff配置索引'!L:L,MATCH($F581,'#建筑消耗和buff配置索引'!$M:$M,0))=0,"",INDEX('#建筑消耗和buff配置索引'!L:L,MATCH($F581,'#建筑消耗和buff配置索引'!$M:$M,0)))</f>
        <v>5</v>
      </c>
      <c r="S581" s="134">
        <f>IF(INDEX('#建筑消耗和buff配置索引'!C:C,MATCH(F581,'#建筑消耗和buff配置索引'!M:M,0))=0,1,INDEX('#建筑消耗和buff配置索引'!C:C,MATCH(F581,'#建筑消耗和buff配置索引'!M:M,0)))</f>
        <v>2</v>
      </c>
      <c r="T581" s="134">
        <v>0</v>
      </c>
      <c r="U581" s="134">
        <v>0</v>
      </c>
      <c r="V581" s="133" t="str">
        <f>IF(E581=1,IF(INDEX('#建筑消耗和buff配置索引'!BY:BY,MATCH(D581,'#建筑消耗和buff配置索引'!A:A,0))=0,"",INDEX('#建筑消耗和buff配置索引'!BY:BY,MATCH(D581,'#建筑消耗和buff配置索引'!A:A,0))),"")</f>
        <v/>
      </c>
      <c r="W581" s="133" t="str">
        <f>IF(E581=1,IF(INDEX('#建筑消耗和buff配置索引'!BZ:BZ,MATCH(D581,'#建筑消耗和buff配置索引'!A:A,0))=0,"",INDEX('#建筑消耗和buff配置索引'!BZ:BZ,MATCH(D581,'#建筑消耗和buff配置索引'!A:A,0))),"")</f>
        <v/>
      </c>
      <c r="X581" s="161"/>
      <c r="Y581" s="161"/>
      <c r="Z581" s="161"/>
      <c r="AA581" s="134">
        <f>INDEX('#建筑消耗和buff配置索引'!AO:AO,MATCH($F581,'#建筑消耗和buff配置索引'!$M:$M,0))</f>
        <v>0</v>
      </c>
      <c r="AB581" s="133" t="str">
        <f>IF(INDEX('#建筑消耗和buff配置索引'!AR:AR,MATCH($F581,'#建筑消耗和buff配置索引'!$M:$M,0))=0,"",INDEX('#建筑消耗和buff配置索引'!AR:AR,MATCH($F581,'#建筑消耗和buff配置索引'!$M:$M,0)))</f>
        <v/>
      </c>
      <c r="AC581" s="133" t="str">
        <f>IF(AB581="","",INDEX('#建筑消耗和buff配置索引'!AS:AS,MATCH($F581,'#建筑消耗和buff配置索引'!$M:$M,0)))</f>
        <v/>
      </c>
      <c r="AD581" s="133"/>
      <c r="AE581" s="133"/>
      <c r="AF581" s="133" t="str">
        <f>IF(INDEX('#建筑消耗和buff配置索引'!AW:AW,MATCH($F581,'#建筑消耗和buff配置索引'!$M:$M,0))=0,"",INDEX('#建筑消耗和buff配置索引'!AW:AW,MATCH($F581,'#建筑消耗和buff配置索引'!$M:$M,0)))</f>
        <v/>
      </c>
      <c r="AG581" s="133" t="str">
        <f>IF(AF581="","",INDEX('#建筑消耗和buff配置索引'!AX:AX,MATCH($F581,'#建筑消耗和buff配置索引'!$M:$M,0)))</f>
        <v/>
      </c>
      <c r="AH581" s="133"/>
      <c r="AI581" s="133"/>
      <c r="AJ581" s="133" t="str">
        <f>IF(INDEX('#建筑消耗和buff配置索引'!BB:BB,MATCH($F581,'#建筑消耗和buff配置索引'!$M:$M,0))=0,"",INDEX('#建筑消耗和buff配置索引'!BB:BB,MATCH($F581,'#建筑消耗和buff配置索引'!$M:$M,0)))</f>
        <v/>
      </c>
      <c r="AK581" s="133" t="str">
        <f>IF(AJ581="","",INDEX('#建筑消耗和buff配置索引'!BC:BC,MATCH($F581,'#建筑消耗和buff配置索引'!$M:$M,0)))</f>
        <v/>
      </c>
      <c r="AL581" s="161"/>
      <c r="AM581" s="161"/>
      <c r="AN581" s="161"/>
      <c r="AO581" s="161"/>
      <c r="AP581" s="161"/>
      <c r="AQ581" s="161"/>
      <c r="AR581" s="161"/>
      <c r="AS581" s="161"/>
      <c r="AT581" s="161"/>
      <c r="AU581" s="161"/>
      <c r="AV581" s="161"/>
      <c r="AW581" s="161"/>
      <c r="AX581" s="161"/>
      <c r="AY581" s="161"/>
      <c r="AZ581" s="161"/>
      <c r="BA581" s="161"/>
      <c r="BB581" s="161"/>
      <c r="BC581" s="161"/>
      <c r="BD581" s="161"/>
      <c r="BE581" s="161"/>
      <c r="BF581" s="161"/>
      <c r="BG581" s="161"/>
      <c r="BH581" s="161"/>
      <c r="BI581" s="134">
        <v>23</v>
      </c>
    </row>
    <row r="582" spans="1:66">
      <c r="A582" s="140">
        <v>4000001</v>
      </c>
      <c r="B582" s="140">
        <v>584</v>
      </c>
      <c r="C582" s="140">
        <v>400</v>
      </c>
      <c r="D582" s="140" t="s">
        <v>1014</v>
      </c>
      <c r="E582" s="140">
        <v>1</v>
      </c>
      <c r="F582" s="133" t="str">
        <f t="shared" si="10"/>
        <v>仓库1</v>
      </c>
      <c r="I582" s="140">
        <v>0</v>
      </c>
      <c r="J582" s="150">
        <f>INDEX('#建筑消耗和buff配置索引'!AH:AH,MATCH($F582,'#建筑消耗和buff配置索引'!$M:$M,0))</f>
        <v>25</v>
      </c>
      <c r="K582" s="142">
        <f>INDEX('#建筑消耗和buff配置索引'!AA:AA,MATCH($F582,'#建筑消耗和buff配置索引'!$M:$M,0))</f>
        <v>0</v>
      </c>
      <c r="L582" s="142">
        <f>INDEX('#建筑消耗和buff配置索引'!AB:AB,MATCH($F582,'#建筑消耗和buff配置索引'!$M:$M,0))</f>
        <v>0</v>
      </c>
      <c r="M582" s="142">
        <f>INDEX('#建筑消耗和buff配置索引'!AC:AC,MATCH($F582,'#建筑消耗和buff配置索引'!$M:$M,0))</f>
        <v>0</v>
      </c>
      <c r="N582" s="142">
        <f>INDEX('#建筑消耗和buff配置索引'!AD:AD,MATCH($F582,'#建筑消耗和buff配置索引'!$M:$M,0))</f>
        <v>0</v>
      </c>
      <c r="O582" s="150" t="str">
        <f>IF(INDEX('#建筑消耗和buff配置索引'!T:T,MATCH($F582,'#建筑消耗和buff配置索引'!$M:$M,0))=0,"",INDEX('#建筑消耗和buff配置索引'!T:T,MATCH($F582,'#建筑消耗和buff配置索引'!$M:$M,0)))</f>
        <v/>
      </c>
      <c r="P582" s="133" t="str">
        <f>IF(INDEX('#建筑消耗和buff配置索引'!U:U,MATCH($F582,'#建筑消耗和buff配置索引'!$M:$M,0))=0,"",INDEX('#建筑消耗和buff配置索引'!U:U,MATCH($F582,'#建筑消耗和buff配置索引'!$M:$M,0)))</f>
        <v/>
      </c>
      <c r="Q582" s="133" t="str">
        <f>IF(INDEX('#建筑消耗和buff配置索引'!K:K,MATCH($F582,'#建筑消耗和buff配置索引'!$M:$M,0))=0,"",INDEX('#建筑消耗和buff配置索引'!K:K,MATCH($F582,'#建筑消耗和buff配置索引'!$M:$M,0)))</f>
        <v>201</v>
      </c>
      <c r="R582" s="133">
        <f>IF(INDEX('#建筑消耗和buff配置索引'!L:L,MATCH($F582,'#建筑消耗和buff配置索引'!$M:$M,0))=0,"",INDEX('#建筑消耗和buff配置索引'!L:L,MATCH($F582,'#建筑消耗和buff配置索引'!$M:$M,0)))</f>
        <v>6</v>
      </c>
      <c r="S582" s="140">
        <f>IF(INDEX('#建筑消耗和buff配置索引'!C:C,MATCH(F582,'#建筑消耗和buff配置索引'!M:M,0))=0,1,INDEX('#建筑消耗和buff配置索引'!C:C,MATCH(F582,'#建筑消耗和buff配置索引'!M:M,0)))</f>
        <v>1</v>
      </c>
      <c r="T582" s="140">
        <v>0</v>
      </c>
      <c r="U582" s="140">
        <v>0</v>
      </c>
      <c r="V582" s="133" t="str">
        <f>IF(E582=1,IF(INDEX('#建筑消耗和buff配置索引'!BY:BY,MATCH(D582,'#建筑消耗和buff配置索引'!A:A,0))=0,"",INDEX('#建筑消耗和buff配置索引'!BY:BY,MATCH(D582,'#建筑消耗和buff配置索引'!A:A,0))),"")</f>
        <v>1:1:1:1</v>
      </c>
      <c r="W582" s="133" t="str">
        <f>IF(E582=1,IF(INDEX('#建筑消耗和buff配置索引'!BZ:BZ,MATCH(D582,'#建筑消耗和buff配置索引'!A:A,0))=0,"",INDEX('#建筑消耗和buff配置索引'!BZ:BZ,MATCH(D582,'#建筑消耗和buff配置索引'!A:A,0))),"")</f>
        <v>TID_Buff_BuilDetail_1261</v>
      </c>
      <c r="AA582" s="140">
        <f>INDEX('#建筑消耗和buff配置索引'!AO:AO,MATCH($F582,'#建筑消耗和buff配置索引'!$M:$M,0))</f>
        <v>3</v>
      </c>
      <c r="AB582" s="133">
        <f>IF(INDEX('#建筑消耗和buff配置索引'!AR:AR,MATCH($F582,'#建筑消耗和buff配置索引'!$M:$M,0))=0,"",INDEX('#建筑消耗和buff配置索引'!AR:AR,MATCH($F582,'#建筑消耗和buff配置索引'!$M:$M,0)))</f>
        <v>1261</v>
      </c>
      <c r="AC582" s="133">
        <f>IF(AB582="","",INDEX('#建筑消耗和buff配置索引'!AS:AS,MATCH($F582,'#建筑消耗和buff配置索引'!$M:$M,0)))</f>
        <v>20000</v>
      </c>
      <c r="AD582" s="133"/>
      <c r="AE582" s="133"/>
      <c r="AF582" s="133" t="str">
        <f>IF(INDEX('#建筑消耗和buff配置索引'!AW:AW,MATCH($F582,'#建筑消耗和buff配置索引'!$M:$M,0))=0,"",INDEX('#建筑消耗和buff配置索引'!AW:AW,MATCH($F582,'#建筑消耗和buff配置索引'!$M:$M,0)))</f>
        <v/>
      </c>
      <c r="AG582" s="133" t="str">
        <f>IF(AF582="","",INDEX('#建筑消耗和buff配置索引'!AX:AX,MATCH($F582,'#建筑消耗和buff配置索引'!$M:$M,0)))</f>
        <v/>
      </c>
      <c r="AH582" s="133"/>
      <c r="AI582" s="133"/>
      <c r="AJ582" s="133" t="str">
        <f>IF(INDEX('#建筑消耗和buff配置索引'!BB:BB,MATCH($F582,'#建筑消耗和buff配置索引'!$M:$M,0))=0,"",INDEX('#建筑消耗和buff配置索引'!BB:BB,MATCH($F582,'#建筑消耗和buff配置索引'!$M:$M,0)))</f>
        <v/>
      </c>
      <c r="AK582" s="133" t="str">
        <f>IF(AJ582="","",INDEX('#建筑消耗和buff配置索引'!BC:BC,MATCH($F582,'#建筑消耗和buff配置索引'!$M:$M,0)))</f>
        <v/>
      </c>
      <c r="AL582" s="133"/>
      <c r="AM582" s="133"/>
      <c r="AN582" s="133" t="str">
        <f>IF(INDEX('#建筑消耗和buff配置索引'!BG:BG,MATCH($F582,'#建筑消耗和buff配置索引'!$M:$M,0))=0,"",INDEX('#建筑消耗和buff配置索引'!BG:BG,MATCH($F582,'#建筑消耗和buff配置索引'!$M:$M,0)))</f>
        <v/>
      </c>
      <c r="AO582" s="133" t="str">
        <f>IF(AN582="","",INDEX('#建筑消耗和buff配置索引'!BH:BH,MATCH($F582,'#建筑消耗和buff配置索引'!$M:$M,0)))</f>
        <v/>
      </c>
      <c r="AP582" s="133"/>
      <c r="AQ582" s="133"/>
      <c r="AR582" s="133" t="str">
        <f>IF(INDEX('#建筑消耗和buff配置索引'!BK:BK,MATCH($F582,'#建筑消耗和buff配置索引'!$M:$M,0))=0,"",INDEX('#建筑消耗和buff配置索引'!BK:BK,MATCH($F582,'#建筑消耗和buff配置索引'!$M:$M,0)))</f>
        <v/>
      </c>
      <c r="AS582" s="133" t="str">
        <f>IF(AR582="","",INDEX('#建筑消耗和buff配置索引'!BL:BL,MATCH($F582,'#建筑消耗和buff配置索引'!$M:$M,0)))</f>
        <v/>
      </c>
      <c r="AT582" s="133"/>
      <c r="AU582" s="133"/>
      <c r="AV582" s="133" t="str">
        <f>IF(INDEX('#建筑消耗和buff配置索引'!BO:BO,MATCH($F582,'#建筑消耗和buff配置索引'!$M:$M,0))=0,"",INDEX('#建筑消耗和buff配置索引'!BO:BO,MATCH($F582,'#建筑消耗和buff配置索引'!$M:$M,0)))</f>
        <v/>
      </c>
      <c r="AW582" s="133" t="str">
        <f>IF(AV582="","",INDEX('#建筑消耗和buff配置索引'!BP:BP,MATCH($F582,'#建筑消耗和buff配置索引'!$M:$M,0)))</f>
        <v/>
      </c>
      <c r="AX582" s="133"/>
      <c r="AY582" s="133"/>
      <c r="AZ582" s="133" t="str">
        <f>IF(INDEX('#建筑消耗和buff配置索引'!BS:BS,MATCH($F582,'#建筑消耗和buff配置索引'!$M:$M,0))=0,"",INDEX('#建筑消耗和buff配置索引'!BS:BS,MATCH($F582,'#建筑消耗和buff配置索引'!$M:$M,0)))</f>
        <v/>
      </c>
      <c r="BA582" s="133" t="str">
        <f>IF(AZ582="","",INDEX('#建筑消耗和buff配置索引'!BT:BT,MATCH($F582,'#建筑消耗和buff配置索引'!$M:$M,0)))</f>
        <v/>
      </c>
      <c r="BB582" s="133"/>
      <c r="BC582" s="133"/>
      <c r="BD582" s="133" t="str">
        <f>IF(INDEX('#建筑消耗和buff配置索引'!BW:BW,MATCH($F582,'#建筑消耗和buff配置索引'!$M:$M,0))=0,"",INDEX('#建筑消耗和buff配置索引'!BW:BW,MATCH($F582,'#建筑消耗和buff配置索引'!$M:$M,0)))</f>
        <v/>
      </c>
      <c r="BE582" s="133" t="str">
        <f>IF(BD582="","",INDEX('#建筑消耗和buff配置索引'!BX:BX,MATCH($F582,'#建筑消耗和buff配置索引'!$M:$M,0)))</f>
        <v/>
      </c>
      <c r="BI582" s="140">
        <v>23</v>
      </c>
      <c r="BN582" s="140">
        <v>3</v>
      </c>
    </row>
    <row r="583" spans="1:66">
      <c r="A583" s="140">
        <v>4000002</v>
      </c>
      <c r="B583" s="140">
        <v>585</v>
      </c>
      <c r="C583" s="140">
        <v>400</v>
      </c>
      <c r="D583" s="140" t="s">
        <v>1014</v>
      </c>
      <c r="E583" s="140">
        <v>2</v>
      </c>
      <c r="F583" s="133" t="str">
        <f t="shared" si="10"/>
        <v>仓库2</v>
      </c>
      <c r="I583" s="140">
        <v>0</v>
      </c>
      <c r="J583" s="150">
        <f>INDEX('#建筑消耗和buff配置索引'!AH:AH,MATCH($F583,'#建筑消耗和buff配置索引'!$M:$M,0))</f>
        <v>54</v>
      </c>
      <c r="K583" s="142">
        <f>INDEX('#建筑消耗和buff配置索引'!AA:AA,MATCH($F583,'#建筑消耗和buff配置索引'!$M:$M,0))</f>
        <v>1500</v>
      </c>
      <c r="L583" s="142">
        <f>INDEX('#建筑消耗和buff配置索引'!AB:AB,MATCH($F583,'#建筑消耗和buff配置索引'!$M:$M,0))</f>
        <v>1500</v>
      </c>
      <c r="M583" s="142">
        <f>INDEX('#建筑消耗和buff配置索引'!AC:AC,MATCH($F583,'#建筑消耗和buff配置索引'!$M:$M,0))</f>
        <v>0</v>
      </c>
      <c r="N583" s="142">
        <f>INDEX('#建筑消耗和buff配置索引'!AD:AD,MATCH($F583,'#建筑消耗和buff配置索引'!$M:$M,0))</f>
        <v>0</v>
      </c>
      <c r="O583" s="150" t="str">
        <f>IF(INDEX('#建筑消耗和buff配置索引'!T:T,MATCH($F583,'#建筑消耗和buff配置索引'!$M:$M,0))=0,"",INDEX('#建筑消耗和buff配置索引'!T:T,MATCH($F583,'#建筑消耗和buff配置索引'!$M:$M,0)))</f>
        <v/>
      </c>
      <c r="P583" s="133" t="str">
        <f>IF(INDEX('#建筑消耗和buff配置索引'!U:U,MATCH($F583,'#建筑消耗和buff配置索引'!$M:$M,0))=0,"",INDEX('#建筑消耗和buff配置索引'!U:U,MATCH($F583,'#建筑消耗和buff配置索引'!$M:$M,0)))</f>
        <v/>
      </c>
      <c r="Q583" s="133" t="str">
        <f>IF(INDEX('#建筑消耗和buff配置索引'!K:K,MATCH($F583,'#建筑消耗和buff配置索引'!$M:$M,0))=0,"",INDEX('#建筑消耗和buff配置索引'!K:K,MATCH($F583,'#建筑消耗和buff配置索引'!$M:$M,0)))</f>
        <v>201</v>
      </c>
      <c r="R583" s="133">
        <f>IF(INDEX('#建筑消耗和buff配置索引'!L:L,MATCH($F583,'#建筑消耗和buff配置索引'!$M:$M,0))=0,"",INDEX('#建筑消耗和buff配置索引'!L:L,MATCH($F583,'#建筑消耗和buff配置索引'!$M:$M,0)))</f>
        <v>6</v>
      </c>
      <c r="S583" s="140">
        <f>IF(INDEX('#建筑消耗和buff配置索引'!C:C,MATCH(F583,'#建筑消耗和buff配置索引'!M:M,0))=0,1,INDEX('#建筑消耗和buff配置索引'!C:C,MATCH(F583,'#建筑消耗和buff配置索引'!M:M,0)))</f>
        <v>1</v>
      </c>
      <c r="T583" s="140">
        <v>0</v>
      </c>
      <c r="U583" s="140">
        <v>0</v>
      </c>
      <c r="V583" s="133" t="str">
        <f>IF(E583=1,IF(INDEX('#建筑消耗和buff配置索引'!BY:BY,MATCH(D583,'#建筑消耗和buff配置索引'!A:A,0))=0,"",INDEX('#建筑消耗和buff配置索引'!BY:BY,MATCH(D583,'#建筑消耗和buff配置索引'!A:A,0))),"")</f>
        <v/>
      </c>
      <c r="W583" s="133" t="str">
        <f>IF(E583=1,IF(INDEX('#建筑消耗和buff配置索引'!BZ:BZ,MATCH(D583,'#建筑消耗和buff配置索引'!A:A,0))=0,"",INDEX('#建筑消耗和buff配置索引'!BZ:BZ,MATCH(D583,'#建筑消耗和buff配置索引'!A:A,0))),"")</f>
        <v/>
      </c>
      <c r="AA583" s="140">
        <f>INDEX('#建筑消耗和buff配置索引'!AO:AO,MATCH($F583,'#建筑消耗和buff配置索引'!$M:$M,0))</f>
        <v>9</v>
      </c>
      <c r="AB583" s="133">
        <f>IF(INDEX('#建筑消耗和buff配置索引'!AR:AR,MATCH($F583,'#建筑消耗和buff配置索引'!$M:$M,0))=0,"",INDEX('#建筑消耗和buff配置索引'!AR:AR,MATCH($F583,'#建筑消耗和buff配置索引'!$M:$M,0)))</f>
        <v>1261</v>
      </c>
      <c r="AC583" s="133">
        <f>IF(AB583="","",INDEX('#建筑消耗和buff配置索引'!AS:AS,MATCH($F583,'#建筑消耗和buff配置索引'!$M:$M,0)))</f>
        <v>40000</v>
      </c>
      <c r="AD583" s="133"/>
      <c r="AE583" s="133"/>
      <c r="AF583" s="133" t="str">
        <f>IF(INDEX('#建筑消耗和buff配置索引'!AW:AW,MATCH($F583,'#建筑消耗和buff配置索引'!$M:$M,0))=0,"",INDEX('#建筑消耗和buff配置索引'!AW:AW,MATCH($F583,'#建筑消耗和buff配置索引'!$M:$M,0)))</f>
        <v/>
      </c>
      <c r="AG583" s="133" t="str">
        <f>IF(AF583="","",INDEX('#建筑消耗和buff配置索引'!AX:AX,MATCH($F583,'#建筑消耗和buff配置索引'!$M:$M,0)))</f>
        <v/>
      </c>
      <c r="AH583" s="133"/>
      <c r="AI583" s="133"/>
      <c r="AJ583" s="133" t="str">
        <f>IF(INDEX('#建筑消耗和buff配置索引'!BB:BB,MATCH($F583,'#建筑消耗和buff配置索引'!$M:$M,0))=0,"",INDEX('#建筑消耗和buff配置索引'!BB:BB,MATCH($F583,'#建筑消耗和buff配置索引'!$M:$M,0)))</f>
        <v/>
      </c>
      <c r="AK583" s="133" t="str">
        <f>IF(AJ583="","",INDEX('#建筑消耗和buff配置索引'!BC:BC,MATCH($F583,'#建筑消耗和buff配置索引'!$M:$M,0)))</f>
        <v/>
      </c>
      <c r="AL583" s="133"/>
      <c r="AM583" s="133"/>
      <c r="AN583" s="133" t="str">
        <f>IF(INDEX('#建筑消耗和buff配置索引'!BG:BG,MATCH($F583,'#建筑消耗和buff配置索引'!$M:$M,0))=0,"",INDEX('#建筑消耗和buff配置索引'!BG:BG,MATCH($F583,'#建筑消耗和buff配置索引'!$M:$M,0)))</f>
        <v/>
      </c>
      <c r="AO583" s="133" t="str">
        <f>IF(AN583="","",INDEX('#建筑消耗和buff配置索引'!BH:BH,MATCH($F583,'#建筑消耗和buff配置索引'!$M:$M,0)))</f>
        <v/>
      </c>
      <c r="AP583" s="133"/>
      <c r="AQ583" s="133"/>
      <c r="AR583" s="133" t="str">
        <f>IF(INDEX('#建筑消耗和buff配置索引'!BK:BK,MATCH($F583,'#建筑消耗和buff配置索引'!$M:$M,0))=0,"",INDEX('#建筑消耗和buff配置索引'!BK:BK,MATCH($F583,'#建筑消耗和buff配置索引'!$M:$M,0)))</f>
        <v/>
      </c>
      <c r="AS583" s="133" t="str">
        <f>IF(AR583="","",INDEX('#建筑消耗和buff配置索引'!BL:BL,MATCH($F583,'#建筑消耗和buff配置索引'!$M:$M,0)))</f>
        <v/>
      </c>
      <c r="AT583" s="133"/>
      <c r="AU583" s="133"/>
      <c r="AV583" s="133" t="str">
        <f>IF(INDEX('#建筑消耗和buff配置索引'!BO:BO,MATCH($F583,'#建筑消耗和buff配置索引'!$M:$M,0))=0,"",INDEX('#建筑消耗和buff配置索引'!BO:BO,MATCH($F583,'#建筑消耗和buff配置索引'!$M:$M,0)))</f>
        <v/>
      </c>
      <c r="AW583" s="133" t="str">
        <f>IF(AV583="","",INDEX('#建筑消耗和buff配置索引'!BP:BP,MATCH($F583,'#建筑消耗和buff配置索引'!$M:$M,0)))</f>
        <v/>
      </c>
      <c r="AX583" s="133"/>
      <c r="AY583" s="133"/>
      <c r="AZ583" s="133" t="str">
        <f>IF(INDEX('#建筑消耗和buff配置索引'!BS:BS,MATCH($F583,'#建筑消耗和buff配置索引'!$M:$M,0))=0,"",INDEX('#建筑消耗和buff配置索引'!BS:BS,MATCH($F583,'#建筑消耗和buff配置索引'!$M:$M,0)))</f>
        <v/>
      </c>
      <c r="BA583" s="133" t="str">
        <f>IF(AZ583="","",INDEX('#建筑消耗和buff配置索引'!BT:BT,MATCH($F583,'#建筑消耗和buff配置索引'!$M:$M,0)))</f>
        <v/>
      </c>
      <c r="BB583" s="133"/>
      <c r="BC583" s="133"/>
      <c r="BD583" s="133" t="str">
        <f>IF(INDEX('#建筑消耗和buff配置索引'!BW:BW,MATCH($F583,'#建筑消耗和buff配置索引'!$M:$M,0))=0,"",INDEX('#建筑消耗和buff配置索引'!BW:BW,MATCH($F583,'#建筑消耗和buff配置索引'!$M:$M,0)))</f>
        <v/>
      </c>
      <c r="BE583" s="133" t="str">
        <f>IF(BD583="","",INDEX('#建筑消耗和buff配置索引'!BX:BX,MATCH($F583,'#建筑消耗和buff配置索引'!$M:$M,0)))</f>
        <v/>
      </c>
      <c r="BI583" s="140">
        <v>23</v>
      </c>
    </row>
    <row r="584" spans="1:66">
      <c r="A584" s="140">
        <v>4000003</v>
      </c>
      <c r="B584" s="140">
        <v>586</v>
      </c>
      <c r="C584" s="140">
        <v>400</v>
      </c>
      <c r="D584" s="140" t="s">
        <v>1014</v>
      </c>
      <c r="E584" s="140">
        <v>3</v>
      </c>
      <c r="F584" s="133" t="str">
        <f t="shared" si="10"/>
        <v>仓库3</v>
      </c>
      <c r="I584" s="140">
        <v>0</v>
      </c>
      <c r="J584" s="150">
        <f>INDEX('#建筑消耗和buff配置索引'!AH:AH,MATCH($F584,'#建筑消耗和buff配置索引'!$M:$M,0))</f>
        <v>108</v>
      </c>
      <c r="K584" s="142">
        <f>INDEX('#建筑消耗和buff配置索引'!AA:AA,MATCH($F584,'#建筑消耗和buff配置索引'!$M:$M,0))</f>
        <v>3000</v>
      </c>
      <c r="L584" s="142">
        <f>INDEX('#建筑消耗和buff配置索引'!AB:AB,MATCH($F584,'#建筑消耗和buff配置索引'!$M:$M,0))</f>
        <v>3000</v>
      </c>
      <c r="M584" s="142">
        <f>INDEX('#建筑消耗和buff配置索引'!AC:AC,MATCH($F584,'#建筑消耗和buff配置索引'!$M:$M,0))</f>
        <v>0</v>
      </c>
      <c r="N584" s="142">
        <f>INDEX('#建筑消耗和buff配置索引'!AD:AD,MATCH($F584,'#建筑消耗和buff配置索引'!$M:$M,0))</f>
        <v>0</v>
      </c>
      <c r="O584" s="150" t="str">
        <f>IF(INDEX('#建筑消耗和buff配置索引'!T:T,MATCH($F584,'#建筑消耗和buff配置索引'!$M:$M,0))=0,"",INDEX('#建筑消耗和buff配置索引'!T:T,MATCH($F584,'#建筑消耗和buff配置索引'!$M:$M,0)))</f>
        <v/>
      </c>
      <c r="P584" s="133" t="str">
        <f>IF(INDEX('#建筑消耗和buff配置索引'!U:U,MATCH($F584,'#建筑消耗和buff配置索引'!$M:$M,0))=0,"",INDEX('#建筑消耗和buff配置索引'!U:U,MATCH($F584,'#建筑消耗和buff配置索引'!$M:$M,0)))</f>
        <v/>
      </c>
      <c r="Q584" s="133" t="str">
        <f>IF(INDEX('#建筑消耗和buff配置索引'!K:K,MATCH($F584,'#建筑消耗和buff配置索引'!$M:$M,0))=0,"",INDEX('#建筑消耗和buff配置索引'!K:K,MATCH($F584,'#建筑消耗和buff配置索引'!$M:$M,0)))</f>
        <v>201</v>
      </c>
      <c r="R584" s="133">
        <f>IF(INDEX('#建筑消耗和buff配置索引'!L:L,MATCH($F584,'#建筑消耗和buff配置索引'!$M:$M,0))=0,"",INDEX('#建筑消耗和buff配置索引'!L:L,MATCH($F584,'#建筑消耗和buff配置索引'!$M:$M,0)))</f>
        <v>6</v>
      </c>
      <c r="S584" s="140">
        <f>IF(INDEX('#建筑消耗和buff配置索引'!C:C,MATCH(F584,'#建筑消耗和buff配置索引'!M:M,0))=0,1,INDEX('#建筑消耗和buff配置索引'!C:C,MATCH(F584,'#建筑消耗和buff配置索引'!M:M,0)))</f>
        <v>1</v>
      </c>
      <c r="T584" s="140">
        <v>0</v>
      </c>
      <c r="U584" s="140">
        <v>0</v>
      </c>
      <c r="V584" s="133" t="str">
        <f>IF(E584=1,IF(INDEX('#建筑消耗和buff配置索引'!BY:BY,MATCH(D584,'#建筑消耗和buff配置索引'!A:A,0))=0,"",INDEX('#建筑消耗和buff配置索引'!BY:BY,MATCH(D584,'#建筑消耗和buff配置索引'!A:A,0))),"")</f>
        <v/>
      </c>
      <c r="W584" s="133" t="str">
        <f>IF(E584=1,IF(INDEX('#建筑消耗和buff配置索引'!BZ:BZ,MATCH(D584,'#建筑消耗和buff配置索引'!A:A,0))=0,"",INDEX('#建筑消耗和buff配置索引'!BZ:BZ,MATCH(D584,'#建筑消耗和buff配置索引'!A:A,0))),"")</f>
        <v/>
      </c>
      <c r="AA584" s="140">
        <f>INDEX('#建筑消耗和buff配置索引'!AO:AO,MATCH($F584,'#建筑消耗和buff配置索引'!$M:$M,0))</f>
        <v>21</v>
      </c>
      <c r="AB584" s="133">
        <f>IF(INDEX('#建筑消耗和buff配置索引'!AR:AR,MATCH($F584,'#建筑消耗和buff配置索引'!$M:$M,0))=0,"",INDEX('#建筑消耗和buff配置索引'!AR:AR,MATCH($F584,'#建筑消耗和buff配置索引'!$M:$M,0)))</f>
        <v>1261</v>
      </c>
      <c r="AC584" s="133">
        <f>IF(AB584="","",INDEX('#建筑消耗和buff配置索引'!AS:AS,MATCH($F584,'#建筑消耗和buff配置索引'!$M:$M,0)))</f>
        <v>60000</v>
      </c>
      <c r="AD584" s="133"/>
      <c r="AE584" s="133"/>
      <c r="AF584" s="133" t="str">
        <f>IF(INDEX('#建筑消耗和buff配置索引'!AW:AW,MATCH($F584,'#建筑消耗和buff配置索引'!$M:$M,0))=0,"",INDEX('#建筑消耗和buff配置索引'!AW:AW,MATCH($F584,'#建筑消耗和buff配置索引'!$M:$M,0)))</f>
        <v/>
      </c>
      <c r="AG584" s="133" t="str">
        <f>IF(AF584="","",INDEX('#建筑消耗和buff配置索引'!AX:AX,MATCH($F584,'#建筑消耗和buff配置索引'!$M:$M,0)))</f>
        <v/>
      </c>
      <c r="AH584" s="133"/>
      <c r="AI584" s="133"/>
      <c r="AJ584" s="133" t="str">
        <f>IF(INDEX('#建筑消耗和buff配置索引'!BB:BB,MATCH($F584,'#建筑消耗和buff配置索引'!$M:$M,0))=0,"",INDEX('#建筑消耗和buff配置索引'!BB:BB,MATCH($F584,'#建筑消耗和buff配置索引'!$M:$M,0)))</f>
        <v/>
      </c>
      <c r="AK584" s="133" t="str">
        <f>IF(AJ584="","",INDEX('#建筑消耗和buff配置索引'!BC:BC,MATCH($F584,'#建筑消耗和buff配置索引'!$M:$M,0)))</f>
        <v/>
      </c>
      <c r="AL584" s="133"/>
      <c r="AM584" s="133"/>
      <c r="AN584" s="133" t="str">
        <f>IF(INDEX('#建筑消耗和buff配置索引'!BG:BG,MATCH($F584,'#建筑消耗和buff配置索引'!$M:$M,0))=0,"",INDEX('#建筑消耗和buff配置索引'!BG:BG,MATCH($F584,'#建筑消耗和buff配置索引'!$M:$M,0)))</f>
        <v/>
      </c>
      <c r="AO584" s="133" t="str">
        <f>IF(AN584="","",INDEX('#建筑消耗和buff配置索引'!BH:BH,MATCH($F584,'#建筑消耗和buff配置索引'!$M:$M,0)))</f>
        <v/>
      </c>
      <c r="AP584" s="133"/>
      <c r="AQ584" s="133"/>
      <c r="AR584" s="133" t="str">
        <f>IF(INDEX('#建筑消耗和buff配置索引'!BK:BK,MATCH($F584,'#建筑消耗和buff配置索引'!$M:$M,0))=0,"",INDEX('#建筑消耗和buff配置索引'!BK:BK,MATCH($F584,'#建筑消耗和buff配置索引'!$M:$M,0)))</f>
        <v/>
      </c>
      <c r="AS584" s="133" t="str">
        <f>IF(AR584="","",INDEX('#建筑消耗和buff配置索引'!BL:BL,MATCH($F584,'#建筑消耗和buff配置索引'!$M:$M,0)))</f>
        <v/>
      </c>
      <c r="AT584" s="133"/>
      <c r="AU584" s="133"/>
      <c r="AV584" s="133" t="str">
        <f>IF(INDEX('#建筑消耗和buff配置索引'!BO:BO,MATCH($F584,'#建筑消耗和buff配置索引'!$M:$M,0))=0,"",INDEX('#建筑消耗和buff配置索引'!BO:BO,MATCH($F584,'#建筑消耗和buff配置索引'!$M:$M,0)))</f>
        <v/>
      </c>
      <c r="AW584" s="133" t="str">
        <f>IF(AV584="","",INDEX('#建筑消耗和buff配置索引'!BP:BP,MATCH($F584,'#建筑消耗和buff配置索引'!$M:$M,0)))</f>
        <v/>
      </c>
      <c r="AX584" s="133"/>
      <c r="AY584" s="133"/>
      <c r="AZ584" s="133" t="str">
        <f>IF(INDEX('#建筑消耗和buff配置索引'!BS:BS,MATCH($F584,'#建筑消耗和buff配置索引'!$M:$M,0))=0,"",INDEX('#建筑消耗和buff配置索引'!BS:BS,MATCH($F584,'#建筑消耗和buff配置索引'!$M:$M,0)))</f>
        <v/>
      </c>
      <c r="BA584" s="133" t="str">
        <f>IF(AZ584="","",INDEX('#建筑消耗和buff配置索引'!BT:BT,MATCH($F584,'#建筑消耗和buff配置索引'!$M:$M,0)))</f>
        <v/>
      </c>
      <c r="BB584" s="133"/>
      <c r="BC584" s="133"/>
      <c r="BD584" s="133" t="str">
        <f>IF(INDEX('#建筑消耗和buff配置索引'!BW:BW,MATCH($F584,'#建筑消耗和buff配置索引'!$M:$M,0))=0,"",INDEX('#建筑消耗和buff配置索引'!BW:BW,MATCH($F584,'#建筑消耗和buff配置索引'!$M:$M,0)))</f>
        <v/>
      </c>
      <c r="BE584" s="133" t="str">
        <f>IF(BD584="","",INDEX('#建筑消耗和buff配置索引'!BX:BX,MATCH($F584,'#建筑消耗和buff配置索引'!$M:$M,0)))</f>
        <v/>
      </c>
      <c r="BI584" s="140">
        <v>23</v>
      </c>
    </row>
    <row r="585" spans="1:66">
      <c r="A585" s="140">
        <v>4000004</v>
      </c>
      <c r="B585" s="140">
        <v>587</v>
      </c>
      <c r="C585" s="140">
        <v>400</v>
      </c>
      <c r="D585" s="140" t="s">
        <v>1014</v>
      </c>
      <c r="E585" s="140">
        <v>4</v>
      </c>
      <c r="F585" s="133" t="str">
        <f t="shared" si="10"/>
        <v>仓库4</v>
      </c>
      <c r="I585" s="140">
        <v>0</v>
      </c>
      <c r="J585" s="150">
        <f>INDEX('#建筑消耗和buff配置索引'!AH:AH,MATCH($F585,'#建筑消耗和buff配置索引'!$M:$M,0))</f>
        <v>216</v>
      </c>
      <c r="K585" s="142">
        <f>INDEX('#建筑消耗和buff配置索引'!AA:AA,MATCH($F585,'#建筑消耗和buff配置索引'!$M:$M,0))</f>
        <v>6000</v>
      </c>
      <c r="L585" s="142">
        <f>INDEX('#建筑消耗和buff配置索引'!AB:AB,MATCH($F585,'#建筑消耗和buff配置索引'!$M:$M,0))</f>
        <v>6000</v>
      </c>
      <c r="M585" s="142">
        <f>INDEX('#建筑消耗和buff配置索引'!AC:AC,MATCH($F585,'#建筑消耗和buff配置索引'!$M:$M,0))</f>
        <v>0</v>
      </c>
      <c r="N585" s="142">
        <f>INDEX('#建筑消耗和buff配置索引'!AD:AD,MATCH($F585,'#建筑消耗和buff配置索引'!$M:$M,0))</f>
        <v>0</v>
      </c>
      <c r="O585" s="150" t="str">
        <f>IF(INDEX('#建筑消耗和buff配置索引'!T:T,MATCH($F585,'#建筑消耗和buff配置索引'!$M:$M,0))=0,"",INDEX('#建筑消耗和buff配置索引'!T:T,MATCH($F585,'#建筑消耗和buff配置索引'!$M:$M,0)))</f>
        <v/>
      </c>
      <c r="P585" s="133" t="str">
        <f>IF(INDEX('#建筑消耗和buff配置索引'!U:U,MATCH($F585,'#建筑消耗和buff配置索引'!$M:$M,0))=0,"",INDEX('#建筑消耗和buff配置索引'!U:U,MATCH($F585,'#建筑消耗和buff配置索引'!$M:$M,0)))</f>
        <v/>
      </c>
      <c r="Q585" s="133" t="str">
        <f>IF(INDEX('#建筑消耗和buff配置索引'!K:K,MATCH($F585,'#建筑消耗和buff配置索引'!$M:$M,0))=0,"",INDEX('#建筑消耗和buff配置索引'!K:K,MATCH($F585,'#建筑消耗和buff配置索引'!$M:$M,0)))</f>
        <v>201</v>
      </c>
      <c r="R585" s="133">
        <f>IF(INDEX('#建筑消耗和buff配置索引'!L:L,MATCH($F585,'#建筑消耗和buff配置索引'!$M:$M,0))=0,"",INDEX('#建筑消耗和buff配置索引'!L:L,MATCH($F585,'#建筑消耗和buff配置索引'!$M:$M,0)))</f>
        <v>6</v>
      </c>
      <c r="S585" s="140">
        <f>IF(INDEX('#建筑消耗和buff配置索引'!C:C,MATCH(F585,'#建筑消耗和buff配置索引'!M:M,0))=0,1,INDEX('#建筑消耗和buff配置索引'!C:C,MATCH(F585,'#建筑消耗和buff配置索引'!M:M,0)))</f>
        <v>1</v>
      </c>
      <c r="T585" s="140">
        <v>0</v>
      </c>
      <c r="U585" s="140">
        <v>0</v>
      </c>
      <c r="V585" s="133" t="str">
        <f>IF(E585=1,IF(INDEX('#建筑消耗和buff配置索引'!BY:BY,MATCH(D585,'#建筑消耗和buff配置索引'!A:A,0))=0,"",INDEX('#建筑消耗和buff配置索引'!BY:BY,MATCH(D585,'#建筑消耗和buff配置索引'!A:A,0))),"")</f>
        <v/>
      </c>
      <c r="W585" s="133" t="str">
        <f>IF(E585=1,IF(INDEX('#建筑消耗和buff配置索引'!BZ:BZ,MATCH(D585,'#建筑消耗和buff配置索引'!A:A,0))=0,"",INDEX('#建筑消耗和buff配置索引'!BZ:BZ,MATCH(D585,'#建筑消耗和buff配置索引'!A:A,0))),"")</f>
        <v/>
      </c>
      <c r="AA585" s="140">
        <f>INDEX('#建筑消耗和buff配置索引'!AO:AO,MATCH($F585,'#建筑消耗和buff配置索引'!$M:$M,0))</f>
        <v>45</v>
      </c>
      <c r="AB585" s="133">
        <f>IF(INDEX('#建筑消耗和buff配置索引'!AR:AR,MATCH($F585,'#建筑消耗和buff配置索引'!$M:$M,0))=0,"",INDEX('#建筑消耗和buff配置索引'!AR:AR,MATCH($F585,'#建筑消耗和buff配置索引'!$M:$M,0)))</f>
        <v>1261</v>
      </c>
      <c r="AC585" s="133">
        <f>IF(AB585="","",INDEX('#建筑消耗和buff配置索引'!AS:AS,MATCH($F585,'#建筑消耗和buff配置索引'!$M:$M,0)))</f>
        <v>80000</v>
      </c>
      <c r="AF585" s="140" t="str">
        <f>IF(INDEX('#建筑消耗和buff配置索引'!AW:AW,MATCH($F585,'#建筑消耗和buff配置索引'!$M:$M,0))=0,"",INDEX('#建筑消耗和buff配置索引'!AW:AW,MATCH($F585,'#建筑消耗和buff配置索引'!$M:$M,0)))</f>
        <v/>
      </c>
      <c r="AG585" s="140" t="str">
        <f>IF(AF585="","",INDEX('#建筑消耗和buff配置索引'!AX:AX,MATCH($F585,'#建筑消耗和buff配置索引'!$M:$M,0)))</f>
        <v/>
      </c>
      <c r="AJ585" s="133" t="str">
        <f>IF(INDEX('#建筑消耗和buff配置索引'!BB:BB,MATCH($F585,'#建筑消耗和buff配置索引'!$M:$M,0))=0,"",INDEX('#建筑消耗和buff配置索引'!BB:BB,MATCH($F585,'#建筑消耗和buff配置索引'!$M:$M,0)))</f>
        <v/>
      </c>
      <c r="AK585" s="133" t="str">
        <f>IF(AJ585="","",INDEX('#建筑消耗和buff配置索引'!BC:BC,MATCH($F585,'#建筑消耗和buff配置索引'!$M:$M,0)))</f>
        <v/>
      </c>
      <c r="AL585" s="133"/>
      <c r="AM585" s="133"/>
      <c r="AN585" s="133" t="str">
        <f>IF(INDEX('#建筑消耗和buff配置索引'!BG:BG,MATCH($F585,'#建筑消耗和buff配置索引'!$M:$M,0))=0,"",INDEX('#建筑消耗和buff配置索引'!BG:BG,MATCH($F585,'#建筑消耗和buff配置索引'!$M:$M,0)))</f>
        <v/>
      </c>
      <c r="AO585" s="133" t="str">
        <f>IF(AN585="","",INDEX('#建筑消耗和buff配置索引'!BH:BH,MATCH($F585,'#建筑消耗和buff配置索引'!$M:$M,0)))</f>
        <v/>
      </c>
      <c r="AP585" s="133"/>
      <c r="AQ585" s="133"/>
      <c r="AR585" s="133" t="str">
        <f>IF(INDEX('#建筑消耗和buff配置索引'!BK:BK,MATCH($F585,'#建筑消耗和buff配置索引'!$M:$M,0))=0,"",INDEX('#建筑消耗和buff配置索引'!BK:BK,MATCH($F585,'#建筑消耗和buff配置索引'!$M:$M,0)))</f>
        <v/>
      </c>
      <c r="AS585" s="133" t="str">
        <f>IF(AR585="","",INDEX('#建筑消耗和buff配置索引'!BL:BL,MATCH($F585,'#建筑消耗和buff配置索引'!$M:$M,0)))</f>
        <v/>
      </c>
      <c r="AT585" s="133"/>
      <c r="AU585" s="133"/>
      <c r="AV585" s="133" t="str">
        <f>IF(INDEX('#建筑消耗和buff配置索引'!BO:BO,MATCH($F585,'#建筑消耗和buff配置索引'!$M:$M,0))=0,"",INDEX('#建筑消耗和buff配置索引'!BO:BO,MATCH($F585,'#建筑消耗和buff配置索引'!$M:$M,0)))</f>
        <v/>
      </c>
      <c r="AW585" s="133" t="str">
        <f>IF(AV585="","",INDEX('#建筑消耗和buff配置索引'!BP:BP,MATCH($F585,'#建筑消耗和buff配置索引'!$M:$M,0)))</f>
        <v/>
      </c>
      <c r="AX585" s="133"/>
      <c r="AY585" s="133"/>
      <c r="AZ585" s="133" t="str">
        <f>IF(INDEX('#建筑消耗和buff配置索引'!BS:BS,MATCH($F585,'#建筑消耗和buff配置索引'!$M:$M,0))=0,"",INDEX('#建筑消耗和buff配置索引'!BS:BS,MATCH($F585,'#建筑消耗和buff配置索引'!$M:$M,0)))</f>
        <v/>
      </c>
      <c r="BA585" s="133" t="str">
        <f>IF(AZ585="","",INDEX('#建筑消耗和buff配置索引'!BT:BT,MATCH($F585,'#建筑消耗和buff配置索引'!$M:$M,0)))</f>
        <v/>
      </c>
      <c r="BB585" s="133"/>
      <c r="BC585" s="133"/>
      <c r="BD585" s="133" t="str">
        <f>IF(INDEX('#建筑消耗和buff配置索引'!BW:BW,MATCH($F585,'#建筑消耗和buff配置索引'!$M:$M,0))=0,"",INDEX('#建筑消耗和buff配置索引'!BW:BW,MATCH($F585,'#建筑消耗和buff配置索引'!$M:$M,0)))</f>
        <v/>
      </c>
      <c r="BE585" s="133" t="str">
        <f>IF(BD585="","",INDEX('#建筑消耗和buff配置索引'!BX:BX,MATCH($F585,'#建筑消耗和buff配置索引'!$M:$M,0)))</f>
        <v/>
      </c>
      <c r="BI585" s="140">
        <v>23</v>
      </c>
    </row>
    <row r="586" spans="1:66">
      <c r="A586" s="140">
        <v>4000005</v>
      </c>
      <c r="B586" s="140">
        <v>588</v>
      </c>
      <c r="C586" s="140">
        <v>400</v>
      </c>
      <c r="D586" s="140" t="s">
        <v>1014</v>
      </c>
      <c r="E586" s="140">
        <v>5</v>
      </c>
      <c r="F586" s="133" t="str">
        <f t="shared" si="10"/>
        <v>仓库5</v>
      </c>
      <c r="I586" s="140">
        <v>0</v>
      </c>
      <c r="J586" s="150">
        <f>INDEX('#建筑消耗和buff配置索引'!AH:AH,MATCH($F586,'#建筑消耗和buff配置索引'!$M:$M,0))</f>
        <v>450</v>
      </c>
      <c r="K586" s="142">
        <f>INDEX('#建筑消耗和buff配置索引'!AA:AA,MATCH($F586,'#建筑消耗和buff配置索引'!$M:$M,0))</f>
        <v>7700</v>
      </c>
      <c r="L586" s="142">
        <f>INDEX('#建筑消耗和buff配置索引'!AB:AB,MATCH($F586,'#建筑消耗和buff配置索引'!$M:$M,0))</f>
        <v>7700</v>
      </c>
      <c r="M586" s="142">
        <f>INDEX('#建筑消耗和buff配置索引'!AC:AC,MATCH($F586,'#建筑消耗和buff配置索引'!$M:$M,0))</f>
        <v>7700</v>
      </c>
      <c r="N586" s="142">
        <f>INDEX('#建筑消耗和buff配置索引'!AD:AD,MATCH($F586,'#建筑消耗和buff配置索引'!$M:$M,0))</f>
        <v>0</v>
      </c>
      <c r="O586" s="150" t="str">
        <f>IF(INDEX('#建筑消耗和buff配置索引'!T:T,MATCH($F586,'#建筑消耗和buff配置索引'!$M:$M,0))=0,"",INDEX('#建筑消耗和buff配置索引'!T:T,MATCH($F586,'#建筑消耗和buff配置索引'!$M:$M,0)))</f>
        <v/>
      </c>
      <c r="P586" s="133" t="str">
        <f>IF(INDEX('#建筑消耗和buff配置索引'!U:U,MATCH($F586,'#建筑消耗和buff配置索引'!$M:$M,0))=0,"",INDEX('#建筑消耗和buff配置索引'!U:U,MATCH($F586,'#建筑消耗和buff配置索引'!$M:$M,0)))</f>
        <v/>
      </c>
      <c r="Q586" s="133" t="str">
        <f>IF(INDEX('#建筑消耗和buff配置索引'!K:K,MATCH($F586,'#建筑消耗和buff配置索引'!$M:$M,0))=0,"",INDEX('#建筑消耗和buff配置索引'!K:K,MATCH($F586,'#建筑消耗和buff配置索引'!$M:$M,0)))</f>
        <v>201</v>
      </c>
      <c r="R586" s="133">
        <f>IF(INDEX('#建筑消耗和buff配置索引'!L:L,MATCH($F586,'#建筑消耗和buff配置索引'!$M:$M,0))=0,"",INDEX('#建筑消耗和buff配置索引'!L:L,MATCH($F586,'#建筑消耗和buff配置索引'!$M:$M,0)))</f>
        <v>6</v>
      </c>
      <c r="S586" s="140">
        <f>IF(INDEX('#建筑消耗和buff配置索引'!C:C,MATCH(F586,'#建筑消耗和buff配置索引'!M:M,0))=0,1,INDEX('#建筑消耗和buff配置索引'!C:C,MATCH(F586,'#建筑消耗和buff配置索引'!M:M,0)))</f>
        <v>1</v>
      </c>
      <c r="T586" s="140">
        <v>0</v>
      </c>
      <c r="U586" s="140">
        <v>0</v>
      </c>
      <c r="V586" s="133" t="str">
        <f>IF(E586=1,IF(INDEX('#建筑消耗和buff配置索引'!BY:BY,MATCH(D586,'#建筑消耗和buff配置索引'!A:A,0))=0,"",INDEX('#建筑消耗和buff配置索引'!BY:BY,MATCH(D586,'#建筑消耗和buff配置索引'!A:A,0))),"")</f>
        <v/>
      </c>
      <c r="W586" s="133" t="str">
        <f>IF(E586=1,IF(INDEX('#建筑消耗和buff配置索引'!BZ:BZ,MATCH(D586,'#建筑消耗和buff配置索引'!A:A,0))=0,"",INDEX('#建筑消耗和buff配置索引'!BZ:BZ,MATCH(D586,'#建筑消耗和buff配置索引'!A:A,0))),"")</f>
        <v/>
      </c>
      <c r="AA586" s="140">
        <f>INDEX('#建筑消耗和buff配置索引'!AO:AO,MATCH($F586,'#建筑消耗和buff配置索引'!$M:$M,0))</f>
        <v>91</v>
      </c>
      <c r="AB586" s="133">
        <f>IF(INDEX('#建筑消耗和buff配置索引'!AR:AR,MATCH($F586,'#建筑消耗和buff配置索引'!$M:$M,0))=0,"",INDEX('#建筑消耗和buff配置索引'!AR:AR,MATCH($F586,'#建筑消耗和buff配置索引'!$M:$M,0)))</f>
        <v>1261</v>
      </c>
      <c r="AC586" s="133">
        <f>IF(AB586="","",INDEX('#建筑消耗和buff配置索引'!AS:AS,MATCH($F586,'#建筑消耗和buff配置索引'!$M:$M,0)))</f>
        <v>100000</v>
      </c>
      <c r="AF586" s="140" t="str">
        <f>IF(INDEX('#建筑消耗和buff配置索引'!AW:AW,MATCH($F586,'#建筑消耗和buff配置索引'!$M:$M,0))=0,"",INDEX('#建筑消耗和buff配置索引'!AW:AW,MATCH($F586,'#建筑消耗和buff配置索引'!$M:$M,0)))</f>
        <v/>
      </c>
      <c r="AG586" s="140" t="str">
        <f>IF(AF586="","",INDEX('#建筑消耗和buff配置索引'!AX:AX,MATCH($F586,'#建筑消耗和buff配置索引'!$M:$M,0)))</f>
        <v/>
      </c>
      <c r="AJ586" s="133" t="str">
        <f>IF(INDEX('#建筑消耗和buff配置索引'!BB:BB,MATCH($F586,'#建筑消耗和buff配置索引'!$M:$M,0))=0,"",INDEX('#建筑消耗和buff配置索引'!BB:BB,MATCH($F586,'#建筑消耗和buff配置索引'!$M:$M,0)))</f>
        <v/>
      </c>
      <c r="AK586" s="133" t="str">
        <f>IF(AJ586="","",INDEX('#建筑消耗和buff配置索引'!BC:BC,MATCH($F586,'#建筑消耗和buff配置索引'!$M:$M,0)))</f>
        <v/>
      </c>
      <c r="AL586" s="133"/>
      <c r="AM586" s="133"/>
      <c r="AN586" s="133" t="str">
        <f>IF(INDEX('#建筑消耗和buff配置索引'!BG:BG,MATCH($F586,'#建筑消耗和buff配置索引'!$M:$M,0))=0,"",INDEX('#建筑消耗和buff配置索引'!BG:BG,MATCH($F586,'#建筑消耗和buff配置索引'!$M:$M,0)))</f>
        <v/>
      </c>
      <c r="AO586" s="133" t="str">
        <f>IF(AN586="","",INDEX('#建筑消耗和buff配置索引'!BH:BH,MATCH($F586,'#建筑消耗和buff配置索引'!$M:$M,0)))</f>
        <v/>
      </c>
      <c r="AP586" s="133"/>
      <c r="AQ586" s="133"/>
      <c r="AR586" s="133" t="str">
        <f>IF(INDEX('#建筑消耗和buff配置索引'!BK:BK,MATCH($F586,'#建筑消耗和buff配置索引'!$M:$M,0))=0,"",INDEX('#建筑消耗和buff配置索引'!BK:BK,MATCH($F586,'#建筑消耗和buff配置索引'!$M:$M,0)))</f>
        <v/>
      </c>
      <c r="AS586" s="133" t="str">
        <f>IF(AR586="","",INDEX('#建筑消耗和buff配置索引'!BL:BL,MATCH($F586,'#建筑消耗和buff配置索引'!$M:$M,0)))</f>
        <v/>
      </c>
      <c r="AT586" s="133"/>
      <c r="AU586" s="133"/>
      <c r="AV586" s="133" t="str">
        <f>IF(INDEX('#建筑消耗和buff配置索引'!BO:BO,MATCH($F586,'#建筑消耗和buff配置索引'!$M:$M,0))=0,"",INDEX('#建筑消耗和buff配置索引'!BO:BO,MATCH($F586,'#建筑消耗和buff配置索引'!$M:$M,0)))</f>
        <v/>
      </c>
      <c r="AW586" s="133" t="str">
        <f>IF(AV586="","",INDEX('#建筑消耗和buff配置索引'!BP:BP,MATCH($F586,'#建筑消耗和buff配置索引'!$M:$M,0)))</f>
        <v/>
      </c>
      <c r="AX586" s="133"/>
      <c r="AY586" s="133"/>
      <c r="AZ586" s="133" t="str">
        <f>IF(INDEX('#建筑消耗和buff配置索引'!BS:BS,MATCH($F586,'#建筑消耗和buff配置索引'!$M:$M,0))=0,"",INDEX('#建筑消耗和buff配置索引'!BS:BS,MATCH($F586,'#建筑消耗和buff配置索引'!$M:$M,0)))</f>
        <v/>
      </c>
      <c r="BA586" s="133" t="str">
        <f>IF(AZ586="","",INDEX('#建筑消耗和buff配置索引'!BT:BT,MATCH($F586,'#建筑消耗和buff配置索引'!$M:$M,0)))</f>
        <v/>
      </c>
      <c r="BB586" s="133"/>
      <c r="BC586" s="133"/>
      <c r="BD586" s="133" t="str">
        <f>IF(INDEX('#建筑消耗和buff配置索引'!BW:BW,MATCH($F586,'#建筑消耗和buff配置索引'!$M:$M,0))=0,"",INDEX('#建筑消耗和buff配置索引'!BW:BW,MATCH($F586,'#建筑消耗和buff配置索引'!$M:$M,0)))</f>
        <v/>
      </c>
      <c r="BE586" s="133" t="str">
        <f>IF(BD586="","",INDEX('#建筑消耗和buff配置索引'!BX:BX,MATCH($F586,'#建筑消耗和buff配置索引'!$M:$M,0)))</f>
        <v/>
      </c>
      <c r="BI586" s="140">
        <v>23</v>
      </c>
    </row>
    <row r="587" spans="1:66">
      <c r="A587" s="140">
        <v>4000006</v>
      </c>
      <c r="B587" s="140">
        <v>589</v>
      </c>
      <c r="C587" s="140">
        <v>400</v>
      </c>
      <c r="D587" s="140" t="s">
        <v>1014</v>
      </c>
      <c r="E587" s="140">
        <v>6</v>
      </c>
      <c r="F587" s="133" t="str">
        <f t="shared" si="10"/>
        <v>仓库6</v>
      </c>
      <c r="I587" s="140">
        <v>0</v>
      </c>
      <c r="J587" s="150">
        <f>INDEX('#建筑消耗和buff配置索引'!AH:AH,MATCH($F587,'#建筑消耗和buff配置索引'!$M:$M,0))</f>
        <v>810</v>
      </c>
      <c r="K587" s="142">
        <f>INDEX('#建筑消耗和buff配置索引'!AA:AA,MATCH($F587,'#建筑消耗和buff配置索引'!$M:$M,0))</f>
        <v>14000</v>
      </c>
      <c r="L587" s="142">
        <f>INDEX('#建筑消耗和buff配置索引'!AB:AB,MATCH($F587,'#建筑消耗和buff配置索引'!$M:$M,0))</f>
        <v>14000</v>
      </c>
      <c r="M587" s="142">
        <f>INDEX('#建筑消耗和buff配置索引'!AC:AC,MATCH($F587,'#建筑消耗和buff配置索引'!$M:$M,0))</f>
        <v>14000</v>
      </c>
      <c r="N587" s="142">
        <f>INDEX('#建筑消耗和buff配置索引'!AD:AD,MATCH($F587,'#建筑消耗和buff配置索引'!$M:$M,0))</f>
        <v>0</v>
      </c>
      <c r="O587" s="150" t="str">
        <f>IF(INDEX('#建筑消耗和buff配置索引'!T:T,MATCH($F587,'#建筑消耗和buff配置索引'!$M:$M,0))=0,"",INDEX('#建筑消耗和buff配置索引'!T:T,MATCH($F587,'#建筑消耗和buff配置索引'!$M:$M,0)))</f>
        <v/>
      </c>
      <c r="P587" s="133" t="str">
        <f>IF(INDEX('#建筑消耗和buff配置索引'!U:U,MATCH($F587,'#建筑消耗和buff配置索引'!$M:$M,0))=0,"",INDEX('#建筑消耗和buff配置索引'!U:U,MATCH($F587,'#建筑消耗和buff配置索引'!$M:$M,0)))</f>
        <v/>
      </c>
      <c r="Q587" s="133" t="str">
        <f>IF(INDEX('#建筑消耗和buff配置索引'!K:K,MATCH($F587,'#建筑消耗和buff配置索引'!$M:$M,0))=0,"",INDEX('#建筑消耗和buff配置索引'!K:K,MATCH($F587,'#建筑消耗和buff配置索引'!$M:$M,0)))</f>
        <v>201</v>
      </c>
      <c r="R587" s="133" t="str">
        <f>IF(INDEX('#建筑消耗和buff配置索引'!L:L,MATCH($F587,'#建筑消耗和buff配置索引'!$M:$M,0))=0,"",INDEX('#建筑消耗和buff配置索引'!L:L,MATCH($F587,'#建筑消耗和buff配置索引'!$M:$M,0)))</f>
        <v>6</v>
      </c>
      <c r="S587" s="140">
        <f>IF(INDEX('#建筑消耗和buff配置索引'!C:C,MATCH(F587,'#建筑消耗和buff配置索引'!M:M,0))=0,1,INDEX('#建筑消耗和buff配置索引'!C:C,MATCH(F587,'#建筑消耗和buff配置索引'!M:M,0)))</f>
        <v>1</v>
      </c>
      <c r="T587" s="140">
        <v>0</v>
      </c>
      <c r="U587" s="140">
        <v>0</v>
      </c>
      <c r="V587" s="133" t="str">
        <f>IF(E587=1,IF(INDEX('#建筑消耗和buff配置索引'!BY:BY,MATCH(D587,'#建筑消耗和buff配置索引'!A:A,0))=0,"",INDEX('#建筑消耗和buff配置索引'!BY:BY,MATCH(D587,'#建筑消耗和buff配置索引'!A:A,0))),"")</f>
        <v/>
      </c>
      <c r="W587" s="133" t="str">
        <f>IF(E587=1,IF(INDEX('#建筑消耗和buff配置索引'!BZ:BZ,MATCH(D587,'#建筑消耗和buff配置索引'!A:A,0))=0,"",INDEX('#建筑消耗和buff配置索引'!BZ:BZ,MATCH(D587,'#建筑消耗和buff配置索引'!A:A,0))),"")</f>
        <v/>
      </c>
      <c r="AA587" s="140">
        <f>INDEX('#建筑消耗和buff配置索引'!AO:AO,MATCH($F587,'#建筑消耗和buff配置索引'!$M:$M,0))</f>
        <v>177</v>
      </c>
      <c r="AB587" s="133">
        <f>IF(INDEX('#建筑消耗和buff配置索引'!AR:AR,MATCH($F587,'#建筑消耗和buff配置索引'!$M:$M,0))=0,"",INDEX('#建筑消耗和buff配置索引'!AR:AR,MATCH($F587,'#建筑消耗和buff配置索引'!$M:$M,0)))</f>
        <v>1261</v>
      </c>
      <c r="AC587" s="133">
        <f>IF(AB587="","",INDEX('#建筑消耗和buff配置索引'!AS:AS,MATCH($F587,'#建筑消耗和buff配置索引'!$M:$M,0)))</f>
        <v>140000</v>
      </c>
      <c r="AF587" s="140" t="str">
        <f>IF(INDEX('#建筑消耗和buff配置索引'!AW:AW,MATCH($F587,'#建筑消耗和buff配置索引'!$M:$M,0))=0,"",INDEX('#建筑消耗和buff配置索引'!AW:AW,MATCH($F587,'#建筑消耗和buff配置索引'!$M:$M,0)))</f>
        <v/>
      </c>
      <c r="AG587" s="140" t="str">
        <f>IF(AF587="","",INDEX('#建筑消耗和buff配置索引'!AX:AX,MATCH($F587,'#建筑消耗和buff配置索引'!$M:$M,0)))</f>
        <v/>
      </c>
      <c r="AJ587" s="133" t="str">
        <f>IF(INDEX('#建筑消耗和buff配置索引'!BB:BB,MATCH($F587,'#建筑消耗和buff配置索引'!$M:$M,0))=0,"",INDEX('#建筑消耗和buff配置索引'!BB:BB,MATCH($F587,'#建筑消耗和buff配置索引'!$M:$M,0)))</f>
        <v/>
      </c>
      <c r="AK587" s="133" t="str">
        <f>IF(AJ587="","",INDEX('#建筑消耗和buff配置索引'!BC:BC,MATCH($F587,'#建筑消耗和buff配置索引'!$M:$M,0)))</f>
        <v/>
      </c>
      <c r="AL587" s="133"/>
      <c r="AM587" s="133"/>
      <c r="AN587" s="133" t="str">
        <f>IF(INDEX('#建筑消耗和buff配置索引'!BG:BG,MATCH($F587,'#建筑消耗和buff配置索引'!$M:$M,0))=0,"",INDEX('#建筑消耗和buff配置索引'!BG:BG,MATCH($F587,'#建筑消耗和buff配置索引'!$M:$M,0)))</f>
        <v/>
      </c>
      <c r="AO587" s="133" t="str">
        <f>IF(AN587="","",INDEX('#建筑消耗和buff配置索引'!BH:BH,MATCH($F587,'#建筑消耗和buff配置索引'!$M:$M,0)))</f>
        <v/>
      </c>
      <c r="AP587" s="133"/>
      <c r="AQ587" s="133"/>
      <c r="AR587" s="133" t="str">
        <f>IF(INDEX('#建筑消耗和buff配置索引'!BK:BK,MATCH($F587,'#建筑消耗和buff配置索引'!$M:$M,0))=0,"",INDEX('#建筑消耗和buff配置索引'!BK:BK,MATCH($F587,'#建筑消耗和buff配置索引'!$M:$M,0)))</f>
        <v/>
      </c>
      <c r="AS587" s="133" t="str">
        <f>IF(AR587="","",INDEX('#建筑消耗和buff配置索引'!BL:BL,MATCH($F587,'#建筑消耗和buff配置索引'!$M:$M,0)))</f>
        <v/>
      </c>
      <c r="AT587" s="133"/>
      <c r="AU587" s="133"/>
      <c r="AV587" s="133" t="str">
        <f>IF(INDEX('#建筑消耗和buff配置索引'!BO:BO,MATCH($F587,'#建筑消耗和buff配置索引'!$M:$M,0))=0,"",INDEX('#建筑消耗和buff配置索引'!BO:BO,MATCH($F587,'#建筑消耗和buff配置索引'!$M:$M,0)))</f>
        <v/>
      </c>
      <c r="AW587" s="133" t="str">
        <f>IF(AV587="","",INDEX('#建筑消耗和buff配置索引'!BP:BP,MATCH($F587,'#建筑消耗和buff配置索引'!$M:$M,0)))</f>
        <v/>
      </c>
      <c r="AX587" s="133"/>
      <c r="AY587" s="133"/>
      <c r="AZ587" s="133" t="str">
        <f>IF(INDEX('#建筑消耗和buff配置索引'!BS:BS,MATCH($F587,'#建筑消耗和buff配置索引'!$M:$M,0))=0,"",INDEX('#建筑消耗和buff配置索引'!BS:BS,MATCH($F587,'#建筑消耗和buff配置索引'!$M:$M,0)))</f>
        <v/>
      </c>
      <c r="BA587" s="133" t="str">
        <f>IF(AZ587="","",INDEX('#建筑消耗和buff配置索引'!BT:BT,MATCH($F587,'#建筑消耗和buff配置索引'!$M:$M,0)))</f>
        <v/>
      </c>
      <c r="BB587" s="133"/>
      <c r="BC587" s="133"/>
      <c r="BD587" s="133" t="str">
        <f>IF(INDEX('#建筑消耗和buff配置索引'!BW:BW,MATCH($F587,'#建筑消耗和buff配置索引'!$M:$M,0))=0,"",INDEX('#建筑消耗和buff配置索引'!BW:BW,MATCH($F587,'#建筑消耗和buff配置索引'!$M:$M,0)))</f>
        <v/>
      </c>
      <c r="BE587" s="133" t="str">
        <f>IF(BD587="","",INDEX('#建筑消耗和buff配置索引'!BX:BX,MATCH($F587,'#建筑消耗和buff配置索引'!$M:$M,0)))</f>
        <v/>
      </c>
      <c r="BI587" s="140">
        <v>23</v>
      </c>
    </row>
    <row r="588" spans="1:66">
      <c r="A588" s="140">
        <v>4000007</v>
      </c>
      <c r="B588" s="140">
        <v>590</v>
      </c>
      <c r="C588" s="140">
        <v>400</v>
      </c>
      <c r="D588" s="140" t="s">
        <v>1014</v>
      </c>
      <c r="E588" s="140">
        <v>7</v>
      </c>
      <c r="F588" s="133" t="str">
        <f t="shared" si="10"/>
        <v>仓库7</v>
      </c>
      <c r="I588" s="140">
        <v>0</v>
      </c>
      <c r="J588" s="150">
        <f>INDEX('#建筑消耗和buff配置索引'!AH:AH,MATCH($F588,'#建筑消耗和buff配置索引'!$M:$M,0))</f>
        <v>1350</v>
      </c>
      <c r="K588" s="142">
        <f>INDEX('#建筑消耗和buff配置索引'!AA:AA,MATCH($F588,'#建筑消耗和buff配置索引'!$M:$M,0))</f>
        <v>26000</v>
      </c>
      <c r="L588" s="142">
        <f>INDEX('#建筑消耗和buff配置索引'!AB:AB,MATCH($F588,'#建筑消耗和buff配置索引'!$M:$M,0))</f>
        <v>26000</v>
      </c>
      <c r="M588" s="142">
        <f>INDEX('#建筑消耗和buff配置索引'!AC:AC,MATCH($F588,'#建筑消耗和buff配置索引'!$M:$M,0))</f>
        <v>26000</v>
      </c>
      <c r="N588" s="142">
        <f>INDEX('#建筑消耗和buff配置索引'!AD:AD,MATCH($F588,'#建筑消耗和buff配置索引'!$M:$M,0))</f>
        <v>0</v>
      </c>
      <c r="O588" s="150" t="str">
        <f>IF(INDEX('#建筑消耗和buff配置索引'!T:T,MATCH($F588,'#建筑消耗和buff配置索引'!$M:$M,0))=0,"",INDEX('#建筑消耗和buff配置索引'!T:T,MATCH($F588,'#建筑消耗和buff配置索引'!$M:$M,0)))</f>
        <v/>
      </c>
      <c r="P588" s="133" t="str">
        <f>IF(INDEX('#建筑消耗和buff配置索引'!U:U,MATCH($F588,'#建筑消耗和buff配置索引'!$M:$M,0))=0,"",INDEX('#建筑消耗和buff配置索引'!U:U,MATCH($F588,'#建筑消耗和buff配置索引'!$M:$M,0)))</f>
        <v/>
      </c>
      <c r="Q588" s="133" t="str">
        <f>IF(INDEX('#建筑消耗和buff配置索引'!K:K,MATCH($F588,'#建筑消耗和buff配置索引'!$M:$M,0))=0,"",INDEX('#建筑消耗和buff配置索引'!K:K,MATCH($F588,'#建筑消耗和buff配置索引'!$M:$M,0)))</f>
        <v>201</v>
      </c>
      <c r="R588" s="133" t="str">
        <f>IF(INDEX('#建筑消耗和buff配置索引'!L:L,MATCH($F588,'#建筑消耗和buff配置索引'!$M:$M,0))=0,"",INDEX('#建筑消耗和buff配置索引'!L:L,MATCH($F588,'#建筑消耗和buff配置索引'!$M:$M,0)))</f>
        <v>7</v>
      </c>
      <c r="S588" s="140">
        <f>IF(INDEX('#建筑消耗和buff配置索引'!C:C,MATCH(F588,'#建筑消耗和buff配置索引'!M:M,0))=0,1,INDEX('#建筑消耗和buff配置索引'!C:C,MATCH(F588,'#建筑消耗和buff配置索引'!M:M,0)))</f>
        <v>1</v>
      </c>
      <c r="T588" s="140">
        <v>0</v>
      </c>
      <c r="U588" s="140">
        <v>0</v>
      </c>
      <c r="V588" s="133" t="str">
        <f>IF(E588=1,IF(INDEX('#建筑消耗和buff配置索引'!BY:BY,MATCH(D588,'#建筑消耗和buff配置索引'!A:A,0))=0,"",INDEX('#建筑消耗和buff配置索引'!BY:BY,MATCH(D588,'#建筑消耗和buff配置索引'!A:A,0))),"")</f>
        <v/>
      </c>
      <c r="W588" s="133" t="str">
        <f>IF(E588=1,IF(INDEX('#建筑消耗和buff配置索引'!BZ:BZ,MATCH(D588,'#建筑消耗和buff配置索引'!A:A,0))=0,"",INDEX('#建筑消耗和buff配置索引'!BZ:BZ,MATCH(D588,'#建筑消耗和buff配置索引'!A:A,0))),"")</f>
        <v/>
      </c>
      <c r="AA588" s="140">
        <f>INDEX('#建筑消耗和buff配置索引'!AO:AO,MATCH($F588,'#建筑消耗和buff配置索引'!$M:$M,0))</f>
        <v>331</v>
      </c>
      <c r="AB588" s="133">
        <f>IF(INDEX('#建筑消耗和buff配置索引'!AR:AR,MATCH($F588,'#建筑消耗和buff配置索引'!$M:$M,0))=0,"",INDEX('#建筑消耗和buff配置索引'!AR:AR,MATCH($F588,'#建筑消耗和buff配置索引'!$M:$M,0)))</f>
        <v>1261</v>
      </c>
      <c r="AC588" s="133">
        <f>IF(AB588="","",INDEX('#建筑消耗和buff配置索引'!AS:AS,MATCH($F588,'#建筑消耗和buff配置索引'!$M:$M,0)))</f>
        <v>180000</v>
      </c>
      <c r="AF588" s="140" t="str">
        <f>IF(INDEX('#建筑消耗和buff配置索引'!AW:AW,MATCH($F588,'#建筑消耗和buff配置索引'!$M:$M,0))=0,"",INDEX('#建筑消耗和buff配置索引'!AW:AW,MATCH($F588,'#建筑消耗和buff配置索引'!$M:$M,0)))</f>
        <v/>
      </c>
      <c r="AG588" s="140" t="str">
        <f>IF(AF588="","",INDEX('#建筑消耗和buff配置索引'!AX:AX,MATCH($F588,'#建筑消耗和buff配置索引'!$M:$M,0)))</f>
        <v/>
      </c>
      <c r="AJ588" s="133" t="str">
        <f>IF(INDEX('#建筑消耗和buff配置索引'!BB:BB,MATCH($F588,'#建筑消耗和buff配置索引'!$M:$M,0))=0,"",INDEX('#建筑消耗和buff配置索引'!BB:BB,MATCH($F588,'#建筑消耗和buff配置索引'!$M:$M,0)))</f>
        <v/>
      </c>
      <c r="AK588" s="133" t="str">
        <f>IF(AJ588="","",INDEX('#建筑消耗和buff配置索引'!BC:BC,MATCH($F588,'#建筑消耗和buff配置索引'!$M:$M,0)))</f>
        <v/>
      </c>
      <c r="AL588" s="133"/>
      <c r="AM588" s="133"/>
      <c r="AN588" s="133" t="str">
        <f>IF(INDEX('#建筑消耗和buff配置索引'!BG:BG,MATCH($F588,'#建筑消耗和buff配置索引'!$M:$M,0))=0,"",INDEX('#建筑消耗和buff配置索引'!BG:BG,MATCH($F588,'#建筑消耗和buff配置索引'!$M:$M,0)))</f>
        <v/>
      </c>
      <c r="AO588" s="133" t="str">
        <f>IF(AN588="","",INDEX('#建筑消耗和buff配置索引'!BH:BH,MATCH($F588,'#建筑消耗和buff配置索引'!$M:$M,0)))</f>
        <v/>
      </c>
      <c r="AP588" s="133"/>
      <c r="AQ588" s="133"/>
      <c r="AR588" s="133" t="str">
        <f>IF(INDEX('#建筑消耗和buff配置索引'!BK:BK,MATCH($F588,'#建筑消耗和buff配置索引'!$M:$M,0))=0,"",INDEX('#建筑消耗和buff配置索引'!BK:BK,MATCH($F588,'#建筑消耗和buff配置索引'!$M:$M,0)))</f>
        <v/>
      </c>
      <c r="AS588" s="133" t="str">
        <f>IF(AR588="","",INDEX('#建筑消耗和buff配置索引'!BL:BL,MATCH($F588,'#建筑消耗和buff配置索引'!$M:$M,0)))</f>
        <v/>
      </c>
      <c r="AT588" s="133"/>
      <c r="AU588" s="133"/>
      <c r="AV588" s="133" t="str">
        <f>IF(INDEX('#建筑消耗和buff配置索引'!BO:BO,MATCH($F588,'#建筑消耗和buff配置索引'!$M:$M,0))=0,"",INDEX('#建筑消耗和buff配置索引'!BO:BO,MATCH($F588,'#建筑消耗和buff配置索引'!$M:$M,0)))</f>
        <v/>
      </c>
      <c r="AW588" s="133" t="str">
        <f>IF(AV588="","",INDEX('#建筑消耗和buff配置索引'!BP:BP,MATCH($F588,'#建筑消耗和buff配置索引'!$M:$M,0)))</f>
        <v/>
      </c>
      <c r="AX588" s="133"/>
      <c r="AY588" s="133"/>
      <c r="AZ588" s="133" t="str">
        <f>IF(INDEX('#建筑消耗和buff配置索引'!BS:BS,MATCH($F588,'#建筑消耗和buff配置索引'!$M:$M,0))=0,"",INDEX('#建筑消耗和buff配置索引'!BS:BS,MATCH($F588,'#建筑消耗和buff配置索引'!$M:$M,0)))</f>
        <v/>
      </c>
      <c r="BA588" s="133" t="str">
        <f>IF(AZ588="","",INDEX('#建筑消耗和buff配置索引'!BT:BT,MATCH($F588,'#建筑消耗和buff配置索引'!$M:$M,0)))</f>
        <v/>
      </c>
      <c r="BB588" s="133"/>
      <c r="BC588" s="133"/>
      <c r="BD588" s="133" t="str">
        <f>IF(INDEX('#建筑消耗和buff配置索引'!BW:BW,MATCH($F588,'#建筑消耗和buff配置索引'!$M:$M,0))=0,"",INDEX('#建筑消耗和buff配置索引'!BW:BW,MATCH($F588,'#建筑消耗和buff配置索引'!$M:$M,0)))</f>
        <v/>
      </c>
      <c r="BE588" s="133" t="str">
        <f>IF(BD588="","",INDEX('#建筑消耗和buff配置索引'!BX:BX,MATCH($F588,'#建筑消耗和buff配置索引'!$M:$M,0)))</f>
        <v/>
      </c>
      <c r="BI588" s="140">
        <v>23</v>
      </c>
    </row>
    <row r="589" spans="1:66">
      <c r="A589" s="140">
        <v>4000008</v>
      </c>
      <c r="B589" s="140">
        <v>591</v>
      </c>
      <c r="C589" s="140">
        <v>400</v>
      </c>
      <c r="D589" s="140" t="s">
        <v>1014</v>
      </c>
      <c r="E589" s="140">
        <v>8</v>
      </c>
      <c r="F589" s="133" t="str">
        <f t="shared" si="10"/>
        <v>仓库8</v>
      </c>
      <c r="I589" s="140">
        <v>0</v>
      </c>
      <c r="J589" s="150">
        <f>INDEX('#建筑消耗和buff配置索引'!AH:AH,MATCH($F589,'#建筑消耗和buff配置索引'!$M:$M,0))</f>
        <v>2160</v>
      </c>
      <c r="K589" s="142">
        <f>INDEX('#建筑消耗和buff配置索引'!AA:AA,MATCH($F589,'#建筑消耗和buff配置索引'!$M:$M,0))</f>
        <v>44000</v>
      </c>
      <c r="L589" s="142">
        <f>INDEX('#建筑消耗和buff配置索引'!AB:AB,MATCH($F589,'#建筑消耗和buff配置索引'!$M:$M,0))</f>
        <v>44000</v>
      </c>
      <c r="M589" s="142">
        <f>INDEX('#建筑消耗和buff配置索引'!AC:AC,MATCH($F589,'#建筑消耗和buff配置索引'!$M:$M,0))</f>
        <v>44000</v>
      </c>
      <c r="N589" s="142">
        <f>INDEX('#建筑消耗和buff配置索引'!AD:AD,MATCH($F589,'#建筑消耗和buff配置索引'!$M:$M,0))</f>
        <v>0</v>
      </c>
      <c r="O589" s="150" t="str">
        <f>IF(INDEX('#建筑消耗和buff配置索引'!T:T,MATCH($F589,'#建筑消耗和buff配置索引'!$M:$M,0))=0,"",INDEX('#建筑消耗和buff配置索引'!T:T,MATCH($F589,'#建筑消耗和buff配置索引'!$M:$M,0)))</f>
        <v/>
      </c>
      <c r="P589" s="133" t="str">
        <f>IF(INDEX('#建筑消耗和buff配置索引'!U:U,MATCH($F589,'#建筑消耗和buff配置索引'!$M:$M,0))=0,"",INDEX('#建筑消耗和buff配置索引'!U:U,MATCH($F589,'#建筑消耗和buff配置索引'!$M:$M,0)))</f>
        <v/>
      </c>
      <c r="Q589" s="133" t="str">
        <f>IF(INDEX('#建筑消耗和buff配置索引'!K:K,MATCH($F589,'#建筑消耗和buff配置索引'!$M:$M,0))=0,"",INDEX('#建筑消耗和buff配置索引'!K:K,MATCH($F589,'#建筑消耗和buff配置索引'!$M:$M,0)))</f>
        <v>201</v>
      </c>
      <c r="R589" s="133" t="str">
        <f>IF(INDEX('#建筑消耗和buff配置索引'!L:L,MATCH($F589,'#建筑消耗和buff配置索引'!$M:$M,0))=0,"",INDEX('#建筑消耗和buff配置索引'!L:L,MATCH($F589,'#建筑消耗和buff配置索引'!$M:$M,0)))</f>
        <v>8</v>
      </c>
      <c r="S589" s="140">
        <f>IF(INDEX('#建筑消耗和buff配置索引'!C:C,MATCH(F589,'#建筑消耗和buff配置索引'!M:M,0))=0,1,INDEX('#建筑消耗和buff配置索引'!C:C,MATCH(F589,'#建筑消耗和buff配置索引'!M:M,0)))</f>
        <v>1</v>
      </c>
      <c r="T589" s="140">
        <v>0</v>
      </c>
      <c r="U589" s="140">
        <v>0</v>
      </c>
      <c r="V589" s="133" t="str">
        <f>IF(E589=1,IF(INDEX('#建筑消耗和buff配置索引'!BY:BY,MATCH(D589,'#建筑消耗和buff配置索引'!A:A,0))=0,"",INDEX('#建筑消耗和buff配置索引'!BY:BY,MATCH(D589,'#建筑消耗和buff配置索引'!A:A,0))),"")</f>
        <v/>
      </c>
      <c r="W589" s="133" t="str">
        <f>IF(E589=1,IF(INDEX('#建筑消耗和buff配置索引'!BZ:BZ,MATCH(D589,'#建筑消耗和buff配置索引'!A:A,0))=0,"",INDEX('#建筑消耗和buff配置索引'!BZ:BZ,MATCH(D589,'#建筑消耗和buff配置索引'!A:A,0))),"")</f>
        <v/>
      </c>
      <c r="AA589" s="140">
        <f>INDEX('#建筑消耗和buff配置索引'!AO:AO,MATCH($F589,'#建筑消耗和buff配置索引'!$M:$M,0))</f>
        <v>596</v>
      </c>
      <c r="AB589" s="133">
        <f>IF(INDEX('#建筑消耗和buff配置索引'!AR:AR,MATCH($F589,'#建筑消耗和buff配置索引'!$M:$M,0))=0,"",INDEX('#建筑消耗和buff配置索引'!AR:AR,MATCH($F589,'#建筑消耗和buff配置索引'!$M:$M,0)))</f>
        <v>1261</v>
      </c>
      <c r="AC589" s="133">
        <f>IF(AB589="","",INDEX('#建筑消耗和buff配置索引'!AS:AS,MATCH($F589,'#建筑消耗和buff配置索引'!$M:$M,0)))</f>
        <v>220000</v>
      </c>
      <c r="AF589" s="140" t="str">
        <f>IF(INDEX('#建筑消耗和buff配置索引'!AW:AW,MATCH($F589,'#建筑消耗和buff配置索引'!$M:$M,0))=0,"",INDEX('#建筑消耗和buff配置索引'!AW:AW,MATCH($F589,'#建筑消耗和buff配置索引'!$M:$M,0)))</f>
        <v/>
      </c>
      <c r="AG589" s="140" t="str">
        <f>IF(AF589="","",INDEX('#建筑消耗和buff配置索引'!AX:AX,MATCH($F589,'#建筑消耗和buff配置索引'!$M:$M,0)))</f>
        <v/>
      </c>
      <c r="AJ589" s="133" t="str">
        <f>IF(INDEX('#建筑消耗和buff配置索引'!BB:BB,MATCH($F589,'#建筑消耗和buff配置索引'!$M:$M,0))=0,"",INDEX('#建筑消耗和buff配置索引'!BB:BB,MATCH($F589,'#建筑消耗和buff配置索引'!$M:$M,0)))</f>
        <v/>
      </c>
      <c r="AK589" s="133" t="str">
        <f>IF(AJ589="","",INDEX('#建筑消耗和buff配置索引'!BC:BC,MATCH($F589,'#建筑消耗和buff配置索引'!$M:$M,0)))</f>
        <v/>
      </c>
      <c r="AL589" s="133"/>
      <c r="AM589" s="133"/>
      <c r="AN589" s="133" t="str">
        <f>IF(INDEX('#建筑消耗和buff配置索引'!BG:BG,MATCH($F589,'#建筑消耗和buff配置索引'!$M:$M,0))=0,"",INDEX('#建筑消耗和buff配置索引'!BG:BG,MATCH($F589,'#建筑消耗和buff配置索引'!$M:$M,0)))</f>
        <v/>
      </c>
      <c r="AO589" s="133" t="str">
        <f>IF(AN589="","",INDEX('#建筑消耗和buff配置索引'!BH:BH,MATCH($F589,'#建筑消耗和buff配置索引'!$M:$M,0)))</f>
        <v/>
      </c>
      <c r="AP589" s="133"/>
      <c r="AQ589" s="133"/>
      <c r="AR589" s="133" t="str">
        <f>IF(INDEX('#建筑消耗和buff配置索引'!BK:BK,MATCH($F589,'#建筑消耗和buff配置索引'!$M:$M,0))=0,"",INDEX('#建筑消耗和buff配置索引'!BK:BK,MATCH($F589,'#建筑消耗和buff配置索引'!$M:$M,0)))</f>
        <v/>
      </c>
      <c r="AS589" s="133" t="str">
        <f>IF(AR589="","",INDEX('#建筑消耗和buff配置索引'!BL:BL,MATCH($F589,'#建筑消耗和buff配置索引'!$M:$M,0)))</f>
        <v/>
      </c>
      <c r="AT589" s="133"/>
      <c r="AU589" s="133"/>
      <c r="AV589" s="133" t="str">
        <f>IF(INDEX('#建筑消耗和buff配置索引'!BO:BO,MATCH($F589,'#建筑消耗和buff配置索引'!$M:$M,0))=0,"",INDEX('#建筑消耗和buff配置索引'!BO:BO,MATCH($F589,'#建筑消耗和buff配置索引'!$M:$M,0)))</f>
        <v/>
      </c>
      <c r="AW589" s="133" t="str">
        <f>IF(AV589="","",INDEX('#建筑消耗和buff配置索引'!BP:BP,MATCH($F589,'#建筑消耗和buff配置索引'!$M:$M,0)))</f>
        <v/>
      </c>
      <c r="AX589" s="133"/>
      <c r="AY589" s="133"/>
      <c r="AZ589" s="133" t="str">
        <f>IF(INDEX('#建筑消耗和buff配置索引'!BS:BS,MATCH($F589,'#建筑消耗和buff配置索引'!$M:$M,0))=0,"",INDEX('#建筑消耗和buff配置索引'!BS:BS,MATCH($F589,'#建筑消耗和buff配置索引'!$M:$M,0)))</f>
        <v/>
      </c>
      <c r="BA589" s="133" t="str">
        <f>IF(AZ589="","",INDEX('#建筑消耗和buff配置索引'!BT:BT,MATCH($F589,'#建筑消耗和buff配置索引'!$M:$M,0)))</f>
        <v/>
      </c>
      <c r="BB589" s="133"/>
      <c r="BC589" s="133"/>
      <c r="BD589" s="133" t="str">
        <f>IF(INDEX('#建筑消耗和buff配置索引'!BW:BW,MATCH($F589,'#建筑消耗和buff配置索引'!$M:$M,0))=0,"",INDEX('#建筑消耗和buff配置索引'!BW:BW,MATCH($F589,'#建筑消耗和buff配置索引'!$M:$M,0)))</f>
        <v/>
      </c>
      <c r="BE589" s="133" t="str">
        <f>IF(BD589="","",INDEX('#建筑消耗和buff配置索引'!BX:BX,MATCH($F589,'#建筑消耗和buff配置索引'!$M:$M,0)))</f>
        <v/>
      </c>
      <c r="BI589" s="140">
        <v>23</v>
      </c>
    </row>
    <row r="590" spans="1:66">
      <c r="A590" s="140">
        <v>4000009</v>
      </c>
      <c r="B590" s="140">
        <v>592</v>
      </c>
      <c r="C590" s="140">
        <v>400</v>
      </c>
      <c r="D590" s="140" t="s">
        <v>1014</v>
      </c>
      <c r="E590" s="140">
        <v>9</v>
      </c>
      <c r="F590" s="133" t="str">
        <f t="shared" si="10"/>
        <v>仓库9</v>
      </c>
      <c r="I590" s="140">
        <v>0</v>
      </c>
      <c r="J590" s="150">
        <f>INDEX('#建筑消耗和buff配置索引'!AH:AH,MATCH($F590,'#建筑消耗和buff配置索引'!$M:$M,0))</f>
        <v>4320</v>
      </c>
      <c r="K590" s="142">
        <f>INDEX('#建筑消耗和buff配置索引'!AA:AA,MATCH($F590,'#建筑消耗和buff配置索引'!$M:$M,0))</f>
        <v>73000</v>
      </c>
      <c r="L590" s="142">
        <f>INDEX('#建筑消耗和buff配置索引'!AB:AB,MATCH($F590,'#建筑消耗和buff配置索引'!$M:$M,0))</f>
        <v>73000</v>
      </c>
      <c r="M590" s="142">
        <f>INDEX('#建筑消耗和buff配置索引'!AC:AC,MATCH($F590,'#建筑消耗和buff配置索引'!$M:$M,0))</f>
        <v>73000</v>
      </c>
      <c r="N590" s="142">
        <f>INDEX('#建筑消耗和buff配置索引'!AD:AD,MATCH($F590,'#建筑消耗和buff配置索引'!$M:$M,0))</f>
        <v>0</v>
      </c>
      <c r="O590" s="150" t="str">
        <f>IF(INDEX('#建筑消耗和buff配置索引'!T:T,MATCH($F590,'#建筑消耗和buff配置索引'!$M:$M,0))=0,"",INDEX('#建筑消耗和buff配置索引'!T:T,MATCH($F590,'#建筑消耗和buff配置索引'!$M:$M,0)))</f>
        <v/>
      </c>
      <c r="P590" s="133" t="str">
        <f>IF(INDEX('#建筑消耗和buff配置索引'!U:U,MATCH($F590,'#建筑消耗和buff配置索引'!$M:$M,0))=0,"",INDEX('#建筑消耗和buff配置索引'!U:U,MATCH($F590,'#建筑消耗和buff配置索引'!$M:$M,0)))</f>
        <v/>
      </c>
      <c r="Q590" s="133" t="str">
        <f>IF(INDEX('#建筑消耗和buff配置索引'!K:K,MATCH($F590,'#建筑消耗和buff配置索引'!$M:$M,0))=0,"",INDEX('#建筑消耗和buff配置索引'!K:K,MATCH($F590,'#建筑消耗和buff配置索引'!$M:$M,0)))</f>
        <v>201</v>
      </c>
      <c r="R590" s="133" t="str">
        <f>IF(INDEX('#建筑消耗和buff配置索引'!L:L,MATCH($F590,'#建筑消耗和buff配置索引'!$M:$M,0))=0,"",INDEX('#建筑消耗和buff配置索引'!L:L,MATCH($F590,'#建筑消耗和buff配置索引'!$M:$M,0)))</f>
        <v>9</v>
      </c>
      <c r="S590" s="140">
        <f>IF(INDEX('#建筑消耗和buff配置索引'!C:C,MATCH(F590,'#建筑消耗和buff配置索引'!M:M,0))=0,1,INDEX('#建筑消耗和buff配置索引'!C:C,MATCH(F590,'#建筑消耗和buff配置索引'!M:M,0)))</f>
        <v>1</v>
      </c>
      <c r="T590" s="140">
        <v>0</v>
      </c>
      <c r="U590" s="140">
        <v>0</v>
      </c>
      <c r="V590" s="133" t="str">
        <f>IF(E590=1,IF(INDEX('#建筑消耗和buff配置索引'!BY:BY,MATCH(D590,'#建筑消耗和buff配置索引'!A:A,0))=0,"",INDEX('#建筑消耗和buff配置索引'!BY:BY,MATCH(D590,'#建筑消耗和buff配置索引'!A:A,0))),"")</f>
        <v/>
      </c>
      <c r="W590" s="133" t="str">
        <f>IF(E590=1,IF(INDEX('#建筑消耗和buff配置索引'!BZ:BZ,MATCH(D590,'#建筑消耗和buff配置索引'!A:A,0))=0,"",INDEX('#建筑消耗和buff配置索引'!BZ:BZ,MATCH(D590,'#建筑消耗和buff配置索引'!A:A,0))),"")</f>
        <v/>
      </c>
      <c r="AA590" s="140">
        <f>INDEX('#建筑消耗和buff配置索引'!AO:AO,MATCH($F590,'#建筑消耗和buff配置索引'!$M:$M,0))</f>
        <v>1034</v>
      </c>
      <c r="AB590" s="133">
        <f>IF(INDEX('#建筑消耗和buff配置索引'!AR:AR,MATCH($F590,'#建筑消耗和buff配置索引'!$M:$M,0))=0,"",INDEX('#建筑消耗和buff配置索引'!AR:AR,MATCH($F590,'#建筑消耗和buff配置索引'!$M:$M,0)))</f>
        <v>1261</v>
      </c>
      <c r="AC590" s="133">
        <f>IF(AB590="","",INDEX('#建筑消耗和buff配置索引'!AS:AS,MATCH($F590,'#建筑消耗和buff配置索引'!$M:$M,0)))</f>
        <v>260000</v>
      </c>
      <c r="AF590" s="140" t="str">
        <f>IF(INDEX('#建筑消耗和buff配置索引'!AW:AW,MATCH($F590,'#建筑消耗和buff配置索引'!$M:$M,0))=0,"",INDEX('#建筑消耗和buff配置索引'!AW:AW,MATCH($F590,'#建筑消耗和buff配置索引'!$M:$M,0)))</f>
        <v/>
      </c>
      <c r="AG590" s="140" t="str">
        <f>IF(AF590="","",INDEX('#建筑消耗和buff配置索引'!AX:AX,MATCH($F590,'#建筑消耗和buff配置索引'!$M:$M,0)))</f>
        <v/>
      </c>
      <c r="AJ590" s="133" t="str">
        <f>IF(INDEX('#建筑消耗和buff配置索引'!BB:BB,MATCH($F590,'#建筑消耗和buff配置索引'!$M:$M,0))=0,"",INDEX('#建筑消耗和buff配置索引'!BB:BB,MATCH($F590,'#建筑消耗和buff配置索引'!$M:$M,0)))</f>
        <v/>
      </c>
      <c r="AK590" s="133" t="str">
        <f>IF(AJ590="","",INDEX('#建筑消耗和buff配置索引'!BC:BC,MATCH($F590,'#建筑消耗和buff配置索引'!$M:$M,0)))</f>
        <v/>
      </c>
      <c r="AL590" s="133"/>
      <c r="AM590" s="133"/>
      <c r="AN590" s="133" t="str">
        <f>IF(INDEX('#建筑消耗和buff配置索引'!BG:BG,MATCH($F590,'#建筑消耗和buff配置索引'!$M:$M,0))=0,"",INDEX('#建筑消耗和buff配置索引'!BG:BG,MATCH($F590,'#建筑消耗和buff配置索引'!$M:$M,0)))</f>
        <v/>
      </c>
      <c r="AO590" s="133" t="str">
        <f>IF(AN590="","",INDEX('#建筑消耗和buff配置索引'!BH:BH,MATCH($F590,'#建筑消耗和buff配置索引'!$M:$M,0)))</f>
        <v/>
      </c>
      <c r="AP590" s="133"/>
      <c r="AQ590" s="133"/>
      <c r="AR590" s="133" t="str">
        <f>IF(INDEX('#建筑消耗和buff配置索引'!BK:BK,MATCH($F590,'#建筑消耗和buff配置索引'!$M:$M,0))=0,"",INDEX('#建筑消耗和buff配置索引'!BK:BK,MATCH($F590,'#建筑消耗和buff配置索引'!$M:$M,0)))</f>
        <v/>
      </c>
      <c r="AS590" s="133" t="str">
        <f>IF(AR590="","",INDEX('#建筑消耗和buff配置索引'!BL:BL,MATCH($F590,'#建筑消耗和buff配置索引'!$M:$M,0)))</f>
        <v/>
      </c>
      <c r="AT590" s="133"/>
      <c r="AU590" s="133"/>
      <c r="AV590" s="133" t="str">
        <f>IF(INDEX('#建筑消耗和buff配置索引'!BO:BO,MATCH($F590,'#建筑消耗和buff配置索引'!$M:$M,0))=0,"",INDEX('#建筑消耗和buff配置索引'!BO:BO,MATCH($F590,'#建筑消耗和buff配置索引'!$M:$M,0)))</f>
        <v/>
      </c>
      <c r="AW590" s="133" t="str">
        <f>IF(AV590="","",INDEX('#建筑消耗和buff配置索引'!BP:BP,MATCH($F590,'#建筑消耗和buff配置索引'!$M:$M,0)))</f>
        <v/>
      </c>
      <c r="AX590" s="133"/>
      <c r="AY590" s="133"/>
      <c r="AZ590" s="133" t="str">
        <f>IF(INDEX('#建筑消耗和buff配置索引'!BS:BS,MATCH($F590,'#建筑消耗和buff配置索引'!$M:$M,0))=0,"",INDEX('#建筑消耗和buff配置索引'!BS:BS,MATCH($F590,'#建筑消耗和buff配置索引'!$M:$M,0)))</f>
        <v/>
      </c>
      <c r="BA590" s="133" t="str">
        <f>IF(AZ590="","",INDEX('#建筑消耗和buff配置索引'!BT:BT,MATCH($F590,'#建筑消耗和buff配置索引'!$M:$M,0)))</f>
        <v/>
      </c>
      <c r="BB590" s="133"/>
      <c r="BC590" s="133"/>
      <c r="BD590" s="133" t="str">
        <f>IF(INDEX('#建筑消耗和buff配置索引'!BW:BW,MATCH($F590,'#建筑消耗和buff配置索引'!$M:$M,0))=0,"",INDEX('#建筑消耗和buff配置索引'!BW:BW,MATCH($F590,'#建筑消耗和buff配置索引'!$M:$M,0)))</f>
        <v/>
      </c>
      <c r="BE590" s="133" t="str">
        <f>IF(BD590="","",INDEX('#建筑消耗和buff配置索引'!BX:BX,MATCH($F590,'#建筑消耗和buff配置索引'!$M:$M,0)))</f>
        <v/>
      </c>
      <c r="BI590" s="140">
        <v>23</v>
      </c>
    </row>
    <row r="591" spans="1:66">
      <c r="A591" s="140">
        <v>4000010</v>
      </c>
      <c r="B591" s="140">
        <v>593</v>
      </c>
      <c r="C591" s="140">
        <v>400</v>
      </c>
      <c r="D591" s="140" t="s">
        <v>1014</v>
      </c>
      <c r="E591" s="140">
        <v>10</v>
      </c>
      <c r="F591" s="133" t="str">
        <f t="shared" si="10"/>
        <v>仓库10</v>
      </c>
      <c r="I591" s="140">
        <v>0</v>
      </c>
      <c r="J591" s="150">
        <f>INDEX('#建筑消耗和buff配置索引'!AH:AH,MATCH($F591,'#建筑消耗和buff配置索引'!$M:$M,0))</f>
        <v>6480</v>
      </c>
      <c r="K591" s="142">
        <f>INDEX('#建筑消耗和buff配置索引'!AA:AA,MATCH($F591,'#建筑消耗和buff配置索引'!$M:$M,0))</f>
        <v>69000</v>
      </c>
      <c r="L591" s="142">
        <f>INDEX('#建筑消耗和buff配置索引'!AB:AB,MATCH($F591,'#建筑消耗和buff配置索引'!$M:$M,0))</f>
        <v>69000</v>
      </c>
      <c r="M591" s="142">
        <f>INDEX('#建筑消耗和buff配置索引'!AC:AC,MATCH($F591,'#建筑消耗和buff配置索引'!$M:$M,0))</f>
        <v>69000</v>
      </c>
      <c r="N591" s="142">
        <f>INDEX('#建筑消耗和buff配置索引'!AD:AD,MATCH($F591,'#建筑消耗和buff配置索引'!$M:$M,0))</f>
        <v>140000</v>
      </c>
      <c r="O591" s="150" t="str">
        <f>IF(INDEX('#建筑消耗和buff配置索引'!T:T,MATCH($F591,'#建筑消耗和buff配置索引'!$M:$M,0))=0,"",INDEX('#建筑消耗和buff配置索引'!T:T,MATCH($F591,'#建筑消耗和buff配置索引'!$M:$M,0)))</f>
        <v/>
      </c>
      <c r="P591" s="133" t="str">
        <f>IF(INDEX('#建筑消耗和buff配置索引'!U:U,MATCH($F591,'#建筑消耗和buff配置索引'!$M:$M,0))=0,"",INDEX('#建筑消耗和buff配置索引'!U:U,MATCH($F591,'#建筑消耗和buff配置索引'!$M:$M,0)))</f>
        <v/>
      </c>
      <c r="Q591" s="133" t="str">
        <f>IF(INDEX('#建筑消耗和buff配置索引'!K:K,MATCH($F591,'#建筑消耗和buff配置索引'!$M:$M,0))=0,"",INDEX('#建筑消耗和buff配置索引'!K:K,MATCH($F591,'#建筑消耗和buff配置索引'!$M:$M,0)))</f>
        <v>201</v>
      </c>
      <c r="R591" s="133" t="str">
        <f>IF(INDEX('#建筑消耗和buff配置索引'!L:L,MATCH($F591,'#建筑消耗和buff配置索引'!$M:$M,0))=0,"",INDEX('#建筑消耗和buff配置索引'!L:L,MATCH($F591,'#建筑消耗和buff配置索引'!$M:$M,0)))</f>
        <v>10</v>
      </c>
      <c r="S591" s="140">
        <f>IF(INDEX('#建筑消耗和buff配置索引'!C:C,MATCH(F591,'#建筑消耗和buff配置索引'!M:M,0))=0,1,INDEX('#建筑消耗和buff配置索引'!C:C,MATCH(F591,'#建筑消耗和buff配置索引'!M:M,0)))</f>
        <v>1</v>
      </c>
      <c r="T591" s="140">
        <v>0</v>
      </c>
      <c r="U591" s="140">
        <v>0</v>
      </c>
      <c r="V591" s="133" t="str">
        <f>IF(E591=1,IF(INDEX('#建筑消耗和buff配置索引'!BY:BY,MATCH(D591,'#建筑消耗和buff配置索引'!A:A,0))=0,"",INDEX('#建筑消耗和buff配置索引'!BY:BY,MATCH(D591,'#建筑消耗和buff配置索引'!A:A,0))),"")</f>
        <v/>
      </c>
      <c r="W591" s="133" t="str">
        <f>IF(E591=1,IF(INDEX('#建筑消耗和buff配置索引'!BZ:BZ,MATCH(D591,'#建筑消耗和buff配置索引'!A:A,0))=0,"",INDEX('#建筑消耗和buff配置索引'!BZ:BZ,MATCH(D591,'#建筑消耗和buff配置索引'!A:A,0))),"")</f>
        <v/>
      </c>
      <c r="AA591" s="140">
        <f>INDEX('#建筑消耗和buff配置索引'!AO:AO,MATCH($F591,'#建筑消耗和buff配置索引'!$M:$M,0))</f>
        <v>1726</v>
      </c>
      <c r="AB591" s="133">
        <f>IF(INDEX('#建筑消耗和buff配置索引'!AR:AR,MATCH($F591,'#建筑消耗和buff配置索引'!$M:$M,0))=0,"",INDEX('#建筑消耗和buff配置索引'!AR:AR,MATCH($F591,'#建筑消耗和buff配置索引'!$M:$M,0)))</f>
        <v>1261</v>
      </c>
      <c r="AC591" s="133">
        <f>IF(AB591="","",INDEX('#建筑消耗和buff配置索引'!AS:AS,MATCH($F591,'#建筑消耗和buff配置索引'!$M:$M,0)))</f>
        <v>300000</v>
      </c>
      <c r="AF591" s="140" t="str">
        <f>IF(INDEX('#建筑消耗和buff配置索引'!AW:AW,MATCH($F591,'#建筑消耗和buff配置索引'!$M:$M,0))=0,"",INDEX('#建筑消耗和buff配置索引'!AW:AW,MATCH($F591,'#建筑消耗和buff配置索引'!$M:$M,0)))</f>
        <v/>
      </c>
      <c r="AG591" s="140" t="str">
        <f>IF(AF591="","",INDEX('#建筑消耗和buff配置索引'!AX:AX,MATCH($F591,'#建筑消耗和buff配置索引'!$M:$M,0)))</f>
        <v/>
      </c>
      <c r="AJ591" s="133" t="str">
        <f>IF(INDEX('#建筑消耗和buff配置索引'!BB:BB,MATCH($F591,'#建筑消耗和buff配置索引'!$M:$M,0))=0,"",INDEX('#建筑消耗和buff配置索引'!BB:BB,MATCH($F591,'#建筑消耗和buff配置索引'!$M:$M,0)))</f>
        <v/>
      </c>
      <c r="AK591" s="133" t="str">
        <f>IF(AJ591="","",INDEX('#建筑消耗和buff配置索引'!BC:BC,MATCH($F591,'#建筑消耗和buff配置索引'!$M:$M,0)))</f>
        <v/>
      </c>
      <c r="AL591" s="133"/>
      <c r="AM591" s="133"/>
      <c r="AN591" s="133" t="str">
        <f>IF(INDEX('#建筑消耗和buff配置索引'!BG:BG,MATCH($F591,'#建筑消耗和buff配置索引'!$M:$M,0))=0,"",INDEX('#建筑消耗和buff配置索引'!BG:BG,MATCH($F591,'#建筑消耗和buff配置索引'!$M:$M,0)))</f>
        <v/>
      </c>
      <c r="AO591" s="133" t="str">
        <f>IF(AN591="","",INDEX('#建筑消耗和buff配置索引'!BH:BH,MATCH($F591,'#建筑消耗和buff配置索引'!$M:$M,0)))</f>
        <v/>
      </c>
      <c r="AP591" s="133"/>
      <c r="AQ591" s="133"/>
      <c r="AR591" s="133" t="str">
        <f>IF(INDEX('#建筑消耗和buff配置索引'!BK:BK,MATCH($F591,'#建筑消耗和buff配置索引'!$M:$M,0))=0,"",INDEX('#建筑消耗和buff配置索引'!BK:BK,MATCH($F591,'#建筑消耗和buff配置索引'!$M:$M,0)))</f>
        <v/>
      </c>
      <c r="AS591" s="133" t="str">
        <f>IF(AR591="","",INDEX('#建筑消耗和buff配置索引'!BL:BL,MATCH($F591,'#建筑消耗和buff配置索引'!$M:$M,0)))</f>
        <v/>
      </c>
      <c r="AT591" s="133"/>
      <c r="AU591" s="133"/>
      <c r="AV591" s="133" t="str">
        <f>IF(INDEX('#建筑消耗和buff配置索引'!BO:BO,MATCH($F591,'#建筑消耗和buff配置索引'!$M:$M,0))=0,"",INDEX('#建筑消耗和buff配置索引'!BO:BO,MATCH($F591,'#建筑消耗和buff配置索引'!$M:$M,0)))</f>
        <v/>
      </c>
      <c r="AW591" s="133" t="str">
        <f>IF(AV591="","",INDEX('#建筑消耗和buff配置索引'!BP:BP,MATCH($F591,'#建筑消耗和buff配置索引'!$M:$M,0)))</f>
        <v/>
      </c>
      <c r="AX591" s="133"/>
      <c r="AY591" s="133"/>
      <c r="AZ591" s="133" t="str">
        <f>IF(INDEX('#建筑消耗和buff配置索引'!BS:BS,MATCH($F591,'#建筑消耗和buff配置索引'!$M:$M,0))=0,"",INDEX('#建筑消耗和buff配置索引'!BS:BS,MATCH($F591,'#建筑消耗和buff配置索引'!$M:$M,0)))</f>
        <v/>
      </c>
      <c r="BA591" s="133" t="str">
        <f>IF(AZ591="","",INDEX('#建筑消耗和buff配置索引'!BT:BT,MATCH($F591,'#建筑消耗和buff配置索引'!$M:$M,0)))</f>
        <v/>
      </c>
      <c r="BB591" s="133"/>
      <c r="BC591" s="133"/>
      <c r="BD591" s="133" t="str">
        <f>IF(INDEX('#建筑消耗和buff配置索引'!BW:BW,MATCH($F591,'#建筑消耗和buff配置索引'!$M:$M,0))=0,"",INDEX('#建筑消耗和buff配置索引'!BW:BW,MATCH($F591,'#建筑消耗和buff配置索引'!$M:$M,0)))</f>
        <v/>
      </c>
      <c r="BE591" s="133" t="str">
        <f>IF(BD591="","",INDEX('#建筑消耗和buff配置索引'!BX:BX,MATCH($F591,'#建筑消耗和buff配置索引'!$M:$M,0)))</f>
        <v/>
      </c>
      <c r="BI591" s="140">
        <v>23</v>
      </c>
    </row>
    <row r="592" spans="1:66">
      <c r="A592" s="140">
        <v>4000011</v>
      </c>
      <c r="B592" s="140">
        <v>594</v>
      </c>
      <c r="C592" s="140">
        <v>400</v>
      </c>
      <c r="D592" s="140" t="s">
        <v>1014</v>
      </c>
      <c r="E592" s="140">
        <v>11</v>
      </c>
      <c r="F592" s="133" t="str">
        <f t="shared" si="10"/>
        <v>仓库11</v>
      </c>
      <c r="I592" s="140">
        <v>0</v>
      </c>
      <c r="J592" s="150">
        <f>INDEX('#建筑消耗和buff配置索引'!AH:AH,MATCH($F592,'#建筑消耗和buff配置索引'!$M:$M,0))</f>
        <v>9720</v>
      </c>
      <c r="K592" s="142">
        <f>INDEX('#建筑消耗和buff配置索引'!AA:AA,MATCH($F592,'#建筑消耗和buff配置索引'!$M:$M,0))</f>
        <v>100000</v>
      </c>
      <c r="L592" s="142">
        <f>INDEX('#建筑消耗和buff配置索引'!AB:AB,MATCH($F592,'#建筑消耗和buff配置索引'!$M:$M,0))</f>
        <v>100000</v>
      </c>
      <c r="M592" s="142">
        <f>INDEX('#建筑消耗和buff配置索引'!AC:AC,MATCH($F592,'#建筑消耗和buff配置索引'!$M:$M,0))</f>
        <v>100000</v>
      </c>
      <c r="N592" s="142">
        <f>INDEX('#建筑消耗和buff配置索引'!AD:AD,MATCH($F592,'#建筑消耗和buff配置索引'!$M:$M,0))</f>
        <v>210000</v>
      </c>
      <c r="O592" s="150" t="str">
        <f>IF(INDEX('#建筑消耗和buff配置索引'!T:T,MATCH($F592,'#建筑消耗和buff配置索引'!$M:$M,0))=0,"",INDEX('#建筑消耗和buff配置索引'!T:T,MATCH($F592,'#建筑消耗和buff配置索引'!$M:$M,0)))</f>
        <v/>
      </c>
      <c r="P592" s="133" t="str">
        <f>IF(INDEX('#建筑消耗和buff配置索引'!U:U,MATCH($F592,'#建筑消耗和buff配置索引'!$M:$M,0))=0,"",INDEX('#建筑消耗和buff配置索引'!U:U,MATCH($F592,'#建筑消耗和buff配置索引'!$M:$M,0)))</f>
        <v/>
      </c>
      <c r="Q592" s="133" t="str">
        <f>IF(INDEX('#建筑消耗和buff配置索引'!K:K,MATCH($F592,'#建筑消耗和buff配置索引'!$M:$M,0))=0,"",INDEX('#建筑消耗和buff配置索引'!K:K,MATCH($F592,'#建筑消耗和buff配置索引'!$M:$M,0)))</f>
        <v>201</v>
      </c>
      <c r="R592" s="133" t="str">
        <f>IF(INDEX('#建筑消耗和buff配置索引'!L:L,MATCH($F592,'#建筑消耗和buff配置索引'!$M:$M,0))=0,"",INDEX('#建筑消耗和buff配置索引'!L:L,MATCH($F592,'#建筑消耗和buff配置索引'!$M:$M,0)))</f>
        <v>11</v>
      </c>
      <c r="S592" s="140">
        <f>IF(INDEX('#建筑消耗和buff配置索引'!C:C,MATCH(F592,'#建筑消耗和buff配置索引'!M:M,0))=0,1,INDEX('#建筑消耗和buff配置索引'!C:C,MATCH(F592,'#建筑消耗和buff配置索引'!M:M,0)))</f>
        <v>1</v>
      </c>
      <c r="T592" s="140">
        <v>0</v>
      </c>
      <c r="U592" s="140">
        <v>0</v>
      </c>
      <c r="V592" s="133" t="str">
        <f>IF(E592=1,IF(INDEX('#建筑消耗和buff配置索引'!BY:BY,MATCH(D592,'#建筑消耗和buff配置索引'!A:A,0))=0,"",INDEX('#建筑消耗和buff配置索引'!BY:BY,MATCH(D592,'#建筑消耗和buff配置索引'!A:A,0))),"")</f>
        <v/>
      </c>
      <c r="W592" s="133" t="str">
        <f>IF(E592=1,IF(INDEX('#建筑消耗和buff配置索引'!BZ:BZ,MATCH(D592,'#建筑消耗和buff配置索引'!A:A,0))=0,"",INDEX('#建筑消耗和buff配置索引'!BZ:BZ,MATCH(D592,'#建筑消耗和buff配置索引'!A:A,0))),"")</f>
        <v/>
      </c>
      <c r="AA592" s="140">
        <f>INDEX('#建筑消耗和buff配置索引'!AO:AO,MATCH($F592,'#建筑消耗和buff配置索引'!$M:$M,0))</f>
        <v>2770</v>
      </c>
      <c r="AB592" s="133">
        <f>IF(INDEX('#建筑消耗和buff配置索引'!AR:AR,MATCH($F592,'#建筑消耗和buff配置索引'!$M:$M,0))=0,"",INDEX('#建筑消耗和buff配置索引'!AR:AR,MATCH($F592,'#建筑消耗和buff配置索引'!$M:$M,0)))</f>
        <v>1261</v>
      </c>
      <c r="AC592" s="133">
        <f>IF(AB592="","",INDEX('#建筑消耗和buff配置索引'!AS:AS,MATCH($F592,'#建筑消耗和buff配置索引'!$M:$M,0)))</f>
        <v>360000</v>
      </c>
      <c r="AF592" s="140" t="str">
        <f>IF(INDEX('#建筑消耗和buff配置索引'!AW:AW,MATCH($F592,'#建筑消耗和buff配置索引'!$M:$M,0))=0,"",INDEX('#建筑消耗和buff配置索引'!AW:AW,MATCH($F592,'#建筑消耗和buff配置索引'!$M:$M,0)))</f>
        <v/>
      </c>
      <c r="AG592" s="140" t="str">
        <f>IF(AF592="","",INDEX('#建筑消耗和buff配置索引'!AX:AX,MATCH($F592,'#建筑消耗和buff配置索引'!$M:$M,0)))</f>
        <v/>
      </c>
      <c r="AJ592" s="133" t="str">
        <f>IF(INDEX('#建筑消耗和buff配置索引'!BB:BB,MATCH($F592,'#建筑消耗和buff配置索引'!$M:$M,0))=0,"",INDEX('#建筑消耗和buff配置索引'!BB:BB,MATCH($F592,'#建筑消耗和buff配置索引'!$M:$M,0)))</f>
        <v/>
      </c>
      <c r="AK592" s="133" t="str">
        <f>IF(AJ592="","",INDEX('#建筑消耗和buff配置索引'!BC:BC,MATCH($F592,'#建筑消耗和buff配置索引'!$M:$M,0)))</f>
        <v/>
      </c>
      <c r="AL592" s="133"/>
      <c r="AM592" s="133"/>
      <c r="AN592" s="133" t="str">
        <f>IF(INDEX('#建筑消耗和buff配置索引'!BG:BG,MATCH($F592,'#建筑消耗和buff配置索引'!$M:$M,0))=0,"",INDEX('#建筑消耗和buff配置索引'!BG:BG,MATCH($F592,'#建筑消耗和buff配置索引'!$M:$M,0)))</f>
        <v/>
      </c>
      <c r="AO592" s="133" t="str">
        <f>IF(AN592="","",INDEX('#建筑消耗和buff配置索引'!BH:BH,MATCH($F592,'#建筑消耗和buff配置索引'!$M:$M,0)))</f>
        <v/>
      </c>
      <c r="AP592" s="133"/>
      <c r="AQ592" s="133"/>
      <c r="AR592" s="133" t="str">
        <f>IF(INDEX('#建筑消耗和buff配置索引'!BK:BK,MATCH($F592,'#建筑消耗和buff配置索引'!$M:$M,0))=0,"",INDEX('#建筑消耗和buff配置索引'!BK:BK,MATCH($F592,'#建筑消耗和buff配置索引'!$M:$M,0)))</f>
        <v/>
      </c>
      <c r="AS592" s="133" t="str">
        <f>IF(AR592="","",INDEX('#建筑消耗和buff配置索引'!BL:BL,MATCH($F592,'#建筑消耗和buff配置索引'!$M:$M,0)))</f>
        <v/>
      </c>
      <c r="AT592" s="133"/>
      <c r="AU592" s="133"/>
      <c r="AV592" s="133" t="str">
        <f>IF(INDEX('#建筑消耗和buff配置索引'!BO:BO,MATCH($F592,'#建筑消耗和buff配置索引'!$M:$M,0))=0,"",INDEX('#建筑消耗和buff配置索引'!BO:BO,MATCH($F592,'#建筑消耗和buff配置索引'!$M:$M,0)))</f>
        <v/>
      </c>
      <c r="AW592" s="133" t="str">
        <f>IF(AV592="","",INDEX('#建筑消耗和buff配置索引'!BP:BP,MATCH($F592,'#建筑消耗和buff配置索引'!$M:$M,0)))</f>
        <v/>
      </c>
      <c r="AX592" s="133"/>
      <c r="AY592" s="133"/>
      <c r="AZ592" s="133" t="str">
        <f>IF(INDEX('#建筑消耗和buff配置索引'!BS:BS,MATCH($F592,'#建筑消耗和buff配置索引'!$M:$M,0))=0,"",INDEX('#建筑消耗和buff配置索引'!BS:BS,MATCH($F592,'#建筑消耗和buff配置索引'!$M:$M,0)))</f>
        <v/>
      </c>
      <c r="BA592" s="133" t="str">
        <f>IF(AZ592="","",INDEX('#建筑消耗和buff配置索引'!BT:BT,MATCH($F592,'#建筑消耗和buff配置索引'!$M:$M,0)))</f>
        <v/>
      </c>
      <c r="BB592" s="133"/>
      <c r="BC592" s="133"/>
      <c r="BD592" s="133" t="str">
        <f>IF(INDEX('#建筑消耗和buff配置索引'!BW:BW,MATCH($F592,'#建筑消耗和buff配置索引'!$M:$M,0))=0,"",INDEX('#建筑消耗和buff配置索引'!BW:BW,MATCH($F592,'#建筑消耗和buff配置索引'!$M:$M,0)))</f>
        <v/>
      </c>
      <c r="BE592" s="133" t="str">
        <f>IF(BD592="","",INDEX('#建筑消耗和buff配置索引'!BX:BX,MATCH($F592,'#建筑消耗和buff配置索引'!$M:$M,0)))</f>
        <v/>
      </c>
      <c r="BI592" s="140">
        <v>23</v>
      </c>
    </row>
    <row r="593" spans="1:61">
      <c r="A593" s="140">
        <v>4000012</v>
      </c>
      <c r="B593" s="140">
        <v>595</v>
      </c>
      <c r="C593" s="140">
        <v>400</v>
      </c>
      <c r="D593" s="140" t="s">
        <v>1014</v>
      </c>
      <c r="E593" s="140">
        <v>12</v>
      </c>
      <c r="F593" s="133" t="str">
        <f t="shared" si="10"/>
        <v>仓库12</v>
      </c>
      <c r="I593" s="140">
        <v>0</v>
      </c>
      <c r="J593" s="150">
        <f>INDEX('#建筑消耗和buff配置索引'!AH:AH,MATCH($F593,'#建筑消耗和buff配置索引'!$M:$M,0))</f>
        <v>12960</v>
      </c>
      <c r="K593" s="142">
        <f>INDEX('#建筑消耗和buff配置索引'!AA:AA,MATCH($F593,'#建筑消耗和buff配置索引'!$M:$M,0))</f>
        <v>150000</v>
      </c>
      <c r="L593" s="142">
        <f>INDEX('#建筑消耗和buff配置索引'!AB:AB,MATCH($F593,'#建筑消耗和buff配置索引'!$M:$M,0))</f>
        <v>150000</v>
      </c>
      <c r="M593" s="142">
        <f>INDEX('#建筑消耗和buff配置索引'!AC:AC,MATCH($F593,'#建筑消耗和buff配置索引'!$M:$M,0))</f>
        <v>150000</v>
      </c>
      <c r="N593" s="142">
        <f>INDEX('#建筑消耗和buff配置索引'!AD:AD,MATCH($F593,'#建筑消耗和buff配置索引'!$M:$M,0))</f>
        <v>300000</v>
      </c>
      <c r="O593" s="150" t="str">
        <f>IF(INDEX('#建筑消耗和buff配置索引'!T:T,MATCH($F593,'#建筑消耗和buff配置索引'!$M:$M,0))=0,"",INDEX('#建筑消耗和buff配置索引'!T:T,MATCH($F593,'#建筑消耗和buff配置索引'!$M:$M,0)))</f>
        <v/>
      </c>
      <c r="P593" s="133" t="str">
        <f>IF(INDEX('#建筑消耗和buff配置索引'!U:U,MATCH($F593,'#建筑消耗和buff配置索引'!$M:$M,0))=0,"",INDEX('#建筑消耗和buff配置索引'!U:U,MATCH($F593,'#建筑消耗和buff配置索引'!$M:$M,0)))</f>
        <v/>
      </c>
      <c r="Q593" s="133" t="str">
        <f>IF(INDEX('#建筑消耗和buff配置索引'!K:K,MATCH($F593,'#建筑消耗和buff配置索引'!$M:$M,0))=0,"",INDEX('#建筑消耗和buff配置索引'!K:K,MATCH($F593,'#建筑消耗和buff配置索引'!$M:$M,0)))</f>
        <v>201</v>
      </c>
      <c r="R593" s="133" t="str">
        <f>IF(INDEX('#建筑消耗和buff配置索引'!L:L,MATCH($F593,'#建筑消耗和buff配置索引'!$M:$M,0))=0,"",INDEX('#建筑消耗和buff配置索引'!L:L,MATCH($F593,'#建筑消耗和buff配置索引'!$M:$M,0)))</f>
        <v>12</v>
      </c>
      <c r="S593" s="140">
        <f>IF(INDEX('#建筑消耗和buff配置索引'!C:C,MATCH(F593,'#建筑消耗和buff配置索引'!M:M,0))=0,1,INDEX('#建筑消耗和buff配置索引'!C:C,MATCH(F593,'#建筑消耗和buff配置索引'!M:M,0)))</f>
        <v>1</v>
      </c>
      <c r="T593" s="140">
        <v>0</v>
      </c>
      <c r="U593" s="140">
        <v>0</v>
      </c>
      <c r="V593" s="133" t="str">
        <f>IF(E593=1,IF(INDEX('#建筑消耗和buff配置索引'!BY:BY,MATCH(D593,'#建筑消耗和buff配置索引'!A:A,0))=0,"",INDEX('#建筑消耗和buff配置索引'!BY:BY,MATCH(D593,'#建筑消耗和buff配置索引'!A:A,0))),"")</f>
        <v/>
      </c>
      <c r="W593" s="133" t="str">
        <f>IF(E593=1,IF(INDEX('#建筑消耗和buff配置索引'!BZ:BZ,MATCH(D593,'#建筑消耗和buff配置索引'!A:A,0))=0,"",INDEX('#建筑消耗和buff配置索引'!BZ:BZ,MATCH(D593,'#建筑消耗和buff配置索引'!A:A,0))),"")</f>
        <v/>
      </c>
      <c r="AA593" s="140">
        <f>INDEX('#建筑消耗和buff配置索引'!AO:AO,MATCH($F593,'#建筑消耗和buff配置索引'!$M:$M,0))</f>
        <v>4273</v>
      </c>
      <c r="AB593" s="133">
        <f>IF(INDEX('#建筑消耗和buff配置索引'!AR:AR,MATCH($F593,'#建筑消耗和buff配置索引'!$M:$M,0))=0,"",INDEX('#建筑消耗和buff配置索引'!AR:AR,MATCH($F593,'#建筑消耗和buff配置索引'!$M:$M,0)))</f>
        <v>1261</v>
      </c>
      <c r="AC593" s="133">
        <f>IF(AB593="","",INDEX('#建筑消耗和buff配置索引'!AS:AS,MATCH($F593,'#建筑消耗和buff配置索引'!$M:$M,0)))</f>
        <v>420000</v>
      </c>
      <c r="AF593" s="140" t="str">
        <f>IF(INDEX('#建筑消耗和buff配置索引'!AW:AW,MATCH($F593,'#建筑消耗和buff配置索引'!$M:$M,0))=0,"",INDEX('#建筑消耗和buff配置索引'!AW:AW,MATCH($F593,'#建筑消耗和buff配置索引'!$M:$M,0)))</f>
        <v/>
      </c>
      <c r="AG593" s="140" t="str">
        <f>IF(AF593="","",INDEX('#建筑消耗和buff配置索引'!AX:AX,MATCH($F593,'#建筑消耗和buff配置索引'!$M:$M,0)))</f>
        <v/>
      </c>
      <c r="AJ593" s="133" t="str">
        <f>IF(INDEX('#建筑消耗和buff配置索引'!BB:BB,MATCH($F593,'#建筑消耗和buff配置索引'!$M:$M,0))=0,"",INDEX('#建筑消耗和buff配置索引'!BB:BB,MATCH($F593,'#建筑消耗和buff配置索引'!$M:$M,0)))</f>
        <v/>
      </c>
      <c r="AK593" s="133" t="str">
        <f>IF(AJ593="","",INDEX('#建筑消耗和buff配置索引'!BC:BC,MATCH($F593,'#建筑消耗和buff配置索引'!$M:$M,0)))</f>
        <v/>
      </c>
      <c r="AL593" s="133"/>
      <c r="AM593" s="133"/>
      <c r="AN593" s="133" t="str">
        <f>IF(INDEX('#建筑消耗和buff配置索引'!BG:BG,MATCH($F593,'#建筑消耗和buff配置索引'!$M:$M,0))=0,"",INDEX('#建筑消耗和buff配置索引'!BG:BG,MATCH($F593,'#建筑消耗和buff配置索引'!$M:$M,0)))</f>
        <v/>
      </c>
      <c r="AO593" s="133" t="str">
        <f>IF(AN593="","",INDEX('#建筑消耗和buff配置索引'!BH:BH,MATCH($F593,'#建筑消耗和buff配置索引'!$M:$M,0)))</f>
        <v/>
      </c>
      <c r="AP593" s="133"/>
      <c r="AQ593" s="133"/>
      <c r="AR593" s="133" t="str">
        <f>IF(INDEX('#建筑消耗和buff配置索引'!BK:BK,MATCH($F593,'#建筑消耗和buff配置索引'!$M:$M,0))=0,"",INDEX('#建筑消耗和buff配置索引'!BK:BK,MATCH($F593,'#建筑消耗和buff配置索引'!$M:$M,0)))</f>
        <v/>
      </c>
      <c r="AS593" s="133" t="str">
        <f>IF(AR593="","",INDEX('#建筑消耗和buff配置索引'!BL:BL,MATCH($F593,'#建筑消耗和buff配置索引'!$M:$M,0)))</f>
        <v/>
      </c>
      <c r="AT593" s="133"/>
      <c r="AU593" s="133"/>
      <c r="AV593" s="133" t="str">
        <f>IF(INDEX('#建筑消耗和buff配置索引'!BO:BO,MATCH($F593,'#建筑消耗和buff配置索引'!$M:$M,0))=0,"",INDEX('#建筑消耗和buff配置索引'!BO:BO,MATCH($F593,'#建筑消耗和buff配置索引'!$M:$M,0)))</f>
        <v/>
      </c>
      <c r="AW593" s="133" t="str">
        <f>IF(AV593="","",INDEX('#建筑消耗和buff配置索引'!BP:BP,MATCH($F593,'#建筑消耗和buff配置索引'!$M:$M,0)))</f>
        <v/>
      </c>
      <c r="AX593" s="133"/>
      <c r="AY593" s="133"/>
      <c r="AZ593" s="133" t="str">
        <f>IF(INDEX('#建筑消耗和buff配置索引'!BS:BS,MATCH($F593,'#建筑消耗和buff配置索引'!$M:$M,0))=0,"",INDEX('#建筑消耗和buff配置索引'!BS:BS,MATCH($F593,'#建筑消耗和buff配置索引'!$M:$M,0)))</f>
        <v/>
      </c>
      <c r="BA593" s="133" t="str">
        <f>IF(AZ593="","",INDEX('#建筑消耗和buff配置索引'!BT:BT,MATCH($F593,'#建筑消耗和buff配置索引'!$M:$M,0)))</f>
        <v/>
      </c>
      <c r="BB593" s="133"/>
      <c r="BC593" s="133"/>
      <c r="BD593" s="133" t="str">
        <f>IF(INDEX('#建筑消耗和buff配置索引'!BW:BW,MATCH($F593,'#建筑消耗和buff配置索引'!$M:$M,0))=0,"",INDEX('#建筑消耗和buff配置索引'!BW:BW,MATCH($F593,'#建筑消耗和buff配置索引'!$M:$M,0)))</f>
        <v/>
      </c>
      <c r="BE593" s="133" t="str">
        <f>IF(BD593="","",INDEX('#建筑消耗和buff配置索引'!BX:BX,MATCH($F593,'#建筑消耗和buff配置索引'!$M:$M,0)))</f>
        <v/>
      </c>
      <c r="BI593" s="140">
        <v>23</v>
      </c>
    </row>
    <row r="594" spans="1:61">
      <c r="A594" s="140">
        <v>4000013</v>
      </c>
      <c r="B594" s="140">
        <v>596</v>
      </c>
      <c r="C594" s="140">
        <v>400</v>
      </c>
      <c r="D594" s="140" t="s">
        <v>1014</v>
      </c>
      <c r="E594" s="140">
        <v>13</v>
      </c>
      <c r="F594" s="133" t="str">
        <f t="shared" si="10"/>
        <v>仓库13</v>
      </c>
      <c r="I594" s="140">
        <v>0</v>
      </c>
      <c r="J594" s="150">
        <f>INDEX('#建筑消耗和buff配置索引'!AH:AH,MATCH($F594,'#建筑消耗和buff配置索引'!$M:$M,0))</f>
        <v>17280</v>
      </c>
      <c r="K594" s="142">
        <f>INDEX('#建筑消耗和buff配置索引'!AA:AA,MATCH($F594,'#建筑消耗和buff配置索引'!$M:$M,0))</f>
        <v>210000</v>
      </c>
      <c r="L594" s="142">
        <f>INDEX('#建筑消耗和buff配置索引'!AB:AB,MATCH($F594,'#建筑消耗和buff配置索引'!$M:$M,0))</f>
        <v>210000</v>
      </c>
      <c r="M594" s="142">
        <f>INDEX('#建筑消耗和buff配置索引'!AC:AC,MATCH($F594,'#建筑消耗和buff配置索引'!$M:$M,0))</f>
        <v>210000</v>
      </c>
      <c r="N594" s="142">
        <f>INDEX('#建筑消耗和buff配置索引'!AD:AD,MATCH($F594,'#建筑消耗和buff配置索引'!$M:$M,0))</f>
        <v>410000</v>
      </c>
      <c r="O594" s="150" t="str">
        <f>IF(INDEX('#建筑消耗和buff配置索引'!T:T,MATCH($F594,'#建筑消耗和buff配置索引'!$M:$M,0))=0,"",INDEX('#建筑消耗和buff配置索引'!T:T,MATCH($F594,'#建筑消耗和buff配置索引'!$M:$M,0)))</f>
        <v/>
      </c>
      <c r="P594" s="133" t="str">
        <f>IF(INDEX('#建筑消耗和buff配置索引'!U:U,MATCH($F594,'#建筑消耗和buff配置索引'!$M:$M,0))=0,"",INDEX('#建筑消耗和buff配置索引'!U:U,MATCH($F594,'#建筑消耗和buff配置索引'!$M:$M,0)))</f>
        <v/>
      </c>
      <c r="Q594" s="133" t="str">
        <f>IF(INDEX('#建筑消耗和buff配置索引'!K:K,MATCH($F594,'#建筑消耗和buff配置索引'!$M:$M,0))=0,"",INDEX('#建筑消耗和buff配置索引'!K:K,MATCH($F594,'#建筑消耗和buff配置索引'!$M:$M,0)))</f>
        <v>201</v>
      </c>
      <c r="R594" s="133" t="str">
        <f>IF(INDEX('#建筑消耗和buff配置索引'!L:L,MATCH($F594,'#建筑消耗和buff配置索引'!$M:$M,0))=0,"",INDEX('#建筑消耗和buff配置索引'!L:L,MATCH($F594,'#建筑消耗和buff配置索引'!$M:$M,0)))</f>
        <v>13</v>
      </c>
      <c r="S594" s="140">
        <f>IF(INDEX('#建筑消耗和buff配置索引'!C:C,MATCH(F594,'#建筑消耗和buff配置索引'!M:M,0))=0,1,INDEX('#建筑消耗和buff配置索引'!C:C,MATCH(F594,'#建筑消耗和buff配置索引'!M:M,0)))</f>
        <v>1</v>
      </c>
      <c r="T594" s="140">
        <v>0</v>
      </c>
      <c r="U594" s="140">
        <v>0</v>
      </c>
      <c r="V594" s="133" t="str">
        <f>IF(E594=1,IF(INDEX('#建筑消耗和buff配置索引'!BY:BY,MATCH(D594,'#建筑消耗和buff配置索引'!A:A,0))=0,"",INDEX('#建筑消耗和buff配置索引'!BY:BY,MATCH(D594,'#建筑消耗和buff配置索引'!A:A,0))),"")</f>
        <v/>
      </c>
      <c r="W594" s="133" t="str">
        <f>IF(E594=1,IF(INDEX('#建筑消耗和buff配置索引'!BZ:BZ,MATCH(D594,'#建筑消耗和buff配置索引'!A:A,0))=0,"",INDEX('#建筑消耗和buff配置索引'!BZ:BZ,MATCH(D594,'#建筑消耗和buff配置索引'!A:A,0))),"")</f>
        <v/>
      </c>
      <c r="AA594" s="140">
        <f>INDEX('#建筑消耗和buff配置索引'!AO:AO,MATCH($F594,'#建筑消耗和buff配置索引'!$M:$M,0))</f>
        <v>6333</v>
      </c>
      <c r="AB594" s="133">
        <f>IF(INDEX('#建筑消耗和buff配置索引'!AR:AR,MATCH($F594,'#建筑消耗和buff配置索引'!$M:$M,0))=0,"",INDEX('#建筑消耗和buff配置索引'!AR:AR,MATCH($F594,'#建筑消耗和buff配置索引'!$M:$M,0)))</f>
        <v>1261</v>
      </c>
      <c r="AC594" s="133">
        <f>IF(AB594="","",INDEX('#建筑消耗和buff配置索引'!AS:AS,MATCH($F594,'#建筑消耗和buff配置索引'!$M:$M,0)))</f>
        <v>480000</v>
      </c>
      <c r="AF594" s="140" t="str">
        <f>IF(INDEX('#建筑消耗和buff配置索引'!AW:AW,MATCH($F594,'#建筑消耗和buff配置索引'!$M:$M,0))=0,"",INDEX('#建筑消耗和buff配置索引'!AW:AW,MATCH($F594,'#建筑消耗和buff配置索引'!$M:$M,0)))</f>
        <v/>
      </c>
      <c r="AG594" s="140" t="str">
        <f>IF(AF594="","",INDEX('#建筑消耗和buff配置索引'!AX:AX,MATCH($F594,'#建筑消耗和buff配置索引'!$M:$M,0)))</f>
        <v/>
      </c>
      <c r="AJ594" s="133" t="str">
        <f>IF(INDEX('#建筑消耗和buff配置索引'!BB:BB,MATCH($F594,'#建筑消耗和buff配置索引'!$M:$M,0))=0,"",INDEX('#建筑消耗和buff配置索引'!BB:BB,MATCH($F594,'#建筑消耗和buff配置索引'!$M:$M,0)))</f>
        <v/>
      </c>
      <c r="AK594" s="133" t="str">
        <f>IF(AJ594="","",INDEX('#建筑消耗和buff配置索引'!BC:BC,MATCH($F594,'#建筑消耗和buff配置索引'!$M:$M,0)))</f>
        <v/>
      </c>
      <c r="AL594" s="133"/>
      <c r="AM594" s="133"/>
      <c r="AN594" s="133" t="str">
        <f>IF(INDEX('#建筑消耗和buff配置索引'!BG:BG,MATCH($F594,'#建筑消耗和buff配置索引'!$M:$M,0))=0,"",INDEX('#建筑消耗和buff配置索引'!BG:BG,MATCH($F594,'#建筑消耗和buff配置索引'!$M:$M,0)))</f>
        <v/>
      </c>
      <c r="AO594" s="133" t="str">
        <f>IF(AN594="","",INDEX('#建筑消耗和buff配置索引'!BH:BH,MATCH($F594,'#建筑消耗和buff配置索引'!$M:$M,0)))</f>
        <v/>
      </c>
      <c r="AP594" s="133"/>
      <c r="AQ594" s="133"/>
      <c r="AR594" s="133" t="str">
        <f>IF(INDEX('#建筑消耗和buff配置索引'!BK:BK,MATCH($F594,'#建筑消耗和buff配置索引'!$M:$M,0))=0,"",INDEX('#建筑消耗和buff配置索引'!BK:BK,MATCH($F594,'#建筑消耗和buff配置索引'!$M:$M,0)))</f>
        <v/>
      </c>
      <c r="AS594" s="133" t="str">
        <f>IF(AR594="","",INDEX('#建筑消耗和buff配置索引'!BL:BL,MATCH($F594,'#建筑消耗和buff配置索引'!$M:$M,0)))</f>
        <v/>
      </c>
      <c r="AT594" s="133"/>
      <c r="AU594" s="133"/>
      <c r="AV594" s="133" t="str">
        <f>IF(INDEX('#建筑消耗和buff配置索引'!BO:BO,MATCH($F594,'#建筑消耗和buff配置索引'!$M:$M,0))=0,"",INDEX('#建筑消耗和buff配置索引'!BO:BO,MATCH($F594,'#建筑消耗和buff配置索引'!$M:$M,0)))</f>
        <v/>
      </c>
      <c r="AW594" s="133" t="str">
        <f>IF(AV594="","",INDEX('#建筑消耗和buff配置索引'!BP:BP,MATCH($F594,'#建筑消耗和buff配置索引'!$M:$M,0)))</f>
        <v/>
      </c>
      <c r="AX594" s="133"/>
      <c r="AY594" s="133"/>
      <c r="AZ594" s="133" t="str">
        <f>IF(INDEX('#建筑消耗和buff配置索引'!BS:BS,MATCH($F594,'#建筑消耗和buff配置索引'!$M:$M,0))=0,"",INDEX('#建筑消耗和buff配置索引'!BS:BS,MATCH($F594,'#建筑消耗和buff配置索引'!$M:$M,0)))</f>
        <v/>
      </c>
      <c r="BA594" s="133" t="str">
        <f>IF(AZ594="","",INDEX('#建筑消耗和buff配置索引'!BT:BT,MATCH($F594,'#建筑消耗和buff配置索引'!$M:$M,0)))</f>
        <v/>
      </c>
      <c r="BB594" s="133"/>
      <c r="BC594" s="133"/>
      <c r="BD594" s="133" t="str">
        <f>IF(INDEX('#建筑消耗和buff配置索引'!BW:BW,MATCH($F594,'#建筑消耗和buff配置索引'!$M:$M,0))=0,"",INDEX('#建筑消耗和buff配置索引'!BW:BW,MATCH($F594,'#建筑消耗和buff配置索引'!$M:$M,0)))</f>
        <v/>
      </c>
      <c r="BE594" s="133" t="str">
        <f>IF(BD594="","",INDEX('#建筑消耗和buff配置索引'!BX:BX,MATCH($F594,'#建筑消耗和buff配置索引'!$M:$M,0)))</f>
        <v/>
      </c>
      <c r="BI594" s="140">
        <v>23</v>
      </c>
    </row>
    <row r="595" spans="1:61">
      <c r="A595" s="140">
        <v>4000014</v>
      </c>
      <c r="B595" s="140">
        <v>597</v>
      </c>
      <c r="C595" s="140">
        <v>400</v>
      </c>
      <c r="D595" s="140" t="s">
        <v>1014</v>
      </c>
      <c r="E595" s="140">
        <v>14</v>
      </c>
      <c r="F595" s="133" t="str">
        <f t="shared" si="10"/>
        <v>仓库14</v>
      </c>
      <c r="I595" s="140">
        <v>0</v>
      </c>
      <c r="J595" s="150">
        <f>INDEX('#建筑消耗和buff配置索引'!AH:AH,MATCH($F595,'#建筑消耗和buff配置索引'!$M:$M,0))</f>
        <v>21600</v>
      </c>
      <c r="K595" s="142">
        <f>INDEX('#建筑消耗和buff配置索引'!AA:AA,MATCH($F595,'#建筑消耗和buff配置索引'!$M:$M,0))</f>
        <v>270000</v>
      </c>
      <c r="L595" s="142">
        <f>INDEX('#建筑消耗和buff配置索引'!AB:AB,MATCH($F595,'#建筑消耗和buff配置索引'!$M:$M,0))</f>
        <v>270000</v>
      </c>
      <c r="M595" s="142">
        <f>INDEX('#建筑消耗和buff配置索引'!AC:AC,MATCH($F595,'#建筑消耗和buff配置索引'!$M:$M,0))</f>
        <v>270000</v>
      </c>
      <c r="N595" s="142">
        <f>INDEX('#建筑消耗和buff配置索引'!AD:AD,MATCH($F595,'#建筑消耗和buff配置索引'!$M:$M,0))</f>
        <v>540000</v>
      </c>
      <c r="O595" s="150" t="str">
        <f>IF(INDEX('#建筑消耗和buff配置索引'!T:T,MATCH($F595,'#建筑消耗和buff配置索引'!$M:$M,0))=0,"",INDEX('#建筑消耗和buff配置索引'!T:T,MATCH($F595,'#建筑消耗和buff配置索引'!$M:$M,0)))</f>
        <v/>
      </c>
      <c r="P595" s="133" t="str">
        <f>IF(INDEX('#建筑消耗和buff配置索引'!U:U,MATCH($F595,'#建筑消耗和buff配置索引'!$M:$M,0))=0,"",INDEX('#建筑消耗和buff配置索引'!U:U,MATCH($F595,'#建筑消耗和buff配置索引'!$M:$M,0)))</f>
        <v/>
      </c>
      <c r="Q595" s="133" t="str">
        <f>IF(INDEX('#建筑消耗和buff配置索引'!K:K,MATCH($F595,'#建筑消耗和buff配置索引'!$M:$M,0))=0,"",INDEX('#建筑消耗和buff配置索引'!K:K,MATCH($F595,'#建筑消耗和buff配置索引'!$M:$M,0)))</f>
        <v>201</v>
      </c>
      <c r="R595" s="133" t="str">
        <f>IF(INDEX('#建筑消耗和buff配置索引'!L:L,MATCH($F595,'#建筑消耗和buff配置索引'!$M:$M,0))=0,"",INDEX('#建筑消耗和buff配置索引'!L:L,MATCH($F595,'#建筑消耗和buff配置索引'!$M:$M,0)))</f>
        <v>14</v>
      </c>
      <c r="S595" s="140">
        <f>IF(INDEX('#建筑消耗和buff配置索引'!C:C,MATCH(F595,'#建筑消耗和buff配置索引'!M:M,0))=0,1,INDEX('#建筑消耗和buff配置索引'!C:C,MATCH(F595,'#建筑消耗和buff配置索引'!M:M,0)))</f>
        <v>1</v>
      </c>
      <c r="T595" s="140">
        <v>0</v>
      </c>
      <c r="U595" s="140">
        <v>0</v>
      </c>
      <c r="V595" s="133" t="str">
        <f>IF(E595=1,IF(INDEX('#建筑消耗和buff配置索引'!BY:BY,MATCH(D595,'#建筑消耗和buff配置索引'!A:A,0))=0,"",INDEX('#建筑消耗和buff配置索引'!BY:BY,MATCH(D595,'#建筑消耗和buff配置索引'!A:A,0))),"")</f>
        <v/>
      </c>
      <c r="W595" s="133" t="str">
        <f>IF(E595=1,IF(INDEX('#建筑消耗和buff配置索引'!BZ:BZ,MATCH(D595,'#建筑消耗和buff配置索引'!A:A,0))=0,"",INDEX('#建筑消耗和buff配置索引'!BZ:BZ,MATCH(D595,'#建筑消耗和buff配置索引'!A:A,0))),"")</f>
        <v/>
      </c>
      <c r="AA595" s="140">
        <f>INDEX('#建筑消耗和buff配置索引'!AO:AO,MATCH($F595,'#建筑消耗和buff配置索引'!$M:$M,0))</f>
        <v>9011</v>
      </c>
      <c r="AB595" s="133">
        <f>IF(INDEX('#建筑消耗和buff配置索引'!AR:AR,MATCH($F595,'#建筑消耗和buff配置索引'!$M:$M,0))=0,"",INDEX('#建筑消耗和buff配置索引'!AR:AR,MATCH($F595,'#建筑消耗和buff配置索引'!$M:$M,0)))</f>
        <v>1261</v>
      </c>
      <c r="AC595" s="133">
        <f>IF(AB595="","",INDEX('#建筑消耗和buff配置索引'!AS:AS,MATCH($F595,'#建筑消耗和buff配置索引'!$M:$M,0)))</f>
        <v>540000</v>
      </c>
      <c r="AF595" s="140" t="str">
        <f>IF(INDEX('#建筑消耗和buff配置索引'!AW:AW,MATCH($F595,'#建筑消耗和buff配置索引'!$M:$M,0))=0,"",INDEX('#建筑消耗和buff配置索引'!AW:AW,MATCH($F595,'#建筑消耗和buff配置索引'!$M:$M,0)))</f>
        <v/>
      </c>
      <c r="AG595" s="140" t="str">
        <f>IF(AF595="","",INDEX('#建筑消耗和buff配置索引'!AX:AX,MATCH($F595,'#建筑消耗和buff配置索引'!$M:$M,0)))</f>
        <v/>
      </c>
      <c r="AJ595" s="133" t="str">
        <f>IF(INDEX('#建筑消耗和buff配置索引'!BB:BB,MATCH($F595,'#建筑消耗和buff配置索引'!$M:$M,0))=0,"",INDEX('#建筑消耗和buff配置索引'!BB:BB,MATCH($F595,'#建筑消耗和buff配置索引'!$M:$M,0)))</f>
        <v/>
      </c>
      <c r="AK595" s="133" t="str">
        <f>IF(AJ595="","",INDEX('#建筑消耗和buff配置索引'!BC:BC,MATCH($F595,'#建筑消耗和buff配置索引'!$M:$M,0)))</f>
        <v/>
      </c>
      <c r="AL595" s="133"/>
      <c r="AM595" s="133"/>
      <c r="AN595" s="133" t="str">
        <f>IF(INDEX('#建筑消耗和buff配置索引'!BG:BG,MATCH($F595,'#建筑消耗和buff配置索引'!$M:$M,0))=0,"",INDEX('#建筑消耗和buff配置索引'!BG:BG,MATCH($F595,'#建筑消耗和buff配置索引'!$M:$M,0)))</f>
        <v/>
      </c>
      <c r="AO595" s="133" t="str">
        <f>IF(AN595="","",INDEX('#建筑消耗和buff配置索引'!BH:BH,MATCH($F595,'#建筑消耗和buff配置索引'!$M:$M,0)))</f>
        <v/>
      </c>
      <c r="AP595" s="133"/>
      <c r="AQ595" s="133"/>
      <c r="AR595" s="133" t="str">
        <f>IF(INDEX('#建筑消耗和buff配置索引'!BK:BK,MATCH($F595,'#建筑消耗和buff配置索引'!$M:$M,0))=0,"",INDEX('#建筑消耗和buff配置索引'!BK:BK,MATCH($F595,'#建筑消耗和buff配置索引'!$M:$M,0)))</f>
        <v/>
      </c>
      <c r="AS595" s="133" t="str">
        <f>IF(AR595="","",INDEX('#建筑消耗和buff配置索引'!BL:BL,MATCH($F595,'#建筑消耗和buff配置索引'!$M:$M,0)))</f>
        <v/>
      </c>
      <c r="AT595" s="133"/>
      <c r="AU595" s="133"/>
      <c r="AV595" s="133" t="str">
        <f>IF(INDEX('#建筑消耗和buff配置索引'!BO:BO,MATCH($F595,'#建筑消耗和buff配置索引'!$M:$M,0))=0,"",INDEX('#建筑消耗和buff配置索引'!BO:BO,MATCH($F595,'#建筑消耗和buff配置索引'!$M:$M,0)))</f>
        <v/>
      </c>
      <c r="AW595" s="133" t="str">
        <f>IF(AV595="","",INDEX('#建筑消耗和buff配置索引'!BP:BP,MATCH($F595,'#建筑消耗和buff配置索引'!$M:$M,0)))</f>
        <v/>
      </c>
      <c r="AX595" s="133"/>
      <c r="AY595" s="133"/>
      <c r="AZ595" s="133" t="str">
        <f>IF(INDEX('#建筑消耗和buff配置索引'!BS:BS,MATCH($F595,'#建筑消耗和buff配置索引'!$M:$M,0))=0,"",INDEX('#建筑消耗和buff配置索引'!BS:BS,MATCH($F595,'#建筑消耗和buff配置索引'!$M:$M,0)))</f>
        <v/>
      </c>
      <c r="BA595" s="133" t="str">
        <f>IF(AZ595="","",INDEX('#建筑消耗和buff配置索引'!BT:BT,MATCH($F595,'#建筑消耗和buff配置索引'!$M:$M,0)))</f>
        <v/>
      </c>
      <c r="BB595" s="133"/>
      <c r="BC595" s="133"/>
      <c r="BD595" s="133" t="str">
        <f>IF(INDEX('#建筑消耗和buff配置索引'!BW:BW,MATCH($F595,'#建筑消耗和buff配置索引'!$M:$M,0))=0,"",INDEX('#建筑消耗和buff配置索引'!BW:BW,MATCH($F595,'#建筑消耗和buff配置索引'!$M:$M,0)))</f>
        <v/>
      </c>
      <c r="BE595" s="133" t="str">
        <f>IF(BD595="","",INDEX('#建筑消耗和buff配置索引'!BX:BX,MATCH($F595,'#建筑消耗和buff配置索引'!$M:$M,0)))</f>
        <v/>
      </c>
      <c r="BI595" s="140">
        <v>23</v>
      </c>
    </row>
    <row r="596" spans="1:61">
      <c r="A596" s="140">
        <v>4000015</v>
      </c>
      <c r="B596" s="140">
        <v>598</v>
      </c>
      <c r="C596" s="140">
        <v>400</v>
      </c>
      <c r="D596" s="140" t="s">
        <v>1014</v>
      </c>
      <c r="E596" s="140">
        <v>15</v>
      </c>
      <c r="F596" s="133" t="str">
        <f t="shared" si="10"/>
        <v>仓库15</v>
      </c>
      <c r="I596" s="140">
        <v>0</v>
      </c>
      <c r="J596" s="150">
        <f>INDEX('#建筑消耗和buff配置索引'!AH:AH,MATCH($F596,'#建筑消耗和buff配置索引'!$M:$M,0))</f>
        <v>25920</v>
      </c>
      <c r="K596" s="142">
        <f>INDEX('#建筑消耗和buff配置索引'!AA:AA,MATCH($F596,'#建筑消耗和buff配置索引'!$M:$M,0))</f>
        <v>340000</v>
      </c>
      <c r="L596" s="142">
        <f>INDEX('#建筑消耗和buff配置索引'!AB:AB,MATCH($F596,'#建筑消耗和buff配置索引'!$M:$M,0))</f>
        <v>340000</v>
      </c>
      <c r="M596" s="142">
        <f>INDEX('#建筑消耗和buff配置索引'!AC:AC,MATCH($F596,'#建筑消耗和buff配置索引'!$M:$M,0))</f>
        <v>340000</v>
      </c>
      <c r="N596" s="142">
        <f>INDEX('#建筑消耗和buff配置索引'!AD:AD,MATCH($F596,'#建筑消耗和buff配置索引'!$M:$M,0))</f>
        <v>690000</v>
      </c>
      <c r="O596" s="150" t="str">
        <f>IF(INDEX('#建筑消耗和buff配置索引'!T:T,MATCH($F596,'#建筑消耗和buff配置索引'!$M:$M,0))=0,"",INDEX('#建筑消耗和buff配置索引'!T:T,MATCH($F596,'#建筑消耗和buff配置索引'!$M:$M,0)))</f>
        <v/>
      </c>
      <c r="P596" s="133" t="str">
        <f>IF(INDEX('#建筑消耗和buff配置索引'!U:U,MATCH($F596,'#建筑消耗和buff配置索引'!$M:$M,0))=0,"",INDEX('#建筑消耗和buff配置索引'!U:U,MATCH($F596,'#建筑消耗和buff配置索引'!$M:$M,0)))</f>
        <v/>
      </c>
      <c r="Q596" s="133" t="str">
        <f>IF(INDEX('#建筑消耗和buff配置索引'!K:K,MATCH($F596,'#建筑消耗和buff配置索引'!$M:$M,0))=0,"",INDEX('#建筑消耗和buff配置索引'!K:K,MATCH($F596,'#建筑消耗和buff配置索引'!$M:$M,0)))</f>
        <v>201</v>
      </c>
      <c r="R596" s="133" t="str">
        <f>IF(INDEX('#建筑消耗和buff配置索引'!L:L,MATCH($F596,'#建筑消耗和buff配置索引'!$M:$M,0))=0,"",INDEX('#建筑消耗和buff配置索引'!L:L,MATCH($F596,'#建筑消耗和buff配置索引'!$M:$M,0)))</f>
        <v>15</v>
      </c>
      <c r="S596" s="140">
        <f>IF(INDEX('#建筑消耗和buff配置索引'!C:C,MATCH(F596,'#建筑消耗和buff配置索引'!M:M,0))=0,1,INDEX('#建筑消耗和buff配置索引'!C:C,MATCH(F596,'#建筑消耗和buff配置索引'!M:M,0)))</f>
        <v>1</v>
      </c>
      <c r="T596" s="140">
        <v>0</v>
      </c>
      <c r="U596" s="140">
        <v>0</v>
      </c>
      <c r="V596" s="133" t="str">
        <f>IF(E596=1,IF(INDEX('#建筑消耗和buff配置索引'!BY:BY,MATCH(D596,'#建筑消耗和buff配置索引'!A:A,0))=0,"",INDEX('#建筑消耗和buff配置索引'!BY:BY,MATCH(D596,'#建筑消耗和buff配置索引'!A:A,0))),"")</f>
        <v/>
      </c>
      <c r="W596" s="133" t="str">
        <f>IF(E596=1,IF(INDEX('#建筑消耗和buff配置索引'!BZ:BZ,MATCH(D596,'#建筑消耗和buff配置索引'!A:A,0))=0,"",INDEX('#建筑消耗和buff配置索引'!BZ:BZ,MATCH(D596,'#建筑消耗和buff配置索引'!A:A,0))),"")</f>
        <v/>
      </c>
      <c r="AA596" s="140">
        <f>INDEX('#建筑消耗和buff配置索引'!AO:AO,MATCH($F596,'#建筑消耗和buff配置索引'!$M:$M,0))</f>
        <v>12439</v>
      </c>
      <c r="AB596" s="133">
        <f>IF(INDEX('#建筑消耗和buff配置索引'!AR:AR,MATCH($F596,'#建筑消耗和buff配置索引'!$M:$M,0))=0,"",INDEX('#建筑消耗和buff配置索引'!AR:AR,MATCH($F596,'#建筑消耗和buff配置索引'!$M:$M,0)))</f>
        <v>1261</v>
      </c>
      <c r="AC596" s="133">
        <f>IF(AB596="","",INDEX('#建筑消耗和buff配置索引'!AS:AS,MATCH($F596,'#建筑消耗和buff配置索引'!$M:$M,0)))</f>
        <v>600000</v>
      </c>
      <c r="AF596" s="140" t="str">
        <f>IF(INDEX('#建筑消耗和buff配置索引'!AW:AW,MATCH($F596,'#建筑消耗和buff配置索引'!$M:$M,0))=0,"",INDEX('#建筑消耗和buff配置索引'!AW:AW,MATCH($F596,'#建筑消耗和buff配置索引'!$M:$M,0)))</f>
        <v/>
      </c>
      <c r="AG596" s="140" t="str">
        <f>IF(AF596="","",INDEX('#建筑消耗和buff配置索引'!AX:AX,MATCH($F596,'#建筑消耗和buff配置索引'!$M:$M,0)))</f>
        <v/>
      </c>
      <c r="AJ596" s="133" t="str">
        <f>IF(INDEX('#建筑消耗和buff配置索引'!BB:BB,MATCH($F596,'#建筑消耗和buff配置索引'!$M:$M,0))=0,"",INDEX('#建筑消耗和buff配置索引'!BB:BB,MATCH($F596,'#建筑消耗和buff配置索引'!$M:$M,0)))</f>
        <v/>
      </c>
      <c r="AK596" s="133" t="str">
        <f>IF(AJ596="","",INDEX('#建筑消耗和buff配置索引'!BC:BC,MATCH($F596,'#建筑消耗和buff配置索引'!$M:$M,0)))</f>
        <v/>
      </c>
      <c r="AL596" s="133"/>
      <c r="AM596" s="133"/>
      <c r="AN596" s="133" t="str">
        <f>IF(INDEX('#建筑消耗和buff配置索引'!BG:BG,MATCH($F596,'#建筑消耗和buff配置索引'!$M:$M,0))=0,"",INDEX('#建筑消耗和buff配置索引'!BG:BG,MATCH($F596,'#建筑消耗和buff配置索引'!$M:$M,0)))</f>
        <v/>
      </c>
      <c r="AO596" s="133" t="str">
        <f>IF(AN596="","",INDEX('#建筑消耗和buff配置索引'!BH:BH,MATCH($F596,'#建筑消耗和buff配置索引'!$M:$M,0)))</f>
        <v/>
      </c>
      <c r="AP596" s="133"/>
      <c r="AQ596" s="133"/>
      <c r="AR596" s="133" t="str">
        <f>IF(INDEX('#建筑消耗和buff配置索引'!BK:BK,MATCH($F596,'#建筑消耗和buff配置索引'!$M:$M,0))=0,"",INDEX('#建筑消耗和buff配置索引'!BK:BK,MATCH($F596,'#建筑消耗和buff配置索引'!$M:$M,0)))</f>
        <v/>
      </c>
      <c r="AS596" s="133" t="str">
        <f>IF(AR596="","",INDEX('#建筑消耗和buff配置索引'!BL:BL,MATCH($F596,'#建筑消耗和buff配置索引'!$M:$M,0)))</f>
        <v/>
      </c>
      <c r="AT596" s="133"/>
      <c r="AU596" s="133"/>
      <c r="AV596" s="133" t="str">
        <f>IF(INDEX('#建筑消耗和buff配置索引'!BO:BO,MATCH($F596,'#建筑消耗和buff配置索引'!$M:$M,0))=0,"",INDEX('#建筑消耗和buff配置索引'!BO:BO,MATCH($F596,'#建筑消耗和buff配置索引'!$M:$M,0)))</f>
        <v/>
      </c>
      <c r="AW596" s="133" t="str">
        <f>IF(AV596="","",INDEX('#建筑消耗和buff配置索引'!BP:BP,MATCH($F596,'#建筑消耗和buff配置索引'!$M:$M,0)))</f>
        <v/>
      </c>
      <c r="AX596" s="133"/>
      <c r="AY596" s="133"/>
      <c r="AZ596" s="133" t="str">
        <f>IF(INDEX('#建筑消耗和buff配置索引'!BS:BS,MATCH($F596,'#建筑消耗和buff配置索引'!$M:$M,0))=0,"",INDEX('#建筑消耗和buff配置索引'!BS:BS,MATCH($F596,'#建筑消耗和buff配置索引'!$M:$M,0)))</f>
        <v/>
      </c>
      <c r="BA596" s="133" t="str">
        <f>IF(AZ596="","",INDEX('#建筑消耗和buff配置索引'!BT:BT,MATCH($F596,'#建筑消耗和buff配置索引'!$M:$M,0)))</f>
        <v/>
      </c>
      <c r="BB596" s="133"/>
      <c r="BC596" s="133"/>
      <c r="BD596" s="133" t="str">
        <f>IF(INDEX('#建筑消耗和buff配置索引'!BW:BW,MATCH($F596,'#建筑消耗和buff配置索引'!$M:$M,0))=0,"",INDEX('#建筑消耗和buff配置索引'!BW:BW,MATCH($F596,'#建筑消耗和buff配置索引'!$M:$M,0)))</f>
        <v/>
      </c>
      <c r="BE596" s="133" t="str">
        <f>IF(BD596="","",INDEX('#建筑消耗和buff配置索引'!BX:BX,MATCH($F596,'#建筑消耗和buff配置索引'!$M:$M,0)))</f>
        <v/>
      </c>
      <c r="BI596" s="140">
        <v>23</v>
      </c>
    </row>
    <row r="597" spans="1:61">
      <c r="A597" s="140">
        <v>4000016</v>
      </c>
      <c r="B597" s="140">
        <v>599</v>
      </c>
      <c r="C597" s="140">
        <v>400</v>
      </c>
      <c r="D597" s="140" t="s">
        <v>1014</v>
      </c>
      <c r="E597" s="140">
        <v>16</v>
      </c>
      <c r="F597" s="133" t="str">
        <f t="shared" si="10"/>
        <v>仓库16</v>
      </c>
      <c r="I597" s="140">
        <v>0</v>
      </c>
      <c r="J597" s="150">
        <f>INDEX('#建筑消耗和buff配置索引'!AH:AH,MATCH($F597,'#建筑消耗和buff配置索引'!$M:$M,0))</f>
        <v>32400</v>
      </c>
      <c r="K597" s="142">
        <f>INDEX('#建筑消耗和buff配置索引'!AA:AA,MATCH($F597,'#建筑消耗和buff配置索引'!$M:$M,0))</f>
        <v>440000</v>
      </c>
      <c r="L597" s="142">
        <f>INDEX('#建筑消耗和buff配置索引'!AB:AB,MATCH($F597,'#建筑消耗和buff配置索引'!$M:$M,0))</f>
        <v>440000</v>
      </c>
      <c r="M597" s="142">
        <f>INDEX('#建筑消耗和buff配置索引'!AC:AC,MATCH($F597,'#建筑消耗和buff配置索引'!$M:$M,0))</f>
        <v>440000</v>
      </c>
      <c r="N597" s="142">
        <f>INDEX('#建筑消耗和buff配置索引'!AD:AD,MATCH($F597,'#建筑消耗和buff配置索引'!$M:$M,0))</f>
        <v>880000</v>
      </c>
      <c r="O597" s="150" t="str">
        <f>IF(INDEX('#建筑消耗和buff配置索引'!T:T,MATCH($F597,'#建筑消耗和buff配置索引'!$M:$M,0))=0,"",INDEX('#建筑消耗和buff配置索引'!T:T,MATCH($F597,'#建筑消耗和buff配置索引'!$M:$M,0)))</f>
        <v/>
      </c>
      <c r="P597" s="133" t="str">
        <f>IF(INDEX('#建筑消耗和buff配置索引'!U:U,MATCH($F597,'#建筑消耗和buff配置索引'!$M:$M,0))=0,"",INDEX('#建筑消耗和buff配置索引'!U:U,MATCH($F597,'#建筑消耗和buff配置索引'!$M:$M,0)))</f>
        <v/>
      </c>
      <c r="Q597" s="133" t="str">
        <f>IF(INDEX('#建筑消耗和buff配置索引'!K:K,MATCH($F597,'#建筑消耗和buff配置索引'!$M:$M,0))=0,"",INDEX('#建筑消耗和buff配置索引'!K:K,MATCH($F597,'#建筑消耗和buff配置索引'!$M:$M,0)))</f>
        <v>201</v>
      </c>
      <c r="R597" s="133" t="str">
        <f>IF(INDEX('#建筑消耗和buff配置索引'!L:L,MATCH($F597,'#建筑消耗和buff配置索引'!$M:$M,0))=0,"",INDEX('#建筑消耗和buff配置索引'!L:L,MATCH($F597,'#建筑消耗和buff配置索引'!$M:$M,0)))</f>
        <v>16</v>
      </c>
      <c r="S597" s="140">
        <f>IF(INDEX('#建筑消耗和buff配置索引'!C:C,MATCH(F597,'#建筑消耗和buff配置索引'!M:M,0))=0,1,INDEX('#建筑消耗和buff配置索引'!C:C,MATCH(F597,'#建筑消耗和buff配置索引'!M:M,0)))</f>
        <v>1</v>
      </c>
      <c r="T597" s="140">
        <v>0</v>
      </c>
      <c r="U597" s="140">
        <v>0</v>
      </c>
      <c r="V597" s="133" t="str">
        <f>IF(E597=1,IF(INDEX('#建筑消耗和buff配置索引'!BY:BY,MATCH(D597,'#建筑消耗和buff配置索引'!A:A,0))=0,"",INDEX('#建筑消耗和buff配置索引'!BY:BY,MATCH(D597,'#建筑消耗和buff配置索引'!A:A,0))),"")</f>
        <v/>
      </c>
      <c r="W597" s="133" t="str">
        <f>IF(E597=1,IF(INDEX('#建筑消耗和buff配置索引'!BZ:BZ,MATCH(D597,'#建筑消耗和buff配置索引'!A:A,0))=0,"",INDEX('#建筑消耗和buff配置索引'!BZ:BZ,MATCH(D597,'#建筑消耗和buff配置索引'!A:A,0))),"")</f>
        <v/>
      </c>
      <c r="AA597" s="140">
        <f>INDEX('#建筑消耗和buff配置索引'!AO:AO,MATCH($F597,'#建筑消耗和buff配置索引'!$M:$M,0))</f>
        <v>16827</v>
      </c>
      <c r="AB597" s="133">
        <f>IF(INDEX('#建筑消耗和buff配置索引'!AR:AR,MATCH($F597,'#建筑消耗和buff配置索引'!$M:$M,0))=0,"",INDEX('#建筑消耗和buff配置索引'!AR:AR,MATCH($F597,'#建筑消耗和buff配置索引'!$M:$M,0)))</f>
        <v>1261</v>
      </c>
      <c r="AC597" s="133">
        <f>IF(AB597="","",INDEX('#建筑消耗和buff配置索引'!AS:AS,MATCH($F597,'#建筑消耗和buff配置索引'!$M:$M,0)))</f>
        <v>680000</v>
      </c>
      <c r="AF597" s="140" t="str">
        <f>IF(INDEX('#建筑消耗和buff配置索引'!AW:AW,MATCH($F597,'#建筑消耗和buff配置索引'!$M:$M,0))=0,"",INDEX('#建筑消耗和buff配置索引'!AW:AW,MATCH($F597,'#建筑消耗和buff配置索引'!$M:$M,0)))</f>
        <v/>
      </c>
      <c r="AG597" s="140" t="str">
        <f>IF(AF597="","",INDEX('#建筑消耗和buff配置索引'!AX:AX,MATCH($F597,'#建筑消耗和buff配置索引'!$M:$M,0)))</f>
        <v/>
      </c>
      <c r="AJ597" s="133" t="str">
        <f>IF(INDEX('#建筑消耗和buff配置索引'!BB:BB,MATCH($F597,'#建筑消耗和buff配置索引'!$M:$M,0))=0,"",INDEX('#建筑消耗和buff配置索引'!BB:BB,MATCH($F597,'#建筑消耗和buff配置索引'!$M:$M,0)))</f>
        <v/>
      </c>
      <c r="AK597" s="133" t="str">
        <f>IF(AJ597="","",INDEX('#建筑消耗和buff配置索引'!BC:BC,MATCH($F597,'#建筑消耗和buff配置索引'!$M:$M,0)))</f>
        <v/>
      </c>
      <c r="AL597" s="133"/>
      <c r="AM597" s="133"/>
      <c r="AN597" s="133" t="str">
        <f>IF(INDEX('#建筑消耗和buff配置索引'!BG:BG,MATCH($F597,'#建筑消耗和buff配置索引'!$M:$M,0))=0,"",INDEX('#建筑消耗和buff配置索引'!BG:BG,MATCH($F597,'#建筑消耗和buff配置索引'!$M:$M,0)))</f>
        <v/>
      </c>
      <c r="AO597" s="133" t="str">
        <f>IF(AN597="","",INDEX('#建筑消耗和buff配置索引'!BH:BH,MATCH($F597,'#建筑消耗和buff配置索引'!$M:$M,0)))</f>
        <v/>
      </c>
      <c r="AP597" s="133"/>
      <c r="AQ597" s="133"/>
      <c r="AR597" s="133" t="str">
        <f>IF(INDEX('#建筑消耗和buff配置索引'!BK:BK,MATCH($F597,'#建筑消耗和buff配置索引'!$M:$M,0))=0,"",INDEX('#建筑消耗和buff配置索引'!BK:BK,MATCH($F597,'#建筑消耗和buff配置索引'!$M:$M,0)))</f>
        <v/>
      </c>
      <c r="AS597" s="133" t="str">
        <f>IF(AR597="","",INDEX('#建筑消耗和buff配置索引'!BL:BL,MATCH($F597,'#建筑消耗和buff配置索引'!$M:$M,0)))</f>
        <v/>
      </c>
      <c r="AT597" s="133"/>
      <c r="AU597" s="133"/>
      <c r="AV597" s="133" t="str">
        <f>IF(INDEX('#建筑消耗和buff配置索引'!BO:BO,MATCH($F597,'#建筑消耗和buff配置索引'!$M:$M,0))=0,"",INDEX('#建筑消耗和buff配置索引'!BO:BO,MATCH($F597,'#建筑消耗和buff配置索引'!$M:$M,0)))</f>
        <v/>
      </c>
      <c r="AW597" s="133" t="str">
        <f>IF(AV597="","",INDEX('#建筑消耗和buff配置索引'!BP:BP,MATCH($F597,'#建筑消耗和buff配置索引'!$M:$M,0)))</f>
        <v/>
      </c>
      <c r="AX597" s="133"/>
      <c r="AY597" s="133"/>
      <c r="AZ597" s="133" t="str">
        <f>IF(INDEX('#建筑消耗和buff配置索引'!BS:BS,MATCH($F597,'#建筑消耗和buff配置索引'!$M:$M,0))=0,"",INDEX('#建筑消耗和buff配置索引'!BS:BS,MATCH($F597,'#建筑消耗和buff配置索引'!$M:$M,0)))</f>
        <v/>
      </c>
      <c r="BA597" s="133" t="str">
        <f>IF(AZ597="","",INDEX('#建筑消耗和buff配置索引'!BT:BT,MATCH($F597,'#建筑消耗和buff配置索引'!$M:$M,0)))</f>
        <v/>
      </c>
      <c r="BB597" s="133"/>
      <c r="BC597" s="133"/>
      <c r="BD597" s="133" t="str">
        <f>IF(INDEX('#建筑消耗和buff配置索引'!BW:BW,MATCH($F597,'#建筑消耗和buff配置索引'!$M:$M,0))=0,"",INDEX('#建筑消耗和buff配置索引'!BW:BW,MATCH($F597,'#建筑消耗和buff配置索引'!$M:$M,0)))</f>
        <v/>
      </c>
      <c r="BE597" s="133" t="str">
        <f>IF(BD597="","",INDEX('#建筑消耗和buff配置索引'!BX:BX,MATCH($F597,'#建筑消耗和buff配置索引'!$M:$M,0)))</f>
        <v/>
      </c>
      <c r="BI597" s="140">
        <v>23</v>
      </c>
    </row>
    <row r="598" spans="1:61">
      <c r="A598" s="140">
        <v>4000017</v>
      </c>
      <c r="B598" s="140">
        <v>600</v>
      </c>
      <c r="C598" s="140">
        <v>400</v>
      </c>
      <c r="D598" s="140" t="s">
        <v>1014</v>
      </c>
      <c r="E598" s="140">
        <v>17</v>
      </c>
      <c r="F598" s="133" t="str">
        <f t="shared" si="10"/>
        <v>仓库17</v>
      </c>
      <c r="I598" s="140">
        <v>0</v>
      </c>
      <c r="J598" s="150">
        <f>INDEX('#建筑消耗和buff配置索引'!AH:AH,MATCH($F598,'#建筑消耗和buff配置索引'!$M:$M,0))</f>
        <v>43200</v>
      </c>
      <c r="K598" s="142">
        <f>INDEX('#建筑消耗和buff配置索引'!AA:AA,MATCH($F598,'#建筑消耗和buff配置索引'!$M:$M,0))</f>
        <v>560000</v>
      </c>
      <c r="L598" s="142">
        <f>INDEX('#建筑消耗和buff配置索引'!AB:AB,MATCH($F598,'#建筑消耗和buff配置索引'!$M:$M,0))</f>
        <v>560000</v>
      </c>
      <c r="M598" s="142">
        <f>INDEX('#建筑消耗和buff配置索引'!AC:AC,MATCH($F598,'#建筑消耗和buff配置索引'!$M:$M,0))</f>
        <v>560000</v>
      </c>
      <c r="N598" s="142">
        <f>INDEX('#建筑消耗和buff配置索引'!AD:AD,MATCH($F598,'#建筑消耗和buff配置索引'!$M:$M,0))</f>
        <v>1100000</v>
      </c>
      <c r="O598" s="150" t="str">
        <f>IF(INDEX('#建筑消耗和buff配置索引'!T:T,MATCH($F598,'#建筑消耗和buff配置索引'!$M:$M,0))=0,"",INDEX('#建筑消耗和buff配置索引'!T:T,MATCH($F598,'#建筑消耗和buff配置索引'!$M:$M,0)))</f>
        <v/>
      </c>
      <c r="P598" s="133" t="str">
        <f>IF(INDEX('#建筑消耗和buff配置索引'!U:U,MATCH($F598,'#建筑消耗和buff配置索引'!$M:$M,0))=0,"",INDEX('#建筑消耗和buff配置索引'!U:U,MATCH($F598,'#建筑消耗和buff配置索引'!$M:$M,0)))</f>
        <v/>
      </c>
      <c r="Q598" s="133" t="str">
        <f>IF(INDEX('#建筑消耗和buff配置索引'!K:K,MATCH($F598,'#建筑消耗和buff配置索引'!$M:$M,0))=0,"",INDEX('#建筑消耗和buff配置索引'!K:K,MATCH($F598,'#建筑消耗和buff配置索引'!$M:$M,0)))</f>
        <v>201</v>
      </c>
      <c r="R598" s="133" t="str">
        <f>IF(INDEX('#建筑消耗和buff配置索引'!L:L,MATCH($F598,'#建筑消耗和buff配置索引'!$M:$M,0))=0,"",INDEX('#建筑消耗和buff配置索引'!L:L,MATCH($F598,'#建筑消耗和buff配置索引'!$M:$M,0)))</f>
        <v>17</v>
      </c>
      <c r="S598" s="140">
        <f>IF(INDEX('#建筑消耗和buff配置索引'!C:C,MATCH(F598,'#建筑消耗和buff配置索引'!M:M,0))=0,1,INDEX('#建筑消耗和buff配置索引'!C:C,MATCH(F598,'#建筑消耗和buff配置索引'!M:M,0)))</f>
        <v>1</v>
      </c>
      <c r="T598" s="140">
        <v>0</v>
      </c>
      <c r="U598" s="140">
        <v>0</v>
      </c>
      <c r="V598" s="133" t="str">
        <f>IF(E598=1,IF(INDEX('#建筑消耗和buff配置索引'!BY:BY,MATCH(D598,'#建筑消耗和buff配置索引'!A:A,0))=0,"",INDEX('#建筑消耗和buff配置索引'!BY:BY,MATCH(D598,'#建筑消耗和buff配置索引'!A:A,0))),"")</f>
        <v/>
      </c>
      <c r="W598" s="133" t="str">
        <f>IF(E598=1,IF(INDEX('#建筑消耗和buff配置索引'!BZ:BZ,MATCH(D598,'#建筑消耗和buff配置索引'!A:A,0))=0,"",INDEX('#建筑消耗和buff配置索引'!BZ:BZ,MATCH(D598,'#建筑消耗和buff配置索引'!A:A,0))),"")</f>
        <v/>
      </c>
      <c r="AA598" s="140">
        <f>INDEX('#建筑消耗和buff配置索引'!AO:AO,MATCH($F598,'#建筑消耗和buff配置索引'!$M:$M,0))</f>
        <v>22443</v>
      </c>
      <c r="AB598" s="133">
        <f>IF(INDEX('#建筑消耗和buff配置索引'!AR:AR,MATCH($F598,'#建筑消耗和buff配置索引'!$M:$M,0))=0,"",INDEX('#建筑消耗和buff配置索引'!AR:AR,MATCH($F598,'#建筑消耗和buff配置索引'!$M:$M,0)))</f>
        <v>1261</v>
      </c>
      <c r="AC598" s="133">
        <f>IF(AB598="","",INDEX('#建筑消耗和buff配置索引'!AS:AS,MATCH($F598,'#建筑消耗和buff配置索引'!$M:$M,0)))</f>
        <v>760000</v>
      </c>
      <c r="AF598" s="140" t="str">
        <f>IF(INDEX('#建筑消耗和buff配置索引'!AW:AW,MATCH($F598,'#建筑消耗和buff配置索引'!$M:$M,0))=0,"",INDEX('#建筑消耗和buff配置索引'!AW:AW,MATCH($F598,'#建筑消耗和buff配置索引'!$M:$M,0)))</f>
        <v/>
      </c>
      <c r="AG598" s="140" t="str">
        <f>IF(AF598="","",INDEX('#建筑消耗和buff配置索引'!AX:AX,MATCH($F598,'#建筑消耗和buff配置索引'!$M:$M,0)))</f>
        <v/>
      </c>
      <c r="AJ598" s="133" t="str">
        <f>IF(INDEX('#建筑消耗和buff配置索引'!BB:BB,MATCH($F598,'#建筑消耗和buff配置索引'!$M:$M,0))=0,"",INDEX('#建筑消耗和buff配置索引'!BB:BB,MATCH($F598,'#建筑消耗和buff配置索引'!$M:$M,0)))</f>
        <v/>
      </c>
      <c r="AK598" s="133" t="str">
        <f>IF(AJ598="","",INDEX('#建筑消耗和buff配置索引'!BC:BC,MATCH($F598,'#建筑消耗和buff配置索引'!$M:$M,0)))</f>
        <v/>
      </c>
      <c r="AL598" s="133"/>
      <c r="AM598" s="133"/>
      <c r="AN598" s="133" t="str">
        <f>IF(INDEX('#建筑消耗和buff配置索引'!BG:BG,MATCH($F598,'#建筑消耗和buff配置索引'!$M:$M,0))=0,"",INDEX('#建筑消耗和buff配置索引'!BG:BG,MATCH($F598,'#建筑消耗和buff配置索引'!$M:$M,0)))</f>
        <v/>
      </c>
      <c r="AO598" s="133" t="str">
        <f>IF(AN598="","",INDEX('#建筑消耗和buff配置索引'!BH:BH,MATCH($F598,'#建筑消耗和buff配置索引'!$M:$M,0)))</f>
        <v/>
      </c>
      <c r="AP598" s="133"/>
      <c r="AQ598" s="133"/>
      <c r="AR598" s="133" t="str">
        <f>IF(INDEX('#建筑消耗和buff配置索引'!BK:BK,MATCH($F598,'#建筑消耗和buff配置索引'!$M:$M,0))=0,"",INDEX('#建筑消耗和buff配置索引'!BK:BK,MATCH($F598,'#建筑消耗和buff配置索引'!$M:$M,0)))</f>
        <v/>
      </c>
      <c r="AS598" s="133" t="str">
        <f>IF(AR598="","",INDEX('#建筑消耗和buff配置索引'!BL:BL,MATCH($F598,'#建筑消耗和buff配置索引'!$M:$M,0)))</f>
        <v/>
      </c>
      <c r="AT598" s="133"/>
      <c r="AU598" s="133"/>
      <c r="AV598" s="133" t="str">
        <f>IF(INDEX('#建筑消耗和buff配置索引'!BO:BO,MATCH($F598,'#建筑消耗和buff配置索引'!$M:$M,0))=0,"",INDEX('#建筑消耗和buff配置索引'!BO:BO,MATCH($F598,'#建筑消耗和buff配置索引'!$M:$M,0)))</f>
        <v/>
      </c>
      <c r="AW598" s="133" t="str">
        <f>IF(AV598="","",INDEX('#建筑消耗和buff配置索引'!BP:BP,MATCH($F598,'#建筑消耗和buff配置索引'!$M:$M,0)))</f>
        <v/>
      </c>
      <c r="AX598" s="133"/>
      <c r="AY598" s="133"/>
      <c r="AZ598" s="133" t="str">
        <f>IF(INDEX('#建筑消耗和buff配置索引'!BS:BS,MATCH($F598,'#建筑消耗和buff配置索引'!$M:$M,0))=0,"",INDEX('#建筑消耗和buff配置索引'!BS:BS,MATCH($F598,'#建筑消耗和buff配置索引'!$M:$M,0)))</f>
        <v/>
      </c>
      <c r="BA598" s="133" t="str">
        <f>IF(AZ598="","",INDEX('#建筑消耗和buff配置索引'!BT:BT,MATCH($F598,'#建筑消耗和buff配置索引'!$M:$M,0)))</f>
        <v/>
      </c>
      <c r="BB598" s="133"/>
      <c r="BC598" s="133"/>
      <c r="BD598" s="133" t="str">
        <f>IF(INDEX('#建筑消耗和buff配置索引'!BW:BW,MATCH($F598,'#建筑消耗和buff配置索引'!$M:$M,0))=0,"",INDEX('#建筑消耗和buff配置索引'!BW:BW,MATCH($F598,'#建筑消耗和buff配置索引'!$M:$M,0)))</f>
        <v/>
      </c>
      <c r="BE598" s="133" t="str">
        <f>IF(BD598="","",INDEX('#建筑消耗和buff配置索引'!BX:BX,MATCH($F598,'#建筑消耗和buff配置索引'!$M:$M,0)))</f>
        <v/>
      </c>
      <c r="BI598" s="140">
        <v>23</v>
      </c>
    </row>
    <row r="599" spans="1:61">
      <c r="A599" s="140">
        <v>4000018</v>
      </c>
      <c r="B599" s="140">
        <v>601</v>
      </c>
      <c r="C599" s="140">
        <v>400</v>
      </c>
      <c r="D599" s="140" t="s">
        <v>1014</v>
      </c>
      <c r="E599" s="140">
        <v>18</v>
      </c>
      <c r="F599" s="133" t="str">
        <f t="shared" si="10"/>
        <v>仓库18</v>
      </c>
      <c r="I599" s="140">
        <v>0</v>
      </c>
      <c r="J599" s="150">
        <f>INDEX('#建筑消耗和buff配置索引'!AH:AH,MATCH($F599,'#建筑消耗和buff配置索引'!$M:$M,0))</f>
        <v>56160</v>
      </c>
      <c r="K599" s="142">
        <f>INDEX('#建筑消耗和buff配置索引'!AA:AA,MATCH($F599,'#建筑消耗和buff配置索引'!$M:$M,0))</f>
        <v>720000</v>
      </c>
      <c r="L599" s="142">
        <f>INDEX('#建筑消耗和buff配置索引'!AB:AB,MATCH($F599,'#建筑消耗和buff配置索引'!$M:$M,0))</f>
        <v>720000</v>
      </c>
      <c r="M599" s="142">
        <f>INDEX('#建筑消耗和buff配置索引'!AC:AC,MATCH($F599,'#建筑消耗和buff配置索引'!$M:$M,0))</f>
        <v>720000</v>
      </c>
      <c r="N599" s="142">
        <f>INDEX('#建筑消耗和buff配置索引'!AD:AD,MATCH($F599,'#建筑消耗和buff配置索引'!$M:$M,0))</f>
        <v>1400000</v>
      </c>
      <c r="O599" s="150" t="str">
        <f>IF(INDEX('#建筑消耗和buff配置索引'!T:T,MATCH($F599,'#建筑消耗和buff配置索引'!$M:$M,0))=0,"",INDEX('#建筑消耗和buff配置索引'!T:T,MATCH($F599,'#建筑消耗和buff配置索引'!$M:$M,0)))</f>
        <v/>
      </c>
      <c r="P599" s="133" t="str">
        <f>IF(INDEX('#建筑消耗和buff配置索引'!U:U,MATCH($F599,'#建筑消耗和buff配置索引'!$M:$M,0))=0,"",INDEX('#建筑消耗和buff配置索引'!U:U,MATCH($F599,'#建筑消耗和buff配置索引'!$M:$M,0)))</f>
        <v/>
      </c>
      <c r="Q599" s="133" t="str">
        <f>IF(INDEX('#建筑消耗和buff配置索引'!K:K,MATCH($F599,'#建筑消耗和buff配置索引'!$M:$M,0))=0,"",INDEX('#建筑消耗和buff配置索引'!K:K,MATCH($F599,'#建筑消耗和buff配置索引'!$M:$M,0)))</f>
        <v>201</v>
      </c>
      <c r="R599" s="133" t="str">
        <f>IF(INDEX('#建筑消耗和buff配置索引'!L:L,MATCH($F599,'#建筑消耗和buff配置索引'!$M:$M,0))=0,"",INDEX('#建筑消耗和buff配置索引'!L:L,MATCH($F599,'#建筑消耗和buff配置索引'!$M:$M,0)))</f>
        <v>18</v>
      </c>
      <c r="S599" s="140">
        <f>IF(INDEX('#建筑消耗和buff配置索引'!C:C,MATCH(F599,'#建筑消耗和buff配置索引'!M:M,0))=0,1,INDEX('#建筑消耗和buff配置索引'!C:C,MATCH(F599,'#建筑消耗和buff配置索引'!M:M,0)))</f>
        <v>1</v>
      </c>
      <c r="T599" s="140">
        <v>0</v>
      </c>
      <c r="U599" s="140">
        <v>0</v>
      </c>
      <c r="V599" s="133" t="str">
        <f>IF(E599=1,IF(INDEX('#建筑消耗和buff配置索引'!BY:BY,MATCH(D599,'#建筑消耗和buff配置索引'!A:A,0))=0,"",INDEX('#建筑消耗和buff配置索引'!BY:BY,MATCH(D599,'#建筑消耗和buff配置索引'!A:A,0))),"")</f>
        <v/>
      </c>
      <c r="W599" s="133" t="str">
        <f>IF(E599=1,IF(INDEX('#建筑消耗和buff配置索引'!BZ:BZ,MATCH(D599,'#建筑消耗和buff配置索引'!A:A,0))=0,"",INDEX('#建筑消耗和buff配置索引'!BZ:BZ,MATCH(D599,'#建筑消耗和buff配置索引'!A:A,0))),"")</f>
        <v/>
      </c>
      <c r="AA599" s="140">
        <f>INDEX('#建筑消耗和buff配置索引'!AO:AO,MATCH($F599,'#建筑消耗和buff配置索引'!$M:$M,0))</f>
        <v>29632</v>
      </c>
      <c r="AB599" s="133">
        <f>IF(INDEX('#建筑消耗和buff配置索引'!AR:AR,MATCH($F599,'#建筑消耗和buff配置索引'!$M:$M,0))=0,"",INDEX('#建筑消耗和buff配置索引'!AR:AR,MATCH($F599,'#建筑消耗和buff配置索引'!$M:$M,0)))</f>
        <v>1261</v>
      </c>
      <c r="AC599" s="133">
        <f>IF(AB599="","",INDEX('#建筑消耗和buff配置索引'!AS:AS,MATCH($F599,'#建筑消耗和buff配置索引'!$M:$M,0)))</f>
        <v>840000</v>
      </c>
      <c r="AF599" s="140" t="str">
        <f>IF(INDEX('#建筑消耗和buff配置索引'!AW:AW,MATCH($F599,'#建筑消耗和buff配置索引'!$M:$M,0))=0,"",INDEX('#建筑消耗和buff配置索引'!AW:AW,MATCH($F599,'#建筑消耗和buff配置索引'!$M:$M,0)))</f>
        <v/>
      </c>
      <c r="AG599" s="140" t="str">
        <f>IF(AF599="","",INDEX('#建筑消耗和buff配置索引'!AX:AX,MATCH($F599,'#建筑消耗和buff配置索引'!$M:$M,0)))</f>
        <v/>
      </c>
      <c r="AJ599" s="133" t="str">
        <f>IF(INDEX('#建筑消耗和buff配置索引'!BB:BB,MATCH($F599,'#建筑消耗和buff配置索引'!$M:$M,0))=0,"",INDEX('#建筑消耗和buff配置索引'!BB:BB,MATCH($F599,'#建筑消耗和buff配置索引'!$M:$M,0)))</f>
        <v/>
      </c>
      <c r="AK599" s="133" t="str">
        <f>IF(AJ599="","",INDEX('#建筑消耗和buff配置索引'!BC:BC,MATCH($F599,'#建筑消耗和buff配置索引'!$M:$M,0)))</f>
        <v/>
      </c>
      <c r="AL599" s="133"/>
      <c r="AM599" s="133"/>
      <c r="AN599" s="133" t="str">
        <f>IF(INDEX('#建筑消耗和buff配置索引'!BG:BG,MATCH($F599,'#建筑消耗和buff配置索引'!$M:$M,0))=0,"",INDEX('#建筑消耗和buff配置索引'!BG:BG,MATCH($F599,'#建筑消耗和buff配置索引'!$M:$M,0)))</f>
        <v/>
      </c>
      <c r="AO599" s="133" t="str">
        <f>IF(AN599="","",INDEX('#建筑消耗和buff配置索引'!BH:BH,MATCH($F599,'#建筑消耗和buff配置索引'!$M:$M,0)))</f>
        <v/>
      </c>
      <c r="AP599" s="133"/>
      <c r="AQ599" s="133"/>
      <c r="AR599" s="133" t="str">
        <f>IF(INDEX('#建筑消耗和buff配置索引'!BK:BK,MATCH($F599,'#建筑消耗和buff配置索引'!$M:$M,0))=0,"",INDEX('#建筑消耗和buff配置索引'!BK:BK,MATCH($F599,'#建筑消耗和buff配置索引'!$M:$M,0)))</f>
        <v/>
      </c>
      <c r="AS599" s="133" t="str">
        <f>IF(AR599="","",INDEX('#建筑消耗和buff配置索引'!BL:BL,MATCH($F599,'#建筑消耗和buff配置索引'!$M:$M,0)))</f>
        <v/>
      </c>
      <c r="AT599" s="133"/>
      <c r="AU599" s="133"/>
      <c r="AV599" s="133" t="str">
        <f>IF(INDEX('#建筑消耗和buff配置索引'!BO:BO,MATCH($F599,'#建筑消耗和buff配置索引'!$M:$M,0))=0,"",INDEX('#建筑消耗和buff配置索引'!BO:BO,MATCH($F599,'#建筑消耗和buff配置索引'!$M:$M,0)))</f>
        <v/>
      </c>
      <c r="AW599" s="133" t="str">
        <f>IF(AV599="","",INDEX('#建筑消耗和buff配置索引'!BP:BP,MATCH($F599,'#建筑消耗和buff配置索引'!$M:$M,0)))</f>
        <v/>
      </c>
      <c r="AX599" s="133"/>
      <c r="AY599" s="133"/>
      <c r="AZ599" s="133" t="str">
        <f>IF(INDEX('#建筑消耗和buff配置索引'!BS:BS,MATCH($F599,'#建筑消耗和buff配置索引'!$M:$M,0))=0,"",INDEX('#建筑消耗和buff配置索引'!BS:BS,MATCH($F599,'#建筑消耗和buff配置索引'!$M:$M,0)))</f>
        <v/>
      </c>
      <c r="BA599" s="133" t="str">
        <f>IF(AZ599="","",INDEX('#建筑消耗和buff配置索引'!BT:BT,MATCH($F599,'#建筑消耗和buff配置索引'!$M:$M,0)))</f>
        <v/>
      </c>
      <c r="BB599" s="133"/>
      <c r="BC599" s="133"/>
      <c r="BD599" s="133" t="str">
        <f>IF(INDEX('#建筑消耗和buff配置索引'!BW:BW,MATCH($F599,'#建筑消耗和buff配置索引'!$M:$M,0))=0,"",INDEX('#建筑消耗和buff配置索引'!BW:BW,MATCH($F599,'#建筑消耗和buff配置索引'!$M:$M,0)))</f>
        <v/>
      </c>
      <c r="BE599" s="133" t="str">
        <f>IF(BD599="","",INDEX('#建筑消耗和buff配置索引'!BX:BX,MATCH($F599,'#建筑消耗和buff配置索引'!$M:$M,0)))</f>
        <v/>
      </c>
      <c r="BI599" s="140">
        <v>23</v>
      </c>
    </row>
    <row r="600" spans="1:61">
      <c r="A600" s="140">
        <v>4000019</v>
      </c>
      <c r="B600" s="140">
        <v>602</v>
      </c>
      <c r="C600" s="140">
        <v>400</v>
      </c>
      <c r="D600" s="140" t="s">
        <v>1014</v>
      </c>
      <c r="E600" s="140">
        <v>19</v>
      </c>
      <c r="F600" s="133" t="str">
        <f t="shared" si="10"/>
        <v>仓库19</v>
      </c>
      <c r="I600" s="140">
        <v>0</v>
      </c>
      <c r="J600" s="150">
        <f>INDEX('#建筑消耗和buff配置索引'!AH:AH,MATCH($F600,'#建筑消耗和buff配置索引'!$M:$M,0))</f>
        <v>73440</v>
      </c>
      <c r="K600" s="142">
        <f>INDEX('#建筑消耗和buff配置索引'!AA:AA,MATCH($F600,'#建筑消耗和buff配置索引'!$M:$M,0))</f>
        <v>920000</v>
      </c>
      <c r="L600" s="142">
        <f>INDEX('#建筑消耗和buff配置索引'!AB:AB,MATCH($F600,'#建筑消耗和buff配置索引'!$M:$M,0))</f>
        <v>920000</v>
      </c>
      <c r="M600" s="142">
        <f>INDEX('#建筑消耗和buff配置索引'!AC:AC,MATCH($F600,'#建筑消耗和buff配置索引'!$M:$M,0))</f>
        <v>920000</v>
      </c>
      <c r="N600" s="142">
        <f>INDEX('#建筑消耗和buff配置索引'!AD:AD,MATCH($F600,'#建筑消耗和buff配置索引'!$M:$M,0))</f>
        <v>1800000</v>
      </c>
      <c r="O600" s="150" t="str">
        <f>IF(INDEX('#建筑消耗和buff配置索引'!T:T,MATCH($F600,'#建筑消耗和buff配置索引'!$M:$M,0))=0,"",INDEX('#建筑消耗和buff配置索引'!T:T,MATCH($F600,'#建筑消耗和buff配置索引'!$M:$M,0)))</f>
        <v/>
      </c>
      <c r="P600" s="133" t="str">
        <f>IF(INDEX('#建筑消耗和buff配置索引'!U:U,MATCH($F600,'#建筑消耗和buff配置索引'!$M:$M,0))=0,"",INDEX('#建筑消耗和buff配置索引'!U:U,MATCH($F600,'#建筑消耗和buff配置索引'!$M:$M,0)))</f>
        <v/>
      </c>
      <c r="Q600" s="133" t="str">
        <f>IF(INDEX('#建筑消耗和buff配置索引'!K:K,MATCH($F600,'#建筑消耗和buff配置索引'!$M:$M,0))=0,"",INDEX('#建筑消耗和buff配置索引'!K:K,MATCH($F600,'#建筑消耗和buff配置索引'!$M:$M,0)))</f>
        <v>201</v>
      </c>
      <c r="R600" s="133" t="str">
        <f>IF(INDEX('#建筑消耗和buff配置索引'!L:L,MATCH($F600,'#建筑消耗和buff配置索引'!$M:$M,0))=0,"",INDEX('#建筑消耗和buff配置索引'!L:L,MATCH($F600,'#建筑消耗和buff配置索引'!$M:$M,0)))</f>
        <v>19</v>
      </c>
      <c r="S600" s="140">
        <f>IF(INDEX('#建筑消耗和buff配置索引'!C:C,MATCH(F600,'#建筑消耗和buff配置索引'!M:M,0))=0,1,INDEX('#建筑消耗和buff配置索引'!C:C,MATCH(F600,'#建筑消耗和buff配置索引'!M:M,0)))</f>
        <v>1</v>
      </c>
      <c r="T600" s="140">
        <v>0</v>
      </c>
      <c r="U600" s="140">
        <v>0</v>
      </c>
      <c r="V600" s="133" t="str">
        <f>IF(E600=1,IF(INDEX('#建筑消耗和buff配置索引'!BY:BY,MATCH(D600,'#建筑消耗和buff配置索引'!A:A,0))=0,"",INDEX('#建筑消耗和buff配置索引'!BY:BY,MATCH(D600,'#建筑消耗和buff配置索引'!A:A,0))),"")</f>
        <v/>
      </c>
      <c r="W600" s="133" t="str">
        <f>IF(E600=1,IF(INDEX('#建筑消耗和buff配置索引'!BZ:BZ,MATCH(D600,'#建筑消耗和buff配置索引'!A:A,0))=0,"",INDEX('#建筑消耗和buff配置索引'!BZ:BZ,MATCH(D600,'#建筑消耗和buff配置索引'!A:A,0))),"")</f>
        <v/>
      </c>
      <c r="AA600" s="140">
        <f>INDEX('#建筑消耗和buff配置索引'!AO:AO,MATCH($F600,'#建筑消耗和buff配置索引'!$M:$M,0))</f>
        <v>38833</v>
      </c>
      <c r="AB600" s="133">
        <f>IF(INDEX('#建筑消耗和buff配置索引'!AR:AR,MATCH($F600,'#建筑消耗和buff配置索引'!$M:$M,0))=0,"",INDEX('#建筑消耗和buff配置索引'!AR:AR,MATCH($F600,'#建筑消耗和buff配置索引'!$M:$M,0)))</f>
        <v>1261</v>
      </c>
      <c r="AC600" s="133">
        <f>IF(AB600="","",INDEX('#建筑消耗和buff配置索引'!AS:AS,MATCH($F600,'#建筑消耗和buff配置索引'!$M:$M,0)))</f>
        <v>920000</v>
      </c>
      <c r="AF600" s="140" t="str">
        <f>IF(INDEX('#建筑消耗和buff配置索引'!AW:AW,MATCH($F600,'#建筑消耗和buff配置索引'!$M:$M,0))=0,"",INDEX('#建筑消耗和buff配置索引'!AW:AW,MATCH($F600,'#建筑消耗和buff配置索引'!$M:$M,0)))</f>
        <v/>
      </c>
      <c r="AG600" s="140" t="str">
        <f>IF(AF600="","",INDEX('#建筑消耗和buff配置索引'!AX:AX,MATCH($F600,'#建筑消耗和buff配置索引'!$M:$M,0)))</f>
        <v/>
      </c>
      <c r="AJ600" s="133" t="str">
        <f>IF(INDEX('#建筑消耗和buff配置索引'!BB:BB,MATCH($F600,'#建筑消耗和buff配置索引'!$M:$M,0))=0,"",INDEX('#建筑消耗和buff配置索引'!BB:BB,MATCH($F600,'#建筑消耗和buff配置索引'!$M:$M,0)))</f>
        <v/>
      </c>
      <c r="AK600" s="133" t="str">
        <f>IF(AJ600="","",INDEX('#建筑消耗和buff配置索引'!BC:BC,MATCH($F600,'#建筑消耗和buff配置索引'!$M:$M,0)))</f>
        <v/>
      </c>
      <c r="AL600" s="133"/>
      <c r="AM600" s="133"/>
      <c r="AN600" s="133" t="str">
        <f>IF(INDEX('#建筑消耗和buff配置索引'!BG:BG,MATCH($F600,'#建筑消耗和buff配置索引'!$M:$M,0))=0,"",INDEX('#建筑消耗和buff配置索引'!BG:BG,MATCH($F600,'#建筑消耗和buff配置索引'!$M:$M,0)))</f>
        <v/>
      </c>
      <c r="AO600" s="133" t="str">
        <f>IF(AN600="","",INDEX('#建筑消耗和buff配置索引'!BH:BH,MATCH($F600,'#建筑消耗和buff配置索引'!$M:$M,0)))</f>
        <v/>
      </c>
      <c r="AP600" s="133"/>
      <c r="AQ600" s="133"/>
      <c r="AR600" s="133" t="str">
        <f>IF(INDEX('#建筑消耗和buff配置索引'!BK:BK,MATCH($F600,'#建筑消耗和buff配置索引'!$M:$M,0))=0,"",INDEX('#建筑消耗和buff配置索引'!BK:BK,MATCH($F600,'#建筑消耗和buff配置索引'!$M:$M,0)))</f>
        <v/>
      </c>
      <c r="AS600" s="133" t="str">
        <f>IF(AR600="","",INDEX('#建筑消耗和buff配置索引'!BL:BL,MATCH($F600,'#建筑消耗和buff配置索引'!$M:$M,0)))</f>
        <v/>
      </c>
      <c r="AT600" s="133"/>
      <c r="AU600" s="133"/>
      <c r="AV600" s="133" t="str">
        <f>IF(INDEX('#建筑消耗和buff配置索引'!BO:BO,MATCH($F600,'#建筑消耗和buff配置索引'!$M:$M,0))=0,"",INDEX('#建筑消耗和buff配置索引'!BO:BO,MATCH($F600,'#建筑消耗和buff配置索引'!$M:$M,0)))</f>
        <v/>
      </c>
      <c r="AW600" s="133" t="str">
        <f>IF(AV600="","",INDEX('#建筑消耗和buff配置索引'!BP:BP,MATCH($F600,'#建筑消耗和buff配置索引'!$M:$M,0)))</f>
        <v/>
      </c>
      <c r="AX600" s="133"/>
      <c r="AY600" s="133"/>
      <c r="AZ600" s="133" t="str">
        <f>IF(INDEX('#建筑消耗和buff配置索引'!BS:BS,MATCH($F600,'#建筑消耗和buff配置索引'!$M:$M,0))=0,"",INDEX('#建筑消耗和buff配置索引'!BS:BS,MATCH($F600,'#建筑消耗和buff配置索引'!$M:$M,0)))</f>
        <v/>
      </c>
      <c r="BA600" s="133" t="str">
        <f>IF(AZ600="","",INDEX('#建筑消耗和buff配置索引'!BT:BT,MATCH($F600,'#建筑消耗和buff配置索引'!$M:$M,0)))</f>
        <v/>
      </c>
      <c r="BB600" s="133"/>
      <c r="BC600" s="133"/>
      <c r="BD600" s="133" t="str">
        <f>IF(INDEX('#建筑消耗和buff配置索引'!BW:BW,MATCH($F600,'#建筑消耗和buff配置索引'!$M:$M,0))=0,"",INDEX('#建筑消耗和buff配置索引'!BW:BW,MATCH($F600,'#建筑消耗和buff配置索引'!$M:$M,0)))</f>
        <v/>
      </c>
      <c r="BE600" s="133" t="str">
        <f>IF(BD600="","",INDEX('#建筑消耗和buff配置索引'!BX:BX,MATCH($F600,'#建筑消耗和buff配置索引'!$M:$M,0)))</f>
        <v/>
      </c>
      <c r="BI600" s="140">
        <v>23</v>
      </c>
    </row>
    <row r="601" spans="1:61">
      <c r="A601" s="140">
        <v>4000020</v>
      </c>
      <c r="B601" s="140">
        <v>603</v>
      </c>
      <c r="C601" s="140">
        <v>400</v>
      </c>
      <c r="D601" s="140" t="s">
        <v>1014</v>
      </c>
      <c r="E601" s="140">
        <v>20</v>
      </c>
      <c r="F601" s="133" t="str">
        <f t="shared" si="10"/>
        <v>仓库20</v>
      </c>
      <c r="I601" s="140">
        <v>0</v>
      </c>
      <c r="J601" s="150">
        <f>INDEX('#建筑消耗和buff配置索引'!AH:AH,MATCH($F601,'#建筑消耗和buff配置索引'!$M:$M,0))</f>
        <v>103680</v>
      </c>
      <c r="K601" s="142">
        <f>INDEX('#建筑消耗和buff配置索引'!AA:AA,MATCH($F601,'#建筑消耗和buff配置索引'!$M:$M,0))</f>
        <v>1200000</v>
      </c>
      <c r="L601" s="142">
        <f>INDEX('#建筑消耗和buff配置索引'!AB:AB,MATCH($F601,'#建筑消耗和buff配置索引'!$M:$M,0))</f>
        <v>1200000</v>
      </c>
      <c r="M601" s="142">
        <f>INDEX('#建筑消耗和buff配置索引'!AC:AC,MATCH($F601,'#建筑消耗和buff配置索引'!$M:$M,0))</f>
        <v>1200000</v>
      </c>
      <c r="N601" s="142">
        <f>INDEX('#建筑消耗和buff配置索引'!AD:AD,MATCH($F601,'#建筑消耗和buff配置索引'!$M:$M,0))</f>
        <v>2400000</v>
      </c>
      <c r="O601" s="150" t="str">
        <f>IF(INDEX('#建筑消耗和buff配置索引'!T:T,MATCH($F601,'#建筑消耗和buff配置索引'!$M:$M,0))=0,"",INDEX('#建筑消耗和buff配置索引'!T:T,MATCH($F601,'#建筑消耗和buff配置索引'!$M:$M,0)))</f>
        <v/>
      </c>
      <c r="P601" s="133" t="str">
        <f>IF(INDEX('#建筑消耗和buff配置索引'!U:U,MATCH($F601,'#建筑消耗和buff配置索引'!$M:$M,0))=0,"",INDEX('#建筑消耗和buff配置索引'!U:U,MATCH($F601,'#建筑消耗和buff配置索引'!$M:$M,0)))</f>
        <v/>
      </c>
      <c r="Q601" s="133" t="str">
        <f>IF(INDEX('#建筑消耗和buff配置索引'!K:K,MATCH($F601,'#建筑消耗和buff配置索引'!$M:$M,0))=0,"",INDEX('#建筑消耗和buff配置索引'!K:K,MATCH($F601,'#建筑消耗和buff配置索引'!$M:$M,0)))</f>
        <v>201</v>
      </c>
      <c r="R601" s="133" t="str">
        <f>IF(INDEX('#建筑消耗和buff配置索引'!L:L,MATCH($F601,'#建筑消耗和buff配置索引'!$M:$M,0))=0,"",INDEX('#建筑消耗和buff配置索引'!L:L,MATCH($F601,'#建筑消耗和buff配置索引'!$M:$M,0)))</f>
        <v>20</v>
      </c>
      <c r="S601" s="140">
        <f>IF(INDEX('#建筑消耗和buff配置索引'!C:C,MATCH(F601,'#建筑消耗和buff配置索引'!M:M,0))=0,1,INDEX('#建筑消耗和buff配置索引'!C:C,MATCH(F601,'#建筑消耗和buff配置索引'!M:M,0)))</f>
        <v>1</v>
      </c>
      <c r="T601" s="140">
        <v>0</v>
      </c>
      <c r="U601" s="140">
        <v>0</v>
      </c>
      <c r="V601" s="133" t="str">
        <f>IF(E601=1,IF(INDEX('#建筑消耗和buff配置索引'!BY:BY,MATCH(D601,'#建筑消耗和buff配置索引'!A:A,0))=0,"",INDEX('#建筑消耗和buff配置索引'!BY:BY,MATCH(D601,'#建筑消耗和buff配置索引'!A:A,0))),"")</f>
        <v/>
      </c>
      <c r="W601" s="133" t="str">
        <f>IF(E601=1,IF(INDEX('#建筑消耗和buff配置索引'!BZ:BZ,MATCH(D601,'#建筑消耗和buff配置索引'!A:A,0))=0,"",INDEX('#建筑消耗和buff配置索引'!BZ:BZ,MATCH(D601,'#建筑消耗和buff配置索引'!A:A,0))),"")</f>
        <v/>
      </c>
      <c r="AA601" s="140">
        <f>INDEX('#建筑消耗和buff配置索引'!AO:AO,MATCH($F601,'#建筑消耗和buff配置索引'!$M:$M,0))</f>
        <v>50611</v>
      </c>
      <c r="AB601" s="133">
        <f>IF(INDEX('#建筑消耗和buff配置索引'!AR:AR,MATCH($F601,'#建筑消耗和buff配置索引'!$M:$M,0))=0,"",INDEX('#建筑消耗和buff配置索引'!AR:AR,MATCH($F601,'#建筑消耗和buff配置索引'!$M:$M,0)))</f>
        <v>1261</v>
      </c>
      <c r="AC601" s="133">
        <f>IF(AB601="","",INDEX('#建筑消耗和buff配置索引'!AS:AS,MATCH($F601,'#建筑消耗和buff配置索引'!$M:$M,0)))</f>
        <v>1000000</v>
      </c>
      <c r="AF601" s="140" t="str">
        <f>IF(INDEX('#建筑消耗和buff配置索引'!AW:AW,MATCH($F601,'#建筑消耗和buff配置索引'!$M:$M,0))=0,"",INDEX('#建筑消耗和buff配置索引'!AW:AW,MATCH($F601,'#建筑消耗和buff配置索引'!$M:$M,0)))</f>
        <v/>
      </c>
      <c r="AG601" s="140" t="str">
        <f>IF(AF601="","",INDEX('#建筑消耗和buff配置索引'!AX:AX,MATCH($F601,'#建筑消耗和buff配置索引'!$M:$M,0)))</f>
        <v/>
      </c>
      <c r="AJ601" s="133" t="str">
        <f>IF(INDEX('#建筑消耗和buff配置索引'!BB:BB,MATCH($F601,'#建筑消耗和buff配置索引'!$M:$M,0))=0,"",INDEX('#建筑消耗和buff配置索引'!BB:BB,MATCH($F601,'#建筑消耗和buff配置索引'!$M:$M,0)))</f>
        <v/>
      </c>
      <c r="AK601" s="133" t="str">
        <f>IF(AJ601="","",INDEX('#建筑消耗和buff配置索引'!BC:BC,MATCH($F601,'#建筑消耗和buff配置索引'!$M:$M,0)))</f>
        <v/>
      </c>
      <c r="AL601" s="133"/>
      <c r="AM601" s="133"/>
      <c r="AN601" s="133" t="str">
        <f>IF(INDEX('#建筑消耗和buff配置索引'!BG:BG,MATCH($F601,'#建筑消耗和buff配置索引'!$M:$M,0))=0,"",INDEX('#建筑消耗和buff配置索引'!BG:BG,MATCH($F601,'#建筑消耗和buff配置索引'!$M:$M,0)))</f>
        <v/>
      </c>
      <c r="AO601" s="133" t="str">
        <f>IF(AN601="","",INDEX('#建筑消耗和buff配置索引'!BH:BH,MATCH($F601,'#建筑消耗和buff配置索引'!$M:$M,0)))</f>
        <v/>
      </c>
      <c r="AP601" s="133"/>
      <c r="AQ601" s="133"/>
      <c r="AR601" s="133" t="str">
        <f>IF(INDEX('#建筑消耗和buff配置索引'!BK:BK,MATCH($F601,'#建筑消耗和buff配置索引'!$M:$M,0))=0,"",INDEX('#建筑消耗和buff配置索引'!BK:BK,MATCH($F601,'#建筑消耗和buff配置索引'!$M:$M,0)))</f>
        <v/>
      </c>
      <c r="AS601" s="133" t="str">
        <f>IF(AR601="","",INDEX('#建筑消耗和buff配置索引'!BL:BL,MATCH($F601,'#建筑消耗和buff配置索引'!$M:$M,0)))</f>
        <v/>
      </c>
      <c r="AT601" s="133"/>
      <c r="AU601" s="133"/>
      <c r="AV601" s="133" t="str">
        <f>IF(INDEX('#建筑消耗和buff配置索引'!BO:BO,MATCH($F601,'#建筑消耗和buff配置索引'!$M:$M,0))=0,"",INDEX('#建筑消耗和buff配置索引'!BO:BO,MATCH($F601,'#建筑消耗和buff配置索引'!$M:$M,0)))</f>
        <v/>
      </c>
      <c r="AW601" s="133" t="str">
        <f>IF(AV601="","",INDEX('#建筑消耗和buff配置索引'!BP:BP,MATCH($F601,'#建筑消耗和buff配置索引'!$M:$M,0)))</f>
        <v/>
      </c>
      <c r="AX601" s="133"/>
      <c r="AY601" s="133"/>
      <c r="AZ601" s="133" t="str">
        <f>IF(INDEX('#建筑消耗和buff配置索引'!BS:BS,MATCH($F601,'#建筑消耗和buff配置索引'!$M:$M,0))=0,"",INDEX('#建筑消耗和buff配置索引'!BS:BS,MATCH($F601,'#建筑消耗和buff配置索引'!$M:$M,0)))</f>
        <v/>
      </c>
      <c r="BA601" s="133" t="str">
        <f>IF(AZ601="","",INDEX('#建筑消耗和buff配置索引'!BT:BT,MATCH($F601,'#建筑消耗和buff配置索引'!$M:$M,0)))</f>
        <v/>
      </c>
      <c r="BB601" s="133"/>
      <c r="BC601" s="133"/>
      <c r="BD601" s="133" t="str">
        <f>IF(INDEX('#建筑消耗和buff配置索引'!BW:BW,MATCH($F601,'#建筑消耗和buff配置索引'!$M:$M,0))=0,"",INDEX('#建筑消耗和buff配置索引'!BW:BW,MATCH($F601,'#建筑消耗和buff配置索引'!$M:$M,0)))</f>
        <v/>
      </c>
      <c r="BE601" s="133" t="str">
        <f>IF(BD601="","",INDEX('#建筑消耗和buff配置索引'!BX:BX,MATCH($F601,'#建筑消耗和buff配置索引'!$M:$M,0)))</f>
        <v/>
      </c>
      <c r="BI601" s="140">
        <v>23</v>
      </c>
    </row>
    <row r="602" spans="1:61">
      <c r="A602" s="140">
        <v>4000021</v>
      </c>
      <c r="B602" s="140">
        <v>604</v>
      </c>
      <c r="C602" s="140">
        <v>400</v>
      </c>
      <c r="D602" s="140" t="s">
        <v>1014</v>
      </c>
      <c r="E602" s="140">
        <v>21</v>
      </c>
      <c r="F602" s="133" t="str">
        <f t="shared" si="10"/>
        <v>仓库21</v>
      </c>
      <c r="I602" s="140">
        <v>0</v>
      </c>
      <c r="J602" s="150">
        <f>INDEX('#建筑消耗和buff配置索引'!AH:AH,MATCH($F602,'#建筑消耗和buff配置索引'!$M:$M,0))</f>
        <v>138240</v>
      </c>
      <c r="K602" s="142">
        <f>INDEX('#建筑消耗和buff配置索引'!AA:AA,MATCH($F602,'#建筑消耗和buff配置索引'!$M:$M,0))</f>
        <v>1500000</v>
      </c>
      <c r="L602" s="142">
        <f>INDEX('#建筑消耗和buff配置索引'!AB:AB,MATCH($F602,'#建筑消耗和buff配置索引'!$M:$M,0))</f>
        <v>1500000</v>
      </c>
      <c r="M602" s="142">
        <f>INDEX('#建筑消耗和buff配置索引'!AC:AC,MATCH($F602,'#建筑消耗和buff配置索引'!$M:$M,0))</f>
        <v>1500000</v>
      </c>
      <c r="N602" s="142">
        <f>INDEX('#建筑消耗和buff配置索引'!AD:AD,MATCH($F602,'#建筑消耗和buff配置索引'!$M:$M,0))</f>
        <v>3000000</v>
      </c>
      <c r="O602" s="150" t="str">
        <f>IF(INDEX('#建筑消耗和buff配置索引'!T:T,MATCH($F602,'#建筑消耗和buff配置索引'!$M:$M,0))=0,"",INDEX('#建筑消耗和buff配置索引'!T:T,MATCH($F602,'#建筑消耗和buff配置索引'!$M:$M,0)))</f>
        <v/>
      </c>
      <c r="P602" s="133" t="str">
        <f>IF(INDEX('#建筑消耗和buff配置索引'!U:U,MATCH($F602,'#建筑消耗和buff配置索引'!$M:$M,0))=0,"",INDEX('#建筑消耗和buff配置索引'!U:U,MATCH($F602,'#建筑消耗和buff配置索引'!$M:$M,0)))</f>
        <v/>
      </c>
      <c r="Q602" s="133" t="str">
        <f>IF(INDEX('#建筑消耗和buff配置索引'!K:K,MATCH($F602,'#建筑消耗和buff配置索引'!$M:$M,0))=0,"",INDEX('#建筑消耗和buff配置索引'!K:K,MATCH($F602,'#建筑消耗和buff配置索引'!$M:$M,0)))</f>
        <v>201</v>
      </c>
      <c r="R602" s="133" t="str">
        <f>IF(INDEX('#建筑消耗和buff配置索引'!L:L,MATCH($F602,'#建筑消耗和buff配置索引'!$M:$M,0))=0,"",INDEX('#建筑消耗和buff配置索引'!L:L,MATCH($F602,'#建筑消耗和buff配置索引'!$M:$M,0)))</f>
        <v>21</v>
      </c>
      <c r="S602" s="140">
        <f>IF(INDEX('#建筑消耗和buff配置索引'!C:C,MATCH(F602,'#建筑消耗和buff配置索引'!M:M,0))=0,1,INDEX('#建筑消耗和buff配置索引'!C:C,MATCH(F602,'#建筑消耗和buff配置索引'!M:M,0)))</f>
        <v>1</v>
      </c>
      <c r="T602" s="140">
        <v>0</v>
      </c>
      <c r="U602" s="140">
        <v>0</v>
      </c>
      <c r="V602" s="133" t="str">
        <f>IF(E602=1,IF(INDEX('#建筑消耗和buff配置索引'!BY:BY,MATCH(D602,'#建筑消耗和buff配置索引'!A:A,0))=0,"",INDEX('#建筑消耗和buff配置索引'!BY:BY,MATCH(D602,'#建筑消耗和buff配置索引'!A:A,0))),"")</f>
        <v/>
      </c>
      <c r="W602" s="133" t="str">
        <f>IF(E602=1,IF(INDEX('#建筑消耗和buff配置索引'!BZ:BZ,MATCH(D602,'#建筑消耗和buff配置索引'!A:A,0))=0,"",INDEX('#建筑消耗和buff配置索引'!BZ:BZ,MATCH(D602,'#建筑消耗和buff配置索引'!A:A,0))),"")</f>
        <v/>
      </c>
      <c r="AA602" s="140">
        <f>INDEX('#建筑消耗和buff配置索引'!AO:AO,MATCH($F602,'#建筑消耗和buff配置索引'!$M:$M,0))</f>
        <v>65687</v>
      </c>
      <c r="AB602" s="133">
        <f>IF(INDEX('#建筑消耗和buff配置索引'!AR:AR,MATCH($F602,'#建筑消耗和buff配置索引'!$M:$M,0))=0,"",INDEX('#建筑消耗和buff配置索引'!AR:AR,MATCH($F602,'#建筑消耗和buff配置索引'!$M:$M,0)))</f>
        <v>1261</v>
      </c>
      <c r="AC602" s="133">
        <f>IF(AB602="","",INDEX('#建筑消耗和buff配置索引'!AS:AS,MATCH($F602,'#建筑消耗和buff配置索引'!$M:$M,0)))</f>
        <v>1100000</v>
      </c>
      <c r="AF602" s="140" t="str">
        <f>IF(INDEX('#建筑消耗和buff配置索引'!AW:AW,MATCH($F602,'#建筑消耗和buff配置索引'!$M:$M,0))=0,"",INDEX('#建筑消耗和buff配置索引'!AW:AW,MATCH($F602,'#建筑消耗和buff配置索引'!$M:$M,0)))</f>
        <v/>
      </c>
      <c r="AG602" s="140" t="str">
        <f>IF(AF602="","",INDEX('#建筑消耗和buff配置索引'!AX:AX,MATCH($F602,'#建筑消耗和buff配置索引'!$M:$M,0)))</f>
        <v/>
      </c>
      <c r="AJ602" s="133" t="str">
        <f>IF(INDEX('#建筑消耗和buff配置索引'!BB:BB,MATCH($F602,'#建筑消耗和buff配置索引'!$M:$M,0))=0,"",INDEX('#建筑消耗和buff配置索引'!BB:BB,MATCH($F602,'#建筑消耗和buff配置索引'!$M:$M,0)))</f>
        <v/>
      </c>
      <c r="AK602" s="133" t="str">
        <f>IF(AJ602="","",INDEX('#建筑消耗和buff配置索引'!BC:BC,MATCH($F602,'#建筑消耗和buff配置索引'!$M:$M,0)))</f>
        <v/>
      </c>
      <c r="AL602" s="133"/>
      <c r="AM602" s="133"/>
      <c r="AN602" s="133" t="str">
        <f>IF(INDEX('#建筑消耗和buff配置索引'!BG:BG,MATCH($F602,'#建筑消耗和buff配置索引'!$M:$M,0))=0,"",INDEX('#建筑消耗和buff配置索引'!BG:BG,MATCH($F602,'#建筑消耗和buff配置索引'!$M:$M,0)))</f>
        <v/>
      </c>
      <c r="AO602" s="133" t="str">
        <f>IF(AN602="","",INDEX('#建筑消耗和buff配置索引'!BH:BH,MATCH($F602,'#建筑消耗和buff配置索引'!$M:$M,0)))</f>
        <v/>
      </c>
      <c r="AP602" s="133"/>
      <c r="AQ602" s="133"/>
      <c r="AR602" s="133" t="str">
        <f>IF(INDEX('#建筑消耗和buff配置索引'!BK:BK,MATCH($F602,'#建筑消耗和buff配置索引'!$M:$M,0))=0,"",INDEX('#建筑消耗和buff配置索引'!BK:BK,MATCH($F602,'#建筑消耗和buff配置索引'!$M:$M,0)))</f>
        <v/>
      </c>
      <c r="AS602" s="133" t="str">
        <f>IF(AR602="","",INDEX('#建筑消耗和buff配置索引'!BL:BL,MATCH($F602,'#建筑消耗和buff配置索引'!$M:$M,0)))</f>
        <v/>
      </c>
      <c r="AT602" s="133"/>
      <c r="AU602" s="133"/>
      <c r="AV602" s="133" t="str">
        <f>IF(INDEX('#建筑消耗和buff配置索引'!BO:BO,MATCH($F602,'#建筑消耗和buff配置索引'!$M:$M,0))=0,"",INDEX('#建筑消耗和buff配置索引'!BO:BO,MATCH($F602,'#建筑消耗和buff配置索引'!$M:$M,0)))</f>
        <v/>
      </c>
      <c r="AW602" s="133" t="str">
        <f>IF(AV602="","",INDEX('#建筑消耗和buff配置索引'!BP:BP,MATCH($F602,'#建筑消耗和buff配置索引'!$M:$M,0)))</f>
        <v/>
      </c>
      <c r="AX602" s="133"/>
      <c r="AY602" s="133"/>
      <c r="AZ602" s="133" t="str">
        <f>IF(INDEX('#建筑消耗和buff配置索引'!BS:BS,MATCH($F602,'#建筑消耗和buff配置索引'!$M:$M,0))=0,"",INDEX('#建筑消耗和buff配置索引'!BS:BS,MATCH($F602,'#建筑消耗和buff配置索引'!$M:$M,0)))</f>
        <v/>
      </c>
      <c r="BA602" s="133" t="str">
        <f>IF(AZ602="","",INDEX('#建筑消耗和buff配置索引'!BT:BT,MATCH($F602,'#建筑消耗和buff配置索引'!$M:$M,0)))</f>
        <v/>
      </c>
      <c r="BB602" s="133"/>
      <c r="BC602" s="133"/>
      <c r="BD602" s="133" t="str">
        <f>IF(INDEX('#建筑消耗和buff配置索引'!BW:BW,MATCH($F602,'#建筑消耗和buff配置索引'!$M:$M,0))=0,"",INDEX('#建筑消耗和buff配置索引'!BW:BW,MATCH($F602,'#建筑消耗和buff配置索引'!$M:$M,0)))</f>
        <v/>
      </c>
      <c r="BE602" s="133" t="str">
        <f>IF(BD602="","",INDEX('#建筑消耗和buff配置索引'!BX:BX,MATCH($F602,'#建筑消耗和buff配置索引'!$M:$M,0)))</f>
        <v/>
      </c>
      <c r="BI602" s="140">
        <v>23</v>
      </c>
    </row>
    <row r="603" spans="1:61">
      <c r="A603" s="140">
        <v>4000022</v>
      </c>
      <c r="B603" s="140">
        <v>605</v>
      </c>
      <c r="C603" s="140">
        <v>400</v>
      </c>
      <c r="D603" s="140" t="s">
        <v>1014</v>
      </c>
      <c r="E603" s="140">
        <v>22</v>
      </c>
      <c r="F603" s="133" t="str">
        <f t="shared" si="10"/>
        <v>仓库22</v>
      </c>
      <c r="I603" s="140">
        <v>0</v>
      </c>
      <c r="J603" s="150">
        <f>INDEX('#建筑消耗和buff配置索引'!AH:AH,MATCH($F603,'#建筑消耗和buff配置索引'!$M:$M,0))</f>
        <v>181440</v>
      </c>
      <c r="K603" s="142">
        <f>INDEX('#建筑消耗和buff配置索引'!AA:AA,MATCH($F603,'#建筑消耗和buff配置索引'!$M:$M,0))</f>
        <v>1900000</v>
      </c>
      <c r="L603" s="142">
        <f>INDEX('#建筑消耗和buff配置索引'!AB:AB,MATCH($F603,'#建筑消耗和buff配置索引'!$M:$M,0))</f>
        <v>1900000</v>
      </c>
      <c r="M603" s="142">
        <f>INDEX('#建筑消耗和buff配置索引'!AC:AC,MATCH($F603,'#建筑消耗和buff配置索引'!$M:$M,0))</f>
        <v>1900000</v>
      </c>
      <c r="N603" s="142">
        <f>INDEX('#建筑消耗和buff配置索引'!AD:AD,MATCH($F603,'#建筑消耗和buff配置索引'!$M:$M,0))</f>
        <v>3900000</v>
      </c>
      <c r="O603" s="150" t="str">
        <f>IF(INDEX('#建筑消耗和buff配置索引'!T:T,MATCH($F603,'#建筑消耗和buff配置索引'!$M:$M,0))=0,"",INDEX('#建筑消耗和buff配置索引'!T:T,MATCH($F603,'#建筑消耗和buff配置索引'!$M:$M,0)))</f>
        <v/>
      </c>
      <c r="P603" s="133" t="str">
        <f>IF(INDEX('#建筑消耗和buff配置索引'!U:U,MATCH($F603,'#建筑消耗和buff配置索引'!$M:$M,0))=0,"",INDEX('#建筑消耗和buff配置索引'!U:U,MATCH($F603,'#建筑消耗和buff配置索引'!$M:$M,0)))</f>
        <v/>
      </c>
      <c r="Q603" s="133" t="str">
        <f>IF(INDEX('#建筑消耗和buff配置索引'!K:K,MATCH($F603,'#建筑消耗和buff配置索引'!$M:$M,0))=0,"",INDEX('#建筑消耗和buff配置索引'!K:K,MATCH($F603,'#建筑消耗和buff配置索引'!$M:$M,0)))</f>
        <v>201</v>
      </c>
      <c r="R603" s="133" t="str">
        <f>IF(INDEX('#建筑消耗和buff配置索引'!L:L,MATCH($F603,'#建筑消耗和buff配置索引'!$M:$M,0))=0,"",INDEX('#建筑消耗和buff配置索引'!L:L,MATCH($F603,'#建筑消耗和buff配置索引'!$M:$M,0)))</f>
        <v>22</v>
      </c>
      <c r="S603" s="140">
        <f>IF(INDEX('#建筑消耗和buff配置索引'!C:C,MATCH(F603,'#建筑消耗和buff配置索引'!M:M,0))=0,1,INDEX('#建筑消耗和buff配置索引'!C:C,MATCH(F603,'#建筑消耗和buff配置索引'!M:M,0)))</f>
        <v>1</v>
      </c>
      <c r="T603" s="140">
        <v>0</v>
      </c>
      <c r="U603" s="140">
        <v>0</v>
      </c>
      <c r="V603" s="133" t="str">
        <f>IF(E603=1,IF(INDEX('#建筑消耗和buff配置索引'!BY:BY,MATCH(D603,'#建筑消耗和buff配置索引'!A:A,0))=0,"",INDEX('#建筑消耗和buff配置索引'!BY:BY,MATCH(D603,'#建筑消耗和buff配置索引'!A:A,0))),"")</f>
        <v/>
      </c>
      <c r="W603" s="133" t="str">
        <f>IF(E603=1,IF(INDEX('#建筑消耗和buff配置索引'!BZ:BZ,MATCH(D603,'#建筑消耗和buff配置索引'!A:A,0))=0,"",INDEX('#建筑消耗和buff配置索引'!BZ:BZ,MATCH(D603,'#建筑消耗和buff配置索引'!A:A,0))),"")</f>
        <v/>
      </c>
      <c r="AA603" s="140">
        <f>INDEX('#建筑消耗和buff配置索引'!AO:AO,MATCH($F603,'#建筑消耗和buff配置索引'!$M:$M,0))</f>
        <v>84984</v>
      </c>
      <c r="AB603" s="133">
        <f>IF(INDEX('#建筑消耗和buff配置索引'!AR:AR,MATCH($F603,'#建筑消耗和buff配置索引'!$M:$M,0))=0,"",INDEX('#建筑消耗和buff配置索引'!AR:AR,MATCH($F603,'#建筑消耗和buff配置索引'!$M:$M,0)))</f>
        <v>1261</v>
      </c>
      <c r="AC603" s="133">
        <f>IF(AB603="","",INDEX('#建筑消耗和buff配置索引'!AS:AS,MATCH($F603,'#建筑消耗和buff配置索引'!$M:$M,0)))</f>
        <v>1200000</v>
      </c>
      <c r="AF603" s="140" t="str">
        <f>IF(INDEX('#建筑消耗和buff配置索引'!AW:AW,MATCH($F603,'#建筑消耗和buff配置索引'!$M:$M,0))=0,"",INDEX('#建筑消耗和buff配置索引'!AW:AW,MATCH($F603,'#建筑消耗和buff配置索引'!$M:$M,0)))</f>
        <v/>
      </c>
      <c r="AG603" s="140" t="str">
        <f>IF(AF603="","",INDEX('#建筑消耗和buff配置索引'!AX:AX,MATCH($F603,'#建筑消耗和buff配置索引'!$M:$M,0)))</f>
        <v/>
      </c>
      <c r="AJ603" s="133" t="str">
        <f>IF(INDEX('#建筑消耗和buff配置索引'!BB:BB,MATCH($F603,'#建筑消耗和buff配置索引'!$M:$M,0))=0,"",INDEX('#建筑消耗和buff配置索引'!BB:BB,MATCH($F603,'#建筑消耗和buff配置索引'!$M:$M,0)))</f>
        <v/>
      </c>
      <c r="AK603" s="133" t="str">
        <f>IF(AJ603="","",INDEX('#建筑消耗和buff配置索引'!BC:BC,MATCH($F603,'#建筑消耗和buff配置索引'!$M:$M,0)))</f>
        <v/>
      </c>
      <c r="AL603" s="133"/>
      <c r="AM603" s="133"/>
      <c r="AN603" s="133" t="str">
        <f>IF(INDEX('#建筑消耗和buff配置索引'!BG:BG,MATCH($F603,'#建筑消耗和buff配置索引'!$M:$M,0))=0,"",INDEX('#建筑消耗和buff配置索引'!BG:BG,MATCH($F603,'#建筑消耗和buff配置索引'!$M:$M,0)))</f>
        <v/>
      </c>
      <c r="AO603" s="133" t="str">
        <f>IF(AN603="","",INDEX('#建筑消耗和buff配置索引'!BH:BH,MATCH($F603,'#建筑消耗和buff配置索引'!$M:$M,0)))</f>
        <v/>
      </c>
      <c r="AP603" s="133"/>
      <c r="AQ603" s="133"/>
      <c r="AR603" s="133" t="str">
        <f>IF(INDEX('#建筑消耗和buff配置索引'!BK:BK,MATCH($F603,'#建筑消耗和buff配置索引'!$M:$M,0))=0,"",INDEX('#建筑消耗和buff配置索引'!BK:BK,MATCH($F603,'#建筑消耗和buff配置索引'!$M:$M,0)))</f>
        <v/>
      </c>
      <c r="AS603" s="133" t="str">
        <f>IF(AR603="","",INDEX('#建筑消耗和buff配置索引'!BL:BL,MATCH($F603,'#建筑消耗和buff配置索引'!$M:$M,0)))</f>
        <v/>
      </c>
      <c r="AT603" s="133"/>
      <c r="AU603" s="133"/>
      <c r="AV603" s="133" t="str">
        <f>IF(INDEX('#建筑消耗和buff配置索引'!BO:BO,MATCH($F603,'#建筑消耗和buff配置索引'!$M:$M,0))=0,"",INDEX('#建筑消耗和buff配置索引'!BO:BO,MATCH($F603,'#建筑消耗和buff配置索引'!$M:$M,0)))</f>
        <v/>
      </c>
      <c r="AW603" s="133" t="str">
        <f>IF(AV603="","",INDEX('#建筑消耗和buff配置索引'!BP:BP,MATCH($F603,'#建筑消耗和buff配置索引'!$M:$M,0)))</f>
        <v/>
      </c>
      <c r="AX603" s="133"/>
      <c r="AY603" s="133"/>
      <c r="AZ603" s="133" t="str">
        <f>IF(INDEX('#建筑消耗和buff配置索引'!BS:BS,MATCH($F603,'#建筑消耗和buff配置索引'!$M:$M,0))=0,"",INDEX('#建筑消耗和buff配置索引'!BS:BS,MATCH($F603,'#建筑消耗和buff配置索引'!$M:$M,0)))</f>
        <v/>
      </c>
      <c r="BA603" s="133" t="str">
        <f>IF(AZ603="","",INDEX('#建筑消耗和buff配置索引'!BT:BT,MATCH($F603,'#建筑消耗和buff配置索引'!$M:$M,0)))</f>
        <v/>
      </c>
      <c r="BB603" s="133"/>
      <c r="BC603" s="133"/>
      <c r="BD603" s="133" t="str">
        <f>IF(INDEX('#建筑消耗和buff配置索引'!BW:BW,MATCH($F603,'#建筑消耗和buff配置索引'!$M:$M,0))=0,"",INDEX('#建筑消耗和buff配置索引'!BW:BW,MATCH($F603,'#建筑消耗和buff配置索引'!$M:$M,0)))</f>
        <v/>
      </c>
      <c r="BE603" s="133" t="str">
        <f>IF(BD603="","",INDEX('#建筑消耗和buff配置索引'!BX:BX,MATCH($F603,'#建筑消耗和buff配置索引'!$M:$M,0)))</f>
        <v/>
      </c>
      <c r="BI603" s="140">
        <v>23</v>
      </c>
    </row>
    <row r="604" spans="1:61">
      <c r="A604" s="140">
        <v>4000023</v>
      </c>
      <c r="B604" s="140">
        <v>606</v>
      </c>
      <c r="C604" s="140">
        <v>400</v>
      </c>
      <c r="D604" s="140" t="s">
        <v>1014</v>
      </c>
      <c r="E604" s="140">
        <v>23</v>
      </c>
      <c r="F604" s="133" t="str">
        <f t="shared" si="10"/>
        <v>仓库23</v>
      </c>
      <c r="I604" s="140">
        <v>0</v>
      </c>
      <c r="J604" s="150">
        <f>INDEX('#建筑消耗和buff配置索引'!AH:AH,MATCH($F604,'#建筑消耗和buff配置索引'!$M:$M,0))</f>
        <v>233280</v>
      </c>
      <c r="K604" s="142">
        <f>INDEX('#建筑消耗和buff配置索引'!AA:AA,MATCH($F604,'#建筑消耗和buff配置索引'!$M:$M,0))</f>
        <v>2500000</v>
      </c>
      <c r="L604" s="142">
        <f>INDEX('#建筑消耗和buff配置索引'!AB:AB,MATCH($F604,'#建筑消耗和buff配置索引'!$M:$M,0))</f>
        <v>2500000</v>
      </c>
      <c r="M604" s="142">
        <f>INDEX('#建筑消耗和buff配置索引'!AC:AC,MATCH($F604,'#建筑消耗和buff配置索引'!$M:$M,0))</f>
        <v>2500000</v>
      </c>
      <c r="N604" s="142">
        <f>INDEX('#建筑消耗和buff配置索引'!AD:AD,MATCH($F604,'#建筑消耗和buff配置索引'!$M:$M,0))</f>
        <v>4900000</v>
      </c>
      <c r="O604" s="150" t="str">
        <f>IF(INDEX('#建筑消耗和buff配置索引'!T:T,MATCH($F604,'#建筑消耗和buff配置索引'!$M:$M,0))=0,"",INDEX('#建筑消耗和buff配置索引'!T:T,MATCH($F604,'#建筑消耗和buff配置索引'!$M:$M,0)))</f>
        <v/>
      </c>
      <c r="P604" s="133" t="str">
        <f>IF(INDEX('#建筑消耗和buff配置索引'!U:U,MATCH($F604,'#建筑消耗和buff配置索引'!$M:$M,0))=0,"",INDEX('#建筑消耗和buff配置索引'!U:U,MATCH($F604,'#建筑消耗和buff配置索引'!$M:$M,0)))</f>
        <v/>
      </c>
      <c r="Q604" s="133" t="str">
        <f>IF(INDEX('#建筑消耗和buff配置索引'!K:K,MATCH($F604,'#建筑消耗和buff配置索引'!$M:$M,0))=0,"",INDEX('#建筑消耗和buff配置索引'!K:K,MATCH($F604,'#建筑消耗和buff配置索引'!$M:$M,0)))</f>
        <v>201</v>
      </c>
      <c r="R604" s="133" t="str">
        <f>IF(INDEX('#建筑消耗和buff配置索引'!L:L,MATCH($F604,'#建筑消耗和buff配置索引'!$M:$M,0))=0,"",INDEX('#建筑消耗和buff配置索引'!L:L,MATCH($F604,'#建筑消耗和buff配置索引'!$M:$M,0)))</f>
        <v>23</v>
      </c>
      <c r="S604" s="140">
        <f>IF(INDEX('#建筑消耗和buff配置索引'!C:C,MATCH(F604,'#建筑消耗和buff配置索引'!M:M,0))=0,1,INDEX('#建筑消耗和buff配置索引'!C:C,MATCH(F604,'#建筑消耗和buff配置索引'!M:M,0)))</f>
        <v>1</v>
      </c>
      <c r="T604" s="140">
        <v>0</v>
      </c>
      <c r="U604" s="140">
        <v>0</v>
      </c>
      <c r="V604" s="133" t="str">
        <f>IF(E604=1,IF(INDEX('#建筑消耗和buff配置索引'!BY:BY,MATCH(D604,'#建筑消耗和buff配置索引'!A:A,0))=0,"",INDEX('#建筑消耗和buff配置索引'!BY:BY,MATCH(D604,'#建筑消耗和buff配置索引'!A:A,0))),"")</f>
        <v/>
      </c>
      <c r="W604" s="133" t="str">
        <f>IF(E604=1,IF(INDEX('#建筑消耗和buff配置索引'!BZ:BZ,MATCH(D604,'#建筑消耗和buff配置索引'!A:A,0))=0,"",INDEX('#建筑消耗和buff配置索引'!BZ:BZ,MATCH(D604,'#建筑消耗和buff配置索引'!A:A,0))),"")</f>
        <v/>
      </c>
      <c r="AA604" s="140">
        <f>INDEX('#建筑消耗和buff配置索引'!AO:AO,MATCH($F604,'#建筑消耗和buff配置索引'!$M:$M,0))</f>
        <v>109684</v>
      </c>
      <c r="AB604" s="133">
        <f>IF(INDEX('#建筑消耗和buff配置索引'!AR:AR,MATCH($F604,'#建筑消耗和buff配置索引'!$M:$M,0))=0,"",INDEX('#建筑消耗和buff配置索引'!AR:AR,MATCH($F604,'#建筑消耗和buff配置索引'!$M:$M,0)))</f>
        <v>1261</v>
      </c>
      <c r="AC604" s="133">
        <f>IF(AB604="","",INDEX('#建筑消耗和buff配置索引'!AS:AS,MATCH($F604,'#建筑消耗和buff配置索引'!$M:$M,0)))</f>
        <v>1300000</v>
      </c>
      <c r="AF604" s="140" t="str">
        <f>IF(INDEX('#建筑消耗和buff配置索引'!AW:AW,MATCH($F604,'#建筑消耗和buff配置索引'!$M:$M,0))=0,"",INDEX('#建筑消耗和buff配置索引'!AW:AW,MATCH($F604,'#建筑消耗和buff配置索引'!$M:$M,0)))</f>
        <v/>
      </c>
      <c r="AG604" s="140" t="str">
        <f>IF(AF604="","",INDEX('#建筑消耗和buff配置索引'!AX:AX,MATCH($F604,'#建筑消耗和buff配置索引'!$M:$M,0)))</f>
        <v/>
      </c>
      <c r="AJ604" s="133" t="str">
        <f>IF(INDEX('#建筑消耗和buff配置索引'!BB:BB,MATCH($F604,'#建筑消耗和buff配置索引'!$M:$M,0))=0,"",INDEX('#建筑消耗和buff配置索引'!BB:BB,MATCH($F604,'#建筑消耗和buff配置索引'!$M:$M,0)))</f>
        <v/>
      </c>
      <c r="AK604" s="133" t="str">
        <f>IF(AJ604="","",INDEX('#建筑消耗和buff配置索引'!BC:BC,MATCH($F604,'#建筑消耗和buff配置索引'!$M:$M,0)))</f>
        <v/>
      </c>
      <c r="AL604" s="133"/>
      <c r="AM604" s="133"/>
      <c r="AN604" s="133" t="str">
        <f>IF(INDEX('#建筑消耗和buff配置索引'!BG:BG,MATCH($F604,'#建筑消耗和buff配置索引'!$M:$M,0))=0,"",INDEX('#建筑消耗和buff配置索引'!BG:BG,MATCH($F604,'#建筑消耗和buff配置索引'!$M:$M,0)))</f>
        <v/>
      </c>
      <c r="AO604" s="133" t="str">
        <f>IF(AN604="","",INDEX('#建筑消耗和buff配置索引'!BH:BH,MATCH($F604,'#建筑消耗和buff配置索引'!$M:$M,0)))</f>
        <v/>
      </c>
      <c r="AP604" s="133"/>
      <c r="AQ604" s="133"/>
      <c r="AR604" s="133" t="str">
        <f>IF(INDEX('#建筑消耗和buff配置索引'!BK:BK,MATCH($F604,'#建筑消耗和buff配置索引'!$M:$M,0))=0,"",INDEX('#建筑消耗和buff配置索引'!BK:BK,MATCH($F604,'#建筑消耗和buff配置索引'!$M:$M,0)))</f>
        <v/>
      </c>
      <c r="AS604" s="133" t="str">
        <f>IF(AR604="","",INDEX('#建筑消耗和buff配置索引'!BL:BL,MATCH($F604,'#建筑消耗和buff配置索引'!$M:$M,0)))</f>
        <v/>
      </c>
      <c r="AT604" s="133"/>
      <c r="AU604" s="133"/>
      <c r="AV604" s="133" t="str">
        <f>IF(INDEX('#建筑消耗和buff配置索引'!BO:BO,MATCH($F604,'#建筑消耗和buff配置索引'!$M:$M,0))=0,"",INDEX('#建筑消耗和buff配置索引'!BO:BO,MATCH($F604,'#建筑消耗和buff配置索引'!$M:$M,0)))</f>
        <v/>
      </c>
      <c r="AW604" s="133" t="str">
        <f>IF(AV604="","",INDEX('#建筑消耗和buff配置索引'!BP:BP,MATCH($F604,'#建筑消耗和buff配置索引'!$M:$M,0)))</f>
        <v/>
      </c>
      <c r="AX604" s="133"/>
      <c r="AY604" s="133"/>
      <c r="AZ604" s="133" t="str">
        <f>IF(INDEX('#建筑消耗和buff配置索引'!BS:BS,MATCH($F604,'#建筑消耗和buff配置索引'!$M:$M,0))=0,"",INDEX('#建筑消耗和buff配置索引'!BS:BS,MATCH($F604,'#建筑消耗和buff配置索引'!$M:$M,0)))</f>
        <v/>
      </c>
      <c r="BA604" s="133" t="str">
        <f>IF(AZ604="","",INDEX('#建筑消耗和buff配置索引'!BT:BT,MATCH($F604,'#建筑消耗和buff配置索引'!$M:$M,0)))</f>
        <v/>
      </c>
      <c r="BB604" s="133"/>
      <c r="BC604" s="133"/>
      <c r="BD604" s="133" t="str">
        <f>IF(INDEX('#建筑消耗和buff配置索引'!BW:BW,MATCH($F604,'#建筑消耗和buff配置索引'!$M:$M,0))=0,"",INDEX('#建筑消耗和buff配置索引'!BW:BW,MATCH($F604,'#建筑消耗和buff配置索引'!$M:$M,0)))</f>
        <v/>
      </c>
      <c r="BE604" s="133" t="str">
        <f>IF(BD604="","",INDEX('#建筑消耗和buff配置索引'!BX:BX,MATCH($F604,'#建筑消耗和buff配置索引'!$M:$M,0)))</f>
        <v/>
      </c>
      <c r="BI604" s="140">
        <v>23</v>
      </c>
    </row>
    <row r="605" spans="1:61">
      <c r="A605" s="140">
        <v>4000024</v>
      </c>
      <c r="B605" s="140">
        <v>607</v>
      </c>
      <c r="C605" s="140">
        <v>400</v>
      </c>
      <c r="D605" s="140" t="s">
        <v>1014</v>
      </c>
      <c r="E605" s="140">
        <v>24</v>
      </c>
      <c r="F605" s="133" t="str">
        <f t="shared" si="10"/>
        <v>仓库24</v>
      </c>
      <c r="I605" s="140">
        <v>0</v>
      </c>
      <c r="J605" s="150">
        <f>INDEX('#建筑消耗和buff配置索引'!AH:AH,MATCH($F605,'#建筑消耗和buff配置索引'!$M:$M,0))</f>
        <v>298080</v>
      </c>
      <c r="K605" s="142">
        <f>INDEX('#建筑消耗和buff配置索引'!AA:AA,MATCH($F605,'#建筑消耗和buff配置索引'!$M:$M,0))</f>
        <v>3200000</v>
      </c>
      <c r="L605" s="142">
        <f>INDEX('#建筑消耗和buff配置索引'!AB:AB,MATCH($F605,'#建筑消耗和buff配置索引'!$M:$M,0))</f>
        <v>3200000</v>
      </c>
      <c r="M605" s="142">
        <f>INDEX('#建筑消耗和buff配置索引'!AC:AC,MATCH($F605,'#建筑消耗和buff配置索引'!$M:$M,0))</f>
        <v>3200000</v>
      </c>
      <c r="N605" s="142">
        <f>INDEX('#建筑消耗和buff配置索引'!AD:AD,MATCH($F605,'#建筑消耗和buff配置索引'!$M:$M,0))</f>
        <v>6300000</v>
      </c>
      <c r="O605" s="150" t="str">
        <f>IF(INDEX('#建筑消耗和buff配置索引'!T:T,MATCH($F605,'#建筑消耗和buff配置索引'!$M:$M,0))=0,"",INDEX('#建筑消耗和buff配置索引'!T:T,MATCH($F605,'#建筑消耗和buff配置索引'!$M:$M,0)))</f>
        <v/>
      </c>
      <c r="P605" s="133" t="str">
        <f>IF(INDEX('#建筑消耗和buff配置索引'!U:U,MATCH($F605,'#建筑消耗和buff配置索引'!$M:$M,0))=0,"",INDEX('#建筑消耗和buff配置索引'!U:U,MATCH($F605,'#建筑消耗和buff配置索引'!$M:$M,0)))</f>
        <v/>
      </c>
      <c r="Q605" s="133" t="str">
        <f>IF(INDEX('#建筑消耗和buff配置索引'!K:K,MATCH($F605,'#建筑消耗和buff配置索引'!$M:$M,0))=0,"",INDEX('#建筑消耗和buff配置索引'!K:K,MATCH($F605,'#建筑消耗和buff配置索引'!$M:$M,0)))</f>
        <v>201</v>
      </c>
      <c r="R605" s="133" t="str">
        <f>IF(INDEX('#建筑消耗和buff配置索引'!L:L,MATCH($F605,'#建筑消耗和buff配置索引'!$M:$M,0))=0,"",INDEX('#建筑消耗和buff配置索引'!L:L,MATCH($F605,'#建筑消耗和buff配置索引'!$M:$M,0)))</f>
        <v>24</v>
      </c>
      <c r="S605" s="140">
        <f>IF(INDEX('#建筑消耗和buff配置索引'!C:C,MATCH(F605,'#建筑消耗和buff配置索引'!M:M,0))=0,1,INDEX('#建筑消耗和buff配置索引'!C:C,MATCH(F605,'#建筑消耗和buff配置索引'!M:M,0)))</f>
        <v>1</v>
      </c>
      <c r="T605" s="140">
        <v>0</v>
      </c>
      <c r="U605" s="140">
        <v>0</v>
      </c>
      <c r="V605" s="133" t="str">
        <f>IF(E605=1,IF(INDEX('#建筑消耗和buff配置索引'!BY:BY,MATCH(D605,'#建筑消耗和buff配置索引'!A:A,0))=0,"",INDEX('#建筑消耗和buff配置索引'!BY:BY,MATCH(D605,'#建筑消耗和buff配置索引'!A:A,0))),"")</f>
        <v/>
      </c>
      <c r="W605" s="133" t="str">
        <f>IF(E605=1,IF(INDEX('#建筑消耗和buff配置索引'!BZ:BZ,MATCH(D605,'#建筑消耗和buff配置索引'!A:A,0))=0,"",INDEX('#建筑消耗和buff配置索引'!BZ:BZ,MATCH(D605,'#建筑消耗和buff配置索引'!A:A,0))),"")</f>
        <v/>
      </c>
      <c r="AA605" s="140">
        <f>INDEX('#建筑消耗和buff配置索引'!AO:AO,MATCH($F605,'#建筑消耗和buff配置索引'!$M:$M,0))</f>
        <v>141300</v>
      </c>
      <c r="AB605" s="133">
        <f>IF(INDEX('#建筑消耗和buff配置索引'!AR:AR,MATCH($F605,'#建筑消耗和buff配置索引'!$M:$M,0))=0,"",INDEX('#建筑消耗和buff配置索引'!AR:AR,MATCH($F605,'#建筑消耗和buff配置索引'!$M:$M,0)))</f>
        <v>1261</v>
      </c>
      <c r="AC605" s="133">
        <f>IF(AB605="","",INDEX('#建筑消耗和buff配置索引'!AS:AS,MATCH($F605,'#建筑消耗和buff配置索引'!$M:$M,0)))</f>
        <v>1400000</v>
      </c>
      <c r="AF605" s="140" t="str">
        <f>IF(INDEX('#建筑消耗和buff配置索引'!AW:AW,MATCH($F605,'#建筑消耗和buff配置索引'!$M:$M,0))=0,"",INDEX('#建筑消耗和buff配置索引'!AW:AW,MATCH($F605,'#建筑消耗和buff配置索引'!$M:$M,0)))</f>
        <v/>
      </c>
      <c r="AG605" s="140" t="str">
        <f>IF(AF605="","",INDEX('#建筑消耗和buff配置索引'!AX:AX,MATCH($F605,'#建筑消耗和buff配置索引'!$M:$M,0)))</f>
        <v/>
      </c>
      <c r="AJ605" s="133" t="str">
        <f>IF(INDEX('#建筑消耗和buff配置索引'!BB:BB,MATCH($F605,'#建筑消耗和buff配置索引'!$M:$M,0))=0,"",INDEX('#建筑消耗和buff配置索引'!BB:BB,MATCH($F605,'#建筑消耗和buff配置索引'!$M:$M,0)))</f>
        <v/>
      </c>
      <c r="AK605" s="133" t="str">
        <f>IF(AJ605="","",INDEX('#建筑消耗和buff配置索引'!BC:BC,MATCH($F605,'#建筑消耗和buff配置索引'!$M:$M,0)))</f>
        <v/>
      </c>
      <c r="AL605" s="133"/>
      <c r="AM605" s="133"/>
      <c r="AN605" s="133" t="str">
        <f>IF(INDEX('#建筑消耗和buff配置索引'!BG:BG,MATCH($F605,'#建筑消耗和buff配置索引'!$M:$M,0))=0,"",INDEX('#建筑消耗和buff配置索引'!BG:BG,MATCH($F605,'#建筑消耗和buff配置索引'!$M:$M,0)))</f>
        <v/>
      </c>
      <c r="AO605" s="133" t="str">
        <f>IF(AN605="","",INDEX('#建筑消耗和buff配置索引'!BH:BH,MATCH($F605,'#建筑消耗和buff配置索引'!$M:$M,0)))</f>
        <v/>
      </c>
      <c r="AP605" s="133"/>
      <c r="AQ605" s="133"/>
      <c r="AR605" s="133" t="str">
        <f>IF(INDEX('#建筑消耗和buff配置索引'!BK:BK,MATCH($F605,'#建筑消耗和buff配置索引'!$M:$M,0))=0,"",INDEX('#建筑消耗和buff配置索引'!BK:BK,MATCH($F605,'#建筑消耗和buff配置索引'!$M:$M,0)))</f>
        <v/>
      </c>
      <c r="AS605" s="133" t="str">
        <f>IF(AR605="","",INDEX('#建筑消耗和buff配置索引'!BL:BL,MATCH($F605,'#建筑消耗和buff配置索引'!$M:$M,0)))</f>
        <v/>
      </c>
      <c r="AT605" s="133"/>
      <c r="AU605" s="133"/>
      <c r="AV605" s="133" t="str">
        <f>IF(INDEX('#建筑消耗和buff配置索引'!BO:BO,MATCH($F605,'#建筑消耗和buff配置索引'!$M:$M,0))=0,"",INDEX('#建筑消耗和buff配置索引'!BO:BO,MATCH($F605,'#建筑消耗和buff配置索引'!$M:$M,0)))</f>
        <v/>
      </c>
      <c r="AW605" s="133" t="str">
        <f>IF(AV605="","",INDEX('#建筑消耗和buff配置索引'!BP:BP,MATCH($F605,'#建筑消耗和buff配置索引'!$M:$M,0)))</f>
        <v/>
      </c>
      <c r="AX605" s="133"/>
      <c r="AY605" s="133"/>
      <c r="AZ605" s="133" t="str">
        <f>IF(INDEX('#建筑消耗和buff配置索引'!BS:BS,MATCH($F605,'#建筑消耗和buff配置索引'!$M:$M,0))=0,"",INDEX('#建筑消耗和buff配置索引'!BS:BS,MATCH($F605,'#建筑消耗和buff配置索引'!$M:$M,0)))</f>
        <v/>
      </c>
      <c r="BA605" s="133" t="str">
        <f>IF(AZ605="","",INDEX('#建筑消耗和buff配置索引'!BT:BT,MATCH($F605,'#建筑消耗和buff配置索引'!$M:$M,0)))</f>
        <v/>
      </c>
      <c r="BB605" s="133"/>
      <c r="BC605" s="133"/>
      <c r="BD605" s="133" t="str">
        <f>IF(INDEX('#建筑消耗和buff配置索引'!BW:BW,MATCH($F605,'#建筑消耗和buff配置索引'!$M:$M,0))=0,"",INDEX('#建筑消耗和buff配置索引'!BW:BW,MATCH($F605,'#建筑消耗和buff配置索引'!$M:$M,0)))</f>
        <v/>
      </c>
      <c r="BE605" s="133" t="str">
        <f>IF(BD605="","",INDEX('#建筑消耗和buff配置索引'!BX:BX,MATCH($F605,'#建筑消耗和buff配置索引'!$M:$M,0)))</f>
        <v/>
      </c>
      <c r="BI605" s="140">
        <v>23</v>
      </c>
    </row>
    <row r="606" spans="1:61">
      <c r="A606" s="140">
        <v>4000025</v>
      </c>
      <c r="B606" s="140">
        <v>608</v>
      </c>
      <c r="C606" s="140">
        <v>400</v>
      </c>
      <c r="D606" s="140" t="s">
        <v>1014</v>
      </c>
      <c r="E606" s="140">
        <v>25</v>
      </c>
      <c r="F606" s="133" t="str">
        <f t="shared" si="10"/>
        <v>仓库25</v>
      </c>
      <c r="I606" s="140">
        <v>0</v>
      </c>
      <c r="J606" s="150">
        <f>INDEX('#建筑消耗和buff配置索引'!AH:AH,MATCH($F606,'#建筑消耗和buff配置索引'!$M:$M,0))</f>
        <v>375840</v>
      </c>
      <c r="K606" s="142">
        <f>INDEX('#建筑消耗和buff配置索引'!AA:AA,MATCH($F606,'#建筑消耗和buff配置索引'!$M:$M,0))</f>
        <v>4000000</v>
      </c>
      <c r="L606" s="142">
        <f>INDEX('#建筑消耗和buff配置索引'!AB:AB,MATCH($F606,'#建筑消耗和buff配置索引'!$M:$M,0))</f>
        <v>4000000</v>
      </c>
      <c r="M606" s="142">
        <f>INDEX('#建筑消耗和buff配置索引'!AC:AC,MATCH($F606,'#建筑消耗和buff配置索引'!$M:$M,0))</f>
        <v>4000000</v>
      </c>
      <c r="N606" s="142">
        <f>INDEX('#建筑消耗和buff配置索引'!AD:AD,MATCH($F606,'#建筑消耗和buff配置索引'!$M:$M,0))</f>
        <v>8100000</v>
      </c>
      <c r="O606" s="150" t="str">
        <f>IF(INDEX('#建筑消耗和buff配置索引'!T:T,MATCH($F606,'#建筑消耗和buff配置索引'!$M:$M,0))=0,"",INDEX('#建筑消耗和buff配置索引'!T:T,MATCH($F606,'#建筑消耗和buff配置索引'!$M:$M,0)))</f>
        <v/>
      </c>
      <c r="P606" s="133" t="str">
        <f>IF(INDEX('#建筑消耗和buff配置索引'!U:U,MATCH($F606,'#建筑消耗和buff配置索引'!$M:$M,0))=0,"",INDEX('#建筑消耗和buff配置索引'!U:U,MATCH($F606,'#建筑消耗和buff配置索引'!$M:$M,0)))</f>
        <v/>
      </c>
      <c r="Q606" s="133" t="str">
        <f>IF(INDEX('#建筑消耗和buff配置索引'!K:K,MATCH($F606,'#建筑消耗和buff配置索引'!$M:$M,0))=0,"",INDEX('#建筑消耗和buff配置索引'!K:K,MATCH($F606,'#建筑消耗和buff配置索引'!$M:$M,0)))</f>
        <v>201</v>
      </c>
      <c r="R606" s="133" t="str">
        <f>IF(INDEX('#建筑消耗和buff配置索引'!L:L,MATCH($F606,'#建筑消耗和buff配置索引'!$M:$M,0))=0,"",INDEX('#建筑消耗和buff配置索引'!L:L,MATCH($F606,'#建筑消耗和buff配置索引'!$M:$M,0)))</f>
        <v>25</v>
      </c>
      <c r="S606" s="140">
        <f>IF(INDEX('#建筑消耗和buff配置索引'!C:C,MATCH(F606,'#建筑消耗和buff配置索引'!M:M,0))=0,1,INDEX('#建筑消耗和buff配置索引'!C:C,MATCH(F606,'#建筑消耗和buff配置索引'!M:M,0)))</f>
        <v>1</v>
      </c>
      <c r="T606" s="140">
        <v>0</v>
      </c>
      <c r="U606" s="140">
        <v>0</v>
      </c>
      <c r="V606" s="133" t="str">
        <f>IF(E606=1,IF(INDEX('#建筑消耗和buff配置索引'!BY:BY,MATCH(D606,'#建筑消耗和buff配置索引'!A:A,0))=0,"",INDEX('#建筑消耗和buff配置索引'!BY:BY,MATCH(D606,'#建筑消耗和buff配置索引'!A:A,0))),"")</f>
        <v/>
      </c>
      <c r="W606" s="133" t="str">
        <f>IF(E606=1,IF(INDEX('#建筑消耗和buff配置索引'!BZ:BZ,MATCH(D606,'#建筑消耗和buff配置索引'!A:A,0))=0,"",INDEX('#建筑消耗和buff配置索引'!BZ:BZ,MATCH(D606,'#建筑消耗和buff配置索引'!A:A,0))),"")</f>
        <v/>
      </c>
      <c r="AA606" s="140">
        <f>INDEX('#建筑消耗和buff配置索引'!AO:AO,MATCH($F606,'#建筑消耗和buff配置索引'!$M:$M,0))</f>
        <v>181768</v>
      </c>
      <c r="AB606" s="133">
        <f>IF(INDEX('#建筑消耗和buff配置索引'!AR:AR,MATCH($F606,'#建筑消耗和buff配置索引'!$M:$M,0))=0,"",INDEX('#建筑消耗和buff配置索引'!AR:AR,MATCH($F606,'#建筑消耗和buff配置索引'!$M:$M,0)))</f>
        <v>1261</v>
      </c>
      <c r="AC606" s="133">
        <f>IF(AB606="","",INDEX('#建筑消耗和buff配置索引'!AS:AS,MATCH($F606,'#建筑消耗和buff配置索引'!$M:$M,0)))</f>
        <v>1500000</v>
      </c>
      <c r="AF606" s="140" t="str">
        <f>IF(INDEX('#建筑消耗和buff配置索引'!AW:AW,MATCH($F606,'#建筑消耗和buff配置索引'!$M:$M,0))=0,"",INDEX('#建筑消耗和buff配置索引'!AW:AW,MATCH($F606,'#建筑消耗和buff配置索引'!$M:$M,0)))</f>
        <v/>
      </c>
      <c r="AG606" s="140" t="str">
        <f>IF(AF606="","",INDEX('#建筑消耗和buff配置索引'!AX:AX,MATCH($F606,'#建筑消耗和buff配置索引'!$M:$M,0)))</f>
        <v/>
      </c>
      <c r="AJ606" s="133" t="str">
        <f>IF(INDEX('#建筑消耗和buff配置索引'!BB:BB,MATCH($F606,'#建筑消耗和buff配置索引'!$M:$M,0))=0,"",INDEX('#建筑消耗和buff配置索引'!BB:BB,MATCH($F606,'#建筑消耗和buff配置索引'!$M:$M,0)))</f>
        <v/>
      </c>
      <c r="AK606" s="133" t="str">
        <f>IF(AJ606="","",INDEX('#建筑消耗和buff配置索引'!BC:BC,MATCH($F606,'#建筑消耗和buff配置索引'!$M:$M,0)))</f>
        <v/>
      </c>
      <c r="AL606" s="133"/>
      <c r="AM606" s="133"/>
      <c r="AN606" s="133" t="str">
        <f>IF(INDEX('#建筑消耗和buff配置索引'!BG:BG,MATCH($F606,'#建筑消耗和buff配置索引'!$M:$M,0))=0,"",INDEX('#建筑消耗和buff配置索引'!BG:BG,MATCH($F606,'#建筑消耗和buff配置索引'!$M:$M,0)))</f>
        <v/>
      </c>
      <c r="AO606" s="133" t="str">
        <f>IF(AN606="","",INDEX('#建筑消耗和buff配置索引'!BH:BH,MATCH($F606,'#建筑消耗和buff配置索引'!$M:$M,0)))</f>
        <v/>
      </c>
      <c r="AP606" s="133"/>
      <c r="AQ606" s="133"/>
      <c r="AR606" s="133" t="str">
        <f>IF(INDEX('#建筑消耗和buff配置索引'!BK:BK,MATCH($F606,'#建筑消耗和buff配置索引'!$M:$M,0))=0,"",INDEX('#建筑消耗和buff配置索引'!BK:BK,MATCH($F606,'#建筑消耗和buff配置索引'!$M:$M,0)))</f>
        <v/>
      </c>
      <c r="AS606" s="133" t="str">
        <f>IF(AR606="","",INDEX('#建筑消耗和buff配置索引'!BL:BL,MATCH($F606,'#建筑消耗和buff配置索引'!$M:$M,0)))</f>
        <v/>
      </c>
      <c r="AT606" s="133"/>
      <c r="AU606" s="133"/>
      <c r="AV606" s="133" t="str">
        <f>IF(INDEX('#建筑消耗和buff配置索引'!BO:BO,MATCH($F606,'#建筑消耗和buff配置索引'!$M:$M,0))=0,"",INDEX('#建筑消耗和buff配置索引'!BO:BO,MATCH($F606,'#建筑消耗和buff配置索引'!$M:$M,0)))</f>
        <v/>
      </c>
      <c r="AW606" s="133" t="str">
        <f>IF(AV606="","",INDEX('#建筑消耗和buff配置索引'!BP:BP,MATCH($F606,'#建筑消耗和buff配置索引'!$M:$M,0)))</f>
        <v/>
      </c>
      <c r="AX606" s="133"/>
      <c r="AY606" s="133"/>
      <c r="AZ606" s="133" t="str">
        <f>IF(INDEX('#建筑消耗和buff配置索引'!BS:BS,MATCH($F606,'#建筑消耗和buff配置索引'!$M:$M,0))=0,"",INDEX('#建筑消耗和buff配置索引'!BS:BS,MATCH($F606,'#建筑消耗和buff配置索引'!$M:$M,0)))</f>
        <v/>
      </c>
      <c r="BA606" s="133" t="str">
        <f>IF(AZ606="","",INDEX('#建筑消耗和buff配置索引'!BT:BT,MATCH($F606,'#建筑消耗和buff配置索引'!$M:$M,0)))</f>
        <v/>
      </c>
      <c r="BB606" s="133"/>
      <c r="BC606" s="133"/>
      <c r="BD606" s="133" t="str">
        <f>IF(INDEX('#建筑消耗和buff配置索引'!BW:BW,MATCH($F606,'#建筑消耗和buff配置索引'!$M:$M,0))=0,"",INDEX('#建筑消耗和buff配置索引'!BW:BW,MATCH($F606,'#建筑消耗和buff配置索引'!$M:$M,0)))</f>
        <v/>
      </c>
      <c r="BE606" s="133" t="str">
        <f>IF(BD606="","",INDEX('#建筑消耗和buff配置索引'!BX:BX,MATCH($F606,'#建筑消耗和buff配置索引'!$M:$M,0)))</f>
        <v/>
      </c>
      <c r="BI606" s="140">
        <v>23</v>
      </c>
    </row>
    <row r="607" spans="1:61">
      <c r="A607" s="140">
        <v>4000026</v>
      </c>
      <c r="B607" s="140">
        <v>609</v>
      </c>
      <c r="C607" s="140">
        <v>400</v>
      </c>
      <c r="D607" s="140" t="s">
        <v>1014</v>
      </c>
      <c r="E607" s="140">
        <v>26</v>
      </c>
      <c r="F607" s="133" t="str">
        <f t="shared" si="10"/>
        <v>仓库26</v>
      </c>
      <c r="I607" s="140">
        <v>0</v>
      </c>
      <c r="J607" s="150">
        <f>INDEX('#建筑消耗和buff配置索引'!AH:AH,MATCH($F607,'#建筑消耗和buff配置索引'!$M:$M,0))</f>
        <v>466560</v>
      </c>
      <c r="K607" s="142">
        <f>INDEX('#建筑消耗和buff配置索引'!AA:AA,MATCH($F607,'#建筑消耗和buff配置索引'!$M:$M,0))</f>
        <v>5200000</v>
      </c>
      <c r="L607" s="142">
        <f>INDEX('#建筑消耗和buff配置索引'!AB:AB,MATCH($F607,'#建筑消耗和buff配置索引'!$M:$M,0))</f>
        <v>5200000</v>
      </c>
      <c r="M607" s="142">
        <f>INDEX('#建筑消耗和buff配置索引'!AC:AC,MATCH($F607,'#建筑消耗和buff配置索引'!$M:$M,0))</f>
        <v>5200000</v>
      </c>
      <c r="N607" s="142">
        <f>INDEX('#建筑消耗和buff配置索引'!AD:AD,MATCH($F607,'#建筑消耗和buff配置索引'!$M:$M,0))</f>
        <v>10000000</v>
      </c>
      <c r="O607" s="150" t="str">
        <f>IF(INDEX('#建筑消耗和buff配置索引'!T:T,MATCH($F607,'#建筑消耗和buff配置索引'!$M:$M,0))=0,"",INDEX('#建筑消耗和buff配置索引'!T:T,MATCH($F607,'#建筑消耗和buff配置索引'!$M:$M,0)))</f>
        <v/>
      </c>
      <c r="P607" s="133" t="str">
        <f>IF(INDEX('#建筑消耗和buff配置索引'!U:U,MATCH($F607,'#建筑消耗和buff配置索引'!$M:$M,0))=0,"",INDEX('#建筑消耗和buff配置索引'!U:U,MATCH($F607,'#建筑消耗和buff配置索引'!$M:$M,0)))</f>
        <v/>
      </c>
      <c r="Q607" s="133" t="str">
        <f>IF(INDEX('#建筑消耗和buff配置索引'!K:K,MATCH($F607,'#建筑消耗和buff配置索引'!$M:$M,0))=0,"",INDEX('#建筑消耗和buff配置索引'!K:K,MATCH($F607,'#建筑消耗和buff配置索引'!$M:$M,0)))</f>
        <v>201</v>
      </c>
      <c r="R607" s="133" t="str">
        <f>IF(INDEX('#建筑消耗和buff配置索引'!L:L,MATCH($F607,'#建筑消耗和buff配置索引'!$M:$M,0))=0,"",INDEX('#建筑消耗和buff配置索引'!L:L,MATCH($F607,'#建筑消耗和buff配置索引'!$M:$M,0)))</f>
        <v>26</v>
      </c>
      <c r="S607" s="140">
        <f>IF(INDEX('#建筑消耗和buff配置索引'!C:C,MATCH(F607,'#建筑消耗和buff配置索引'!M:M,0))=0,1,INDEX('#建筑消耗和buff配置索引'!C:C,MATCH(F607,'#建筑消耗和buff配置索引'!M:M,0)))</f>
        <v>1</v>
      </c>
      <c r="T607" s="140">
        <v>0</v>
      </c>
      <c r="U607" s="140">
        <v>0</v>
      </c>
      <c r="V607" s="133" t="str">
        <f>IF(E607=1,IF(INDEX('#建筑消耗和buff配置索引'!BY:BY,MATCH(D607,'#建筑消耗和buff配置索引'!A:A,0))=0,"",INDEX('#建筑消耗和buff配置索引'!BY:BY,MATCH(D607,'#建筑消耗和buff配置索引'!A:A,0))),"")</f>
        <v/>
      </c>
      <c r="W607" s="133" t="str">
        <f>IF(E607=1,IF(INDEX('#建筑消耗和buff配置索引'!BZ:BZ,MATCH(D607,'#建筑消耗和buff配置索引'!A:A,0))=0,"",INDEX('#建筑消耗和buff配置索引'!BZ:BZ,MATCH(D607,'#建筑消耗和buff配置索引'!A:A,0))),"")</f>
        <v/>
      </c>
      <c r="AA607" s="140">
        <f>INDEX('#建筑消耗和buff配置索引'!AO:AO,MATCH($F607,'#建筑消耗和buff配置索引'!$M:$M,0))</f>
        <v>233568</v>
      </c>
      <c r="AB607" s="133">
        <f>IF(INDEX('#建筑消耗和buff配置索引'!AR:AR,MATCH($F607,'#建筑消耗和buff配置索引'!$M:$M,0))=0,"",INDEX('#建筑消耗和buff配置索引'!AR:AR,MATCH($F607,'#建筑消耗和buff配置索引'!$M:$M,0)))</f>
        <v>1261</v>
      </c>
      <c r="AC607" s="133">
        <f>IF(AB607="","",INDEX('#建筑消耗和buff配置索引'!AS:AS,MATCH($F607,'#建筑消耗和buff配置索引'!$M:$M,0)))</f>
        <v>1620000</v>
      </c>
      <c r="AF607" s="140" t="str">
        <f>IF(INDEX('#建筑消耗和buff配置索引'!AW:AW,MATCH($F607,'#建筑消耗和buff配置索引'!$M:$M,0))=0,"",INDEX('#建筑消耗和buff配置索引'!AW:AW,MATCH($F607,'#建筑消耗和buff配置索引'!$M:$M,0)))</f>
        <v/>
      </c>
      <c r="AG607" s="140" t="str">
        <f>IF(AF607="","",INDEX('#建筑消耗和buff配置索引'!AX:AX,MATCH($F607,'#建筑消耗和buff配置索引'!$M:$M,0)))</f>
        <v/>
      </c>
      <c r="AJ607" s="133" t="str">
        <f>IF(INDEX('#建筑消耗和buff配置索引'!BB:BB,MATCH($F607,'#建筑消耗和buff配置索引'!$M:$M,0))=0,"",INDEX('#建筑消耗和buff配置索引'!BB:BB,MATCH($F607,'#建筑消耗和buff配置索引'!$M:$M,0)))</f>
        <v/>
      </c>
      <c r="AK607" s="133" t="str">
        <f>IF(AJ607="","",INDEX('#建筑消耗和buff配置索引'!BC:BC,MATCH($F607,'#建筑消耗和buff配置索引'!$M:$M,0)))</f>
        <v/>
      </c>
      <c r="AL607" s="133"/>
      <c r="AM607" s="133"/>
      <c r="AN607" s="133" t="str">
        <f>IF(INDEX('#建筑消耗和buff配置索引'!BG:BG,MATCH($F607,'#建筑消耗和buff配置索引'!$M:$M,0))=0,"",INDEX('#建筑消耗和buff配置索引'!BG:BG,MATCH($F607,'#建筑消耗和buff配置索引'!$M:$M,0)))</f>
        <v/>
      </c>
      <c r="AO607" s="133" t="str">
        <f>IF(AN607="","",INDEX('#建筑消耗和buff配置索引'!BH:BH,MATCH($F607,'#建筑消耗和buff配置索引'!$M:$M,0)))</f>
        <v/>
      </c>
      <c r="AP607" s="133"/>
      <c r="AQ607" s="133"/>
      <c r="AR607" s="133" t="str">
        <f>IF(INDEX('#建筑消耗和buff配置索引'!BK:BK,MATCH($F607,'#建筑消耗和buff配置索引'!$M:$M,0))=0,"",INDEX('#建筑消耗和buff配置索引'!BK:BK,MATCH($F607,'#建筑消耗和buff配置索引'!$M:$M,0)))</f>
        <v/>
      </c>
      <c r="AS607" s="133" t="str">
        <f>IF(AR607="","",INDEX('#建筑消耗和buff配置索引'!BL:BL,MATCH($F607,'#建筑消耗和buff配置索引'!$M:$M,0)))</f>
        <v/>
      </c>
      <c r="AT607" s="133"/>
      <c r="AU607" s="133"/>
      <c r="AV607" s="133" t="str">
        <f>IF(INDEX('#建筑消耗和buff配置索引'!BO:BO,MATCH($F607,'#建筑消耗和buff配置索引'!$M:$M,0))=0,"",INDEX('#建筑消耗和buff配置索引'!BO:BO,MATCH($F607,'#建筑消耗和buff配置索引'!$M:$M,0)))</f>
        <v/>
      </c>
      <c r="AW607" s="133" t="str">
        <f>IF(AV607="","",INDEX('#建筑消耗和buff配置索引'!BP:BP,MATCH($F607,'#建筑消耗和buff配置索引'!$M:$M,0)))</f>
        <v/>
      </c>
      <c r="AX607" s="133"/>
      <c r="AY607" s="133"/>
      <c r="AZ607" s="133" t="str">
        <f>IF(INDEX('#建筑消耗和buff配置索引'!BS:BS,MATCH($F607,'#建筑消耗和buff配置索引'!$M:$M,0))=0,"",INDEX('#建筑消耗和buff配置索引'!BS:BS,MATCH($F607,'#建筑消耗和buff配置索引'!$M:$M,0)))</f>
        <v/>
      </c>
      <c r="BA607" s="133" t="str">
        <f>IF(AZ607="","",INDEX('#建筑消耗和buff配置索引'!BT:BT,MATCH($F607,'#建筑消耗和buff配置索引'!$M:$M,0)))</f>
        <v/>
      </c>
      <c r="BB607" s="133"/>
      <c r="BC607" s="133"/>
      <c r="BD607" s="133" t="str">
        <f>IF(INDEX('#建筑消耗和buff配置索引'!BW:BW,MATCH($F607,'#建筑消耗和buff配置索引'!$M:$M,0))=0,"",INDEX('#建筑消耗和buff配置索引'!BW:BW,MATCH($F607,'#建筑消耗和buff配置索引'!$M:$M,0)))</f>
        <v/>
      </c>
      <c r="BE607" s="133" t="str">
        <f>IF(BD607="","",INDEX('#建筑消耗和buff配置索引'!BX:BX,MATCH($F607,'#建筑消耗和buff配置索引'!$M:$M,0)))</f>
        <v/>
      </c>
      <c r="BI607" s="140">
        <v>23</v>
      </c>
    </row>
    <row r="608" spans="1:61">
      <c r="A608" s="140">
        <v>4000027</v>
      </c>
      <c r="B608" s="140">
        <v>610</v>
      </c>
      <c r="C608" s="140">
        <v>400</v>
      </c>
      <c r="D608" s="140" t="s">
        <v>1014</v>
      </c>
      <c r="E608" s="140">
        <v>27</v>
      </c>
      <c r="F608" s="133" t="str">
        <f t="shared" si="10"/>
        <v>仓库27</v>
      </c>
      <c r="I608" s="140">
        <v>0</v>
      </c>
      <c r="J608" s="150">
        <f>INDEX('#建筑消耗和buff配置索引'!AH:AH,MATCH($F608,'#建筑消耗和buff配置索引'!$M:$M,0))</f>
        <v>570240</v>
      </c>
      <c r="K608" s="142">
        <f>INDEX('#建筑消耗和buff配置索引'!AA:AA,MATCH($F608,'#建筑消耗和buff配置索引'!$M:$M,0))</f>
        <v>6600000</v>
      </c>
      <c r="L608" s="142">
        <f>INDEX('#建筑消耗和buff配置索引'!AB:AB,MATCH($F608,'#建筑消耗和buff配置索引'!$M:$M,0))</f>
        <v>6600000</v>
      </c>
      <c r="M608" s="142">
        <f>INDEX('#建筑消耗和buff配置索引'!AC:AC,MATCH($F608,'#建筑消耗和buff配置索引'!$M:$M,0))</f>
        <v>6600000</v>
      </c>
      <c r="N608" s="142">
        <f>INDEX('#建筑消耗和buff配置索引'!AD:AD,MATCH($F608,'#建筑消耗和buff配置索引'!$M:$M,0))</f>
        <v>13000000</v>
      </c>
      <c r="O608" s="150" t="str">
        <f>IF(INDEX('#建筑消耗和buff配置索引'!T:T,MATCH($F608,'#建筑消耗和buff配置索引'!$M:$M,0))=0,"",INDEX('#建筑消耗和buff配置索引'!T:T,MATCH($F608,'#建筑消耗和buff配置索引'!$M:$M,0)))</f>
        <v/>
      </c>
      <c r="P608" s="133" t="str">
        <f>IF(INDEX('#建筑消耗和buff配置索引'!U:U,MATCH($F608,'#建筑消耗和buff配置索引'!$M:$M,0))=0,"",INDEX('#建筑消耗和buff配置索引'!U:U,MATCH($F608,'#建筑消耗和buff配置索引'!$M:$M,0)))</f>
        <v/>
      </c>
      <c r="Q608" s="133" t="str">
        <f>IF(INDEX('#建筑消耗和buff配置索引'!K:K,MATCH($F608,'#建筑消耗和buff配置索引'!$M:$M,0))=0,"",INDEX('#建筑消耗和buff配置索引'!K:K,MATCH($F608,'#建筑消耗和buff配置索引'!$M:$M,0)))</f>
        <v>201</v>
      </c>
      <c r="R608" s="133" t="str">
        <f>IF(INDEX('#建筑消耗和buff配置索引'!L:L,MATCH($F608,'#建筑消耗和buff配置索引'!$M:$M,0))=0,"",INDEX('#建筑消耗和buff配置索引'!L:L,MATCH($F608,'#建筑消耗和buff配置索引'!$M:$M,0)))</f>
        <v>27</v>
      </c>
      <c r="S608" s="140">
        <f>IF(INDEX('#建筑消耗和buff配置索引'!C:C,MATCH(F608,'#建筑消耗和buff配置索引'!M:M,0))=0,1,INDEX('#建筑消耗和buff配置索引'!C:C,MATCH(F608,'#建筑消耗和buff配置索引'!M:M,0)))</f>
        <v>1</v>
      </c>
      <c r="T608" s="140">
        <v>0</v>
      </c>
      <c r="U608" s="140">
        <v>0</v>
      </c>
      <c r="V608" s="133" t="str">
        <f>IF(E608=1,IF(INDEX('#建筑消耗和buff配置索引'!BY:BY,MATCH(D608,'#建筑消耗和buff配置索引'!A:A,0))=0,"",INDEX('#建筑消耗和buff配置索引'!BY:BY,MATCH(D608,'#建筑消耗和buff配置索引'!A:A,0))),"")</f>
        <v/>
      </c>
      <c r="W608" s="133" t="str">
        <f>IF(E608=1,IF(INDEX('#建筑消耗和buff配置索引'!BZ:BZ,MATCH(D608,'#建筑消耗和buff配置索引'!A:A,0))=0,"",INDEX('#建筑消耗和buff配置索引'!BZ:BZ,MATCH(D608,'#建筑消耗和buff配置索引'!A:A,0))),"")</f>
        <v/>
      </c>
      <c r="AA608" s="140">
        <f>INDEX('#建筑消耗和buff配置索引'!AO:AO,MATCH($F608,'#建筑消耗和buff配置索引'!$M:$M,0))</f>
        <v>299871</v>
      </c>
      <c r="AB608" s="133">
        <f>IF(INDEX('#建筑消耗和buff配置索引'!AR:AR,MATCH($F608,'#建筑消耗和buff配置索引'!$M:$M,0))=0,"",INDEX('#建筑消耗和buff配置索引'!AR:AR,MATCH($F608,'#建筑消耗和buff配置索引'!$M:$M,0)))</f>
        <v>1261</v>
      </c>
      <c r="AC608" s="133">
        <f>IF(AB608="","",INDEX('#建筑消耗和buff配置索引'!AS:AS,MATCH($F608,'#建筑消耗和buff配置索引'!$M:$M,0)))</f>
        <v>1760000</v>
      </c>
      <c r="AF608" s="140" t="str">
        <f>IF(INDEX('#建筑消耗和buff配置索引'!AW:AW,MATCH($F608,'#建筑消耗和buff配置索引'!$M:$M,0))=0,"",INDEX('#建筑消耗和buff配置索引'!AW:AW,MATCH($F608,'#建筑消耗和buff配置索引'!$M:$M,0)))</f>
        <v/>
      </c>
      <c r="AG608" s="140" t="str">
        <f>IF(AF608="","",INDEX('#建筑消耗和buff配置索引'!AX:AX,MATCH($F608,'#建筑消耗和buff配置索引'!$M:$M,0)))</f>
        <v/>
      </c>
      <c r="AJ608" s="133" t="str">
        <f>IF(INDEX('#建筑消耗和buff配置索引'!BB:BB,MATCH($F608,'#建筑消耗和buff配置索引'!$M:$M,0))=0,"",INDEX('#建筑消耗和buff配置索引'!BB:BB,MATCH($F608,'#建筑消耗和buff配置索引'!$M:$M,0)))</f>
        <v/>
      </c>
      <c r="AK608" s="133" t="str">
        <f>IF(AJ608="","",INDEX('#建筑消耗和buff配置索引'!BC:BC,MATCH($F608,'#建筑消耗和buff配置索引'!$M:$M,0)))</f>
        <v/>
      </c>
      <c r="AL608" s="133"/>
      <c r="AM608" s="133"/>
      <c r="AN608" s="133" t="str">
        <f>IF(INDEX('#建筑消耗和buff配置索引'!BG:BG,MATCH($F608,'#建筑消耗和buff配置索引'!$M:$M,0))=0,"",INDEX('#建筑消耗和buff配置索引'!BG:BG,MATCH($F608,'#建筑消耗和buff配置索引'!$M:$M,0)))</f>
        <v/>
      </c>
      <c r="AO608" s="133" t="str">
        <f>IF(AN608="","",INDEX('#建筑消耗和buff配置索引'!BH:BH,MATCH($F608,'#建筑消耗和buff配置索引'!$M:$M,0)))</f>
        <v/>
      </c>
      <c r="AP608" s="133"/>
      <c r="AQ608" s="133"/>
      <c r="AR608" s="133" t="str">
        <f>IF(INDEX('#建筑消耗和buff配置索引'!BK:BK,MATCH($F608,'#建筑消耗和buff配置索引'!$M:$M,0))=0,"",INDEX('#建筑消耗和buff配置索引'!BK:BK,MATCH($F608,'#建筑消耗和buff配置索引'!$M:$M,0)))</f>
        <v/>
      </c>
      <c r="AS608" s="133" t="str">
        <f>IF(AR608="","",INDEX('#建筑消耗和buff配置索引'!BL:BL,MATCH($F608,'#建筑消耗和buff配置索引'!$M:$M,0)))</f>
        <v/>
      </c>
      <c r="AT608" s="133"/>
      <c r="AU608" s="133"/>
      <c r="AV608" s="133" t="str">
        <f>IF(INDEX('#建筑消耗和buff配置索引'!BO:BO,MATCH($F608,'#建筑消耗和buff配置索引'!$M:$M,0))=0,"",INDEX('#建筑消耗和buff配置索引'!BO:BO,MATCH($F608,'#建筑消耗和buff配置索引'!$M:$M,0)))</f>
        <v/>
      </c>
      <c r="AW608" s="133" t="str">
        <f>IF(AV608="","",INDEX('#建筑消耗和buff配置索引'!BP:BP,MATCH($F608,'#建筑消耗和buff配置索引'!$M:$M,0)))</f>
        <v/>
      </c>
      <c r="AX608" s="133"/>
      <c r="AY608" s="133"/>
      <c r="AZ608" s="133" t="str">
        <f>IF(INDEX('#建筑消耗和buff配置索引'!BS:BS,MATCH($F608,'#建筑消耗和buff配置索引'!$M:$M,0))=0,"",INDEX('#建筑消耗和buff配置索引'!BS:BS,MATCH($F608,'#建筑消耗和buff配置索引'!$M:$M,0)))</f>
        <v/>
      </c>
      <c r="BA608" s="133" t="str">
        <f>IF(AZ608="","",INDEX('#建筑消耗和buff配置索引'!BT:BT,MATCH($F608,'#建筑消耗和buff配置索引'!$M:$M,0)))</f>
        <v/>
      </c>
      <c r="BB608" s="133"/>
      <c r="BC608" s="133"/>
      <c r="BD608" s="133" t="str">
        <f>IF(INDEX('#建筑消耗和buff配置索引'!BW:BW,MATCH($F608,'#建筑消耗和buff配置索引'!$M:$M,0))=0,"",INDEX('#建筑消耗和buff配置索引'!BW:BW,MATCH($F608,'#建筑消耗和buff配置索引'!$M:$M,0)))</f>
        <v/>
      </c>
      <c r="BE608" s="133" t="str">
        <f>IF(BD608="","",INDEX('#建筑消耗和buff配置索引'!BX:BX,MATCH($F608,'#建筑消耗和buff配置索引'!$M:$M,0)))</f>
        <v/>
      </c>
      <c r="BI608" s="140">
        <v>23</v>
      </c>
    </row>
    <row r="609" spans="1:66">
      <c r="A609" s="140">
        <v>4000028</v>
      </c>
      <c r="B609" s="140">
        <v>611</v>
      </c>
      <c r="C609" s="140">
        <v>400</v>
      </c>
      <c r="D609" s="140" t="s">
        <v>1014</v>
      </c>
      <c r="E609" s="140">
        <v>28</v>
      </c>
      <c r="F609" s="133" t="str">
        <f t="shared" si="10"/>
        <v>仓库28</v>
      </c>
      <c r="I609" s="140">
        <v>0</v>
      </c>
      <c r="J609" s="150">
        <f>INDEX('#建筑消耗和buff配置索引'!AH:AH,MATCH($F609,'#建筑消耗和buff配置索引'!$M:$M,0))</f>
        <v>699840</v>
      </c>
      <c r="K609" s="142">
        <f>INDEX('#建筑消耗和buff配置索引'!AA:AA,MATCH($F609,'#建筑消耗和buff配置索引'!$M:$M,0))</f>
        <v>8500000</v>
      </c>
      <c r="L609" s="142">
        <f>INDEX('#建筑消耗和buff配置索引'!AB:AB,MATCH($F609,'#建筑消耗和buff配置索引'!$M:$M,0))</f>
        <v>8500000</v>
      </c>
      <c r="M609" s="142">
        <f>INDEX('#建筑消耗和buff配置索引'!AC:AC,MATCH($F609,'#建筑消耗和buff配置索引'!$M:$M,0))</f>
        <v>8500000</v>
      </c>
      <c r="N609" s="142">
        <f>INDEX('#建筑消耗和buff配置索引'!AD:AD,MATCH($F609,'#建筑消耗和buff配置索引'!$M:$M,0))</f>
        <v>17000000</v>
      </c>
      <c r="O609" s="150" t="str">
        <f>IF(INDEX('#建筑消耗和buff配置索引'!T:T,MATCH($F609,'#建筑消耗和buff配置索引'!$M:$M,0))=0,"",INDEX('#建筑消耗和buff配置索引'!T:T,MATCH($F609,'#建筑消耗和buff配置索引'!$M:$M,0)))</f>
        <v/>
      </c>
      <c r="P609" s="133" t="str">
        <f>IF(INDEX('#建筑消耗和buff配置索引'!U:U,MATCH($F609,'#建筑消耗和buff配置索引'!$M:$M,0))=0,"",INDEX('#建筑消耗和buff配置索引'!U:U,MATCH($F609,'#建筑消耗和buff配置索引'!$M:$M,0)))</f>
        <v/>
      </c>
      <c r="Q609" s="133" t="str">
        <f>IF(INDEX('#建筑消耗和buff配置索引'!K:K,MATCH($F609,'#建筑消耗和buff配置索引'!$M:$M,0))=0,"",INDEX('#建筑消耗和buff配置索引'!K:K,MATCH($F609,'#建筑消耗和buff配置索引'!$M:$M,0)))</f>
        <v>201</v>
      </c>
      <c r="R609" s="133" t="str">
        <f>IF(INDEX('#建筑消耗和buff配置索引'!L:L,MATCH($F609,'#建筑消耗和buff配置索引'!$M:$M,0))=0,"",INDEX('#建筑消耗和buff配置索引'!L:L,MATCH($F609,'#建筑消耗和buff配置索引'!$M:$M,0)))</f>
        <v>28</v>
      </c>
      <c r="S609" s="140">
        <f>IF(INDEX('#建筑消耗和buff配置索引'!C:C,MATCH(F609,'#建筑消耗和buff配置索引'!M:M,0))=0,1,INDEX('#建筑消耗和buff配置索引'!C:C,MATCH(F609,'#建筑消耗和buff配置索引'!M:M,0)))</f>
        <v>1</v>
      </c>
      <c r="T609" s="140">
        <v>0</v>
      </c>
      <c r="U609" s="140">
        <v>0</v>
      </c>
      <c r="V609" s="133" t="str">
        <f>IF(E609=1,IF(INDEX('#建筑消耗和buff配置索引'!BY:BY,MATCH(D609,'#建筑消耗和buff配置索引'!A:A,0))=0,"",INDEX('#建筑消耗和buff配置索引'!BY:BY,MATCH(D609,'#建筑消耗和buff配置索引'!A:A,0))),"")</f>
        <v/>
      </c>
      <c r="W609" s="133" t="str">
        <f>IF(E609=1,IF(INDEX('#建筑消耗和buff配置索引'!BZ:BZ,MATCH(D609,'#建筑消耗和buff配置索引'!A:A,0))=0,"",INDEX('#建筑消耗和buff配置索引'!BZ:BZ,MATCH(D609,'#建筑消耗和buff配置索引'!A:A,0))),"")</f>
        <v/>
      </c>
      <c r="AA609" s="140">
        <f>INDEX('#建筑消耗和buff配置索引'!AO:AO,MATCH($F609,'#建筑消耗和buff配置索引'!$M:$M,0))</f>
        <v>384740</v>
      </c>
      <c r="AB609" s="133">
        <f>IF(INDEX('#建筑消耗和buff配置索引'!AR:AR,MATCH($F609,'#建筑消耗和buff配置索引'!$M:$M,0))=0,"",INDEX('#建筑消耗和buff配置索引'!AR:AR,MATCH($F609,'#建筑消耗和buff配置索引'!$M:$M,0)))</f>
        <v>1261</v>
      </c>
      <c r="AC609" s="133">
        <f>IF(AB609="","",INDEX('#建筑消耗和buff配置索引'!AS:AS,MATCH($F609,'#建筑消耗和buff配置索引'!$M:$M,0)))</f>
        <v>1920000</v>
      </c>
      <c r="AF609" s="140" t="str">
        <f>IF(INDEX('#建筑消耗和buff配置索引'!AW:AW,MATCH($F609,'#建筑消耗和buff配置索引'!$M:$M,0))=0,"",INDEX('#建筑消耗和buff配置索引'!AW:AW,MATCH($F609,'#建筑消耗和buff配置索引'!$M:$M,0)))</f>
        <v/>
      </c>
      <c r="AG609" s="140" t="str">
        <f>IF(AF609="","",INDEX('#建筑消耗和buff配置索引'!AX:AX,MATCH($F609,'#建筑消耗和buff配置索引'!$M:$M,0)))</f>
        <v/>
      </c>
      <c r="AJ609" s="133" t="str">
        <f>IF(INDEX('#建筑消耗和buff配置索引'!BB:BB,MATCH($F609,'#建筑消耗和buff配置索引'!$M:$M,0))=0,"",INDEX('#建筑消耗和buff配置索引'!BB:BB,MATCH($F609,'#建筑消耗和buff配置索引'!$M:$M,0)))</f>
        <v/>
      </c>
      <c r="AK609" s="133" t="str">
        <f>IF(AJ609="","",INDEX('#建筑消耗和buff配置索引'!BC:BC,MATCH($F609,'#建筑消耗和buff配置索引'!$M:$M,0)))</f>
        <v/>
      </c>
      <c r="AL609" s="133"/>
      <c r="AM609" s="133"/>
      <c r="AN609" s="133" t="str">
        <f>IF(INDEX('#建筑消耗和buff配置索引'!BG:BG,MATCH($F609,'#建筑消耗和buff配置索引'!$M:$M,0))=0,"",INDEX('#建筑消耗和buff配置索引'!BG:BG,MATCH($F609,'#建筑消耗和buff配置索引'!$M:$M,0)))</f>
        <v/>
      </c>
      <c r="AO609" s="133" t="str">
        <f>IF(AN609="","",INDEX('#建筑消耗和buff配置索引'!BH:BH,MATCH($F609,'#建筑消耗和buff配置索引'!$M:$M,0)))</f>
        <v/>
      </c>
      <c r="AP609" s="133"/>
      <c r="AQ609" s="133"/>
      <c r="AR609" s="133" t="str">
        <f>IF(INDEX('#建筑消耗和buff配置索引'!BK:BK,MATCH($F609,'#建筑消耗和buff配置索引'!$M:$M,0))=0,"",INDEX('#建筑消耗和buff配置索引'!BK:BK,MATCH($F609,'#建筑消耗和buff配置索引'!$M:$M,0)))</f>
        <v/>
      </c>
      <c r="AS609" s="133" t="str">
        <f>IF(AR609="","",INDEX('#建筑消耗和buff配置索引'!BL:BL,MATCH($F609,'#建筑消耗和buff配置索引'!$M:$M,0)))</f>
        <v/>
      </c>
      <c r="AT609" s="133"/>
      <c r="AU609" s="133"/>
      <c r="AV609" s="133" t="str">
        <f>IF(INDEX('#建筑消耗和buff配置索引'!BO:BO,MATCH($F609,'#建筑消耗和buff配置索引'!$M:$M,0))=0,"",INDEX('#建筑消耗和buff配置索引'!BO:BO,MATCH($F609,'#建筑消耗和buff配置索引'!$M:$M,0)))</f>
        <v/>
      </c>
      <c r="AW609" s="133" t="str">
        <f>IF(AV609="","",INDEX('#建筑消耗和buff配置索引'!BP:BP,MATCH($F609,'#建筑消耗和buff配置索引'!$M:$M,0)))</f>
        <v/>
      </c>
      <c r="AX609" s="133"/>
      <c r="AY609" s="133"/>
      <c r="AZ609" s="133" t="str">
        <f>IF(INDEX('#建筑消耗和buff配置索引'!BS:BS,MATCH($F609,'#建筑消耗和buff配置索引'!$M:$M,0))=0,"",INDEX('#建筑消耗和buff配置索引'!BS:BS,MATCH($F609,'#建筑消耗和buff配置索引'!$M:$M,0)))</f>
        <v/>
      </c>
      <c r="BA609" s="133" t="str">
        <f>IF(AZ609="","",INDEX('#建筑消耗和buff配置索引'!BT:BT,MATCH($F609,'#建筑消耗和buff配置索引'!$M:$M,0)))</f>
        <v/>
      </c>
      <c r="BB609" s="133"/>
      <c r="BC609" s="133"/>
      <c r="BD609" s="133" t="str">
        <f>IF(INDEX('#建筑消耗和buff配置索引'!BW:BW,MATCH($F609,'#建筑消耗和buff配置索引'!$M:$M,0))=0,"",INDEX('#建筑消耗和buff配置索引'!BW:BW,MATCH($F609,'#建筑消耗和buff配置索引'!$M:$M,0)))</f>
        <v/>
      </c>
      <c r="BE609" s="133" t="str">
        <f>IF(BD609="","",INDEX('#建筑消耗和buff配置索引'!BX:BX,MATCH($F609,'#建筑消耗和buff配置索引'!$M:$M,0)))</f>
        <v/>
      </c>
      <c r="BI609" s="140">
        <v>23</v>
      </c>
    </row>
    <row r="610" spans="1:66">
      <c r="A610" s="140">
        <v>4000029</v>
      </c>
      <c r="B610" s="140">
        <v>612</v>
      </c>
      <c r="C610" s="140">
        <v>400</v>
      </c>
      <c r="D610" s="140" t="s">
        <v>1014</v>
      </c>
      <c r="E610" s="140">
        <v>29</v>
      </c>
      <c r="F610" s="133" t="str">
        <f t="shared" si="10"/>
        <v>仓库29</v>
      </c>
      <c r="I610" s="140">
        <v>0</v>
      </c>
      <c r="J610" s="150">
        <f>INDEX('#建筑消耗和buff配置索引'!AH:AH,MATCH($F610,'#建筑消耗和buff配置索引'!$M:$M,0))</f>
        <v>855360</v>
      </c>
      <c r="K610" s="142">
        <f>INDEX('#建筑消耗和buff配置索引'!AA:AA,MATCH($F610,'#建筑消耗和buff配置索引'!$M:$M,0))</f>
        <v>11000000</v>
      </c>
      <c r="L610" s="142">
        <f>INDEX('#建筑消耗和buff配置索引'!AB:AB,MATCH($F610,'#建筑消耗和buff配置索引'!$M:$M,0))</f>
        <v>11000000</v>
      </c>
      <c r="M610" s="142">
        <f>INDEX('#建筑消耗和buff配置索引'!AC:AC,MATCH($F610,'#建筑消耗和buff配置索引'!$M:$M,0))</f>
        <v>11000000</v>
      </c>
      <c r="N610" s="142">
        <f>INDEX('#建筑消耗和buff配置索引'!AD:AD,MATCH($F610,'#建筑消耗和buff配置索引'!$M:$M,0))</f>
        <v>22000000</v>
      </c>
      <c r="O610" s="150" t="str">
        <f>IF(INDEX('#建筑消耗和buff配置索引'!T:T,MATCH($F610,'#建筑消耗和buff配置索引'!$M:$M,0))=0,"",INDEX('#建筑消耗和buff配置索引'!T:T,MATCH($F610,'#建筑消耗和buff配置索引'!$M:$M,0)))</f>
        <v/>
      </c>
      <c r="P610" s="133" t="str">
        <f>IF(INDEX('#建筑消耗和buff配置索引'!U:U,MATCH($F610,'#建筑消耗和buff配置索引'!$M:$M,0))=0,"",INDEX('#建筑消耗和buff配置索引'!U:U,MATCH($F610,'#建筑消耗和buff配置索引'!$M:$M,0)))</f>
        <v/>
      </c>
      <c r="Q610" s="133" t="str">
        <f>IF(INDEX('#建筑消耗和buff配置索引'!K:K,MATCH($F610,'#建筑消耗和buff配置索引'!$M:$M,0))=0,"",INDEX('#建筑消耗和buff配置索引'!K:K,MATCH($F610,'#建筑消耗和buff配置索引'!$M:$M,0)))</f>
        <v>201</v>
      </c>
      <c r="R610" s="133" t="str">
        <f>IF(INDEX('#建筑消耗和buff配置索引'!L:L,MATCH($F610,'#建筑消耗和buff配置索引'!$M:$M,0))=0,"",INDEX('#建筑消耗和buff配置索引'!L:L,MATCH($F610,'#建筑消耗和buff配置索引'!$M:$M,0)))</f>
        <v>29</v>
      </c>
      <c r="S610" s="140">
        <f>IF(INDEX('#建筑消耗和buff配置索引'!C:C,MATCH(F610,'#建筑消耗和buff配置索引'!M:M,0))=0,1,INDEX('#建筑消耗和buff配置索引'!C:C,MATCH(F610,'#建筑消耗和buff配置索引'!M:M,0)))</f>
        <v>1</v>
      </c>
      <c r="T610" s="140">
        <v>0</v>
      </c>
      <c r="U610" s="140">
        <v>0</v>
      </c>
      <c r="V610" s="133" t="str">
        <f>IF(E610=1,IF(INDEX('#建筑消耗和buff配置索引'!BY:BY,MATCH(D610,'#建筑消耗和buff配置索引'!A:A,0))=0,"",INDEX('#建筑消耗和buff配置索引'!BY:BY,MATCH(D610,'#建筑消耗和buff配置索引'!A:A,0))),"")</f>
        <v/>
      </c>
      <c r="W610" s="133" t="str">
        <f>IF(E610=1,IF(INDEX('#建筑消耗和buff配置索引'!BZ:BZ,MATCH(D610,'#建筑消耗和buff配置索引'!A:A,0))=0,"",INDEX('#建筑消耗和buff配置索引'!BZ:BZ,MATCH(D610,'#建筑消耗和buff配置索引'!A:A,0))),"")</f>
        <v/>
      </c>
      <c r="AA610" s="140">
        <f>INDEX('#建筑消耗和buff配置索引'!AO:AO,MATCH($F610,'#建筑消耗和buff配置索引'!$M:$M,0))</f>
        <v>493372</v>
      </c>
      <c r="AB610" s="133">
        <f>IF(INDEX('#建筑消耗和buff配置索引'!AR:AR,MATCH($F610,'#建筑消耗和buff配置索引'!$M:$M,0))=0,"",INDEX('#建筑消耗和buff配置索引'!AR:AR,MATCH($F610,'#建筑消耗和buff配置索引'!$M:$M,0)))</f>
        <v>1261</v>
      </c>
      <c r="AC610" s="133">
        <f>IF(AB610="","",INDEX('#建筑消耗和buff配置索引'!AS:AS,MATCH($F610,'#建筑消耗和buff配置索引'!$M:$M,0)))</f>
        <v>2100000</v>
      </c>
      <c r="AF610" s="140" t="str">
        <f>IF(INDEX('#建筑消耗和buff配置索引'!AW:AW,MATCH($F610,'#建筑消耗和buff配置索引'!$M:$M,0))=0,"",INDEX('#建筑消耗和buff配置索引'!AW:AW,MATCH($F610,'#建筑消耗和buff配置索引'!$M:$M,0)))</f>
        <v/>
      </c>
      <c r="AG610" s="140" t="str">
        <f>IF(AF610="","",INDEX('#建筑消耗和buff配置索引'!AX:AX,MATCH($F610,'#建筑消耗和buff配置索引'!$M:$M,0)))</f>
        <v/>
      </c>
      <c r="AJ610" s="133" t="str">
        <f>IF(INDEX('#建筑消耗和buff配置索引'!BB:BB,MATCH($F610,'#建筑消耗和buff配置索引'!$M:$M,0))=0,"",INDEX('#建筑消耗和buff配置索引'!BB:BB,MATCH($F610,'#建筑消耗和buff配置索引'!$M:$M,0)))</f>
        <v/>
      </c>
      <c r="AK610" s="133" t="str">
        <f>IF(AJ610="","",INDEX('#建筑消耗和buff配置索引'!BC:BC,MATCH($F610,'#建筑消耗和buff配置索引'!$M:$M,0)))</f>
        <v/>
      </c>
      <c r="AL610" s="133"/>
      <c r="AM610" s="133"/>
      <c r="AN610" s="133" t="str">
        <f>IF(INDEX('#建筑消耗和buff配置索引'!BG:BG,MATCH($F610,'#建筑消耗和buff配置索引'!$M:$M,0))=0,"",INDEX('#建筑消耗和buff配置索引'!BG:BG,MATCH($F610,'#建筑消耗和buff配置索引'!$M:$M,0)))</f>
        <v/>
      </c>
      <c r="AO610" s="133" t="str">
        <f>IF(AN610="","",INDEX('#建筑消耗和buff配置索引'!BH:BH,MATCH($F610,'#建筑消耗和buff配置索引'!$M:$M,0)))</f>
        <v/>
      </c>
      <c r="AP610" s="133"/>
      <c r="AQ610" s="133"/>
      <c r="AR610" s="133" t="str">
        <f>IF(INDEX('#建筑消耗和buff配置索引'!BK:BK,MATCH($F610,'#建筑消耗和buff配置索引'!$M:$M,0))=0,"",INDEX('#建筑消耗和buff配置索引'!BK:BK,MATCH($F610,'#建筑消耗和buff配置索引'!$M:$M,0)))</f>
        <v/>
      </c>
      <c r="AS610" s="133" t="str">
        <f>IF(AR610="","",INDEX('#建筑消耗和buff配置索引'!BL:BL,MATCH($F610,'#建筑消耗和buff配置索引'!$M:$M,0)))</f>
        <v/>
      </c>
      <c r="AT610" s="133"/>
      <c r="AU610" s="133"/>
      <c r="AV610" s="133" t="str">
        <f>IF(INDEX('#建筑消耗和buff配置索引'!BO:BO,MATCH($F610,'#建筑消耗和buff配置索引'!$M:$M,0))=0,"",INDEX('#建筑消耗和buff配置索引'!BO:BO,MATCH($F610,'#建筑消耗和buff配置索引'!$M:$M,0)))</f>
        <v/>
      </c>
      <c r="AW610" s="133" t="str">
        <f>IF(AV610="","",INDEX('#建筑消耗和buff配置索引'!BP:BP,MATCH($F610,'#建筑消耗和buff配置索引'!$M:$M,0)))</f>
        <v/>
      </c>
      <c r="AX610" s="133"/>
      <c r="AY610" s="133"/>
      <c r="AZ610" s="133" t="str">
        <f>IF(INDEX('#建筑消耗和buff配置索引'!BS:BS,MATCH($F610,'#建筑消耗和buff配置索引'!$M:$M,0))=0,"",INDEX('#建筑消耗和buff配置索引'!BS:BS,MATCH($F610,'#建筑消耗和buff配置索引'!$M:$M,0)))</f>
        <v/>
      </c>
      <c r="BA610" s="133" t="str">
        <f>IF(AZ610="","",INDEX('#建筑消耗和buff配置索引'!BT:BT,MATCH($F610,'#建筑消耗和buff配置索引'!$M:$M,0)))</f>
        <v/>
      </c>
      <c r="BB610" s="133"/>
      <c r="BC610" s="133"/>
      <c r="BD610" s="133" t="str">
        <f>IF(INDEX('#建筑消耗和buff配置索引'!BW:BW,MATCH($F610,'#建筑消耗和buff配置索引'!$M:$M,0))=0,"",INDEX('#建筑消耗和buff配置索引'!BW:BW,MATCH($F610,'#建筑消耗和buff配置索引'!$M:$M,0)))</f>
        <v/>
      </c>
      <c r="BE610" s="133" t="str">
        <f>IF(BD610="","",INDEX('#建筑消耗和buff配置索引'!BX:BX,MATCH($F610,'#建筑消耗和buff配置索引'!$M:$M,0)))</f>
        <v/>
      </c>
      <c r="BI610" s="140">
        <v>23</v>
      </c>
    </row>
    <row r="611" spans="1:66">
      <c r="A611" s="140">
        <v>4000030</v>
      </c>
      <c r="B611" s="140">
        <v>613</v>
      </c>
      <c r="C611" s="140">
        <v>400</v>
      </c>
      <c r="D611" s="140" t="s">
        <v>1014</v>
      </c>
      <c r="E611" s="140">
        <v>30</v>
      </c>
      <c r="F611" s="133" t="str">
        <f t="shared" si="10"/>
        <v>仓库30</v>
      </c>
      <c r="I611" s="140">
        <v>0</v>
      </c>
      <c r="J611" s="150">
        <f>INDEX('#建筑消耗和buff配置索引'!AH:AH,MATCH($F611,'#建筑消耗和buff配置索引'!$M:$M,0))</f>
        <v>1036800</v>
      </c>
      <c r="K611" s="142">
        <f>INDEX('#建筑消耗和buff配置索引'!AA:AA,MATCH($F611,'#建筑消耗和buff配置索引'!$M:$M,0))</f>
        <v>14000000</v>
      </c>
      <c r="L611" s="142">
        <f>INDEX('#建筑消耗和buff配置索引'!AB:AB,MATCH($F611,'#建筑消耗和buff配置索引'!$M:$M,0))</f>
        <v>14000000</v>
      </c>
      <c r="M611" s="142">
        <f>INDEX('#建筑消耗和buff配置索引'!AC:AC,MATCH($F611,'#建筑消耗和buff配置索引'!$M:$M,0))</f>
        <v>14000000</v>
      </c>
      <c r="N611" s="142">
        <f>INDEX('#建筑消耗和buff配置索引'!AD:AD,MATCH($F611,'#建筑消耗和buff配置索引'!$M:$M,0))</f>
        <v>28000000</v>
      </c>
      <c r="O611" s="150" t="str">
        <f>IF(INDEX('#建筑消耗和buff配置索引'!T:T,MATCH($F611,'#建筑消耗和buff配置索引'!$M:$M,0))=0,"",INDEX('#建筑消耗和buff配置索引'!T:T,MATCH($F611,'#建筑消耗和buff配置索引'!$M:$M,0)))</f>
        <v/>
      </c>
      <c r="P611" s="133" t="str">
        <f>IF(INDEX('#建筑消耗和buff配置索引'!U:U,MATCH($F611,'#建筑消耗和buff配置索引'!$M:$M,0))=0,"",INDEX('#建筑消耗和buff配置索引'!U:U,MATCH($F611,'#建筑消耗和buff配置索引'!$M:$M,0)))</f>
        <v/>
      </c>
      <c r="Q611" s="133" t="str">
        <f>IF(INDEX('#建筑消耗和buff配置索引'!K:K,MATCH($F611,'#建筑消耗和buff配置索引'!$M:$M,0))=0,"",INDEX('#建筑消耗和buff配置索引'!K:K,MATCH($F611,'#建筑消耗和buff配置索引'!$M:$M,0)))</f>
        <v>201</v>
      </c>
      <c r="R611" s="133" t="str">
        <f>IF(INDEX('#建筑消耗和buff配置索引'!L:L,MATCH($F611,'#建筑消耗和buff配置索引'!$M:$M,0))=0,"",INDEX('#建筑消耗和buff配置索引'!L:L,MATCH($F611,'#建筑消耗和buff配置索引'!$M:$M,0)))</f>
        <v>30</v>
      </c>
      <c r="S611" s="140">
        <f>IF(INDEX('#建筑消耗和buff配置索引'!C:C,MATCH(F611,'#建筑消耗和buff配置索引'!M:M,0))=0,1,INDEX('#建筑消耗和buff配置索引'!C:C,MATCH(F611,'#建筑消耗和buff配置索引'!M:M,0)))</f>
        <v>1</v>
      </c>
      <c r="T611" s="140">
        <v>0</v>
      </c>
      <c r="U611" s="140">
        <v>0</v>
      </c>
      <c r="V611" s="133" t="str">
        <f>IF(E611=1,IF(INDEX('#建筑消耗和buff配置索引'!BY:BY,MATCH(D611,'#建筑消耗和buff配置索引'!A:A,0))=0,"",INDEX('#建筑消耗和buff配置索引'!BY:BY,MATCH(D611,'#建筑消耗和buff配置索引'!A:A,0))),"")</f>
        <v/>
      </c>
      <c r="W611" s="133" t="str">
        <f>IF(E611=1,IF(INDEX('#建筑消耗和buff配置索引'!BZ:BZ,MATCH(D611,'#建筑消耗和buff配置索引'!A:A,0))=0,"",INDEX('#建筑消耗和buff配置索引'!BZ:BZ,MATCH(D611,'#建筑消耗和buff配置索引'!A:A,0))),"")</f>
        <v/>
      </c>
      <c r="AA611" s="140">
        <f>INDEX('#建筑消耗和buff配置索引'!AO:AO,MATCH($F611,'#建筑消耗和buff配置索引'!$M:$M,0))</f>
        <v>632420</v>
      </c>
      <c r="AB611" s="133">
        <f>IF(INDEX('#建筑消耗和buff配置索引'!AR:AR,MATCH($F611,'#建筑消耗和buff配置索引'!$M:$M,0))=0,"",INDEX('#建筑消耗和buff配置索引'!AR:AR,MATCH($F611,'#建筑消耗和buff配置索引'!$M:$M,0)))</f>
        <v>1261</v>
      </c>
      <c r="AC611" s="133">
        <f>IF(AB611="","",INDEX('#建筑消耗和buff配置索引'!AS:AS,MATCH($F611,'#建筑消耗和buff配置索引'!$M:$M,0)))</f>
        <v>2300000</v>
      </c>
      <c r="AF611" s="140" t="str">
        <f>IF(INDEX('#建筑消耗和buff配置索引'!AW:AW,MATCH($F611,'#建筑消耗和buff配置索引'!$M:$M,0))=0,"",INDEX('#建筑消耗和buff配置索引'!AW:AW,MATCH($F611,'#建筑消耗和buff配置索引'!$M:$M,0)))</f>
        <v/>
      </c>
      <c r="AG611" s="140" t="str">
        <f>IF(AF611="","",INDEX('#建筑消耗和buff配置索引'!AX:AX,MATCH($F611,'#建筑消耗和buff配置索引'!$M:$M,0)))</f>
        <v/>
      </c>
      <c r="AJ611" s="133" t="str">
        <f>IF(INDEX('#建筑消耗和buff配置索引'!BB:BB,MATCH($F611,'#建筑消耗和buff配置索引'!$M:$M,0))=0,"",INDEX('#建筑消耗和buff配置索引'!BB:BB,MATCH($F611,'#建筑消耗和buff配置索引'!$M:$M,0)))</f>
        <v/>
      </c>
      <c r="AK611" s="133" t="str">
        <f>IF(AJ611="","",INDEX('#建筑消耗和buff配置索引'!BC:BC,MATCH($F611,'#建筑消耗和buff配置索引'!$M:$M,0)))</f>
        <v/>
      </c>
      <c r="AL611" s="133"/>
      <c r="AM611" s="133"/>
      <c r="AN611" s="133" t="str">
        <f>IF(INDEX('#建筑消耗和buff配置索引'!BG:BG,MATCH($F611,'#建筑消耗和buff配置索引'!$M:$M,0))=0,"",INDEX('#建筑消耗和buff配置索引'!BG:BG,MATCH($F611,'#建筑消耗和buff配置索引'!$M:$M,0)))</f>
        <v/>
      </c>
      <c r="AO611" s="133" t="str">
        <f>IF(AN611="","",INDEX('#建筑消耗和buff配置索引'!BH:BH,MATCH($F611,'#建筑消耗和buff配置索引'!$M:$M,0)))</f>
        <v/>
      </c>
      <c r="AP611" s="133"/>
      <c r="AQ611" s="133"/>
      <c r="AR611" s="133" t="str">
        <f>IF(INDEX('#建筑消耗和buff配置索引'!BK:BK,MATCH($F611,'#建筑消耗和buff配置索引'!$M:$M,0))=0,"",INDEX('#建筑消耗和buff配置索引'!BK:BK,MATCH($F611,'#建筑消耗和buff配置索引'!$M:$M,0)))</f>
        <v/>
      </c>
      <c r="AS611" s="133" t="str">
        <f>IF(AR611="","",INDEX('#建筑消耗和buff配置索引'!BL:BL,MATCH($F611,'#建筑消耗和buff配置索引'!$M:$M,0)))</f>
        <v/>
      </c>
      <c r="AT611" s="133"/>
      <c r="AU611" s="133"/>
      <c r="AV611" s="133" t="str">
        <f>IF(INDEX('#建筑消耗和buff配置索引'!BO:BO,MATCH($F611,'#建筑消耗和buff配置索引'!$M:$M,0))=0,"",INDEX('#建筑消耗和buff配置索引'!BO:BO,MATCH($F611,'#建筑消耗和buff配置索引'!$M:$M,0)))</f>
        <v/>
      </c>
      <c r="AW611" s="133" t="str">
        <f>IF(AV611="","",INDEX('#建筑消耗和buff配置索引'!BP:BP,MATCH($F611,'#建筑消耗和buff配置索引'!$M:$M,0)))</f>
        <v/>
      </c>
      <c r="AX611" s="133"/>
      <c r="AY611" s="133"/>
      <c r="AZ611" s="133" t="str">
        <f>IF(INDEX('#建筑消耗和buff配置索引'!BS:BS,MATCH($F611,'#建筑消耗和buff配置索引'!$M:$M,0))=0,"",INDEX('#建筑消耗和buff配置索引'!BS:BS,MATCH($F611,'#建筑消耗和buff配置索引'!$M:$M,0)))</f>
        <v/>
      </c>
      <c r="BA611" s="133" t="str">
        <f>IF(AZ611="","",INDEX('#建筑消耗和buff配置索引'!BT:BT,MATCH($F611,'#建筑消耗和buff配置索引'!$M:$M,0)))</f>
        <v/>
      </c>
      <c r="BB611" s="133"/>
      <c r="BC611" s="133"/>
      <c r="BD611" s="133" t="str">
        <f>IF(INDEX('#建筑消耗和buff配置索引'!BW:BW,MATCH($F611,'#建筑消耗和buff配置索引'!$M:$M,0))=0,"",INDEX('#建筑消耗和buff配置索引'!BW:BW,MATCH($F611,'#建筑消耗和buff配置索引'!$M:$M,0)))</f>
        <v/>
      </c>
      <c r="BE611" s="133" t="str">
        <f>IF(BD611="","",INDEX('#建筑消耗和buff配置索引'!BX:BX,MATCH($F611,'#建筑消耗和buff配置索引'!$M:$M,0)))</f>
        <v/>
      </c>
      <c r="BI611" s="140">
        <v>23</v>
      </c>
    </row>
    <row r="612" spans="1:66" s="138" customFormat="1">
      <c r="A612" s="138">
        <v>2060000</v>
      </c>
      <c r="B612" s="138">
        <v>578</v>
      </c>
      <c r="C612" s="138">
        <v>206</v>
      </c>
      <c r="D612" s="138" t="s">
        <v>293</v>
      </c>
      <c r="E612" s="138">
        <v>0</v>
      </c>
      <c r="F612" s="138" t="str">
        <f t="shared" si="10"/>
        <v>剑士营0</v>
      </c>
      <c r="H612" s="163"/>
      <c r="I612" s="138" t="s">
        <v>1205</v>
      </c>
      <c r="J612" s="166">
        <v>1</v>
      </c>
      <c r="K612" s="166"/>
      <c r="L612" s="166">
        <v>1400</v>
      </c>
      <c r="M612" s="166">
        <v>0</v>
      </c>
      <c r="N612" s="166">
        <v>0</v>
      </c>
      <c r="Q612" s="138">
        <v>201</v>
      </c>
      <c r="R612" s="138">
        <v>0</v>
      </c>
      <c r="S612" s="138">
        <v>1</v>
      </c>
      <c r="T612" s="138">
        <v>0</v>
      </c>
      <c r="U612" s="138">
        <v>0</v>
      </c>
      <c r="V612" s="133" t="str">
        <f>IF(E612=1,IF(INDEX('#建筑消耗和buff配置索引'!BY:BY,MATCH(D612,'#建筑消耗和buff配置索引'!A:A,0))=0,"",INDEX('#建筑消耗和buff配置索引'!BY:BY,MATCH(D612,'#建筑消耗和buff配置索引'!A:A,0))),"")</f>
        <v/>
      </c>
      <c r="W612" s="133" t="str">
        <f>IF(E612=1,IF(INDEX('#建筑消耗和buff配置索引'!BZ:BZ,MATCH(D612,'#建筑消耗和buff配置索引'!A:A,0))=0,"",INDEX('#建筑消耗和buff配置索引'!BZ:BZ,MATCH(D612,'#建筑消耗和buff配置索引'!A:A,0))),"")</f>
        <v/>
      </c>
      <c r="AA612" s="138">
        <v>0</v>
      </c>
      <c r="AB612" s="138">
        <v>3000</v>
      </c>
      <c r="AC612" s="138">
        <v>0</v>
      </c>
      <c r="AF612" s="138">
        <v>3013</v>
      </c>
      <c r="AG612" s="138">
        <v>0</v>
      </c>
      <c r="BI612" s="138">
        <v>9</v>
      </c>
    </row>
    <row r="613" spans="1:66" s="138" customFormat="1">
      <c r="A613" s="138">
        <v>2010000</v>
      </c>
      <c r="B613" s="138">
        <v>579</v>
      </c>
      <c r="C613" s="138">
        <v>201</v>
      </c>
      <c r="D613" s="138" t="s">
        <v>66</v>
      </c>
      <c r="E613" s="138">
        <v>0</v>
      </c>
      <c r="F613" s="138" t="str">
        <f t="shared" si="10"/>
        <v>城镇中心0</v>
      </c>
      <c r="H613" s="163"/>
      <c r="I613" s="138" t="s">
        <v>1205</v>
      </c>
      <c r="J613" s="166">
        <v>1</v>
      </c>
      <c r="K613" s="166"/>
      <c r="L613" s="166">
        <v>1500</v>
      </c>
      <c r="M613" s="166">
        <v>0</v>
      </c>
      <c r="N613" s="166">
        <v>0</v>
      </c>
      <c r="T613" s="167">
        <v>0</v>
      </c>
      <c r="U613" s="138">
        <v>0</v>
      </c>
      <c r="V613" s="133" t="str">
        <f>IF(E613=1,IF(INDEX('#建筑消耗和buff配置索引'!BY:BY,MATCH(D613,'#建筑消耗和buff配置索引'!A:A,0))=0,"",INDEX('#建筑消耗和buff配置索引'!BY:BY,MATCH(D613,'#建筑消耗和buff配置索引'!A:A,0))),"")</f>
        <v/>
      </c>
      <c r="W613" s="133" t="str">
        <f>IF(E613=1,IF(INDEX('#建筑消耗和buff配置索引'!BZ:BZ,MATCH(D613,'#建筑消耗和buff配置索引'!A:A,0))=0,"",INDEX('#建筑消耗和buff配置索引'!BZ:BZ,MATCH(D613,'#建筑消耗和buff配置索引'!A:A,0))),"")</f>
        <v/>
      </c>
      <c r="AA613" s="138">
        <v>0</v>
      </c>
      <c r="AB613" s="138">
        <v>8026</v>
      </c>
      <c r="AC613" s="138">
        <v>0</v>
      </c>
      <c r="AF613" s="138">
        <v>1252</v>
      </c>
      <c r="AG613" s="138">
        <v>0</v>
      </c>
      <c r="AJ613" s="138">
        <v>1202</v>
      </c>
      <c r="AK613" s="138">
        <v>0</v>
      </c>
      <c r="AN613" s="138">
        <v>1205</v>
      </c>
      <c r="AO613" s="138">
        <v>0</v>
      </c>
      <c r="AR613" s="138">
        <v>1209</v>
      </c>
      <c r="AS613" s="138">
        <v>0</v>
      </c>
      <c r="AV613" s="138">
        <v>1210</v>
      </c>
      <c r="AW613" s="138">
        <v>0</v>
      </c>
      <c r="AZ613" s="138">
        <v>1237</v>
      </c>
      <c r="BA613" s="138">
        <v>0</v>
      </c>
      <c r="BI613" s="138">
        <v>1</v>
      </c>
      <c r="BM613" s="167"/>
    </row>
    <row r="614" spans="1:66" s="138" customFormat="1">
      <c r="A614" s="138">
        <v>2260000</v>
      </c>
      <c r="B614" s="138">
        <v>580</v>
      </c>
      <c r="C614" s="138">
        <v>226</v>
      </c>
      <c r="D614" s="138" t="s">
        <v>469</v>
      </c>
      <c r="E614" s="138">
        <v>0</v>
      </c>
      <c r="F614" s="138" t="str">
        <f t="shared" si="10"/>
        <v>瞭望塔0</v>
      </c>
      <c r="H614" s="163"/>
      <c r="I614" s="138" t="s">
        <v>1205</v>
      </c>
      <c r="J614" s="166">
        <v>1</v>
      </c>
      <c r="K614" s="166"/>
      <c r="L614" s="166">
        <v>600</v>
      </c>
      <c r="M614" s="166">
        <v>0</v>
      </c>
      <c r="N614" s="166">
        <v>0</v>
      </c>
      <c r="Q614" s="138">
        <v>201</v>
      </c>
      <c r="R614" s="138">
        <v>0</v>
      </c>
      <c r="S614" s="138">
        <v>1</v>
      </c>
      <c r="T614" s="138">
        <v>0</v>
      </c>
      <c r="U614" s="138">
        <v>0</v>
      </c>
      <c r="V614" s="133" t="str">
        <f>IF(E614=1,IF(INDEX('#建筑消耗和buff配置索引'!BY:BY,MATCH(D614,'#建筑消耗和buff配置索引'!A:A,0))=0,"",INDEX('#建筑消耗和buff配置索引'!BY:BY,MATCH(D614,'#建筑消耗和buff配置索引'!A:A,0))),"")</f>
        <v/>
      </c>
      <c r="W614" s="133" t="str">
        <f>IF(E614=1,IF(INDEX('#建筑消耗和buff配置索引'!BZ:BZ,MATCH(D614,'#建筑消耗和buff配置索引'!A:A,0))=0,"",INDEX('#建筑消耗和buff配置索引'!BZ:BZ,MATCH(D614,'#建筑消耗和buff配置索引'!A:A,0))),"")</f>
        <v/>
      </c>
      <c r="X614" s="167"/>
      <c r="Y614" s="167"/>
      <c r="Z614" s="167"/>
      <c r="AA614" s="138">
        <v>0</v>
      </c>
      <c r="AB614" s="138">
        <v>2553</v>
      </c>
      <c r="AC614" s="138">
        <v>0</v>
      </c>
      <c r="AF614" s="138">
        <v>2570</v>
      </c>
      <c r="AG614" s="138">
        <v>0</v>
      </c>
      <c r="BI614" s="138">
        <v>20</v>
      </c>
    </row>
    <row r="615" spans="1:66" s="138" customFormat="1">
      <c r="A615" s="138">
        <v>2020000</v>
      </c>
      <c r="B615" s="138">
        <v>581</v>
      </c>
      <c r="C615" s="138">
        <v>202</v>
      </c>
      <c r="D615" s="138" t="s">
        <v>154</v>
      </c>
      <c r="E615" s="138">
        <v>0</v>
      </c>
      <c r="F615" s="138" t="str">
        <f t="shared" si="10"/>
        <v>居民房舍0</v>
      </c>
      <c r="H615" s="163"/>
      <c r="I615" s="138" t="s">
        <v>1205</v>
      </c>
      <c r="J615" s="166">
        <v>1</v>
      </c>
      <c r="K615" s="166"/>
      <c r="L615" s="166">
        <v>100</v>
      </c>
      <c r="M615" s="166">
        <v>0</v>
      </c>
      <c r="N615" s="166">
        <v>0</v>
      </c>
      <c r="Q615" s="138">
        <v>201</v>
      </c>
      <c r="R615" s="138">
        <v>0</v>
      </c>
      <c r="S615" s="138">
        <v>1</v>
      </c>
      <c r="T615" s="167">
        <v>0</v>
      </c>
      <c r="U615" s="138">
        <v>0</v>
      </c>
      <c r="V615" s="133" t="str">
        <f>IF(E615=1,IF(INDEX('#建筑消耗和buff配置索引'!BY:BY,MATCH(D615,'#建筑消耗和buff配置索引'!A:A,0))=0,"",INDEX('#建筑消耗和buff配置索引'!BY:BY,MATCH(D615,'#建筑消耗和buff配置索引'!A:A,0))),"")</f>
        <v/>
      </c>
      <c r="W615" s="133" t="str">
        <f>IF(E615=1,IF(INDEX('#建筑消耗和buff配置索引'!BZ:BZ,MATCH(D615,'#建筑消耗和buff配置索引'!A:A,0))=0,"",INDEX('#建筑消耗和buff配置索引'!BZ:BZ,MATCH(D615,'#建筑消耗和buff配置索引'!A:A,0))),"")</f>
        <v/>
      </c>
      <c r="AA615" s="138">
        <v>0</v>
      </c>
      <c r="BI615" s="138">
        <v>2</v>
      </c>
    </row>
    <row r="616" spans="1:66" s="138" customFormat="1">
      <c r="A616" s="138">
        <v>2150000</v>
      </c>
      <c r="B616" s="138">
        <v>582</v>
      </c>
      <c r="C616" s="138">
        <v>215</v>
      </c>
      <c r="D616" s="138" t="s">
        <v>418</v>
      </c>
      <c r="E616" s="138">
        <v>0</v>
      </c>
      <c r="F616" s="138" t="str">
        <f t="shared" si="10"/>
        <v>城墙0</v>
      </c>
      <c r="H616" s="163"/>
      <c r="I616" s="138" t="s">
        <v>1205</v>
      </c>
      <c r="J616" s="166">
        <v>1</v>
      </c>
      <c r="K616" s="166"/>
      <c r="L616" s="166">
        <v>600</v>
      </c>
      <c r="M616" s="166">
        <v>0</v>
      </c>
      <c r="N616" s="166">
        <v>0</v>
      </c>
      <c r="Q616" s="138">
        <v>201</v>
      </c>
      <c r="R616" s="138">
        <v>0</v>
      </c>
      <c r="S616" s="138">
        <v>1</v>
      </c>
      <c r="T616" s="167">
        <v>0</v>
      </c>
      <c r="U616" s="138">
        <v>0</v>
      </c>
      <c r="V616" s="133" t="str">
        <f>IF(E616=1,IF(INDEX('#建筑消耗和buff配置索引'!BY:BY,MATCH(D616,'#建筑消耗和buff配置索引'!A:A,0))=0,"",INDEX('#建筑消耗和buff配置索引'!BY:BY,MATCH(D616,'#建筑消耗和buff配置索引'!A:A,0))),"")</f>
        <v/>
      </c>
      <c r="W616" s="133" t="str">
        <f>IF(E616=1,IF(INDEX('#建筑消耗和buff配置索引'!BZ:BZ,MATCH(D616,'#建筑消耗和buff配置索引'!A:A,0))=0,"",INDEX('#建筑消耗和buff配置索引'!BZ:BZ,MATCH(D616,'#建筑消耗和buff配置索引'!A:A,0))),"")</f>
        <v/>
      </c>
      <c r="AA616" s="138">
        <v>0</v>
      </c>
      <c r="AB616" s="138">
        <v>4004</v>
      </c>
      <c r="AC616" s="138">
        <v>0</v>
      </c>
      <c r="AF616" s="138">
        <v>1261</v>
      </c>
      <c r="AG616" s="138">
        <v>0</v>
      </c>
      <c r="BI616" s="138">
        <v>17</v>
      </c>
    </row>
    <row r="617" spans="1:66" s="139" customFormat="1" ht="16.5">
      <c r="A617" s="140">
        <v>4040001</v>
      </c>
      <c r="B617" s="140">
        <v>395</v>
      </c>
      <c r="C617" s="140">
        <v>404</v>
      </c>
      <c r="D617" s="140" t="s">
        <v>1666</v>
      </c>
      <c r="E617" s="140">
        <v>1</v>
      </c>
      <c r="F617" s="140" t="s">
        <v>1666</v>
      </c>
      <c r="G617" s="164"/>
      <c r="H617" s="165"/>
      <c r="I617" s="160" t="s">
        <v>1205</v>
      </c>
      <c r="J617" s="160">
        <v>1</v>
      </c>
      <c r="K617" s="160"/>
      <c r="L617" s="160">
        <v>100</v>
      </c>
      <c r="M617" s="160">
        <v>0</v>
      </c>
      <c r="N617" s="160">
        <v>0</v>
      </c>
      <c r="O617" s="164"/>
      <c r="P617" s="164"/>
      <c r="Q617" s="160">
        <v>201</v>
      </c>
      <c r="R617" s="160">
        <v>1</v>
      </c>
      <c r="S617" s="160">
        <v>1</v>
      </c>
      <c r="T617" s="160">
        <v>0</v>
      </c>
      <c r="U617" s="160">
        <v>0</v>
      </c>
      <c r="V617" s="133"/>
      <c r="W617" s="133"/>
      <c r="X617" s="164"/>
      <c r="AA617" s="164">
        <v>0</v>
      </c>
      <c r="AB617" s="160"/>
      <c r="AC617" s="160"/>
      <c r="AD617" s="160"/>
      <c r="AE617" s="160"/>
      <c r="AF617" s="160"/>
      <c r="AG617" s="164"/>
      <c r="AH617" s="164"/>
      <c r="AI617" s="164"/>
      <c r="AJ617" s="164"/>
      <c r="AK617" s="164"/>
      <c r="AL617" s="164"/>
      <c r="AM617" s="164"/>
      <c r="AN617" s="164"/>
      <c r="AO617" s="164"/>
      <c r="AP617" s="164"/>
      <c r="AQ617" s="164"/>
      <c r="AR617" s="164"/>
      <c r="AS617" s="164"/>
      <c r="AT617" s="164"/>
      <c r="AU617" s="164"/>
      <c r="AV617" s="164"/>
      <c r="AW617" s="164"/>
      <c r="AX617" s="164"/>
      <c r="AY617" s="164"/>
      <c r="AZ617" s="164"/>
      <c r="BA617" s="164"/>
      <c r="BB617" s="164"/>
      <c r="BC617" s="164"/>
      <c r="BD617" s="164"/>
      <c r="BE617" s="164"/>
      <c r="BF617" s="164"/>
      <c r="BG617" s="164"/>
      <c r="BI617" s="160">
        <v>23</v>
      </c>
      <c r="BK617" s="168"/>
    </row>
    <row r="618" spans="1:66">
      <c r="A618" s="140">
        <v>2280001</v>
      </c>
      <c r="B618" s="140">
        <v>393</v>
      </c>
      <c r="C618" s="140">
        <v>228</v>
      </c>
      <c r="D618" s="140" t="s">
        <v>948</v>
      </c>
      <c r="E618" s="140">
        <v>1</v>
      </c>
      <c r="F618" s="133" t="str">
        <f t="shared" si="10"/>
        <v>铁匠铺1</v>
      </c>
      <c r="I618" s="140">
        <v>0</v>
      </c>
      <c r="J618" s="150">
        <v>25</v>
      </c>
      <c r="K618" s="150">
        <v>0</v>
      </c>
      <c r="L618" s="150">
        <v>0</v>
      </c>
      <c r="M618" s="150">
        <v>0</v>
      </c>
      <c r="N618" s="150">
        <v>0</v>
      </c>
      <c r="Q618" s="133" t="str">
        <f>IF(INDEX('#建筑消耗和buff配置索引'!K:K,MATCH($F618,'#建筑消耗和buff配置索引'!$M:$M,0))=0,"",INDEX('#建筑消耗和buff配置索引'!K:K,MATCH($F618,'#建筑消耗和buff配置索引'!$M:$M,0)))</f>
        <v>201</v>
      </c>
      <c r="R618" s="133">
        <f>IF(INDEX('#建筑消耗和buff配置索引'!L:L,MATCH($F618,'#建筑消耗和buff配置索引'!$M:$M,0))=0,"",INDEX('#建筑消耗和buff配置索引'!L:L,MATCH($F618,'#建筑消耗和buff配置索引'!$M:$M,0)))</f>
        <v>15</v>
      </c>
      <c r="S618" s="140">
        <v>3</v>
      </c>
      <c r="T618" s="140">
        <v>0</v>
      </c>
      <c r="U618" s="140">
        <v>0</v>
      </c>
      <c r="V618" s="140">
        <v>1</v>
      </c>
      <c r="W618" s="140" t="s">
        <v>1667</v>
      </c>
      <c r="AA618" s="133">
        <v>5</v>
      </c>
      <c r="AB618" s="140">
        <v>10015004</v>
      </c>
      <c r="AC618" s="229">
        <v>0.02</v>
      </c>
      <c r="BN618" s="140">
        <v>3</v>
      </c>
    </row>
    <row r="619" spans="1:66">
      <c r="A619" s="140">
        <v>2280002</v>
      </c>
      <c r="B619" s="140">
        <v>394</v>
      </c>
      <c r="C619" s="140">
        <v>228</v>
      </c>
      <c r="D619" s="140" t="s">
        <v>948</v>
      </c>
      <c r="E619" s="140">
        <v>2</v>
      </c>
      <c r="F619" s="133" t="str">
        <f t="shared" si="10"/>
        <v>铁匠铺2</v>
      </c>
      <c r="I619" s="140">
        <v>0</v>
      </c>
      <c r="J619" s="150">
        <v>43</v>
      </c>
      <c r="K619" s="150">
        <v>1000</v>
      </c>
      <c r="L619" s="150">
        <v>1000</v>
      </c>
      <c r="M619" s="150">
        <v>1000</v>
      </c>
      <c r="N619" s="150">
        <v>1000</v>
      </c>
      <c r="Q619" s="133" t="str">
        <f>IF(INDEX('#建筑消耗和buff配置索引'!K:K,MATCH($F619,'#建筑消耗和buff配置索引'!$M:$M,0))=0,"",INDEX('#建筑消耗和buff配置索引'!K:K,MATCH($F619,'#建筑消耗和buff配置索引'!$M:$M,0)))</f>
        <v>201</v>
      </c>
      <c r="R619" s="133">
        <f>IF(INDEX('#建筑消耗和buff配置索引'!L:L,MATCH($F619,'#建筑消耗和buff配置索引'!$M:$M,0))=0,"",INDEX('#建筑消耗和buff配置索引'!L:L,MATCH($F619,'#建筑消耗和buff配置索引'!$M:$M,0)))</f>
        <v>15</v>
      </c>
      <c r="S619" s="140">
        <v>3</v>
      </c>
      <c r="T619" s="140">
        <v>0</v>
      </c>
      <c r="U619" s="140">
        <v>0</v>
      </c>
      <c r="AA619" s="133">
        <v>10</v>
      </c>
      <c r="AB619" s="140">
        <v>10015004</v>
      </c>
      <c r="AC619" s="229">
        <v>0.04</v>
      </c>
    </row>
    <row r="620" spans="1:66">
      <c r="A620" s="140">
        <v>2280003</v>
      </c>
      <c r="B620" s="140">
        <v>395</v>
      </c>
      <c r="C620" s="140">
        <v>228</v>
      </c>
      <c r="D620" s="140" t="s">
        <v>948</v>
      </c>
      <c r="E620" s="140">
        <v>3</v>
      </c>
      <c r="F620" s="133" t="str">
        <f t="shared" ref="F620:F647" si="11">D620&amp;E620</f>
        <v>铁匠铺3</v>
      </c>
      <c r="I620" s="140">
        <v>0</v>
      </c>
      <c r="J620" s="150">
        <v>86</v>
      </c>
      <c r="K620" s="150">
        <v>2100</v>
      </c>
      <c r="L620" s="150">
        <v>2100</v>
      </c>
      <c r="M620" s="150">
        <v>2100</v>
      </c>
      <c r="N620" s="150">
        <v>2100</v>
      </c>
      <c r="Q620" s="133" t="str">
        <f>IF(INDEX('#建筑消耗和buff配置索引'!K:K,MATCH($F620,'#建筑消耗和buff配置索引'!$M:$M,0))=0,"",INDEX('#建筑消耗和buff配置索引'!K:K,MATCH($F620,'#建筑消耗和buff配置索引'!$M:$M,0)))</f>
        <v>201</v>
      </c>
      <c r="R620" s="133">
        <f>IF(INDEX('#建筑消耗和buff配置索引'!L:L,MATCH($F620,'#建筑消耗和buff配置索引'!$M:$M,0))=0,"",INDEX('#建筑消耗和buff配置索引'!L:L,MATCH($F620,'#建筑消耗和buff配置索引'!$M:$M,0)))</f>
        <v>15</v>
      </c>
      <c r="S620" s="140">
        <v>3</v>
      </c>
      <c r="T620" s="140">
        <v>0</v>
      </c>
      <c r="U620" s="140">
        <v>0</v>
      </c>
      <c r="AA620" s="133">
        <v>24</v>
      </c>
      <c r="AB620" s="140">
        <v>10015004</v>
      </c>
      <c r="AC620" s="229">
        <v>0.06</v>
      </c>
    </row>
    <row r="621" spans="1:66">
      <c r="A621" s="140">
        <v>2280004</v>
      </c>
      <c r="B621" s="140">
        <v>396</v>
      </c>
      <c r="C621" s="140">
        <v>228</v>
      </c>
      <c r="D621" s="140" t="s">
        <v>948</v>
      </c>
      <c r="E621" s="140">
        <v>4</v>
      </c>
      <c r="F621" s="133" t="str">
        <f t="shared" si="11"/>
        <v>铁匠铺4</v>
      </c>
      <c r="I621" s="140">
        <v>0</v>
      </c>
      <c r="J621" s="150">
        <v>173</v>
      </c>
      <c r="K621" s="150">
        <v>4300</v>
      </c>
      <c r="L621" s="150">
        <v>4300</v>
      </c>
      <c r="M621" s="150">
        <v>4300</v>
      </c>
      <c r="N621" s="150">
        <v>4300</v>
      </c>
      <c r="Q621" s="133" t="str">
        <f>IF(INDEX('#建筑消耗和buff配置索引'!K:K,MATCH($F621,'#建筑消耗和buff配置索引'!$M:$M,0))=0,"",INDEX('#建筑消耗和buff配置索引'!K:K,MATCH($F621,'#建筑消耗和buff配置索引'!$M:$M,0)))</f>
        <v>201</v>
      </c>
      <c r="R621" s="133">
        <f>IF(INDEX('#建筑消耗和buff配置索引'!L:L,MATCH($F621,'#建筑消耗和buff配置索引'!$M:$M,0))=0,"",INDEX('#建筑消耗和buff配置索引'!L:L,MATCH($F621,'#建筑消耗和buff配置索引'!$M:$M,0)))</f>
        <v>15</v>
      </c>
      <c r="S621" s="140">
        <v>3</v>
      </c>
      <c r="T621" s="140">
        <v>0</v>
      </c>
      <c r="U621" s="140">
        <v>0</v>
      </c>
      <c r="AA621" s="133">
        <v>56</v>
      </c>
      <c r="AB621" s="140">
        <v>10015004</v>
      </c>
      <c r="AC621" s="229">
        <v>0.08</v>
      </c>
    </row>
    <row r="622" spans="1:66">
      <c r="A622" s="140">
        <v>2280005</v>
      </c>
      <c r="B622" s="140">
        <v>397</v>
      </c>
      <c r="C622" s="140">
        <v>228</v>
      </c>
      <c r="D622" s="140" t="s">
        <v>948</v>
      </c>
      <c r="E622" s="140">
        <v>5</v>
      </c>
      <c r="F622" s="133" t="str">
        <f t="shared" si="11"/>
        <v>铁匠铺5</v>
      </c>
      <c r="I622" s="140">
        <v>0</v>
      </c>
      <c r="J622" s="150">
        <v>360</v>
      </c>
      <c r="K622" s="150">
        <v>8400</v>
      </c>
      <c r="L622" s="150">
        <v>8400</v>
      </c>
      <c r="M622" s="150">
        <v>8400</v>
      </c>
      <c r="N622" s="150">
        <v>8400</v>
      </c>
      <c r="Q622" s="133" t="str">
        <f>IF(INDEX('#建筑消耗和buff配置索引'!K:K,MATCH($F622,'#建筑消耗和buff配置索引'!$M:$M,0))=0,"",INDEX('#建筑消耗和buff配置索引'!K:K,MATCH($F622,'#建筑消耗和buff配置索引'!$M:$M,0)))</f>
        <v>201</v>
      </c>
      <c r="R622" s="133">
        <f>IF(INDEX('#建筑消耗和buff配置索引'!L:L,MATCH($F622,'#建筑消耗和buff配置索引'!$M:$M,0))=0,"",INDEX('#建筑消耗和buff配置索引'!L:L,MATCH($F622,'#建筑消耗和buff配置索引'!$M:$M,0)))</f>
        <v>15</v>
      </c>
      <c r="S622" s="140">
        <v>3</v>
      </c>
      <c r="T622" s="140">
        <v>0</v>
      </c>
      <c r="U622" s="140">
        <v>0</v>
      </c>
      <c r="AA622" s="133">
        <v>117</v>
      </c>
      <c r="AB622" s="140">
        <v>10015004</v>
      </c>
      <c r="AC622" s="229">
        <v>0.1</v>
      </c>
    </row>
    <row r="623" spans="1:66">
      <c r="A623" s="140">
        <v>2280006</v>
      </c>
      <c r="B623" s="140">
        <v>398</v>
      </c>
      <c r="C623" s="140">
        <v>228</v>
      </c>
      <c r="D623" s="140" t="s">
        <v>948</v>
      </c>
      <c r="E623" s="140">
        <v>6</v>
      </c>
      <c r="F623" s="133" t="str">
        <f t="shared" si="11"/>
        <v>铁匠铺6</v>
      </c>
      <c r="I623" s="140">
        <v>0</v>
      </c>
      <c r="J623" s="150">
        <v>648</v>
      </c>
      <c r="K623" s="150">
        <v>16000</v>
      </c>
      <c r="L623" s="150">
        <v>16000</v>
      </c>
      <c r="M623" s="150">
        <v>16000</v>
      </c>
      <c r="N623" s="150">
        <v>16000</v>
      </c>
      <c r="Q623" s="133" t="str">
        <f>IF(INDEX('#建筑消耗和buff配置索引'!K:K,MATCH($F623,'#建筑消耗和buff配置索引'!$M:$M,0))=0,"",INDEX('#建筑消耗和buff配置索引'!K:K,MATCH($F623,'#建筑消耗和buff配置索引'!$M:$M,0)))</f>
        <v>201</v>
      </c>
      <c r="R623" s="133">
        <f>IF(INDEX('#建筑消耗和buff配置索引'!L:L,MATCH($F623,'#建筑消耗和buff配置索引'!$M:$M,0))=0,"",INDEX('#建筑消耗和buff配置索引'!L:L,MATCH($F623,'#建筑消耗和buff配置索引'!$M:$M,0)))</f>
        <v>15</v>
      </c>
      <c r="S623" s="140">
        <v>3</v>
      </c>
      <c r="T623" s="140">
        <v>0</v>
      </c>
      <c r="U623" s="140">
        <v>0</v>
      </c>
      <c r="AA623" s="133">
        <v>232</v>
      </c>
      <c r="AB623" s="140">
        <v>10015004</v>
      </c>
      <c r="AC623" s="229">
        <v>0.12</v>
      </c>
    </row>
    <row r="624" spans="1:66">
      <c r="A624" s="140">
        <v>2280007</v>
      </c>
      <c r="B624" s="140">
        <v>399</v>
      </c>
      <c r="C624" s="140">
        <v>228</v>
      </c>
      <c r="D624" s="140" t="s">
        <v>948</v>
      </c>
      <c r="E624" s="140">
        <v>7</v>
      </c>
      <c r="F624" s="133" t="str">
        <f t="shared" si="11"/>
        <v>铁匠铺7</v>
      </c>
      <c r="I624" s="140">
        <v>0</v>
      </c>
      <c r="J624" s="150">
        <v>1080</v>
      </c>
      <c r="K624" s="150">
        <v>29000</v>
      </c>
      <c r="L624" s="150">
        <v>29000</v>
      </c>
      <c r="M624" s="150">
        <v>29000</v>
      </c>
      <c r="N624" s="150">
        <v>29000</v>
      </c>
      <c r="Q624" s="133" t="str">
        <f>IF(INDEX('#建筑消耗和buff配置索引'!K:K,MATCH($F624,'#建筑消耗和buff配置索引'!$M:$M,0))=0,"",INDEX('#建筑消耗和buff配置索引'!K:K,MATCH($F624,'#建筑消耗和buff配置索引'!$M:$M,0)))</f>
        <v>201</v>
      </c>
      <c r="R624" s="133">
        <f>IF(INDEX('#建筑消耗和buff配置索引'!L:L,MATCH($F624,'#建筑消耗和buff配置索引'!$M:$M,0))=0,"",INDEX('#建筑消耗和buff配置索引'!L:L,MATCH($F624,'#建筑消耗和buff配置索引'!$M:$M,0)))</f>
        <v>15</v>
      </c>
      <c r="S624" s="140">
        <v>3</v>
      </c>
      <c r="T624" s="140">
        <v>0</v>
      </c>
      <c r="U624" s="140">
        <v>0</v>
      </c>
      <c r="AA624" s="133">
        <v>438</v>
      </c>
      <c r="AB624" s="140">
        <v>10015004</v>
      </c>
      <c r="AC624" s="229">
        <v>0.14000000000000001</v>
      </c>
    </row>
    <row r="625" spans="1:29">
      <c r="A625" s="140">
        <v>2280008</v>
      </c>
      <c r="B625" s="140">
        <v>400</v>
      </c>
      <c r="C625" s="140">
        <v>228</v>
      </c>
      <c r="D625" s="140" t="s">
        <v>948</v>
      </c>
      <c r="E625" s="140">
        <v>8</v>
      </c>
      <c r="F625" s="133" t="str">
        <f t="shared" si="11"/>
        <v>铁匠铺8</v>
      </c>
      <c r="I625" s="140">
        <v>0</v>
      </c>
      <c r="J625" s="150">
        <v>1728</v>
      </c>
      <c r="K625" s="150">
        <v>52000</v>
      </c>
      <c r="L625" s="150">
        <v>52000</v>
      </c>
      <c r="M625" s="150">
        <v>52000</v>
      </c>
      <c r="N625" s="150">
        <v>52000</v>
      </c>
      <c r="Q625" s="133" t="str">
        <f>IF(INDEX('#建筑消耗和buff配置索引'!K:K,MATCH($F625,'#建筑消耗和buff配置索引'!$M:$M,0))=0,"",INDEX('#建筑消耗和buff配置索引'!K:K,MATCH($F625,'#建筑消耗和buff配置索引'!$M:$M,0)))</f>
        <v>201</v>
      </c>
      <c r="R625" s="133">
        <f>IF(INDEX('#建筑消耗和buff配置索引'!L:L,MATCH($F625,'#建筑消耗和buff配置索引'!$M:$M,0))=0,"",INDEX('#建筑消耗和buff配置索引'!L:L,MATCH($F625,'#建筑消耗和buff配置索引'!$M:$M,0)))</f>
        <v>15</v>
      </c>
      <c r="S625" s="140">
        <v>3</v>
      </c>
      <c r="T625" s="140">
        <v>0</v>
      </c>
      <c r="U625" s="140">
        <v>0</v>
      </c>
      <c r="AA625" s="133">
        <v>791</v>
      </c>
      <c r="AB625" s="140">
        <v>10015004</v>
      </c>
      <c r="AC625" s="229">
        <v>0.16</v>
      </c>
    </row>
    <row r="626" spans="1:29">
      <c r="A626" s="140">
        <v>2280009</v>
      </c>
      <c r="B626" s="140">
        <v>401</v>
      </c>
      <c r="C626" s="140">
        <v>228</v>
      </c>
      <c r="D626" s="140" t="s">
        <v>948</v>
      </c>
      <c r="E626" s="140">
        <v>9</v>
      </c>
      <c r="F626" s="133" t="str">
        <f t="shared" si="11"/>
        <v>铁匠铺9</v>
      </c>
      <c r="I626" s="140">
        <v>0</v>
      </c>
      <c r="J626" s="150">
        <v>3456</v>
      </c>
      <c r="K626" s="150">
        <v>87000</v>
      </c>
      <c r="L626" s="150">
        <v>87000</v>
      </c>
      <c r="M626" s="150">
        <v>87000</v>
      </c>
      <c r="N626" s="150">
        <v>87000</v>
      </c>
      <c r="Q626" s="133" t="str">
        <f>IF(INDEX('#建筑消耗和buff配置索引'!K:K,MATCH($F626,'#建筑消耗和buff配置索引'!$M:$M,0))=0,"",INDEX('#建筑消耗和buff配置索引'!K:K,MATCH($F626,'#建筑消耗和buff配置索引'!$M:$M,0)))</f>
        <v>201</v>
      </c>
      <c r="R626" s="133">
        <f>IF(INDEX('#建筑消耗和buff配置索引'!L:L,MATCH($F626,'#建筑消耗和buff配置索引'!$M:$M,0))=0,"",INDEX('#建筑消耗和buff配置索引'!L:L,MATCH($F626,'#建筑消耗和buff配置索引'!$M:$M,0)))</f>
        <v>15</v>
      </c>
      <c r="S626" s="140">
        <v>3</v>
      </c>
      <c r="T626" s="140">
        <v>0</v>
      </c>
      <c r="U626" s="140">
        <v>0</v>
      </c>
      <c r="AA626" s="133">
        <v>1375</v>
      </c>
      <c r="AB626" s="140">
        <v>10015004</v>
      </c>
      <c r="AC626" s="229">
        <v>0.18</v>
      </c>
    </row>
    <row r="627" spans="1:29">
      <c r="A627" s="140">
        <v>2280010</v>
      </c>
      <c r="B627" s="140">
        <v>402</v>
      </c>
      <c r="C627" s="140">
        <v>228</v>
      </c>
      <c r="D627" s="140" t="s">
        <v>948</v>
      </c>
      <c r="E627" s="140">
        <v>10</v>
      </c>
      <c r="F627" s="133" t="str">
        <f t="shared" si="11"/>
        <v>铁匠铺10</v>
      </c>
      <c r="I627" s="140">
        <v>0</v>
      </c>
      <c r="J627" s="150">
        <v>5184</v>
      </c>
      <c r="K627" s="150">
        <v>140000</v>
      </c>
      <c r="L627" s="150">
        <v>140000</v>
      </c>
      <c r="M627" s="150">
        <v>140000</v>
      </c>
      <c r="N627" s="150">
        <v>140000</v>
      </c>
      <c r="Q627" s="133" t="str">
        <f>IF(INDEX('#建筑消耗和buff配置索引'!K:K,MATCH($F627,'#建筑消耗和buff配置索引'!$M:$M,0))=0,"",INDEX('#建筑消耗和buff配置索引'!K:K,MATCH($F627,'#建筑消耗和buff配置索引'!$M:$M,0)))</f>
        <v>201</v>
      </c>
      <c r="R627" s="133">
        <f>IF(INDEX('#建筑消耗和buff配置索引'!L:L,MATCH($F627,'#建筑消耗和buff配置索引'!$M:$M,0))=0,"",INDEX('#建筑消耗和buff配置索引'!L:L,MATCH($F627,'#建筑消耗和buff配置索引'!$M:$M,0)))</f>
        <v>15</v>
      </c>
      <c r="S627" s="140">
        <v>3</v>
      </c>
      <c r="T627" s="140">
        <v>0</v>
      </c>
      <c r="U627" s="140">
        <v>0</v>
      </c>
      <c r="AA627" s="133">
        <v>2297</v>
      </c>
      <c r="AB627" s="140">
        <v>10015004</v>
      </c>
      <c r="AC627" s="229">
        <v>0.21</v>
      </c>
    </row>
    <row r="628" spans="1:29">
      <c r="A628" s="140">
        <v>2280011</v>
      </c>
      <c r="B628" s="140">
        <v>403</v>
      </c>
      <c r="C628" s="140">
        <v>228</v>
      </c>
      <c r="D628" s="140" t="s">
        <v>948</v>
      </c>
      <c r="E628" s="140">
        <v>11</v>
      </c>
      <c r="F628" s="133" t="str">
        <f t="shared" si="11"/>
        <v>铁匠铺11</v>
      </c>
      <c r="I628" s="140">
        <v>0</v>
      </c>
      <c r="J628" s="150">
        <v>7776</v>
      </c>
      <c r="K628" s="150">
        <v>220000</v>
      </c>
      <c r="L628" s="150">
        <v>220000</v>
      </c>
      <c r="M628" s="150">
        <v>220000</v>
      </c>
      <c r="N628" s="150">
        <v>220000</v>
      </c>
      <c r="Q628" s="133" t="str">
        <f>IF(INDEX('#建筑消耗和buff配置索引'!K:K,MATCH($F628,'#建筑消耗和buff配置索引'!$M:$M,0))=0,"",INDEX('#建筑消耗和buff配置索引'!K:K,MATCH($F628,'#建筑消耗和buff配置索引'!$M:$M,0)))</f>
        <v>201</v>
      </c>
      <c r="R628" s="133">
        <f>IF(INDEX('#建筑消耗和buff配置索引'!L:L,MATCH($F628,'#建筑消耗和buff配置索引'!$M:$M,0))=0,"",INDEX('#建筑消耗和buff配置索引'!L:L,MATCH($F628,'#建筑消耗和buff配置索引'!$M:$M,0)))</f>
        <v>15</v>
      </c>
      <c r="S628" s="140">
        <v>3</v>
      </c>
      <c r="T628" s="140">
        <v>0</v>
      </c>
      <c r="U628" s="140">
        <v>0</v>
      </c>
      <c r="AA628" s="133">
        <v>3689</v>
      </c>
      <c r="AB628" s="140">
        <v>10015004</v>
      </c>
      <c r="AC628" s="229">
        <v>0.24</v>
      </c>
    </row>
    <row r="629" spans="1:29">
      <c r="A629" s="140">
        <v>2280012</v>
      </c>
      <c r="B629" s="140">
        <v>404</v>
      </c>
      <c r="C629" s="140">
        <v>228</v>
      </c>
      <c r="D629" s="140" t="s">
        <v>948</v>
      </c>
      <c r="E629" s="140">
        <v>12</v>
      </c>
      <c r="F629" s="133" t="str">
        <f t="shared" si="11"/>
        <v>铁匠铺12</v>
      </c>
      <c r="I629" s="140">
        <v>0</v>
      </c>
      <c r="J629" s="150">
        <v>10368</v>
      </c>
      <c r="K629" s="150">
        <v>320000</v>
      </c>
      <c r="L629" s="150">
        <v>320000</v>
      </c>
      <c r="M629" s="150">
        <v>320000</v>
      </c>
      <c r="N629" s="150">
        <v>320000</v>
      </c>
      <c r="Q629" s="133" t="str">
        <f>IF(INDEX('#建筑消耗和buff配置索引'!K:K,MATCH($F629,'#建筑消耗和buff配置索引'!$M:$M,0))=0,"",INDEX('#建筑消耗和buff配置索引'!K:K,MATCH($F629,'#建筑消耗和buff配置索引'!$M:$M,0)))</f>
        <v>201</v>
      </c>
      <c r="R629" s="133">
        <f>IF(INDEX('#建筑消耗和buff配置索引'!L:L,MATCH($F629,'#建筑消耗和buff配置索引'!$M:$M,0))=0,"",INDEX('#建筑消耗和buff配置索引'!L:L,MATCH($F629,'#建筑消耗和buff配置索引'!$M:$M,0)))</f>
        <v>15</v>
      </c>
      <c r="S629" s="140">
        <v>3</v>
      </c>
      <c r="T629" s="140">
        <v>0</v>
      </c>
      <c r="U629" s="140">
        <v>0</v>
      </c>
      <c r="AA629" s="133">
        <v>5694</v>
      </c>
      <c r="AB629" s="140">
        <v>10015004</v>
      </c>
      <c r="AC629" s="229">
        <v>0.27</v>
      </c>
    </row>
    <row r="630" spans="1:29">
      <c r="A630" s="140">
        <v>2280013</v>
      </c>
      <c r="B630" s="140">
        <v>405</v>
      </c>
      <c r="C630" s="140">
        <v>228</v>
      </c>
      <c r="D630" s="140" t="s">
        <v>948</v>
      </c>
      <c r="E630" s="140">
        <v>13</v>
      </c>
      <c r="F630" s="133" t="str">
        <f t="shared" si="11"/>
        <v>铁匠铺13</v>
      </c>
      <c r="I630" s="140">
        <v>0</v>
      </c>
      <c r="J630" s="150">
        <v>13824</v>
      </c>
      <c r="K630" s="150">
        <v>450000</v>
      </c>
      <c r="L630" s="150">
        <v>450000</v>
      </c>
      <c r="M630" s="150">
        <v>450000</v>
      </c>
      <c r="N630" s="150">
        <v>450000</v>
      </c>
      <c r="Q630" s="133" t="str">
        <f>IF(INDEX('#建筑消耗和buff配置索引'!K:K,MATCH($F630,'#建筑消耗和buff配置索引'!$M:$M,0))=0,"",INDEX('#建筑消耗和buff配置索引'!K:K,MATCH($F630,'#建筑消耗和buff配置索引'!$M:$M,0)))</f>
        <v>201</v>
      </c>
      <c r="R630" s="133">
        <f>IF(INDEX('#建筑消耗和buff配置索引'!L:L,MATCH($F630,'#建筑消耗和buff配置索引'!$M:$M,0))=0,"",INDEX('#建筑消耗和buff配置索引'!L:L,MATCH($F630,'#建筑消耗和buff配置索引'!$M:$M,0)))</f>
        <v>15</v>
      </c>
      <c r="S630" s="140">
        <v>3</v>
      </c>
      <c r="T630" s="140">
        <v>0</v>
      </c>
      <c r="U630" s="140">
        <v>0</v>
      </c>
      <c r="AA630" s="133">
        <v>8441</v>
      </c>
      <c r="AB630" s="140">
        <v>10015004</v>
      </c>
      <c r="AC630" s="229">
        <v>0.3</v>
      </c>
    </row>
    <row r="631" spans="1:29">
      <c r="A631" s="140">
        <v>2280014</v>
      </c>
      <c r="B631" s="140">
        <v>406</v>
      </c>
      <c r="C631" s="140">
        <v>228</v>
      </c>
      <c r="D631" s="140" t="s">
        <v>948</v>
      </c>
      <c r="E631" s="140">
        <v>14</v>
      </c>
      <c r="F631" s="133" t="str">
        <f t="shared" si="11"/>
        <v>铁匠铺14</v>
      </c>
      <c r="I631" s="140">
        <v>0</v>
      </c>
      <c r="J631" s="150">
        <v>17280</v>
      </c>
      <c r="K631" s="150">
        <v>600000</v>
      </c>
      <c r="L631" s="150">
        <v>600000</v>
      </c>
      <c r="M631" s="150">
        <v>600000</v>
      </c>
      <c r="N631" s="150">
        <v>600000</v>
      </c>
      <c r="Q631" s="133" t="str">
        <f>IF(INDEX('#建筑消耗和buff配置索引'!K:K,MATCH($F631,'#建筑消耗和buff配置索引'!$M:$M,0))=0,"",INDEX('#建筑消耗和buff配置索引'!K:K,MATCH($F631,'#建筑消耗和buff配置索引'!$M:$M,0)))</f>
        <v>201</v>
      </c>
      <c r="R631" s="133">
        <f>IF(INDEX('#建筑消耗和buff配置索引'!L:L,MATCH($F631,'#建筑消耗和buff配置索引'!$M:$M,0))=0,"",INDEX('#建筑消耗和buff配置索引'!L:L,MATCH($F631,'#建筑消耗和buff配置索引'!$M:$M,0)))</f>
        <v>15</v>
      </c>
      <c r="S631" s="140">
        <v>3</v>
      </c>
      <c r="T631" s="140">
        <v>0</v>
      </c>
      <c r="U631" s="140">
        <v>0</v>
      </c>
      <c r="AA631" s="133">
        <v>12011</v>
      </c>
      <c r="AB631" s="140">
        <v>10015004</v>
      </c>
      <c r="AC631" s="229">
        <v>0.33</v>
      </c>
    </row>
    <row r="632" spans="1:29">
      <c r="A632" s="140">
        <v>2280015</v>
      </c>
      <c r="B632" s="140">
        <v>407</v>
      </c>
      <c r="C632" s="140">
        <v>228</v>
      </c>
      <c r="D632" s="140" t="s">
        <v>948</v>
      </c>
      <c r="E632" s="140">
        <v>15</v>
      </c>
      <c r="F632" s="133" t="str">
        <f t="shared" si="11"/>
        <v>铁匠铺15</v>
      </c>
      <c r="I632" s="140">
        <v>0</v>
      </c>
      <c r="J632" s="150">
        <v>20736</v>
      </c>
      <c r="K632" s="150">
        <v>780000</v>
      </c>
      <c r="L632" s="150">
        <v>780000</v>
      </c>
      <c r="M632" s="150">
        <v>780000</v>
      </c>
      <c r="N632" s="150">
        <v>780000</v>
      </c>
      <c r="Q632" s="133" t="str">
        <f>IF(INDEX('#建筑消耗和buff配置索引'!K:K,MATCH($F632,'#建筑消耗和buff配置索引'!$M:$M,0))=0,"",INDEX('#建筑消耗和buff配置索引'!K:K,MATCH($F632,'#建筑消耗和buff配置索引'!$M:$M,0)))</f>
        <v>201</v>
      </c>
      <c r="R632" s="133" t="str">
        <f>IF(INDEX('#建筑消耗和buff配置索引'!L:L,MATCH($F632,'#建筑消耗和buff配置索引'!$M:$M,0))=0,"",INDEX('#建筑消耗和buff配置索引'!L:L,MATCH($F632,'#建筑消耗和buff配置索引'!$M:$M,0)))</f>
        <v>15</v>
      </c>
      <c r="S632" s="140">
        <v>3</v>
      </c>
      <c r="T632" s="140">
        <v>0</v>
      </c>
      <c r="U632" s="140">
        <v>0</v>
      </c>
      <c r="AA632" s="133">
        <v>16582</v>
      </c>
      <c r="AB632" s="140">
        <v>10015004</v>
      </c>
      <c r="AC632" s="229">
        <v>0.36</v>
      </c>
    </row>
    <row r="633" spans="1:29">
      <c r="A633" s="140">
        <v>2280016</v>
      </c>
      <c r="B633" s="140">
        <v>408</v>
      </c>
      <c r="C633" s="140">
        <v>228</v>
      </c>
      <c r="D633" s="140" t="s">
        <v>948</v>
      </c>
      <c r="E633" s="140">
        <v>16</v>
      </c>
      <c r="F633" s="133" t="str">
        <f t="shared" si="11"/>
        <v>铁匠铺16</v>
      </c>
      <c r="I633" s="140">
        <v>0</v>
      </c>
      <c r="J633" s="150">
        <v>25920</v>
      </c>
      <c r="K633" s="150">
        <v>1000000</v>
      </c>
      <c r="L633" s="150">
        <v>1000000</v>
      </c>
      <c r="M633" s="150">
        <v>1000000</v>
      </c>
      <c r="N633" s="150">
        <v>1000000</v>
      </c>
      <c r="Q633" s="133" t="str">
        <f>IF(INDEX('#建筑消耗和buff配置索引'!K:K,MATCH($F633,'#建筑消耗和buff配置索引'!$M:$M,0))=0,"",INDEX('#建筑消耗和buff配置索引'!K:K,MATCH($F633,'#建筑消耗和buff配置索引'!$M:$M,0)))</f>
        <v>201</v>
      </c>
      <c r="R633" s="133" t="str">
        <f>IF(INDEX('#建筑消耗和buff配置索引'!L:L,MATCH($F633,'#建筑消耗和buff配置索引'!$M:$M,0))=0,"",INDEX('#建筑消耗和buff配置索引'!L:L,MATCH($F633,'#建筑消耗和buff配置索引'!$M:$M,0)))</f>
        <v>16</v>
      </c>
      <c r="S633" s="140">
        <v>3</v>
      </c>
      <c r="T633" s="140">
        <v>0</v>
      </c>
      <c r="U633" s="140">
        <v>0</v>
      </c>
      <c r="AA633" s="133">
        <v>22432</v>
      </c>
      <c r="AB633" s="140">
        <v>10015004</v>
      </c>
      <c r="AC633" s="229">
        <v>0.39</v>
      </c>
    </row>
    <row r="634" spans="1:29">
      <c r="A634" s="140">
        <v>2280017</v>
      </c>
      <c r="B634" s="140">
        <v>409</v>
      </c>
      <c r="C634" s="140">
        <v>228</v>
      </c>
      <c r="D634" s="140" t="s">
        <v>948</v>
      </c>
      <c r="E634" s="140">
        <v>17</v>
      </c>
      <c r="F634" s="133" t="str">
        <f t="shared" si="11"/>
        <v>铁匠铺17</v>
      </c>
      <c r="I634" s="140">
        <v>0</v>
      </c>
      <c r="J634" s="150">
        <v>34560</v>
      </c>
      <c r="K634" s="150">
        <v>1400000</v>
      </c>
      <c r="L634" s="150">
        <v>1400000</v>
      </c>
      <c r="M634" s="150">
        <v>1400000</v>
      </c>
      <c r="N634" s="150">
        <v>1400000</v>
      </c>
      <c r="Q634" s="133" t="str">
        <f>IF(INDEX('#建筑消耗和buff配置索引'!K:K,MATCH($F634,'#建筑消耗和buff配置索引'!$M:$M,0))=0,"",INDEX('#建筑消耗和buff配置索引'!K:K,MATCH($F634,'#建筑消耗和buff配置索引'!$M:$M,0)))</f>
        <v>201</v>
      </c>
      <c r="R634" s="133" t="str">
        <f>IF(INDEX('#建筑消耗和buff配置索引'!L:L,MATCH($F634,'#建筑消耗和buff配置索引'!$M:$M,0))=0,"",INDEX('#建筑消耗和buff配置索引'!L:L,MATCH($F634,'#建筑消耗和buff配置索引'!$M:$M,0)))</f>
        <v>17</v>
      </c>
      <c r="S634" s="140">
        <v>3</v>
      </c>
      <c r="T634" s="140">
        <v>0</v>
      </c>
      <c r="U634" s="140">
        <v>0</v>
      </c>
      <c r="AA634" s="133">
        <v>29920</v>
      </c>
      <c r="AB634" s="140">
        <v>10015004</v>
      </c>
      <c r="AC634" s="229">
        <v>0.42</v>
      </c>
    </row>
    <row r="635" spans="1:29">
      <c r="A635" s="140">
        <v>2280018</v>
      </c>
      <c r="B635" s="140">
        <v>410</v>
      </c>
      <c r="C635" s="140">
        <v>228</v>
      </c>
      <c r="D635" s="140" t="s">
        <v>948</v>
      </c>
      <c r="E635" s="140">
        <v>18</v>
      </c>
      <c r="F635" s="133" t="str">
        <f t="shared" si="11"/>
        <v>铁匠铺18</v>
      </c>
      <c r="I635" s="140">
        <v>0</v>
      </c>
      <c r="J635" s="150">
        <v>44928</v>
      </c>
      <c r="K635" s="150">
        <v>2400000</v>
      </c>
      <c r="L635" s="150">
        <v>2400000</v>
      </c>
      <c r="M635" s="150">
        <v>2400000</v>
      </c>
      <c r="N635" s="150">
        <v>2400000</v>
      </c>
      <c r="Q635" s="133" t="str">
        <f>IF(INDEX('#建筑消耗和buff配置索引'!K:K,MATCH($F635,'#建筑消耗和buff配置索引'!$M:$M,0))=0,"",INDEX('#建筑消耗和buff配置索引'!K:K,MATCH($F635,'#建筑消耗和buff配置索引'!$M:$M,0)))</f>
        <v>201</v>
      </c>
      <c r="R635" s="133" t="str">
        <f>IF(INDEX('#建筑消耗和buff配置索引'!L:L,MATCH($F635,'#建筑消耗和buff配置索引'!$M:$M,0))=0,"",INDEX('#建筑消耗和buff配置索引'!L:L,MATCH($F635,'#建筑消耗和buff配置索引'!$M:$M,0)))</f>
        <v>18</v>
      </c>
      <c r="S635" s="140">
        <v>3</v>
      </c>
      <c r="T635" s="140">
        <v>0</v>
      </c>
      <c r="U635" s="140">
        <v>0</v>
      </c>
      <c r="X635" s="140" t="s">
        <v>2306</v>
      </c>
      <c r="Y635" s="140" t="s">
        <v>2307</v>
      </c>
      <c r="AA635" s="133">
        <v>39505</v>
      </c>
      <c r="AB635" s="140">
        <v>10015004</v>
      </c>
      <c r="AC635" s="229">
        <v>0.45</v>
      </c>
    </row>
    <row r="636" spans="1:29">
      <c r="A636" s="140">
        <v>2280019</v>
      </c>
      <c r="B636" s="140">
        <v>411</v>
      </c>
      <c r="C636" s="140">
        <v>228</v>
      </c>
      <c r="D636" s="140" t="s">
        <v>948</v>
      </c>
      <c r="E636" s="140">
        <v>19</v>
      </c>
      <c r="F636" s="133" t="str">
        <f t="shared" si="11"/>
        <v>铁匠铺19</v>
      </c>
      <c r="I636" s="140">
        <v>0</v>
      </c>
      <c r="J636" s="150">
        <v>58752</v>
      </c>
      <c r="K636" s="150">
        <v>3100000</v>
      </c>
      <c r="L636" s="150">
        <v>3100000</v>
      </c>
      <c r="M636" s="150">
        <v>3100000</v>
      </c>
      <c r="N636" s="150">
        <v>3100000</v>
      </c>
      <c r="Q636" s="133" t="str">
        <f>IF(INDEX('#建筑消耗和buff配置索引'!K:K,MATCH($F636,'#建筑消耗和buff配置索引'!$M:$M,0))=0,"",INDEX('#建筑消耗和buff配置索引'!K:K,MATCH($F636,'#建筑消耗和buff配置索引'!$M:$M,0)))</f>
        <v>201</v>
      </c>
      <c r="R636" s="133" t="str">
        <f>IF(INDEX('#建筑消耗和buff配置索引'!L:L,MATCH($F636,'#建筑消耗和buff配置索引'!$M:$M,0))=0,"",INDEX('#建筑消耗和buff配置索引'!L:L,MATCH($F636,'#建筑消耗和buff配置索引'!$M:$M,0)))</f>
        <v>19</v>
      </c>
      <c r="S636" s="140">
        <v>3</v>
      </c>
      <c r="T636" s="140">
        <v>0</v>
      </c>
      <c r="U636" s="140">
        <v>0</v>
      </c>
      <c r="AA636" s="133">
        <v>51774</v>
      </c>
      <c r="AB636" s="140">
        <v>10015004</v>
      </c>
      <c r="AC636" s="229">
        <v>0.48</v>
      </c>
    </row>
    <row r="637" spans="1:29">
      <c r="A637" s="140">
        <v>2280020</v>
      </c>
      <c r="B637" s="140">
        <v>412</v>
      </c>
      <c r="C637" s="140">
        <v>228</v>
      </c>
      <c r="D637" s="140" t="s">
        <v>948</v>
      </c>
      <c r="E637" s="140">
        <v>20</v>
      </c>
      <c r="F637" s="133" t="str">
        <f t="shared" si="11"/>
        <v>铁匠铺20</v>
      </c>
      <c r="I637" s="140">
        <v>0</v>
      </c>
      <c r="J637" s="150">
        <v>82944</v>
      </c>
      <c r="K637" s="150">
        <v>3900000</v>
      </c>
      <c r="L637" s="150">
        <v>3900000</v>
      </c>
      <c r="M637" s="150">
        <v>3900000</v>
      </c>
      <c r="N637" s="150">
        <v>3900000</v>
      </c>
      <c r="Q637" s="133" t="str">
        <f>IF(INDEX('#建筑消耗和buff配置索引'!K:K,MATCH($F637,'#建筑消耗和buff配置索引'!$M:$M,0))=0,"",INDEX('#建筑消耗和buff配置索引'!K:K,MATCH($F637,'#建筑消耗和buff配置索引'!$M:$M,0)))</f>
        <v>201</v>
      </c>
      <c r="R637" s="133" t="str">
        <f>IF(INDEX('#建筑消耗和buff配置索引'!L:L,MATCH($F637,'#建筑消耗和buff配置索引'!$M:$M,0))=0,"",INDEX('#建筑消耗和buff配置索引'!L:L,MATCH($F637,'#建筑消耗和buff配置索引'!$M:$M,0)))</f>
        <v>20</v>
      </c>
      <c r="S637" s="140">
        <v>3</v>
      </c>
      <c r="T637" s="140">
        <v>0</v>
      </c>
      <c r="U637" s="140">
        <v>0</v>
      </c>
      <c r="AA637" s="133">
        <v>67477</v>
      </c>
      <c r="AB637" s="140">
        <v>10015004</v>
      </c>
      <c r="AC637" s="229">
        <v>0.52</v>
      </c>
    </row>
    <row r="638" spans="1:29">
      <c r="A638" s="140">
        <v>2280021</v>
      </c>
      <c r="B638" s="140">
        <v>413</v>
      </c>
      <c r="C638" s="140">
        <v>228</v>
      </c>
      <c r="D638" s="140" t="s">
        <v>948</v>
      </c>
      <c r="E638" s="140">
        <v>21</v>
      </c>
      <c r="F638" s="133" t="str">
        <f t="shared" si="11"/>
        <v>铁匠铺21</v>
      </c>
      <c r="I638" s="140">
        <v>0</v>
      </c>
      <c r="J638" s="150">
        <v>110592</v>
      </c>
      <c r="K638" s="150">
        <v>5000000</v>
      </c>
      <c r="L638" s="150">
        <v>5000000</v>
      </c>
      <c r="M638" s="150">
        <v>5000000</v>
      </c>
      <c r="N638" s="150">
        <v>5000000</v>
      </c>
      <c r="Q638" s="133" t="str">
        <f>IF(INDEX('#建筑消耗和buff配置索引'!K:K,MATCH($F638,'#建筑消耗和buff配置索引'!$M:$M,0))=0,"",INDEX('#建筑消耗和buff配置索引'!K:K,MATCH($F638,'#建筑消耗和buff配置索引'!$M:$M,0)))</f>
        <v>201</v>
      </c>
      <c r="R638" s="133" t="str">
        <f>IF(INDEX('#建筑消耗和buff配置索引'!L:L,MATCH($F638,'#建筑消耗和buff配置索引'!$M:$M,0))=0,"",INDEX('#建筑消耗和buff配置索引'!L:L,MATCH($F638,'#建筑消耗和buff配置索引'!$M:$M,0)))</f>
        <v>21</v>
      </c>
      <c r="S638" s="140">
        <v>3</v>
      </c>
      <c r="T638" s="140">
        <v>0</v>
      </c>
      <c r="U638" s="140">
        <v>0</v>
      </c>
      <c r="X638" s="140" t="s">
        <v>1668</v>
      </c>
      <c r="Y638" s="140" t="s">
        <v>1669</v>
      </c>
      <c r="AA638" s="133">
        <v>87578</v>
      </c>
      <c r="AB638" s="140">
        <v>10015004</v>
      </c>
      <c r="AC638" s="229">
        <v>0.56000000000000005</v>
      </c>
    </row>
    <row r="639" spans="1:29">
      <c r="A639" s="140">
        <v>2280022</v>
      </c>
      <c r="B639" s="140">
        <v>414</v>
      </c>
      <c r="C639" s="140">
        <v>228</v>
      </c>
      <c r="D639" s="140" t="s">
        <v>948</v>
      </c>
      <c r="E639" s="140">
        <v>22</v>
      </c>
      <c r="F639" s="133" t="str">
        <f t="shared" si="11"/>
        <v>铁匠铺22</v>
      </c>
      <c r="I639" s="140">
        <v>0</v>
      </c>
      <c r="J639" s="150">
        <v>145152</v>
      </c>
      <c r="K639" s="150">
        <v>6400000</v>
      </c>
      <c r="L639" s="150">
        <v>6400000</v>
      </c>
      <c r="M639" s="150">
        <v>6400000</v>
      </c>
      <c r="N639" s="150">
        <v>6400000</v>
      </c>
      <c r="Q639" s="133" t="str">
        <f>IF(INDEX('#建筑消耗和buff配置索引'!K:K,MATCH($F639,'#建筑消耗和buff配置索引'!$M:$M,0))=0,"",INDEX('#建筑消耗和buff配置索引'!K:K,MATCH($F639,'#建筑消耗和buff配置索引'!$M:$M,0)))</f>
        <v>201</v>
      </c>
      <c r="R639" s="133" t="str">
        <f>IF(INDEX('#建筑消耗和buff配置索引'!L:L,MATCH($F639,'#建筑消耗和buff配置索引'!$M:$M,0))=0,"",INDEX('#建筑消耗和buff配置索引'!L:L,MATCH($F639,'#建筑消耗和buff配置索引'!$M:$M,0)))</f>
        <v>22</v>
      </c>
      <c r="S639" s="140">
        <v>3</v>
      </c>
      <c r="T639" s="140">
        <v>0</v>
      </c>
      <c r="U639" s="140">
        <v>0</v>
      </c>
      <c r="AA639" s="133">
        <v>113308</v>
      </c>
      <c r="AB639" s="140">
        <v>10015004</v>
      </c>
      <c r="AC639" s="229">
        <v>0.6</v>
      </c>
    </row>
    <row r="640" spans="1:29">
      <c r="A640" s="140">
        <v>2280023</v>
      </c>
      <c r="B640" s="140">
        <v>415</v>
      </c>
      <c r="C640" s="140">
        <v>228</v>
      </c>
      <c r="D640" s="140" t="s">
        <v>948</v>
      </c>
      <c r="E640" s="140">
        <v>23</v>
      </c>
      <c r="F640" s="133" t="str">
        <f t="shared" si="11"/>
        <v>铁匠铺23</v>
      </c>
      <c r="I640" s="140">
        <v>0</v>
      </c>
      <c r="J640" s="150">
        <v>186624</v>
      </c>
      <c r="K640" s="150">
        <v>8200000</v>
      </c>
      <c r="L640" s="150">
        <v>8200000</v>
      </c>
      <c r="M640" s="150">
        <v>8200000</v>
      </c>
      <c r="N640" s="150">
        <v>8200000</v>
      </c>
      <c r="Q640" s="133" t="str">
        <f>IF(INDEX('#建筑消耗和buff配置索引'!K:K,MATCH($F640,'#建筑消耗和buff配置索引'!$M:$M,0))=0,"",INDEX('#建筑消耗和buff配置索引'!K:K,MATCH($F640,'#建筑消耗和buff配置索引'!$M:$M,0)))</f>
        <v>201</v>
      </c>
      <c r="R640" s="133" t="str">
        <f>IF(INDEX('#建筑消耗和buff配置索引'!L:L,MATCH($F640,'#建筑消耗和buff配置索引'!$M:$M,0))=0,"",INDEX('#建筑消耗和buff配置索引'!L:L,MATCH($F640,'#建筑消耗和buff配置索引'!$M:$M,0)))</f>
        <v>23</v>
      </c>
      <c r="S640" s="140">
        <v>3</v>
      </c>
      <c r="T640" s="140">
        <v>0</v>
      </c>
      <c r="U640" s="140">
        <v>0</v>
      </c>
      <c r="AA640" s="133">
        <v>146241</v>
      </c>
      <c r="AB640" s="140">
        <v>10015004</v>
      </c>
      <c r="AC640" s="229">
        <v>0.64</v>
      </c>
    </row>
    <row r="641" spans="1:66">
      <c r="A641" s="140">
        <v>2280024</v>
      </c>
      <c r="B641" s="140">
        <v>416</v>
      </c>
      <c r="C641" s="140">
        <v>228</v>
      </c>
      <c r="D641" s="140" t="s">
        <v>948</v>
      </c>
      <c r="E641" s="140">
        <v>24</v>
      </c>
      <c r="F641" s="133" t="str">
        <f t="shared" si="11"/>
        <v>铁匠铺24</v>
      </c>
      <c r="I641" s="140">
        <v>0</v>
      </c>
      <c r="J641" s="150">
        <v>238464</v>
      </c>
      <c r="K641" s="150">
        <v>11000000</v>
      </c>
      <c r="L641" s="150">
        <v>11000000</v>
      </c>
      <c r="M641" s="150">
        <v>11000000</v>
      </c>
      <c r="N641" s="150">
        <v>11000000</v>
      </c>
      <c r="Q641" s="133" t="str">
        <f>IF(INDEX('#建筑消耗和buff配置索引'!K:K,MATCH($F641,'#建筑消耗和buff配置索引'!$M:$M,0))=0,"",INDEX('#建筑消耗和buff配置索引'!K:K,MATCH($F641,'#建筑消耗和buff配置索引'!$M:$M,0)))</f>
        <v>201</v>
      </c>
      <c r="R641" s="133" t="str">
        <f>IF(INDEX('#建筑消耗和buff配置索引'!L:L,MATCH($F641,'#建筑消耗和buff配置索引'!$M:$M,0))=0,"",INDEX('#建筑消耗和buff配置索引'!L:L,MATCH($F641,'#建筑消耗和buff配置索引'!$M:$M,0)))</f>
        <v>24</v>
      </c>
      <c r="S641" s="140">
        <v>3</v>
      </c>
      <c r="T641" s="140">
        <v>0</v>
      </c>
      <c r="U641" s="140">
        <v>0</v>
      </c>
      <c r="X641" s="140" t="s">
        <v>1670</v>
      </c>
      <c r="Y641" s="140" t="s">
        <v>1671</v>
      </c>
      <c r="AA641" s="133">
        <v>188396</v>
      </c>
      <c r="AB641" s="140">
        <v>10015004</v>
      </c>
      <c r="AC641" s="229">
        <v>0.68</v>
      </c>
    </row>
    <row r="642" spans="1:66">
      <c r="A642" s="140">
        <v>2280025</v>
      </c>
      <c r="B642" s="140">
        <v>417</v>
      </c>
      <c r="C642" s="140">
        <v>228</v>
      </c>
      <c r="D642" s="140" t="s">
        <v>948</v>
      </c>
      <c r="E642" s="140">
        <v>25</v>
      </c>
      <c r="F642" s="133" t="str">
        <f t="shared" si="11"/>
        <v>铁匠铺25</v>
      </c>
      <c r="I642" s="140">
        <v>0</v>
      </c>
      <c r="J642" s="150">
        <v>300672</v>
      </c>
      <c r="K642" s="150">
        <v>13000000</v>
      </c>
      <c r="L642" s="150">
        <v>13000000</v>
      </c>
      <c r="M642" s="150">
        <v>13000000</v>
      </c>
      <c r="N642" s="150">
        <v>13000000</v>
      </c>
      <c r="Q642" s="133" t="str">
        <f>IF(INDEX('#建筑消耗和buff配置索引'!K:K,MATCH($F642,'#建筑消耗和buff配置索引'!$M:$M,0))=0,"",INDEX('#建筑消耗和buff配置索引'!K:K,MATCH($F642,'#建筑消耗和buff配置索引'!$M:$M,0)))</f>
        <v>201</v>
      </c>
      <c r="R642" s="133" t="str">
        <f>IF(INDEX('#建筑消耗和buff配置索引'!L:L,MATCH($F642,'#建筑消耗和buff配置索引'!$M:$M,0))=0,"",INDEX('#建筑消耗和buff配置索引'!L:L,MATCH($F642,'#建筑消耗和buff配置索引'!$M:$M,0)))</f>
        <v>25</v>
      </c>
      <c r="S642" s="140">
        <v>3</v>
      </c>
      <c r="T642" s="140">
        <v>0</v>
      </c>
      <c r="U642" s="140">
        <v>0</v>
      </c>
      <c r="AA642" s="133">
        <v>242354</v>
      </c>
      <c r="AB642" s="140">
        <v>10015004</v>
      </c>
      <c r="AC642" s="229">
        <v>0.73</v>
      </c>
    </row>
    <row r="643" spans="1:66">
      <c r="A643" s="140">
        <v>2280026</v>
      </c>
      <c r="B643" s="140">
        <v>418</v>
      </c>
      <c r="C643" s="140">
        <v>228</v>
      </c>
      <c r="D643" s="140" t="s">
        <v>948</v>
      </c>
      <c r="E643" s="140">
        <v>26</v>
      </c>
      <c r="F643" s="133" t="str">
        <f t="shared" si="11"/>
        <v>铁匠铺26</v>
      </c>
      <c r="I643" s="140">
        <v>0</v>
      </c>
      <c r="J643" s="150">
        <v>373248</v>
      </c>
      <c r="K643" s="150">
        <v>17000000</v>
      </c>
      <c r="L643" s="150">
        <v>17000000</v>
      </c>
      <c r="M643" s="150">
        <v>17000000</v>
      </c>
      <c r="N643" s="150">
        <v>17000000</v>
      </c>
      <c r="Q643" s="133" t="str">
        <f>IF(INDEX('#建筑消耗和buff配置索引'!K:K,MATCH($F643,'#建筑消耗和buff配置索引'!$M:$M,0))=0,"",INDEX('#建筑消耗和buff配置索引'!K:K,MATCH($F643,'#建筑消耗和buff配置索引'!$M:$M,0)))</f>
        <v>201</v>
      </c>
      <c r="R643" s="133" t="str">
        <f>IF(INDEX('#建筑消耗和buff配置索引'!L:L,MATCH($F643,'#建筑消耗和buff配置索引'!$M:$M,0))=0,"",INDEX('#建筑消耗和buff配置索引'!L:L,MATCH($F643,'#建筑消耗和buff配置索引'!$M:$M,0)))</f>
        <v>26</v>
      </c>
      <c r="S643" s="140">
        <v>3</v>
      </c>
      <c r="T643" s="140">
        <v>0</v>
      </c>
      <c r="U643" s="140">
        <v>0</v>
      </c>
      <c r="AA643" s="133">
        <v>311420</v>
      </c>
      <c r="AB643" s="140">
        <v>10015004</v>
      </c>
      <c r="AC643" s="229">
        <v>0.78</v>
      </c>
    </row>
    <row r="644" spans="1:66">
      <c r="A644" s="140">
        <v>2280027</v>
      </c>
      <c r="B644" s="140">
        <v>419</v>
      </c>
      <c r="C644" s="140">
        <v>228</v>
      </c>
      <c r="D644" s="140" t="s">
        <v>948</v>
      </c>
      <c r="E644" s="140">
        <v>27</v>
      </c>
      <c r="F644" s="133" t="str">
        <f t="shared" si="11"/>
        <v>铁匠铺27</v>
      </c>
      <c r="I644" s="140">
        <v>0</v>
      </c>
      <c r="J644" s="150">
        <v>456192</v>
      </c>
      <c r="K644" s="150">
        <v>22000000</v>
      </c>
      <c r="L644" s="150">
        <v>22000000</v>
      </c>
      <c r="M644" s="150">
        <v>22000000</v>
      </c>
      <c r="N644" s="150">
        <v>22000000</v>
      </c>
      <c r="Q644" s="133" t="str">
        <f>IF(INDEX('#建筑消耗和buff配置索引'!K:K,MATCH($F644,'#建筑消耗和buff配置索引'!$M:$M,0))=0,"",INDEX('#建筑消耗和buff配置索引'!K:K,MATCH($F644,'#建筑消耗和buff配置索引'!$M:$M,0)))</f>
        <v>201</v>
      </c>
      <c r="R644" s="133" t="str">
        <f>IF(INDEX('#建筑消耗和buff配置索引'!L:L,MATCH($F644,'#建筑消耗和buff配置索引'!$M:$M,0))=0,"",INDEX('#建筑消耗和buff配置索引'!L:L,MATCH($F644,'#建筑消耗和buff配置索引'!$M:$M,0)))</f>
        <v>27</v>
      </c>
      <c r="S644" s="140">
        <v>3</v>
      </c>
      <c r="T644" s="140">
        <v>0</v>
      </c>
      <c r="U644" s="140">
        <v>0</v>
      </c>
      <c r="AA644" s="133">
        <v>399825</v>
      </c>
      <c r="AB644" s="140">
        <v>10015004</v>
      </c>
      <c r="AC644" s="229">
        <v>0.83</v>
      </c>
    </row>
    <row r="645" spans="1:66">
      <c r="A645" s="140">
        <v>2280028</v>
      </c>
      <c r="B645" s="140">
        <v>420</v>
      </c>
      <c r="C645" s="140">
        <v>228</v>
      </c>
      <c r="D645" s="140" t="s">
        <v>948</v>
      </c>
      <c r="E645" s="140">
        <v>28</v>
      </c>
      <c r="F645" s="133" t="str">
        <f t="shared" si="11"/>
        <v>铁匠铺28</v>
      </c>
      <c r="I645" s="140">
        <v>0</v>
      </c>
      <c r="J645" s="150">
        <v>559872</v>
      </c>
      <c r="K645" s="150">
        <v>28000000</v>
      </c>
      <c r="L645" s="150">
        <v>28000000</v>
      </c>
      <c r="M645" s="150">
        <v>28000000</v>
      </c>
      <c r="N645" s="150">
        <v>28000000</v>
      </c>
      <c r="Q645" s="133" t="str">
        <f>IF(INDEX('#建筑消耗和buff配置索引'!K:K,MATCH($F645,'#建筑消耗和buff配置索引'!$M:$M,0))=0,"",INDEX('#建筑消耗和buff配置索引'!K:K,MATCH($F645,'#建筑消耗和buff配置索引'!$M:$M,0)))</f>
        <v>201</v>
      </c>
      <c r="R645" s="133" t="str">
        <f>IF(INDEX('#建筑消耗和buff配置索引'!L:L,MATCH($F645,'#建筑消耗和buff配置索引'!$M:$M,0))=0,"",INDEX('#建筑消耗和buff配置索引'!L:L,MATCH($F645,'#建筑消耗和buff配置索引'!$M:$M,0)))</f>
        <v>28</v>
      </c>
      <c r="S645" s="140">
        <v>3</v>
      </c>
      <c r="T645" s="140">
        <v>0</v>
      </c>
      <c r="U645" s="140">
        <v>0</v>
      </c>
      <c r="AA645" s="133">
        <v>512983</v>
      </c>
      <c r="AB645" s="140">
        <v>10015004</v>
      </c>
      <c r="AC645" s="229">
        <v>0.88</v>
      </c>
    </row>
    <row r="646" spans="1:66">
      <c r="A646" s="140">
        <v>2280029</v>
      </c>
      <c r="B646" s="140">
        <v>421</v>
      </c>
      <c r="C646" s="140">
        <v>228</v>
      </c>
      <c r="D646" s="140" t="s">
        <v>948</v>
      </c>
      <c r="E646" s="140">
        <v>29</v>
      </c>
      <c r="F646" s="133" t="str">
        <f t="shared" si="11"/>
        <v>铁匠铺29</v>
      </c>
      <c r="I646" s="140">
        <v>0</v>
      </c>
      <c r="J646" s="150">
        <v>684288</v>
      </c>
      <c r="K646" s="150">
        <v>36000000</v>
      </c>
      <c r="L646" s="150">
        <v>36000000</v>
      </c>
      <c r="M646" s="150">
        <v>36000000</v>
      </c>
      <c r="N646" s="150">
        <v>36000000</v>
      </c>
      <c r="Q646" s="133" t="str">
        <f>IF(INDEX('#建筑消耗和buff配置索引'!K:K,MATCH($F646,'#建筑消耗和buff配置索引'!$M:$M,0))=0,"",INDEX('#建筑消耗和buff配置索引'!K:K,MATCH($F646,'#建筑消耗和buff配置索引'!$M:$M,0)))</f>
        <v>201</v>
      </c>
      <c r="R646" s="133" t="str">
        <f>IF(INDEX('#建筑消耗和buff配置索引'!L:L,MATCH($F646,'#建筑消耗和buff配置索引'!$M:$M,0))=0,"",INDEX('#建筑消耗和buff配置索引'!L:L,MATCH($F646,'#建筑消耗和buff配置索引'!$M:$M,0)))</f>
        <v>29</v>
      </c>
      <c r="S646" s="140">
        <v>3</v>
      </c>
      <c r="T646" s="140">
        <v>0</v>
      </c>
      <c r="U646" s="140">
        <v>0</v>
      </c>
      <c r="AA646" s="133">
        <v>657825</v>
      </c>
      <c r="AB646" s="140">
        <v>10015004</v>
      </c>
      <c r="AC646" s="229">
        <v>0.94</v>
      </c>
    </row>
    <row r="647" spans="1:66">
      <c r="A647" s="140">
        <v>2280030</v>
      </c>
      <c r="B647" s="140">
        <v>422</v>
      </c>
      <c r="C647" s="140">
        <v>228</v>
      </c>
      <c r="D647" s="140" t="s">
        <v>948</v>
      </c>
      <c r="E647" s="140">
        <v>30</v>
      </c>
      <c r="F647" s="133" t="str">
        <f t="shared" si="11"/>
        <v>铁匠铺30</v>
      </c>
      <c r="I647" s="140">
        <v>0</v>
      </c>
      <c r="J647" s="150">
        <v>829440</v>
      </c>
      <c r="K647" s="150">
        <v>46000000</v>
      </c>
      <c r="L647" s="150">
        <v>46000000</v>
      </c>
      <c r="M647" s="150">
        <v>46000000</v>
      </c>
      <c r="N647" s="150">
        <v>46000000</v>
      </c>
      <c r="Q647" s="133" t="str">
        <f>IF(INDEX('#建筑消耗和buff配置索引'!K:K,MATCH($F647,'#建筑消耗和buff配置索引'!$M:$M,0))=0,"",INDEX('#建筑消耗和buff配置索引'!K:K,MATCH($F647,'#建筑消耗和buff配置索引'!$M:$M,0)))</f>
        <v>201</v>
      </c>
      <c r="R647" s="133" t="str">
        <f>IF(INDEX('#建筑消耗和buff配置索引'!L:L,MATCH($F647,'#建筑消耗和buff配置索引'!$M:$M,0))=0,"",INDEX('#建筑消耗和buff配置索引'!L:L,MATCH($F647,'#建筑消耗和buff配置索引'!$M:$M,0)))</f>
        <v>30</v>
      </c>
      <c r="S647" s="140">
        <v>3</v>
      </c>
      <c r="T647" s="140">
        <v>0</v>
      </c>
      <c r="U647" s="140">
        <v>0</v>
      </c>
      <c r="AA647" s="133">
        <v>843223</v>
      </c>
      <c r="AB647" s="140">
        <v>10015004</v>
      </c>
      <c r="AC647" s="229">
        <v>1.01</v>
      </c>
    </row>
    <row r="648" spans="1:66" s="139" customFormat="1" ht="16.5">
      <c r="A648" s="140">
        <v>4090001</v>
      </c>
      <c r="B648" s="140">
        <v>395</v>
      </c>
      <c r="C648" s="140">
        <v>409</v>
      </c>
      <c r="D648" s="140" t="s">
        <v>1672</v>
      </c>
      <c r="E648" s="140">
        <v>1</v>
      </c>
      <c r="F648" s="140" t="s">
        <v>1672</v>
      </c>
      <c r="G648" s="164"/>
      <c r="H648" s="165"/>
      <c r="I648" s="160" t="s">
        <v>1205</v>
      </c>
      <c r="J648" s="160">
        <v>1</v>
      </c>
      <c r="K648" s="160"/>
      <c r="L648" s="160">
        <v>100</v>
      </c>
      <c r="M648" s="160">
        <v>0</v>
      </c>
      <c r="N648" s="160">
        <v>0</v>
      </c>
      <c r="O648" s="164"/>
      <c r="P648" s="164"/>
      <c r="Q648" s="160">
        <v>201</v>
      </c>
      <c r="R648" s="160">
        <v>1</v>
      </c>
      <c r="S648" s="160">
        <v>1</v>
      </c>
      <c r="T648" s="160">
        <v>0</v>
      </c>
      <c r="U648" s="160">
        <v>0</v>
      </c>
      <c r="V648" s="133"/>
      <c r="W648" s="133"/>
      <c r="X648" s="164"/>
      <c r="AA648" s="164">
        <v>0</v>
      </c>
      <c r="AB648" s="160"/>
      <c r="AC648" s="160"/>
      <c r="AD648" s="160"/>
      <c r="AE648" s="160"/>
      <c r="AF648" s="160"/>
      <c r="AG648" s="164"/>
      <c r="AH648" s="164"/>
      <c r="AI648" s="164"/>
      <c r="AJ648" s="164"/>
      <c r="AK648" s="164"/>
      <c r="AL648" s="164"/>
      <c r="AM648" s="164"/>
      <c r="AN648" s="164"/>
      <c r="AO648" s="164"/>
      <c r="AP648" s="164"/>
      <c r="AQ648" s="164"/>
      <c r="AR648" s="164"/>
      <c r="AS648" s="164"/>
      <c r="AT648" s="164"/>
      <c r="AU648" s="164"/>
      <c r="AV648" s="164"/>
      <c r="AW648" s="164"/>
      <c r="AX648" s="164"/>
      <c r="AY648" s="164"/>
      <c r="AZ648" s="164"/>
      <c r="BA648" s="164"/>
      <c r="BB648" s="164"/>
      <c r="BC648" s="164"/>
      <c r="BD648" s="164"/>
      <c r="BE648" s="164"/>
      <c r="BF648" s="164"/>
      <c r="BG648" s="164"/>
      <c r="BI648" s="160">
        <v>23</v>
      </c>
      <c r="BK648" s="168"/>
    </row>
    <row r="649" spans="1:66">
      <c r="A649" s="140">
        <v>4100001</v>
      </c>
      <c r="B649" s="140">
        <v>424</v>
      </c>
      <c r="C649" s="140">
        <v>410</v>
      </c>
      <c r="D649" s="140" t="s">
        <v>2308</v>
      </c>
      <c r="E649" s="140">
        <v>1</v>
      </c>
      <c r="F649" s="140" t="s">
        <v>2309</v>
      </c>
      <c r="I649" s="140">
        <v>0</v>
      </c>
      <c r="J649" s="142">
        <v>25</v>
      </c>
      <c r="K649" s="142">
        <v>0</v>
      </c>
      <c r="L649" s="142">
        <v>0</v>
      </c>
      <c r="M649" s="142">
        <v>0</v>
      </c>
      <c r="N649" s="142">
        <v>0</v>
      </c>
      <c r="Q649" s="141" t="s">
        <v>2310</v>
      </c>
      <c r="R649" s="141" t="s">
        <v>2318</v>
      </c>
      <c r="S649" s="140">
        <v>5</v>
      </c>
      <c r="T649" s="140">
        <v>0</v>
      </c>
      <c r="U649" s="140">
        <v>0</v>
      </c>
      <c r="AA649" s="140">
        <v>0</v>
      </c>
      <c r="BN649" s="140">
        <v>3</v>
      </c>
    </row>
  </sheetData>
  <autoFilter ref="A3:BI648" xr:uid="{00000000-0009-0000-0000-000006000000}">
    <sortState xmlns:xlrd2="http://schemas.microsoft.com/office/spreadsheetml/2017/richdata2" ref="A3:BI648">
      <sortCondition ref="A3:A505"/>
    </sortState>
  </autoFilter>
  <phoneticPr fontId="23" type="noConversion"/>
  <conditionalFormatting sqref="A1:A580 A582:A615 A618:A647 A650:A1048576">
    <cfRule type="duplicateValues" dxfId="15" priority="53"/>
  </conditionalFormatting>
  <conditionalFormatting sqref="A581">
    <cfRule type="duplicateValues" dxfId="14" priority="20"/>
  </conditionalFormatting>
  <conditionalFormatting sqref="A616">
    <cfRule type="duplicateValues" dxfId="13" priority="21"/>
  </conditionalFormatting>
  <conditionalFormatting sqref="A617">
    <cfRule type="duplicateValues" dxfId="12" priority="7"/>
  </conditionalFormatting>
  <conditionalFormatting sqref="A648">
    <cfRule type="duplicateValues" dxfId="11" priority="3"/>
  </conditionalFormatting>
  <conditionalFormatting sqref="A649">
    <cfRule type="duplicateValues" dxfId="10" priority="1"/>
  </conditionalFormatting>
  <conditionalFormatting sqref="V4:W617">
    <cfRule type="cellIs" dxfId="9" priority="46" operator="equal">
      <formula>8</formula>
    </cfRule>
  </conditionalFormatting>
  <conditionalFormatting sqref="V648:W648">
    <cfRule type="cellIs" dxfId="8" priority="4" operator="equal">
      <formula>8</formula>
    </cfRule>
  </conditionalFormatting>
  <conditionalFormatting sqref="X306:Z306 X308:Z308 X311:Z311 X314:Z314 X317:Z317 X319:Z319 X322:Z322 X325:Z325 X327:Z327 X329:Z329 X332:Z332 X335:Z335">
    <cfRule type="duplicateValues" dxfId="7" priority="52"/>
  </conditionalFormatting>
  <conditionalFormatting sqref="X312:Z312">
    <cfRule type="duplicateValues" dxfId="6" priority="50"/>
  </conditionalFormatting>
  <conditionalFormatting sqref="X321:Z321">
    <cfRule type="duplicateValues" dxfId="5" priority="51"/>
  </conditionalFormatting>
  <conditionalFormatting sqref="X331:Z331">
    <cfRule type="duplicateValues" dxfId="4" priority="18"/>
  </conditionalFormatting>
  <conditionalFormatting sqref="X614:Z614">
    <cfRule type="duplicateValues" dxfId="3" priority="44"/>
  </conditionalFormatting>
  <conditionalFormatting sqref="AC617:AD617">
    <cfRule type="duplicateValues" dxfId="2" priority="5"/>
  </conditionalFormatting>
  <conditionalFormatting sqref="AC648:AD648">
    <cfRule type="duplicateValues" dxfId="1" priority="2"/>
  </conditionalFormatting>
  <conditionalFormatting sqref="AD518:AE518 AH518:AI518 AD216:AE245 AH216:AI245">
    <cfRule type="duplicateValues" dxfId="0" priority="49"/>
  </conditionalFormatting>
  <pageMargins left="0.69930555555555596" right="0.69930555555555596" top="0.75" bottom="0.75" header="0.3" footer="0.3"/>
  <pageSetup paperSize="9" orientation="portrait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4"/>
  <sheetViews>
    <sheetView workbookViewId="0">
      <selection activeCell="J30" sqref="J30"/>
    </sheetView>
  </sheetViews>
  <sheetFormatPr defaultColWidth="9" defaultRowHeight="14"/>
  <cols>
    <col min="1" max="1" width="7.08203125" customWidth="1"/>
    <col min="2" max="2" width="8.33203125" customWidth="1"/>
    <col min="3" max="3" width="13" customWidth="1"/>
    <col min="4" max="4" width="13.33203125" customWidth="1"/>
    <col min="5" max="5" width="14.33203125" customWidth="1"/>
    <col min="6" max="6" width="13" customWidth="1"/>
    <col min="7" max="7" width="16.25" customWidth="1"/>
    <col min="8" max="8" width="15.33203125" customWidth="1"/>
    <col min="9" max="9" width="13" customWidth="1"/>
    <col min="10" max="10" width="15.58203125" customWidth="1"/>
    <col min="11" max="11" width="14.58203125" customWidth="1"/>
    <col min="12" max="12" width="17.33203125" customWidth="1"/>
  </cols>
  <sheetData>
    <row r="1" spans="1:12" ht="14.5">
      <c r="A1" s="119" t="s">
        <v>689</v>
      </c>
    </row>
    <row r="2" spans="1:12" ht="14.5">
      <c r="A2" s="45" t="s">
        <v>690</v>
      </c>
      <c r="B2" s="45" t="s">
        <v>691</v>
      </c>
      <c r="C2" s="45" t="s">
        <v>692</v>
      </c>
      <c r="D2" s="45" t="s">
        <v>693</v>
      </c>
      <c r="E2" s="45" t="s">
        <v>694</v>
      </c>
      <c r="F2" s="45" t="s">
        <v>695</v>
      </c>
      <c r="G2" s="45" t="s">
        <v>696</v>
      </c>
      <c r="H2" s="45" t="s">
        <v>697</v>
      </c>
      <c r="I2" s="45" t="s">
        <v>698</v>
      </c>
      <c r="J2" s="45" t="s">
        <v>699</v>
      </c>
      <c r="K2" s="45" t="s">
        <v>700</v>
      </c>
      <c r="L2" s="45" t="s">
        <v>701</v>
      </c>
    </row>
    <row r="3" spans="1:12" ht="14.5">
      <c r="A3" s="89" t="s">
        <v>702</v>
      </c>
      <c r="B3" s="89" t="s">
        <v>703</v>
      </c>
      <c r="D3" s="89" t="s">
        <v>704</v>
      </c>
      <c r="E3" s="89" t="s">
        <v>705</v>
      </c>
      <c r="F3" s="89" t="s">
        <v>706</v>
      </c>
      <c r="G3" s="89" t="s">
        <v>707</v>
      </c>
      <c r="H3" s="89" t="s">
        <v>708</v>
      </c>
      <c r="I3" s="89" t="s">
        <v>709</v>
      </c>
      <c r="J3" s="89" t="s">
        <v>710</v>
      </c>
      <c r="K3" s="89" t="s">
        <v>711</v>
      </c>
      <c r="L3" s="89" t="s">
        <v>712</v>
      </c>
    </row>
    <row r="4" spans="1:12" ht="14.5">
      <c r="A4" s="91">
        <v>1</v>
      </c>
      <c r="B4" s="47">
        <v>202</v>
      </c>
      <c r="C4" s="47" t="s">
        <v>154</v>
      </c>
      <c r="D4" s="91" t="s">
        <v>1673</v>
      </c>
      <c r="E4" s="91" t="s">
        <v>1674</v>
      </c>
      <c r="F4" s="91" t="s">
        <v>1247</v>
      </c>
      <c r="G4" s="91" t="s">
        <v>1675</v>
      </c>
      <c r="H4" s="91" t="s">
        <v>1676</v>
      </c>
      <c r="I4" s="91" t="s">
        <v>1677</v>
      </c>
      <c r="J4" s="91" t="s">
        <v>1678</v>
      </c>
      <c r="K4" s="125" t="s">
        <v>1679</v>
      </c>
      <c r="L4" s="91" t="s">
        <v>1680</v>
      </c>
    </row>
    <row r="5" spans="1:12" ht="14.5">
      <c r="A5" s="126">
        <v>6</v>
      </c>
      <c r="B5" s="126">
        <v>208</v>
      </c>
      <c r="C5" s="126" t="s">
        <v>589</v>
      </c>
      <c r="D5" s="126">
        <v>53</v>
      </c>
      <c r="E5" s="126">
        <v>50</v>
      </c>
      <c r="F5" s="126">
        <v>1</v>
      </c>
      <c r="G5" s="126">
        <v>20</v>
      </c>
      <c r="H5" s="126">
        <v>35</v>
      </c>
      <c r="I5" s="126">
        <v>63</v>
      </c>
      <c r="J5" s="126">
        <v>68</v>
      </c>
      <c r="K5" s="129">
        <v>1</v>
      </c>
      <c r="L5" s="126">
        <v>8</v>
      </c>
    </row>
    <row r="6" spans="1:12" ht="14.5">
      <c r="A6" s="91">
        <v>7</v>
      </c>
      <c r="B6" s="47">
        <v>215</v>
      </c>
      <c r="C6" s="47" t="s">
        <v>418</v>
      </c>
      <c r="D6" s="91" t="s">
        <v>1681</v>
      </c>
      <c r="E6" s="91" t="s">
        <v>1682</v>
      </c>
      <c r="F6" s="91" t="s">
        <v>1247</v>
      </c>
      <c r="G6" s="91" t="s">
        <v>1683</v>
      </c>
      <c r="H6" s="91" t="s">
        <v>1684</v>
      </c>
      <c r="I6" s="91" t="s">
        <v>1685</v>
      </c>
      <c r="J6" s="91" t="s">
        <v>1686</v>
      </c>
      <c r="K6" s="125" t="s">
        <v>1679</v>
      </c>
      <c r="L6" s="91" t="s">
        <v>1687</v>
      </c>
    </row>
    <row r="7" spans="1:12" ht="14.5">
      <c r="A7" s="91">
        <v>8</v>
      </c>
      <c r="B7" s="47">
        <v>222</v>
      </c>
      <c r="C7" s="47" t="s">
        <v>442</v>
      </c>
      <c r="D7" s="91" t="s">
        <v>1673</v>
      </c>
      <c r="E7" s="91" t="s">
        <v>1674</v>
      </c>
      <c r="F7" s="91" t="s">
        <v>1247</v>
      </c>
      <c r="G7" s="91" t="s">
        <v>1675</v>
      </c>
      <c r="H7" s="91" t="s">
        <v>1676</v>
      </c>
      <c r="I7" s="91" t="s">
        <v>1677</v>
      </c>
      <c r="J7" s="91" t="s">
        <v>1678</v>
      </c>
      <c r="K7" s="125" t="s">
        <v>1679</v>
      </c>
      <c r="L7" s="91" t="s">
        <v>1680</v>
      </c>
    </row>
    <row r="8" spans="1:12" ht="14.5">
      <c r="A8" s="91">
        <v>10</v>
      </c>
      <c r="B8" s="47">
        <v>226</v>
      </c>
      <c r="C8" s="127" t="s">
        <v>469</v>
      </c>
      <c r="D8" s="91" t="s">
        <v>1681</v>
      </c>
      <c r="E8" s="91" t="s">
        <v>1682</v>
      </c>
      <c r="F8" s="91" t="s">
        <v>1247</v>
      </c>
      <c r="G8" s="91" t="s">
        <v>1683</v>
      </c>
      <c r="H8" s="91" t="s">
        <v>1684</v>
      </c>
      <c r="I8" s="91" t="s">
        <v>1685</v>
      </c>
      <c r="J8" s="91" t="s">
        <v>1686</v>
      </c>
      <c r="K8" s="125" t="s">
        <v>1679</v>
      </c>
      <c r="L8" s="91" t="s">
        <v>1687</v>
      </c>
    </row>
    <row r="9" spans="1:12" ht="14.5">
      <c r="A9" s="91">
        <v>11</v>
      </c>
      <c r="B9" s="91">
        <v>227</v>
      </c>
      <c r="C9" s="128" t="s">
        <v>493</v>
      </c>
      <c r="D9" s="91" t="s">
        <v>1681</v>
      </c>
      <c r="E9" s="91" t="s">
        <v>1682</v>
      </c>
      <c r="F9" s="91" t="s">
        <v>1247</v>
      </c>
      <c r="G9" s="91" t="s">
        <v>1683</v>
      </c>
      <c r="H9" s="91" t="s">
        <v>1684</v>
      </c>
      <c r="I9" s="91" t="s">
        <v>1685</v>
      </c>
      <c r="J9" s="91" t="s">
        <v>1686</v>
      </c>
      <c r="K9" s="125" t="s">
        <v>1679</v>
      </c>
      <c r="L9" s="91" t="s">
        <v>1687</v>
      </c>
    </row>
    <row r="10" spans="1:12" ht="14.5">
      <c r="A10" s="91">
        <v>13</v>
      </c>
      <c r="B10" s="47">
        <v>235</v>
      </c>
      <c r="C10" s="47" t="s">
        <v>601</v>
      </c>
      <c r="D10" s="91" t="s">
        <v>1681</v>
      </c>
      <c r="E10" s="91" t="s">
        <v>1682</v>
      </c>
      <c r="F10" s="91" t="s">
        <v>1247</v>
      </c>
      <c r="G10" s="91" t="s">
        <v>1683</v>
      </c>
      <c r="H10" s="91" t="s">
        <v>1684</v>
      </c>
      <c r="I10" s="91" t="s">
        <v>1685</v>
      </c>
      <c r="J10" s="91" t="s">
        <v>1686</v>
      </c>
      <c r="K10" s="125" t="s">
        <v>1679</v>
      </c>
      <c r="L10" s="91" t="s">
        <v>1687</v>
      </c>
    </row>
    <row r="11" spans="1:12" ht="14.5">
      <c r="A11" s="91">
        <v>14</v>
      </c>
      <c r="B11" s="47">
        <v>236</v>
      </c>
      <c r="C11" s="47" t="s">
        <v>1688</v>
      </c>
      <c r="D11" s="91" t="s">
        <v>1681</v>
      </c>
      <c r="E11" s="91" t="s">
        <v>1682</v>
      </c>
      <c r="F11" s="91" t="s">
        <v>1247</v>
      </c>
      <c r="G11" s="91" t="s">
        <v>1683</v>
      </c>
      <c r="H11" s="91" t="s">
        <v>1684</v>
      </c>
      <c r="I11" s="91" t="s">
        <v>1685</v>
      </c>
      <c r="J11" s="91" t="s">
        <v>1686</v>
      </c>
      <c r="K11" s="125" t="s">
        <v>1679</v>
      </c>
      <c r="L11" s="91" t="s">
        <v>1687</v>
      </c>
    </row>
    <row r="12" spans="1:12" ht="14.5">
      <c r="A12" s="91">
        <v>15</v>
      </c>
      <c r="B12" s="91">
        <v>201</v>
      </c>
      <c r="C12" s="91" t="s">
        <v>66</v>
      </c>
      <c r="D12" s="91" t="s">
        <v>1673</v>
      </c>
      <c r="E12" s="91" t="s">
        <v>1674</v>
      </c>
      <c r="F12" s="91" t="s">
        <v>1247</v>
      </c>
      <c r="G12" s="91" t="s">
        <v>1675</v>
      </c>
      <c r="H12" s="91" t="s">
        <v>1676</v>
      </c>
      <c r="I12" s="91" t="s">
        <v>1677</v>
      </c>
      <c r="J12" s="91" t="s">
        <v>1678</v>
      </c>
      <c r="K12" s="125" t="s">
        <v>1679</v>
      </c>
      <c r="L12" s="91" t="s">
        <v>1680</v>
      </c>
    </row>
    <row r="13" spans="1:12" ht="14.5">
      <c r="A13" s="91">
        <v>16</v>
      </c>
      <c r="B13" s="91">
        <v>206</v>
      </c>
      <c r="C13" s="91" t="s">
        <v>293</v>
      </c>
      <c r="D13" s="91" t="s">
        <v>1673</v>
      </c>
      <c r="E13" s="91" t="s">
        <v>1674</v>
      </c>
      <c r="F13" s="91" t="s">
        <v>1247</v>
      </c>
      <c r="G13" s="91" t="s">
        <v>1675</v>
      </c>
      <c r="H13" s="91" t="s">
        <v>1676</v>
      </c>
      <c r="I13" s="91" t="s">
        <v>1677</v>
      </c>
      <c r="J13" s="91" t="s">
        <v>1678</v>
      </c>
      <c r="K13" s="125" t="s">
        <v>1679</v>
      </c>
      <c r="L13" s="91" t="s">
        <v>1680</v>
      </c>
    </row>
    <row r="14" spans="1:12" ht="14.5">
      <c r="A14" s="91">
        <v>19</v>
      </c>
      <c r="B14" s="91">
        <v>232</v>
      </c>
      <c r="C14" s="91" t="s">
        <v>319</v>
      </c>
      <c r="D14" s="91" t="s">
        <v>1673</v>
      </c>
      <c r="E14" s="91" t="s">
        <v>1674</v>
      </c>
      <c r="F14" s="91" t="s">
        <v>1247</v>
      </c>
      <c r="G14" s="91" t="s">
        <v>1675</v>
      </c>
      <c r="H14" s="91" t="s">
        <v>1676</v>
      </c>
      <c r="I14" s="91" t="s">
        <v>1677</v>
      </c>
      <c r="J14" s="91" t="s">
        <v>1678</v>
      </c>
      <c r="K14" s="125" t="s">
        <v>1679</v>
      </c>
      <c r="L14" s="91" t="s">
        <v>1680</v>
      </c>
    </row>
  </sheetData>
  <phoneticPr fontId="2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defaultColWidth="9" defaultRowHeight="14"/>
  <cols>
    <col min="1" max="1" width="7.08203125" customWidth="1"/>
    <col min="2" max="2" width="8.33203125" customWidth="1"/>
    <col min="3" max="3" width="13" customWidth="1"/>
    <col min="4" max="4" width="19.58203125" customWidth="1"/>
    <col min="5" max="5" width="18.58203125" customWidth="1"/>
    <col min="6" max="6" width="13" customWidth="1"/>
    <col min="7" max="7" width="16.25" customWidth="1"/>
    <col min="8" max="9" width="13" customWidth="1"/>
    <col min="10" max="10" width="19.58203125" customWidth="1"/>
    <col min="11" max="11" width="41.25" customWidth="1"/>
    <col min="12" max="12" width="14.58203125" customWidth="1"/>
    <col min="13" max="13" width="17.33203125" customWidth="1"/>
  </cols>
  <sheetData>
    <row r="1" spans="1:13" ht="14.5">
      <c r="A1" s="119" t="s">
        <v>1689</v>
      </c>
    </row>
    <row r="2" spans="1:13" ht="14.5">
      <c r="A2" s="45" t="s">
        <v>690</v>
      </c>
      <c r="B2" s="45" t="s">
        <v>691</v>
      </c>
      <c r="C2" s="45" t="s">
        <v>692</v>
      </c>
      <c r="D2" s="45" t="s">
        <v>1690</v>
      </c>
      <c r="E2" s="45" t="s">
        <v>1691</v>
      </c>
      <c r="F2" s="45" t="s">
        <v>1692</v>
      </c>
      <c r="G2" s="120" t="s">
        <v>1693</v>
      </c>
      <c r="H2" s="121"/>
      <c r="I2" s="124"/>
      <c r="J2" s="45" t="s">
        <v>1694</v>
      </c>
      <c r="K2" s="45" t="s">
        <v>1695</v>
      </c>
    </row>
    <row r="3" spans="1:13" ht="14.5">
      <c r="A3" s="89" t="s">
        <v>702</v>
      </c>
      <c r="B3" s="89" t="s">
        <v>703</v>
      </c>
      <c r="D3" s="89" t="s">
        <v>1696</v>
      </c>
      <c r="E3" s="89" t="s">
        <v>1697</v>
      </c>
      <c r="F3" s="89" t="s">
        <v>1698</v>
      </c>
      <c r="G3" s="89" t="s">
        <v>1699</v>
      </c>
      <c r="H3" s="89" t="s">
        <v>1700</v>
      </c>
      <c r="I3" s="89" t="s">
        <v>1701</v>
      </c>
      <c r="J3" s="89" t="s">
        <v>1702</v>
      </c>
      <c r="K3" s="89" t="s">
        <v>1703</v>
      </c>
    </row>
    <row r="4" spans="1:13" ht="14.5">
      <c r="A4" s="91">
        <v>1</v>
      </c>
      <c r="B4" s="47">
        <v>202</v>
      </c>
      <c r="C4" s="47" t="s">
        <v>154</v>
      </c>
      <c r="D4" s="91">
        <v>1</v>
      </c>
      <c r="E4" s="91">
        <v>25</v>
      </c>
      <c r="F4" s="91">
        <v>2</v>
      </c>
      <c r="G4" s="91">
        <v>30</v>
      </c>
      <c r="H4" s="91">
        <v>9</v>
      </c>
      <c r="I4" s="91">
        <v>-12</v>
      </c>
      <c r="J4" s="91">
        <v>6</v>
      </c>
      <c r="K4" s="91">
        <v>4</v>
      </c>
      <c r="L4" s="125"/>
    </row>
    <row r="5" spans="1:13" ht="14.5">
      <c r="A5" s="91">
        <v>2</v>
      </c>
      <c r="B5" s="91">
        <v>201</v>
      </c>
      <c r="C5" s="91" t="s">
        <v>66</v>
      </c>
      <c r="D5" s="91">
        <v>1</v>
      </c>
      <c r="E5" s="91">
        <v>25</v>
      </c>
      <c r="F5" s="91">
        <v>2</v>
      </c>
      <c r="G5" s="91">
        <v>30</v>
      </c>
      <c r="H5" s="91">
        <v>19</v>
      </c>
      <c r="I5" s="91">
        <v>-12</v>
      </c>
      <c r="J5" s="91">
        <v>6</v>
      </c>
      <c r="K5" s="91">
        <v>4</v>
      </c>
      <c r="L5" s="125"/>
      <c r="M5" s="91"/>
    </row>
    <row r="6" spans="1:13" ht="14.5">
      <c r="A6" s="91">
        <v>3</v>
      </c>
      <c r="B6" s="47">
        <v>206</v>
      </c>
      <c r="C6" s="47" t="s">
        <v>293</v>
      </c>
      <c r="D6" s="91">
        <v>1</v>
      </c>
      <c r="E6" s="91">
        <v>25</v>
      </c>
      <c r="F6" s="91">
        <v>2</v>
      </c>
      <c r="G6" s="91">
        <v>27</v>
      </c>
      <c r="H6" s="91">
        <v>9</v>
      </c>
      <c r="I6" s="91">
        <v>-16</v>
      </c>
      <c r="J6" s="91">
        <v>6</v>
      </c>
      <c r="K6" s="91">
        <v>4</v>
      </c>
      <c r="L6" s="125"/>
    </row>
    <row r="7" spans="1:13" ht="16.5">
      <c r="A7" s="91">
        <v>4</v>
      </c>
      <c r="B7" s="122">
        <v>235</v>
      </c>
      <c r="C7" s="123" t="s">
        <v>994</v>
      </c>
      <c r="D7" s="91">
        <v>1</v>
      </c>
      <c r="E7" s="91">
        <v>25</v>
      </c>
      <c r="F7" s="91">
        <v>2</v>
      </c>
      <c r="G7" s="91">
        <v>30</v>
      </c>
      <c r="H7" s="91">
        <v>19</v>
      </c>
      <c r="I7" s="91">
        <v>-12</v>
      </c>
      <c r="J7" s="91">
        <v>4</v>
      </c>
      <c r="K7" s="91">
        <v>2</v>
      </c>
      <c r="L7" s="125"/>
      <c r="M7" s="91"/>
    </row>
  </sheetData>
  <phoneticPr fontId="2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/>
  </sheetViews>
  <sheetFormatPr defaultColWidth="9" defaultRowHeight="14"/>
  <cols>
    <col min="1" max="1" width="16" customWidth="1"/>
    <col min="2" max="2" width="9.08203125" customWidth="1"/>
    <col min="3" max="3" width="13" customWidth="1"/>
    <col min="4" max="4" width="16.33203125" customWidth="1"/>
    <col min="5" max="5" width="11.33203125" customWidth="1"/>
    <col min="6" max="6" width="13.33203125" customWidth="1"/>
    <col min="7" max="7" width="11.33203125" customWidth="1"/>
    <col min="8" max="8" width="13" customWidth="1"/>
  </cols>
  <sheetData>
    <row r="1" spans="1:8" ht="15" customHeight="1">
      <c r="A1" s="44" t="s">
        <v>1704</v>
      </c>
    </row>
    <row r="2" spans="1:8" ht="15" customHeight="1">
      <c r="A2" s="48" t="s">
        <v>702</v>
      </c>
      <c r="B2" s="48" t="s">
        <v>1705</v>
      </c>
      <c r="C2" s="48" t="s">
        <v>1706</v>
      </c>
      <c r="D2" s="48" t="s">
        <v>691</v>
      </c>
      <c r="E2" s="48" t="s">
        <v>1707</v>
      </c>
      <c r="F2" s="48" t="s">
        <v>1708</v>
      </c>
      <c r="G2" s="48" t="s">
        <v>1709</v>
      </c>
      <c r="H2" s="48" t="s">
        <v>1710</v>
      </c>
    </row>
    <row r="3" spans="1:8" ht="15" customHeight="1">
      <c r="A3" s="88" t="s">
        <v>702</v>
      </c>
      <c r="B3" s="88" t="s">
        <v>1711</v>
      </c>
      <c r="C3" s="88" t="s">
        <v>1712</v>
      </c>
      <c r="D3" s="88" t="s">
        <v>1151</v>
      </c>
      <c r="E3" s="88" t="s">
        <v>1713</v>
      </c>
      <c r="F3" s="88" t="s">
        <v>770</v>
      </c>
      <c r="G3" s="88" t="s">
        <v>1714</v>
      </c>
      <c r="H3" s="88" t="s">
        <v>1715</v>
      </c>
    </row>
    <row r="4" spans="1:8" ht="16.5">
      <c r="A4" s="50">
        <v>1</v>
      </c>
      <c r="B4" s="50">
        <v>1</v>
      </c>
      <c r="C4" s="94" t="s">
        <v>1716</v>
      </c>
      <c r="D4" s="94"/>
      <c r="F4" s="118"/>
    </row>
    <row r="5" spans="1:8" ht="16.5">
      <c r="A5" s="50">
        <v>2</v>
      </c>
      <c r="B5" s="50">
        <v>1</v>
      </c>
      <c r="C5" s="94" t="s">
        <v>1716</v>
      </c>
      <c r="D5" s="94"/>
      <c r="F5" s="118"/>
    </row>
    <row r="6" spans="1:8" ht="16.5">
      <c r="A6" s="50">
        <v>3</v>
      </c>
      <c r="B6" s="50">
        <v>2</v>
      </c>
      <c r="C6" s="94" t="s">
        <v>1717</v>
      </c>
      <c r="D6" s="94">
        <v>201</v>
      </c>
      <c r="E6" s="50">
        <v>252</v>
      </c>
    </row>
    <row r="7" spans="1:8" ht="16.5">
      <c r="A7" s="50">
        <v>4</v>
      </c>
      <c r="B7" s="50">
        <v>3</v>
      </c>
      <c r="C7" s="94" t="s">
        <v>1718</v>
      </c>
      <c r="D7" s="94">
        <v>211</v>
      </c>
      <c r="E7" s="50">
        <v>261</v>
      </c>
    </row>
    <row r="8" spans="1:8" ht="16.5" customHeight="1">
      <c r="A8" s="50">
        <v>5</v>
      </c>
      <c r="B8" s="50">
        <v>4</v>
      </c>
      <c r="C8" s="94" t="s">
        <v>1719</v>
      </c>
      <c r="D8" s="94">
        <v>232</v>
      </c>
      <c r="E8" s="50">
        <v>255</v>
      </c>
      <c r="F8" s="50" t="s">
        <v>1720</v>
      </c>
    </row>
    <row r="9" spans="1:8" ht="16.5" customHeight="1">
      <c r="A9" s="50">
        <v>6</v>
      </c>
      <c r="B9" s="50">
        <v>4</v>
      </c>
      <c r="C9" s="94" t="s">
        <v>1719</v>
      </c>
      <c r="D9" s="94">
        <v>206</v>
      </c>
      <c r="E9" s="50">
        <v>251</v>
      </c>
      <c r="F9" s="50" t="s">
        <v>1721</v>
      </c>
    </row>
    <row r="10" spans="1:8" ht="16.5" customHeight="1">
      <c r="A10" s="50">
        <v>7</v>
      </c>
      <c r="B10" s="50">
        <v>4</v>
      </c>
      <c r="C10" s="94" t="s">
        <v>1719</v>
      </c>
      <c r="D10" s="94">
        <v>208</v>
      </c>
      <c r="F10" s="50" t="s">
        <v>1722</v>
      </c>
    </row>
    <row r="11" spans="1:8" ht="16.5" customHeight="1">
      <c r="A11" s="50">
        <v>8</v>
      </c>
      <c r="B11" s="50">
        <v>4</v>
      </c>
      <c r="C11" s="94" t="s">
        <v>1719</v>
      </c>
      <c r="D11" s="94">
        <v>224</v>
      </c>
      <c r="E11" s="50">
        <v>256</v>
      </c>
      <c r="F11" s="50" t="s">
        <v>1723</v>
      </c>
    </row>
    <row r="12" spans="1:8" ht="16.5" customHeight="1">
      <c r="A12" s="50">
        <v>9</v>
      </c>
      <c r="B12" s="50">
        <v>4</v>
      </c>
      <c r="C12" s="94" t="s">
        <v>1719</v>
      </c>
      <c r="D12" s="94">
        <v>209</v>
      </c>
      <c r="E12" s="50">
        <v>254</v>
      </c>
      <c r="F12" s="50" t="s">
        <v>1724</v>
      </c>
    </row>
    <row r="13" spans="1:8" ht="16.5" customHeight="1">
      <c r="A13" s="50">
        <v>10</v>
      </c>
      <c r="B13" s="50">
        <v>4</v>
      </c>
      <c r="C13" s="94" t="s">
        <v>1725</v>
      </c>
      <c r="D13" s="94">
        <v>227</v>
      </c>
      <c r="E13" s="50">
        <v>262</v>
      </c>
      <c r="F13" s="92" t="s">
        <v>1726</v>
      </c>
    </row>
    <row r="14" spans="1:8" ht="16.5">
      <c r="A14" s="50">
        <v>11</v>
      </c>
      <c r="B14" s="50">
        <v>6</v>
      </c>
      <c r="C14" s="94" t="s">
        <v>1727</v>
      </c>
      <c r="D14" s="94">
        <v>231</v>
      </c>
      <c r="E14" s="50">
        <v>265</v>
      </c>
    </row>
    <row r="15" spans="1:8" ht="16.5">
      <c r="A15" s="50">
        <v>12</v>
      </c>
      <c r="B15" s="50">
        <v>7</v>
      </c>
      <c r="C15" s="94" t="s">
        <v>1728</v>
      </c>
      <c r="D15" s="94">
        <v>235</v>
      </c>
      <c r="E15" s="50">
        <v>267</v>
      </c>
    </row>
    <row r="16" spans="1:8" ht="16.5">
      <c r="A16" s="50">
        <v>13</v>
      </c>
      <c r="B16" s="50">
        <v>8</v>
      </c>
      <c r="C16" s="94" t="s">
        <v>1729</v>
      </c>
      <c r="D16" s="94">
        <v>237</v>
      </c>
      <c r="E16" s="50">
        <v>239</v>
      </c>
    </row>
  </sheetData>
  <phoneticPr fontId="2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B639"/>
  <sheetViews>
    <sheetView workbookViewId="0">
      <pane xSplit="1" ySplit="1" topLeftCell="AS2" activePane="bottomRight" state="frozen"/>
      <selection pane="topRight"/>
      <selection pane="bottomLeft"/>
      <selection pane="bottomRight" activeCell="BF36" sqref="BF36"/>
    </sheetView>
  </sheetViews>
  <sheetFormatPr defaultColWidth="9" defaultRowHeight="14"/>
  <cols>
    <col min="1" max="1" width="9" customWidth="1"/>
    <col min="2" max="12" width="13" customWidth="1"/>
    <col min="13" max="13" width="11.08203125" customWidth="1"/>
    <col min="14" max="32" width="13" customWidth="1"/>
    <col min="33" max="33" width="19.25" customWidth="1"/>
    <col min="34" max="34" width="14.33203125" customWidth="1"/>
    <col min="35" max="35" width="11.08203125" customWidth="1"/>
    <col min="36" max="41" width="13" customWidth="1"/>
    <col min="42" max="42" width="23.33203125" customWidth="1"/>
    <col min="43" max="43" width="31.25" customWidth="1"/>
    <col min="44" max="44" width="9.58203125" customWidth="1"/>
    <col min="45" max="45" width="20" customWidth="1"/>
    <col min="46" max="46" width="19.08203125" customWidth="1"/>
    <col min="47" max="47" width="17.25" customWidth="1"/>
    <col min="48" max="48" width="32.58203125" customWidth="1"/>
    <col min="49" max="49" width="9.08203125" customWidth="1"/>
    <col min="50" max="50" width="11.08203125" customWidth="1"/>
    <col min="51" max="51" width="19.08203125" customWidth="1"/>
    <col min="52" max="52" width="18.33203125" customWidth="1"/>
    <col min="53" max="53" width="17.33203125" customWidth="1"/>
    <col min="54" max="54" width="6.33203125" customWidth="1"/>
    <col min="55" max="57" width="13" customWidth="1"/>
    <col min="58" max="58" width="9" customWidth="1"/>
    <col min="59" max="59" width="9.5" customWidth="1"/>
    <col min="60" max="60" width="9" customWidth="1"/>
    <col min="61" max="106" width="13" customWidth="1"/>
  </cols>
  <sheetData>
    <row r="1" spans="1:106">
      <c r="A1" s="105" t="s">
        <v>0</v>
      </c>
      <c r="B1" s="105" t="s">
        <v>1</v>
      </c>
      <c r="C1" s="105" t="s">
        <v>2</v>
      </c>
      <c r="D1" s="105" t="s">
        <v>4</v>
      </c>
      <c r="E1" s="105" t="s">
        <v>1730</v>
      </c>
      <c r="F1" s="105" t="s">
        <v>1731</v>
      </c>
      <c r="G1" s="105" t="s">
        <v>1732</v>
      </c>
      <c r="H1" s="105" t="s">
        <v>1733</v>
      </c>
      <c r="I1" s="105" t="s">
        <v>1734</v>
      </c>
      <c r="J1" s="105" t="s">
        <v>1735</v>
      </c>
      <c r="K1" s="105" t="s">
        <v>1736</v>
      </c>
      <c r="L1" s="105" t="s">
        <v>1737</v>
      </c>
      <c r="M1" s="105" t="s">
        <v>6</v>
      </c>
      <c r="N1" s="105" t="s">
        <v>1738</v>
      </c>
      <c r="O1" s="105" t="s">
        <v>1739</v>
      </c>
      <c r="P1" s="105" t="s">
        <v>1740</v>
      </c>
      <c r="Q1" s="105" t="s">
        <v>1741</v>
      </c>
      <c r="R1" s="105" t="s">
        <v>1742</v>
      </c>
      <c r="S1" s="105" t="s">
        <v>1743</v>
      </c>
      <c r="T1" s="105" t="s">
        <v>1744</v>
      </c>
      <c r="U1" s="105" t="s">
        <v>1745</v>
      </c>
      <c r="V1" s="105" t="s">
        <v>1746</v>
      </c>
      <c r="W1" s="105" t="s">
        <v>1747</v>
      </c>
      <c r="X1" s="105" t="s">
        <v>1748</v>
      </c>
      <c r="Y1" s="105" t="s">
        <v>1749</v>
      </c>
      <c r="Z1" s="105" t="s">
        <v>1750</v>
      </c>
      <c r="AA1" s="105" t="s">
        <v>1751</v>
      </c>
      <c r="AB1" s="105" t="s">
        <v>1752</v>
      </c>
      <c r="AC1" s="105" t="s">
        <v>1753</v>
      </c>
      <c r="AD1" s="105" t="s">
        <v>1754</v>
      </c>
      <c r="AE1" s="105" t="s">
        <v>1755</v>
      </c>
      <c r="AF1" s="105" t="s">
        <v>1756</v>
      </c>
      <c r="AG1" s="105" t="s">
        <v>1757</v>
      </c>
      <c r="AH1" s="105" t="s">
        <v>639</v>
      </c>
      <c r="AI1" s="105" t="s">
        <v>1758</v>
      </c>
      <c r="AJ1" s="105" t="s">
        <v>1759</v>
      </c>
      <c r="AK1" s="105" t="s">
        <v>1760</v>
      </c>
      <c r="AL1" s="105" t="s">
        <v>1761</v>
      </c>
      <c r="AM1" s="105" t="s">
        <v>1762</v>
      </c>
      <c r="AN1" s="105" t="s">
        <v>1763</v>
      </c>
      <c r="AO1" s="105" t="s">
        <v>1764</v>
      </c>
      <c r="AP1" s="105" t="s">
        <v>7</v>
      </c>
      <c r="AQ1" s="105" t="s">
        <v>8</v>
      </c>
      <c r="AR1" s="105" t="s">
        <v>9</v>
      </c>
      <c r="AS1" s="105" t="s">
        <v>10</v>
      </c>
      <c r="AT1" s="105" t="s">
        <v>11</v>
      </c>
      <c r="AU1" s="107" t="s">
        <v>12</v>
      </c>
      <c r="AV1" s="107" t="s">
        <v>13</v>
      </c>
      <c r="AW1" s="107" t="s">
        <v>14</v>
      </c>
      <c r="AX1" s="107" t="s">
        <v>15</v>
      </c>
      <c r="AY1" s="107" t="s">
        <v>16</v>
      </c>
      <c r="AZ1" s="105" t="s">
        <v>17</v>
      </c>
      <c r="BA1" s="105" t="s">
        <v>18</v>
      </c>
      <c r="BB1" s="105" t="s">
        <v>19</v>
      </c>
      <c r="BC1" s="105" t="s">
        <v>20</v>
      </c>
      <c r="BD1" s="105" t="s">
        <v>21</v>
      </c>
      <c r="BE1" s="111" t="s">
        <v>22</v>
      </c>
      <c r="BF1" s="111" t="s">
        <v>23</v>
      </c>
      <c r="BG1" s="111" t="s">
        <v>24</v>
      </c>
      <c r="BH1" s="111" t="s">
        <v>25</v>
      </c>
      <c r="BI1" s="111" t="s">
        <v>26</v>
      </c>
      <c r="BJ1" s="111" t="s">
        <v>27</v>
      </c>
      <c r="BK1" s="111" t="s">
        <v>28</v>
      </c>
      <c r="BL1" s="111" t="s">
        <v>29</v>
      </c>
      <c r="BM1" s="111" t="s">
        <v>30</v>
      </c>
      <c r="BN1" s="111" t="s">
        <v>31</v>
      </c>
      <c r="BO1" s="111" t="s">
        <v>32</v>
      </c>
      <c r="BP1" s="111" t="s">
        <v>33</v>
      </c>
      <c r="BQ1" s="111" t="s">
        <v>34</v>
      </c>
      <c r="BR1" s="111" t="s">
        <v>35</v>
      </c>
      <c r="BS1" s="111" t="s">
        <v>36</v>
      </c>
      <c r="BT1" s="111" t="s">
        <v>37</v>
      </c>
      <c r="BU1" s="111" t="s">
        <v>38</v>
      </c>
      <c r="BV1" s="111" t="s">
        <v>39</v>
      </c>
      <c r="BW1" s="111" t="s">
        <v>40</v>
      </c>
      <c r="BX1" s="111" t="s">
        <v>41</v>
      </c>
      <c r="BY1" s="111" t="s">
        <v>42</v>
      </c>
      <c r="BZ1" s="111" t="s">
        <v>43</v>
      </c>
      <c r="CA1" s="111" t="s">
        <v>44</v>
      </c>
      <c r="CB1" s="111" t="s">
        <v>45</v>
      </c>
      <c r="CC1" s="111" t="s">
        <v>46</v>
      </c>
      <c r="CD1" s="111" t="s">
        <v>47</v>
      </c>
      <c r="CE1" s="111" t="s">
        <v>48</v>
      </c>
      <c r="CF1" s="111" t="s">
        <v>49</v>
      </c>
      <c r="CG1" s="111" t="s">
        <v>50</v>
      </c>
      <c r="CH1" s="111" t="s">
        <v>51</v>
      </c>
      <c r="CI1" s="111" t="s">
        <v>52</v>
      </c>
      <c r="CJ1" s="111" t="s">
        <v>53</v>
      </c>
      <c r="CK1" s="111" t="s">
        <v>54</v>
      </c>
      <c r="CL1" s="111" t="s">
        <v>55</v>
      </c>
      <c r="CM1" s="111" t="s">
        <v>56</v>
      </c>
      <c r="CN1" s="111" t="s">
        <v>57</v>
      </c>
      <c r="CO1" s="111" t="s">
        <v>58</v>
      </c>
      <c r="CP1" s="111" t="s">
        <v>59</v>
      </c>
      <c r="CQ1" s="111" t="s">
        <v>60</v>
      </c>
      <c r="CR1" s="111" t="s">
        <v>61</v>
      </c>
      <c r="CS1" s="111" t="s">
        <v>62</v>
      </c>
      <c r="CT1" s="111" t="s">
        <v>63</v>
      </c>
      <c r="CU1" s="111" t="s">
        <v>59</v>
      </c>
      <c r="CV1" s="111" t="s">
        <v>60</v>
      </c>
      <c r="CW1" s="111" t="s">
        <v>61</v>
      </c>
      <c r="CX1" s="111" t="s">
        <v>1765</v>
      </c>
      <c r="DA1" s="111" t="s">
        <v>64</v>
      </c>
      <c r="DB1" s="111" t="s">
        <v>65</v>
      </c>
    </row>
    <row r="2" spans="1:106">
      <c r="A2" s="106" t="s">
        <v>66</v>
      </c>
      <c r="B2" s="106">
        <v>1</v>
      </c>
      <c r="C2" s="106">
        <v>1</v>
      </c>
      <c r="D2" s="106">
        <v>1</v>
      </c>
      <c r="E2" s="106">
        <v>1</v>
      </c>
      <c r="F2" s="106">
        <v>1</v>
      </c>
      <c r="I2" s="106" t="s">
        <v>1766</v>
      </c>
      <c r="J2" s="106" t="s">
        <v>1766</v>
      </c>
      <c r="K2" s="106" t="s">
        <v>1766</v>
      </c>
      <c r="L2" s="106" t="s">
        <v>1766</v>
      </c>
      <c r="M2" s="106" t="s">
        <v>67</v>
      </c>
      <c r="T2" s="106" t="s">
        <v>1766</v>
      </c>
      <c r="V2" s="106">
        <v>5000</v>
      </c>
      <c r="W2" s="106">
        <v>1</v>
      </c>
      <c r="X2" s="106">
        <v>1</v>
      </c>
      <c r="Y2" s="106" t="s">
        <v>1766</v>
      </c>
      <c r="Z2" s="106" t="s">
        <v>1766</v>
      </c>
      <c r="AA2" s="106">
        <v>2500</v>
      </c>
      <c r="AB2" s="106">
        <v>2500</v>
      </c>
      <c r="AC2" s="106">
        <v>0</v>
      </c>
      <c r="AD2" s="106">
        <v>0</v>
      </c>
      <c r="AE2" s="106">
        <v>5000</v>
      </c>
      <c r="AF2" s="106">
        <v>5000</v>
      </c>
      <c r="AH2" s="106">
        <v>25</v>
      </c>
      <c r="AI2" s="106">
        <v>0</v>
      </c>
      <c r="AJ2" s="106">
        <v>0</v>
      </c>
      <c r="AK2" s="106">
        <v>120</v>
      </c>
      <c r="AL2" s="106">
        <v>0</v>
      </c>
      <c r="AM2" s="106">
        <v>1</v>
      </c>
      <c r="AN2" s="106">
        <v>1</v>
      </c>
      <c r="AO2" s="106">
        <v>10</v>
      </c>
      <c r="AP2" s="106" t="s">
        <v>1767</v>
      </c>
      <c r="AQ2" s="106" t="s">
        <v>1768</v>
      </c>
      <c r="AR2" s="106">
        <v>6001</v>
      </c>
      <c r="AS2" s="106">
        <v>100</v>
      </c>
      <c r="AT2" s="106">
        <v>100</v>
      </c>
      <c r="AU2" s="108" t="s">
        <v>1769</v>
      </c>
      <c r="AV2" s="108" t="s">
        <v>1770</v>
      </c>
      <c r="AW2" s="109">
        <v>8025</v>
      </c>
      <c r="AX2" s="109">
        <v>0</v>
      </c>
      <c r="AY2" s="109">
        <v>0</v>
      </c>
      <c r="AZ2" s="106" t="s">
        <v>72</v>
      </c>
      <c r="BA2" s="106" t="s">
        <v>73</v>
      </c>
      <c r="BB2" s="106">
        <v>1202</v>
      </c>
      <c r="BC2" s="34">
        <v>2</v>
      </c>
      <c r="BD2" s="34">
        <v>2</v>
      </c>
      <c r="BE2" s="112" t="s">
        <v>74</v>
      </c>
      <c r="BF2" s="112" t="s">
        <v>75</v>
      </c>
      <c r="BG2" s="112">
        <v>1205</v>
      </c>
      <c r="BH2" s="112">
        <v>1</v>
      </c>
      <c r="BI2" s="112" t="s">
        <v>76</v>
      </c>
      <c r="BJ2" s="112" t="s">
        <v>77</v>
      </c>
      <c r="BK2" s="112">
        <v>1209</v>
      </c>
      <c r="BL2" s="112">
        <v>1</v>
      </c>
      <c r="BM2" s="112" t="s">
        <v>78</v>
      </c>
      <c r="BN2" s="112" t="s">
        <v>79</v>
      </c>
      <c r="BO2" s="112">
        <v>1210</v>
      </c>
      <c r="BP2" s="112">
        <v>0</v>
      </c>
      <c r="BQ2" s="112" t="s">
        <v>80</v>
      </c>
      <c r="BR2" s="112" t="s">
        <v>81</v>
      </c>
      <c r="BS2" s="112">
        <v>1237</v>
      </c>
      <c r="BT2" s="112">
        <v>0</v>
      </c>
      <c r="BU2" s="108"/>
      <c r="BV2" s="108"/>
      <c r="BW2" s="108"/>
      <c r="BX2" s="108"/>
      <c r="BY2" s="112" t="s">
        <v>1206</v>
      </c>
      <c r="BZ2" s="112" t="s">
        <v>1771</v>
      </c>
      <c r="CA2" s="112" t="s">
        <v>1772</v>
      </c>
      <c r="CB2" s="112" t="s">
        <v>1767</v>
      </c>
      <c r="CC2" s="112">
        <v>1</v>
      </c>
      <c r="CD2" s="112" t="s">
        <v>1773</v>
      </c>
      <c r="CE2" s="112" t="s">
        <v>1769</v>
      </c>
      <c r="CF2" s="112">
        <v>22</v>
      </c>
      <c r="CG2" s="112" t="s">
        <v>1774</v>
      </c>
      <c r="CH2" s="112" t="s">
        <v>72</v>
      </c>
      <c r="CI2" s="112">
        <v>34</v>
      </c>
      <c r="CJ2" s="112" t="s">
        <v>1775</v>
      </c>
      <c r="CK2" s="112" t="s">
        <v>74</v>
      </c>
      <c r="CL2" s="112">
        <v>35</v>
      </c>
      <c r="CM2" s="112" t="s">
        <v>1776</v>
      </c>
      <c r="CN2" s="112" t="s">
        <v>76</v>
      </c>
      <c r="CO2" s="112">
        <v>36</v>
      </c>
      <c r="CP2" s="112">
        <v>1</v>
      </c>
      <c r="CQ2" s="112" t="s">
        <v>1772</v>
      </c>
      <c r="CR2" s="112" t="s">
        <v>1767</v>
      </c>
      <c r="CS2" s="112">
        <v>1</v>
      </c>
      <c r="CT2" s="112">
        <v>1</v>
      </c>
      <c r="CU2" s="112">
        <v>1</v>
      </c>
      <c r="CV2" s="112" t="s">
        <v>1772</v>
      </c>
      <c r="CW2" s="112" t="s">
        <v>1767</v>
      </c>
      <c r="CX2" s="112" t="s">
        <v>1766</v>
      </c>
      <c r="DA2" s="112" t="s">
        <v>90</v>
      </c>
      <c r="DB2" s="112" t="s">
        <v>91</v>
      </c>
    </row>
    <row r="3" spans="1:106">
      <c r="A3" s="106" t="s">
        <v>66</v>
      </c>
      <c r="B3" s="106">
        <v>2</v>
      </c>
      <c r="C3" s="106">
        <v>1</v>
      </c>
      <c r="D3" s="106">
        <v>1</v>
      </c>
      <c r="E3" s="106">
        <v>1</v>
      </c>
      <c r="F3" s="106">
        <v>1</v>
      </c>
      <c r="I3" s="106" t="s">
        <v>1766</v>
      </c>
      <c r="J3" s="106" t="s">
        <v>1766</v>
      </c>
      <c r="K3" s="106" t="s">
        <v>1766</v>
      </c>
      <c r="L3" s="106" t="s">
        <v>1766</v>
      </c>
      <c r="M3" s="106" t="s">
        <v>92</v>
      </c>
      <c r="N3" s="106">
        <v>1</v>
      </c>
      <c r="O3" s="106">
        <v>1</v>
      </c>
      <c r="T3" s="106" t="s">
        <v>1766</v>
      </c>
      <c r="V3" s="106">
        <v>10000</v>
      </c>
      <c r="W3" s="106">
        <v>1</v>
      </c>
      <c r="X3" s="106">
        <v>1</v>
      </c>
      <c r="Y3" s="106" t="s">
        <v>1766</v>
      </c>
      <c r="Z3" s="106" t="s">
        <v>1766</v>
      </c>
      <c r="AA3" s="106">
        <v>5000</v>
      </c>
      <c r="AB3" s="106">
        <v>5000</v>
      </c>
      <c r="AC3" s="106">
        <v>0</v>
      </c>
      <c r="AD3" s="106">
        <v>0</v>
      </c>
      <c r="AE3" s="106">
        <v>10000</v>
      </c>
      <c r="AF3" s="106">
        <v>10000</v>
      </c>
      <c r="AH3" s="106">
        <v>180</v>
      </c>
      <c r="AI3" s="106">
        <v>0</v>
      </c>
      <c r="AJ3" s="106">
        <v>0</v>
      </c>
      <c r="AK3" s="106">
        <v>120</v>
      </c>
      <c r="AL3" s="106">
        <v>0</v>
      </c>
      <c r="AM3" s="106">
        <v>1</v>
      </c>
      <c r="AN3" s="106">
        <v>1</v>
      </c>
      <c r="AO3" s="106">
        <v>30</v>
      </c>
      <c r="AP3" s="106" t="s">
        <v>1767</v>
      </c>
      <c r="AQ3" s="106" t="s">
        <v>1768</v>
      </c>
      <c r="AR3" s="106">
        <v>6001</v>
      </c>
      <c r="AS3" s="106">
        <v>200</v>
      </c>
      <c r="AT3" s="106">
        <v>200</v>
      </c>
      <c r="AU3" s="108" t="s">
        <v>1769</v>
      </c>
      <c r="AV3" s="108" t="s">
        <v>1770</v>
      </c>
      <c r="AW3" s="109">
        <v>8025</v>
      </c>
      <c r="AX3" s="109">
        <v>0</v>
      </c>
      <c r="AY3" s="109">
        <v>0</v>
      </c>
      <c r="AZ3" s="106" t="s">
        <v>72</v>
      </c>
      <c r="BA3" s="106" t="s">
        <v>73</v>
      </c>
      <c r="BB3" s="106">
        <v>1202</v>
      </c>
      <c r="BC3" s="34">
        <v>2</v>
      </c>
      <c r="BD3" s="34">
        <v>3</v>
      </c>
      <c r="BE3" s="112" t="s">
        <v>74</v>
      </c>
      <c r="BF3" s="112" t="s">
        <v>75</v>
      </c>
      <c r="BG3" s="112">
        <v>1205</v>
      </c>
      <c r="BH3" s="112">
        <v>1</v>
      </c>
      <c r="BI3" s="112" t="s">
        <v>76</v>
      </c>
      <c r="BJ3" s="112" t="s">
        <v>77</v>
      </c>
      <c r="BK3" s="112">
        <v>1209</v>
      </c>
      <c r="BL3" s="112">
        <v>1</v>
      </c>
      <c r="BM3" s="112" t="s">
        <v>78</v>
      </c>
      <c r="BN3" s="112" t="s">
        <v>79</v>
      </c>
      <c r="BO3" s="112">
        <v>1210</v>
      </c>
      <c r="BP3" s="112">
        <v>0</v>
      </c>
      <c r="BQ3" s="112" t="s">
        <v>80</v>
      </c>
      <c r="BR3" s="112" t="s">
        <v>81</v>
      </c>
      <c r="BS3" s="112">
        <v>1237</v>
      </c>
      <c r="BT3" s="112">
        <v>0</v>
      </c>
      <c r="BU3" s="108"/>
      <c r="BV3" s="108"/>
      <c r="BW3" s="108"/>
      <c r="BX3" s="108"/>
      <c r="BY3" s="112" t="s">
        <v>1766</v>
      </c>
      <c r="BZ3" s="112" t="s">
        <v>1766</v>
      </c>
      <c r="CA3" s="112" t="s">
        <v>1766</v>
      </c>
      <c r="CB3" s="112" t="s">
        <v>1766</v>
      </c>
      <c r="CD3" s="112" t="s">
        <v>1766</v>
      </c>
      <c r="CE3" s="112" t="s">
        <v>1766</v>
      </c>
      <c r="CG3" s="112" t="s">
        <v>1766</v>
      </c>
      <c r="CH3" s="112" t="s">
        <v>1766</v>
      </c>
      <c r="CJ3" s="112" t="s">
        <v>1766</v>
      </c>
      <c r="CK3" s="112" t="s">
        <v>1766</v>
      </c>
      <c r="CM3" s="112" t="s">
        <v>1766</v>
      </c>
      <c r="CN3" s="112" t="s">
        <v>1766</v>
      </c>
      <c r="CP3" s="112">
        <v>2</v>
      </c>
      <c r="CQ3" s="112" t="s">
        <v>1319</v>
      </c>
      <c r="CR3" s="112" t="s">
        <v>144</v>
      </c>
      <c r="CS3" s="112">
        <v>1</v>
      </c>
      <c r="CT3" s="112">
        <v>2</v>
      </c>
      <c r="CU3" s="112">
        <v>2</v>
      </c>
      <c r="CV3" s="112" t="s">
        <v>1319</v>
      </c>
      <c r="CW3" s="112" t="s">
        <v>144</v>
      </c>
      <c r="CX3" s="112" t="s">
        <v>1766</v>
      </c>
      <c r="DA3" s="112" t="s">
        <v>94</v>
      </c>
      <c r="DB3" s="112" t="s">
        <v>95</v>
      </c>
    </row>
    <row r="4" spans="1:106">
      <c r="A4" s="106" t="s">
        <v>66</v>
      </c>
      <c r="B4" s="106">
        <v>3</v>
      </c>
      <c r="C4" s="106">
        <v>1</v>
      </c>
      <c r="D4" s="106">
        <v>1</v>
      </c>
      <c r="E4" s="106">
        <v>1</v>
      </c>
      <c r="F4" s="106">
        <v>1</v>
      </c>
      <c r="I4" s="106" t="s">
        <v>1766</v>
      </c>
      <c r="J4" s="106" t="s">
        <v>1766</v>
      </c>
      <c r="K4" s="106" t="s">
        <v>1766</v>
      </c>
      <c r="L4" s="106" t="s">
        <v>1766</v>
      </c>
      <c r="M4" s="106" t="s">
        <v>96</v>
      </c>
      <c r="N4" s="106">
        <v>2</v>
      </c>
      <c r="O4" s="106">
        <v>2</v>
      </c>
      <c r="T4" s="106" t="s">
        <v>1766</v>
      </c>
      <c r="V4" s="106">
        <v>20000</v>
      </c>
      <c r="W4" s="106">
        <v>1</v>
      </c>
      <c r="X4" s="106">
        <v>1</v>
      </c>
      <c r="Y4" s="106" t="s">
        <v>1766</v>
      </c>
      <c r="Z4" s="106" t="s">
        <v>1766</v>
      </c>
      <c r="AA4" s="106">
        <v>10000</v>
      </c>
      <c r="AB4" s="106">
        <v>10000</v>
      </c>
      <c r="AC4" s="106">
        <v>0</v>
      </c>
      <c r="AD4" s="106">
        <v>0</v>
      </c>
      <c r="AE4" s="106">
        <v>20000</v>
      </c>
      <c r="AF4" s="106">
        <v>20000</v>
      </c>
      <c r="AH4" s="106">
        <v>360</v>
      </c>
      <c r="AI4" s="106">
        <v>0</v>
      </c>
      <c r="AJ4" s="106">
        <v>1</v>
      </c>
      <c r="AK4" s="106">
        <v>120</v>
      </c>
      <c r="AL4" s="106">
        <v>120</v>
      </c>
      <c r="AM4" s="106">
        <v>1</v>
      </c>
      <c r="AN4" s="106">
        <v>1</v>
      </c>
      <c r="AO4" s="106">
        <v>70</v>
      </c>
      <c r="AP4" s="106" t="s">
        <v>1767</v>
      </c>
      <c r="AQ4" s="106" t="s">
        <v>1768</v>
      </c>
      <c r="AR4" s="106">
        <v>6001</v>
      </c>
      <c r="AS4" s="106">
        <v>300</v>
      </c>
      <c r="AT4" s="106">
        <v>300</v>
      </c>
      <c r="AU4" s="108" t="s">
        <v>1769</v>
      </c>
      <c r="AV4" s="108" t="s">
        <v>1770</v>
      </c>
      <c r="AW4" s="109">
        <v>8025</v>
      </c>
      <c r="AX4" s="109">
        <v>0</v>
      </c>
      <c r="AY4" s="109">
        <v>0</v>
      </c>
      <c r="AZ4" s="106" t="s">
        <v>72</v>
      </c>
      <c r="BA4" s="106" t="s">
        <v>73</v>
      </c>
      <c r="BB4" s="106">
        <v>1202</v>
      </c>
      <c r="BC4" s="34">
        <v>2</v>
      </c>
      <c r="BD4" s="34">
        <v>4</v>
      </c>
      <c r="BE4" s="112" t="s">
        <v>74</v>
      </c>
      <c r="BF4" s="112" t="s">
        <v>75</v>
      </c>
      <c r="BG4" s="112">
        <v>1205</v>
      </c>
      <c r="BH4" s="112">
        <v>2</v>
      </c>
      <c r="BI4" s="112" t="s">
        <v>76</v>
      </c>
      <c r="BJ4" s="112" t="s">
        <v>77</v>
      </c>
      <c r="BK4" s="112">
        <v>1209</v>
      </c>
      <c r="BL4" s="112">
        <v>2</v>
      </c>
      <c r="BM4" s="112" t="s">
        <v>78</v>
      </c>
      <c r="BN4" s="112" t="s">
        <v>79</v>
      </c>
      <c r="BO4" s="112">
        <v>1210</v>
      </c>
      <c r="BP4" s="112">
        <v>0</v>
      </c>
      <c r="BQ4" s="112" t="s">
        <v>80</v>
      </c>
      <c r="BR4" s="112" t="s">
        <v>81</v>
      </c>
      <c r="BS4" s="112">
        <v>1237</v>
      </c>
      <c r="BT4" s="112">
        <v>0</v>
      </c>
      <c r="BU4" s="108"/>
      <c r="BV4" s="108"/>
      <c r="BW4" s="108"/>
      <c r="BX4" s="108"/>
      <c r="BY4" s="112" t="s">
        <v>1766</v>
      </c>
      <c r="BZ4" s="112" t="s">
        <v>1766</v>
      </c>
      <c r="CA4" s="112" t="s">
        <v>1766</v>
      </c>
      <c r="CB4" s="112" t="s">
        <v>1766</v>
      </c>
      <c r="CD4" s="112" t="s">
        <v>1766</v>
      </c>
      <c r="CE4" s="112" t="s">
        <v>1766</v>
      </c>
      <c r="CG4" s="112" t="s">
        <v>1766</v>
      </c>
      <c r="CH4" s="112" t="s">
        <v>1766</v>
      </c>
      <c r="CJ4" s="112" t="s">
        <v>1766</v>
      </c>
      <c r="CK4" s="112" t="s">
        <v>1766</v>
      </c>
      <c r="CM4" s="112" t="s">
        <v>1766</v>
      </c>
      <c r="CN4" s="112" t="s">
        <v>1766</v>
      </c>
      <c r="CP4" s="112">
        <v>3</v>
      </c>
      <c r="CQ4" s="112" t="s">
        <v>1583</v>
      </c>
      <c r="CR4" s="112" t="s">
        <v>94</v>
      </c>
      <c r="CS4" s="112">
        <v>1</v>
      </c>
      <c r="CT4" s="112">
        <v>3</v>
      </c>
      <c r="CU4" s="112">
        <v>3</v>
      </c>
      <c r="CV4" s="112" t="s">
        <v>1583</v>
      </c>
      <c r="CW4" s="112" t="s">
        <v>95</v>
      </c>
      <c r="CX4" s="112" t="s">
        <v>1766</v>
      </c>
      <c r="DA4" s="112" t="s">
        <v>98</v>
      </c>
      <c r="DB4" s="112" t="s">
        <v>99</v>
      </c>
    </row>
    <row r="5" spans="1:106">
      <c r="A5" s="106" t="s">
        <v>66</v>
      </c>
      <c r="B5" s="106">
        <v>4</v>
      </c>
      <c r="C5" s="106">
        <v>1</v>
      </c>
      <c r="D5" s="106">
        <v>1</v>
      </c>
      <c r="E5" s="106">
        <v>1</v>
      </c>
      <c r="F5" s="106">
        <v>1</v>
      </c>
      <c r="I5" s="106" t="s">
        <v>1766</v>
      </c>
      <c r="J5" s="106" t="s">
        <v>1766</v>
      </c>
      <c r="K5" s="106" t="s">
        <v>1766</v>
      </c>
      <c r="L5" s="106" t="s">
        <v>1766</v>
      </c>
      <c r="M5" s="106" t="s">
        <v>100</v>
      </c>
      <c r="N5" s="106">
        <v>3</v>
      </c>
      <c r="O5" s="106">
        <v>3</v>
      </c>
      <c r="T5" s="106" t="s">
        <v>1766</v>
      </c>
      <c r="V5" s="106">
        <v>40000</v>
      </c>
      <c r="W5" s="106">
        <v>1</v>
      </c>
      <c r="X5" s="106">
        <v>1</v>
      </c>
      <c r="Y5" s="106" t="s">
        <v>1766</v>
      </c>
      <c r="Z5" s="106" t="s">
        <v>1766</v>
      </c>
      <c r="AA5" s="106">
        <v>20000</v>
      </c>
      <c r="AB5" s="106">
        <v>20000</v>
      </c>
      <c r="AC5" s="106">
        <v>0</v>
      </c>
      <c r="AD5" s="106">
        <v>0</v>
      </c>
      <c r="AE5" s="106">
        <v>40000</v>
      </c>
      <c r="AF5" s="106">
        <v>40000</v>
      </c>
      <c r="AH5" s="106">
        <v>720</v>
      </c>
      <c r="AI5" s="106">
        <v>0</v>
      </c>
      <c r="AJ5" s="106">
        <v>1</v>
      </c>
      <c r="AK5" s="106">
        <v>120</v>
      </c>
      <c r="AL5" s="106">
        <v>120</v>
      </c>
      <c r="AM5" s="106">
        <v>300</v>
      </c>
      <c r="AN5" s="106">
        <v>300</v>
      </c>
      <c r="AO5" s="106">
        <v>150</v>
      </c>
      <c r="AP5" s="106" t="s">
        <v>1767</v>
      </c>
      <c r="AQ5" s="106" t="s">
        <v>1768</v>
      </c>
      <c r="AR5" s="106">
        <v>6001</v>
      </c>
      <c r="AS5" s="106">
        <v>400</v>
      </c>
      <c r="AT5" s="106">
        <v>400</v>
      </c>
      <c r="AU5" s="108" t="s">
        <v>1769</v>
      </c>
      <c r="AV5" s="108" t="s">
        <v>1770</v>
      </c>
      <c r="AW5" s="109">
        <v>8025</v>
      </c>
      <c r="AX5" s="109">
        <v>0</v>
      </c>
      <c r="AY5" s="109">
        <v>0</v>
      </c>
      <c r="AZ5" s="106" t="s">
        <v>72</v>
      </c>
      <c r="BA5" s="106" t="s">
        <v>73</v>
      </c>
      <c r="BB5" s="106">
        <v>1202</v>
      </c>
      <c r="BC5" s="34">
        <v>2</v>
      </c>
      <c r="BD5" s="34">
        <v>4</v>
      </c>
      <c r="BE5" s="112" t="s">
        <v>74</v>
      </c>
      <c r="BF5" s="112" t="s">
        <v>75</v>
      </c>
      <c r="BG5" s="112">
        <v>1205</v>
      </c>
      <c r="BH5" s="112">
        <v>2</v>
      </c>
      <c r="BI5" s="112" t="s">
        <v>76</v>
      </c>
      <c r="BJ5" s="112" t="s">
        <v>77</v>
      </c>
      <c r="BK5" s="112">
        <v>1209</v>
      </c>
      <c r="BL5" s="112">
        <v>2</v>
      </c>
      <c r="BM5" s="112" t="s">
        <v>78</v>
      </c>
      <c r="BN5" s="112" t="s">
        <v>79</v>
      </c>
      <c r="BO5" s="112">
        <v>1210</v>
      </c>
      <c r="BP5" s="112">
        <v>1</v>
      </c>
      <c r="BQ5" s="112" t="s">
        <v>80</v>
      </c>
      <c r="BR5" s="112" t="s">
        <v>81</v>
      </c>
      <c r="BS5" s="112">
        <v>1237</v>
      </c>
      <c r="BT5" s="112">
        <v>0</v>
      </c>
      <c r="BU5" s="108"/>
      <c r="BV5" s="108"/>
      <c r="BW5" s="108"/>
      <c r="BX5" s="108"/>
      <c r="BY5" s="112" t="s">
        <v>1766</v>
      </c>
      <c r="BZ5" s="112" t="s">
        <v>1766</v>
      </c>
      <c r="CA5" s="112" t="s">
        <v>1766</v>
      </c>
      <c r="CB5" s="112" t="s">
        <v>1766</v>
      </c>
      <c r="CD5" s="112" t="s">
        <v>1766</v>
      </c>
      <c r="CE5" s="112" t="s">
        <v>1766</v>
      </c>
      <c r="CG5" s="112" t="s">
        <v>1766</v>
      </c>
      <c r="CH5" s="112" t="s">
        <v>1766</v>
      </c>
      <c r="CJ5" s="112" t="s">
        <v>1766</v>
      </c>
      <c r="CK5" s="112" t="s">
        <v>1766</v>
      </c>
      <c r="CM5" s="112" t="s">
        <v>1766</v>
      </c>
      <c r="CN5" s="112" t="s">
        <v>1766</v>
      </c>
      <c r="CP5" s="112">
        <v>4</v>
      </c>
      <c r="CQ5" s="112" t="s">
        <v>1371</v>
      </c>
      <c r="CR5" s="112" t="s">
        <v>98</v>
      </c>
      <c r="CS5" s="112">
        <v>1</v>
      </c>
      <c r="CT5" s="112">
        <v>4</v>
      </c>
      <c r="CU5" s="112">
        <v>4</v>
      </c>
      <c r="CV5" s="112" t="s">
        <v>1371</v>
      </c>
      <c r="CW5" s="112" t="s">
        <v>99</v>
      </c>
      <c r="CX5" s="112" t="s">
        <v>1766</v>
      </c>
      <c r="DA5" s="112" t="s">
        <v>102</v>
      </c>
      <c r="DB5" s="112" t="s">
        <v>103</v>
      </c>
    </row>
    <row r="6" spans="1:106">
      <c r="A6" s="106" t="s">
        <v>66</v>
      </c>
      <c r="B6" s="106">
        <v>5</v>
      </c>
      <c r="C6" s="106">
        <v>2</v>
      </c>
      <c r="D6" s="106">
        <v>1</v>
      </c>
      <c r="E6" s="106">
        <v>1</v>
      </c>
      <c r="F6" s="106">
        <v>1</v>
      </c>
      <c r="G6" s="106" t="s">
        <v>418</v>
      </c>
      <c r="H6" s="106" t="s">
        <v>442</v>
      </c>
      <c r="I6" s="106">
        <v>215</v>
      </c>
      <c r="J6" s="106">
        <v>222</v>
      </c>
      <c r="K6" s="106" t="s">
        <v>1219</v>
      </c>
      <c r="L6" s="106" t="s">
        <v>1220</v>
      </c>
      <c r="M6" s="106" t="s">
        <v>104</v>
      </c>
      <c r="N6" s="106">
        <v>4</v>
      </c>
      <c r="O6" s="106">
        <v>4</v>
      </c>
      <c r="T6" s="106" t="s">
        <v>1766</v>
      </c>
      <c r="V6" s="106">
        <v>77200</v>
      </c>
      <c r="W6" s="106">
        <v>1</v>
      </c>
      <c r="X6" s="106">
        <v>1</v>
      </c>
      <c r="Y6" s="106">
        <v>1</v>
      </c>
      <c r="Z6" s="106" t="s">
        <v>1766</v>
      </c>
      <c r="AA6" s="106">
        <v>26000</v>
      </c>
      <c r="AB6" s="106">
        <v>26000</v>
      </c>
      <c r="AC6" s="106">
        <v>26000</v>
      </c>
      <c r="AD6" s="106">
        <v>0</v>
      </c>
      <c r="AE6" s="106">
        <v>78000</v>
      </c>
      <c r="AF6" s="106">
        <v>78000</v>
      </c>
      <c r="AH6" s="106">
        <v>1500</v>
      </c>
      <c r="AI6" s="106">
        <v>0</v>
      </c>
      <c r="AJ6" s="106">
        <v>2</v>
      </c>
      <c r="AK6" s="106">
        <v>120</v>
      </c>
      <c r="AL6" s="106">
        <v>240</v>
      </c>
      <c r="AM6" s="106">
        <v>960</v>
      </c>
      <c r="AN6" s="106">
        <v>960</v>
      </c>
      <c r="AO6" s="106">
        <v>304</v>
      </c>
      <c r="AP6" s="106" t="s">
        <v>1767</v>
      </c>
      <c r="AQ6" s="106" t="s">
        <v>1768</v>
      </c>
      <c r="AR6" s="106">
        <v>6001</v>
      </c>
      <c r="AS6" s="106">
        <v>700</v>
      </c>
      <c r="AT6" s="106">
        <v>700</v>
      </c>
      <c r="AU6" s="108" t="s">
        <v>1769</v>
      </c>
      <c r="AV6" s="108" t="s">
        <v>1770</v>
      </c>
      <c r="AW6" s="109">
        <v>8025</v>
      </c>
      <c r="AX6" s="109">
        <v>0</v>
      </c>
      <c r="AY6" s="109">
        <v>0</v>
      </c>
      <c r="AZ6" s="106" t="s">
        <v>72</v>
      </c>
      <c r="BA6" s="106" t="s">
        <v>73</v>
      </c>
      <c r="BB6" s="106">
        <v>1202</v>
      </c>
      <c r="BC6" s="34">
        <v>3</v>
      </c>
      <c r="BD6" s="34">
        <v>4</v>
      </c>
      <c r="BE6" s="112" t="s">
        <v>74</v>
      </c>
      <c r="BF6" s="112" t="s">
        <v>75</v>
      </c>
      <c r="BG6" s="112">
        <v>1205</v>
      </c>
      <c r="BH6" s="112">
        <v>2</v>
      </c>
      <c r="BI6" s="112" t="s">
        <v>76</v>
      </c>
      <c r="BJ6" s="112" t="s">
        <v>77</v>
      </c>
      <c r="BK6" s="112">
        <v>1209</v>
      </c>
      <c r="BL6" s="112">
        <v>2</v>
      </c>
      <c r="BM6" s="112" t="s">
        <v>78</v>
      </c>
      <c r="BN6" s="112" t="s">
        <v>79</v>
      </c>
      <c r="BO6" s="112">
        <v>1210</v>
      </c>
      <c r="BP6" s="112">
        <v>1</v>
      </c>
      <c r="BQ6" s="112" t="s">
        <v>80</v>
      </c>
      <c r="BR6" s="112" t="s">
        <v>81</v>
      </c>
      <c r="BS6" s="112">
        <v>1237</v>
      </c>
      <c r="BT6" s="112">
        <v>0</v>
      </c>
      <c r="BU6" s="108"/>
      <c r="BV6" s="108"/>
      <c r="BW6" s="108"/>
      <c r="BX6" s="108"/>
      <c r="BY6" s="112" t="s">
        <v>1766</v>
      </c>
      <c r="BZ6" s="112" t="s">
        <v>1766</v>
      </c>
      <c r="CA6" s="112" t="s">
        <v>1766</v>
      </c>
      <c r="CB6" s="112" t="s">
        <v>1766</v>
      </c>
      <c r="CD6" s="112" t="s">
        <v>1766</v>
      </c>
      <c r="CE6" s="112" t="s">
        <v>1766</v>
      </c>
      <c r="CG6" s="112" t="s">
        <v>1766</v>
      </c>
      <c r="CH6" s="112" t="s">
        <v>1766</v>
      </c>
      <c r="CJ6" s="112" t="s">
        <v>1766</v>
      </c>
      <c r="CK6" s="112" t="s">
        <v>1766</v>
      </c>
      <c r="CM6" s="112" t="s">
        <v>1766</v>
      </c>
      <c r="CN6" s="112" t="s">
        <v>1766</v>
      </c>
      <c r="CP6" s="112">
        <v>5</v>
      </c>
      <c r="CQ6" s="112" t="s">
        <v>1382</v>
      </c>
      <c r="CR6" s="112" t="s">
        <v>102</v>
      </c>
      <c r="CS6" s="112">
        <v>1</v>
      </c>
      <c r="CT6" s="112">
        <v>5</v>
      </c>
      <c r="CU6" s="112">
        <v>5</v>
      </c>
      <c r="CV6" s="112" t="s">
        <v>1382</v>
      </c>
      <c r="CW6" s="112" t="s">
        <v>103</v>
      </c>
      <c r="CX6" s="112" t="s">
        <v>1766</v>
      </c>
      <c r="DA6" s="112" t="s">
        <v>106</v>
      </c>
      <c r="DB6" s="112" t="s">
        <v>107</v>
      </c>
    </row>
    <row r="7" spans="1:106">
      <c r="A7" s="106" t="s">
        <v>66</v>
      </c>
      <c r="B7" s="106">
        <v>6</v>
      </c>
      <c r="C7" s="106">
        <v>2</v>
      </c>
      <c r="D7" s="106">
        <v>1</v>
      </c>
      <c r="E7" s="106">
        <v>1</v>
      </c>
      <c r="F7" s="106">
        <v>1</v>
      </c>
      <c r="G7" s="106" t="s">
        <v>418</v>
      </c>
      <c r="H7" s="106" t="s">
        <v>469</v>
      </c>
      <c r="I7" s="106">
        <v>215</v>
      </c>
      <c r="J7" s="106">
        <v>226</v>
      </c>
      <c r="K7" s="106" t="s">
        <v>1224</v>
      </c>
      <c r="L7" s="106" t="s">
        <v>1225</v>
      </c>
      <c r="M7" s="106" t="s">
        <v>108</v>
      </c>
      <c r="N7" s="106">
        <v>5</v>
      </c>
      <c r="O7" s="106">
        <v>5</v>
      </c>
      <c r="T7" s="106" t="s">
        <v>1766</v>
      </c>
      <c r="V7" s="106">
        <v>143592</v>
      </c>
      <c r="W7" s="106">
        <v>1</v>
      </c>
      <c r="X7" s="106">
        <v>1</v>
      </c>
      <c r="Y7" s="106">
        <v>1</v>
      </c>
      <c r="Z7" s="106" t="s">
        <v>1766</v>
      </c>
      <c r="AA7" s="106">
        <v>48000</v>
      </c>
      <c r="AB7" s="106">
        <v>48000</v>
      </c>
      <c r="AC7" s="106">
        <v>48000</v>
      </c>
      <c r="AD7" s="106">
        <v>0</v>
      </c>
      <c r="AE7" s="106">
        <v>144000</v>
      </c>
      <c r="AF7" s="106">
        <v>144000</v>
      </c>
      <c r="AH7" s="106">
        <v>2700</v>
      </c>
      <c r="AI7" s="106">
        <v>0</v>
      </c>
      <c r="AJ7" s="106">
        <v>2</v>
      </c>
      <c r="AK7" s="106">
        <v>120</v>
      </c>
      <c r="AL7" s="106">
        <v>240</v>
      </c>
      <c r="AM7" s="106">
        <v>2160</v>
      </c>
      <c r="AN7" s="106">
        <v>2160</v>
      </c>
      <c r="AO7" s="106">
        <v>591</v>
      </c>
      <c r="AP7" s="106" t="s">
        <v>1767</v>
      </c>
      <c r="AQ7" s="106" t="s">
        <v>1768</v>
      </c>
      <c r="AR7" s="106">
        <v>6001</v>
      </c>
      <c r="AS7" s="106">
        <v>1000</v>
      </c>
      <c r="AT7" s="106">
        <v>1000</v>
      </c>
      <c r="AU7" s="108" t="s">
        <v>1769</v>
      </c>
      <c r="AV7" s="108" t="s">
        <v>1770</v>
      </c>
      <c r="AW7" s="109">
        <v>8025</v>
      </c>
      <c r="AX7" s="109">
        <v>0</v>
      </c>
      <c r="AY7" s="109">
        <v>0</v>
      </c>
      <c r="AZ7" s="106" t="s">
        <v>72</v>
      </c>
      <c r="BA7" s="106" t="s">
        <v>73</v>
      </c>
      <c r="BB7" s="106">
        <v>1202</v>
      </c>
      <c r="BC7" s="34">
        <v>3</v>
      </c>
      <c r="BD7" s="34">
        <v>4</v>
      </c>
      <c r="BE7" s="112" t="s">
        <v>74</v>
      </c>
      <c r="BF7" s="112" t="s">
        <v>75</v>
      </c>
      <c r="BG7" s="112">
        <v>1205</v>
      </c>
      <c r="BH7" s="112">
        <v>2</v>
      </c>
      <c r="BI7" s="112" t="s">
        <v>76</v>
      </c>
      <c r="BJ7" s="112" t="s">
        <v>77</v>
      </c>
      <c r="BK7" s="112">
        <v>1209</v>
      </c>
      <c r="BL7" s="112">
        <v>2</v>
      </c>
      <c r="BM7" s="112" t="s">
        <v>78</v>
      </c>
      <c r="BN7" s="112" t="s">
        <v>79</v>
      </c>
      <c r="BO7" s="112">
        <v>1210</v>
      </c>
      <c r="BP7" s="112">
        <v>1</v>
      </c>
      <c r="BQ7" s="112" t="s">
        <v>80</v>
      </c>
      <c r="BR7" s="112" t="s">
        <v>81</v>
      </c>
      <c r="BS7" s="112">
        <v>1237</v>
      </c>
      <c r="BT7" s="112">
        <v>0</v>
      </c>
      <c r="BU7" s="108"/>
      <c r="BV7" s="108"/>
      <c r="BW7" s="108"/>
      <c r="BX7" s="108"/>
      <c r="BY7" s="112" t="s">
        <v>1766</v>
      </c>
      <c r="BZ7" s="112" t="s">
        <v>1766</v>
      </c>
      <c r="CA7" s="112" t="s">
        <v>1766</v>
      </c>
      <c r="CB7" s="112" t="s">
        <v>1766</v>
      </c>
      <c r="CD7" s="112" t="s">
        <v>1766</v>
      </c>
      <c r="CE7" s="112" t="s">
        <v>1766</v>
      </c>
      <c r="CG7" s="112" t="s">
        <v>1766</v>
      </c>
      <c r="CH7" s="112" t="s">
        <v>1766</v>
      </c>
      <c r="CJ7" s="112" t="s">
        <v>1766</v>
      </c>
      <c r="CK7" s="112" t="s">
        <v>1766</v>
      </c>
      <c r="CM7" s="112" t="s">
        <v>1766</v>
      </c>
      <c r="CN7" s="112" t="s">
        <v>1766</v>
      </c>
      <c r="CP7" s="112">
        <v>6</v>
      </c>
      <c r="CQ7" s="112" t="s">
        <v>1539</v>
      </c>
      <c r="CR7" s="112" t="s">
        <v>106</v>
      </c>
      <c r="CS7" s="112">
        <v>1</v>
      </c>
      <c r="CT7" s="112">
        <v>6</v>
      </c>
      <c r="CU7" s="112">
        <v>6</v>
      </c>
      <c r="CV7" s="112" t="s">
        <v>1539</v>
      </c>
      <c r="CW7" s="112" t="s">
        <v>107</v>
      </c>
      <c r="CX7" s="112" t="s">
        <v>1766</v>
      </c>
      <c r="DA7" s="112" t="s">
        <v>110</v>
      </c>
      <c r="DB7" s="112" t="s">
        <v>111</v>
      </c>
    </row>
    <row r="8" spans="1:106">
      <c r="A8" s="106" t="s">
        <v>66</v>
      </c>
      <c r="B8" s="106">
        <v>7</v>
      </c>
      <c r="C8" s="106">
        <v>2</v>
      </c>
      <c r="D8" s="106">
        <v>1</v>
      </c>
      <c r="E8" s="106">
        <v>1</v>
      </c>
      <c r="F8" s="106">
        <v>1</v>
      </c>
      <c r="G8" s="106" t="s">
        <v>418</v>
      </c>
      <c r="H8" s="106" t="s">
        <v>591</v>
      </c>
      <c r="I8" s="106">
        <v>215</v>
      </c>
      <c r="J8" s="106">
        <v>231</v>
      </c>
      <c r="K8" s="106" t="s">
        <v>1229</v>
      </c>
      <c r="L8" s="106" t="s">
        <v>1230</v>
      </c>
      <c r="M8" s="106" t="s">
        <v>112</v>
      </c>
      <c r="N8" s="106">
        <v>6</v>
      </c>
      <c r="O8" s="106">
        <v>6</v>
      </c>
      <c r="T8" s="106" t="s">
        <v>1766</v>
      </c>
      <c r="V8" s="106">
        <v>257029.68</v>
      </c>
      <c r="W8" s="106">
        <v>1</v>
      </c>
      <c r="X8" s="106">
        <v>1</v>
      </c>
      <c r="Y8" s="106">
        <v>1</v>
      </c>
      <c r="Z8" s="106" t="s">
        <v>1766</v>
      </c>
      <c r="AA8" s="106">
        <v>86000</v>
      </c>
      <c r="AB8" s="106">
        <v>86000</v>
      </c>
      <c r="AC8" s="106">
        <v>86000</v>
      </c>
      <c r="AD8" s="106">
        <v>0</v>
      </c>
      <c r="AE8" s="106">
        <v>258000</v>
      </c>
      <c r="AF8" s="106">
        <v>258000</v>
      </c>
      <c r="AH8" s="106">
        <v>4500</v>
      </c>
      <c r="AI8" s="106">
        <v>0</v>
      </c>
      <c r="AJ8" s="106">
        <v>3</v>
      </c>
      <c r="AK8" s="106">
        <v>120</v>
      </c>
      <c r="AL8" s="106">
        <v>360</v>
      </c>
      <c r="AM8" s="106">
        <v>3840</v>
      </c>
      <c r="AN8" s="106">
        <v>3840</v>
      </c>
      <c r="AO8" s="106">
        <v>1105</v>
      </c>
      <c r="AP8" s="106" t="s">
        <v>1767</v>
      </c>
      <c r="AQ8" s="106" t="s">
        <v>1768</v>
      </c>
      <c r="AR8" s="106">
        <v>6001</v>
      </c>
      <c r="AS8" s="106">
        <v>1500</v>
      </c>
      <c r="AT8" s="106">
        <v>1500</v>
      </c>
      <c r="AU8" s="108" t="s">
        <v>1769</v>
      </c>
      <c r="AV8" s="108" t="s">
        <v>1770</v>
      </c>
      <c r="AW8" s="109">
        <v>8025</v>
      </c>
      <c r="AX8" s="109">
        <v>0</v>
      </c>
      <c r="AY8" s="109">
        <v>0</v>
      </c>
      <c r="AZ8" s="106" t="s">
        <v>72</v>
      </c>
      <c r="BA8" s="106" t="s">
        <v>73</v>
      </c>
      <c r="BB8" s="106">
        <v>1202</v>
      </c>
      <c r="BC8" s="34">
        <v>4</v>
      </c>
      <c r="BD8" s="34">
        <v>4</v>
      </c>
      <c r="BE8" s="112" t="s">
        <v>74</v>
      </c>
      <c r="BF8" s="112" t="s">
        <v>75</v>
      </c>
      <c r="BG8" s="112">
        <v>1205</v>
      </c>
      <c r="BH8" s="112">
        <v>2</v>
      </c>
      <c r="BI8" s="112" t="s">
        <v>76</v>
      </c>
      <c r="BJ8" s="112" t="s">
        <v>77</v>
      </c>
      <c r="BK8" s="112">
        <v>1209</v>
      </c>
      <c r="BL8" s="112">
        <v>2</v>
      </c>
      <c r="BM8" s="112" t="s">
        <v>78</v>
      </c>
      <c r="BN8" s="112" t="s">
        <v>79</v>
      </c>
      <c r="BO8" s="112">
        <v>1210</v>
      </c>
      <c r="BP8" s="112">
        <v>1</v>
      </c>
      <c r="BQ8" s="112" t="s">
        <v>80</v>
      </c>
      <c r="BR8" s="112" t="s">
        <v>81</v>
      </c>
      <c r="BS8" s="112">
        <v>1237</v>
      </c>
      <c r="BT8" s="112">
        <v>0</v>
      </c>
      <c r="BU8" s="108"/>
      <c r="BV8" s="108"/>
      <c r="BW8" s="108"/>
      <c r="BX8" s="108"/>
      <c r="BY8" s="112" t="s">
        <v>1766</v>
      </c>
      <c r="BZ8" s="112" t="s">
        <v>1766</v>
      </c>
      <c r="CA8" s="112" t="s">
        <v>1766</v>
      </c>
      <c r="CB8" s="112" t="s">
        <v>1766</v>
      </c>
      <c r="CD8" s="112" t="s">
        <v>1766</v>
      </c>
      <c r="CE8" s="112" t="s">
        <v>1766</v>
      </c>
      <c r="CG8" s="112" t="s">
        <v>1766</v>
      </c>
      <c r="CH8" s="112" t="s">
        <v>1766</v>
      </c>
      <c r="CJ8" s="112" t="s">
        <v>1766</v>
      </c>
      <c r="CK8" s="112" t="s">
        <v>1766</v>
      </c>
      <c r="CM8" s="112" t="s">
        <v>1766</v>
      </c>
      <c r="CN8" s="112" t="s">
        <v>1766</v>
      </c>
      <c r="CP8" s="112">
        <v>7</v>
      </c>
      <c r="CQ8" s="112" t="s">
        <v>1777</v>
      </c>
      <c r="CR8" s="112" t="s">
        <v>114</v>
      </c>
      <c r="CS8" s="112">
        <v>1</v>
      </c>
      <c r="CT8" s="112">
        <v>7</v>
      </c>
      <c r="CU8" s="112">
        <v>7</v>
      </c>
      <c r="CV8" s="112" t="s">
        <v>1777</v>
      </c>
      <c r="CW8" s="112" t="s">
        <v>114</v>
      </c>
      <c r="CX8" s="112" t="s">
        <v>1766</v>
      </c>
      <c r="DA8" s="112" t="s">
        <v>68</v>
      </c>
      <c r="DB8" s="112" t="s">
        <v>89</v>
      </c>
    </row>
    <row r="9" spans="1:106">
      <c r="A9" s="106" t="s">
        <v>66</v>
      </c>
      <c r="B9" s="106">
        <v>8</v>
      </c>
      <c r="C9" s="106">
        <v>2</v>
      </c>
      <c r="D9" s="106">
        <v>1</v>
      </c>
      <c r="E9" s="106">
        <v>1</v>
      </c>
      <c r="F9" s="106">
        <v>1</v>
      </c>
      <c r="G9" s="106" t="s">
        <v>418</v>
      </c>
      <c r="H9" s="106" t="s">
        <v>293</v>
      </c>
      <c r="I9" s="106">
        <v>215</v>
      </c>
      <c r="J9" s="106">
        <v>206</v>
      </c>
      <c r="K9" s="106" t="s">
        <v>1233</v>
      </c>
      <c r="L9" s="106" t="s">
        <v>1234</v>
      </c>
      <c r="M9" s="106" t="s">
        <v>115</v>
      </c>
      <c r="N9" s="106">
        <v>7</v>
      </c>
      <c r="O9" s="106">
        <v>7</v>
      </c>
      <c r="T9" s="106" t="s">
        <v>1766</v>
      </c>
      <c r="V9" s="106">
        <v>442091.04960000003</v>
      </c>
      <c r="W9" s="106">
        <v>1</v>
      </c>
      <c r="X9" s="106">
        <v>1</v>
      </c>
      <c r="Y9" s="106">
        <v>1</v>
      </c>
      <c r="Z9" s="106" t="s">
        <v>1766</v>
      </c>
      <c r="AA9" s="106">
        <v>150000</v>
      </c>
      <c r="AB9" s="106">
        <v>150000</v>
      </c>
      <c r="AC9" s="106">
        <v>150000</v>
      </c>
      <c r="AD9" s="106">
        <v>0</v>
      </c>
      <c r="AE9" s="106">
        <v>450000</v>
      </c>
      <c r="AF9" s="106">
        <v>450000</v>
      </c>
      <c r="AH9" s="106">
        <v>7200</v>
      </c>
      <c r="AI9" s="106">
        <v>0</v>
      </c>
      <c r="AJ9" s="106">
        <v>3</v>
      </c>
      <c r="AK9" s="106">
        <v>120</v>
      </c>
      <c r="AL9" s="106">
        <v>360</v>
      </c>
      <c r="AM9" s="106">
        <v>6540</v>
      </c>
      <c r="AN9" s="106">
        <v>6540</v>
      </c>
      <c r="AO9" s="106">
        <v>1989</v>
      </c>
      <c r="AP9" s="106" t="s">
        <v>1767</v>
      </c>
      <c r="AQ9" s="106" t="s">
        <v>1768</v>
      </c>
      <c r="AR9" s="106">
        <v>6001</v>
      </c>
      <c r="AS9" s="106">
        <v>2000</v>
      </c>
      <c r="AT9" s="106">
        <v>2000</v>
      </c>
      <c r="AU9" s="108" t="s">
        <v>1769</v>
      </c>
      <c r="AV9" s="108" t="s">
        <v>1770</v>
      </c>
      <c r="AW9" s="109">
        <v>8025</v>
      </c>
      <c r="AX9" s="109">
        <v>1</v>
      </c>
      <c r="AY9" s="109">
        <v>1</v>
      </c>
      <c r="AZ9" s="106" t="s">
        <v>72</v>
      </c>
      <c r="BA9" s="106" t="s">
        <v>73</v>
      </c>
      <c r="BB9" s="106">
        <v>1202</v>
      </c>
      <c r="BC9" s="106">
        <v>4</v>
      </c>
      <c r="BD9" s="106">
        <v>4</v>
      </c>
      <c r="BE9" s="112" t="s">
        <v>74</v>
      </c>
      <c r="BF9" s="112" t="s">
        <v>75</v>
      </c>
      <c r="BG9" s="112">
        <v>1205</v>
      </c>
      <c r="BH9" s="112">
        <v>2</v>
      </c>
      <c r="BI9" s="112" t="s">
        <v>76</v>
      </c>
      <c r="BJ9" s="112" t="s">
        <v>77</v>
      </c>
      <c r="BK9" s="112">
        <v>1209</v>
      </c>
      <c r="BL9" s="112">
        <v>2</v>
      </c>
      <c r="BM9" s="112" t="s">
        <v>78</v>
      </c>
      <c r="BN9" s="112" t="s">
        <v>79</v>
      </c>
      <c r="BO9" s="112">
        <v>1210</v>
      </c>
      <c r="BP9" s="112">
        <v>1</v>
      </c>
      <c r="BQ9" s="112" t="s">
        <v>80</v>
      </c>
      <c r="BR9" s="112" t="s">
        <v>81</v>
      </c>
      <c r="BS9" s="112">
        <v>1237</v>
      </c>
      <c r="BT9" s="112">
        <v>0</v>
      </c>
      <c r="BU9" s="108"/>
      <c r="BV9" s="108"/>
      <c r="BW9" s="108"/>
      <c r="BX9" s="108"/>
      <c r="BY9" s="112" t="s">
        <v>1766</v>
      </c>
      <c r="BZ9" s="112" t="s">
        <v>1766</v>
      </c>
      <c r="CA9" s="112" t="s">
        <v>1766</v>
      </c>
      <c r="CB9" s="112" t="s">
        <v>1766</v>
      </c>
      <c r="CD9" s="112" t="s">
        <v>1766</v>
      </c>
      <c r="CE9" s="112" t="s">
        <v>1766</v>
      </c>
      <c r="CG9" s="112" t="s">
        <v>1766</v>
      </c>
      <c r="CH9" s="112" t="s">
        <v>1766</v>
      </c>
      <c r="CJ9" s="112" t="s">
        <v>1766</v>
      </c>
      <c r="CK9" s="112" t="s">
        <v>1766</v>
      </c>
      <c r="CM9" s="112" t="s">
        <v>1766</v>
      </c>
      <c r="CN9" s="112" t="s">
        <v>1766</v>
      </c>
      <c r="CP9" s="112">
        <v>8</v>
      </c>
      <c r="CQ9" s="112" t="s">
        <v>1777</v>
      </c>
      <c r="CR9" s="112" t="s">
        <v>114</v>
      </c>
      <c r="CS9" s="112">
        <v>0.5</v>
      </c>
      <c r="CT9" s="112" t="s">
        <v>1766</v>
      </c>
      <c r="CU9" s="112">
        <v>8</v>
      </c>
      <c r="CV9" s="112" t="s">
        <v>1419</v>
      </c>
      <c r="CW9" s="112" t="s">
        <v>122</v>
      </c>
      <c r="CX9" s="112" t="s">
        <v>1766</v>
      </c>
      <c r="DA9" s="112" t="s">
        <v>118</v>
      </c>
      <c r="DB9" s="112" t="s">
        <v>119</v>
      </c>
    </row>
    <row r="10" spans="1:106">
      <c r="A10" s="106" t="s">
        <v>66</v>
      </c>
      <c r="B10" s="106">
        <v>9</v>
      </c>
      <c r="C10" s="106">
        <v>2</v>
      </c>
      <c r="D10" s="106">
        <v>1</v>
      </c>
      <c r="E10" s="106">
        <v>1</v>
      </c>
      <c r="F10" s="106">
        <v>1</v>
      </c>
      <c r="G10" s="106" t="s">
        <v>418</v>
      </c>
      <c r="H10" s="106" t="s">
        <v>539</v>
      </c>
      <c r="I10" s="106">
        <v>215</v>
      </c>
      <c r="J10" s="106">
        <v>230</v>
      </c>
      <c r="K10" s="106" t="s">
        <v>1238</v>
      </c>
      <c r="L10" s="106" t="s">
        <v>1239</v>
      </c>
      <c r="M10" s="106" t="s">
        <v>120</v>
      </c>
      <c r="N10" s="106">
        <v>8</v>
      </c>
      <c r="O10" s="106">
        <v>8</v>
      </c>
      <c r="T10" s="106" t="s">
        <v>1766</v>
      </c>
      <c r="V10" s="106">
        <v>729450.23184000002</v>
      </c>
      <c r="W10" s="106">
        <v>1</v>
      </c>
      <c r="X10" s="106">
        <v>1</v>
      </c>
      <c r="Y10" s="106">
        <v>1</v>
      </c>
      <c r="Z10" s="106" t="s">
        <v>1766</v>
      </c>
      <c r="AA10" s="106">
        <v>240000</v>
      </c>
      <c r="AB10" s="106">
        <v>240000</v>
      </c>
      <c r="AC10" s="106">
        <v>240000</v>
      </c>
      <c r="AD10" s="106">
        <v>0</v>
      </c>
      <c r="AE10" s="106">
        <v>720000</v>
      </c>
      <c r="AF10" s="106">
        <v>720000</v>
      </c>
      <c r="AH10" s="106">
        <v>14400</v>
      </c>
      <c r="AI10" s="106">
        <v>0</v>
      </c>
      <c r="AJ10" s="106">
        <v>4</v>
      </c>
      <c r="AK10" s="106">
        <v>144</v>
      </c>
      <c r="AL10" s="106">
        <v>576</v>
      </c>
      <c r="AM10" s="106">
        <v>13524</v>
      </c>
      <c r="AN10" s="106">
        <v>13524</v>
      </c>
      <c r="AO10" s="106">
        <v>3448</v>
      </c>
      <c r="AP10" s="106" t="s">
        <v>1767</v>
      </c>
      <c r="AQ10" s="106" t="s">
        <v>1768</v>
      </c>
      <c r="AR10" s="106">
        <v>6001</v>
      </c>
      <c r="AS10" s="106">
        <v>2500</v>
      </c>
      <c r="AT10" s="106">
        <v>2500</v>
      </c>
      <c r="AU10" s="108" t="s">
        <v>1769</v>
      </c>
      <c r="AV10" s="108" t="s">
        <v>1770</v>
      </c>
      <c r="AW10" s="109">
        <v>8025</v>
      </c>
      <c r="AX10" s="109">
        <v>1</v>
      </c>
      <c r="AY10" s="109">
        <v>1</v>
      </c>
      <c r="AZ10" s="106" t="s">
        <v>72</v>
      </c>
      <c r="BA10" s="106" t="s">
        <v>73</v>
      </c>
      <c r="BB10" s="106">
        <v>1202</v>
      </c>
      <c r="BC10" s="106">
        <v>4</v>
      </c>
      <c r="BD10" s="106">
        <v>4</v>
      </c>
      <c r="BE10" s="112" t="s">
        <v>74</v>
      </c>
      <c r="BF10" s="112" t="s">
        <v>75</v>
      </c>
      <c r="BG10" s="112">
        <v>1205</v>
      </c>
      <c r="BH10" s="112">
        <v>2</v>
      </c>
      <c r="BI10" s="112" t="s">
        <v>76</v>
      </c>
      <c r="BJ10" s="112" t="s">
        <v>77</v>
      </c>
      <c r="BK10" s="112">
        <v>1209</v>
      </c>
      <c r="BL10" s="112">
        <v>2</v>
      </c>
      <c r="BM10" s="112" t="s">
        <v>78</v>
      </c>
      <c r="BN10" s="112" t="s">
        <v>79</v>
      </c>
      <c r="BO10" s="112">
        <v>1210</v>
      </c>
      <c r="BP10" s="112">
        <v>2</v>
      </c>
      <c r="BQ10" s="112" t="s">
        <v>80</v>
      </c>
      <c r="BR10" s="112" t="s">
        <v>81</v>
      </c>
      <c r="BS10" s="112">
        <v>1237</v>
      </c>
      <c r="BT10" s="112">
        <v>0</v>
      </c>
      <c r="BU10" s="108"/>
      <c r="BV10" s="108"/>
      <c r="BW10" s="108"/>
      <c r="BX10" s="108"/>
      <c r="BY10" s="112" t="s">
        <v>1766</v>
      </c>
      <c r="BZ10" s="112" t="s">
        <v>1766</v>
      </c>
      <c r="CA10" s="112" t="s">
        <v>1766</v>
      </c>
      <c r="CB10" s="112" t="s">
        <v>1766</v>
      </c>
      <c r="CD10" s="112" t="s">
        <v>1766</v>
      </c>
      <c r="CE10" s="112" t="s">
        <v>1766</v>
      </c>
      <c r="CG10" s="112" t="s">
        <v>1766</v>
      </c>
      <c r="CH10" s="112" t="s">
        <v>1766</v>
      </c>
      <c r="CJ10" s="112" t="s">
        <v>1766</v>
      </c>
      <c r="CK10" s="112" t="s">
        <v>1766</v>
      </c>
      <c r="CM10" s="112" t="s">
        <v>1766</v>
      </c>
      <c r="CN10" s="112" t="s">
        <v>1766</v>
      </c>
      <c r="CP10" s="112">
        <v>9</v>
      </c>
      <c r="CQ10" s="112" t="s">
        <v>1777</v>
      </c>
      <c r="CR10" s="112" t="s">
        <v>114</v>
      </c>
      <c r="CS10" s="112">
        <v>0.33333333333333298</v>
      </c>
      <c r="CT10" s="112" t="s">
        <v>1766</v>
      </c>
      <c r="CU10" s="112">
        <v>9</v>
      </c>
      <c r="CV10" s="112" t="s">
        <v>1778</v>
      </c>
      <c r="CW10" s="112" t="s">
        <v>125</v>
      </c>
      <c r="CX10" s="112" t="s">
        <v>1766</v>
      </c>
      <c r="DA10" s="112" t="s">
        <v>189</v>
      </c>
      <c r="DB10" s="112" t="s">
        <v>1779</v>
      </c>
    </row>
    <row r="11" spans="1:106">
      <c r="A11" s="106" t="s">
        <v>66</v>
      </c>
      <c r="B11" s="106">
        <v>10</v>
      </c>
      <c r="C11" s="106">
        <v>2</v>
      </c>
      <c r="D11" s="106">
        <v>1</v>
      </c>
      <c r="E11" s="106">
        <v>1</v>
      </c>
      <c r="F11" s="106">
        <v>1</v>
      </c>
      <c r="G11" s="106" t="s">
        <v>418</v>
      </c>
      <c r="H11" s="106" t="s">
        <v>605</v>
      </c>
      <c r="I11" s="106">
        <v>215</v>
      </c>
      <c r="J11" s="106">
        <v>211</v>
      </c>
      <c r="K11" s="106" t="s">
        <v>1243</v>
      </c>
      <c r="L11" s="106" t="s">
        <v>1244</v>
      </c>
      <c r="M11" s="106" t="s">
        <v>123</v>
      </c>
      <c r="N11" s="106">
        <v>9</v>
      </c>
      <c r="O11" s="106">
        <v>9</v>
      </c>
      <c r="T11" s="106" t="s">
        <v>1766</v>
      </c>
      <c r="V11" s="106">
        <v>1152531.3663071999</v>
      </c>
      <c r="W11" s="106">
        <v>1</v>
      </c>
      <c r="X11" s="106">
        <v>1</v>
      </c>
      <c r="Y11" s="106">
        <v>1</v>
      </c>
      <c r="Z11" s="106">
        <v>1</v>
      </c>
      <c r="AA11" s="106">
        <v>290000</v>
      </c>
      <c r="AB11" s="106">
        <v>290000</v>
      </c>
      <c r="AC11" s="106">
        <v>290000</v>
      </c>
      <c r="AD11" s="106">
        <v>290000</v>
      </c>
      <c r="AE11" s="106">
        <v>1160000</v>
      </c>
      <c r="AF11" s="106">
        <v>1160000</v>
      </c>
      <c r="AH11" s="106">
        <v>21600</v>
      </c>
      <c r="AI11" s="106">
        <v>0.01</v>
      </c>
      <c r="AJ11" s="106">
        <v>4</v>
      </c>
      <c r="AK11" s="106">
        <v>216</v>
      </c>
      <c r="AL11" s="106">
        <v>864</v>
      </c>
      <c r="AM11" s="106">
        <v>20222</v>
      </c>
      <c r="AN11" s="106">
        <v>20222</v>
      </c>
      <c r="AO11" s="106">
        <v>5753</v>
      </c>
      <c r="AP11" s="106" t="s">
        <v>1767</v>
      </c>
      <c r="AQ11" s="106" t="s">
        <v>1768</v>
      </c>
      <c r="AR11" s="106">
        <v>6001</v>
      </c>
      <c r="AS11" s="106">
        <v>3000</v>
      </c>
      <c r="AT11" s="106">
        <v>3000</v>
      </c>
      <c r="AU11" s="108" t="s">
        <v>1769</v>
      </c>
      <c r="AV11" s="108" t="s">
        <v>1770</v>
      </c>
      <c r="AW11" s="109">
        <v>8025</v>
      </c>
      <c r="AX11" s="109">
        <v>1</v>
      </c>
      <c r="AY11" s="109">
        <v>1</v>
      </c>
      <c r="AZ11" s="106" t="s">
        <v>72</v>
      </c>
      <c r="BA11" s="106" t="s">
        <v>73</v>
      </c>
      <c r="BB11" s="106">
        <v>1202</v>
      </c>
      <c r="BC11" s="106">
        <v>4</v>
      </c>
      <c r="BD11" s="106">
        <v>4</v>
      </c>
      <c r="BE11" s="112" t="s">
        <v>74</v>
      </c>
      <c r="BF11" s="112" t="s">
        <v>75</v>
      </c>
      <c r="BG11" s="112">
        <v>1205</v>
      </c>
      <c r="BH11" s="112">
        <v>2</v>
      </c>
      <c r="BI11" s="112" t="s">
        <v>76</v>
      </c>
      <c r="BJ11" s="112" t="s">
        <v>77</v>
      </c>
      <c r="BK11" s="112">
        <v>1209</v>
      </c>
      <c r="BL11" s="112">
        <v>2</v>
      </c>
      <c r="BM11" s="112" t="s">
        <v>78</v>
      </c>
      <c r="BN11" s="112" t="s">
        <v>79</v>
      </c>
      <c r="BO11" s="112">
        <v>1210</v>
      </c>
      <c r="BP11" s="112">
        <v>2</v>
      </c>
      <c r="BQ11" s="112" t="s">
        <v>80</v>
      </c>
      <c r="BR11" s="112" t="s">
        <v>81</v>
      </c>
      <c r="BS11" s="112">
        <v>1237</v>
      </c>
      <c r="BT11" s="112">
        <v>1</v>
      </c>
      <c r="BU11" s="108"/>
      <c r="BV11" s="108"/>
      <c r="BW11" s="108"/>
      <c r="BX11" s="108"/>
      <c r="BY11" s="112" t="s">
        <v>1766</v>
      </c>
      <c r="BZ11" s="112" t="s">
        <v>1766</v>
      </c>
      <c r="CA11" s="112" t="s">
        <v>1766</v>
      </c>
      <c r="CB11" s="112" t="s">
        <v>1766</v>
      </c>
      <c r="CD11" s="112" t="s">
        <v>1766</v>
      </c>
      <c r="CE11" s="112" t="s">
        <v>1766</v>
      </c>
      <c r="CG11" s="112" t="s">
        <v>1766</v>
      </c>
      <c r="CH11" s="112" t="s">
        <v>1766</v>
      </c>
      <c r="CJ11" s="112" t="s">
        <v>1766</v>
      </c>
      <c r="CK11" s="112" t="s">
        <v>1766</v>
      </c>
      <c r="CM11" s="112" t="s">
        <v>1766</v>
      </c>
      <c r="CN11" s="112" t="s">
        <v>1766</v>
      </c>
      <c r="CP11" s="112">
        <v>10</v>
      </c>
      <c r="CQ11" s="112" t="s">
        <v>1777</v>
      </c>
      <c r="CR11" s="112" t="s">
        <v>114</v>
      </c>
      <c r="CS11" s="112">
        <v>0.25</v>
      </c>
      <c r="CT11" s="112" t="s">
        <v>1766</v>
      </c>
      <c r="CU11" s="112">
        <v>10</v>
      </c>
      <c r="CV11" s="112" t="s">
        <v>1780</v>
      </c>
      <c r="CW11" s="112" t="s">
        <v>128</v>
      </c>
      <c r="CX11" s="112" t="s">
        <v>1766</v>
      </c>
      <c r="DA11" s="112" t="s">
        <v>195</v>
      </c>
      <c r="DB11" s="112" t="s">
        <v>1781</v>
      </c>
    </row>
    <row r="12" spans="1:106">
      <c r="A12" s="106" t="s">
        <v>66</v>
      </c>
      <c r="B12" s="106">
        <v>11</v>
      </c>
      <c r="C12" s="106">
        <v>3</v>
      </c>
      <c r="D12" s="106">
        <v>1</v>
      </c>
      <c r="E12" s="106">
        <v>1</v>
      </c>
      <c r="F12" s="106">
        <v>1</v>
      </c>
      <c r="G12" s="106" t="s">
        <v>418</v>
      </c>
      <c r="H12" s="106" t="s">
        <v>442</v>
      </c>
      <c r="I12" s="106">
        <v>215</v>
      </c>
      <c r="J12" s="106">
        <v>222</v>
      </c>
      <c r="K12" s="106" t="s">
        <v>1219</v>
      </c>
      <c r="L12" s="106" t="s">
        <v>1247</v>
      </c>
      <c r="M12" s="106" t="s">
        <v>126</v>
      </c>
      <c r="N12" s="106">
        <v>10</v>
      </c>
      <c r="O12" s="106">
        <v>10</v>
      </c>
      <c r="R12" s="106" t="s">
        <v>1766</v>
      </c>
      <c r="T12" s="106" t="s">
        <v>1766</v>
      </c>
      <c r="V12" s="106">
        <v>1740322.36312387</v>
      </c>
      <c r="W12" s="106">
        <v>1</v>
      </c>
      <c r="X12" s="106">
        <v>1</v>
      </c>
      <c r="Y12" s="106">
        <v>1</v>
      </c>
      <c r="Z12" s="106">
        <v>1</v>
      </c>
      <c r="AA12" s="106">
        <v>440000</v>
      </c>
      <c r="AB12" s="106">
        <v>440000</v>
      </c>
      <c r="AC12" s="106">
        <v>440000</v>
      </c>
      <c r="AD12" s="106">
        <v>440000</v>
      </c>
      <c r="AE12" s="106">
        <v>1760000</v>
      </c>
      <c r="AF12" s="106">
        <v>1760000</v>
      </c>
      <c r="AH12" s="106">
        <v>32400</v>
      </c>
      <c r="AI12" s="106">
        <v>0.02</v>
      </c>
      <c r="AJ12" s="106">
        <v>5</v>
      </c>
      <c r="AK12" s="106">
        <v>324</v>
      </c>
      <c r="AL12" s="106">
        <v>1620</v>
      </c>
      <c r="AM12" s="106">
        <v>29844</v>
      </c>
      <c r="AN12" s="106">
        <v>29844</v>
      </c>
      <c r="AO12" s="106">
        <v>9234</v>
      </c>
      <c r="AP12" s="106" t="s">
        <v>1767</v>
      </c>
      <c r="AQ12" s="106" t="s">
        <v>1768</v>
      </c>
      <c r="AR12" s="106">
        <v>6001</v>
      </c>
      <c r="AS12" s="106">
        <v>4000</v>
      </c>
      <c r="AT12" s="106">
        <v>4000</v>
      </c>
      <c r="AU12" s="108" t="s">
        <v>1769</v>
      </c>
      <c r="AV12" s="108" t="s">
        <v>1770</v>
      </c>
      <c r="AW12" s="109">
        <v>8025</v>
      </c>
      <c r="AX12" s="109">
        <v>1</v>
      </c>
      <c r="AY12" s="109">
        <v>1</v>
      </c>
      <c r="AZ12" s="106" t="s">
        <v>72</v>
      </c>
      <c r="BA12" s="106" t="s">
        <v>73</v>
      </c>
      <c r="BB12" s="106">
        <v>1202</v>
      </c>
      <c r="BC12" s="106">
        <v>4</v>
      </c>
      <c r="BD12" s="106">
        <v>4</v>
      </c>
      <c r="BE12" s="112" t="s">
        <v>74</v>
      </c>
      <c r="BF12" s="112" t="s">
        <v>75</v>
      </c>
      <c r="BG12" s="112">
        <v>1205</v>
      </c>
      <c r="BH12" s="112">
        <v>2</v>
      </c>
      <c r="BI12" s="112" t="s">
        <v>76</v>
      </c>
      <c r="BJ12" s="112" t="s">
        <v>77</v>
      </c>
      <c r="BK12" s="112">
        <v>1209</v>
      </c>
      <c r="BL12" s="112">
        <v>2</v>
      </c>
      <c r="BM12" s="112" t="s">
        <v>78</v>
      </c>
      <c r="BN12" s="112" t="s">
        <v>79</v>
      </c>
      <c r="BO12" s="112">
        <v>1210</v>
      </c>
      <c r="BP12" s="112">
        <v>2</v>
      </c>
      <c r="BQ12" s="112" t="s">
        <v>80</v>
      </c>
      <c r="BR12" s="112" t="s">
        <v>81</v>
      </c>
      <c r="BS12" s="112">
        <v>1237</v>
      </c>
      <c r="BT12" s="112">
        <v>1</v>
      </c>
      <c r="BU12" s="108"/>
      <c r="BV12" s="108"/>
      <c r="BW12" s="108"/>
      <c r="BX12" s="108"/>
      <c r="BY12" s="112" t="s">
        <v>1766</v>
      </c>
      <c r="BZ12" s="112" t="s">
        <v>1766</v>
      </c>
      <c r="CA12" s="112" t="s">
        <v>1766</v>
      </c>
      <c r="CB12" s="112" t="s">
        <v>1766</v>
      </c>
      <c r="CD12" s="112" t="s">
        <v>1766</v>
      </c>
      <c r="CE12" s="112" t="s">
        <v>1766</v>
      </c>
      <c r="CG12" s="112" t="s">
        <v>1766</v>
      </c>
      <c r="CH12" s="112" t="s">
        <v>1766</v>
      </c>
      <c r="CJ12" s="112" t="s">
        <v>1766</v>
      </c>
      <c r="CK12" s="112" t="s">
        <v>1766</v>
      </c>
      <c r="CM12" s="112" t="s">
        <v>1766</v>
      </c>
      <c r="CN12" s="112" t="s">
        <v>1766</v>
      </c>
      <c r="CP12" s="112">
        <v>11</v>
      </c>
      <c r="CQ12" s="112" t="s">
        <v>1419</v>
      </c>
      <c r="CR12" s="112" t="s">
        <v>122</v>
      </c>
      <c r="CS12" s="112">
        <v>1</v>
      </c>
      <c r="CT12" s="112">
        <v>8</v>
      </c>
      <c r="CU12" s="112">
        <v>11</v>
      </c>
      <c r="CV12" s="112" t="s">
        <v>1466</v>
      </c>
      <c r="CW12" s="112" t="s">
        <v>111</v>
      </c>
      <c r="CX12" s="112" t="s">
        <v>1766</v>
      </c>
      <c r="DA12" s="112" t="s">
        <v>173</v>
      </c>
      <c r="DB12" s="112" t="s">
        <v>1782</v>
      </c>
    </row>
    <row r="13" spans="1:106">
      <c r="A13" s="106" t="s">
        <v>66</v>
      </c>
      <c r="B13" s="106">
        <v>12</v>
      </c>
      <c r="C13" s="106">
        <v>3</v>
      </c>
      <c r="D13" s="106">
        <v>1</v>
      </c>
      <c r="E13" s="106">
        <v>1</v>
      </c>
      <c r="F13" s="106">
        <v>1</v>
      </c>
      <c r="G13" s="106" t="s">
        <v>418</v>
      </c>
      <c r="H13" s="106" t="s">
        <v>591</v>
      </c>
      <c r="I13" s="106">
        <v>215</v>
      </c>
      <c r="J13" s="106">
        <v>231</v>
      </c>
      <c r="K13" s="106" t="s">
        <v>1229</v>
      </c>
      <c r="L13" s="106" t="s">
        <v>1252</v>
      </c>
      <c r="M13" s="106" t="s">
        <v>129</v>
      </c>
      <c r="N13" s="106">
        <v>11</v>
      </c>
      <c r="O13" s="106">
        <v>11</v>
      </c>
      <c r="R13" s="106" t="s">
        <v>1766</v>
      </c>
      <c r="T13" s="106" t="s">
        <v>1766</v>
      </c>
      <c r="V13" s="106">
        <v>2506064.2028983701</v>
      </c>
      <c r="W13" s="106">
        <v>1</v>
      </c>
      <c r="X13" s="106">
        <v>1</v>
      </c>
      <c r="Y13" s="106">
        <v>1</v>
      </c>
      <c r="Z13" s="106">
        <v>1</v>
      </c>
      <c r="AA13" s="106">
        <v>630000</v>
      </c>
      <c r="AB13" s="106">
        <v>630000</v>
      </c>
      <c r="AC13" s="106">
        <v>630000</v>
      </c>
      <c r="AD13" s="106">
        <v>630000</v>
      </c>
      <c r="AE13" s="106">
        <v>2520000</v>
      </c>
      <c r="AF13" s="106">
        <v>2520000</v>
      </c>
      <c r="AH13" s="106">
        <v>43200</v>
      </c>
      <c r="AI13" s="106">
        <v>0.03</v>
      </c>
      <c r="AJ13" s="106">
        <v>5</v>
      </c>
      <c r="AK13" s="106">
        <v>432</v>
      </c>
      <c r="AL13" s="106">
        <v>2160</v>
      </c>
      <c r="AM13" s="106">
        <v>39481</v>
      </c>
      <c r="AN13" s="106">
        <v>39481</v>
      </c>
      <c r="AO13" s="106">
        <v>14246</v>
      </c>
      <c r="AP13" s="106" t="s">
        <v>1767</v>
      </c>
      <c r="AQ13" s="106" t="s">
        <v>1768</v>
      </c>
      <c r="AR13" s="106">
        <v>6001</v>
      </c>
      <c r="AS13" s="106">
        <v>5000</v>
      </c>
      <c r="AT13" s="106">
        <v>5000</v>
      </c>
      <c r="AU13" s="108" t="s">
        <v>1769</v>
      </c>
      <c r="AV13" s="108" t="s">
        <v>1770</v>
      </c>
      <c r="AW13" s="109">
        <v>8025</v>
      </c>
      <c r="AX13" s="109">
        <v>1</v>
      </c>
      <c r="AY13" s="109">
        <v>1</v>
      </c>
      <c r="AZ13" s="106" t="s">
        <v>72</v>
      </c>
      <c r="BA13" s="106" t="s">
        <v>73</v>
      </c>
      <c r="BB13" s="106">
        <v>1202</v>
      </c>
      <c r="BC13" s="106">
        <v>4</v>
      </c>
      <c r="BD13" s="106">
        <v>4</v>
      </c>
      <c r="BE13" s="112" t="s">
        <v>74</v>
      </c>
      <c r="BF13" s="112" t="s">
        <v>75</v>
      </c>
      <c r="BG13" s="112">
        <v>1205</v>
      </c>
      <c r="BH13" s="112">
        <v>2</v>
      </c>
      <c r="BI13" s="112" t="s">
        <v>76</v>
      </c>
      <c r="BJ13" s="112" t="s">
        <v>77</v>
      </c>
      <c r="BK13" s="112">
        <v>1209</v>
      </c>
      <c r="BL13" s="112">
        <v>3</v>
      </c>
      <c r="BM13" s="112" t="s">
        <v>78</v>
      </c>
      <c r="BN13" s="112" t="s">
        <v>79</v>
      </c>
      <c r="BO13" s="112">
        <v>1210</v>
      </c>
      <c r="BP13" s="112">
        <v>2</v>
      </c>
      <c r="BQ13" s="112" t="s">
        <v>80</v>
      </c>
      <c r="BR13" s="112" t="s">
        <v>81</v>
      </c>
      <c r="BS13" s="112">
        <v>1237</v>
      </c>
      <c r="BT13" s="112">
        <v>1</v>
      </c>
      <c r="BU13" s="108"/>
      <c r="BV13" s="108"/>
      <c r="BW13" s="108"/>
      <c r="BX13" s="108"/>
      <c r="BY13" s="112" t="s">
        <v>1766</v>
      </c>
      <c r="BZ13" s="112" t="s">
        <v>1766</v>
      </c>
      <c r="CA13" s="112" t="s">
        <v>1766</v>
      </c>
      <c r="CB13" s="112" t="s">
        <v>1766</v>
      </c>
      <c r="CD13" s="112" t="s">
        <v>1766</v>
      </c>
      <c r="CE13" s="112" t="s">
        <v>1766</v>
      </c>
      <c r="CG13" s="112" t="s">
        <v>1766</v>
      </c>
      <c r="CH13" s="112" t="s">
        <v>1766</v>
      </c>
      <c r="CJ13" s="112" t="s">
        <v>1766</v>
      </c>
      <c r="CK13" s="112" t="s">
        <v>1766</v>
      </c>
      <c r="CM13" s="112" t="s">
        <v>1766</v>
      </c>
      <c r="CN13" s="112" t="s">
        <v>1766</v>
      </c>
      <c r="CP13" s="112">
        <v>12</v>
      </c>
      <c r="CQ13" s="112" t="s">
        <v>1778</v>
      </c>
      <c r="CR13" s="112" t="s">
        <v>125</v>
      </c>
      <c r="CS13" s="112">
        <v>1</v>
      </c>
      <c r="CT13" s="112">
        <v>9</v>
      </c>
      <c r="CU13" s="112">
        <v>12</v>
      </c>
      <c r="CV13" s="112" t="s">
        <v>1783</v>
      </c>
      <c r="CW13" s="112" t="s">
        <v>1784</v>
      </c>
      <c r="CX13" s="112" t="s">
        <v>1766</v>
      </c>
      <c r="DA13" s="112" t="s">
        <v>131</v>
      </c>
      <c r="DB13" s="112" t="s">
        <v>111</v>
      </c>
    </row>
    <row r="14" spans="1:106">
      <c r="A14" s="106" t="s">
        <v>66</v>
      </c>
      <c r="B14" s="106">
        <v>13</v>
      </c>
      <c r="C14" s="106">
        <v>3</v>
      </c>
      <c r="D14" s="106">
        <v>1</v>
      </c>
      <c r="E14" s="106">
        <v>1</v>
      </c>
      <c r="F14" s="106">
        <v>1</v>
      </c>
      <c r="G14" s="106" t="s">
        <v>418</v>
      </c>
      <c r="H14" s="106" t="s">
        <v>319</v>
      </c>
      <c r="I14" s="106">
        <v>215</v>
      </c>
      <c r="J14" s="106">
        <v>232</v>
      </c>
      <c r="K14" s="106" t="s">
        <v>1257</v>
      </c>
      <c r="L14" s="106" t="s">
        <v>1258</v>
      </c>
      <c r="M14" s="106" t="s">
        <v>132</v>
      </c>
      <c r="N14" s="106">
        <v>12</v>
      </c>
      <c r="O14" s="106">
        <v>12</v>
      </c>
      <c r="R14" s="106" t="s">
        <v>1766</v>
      </c>
      <c r="T14" s="106" t="s">
        <v>1766</v>
      </c>
      <c r="V14" s="106">
        <v>3433307.9579707701</v>
      </c>
      <c r="W14" s="106">
        <v>1</v>
      </c>
      <c r="X14" s="106">
        <v>1</v>
      </c>
      <c r="Y14" s="106">
        <v>1</v>
      </c>
      <c r="Z14" s="106">
        <v>1</v>
      </c>
      <c r="AA14" s="106">
        <v>860000</v>
      </c>
      <c r="AB14" s="106">
        <v>860000</v>
      </c>
      <c r="AC14" s="106">
        <v>860000</v>
      </c>
      <c r="AD14" s="106">
        <v>860000</v>
      </c>
      <c r="AE14" s="106">
        <v>3440000</v>
      </c>
      <c r="AF14" s="106">
        <v>3440000</v>
      </c>
      <c r="AH14" s="106">
        <v>57600</v>
      </c>
      <c r="AI14" s="106">
        <v>0.04</v>
      </c>
      <c r="AJ14" s="106">
        <v>6</v>
      </c>
      <c r="AK14" s="106">
        <v>576</v>
      </c>
      <c r="AL14" s="106">
        <v>3456</v>
      </c>
      <c r="AM14" s="106">
        <v>51628</v>
      </c>
      <c r="AN14" s="106">
        <v>51628</v>
      </c>
      <c r="AO14" s="106">
        <v>21113</v>
      </c>
      <c r="AP14" s="106" t="s">
        <v>1767</v>
      </c>
      <c r="AQ14" s="106" t="s">
        <v>1768</v>
      </c>
      <c r="AR14" s="106">
        <v>6001</v>
      </c>
      <c r="AS14" s="106">
        <v>6000</v>
      </c>
      <c r="AT14" s="106">
        <v>6000</v>
      </c>
      <c r="AU14" s="108" t="s">
        <v>1769</v>
      </c>
      <c r="AV14" s="108" t="s">
        <v>1770</v>
      </c>
      <c r="AW14" s="109">
        <v>8025</v>
      </c>
      <c r="AX14" s="109">
        <v>1</v>
      </c>
      <c r="AY14" s="109">
        <v>1</v>
      </c>
      <c r="AZ14" s="106" t="s">
        <v>72</v>
      </c>
      <c r="BA14" s="106" t="s">
        <v>73</v>
      </c>
      <c r="BB14" s="106">
        <v>1202</v>
      </c>
      <c r="BC14" s="106">
        <v>4</v>
      </c>
      <c r="BD14" s="106">
        <v>4</v>
      </c>
      <c r="BE14" s="112" t="s">
        <v>74</v>
      </c>
      <c r="BF14" s="112" t="s">
        <v>75</v>
      </c>
      <c r="BG14" s="112">
        <v>1205</v>
      </c>
      <c r="BH14" s="112">
        <v>3</v>
      </c>
      <c r="BI14" s="112" t="s">
        <v>76</v>
      </c>
      <c r="BJ14" s="112" t="s">
        <v>77</v>
      </c>
      <c r="BK14" s="112">
        <v>1209</v>
      </c>
      <c r="BL14" s="112">
        <v>3</v>
      </c>
      <c r="BM14" s="112" t="s">
        <v>78</v>
      </c>
      <c r="BN14" s="112" t="s">
        <v>79</v>
      </c>
      <c r="BO14" s="112">
        <v>1210</v>
      </c>
      <c r="BP14" s="112">
        <v>2</v>
      </c>
      <c r="BQ14" s="112" t="s">
        <v>80</v>
      </c>
      <c r="BR14" s="112" t="s">
        <v>81</v>
      </c>
      <c r="BS14" s="112">
        <v>1237</v>
      </c>
      <c r="BT14" s="112">
        <v>1</v>
      </c>
      <c r="BU14" s="108"/>
      <c r="BV14" s="108"/>
      <c r="BW14" s="108"/>
      <c r="BX14" s="108"/>
      <c r="BY14" s="112" t="s">
        <v>1766</v>
      </c>
      <c r="BZ14" s="112" t="s">
        <v>1766</v>
      </c>
      <c r="CA14" s="112" t="s">
        <v>1766</v>
      </c>
      <c r="CB14" s="112" t="s">
        <v>1766</v>
      </c>
      <c r="CD14" s="112" t="s">
        <v>1766</v>
      </c>
      <c r="CE14" s="112" t="s">
        <v>1766</v>
      </c>
      <c r="CG14" s="112" t="s">
        <v>1766</v>
      </c>
      <c r="CH14" s="112" t="s">
        <v>1766</v>
      </c>
      <c r="CJ14" s="112" t="s">
        <v>1766</v>
      </c>
      <c r="CK14" s="112" t="s">
        <v>1766</v>
      </c>
      <c r="CM14" s="112" t="s">
        <v>1766</v>
      </c>
      <c r="CN14" s="112" t="s">
        <v>1766</v>
      </c>
      <c r="CP14" s="112">
        <v>13</v>
      </c>
      <c r="CQ14" s="112" t="s">
        <v>1780</v>
      </c>
      <c r="CR14" s="112" t="s">
        <v>128</v>
      </c>
      <c r="CS14" s="112">
        <v>1</v>
      </c>
      <c r="CT14" s="112">
        <v>10</v>
      </c>
      <c r="CU14" s="112">
        <v>13</v>
      </c>
      <c r="CV14" s="112" t="s">
        <v>1785</v>
      </c>
      <c r="CW14" s="112" t="s">
        <v>137</v>
      </c>
      <c r="CX14" s="112" t="s">
        <v>1766</v>
      </c>
      <c r="DA14" s="112" t="s">
        <v>179</v>
      </c>
      <c r="DB14" s="112" t="s">
        <v>1784</v>
      </c>
    </row>
    <row r="15" spans="1:106">
      <c r="A15" s="106" t="s">
        <v>66</v>
      </c>
      <c r="B15" s="106">
        <v>14</v>
      </c>
      <c r="C15" s="106">
        <v>3</v>
      </c>
      <c r="D15" s="106">
        <v>1</v>
      </c>
      <c r="E15" s="106">
        <v>1</v>
      </c>
      <c r="F15" s="106">
        <v>1</v>
      </c>
      <c r="G15" s="106" t="s">
        <v>418</v>
      </c>
      <c r="H15" s="106" t="s">
        <v>539</v>
      </c>
      <c r="I15" s="106">
        <v>215</v>
      </c>
      <c r="J15" s="106">
        <v>230</v>
      </c>
      <c r="K15" s="106" t="s">
        <v>1238</v>
      </c>
      <c r="L15" s="106" t="s">
        <v>1262</v>
      </c>
      <c r="M15" s="106" t="s">
        <v>135</v>
      </c>
      <c r="N15" s="106">
        <v>13</v>
      </c>
      <c r="O15" s="106">
        <v>13</v>
      </c>
      <c r="R15" s="106" t="s">
        <v>1766</v>
      </c>
      <c r="T15" s="106" t="s">
        <v>1766</v>
      </c>
      <c r="V15" s="106">
        <v>4463300.3453620002</v>
      </c>
      <c r="W15" s="106">
        <v>1</v>
      </c>
      <c r="X15" s="106">
        <v>1</v>
      </c>
      <c r="Y15" s="106">
        <v>1</v>
      </c>
      <c r="Z15" s="106">
        <v>1</v>
      </c>
      <c r="AA15" s="106">
        <v>1100000</v>
      </c>
      <c r="AB15" s="106">
        <v>1100000</v>
      </c>
      <c r="AC15" s="106">
        <v>1100000</v>
      </c>
      <c r="AD15" s="106">
        <v>1100000</v>
      </c>
      <c r="AE15" s="106">
        <v>4400000</v>
      </c>
      <c r="AF15" s="106">
        <v>4400000</v>
      </c>
      <c r="AH15" s="106">
        <v>72000</v>
      </c>
      <c r="AI15" s="106">
        <v>0.05</v>
      </c>
      <c r="AJ15" s="106">
        <v>6</v>
      </c>
      <c r="AK15" s="106">
        <v>720</v>
      </c>
      <c r="AL15" s="106">
        <v>4320</v>
      </c>
      <c r="AM15" s="106">
        <v>63951</v>
      </c>
      <c r="AN15" s="106">
        <v>63951</v>
      </c>
      <c r="AO15" s="106">
        <v>30039</v>
      </c>
      <c r="AP15" s="106" t="s">
        <v>1767</v>
      </c>
      <c r="AQ15" s="106" t="s">
        <v>1768</v>
      </c>
      <c r="AR15" s="106">
        <v>6001</v>
      </c>
      <c r="AS15" s="106">
        <v>7000</v>
      </c>
      <c r="AT15" s="106">
        <v>7000</v>
      </c>
      <c r="AU15" s="108" t="s">
        <v>1769</v>
      </c>
      <c r="AV15" s="108" t="s">
        <v>1770</v>
      </c>
      <c r="AW15" s="109">
        <v>8025</v>
      </c>
      <c r="AX15" s="109">
        <v>1</v>
      </c>
      <c r="AY15" s="109">
        <v>1</v>
      </c>
      <c r="AZ15" s="106" t="s">
        <v>72</v>
      </c>
      <c r="BA15" s="106" t="s">
        <v>73</v>
      </c>
      <c r="BB15" s="106">
        <v>1202</v>
      </c>
      <c r="BC15" s="106">
        <v>4</v>
      </c>
      <c r="BD15" s="106">
        <v>4</v>
      </c>
      <c r="BE15" s="112" t="s">
        <v>74</v>
      </c>
      <c r="BF15" s="112" t="s">
        <v>75</v>
      </c>
      <c r="BG15" s="112">
        <v>1205</v>
      </c>
      <c r="BH15" s="112">
        <v>3</v>
      </c>
      <c r="BI15" s="112" t="s">
        <v>76</v>
      </c>
      <c r="BJ15" s="112" t="s">
        <v>77</v>
      </c>
      <c r="BK15" s="112">
        <v>1209</v>
      </c>
      <c r="BL15" s="112">
        <v>3</v>
      </c>
      <c r="BM15" s="112" t="s">
        <v>78</v>
      </c>
      <c r="BN15" s="112" t="s">
        <v>79</v>
      </c>
      <c r="BO15" s="112">
        <v>1210</v>
      </c>
      <c r="BP15" s="112">
        <v>2</v>
      </c>
      <c r="BQ15" s="112" t="s">
        <v>80</v>
      </c>
      <c r="BR15" s="112" t="s">
        <v>81</v>
      </c>
      <c r="BS15" s="112">
        <v>1237</v>
      </c>
      <c r="BT15" s="112">
        <v>1</v>
      </c>
      <c r="BU15" s="108"/>
      <c r="BV15" s="108"/>
      <c r="BW15" s="108"/>
      <c r="BX15" s="108"/>
      <c r="BY15" s="112" t="s">
        <v>1766</v>
      </c>
      <c r="BZ15" s="112" t="s">
        <v>1766</v>
      </c>
      <c r="CA15" s="112" t="s">
        <v>1766</v>
      </c>
      <c r="CB15" s="112" t="s">
        <v>1766</v>
      </c>
      <c r="CD15" s="112" t="s">
        <v>1766</v>
      </c>
      <c r="CE15" s="112" t="s">
        <v>1766</v>
      </c>
      <c r="CG15" s="112" t="s">
        <v>1766</v>
      </c>
      <c r="CH15" s="112" t="s">
        <v>1766</v>
      </c>
      <c r="CJ15" s="112" t="s">
        <v>1766</v>
      </c>
      <c r="CK15" s="112" t="s">
        <v>1766</v>
      </c>
      <c r="CM15" s="112" t="s">
        <v>1766</v>
      </c>
      <c r="CN15" s="112" t="s">
        <v>1766</v>
      </c>
      <c r="CP15" s="112">
        <v>14</v>
      </c>
      <c r="CQ15" s="112" t="s">
        <v>1466</v>
      </c>
      <c r="CR15" s="112" t="s">
        <v>131</v>
      </c>
      <c r="CS15" s="112">
        <v>1</v>
      </c>
      <c r="CT15" s="112">
        <v>11</v>
      </c>
      <c r="CU15" s="112">
        <v>14</v>
      </c>
      <c r="CV15" s="112" t="s">
        <v>1597</v>
      </c>
      <c r="CW15" s="112" t="s">
        <v>1786</v>
      </c>
      <c r="CX15" s="112" t="s">
        <v>1766</v>
      </c>
      <c r="DA15" s="112" t="s">
        <v>1787</v>
      </c>
      <c r="DB15" s="112" t="s">
        <v>1786</v>
      </c>
    </row>
    <row r="16" spans="1:106">
      <c r="A16" s="106" t="s">
        <v>66</v>
      </c>
      <c r="B16" s="106">
        <v>15</v>
      </c>
      <c r="C16" s="106">
        <v>3</v>
      </c>
      <c r="D16" s="106">
        <v>1</v>
      </c>
      <c r="E16" s="106">
        <v>1</v>
      </c>
      <c r="F16" s="106">
        <v>1</v>
      </c>
      <c r="G16" s="106" t="s">
        <v>418</v>
      </c>
      <c r="H16" s="106" t="s">
        <v>605</v>
      </c>
      <c r="I16" s="106">
        <v>215</v>
      </c>
      <c r="J16" s="106">
        <v>211</v>
      </c>
      <c r="K16" s="106" t="s">
        <v>1243</v>
      </c>
      <c r="L16" s="106" t="s">
        <v>1265</v>
      </c>
      <c r="M16" s="106" t="s">
        <v>138</v>
      </c>
      <c r="N16" s="106">
        <v>14</v>
      </c>
      <c r="O16" s="106">
        <v>14</v>
      </c>
      <c r="R16" s="106" t="s">
        <v>1766</v>
      </c>
      <c r="T16" s="106" t="s">
        <v>1766</v>
      </c>
      <c r="V16" s="106">
        <v>5713024.4420633698</v>
      </c>
      <c r="W16" s="106">
        <v>1</v>
      </c>
      <c r="X16" s="106">
        <v>1</v>
      </c>
      <c r="Y16" s="106">
        <v>1</v>
      </c>
      <c r="Z16" s="106">
        <v>1</v>
      </c>
      <c r="AA16" s="106">
        <v>1400000</v>
      </c>
      <c r="AB16" s="106">
        <v>1400000</v>
      </c>
      <c r="AC16" s="106">
        <v>1400000</v>
      </c>
      <c r="AD16" s="106">
        <v>1400000</v>
      </c>
      <c r="AE16" s="106">
        <v>5600000</v>
      </c>
      <c r="AF16" s="106">
        <v>5600000</v>
      </c>
      <c r="AH16" s="106">
        <v>86400</v>
      </c>
      <c r="AI16" s="106">
        <v>0.05</v>
      </c>
      <c r="AJ16" s="106">
        <v>7</v>
      </c>
      <c r="AK16" s="106">
        <v>864</v>
      </c>
      <c r="AL16" s="106">
        <v>6048</v>
      </c>
      <c r="AM16" s="106">
        <v>75937</v>
      </c>
      <c r="AN16" s="106">
        <v>75937</v>
      </c>
      <c r="AO16" s="106">
        <v>41465</v>
      </c>
      <c r="AP16" s="106" t="s">
        <v>1767</v>
      </c>
      <c r="AQ16" s="106" t="s">
        <v>1768</v>
      </c>
      <c r="AR16" s="106">
        <v>6001</v>
      </c>
      <c r="AS16" s="106">
        <v>8000</v>
      </c>
      <c r="AT16" s="106">
        <v>8000</v>
      </c>
      <c r="AU16" s="108" t="s">
        <v>1769</v>
      </c>
      <c r="AV16" s="108" t="s">
        <v>1770</v>
      </c>
      <c r="AW16" s="109">
        <v>8025</v>
      </c>
      <c r="AX16" s="109">
        <v>1</v>
      </c>
      <c r="AY16" s="109">
        <v>1</v>
      </c>
      <c r="AZ16" s="106" t="s">
        <v>72</v>
      </c>
      <c r="BA16" s="106" t="s">
        <v>73</v>
      </c>
      <c r="BB16" s="106">
        <v>1202</v>
      </c>
      <c r="BC16" s="106">
        <v>4</v>
      </c>
      <c r="BD16" s="106">
        <v>4</v>
      </c>
      <c r="BE16" s="112" t="s">
        <v>74</v>
      </c>
      <c r="BF16" s="112" t="s">
        <v>75</v>
      </c>
      <c r="BG16" s="112">
        <v>1205</v>
      </c>
      <c r="BH16" s="112">
        <v>3</v>
      </c>
      <c r="BI16" s="112" t="s">
        <v>76</v>
      </c>
      <c r="BJ16" s="112" t="s">
        <v>77</v>
      </c>
      <c r="BK16" s="112">
        <v>1209</v>
      </c>
      <c r="BL16" s="112">
        <v>3</v>
      </c>
      <c r="BM16" s="112" t="s">
        <v>78</v>
      </c>
      <c r="BN16" s="112" t="s">
        <v>79</v>
      </c>
      <c r="BO16" s="112">
        <v>1210</v>
      </c>
      <c r="BP16" s="112">
        <v>2</v>
      </c>
      <c r="BQ16" s="112" t="s">
        <v>80</v>
      </c>
      <c r="BR16" s="112" t="s">
        <v>81</v>
      </c>
      <c r="BS16" s="112">
        <v>1237</v>
      </c>
      <c r="BT16" s="112">
        <v>2</v>
      </c>
      <c r="BU16" s="108"/>
      <c r="BV16" s="108"/>
      <c r="BW16" s="108"/>
      <c r="BX16" s="108"/>
      <c r="BY16" s="112" t="s">
        <v>1766</v>
      </c>
      <c r="BZ16" s="112" t="s">
        <v>1766</v>
      </c>
      <c r="CA16" s="112" t="s">
        <v>1766</v>
      </c>
      <c r="CB16" s="112" t="s">
        <v>1766</v>
      </c>
      <c r="CD16" s="112" t="s">
        <v>1766</v>
      </c>
      <c r="CE16" s="112" t="s">
        <v>1766</v>
      </c>
      <c r="CG16" s="112" t="s">
        <v>1766</v>
      </c>
      <c r="CH16" s="112" t="s">
        <v>1766</v>
      </c>
      <c r="CJ16" s="112" t="s">
        <v>1766</v>
      </c>
      <c r="CK16" s="112" t="s">
        <v>1766</v>
      </c>
      <c r="CM16" s="112" t="s">
        <v>1766</v>
      </c>
      <c r="CN16" s="112" t="s">
        <v>1766</v>
      </c>
      <c r="CP16" s="112">
        <v>15</v>
      </c>
      <c r="CQ16" s="112" t="s">
        <v>1783</v>
      </c>
      <c r="CR16" s="112" t="s">
        <v>179</v>
      </c>
      <c r="CS16" s="112">
        <v>1</v>
      </c>
      <c r="CT16" s="112">
        <v>12</v>
      </c>
      <c r="CU16" s="112">
        <v>15</v>
      </c>
      <c r="CV16" s="112" t="s">
        <v>1788</v>
      </c>
      <c r="CW16" s="112" t="s">
        <v>1789</v>
      </c>
      <c r="CX16" s="112" t="s">
        <v>1766</v>
      </c>
    </row>
    <row r="17" spans="1:102">
      <c r="A17" s="106" t="s">
        <v>66</v>
      </c>
      <c r="B17" s="106">
        <v>16</v>
      </c>
      <c r="C17" s="106">
        <v>4</v>
      </c>
      <c r="D17" s="106">
        <v>1</v>
      </c>
      <c r="E17" s="106">
        <v>1</v>
      </c>
      <c r="F17" s="106">
        <v>1</v>
      </c>
      <c r="G17" s="106" t="s">
        <v>418</v>
      </c>
      <c r="H17" s="106" t="s">
        <v>442</v>
      </c>
      <c r="I17" s="106">
        <v>215</v>
      </c>
      <c r="J17" s="106">
        <v>222</v>
      </c>
      <c r="K17" s="106" t="s">
        <v>1219</v>
      </c>
      <c r="L17" s="106" t="s">
        <v>1269</v>
      </c>
      <c r="M17" s="106" t="s">
        <v>141</v>
      </c>
      <c r="N17" s="106">
        <v>15</v>
      </c>
      <c r="O17" s="106">
        <v>15</v>
      </c>
      <c r="R17" s="106" t="s">
        <v>1766</v>
      </c>
      <c r="T17" s="106" t="s">
        <v>1766</v>
      </c>
      <c r="V17" s="106">
        <v>7312671.2858411102</v>
      </c>
      <c r="W17" s="106">
        <v>1</v>
      </c>
      <c r="X17" s="106">
        <v>1</v>
      </c>
      <c r="Y17" s="106">
        <v>1</v>
      </c>
      <c r="Z17" s="106">
        <v>1</v>
      </c>
      <c r="AA17" s="106">
        <v>1800000</v>
      </c>
      <c r="AB17" s="106">
        <v>1800000</v>
      </c>
      <c r="AC17" s="106">
        <v>1800000</v>
      </c>
      <c r="AD17" s="106">
        <v>1800000</v>
      </c>
      <c r="AE17" s="106">
        <v>7200000</v>
      </c>
      <c r="AF17" s="106">
        <v>7200000</v>
      </c>
      <c r="AH17" s="106">
        <v>108000</v>
      </c>
      <c r="AI17" s="106">
        <v>0.05</v>
      </c>
      <c r="AJ17" s="106">
        <v>7</v>
      </c>
      <c r="AK17" s="106">
        <v>1080</v>
      </c>
      <c r="AL17" s="106">
        <v>7560</v>
      </c>
      <c r="AM17" s="106">
        <v>94997</v>
      </c>
      <c r="AN17" s="106">
        <v>94997</v>
      </c>
      <c r="AO17" s="106">
        <v>56091</v>
      </c>
      <c r="AP17" s="106" t="s">
        <v>1767</v>
      </c>
      <c r="AQ17" s="106" t="s">
        <v>1768</v>
      </c>
      <c r="AR17" s="106">
        <v>6001</v>
      </c>
      <c r="AS17" s="106">
        <v>9500</v>
      </c>
      <c r="AT17" s="106">
        <v>9500</v>
      </c>
      <c r="AU17" s="108" t="s">
        <v>1769</v>
      </c>
      <c r="AV17" s="108" t="s">
        <v>1770</v>
      </c>
      <c r="AW17" s="109">
        <v>8025</v>
      </c>
      <c r="AX17" s="109">
        <v>1</v>
      </c>
      <c r="AY17" s="109">
        <v>1</v>
      </c>
      <c r="AZ17" s="106" t="s">
        <v>72</v>
      </c>
      <c r="BA17" s="106" t="s">
        <v>73</v>
      </c>
      <c r="BB17" s="106">
        <v>1202</v>
      </c>
      <c r="BC17" s="106">
        <v>4</v>
      </c>
      <c r="BD17" s="106">
        <v>4</v>
      </c>
      <c r="BE17" s="112" t="s">
        <v>74</v>
      </c>
      <c r="BF17" s="112" t="s">
        <v>75</v>
      </c>
      <c r="BG17" s="112">
        <v>1205</v>
      </c>
      <c r="BH17" s="112">
        <v>3</v>
      </c>
      <c r="BI17" s="112" t="s">
        <v>76</v>
      </c>
      <c r="BJ17" s="112" t="s">
        <v>77</v>
      </c>
      <c r="BK17" s="112">
        <v>1209</v>
      </c>
      <c r="BL17" s="112">
        <v>3</v>
      </c>
      <c r="BM17" s="112" t="s">
        <v>78</v>
      </c>
      <c r="BN17" s="112" t="s">
        <v>79</v>
      </c>
      <c r="BO17" s="112">
        <v>1210</v>
      </c>
      <c r="BP17" s="112">
        <v>3</v>
      </c>
      <c r="BQ17" s="112" t="s">
        <v>80</v>
      </c>
      <c r="BR17" s="112" t="s">
        <v>81</v>
      </c>
      <c r="BS17" s="112">
        <v>1237</v>
      </c>
      <c r="BT17" s="112">
        <v>2</v>
      </c>
      <c r="BU17" s="108"/>
      <c r="BV17" s="108"/>
      <c r="BW17" s="108"/>
      <c r="BX17" s="108"/>
      <c r="BY17" s="112" t="s">
        <v>1766</v>
      </c>
      <c r="BZ17" s="112" t="s">
        <v>1766</v>
      </c>
      <c r="CA17" s="112" t="s">
        <v>1766</v>
      </c>
      <c r="CB17" s="112" t="s">
        <v>1766</v>
      </c>
      <c r="CD17" s="112" t="s">
        <v>1766</v>
      </c>
      <c r="CE17" s="112" t="s">
        <v>1766</v>
      </c>
      <c r="CG17" s="112" t="s">
        <v>1766</v>
      </c>
      <c r="CH17" s="112" t="s">
        <v>1766</v>
      </c>
      <c r="CJ17" s="112" t="s">
        <v>1766</v>
      </c>
      <c r="CK17" s="112" t="s">
        <v>1766</v>
      </c>
      <c r="CM17" s="112" t="s">
        <v>1766</v>
      </c>
      <c r="CN17" s="112" t="s">
        <v>1766</v>
      </c>
      <c r="CP17" s="112">
        <v>16</v>
      </c>
      <c r="CQ17" s="112" t="s">
        <v>1785</v>
      </c>
      <c r="CR17" s="112" t="s">
        <v>137</v>
      </c>
      <c r="CS17" s="112">
        <v>1</v>
      </c>
      <c r="CT17" s="112">
        <v>13</v>
      </c>
      <c r="CU17" s="112">
        <v>16</v>
      </c>
      <c r="CV17" s="112" t="s">
        <v>1631</v>
      </c>
      <c r="CW17" s="112" t="s">
        <v>170</v>
      </c>
      <c r="CX17" s="112" t="s">
        <v>1766</v>
      </c>
    </row>
    <row r="18" spans="1:102">
      <c r="A18" s="106" t="s">
        <v>66</v>
      </c>
      <c r="B18" s="106">
        <v>17</v>
      </c>
      <c r="C18" s="106">
        <v>4</v>
      </c>
      <c r="D18" s="106">
        <v>1</v>
      </c>
      <c r="E18" s="106">
        <v>1</v>
      </c>
      <c r="F18" s="106">
        <v>1</v>
      </c>
      <c r="G18" s="106" t="s">
        <v>418</v>
      </c>
      <c r="H18" s="106" t="s">
        <v>591</v>
      </c>
      <c r="I18" s="106">
        <v>215</v>
      </c>
      <c r="J18" s="106">
        <v>231</v>
      </c>
      <c r="K18" s="106" t="s">
        <v>1229</v>
      </c>
      <c r="L18" s="106" t="s">
        <v>1272</v>
      </c>
      <c r="M18" s="106" t="s">
        <v>142</v>
      </c>
      <c r="N18" s="106">
        <v>16</v>
      </c>
      <c r="O18" s="106">
        <v>16</v>
      </c>
      <c r="R18" s="106" t="s">
        <v>1766</v>
      </c>
      <c r="T18" s="106" t="s">
        <v>1766</v>
      </c>
      <c r="V18" s="106">
        <v>9360219.2458766196</v>
      </c>
      <c r="W18" s="106">
        <v>1</v>
      </c>
      <c r="X18" s="106">
        <v>1</v>
      </c>
      <c r="Y18" s="106">
        <v>1</v>
      </c>
      <c r="Z18" s="106">
        <v>1</v>
      </c>
      <c r="AA18" s="106">
        <v>2300000</v>
      </c>
      <c r="AB18" s="106">
        <v>2300000</v>
      </c>
      <c r="AC18" s="106">
        <v>2300000</v>
      </c>
      <c r="AD18" s="106">
        <v>2300000</v>
      </c>
      <c r="AE18" s="106">
        <v>9200000</v>
      </c>
      <c r="AF18" s="106">
        <v>9200000</v>
      </c>
      <c r="AH18" s="106">
        <v>144000</v>
      </c>
      <c r="AI18" s="106">
        <v>0.05</v>
      </c>
      <c r="AJ18" s="106">
        <v>8</v>
      </c>
      <c r="AK18" s="106">
        <v>1440</v>
      </c>
      <c r="AL18" s="106">
        <v>11520</v>
      </c>
      <c r="AM18" s="106">
        <v>125322</v>
      </c>
      <c r="AN18" s="106">
        <v>125322</v>
      </c>
      <c r="AO18" s="106">
        <v>74811</v>
      </c>
      <c r="AP18" s="106" t="s">
        <v>1767</v>
      </c>
      <c r="AQ18" s="106" t="s">
        <v>1768</v>
      </c>
      <c r="AR18" s="106">
        <v>6001</v>
      </c>
      <c r="AS18" s="106">
        <v>11000</v>
      </c>
      <c r="AT18" s="106">
        <v>11000</v>
      </c>
      <c r="AU18" s="108" t="s">
        <v>1769</v>
      </c>
      <c r="AV18" s="108" t="s">
        <v>1770</v>
      </c>
      <c r="AW18" s="109">
        <v>8025</v>
      </c>
      <c r="AX18" s="109">
        <v>2</v>
      </c>
      <c r="AY18" s="109">
        <v>2</v>
      </c>
      <c r="AZ18" s="106" t="s">
        <v>72</v>
      </c>
      <c r="BA18" s="106" t="s">
        <v>73</v>
      </c>
      <c r="BB18" s="106">
        <v>1202</v>
      </c>
      <c r="BC18" s="106">
        <v>4</v>
      </c>
      <c r="BD18" s="106">
        <v>4</v>
      </c>
      <c r="BE18" s="112" t="s">
        <v>74</v>
      </c>
      <c r="BF18" s="112" t="s">
        <v>75</v>
      </c>
      <c r="BG18" s="112">
        <v>1205</v>
      </c>
      <c r="BH18" s="112">
        <v>3</v>
      </c>
      <c r="BI18" s="112" t="s">
        <v>76</v>
      </c>
      <c r="BJ18" s="112" t="s">
        <v>77</v>
      </c>
      <c r="BK18" s="112">
        <v>1209</v>
      </c>
      <c r="BL18" s="112">
        <v>4</v>
      </c>
      <c r="BM18" s="112" t="s">
        <v>78</v>
      </c>
      <c r="BN18" s="112" t="s">
        <v>79</v>
      </c>
      <c r="BO18" s="112">
        <v>1210</v>
      </c>
      <c r="BP18" s="112">
        <v>3</v>
      </c>
      <c r="BQ18" s="112" t="s">
        <v>80</v>
      </c>
      <c r="BR18" s="112" t="s">
        <v>81</v>
      </c>
      <c r="BS18" s="112">
        <v>1237</v>
      </c>
      <c r="BT18" s="112">
        <v>2</v>
      </c>
      <c r="BU18" s="108"/>
      <c r="BV18" s="108"/>
      <c r="BW18" s="108"/>
      <c r="BX18" s="108"/>
      <c r="BY18" s="112" t="s">
        <v>1766</v>
      </c>
      <c r="BZ18" s="112" t="s">
        <v>1766</v>
      </c>
      <c r="CA18" s="112" t="s">
        <v>1766</v>
      </c>
      <c r="CB18" s="112" t="s">
        <v>1766</v>
      </c>
      <c r="CD18" s="112" t="s">
        <v>1766</v>
      </c>
      <c r="CE18" s="112" t="s">
        <v>1766</v>
      </c>
      <c r="CG18" s="112" t="s">
        <v>1766</v>
      </c>
      <c r="CH18" s="112" t="s">
        <v>1766</v>
      </c>
      <c r="CJ18" s="112" t="s">
        <v>1766</v>
      </c>
      <c r="CK18" s="112" t="s">
        <v>1766</v>
      </c>
      <c r="CM18" s="112" t="s">
        <v>1766</v>
      </c>
      <c r="CN18" s="112" t="s">
        <v>1766</v>
      </c>
      <c r="CP18" s="112">
        <v>17</v>
      </c>
      <c r="CQ18" s="112" t="s">
        <v>1597</v>
      </c>
      <c r="CR18" s="112" t="s">
        <v>1787</v>
      </c>
      <c r="CS18" s="112">
        <v>1</v>
      </c>
      <c r="CT18" s="112">
        <v>14</v>
      </c>
      <c r="CU18" s="112">
        <v>17</v>
      </c>
      <c r="CV18" s="112" t="s">
        <v>1790</v>
      </c>
      <c r="CW18" s="112" t="s">
        <v>1791</v>
      </c>
      <c r="CX18" s="112" t="s">
        <v>1792</v>
      </c>
    </row>
    <row r="19" spans="1:102">
      <c r="A19" s="106" t="s">
        <v>66</v>
      </c>
      <c r="B19" s="106">
        <v>18</v>
      </c>
      <c r="C19" s="106">
        <v>4</v>
      </c>
      <c r="D19" s="106">
        <v>1</v>
      </c>
      <c r="E19" s="106">
        <v>1</v>
      </c>
      <c r="F19" s="106">
        <v>1</v>
      </c>
      <c r="G19" s="106" t="s">
        <v>418</v>
      </c>
      <c r="H19" s="106" t="s">
        <v>344</v>
      </c>
      <c r="I19" s="106">
        <v>215</v>
      </c>
      <c r="J19" s="106">
        <v>209</v>
      </c>
      <c r="K19" s="106" t="s">
        <v>1277</v>
      </c>
      <c r="L19" s="106" t="s">
        <v>1278</v>
      </c>
      <c r="M19" s="106" t="s">
        <v>145</v>
      </c>
      <c r="N19" s="106">
        <v>17</v>
      </c>
      <c r="O19" s="106">
        <v>17</v>
      </c>
      <c r="R19" s="106" t="s">
        <v>1766</v>
      </c>
      <c r="T19" s="106" t="s">
        <v>1766</v>
      </c>
      <c r="V19" s="106">
        <v>11981080.634722101</v>
      </c>
      <c r="W19" s="106">
        <v>1</v>
      </c>
      <c r="X19" s="106">
        <v>1</v>
      </c>
      <c r="Y19" s="106">
        <v>1</v>
      </c>
      <c r="Z19" s="106">
        <v>1</v>
      </c>
      <c r="AA19" s="106">
        <v>3000000</v>
      </c>
      <c r="AB19" s="106">
        <v>3000000</v>
      </c>
      <c r="AC19" s="106">
        <v>3000000</v>
      </c>
      <c r="AD19" s="106">
        <v>3000000</v>
      </c>
      <c r="AE19" s="106">
        <v>12000000</v>
      </c>
      <c r="AF19" s="106">
        <v>12000000</v>
      </c>
      <c r="AH19" s="106">
        <v>187200</v>
      </c>
      <c r="AI19" s="106">
        <v>6.5000000000000002E-2</v>
      </c>
      <c r="AJ19" s="106">
        <v>8</v>
      </c>
      <c r="AK19" s="106">
        <v>1872</v>
      </c>
      <c r="AL19" s="106">
        <v>14976</v>
      </c>
      <c r="AM19" s="106">
        <v>160498</v>
      </c>
      <c r="AN19" s="106">
        <v>160498</v>
      </c>
      <c r="AO19" s="106">
        <v>98773</v>
      </c>
      <c r="AP19" s="106" t="s">
        <v>1767</v>
      </c>
      <c r="AQ19" s="106" t="s">
        <v>1768</v>
      </c>
      <c r="AR19" s="106">
        <v>6001</v>
      </c>
      <c r="AS19" s="106">
        <v>12500</v>
      </c>
      <c r="AT19" s="106">
        <v>12500</v>
      </c>
      <c r="AU19" s="108" t="s">
        <v>1769</v>
      </c>
      <c r="AV19" s="108" t="s">
        <v>1770</v>
      </c>
      <c r="AW19" s="109">
        <v>8025</v>
      </c>
      <c r="AX19" s="109">
        <v>2</v>
      </c>
      <c r="AY19" s="109">
        <v>2</v>
      </c>
      <c r="AZ19" s="106" t="s">
        <v>72</v>
      </c>
      <c r="BA19" s="106" t="s">
        <v>73</v>
      </c>
      <c r="BB19" s="106">
        <v>1202</v>
      </c>
      <c r="BC19" s="106">
        <v>4</v>
      </c>
      <c r="BD19" s="106">
        <v>4</v>
      </c>
      <c r="BE19" s="112" t="s">
        <v>74</v>
      </c>
      <c r="BF19" s="112" t="s">
        <v>75</v>
      </c>
      <c r="BG19" s="112">
        <v>1205</v>
      </c>
      <c r="BH19" s="112">
        <v>4</v>
      </c>
      <c r="BI19" s="112" t="s">
        <v>76</v>
      </c>
      <c r="BJ19" s="112" t="s">
        <v>77</v>
      </c>
      <c r="BK19" s="112">
        <v>1209</v>
      </c>
      <c r="BL19" s="112">
        <v>4</v>
      </c>
      <c r="BM19" s="112" t="s">
        <v>78</v>
      </c>
      <c r="BN19" s="112" t="s">
        <v>79</v>
      </c>
      <c r="BO19" s="112">
        <v>1210</v>
      </c>
      <c r="BP19" s="112">
        <v>3</v>
      </c>
      <c r="BQ19" s="112" t="s">
        <v>80</v>
      </c>
      <c r="BR19" s="112" t="s">
        <v>81</v>
      </c>
      <c r="BS19" s="112">
        <v>1237</v>
      </c>
      <c r="BT19" s="112">
        <v>2</v>
      </c>
      <c r="BU19" s="108"/>
      <c r="BV19" s="108"/>
      <c r="BW19" s="108"/>
      <c r="BX19" s="108"/>
      <c r="BY19" s="112" t="s">
        <v>1766</v>
      </c>
      <c r="BZ19" s="112" t="s">
        <v>1766</v>
      </c>
      <c r="CA19" s="112" t="s">
        <v>1766</v>
      </c>
      <c r="CB19" s="112" t="s">
        <v>1766</v>
      </c>
      <c r="CD19" s="112" t="s">
        <v>1766</v>
      </c>
      <c r="CE19" s="112" t="s">
        <v>1766</v>
      </c>
      <c r="CG19" s="112" t="s">
        <v>1766</v>
      </c>
      <c r="CH19" s="112" t="s">
        <v>1766</v>
      </c>
      <c r="CJ19" s="112" t="s">
        <v>1766</v>
      </c>
      <c r="CK19" s="112" t="s">
        <v>1766</v>
      </c>
      <c r="CM19" s="112" t="s">
        <v>1766</v>
      </c>
      <c r="CN19" s="112" t="s">
        <v>1766</v>
      </c>
      <c r="CP19" s="112">
        <v>18</v>
      </c>
      <c r="CQ19" s="112" t="s">
        <v>1788</v>
      </c>
      <c r="CR19" s="112" t="s">
        <v>1789</v>
      </c>
      <c r="CS19" s="112">
        <v>1</v>
      </c>
      <c r="CT19" s="112">
        <v>15</v>
      </c>
      <c r="CU19" s="112">
        <v>18</v>
      </c>
      <c r="CV19" s="112" t="s">
        <v>1773</v>
      </c>
      <c r="CW19" s="112" t="s">
        <v>1769</v>
      </c>
      <c r="CX19" s="112" t="e">
        <v>#N/A</v>
      </c>
    </row>
    <row r="20" spans="1:102">
      <c r="A20" s="106" t="s">
        <v>66</v>
      </c>
      <c r="B20" s="106">
        <v>19</v>
      </c>
      <c r="C20" s="106">
        <v>4</v>
      </c>
      <c r="D20" s="106">
        <v>1</v>
      </c>
      <c r="E20" s="106">
        <v>1</v>
      </c>
      <c r="F20" s="106">
        <v>1</v>
      </c>
      <c r="G20" s="106" t="s">
        <v>418</v>
      </c>
      <c r="H20" s="106" t="s">
        <v>539</v>
      </c>
      <c r="I20" s="106">
        <v>215</v>
      </c>
      <c r="J20" s="106">
        <v>230</v>
      </c>
      <c r="K20" s="106" t="s">
        <v>1238</v>
      </c>
      <c r="L20" s="106" t="s">
        <v>1281</v>
      </c>
      <c r="M20" s="106" t="s">
        <v>148</v>
      </c>
      <c r="N20" s="106">
        <v>18</v>
      </c>
      <c r="O20" s="106">
        <v>18</v>
      </c>
      <c r="R20" s="106" t="s">
        <v>1766</v>
      </c>
      <c r="T20" s="106" t="s">
        <v>1766</v>
      </c>
      <c r="V20" s="106">
        <v>15335783.2124443</v>
      </c>
      <c r="W20" s="106">
        <v>1</v>
      </c>
      <c r="X20" s="106">
        <v>1</v>
      </c>
      <c r="Y20" s="106">
        <v>1</v>
      </c>
      <c r="Z20" s="106">
        <v>1</v>
      </c>
      <c r="AA20" s="106">
        <v>3800000</v>
      </c>
      <c r="AB20" s="106">
        <v>3800000</v>
      </c>
      <c r="AC20" s="106">
        <v>3800000</v>
      </c>
      <c r="AD20" s="106">
        <v>3800000</v>
      </c>
      <c r="AE20" s="106">
        <v>15200000</v>
      </c>
      <c r="AF20" s="106">
        <v>15200000</v>
      </c>
      <c r="AH20" s="106">
        <v>244800</v>
      </c>
      <c r="AI20" s="106">
        <v>0.08</v>
      </c>
      <c r="AJ20" s="106">
        <v>9</v>
      </c>
      <c r="AK20" s="106">
        <v>2448</v>
      </c>
      <c r="AL20" s="106">
        <v>22032</v>
      </c>
      <c r="AM20" s="106">
        <v>204334</v>
      </c>
      <c r="AN20" s="106">
        <v>204334</v>
      </c>
      <c r="AO20" s="106">
        <v>129445</v>
      </c>
      <c r="AP20" s="106" t="s">
        <v>1767</v>
      </c>
      <c r="AQ20" s="106" t="s">
        <v>1768</v>
      </c>
      <c r="AR20" s="106">
        <v>6001</v>
      </c>
      <c r="AS20" s="106">
        <v>14000</v>
      </c>
      <c r="AT20" s="106">
        <v>14000</v>
      </c>
      <c r="AU20" s="108" t="s">
        <v>1769</v>
      </c>
      <c r="AV20" s="108" t="s">
        <v>1770</v>
      </c>
      <c r="AW20" s="109">
        <v>8025</v>
      </c>
      <c r="AX20" s="109">
        <v>2</v>
      </c>
      <c r="AY20" s="109">
        <v>2</v>
      </c>
      <c r="AZ20" s="106" t="s">
        <v>72</v>
      </c>
      <c r="BA20" s="106" t="s">
        <v>73</v>
      </c>
      <c r="BB20" s="106">
        <v>1202</v>
      </c>
      <c r="BC20" s="106">
        <v>4</v>
      </c>
      <c r="BD20" s="106">
        <v>4</v>
      </c>
      <c r="BE20" s="112" t="s">
        <v>74</v>
      </c>
      <c r="BF20" s="112" t="s">
        <v>75</v>
      </c>
      <c r="BG20" s="112">
        <v>1205</v>
      </c>
      <c r="BH20" s="112">
        <v>4</v>
      </c>
      <c r="BI20" s="112" t="s">
        <v>76</v>
      </c>
      <c r="BJ20" s="112" t="s">
        <v>77</v>
      </c>
      <c r="BK20" s="112">
        <v>1209</v>
      </c>
      <c r="BL20" s="112">
        <v>4</v>
      </c>
      <c r="BM20" s="112" t="s">
        <v>78</v>
      </c>
      <c r="BN20" s="112" t="s">
        <v>79</v>
      </c>
      <c r="BO20" s="112">
        <v>1210</v>
      </c>
      <c r="BP20" s="112">
        <v>3</v>
      </c>
      <c r="BQ20" s="112" t="s">
        <v>80</v>
      </c>
      <c r="BR20" s="112" t="s">
        <v>81</v>
      </c>
      <c r="BS20" s="112">
        <v>1237</v>
      </c>
      <c r="BT20" s="112">
        <v>2</v>
      </c>
      <c r="BU20" s="108"/>
      <c r="BV20" s="108"/>
      <c r="BW20" s="108"/>
      <c r="BX20" s="108"/>
      <c r="BY20" s="112" t="s">
        <v>1766</v>
      </c>
      <c r="BZ20" s="112" t="s">
        <v>1766</v>
      </c>
      <c r="CA20" s="112" t="s">
        <v>1766</v>
      </c>
      <c r="CB20" s="112" t="s">
        <v>1766</v>
      </c>
      <c r="CD20" s="112" t="s">
        <v>1766</v>
      </c>
      <c r="CE20" s="112" t="s">
        <v>1766</v>
      </c>
      <c r="CG20" s="112" t="s">
        <v>1766</v>
      </c>
      <c r="CH20" s="112" t="s">
        <v>1766</v>
      </c>
      <c r="CJ20" s="112" t="s">
        <v>1766</v>
      </c>
      <c r="CK20" s="112" t="s">
        <v>1766</v>
      </c>
      <c r="CM20" s="112" t="s">
        <v>1766</v>
      </c>
      <c r="CN20" s="112" t="s">
        <v>1766</v>
      </c>
      <c r="CP20" s="112">
        <v>19</v>
      </c>
      <c r="CQ20" s="112" t="s">
        <v>1631</v>
      </c>
      <c r="CR20" s="112" t="s">
        <v>170</v>
      </c>
      <c r="CS20" s="112">
        <v>1</v>
      </c>
      <c r="CT20" s="112">
        <v>16</v>
      </c>
      <c r="CU20" s="112">
        <v>19</v>
      </c>
      <c r="CV20" s="112" t="s">
        <v>1793</v>
      </c>
      <c r="CW20" s="112" t="s">
        <v>147</v>
      </c>
      <c r="CX20" s="112" t="s">
        <v>1766</v>
      </c>
    </row>
    <row r="21" spans="1:102">
      <c r="A21" s="106" t="s">
        <v>66</v>
      </c>
      <c r="B21" s="106">
        <v>20</v>
      </c>
      <c r="C21" s="106">
        <v>4</v>
      </c>
      <c r="D21" s="106">
        <v>1</v>
      </c>
      <c r="E21" s="106">
        <v>1</v>
      </c>
      <c r="F21" s="106">
        <v>1</v>
      </c>
      <c r="G21" s="106" t="s">
        <v>418</v>
      </c>
      <c r="H21" s="106" t="s">
        <v>605</v>
      </c>
      <c r="I21" s="106">
        <v>215</v>
      </c>
      <c r="J21" s="106">
        <v>211</v>
      </c>
      <c r="K21" s="106" t="s">
        <v>1243</v>
      </c>
      <c r="L21" s="106" t="s">
        <v>1283</v>
      </c>
      <c r="M21" s="106" t="s">
        <v>151</v>
      </c>
      <c r="N21" s="106">
        <v>19</v>
      </c>
      <c r="O21" s="106">
        <v>19</v>
      </c>
      <c r="R21" s="106" t="s">
        <v>1766</v>
      </c>
      <c r="T21" s="106" t="s">
        <v>1766</v>
      </c>
      <c r="V21" s="106">
        <v>19629802.511928599</v>
      </c>
      <c r="W21" s="106">
        <v>1</v>
      </c>
      <c r="X21" s="106">
        <v>1</v>
      </c>
      <c r="Y21" s="106">
        <v>1</v>
      </c>
      <c r="Z21" s="106">
        <v>1</v>
      </c>
      <c r="AA21" s="106">
        <v>4900000</v>
      </c>
      <c r="AB21" s="106">
        <v>4900000</v>
      </c>
      <c r="AC21" s="106">
        <v>4900000</v>
      </c>
      <c r="AD21" s="106">
        <v>4900000</v>
      </c>
      <c r="AE21" s="106">
        <v>19600000</v>
      </c>
      <c r="AF21" s="106">
        <v>19600000</v>
      </c>
      <c r="AH21" s="106">
        <v>345600</v>
      </c>
      <c r="AI21" s="106">
        <v>9.5000000000000001E-2</v>
      </c>
      <c r="AJ21" s="106">
        <v>9</v>
      </c>
      <c r="AK21" s="106">
        <v>3456</v>
      </c>
      <c r="AL21" s="106">
        <v>31104</v>
      </c>
      <c r="AM21" s="106">
        <v>284212</v>
      </c>
      <c r="AN21" s="106">
        <v>284212</v>
      </c>
      <c r="AO21" s="106">
        <v>168704</v>
      </c>
      <c r="AP21" s="106" t="s">
        <v>1767</v>
      </c>
      <c r="AQ21" s="106" t="s">
        <v>1768</v>
      </c>
      <c r="AR21" s="106">
        <v>6001</v>
      </c>
      <c r="AS21" s="106">
        <v>16000</v>
      </c>
      <c r="AT21" s="106">
        <v>16000</v>
      </c>
      <c r="AU21" s="108" t="s">
        <v>1769</v>
      </c>
      <c r="AV21" s="108" t="s">
        <v>1770</v>
      </c>
      <c r="AW21" s="109">
        <v>8025</v>
      </c>
      <c r="AX21" s="109">
        <v>2</v>
      </c>
      <c r="AY21" s="109">
        <v>2</v>
      </c>
      <c r="AZ21" s="106" t="s">
        <v>72</v>
      </c>
      <c r="BA21" s="106" t="s">
        <v>73</v>
      </c>
      <c r="BB21" s="106">
        <v>1202</v>
      </c>
      <c r="BC21" s="106">
        <v>4</v>
      </c>
      <c r="BD21" s="106">
        <v>4</v>
      </c>
      <c r="BE21" s="112" t="s">
        <v>74</v>
      </c>
      <c r="BF21" s="112" t="s">
        <v>75</v>
      </c>
      <c r="BG21" s="112">
        <v>1205</v>
      </c>
      <c r="BH21" s="112">
        <v>4</v>
      </c>
      <c r="BI21" s="112" t="s">
        <v>76</v>
      </c>
      <c r="BJ21" s="112" t="s">
        <v>77</v>
      </c>
      <c r="BK21" s="112">
        <v>1209</v>
      </c>
      <c r="BL21" s="112">
        <v>4</v>
      </c>
      <c r="BM21" s="112" t="s">
        <v>78</v>
      </c>
      <c r="BN21" s="112" t="s">
        <v>79</v>
      </c>
      <c r="BO21" s="112">
        <v>1210</v>
      </c>
      <c r="BP21" s="112">
        <v>3</v>
      </c>
      <c r="BQ21" s="112" t="s">
        <v>80</v>
      </c>
      <c r="BR21" s="112" t="s">
        <v>81</v>
      </c>
      <c r="BS21" s="112">
        <v>1237</v>
      </c>
      <c r="BT21" s="112">
        <v>3</v>
      </c>
      <c r="BU21" s="108"/>
      <c r="BV21" s="108"/>
      <c r="BW21" s="108"/>
      <c r="BX21" s="108"/>
      <c r="BY21" s="112" t="s">
        <v>1766</v>
      </c>
      <c r="BZ21" s="112" t="s">
        <v>1766</v>
      </c>
      <c r="CA21" s="112" t="s">
        <v>1766</v>
      </c>
      <c r="CB21" s="112" t="s">
        <v>1766</v>
      </c>
      <c r="CD21" s="112" t="s">
        <v>1766</v>
      </c>
      <c r="CE21" s="112" t="s">
        <v>1766</v>
      </c>
      <c r="CG21" s="112" t="s">
        <v>1766</v>
      </c>
      <c r="CH21" s="112" t="s">
        <v>1766</v>
      </c>
      <c r="CJ21" s="112" t="s">
        <v>1766</v>
      </c>
      <c r="CK21" s="112" t="s">
        <v>1766</v>
      </c>
      <c r="CM21" s="112" t="s">
        <v>1766</v>
      </c>
      <c r="CN21" s="112" t="s">
        <v>1766</v>
      </c>
      <c r="CP21" s="112">
        <v>20</v>
      </c>
      <c r="CQ21" s="112" t="s">
        <v>1790</v>
      </c>
      <c r="CR21" s="112" t="s">
        <v>1791</v>
      </c>
      <c r="CS21" s="112">
        <v>1</v>
      </c>
      <c r="CT21" s="112">
        <v>17</v>
      </c>
      <c r="CU21" s="112">
        <v>20</v>
      </c>
      <c r="CV21" s="112" t="s">
        <v>1794</v>
      </c>
      <c r="CW21" s="112" t="s">
        <v>150</v>
      </c>
      <c r="CX21" s="112" t="s">
        <v>1766</v>
      </c>
    </row>
    <row r="22" spans="1:102">
      <c r="A22" s="106" t="s">
        <v>66</v>
      </c>
      <c r="B22" s="106">
        <v>21</v>
      </c>
      <c r="C22" s="106">
        <v>5</v>
      </c>
      <c r="D22" s="106">
        <v>1</v>
      </c>
      <c r="E22" s="106">
        <v>1</v>
      </c>
      <c r="F22" s="106">
        <v>1</v>
      </c>
      <c r="G22" s="106" t="s">
        <v>418</v>
      </c>
      <c r="H22" s="106" t="s">
        <v>442</v>
      </c>
      <c r="I22" s="106">
        <v>215</v>
      </c>
      <c r="J22" s="106">
        <v>222</v>
      </c>
      <c r="K22" s="106" t="s">
        <v>1219</v>
      </c>
      <c r="L22" s="106" t="s">
        <v>1287</v>
      </c>
      <c r="M22" s="106" t="s">
        <v>1285</v>
      </c>
      <c r="N22" s="106">
        <v>20</v>
      </c>
      <c r="O22" s="106">
        <v>20</v>
      </c>
      <c r="R22" s="106" t="s">
        <v>1766</v>
      </c>
      <c r="T22" s="106" t="s">
        <v>1766</v>
      </c>
      <c r="V22" s="106">
        <v>25126147.215268701</v>
      </c>
      <c r="W22" s="106">
        <v>1</v>
      </c>
      <c r="X22" s="106">
        <v>1</v>
      </c>
      <c r="Y22" s="106">
        <v>1</v>
      </c>
      <c r="Z22" s="106">
        <v>1</v>
      </c>
      <c r="AA22" s="106">
        <v>6300000</v>
      </c>
      <c r="AB22" s="106">
        <v>6300000</v>
      </c>
      <c r="AC22" s="106">
        <v>6300000</v>
      </c>
      <c r="AD22" s="106">
        <v>6300000</v>
      </c>
      <c r="AE22" s="106">
        <v>25200000</v>
      </c>
      <c r="AF22" s="106">
        <v>25200000</v>
      </c>
      <c r="AH22" s="106">
        <v>460800</v>
      </c>
      <c r="AI22" s="106">
        <v>0.11</v>
      </c>
      <c r="AJ22" s="106">
        <v>10</v>
      </c>
      <c r="AK22" s="106">
        <v>4608</v>
      </c>
      <c r="AL22" s="106">
        <v>46080</v>
      </c>
      <c r="AM22" s="106">
        <v>368755</v>
      </c>
      <c r="AN22" s="106">
        <v>368755</v>
      </c>
      <c r="AO22" s="106">
        <v>218957</v>
      </c>
      <c r="AP22" s="106" t="s">
        <v>1767</v>
      </c>
      <c r="AQ22" s="106" t="s">
        <v>1768</v>
      </c>
      <c r="AR22" s="106">
        <v>6001</v>
      </c>
      <c r="AS22" s="106">
        <v>18000</v>
      </c>
      <c r="AT22" s="106">
        <v>18000</v>
      </c>
      <c r="AU22" s="108" t="s">
        <v>1769</v>
      </c>
      <c r="AV22" s="108" t="s">
        <v>1770</v>
      </c>
      <c r="AW22" s="108">
        <v>8025</v>
      </c>
      <c r="AX22" s="109">
        <v>2</v>
      </c>
      <c r="AY22" s="109">
        <v>2</v>
      </c>
      <c r="AZ22" s="106" t="s">
        <v>72</v>
      </c>
      <c r="BA22" s="106" t="s">
        <v>73</v>
      </c>
      <c r="BB22" s="106">
        <v>1202</v>
      </c>
      <c r="BC22" s="108">
        <v>4</v>
      </c>
      <c r="BD22" s="108">
        <v>4</v>
      </c>
      <c r="BE22" s="112" t="s">
        <v>74</v>
      </c>
      <c r="BF22" s="112" t="s">
        <v>75</v>
      </c>
      <c r="BG22" s="112">
        <v>1205</v>
      </c>
      <c r="BH22" s="108">
        <v>4</v>
      </c>
      <c r="BI22" s="112" t="s">
        <v>76</v>
      </c>
      <c r="BJ22" s="112" t="s">
        <v>77</v>
      </c>
      <c r="BK22" s="112">
        <v>1209</v>
      </c>
      <c r="BL22" s="108">
        <v>4</v>
      </c>
      <c r="BM22" s="112" t="s">
        <v>78</v>
      </c>
      <c r="BN22" s="112" t="s">
        <v>79</v>
      </c>
      <c r="BO22" s="112">
        <v>1210</v>
      </c>
      <c r="BP22" s="112">
        <v>4</v>
      </c>
      <c r="BQ22" s="112" t="s">
        <v>80</v>
      </c>
      <c r="BR22" s="112" t="s">
        <v>81</v>
      </c>
      <c r="BS22" s="112">
        <v>1237</v>
      </c>
      <c r="BT22" s="112">
        <v>3</v>
      </c>
      <c r="BY22" s="112" t="s">
        <v>1766</v>
      </c>
      <c r="BZ22" s="112" t="s">
        <v>1766</v>
      </c>
      <c r="CA22" s="112" t="s">
        <v>1766</v>
      </c>
      <c r="CB22" s="112" t="s">
        <v>1766</v>
      </c>
      <c r="CD22" s="112" t="s">
        <v>1766</v>
      </c>
      <c r="CE22" s="112" t="s">
        <v>1766</v>
      </c>
      <c r="CG22" s="112" t="s">
        <v>1766</v>
      </c>
      <c r="CH22" s="112" t="s">
        <v>1766</v>
      </c>
      <c r="CJ22" s="112" t="s">
        <v>1766</v>
      </c>
      <c r="CK22" s="112" t="s">
        <v>1766</v>
      </c>
      <c r="CM22" s="112" t="s">
        <v>1766</v>
      </c>
      <c r="CN22" s="112" t="s">
        <v>1766</v>
      </c>
      <c r="CP22" s="112">
        <v>21</v>
      </c>
      <c r="CQ22" s="112" t="s">
        <v>1583</v>
      </c>
      <c r="CR22" s="112" t="s">
        <v>94</v>
      </c>
      <c r="CS22" s="112">
        <v>0.5</v>
      </c>
      <c r="CT22" s="112" t="s">
        <v>1766</v>
      </c>
      <c r="CU22" s="112">
        <v>21</v>
      </c>
      <c r="CV22" s="112" t="s">
        <v>1795</v>
      </c>
      <c r="CW22" s="112" t="s">
        <v>153</v>
      </c>
      <c r="CX22" s="112" t="s">
        <v>1766</v>
      </c>
    </row>
    <row r="23" spans="1:102">
      <c r="A23" s="106" t="s">
        <v>66</v>
      </c>
      <c r="B23" s="106">
        <v>22</v>
      </c>
      <c r="C23" s="106">
        <v>5</v>
      </c>
      <c r="D23" s="106">
        <v>1</v>
      </c>
      <c r="E23" s="106">
        <v>1</v>
      </c>
      <c r="F23" s="106">
        <v>1</v>
      </c>
      <c r="G23" s="106" t="s">
        <v>418</v>
      </c>
      <c r="H23" s="106" t="s">
        <v>591</v>
      </c>
      <c r="I23" s="106">
        <v>215</v>
      </c>
      <c r="J23" s="106">
        <v>231</v>
      </c>
      <c r="K23" s="106" t="s">
        <v>1229</v>
      </c>
      <c r="L23" s="106" t="s">
        <v>1291</v>
      </c>
      <c r="M23" s="106" t="s">
        <v>1289</v>
      </c>
      <c r="N23" s="106">
        <v>21</v>
      </c>
      <c r="O23" s="106">
        <v>21</v>
      </c>
      <c r="R23" s="106" t="s">
        <v>1766</v>
      </c>
      <c r="T23" s="106" t="s">
        <v>1766</v>
      </c>
      <c r="V23" s="106">
        <v>32161468.435543898</v>
      </c>
      <c r="W23" s="106">
        <v>1</v>
      </c>
      <c r="X23" s="106">
        <v>1</v>
      </c>
      <c r="Y23" s="106">
        <v>1</v>
      </c>
      <c r="Z23" s="106">
        <v>1</v>
      </c>
      <c r="AA23" s="106">
        <v>8000000</v>
      </c>
      <c r="AB23" s="106">
        <v>8000000</v>
      </c>
      <c r="AC23" s="106">
        <v>8000000</v>
      </c>
      <c r="AD23" s="106">
        <v>8000000</v>
      </c>
      <c r="AE23" s="106">
        <v>32000000</v>
      </c>
      <c r="AF23" s="106">
        <v>32000000</v>
      </c>
      <c r="AH23" s="106">
        <v>604800</v>
      </c>
      <c r="AI23" s="106">
        <v>0.125</v>
      </c>
      <c r="AJ23" s="106">
        <v>10</v>
      </c>
      <c r="AK23" s="106">
        <v>6048</v>
      </c>
      <c r="AL23" s="106">
        <v>60480</v>
      </c>
      <c r="AM23" s="106">
        <v>476820</v>
      </c>
      <c r="AN23" s="106">
        <v>476820</v>
      </c>
      <c r="AO23" s="106">
        <v>283280</v>
      </c>
      <c r="AP23" s="106" t="s">
        <v>1767</v>
      </c>
      <c r="AQ23" s="106" t="s">
        <v>1768</v>
      </c>
      <c r="AR23" s="106">
        <v>6001</v>
      </c>
      <c r="AS23" s="106">
        <v>20000</v>
      </c>
      <c r="AT23" s="106">
        <v>20000</v>
      </c>
      <c r="AU23" s="108" t="s">
        <v>1769</v>
      </c>
      <c r="AV23" s="108" t="s">
        <v>1770</v>
      </c>
      <c r="AW23" s="108">
        <v>8025</v>
      </c>
      <c r="AX23" s="109">
        <v>2</v>
      </c>
      <c r="AY23" s="109">
        <v>2</v>
      </c>
      <c r="AZ23" s="106" t="s">
        <v>72</v>
      </c>
      <c r="BA23" s="106" t="s">
        <v>73</v>
      </c>
      <c r="BB23" s="106">
        <v>1202</v>
      </c>
      <c r="BC23" s="108">
        <v>4</v>
      </c>
      <c r="BD23" s="108">
        <v>4</v>
      </c>
      <c r="BE23" s="112" t="s">
        <v>74</v>
      </c>
      <c r="BF23" s="112" t="s">
        <v>75</v>
      </c>
      <c r="BG23" s="112">
        <v>1205</v>
      </c>
      <c r="BH23" s="108">
        <v>4</v>
      </c>
      <c r="BI23" s="112" t="s">
        <v>76</v>
      </c>
      <c r="BJ23" s="112" t="s">
        <v>77</v>
      </c>
      <c r="BK23" s="112">
        <v>1209</v>
      </c>
      <c r="BL23" s="108">
        <v>4</v>
      </c>
      <c r="BM23" s="112" t="s">
        <v>78</v>
      </c>
      <c r="BN23" s="112" t="s">
        <v>79</v>
      </c>
      <c r="BO23" s="112">
        <v>1210</v>
      </c>
      <c r="BP23" s="112">
        <v>4</v>
      </c>
      <c r="BQ23" s="112" t="s">
        <v>80</v>
      </c>
      <c r="BR23" s="112" t="s">
        <v>81</v>
      </c>
      <c r="BS23" s="112">
        <v>1237</v>
      </c>
      <c r="BT23" s="112">
        <v>3</v>
      </c>
      <c r="BY23" s="112" t="s">
        <v>1766</v>
      </c>
      <c r="BZ23" s="112" t="s">
        <v>1766</v>
      </c>
      <c r="CA23" s="112" t="s">
        <v>1766</v>
      </c>
      <c r="CB23" s="112" t="s">
        <v>1766</v>
      </c>
      <c r="CD23" s="112" t="s">
        <v>1766</v>
      </c>
      <c r="CE23" s="112" t="s">
        <v>1766</v>
      </c>
      <c r="CG23" s="112" t="s">
        <v>1766</v>
      </c>
      <c r="CH23" s="112" t="s">
        <v>1766</v>
      </c>
      <c r="CJ23" s="112" t="s">
        <v>1766</v>
      </c>
      <c r="CK23" s="112" t="s">
        <v>1766</v>
      </c>
      <c r="CM23" s="112" t="s">
        <v>1766</v>
      </c>
      <c r="CN23" s="112" t="s">
        <v>1766</v>
      </c>
      <c r="CP23" s="112">
        <v>22</v>
      </c>
      <c r="CQ23" s="112" t="s">
        <v>1773</v>
      </c>
      <c r="CR23" s="112" t="s">
        <v>1769</v>
      </c>
      <c r="CS23" s="112">
        <v>1</v>
      </c>
      <c r="CT23" s="112">
        <v>18</v>
      </c>
      <c r="CU23" s="112">
        <v>22</v>
      </c>
      <c r="CV23" s="112" t="s">
        <v>1796</v>
      </c>
      <c r="CW23" s="112" t="s">
        <v>161</v>
      </c>
      <c r="CX23" s="112" t="s">
        <v>1766</v>
      </c>
    </row>
    <row r="24" spans="1:102">
      <c r="A24" s="106" t="s">
        <v>66</v>
      </c>
      <c r="B24" s="106">
        <v>23</v>
      </c>
      <c r="C24" s="106">
        <v>5</v>
      </c>
      <c r="D24" s="106">
        <v>1</v>
      </c>
      <c r="E24" s="106">
        <v>1</v>
      </c>
      <c r="F24" s="106">
        <v>1</v>
      </c>
      <c r="G24" s="106" t="s">
        <v>418</v>
      </c>
      <c r="H24" s="106" t="s">
        <v>369</v>
      </c>
      <c r="I24" s="106">
        <v>215</v>
      </c>
      <c r="J24" s="106">
        <v>224</v>
      </c>
      <c r="K24" s="106" t="s">
        <v>1294</v>
      </c>
      <c r="L24" s="106" t="s">
        <v>1295</v>
      </c>
      <c r="M24" s="106" t="s">
        <v>1292</v>
      </c>
      <c r="N24" s="106">
        <v>22</v>
      </c>
      <c r="O24" s="106">
        <v>22</v>
      </c>
      <c r="R24" s="106" t="s">
        <v>1766</v>
      </c>
      <c r="T24" s="106" t="s">
        <v>1766</v>
      </c>
      <c r="V24" s="106">
        <v>41166679.597496197</v>
      </c>
      <c r="W24" s="106">
        <v>1</v>
      </c>
      <c r="X24" s="106">
        <v>1</v>
      </c>
      <c r="Y24" s="106">
        <v>1</v>
      </c>
      <c r="Z24" s="106">
        <v>1</v>
      </c>
      <c r="AA24" s="106">
        <v>10000000</v>
      </c>
      <c r="AB24" s="106">
        <v>10000000</v>
      </c>
      <c r="AC24" s="106">
        <v>10000000</v>
      </c>
      <c r="AD24" s="106">
        <v>10000000</v>
      </c>
      <c r="AE24" s="106">
        <v>40000000</v>
      </c>
      <c r="AF24" s="106">
        <v>40000000</v>
      </c>
      <c r="AH24" s="106">
        <v>777600</v>
      </c>
      <c r="AI24" s="106">
        <v>0.125</v>
      </c>
      <c r="AJ24" s="106">
        <v>11</v>
      </c>
      <c r="AK24" s="106">
        <v>7776</v>
      </c>
      <c r="AL24" s="106">
        <v>85536</v>
      </c>
      <c r="AM24" s="106">
        <v>605364</v>
      </c>
      <c r="AN24" s="106">
        <v>605364</v>
      </c>
      <c r="AO24" s="106">
        <v>365613</v>
      </c>
      <c r="AP24" s="106" t="s">
        <v>1767</v>
      </c>
      <c r="AQ24" s="106" t="s">
        <v>1768</v>
      </c>
      <c r="AR24" s="106">
        <v>6001</v>
      </c>
      <c r="AS24" s="106">
        <v>22000</v>
      </c>
      <c r="AT24" s="106">
        <v>22000</v>
      </c>
      <c r="AU24" s="108" t="s">
        <v>1769</v>
      </c>
      <c r="AV24" s="108" t="s">
        <v>1770</v>
      </c>
      <c r="AW24" s="108">
        <v>8025</v>
      </c>
      <c r="AX24" s="109">
        <v>2</v>
      </c>
      <c r="AY24" s="109">
        <v>2</v>
      </c>
      <c r="AZ24" s="106" t="s">
        <v>72</v>
      </c>
      <c r="BA24" s="106" t="s">
        <v>73</v>
      </c>
      <c r="BB24" s="106">
        <v>1202</v>
      </c>
      <c r="BC24" s="108">
        <v>4</v>
      </c>
      <c r="BD24" s="108">
        <v>4</v>
      </c>
      <c r="BE24" s="112" t="s">
        <v>74</v>
      </c>
      <c r="BF24" s="112" t="s">
        <v>75</v>
      </c>
      <c r="BG24" s="112">
        <v>1205</v>
      </c>
      <c r="BH24" s="108">
        <v>4</v>
      </c>
      <c r="BI24" s="112" t="s">
        <v>76</v>
      </c>
      <c r="BJ24" s="112" t="s">
        <v>77</v>
      </c>
      <c r="BK24" s="112">
        <v>1209</v>
      </c>
      <c r="BL24" s="108">
        <v>4</v>
      </c>
      <c r="BM24" s="112" t="s">
        <v>78</v>
      </c>
      <c r="BN24" s="112" t="s">
        <v>79</v>
      </c>
      <c r="BO24" s="112">
        <v>1210</v>
      </c>
      <c r="BP24" s="112">
        <v>4</v>
      </c>
      <c r="BQ24" s="112" t="s">
        <v>80</v>
      </c>
      <c r="BR24" s="112" t="s">
        <v>81</v>
      </c>
      <c r="BS24" s="112">
        <v>1237</v>
      </c>
      <c r="BT24" s="112">
        <v>3</v>
      </c>
      <c r="BY24" s="112" t="s">
        <v>1766</v>
      </c>
      <c r="BZ24" s="112" t="s">
        <v>1766</v>
      </c>
      <c r="CA24" s="112" t="s">
        <v>1766</v>
      </c>
      <c r="CB24" s="112" t="s">
        <v>1766</v>
      </c>
      <c r="CD24" s="112" t="s">
        <v>1766</v>
      </c>
      <c r="CE24" s="112" t="s">
        <v>1766</v>
      </c>
      <c r="CG24" s="112" t="s">
        <v>1766</v>
      </c>
      <c r="CH24" s="112" t="s">
        <v>1766</v>
      </c>
      <c r="CJ24" s="112" t="s">
        <v>1766</v>
      </c>
      <c r="CK24" s="112" t="s">
        <v>1766</v>
      </c>
      <c r="CM24" s="112" t="s">
        <v>1766</v>
      </c>
      <c r="CN24" s="112" t="s">
        <v>1766</v>
      </c>
      <c r="CP24" s="112">
        <v>23</v>
      </c>
      <c r="CQ24" s="112" t="s">
        <v>1793</v>
      </c>
      <c r="CR24" s="112" t="s">
        <v>147</v>
      </c>
      <c r="CS24" s="112">
        <v>1</v>
      </c>
      <c r="CT24" s="112">
        <v>19</v>
      </c>
      <c r="CU24" s="112">
        <v>23</v>
      </c>
      <c r="CV24" s="112" t="s">
        <v>1797</v>
      </c>
      <c r="CW24" s="112" t="s">
        <v>164</v>
      </c>
      <c r="CX24" s="112" t="s">
        <v>1766</v>
      </c>
    </row>
    <row r="25" spans="1:102">
      <c r="A25" s="106" t="s">
        <v>66</v>
      </c>
      <c r="B25" s="106">
        <v>24</v>
      </c>
      <c r="C25" s="106">
        <v>5</v>
      </c>
      <c r="D25" s="106">
        <v>1</v>
      </c>
      <c r="E25" s="106">
        <v>1</v>
      </c>
      <c r="F25" s="106">
        <v>1</v>
      </c>
      <c r="G25" s="106" t="s">
        <v>418</v>
      </c>
      <c r="H25" s="106" t="s">
        <v>539</v>
      </c>
      <c r="I25" s="106">
        <v>215</v>
      </c>
      <c r="J25" s="106">
        <v>230</v>
      </c>
      <c r="K25" s="106" t="s">
        <v>1238</v>
      </c>
      <c r="L25" s="106" t="s">
        <v>1298</v>
      </c>
      <c r="M25" s="106" t="s">
        <v>1296</v>
      </c>
      <c r="N25" s="106">
        <v>23</v>
      </c>
      <c r="O25" s="106">
        <v>23</v>
      </c>
      <c r="R25" s="106" t="s">
        <v>1766</v>
      </c>
      <c r="T25" s="106" t="s">
        <v>1766</v>
      </c>
      <c r="V25" s="106">
        <v>52693349.884795099</v>
      </c>
      <c r="W25" s="106">
        <v>1</v>
      </c>
      <c r="X25" s="106">
        <v>1</v>
      </c>
      <c r="Y25" s="106">
        <v>1</v>
      </c>
      <c r="Z25" s="106">
        <v>1</v>
      </c>
      <c r="AA25" s="106">
        <v>13000000</v>
      </c>
      <c r="AB25" s="106">
        <v>13000000</v>
      </c>
      <c r="AC25" s="106">
        <v>13000000</v>
      </c>
      <c r="AD25" s="106">
        <v>13000000</v>
      </c>
      <c r="AE25" s="106">
        <v>52000000</v>
      </c>
      <c r="AF25" s="106">
        <v>52000000</v>
      </c>
      <c r="AH25" s="106">
        <v>993600</v>
      </c>
      <c r="AI25" s="106">
        <v>0.125</v>
      </c>
      <c r="AJ25" s="106">
        <v>12</v>
      </c>
      <c r="AK25" s="106">
        <v>9936</v>
      </c>
      <c r="AL25" s="106">
        <v>119232</v>
      </c>
      <c r="AM25" s="106">
        <v>763668</v>
      </c>
      <c r="AN25" s="106">
        <v>763668</v>
      </c>
      <c r="AO25" s="106">
        <v>471000</v>
      </c>
      <c r="AP25" s="106" t="s">
        <v>1767</v>
      </c>
      <c r="AQ25" s="106" t="s">
        <v>1768</v>
      </c>
      <c r="AR25" s="106">
        <v>6001</v>
      </c>
      <c r="AS25" s="106">
        <v>24000</v>
      </c>
      <c r="AT25" s="106">
        <v>24000</v>
      </c>
      <c r="AU25" s="108" t="s">
        <v>1769</v>
      </c>
      <c r="AV25" s="108" t="s">
        <v>1770</v>
      </c>
      <c r="AW25" s="108">
        <v>8025</v>
      </c>
      <c r="AX25" s="109">
        <v>2</v>
      </c>
      <c r="AY25" s="109">
        <v>2</v>
      </c>
      <c r="AZ25" s="106" t="s">
        <v>72</v>
      </c>
      <c r="BA25" s="106" t="s">
        <v>73</v>
      </c>
      <c r="BB25" s="106">
        <v>1202</v>
      </c>
      <c r="BC25" s="108">
        <v>4</v>
      </c>
      <c r="BD25" s="108">
        <v>4</v>
      </c>
      <c r="BE25" s="112" t="s">
        <v>74</v>
      </c>
      <c r="BF25" s="112" t="s">
        <v>75</v>
      </c>
      <c r="BG25" s="112">
        <v>1205</v>
      </c>
      <c r="BH25" s="108">
        <v>4</v>
      </c>
      <c r="BI25" s="112" t="s">
        <v>76</v>
      </c>
      <c r="BJ25" s="112" t="s">
        <v>77</v>
      </c>
      <c r="BK25" s="112">
        <v>1209</v>
      </c>
      <c r="BL25" s="108">
        <v>4</v>
      </c>
      <c r="BM25" s="112" t="s">
        <v>78</v>
      </c>
      <c r="BN25" s="112" t="s">
        <v>79</v>
      </c>
      <c r="BO25" s="112">
        <v>1210</v>
      </c>
      <c r="BP25" s="112">
        <v>4</v>
      </c>
      <c r="BQ25" s="112" t="s">
        <v>80</v>
      </c>
      <c r="BR25" s="112" t="s">
        <v>81</v>
      </c>
      <c r="BS25" s="112">
        <v>1237</v>
      </c>
      <c r="BT25" s="112">
        <v>4</v>
      </c>
      <c r="BY25" s="112" t="s">
        <v>1766</v>
      </c>
      <c r="BZ25" s="112" t="s">
        <v>1766</v>
      </c>
      <c r="CA25" s="112" t="s">
        <v>1766</v>
      </c>
      <c r="CB25" s="112" t="s">
        <v>1766</v>
      </c>
      <c r="CD25" s="112" t="s">
        <v>1766</v>
      </c>
      <c r="CE25" s="112" t="s">
        <v>1766</v>
      </c>
      <c r="CG25" s="112" t="s">
        <v>1766</v>
      </c>
      <c r="CH25" s="112" t="s">
        <v>1766</v>
      </c>
      <c r="CJ25" s="112" t="s">
        <v>1766</v>
      </c>
      <c r="CK25" s="112" t="s">
        <v>1766</v>
      </c>
      <c r="CM25" s="112" t="s">
        <v>1766</v>
      </c>
      <c r="CN25" s="112" t="s">
        <v>1766</v>
      </c>
      <c r="CP25" s="112">
        <v>24</v>
      </c>
      <c r="CQ25" s="112" t="s">
        <v>1794</v>
      </c>
      <c r="CR25" s="112" t="s">
        <v>150</v>
      </c>
      <c r="CS25" s="112">
        <v>1</v>
      </c>
      <c r="CT25" s="112">
        <v>20</v>
      </c>
      <c r="CU25" s="112">
        <v>24</v>
      </c>
      <c r="CV25" s="112" t="s">
        <v>1798</v>
      </c>
      <c r="CW25" s="112" t="s">
        <v>1782</v>
      </c>
      <c r="CX25" s="112" t="s">
        <v>1766</v>
      </c>
    </row>
    <row r="26" spans="1:102">
      <c r="A26" s="106" t="s">
        <v>66</v>
      </c>
      <c r="B26" s="106">
        <v>25</v>
      </c>
      <c r="C26" s="106">
        <v>5</v>
      </c>
      <c r="D26" s="106">
        <v>1</v>
      </c>
      <c r="E26" s="106">
        <v>1</v>
      </c>
      <c r="F26" s="106">
        <v>1</v>
      </c>
      <c r="G26" s="106" t="s">
        <v>418</v>
      </c>
      <c r="H26" s="106" t="s">
        <v>605</v>
      </c>
      <c r="I26" s="106">
        <v>215</v>
      </c>
      <c r="J26" s="106">
        <v>211</v>
      </c>
      <c r="K26" s="106" t="s">
        <v>1243</v>
      </c>
      <c r="L26" s="106" t="s">
        <v>1302</v>
      </c>
      <c r="M26" s="106" t="s">
        <v>1300</v>
      </c>
      <c r="N26" s="106">
        <v>24</v>
      </c>
      <c r="O26" s="106">
        <v>24</v>
      </c>
      <c r="R26" s="106" t="s">
        <v>1766</v>
      </c>
      <c r="T26" s="106" t="s">
        <v>1766</v>
      </c>
      <c r="V26" s="106">
        <v>67447487.852537796</v>
      </c>
      <c r="W26" s="106">
        <v>1</v>
      </c>
      <c r="X26" s="106">
        <v>1</v>
      </c>
      <c r="Y26" s="106">
        <v>1</v>
      </c>
      <c r="Z26" s="106">
        <v>1</v>
      </c>
      <c r="AA26" s="106">
        <v>17000000</v>
      </c>
      <c r="AB26" s="106">
        <v>17000000</v>
      </c>
      <c r="AC26" s="106">
        <v>17000000</v>
      </c>
      <c r="AD26" s="106">
        <v>17000000</v>
      </c>
      <c r="AE26" s="106">
        <v>68000000</v>
      </c>
      <c r="AF26" s="106">
        <v>68000000</v>
      </c>
      <c r="AH26" s="106">
        <v>1252800</v>
      </c>
      <c r="AI26" s="106">
        <v>0.125</v>
      </c>
      <c r="AJ26" s="106">
        <v>13</v>
      </c>
      <c r="AK26" s="106">
        <v>12528</v>
      </c>
      <c r="AL26" s="106">
        <v>162864</v>
      </c>
      <c r="AM26" s="106">
        <v>950436</v>
      </c>
      <c r="AN26" s="106">
        <v>950436</v>
      </c>
      <c r="AO26" s="106">
        <v>605895</v>
      </c>
      <c r="AP26" s="106" t="s">
        <v>1767</v>
      </c>
      <c r="AQ26" s="106" t="s">
        <v>1768</v>
      </c>
      <c r="AR26" s="106">
        <v>6001</v>
      </c>
      <c r="AS26" s="106">
        <v>26000</v>
      </c>
      <c r="AT26" s="106">
        <v>26000</v>
      </c>
      <c r="AU26" s="108" t="s">
        <v>1769</v>
      </c>
      <c r="AV26" s="108" t="s">
        <v>1770</v>
      </c>
      <c r="AW26" s="108">
        <v>8025</v>
      </c>
      <c r="AX26" s="109">
        <v>2</v>
      </c>
      <c r="AY26" s="109">
        <v>2</v>
      </c>
      <c r="AZ26" s="106" t="s">
        <v>72</v>
      </c>
      <c r="BA26" s="106" t="s">
        <v>73</v>
      </c>
      <c r="BB26" s="106">
        <v>1202</v>
      </c>
      <c r="BC26" s="108">
        <v>4</v>
      </c>
      <c r="BD26" s="108">
        <v>4</v>
      </c>
      <c r="BE26" s="112" t="s">
        <v>74</v>
      </c>
      <c r="BF26" s="112" t="s">
        <v>75</v>
      </c>
      <c r="BG26" s="112">
        <v>1205</v>
      </c>
      <c r="BH26" s="108">
        <v>4</v>
      </c>
      <c r="BI26" s="112" t="s">
        <v>76</v>
      </c>
      <c r="BJ26" s="112" t="s">
        <v>77</v>
      </c>
      <c r="BK26" s="112">
        <v>1209</v>
      </c>
      <c r="BL26" s="108">
        <v>4</v>
      </c>
      <c r="BM26" s="112" t="s">
        <v>78</v>
      </c>
      <c r="BN26" s="112" t="s">
        <v>79</v>
      </c>
      <c r="BO26" s="112">
        <v>1210</v>
      </c>
      <c r="BP26" s="112">
        <v>4</v>
      </c>
      <c r="BQ26" s="112" t="s">
        <v>80</v>
      </c>
      <c r="BR26" s="112" t="s">
        <v>81</v>
      </c>
      <c r="BS26" s="112">
        <v>1237</v>
      </c>
      <c r="BT26" s="112">
        <v>4</v>
      </c>
      <c r="BY26" s="112" t="s">
        <v>1766</v>
      </c>
      <c r="BZ26" s="112" t="s">
        <v>1766</v>
      </c>
      <c r="CA26" s="112" t="s">
        <v>1766</v>
      </c>
      <c r="CB26" s="112" t="s">
        <v>1766</v>
      </c>
      <c r="CD26" s="112" t="s">
        <v>1766</v>
      </c>
      <c r="CE26" s="112" t="s">
        <v>1766</v>
      </c>
      <c r="CG26" s="112" t="s">
        <v>1766</v>
      </c>
      <c r="CH26" s="112" t="s">
        <v>1766</v>
      </c>
      <c r="CJ26" s="112" t="s">
        <v>1766</v>
      </c>
      <c r="CK26" s="112" t="s">
        <v>1766</v>
      </c>
      <c r="CM26" s="112" t="s">
        <v>1766</v>
      </c>
      <c r="CN26" s="112" t="s">
        <v>1766</v>
      </c>
      <c r="CP26" s="112">
        <v>25</v>
      </c>
      <c r="CQ26" s="112" t="s">
        <v>1795</v>
      </c>
      <c r="CR26" s="112" t="s">
        <v>153</v>
      </c>
      <c r="CS26" s="112">
        <v>1</v>
      </c>
      <c r="CT26" s="112">
        <v>21</v>
      </c>
      <c r="CU26" s="112">
        <v>25</v>
      </c>
      <c r="CV26" s="112" t="s">
        <v>1799</v>
      </c>
      <c r="CW26" s="112" t="s">
        <v>176</v>
      </c>
      <c r="CX26" s="112" t="s">
        <v>1766</v>
      </c>
    </row>
    <row r="27" spans="1:102">
      <c r="A27" s="106" t="s">
        <v>66</v>
      </c>
      <c r="B27" s="106">
        <v>26</v>
      </c>
      <c r="C27" s="106">
        <v>5</v>
      </c>
      <c r="D27" s="106">
        <v>1</v>
      </c>
      <c r="E27" s="106">
        <v>1</v>
      </c>
      <c r="F27" s="106">
        <v>1</v>
      </c>
      <c r="G27" s="106" t="s">
        <v>418</v>
      </c>
      <c r="H27" s="106" t="s">
        <v>469</v>
      </c>
      <c r="I27" s="106">
        <v>215</v>
      </c>
      <c r="J27" s="106">
        <v>226</v>
      </c>
      <c r="K27" s="106" t="s">
        <v>1224</v>
      </c>
      <c r="L27" s="106" t="s">
        <v>1305</v>
      </c>
      <c r="M27" s="106" t="s">
        <v>1303</v>
      </c>
      <c r="N27" s="106">
        <v>25</v>
      </c>
      <c r="O27" s="106">
        <v>25</v>
      </c>
      <c r="R27" s="106" t="s">
        <v>1766</v>
      </c>
      <c r="T27" s="106" t="s">
        <v>1766</v>
      </c>
      <c r="V27" s="106">
        <v>86332784.451248303</v>
      </c>
      <c r="W27" s="106">
        <v>1</v>
      </c>
      <c r="X27" s="106">
        <v>1</v>
      </c>
      <c r="Y27" s="106">
        <v>1</v>
      </c>
      <c r="Z27" s="106">
        <v>1</v>
      </c>
      <c r="AA27" s="106">
        <v>22000000</v>
      </c>
      <c r="AB27" s="106">
        <v>22000000</v>
      </c>
      <c r="AC27" s="106">
        <v>22000000</v>
      </c>
      <c r="AD27" s="106">
        <v>22000000</v>
      </c>
      <c r="AE27" s="106">
        <v>88000000</v>
      </c>
      <c r="AF27" s="106">
        <v>88000000</v>
      </c>
      <c r="AH27" s="106">
        <v>1555200</v>
      </c>
      <c r="AI27" s="106">
        <v>0.14499999999999999</v>
      </c>
      <c r="AJ27" s="106">
        <v>14</v>
      </c>
      <c r="AK27" s="106">
        <v>15552</v>
      </c>
      <c r="AL27" s="106">
        <v>217728</v>
      </c>
      <c r="AM27" s="106">
        <v>1140225</v>
      </c>
      <c r="AN27" s="106">
        <v>1140225</v>
      </c>
      <c r="AO27" s="106">
        <v>778560</v>
      </c>
      <c r="AP27" s="106" t="s">
        <v>1767</v>
      </c>
      <c r="AQ27" s="106" t="s">
        <v>1768</v>
      </c>
      <c r="AR27" s="106">
        <v>6001</v>
      </c>
      <c r="AS27" s="106">
        <v>28500</v>
      </c>
      <c r="AT27" s="106">
        <v>28500</v>
      </c>
      <c r="AU27" s="108" t="s">
        <v>1769</v>
      </c>
      <c r="AV27" s="108" t="s">
        <v>1770</v>
      </c>
      <c r="AW27" s="108">
        <v>8025</v>
      </c>
      <c r="AX27" s="109">
        <v>2</v>
      </c>
      <c r="AY27" s="109">
        <v>2</v>
      </c>
      <c r="AZ27" s="106" t="s">
        <v>72</v>
      </c>
      <c r="BA27" s="106" t="s">
        <v>73</v>
      </c>
      <c r="BB27" s="106">
        <v>1202</v>
      </c>
      <c r="BC27" s="108">
        <v>4</v>
      </c>
      <c r="BD27" s="108">
        <v>4</v>
      </c>
      <c r="BE27" s="112" t="s">
        <v>74</v>
      </c>
      <c r="BF27" s="112" t="s">
        <v>75</v>
      </c>
      <c r="BG27" s="112">
        <v>1205</v>
      </c>
      <c r="BH27" s="108">
        <v>4</v>
      </c>
      <c r="BI27" s="112" t="s">
        <v>76</v>
      </c>
      <c r="BJ27" s="112" t="s">
        <v>77</v>
      </c>
      <c r="BK27" s="112">
        <v>1209</v>
      </c>
      <c r="BL27" s="108">
        <v>4</v>
      </c>
      <c r="BM27" s="112" t="s">
        <v>78</v>
      </c>
      <c r="BN27" s="112" t="s">
        <v>79</v>
      </c>
      <c r="BO27" s="112">
        <v>1210</v>
      </c>
      <c r="BP27" s="112">
        <v>4</v>
      </c>
      <c r="BQ27" s="112" t="s">
        <v>80</v>
      </c>
      <c r="BR27" s="112" t="s">
        <v>81</v>
      </c>
      <c r="BS27" s="112">
        <v>1237</v>
      </c>
      <c r="BT27" s="112">
        <v>4</v>
      </c>
      <c r="BY27" s="112" t="s">
        <v>1766</v>
      </c>
      <c r="BZ27" s="112" t="s">
        <v>1766</v>
      </c>
      <c r="CA27" s="112" t="s">
        <v>1766</v>
      </c>
      <c r="CB27" s="112" t="s">
        <v>1766</v>
      </c>
      <c r="CD27" s="112" t="s">
        <v>1766</v>
      </c>
      <c r="CE27" s="112" t="s">
        <v>1766</v>
      </c>
      <c r="CG27" s="112" t="s">
        <v>1766</v>
      </c>
      <c r="CH27" s="112" t="s">
        <v>1766</v>
      </c>
      <c r="CJ27" s="112" t="s">
        <v>1766</v>
      </c>
      <c r="CK27" s="112" t="s">
        <v>1766</v>
      </c>
      <c r="CM27" s="112" t="s">
        <v>1766</v>
      </c>
      <c r="CN27" s="112" t="s">
        <v>1766</v>
      </c>
      <c r="CP27" s="112">
        <v>26</v>
      </c>
      <c r="CQ27" s="112" t="s">
        <v>1796</v>
      </c>
      <c r="CR27" s="112" t="s">
        <v>161</v>
      </c>
      <c r="CS27" s="112">
        <v>1</v>
      </c>
      <c r="CT27" s="112">
        <v>22</v>
      </c>
      <c r="CU27" s="112">
        <v>26</v>
      </c>
      <c r="CV27" s="112" t="s">
        <v>1800</v>
      </c>
      <c r="CW27" s="112" t="s">
        <v>1801</v>
      </c>
      <c r="CX27" s="112" t="s">
        <v>1792</v>
      </c>
    </row>
    <row r="28" spans="1:102">
      <c r="A28" s="106" t="s">
        <v>66</v>
      </c>
      <c r="B28" s="106">
        <v>27</v>
      </c>
      <c r="C28" s="106">
        <v>5</v>
      </c>
      <c r="D28" s="106">
        <v>1</v>
      </c>
      <c r="E28" s="106">
        <v>1</v>
      </c>
      <c r="F28" s="106">
        <v>1</v>
      </c>
      <c r="G28" s="106" t="s">
        <v>418</v>
      </c>
      <c r="H28" s="106" t="s">
        <v>591</v>
      </c>
      <c r="I28" s="106">
        <v>215</v>
      </c>
      <c r="J28" s="106">
        <v>231</v>
      </c>
      <c r="K28" s="106" t="s">
        <v>1229</v>
      </c>
      <c r="L28" s="106" t="s">
        <v>1308</v>
      </c>
      <c r="M28" s="106" t="s">
        <v>1306</v>
      </c>
      <c r="N28" s="106">
        <v>26</v>
      </c>
      <c r="O28" s="106">
        <v>26</v>
      </c>
      <c r="R28" s="106" t="s">
        <v>1766</v>
      </c>
      <c r="T28" s="106" t="s">
        <v>1766</v>
      </c>
      <c r="V28" s="106">
        <v>110505964.097598</v>
      </c>
      <c r="W28" s="106">
        <v>1</v>
      </c>
      <c r="X28" s="106">
        <v>1</v>
      </c>
      <c r="Y28" s="106">
        <v>1</v>
      </c>
      <c r="Z28" s="106">
        <v>1</v>
      </c>
      <c r="AA28" s="106">
        <v>28000000</v>
      </c>
      <c r="AB28" s="106">
        <v>28000000</v>
      </c>
      <c r="AC28" s="106">
        <v>28000000</v>
      </c>
      <c r="AD28" s="106">
        <v>28000000</v>
      </c>
      <c r="AE28" s="106">
        <v>112000000</v>
      </c>
      <c r="AF28" s="106">
        <v>112000000</v>
      </c>
      <c r="AH28" s="106">
        <v>1900800</v>
      </c>
      <c r="AI28" s="106">
        <v>0.16500000000000001</v>
      </c>
      <c r="AJ28" s="106">
        <v>15</v>
      </c>
      <c r="AK28" s="106">
        <v>19008</v>
      </c>
      <c r="AL28" s="106">
        <v>285120</v>
      </c>
      <c r="AM28" s="106">
        <v>1346167</v>
      </c>
      <c r="AN28" s="106">
        <v>1346167</v>
      </c>
      <c r="AO28" s="106">
        <v>999572</v>
      </c>
      <c r="AP28" s="106" t="s">
        <v>1767</v>
      </c>
      <c r="AQ28" s="106" t="s">
        <v>1768</v>
      </c>
      <c r="AR28" s="106">
        <v>6001</v>
      </c>
      <c r="AS28" s="106">
        <v>31000</v>
      </c>
      <c r="AT28" s="106">
        <v>31000</v>
      </c>
      <c r="AU28" s="108" t="s">
        <v>1769</v>
      </c>
      <c r="AV28" s="108" t="s">
        <v>1770</v>
      </c>
      <c r="AW28" s="108">
        <v>8025</v>
      </c>
      <c r="AX28" s="109">
        <v>2</v>
      </c>
      <c r="AY28" s="109">
        <v>2</v>
      </c>
      <c r="AZ28" s="106" t="s">
        <v>72</v>
      </c>
      <c r="BA28" s="106" t="s">
        <v>73</v>
      </c>
      <c r="BB28" s="106">
        <v>1202</v>
      </c>
      <c r="BC28" s="108">
        <v>4</v>
      </c>
      <c r="BD28" s="108">
        <v>4</v>
      </c>
      <c r="BE28" s="112" t="s">
        <v>74</v>
      </c>
      <c r="BF28" s="112" t="s">
        <v>75</v>
      </c>
      <c r="BG28" s="112">
        <v>1205</v>
      </c>
      <c r="BH28" s="108">
        <v>4</v>
      </c>
      <c r="BI28" s="112" t="s">
        <v>76</v>
      </c>
      <c r="BJ28" s="112" t="s">
        <v>77</v>
      </c>
      <c r="BK28" s="112">
        <v>1209</v>
      </c>
      <c r="BL28" s="108">
        <v>4</v>
      </c>
      <c r="BM28" s="112" t="s">
        <v>78</v>
      </c>
      <c r="BN28" s="112" t="s">
        <v>79</v>
      </c>
      <c r="BO28" s="112">
        <v>1210</v>
      </c>
      <c r="BP28" s="112">
        <v>4</v>
      </c>
      <c r="BQ28" s="112" t="s">
        <v>80</v>
      </c>
      <c r="BR28" s="112" t="s">
        <v>81</v>
      </c>
      <c r="BS28" s="112">
        <v>1237</v>
      </c>
      <c r="BT28" s="112">
        <v>4</v>
      </c>
      <c r="BY28" s="112" t="s">
        <v>1766</v>
      </c>
      <c r="BZ28" s="112" t="s">
        <v>1766</v>
      </c>
      <c r="CA28" s="112" t="s">
        <v>1766</v>
      </c>
      <c r="CB28" s="112" t="s">
        <v>1766</v>
      </c>
      <c r="CD28" s="112" t="s">
        <v>1766</v>
      </c>
      <c r="CE28" s="112" t="s">
        <v>1766</v>
      </c>
      <c r="CG28" s="112" t="s">
        <v>1766</v>
      </c>
      <c r="CH28" s="112" t="s">
        <v>1766</v>
      </c>
      <c r="CJ28" s="112" t="s">
        <v>1766</v>
      </c>
      <c r="CK28" s="112" t="s">
        <v>1766</v>
      </c>
      <c r="CM28" s="112" t="s">
        <v>1766</v>
      </c>
      <c r="CN28" s="112" t="s">
        <v>1766</v>
      </c>
      <c r="CP28" s="112">
        <v>27</v>
      </c>
      <c r="CQ28" s="112" t="s">
        <v>1797</v>
      </c>
      <c r="CR28" s="112" t="s">
        <v>164</v>
      </c>
      <c r="CS28" s="112">
        <v>1</v>
      </c>
      <c r="CT28" s="112">
        <v>23</v>
      </c>
      <c r="CU28" s="112">
        <v>27</v>
      </c>
      <c r="CV28" s="112" t="s">
        <v>1802</v>
      </c>
      <c r="CW28" s="112" t="s">
        <v>182</v>
      </c>
      <c r="CX28" s="112" t="s">
        <v>1766</v>
      </c>
    </row>
    <row r="29" spans="1:102">
      <c r="A29" s="106" t="s">
        <v>66</v>
      </c>
      <c r="B29" s="106">
        <v>28</v>
      </c>
      <c r="C29" s="106">
        <v>5</v>
      </c>
      <c r="D29" s="106">
        <v>1</v>
      </c>
      <c r="E29" s="106">
        <v>1</v>
      </c>
      <c r="F29" s="106">
        <v>1</v>
      </c>
      <c r="G29" s="106" t="s">
        <v>418</v>
      </c>
      <c r="H29" s="106" t="s">
        <v>442</v>
      </c>
      <c r="I29" s="106">
        <v>215</v>
      </c>
      <c r="J29" s="106">
        <v>222</v>
      </c>
      <c r="K29" s="106" t="s">
        <v>1219</v>
      </c>
      <c r="L29" s="106" t="s">
        <v>1311</v>
      </c>
      <c r="M29" s="106" t="s">
        <v>1309</v>
      </c>
      <c r="N29" s="106">
        <v>27</v>
      </c>
      <c r="O29" s="106">
        <v>27</v>
      </c>
      <c r="T29" s="106" t="s">
        <v>1766</v>
      </c>
      <c r="V29" s="106">
        <v>141447634.044925</v>
      </c>
      <c r="W29" s="106">
        <v>1</v>
      </c>
      <c r="X29" s="106">
        <v>1</v>
      </c>
      <c r="Y29" s="106">
        <v>1</v>
      </c>
      <c r="Z29" s="106">
        <v>1</v>
      </c>
      <c r="AA29" s="106">
        <v>35000000</v>
      </c>
      <c r="AB29" s="106">
        <v>35000000</v>
      </c>
      <c r="AC29" s="106">
        <v>35000000</v>
      </c>
      <c r="AD29" s="106">
        <v>35000000</v>
      </c>
      <c r="AE29" s="106">
        <v>140000000</v>
      </c>
      <c r="AF29" s="106">
        <v>140000000</v>
      </c>
      <c r="AH29" s="106">
        <v>2332800</v>
      </c>
      <c r="AI29" s="106">
        <v>0.185</v>
      </c>
      <c r="AJ29" s="106">
        <v>16</v>
      </c>
      <c r="AK29" s="106">
        <v>23328</v>
      </c>
      <c r="AL29" s="106">
        <v>373248</v>
      </c>
      <c r="AM29" s="106">
        <v>1595059</v>
      </c>
      <c r="AN29" s="106">
        <v>1595059</v>
      </c>
      <c r="AO29" s="106">
        <v>1282467</v>
      </c>
      <c r="AP29" s="106" t="s">
        <v>1767</v>
      </c>
      <c r="AQ29" s="106" t="s">
        <v>1768</v>
      </c>
      <c r="AR29" s="106">
        <v>6001</v>
      </c>
      <c r="AS29" s="106">
        <v>33500</v>
      </c>
      <c r="AT29" s="106">
        <v>33500</v>
      </c>
      <c r="AU29" s="108" t="s">
        <v>1769</v>
      </c>
      <c r="AV29" s="108" t="s">
        <v>1770</v>
      </c>
      <c r="AW29" s="108">
        <v>8025</v>
      </c>
      <c r="AX29" s="109">
        <v>2</v>
      </c>
      <c r="AY29" s="109">
        <v>2</v>
      </c>
      <c r="AZ29" s="106" t="s">
        <v>72</v>
      </c>
      <c r="BA29" s="106" t="s">
        <v>73</v>
      </c>
      <c r="BB29" s="106">
        <v>1202</v>
      </c>
      <c r="BC29" s="108">
        <v>4</v>
      </c>
      <c r="BD29" s="108">
        <v>4</v>
      </c>
      <c r="BE29" s="112" t="s">
        <v>74</v>
      </c>
      <c r="BF29" s="112" t="s">
        <v>75</v>
      </c>
      <c r="BG29" s="112">
        <v>1205</v>
      </c>
      <c r="BH29" s="108">
        <v>4</v>
      </c>
      <c r="BI29" s="112" t="s">
        <v>76</v>
      </c>
      <c r="BJ29" s="112" t="s">
        <v>77</v>
      </c>
      <c r="BK29" s="112">
        <v>1209</v>
      </c>
      <c r="BL29" s="108">
        <v>4</v>
      </c>
      <c r="BM29" s="112" t="s">
        <v>78</v>
      </c>
      <c r="BN29" s="112" t="s">
        <v>79</v>
      </c>
      <c r="BO29" s="112">
        <v>1210</v>
      </c>
      <c r="BP29" s="112">
        <v>4</v>
      </c>
      <c r="BQ29" s="112" t="s">
        <v>80</v>
      </c>
      <c r="BR29" s="112" t="s">
        <v>81</v>
      </c>
      <c r="BS29" s="112">
        <v>1237</v>
      </c>
      <c r="BT29" s="112">
        <v>4</v>
      </c>
      <c r="BY29" s="112" t="s">
        <v>1766</v>
      </c>
      <c r="BZ29" s="112" t="s">
        <v>1766</v>
      </c>
      <c r="CA29" s="112" t="s">
        <v>1766</v>
      </c>
      <c r="CB29" s="112" t="s">
        <v>1766</v>
      </c>
      <c r="CD29" s="112" t="s">
        <v>1766</v>
      </c>
      <c r="CE29" s="112" t="s">
        <v>1766</v>
      </c>
      <c r="CG29" s="112" t="s">
        <v>1766</v>
      </c>
      <c r="CH29" s="112" t="s">
        <v>1766</v>
      </c>
      <c r="CJ29" s="112" t="s">
        <v>1766</v>
      </c>
      <c r="CK29" s="112" t="s">
        <v>1766</v>
      </c>
      <c r="CM29" s="112" t="s">
        <v>1766</v>
      </c>
      <c r="CN29" s="112" t="s">
        <v>1766</v>
      </c>
      <c r="CP29" s="112">
        <v>28</v>
      </c>
      <c r="CQ29" s="112" t="s">
        <v>1798</v>
      </c>
      <c r="CR29" s="112" t="s">
        <v>173</v>
      </c>
      <c r="CS29" s="112">
        <v>1</v>
      </c>
      <c r="CT29" s="112">
        <v>24</v>
      </c>
      <c r="CU29" s="112">
        <v>28</v>
      </c>
      <c r="CV29" s="112" t="s">
        <v>1803</v>
      </c>
      <c r="CW29" s="112" t="s">
        <v>1804</v>
      </c>
      <c r="CX29" s="112" t="s">
        <v>1766</v>
      </c>
    </row>
    <row r="30" spans="1:102">
      <c r="A30" s="106" t="s">
        <v>66</v>
      </c>
      <c r="B30" s="106">
        <v>29</v>
      </c>
      <c r="C30" s="106">
        <v>5</v>
      </c>
      <c r="D30" s="106">
        <v>1</v>
      </c>
      <c r="E30" s="106">
        <v>1</v>
      </c>
      <c r="F30" s="106">
        <v>1</v>
      </c>
      <c r="G30" s="106" t="s">
        <v>418</v>
      </c>
      <c r="H30" s="106" t="s">
        <v>539</v>
      </c>
      <c r="I30" s="106">
        <v>215</v>
      </c>
      <c r="J30" s="106">
        <v>230</v>
      </c>
      <c r="K30" s="106" t="s">
        <v>1238</v>
      </c>
      <c r="L30" s="106" t="s">
        <v>1314</v>
      </c>
      <c r="M30" s="106" t="s">
        <v>1312</v>
      </c>
      <c r="N30" s="106">
        <v>28</v>
      </c>
      <c r="O30" s="106">
        <v>28</v>
      </c>
      <c r="T30" s="106" t="s">
        <v>1766</v>
      </c>
      <c r="V30" s="106">
        <v>181052971.57750401</v>
      </c>
      <c r="W30" s="106">
        <v>1</v>
      </c>
      <c r="X30" s="106">
        <v>1</v>
      </c>
      <c r="Y30" s="106">
        <v>1</v>
      </c>
      <c r="Z30" s="106">
        <v>1</v>
      </c>
      <c r="AA30" s="106">
        <v>45000000</v>
      </c>
      <c r="AB30" s="106">
        <v>45000000</v>
      </c>
      <c r="AC30" s="106">
        <v>45000000</v>
      </c>
      <c r="AD30" s="106">
        <v>45000000</v>
      </c>
      <c r="AE30" s="106">
        <v>180000000</v>
      </c>
      <c r="AF30" s="106">
        <v>180000000</v>
      </c>
      <c r="AH30" s="106">
        <v>2851200</v>
      </c>
      <c r="AI30" s="106">
        <v>0.20499999999999999</v>
      </c>
      <c r="AJ30" s="106">
        <v>17</v>
      </c>
      <c r="AK30" s="106">
        <v>28512</v>
      </c>
      <c r="AL30" s="106">
        <v>484704</v>
      </c>
      <c r="AM30" s="106">
        <v>1881137</v>
      </c>
      <c r="AN30" s="106">
        <v>1881137</v>
      </c>
      <c r="AO30" s="106">
        <v>1644573</v>
      </c>
      <c r="AP30" s="106" t="s">
        <v>1767</v>
      </c>
      <c r="AQ30" s="106" t="s">
        <v>1768</v>
      </c>
      <c r="AR30" s="106">
        <v>6001</v>
      </c>
      <c r="AS30" s="106">
        <v>36500</v>
      </c>
      <c r="AT30" s="106">
        <v>36500</v>
      </c>
      <c r="AU30" s="108" t="s">
        <v>1769</v>
      </c>
      <c r="AV30" s="108" t="s">
        <v>1770</v>
      </c>
      <c r="AW30" s="108">
        <v>8025</v>
      </c>
      <c r="AX30" s="109">
        <v>2</v>
      </c>
      <c r="AY30" s="109">
        <v>2</v>
      </c>
      <c r="AZ30" s="106" t="s">
        <v>72</v>
      </c>
      <c r="BA30" s="106" t="s">
        <v>73</v>
      </c>
      <c r="BB30" s="106">
        <v>1202</v>
      </c>
      <c r="BC30" s="108">
        <v>4</v>
      </c>
      <c r="BD30" s="108">
        <v>4</v>
      </c>
      <c r="BE30" s="112" t="s">
        <v>74</v>
      </c>
      <c r="BF30" s="112" t="s">
        <v>75</v>
      </c>
      <c r="BG30" s="112">
        <v>1205</v>
      </c>
      <c r="BH30" s="108">
        <v>4</v>
      </c>
      <c r="BI30" s="112" t="s">
        <v>76</v>
      </c>
      <c r="BJ30" s="112" t="s">
        <v>77</v>
      </c>
      <c r="BK30" s="112">
        <v>1209</v>
      </c>
      <c r="BL30" s="108">
        <v>4</v>
      </c>
      <c r="BM30" s="112" t="s">
        <v>78</v>
      </c>
      <c r="BN30" s="112" t="s">
        <v>79</v>
      </c>
      <c r="BO30" s="112">
        <v>1210</v>
      </c>
      <c r="BP30" s="112">
        <v>4</v>
      </c>
      <c r="BQ30" s="112" t="s">
        <v>80</v>
      </c>
      <c r="BR30" s="112" t="s">
        <v>81</v>
      </c>
      <c r="BS30" s="112">
        <v>1237</v>
      </c>
      <c r="BT30" s="112">
        <v>4</v>
      </c>
      <c r="BY30" s="112" t="s">
        <v>1766</v>
      </c>
      <c r="BZ30" s="112" t="s">
        <v>1766</v>
      </c>
      <c r="CA30" s="112" t="s">
        <v>1766</v>
      </c>
      <c r="CB30" s="112" t="s">
        <v>1766</v>
      </c>
      <c r="CD30" s="112" t="s">
        <v>1766</v>
      </c>
      <c r="CE30" s="112" t="s">
        <v>1766</v>
      </c>
      <c r="CG30" s="112" t="s">
        <v>1766</v>
      </c>
      <c r="CH30" s="112" t="s">
        <v>1766</v>
      </c>
      <c r="CJ30" s="112" t="s">
        <v>1766</v>
      </c>
      <c r="CK30" s="112" t="s">
        <v>1766</v>
      </c>
      <c r="CM30" s="112" t="s">
        <v>1766</v>
      </c>
      <c r="CN30" s="112" t="s">
        <v>1766</v>
      </c>
      <c r="CP30" s="112">
        <v>29</v>
      </c>
      <c r="CQ30" s="112" t="s">
        <v>1799</v>
      </c>
      <c r="CR30" s="112" t="s">
        <v>176</v>
      </c>
      <c r="CS30" s="112">
        <v>1</v>
      </c>
      <c r="CT30" s="112">
        <v>25</v>
      </c>
      <c r="CU30" s="112">
        <v>29</v>
      </c>
      <c r="CV30" s="112" t="s">
        <v>1805</v>
      </c>
      <c r="CW30" s="112" t="s">
        <v>1806</v>
      </c>
      <c r="CX30" s="112" t="s">
        <v>1792</v>
      </c>
    </row>
    <row r="31" spans="1:102">
      <c r="A31" s="106" t="s">
        <v>66</v>
      </c>
      <c r="B31" s="106">
        <v>30</v>
      </c>
      <c r="C31" s="106">
        <v>5</v>
      </c>
      <c r="D31" s="106">
        <v>1</v>
      </c>
      <c r="E31" s="106">
        <v>1</v>
      </c>
      <c r="F31" s="106">
        <v>1</v>
      </c>
      <c r="G31" s="106" t="s">
        <v>418</v>
      </c>
      <c r="H31" s="106" t="s">
        <v>605</v>
      </c>
      <c r="I31" s="106">
        <v>215</v>
      </c>
      <c r="J31" s="106">
        <v>211</v>
      </c>
      <c r="K31" s="106" t="s">
        <v>1243</v>
      </c>
      <c r="L31" s="106" t="s">
        <v>1317</v>
      </c>
      <c r="M31" s="106" t="s">
        <v>1315</v>
      </c>
      <c r="N31" s="106">
        <v>29</v>
      </c>
      <c r="O31" s="106">
        <v>29</v>
      </c>
      <c r="T31" s="106" t="s">
        <v>1766</v>
      </c>
      <c r="V31" s="106">
        <v>231747803.61920601</v>
      </c>
      <c r="W31" s="106">
        <v>1</v>
      </c>
      <c r="X31" s="106">
        <v>1</v>
      </c>
      <c r="Y31" s="106">
        <v>1</v>
      </c>
      <c r="Z31" s="106">
        <v>1</v>
      </c>
      <c r="AA31" s="106">
        <v>58000000</v>
      </c>
      <c r="AB31" s="106">
        <v>58000000</v>
      </c>
      <c r="AC31" s="106">
        <v>58000000</v>
      </c>
      <c r="AD31" s="106">
        <v>58000000</v>
      </c>
      <c r="AE31" s="106">
        <v>232000000</v>
      </c>
      <c r="AF31" s="106">
        <v>232000000</v>
      </c>
      <c r="AH31" s="106">
        <v>3456000</v>
      </c>
      <c r="AI31" s="106">
        <v>0.22500000000000001</v>
      </c>
      <c r="AJ31" s="106">
        <v>18</v>
      </c>
      <c r="AK31" s="106">
        <v>34560</v>
      </c>
      <c r="AL31" s="106">
        <v>622080</v>
      </c>
      <c r="AM31" s="106">
        <v>2198844</v>
      </c>
      <c r="AN31" s="106">
        <v>2198844</v>
      </c>
      <c r="AO31" s="106">
        <v>2108069</v>
      </c>
      <c r="AP31" s="106" t="s">
        <v>1767</v>
      </c>
      <c r="AQ31" s="106" t="s">
        <v>1768</v>
      </c>
      <c r="AR31" s="106">
        <v>6001</v>
      </c>
      <c r="AS31" s="106">
        <v>40000</v>
      </c>
      <c r="AT31" s="106">
        <v>40000</v>
      </c>
      <c r="AU31" s="108" t="s">
        <v>1769</v>
      </c>
      <c r="AV31" s="108" t="s">
        <v>1770</v>
      </c>
      <c r="AW31" s="108">
        <v>8025</v>
      </c>
      <c r="AX31" s="109">
        <v>2</v>
      </c>
      <c r="AY31" s="109">
        <v>2</v>
      </c>
      <c r="AZ31" s="106" t="s">
        <v>72</v>
      </c>
      <c r="BA31" s="106" t="s">
        <v>73</v>
      </c>
      <c r="BB31" s="106">
        <v>1202</v>
      </c>
      <c r="BC31" s="108">
        <v>4</v>
      </c>
      <c r="BD31" s="108">
        <v>4</v>
      </c>
      <c r="BE31" s="112" t="s">
        <v>74</v>
      </c>
      <c r="BF31" s="112" t="s">
        <v>75</v>
      </c>
      <c r="BG31" s="112">
        <v>1205</v>
      </c>
      <c r="BH31" s="108">
        <v>4</v>
      </c>
      <c r="BI31" s="112" t="s">
        <v>76</v>
      </c>
      <c r="BJ31" s="112" t="s">
        <v>77</v>
      </c>
      <c r="BK31" s="112">
        <v>1209</v>
      </c>
      <c r="BL31" s="108">
        <v>4</v>
      </c>
      <c r="BM31" s="112" t="s">
        <v>78</v>
      </c>
      <c r="BN31" s="112" t="s">
        <v>79</v>
      </c>
      <c r="BO31" s="112">
        <v>1210</v>
      </c>
      <c r="BP31" s="112">
        <v>4</v>
      </c>
      <c r="BQ31" s="112" t="s">
        <v>80</v>
      </c>
      <c r="BR31" s="112" t="s">
        <v>81</v>
      </c>
      <c r="BS31" s="112">
        <v>1237</v>
      </c>
      <c r="BT31" s="112">
        <v>4</v>
      </c>
      <c r="BY31" s="112" t="s">
        <v>1766</v>
      </c>
      <c r="BZ31" s="112" t="s">
        <v>1766</v>
      </c>
      <c r="CA31" s="112" t="s">
        <v>1766</v>
      </c>
      <c r="CB31" s="112" t="s">
        <v>1766</v>
      </c>
      <c r="CD31" s="112" t="s">
        <v>1766</v>
      </c>
      <c r="CE31" s="112" t="s">
        <v>1766</v>
      </c>
      <c r="CG31" s="112" t="s">
        <v>1766</v>
      </c>
      <c r="CH31" s="112" t="s">
        <v>1766</v>
      </c>
      <c r="CJ31" s="112" t="s">
        <v>1766</v>
      </c>
      <c r="CK31" s="112" t="s">
        <v>1766</v>
      </c>
      <c r="CM31" s="112" t="s">
        <v>1766</v>
      </c>
      <c r="CN31" s="112" t="s">
        <v>1766</v>
      </c>
      <c r="CP31" s="112">
        <v>30</v>
      </c>
      <c r="CQ31" s="112" t="s">
        <v>1800</v>
      </c>
      <c r="CR31" s="112" t="s">
        <v>1801</v>
      </c>
      <c r="CS31" s="112">
        <v>1</v>
      </c>
      <c r="CT31" s="112">
        <v>26</v>
      </c>
      <c r="CU31" s="112">
        <v>30</v>
      </c>
      <c r="CV31" s="112" t="s">
        <v>1774</v>
      </c>
      <c r="CW31" s="112" t="s">
        <v>72</v>
      </c>
      <c r="CX31" s="112" t="s">
        <v>1766</v>
      </c>
    </row>
    <row r="32" spans="1:102">
      <c r="A32" s="106" t="s">
        <v>154</v>
      </c>
      <c r="B32" s="106">
        <v>1</v>
      </c>
      <c r="C32" s="106">
        <v>1</v>
      </c>
      <c r="D32" s="106">
        <v>1</v>
      </c>
      <c r="E32" s="106">
        <v>4</v>
      </c>
      <c r="F32" s="106">
        <v>1</v>
      </c>
      <c r="G32" s="106" t="s">
        <v>66</v>
      </c>
      <c r="I32" s="106">
        <v>201</v>
      </c>
      <c r="J32" s="106" t="s">
        <v>1766</v>
      </c>
      <c r="K32" s="106" t="s">
        <v>1318</v>
      </c>
      <c r="L32" s="106" t="s">
        <v>229</v>
      </c>
      <c r="M32" s="106" t="s">
        <v>155</v>
      </c>
      <c r="O32" s="106">
        <v>1</v>
      </c>
      <c r="T32" s="106" t="s">
        <v>1766</v>
      </c>
      <c r="V32" s="106">
        <v>0</v>
      </c>
      <c r="W32" s="106">
        <v>0</v>
      </c>
      <c r="X32" s="106">
        <v>0</v>
      </c>
      <c r="Y32" s="106" t="s">
        <v>1766</v>
      </c>
      <c r="Z32" s="106" t="s">
        <v>1766</v>
      </c>
      <c r="AA32" s="106">
        <v>0</v>
      </c>
      <c r="AB32" s="106">
        <v>0</v>
      </c>
      <c r="AC32" s="106">
        <v>0</v>
      </c>
      <c r="AD32" s="106">
        <v>0</v>
      </c>
      <c r="AE32" s="106">
        <v>0</v>
      </c>
      <c r="AF32" s="106">
        <v>0</v>
      </c>
      <c r="AH32" s="106">
        <v>25</v>
      </c>
      <c r="AI32" s="106">
        <v>0</v>
      </c>
      <c r="AJ32" s="106">
        <v>0</v>
      </c>
      <c r="AK32" s="106">
        <v>120</v>
      </c>
      <c r="AL32" s="106">
        <v>0</v>
      </c>
      <c r="AM32" s="106">
        <v>1</v>
      </c>
      <c r="AN32" s="106">
        <v>4</v>
      </c>
      <c r="AO32" s="106">
        <v>1</v>
      </c>
      <c r="AP32" s="106" t="s">
        <v>144</v>
      </c>
      <c r="AQ32" s="106" t="s">
        <v>157</v>
      </c>
      <c r="AR32" s="106">
        <v>1200</v>
      </c>
      <c r="AS32" s="106">
        <v>1</v>
      </c>
      <c r="AT32" s="106">
        <v>4</v>
      </c>
      <c r="AX32" s="110"/>
      <c r="BC32" s="108"/>
      <c r="BD32" s="108"/>
      <c r="BH32" s="108"/>
      <c r="BL32" s="108"/>
      <c r="BY32" s="112" t="s">
        <v>229</v>
      </c>
      <c r="BZ32" s="112" t="s">
        <v>1319</v>
      </c>
      <c r="CA32" s="112" t="s">
        <v>1319</v>
      </c>
      <c r="CB32" s="112" t="s">
        <v>144</v>
      </c>
      <c r="CC32" s="112">
        <v>2</v>
      </c>
      <c r="CD32" s="112" t="s">
        <v>1766</v>
      </c>
      <c r="CE32" s="112" t="s">
        <v>1766</v>
      </c>
      <c r="CF32" s="112" t="s">
        <v>1766</v>
      </c>
      <c r="CG32" s="112" t="s">
        <v>1766</v>
      </c>
      <c r="CH32" s="112" t="s">
        <v>1766</v>
      </c>
      <c r="CI32" s="112" t="s">
        <v>1766</v>
      </c>
      <c r="CJ32" s="112" t="s">
        <v>1766</v>
      </c>
      <c r="CK32" s="112" t="s">
        <v>1766</v>
      </c>
      <c r="CL32" s="112" t="s">
        <v>1766</v>
      </c>
      <c r="CM32" s="112" t="s">
        <v>1766</v>
      </c>
      <c r="CN32" s="112" t="s">
        <v>1766</v>
      </c>
      <c r="CO32" s="112" t="s">
        <v>1766</v>
      </c>
      <c r="CP32" s="112">
        <v>31</v>
      </c>
      <c r="CQ32" s="112" t="s">
        <v>1802</v>
      </c>
      <c r="CR32" s="112" t="s">
        <v>182</v>
      </c>
      <c r="CS32" s="112">
        <v>1</v>
      </c>
      <c r="CT32" s="112">
        <v>27</v>
      </c>
      <c r="CU32" s="112">
        <v>31</v>
      </c>
      <c r="CV32" s="112" t="s">
        <v>1775</v>
      </c>
      <c r="CW32" s="112" t="s">
        <v>74</v>
      </c>
      <c r="CX32" s="112" t="s">
        <v>1766</v>
      </c>
    </row>
    <row r="33" spans="1:102">
      <c r="A33" s="106" t="s">
        <v>154</v>
      </c>
      <c r="B33" s="106">
        <v>2</v>
      </c>
      <c r="C33" s="106">
        <v>1</v>
      </c>
      <c r="D33" s="106">
        <v>1</v>
      </c>
      <c r="E33" s="106">
        <v>4</v>
      </c>
      <c r="F33" s="106">
        <v>1</v>
      </c>
      <c r="G33" s="106" t="s">
        <v>66</v>
      </c>
      <c r="I33" s="106">
        <v>201</v>
      </c>
      <c r="J33" s="106" t="s">
        <v>1766</v>
      </c>
      <c r="K33" s="106" t="s">
        <v>1318</v>
      </c>
      <c r="L33" s="106" t="s">
        <v>1320</v>
      </c>
      <c r="M33" s="106" t="s">
        <v>162</v>
      </c>
      <c r="O33" s="106">
        <v>2</v>
      </c>
      <c r="T33" s="106" t="s">
        <v>1766</v>
      </c>
      <c r="V33" s="106">
        <v>1500</v>
      </c>
      <c r="W33" s="106">
        <v>1</v>
      </c>
      <c r="X33" s="106">
        <v>2</v>
      </c>
      <c r="Y33" s="106" t="s">
        <v>1766</v>
      </c>
      <c r="Z33" s="106" t="s">
        <v>1766</v>
      </c>
      <c r="AA33" s="106">
        <v>500</v>
      </c>
      <c r="AB33" s="106">
        <v>1000</v>
      </c>
      <c r="AC33" s="106">
        <v>0</v>
      </c>
      <c r="AD33" s="106">
        <v>0</v>
      </c>
      <c r="AE33" s="106">
        <v>1500</v>
      </c>
      <c r="AF33" s="106">
        <v>6000</v>
      </c>
      <c r="AG33" s="106">
        <v>6.25</v>
      </c>
      <c r="AH33" s="106">
        <v>27</v>
      </c>
      <c r="AI33" s="106">
        <v>0</v>
      </c>
      <c r="AJ33" s="106">
        <v>0</v>
      </c>
      <c r="AK33" s="106">
        <v>120</v>
      </c>
      <c r="AL33" s="106">
        <v>0</v>
      </c>
      <c r="AM33" s="106">
        <v>1</v>
      </c>
      <c r="AN33" s="106">
        <v>4</v>
      </c>
      <c r="AO33" s="106">
        <v>4</v>
      </c>
      <c r="AP33" s="106" t="s">
        <v>144</v>
      </c>
      <c r="AQ33" s="106" t="s">
        <v>157</v>
      </c>
      <c r="AR33" s="106">
        <v>1200</v>
      </c>
      <c r="AS33" s="106">
        <v>2</v>
      </c>
      <c r="AT33" s="106">
        <v>8</v>
      </c>
      <c r="AX33" s="110"/>
      <c r="BC33" s="108"/>
      <c r="BD33" s="108"/>
      <c r="BH33" s="108"/>
      <c r="BL33" s="108"/>
      <c r="BY33" s="112" t="s">
        <v>1766</v>
      </c>
      <c r="BZ33" s="112" t="s">
        <v>1766</v>
      </c>
      <c r="CA33" s="112" t="s">
        <v>1766</v>
      </c>
      <c r="CB33" s="112" t="s">
        <v>1766</v>
      </c>
      <c r="CC33" s="112" t="s">
        <v>1766</v>
      </c>
      <c r="CD33" s="112" t="s">
        <v>1766</v>
      </c>
      <c r="CE33" s="112" t="s">
        <v>1766</v>
      </c>
      <c r="CF33" s="112" t="s">
        <v>1766</v>
      </c>
      <c r="CG33" s="112" t="s">
        <v>1766</v>
      </c>
      <c r="CH33" s="112" t="s">
        <v>1766</v>
      </c>
      <c r="CI33" s="112" t="s">
        <v>1766</v>
      </c>
      <c r="CJ33" s="112" t="s">
        <v>1766</v>
      </c>
      <c r="CK33" s="112" t="s">
        <v>1766</v>
      </c>
      <c r="CL33" s="112" t="s">
        <v>1766</v>
      </c>
      <c r="CM33" s="112" t="s">
        <v>1766</v>
      </c>
      <c r="CN33" s="112" t="s">
        <v>1766</v>
      </c>
      <c r="CO33" s="112" t="s">
        <v>1766</v>
      </c>
      <c r="CP33" s="112">
        <v>32</v>
      </c>
      <c r="CQ33" s="112" t="s">
        <v>1803</v>
      </c>
      <c r="CR33" s="112" t="s">
        <v>1804</v>
      </c>
      <c r="CS33" s="112">
        <v>1</v>
      </c>
      <c r="CT33" s="112">
        <v>28</v>
      </c>
      <c r="CU33" s="112">
        <v>32</v>
      </c>
      <c r="CV33" s="112" t="s">
        <v>1776</v>
      </c>
      <c r="CW33" s="112" t="s">
        <v>76</v>
      </c>
      <c r="CX33" s="112" t="s">
        <v>1766</v>
      </c>
    </row>
    <row r="34" spans="1:102">
      <c r="A34" s="106" t="s">
        <v>154</v>
      </c>
      <c r="B34" s="106">
        <v>3</v>
      </c>
      <c r="C34" s="106">
        <v>1</v>
      </c>
      <c r="D34" s="106">
        <v>1</v>
      </c>
      <c r="E34" s="106">
        <v>4</v>
      </c>
      <c r="F34" s="106">
        <v>2</v>
      </c>
      <c r="G34" s="106" t="s">
        <v>66</v>
      </c>
      <c r="I34" s="106">
        <v>201</v>
      </c>
      <c r="J34" s="106" t="s">
        <v>1766</v>
      </c>
      <c r="K34" s="106" t="s">
        <v>1318</v>
      </c>
      <c r="L34" s="106" t="s">
        <v>1321</v>
      </c>
      <c r="M34" s="106" t="s">
        <v>165</v>
      </c>
      <c r="O34" s="106">
        <v>3</v>
      </c>
      <c r="T34" s="106" t="s">
        <v>1766</v>
      </c>
      <c r="V34" s="106">
        <v>3000</v>
      </c>
      <c r="W34" s="106">
        <v>1</v>
      </c>
      <c r="X34" s="106">
        <v>2</v>
      </c>
      <c r="Y34" s="106" t="s">
        <v>1766</v>
      </c>
      <c r="Z34" s="106" t="s">
        <v>1766</v>
      </c>
      <c r="AA34" s="106">
        <v>1000</v>
      </c>
      <c r="AB34" s="106">
        <v>2000</v>
      </c>
      <c r="AC34" s="106">
        <v>0</v>
      </c>
      <c r="AD34" s="106">
        <v>0</v>
      </c>
      <c r="AE34" s="106">
        <v>3000</v>
      </c>
      <c r="AF34" s="106">
        <v>12000</v>
      </c>
      <c r="AG34" s="106">
        <v>12.5</v>
      </c>
      <c r="AH34" s="106">
        <v>54</v>
      </c>
      <c r="AI34" s="106">
        <v>0</v>
      </c>
      <c r="AJ34" s="106">
        <v>1</v>
      </c>
      <c r="AK34" s="106">
        <v>120</v>
      </c>
      <c r="AL34" s="106">
        <v>120</v>
      </c>
      <c r="AM34" s="106">
        <v>1</v>
      </c>
      <c r="AN34" s="106">
        <v>4</v>
      </c>
      <c r="AO34" s="106">
        <v>10</v>
      </c>
      <c r="AP34" s="106" t="s">
        <v>144</v>
      </c>
      <c r="AQ34" s="106" t="s">
        <v>157</v>
      </c>
      <c r="AR34" s="106">
        <v>1200</v>
      </c>
      <c r="AS34" s="106">
        <v>3</v>
      </c>
      <c r="AT34" s="106">
        <v>12</v>
      </c>
      <c r="AX34" s="110"/>
      <c r="BC34" s="108"/>
      <c r="BD34" s="108"/>
      <c r="BH34" s="108"/>
      <c r="BL34" s="108"/>
      <c r="BY34" s="112" t="s">
        <v>1766</v>
      </c>
      <c r="BZ34" s="112" t="s">
        <v>1766</v>
      </c>
      <c r="CA34" s="112" t="s">
        <v>1766</v>
      </c>
      <c r="CB34" s="112" t="s">
        <v>1766</v>
      </c>
      <c r="CC34" s="112" t="s">
        <v>1766</v>
      </c>
      <c r="CD34" s="112" t="s">
        <v>1766</v>
      </c>
      <c r="CE34" s="112" t="s">
        <v>1766</v>
      </c>
      <c r="CF34" s="112" t="s">
        <v>1766</v>
      </c>
      <c r="CG34" s="112" t="s">
        <v>1766</v>
      </c>
      <c r="CH34" s="112" t="s">
        <v>1766</v>
      </c>
      <c r="CI34" s="112" t="s">
        <v>1766</v>
      </c>
      <c r="CJ34" s="112" t="s">
        <v>1766</v>
      </c>
      <c r="CK34" s="112" t="s">
        <v>1766</v>
      </c>
      <c r="CL34" s="112" t="s">
        <v>1766</v>
      </c>
      <c r="CM34" s="112" t="s">
        <v>1766</v>
      </c>
      <c r="CN34" s="112" t="s">
        <v>1766</v>
      </c>
      <c r="CO34" s="112" t="s">
        <v>1766</v>
      </c>
      <c r="CP34" s="112">
        <v>33</v>
      </c>
      <c r="CQ34" s="112" t="s">
        <v>1805</v>
      </c>
      <c r="CR34" s="112" t="s">
        <v>1806</v>
      </c>
      <c r="CS34" s="112">
        <v>1</v>
      </c>
      <c r="CT34" s="112">
        <v>29</v>
      </c>
      <c r="CU34" s="112">
        <v>33</v>
      </c>
      <c r="CV34" s="112" t="s">
        <v>1766</v>
      </c>
      <c r="CW34" s="112" t="s">
        <v>1766</v>
      </c>
      <c r="CX34" s="112" t="e">
        <v>#N/A</v>
      </c>
    </row>
    <row r="35" spans="1:102">
      <c r="A35" s="106" t="s">
        <v>154</v>
      </c>
      <c r="B35" s="106">
        <v>4</v>
      </c>
      <c r="C35" s="106">
        <v>1</v>
      </c>
      <c r="D35" s="106">
        <v>1</v>
      </c>
      <c r="E35" s="106">
        <v>4</v>
      </c>
      <c r="F35" s="106">
        <v>2</v>
      </c>
      <c r="G35" s="106" t="s">
        <v>66</v>
      </c>
      <c r="I35" s="106">
        <v>201</v>
      </c>
      <c r="J35" s="106" t="s">
        <v>1766</v>
      </c>
      <c r="K35" s="106" t="s">
        <v>1318</v>
      </c>
      <c r="L35" s="106" t="s">
        <v>1322</v>
      </c>
      <c r="M35" s="106" t="s">
        <v>168</v>
      </c>
      <c r="O35" s="106">
        <v>4</v>
      </c>
      <c r="T35" s="106" t="s">
        <v>1766</v>
      </c>
      <c r="V35" s="106">
        <v>6000</v>
      </c>
      <c r="W35" s="106">
        <v>1</v>
      </c>
      <c r="X35" s="106">
        <v>2</v>
      </c>
      <c r="Y35" s="106" t="s">
        <v>1766</v>
      </c>
      <c r="Z35" s="106" t="s">
        <v>1766</v>
      </c>
      <c r="AA35" s="106">
        <v>2000</v>
      </c>
      <c r="AB35" s="106">
        <v>4000</v>
      </c>
      <c r="AC35" s="106">
        <v>0</v>
      </c>
      <c r="AD35" s="106">
        <v>0</v>
      </c>
      <c r="AE35" s="106">
        <v>6000</v>
      </c>
      <c r="AF35" s="106">
        <v>24000</v>
      </c>
      <c r="AG35" s="106">
        <v>25</v>
      </c>
      <c r="AH35" s="106">
        <v>108</v>
      </c>
      <c r="AI35" s="106">
        <v>0</v>
      </c>
      <c r="AJ35" s="106">
        <v>1</v>
      </c>
      <c r="AK35" s="106">
        <v>120</v>
      </c>
      <c r="AL35" s="106">
        <v>120</v>
      </c>
      <c r="AM35" s="106">
        <v>1</v>
      </c>
      <c r="AN35" s="106">
        <v>4</v>
      </c>
      <c r="AO35" s="106">
        <v>22</v>
      </c>
      <c r="AP35" s="106" t="s">
        <v>144</v>
      </c>
      <c r="AQ35" s="106" t="s">
        <v>157</v>
      </c>
      <c r="AR35" s="106">
        <v>1200</v>
      </c>
      <c r="AS35" s="106">
        <v>4</v>
      </c>
      <c r="AT35" s="106">
        <v>16</v>
      </c>
      <c r="AX35" s="110"/>
      <c r="BC35" s="108"/>
      <c r="BD35" s="108"/>
      <c r="BH35" s="108"/>
      <c r="BL35" s="108"/>
      <c r="BY35" s="112" t="s">
        <v>1766</v>
      </c>
      <c r="BZ35" s="112" t="s">
        <v>1766</v>
      </c>
      <c r="CA35" s="112" t="s">
        <v>1766</v>
      </c>
      <c r="CB35" s="112" t="s">
        <v>1766</v>
      </c>
      <c r="CC35" s="112" t="s">
        <v>1766</v>
      </c>
      <c r="CD35" s="112" t="s">
        <v>1766</v>
      </c>
      <c r="CE35" s="112" t="s">
        <v>1766</v>
      </c>
      <c r="CF35" s="112" t="s">
        <v>1766</v>
      </c>
      <c r="CG35" s="112" t="s">
        <v>1766</v>
      </c>
      <c r="CH35" s="112" t="s">
        <v>1766</v>
      </c>
      <c r="CI35" s="112" t="s">
        <v>1766</v>
      </c>
      <c r="CJ35" s="112" t="s">
        <v>1766</v>
      </c>
      <c r="CK35" s="112" t="s">
        <v>1766</v>
      </c>
      <c r="CL35" s="112" t="s">
        <v>1766</v>
      </c>
      <c r="CM35" s="112" t="s">
        <v>1766</v>
      </c>
      <c r="CN35" s="112" t="s">
        <v>1766</v>
      </c>
      <c r="CO35" s="112" t="s">
        <v>1766</v>
      </c>
      <c r="CP35" s="112">
        <v>34</v>
      </c>
      <c r="CQ35" s="112" t="s">
        <v>1774</v>
      </c>
      <c r="CR35" s="112" t="s">
        <v>72</v>
      </c>
      <c r="CS35" s="112">
        <v>1</v>
      </c>
      <c r="CT35" s="112">
        <v>30</v>
      </c>
      <c r="CU35" s="112">
        <v>34</v>
      </c>
      <c r="CV35" s="112" t="e">
        <v>#N/A</v>
      </c>
      <c r="CW35" s="112" t="e">
        <v>#N/A</v>
      </c>
      <c r="CX35" s="112" t="e">
        <v>#N/A</v>
      </c>
    </row>
    <row r="36" spans="1:102">
      <c r="A36" s="106" t="s">
        <v>154</v>
      </c>
      <c r="B36" s="106">
        <v>5</v>
      </c>
      <c r="C36" s="106">
        <v>1</v>
      </c>
      <c r="D36" s="106">
        <v>1</v>
      </c>
      <c r="E36" s="106">
        <v>4</v>
      </c>
      <c r="F36" s="106">
        <v>3</v>
      </c>
      <c r="G36" s="106" t="s">
        <v>66</v>
      </c>
      <c r="I36" s="106">
        <v>201</v>
      </c>
      <c r="J36" s="106" t="s">
        <v>1766</v>
      </c>
      <c r="K36" s="106" t="s">
        <v>1318</v>
      </c>
      <c r="L36" s="106" t="s">
        <v>1323</v>
      </c>
      <c r="M36" s="106" t="s">
        <v>171</v>
      </c>
      <c r="O36" s="106">
        <v>5</v>
      </c>
      <c r="T36" s="106" t="s">
        <v>1766</v>
      </c>
      <c r="V36" s="106">
        <v>11580</v>
      </c>
      <c r="W36" s="106">
        <v>1</v>
      </c>
      <c r="X36" s="106">
        <v>2</v>
      </c>
      <c r="Y36" s="106">
        <v>1</v>
      </c>
      <c r="Z36" s="106" t="s">
        <v>1766</v>
      </c>
      <c r="AA36" s="106">
        <v>2900</v>
      </c>
      <c r="AB36" s="106">
        <v>5800</v>
      </c>
      <c r="AC36" s="106">
        <v>2900</v>
      </c>
      <c r="AD36" s="106">
        <v>0</v>
      </c>
      <c r="AE36" s="106">
        <v>11600</v>
      </c>
      <c r="AF36" s="106">
        <v>46400</v>
      </c>
      <c r="AG36" s="106">
        <v>48.3333333333333</v>
      </c>
      <c r="AH36" s="106">
        <v>225</v>
      </c>
      <c r="AI36" s="106">
        <v>0</v>
      </c>
      <c r="AJ36" s="106">
        <v>2</v>
      </c>
      <c r="AK36" s="106">
        <v>120</v>
      </c>
      <c r="AL36" s="106">
        <v>240</v>
      </c>
      <c r="AM36" s="106">
        <v>1</v>
      </c>
      <c r="AN36" s="106">
        <v>4</v>
      </c>
      <c r="AO36" s="106">
        <v>45</v>
      </c>
      <c r="AP36" s="106" t="s">
        <v>144</v>
      </c>
      <c r="AQ36" s="106" t="s">
        <v>157</v>
      </c>
      <c r="AR36" s="106">
        <v>1200</v>
      </c>
      <c r="AS36" s="106">
        <v>5</v>
      </c>
      <c r="AT36" s="106">
        <v>20</v>
      </c>
      <c r="AX36" s="110"/>
      <c r="BC36" s="108"/>
      <c r="BD36" s="108"/>
      <c r="BH36" s="108"/>
      <c r="BL36" s="108"/>
      <c r="BY36" s="112" t="s">
        <v>1766</v>
      </c>
      <c r="BZ36" s="112" t="s">
        <v>1766</v>
      </c>
      <c r="CA36" s="112" t="s">
        <v>1766</v>
      </c>
      <c r="CB36" s="112" t="s">
        <v>1766</v>
      </c>
      <c r="CC36" s="112" t="s">
        <v>1766</v>
      </c>
      <c r="CD36" s="112" t="s">
        <v>1766</v>
      </c>
      <c r="CE36" s="112" t="s">
        <v>1766</v>
      </c>
      <c r="CF36" s="112" t="s">
        <v>1766</v>
      </c>
      <c r="CG36" s="112" t="s">
        <v>1766</v>
      </c>
      <c r="CH36" s="112" t="s">
        <v>1766</v>
      </c>
      <c r="CI36" s="112" t="s">
        <v>1766</v>
      </c>
      <c r="CJ36" s="112" t="s">
        <v>1766</v>
      </c>
      <c r="CK36" s="112" t="s">
        <v>1766</v>
      </c>
      <c r="CL36" s="112" t="s">
        <v>1766</v>
      </c>
      <c r="CM36" s="112" t="s">
        <v>1766</v>
      </c>
      <c r="CN36" s="112" t="s">
        <v>1766</v>
      </c>
      <c r="CO36" s="112" t="s">
        <v>1766</v>
      </c>
      <c r="CP36" s="112">
        <v>35</v>
      </c>
      <c r="CQ36" s="112" t="s">
        <v>1775</v>
      </c>
      <c r="CR36" s="112" t="s">
        <v>74</v>
      </c>
      <c r="CS36" s="112">
        <v>1</v>
      </c>
      <c r="CT36" s="112">
        <v>31</v>
      </c>
      <c r="CU36" s="112">
        <v>35</v>
      </c>
      <c r="CV36" s="112" t="e">
        <v>#N/A</v>
      </c>
      <c r="CW36" s="112" t="e">
        <v>#N/A</v>
      </c>
      <c r="CX36" s="112" t="e">
        <v>#N/A</v>
      </c>
    </row>
    <row r="37" spans="1:102">
      <c r="A37" s="106" t="s">
        <v>154</v>
      </c>
      <c r="B37" s="106">
        <v>6</v>
      </c>
      <c r="C37" s="106">
        <v>1</v>
      </c>
      <c r="D37" s="106">
        <v>1</v>
      </c>
      <c r="E37" s="106">
        <v>4</v>
      </c>
      <c r="F37" s="106">
        <v>3</v>
      </c>
      <c r="G37" s="106" t="s">
        <v>66</v>
      </c>
      <c r="I37" s="106">
        <v>201</v>
      </c>
      <c r="J37" s="106" t="s">
        <v>1766</v>
      </c>
      <c r="K37" s="106" t="s">
        <v>1318</v>
      </c>
      <c r="L37" s="106" t="s">
        <v>1324</v>
      </c>
      <c r="M37" s="106" t="s">
        <v>174</v>
      </c>
      <c r="O37" s="106">
        <v>6</v>
      </c>
      <c r="T37" s="106" t="s">
        <v>1766</v>
      </c>
      <c r="V37" s="106">
        <v>21538.799999999999</v>
      </c>
      <c r="W37" s="106">
        <v>1</v>
      </c>
      <c r="X37" s="106">
        <v>2</v>
      </c>
      <c r="Y37" s="106">
        <v>1</v>
      </c>
      <c r="Z37" s="106" t="s">
        <v>1766</v>
      </c>
      <c r="AA37" s="106">
        <v>5400</v>
      </c>
      <c r="AB37" s="106">
        <v>11000</v>
      </c>
      <c r="AC37" s="106">
        <v>5400</v>
      </c>
      <c r="AD37" s="106">
        <v>0</v>
      </c>
      <c r="AE37" s="106">
        <v>21800</v>
      </c>
      <c r="AF37" s="106">
        <v>87200</v>
      </c>
      <c r="AG37" s="106">
        <v>90.8333333333333</v>
      </c>
      <c r="AH37" s="106">
        <v>405</v>
      </c>
      <c r="AI37" s="106">
        <v>0</v>
      </c>
      <c r="AJ37" s="106">
        <v>2</v>
      </c>
      <c r="AK37" s="106">
        <v>120</v>
      </c>
      <c r="AL37" s="106">
        <v>240</v>
      </c>
      <c r="AM37" s="106">
        <v>1</v>
      </c>
      <c r="AN37" s="106">
        <v>4</v>
      </c>
      <c r="AO37" s="106">
        <v>88</v>
      </c>
      <c r="AP37" s="106" t="s">
        <v>144</v>
      </c>
      <c r="AQ37" s="106" t="s">
        <v>157</v>
      </c>
      <c r="AR37" s="106">
        <v>1200</v>
      </c>
      <c r="AS37" s="106">
        <v>6</v>
      </c>
      <c r="AT37" s="106">
        <v>24</v>
      </c>
      <c r="AX37" s="110"/>
      <c r="BC37" s="108"/>
      <c r="BD37" s="108"/>
      <c r="BH37" s="108"/>
      <c r="BL37" s="108"/>
      <c r="BY37" s="112" t="s">
        <v>1766</v>
      </c>
      <c r="BZ37" s="112" t="s">
        <v>1766</v>
      </c>
      <c r="CA37" s="112" t="s">
        <v>1766</v>
      </c>
      <c r="CB37" s="112" t="s">
        <v>1766</v>
      </c>
      <c r="CC37" s="112" t="s">
        <v>1766</v>
      </c>
      <c r="CD37" s="112" t="s">
        <v>1766</v>
      </c>
      <c r="CE37" s="112" t="s">
        <v>1766</v>
      </c>
      <c r="CF37" s="112" t="s">
        <v>1766</v>
      </c>
      <c r="CG37" s="112" t="s">
        <v>1766</v>
      </c>
      <c r="CH37" s="112" t="s">
        <v>1766</v>
      </c>
      <c r="CI37" s="112" t="s">
        <v>1766</v>
      </c>
      <c r="CJ37" s="112" t="s">
        <v>1766</v>
      </c>
      <c r="CK37" s="112" t="s">
        <v>1766</v>
      </c>
      <c r="CL37" s="112" t="s">
        <v>1766</v>
      </c>
      <c r="CM37" s="112" t="s">
        <v>1766</v>
      </c>
      <c r="CN37" s="112" t="s">
        <v>1766</v>
      </c>
      <c r="CO37" s="112" t="s">
        <v>1766</v>
      </c>
      <c r="CP37" s="112">
        <v>36</v>
      </c>
      <c r="CQ37" s="112" t="s">
        <v>1776</v>
      </c>
      <c r="CR37" s="112" t="s">
        <v>76</v>
      </c>
      <c r="CS37" s="112">
        <v>1</v>
      </c>
      <c r="CT37" s="112">
        <v>32</v>
      </c>
      <c r="CU37" s="112">
        <v>36</v>
      </c>
      <c r="CV37" s="112" t="e">
        <v>#N/A</v>
      </c>
      <c r="CW37" s="112" t="e">
        <v>#N/A</v>
      </c>
      <c r="CX37" s="112" t="e">
        <v>#N/A</v>
      </c>
    </row>
    <row r="38" spans="1:102">
      <c r="A38" s="106" t="s">
        <v>154</v>
      </c>
      <c r="B38" s="106">
        <v>7</v>
      </c>
      <c r="C38" s="106">
        <v>1</v>
      </c>
      <c r="D38" s="106">
        <v>1</v>
      </c>
      <c r="E38" s="106">
        <v>4</v>
      </c>
      <c r="F38" s="106">
        <v>4</v>
      </c>
      <c r="G38" s="106" t="s">
        <v>66</v>
      </c>
      <c r="I38" s="106">
        <v>201</v>
      </c>
      <c r="J38" s="106" t="s">
        <v>1766</v>
      </c>
      <c r="K38" s="106" t="s">
        <v>1318</v>
      </c>
      <c r="L38" s="106" t="s">
        <v>1325</v>
      </c>
      <c r="M38" s="106" t="s">
        <v>177</v>
      </c>
      <c r="O38" s="106">
        <v>7</v>
      </c>
      <c r="T38" s="106" t="s">
        <v>1766</v>
      </c>
      <c r="V38" s="106">
        <v>38554.451999999997</v>
      </c>
      <c r="W38" s="106">
        <v>1</v>
      </c>
      <c r="X38" s="106">
        <v>2</v>
      </c>
      <c r="Y38" s="106">
        <v>1</v>
      </c>
      <c r="Z38" s="106" t="s">
        <v>1766</v>
      </c>
      <c r="AA38" s="106">
        <v>9600</v>
      </c>
      <c r="AB38" s="106">
        <v>19000</v>
      </c>
      <c r="AC38" s="106">
        <v>9600</v>
      </c>
      <c r="AD38" s="106">
        <v>0</v>
      </c>
      <c r="AE38" s="106">
        <v>38200</v>
      </c>
      <c r="AF38" s="106">
        <v>152800</v>
      </c>
      <c r="AG38" s="106">
        <v>159.166666666667</v>
      </c>
      <c r="AH38" s="106">
        <v>675</v>
      </c>
      <c r="AI38" s="106">
        <v>0</v>
      </c>
      <c r="AJ38" s="106">
        <v>3</v>
      </c>
      <c r="AK38" s="106">
        <v>120</v>
      </c>
      <c r="AL38" s="106">
        <v>360</v>
      </c>
      <c r="AM38" s="106">
        <v>15</v>
      </c>
      <c r="AN38" s="106">
        <v>60</v>
      </c>
      <c r="AO38" s="106">
        <v>165</v>
      </c>
      <c r="AP38" s="106" t="s">
        <v>144</v>
      </c>
      <c r="AQ38" s="106" t="s">
        <v>157</v>
      </c>
      <c r="AR38" s="106">
        <v>1200</v>
      </c>
      <c r="AS38" s="106">
        <v>7</v>
      </c>
      <c r="AT38" s="106">
        <v>28</v>
      </c>
      <c r="AX38" s="110"/>
      <c r="BC38" s="108"/>
      <c r="BD38" s="108"/>
      <c r="BH38" s="108"/>
      <c r="BL38" s="108"/>
      <c r="BY38" s="112" t="s">
        <v>1766</v>
      </c>
      <c r="BZ38" s="112" t="s">
        <v>1766</v>
      </c>
      <c r="CA38" s="112" t="s">
        <v>1766</v>
      </c>
      <c r="CB38" s="112" t="s">
        <v>1766</v>
      </c>
      <c r="CC38" s="112" t="s">
        <v>1766</v>
      </c>
      <c r="CD38" s="112" t="s">
        <v>1766</v>
      </c>
      <c r="CE38" s="112" t="s">
        <v>1766</v>
      </c>
      <c r="CF38" s="112" t="s">
        <v>1766</v>
      </c>
      <c r="CG38" s="112" t="s">
        <v>1766</v>
      </c>
      <c r="CH38" s="112" t="s">
        <v>1766</v>
      </c>
      <c r="CI38" s="112" t="s">
        <v>1766</v>
      </c>
      <c r="CJ38" s="112" t="s">
        <v>1766</v>
      </c>
      <c r="CK38" s="112" t="s">
        <v>1766</v>
      </c>
      <c r="CL38" s="112" t="s">
        <v>1766</v>
      </c>
      <c r="CM38" s="112" t="s">
        <v>1766</v>
      </c>
      <c r="CN38" s="112" t="s">
        <v>1766</v>
      </c>
      <c r="CO38" s="112" t="s">
        <v>1766</v>
      </c>
      <c r="CP38" s="112">
        <v>37</v>
      </c>
      <c r="CQ38" s="112" t="s">
        <v>1766</v>
      </c>
      <c r="CR38" s="112" t="s">
        <v>1766</v>
      </c>
      <c r="CS38" s="112">
        <v>1</v>
      </c>
      <c r="CT38" s="112">
        <v>33</v>
      </c>
      <c r="CU38" s="112">
        <v>37</v>
      </c>
      <c r="CV38" s="112" t="e">
        <v>#N/A</v>
      </c>
      <c r="CW38" s="112" t="e">
        <v>#N/A</v>
      </c>
      <c r="CX38" s="112" t="e">
        <v>#N/A</v>
      </c>
    </row>
    <row r="39" spans="1:102">
      <c r="A39" s="106" t="s">
        <v>154</v>
      </c>
      <c r="B39" s="106">
        <v>8</v>
      </c>
      <c r="C39" s="106">
        <v>1</v>
      </c>
      <c r="D39" s="106">
        <v>1</v>
      </c>
      <c r="E39" s="106">
        <v>4</v>
      </c>
      <c r="F39" s="106">
        <v>4</v>
      </c>
      <c r="G39" s="106" t="s">
        <v>66</v>
      </c>
      <c r="I39" s="106">
        <v>201</v>
      </c>
      <c r="J39" s="106" t="s">
        <v>1766</v>
      </c>
      <c r="K39" s="106" t="s">
        <v>1318</v>
      </c>
      <c r="L39" s="106" t="s">
        <v>1326</v>
      </c>
      <c r="M39" s="106" t="s">
        <v>180</v>
      </c>
      <c r="O39" s="106">
        <v>8</v>
      </c>
      <c r="T39" s="106" t="s">
        <v>1766</v>
      </c>
      <c r="V39" s="106">
        <v>66313.657439999995</v>
      </c>
      <c r="W39" s="106">
        <v>1</v>
      </c>
      <c r="X39" s="106">
        <v>2</v>
      </c>
      <c r="Y39" s="106">
        <v>1</v>
      </c>
      <c r="Z39" s="106" t="s">
        <v>1766</v>
      </c>
      <c r="AA39" s="106">
        <v>17000</v>
      </c>
      <c r="AB39" s="106">
        <v>33000</v>
      </c>
      <c r="AC39" s="106">
        <v>17000</v>
      </c>
      <c r="AD39" s="106">
        <v>0</v>
      </c>
      <c r="AE39" s="106">
        <v>67000</v>
      </c>
      <c r="AF39" s="106">
        <v>268000</v>
      </c>
      <c r="AG39" s="106">
        <v>279.16666666666703</v>
      </c>
      <c r="AH39" s="106">
        <v>1080</v>
      </c>
      <c r="AI39" s="106">
        <v>0</v>
      </c>
      <c r="AJ39" s="106">
        <v>3</v>
      </c>
      <c r="AK39" s="106">
        <v>120</v>
      </c>
      <c r="AL39" s="106">
        <v>360</v>
      </c>
      <c r="AM39" s="106">
        <v>420</v>
      </c>
      <c r="AN39" s="106">
        <v>1680</v>
      </c>
      <c r="AO39" s="106">
        <v>298</v>
      </c>
      <c r="AP39" s="106" t="s">
        <v>144</v>
      </c>
      <c r="AQ39" s="106" t="s">
        <v>157</v>
      </c>
      <c r="AR39" s="106">
        <v>1200</v>
      </c>
      <c r="AS39" s="106">
        <v>8</v>
      </c>
      <c r="AT39" s="106">
        <v>32</v>
      </c>
      <c r="AX39" s="110"/>
      <c r="BC39" s="108"/>
      <c r="BD39" s="108"/>
      <c r="BH39" s="108"/>
      <c r="BL39" s="108"/>
      <c r="BY39" s="112" t="s">
        <v>1766</v>
      </c>
      <c r="BZ39" s="112" t="s">
        <v>1766</v>
      </c>
      <c r="CA39" s="112" t="s">
        <v>1766</v>
      </c>
      <c r="CB39" s="112" t="s">
        <v>1766</v>
      </c>
      <c r="CC39" s="112" t="s">
        <v>1766</v>
      </c>
      <c r="CD39" s="112" t="s">
        <v>1766</v>
      </c>
      <c r="CE39" s="112" t="s">
        <v>1766</v>
      </c>
      <c r="CF39" s="112" t="s">
        <v>1766</v>
      </c>
      <c r="CG39" s="112" t="s">
        <v>1766</v>
      </c>
      <c r="CH39" s="112" t="s">
        <v>1766</v>
      </c>
      <c r="CI39" s="112" t="s">
        <v>1766</v>
      </c>
      <c r="CJ39" s="112" t="s">
        <v>1766</v>
      </c>
      <c r="CK39" s="112" t="s">
        <v>1766</v>
      </c>
      <c r="CL39" s="112" t="s">
        <v>1766</v>
      </c>
      <c r="CM39" s="112" t="s">
        <v>1766</v>
      </c>
      <c r="CN39" s="112" t="s">
        <v>1766</v>
      </c>
      <c r="CO39" s="112" t="s">
        <v>1766</v>
      </c>
      <c r="CP39" s="112">
        <v>38</v>
      </c>
      <c r="CQ39" s="112" t="s">
        <v>1766</v>
      </c>
      <c r="CR39" s="112" t="s">
        <v>1766</v>
      </c>
      <c r="CS39" s="112">
        <v>0.5</v>
      </c>
      <c r="CT39" s="112" t="s">
        <v>1766</v>
      </c>
      <c r="CU39" s="112">
        <v>38</v>
      </c>
      <c r="CV39" s="112" t="e">
        <v>#N/A</v>
      </c>
      <c r="CW39" s="112" t="e">
        <v>#N/A</v>
      </c>
      <c r="CX39" s="112" t="e">
        <v>#N/A</v>
      </c>
    </row>
    <row r="40" spans="1:102">
      <c r="A40" s="106" t="s">
        <v>154</v>
      </c>
      <c r="B40" s="106">
        <v>9</v>
      </c>
      <c r="C40" s="106">
        <v>1</v>
      </c>
      <c r="D40" s="106">
        <v>1</v>
      </c>
      <c r="E40" s="106">
        <v>4</v>
      </c>
      <c r="F40" s="106">
        <v>4</v>
      </c>
      <c r="G40" s="106" t="s">
        <v>66</v>
      </c>
      <c r="I40" s="106">
        <v>201</v>
      </c>
      <c r="J40" s="106" t="s">
        <v>1766</v>
      </c>
      <c r="K40" s="106" t="s">
        <v>1318</v>
      </c>
      <c r="L40" s="106" t="s">
        <v>1327</v>
      </c>
      <c r="M40" s="106" t="s">
        <v>183</v>
      </c>
      <c r="O40" s="106">
        <v>9</v>
      </c>
      <c r="T40" s="106" t="s">
        <v>1766</v>
      </c>
      <c r="V40" s="106">
        <v>109417.534776</v>
      </c>
      <c r="W40" s="106">
        <v>1</v>
      </c>
      <c r="X40" s="106">
        <v>2</v>
      </c>
      <c r="Y40" s="106">
        <v>1</v>
      </c>
      <c r="Z40" s="106" t="s">
        <v>1766</v>
      </c>
      <c r="AA40" s="106">
        <v>27000</v>
      </c>
      <c r="AB40" s="106">
        <v>55000</v>
      </c>
      <c r="AC40" s="106">
        <v>27000</v>
      </c>
      <c r="AD40" s="106">
        <v>0</v>
      </c>
      <c r="AE40" s="106">
        <v>109000</v>
      </c>
      <c r="AF40" s="106">
        <v>436000</v>
      </c>
      <c r="AG40" s="106">
        <v>454.16666666666703</v>
      </c>
      <c r="AH40" s="106">
        <v>2160</v>
      </c>
      <c r="AI40" s="106">
        <v>0</v>
      </c>
      <c r="AJ40" s="106">
        <v>4</v>
      </c>
      <c r="AK40" s="106">
        <v>120</v>
      </c>
      <c r="AL40" s="106">
        <v>480</v>
      </c>
      <c r="AM40" s="106">
        <v>1380</v>
      </c>
      <c r="AN40" s="106">
        <v>5520</v>
      </c>
      <c r="AO40" s="106">
        <v>517</v>
      </c>
      <c r="AP40" s="106" t="s">
        <v>144</v>
      </c>
      <c r="AQ40" s="106" t="s">
        <v>157</v>
      </c>
      <c r="AR40" s="106">
        <v>1200</v>
      </c>
      <c r="AS40" s="106">
        <v>9</v>
      </c>
      <c r="AT40" s="106">
        <v>36</v>
      </c>
      <c r="AX40" s="110"/>
      <c r="BC40" s="108"/>
      <c r="BD40" s="108"/>
      <c r="BH40" s="108"/>
      <c r="BL40" s="108"/>
      <c r="BY40" s="112" t="s">
        <v>1766</v>
      </c>
      <c r="BZ40" s="112" t="s">
        <v>1766</v>
      </c>
      <c r="CA40" s="112" t="s">
        <v>1766</v>
      </c>
      <c r="CB40" s="112" t="s">
        <v>1766</v>
      </c>
      <c r="CC40" s="112" t="s">
        <v>1766</v>
      </c>
      <c r="CD40" s="112" t="s">
        <v>1766</v>
      </c>
      <c r="CE40" s="112" t="s">
        <v>1766</v>
      </c>
      <c r="CF40" s="112" t="s">
        <v>1766</v>
      </c>
      <c r="CG40" s="112" t="s">
        <v>1766</v>
      </c>
      <c r="CH40" s="112" t="s">
        <v>1766</v>
      </c>
      <c r="CI40" s="112" t="s">
        <v>1766</v>
      </c>
      <c r="CJ40" s="112" t="s">
        <v>1766</v>
      </c>
      <c r="CK40" s="112" t="s">
        <v>1766</v>
      </c>
      <c r="CL40" s="112" t="s">
        <v>1766</v>
      </c>
      <c r="CM40" s="112" t="s">
        <v>1766</v>
      </c>
      <c r="CN40" s="112" t="s">
        <v>1766</v>
      </c>
      <c r="CO40" s="112" t="s">
        <v>1766</v>
      </c>
      <c r="CP40" s="112">
        <v>39</v>
      </c>
      <c r="CQ40" s="112" t="s">
        <v>1766</v>
      </c>
      <c r="CR40" s="112" t="s">
        <v>1766</v>
      </c>
      <c r="CS40" s="112">
        <v>0.33333333333333298</v>
      </c>
      <c r="CT40" s="112" t="s">
        <v>1766</v>
      </c>
      <c r="CU40" s="112">
        <v>39</v>
      </c>
      <c r="CV40" s="112" t="e">
        <v>#N/A</v>
      </c>
      <c r="CW40" s="112" t="e">
        <v>#N/A</v>
      </c>
      <c r="CX40" s="112" t="e">
        <v>#N/A</v>
      </c>
    </row>
    <row r="41" spans="1:102">
      <c r="A41" s="106" t="s">
        <v>154</v>
      </c>
      <c r="B41" s="106">
        <v>10</v>
      </c>
      <c r="C41" s="106">
        <v>1</v>
      </c>
      <c r="D41" s="106">
        <v>1</v>
      </c>
      <c r="E41" s="106">
        <v>4</v>
      </c>
      <c r="F41" s="106">
        <v>4</v>
      </c>
      <c r="G41" s="106" t="s">
        <v>66</v>
      </c>
      <c r="I41" s="106">
        <v>201</v>
      </c>
      <c r="J41" s="106" t="s">
        <v>1766</v>
      </c>
      <c r="K41" s="106" t="s">
        <v>1318</v>
      </c>
      <c r="L41" s="106" t="s">
        <v>1328</v>
      </c>
      <c r="M41" s="106" t="s">
        <v>186</v>
      </c>
      <c r="O41" s="106">
        <v>10</v>
      </c>
      <c r="T41" s="106" t="s">
        <v>1766</v>
      </c>
      <c r="V41" s="106">
        <v>172879.70494607999</v>
      </c>
      <c r="W41" s="106">
        <v>1</v>
      </c>
      <c r="X41" s="106">
        <v>2</v>
      </c>
      <c r="Y41" s="106">
        <v>1</v>
      </c>
      <c r="Z41" s="106">
        <v>1</v>
      </c>
      <c r="AA41" s="106">
        <v>35000</v>
      </c>
      <c r="AB41" s="106">
        <v>69000</v>
      </c>
      <c r="AC41" s="106">
        <v>35000</v>
      </c>
      <c r="AD41" s="106">
        <v>35000</v>
      </c>
      <c r="AE41" s="106">
        <v>174000</v>
      </c>
      <c r="AF41" s="106">
        <v>696000</v>
      </c>
      <c r="AG41" s="106">
        <v>725</v>
      </c>
      <c r="AH41" s="106">
        <v>3240</v>
      </c>
      <c r="AI41" s="106">
        <v>0.01</v>
      </c>
      <c r="AJ41" s="106">
        <v>4</v>
      </c>
      <c r="AK41" s="106">
        <v>120</v>
      </c>
      <c r="AL41" s="106">
        <v>480</v>
      </c>
      <c r="AM41" s="106">
        <v>2427</v>
      </c>
      <c r="AN41" s="106">
        <v>9708</v>
      </c>
      <c r="AO41" s="106">
        <v>863</v>
      </c>
      <c r="AP41" s="106" t="s">
        <v>144</v>
      </c>
      <c r="AQ41" s="106" t="s">
        <v>157</v>
      </c>
      <c r="AR41" s="106">
        <v>1200</v>
      </c>
      <c r="AS41" s="106">
        <v>10</v>
      </c>
      <c r="AT41" s="106">
        <v>40</v>
      </c>
      <c r="AX41" s="110"/>
      <c r="BC41" s="108"/>
      <c r="BD41" s="108"/>
      <c r="BH41" s="108"/>
      <c r="BL41" s="108"/>
      <c r="BY41" s="112" t="s">
        <v>1766</v>
      </c>
      <c r="BZ41" s="112" t="s">
        <v>1766</v>
      </c>
      <c r="CA41" s="112" t="s">
        <v>1766</v>
      </c>
      <c r="CB41" s="112" t="s">
        <v>1766</v>
      </c>
      <c r="CC41" s="112" t="s">
        <v>1766</v>
      </c>
      <c r="CD41" s="112" t="s">
        <v>1766</v>
      </c>
      <c r="CE41" s="112" t="s">
        <v>1766</v>
      </c>
      <c r="CF41" s="112" t="s">
        <v>1766</v>
      </c>
      <c r="CG41" s="112" t="s">
        <v>1766</v>
      </c>
      <c r="CH41" s="112" t="s">
        <v>1766</v>
      </c>
      <c r="CI41" s="112" t="s">
        <v>1766</v>
      </c>
      <c r="CJ41" s="112" t="s">
        <v>1766</v>
      </c>
      <c r="CK41" s="112" t="s">
        <v>1766</v>
      </c>
      <c r="CL41" s="112" t="s">
        <v>1766</v>
      </c>
      <c r="CM41" s="112" t="s">
        <v>1766</v>
      </c>
      <c r="CN41" s="112" t="s">
        <v>1766</v>
      </c>
      <c r="CO41" s="112" t="s">
        <v>1766</v>
      </c>
      <c r="CP41" s="112">
        <v>40</v>
      </c>
      <c r="CQ41" s="112" t="s">
        <v>1766</v>
      </c>
      <c r="CR41" s="112" t="s">
        <v>1766</v>
      </c>
      <c r="CS41" s="112">
        <v>0.25</v>
      </c>
      <c r="CT41" s="112" t="s">
        <v>1766</v>
      </c>
      <c r="CU41" s="112">
        <v>40</v>
      </c>
      <c r="CV41" s="112" t="e">
        <v>#N/A</v>
      </c>
      <c r="CW41" s="112" t="e">
        <v>#N/A</v>
      </c>
      <c r="CX41" s="112" t="e">
        <v>#N/A</v>
      </c>
    </row>
    <row r="42" spans="1:102">
      <c r="A42" s="106" t="s">
        <v>154</v>
      </c>
      <c r="B42" s="106">
        <v>11</v>
      </c>
      <c r="C42" s="106">
        <v>1</v>
      </c>
      <c r="D42" s="106">
        <v>1</v>
      </c>
      <c r="E42" s="106">
        <v>4</v>
      </c>
      <c r="F42" s="106">
        <v>4</v>
      </c>
      <c r="G42" s="106" t="s">
        <v>66</v>
      </c>
      <c r="I42" s="106">
        <v>201</v>
      </c>
      <c r="J42" s="106" t="s">
        <v>1766</v>
      </c>
      <c r="K42" s="106" t="s">
        <v>1318</v>
      </c>
      <c r="L42" s="106" t="s">
        <v>1329</v>
      </c>
      <c r="M42" s="106" t="s">
        <v>187</v>
      </c>
      <c r="O42" s="106">
        <v>11</v>
      </c>
      <c r="T42" s="106" t="s">
        <v>1766</v>
      </c>
      <c r="V42" s="106">
        <v>261048.354468581</v>
      </c>
      <c r="W42" s="106">
        <v>1</v>
      </c>
      <c r="X42" s="106">
        <v>2</v>
      </c>
      <c r="Y42" s="106">
        <v>1</v>
      </c>
      <c r="Z42" s="106">
        <v>1</v>
      </c>
      <c r="AA42" s="106">
        <v>52000</v>
      </c>
      <c r="AB42" s="106">
        <v>100000</v>
      </c>
      <c r="AC42" s="106">
        <v>52000</v>
      </c>
      <c r="AD42" s="106">
        <v>52000</v>
      </c>
      <c r="AE42" s="106">
        <v>256000</v>
      </c>
      <c r="AF42" s="106">
        <v>1024000</v>
      </c>
      <c r="AG42" s="106">
        <v>1066.6666666666699</v>
      </c>
      <c r="AH42" s="106">
        <v>4860</v>
      </c>
      <c r="AI42" s="106">
        <v>0.02</v>
      </c>
      <c r="AJ42" s="106">
        <v>5</v>
      </c>
      <c r="AK42" s="106">
        <v>120</v>
      </c>
      <c r="AL42" s="106">
        <v>600</v>
      </c>
      <c r="AM42" s="106">
        <v>3864</v>
      </c>
      <c r="AN42" s="106">
        <v>15456</v>
      </c>
      <c r="AO42" s="106">
        <v>1385</v>
      </c>
      <c r="AP42" s="106" t="s">
        <v>144</v>
      </c>
      <c r="AQ42" s="106" t="s">
        <v>157</v>
      </c>
      <c r="AR42" s="106">
        <v>1200</v>
      </c>
      <c r="AS42" s="106">
        <v>11</v>
      </c>
      <c r="AT42" s="106">
        <v>44</v>
      </c>
      <c r="AX42" s="110"/>
      <c r="BY42" s="112" t="s">
        <v>1766</v>
      </c>
      <c r="BZ42" s="112" t="s">
        <v>1766</v>
      </c>
      <c r="CA42" s="112" t="s">
        <v>1766</v>
      </c>
      <c r="CB42" s="112" t="s">
        <v>1766</v>
      </c>
      <c r="CC42" s="112" t="s">
        <v>1766</v>
      </c>
      <c r="CD42" s="112" t="s">
        <v>1766</v>
      </c>
      <c r="CE42" s="112" t="s">
        <v>1766</v>
      </c>
      <c r="CF42" s="112" t="s">
        <v>1766</v>
      </c>
      <c r="CG42" s="112" t="s">
        <v>1766</v>
      </c>
      <c r="CH42" s="112" t="s">
        <v>1766</v>
      </c>
      <c r="CI42" s="112" t="s">
        <v>1766</v>
      </c>
      <c r="CJ42" s="112" t="s">
        <v>1766</v>
      </c>
      <c r="CK42" s="112" t="s">
        <v>1766</v>
      </c>
      <c r="CL42" s="112" t="s">
        <v>1766</v>
      </c>
      <c r="CM42" s="112" t="s">
        <v>1766</v>
      </c>
      <c r="CN42" s="112" t="s">
        <v>1766</v>
      </c>
      <c r="CO42" s="112" t="s">
        <v>1766</v>
      </c>
      <c r="CP42" s="112">
        <v>41</v>
      </c>
      <c r="CQ42" s="112" t="s">
        <v>1766</v>
      </c>
      <c r="CR42" s="112" t="s">
        <v>1766</v>
      </c>
      <c r="CS42" s="112">
        <v>0.2</v>
      </c>
      <c r="CT42" s="112" t="s">
        <v>1766</v>
      </c>
      <c r="CU42" s="112">
        <v>41</v>
      </c>
      <c r="CV42" s="112" t="e">
        <v>#N/A</v>
      </c>
      <c r="CW42" s="112" t="e">
        <v>#N/A</v>
      </c>
      <c r="CX42" s="112" t="e">
        <v>#N/A</v>
      </c>
    </row>
    <row r="43" spans="1:102">
      <c r="A43" s="106" t="s">
        <v>154</v>
      </c>
      <c r="B43" s="106">
        <v>12</v>
      </c>
      <c r="C43" s="106">
        <v>1</v>
      </c>
      <c r="D43" s="106">
        <v>1</v>
      </c>
      <c r="E43" s="106">
        <v>4</v>
      </c>
      <c r="F43" s="106">
        <v>4</v>
      </c>
      <c r="G43" s="106" t="s">
        <v>66</v>
      </c>
      <c r="I43" s="106">
        <v>201</v>
      </c>
      <c r="J43" s="106" t="s">
        <v>1766</v>
      </c>
      <c r="K43" s="106" t="s">
        <v>1318</v>
      </c>
      <c r="L43" s="106" t="s">
        <v>1330</v>
      </c>
      <c r="M43" s="106" t="s">
        <v>190</v>
      </c>
      <c r="O43" s="106">
        <v>12</v>
      </c>
      <c r="T43" s="106" t="s">
        <v>1766</v>
      </c>
      <c r="V43" s="106">
        <v>375909.63043475599</v>
      </c>
      <c r="W43" s="106">
        <v>1</v>
      </c>
      <c r="X43" s="106">
        <v>2</v>
      </c>
      <c r="Y43" s="106">
        <v>1</v>
      </c>
      <c r="Z43" s="106">
        <v>1</v>
      </c>
      <c r="AA43" s="106">
        <v>75000</v>
      </c>
      <c r="AB43" s="106">
        <v>150000</v>
      </c>
      <c r="AC43" s="106">
        <v>75000</v>
      </c>
      <c r="AD43" s="106">
        <v>75000</v>
      </c>
      <c r="AE43" s="106">
        <v>375000</v>
      </c>
      <c r="AF43" s="106">
        <v>1500000</v>
      </c>
      <c r="AG43" s="106">
        <v>1562.5</v>
      </c>
      <c r="AH43" s="106">
        <v>6480</v>
      </c>
      <c r="AI43" s="106">
        <v>0.03</v>
      </c>
      <c r="AJ43" s="106">
        <v>5</v>
      </c>
      <c r="AK43" s="106">
        <v>120</v>
      </c>
      <c r="AL43" s="106">
        <v>600</v>
      </c>
      <c r="AM43" s="106">
        <v>5391</v>
      </c>
      <c r="AN43" s="106">
        <v>21564</v>
      </c>
      <c r="AO43" s="106">
        <v>2136</v>
      </c>
      <c r="AP43" s="106" t="s">
        <v>144</v>
      </c>
      <c r="AQ43" s="106" t="s">
        <v>157</v>
      </c>
      <c r="AR43" s="106">
        <v>1200</v>
      </c>
      <c r="AS43" s="106">
        <v>12</v>
      </c>
      <c r="AT43" s="106">
        <v>48</v>
      </c>
      <c r="AX43" s="110"/>
      <c r="BY43" s="112" t="s">
        <v>1766</v>
      </c>
      <c r="BZ43" s="112" t="s">
        <v>1766</v>
      </c>
      <c r="CA43" s="112" t="s">
        <v>1766</v>
      </c>
      <c r="CB43" s="112" t="s">
        <v>1766</v>
      </c>
      <c r="CC43" s="112" t="s">
        <v>1766</v>
      </c>
      <c r="CD43" s="112" t="s">
        <v>1766</v>
      </c>
      <c r="CE43" s="112" t="s">
        <v>1766</v>
      </c>
      <c r="CF43" s="112" t="s">
        <v>1766</v>
      </c>
      <c r="CG43" s="112" t="s">
        <v>1766</v>
      </c>
      <c r="CH43" s="112" t="s">
        <v>1766</v>
      </c>
      <c r="CI43" s="112" t="s">
        <v>1766</v>
      </c>
      <c r="CJ43" s="112" t="s">
        <v>1766</v>
      </c>
      <c r="CK43" s="112" t="s">
        <v>1766</v>
      </c>
      <c r="CL43" s="112" t="s">
        <v>1766</v>
      </c>
      <c r="CM43" s="112" t="s">
        <v>1766</v>
      </c>
      <c r="CN43" s="112" t="s">
        <v>1766</v>
      </c>
      <c r="CO43" s="112" t="s">
        <v>1766</v>
      </c>
      <c r="CP43" s="112">
        <v>42</v>
      </c>
      <c r="CQ43" s="112" t="s">
        <v>1766</v>
      </c>
      <c r="CR43" s="112" t="s">
        <v>1766</v>
      </c>
      <c r="CS43" s="112">
        <v>0.16666666666666699</v>
      </c>
      <c r="CT43" s="112" t="s">
        <v>1766</v>
      </c>
      <c r="CU43" s="112">
        <v>42</v>
      </c>
      <c r="CV43" s="112" t="e">
        <v>#N/A</v>
      </c>
      <c r="CW43" s="112" t="e">
        <v>#N/A</v>
      </c>
      <c r="CX43" s="112" t="e">
        <v>#N/A</v>
      </c>
    </row>
    <row r="44" spans="1:102">
      <c r="A44" s="106" t="s">
        <v>154</v>
      </c>
      <c r="B44" s="106">
        <v>13</v>
      </c>
      <c r="C44" s="106">
        <v>1</v>
      </c>
      <c r="D44" s="106">
        <v>1</v>
      </c>
      <c r="E44" s="106">
        <v>4</v>
      </c>
      <c r="F44" s="106">
        <v>4</v>
      </c>
      <c r="G44" s="106" t="s">
        <v>66</v>
      </c>
      <c r="I44" s="106">
        <v>201</v>
      </c>
      <c r="J44" s="106" t="s">
        <v>1766</v>
      </c>
      <c r="K44" s="106" t="s">
        <v>1318</v>
      </c>
      <c r="L44" s="106" t="s">
        <v>1331</v>
      </c>
      <c r="M44" s="106" t="s">
        <v>192</v>
      </c>
      <c r="O44" s="106">
        <v>13</v>
      </c>
      <c r="T44" s="106" t="s">
        <v>1766</v>
      </c>
      <c r="V44" s="106">
        <v>514996.19369561598</v>
      </c>
      <c r="W44" s="106">
        <v>1</v>
      </c>
      <c r="X44" s="106">
        <v>2</v>
      </c>
      <c r="Y44" s="106">
        <v>1</v>
      </c>
      <c r="Z44" s="106">
        <v>1</v>
      </c>
      <c r="AA44" s="106">
        <v>100000</v>
      </c>
      <c r="AB44" s="106">
        <v>210000</v>
      </c>
      <c r="AC44" s="106">
        <v>100000</v>
      </c>
      <c r="AD44" s="106">
        <v>100000</v>
      </c>
      <c r="AE44" s="106">
        <v>510000</v>
      </c>
      <c r="AF44" s="106">
        <v>2040000</v>
      </c>
      <c r="AG44" s="106">
        <v>2125</v>
      </c>
      <c r="AH44" s="106">
        <v>8640</v>
      </c>
      <c r="AI44" s="106">
        <v>0.04</v>
      </c>
      <c r="AJ44" s="106">
        <v>6</v>
      </c>
      <c r="AK44" s="106">
        <v>120</v>
      </c>
      <c r="AL44" s="106">
        <v>720</v>
      </c>
      <c r="AM44" s="106">
        <v>7287</v>
      </c>
      <c r="AN44" s="106">
        <v>29148</v>
      </c>
      <c r="AO44" s="106">
        <v>3166</v>
      </c>
      <c r="AP44" s="106" t="s">
        <v>144</v>
      </c>
      <c r="AQ44" s="106" t="s">
        <v>157</v>
      </c>
      <c r="AR44" s="106">
        <v>1200</v>
      </c>
      <c r="AS44" s="106">
        <v>13</v>
      </c>
      <c r="AT44" s="106">
        <v>52</v>
      </c>
      <c r="AX44" s="110"/>
      <c r="BY44" s="112" t="s">
        <v>1766</v>
      </c>
      <c r="BZ44" s="112" t="s">
        <v>1766</v>
      </c>
      <c r="CA44" s="112" t="s">
        <v>1766</v>
      </c>
      <c r="CB44" s="112" t="s">
        <v>1766</v>
      </c>
      <c r="CC44" s="112" t="s">
        <v>1766</v>
      </c>
      <c r="CD44" s="112" t="s">
        <v>1766</v>
      </c>
      <c r="CE44" s="112" t="s">
        <v>1766</v>
      </c>
      <c r="CF44" s="112" t="s">
        <v>1766</v>
      </c>
      <c r="CG44" s="112" t="s">
        <v>1766</v>
      </c>
      <c r="CH44" s="112" t="s">
        <v>1766</v>
      </c>
      <c r="CI44" s="112" t="s">
        <v>1766</v>
      </c>
      <c r="CJ44" s="112" t="s">
        <v>1766</v>
      </c>
      <c r="CK44" s="112" t="s">
        <v>1766</v>
      </c>
      <c r="CL44" s="112" t="s">
        <v>1766</v>
      </c>
      <c r="CM44" s="112" t="s">
        <v>1766</v>
      </c>
      <c r="CN44" s="112" t="s">
        <v>1766</v>
      </c>
      <c r="CO44" s="112" t="s">
        <v>1766</v>
      </c>
      <c r="CP44" s="112">
        <v>43</v>
      </c>
      <c r="CQ44" s="112" t="s">
        <v>1766</v>
      </c>
      <c r="CR44" s="112" t="s">
        <v>1766</v>
      </c>
      <c r="CS44" s="112">
        <v>0.14285714285714299</v>
      </c>
      <c r="CT44" s="112" t="s">
        <v>1766</v>
      </c>
      <c r="CU44" s="112">
        <v>43</v>
      </c>
      <c r="CV44" s="112" t="e">
        <v>#N/A</v>
      </c>
      <c r="CW44" s="112" t="e">
        <v>#N/A</v>
      </c>
      <c r="CX44" s="112" t="e">
        <v>#N/A</v>
      </c>
    </row>
    <row r="45" spans="1:102">
      <c r="A45" s="106" t="s">
        <v>154</v>
      </c>
      <c r="B45" s="106">
        <v>14</v>
      </c>
      <c r="C45" s="106">
        <v>1</v>
      </c>
      <c r="D45" s="106">
        <v>1</v>
      </c>
      <c r="E45" s="106">
        <v>4</v>
      </c>
      <c r="F45" s="106">
        <v>4</v>
      </c>
      <c r="G45" s="106" t="s">
        <v>66</v>
      </c>
      <c r="I45" s="106">
        <v>201</v>
      </c>
      <c r="J45" s="106" t="s">
        <v>1766</v>
      </c>
      <c r="K45" s="106" t="s">
        <v>1318</v>
      </c>
      <c r="L45" s="106" t="s">
        <v>1332</v>
      </c>
      <c r="M45" s="106" t="s">
        <v>193</v>
      </c>
      <c r="O45" s="106">
        <v>14</v>
      </c>
      <c r="T45" s="106" t="s">
        <v>1766</v>
      </c>
      <c r="V45" s="106">
        <v>669495.05180430098</v>
      </c>
      <c r="W45" s="106">
        <v>1</v>
      </c>
      <c r="X45" s="106">
        <v>2</v>
      </c>
      <c r="Y45" s="106">
        <v>1</v>
      </c>
      <c r="Z45" s="106">
        <v>1</v>
      </c>
      <c r="AA45" s="106">
        <v>130000</v>
      </c>
      <c r="AB45" s="106">
        <v>270000</v>
      </c>
      <c r="AC45" s="106">
        <v>130000</v>
      </c>
      <c r="AD45" s="106">
        <v>130000</v>
      </c>
      <c r="AE45" s="106">
        <v>660000</v>
      </c>
      <c r="AF45" s="106">
        <v>2640000</v>
      </c>
      <c r="AG45" s="106">
        <v>2750</v>
      </c>
      <c r="AH45" s="106">
        <v>10800</v>
      </c>
      <c r="AI45" s="106">
        <v>0.05</v>
      </c>
      <c r="AJ45" s="106">
        <v>6</v>
      </c>
      <c r="AK45" s="106">
        <v>120</v>
      </c>
      <c r="AL45" s="106">
        <v>720</v>
      </c>
      <c r="AM45" s="106">
        <v>9265</v>
      </c>
      <c r="AN45" s="106">
        <v>37060</v>
      </c>
      <c r="AO45" s="106">
        <v>4505</v>
      </c>
      <c r="AP45" s="106" t="s">
        <v>144</v>
      </c>
      <c r="AQ45" s="106" t="s">
        <v>157</v>
      </c>
      <c r="AR45" s="106">
        <v>1200</v>
      </c>
      <c r="AS45" s="106">
        <v>14</v>
      </c>
      <c r="AT45" s="106">
        <v>56</v>
      </c>
      <c r="AX45" s="110"/>
      <c r="BY45" s="112" t="s">
        <v>1766</v>
      </c>
      <c r="BZ45" s="112" t="s">
        <v>1766</v>
      </c>
      <c r="CA45" s="112" t="s">
        <v>1766</v>
      </c>
      <c r="CB45" s="112" t="s">
        <v>1766</v>
      </c>
      <c r="CC45" s="112" t="s">
        <v>1766</v>
      </c>
      <c r="CD45" s="112" t="s">
        <v>1766</v>
      </c>
      <c r="CE45" s="112" t="s">
        <v>1766</v>
      </c>
      <c r="CF45" s="112" t="s">
        <v>1766</v>
      </c>
      <c r="CG45" s="112" t="s">
        <v>1766</v>
      </c>
      <c r="CH45" s="112" t="s">
        <v>1766</v>
      </c>
      <c r="CI45" s="112" t="s">
        <v>1766</v>
      </c>
      <c r="CJ45" s="112" t="s">
        <v>1766</v>
      </c>
      <c r="CK45" s="112" t="s">
        <v>1766</v>
      </c>
      <c r="CL45" s="112" t="s">
        <v>1766</v>
      </c>
      <c r="CM45" s="112" t="s">
        <v>1766</v>
      </c>
      <c r="CN45" s="112" t="s">
        <v>1766</v>
      </c>
      <c r="CO45" s="112" t="s">
        <v>1766</v>
      </c>
      <c r="CP45" s="112">
        <v>44</v>
      </c>
      <c r="CQ45" s="112" t="s">
        <v>1766</v>
      </c>
      <c r="CR45" s="112" t="s">
        <v>1766</v>
      </c>
      <c r="CS45" s="112">
        <v>0.125</v>
      </c>
      <c r="CT45" s="112" t="s">
        <v>1766</v>
      </c>
      <c r="CU45" s="112">
        <v>44</v>
      </c>
      <c r="CV45" s="112" t="e">
        <v>#N/A</v>
      </c>
      <c r="CW45" s="112" t="e">
        <v>#N/A</v>
      </c>
      <c r="CX45" s="112" t="e">
        <v>#N/A</v>
      </c>
    </row>
    <row r="46" spans="1:102">
      <c r="A46" s="106" t="s">
        <v>154</v>
      </c>
      <c r="B46" s="106">
        <v>15</v>
      </c>
      <c r="C46" s="106">
        <v>1</v>
      </c>
      <c r="D46" s="106">
        <v>1</v>
      </c>
      <c r="E46" s="106">
        <v>4</v>
      </c>
      <c r="F46" s="106">
        <v>4</v>
      </c>
      <c r="G46" s="106" t="s">
        <v>66</v>
      </c>
      <c r="I46" s="106">
        <v>201</v>
      </c>
      <c r="J46" s="106" t="s">
        <v>1766</v>
      </c>
      <c r="K46" s="106" t="s">
        <v>1318</v>
      </c>
      <c r="L46" s="106" t="s">
        <v>1333</v>
      </c>
      <c r="M46" s="106" t="s">
        <v>196</v>
      </c>
      <c r="O46" s="106">
        <v>15</v>
      </c>
      <c r="T46" s="106" t="s">
        <v>1766</v>
      </c>
      <c r="V46" s="106">
        <v>856953.666309505</v>
      </c>
      <c r="W46" s="106">
        <v>1</v>
      </c>
      <c r="X46" s="106">
        <v>2</v>
      </c>
      <c r="Y46" s="106">
        <v>1</v>
      </c>
      <c r="Z46" s="106">
        <v>1</v>
      </c>
      <c r="AA46" s="106">
        <v>170000</v>
      </c>
      <c r="AB46" s="106">
        <v>340000</v>
      </c>
      <c r="AC46" s="106">
        <v>170000</v>
      </c>
      <c r="AD46" s="106">
        <v>170000</v>
      </c>
      <c r="AE46" s="106">
        <v>850000</v>
      </c>
      <c r="AF46" s="106">
        <v>3400000</v>
      </c>
      <c r="AG46" s="106">
        <v>3541.6666666666702</v>
      </c>
      <c r="AH46" s="106">
        <v>12960</v>
      </c>
      <c r="AI46" s="106">
        <v>0.05</v>
      </c>
      <c r="AJ46" s="106">
        <v>7</v>
      </c>
      <c r="AK46" s="106">
        <v>129.6</v>
      </c>
      <c r="AL46" s="106">
        <v>907.2</v>
      </c>
      <c r="AM46" s="106">
        <v>11135</v>
      </c>
      <c r="AN46" s="106">
        <v>44540</v>
      </c>
      <c r="AO46" s="106">
        <v>6219</v>
      </c>
      <c r="AP46" s="106" t="s">
        <v>144</v>
      </c>
      <c r="AQ46" s="106" t="s">
        <v>157</v>
      </c>
      <c r="AR46" s="106">
        <v>1200</v>
      </c>
      <c r="AS46" s="106">
        <v>15</v>
      </c>
      <c r="AT46" s="106">
        <v>60</v>
      </c>
      <c r="AX46" s="110"/>
      <c r="BY46" s="112" t="s">
        <v>1766</v>
      </c>
      <c r="BZ46" s="112" t="s">
        <v>1766</v>
      </c>
      <c r="CA46" s="112" t="s">
        <v>1766</v>
      </c>
      <c r="CB46" s="112" t="s">
        <v>1766</v>
      </c>
      <c r="CC46" s="112" t="s">
        <v>1766</v>
      </c>
      <c r="CD46" s="112" t="s">
        <v>1766</v>
      </c>
      <c r="CE46" s="112" t="s">
        <v>1766</v>
      </c>
      <c r="CF46" s="112" t="s">
        <v>1766</v>
      </c>
      <c r="CG46" s="112" t="s">
        <v>1766</v>
      </c>
      <c r="CH46" s="112" t="s">
        <v>1766</v>
      </c>
      <c r="CI46" s="112" t="s">
        <v>1766</v>
      </c>
      <c r="CJ46" s="112" t="s">
        <v>1766</v>
      </c>
      <c r="CK46" s="112" t="s">
        <v>1766</v>
      </c>
      <c r="CL46" s="112" t="s">
        <v>1766</v>
      </c>
      <c r="CM46" s="112" t="s">
        <v>1766</v>
      </c>
      <c r="CN46" s="112" t="s">
        <v>1766</v>
      </c>
      <c r="CO46" s="112" t="s">
        <v>1766</v>
      </c>
      <c r="CP46" s="112">
        <v>45</v>
      </c>
      <c r="CQ46" s="112" t="s">
        <v>1766</v>
      </c>
      <c r="CR46" s="112" t="s">
        <v>1766</v>
      </c>
      <c r="CS46" s="112">
        <v>0.11111111111111099</v>
      </c>
      <c r="CT46" s="112" t="s">
        <v>1766</v>
      </c>
      <c r="CU46" s="112">
        <v>45</v>
      </c>
      <c r="CV46" s="112" t="e">
        <v>#N/A</v>
      </c>
      <c r="CW46" s="112" t="e">
        <v>#N/A</v>
      </c>
      <c r="CX46" s="112" t="e">
        <v>#N/A</v>
      </c>
    </row>
    <row r="47" spans="1:102">
      <c r="A47" s="106" t="s">
        <v>154</v>
      </c>
      <c r="B47" s="106">
        <v>16</v>
      </c>
      <c r="C47" s="106">
        <v>1</v>
      </c>
      <c r="D47" s="106">
        <v>1</v>
      </c>
      <c r="E47" s="106">
        <v>4</v>
      </c>
      <c r="F47" s="106">
        <v>4</v>
      </c>
      <c r="G47" s="106" t="s">
        <v>66</v>
      </c>
      <c r="I47" s="106">
        <v>201</v>
      </c>
      <c r="J47" s="106" t="s">
        <v>1766</v>
      </c>
      <c r="K47" s="106" t="s">
        <v>1318</v>
      </c>
      <c r="L47" s="106" t="s">
        <v>1334</v>
      </c>
      <c r="M47" s="106" t="s">
        <v>197</v>
      </c>
      <c r="O47" s="106">
        <v>16</v>
      </c>
      <c r="T47" s="106" t="s">
        <v>1766</v>
      </c>
      <c r="V47" s="106">
        <v>1096900.6928761699</v>
      </c>
      <c r="W47" s="106">
        <v>1</v>
      </c>
      <c r="X47" s="106">
        <v>2</v>
      </c>
      <c r="Y47" s="106">
        <v>1</v>
      </c>
      <c r="Z47" s="106">
        <v>1</v>
      </c>
      <c r="AA47" s="106">
        <v>220000</v>
      </c>
      <c r="AB47" s="106">
        <v>440000</v>
      </c>
      <c r="AC47" s="106">
        <v>220000</v>
      </c>
      <c r="AD47" s="106">
        <v>220000</v>
      </c>
      <c r="AE47" s="106">
        <v>1100000</v>
      </c>
      <c r="AF47" s="106">
        <v>4400000</v>
      </c>
      <c r="AG47" s="106">
        <v>4583.3333333333303</v>
      </c>
      <c r="AH47" s="106">
        <v>16200</v>
      </c>
      <c r="AI47" s="106">
        <v>0.05</v>
      </c>
      <c r="AJ47" s="106">
        <v>7</v>
      </c>
      <c r="AK47" s="106">
        <v>162</v>
      </c>
      <c r="AL47" s="106">
        <v>1134</v>
      </c>
      <c r="AM47" s="106">
        <v>13994</v>
      </c>
      <c r="AN47" s="106">
        <v>55976</v>
      </c>
      <c r="AO47" s="106">
        <v>8413</v>
      </c>
      <c r="AP47" s="106" t="s">
        <v>144</v>
      </c>
      <c r="AQ47" s="106" t="s">
        <v>157</v>
      </c>
      <c r="AR47" s="106">
        <v>1200</v>
      </c>
      <c r="AS47" s="106">
        <v>16</v>
      </c>
      <c r="AT47" s="106">
        <v>64</v>
      </c>
      <c r="AX47" s="110"/>
      <c r="BY47" s="112" t="s">
        <v>1766</v>
      </c>
      <c r="BZ47" s="112" t="s">
        <v>1766</v>
      </c>
      <c r="CA47" s="112" t="s">
        <v>1766</v>
      </c>
      <c r="CB47" s="112" t="s">
        <v>1766</v>
      </c>
      <c r="CC47" s="112" t="s">
        <v>1766</v>
      </c>
      <c r="CD47" s="112" t="s">
        <v>1766</v>
      </c>
      <c r="CE47" s="112" t="s">
        <v>1766</v>
      </c>
      <c r="CF47" s="112" t="s">
        <v>1766</v>
      </c>
      <c r="CG47" s="112" t="s">
        <v>1766</v>
      </c>
      <c r="CH47" s="112" t="s">
        <v>1766</v>
      </c>
      <c r="CI47" s="112" t="s">
        <v>1766</v>
      </c>
      <c r="CJ47" s="112" t="s">
        <v>1766</v>
      </c>
      <c r="CK47" s="112" t="s">
        <v>1766</v>
      </c>
      <c r="CL47" s="112" t="s">
        <v>1766</v>
      </c>
      <c r="CM47" s="112" t="s">
        <v>1766</v>
      </c>
      <c r="CN47" s="112" t="s">
        <v>1766</v>
      </c>
      <c r="CO47" s="112" t="s">
        <v>1766</v>
      </c>
      <c r="CP47" s="112">
        <v>46</v>
      </c>
      <c r="CQ47" s="112" t="s">
        <v>1766</v>
      </c>
      <c r="CR47" s="112" t="s">
        <v>1766</v>
      </c>
      <c r="CS47" s="112">
        <v>0.1</v>
      </c>
      <c r="CT47" s="112" t="s">
        <v>1766</v>
      </c>
      <c r="CU47" s="112">
        <v>46</v>
      </c>
      <c r="CV47" s="112" t="e">
        <v>#N/A</v>
      </c>
      <c r="CW47" s="112" t="e">
        <v>#N/A</v>
      </c>
      <c r="CX47" s="112" t="e">
        <v>#N/A</v>
      </c>
    </row>
    <row r="48" spans="1:102">
      <c r="A48" s="106" t="s">
        <v>154</v>
      </c>
      <c r="B48" s="106">
        <v>17</v>
      </c>
      <c r="C48" s="106">
        <v>1</v>
      </c>
      <c r="D48" s="106">
        <v>1</v>
      </c>
      <c r="E48" s="106">
        <v>4</v>
      </c>
      <c r="F48" s="106">
        <v>4</v>
      </c>
      <c r="G48" s="106" t="s">
        <v>66</v>
      </c>
      <c r="I48" s="106">
        <v>201</v>
      </c>
      <c r="J48" s="106" t="s">
        <v>1766</v>
      </c>
      <c r="K48" s="106" t="s">
        <v>1318</v>
      </c>
      <c r="L48" s="106" t="s">
        <v>1335</v>
      </c>
      <c r="M48" s="106" t="s">
        <v>198</v>
      </c>
      <c r="O48" s="106">
        <v>17</v>
      </c>
      <c r="T48" s="106" t="s">
        <v>1766</v>
      </c>
      <c r="V48" s="106">
        <v>1404032.88688149</v>
      </c>
      <c r="W48" s="106">
        <v>1</v>
      </c>
      <c r="X48" s="106">
        <v>2</v>
      </c>
      <c r="Y48" s="106">
        <v>1</v>
      </c>
      <c r="Z48" s="106">
        <v>1</v>
      </c>
      <c r="AA48" s="106">
        <v>280000</v>
      </c>
      <c r="AB48" s="106">
        <v>560000</v>
      </c>
      <c r="AC48" s="106">
        <v>280000</v>
      </c>
      <c r="AD48" s="106">
        <v>280000</v>
      </c>
      <c r="AE48" s="106">
        <v>1400000</v>
      </c>
      <c r="AF48" s="106">
        <v>5600000</v>
      </c>
      <c r="AG48" s="106">
        <v>5833.3333333333303</v>
      </c>
      <c r="AH48" s="106">
        <v>21600</v>
      </c>
      <c r="AI48" s="106">
        <v>0.05</v>
      </c>
      <c r="AJ48" s="106">
        <v>8</v>
      </c>
      <c r="AK48" s="106">
        <v>216</v>
      </c>
      <c r="AL48" s="106">
        <v>1728</v>
      </c>
      <c r="AM48" s="106">
        <v>18543</v>
      </c>
      <c r="AN48" s="106">
        <v>74172</v>
      </c>
      <c r="AO48" s="106">
        <v>11221</v>
      </c>
      <c r="AP48" s="106" t="s">
        <v>144</v>
      </c>
      <c r="AQ48" s="106" t="s">
        <v>157</v>
      </c>
      <c r="AR48" s="106">
        <v>1200</v>
      </c>
      <c r="AS48" s="106">
        <v>17</v>
      </c>
      <c r="AT48" s="106">
        <v>68</v>
      </c>
      <c r="AX48" s="110"/>
      <c r="BY48" s="112" t="s">
        <v>1766</v>
      </c>
      <c r="BZ48" s="112" t="s">
        <v>1766</v>
      </c>
      <c r="CA48" s="112" t="s">
        <v>1766</v>
      </c>
      <c r="CB48" s="112" t="s">
        <v>1766</v>
      </c>
      <c r="CC48" s="112" t="s">
        <v>1766</v>
      </c>
      <c r="CD48" s="112" t="s">
        <v>1766</v>
      </c>
      <c r="CE48" s="112" t="s">
        <v>1766</v>
      </c>
      <c r="CF48" s="112" t="s">
        <v>1766</v>
      </c>
      <c r="CG48" s="112" t="s">
        <v>1766</v>
      </c>
      <c r="CH48" s="112" t="s">
        <v>1766</v>
      </c>
      <c r="CI48" s="112" t="s">
        <v>1766</v>
      </c>
      <c r="CJ48" s="112" t="s">
        <v>1766</v>
      </c>
      <c r="CK48" s="112" t="s">
        <v>1766</v>
      </c>
      <c r="CL48" s="112" t="s">
        <v>1766</v>
      </c>
      <c r="CM48" s="112" t="s">
        <v>1766</v>
      </c>
      <c r="CN48" s="112" t="s">
        <v>1766</v>
      </c>
      <c r="CO48" s="112" t="s">
        <v>1766</v>
      </c>
      <c r="CP48" s="112">
        <v>47</v>
      </c>
      <c r="CQ48" s="112" t="s">
        <v>1766</v>
      </c>
      <c r="CR48" s="112" t="s">
        <v>1766</v>
      </c>
      <c r="CS48" s="112">
        <v>9.0909090909090898E-2</v>
      </c>
      <c r="CT48" s="112" t="s">
        <v>1766</v>
      </c>
      <c r="CU48" s="112">
        <v>47</v>
      </c>
      <c r="CV48" s="112" t="e">
        <v>#N/A</v>
      </c>
      <c r="CW48" s="112" t="e">
        <v>#N/A</v>
      </c>
      <c r="CX48" s="112" t="e">
        <v>#N/A</v>
      </c>
    </row>
    <row r="49" spans="1:102">
      <c r="A49" s="106" t="s">
        <v>154</v>
      </c>
      <c r="B49" s="106">
        <v>18</v>
      </c>
      <c r="C49" s="106">
        <v>1</v>
      </c>
      <c r="D49" s="106">
        <v>1</v>
      </c>
      <c r="E49" s="106">
        <v>4</v>
      </c>
      <c r="F49" s="106">
        <v>4</v>
      </c>
      <c r="G49" s="106" t="s">
        <v>66</v>
      </c>
      <c r="I49" s="106">
        <v>201</v>
      </c>
      <c r="J49" s="106" t="s">
        <v>1766</v>
      </c>
      <c r="K49" s="106" t="s">
        <v>1318</v>
      </c>
      <c r="L49" s="106" t="s">
        <v>1336</v>
      </c>
      <c r="M49" s="106" t="s">
        <v>199</v>
      </c>
      <c r="O49" s="106">
        <v>18</v>
      </c>
      <c r="T49" s="106" t="s">
        <v>1766</v>
      </c>
      <c r="V49" s="106">
        <v>1797162.0952083101</v>
      </c>
      <c r="W49" s="106">
        <v>1</v>
      </c>
      <c r="X49" s="106">
        <v>2</v>
      </c>
      <c r="Y49" s="106">
        <v>1</v>
      </c>
      <c r="Z49" s="106">
        <v>1</v>
      </c>
      <c r="AA49" s="106">
        <v>360000</v>
      </c>
      <c r="AB49" s="106">
        <v>720000</v>
      </c>
      <c r="AC49" s="106">
        <v>360000</v>
      </c>
      <c r="AD49" s="106">
        <v>360000</v>
      </c>
      <c r="AE49" s="106">
        <v>1800000</v>
      </c>
      <c r="AF49" s="106">
        <v>7200000</v>
      </c>
      <c r="AG49" s="106">
        <v>7500</v>
      </c>
      <c r="AH49" s="106">
        <v>28080</v>
      </c>
      <c r="AI49" s="106">
        <v>6.5000000000000002E-2</v>
      </c>
      <c r="AJ49" s="106">
        <v>8</v>
      </c>
      <c r="AK49" s="106">
        <v>280.8</v>
      </c>
      <c r="AL49" s="106">
        <v>2246.4</v>
      </c>
      <c r="AM49" s="106">
        <v>23819</v>
      </c>
      <c r="AN49" s="106">
        <v>95276</v>
      </c>
      <c r="AO49" s="106">
        <v>14816</v>
      </c>
      <c r="AP49" s="106" t="s">
        <v>144</v>
      </c>
      <c r="AQ49" s="106" t="s">
        <v>157</v>
      </c>
      <c r="AR49" s="106">
        <v>1200</v>
      </c>
      <c r="AS49" s="106">
        <v>18</v>
      </c>
      <c r="AT49" s="106">
        <v>72</v>
      </c>
      <c r="AX49" s="110"/>
      <c r="BY49" s="112" t="s">
        <v>1766</v>
      </c>
      <c r="BZ49" s="112" t="s">
        <v>1766</v>
      </c>
      <c r="CA49" s="112" t="s">
        <v>1766</v>
      </c>
      <c r="CB49" s="112" t="s">
        <v>1766</v>
      </c>
      <c r="CC49" s="112" t="s">
        <v>1766</v>
      </c>
      <c r="CD49" s="112" t="s">
        <v>1766</v>
      </c>
      <c r="CE49" s="112" t="s">
        <v>1766</v>
      </c>
      <c r="CF49" s="112" t="s">
        <v>1766</v>
      </c>
      <c r="CG49" s="112" t="s">
        <v>1766</v>
      </c>
      <c r="CH49" s="112" t="s">
        <v>1766</v>
      </c>
      <c r="CI49" s="112" t="s">
        <v>1766</v>
      </c>
      <c r="CJ49" s="112" t="s">
        <v>1766</v>
      </c>
      <c r="CK49" s="112" t="s">
        <v>1766</v>
      </c>
      <c r="CL49" s="112" t="s">
        <v>1766</v>
      </c>
      <c r="CM49" s="112" t="s">
        <v>1766</v>
      </c>
      <c r="CN49" s="112" t="s">
        <v>1766</v>
      </c>
      <c r="CO49" s="112" t="s">
        <v>1766</v>
      </c>
      <c r="CP49" s="112">
        <v>48</v>
      </c>
      <c r="CQ49" s="112" t="s">
        <v>1766</v>
      </c>
      <c r="CR49" s="112" t="s">
        <v>1766</v>
      </c>
      <c r="CS49" s="112">
        <v>8.3333333333333301E-2</v>
      </c>
      <c r="CT49" s="112" t="s">
        <v>1766</v>
      </c>
      <c r="CU49" s="112">
        <v>48</v>
      </c>
      <c r="CV49" s="112" t="e">
        <v>#N/A</v>
      </c>
      <c r="CW49" s="112" t="e">
        <v>#N/A</v>
      </c>
      <c r="CX49" s="112" t="e">
        <v>#N/A</v>
      </c>
    </row>
    <row r="50" spans="1:102">
      <c r="A50" s="106" t="s">
        <v>154</v>
      </c>
      <c r="B50" s="106">
        <v>19</v>
      </c>
      <c r="C50" s="106">
        <v>1</v>
      </c>
      <c r="D50" s="106">
        <v>1</v>
      </c>
      <c r="E50" s="106">
        <v>4</v>
      </c>
      <c r="F50" s="106">
        <v>4</v>
      </c>
      <c r="G50" s="106" t="s">
        <v>66</v>
      </c>
      <c r="I50" s="106">
        <v>201</v>
      </c>
      <c r="J50" s="106" t="s">
        <v>1766</v>
      </c>
      <c r="K50" s="106" t="s">
        <v>1318</v>
      </c>
      <c r="L50" s="106" t="s">
        <v>1337</v>
      </c>
      <c r="M50" s="106" t="s">
        <v>200</v>
      </c>
      <c r="O50" s="106">
        <v>19</v>
      </c>
      <c r="T50" s="106" t="s">
        <v>1766</v>
      </c>
      <c r="V50" s="106">
        <v>2300367.48186664</v>
      </c>
      <c r="W50" s="106">
        <v>1</v>
      </c>
      <c r="X50" s="106">
        <v>2</v>
      </c>
      <c r="Y50" s="106">
        <v>1</v>
      </c>
      <c r="Z50" s="106">
        <v>1</v>
      </c>
      <c r="AA50" s="106">
        <v>460000</v>
      </c>
      <c r="AB50" s="106">
        <v>920000</v>
      </c>
      <c r="AC50" s="106">
        <v>460000</v>
      </c>
      <c r="AD50" s="106">
        <v>460000</v>
      </c>
      <c r="AE50" s="106">
        <v>2300000</v>
      </c>
      <c r="AF50" s="106">
        <v>9200000</v>
      </c>
      <c r="AG50" s="106">
        <v>9583.3333333333303</v>
      </c>
      <c r="AH50" s="106">
        <v>36720</v>
      </c>
      <c r="AI50" s="106">
        <v>0.08</v>
      </c>
      <c r="AJ50" s="106">
        <v>9</v>
      </c>
      <c r="AK50" s="106">
        <v>367.2</v>
      </c>
      <c r="AL50" s="106">
        <v>3304.8</v>
      </c>
      <c r="AM50" s="106">
        <v>30395</v>
      </c>
      <c r="AN50" s="106">
        <v>121580</v>
      </c>
      <c r="AO50" s="106">
        <v>19416</v>
      </c>
      <c r="AP50" s="106" t="s">
        <v>144</v>
      </c>
      <c r="AQ50" s="106" t="s">
        <v>157</v>
      </c>
      <c r="AR50" s="106">
        <v>1200</v>
      </c>
      <c r="AS50" s="106">
        <v>19</v>
      </c>
      <c r="AT50" s="106">
        <v>76</v>
      </c>
      <c r="AX50" s="110"/>
      <c r="BY50" s="112" t="s">
        <v>1766</v>
      </c>
      <c r="BZ50" s="112" t="s">
        <v>1766</v>
      </c>
      <c r="CA50" s="112" t="s">
        <v>1766</v>
      </c>
      <c r="CB50" s="112" t="s">
        <v>1766</v>
      </c>
      <c r="CC50" s="112" t="s">
        <v>1766</v>
      </c>
      <c r="CD50" s="112" t="s">
        <v>1766</v>
      </c>
      <c r="CE50" s="112" t="s">
        <v>1766</v>
      </c>
      <c r="CF50" s="112" t="s">
        <v>1766</v>
      </c>
      <c r="CG50" s="112" t="s">
        <v>1766</v>
      </c>
      <c r="CH50" s="112" t="s">
        <v>1766</v>
      </c>
      <c r="CI50" s="112" t="s">
        <v>1766</v>
      </c>
      <c r="CJ50" s="112" t="s">
        <v>1766</v>
      </c>
      <c r="CK50" s="112" t="s">
        <v>1766</v>
      </c>
      <c r="CL50" s="112" t="s">
        <v>1766</v>
      </c>
      <c r="CM50" s="112" t="s">
        <v>1766</v>
      </c>
      <c r="CN50" s="112" t="s">
        <v>1766</v>
      </c>
      <c r="CO50" s="112" t="s">
        <v>1766</v>
      </c>
      <c r="CP50" s="112">
        <v>49</v>
      </c>
      <c r="CQ50" s="112" t="s">
        <v>1766</v>
      </c>
      <c r="CR50" s="112" t="s">
        <v>1766</v>
      </c>
      <c r="CS50" s="112">
        <v>7.69230769230769E-2</v>
      </c>
      <c r="CT50" s="112" t="s">
        <v>1766</v>
      </c>
      <c r="CU50" s="112">
        <v>49</v>
      </c>
      <c r="CV50" s="112" t="e">
        <v>#N/A</v>
      </c>
      <c r="CW50" s="112" t="e">
        <v>#N/A</v>
      </c>
      <c r="CX50" s="112" t="e">
        <v>#N/A</v>
      </c>
    </row>
    <row r="51" spans="1:102">
      <c r="A51" s="106" t="s">
        <v>154</v>
      </c>
      <c r="B51" s="106">
        <v>20</v>
      </c>
      <c r="C51" s="106">
        <v>1</v>
      </c>
      <c r="D51" s="106">
        <v>1</v>
      </c>
      <c r="E51" s="106">
        <v>4</v>
      </c>
      <c r="F51" s="106">
        <v>4</v>
      </c>
      <c r="G51" s="106" t="s">
        <v>66</v>
      </c>
      <c r="I51" s="106">
        <v>201</v>
      </c>
      <c r="J51" s="106" t="s">
        <v>1766</v>
      </c>
      <c r="K51" s="106" t="s">
        <v>1318</v>
      </c>
      <c r="L51" s="106" t="s">
        <v>1338</v>
      </c>
      <c r="M51" s="106" t="s">
        <v>201</v>
      </c>
      <c r="O51" s="106">
        <v>20</v>
      </c>
      <c r="T51" s="106" t="s">
        <v>1766</v>
      </c>
      <c r="V51" s="106">
        <v>2944470.3767892998</v>
      </c>
      <c r="W51" s="106">
        <v>1</v>
      </c>
      <c r="X51" s="106">
        <v>2</v>
      </c>
      <c r="Y51" s="106">
        <v>1</v>
      </c>
      <c r="Z51" s="106">
        <v>1</v>
      </c>
      <c r="AA51" s="106">
        <v>590000</v>
      </c>
      <c r="AB51" s="106">
        <v>1200000</v>
      </c>
      <c r="AC51" s="106">
        <v>590000</v>
      </c>
      <c r="AD51" s="106">
        <v>590000</v>
      </c>
      <c r="AE51" s="106">
        <v>2970000</v>
      </c>
      <c r="AF51" s="106">
        <v>11880000</v>
      </c>
      <c r="AG51" s="106">
        <v>12375</v>
      </c>
      <c r="AH51" s="106">
        <v>51840</v>
      </c>
      <c r="AI51" s="106">
        <v>9.5000000000000001E-2</v>
      </c>
      <c r="AJ51" s="106">
        <v>9</v>
      </c>
      <c r="AK51" s="106">
        <v>518.4</v>
      </c>
      <c r="AL51" s="106">
        <v>4665.6000000000004</v>
      </c>
      <c r="AM51" s="106">
        <v>42376</v>
      </c>
      <c r="AN51" s="106">
        <v>169504</v>
      </c>
      <c r="AO51" s="106">
        <v>25305</v>
      </c>
      <c r="AP51" s="106" t="s">
        <v>144</v>
      </c>
      <c r="AQ51" s="106" t="s">
        <v>157</v>
      </c>
      <c r="AR51" s="106">
        <v>1200</v>
      </c>
      <c r="AS51" s="106">
        <v>20</v>
      </c>
      <c r="AT51" s="106">
        <v>80</v>
      </c>
      <c r="AX51" s="110"/>
      <c r="BY51" s="112" t="s">
        <v>1766</v>
      </c>
      <c r="BZ51" s="112" t="s">
        <v>1766</v>
      </c>
      <c r="CA51" s="112" t="s">
        <v>1766</v>
      </c>
      <c r="CB51" s="112" t="s">
        <v>1766</v>
      </c>
      <c r="CC51" s="112" t="s">
        <v>1766</v>
      </c>
      <c r="CD51" s="112" t="s">
        <v>1766</v>
      </c>
      <c r="CE51" s="112" t="s">
        <v>1766</v>
      </c>
      <c r="CF51" s="112" t="s">
        <v>1766</v>
      </c>
      <c r="CG51" s="112" t="s">
        <v>1766</v>
      </c>
      <c r="CH51" s="112" t="s">
        <v>1766</v>
      </c>
      <c r="CI51" s="112" t="s">
        <v>1766</v>
      </c>
      <c r="CJ51" s="112" t="s">
        <v>1766</v>
      </c>
      <c r="CK51" s="112" t="s">
        <v>1766</v>
      </c>
      <c r="CL51" s="112" t="s">
        <v>1766</v>
      </c>
      <c r="CM51" s="112" t="s">
        <v>1766</v>
      </c>
      <c r="CN51" s="112" t="s">
        <v>1766</v>
      </c>
      <c r="CO51" s="112" t="s">
        <v>1766</v>
      </c>
      <c r="CP51" s="112">
        <v>50</v>
      </c>
      <c r="CQ51" s="112" t="s">
        <v>1766</v>
      </c>
      <c r="CR51" s="112" t="s">
        <v>1766</v>
      </c>
      <c r="CS51" s="112">
        <v>7.1428571428571397E-2</v>
      </c>
      <c r="CT51" s="112" t="s">
        <v>1766</v>
      </c>
      <c r="CU51" s="112">
        <v>50</v>
      </c>
      <c r="CV51" s="112" t="e">
        <v>#N/A</v>
      </c>
      <c r="CW51" s="112" t="e">
        <v>#N/A</v>
      </c>
      <c r="CX51" s="112" t="e">
        <v>#N/A</v>
      </c>
    </row>
    <row r="52" spans="1:102">
      <c r="A52" s="106" t="s">
        <v>154</v>
      </c>
      <c r="B52" s="106">
        <v>21</v>
      </c>
      <c r="C52" s="106">
        <v>1</v>
      </c>
      <c r="D52" s="106">
        <v>1</v>
      </c>
      <c r="E52" s="106">
        <v>4</v>
      </c>
      <c r="F52" s="106">
        <v>4</v>
      </c>
      <c r="G52" s="106" t="s">
        <v>66</v>
      </c>
      <c r="I52" s="106">
        <v>201</v>
      </c>
      <c r="J52" s="106" t="s">
        <v>1766</v>
      </c>
      <c r="K52" s="106" t="s">
        <v>1318</v>
      </c>
      <c r="L52" s="106" t="s">
        <v>1340</v>
      </c>
      <c r="M52" s="106" t="s">
        <v>1339</v>
      </c>
      <c r="O52" s="106">
        <v>21</v>
      </c>
      <c r="T52" s="106" t="s">
        <v>1766</v>
      </c>
      <c r="V52" s="106">
        <v>3768922.0822903002</v>
      </c>
      <c r="W52" s="106">
        <v>1</v>
      </c>
      <c r="X52" s="106">
        <v>2</v>
      </c>
      <c r="Y52" s="106">
        <v>1</v>
      </c>
      <c r="Z52" s="106">
        <v>1</v>
      </c>
      <c r="AA52" s="106">
        <v>750000</v>
      </c>
      <c r="AB52" s="106">
        <v>1500000</v>
      </c>
      <c r="AC52" s="106">
        <v>750000</v>
      </c>
      <c r="AD52" s="106">
        <v>750000</v>
      </c>
      <c r="AE52" s="106">
        <v>3750000</v>
      </c>
      <c r="AF52" s="106">
        <v>15000000</v>
      </c>
      <c r="AG52" s="106">
        <v>15625</v>
      </c>
      <c r="AH52" s="106">
        <v>69120</v>
      </c>
      <c r="AI52" s="106">
        <v>0.11</v>
      </c>
      <c r="AJ52" s="106">
        <v>10</v>
      </c>
      <c r="AK52" s="106">
        <v>691.2</v>
      </c>
      <c r="AL52" s="106">
        <v>6912</v>
      </c>
      <c r="AM52" s="106">
        <v>55058</v>
      </c>
      <c r="AN52" s="106">
        <v>220232</v>
      </c>
      <c r="AO52" s="106">
        <v>32843</v>
      </c>
      <c r="AP52" s="106" t="s">
        <v>144</v>
      </c>
      <c r="AQ52" s="106" t="s">
        <v>157</v>
      </c>
      <c r="AR52" s="106">
        <v>1200</v>
      </c>
      <c r="AS52" s="106">
        <v>21</v>
      </c>
      <c r="AT52" s="106">
        <v>84</v>
      </c>
      <c r="AX52" s="110"/>
      <c r="BY52" s="112" t="s">
        <v>1766</v>
      </c>
      <c r="BZ52" s="112" t="s">
        <v>1766</v>
      </c>
      <c r="CA52" s="112" t="s">
        <v>1766</v>
      </c>
      <c r="CB52" s="112" t="s">
        <v>1766</v>
      </c>
      <c r="CC52" s="112" t="s">
        <v>1766</v>
      </c>
      <c r="CD52" s="112" t="s">
        <v>1766</v>
      </c>
      <c r="CE52" s="112" t="s">
        <v>1766</v>
      </c>
      <c r="CF52" s="112" t="s">
        <v>1766</v>
      </c>
      <c r="CG52" s="112" t="s">
        <v>1766</v>
      </c>
      <c r="CH52" s="112" t="s">
        <v>1766</v>
      </c>
      <c r="CI52" s="112" t="s">
        <v>1766</v>
      </c>
      <c r="CJ52" s="112" t="s">
        <v>1766</v>
      </c>
      <c r="CK52" s="112" t="s">
        <v>1766</v>
      </c>
      <c r="CL52" s="112" t="s">
        <v>1766</v>
      </c>
      <c r="CM52" s="112" t="s">
        <v>1766</v>
      </c>
      <c r="CN52" s="112" t="s">
        <v>1766</v>
      </c>
      <c r="CO52" s="112" t="s">
        <v>1766</v>
      </c>
      <c r="CP52" s="112">
        <v>51</v>
      </c>
      <c r="CQ52" s="112" t="s">
        <v>1766</v>
      </c>
      <c r="CR52" s="112" t="s">
        <v>1766</v>
      </c>
      <c r="CS52" s="112">
        <v>6.6666666666666693E-2</v>
      </c>
      <c r="CT52" s="112" t="s">
        <v>1766</v>
      </c>
      <c r="CU52" s="112">
        <v>51</v>
      </c>
      <c r="CV52" s="112" t="e">
        <v>#N/A</v>
      </c>
      <c r="CW52" s="112" t="e">
        <v>#N/A</v>
      </c>
      <c r="CX52" s="112" t="e">
        <v>#N/A</v>
      </c>
    </row>
    <row r="53" spans="1:102">
      <c r="A53" s="106" t="s">
        <v>154</v>
      </c>
      <c r="B53" s="106">
        <v>22</v>
      </c>
      <c r="C53" s="106">
        <v>1</v>
      </c>
      <c r="D53" s="106">
        <v>1</v>
      </c>
      <c r="E53" s="106">
        <v>4</v>
      </c>
      <c r="F53" s="106">
        <v>4</v>
      </c>
      <c r="G53" s="106" t="s">
        <v>66</v>
      </c>
      <c r="I53" s="106">
        <v>201</v>
      </c>
      <c r="J53" s="106" t="s">
        <v>1766</v>
      </c>
      <c r="K53" s="106" t="s">
        <v>1318</v>
      </c>
      <c r="L53" s="106" t="s">
        <v>1342</v>
      </c>
      <c r="M53" s="106" t="s">
        <v>1341</v>
      </c>
      <c r="O53" s="106">
        <v>22</v>
      </c>
      <c r="T53" s="106" t="s">
        <v>1766</v>
      </c>
      <c r="V53" s="106">
        <v>4824220.2653315803</v>
      </c>
      <c r="W53" s="106">
        <v>1</v>
      </c>
      <c r="X53" s="106">
        <v>2</v>
      </c>
      <c r="Y53" s="106">
        <v>1</v>
      </c>
      <c r="Z53" s="106">
        <v>1</v>
      </c>
      <c r="AA53" s="106">
        <v>960000</v>
      </c>
      <c r="AB53" s="106">
        <v>1900000</v>
      </c>
      <c r="AC53" s="106">
        <v>960000</v>
      </c>
      <c r="AD53" s="106">
        <v>960000</v>
      </c>
      <c r="AE53" s="106">
        <v>4780000</v>
      </c>
      <c r="AF53" s="106">
        <v>19120000</v>
      </c>
      <c r="AG53" s="106">
        <v>19916.666666666701</v>
      </c>
      <c r="AH53" s="106">
        <v>90720</v>
      </c>
      <c r="AI53" s="106">
        <v>0.125</v>
      </c>
      <c r="AJ53" s="106">
        <v>10</v>
      </c>
      <c r="AK53" s="106">
        <v>907.2</v>
      </c>
      <c r="AL53" s="106">
        <v>9072</v>
      </c>
      <c r="AM53" s="106">
        <v>71268</v>
      </c>
      <c r="AN53" s="106">
        <v>285072</v>
      </c>
      <c r="AO53" s="106">
        <v>42492</v>
      </c>
      <c r="AP53" s="106" t="s">
        <v>144</v>
      </c>
      <c r="AQ53" s="106" t="s">
        <v>157</v>
      </c>
      <c r="AR53" s="106">
        <v>1200</v>
      </c>
      <c r="AS53" s="106">
        <v>22</v>
      </c>
      <c r="AT53" s="106">
        <v>88</v>
      </c>
      <c r="AX53" s="110"/>
      <c r="BY53" s="112" t="s">
        <v>1766</v>
      </c>
      <c r="BZ53" s="112" t="s">
        <v>1766</v>
      </c>
      <c r="CA53" s="112" t="s">
        <v>1766</v>
      </c>
      <c r="CB53" s="112" t="s">
        <v>1766</v>
      </c>
      <c r="CC53" s="112" t="s">
        <v>1766</v>
      </c>
      <c r="CD53" s="112" t="s">
        <v>1766</v>
      </c>
      <c r="CE53" s="112" t="s">
        <v>1766</v>
      </c>
      <c r="CF53" s="112" t="s">
        <v>1766</v>
      </c>
      <c r="CG53" s="112" t="s">
        <v>1766</v>
      </c>
      <c r="CH53" s="112" t="s">
        <v>1766</v>
      </c>
      <c r="CI53" s="112" t="s">
        <v>1766</v>
      </c>
      <c r="CJ53" s="112" t="s">
        <v>1766</v>
      </c>
      <c r="CK53" s="112" t="s">
        <v>1766</v>
      </c>
      <c r="CL53" s="112" t="s">
        <v>1766</v>
      </c>
      <c r="CM53" s="112" t="s">
        <v>1766</v>
      </c>
      <c r="CN53" s="112" t="s">
        <v>1766</v>
      </c>
      <c r="CO53" s="112" t="s">
        <v>1766</v>
      </c>
      <c r="CP53" s="112">
        <v>52</v>
      </c>
      <c r="CQ53" s="112" t="s">
        <v>1766</v>
      </c>
      <c r="CR53" s="112" t="s">
        <v>1766</v>
      </c>
      <c r="CS53" s="112">
        <v>6.25E-2</v>
      </c>
      <c r="CT53" s="112" t="s">
        <v>1766</v>
      </c>
      <c r="CU53" s="112">
        <v>52</v>
      </c>
      <c r="CV53" s="112" t="e">
        <v>#N/A</v>
      </c>
      <c r="CW53" s="112" t="e">
        <v>#N/A</v>
      </c>
      <c r="CX53" s="112" t="e">
        <v>#N/A</v>
      </c>
    </row>
    <row r="54" spans="1:102">
      <c r="A54" s="106" t="s">
        <v>154</v>
      </c>
      <c r="B54" s="106">
        <v>23</v>
      </c>
      <c r="C54" s="106">
        <v>1</v>
      </c>
      <c r="D54" s="106">
        <v>1</v>
      </c>
      <c r="E54" s="106">
        <v>4</v>
      </c>
      <c r="F54" s="106">
        <v>4</v>
      </c>
      <c r="G54" s="106" t="s">
        <v>66</v>
      </c>
      <c r="I54" s="106">
        <v>201</v>
      </c>
      <c r="J54" s="106" t="s">
        <v>1766</v>
      </c>
      <c r="K54" s="106" t="s">
        <v>1318</v>
      </c>
      <c r="L54" s="106" t="s">
        <v>1344</v>
      </c>
      <c r="M54" s="106" t="s">
        <v>1343</v>
      </c>
      <c r="O54" s="106">
        <v>23</v>
      </c>
      <c r="T54" s="106" t="s">
        <v>1766</v>
      </c>
      <c r="V54" s="106">
        <v>6175001.9396244297</v>
      </c>
      <c r="W54" s="106">
        <v>1</v>
      </c>
      <c r="X54" s="106">
        <v>2</v>
      </c>
      <c r="Y54" s="106">
        <v>1</v>
      </c>
      <c r="Z54" s="106">
        <v>1</v>
      </c>
      <c r="AA54" s="106">
        <v>1200000</v>
      </c>
      <c r="AB54" s="106">
        <v>2500000</v>
      </c>
      <c r="AC54" s="106">
        <v>1200000</v>
      </c>
      <c r="AD54" s="106">
        <v>1200000</v>
      </c>
      <c r="AE54" s="106">
        <v>6100000</v>
      </c>
      <c r="AF54" s="106">
        <v>24400000</v>
      </c>
      <c r="AG54" s="106">
        <v>25416.666666666701</v>
      </c>
      <c r="AH54" s="106">
        <v>116640</v>
      </c>
      <c r="AI54" s="106">
        <v>0.125</v>
      </c>
      <c r="AJ54" s="106">
        <v>11</v>
      </c>
      <c r="AK54" s="106">
        <v>1166.4000000000001</v>
      </c>
      <c r="AL54" s="106">
        <v>12830.4</v>
      </c>
      <c r="AM54" s="106">
        <v>90549</v>
      </c>
      <c r="AN54" s="106">
        <v>362196</v>
      </c>
      <c r="AO54" s="106">
        <v>54842</v>
      </c>
      <c r="AP54" s="106" t="s">
        <v>144</v>
      </c>
      <c r="AQ54" s="106" t="s">
        <v>157</v>
      </c>
      <c r="AR54" s="106">
        <v>1200</v>
      </c>
      <c r="AS54" s="106">
        <v>23</v>
      </c>
      <c r="AT54" s="106">
        <v>92</v>
      </c>
      <c r="AX54" s="110"/>
      <c r="BY54" s="112" t="s">
        <v>1766</v>
      </c>
      <c r="BZ54" s="112" t="s">
        <v>1766</v>
      </c>
      <c r="CA54" s="112" t="s">
        <v>1766</v>
      </c>
      <c r="CB54" s="112" t="s">
        <v>1766</v>
      </c>
      <c r="CC54" s="112" t="s">
        <v>1766</v>
      </c>
      <c r="CD54" s="112" t="s">
        <v>1766</v>
      </c>
      <c r="CE54" s="112" t="s">
        <v>1766</v>
      </c>
      <c r="CF54" s="112" t="s">
        <v>1766</v>
      </c>
      <c r="CG54" s="112" t="s">
        <v>1766</v>
      </c>
      <c r="CH54" s="112" t="s">
        <v>1766</v>
      </c>
      <c r="CI54" s="112" t="s">
        <v>1766</v>
      </c>
      <c r="CJ54" s="112" t="s">
        <v>1766</v>
      </c>
      <c r="CK54" s="112" t="s">
        <v>1766</v>
      </c>
      <c r="CL54" s="112" t="s">
        <v>1766</v>
      </c>
      <c r="CM54" s="112" t="s">
        <v>1766</v>
      </c>
      <c r="CN54" s="112" t="s">
        <v>1766</v>
      </c>
      <c r="CO54" s="112" t="s">
        <v>1766</v>
      </c>
      <c r="CP54" s="112">
        <v>53</v>
      </c>
      <c r="CQ54" s="112" t="s">
        <v>1766</v>
      </c>
      <c r="CR54" s="112" t="s">
        <v>1766</v>
      </c>
      <c r="CS54" s="112">
        <v>5.8823529411764698E-2</v>
      </c>
      <c r="CT54" s="112" t="s">
        <v>1766</v>
      </c>
      <c r="CU54" s="112">
        <v>53</v>
      </c>
      <c r="CV54" s="112" t="e">
        <v>#N/A</v>
      </c>
      <c r="CW54" s="112" t="e">
        <v>#N/A</v>
      </c>
      <c r="CX54" s="112" t="e">
        <v>#N/A</v>
      </c>
    </row>
    <row r="55" spans="1:102">
      <c r="A55" s="106" t="s">
        <v>154</v>
      </c>
      <c r="B55" s="106">
        <v>24</v>
      </c>
      <c r="C55" s="106">
        <v>1</v>
      </c>
      <c r="D55" s="106">
        <v>1</v>
      </c>
      <c r="E55" s="106">
        <v>4</v>
      </c>
      <c r="F55" s="106">
        <v>4</v>
      </c>
      <c r="G55" s="106" t="s">
        <v>66</v>
      </c>
      <c r="I55" s="106">
        <v>201</v>
      </c>
      <c r="J55" s="106" t="s">
        <v>1766</v>
      </c>
      <c r="K55" s="106" t="s">
        <v>1318</v>
      </c>
      <c r="L55" s="106" t="s">
        <v>1346</v>
      </c>
      <c r="M55" s="106" t="s">
        <v>1345</v>
      </c>
      <c r="O55" s="106">
        <v>24</v>
      </c>
      <c r="T55" s="106" t="s">
        <v>1766</v>
      </c>
      <c r="V55" s="106">
        <v>7904002.4827192696</v>
      </c>
      <c r="W55" s="106">
        <v>1</v>
      </c>
      <c r="X55" s="106">
        <v>2</v>
      </c>
      <c r="Y55" s="106">
        <v>1</v>
      </c>
      <c r="Z55" s="106">
        <v>1</v>
      </c>
      <c r="AA55" s="106">
        <v>1600000</v>
      </c>
      <c r="AB55" s="106">
        <v>3200000</v>
      </c>
      <c r="AC55" s="106">
        <v>1600000</v>
      </c>
      <c r="AD55" s="106">
        <v>1600000</v>
      </c>
      <c r="AE55" s="106">
        <v>8000000</v>
      </c>
      <c r="AF55" s="106">
        <v>32000000</v>
      </c>
      <c r="AG55" s="106">
        <v>33333.333333333299</v>
      </c>
      <c r="AH55" s="106">
        <v>149040</v>
      </c>
      <c r="AI55" s="106">
        <v>0.125</v>
      </c>
      <c r="AJ55" s="106">
        <v>12</v>
      </c>
      <c r="AK55" s="106">
        <v>1490.4</v>
      </c>
      <c r="AL55" s="106">
        <v>17884.8</v>
      </c>
      <c r="AM55" s="106">
        <v>114295</v>
      </c>
      <c r="AN55" s="106">
        <v>457180</v>
      </c>
      <c r="AO55" s="106">
        <v>70650</v>
      </c>
      <c r="AP55" s="106" t="s">
        <v>144</v>
      </c>
      <c r="AQ55" s="106" t="s">
        <v>157</v>
      </c>
      <c r="AR55" s="106">
        <v>1200</v>
      </c>
      <c r="AS55" s="106">
        <v>24</v>
      </c>
      <c r="AT55" s="106">
        <v>96</v>
      </c>
      <c r="AX55" s="110"/>
      <c r="BY55" s="112" t="s">
        <v>1766</v>
      </c>
      <c r="BZ55" s="112" t="s">
        <v>1766</v>
      </c>
      <c r="CA55" s="112" t="s">
        <v>1766</v>
      </c>
      <c r="CB55" s="112" t="s">
        <v>1766</v>
      </c>
      <c r="CC55" s="112" t="s">
        <v>1766</v>
      </c>
      <c r="CD55" s="112" t="s">
        <v>1766</v>
      </c>
      <c r="CE55" s="112" t="s">
        <v>1766</v>
      </c>
      <c r="CF55" s="112" t="s">
        <v>1766</v>
      </c>
      <c r="CG55" s="112" t="s">
        <v>1766</v>
      </c>
      <c r="CH55" s="112" t="s">
        <v>1766</v>
      </c>
      <c r="CI55" s="112" t="s">
        <v>1766</v>
      </c>
      <c r="CJ55" s="112" t="s">
        <v>1766</v>
      </c>
      <c r="CK55" s="112" t="s">
        <v>1766</v>
      </c>
      <c r="CL55" s="112" t="s">
        <v>1766</v>
      </c>
      <c r="CM55" s="112" t="s">
        <v>1766</v>
      </c>
      <c r="CN55" s="112" t="s">
        <v>1766</v>
      </c>
      <c r="CO55" s="112" t="s">
        <v>1766</v>
      </c>
      <c r="CP55" s="112">
        <v>54</v>
      </c>
      <c r="CQ55" s="112" t="s">
        <v>1766</v>
      </c>
      <c r="CR55" s="112" t="s">
        <v>1766</v>
      </c>
      <c r="CS55" s="112">
        <v>5.5555555555555601E-2</v>
      </c>
      <c r="CT55" s="112" t="s">
        <v>1766</v>
      </c>
      <c r="CU55" s="112">
        <v>54</v>
      </c>
      <c r="CV55" s="112" t="e">
        <v>#N/A</v>
      </c>
      <c r="CW55" s="112" t="e">
        <v>#N/A</v>
      </c>
      <c r="CX55" s="112" t="e">
        <v>#N/A</v>
      </c>
    </row>
    <row r="56" spans="1:102">
      <c r="A56" s="106" t="s">
        <v>154</v>
      </c>
      <c r="B56" s="106">
        <v>25</v>
      </c>
      <c r="C56" s="106">
        <v>1</v>
      </c>
      <c r="D56" s="106">
        <v>1</v>
      </c>
      <c r="E56" s="106">
        <v>4</v>
      </c>
      <c r="F56" s="106">
        <v>4</v>
      </c>
      <c r="G56" s="106" t="s">
        <v>66</v>
      </c>
      <c r="I56" s="106">
        <v>201</v>
      </c>
      <c r="J56" s="106" t="s">
        <v>1766</v>
      </c>
      <c r="K56" s="106" t="s">
        <v>1318</v>
      </c>
      <c r="L56" s="106" t="s">
        <v>1348</v>
      </c>
      <c r="M56" s="106" t="s">
        <v>1347</v>
      </c>
      <c r="O56" s="106">
        <v>25</v>
      </c>
      <c r="T56" s="106" t="s">
        <v>1766</v>
      </c>
      <c r="V56" s="106">
        <v>10117123.177880701</v>
      </c>
      <c r="W56" s="106">
        <v>1</v>
      </c>
      <c r="X56" s="106">
        <v>2</v>
      </c>
      <c r="Y56" s="106">
        <v>1</v>
      </c>
      <c r="Z56" s="106">
        <v>1</v>
      </c>
      <c r="AA56" s="106">
        <v>2000000</v>
      </c>
      <c r="AB56" s="106">
        <v>4000000</v>
      </c>
      <c r="AC56" s="106">
        <v>2000000</v>
      </c>
      <c r="AD56" s="106">
        <v>2000000</v>
      </c>
      <c r="AE56" s="106">
        <v>10000000</v>
      </c>
      <c r="AF56" s="106">
        <v>40000000</v>
      </c>
      <c r="AG56" s="106">
        <v>41666.666666666701</v>
      </c>
      <c r="AH56" s="106">
        <v>187920</v>
      </c>
      <c r="AI56" s="106">
        <v>0.125</v>
      </c>
      <c r="AJ56" s="106">
        <v>13</v>
      </c>
      <c r="AK56" s="106">
        <v>1879.2</v>
      </c>
      <c r="AL56" s="106">
        <v>24429.599999999999</v>
      </c>
      <c r="AM56" s="106">
        <v>142310</v>
      </c>
      <c r="AN56" s="106">
        <v>569240</v>
      </c>
      <c r="AO56" s="106">
        <v>90884</v>
      </c>
      <c r="AP56" s="106" t="s">
        <v>144</v>
      </c>
      <c r="AQ56" s="106" t="s">
        <v>157</v>
      </c>
      <c r="AR56" s="106">
        <v>1200</v>
      </c>
      <c r="AS56" s="106">
        <v>25</v>
      </c>
      <c r="AT56" s="106">
        <v>100</v>
      </c>
      <c r="AX56" s="110"/>
      <c r="BY56" s="112" t="s">
        <v>1766</v>
      </c>
      <c r="BZ56" s="112" t="s">
        <v>1766</v>
      </c>
      <c r="CA56" s="112" t="s">
        <v>1766</v>
      </c>
      <c r="CB56" s="112" t="s">
        <v>1766</v>
      </c>
      <c r="CC56" s="112" t="s">
        <v>1766</v>
      </c>
      <c r="CD56" s="112" t="s">
        <v>1766</v>
      </c>
      <c r="CE56" s="112" t="s">
        <v>1766</v>
      </c>
      <c r="CF56" s="112" t="s">
        <v>1766</v>
      </c>
      <c r="CG56" s="112" t="s">
        <v>1766</v>
      </c>
      <c r="CH56" s="112" t="s">
        <v>1766</v>
      </c>
      <c r="CI56" s="112" t="s">
        <v>1766</v>
      </c>
      <c r="CJ56" s="112" t="s">
        <v>1766</v>
      </c>
      <c r="CK56" s="112" t="s">
        <v>1766</v>
      </c>
      <c r="CL56" s="112" t="s">
        <v>1766</v>
      </c>
      <c r="CM56" s="112" t="s">
        <v>1766</v>
      </c>
      <c r="CN56" s="112" t="s">
        <v>1766</v>
      </c>
      <c r="CO56" s="112" t="s">
        <v>1766</v>
      </c>
      <c r="CP56" s="112">
        <v>55</v>
      </c>
      <c r="CQ56" s="112" t="s">
        <v>1766</v>
      </c>
      <c r="CR56" s="112" t="s">
        <v>1766</v>
      </c>
      <c r="CS56" s="112">
        <v>5.2631578947368397E-2</v>
      </c>
      <c r="CT56" s="112" t="s">
        <v>1766</v>
      </c>
      <c r="CU56" s="112">
        <v>55</v>
      </c>
      <c r="CV56" s="112" t="e">
        <v>#N/A</v>
      </c>
      <c r="CW56" s="112" t="e">
        <v>#N/A</v>
      </c>
      <c r="CX56" s="112" t="e">
        <v>#N/A</v>
      </c>
    </row>
    <row r="57" spans="1:102">
      <c r="A57" s="106" t="s">
        <v>154</v>
      </c>
      <c r="B57" s="106">
        <v>26</v>
      </c>
      <c r="C57" s="106">
        <v>1</v>
      </c>
      <c r="D57" s="106">
        <v>1</v>
      </c>
      <c r="E57" s="106">
        <v>4</v>
      </c>
      <c r="F57" s="106">
        <v>4</v>
      </c>
      <c r="G57" s="106" t="s">
        <v>66</v>
      </c>
      <c r="I57" s="106">
        <v>201</v>
      </c>
      <c r="J57" s="106" t="s">
        <v>1766</v>
      </c>
      <c r="K57" s="106" t="s">
        <v>1318</v>
      </c>
      <c r="L57" s="106" t="s">
        <v>1350</v>
      </c>
      <c r="M57" s="106" t="s">
        <v>1349</v>
      </c>
      <c r="O57" s="106">
        <v>26</v>
      </c>
      <c r="T57" s="106" t="s">
        <v>1766</v>
      </c>
      <c r="V57" s="106">
        <v>12949917.6676872</v>
      </c>
      <c r="W57" s="106">
        <v>1</v>
      </c>
      <c r="X57" s="106">
        <v>2</v>
      </c>
      <c r="Y57" s="106">
        <v>1</v>
      </c>
      <c r="Z57" s="106">
        <v>1</v>
      </c>
      <c r="AA57" s="106">
        <v>2600000</v>
      </c>
      <c r="AB57" s="106">
        <v>5200000</v>
      </c>
      <c r="AC57" s="106">
        <v>2600000</v>
      </c>
      <c r="AD57" s="106">
        <v>2600000</v>
      </c>
      <c r="AE57" s="106">
        <v>13000000</v>
      </c>
      <c r="AF57" s="106">
        <v>52000000</v>
      </c>
      <c r="AG57" s="106">
        <v>27083.333333333299</v>
      </c>
      <c r="AH57" s="106">
        <v>233280</v>
      </c>
      <c r="AI57" s="106">
        <v>0.14499999999999999</v>
      </c>
      <c r="AJ57" s="106">
        <v>14</v>
      </c>
      <c r="AK57" s="106">
        <v>2332.8000000000002</v>
      </c>
      <c r="AL57" s="106">
        <v>32659.200000000001</v>
      </c>
      <c r="AM57" s="106">
        <v>170778</v>
      </c>
      <c r="AN57" s="106">
        <v>683112</v>
      </c>
      <c r="AO57" s="106">
        <v>116784</v>
      </c>
      <c r="AP57" s="106" t="s">
        <v>144</v>
      </c>
      <c r="AQ57" s="106" t="s">
        <v>157</v>
      </c>
      <c r="AR57" s="106">
        <v>1200</v>
      </c>
      <c r="AS57" s="106">
        <v>27</v>
      </c>
      <c r="AT57" s="106">
        <v>108</v>
      </c>
      <c r="AX57" s="110"/>
      <c r="BY57" s="112" t="s">
        <v>1766</v>
      </c>
      <c r="BZ57" s="112" t="s">
        <v>1766</v>
      </c>
      <c r="CA57" s="112" t="s">
        <v>1766</v>
      </c>
      <c r="CB57" s="112" t="s">
        <v>1766</v>
      </c>
      <c r="CC57" s="112" t="s">
        <v>1766</v>
      </c>
      <c r="CD57" s="112" t="s">
        <v>1766</v>
      </c>
      <c r="CE57" s="112" t="s">
        <v>1766</v>
      </c>
      <c r="CF57" s="112" t="s">
        <v>1766</v>
      </c>
      <c r="CG57" s="112" t="s">
        <v>1766</v>
      </c>
      <c r="CH57" s="112" t="s">
        <v>1766</v>
      </c>
      <c r="CI57" s="112" t="s">
        <v>1766</v>
      </c>
      <c r="CJ57" s="112" t="s">
        <v>1766</v>
      </c>
      <c r="CK57" s="112" t="s">
        <v>1766</v>
      </c>
      <c r="CL57" s="112" t="s">
        <v>1766</v>
      </c>
      <c r="CM57" s="112" t="s">
        <v>1766</v>
      </c>
      <c r="CN57" s="112" t="s">
        <v>1766</v>
      </c>
      <c r="CO57" s="112" t="s">
        <v>1766</v>
      </c>
      <c r="CP57" s="112">
        <v>56</v>
      </c>
      <c r="CQ57" s="112" t="s">
        <v>1766</v>
      </c>
      <c r="CR57" s="112" t="s">
        <v>1766</v>
      </c>
      <c r="CS57" s="112">
        <v>0.05</v>
      </c>
      <c r="CT57" s="112" t="s">
        <v>1766</v>
      </c>
      <c r="CU57" s="112">
        <v>56</v>
      </c>
      <c r="CV57" s="112" t="e">
        <v>#N/A</v>
      </c>
      <c r="CW57" s="112" t="e">
        <v>#N/A</v>
      </c>
      <c r="CX57" s="112" t="e">
        <v>#N/A</v>
      </c>
    </row>
    <row r="58" spans="1:102">
      <c r="A58" s="106" t="s">
        <v>154</v>
      </c>
      <c r="B58" s="106">
        <v>27</v>
      </c>
      <c r="C58" s="106">
        <v>1</v>
      </c>
      <c r="D58" s="106">
        <v>1</v>
      </c>
      <c r="E58" s="106">
        <v>4</v>
      </c>
      <c r="F58" s="106">
        <v>4</v>
      </c>
      <c r="G58" s="106" t="s">
        <v>66</v>
      </c>
      <c r="I58" s="106">
        <v>201</v>
      </c>
      <c r="J58" s="106" t="s">
        <v>1766</v>
      </c>
      <c r="K58" s="106" t="s">
        <v>1318</v>
      </c>
      <c r="L58" s="106" t="s">
        <v>1352</v>
      </c>
      <c r="M58" s="106" t="s">
        <v>1351</v>
      </c>
      <c r="O58" s="106">
        <v>27</v>
      </c>
      <c r="T58" s="106" t="s">
        <v>1766</v>
      </c>
      <c r="V58" s="106">
        <v>16575894.614639699</v>
      </c>
      <c r="W58" s="106">
        <v>1</v>
      </c>
      <c r="X58" s="106">
        <v>2</v>
      </c>
      <c r="Y58" s="106">
        <v>1</v>
      </c>
      <c r="Z58" s="106">
        <v>1</v>
      </c>
      <c r="AA58" s="106">
        <v>3300000</v>
      </c>
      <c r="AB58" s="106">
        <v>6600000</v>
      </c>
      <c r="AC58" s="106">
        <v>3300000</v>
      </c>
      <c r="AD58" s="106">
        <v>3300000</v>
      </c>
      <c r="AE58" s="106">
        <v>16500000</v>
      </c>
      <c r="AF58" s="106">
        <v>66000000</v>
      </c>
      <c r="AG58" s="106">
        <v>34375</v>
      </c>
      <c r="AH58" s="106">
        <v>285120</v>
      </c>
      <c r="AI58" s="106">
        <v>0.16500000000000001</v>
      </c>
      <c r="AJ58" s="106">
        <v>15</v>
      </c>
      <c r="AK58" s="106">
        <v>2851.2</v>
      </c>
      <c r="AL58" s="106">
        <v>42768</v>
      </c>
      <c r="AM58" s="106">
        <v>201670</v>
      </c>
      <c r="AN58" s="106">
        <v>806680</v>
      </c>
      <c r="AO58" s="106">
        <v>149935</v>
      </c>
      <c r="AP58" s="106" t="s">
        <v>144</v>
      </c>
      <c r="AQ58" s="106" t="s">
        <v>157</v>
      </c>
      <c r="AR58" s="106">
        <v>1200</v>
      </c>
      <c r="AS58" s="106">
        <v>29</v>
      </c>
      <c r="AT58" s="106">
        <v>116</v>
      </c>
      <c r="AX58" s="110"/>
      <c r="BY58" s="112" t="s">
        <v>1766</v>
      </c>
      <c r="BZ58" s="112" t="s">
        <v>1766</v>
      </c>
      <c r="CA58" s="112" t="s">
        <v>1766</v>
      </c>
      <c r="CB58" s="112" t="s">
        <v>1766</v>
      </c>
      <c r="CC58" s="112" t="s">
        <v>1766</v>
      </c>
      <c r="CD58" s="112" t="s">
        <v>1766</v>
      </c>
      <c r="CE58" s="112" t="s">
        <v>1766</v>
      </c>
      <c r="CF58" s="112" t="s">
        <v>1766</v>
      </c>
      <c r="CG58" s="112" t="s">
        <v>1766</v>
      </c>
      <c r="CH58" s="112" t="s">
        <v>1766</v>
      </c>
      <c r="CI58" s="112" t="s">
        <v>1766</v>
      </c>
      <c r="CJ58" s="112" t="s">
        <v>1766</v>
      </c>
      <c r="CK58" s="112" t="s">
        <v>1766</v>
      </c>
      <c r="CL58" s="112" t="s">
        <v>1766</v>
      </c>
      <c r="CM58" s="112" t="s">
        <v>1766</v>
      </c>
      <c r="CN58" s="112" t="s">
        <v>1766</v>
      </c>
      <c r="CO58" s="112" t="s">
        <v>1766</v>
      </c>
      <c r="CP58" s="112">
        <v>57</v>
      </c>
      <c r="CQ58" s="112" t="s">
        <v>1766</v>
      </c>
      <c r="CR58" s="112" t="s">
        <v>1766</v>
      </c>
      <c r="CS58" s="112">
        <v>4.7619047619047603E-2</v>
      </c>
      <c r="CT58" s="112" t="s">
        <v>1766</v>
      </c>
      <c r="CU58" s="112">
        <v>57</v>
      </c>
      <c r="CV58" s="112" t="e">
        <v>#N/A</v>
      </c>
      <c r="CW58" s="112" t="e">
        <v>#N/A</v>
      </c>
      <c r="CX58" s="112" t="e">
        <v>#N/A</v>
      </c>
    </row>
    <row r="59" spans="1:102">
      <c r="A59" s="106" t="s">
        <v>154</v>
      </c>
      <c r="B59" s="106">
        <v>28</v>
      </c>
      <c r="C59" s="106">
        <v>1</v>
      </c>
      <c r="D59" s="106">
        <v>1</v>
      </c>
      <c r="E59" s="106">
        <v>4</v>
      </c>
      <c r="F59" s="106">
        <v>4</v>
      </c>
      <c r="G59" s="106" t="s">
        <v>66</v>
      </c>
      <c r="I59" s="106">
        <v>201</v>
      </c>
      <c r="J59" s="106" t="s">
        <v>1766</v>
      </c>
      <c r="K59" s="106" t="s">
        <v>1318</v>
      </c>
      <c r="L59" s="106" t="s">
        <v>1354</v>
      </c>
      <c r="M59" s="106" t="s">
        <v>1353</v>
      </c>
      <c r="O59" s="106">
        <v>28</v>
      </c>
      <c r="T59" s="106" t="s">
        <v>1766</v>
      </c>
      <c r="V59" s="106">
        <v>21217145.106738798</v>
      </c>
      <c r="W59" s="106">
        <v>1</v>
      </c>
      <c r="X59" s="106">
        <v>2</v>
      </c>
      <c r="Y59" s="106">
        <v>1</v>
      </c>
      <c r="Z59" s="106">
        <v>1</v>
      </c>
      <c r="AA59" s="106">
        <v>4200000</v>
      </c>
      <c r="AB59" s="106">
        <v>8500000</v>
      </c>
      <c r="AC59" s="106">
        <v>4200000</v>
      </c>
      <c r="AD59" s="106">
        <v>4200000</v>
      </c>
      <c r="AE59" s="106">
        <v>21100000</v>
      </c>
      <c r="AF59" s="106">
        <v>84400000</v>
      </c>
      <c r="AG59" s="106">
        <v>43958.333333333299</v>
      </c>
      <c r="AH59" s="106">
        <v>349920</v>
      </c>
      <c r="AI59" s="106">
        <v>0.185</v>
      </c>
      <c r="AJ59" s="106">
        <v>16</v>
      </c>
      <c r="AK59" s="106">
        <v>3499.2</v>
      </c>
      <c r="AL59" s="106">
        <v>55987.199999999997</v>
      </c>
      <c r="AM59" s="106">
        <v>239003</v>
      </c>
      <c r="AN59" s="106">
        <v>956012</v>
      </c>
      <c r="AO59" s="106">
        <v>192370</v>
      </c>
      <c r="AP59" s="106" t="s">
        <v>144</v>
      </c>
      <c r="AQ59" s="106" t="s">
        <v>157</v>
      </c>
      <c r="AR59" s="106">
        <v>1200</v>
      </c>
      <c r="AS59" s="106">
        <v>31</v>
      </c>
      <c r="AT59" s="106">
        <v>124</v>
      </c>
      <c r="AX59" s="110"/>
      <c r="BY59" s="112" t="s">
        <v>1766</v>
      </c>
      <c r="BZ59" s="112" t="s">
        <v>1766</v>
      </c>
      <c r="CA59" s="112" t="s">
        <v>1766</v>
      </c>
      <c r="CB59" s="112" t="s">
        <v>1766</v>
      </c>
      <c r="CC59" s="112" t="s">
        <v>1766</v>
      </c>
      <c r="CD59" s="112" t="s">
        <v>1766</v>
      </c>
      <c r="CE59" s="112" t="s">
        <v>1766</v>
      </c>
      <c r="CF59" s="112" t="s">
        <v>1766</v>
      </c>
      <c r="CG59" s="112" t="s">
        <v>1766</v>
      </c>
      <c r="CH59" s="112" t="s">
        <v>1766</v>
      </c>
      <c r="CI59" s="112" t="s">
        <v>1766</v>
      </c>
      <c r="CJ59" s="112" t="s">
        <v>1766</v>
      </c>
      <c r="CK59" s="112" t="s">
        <v>1766</v>
      </c>
      <c r="CL59" s="112" t="s">
        <v>1766</v>
      </c>
      <c r="CM59" s="112" t="s">
        <v>1766</v>
      </c>
      <c r="CN59" s="112" t="s">
        <v>1766</v>
      </c>
      <c r="CO59" s="112" t="s">
        <v>1766</v>
      </c>
      <c r="CP59" s="112">
        <v>58</v>
      </c>
      <c r="CQ59" s="112" t="s">
        <v>1766</v>
      </c>
      <c r="CR59" s="112" t="s">
        <v>1766</v>
      </c>
      <c r="CS59" s="112">
        <v>4.5454545454545497E-2</v>
      </c>
      <c r="CT59" s="112" t="s">
        <v>1766</v>
      </c>
      <c r="CU59" s="112">
        <v>58</v>
      </c>
      <c r="CV59" s="112" t="e">
        <v>#N/A</v>
      </c>
      <c r="CW59" s="112" t="e">
        <v>#N/A</v>
      </c>
      <c r="CX59" s="112" t="e">
        <v>#N/A</v>
      </c>
    </row>
    <row r="60" spans="1:102">
      <c r="A60" s="106" t="s">
        <v>154</v>
      </c>
      <c r="B60" s="106">
        <v>29</v>
      </c>
      <c r="C60" s="106">
        <v>1</v>
      </c>
      <c r="D60" s="106">
        <v>1</v>
      </c>
      <c r="E60" s="106">
        <v>4</v>
      </c>
      <c r="F60" s="106">
        <v>4</v>
      </c>
      <c r="G60" s="106" t="s">
        <v>66</v>
      </c>
      <c r="I60" s="106">
        <v>201</v>
      </c>
      <c r="J60" s="106" t="s">
        <v>1766</v>
      </c>
      <c r="K60" s="106" t="s">
        <v>1318</v>
      </c>
      <c r="L60" s="106" t="s">
        <v>1356</v>
      </c>
      <c r="M60" s="106" t="s">
        <v>1355</v>
      </c>
      <c r="O60" s="106">
        <v>29</v>
      </c>
      <c r="T60" s="106" t="s">
        <v>1766</v>
      </c>
      <c r="V60" s="106">
        <v>27157945.736625601</v>
      </c>
      <c r="W60" s="106">
        <v>1</v>
      </c>
      <c r="X60" s="106">
        <v>2</v>
      </c>
      <c r="Y60" s="106">
        <v>1</v>
      </c>
      <c r="Z60" s="106">
        <v>1</v>
      </c>
      <c r="AA60" s="106">
        <v>5400000</v>
      </c>
      <c r="AB60" s="106">
        <v>11000000</v>
      </c>
      <c r="AC60" s="106">
        <v>5400000</v>
      </c>
      <c r="AD60" s="106">
        <v>5400000</v>
      </c>
      <c r="AE60" s="106">
        <v>27200000</v>
      </c>
      <c r="AF60" s="106">
        <v>108800000</v>
      </c>
      <c r="AG60" s="106">
        <v>56666.666666666701</v>
      </c>
      <c r="AH60" s="106">
        <v>427680</v>
      </c>
      <c r="AI60" s="106">
        <v>0.20499999999999999</v>
      </c>
      <c r="AJ60" s="106">
        <v>17</v>
      </c>
      <c r="AK60" s="106">
        <v>4276.8</v>
      </c>
      <c r="AL60" s="106">
        <v>72705.600000000006</v>
      </c>
      <c r="AM60" s="106">
        <v>281915</v>
      </c>
      <c r="AN60" s="106">
        <v>1127660</v>
      </c>
      <c r="AO60" s="106">
        <v>246686</v>
      </c>
      <c r="AP60" s="106" t="s">
        <v>144</v>
      </c>
      <c r="AQ60" s="106" t="s">
        <v>157</v>
      </c>
      <c r="AR60" s="106">
        <v>1200</v>
      </c>
      <c r="AS60" s="106">
        <v>33</v>
      </c>
      <c r="AT60" s="106">
        <v>132</v>
      </c>
      <c r="AX60" s="110"/>
      <c r="BY60" s="112" t="s">
        <v>1766</v>
      </c>
      <c r="BZ60" s="112" t="s">
        <v>1766</v>
      </c>
      <c r="CA60" s="112" t="s">
        <v>1766</v>
      </c>
      <c r="CB60" s="112" t="s">
        <v>1766</v>
      </c>
      <c r="CC60" s="112" t="s">
        <v>1766</v>
      </c>
      <c r="CD60" s="112" t="s">
        <v>1766</v>
      </c>
      <c r="CE60" s="112" t="s">
        <v>1766</v>
      </c>
      <c r="CF60" s="112" t="s">
        <v>1766</v>
      </c>
      <c r="CG60" s="112" t="s">
        <v>1766</v>
      </c>
      <c r="CH60" s="112" t="s">
        <v>1766</v>
      </c>
      <c r="CI60" s="112" t="s">
        <v>1766</v>
      </c>
      <c r="CJ60" s="112" t="s">
        <v>1766</v>
      </c>
      <c r="CK60" s="112" t="s">
        <v>1766</v>
      </c>
      <c r="CL60" s="112" t="s">
        <v>1766</v>
      </c>
      <c r="CM60" s="112" t="s">
        <v>1766</v>
      </c>
      <c r="CN60" s="112" t="s">
        <v>1766</v>
      </c>
      <c r="CO60" s="112" t="s">
        <v>1766</v>
      </c>
      <c r="CP60" s="112">
        <v>59</v>
      </c>
      <c r="CQ60" s="112" t="s">
        <v>1766</v>
      </c>
      <c r="CR60" s="112" t="s">
        <v>1766</v>
      </c>
      <c r="CS60" s="112">
        <v>4.3478260869565202E-2</v>
      </c>
      <c r="CT60" s="112" t="s">
        <v>1766</v>
      </c>
      <c r="CU60" s="112">
        <v>59</v>
      </c>
      <c r="CV60" s="112" t="e">
        <v>#N/A</v>
      </c>
      <c r="CW60" s="112" t="e">
        <v>#N/A</v>
      </c>
      <c r="CX60" s="112" t="e">
        <v>#N/A</v>
      </c>
    </row>
    <row r="61" spans="1:102">
      <c r="A61" s="106" t="s">
        <v>154</v>
      </c>
      <c r="B61" s="106">
        <v>30</v>
      </c>
      <c r="C61" s="106">
        <v>1</v>
      </c>
      <c r="D61" s="106">
        <v>1</v>
      </c>
      <c r="E61" s="106">
        <v>4</v>
      </c>
      <c r="F61" s="106">
        <v>4</v>
      </c>
      <c r="G61" s="106" t="s">
        <v>66</v>
      </c>
      <c r="I61" s="106">
        <v>201</v>
      </c>
      <c r="J61" s="106" t="s">
        <v>1766</v>
      </c>
      <c r="K61" s="106" t="s">
        <v>1318</v>
      </c>
      <c r="L61" s="106" t="s">
        <v>1358</v>
      </c>
      <c r="M61" s="106" t="s">
        <v>1357</v>
      </c>
      <c r="O61" s="106">
        <v>30</v>
      </c>
      <c r="T61" s="106" t="s">
        <v>1766</v>
      </c>
      <c r="V61" s="106">
        <v>34762170.542880803</v>
      </c>
      <c r="W61" s="106">
        <v>1</v>
      </c>
      <c r="X61" s="106">
        <v>2</v>
      </c>
      <c r="Y61" s="106">
        <v>1</v>
      </c>
      <c r="Z61" s="106">
        <v>1</v>
      </c>
      <c r="AA61" s="106">
        <v>7000000</v>
      </c>
      <c r="AB61" s="106">
        <v>14000000</v>
      </c>
      <c r="AC61" s="106">
        <v>7000000</v>
      </c>
      <c r="AD61" s="106">
        <v>7000000</v>
      </c>
      <c r="AE61" s="106">
        <v>35000000</v>
      </c>
      <c r="AF61" s="106">
        <v>140000000</v>
      </c>
      <c r="AG61" s="106">
        <v>72916.666666666701</v>
      </c>
      <c r="AH61" s="106">
        <v>518400</v>
      </c>
      <c r="AI61" s="106">
        <v>0.22500000000000001</v>
      </c>
      <c r="AJ61" s="106">
        <v>18</v>
      </c>
      <c r="AK61" s="106">
        <v>5184</v>
      </c>
      <c r="AL61" s="106">
        <v>93312</v>
      </c>
      <c r="AM61" s="106">
        <v>329571</v>
      </c>
      <c r="AN61" s="106">
        <v>1318284</v>
      </c>
      <c r="AO61" s="106">
        <v>316210</v>
      </c>
      <c r="AP61" s="106" t="s">
        <v>144</v>
      </c>
      <c r="AQ61" s="106" t="s">
        <v>157</v>
      </c>
      <c r="AR61" s="106">
        <v>1200</v>
      </c>
      <c r="AS61" s="106">
        <v>35</v>
      </c>
      <c r="AT61" s="106">
        <v>140</v>
      </c>
      <c r="AX61" s="110"/>
      <c r="BY61" s="112" t="s">
        <v>1766</v>
      </c>
      <c r="BZ61" s="112" t="s">
        <v>1766</v>
      </c>
      <c r="CA61" s="112" t="s">
        <v>1766</v>
      </c>
      <c r="CB61" s="112" t="s">
        <v>1766</v>
      </c>
      <c r="CC61" s="112" t="s">
        <v>1766</v>
      </c>
      <c r="CD61" s="112" t="s">
        <v>1766</v>
      </c>
      <c r="CE61" s="112" t="s">
        <v>1766</v>
      </c>
      <c r="CF61" s="112" t="s">
        <v>1766</v>
      </c>
      <c r="CG61" s="112" t="s">
        <v>1766</v>
      </c>
      <c r="CH61" s="112" t="s">
        <v>1766</v>
      </c>
      <c r="CI61" s="112" t="s">
        <v>1766</v>
      </c>
      <c r="CJ61" s="112" t="s">
        <v>1766</v>
      </c>
      <c r="CK61" s="112" t="s">
        <v>1766</v>
      </c>
      <c r="CL61" s="112" t="s">
        <v>1766</v>
      </c>
      <c r="CM61" s="112" t="s">
        <v>1766</v>
      </c>
      <c r="CN61" s="112" t="s">
        <v>1766</v>
      </c>
      <c r="CO61" s="112" t="s">
        <v>1766</v>
      </c>
      <c r="CP61" s="112">
        <v>60</v>
      </c>
      <c r="CQ61" s="112" t="s">
        <v>1766</v>
      </c>
      <c r="CR61" s="112" t="s">
        <v>1766</v>
      </c>
      <c r="CS61" s="112">
        <v>4.1666666666666699E-2</v>
      </c>
      <c r="CT61" s="112" t="s">
        <v>1766</v>
      </c>
      <c r="CU61" s="112">
        <v>60</v>
      </c>
      <c r="CV61" s="112" t="e">
        <v>#N/A</v>
      </c>
      <c r="CW61" s="112" t="e">
        <v>#N/A</v>
      </c>
      <c r="CX61" s="112" t="e">
        <v>#N/A</v>
      </c>
    </row>
    <row r="62" spans="1:102">
      <c r="A62" s="106" t="s">
        <v>202</v>
      </c>
      <c r="B62" s="106">
        <v>1</v>
      </c>
      <c r="C62" s="106">
        <v>1</v>
      </c>
      <c r="D62" s="106">
        <v>1</v>
      </c>
      <c r="E62" s="106">
        <v>4</v>
      </c>
      <c r="F62" s="106">
        <v>1</v>
      </c>
      <c r="G62" s="106" t="s">
        <v>66</v>
      </c>
      <c r="I62" s="106">
        <v>201</v>
      </c>
      <c r="J62" s="106" t="s">
        <v>1766</v>
      </c>
      <c r="K62" s="106" t="s">
        <v>1318</v>
      </c>
      <c r="L62" s="106" t="s">
        <v>229</v>
      </c>
      <c r="M62" s="106" t="s">
        <v>203</v>
      </c>
      <c r="N62" s="106">
        <v>8</v>
      </c>
      <c r="O62" s="106">
        <v>1</v>
      </c>
      <c r="T62" s="106" t="s">
        <v>1766</v>
      </c>
      <c r="V62" s="106">
        <v>0</v>
      </c>
      <c r="W62" s="106">
        <v>0</v>
      </c>
      <c r="X62" s="106">
        <v>0</v>
      </c>
      <c r="Y62" s="106" t="s">
        <v>1766</v>
      </c>
      <c r="Z62" s="106" t="s">
        <v>1766</v>
      </c>
      <c r="AA62" s="106">
        <v>0</v>
      </c>
      <c r="AB62" s="106">
        <v>0</v>
      </c>
      <c r="AC62" s="106">
        <v>0</v>
      </c>
      <c r="AD62" s="106">
        <v>0</v>
      </c>
      <c r="AE62" s="106">
        <v>0</v>
      </c>
      <c r="AF62" s="106">
        <v>0</v>
      </c>
      <c r="AH62" s="106">
        <v>25</v>
      </c>
      <c r="AI62" s="106">
        <v>0</v>
      </c>
      <c r="AJ62" s="106">
        <v>0</v>
      </c>
      <c r="AK62" s="106">
        <v>120</v>
      </c>
      <c r="AL62" s="106">
        <v>0</v>
      </c>
      <c r="AM62" s="106">
        <v>1</v>
      </c>
      <c r="AN62" s="106">
        <v>4</v>
      </c>
      <c r="AO62" s="106">
        <v>1</v>
      </c>
      <c r="AP62" s="106" t="s">
        <v>94</v>
      </c>
      <c r="AQ62" s="106" t="s">
        <v>204</v>
      </c>
      <c r="AR62" s="106">
        <v>1015</v>
      </c>
      <c r="AS62" s="106">
        <v>400</v>
      </c>
      <c r="AT62" s="106">
        <v>1600</v>
      </c>
      <c r="AU62" s="108" t="s">
        <v>147</v>
      </c>
      <c r="AV62" s="108" t="s">
        <v>205</v>
      </c>
      <c r="AW62" s="108">
        <v>1206</v>
      </c>
      <c r="AX62" s="110">
        <v>1</v>
      </c>
      <c r="AY62" s="108">
        <v>4</v>
      </c>
      <c r="BD62" s="106">
        <v>0</v>
      </c>
      <c r="BY62" s="112" t="s">
        <v>158</v>
      </c>
      <c r="BZ62" s="112" t="s">
        <v>1359</v>
      </c>
      <c r="CA62" s="112" t="s">
        <v>1583</v>
      </c>
      <c r="CB62" s="112" t="s">
        <v>94</v>
      </c>
      <c r="CC62" s="112">
        <v>3</v>
      </c>
      <c r="CD62" s="112" t="s">
        <v>1793</v>
      </c>
      <c r="CE62" s="112" t="s">
        <v>147</v>
      </c>
      <c r="CF62" s="112">
        <v>23</v>
      </c>
      <c r="CG62" s="112" t="s">
        <v>1766</v>
      </c>
      <c r="CH62" s="112" t="s">
        <v>1766</v>
      </c>
      <c r="CI62" s="112" t="s">
        <v>1766</v>
      </c>
      <c r="CJ62" s="112" t="s">
        <v>1766</v>
      </c>
      <c r="CK62" s="112" t="s">
        <v>1766</v>
      </c>
      <c r="CL62" s="112" t="s">
        <v>1766</v>
      </c>
      <c r="CM62" s="112" t="s">
        <v>1766</v>
      </c>
      <c r="CN62" s="112" t="s">
        <v>1766</v>
      </c>
      <c r="CO62" s="112" t="s">
        <v>1766</v>
      </c>
      <c r="CP62" s="112">
        <v>61</v>
      </c>
      <c r="CQ62" s="112" t="s">
        <v>1766</v>
      </c>
      <c r="CR62" s="112" t="s">
        <v>1766</v>
      </c>
      <c r="CS62" s="112">
        <v>0.04</v>
      </c>
      <c r="CT62" s="112" t="s">
        <v>1766</v>
      </c>
      <c r="CU62" s="112">
        <v>61</v>
      </c>
    </row>
    <row r="63" spans="1:102">
      <c r="A63" s="106" t="s">
        <v>202</v>
      </c>
      <c r="B63" s="106">
        <v>2</v>
      </c>
      <c r="C63" s="106">
        <v>1</v>
      </c>
      <c r="D63" s="106">
        <v>1</v>
      </c>
      <c r="E63" s="106">
        <v>4</v>
      </c>
      <c r="F63" s="106">
        <v>1</v>
      </c>
      <c r="G63" s="106" t="s">
        <v>66</v>
      </c>
      <c r="I63" s="106">
        <v>201</v>
      </c>
      <c r="J63" s="106" t="s">
        <v>1766</v>
      </c>
      <c r="K63" s="106" t="s">
        <v>1318</v>
      </c>
      <c r="L63" s="106" t="s">
        <v>1320</v>
      </c>
      <c r="M63" s="106" t="s">
        <v>207</v>
      </c>
      <c r="N63" s="106">
        <v>8</v>
      </c>
      <c r="O63" s="106">
        <v>2</v>
      </c>
      <c r="T63" s="106" t="s">
        <v>1766</v>
      </c>
      <c r="V63" s="106">
        <v>1000</v>
      </c>
      <c r="W63" s="106">
        <v>0</v>
      </c>
      <c r="X63" s="106">
        <v>1</v>
      </c>
      <c r="Y63" s="106" t="s">
        <v>1766</v>
      </c>
      <c r="Z63" s="106" t="s">
        <v>1766</v>
      </c>
      <c r="AA63" s="106">
        <v>0</v>
      </c>
      <c r="AB63" s="106">
        <v>1000</v>
      </c>
      <c r="AC63" s="106">
        <v>0</v>
      </c>
      <c r="AD63" s="106">
        <v>0</v>
      </c>
      <c r="AE63" s="106">
        <v>1000</v>
      </c>
      <c r="AF63" s="106">
        <v>4000</v>
      </c>
      <c r="AG63" s="106">
        <v>0.20833333333333301</v>
      </c>
      <c r="AH63" s="106">
        <v>25</v>
      </c>
      <c r="AI63" s="106">
        <v>0</v>
      </c>
      <c r="AJ63" s="106">
        <v>0</v>
      </c>
      <c r="AK63" s="106">
        <v>120</v>
      </c>
      <c r="AL63" s="106">
        <v>0</v>
      </c>
      <c r="AM63" s="106">
        <v>1</v>
      </c>
      <c r="AN63" s="106">
        <v>4</v>
      </c>
      <c r="AO63" s="106">
        <v>3</v>
      </c>
      <c r="AP63" s="106" t="s">
        <v>94</v>
      </c>
      <c r="AQ63" s="106" t="s">
        <v>204</v>
      </c>
      <c r="AR63" s="106">
        <v>1015</v>
      </c>
      <c r="AS63" s="106">
        <v>600</v>
      </c>
      <c r="AT63" s="106">
        <v>2400</v>
      </c>
      <c r="AU63" s="108" t="s">
        <v>147</v>
      </c>
      <c r="AV63" s="108" t="s">
        <v>205</v>
      </c>
      <c r="AW63" s="108">
        <v>1206</v>
      </c>
      <c r="AX63" s="110">
        <v>1</v>
      </c>
      <c r="AY63" s="108">
        <v>4</v>
      </c>
      <c r="BD63" s="106">
        <v>0</v>
      </c>
      <c r="BY63" s="112" t="s">
        <v>1766</v>
      </c>
      <c r="BZ63" s="112" t="s">
        <v>1766</v>
      </c>
      <c r="CA63" s="112" t="s">
        <v>1766</v>
      </c>
      <c r="CB63" s="112" t="s">
        <v>1766</v>
      </c>
      <c r="CC63" s="112" t="s">
        <v>1766</v>
      </c>
      <c r="CD63" s="112" t="s">
        <v>1766</v>
      </c>
      <c r="CE63" s="112" t="s">
        <v>1766</v>
      </c>
      <c r="CF63" s="112" t="s">
        <v>1766</v>
      </c>
      <c r="CG63" s="112" t="s">
        <v>1766</v>
      </c>
      <c r="CH63" s="112" t="s">
        <v>1766</v>
      </c>
      <c r="CI63" s="112" t="s">
        <v>1766</v>
      </c>
      <c r="CJ63" s="112" t="s">
        <v>1766</v>
      </c>
      <c r="CK63" s="112" t="s">
        <v>1766</v>
      </c>
      <c r="CL63" s="112" t="s">
        <v>1766</v>
      </c>
      <c r="CM63" s="112" t="s">
        <v>1766</v>
      </c>
      <c r="CN63" s="112" t="s">
        <v>1766</v>
      </c>
      <c r="CO63" s="112" t="s">
        <v>1766</v>
      </c>
      <c r="CP63" s="112">
        <v>62</v>
      </c>
      <c r="CQ63" s="112" t="s">
        <v>1766</v>
      </c>
      <c r="CR63" s="112" t="s">
        <v>1766</v>
      </c>
      <c r="CS63" s="112">
        <v>3.8461538461538498E-2</v>
      </c>
      <c r="CT63" s="112" t="s">
        <v>1766</v>
      </c>
      <c r="CU63" s="112">
        <v>62</v>
      </c>
    </row>
    <row r="64" spans="1:102">
      <c r="A64" s="106" t="s">
        <v>202</v>
      </c>
      <c r="B64" s="106">
        <v>3</v>
      </c>
      <c r="C64" s="106">
        <v>1</v>
      </c>
      <c r="D64" s="106">
        <v>1</v>
      </c>
      <c r="E64" s="106">
        <v>4</v>
      </c>
      <c r="F64" s="106">
        <v>2</v>
      </c>
      <c r="G64" s="106" t="s">
        <v>66</v>
      </c>
      <c r="I64" s="106">
        <v>201</v>
      </c>
      <c r="J64" s="106" t="s">
        <v>1766</v>
      </c>
      <c r="K64" s="106" t="s">
        <v>1318</v>
      </c>
      <c r="L64" s="106" t="s">
        <v>1321</v>
      </c>
      <c r="M64" s="106" t="s">
        <v>208</v>
      </c>
      <c r="N64" s="106">
        <v>8</v>
      </c>
      <c r="O64" s="106">
        <v>3</v>
      </c>
      <c r="T64" s="106" t="s">
        <v>1766</v>
      </c>
      <c r="V64" s="106">
        <v>2000</v>
      </c>
      <c r="W64" s="106">
        <v>0</v>
      </c>
      <c r="X64" s="106">
        <v>1</v>
      </c>
      <c r="Y64" s="106" t="s">
        <v>1766</v>
      </c>
      <c r="Z64" s="106" t="s">
        <v>1766</v>
      </c>
      <c r="AA64" s="106">
        <v>0</v>
      </c>
      <c r="AB64" s="106">
        <v>2000</v>
      </c>
      <c r="AC64" s="106">
        <v>0</v>
      </c>
      <c r="AD64" s="106">
        <v>0</v>
      </c>
      <c r="AE64" s="106">
        <v>2000</v>
      </c>
      <c r="AF64" s="106">
        <v>8000</v>
      </c>
      <c r="AG64" s="106">
        <v>0.41666666666666702</v>
      </c>
      <c r="AH64" s="106">
        <v>36</v>
      </c>
      <c r="AI64" s="106">
        <v>0</v>
      </c>
      <c r="AJ64" s="106">
        <v>1</v>
      </c>
      <c r="AK64" s="106">
        <v>120</v>
      </c>
      <c r="AL64" s="106">
        <v>120</v>
      </c>
      <c r="AM64" s="106">
        <v>1</v>
      </c>
      <c r="AN64" s="106">
        <v>4</v>
      </c>
      <c r="AO64" s="106">
        <v>7</v>
      </c>
      <c r="AP64" s="106" t="s">
        <v>94</v>
      </c>
      <c r="AQ64" s="106" t="s">
        <v>204</v>
      </c>
      <c r="AR64" s="106">
        <v>1015</v>
      </c>
      <c r="AS64" s="106">
        <v>800</v>
      </c>
      <c r="AT64" s="106">
        <v>3200</v>
      </c>
      <c r="AU64" s="108" t="s">
        <v>147</v>
      </c>
      <c r="AV64" s="108" t="s">
        <v>205</v>
      </c>
      <c r="AW64" s="108">
        <v>1206</v>
      </c>
      <c r="AX64" s="110">
        <v>1</v>
      </c>
      <c r="AY64" s="108">
        <v>4</v>
      </c>
      <c r="BD64" s="106">
        <v>0</v>
      </c>
      <c r="BY64" s="112" t="s">
        <v>1766</v>
      </c>
      <c r="BZ64" s="112" t="s">
        <v>1766</v>
      </c>
      <c r="CA64" s="112" t="s">
        <v>1766</v>
      </c>
      <c r="CB64" s="112" t="s">
        <v>1766</v>
      </c>
      <c r="CC64" s="112" t="s">
        <v>1766</v>
      </c>
      <c r="CD64" s="112" t="s">
        <v>1766</v>
      </c>
      <c r="CE64" s="112" t="s">
        <v>1766</v>
      </c>
      <c r="CF64" s="112" t="s">
        <v>1766</v>
      </c>
      <c r="CG64" s="112" t="s">
        <v>1766</v>
      </c>
      <c r="CH64" s="112" t="s">
        <v>1766</v>
      </c>
      <c r="CI64" s="112" t="s">
        <v>1766</v>
      </c>
      <c r="CJ64" s="112" t="s">
        <v>1766</v>
      </c>
      <c r="CK64" s="112" t="s">
        <v>1766</v>
      </c>
      <c r="CL64" s="112" t="s">
        <v>1766</v>
      </c>
      <c r="CM64" s="112" t="s">
        <v>1766</v>
      </c>
      <c r="CN64" s="112" t="s">
        <v>1766</v>
      </c>
      <c r="CO64" s="112" t="s">
        <v>1766</v>
      </c>
      <c r="CP64" s="112">
        <v>63</v>
      </c>
      <c r="CQ64" s="112" t="s">
        <v>1766</v>
      </c>
      <c r="CR64" s="112" t="s">
        <v>1766</v>
      </c>
      <c r="CS64" s="112">
        <v>3.7037037037037E-2</v>
      </c>
      <c r="CT64" s="112" t="s">
        <v>1766</v>
      </c>
      <c r="CU64" s="112">
        <v>63</v>
      </c>
    </row>
    <row r="65" spans="1:99">
      <c r="A65" s="106" t="s">
        <v>202</v>
      </c>
      <c r="B65" s="106">
        <v>4</v>
      </c>
      <c r="C65" s="106">
        <v>1</v>
      </c>
      <c r="D65" s="106">
        <v>1</v>
      </c>
      <c r="E65" s="106">
        <v>4</v>
      </c>
      <c r="F65" s="106">
        <v>2</v>
      </c>
      <c r="G65" s="106" t="s">
        <v>66</v>
      </c>
      <c r="I65" s="106">
        <v>201</v>
      </c>
      <c r="J65" s="106" t="s">
        <v>1766</v>
      </c>
      <c r="K65" s="106" t="s">
        <v>1318</v>
      </c>
      <c r="L65" s="106" t="s">
        <v>1322</v>
      </c>
      <c r="M65" s="106" t="s">
        <v>209</v>
      </c>
      <c r="N65" s="106">
        <v>8</v>
      </c>
      <c r="O65" s="106">
        <v>4</v>
      </c>
      <c r="T65" s="106" t="s">
        <v>1766</v>
      </c>
      <c r="V65" s="106">
        <v>4000</v>
      </c>
      <c r="W65" s="106">
        <v>0</v>
      </c>
      <c r="X65" s="106">
        <v>1</v>
      </c>
      <c r="Y65" s="106" t="s">
        <v>1766</v>
      </c>
      <c r="Z65" s="106" t="s">
        <v>1766</v>
      </c>
      <c r="AA65" s="106">
        <v>0</v>
      </c>
      <c r="AB65" s="106">
        <v>4000</v>
      </c>
      <c r="AC65" s="106">
        <v>0</v>
      </c>
      <c r="AD65" s="106">
        <v>0</v>
      </c>
      <c r="AE65" s="106">
        <v>4000</v>
      </c>
      <c r="AF65" s="106">
        <v>16000</v>
      </c>
      <c r="AG65" s="106">
        <v>0.83333333333333304</v>
      </c>
      <c r="AH65" s="106">
        <v>72</v>
      </c>
      <c r="AI65" s="106">
        <v>0</v>
      </c>
      <c r="AJ65" s="106">
        <v>1</v>
      </c>
      <c r="AK65" s="106">
        <v>120</v>
      </c>
      <c r="AL65" s="106">
        <v>120</v>
      </c>
      <c r="AM65" s="106">
        <v>1</v>
      </c>
      <c r="AN65" s="106">
        <v>4</v>
      </c>
      <c r="AO65" s="106">
        <v>15</v>
      </c>
      <c r="AP65" s="106" t="s">
        <v>94</v>
      </c>
      <c r="AQ65" s="106" t="s">
        <v>204</v>
      </c>
      <c r="AR65" s="106">
        <v>1015</v>
      </c>
      <c r="AS65" s="106">
        <v>1000</v>
      </c>
      <c r="AT65" s="106">
        <v>4000</v>
      </c>
      <c r="AU65" s="108" t="s">
        <v>147</v>
      </c>
      <c r="AV65" s="108" t="s">
        <v>205</v>
      </c>
      <c r="AW65" s="108">
        <v>1206</v>
      </c>
      <c r="AX65" s="110">
        <v>1</v>
      </c>
      <c r="AY65" s="108">
        <v>4</v>
      </c>
      <c r="BD65" s="106">
        <v>0</v>
      </c>
      <c r="BY65" s="112" t="s">
        <v>1766</v>
      </c>
      <c r="BZ65" s="112" t="s">
        <v>1766</v>
      </c>
      <c r="CA65" s="112" t="s">
        <v>1766</v>
      </c>
      <c r="CB65" s="112" t="s">
        <v>1766</v>
      </c>
      <c r="CC65" s="112" t="s">
        <v>1766</v>
      </c>
      <c r="CD65" s="112" t="s">
        <v>1766</v>
      </c>
      <c r="CE65" s="112" t="s">
        <v>1766</v>
      </c>
      <c r="CF65" s="112" t="s">
        <v>1766</v>
      </c>
      <c r="CG65" s="112" t="s">
        <v>1766</v>
      </c>
      <c r="CH65" s="112" t="s">
        <v>1766</v>
      </c>
      <c r="CI65" s="112" t="s">
        <v>1766</v>
      </c>
      <c r="CJ65" s="112" t="s">
        <v>1766</v>
      </c>
      <c r="CK65" s="112" t="s">
        <v>1766</v>
      </c>
      <c r="CL65" s="112" t="s">
        <v>1766</v>
      </c>
      <c r="CM65" s="112" t="s">
        <v>1766</v>
      </c>
      <c r="CN65" s="112" t="s">
        <v>1766</v>
      </c>
      <c r="CO65" s="112" t="s">
        <v>1766</v>
      </c>
      <c r="CP65" s="112">
        <v>64</v>
      </c>
      <c r="CQ65" s="112" t="s">
        <v>1766</v>
      </c>
      <c r="CR65" s="112" t="s">
        <v>1766</v>
      </c>
      <c r="CS65" s="112">
        <v>3.5714285714285698E-2</v>
      </c>
      <c r="CT65" s="112" t="s">
        <v>1766</v>
      </c>
      <c r="CU65" s="112">
        <v>64</v>
      </c>
    </row>
    <row r="66" spans="1:99">
      <c r="A66" s="106" t="s">
        <v>202</v>
      </c>
      <c r="B66" s="106">
        <v>5</v>
      </c>
      <c r="C66" s="106">
        <v>1</v>
      </c>
      <c r="D66" s="106">
        <v>1</v>
      </c>
      <c r="E66" s="106">
        <v>4</v>
      </c>
      <c r="F66" s="106">
        <v>2</v>
      </c>
      <c r="G66" s="106" t="s">
        <v>66</v>
      </c>
      <c r="I66" s="106">
        <v>201</v>
      </c>
      <c r="J66" s="106" t="s">
        <v>1766</v>
      </c>
      <c r="K66" s="106" t="s">
        <v>1318</v>
      </c>
      <c r="L66" s="106" t="s">
        <v>1323</v>
      </c>
      <c r="M66" s="106" t="s">
        <v>210</v>
      </c>
      <c r="N66" s="106">
        <v>8</v>
      </c>
      <c r="O66" s="106">
        <v>5</v>
      </c>
      <c r="T66" s="106" t="s">
        <v>1766</v>
      </c>
      <c r="V66" s="106">
        <v>7720</v>
      </c>
      <c r="W66" s="106">
        <v>0</v>
      </c>
      <c r="X66" s="106">
        <v>1</v>
      </c>
      <c r="Y66" s="106">
        <v>1</v>
      </c>
      <c r="Z66" s="106" t="s">
        <v>1766</v>
      </c>
      <c r="AA66" s="106">
        <v>0</v>
      </c>
      <c r="AB66" s="106">
        <v>3900</v>
      </c>
      <c r="AC66" s="106">
        <v>3900</v>
      </c>
      <c r="AD66" s="106">
        <v>0</v>
      </c>
      <c r="AE66" s="106">
        <v>7800</v>
      </c>
      <c r="AF66" s="106">
        <v>31200</v>
      </c>
      <c r="AG66" s="106">
        <v>0.92857142857142905</v>
      </c>
      <c r="AH66" s="106">
        <v>150</v>
      </c>
      <c r="AI66" s="106">
        <v>0</v>
      </c>
      <c r="AJ66" s="106">
        <v>2</v>
      </c>
      <c r="AK66" s="106">
        <v>120</v>
      </c>
      <c r="AL66" s="106">
        <v>240</v>
      </c>
      <c r="AM66" s="106">
        <v>1</v>
      </c>
      <c r="AN66" s="106">
        <v>4</v>
      </c>
      <c r="AO66" s="106">
        <v>30</v>
      </c>
      <c r="AP66" s="106" t="s">
        <v>94</v>
      </c>
      <c r="AQ66" s="106" t="s">
        <v>204</v>
      </c>
      <c r="AR66" s="106">
        <v>1015</v>
      </c>
      <c r="AS66" s="106">
        <v>1350</v>
      </c>
      <c r="AT66" s="106">
        <v>5400</v>
      </c>
      <c r="AU66" s="108" t="s">
        <v>147</v>
      </c>
      <c r="AV66" s="108" t="s">
        <v>205</v>
      </c>
      <c r="AW66" s="108">
        <v>1206</v>
      </c>
      <c r="AX66" s="110">
        <v>1</v>
      </c>
      <c r="AY66" s="108">
        <v>4</v>
      </c>
      <c r="BD66" s="106">
        <v>0</v>
      </c>
      <c r="BY66" s="112" t="s">
        <v>1766</v>
      </c>
      <c r="BZ66" s="112" t="s">
        <v>1766</v>
      </c>
      <c r="CA66" s="112" t="s">
        <v>1766</v>
      </c>
      <c r="CB66" s="112" t="s">
        <v>1766</v>
      </c>
      <c r="CC66" s="112" t="s">
        <v>1766</v>
      </c>
      <c r="CD66" s="112" t="s">
        <v>1766</v>
      </c>
      <c r="CE66" s="112" t="s">
        <v>1766</v>
      </c>
      <c r="CF66" s="112" t="s">
        <v>1766</v>
      </c>
      <c r="CG66" s="112" t="s">
        <v>1766</v>
      </c>
      <c r="CH66" s="112" t="s">
        <v>1766</v>
      </c>
      <c r="CI66" s="112" t="s">
        <v>1766</v>
      </c>
      <c r="CJ66" s="112" t="s">
        <v>1766</v>
      </c>
      <c r="CK66" s="112" t="s">
        <v>1766</v>
      </c>
      <c r="CL66" s="112" t="s">
        <v>1766</v>
      </c>
      <c r="CM66" s="112" t="s">
        <v>1766</v>
      </c>
      <c r="CN66" s="112" t="s">
        <v>1766</v>
      </c>
      <c r="CO66" s="112" t="s">
        <v>1766</v>
      </c>
      <c r="CP66" s="112">
        <v>65</v>
      </c>
      <c r="CQ66" s="112" t="s">
        <v>1766</v>
      </c>
      <c r="CR66" s="112" t="s">
        <v>1766</v>
      </c>
      <c r="CS66" s="112">
        <v>3.4482758620689703E-2</v>
      </c>
      <c r="CT66" s="112" t="s">
        <v>1766</v>
      </c>
      <c r="CU66" s="112">
        <v>65</v>
      </c>
    </row>
    <row r="67" spans="1:99">
      <c r="A67" s="106" t="s">
        <v>202</v>
      </c>
      <c r="B67" s="106">
        <v>6</v>
      </c>
      <c r="C67" s="106">
        <v>1</v>
      </c>
      <c r="D67" s="106">
        <v>1</v>
      </c>
      <c r="E67" s="106">
        <v>4</v>
      </c>
      <c r="F67" s="106">
        <v>2</v>
      </c>
      <c r="G67" s="106" t="s">
        <v>66</v>
      </c>
      <c r="I67" s="106">
        <v>201</v>
      </c>
      <c r="J67" s="106" t="s">
        <v>1766</v>
      </c>
      <c r="K67" s="106" t="s">
        <v>1318</v>
      </c>
      <c r="L67" s="106" t="s">
        <v>1324</v>
      </c>
      <c r="M67" s="106" t="s">
        <v>211</v>
      </c>
      <c r="N67" s="106">
        <v>8</v>
      </c>
      <c r="O67" s="106">
        <v>6</v>
      </c>
      <c r="T67" s="106" t="s">
        <v>1766</v>
      </c>
      <c r="V67" s="106">
        <v>14359.2</v>
      </c>
      <c r="W67" s="106">
        <v>0</v>
      </c>
      <c r="X67" s="106">
        <v>1</v>
      </c>
      <c r="Y67" s="106">
        <v>1</v>
      </c>
      <c r="Z67" s="106" t="s">
        <v>1766</v>
      </c>
      <c r="AA67" s="106">
        <v>0</v>
      </c>
      <c r="AB67" s="106">
        <v>7200</v>
      </c>
      <c r="AC67" s="106">
        <v>7200</v>
      </c>
      <c r="AD67" s="106">
        <v>0</v>
      </c>
      <c r="AE67" s="106">
        <v>14400</v>
      </c>
      <c r="AF67" s="106">
        <v>57600</v>
      </c>
      <c r="AG67" s="106">
        <v>1.71428571428571</v>
      </c>
      <c r="AH67" s="106">
        <v>270</v>
      </c>
      <c r="AI67" s="106">
        <v>0</v>
      </c>
      <c r="AJ67" s="106">
        <v>2</v>
      </c>
      <c r="AK67" s="106">
        <v>120</v>
      </c>
      <c r="AL67" s="106">
        <v>240</v>
      </c>
      <c r="AM67" s="106">
        <v>1</v>
      </c>
      <c r="AN67" s="106">
        <v>4</v>
      </c>
      <c r="AO67" s="106">
        <v>59</v>
      </c>
      <c r="AP67" s="106" t="s">
        <v>94</v>
      </c>
      <c r="AQ67" s="106" t="s">
        <v>204</v>
      </c>
      <c r="AR67" s="106">
        <v>1015</v>
      </c>
      <c r="AS67" s="106">
        <v>1700</v>
      </c>
      <c r="AT67" s="106">
        <v>6800</v>
      </c>
      <c r="AU67" s="108" t="s">
        <v>147</v>
      </c>
      <c r="AV67" s="108" t="s">
        <v>205</v>
      </c>
      <c r="AW67" s="108">
        <v>1206</v>
      </c>
      <c r="AX67" s="110">
        <v>1</v>
      </c>
      <c r="AY67" s="108">
        <v>4</v>
      </c>
      <c r="BD67" s="106">
        <v>0</v>
      </c>
      <c r="BY67" s="112" t="s">
        <v>1766</v>
      </c>
      <c r="BZ67" s="112" t="s">
        <v>1766</v>
      </c>
      <c r="CA67" s="112" t="s">
        <v>1766</v>
      </c>
      <c r="CB67" s="112" t="s">
        <v>1766</v>
      </c>
      <c r="CC67" s="112" t="s">
        <v>1766</v>
      </c>
      <c r="CD67" s="112" t="s">
        <v>1766</v>
      </c>
      <c r="CE67" s="112" t="s">
        <v>1766</v>
      </c>
      <c r="CF67" s="112" t="s">
        <v>1766</v>
      </c>
      <c r="CG67" s="112" t="s">
        <v>1766</v>
      </c>
      <c r="CH67" s="112" t="s">
        <v>1766</v>
      </c>
      <c r="CI67" s="112" t="s">
        <v>1766</v>
      </c>
      <c r="CJ67" s="112" t="s">
        <v>1766</v>
      </c>
      <c r="CK67" s="112" t="s">
        <v>1766</v>
      </c>
      <c r="CL67" s="112" t="s">
        <v>1766</v>
      </c>
      <c r="CM67" s="112" t="s">
        <v>1766</v>
      </c>
      <c r="CN67" s="112" t="s">
        <v>1766</v>
      </c>
      <c r="CO67" s="112" t="s">
        <v>1766</v>
      </c>
      <c r="CP67" s="112">
        <v>66</v>
      </c>
      <c r="CQ67" s="112" t="s">
        <v>1766</v>
      </c>
      <c r="CR67" s="112" t="s">
        <v>1766</v>
      </c>
      <c r="CS67" s="112">
        <v>3.3333333333333298E-2</v>
      </c>
      <c r="CT67" s="112" t="s">
        <v>1766</v>
      </c>
      <c r="CU67" s="112">
        <v>66</v>
      </c>
    </row>
    <row r="68" spans="1:99">
      <c r="A68" s="106" t="s">
        <v>202</v>
      </c>
      <c r="B68" s="106">
        <v>7</v>
      </c>
      <c r="C68" s="106">
        <v>1</v>
      </c>
      <c r="D68" s="106">
        <v>1</v>
      </c>
      <c r="E68" s="106">
        <v>4</v>
      </c>
      <c r="F68" s="106">
        <v>2</v>
      </c>
      <c r="G68" s="106" t="s">
        <v>66</v>
      </c>
      <c r="I68" s="106">
        <v>201</v>
      </c>
      <c r="J68" s="106" t="s">
        <v>1766</v>
      </c>
      <c r="K68" s="106" t="s">
        <v>1318</v>
      </c>
      <c r="L68" s="106" t="s">
        <v>1325</v>
      </c>
      <c r="M68" s="106" t="s">
        <v>212</v>
      </c>
      <c r="N68" s="106">
        <v>8</v>
      </c>
      <c r="O68" s="106">
        <v>7</v>
      </c>
      <c r="T68" s="106" t="s">
        <v>1766</v>
      </c>
      <c r="V68" s="106">
        <v>25702.968000000001</v>
      </c>
      <c r="W68" s="106">
        <v>0</v>
      </c>
      <c r="X68" s="106">
        <v>1</v>
      </c>
      <c r="Y68" s="106">
        <v>1</v>
      </c>
      <c r="Z68" s="106" t="s">
        <v>1766</v>
      </c>
      <c r="AA68" s="106">
        <v>0</v>
      </c>
      <c r="AB68" s="106">
        <v>13000</v>
      </c>
      <c r="AC68" s="106">
        <v>13000</v>
      </c>
      <c r="AD68" s="106">
        <v>0</v>
      </c>
      <c r="AE68" s="106">
        <v>26000</v>
      </c>
      <c r="AF68" s="106">
        <v>104000</v>
      </c>
      <c r="AG68" s="106">
        <v>3.0952380952380998</v>
      </c>
      <c r="AH68" s="106">
        <v>450</v>
      </c>
      <c r="AI68" s="106">
        <v>0</v>
      </c>
      <c r="AJ68" s="106">
        <v>3</v>
      </c>
      <c r="AK68" s="106">
        <v>120</v>
      </c>
      <c r="AL68" s="106">
        <v>360</v>
      </c>
      <c r="AM68" s="106">
        <v>1</v>
      </c>
      <c r="AN68" s="106">
        <v>4</v>
      </c>
      <c r="AO68" s="106">
        <v>110</v>
      </c>
      <c r="AP68" s="106" t="s">
        <v>94</v>
      </c>
      <c r="AQ68" s="106" t="s">
        <v>204</v>
      </c>
      <c r="AR68" s="106">
        <v>1015</v>
      </c>
      <c r="AS68" s="106">
        <v>2050</v>
      </c>
      <c r="AT68" s="106">
        <v>8200</v>
      </c>
      <c r="AU68" s="108" t="s">
        <v>147</v>
      </c>
      <c r="AV68" s="108" t="s">
        <v>205</v>
      </c>
      <c r="AW68" s="108">
        <v>1206</v>
      </c>
      <c r="AX68" s="110">
        <v>1</v>
      </c>
      <c r="AY68" s="108">
        <v>4</v>
      </c>
      <c r="BD68" s="106">
        <v>0</v>
      </c>
      <c r="BY68" s="112" t="s">
        <v>1766</v>
      </c>
      <c r="BZ68" s="112" t="s">
        <v>1766</v>
      </c>
      <c r="CA68" s="112" t="s">
        <v>1766</v>
      </c>
      <c r="CB68" s="112" t="s">
        <v>1766</v>
      </c>
      <c r="CC68" s="112" t="s">
        <v>1766</v>
      </c>
      <c r="CD68" s="112" t="s">
        <v>1766</v>
      </c>
      <c r="CE68" s="112" t="s">
        <v>1766</v>
      </c>
      <c r="CF68" s="112" t="s">
        <v>1766</v>
      </c>
      <c r="CG68" s="112" t="s">
        <v>1766</v>
      </c>
      <c r="CH68" s="112" t="s">
        <v>1766</v>
      </c>
      <c r="CI68" s="112" t="s">
        <v>1766</v>
      </c>
      <c r="CJ68" s="112" t="s">
        <v>1766</v>
      </c>
      <c r="CK68" s="112" t="s">
        <v>1766</v>
      </c>
      <c r="CL68" s="112" t="s">
        <v>1766</v>
      </c>
      <c r="CM68" s="112" t="s">
        <v>1766</v>
      </c>
      <c r="CN68" s="112" t="s">
        <v>1766</v>
      </c>
      <c r="CO68" s="112" t="s">
        <v>1766</v>
      </c>
      <c r="CP68" s="112">
        <v>67</v>
      </c>
      <c r="CQ68" s="112" t="s">
        <v>1766</v>
      </c>
      <c r="CR68" s="112" t="s">
        <v>1766</v>
      </c>
      <c r="CS68" s="112">
        <v>3.2258064516128997E-2</v>
      </c>
      <c r="CT68" s="112" t="s">
        <v>1766</v>
      </c>
      <c r="CU68" s="112">
        <v>67</v>
      </c>
    </row>
    <row r="69" spans="1:99">
      <c r="A69" s="106" t="s">
        <v>202</v>
      </c>
      <c r="B69" s="106">
        <v>8</v>
      </c>
      <c r="C69" s="106">
        <v>1</v>
      </c>
      <c r="D69" s="106">
        <v>1</v>
      </c>
      <c r="E69" s="106">
        <v>4</v>
      </c>
      <c r="F69" s="106">
        <v>2</v>
      </c>
      <c r="G69" s="106" t="s">
        <v>66</v>
      </c>
      <c r="I69" s="106">
        <v>201</v>
      </c>
      <c r="J69" s="106" t="s">
        <v>1766</v>
      </c>
      <c r="K69" s="106" t="s">
        <v>1318</v>
      </c>
      <c r="L69" s="106" t="s">
        <v>1326</v>
      </c>
      <c r="M69" s="106" t="s">
        <v>213</v>
      </c>
      <c r="O69" s="106">
        <v>8</v>
      </c>
      <c r="T69" s="106" t="s">
        <v>1766</v>
      </c>
      <c r="V69" s="106">
        <v>44209.104959999997</v>
      </c>
      <c r="W69" s="106">
        <v>0</v>
      </c>
      <c r="X69" s="106">
        <v>1</v>
      </c>
      <c r="Y69" s="106">
        <v>1</v>
      </c>
      <c r="Z69" s="106" t="s">
        <v>1766</v>
      </c>
      <c r="AA69" s="106">
        <v>0</v>
      </c>
      <c r="AB69" s="106">
        <v>22000</v>
      </c>
      <c r="AC69" s="106">
        <v>22000</v>
      </c>
      <c r="AD69" s="106">
        <v>0</v>
      </c>
      <c r="AE69" s="106">
        <v>44000</v>
      </c>
      <c r="AF69" s="106">
        <v>176000</v>
      </c>
      <c r="AG69" s="106">
        <v>5.2380952380952399</v>
      </c>
      <c r="AH69" s="106">
        <v>720</v>
      </c>
      <c r="AI69" s="106">
        <v>0</v>
      </c>
      <c r="AJ69" s="106">
        <v>3</v>
      </c>
      <c r="AK69" s="106">
        <v>120</v>
      </c>
      <c r="AL69" s="106">
        <v>360</v>
      </c>
      <c r="AM69" s="106">
        <v>60</v>
      </c>
      <c r="AN69" s="106">
        <v>240</v>
      </c>
      <c r="AO69" s="106">
        <v>198</v>
      </c>
      <c r="AP69" s="106" t="s">
        <v>94</v>
      </c>
      <c r="AQ69" s="106" t="s">
        <v>204</v>
      </c>
      <c r="AR69" s="106">
        <v>1015</v>
      </c>
      <c r="AS69" s="106">
        <v>2400</v>
      </c>
      <c r="AT69" s="106">
        <v>9600</v>
      </c>
      <c r="AU69" s="108" t="s">
        <v>147</v>
      </c>
      <c r="AV69" s="108" t="s">
        <v>205</v>
      </c>
      <c r="AW69" s="108">
        <v>1206</v>
      </c>
      <c r="AX69" s="110">
        <v>2</v>
      </c>
      <c r="AY69" s="108">
        <v>8</v>
      </c>
      <c r="BD69" s="106">
        <v>0</v>
      </c>
      <c r="BY69" s="112" t="s">
        <v>1766</v>
      </c>
      <c r="BZ69" s="112" t="s">
        <v>1766</v>
      </c>
      <c r="CA69" s="112" t="s">
        <v>1766</v>
      </c>
      <c r="CB69" s="112" t="s">
        <v>1766</v>
      </c>
      <c r="CC69" s="112" t="s">
        <v>1766</v>
      </c>
      <c r="CD69" s="112" t="s">
        <v>1766</v>
      </c>
      <c r="CE69" s="112" t="s">
        <v>1766</v>
      </c>
      <c r="CF69" s="112" t="s">
        <v>1766</v>
      </c>
      <c r="CG69" s="112" t="s">
        <v>1766</v>
      </c>
      <c r="CH69" s="112" t="s">
        <v>1766</v>
      </c>
      <c r="CI69" s="112" t="s">
        <v>1766</v>
      </c>
      <c r="CJ69" s="112" t="s">
        <v>1766</v>
      </c>
      <c r="CK69" s="112" t="s">
        <v>1766</v>
      </c>
      <c r="CL69" s="112" t="s">
        <v>1766</v>
      </c>
      <c r="CM69" s="112" t="s">
        <v>1766</v>
      </c>
      <c r="CN69" s="112" t="s">
        <v>1766</v>
      </c>
      <c r="CO69" s="112" t="s">
        <v>1766</v>
      </c>
      <c r="CP69" s="112">
        <v>68</v>
      </c>
      <c r="CQ69" s="112" t="s">
        <v>1766</v>
      </c>
      <c r="CR69" s="112" t="s">
        <v>1766</v>
      </c>
      <c r="CS69" s="112">
        <v>3.125E-2</v>
      </c>
      <c r="CT69" s="112" t="s">
        <v>1766</v>
      </c>
      <c r="CU69" s="112">
        <v>68</v>
      </c>
    </row>
    <row r="70" spans="1:99">
      <c r="A70" s="106" t="s">
        <v>202</v>
      </c>
      <c r="B70" s="106">
        <v>9</v>
      </c>
      <c r="C70" s="106">
        <v>1</v>
      </c>
      <c r="D70" s="106">
        <v>1</v>
      </c>
      <c r="E70" s="106">
        <v>4</v>
      </c>
      <c r="F70" s="106">
        <v>2</v>
      </c>
      <c r="G70" s="106" t="s">
        <v>66</v>
      </c>
      <c r="I70" s="106">
        <v>201</v>
      </c>
      <c r="J70" s="106" t="s">
        <v>1766</v>
      </c>
      <c r="K70" s="106" t="s">
        <v>1318</v>
      </c>
      <c r="L70" s="106" t="s">
        <v>1327</v>
      </c>
      <c r="M70" s="106" t="s">
        <v>214</v>
      </c>
      <c r="O70" s="106">
        <v>9</v>
      </c>
      <c r="T70" s="106" t="s">
        <v>1766</v>
      </c>
      <c r="V70" s="106">
        <v>72945.023184000005</v>
      </c>
      <c r="W70" s="106">
        <v>0</v>
      </c>
      <c r="X70" s="106">
        <v>1</v>
      </c>
      <c r="Y70" s="106">
        <v>1</v>
      </c>
      <c r="Z70" s="106" t="s">
        <v>1766</v>
      </c>
      <c r="AA70" s="106">
        <v>0</v>
      </c>
      <c r="AB70" s="106">
        <v>36000</v>
      </c>
      <c r="AC70" s="106">
        <v>36000</v>
      </c>
      <c r="AD70" s="106">
        <v>0</v>
      </c>
      <c r="AE70" s="106">
        <v>72000</v>
      </c>
      <c r="AF70" s="106">
        <v>288000</v>
      </c>
      <c r="AG70" s="106">
        <v>8.5714285714285694</v>
      </c>
      <c r="AH70" s="106">
        <v>1440</v>
      </c>
      <c r="AI70" s="106">
        <v>0</v>
      </c>
      <c r="AJ70" s="106">
        <v>4</v>
      </c>
      <c r="AK70" s="106">
        <v>120</v>
      </c>
      <c r="AL70" s="106">
        <v>480</v>
      </c>
      <c r="AM70" s="106">
        <v>660</v>
      </c>
      <c r="AN70" s="106">
        <v>2640</v>
      </c>
      <c r="AO70" s="106">
        <v>344</v>
      </c>
      <c r="AP70" s="106" t="s">
        <v>94</v>
      </c>
      <c r="AQ70" s="106" t="s">
        <v>204</v>
      </c>
      <c r="AR70" s="106">
        <v>1015</v>
      </c>
      <c r="AS70" s="106">
        <v>2750</v>
      </c>
      <c r="AT70" s="106">
        <v>11000</v>
      </c>
      <c r="AU70" s="108" t="s">
        <v>147</v>
      </c>
      <c r="AV70" s="108" t="s">
        <v>205</v>
      </c>
      <c r="AW70" s="108">
        <v>1206</v>
      </c>
      <c r="AX70" s="110">
        <v>2</v>
      </c>
      <c r="AY70" s="108">
        <v>8</v>
      </c>
      <c r="BD70" s="106">
        <v>0</v>
      </c>
      <c r="BY70" s="112" t="s">
        <v>1766</v>
      </c>
      <c r="BZ70" s="112" t="s">
        <v>1766</v>
      </c>
      <c r="CA70" s="112" t="s">
        <v>1766</v>
      </c>
      <c r="CB70" s="112" t="s">
        <v>1766</v>
      </c>
      <c r="CC70" s="112" t="s">
        <v>1766</v>
      </c>
      <c r="CD70" s="112" t="s">
        <v>1766</v>
      </c>
      <c r="CE70" s="112" t="s">
        <v>1766</v>
      </c>
      <c r="CF70" s="112" t="s">
        <v>1766</v>
      </c>
      <c r="CG70" s="112" t="s">
        <v>1766</v>
      </c>
      <c r="CH70" s="112" t="s">
        <v>1766</v>
      </c>
      <c r="CI70" s="112" t="s">
        <v>1766</v>
      </c>
      <c r="CJ70" s="112" t="s">
        <v>1766</v>
      </c>
      <c r="CK70" s="112" t="s">
        <v>1766</v>
      </c>
      <c r="CL70" s="112" t="s">
        <v>1766</v>
      </c>
      <c r="CM70" s="112" t="s">
        <v>1766</v>
      </c>
      <c r="CN70" s="112" t="s">
        <v>1766</v>
      </c>
      <c r="CO70" s="112" t="s">
        <v>1766</v>
      </c>
    </row>
    <row r="71" spans="1:99">
      <c r="A71" s="106" t="s">
        <v>202</v>
      </c>
      <c r="B71" s="106">
        <v>10</v>
      </c>
      <c r="C71" s="106">
        <v>1</v>
      </c>
      <c r="D71" s="106">
        <v>1</v>
      </c>
      <c r="E71" s="106">
        <v>4</v>
      </c>
      <c r="F71" s="106">
        <v>2</v>
      </c>
      <c r="G71" s="106" t="s">
        <v>66</v>
      </c>
      <c r="I71" s="106">
        <v>201</v>
      </c>
      <c r="J71" s="106" t="s">
        <v>1766</v>
      </c>
      <c r="K71" s="106" t="s">
        <v>1318</v>
      </c>
      <c r="L71" s="106" t="s">
        <v>1328</v>
      </c>
      <c r="M71" s="106" t="s">
        <v>215</v>
      </c>
      <c r="O71" s="106">
        <v>10</v>
      </c>
      <c r="T71" s="106" t="s">
        <v>1766</v>
      </c>
      <c r="V71" s="106">
        <v>115253.13663071999</v>
      </c>
      <c r="W71" s="106">
        <v>0</v>
      </c>
      <c r="X71" s="106">
        <v>1</v>
      </c>
      <c r="Y71" s="106">
        <v>1</v>
      </c>
      <c r="Z71" s="106">
        <v>1</v>
      </c>
      <c r="AA71" s="106">
        <v>0</v>
      </c>
      <c r="AB71" s="106">
        <v>38000</v>
      </c>
      <c r="AC71" s="106">
        <v>38000</v>
      </c>
      <c r="AD71" s="106">
        <v>38000</v>
      </c>
      <c r="AE71" s="106">
        <v>114000</v>
      </c>
      <c r="AF71" s="106">
        <v>456000</v>
      </c>
      <c r="AG71" s="106">
        <v>13.5714285714286</v>
      </c>
      <c r="AH71" s="106">
        <v>2160</v>
      </c>
      <c r="AI71" s="106">
        <v>0.01</v>
      </c>
      <c r="AJ71" s="106">
        <v>4</v>
      </c>
      <c r="AK71" s="106">
        <v>120</v>
      </c>
      <c r="AL71" s="106">
        <v>480</v>
      </c>
      <c r="AM71" s="106">
        <v>1358</v>
      </c>
      <c r="AN71" s="106">
        <v>5432</v>
      </c>
      <c r="AO71" s="106">
        <v>575</v>
      </c>
      <c r="AP71" s="106" t="s">
        <v>94</v>
      </c>
      <c r="AQ71" s="106" t="s">
        <v>204</v>
      </c>
      <c r="AR71" s="106">
        <v>1015</v>
      </c>
      <c r="AS71" s="106">
        <v>3100</v>
      </c>
      <c r="AT71" s="106">
        <v>12400</v>
      </c>
      <c r="AU71" s="108" t="s">
        <v>147</v>
      </c>
      <c r="AV71" s="108" t="s">
        <v>205</v>
      </c>
      <c r="AW71" s="108">
        <v>1206</v>
      </c>
      <c r="AX71" s="110">
        <v>2</v>
      </c>
      <c r="AY71" s="108">
        <v>8</v>
      </c>
      <c r="BD71" s="106">
        <v>0</v>
      </c>
      <c r="BY71" s="112" t="s">
        <v>1766</v>
      </c>
      <c r="BZ71" s="112" t="s">
        <v>1766</v>
      </c>
      <c r="CA71" s="112" t="s">
        <v>1766</v>
      </c>
      <c r="CB71" s="112" t="s">
        <v>1766</v>
      </c>
      <c r="CC71" s="112" t="s">
        <v>1766</v>
      </c>
      <c r="CD71" s="112" t="s">
        <v>1766</v>
      </c>
      <c r="CE71" s="112" t="s">
        <v>1766</v>
      </c>
      <c r="CF71" s="112" t="s">
        <v>1766</v>
      </c>
      <c r="CG71" s="112" t="s">
        <v>1766</v>
      </c>
      <c r="CH71" s="112" t="s">
        <v>1766</v>
      </c>
      <c r="CI71" s="112" t="s">
        <v>1766</v>
      </c>
      <c r="CJ71" s="112" t="s">
        <v>1766</v>
      </c>
      <c r="CK71" s="112" t="s">
        <v>1766</v>
      </c>
      <c r="CL71" s="112" t="s">
        <v>1766</v>
      </c>
      <c r="CM71" s="112" t="s">
        <v>1766</v>
      </c>
      <c r="CN71" s="112" t="s">
        <v>1766</v>
      </c>
      <c r="CO71" s="112" t="s">
        <v>1766</v>
      </c>
    </row>
    <row r="72" spans="1:99">
      <c r="A72" s="106" t="s">
        <v>202</v>
      </c>
      <c r="B72" s="106">
        <v>11</v>
      </c>
      <c r="C72" s="106">
        <v>1</v>
      </c>
      <c r="D72" s="106">
        <v>1</v>
      </c>
      <c r="E72" s="106">
        <v>4</v>
      </c>
      <c r="F72" s="106">
        <v>2</v>
      </c>
      <c r="G72" s="106" t="s">
        <v>66</v>
      </c>
      <c r="I72" s="106">
        <v>201</v>
      </c>
      <c r="J72" s="106" t="s">
        <v>1766</v>
      </c>
      <c r="K72" s="106" t="s">
        <v>1318</v>
      </c>
      <c r="L72" s="106" t="s">
        <v>1329</v>
      </c>
      <c r="M72" s="106" t="s">
        <v>216</v>
      </c>
      <c r="O72" s="106">
        <v>11</v>
      </c>
      <c r="T72" s="106" t="s">
        <v>1766</v>
      </c>
      <c r="V72" s="106">
        <v>174032.23631238699</v>
      </c>
      <c r="W72" s="106">
        <v>0</v>
      </c>
      <c r="X72" s="106">
        <v>1</v>
      </c>
      <c r="Y72" s="106">
        <v>1</v>
      </c>
      <c r="Z72" s="106">
        <v>1</v>
      </c>
      <c r="AA72" s="106">
        <v>0</v>
      </c>
      <c r="AB72" s="106">
        <v>58000</v>
      </c>
      <c r="AC72" s="106">
        <v>58000</v>
      </c>
      <c r="AD72" s="106">
        <v>58000</v>
      </c>
      <c r="AE72" s="106">
        <v>174000</v>
      </c>
      <c r="AF72" s="106">
        <v>696000</v>
      </c>
      <c r="AG72" s="106">
        <v>14.5</v>
      </c>
      <c r="AH72" s="106">
        <v>3240</v>
      </c>
      <c r="AI72" s="106">
        <v>0.02</v>
      </c>
      <c r="AJ72" s="106">
        <v>5</v>
      </c>
      <c r="AK72" s="106">
        <v>120</v>
      </c>
      <c r="AL72" s="106">
        <v>600</v>
      </c>
      <c r="AM72" s="106">
        <v>2276</v>
      </c>
      <c r="AN72" s="106">
        <v>9104</v>
      </c>
      <c r="AO72" s="106">
        <v>923</v>
      </c>
      <c r="AP72" s="106" t="s">
        <v>94</v>
      </c>
      <c r="AQ72" s="106" t="s">
        <v>204</v>
      </c>
      <c r="AR72" s="106">
        <v>1015</v>
      </c>
      <c r="AS72" s="106">
        <v>3600</v>
      </c>
      <c r="AT72" s="106">
        <v>14400</v>
      </c>
      <c r="AU72" s="108" t="s">
        <v>147</v>
      </c>
      <c r="AV72" s="108" t="s">
        <v>205</v>
      </c>
      <c r="AW72" s="108">
        <v>1206</v>
      </c>
      <c r="AX72" s="110">
        <v>2</v>
      </c>
      <c r="AY72" s="108">
        <v>8</v>
      </c>
      <c r="BD72" s="106">
        <v>0</v>
      </c>
      <c r="BY72" s="112" t="s">
        <v>1766</v>
      </c>
      <c r="BZ72" s="112" t="s">
        <v>1766</v>
      </c>
      <c r="CA72" s="112" t="s">
        <v>1766</v>
      </c>
      <c r="CB72" s="112" t="s">
        <v>1766</v>
      </c>
      <c r="CC72" s="112" t="s">
        <v>1766</v>
      </c>
      <c r="CD72" s="112" t="s">
        <v>1766</v>
      </c>
      <c r="CE72" s="112" t="s">
        <v>1766</v>
      </c>
      <c r="CF72" s="112" t="s">
        <v>1766</v>
      </c>
      <c r="CG72" s="112" t="s">
        <v>1766</v>
      </c>
      <c r="CH72" s="112" t="s">
        <v>1766</v>
      </c>
      <c r="CI72" s="112" t="s">
        <v>1766</v>
      </c>
      <c r="CJ72" s="112" t="s">
        <v>1766</v>
      </c>
      <c r="CK72" s="112" t="s">
        <v>1766</v>
      </c>
      <c r="CL72" s="112" t="s">
        <v>1766</v>
      </c>
      <c r="CM72" s="112" t="s">
        <v>1766</v>
      </c>
      <c r="CN72" s="112" t="s">
        <v>1766</v>
      </c>
      <c r="CO72" s="112" t="s">
        <v>1766</v>
      </c>
    </row>
    <row r="73" spans="1:99">
      <c r="A73" s="106" t="s">
        <v>202</v>
      </c>
      <c r="B73" s="106">
        <v>12</v>
      </c>
      <c r="C73" s="106">
        <v>1</v>
      </c>
      <c r="D73" s="106">
        <v>1</v>
      </c>
      <c r="E73" s="106">
        <v>4</v>
      </c>
      <c r="F73" s="106">
        <v>2</v>
      </c>
      <c r="G73" s="106" t="s">
        <v>66</v>
      </c>
      <c r="I73" s="106">
        <v>201</v>
      </c>
      <c r="J73" s="106" t="s">
        <v>1766</v>
      </c>
      <c r="K73" s="106" t="s">
        <v>1318</v>
      </c>
      <c r="L73" s="106" t="s">
        <v>1330</v>
      </c>
      <c r="M73" s="106" t="s">
        <v>217</v>
      </c>
      <c r="O73" s="106">
        <v>12</v>
      </c>
      <c r="T73" s="106" t="s">
        <v>1766</v>
      </c>
      <c r="V73" s="106">
        <v>250606.420289837</v>
      </c>
      <c r="W73" s="106">
        <v>0</v>
      </c>
      <c r="X73" s="106">
        <v>1</v>
      </c>
      <c r="Y73" s="106">
        <v>1</v>
      </c>
      <c r="Z73" s="106">
        <v>1</v>
      </c>
      <c r="AA73" s="106">
        <v>0</v>
      </c>
      <c r="AB73" s="106">
        <v>84000</v>
      </c>
      <c r="AC73" s="106">
        <v>84000</v>
      </c>
      <c r="AD73" s="106">
        <v>84000</v>
      </c>
      <c r="AE73" s="106">
        <v>252000</v>
      </c>
      <c r="AF73" s="106">
        <v>1008000</v>
      </c>
      <c r="AG73" s="106">
        <v>21</v>
      </c>
      <c r="AH73" s="106">
        <v>4320</v>
      </c>
      <c r="AI73" s="106">
        <v>0.03</v>
      </c>
      <c r="AJ73" s="106">
        <v>5</v>
      </c>
      <c r="AK73" s="106">
        <v>120</v>
      </c>
      <c r="AL73" s="106">
        <v>600</v>
      </c>
      <c r="AM73" s="106">
        <v>3294</v>
      </c>
      <c r="AN73" s="106">
        <v>13176</v>
      </c>
      <c r="AO73" s="106">
        <v>1424</v>
      </c>
      <c r="AP73" s="106" t="s">
        <v>94</v>
      </c>
      <c r="AQ73" s="106" t="s">
        <v>204</v>
      </c>
      <c r="AR73" s="106">
        <v>1015</v>
      </c>
      <c r="AS73" s="106">
        <v>4100</v>
      </c>
      <c r="AT73" s="106">
        <v>16400</v>
      </c>
      <c r="AU73" s="108" t="s">
        <v>147</v>
      </c>
      <c r="AV73" s="108" t="s">
        <v>205</v>
      </c>
      <c r="AW73" s="108">
        <v>1206</v>
      </c>
      <c r="AX73" s="110">
        <v>2</v>
      </c>
      <c r="AY73" s="108">
        <v>8</v>
      </c>
      <c r="BD73" s="106">
        <v>0</v>
      </c>
      <c r="BY73" s="112" t="s">
        <v>1766</v>
      </c>
      <c r="BZ73" s="112" t="s">
        <v>1766</v>
      </c>
      <c r="CA73" s="112" t="s">
        <v>1766</v>
      </c>
      <c r="CB73" s="112" t="s">
        <v>1766</v>
      </c>
      <c r="CC73" s="112" t="s">
        <v>1766</v>
      </c>
      <c r="CD73" s="112" t="s">
        <v>1766</v>
      </c>
      <c r="CE73" s="112" t="s">
        <v>1766</v>
      </c>
      <c r="CF73" s="112" t="s">
        <v>1766</v>
      </c>
      <c r="CG73" s="112" t="s">
        <v>1766</v>
      </c>
      <c r="CH73" s="112" t="s">
        <v>1766</v>
      </c>
      <c r="CI73" s="112" t="s">
        <v>1766</v>
      </c>
      <c r="CJ73" s="112" t="s">
        <v>1766</v>
      </c>
      <c r="CK73" s="112" t="s">
        <v>1766</v>
      </c>
      <c r="CL73" s="112" t="s">
        <v>1766</v>
      </c>
      <c r="CM73" s="112" t="s">
        <v>1766</v>
      </c>
      <c r="CN73" s="112" t="s">
        <v>1766</v>
      </c>
      <c r="CO73" s="112" t="s">
        <v>1766</v>
      </c>
    </row>
    <row r="74" spans="1:99">
      <c r="A74" s="106" t="s">
        <v>202</v>
      </c>
      <c r="B74" s="106">
        <v>13</v>
      </c>
      <c r="C74" s="106">
        <v>1</v>
      </c>
      <c r="D74" s="106">
        <v>1</v>
      </c>
      <c r="E74" s="106">
        <v>4</v>
      </c>
      <c r="F74" s="106">
        <v>3</v>
      </c>
      <c r="G74" s="106" t="s">
        <v>66</v>
      </c>
      <c r="I74" s="106">
        <v>201</v>
      </c>
      <c r="J74" s="106" t="s">
        <v>1766</v>
      </c>
      <c r="K74" s="106" t="s">
        <v>1318</v>
      </c>
      <c r="L74" s="106" t="s">
        <v>1331</v>
      </c>
      <c r="M74" s="106" t="s">
        <v>218</v>
      </c>
      <c r="O74" s="106">
        <v>13</v>
      </c>
      <c r="T74" s="106" t="s">
        <v>1766</v>
      </c>
      <c r="V74" s="106">
        <v>343330.79579707701</v>
      </c>
      <c r="W74" s="106">
        <v>0</v>
      </c>
      <c r="X74" s="106">
        <v>1</v>
      </c>
      <c r="Y74" s="106">
        <v>1</v>
      </c>
      <c r="Z74" s="106">
        <v>1</v>
      </c>
      <c r="AA74" s="106">
        <v>0</v>
      </c>
      <c r="AB74" s="106">
        <v>110000</v>
      </c>
      <c r="AC74" s="106">
        <v>110000</v>
      </c>
      <c r="AD74" s="106">
        <v>110000</v>
      </c>
      <c r="AE74" s="106">
        <v>330000</v>
      </c>
      <c r="AF74" s="106">
        <v>1320000</v>
      </c>
      <c r="AG74" s="106">
        <v>27.5</v>
      </c>
      <c r="AH74" s="106">
        <v>5760</v>
      </c>
      <c r="AI74" s="106">
        <v>0.04</v>
      </c>
      <c r="AJ74" s="106">
        <v>6</v>
      </c>
      <c r="AK74" s="106">
        <v>120</v>
      </c>
      <c r="AL74" s="106">
        <v>720</v>
      </c>
      <c r="AM74" s="106">
        <v>4518</v>
      </c>
      <c r="AN74" s="106">
        <v>18072</v>
      </c>
      <c r="AO74" s="106">
        <v>2111</v>
      </c>
      <c r="AP74" s="106" t="s">
        <v>94</v>
      </c>
      <c r="AQ74" s="106" t="s">
        <v>204</v>
      </c>
      <c r="AR74" s="106">
        <v>1015</v>
      </c>
      <c r="AS74" s="106">
        <v>4600</v>
      </c>
      <c r="AT74" s="106">
        <v>18400</v>
      </c>
      <c r="AU74" s="108" t="s">
        <v>147</v>
      </c>
      <c r="AV74" s="108" t="s">
        <v>205</v>
      </c>
      <c r="AW74" s="108">
        <v>1206</v>
      </c>
      <c r="AX74" s="110">
        <v>2</v>
      </c>
      <c r="AY74" s="108">
        <v>8</v>
      </c>
      <c r="BD74" s="106">
        <v>0</v>
      </c>
      <c r="BY74" s="112" t="s">
        <v>1766</v>
      </c>
      <c r="BZ74" s="112" t="s">
        <v>1766</v>
      </c>
      <c r="CA74" s="112" t="s">
        <v>1766</v>
      </c>
      <c r="CB74" s="112" t="s">
        <v>1766</v>
      </c>
      <c r="CC74" s="112" t="s">
        <v>1766</v>
      </c>
      <c r="CD74" s="112" t="s">
        <v>1766</v>
      </c>
      <c r="CE74" s="112" t="s">
        <v>1766</v>
      </c>
      <c r="CF74" s="112" t="s">
        <v>1766</v>
      </c>
      <c r="CG74" s="112" t="s">
        <v>1766</v>
      </c>
      <c r="CH74" s="112" t="s">
        <v>1766</v>
      </c>
      <c r="CI74" s="112" t="s">
        <v>1766</v>
      </c>
      <c r="CJ74" s="112" t="s">
        <v>1766</v>
      </c>
      <c r="CK74" s="112" t="s">
        <v>1766</v>
      </c>
      <c r="CL74" s="112" t="s">
        <v>1766</v>
      </c>
      <c r="CM74" s="112" t="s">
        <v>1766</v>
      </c>
      <c r="CN74" s="112" t="s">
        <v>1766</v>
      </c>
      <c r="CO74" s="112" t="s">
        <v>1766</v>
      </c>
    </row>
    <row r="75" spans="1:99">
      <c r="A75" s="106" t="s">
        <v>202</v>
      </c>
      <c r="B75" s="106">
        <v>14</v>
      </c>
      <c r="C75" s="106">
        <v>1</v>
      </c>
      <c r="D75" s="106">
        <v>1</v>
      </c>
      <c r="E75" s="106">
        <v>4</v>
      </c>
      <c r="F75" s="106">
        <v>3</v>
      </c>
      <c r="G75" s="106" t="s">
        <v>66</v>
      </c>
      <c r="I75" s="106">
        <v>201</v>
      </c>
      <c r="J75" s="106" t="s">
        <v>1766</v>
      </c>
      <c r="K75" s="106" t="s">
        <v>1318</v>
      </c>
      <c r="L75" s="106" t="s">
        <v>1332</v>
      </c>
      <c r="M75" s="106" t="s">
        <v>219</v>
      </c>
      <c r="O75" s="106">
        <v>14</v>
      </c>
      <c r="T75" s="106" t="s">
        <v>1766</v>
      </c>
      <c r="V75" s="106">
        <v>446330.03453620098</v>
      </c>
      <c r="W75" s="106">
        <v>0</v>
      </c>
      <c r="X75" s="106">
        <v>1</v>
      </c>
      <c r="Y75" s="106">
        <v>1</v>
      </c>
      <c r="Z75" s="106">
        <v>1</v>
      </c>
      <c r="AA75" s="106">
        <v>0</v>
      </c>
      <c r="AB75" s="106">
        <v>150000</v>
      </c>
      <c r="AC75" s="106">
        <v>150000</v>
      </c>
      <c r="AD75" s="106">
        <v>150000</v>
      </c>
      <c r="AE75" s="106">
        <v>450000</v>
      </c>
      <c r="AF75" s="106">
        <v>1800000</v>
      </c>
      <c r="AG75" s="106">
        <v>37.5</v>
      </c>
      <c r="AH75" s="106">
        <v>7200</v>
      </c>
      <c r="AI75" s="106">
        <v>0.05</v>
      </c>
      <c r="AJ75" s="106">
        <v>6</v>
      </c>
      <c r="AK75" s="106">
        <v>120</v>
      </c>
      <c r="AL75" s="106">
        <v>720</v>
      </c>
      <c r="AM75" s="106">
        <v>5837</v>
      </c>
      <c r="AN75" s="106">
        <v>23348</v>
      </c>
      <c r="AO75" s="106">
        <v>3003</v>
      </c>
      <c r="AP75" s="106" t="s">
        <v>94</v>
      </c>
      <c r="AQ75" s="106" t="s">
        <v>204</v>
      </c>
      <c r="AR75" s="106">
        <v>1015</v>
      </c>
      <c r="AS75" s="106">
        <v>5100</v>
      </c>
      <c r="AT75" s="106">
        <v>20400</v>
      </c>
      <c r="AU75" s="108" t="s">
        <v>147</v>
      </c>
      <c r="AV75" s="108" t="s">
        <v>205</v>
      </c>
      <c r="AW75" s="108">
        <v>1206</v>
      </c>
      <c r="AX75" s="110">
        <v>2</v>
      </c>
      <c r="AY75" s="108">
        <v>8</v>
      </c>
      <c r="BD75" s="106">
        <v>0</v>
      </c>
      <c r="BY75" s="112" t="s">
        <v>1766</v>
      </c>
      <c r="BZ75" s="112" t="s">
        <v>1766</v>
      </c>
      <c r="CA75" s="112" t="s">
        <v>1766</v>
      </c>
      <c r="CB75" s="112" t="s">
        <v>1766</v>
      </c>
      <c r="CC75" s="112" t="s">
        <v>1766</v>
      </c>
      <c r="CD75" s="112" t="s">
        <v>1766</v>
      </c>
      <c r="CE75" s="112" t="s">
        <v>1766</v>
      </c>
      <c r="CF75" s="112" t="s">
        <v>1766</v>
      </c>
      <c r="CG75" s="112" t="s">
        <v>1766</v>
      </c>
      <c r="CH75" s="112" t="s">
        <v>1766</v>
      </c>
      <c r="CI75" s="112" t="s">
        <v>1766</v>
      </c>
      <c r="CJ75" s="112" t="s">
        <v>1766</v>
      </c>
      <c r="CK75" s="112" t="s">
        <v>1766</v>
      </c>
      <c r="CL75" s="112" t="s">
        <v>1766</v>
      </c>
      <c r="CM75" s="112" t="s">
        <v>1766</v>
      </c>
      <c r="CN75" s="112" t="s">
        <v>1766</v>
      </c>
      <c r="CO75" s="112" t="s">
        <v>1766</v>
      </c>
    </row>
    <row r="76" spans="1:99">
      <c r="A76" s="106" t="s">
        <v>202</v>
      </c>
      <c r="B76" s="106">
        <v>15</v>
      </c>
      <c r="C76" s="106">
        <v>1</v>
      </c>
      <c r="D76" s="106">
        <v>1</v>
      </c>
      <c r="E76" s="106">
        <v>4</v>
      </c>
      <c r="F76" s="106">
        <v>3</v>
      </c>
      <c r="G76" s="106" t="s">
        <v>66</v>
      </c>
      <c r="I76" s="106">
        <v>201</v>
      </c>
      <c r="J76" s="106" t="s">
        <v>1766</v>
      </c>
      <c r="K76" s="106" t="s">
        <v>1318</v>
      </c>
      <c r="L76" s="106" t="s">
        <v>1333</v>
      </c>
      <c r="M76" s="106" t="s">
        <v>220</v>
      </c>
      <c r="O76" s="106">
        <v>15</v>
      </c>
      <c r="T76" s="106" t="s">
        <v>1766</v>
      </c>
      <c r="V76" s="106">
        <v>571302.44420633698</v>
      </c>
      <c r="W76" s="106">
        <v>0</v>
      </c>
      <c r="X76" s="106">
        <v>1</v>
      </c>
      <c r="Y76" s="106">
        <v>1</v>
      </c>
      <c r="Z76" s="106">
        <v>1</v>
      </c>
      <c r="AA76" s="106">
        <v>0</v>
      </c>
      <c r="AB76" s="106">
        <v>190000</v>
      </c>
      <c r="AC76" s="106">
        <v>190000</v>
      </c>
      <c r="AD76" s="106">
        <v>190000</v>
      </c>
      <c r="AE76" s="106">
        <v>570000</v>
      </c>
      <c r="AF76" s="106">
        <v>2280000</v>
      </c>
      <c r="AG76" s="106">
        <v>47.5</v>
      </c>
      <c r="AH76" s="106">
        <v>8640</v>
      </c>
      <c r="AI76" s="106">
        <v>0.05</v>
      </c>
      <c r="AJ76" s="106">
        <v>7</v>
      </c>
      <c r="AK76" s="106">
        <v>120</v>
      </c>
      <c r="AL76" s="106">
        <v>840</v>
      </c>
      <c r="AM76" s="106">
        <v>7088</v>
      </c>
      <c r="AN76" s="106">
        <v>28352</v>
      </c>
      <c r="AO76" s="106">
        <v>4146</v>
      </c>
      <c r="AP76" s="106" t="s">
        <v>94</v>
      </c>
      <c r="AQ76" s="106" t="s">
        <v>204</v>
      </c>
      <c r="AR76" s="106">
        <v>1015</v>
      </c>
      <c r="AS76" s="106">
        <v>5600</v>
      </c>
      <c r="AT76" s="106">
        <v>22400</v>
      </c>
      <c r="AU76" s="108" t="s">
        <v>147</v>
      </c>
      <c r="AV76" s="108" t="s">
        <v>205</v>
      </c>
      <c r="AW76" s="108">
        <v>1206</v>
      </c>
      <c r="AX76" s="110">
        <v>2</v>
      </c>
      <c r="AY76" s="108">
        <v>8</v>
      </c>
      <c r="BD76" s="106">
        <v>0</v>
      </c>
      <c r="BY76" s="112" t="s">
        <v>1766</v>
      </c>
      <c r="BZ76" s="112" t="s">
        <v>1766</v>
      </c>
      <c r="CA76" s="112" t="s">
        <v>1766</v>
      </c>
      <c r="CB76" s="112" t="s">
        <v>1766</v>
      </c>
      <c r="CC76" s="112" t="s">
        <v>1766</v>
      </c>
      <c r="CD76" s="112" t="s">
        <v>1766</v>
      </c>
      <c r="CE76" s="112" t="s">
        <v>1766</v>
      </c>
      <c r="CF76" s="112" t="s">
        <v>1766</v>
      </c>
      <c r="CG76" s="112" t="s">
        <v>1766</v>
      </c>
      <c r="CH76" s="112" t="s">
        <v>1766</v>
      </c>
      <c r="CI76" s="112" t="s">
        <v>1766</v>
      </c>
      <c r="CJ76" s="112" t="s">
        <v>1766</v>
      </c>
      <c r="CK76" s="112" t="s">
        <v>1766</v>
      </c>
      <c r="CL76" s="112" t="s">
        <v>1766</v>
      </c>
      <c r="CM76" s="112" t="s">
        <v>1766</v>
      </c>
      <c r="CN76" s="112" t="s">
        <v>1766</v>
      </c>
      <c r="CO76" s="112" t="s">
        <v>1766</v>
      </c>
    </row>
    <row r="77" spans="1:99">
      <c r="A77" s="106" t="s">
        <v>202</v>
      </c>
      <c r="B77" s="106">
        <v>16</v>
      </c>
      <c r="C77" s="106">
        <v>1</v>
      </c>
      <c r="D77" s="106">
        <v>1</v>
      </c>
      <c r="E77" s="106">
        <v>4</v>
      </c>
      <c r="F77" s="106">
        <v>3</v>
      </c>
      <c r="G77" s="106" t="s">
        <v>66</v>
      </c>
      <c r="I77" s="106">
        <v>201</v>
      </c>
      <c r="J77" s="106" t="s">
        <v>1766</v>
      </c>
      <c r="K77" s="106" t="s">
        <v>1318</v>
      </c>
      <c r="L77" s="106" t="s">
        <v>1334</v>
      </c>
      <c r="M77" s="106" t="s">
        <v>221</v>
      </c>
      <c r="O77" s="106">
        <v>16</v>
      </c>
      <c r="T77" s="106" t="s">
        <v>1766</v>
      </c>
      <c r="V77" s="106">
        <v>731267.12858411099</v>
      </c>
      <c r="W77" s="106">
        <v>0</v>
      </c>
      <c r="X77" s="106">
        <v>1</v>
      </c>
      <c r="Y77" s="106">
        <v>1</v>
      </c>
      <c r="Z77" s="106">
        <v>1</v>
      </c>
      <c r="AA77" s="106">
        <v>0</v>
      </c>
      <c r="AB77" s="106">
        <v>240000</v>
      </c>
      <c r="AC77" s="106">
        <v>240000</v>
      </c>
      <c r="AD77" s="106">
        <v>240000</v>
      </c>
      <c r="AE77" s="106">
        <v>720000</v>
      </c>
      <c r="AF77" s="106">
        <v>2880000</v>
      </c>
      <c r="AG77" s="106">
        <v>46.153846153846203</v>
      </c>
      <c r="AH77" s="106">
        <v>10800</v>
      </c>
      <c r="AI77" s="106">
        <v>0.05</v>
      </c>
      <c r="AJ77" s="106">
        <v>7</v>
      </c>
      <c r="AK77" s="106">
        <v>120</v>
      </c>
      <c r="AL77" s="106">
        <v>840</v>
      </c>
      <c r="AM77" s="106">
        <v>9145</v>
      </c>
      <c r="AN77" s="106">
        <v>36580</v>
      </c>
      <c r="AO77" s="106">
        <v>5609</v>
      </c>
      <c r="AP77" s="106" t="s">
        <v>94</v>
      </c>
      <c r="AQ77" s="106" t="s">
        <v>204</v>
      </c>
      <c r="AR77" s="106">
        <v>1015</v>
      </c>
      <c r="AS77" s="106">
        <v>6250</v>
      </c>
      <c r="AT77" s="106">
        <v>25000</v>
      </c>
      <c r="AU77" s="108" t="s">
        <v>147</v>
      </c>
      <c r="AV77" s="108" t="s">
        <v>205</v>
      </c>
      <c r="AW77" s="108">
        <v>1206</v>
      </c>
      <c r="AX77" s="110">
        <v>3</v>
      </c>
      <c r="AY77" s="108">
        <v>12</v>
      </c>
      <c r="BD77" s="106">
        <v>0</v>
      </c>
      <c r="BY77" s="112" t="s">
        <v>1766</v>
      </c>
      <c r="BZ77" s="112" t="s">
        <v>1766</v>
      </c>
      <c r="CA77" s="112" t="s">
        <v>1766</v>
      </c>
      <c r="CB77" s="112" t="s">
        <v>1766</v>
      </c>
      <c r="CC77" s="112" t="s">
        <v>1766</v>
      </c>
      <c r="CD77" s="112" t="s">
        <v>1766</v>
      </c>
      <c r="CE77" s="112" t="s">
        <v>1766</v>
      </c>
      <c r="CF77" s="112" t="s">
        <v>1766</v>
      </c>
      <c r="CG77" s="112" t="s">
        <v>1766</v>
      </c>
      <c r="CH77" s="112" t="s">
        <v>1766</v>
      </c>
      <c r="CI77" s="112" t="s">
        <v>1766</v>
      </c>
      <c r="CJ77" s="112" t="s">
        <v>1766</v>
      </c>
      <c r="CK77" s="112" t="s">
        <v>1766</v>
      </c>
      <c r="CL77" s="112" t="s">
        <v>1766</v>
      </c>
      <c r="CM77" s="112" t="s">
        <v>1766</v>
      </c>
      <c r="CN77" s="112" t="s">
        <v>1766</v>
      </c>
      <c r="CO77" s="112" t="s">
        <v>1766</v>
      </c>
    </row>
    <row r="78" spans="1:99">
      <c r="A78" s="106" t="s">
        <v>202</v>
      </c>
      <c r="B78" s="106">
        <v>17</v>
      </c>
      <c r="C78" s="106">
        <v>1</v>
      </c>
      <c r="D78" s="106">
        <v>1</v>
      </c>
      <c r="E78" s="106">
        <v>4</v>
      </c>
      <c r="F78" s="106">
        <v>3</v>
      </c>
      <c r="G78" s="106" t="s">
        <v>66</v>
      </c>
      <c r="I78" s="106">
        <v>201</v>
      </c>
      <c r="J78" s="106" t="s">
        <v>1766</v>
      </c>
      <c r="K78" s="106" t="s">
        <v>1318</v>
      </c>
      <c r="L78" s="106" t="s">
        <v>1335</v>
      </c>
      <c r="M78" s="106" t="s">
        <v>222</v>
      </c>
      <c r="O78" s="106">
        <v>17</v>
      </c>
      <c r="T78" s="106" t="s">
        <v>1766</v>
      </c>
      <c r="V78" s="106">
        <v>936021.92458766198</v>
      </c>
      <c r="W78" s="106">
        <v>0</v>
      </c>
      <c r="X78" s="106">
        <v>1</v>
      </c>
      <c r="Y78" s="106">
        <v>1</v>
      </c>
      <c r="Z78" s="106">
        <v>1</v>
      </c>
      <c r="AA78" s="106">
        <v>0</v>
      </c>
      <c r="AB78" s="106">
        <v>310000</v>
      </c>
      <c r="AC78" s="106">
        <v>310000</v>
      </c>
      <c r="AD78" s="106">
        <v>310000</v>
      </c>
      <c r="AE78" s="106">
        <v>930000</v>
      </c>
      <c r="AF78" s="106">
        <v>3720000</v>
      </c>
      <c r="AG78" s="106">
        <v>59.615384615384599</v>
      </c>
      <c r="AH78" s="106">
        <v>14400</v>
      </c>
      <c r="AI78" s="106">
        <v>0.05</v>
      </c>
      <c r="AJ78" s="106">
        <v>8</v>
      </c>
      <c r="AK78" s="106">
        <v>144</v>
      </c>
      <c r="AL78" s="106">
        <v>1152</v>
      </c>
      <c r="AM78" s="106">
        <v>12262</v>
      </c>
      <c r="AN78" s="106">
        <v>49048</v>
      </c>
      <c r="AO78" s="106">
        <v>7481</v>
      </c>
      <c r="AP78" s="106" t="s">
        <v>94</v>
      </c>
      <c r="AQ78" s="106" t="s">
        <v>204</v>
      </c>
      <c r="AR78" s="106">
        <v>1015</v>
      </c>
      <c r="AS78" s="106">
        <v>6900</v>
      </c>
      <c r="AT78" s="106">
        <v>27600</v>
      </c>
      <c r="AU78" s="108" t="s">
        <v>147</v>
      </c>
      <c r="AV78" s="108" t="s">
        <v>205</v>
      </c>
      <c r="AW78" s="108">
        <v>1206</v>
      </c>
      <c r="AX78" s="110">
        <v>3</v>
      </c>
      <c r="AY78" s="108">
        <v>12</v>
      </c>
      <c r="BD78" s="106">
        <v>0</v>
      </c>
      <c r="BY78" s="112" t="s">
        <v>1766</v>
      </c>
      <c r="BZ78" s="112" t="s">
        <v>1766</v>
      </c>
      <c r="CA78" s="112" t="s">
        <v>1766</v>
      </c>
      <c r="CB78" s="112" t="s">
        <v>1766</v>
      </c>
      <c r="CC78" s="112" t="s">
        <v>1766</v>
      </c>
      <c r="CD78" s="112" t="s">
        <v>1766</v>
      </c>
      <c r="CE78" s="112" t="s">
        <v>1766</v>
      </c>
      <c r="CF78" s="112" t="s">
        <v>1766</v>
      </c>
      <c r="CG78" s="112" t="s">
        <v>1766</v>
      </c>
      <c r="CH78" s="112" t="s">
        <v>1766</v>
      </c>
      <c r="CI78" s="112" t="s">
        <v>1766</v>
      </c>
      <c r="CJ78" s="112" t="s">
        <v>1766</v>
      </c>
      <c r="CK78" s="112" t="s">
        <v>1766</v>
      </c>
      <c r="CL78" s="112" t="s">
        <v>1766</v>
      </c>
      <c r="CM78" s="112" t="s">
        <v>1766</v>
      </c>
      <c r="CN78" s="112" t="s">
        <v>1766</v>
      </c>
      <c r="CO78" s="112" t="s">
        <v>1766</v>
      </c>
    </row>
    <row r="79" spans="1:99">
      <c r="A79" s="106" t="s">
        <v>202</v>
      </c>
      <c r="B79" s="106">
        <v>18</v>
      </c>
      <c r="C79" s="106">
        <v>1</v>
      </c>
      <c r="D79" s="106">
        <v>1</v>
      </c>
      <c r="E79" s="106">
        <v>4</v>
      </c>
      <c r="F79" s="106">
        <v>4</v>
      </c>
      <c r="G79" s="106" t="s">
        <v>66</v>
      </c>
      <c r="I79" s="106">
        <v>201</v>
      </c>
      <c r="J79" s="106" t="s">
        <v>1766</v>
      </c>
      <c r="K79" s="106" t="s">
        <v>1318</v>
      </c>
      <c r="L79" s="106" t="s">
        <v>1336</v>
      </c>
      <c r="M79" s="106" t="s">
        <v>223</v>
      </c>
      <c r="O79" s="106">
        <v>18</v>
      </c>
      <c r="T79" s="106" t="s">
        <v>1766</v>
      </c>
      <c r="V79" s="106">
        <v>1198108.06347221</v>
      </c>
      <c r="W79" s="106">
        <v>0</v>
      </c>
      <c r="X79" s="106">
        <v>1</v>
      </c>
      <c r="Y79" s="106">
        <v>1</v>
      </c>
      <c r="Z79" s="106">
        <v>1</v>
      </c>
      <c r="AA79" s="106">
        <v>0</v>
      </c>
      <c r="AB79" s="106">
        <v>400000</v>
      </c>
      <c r="AC79" s="106">
        <v>400000</v>
      </c>
      <c r="AD79" s="106">
        <v>400000</v>
      </c>
      <c r="AE79" s="106">
        <v>1200000</v>
      </c>
      <c r="AF79" s="106">
        <v>4800000</v>
      </c>
      <c r="AG79" s="106">
        <v>71.428571428571402</v>
      </c>
      <c r="AH79" s="106">
        <v>18720</v>
      </c>
      <c r="AI79" s="106">
        <v>6.5000000000000002E-2</v>
      </c>
      <c r="AJ79" s="106">
        <v>8</v>
      </c>
      <c r="AK79" s="106">
        <v>187.2</v>
      </c>
      <c r="AL79" s="106">
        <v>1497.6</v>
      </c>
      <c r="AM79" s="106">
        <v>15779</v>
      </c>
      <c r="AN79" s="106">
        <v>63116</v>
      </c>
      <c r="AO79" s="106">
        <v>9877</v>
      </c>
      <c r="AP79" s="106" t="s">
        <v>94</v>
      </c>
      <c r="AQ79" s="106" t="s">
        <v>204</v>
      </c>
      <c r="AR79" s="106">
        <v>1015</v>
      </c>
      <c r="AS79" s="106">
        <v>7600</v>
      </c>
      <c r="AT79" s="106">
        <v>30400</v>
      </c>
      <c r="AU79" s="108" t="s">
        <v>147</v>
      </c>
      <c r="AV79" s="108" t="s">
        <v>205</v>
      </c>
      <c r="AW79" s="108">
        <v>1206</v>
      </c>
      <c r="AX79" s="110">
        <v>3</v>
      </c>
      <c r="AY79" s="108">
        <v>12</v>
      </c>
      <c r="BD79" s="106">
        <v>0</v>
      </c>
      <c r="BY79" s="112" t="s">
        <v>1766</v>
      </c>
      <c r="BZ79" s="112" t="s">
        <v>1766</v>
      </c>
      <c r="CA79" s="112" t="s">
        <v>1766</v>
      </c>
      <c r="CB79" s="112" t="s">
        <v>1766</v>
      </c>
      <c r="CC79" s="112" t="s">
        <v>1766</v>
      </c>
      <c r="CD79" s="112" t="s">
        <v>1766</v>
      </c>
      <c r="CE79" s="112" t="s">
        <v>1766</v>
      </c>
      <c r="CF79" s="112" t="s">
        <v>1766</v>
      </c>
      <c r="CG79" s="112" t="s">
        <v>1766</v>
      </c>
      <c r="CH79" s="112" t="s">
        <v>1766</v>
      </c>
      <c r="CI79" s="112" t="s">
        <v>1766</v>
      </c>
      <c r="CJ79" s="112" t="s">
        <v>1766</v>
      </c>
      <c r="CK79" s="112" t="s">
        <v>1766</v>
      </c>
      <c r="CL79" s="112" t="s">
        <v>1766</v>
      </c>
      <c r="CM79" s="112" t="s">
        <v>1766</v>
      </c>
      <c r="CN79" s="112" t="s">
        <v>1766</v>
      </c>
      <c r="CO79" s="112" t="s">
        <v>1766</v>
      </c>
    </row>
    <row r="80" spans="1:99">
      <c r="A80" s="106" t="s">
        <v>202</v>
      </c>
      <c r="B80" s="106">
        <v>19</v>
      </c>
      <c r="C80" s="106">
        <v>1</v>
      </c>
      <c r="D80" s="106">
        <v>1</v>
      </c>
      <c r="E80" s="106">
        <v>4</v>
      </c>
      <c r="F80" s="106">
        <v>4</v>
      </c>
      <c r="G80" s="106" t="s">
        <v>66</v>
      </c>
      <c r="I80" s="106">
        <v>201</v>
      </c>
      <c r="J80" s="106" t="s">
        <v>1766</v>
      </c>
      <c r="K80" s="106" t="s">
        <v>1318</v>
      </c>
      <c r="L80" s="106" t="s">
        <v>1337</v>
      </c>
      <c r="M80" s="106" t="s">
        <v>224</v>
      </c>
      <c r="O80" s="106">
        <v>19</v>
      </c>
      <c r="T80" s="106" t="s">
        <v>1766</v>
      </c>
      <c r="V80" s="106">
        <v>1533578.32124443</v>
      </c>
      <c r="W80" s="106">
        <v>0</v>
      </c>
      <c r="X80" s="106">
        <v>1</v>
      </c>
      <c r="Y80" s="106">
        <v>1</v>
      </c>
      <c r="Z80" s="106">
        <v>1</v>
      </c>
      <c r="AA80" s="106">
        <v>0</v>
      </c>
      <c r="AB80" s="106">
        <v>510000</v>
      </c>
      <c r="AC80" s="106">
        <v>510000</v>
      </c>
      <c r="AD80" s="106">
        <v>510000</v>
      </c>
      <c r="AE80" s="106">
        <v>1530000</v>
      </c>
      <c r="AF80" s="106">
        <v>6120000</v>
      </c>
      <c r="AG80" s="106">
        <v>91.071428571428598</v>
      </c>
      <c r="AH80" s="106">
        <v>24480</v>
      </c>
      <c r="AI80" s="106">
        <v>0.08</v>
      </c>
      <c r="AJ80" s="106">
        <v>9</v>
      </c>
      <c r="AK80" s="106">
        <v>244.8</v>
      </c>
      <c r="AL80" s="106">
        <v>2203.1999999999998</v>
      </c>
      <c r="AM80" s="106">
        <v>20163</v>
      </c>
      <c r="AN80" s="106">
        <v>80652</v>
      </c>
      <c r="AO80" s="106">
        <v>12944</v>
      </c>
      <c r="AP80" s="106" t="s">
        <v>94</v>
      </c>
      <c r="AQ80" s="106" t="s">
        <v>204</v>
      </c>
      <c r="AR80" s="106">
        <v>1015</v>
      </c>
      <c r="AS80" s="106">
        <v>8300</v>
      </c>
      <c r="AT80" s="106">
        <v>33200</v>
      </c>
      <c r="AU80" s="108" t="s">
        <v>147</v>
      </c>
      <c r="AV80" s="108" t="s">
        <v>205</v>
      </c>
      <c r="AW80" s="108">
        <v>1206</v>
      </c>
      <c r="AX80" s="110">
        <v>3</v>
      </c>
      <c r="AY80" s="108">
        <v>12</v>
      </c>
      <c r="BD80" s="106">
        <v>0</v>
      </c>
      <c r="BY80" s="112" t="s">
        <v>1766</v>
      </c>
      <c r="BZ80" s="112" t="s">
        <v>1766</v>
      </c>
      <c r="CA80" s="112" t="s">
        <v>1766</v>
      </c>
      <c r="CB80" s="112" t="s">
        <v>1766</v>
      </c>
      <c r="CC80" s="112" t="s">
        <v>1766</v>
      </c>
      <c r="CD80" s="112" t="s">
        <v>1766</v>
      </c>
      <c r="CE80" s="112" t="s">
        <v>1766</v>
      </c>
      <c r="CF80" s="112" t="s">
        <v>1766</v>
      </c>
      <c r="CG80" s="112" t="s">
        <v>1766</v>
      </c>
      <c r="CH80" s="112" t="s">
        <v>1766</v>
      </c>
      <c r="CI80" s="112" t="s">
        <v>1766</v>
      </c>
      <c r="CJ80" s="112" t="s">
        <v>1766</v>
      </c>
      <c r="CK80" s="112" t="s">
        <v>1766</v>
      </c>
      <c r="CL80" s="112" t="s">
        <v>1766</v>
      </c>
      <c r="CM80" s="112" t="s">
        <v>1766</v>
      </c>
      <c r="CN80" s="112" t="s">
        <v>1766</v>
      </c>
      <c r="CO80" s="112" t="s">
        <v>1766</v>
      </c>
    </row>
    <row r="81" spans="1:93">
      <c r="A81" s="106" t="s">
        <v>202</v>
      </c>
      <c r="B81" s="106">
        <v>20</v>
      </c>
      <c r="C81" s="106">
        <v>1</v>
      </c>
      <c r="D81" s="106">
        <v>1</v>
      </c>
      <c r="E81" s="106">
        <v>4</v>
      </c>
      <c r="F81" s="106">
        <v>4</v>
      </c>
      <c r="G81" s="106" t="s">
        <v>66</v>
      </c>
      <c r="I81" s="106">
        <v>201</v>
      </c>
      <c r="J81" s="106" t="s">
        <v>1766</v>
      </c>
      <c r="K81" s="106" t="s">
        <v>1318</v>
      </c>
      <c r="L81" s="106" t="s">
        <v>1338</v>
      </c>
      <c r="M81" s="106" t="s">
        <v>225</v>
      </c>
      <c r="O81" s="106">
        <v>20</v>
      </c>
      <c r="T81" s="106" t="s">
        <v>1766</v>
      </c>
      <c r="V81" s="106">
        <v>1962980.2511928601</v>
      </c>
      <c r="W81" s="106">
        <v>0</v>
      </c>
      <c r="X81" s="106">
        <v>1</v>
      </c>
      <c r="Y81" s="106">
        <v>1</v>
      </c>
      <c r="Z81" s="106">
        <v>1</v>
      </c>
      <c r="AA81" s="106">
        <v>0</v>
      </c>
      <c r="AB81" s="106">
        <v>650000</v>
      </c>
      <c r="AC81" s="106">
        <v>650000</v>
      </c>
      <c r="AD81" s="106">
        <v>650000</v>
      </c>
      <c r="AE81" s="106">
        <v>1950000</v>
      </c>
      <c r="AF81" s="106">
        <v>7800000</v>
      </c>
      <c r="AG81" s="106">
        <v>116.071428571429</v>
      </c>
      <c r="AH81" s="106">
        <v>34560</v>
      </c>
      <c r="AI81" s="106">
        <v>9.5000000000000001E-2</v>
      </c>
      <c r="AJ81" s="106">
        <v>9</v>
      </c>
      <c r="AK81" s="106">
        <v>345.6</v>
      </c>
      <c r="AL81" s="106">
        <v>3110.4</v>
      </c>
      <c r="AM81" s="106">
        <v>28151</v>
      </c>
      <c r="AN81" s="106">
        <v>112604</v>
      </c>
      <c r="AO81" s="106">
        <v>16870</v>
      </c>
      <c r="AP81" s="106" t="s">
        <v>94</v>
      </c>
      <c r="AQ81" s="106" t="s">
        <v>204</v>
      </c>
      <c r="AR81" s="106">
        <v>1015</v>
      </c>
      <c r="AS81" s="106">
        <v>9000</v>
      </c>
      <c r="AT81" s="106">
        <v>36000</v>
      </c>
      <c r="AU81" s="108" t="s">
        <v>147</v>
      </c>
      <c r="AV81" s="108" t="s">
        <v>205</v>
      </c>
      <c r="AW81" s="108">
        <v>1206</v>
      </c>
      <c r="AX81" s="110">
        <v>3</v>
      </c>
      <c r="AY81" s="108">
        <v>12</v>
      </c>
      <c r="BD81" s="106">
        <v>0</v>
      </c>
      <c r="BY81" s="112" t="s">
        <v>1766</v>
      </c>
      <c r="BZ81" s="112" t="s">
        <v>1766</v>
      </c>
      <c r="CA81" s="112" t="s">
        <v>1766</v>
      </c>
      <c r="CB81" s="112" t="s">
        <v>1766</v>
      </c>
      <c r="CC81" s="112" t="s">
        <v>1766</v>
      </c>
      <c r="CD81" s="112" t="s">
        <v>1766</v>
      </c>
      <c r="CE81" s="112" t="s">
        <v>1766</v>
      </c>
      <c r="CF81" s="112" t="s">
        <v>1766</v>
      </c>
      <c r="CG81" s="112" t="s">
        <v>1766</v>
      </c>
      <c r="CH81" s="112" t="s">
        <v>1766</v>
      </c>
      <c r="CI81" s="112" t="s">
        <v>1766</v>
      </c>
      <c r="CJ81" s="112" t="s">
        <v>1766</v>
      </c>
      <c r="CK81" s="112" t="s">
        <v>1766</v>
      </c>
      <c r="CL81" s="112" t="s">
        <v>1766</v>
      </c>
      <c r="CM81" s="112" t="s">
        <v>1766</v>
      </c>
      <c r="CN81" s="112" t="s">
        <v>1766</v>
      </c>
      <c r="CO81" s="112" t="s">
        <v>1766</v>
      </c>
    </row>
    <row r="82" spans="1:93">
      <c r="A82" s="106" t="s">
        <v>202</v>
      </c>
      <c r="B82" s="106">
        <v>21</v>
      </c>
      <c r="C82" s="106">
        <v>1</v>
      </c>
      <c r="D82" s="106">
        <v>1</v>
      </c>
      <c r="E82" s="106">
        <v>4</v>
      </c>
      <c r="F82" s="106">
        <v>4</v>
      </c>
      <c r="G82" s="106" t="s">
        <v>66</v>
      </c>
      <c r="I82" s="106">
        <v>201</v>
      </c>
      <c r="J82" s="106" t="s">
        <v>1766</v>
      </c>
      <c r="K82" s="106" t="s">
        <v>1318</v>
      </c>
      <c r="L82" s="106" t="s">
        <v>1340</v>
      </c>
      <c r="M82" s="106" t="s">
        <v>1361</v>
      </c>
      <c r="O82" s="106">
        <v>21</v>
      </c>
      <c r="T82" s="106" t="s">
        <v>1766</v>
      </c>
      <c r="V82" s="106">
        <v>2512614.72152687</v>
      </c>
      <c r="W82" s="106">
        <v>0</v>
      </c>
      <c r="X82" s="106">
        <v>1</v>
      </c>
      <c r="Y82" s="106">
        <v>1</v>
      </c>
      <c r="Z82" s="106">
        <v>1</v>
      </c>
      <c r="AA82" s="106">
        <v>0</v>
      </c>
      <c r="AB82" s="106">
        <v>840000</v>
      </c>
      <c r="AC82" s="106">
        <v>840000</v>
      </c>
      <c r="AD82" s="106">
        <v>840000</v>
      </c>
      <c r="AE82" s="106">
        <v>2520000</v>
      </c>
      <c r="AF82" s="106">
        <v>10080000</v>
      </c>
      <c r="AG82" s="106">
        <v>131.25</v>
      </c>
      <c r="AH82" s="106">
        <v>46080</v>
      </c>
      <c r="AI82" s="106">
        <v>0.11</v>
      </c>
      <c r="AJ82" s="106">
        <v>10</v>
      </c>
      <c r="AK82" s="106">
        <v>460.8</v>
      </c>
      <c r="AL82" s="106">
        <v>4608</v>
      </c>
      <c r="AM82" s="106">
        <v>36605</v>
      </c>
      <c r="AN82" s="106">
        <v>146420</v>
      </c>
      <c r="AO82" s="106">
        <v>21895</v>
      </c>
      <c r="AP82" s="106" t="s">
        <v>94</v>
      </c>
      <c r="AQ82" s="106" t="s">
        <v>204</v>
      </c>
      <c r="AR82" s="106">
        <v>1015</v>
      </c>
      <c r="AS82" s="106">
        <v>9800</v>
      </c>
      <c r="AT82" s="106">
        <v>39200</v>
      </c>
      <c r="AU82" s="108" t="s">
        <v>147</v>
      </c>
      <c r="AV82" s="108" t="s">
        <v>205</v>
      </c>
      <c r="AW82" s="108">
        <v>1206</v>
      </c>
      <c r="AX82" s="110">
        <v>3</v>
      </c>
      <c r="AY82" s="108">
        <v>12</v>
      </c>
      <c r="BD82" s="106">
        <v>0</v>
      </c>
      <c r="BY82" s="112" t="s">
        <v>1766</v>
      </c>
      <c r="BZ82" s="112" t="s">
        <v>1766</v>
      </c>
      <c r="CA82" s="112" t="s">
        <v>1766</v>
      </c>
      <c r="CB82" s="112" t="s">
        <v>1766</v>
      </c>
      <c r="CC82" s="112" t="s">
        <v>1766</v>
      </c>
      <c r="CD82" s="112" t="s">
        <v>1766</v>
      </c>
      <c r="CE82" s="112" t="s">
        <v>1766</v>
      </c>
      <c r="CF82" s="112" t="s">
        <v>1766</v>
      </c>
      <c r="CG82" s="112" t="s">
        <v>1766</v>
      </c>
      <c r="CH82" s="112" t="s">
        <v>1766</v>
      </c>
      <c r="CI82" s="112" t="s">
        <v>1766</v>
      </c>
      <c r="CJ82" s="112" t="s">
        <v>1766</v>
      </c>
      <c r="CK82" s="112" t="s">
        <v>1766</v>
      </c>
      <c r="CL82" s="112" t="s">
        <v>1766</v>
      </c>
      <c r="CM82" s="112" t="s">
        <v>1766</v>
      </c>
      <c r="CN82" s="112" t="s">
        <v>1766</v>
      </c>
      <c r="CO82" s="112" t="s">
        <v>1766</v>
      </c>
    </row>
    <row r="83" spans="1:93">
      <c r="A83" s="106" t="s">
        <v>202</v>
      </c>
      <c r="B83" s="106">
        <v>22</v>
      </c>
      <c r="C83" s="106">
        <v>1</v>
      </c>
      <c r="D83" s="106">
        <v>1</v>
      </c>
      <c r="E83" s="106">
        <v>4</v>
      </c>
      <c r="F83" s="106">
        <v>4</v>
      </c>
      <c r="G83" s="106" t="s">
        <v>66</v>
      </c>
      <c r="I83" s="106">
        <v>201</v>
      </c>
      <c r="J83" s="106" t="s">
        <v>1766</v>
      </c>
      <c r="K83" s="106" t="s">
        <v>1318</v>
      </c>
      <c r="L83" s="106" t="s">
        <v>1342</v>
      </c>
      <c r="M83" s="106" t="s">
        <v>1362</v>
      </c>
      <c r="O83" s="106">
        <v>22</v>
      </c>
      <c r="T83" s="106" t="s">
        <v>1766</v>
      </c>
      <c r="V83" s="106">
        <v>3216146.8435543901</v>
      </c>
      <c r="W83" s="106">
        <v>0</v>
      </c>
      <c r="X83" s="106">
        <v>1</v>
      </c>
      <c r="Y83" s="106">
        <v>1</v>
      </c>
      <c r="Z83" s="106">
        <v>1</v>
      </c>
      <c r="AA83" s="106">
        <v>0</v>
      </c>
      <c r="AB83" s="106">
        <v>1100000</v>
      </c>
      <c r="AC83" s="106">
        <v>1100000</v>
      </c>
      <c r="AD83" s="106">
        <v>1100000</v>
      </c>
      <c r="AE83" s="106">
        <v>3300000</v>
      </c>
      <c r="AF83" s="106">
        <v>13200000</v>
      </c>
      <c r="AG83" s="106">
        <v>171.875</v>
      </c>
      <c r="AH83" s="106">
        <v>60480</v>
      </c>
      <c r="AI83" s="106">
        <v>0.125</v>
      </c>
      <c r="AJ83" s="106">
        <v>10</v>
      </c>
      <c r="AK83" s="106">
        <v>604.79999999999995</v>
      </c>
      <c r="AL83" s="106">
        <v>6048</v>
      </c>
      <c r="AM83" s="106">
        <v>47412</v>
      </c>
      <c r="AN83" s="106">
        <v>189648</v>
      </c>
      <c r="AO83" s="106">
        <v>28328</v>
      </c>
      <c r="AP83" s="106" t="s">
        <v>94</v>
      </c>
      <c r="AQ83" s="106" t="s">
        <v>204</v>
      </c>
      <c r="AR83" s="106">
        <v>1015</v>
      </c>
      <c r="AS83" s="106">
        <v>10600</v>
      </c>
      <c r="AT83" s="106">
        <v>42400</v>
      </c>
      <c r="AU83" s="108" t="s">
        <v>147</v>
      </c>
      <c r="AV83" s="108" t="s">
        <v>205</v>
      </c>
      <c r="AW83" s="108">
        <v>1206</v>
      </c>
      <c r="AX83" s="110">
        <v>3</v>
      </c>
      <c r="AY83" s="108">
        <v>12</v>
      </c>
      <c r="BD83" s="106">
        <v>0</v>
      </c>
      <c r="BY83" s="112" t="s">
        <v>1766</v>
      </c>
      <c r="BZ83" s="112" t="s">
        <v>1766</v>
      </c>
      <c r="CA83" s="112" t="s">
        <v>1766</v>
      </c>
      <c r="CB83" s="112" t="s">
        <v>1766</v>
      </c>
      <c r="CC83" s="112" t="s">
        <v>1766</v>
      </c>
      <c r="CD83" s="112" t="s">
        <v>1766</v>
      </c>
      <c r="CE83" s="112" t="s">
        <v>1766</v>
      </c>
      <c r="CF83" s="112" t="s">
        <v>1766</v>
      </c>
      <c r="CG83" s="112" t="s">
        <v>1766</v>
      </c>
      <c r="CH83" s="112" t="s">
        <v>1766</v>
      </c>
      <c r="CI83" s="112" t="s">
        <v>1766</v>
      </c>
      <c r="CJ83" s="112" t="s">
        <v>1766</v>
      </c>
      <c r="CK83" s="112" t="s">
        <v>1766</v>
      </c>
      <c r="CL83" s="112" t="s">
        <v>1766</v>
      </c>
      <c r="CM83" s="112" t="s">
        <v>1766</v>
      </c>
      <c r="CN83" s="112" t="s">
        <v>1766</v>
      </c>
      <c r="CO83" s="112" t="s">
        <v>1766</v>
      </c>
    </row>
    <row r="84" spans="1:93">
      <c r="A84" s="106" t="s">
        <v>202</v>
      </c>
      <c r="B84" s="106">
        <v>23</v>
      </c>
      <c r="C84" s="106">
        <v>1</v>
      </c>
      <c r="D84" s="106">
        <v>1</v>
      </c>
      <c r="E84" s="106">
        <v>4</v>
      </c>
      <c r="F84" s="106">
        <v>4</v>
      </c>
      <c r="G84" s="106" t="s">
        <v>66</v>
      </c>
      <c r="I84" s="106">
        <v>201</v>
      </c>
      <c r="J84" s="106" t="s">
        <v>1766</v>
      </c>
      <c r="K84" s="106" t="s">
        <v>1318</v>
      </c>
      <c r="L84" s="106" t="s">
        <v>1344</v>
      </c>
      <c r="M84" s="106" t="s">
        <v>1363</v>
      </c>
      <c r="O84" s="106">
        <v>23</v>
      </c>
      <c r="T84" s="106" t="s">
        <v>1766</v>
      </c>
      <c r="V84" s="106">
        <v>4116667.9597496199</v>
      </c>
      <c r="W84" s="106">
        <v>0</v>
      </c>
      <c r="X84" s="106">
        <v>1</v>
      </c>
      <c r="Y84" s="106">
        <v>1</v>
      </c>
      <c r="Z84" s="106">
        <v>1</v>
      </c>
      <c r="AA84" s="106">
        <v>0</v>
      </c>
      <c r="AB84" s="106">
        <v>1400000</v>
      </c>
      <c r="AC84" s="106">
        <v>1400000</v>
      </c>
      <c r="AD84" s="106">
        <v>1400000</v>
      </c>
      <c r="AE84" s="106">
        <v>4200000</v>
      </c>
      <c r="AF84" s="106">
        <v>16800000</v>
      </c>
      <c r="AG84" s="106">
        <v>218.75</v>
      </c>
      <c r="AH84" s="106">
        <v>77760</v>
      </c>
      <c r="AI84" s="106">
        <v>0.125</v>
      </c>
      <c r="AJ84" s="106">
        <v>11</v>
      </c>
      <c r="AK84" s="106">
        <v>777.6</v>
      </c>
      <c r="AL84" s="106">
        <v>8553.6</v>
      </c>
      <c r="AM84" s="106">
        <v>60266</v>
      </c>
      <c r="AN84" s="106">
        <v>241064</v>
      </c>
      <c r="AO84" s="106">
        <v>36561</v>
      </c>
      <c r="AP84" s="106" t="s">
        <v>94</v>
      </c>
      <c r="AQ84" s="106" t="s">
        <v>204</v>
      </c>
      <c r="AR84" s="106">
        <v>1015</v>
      </c>
      <c r="AS84" s="106">
        <v>11400</v>
      </c>
      <c r="AT84" s="106">
        <v>45600</v>
      </c>
      <c r="AU84" s="108" t="s">
        <v>147</v>
      </c>
      <c r="AV84" s="108" t="s">
        <v>205</v>
      </c>
      <c r="AW84" s="108">
        <v>1206</v>
      </c>
      <c r="AX84" s="110">
        <v>3</v>
      </c>
      <c r="AY84" s="108">
        <v>12</v>
      </c>
      <c r="BD84" s="106">
        <v>0</v>
      </c>
      <c r="BY84" s="112" t="s">
        <v>1766</v>
      </c>
      <c r="BZ84" s="112" t="s">
        <v>1766</v>
      </c>
      <c r="CA84" s="112" t="s">
        <v>1766</v>
      </c>
      <c r="CB84" s="112" t="s">
        <v>1766</v>
      </c>
      <c r="CC84" s="112" t="s">
        <v>1766</v>
      </c>
      <c r="CD84" s="112" t="s">
        <v>1766</v>
      </c>
      <c r="CE84" s="112" t="s">
        <v>1766</v>
      </c>
      <c r="CF84" s="112" t="s">
        <v>1766</v>
      </c>
      <c r="CG84" s="112" t="s">
        <v>1766</v>
      </c>
      <c r="CH84" s="112" t="s">
        <v>1766</v>
      </c>
      <c r="CI84" s="112" t="s">
        <v>1766</v>
      </c>
      <c r="CJ84" s="112" t="s">
        <v>1766</v>
      </c>
      <c r="CK84" s="112" t="s">
        <v>1766</v>
      </c>
      <c r="CL84" s="112" t="s">
        <v>1766</v>
      </c>
      <c r="CM84" s="112" t="s">
        <v>1766</v>
      </c>
      <c r="CN84" s="112" t="s">
        <v>1766</v>
      </c>
      <c r="CO84" s="112" t="s">
        <v>1766</v>
      </c>
    </row>
    <row r="85" spans="1:93">
      <c r="A85" s="106" t="s">
        <v>202</v>
      </c>
      <c r="B85" s="106">
        <v>24</v>
      </c>
      <c r="C85" s="106">
        <v>1</v>
      </c>
      <c r="D85" s="106">
        <v>1</v>
      </c>
      <c r="E85" s="106">
        <v>4</v>
      </c>
      <c r="F85" s="106">
        <v>4</v>
      </c>
      <c r="G85" s="106" t="s">
        <v>66</v>
      </c>
      <c r="I85" s="106">
        <v>201</v>
      </c>
      <c r="J85" s="106" t="s">
        <v>1766</v>
      </c>
      <c r="K85" s="106" t="s">
        <v>1318</v>
      </c>
      <c r="L85" s="106" t="s">
        <v>1346</v>
      </c>
      <c r="M85" s="106" t="s">
        <v>1364</v>
      </c>
      <c r="O85" s="106">
        <v>24</v>
      </c>
      <c r="T85" s="106" t="s">
        <v>1766</v>
      </c>
      <c r="V85" s="106">
        <v>5269334.9884795099</v>
      </c>
      <c r="W85" s="106">
        <v>0</v>
      </c>
      <c r="X85" s="106">
        <v>1</v>
      </c>
      <c r="Y85" s="106">
        <v>1</v>
      </c>
      <c r="Z85" s="106">
        <v>1</v>
      </c>
      <c r="AA85" s="106">
        <v>0</v>
      </c>
      <c r="AB85" s="106">
        <v>1800000</v>
      </c>
      <c r="AC85" s="106">
        <v>1800000</v>
      </c>
      <c r="AD85" s="106">
        <v>1800000</v>
      </c>
      <c r="AE85" s="106">
        <v>5400000</v>
      </c>
      <c r="AF85" s="106">
        <v>21600000</v>
      </c>
      <c r="AG85" s="106">
        <v>281.25</v>
      </c>
      <c r="AH85" s="106">
        <v>99360</v>
      </c>
      <c r="AI85" s="106">
        <v>0.125</v>
      </c>
      <c r="AJ85" s="106">
        <v>12</v>
      </c>
      <c r="AK85" s="106">
        <v>993.6</v>
      </c>
      <c r="AL85" s="106">
        <v>11923.2</v>
      </c>
      <c r="AM85" s="106">
        <v>76096</v>
      </c>
      <c r="AN85" s="106">
        <v>304384</v>
      </c>
      <c r="AO85" s="106">
        <v>47100</v>
      </c>
      <c r="AP85" s="106" t="s">
        <v>94</v>
      </c>
      <c r="AQ85" s="106" t="s">
        <v>204</v>
      </c>
      <c r="AR85" s="106">
        <v>1015</v>
      </c>
      <c r="AS85" s="106">
        <v>12200</v>
      </c>
      <c r="AT85" s="106">
        <v>48800</v>
      </c>
      <c r="AU85" s="108" t="s">
        <v>147</v>
      </c>
      <c r="AV85" s="108" t="s">
        <v>205</v>
      </c>
      <c r="AW85" s="108">
        <v>1206</v>
      </c>
      <c r="AX85" s="110">
        <v>3</v>
      </c>
      <c r="AY85" s="108">
        <v>12</v>
      </c>
      <c r="BD85" s="106">
        <v>0</v>
      </c>
      <c r="BY85" s="112" t="s">
        <v>1766</v>
      </c>
      <c r="BZ85" s="112" t="s">
        <v>1766</v>
      </c>
      <c r="CA85" s="112" t="s">
        <v>1766</v>
      </c>
      <c r="CB85" s="112" t="s">
        <v>1766</v>
      </c>
      <c r="CC85" s="112" t="s">
        <v>1766</v>
      </c>
      <c r="CD85" s="112" t="s">
        <v>1766</v>
      </c>
      <c r="CE85" s="112" t="s">
        <v>1766</v>
      </c>
      <c r="CF85" s="112" t="s">
        <v>1766</v>
      </c>
      <c r="CG85" s="112" t="s">
        <v>1766</v>
      </c>
      <c r="CH85" s="112" t="s">
        <v>1766</v>
      </c>
      <c r="CI85" s="112" t="s">
        <v>1766</v>
      </c>
      <c r="CJ85" s="112" t="s">
        <v>1766</v>
      </c>
      <c r="CK85" s="112" t="s">
        <v>1766</v>
      </c>
      <c r="CL85" s="112" t="s">
        <v>1766</v>
      </c>
      <c r="CM85" s="112" t="s">
        <v>1766</v>
      </c>
      <c r="CN85" s="112" t="s">
        <v>1766</v>
      </c>
      <c r="CO85" s="112" t="s">
        <v>1766</v>
      </c>
    </row>
    <row r="86" spans="1:93">
      <c r="A86" s="106" t="s">
        <v>202</v>
      </c>
      <c r="B86" s="106">
        <v>25</v>
      </c>
      <c r="C86" s="106">
        <v>1</v>
      </c>
      <c r="D86" s="106">
        <v>1</v>
      </c>
      <c r="E86" s="106">
        <v>4</v>
      </c>
      <c r="F86" s="106">
        <v>4</v>
      </c>
      <c r="G86" s="106" t="s">
        <v>66</v>
      </c>
      <c r="I86" s="106">
        <v>201</v>
      </c>
      <c r="J86" s="106" t="s">
        <v>1766</v>
      </c>
      <c r="K86" s="106" t="s">
        <v>1318</v>
      </c>
      <c r="L86" s="106" t="s">
        <v>1348</v>
      </c>
      <c r="M86" s="106" t="s">
        <v>1365</v>
      </c>
      <c r="O86" s="106">
        <v>25</v>
      </c>
      <c r="T86" s="106" t="s">
        <v>1766</v>
      </c>
      <c r="V86" s="106">
        <v>6744748.78525378</v>
      </c>
      <c r="W86" s="106">
        <v>0</v>
      </c>
      <c r="X86" s="106">
        <v>1</v>
      </c>
      <c r="Y86" s="106">
        <v>1</v>
      </c>
      <c r="Z86" s="106">
        <v>1</v>
      </c>
      <c r="AA86" s="106">
        <v>0</v>
      </c>
      <c r="AB86" s="106">
        <v>2200000</v>
      </c>
      <c r="AC86" s="106">
        <v>2200000</v>
      </c>
      <c r="AD86" s="106">
        <v>2200000</v>
      </c>
      <c r="AE86" s="106">
        <v>6600000</v>
      </c>
      <c r="AF86" s="106">
        <v>26400000</v>
      </c>
      <c r="AG86" s="106">
        <v>343.75</v>
      </c>
      <c r="AH86" s="106">
        <v>125280</v>
      </c>
      <c r="AI86" s="106">
        <v>0.125</v>
      </c>
      <c r="AJ86" s="106">
        <v>13</v>
      </c>
      <c r="AK86" s="106">
        <v>1252.8</v>
      </c>
      <c r="AL86" s="106">
        <v>16286.4</v>
      </c>
      <c r="AM86" s="106">
        <v>94773</v>
      </c>
      <c r="AN86" s="106">
        <v>379092</v>
      </c>
      <c r="AO86" s="106">
        <v>60589</v>
      </c>
      <c r="AP86" s="106" t="s">
        <v>94</v>
      </c>
      <c r="AQ86" s="106" t="s">
        <v>204</v>
      </c>
      <c r="AR86" s="106">
        <v>1015</v>
      </c>
      <c r="AS86" s="106">
        <v>13000</v>
      </c>
      <c r="AT86" s="106">
        <v>52000</v>
      </c>
      <c r="AU86" s="108" t="s">
        <v>147</v>
      </c>
      <c r="AV86" s="108" t="s">
        <v>205</v>
      </c>
      <c r="AW86" s="108">
        <v>1206</v>
      </c>
      <c r="AX86" s="110">
        <v>3</v>
      </c>
      <c r="AY86" s="108">
        <v>12</v>
      </c>
      <c r="BD86" s="106">
        <v>0</v>
      </c>
      <c r="BY86" s="112" t="s">
        <v>1766</v>
      </c>
      <c r="BZ86" s="112" t="s">
        <v>1766</v>
      </c>
      <c r="CA86" s="112" t="s">
        <v>1766</v>
      </c>
      <c r="CB86" s="112" t="s">
        <v>1766</v>
      </c>
      <c r="CC86" s="112" t="s">
        <v>1766</v>
      </c>
      <c r="CD86" s="112" t="s">
        <v>1766</v>
      </c>
      <c r="CE86" s="112" t="s">
        <v>1766</v>
      </c>
      <c r="CF86" s="112" t="s">
        <v>1766</v>
      </c>
      <c r="CG86" s="112" t="s">
        <v>1766</v>
      </c>
      <c r="CH86" s="112" t="s">
        <v>1766</v>
      </c>
      <c r="CI86" s="112" t="s">
        <v>1766</v>
      </c>
      <c r="CJ86" s="112" t="s">
        <v>1766</v>
      </c>
      <c r="CK86" s="112" t="s">
        <v>1766</v>
      </c>
      <c r="CL86" s="112" t="s">
        <v>1766</v>
      </c>
      <c r="CM86" s="112" t="s">
        <v>1766</v>
      </c>
      <c r="CN86" s="112" t="s">
        <v>1766</v>
      </c>
      <c r="CO86" s="112" t="s">
        <v>1766</v>
      </c>
    </row>
    <row r="87" spans="1:93">
      <c r="A87" s="106" t="s">
        <v>202</v>
      </c>
      <c r="B87" s="106">
        <v>26</v>
      </c>
      <c r="C87" s="106">
        <v>1</v>
      </c>
      <c r="D87" s="106">
        <v>1</v>
      </c>
      <c r="E87" s="106">
        <v>4</v>
      </c>
      <c r="F87" s="106">
        <v>4</v>
      </c>
      <c r="G87" s="106" t="s">
        <v>66</v>
      </c>
      <c r="I87" s="106">
        <v>201</v>
      </c>
      <c r="J87" s="106" t="s">
        <v>1766</v>
      </c>
      <c r="K87" s="106" t="s">
        <v>1318</v>
      </c>
      <c r="L87" s="106" t="s">
        <v>1350</v>
      </c>
      <c r="M87" s="106" t="s">
        <v>1366</v>
      </c>
      <c r="O87" s="106">
        <v>26</v>
      </c>
      <c r="T87" s="106" t="s">
        <v>1766</v>
      </c>
      <c r="V87" s="106">
        <v>8633278.4451248292</v>
      </c>
      <c r="W87" s="106">
        <v>0</v>
      </c>
      <c r="X87" s="106">
        <v>1</v>
      </c>
      <c r="Y87" s="106">
        <v>1</v>
      </c>
      <c r="Z87" s="106">
        <v>1</v>
      </c>
      <c r="AA87" s="106">
        <v>0</v>
      </c>
      <c r="AB87" s="106">
        <v>2900000</v>
      </c>
      <c r="AC87" s="106">
        <v>2900000</v>
      </c>
      <c r="AD87" s="106">
        <v>2900000</v>
      </c>
      <c r="AE87" s="106">
        <v>8700000</v>
      </c>
      <c r="AF87" s="106">
        <v>34800000</v>
      </c>
      <c r="AG87" s="106">
        <v>362.5</v>
      </c>
      <c r="AH87" s="106">
        <v>155520</v>
      </c>
      <c r="AI87" s="106">
        <v>0.14499999999999999</v>
      </c>
      <c r="AJ87" s="106">
        <v>14</v>
      </c>
      <c r="AK87" s="106">
        <v>1555.2</v>
      </c>
      <c r="AL87" s="106">
        <v>21772.799999999999</v>
      </c>
      <c r="AM87" s="106">
        <v>113752</v>
      </c>
      <c r="AN87" s="106">
        <v>455008</v>
      </c>
      <c r="AO87" s="106">
        <v>77856</v>
      </c>
      <c r="AP87" s="106" t="s">
        <v>94</v>
      </c>
      <c r="AQ87" s="106" t="s">
        <v>204</v>
      </c>
      <c r="AR87" s="106">
        <v>1015</v>
      </c>
      <c r="AS87" s="106">
        <v>14000</v>
      </c>
      <c r="AT87" s="106">
        <v>56000</v>
      </c>
      <c r="AU87" s="108" t="s">
        <v>147</v>
      </c>
      <c r="AV87" s="108" t="s">
        <v>205</v>
      </c>
      <c r="AW87" s="108">
        <v>1206</v>
      </c>
      <c r="AX87" s="110">
        <v>4</v>
      </c>
      <c r="AY87" s="108">
        <v>16</v>
      </c>
      <c r="BD87" s="106">
        <v>0</v>
      </c>
      <c r="BY87" s="112" t="s">
        <v>1766</v>
      </c>
      <c r="BZ87" s="112" t="s">
        <v>1766</v>
      </c>
      <c r="CA87" s="112" t="s">
        <v>1766</v>
      </c>
      <c r="CB87" s="112" t="s">
        <v>1766</v>
      </c>
      <c r="CC87" s="112" t="s">
        <v>1766</v>
      </c>
      <c r="CD87" s="112" t="s">
        <v>1766</v>
      </c>
      <c r="CE87" s="112" t="s">
        <v>1766</v>
      </c>
      <c r="CF87" s="112" t="s">
        <v>1766</v>
      </c>
      <c r="CG87" s="112" t="s">
        <v>1766</v>
      </c>
      <c r="CH87" s="112" t="s">
        <v>1766</v>
      </c>
      <c r="CI87" s="112" t="s">
        <v>1766</v>
      </c>
      <c r="CJ87" s="112" t="s">
        <v>1766</v>
      </c>
      <c r="CK87" s="112" t="s">
        <v>1766</v>
      </c>
      <c r="CL87" s="112" t="s">
        <v>1766</v>
      </c>
      <c r="CM87" s="112" t="s">
        <v>1766</v>
      </c>
      <c r="CN87" s="112" t="s">
        <v>1766</v>
      </c>
      <c r="CO87" s="112" t="s">
        <v>1766</v>
      </c>
    </row>
    <row r="88" spans="1:93">
      <c r="A88" s="106" t="s">
        <v>202</v>
      </c>
      <c r="B88" s="106">
        <v>27</v>
      </c>
      <c r="C88" s="106">
        <v>1</v>
      </c>
      <c r="D88" s="106">
        <v>1</v>
      </c>
      <c r="E88" s="106">
        <v>4</v>
      </c>
      <c r="F88" s="106">
        <v>4</v>
      </c>
      <c r="G88" s="106" t="s">
        <v>66</v>
      </c>
      <c r="I88" s="106">
        <v>201</v>
      </c>
      <c r="J88" s="106" t="s">
        <v>1766</v>
      </c>
      <c r="K88" s="106" t="s">
        <v>1318</v>
      </c>
      <c r="L88" s="106" t="s">
        <v>1352</v>
      </c>
      <c r="M88" s="106" t="s">
        <v>1367</v>
      </c>
      <c r="O88" s="106">
        <v>27</v>
      </c>
      <c r="T88" s="106" t="s">
        <v>1766</v>
      </c>
      <c r="V88" s="106">
        <v>11050596.409759801</v>
      </c>
      <c r="W88" s="106">
        <v>0</v>
      </c>
      <c r="X88" s="106">
        <v>1</v>
      </c>
      <c r="Y88" s="106">
        <v>1</v>
      </c>
      <c r="Z88" s="106">
        <v>1</v>
      </c>
      <c r="AA88" s="106">
        <v>0</v>
      </c>
      <c r="AB88" s="106">
        <v>3700000</v>
      </c>
      <c r="AC88" s="106">
        <v>3700000</v>
      </c>
      <c r="AD88" s="106">
        <v>3700000</v>
      </c>
      <c r="AE88" s="106">
        <v>11100000</v>
      </c>
      <c r="AF88" s="106">
        <v>44400000</v>
      </c>
      <c r="AG88" s="106">
        <v>385.41666666666703</v>
      </c>
      <c r="AH88" s="106">
        <v>190080</v>
      </c>
      <c r="AI88" s="106">
        <v>0.16500000000000001</v>
      </c>
      <c r="AJ88" s="106">
        <v>15</v>
      </c>
      <c r="AK88" s="106">
        <v>1900.8</v>
      </c>
      <c r="AL88" s="106">
        <v>28512</v>
      </c>
      <c r="AM88" s="106">
        <v>134346</v>
      </c>
      <c r="AN88" s="106">
        <v>537384</v>
      </c>
      <c r="AO88" s="106">
        <v>99957</v>
      </c>
      <c r="AP88" s="106" t="s">
        <v>94</v>
      </c>
      <c r="AQ88" s="106" t="s">
        <v>204</v>
      </c>
      <c r="AR88" s="106">
        <v>1015</v>
      </c>
      <c r="AS88" s="106">
        <v>15200</v>
      </c>
      <c r="AT88" s="106">
        <v>60800</v>
      </c>
      <c r="AU88" s="108" t="s">
        <v>147</v>
      </c>
      <c r="AV88" s="108" t="s">
        <v>205</v>
      </c>
      <c r="AW88" s="108">
        <v>1206</v>
      </c>
      <c r="AX88" s="110">
        <v>4</v>
      </c>
      <c r="AY88" s="108">
        <v>16</v>
      </c>
      <c r="BD88" s="106">
        <v>0</v>
      </c>
      <c r="BY88" s="112" t="s">
        <v>1766</v>
      </c>
      <c r="BZ88" s="112" t="s">
        <v>1766</v>
      </c>
      <c r="CA88" s="112" t="s">
        <v>1766</v>
      </c>
      <c r="CB88" s="112" t="s">
        <v>1766</v>
      </c>
      <c r="CC88" s="112" t="s">
        <v>1766</v>
      </c>
      <c r="CD88" s="112" t="s">
        <v>1766</v>
      </c>
      <c r="CE88" s="112" t="s">
        <v>1766</v>
      </c>
      <c r="CF88" s="112" t="s">
        <v>1766</v>
      </c>
      <c r="CG88" s="112" t="s">
        <v>1766</v>
      </c>
      <c r="CH88" s="112" t="s">
        <v>1766</v>
      </c>
      <c r="CI88" s="112" t="s">
        <v>1766</v>
      </c>
      <c r="CJ88" s="112" t="s">
        <v>1766</v>
      </c>
      <c r="CK88" s="112" t="s">
        <v>1766</v>
      </c>
      <c r="CL88" s="112" t="s">
        <v>1766</v>
      </c>
      <c r="CM88" s="112" t="s">
        <v>1766</v>
      </c>
      <c r="CN88" s="112" t="s">
        <v>1766</v>
      </c>
      <c r="CO88" s="112" t="s">
        <v>1766</v>
      </c>
    </row>
    <row r="89" spans="1:93">
      <c r="A89" s="106" t="s">
        <v>202</v>
      </c>
      <c r="B89" s="106">
        <v>28</v>
      </c>
      <c r="C89" s="106">
        <v>1</v>
      </c>
      <c r="D89" s="106">
        <v>1</v>
      </c>
      <c r="E89" s="106">
        <v>4</v>
      </c>
      <c r="F89" s="106">
        <v>4</v>
      </c>
      <c r="G89" s="106" t="s">
        <v>66</v>
      </c>
      <c r="I89" s="106">
        <v>201</v>
      </c>
      <c r="J89" s="106" t="s">
        <v>1766</v>
      </c>
      <c r="K89" s="106" t="s">
        <v>1318</v>
      </c>
      <c r="L89" s="106" t="s">
        <v>1354</v>
      </c>
      <c r="M89" s="106" t="s">
        <v>1368</v>
      </c>
      <c r="O89" s="106">
        <v>28</v>
      </c>
      <c r="T89" s="106" t="s">
        <v>1766</v>
      </c>
      <c r="V89" s="106">
        <v>14144763.404492499</v>
      </c>
      <c r="W89" s="106">
        <v>0</v>
      </c>
      <c r="X89" s="106">
        <v>1</v>
      </c>
      <c r="Y89" s="106">
        <v>1</v>
      </c>
      <c r="Z89" s="106">
        <v>1</v>
      </c>
      <c r="AA89" s="106">
        <v>0</v>
      </c>
      <c r="AB89" s="106">
        <v>4700000</v>
      </c>
      <c r="AC89" s="106">
        <v>4700000</v>
      </c>
      <c r="AD89" s="106">
        <v>4700000</v>
      </c>
      <c r="AE89" s="106">
        <v>14100000</v>
      </c>
      <c r="AF89" s="106">
        <v>56400000</v>
      </c>
      <c r="AG89" s="106">
        <v>419.642857142857</v>
      </c>
      <c r="AH89" s="106">
        <v>233280</v>
      </c>
      <c r="AI89" s="106">
        <v>0.185</v>
      </c>
      <c r="AJ89" s="106">
        <v>16</v>
      </c>
      <c r="AK89" s="106">
        <v>2332.8000000000002</v>
      </c>
      <c r="AL89" s="106">
        <v>37324.800000000003</v>
      </c>
      <c r="AM89" s="106">
        <v>159235</v>
      </c>
      <c r="AN89" s="106">
        <v>636940</v>
      </c>
      <c r="AO89" s="106">
        <v>128246</v>
      </c>
      <c r="AP89" s="106" t="s">
        <v>94</v>
      </c>
      <c r="AQ89" s="106" t="s">
        <v>204</v>
      </c>
      <c r="AR89" s="106">
        <v>1015</v>
      </c>
      <c r="AS89" s="106">
        <v>16600</v>
      </c>
      <c r="AT89" s="106">
        <v>66400</v>
      </c>
      <c r="AU89" s="108" t="s">
        <v>147</v>
      </c>
      <c r="AV89" s="108" t="s">
        <v>205</v>
      </c>
      <c r="AW89" s="108">
        <v>1206</v>
      </c>
      <c r="AX89" s="110">
        <v>4</v>
      </c>
      <c r="AY89" s="108">
        <v>16</v>
      </c>
      <c r="BD89" s="106">
        <v>0</v>
      </c>
      <c r="BY89" s="112" t="s">
        <v>1766</v>
      </c>
      <c r="BZ89" s="112" t="s">
        <v>1766</v>
      </c>
      <c r="CA89" s="112" t="s">
        <v>1766</v>
      </c>
      <c r="CB89" s="112" t="s">
        <v>1766</v>
      </c>
      <c r="CC89" s="112" t="s">
        <v>1766</v>
      </c>
      <c r="CD89" s="112" t="s">
        <v>1766</v>
      </c>
      <c r="CE89" s="112" t="s">
        <v>1766</v>
      </c>
      <c r="CF89" s="112" t="s">
        <v>1766</v>
      </c>
      <c r="CG89" s="112" t="s">
        <v>1766</v>
      </c>
      <c r="CH89" s="112" t="s">
        <v>1766</v>
      </c>
      <c r="CI89" s="112" t="s">
        <v>1766</v>
      </c>
      <c r="CJ89" s="112" t="s">
        <v>1766</v>
      </c>
      <c r="CK89" s="112" t="s">
        <v>1766</v>
      </c>
      <c r="CL89" s="112" t="s">
        <v>1766</v>
      </c>
      <c r="CM89" s="112" t="s">
        <v>1766</v>
      </c>
      <c r="CN89" s="112" t="s">
        <v>1766</v>
      </c>
      <c r="CO89" s="112" t="s">
        <v>1766</v>
      </c>
    </row>
    <row r="90" spans="1:93">
      <c r="A90" s="106" t="s">
        <v>202</v>
      </c>
      <c r="B90" s="106">
        <v>29</v>
      </c>
      <c r="C90" s="106">
        <v>1</v>
      </c>
      <c r="D90" s="106">
        <v>1</v>
      </c>
      <c r="E90" s="106">
        <v>4</v>
      </c>
      <c r="F90" s="106">
        <v>4</v>
      </c>
      <c r="G90" s="106" t="s">
        <v>66</v>
      </c>
      <c r="I90" s="106">
        <v>201</v>
      </c>
      <c r="J90" s="106" t="s">
        <v>1766</v>
      </c>
      <c r="K90" s="106" t="s">
        <v>1318</v>
      </c>
      <c r="L90" s="106" t="s">
        <v>1356</v>
      </c>
      <c r="M90" s="106" t="s">
        <v>1369</v>
      </c>
      <c r="O90" s="106">
        <v>29</v>
      </c>
      <c r="T90" s="106" t="s">
        <v>1766</v>
      </c>
      <c r="V90" s="106">
        <v>18105297.157750402</v>
      </c>
      <c r="W90" s="106">
        <v>0</v>
      </c>
      <c r="X90" s="106">
        <v>1</v>
      </c>
      <c r="Y90" s="106">
        <v>1</v>
      </c>
      <c r="Z90" s="106">
        <v>1</v>
      </c>
      <c r="AA90" s="106">
        <v>0</v>
      </c>
      <c r="AB90" s="106">
        <v>6000000</v>
      </c>
      <c r="AC90" s="106">
        <v>6000000</v>
      </c>
      <c r="AD90" s="106">
        <v>6000000</v>
      </c>
      <c r="AE90" s="106">
        <v>18000000</v>
      </c>
      <c r="AF90" s="106">
        <v>72000000</v>
      </c>
      <c r="AG90" s="106">
        <v>468.75</v>
      </c>
      <c r="AH90" s="106">
        <v>285120</v>
      </c>
      <c r="AI90" s="106">
        <v>0.20499999999999999</v>
      </c>
      <c r="AJ90" s="106">
        <v>17</v>
      </c>
      <c r="AK90" s="106">
        <v>2851.2</v>
      </c>
      <c r="AL90" s="106">
        <v>48470.400000000001</v>
      </c>
      <c r="AM90" s="106">
        <v>187843</v>
      </c>
      <c r="AN90" s="106">
        <v>751372</v>
      </c>
      <c r="AO90" s="106">
        <v>164457</v>
      </c>
      <c r="AP90" s="106" t="s">
        <v>94</v>
      </c>
      <c r="AQ90" s="106" t="s">
        <v>204</v>
      </c>
      <c r="AR90" s="106">
        <v>1015</v>
      </c>
      <c r="AS90" s="106">
        <v>18200</v>
      </c>
      <c r="AT90" s="106">
        <v>72800</v>
      </c>
      <c r="AU90" s="108" t="s">
        <v>147</v>
      </c>
      <c r="AV90" s="108" t="s">
        <v>205</v>
      </c>
      <c r="AW90" s="108">
        <v>1206</v>
      </c>
      <c r="AX90" s="110">
        <v>4</v>
      </c>
      <c r="AY90" s="108">
        <v>16</v>
      </c>
      <c r="BD90" s="106">
        <v>0</v>
      </c>
      <c r="BY90" s="112" t="s">
        <v>1766</v>
      </c>
      <c r="BZ90" s="112" t="s">
        <v>1766</v>
      </c>
      <c r="CA90" s="112" t="s">
        <v>1766</v>
      </c>
      <c r="CB90" s="112" t="s">
        <v>1766</v>
      </c>
      <c r="CC90" s="112" t="s">
        <v>1766</v>
      </c>
      <c r="CD90" s="112" t="s">
        <v>1766</v>
      </c>
      <c r="CE90" s="112" t="s">
        <v>1766</v>
      </c>
      <c r="CF90" s="112" t="s">
        <v>1766</v>
      </c>
      <c r="CG90" s="112" t="s">
        <v>1766</v>
      </c>
      <c r="CH90" s="112" t="s">
        <v>1766</v>
      </c>
      <c r="CI90" s="112" t="s">
        <v>1766</v>
      </c>
      <c r="CJ90" s="112" t="s">
        <v>1766</v>
      </c>
      <c r="CK90" s="112" t="s">
        <v>1766</v>
      </c>
      <c r="CL90" s="112" t="s">
        <v>1766</v>
      </c>
      <c r="CM90" s="112" t="s">
        <v>1766</v>
      </c>
      <c r="CN90" s="112" t="s">
        <v>1766</v>
      </c>
      <c r="CO90" s="112" t="s">
        <v>1766</v>
      </c>
    </row>
    <row r="91" spans="1:93">
      <c r="A91" s="106" t="s">
        <v>202</v>
      </c>
      <c r="B91" s="106">
        <v>30</v>
      </c>
      <c r="C91" s="106">
        <v>1</v>
      </c>
      <c r="D91" s="106">
        <v>1</v>
      </c>
      <c r="E91" s="106">
        <v>4</v>
      </c>
      <c r="F91" s="106">
        <v>4</v>
      </c>
      <c r="G91" s="106" t="s">
        <v>66</v>
      </c>
      <c r="I91" s="106">
        <v>201</v>
      </c>
      <c r="J91" s="106" t="s">
        <v>1766</v>
      </c>
      <c r="K91" s="106" t="s">
        <v>1318</v>
      </c>
      <c r="L91" s="106" t="s">
        <v>1358</v>
      </c>
      <c r="M91" s="106" t="s">
        <v>1370</v>
      </c>
      <c r="O91" s="106">
        <v>30</v>
      </c>
      <c r="T91" s="106" t="s">
        <v>1766</v>
      </c>
      <c r="V91" s="106">
        <v>23174780.361920599</v>
      </c>
      <c r="W91" s="106">
        <v>0</v>
      </c>
      <c r="X91" s="106">
        <v>1</v>
      </c>
      <c r="Y91" s="106">
        <v>1</v>
      </c>
      <c r="Z91" s="106">
        <v>1</v>
      </c>
      <c r="AA91" s="106">
        <v>0</v>
      </c>
      <c r="AB91" s="106">
        <v>7700000</v>
      </c>
      <c r="AC91" s="106">
        <v>7700000</v>
      </c>
      <c r="AD91" s="106">
        <v>7700000</v>
      </c>
      <c r="AE91" s="106">
        <v>23100000</v>
      </c>
      <c r="AF91" s="106">
        <v>92400000</v>
      </c>
      <c r="AG91" s="106">
        <v>534.72222222222194</v>
      </c>
      <c r="AH91" s="106">
        <v>345600</v>
      </c>
      <c r="AI91" s="106">
        <v>0.22500000000000001</v>
      </c>
      <c r="AJ91" s="106">
        <v>18</v>
      </c>
      <c r="AK91" s="106">
        <v>3456</v>
      </c>
      <c r="AL91" s="106">
        <v>62208</v>
      </c>
      <c r="AM91" s="106">
        <v>219614</v>
      </c>
      <c r="AN91" s="106">
        <v>878456</v>
      </c>
      <c r="AO91" s="106">
        <v>210806</v>
      </c>
      <c r="AP91" s="106" t="s">
        <v>94</v>
      </c>
      <c r="AQ91" s="106" t="s">
        <v>204</v>
      </c>
      <c r="AR91" s="106">
        <v>1015</v>
      </c>
      <c r="AS91" s="106">
        <v>20000</v>
      </c>
      <c r="AT91" s="106">
        <v>80000</v>
      </c>
      <c r="AU91" s="108" t="s">
        <v>147</v>
      </c>
      <c r="AV91" s="108" t="s">
        <v>205</v>
      </c>
      <c r="AW91" s="108">
        <v>1206</v>
      </c>
      <c r="AX91" s="110">
        <v>4</v>
      </c>
      <c r="AY91" s="108">
        <v>16</v>
      </c>
      <c r="BD91" s="106">
        <v>0</v>
      </c>
      <c r="BY91" s="112" t="s">
        <v>1766</v>
      </c>
      <c r="BZ91" s="112" t="s">
        <v>1766</v>
      </c>
      <c r="CA91" s="112" t="s">
        <v>1766</v>
      </c>
      <c r="CB91" s="112" t="s">
        <v>1766</v>
      </c>
      <c r="CC91" s="112" t="s">
        <v>1766</v>
      </c>
      <c r="CD91" s="112" t="s">
        <v>1766</v>
      </c>
      <c r="CE91" s="112" t="s">
        <v>1766</v>
      </c>
      <c r="CF91" s="112" t="s">
        <v>1766</v>
      </c>
      <c r="CG91" s="112" t="s">
        <v>1766</v>
      </c>
      <c r="CH91" s="112" t="s">
        <v>1766</v>
      </c>
      <c r="CI91" s="112" t="s">
        <v>1766</v>
      </c>
      <c r="CJ91" s="112" t="s">
        <v>1766</v>
      </c>
      <c r="CK91" s="112" t="s">
        <v>1766</v>
      </c>
      <c r="CL91" s="112" t="s">
        <v>1766</v>
      </c>
      <c r="CM91" s="112" t="s">
        <v>1766</v>
      </c>
      <c r="CN91" s="112" t="s">
        <v>1766</v>
      </c>
      <c r="CO91" s="112" t="s">
        <v>1766</v>
      </c>
    </row>
    <row r="92" spans="1:93">
      <c r="A92" s="106" t="s">
        <v>226</v>
      </c>
      <c r="B92" s="106">
        <v>1</v>
      </c>
      <c r="C92" s="106">
        <v>1</v>
      </c>
      <c r="D92" s="106">
        <v>1</v>
      </c>
      <c r="E92" s="106">
        <v>4</v>
      </c>
      <c r="F92" s="106">
        <v>1</v>
      </c>
      <c r="G92" s="106" t="s">
        <v>66</v>
      </c>
      <c r="I92" s="106">
        <v>201</v>
      </c>
      <c r="J92" s="106" t="s">
        <v>1766</v>
      </c>
      <c r="K92" s="106" t="s">
        <v>1318</v>
      </c>
      <c r="L92" s="106" t="s">
        <v>229</v>
      </c>
      <c r="M92" s="106" t="s">
        <v>227</v>
      </c>
      <c r="N92" s="106">
        <v>13</v>
      </c>
      <c r="O92" s="106">
        <v>1</v>
      </c>
      <c r="T92" s="106" t="s">
        <v>1766</v>
      </c>
      <c r="V92" s="106">
        <v>0</v>
      </c>
      <c r="W92" s="106">
        <v>0</v>
      </c>
      <c r="X92" s="106">
        <v>0</v>
      </c>
      <c r="Y92" s="106" t="s">
        <v>1766</v>
      </c>
      <c r="Z92" s="106" t="s">
        <v>1766</v>
      </c>
      <c r="AA92" s="106">
        <v>0</v>
      </c>
      <c r="AB92" s="106">
        <v>0</v>
      </c>
      <c r="AC92" s="106">
        <v>0</v>
      </c>
      <c r="AD92" s="106">
        <v>0</v>
      </c>
      <c r="AE92" s="106">
        <v>0</v>
      </c>
      <c r="AF92" s="106">
        <v>0</v>
      </c>
      <c r="AH92" s="106">
        <v>25</v>
      </c>
      <c r="AI92" s="106">
        <v>0</v>
      </c>
      <c r="AJ92" s="106">
        <v>0</v>
      </c>
      <c r="AK92" s="106">
        <v>120</v>
      </c>
      <c r="AL92" s="106">
        <v>0</v>
      </c>
      <c r="AM92" s="106">
        <v>1</v>
      </c>
      <c r="AN92" s="106">
        <v>4</v>
      </c>
      <c r="AO92" s="106">
        <v>1</v>
      </c>
      <c r="AP92" s="106" t="s">
        <v>98</v>
      </c>
      <c r="AQ92" s="106" t="s">
        <v>228</v>
      </c>
      <c r="AR92" s="106">
        <v>1017</v>
      </c>
      <c r="AS92" s="106">
        <v>400</v>
      </c>
      <c r="AT92" s="106">
        <v>1600</v>
      </c>
      <c r="AY92" s="108">
        <v>0</v>
      </c>
      <c r="BD92" s="106">
        <v>0</v>
      </c>
      <c r="BY92" s="112" t="s">
        <v>229</v>
      </c>
      <c r="BZ92" s="112" t="s">
        <v>1371</v>
      </c>
      <c r="CA92" s="112" t="s">
        <v>1371</v>
      </c>
      <c r="CB92" s="112" t="s">
        <v>98</v>
      </c>
      <c r="CC92" s="112">
        <v>4</v>
      </c>
      <c r="CD92" s="112" t="s">
        <v>1766</v>
      </c>
      <c r="CE92" s="112" t="s">
        <v>1766</v>
      </c>
      <c r="CF92" s="112" t="s">
        <v>1766</v>
      </c>
      <c r="CG92" s="112" t="s">
        <v>1766</v>
      </c>
      <c r="CH92" s="112" t="s">
        <v>1766</v>
      </c>
      <c r="CI92" s="112" t="s">
        <v>1766</v>
      </c>
      <c r="CJ92" s="112" t="s">
        <v>1766</v>
      </c>
      <c r="CK92" s="112" t="s">
        <v>1766</v>
      </c>
      <c r="CL92" s="112" t="s">
        <v>1766</v>
      </c>
      <c r="CM92" s="112" t="s">
        <v>1766</v>
      </c>
      <c r="CN92" s="112" t="s">
        <v>1766</v>
      </c>
      <c r="CO92" s="112" t="s">
        <v>1766</v>
      </c>
    </row>
    <row r="93" spans="1:93">
      <c r="A93" s="106" t="s">
        <v>226</v>
      </c>
      <c r="B93" s="106">
        <v>2</v>
      </c>
      <c r="C93" s="106">
        <v>1</v>
      </c>
      <c r="D93" s="106">
        <v>1</v>
      </c>
      <c r="E93" s="106">
        <v>4</v>
      </c>
      <c r="F93" s="106">
        <v>1</v>
      </c>
      <c r="G93" s="106" t="s">
        <v>66</v>
      </c>
      <c r="I93" s="106">
        <v>201</v>
      </c>
      <c r="J93" s="106" t="s">
        <v>1766</v>
      </c>
      <c r="K93" s="106" t="s">
        <v>1318</v>
      </c>
      <c r="L93" s="106" t="s">
        <v>1320</v>
      </c>
      <c r="M93" s="106" t="s">
        <v>230</v>
      </c>
      <c r="N93" s="106">
        <v>13</v>
      </c>
      <c r="O93" s="106">
        <v>2</v>
      </c>
      <c r="T93" s="106" t="s">
        <v>1766</v>
      </c>
      <c r="V93" s="106">
        <v>1000</v>
      </c>
      <c r="W93" s="106">
        <v>1</v>
      </c>
      <c r="X93" s="106">
        <v>0</v>
      </c>
      <c r="Y93" s="106" t="s">
        <v>1766</v>
      </c>
      <c r="Z93" s="106" t="s">
        <v>1766</v>
      </c>
      <c r="AA93" s="106">
        <v>1000</v>
      </c>
      <c r="AB93" s="106">
        <v>0</v>
      </c>
      <c r="AC93" s="106">
        <v>0</v>
      </c>
      <c r="AD93" s="106">
        <v>0</v>
      </c>
      <c r="AE93" s="106">
        <v>1000</v>
      </c>
      <c r="AF93" s="106">
        <v>4000</v>
      </c>
      <c r="AH93" s="106">
        <v>25</v>
      </c>
      <c r="AI93" s="106">
        <v>0</v>
      </c>
      <c r="AJ93" s="106">
        <v>0</v>
      </c>
      <c r="AK93" s="106">
        <v>120</v>
      </c>
      <c r="AL93" s="106">
        <v>0</v>
      </c>
      <c r="AM93" s="106">
        <v>1</v>
      </c>
      <c r="AN93" s="106">
        <v>4</v>
      </c>
      <c r="AO93" s="106">
        <v>3</v>
      </c>
      <c r="AP93" s="106" t="s">
        <v>98</v>
      </c>
      <c r="AQ93" s="106" t="s">
        <v>228</v>
      </c>
      <c r="AR93" s="106">
        <v>1017</v>
      </c>
      <c r="AS93" s="106">
        <v>600</v>
      </c>
      <c r="AT93" s="106">
        <v>2400</v>
      </c>
      <c r="AY93" s="108">
        <v>0</v>
      </c>
      <c r="BD93" s="106">
        <v>0</v>
      </c>
      <c r="BY93" s="112" t="s">
        <v>1766</v>
      </c>
      <c r="BZ93" s="112" t="s">
        <v>1766</v>
      </c>
      <c r="CA93" s="112" t="s">
        <v>1766</v>
      </c>
      <c r="CB93" s="112" t="s">
        <v>1766</v>
      </c>
      <c r="CC93" s="112" t="s">
        <v>1766</v>
      </c>
      <c r="CD93" s="112" t="s">
        <v>1766</v>
      </c>
      <c r="CE93" s="112" t="s">
        <v>1766</v>
      </c>
      <c r="CF93" s="112" t="s">
        <v>1766</v>
      </c>
      <c r="CG93" s="112" t="s">
        <v>1766</v>
      </c>
      <c r="CH93" s="112" t="s">
        <v>1766</v>
      </c>
      <c r="CI93" s="112" t="s">
        <v>1766</v>
      </c>
      <c r="CJ93" s="112" t="s">
        <v>1766</v>
      </c>
      <c r="CK93" s="112" t="s">
        <v>1766</v>
      </c>
      <c r="CL93" s="112" t="s">
        <v>1766</v>
      </c>
      <c r="CM93" s="112" t="s">
        <v>1766</v>
      </c>
      <c r="CN93" s="112" t="s">
        <v>1766</v>
      </c>
      <c r="CO93" s="112" t="s">
        <v>1766</v>
      </c>
    </row>
    <row r="94" spans="1:93">
      <c r="A94" s="106" t="s">
        <v>226</v>
      </c>
      <c r="B94" s="106">
        <v>3</v>
      </c>
      <c r="C94" s="106">
        <v>1</v>
      </c>
      <c r="D94" s="106">
        <v>1</v>
      </c>
      <c r="E94" s="106">
        <v>4</v>
      </c>
      <c r="F94" s="106">
        <v>2</v>
      </c>
      <c r="G94" s="106" t="s">
        <v>66</v>
      </c>
      <c r="I94" s="106">
        <v>201</v>
      </c>
      <c r="J94" s="106" t="s">
        <v>1766</v>
      </c>
      <c r="K94" s="106" t="s">
        <v>1318</v>
      </c>
      <c r="L94" s="106" t="s">
        <v>1321</v>
      </c>
      <c r="M94" s="106" t="s">
        <v>231</v>
      </c>
      <c r="N94" s="106">
        <v>13</v>
      </c>
      <c r="O94" s="106">
        <v>3</v>
      </c>
      <c r="T94" s="106" t="s">
        <v>1766</v>
      </c>
      <c r="V94" s="106">
        <v>2000</v>
      </c>
      <c r="W94" s="106">
        <v>1</v>
      </c>
      <c r="X94" s="106">
        <v>0</v>
      </c>
      <c r="Y94" s="106" t="s">
        <v>1766</v>
      </c>
      <c r="Z94" s="106" t="s">
        <v>1766</v>
      </c>
      <c r="AA94" s="106">
        <v>2000</v>
      </c>
      <c r="AB94" s="106">
        <v>0</v>
      </c>
      <c r="AC94" s="106">
        <v>0</v>
      </c>
      <c r="AD94" s="106">
        <v>0</v>
      </c>
      <c r="AE94" s="106">
        <v>2000</v>
      </c>
      <c r="AF94" s="106">
        <v>8000</v>
      </c>
      <c r="AH94" s="106">
        <v>36</v>
      </c>
      <c r="AI94" s="106">
        <v>0</v>
      </c>
      <c r="AJ94" s="106">
        <v>1</v>
      </c>
      <c r="AK94" s="106">
        <v>120</v>
      </c>
      <c r="AL94" s="106">
        <v>120</v>
      </c>
      <c r="AM94" s="106">
        <v>1</v>
      </c>
      <c r="AN94" s="106">
        <v>4</v>
      </c>
      <c r="AO94" s="106">
        <v>7</v>
      </c>
      <c r="AP94" s="106" t="s">
        <v>98</v>
      </c>
      <c r="AQ94" s="106" t="s">
        <v>228</v>
      </c>
      <c r="AR94" s="106">
        <v>1017</v>
      </c>
      <c r="AS94" s="106">
        <v>800</v>
      </c>
      <c r="AT94" s="106">
        <v>3200</v>
      </c>
      <c r="AY94" s="108">
        <v>0</v>
      </c>
      <c r="BD94" s="106">
        <v>0</v>
      </c>
      <c r="BY94" s="112" t="s">
        <v>1766</v>
      </c>
      <c r="BZ94" s="112" t="s">
        <v>1766</v>
      </c>
      <c r="CA94" s="112" t="s">
        <v>1766</v>
      </c>
      <c r="CB94" s="112" t="s">
        <v>1766</v>
      </c>
      <c r="CC94" s="112" t="s">
        <v>1766</v>
      </c>
      <c r="CD94" s="112" t="s">
        <v>1766</v>
      </c>
      <c r="CE94" s="112" t="s">
        <v>1766</v>
      </c>
      <c r="CF94" s="112" t="s">
        <v>1766</v>
      </c>
      <c r="CG94" s="112" t="s">
        <v>1766</v>
      </c>
      <c r="CH94" s="112" t="s">
        <v>1766</v>
      </c>
      <c r="CI94" s="112" t="s">
        <v>1766</v>
      </c>
      <c r="CJ94" s="112" t="s">
        <v>1766</v>
      </c>
      <c r="CK94" s="112" t="s">
        <v>1766</v>
      </c>
      <c r="CL94" s="112" t="s">
        <v>1766</v>
      </c>
      <c r="CM94" s="112" t="s">
        <v>1766</v>
      </c>
      <c r="CN94" s="112" t="s">
        <v>1766</v>
      </c>
      <c r="CO94" s="112" t="s">
        <v>1766</v>
      </c>
    </row>
    <row r="95" spans="1:93">
      <c r="A95" s="106" t="s">
        <v>226</v>
      </c>
      <c r="B95" s="106">
        <v>4</v>
      </c>
      <c r="C95" s="106">
        <v>1</v>
      </c>
      <c r="D95" s="106">
        <v>1</v>
      </c>
      <c r="E95" s="106">
        <v>4</v>
      </c>
      <c r="F95" s="106">
        <v>2</v>
      </c>
      <c r="G95" s="106" t="s">
        <v>66</v>
      </c>
      <c r="I95" s="106">
        <v>201</v>
      </c>
      <c r="J95" s="106" t="s">
        <v>1766</v>
      </c>
      <c r="K95" s="106" t="s">
        <v>1318</v>
      </c>
      <c r="L95" s="106" t="s">
        <v>1322</v>
      </c>
      <c r="M95" s="106" t="s">
        <v>232</v>
      </c>
      <c r="N95" s="106">
        <v>13</v>
      </c>
      <c r="O95" s="106">
        <v>4</v>
      </c>
      <c r="T95" s="106" t="s">
        <v>1766</v>
      </c>
      <c r="V95" s="106">
        <v>4000</v>
      </c>
      <c r="W95" s="106">
        <v>1</v>
      </c>
      <c r="X95" s="106">
        <v>0</v>
      </c>
      <c r="Y95" s="106" t="s">
        <v>1766</v>
      </c>
      <c r="Z95" s="106" t="s">
        <v>1766</v>
      </c>
      <c r="AA95" s="106">
        <v>4000</v>
      </c>
      <c r="AB95" s="106">
        <v>0</v>
      </c>
      <c r="AC95" s="106">
        <v>0</v>
      </c>
      <c r="AD95" s="106">
        <v>0</v>
      </c>
      <c r="AE95" s="106">
        <v>4000</v>
      </c>
      <c r="AF95" s="106">
        <v>16000</v>
      </c>
      <c r="AH95" s="106">
        <v>72</v>
      </c>
      <c r="AI95" s="106">
        <v>0</v>
      </c>
      <c r="AJ95" s="106">
        <v>1</v>
      </c>
      <c r="AK95" s="106">
        <v>120</v>
      </c>
      <c r="AL95" s="106">
        <v>120</v>
      </c>
      <c r="AM95" s="106">
        <v>1</v>
      </c>
      <c r="AN95" s="106">
        <v>4</v>
      </c>
      <c r="AO95" s="106">
        <v>15</v>
      </c>
      <c r="AP95" s="106" t="s">
        <v>98</v>
      </c>
      <c r="AQ95" s="106" t="s">
        <v>228</v>
      </c>
      <c r="AR95" s="106">
        <v>1017</v>
      </c>
      <c r="AS95" s="106">
        <v>1000</v>
      </c>
      <c r="AT95" s="106">
        <v>4000</v>
      </c>
      <c r="AY95" s="108">
        <v>0</v>
      </c>
      <c r="BD95" s="106">
        <v>0</v>
      </c>
      <c r="BY95" s="112" t="s">
        <v>1766</v>
      </c>
      <c r="BZ95" s="112" t="s">
        <v>1766</v>
      </c>
      <c r="CA95" s="112" t="s">
        <v>1766</v>
      </c>
      <c r="CB95" s="112" t="s">
        <v>1766</v>
      </c>
      <c r="CC95" s="112" t="s">
        <v>1766</v>
      </c>
      <c r="CD95" s="112" t="s">
        <v>1766</v>
      </c>
      <c r="CE95" s="112" t="s">
        <v>1766</v>
      </c>
      <c r="CF95" s="112" t="s">
        <v>1766</v>
      </c>
      <c r="CG95" s="112" t="s">
        <v>1766</v>
      </c>
      <c r="CH95" s="112" t="s">
        <v>1766</v>
      </c>
      <c r="CI95" s="112" t="s">
        <v>1766</v>
      </c>
      <c r="CJ95" s="112" t="s">
        <v>1766</v>
      </c>
      <c r="CK95" s="112" t="s">
        <v>1766</v>
      </c>
      <c r="CL95" s="112" t="s">
        <v>1766</v>
      </c>
      <c r="CM95" s="112" t="s">
        <v>1766</v>
      </c>
      <c r="CN95" s="112" t="s">
        <v>1766</v>
      </c>
      <c r="CO95" s="112" t="s">
        <v>1766</v>
      </c>
    </row>
    <row r="96" spans="1:93">
      <c r="A96" s="106" t="s">
        <v>226</v>
      </c>
      <c r="B96" s="106">
        <v>5</v>
      </c>
      <c r="C96" s="106">
        <v>1</v>
      </c>
      <c r="D96" s="106">
        <v>1</v>
      </c>
      <c r="E96" s="106">
        <v>4</v>
      </c>
      <c r="F96" s="106">
        <v>2</v>
      </c>
      <c r="G96" s="106" t="s">
        <v>66</v>
      </c>
      <c r="I96" s="106">
        <v>201</v>
      </c>
      <c r="J96" s="106" t="s">
        <v>1766</v>
      </c>
      <c r="K96" s="106" t="s">
        <v>1318</v>
      </c>
      <c r="L96" s="106" t="s">
        <v>1323</v>
      </c>
      <c r="M96" s="106" t="s">
        <v>233</v>
      </c>
      <c r="N96" s="106">
        <v>13</v>
      </c>
      <c r="O96" s="106">
        <v>5</v>
      </c>
      <c r="T96" s="106" t="s">
        <v>1766</v>
      </c>
      <c r="V96" s="106">
        <v>7720</v>
      </c>
      <c r="W96" s="106">
        <v>1</v>
      </c>
      <c r="X96" s="106">
        <v>0</v>
      </c>
      <c r="Y96" s="106">
        <v>1</v>
      </c>
      <c r="Z96" s="106" t="s">
        <v>1766</v>
      </c>
      <c r="AA96" s="106">
        <v>3900</v>
      </c>
      <c r="AB96" s="106">
        <v>0</v>
      </c>
      <c r="AC96" s="106">
        <v>3900</v>
      </c>
      <c r="AD96" s="106">
        <v>0</v>
      </c>
      <c r="AE96" s="106">
        <v>7800</v>
      </c>
      <c r="AF96" s="106">
        <v>31200</v>
      </c>
      <c r="AH96" s="106">
        <v>150</v>
      </c>
      <c r="AI96" s="106">
        <v>0</v>
      </c>
      <c r="AJ96" s="106">
        <v>2</v>
      </c>
      <c r="AK96" s="106">
        <v>120</v>
      </c>
      <c r="AL96" s="106">
        <v>240</v>
      </c>
      <c r="AM96" s="106">
        <v>1</v>
      </c>
      <c r="AN96" s="106">
        <v>4</v>
      </c>
      <c r="AO96" s="106">
        <v>30</v>
      </c>
      <c r="AP96" s="106" t="s">
        <v>98</v>
      </c>
      <c r="AQ96" s="106" t="s">
        <v>228</v>
      </c>
      <c r="AR96" s="106">
        <v>1017</v>
      </c>
      <c r="AS96" s="106">
        <v>1350</v>
      </c>
      <c r="AT96" s="106">
        <v>5400</v>
      </c>
      <c r="AY96" s="108">
        <v>0</v>
      </c>
      <c r="BD96" s="106">
        <v>0</v>
      </c>
      <c r="BY96" s="112" t="s">
        <v>1766</v>
      </c>
      <c r="BZ96" s="112" t="s">
        <v>1766</v>
      </c>
      <c r="CA96" s="112" t="s">
        <v>1766</v>
      </c>
      <c r="CB96" s="112" t="s">
        <v>1766</v>
      </c>
      <c r="CC96" s="112" t="s">
        <v>1766</v>
      </c>
      <c r="CD96" s="112" t="s">
        <v>1766</v>
      </c>
      <c r="CE96" s="112" t="s">
        <v>1766</v>
      </c>
      <c r="CF96" s="112" t="s">
        <v>1766</v>
      </c>
      <c r="CG96" s="112" t="s">
        <v>1766</v>
      </c>
      <c r="CH96" s="112" t="s">
        <v>1766</v>
      </c>
      <c r="CI96" s="112" t="s">
        <v>1766</v>
      </c>
      <c r="CJ96" s="112" t="s">
        <v>1766</v>
      </c>
      <c r="CK96" s="112" t="s">
        <v>1766</v>
      </c>
      <c r="CL96" s="112" t="s">
        <v>1766</v>
      </c>
      <c r="CM96" s="112" t="s">
        <v>1766</v>
      </c>
      <c r="CN96" s="112" t="s">
        <v>1766</v>
      </c>
      <c r="CO96" s="112" t="s">
        <v>1766</v>
      </c>
    </row>
    <row r="97" spans="1:93">
      <c r="A97" s="106" t="s">
        <v>226</v>
      </c>
      <c r="B97" s="106">
        <v>6</v>
      </c>
      <c r="C97" s="106">
        <v>1</v>
      </c>
      <c r="D97" s="106">
        <v>1</v>
      </c>
      <c r="E97" s="106">
        <v>4</v>
      </c>
      <c r="F97" s="106">
        <v>2</v>
      </c>
      <c r="G97" s="106" t="s">
        <v>66</v>
      </c>
      <c r="I97" s="106">
        <v>201</v>
      </c>
      <c r="J97" s="106" t="s">
        <v>1766</v>
      </c>
      <c r="K97" s="106" t="s">
        <v>1318</v>
      </c>
      <c r="L97" s="106" t="s">
        <v>1324</v>
      </c>
      <c r="M97" s="106" t="s">
        <v>234</v>
      </c>
      <c r="N97" s="106">
        <v>13</v>
      </c>
      <c r="O97" s="106">
        <v>6</v>
      </c>
      <c r="T97" s="106" t="s">
        <v>1766</v>
      </c>
      <c r="V97" s="106">
        <v>14359.2</v>
      </c>
      <c r="W97" s="106">
        <v>1</v>
      </c>
      <c r="X97" s="106">
        <v>0</v>
      </c>
      <c r="Y97" s="106">
        <v>1</v>
      </c>
      <c r="Z97" s="106" t="s">
        <v>1766</v>
      </c>
      <c r="AA97" s="106">
        <v>7200</v>
      </c>
      <c r="AB97" s="106">
        <v>0</v>
      </c>
      <c r="AC97" s="106">
        <v>7200</v>
      </c>
      <c r="AD97" s="106">
        <v>0</v>
      </c>
      <c r="AE97" s="106">
        <v>14400</v>
      </c>
      <c r="AF97" s="106">
        <v>57600</v>
      </c>
      <c r="AH97" s="106">
        <v>270</v>
      </c>
      <c r="AI97" s="106">
        <v>0</v>
      </c>
      <c r="AJ97" s="106">
        <v>2</v>
      </c>
      <c r="AK97" s="106">
        <v>120</v>
      </c>
      <c r="AL97" s="106">
        <v>240</v>
      </c>
      <c r="AM97" s="106">
        <v>1</v>
      </c>
      <c r="AN97" s="106">
        <v>4</v>
      </c>
      <c r="AO97" s="106">
        <v>59</v>
      </c>
      <c r="AP97" s="106" t="s">
        <v>98</v>
      </c>
      <c r="AQ97" s="106" t="s">
        <v>228</v>
      </c>
      <c r="AR97" s="106">
        <v>1017</v>
      </c>
      <c r="AS97" s="106">
        <v>1700</v>
      </c>
      <c r="AT97" s="106">
        <v>6800</v>
      </c>
      <c r="AY97" s="108">
        <v>0</v>
      </c>
      <c r="BD97" s="106">
        <v>0</v>
      </c>
      <c r="BY97" s="112" t="s">
        <v>1766</v>
      </c>
      <c r="BZ97" s="112" t="s">
        <v>1766</v>
      </c>
      <c r="CA97" s="112" t="s">
        <v>1766</v>
      </c>
      <c r="CB97" s="112" t="s">
        <v>1766</v>
      </c>
      <c r="CC97" s="112" t="s">
        <v>1766</v>
      </c>
      <c r="CD97" s="112" t="s">
        <v>1766</v>
      </c>
      <c r="CE97" s="112" t="s">
        <v>1766</v>
      </c>
      <c r="CF97" s="112" t="s">
        <v>1766</v>
      </c>
      <c r="CG97" s="112" t="s">
        <v>1766</v>
      </c>
      <c r="CH97" s="112" t="s">
        <v>1766</v>
      </c>
      <c r="CI97" s="112" t="s">
        <v>1766</v>
      </c>
      <c r="CJ97" s="112" t="s">
        <v>1766</v>
      </c>
      <c r="CK97" s="112" t="s">
        <v>1766</v>
      </c>
      <c r="CL97" s="112" t="s">
        <v>1766</v>
      </c>
      <c r="CM97" s="112" t="s">
        <v>1766</v>
      </c>
      <c r="CN97" s="112" t="s">
        <v>1766</v>
      </c>
      <c r="CO97" s="112" t="s">
        <v>1766</v>
      </c>
    </row>
    <row r="98" spans="1:93">
      <c r="A98" s="106" t="s">
        <v>226</v>
      </c>
      <c r="B98" s="106">
        <v>7</v>
      </c>
      <c r="C98" s="106">
        <v>1</v>
      </c>
      <c r="D98" s="106">
        <v>1</v>
      </c>
      <c r="E98" s="106">
        <v>4</v>
      </c>
      <c r="F98" s="106">
        <v>2</v>
      </c>
      <c r="G98" s="106" t="s">
        <v>66</v>
      </c>
      <c r="I98" s="106">
        <v>201</v>
      </c>
      <c r="J98" s="106" t="s">
        <v>1766</v>
      </c>
      <c r="K98" s="106" t="s">
        <v>1318</v>
      </c>
      <c r="L98" s="106" t="s">
        <v>1325</v>
      </c>
      <c r="M98" s="106" t="s">
        <v>235</v>
      </c>
      <c r="N98" s="106">
        <v>13</v>
      </c>
      <c r="O98" s="106">
        <v>7</v>
      </c>
      <c r="T98" s="106" t="s">
        <v>1766</v>
      </c>
      <c r="V98" s="106">
        <v>25702.968000000001</v>
      </c>
      <c r="W98" s="106">
        <v>1</v>
      </c>
      <c r="X98" s="106">
        <v>0</v>
      </c>
      <c r="Y98" s="106">
        <v>1</v>
      </c>
      <c r="Z98" s="106" t="s">
        <v>1766</v>
      </c>
      <c r="AA98" s="106">
        <v>13000</v>
      </c>
      <c r="AB98" s="106">
        <v>0</v>
      </c>
      <c r="AC98" s="106">
        <v>13000</v>
      </c>
      <c r="AD98" s="106">
        <v>0</v>
      </c>
      <c r="AE98" s="106">
        <v>26000</v>
      </c>
      <c r="AF98" s="106">
        <v>104000</v>
      </c>
      <c r="AH98" s="106">
        <v>450</v>
      </c>
      <c r="AI98" s="106">
        <v>0</v>
      </c>
      <c r="AJ98" s="106">
        <v>3</v>
      </c>
      <c r="AK98" s="106">
        <v>120</v>
      </c>
      <c r="AL98" s="106">
        <v>360</v>
      </c>
      <c r="AM98" s="106">
        <v>1</v>
      </c>
      <c r="AN98" s="106">
        <v>4</v>
      </c>
      <c r="AO98" s="106">
        <v>110</v>
      </c>
      <c r="AP98" s="106" t="s">
        <v>98</v>
      </c>
      <c r="AQ98" s="106" t="s">
        <v>228</v>
      </c>
      <c r="AR98" s="106">
        <v>1017</v>
      </c>
      <c r="AS98" s="106">
        <v>2050</v>
      </c>
      <c r="AT98" s="106">
        <v>8200</v>
      </c>
      <c r="AY98" s="108">
        <v>0</v>
      </c>
      <c r="BD98" s="106">
        <v>0</v>
      </c>
      <c r="BY98" s="112" t="s">
        <v>1766</v>
      </c>
      <c r="BZ98" s="112" t="s">
        <v>1766</v>
      </c>
      <c r="CA98" s="112" t="s">
        <v>1766</v>
      </c>
      <c r="CB98" s="112" t="s">
        <v>1766</v>
      </c>
      <c r="CC98" s="112" t="s">
        <v>1766</v>
      </c>
      <c r="CD98" s="112" t="s">
        <v>1766</v>
      </c>
      <c r="CE98" s="112" t="s">
        <v>1766</v>
      </c>
      <c r="CF98" s="112" t="s">
        <v>1766</v>
      </c>
      <c r="CG98" s="112" t="s">
        <v>1766</v>
      </c>
      <c r="CH98" s="112" t="s">
        <v>1766</v>
      </c>
      <c r="CI98" s="112" t="s">
        <v>1766</v>
      </c>
      <c r="CJ98" s="112" t="s">
        <v>1766</v>
      </c>
      <c r="CK98" s="112" t="s">
        <v>1766</v>
      </c>
      <c r="CL98" s="112" t="s">
        <v>1766</v>
      </c>
      <c r="CM98" s="112" t="s">
        <v>1766</v>
      </c>
      <c r="CN98" s="112" t="s">
        <v>1766</v>
      </c>
      <c r="CO98" s="112" t="s">
        <v>1766</v>
      </c>
    </row>
    <row r="99" spans="1:93">
      <c r="A99" s="106" t="s">
        <v>226</v>
      </c>
      <c r="B99" s="106">
        <v>8</v>
      </c>
      <c r="C99" s="106">
        <v>1</v>
      </c>
      <c r="D99" s="106">
        <v>1</v>
      </c>
      <c r="E99" s="106">
        <v>4</v>
      </c>
      <c r="F99" s="106">
        <v>2</v>
      </c>
      <c r="G99" s="106" t="s">
        <v>66</v>
      </c>
      <c r="I99" s="106">
        <v>201</v>
      </c>
      <c r="J99" s="106" t="s">
        <v>1766</v>
      </c>
      <c r="K99" s="106" t="s">
        <v>1318</v>
      </c>
      <c r="L99" s="106" t="s">
        <v>1326</v>
      </c>
      <c r="M99" s="106" t="s">
        <v>236</v>
      </c>
      <c r="N99" s="106">
        <v>13</v>
      </c>
      <c r="O99" s="106">
        <v>8</v>
      </c>
      <c r="T99" s="106" t="s">
        <v>1766</v>
      </c>
      <c r="V99" s="106">
        <v>44209.104959999997</v>
      </c>
      <c r="W99" s="106">
        <v>1</v>
      </c>
      <c r="X99" s="106">
        <v>0</v>
      </c>
      <c r="Y99" s="106">
        <v>1</v>
      </c>
      <c r="Z99" s="106" t="s">
        <v>1766</v>
      </c>
      <c r="AA99" s="106">
        <v>22000</v>
      </c>
      <c r="AB99" s="106">
        <v>0</v>
      </c>
      <c r="AC99" s="106">
        <v>22000</v>
      </c>
      <c r="AD99" s="106">
        <v>0</v>
      </c>
      <c r="AE99" s="106">
        <v>44000</v>
      </c>
      <c r="AF99" s="106">
        <v>176000</v>
      </c>
      <c r="AH99" s="106">
        <v>720</v>
      </c>
      <c r="AI99" s="106">
        <v>0</v>
      </c>
      <c r="AJ99" s="106">
        <v>3</v>
      </c>
      <c r="AK99" s="106">
        <v>120</v>
      </c>
      <c r="AL99" s="106">
        <v>360</v>
      </c>
      <c r="AM99" s="106">
        <v>60</v>
      </c>
      <c r="AN99" s="106">
        <v>240</v>
      </c>
      <c r="AO99" s="106">
        <v>198</v>
      </c>
      <c r="AP99" s="106" t="s">
        <v>98</v>
      </c>
      <c r="AQ99" s="106" t="s">
        <v>228</v>
      </c>
      <c r="AR99" s="106">
        <v>1017</v>
      </c>
      <c r="AS99" s="106">
        <v>2400</v>
      </c>
      <c r="AT99" s="106">
        <v>9600</v>
      </c>
      <c r="AY99" s="108">
        <v>0</v>
      </c>
      <c r="BD99" s="106">
        <v>0</v>
      </c>
      <c r="BY99" s="112" t="s">
        <v>1766</v>
      </c>
      <c r="BZ99" s="112" t="s">
        <v>1766</v>
      </c>
      <c r="CA99" s="112" t="s">
        <v>1766</v>
      </c>
      <c r="CB99" s="112" t="s">
        <v>1766</v>
      </c>
      <c r="CC99" s="112" t="s">
        <v>1766</v>
      </c>
      <c r="CD99" s="112" t="s">
        <v>1766</v>
      </c>
      <c r="CE99" s="112" t="s">
        <v>1766</v>
      </c>
      <c r="CF99" s="112" t="s">
        <v>1766</v>
      </c>
      <c r="CG99" s="112" t="s">
        <v>1766</v>
      </c>
      <c r="CH99" s="112" t="s">
        <v>1766</v>
      </c>
      <c r="CI99" s="112" t="s">
        <v>1766</v>
      </c>
      <c r="CJ99" s="112" t="s">
        <v>1766</v>
      </c>
      <c r="CK99" s="112" t="s">
        <v>1766</v>
      </c>
      <c r="CL99" s="112" t="s">
        <v>1766</v>
      </c>
      <c r="CM99" s="112" t="s">
        <v>1766</v>
      </c>
      <c r="CN99" s="112" t="s">
        <v>1766</v>
      </c>
      <c r="CO99" s="112" t="s">
        <v>1766</v>
      </c>
    </row>
    <row r="100" spans="1:93">
      <c r="A100" s="106" t="s">
        <v>226</v>
      </c>
      <c r="B100" s="106">
        <v>9</v>
      </c>
      <c r="C100" s="106">
        <v>1</v>
      </c>
      <c r="D100" s="106">
        <v>1</v>
      </c>
      <c r="E100" s="106">
        <v>4</v>
      </c>
      <c r="F100" s="106">
        <v>2</v>
      </c>
      <c r="G100" s="106" t="s">
        <v>66</v>
      </c>
      <c r="I100" s="106">
        <v>201</v>
      </c>
      <c r="J100" s="106" t="s">
        <v>1766</v>
      </c>
      <c r="K100" s="106" t="s">
        <v>1318</v>
      </c>
      <c r="L100" s="106" t="s">
        <v>1327</v>
      </c>
      <c r="M100" s="106" t="s">
        <v>237</v>
      </c>
      <c r="N100" s="106">
        <v>13</v>
      </c>
      <c r="O100" s="106">
        <v>9</v>
      </c>
      <c r="T100" s="106" t="s">
        <v>1766</v>
      </c>
      <c r="V100" s="106">
        <v>72945.023184000005</v>
      </c>
      <c r="W100" s="106">
        <v>1</v>
      </c>
      <c r="X100" s="106">
        <v>0</v>
      </c>
      <c r="Y100" s="106">
        <v>1</v>
      </c>
      <c r="Z100" s="106" t="s">
        <v>1766</v>
      </c>
      <c r="AA100" s="106">
        <v>36000</v>
      </c>
      <c r="AB100" s="106">
        <v>0</v>
      </c>
      <c r="AC100" s="106">
        <v>36000</v>
      </c>
      <c r="AD100" s="106">
        <v>0</v>
      </c>
      <c r="AE100" s="106">
        <v>72000</v>
      </c>
      <c r="AF100" s="106">
        <v>288000</v>
      </c>
      <c r="AH100" s="106">
        <v>1440</v>
      </c>
      <c r="AI100" s="106">
        <v>0</v>
      </c>
      <c r="AJ100" s="106">
        <v>4</v>
      </c>
      <c r="AK100" s="106">
        <v>120</v>
      </c>
      <c r="AL100" s="106">
        <v>480</v>
      </c>
      <c r="AM100" s="106">
        <v>660</v>
      </c>
      <c r="AN100" s="106">
        <v>2640</v>
      </c>
      <c r="AO100" s="106">
        <v>344</v>
      </c>
      <c r="AP100" s="106" t="s">
        <v>98</v>
      </c>
      <c r="AQ100" s="106" t="s">
        <v>228</v>
      </c>
      <c r="AR100" s="106">
        <v>1017</v>
      </c>
      <c r="AS100" s="106">
        <v>2750</v>
      </c>
      <c r="AT100" s="106">
        <v>11000</v>
      </c>
      <c r="AY100" s="108">
        <v>0</v>
      </c>
      <c r="BD100" s="106">
        <v>0</v>
      </c>
      <c r="BY100" s="112" t="s">
        <v>1766</v>
      </c>
      <c r="BZ100" s="112" t="s">
        <v>1766</v>
      </c>
      <c r="CA100" s="112" t="s">
        <v>1766</v>
      </c>
      <c r="CB100" s="112" t="s">
        <v>1766</v>
      </c>
      <c r="CC100" s="112" t="s">
        <v>1766</v>
      </c>
      <c r="CD100" s="112" t="s">
        <v>1766</v>
      </c>
      <c r="CE100" s="112" t="s">
        <v>1766</v>
      </c>
      <c r="CF100" s="112" t="s">
        <v>1766</v>
      </c>
      <c r="CG100" s="112" t="s">
        <v>1766</v>
      </c>
      <c r="CH100" s="112" t="s">
        <v>1766</v>
      </c>
      <c r="CI100" s="112" t="s">
        <v>1766</v>
      </c>
      <c r="CJ100" s="112" t="s">
        <v>1766</v>
      </c>
      <c r="CK100" s="112" t="s">
        <v>1766</v>
      </c>
      <c r="CL100" s="112" t="s">
        <v>1766</v>
      </c>
      <c r="CM100" s="112" t="s">
        <v>1766</v>
      </c>
      <c r="CN100" s="112" t="s">
        <v>1766</v>
      </c>
      <c r="CO100" s="112" t="s">
        <v>1766</v>
      </c>
    </row>
    <row r="101" spans="1:93">
      <c r="A101" s="106" t="s">
        <v>226</v>
      </c>
      <c r="B101" s="106">
        <v>10</v>
      </c>
      <c r="C101" s="106">
        <v>1</v>
      </c>
      <c r="D101" s="106">
        <v>1</v>
      </c>
      <c r="E101" s="106">
        <v>4</v>
      </c>
      <c r="F101" s="106">
        <v>2</v>
      </c>
      <c r="G101" s="106" t="s">
        <v>66</v>
      </c>
      <c r="I101" s="106">
        <v>201</v>
      </c>
      <c r="J101" s="106" t="s">
        <v>1766</v>
      </c>
      <c r="K101" s="106" t="s">
        <v>1318</v>
      </c>
      <c r="L101" s="106" t="s">
        <v>1328</v>
      </c>
      <c r="M101" s="106" t="s">
        <v>238</v>
      </c>
      <c r="N101" s="106">
        <v>13</v>
      </c>
      <c r="O101" s="106">
        <v>10</v>
      </c>
      <c r="T101" s="106" t="s">
        <v>1766</v>
      </c>
      <c r="V101" s="106">
        <v>115253.13663071999</v>
      </c>
      <c r="W101" s="106">
        <v>1</v>
      </c>
      <c r="X101" s="106">
        <v>0</v>
      </c>
      <c r="Y101" s="106">
        <v>1</v>
      </c>
      <c r="Z101" s="106">
        <v>1</v>
      </c>
      <c r="AA101" s="106">
        <v>38000</v>
      </c>
      <c r="AB101" s="106">
        <v>0</v>
      </c>
      <c r="AC101" s="106">
        <v>38000</v>
      </c>
      <c r="AD101" s="106">
        <v>38000</v>
      </c>
      <c r="AE101" s="106">
        <v>114000</v>
      </c>
      <c r="AF101" s="106">
        <v>456000</v>
      </c>
      <c r="AH101" s="106">
        <v>2160</v>
      </c>
      <c r="AI101" s="106">
        <v>0.01</v>
      </c>
      <c r="AJ101" s="106">
        <v>4</v>
      </c>
      <c r="AK101" s="106">
        <v>120</v>
      </c>
      <c r="AL101" s="106">
        <v>480</v>
      </c>
      <c r="AM101" s="106">
        <v>1358</v>
      </c>
      <c r="AN101" s="106">
        <v>5432</v>
      </c>
      <c r="AO101" s="106">
        <v>575</v>
      </c>
      <c r="AP101" s="106" t="s">
        <v>98</v>
      </c>
      <c r="AQ101" s="106" t="s">
        <v>228</v>
      </c>
      <c r="AR101" s="106">
        <v>1017</v>
      </c>
      <c r="AS101" s="106">
        <v>3100</v>
      </c>
      <c r="AT101" s="106">
        <v>12400</v>
      </c>
      <c r="AY101" s="108">
        <v>0</v>
      </c>
      <c r="BD101" s="106">
        <v>0</v>
      </c>
      <c r="BY101" s="112" t="s">
        <v>1766</v>
      </c>
      <c r="BZ101" s="112" t="s">
        <v>1766</v>
      </c>
      <c r="CA101" s="112" t="s">
        <v>1766</v>
      </c>
      <c r="CB101" s="112" t="s">
        <v>1766</v>
      </c>
      <c r="CC101" s="112" t="s">
        <v>1766</v>
      </c>
      <c r="CD101" s="112" t="s">
        <v>1766</v>
      </c>
      <c r="CE101" s="112" t="s">
        <v>1766</v>
      </c>
      <c r="CF101" s="112" t="s">
        <v>1766</v>
      </c>
      <c r="CG101" s="112" t="s">
        <v>1766</v>
      </c>
      <c r="CH101" s="112" t="s">
        <v>1766</v>
      </c>
      <c r="CI101" s="112" t="s">
        <v>1766</v>
      </c>
      <c r="CJ101" s="112" t="s">
        <v>1766</v>
      </c>
      <c r="CK101" s="112" t="s">
        <v>1766</v>
      </c>
      <c r="CL101" s="112" t="s">
        <v>1766</v>
      </c>
      <c r="CM101" s="112" t="s">
        <v>1766</v>
      </c>
      <c r="CN101" s="112" t="s">
        <v>1766</v>
      </c>
      <c r="CO101" s="112" t="s">
        <v>1766</v>
      </c>
    </row>
    <row r="102" spans="1:93">
      <c r="A102" s="106" t="s">
        <v>226</v>
      </c>
      <c r="B102" s="106">
        <v>11</v>
      </c>
      <c r="C102" s="106">
        <v>1</v>
      </c>
      <c r="D102" s="106">
        <v>1</v>
      </c>
      <c r="E102" s="106">
        <v>4</v>
      </c>
      <c r="F102" s="106">
        <v>2</v>
      </c>
      <c r="G102" s="106" t="s">
        <v>66</v>
      </c>
      <c r="I102" s="106">
        <v>201</v>
      </c>
      <c r="J102" s="106" t="s">
        <v>1766</v>
      </c>
      <c r="K102" s="106" t="s">
        <v>1318</v>
      </c>
      <c r="L102" s="106" t="s">
        <v>1329</v>
      </c>
      <c r="M102" s="106" t="s">
        <v>239</v>
      </c>
      <c r="N102" s="106">
        <v>13</v>
      </c>
      <c r="O102" s="106">
        <v>11</v>
      </c>
      <c r="T102" s="106" t="s">
        <v>1766</v>
      </c>
      <c r="V102" s="106">
        <v>174032.23631238699</v>
      </c>
      <c r="W102" s="106">
        <v>1</v>
      </c>
      <c r="X102" s="106">
        <v>0</v>
      </c>
      <c r="Y102" s="106">
        <v>1</v>
      </c>
      <c r="Z102" s="106">
        <v>1</v>
      </c>
      <c r="AA102" s="106">
        <v>58000</v>
      </c>
      <c r="AB102" s="106">
        <v>0</v>
      </c>
      <c r="AC102" s="106">
        <v>58000</v>
      </c>
      <c r="AD102" s="106">
        <v>58000</v>
      </c>
      <c r="AE102" s="106">
        <v>174000</v>
      </c>
      <c r="AF102" s="106">
        <v>696000</v>
      </c>
      <c r="AH102" s="106">
        <v>3240</v>
      </c>
      <c r="AI102" s="106">
        <v>0.02</v>
      </c>
      <c r="AJ102" s="106">
        <v>5</v>
      </c>
      <c r="AK102" s="106">
        <v>120</v>
      </c>
      <c r="AL102" s="106">
        <v>600</v>
      </c>
      <c r="AM102" s="106">
        <v>2276</v>
      </c>
      <c r="AN102" s="106">
        <v>9104</v>
      </c>
      <c r="AO102" s="106">
        <v>923</v>
      </c>
      <c r="AP102" s="106" t="s">
        <v>98</v>
      </c>
      <c r="AQ102" s="106" t="s">
        <v>228</v>
      </c>
      <c r="AR102" s="106">
        <v>1017</v>
      </c>
      <c r="AS102" s="106">
        <v>3600</v>
      </c>
      <c r="AT102" s="106">
        <v>14400</v>
      </c>
      <c r="AY102" s="108">
        <v>0</v>
      </c>
      <c r="BD102" s="106">
        <v>0</v>
      </c>
      <c r="BY102" s="112" t="s">
        <v>1766</v>
      </c>
      <c r="BZ102" s="112" t="s">
        <v>1766</v>
      </c>
      <c r="CA102" s="112" t="s">
        <v>1766</v>
      </c>
      <c r="CB102" s="112" t="s">
        <v>1766</v>
      </c>
      <c r="CC102" s="112" t="s">
        <v>1766</v>
      </c>
      <c r="CD102" s="112" t="s">
        <v>1766</v>
      </c>
      <c r="CE102" s="112" t="s">
        <v>1766</v>
      </c>
      <c r="CF102" s="112" t="s">
        <v>1766</v>
      </c>
      <c r="CG102" s="112" t="s">
        <v>1766</v>
      </c>
      <c r="CH102" s="112" t="s">
        <v>1766</v>
      </c>
      <c r="CI102" s="112" t="s">
        <v>1766</v>
      </c>
      <c r="CJ102" s="112" t="s">
        <v>1766</v>
      </c>
      <c r="CK102" s="112" t="s">
        <v>1766</v>
      </c>
      <c r="CL102" s="112" t="s">
        <v>1766</v>
      </c>
      <c r="CM102" s="112" t="s">
        <v>1766</v>
      </c>
      <c r="CN102" s="112" t="s">
        <v>1766</v>
      </c>
      <c r="CO102" s="112" t="s">
        <v>1766</v>
      </c>
    </row>
    <row r="103" spans="1:93">
      <c r="A103" s="106" t="s">
        <v>226</v>
      </c>
      <c r="B103" s="106">
        <v>12</v>
      </c>
      <c r="C103" s="106">
        <v>1</v>
      </c>
      <c r="D103" s="106">
        <v>1</v>
      </c>
      <c r="E103" s="106">
        <v>4</v>
      </c>
      <c r="F103" s="106">
        <v>3</v>
      </c>
      <c r="G103" s="106" t="s">
        <v>66</v>
      </c>
      <c r="I103" s="106">
        <v>201</v>
      </c>
      <c r="J103" s="106" t="s">
        <v>1766</v>
      </c>
      <c r="K103" s="106" t="s">
        <v>1318</v>
      </c>
      <c r="L103" s="106" t="s">
        <v>1330</v>
      </c>
      <c r="M103" s="106" t="s">
        <v>240</v>
      </c>
      <c r="N103" s="106">
        <v>13</v>
      </c>
      <c r="O103" s="106">
        <v>12</v>
      </c>
      <c r="T103" s="106" t="s">
        <v>1766</v>
      </c>
      <c r="V103" s="106">
        <v>250606.420289837</v>
      </c>
      <c r="W103" s="106">
        <v>1</v>
      </c>
      <c r="X103" s="106">
        <v>0</v>
      </c>
      <c r="Y103" s="106">
        <v>1</v>
      </c>
      <c r="Z103" s="106">
        <v>1</v>
      </c>
      <c r="AA103" s="106">
        <v>84000</v>
      </c>
      <c r="AB103" s="106">
        <v>0</v>
      </c>
      <c r="AC103" s="106">
        <v>84000</v>
      </c>
      <c r="AD103" s="106">
        <v>84000</v>
      </c>
      <c r="AE103" s="106">
        <v>252000</v>
      </c>
      <c r="AF103" s="106">
        <v>1008000</v>
      </c>
      <c r="AH103" s="106">
        <v>4320</v>
      </c>
      <c r="AI103" s="106">
        <v>0.03</v>
      </c>
      <c r="AJ103" s="106">
        <v>5</v>
      </c>
      <c r="AK103" s="106">
        <v>120</v>
      </c>
      <c r="AL103" s="106">
        <v>600</v>
      </c>
      <c r="AM103" s="106">
        <v>3294</v>
      </c>
      <c r="AN103" s="106">
        <v>13176</v>
      </c>
      <c r="AO103" s="106">
        <v>1424</v>
      </c>
      <c r="AP103" s="106" t="s">
        <v>98</v>
      </c>
      <c r="AQ103" s="106" t="s">
        <v>228</v>
      </c>
      <c r="AR103" s="106">
        <v>1017</v>
      </c>
      <c r="AS103" s="106">
        <v>4100</v>
      </c>
      <c r="AT103" s="106">
        <v>16400</v>
      </c>
      <c r="AY103" s="108">
        <v>0</v>
      </c>
      <c r="BD103" s="106">
        <v>0</v>
      </c>
      <c r="BY103" s="112" t="s">
        <v>1766</v>
      </c>
      <c r="BZ103" s="112" t="s">
        <v>1766</v>
      </c>
      <c r="CA103" s="112" t="s">
        <v>1766</v>
      </c>
      <c r="CB103" s="112" t="s">
        <v>1766</v>
      </c>
      <c r="CC103" s="112" t="s">
        <v>1766</v>
      </c>
      <c r="CD103" s="112" t="s">
        <v>1766</v>
      </c>
      <c r="CE103" s="112" t="s">
        <v>1766</v>
      </c>
      <c r="CF103" s="112" t="s">
        <v>1766</v>
      </c>
      <c r="CG103" s="112" t="s">
        <v>1766</v>
      </c>
      <c r="CH103" s="112" t="s">
        <v>1766</v>
      </c>
      <c r="CI103" s="112" t="s">
        <v>1766</v>
      </c>
      <c r="CJ103" s="112" t="s">
        <v>1766</v>
      </c>
      <c r="CK103" s="112" t="s">
        <v>1766</v>
      </c>
      <c r="CL103" s="112" t="s">
        <v>1766</v>
      </c>
      <c r="CM103" s="112" t="s">
        <v>1766</v>
      </c>
      <c r="CN103" s="112" t="s">
        <v>1766</v>
      </c>
      <c r="CO103" s="112" t="s">
        <v>1766</v>
      </c>
    </row>
    <row r="104" spans="1:93">
      <c r="A104" s="106" t="s">
        <v>226</v>
      </c>
      <c r="B104" s="106">
        <v>13</v>
      </c>
      <c r="C104" s="106">
        <v>1</v>
      </c>
      <c r="D104" s="106">
        <v>1</v>
      </c>
      <c r="E104" s="106">
        <v>4</v>
      </c>
      <c r="F104" s="106">
        <v>3</v>
      </c>
      <c r="G104" s="106" t="s">
        <v>66</v>
      </c>
      <c r="I104" s="106">
        <v>201</v>
      </c>
      <c r="J104" s="106" t="s">
        <v>1766</v>
      </c>
      <c r="K104" s="106" t="s">
        <v>1318</v>
      </c>
      <c r="L104" s="106" t="s">
        <v>1331</v>
      </c>
      <c r="M104" s="106" t="s">
        <v>241</v>
      </c>
      <c r="O104" s="106">
        <v>13</v>
      </c>
      <c r="T104" s="106" t="s">
        <v>1766</v>
      </c>
      <c r="V104" s="106">
        <v>343330.79579707701</v>
      </c>
      <c r="W104" s="106">
        <v>1</v>
      </c>
      <c r="X104" s="106">
        <v>0</v>
      </c>
      <c r="Y104" s="106">
        <v>1</v>
      </c>
      <c r="Z104" s="106">
        <v>1</v>
      </c>
      <c r="AA104" s="106">
        <v>110000</v>
      </c>
      <c r="AB104" s="106">
        <v>0</v>
      </c>
      <c r="AC104" s="106">
        <v>110000</v>
      </c>
      <c r="AD104" s="106">
        <v>110000</v>
      </c>
      <c r="AE104" s="106">
        <v>330000</v>
      </c>
      <c r="AF104" s="106">
        <v>1320000</v>
      </c>
      <c r="AH104" s="106">
        <v>5760</v>
      </c>
      <c r="AI104" s="106">
        <v>0.04</v>
      </c>
      <c r="AJ104" s="106">
        <v>6</v>
      </c>
      <c r="AK104" s="106">
        <v>120</v>
      </c>
      <c r="AL104" s="106">
        <v>720</v>
      </c>
      <c r="AM104" s="106">
        <v>4518</v>
      </c>
      <c r="AN104" s="106">
        <v>18072</v>
      </c>
      <c r="AO104" s="106">
        <v>2111</v>
      </c>
      <c r="AP104" s="106" t="s">
        <v>98</v>
      </c>
      <c r="AQ104" s="106" t="s">
        <v>228</v>
      </c>
      <c r="AR104" s="106">
        <v>1017</v>
      </c>
      <c r="AS104" s="106">
        <v>4600</v>
      </c>
      <c r="AT104" s="106">
        <v>18400</v>
      </c>
      <c r="AY104" s="108">
        <v>0</v>
      </c>
      <c r="BD104" s="106">
        <v>0</v>
      </c>
      <c r="BY104" s="112" t="s">
        <v>1766</v>
      </c>
      <c r="BZ104" s="112" t="s">
        <v>1766</v>
      </c>
      <c r="CA104" s="112" t="s">
        <v>1766</v>
      </c>
      <c r="CB104" s="112" t="s">
        <v>1766</v>
      </c>
      <c r="CC104" s="112" t="s">
        <v>1766</v>
      </c>
      <c r="CD104" s="112" t="s">
        <v>1766</v>
      </c>
      <c r="CE104" s="112" t="s">
        <v>1766</v>
      </c>
      <c r="CF104" s="112" t="s">
        <v>1766</v>
      </c>
      <c r="CG104" s="112" t="s">
        <v>1766</v>
      </c>
      <c r="CH104" s="112" t="s">
        <v>1766</v>
      </c>
      <c r="CI104" s="112" t="s">
        <v>1766</v>
      </c>
      <c r="CJ104" s="112" t="s">
        <v>1766</v>
      </c>
      <c r="CK104" s="112" t="s">
        <v>1766</v>
      </c>
      <c r="CL104" s="112" t="s">
        <v>1766</v>
      </c>
      <c r="CM104" s="112" t="s">
        <v>1766</v>
      </c>
      <c r="CN104" s="112" t="s">
        <v>1766</v>
      </c>
      <c r="CO104" s="112" t="s">
        <v>1766</v>
      </c>
    </row>
    <row r="105" spans="1:93">
      <c r="A105" s="106" t="s">
        <v>226</v>
      </c>
      <c r="B105" s="106">
        <v>14</v>
      </c>
      <c r="C105" s="106">
        <v>1</v>
      </c>
      <c r="D105" s="106">
        <v>1</v>
      </c>
      <c r="E105" s="106">
        <v>4</v>
      </c>
      <c r="F105" s="106">
        <v>3</v>
      </c>
      <c r="G105" s="106" t="s">
        <v>66</v>
      </c>
      <c r="I105" s="106">
        <v>201</v>
      </c>
      <c r="J105" s="106" t="s">
        <v>1766</v>
      </c>
      <c r="K105" s="106" t="s">
        <v>1318</v>
      </c>
      <c r="L105" s="106" t="s">
        <v>1332</v>
      </c>
      <c r="M105" s="106" t="s">
        <v>242</v>
      </c>
      <c r="O105" s="106">
        <v>14</v>
      </c>
      <c r="T105" s="106" t="s">
        <v>1766</v>
      </c>
      <c r="V105" s="106">
        <v>446330.03453620098</v>
      </c>
      <c r="W105" s="106">
        <v>1</v>
      </c>
      <c r="X105" s="106">
        <v>0</v>
      </c>
      <c r="Y105" s="106">
        <v>1</v>
      </c>
      <c r="Z105" s="106">
        <v>1</v>
      </c>
      <c r="AA105" s="106">
        <v>150000</v>
      </c>
      <c r="AB105" s="106">
        <v>0</v>
      </c>
      <c r="AC105" s="106">
        <v>150000</v>
      </c>
      <c r="AD105" s="106">
        <v>150000</v>
      </c>
      <c r="AE105" s="106">
        <v>450000</v>
      </c>
      <c r="AF105" s="106">
        <v>1800000</v>
      </c>
      <c r="AH105" s="106">
        <v>7200</v>
      </c>
      <c r="AI105" s="106">
        <v>0.05</v>
      </c>
      <c r="AJ105" s="106">
        <v>6</v>
      </c>
      <c r="AK105" s="106">
        <v>120</v>
      </c>
      <c r="AL105" s="106">
        <v>720</v>
      </c>
      <c r="AM105" s="106">
        <v>5837</v>
      </c>
      <c r="AN105" s="106">
        <v>23348</v>
      </c>
      <c r="AO105" s="106">
        <v>3003</v>
      </c>
      <c r="AP105" s="106" t="s">
        <v>98</v>
      </c>
      <c r="AQ105" s="106" t="s">
        <v>228</v>
      </c>
      <c r="AR105" s="106">
        <v>1017</v>
      </c>
      <c r="AS105" s="106">
        <v>5100</v>
      </c>
      <c r="AT105" s="106">
        <v>20400</v>
      </c>
      <c r="AY105" s="108">
        <v>0</v>
      </c>
      <c r="BD105" s="106">
        <v>0</v>
      </c>
      <c r="BY105" s="112" t="s">
        <v>1766</v>
      </c>
      <c r="BZ105" s="112" t="s">
        <v>1766</v>
      </c>
      <c r="CA105" s="112" t="s">
        <v>1766</v>
      </c>
      <c r="CB105" s="112" t="s">
        <v>1766</v>
      </c>
      <c r="CC105" s="112" t="s">
        <v>1766</v>
      </c>
      <c r="CD105" s="112" t="s">
        <v>1766</v>
      </c>
      <c r="CE105" s="112" t="s">
        <v>1766</v>
      </c>
      <c r="CF105" s="112" t="s">
        <v>1766</v>
      </c>
      <c r="CG105" s="112" t="s">
        <v>1766</v>
      </c>
      <c r="CH105" s="112" t="s">
        <v>1766</v>
      </c>
      <c r="CI105" s="112" t="s">
        <v>1766</v>
      </c>
      <c r="CJ105" s="112" t="s">
        <v>1766</v>
      </c>
      <c r="CK105" s="112" t="s">
        <v>1766</v>
      </c>
      <c r="CL105" s="112" t="s">
        <v>1766</v>
      </c>
      <c r="CM105" s="112" t="s">
        <v>1766</v>
      </c>
      <c r="CN105" s="112" t="s">
        <v>1766</v>
      </c>
      <c r="CO105" s="112" t="s">
        <v>1766</v>
      </c>
    </row>
    <row r="106" spans="1:93">
      <c r="A106" s="106" t="s">
        <v>226</v>
      </c>
      <c r="B106" s="106">
        <v>15</v>
      </c>
      <c r="C106" s="106">
        <v>1</v>
      </c>
      <c r="D106" s="106">
        <v>1</v>
      </c>
      <c r="E106" s="106">
        <v>4</v>
      </c>
      <c r="F106" s="106">
        <v>3</v>
      </c>
      <c r="G106" s="106" t="s">
        <v>66</v>
      </c>
      <c r="I106" s="106">
        <v>201</v>
      </c>
      <c r="J106" s="106" t="s">
        <v>1766</v>
      </c>
      <c r="K106" s="106" t="s">
        <v>1318</v>
      </c>
      <c r="L106" s="106" t="s">
        <v>1333</v>
      </c>
      <c r="M106" s="106" t="s">
        <v>243</v>
      </c>
      <c r="O106" s="106">
        <v>15</v>
      </c>
      <c r="T106" s="106" t="s">
        <v>1766</v>
      </c>
      <c r="V106" s="106">
        <v>571302.44420633698</v>
      </c>
      <c r="W106" s="106">
        <v>1</v>
      </c>
      <c r="X106" s="106">
        <v>0</v>
      </c>
      <c r="Y106" s="106">
        <v>1</v>
      </c>
      <c r="Z106" s="106">
        <v>1</v>
      </c>
      <c r="AA106" s="106">
        <v>190000</v>
      </c>
      <c r="AB106" s="106">
        <v>0</v>
      </c>
      <c r="AC106" s="106">
        <v>190000</v>
      </c>
      <c r="AD106" s="106">
        <v>190000</v>
      </c>
      <c r="AE106" s="106">
        <v>570000</v>
      </c>
      <c r="AF106" s="106">
        <v>2280000</v>
      </c>
      <c r="AH106" s="106">
        <v>8640</v>
      </c>
      <c r="AI106" s="106">
        <v>0.05</v>
      </c>
      <c r="AJ106" s="106">
        <v>7</v>
      </c>
      <c r="AK106" s="106">
        <v>120</v>
      </c>
      <c r="AL106" s="106">
        <v>840</v>
      </c>
      <c r="AM106" s="106">
        <v>7088</v>
      </c>
      <c r="AN106" s="106">
        <v>28352</v>
      </c>
      <c r="AO106" s="106">
        <v>4146</v>
      </c>
      <c r="AP106" s="106" t="s">
        <v>98</v>
      </c>
      <c r="AQ106" s="106" t="s">
        <v>228</v>
      </c>
      <c r="AR106" s="106">
        <v>1017</v>
      </c>
      <c r="AS106" s="106">
        <v>5600</v>
      </c>
      <c r="AT106" s="106">
        <v>22400</v>
      </c>
      <c r="AY106" s="108">
        <v>0</v>
      </c>
      <c r="BD106" s="106">
        <v>0</v>
      </c>
      <c r="BY106" s="112" t="s">
        <v>1766</v>
      </c>
      <c r="BZ106" s="112" t="s">
        <v>1766</v>
      </c>
      <c r="CA106" s="112" t="s">
        <v>1766</v>
      </c>
      <c r="CB106" s="112" t="s">
        <v>1766</v>
      </c>
      <c r="CC106" s="112" t="s">
        <v>1766</v>
      </c>
      <c r="CD106" s="112" t="s">
        <v>1766</v>
      </c>
      <c r="CE106" s="112" t="s">
        <v>1766</v>
      </c>
      <c r="CF106" s="112" t="s">
        <v>1766</v>
      </c>
      <c r="CG106" s="112" t="s">
        <v>1766</v>
      </c>
      <c r="CH106" s="112" t="s">
        <v>1766</v>
      </c>
      <c r="CI106" s="112" t="s">
        <v>1766</v>
      </c>
      <c r="CJ106" s="112" t="s">
        <v>1766</v>
      </c>
      <c r="CK106" s="112" t="s">
        <v>1766</v>
      </c>
      <c r="CL106" s="112" t="s">
        <v>1766</v>
      </c>
      <c r="CM106" s="112" t="s">
        <v>1766</v>
      </c>
      <c r="CN106" s="112" t="s">
        <v>1766</v>
      </c>
      <c r="CO106" s="112" t="s">
        <v>1766</v>
      </c>
    </row>
    <row r="107" spans="1:93">
      <c r="A107" s="106" t="s">
        <v>226</v>
      </c>
      <c r="B107" s="106">
        <v>16</v>
      </c>
      <c r="C107" s="106">
        <v>1</v>
      </c>
      <c r="D107" s="106">
        <v>1</v>
      </c>
      <c r="E107" s="106">
        <v>4</v>
      </c>
      <c r="F107" s="106">
        <v>3</v>
      </c>
      <c r="G107" s="106" t="s">
        <v>66</v>
      </c>
      <c r="I107" s="106">
        <v>201</v>
      </c>
      <c r="J107" s="106" t="s">
        <v>1766</v>
      </c>
      <c r="K107" s="106" t="s">
        <v>1318</v>
      </c>
      <c r="L107" s="106" t="s">
        <v>1334</v>
      </c>
      <c r="M107" s="106" t="s">
        <v>244</v>
      </c>
      <c r="O107" s="106">
        <v>16</v>
      </c>
      <c r="T107" s="106" t="s">
        <v>1766</v>
      </c>
      <c r="V107" s="106">
        <v>731267.12858411099</v>
      </c>
      <c r="W107" s="106">
        <v>1</v>
      </c>
      <c r="X107" s="106">
        <v>0</v>
      </c>
      <c r="Y107" s="106">
        <v>1</v>
      </c>
      <c r="Z107" s="106">
        <v>1</v>
      </c>
      <c r="AA107" s="106">
        <v>240000</v>
      </c>
      <c r="AB107" s="106">
        <v>0</v>
      </c>
      <c r="AC107" s="106">
        <v>240000</v>
      </c>
      <c r="AD107" s="106">
        <v>240000</v>
      </c>
      <c r="AE107" s="106">
        <v>720000</v>
      </c>
      <c r="AF107" s="106">
        <v>2880000</v>
      </c>
      <c r="AH107" s="106">
        <v>10800</v>
      </c>
      <c r="AI107" s="106">
        <v>0.05</v>
      </c>
      <c r="AJ107" s="106">
        <v>7</v>
      </c>
      <c r="AK107" s="106">
        <v>120</v>
      </c>
      <c r="AL107" s="106">
        <v>840</v>
      </c>
      <c r="AM107" s="106">
        <v>9145</v>
      </c>
      <c r="AN107" s="106">
        <v>36580</v>
      </c>
      <c r="AO107" s="106">
        <v>5609</v>
      </c>
      <c r="AP107" s="106" t="s">
        <v>98</v>
      </c>
      <c r="AQ107" s="106" t="s">
        <v>228</v>
      </c>
      <c r="AR107" s="106">
        <v>1017</v>
      </c>
      <c r="AS107" s="106">
        <v>6250</v>
      </c>
      <c r="AT107" s="106">
        <v>25000</v>
      </c>
      <c r="AY107" s="108">
        <v>0</v>
      </c>
      <c r="BD107" s="106">
        <v>0</v>
      </c>
      <c r="BY107" s="112" t="s">
        <v>1766</v>
      </c>
      <c r="BZ107" s="112" t="s">
        <v>1766</v>
      </c>
      <c r="CA107" s="112" t="s">
        <v>1766</v>
      </c>
      <c r="CB107" s="112" t="s">
        <v>1766</v>
      </c>
      <c r="CC107" s="112" t="s">
        <v>1766</v>
      </c>
      <c r="CD107" s="112" t="s">
        <v>1766</v>
      </c>
      <c r="CE107" s="112" t="s">
        <v>1766</v>
      </c>
      <c r="CF107" s="112" t="s">
        <v>1766</v>
      </c>
      <c r="CG107" s="112" t="s">
        <v>1766</v>
      </c>
      <c r="CH107" s="112" t="s">
        <v>1766</v>
      </c>
      <c r="CI107" s="112" t="s">
        <v>1766</v>
      </c>
      <c r="CJ107" s="112" t="s">
        <v>1766</v>
      </c>
      <c r="CK107" s="112" t="s">
        <v>1766</v>
      </c>
      <c r="CL107" s="112" t="s">
        <v>1766</v>
      </c>
      <c r="CM107" s="112" t="s">
        <v>1766</v>
      </c>
      <c r="CN107" s="112" t="s">
        <v>1766</v>
      </c>
      <c r="CO107" s="112" t="s">
        <v>1766</v>
      </c>
    </row>
    <row r="108" spans="1:93">
      <c r="A108" s="106" t="s">
        <v>226</v>
      </c>
      <c r="B108" s="106">
        <v>17</v>
      </c>
      <c r="C108" s="106">
        <v>1</v>
      </c>
      <c r="D108" s="106">
        <v>1</v>
      </c>
      <c r="E108" s="106">
        <v>4</v>
      </c>
      <c r="F108" s="106">
        <v>4</v>
      </c>
      <c r="G108" s="106" t="s">
        <v>66</v>
      </c>
      <c r="I108" s="106">
        <v>201</v>
      </c>
      <c r="J108" s="106" t="s">
        <v>1766</v>
      </c>
      <c r="K108" s="106" t="s">
        <v>1318</v>
      </c>
      <c r="L108" s="106" t="s">
        <v>1335</v>
      </c>
      <c r="M108" s="106" t="s">
        <v>245</v>
      </c>
      <c r="O108" s="106">
        <v>17</v>
      </c>
      <c r="T108" s="106" t="s">
        <v>1766</v>
      </c>
      <c r="V108" s="106">
        <v>936021.92458766198</v>
      </c>
      <c r="W108" s="106">
        <v>1</v>
      </c>
      <c r="X108" s="106">
        <v>0</v>
      </c>
      <c r="Y108" s="106">
        <v>1</v>
      </c>
      <c r="Z108" s="106">
        <v>1</v>
      </c>
      <c r="AA108" s="106">
        <v>310000</v>
      </c>
      <c r="AB108" s="106">
        <v>0</v>
      </c>
      <c r="AC108" s="106">
        <v>310000</v>
      </c>
      <c r="AD108" s="106">
        <v>310000</v>
      </c>
      <c r="AE108" s="106">
        <v>930000</v>
      </c>
      <c r="AF108" s="106">
        <v>3720000</v>
      </c>
      <c r="AH108" s="106">
        <v>14400</v>
      </c>
      <c r="AI108" s="106">
        <v>0.05</v>
      </c>
      <c r="AJ108" s="106">
        <v>8</v>
      </c>
      <c r="AK108" s="106">
        <v>144</v>
      </c>
      <c r="AL108" s="106">
        <v>1152</v>
      </c>
      <c r="AM108" s="106">
        <v>12262</v>
      </c>
      <c r="AN108" s="106">
        <v>49048</v>
      </c>
      <c r="AO108" s="106">
        <v>7481</v>
      </c>
      <c r="AP108" s="106" t="s">
        <v>98</v>
      </c>
      <c r="AQ108" s="106" t="s">
        <v>228</v>
      </c>
      <c r="AR108" s="106">
        <v>1017</v>
      </c>
      <c r="AS108" s="106">
        <v>6900</v>
      </c>
      <c r="AT108" s="106">
        <v>27600</v>
      </c>
      <c r="AY108" s="108">
        <v>0</v>
      </c>
      <c r="BD108" s="106">
        <v>0</v>
      </c>
      <c r="BY108" s="112" t="s">
        <v>1766</v>
      </c>
      <c r="BZ108" s="112" t="s">
        <v>1766</v>
      </c>
      <c r="CA108" s="112" t="s">
        <v>1766</v>
      </c>
      <c r="CB108" s="112" t="s">
        <v>1766</v>
      </c>
      <c r="CC108" s="112" t="s">
        <v>1766</v>
      </c>
      <c r="CD108" s="112" t="s">
        <v>1766</v>
      </c>
      <c r="CE108" s="112" t="s">
        <v>1766</v>
      </c>
      <c r="CF108" s="112" t="s">
        <v>1766</v>
      </c>
      <c r="CG108" s="112" t="s">
        <v>1766</v>
      </c>
      <c r="CH108" s="112" t="s">
        <v>1766</v>
      </c>
      <c r="CI108" s="112" t="s">
        <v>1766</v>
      </c>
      <c r="CJ108" s="112" t="s">
        <v>1766</v>
      </c>
      <c r="CK108" s="112" t="s">
        <v>1766</v>
      </c>
      <c r="CL108" s="112" t="s">
        <v>1766</v>
      </c>
      <c r="CM108" s="112" t="s">
        <v>1766</v>
      </c>
      <c r="CN108" s="112" t="s">
        <v>1766</v>
      </c>
      <c r="CO108" s="112" t="s">
        <v>1766</v>
      </c>
    </row>
    <row r="109" spans="1:93">
      <c r="A109" s="106" t="s">
        <v>226</v>
      </c>
      <c r="B109" s="106">
        <v>18</v>
      </c>
      <c r="C109" s="106">
        <v>1</v>
      </c>
      <c r="D109" s="106">
        <v>1</v>
      </c>
      <c r="E109" s="106">
        <v>4</v>
      </c>
      <c r="F109" s="106">
        <v>4</v>
      </c>
      <c r="G109" s="106" t="s">
        <v>66</v>
      </c>
      <c r="I109" s="106">
        <v>201</v>
      </c>
      <c r="J109" s="106" t="s">
        <v>1766</v>
      </c>
      <c r="K109" s="106" t="s">
        <v>1318</v>
      </c>
      <c r="L109" s="106" t="s">
        <v>1336</v>
      </c>
      <c r="M109" s="106" t="s">
        <v>246</v>
      </c>
      <c r="O109" s="106">
        <v>18</v>
      </c>
      <c r="T109" s="106" t="s">
        <v>1766</v>
      </c>
      <c r="V109" s="106">
        <v>1198108.06347221</v>
      </c>
      <c r="W109" s="106">
        <v>1</v>
      </c>
      <c r="X109" s="106">
        <v>0</v>
      </c>
      <c r="Y109" s="106">
        <v>1</v>
      </c>
      <c r="Z109" s="106">
        <v>1</v>
      </c>
      <c r="AA109" s="106">
        <v>400000</v>
      </c>
      <c r="AB109" s="106">
        <v>0</v>
      </c>
      <c r="AC109" s="106">
        <v>400000</v>
      </c>
      <c r="AD109" s="106">
        <v>400000</v>
      </c>
      <c r="AE109" s="106">
        <v>1200000</v>
      </c>
      <c r="AF109" s="106">
        <v>4800000</v>
      </c>
      <c r="AH109" s="106">
        <v>18720</v>
      </c>
      <c r="AI109" s="106">
        <v>6.5000000000000002E-2</v>
      </c>
      <c r="AJ109" s="106">
        <v>8</v>
      </c>
      <c r="AK109" s="106">
        <v>187.2</v>
      </c>
      <c r="AL109" s="106">
        <v>1497.6</v>
      </c>
      <c r="AM109" s="106">
        <v>15779</v>
      </c>
      <c r="AN109" s="106">
        <v>63116</v>
      </c>
      <c r="AO109" s="106">
        <v>9877</v>
      </c>
      <c r="AP109" s="106" t="s">
        <v>98</v>
      </c>
      <c r="AQ109" s="106" t="s">
        <v>228</v>
      </c>
      <c r="AR109" s="106">
        <v>1017</v>
      </c>
      <c r="AS109" s="106">
        <v>7600</v>
      </c>
      <c r="AT109" s="106">
        <v>30400</v>
      </c>
      <c r="AY109" s="108">
        <v>0</v>
      </c>
      <c r="BD109" s="106">
        <v>0</v>
      </c>
      <c r="BY109" s="112" t="s">
        <v>1766</v>
      </c>
      <c r="BZ109" s="112" t="s">
        <v>1766</v>
      </c>
      <c r="CA109" s="112" t="s">
        <v>1766</v>
      </c>
      <c r="CB109" s="112" t="s">
        <v>1766</v>
      </c>
      <c r="CC109" s="112" t="s">
        <v>1766</v>
      </c>
      <c r="CD109" s="112" t="s">
        <v>1766</v>
      </c>
      <c r="CE109" s="112" t="s">
        <v>1766</v>
      </c>
      <c r="CF109" s="112" t="s">
        <v>1766</v>
      </c>
      <c r="CG109" s="112" t="s">
        <v>1766</v>
      </c>
      <c r="CH109" s="112" t="s">
        <v>1766</v>
      </c>
      <c r="CI109" s="112" t="s">
        <v>1766</v>
      </c>
      <c r="CJ109" s="112" t="s">
        <v>1766</v>
      </c>
      <c r="CK109" s="112" t="s">
        <v>1766</v>
      </c>
      <c r="CL109" s="112" t="s">
        <v>1766</v>
      </c>
      <c r="CM109" s="112" t="s">
        <v>1766</v>
      </c>
      <c r="CN109" s="112" t="s">
        <v>1766</v>
      </c>
      <c r="CO109" s="112" t="s">
        <v>1766</v>
      </c>
    </row>
    <row r="110" spans="1:93">
      <c r="A110" s="106" t="s">
        <v>226</v>
      </c>
      <c r="B110" s="106">
        <v>19</v>
      </c>
      <c r="C110" s="106">
        <v>1</v>
      </c>
      <c r="D110" s="106">
        <v>1</v>
      </c>
      <c r="E110" s="106">
        <v>4</v>
      </c>
      <c r="F110" s="106">
        <v>4</v>
      </c>
      <c r="G110" s="106" t="s">
        <v>66</v>
      </c>
      <c r="I110" s="106">
        <v>201</v>
      </c>
      <c r="J110" s="106" t="s">
        <v>1766</v>
      </c>
      <c r="K110" s="106" t="s">
        <v>1318</v>
      </c>
      <c r="L110" s="106" t="s">
        <v>1337</v>
      </c>
      <c r="M110" s="106" t="s">
        <v>247</v>
      </c>
      <c r="O110" s="106">
        <v>19</v>
      </c>
      <c r="T110" s="106" t="s">
        <v>1766</v>
      </c>
      <c r="V110" s="106">
        <v>1533578.32124443</v>
      </c>
      <c r="W110" s="106">
        <v>1</v>
      </c>
      <c r="X110" s="106">
        <v>0</v>
      </c>
      <c r="Y110" s="106">
        <v>1</v>
      </c>
      <c r="Z110" s="106">
        <v>1</v>
      </c>
      <c r="AA110" s="106">
        <v>510000</v>
      </c>
      <c r="AB110" s="106">
        <v>0</v>
      </c>
      <c r="AC110" s="106">
        <v>510000</v>
      </c>
      <c r="AD110" s="106">
        <v>510000</v>
      </c>
      <c r="AE110" s="106">
        <v>1530000</v>
      </c>
      <c r="AF110" s="106">
        <v>6120000</v>
      </c>
      <c r="AH110" s="106">
        <v>24480</v>
      </c>
      <c r="AI110" s="106">
        <v>0.08</v>
      </c>
      <c r="AJ110" s="106">
        <v>9</v>
      </c>
      <c r="AK110" s="106">
        <v>244.8</v>
      </c>
      <c r="AL110" s="106">
        <v>2203.1999999999998</v>
      </c>
      <c r="AM110" s="106">
        <v>20163</v>
      </c>
      <c r="AN110" s="106">
        <v>80652</v>
      </c>
      <c r="AO110" s="106">
        <v>12944</v>
      </c>
      <c r="AP110" s="106" t="s">
        <v>98</v>
      </c>
      <c r="AQ110" s="106" t="s">
        <v>228</v>
      </c>
      <c r="AR110" s="106">
        <v>1017</v>
      </c>
      <c r="AS110" s="106">
        <v>8300</v>
      </c>
      <c r="AT110" s="106">
        <v>33200</v>
      </c>
      <c r="AY110" s="108">
        <v>0</v>
      </c>
      <c r="BD110" s="106">
        <v>0</v>
      </c>
      <c r="BY110" s="112" t="s">
        <v>1766</v>
      </c>
      <c r="BZ110" s="112" t="s">
        <v>1766</v>
      </c>
      <c r="CA110" s="112" t="s">
        <v>1766</v>
      </c>
      <c r="CB110" s="112" t="s">
        <v>1766</v>
      </c>
      <c r="CC110" s="112" t="s">
        <v>1766</v>
      </c>
      <c r="CD110" s="112" t="s">
        <v>1766</v>
      </c>
      <c r="CE110" s="112" t="s">
        <v>1766</v>
      </c>
      <c r="CF110" s="112" t="s">
        <v>1766</v>
      </c>
      <c r="CG110" s="112" t="s">
        <v>1766</v>
      </c>
      <c r="CH110" s="112" t="s">
        <v>1766</v>
      </c>
      <c r="CI110" s="112" t="s">
        <v>1766</v>
      </c>
      <c r="CJ110" s="112" t="s">
        <v>1766</v>
      </c>
      <c r="CK110" s="112" t="s">
        <v>1766</v>
      </c>
      <c r="CL110" s="112" t="s">
        <v>1766</v>
      </c>
      <c r="CM110" s="112" t="s">
        <v>1766</v>
      </c>
      <c r="CN110" s="112" t="s">
        <v>1766</v>
      </c>
      <c r="CO110" s="112" t="s">
        <v>1766</v>
      </c>
    </row>
    <row r="111" spans="1:93">
      <c r="A111" s="106" t="s">
        <v>226</v>
      </c>
      <c r="B111" s="106">
        <v>20</v>
      </c>
      <c r="C111" s="106">
        <v>1</v>
      </c>
      <c r="D111" s="106">
        <v>1</v>
      </c>
      <c r="E111" s="106">
        <v>4</v>
      </c>
      <c r="F111" s="106">
        <v>4</v>
      </c>
      <c r="G111" s="106" t="s">
        <v>66</v>
      </c>
      <c r="I111" s="106">
        <v>201</v>
      </c>
      <c r="J111" s="106" t="s">
        <v>1766</v>
      </c>
      <c r="K111" s="106" t="s">
        <v>1318</v>
      </c>
      <c r="L111" s="106" t="s">
        <v>1338</v>
      </c>
      <c r="M111" s="106" t="s">
        <v>248</v>
      </c>
      <c r="O111" s="106">
        <v>20</v>
      </c>
      <c r="T111" s="106" t="s">
        <v>1766</v>
      </c>
      <c r="V111" s="106">
        <v>1962980.2511928601</v>
      </c>
      <c r="W111" s="106">
        <v>1</v>
      </c>
      <c r="X111" s="106">
        <v>0</v>
      </c>
      <c r="Y111" s="106">
        <v>1</v>
      </c>
      <c r="Z111" s="106">
        <v>1</v>
      </c>
      <c r="AA111" s="106">
        <v>650000</v>
      </c>
      <c r="AB111" s="106">
        <v>0</v>
      </c>
      <c r="AC111" s="106">
        <v>650000</v>
      </c>
      <c r="AD111" s="106">
        <v>650000</v>
      </c>
      <c r="AE111" s="106">
        <v>1950000</v>
      </c>
      <c r="AF111" s="106">
        <v>7800000</v>
      </c>
      <c r="AH111" s="106">
        <v>34560</v>
      </c>
      <c r="AI111" s="106">
        <v>9.5000000000000001E-2</v>
      </c>
      <c r="AJ111" s="106">
        <v>9</v>
      </c>
      <c r="AK111" s="106">
        <v>345.6</v>
      </c>
      <c r="AL111" s="106">
        <v>3110.4</v>
      </c>
      <c r="AM111" s="106">
        <v>28151</v>
      </c>
      <c r="AN111" s="106">
        <v>112604</v>
      </c>
      <c r="AO111" s="106">
        <v>16870</v>
      </c>
      <c r="AP111" s="106" t="s">
        <v>98</v>
      </c>
      <c r="AQ111" s="106" t="s">
        <v>228</v>
      </c>
      <c r="AR111" s="106">
        <v>1017</v>
      </c>
      <c r="AS111" s="106">
        <v>9000</v>
      </c>
      <c r="AT111" s="106">
        <v>36000</v>
      </c>
      <c r="AY111" s="108">
        <v>0</v>
      </c>
      <c r="BD111" s="106">
        <v>0</v>
      </c>
      <c r="BY111" s="112" t="s">
        <v>1766</v>
      </c>
      <c r="BZ111" s="112" t="s">
        <v>1766</v>
      </c>
      <c r="CA111" s="112" t="s">
        <v>1766</v>
      </c>
      <c r="CB111" s="112" t="s">
        <v>1766</v>
      </c>
      <c r="CC111" s="112" t="s">
        <v>1766</v>
      </c>
      <c r="CD111" s="112" t="s">
        <v>1766</v>
      </c>
      <c r="CE111" s="112" t="s">
        <v>1766</v>
      </c>
      <c r="CF111" s="112" t="s">
        <v>1766</v>
      </c>
      <c r="CG111" s="112" t="s">
        <v>1766</v>
      </c>
      <c r="CH111" s="112" t="s">
        <v>1766</v>
      </c>
      <c r="CI111" s="112" t="s">
        <v>1766</v>
      </c>
      <c r="CJ111" s="112" t="s">
        <v>1766</v>
      </c>
      <c r="CK111" s="112" t="s">
        <v>1766</v>
      </c>
      <c r="CL111" s="112" t="s">
        <v>1766</v>
      </c>
      <c r="CM111" s="112" t="s">
        <v>1766</v>
      </c>
      <c r="CN111" s="112" t="s">
        <v>1766</v>
      </c>
      <c r="CO111" s="112" t="s">
        <v>1766</v>
      </c>
    </row>
    <row r="112" spans="1:93">
      <c r="A112" s="106" t="s">
        <v>226</v>
      </c>
      <c r="B112" s="106">
        <v>21</v>
      </c>
      <c r="C112" s="106">
        <v>1</v>
      </c>
      <c r="D112" s="106">
        <v>1</v>
      </c>
      <c r="E112" s="106">
        <v>4</v>
      </c>
      <c r="F112" s="106">
        <v>4</v>
      </c>
      <c r="G112" s="106" t="s">
        <v>66</v>
      </c>
      <c r="I112" s="106">
        <v>201</v>
      </c>
      <c r="J112" s="106" t="s">
        <v>1766</v>
      </c>
      <c r="K112" s="106" t="s">
        <v>1318</v>
      </c>
      <c r="L112" s="106" t="s">
        <v>1340</v>
      </c>
      <c r="M112" s="106" t="s">
        <v>1372</v>
      </c>
      <c r="O112" s="106">
        <v>21</v>
      </c>
      <c r="T112" s="106" t="s">
        <v>1766</v>
      </c>
      <c r="V112" s="106">
        <v>2512614.72152687</v>
      </c>
      <c r="W112" s="106">
        <v>1</v>
      </c>
      <c r="X112" s="106">
        <v>0</v>
      </c>
      <c r="Y112" s="106">
        <v>1</v>
      </c>
      <c r="Z112" s="106">
        <v>1</v>
      </c>
      <c r="AA112" s="106">
        <v>840000</v>
      </c>
      <c r="AB112" s="106">
        <v>0</v>
      </c>
      <c r="AC112" s="106">
        <v>840000</v>
      </c>
      <c r="AD112" s="106">
        <v>840000</v>
      </c>
      <c r="AE112" s="106">
        <v>2520000</v>
      </c>
      <c r="AF112" s="106">
        <v>10080000</v>
      </c>
      <c r="AH112" s="106">
        <v>46080</v>
      </c>
      <c r="AI112" s="106">
        <v>0.11</v>
      </c>
      <c r="AJ112" s="106">
        <v>10</v>
      </c>
      <c r="AK112" s="106">
        <v>460.8</v>
      </c>
      <c r="AL112" s="106">
        <v>4608</v>
      </c>
      <c r="AM112" s="106">
        <v>36605</v>
      </c>
      <c r="AN112" s="106">
        <v>146420</v>
      </c>
      <c r="AO112" s="106">
        <v>21895</v>
      </c>
      <c r="AP112" s="106" t="s">
        <v>98</v>
      </c>
      <c r="AQ112" s="106" t="s">
        <v>228</v>
      </c>
      <c r="AR112" s="106">
        <v>1017</v>
      </c>
      <c r="AS112" s="106">
        <v>9800</v>
      </c>
      <c r="AT112" s="106">
        <v>39200</v>
      </c>
      <c r="AY112" s="108">
        <v>0</v>
      </c>
      <c r="BD112" s="106">
        <v>0</v>
      </c>
      <c r="BY112" s="112" t="s">
        <v>1766</v>
      </c>
      <c r="BZ112" s="112" t="s">
        <v>1766</v>
      </c>
      <c r="CA112" s="112" t="s">
        <v>1766</v>
      </c>
      <c r="CB112" s="112" t="s">
        <v>1766</v>
      </c>
      <c r="CC112" s="112" t="s">
        <v>1766</v>
      </c>
      <c r="CD112" s="112" t="s">
        <v>1766</v>
      </c>
      <c r="CE112" s="112" t="s">
        <v>1766</v>
      </c>
      <c r="CF112" s="112" t="s">
        <v>1766</v>
      </c>
      <c r="CG112" s="112" t="s">
        <v>1766</v>
      </c>
      <c r="CH112" s="112" t="s">
        <v>1766</v>
      </c>
      <c r="CI112" s="112" t="s">
        <v>1766</v>
      </c>
      <c r="CJ112" s="112" t="s">
        <v>1766</v>
      </c>
      <c r="CK112" s="112" t="s">
        <v>1766</v>
      </c>
      <c r="CL112" s="112" t="s">
        <v>1766</v>
      </c>
      <c r="CM112" s="112" t="s">
        <v>1766</v>
      </c>
      <c r="CN112" s="112" t="s">
        <v>1766</v>
      </c>
      <c r="CO112" s="112" t="s">
        <v>1766</v>
      </c>
    </row>
    <row r="113" spans="1:93">
      <c r="A113" s="106" t="s">
        <v>226</v>
      </c>
      <c r="B113" s="106">
        <v>22</v>
      </c>
      <c r="C113" s="106">
        <v>1</v>
      </c>
      <c r="D113" s="106">
        <v>1</v>
      </c>
      <c r="E113" s="106">
        <v>4</v>
      </c>
      <c r="F113" s="106">
        <v>4</v>
      </c>
      <c r="G113" s="106" t="s">
        <v>66</v>
      </c>
      <c r="I113" s="106">
        <v>201</v>
      </c>
      <c r="J113" s="106" t="s">
        <v>1766</v>
      </c>
      <c r="K113" s="106" t="s">
        <v>1318</v>
      </c>
      <c r="L113" s="106" t="s">
        <v>1342</v>
      </c>
      <c r="M113" s="106" t="s">
        <v>1373</v>
      </c>
      <c r="O113" s="106">
        <v>22</v>
      </c>
      <c r="T113" s="106" t="s">
        <v>1766</v>
      </c>
      <c r="V113" s="106">
        <v>3216146.8435543901</v>
      </c>
      <c r="W113" s="106">
        <v>1</v>
      </c>
      <c r="X113" s="106">
        <v>0</v>
      </c>
      <c r="Y113" s="106">
        <v>1</v>
      </c>
      <c r="Z113" s="106">
        <v>1</v>
      </c>
      <c r="AA113" s="106">
        <v>1100000</v>
      </c>
      <c r="AB113" s="106">
        <v>0</v>
      </c>
      <c r="AC113" s="106">
        <v>1100000</v>
      </c>
      <c r="AD113" s="106">
        <v>1100000</v>
      </c>
      <c r="AE113" s="106">
        <v>3300000</v>
      </c>
      <c r="AF113" s="106">
        <v>13200000</v>
      </c>
      <c r="AH113" s="106">
        <v>60480</v>
      </c>
      <c r="AI113" s="106">
        <v>0.125</v>
      </c>
      <c r="AJ113" s="106">
        <v>10</v>
      </c>
      <c r="AK113" s="106">
        <v>604.79999999999995</v>
      </c>
      <c r="AL113" s="106">
        <v>6048</v>
      </c>
      <c r="AM113" s="106">
        <v>47412</v>
      </c>
      <c r="AN113" s="106">
        <v>189648</v>
      </c>
      <c r="AO113" s="106">
        <v>28328</v>
      </c>
      <c r="AP113" s="106" t="s">
        <v>98</v>
      </c>
      <c r="AQ113" s="106" t="s">
        <v>228</v>
      </c>
      <c r="AR113" s="106">
        <v>1017</v>
      </c>
      <c r="AS113" s="106">
        <v>10600</v>
      </c>
      <c r="AT113" s="106">
        <v>42400</v>
      </c>
      <c r="AY113" s="108">
        <v>0</v>
      </c>
      <c r="BD113" s="106">
        <v>0</v>
      </c>
      <c r="BY113" s="112" t="s">
        <v>1766</v>
      </c>
      <c r="BZ113" s="112" t="s">
        <v>1766</v>
      </c>
      <c r="CA113" s="112" t="s">
        <v>1766</v>
      </c>
      <c r="CB113" s="112" t="s">
        <v>1766</v>
      </c>
      <c r="CC113" s="112" t="s">
        <v>1766</v>
      </c>
      <c r="CD113" s="112" t="s">
        <v>1766</v>
      </c>
      <c r="CE113" s="112" t="s">
        <v>1766</v>
      </c>
      <c r="CF113" s="112" t="s">
        <v>1766</v>
      </c>
      <c r="CG113" s="112" t="s">
        <v>1766</v>
      </c>
      <c r="CH113" s="112" t="s">
        <v>1766</v>
      </c>
      <c r="CI113" s="112" t="s">
        <v>1766</v>
      </c>
      <c r="CJ113" s="112" t="s">
        <v>1766</v>
      </c>
      <c r="CK113" s="112" t="s">
        <v>1766</v>
      </c>
      <c r="CL113" s="112" t="s">
        <v>1766</v>
      </c>
      <c r="CM113" s="112" t="s">
        <v>1766</v>
      </c>
      <c r="CN113" s="112" t="s">
        <v>1766</v>
      </c>
      <c r="CO113" s="112" t="s">
        <v>1766</v>
      </c>
    </row>
    <row r="114" spans="1:93">
      <c r="A114" s="106" t="s">
        <v>226</v>
      </c>
      <c r="B114" s="106">
        <v>23</v>
      </c>
      <c r="C114" s="106">
        <v>1</v>
      </c>
      <c r="D114" s="106">
        <v>1</v>
      </c>
      <c r="E114" s="106">
        <v>4</v>
      </c>
      <c r="F114" s="106">
        <v>4</v>
      </c>
      <c r="G114" s="106" t="s">
        <v>66</v>
      </c>
      <c r="I114" s="106">
        <v>201</v>
      </c>
      <c r="J114" s="106" t="s">
        <v>1766</v>
      </c>
      <c r="K114" s="106" t="s">
        <v>1318</v>
      </c>
      <c r="L114" s="106" t="s">
        <v>1344</v>
      </c>
      <c r="M114" s="106" t="s">
        <v>1374</v>
      </c>
      <c r="O114" s="106">
        <v>23</v>
      </c>
      <c r="T114" s="106" t="s">
        <v>1766</v>
      </c>
      <c r="V114" s="106">
        <v>4116667.9597496199</v>
      </c>
      <c r="W114" s="106">
        <v>1</v>
      </c>
      <c r="X114" s="106">
        <v>0</v>
      </c>
      <c r="Y114" s="106">
        <v>1</v>
      </c>
      <c r="Z114" s="106">
        <v>1</v>
      </c>
      <c r="AA114" s="106">
        <v>1400000</v>
      </c>
      <c r="AB114" s="106">
        <v>0</v>
      </c>
      <c r="AC114" s="106">
        <v>1400000</v>
      </c>
      <c r="AD114" s="106">
        <v>1400000</v>
      </c>
      <c r="AE114" s="106">
        <v>4200000</v>
      </c>
      <c r="AF114" s="106">
        <v>16800000</v>
      </c>
      <c r="AH114" s="106">
        <v>77760</v>
      </c>
      <c r="AI114" s="106">
        <v>0.125</v>
      </c>
      <c r="AJ114" s="106">
        <v>11</v>
      </c>
      <c r="AK114" s="106">
        <v>777.6</v>
      </c>
      <c r="AL114" s="106">
        <v>8553.6</v>
      </c>
      <c r="AM114" s="106">
        <v>60266</v>
      </c>
      <c r="AN114" s="106">
        <v>241064</v>
      </c>
      <c r="AO114" s="106">
        <v>36561</v>
      </c>
      <c r="AP114" s="106" t="s">
        <v>98</v>
      </c>
      <c r="AQ114" s="106" t="s">
        <v>228</v>
      </c>
      <c r="AR114" s="106">
        <v>1017</v>
      </c>
      <c r="AS114" s="106">
        <v>11400</v>
      </c>
      <c r="AT114" s="106">
        <v>45600</v>
      </c>
      <c r="AY114" s="108">
        <v>0</v>
      </c>
      <c r="BD114" s="106">
        <v>0</v>
      </c>
      <c r="BY114" s="112" t="s">
        <v>1766</v>
      </c>
      <c r="BZ114" s="112" t="s">
        <v>1766</v>
      </c>
      <c r="CA114" s="112" t="s">
        <v>1766</v>
      </c>
      <c r="CB114" s="112" t="s">
        <v>1766</v>
      </c>
      <c r="CC114" s="112" t="s">
        <v>1766</v>
      </c>
      <c r="CD114" s="112" t="s">
        <v>1766</v>
      </c>
      <c r="CE114" s="112" t="s">
        <v>1766</v>
      </c>
      <c r="CF114" s="112" t="s">
        <v>1766</v>
      </c>
      <c r="CG114" s="112" t="s">
        <v>1766</v>
      </c>
      <c r="CH114" s="112" t="s">
        <v>1766</v>
      </c>
      <c r="CI114" s="112" t="s">
        <v>1766</v>
      </c>
      <c r="CJ114" s="112" t="s">
        <v>1766</v>
      </c>
      <c r="CK114" s="112" t="s">
        <v>1766</v>
      </c>
      <c r="CL114" s="112" t="s">
        <v>1766</v>
      </c>
      <c r="CM114" s="112" t="s">
        <v>1766</v>
      </c>
      <c r="CN114" s="112" t="s">
        <v>1766</v>
      </c>
      <c r="CO114" s="112" t="s">
        <v>1766</v>
      </c>
    </row>
    <row r="115" spans="1:93">
      <c r="A115" s="106" t="s">
        <v>226</v>
      </c>
      <c r="B115" s="106">
        <v>24</v>
      </c>
      <c r="C115" s="106">
        <v>1</v>
      </c>
      <c r="D115" s="106">
        <v>1</v>
      </c>
      <c r="E115" s="106">
        <v>4</v>
      </c>
      <c r="F115" s="106">
        <v>4</v>
      </c>
      <c r="G115" s="106" t="s">
        <v>66</v>
      </c>
      <c r="I115" s="106">
        <v>201</v>
      </c>
      <c r="J115" s="106" t="s">
        <v>1766</v>
      </c>
      <c r="K115" s="106" t="s">
        <v>1318</v>
      </c>
      <c r="L115" s="106" t="s">
        <v>1346</v>
      </c>
      <c r="M115" s="106" t="s">
        <v>1375</v>
      </c>
      <c r="O115" s="106">
        <v>24</v>
      </c>
      <c r="T115" s="106" t="s">
        <v>1766</v>
      </c>
      <c r="V115" s="106">
        <v>5269334.9884795099</v>
      </c>
      <c r="W115" s="106">
        <v>1</v>
      </c>
      <c r="X115" s="106">
        <v>0</v>
      </c>
      <c r="Y115" s="106">
        <v>1</v>
      </c>
      <c r="Z115" s="106">
        <v>1</v>
      </c>
      <c r="AA115" s="106">
        <v>1800000</v>
      </c>
      <c r="AB115" s="106">
        <v>0</v>
      </c>
      <c r="AC115" s="106">
        <v>1800000</v>
      </c>
      <c r="AD115" s="106">
        <v>1800000</v>
      </c>
      <c r="AE115" s="106">
        <v>5400000</v>
      </c>
      <c r="AF115" s="106">
        <v>21600000</v>
      </c>
      <c r="AH115" s="106">
        <v>99360</v>
      </c>
      <c r="AI115" s="106">
        <v>0.125</v>
      </c>
      <c r="AJ115" s="106">
        <v>12</v>
      </c>
      <c r="AK115" s="106">
        <v>993.6</v>
      </c>
      <c r="AL115" s="106">
        <v>11923.2</v>
      </c>
      <c r="AM115" s="106">
        <v>76096</v>
      </c>
      <c r="AN115" s="106">
        <v>304384</v>
      </c>
      <c r="AO115" s="106">
        <v>47100</v>
      </c>
      <c r="AP115" s="106" t="s">
        <v>98</v>
      </c>
      <c r="AQ115" s="106" t="s">
        <v>228</v>
      </c>
      <c r="AR115" s="106">
        <v>1017</v>
      </c>
      <c r="AS115" s="106">
        <v>12200</v>
      </c>
      <c r="AT115" s="106">
        <v>48800</v>
      </c>
      <c r="AY115" s="108">
        <v>0</v>
      </c>
      <c r="BD115" s="106">
        <v>0</v>
      </c>
      <c r="BY115" s="112" t="s">
        <v>1766</v>
      </c>
      <c r="BZ115" s="112" t="s">
        <v>1766</v>
      </c>
      <c r="CA115" s="112" t="s">
        <v>1766</v>
      </c>
      <c r="CB115" s="112" t="s">
        <v>1766</v>
      </c>
      <c r="CC115" s="112" t="s">
        <v>1766</v>
      </c>
      <c r="CD115" s="112" t="s">
        <v>1766</v>
      </c>
      <c r="CE115" s="112" t="s">
        <v>1766</v>
      </c>
      <c r="CF115" s="112" t="s">
        <v>1766</v>
      </c>
      <c r="CG115" s="112" t="s">
        <v>1766</v>
      </c>
      <c r="CH115" s="112" t="s">
        <v>1766</v>
      </c>
      <c r="CI115" s="112" t="s">
        <v>1766</v>
      </c>
      <c r="CJ115" s="112" t="s">
        <v>1766</v>
      </c>
      <c r="CK115" s="112" t="s">
        <v>1766</v>
      </c>
      <c r="CL115" s="112" t="s">
        <v>1766</v>
      </c>
      <c r="CM115" s="112" t="s">
        <v>1766</v>
      </c>
      <c r="CN115" s="112" t="s">
        <v>1766</v>
      </c>
      <c r="CO115" s="112" t="s">
        <v>1766</v>
      </c>
    </row>
    <row r="116" spans="1:93">
      <c r="A116" s="106" t="s">
        <v>226</v>
      </c>
      <c r="B116" s="106">
        <v>25</v>
      </c>
      <c r="C116" s="106">
        <v>1</v>
      </c>
      <c r="D116" s="106">
        <v>1</v>
      </c>
      <c r="E116" s="106">
        <v>4</v>
      </c>
      <c r="F116" s="106">
        <v>4</v>
      </c>
      <c r="G116" s="106" t="s">
        <v>66</v>
      </c>
      <c r="I116" s="106">
        <v>201</v>
      </c>
      <c r="J116" s="106" t="s">
        <v>1766</v>
      </c>
      <c r="K116" s="106" t="s">
        <v>1318</v>
      </c>
      <c r="L116" s="106" t="s">
        <v>1348</v>
      </c>
      <c r="M116" s="106" t="s">
        <v>1376</v>
      </c>
      <c r="O116" s="106">
        <v>25</v>
      </c>
      <c r="T116" s="106" t="s">
        <v>1766</v>
      </c>
      <c r="V116" s="106">
        <v>6744748.78525378</v>
      </c>
      <c r="W116" s="106">
        <v>1</v>
      </c>
      <c r="X116" s="106">
        <v>0</v>
      </c>
      <c r="Y116" s="106">
        <v>1</v>
      </c>
      <c r="Z116" s="106">
        <v>1</v>
      </c>
      <c r="AA116" s="106">
        <v>2200000</v>
      </c>
      <c r="AB116" s="106">
        <v>0</v>
      </c>
      <c r="AC116" s="106">
        <v>2200000</v>
      </c>
      <c r="AD116" s="106">
        <v>2200000</v>
      </c>
      <c r="AE116" s="106">
        <v>6600000</v>
      </c>
      <c r="AF116" s="106">
        <v>26400000</v>
      </c>
      <c r="AH116" s="106">
        <v>125280</v>
      </c>
      <c r="AI116" s="106">
        <v>0.125</v>
      </c>
      <c r="AJ116" s="106">
        <v>13</v>
      </c>
      <c r="AK116" s="106">
        <v>1252.8</v>
      </c>
      <c r="AL116" s="106">
        <v>16286.4</v>
      </c>
      <c r="AM116" s="106">
        <v>94773</v>
      </c>
      <c r="AN116" s="106">
        <v>379092</v>
      </c>
      <c r="AO116" s="106">
        <v>60589</v>
      </c>
      <c r="AP116" s="106" t="s">
        <v>98</v>
      </c>
      <c r="AQ116" s="106" t="s">
        <v>228</v>
      </c>
      <c r="AR116" s="106">
        <v>1017</v>
      </c>
      <c r="AS116" s="106">
        <v>13000</v>
      </c>
      <c r="AT116" s="106">
        <v>52000</v>
      </c>
      <c r="AY116" s="108">
        <v>0</v>
      </c>
      <c r="BD116" s="106">
        <v>0</v>
      </c>
      <c r="BY116" s="112" t="s">
        <v>1766</v>
      </c>
      <c r="BZ116" s="112" t="s">
        <v>1766</v>
      </c>
      <c r="CA116" s="112" t="s">
        <v>1766</v>
      </c>
      <c r="CB116" s="112" t="s">
        <v>1766</v>
      </c>
      <c r="CC116" s="112" t="s">
        <v>1766</v>
      </c>
      <c r="CD116" s="112" t="s">
        <v>1766</v>
      </c>
      <c r="CE116" s="112" t="s">
        <v>1766</v>
      </c>
      <c r="CF116" s="112" t="s">
        <v>1766</v>
      </c>
      <c r="CG116" s="112" t="s">
        <v>1766</v>
      </c>
      <c r="CH116" s="112" t="s">
        <v>1766</v>
      </c>
      <c r="CI116" s="112" t="s">
        <v>1766</v>
      </c>
      <c r="CJ116" s="112" t="s">
        <v>1766</v>
      </c>
      <c r="CK116" s="112" t="s">
        <v>1766</v>
      </c>
      <c r="CL116" s="112" t="s">
        <v>1766</v>
      </c>
      <c r="CM116" s="112" t="s">
        <v>1766</v>
      </c>
      <c r="CN116" s="112" t="s">
        <v>1766</v>
      </c>
      <c r="CO116" s="112" t="s">
        <v>1766</v>
      </c>
    </row>
    <row r="117" spans="1:93">
      <c r="A117" s="106" t="s">
        <v>226</v>
      </c>
      <c r="B117" s="106">
        <v>26</v>
      </c>
      <c r="C117" s="106">
        <v>1</v>
      </c>
      <c r="D117" s="106">
        <v>1</v>
      </c>
      <c r="E117" s="106">
        <v>4</v>
      </c>
      <c r="F117" s="106">
        <v>4</v>
      </c>
      <c r="G117" s="106" t="s">
        <v>66</v>
      </c>
      <c r="I117" s="106">
        <v>201</v>
      </c>
      <c r="J117" s="106" t="s">
        <v>1766</v>
      </c>
      <c r="K117" s="106" t="s">
        <v>1318</v>
      </c>
      <c r="L117" s="106" t="s">
        <v>1350</v>
      </c>
      <c r="M117" s="106" t="s">
        <v>1377</v>
      </c>
      <c r="O117" s="106">
        <v>26</v>
      </c>
      <c r="T117" s="106" t="s">
        <v>1766</v>
      </c>
      <c r="V117" s="106">
        <v>8633278.4451248292</v>
      </c>
      <c r="W117" s="106">
        <v>1</v>
      </c>
      <c r="X117" s="106">
        <v>0</v>
      </c>
      <c r="Y117" s="106">
        <v>1</v>
      </c>
      <c r="Z117" s="106">
        <v>1</v>
      </c>
      <c r="AA117" s="106">
        <v>2900000</v>
      </c>
      <c r="AB117" s="106">
        <v>0</v>
      </c>
      <c r="AC117" s="106">
        <v>2900000</v>
      </c>
      <c r="AD117" s="106">
        <v>2900000</v>
      </c>
      <c r="AE117" s="106">
        <v>8700000</v>
      </c>
      <c r="AF117" s="106">
        <v>34800000</v>
      </c>
      <c r="AH117" s="106">
        <v>155520</v>
      </c>
      <c r="AI117" s="106">
        <v>0.14499999999999999</v>
      </c>
      <c r="AJ117" s="106">
        <v>14</v>
      </c>
      <c r="AK117" s="106">
        <v>1555.2</v>
      </c>
      <c r="AL117" s="106">
        <v>21772.799999999999</v>
      </c>
      <c r="AM117" s="106">
        <v>113752</v>
      </c>
      <c r="AN117" s="106">
        <v>455008</v>
      </c>
      <c r="AO117" s="106">
        <v>77856</v>
      </c>
      <c r="AP117" s="106" t="s">
        <v>98</v>
      </c>
      <c r="AQ117" s="106" t="s">
        <v>228</v>
      </c>
      <c r="AR117" s="106">
        <v>1017</v>
      </c>
      <c r="AS117" s="106">
        <v>14000</v>
      </c>
      <c r="AT117" s="106">
        <v>56000</v>
      </c>
      <c r="AY117" s="108">
        <v>0</v>
      </c>
      <c r="BD117" s="106">
        <v>0</v>
      </c>
      <c r="BY117" s="112" t="s">
        <v>1766</v>
      </c>
      <c r="BZ117" s="112" t="s">
        <v>1766</v>
      </c>
      <c r="CA117" s="112" t="s">
        <v>1766</v>
      </c>
      <c r="CB117" s="112" t="s">
        <v>1766</v>
      </c>
      <c r="CC117" s="112" t="s">
        <v>1766</v>
      </c>
      <c r="CD117" s="112" t="s">
        <v>1766</v>
      </c>
      <c r="CE117" s="112" t="s">
        <v>1766</v>
      </c>
      <c r="CF117" s="112" t="s">
        <v>1766</v>
      </c>
      <c r="CG117" s="112" t="s">
        <v>1766</v>
      </c>
      <c r="CH117" s="112" t="s">
        <v>1766</v>
      </c>
      <c r="CI117" s="112" t="s">
        <v>1766</v>
      </c>
      <c r="CJ117" s="112" t="s">
        <v>1766</v>
      </c>
      <c r="CK117" s="112" t="s">
        <v>1766</v>
      </c>
      <c r="CL117" s="112" t="s">
        <v>1766</v>
      </c>
      <c r="CM117" s="112" t="s">
        <v>1766</v>
      </c>
      <c r="CN117" s="112" t="s">
        <v>1766</v>
      </c>
      <c r="CO117" s="112" t="s">
        <v>1766</v>
      </c>
    </row>
    <row r="118" spans="1:93">
      <c r="A118" s="106" t="s">
        <v>226</v>
      </c>
      <c r="B118" s="106">
        <v>27</v>
      </c>
      <c r="C118" s="106">
        <v>1</v>
      </c>
      <c r="D118" s="106">
        <v>1</v>
      </c>
      <c r="E118" s="106">
        <v>4</v>
      </c>
      <c r="F118" s="106">
        <v>4</v>
      </c>
      <c r="G118" s="106" t="s">
        <v>66</v>
      </c>
      <c r="I118" s="106">
        <v>201</v>
      </c>
      <c r="J118" s="106" t="s">
        <v>1766</v>
      </c>
      <c r="K118" s="106" t="s">
        <v>1318</v>
      </c>
      <c r="L118" s="106" t="s">
        <v>1352</v>
      </c>
      <c r="M118" s="106" t="s">
        <v>1378</v>
      </c>
      <c r="O118" s="106">
        <v>27</v>
      </c>
      <c r="T118" s="106" t="s">
        <v>1766</v>
      </c>
      <c r="V118" s="106">
        <v>11050596.409759801</v>
      </c>
      <c r="W118" s="106">
        <v>1</v>
      </c>
      <c r="X118" s="106">
        <v>0</v>
      </c>
      <c r="Y118" s="106">
        <v>1</v>
      </c>
      <c r="Z118" s="106">
        <v>1</v>
      </c>
      <c r="AA118" s="106">
        <v>3700000</v>
      </c>
      <c r="AB118" s="106">
        <v>0</v>
      </c>
      <c r="AC118" s="106">
        <v>3700000</v>
      </c>
      <c r="AD118" s="106">
        <v>3700000</v>
      </c>
      <c r="AE118" s="106">
        <v>11100000</v>
      </c>
      <c r="AF118" s="106">
        <v>44400000</v>
      </c>
      <c r="AH118" s="106">
        <v>190080</v>
      </c>
      <c r="AI118" s="106">
        <v>0.16500000000000001</v>
      </c>
      <c r="AJ118" s="106">
        <v>15</v>
      </c>
      <c r="AK118" s="106">
        <v>1900.8</v>
      </c>
      <c r="AL118" s="106">
        <v>28512</v>
      </c>
      <c r="AM118" s="106">
        <v>134346</v>
      </c>
      <c r="AN118" s="106">
        <v>537384</v>
      </c>
      <c r="AO118" s="106">
        <v>99957</v>
      </c>
      <c r="AP118" s="106" t="s">
        <v>98</v>
      </c>
      <c r="AQ118" s="106" t="s">
        <v>228</v>
      </c>
      <c r="AR118" s="106">
        <v>1017</v>
      </c>
      <c r="AS118" s="106">
        <v>15200</v>
      </c>
      <c r="AT118" s="106">
        <v>60800</v>
      </c>
      <c r="AY118" s="108">
        <v>0</v>
      </c>
      <c r="BD118" s="106">
        <v>0</v>
      </c>
      <c r="BY118" s="112" t="s">
        <v>1766</v>
      </c>
      <c r="BZ118" s="112" t="s">
        <v>1766</v>
      </c>
      <c r="CA118" s="112" t="s">
        <v>1766</v>
      </c>
      <c r="CB118" s="112" t="s">
        <v>1766</v>
      </c>
      <c r="CC118" s="112" t="s">
        <v>1766</v>
      </c>
      <c r="CD118" s="112" t="s">
        <v>1766</v>
      </c>
      <c r="CE118" s="112" t="s">
        <v>1766</v>
      </c>
      <c r="CF118" s="112" t="s">
        <v>1766</v>
      </c>
      <c r="CG118" s="112" t="s">
        <v>1766</v>
      </c>
      <c r="CH118" s="112" t="s">
        <v>1766</v>
      </c>
      <c r="CI118" s="112" t="s">
        <v>1766</v>
      </c>
      <c r="CJ118" s="112" t="s">
        <v>1766</v>
      </c>
      <c r="CK118" s="112" t="s">
        <v>1766</v>
      </c>
      <c r="CL118" s="112" t="s">
        <v>1766</v>
      </c>
      <c r="CM118" s="112" t="s">
        <v>1766</v>
      </c>
      <c r="CN118" s="112" t="s">
        <v>1766</v>
      </c>
      <c r="CO118" s="112" t="s">
        <v>1766</v>
      </c>
    </row>
    <row r="119" spans="1:93">
      <c r="A119" s="106" t="s">
        <v>226</v>
      </c>
      <c r="B119" s="106">
        <v>28</v>
      </c>
      <c r="C119" s="106">
        <v>1</v>
      </c>
      <c r="D119" s="106">
        <v>1</v>
      </c>
      <c r="E119" s="106">
        <v>4</v>
      </c>
      <c r="F119" s="106">
        <v>4</v>
      </c>
      <c r="G119" s="106" t="s">
        <v>66</v>
      </c>
      <c r="I119" s="106">
        <v>201</v>
      </c>
      <c r="J119" s="106" t="s">
        <v>1766</v>
      </c>
      <c r="K119" s="106" t="s">
        <v>1318</v>
      </c>
      <c r="L119" s="106" t="s">
        <v>1354</v>
      </c>
      <c r="M119" s="106" t="s">
        <v>1379</v>
      </c>
      <c r="O119" s="106">
        <v>28</v>
      </c>
      <c r="T119" s="106" t="s">
        <v>1766</v>
      </c>
      <c r="V119" s="106">
        <v>14144763.404492499</v>
      </c>
      <c r="W119" s="106">
        <v>1</v>
      </c>
      <c r="X119" s="106">
        <v>0</v>
      </c>
      <c r="Y119" s="106">
        <v>1</v>
      </c>
      <c r="Z119" s="106">
        <v>1</v>
      </c>
      <c r="AA119" s="106">
        <v>4700000</v>
      </c>
      <c r="AB119" s="106">
        <v>0</v>
      </c>
      <c r="AC119" s="106">
        <v>4700000</v>
      </c>
      <c r="AD119" s="106">
        <v>4700000</v>
      </c>
      <c r="AE119" s="106">
        <v>14100000</v>
      </c>
      <c r="AF119" s="106">
        <v>56400000</v>
      </c>
      <c r="AH119" s="106">
        <v>233280</v>
      </c>
      <c r="AI119" s="106">
        <v>0.185</v>
      </c>
      <c r="AJ119" s="106">
        <v>16</v>
      </c>
      <c r="AK119" s="106">
        <v>2332.8000000000002</v>
      </c>
      <c r="AL119" s="106">
        <v>37324.800000000003</v>
      </c>
      <c r="AM119" s="106">
        <v>159235</v>
      </c>
      <c r="AN119" s="106">
        <v>636940</v>
      </c>
      <c r="AO119" s="106">
        <v>128246</v>
      </c>
      <c r="AP119" s="106" t="s">
        <v>98</v>
      </c>
      <c r="AQ119" s="106" t="s">
        <v>228</v>
      </c>
      <c r="AR119" s="106">
        <v>1017</v>
      </c>
      <c r="AS119" s="106">
        <v>16600</v>
      </c>
      <c r="AT119" s="106">
        <v>66400</v>
      </c>
      <c r="AY119" s="108">
        <v>0</v>
      </c>
      <c r="BD119" s="106">
        <v>0</v>
      </c>
      <c r="BY119" s="112" t="s">
        <v>1766</v>
      </c>
      <c r="BZ119" s="112" t="s">
        <v>1766</v>
      </c>
      <c r="CA119" s="112" t="s">
        <v>1766</v>
      </c>
      <c r="CB119" s="112" t="s">
        <v>1766</v>
      </c>
      <c r="CC119" s="112" t="s">
        <v>1766</v>
      </c>
      <c r="CD119" s="112" t="s">
        <v>1766</v>
      </c>
      <c r="CE119" s="112" t="s">
        <v>1766</v>
      </c>
      <c r="CF119" s="112" t="s">
        <v>1766</v>
      </c>
      <c r="CG119" s="112" t="s">
        <v>1766</v>
      </c>
      <c r="CH119" s="112" t="s">
        <v>1766</v>
      </c>
      <c r="CI119" s="112" t="s">
        <v>1766</v>
      </c>
      <c r="CJ119" s="112" t="s">
        <v>1766</v>
      </c>
      <c r="CK119" s="112" t="s">
        <v>1766</v>
      </c>
      <c r="CL119" s="112" t="s">
        <v>1766</v>
      </c>
      <c r="CM119" s="112" t="s">
        <v>1766</v>
      </c>
      <c r="CN119" s="112" t="s">
        <v>1766</v>
      </c>
      <c r="CO119" s="112" t="s">
        <v>1766</v>
      </c>
    </row>
    <row r="120" spans="1:93">
      <c r="A120" s="106" t="s">
        <v>226</v>
      </c>
      <c r="B120" s="106">
        <v>29</v>
      </c>
      <c r="C120" s="106">
        <v>1</v>
      </c>
      <c r="D120" s="106">
        <v>1</v>
      </c>
      <c r="E120" s="106">
        <v>4</v>
      </c>
      <c r="F120" s="106">
        <v>4</v>
      </c>
      <c r="G120" s="106" t="s">
        <v>66</v>
      </c>
      <c r="I120" s="106">
        <v>201</v>
      </c>
      <c r="J120" s="106" t="s">
        <v>1766</v>
      </c>
      <c r="K120" s="106" t="s">
        <v>1318</v>
      </c>
      <c r="L120" s="106" t="s">
        <v>1356</v>
      </c>
      <c r="M120" s="106" t="s">
        <v>1380</v>
      </c>
      <c r="O120" s="106">
        <v>29</v>
      </c>
      <c r="T120" s="106" t="s">
        <v>1766</v>
      </c>
      <c r="V120" s="106">
        <v>18105297.157750402</v>
      </c>
      <c r="W120" s="106">
        <v>1</v>
      </c>
      <c r="X120" s="106">
        <v>0</v>
      </c>
      <c r="Y120" s="106">
        <v>1</v>
      </c>
      <c r="Z120" s="106">
        <v>1</v>
      </c>
      <c r="AA120" s="106">
        <v>6000000</v>
      </c>
      <c r="AB120" s="106">
        <v>0</v>
      </c>
      <c r="AC120" s="106">
        <v>6000000</v>
      </c>
      <c r="AD120" s="106">
        <v>6000000</v>
      </c>
      <c r="AE120" s="106">
        <v>18000000</v>
      </c>
      <c r="AF120" s="106">
        <v>72000000</v>
      </c>
      <c r="AH120" s="106">
        <v>285120</v>
      </c>
      <c r="AI120" s="106">
        <v>0.20499999999999999</v>
      </c>
      <c r="AJ120" s="106">
        <v>17</v>
      </c>
      <c r="AK120" s="106">
        <v>2851.2</v>
      </c>
      <c r="AL120" s="106">
        <v>48470.400000000001</v>
      </c>
      <c r="AM120" s="106">
        <v>187843</v>
      </c>
      <c r="AN120" s="106">
        <v>751372</v>
      </c>
      <c r="AO120" s="106">
        <v>164457</v>
      </c>
      <c r="AP120" s="106" t="s">
        <v>98</v>
      </c>
      <c r="AQ120" s="106" t="s">
        <v>228</v>
      </c>
      <c r="AR120" s="106">
        <v>1017</v>
      </c>
      <c r="AS120" s="106">
        <v>18200</v>
      </c>
      <c r="AT120" s="106">
        <v>72800</v>
      </c>
      <c r="AY120" s="108">
        <v>0</v>
      </c>
      <c r="BD120" s="106">
        <v>0</v>
      </c>
      <c r="BY120" s="112" t="s">
        <v>1766</v>
      </c>
      <c r="BZ120" s="112" t="s">
        <v>1766</v>
      </c>
      <c r="CA120" s="112" t="s">
        <v>1766</v>
      </c>
      <c r="CB120" s="112" t="s">
        <v>1766</v>
      </c>
      <c r="CC120" s="112" t="s">
        <v>1766</v>
      </c>
      <c r="CD120" s="112" t="s">
        <v>1766</v>
      </c>
      <c r="CE120" s="112" t="s">
        <v>1766</v>
      </c>
      <c r="CF120" s="112" t="s">
        <v>1766</v>
      </c>
      <c r="CG120" s="112" t="s">
        <v>1766</v>
      </c>
      <c r="CH120" s="112" t="s">
        <v>1766</v>
      </c>
      <c r="CI120" s="112" t="s">
        <v>1766</v>
      </c>
      <c r="CJ120" s="112" t="s">
        <v>1766</v>
      </c>
      <c r="CK120" s="112" t="s">
        <v>1766</v>
      </c>
      <c r="CL120" s="112" t="s">
        <v>1766</v>
      </c>
      <c r="CM120" s="112" t="s">
        <v>1766</v>
      </c>
      <c r="CN120" s="112" t="s">
        <v>1766</v>
      </c>
      <c r="CO120" s="112" t="s">
        <v>1766</v>
      </c>
    </row>
    <row r="121" spans="1:93">
      <c r="A121" s="106" t="s">
        <v>226</v>
      </c>
      <c r="B121" s="106">
        <v>30</v>
      </c>
      <c r="C121" s="106">
        <v>1</v>
      </c>
      <c r="D121" s="106">
        <v>1</v>
      </c>
      <c r="E121" s="106">
        <v>4</v>
      </c>
      <c r="F121" s="106">
        <v>4</v>
      </c>
      <c r="G121" s="106" t="s">
        <v>66</v>
      </c>
      <c r="I121" s="106">
        <v>201</v>
      </c>
      <c r="J121" s="106" t="s">
        <v>1766</v>
      </c>
      <c r="K121" s="106" t="s">
        <v>1318</v>
      </c>
      <c r="L121" s="106" t="s">
        <v>1358</v>
      </c>
      <c r="M121" s="106" t="s">
        <v>1381</v>
      </c>
      <c r="O121" s="106">
        <v>30</v>
      </c>
      <c r="T121" s="106" t="s">
        <v>1766</v>
      </c>
      <c r="V121" s="106">
        <v>23174780.361920599</v>
      </c>
      <c r="W121" s="106">
        <v>1</v>
      </c>
      <c r="X121" s="106">
        <v>0</v>
      </c>
      <c r="Y121" s="106">
        <v>1</v>
      </c>
      <c r="Z121" s="106">
        <v>1</v>
      </c>
      <c r="AA121" s="106">
        <v>7700000</v>
      </c>
      <c r="AB121" s="106">
        <v>0</v>
      </c>
      <c r="AC121" s="106">
        <v>7700000</v>
      </c>
      <c r="AD121" s="106">
        <v>7700000</v>
      </c>
      <c r="AE121" s="106">
        <v>23100000</v>
      </c>
      <c r="AF121" s="106">
        <v>92400000</v>
      </c>
      <c r="AH121" s="106">
        <v>345600</v>
      </c>
      <c r="AI121" s="106">
        <v>0.22500000000000001</v>
      </c>
      <c r="AJ121" s="106">
        <v>18</v>
      </c>
      <c r="AK121" s="106">
        <v>3456</v>
      </c>
      <c r="AL121" s="106">
        <v>62208</v>
      </c>
      <c r="AM121" s="106">
        <v>219614</v>
      </c>
      <c r="AN121" s="106">
        <v>878456</v>
      </c>
      <c r="AO121" s="106">
        <v>210806</v>
      </c>
      <c r="AP121" s="106" t="s">
        <v>98</v>
      </c>
      <c r="AQ121" s="106" t="s">
        <v>228</v>
      </c>
      <c r="AR121" s="106">
        <v>1017</v>
      </c>
      <c r="AS121" s="106">
        <v>20000</v>
      </c>
      <c r="AT121" s="106">
        <v>80000</v>
      </c>
      <c r="AY121" s="108">
        <v>0</v>
      </c>
      <c r="BD121" s="106">
        <v>0</v>
      </c>
      <c r="BY121" s="112" t="s">
        <v>1766</v>
      </c>
      <c r="BZ121" s="112" t="s">
        <v>1766</v>
      </c>
      <c r="CA121" s="112" t="s">
        <v>1766</v>
      </c>
      <c r="CB121" s="112" t="s">
        <v>1766</v>
      </c>
      <c r="CC121" s="112" t="s">
        <v>1766</v>
      </c>
      <c r="CD121" s="112" t="s">
        <v>1766</v>
      </c>
      <c r="CE121" s="112" t="s">
        <v>1766</v>
      </c>
      <c r="CF121" s="112" t="s">
        <v>1766</v>
      </c>
      <c r="CG121" s="112" t="s">
        <v>1766</v>
      </c>
      <c r="CH121" s="112" t="s">
        <v>1766</v>
      </c>
      <c r="CI121" s="112" t="s">
        <v>1766</v>
      </c>
      <c r="CJ121" s="112" t="s">
        <v>1766</v>
      </c>
      <c r="CK121" s="112" t="s">
        <v>1766</v>
      </c>
      <c r="CL121" s="112" t="s">
        <v>1766</v>
      </c>
      <c r="CM121" s="112" t="s">
        <v>1766</v>
      </c>
      <c r="CN121" s="112" t="s">
        <v>1766</v>
      </c>
      <c r="CO121" s="112" t="s">
        <v>1766</v>
      </c>
    </row>
    <row r="122" spans="1:93">
      <c r="A122" s="106" t="s">
        <v>249</v>
      </c>
      <c r="B122" s="106">
        <v>1</v>
      </c>
      <c r="C122" s="106">
        <v>2</v>
      </c>
      <c r="D122" s="106">
        <v>4</v>
      </c>
      <c r="E122" s="106">
        <v>4</v>
      </c>
      <c r="F122" s="106">
        <v>0</v>
      </c>
      <c r="G122" s="106" t="s">
        <v>66</v>
      </c>
      <c r="I122" s="106">
        <v>201</v>
      </c>
      <c r="J122" s="106" t="s">
        <v>1766</v>
      </c>
      <c r="K122" s="106" t="s">
        <v>1318</v>
      </c>
      <c r="L122" s="106" t="s">
        <v>1322</v>
      </c>
      <c r="M122" s="106" t="s">
        <v>250</v>
      </c>
      <c r="N122" s="106">
        <v>18</v>
      </c>
      <c r="O122" s="106">
        <v>4</v>
      </c>
      <c r="T122" s="106" t="s">
        <v>1766</v>
      </c>
      <c r="V122" s="106">
        <v>0</v>
      </c>
      <c r="W122" s="106">
        <v>0</v>
      </c>
      <c r="X122" s="106">
        <v>0</v>
      </c>
      <c r="Y122" s="106" t="s">
        <v>1766</v>
      </c>
      <c r="Z122" s="106" t="s">
        <v>1766</v>
      </c>
      <c r="AA122" s="106">
        <v>0</v>
      </c>
      <c r="AB122" s="106">
        <v>0</v>
      </c>
      <c r="AC122" s="106">
        <v>0</v>
      </c>
      <c r="AD122" s="106">
        <v>0</v>
      </c>
      <c r="AE122" s="106">
        <v>0</v>
      </c>
      <c r="AF122" s="106">
        <v>0</v>
      </c>
      <c r="AH122" s="106">
        <v>25</v>
      </c>
      <c r="AI122" s="106">
        <v>0</v>
      </c>
      <c r="AJ122" s="106">
        <v>0</v>
      </c>
      <c r="AK122" s="106">
        <v>120</v>
      </c>
      <c r="AL122" s="106">
        <v>0</v>
      </c>
      <c r="AM122" s="106">
        <v>1</v>
      </c>
      <c r="AN122" s="106">
        <v>4</v>
      </c>
      <c r="AO122" s="106">
        <v>1</v>
      </c>
      <c r="AP122" s="106" t="s">
        <v>102</v>
      </c>
      <c r="AQ122" s="106" t="s">
        <v>251</v>
      </c>
      <c r="AR122" s="106">
        <v>1018</v>
      </c>
      <c r="AS122" s="106">
        <v>400</v>
      </c>
      <c r="AT122" s="106">
        <v>1600</v>
      </c>
      <c r="AY122" s="108">
        <v>0</v>
      </c>
      <c r="BD122" s="106">
        <v>0</v>
      </c>
      <c r="BY122" s="112" t="s">
        <v>229</v>
      </c>
      <c r="BZ122" s="112" t="s">
        <v>1382</v>
      </c>
      <c r="CA122" s="112" t="s">
        <v>1382</v>
      </c>
      <c r="CB122" s="112" t="s">
        <v>102</v>
      </c>
      <c r="CC122" s="112">
        <v>5</v>
      </c>
      <c r="CD122" s="112" t="s">
        <v>1766</v>
      </c>
      <c r="CE122" s="112" t="s">
        <v>1766</v>
      </c>
      <c r="CF122" s="112" t="s">
        <v>1766</v>
      </c>
      <c r="CG122" s="112" t="s">
        <v>1766</v>
      </c>
      <c r="CH122" s="112" t="s">
        <v>1766</v>
      </c>
      <c r="CI122" s="112" t="s">
        <v>1766</v>
      </c>
      <c r="CJ122" s="112" t="s">
        <v>1766</v>
      </c>
      <c r="CK122" s="112" t="s">
        <v>1766</v>
      </c>
      <c r="CL122" s="112" t="s">
        <v>1766</v>
      </c>
      <c r="CM122" s="112" t="s">
        <v>1766</v>
      </c>
      <c r="CN122" s="112" t="s">
        <v>1766</v>
      </c>
      <c r="CO122" s="112" t="s">
        <v>1766</v>
      </c>
    </row>
    <row r="123" spans="1:93">
      <c r="A123" s="106" t="s">
        <v>249</v>
      </c>
      <c r="B123" s="106">
        <v>2</v>
      </c>
      <c r="C123" s="106">
        <v>2</v>
      </c>
      <c r="D123" s="106">
        <v>4</v>
      </c>
      <c r="E123" s="106">
        <v>4</v>
      </c>
      <c r="F123" s="106">
        <v>0</v>
      </c>
      <c r="G123" s="106" t="s">
        <v>66</v>
      </c>
      <c r="I123" s="106">
        <v>201</v>
      </c>
      <c r="J123" s="106" t="s">
        <v>1766</v>
      </c>
      <c r="K123" s="106" t="s">
        <v>1318</v>
      </c>
      <c r="L123" s="106" t="s">
        <v>1322</v>
      </c>
      <c r="M123" s="106" t="s">
        <v>252</v>
      </c>
      <c r="N123" s="106">
        <v>18</v>
      </c>
      <c r="O123" s="106">
        <v>4</v>
      </c>
      <c r="T123" s="106" t="s">
        <v>1766</v>
      </c>
      <c r="V123" s="106">
        <v>1000</v>
      </c>
      <c r="W123" s="106">
        <v>1</v>
      </c>
      <c r="X123" s="106">
        <v>1</v>
      </c>
      <c r="Y123" s="106" t="s">
        <v>1766</v>
      </c>
      <c r="Z123" s="106" t="s">
        <v>1766</v>
      </c>
      <c r="AA123" s="106">
        <v>500</v>
      </c>
      <c r="AB123" s="106">
        <v>500</v>
      </c>
      <c r="AC123" s="106">
        <v>0</v>
      </c>
      <c r="AD123" s="106">
        <v>0</v>
      </c>
      <c r="AE123" s="106">
        <v>1000</v>
      </c>
      <c r="AF123" s="106">
        <v>4000</v>
      </c>
      <c r="AH123" s="106">
        <v>25</v>
      </c>
      <c r="AI123" s="106">
        <v>0</v>
      </c>
      <c r="AJ123" s="106">
        <v>0</v>
      </c>
      <c r="AK123" s="106">
        <v>120</v>
      </c>
      <c r="AL123" s="106">
        <v>0</v>
      </c>
      <c r="AM123" s="106">
        <v>1</v>
      </c>
      <c r="AN123" s="106">
        <v>4</v>
      </c>
      <c r="AO123" s="106">
        <v>3</v>
      </c>
      <c r="AP123" s="106" t="s">
        <v>102</v>
      </c>
      <c r="AQ123" s="106" t="s">
        <v>251</v>
      </c>
      <c r="AR123" s="106">
        <v>1018</v>
      </c>
      <c r="AS123" s="106">
        <v>600</v>
      </c>
      <c r="AT123" s="106">
        <v>2400</v>
      </c>
      <c r="AY123" s="108">
        <v>0</v>
      </c>
      <c r="BD123" s="106">
        <v>0</v>
      </c>
      <c r="BY123" s="112" t="s">
        <v>1766</v>
      </c>
      <c r="BZ123" s="112" t="s">
        <v>1766</v>
      </c>
      <c r="CA123" s="112" t="s">
        <v>1766</v>
      </c>
      <c r="CB123" s="112" t="s">
        <v>1766</v>
      </c>
      <c r="CC123" s="112" t="s">
        <v>1766</v>
      </c>
      <c r="CD123" s="112" t="s">
        <v>1766</v>
      </c>
      <c r="CE123" s="112" t="s">
        <v>1766</v>
      </c>
      <c r="CF123" s="112" t="s">
        <v>1766</v>
      </c>
      <c r="CG123" s="112" t="s">
        <v>1766</v>
      </c>
      <c r="CH123" s="112" t="s">
        <v>1766</v>
      </c>
      <c r="CI123" s="112" t="s">
        <v>1766</v>
      </c>
      <c r="CJ123" s="112" t="s">
        <v>1766</v>
      </c>
      <c r="CK123" s="112" t="s">
        <v>1766</v>
      </c>
      <c r="CL123" s="112" t="s">
        <v>1766</v>
      </c>
      <c r="CM123" s="112" t="s">
        <v>1766</v>
      </c>
      <c r="CN123" s="112" t="s">
        <v>1766</v>
      </c>
      <c r="CO123" s="112" t="s">
        <v>1766</v>
      </c>
    </row>
    <row r="124" spans="1:93">
      <c r="A124" s="106" t="s">
        <v>249</v>
      </c>
      <c r="B124" s="106">
        <v>3</v>
      </c>
      <c r="C124" s="106">
        <v>2</v>
      </c>
      <c r="D124" s="106">
        <v>4</v>
      </c>
      <c r="E124" s="106">
        <v>4</v>
      </c>
      <c r="F124" s="106">
        <v>0</v>
      </c>
      <c r="G124" s="106" t="s">
        <v>66</v>
      </c>
      <c r="I124" s="106">
        <v>201</v>
      </c>
      <c r="J124" s="106" t="s">
        <v>1766</v>
      </c>
      <c r="K124" s="106" t="s">
        <v>1318</v>
      </c>
      <c r="L124" s="106" t="s">
        <v>1322</v>
      </c>
      <c r="M124" s="106" t="s">
        <v>253</v>
      </c>
      <c r="N124" s="106">
        <v>18</v>
      </c>
      <c r="O124" s="106">
        <v>4</v>
      </c>
      <c r="T124" s="106" t="s">
        <v>1766</v>
      </c>
      <c r="V124" s="106">
        <v>2000</v>
      </c>
      <c r="W124" s="106">
        <v>1</v>
      </c>
      <c r="X124" s="106">
        <v>1</v>
      </c>
      <c r="Y124" s="106" t="s">
        <v>1766</v>
      </c>
      <c r="Z124" s="106" t="s">
        <v>1766</v>
      </c>
      <c r="AA124" s="106">
        <v>1000</v>
      </c>
      <c r="AB124" s="106">
        <v>1000</v>
      </c>
      <c r="AC124" s="106">
        <v>0</v>
      </c>
      <c r="AD124" s="106">
        <v>0</v>
      </c>
      <c r="AE124" s="106">
        <v>2000</v>
      </c>
      <c r="AF124" s="106">
        <v>8000</v>
      </c>
      <c r="AH124" s="106">
        <v>36</v>
      </c>
      <c r="AI124" s="106">
        <v>0</v>
      </c>
      <c r="AJ124" s="106">
        <v>1</v>
      </c>
      <c r="AK124" s="106">
        <v>120</v>
      </c>
      <c r="AL124" s="106">
        <v>120</v>
      </c>
      <c r="AM124" s="106">
        <v>1</v>
      </c>
      <c r="AN124" s="106">
        <v>4</v>
      </c>
      <c r="AO124" s="106">
        <v>7</v>
      </c>
      <c r="AP124" s="106" t="s">
        <v>102</v>
      </c>
      <c r="AQ124" s="106" t="s">
        <v>251</v>
      </c>
      <c r="AR124" s="106">
        <v>1018</v>
      </c>
      <c r="AS124" s="106">
        <v>800</v>
      </c>
      <c r="AT124" s="106">
        <v>3200</v>
      </c>
      <c r="AY124" s="108">
        <v>0</v>
      </c>
      <c r="BD124" s="106">
        <v>0</v>
      </c>
      <c r="BY124" s="112" t="s">
        <v>1766</v>
      </c>
      <c r="BZ124" s="112" t="s">
        <v>1766</v>
      </c>
      <c r="CA124" s="112" t="s">
        <v>1766</v>
      </c>
      <c r="CB124" s="112" t="s">
        <v>1766</v>
      </c>
      <c r="CC124" s="112" t="s">
        <v>1766</v>
      </c>
      <c r="CD124" s="112" t="s">
        <v>1766</v>
      </c>
      <c r="CE124" s="112" t="s">
        <v>1766</v>
      </c>
      <c r="CF124" s="112" t="s">
        <v>1766</v>
      </c>
      <c r="CG124" s="112" t="s">
        <v>1766</v>
      </c>
      <c r="CH124" s="112" t="s">
        <v>1766</v>
      </c>
      <c r="CI124" s="112" t="s">
        <v>1766</v>
      </c>
      <c r="CJ124" s="112" t="s">
        <v>1766</v>
      </c>
      <c r="CK124" s="112" t="s">
        <v>1766</v>
      </c>
      <c r="CL124" s="112" t="s">
        <v>1766</v>
      </c>
      <c r="CM124" s="112" t="s">
        <v>1766</v>
      </c>
      <c r="CN124" s="112" t="s">
        <v>1766</v>
      </c>
      <c r="CO124" s="112" t="s">
        <v>1766</v>
      </c>
    </row>
    <row r="125" spans="1:93">
      <c r="A125" s="106" t="s">
        <v>249</v>
      </c>
      <c r="B125" s="106">
        <v>4</v>
      </c>
      <c r="C125" s="106">
        <v>2</v>
      </c>
      <c r="D125" s="106">
        <v>4</v>
      </c>
      <c r="E125" s="106">
        <v>4</v>
      </c>
      <c r="F125" s="106">
        <v>1</v>
      </c>
      <c r="G125" s="106" t="s">
        <v>66</v>
      </c>
      <c r="I125" s="106">
        <v>201</v>
      </c>
      <c r="J125" s="106" t="s">
        <v>1766</v>
      </c>
      <c r="K125" s="106" t="s">
        <v>1318</v>
      </c>
      <c r="L125" s="106" t="s">
        <v>1322</v>
      </c>
      <c r="M125" s="106" t="s">
        <v>254</v>
      </c>
      <c r="N125" s="106">
        <v>18</v>
      </c>
      <c r="O125" s="106">
        <v>4</v>
      </c>
      <c r="T125" s="106" t="s">
        <v>1766</v>
      </c>
      <c r="V125" s="106">
        <v>4000</v>
      </c>
      <c r="W125" s="106">
        <v>1</v>
      </c>
      <c r="X125" s="106">
        <v>1</v>
      </c>
      <c r="Y125" s="106" t="s">
        <v>1766</v>
      </c>
      <c r="Z125" s="106" t="s">
        <v>1766</v>
      </c>
      <c r="AA125" s="106">
        <v>2000</v>
      </c>
      <c r="AB125" s="106">
        <v>2000</v>
      </c>
      <c r="AC125" s="106">
        <v>0</v>
      </c>
      <c r="AD125" s="106">
        <v>0</v>
      </c>
      <c r="AE125" s="106">
        <v>4000</v>
      </c>
      <c r="AF125" s="106">
        <v>16000</v>
      </c>
      <c r="AH125" s="106">
        <v>72</v>
      </c>
      <c r="AI125" s="106">
        <v>0</v>
      </c>
      <c r="AJ125" s="106">
        <v>1</v>
      </c>
      <c r="AK125" s="106">
        <v>120</v>
      </c>
      <c r="AL125" s="106">
        <v>120</v>
      </c>
      <c r="AM125" s="106">
        <v>1</v>
      </c>
      <c r="AN125" s="106">
        <v>4</v>
      </c>
      <c r="AO125" s="106">
        <v>15</v>
      </c>
      <c r="AP125" s="106" t="s">
        <v>102</v>
      </c>
      <c r="AQ125" s="106" t="s">
        <v>251</v>
      </c>
      <c r="AR125" s="106">
        <v>1018</v>
      </c>
      <c r="AS125" s="106">
        <v>1000</v>
      </c>
      <c r="AT125" s="106">
        <v>4000</v>
      </c>
      <c r="AY125" s="108">
        <v>0</v>
      </c>
      <c r="BD125" s="106">
        <v>0</v>
      </c>
      <c r="BY125" s="112" t="s">
        <v>1766</v>
      </c>
      <c r="BZ125" s="112" t="s">
        <v>1766</v>
      </c>
      <c r="CA125" s="112" t="s">
        <v>1766</v>
      </c>
      <c r="CB125" s="112" t="s">
        <v>1766</v>
      </c>
      <c r="CC125" s="112" t="s">
        <v>1766</v>
      </c>
      <c r="CD125" s="112" t="s">
        <v>1766</v>
      </c>
      <c r="CE125" s="112" t="s">
        <v>1766</v>
      </c>
      <c r="CF125" s="112" t="s">
        <v>1766</v>
      </c>
      <c r="CG125" s="112" t="s">
        <v>1766</v>
      </c>
      <c r="CH125" s="112" t="s">
        <v>1766</v>
      </c>
      <c r="CI125" s="112" t="s">
        <v>1766</v>
      </c>
      <c r="CJ125" s="112" t="s">
        <v>1766</v>
      </c>
      <c r="CK125" s="112" t="s">
        <v>1766</v>
      </c>
      <c r="CL125" s="112" t="s">
        <v>1766</v>
      </c>
      <c r="CM125" s="112" t="s">
        <v>1766</v>
      </c>
      <c r="CN125" s="112" t="s">
        <v>1766</v>
      </c>
      <c r="CO125" s="112" t="s">
        <v>1766</v>
      </c>
    </row>
    <row r="126" spans="1:93">
      <c r="A126" s="106" t="s">
        <v>249</v>
      </c>
      <c r="B126" s="106">
        <v>5</v>
      </c>
      <c r="C126" s="106">
        <v>2</v>
      </c>
      <c r="D126" s="106">
        <v>4</v>
      </c>
      <c r="E126" s="106">
        <v>4</v>
      </c>
      <c r="F126" s="106">
        <v>1</v>
      </c>
      <c r="G126" s="106" t="s">
        <v>66</v>
      </c>
      <c r="I126" s="106">
        <v>201</v>
      </c>
      <c r="J126" s="106" t="s">
        <v>1766</v>
      </c>
      <c r="K126" s="106" t="s">
        <v>1318</v>
      </c>
      <c r="L126" s="106" t="s">
        <v>1323</v>
      </c>
      <c r="M126" s="106" t="s">
        <v>255</v>
      </c>
      <c r="N126" s="106">
        <v>18</v>
      </c>
      <c r="O126" s="106">
        <v>5</v>
      </c>
      <c r="T126" s="106" t="s">
        <v>1766</v>
      </c>
      <c r="V126" s="106">
        <v>7720</v>
      </c>
      <c r="W126" s="106">
        <v>1</v>
      </c>
      <c r="X126" s="106">
        <v>1</v>
      </c>
      <c r="Y126" s="106">
        <v>0</v>
      </c>
      <c r="Z126" s="106" t="s">
        <v>1766</v>
      </c>
      <c r="AA126" s="106">
        <v>3900</v>
      </c>
      <c r="AB126" s="106">
        <v>3900</v>
      </c>
      <c r="AC126" s="106">
        <v>0</v>
      </c>
      <c r="AD126" s="106">
        <v>0</v>
      </c>
      <c r="AE126" s="106">
        <v>7800</v>
      </c>
      <c r="AF126" s="106">
        <v>31200</v>
      </c>
      <c r="AH126" s="106">
        <v>150</v>
      </c>
      <c r="AI126" s="106">
        <v>0</v>
      </c>
      <c r="AJ126" s="106">
        <v>2</v>
      </c>
      <c r="AK126" s="106">
        <v>120</v>
      </c>
      <c r="AL126" s="106">
        <v>240</v>
      </c>
      <c r="AM126" s="106">
        <v>1</v>
      </c>
      <c r="AN126" s="106">
        <v>4</v>
      </c>
      <c r="AO126" s="106">
        <v>30</v>
      </c>
      <c r="AP126" s="106" t="s">
        <v>102</v>
      </c>
      <c r="AQ126" s="106" t="s">
        <v>251</v>
      </c>
      <c r="AR126" s="106">
        <v>1018</v>
      </c>
      <c r="AS126" s="106">
        <v>1350</v>
      </c>
      <c r="AT126" s="106">
        <v>5400</v>
      </c>
      <c r="AY126" s="108">
        <v>0</v>
      </c>
      <c r="BD126" s="106">
        <v>0</v>
      </c>
      <c r="BY126" s="112" t="s">
        <v>1766</v>
      </c>
      <c r="BZ126" s="112" t="s">
        <v>1766</v>
      </c>
      <c r="CA126" s="112" t="s">
        <v>1766</v>
      </c>
      <c r="CB126" s="112" t="s">
        <v>1766</v>
      </c>
      <c r="CC126" s="112" t="s">
        <v>1766</v>
      </c>
      <c r="CD126" s="112" t="s">
        <v>1766</v>
      </c>
      <c r="CE126" s="112" t="s">
        <v>1766</v>
      </c>
      <c r="CF126" s="112" t="s">
        <v>1766</v>
      </c>
      <c r="CG126" s="112" t="s">
        <v>1766</v>
      </c>
      <c r="CH126" s="112" t="s">
        <v>1766</v>
      </c>
      <c r="CI126" s="112" t="s">
        <v>1766</v>
      </c>
      <c r="CJ126" s="112" t="s">
        <v>1766</v>
      </c>
      <c r="CK126" s="112" t="s">
        <v>1766</v>
      </c>
      <c r="CL126" s="112" t="s">
        <v>1766</v>
      </c>
      <c r="CM126" s="112" t="s">
        <v>1766</v>
      </c>
      <c r="CN126" s="112" t="s">
        <v>1766</v>
      </c>
      <c r="CO126" s="112" t="s">
        <v>1766</v>
      </c>
    </row>
    <row r="127" spans="1:93">
      <c r="A127" s="106" t="s">
        <v>249</v>
      </c>
      <c r="B127" s="106">
        <v>6</v>
      </c>
      <c r="C127" s="106">
        <v>2</v>
      </c>
      <c r="D127" s="106">
        <v>4</v>
      </c>
      <c r="E127" s="106">
        <v>4</v>
      </c>
      <c r="F127" s="106">
        <v>1</v>
      </c>
      <c r="G127" s="106" t="s">
        <v>66</v>
      </c>
      <c r="I127" s="106">
        <v>201</v>
      </c>
      <c r="J127" s="106" t="s">
        <v>1766</v>
      </c>
      <c r="K127" s="106" t="s">
        <v>1318</v>
      </c>
      <c r="L127" s="106" t="s">
        <v>1324</v>
      </c>
      <c r="M127" s="106" t="s">
        <v>256</v>
      </c>
      <c r="N127" s="106">
        <v>18</v>
      </c>
      <c r="O127" s="106">
        <v>6</v>
      </c>
      <c r="T127" s="106" t="s">
        <v>1766</v>
      </c>
      <c r="V127" s="106">
        <v>14359.2</v>
      </c>
      <c r="W127" s="106">
        <v>1</v>
      </c>
      <c r="X127" s="106">
        <v>1</v>
      </c>
      <c r="Y127" s="106">
        <v>0</v>
      </c>
      <c r="Z127" s="106" t="s">
        <v>1766</v>
      </c>
      <c r="AA127" s="106">
        <v>7200</v>
      </c>
      <c r="AB127" s="106">
        <v>7200</v>
      </c>
      <c r="AC127" s="106">
        <v>0</v>
      </c>
      <c r="AD127" s="106">
        <v>0</v>
      </c>
      <c r="AE127" s="106">
        <v>14400</v>
      </c>
      <c r="AF127" s="106">
        <v>57600</v>
      </c>
      <c r="AH127" s="106">
        <v>270</v>
      </c>
      <c r="AI127" s="106">
        <v>0</v>
      </c>
      <c r="AJ127" s="106">
        <v>2</v>
      </c>
      <c r="AK127" s="106">
        <v>120</v>
      </c>
      <c r="AL127" s="106">
        <v>240</v>
      </c>
      <c r="AM127" s="106">
        <v>1</v>
      </c>
      <c r="AN127" s="106">
        <v>4</v>
      </c>
      <c r="AO127" s="106">
        <v>59</v>
      </c>
      <c r="AP127" s="106" t="s">
        <v>102</v>
      </c>
      <c r="AQ127" s="106" t="s">
        <v>251</v>
      </c>
      <c r="AR127" s="106">
        <v>1018</v>
      </c>
      <c r="AS127" s="106">
        <v>1700</v>
      </c>
      <c r="AT127" s="106">
        <v>6800</v>
      </c>
      <c r="AY127" s="108">
        <v>0</v>
      </c>
      <c r="BD127" s="106">
        <v>0</v>
      </c>
      <c r="BY127" s="112" t="s">
        <v>1766</v>
      </c>
      <c r="BZ127" s="112" t="s">
        <v>1766</v>
      </c>
      <c r="CA127" s="112" t="s">
        <v>1766</v>
      </c>
      <c r="CB127" s="112" t="s">
        <v>1766</v>
      </c>
      <c r="CC127" s="112" t="s">
        <v>1766</v>
      </c>
      <c r="CD127" s="112" t="s">
        <v>1766</v>
      </c>
      <c r="CE127" s="112" t="s">
        <v>1766</v>
      </c>
      <c r="CF127" s="112" t="s">
        <v>1766</v>
      </c>
      <c r="CG127" s="112" t="s">
        <v>1766</v>
      </c>
      <c r="CH127" s="112" t="s">
        <v>1766</v>
      </c>
      <c r="CI127" s="112" t="s">
        <v>1766</v>
      </c>
      <c r="CJ127" s="112" t="s">
        <v>1766</v>
      </c>
      <c r="CK127" s="112" t="s">
        <v>1766</v>
      </c>
      <c r="CL127" s="112" t="s">
        <v>1766</v>
      </c>
      <c r="CM127" s="112" t="s">
        <v>1766</v>
      </c>
      <c r="CN127" s="112" t="s">
        <v>1766</v>
      </c>
      <c r="CO127" s="112" t="s">
        <v>1766</v>
      </c>
    </row>
    <row r="128" spans="1:93">
      <c r="A128" s="106" t="s">
        <v>249</v>
      </c>
      <c r="B128" s="106">
        <v>7</v>
      </c>
      <c r="C128" s="106">
        <v>2</v>
      </c>
      <c r="D128" s="106">
        <v>4</v>
      </c>
      <c r="E128" s="106">
        <v>4</v>
      </c>
      <c r="F128" s="106">
        <v>1</v>
      </c>
      <c r="G128" s="106" t="s">
        <v>66</v>
      </c>
      <c r="I128" s="106">
        <v>201</v>
      </c>
      <c r="J128" s="106" t="s">
        <v>1766</v>
      </c>
      <c r="K128" s="106" t="s">
        <v>1318</v>
      </c>
      <c r="L128" s="106" t="s">
        <v>1325</v>
      </c>
      <c r="M128" s="106" t="s">
        <v>257</v>
      </c>
      <c r="N128" s="106">
        <v>18</v>
      </c>
      <c r="O128" s="106">
        <v>7</v>
      </c>
      <c r="T128" s="106" t="s">
        <v>1766</v>
      </c>
      <c r="V128" s="106">
        <v>25702.968000000001</v>
      </c>
      <c r="W128" s="106">
        <v>1</v>
      </c>
      <c r="X128" s="106">
        <v>1</v>
      </c>
      <c r="Y128" s="106">
        <v>0</v>
      </c>
      <c r="Z128" s="106" t="s">
        <v>1766</v>
      </c>
      <c r="AA128" s="106">
        <v>13000</v>
      </c>
      <c r="AB128" s="106">
        <v>13000</v>
      </c>
      <c r="AC128" s="106">
        <v>0</v>
      </c>
      <c r="AD128" s="106">
        <v>0</v>
      </c>
      <c r="AE128" s="106">
        <v>26000</v>
      </c>
      <c r="AF128" s="106">
        <v>104000</v>
      </c>
      <c r="AH128" s="106">
        <v>450</v>
      </c>
      <c r="AI128" s="106">
        <v>0</v>
      </c>
      <c r="AJ128" s="106">
        <v>3</v>
      </c>
      <c r="AK128" s="106">
        <v>120</v>
      </c>
      <c r="AL128" s="106">
        <v>360</v>
      </c>
      <c r="AM128" s="106">
        <v>1</v>
      </c>
      <c r="AN128" s="106">
        <v>4</v>
      </c>
      <c r="AO128" s="106">
        <v>110</v>
      </c>
      <c r="AP128" s="106" t="s">
        <v>102</v>
      </c>
      <c r="AQ128" s="106" t="s">
        <v>251</v>
      </c>
      <c r="AR128" s="106">
        <v>1018</v>
      </c>
      <c r="AS128" s="106">
        <v>2050</v>
      </c>
      <c r="AT128" s="106">
        <v>8200</v>
      </c>
      <c r="AY128" s="108">
        <v>0</v>
      </c>
      <c r="BD128" s="106">
        <v>0</v>
      </c>
      <c r="BY128" s="112" t="s">
        <v>1766</v>
      </c>
      <c r="BZ128" s="112" t="s">
        <v>1766</v>
      </c>
      <c r="CA128" s="112" t="s">
        <v>1766</v>
      </c>
      <c r="CB128" s="112" t="s">
        <v>1766</v>
      </c>
      <c r="CC128" s="112" t="s">
        <v>1766</v>
      </c>
      <c r="CD128" s="112" t="s">
        <v>1766</v>
      </c>
      <c r="CE128" s="112" t="s">
        <v>1766</v>
      </c>
      <c r="CF128" s="112" t="s">
        <v>1766</v>
      </c>
      <c r="CG128" s="112" t="s">
        <v>1766</v>
      </c>
      <c r="CH128" s="112" t="s">
        <v>1766</v>
      </c>
      <c r="CI128" s="112" t="s">
        <v>1766</v>
      </c>
      <c r="CJ128" s="112" t="s">
        <v>1766</v>
      </c>
      <c r="CK128" s="112" t="s">
        <v>1766</v>
      </c>
      <c r="CL128" s="112" t="s">
        <v>1766</v>
      </c>
      <c r="CM128" s="112" t="s">
        <v>1766</v>
      </c>
      <c r="CN128" s="112" t="s">
        <v>1766</v>
      </c>
      <c r="CO128" s="112" t="s">
        <v>1766</v>
      </c>
    </row>
    <row r="129" spans="1:93">
      <c r="A129" s="106" t="s">
        <v>249</v>
      </c>
      <c r="B129" s="106">
        <v>8</v>
      </c>
      <c r="C129" s="106">
        <v>2</v>
      </c>
      <c r="D129" s="106">
        <v>4</v>
      </c>
      <c r="E129" s="106">
        <v>4</v>
      </c>
      <c r="F129" s="106">
        <v>1</v>
      </c>
      <c r="G129" s="106" t="s">
        <v>66</v>
      </c>
      <c r="I129" s="106">
        <v>201</v>
      </c>
      <c r="J129" s="106" t="s">
        <v>1766</v>
      </c>
      <c r="K129" s="106" t="s">
        <v>1318</v>
      </c>
      <c r="L129" s="106" t="s">
        <v>1326</v>
      </c>
      <c r="M129" s="106" t="s">
        <v>258</v>
      </c>
      <c r="N129" s="106">
        <v>18</v>
      </c>
      <c r="O129" s="106">
        <v>8</v>
      </c>
      <c r="T129" s="106" t="s">
        <v>1766</v>
      </c>
      <c r="V129" s="106">
        <v>44209.104959999997</v>
      </c>
      <c r="W129" s="106">
        <v>1</v>
      </c>
      <c r="X129" s="106">
        <v>1</v>
      </c>
      <c r="Y129" s="106">
        <v>0</v>
      </c>
      <c r="Z129" s="106" t="s">
        <v>1766</v>
      </c>
      <c r="AA129" s="106">
        <v>22000</v>
      </c>
      <c r="AB129" s="106">
        <v>22000</v>
      </c>
      <c r="AC129" s="106">
        <v>0</v>
      </c>
      <c r="AD129" s="106">
        <v>0</v>
      </c>
      <c r="AE129" s="106">
        <v>44000</v>
      </c>
      <c r="AF129" s="106">
        <v>176000</v>
      </c>
      <c r="AH129" s="106">
        <v>720</v>
      </c>
      <c r="AI129" s="106">
        <v>0</v>
      </c>
      <c r="AJ129" s="106">
        <v>3</v>
      </c>
      <c r="AK129" s="106">
        <v>120</v>
      </c>
      <c r="AL129" s="106">
        <v>360</v>
      </c>
      <c r="AM129" s="106">
        <v>60</v>
      </c>
      <c r="AN129" s="106">
        <v>240</v>
      </c>
      <c r="AO129" s="106">
        <v>198</v>
      </c>
      <c r="AP129" s="106" t="s">
        <v>102</v>
      </c>
      <c r="AQ129" s="106" t="s">
        <v>251</v>
      </c>
      <c r="AR129" s="106">
        <v>1018</v>
      </c>
      <c r="AS129" s="106">
        <v>2400</v>
      </c>
      <c r="AT129" s="106">
        <v>9600</v>
      </c>
      <c r="AY129" s="108">
        <v>0</v>
      </c>
      <c r="BD129" s="106">
        <v>0</v>
      </c>
      <c r="BY129" s="112" t="s">
        <v>1766</v>
      </c>
      <c r="BZ129" s="112" t="s">
        <v>1766</v>
      </c>
      <c r="CA129" s="112" t="s">
        <v>1766</v>
      </c>
      <c r="CB129" s="112" t="s">
        <v>1766</v>
      </c>
      <c r="CC129" s="112" t="s">
        <v>1766</v>
      </c>
      <c r="CD129" s="112" t="s">
        <v>1766</v>
      </c>
      <c r="CE129" s="112" t="s">
        <v>1766</v>
      </c>
      <c r="CF129" s="112" t="s">
        <v>1766</v>
      </c>
      <c r="CG129" s="112" t="s">
        <v>1766</v>
      </c>
      <c r="CH129" s="112" t="s">
        <v>1766</v>
      </c>
      <c r="CI129" s="112" t="s">
        <v>1766</v>
      </c>
      <c r="CJ129" s="112" t="s">
        <v>1766</v>
      </c>
      <c r="CK129" s="112" t="s">
        <v>1766</v>
      </c>
      <c r="CL129" s="112" t="s">
        <v>1766</v>
      </c>
      <c r="CM129" s="112" t="s">
        <v>1766</v>
      </c>
      <c r="CN129" s="112" t="s">
        <v>1766</v>
      </c>
      <c r="CO129" s="112" t="s">
        <v>1766</v>
      </c>
    </row>
    <row r="130" spans="1:93">
      <c r="A130" s="106" t="s">
        <v>249</v>
      </c>
      <c r="B130" s="106">
        <v>9</v>
      </c>
      <c r="C130" s="106">
        <v>2</v>
      </c>
      <c r="D130" s="106">
        <v>4</v>
      </c>
      <c r="E130" s="106">
        <v>4</v>
      </c>
      <c r="F130" s="106">
        <v>2</v>
      </c>
      <c r="G130" s="106" t="s">
        <v>66</v>
      </c>
      <c r="I130" s="106">
        <v>201</v>
      </c>
      <c r="J130" s="106" t="s">
        <v>1766</v>
      </c>
      <c r="K130" s="106" t="s">
        <v>1318</v>
      </c>
      <c r="L130" s="106" t="s">
        <v>1327</v>
      </c>
      <c r="M130" s="106" t="s">
        <v>259</v>
      </c>
      <c r="N130" s="106">
        <v>18</v>
      </c>
      <c r="O130" s="106">
        <v>9</v>
      </c>
      <c r="T130" s="106" t="s">
        <v>1766</v>
      </c>
      <c r="V130" s="106">
        <v>72945.023184000005</v>
      </c>
      <c r="W130" s="106">
        <v>1</v>
      </c>
      <c r="X130" s="106">
        <v>1</v>
      </c>
      <c r="Y130" s="106">
        <v>0</v>
      </c>
      <c r="Z130" s="106" t="s">
        <v>1766</v>
      </c>
      <c r="AA130" s="106">
        <v>36000</v>
      </c>
      <c r="AB130" s="106">
        <v>36000</v>
      </c>
      <c r="AC130" s="106">
        <v>0</v>
      </c>
      <c r="AD130" s="106">
        <v>0</v>
      </c>
      <c r="AE130" s="106">
        <v>72000</v>
      </c>
      <c r="AF130" s="106">
        <v>288000</v>
      </c>
      <c r="AH130" s="106">
        <v>1440</v>
      </c>
      <c r="AI130" s="106">
        <v>0</v>
      </c>
      <c r="AJ130" s="106">
        <v>4</v>
      </c>
      <c r="AK130" s="106">
        <v>120</v>
      </c>
      <c r="AL130" s="106">
        <v>480</v>
      </c>
      <c r="AM130" s="106">
        <v>660</v>
      </c>
      <c r="AN130" s="106">
        <v>2640</v>
      </c>
      <c r="AO130" s="106">
        <v>344</v>
      </c>
      <c r="AP130" s="106" t="s">
        <v>102</v>
      </c>
      <c r="AQ130" s="106" t="s">
        <v>251</v>
      </c>
      <c r="AR130" s="106">
        <v>1018</v>
      </c>
      <c r="AS130" s="106">
        <v>2750</v>
      </c>
      <c r="AT130" s="106">
        <v>11000</v>
      </c>
      <c r="AY130" s="108">
        <v>0</v>
      </c>
      <c r="BD130" s="106">
        <v>0</v>
      </c>
      <c r="BY130" s="112" t="s">
        <v>1766</v>
      </c>
      <c r="BZ130" s="112" t="s">
        <v>1766</v>
      </c>
      <c r="CA130" s="112" t="s">
        <v>1766</v>
      </c>
      <c r="CB130" s="112" t="s">
        <v>1766</v>
      </c>
      <c r="CC130" s="112" t="s">
        <v>1766</v>
      </c>
      <c r="CD130" s="112" t="s">
        <v>1766</v>
      </c>
      <c r="CE130" s="112" t="s">
        <v>1766</v>
      </c>
      <c r="CF130" s="112" t="s">
        <v>1766</v>
      </c>
      <c r="CG130" s="112" t="s">
        <v>1766</v>
      </c>
      <c r="CH130" s="112" t="s">
        <v>1766</v>
      </c>
      <c r="CI130" s="112" t="s">
        <v>1766</v>
      </c>
      <c r="CJ130" s="112" t="s">
        <v>1766</v>
      </c>
      <c r="CK130" s="112" t="s">
        <v>1766</v>
      </c>
      <c r="CL130" s="112" t="s">
        <v>1766</v>
      </c>
      <c r="CM130" s="112" t="s">
        <v>1766</v>
      </c>
      <c r="CN130" s="112" t="s">
        <v>1766</v>
      </c>
      <c r="CO130" s="112" t="s">
        <v>1766</v>
      </c>
    </row>
    <row r="131" spans="1:93">
      <c r="A131" s="106" t="s">
        <v>249</v>
      </c>
      <c r="B131" s="106">
        <v>10</v>
      </c>
      <c r="C131" s="106">
        <v>2</v>
      </c>
      <c r="D131" s="106">
        <v>4</v>
      </c>
      <c r="E131" s="106">
        <v>4</v>
      </c>
      <c r="F131" s="106">
        <v>2</v>
      </c>
      <c r="G131" s="106" t="s">
        <v>66</v>
      </c>
      <c r="I131" s="106">
        <v>201</v>
      </c>
      <c r="J131" s="106" t="s">
        <v>1766</v>
      </c>
      <c r="K131" s="106" t="s">
        <v>1318</v>
      </c>
      <c r="L131" s="106" t="s">
        <v>1328</v>
      </c>
      <c r="M131" s="106" t="s">
        <v>260</v>
      </c>
      <c r="N131" s="106">
        <v>18</v>
      </c>
      <c r="O131" s="106">
        <v>10</v>
      </c>
      <c r="T131" s="106" t="s">
        <v>1766</v>
      </c>
      <c r="V131" s="106">
        <v>115253.13663071999</v>
      </c>
      <c r="W131" s="106">
        <v>1</v>
      </c>
      <c r="X131" s="106">
        <v>1</v>
      </c>
      <c r="Y131" s="106">
        <v>0</v>
      </c>
      <c r="Z131" s="106">
        <v>1</v>
      </c>
      <c r="AA131" s="106">
        <v>38000</v>
      </c>
      <c r="AB131" s="106">
        <v>38000</v>
      </c>
      <c r="AC131" s="106">
        <v>0</v>
      </c>
      <c r="AD131" s="106">
        <v>38000</v>
      </c>
      <c r="AE131" s="106">
        <v>114000</v>
      </c>
      <c r="AF131" s="106">
        <v>456000</v>
      </c>
      <c r="AH131" s="106">
        <v>2160</v>
      </c>
      <c r="AI131" s="106">
        <v>0.01</v>
      </c>
      <c r="AJ131" s="106">
        <v>4</v>
      </c>
      <c r="AK131" s="106">
        <v>120</v>
      </c>
      <c r="AL131" s="106">
        <v>480</v>
      </c>
      <c r="AM131" s="106">
        <v>1358</v>
      </c>
      <c r="AN131" s="106">
        <v>5432</v>
      </c>
      <c r="AO131" s="106">
        <v>575</v>
      </c>
      <c r="AP131" s="106" t="s">
        <v>102</v>
      </c>
      <c r="AQ131" s="106" t="s">
        <v>251</v>
      </c>
      <c r="AR131" s="106">
        <v>1018</v>
      </c>
      <c r="AS131" s="106">
        <v>3100</v>
      </c>
      <c r="AT131" s="106">
        <v>12400</v>
      </c>
      <c r="AY131" s="108">
        <v>0</v>
      </c>
      <c r="BD131" s="106">
        <v>0</v>
      </c>
      <c r="BY131" s="112" t="s">
        <v>1766</v>
      </c>
      <c r="BZ131" s="112" t="s">
        <v>1766</v>
      </c>
      <c r="CA131" s="112" t="s">
        <v>1766</v>
      </c>
      <c r="CB131" s="112" t="s">
        <v>1766</v>
      </c>
      <c r="CC131" s="112" t="s">
        <v>1766</v>
      </c>
      <c r="CD131" s="112" t="s">
        <v>1766</v>
      </c>
      <c r="CE131" s="112" t="s">
        <v>1766</v>
      </c>
      <c r="CF131" s="112" t="s">
        <v>1766</v>
      </c>
      <c r="CG131" s="112" t="s">
        <v>1766</v>
      </c>
      <c r="CH131" s="112" t="s">
        <v>1766</v>
      </c>
      <c r="CI131" s="112" t="s">
        <v>1766</v>
      </c>
      <c r="CJ131" s="112" t="s">
        <v>1766</v>
      </c>
      <c r="CK131" s="112" t="s">
        <v>1766</v>
      </c>
      <c r="CL131" s="112" t="s">
        <v>1766</v>
      </c>
      <c r="CM131" s="112" t="s">
        <v>1766</v>
      </c>
      <c r="CN131" s="112" t="s">
        <v>1766</v>
      </c>
      <c r="CO131" s="112" t="s">
        <v>1766</v>
      </c>
    </row>
    <row r="132" spans="1:93">
      <c r="A132" s="106" t="s">
        <v>249</v>
      </c>
      <c r="B132" s="106">
        <v>11</v>
      </c>
      <c r="C132" s="106">
        <v>2</v>
      </c>
      <c r="D132" s="106">
        <v>4</v>
      </c>
      <c r="E132" s="106">
        <v>4</v>
      </c>
      <c r="F132" s="106">
        <v>2</v>
      </c>
      <c r="G132" s="106" t="s">
        <v>66</v>
      </c>
      <c r="I132" s="106">
        <v>201</v>
      </c>
      <c r="J132" s="106" t="s">
        <v>1766</v>
      </c>
      <c r="K132" s="106" t="s">
        <v>1318</v>
      </c>
      <c r="L132" s="106" t="s">
        <v>1329</v>
      </c>
      <c r="M132" s="106" t="s">
        <v>261</v>
      </c>
      <c r="N132" s="106">
        <v>18</v>
      </c>
      <c r="O132" s="106">
        <v>11</v>
      </c>
      <c r="T132" s="106" t="s">
        <v>1766</v>
      </c>
      <c r="V132" s="106">
        <v>174032.23631238699</v>
      </c>
      <c r="W132" s="106">
        <v>1</v>
      </c>
      <c r="X132" s="106">
        <v>1</v>
      </c>
      <c r="Y132" s="106">
        <v>0</v>
      </c>
      <c r="Z132" s="106">
        <v>1</v>
      </c>
      <c r="AA132" s="106">
        <v>58000</v>
      </c>
      <c r="AB132" s="106">
        <v>58000</v>
      </c>
      <c r="AC132" s="106">
        <v>0</v>
      </c>
      <c r="AD132" s="106">
        <v>58000</v>
      </c>
      <c r="AE132" s="106">
        <v>174000</v>
      </c>
      <c r="AF132" s="106">
        <v>696000</v>
      </c>
      <c r="AH132" s="106">
        <v>3240</v>
      </c>
      <c r="AI132" s="106">
        <v>0.02</v>
      </c>
      <c r="AJ132" s="106">
        <v>5</v>
      </c>
      <c r="AK132" s="106">
        <v>120</v>
      </c>
      <c r="AL132" s="106">
        <v>600</v>
      </c>
      <c r="AM132" s="106">
        <v>2276</v>
      </c>
      <c r="AN132" s="106">
        <v>9104</v>
      </c>
      <c r="AO132" s="106">
        <v>923</v>
      </c>
      <c r="AP132" s="106" t="s">
        <v>102</v>
      </c>
      <c r="AQ132" s="106" t="s">
        <v>251</v>
      </c>
      <c r="AR132" s="106">
        <v>1018</v>
      </c>
      <c r="AS132" s="106">
        <v>3600</v>
      </c>
      <c r="AT132" s="106">
        <v>14400</v>
      </c>
      <c r="AY132" s="108">
        <v>0</v>
      </c>
      <c r="BD132" s="106">
        <v>0</v>
      </c>
      <c r="BY132" s="112" t="s">
        <v>1766</v>
      </c>
      <c r="BZ132" s="112" t="s">
        <v>1766</v>
      </c>
      <c r="CA132" s="112" t="s">
        <v>1766</v>
      </c>
      <c r="CB132" s="112" t="s">
        <v>1766</v>
      </c>
      <c r="CC132" s="112" t="s">
        <v>1766</v>
      </c>
      <c r="CD132" s="112" t="s">
        <v>1766</v>
      </c>
      <c r="CE132" s="112" t="s">
        <v>1766</v>
      </c>
      <c r="CF132" s="112" t="s">
        <v>1766</v>
      </c>
      <c r="CG132" s="112" t="s">
        <v>1766</v>
      </c>
      <c r="CH132" s="112" t="s">
        <v>1766</v>
      </c>
      <c r="CI132" s="112" t="s">
        <v>1766</v>
      </c>
      <c r="CJ132" s="112" t="s">
        <v>1766</v>
      </c>
      <c r="CK132" s="112" t="s">
        <v>1766</v>
      </c>
      <c r="CL132" s="112" t="s">
        <v>1766</v>
      </c>
      <c r="CM132" s="112" t="s">
        <v>1766</v>
      </c>
      <c r="CN132" s="112" t="s">
        <v>1766</v>
      </c>
      <c r="CO132" s="112" t="s">
        <v>1766</v>
      </c>
    </row>
    <row r="133" spans="1:93">
      <c r="A133" s="106" t="s">
        <v>249</v>
      </c>
      <c r="B133" s="106">
        <v>12</v>
      </c>
      <c r="C133" s="106">
        <v>2</v>
      </c>
      <c r="D133" s="106">
        <v>4</v>
      </c>
      <c r="E133" s="106">
        <v>4</v>
      </c>
      <c r="F133" s="106">
        <v>2</v>
      </c>
      <c r="G133" s="106" t="s">
        <v>66</v>
      </c>
      <c r="I133" s="106">
        <v>201</v>
      </c>
      <c r="J133" s="106" t="s">
        <v>1766</v>
      </c>
      <c r="K133" s="106" t="s">
        <v>1318</v>
      </c>
      <c r="L133" s="106" t="s">
        <v>1330</v>
      </c>
      <c r="M133" s="106" t="s">
        <v>262</v>
      </c>
      <c r="N133" s="106">
        <v>18</v>
      </c>
      <c r="O133" s="106">
        <v>12</v>
      </c>
      <c r="T133" s="106" t="s">
        <v>1766</v>
      </c>
      <c r="V133" s="106">
        <v>250606.420289837</v>
      </c>
      <c r="W133" s="106">
        <v>1</v>
      </c>
      <c r="X133" s="106">
        <v>1</v>
      </c>
      <c r="Y133" s="106">
        <v>0</v>
      </c>
      <c r="Z133" s="106">
        <v>1</v>
      </c>
      <c r="AA133" s="106">
        <v>84000</v>
      </c>
      <c r="AB133" s="106">
        <v>84000</v>
      </c>
      <c r="AC133" s="106">
        <v>0</v>
      </c>
      <c r="AD133" s="106">
        <v>84000</v>
      </c>
      <c r="AE133" s="106">
        <v>252000</v>
      </c>
      <c r="AF133" s="106">
        <v>1008000</v>
      </c>
      <c r="AH133" s="106">
        <v>4320</v>
      </c>
      <c r="AI133" s="106">
        <v>0.03</v>
      </c>
      <c r="AJ133" s="106">
        <v>5</v>
      </c>
      <c r="AK133" s="106">
        <v>120</v>
      </c>
      <c r="AL133" s="106">
        <v>600</v>
      </c>
      <c r="AM133" s="106">
        <v>3294</v>
      </c>
      <c r="AN133" s="106">
        <v>13176</v>
      </c>
      <c r="AO133" s="106">
        <v>1424</v>
      </c>
      <c r="AP133" s="106" t="s">
        <v>102</v>
      </c>
      <c r="AQ133" s="106" t="s">
        <v>251</v>
      </c>
      <c r="AR133" s="106">
        <v>1018</v>
      </c>
      <c r="AS133" s="106">
        <v>4100</v>
      </c>
      <c r="AT133" s="106">
        <v>16400</v>
      </c>
      <c r="AY133" s="108">
        <v>0</v>
      </c>
      <c r="BD133" s="106">
        <v>0</v>
      </c>
      <c r="BY133" s="112" t="s">
        <v>1766</v>
      </c>
      <c r="BZ133" s="112" t="s">
        <v>1766</v>
      </c>
      <c r="CA133" s="112" t="s">
        <v>1766</v>
      </c>
      <c r="CB133" s="112" t="s">
        <v>1766</v>
      </c>
      <c r="CC133" s="112" t="s">
        <v>1766</v>
      </c>
      <c r="CD133" s="112" t="s">
        <v>1766</v>
      </c>
      <c r="CE133" s="112" t="s">
        <v>1766</v>
      </c>
      <c r="CF133" s="112" t="s">
        <v>1766</v>
      </c>
      <c r="CG133" s="112" t="s">
        <v>1766</v>
      </c>
      <c r="CH133" s="112" t="s">
        <v>1766</v>
      </c>
      <c r="CI133" s="112" t="s">
        <v>1766</v>
      </c>
      <c r="CJ133" s="112" t="s">
        <v>1766</v>
      </c>
      <c r="CK133" s="112" t="s">
        <v>1766</v>
      </c>
      <c r="CL133" s="112" t="s">
        <v>1766</v>
      </c>
      <c r="CM133" s="112" t="s">
        <v>1766</v>
      </c>
      <c r="CN133" s="112" t="s">
        <v>1766</v>
      </c>
      <c r="CO133" s="112" t="s">
        <v>1766</v>
      </c>
    </row>
    <row r="134" spans="1:93">
      <c r="A134" s="106" t="s">
        <v>249</v>
      </c>
      <c r="B134" s="106">
        <v>13</v>
      </c>
      <c r="C134" s="106">
        <v>2</v>
      </c>
      <c r="D134" s="106">
        <v>4</v>
      </c>
      <c r="E134" s="106">
        <v>4</v>
      </c>
      <c r="F134" s="106">
        <v>2</v>
      </c>
      <c r="G134" s="106" t="s">
        <v>66</v>
      </c>
      <c r="I134" s="106">
        <v>201</v>
      </c>
      <c r="J134" s="106" t="s">
        <v>1766</v>
      </c>
      <c r="K134" s="106" t="s">
        <v>1318</v>
      </c>
      <c r="L134" s="106" t="s">
        <v>1331</v>
      </c>
      <c r="M134" s="106" t="s">
        <v>263</v>
      </c>
      <c r="N134" s="106">
        <v>18</v>
      </c>
      <c r="O134" s="106">
        <v>13</v>
      </c>
      <c r="T134" s="106" t="s">
        <v>1766</v>
      </c>
      <c r="V134" s="106">
        <v>343330.79579707701</v>
      </c>
      <c r="W134" s="106">
        <v>1</v>
      </c>
      <c r="X134" s="106">
        <v>1</v>
      </c>
      <c r="Y134" s="106">
        <v>0</v>
      </c>
      <c r="Z134" s="106">
        <v>1</v>
      </c>
      <c r="AA134" s="106">
        <v>110000</v>
      </c>
      <c r="AB134" s="106">
        <v>110000</v>
      </c>
      <c r="AC134" s="106">
        <v>0</v>
      </c>
      <c r="AD134" s="106">
        <v>110000</v>
      </c>
      <c r="AE134" s="106">
        <v>330000</v>
      </c>
      <c r="AF134" s="106">
        <v>1320000</v>
      </c>
      <c r="AH134" s="106">
        <v>5760</v>
      </c>
      <c r="AI134" s="106">
        <v>0.04</v>
      </c>
      <c r="AJ134" s="106">
        <v>6</v>
      </c>
      <c r="AK134" s="106">
        <v>120</v>
      </c>
      <c r="AL134" s="106">
        <v>720</v>
      </c>
      <c r="AM134" s="106">
        <v>4518</v>
      </c>
      <c r="AN134" s="106">
        <v>18072</v>
      </c>
      <c r="AO134" s="106">
        <v>2111</v>
      </c>
      <c r="AP134" s="106" t="s">
        <v>102</v>
      </c>
      <c r="AQ134" s="106" t="s">
        <v>251</v>
      </c>
      <c r="AR134" s="106">
        <v>1018</v>
      </c>
      <c r="AS134" s="106">
        <v>4600</v>
      </c>
      <c r="AT134" s="106">
        <v>18400</v>
      </c>
      <c r="AY134" s="108">
        <v>0</v>
      </c>
      <c r="BD134" s="106">
        <v>0</v>
      </c>
      <c r="BY134" s="112" t="s">
        <v>1766</v>
      </c>
      <c r="BZ134" s="112" t="s">
        <v>1766</v>
      </c>
      <c r="CA134" s="112" t="s">
        <v>1766</v>
      </c>
      <c r="CB134" s="112" t="s">
        <v>1766</v>
      </c>
      <c r="CC134" s="112" t="s">
        <v>1766</v>
      </c>
      <c r="CD134" s="112" t="s">
        <v>1766</v>
      </c>
      <c r="CE134" s="112" t="s">
        <v>1766</v>
      </c>
      <c r="CF134" s="112" t="s">
        <v>1766</v>
      </c>
      <c r="CG134" s="112" t="s">
        <v>1766</v>
      </c>
      <c r="CH134" s="112" t="s">
        <v>1766</v>
      </c>
      <c r="CI134" s="112" t="s">
        <v>1766</v>
      </c>
      <c r="CJ134" s="112" t="s">
        <v>1766</v>
      </c>
      <c r="CK134" s="112" t="s">
        <v>1766</v>
      </c>
      <c r="CL134" s="112" t="s">
        <v>1766</v>
      </c>
      <c r="CM134" s="112" t="s">
        <v>1766</v>
      </c>
      <c r="CN134" s="112" t="s">
        <v>1766</v>
      </c>
      <c r="CO134" s="112" t="s">
        <v>1766</v>
      </c>
    </row>
    <row r="135" spans="1:93">
      <c r="A135" s="106" t="s">
        <v>249</v>
      </c>
      <c r="B135" s="106">
        <v>14</v>
      </c>
      <c r="C135" s="106">
        <v>2</v>
      </c>
      <c r="D135" s="106">
        <v>4</v>
      </c>
      <c r="E135" s="106">
        <v>4</v>
      </c>
      <c r="F135" s="106">
        <v>2</v>
      </c>
      <c r="G135" s="106" t="s">
        <v>66</v>
      </c>
      <c r="I135" s="106">
        <v>201</v>
      </c>
      <c r="J135" s="106" t="s">
        <v>1766</v>
      </c>
      <c r="K135" s="106" t="s">
        <v>1318</v>
      </c>
      <c r="L135" s="106" t="s">
        <v>1332</v>
      </c>
      <c r="M135" s="106" t="s">
        <v>264</v>
      </c>
      <c r="N135" s="106">
        <v>18</v>
      </c>
      <c r="O135" s="106">
        <v>14</v>
      </c>
      <c r="T135" s="106" t="s">
        <v>1766</v>
      </c>
      <c r="V135" s="106">
        <v>446330.03453620098</v>
      </c>
      <c r="W135" s="106">
        <v>1</v>
      </c>
      <c r="X135" s="106">
        <v>1</v>
      </c>
      <c r="Y135" s="106">
        <v>0</v>
      </c>
      <c r="Z135" s="106">
        <v>1</v>
      </c>
      <c r="AA135" s="106">
        <v>150000</v>
      </c>
      <c r="AB135" s="106">
        <v>150000</v>
      </c>
      <c r="AC135" s="106">
        <v>0</v>
      </c>
      <c r="AD135" s="106">
        <v>150000</v>
      </c>
      <c r="AE135" s="106">
        <v>450000</v>
      </c>
      <c r="AF135" s="106">
        <v>1800000</v>
      </c>
      <c r="AH135" s="106">
        <v>7200</v>
      </c>
      <c r="AI135" s="106">
        <v>0.05</v>
      </c>
      <c r="AJ135" s="106">
        <v>6</v>
      </c>
      <c r="AK135" s="106">
        <v>120</v>
      </c>
      <c r="AL135" s="106">
        <v>720</v>
      </c>
      <c r="AM135" s="106">
        <v>5837</v>
      </c>
      <c r="AN135" s="106">
        <v>23348</v>
      </c>
      <c r="AO135" s="106">
        <v>3003</v>
      </c>
      <c r="AP135" s="106" t="s">
        <v>102</v>
      </c>
      <c r="AQ135" s="106" t="s">
        <v>251</v>
      </c>
      <c r="AR135" s="106">
        <v>1018</v>
      </c>
      <c r="AS135" s="106">
        <v>5100</v>
      </c>
      <c r="AT135" s="106">
        <v>20400</v>
      </c>
      <c r="AY135" s="108">
        <v>0</v>
      </c>
      <c r="BD135" s="106">
        <v>0</v>
      </c>
      <c r="BY135" s="112" t="s">
        <v>1766</v>
      </c>
      <c r="BZ135" s="112" t="s">
        <v>1766</v>
      </c>
      <c r="CA135" s="112" t="s">
        <v>1766</v>
      </c>
      <c r="CB135" s="112" t="s">
        <v>1766</v>
      </c>
      <c r="CC135" s="112" t="s">
        <v>1766</v>
      </c>
      <c r="CD135" s="112" t="s">
        <v>1766</v>
      </c>
      <c r="CE135" s="112" t="s">
        <v>1766</v>
      </c>
      <c r="CF135" s="112" t="s">
        <v>1766</v>
      </c>
      <c r="CG135" s="112" t="s">
        <v>1766</v>
      </c>
      <c r="CH135" s="112" t="s">
        <v>1766</v>
      </c>
      <c r="CI135" s="112" t="s">
        <v>1766</v>
      </c>
      <c r="CJ135" s="112" t="s">
        <v>1766</v>
      </c>
      <c r="CK135" s="112" t="s">
        <v>1766</v>
      </c>
      <c r="CL135" s="112" t="s">
        <v>1766</v>
      </c>
      <c r="CM135" s="112" t="s">
        <v>1766</v>
      </c>
      <c r="CN135" s="112" t="s">
        <v>1766</v>
      </c>
      <c r="CO135" s="112" t="s">
        <v>1766</v>
      </c>
    </row>
    <row r="136" spans="1:93">
      <c r="A136" s="106" t="s">
        <v>249</v>
      </c>
      <c r="B136" s="106">
        <v>15</v>
      </c>
      <c r="C136" s="106">
        <v>2</v>
      </c>
      <c r="D136" s="106">
        <v>4</v>
      </c>
      <c r="E136" s="106">
        <v>4</v>
      </c>
      <c r="F136" s="106">
        <v>2</v>
      </c>
      <c r="G136" s="106" t="s">
        <v>66</v>
      </c>
      <c r="I136" s="106">
        <v>201</v>
      </c>
      <c r="J136" s="106" t="s">
        <v>1766</v>
      </c>
      <c r="K136" s="106" t="s">
        <v>1318</v>
      </c>
      <c r="L136" s="106" t="s">
        <v>1333</v>
      </c>
      <c r="M136" s="106" t="s">
        <v>265</v>
      </c>
      <c r="N136" s="106">
        <v>18</v>
      </c>
      <c r="O136" s="106">
        <v>15</v>
      </c>
      <c r="T136" s="106" t="s">
        <v>1766</v>
      </c>
      <c r="V136" s="106">
        <v>571302.44420633698</v>
      </c>
      <c r="W136" s="106">
        <v>1</v>
      </c>
      <c r="X136" s="106">
        <v>1</v>
      </c>
      <c r="Y136" s="106">
        <v>0</v>
      </c>
      <c r="Z136" s="106">
        <v>1</v>
      </c>
      <c r="AA136" s="106">
        <v>190000</v>
      </c>
      <c r="AB136" s="106">
        <v>190000</v>
      </c>
      <c r="AC136" s="106">
        <v>0</v>
      </c>
      <c r="AD136" s="106">
        <v>190000</v>
      </c>
      <c r="AE136" s="106">
        <v>570000</v>
      </c>
      <c r="AF136" s="106">
        <v>2280000</v>
      </c>
      <c r="AH136" s="106">
        <v>8640</v>
      </c>
      <c r="AI136" s="106">
        <v>0.05</v>
      </c>
      <c r="AJ136" s="106">
        <v>7</v>
      </c>
      <c r="AK136" s="106">
        <v>120</v>
      </c>
      <c r="AL136" s="106">
        <v>840</v>
      </c>
      <c r="AM136" s="106">
        <v>7088</v>
      </c>
      <c r="AN136" s="106">
        <v>28352</v>
      </c>
      <c r="AO136" s="106">
        <v>4146</v>
      </c>
      <c r="AP136" s="106" t="s">
        <v>102</v>
      </c>
      <c r="AQ136" s="106" t="s">
        <v>251</v>
      </c>
      <c r="AR136" s="106">
        <v>1018</v>
      </c>
      <c r="AS136" s="106">
        <v>5600</v>
      </c>
      <c r="AT136" s="106">
        <v>22400</v>
      </c>
      <c r="AY136" s="108">
        <v>0</v>
      </c>
      <c r="BD136" s="106">
        <v>0</v>
      </c>
      <c r="BY136" s="112" t="s">
        <v>1766</v>
      </c>
      <c r="BZ136" s="112" t="s">
        <v>1766</v>
      </c>
      <c r="CA136" s="112" t="s">
        <v>1766</v>
      </c>
      <c r="CB136" s="112" t="s">
        <v>1766</v>
      </c>
      <c r="CC136" s="112" t="s">
        <v>1766</v>
      </c>
      <c r="CD136" s="112" t="s">
        <v>1766</v>
      </c>
      <c r="CE136" s="112" t="s">
        <v>1766</v>
      </c>
      <c r="CF136" s="112" t="s">
        <v>1766</v>
      </c>
      <c r="CG136" s="112" t="s">
        <v>1766</v>
      </c>
      <c r="CH136" s="112" t="s">
        <v>1766</v>
      </c>
      <c r="CI136" s="112" t="s">
        <v>1766</v>
      </c>
      <c r="CJ136" s="112" t="s">
        <v>1766</v>
      </c>
      <c r="CK136" s="112" t="s">
        <v>1766</v>
      </c>
      <c r="CL136" s="112" t="s">
        <v>1766</v>
      </c>
      <c r="CM136" s="112" t="s">
        <v>1766</v>
      </c>
      <c r="CN136" s="112" t="s">
        <v>1766</v>
      </c>
      <c r="CO136" s="112" t="s">
        <v>1766</v>
      </c>
    </row>
    <row r="137" spans="1:93">
      <c r="A137" s="106" t="s">
        <v>249</v>
      </c>
      <c r="B137" s="106">
        <v>16</v>
      </c>
      <c r="C137" s="106">
        <v>2</v>
      </c>
      <c r="D137" s="106">
        <v>4</v>
      </c>
      <c r="E137" s="106">
        <v>4</v>
      </c>
      <c r="F137" s="106">
        <v>3</v>
      </c>
      <c r="G137" s="106" t="s">
        <v>66</v>
      </c>
      <c r="I137" s="106">
        <v>201</v>
      </c>
      <c r="J137" s="106" t="s">
        <v>1766</v>
      </c>
      <c r="K137" s="106" t="s">
        <v>1318</v>
      </c>
      <c r="L137" s="106" t="s">
        <v>1334</v>
      </c>
      <c r="M137" s="106" t="s">
        <v>266</v>
      </c>
      <c r="N137" s="106">
        <v>18</v>
      </c>
      <c r="O137" s="106">
        <v>16</v>
      </c>
      <c r="T137" s="106" t="s">
        <v>1766</v>
      </c>
      <c r="V137" s="106">
        <v>731267.12858411099</v>
      </c>
      <c r="W137" s="106">
        <v>1</v>
      </c>
      <c r="X137" s="106">
        <v>1</v>
      </c>
      <c r="Y137" s="106">
        <v>0</v>
      </c>
      <c r="Z137" s="106">
        <v>1</v>
      </c>
      <c r="AA137" s="106">
        <v>240000</v>
      </c>
      <c r="AB137" s="106">
        <v>240000</v>
      </c>
      <c r="AC137" s="106">
        <v>0</v>
      </c>
      <c r="AD137" s="106">
        <v>240000</v>
      </c>
      <c r="AE137" s="106">
        <v>720000</v>
      </c>
      <c r="AF137" s="106">
        <v>2880000</v>
      </c>
      <c r="AH137" s="106">
        <v>10800</v>
      </c>
      <c r="AI137" s="106">
        <v>0.05</v>
      </c>
      <c r="AJ137" s="106">
        <v>7</v>
      </c>
      <c r="AK137" s="106">
        <v>120</v>
      </c>
      <c r="AL137" s="106">
        <v>840</v>
      </c>
      <c r="AM137" s="106">
        <v>9145</v>
      </c>
      <c r="AN137" s="106">
        <v>36580</v>
      </c>
      <c r="AO137" s="106">
        <v>5609</v>
      </c>
      <c r="AP137" s="106" t="s">
        <v>102</v>
      </c>
      <c r="AQ137" s="106" t="s">
        <v>251</v>
      </c>
      <c r="AR137" s="106">
        <v>1018</v>
      </c>
      <c r="AS137" s="106">
        <v>6250</v>
      </c>
      <c r="AT137" s="106">
        <v>25000</v>
      </c>
      <c r="AY137" s="108">
        <v>0</v>
      </c>
      <c r="BD137" s="106">
        <v>0</v>
      </c>
      <c r="BY137" s="112" t="s">
        <v>1766</v>
      </c>
      <c r="BZ137" s="112" t="s">
        <v>1766</v>
      </c>
      <c r="CA137" s="112" t="s">
        <v>1766</v>
      </c>
      <c r="CB137" s="112" t="s">
        <v>1766</v>
      </c>
      <c r="CC137" s="112" t="s">
        <v>1766</v>
      </c>
      <c r="CD137" s="112" t="s">
        <v>1766</v>
      </c>
      <c r="CE137" s="112" t="s">
        <v>1766</v>
      </c>
      <c r="CF137" s="112" t="s">
        <v>1766</v>
      </c>
      <c r="CG137" s="112" t="s">
        <v>1766</v>
      </c>
      <c r="CH137" s="112" t="s">
        <v>1766</v>
      </c>
      <c r="CI137" s="112" t="s">
        <v>1766</v>
      </c>
      <c r="CJ137" s="112" t="s">
        <v>1766</v>
      </c>
      <c r="CK137" s="112" t="s">
        <v>1766</v>
      </c>
      <c r="CL137" s="112" t="s">
        <v>1766</v>
      </c>
      <c r="CM137" s="112" t="s">
        <v>1766</v>
      </c>
      <c r="CN137" s="112" t="s">
        <v>1766</v>
      </c>
      <c r="CO137" s="112" t="s">
        <v>1766</v>
      </c>
    </row>
    <row r="138" spans="1:93">
      <c r="A138" s="106" t="s">
        <v>249</v>
      </c>
      <c r="B138" s="106">
        <v>17</v>
      </c>
      <c r="C138" s="106">
        <v>2</v>
      </c>
      <c r="D138" s="106">
        <v>4</v>
      </c>
      <c r="E138" s="106">
        <v>4</v>
      </c>
      <c r="F138" s="106">
        <v>3</v>
      </c>
      <c r="G138" s="106" t="s">
        <v>66</v>
      </c>
      <c r="I138" s="106">
        <v>201</v>
      </c>
      <c r="J138" s="106" t="s">
        <v>1766</v>
      </c>
      <c r="K138" s="106" t="s">
        <v>1318</v>
      </c>
      <c r="L138" s="106" t="s">
        <v>1335</v>
      </c>
      <c r="M138" s="106" t="s">
        <v>267</v>
      </c>
      <c r="N138" s="106">
        <v>18</v>
      </c>
      <c r="O138" s="106">
        <v>17</v>
      </c>
      <c r="T138" s="106" t="s">
        <v>1766</v>
      </c>
      <c r="V138" s="106">
        <v>936021.92458766198</v>
      </c>
      <c r="W138" s="106">
        <v>1</v>
      </c>
      <c r="X138" s="106">
        <v>1</v>
      </c>
      <c r="Y138" s="106">
        <v>0</v>
      </c>
      <c r="Z138" s="106">
        <v>1</v>
      </c>
      <c r="AA138" s="106">
        <v>310000</v>
      </c>
      <c r="AB138" s="106">
        <v>310000</v>
      </c>
      <c r="AC138" s="106">
        <v>0</v>
      </c>
      <c r="AD138" s="106">
        <v>310000</v>
      </c>
      <c r="AE138" s="106">
        <v>930000</v>
      </c>
      <c r="AF138" s="106">
        <v>3720000</v>
      </c>
      <c r="AH138" s="106">
        <v>14400</v>
      </c>
      <c r="AI138" s="106">
        <v>0.05</v>
      </c>
      <c r="AJ138" s="106">
        <v>8</v>
      </c>
      <c r="AK138" s="106">
        <v>144</v>
      </c>
      <c r="AL138" s="106">
        <v>1152</v>
      </c>
      <c r="AM138" s="106">
        <v>12262</v>
      </c>
      <c r="AN138" s="106">
        <v>49048</v>
      </c>
      <c r="AO138" s="106">
        <v>7481</v>
      </c>
      <c r="AP138" s="106" t="s">
        <v>102</v>
      </c>
      <c r="AQ138" s="106" t="s">
        <v>251</v>
      </c>
      <c r="AR138" s="106">
        <v>1018</v>
      </c>
      <c r="AS138" s="106">
        <v>6900</v>
      </c>
      <c r="AT138" s="106">
        <v>27600</v>
      </c>
      <c r="AY138" s="108">
        <v>0</v>
      </c>
      <c r="BD138" s="106">
        <v>0</v>
      </c>
      <c r="BY138" s="112" t="s">
        <v>1766</v>
      </c>
      <c r="BZ138" s="112" t="s">
        <v>1766</v>
      </c>
      <c r="CA138" s="112" t="s">
        <v>1766</v>
      </c>
      <c r="CB138" s="112" t="s">
        <v>1766</v>
      </c>
      <c r="CC138" s="112" t="s">
        <v>1766</v>
      </c>
      <c r="CD138" s="112" t="s">
        <v>1766</v>
      </c>
      <c r="CE138" s="112" t="s">
        <v>1766</v>
      </c>
      <c r="CF138" s="112" t="s">
        <v>1766</v>
      </c>
      <c r="CG138" s="112" t="s">
        <v>1766</v>
      </c>
      <c r="CH138" s="112" t="s">
        <v>1766</v>
      </c>
      <c r="CI138" s="112" t="s">
        <v>1766</v>
      </c>
      <c r="CJ138" s="112" t="s">
        <v>1766</v>
      </c>
      <c r="CK138" s="112" t="s">
        <v>1766</v>
      </c>
      <c r="CL138" s="112" t="s">
        <v>1766</v>
      </c>
      <c r="CM138" s="112" t="s">
        <v>1766</v>
      </c>
      <c r="CN138" s="112" t="s">
        <v>1766</v>
      </c>
      <c r="CO138" s="112" t="s">
        <v>1766</v>
      </c>
    </row>
    <row r="139" spans="1:93">
      <c r="A139" s="106" t="s">
        <v>249</v>
      </c>
      <c r="B139" s="106">
        <v>18</v>
      </c>
      <c r="C139" s="106">
        <v>2</v>
      </c>
      <c r="D139" s="106">
        <v>4</v>
      </c>
      <c r="E139" s="106">
        <v>4</v>
      </c>
      <c r="F139" s="106">
        <v>3</v>
      </c>
      <c r="G139" s="106" t="s">
        <v>66</v>
      </c>
      <c r="I139" s="106">
        <v>201</v>
      </c>
      <c r="J139" s="106" t="s">
        <v>1766</v>
      </c>
      <c r="K139" s="106" t="s">
        <v>1318</v>
      </c>
      <c r="L139" s="106" t="s">
        <v>1336</v>
      </c>
      <c r="M139" s="106" t="s">
        <v>268</v>
      </c>
      <c r="O139" s="106">
        <v>18</v>
      </c>
      <c r="T139" s="106" t="s">
        <v>1766</v>
      </c>
      <c r="V139" s="106">
        <v>1198108.06347221</v>
      </c>
      <c r="W139" s="106">
        <v>1</v>
      </c>
      <c r="X139" s="106">
        <v>1</v>
      </c>
      <c r="Y139" s="106">
        <v>0</v>
      </c>
      <c r="Z139" s="106">
        <v>1</v>
      </c>
      <c r="AA139" s="106">
        <v>400000</v>
      </c>
      <c r="AB139" s="106">
        <v>400000</v>
      </c>
      <c r="AC139" s="106">
        <v>0</v>
      </c>
      <c r="AD139" s="106">
        <v>400000</v>
      </c>
      <c r="AE139" s="106">
        <v>1200000</v>
      </c>
      <c r="AF139" s="106">
        <v>4800000</v>
      </c>
      <c r="AH139" s="106">
        <v>18720</v>
      </c>
      <c r="AI139" s="106">
        <v>6.5000000000000002E-2</v>
      </c>
      <c r="AJ139" s="106">
        <v>8</v>
      </c>
      <c r="AK139" s="106">
        <v>187.2</v>
      </c>
      <c r="AL139" s="106">
        <v>1497.6</v>
      </c>
      <c r="AM139" s="106">
        <v>15779</v>
      </c>
      <c r="AN139" s="106">
        <v>63116</v>
      </c>
      <c r="AO139" s="106">
        <v>9877</v>
      </c>
      <c r="AP139" s="106" t="s">
        <v>102</v>
      </c>
      <c r="AQ139" s="106" t="s">
        <v>251</v>
      </c>
      <c r="AR139" s="106">
        <v>1018</v>
      </c>
      <c r="AS139" s="106">
        <v>7600</v>
      </c>
      <c r="AT139" s="106">
        <v>30400</v>
      </c>
      <c r="AY139" s="108">
        <v>0</v>
      </c>
      <c r="BD139" s="106">
        <v>0</v>
      </c>
      <c r="BY139" s="112" t="s">
        <v>1766</v>
      </c>
      <c r="BZ139" s="112" t="s">
        <v>1766</v>
      </c>
      <c r="CA139" s="112" t="s">
        <v>1766</v>
      </c>
      <c r="CB139" s="112" t="s">
        <v>1766</v>
      </c>
      <c r="CC139" s="112" t="s">
        <v>1766</v>
      </c>
      <c r="CD139" s="112" t="s">
        <v>1766</v>
      </c>
      <c r="CE139" s="112" t="s">
        <v>1766</v>
      </c>
      <c r="CF139" s="112" t="s">
        <v>1766</v>
      </c>
      <c r="CG139" s="112" t="s">
        <v>1766</v>
      </c>
      <c r="CH139" s="112" t="s">
        <v>1766</v>
      </c>
      <c r="CI139" s="112" t="s">
        <v>1766</v>
      </c>
      <c r="CJ139" s="112" t="s">
        <v>1766</v>
      </c>
      <c r="CK139" s="112" t="s">
        <v>1766</v>
      </c>
      <c r="CL139" s="112" t="s">
        <v>1766</v>
      </c>
      <c r="CM139" s="112" t="s">
        <v>1766</v>
      </c>
      <c r="CN139" s="112" t="s">
        <v>1766</v>
      </c>
      <c r="CO139" s="112" t="s">
        <v>1766</v>
      </c>
    </row>
    <row r="140" spans="1:93">
      <c r="A140" s="106" t="s">
        <v>249</v>
      </c>
      <c r="B140" s="106">
        <v>19</v>
      </c>
      <c r="C140" s="106">
        <v>2</v>
      </c>
      <c r="D140" s="106">
        <v>4</v>
      </c>
      <c r="E140" s="106">
        <v>4</v>
      </c>
      <c r="F140" s="106">
        <v>3</v>
      </c>
      <c r="G140" s="106" t="s">
        <v>66</v>
      </c>
      <c r="I140" s="106">
        <v>201</v>
      </c>
      <c r="J140" s="106" t="s">
        <v>1766</v>
      </c>
      <c r="K140" s="106" t="s">
        <v>1318</v>
      </c>
      <c r="L140" s="106" t="s">
        <v>1337</v>
      </c>
      <c r="M140" s="106" t="s">
        <v>269</v>
      </c>
      <c r="O140" s="106">
        <v>19</v>
      </c>
      <c r="T140" s="106" t="s">
        <v>1766</v>
      </c>
      <c r="V140" s="106">
        <v>1533578.32124443</v>
      </c>
      <c r="W140" s="106">
        <v>1</v>
      </c>
      <c r="X140" s="106">
        <v>1</v>
      </c>
      <c r="Y140" s="106">
        <v>0</v>
      </c>
      <c r="Z140" s="106">
        <v>1</v>
      </c>
      <c r="AA140" s="106">
        <v>510000</v>
      </c>
      <c r="AB140" s="106">
        <v>510000</v>
      </c>
      <c r="AC140" s="106">
        <v>0</v>
      </c>
      <c r="AD140" s="106">
        <v>510000</v>
      </c>
      <c r="AE140" s="106">
        <v>1530000</v>
      </c>
      <c r="AF140" s="106">
        <v>6120000</v>
      </c>
      <c r="AH140" s="106">
        <v>24480</v>
      </c>
      <c r="AI140" s="106">
        <v>0.08</v>
      </c>
      <c r="AJ140" s="106">
        <v>9</v>
      </c>
      <c r="AK140" s="106">
        <v>244.8</v>
      </c>
      <c r="AL140" s="106">
        <v>2203.1999999999998</v>
      </c>
      <c r="AM140" s="106">
        <v>20163</v>
      </c>
      <c r="AN140" s="106">
        <v>80652</v>
      </c>
      <c r="AO140" s="106">
        <v>12944</v>
      </c>
      <c r="AP140" s="106" t="s">
        <v>102</v>
      </c>
      <c r="AQ140" s="106" t="s">
        <v>251</v>
      </c>
      <c r="AR140" s="106">
        <v>1018</v>
      </c>
      <c r="AS140" s="106">
        <v>8300</v>
      </c>
      <c r="AT140" s="106">
        <v>33200</v>
      </c>
      <c r="AY140" s="108">
        <v>0</v>
      </c>
      <c r="BD140" s="106">
        <v>0</v>
      </c>
      <c r="BY140" s="112" t="s">
        <v>1766</v>
      </c>
      <c r="BZ140" s="112" t="s">
        <v>1766</v>
      </c>
      <c r="CA140" s="112" t="s">
        <v>1766</v>
      </c>
      <c r="CB140" s="112" t="s">
        <v>1766</v>
      </c>
      <c r="CC140" s="112" t="s">
        <v>1766</v>
      </c>
      <c r="CD140" s="112" t="s">
        <v>1766</v>
      </c>
      <c r="CE140" s="112" t="s">
        <v>1766</v>
      </c>
      <c r="CF140" s="112" t="s">
        <v>1766</v>
      </c>
      <c r="CG140" s="112" t="s">
        <v>1766</v>
      </c>
      <c r="CH140" s="112" t="s">
        <v>1766</v>
      </c>
      <c r="CI140" s="112" t="s">
        <v>1766</v>
      </c>
      <c r="CJ140" s="112" t="s">
        <v>1766</v>
      </c>
      <c r="CK140" s="112" t="s">
        <v>1766</v>
      </c>
      <c r="CL140" s="112" t="s">
        <v>1766</v>
      </c>
      <c r="CM140" s="112" t="s">
        <v>1766</v>
      </c>
      <c r="CN140" s="112" t="s">
        <v>1766</v>
      </c>
      <c r="CO140" s="112" t="s">
        <v>1766</v>
      </c>
    </row>
    <row r="141" spans="1:93">
      <c r="A141" s="106" t="s">
        <v>249</v>
      </c>
      <c r="B141" s="106">
        <v>20</v>
      </c>
      <c r="C141" s="106">
        <v>2</v>
      </c>
      <c r="D141" s="106">
        <v>4</v>
      </c>
      <c r="E141" s="106">
        <v>4</v>
      </c>
      <c r="F141" s="106">
        <v>3</v>
      </c>
      <c r="G141" s="106" t="s">
        <v>66</v>
      </c>
      <c r="I141" s="106">
        <v>201</v>
      </c>
      <c r="J141" s="106" t="s">
        <v>1766</v>
      </c>
      <c r="K141" s="106" t="s">
        <v>1318</v>
      </c>
      <c r="L141" s="106" t="s">
        <v>1338</v>
      </c>
      <c r="M141" s="106" t="s">
        <v>270</v>
      </c>
      <c r="O141" s="106">
        <v>20</v>
      </c>
      <c r="T141" s="106" t="s">
        <v>1766</v>
      </c>
      <c r="V141" s="106">
        <v>1962980.2511928601</v>
      </c>
      <c r="W141" s="106">
        <v>1</v>
      </c>
      <c r="X141" s="106">
        <v>1</v>
      </c>
      <c r="Y141" s="106">
        <v>0</v>
      </c>
      <c r="Z141" s="106">
        <v>1</v>
      </c>
      <c r="AA141" s="106">
        <v>650000</v>
      </c>
      <c r="AB141" s="106">
        <v>650000</v>
      </c>
      <c r="AC141" s="106">
        <v>0</v>
      </c>
      <c r="AD141" s="106">
        <v>650000</v>
      </c>
      <c r="AE141" s="106">
        <v>1950000</v>
      </c>
      <c r="AF141" s="106">
        <v>7800000</v>
      </c>
      <c r="AH141" s="106">
        <v>34560</v>
      </c>
      <c r="AI141" s="106">
        <v>9.5000000000000001E-2</v>
      </c>
      <c r="AJ141" s="106">
        <v>9</v>
      </c>
      <c r="AK141" s="106">
        <v>345.6</v>
      </c>
      <c r="AL141" s="106">
        <v>3110.4</v>
      </c>
      <c r="AM141" s="106">
        <v>28151</v>
      </c>
      <c r="AN141" s="106">
        <v>112604</v>
      </c>
      <c r="AO141" s="106">
        <v>16870</v>
      </c>
      <c r="AP141" s="106" t="s">
        <v>102</v>
      </c>
      <c r="AQ141" s="106" t="s">
        <v>251</v>
      </c>
      <c r="AR141" s="106">
        <v>1018</v>
      </c>
      <c r="AS141" s="106">
        <v>9000</v>
      </c>
      <c r="AT141" s="106">
        <v>36000</v>
      </c>
      <c r="AY141" s="108">
        <v>0</v>
      </c>
      <c r="BD141" s="106">
        <v>0</v>
      </c>
      <c r="BY141" s="112" t="s">
        <v>1766</v>
      </c>
      <c r="BZ141" s="112" t="s">
        <v>1766</v>
      </c>
      <c r="CA141" s="112" t="s">
        <v>1766</v>
      </c>
      <c r="CB141" s="112" t="s">
        <v>1766</v>
      </c>
      <c r="CC141" s="112" t="s">
        <v>1766</v>
      </c>
      <c r="CD141" s="112" t="s">
        <v>1766</v>
      </c>
      <c r="CE141" s="112" t="s">
        <v>1766</v>
      </c>
      <c r="CF141" s="112" t="s">
        <v>1766</v>
      </c>
      <c r="CG141" s="112" t="s">
        <v>1766</v>
      </c>
      <c r="CH141" s="112" t="s">
        <v>1766</v>
      </c>
      <c r="CI141" s="112" t="s">
        <v>1766</v>
      </c>
      <c r="CJ141" s="112" t="s">
        <v>1766</v>
      </c>
      <c r="CK141" s="112" t="s">
        <v>1766</v>
      </c>
      <c r="CL141" s="112" t="s">
        <v>1766</v>
      </c>
      <c r="CM141" s="112" t="s">
        <v>1766</v>
      </c>
      <c r="CN141" s="112" t="s">
        <v>1766</v>
      </c>
      <c r="CO141" s="112" t="s">
        <v>1766</v>
      </c>
    </row>
    <row r="142" spans="1:93">
      <c r="A142" s="106" t="s">
        <v>249</v>
      </c>
      <c r="B142" s="106">
        <v>21</v>
      </c>
      <c r="C142" s="106">
        <v>2</v>
      </c>
      <c r="D142" s="106">
        <v>4</v>
      </c>
      <c r="E142" s="106">
        <v>4</v>
      </c>
      <c r="F142" s="106">
        <v>4</v>
      </c>
      <c r="G142" s="106" t="s">
        <v>66</v>
      </c>
      <c r="I142" s="106">
        <v>201</v>
      </c>
      <c r="J142" s="106" t="s">
        <v>1766</v>
      </c>
      <c r="K142" s="106" t="s">
        <v>1318</v>
      </c>
      <c r="L142" s="106" t="s">
        <v>1340</v>
      </c>
      <c r="M142" s="106" t="s">
        <v>1383</v>
      </c>
      <c r="O142" s="106">
        <v>21</v>
      </c>
      <c r="T142" s="106" t="s">
        <v>1766</v>
      </c>
      <c r="V142" s="106">
        <v>2512614.72152687</v>
      </c>
      <c r="W142" s="106">
        <v>1</v>
      </c>
      <c r="X142" s="106">
        <v>1</v>
      </c>
      <c r="Y142" s="106">
        <v>0</v>
      </c>
      <c r="Z142" s="106">
        <v>1</v>
      </c>
      <c r="AA142" s="106">
        <v>840000</v>
      </c>
      <c r="AB142" s="106">
        <v>840000</v>
      </c>
      <c r="AC142" s="106">
        <v>0</v>
      </c>
      <c r="AD142" s="106">
        <v>840000</v>
      </c>
      <c r="AE142" s="106">
        <v>2520000</v>
      </c>
      <c r="AF142" s="106">
        <v>10080000</v>
      </c>
      <c r="AH142" s="106">
        <v>46080</v>
      </c>
      <c r="AI142" s="106">
        <v>0.11</v>
      </c>
      <c r="AJ142" s="106">
        <v>10</v>
      </c>
      <c r="AK142" s="106">
        <v>460.8</v>
      </c>
      <c r="AL142" s="106">
        <v>4608</v>
      </c>
      <c r="AM142" s="106">
        <v>36605</v>
      </c>
      <c r="AN142" s="106">
        <v>146420</v>
      </c>
      <c r="AO142" s="106">
        <v>21895</v>
      </c>
      <c r="AP142" s="106" t="s">
        <v>102</v>
      </c>
      <c r="AQ142" s="106" t="s">
        <v>251</v>
      </c>
      <c r="AR142" s="106">
        <v>1018</v>
      </c>
      <c r="AS142" s="106">
        <v>9800</v>
      </c>
      <c r="AT142" s="106">
        <v>39200</v>
      </c>
      <c r="AY142" s="108">
        <v>0</v>
      </c>
      <c r="BD142" s="106">
        <v>0</v>
      </c>
      <c r="BY142" s="112" t="s">
        <v>1766</v>
      </c>
      <c r="BZ142" s="112" t="s">
        <v>1766</v>
      </c>
      <c r="CA142" s="112" t="s">
        <v>1766</v>
      </c>
      <c r="CB142" s="112" t="s">
        <v>1766</v>
      </c>
      <c r="CC142" s="112" t="s">
        <v>1766</v>
      </c>
      <c r="CD142" s="112" t="s">
        <v>1766</v>
      </c>
      <c r="CE142" s="112" t="s">
        <v>1766</v>
      </c>
      <c r="CF142" s="112" t="s">
        <v>1766</v>
      </c>
      <c r="CG142" s="112" t="s">
        <v>1766</v>
      </c>
      <c r="CH142" s="112" t="s">
        <v>1766</v>
      </c>
      <c r="CI142" s="112" t="s">
        <v>1766</v>
      </c>
      <c r="CJ142" s="112" t="s">
        <v>1766</v>
      </c>
      <c r="CK142" s="112" t="s">
        <v>1766</v>
      </c>
      <c r="CL142" s="112" t="s">
        <v>1766</v>
      </c>
      <c r="CM142" s="112" t="s">
        <v>1766</v>
      </c>
      <c r="CN142" s="112" t="s">
        <v>1766</v>
      </c>
      <c r="CO142" s="112" t="s">
        <v>1766</v>
      </c>
    </row>
    <row r="143" spans="1:93">
      <c r="A143" s="106" t="s">
        <v>249</v>
      </c>
      <c r="B143" s="106">
        <v>22</v>
      </c>
      <c r="C143" s="106">
        <v>2</v>
      </c>
      <c r="D143" s="106">
        <v>4</v>
      </c>
      <c r="E143" s="106">
        <v>4</v>
      </c>
      <c r="F143" s="106">
        <v>4</v>
      </c>
      <c r="G143" s="106" t="s">
        <v>66</v>
      </c>
      <c r="I143" s="106">
        <v>201</v>
      </c>
      <c r="J143" s="106" t="s">
        <v>1766</v>
      </c>
      <c r="K143" s="106" t="s">
        <v>1318</v>
      </c>
      <c r="L143" s="106" t="s">
        <v>1342</v>
      </c>
      <c r="M143" s="106" t="s">
        <v>1384</v>
      </c>
      <c r="O143" s="106">
        <v>22</v>
      </c>
      <c r="T143" s="106" t="s">
        <v>1766</v>
      </c>
      <c r="V143" s="106">
        <v>3216146.8435543901</v>
      </c>
      <c r="W143" s="106">
        <v>1</v>
      </c>
      <c r="X143" s="106">
        <v>1</v>
      </c>
      <c r="Y143" s="106">
        <v>0</v>
      </c>
      <c r="Z143" s="106">
        <v>1</v>
      </c>
      <c r="AA143" s="106">
        <v>1100000</v>
      </c>
      <c r="AB143" s="106">
        <v>1100000</v>
      </c>
      <c r="AC143" s="106">
        <v>0</v>
      </c>
      <c r="AD143" s="106">
        <v>1100000</v>
      </c>
      <c r="AE143" s="106">
        <v>3300000</v>
      </c>
      <c r="AF143" s="106">
        <v>13200000</v>
      </c>
      <c r="AH143" s="106">
        <v>60480</v>
      </c>
      <c r="AI143" s="106">
        <v>0.125</v>
      </c>
      <c r="AJ143" s="106">
        <v>10</v>
      </c>
      <c r="AK143" s="106">
        <v>604.79999999999995</v>
      </c>
      <c r="AL143" s="106">
        <v>6048</v>
      </c>
      <c r="AM143" s="106">
        <v>47412</v>
      </c>
      <c r="AN143" s="106">
        <v>189648</v>
      </c>
      <c r="AO143" s="106">
        <v>28328</v>
      </c>
      <c r="AP143" s="106" t="s">
        <v>102</v>
      </c>
      <c r="AQ143" s="106" t="s">
        <v>251</v>
      </c>
      <c r="AR143" s="106">
        <v>1018</v>
      </c>
      <c r="AS143" s="106">
        <v>10600</v>
      </c>
      <c r="AT143" s="106">
        <v>42400</v>
      </c>
      <c r="AY143" s="108">
        <v>0</v>
      </c>
      <c r="BD143" s="106">
        <v>0</v>
      </c>
      <c r="BY143" s="112" t="s">
        <v>1766</v>
      </c>
      <c r="BZ143" s="112" t="s">
        <v>1766</v>
      </c>
      <c r="CA143" s="112" t="s">
        <v>1766</v>
      </c>
      <c r="CB143" s="112" t="s">
        <v>1766</v>
      </c>
      <c r="CC143" s="112" t="s">
        <v>1766</v>
      </c>
      <c r="CD143" s="112" t="s">
        <v>1766</v>
      </c>
      <c r="CE143" s="112" t="s">
        <v>1766</v>
      </c>
      <c r="CF143" s="112" t="s">
        <v>1766</v>
      </c>
      <c r="CG143" s="112" t="s">
        <v>1766</v>
      </c>
      <c r="CH143" s="112" t="s">
        <v>1766</v>
      </c>
      <c r="CI143" s="112" t="s">
        <v>1766</v>
      </c>
      <c r="CJ143" s="112" t="s">
        <v>1766</v>
      </c>
      <c r="CK143" s="112" t="s">
        <v>1766</v>
      </c>
      <c r="CL143" s="112" t="s">
        <v>1766</v>
      </c>
      <c r="CM143" s="112" t="s">
        <v>1766</v>
      </c>
      <c r="CN143" s="112" t="s">
        <v>1766</v>
      </c>
      <c r="CO143" s="112" t="s">
        <v>1766</v>
      </c>
    </row>
    <row r="144" spans="1:93">
      <c r="A144" s="106" t="s">
        <v>249</v>
      </c>
      <c r="B144" s="106">
        <v>23</v>
      </c>
      <c r="C144" s="106">
        <v>2</v>
      </c>
      <c r="D144" s="106">
        <v>4</v>
      </c>
      <c r="E144" s="106">
        <v>4</v>
      </c>
      <c r="F144" s="106">
        <v>4</v>
      </c>
      <c r="G144" s="106" t="s">
        <v>66</v>
      </c>
      <c r="I144" s="106">
        <v>201</v>
      </c>
      <c r="J144" s="106" t="s">
        <v>1766</v>
      </c>
      <c r="K144" s="106" t="s">
        <v>1318</v>
      </c>
      <c r="L144" s="106" t="s">
        <v>1344</v>
      </c>
      <c r="M144" s="106" t="s">
        <v>1385</v>
      </c>
      <c r="O144" s="106">
        <v>23</v>
      </c>
      <c r="T144" s="106" t="s">
        <v>1766</v>
      </c>
      <c r="V144" s="106">
        <v>4116667.9597496199</v>
      </c>
      <c r="W144" s="106">
        <v>1</v>
      </c>
      <c r="X144" s="106">
        <v>1</v>
      </c>
      <c r="Y144" s="106">
        <v>0</v>
      </c>
      <c r="Z144" s="106">
        <v>1</v>
      </c>
      <c r="AA144" s="106">
        <v>1400000</v>
      </c>
      <c r="AB144" s="106">
        <v>1400000</v>
      </c>
      <c r="AC144" s="106">
        <v>0</v>
      </c>
      <c r="AD144" s="106">
        <v>1400000</v>
      </c>
      <c r="AE144" s="106">
        <v>4200000</v>
      </c>
      <c r="AF144" s="106">
        <v>16800000</v>
      </c>
      <c r="AH144" s="106">
        <v>77760</v>
      </c>
      <c r="AI144" s="106">
        <v>0.125</v>
      </c>
      <c r="AJ144" s="106">
        <v>11</v>
      </c>
      <c r="AK144" s="106">
        <v>777.6</v>
      </c>
      <c r="AL144" s="106">
        <v>8553.6</v>
      </c>
      <c r="AM144" s="106">
        <v>60266</v>
      </c>
      <c r="AN144" s="106">
        <v>241064</v>
      </c>
      <c r="AO144" s="106">
        <v>36561</v>
      </c>
      <c r="AP144" s="106" t="s">
        <v>102</v>
      </c>
      <c r="AQ144" s="106" t="s">
        <v>251</v>
      </c>
      <c r="AR144" s="106">
        <v>1018</v>
      </c>
      <c r="AS144" s="106">
        <v>11400</v>
      </c>
      <c r="AT144" s="106">
        <v>45600</v>
      </c>
      <c r="AY144" s="108">
        <v>0</v>
      </c>
      <c r="BD144" s="106">
        <v>0</v>
      </c>
      <c r="BY144" s="112" t="s">
        <v>1766</v>
      </c>
      <c r="BZ144" s="112" t="s">
        <v>1766</v>
      </c>
      <c r="CA144" s="112" t="s">
        <v>1766</v>
      </c>
      <c r="CB144" s="112" t="s">
        <v>1766</v>
      </c>
      <c r="CC144" s="112" t="s">
        <v>1766</v>
      </c>
      <c r="CD144" s="112" t="s">
        <v>1766</v>
      </c>
      <c r="CE144" s="112" t="s">
        <v>1766</v>
      </c>
      <c r="CF144" s="112" t="s">
        <v>1766</v>
      </c>
      <c r="CG144" s="112" t="s">
        <v>1766</v>
      </c>
      <c r="CH144" s="112" t="s">
        <v>1766</v>
      </c>
      <c r="CI144" s="112" t="s">
        <v>1766</v>
      </c>
      <c r="CJ144" s="112" t="s">
        <v>1766</v>
      </c>
      <c r="CK144" s="112" t="s">
        <v>1766</v>
      </c>
      <c r="CL144" s="112" t="s">
        <v>1766</v>
      </c>
      <c r="CM144" s="112" t="s">
        <v>1766</v>
      </c>
      <c r="CN144" s="112" t="s">
        <v>1766</v>
      </c>
      <c r="CO144" s="112" t="s">
        <v>1766</v>
      </c>
    </row>
    <row r="145" spans="1:93">
      <c r="A145" s="106" t="s">
        <v>249</v>
      </c>
      <c r="B145" s="106">
        <v>24</v>
      </c>
      <c r="C145" s="106">
        <v>2</v>
      </c>
      <c r="D145" s="106">
        <v>4</v>
      </c>
      <c r="E145" s="106">
        <v>4</v>
      </c>
      <c r="F145" s="106">
        <v>4</v>
      </c>
      <c r="G145" s="106" t="s">
        <v>66</v>
      </c>
      <c r="I145" s="106">
        <v>201</v>
      </c>
      <c r="J145" s="106" t="s">
        <v>1766</v>
      </c>
      <c r="K145" s="106" t="s">
        <v>1318</v>
      </c>
      <c r="L145" s="106" t="s">
        <v>1346</v>
      </c>
      <c r="M145" s="106" t="s">
        <v>1386</v>
      </c>
      <c r="O145" s="106">
        <v>24</v>
      </c>
      <c r="T145" s="106" t="s">
        <v>1766</v>
      </c>
      <c r="V145" s="106">
        <v>5269334.9884795099</v>
      </c>
      <c r="W145" s="106">
        <v>1</v>
      </c>
      <c r="X145" s="106">
        <v>1</v>
      </c>
      <c r="Y145" s="106">
        <v>0</v>
      </c>
      <c r="Z145" s="106">
        <v>1</v>
      </c>
      <c r="AA145" s="106">
        <v>1800000</v>
      </c>
      <c r="AB145" s="106">
        <v>1800000</v>
      </c>
      <c r="AC145" s="106">
        <v>0</v>
      </c>
      <c r="AD145" s="106">
        <v>1800000</v>
      </c>
      <c r="AE145" s="106">
        <v>5400000</v>
      </c>
      <c r="AF145" s="106">
        <v>21600000</v>
      </c>
      <c r="AH145" s="106">
        <v>99360</v>
      </c>
      <c r="AI145" s="106">
        <v>0.125</v>
      </c>
      <c r="AJ145" s="106">
        <v>12</v>
      </c>
      <c r="AK145" s="106">
        <v>993.6</v>
      </c>
      <c r="AL145" s="106">
        <v>11923.2</v>
      </c>
      <c r="AM145" s="106">
        <v>76096</v>
      </c>
      <c r="AN145" s="106">
        <v>304384</v>
      </c>
      <c r="AO145" s="106">
        <v>47100</v>
      </c>
      <c r="AP145" s="106" t="s">
        <v>102</v>
      </c>
      <c r="AQ145" s="106" t="s">
        <v>251</v>
      </c>
      <c r="AR145" s="106">
        <v>1018</v>
      </c>
      <c r="AS145" s="106">
        <v>12200</v>
      </c>
      <c r="AT145" s="106">
        <v>48800</v>
      </c>
      <c r="AY145" s="108">
        <v>0</v>
      </c>
      <c r="BD145" s="106">
        <v>0</v>
      </c>
      <c r="BY145" s="112" t="s">
        <v>1766</v>
      </c>
      <c r="BZ145" s="112" t="s">
        <v>1766</v>
      </c>
      <c r="CA145" s="112" t="s">
        <v>1766</v>
      </c>
      <c r="CB145" s="112" t="s">
        <v>1766</v>
      </c>
      <c r="CC145" s="112" t="s">
        <v>1766</v>
      </c>
      <c r="CD145" s="112" t="s">
        <v>1766</v>
      </c>
      <c r="CE145" s="112" t="s">
        <v>1766</v>
      </c>
      <c r="CF145" s="112" t="s">
        <v>1766</v>
      </c>
      <c r="CG145" s="112" t="s">
        <v>1766</v>
      </c>
      <c r="CH145" s="112" t="s">
        <v>1766</v>
      </c>
      <c r="CI145" s="112" t="s">
        <v>1766</v>
      </c>
      <c r="CJ145" s="112" t="s">
        <v>1766</v>
      </c>
      <c r="CK145" s="112" t="s">
        <v>1766</v>
      </c>
      <c r="CL145" s="112" t="s">
        <v>1766</v>
      </c>
      <c r="CM145" s="112" t="s">
        <v>1766</v>
      </c>
      <c r="CN145" s="112" t="s">
        <v>1766</v>
      </c>
      <c r="CO145" s="112" t="s">
        <v>1766</v>
      </c>
    </row>
    <row r="146" spans="1:93">
      <c r="A146" s="106" t="s">
        <v>249</v>
      </c>
      <c r="B146" s="106">
        <v>25</v>
      </c>
      <c r="C146" s="106">
        <v>2</v>
      </c>
      <c r="D146" s="106">
        <v>4</v>
      </c>
      <c r="E146" s="106">
        <v>4</v>
      </c>
      <c r="F146" s="106">
        <v>4</v>
      </c>
      <c r="G146" s="106" t="s">
        <v>66</v>
      </c>
      <c r="I146" s="106">
        <v>201</v>
      </c>
      <c r="J146" s="106" t="s">
        <v>1766</v>
      </c>
      <c r="K146" s="106" t="s">
        <v>1318</v>
      </c>
      <c r="L146" s="106" t="s">
        <v>1348</v>
      </c>
      <c r="M146" s="106" t="s">
        <v>1387</v>
      </c>
      <c r="O146" s="106">
        <v>25</v>
      </c>
      <c r="T146" s="106" t="s">
        <v>1766</v>
      </c>
      <c r="V146" s="106">
        <v>6744748.78525378</v>
      </c>
      <c r="W146" s="106">
        <v>1</v>
      </c>
      <c r="X146" s="106">
        <v>1</v>
      </c>
      <c r="Y146" s="106">
        <v>0</v>
      </c>
      <c r="Z146" s="106">
        <v>1</v>
      </c>
      <c r="AA146" s="106">
        <v>2200000</v>
      </c>
      <c r="AB146" s="106">
        <v>2200000</v>
      </c>
      <c r="AC146" s="106">
        <v>0</v>
      </c>
      <c r="AD146" s="106">
        <v>2200000</v>
      </c>
      <c r="AE146" s="106">
        <v>6600000</v>
      </c>
      <c r="AF146" s="106">
        <v>26400000</v>
      </c>
      <c r="AH146" s="106">
        <v>125280</v>
      </c>
      <c r="AI146" s="106">
        <v>0.125</v>
      </c>
      <c r="AJ146" s="106">
        <v>13</v>
      </c>
      <c r="AK146" s="106">
        <v>1252.8</v>
      </c>
      <c r="AL146" s="106">
        <v>16286.4</v>
      </c>
      <c r="AM146" s="106">
        <v>94773</v>
      </c>
      <c r="AN146" s="106">
        <v>379092</v>
      </c>
      <c r="AO146" s="106">
        <v>60589</v>
      </c>
      <c r="AP146" s="106" t="s">
        <v>102</v>
      </c>
      <c r="AQ146" s="106" t="s">
        <v>251</v>
      </c>
      <c r="AR146" s="106">
        <v>1018</v>
      </c>
      <c r="AS146" s="106">
        <v>13000</v>
      </c>
      <c r="AT146" s="106">
        <v>52000</v>
      </c>
      <c r="AY146" s="108">
        <v>0</v>
      </c>
      <c r="BD146" s="106">
        <v>0</v>
      </c>
      <c r="BY146" s="112" t="s">
        <v>1766</v>
      </c>
      <c r="BZ146" s="112" t="s">
        <v>1766</v>
      </c>
      <c r="CA146" s="112" t="s">
        <v>1766</v>
      </c>
      <c r="CB146" s="112" t="s">
        <v>1766</v>
      </c>
      <c r="CC146" s="112" t="s">
        <v>1766</v>
      </c>
      <c r="CD146" s="112" t="s">
        <v>1766</v>
      </c>
      <c r="CE146" s="112" t="s">
        <v>1766</v>
      </c>
      <c r="CF146" s="112" t="s">
        <v>1766</v>
      </c>
      <c r="CG146" s="112" t="s">
        <v>1766</v>
      </c>
      <c r="CH146" s="112" t="s">
        <v>1766</v>
      </c>
      <c r="CI146" s="112" t="s">
        <v>1766</v>
      </c>
      <c r="CJ146" s="112" t="s">
        <v>1766</v>
      </c>
      <c r="CK146" s="112" t="s">
        <v>1766</v>
      </c>
      <c r="CL146" s="112" t="s">
        <v>1766</v>
      </c>
      <c r="CM146" s="112" t="s">
        <v>1766</v>
      </c>
      <c r="CN146" s="112" t="s">
        <v>1766</v>
      </c>
      <c r="CO146" s="112" t="s">
        <v>1766</v>
      </c>
    </row>
    <row r="147" spans="1:93">
      <c r="A147" s="106" t="s">
        <v>249</v>
      </c>
      <c r="B147" s="106">
        <v>26</v>
      </c>
      <c r="C147" s="106">
        <v>2</v>
      </c>
      <c r="D147" s="106">
        <v>4</v>
      </c>
      <c r="E147" s="106">
        <v>4</v>
      </c>
      <c r="F147" s="106">
        <v>4</v>
      </c>
      <c r="G147" s="106" t="s">
        <v>66</v>
      </c>
      <c r="I147" s="106">
        <v>201</v>
      </c>
      <c r="J147" s="106" t="s">
        <v>1766</v>
      </c>
      <c r="K147" s="106" t="s">
        <v>1318</v>
      </c>
      <c r="L147" s="106" t="s">
        <v>1350</v>
      </c>
      <c r="M147" s="106" t="s">
        <v>1388</v>
      </c>
      <c r="O147" s="106">
        <v>26</v>
      </c>
      <c r="T147" s="106" t="s">
        <v>1766</v>
      </c>
      <c r="V147" s="106">
        <v>8633278.4451248292</v>
      </c>
      <c r="W147" s="106">
        <v>1</v>
      </c>
      <c r="X147" s="106">
        <v>1</v>
      </c>
      <c r="Y147" s="106">
        <v>0</v>
      </c>
      <c r="Z147" s="106">
        <v>1</v>
      </c>
      <c r="AA147" s="106">
        <v>2900000</v>
      </c>
      <c r="AB147" s="106">
        <v>2900000</v>
      </c>
      <c r="AC147" s="106">
        <v>0</v>
      </c>
      <c r="AD147" s="106">
        <v>2900000</v>
      </c>
      <c r="AE147" s="106">
        <v>8700000</v>
      </c>
      <c r="AF147" s="106">
        <v>34800000</v>
      </c>
      <c r="AH147" s="106">
        <v>155520</v>
      </c>
      <c r="AI147" s="106">
        <v>0.14499999999999999</v>
      </c>
      <c r="AJ147" s="106">
        <v>14</v>
      </c>
      <c r="AK147" s="106">
        <v>1555.2</v>
      </c>
      <c r="AL147" s="106">
        <v>21772.799999999999</v>
      </c>
      <c r="AM147" s="106">
        <v>113752</v>
      </c>
      <c r="AN147" s="106">
        <v>455008</v>
      </c>
      <c r="AO147" s="106">
        <v>77856</v>
      </c>
      <c r="AP147" s="106" t="s">
        <v>102</v>
      </c>
      <c r="AQ147" s="106" t="s">
        <v>251</v>
      </c>
      <c r="AR147" s="106">
        <v>1018</v>
      </c>
      <c r="AS147" s="106">
        <v>14000</v>
      </c>
      <c r="AT147" s="106">
        <v>56000</v>
      </c>
      <c r="AY147" s="108">
        <v>0</v>
      </c>
      <c r="BD147" s="106">
        <v>0</v>
      </c>
      <c r="BY147" s="112" t="s">
        <v>1766</v>
      </c>
      <c r="BZ147" s="112" t="s">
        <v>1766</v>
      </c>
      <c r="CA147" s="112" t="s">
        <v>1766</v>
      </c>
      <c r="CB147" s="112" t="s">
        <v>1766</v>
      </c>
      <c r="CC147" s="112" t="s">
        <v>1766</v>
      </c>
      <c r="CD147" s="112" t="s">
        <v>1766</v>
      </c>
      <c r="CE147" s="112" t="s">
        <v>1766</v>
      </c>
      <c r="CF147" s="112" t="s">
        <v>1766</v>
      </c>
      <c r="CG147" s="112" t="s">
        <v>1766</v>
      </c>
      <c r="CH147" s="112" t="s">
        <v>1766</v>
      </c>
      <c r="CI147" s="112" t="s">
        <v>1766</v>
      </c>
      <c r="CJ147" s="112" t="s">
        <v>1766</v>
      </c>
      <c r="CK147" s="112" t="s">
        <v>1766</v>
      </c>
      <c r="CL147" s="112" t="s">
        <v>1766</v>
      </c>
      <c r="CM147" s="112" t="s">
        <v>1766</v>
      </c>
      <c r="CN147" s="112" t="s">
        <v>1766</v>
      </c>
      <c r="CO147" s="112" t="s">
        <v>1766</v>
      </c>
    </row>
    <row r="148" spans="1:93">
      <c r="A148" s="106" t="s">
        <v>249</v>
      </c>
      <c r="B148" s="106">
        <v>27</v>
      </c>
      <c r="C148" s="106">
        <v>2</v>
      </c>
      <c r="D148" s="106">
        <v>4</v>
      </c>
      <c r="E148" s="106">
        <v>4</v>
      </c>
      <c r="F148" s="106">
        <v>4</v>
      </c>
      <c r="G148" s="106" t="s">
        <v>66</v>
      </c>
      <c r="I148" s="106">
        <v>201</v>
      </c>
      <c r="J148" s="106" t="s">
        <v>1766</v>
      </c>
      <c r="K148" s="106" t="s">
        <v>1318</v>
      </c>
      <c r="L148" s="106" t="s">
        <v>1352</v>
      </c>
      <c r="M148" s="106" t="s">
        <v>1389</v>
      </c>
      <c r="O148" s="106">
        <v>27</v>
      </c>
      <c r="T148" s="106" t="s">
        <v>1766</v>
      </c>
      <c r="V148" s="106">
        <v>11050596.409759801</v>
      </c>
      <c r="W148" s="106">
        <v>1</v>
      </c>
      <c r="X148" s="106">
        <v>1</v>
      </c>
      <c r="Y148" s="106">
        <v>0</v>
      </c>
      <c r="Z148" s="106">
        <v>1</v>
      </c>
      <c r="AA148" s="106">
        <v>3700000</v>
      </c>
      <c r="AB148" s="106">
        <v>3700000</v>
      </c>
      <c r="AC148" s="106">
        <v>0</v>
      </c>
      <c r="AD148" s="106">
        <v>3700000</v>
      </c>
      <c r="AE148" s="106">
        <v>11100000</v>
      </c>
      <c r="AF148" s="106">
        <v>44400000</v>
      </c>
      <c r="AH148" s="106">
        <v>190080</v>
      </c>
      <c r="AI148" s="106">
        <v>0.16500000000000001</v>
      </c>
      <c r="AJ148" s="106">
        <v>15</v>
      </c>
      <c r="AK148" s="106">
        <v>1900.8</v>
      </c>
      <c r="AL148" s="106">
        <v>28512</v>
      </c>
      <c r="AM148" s="106">
        <v>134346</v>
      </c>
      <c r="AN148" s="106">
        <v>537384</v>
      </c>
      <c r="AO148" s="106">
        <v>99957</v>
      </c>
      <c r="AP148" s="106" t="s">
        <v>102</v>
      </c>
      <c r="AQ148" s="106" t="s">
        <v>251</v>
      </c>
      <c r="AR148" s="106">
        <v>1018</v>
      </c>
      <c r="AS148" s="106">
        <v>15200</v>
      </c>
      <c r="AT148" s="106">
        <v>60800</v>
      </c>
      <c r="AY148" s="108">
        <v>0</v>
      </c>
      <c r="BD148" s="106">
        <v>0</v>
      </c>
      <c r="BY148" s="112" t="s">
        <v>1766</v>
      </c>
      <c r="BZ148" s="112" t="s">
        <v>1766</v>
      </c>
      <c r="CA148" s="112" t="s">
        <v>1766</v>
      </c>
      <c r="CB148" s="112" t="s">
        <v>1766</v>
      </c>
      <c r="CC148" s="112" t="s">
        <v>1766</v>
      </c>
      <c r="CD148" s="112" t="s">
        <v>1766</v>
      </c>
      <c r="CE148" s="112" t="s">
        <v>1766</v>
      </c>
      <c r="CF148" s="112" t="s">
        <v>1766</v>
      </c>
      <c r="CG148" s="112" t="s">
        <v>1766</v>
      </c>
      <c r="CH148" s="112" t="s">
        <v>1766</v>
      </c>
      <c r="CI148" s="112" t="s">
        <v>1766</v>
      </c>
      <c r="CJ148" s="112" t="s">
        <v>1766</v>
      </c>
      <c r="CK148" s="112" t="s">
        <v>1766</v>
      </c>
      <c r="CL148" s="112" t="s">
        <v>1766</v>
      </c>
      <c r="CM148" s="112" t="s">
        <v>1766</v>
      </c>
      <c r="CN148" s="112" t="s">
        <v>1766</v>
      </c>
      <c r="CO148" s="112" t="s">
        <v>1766</v>
      </c>
    </row>
    <row r="149" spans="1:93">
      <c r="A149" s="106" t="s">
        <v>249</v>
      </c>
      <c r="B149" s="106">
        <v>28</v>
      </c>
      <c r="C149" s="106">
        <v>2</v>
      </c>
      <c r="D149" s="106">
        <v>4</v>
      </c>
      <c r="E149" s="106">
        <v>4</v>
      </c>
      <c r="F149" s="106">
        <v>4</v>
      </c>
      <c r="G149" s="106" t="s">
        <v>66</v>
      </c>
      <c r="I149" s="106">
        <v>201</v>
      </c>
      <c r="J149" s="106" t="s">
        <v>1766</v>
      </c>
      <c r="K149" s="106" t="s">
        <v>1318</v>
      </c>
      <c r="L149" s="106" t="s">
        <v>1354</v>
      </c>
      <c r="M149" s="106" t="s">
        <v>1390</v>
      </c>
      <c r="O149" s="106">
        <v>28</v>
      </c>
      <c r="T149" s="106" t="s">
        <v>1766</v>
      </c>
      <c r="V149" s="106">
        <v>14144763.404492499</v>
      </c>
      <c r="W149" s="106">
        <v>1</v>
      </c>
      <c r="X149" s="106">
        <v>1</v>
      </c>
      <c r="Y149" s="106">
        <v>0</v>
      </c>
      <c r="Z149" s="106">
        <v>1</v>
      </c>
      <c r="AA149" s="106">
        <v>4700000</v>
      </c>
      <c r="AB149" s="106">
        <v>4700000</v>
      </c>
      <c r="AC149" s="106">
        <v>0</v>
      </c>
      <c r="AD149" s="106">
        <v>4700000</v>
      </c>
      <c r="AE149" s="106">
        <v>14100000</v>
      </c>
      <c r="AF149" s="106">
        <v>56400000</v>
      </c>
      <c r="AH149" s="106">
        <v>233280</v>
      </c>
      <c r="AI149" s="106">
        <v>0.185</v>
      </c>
      <c r="AJ149" s="106">
        <v>16</v>
      </c>
      <c r="AK149" s="106">
        <v>2332.8000000000002</v>
      </c>
      <c r="AL149" s="106">
        <v>37324.800000000003</v>
      </c>
      <c r="AM149" s="106">
        <v>159235</v>
      </c>
      <c r="AN149" s="106">
        <v>636940</v>
      </c>
      <c r="AO149" s="106">
        <v>128246</v>
      </c>
      <c r="AP149" s="106" t="s">
        <v>102</v>
      </c>
      <c r="AQ149" s="106" t="s">
        <v>251</v>
      </c>
      <c r="AR149" s="106">
        <v>1018</v>
      </c>
      <c r="AS149" s="106">
        <v>16600</v>
      </c>
      <c r="AT149" s="106">
        <v>66400</v>
      </c>
      <c r="AY149" s="108">
        <v>0</v>
      </c>
      <c r="BD149" s="106">
        <v>0</v>
      </c>
      <c r="BY149" s="112" t="s">
        <v>1766</v>
      </c>
      <c r="BZ149" s="112" t="s">
        <v>1766</v>
      </c>
      <c r="CA149" s="112" t="s">
        <v>1766</v>
      </c>
      <c r="CB149" s="112" t="s">
        <v>1766</v>
      </c>
      <c r="CC149" s="112" t="s">
        <v>1766</v>
      </c>
      <c r="CD149" s="112" t="s">
        <v>1766</v>
      </c>
      <c r="CE149" s="112" t="s">
        <v>1766</v>
      </c>
      <c r="CF149" s="112" t="s">
        <v>1766</v>
      </c>
      <c r="CG149" s="112" t="s">
        <v>1766</v>
      </c>
      <c r="CH149" s="112" t="s">
        <v>1766</v>
      </c>
      <c r="CI149" s="112" t="s">
        <v>1766</v>
      </c>
      <c r="CJ149" s="112" t="s">
        <v>1766</v>
      </c>
      <c r="CK149" s="112" t="s">
        <v>1766</v>
      </c>
      <c r="CL149" s="112" t="s">
        <v>1766</v>
      </c>
      <c r="CM149" s="112" t="s">
        <v>1766</v>
      </c>
      <c r="CN149" s="112" t="s">
        <v>1766</v>
      </c>
      <c r="CO149" s="112" t="s">
        <v>1766</v>
      </c>
    </row>
    <row r="150" spans="1:93">
      <c r="A150" s="106" t="s">
        <v>249</v>
      </c>
      <c r="B150" s="106">
        <v>29</v>
      </c>
      <c r="C150" s="106">
        <v>2</v>
      </c>
      <c r="D150" s="106">
        <v>4</v>
      </c>
      <c r="E150" s="106">
        <v>4</v>
      </c>
      <c r="F150" s="106">
        <v>4</v>
      </c>
      <c r="G150" s="106" t="s">
        <v>66</v>
      </c>
      <c r="I150" s="106">
        <v>201</v>
      </c>
      <c r="J150" s="106" t="s">
        <v>1766</v>
      </c>
      <c r="K150" s="106" t="s">
        <v>1318</v>
      </c>
      <c r="L150" s="106" t="s">
        <v>1356</v>
      </c>
      <c r="M150" s="106" t="s">
        <v>1391</v>
      </c>
      <c r="O150" s="106">
        <v>29</v>
      </c>
      <c r="T150" s="106" t="s">
        <v>1766</v>
      </c>
      <c r="V150" s="106">
        <v>18105297.157750402</v>
      </c>
      <c r="W150" s="106">
        <v>1</v>
      </c>
      <c r="X150" s="106">
        <v>1</v>
      </c>
      <c r="Y150" s="106">
        <v>0</v>
      </c>
      <c r="Z150" s="106">
        <v>1</v>
      </c>
      <c r="AA150" s="106">
        <v>6000000</v>
      </c>
      <c r="AB150" s="106">
        <v>6000000</v>
      </c>
      <c r="AC150" s="106">
        <v>0</v>
      </c>
      <c r="AD150" s="106">
        <v>6000000</v>
      </c>
      <c r="AE150" s="106">
        <v>18000000</v>
      </c>
      <c r="AF150" s="106">
        <v>72000000</v>
      </c>
      <c r="AH150" s="106">
        <v>285120</v>
      </c>
      <c r="AI150" s="106">
        <v>0.20499999999999999</v>
      </c>
      <c r="AJ150" s="106">
        <v>17</v>
      </c>
      <c r="AK150" s="106">
        <v>2851.2</v>
      </c>
      <c r="AL150" s="106">
        <v>48470.400000000001</v>
      </c>
      <c r="AM150" s="106">
        <v>187843</v>
      </c>
      <c r="AN150" s="106">
        <v>751372</v>
      </c>
      <c r="AO150" s="106">
        <v>164457</v>
      </c>
      <c r="AP150" s="106" t="s">
        <v>102</v>
      </c>
      <c r="AQ150" s="106" t="s">
        <v>251</v>
      </c>
      <c r="AR150" s="106">
        <v>1018</v>
      </c>
      <c r="AS150" s="106">
        <v>18200</v>
      </c>
      <c r="AT150" s="106">
        <v>72800</v>
      </c>
      <c r="AY150" s="108">
        <v>0</v>
      </c>
      <c r="BD150" s="106">
        <v>0</v>
      </c>
      <c r="BY150" s="112" t="s">
        <v>1766</v>
      </c>
      <c r="BZ150" s="112" t="s">
        <v>1766</v>
      </c>
      <c r="CA150" s="112" t="s">
        <v>1766</v>
      </c>
      <c r="CB150" s="112" t="s">
        <v>1766</v>
      </c>
      <c r="CC150" s="112" t="s">
        <v>1766</v>
      </c>
      <c r="CD150" s="112" t="s">
        <v>1766</v>
      </c>
      <c r="CE150" s="112" t="s">
        <v>1766</v>
      </c>
      <c r="CF150" s="112" t="s">
        <v>1766</v>
      </c>
      <c r="CG150" s="112" t="s">
        <v>1766</v>
      </c>
      <c r="CH150" s="112" t="s">
        <v>1766</v>
      </c>
      <c r="CI150" s="112" t="s">
        <v>1766</v>
      </c>
      <c r="CJ150" s="112" t="s">
        <v>1766</v>
      </c>
      <c r="CK150" s="112" t="s">
        <v>1766</v>
      </c>
      <c r="CL150" s="112" t="s">
        <v>1766</v>
      </c>
      <c r="CM150" s="112" t="s">
        <v>1766</v>
      </c>
      <c r="CN150" s="112" t="s">
        <v>1766</v>
      </c>
      <c r="CO150" s="112" t="s">
        <v>1766</v>
      </c>
    </row>
    <row r="151" spans="1:93">
      <c r="A151" s="106" t="s">
        <v>249</v>
      </c>
      <c r="B151" s="106">
        <v>30</v>
      </c>
      <c r="C151" s="106">
        <v>2</v>
      </c>
      <c r="D151" s="106">
        <v>4</v>
      </c>
      <c r="E151" s="106">
        <v>4</v>
      </c>
      <c r="F151" s="106">
        <v>4</v>
      </c>
      <c r="G151" s="106" t="s">
        <v>66</v>
      </c>
      <c r="I151" s="106">
        <v>201</v>
      </c>
      <c r="J151" s="106" t="s">
        <v>1766</v>
      </c>
      <c r="K151" s="106" t="s">
        <v>1318</v>
      </c>
      <c r="L151" s="106" t="s">
        <v>1358</v>
      </c>
      <c r="M151" s="106" t="s">
        <v>1392</v>
      </c>
      <c r="O151" s="106">
        <v>30</v>
      </c>
      <c r="T151" s="106" t="s">
        <v>1766</v>
      </c>
      <c r="V151" s="106">
        <v>23174780.361920599</v>
      </c>
      <c r="W151" s="106">
        <v>1</v>
      </c>
      <c r="X151" s="106">
        <v>1</v>
      </c>
      <c r="Y151" s="106">
        <v>0</v>
      </c>
      <c r="Z151" s="106">
        <v>1</v>
      </c>
      <c r="AA151" s="106">
        <v>7700000</v>
      </c>
      <c r="AB151" s="106">
        <v>7700000</v>
      </c>
      <c r="AC151" s="106">
        <v>0</v>
      </c>
      <c r="AD151" s="106">
        <v>7700000</v>
      </c>
      <c r="AE151" s="106">
        <v>23100000</v>
      </c>
      <c r="AF151" s="106">
        <v>92400000</v>
      </c>
      <c r="AH151" s="106">
        <v>345600</v>
      </c>
      <c r="AI151" s="106">
        <v>0.22500000000000001</v>
      </c>
      <c r="AJ151" s="106">
        <v>18</v>
      </c>
      <c r="AK151" s="106">
        <v>3456</v>
      </c>
      <c r="AL151" s="106">
        <v>62208</v>
      </c>
      <c r="AM151" s="106">
        <v>219614</v>
      </c>
      <c r="AN151" s="106">
        <v>878456</v>
      </c>
      <c r="AO151" s="106">
        <v>210806</v>
      </c>
      <c r="AP151" s="106" t="s">
        <v>102</v>
      </c>
      <c r="AQ151" s="106" t="s">
        <v>251</v>
      </c>
      <c r="AR151" s="106">
        <v>1018</v>
      </c>
      <c r="AS151" s="106">
        <v>20000</v>
      </c>
      <c r="AT151" s="106">
        <v>80000</v>
      </c>
      <c r="AY151" s="108">
        <v>0</v>
      </c>
      <c r="BD151" s="106">
        <v>0</v>
      </c>
      <c r="BY151" s="112" t="s">
        <v>1766</v>
      </c>
      <c r="BZ151" s="112" t="s">
        <v>1766</v>
      </c>
      <c r="CA151" s="112" t="s">
        <v>1766</v>
      </c>
      <c r="CB151" s="112" t="s">
        <v>1766</v>
      </c>
      <c r="CC151" s="112" t="s">
        <v>1766</v>
      </c>
      <c r="CD151" s="112" t="s">
        <v>1766</v>
      </c>
      <c r="CE151" s="112" t="s">
        <v>1766</v>
      </c>
      <c r="CF151" s="112" t="s">
        <v>1766</v>
      </c>
      <c r="CG151" s="112" t="s">
        <v>1766</v>
      </c>
      <c r="CH151" s="112" t="s">
        <v>1766</v>
      </c>
      <c r="CI151" s="112" t="s">
        <v>1766</v>
      </c>
      <c r="CJ151" s="112" t="s">
        <v>1766</v>
      </c>
      <c r="CK151" s="112" t="s">
        <v>1766</v>
      </c>
      <c r="CL151" s="112" t="s">
        <v>1766</v>
      </c>
      <c r="CM151" s="112" t="s">
        <v>1766</v>
      </c>
      <c r="CN151" s="112" t="s">
        <v>1766</v>
      </c>
      <c r="CO151" s="112" t="s">
        <v>1766</v>
      </c>
    </row>
    <row r="152" spans="1:93">
      <c r="A152" s="106" t="s">
        <v>271</v>
      </c>
      <c r="B152" s="106">
        <v>1</v>
      </c>
      <c r="C152" s="106">
        <v>3</v>
      </c>
      <c r="D152" s="106">
        <v>10</v>
      </c>
      <c r="E152" s="106">
        <v>4</v>
      </c>
      <c r="F152" s="106">
        <v>0</v>
      </c>
      <c r="G152" s="106" t="s">
        <v>66</v>
      </c>
      <c r="I152" s="106">
        <v>201</v>
      </c>
      <c r="J152" s="106" t="s">
        <v>1766</v>
      </c>
      <c r="K152" s="106" t="s">
        <v>1318</v>
      </c>
      <c r="L152" s="106" t="s">
        <v>1328</v>
      </c>
      <c r="M152" s="106" t="s">
        <v>272</v>
      </c>
      <c r="N152" s="106">
        <v>23</v>
      </c>
      <c r="O152" s="106">
        <v>10</v>
      </c>
      <c r="T152" s="106" t="s">
        <v>1766</v>
      </c>
      <c r="V152" s="106">
        <v>0</v>
      </c>
      <c r="W152" s="106">
        <v>0</v>
      </c>
      <c r="X152" s="106">
        <v>0</v>
      </c>
      <c r="Y152" s="106" t="s">
        <v>1766</v>
      </c>
      <c r="Z152" s="106" t="s">
        <v>1766</v>
      </c>
      <c r="AA152" s="106">
        <v>0</v>
      </c>
      <c r="AB152" s="106">
        <v>0</v>
      </c>
      <c r="AC152" s="106">
        <v>0</v>
      </c>
      <c r="AD152" s="106">
        <v>0</v>
      </c>
      <c r="AE152" s="106">
        <v>0</v>
      </c>
      <c r="AF152" s="106">
        <v>0</v>
      </c>
      <c r="AH152" s="106">
        <v>25</v>
      </c>
      <c r="AI152" s="106">
        <v>0</v>
      </c>
      <c r="AJ152" s="106">
        <v>0</v>
      </c>
      <c r="AK152" s="106">
        <v>120</v>
      </c>
      <c r="AL152" s="106">
        <v>0</v>
      </c>
      <c r="AM152" s="106">
        <v>1</v>
      </c>
      <c r="AN152" s="106">
        <v>4</v>
      </c>
      <c r="AO152" s="106">
        <v>1</v>
      </c>
      <c r="AP152" s="106" t="s">
        <v>106</v>
      </c>
      <c r="AQ152" s="106" t="s">
        <v>273</v>
      </c>
      <c r="AR152" s="106">
        <v>1019</v>
      </c>
      <c r="AS152" s="106">
        <v>400</v>
      </c>
      <c r="AT152" s="106">
        <v>1600</v>
      </c>
      <c r="AY152" s="108">
        <v>0</v>
      </c>
      <c r="BD152" s="106">
        <v>0</v>
      </c>
      <c r="BY152" s="112" t="s">
        <v>229</v>
      </c>
      <c r="BZ152" s="112" t="s">
        <v>1539</v>
      </c>
      <c r="CA152" s="112" t="s">
        <v>1539</v>
      </c>
      <c r="CB152" s="112" t="s">
        <v>106</v>
      </c>
      <c r="CC152" s="112">
        <v>6</v>
      </c>
      <c r="CD152" s="112" t="s">
        <v>1766</v>
      </c>
      <c r="CE152" s="112" t="s">
        <v>1766</v>
      </c>
      <c r="CF152" s="112" t="s">
        <v>1766</v>
      </c>
      <c r="CG152" s="112" t="s">
        <v>1766</v>
      </c>
      <c r="CH152" s="112" t="s">
        <v>1766</v>
      </c>
      <c r="CI152" s="112" t="s">
        <v>1766</v>
      </c>
      <c r="CJ152" s="112" t="s">
        <v>1766</v>
      </c>
      <c r="CK152" s="112" t="s">
        <v>1766</v>
      </c>
      <c r="CL152" s="112" t="s">
        <v>1766</v>
      </c>
      <c r="CM152" s="112" t="s">
        <v>1766</v>
      </c>
      <c r="CN152" s="112" t="s">
        <v>1766</v>
      </c>
      <c r="CO152" s="112" t="s">
        <v>1766</v>
      </c>
    </row>
    <row r="153" spans="1:93">
      <c r="A153" s="106" t="s">
        <v>271</v>
      </c>
      <c r="B153" s="106">
        <v>2</v>
      </c>
      <c r="C153" s="106">
        <v>3</v>
      </c>
      <c r="D153" s="106">
        <v>10</v>
      </c>
      <c r="E153" s="106">
        <v>4</v>
      </c>
      <c r="F153" s="106">
        <v>0</v>
      </c>
      <c r="G153" s="106" t="s">
        <v>66</v>
      </c>
      <c r="I153" s="106">
        <v>201</v>
      </c>
      <c r="J153" s="106" t="s">
        <v>1766</v>
      </c>
      <c r="K153" s="106" t="s">
        <v>1318</v>
      </c>
      <c r="L153" s="106" t="s">
        <v>1328</v>
      </c>
      <c r="M153" s="106" t="s">
        <v>274</v>
      </c>
      <c r="N153" s="106">
        <v>23</v>
      </c>
      <c r="O153" s="106">
        <v>10</v>
      </c>
      <c r="T153" s="106" t="s">
        <v>1766</v>
      </c>
      <c r="V153" s="106">
        <v>1000</v>
      </c>
      <c r="W153" s="106">
        <v>1</v>
      </c>
      <c r="X153" s="106">
        <v>1</v>
      </c>
      <c r="Y153" s="106" t="s">
        <v>1766</v>
      </c>
      <c r="Z153" s="106" t="s">
        <v>1766</v>
      </c>
      <c r="AA153" s="106">
        <v>500</v>
      </c>
      <c r="AB153" s="106">
        <v>500</v>
      </c>
      <c r="AC153" s="106">
        <v>0</v>
      </c>
      <c r="AD153" s="106">
        <v>0</v>
      </c>
      <c r="AE153" s="106">
        <v>1000</v>
      </c>
      <c r="AF153" s="106">
        <v>4000</v>
      </c>
      <c r="AH153" s="106">
        <v>25</v>
      </c>
      <c r="AI153" s="106">
        <v>0</v>
      </c>
      <c r="AJ153" s="106">
        <v>0</v>
      </c>
      <c r="AK153" s="106">
        <v>120</v>
      </c>
      <c r="AL153" s="106">
        <v>0</v>
      </c>
      <c r="AM153" s="106">
        <v>1</v>
      </c>
      <c r="AN153" s="106">
        <v>4</v>
      </c>
      <c r="AO153" s="106">
        <v>3</v>
      </c>
      <c r="AP153" s="106" t="s">
        <v>106</v>
      </c>
      <c r="AQ153" s="106" t="s">
        <v>273</v>
      </c>
      <c r="AR153" s="106">
        <v>1019</v>
      </c>
      <c r="AS153" s="106">
        <v>600</v>
      </c>
      <c r="AT153" s="106">
        <v>2400</v>
      </c>
      <c r="AY153" s="108">
        <v>0</v>
      </c>
      <c r="BD153" s="106">
        <v>0</v>
      </c>
      <c r="BY153" s="112" t="s">
        <v>1766</v>
      </c>
      <c r="BZ153" s="112" t="s">
        <v>1766</v>
      </c>
      <c r="CA153" s="112" t="s">
        <v>1766</v>
      </c>
      <c r="CB153" s="112" t="s">
        <v>1766</v>
      </c>
      <c r="CC153" s="112" t="s">
        <v>1766</v>
      </c>
      <c r="CD153" s="112" t="s">
        <v>1766</v>
      </c>
      <c r="CE153" s="112" t="s">
        <v>1766</v>
      </c>
      <c r="CF153" s="112" t="s">
        <v>1766</v>
      </c>
      <c r="CG153" s="112" t="s">
        <v>1766</v>
      </c>
      <c r="CH153" s="112" t="s">
        <v>1766</v>
      </c>
      <c r="CI153" s="112" t="s">
        <v>1766</v>
      </c>
      <c r="CJ153" s="112" t="s">
        <v>1766</v>
      </c>
      <c r="CK153" s="112" t="s">
        <v>1766</v>
      </c>
      <c r="CL153" s="112" t="s">
        <v>1766</v>
      </c>
      <c r="CM153" s="112" t="s">
        <v>1766</v>
      </c>
      <c r="CN153" s="112" t="s">
        <v>1766</v>
      </c>
      <c r="CO153" s="112" t="s">
        <v>1766</v>
      </c>
    </row>
    <row r="154" spans="1:93">
      <c r="A154" s="106" t="s">
        <v>271</v>
      </c>
      <c r="B154" s="106">
        <v>3</v>
      </c>
      <c r="C154" s="106">
        <v>3</v>
      </c>
      <c r="D154" s="106">
        <v>10</v>
      </c>
      <c r="E154" s="106">
        <v>4</v>
      </c>
      <c r="F154" s="106">
        <v>0</v>
      </c>
      <c r="G154" s="106" t="s">
        <v>66</v>
      </c>
      <c r="I154" s="106">
        <v>201</v>
      </c>
      <c r="J154" s="106" t="s">
        <v>1766</v>
      </c>
      <c r="K154" s="106" t="s">
        <v>1318</v>
      </c>
      <c r="L154" s="106" t="s">
        <v>1328</v>
      </c>
      <c r="M154" s="106" t="s">
        <v>275</v>
      </c>
      <c r="N154" s="106">
        <v>23</v>
      </c>
      <c r="O154" s="106">
        <v>10</v>
      </c>
      <c r="T154" s="106" t="s">
        <v>1766</v>
      </c>
      <c r="V154" s="106">
        <v>2000</v>
      </c>
      <c r="W154" s="106">
        <v>1</v>
      </c>
      <c r="X154" s="106">
        <v>1</v>
      </c>
      <c r="Y154" s="106" t="s">
        <v>1766</v>
      </c>
      <c r="Z154" s="106" t="s">
        <v>1766</v>
      </c>
      <c r="AA154" s="106">
        <v>1000</v>
      </c>
      <c r="AB154" s="106">
        <v>1000</v>
      </c>
      <c r="AC154" s="106">
        <v>0</v>
      </c>
      <c r="AD154" s="106">
        <v>0</v>
      </c>
      <c r="AE154" s="106">
        <v>2000</v>
      </c>
      <c r="AF154" s="106">
        <v>8000</v>
      </c>
      <c r="AH154" s="106">
        <v>36</v>
      </c>
      <c r="AI154" s="106">
        <v>0</v>
      </c>
      <c r="AJ154" s="106">
        <v>1</v>
      </c>
      <c r="AK154" s="106">
        <v>120</v>
      </c>
      <c r="AL154" s="106">
        <v>120</v>
      </c>
      <c r="AM154" s="106">
        <v>1</v>
      </c>
      <c r="AN154" s="106">
        <v>4</v>
      </c>
      <c r="AO154" s="106">
        <v>7</v>
      </c>
      <c r="AP154" s="106" t="s">
        <v>106</v>
      </c>
      <c r="AQ154" s="106" t="s">
        <v>273</v>
      </c>
      <c r="AR154" s="106">
        <v>1019</v>
      </c>
      <c r="AS154" s="106">
        <v>800</v>
      </c>
      <c r="AT154" s="106">
        <v>3200</v>
      </c>
      <c r="AY154" s="108">
        <v>0</v>
      </c>
      <c r="BD154" s="106">
        <v>0</v>
      </c>
      <c r="BY154" s="112" t="s">
        <v>1766</v>
      </c>
      <c r="BZ154" s="112" t="s">
        <v>1766</v>
      </c>
      <c r="CA154" s="112" t="s">
        <v>1766</v>
      </c>
      <c r="CB154" s="112" t="s">
        <v>1766</v>
      </c>
      <c r="CC154" s="112" t="s">
        <v>1766</v>
      </c>
      <c r="CD154" s="112" t="s">
        <v>1766</v>
      </c>
      <c r="CE154" s="112" t="s">
        <v>1766</v>
      </c>
      <c r="CF154" s="112" t="s">
        <v>1766</v>
      </c>
      <c r="CG154" s="112" t="s">
        <v>1766</v>
      </c>
      <c r="CH154" s="112" t="s">
        <v>1766</v>
      </c>
      <c r="CI154" s="112" t="s">
        <v>1766</v>
      </c>
      <c r="CJ154" s="112" t="s">
        <v>1766</v>
      </c>
      <c r="CK154" s="112" t="s">
        <v>1766</v>
      </c>
      <c r="CL154" s="112" t="s">
        <v>1766</v>
      </c>
      <c r="CM154" s="112" t="s">
        <v>1766</v>
      </c>
      <c r="CN154" s="112" t="s">
        <v>1766</v>
      </c>
      <c r="CO154" s="112" t="s">
        <v>1766</v>
      </c>
    </row>
    <row r="155" spans="1:93">
      <c r="A155" s="106" t="s">
        <v>271</v>
      </c>
      <c r="B155" s="106">
        <v>4</v>
      </c>
      <c r="C155" s="106">
        <v>3</v>
      </c>
      <c r="D155" s="106">
        <v>10</v>
      </c>
      <c r="E155" s="106">
        <v>4</v>
      </c>
      <c r="F155" s="106">
        <v>0</v>
      </c>
      <c r="G155" s="106" t="s">
        <v>66</v>
      </c>
      <c r="I155" s="106">
        <v>201</v>
      </c>
      <c r="J155" s="106" t="s">
        <v>1766</v>
      </c>
      <c r="K155" s="106" t="s">
        <v>1318</v>
      </c>
      <c r="L155" s="106" t="s">
        <v>1328</v>
      </c>
      <c r="M155" s="106" t="s">
        <v>276</v>
      </c>
      <c r="N155" s="106">
        <v>23</v>
      </c>
      <c r="O155" s="106">
        <v>10</v>
      </c>
      <c r="T155" s="106" t="s">
        <v>1766</v>
      </c>
      <c r="V155" s="106">
        <v>4000</v>
      </c>
      <c r="W155" s="106">
        <v>1</v>
      </c>
      <c r="X155" s="106">
        <v>1</v>
      </c>
      <c r="Y155" s="106" t="s">
        <v>1766</v>
      </c>
      <c r="Z155" s="106" t="s">
        <v>1766</v>
      </c>
      <c r="AA155" s="106">
        <v>2000</v>
      </c>
      <c r="AB155" s="106">
        <v>2000</v>
      </c>
      <c r="AC155" s="106">
        <v>0</v>
      </c>
      <c r="AD155" s="106">
        <v>0</v>
      </c>
      <c r="AE155" s="106">
        <v>4000</v>
      </c>
      <c r="AF155" s="106">
        <v>16000</v>
      </c>
      <c r="AH155" s="106">
        <v>72</v>
      </c>
      <c r="AI155" s="106">
        <v>0</v>
      </c>
      <c r="AJ155" s="106">
        <v>1</v>
      </c>
      <c r="AK155" s="106">
        <v>120</v>
      </c>
      <c r="AL155" s="106">
        <v>120</v>
      </c>
      <c r="AM155" s="106">
        <v>1</v>
      </c>
      <c r="AN155" s="106">
        <v>4</v>
      </c>
      <c r="AO155" s="106">
        <v>15</v>
      </c>
      <c r="AP155" s="106" t="s">
        <v>106</v>
      </c>
      <c r="AQ155" s="106" t="s">
        <v>273</v>
      </c>
      <c r="AR155" s="106">
        <v>1019</v>
      </c>
      <c r="AS155" s="106">
        <v>1000</v>
      </c>
      <c r="AT155" s="106">
        <v>4000</v>
      </c>
      <c r="AY155" s="108">
        <v>0</v>
      </c>
      <c r="BD155" s="106">
        <v>0</v>
      </c>
      <c r="BY155" s="112" t="s">
        <v>1766</v>
      </c>
      <c r="BZ155" s="112" t="s">
        <v>1766</v>
      </c>
      <c r="CA155" s="112" t="s">
        <v>1766</v>
      </c>
      <c r="CB155" s="112" t="s">
        <v>1766</v>
      </c>
      <c r="CC155" s="112" t="s">
        <v>1766</v>
      </c>
      <c r="CD155" s="112" t="s">
        <v>1766</v>
      </c>
      <c r="CE155" s="112" t="s">
        <v>1766</v>
      </c>
      <c r="CF155" s="112" t="s">
        <v>1766</v>
      </c>
      <c r="CG155" s="112" t="s">
        <v>1766</v>
      </c>
      <c r="CH155" s="112" t="s">
        <v>1766</v>
      </c>
      <c r="CI155" s="112" t="s">
        <v>1766</v>
      </c>
      <c r="CJ155" s="112" t="s">
        <v>1766</v>
      </c>
      <c r="CK155" s="112" t="s">
        <v>1766</v>
      </c>
      <c r="CL155" s="112" t="s">
        <v>1766</v>
      </c>
      <c r="CM155" s="112" t="s">
        <v>1766</v>
      </c>
      <c r="CN155" s="112" t="s">
        <v>1766</v>
      </c>
      <c r="CO155" s="112" t="s">
        <v>1766</v>
      </c>
    </row>
    <row r="156" spans="1:93">
      <c r="A156" s="106" t="s">
        <v>271</v>
      </c>
      <c r="B156" s="106">
        <v>5</v>
      </c>
      <c r="C156" s="106">
        <v>3</v>
      </c>
      <c r="D156" s="106">
        <v>10</v>
      </c>
      <c r="E156" s="106">
        <v>4</v>
      </c>
      <c r="F156" s="106">
        <v>0</v>
      </c>
      <c r="G156" s="106" t="s">
        <v>66</v>
      </c>
      <c r="I156" s="106">
        <v>201</v>
      </c>
      <c r="J156" s="106" t="s">
        <v>1766</v>
      </c>
      <c r="K156" s="106" t="s">
        <v>1318</v>
      </c>
      <c r="L156" s="106" t="s">
        <v>1328</v>
      </c>
      <c r="M156" s="106" t="s">
        <v>277</v>
      </c>
      <c r="N156" s="106">
        <v>23</v>
      </c>
      <c r="O156" s="106">
        <v>10</v>
      </c>
      <c r="T156" s="106" t="s">
        <v>1766</v>
      </c>
      <c r="V156" s="106">
        <v>7720</v>
      </c>
      <c r="W156" s="106">
        <v>1</v>
      </c>
      <c r="X156" s="106">
        <v>1</v>
      </c>
      <c r="Y156" s="106">
        <v>1</v>
      </c>
      <c r="Z156" s="106" t="s">
        <v>1766</v>
      </c>
      <c r="AA156" s="106">
        <v>2600</v>
      </c>
      <c r="AB156" s="106">
        <v>2600</v>
      </c>
      <c r="AC156" s="106">
        <v>2600</v>
      </c>
      <c r="AD156" s="106">
        <v>0</v>
      </c>
      <c r="AE156" s="106">
        <v>7800</v>
      </c>
      <c r="AF156" s="106">
        <v>31200</v>
      </c>
      <c r="AH156" s="106">
        <v>150</v>
      </c>
      <c r="AI156" s="106">
        <v>0</v>
      </c>
      <c r="AJ156" s="106">
        <v>2</v>
      </c>
      <c r="AK156" s="106">
        <v>120</v>
      </c>
      <c r="AL156" s="106">
        <v>240</v>
      </c>
      <c r="AM156" s="106">
        <v>1</v>
      </c>
      <c r="AN156" s="106">
        <v>4</v>
      </c>
      <c r="AO156" s="106">
        <v>30</v>
      </c>
      <c r="AP156" s="106" t="s">
        <v>106</v>
      </c>
      <c r="AQ156" s="106" t="s">
        <v>273</v>
      </c>
      <c r="AR156" s="106">
        <v>1019</v>
      </c>
      <c r="AS156" s="106">
        <v>1350</v>
      </c>
      <c r="AT156" s="106">
        <v>5400</v>
      </c>
      <c r="AY156" s="108">
        <v>0</v>
      </c>
      <c r="BD156" s="106">
        <v>0</v>
      </c>
      <c r="BY156" s="112" t="s">
        <v>1766</v>
      </c>
      <c r="BZ156" s="112" t="s">
        <v>1766</v>
      </c>
      <c r="CA156" s="112" t="s">
        <v>1766</v>
      </c>
      <c r="CB156" s="112" t="s">
        <v>1766</v>
      </c>
      <c r="CC156" s="112" t="s">
        <v>1766</v>
      </c>
      <c r="CD156" s="112" t="s">
        <v>1766</v>
      </c>
      <c r="CE156" s="112" t="s">
        <v>1766</v>
      </c>
      <c r="CF156" s="112" t="s">
        <v>1766</v>
      </c>
      <c r="CG156" s="112" t="s">
        <v>1766</v>
      </c>
      <c r="CH156" s="112" t="s">
        <v>1766</v>
      </c>
      <c r="CI156" s="112" t="s">
        <v>1766</v>
      </c>
      <c r="CJ156" s="112" t="s">
        <v>1766</v>
      </c>
      <c r="CK156" s="112" t="s">
        <v>1766</v>
      </c>
      <c r="CL156" s="112" t="s">
        <v>1766</v>
      </c>
      <c r="CM156" s="112" t="s">
        <v>1766</v>
      </c>
      <c r="CN156" s="112" t="s">
        <v>1766</v>
      </c>
      <c r="CO156" s="112" t="s">
        <v>1766</v>
      </c>
    </row>
    <row r="157" spans="1:93">
      <c r="A157" s="106" t="s">
        <v>271</v>
      </c>
      <c r="B157" s="106">
        <v>6</v>
      </c>
      <c r="C157" s="106">
        <v>3</v>
      </c>
      <c r="D157" s="106">
        <v>10</v>
      </c>
      <c r="E157" s="106">
        <v>4</v>
      </c>
      <c r="F157" s="106">
        <v>0</v>
      </c>
      <c r="G157" s="106" t="s">
        <v>66</v>
      </c>
      <c r="I157" s="106">
        <v>201</v>
      </c>
      <c r="J157" s="106" t="s">
        <v>1766</v>
      </c>
      <c r="K157" s="106" t="s">
        <v>1318</v>
      </c>
      <c r="L157" s="106" t="s">
        <v>1328</v>
      </c>
      <c r="M157" s="106" t="s">
        <v>278</v>
      </c>
      <c r="N157" s="106">
        <v>23</v>
      </c>
      <c r="O157" s="106">
        <v>10</v>
      </c>
      <c r="T157" s="106" t="s">
        <v>1766</v>
      </c>
      <c r="V157" s="106">
        <v>14359.2</v>
      </c>
      <c r="W157" s="106">
        <v>1</v>
      </c>
      <c r="X157" s="106">
        <v>1</v>
      </c>
      <c r="Y157" s="106">
        <v>1</v>
      </c>
      <c r="Z157" s="106" t="s">
        <v>1766</v>
      </c>
      <c r="AA157" s="106">
        <v>4800</v>
      </c>
      <c r="AB157" s="106">
        <v>4800</v>
      </c>
      <c r="AC157" s="106">
        <v>4800</v>
      </c>
      <c r="AD157" s="106">
        <v>0</v>
      </c>
      <c r="AE157" s="106">
        <v>14400</v>
      </c>
      <c r="AF157" s="106">
        <v>57600</v>
      </c>
      <c r="AH157" s="106">
        <v>270</v>
      </c>
      <c r="AI157" s="106">
        <v>0</v>
      </c>
      <c r="AJ157" s="106">
        <v>2</v>
      </c>
      <c r="AK157" s="106">
        <v>120</v>
      </c>
      <c r="AL157" s="106">
        <v>240</v>
      </c>
      <c r="AM157" s="106">
        <v>1</v>
      </c>
      <c r="AN157" s="106">
        <v>4</v>
      </c>
      <c r="AO157" s="106">
        <v>59</v>
      </c>
      <c r="AP157" s="106" t="s">
        <v>106</v>
      </c>
      <c r="AQ157" s="106" t="s">
        <v>273</v>
      </c>
      <c r="AR157" s="106">
        <v>1019</v>
      </c>
      <c r="AS157" s="106">
        <v>1700</v>
      </c>
      <c r="AT157" s="106">
        <v>6800</v>
      </c>
      <c r="AY157" s="108">
        <v>0</v>
      </c>
      <c r="BD157" s="106">
        <v>0</v>
      </c>
      <c r="BY157" s="112" t="s">
        <v>1766</v>
      </c>
      <c r="BZ157" s="112" t="s">
        <v>1766</v>
      </c>
      <c r="CA157" s="112" t="s">
        <v>1766</v>
      </c>
      <c r="CB157" s="112" t="s">
        <v>1766</v>
      </c>
      <c r="CC157" s="112" t="s">
        <v>1766</v>
      </c>
      <c r="CD157" s="112" t="s">
        <v>1766</v>
      </c>
      <c r="CE157" s="112" t="s">
        <v>1766</v>
      </c>
      <c r="CF157" s="112" t="s">
        <v>1766</v>
      </c>
      <c r="CG157" s="112" t="s">
        <v>1766</v>
      </c>
      <c r="CH157" s="112" t="s">
        <v>1766</v>
      </c>
      <c r="CI157" s="112" t="s">
        <v>1766</v>
      </c>
      <c r="CJ157" s="112" t="s">
        <v>1766</v>
      </c>
      <c r="CK157" s="112" t="s">
        <v>1766</v>
      </c>
      <c r="CL157" s="112" t="s">
        <v>1766</v>
      </c>
      <c r="CM157" s="112" t="s">
        <v>1766</v>
      </c>
      <c r="CN157" s="112" t="s">
        <v>1766</v>
      </c>
      <c r="CO157" s="112" t="s">
        <v>1766</v>
      </c>
    </row>
    <row r="158" spans="1:93">
      <c r="A158" s="106" t="s">
        <v>271</v>
      </c>
      <c r="B158" s="106">
        <v>7</v>
      </c>
      <c r="C158" s="106">
        <v>3</v>
      </c>
      <c r="D158" s="106">
        <v>10</v>
      </c>
      <c r="E158" s="106">
        <v>4</v>
      </c>
      <c r="F158" s="106">
        <v>0</v>
      </c>
      <c r="G158" s="106" t="s">
        <v>66</v>
      </c>
      <c r="I158" s="106">
        <v>201</v>
      </c>
      <c r="J158" s="106" t="s">
        <v>1766</v>
      </c>
      <c r="K158" s="106" t="s">
        <v>1318</v>
      </c>
      <c r="L158" s="106" t="s">
        <v>1328</v>
      </c>
      <c r="M158" s="106" t="s">
        <v>279</v>
      </c>
      <c r="N158" s="106">
        <v>23</v>
      </c>
      <c r="O158" s="106">
        <v>10</v>
      </c>
      <c r="T158" s="106" t="s">
        <v>1766</v>
      </c>
      <c r="V158" s="106">
        <v>25702.968000000001</v>
      </c>
      <c r="W158" s="106">
        <v>1</v>
      </c>
      <c r="X158" s="106">
        <v>1</v>
      </c>
      <c r="Y158" s="106">
        <v>1</v>
      </c>
      <c r="Z158" s="106" t="s">
        <v>1766</v>
      </c>
      <c r="AA158" s="106">
        <v>8600</v>
      </c>
      <c r="AB158" s="106">
        <v>8600</v>
      </c>
      <c r="AC158" s="106">
        <v>8600</v>
      </c>
      <c r="AD158" s="106">
        <v>0</v>
      </c>
      <c r="AE158" s="106">
        <v>25800</v>
      </c>
      <c r="AF158" s="106">
        <v>103200</v>
      </c>
      <c r="AH158" s="106">
        <v>450</v>
      </c>
      <c r="AI158" s="106">
        <v>0</v>
      </c>
      <c r="AJ158" s="106">
        <v>3</v>
      </c>
      <c r="AK158" s="106">
        <v>120</v>
      </c>
      <c r="AL158" s="106">
        <v>360</v>
      </c>
      <c r="AM158" s="106">
        <v>1</v>
      </c>
      <c r="AN158" s="106">
        <v>4</v>
      </c>
      <c r="AO158" s="106">
        <v>110</v>
      </c>
      <c r="AP158" s="106" t="s">
        <v>106</v>
      </c>
      <c r="AQ158" s="106" t="s">
        <v>273</v>
      </c>
      <c r="AR158" s="106">
        <v>1019</v>
      </c>
      <c r="AS158" s="106">
        <v>2050</v>
      </c>
      <c r="AT158" s="106">
        <v>8200</v>
      </c>
      <c r="AY158" s="108">
        <v>0</v>
      </c>
      <c r="BD158" s="106">
        <v>0</v>
      </c>
      <c r="BY158" s="112" t="s">
        <v>1766</v>
      </c>
      <c r="BZ158" s="112" t="s">
        <v>1766</v>
      </c>
      <c r="CA158" s="112" t="s">
        <v>1766</v>
      </c>
      <c r="CB158" s="112" t="s">
        <v>1766</v>
      </c>
      <c r="CC158" s="112" t="s">
        <v>1766</v>
      </c>
      <c r="CD158" s="112" t="s">
        <v>1766</v>
      </c>
      <c r="CE158" s="112" t="s">
        <v>1766</v>
      </c>
      <c r="CF158" s="112" t="s">
        <v>1766</v>
      </c>
      <c r="CG158" s="112" t="s">
        <v>1766</v>
      </c>
      <c r="CH158" s="112" t="s">
        <v>1766</v>
      </c>
      <c r="CI158" s="112" t="s">
        <v>1766</v>
      </c>
      <c r="CJ158" s="112" t="s">
        <v>1766</v>
      </c>
      <c r="CK158" s="112" t="s">
        <v>1766</v>
      </c>
      <c r="CL158" s="112" t="s">
        <v>1766</v>
      </c>
      <c r="CM158" s="112" t="s">
        <v>1766</v>
      </c>
      <c r="CN158" s="112" t="s">
        <v>1766</v>
      </c>
      <c r="CO158" s="112" t="s">
        <v>1766</v>
      </c>
    </row>
    <row r="159" spans="1:93">
      <c r="A159" s="106" t="s">
        <v>271</v>
      </c>
      <c r="B159" s="106">
        <v>8</v>
      </c>
      <c r="C159" s="106">
        <v>3</v>
      </c>
      <c r="D159" s="106">
        <v>10</v>
      </c>
      <c r="E159" s="106">
        <v>4</v>
      </c>
      <c r="F159" s="106">
        <v>0</v>
      </c>
      <c r="G159" s="106" t="s">
        <v>66</v>
      </c>
      <c r="I159" s="106">
        <v>201</v>
      </c>
      <c r="J159" s="106" t="s">
        <v>1766</v>
      </c>
      <c r="K159" s="106" t="s">
        <v>1318</v>
      </c>
      <c r="L159" s="106" t="s">
        <v>1328</v>
      </c>
      <c r="M159" s="106" t="s">
        <v>280</v>
      </c>
      <c r="N159" s="106">
        <v>23</v>
      </c>
      <c r="O159" s="106">
        <v>10</v>
      </c>
      <c r="T159" s="106" t="s">
        <v>1766</v>
      </c>
      <c r="V159" s="106">
        <v>44209.104959999997</v>
      </c>
      <c r="W159" s="106">
        <v>1</v>
      </c>
      <c r="X159" s="106">
        <v>1</v>
      </c>
      <c r="Y159" s="106">
        <v>1</v>
      </c>
      <c r="Z159" s="106" t="s">
        <v>1766</v>
      </c>
      <c r="AA159" s="106">
        <v>15000</v>
      </c>
      <c r="AB159" s="106">
        <v>15000</v>
      </c>
      <c r="AC159" s="106">
        <v>15000</v>
      </c>
      <c r="AD159" s="106">
        <v>0</v>
      </c>
      <c r="AE159" s="106">
        <v>45000</v>
      </c>
      <c r="AF159" s="106">
        <v>180000</v>
      </c>
      <c r="AH159" s="106">
        <v>720</v>
      </c>
      <c r="AI159" s="106">
        <v>0</v>
      </c>
      <c r="AJ159" s="106">
        <v>3</v>
      </c>
      <c r="AK159" s="106">
        <v>120</v>
      </c>
      <c r="AL159" s="106">
        <v>360</v>
      </c>
      <c r="AM159" s="106">
        <v>60</v>
      </c>
      <c r="AN159" s="106">
        <v>240</v>
      </c>
      <c r="AO159" s="106">
        <v>198</v>
      </c>
      <c r="AP159" s="106" t="s">
        <v>106</v>
      </c>
      <c r="AQ159" s="106" t="s">
        <v>273</v>
      </c>
      <c r="AR159" s="106">
        <v>1019</v>
      </c>
      <c r="AS159" s="106">
        <v>2400</v>
      </c>
      <c r="AT159" s="106">
        <v>9600</v>
      </c>
      <c r="AY159" s="108">
        <v>0</v>
      </c>
      <c r="BD159" s="106">
        <v>0</v>
      </c>
      <c r="BY159" s="112" t="s">
        <v>1766</v>
      </c>
      <c r="BZ159" s="112" t="s">
        <v>1766</v>
      </c>
      <c r="CA159" s="112" t="s">
        <v>1766</v>
      </c>
      <c r="CB159" s="112" t="s">
        <v>1766</v>
      </c>
      <c r="CC159" s="112" t="s">
        <v>1766</v>
      </c>
      <c r="CD159" s="112" t="s">
        <v>1766</v>
      </c>
      <c r="CE159" s="112" t="s">
        <v>1766</v>
      </c>
      <c r="CF159" s="112" t="s">
        <v>1766</v>
      </c>
      <c r="CG159" s="112" t="s">
        <v>1766</v>
      </c>
      <c r="CH159" s="112" t="s">
        <v>1766</v>
      </c>
      <c r="CI159" s="112" t="s">
        <v>1766</v>
      </c>
      <c r="CJ159" s="112" t="s">
        <v>1766</v>
      </c>
      <c r="CK159" s="112" t="s">
        <v>1766</v>
      </c>
      <c r="CL159" s="112" t="s">
        <v>1766</v>
      </c>
      <c r="CM159" s="112" t="s">
        <v>1766</v>
      </c>
      <c r="CN159" s="112" t="s">
        <v>1766</v>
      </c>
      <c r="CO159" s="112" t="s">
        <v>1766</v>
      </c>
    </row>
    <row r="160" spans="1:93">
      <c r="A160" s="106" t="s">
        <v>271</v>
      </c>
      <c r="B160" s="106">
        <v>9</v>
      </c>
      <c r="C160" s="106">
        <v>3</v>
      </c>
      <c r="D160" s="106">
        <v>10</v>
      </c>
      <c r="E160" s="106">
        <v>4</v>
      </c>
      <c r="F160" s="106">
        <v>0</v>
      </c>
      <c r="G160" s="106" t="s">
        <v>66</v>
      </c>
      <c r="I160" s="106">
        <v>201</v>
      </c>
      <c r="J160" s="106" t="s">
        <v>1766</v>
      </c>
      <c r="K160" s="106" t="s">
        <v>1318</v>
      </c>
      <c r="L160" s="106" t="s">
        <v>1328</v>
      </c>
      <c r="M160" s="106" t="s">
        <v>281</v>
      </c>
      <c r="N160" s="106">
        <v>23</v>
      </c>
      <c r="O160" s="106">
        <v>10</v>
      </c>
      <c r="T160" s="106" t="s">
        <v>1766</v>
      </c>
      <c r="V160" s="106">
        <v>72945.023184000005</v>
      </c>
      <c r="W160" s="106">
        <v>1</v>
      </c>
      <c r="X160" s="106">
        <v>1</v>
      </c>
      <c r="Y160" s="106">
        <v>1</v>
      </c>
      <c r="Z160" s="106" t="s">
        <v>1766</v>
      </c>
      <c r="AA160" s="106">
        <v>24000</v>
      </c>
      <c r="AB160" s="106">
        <v>24000</v>
      </c>
      <c r="AC160" s="106">
        <v>24000</v>
      </c>
      <c r="AD160" s="106">
        <v>0</v>
      </c>
      <c r="AE160" s="106">
        <v>72000</v>
      </c>
      <c r="AF160" s="106">
        <v>288000</v>
      </c>
      <c r="AH160" s="106">
        <v>1440</v>
      </c>
      <c r="AI160" s="106">
        <v>0</v>
      </c>
      <c r="AJ160" s="106">
        <v>4</v>
      </c>
      <c r="AK160" s="106">
        <v>120</v>
      </c>
      <c r="AL160" s="106">
        <v>480</v>
      </c>
      <c r="AM160" s="106">
        <v>660</v>
      </c>
      <c r="AN160" s="106">
        <v>2640</v>
      </c>
      <c r="AO160" s="106">
        <v>344</v>
      </c>
      <c r="AP160" s="106" t="s">
        <v>106</v>
      </c>
      <c r="AQ160" s="106" t="s">
        <v>273</v>
      </c>
      <c r="AR160" s="106">
        <v>1019</v>
      </c>
      <c r="AS160" s="106">
        <v>2750</v>
      </c>
      <c r="AT160" s="106">
        <v>11000</v>
      </c>
      <c r="AY160" s="108">
        <v>0</v>
      </c>
      <c r="BD160" s="106">
        <v>0</v>
      </c>
      <c r="BY160" s="112" t="s">
        <v>1766</v>
      </c>
      <c r="BZ160" s="112" t="s">
        <v>1766</v>
      </c>
      <c r="CA160" s="112" t="s">
        <v>1766</v>
      </c>
      <c r="CB160" s="112" t="s">
        <v>1766</v>
      </c>
      <c r="CC160" s="112" t="s">
        <v>1766</v>
      </c>
      <c r="CD160" s="112" t="s">
        <v>1766</v>
      </c>
      <c r="CE160" s="112" t="s">
        <v>1766</v>
      </c>
      <c r="CF160" s="112" t="s">
        <v>1766</v>
      </c>
      <c r="CG160" s="112" t="s">
        <v>1766</v>
      </c>
      <c r="CH160" s="112" t="s">
        <v>1766</v>
      </c>
      <c r="CI160" s="112" t="s">
        <v>1766</v>
      </c>
      <c r="CJ160" s="112" t="s">
        <v>1766</v>
      </c>
      <c r="CK160" s="112" t="s">
        <v>1766</v>
      </c>
      <c r="CL160" s="112" t="s">
        <v>1766</v>
      </c>
      <c r="CM160" s="112" t="s">
        <v>1766</v>
      </c>
      <c r="CN160" s="112" t="s">
        <v>1766</v>
      </c>
      <c r="CO160" s="112" t="s">
        <v>1766</v>
      </c>
    </row>
    <row r="161" spans="1:93">
      <c r="A161" s="106" t="s">
        <v>271</v>
      </c>
      <c r="B161" s="106">
        <v>10</v>
      </c>
      <c r="C161" s="106">
        <v>3</v>
      </c>
      <c r="D161" s="106">
        <v>10</v>
      </c>
      <c r="E161" s="106">
        <v>4</v>
      </c>
      <c r="F161" s="106">
        <v>1</v>
      </c>
      <c r="G161" s="106" t="s">
        <v>66</v>
      </c>
      <c r="I161" s="106">
        <v>201</v>
      </c>
      <c r="J161" s="106" t="s">
        <v>1766</v>
      </c>
      <c r="K161" s="106" t="s">
        <v>1318</v>
      </c>
      <c r="L161" s="106" t="s">
        <v>1328</v>
      </c>
      <c r="M161" s="106" t="s">
        <v>282</v>
      </c>
      <c r="N161" s="106">
        <v>23</v>
      </c>
      <c r="O161" s="106">
        <v>10</v>
      </c>
      <c r="T161" s="106" t="s">
        <v>1766</v>
      </c>
      <c r="V161" s="106">
        <v>115253.13663071999</v>
      </c>
      <c r="W161" s="106">
        <v>1</v>
      </c>
      <c r="X161" s="106">
        <v>1</v>
      </c>
      <c r="Y161" s="106">
        <v>1</v>
      </c>
      <c r="Z161" s="106">
        <v>0</v>
      </c>
      <c r="AA161" s="106">
        <v>38000</v>
      </c>
      <c r="AB161" s="106">
        <v>38000</v>
      </c>
      <c r="AC161" s="106">
        <v>38000</v>
      </c>
      <c r="AD161" s="106">
        <v>0</v>
      </c>
      <c r="AE161" s="106">
        <v>114000</v>
      </c>
      <c r="AF161" s="106">
        <v>456000</v>
      </c>
      <c r="AH161" s="106">
        <v>2160</v>
      </c>
      <c r="AI161" s="106">
        <v>0.01</v>
      </c>
      <c r="AJ161" s="106">
        <v>4</v>
      </c>
      <c r="AK161" s="106">
        <v>120</v>
      </c>
      <c r="AL161" s="106">
        <v>480</v>
      </c>
      <c r="AM161" s="106">
        <v>1358</v>
      </c>
      <c r="AN161" s="106">
        <v>5432</v>
      </c>
      <c r="AO161" s="106">
        <v>575</v>
      </c>
      <c r="AP161" s="106" t="s">
        <v>106</v>
      </c>
      <c r="AQ161" s="106" t="s">
        <v>273</v>
      </c>
      <c r="AR161" s="106">
        <v>1019</v>
      </c>
      <c r="AS161" s="106">
        <v>3100</v>
      </c>
      <c r="AT161" s="106">
        <v>12400</v>
      </c>
      <c r="AY161" s="108">
        <v>0</v>
      </c>
      <c r="BD161" s="106">
        <v>0</v>
      </c>
      <c r="BY161" s="112" t="s">
        <v>1766</v>
      </c>
      <c r="BZ161" s="112" t="s">
        <v>1766</v>
      </c>
      <c r="CA161" s="112" t="s">
        <v>1766</v>
      </c>
      <c r="CB161" s="112" t="s">
        <v>1766</v>
      </c>
      <c r="CC161" s="112" t="s">
        <v>1766</v>
      </c>
      <c r="CD161" s="112" t="s">
        <v>1766</v>
      </c>
      <c r="CE161" s="112" t="s">
        <v>1766</v>
      </c>
      <c r="CF161" s="112" t="s">
        <v>1766</v>
      </c>
      <c r="CG161" s="112" t="s">
        <v>1766</v>
      </c>
      <c r="CH161" s="112" t="s">
        <v>1766</v>
      </c>
      <c r="CI161" s="112" t="s">
        <v>1766</v>
      </c>
      <c r="CJ161" s="112" t="s">
        <v>1766</v>
      </c>
      <c r="CK161" s="112" t="s">
        <v>1766</v>
      </c>
      <c r="CL161" s="112" t="s">
        <v>1766</v>
      </c>
      <c r="CM161" s="112" t="s">
        <v>1766</v>
      </c>
      <c r="CN161" s="112" t="s">
        <v>1766</v>
      </c>
      <c r="CO161" s="112" t="s">
        <v>1766</v>
      </c>
    </row>
    <row r="162" spans="1:93">
      <c r="A162" s="106" t="s">
        <v>271</v>
      </c>
      <c r="B162" s="106">
        <v>11</v>
      </c>
      <c r="C162" s="106">
        <v>3</v>
      </c>
      <c r="D162" s="106">
        <v>10</v>
      </c>
      <c r="E162" s="106">
        <v>4</v>
      </c>
      <c r="F162" s="106">
        <v>1</v>
      </c>
      <c r="G162" s="106" t="s">
        <v>66</v>
      </c>
      <c r="I162" s="106">
        <v>201</v>
      </c>
      <c r="J162" s="106" t="s">
        <v>1766</v>
      </c>
      <c r="K162" s="106" t="s">
        <v>1318</v>
      </c>
      <c r="L162" s="106" t="s">
        <v>1329</v>
      </c>
      <c r="M162" s="106" t="s">
        <v>283</v>
      </c>
      <c r="N162" s="106">
        <v>23</v>
      </c>
      <c r="O162" s="106">
        <v>11</v>
      </c>
      <c r="T162" s="106" t="s">
        <v>1766</v>
      </c>
      <c r="V162" s="106">
        <v>174032.23631238699</v>
      </c>
      <c r="W162" s="106">
        <v>1</v>
      </c>
      <c r="X162" s="106">
        <v>1</v>
      </c>
      <c r="Y162" s="106">
        <v>1</v>
      </c>
      <c r="Z162" s="106">
        <v>0</v>
      </c>
      <c r="AA162" s="106">
        <v>58000</v>
      </c>
      <c r="AB162" s="106">
        <v>58000</v>
      </c>
      <c r="AC162" s="106">
        <v>58000</v>
      </c>
      <c r="AD162" s="106">
        <v>0</v>
      </c>
      <c r="AE162" s="106">
        <v>174000</v>
      </c>
      <c r="AF162" s="106">
        <v>696000</v>
      </c>
      <c r="AH162" s="106">
        <v>3240</v>
      </c>
      <c r="AI162" s="106">
        <v>0.02</v>
      </c>
      <c r="AJ162" s="106">
        <v>5</v>
      </c>
      <c r="AK162" s="106">
        <v>120</v>
      </c>
      <c r="AL162" s="106">
        <v>600</v>
      </c>
      <c r="AM162" s="106">
        <v>2276</v>
      </c>
      <c r="AN162" s="106">
        <v>9104</v>
      </c>
      <c r="AO162" s="106">
        <v>923</v>
      </c>
      <c r="AP162" s="106" t="s">
        <v>106</v>
      </c>
      <c r="AQ162" s="106" t="s">
        <v>273</v>
      </c>
      <c r="AR162" s="106">
        <v>1019</v>
      </c>
      <c r="AS162" s="106">
        <v>3600</v>
      </c>
      <c r="AT162" s="106">
        <v>14400</v>
      </c>
      <c r="AY162" s="108">
        <v>0</v>
      </c>
      <c r="BD162" s="106">
        <v>0</v>
      </c>
      <c r="BY162" s="112" t="s">
        <v>1766</v>
      </c>
      <c r="BZ162" s="112" t="s">
        <v>1766</v>
      </c>
      <c r="CA162" s="112" t="s">
        <v>1766</v>
      </c>
      <c r="CB162" s="112" t="s">
        <v>1766</v>
      </c>
      <c r="CC162" s="112" t="s">
        <v>1766</v>
      </c>
      <c r="CD162" s="112" t="s">
        <v>1766</v>
      </c>
      <c r="CE162" s="112" t="s">
        <v>1766</v>
      </c>
      <c r="CF162" s="112" t="s">
        <v>1766</v>
      </c>
      <c r="CG162" s="112" t="s">
        <v>1766</v>
      </c>
      <c r="CH162" s="112" t="s">
        <v>1766</v>
      </c>
      <c r="CI162" s="112" t="s">
        <v>1766</v>
      </c>
      <c r="CJ162" s="112" t="s">
        <v>1766</v>
      </c>
      <c r="CK162" s="112" t="s">
        <v>1766</v>
      </c>
      <c r="CL162" s="112" t="s">
        <v>1766</v>
      </c>
      <c r="CM162" s="112" t="s">
        <v>1766</v>
      </c>
      <c r="CN162" s="112" t="s">
        <v>1766</v>
      </c>
      <c r="CO162" s="112" t="s">
        <v>1766</v>
      </c>
    </row>
    <row r="163" spans="1:93">
      <c r="A163" s="106" t="s">
        <v>271</v>
      </c>
      <c r="B163" s="106">
        <v>12</v>
      </c>
      <c r="C163" s="106">
        <v>3</v>
      </c>
      <c r="D163" s="106">
        <v>10</v>
      </c>
      <c r="E163" s="106">
        <v>4</v>
      </c>
      <c r="F163" s="106">
        <v>1</v>
      </c>
      <c r="G163" s="106" t="s">
        <v>66</v>
      </c>
      <c r="I163" s="106">
        <v>201</v>
      </c>
      <c r="J163" s="106" t="s">
        <v>1766</v>
      </c>
      <c r="K163" s="106" t="s">
        <v>1318</v>
      </c>
      <c r="L163" s="106" t="s">
        <v>1330</v>
      </c>
      <c r="M163" s="106" t="s">
        <v>284</v>
      </c>
      <c r="N163" s="106">
        <v>23</v>
      </c>
      <c r="O163" s="106">
        <v>12</v>
      </c>
      <c r="T163" s="106" t="s">
        <v>1766</v>
      </c>
      <c r="V163" s="106">
        <v>250606.420289837</v>
      </c>
      <c r="W163" s="106">
        <v>1</v>
      </c>
      <c r="X163" s="106">
        <v>1</v>
      </c>
      <c r="Y163" s="106">
        <v>1</v>
      </c>
      <c r="Z163" s="106">
        <v>0</v>
      </c>
      <c r="AA163" s="106">
        <v>84000</v>
      </c>
      <c r="AB163" s="106">
        <v>84000</v>
      </c>
      <c r="AC163" s="106">
        <v>84000</v>
      </c>
      <c r="AD163" s="106">
        <v>0</v>
      </c>
      <c r="AE163" s="106">
        <v>252000</v>
      </c>
      <c r="AF163" s="106">
        <v>1008000</v>
      </c>
      <c r="AH163" s="106">
        <v>4320</v>
      </c>
      <c r="AI163" s="106">
        <v>0.03</v>
      </c>
      <c r="AJ163" s="106">
        <v>5</v>
      </c>
      <c r="AK163" s="106">
        <v>120</v>
      </c>
      <c r="AL163" s="106">
        <v>600</v>
      </c>
      <c r="AM163" s="106">
        <v>3294</v>
      </c>
      <c r="AN163" s="106">
        <v>13176</v>
      </c>
      <c r="AO163" s="106">
        <v>1424</v>
      </c>
      <c r="AP163" s="106" t="s">
        <v>106</v>
      </c>
      <c r="AQ163" s="106" t="s">
        <v>273</v>
      </c>
      <c r="AR163" s="106">
        <v>1019</v>
      </c>
      <c r="AS163" s="106">
        <v>4100</v>
      </c>
      <c r="AT163" s="106">
        <v>16400</v>
      </c>
      <c r="AY163" s="108">
        <v>0</v>
      </c>
      <c r="BD163" s="106">
        <v>0</v>
      </c>
      <c r="BY163" s="112" t="s">
        <v>1766</v>
      </c>
      <c r="BZ163" s="112" t="s">
        <v>1766</v>
      </c>
      <c r="CA163" s="112" t="s">
        <v>1766</v>
      </c>
      <c r="CB163" s="112" t="s">
        <v>1766</v>
      </c>
      <c r="CC163" s="112" t="s">
        <v>1766</v>
      </c>
      <c r="CD163" s="112" t="s">
        <v>1766</v>
      </c>
      <c r="CE163" s="112" t="s">
        <v>1766</v>
      </c>
      <c r="CF163" s="112" t="s">
        <v>1766</v>
      </c>
      <c r="CG163" s="112" t="s">
        <v>1766</v>
      </c>
      <c r="CH163" s="112" t="s">
        <v>1766</v>
      </c>
      <c r="CI163" s="112" t="s">
        <v>1766</v>
      </c>
      <c r="CJ163" s="112" t="s">
        <v>1766</v>
      </c>
      <c r="CK163" s="112" t="s">
        <v>1766</v>
      </c>
      <c r="CL163" s="112" t="s">
        <v>1766</v>
      </c>
      <c r="CM163" s="112" t="s">
        <v>1766</v>
      </c>
      <c r="CN163" s="112" t="s">
        <v>1766</v>
      </c>
      <c r="CO163" s="112" t="s">
        <v>1766</v>
      </c>
    </row>
    <row r="164" spans="1:93">
      <c r="A164" s="106" t="s">
        <v>271</v>
      </c>
      <c r="B164" s="106">
        <v>13</v>
      </c>
      <c r="C164" s="106">
        <v>3</v>
      </c>
      <c r="D164" s="106">
        <v>10</v>
      </c>
      <c r="E164" s="106">
        <v>4</v>
      </c>
      <c r="F164" s="106">
        <v>1</v>
      </c>
      <c r="G164" s="106" t="s">
        <v>66</v>
      </c>
      <c r="I164" s="106">
        <v>201</v>
      </c>
      <c r="J164" s="106" t="s">
        <v>1766</v>
      </c>
      <c r="K164" s="106" t="s">
        <v>1318</v>
      </c>
      <c r="L164" s="106" t="s">
        <v>1331</v>
      </c>
      <c r="M164" s="106" t="s">
        <v>285</v>
      </c>
      <c r="N164" s="106">
        <v>23</v>
      </c>
      <c r="O164" s="106">
        <v>13</v>
      </c>
      <c r="T164" s="106" t="s">
        <v>1766</v>
      </c>
      <c r="V164" s="106">
        <v>343330.79579707701</v>
      </c>
      <c r="W164" s="106">
        <v>1</v>
      </c>
      <c r="X164" s="106">
        <v>1</v>
      </c>
      <c r="Y164" s="106">
        <v>1</v>
      </c>
      <c r="Z164" s="106">
        <v>0</v>
      </c>
      <c r="AA164" s="106">
        <v>110000</v>
      </c>
      <c r="AB164" s="106">
        <v>110000</v>
      </c>
      <c r="AC164" s="106">
        <v>110000</v>
      </c>
      <c r="AD164" s="106">
        <v>0</v>
      </c>
      <c r="AE164" s="106">
        <v>330000</v>
      </c>
      <c r="AF164" s="106">
        <v>1320000</v>
      </c>
      <c r="AH164" s="106">
        <v>5760</v>
      </c>
      <c r="AI164" s="106">
        <v>0.04</v>
      </c>
      <c r="AJ164" s="106">
        <v>6</v>
      </c>
      <c r="AK164" s="106">
        <v>120</v>
      </c>
      <c r="AL164" s="106">
        <v>720</v>
      </c>
      <c r="AM164" s="106">
        <v>4518</v>
      </c>
      <c r="AN164" s="106">
        <v>18072</v>
      </c>
      <c r="AO164" s="106">
        <v>2111</v>
      </c>
      <c r="AP164" s="106" t="s">
        <v>106</v>
      </c>
      <c r="AQ164" s="106" t="s">
        <v>273</v>
      </c>
      <c r="AR164" s="106">
        <v>1019</v>
      </c>
      <c r="AS164" s="106">
        <v>4600</v>
      </c>
      <c r="AT164" s="106">
        <v>18400</v>
      </c>
      <c r="AY164" s="108">
        <v>0</v>
      </c>
      <c r="BD164" s="106">
        <v>0</v>
      </c>
      <c r="BY164" s="112" t="s">
        <v>1766</v>
      </c>
      <c r="BZ164" s="112" t="s">
        <v>1766</v>
      </c>
      <c r="CA164" s="112" t="s">
        <v>1766</v>
      </c>
      <c r="CB164" s="112" t="s">
        <v>1766</v>
      </c>
      <c r="CC164" s="112" t="s">
        <v>1766</v>
      </c>
      <c r="CD164" s="112" t="s">
        <v>1766</v>
      </c>
      <c r="CE164" s="112" t="s">
        <v>1766</v>
      </c>
      <c r="CF164" s="112" t="s">
        <v>1766</v>
      </c>
      <c r="CG164" s="112" t="s">
        <v>1766</v>
      </c>
      <c r="CH164" s="112" t="s">
        <v>1766</v>
      </c>
      <c r="CI164" s="112" t="s">
        <v>1766</v>
      </c>
      <c r="CJ164" s="112" t="s">
        <v>1766</v>
      </c>
      <c r="CK164" s="112" t="s">
        <v>1766</v>
      </c>
      <c r="CL164" s="112" t="s">
        <v>1766</v>
      </c>
      <c r="CM164" s="112" t="s">
        <v>1766</v>
      </c>
      <c r="CN164" s="112" t="s">
        <v>1766</v>
      </c>
      <c r="CO164" s="112" t="s">
        <v>1766</v>
      </c>
    </row>
    <row r="165" spans="1:93">
      <c r="A165" s="106" t="s">
        <v>271</v>
      </c>
      <c r="B165" s="106">
        <v>14</v>
      </c>
      <c r="C165" s="106">
        <v>3</v>
      </c>
      <c r="D165" s="106">
        <v>10</v>
      </c>
      <c r="E165" s="106">
        <v>4</v>
      </c>
      <c r="F165" s="106">
        <v>1</v>
      </c>
      <c r="G165" s="106" t="s">
        <v>66</v>
      </c>
      <c r="I165" s="106">
        <v>201</v>
      </c>
      <c r="J165" s="106" t="s">
        <v>1766</v>
      </c>
      <c r="K165" s="106" t="s">
        <v>1318</v>
      </c>
      <c r="L165" s="106" t="s">
        <v>1332</v>
      </c>
      <c r="M165" s="106" t="s">
        <v>286</v>
      </c>
      <c r="N165" s="106">
        <v>23</v>
      </c>
      <c r="O165" s="106">
        <v>14</v>
      </c>
      <c r="T165" s="106" t="s">
        <v>1766</v>
      </c>
      <c r="V165" s="106">
        <v>446330.03453620098</v>
      </c>
      <c r="W165" s="106">
        <v>1</v>
      </c>
      <c r="X165" s="106">
        <v>1</v>
      </c>
      <c r="Y165" s="106">
        <v>1</v>
      </c>
      <c r="Z165" s="106">
        <v>0</v>
      </c>
      <c r="AA165" s="106">
        <v>150000</v>
      </c>
      <c r="AB165" s="106">
        <v>150000</v>
      </c>
      <c r="AC165" s="106">
        <v>150000</v>
      </c>
      <c r="AD165" s="106">
        <v>0</v>
      </c>
      <c r="AE165" s="106">
        <v>450000</v>
      </c>
      <c r="AF165" s="106">
        <v>1800000</v>
      </c>
      <c r="AH165" s="106">
        <v>7200</v>
      </c>
      <c r="AI165" s="106">
        <v>0.05</v>
      </c>
      <c r="AJ165" s="106">
        <v>6</v>
      </c>
      <c r="AK165" s="106">
        <v>120</v>
      </c>
      <c r="AL165" s="106">
        <v>720</v>
      </c>
      <c r="AM165" s="106">
        <v>5837</v>
      </c>
      <c r="AN165" s="106">
        <v>23348</v>
      </c>
      <c r="AO165" s="106">
        <v>3003</v>
      </c>
      <c r="AP165" s="106" t="s">
        <v>106</v>
      </c>
      <c r="AQ165" s="106" t="s">
        <v>273</v>
      </c>
      <c r="AR165" s="106">
        <v>1019</v>
      </c>
      <c r="AS165" s="106">
        <v>5100</v>
      </c>
      <c r="AT165" s="106">
        <v>20400</v>
      </c>
      <c r="AY165" s="108">
        <v>0</v>
      </c>
      <c r="BD165" s="106">
        <v>0</v>
      </c>
      <c r="BY165" s="112" t="s">
        <v>1766</v>
      </c>
      <c r="BZ165" s="112" t="s">
        <v>1766</v>
      </c>
      <c r="CA165" s="112" t="s">
        <v>1766</v>
      </c>
      <c r="CB165" s="112" t="s">
        <v>1766</v>
      </c>
      <c r="CC165" s="112" t="s">
        <v>1766</v>
      </c>
      <c r="CD165" s="112" t="s">
        <v>1766</v>
      </c>
      <c r="CE165" s="112" t="s">
        <v>1766</v>
      </c>
      <c r="CF165" s="112" t="s">
        <v>1766</v>
      </c>
      <c r="CG165" s="112" t="s">
        <v>1766</v>
      </c>
      <c r="CH165" s="112" t="s">
        <v>1766</v>
      </c>
      <c r="CI165" s="112" t="s">
        <v>1766</v>
      </c>
      <c r="CJ165" s="112" t="s">
        <v>1766</v>
      </c>
      <c r="CK165" s="112" t="s">
        <v>1766</v>
      </c>
      <c r="CL165" s="112" t="s">
        <v>1766</v>
      </c>
      <c r="CM165" s="112" t="s">
        <v>1766</v>
      </c>
      <c r="CN165" s="112" t="s">
        <v>1766</v>
      </c>
      <c r="CO165" s="112" t="s">
        <v>1766</v>
      </c>
    </row>
    <row r="166" spans="1:93">
      <c r="A166" s="106" t="s">
        <v>271</v>
      </c>
      <c r="B166" s="106">
        <v>15</v>
      </c>
      <c r="C166" s="106">
        <v>3</v>
      </c>
      <c r="D166" s="106">
        <v>10</v>
      </c>
      <c r="E166" s="106">
        <v>4</v>
      </c>
      <c r="F166" s="106">
        <v>2</v>
      </c>
      <c r="G166" s="106" t="s">
        <v>66</v>
      </c>
      <c r="I166" s="106">
        <v>201</v>
      </c>
      <c r="J166" s="106" t="s">
        <v>1766</v>
      </c>
      <c r="K166" s="106" t="s">
        <v>1318</v>
      </c>
      <c r="L166" s="106" t="s">
        <v>1333</v>
      </c>
      <c r="M166" s="106" t="s">
        <v>287</v>
      </c>
      <c r="N166" s="106">
        <v>23</v>
      </c>
      <c r="O166" s="106">
        <v>15</v>
      </c>
      <c r="T166" s="106" t="s">
        <v>1766</v>
      </c>
      <c r="V166" s="106">
        <v>571302.44420633698</v>
      </c>
      <c r="W166" s="106">
        <v>1</v>
      </c>
      <c r="X166" s="106">
        <v>1</v>
      </c>
      <c r="Y166" s="106">
        <v>1</v>
      </c>
      <c r="Z166" s="106">
        <v>0</v>
      </c>
      <c r="AA166" s="106">
        <v>190000</v>
      </c>
      <c r="AB166" s="106">
        <v>190000</v>
      </c>
      <c r="AC166" s="106">
        <v>190000</v>
      </c>
      <c r="AD166" s="106">
        <v>0</v>
      </c>
      <c r="AE166" s="106">
        <v>570000</v>
      </c>
      <c r="AF166" s="106">
        <v>2280000</v>
      </c>
      <c r="AH166" s="106">
        <v>8640</v>
      </c>
      <c r="AI166" s="106">
        <v>0.05</v>
      </c>
      <c r="AJ166" s="106">
        <v>7</v>
      </c>
      <c r="AK166" s="106">
        <v>120</v>
      </c>
      <c r="AL166" s="106">
        <v>840</v>
      </c>
      <c r="AM166" s="106">
        <v>7088</v>
      </c>
      <c r="AN166" s="106">
        <v>28352</v>
      </c>
      <c r="AO166" s="106">
        <v>4146</v>
      </c>
      <c r="AP166" s="106" t="s">
        <v>106</v>
      </c>
      <c r="AQ166" s="106" t="s">
        <v>273</v>
      </c>
      <c r="AR166" s="106">
        <v>1019</v>
      </c>
      <c r="AS166" s="106">
        <v>5600</v>
      </c>
      <c r="AT166" s="106">
        <v>22400</v>
      </c>
      <c r="AY166" s="108">
        <v>0</v>
      </c>
      <c r="BD166" s="106">
        <v>0</v>
      </c>
      <c r="BY166" s="112" t="s">
        <v>1766</v>
      </c>
      <c r="BZ166" s="112" t="s">
        <v>1766</v>
      </c>
      <c r="CA166" s="112" t="s">
        <v>1766</v>
      </c>
      <c r="CB166" s="112" t="s">
        <v>1766</v>
      </c>
      <c r="CC166" s="112" t="s">
        <v>1766</v>
      </c>
      <c r="CD166" s="112" t="s">
        <v>1766</v>
      </c>
      <c r="CE166" s="112" t="s">
        <v>1766</v>
      </c>
      <c r="CF166" s="112" t="s">
        <v>1766</v>
      </c>
      <c r="CG166" s="112" t="s">
        <v>1766</v>
      </c>
      <c r="CH166" s="112" t="s">
        <v>1766</v>
      </c>
      <c r="CI166" s="112" t="s">
        <v>1766</v>
      </c>
      <c r="CJ166" s="112" t="s">
        <v>1766</v>
      </c>
      <c r="CK166" s="112" t="s">
        <v>1766</v>
      </c>
      <c r="CL166" s="112" t="s">
        <v>1766</v>
      </c>
      <c r="CM166" s="112" t="s">
        <v>1766</v>
      </c>
      <c r="CN166" s="112" t="s">
        <v>1766</v>
      </c>
      <c r="CO166" s="112" t="s">
        <v>1766</v>
      </c>
    </row>
    <row r="167" spans="1:93">
      <c r="A167" s="106" t="s">
        <v>271</v>
      </c>
      <c r="B167" s="106">
        <v>16</v>
      </c>
      <c r="C167" s="106">
        <v>3</v>
      </c>
      <c r="D167" s="106">
        <v>10</v>
      </c>
      <c r="E167" s="106">
        <v>4</v>
      </c>
      <c r="F167" s="106">
        <v>2</v>
      </c>
      <c r="G167" s="106" t="s">
        <v>66</v>
      </c>
      <c r="I167" s="106">
        <v>201</v>
      </c>
      <c r="J167" s="106" t="s">
        <v>1766</v>
      </c>
      <c r="K167" s="106" t="s">
        <v>1318</v>
      </c>
      <c r="L167" s="106" t="s">
        <v>1334</v>
      </c>
      <c r="M167" s="106" t="s">
        <v>288</v>
      </c>
      <c r="N167" s="106">
        <v>23</v>
      </c>
      <c r="O167" s="106">
        <v>16</v>
      </c>
      <c r="T167" s="106" t="s">
        <v>1766</v>
      </c>
      <c r="V167" s="106">
        <v>731267.12858411099</v>
      </c>
      <c r="W167" s="106">
        <v>1</v>
      </c>
      <c r="X167" s="106">
        <v>1</v>
      </c>
      <c r="Y167" s="106">
        <v>1</v>
      </c>
      <c r="Z167" s="106">
        <v>0</v>
      </c>
      <c r="AA167" s="106">
        <v>240000</v>
      </c>
      <c r="AB167" s="106">
        <v>240000</v>
      </c>
      <c r="AC167" s="106">
        <v>240000</v>
      </c>
      <c r="AD167" s="106">
        <v>0</v>
      </c>
      <c r="AE167" s="106">
        <v>720000</v>
      </c>
      <c r="AF167" s="106">
        <v>2880000</v>
      </c>
      <c r="AH167" s="106">
        <v>10800</v>
      </c>
      <c r="AI167" s="106">
        <v>0.05</v>
      </c>
      <c r="AJ167" s="106">
        <v>7</v>
      </c>
      <c r="AK167" s="106">
        <v>120</v>
      </c>
      <c r="AL167" s="106">
        <v>840</v>
      </c>
      <c r="AM167" s="106">
        <v>9145</v>
      </c>
      <c r="AN167" s="106">
        <v>36580</v>
      </c>
      <c r="AO167" s="106">
        <v>5609</v>
      </c>
      <c r="AP167" s="106" t="s">
        <v>106</v>
      </c>
      <c r="AQ167" s="106" t="s">
        <v>273</v>
      </c>
      <c r="AR167" s="106">
        <v>1019</v>
      </c>
      <c r="AS167" s="106">
        <v>6250</v>
      </c>
      <c r="AT167" s="106">
        <v>25000</v>
      </c>
      <c r="AY167" s="108">
        <v>0</v>
      </c>
      <c r="BD167" s="106">
        <v>0</v>
      </c>
      <c r="BY167" s="112" t="s">
        <v>1766</v>
      </c>
      <c r="BZ167" s="112" t="s">
        <v>1766</v>
      </c>
      <c r="CA167" s="112" t="s">
        <v>1766</v>
      </c>
      <c r="CB167" s="112" t="s">
        <v>1766</v>
      </c>
      <c r="CC167" s="112" t="s">
        <v>1766</v>
      </c>
      <c r="CD167" s="112" t="s">
        <v>1766</v>
      </c>
      <c r="CE167" s="112" t="s">
        <v>1766</v>
      </c>
      <c r="CF167" s="112" t="s">
        <v>1766</v>
      </c>
      <c r="CG167" s="112" t="s">
        <v>1766</v>
      </c>
      <c r="CH167" s="112" t="s">
        <v>1766</v>
      </c>
      <c r="CI167" s="112" t="s">
        <v>1766</v>
      </c>
      <c r="CJ167" s="112" t="s">
        <v>1766</v>
      </c>
      <c r="CK167" s="112" t="s">
        <v>1766</v>
      </c>
      <c r="CL167" s="112" t="s">
        <v>1766</v>
      </c>
      <c r="CM167" s="112" t="s">
        <v>1766</v>
      </c>
      <c r="CN167" s="112" t="s">
        <v>1766</v>
      </c>
      <c r="CO167" s="112" t="s">
        <v>1766</v>
      </c>
    </row>
    <row r="168" spans="1:93">
      <c r="A168" s="106" t="s">
        <v>271</v>
      </c>
      <c r="B168" s="106">
        <v>17</v>
      </c>
      <c r="C168" s="106">
        <v>3</v>
      </c>
      <c r="D168" s="106">
        <v>10</v>
      </c>
      <c r="E168" s="106">
        <v>4</v>
      </c>
      <c r="F168" s="106">
        <v>2</v>
      </c>
      <c r="G168" s="106" t="s">
        <v>66</v>
      </c>
      <c r="I168" s="106">
        <v>201</v>
      </c>
      <c r="J168" s="106" t="s">
        <v>1766</v>
      </c>
      <c r="K168" s="106" t="s">
        <v>1318</v>
      </c>
      <c r="L168" s="106" t="s">
        <v>1335</v>
      </c>
      <c r="M168" s="106" t="s">
        <v>289</v>
      </c>
      <c r="N168" s="106">
        <v>23</v>
      </c>
      <c r="O168" s="106">
        <v>17</v>
      </c>
      <c r="T168" s="106" t="s">
        <v>1766</v>
      </c>
      <c r="V168" s="106">
        <v>936021.92458766198</v>
      </c>
      <c r="W168" s="106">
        <v>1</v>
      </c>
      <c r="X168" s="106">
        <v>1</v>
      </c>
      <c r="Y168" s="106">
        <v>1</v>
      </c>
      <c r="Z168" s="106">
        <v>0</v>
      </c>
      <c r="AA168" s="106">
        <v>310000</v>
      </c>
      <c r="AB168" s="106">
        <v>310000</v>
      </c>
      <c r="AC168" s="106">
        <v>310000</v>
      </c>
      <c r="AD168" s="106">
        <v>0</v>
      </c>
      <c r="AE168" s="106">
        <v>930000</v>
      </c>
      <c r="AF168" s="106">
        <v>3720000</v>
      </c>
      <c r="AH168" s="106">
        <v>14400</v>
      </c>
      <c r="AI168" s="106">
        <v>0.05</v>
      </c>
      <c r="AJ168" s="106">
        <v>8</v>
      </c>
      <c r="AK168" s="106">
        <v>144</v>
      </c>
      <c r="AL168" s="106">
        <v>1152</v>
      </c>
      <c r="AM168" s="106">
        <v>12262</v>
      </c>
      <c r="AN168" s="106">
        <v>49048</v>
      </c>
      <c r="AO168" s="106">
        <v>7481</v>
      </c>
      <c r="AP168" s="106" t="s">
        <v>106</v>
      </c>
      <c r="AQ168" s="106" t="s">
        <v>273</v>
      </c>
      <c r="AR168" s="106">
        <v>1019</v>
      </c>
      <c r="AS168" s="106">
        <v>6900</v>
      </c>
      <c r="AT168" s="106">
        <v>27600</v>
      </c>
      <c r="AY168" s="108">
        <v>0</v>
      </c>
      <c r="BD168" s="106">
        <v>0</v>
      </c>
      <c r="BY168" s="112" t="s">
        <v>1766</v>
      </c>
      <c r="BZ168" s="112" t="s">
        <v>1766</v>
      </c>
      <c r="CA168" s="112" t="s">
        <v>1766</v>
      </c>
      <c r="CB168" s="112" t="s">
        <v>1766</v>
      </c>
      <c r="CC168" s="112" t="s">
        <v>1766</v>
      </c>
      <c r="CD168" s="112" t="s">
        <v>1766</v>
      </c>
      <c r="CE168" s="112" t="s">
        <v>1766</v>
      </c>
      <c r="CF168" s="112" t="s">
        <v>1766</v>
      </c>
      <c r="CG168" s="112" t="s">
        <v>1766</v>
      </c>
      <c r="CH168" s="112" t="s">
        <v>1766</v>
      </c>
      <c r="CI168" s="112" t="s">
        <v>1766</v>
      </c>
      <c r="CJ168" s="112" t="s">
        <v>1766</v>
      </c>
      <c r="CK168" s="112" t="s">
        <v>1766</v>
      </c>
      <c r="CL168" s="112" t="s">
        <v>1766</v>
      </c>
      <c r="CM168" s="112" t="s">
        <v>1766</v>
      </c>
      <c r="CN168" s="112" t="s">
        <v>1766</v>
      </c>
      <c r="CO168" s="112" t="s">
        <v>1766</v>
      </c>
    </row>
    <row r="169" spans="1:93">
      <c r="A169" s="106" t="s">
        <v>271</v>
      </c>
      <c r="B169" s="106">
        <v>18</v>
      </c>
      <c r="C169" s="106">
        <v>3</v>
      </c>
      <c r="D169" s="106">
        <v>10</v>
      </c>
      <c r="E169" s="106">
        <v>4</v>
      </c>
      <c r="F169" s="106">
        <v>2</v>
      </c>
      <c r="G169" s="106" t="s">
        <v>66</v>
      </c>
      <c r="I169" s="106">
        <v>201</v>
      </c>
      <c r="J169" s="106" t="s">
        <v>1766</v>
      </c>
      <c r="K169" s="106" t="s">
        <v>1318</v>
      </c>
      <c r="L169" s="106" t="s">
        <v>1336</v>
      </c>
      <c r="M169" s="106" t="s">
        <v>290</v>
      </c>
      <c r="N169" s="106">
        <v>23</v>
      </c>
      <c r="O169" s="106">
        <v>18</v>
      </c>
      <c r="T169" s="106" t="s">
        <v>1766</v>
      </c>
      <c r="V169" s="106">
        <v>1198108.06347221</v>
      </c>
      <c r="W169" s="106">
        <v>1</v>
      </c>
      <c r="X169" s="106">
        <v>1</v>
      </c>
      <c r="Y169" s="106">
        <v>1</v>
      </c>
      <c r="Z169" s="106">
        <v>0</v>
      </c>
      <c r="AA169" s="106">
        <v>400000</v>
      </c>
      <c r="AB169" s="106">
        <v>400000</v>
      </c>
      <c r="AC169" s="106">
        <v>400000</v>
      </c>
      <c r="AD169" s="106">
        <v>0</v>
      </c>
      <c r="AE169" s="106">
        <v>1200000</v>
      </c>
      <c r="AF169" s="106">
        <v>4800000</v>
      </c>
      <c r="AH169" s="106">
        <v>18720</v>
      </c>
      <c r="AI169" s="106">
        <v>6.5000000000000002E-2</v>
      </c>
      <c r="AJ169" s="106">
        <v>8</v>
      </c>
      <c r="AK169" s="106">
        <v>187.2</v>
      </c>
      <c r="AL169" s="106">
        <v>1497.6</v>
      </c>
      <c r="AM169" s="106">
        <v>15779</v>
      </c>
      <c r="AN169" s="106">
        <v>63116</v>
      </c>
      <c r="AO169" s="106">
        <v>9877</v>
      </c>
      <c r="AP169" s="106" t="s">
        <v>106</v>
      </c>
      <c r="AQ169" s="106" t="s">
        <v>273</v>
      </c>
      <c r="AR169" s="106">
        <v>1019</v>
      </c>
      <c r="AS169" s="106">
        <v>7600</v>
      </c>
      <c r="AT169" s="106">
        <v>30400</v>
      </c>
      <c r="AY169" s="108">
        <v>0</v>
      </c>
      <c r="BD169" s="106">
        <v>0</v>
      </c>
      <c r="BY169" s="112" t="s">
        <v>1766</v>
      </c>
      <c r="BZ169" s="112" t="s">
        <v>1766</v>
      </c>
      <c r="CA169" s="112" t="s">
        <v>1766</v>
      </c>
      <c r="CB169" s="112" t="s">
        <v>1766</v>
      </c>
      <c r="CC169" s="112" t="s">
        <v>1766</v>
      </c>
      <c r="CD169" s="112" t="s">
        <v>1766</v>
      </c>
      <c r="CE169" s="112" t="s">
        <v>1766</v>
      </c>
      <c r="CF169" s="112" t="s">
        <v>1766</v>
      </c>
      <c r="CG169" s="112" t="s">
        <v>1766</v>
      </c>
      <c r="CH169" s="112" t="s">
        <v>1766</v>
      </c>
      <c r="CI169" s="112" t="s">
        <v>1766</v>
      </c>
      <c r="CJ169" s="112" t="s">
        <v>1766</v>
      </c>
      <c r="CK169" s="112" t="s">
        <v>1766</v>
      </c>
      <c r="CL169" s="112" t="s">
        <v>1766</v>
      </c>
      <c r="CM169" s="112" t="s">
        <v>1766</v>
      </c>
      <c r="CN169" s="112" t="s">
        <v>1766</v>
      </c>
      <c r="CO169" s="112" t="s">
        <v>1766</v>
      </c>
    </row>
    <row r="170" spans="1:93">
      <c r="A170" s="106" t="s">
        <v>271</v>
      </c>
      <c r="B170" s="106">
        <v>19</v>
      </c>
      <c r="C170" s="106">
        <v>3</v>
      </c>
      <c r="D170" s="106">
        <v>10</v>
      </c>
      <c r="E170" s="106">
        <v>4</v>
      </c>
      <c r="F170" s="106">
        <v>2</v>
      </c>
      <c r="G170" s="106" t="s">
        <v>66</v>
      </c>
      <c r="I170" s="106">
        <v>201</v>
      </c>
      <c r="J170" s="106" t="s">
        <v>1766</v>
      </c>
      <c r="K170" s="106" t="s">
        <v>1318</v>
      </c>
      <c r="L170" s="106" t="s">
        <v>1337</v>
      </c>
      <c r="M170" s="106" t="s">
        <v>291</v>
      </c>
      <c r="N170" s="106">
        <v>23</v>
      </c>
      <c r="O170" s="106">
        <v>19</v>
      </c>
      <c r="T170" s="106" t="s">
        <v>1766</v>
      </c>
      <c r="V170" s="106">
        <v>1533578.32124443</v>
      </c>
      <c r="W170" s="106">
        <v>1</v>
      </c>
      <c r="X170" s="106">
        <v>1</v>
      </c>
      <c r="Y170" s="106">
        <v>1</v>
      </c>
      <c r="Z170" s="106">
        <v>0</v>
      </c>
      <c r="AA170" s="106">
        <v>510000</v>
      </c>
      <c r="AB170" s="106">
        <v>510000</v>
      </c>
      <c r="AC170" s="106">
        <v>510000</v>
      </c>
      <c r="AD170" s="106">
        <v>0</v>
      </c>
      <c r="AE170" s="106">
        <v>1530000</v>
      </c>
      <c r="AF170" s="106">
        <v>6120000</v>
      </c>
      <c r="AH170" s="106">
        <v>24480</v>
      </c>
      <c r="AI170" s="106">
        <v>0.08</v>
      </c>
      <c r="AJ170" s="106">
        <v>9</v>
      </c>
      <c r="AK170" s="106">
        <v>244.8</v>
      </c>
      <c r="AL170" s="106">
        <v>2203.1999999999998</v>
      </c>
      <c r="AM170" s="106">
        <v>20163</v>
      </c>
      <c r="AN170" s="106">
        <v>80652</v>
      </c>
      <c r="AO170" s="106">
        <v>12944</v>
      </c>
      <c r="AP170" s="106" t="s">
        <v>106</v>
      </c>
      <c r="AQ170" s="106" t="s">
        <v>273</v>
      </c>
      <c r="AR170" s="106">
        <v>1019</v>
      </c>
      <c r="AS170" s="106">
        <v>8300</v>
      </c>
      <c r="AT170" s="106">
        <v>33200</v>
      </c>
      <c r="AY170" s="108">
        <v>0</v>
      </c>
      <c r="BD170" s="106">
        <v>0</v>
      </c>
      <c r="BY170" s="112" t="s">
        <v>1766</v>
      </c>
      <c r="BZ170" s="112" t="s">
        <v>1766</v>
      </c>
      <c r="CA170" s="112" t="s">
        <v>1766</v>
      </c>
      <c r="CB170" s="112" t="s">
        <v>1766</v>
      </c>
      <c r="CC170" s="112" t="s">
        <v>1766</v>
      </c>
      <c r="CD170" s="112" t="s">
        <v>1766</v>
      </c>
      <c r="CE170" s="112" t="s">
        <v>1766</v>
      </c>
      <c r="CF170" s="112" t="s">
        <v>1766</v>
      </c>
      <c r="CG170" s="112" t="s">
        <v>1766</v>
      </c>
      <c r="CH170" s="112" t="s">
        <v>1766</v>
      </c>
      <c r="CI170" s="112" t="s">
        <v>1766</v>
      </c>
      <c r="CJ170" s="112" t="s">
        <v>1766</v>
      </c>
      <c r="CK170" s="112" t="s">
        <v>1766</v>
      </c>
      <c r="CL170" s="112" t="s">
        <v>1766</v>
      </c>
      <c r="CM170" s="112" t="s">
        <v>1766</v>
      </c>
      <c r="CN170" s="112" t="s">
        <v>1766</v>
      </c>
      <c r="CO170" s="112" t="s">
        <v>1766</v>
      </c>
    </row>
    <row r="171" spans="1:93">
      <c r="A171" s="106" t="s">
        <v>271</v>
      </c>
      <c r="B171" s="106">
        <v>20</v>
      </c>
      <c r="C171" s="106">
        <v>3</v>
      </c>
      <c r="D171" s="106">
        <v>10</v>
      </c>
      <c r="E171" s="106">
        <v>4</v>
      </c>
      <c r="F171" s="106">
        <v>3</v>
      </c>
      <c r="G171" s="106" t="s">
        <v>66</v>
      </c>
      <c r="I171" s="106">
        <v>201</v>
      </c>
      <c r="J171" s="106" t="s">
        <v>1766</v>
      </c>
      <c r="K171" s="106" t="s">
        <v>1318</v>
      </c>
      <c r="L171" s="106" t="s">
        <v>1338</v>
      </c>
      <c r="M171" s="106" t="s">
        <v>292</v>
      </c>
      <c r="N171" s="106">
        <v>23</v>
      </c>
      <c r="O171" s="106">
        <v>20</v>
      </c>
      <c r="T171" s="106" t="s">
        <v>1766</v>
      </c>
      <c r="V171" s="106">
        <v>1962980.2511928601</v>
      </c>
      <c r="W171" s="106">
        <v>1</v>
      </c>
      <c r="X171" s="106">
        <v>1</v>
      </c>
      <c r="Y171" s="106">
        <v>1</v>
      </c>
      <c r="Z171" s="106">
        <v>0</v>
      </c>
      <c r="AA171" s="106">
        <v>650000</v>
      </c>
      <c r="AB171" s="106">
        <v>650000</v>
      </c>
      <c r="AC171" s="106">
        <v>650000</v>
      </c>
      <c r="AD171" s="106">
        <v>0</v>
      </c>
      <c r="AE171" s="106">
        <v>1950000</v>
      </c>
      <c r="AF171" s="106">
        <v>7800000</v>
      </c>
      <c r="AH171" s="106">
        <v>34560</v>
      </c>
      <c r="AI171" s="106">
        <v>9.5000000000000001E-2</v>
      </c>
      <c r="AJ171" s="106">
        <v>9</v>
      </c>
      <c r="AK171" s="106">
        <v>345.6</v>
      </c>
      <c r="AL171" s="106">
        <v>3110.4</v>
      </c>
      <c r="AM171" s="106">
        <v>28151</v>
      </c>
      <c r="AN171" s="106">
        <v>112604</v>
      </c>
      <c r="AO171" s="106">
        <v>16870</v>
      </c>
      <c r="AP171" s="106" t="s">
        <v>106</v>
      </c>
      <c r="AQ171" s="106" t="s">
        <v>273</v>
      </c>
      <c r="AR171" s="106">
        <v>1019</v>
      </c>
      <c r="AS171" s="106">
        <v>9000</v>
      </c>
      <c r="AT171" s="106">
        <v>36000</v>
      </c>
      <c r="AY171" s="108">
        <v>0</v>
      </c>
      <c r="BD171" s="106">
        <v>0</v>
      </c>
      <c r="BY171" s="112" t="s">
        <v>1766</v>
      </c>
      <c r="BZ171" s="112" t="s">
        <v>1766</v>
      </c>
      <c r="CA171" s="112" t="s">
        <v>1766</v>
      </c>
      <c r="CB171" s="112" t="s">
        <v>1766</v>
      </c>
      <c r="CC171" s="112" t="s">
        <v>1766</v>
      </c>
      <c r="CD171" s="112" t="s">
        <v>1766</v>
      </c>
      <c r="CE171" s="112" t="s">
        <v>1766</v>
      </c>
      <c r="CF171" s="112" t="s">
        <v>1766</v>
      </c>
      <c r="CG171" s="112" t="s">
        <v>1766</v>
      </c>
      <c r="CH171" s="112" t="s">
        <v>1766</v>
      </c>
      <c r="CI171" s="112" t="s">
        <v>1766</v>
      </c>
      <c r="CJ171" s="112" t="s">
        <v>1766</v>
      </c>
      <c r="CK171" s="112" t="s">
        <v>1766</v>
      </c>
      <c r="CL171" s="112" t="s">
        <v>1766</v>
      </c>
      <c r="CM171" s="112" t="s">
        <v>1766</v>
      </c>
      <c r="CN171" s="112" t="s">
        <v>1766</v>
      </c>
      <c r="CO171" s="112" t="s">
        <v>1766</v>
      </c>
    </row>
    <row r="172" spans="1:93">
      <c r="A172" s="106" t="s">
        <v>271</v>
      </c>
      <c r="B172" s="106">
        <v>21</v>
      </c>
      <c r="C172" s="106">
        <v>3</v>
      </c>
      <c r="D172" s="106">
        <v>10</v>
      </c>
      <c r="E172" s="106">
        <v>4</v>
      </c>
      <c r="F172" s="106">
        <v>3</v>
      </c>
      <c r="G172" s="106" t="s">
        <v>66</v>
      </c>
      <c r="I172" s="106">
        <v>201</v>
      </c>
      <c r="J172" s="106" t="s">
        <v>1766</v>
      </c>
      <c r="K172" s="106" t="s">
        <v>1318</v>
      </c>
      <c r="L172" s="106" t="s">
        <v>1340</v>
      </c>
      <c r="M172" s="106" t="s">
        <v>1540</v>
      </c>
      <c r="N172" s="106">
        <v>23</v>
      </c>
      <c r="O172" s="106">
        <v>21</v>
      </c>
      <c r="T172" s="106" t="s">
        <v>1766</v>
      </c>
      <c r="V172" s="106">
        <v>2512614.72152687</v>
      </c>
      <c r="W172" s="106">
        <v>1</v>
      </c>
      <c r="X172" s="106">
        <v>1</v>
      </c>
      <c r="Y172" s="106">
        <v>1</v>
      </c>
      <c r="Z172" s="106">
        <v>0</v>
      </c>
      <c r="AA172" s="106">
        <v>840000</v>
      </c>
      <c r="AB172" s="106">
        <v>840000</v>
      </c>
      <c r="AC172" s="106">
        <v>840000</v>
      </c>
      <c r="AD172" s="106">
        <v>0</v>
      </c>
      <c r="AE172" s="106">
        <v>2520000</v>
      </c>
      <c r="AF172" s="106">
        <v>10080000</v>
      </c>
      <c r="AH172" s="106">
        <v>46080</v>
      </c>
      <c r="AI172" s="106">
        <v>0.11</v>
      </c>
      <c r="AJ172" s="106">
        <v>10</v>
      </c>
      <c r="AK172" s="106">
        <v>460.8</v>
      </c>
      <c r="AL172" s="106">
        <v>4608</v>
      </c>
      <c r="AM172" s="106">
        <v>36605</v>
      </c>
      <c r="AN172" s="106">
        <v>146420</v>
      </c>
      <c r="AO172" s="106">
        <v>21895</v>
      </c>
      <c r="AP172" s="106" t="s">
        <v>106</v>
      </c>
      <c r="AQ172" s="106" t="s">
        <v>273</v>
      </c>
      <c r="AR172" s="106">
        <v>1019</v>
      </c>
      <c r="AS172" s="106">
        <v>9800</v>
      </c>
      <c r="AT172" s="106">
        <v>39200</v>
      </c>
      <c r="AY172" s="108">
        <v>0</v>
      </c>
      <c r="BD172" s="106">
        <v>0</v>
      </c>
      <c r="BY172" s="112" t="s">
        <v>1766</v>
      </c>
      <c r="BZ172" s="112" t="s">
        <v>1766</v>
      </c>
      <c r="CA172" s="112" t="s">
        <v>1766</v>
      </c>
      <c r="CB172" s="112" t="s">
        <v>1766</v>
      </c>
      <c r="CC172" s="112" t="s">
        <v>1766</v>
      </c>
      <c r="CD172" s="112" t="s">
        <v>1766</v>
      </c>
      <c r="CE172" s="112" t="s">
        <v>1766</v>
      </c>
      <c r="CF172" s="112" t="s">
        <v>1766</v>
      </c>
      <c r="CG172" s="112" t="s">
        <v>1766</v>
      </c>
      <c r="CH172" s="112" t="s">
        <v>1766</v>
      </c>
      <c r="CI172" s="112" t="s">
        <v>1766</v>
      </c>
      <c r="CJ172" s="112" t="s">
        <v>1766</v>
      </c>
      <c r="CK172" s="112" t="s">
        <v>1766</v>
      </c>
      <c r="CL172" s="112" t="s">
        <v>1766</v>
      </c>
      <c r="CM172" s="112" t="s">
        <v>1766</v>
      </c>
      <c r="CN172" s="112" t="s">
        <v>1766</v>
      </c>
      <c r="CO172" s="112" t="s">
        <v>1766</v>
      </c>
    </row>
    <row r="173" spans="1:93">
      <c r="A173" s="106" t="s">
        <v>271</v>
      </c>
      <c r="B173" s="106">
        <v>22</v>
      </c>
      <c r="C173" s="106">
        <v>3</v>
      </c>
      <c r="D173" s="106">
        <v>10</v>
      </c>
      <c r="E173" s="106">
        <v>4</v>
      </c>
      <c r="F173" s="106">
        <v>3</v>
      </c>
      <c r="G173" s="106" t="s">
        <v>66</v>
      </c>
      <c r="I173" s="106">
        <v>201</v>
      </c>
      <c r="J173" s="106" t="s">
        <v>1766</v>
      </c>
      <c r="K173" s="106" t="s">
        <v>1318</v>
      </c>
      <c r="L173" s="106" t="s">
        <v>1342</v>
      </c>
      <c r="M173" s="106" t="s">
        <v>1541</v>
      </c>
      <c r="N173" s="106">
        <v>23</v>
      </c>
      <c r="O173" s="106">
        <v>22</v>
      </c>
      <c r="T173" s="106" t="s">
        <v>1766</v>
      </c>
      <c r="V173" s="106">
        <v>3216146.8435543901</v>
      </c>
      <c r="W173" s="106">
        <v>1</v>
      </c>
      <c r="X173" s="106">
        <v>1</v>
      </c>
      <c r="Y173" s="106">
        <v>1</v>
      </c>
      <c r="Z173" s="106">
        <v>0</v>
      </c>
      <c r="AA173" s="106">
        <v>1100000</v>
      </c>
      <c r="AB173" s="106">
        <v>1100000</v>
      </c>
      <c r="AC173" s="106">
        <v>1100000</v>
      </c>
      <c r="AD173" s="106">
        <v>0</v>
      </c>
      <c r="AE173" s="106">
        <v>3300000</v>
      </c>
      <c r="AF173" s="106">
        <v>13200000</v>
      </c>
      <c r="AH173" s="106">
        <v>60480</v>
      </c>
      <c r="AI173" s="106">
        <v>0.125</v>
      </c>
      <c r="AJ173" s="106">
        <v>10</v>
      </c>
      <c r="AK173" s="106">
        <v>604.79999999999995</v>
      </c>
      <c r="AL173" s="106">
        <v>6048</v>
      </c>
      <c r="AM173" s="106">
        <v>47412</v>
      </c>
      <c r="AN173" s="106">
        <v>189648</v>
      </c>
      <c r="AO173" s="106">
        <v>28328</v>
      </c>
      <c r="AP173" s="106" t="s">
        <v>106</v>
      </c>
      <c r="AQ173" s="106" t="s">
        <v>273</v>
      </c>
      <c r="AR173" s="106">
        <v>1019</v>
      </c>
      <c r="AS173" s="106">
        <v>10600</v>
      </c>
      <c r="AT173" s="106">
        <v>42400</v>
      </c>
      <c r="AY173" s="108">
        <v>0</v>
      </c>
      <c r="BD173" s="106">
        <v>0</v>
      </c>
      <c r="BY173" s="112" t="s">
        <v>1766</v>
      </c>
      <c r="BZ173" s="112" t="s">
        <v>1766</v>
      </c>
      <c r="CA173" s="112" t="s">
        <v>1766</v>
      </c>
      <c r="CB173" s="112" t="s">
        <v>1766</v>
      </c>
      <c r="CC173" s="112" t="s">
        <v>1766</v>
      </c>
      <c r="CD173" s="112" t="s">
        <v>1766</v>
      </c>
      <c r="CE173" s="112" t="s">
        <v>1766</v>
      </c>
      <c r="CF173" s="112" t="s">
        <v>1766</v>
      </c>
      <c r="CG173" s="112" t="s">
        <v>1766</v>
      </c>
      <c r="CH173" s="112" t="s">
        <v>1766</v>
      </c>
      <c r="CI173" s="112" t="s">
        <v>1766</v>
      </c>
      <c r="CJ173" s="112" t="s">
        <v>1766</v>
      </c>
      <c r="CK173" s="112" t="s">
        <v>1766</v>
      </c>
      <c r="CL173" s="112" t="s">
        <v>1766</v>
      </c>
      <c r="CM173" s="112" t="s">
        <v>1766</v>
      </c>
      <c r="CN173" s="112" t="s">
        <v>1766</v>
      </c>
      <c r="CO173" s="112" t="s">
        <v>1766</v>
      </c>
    </row>
    <row r="174" spans="1:93">
      <c r="A174" s="106" t="s">
        <v>271</v>
      </c>
      <c r="B174" s="106">
        <v>23</v>
      </c>
      <c r="C174" s="106">
        <v>3</v>
      </c>
      <c r="D174" s="106">
        <v>10</v>
      </c>
      <c r="E174" s="106">
        <v>4</v>
      </c>
      <c r="F174" s="106">
        <v>3</v>
      </c>
      <c r="G174" s="106" t="s">
        <v>66</v>
      </c>
      <c r="I174" s="106">
        <v>201</v>
      </c>
      <c r="J174" s="106" t="s">
        <v>1766</v>
      </c>
      <c r="K174" s="106" t="s">
        <v>1318</v>
      </c>
      <c r="L174" s="106" t="s">
        <v>1344</v>
      </c>
      <c r="M174" s="106" t="s">
        <v>1542</v>
      </c>
      <c r="O174" s="106">
        <v>23</v>
      </c>
      <c r="T174" s="106" t="s">
        <v>1766</v>
      </c>
      <c r="V174" s="106">
        <v>4116667.9597496199</v>
      </c>
      <c r="W174" s="106">
        <v>1</v>
      </c>
      <c r="X174" s="106">
        <v>1</v>
      </c>
      <c r="Y174" s="106">
        <v>1</v>
      </c>
      <c r="Z174" s="106">
        <v>0</v>
      </c>
      <c r="AA174" s="106">
        <v>1400000</v>
      </c>
      <c r="AB174" s="106">
        <v>1400000</v>
      </c>
      <c r="AC174" s="106">
        <v>1400000</v>
      </c>
      <c r="AD174" s="106">
        <v>0</v>
      </c>
      <c r="AE174" s="106">
        <v>4200000</v>
      </c>
      <c r="AF174" s="106">
        <v>16800000</v>
      </c>
      <c r="AH174" s="106">
        <v>77760</v>
      </c>
      <c r="AI174" s="106">
        <v>0.125</v>
      </c>
      <c r="AJ174" s="106">
        <v>11</v>
      </c>
      <c r="AK174" s="106">
        <v>777.6</v>
      </c>
      <c r="AL174" s="106">
        <v>8553.6</v>
      </c>
      <c r="AM174" s="106">
        <v>60266</v>
      </c>
      <c r="AN174" s="106">
        <v>241064</v>
      </c>
      <c r="AO174" s="106">
        <v>36561</v>
      </c>
      <c r="AP174" s="106" t="s">
        <v>106</v>
      </c>
      <c r="AQ174" s="106" t="s">
        <v>273</v>
      </c>
      <c r="AR174" s="106">
        <v>1019</v>
      </c>
      <c r="AS174" s="106">
        <v>11400</v>
      </c>
      <c r="AT174" s="106">
        <v>45600</v>
      </c>
      <c r="AY174" s="108">
        <v>0</v>
      </c>
      <c r="BD174" s="106">
        <v>0</v>
      </c>
      <c r="BY174" s="112" t="s">
        <v>1766</v>
      </c>
      <c r="BZ174" s="112" t="s">
        <v>1766</v>
      </c>
      <c r="CA174" s="112" t="s">
        <v>1766</v>
      </c>
      <c r="CB174" s="112" t="s">
        <v>1766</v>
      </c>
      <c r="CC174" s="112" t="s">
        <v>1766</v>
      </c>
      <c r="CD174" s="112" t="s">
        <v>1766</v>
      </c>
      <c r="CE174" s="112" t="s">
        <v>1766</v>
      </c>
      <c r="CF174" s="112" t="s">
        <v>1766</v>
      </c>
      <c r="CG174" s="112" t="s">
        <v>1766</v>
      </c>
      <c r="CH174" s="112" t="s">
        <v>1766</v>
      </c>
      <c r="CI174" s="112" t="s">
        <v>1766</v>
      </c>
      <c r="CJ174" s="112" t="s">
        <v>1766</v>
      </c>
      <c r="CK174" s="112" t="s">
        <v>1766</v>
      </c>
      <c r="CL174" s="112" t="s">
        <v>1766</v>
      </c>
      <c r="CM174" s="112" t="s">
        <v>1766</v>
      </c>
      <c r="CN174" s="112" t="s">
        <v>1766</v>
      </c>
      <c r="CO174" s="112" t="s">
        <v>1766</v>
      </c>
    </row>
    <row r="175" spans="1:93">
      <c r="A175" s="106" t="s">
        <v>271</v>
      </c>
      <c r="B175" s="106">
        <v>24</v>
      </c>
      <c r="C175" s="106">
        <v>3</v>
      </c>
      <c r="D175" s="106">
        <v>10</v>
      </c>
      <c r="E175" s="106">
        <v>4</v>
      </c>
      <c r="F175" s="106">
        <v>4</v>
      </c>
      <c r="G175" s="106" t="s">
        <v>66</v>
      </c>
      <c r="I175" s="106">
        <v>201</v>
      </c>
      <c r="J175" s="106" t="s">
        <v>1766</v>
      </c>
      <c r="K175" s="106" t="s">
        <v>1318</v>
      </c>
      <c r="L175" s="106" t="s">
        <v>1346</v>
      </c>
      <c r="M175" s="106" t="s">
        <v>1543</v>
      </c>
      <c r="O175" s="106">
        <v>24</v>
      </c>
      <c r="T175" s="106" t="s">
        <v>1766</v>
      </c>
      <c r="V175" s="106">
        <v>5269334.9884795099</v>
      </c>
      <c r="W175" s="106">
        <v>1</v>
      </c>
      <c r="X175" s="106">
        <v>1</v>
      </c>
      <c r="Y175" s="106">
        <v>1</v>
      </c>
      <c r="Z175" s="106">
        <v>0</v>
      </c>
      <c r="AA175" s="106">
        <v>1800000</v>
      </c>
      <c r="AB175" s="106">
        <v>1800000</v>
      </c>
      <c r="AC175" s="106">
        <v>1800000</v>
      </c>
      <c r="AD175" s="106">
        <v>0</v>
      </c>
      <c r="AE175" s="106">
        <v>5400000</v>
      </c>
      <c r="AF175" s="106">
        <v>21600000</v>
      </c>
      <c r="AH175" s="106">
        <v>99360</v>
      </c>
      <c r="AI175" s="106">
        <v>0.125</v>
      </c>
      <c r="AJ175" s="106">
        <v>12</v>
      </c>
      <c r="AK175" s="106">
        <v>993.6</v>
      </c>
      <c r="AL175" s="106">
        <v>11923.2</v>
      </c>
      <c r="AM175" s="106">
        <v>76096</v>
      </c>
      <c r="AN175" s="106">
        <v>304384</v>
      </c>
      <c r="AO175" s="106">
        <v>47100</v>
      </c>
      <c r="AP175" s="106" t="s">
        <v>106</v>
      </c>
      <c r="AQ175" s="106" t="s">
        <v>273</v>
      </c>
      <c r="AR175" s="106">
        <v>1019</v>
      </c>
      <c r="AS175" s="106">
        <v>12200</v>
      </c>
      <c r="AT175" s="106">
        <v>48800</v>
      </c>
      <c r="AY175" s="108">
        <v>0</v>
      </c>
      <c r="BD175" s="106">
        <v>0</v>
      </c>
      <c r="BY175" s="112" t="s">
        <v>1766</v>
      </c>
      <c r="BZ175" s="112" t="s">
        <v>1766</v>
      </c>
      <c r="CA175" s="112" t="s">
        <v>1766</v>
      </c>
      <c r="CB175" s="112" t="s">
        <v>1766</v>
      </c>
      <c r="CC175" s="112" t="s">
        <v>1766</v>
      </c>
      <c r="CD175" s="112" t="s">
        <v>1766</v>
      </c>
      <c r="CE175" s="112" t="s">
        <v>1766</v>
      </c>
      <c r="CF175" s="112" t="s">
        <v>1766</v>
      </c>
      <c r="CG175" s="112" t="s">
        <v>1766</v>
      </c>
      <c r="CH175" s="112" t="s">
        <v>1766</v>
      </c>
      <c r="CI175" s="112" t="s">
        <v>1766</v>
      </c>
      <c r="CJ175" s="112" t="s">
        <v>1766</v>
      </c>
      <c r="CK175" s="112" t="s">
        <v>1766</v>
      </c>
      <c r="CL175" s="112" t="s">
        <v>1766</v>
      </c>
      <c r="CM175" s="112" t="s">
        <v>1766</v>
      </c>
      <c r="CN175" s="112" t="s">
        <v>1766</v>
      </c>
      <c r="CO175" s="112" t="s">
        <v>1766</v>
      </c>
    </row>
    <row r="176" spans="1:93">
      <c r="A176" s="106" t="s">
        <v>271</v>
      </c>
      <c r="B176" s="106">
        <v>25</v>
      </c>
      <c r="C176" s="106">
        <v>3</v>
      </c>
      <c r="D176" s="106">
        <v>10</v>
      </c>
      <c r="E176" s="106">
        <v>4</v>
      </c>
      <c r="F176" s="106">
        <v>4</v>
      </c>
      <c r="G176" s="106" t="s">
        <v>66</v>
      </c>
      <c r="I176" s="106">
        <v>201</v>
      </c>
      <c r="J176" s="106" t="s">
        <v>1766</v>
      </c>
      <c r="K176" s="106" t="s">
        <v>1318</v>
      </c>
      <c r="L176" s="106" t="s">
        <v>1348</v>
      </c>
      <c r="M176" s="106" t="s">
        <v>1544</v>
      </c>
      <c r="O176" s="106">
        <v>25</v>
      </c>
      <c r="T176" s="106" t="s">
        <v>1766</v>
      </c>
      <c r="V176" s="106">
        <v>6744748.78525378</v>
      </c>
      <c r="W176" s="106">
        <v>1</v>
      </c>
      <c r="X176" s="106">
        <v>1</v>
      </c>
      <c r="Y176" s="106">
        <v>1</v>
      </c>
      <c r="Z176" s="106">
        <v>0</v>
      </c>
      <c r="AA176" s="106">
        <v>2200000</v>
      </c>
      <c r="AB176" s="106">
        <v>2200000</v>
      </c>
      <c r="AC176" s="106">
        <v>2200000</v>
      </c>
      <c r="AD176" s="106">
        <v>0</v>
      </c>
      <c r="AE176" s="106">
        <v>6600000</v>
      </c>
      <c r="AF176" s="106">
        <v>26400000</v>
      </c>
      <c r="AH176" s="106">
        <v>125280</v>
      </c>
      <c r="AI176" s="106">
        <v>0.125</v>
      </c>
      <c r="AJ176" s="106">
        <v>13</v>
      </c>
      <c r="AK176" s="106">
        <v>1252.8</v>
      </c>
      <c r="AL176" s="106">
        <v>16286.4</v>
      </c>
      <c r="AM176" s="106">
        <v>94773</v>
      </c>
      <c r="AN176" s="106">
        <v>379092</v>
      </c>
      <c r="AO176" s="106">
        <v>60589</v>
      </c>
      <c r="AP176" s="106" t="s">
        <v>106</v>
      </c>
      <c r="AQ176" s="106" t="s">
        <v>273</v>
      </c>
      <c r="AR176" s="106">
        <v>1019</v>
      </c>
      <c r="AS176" s="106">
        <v>13000</v>
      </c>
      <c r="AT176" s="106">
        <v>52000</v>
      </c>
      <c r="AY176" s="108">
        <v>0</v>
      </c>
      <c r="BD176" s="106">
        <v>0</v>
      </c>
      <c r="BY176" s="112" t="s">
        <v>1766</v>
      </c>
      <c r="BZ176" s="112" t="s">
        <v>1766</v>
      </c>
      <c r="CA176" s="112" t="s">
        <v>1766</v>
      </c>
      <c r="CB176" s="112" t="s">
        <v>1766</v>
      </c>
      <c r="CC176" s="112" t="s">
        <v>1766</v>
      </c>
      <c r="CD176" s="112" t="s">
        <v>1766</v>
      </c>
      <c r="CE176" s="112" t="s">
        <v>1766</v>
      </c>
      <c r="CF176" s="112" t="s">
        <v>1766</v>
      </c>
      <c r="CG176" s="112" t="s">
        <v>1766</v>
      </c>
      <c r="CH176" s="112" t="s">
        <v>1766</v>
      </c>
      <c r="CI176" s="112" t="s">
        <v>1766</v>
      </c>
      <c r="CJ176" s="112" t="s">
        <v>1766</v>
      </c>
      <c r="CK176" s="112" t="s">
        <v>1766</v>
      </c>
      <c r="CL176" s="112" t="s">
        <v>1766</v>
      </c>
      <c r="CM176" s="112" t="s">
        <v>1766</v>
      </c>
      <c r="CN176" s="112" t="s">
        <v>1766</v>
      </c>
      <c r="CO176" s="112" t="s">
        <v>1766</v>
      </c>
    </row>
    <row r="177" spans="1:93">
      <c r="A177" s="106" t="s">
        <v>271</v>
      </c>
      <c r="B177" s="106">
        <v>26</v>
      </c>
      <c r="C177" s="106">
        <v>3</v>
      </c>
      <c r="D177" s="106">
        <v>10</v>
      </c>
      <c r="E177" s="106">
        <v>4</v>
      </c>
      <c r="F177" s="106">
        <v>4</v>
      </c>
      <c r="G177" s="106" t="s">
        <v>66</v>
      </c>
      <c r="I177" s="106">
        <v>201</v>
      </c>
      <c r="J177" s="106" t="s">
        <v>1766</v>
      </c>
      <c r="K177" s="106" t="s">
        <v>1318</v>
      </c>
      <c r="L177" s="106" t="s">
        <v>1350</v>
      </c>
      <c r="M177" s="106" t="s">
        <v>1545</v>
      </c>
      <c r="O177" s="106">
        <v>26</v>
      </c>
      <c r="T177" s="106" t="s">
        <v>1766</v>
      </c>
      <c r="V177" s="106">
        <v>8633278.4451248292</v>
      </c>
      <c r="W177" s="106">
        <v>1</v>
      </c>
      <c r="X177" s="106">
        <v>1</v>
      </c>
      <c r="Y177" s="106">
        <v>1</v>
      </c>
      <c r="Z177" s="106">
        <v>0</v>
      </c>
      <c r="AA177" s="106">
        <v>2900000</v>
      </c>
      <c r="AB177" s="106">
        <v>2900000</v>
      </c>
      <c r="AC177" s="106">
        <v>2900000</v>
      </c>
      <c r="AD177" s="106">
        <v>0</v>
      </c>
      <c r="AE177" s="106">
        <v>8700000</v>
      </c>
      <c r="AF177" s="106">
        <v>34800000</v>
      </c>
      <c r="AH177" s="106">
        <v>155520</v>
      </c>
      <c r="AI177" s="106">
        <v>0.14499999999999999</v>
      </c>
      <c r="AJ177" s="106">
        <v>14</v>
      </c>
      <c r="AK177" s="106">
        <v>1555.2</v>
      </c>
      <c r="AL177" s="106">
        <v>21772.799999999999</v>
      </c>
      <c r="AM177" s="106">
        <v>113752</v>
      </c>
      <c r="AN177" s="106">
        <v>455008</v>
      </c>
      <c r="AO177" s="106">
        <v>77856</v>
      </c>
      <c r="AP177" s="106" t="s">
        <v>106</v>
      </c>
      <c r="AQ177" s="106" t="s">
        <v>273</v>
      </c>
      <c r="AR177" s="106">
        <v>1019</v>
      </c>
      <c r="AS177" s="106">
        <v>14000</v>
      </c>
      <c r="AT177" s="106">
        <v>56000</v>
      </c>
      <c r="AY177" s="108">
        <v>0</v>
      </c>
      <c r="BD177" s="106">
        <v>0</v>
      </c>
      <c r="BY177" s="112" t="s">
        <v>1766</v>
      </c>
      <c r="BZ177" s="112" t="s">
        <v>1766</v>
      </c>
      <c r="CA177" s="112" t="s">
        <v>1766</v>
      </c>
      <c r="CB177" s="112" t="s">
        <v>1766</v>
      </c>
      <c r="CC177" s="112" t="s">
        <v>1766</v>
      </c>
      <c r="CD177" s="112" t="s">
        <v>1766</v>
      </c>
      <c r="CE177" s="112" t="s">
        <v>1766</v>
      </c>
      <c r="CF177" s="112" t="s">
        <v>1766</v>
      </c>
      <c r="CG177" s="112" t="s">
        <v>1766</v>
      </c>
      <c r="CH177" s="112" t="s">
        <v>1766</v>
      </c>
      <c r="CI177" s="112" t="s">
        <v>1766</v>
      </c>
      <c r="CJ177" s="112" t="s">
        <v>1766</v>
      </c>
      <c r="CK177" s="112" t="s">
        <v>1766</v>
      </c>
      <c r="CL177" s="112" t="s">
        <v>1766</v>
      </c>
      <c r="CM177" s="112" t="s">
        <v>1766</v>
      </c>
      <c r="CN177" s="112" t="s">
        <v>1766</v>
      </c>
      <c r="CO177" s="112" t="s">
        <v>1766</v>
      </c>
    </row>
    <row r="178" spans="1:93">
      <c r="A178" s="106" t="s">
        <v>271</v>
      </c>
      <c r="B178" s="106">
        <v>27</v>
      </c>
      <c r="C178" s="106">
        <v>3</v>
      </c>
      <c r="D178" s="106">
        <v>10</v>
      </c>
      <c r="E178" s="106">
        <v>4</v>
      </c>
      <c r="F178" s="106">
        <v>4</v>
      </c>
      <c r="G178" s="106" t="s">
        <v>66</v>
      </c>
      <c r="I178" s="106">
        <v>201</v>
      </c>
      <c r="J178" s="106" t="s">
        <v>1766</v>
      </c>
      <c r="K178" s="106" t="s">
        <v>1318</v>
      </c>
      <c r="L178" s="106" t="s">
        <v>1352</v>
      </c>
      <c r="M178" s="106" t="s">
        <v>1546</v>
      </c>
      <c r="O178" s="106">
        <v>27</v>
      </c>
      <c r="T178" s="106" t="s">
        <v>1766</v>
      </c>
      <c r="V178" s="106">
        <v>11050596.409759801</v>
      </c>
      <c r="W178" s="106">
        <v>1</v>
      </c>
      <c r="X178" s="106">
        <v>1</v>
      </c>
      <c r="Y178" s="106">
        <v>1</v>
      </c>
      <c r="Z178" s="106">
        <v>0</v>
      </c>
      <c r="AA178" s="106">
        <v>3700000</v>
      </c>
      <c r="AB178" s="106">
        <v>3700000</v>
      </c>
      <c r="AC178" s="106">
        <v>3700000</v>
      </c>
      <c r="AD178" s="106">
        <v>0</v>
      </c>
      <c r="AE178" s="106">
        <v>11100000</v>
      </c>
      <c r="AF178" s="106">
        <v>44400000</v>
      </c>
      <c r="AH178" s="106">
        <v>190080</v>
      </c>
      <c r="AI178" s="106">
        <v>0.16500000000000001</v>
      </c>
      <c r="AJ178" s="106">
        <v>15</v>
      </c>
      <c r="AK178" s="106">
        <v>1900.8</v>
      </c>
      <c r="AL178" s="106">
        <v>28512</v>
      </c>
      <c r="AM178" s="106">
        <v>134346</v>
      </c>
      <c r="AN178" s="106">
        <v>537384</v>
      </c>
      <c r="AO178" s="106">
        <v>99957</v>
      </c>
      <c r="AP178" s="106" t="s">
        <v>106</v>
      </c>
      <c r="AQ178" s="106" t="s">
        <v>273</v>
      </c>
      <c r="AR178" s="106">
        <v>1019</v>
      </c>
      <c r="AS178" s="106">
        <v>15200</v>
      </c>
      <c r="AT178" s="106">
        <v>60800</v>
      </c>
      <c r="AY178" s="108">
        <v>0</v>
      </c>
      <c r="BD178" s="106">
        <v>0</v>
      </c>
      <c r="BY178" s="112" t="s">
        <v>1766</v>
      </c>
      <c r="BZ178" s="112" t="s">
        <v>1766</v>
      </c>
      <c r="CA178" s="112" t="s">
        <v>1766</v>
      </c>
      <c r="CB178" s="112" t="s">
        <v>1766</v>
      </c>
      <c r="CC178" s="112" t="s">
        <v>1766</v>
      </c>
      <c r="CD178" s="112" t="s">
        <v>1766</v>
      </c>
      <c r="CE178" s="112" t="s">
        <v>1766</v>
      </c>
      <c r="CF178" s="112" t="s">
        <v>1766</v>
      </c>
      <c r="CG178" s="112" t="s">
        <v>1766</v>
      </c>
      <c r="CH178" s="112" t="s">
        <v>1766</v>
      </c>
      <c r="CI178" s="112" t="s">
        <v>1766</v>
      </c>
      <c r="CJ178" s="112" t="s">
        <v>1766</v>
      </c>
      <c r="CK178" s="112" t="s">
        <v>1766</v>
      </c>
      <c r="CL178" s="112" t="s">
        <v>1766</v>
      </c>
      <c r="CM178" s="112" t="s">
        <v>1766</v>
      </c>
      <c r="CN178" s="112" t="s">
        <v>1766</v>
      </c>
      <c r="CO178" s="112" t="s">
        <v>1766</v>
      </c>
    </row>
    <row r="179" spans="1:93">
      <c r="A179" s="106" t="s">
        <v>271</v>
      </c>
      <c r="B179" s="106">
        <v>28</v>
      </c>
      <c r="C179" s="106">
        <v>3</v>
      </c>
      <c r="D179" s="106">
        <v>10</v>
      </c>
      <c r="E179" s="106">
        <v>4</v>
      </c>
      <c r="F179" s="106">
        <v>4</v>
      </c>
      <c r="G179" s="106" t="s">
        <v>66</v>
      </c>
      <c r="I179" s="106">
        <v>201</v>
      </c>
      <c r="J179" s="106" t="s">
        <v>1766</v>
      </c>
      <c r="K179" s="106" t="s">
        <v>1318</v>
      </c>
      <c r="L179" s="106" t="s">
        <v>1354</v>
      </c>
      <c r="M179" s="106" t="s">
        <v>1547</v>
      </c>
      <c r="O179" s="106">
        <v>28</v>
      </c>
      <c r="T179" s="106" t="s">
        <v>1766</v>
      </c>
      <c r="V179" s="106">
        <v>14144763.404492499</v>
      </c>
      <c r="W179" s="106">
        <v>1</v>
      </c>
      <c r="X179" s="106">
        <v>1</v>
      </c>
      <c r="Y179" s="106">
        <v>1</v>
      </c>
      <c r="Z179" s="106">
        <v>0</v>
      </c>
      <c r="AA179" s="106">
        <v>4700000</v>
      </c>
      <c r="AB179" s="106">
        <v>4700000</v>
      </c>
      <c r="AC179" s="106">
        <v>4700000</v>
      </c>
      <c r="AD179" s="106">
        <v>0</v>
      </c>
      <c r="AE179" s="106">
        <v>14100000</v>
      </c>
      <c r="AF179" s="106">
        <v>56400000</v>
      </c>
      <c r="AH179" s="106">
        <v>233280</v>
      </c>
      <c r="AI179" s="106">
        <v>0.185</v>
      </c>
      <c r="AJ179" s="106">
        <v>16</v>
      </c>
      <c r="AK179" s="106">
        <v>2332.8000000000002</v>
      </c>
      <c r="AL179" s="106">
        <v>37324.800000000003</v>
      </c>
      <c r="AM179" s="106">
        <v>159235</v>
      </c>
      <c r="AN179" s="106">
        <v>636940</v>
      </c>
      <c r="AO179" s="106">
        <v>128246</v>
      </c>
      <c r="AP179" s="106" t="s">
        <v>106</v>
      </c>
      <c r="AQ179" s="106" t="s">
        <v>273</v>
      </c>
      <c r="AR179" s="106">
        <v>1019</v>
      </c>
      <c r="AS179" s="106">
        <v>16600</v>
      </c>
      <c r="AT179" s="106">
        <v>66400</v>
      </c>
      <c r="AY179" s="108">
        <v>0</v>
      </c>
      <c r="BD179" s="106">
        <v>0</v>
      </c>
      <c r="BY179" s="112" t="s">
        <v>1766</v>
      </c>
      <c r="BZ179" s="112" t="s">
        <v>1766</v>
      </c>
      <c r="CA179" s="112" t="s">
        <v>1766</v>
      </c>
      <c r="CB179" s="112" t="s">
        <v>1766</v>
      </c>
      <c r="CC179" s="112" t="s">
        <v>1766</v>
      </c>
      <c r="CD179" s="112" t="s">
        <v>1766</v>
      </c>
      <c r="CE179" s="112" t="s">
        <v>1766</v>
      </c>
      <c r="CF179" s="112" t="s">
        <v>1766</v>
      </c>
      <c r="CG179" s="112" t="s">
        <v>1766</v>
      </c>
      <c r="CH179" s="112" t="s">
        <v>1766</v>
      </c>
      <c r="CI179" s="112" t="s">
        <v>1766</v>
      </c>
      <c r="CJ179" s="112" t="s">
        <v>1766</v>
      </c>
      <c r="CK179" s="112" t="s">
        <v>1766</v>
      </c>
      <c r="CL179" s="112" t="s">
        <v>1766</v>
      </c>
      <c r="CM179" s="112" t="s">
        <v>1766</v>
      </c>
      <c r="CN179" s="112" t="s">
        <v>1766</v>
      </c>
      <c r="CO179" s="112" t="s">
        <v>1766</v>
      </c>
    </row>
    <row r="180" spans="1:93">
      <c r="A180" s="106" t="s">
        <v>271</v>
      </c>
      <c r="B180" s="106">
        <v>29</v>
      </c>
      <c r="C180" s="106">
        <v>3</v>
      </c>
      <c r="D180" s="106">
        <v>10</v>
      </c>
      <c r="E180" s="106">
        <v>4</v>
      </c>
      <c r="F180" s="106">
        <v>4</v>
      </c>
      <c r="G180" s="106" t="s">
        <v>66</v>
      </c>
      <c r="I180" s="106">
        <v>201</v>
      </c>
      <c r="J180" s="106" t="s">
        <v>1766</v>
      </c>
      <c r="K180" s="106" t="s">
        <v>1318</v>
      </c>
      <c r="L180" s="106" t="s">
        <v>1356</v>
      </c>
      <c r="M180" s="106" t="s">
        <v>1548</v>
      </c>
      <c r="O180" s="106">
        <v>29</v>
      </c>
      <c r="T180" s="106" t="s">
        <v>1766</v>
      </c>
      <c r="V180" s="106">
        <v>18105297.157750402</v>
      </c>
      <c r="W180" s="106">
        <v>1</v>
      </c>
      <c r="X180" s="106">
        <v>1</v>
      </c>
      <c r="Y180" s="106">
        <v>1</v>
      </c>
      <c r="Z180" s="106">
        <v>0</v>
      </c>
      <c r="AA180" s="106">
        <v>6000000</v>
      </c>
      <c r="AB180" s="106">
        <v>6000000</v>
      </c>
      <c r="AC180" s="106">
        <v>6000000</v>
      </c>
      <c r="AD180" s="106">
        <v>0</v>
      </c>
      <c r="AE180" s="106">
        <v>18000000</v>
      </c>
      <c r="AF180" s="106">
        <v>72000000</v>
      </c>
      <c r="AH180" s="106">
        <v>285120</v>
      </c>
      <c r="AI180" s="106">
        <v>0.20499999999999999</v>
      </c>
      <c r="AJ180" s="106">
        <v>17</v>
      </c>
      <c r="AK180" s="106">
        <v>2851.2</v>
      </c>
      <c r="AL180" s="106">
        <v>48470.400000000001</v>
      </c>
      <c r="AM180" s="106">
        <v>187843</v>
      </c>
      <c r="AN180" s="106">
        <v>751372</v>
      </c>
      <c r="AO180" s="106">
        <v>164457</v>
      </c>
      <c r="AP180" s="106" t="s">
        <v>106</v>
      </c>
      <c r="AQ180" s="106" t="s">
        <v>273</v>
      </c>
      <c r="AR180" s="106">
        <v>1019</v>
      </c>
      <c r="AS180" s="106">
        <v>18200</v>
      </c>
      <c r="AT180" s="106">
        <v>72800</v>
      </c>
      <c r="AY180" s="108">
        <v>0</v>
      </c>
      <c r="BD180" s="106">
        <v>0</v>
      </c>
      <c r="BY180" s="112" t="s">
        <v>1766</v>
      </c>
      <c r="BZ180" s="112" t="s">
        <v>1766</v>
      </c>
      <c r="CA180" s="112" t="s">
        <v>1766</v>
      </c>
      <c r="CB180" s="112" t="s">
        <v>1766</v>
      </c>
      <c r="CC180" s="112" t="s">
        <v>1766</v>
      </c>
      <c r="CD180" s="112" t="s">
        <v>1766</v>
      </c>
      <c r="CE180" s="112" t="s">
        <v>1766</v>
      </c>
      <c r="CF180" s="112" t="s">
        <v>1766</v>
      </c>
      <c r="CG180" s="112" t="s">
        <v>1766</v>
      </c>
      <c r="CH180" s="112" t="s">
        <v>1766</v>
      </c>
      <c r="CI180" s="112" t="s">
        <v>1766</v>
      </c>
      <c r="CJ180" s="112" t="s">
        <v>1766</v>
      </c>
      <c r="CK180" s="112" t="s">
        <v>1766</v>
      </c>
      <c r="CL180" s="112" t="s">
        <v>1766</v>
      </c>
      <c r="CM180" s="112" t="s">
        <v>1766</v>
      </c>
      <c r="CN180" s="112" t="s">
        <v>1766</v>
      </c>
      <c r="CO180" s="112" t="s">
        <v>1766</v>
      </c>
    </row>
    <row r="181" spans="1:93">
      <c r="A181" s="106" t="s">
        <v>271</v>
      </c>
      <c r="B181" s="106">
        <v>30</v>
      </c>
      <c r="C181" s="106">
        <v>3</v>
      </c>
      <c r="D181" s="106">
        <v>10</v>
      </c>
      <c r="E181" s="106">
        <v>4</v>
      </c>
      <c r="F181" s="106">
        <v>4</v>
      </c>
      <c r="G181" s="106" t="s">
        <v>66</v>
      </c>
      <c r="I181" s="106">
        <v>201</v>
      </c>
      <c r="J181" s="106" t="s">
        <v>1766</v>
      </c>
      <c r="K181" s="106" t="s">
        <v>1318</v>
      </c>
      <c r="L181" s="106" t="s">
        <v>1358</v>
      </c>
      <c r="M181" s="106" t="s">
        <v>1549</v>
      </c>
      <c r="O181" s="106">
        <v>30</v>
      </c>
      <c r="T181" s="106" t="s">
        <v>1766</v>
      </c>
      <c r="V181" s="106">
        <v>23174780.361920599</v>
      </c>
      <c r="W181" s="106">
        <v>1</v>
      </c>
      <c r="X181" s="106">
        <v>1</v>
      </c>
      <c r="Y181" s="106">
        <v>1</v>
      </c>
      <c r="Z181" s="106">
        <v>0</v>
      </c>
      <c r="AA181" s="106">
        <v>7700000</v>
      </c>
      <c r="AB181" s="106">
        <v>7700000</v>
      </c>
      <c r="AC181" s="106">
        <v>7700000</v>
      </c>
      <c r="AD181" s="106">
        <v>0</v>
      </c>
      <c r="AE181" s="106">
        <v>23100000</v>
      </c>
      <c r="AF181" s="106">
        <v>92400000</v>
      </c>
      <c r="AH181" s="106">
        <v>345600</v>
      </c>
      <c r="AI181" s="106">
        <v>0.22500000000000001</v>
      </c>
      <c r="AJ181" s="106">
        <v>18</v>
      </c>
      <c r="AK181" s="106">
        <v>3456</v>
      </c>
      <c r="AL181" s="106">
        <v>62208</v>
      </c>
      <c r="AM181" s="106">
        <v>219614</v>
      </c>
      <c r="AN181" s="106">
        <v>878456</v>
      </c>
      <c r="AO181" s="106">
        <v>210806</v>
      </c>
      <c r="AP181" s="106" t="s">
        <v>106</v>
      </c>
      <c r="AQ181" s="106" t="s">
        <v>273</v>
      </c>
      <c r="AR181" s="106">
        <v>1019</v>
      </c>
      <c r="AS181" s="106">
        <v>20000</v>
      </c>
      <c r="AT181" s="106">
        <v>80000</v>
      </c>
      <c r="AY181" s="108">
        <v>0</v>
      </c>
      <c r="BD181" s="106">
        <v>0</v>
      </c>
      <c r="BY181" s="112" t="s">
        <v>1766</v>
      </c>
      <c r="BZ181" s="112" t="s">
        <v>1766</v>
      </c>
      <c r="CA181" s="112" t="s">
        <v>1766</v>
      </c>
      <c r="CB181" s="112" t="s">
        <v>1766</v>
      </c>
      <c r="CC181" s="112" t="s">
        <v>1766</v>
      </c>
      <c r="CD181" s="112" t="s">
        <v>1766</v>
      </c>
      <c r="CE181" s="112" t="s">
        <v>1766</v>
      </c>
      <c r="CF181" s="112" t="s">
        <v>1766</v>
      </c>
      <c r="CG181" s="112" t="s">
        <v>1766</v>
      </c>
      <c r="CH181" s="112" t="s">
        <v>1766</v>
      </c>
      <c r="CI181" s="112" t="s">
        <v>1766</v>
      </c>
      <c r="CJ181" s="112" t="s">
        <v>1766</v>
      </c>
      <c r="CK181" s="112" t="s">
        <v>1766</v>
      </c>
      <c r="CL181" s="112" t="s">
        <v>1766</v>
      </c>
      <c r="CM181" s="112" t="s">
        <v>1766</v>
      </c>
      <c r="CN181" s="112" t="s">
        <v>1766</v>
      </c>
      <c r="CO181" s="112" t="s">
        <v>1766</v>
      </c>
    </row>
    <row r="182" spans="1:93">
      <c r="A182" s="106" t="s">
        <v>293</v>
      </c>
      <c r="B182" s="106">
        <v>1</v>
      </c>
      <c r="C182" s="106">
        <v>1</v>
      </c>
      <c r="D182" s="106">
        <v>1</v>
      </c>
      <c r="E182" s="106">
        <v>1</v>
      </c>
      <c r="F182" s="106">
        <v>1</v>
      </c>
      <c r="G182" s="106" t="s">
        <v>66</v>
      </c>
      <c r="I182" s="106">
        <v>201</v>
      </c>
      <c r="J182" s="106" t="s">
        <v>1766</v>
      </c>
      <c r="K182" s="106" t="s">
        <v>1318</v>
      </c>
      <c r="L182" s="106" t="s">
        <v>229</v>
      </c>
      <c r="M182" s="106" t="s">
        <v>294</v>
      </c>
      <c r="N182" s="106">
        <v>8</v>
      </c>
      <c r="O182" s="106">
        <v>1</v>
      </c>
      <c r="T182" s="106" t="s">
        <v>1766</v>
      </c>
      <c r="V182" s="106">
        <v>0</v>
      </c>
      <c r="W182" s="106">
        <v>0</v>
      </c>
      <c r="X182" s="106">
        <v>0</v>
      </c>
      <c r="Y182" s="106" t="s">
        <v>1766</v>
      </c>
      <c r="Z182" s="106" t="s">
        <v>1766</v>
      </c>
      <c r="AA182" s="106">
        <v>0</v>
      </c>
      <c r="AB182" s="106">
        <v>0</v>
      </c>
      <c r="AC182" s="106">
        <v>0</v>
      </c>
      <c r="AD182" s="106">
        <v>0</v>
      </c>
      <c r="AE182" s="106">
        <v>0</v>
      </c>
      <c r="AF182" s="106">
        <v>0</v>
      </c>
      <c r="AH182" s="106">
        <v>25</v>
      </c>
      <c r="AI182" s="106">
        <v>0</v>
      </c>
      <c r="AJ182" s="106">
        <v>0</v>
      </c>
      <c r="AK182" s="106">
        <v>120</v>
      </c>
      <c r="AL182" s="106">
        <v>0</v>
      </c>
      <c r="AM182" s="106">
        <v>1</v>
      </c>
      <c r="AN182" s="106">
        <v>1</v>
      </c>
      <c r="AO182" s="106">
        <v>3</v>
      </c>
      <c r="AP182" s="106" t="s">
        <v>114</v>
      </c>
      <c r="AQ182" s="106" t="s">
        <v>295</v>
      </c>
      <c r="AR182" s="106">
        <v>3000</v>
      </c>
      <c r="AS182" s="106">
        <v>2E-3</v>
      </c>
      <c r="AT182" s="106">
        <v>2E-3</v>
      </c>
      <c r="AU182" s="108" t="s">
        <v>150</v>
      </c>
      <c r="AV182" s="108" t="s">
        <v>296</v>
      </c>
      <c r="AW182" s="108">
        <v>3013</v>
      </c>
      <c r="AX182" s="108">
        <v>20</v>
      </c>
      <c r="AY182" s="108">
        <v>20</v>
      </c>
      <c r="BD182" s="106">
        <v>0</v>
      </c>
      <c r="BY182" s="112" t="s">
        <v>158</v>
      </c>
      <c r="BZ182" s="112" t="s">
        <v>1393</v>
      </c>
      <c r="CA182" s="112" t="s">
        <v>1777</v>
      </c>
      <c r="CB182" s="112" t="s">
        <v>114</v>
      </c>
      <c r="CC182" s="112">
        <v>7</v>
      </c>
      <c r="CD182" s="112" t="s">
        <v>1794</v>
      </c>
      <c r="CE182" s="112" t="s">
        <v>150</v>
      </c>
      <c r="CF182" s="112">
        <v>24</v>
      </c>
      <c r="CG182" s="112" t="s">
        <v>1766</v>
      </c>
      <c r="CH182" s="112" t="s">
        <v>1766</v>
      </c>
      <c r="CI182" s="112" t="s">
        <v>1766</v>
      </c>
      <c r="CJ182" s="112" t="s">
        <v>1766</v>
      </c>
      <c r="CK182" s="112" t="s">
        <v>1766</v>
      </c>
      <c r="CL182" s="112" t="s">
        <v>1766</v>
      </c>
      <c r="CM182" s="112" t="s">
        <v>1766</v>
      </c>
      <c r="CN182" s="112" t="s">
        <v>1766</v>
      </c>
      <c r="CO182" s="112" t="s">
        <v>1766</v>
      </c>
    </row>
    <row r="183" spans="1:93">
      <c r="A183" s="106" t="s">
        <v>293</v>
      </c>
      <c r="B183" s="106">
        <v>2</v>
      </c>
      <c r="C183" s="106">
        <v>1</v>
      </c>
      <c r="D183" s="106">
        <v>1</v>
      </c>
      <c r="E183" s="106">
        <v>1</v>
      </c>
      <c r="F183" s="106">
        <v>1</v>
      </c>
      <c r="G183" s="106" t="s">
        <v>66</v>
      </c>
      <c r="I183" s="106">
        <v>201</v>
      </c>
      <c r="J183" s="106" t="s">
        <v>1766</v>
      </c>
      <c r="K183" s="106" t="s">
        <v>1318</v>
      </c>
      <c r="L183" s="106" t="s">
        <v>1320</v>
      </c>
      <c r="M183" s="106" t="s">
        <v>298</v>
      </c>
      <c r="N183" s="106">
        <v>8</v>
      </c>
      <c r="O183" s="106">
        <v>2</v>
      </c>
      <c r="T183" s="106" t="s">
        <v>1766</v>
      </c>
      <c r="V183" s="106">
        <v>3000</v>
      </c>
      <c r="W183" s="106">
        <v>1</v>
      </c>
      <c r="X183" s="106">
        <v>1</v>
      </c>
      <c r="Y183" s="106" t="s">
        <v>1766</v>
      </c>
      <c r="Z183" s="106" t="s">
        <v>1766</v>
      </c>
      <c r="AA183" s="106">
        <v>1500</v>
      </c>
      <c r="AB183" s="106">
        <v>1500</v>
      </c>
      <c r="AC183" s="106">
        <v>0</v>
      </c>
      <c r="AD183" s="106">
        <v>0</v>
      </c>
      <c r="AE183" s="106">
        <v>3000</v>
      </c>
      <c r="AF183" s="106">
        <v>3000</v>
      </c>
      <c r="AH183" s="106">
        <v>54</v>
      </c>
      <c r="AI183" s="106">
        <v>0</v>
      </c>
      <c r="AJ183" s="106">
        <v>0</v>
      </c>
      <c r="AK183" s="106">
        <v>120</v>
      </c>
      <c r="AL183" s="106">
        <v>0</v>
      </c>
      <c r="AM183" s="106">
        <v>1</v>
      </c>
      <c r="AN183" s="106">
        <v>1</v>
      </c>
      <c r="AO183" s="106">
        <v>9</v>
      </c>
      <c r="AP183" s="106" t="s">
        <v>114</v>
      </c>
      <c r="AQ183" s="106" t="s">
        <v>295</v>
      </c>
      <c r="AR183" s="106">
        <v>3000</v>
      </c>
      <c r="AS183" s="106">
        <v>5.0000000000000001E-3</v>
      </c>
      <c r="AT183" s="106">
        <v>5.0000000000000001E-3</v>
      </c>
      <c r="AU183" s="108" t="s">
        <v>150</v>
      </c>
      <c r="AV183" s="108" t="s">
        <v>296</v>
      </c>
      <c r="AW183" s="108">
        <v>3013</v>
      </c>
      <c r="AX183" s="108">
        <v>50</v>
      </c>
      <c r="AY183" s="108">
        <v>50</v>
      </c>
      <c r="BD183" s="106">
        <v>0</v>
      </c>
      <c r="BY183" s="112" t="s">
        <v>1766</v>
      </c>
      <c r="BZ183" s="112" t="s">
        <v>1766</v>
      </c>
      <c r="CA183" s="112" t="s">
        <v>1766</v>
      </c>
      <c r="CB183" s="112" t="s">
        <v>1766</v>
      </c>
      <c r="CC183" s="112" t="s">
        <v>1766</v>
      </c>
      <c r="CD183" s="112" t="s">
        <v>1766</v>
      </c>
      <c r="CE183" s="112" t="s">
        <v>1766</v>
      </c>
      <c r="CF183" s="112" t="s">
        <v>1766</v>
      </c>
      <c r="CG183" s="112" t="s">
        <v>1766</v>
      </c>
      <c r="CH183" s="112" t="s">
        <v>1766</v>
      </c>
      <c r="CI183" s="112" t="s">
        <v>1766</v>
      </c>
      <c r="CJ183" s="112" t="s">
        <v>1766</v>
      </c>
      <c r="CK183" s="112" t="s">
        <v>1766</v>
      </c>
      <c r="CL183" s="112" t="s">
        <v>1766</v>
      </c>
      <c r="CM183" s="112" t="s">
        <v>1766</v>
      </c>
      <c r="CN183" s="112" t="s">
        <v>1766</v>
      </c>
      <c r="CO183" s="112" t="s">
        <v>1766</v>
      </c>
    </row>
    <row r="184" spans="1:93">
      <c r="A184" s="106" t="s">
        <v>293</v>
      </c>
      <c r="B184" s="106">
        <v>3</v>
      </c>
      <c r="C184" s="106">
        <v>1</v>
      </c>
      <c r="D184" s="106">
        <v>1</v>
      </c>
      <c r="E184" s="106">
        <v>1</v>
      </c>
      <c r="F184" s="106">
        <v>1</v>
      </c>
      <c r="G184" s="106" t="s">
        <v>66</v>
      </c>
      <c r="I184" s="106">
        <v>201</v>
      </c>
      <c r="J184" s="106" t="s">
        <v>1766</v>
      </c>
      <c r="K184" s="106" t="s">
        <v>1318</v>
      </c>
      <c r="L184" s="106" t="s">
        <v>1321</v>
      </c>
      <c r="M184" s="106" t="s">
        <v>299</v>
      </c>
      <c r="N184" s="106">
        <v>8</v>
      </c>
      <c r="O184" s="106">
        <v>3</v>
      </c>
      <c r="T184" s="106" t="s">
        <v>1766</v>
      </c>
      <c r="V184" s="106">
        <v>6000</v>
      </c>
      <c r="W184" s="106">
        <v>1</v>
      </c>
      <c r="X184" s="106">
        <v>1</v>
      </c>
      <c r="Y184" s="106" t="s">
        <v>1766</v>
      </c>
      <c r="Z184" s="106" t="s">
        <v>1766</v>
      </c>
      <c r="AA184" s="106">
        <v>3000</v>
      </c>
      <c r="AB184" s="106">
        <v>3000</v>
      </c>
      <c r="AC184" s="106">
        <v>0</v>
      </c>
      <c r="AD184" s="106">
        <v>0</v>
      </c>
      <c r="AE184" s="106">
        <v>6000</v>
      </c>
      <c r="AF184" s="106">
        <v>6000</v>
      </c>
      <c r="AH184" s="106">
        <v>108</v>
      </c>
      <c r="AI184" s="106">
        <v>0</v>
      </c>
      <c r="AJ184" s="106">
        <v>1</v>
      </c>
      <c r="AK184" s="106">
        <v>120</v>
      </c>
      <c r="AL184" s="106">
        <v>120</v>
      </c>
      <c r="AM184" s="106">
        <v>1</v>
      </c>
      <c r="AN184" s="106">
        <v>1</v>
      </c>
      <c r="AO184" s="106">
        <v>21</v>
      </c>
      <c r="AP184" s="106" t="s">
        <v>114</v>
      </c>
      <c r="AQ184" s="106" t="s">
        <v>295</v>
      </c>
      <c r="AR184" s="106">
        <v>3000</v>
      </c>
      <c r="AS184" s="106">
        <v>0.01</v>
      </c>
      <c r="AT184" s="106">
        <v>0.01</v>
      </c>
      <c r="AU184" s="108" t="s">
        <v>150</v>
      </c>
      <c r="AV184" s="108" t="s">
        <v>296</v>
      </c>
      <c r="AW184" s="108">
        <v>3013</v>
      </c>
      <c r="AX184" s="108">
        <v>100</v>
      </c>
      <c r="AY184" s="108">
        <v>100</v>
      </c>
      <c r="BD184" s="106">
        <v>0</v>
      </c>
      <c r="BY184" s="112" t="s">
        <v>1766</v>
      </c>
      <c r="BZ184" s="112" t="s">
        <v>1766</v>
      </c>
      <c r="CA184" s="112" t="s">
        <v>1766</v>
      </c>
      <c r="CB184" s="112" t="s">
        <v>1766</v>
      </c>
      <c r="CC184" s="112" t="s">
        <v>1766</v>
      </c>
      <c r="CD184" s="112" t="s">
        <v>1766</v>
      </c>
      <c r="CE184" s="112" t="s">
        <v>1766</v>
      </c>
      <c r="CF184" s="112" t="s">
        <v>1766</v>
      </c>
      <c r="CG184" s="112" t="s">
        <v>1766</v>
      </c>
      <c r="CH184" s="112" t="s">
        <v>1766</v>
      </c>
      <c r="CI184" s="112" t="s">
        <v>1766</v>
      </c>
      <c r="CJ184" s="112" t="s">
        <v>1766</v>
      </c>
      <c r="CK184" s="112" t="s">
        <v>1766</v>
      </c>
      <c r="CL184" s="112" t="s">
        <v>1766</v>
      </c>
      <c r="CM184" s="112" t="s">
        <v>1766</v>
      </c>
      <c r="CN184" s="112" t="s">
        <v>1766</v>
      </c>
      <c r="CO184" s="112" t="s">
        <v>1766</v>
      </c>
    </row>
    <row r="185" spans="1:93">
      <c r="A185" s="106" t="s">
        <v>293</v>
      </c>
      <c r="B185" s="106">
        <v>4</v>
      </c>
      <c r="C185" s="106">
        <v>1</v>
      </c>
      <c r="D185" s="106">
        <v>1</v>
      </c>
      <c r="E185" s="106">
        <v>1</v>
      </c>
      <c r="F185" s="106">
        <v>1</v>
      </c>
      <c r="G185" s="106" t="s">
        <v>66</v>
      </c>
      <c r="I185" s="106">
        <v>201</v>
      </c>
      <c r="J185" s="106" t="s">
        <v>1766</v>
      </c>
      <c r="K185" s="106" t="s">
        <v>1318</v>
      </c>
      <c r="L185" s="106" t="s">
        <v>1322</v>
      </c>
      <c r="M185" s="106" t="s">
        <v>300</v>
      </c>
      <c r="N185" s="106">
        <v>8</v>
      </c>
      <c r="O185" s="106">
        <v>4</v>
      </c>
      <c r="T185" s="106" t="s">
        <v>1766</v>
      </c>
      <c r="V185" s="106">
        <v>12000</v>
      </c>
      <c r="W185" s="106">
        <v>1</v>
      </c>
      <c r="X185" s="106">
        <v>1</v>
      </c>
      <c r="Y185" s="106" t="s">
        <v>1766</v>
      </c>
      <c r="Z185" s="106" t="s">
        <v>1766</v>
      </c>
      <c r="AA185" s="106">
        <v>6000</v>
      </c>
      <c r="AB185" s="106">
        <v>6000</v>
      </c>
      <c r="AC185" s="106">
        <v>0</v>
      </c>
      <c r="AD185" s="106">
        <v>0</v>
      </c>
      <c r="AE185" s="106">
        <v>12000</v>
      </c>
      <c r="AF185" s="106">
        <v>12000</v>
      </c>
      <c r="AH185" s="106">
        <v>216</v>
      </c>
      <c r="AI185" s="106">
        <v>0</v>
      </c>
      <c r="AJ185" s="106">
        <v>1</v>
      </c>
      <c r="AK185" s="106">
        <v>120</v>
      </c>
      <c r="AL185" s="106">
        <v>120</v>
      </c>
      <c r="AM185" s="106">
        <v>1</v>
      </c>
      <c r="AN185" s="106">
        <v>1</v>
      </c>
      <c r="AO185" s="106">
        <v>45</v>
      </c>
      <c r="AP185" s="106" t="s">
        <v>114</v>
      </c>
      <c r="AQ185" s="106" t="s">
        <v>295</v>
      </c>
      <c r="AR185" s="106">
        <v>3000</v>
      </c>
      <c r="AS185" s="106">
        <v>1.4999999999999999E-2</v>
      </c>
      <c r="AT185" s="106">
        <v>1.4999999999999999E-2</v>
      </c>
      <c r="AU185" s="108" t="s">
        <v>150</v>
      </c>
      <c r="AV185" s="108" t="s">
        <v>296</v>
      </c>
      <c r="AW185" s="108">
        <v>3013</v>
      </c>
      <c r="AX185" s="108">
        <v>150</v>
      </c>
      <c r="AY185" s="108">
        <v>150</v>
      </c>
      <c r="BD185" s="106">
        <v>0</v>
      </c>
      <c r="BY185" s="112" t="s">
        <v>1766</v>
      </c>
      <c r="BZ185" s="112" t="s">
        <v>1766</v>
      </c>
      <c r="CA185" s="112" t="s">
        <v>1766</v>
      </c>
      <c r="CB185" s="112" t="s">
        <v>1766</v>
      </c>
      <c r="CC185" s="112" t="s">
        <v>1766</v>
      </c>
      <c r="CD185" s="112" t="s">
        <v>1766</v>
      </c>
      <c r="CE185" s="112" t="s">
        <v>1766</v>
      </c>
      <c r="CF185" s="112" t="s">
        <v>1766</v>
      </c>
      <c r="CG185" s="112" t="s">
        <v>1766</v>
      </c>
      <c r="CH185" s="112" t="s">
        <v>1766</v>
      </c>
      <c r="CI185" s="112" t="s">
        <v>1766</v>
      </c>
      <c r="CJ185" s="112" t="s">
        <v>1766</v>
      </c>
      <c r="CK185" s="112" t="s">
        <v>1766</v>
      </c>
      <c r="CL185" s="112" t="s">
        <v>1766</v>
      </c>
      <c r="CM185" s="112" t="s">
        <v>1766</v>
      </c>
      <c r="CN185" s="112" t="s">
        <v>1766</v>
      </c>
      <c r="CO185" s="112" t="s">
        <v>1766</v>
      </c>
    </row>
    <row r="186" spans="1:93">
      <c r="A186" s="106" t="s">
        <v>293</v>
      </c>
      <c r="B186" s="106">
        <v>5</v>
      </c>
      <c r="C186" s="106">
        <v>1</v>
      </c>
      <c r="D186" s="106">
        <v>1</v>
      </c>
      <c r="E186" s="106">
        <v>1</v>
      </c>
      <c r="F186" s="106">
        <v>1</v>
      </c>
      <c r="G186" s="106" t="s">
        <v>66</v>
      </c>
      <c r="H186" s="106" t="s">
        <v>202</v>
      </c>
      <c r="I186" s="106">
        <v>201</v>
      </c>
      <c r="J186" s="106">
        <v>203</v>
      </c>
      <c r="K186" s="106" t="s">
        <v>1394</v>
      </c>
      <c r="L186" s="106" t="s">
        <v>1225</v>
      </c>
      <c r="M186" s="106" t="s">
        <v>301</v>
      </c>
      <c r="N186" s="106">
        <v>8</v>
      </c>
      <c r="O186" s="106">
        <v>5</v>
      </c>
      <c r="T186" s="106" t="s">
        <v>1766</v>
      </c>
      <c r="V186" s="106">
        <v>23160</v>
      </c>
      <c r="W186" s="106">
        <v>1</v>
      </c>
      <c r="X186" s="106">
        <v>1</v>
      </c>
      <c r="Y186" s="106">
        <v>1</v>
      </c>
      <c r="Z186" s="106" t="s">
        <v>1766</v>
      </c>
      <c r="AA186" s="106">
        <v>7700</v>
      </c>
      <c r="AB186" s="106">
        <v>7700</v>
      </c>
      <c r="AC186" s="106">
        <v>7700</v>
      </c>
      <c r="AD186" s="106">
        <v>0</v>
      </c>
      <c r="AE186" s="106">
        <v>23100</v>
      </c>
      <c r="AF186" s="106">
        <v>23100</v>
      </c>
      <c r="AH186" s="106">
        <v>450</v>
      </c>
      <c r="AI186" s="106">
        <v>0</v>
      </c>
      <c r="AJ186" s="106">
        <v>2</v>
      </c>
      <c r="AK186" s="106">
        <v>120</v>
      </c>
      <c r="AL186" s="106">
        <v>240</v>
      </c>
      <c r="AM186" s="106">
        <v>1</v>
      </c>
      <c r="AN186" s="106">
        <v>1</v>
      </c>
      <c r="AO186" s="106">
        <v>91</v>
      </c>
      <c r="AP186" s="106" t="s">
        <v>114</v>
      </c>
      <c r="AQ186" s="106" t="s">
        <v>295</v>
      </c>
      <c r="AR186" s="106">
        <v>3000</v>
      </c>
      <c r="AS186" s="106">
        <v>0.02</v>
      </c>
      <c r="AT186" s="106">
        <v>0.02</v>
      </c>
      <c r="AU186" s="108" t="s">
        <v>150</v>
      </c>
      <c r="AV186" s="108" t="s">
        <v>296</v>
      </c>
      <c r="AW186" s="108">
        <v>3013</v>
      </c>
      <c r="AX186" s="108">
        <v>200</v>
      </c>
      <c r="AY186" s="108">
        <v>200</v>
      </c>
      <c r="BD186" s="106">
        <v>0</v>
      </c>
      <c r="BY186" s="112" t="s">
        <v>1766</v>
      </c>
      <c r="BZ186" s="112" t="s">
        <v>1766</v>
      </c>
      <c r="CA186" s="112" t="s">
        <v>1766</v>
      </c>
      <c r="CB186" s="112" t="s">
        <v>1766</v>
      </c>
      <c r="CC186" s="112" t="s">
        <v>1766</v>
      </c>
      <c r="CD186" s="112" t="s">
        <v>1766</v>
      </c>
      <c r="CE186" s="112" t="s">
        <v>1766</v>
      </c>
      <c r="CF186" s="112" t="s">
        <v>1766</v>
      </c>
      <c r="CG186" s="112" t="s">
        <v>1766</v>
      </c>
      <c r="CH186" s="112" t="s">
        <v>1766</v>
      </c>
      <c r="CI186" s="112" t="s">
        <v>1766</v>
      </c>
      <c r="CJ186" s="112" t="s">
        <v>1766</v>
      </c>
      <c r="CK186" s="112" t="s">
        <v>1766</v>
      </c>
      <c r="CL186" s="112" t="s">
        <v>1766</v>
      </c>
      <c r="CM186" s="112" t="s">
        <v>1766</v>
      </c>
      <c r="CN186" s="112" t="s">
        <v>1766</v>
      </c>
      <c r="CO186" s="112" t="s">
        <v>1766</v>
      </c>
    </row>
    <row r="187" spans="1:93">
      <c r="A187" s="106" t="s">
        <v>293</v>
      </c>
      <c r="B187" s="106">
        <v>6</v>
      </c>
      <c r="C187" s="106">
        <v>1</v>
      </c>
      <c r="D187" s="106">
        <v>1</v>
      </c>
      <c r="E187" s="106">
        <v>1</v>
      </c>
      <c r="F187" s="106">
        <v>1</v>
      </c>
      <c r="G187" s="106" t="s">
        <v>66</v>
      </c>
      <c r="H187" s="106" t="s">
        <v>202</v>
      </c>
      <c r="I187" s="106">
        <v>201</v>
      </c>
      <c r="J187" s="106">
        <v>203</v>
      </c>
      <c r="K187" s="106" t="s">
        <v>1394</v>
      </c>
      <c r="L187" s="106" t="s">
        <v>1230</v>
      </c>
      <c r="M187" s="106" t="s">
        <v>302</v>
      </c>
      <c r="N187" s="106">
        <v>8</v>
      </c>
      <c r="O187" s="106">
        <v>6</v>
      </c>
      <c r="T187" s="106" t="s">
        <v>1766</v>
      </c>
      <c r="V187" s="106">
        <v>43077.599999999999</v>
      </c>
      <c r="W187" s="106">
        <v>1</v>
      </c>
      <c r="X187" s="106">
        <v>1</v>
      </c>
      <c r="Y187" s="106">
        <v>1</v>
      </c>
      <c r="Z187" s="106" t="s">
        <v>1766</v>
      </c>
      <c r="AA187" s="106">
        <v>14000</v>
      </c>
      <c r="AB187" s="106">
        <v>14000</v>
      </c>
      <c r="AC187" s="106">
        <v>14000</v>
      </c>
      <c r="AD187" s="106">
        <v>0</v>
      </c>
      <c r="AE187" s="106">
        <v>42000</v>
      </c>
      <c r="AF187" s="106">
        <v>42000</v>
      </c>
      <c r="AH187" s="106">
        <v>810</v>
      </c>
      <c r="AI187" s="106">
        <v>0</v>
      </c>
      <c r="AJ187" s="106">
        <v>2</v>
      </c>
      <c r="AK187" s="106">
        <v>120</v>
      </c>
      <c r="AL187" s="106">
        <v>240</v>
      </c>
      <c r="AM187" s="106">
        <v>270</v>
      </c>
      <c r="AN187" s="106">
        <v>270</v>
      </c>
      <c r="AO187" s="106">
        <v>177</v>
      </c>
      <c r="AP187" s="106" t="s">
        <v>114</v>
      </c>
      <c r="AQ187" s="106" t="s">
        <v>295</v>
      </c>
      <c r="AR187" s="106">
        <v>3000</v>
      </c>
      <c r="AS187" s="106">
        <v>2.5000000000000001E-2</v>
      </c>
      <c r="AT187" s="106">
        <v>2.5000000000000001E-2</v>
      </c>
      <c r="AU187" s="108" t="s">
        <v>150</v>
      </c>
      <c r="AV187" s="108" t="s">
        <v>296</v>
      </c>
      <c r="AW187" s="108">
        <v>3013</v>
      </c>
      <c r="AX187" s="108">
        <v>250</v>
      </c>
      <c r="AY187" s="108">
        <v>250</v>
      </c>
      <c r="BD187" s="106">
        <v>0</v>
      </c>
      <c r="BY187" s="112" t="s">
        <v>1766</v>
      </c>
      <c r="BZ187" s="112" t="s">
        <v>1766</v>
      </c>
      <c r="CA187" s="112" t="s">
        <v>1766</v>
      </c>
      <c r="CB187" s="112" t="s">
        <v>1766</v>
      </c>
      <c r="CC187" s="112" t="s">
        <v>1766</v>
      </c>
      <c r="CD187" s="112" t="s">
        <v>1766</v>
      </c>
      <c r="CE187" s="112" t="s">
        <v>1766</v>
      </c>
      <c r="CF187" s="112" t="s">
        <v>1766</v>
      </c>
      <c r="CG187" s="112" t="s">
        <v>1766</v>
      </c>
      <c r="CH187" s="112" t="s">
        <v>1766</v>
      </c>
      <c r="CI187" s="112" t="s">
        <v>1766</v>
      </c>
      <c r="CJ187" s="112" t="s">
        <v>1766</v>
      </c>
      <c r="CK187" s="112" t="s">
        <v>1766</v>
      </c>
      <c r="CL187" s="112" t="s">
        <v>1766</v>
      </c>
      <c r="CM187" s="112" t="s">
        <v>1766</v>
      </c>
      <c r="CN187" s="112" t="s">
        <v>1766</v>
      </c>
      <c r="CO187" s="112" t="s">
        <v>1766</v>
      </c>
    </row>
    <row r="188" spans="1:93">
      <c r="A188" s="106" t="s">
        <v>293</v>
      </c>
      <c r="B188" s="106">
        <v>7</v>
      </c>
      <c r="C188" s="106">
        <v>1</v>
      </c>
      <c r="D188" s="106">
        <v>1</v>
      </c>
      <c r="E188" s="106">
        <v>1</v>
      </c>
      <c r="F188" s="106">
        <v>1</v>
      </c>
      <c r="G188" s="106" t="s">
        <v>66</v>
      </c>
      <c r="H188" s="106" t="s">
        <v>202</v>
      </c>
      <c r="I188" s="106">
        <v>201</v>
      </c>
      <c r="J188" s="106">
        <v>203</v>
      </c>
      <c r="K188" s="106" t="s">
        <v>1394</v>
      </c>
      <c r="L188" s="106" t="s">
        <v>1234</v>
      </c>
      <c r="M188" s="106" t="s">
        <v>303</v>
      </c>
      <c r="N188" s="106">
        <v>8</v>
      </c>
      <c r="O188" s="106">
        <v>7</v>
      </c>
      <c r="T188" s="106" t="s">
        <v>1766</v>
      </c>
      <c r="V188" s="106">
        <v>77108.903999999995</v>
      </c>
      <c r="W188" s="106">
        <v>1</v>
      </c>
      <c r="X188" s="106">
        <v>1</v>
      </c>
      <c r="Y188" s="106">
        <v>1</v>
      </c>
      <c r="Z188" s="106" t="s">
        <v>1766</v>
      </c>
      <c r="AA188" s="106">
        <v>26000</v>
      </c>
      <c r="AB188" s="106">
        <v>26000</v>
      </c>
      <c r="AC188" s="106">
        <v>26000</v>
      </c>
      <c r="AD188" s="106">
        <v>0</v>
      </c>
      <c r="AE188" s="106">
        <v>78000</v>
      </c>
      <c r="AF188" s="106">
        <v>78000</v>
      </c>
      <c r="AH188" s="106">
        <v>1350</v>
      </c>
      <c r="AI188" s="106">
        <v>0</v>
      </c>
      <c r="AJ188" s="106">
        <v>3</v>
      </c>
      <c r="AK188" s="106">
        <v>120</v>
      </c>
      <c r="AL188" s="106">
        <v>360</v>
      </c>
      <c r="AM188" s="106">
        <v>690</v>
      </c>
      <c r="AN188" s="106">
        <v>690</v>
      </c>
      <c r="AO188" s="106">
        <v>331</v>
      </c>
      <c r="AP188" s="106" t="s">
        <v>114</v>
      </c>
      <c r="AQ188" s="106" t="s">
        <v>295</v>
      </c>
      <c r="AR188" s="106">
        <v>3000</v>
      </c>
      <c r="AS188" s="106">
        <v>0.03</v>
      </c>
      <c r="AT188" s="106">
        <v>0.03</v>
      </c>
      <c r="AU188" s="108" t="s">
        <v>150</v>
      </c>
      <c r="AV188" s="108" t="s">
        <v>296</v>
      </c>
      <c r="AW188" s="108">
        <v>3013</v>
      </c>
      <c r="AX188" s="108">
        <v>300</v>
      </c>
      <c r="AY188" s="108">
        <v>300</v>
      </c>
      <c r="BD188" s="106">
        <v>0</v>
      </c>
      <c r="BY188" s="112" t="s">
        <v>1766</v>
      </c>
      <c r="BZ188" s="112" t="s">
        <v>1766</v>
      </c>
      <c r="CA188" s="112" t="s">
        <v>1766</v>
      </c>
      <c r="CB188" s="112" t="s">
        <v>1766</v>
      </c>
      <c r="CC188" s="112" t="s">
        <v>1766</v>
      </c>
      <c r="CD188" s="112" t="s">
        <v>1766</v>
      </c>
      <c r="CE188" s="112" t="s">
        <v>1766</v>
      </c>
      <c r="CF188" s="112" t="s">
        <v>1766</v>
      </c>
      <c r="CG188" s="112" t="s">
        <v>1766</v>
      </c>
      <c r="CH188" s="112" t="s">
        <v>1766</v>
      </c>
      <c r="CI188" s="112" t="s">
        <v>1766</v>
      </c>
      <c r="CJ188" s="112" t="s">
        <v>1766</v>
      </c>
      <c r="CK188" s="112" t="s">
        <v>1766</v>
      </c>
      <c r="CL188" s="112" t="s">
        <v>1766</v>
      </c>
      <c r="CM188" s="112" t="s">
        <v>1766</v>
      </c>
      <c r="CN188" s="112" t="s">
        <v>1766</v>
      </c>
      <c r="CO188" s="112" t="s">
        <v>1766</v>
      </c>
    </row>
    <row r="189" spans="1:93">
      <c r="A189" s="106" t="s">
        <v>293</v>
      </c>
      <c r="B189" s="106">
        <v>8</v>
      </c>
      <c r="C189" s="106">
        <v>1</v>
      </c>
      <c r="D189" s="106">
        <v>1</v>
      </c>
      <c r="E189" s="106">
        <v>1</v>
      </c>
      <c r="F189" s="106">
        <v>1</v>
      </c>
      <c r="G189" s="106" t="s">
        <v>66</v>
      </c>
      <c r="H189" s="106" t="s">
        <v>202</v>
      </c>
      <c r="I189" s="106">
        <v>201</v>
      </c>
      <c r="J189" s="106">
        <v>203</v>
      </c>
      <c r="K189" s="106" t="s">
        <v>1394</v>
      </c>
      <c r="L189" s="106" t="s">
        <v>1239</v>
      </c>
      <c r="M189" s="106" t="s">
        <v>304</v>
      </c>
      <c r="O189" s="106">
        <v>8</v>
      </c>
      <c r="T189" s="106" t="s">
        <v>1766</v>
      </c>
      <c r="V189" s="106">
        <v>132627.31487999999</v>
      </c>
      <c r="W189" s="106">
        <v>1</v>
      </c>
      <c r="X189" s="106">
        <v>1</v>
      </c>
      <c r="Y189" s="106">
        <v>1</v>
      </c>
      <c r="Z189" s="106" t="s">
        <v>1766</v>
      </c>
      <c r="AA189" s="106">
        <v>44000</v>
      </c>
      <c r="AB189" s="106">
        <v>44000</v>
      </c>
      <c r="AC189" s="106">
        <v>44000</v>
      </c>
      <c r="AD189" s="106">
        <v>0</v>
      </c>
      <c r="AE189" s="106">
        <v>132000</v>
      </c>
      <c r="AF189" s="106">
        <v>132000</v>
      </c>
      <c r="AH189" s="106">
        <v>2160</v>
      </c>
      <c r="AI189" s="106">
        <v>0</v>
      </c>
      <c r="AJ189" s="106">
        <v>3</v>
      </c>
      <c r="AK189" s="106">
        <v>120</v>
      </c>
      <c r="AL189" s="106">
        <v>360</v>
      </c>
      <c r="AM189" s="106">
        <v>1500</v>
      </c>
      <c r="AN189" s="106">
        <v>1500</v>
      </c>
      <c r="AO189" s="106">
        <v>596</v>
      </c>
      <c r="AP189" s="106" t="s">
        <v>114</v>
      </c>
      <c r="AQ189" s="106" t="s">
        <v>295</v>
      </c>
      <c r="AR189" s="106">
        <v>3000</v>
      </c>
      <c r="AS189" s="106">
        <v>3.5000000000000003E-2</v>
      </c>
      <c r="AT189" s="106">
        <v>3.5000000000000003E-2</v>
      </c>
      <c r="AU189" s="108" t="s">
        <v>150</v>
      </c>
      <c r="AV189" s="108" t="s">
        <v>296</v>
      </c>
      <c r="AW189" s="108">
        <v>3013</v>
      </c>
      <c r="AX189" s="108">
        <v>350</v>
      </c>
      <c r="AY189" s="108">
        <v>350</v>
      </c>
      <c r="BD189" s="106">
        <v>0</v>
      </c>
      <c r="BY189" s="112" t="s">
        <v>1766</v>
      </c>
      <c r="BZ189" s="112" t="s">
        <v>1766</v>
      </c>
      <c r="CA189" s="112" t="s">
        <v>1766</v>
      </c>
      <c r="CB189" s="112" t="s">
        <v>1766</v>
      </c>
      <c r="CC189" s="112" t="s">
        <v>1766</v>
      </c>
      <c r="CD189" s="112" t="s">
        <v>1766</v>
      </c>
      <c r="CE189" s="112" t="s">
        <v>1766</v>
      </c>
      <c r="CF189" s="112" t="s">
        <v>1766</v>
      </c>
      <c r="CG189" s="112" t="s">
        <v>1766</v>
      </c>
      <c r="CH189" s="112" t="s">
        <v>1766</v>
      </c>
      <c r="CI189" s="112" t="s">
        <v>1766</v>
      </c>
      <c r="CJ189" s="112" t="s">
        <v>1766</v>
      </c>
      <c r="CK189" s="112" t="s">
        <v>1766</v>
      </c>
      <c r="CL189" s="112" t="s">
        <v>1766</v>
      </c>
      <c r="CM189" s="112" t="s">
        <v>1766</v>
      </c>
      <c r="CN189" s="112" t="s">
        <v>1766</v>
      </c>
      <c r="CO189" s="112" t="s">
        <v>1766</v>
      </c>
    </row>
    <row r="190" spans="1:93">
      <c r="A190" s="106" t="s">
        <v>293</v>
      </c>
      <c r="B190" s="106">
        <v>9</v>
      </c>
      <c r="C190" s="106">
        <v>1</v>
      </c>
      <c r="D190" s="106">
        <v>1</v>
      </c>
      <c r="E190" s="106">
        <v>1</v>
      </c>
      <c r="F190" s="106">
        <v>1</v>
      </c>
      <c r="G190" s="106" t="s">
        <v>66</v>
      </c>
      <c r="H190" s="106" t="s">
        <v>202</v>
      </c>
      <c r="I190" s="106">
        <v>201</v>
      </c>
      <c r="J190" s="106">
        <v>203</v>
      </c>
      <c r="K190" s="106" t="s">
        <v>1394</v>
      </c>
      <c r="L190" s="106" t="s">
        <v>1244</v>
      </c>
      <c r="M190" s="106" t="s">
        <v>305</v>
      </c>
      <c r="O190" s="106">
        <v>9</v>
      </c>
      <c r="T190" s="106" t="s">
        <v>1766</v>
      </c>
      <c r="V190" s="106">
        <v>218835.069552</v>
      </c>
      <c r="W190" s="106">
        <v>1</v>
      </c>
      <c r="X190" s="106">
        <v>1</v>
      </c>
      <c r="Y190" s="106">
        <v>1</v>
      </c>
      <c r="Z190" s="106" t="s">
        <v>1766</v>
      </c>
      <c r="AA190" s="106">
        <v>73000</v>
      </c>
      <c r="AB190" s="106">
        <v>73000</v>
      </c>
      <c r="AC190" s="106">
        <v>73000</v>
      </c>
      <c r="AD190" s="106">
        <v>0</v>
      </c>
      <c r="AE190" s="106">
        <v>219000</v>
      </c>
      <c r="AF190" s="106">
        <v>219000</v>
      </c>
      <c r="AH190" s="106">
        <v>4320</v>
      </c>
      <c r="AI190" s="106">
        <v>0</v>
      </c>
      <c r="AJ190" s="106">
        <v>4</v>
      </c>
      <c r="AK190" s="106">
        <v>120</v>
      </c>
      <c r="AL190" s="106">
        <v>480</v>
      </c>
      <c r="AM190" s="106">
        <v>3540</v>
      </c>
      <c r="AN190" s="106">
        <v>3540</v>
      </c>
      <c r="AO190" s="106">
        <v>1034</v>
      </c>
      <c r="AP190" s="106" t="s">
        <v>114</v>
      </c>
      <c r="AQ190" s="106" t="s">
        <v>295</v>
      </c>
      <c r="AR190" s="106">
        <v>3000</v>
      </c>
      <c r="AS190" s="106">
        <v>0.04</v>
      </c>
      <c r="AT190" s="106">
        <v>0.04</v>
      </c>
      <c r="AU190" s="108" t="s">
        <v>150</v>
      </c>
      <c r="AV190" s="108" t="s">
        <v>296</v>
      </c>
      <c r="AW190" s="108">
        <v>3013</v>
      </c>
      <c r="AX190" s="108">
        <v>400</v>
      </c>
      <c r="AY190" s="108">
        <v>400</v>
      </c>
      <c r="BD190" s="106">
        <v>0</v>
      </c>
      <c r="BY190" s="112" t="s">
        <v>1766</v>
      </c>
      <c r="BZ190" s="112" t="s">
        <v>1766</v>
      </c>
      <c r="CA190" s="112" t="s">
        <v>1766</v>
      </c>
      <c r="CB190" s="112" t="s">
        <v>1766</v>
      </c>
      <c r="CC190" s="112" t="s">
        <v>1766</v>
      </c>
      <c r="CD190" s="112" t="s">
        <v>1766</v>
      </c>
      <c r="CE190" s="112" t="s">
        <v>1766</v>
      </c>
      <c r="CF190" s="112" t="s">
        <v>1766</v>
      </c>
      <c r="CG190" s="112" t="s">
        <v>1766</v>
      </c>
      <c r="CH190" s="112" t="s">
        <v>1766</v>
      </c>
      <c r="CI190" s="112" t="s">
        <v>1766</v>
      </c>
      <c r="CJ190" s="112" t="s">
        <v>1766</v>
      </c>
      <c r="CK190" s="112" t="s">
        <v>1766</v>
      </c>
      <c r="CL190" s="112" t="s">
        <v>1766</v>
      </c>
      <c r="CM190" s="112" t="s">
        <v>1766</v>
      </c>
      <c r="CN190" s="112" t="s">
        <v>1766</v>
      </c>
      <c r="CO190" s="112" t="s">
        <v>1766</v>
      </c>
    </row>
    <row r="191" spans="1:93">
      <c r="A191" s="106" t="s">
        <v>293</v>
      </c>
      <c r="B191" s="106">
        <v>10</v>
      </c>
      <c r="C191" s="106">
        <v>1</v>
      </c>
      <c r="D191" s="106">
        <v>1</v>
      </c>
      <c r="E191" s="106">
        <v>1</v>
      </c>
      <c r="F191" s="106">
        <v>1</v>
      </c>
      <c r="G191" s="106" t="s">
        <v>66</v>
      </c>
      <c r="H191" s="106" t="s">
        <v>202</v>
      </c>
      <c r="I191" s="106">
        <v>201</v>
      </c>
      <c r="J191" s="106">
        <v>203</v>
      </c>
      <c r="K191" s="106" t="s">
        <v>1394</v>
      </c>
      <c r="L191" s="106" t="s">
        <v>1247</v>
      </c>
      <c r="M191" s="106" t="s">
        <v>306</v>
      </c>
      <c r="O191" s="106">
        <v>10</v>
      </c>
      <c r="T191" s="106" t="s">
        <v>1766</v>
      </c>
      <c r="V191" s="106">
        <v>345759.40989215998</v>
      </c>
      <c r="W191" s="106">
        <v>1</v>
      </c>
      <c r="X191" s="106">
        <v>1</v>
      </c>
      <c r="Y191" s="106">
        <v>1</v>
      </c>
      <c r="Z191" s="106">
        <v>1</v>
      </c>
      <c r="AA191" s="106">
        <v>86000</v>
      </c>
      <c r="AB191" s="106">
        <v>86000</v>
      </c>
      <c r="AC191" s="106">
        <v>86000</v>
      </c>
      <c r="AD191" s="106">
        <v>86000</v>
      </c>
      <c r="AE191" s="106">
        <v>344000</v>
      </c>
      <c r="AF191" s="106">
        <v>344000</v>
      </c>
      <c r="AH191" s="106">
        <v>6480</v>
      </c>
      <c r="AI191" s="106">
        <v>0.01</v>
      </c>
      <c r="AJ191" s="106">
        <v>4</v>
      </c>
      <c r="AK191" s="106">
        <v>120</v>
      </c>
      <c r="AL191" s="106">
        <v>480</v>
      </c>
      <c r="AM191" s="106">
        <v>5635</v>
      </c>
      <c r="AN191" s="106">
        <v>5635</v>
      </c>
      <c r="AO191" s="106">
        <v>1726</v>
      </c>
      <c r="AP191" s="106" t="s">
        <v>114</v>
      </c>
      <c r="AQ191" s="106" t="s">
        <v>295</v>
      </c>
      <c r="AR191" s="106">
        <v>3000</v>
      </c>
      <c r="AS191" s="106">
        <v>4.4999999999999998E-2</v>
      </c>
      <c r="AT191" s="106">
        <v>4.4999999999999998E-2</v>
      </c>
      <c r="AU191" s="108" t="s">
        <v>150</v>
      </c>
      <c r="AV191" s="108" t="s">
        <v>296</v>
      </c>
      <c r="AW191" s="108">
        <v>3013</v>
      </c>
      <c r="AX191" s="108">
        <v>450</v>
      </c>
      <c r="AY191" s="108">
        <v>450</v>
      </c>
      <c r="BD191" s="106">
        <v>0</v>
      </c>
      <c r="BY191" s="112" t="s">
        <v>1766</v>
      </c>
      <c r="BZ191" s="112" t="s">
        <v>1766</v>
      </c>
      <c r="CA191" s="112" t="s">
        <v>1766</v>
      </c>
      <c r="CB191" s="112" t="s">
        <v>1766</v>
      </c>
      <c r="CC191" s="112" t="s">
        <v>1766</v>
      </c>
      <c r="CD191" s="112" t="s">
        <v>1766</v>
      </c>
      <c r="CE191" s="112" t="s">
        <v>1766</v>
      </c>
      <c r="CF191" s="112" t="s">
        <v>1766</v>
      </c>
      <c r="CG191" s="112" t="s">
        <v>1766</v>
      </c>
      <c r="CH191" s="112" t="s">
        <v>1766</v>
      </c>
      <c r="CI191" s="112" t="s">
        <v>1766</v>
      </c>
      <c r="CJ191" s="112" t="s">
        <v>1766</v>
      </c>
      <c r="CK191" s="112" t="s">
        <v>1766</v>
      </c>
      <c r="CL191" s="112" t="s">
        <v>1766</v>
      </c>
      <c r="CM191" s="112" t="s">
        <v>1766</v>
      </c>
      <c r="CN191" s="112" t="s">
        <v>1766</v>
      </c>
      <c r="CO191" s="112" t="s">
        <v>1766</v>
      </c>
    </row>
    <row r="192" spans="1:93">
      <c r="A192" s="106" t="s">
        <v>293</v>
      </c>
      <c r="B192" s="106">
        <v>11</v>
      </c>
      <c r="C192" s="106">
        <v>1</v>
      </c>
      <c r="D192" s="106">
        <v>1</v>
      </c>
      <c r="E192" s="106">
        <v>1</v>
      </c>
      <c r="F192" s="106">
        <v>1</v>
      </c>
      <c r="G192" s="106" t="s">
        <v>66</v>
      </c>
      <c r="H192" s="106" t="s">
        <v>202</v>
      </c>
      <c r="I192" s="106">
        <v>201</v>
      </c>
      <c r="J192" s="106">
        <v>203</v>
      </c>
      <c r="K192" s="106" t="s">
        <v>1394</v>
      </c>
      <c r="L192" s="106" t="s">
        <v>1252</v>
      </c>
      <c r="M192" s="106" t="s">
        <v>307</v>
      </c>
      <c r="O192" s="106">
        <v>11</v>
      </c>
      <c r="T192" s="106" t="s">
        <v>1766</v>
      </c>
      <c r="V192" s="106">
        <v>522096.70893716102</v>
      </c>
      <c r="W192" s="106">
        <v>1</v>
      </c>
      <c r="X192" s="106">
        <v>1</v>
      </c>
      <c r="Y192" s="106">
        <v>1</v>
      </c>
      <c r="Z192" s="106">
        <v>1</v>
      </c>
      <c r="AA192" s="106">
        <v>130000</v>
      </c>
      <c r="AB192" s="106">
        <v>130000</v>
      </c>
      <c r="AC192" s="106">
        <v>130000</v>
      </c>
      <c r="AD192" s="106">
        <v>130000</v>
      </c>
      <c r="AE192" s="106">
        <v>520000</v>
      </c>
      <c r="AF192" s="106">
        <v>520000</v>
      </c>
      <c r="AH192" s="106">
        <v>9720</v>
      </c>
      <c r="AI192" s="106">
        <v>0.02</v>
      </c>
      <c r="AJ192" s="106">
        <v>5</v>
      </c>
      <c r="AK192" s="106">
        <v>120</v>
      </c>
      <c r="AL192" s="106">
        <v>600</v>
      </c>
      <c r="AM192" s="106">
        <v>8629</v>
      </c>
      <c r="AN192" s="106">
        <v>8629</v>
      </c>
      <c r="AO192" s="106">
        <v>2770</v>
      </c>
      <c r="AP192" s="106" t="s">
        <v>114</v>
      </c>
      <c r="AQ192" s="106" t="s">
        <v>295</v>
      </c>
      <c r="AR192" s="106">
        <v>3000</v>
      </c>
      <c r="AS192" s="106">
        <v>0.05</v>
      </c>
      <c r="AT192" s="106">
        <v>0.05</v>
      </c>
      <c r="AU192" s="108" t="s">
        <v>150</v>
      </c>
      <c r="AV192" s="108" t="s">
        <v>296</v>
      </c>
      <c r="AW192" s="108">
        <v>3013</v>
      </c>
      <c r="AX192" s="108">
        <v>500</v>
      </c>
      <c r="AY192" s="108">
        <v>500</v>
      </c>
      <c r="BD192" s="106">
        <v>0</v>
      </c>
      <c r="BY192" s="112" t="s">
        <v>1766</v>
      </c>
      <c r="BZ192" s="112" t="s">
        <v>1766</v>
      </c>
      <c r="CA192" s="112" t="s">
        <v>1766</v>
      </c>
      <c r="CB192" s="112" t="s">
        <v>1766</v>
      </c>
      <c r="CC192" s="112" t="s">
        <v>1766</v>
      </c>
      <c r="CD192" s="112" t="s">
        <v>1766</v>
      </c>
      <c r="CE192" s="112" t="s">
        <v>1766</v>
      </c>
      <c r="CF192" s="112" t="s">
        <v>1766</v>
      </c>
      <c r="CG192" s="112" t="s">
        <v>1766</v>
      </c>
      <c r="CH192" s="112" t="s">
        <v>1766</v>
      </c>
      <c r="CI192" s="112" t="s">
        <v>1766</v>
      </c>
      <c r="CJ192" s="112" t="s">
        <v>1766</v>
      </c>
      <c r="CK192" s="112" t="s">
        <v>1766</v>
      </c>
      <c r="CL192" s="112" t="s">
        <v>1766</v>
      </c>
      <c r="CM192" s="112" t="s">
        <v>1766</v>
      </c>
      <c r="CN192" s="112" t="s">
        <v>1766</v>
      </c>
      <c r="CO192" s="112" t="s">
        <v>1766</v>
      </c>
    </row>
    <row r="193" spans="1:93">
      <c r="A193" s="106" t="s">
        <v>293</v>
      </c>
      <c r="B193" s="106">
        <v>12</v>
      </c>
      <c r="C193" s="106">
        <v>1</v>
      </c>
      <c r="D193" s="106">
        <v>1</v>
      </c>
      <c r="E193" s="106">
        <v>1</v>
      </c>
      <c r="F193" s="106">
        <v>1</v>
      </c>
      <c r="G193" s="106" t="s">
        <v>66</v>
      </c>
      <c r="H193" s="106" t="s">
        <v>202</v>
      </c>
      <c r="I193" s="106">
        <v>201</v>
      </c>
      <c r="J193" s="106">
        <v>203</v>
      </c>
      <c r="K193" s="106" t="s">
        <v>1394</v>
      </c>
      <c r="L193" s="106" t="s">
        <v>1258</v>
      </c>
      <c r="M193" s="106" t="s">
        <v>308</v>
      </c>
      <c r="O193" s="106">
        <v>12</v>
      </c>
      <c r="T193" s="106" t="s">
        <v>1766</v>
      </c>
      <c r="V193" s="106">
        <v>751819.26086951199</v>
      </c>
      <c r="W193" s="106">
        <v>1</v>
      </c>
      <c r="X193" s="106">
        <v>1</v>
      </c>
      <c r="Y193" s="106">
        <v>1</v>
      </c>
      <c r="Z193" s="106">
        <v>1</v>
      </c>
      <c r="AA193" s="106">
        <v>190000</v>
      </c>
      <c r="AB193" s="106">
        <v>190000</v>
      </c>
      <c r="AC193" s="106">
        <v>190000</v>
      </c>
      <c r="AD193" s="106">
        <v>190000</v>
      </c>
      <c r="AE193" s="106">
        <v>760000</v>
      </c>
      <c r="AF193" s="106">
        <v>760000</v>
      </c>
      <c r="AH193" s="106">
        <v>12960</v>
      </c>
      <c r="AI193" s="106">
        <v>0.03</v>
      </c>
      <c r="AJ193" s="106">
        <v>5</v>
      </c>
      <c r="AK193" s="106">
        <v>129.6</v>
      </c>
      <c r="AL193" s="106">
        <v>648</v>
      </c>
      <c r="AM193" s="106">
        <v>11634</v>
      </c>
      <c r="AN193" s="106">
        <v>11634</v>
      </c>
      <c r="AO193" s="106">
        <v>4273</v>
      </c>
      <c r="AP193" s="106" t="s">
        <v>114</v>
      </c>
      <c r="AQ193" s="106" t="s">
        <v>295</v>
      </c>
      <c r="AR193" s="106">
        <v>3000</v>
      </c>
      <c r="AS193" s="106">
        <v>5.5E-2</v>
      </c>
      <c r="AT193" s="106">
        <v>5.5E-2</v>
      </c>
      <c r="AU193" s="108" t="s">
        <v>150</v>
      </c>
      <c r="AV193" s="108" t="s">
        <v>296</v>
      </c>
      <c r="AW193" s="108">
        <v>3013</v>
      </c>
      <c r="AX193" s="108">
        <v>550</v>
      </c>
      <c r="AY193" s="108">
        <v>550</v>
      </c>
      <c r="BD193" s="106">
        <v>0</v>
      </c>
      <c r="BY193" s="112" t="s">
        <v>1766</v>
      </c>
      <c r="BZ193" s="112" t="s">
        <v>1766</v>
      </c>
      <c r="CA193" s="112" t="s">
        <v>1766</v>
      </c>
      <c r="CB193" s="112" t="s">
        <v>1766</v>
      </c>
      <c r="CC193" s="112" t="s">
        <v>1766</v>
      </c>
      <c r="CD193" s="112" t="s">
        <v>1766</v>
      </c>
      <c r="CE193" s="112" t="s">
        <v>1766</v>
      </c>
      <c r="CF193" s="112" t="s">
        <v>1766</v>
      </c>
      <c r="CG193" s="112" t="s">
        <v>1766</v>
      </c>
      <c r="CH193" s="112" t="s">
        <v>1766</v>
      </c>
      <c r="CI193" s="112" t="s">
        <v>1766</v>
      </c>
      <c r="CJ193" s="112" t="s">
        <v>1766</v>
      </c>
      <c r="CK193" s="112" t="s">
        <v>1766</v>
      </c>
      <c r="CL193" s="112" t="s">
        <v>1766</v>
      </c>
      <c r="CM193" s="112" t="s">
        <v>1766</v>
      </c>
      <c r="CN193" s="112" t="s">
        <v>1766</v>
      </c>
      <c r="CO193" s="112" t="s">
        <v>1766</v>
      </c>
    </row>
    <row r="194" spans="1:93">
      <c r="A194" s="106" t="s">
        <v>293</v>
      </c>
      <c r="B194" s="106">
        <v>13</v>
      </c>
      <c r="C194" s="106">
        <v>1</v>
      </c>
      <c r="D194" s="106">
        <v>1</v>
      </c>
      <c r="E194" s="106">
        <v>1</v>
      </c>
      <c r="F194" s="106">
        <v>1</v>
      </c>
      <c r="G194" s="106" t="s">
        <v>66</v>
      </c>
      <c r="H194" s="106" t="s">
        <v>202</v>
      </c>
      <c r="I194" s="106">
        <v>201</v>
      </c>
      <c r="J194" s="106">
        <v>203</v>
      </c>
      <c r="K194" s="106" t="s">
        <v>1394</v>
      </c>
      <c r="L194" s="106" t="s">
        <v>1262</v>
      </c>
      <c r="M194" s="106" t="s">
        <v>309</v>
      </c>
      <c r="O194" s="106">
        <v>13</v>
      </c>
      <c r="T194" s="106" t="s">
        <v>1766</v>
      </c>
      <c r="V194" s="106">
        <v>1029992.38739123</v>
      </c>
      <c r="W194" s="106">
        <v>1</v>
      </c>
      <c r="X194" s="106">
        <v>1</v>
      </c>
      <c r="Y194" s="106">
        <v>1</v>
      </c>
      <c r="Z194" s="106">
        <v>1</v>
      </c>
      <c r="AA194" s="106">
        <v>260000</v>
      </c>
      <c r="AB194" s="106">
        <v>260000</v>
      </c>
      <c r="AC194" s="106">
        <v>260000</v>
      </c>
      <c r="AD194" s="106">
        <v>260000</v>
      </c>
      <c r="AE194" s="106">
        <v>1040000</v>
      </c>
      <c r="AF194" s="106">
        <v>1040000</v>
      </c>
      <c r="AH194" s="106">
        <v>17280</v>
      </c>
      <c r="AI194" s="106">
        <v>0.04</v>
      </c>
      <c r="AJ194" s="106">
        <v>6</v>
      </c>
      <c r="AK194" s="106">
        <v>172.8</v>
      </c>
      <c r="AL194" s="106">
        <v>1036.8</v>
      </c>
      <c r="AM194" s="106">
        <v>15278</v>
      </c>
      <c r="AN194" s="106">
        <v>15278</v>
      </c>
      <c r="AO194" s="106">
        <v>6333</v>
      </c>
      <c r="AP194" s="106" t="s">
        <v>114</v>
      </c>
      <c r="AQ194" s="106" t="s">
        <v>295</v>
      </c>
      <c r="AR194" s="106">
        <v>3000</v>
      </c>
      <c r="AS194" s="106">
        <v>0.06</v>
      </c>
      <c r="AT194" s="106">
        <v>0.06</v>
      </c>
      <c r="AU194" s="108" t="s">
        <v>150</v>
      </c>
      <c r="AV194" s="108" t="s">
        <v>296</v>
      </c>
      <c r="AW194" s="108">
        <v>3013</v>
      </c>
      <c r="AX194" s="108">
        <v>600</v>
      </c>
      <c r="AY194" s="108">
        <v>600</v>
      </c>
      <c r="BD194" s="106">
        <v>0</v>
      </c>
      <c r="BY194" s="112" t="s">
        <v>1766</v>
      </c>
      <c r="BZ194" s="112" t="s">
        <v>1766</v>
      </c>
      <c r="CA194" s="112" t="s">
        <v>1766</v>
      </c>
      <c r="CB194" s="112" t="s">
        <v>1766</v>
      </c>
      <c r="CC194" s="112" t="s">
        <v>1766</v>
      </c>
      <c r="CD194" s="112" t="s">
        <v>1766</v>
      </c>
      <c r="CE194" s="112" t="s">
        <v>1766</v>
      </c>
      <c r="CF194" s="112" t="s">
        <v>1766</v>
      </c>
      <c r="CG194" s="112" t="s">
        <v>1766</v>
      </c>
      <c r="CH194" s="112" t="s">
        <v>1766</v>
      </c>
      <c r="CI194" s="112" t="s">
        <v>1766</v>
      </c>
      <c r="CJ194" s="112" t="s">
        <v>1766</v>
      </c>
      <c r="CK194" s="112" t="s">
        <v>1766</v>
      </c>
      <c r="CL194" s="112" t="s">
        <v>1766</v>
      </c>
      <c r="CM194" s="112" t="s">
        <v>1766</v>
      </c>
      <c r="CN194" s="112" t="s">
        <v>1766</v>
      </c>
      <c r="CO194" s="112" t="s">
        <v>1766</v>
      </c>
    </row>
    <row r="195" spans="1:93">
      <c r="A195" s="106" t="s">
        <v>293</v>
      </c>
      <c r="B195" s="106">
        <v>14</v>
      </c>
      <c r="C195" s="106">
        <v>1</v>
      </c>
      <c r="D195" s="106">
        <v>1</v>
      </c>
      <c r="E195" s="106">
        <v>1</v>
      </c>
      <c r="F195" s="106">
        <v>1</v>
      </c>
      <c r="G195" s="106" t="s">
        <v>66</v>
      </c>
      <c r="H195" s="106" t="s">
        <v>202</v>
      </c>
      <c r="I195" s="106">
        <v>201</v>
      </c>
      <c r="J195" s="106">
        <v>203</v>
      </c>
      <c r="K195" s="106" t="s">
        <v>1394</v>
      </c>
      <c r="L195" s="106" t="s">
        <v>1265</v>
      </c>
      <c r="M195" s="106" t="s">
        <v>310</v>
      </c>
      <c r="O195" s="106">
        <v>14</v>
      </c>
      <c r="T195" s="106" t="s">
        <v>1766</v>
      </c>
      <c r="V195" s="106">
        <v>1338990.1036086001</v>
      </c>
      <c r="W195" s="106">
        <v>1</v>
      </c>
      <c r="X195" s="106">
        <v>1</v>
      </c>
      <c r="Y195" s="106">
        <v>1</v>
      </c>
      <c r="Z195" s="106">
        <v>1</v>
      </c>
      <c r="AA195" s="106">
        <v>330000</v>
      </c>
      <c r="AB195" s="106">
        <v>330000</v>
      </c>
      <c r="AC195" s="106">
        <v>330000</v>
      </c>
      <c r="AD195" s="106">
        <v>330000</v>
      </c>
      <c r="AE195" s="106">
        <v>1320000</v>
      </c>
      <c r="AF195" s="106">
        <v>1320000</v>
      </c>
      <c r="AH195" s="106">
        <v>21600</v>
      </c>
      <c r="AI195" s="106">
        <v>0.05</v>
      </c>
      <c r="AJ195" s="106">
        <v>6</v>
      </c>
      <c r="AK195" s="106">
        <v>216</v>
      </c>
      <c r="AL195" s="106">
        <v>1296</v>
      </c>
      <c r="AM195" s="106">
        <v>18975</v>
      </c>
      <c r="AN195" s="106">
        <v>18975</v>
      </c>
      <c r="AO195" s="106">
        <v>9011</v>
      </c>
      <c r="AP195" s="106" t="s">
        <v>114</v>
      </c>
      <c r="AQ195" s="106" t="s">
        <v>295</v>
      </c>
      <c r="AR195" s="106">
        <v>3000</v>
      </c>
      <c r="AS195" s="106">
        <v>6.5000000000000002E-2</v>
      </c>
      <c r="AT195" s="106">
        <v>6.5000000000000002E-2</v>
      </c>
      <c r="AU195" s="108" t="s">
        <v>150</v>
      </c>
      <c r="AV195" s="108" t="s">
        <v>296</v>
      </c>
      <c r="AW195" s="108">
        <v>3013</v>
      </c>
      <c r="AX195" s="108">
        <v>650</v>
      </c>
      <c r="AY195" s="108">
        <v>650</v>
      </c>
      <c r="BD195" s="106">
        <v>0</v>
      </c>
      <c r="BY195" s="112" t="s">
        <v>1766</v>
      </c>
      <c r="BZ195" s="112" t="s">
        <v>1766</v>
      </c>
      <c r="CA195" s="112" t="s">
        <v>1766</v>
      </c>
      <c r="CB195" s="112" t="s">
        <v>1766</v>
      </c>
      <c r="CC195" s="112" t="s">
        <v>1766</v>
      </c>
      <c r="CD195" s="112" t="s">
        <v>1766</v>
      </c>
      <c r="CE195" s="112" t="s">
        <v>1766</v>
      </c>
      <c r="CF195" s="112" t="s">
        <v>1766</v>
      </c>
      <c r="CG195" s="112" t="s">
        <v>1766</v>
      </c>
      <c r="CH195" s="112" t="s">
        <v>1766</v>
      </c>
      <c r="CI195" s="112" t="s">
        <v>1766</v>
      </c>
      <c r="CJ195" s="112" t="s">
        <v>1766</v>
      </c>
      <c r="CK195" s="112" t="s">
        <v>1766</v>
      </c>
      <c r="CL195" s="112" t="s">
        <v>1766</v>
      </c>
      <c r="CM195" s="112" t="s">
        <v>1766</v>
      </c>
      <c r="CN195" s="112" t="s">
        <v>1766</v>
      </c>
      <c r="CO195" s="112" t="s">
        <v>1766</v>
      </c>
    </row>
    <row r="196" spans="1:93">
      <c r="A196" s="106" t="s">
        <v>293</v>
      </c>
      <c r="B196" s="106">
        <v>15</v>
      </c>
      <c r="C196" s="106">
        <v>1</v>
      </c>
      <c r="D196" s="106">
        <v>1</v>
      </c>
      <c r="E196" s="106">
        <v>1</v>
      </c>
      <c r="F196" s="106">
        <v>1</v>
      </c>
      <c r="G196" s="106" t="s">
        <v>66</v>
      </c>
      <c r="H196" s="106" t="s">
        <v>202</v>
      </c>
      <c r="I196" s="106">
        <v>201</v>
      </c>
      <c r="J196" s="106">
        <v>203</v>
      </c>
      <c r="K196" s="106" t="s">
        <v>1394</v>
      </c>
      <c r="L196" s="106" t="s">
        <v>1269</v>
      </c>
      <c r="M196" s="106" t="s">
        <v>311</v>
      </c>
      <c r="O196" s="106">
        <v>15</v>
      </c>
      <c r="T196" s="106" t="s">
        <v>1766</v>
      </c>
      <c r="V196" s="106">
        <v>1713907.33261901</v>
      </c>
      <c r="W196" s="106">
        <v>1</v>
      </c>
      <c r="X196" s="106">
        <v>1</v>
      </c>
      <c r="Y196" s="106">
        <v>1</v>
      </c>
      <c r="Z196" s="106">
        <v>1</v>
      </c>
      <c r="AA196" s="106">
        <v>430000</v>
      </c>
      <c r="AB196" s="106">
        <v>430000</v>
      </c>
      <c r="AC196" s="106">
        <v>430000</v>
      </c>
      <c r="AD196" s="106">
        <v>430000</v>
      </c>
      <c r="AE196" s="106">
        <v>1720000</v>
      </c>
      <c r="AF196" s="106">
        <v>1720000</v>
      </c>
      <c r="AH196" s="106">
        <v>25920</v>
      </c>
      <c r="AI196" s="106">
        <v>0.05</v>
      </c>
      <c r="AJ196" s="106">
        <v>7</v>
      </c>
      <c r="AK196" s="106">
        <v>259.2</v>
      </c>
      <c r="AL196" s="106">
        <v>1814.4</v>
      </c>
      <c r="AM196" s="106">
        <v>22571</v>
      </c>
      <c r="AN196" s="106">
        <v>22571</v>
      </c>
      <c r="AO196" s="106">
        <v>12439</v>
      </c>
      <c r="AP196" s="106" t="s">
        <v>114</v>
      </c>
      <c r="AQ196" s="106" t="s">
        <v>295</v>
      </c>
      <c r="AR196" s="106">
        <v>3000</v>
      </c>
      <c r="AS196" s="106">
        <v>7.0000000000000007E-2</v>
      </c>
      <c r="AT196" s="106">
        <v>7.0000000000000007E-2</v>
      </c>
      <c r="AU196" s="108" t="s">
        <v>150</v>
      </c>
      <c r="AV196" s="108" t="s">
        <v>296</v>
      </c>
      <c r="AW196" s="108">
        <v>3013</v>
      </c>
      <c r="AX196" s="108">
        <v>700</v>
      </c>
      <c r="AY196" s="108">
        <v>700</v>
      </c>
      <c r="BD196" s="106">
        <v>0</v>
      </c>
      <c r="BY196" s="112" t="s">
        <v>1766</v>
      </c>
      <c r="BZ196" s="112" t="s">
        <v>1766</v>
      </c>
      <c r="CA196" s="112" t="s">
        <v>1766</v>
      </c>
      <c r="CB196" s="112" t="s">
        <v>1766</v>
      </c>
      <c r="CC196" s="112" t="s">
        <v>1766</v>
      </c>
      <c r="CD196" s="112" t="s">
        <v>1766</v>
      </c>
      <c r="CE196" s="112" t="s">
        <v>1766</v>
      </c>
      <c r="CF196" s="112" t="s">
        <v>1766</v>
      </c>
      <c r="CG196" s="112" t="s">
        <v>1766</v>
      </c>
      <c r="CH196" s="112" t="s">
        <v>1766</v>
      </c>
      <c r="CI196" s="112" t="s">
        <v>1766</v>
      </c>
      <c r="CJ196" s="112" t="s">
        <v>1766</v>
      </c>
      <c r="CK196" s="112" t="s">
        <v>1766</v>
      </c>
      <c r="CL196" s="112" t="s">
        <v>1766</v>
      </c>
      <c r="CM196" s="112" t="s">
        <v>1766</v>
      </c>
      <c r="CN196" s="112" t="s">
        <v>1766</v>
      </c>
      <c r="CO196" s="112" t="s">
        <v>1766</v>
      </c>
    </row>
    <row r="197" spans="1:93">
      <c r="A197" s="106" t="s">
        <v>293</v>
      </c>
      <c r="B197" s="106">
        <v>16</v>
      </c>
      <c r="C197" s="106">
        <v>1</v>
      </c>
      <c r="D197" s="106">
        <v>1</v>
      </c>
      <c r="E197" s="106">
        <v>1</v>
      </c>
      <c r="F197" s="106">
        <v>1</v>
      </c>
      <c r="G197" s="106" t="s">
        <v>66</v>
      </c>
      <c r="H197" s="106" t="s">
        <v>202</v>
      </c>
      <c r="I197" s="106">
        <v>201</v>
      </c>
      <c r="J197" s="106">
        <v>203</v>
      </c>
      <c r="K197" s="106" t="s">
        <v>1394</v>
      </c>
      <c r="L197" s="106" t="s">
        <v>1272</v>
      </c>
      <c r="M197" s="106" t="s">
        <v>312</v>
      </c>
      <c r="O197" s="106">
        <v>16</v>
      </c>
      <c r="T197" s="106" t="s">
        <v>1766</v>
      </c>
      <c r="V197" s="106">
        <v>2193801.3857523301</v>
      </c>
      <c r="W197" s="106">
        <v>1</v>
      </c>
      <c r="X197" s="106">
        <v>1</v>
      </c>
      <c r="Y197" s="106">
        <v>1</v>
      </c>
      <c r="Z197" s="106">
        <v>1</v>
      </c>
      <c r="AA197" s="106">
        <v>550000</v>
      </c>
      <c r="AB197" s="106">
        <v>550000</v>
      </c>
      <c r="AC197" s="106">
        <v>550000</v>
      </c>
      <c r="AD197" s="106">
        <v>550000</v>
      </c>
      <c r="AE197" s="106">
        <v>2200000</v>
      </c>
      <c r="AF197" s="106">
        <v>2200000</v>
      </c>
      <c r="AH197" s="106">
        <v>32400</v>
      </c>
      <c r="AI197" s="106">
        <v>0.05</v>
      </c>
      <c r="AJ197" s="106">
        <v>7</v>
      </c>
      <c r="AK197" s="106">
        <v>324</v>
      </c>
      <c r="AL197" s="106">
        <v>2268</v>
      </c>
      <c r="AM197" s="106">
        <v>28289</v>
      </c>
      <c r="AN197" s="106">
        <v>28289</v>
      </c>
      <c r="AO197" s="106">
        <v>16827</v>
      </c>
      <c r="AP197" s="106" t="s">
        <v>114</v>
      </c>
      <c r="AQ197" s="106" t="s">
        <v>295</v>
      </c>
      <c r="AR197" s="106">
        <v>3000</v>
      </c>
      <c r="AS197" s="106">
        <v>7.4999999999999997E-2</v>
      </c>
      <c r="AT197" s="106">
        <v>7.4999999999999997E-2</v>
      </c>
      <c r="AU197" s="108" t="s">
        <v>150</v>
      </c>
      <c r="AV197" s="108" t="s">
        <v>296</v>
      </c>
      <c r="AW197" s="108">
        <v>3013</v>
      </c>
      <c r="AX197" s="108">
        <v>750</v>
      </c>
      <c r="AY197" s="108">
        <v>750</v>
      </c>
      <c r="BD197" s="106">
        <v>0</v>
      </c>
      <c r="BY197" s="112" t="s">
        <v>1766</v>
      </c>
      <c r="BZ197" s="112" t="s">
        <v>1766</v>
      </c>
      <c r="CA197" s="112" t="s">
        <v>1766</v>
      </c>
      <c r="CB197" s="112" t="s">
        <v>1766</v>
      </c>
      <c r="CC197" s="112" t="s">
        <v>1766</v>
      </c>
      <c r="CD197" s="112" t="s">
        <v>1766</v>
      </c>
      <c r="CE197" s="112" t="s">
        <v>1766</v>
      </c>
      <c r="CF197" s="112" t="s">
        <v>1766</v>
      </c>
      <c r="CG197" s="112" t="s">
        <v>1766</v>
      </c>
      <c r="CH197" s="112" t="s">
        <v>1766</v>
      </c>
      <c r="CI197" s="112" t="s">
        <v>1766</v>
      </c>
      <c r="CJ197" s="112" t="s">
        <v>1766</v>
      </c>
      <c r="CK197" s="112" t="s">
        <v>1766</v>
      </c>
      <c r="CL197" s="112" t="s">
        <v>1766</v>
      </c>
      <c r="CM197" s="112" t="s">
        <v>1766</v>
      </c>
      <c r="CN197" s="112" t="s">
        <v>1766</v>
      </c>
      <c r="CO197" s="112" t="s">
        <v>1766</v>
      </c>
    </row>
    <row r="198" spans="1:93">
      <c r="A198" s="106" t="s">
        <v>293</v>
      </c>
      <c r="B198" s="106">
        <v>17</v>
      </c>
      <c r="C198" s="106">
        <v>1</v>
      </c>
      <c r="D198" s="106">
        <v>1</v>
      </c>
      <c r="E198" s="106">
        <v>1</v>
      </c>
      <c r="F198" s="106">
        <v>1</v>
      </c>
      <c r="G198" s="106" t="s">
        <v>66</v>
      </c>
      <c r="H198" s="106" t="s">
        <v>202</v>
      </c>
      <c r="I198" s="106">
        <v>201</v>
      </c>
      <c r="J198" s="106">
        <v>203</v>
      </c>
      <c r="K198" s="106" t="s">
        <v>1394</v>
      </c>
      <c r="L198" s="106" t="s">
        <v>1278</v>
      </c>
      <c r="M198" s="106" t="s">
        <v>315</v>
      </c>
      <c r="O198" s="106">
        <v>17</v>
      </c>
      <c r="T198" s="106" t="s">
        <v>1766</v>
      </c>
      <c r="V198" s="106">
        <v>2808065.7737629898</v>
      </c>
      <c r="W198" s="106">
        <v>1</v>
      </c>
      <c r="X198" s="106">
        <v>1</v>
      </c>
      <c r="Y198" s="106">
        <v>1</v>
      </c>
      <c r="Z198" s="106">
        <v>1</v>
      </c>
      <c r="AA198" s="106">
        <v>700000</v>
      </c>
      <c r="AB198" s="106">
        <v>700000</v>
      </c>
      <c r="AC198" s="106">
        <v>700000</v>
      </c>
      <c r="AD198" s="106">
        <v>700000</v>
      </c>
      <c r="AE198" s="106">
        <v>2800000</v>
      </c>
      <c r="AF198" s="106">
        <v>2800000</v>
      </c>
      <c r="AH198" s="106">
        <v>43200</v>
      </c>
      <c r="AI198" s="106">
        <v>0.05</v>
      </c>
      <c r="AJ198" s="106">
        <v>8</v>
      </c>
      <c r="AK198" s="106">
        <v>432</v>
      </c>
      <c r="AL198" s="106">
        <v>3456</v>
      </c>
      <c r="AM198" s="106">
        <v>37386</v>
      </c>
      <c r="AN198" s="106">
        <v>37386</v>
      </c>
      <c r="AO198" s="106">
        <v>22443</v>
      </c>
      <c r="AP198" s="106" t="s">
        <v>114</v>
      </c>
      <c r="AQ198" s="106" t="s">
        <v>295</v>
      </c>
      <c r="AR198" s="106">
        <v>3000</v>
      </c>
      <c r="AS198" s="106">
        <v>0.08</v>
      </c>
      <c r="AT198" s="106">
        <v>0.08</v>
      </c>
      <c r="AU198" s="108" t="s">
        <v>150</v>
      </c>
      <c r="AV198" s="108" t="s">
        <v>296</v>
      </c>
      <c r="AW198" s="108">
        <v>3013</v>
      </c>
      <c r="AX198" s="108">
        <v>800</v>
      </c>
      <c r="AY198" s="108">
        <v>800</v>
      </c>
      <c r="BD198" s="106">
        <v>0</v>
      </c>
      <c r="BY198" s="112" t="s">
        <v>1766</v>
      </c>
      <c r="BZ198" s="112" t="s">
        <v>1766</v>
      </c>
      <c r="CA198" s="112" t="s">
        <v>1766</v>
      </c>
      <c r="CB198" s="112" t="s">
        <v>1766</v>
      </c>
      <c r="CC198" s="112" t="s">
        <v>1766</v>
      </c>
      <c r="CD198" s="112" t="s">
        <v>1766</v>
      </c>
      <c r="CE198" s="112" t="s">
        <v>1766</v>
      </c>
      <c r="CF198" s="112" t="s">
        <v>1766</v>
      </c>
      <c r="CG198" s="112" t="s">
        <v>1766</v>
      </c>
      <c r="CH198" s="112" t="s">
        <v>1766</v>
      </c>
      <c r="CI198" s="112" t="s">
        <v>1766</v>
      </c>
      <c r="CJ198" s="112" t="s">
        <v>1766</v>
      </c>
      <c r="CK198" s="112" t="s">
        <v>1766</v>
      </c>
      <c r="CL198" s="112" t="s">
        <v>1766</v>
      </c>
      <c r="CM198" s="112" t="s">
        <v>1766</v>
      </c>
      <c r="CN198" s="112" t="s">
        <v>1766</v>
      </c>
      <c r="CO198" s="112" t="s">
        <v>1766</v>
      </c>
    </row>
    <row r="199" spans="1:93">
      <c r="A199" s="106" t="s">
        <v>293</v>
      </c>
      <c r="B199" s="106">
        <v>18</v>
      </c>
      <c r="C199" s="106">
        <v>1</v>
      </c>
      <c r="D199" s="106">
        <v>1</v>
      </c>
      <c r="E199" s="106">
        <v>1</v>
      </c>
      <c r="F199" s="106">
        <v>1</v>
      </c>
      <c r="G199" s="106" t="s">
        <v>66</v>
      </c>
      <c r="H199" s="106" t="s">
        <v>202</v>
      </c>
      <c r="I199" s="106">
        <v>201</v>
      </c>
      <c r="J199" s="106">
        <v>203</v>
      </c>
      <c r="K199" s="106" t="s">
        <v>1394</v>
      </c>
      <c r="L199" s="106" t="s">
        <v>1281</v>
      </c>
      <c r="M199" s="106" t="s">
        <v>316</v>
      </c>
      <c r="O199" s="106">
        <v>18</v>
      </c>
      <c r="T199" s="106" t="s">
        <v>1766</v>
      </c>
      <c r="V199" s="106">
        <v>3594324.1904166201</v>
      </c>
      <c r="W199" s="106">
        <v>1</v>
      </c>
      <c r="X199" s="106">
        <v>1</v>
      </c>
      <c r="Y199" s="106">
        <v>1</v>
      </c>
      <c r="Z199" s="106">
        <v>1</v>
      </c>
      <c r="AA199" s="106">
        <v>900000</v>
      </c>
      <c r="AB199" s="106">
        <v>900000</v>
      </c>
      <c r="AC199" s="106">
        <v>900000</v>
      </c>
      <c r="AD199" s="106">
        <v>900000</v>
      </c>
      <c r="AE199" s="106">
        <v>3600000</v>
      </c>
      <c r="AF199" s="106">
        <v>3600000</v>
      </c>
      <c r="AH199" s="106">
        <v>56160</v>
      </c>
      <c r="AI199" s="106">
        <v>6.5000000000000002E-2</v>
      </c>
      <c r="AJ199" s="106">
        <v>8</v>
      </c>
      <c r="AK199" s="106">
        <v>561.6</v>
      </c>
      <c r="AL199" s="106">
        <v>4492.8</v>
      </c>
      <c r="AM199" s="106">
        <v>47939</v>
      </c>
      <c r="AN199" s="106">
        <v>47939</v>
      </c>
      <c r="AO199" s="106">
        <v>29632</v>
      </c>
      <c r="AP199" s="106" t="s">
        <v>114</v>
      </c>
      <c r="AQ199" s="106" t="s">
        <v>295</v>
      </c>
      <c r="AR199" s="106">
        <v>3000</v>
      </c>
      <c r="AS199" s="106">
        <v>8.5000000000000006E-2</v>
      </c>
      <c r="AT199" s="106">
        <v>8.5000000000000006E-2</v>
      </c>
      <c r="AU199" s="108" t="s">
        <v>150</v>
      </c>
      <c r="AV199" s="108" t="s">
        <v>296</v>
      </c>
      <c r="AW199" s="108">
        <v>3013</v>
      </c>
      <c r="AX199" s="108">
        <v>850</v>
      </c>
      <c r="AY199" s="108">
        <v>850</v>
      </c>
      <c r="BD199" s="106">
        <v>0</v>
      </c>
      <c r="BY199" s="112" t="s">
        <v>1766</v>
      </c>
      <c r="BZ199" s="112" t="s">
        <v>1766</v>
      </c>
      <c r="CA199" s="112" t="s">
        <v>1766</v>
      </c>
      <c r="CB199" s="112" t="s">
        <v>1766</v>
      </c>
      <c r="CC199" s="112" t="s">
        <v>1766</v>
      </c>
      <c r="CD199" s="112" t="s">
        <v>1766</v>
      </c>
      <c r="CE199" s="112" t="s">
        <v>1766</v>
      </c>
      <c r="CF199" s="112" t="s">
        <v>1766</v>
      </c>
      <c r="CG199" s="112" t="s">
        <v>1766</v>
      </c>
      <c r="CH199" s="112" t="s">
        <v>1766</v>
      </c>
      <c r="CI199" s="112" t="s">
        <v>1766</v>
      </c>
      <c r="CJ199" s="112" t="s">
        <v>1766</v>
      </c>
      <c r="CK199" s="112" t="s">
        <v>1766</v>
      </c>
      <c r="CL199" s="112" t="s">
        <v>1766</v>
      </c>
      <c r="CM199" s="112" t="s">
        <v>1766</v>
      </c>
      <c r="CN199" s="112" t="s">
        <v>1766</v>
      </c>
      <c r="CO199" s="112" t="s">
        <v>1766</v>
      </c>
    </row>
    <row r="200" spans="1:93">
      <c r="A200" s="106" t="s">
        <v>293</v>
      </c>
      <c r="B200" s="106">
        <v>19</v>
      </c>
      <c r="C200" s="106">
        <v>1</v>
      </c>
      <c r="D200" s="106">
        <v>1</v>
      </c>
      <c r="E200" s="106">
        <v>1</v>
      </c>
      <c r="F200" s="106">
        <v>1</v>
      </c>
      <c r="G200" s="106" t="s">
        <v>66</v>
      </c>
      <c r="H200" s="106" t="s">
        <v>202</v>
      </c>
      <c r="I200" s="106">
        <v>201</v>
      </c>
      <c r="J200" s="106">
        <v>203</v>
      </c>
      <c r="K200" s="106" t="s">
        <v>1394</v>
      </c>
      <c r="L200" s="106" t="s">
        <v>1283</v>
      </c>
      <c r="M200" s="106" t="s">
        <v>317</v>
      </c>
      <c r="O200" s="106">
        <v>19</v>
      </c>
      <c r="T200" s="106" t="s">
        <v>1766</v>
      </c>
      <c r="V200" s="106">
        <v>4600734.9637332801</v>
      </c>
      <c r="W200" s="106">
        <v>1</v>
      </c>
      <c r="X200" s="106">
        <v>1</v>
      </c>
      <c r="Y200" s="106">
        <v>1</v>
      </c>
      <c r="Z200" s="106">
        <v>1</v>
      </c>
      <c r="AA200" s="106">
        <v>1200000</v>
      </c>
      <c r="AB200" s="106">
        <v>1200000</v>
      </c>
      <c r="AC200" s="106">
        <v>1200000</v>
      </c>
      <c r="AD200" s="106">
        <v>1200000</v>
      </c>
      <c r="AE200" s="106">
        <v>4800000</v>
      </c>
      <c r="AF200" s="106">
        <v>4800000</v>
      </c>
      <c r="AH200" s="106">
        <v>73440</v>
      </c>
      <c r="AI200" s="106">
        <v>0.08</v>
      </c>
      <c r="AJ200" s="106">
        <v>9</v>
      </c>
      <c r="AK200" s="106">
        <v>734.4</v>
      </c>
      <c r="AL200" s="106">
        <v>6609.6</v>
      </c>
      <c r="AM200" s="106">
        <v>61090</v>
      </c>
      <c r="AN200" s="106">
        <v>61090</v>
      </c>
      <c r="AO200" s="106">
        <v>38833</v>
      </c>
      <c r="AP200" s="106" t="s">
        <v>114</v>
      </c>
      <c r="AQ200" s="106" t="s">
        <v>295</v>
      </c>
      <c r="AR200" s="106">
        <v>3000</v>
      </c>
      <c r="AS200" s="106">
        <v>0.09</v>
      </c>
      <c r="AT200" s="106">
        <v>0.09</v>
      </c>
      <c r="AU200" s="108" t="s">
        <v>150</v>
      </c>
      <c r="AV200" s="108" t="s">
        <v>296</v>
      </c>
      <c r="AW200" s="108">
        <v>3013</v>
      </c>
      <c r="AX200" s="108">
        <v>900</v>
      </c>
      <c r="AY200" s="108">
        <v>900</v>
      </c>
      <c r="BD200" s="106">
        <v>0</v>
      </c>
      <c r="BY200" s="112" t="s">
        <v>1766</v>
      </c>
      <c r="BZ200" s="112" t="s">
        <v>1766</v>
      </c>
      <c r="CA200" s="112" t="s">
        <v>1766</v>
      </c>
      <c r="CB200" s="112" t="s">
        <v>1766</v>
      </c>
      <c r="CC200" s="112" t="s">
        <v>1766</v>
      </c>
      <c r="CD200" s="112" t="s">
        <v>1766</v>
      </c>
      <c r="CE200" s="112" t="s">
        <v>1766</v>
      </c>
      <c r="CF200" s="112" t="s">
        <v>1766</v>
      </c>
      <c r="CG200" s="112" t="s">
        <v>1766</v>
      </c>
      <c r="CH200" s="112" t="s">
        <v>1766</v>
      </c>
      <c r="CI200" s="112" t="s">
        <v>1766</v>
      </c>
      <c r="CJ200" s="112" t="s">
        <v>1766</v>
      </c>
      <c r="CK200" s="112" t="s">
        <v>1766</v>
      </c>
      <c r="CL200" s="112" t="s">
        <v>1766</v>
      </c>
      <c r="CM200" s="112" t="s">
        <v>1766</v>
      </c>
      <c r="CN200" s="112" t="s">
        <v>1766</v>
      </c>
      <c r="CO200" s="112" t="s">
        <v>1766</v>
      </c>
    </row>
    <row r="201" spans="1:93">
      <c r="A201" s="106" t="s">
        <v>293</v>
      </c>
      <c r="B201" s="106">
        <v>20</v>
      </c>
      <c r="C201" s="106">
        <v>1</v>
      </c>
      <c r="D201" s="106">
        <v>1</v>
      </c>
      <c r="E201" s="106">
        <v>1</v>
      </c>
      <c r="F201" s="106">
        <v>1</v>
      </c>
      <c r="G201" s="106" t="s">
        <v>66</v>
      </c>
      <c r="H201" s="106" t="s">
        <v>202</v>
      </c>
      <c r="I201" s="106">
        <v>201</v>
      </c>
      <c r="J201" s="106">
        <v>203</v>
      </c>
      <c r="K201" s="106" t="s">
        <v>1394</v>
      </c>
      <c r="L201" s="106" t="s">
        <v>1287</v>
      </c>
      <c r="M201" s="106" t="s">
        <v>318</v>
      </c>
      <c r="O201" s="106">
        <v>20</v>
      </c>
      <c r="T201" s="106" t="s">
        <v>1766</v>
      </c>
      <c r="V201" s="106">
        <v>5888940.7535785902</v>
      </c>
      <c r="W201" s="106">
        <v>1</v>
      </c>
      <c r="X201" s="106">
        <v>1</v>
      </c>
      <c r="Y201" s="106">
        <v>1</v>
      </c>
      <c r="Z201" s="106">
        <v>1</v>
      </c>
      <c r="AA201" s="106">
        <v>1500000</v>
      </c>
      <c r="AB201" s="106">
        <v>1500000</v>
      </c>
      <c r="AC201" s="106">
        <v>1500000</v>
      </c>
      <c r="AD201" s="106">
        <v>1500000</v>
      </c>
      <c r="AE201" s="106">
        <v>6000000</v>
      </c>
      <c r="AF201" s="106">
        <v>6000000</v>
      </c>
      <c r="AH201" s="106">
        <v>103680</v>
      </c>
      <c r="AI201" s="106">
        <v>9.5000000000000001E-2</v>
      </c>
      <c r="AJ201" s="106">
        <v>9</v>
      </c>
      <c r="AK201" s="106">
        <v>1036.8</v>
      </c>
      <c r="AL201" s="106">
        <v>9331.2000000000007</v>
      </c>
      <c r="AM201" s="106">
        <v>85053</v>
      </c>
      <c r="AN201" s="106">
        <v>85053</v>
      </c>
      <c r="AO201" s="106">
        <v>50611</v>
      </c>
      <c r="AP201" s="106" t="s">
        <v>114</v>
      </c>
      <c r="AQ201" s="106" t="s">
        <v>295</v>
      </c>
      <c r="AR201" s="106">
        <v>3000</v>
      </c>
      <c r="AS201" s="106">
        <v>9.5000000000000001E-2</v>
      </c>
      <c r="AT201" s="106">
        <v>9.5000000000000001E-2</v>
      </c>
      <c r="AU201" s="108" t="s">
        <v>150</v>
      </c>
      <c r="AV201" s="108" t="s">
        <v>296</v>
      </c>
      <c r="AW201" s="108">
        <v>3013</v>
      </c>
      <c r="AX201" s="108">
        <v>950</v>
      </c>
      <c r="AY201" s="108">
        <v>950</v>
      </c>
      <c r="BD201" s="106">
        <v>0</v>
      </c>
      <c r="BY201" s="112" t="s">
        <v>1766</v>
      </c>
      <c r="BZ201" s="112" t="s">
        <v>1766</v>
      </c>
      <c r="CA201" s="112" t="s">
        <v>1766</v>
      </c>
      <c r="CB201" s="112" t="s">
        <v>1766</v>
      </c>
      <c r="CC201" s="112" t="s">
        <v>1766</v>
      </c>
      <c r="CD201" s="112" t="s">
        <v>1766</v>
      </c>
      <c r="CE201" s="112" t="s">
        <v>1766</v>
      </c>
      <c r="CF201" s="112" t="s">
        <v>1766</v>
      </c>
      <c r="CG201" s="112" t="s">
        <v>1766</v>
      </c>
      <c r="CH201" s="112" t="s">
        <v>1766</v>
      </c>
      <c r="CI201" s="112" t="s">
        <v>1766</v>
      </c>
      <c r="CJ201" s="112" t="s">
        <v>1766</v>
      </c>
      <c r="CK201" s="112" t="s">
        <v>1766</v>
      </c>
      <c r="CL201" s="112" t="s">
        <v>1766</v>
      </c>
      <c r="CM201" s="112" t="s">
        <v>1766</v>
      </c>
      <c r="CN201" s="112" t="s">
        <v>1766</v>
      </c>
      <c r="CO201" s="112" t="s">
        <v>1766</v>
      </c>
    </row>
    <row r="202" spans="1:93">
      <c r="A202" s="106" t="s">
        <v>293</v>
      </c>
      <c r="B202" s="106">
        <v>21</v>
      </c>
      <c r="C202" s="106">
        <v>1</v>
      </c>
      <c r="D202" s="106">
        <v>1</v>
      </c>
      <c r="E202" s="106">
        <v>1</v>
      </c>
      <c r="F202" s="106">
        <v>1</v>
      </c>
      <c r="G202" s="106" t="s">
        <v>66</v>
      </c>
      <c r="H202" s="106" t="s">
        <v>202</v>
      </c>
      <c r="I202" s="106">
        <v>201</v>
      </c>
      <c r="J202" s="106">
        <v>203</v>
      </c>
      <c r="K202" s="106" t="s">
        <v>1394</v>
      </c>
      <c r="L202" s="106" t="s">
        <v>1291</v>
      </c>
      <c r="M202" s="106" t="s">
        <v>1396</v>
      </c>
      <c r="O202" s="106">
        <v>21</v>
      </c>
      <c r="T202" s="106" t="s">
        <v>1766</v>
      </c>
      <c r="V202" s="106">
        <v>7537844.1645806003</v>
      </c>
      <c r="W202" s="106">
        <v>1</v>
      </c>
      <c r="X202" s="106">
        <v>1</v>
      </c>
      <c r="Y202" s="106">
        <v>1</v>
      </c>
      <c r="Z202" s="106">
        <v>1</v>
      </c>
      <c r="AA202" s="106">
        <v>1900000</v>
      </c>
      <c r="AB202" s="106">
        <v>1900000</v>
      </c>
      <c r="AC202" s="106">
        <v>1900000</v>
      </c>
      <c r="AD202" s="106">
        <v>1900000</v>
      </c>
      <c r="AE202" s="106">
        <v>7600000</v>
      </c>
      <c r="AF202" s="106">
        <v>7600000</v>
      </c>
      <c r="AH202" s="106">
        <v>138240</v>
      </c>
      <c r="AI202" s="106">
        <v>0.11</v>
      </c>
      <c r="AJ202" s="106">
        <v>10</v>
      </c>
      <c r="AK202" s="106">
        <v>1382.4</v>
      </c>
      <c r="AL202" s="106">
        <v>13824</v>
      </c>
      <c r="AM202" s="106">
        <v>110416</v>
      </c>
      <c r="AN202" s="106">
        <v>110416</v>
      </c>
      <c r="AO202" s="106">
        <v>65687</v>
      </c>
      <c r="AP202" s="106" t="s">
        <v>114</v>
      </c>
      <c r="AQ202" s="106" t="s">
        <v>295</v>
      </c>
      <c r="AR202" s="106">
        <v>3000</v>
      </c>
      <c r="AS202" s="106">
        <v>0.1</v>
      </c>
      <c r="AT202" s="106">
        <v>0.1</v>
      </c>
      <c r="AU202" s="108" t="s">
        <v>150</v>
      </c>
      <c r="AV202" s="108" t="s">
        <v>296</v>
      </c>
      <c r="AW202" s="109">
        <v>3013</v>
      </c>
      <c r="AX202" s="109">
        <v>1000</v>
      </c>
      <c r="AY202" s="109">
        <v>1000</v>
      </c>
      <c r="BD202" s="106">
        <v>0</v>
      </c>
      <c r="BY202" s="112" t="s">
        <v>1766</v>
      </c>
      <c r="BZ202" s="112" t="s">
        <v>1766</v>
      </c>
      <c r="CA202" s="112" t="s">
        <v>1766</v>
      </c>
      <c r="CB202" s="112" t="s">
        <v>1766</v>
      </c>
      <c r="CC202" s="112" t="s">
        <v>1766</v>
      </c>
      <c r="CD202" s="112" t="s">
        <v>1766</v>
      </c>
      <c r="CE202" s="112" t="s">
        <v>1766</v>
      </c>
      <c r="CF202" s="112" t="s">
        <v>1766</v>
      </c>
      <c r="CG202" s="112" t="s">
        <v>1766</v>
      </c>
      <c r="CH202" s="112" t="s">
        <v>1766</v>
      </c>
      <c r="CI202" s="112" t="s">
        <v>1766</v>
      </c>
      <c r="CJ202" s="112" t="s">
        <v>1766</v>
      </c>
      <c r="CK202" s="112" t="s">
        <v>1766</v>
      </c>
      <c r="CL202" s="112" t="s">
        <v>1766</v>
      </c>
      <c r="CM202" s="112" t="s">
        <v>1766</v>
      </c>
      <c r="CN202" s="112" t="s">
        <v>1766</v>
      </c>
      <c r="CO202" s="112" t="s">
        <v>1766</v>
      </c>
    </row>
    <row r="203" spans="1:93">
      <c r="A203" s="106" t="s">
        <v>293</v>
      </c>
      <c r="B203" s="106">
        <v>22</v>
      </c>
      <c r="C203" s="106">
        <v>1</v>
      </c>
      <c r="D203" s="106">
        <v>1</v>
      </c>
      <c r="E203" s="106">
        <v>1</v>
      </c>
      <c r="F203" s="106">
        <v>1</v>
      </c>
      <c r="G203" s="106" t="s">
        <v>66</v>
      </c>
      <c r="H203" s="106" t="s">
        <v>202</v>
      </c>
      <c r="I203" s="106">
        <v>201</v>
      </c>
      <c r="J203" s="106">
        <v>203</v>
      </c>
      <c r="K203" s="106" t="s">
        <v>1394</v>
      </c>
      <c r="L203" s="106" t="s">
        <v>1295</v>
      </c>
      <c r="M203" s="106" t="s">
        <v>1397</v>
      </c>
      <c r="O203" s="106">
        <v>22</v>
      </c>
      <c r="T203" s="106" t="s">
        <v>1766</v>
      </c>
      <c r="V203" s="106">
        <v>9648440.5306631699</v>
      </c>
      <c r="W203" s="106">
        <v>1</v>
      </c>
      <c r="X203" s="106">
        <v>1</v>
      </c>
      <c r="Y203" s="106">
        <v>1</v>
      </c>
      <c r="Z203" s="106">
        <v>1</v>
      </c>
      <c r="AA203" s="106">
        <v>2400000</v>
      </c>
      <c r="AB203" s="106">
        <v>2400000</v>
      </c>
      <c r="AC203" s="106">
        <v>2400000</v>
      </c>
      <c r="AD203" s="106">
        <v>2400000</v>
      </c>
      <c r="AE203" s="106">
        <v>9600000</v>
      </c>
      <c r="AF203" s="106">
        <v>9600000</v>
      </c>
      <c r="AH203" s="106">
        <v>181440</v>
      </c>
      <c r="AI203" s="106">
        <v>0.125</v>
      </c>
      <c r="AJ203" s="106">
        <v>10</v>
      </c>
      <c r="AK203" s="106">
        <v>1814.4</v>
      </c>
      <c r="AL203" s="106">
        <v>18144</v>
      </c>
      <c r="AM203" s="106">
        <v>142836</v>
      </c>
      <c r="AN203" s="106">
        <v>142836</v>
      </c>
      <c r="AO203" s="106">
        <v>84984</v>
      </c>
      <c r="AP203" s="106" t="s">
        <v>114</v>
      </c>
      <c r="AQ203" s="106" t="s">
        <v>295</v>
      </c>
      <c r="AR203" s="106">
        <v>3000</v>
      </c>
      <c r="AS203" s="106">
        <v>0.105</v>
      </c>
      <c r="AT203" s="106">
        <v>0.105</v>
      </c>
      <c r="AU203" s="108" t="s">
        <v>150</v>
      </c>
      <c r="AV203" s="108" t="s">
        <v>296</v>
      </c>
      <c r="AW203" s="108">
        <v>3013</v>
      </c>
      <c r="AX203" s="108">
        <v>1050</v>
      </c>
      <c r="AY203" s="108">
        <v>1050</v>
      </c>
      <c r="BD203" s="106">
        <v>0</v>
      </c>
      <c r="BY203" s="112" t="s">
        <v>1766</v>
      </c>
      <c r="BZ203" s="112" t="s">
        <v>1766</v>
      </c>
      <c r="CA203" s="112" t="s">
        <v>1766</v>
      </c>
      <c r="CB203" s="112" t="s">
        <v>1766</v>
      </c>
      <c r="CC203" s="112" t="s">
        <v>1766</v>
      </c>
      <c r="CD203" s="112" t="s">
        <v>1766</v>
      </c>
      <c r="CE203" s="112" t="s">
        <v>1766</v>
      </c>
      <c r="CF203" s="112" t="s">
        <v>1766</v>
      </c>
      <c r="CG203" s="112" t="s">
        <v>1766</v>
      </c>
      <c r="CH203" s="112" t="s">
        <v>1766</v>
      </c>
      <c r="CI203" s="112" t="s">
        <v>1766</v>
      </c>
      <c r="CJ203" s="112" t="s">
        <v>1766</v>
      </c>
      <c r="CK203" s="112" t="s">
        <v>1766</v>
      </c>
      <c r="CL203" s="112" t="s">
        <v>1766</v>
      </c>
      <c r="CM203" s="112" t="s">
        <v>1766</v>
      </c>
      <c r="CN203" s="112" t="s">
        <v>1766</v>
      </c>
      <c r="CO203" s="112" t="s">
        <v>1766</v>
      </c>
    </row>
    <row r="204" spans="1:93">
      <c r="A204" s="106" t="s">
        <v>293</v>
      </c>
      <c r="B204" s="106">
        <v>23</v>
      </c>
      <c r="C204" s="106">
        <v>1</v>
      </c>
      <c r="D204" s="106">
        <v>1</v>
      </c>
      <c r="E204" s="106">
        <v>1</v>
      </c>
      <c r="F204" s="106">
        <v>1</v>
      </c>
      <c r="G204" s="106" t="s">
        <v>66</v>
      </c>
      <c r="H204" s="106" t="s">
        <v>202</v>
      </c>
      <c r="I204" s="106">
        <v>201</v>
      </c>
      <c r="J204" s="106">
        <v>203</v>
      </c>
      <c r="K204" s="106" t="s">
        <v>1394</v>
      </c>
      <c r="L204" s="106" t="s">
        <v>1298</v>
      </c>
      <c r="M204" s="106" t="s">
        <v>1398</v>
      </c>
      <c r="O204" s="106">
        <v>23</v>
      </c>
      <c r="T204" s="106" t="s">
        <v>1766</v>
      </c>
      <c r="V204" s="106">
        <v>12350003.8792489</v>
      </c>
      <c r="W204" s="106">
        <v>1</v>
      </c>
      <c r="X204" s="106">
        <v>1</v>
      </c>
      <c r="Y204" s="106">
        <v>1</v>
      </c>
      <c r="Z204" s="106">
        <v>1</v>
      </c>
      <c r="AA204" s="106">
        <v>3100000</v>
      </c>
      <c r="AB204" s="106">
        <v>3100000</v>
      </c>
      <c r="AC204" s="106">
        <v>3100000</v>
      </c>
      <c r="AD204" s="106">
        <v>3100000</v>
      </c>
      <c r="AE204" s="106">
        <v>12400000</v>
      </c>
      <c r="AF204" s="106">
        <v>12400000</v>
      </c>
      <c r="AH204" s="106">
        <v>233280</v>
      </c>
      <c r="AI204" s="106">
        <v>0.125</v>
      </c>
      <c r="AJ204" s="106">
        <v>11</v>
      </c>
      <c r="AK204" s="106">
        <v>2332.8000000000002</v>
      </c>
      <c r="AL204" s="106">
        <v>25660.799999999999</v>
      </c>
      <c r="AM204" s="106">
        <v>181399</v>
      </c>
      <c r="AN204" s="106">
        <v>181399</v>
      </c>
      <c r="AO204" s="106">
        <v>109684</v>
      </c>
      <c r="AP204" s="106" t="s">
        <v>114</v>
      </c>
      <c r="AQ204" s="106" t="s">
        <v>295</v>
      </c>
      <c r="AR204" s="106">
        <v>3000</v>
      </c>
      <c r="AS204" s="106">
        <v>0.11</v>
      </c>
      <c r="AT204" s="106">
        <v>0.11</v>
      </c>
      <c r="AU204" s="108" t="s">
        <v>150</v>
      </c>
      <c r="AV204" s="108" t="s">
        <v>296</v>
      </c>
      <c r="AW204" s="108">
        <v>3013</v>
      </c>
      <c r="AX204" s="108">
        <v>1100</v>
      </c>
      <c r="AY204" s="108">
        <v>1100</v>
      </c>
      <c r="BD204" s="106">
        <v>0</v>
      </c>
      <c r="BY204" s="112" t="s">
        <v>1766</v>
      </c>
      <c r="BZ204" s="112" t="s">
        <v>1766</v>
      </c>
      <c r="CA204" s="112" t="s">
        <v>1766</v>
      </c>
      <c r="CB204" s="112" t="s">
        <v>1766</v>
      </c>
      <c r="CC204" s="112" t="s">
        <v>1766</v>
      </c>
      <c r="CD204" s="112" t="s">
        <v>1766</v>
      </c>
      <c r="CE204" s="112" t="s">
        <v>1766</v>
      </c>
      <c r="CF204" s="112" t="s">
        <v>1766</v>
      </c>
      <c r="CG204" s="112" t="s">
        <v>1766</v>
      </c>
      <c r="CH204" s="112" t="s">
        <v>1766</v>
      </c>
      <c r="CI204" s="112" t="s">
        <v>1766</v>
      </c>
      <c r="CJ204" s="112" t="s">
        <v>1766</v>
      </c>
      <c r="CK204" s="112" t="s">
        <v>1766</v>
      </c>
      <c r="CL204" s="112" t="s">
        <v>1766</v>
      </c>
      <c r="CM204" s="112" t="s">
        <v>1766</v>
      </c>
      <c r="CN204" s="112" t="s">
        <v>1766</v>
      </c>
      <c r="CO204" s="112" t="s">
        <v>1766</v>
      </c>
    </row>
    <row r="205" spans="1:93">
      <c r="A205" s="106" t="s">
        <v>293</v>
      </c>
      <c r="B205" s="106">
        <v>24</v>
      </c>
      <c r="C205" s="106">
        <v>1</v>
      </c>
      <c r="D205" s="106">
        <v>1</v>
      </c>
      <c r="E205" s="106">
        <v>1</v>
      </c>
      <c r="F205" s="106">
        <v>1</v>
      </c>
      <c r="G205" s="106" t="s">
        <v>66</v>
      </c>
      <c r="H205" s="106" t="s">
        <v>202</v>
      </c>
      <c r="I205" s="106">
        <v>201</v>
      </c>
      <c r="J205" s="106">
        <v>203</v>
      </c>
      <c r="K205" s="106" t="s">
        <v>1394</v>
      </c>
      <c r="L205" s="106" t="s">
        <v>1302</v>
      </c>
      <c r="M205" s="106" t="s">
        <v>1399</v>
      </c>
      <c r="O205" s="106">
        <v>24</v>
      </c>
      <c r="T205" s="106" t="s">
        <v>1766</v>
      </c>
      <c r="V205" s="106">
        <v>15808004.9654385</v>
      </c>
      <c r="W205" s="106">
        <v>1</v>
      </c>
      <c r="X205" s="106">
        <v>1</v>
      </c>
      <c r="Y205" s="106">
        <v>1</v>
      </c>
      <c r="Z205" s="106">
        <v>1</v>
      </c>
      <c r="AA205" s="106">
        <v>4000000</v>
      </c>
      <c r="AB205" s="106">
        <v>4000000</v>
      </c>
      <c r="AC205" s="106">
        <v>4000000</v>
      </c>
      <c r="AD205" s="106">
        <v>4000000</v>
      </c>
      <c r="AE205" s="106">
        <v>16000000</v>
      </c>
      <c r="AF205" s="106">
        <v>16000000</v>
      </c>
      <c r="AH205" s="106">
        <v>298080</v>
      </c>
      <c r="AI205" s="106">
        <v>0.125</v>
      </c>
      <c r="AJ205" s="106">
        <v>12</v>
      </c>
      <c r="AK205" s="106">
        <v>2980.8</v>
      </c>
      <c r="AL205" s="106">
        <v>35769.599999999999</v>
      </c>
      <c r="AM205" s="106">
        <v>228890</v>
      </c>
      <c r="AN205" s="106">
        <v>228890</v>
      </c>
      <c r="AO205" s="106">
        <v>141300</v>
      </c>
      <c r="AP205" s="106" t="s">
        <v>114</v>
      </c>
      <c r="AQ205" s="106" t="s">
        <v>295</v>
      </c>
      <c r="AR205" s="106">
        <v>3000</v>
      </c>
      <c r="AS205" s="106">
        <v>0.115</v>
      </c>
      <c r="AT205" s="106">
        <v>0.115</v>
      </c>
      <c r="AU205" s="108" t="s">
        <v>150</v>
      </c>
      <c r="AV205" s="108" t="s">
        <v>296</v>
      </c>
      <c r="AW205" s="108">
        <v>3013</v>
      </c>
      <c r="AX205" s="108">
        <v>1150</v>
      </c>
      <c r="AY205" s="108">
        <v>1150</v>
      </c>
      <c r="BD205" s="106">
        <v>0</v>
      </c>
      <c r="BY205" s="112" t="s">
        <v>1766</v>
      </c>
      <c r="BZ205" s="112" t="s">
        <v>1766</v>
      </c>
      <c r="CA205" s="112" t="s">
        <v>1766</v>
      </c>
      <c r="CB205" s="112" t="s">
        <v>1766</v>
      </c>
      <c r="CC205" s="112" t="s">
        <v>1766</v>
      </c>
      <c r="CD205" s="112" t="s">
        <v>1766</v>
      </c>
      <c r="CE205" s="112" t="s">
        <v>1766</v>
      </c>
      <c r="CF205" s="112" t="s">
        <v>1766</v>
      </c>
      <c r="CG205" s="112" t="s">
        <v>1766</v>
      </c>
      <c r="CH205" s="112" t="s">
        <v>1766</v>
      </c>
      <c r="CI205" s="112" t="s">
        <v>1766</v>
      </c>
      <c r="CJ205" s="112" t="s">
        <v>1766</v>
      </c>
      <c r="CK205" s="112" t="s">
        <v>1766</v>
      </c>
      <c r="CL205" s="112" t="s">
        <v>1766</v>
      </c>
      <c r="CM205" s="112" t="s">
        <v>1766</v>
      </c>
      <c r="CN205" s="112" t="s">
        <v>1766</v>
      </c>
      <c r="CO205" s="112" t="s">
        <v>1766</v>
      </c>
    </row>
    <row r="206" spans="1:93">
      <c r="A206" s="106" t="s">
        <v>293</v>
      </c>
      <c r="B206" s="106">
        <v>25</v>
      </c>
      <c r="C206" s="106">
        <v>1</v>
      </c>
      <c r="D206" s="106">
        <v>1</v>
      </c>
      <c r="E206" s="106">
        <v>1</v>
      </c>
      <c r="F206" s="106">
        <v>1</v>
      </c>
      <c r="G206" s="106" t="s">
        <v>66</v>
      </c>
      <c r="H206" s="106" t="s">
        <v>202</v>
      </c>
      <c r="I206" s="106">
        <v>201</v>
      </c>
      <c r="J206" s="106">
        <v>203</v>
      </c>
      <c r="K206" s="106" t="s">
        <v>1394</v>
      </c>
      <c r="L206" s="106" t="s">
        <v>1305</v>
      </c>
      <c r="M206" s="106" t="s">
        <v>1400</v>
      </c>
      <c r="O206" s="106">
        <v>25</v>
      </c>
      <c r="T206" s="106" t="s">
        <v>1766</v>
      </c>
      <c r="V206" s="106">
        <v>20234246.355761301</v>
      </c>
      <c r="W206" s="106">
        <v>1</v>
      </c>
      <c r="X206" s="106">
        <v>1</v>
      </c>
      <c r="Y206" s="106">
        <v>1</v>
      </c>
      <c r="Z206" s="106">
        <v>1</v>
      </c>
      <c r="AA206" s="106">
        <v>5100000</v>
      </c>
      <c r="AB206" s="106">
        <v>5100000</v>
      </c>
      <c r="AC206" s="106">
        <v>5100000</v>
      </c>
      <c r="AD206" s="106">
        <v>5100000</v>
      </c>
      <c r="AE206" s="106">
        <v>20400000</v>
      </c>
      <c r="AF206" s="106">
        <v>20400000</v>
      </c>
      <c r="AH206" s="106">
        <v>375840</v>
      </c>
      <c r="AI206" s="106">
        <v>0.125</v>
      </c>
      <c r="AJ206" s="106">
        <v>13</v>
      </c>
      <c r="AK206" s="106">
        <v>3758.4</v>
      </c>
      <c r="AL206" s="106">
        <v>48859.199999999997</v>
      </c>
      <c r="AM206" s="106">
        <v>284920</v>
      </c>
      <c r="AN206" s="106">
        <v>284920</v>
      </c>
      <c r="AO206" s="106">
        <v>181768</v>
      </c>
      <c r="AP206" s="106" t="s">
        <v>114</v>
      </c>
      <c r="AQ206" s="106" t="s">
        <v>295</v>
      </c>
      <c r="AR206" s="106">
        <v>3000</v>
      </c>
      <c r="AS206" s="106">
        <v>0.12</v>
      </c>
      <c r="AT206" s="106">
        <v>0.12</v>
      </c>
      <c r="AU206" s="108" t="s">
        <v>150</v>
      </c>
      <c r="AV206" s="108" t="s">
        <v>296</v>
      </c>
      <c r="AW206" s="108">
        <v>3013</v>
      </c>
      <c r="AX206" s="108">
        <v>1200</v>
      </c>
      <c r="AY206" s="108">
        <v>1200</v>
      </c>
      <c r="BD206" s="106">
        <v>0</v>
      </c>
      <c r="BY206" s="112" t="s">
        <v>1766</v>
      </c>
      <c r="BZ206" s="112" t="s">
        <v>1766</v>
      </c>
      <c r="CA206" s="112" t="s">
        <v>1766</v>
      </c>
      <c r="CB206" s="112" t="s">
        <v>1766</v>
      </c>
      <c r="CC206" s="112" t="s">
        <v>1766</v>
      </c>
      <c r="CD206" s="112" t="s">
        <v>1766</v>
      </c>
      <c r="CE206" s="112" t="s">
        <v>1766</v>
      </c>
      <c r="CF206" s="112" t="s">
        <v>1766</v>
      </c>
      <c r="CG206" s="112" t="s">
        <v>1766</v>
      </c>
      <c r="CH206" s="112" t="s">
        <v>1766</v>
      </c>
      <c r="CI206" s="112" t="s">
        <v>1766</v>
      </c>
      <c r="CJ206" s="112" t="s">
        <v>1766</v>
      </c>
      <c r="CK206" s="112" t="s">
        <v>1766</v>
      </c>
      <c r="CL206" s="112" t="s">
        <v>1766</v>
      </c>
      <c r="CM206" s="112" t="s">
        <v>1766</v>
      </c>
      <c r="CN206" s="112" t="s">
        <v>1766</v>
      </c>
      <c r="CO206" s="112" t="s">
        <v>1766</v>
      </c>
    </row>
    <row r="207" spans="1:93">
      <c r="A207" s="106" t="s">
        <v>293</v>
      </c>
      <c r="B207" s="106">
        <v>26</v>
      </c>
      <c r="C207" s="106">
        <v>1</v>
      </c>
      <c r="D207" s="106">
        <v>1</v>
      </c>
      <c r="E207" s="106">
        <v>1</v>
      </c>
      <c r="F207" s="106">
        <v>1</v>
      </c>
      <c r="G207" s="106" t="s">
        <v>66</v>
      </c>
      <c r="H207" s="106" t="s">
        <v>202</v>
      </c>
      <c r="I207" s="106">
        <v>201</v>
      </c>
      <c r="J207" s="106">
        <v>203</v>
      </c>
      <c r="K207" s="106" t="s">
        <v>1394</v>
      </c>
      <c r="L207" s="106" t="s">
        <v>1308</v>
      </c>
      <c r="M207" s="106" t="s">
        <v>1401</v>
      </c>
      <c r="O207" s="106">
        <v>26</v>
      </c>
      <c r="T207" s="106" t="s">
        <v>1766</v>
      </c>
      <c r="V207" s="106">
        <v>25899835.335374501</v>
      </c>
      <c r="W207" s="106">
        <v>1</v>
      </c>
      <c r="X207" s="106">
        <v>1</v>
      </c>
      <c r="Y207" s="106">
        <v>1</v>
      </c>
      <c r="Z207" s="106">
        <v>1</v>
      </c>
      <c r="AA207" s="106">
        <v>6500000</v>
      </c>
      <c r="AB207" s="106">
        <v>6500000</v>
      </c>
      <c r="AC207" s="106">
        <v>6500000</v>
      </c>
      <c r="AD207" s="106">
        <v>6500000</v>
      </c>
      <c r="AE207" s="106">
        <v>26000000</v>
      </c>
      <c r="AF207" s="106">
        <v>26000000</v>
      </c>
      <c r="AH207" s="106">
        <v>466560</v>
      </c>
      <c r="AI207" s="106">
        <v>0.14499999999999999</v>
      </c>
      <c r="AJ207" s="106">
        <v>14</v>
      </c>
      <c r="AK207" s="106">
        <v>4665.6000000000004</v>
      </c>
      <c r="AL207" s="106">
        <v>65318.400000000001</v>
      </c>
      <c r="AM207" s="106">
        <v>341857</v>
      </c>
      <c r="AN207" s="106">
        <v>341857</v>
      </c>
      <c r="AO207" s="106">
        <v>233568</v>
      </c>
      <c r="AP207" s="106" t="s">
        <v>114</v>
      </c>
      <c r="AQ207" s="106" t="s">
        <v>295</v>
      </c>
      <c r="AR207" s="106">
        <v>3000</v>
      </c>
      <c r="AS207" s="106">
        <v>0.13</v>
      </c>
      <c r="AT207" s="106">
        <v>0.13</v>
      </c>
      <c r="AU207" s="108" t="s">
        <v>150</v>
      </c>
      <c r="AV207" s="108" t="s">
        <v>296</v>
      </c>
      <c r="AW207" s="108">
        <v>3013</v>
      </c>
      <c r="AX207" s="108">
        <v>1300</v>
      </c>
      <c r="AY207" s="108">
        <v>1300</v>
      </c>
      <c r="BD207" s="106">
        <v>0</v>
      </c>
      <c r="BY207" s="112" t="s">
        <v>1766</v>
      </c>
      <c r="BZ207" s="112" t="s">
        <v>1766</v>
      </c>
      <c r="CA207" s="112" t="s">
        <v>1766</v>
      </c>
      <c r="CB207" s="112" t="s">
        <v>1766</v>
      </c>
      <c r="CC207" s="112" t="s">
        <v>1766</v>
      </c>
      <c r="CD207" s="112" t="s">
        <v>1766</v>
      </c>
      <c r="CE207" s="112" t="s">
        <v>1766</v>
      </c>
      <c r="CF207" s="112" t="s">
        <v>1766</v>
      </c>
      <c r="CG207" s="112" t="s">
        <v>1766</v>
      </c>
      <c r="CH207" s="112" t="s">
        <v>1766</v>
      </c>
      <c r="CI207" s="112" t="s">
        <v>1766</v>
      </c>
      <c r="CJ207" s="112" t="s">
        <v>1766</v>
      </c>
      <c r="CK207" s="112" t="s">
        <v>1766</v>
      </c>
      <c r="CL207" s="112" t="s">
        <v>1766</v>
      </c>
      <c r="CM207" s="112" t="s">
        <v>1766</v>
      </c>
      <c r="CN207" s="112" t="s">
        <v>1766</v>
      </c>
      <c r="CO207" s="112" t="s">
        <v>1766</v>
      </c>
    </row>
    <row r="208" spans="1:93">
      <c r="A208" s="106" t="s">
        <v>293</v>
      </c>
      <c r="B208" s="106">
        <v>27</v>
      </c>
      <c r="C208" s="106">
        <v>1</v>
      </c>
      <c r="D208" s="106">
        <v>1</v>
      </c>
      <c r="E208" s="106">
        <v>1</v>
      </c>
      <c r="F208" s="106">
        <v>1</v>
      </c>
      <c r="G208" s="106" t="s">
        <v>66</v>
      </c>
      <c r="H208" s="106" t="s">
        <v>202</v>
      </c>
      <c r="I208" s="106">
        <v>201</v>
      </c>
      <c r="J208" s="106">
        <v>203</v>
      </c>
      <c r="K208" s="106" t="s">
        <v>1394</v>
      </c>
      <c r="L208" s="106" t="s">
        <v>1311</v>
      </c>
      <c r="M208" s="106" t="s">
        <v>1402</v>
      </c>
      <c r="O208" s="106">
        <v>27</v>
      </c>
      <c r="T208" s="106" t="s">
        <v>1766</v>
      </c>
      <c r="V208" s="106">
        <v>33151789.229279399</v>
      </c>
      <c r="W208" s="106">
        <v>1</v>
      </c>
      <c r="X208" s="106">
        <v>1</v>
      </c>
      <c r="Y208" s="106">
        <v>1</v>
      </c>
      <c r="Z208" s="106">
        <v>1</v>
      </c>
      <c r="AA208" s="106">
        <v>8300000</v>
      </c>
      <c r="AB208" s="106">
        <v>8300000</v>
      </c>
      <c r="AC208" s="106">
        <v>8300000</v>
      </c>
      <c r="AD208" s="106">
        <v>8300000</v>
      </c>
      <c r="AE208" s="106">
        <v>33200000</v>
      </c>
      <c r="AF208" s="106">
        <v>33200000</v>
      </c>
      <c r="AH208" s="106">
        <v>570240</v>
      </c>
      <c r="AI208" s="106">
        <v>0.16500000000000001</v>
      </c>
      <c r="AJ208" s="106">
        <v>15</v>
      </c>
      <c r="AK208" s="106">
        <v>5702.4</v>
      </c>
      <c r="AL208" s="106">
        <v>85536</v>
      </c>
      <c r="AM208" s="106">
        <v>403640</v>
      </c>
      <c r="AN208" s="106">
        <v>403640</v>
      </c>
      <c r="AO208" s="106">
        <v>299871</v>
      </c>
      <c r="AP208" s="106" t="s">
        <v>114</v>
      </c>
      <c r="AQ208" s="106" t="s">
        <v>295</v>
      </c>
      <c r="AR208" s="106">
        <v>3000</v>
      </c>
      <c r="AS208" s="106">
        <v>0.14000000000000001</v>
      </c>
      <c r="AT208" s="106">
        <v>0.14000000000000001</v>
      </c>
      <c r="AU208" s="108" t="s">
        <v>150</v>
      </c>
      <c r="AV208" s="108" t="s">
        <v>296</v>
      </c>
      <c r="AW208" s="108">
        <v>3013</v>
      </c>
      <c r="AX208" s="108">
        <v>1400</v>
      </c>
      <c r="AY208" s="108">
        <v>1400</v>
      </c>
      <c r="BD208" s="106">
        <v>0</v>
      </c>
      <c r="BY208" s="112" t="s">
        <v>1766</v>
      </c>
      <c r="BZ208" s="112" t="s">
        <v>1766</v>
      </c>
      <c r="CA208" s="112" t="s">
        <v>1766</v>
      </c>
      <c r="CB208" s="112" t="s">
        <v>1766</v>
      </c>
      <c r="CC208" s="112" t="s">
        <v>1766</v>
      </c>
      <c r="CD208" s="112" t="s">
        <v>1766</v>
      </c>
      <c r="CE208" s="112" t="s">
        <v>1766</v>
      </c>
      <c r="CF208" s="112" t="s">
        <v>1766</v>
      </c>
      <c r="CG208" s="112" t="s">
        <v>1766</v>
      </c>
      <c r="CH208" s="112" t="s">
        <v>1766</v>
      </c>
      <c r="CI208" s="112" t="s">
        <v>1766</v>
      </c>
      <c r="CJ208" s="112" t="s">
        <v>1766</v>
      </c>
      <c r="CK208" s="112" t="s">
        <v>1766</v>
      </c>
      <c r="CL208" s="112" t="s">
        <v>1766</v>
      </c>
      <c r="CM208" s="112" t="s">
        <v>1766</v>
      </c>
      <c r="CN208" s="112" t="s">
        <v>1766</v>
      </c>
      <c r="CO208" s="112" t="s">
        <v>1766</v>
      </c>
    </row>
    <row r="209" spans="1:93">
      <c r="A209" s="106" t="s">
        <v>293</v>
      </c>
      <c r="B209" s="106">
        <v>28</v>
      </c>
      <c r="C209" s="106">
        <v>1</v>
      </c>
      <c r="D209" s="106">
        <v>1</v>
      </c>
      <c r="E209" s="106">
        <v>1</v>
      </c>
      <c r="F209" s="106">
        <v>1</v>
      </c>
      <c r="G209" s="106" t="s">
        <v>66</v>
      </c>
      <c r="H209" s="106" t="s">
        <v>202</v>
      </c>
      <c r="I209" s="106">
        <v>201</v>
      </c>
      <c r="J209" s="106">
        <v>203</v>
      </c>
      <c r="K209" s="106" t="s">
        <v>1394</v>
      </c>
      <c r="L209" s="106" t="s">
        <v>1314</v>
      </c>
      <c r="M209" s="106" t="s">
        <v>1403</v>
      </c>
      <c r="O209" s="106">
        <v>28</v>
      </c>
      <c r="T209" s="106" t="s">
        <v>1766</v>
      </c>
      <c r="V209" s="106">
        <v>42434290.213477597</v>
      </c>
      <c r="W209" s="106">
        <v>1</v>
      </c>
      <c r="X209" s="106">
        <v>1</v>
      </c>
      <c r="Y209" s="106">
        <v>1</v>
      </c>
      <c r="Z209" s="106">
        <v>1</v>
      </c>
      <c r="AA209" s="106">
        <v>11000000</v>
      </c>
      <c r="AB209" s="106">
        <v>11000000</v>
      </c>
      <c r="AC209" s="106">
        <v>11000000</v>
      </c>
      <c r="AD209" s="106">
        <v>11000000</v>
      </c>
      <c r="AE209" s="106">
        <v>44000000</v>
      </c>
      <c r="AF209" s="106">
        <v>44000000</v>
      </c>
      <c r="AH209" s="106">
        <v>699840</v>
      </c>
      <c r="AI209" s="106">
        <v>0.185</v>
      </c>
      <c r="AJ209" s="106">
        <v>16</v>
      </c>
      <c r="AK209" s="106">
        <v>6998.4</v>
      </c>
      <c r="AL209" s="106">
        <v>111974.39999999999</v>
      </c>
      <c r="AM209" s="106">
        <v>478307</v>
      </c>
      <c r="AN209" s="106">
        <v>478307</v>
      </c>
      <c r="AO209" s="106">
        <v>384740</v>
      </c>
      <c r="AP209" s="106" t="s">
        <v>114</v>
      </c>
      <c r="AQ209" s="106" t="s">
        <v>295</v>
      </c>
      <c r="AR209" s="106">
        <v>3000</v>
      </c>
      <c r="AS209" s="106">
        <v>0.15</v>
      </c>
      <c r="AT209" s="106">
        <v>0.15</v>
      </c>
      <c r="AU209" s="108" t="s">
        <v>150</v>
      </c>
      <c r="AV209" s="108" t="s">
        <v>296</v>
      </c>
      <c r="AW209" s="108">
        <v>3013</v>
      </c>
      <c r="AX209" s="108">
        <v>1500</v>
      </c>
      <c r="AY209" s="108">
        <v>1500</v>
      </c>
      <c r="BD209" s="106">
        <v>0</v>
      </c>
      <c r="BY209" s="112" t="s">
        <v>1766</v>
      </c>
      <c r="BZ209" s="112" t="s">
        <v>1766</v>
      </c>
      <c r="CA209" s="112" t="s">
        <v>1766</v>
      </c>
      <c r="CB209" s="112" t="s">
        <v>1766</v>
      </c>
      <c r="CC209" s="112" t="s">
        <v>1766</v>
      </c>
      <c r="CD209" s="112" t="s">
        <v>1766</v>
      </c>
      <c r="CE209" s="112" t="s">
        <v>1766</v>
      </c>
      <c r="CF209" s="112" t="s">
        <v>1766</v>
      </c>
      <c r="CG209" s="112" t="s">
        <v>1766</v>
      </c>
      <c r="CH209" s="112" t="s">
        <v>1766</v>
      </c>
      <c r="CI209" s="112" t="s">
        <v>1766</v>
      </c>
      <c r="CJ209" s="112" t="s">
        <v>1766</v>
      </c>
      <c r="CK209" s="112" t="s">
        <v>1766</v>
      </c>
      <c r="CL209" s="112" t="s">
        <v>1766</v>
      </c>
      <c r="CM209" s="112" t="s">
        <v>1766</v>
      </c>
      <c r="CN209" s="112" t="s">
        <v>1766</v>
      </c>
      <c r="CO209" s="112" t="s">
        <v>1766</v>
      </c>
    </row>
    <row r="210" spans="1:93">
      <c r="A210" s="106" t="s">
        <v>293</v>
      </c>
      <c r="B210" s="106">
        <v>29</v>
      </c>
      <c r="C210" s="106">
        <v>1</v>
      </c>
      <c r="D210" s="106">
        <v>1</v>
      </c>
      <c r="E210" s="106">
        <v>1</v>
      </c>
      <c r="F210" s="106">
        <v>1</v>
      </c>
      <c r="G210" s="106" t="s">
        <v>66</v>
      </c>
      <c r="H210" s="106" t="s">
        <v>202</v>
      </c>
      <c r="I210" s="106">
        <v>201</v>
      </c>
      <c r="J210" s="106">
        <v>203</v>
      </c>
      <c r="K210" s="106" t="s">
        <v>1394</v>
      </c>
      <c r="L210" s="106" t="s">
        <v>1317</v>
      </c>
      <c r="M210" s="106" t="s">
        <v>1404</v>
      </c>
      <c r="O210" s="106">
        <v>29</v>
      </c>
      <c r="T210" s="106" t="s">
        <v>1766</v>
      </c>
      <c r="V210" s="106">
        <v>54315891.473251298</v>
      </c>
      <c r="W210" s="106">
        <v>1</v>
      </c>
      <c r="X210" s="106">
        <v>1</v>
      </c>
      <c r="Y210" s="106">
        <v>1</v>
      </c>
      <c r="Z210" s="106">
        <v>1</v>
      </c>
      <c r="AA210" s="106">
        <v>14000000</v>
      </c>
      <c r="AB210" s="106">
        <v>14000000</v>
      </c>
      <c r="AC210" s="106">
        <v>14000000</v>
      </c>
      <c r="AD210" s="106">
        <v>14000000</v>
      </c>
      <c r="AE210" s="106">
        <v>56000000</v>
      </c>
      <c r="AF210" s="106">
        <v>56000000</v>
      </c>
      <c r="AH210" s="106">
        <v>855360</v>
      </c>
      <c r="AI210" s="106">
        <v>0.20499999999999999</v>
      </c>
      <c r="AJ210" s="106">
        <v>17</v>
      </c>
      <c r="AK210" s="106">
        <v>8553.6</v>
      </c>
      <c r="AL210" s="106">
        <v>145411.20000000001</v>
      </c>
      <c r="AM210" s="106">
        <v>564131</v>
      </c>
      <c r="AN210" s="106">
        <v>564131</v>
      </c>
      <c r="AO210" s="106">
        <v>493372</v>
      </c>
      <c r="AP210" s="106" t="s">
        <v>114</v>
      </c>
      <c r="AQ210" s="106" t="s">
        <v>295</v>
      </c>
      <c r="AR210" s="106">
        <v>3000</v>
      </c>
      <c r="AS210" s="106">
        <v>0.16</v>
      </c>
      <c r="AT210" s="106">
        <v>0.16</v>
      </c>
      <c r="AU210" s="108" t="s">
        <v>150</v>
      </c>
      <c r="AV210" s="108" t="s">
        <v>296</v>
      </c>
      <c r="AW210" s="108">
        <v>3013</v>
      </c>
      <c r="AX210" s="108">
        <v>1600</v>
      </c>
      <c r="AY210" s="108">
        <v>1600</v>
      </c>
      <c r="BD210" s="106">
        <v>0</v>
      </c>
      <c r="BY210" s="112" t="s">
        <v>1766</v>
      </c>
      <c r="BZ210" s="112" t="s">
        <v>1766</v>
      </c>
      <c r="CA210" s="112" t="s">
        <v>1766</v>
      </c>
      <c r="CB210" s="112" t="s">
        <v>1766</v>
      </c>
      <c r="CC210" s="112" t="s">
        <v>1766</v>
      </c>
      <c r="CD210" s="112" t="s">
        <v>1766</v>
      </c>
      <c r="CE210" s="112" t="s">
        <v>1766</v>
      </c>
      <c r="CF210" s="112" t="s">
        <v>1766</v>
      </c>
      <c r="CG210" s="112" t="s">
        <v>1766</v>
      </c>
      <c r="CH210" s="112" t="s">
        <v>1766</v>
      </c>
      <c r="CI210" s="112" t="s">
        <v>1766</v>
      </c>
      <c r="CJ210" s="112" t="s">
        <v>1766</v>
      </c>
      <c r="CK210" s="112" t="s">
        <v>1766</v>
      </c>
      <c r="CL210" s="112" t="s">
        <v>1766</v>
      </c>
      <c r="CM210" s="112" t="s">
        <v>1766</v>
      </c>
      <c r="CN210" s="112" t="s">
        <v>1766</v>
      </c>
      <c r="CO210" s="112" t="s">
        <v>1766</v>
      </c>
    </row>
    <row r="211" spans="1:93">
      <c r="A211" s="106" t="s">
        <v>293</v>
      </c>
      <c r="B211" s="106">
        <v>30</v>
      </c>
      <c r="C211" s="106">
        <v>1</v>
      </c>
      <c r="D211" s="106">
        <v>1</v>
      </c>
      <c r="E211" s="106">
        <v>1</v>
      </c>
      <c r="F211" s="106">
        <v>1</v>
      </c>
      <c r="G211" s="106" t="s">
        <v>66</v>
      </c>
      <c r="H211" s="106" t="s">
        <v>202</v>
      </c>
      <c r="I211" s="106">
        <v>201</v>
      </c>
      <c r="J211" s="106">
        <v>203</v>
      </c>
      <c r="K211" s="106" t="s">
        <v>1394</v>
      </c>
      <c r="L211" s="106" t="s">
        <v>1406</v>
      </c>
      <c r="M211" s="106" t="s">
        <v>1405</v>
      </c>
      <c r="O211" s="106">
        <v>30</v>
      </c>
      <c r="T211" s="106" t="s">
        <v>1766</v>
      </c>
      <c r="V211" s="106">
        <v>69524341.085761696</v>
      </c>
      <c r="W211" s="106">
        <v>1</v>
      </c>
      <c r="X211" s="106">
        <v>1</v>
      </c>
      <c r="Y211" s="106">
        <v>1</v>
      </c>
      <c r="Z211" s="106">
        <v>1</v>
      </c>
      <c r="AA211" s="106">
        <v>17000000</v>
      </c>
      <c r="AB211" s="106">
        <v>17000000</v>
      </c>
      <c r="AC211" s="106">
        <v>17000000</v>
      </c>
      <c r="AD211" s="106">
        <v>17000000</v>
      </c>
      <c r="AE211" s="106">
        <v>68000000</v>
      </c>
      <c r="AF211" s="106">
        <v>68000000</v>
      </c>
      <c r="AH211" s="106">
        <v>1036800</v>
      </c>
      <c r="AI211" s="106">
        <v>0.22500000000000001</v>
      </c>
      <c r="AJ211" s="106">
        <v>18</v>
      </c>
      <c r="AK211" s="106">
        <v>10368</v>
      </c>
      <c r="AL211" s="106">
        <v>186624</v>
      </c>
      <c r="AM211" s="106">
        <v>659443</v>
      </c>
      <c r="AN211" s="106">
        <v>659443</v>
      </c>
      <c r="AO211" s="106">
        <v>632420</v>
      </c>
      <c r="AP211" s="106" t="s">
        <v>114</v>
      </c>
      <c r="AQ211" s="106" t="s">
        <v>295</v>
      </c>
      <c r="AR211" s="106">
        <v>3000</v>
      </c>
      <c r="AS211" s="106">
        <v>0.17</v>
      </c>
      <c r="AT211" s="106">
        <v>0.17</v>
      </c>
      <c r="AU211" s="108" t="s">
        <v>150</v>
      </c>
      <c r="AV211" s="108" t="s">
        <v>296</v>
      </c>
      <c r="AW211" s="108">
        <v>3013</v>
      </c>
      <c r="AX211" s="108">
        <v>1700</v>
      </c>
      <c r="AY211" s="108">
        <v>1700</v>
      </c>
      <c r="BD211" s="106">
        <v>0</v>
      </c>
      <c r="BY211" s="112" t="s">
        <v>1766</v>
      </c>
      <c r="BZ211" s="112" t="s">
        <v>1766</v>
      </c>
      <c r="CA211" s="112" t="s">
        <v>1766</v>
      </c>
      <c r="CB211" s="112" t="s">
        <v>1766</v>
      </c>
      <c r="CC211" s="112" t="s">
        <v>1766</v>
      </c>
      <c r="CD211" s="112" t="s">
        <v>1766</v>
      </c>
      <c r="CE211" s="112" t="s">
        <v>1766</v>
      </c>
      <c r="CF211" s="112" t="s">
        <v>1766</v>
      </c>
      <c r="CG211" s="112" t="s">
        <v>1766</v>
      </c>
      <c r="CH211" s="112" t="s">
        <v>1766</v>
      </c>
      <c r="CI211" s="112" t="s">
        <v>1766</v>
      </c>
      <c r="CJ211" s="112" t="s">
        <v>1766</v>
      </c>
      <c r="CK211" s="112" t="s">
        <v>1766</v>
      </c>
      <c r="CL211" s="112" t="s">
        <v>1766</v>
      </c>
      <c r="CM211" s="112" t="s">
        <v>1766</v>
      </c>
      <c r="CN211" s="112" t="s">
        <v>1766</v>
      </c>
      <c r="CO211" s="112" t="s">
        <v>1766</v>
      </c>
    </row>
    <row r="212" spans="1:93">
      <c r="A212" s="106" t="s">
        <v>319</v>
      </c>
      <c r="B212" s="106">
        <v>1</v>
      </c>
      <c r="C212" s="106">
        <v>1</v>
      </c>
      <c r="D212" s="106">
        <v>1</v>
      </c>
      <c r="E212" s="106">
        <v>1</v>
      </c>
      <c r="F212" s="106">
        <v>1</v>
      </c>
      <c r="G212" s="106" t="s">
        <v>66</v>
      </c>
      <c r="I212" s="106">
        <v>201</v>
      </c>
      <c r="J212" s="106" t="s">
        <v>1766</v>
      </c>
      <c r="K212" s="106" t="s">
        <v>1318</v>
      </c>
      <c r="L212" s="106" t="s">
        <v>229</v>
      </c>
      <c r="M212" s="106" t="s">
        <v>320</v>
      </c>
      <c r="N212" s="106">
        <v>13</v>
      </c>
      <c r="O212" s="106">
        <v>1</v>
      </c>
      <c r="T212" s="106" t="s">
        <v>1766</v>
      </c>
      <c r="V212" s="106">
        <v>0</v>
      </c>
      <c r="W212" s="106">
        <v>0</v>
      </c>
      <c r="X212" s="106">
        <v>0</v>
      </c>
      <c r="Y212" s="106" t="s">
        <v>1766</v>
      </c>
      <c r="Z212" s="106" t="s">
        <v>1766</v>
      </c>
      <c r="AA212" s="106">
        <v>0</v>
      </c>
      <c r="AB212" s="106">
        <v>0</v>
      </c>
      <c r="AC212" s="106">
        <v>0</v>
      </c>
      <c r="AD212" s="106">
        <v>0</v>
      </c>
      <c r="AE212" s="106">
        <v>0</v>
      </c>
      <c r="AF212" s="106">
        <v>0</v>
      </c>
      <c r="AH212" s="106">
        <v>25</v>
      </c>
      <c r="AI212" s="106">
        <v>0</v>
      </c>
      <c r="AJ212" s="106">
        <v>0</v>
      </c>
      <c r="AK212" s="106">
        <v>120</v>
      </c>
      <c r="AL212" s="106">
        <v>0</v>
      </c>
      <c r="AM212" s="106">
        <v>1</v>
      </c>
      <c r="AN212" s="106">
        <v>1</v>
      </c>
      <c r="AO212" s="106">
        <v>3</v>
      </c>
      <c r="AP212" s="106" t="s">
        <v>114</v>
      </c>
      <c r="AQ212" s="106" t="s">
        <v>295</v>
      </c>
      <c r="AR212" s="106">
        <v>3000</v>
      </c>
      <c r="AS212" s="106">
        <v>2E-3</v>
      </c>
      <c r="AT212" s="106">
        <v>2E-3</v>
      </c>
      <c r="AU212" s="108" t="s">
        <v>153</v>
      </c>
      <c r="AV212" s="108" t="s">
        <v>321</v>
      </c>
      <c r="AW212" s="108">
        <v>3016</v>
      </c>
      <c r="AX212" s="108">
        <v>20</v>
      </c>
      <c r="AY212" s="108">
        <v>20</v>
      </c>
      <c r="BD212" s="106">
        <v>0</v>
      </c>
      <c r="BY212" s="112" t="s">
        <v>158</v>
      </c>
      <c r="BZ212" s="112" t="s">
        <v>1527</v>
      </c>
      <c r="CA212" s="112" t="s">
        <v>1777</v>
      </c>
      <c r="CB212" s="112" t="s">
        <v>114</v>
      </c>
      <c r="CC212" s="112">
        <v>8</v>
      </c>
      <c r="CD212" s="112" t="s">
        <v>1795</v>
      </c>
      <c r="CE212" s="112" t="s">
        <v>153</v>
      </c>
      <c r="CF212" s="112">
        <v>25</v>
      </c>
      <c r="CG212" s="112" t="s">
        <v>1766</v>
      </c>
      <c r="CH212" s="112" t="s">
        <v>1766</v>
      </c>
      <c r="CI212" s="112" t="s">
        <v>1766</v>
      </c>
      <c r="CJ212" s="112" t="s">
        <v>1766</v>
      </c>
      <c r="CK212" s="112" t="s">
        <v>1766</v>
      </c>
      <c r="CL212" s="112" t="s">
        <v>1766</v>
      </c>
      <c r="CM212" s="112" t="s">
        <v>1766</v>
      </c>
      <c r="CN212" s="112" t="s">
        <v>1766</v>
      </c>
      <c r="CO212" s="112" t="s">
        <v>1766</v>
      </c>
    </row>
    <row r="213" spans="1:93">
      <c r="A213" s="106" t="s">
        <v>319</v>
      </c>
      <c r="B213" s="106">
        <v>2</v>
      </c>
      <c r="C213" s="106">
        <v>1</v>
      </c>
      <c r="D213" s="106">
        <v>1</v>
      </c>
      <c r="E213" s="106">
        <v>1</v>
      </c>
      <c r="F213" s="106">
        <v>1</v>
      </c>
      <c r="G213" s="106" t="s">
        <v>66</v>
      </c>
      <c r="I213" s="106">
        <v>201</v>
      </c>
      <c r="J213" s="106" t="s">
        <v>1766</v>
      </c>
      <c r="K213" s="106" t="s">
        <v>1318</v>
      </c>
      <c r="L213" s="106" t="s">
        <v>1320</v>
      </c>
      <c r="M213" s="106" t="s">
        <v>323</v>
      </c>
      <c r="N213" s="106">
        <v>13</v>
      </c>
      <c r="O213" s="106">
        <v>2</v>
      </c>
      <c r="T213" s="106" t="s">
        <v>1766</v>
      </c>
      <c r="V213" s="106">
        <v>3000</v>
      </c>
      <c r="W213" s="106">
        <v>1</v>
      </c>
      <c r="X213" s="106">
        <v>1</v>
      </c>
      <c r="Y213" s="106" t="s">
        <v>1766</v>
      </c>
      <c r="Z213" s="106" t="s">
        <v>1766</v>
      </c>
      <c r="AA213" s="106">
        <v>1500</v>
      </c>
      <c r="AB213" s="106">
        <v>1500</v>
      </c>
      <c r="AC213" s="106">
        <v>0</v>
      </c>
      <c r="AD213" s="106">
        <v>0</v>
      </c>
      <c r="AE213" s="106">
        <v>3000</v>
      </c>
      <c r="AF213" s="106">
        <v>3000</v>
      </c>
      <c r="AH213" s="106">
        <v>54</v>
      </c>
      <c r="AI213" s="106">
        <v>0</v>
      </c>
      <c r="AJ213" s="106">
        <v>0</v>
      </c>
      <c r="AK213" s="106">
        <v>120</v>
      </c>
      <c r="AL213" s="106">
        <v>0</v>
      </c>
      <c r="AM213" s="106">
        <v>1</v>
      </c>
      <c r="AN213" s="106">
        <v>1</v>
      </c>
      <c r="AO213" s="106">
        <v>9</v>
      </c>
      <c r="AP213" s="106" t="s">
        <v>114</v>
      </c>
      <c r="AQ213" s="106" t="s">
        <v>295</v>
      </c>
      <c r="AR213" s="106">
        <v>3000</v>
      </c>
      <c r="AS213" s="106">
        <v>5.0000000000000001E-3</v>
      </c>
      <c r="AT213" s="106">
        <v>5.0000000000000001E-3</v>
      </c>
      <c r="AU213" s="108" t="s">
        <v>153</v>
      </c>
      <c r="AV213" s="108" t="s">
        <v>321</v>
      </c>
      <c r="AW213" s="108">
        <v>3016</v>
      </c>
      <c r="AX213" s="108">
        <v>50</v>
      </c>
      <c r="AY213" s="108">
        <v>50</v>
      </c>
      <c r="BD213" s="106">
        <v>0</v>
      </c>
      <c r="BY213" s="112" t="s">
        <v>1766</v>
      </c>
      <c r="BZ213" s="112" t="s">
        <v>1766</v>
      </c>
      <c r="CA213" s="112" t="s">
        <v>1766</v>
      </c>
      <c r="CB213" s="112" t="s">
        <v>1766</v>
      </c>
      <c r="CC213" s="112" t="s">
        <v>1766</v>
      </c>
      <c r="CD213" s="112" t="s">
        <v>1766</v>
      </c>
      <c r="CE213" s="112" t="s">
        <v>1766</v>
      </c>
      <c r="CF213" s="112" t="s">
        <v>1766</v>
      </c>
      <c r="CG213" s="112" t="s">
        <v>1766</v>
      </c>
      <c r="CH213" s="112" t="s">
        <v>1766</v>
      </c>
      <c r="CI213" s="112" t="s">
        <v>1766</v>
      </c>
      <c r="CJ213" s="112" t="s">
        <v>1766</v>
      </c>
      <c r="CK213" s="112" t="s">
        <v>1766</v>
      </c>
      <c r="CL213" s="112" t="s">
        <v>1766</v>
      </c>
      <c r="CM213" s="112" t="s">
        <v>1766</v>
      </c>
      <c r="CN213" s="112" t="s">
        <v>1766</v>
      </c>
      <c r="CO213" s="112" t="s">
        <v>1766</v>
      </c>
    </row>
    <row r="214" spans="1:93">
      <c r="A214" s="106" t="s">
        <v>319</v>
      </c>
      <c r="B214" s="106">
        <v>3</v>
      </c>
      <c r="C214" s="106">
        <v>1</v>
      </c>
      <c r="D214" s="106">
        <v>1</v>
      </c>
      <c r="E214" s="106">
        <v>1</v>
      </c>
      <c r="F214" s="106">
        <v>1</v>
      </c>
      <c r="G214" s="106" t="s">
        <v>66</v>
      </c>
      <c r="I214" s="106">
        <v>201</v>
      </c>
      <c r="J214" s="106" t="s">
        <v>1766</v>
      </c>
      <c r="K214" s="106" t="s">
        <v>1318</v>
      </c>
      <c r="L214" s="106" t="s">
        <v>1321</v>
      </c>
      <c r="M214" s="106" t="s">
        <v>324</v>
      </c>
      <c r="N214" s="106">
        <v>13</v>
      </c>
      <c r="O214" s="106">
        <v>3</v>
      </c>
      <c r="T214" s="106" t="s">
        <v>1766</v>
      </c>
      <c r="V214" s="106">
        <v>6000</v>
      </c>
      <c r="W214" s="106">
        <v>1</v>
      </c>
      <c r="X214" s="106">
        <v>1</v>
      </c>
      <c r="Y214" s="106" t="s">
        <v>1766</v>
      </c>
      <c r="Z214" s="106" t="s">
        <v>1766</v>
      </c>
      <c r="AA214" s="106">
        <v>3000</v>
      </c>
      <c r="AB214" s="106">
        <v>3000</v>
      </c>
      <c r="AC214" s="106">
        <v>0</v>
      </c>
      <c r="AD214" s="106">
        <v>0</v>
      </c>
      <c r="AE214" s="106">
        <v>6000</v>
      </c>
      <c r="AF214" s="106">
        <v>6000</v>
      </c>
      <c r="AH214" s="106">
        <v>108</v>
      </c>
      <c r="AI214" s="106">
        <v>0</v>
      </c>
      <c r="AJ214" s="106">
        <v>1</v>
      </c>
      <c r="AK214" s="106">
        <v>120</v>
      </c>
      <c r="AL214" s="106">
        <v>120</v>
      </c>
      <c r="AM214" s="106">
        <v>1</v>
      </c>
      <c r="AN214" s="106">
        <v>1</v>
      </c>
      <c r="AO214" s="106">
        <v>21</v>
      </c>
      <c r="AP214" s="106" t="s">
        <v>114</v>
      </c>
      <c r="AQ214" s="106" t="s">
        <v>295</v>
      </c>
      <c r="AR214" s="106">
        <v>3000</v>
      </c>
      <c r="AS214" s="106">
        <v>0.01</v>
      </c>
      <c r="AT214" s="106">
        <v>0.01</v>
      </c>
      <c r="AU214" s="108" t="s">
        <v>153</v>
      </c>
      <c r="AV214" s="108" t="s">
        <v>321</v>
      </c>
      <c r="AW214" s="108">
        <v>3016</v>
      </c>
      <c r="AX214" s="108">
        <v>100</v>
      </c>
      <c r="AY214" s="108">
        <v>100</v>
      </c>
      <c r="BD214" s="106">
        <v>0</v>
      </c>
      <c r="BY214" s="112" t="s">
        <v>1766</v>
      </c>
      <c r="BZ214" s="112" t="s">
        <v>1766</v>
      </c>
      <c r="CA214" s="112" t="s">
        <v>1766</v>
      </c>
      <c r="CB214" s="112" t="s">
        <v>1766</v>
      </c>
      <c r="CC214" s="112" t="s">
        <v>1766</v>
      </c>
      <c r="CD214" s="112" t="s">
        <v>1766</v>
      </c>
      <c r="CE214" s="112" t="s">
        <v>1766</v>
      </c>
      <c r="CF214" s="112" t="s">
        <v>1766</v>
      </c>
      <c r="CG214" s="112" t="s">
        <v>1766</v>
      </c>
      <c r="CH214" s="112" t="s">
        <v>1766</v>
      </c>
      <c r="CI214" s="112" t="s">
        <v>1766</v>
      </c>
      <c r="CJ214" s="112" t="s">
        <v>1766</v>
      </c>
      <c r="CK214" s="112" t="s">
        <v>1766</v>
      </c>
      <c r="CL214" s="112" t="s">
        <v>1766</v>
      </c>
      <c r="CM214" s="112" t="s">
        <v>1766</v>
      </c>
      <c r="CN214" s="112" t="s">
        <v>1766</v>
      </c>
      <c r="CO214" s="112" t="s">
        <v>1766</v>
      </c>
    </row>
    <row r="215" spans="1:93">
      <c r="A215" s="106" t="s">
        <v>319</v>
      </c>
      <c r="B215" s="106">
        <v>4</v>
      </c>
      <c r="C215" s="106">
        <v>1</v>
      </c>
      <c r="D215" s="106">
        <v>1</v>
      </c>
      <c r="E215" s="106">
        <v>1</v>
      </c>
      <c r="F215" s="106">
        <v>1</v>
      </c>
      <c r="G215" s="106" t="s">
        <v>66</v>
      </c>
      <c r="I215" s="106">
        <v>201</v>
      </c>
      <c r="J215" s="106" t="s">
        <v>1766</v>
      </c>
      <c r="K215" s="106" t="s">
        <v>1318</v>
      </c>
      <c r="L215" s="106" t="s">
        <v>1322</v>
      </c>
      <c r="M215" s="106" t="s">
        <v>325</v>
      </c>
      <c r="N215" s="106">
        <v>13</v>
      </c>
      <c r="O215" s="106">
        <v>4</v>
      </c>
      <c r="T215" s="106" t="s">
        <v>1766</v>
      </c>
      <c r="V215" s="106">
        <v>12000</v>
      </c>
      <c r="W215" s="106">
        <v>1</v>
      </c>
      <c r="X215" s="106">
        <v>1</v>
      </c>
      <c r="Y215" s="106" t="s">
        <v>1766</v>
      </c>
      <c r="Z215" s="106" t="s">
        <v>1766</v>
      </c>
      <c r="AA215" s="106">
        <v>6000</v>
      </c>
      <c r="AB215" s="106">
        <v>6000</v>
      </c>
      <c r="AC215" s="106">
        <v>0</v>
      </c>
      <c r="AD215" s="106">
        <v>0</v>
      </c>
      <c r="AE215" s="106">
        <v>12000</v>
      </c>
      <c r="AF215" s="106">
        <v>12000</v>
      </c>
      <c r="AH215" s="106">
        <v>216</v>
      </c>
      <c r="AI215" s="106">
        <v>0</v>
      </c>
      <c r="AJ215" s="106">
        <v>1</v>
      </c>
      <c r="AK215" s="106">
        <v>120</v>
      </c>
      <c r="AL215" s="106">
        <v>120</v>
      </c>
      <c r="AM215" s="106">
        <v>1</v>
      </c>
      <c r="AN215" s="106">
        <v>1</v>
      </c>
      <c r="AO215" s="106">
        <v>45</v>
      </c>
      <c r="AP215" s="106" t="s">
        <v>114</v>
      </c>
      <c r="AQ215" s="106" t="s">
        <v>295</v>
      </c>
      <c r="AR215" s="106">
        <v>3000</v>
      </c>
      <c r="AS215" s="106">
        <v>1.4999999999999999E-2</v>
      </c>
      <c r="AT215" s="106">
        <v>1.4999999999999999E-2</v>
      </c>
      <c r="AU215" s="108" t="s">
        <v>153</v>
      </c>
      <c r="AV215" s="108" t="s">
        <v>321</v>
      </c>
      <c r="AW215" s="108">
        <v>3016</v>
      </c>
      <c r="AX215" s="108">
        <v>150</v>
      </c>
      <c r="AY215" s="108">
        <v>150</v>
      </c>
      <c r="BD215" s="106">
        <v>0</v>
      </c>
      <c r="BY215" s="112" t="s">
        <v>1766</v>
      </c>
      <c r="BZ215" s="112" t="s">
        <v>1766</v>
      </c>
      <c r="CA215" s="112" t="s">
        <v>1766</v>
      </c>
      <c r="CB215" s="112" t="s">
        <v>1766</v>
      </c>
      <c r="CC215" s="112" t="s">
        <v>1766</v>
      </c>
      <c r="CD215" s="112" t="s">
        <v>1766</v>
      </c>
      <c r="CE215" s="112" t="s">
        <v>1766</v>
      </c>
      <c r="CF215" s="112" t="s">
        <v>1766</v>
      </c>
      <c r="CG215" s="112" t="s">
        <v>1766</v>
      </c>
      <c r="CH215" s="112" t="s">
        <v>1766</v>
      </c>
      <c r="CI215" s="112" t="s">
        <v>1766</v>
      </c>
      <c r="CJ215" s="112" t="s">
        <v>1766</v>
      </c>
      <c r="CK215" s="112" t="s">
        <v>1766</v>
      </c>
      <c r="CL215" s="112" t="s">
        <v>1766</v>
      </c>
      <c r="CM215" s="112" t="s">
        <v>1766</v>
      </c>
      <c r="CN215" s="112" t="s">
        <v>1766</v>
      </c>
      <c r="CO215" s="112" t="s">
        <v>1766</v>
      </c>
    </row>
    <row r="216" spans="1:93">
      <c r="A216" s="106" t="s">
        <v>319</v>
      </c>
      <c r="B216" s="106">
        <v>5</v>
      </c>
      <c r="C216" s="106">
        <v>1</v>
      </c>
      <c r="D216" s="106">
        <v>1</v>
      </c>
      <c r="E216" s="106">
        <v>1</v>
      </c>
      <c r="F216" s="106">
        <v>1</v>
      </c>
      <c r="G216" s="106" t="s">
        <v>66</v>
      </c>
      <c r="H216" s="106" t="s">
        <v>226</v>
      </c>
      <c r="I216" s="106">
        <v>201</v>
      </c>
      <c r="J216" s="106">
        <v>204</v>
      </c>
      <c r="K216" s="106" t="s">
        <v>1528</v>
      </c>
      <c r="L216" s="106" t="s">
        <v>1225</v>
      </c>
      <c r="M216" s="106" t="s">
        <v>326</v>
      </c>
      <c r="N216" s="106">
        <v>13</v>
      </c>
      <c r="O216" s="106">
        <v>5</v>
      </c>
      <c r="T216" s="106" t="s">
        <v>1766</v>
      </c>
      <c r="V216" s="106">
        <v>23160</v>
      </c>
      <c r="W216" s="106">
        <v>1</v>
      </c>
      <c r="X216" s="106">
        <v>1</v>
      </c>
      <c r="Y216" s="106">
        <v>1</v>
      </c>
      <c r="Z216" s="106" t="s">
        <v>1766</v>
      </c>
      <c r="AA216" s="106">
        <v>7700</v>
      </c>
      <c r="AB216" s="106">
        <v>7700</v>
      </c>
      <c r="AC216" s="106">
        <v>7700</v>
      </c>
      <c r="AD216" s="106">
        <v>0</v>
      </c>
      <c r="AE216" s="106">
        <v>23100</v>
      </c>
      <c r="AF216" s="106">
        <v>23100</v>
      </c>
      <c r="AH216" s="106">
        <v>450</v>
      </c>
      <c r="AI216" s="106">
        <v>0</v>
      </c>
      <c r="AJ216" s="106">
        <v>2</v>
      </c>
      <c r="AK216" s="106">
        <v>120</v>
      </c>
      <c r="AL216" s="106">
        <v>240</v>
      </c>
      <c r="AM216" s="106">
        <v>1</v>
      </c>
      <c r="AN216" s="106">
        <v>1</v>
      </c>
      <c r="AO216" s="106">
        <v>91</v>
      </c>
      <c r="AP216" s="106" t="s">
        <v>114</v>
      </c>
      <c r="AQ216" s="106" t="s">
        <v>295</v>
      </c>
      <c r="AR216" s="106">
        <v>3000</v>
      </c>
      <c r="AS216" s="106">
        <v>0.02</v>
      </c>
      <c r="AT216" s="106">
        <v>0.02</v>
      </c>
      <c r="AU216" s="108" t="s">
        <v>153</v>
      </c>
      <c r="AV216" s="108" t="s">
        <v>321</v>
      </c>
      <c r="AW216" s="108">
        <v>3016</v>
      </c>
      <c r="AX216" s="108">
        <v>200</v>
      </c>
      <c r="AY216" s="108">
        <v>200</v>
      </c>
      <c r="BD216" s="106">
        <v>0</v>
      </c>
      <c r="BY216" s="112" t="s">
        <v>1766</v>
      </c>
      <c r="BZ216" s="112" t="s">
        <v>1766</v>
      </c>
      <c r="CA216" s="112" t="s">
        <v>1766</v>
      </c>
      <c r="CB216" s="112" t="s">
        <v>1766</v>
      </c>
      <c r="CC216" s="112" t="s">
        <v>1766</v>
      </c>
      <c r="CD216" s="112" t="s">
        <v>1766</v>
      </c>
      <c r="CE216" s="112" t="s">
        <v>1766</v>
      </c>
      <c r="CF216" s="112" t="s">
        <v>1766</v>
      </c>
      <c r="CG216" s="112" t="s">
        <v>1766</v>
      </c>
      <c r="CH216" s="112" t="s">
        <v>1766</v>
      </c>
      <c r="CI216" s="112" t="s">
        <v>1766</v>
      </c>
      <c r="CJ216" s="112" t="s">
        <v>1766</v>
      </c>
      <c r="CK216" s="112" t="s">
        <v>1766</v>
      </c>
      <c r="CL216" s="112" t="s">
        <v>1766</v>
      </c>
      <c r="CM216" s="112" t="s">
        <v>1766</v>
      </c>
      <c r="CN216" s="112" t="s">
        <v>1766</v>
      </c>
      <c r="CO216" s="112" t="s">
        <v>1766</v>
      </c>
    </row>
    <row r="217" spans="1:93">
      <c r="A217" s="106" t="s">
        <v>319</v>
      </c>
      <c r="B217" s="106">
        <v>6</v>
      </c>
      <c r="C217" s="106">
        <v>1</v>
      </c>
      <c r="D217" s="106">
        <v>1</v>
      </c>
      <c r="E217" s="106">
        <v>1</v>
      </c>
      <c r="F217" s="106">
        <v>1</v>
      </c>
      <c r="G217" s="106" t="s">
        <v>66</v>
      </c>
      <c r="H217" s="106" t="s">
        <v>226</v>
      </c>
      <c r="I217" s="106">
        <v>201</v>
      </c>
      <c r="J217" s="106">
        <v>204</v>
      </c>
      <c r="K217" s="106" t="s">
        <v>1528</v>
      </c>
      <c r="L217" s="106" t="s">
        <v>1230</v>
      </c>
      <c r="M217" s="106" t="s">
        <v>327</v>
      </c>
      <c r="N217" s="106">
        <v>13</v>
      </c>
      <c r="O217" s="106">
        <v>6</v>
      </c>
      <c r="T217" s="106" t="s">
        <v>1766</v>
      </c>
      <c r="V217" s="106">
        <v>43077.599999999999</v>
      </c>
      <c r="W217" s="106">
        <v>1</v>
      </c>
      <c r="X217" s="106">
        <v>1</v>
      </c>
      <c r="Y217" s="106">
        <v>1</v>
      </c>
      <c r="Z217" s="106" t="s">
        <v>1766</v>
      </c>
      <c r="AA217" s="106">
        <v>14000</v>
      </c>
      <c r="AB217" s="106">
        <v>14000</v>
      </c>
      <c r="AC217" s="106">
        <v>14000</v>
      </c>
      <c r="AD217" s="106">
        <v>0</v>
      </c>
      <c r="AE217" s="106">
        <v>42000</v>
      </c>
      <c r="AF217" s="106">
        <v>42000</v>
      </c>
      <c r="AH217" s="106">
        <v>810</v>
      </c>
      <c r="AI217" s="106">
        <v>0</v>
      </c>
      <c r="AJ217" s="106">
        <v>2</v>
      </c>
      <c r="AK217" s="106">
        <v>120</v>
      </c>
      <c r="AL217" s="106">
        <v>240</v>
      </c>
      <c r="AM217" s="106">
        <v>270</v>
      </c>
      <c r="AN217" s="106">
        <v>270</v>
      </c>
      <c r="AO217" s="106">
        <v>177</v>
      </c>
      <c r="AP217" s="106" t="s">
        <v>114</v>
      </c>
      <c r="AQ217" s="106" t="s">
        <v>295</v>
      </c>
      <c r="AR217" s="106">
        <v>3000</v>
      </c>
      <c r="AS217" s="106">
        <v>2.5000000000000001E-2</v>
      </c>
      <c r="AT217" s="106">
        <v>2.5000000000000001E-2</v>
      </c>
      <c r="AU217" s="108" t="s">
        <v>153</v>
      </c>
      <c r="AV217" s="108" t="s">
        <v>321</v>
      </c>
      <c r="AW217" s="108">
        <v>3016</v>
      </c>
      <c r="AX217" s="108">
        <v>250</v>
      </c>
      <c r="AY217" s="108">
        <v>250</v>
      </c>
      <c r="BD217" s="106">
        <v>0</v>
      </c>
      <c r="BY217" s="112" t="s">
        <v>1766</v>
      </c>
      <c r="BZ217" s="112" t="s">
        <v>1766</v>
      </c>
      <c r="CA217" s="112" t="s">
        <v>1766</v>
      </c>
      <c r="CB217" s="112" t="s">
        <v>1766</v>
      </c>
      <c r="CC217" s="112" t="s">
        <v>1766</v>
      </c>
      <c r="CD217" s="112" t="s">
        <v>1766</v>
      </c>
      <c r="CE217" s="112" t="s">
        <v>1766</v>
      </c>
      <c r="CF217" s="112" t="s">
        <v>1766</v>
      </c>
      <c r="CG217" s="112" t="s">
        <v>1766</v>
      </c>
      <c r="CH217" s="112" t="s">
        <v>1766</v>
      </c>
      <c r="CI217" s="112" t="s">
        <v>1766</v>
      </c>
      <c r="CJ217" s="112" t="s">
        <v>1766</v>
      </c>
      <c r="CK217" s="112" t="s">
        <v>1766</v>
      </c>
      <c r="CL217" s="112" t="s">
        <v>1766</v>
      </c>
      <c r="CM217" s="112" t="s">
        <v>1766</v>
      </c>
      <c r="CN217" s="112" t="s">
        <v>1766</v>
      </c>
      <c r="CO217" s="112" t="s">
        <v>1766</v>
      </c>
    </row>
    <row r="218" spans="1:93">
      <c r="A218" s="106" t="s">
        <v>319</v>
      </c>
      <c r="B218" s="106">
        <v>7</v>
      </c>
      <c r="C218" s="106">
        <v>1</v>
      </c>
      <c r="D218" s="106">
        <v>1</v>
      </c>
      <c r="E218" s="106">
        <v>1</v>
      </c>
      <c r="F218" s="106">
        <v>1</v>
      </c>
      <c r="G218" s="106" t="s">
        <v>66</v>
      </c>
      <c r="H218" s="106" t="s">
        <v>226</v>
      </c>
      <c r="I218" s="106">
        <v>201</v>
      </c>
      <c r="J218" s="106">
        <v>204</v>
      </c>
      <c r="K218" s="106" t="s">
        <v>1528</v>
      </c>
      <c r="L218" s="106" t="s">
        <v>1234</v>
      </c>
      <c r="M218" s="106" t="s">
        <v>328</v>
      </c>
      <c r="N218" s="106">
        <v>13</v>
      </c>
      <c r="O218" s="106">
        <v>7</v>
      </c>
      <c r="T218" s="106" t="s">
        <v>1766</v>
      </c>
      <c r="V218" s="106">
        <v>77108.903999999995</v>
      </c>
      <c r="W218" s="106">
        <v>1</v>
      </c>
      <c r="X218" s="106">
        <v>1</v>
      </c>
      <c r="Y218" s="106">
        <v>1</v>
      </c>
      <c r="Z218" s="106" t="s">
        <v>1766</v>
      </c>
      <c r="AA218" s="106">
        <v>26000</v>
      </c>
      <c r="AB218" s="106">
        <v>26000</v>
      </c>
      <c r="AC218" s="106">
        <v>26000</v>
      </c>
      <c r="AD218" s="106">
        <v>0</v>
      </c>
      <c r="AE218" s="106">
        <v>78000</v>
      </c>
      <c r="AF218" s="106">
        <v>78000</v>
      </c>
      <c r="AH218" s="106">
        <v>1350</v>
      </c>
      <c r="AI218" s="106">
        <v>0</v>
      </c>
      <c r="AJ218" s="106">
        <v>3</v>
      </c>
      <c r="AK218" s="106">
        <v>120</v>
      </c>
      <c r="AL218" s="106">
        <v>360</v>
      </c>
      <c r="AM218" s="106">
        <v>690</v>
      </c>
      <c r="AN218" s="106">
        <v>690</v>
      </c>
      <c r="AO218" s="106">
        <v>331</v>
      </c>
      <c r="AP218" s="106" t="s">
        <v>114</v>
      </c>
      <c r="AQ218" s="106" t="s">
        <v>295</v>
      </c>
      <c r="AR218" s="106">
        <v>3000</v>
      </c>
      <c r="AS218" s="106">
        <v>0.03</v>
      </c>
      <c r="AT218" s="106">
        <v>0.03</v>
      </c>
      <c r="AU218" s="108" t="s">
        <v>153</v>
      </c>
      <c r="AV218" s="108" t="s">
        <v>321</v>
      </c>
      <c r="AW218" s="108">
        <v>3016</v>
      </c>
      <c r="AX218" s="108">
        <v>300</v>
      </c>
      <c r="AY218" s="108">
        <v>300</v>
      </c>
      <c r="BD218" s="106">
        <v>0</v>
      </c>
      <c r="BY218" s="112" t="s">
        <v>1766</v>
      </c>
      <c r="BZ218" s="112" t="s">
        <v>1766</v>
      </c>
      <c r="CA218" s="112" t="s">
        <v>1766</v>
      </c>
      <c r="CB218" s="112" t="s">
        <v>1766</v>
      </c>
      <c r="CC218" s="112" t="s">
        <v>1766</v>
      </c>
      <c r="CD218" s="112" t="s">
        <v>1766</v>
      </c>
      <c r="CE218" s="112" t="s">
        <v>1766</v>
      </c>
      <c r="CF218" s="112" t="s">
        <v>1766</v>
      </c>
      <c r="CG218" s="112" t="s">
        <v>1766</v>
      </c>
      <c r="CH218" s="112" t="s">
        <v>1766</v>
      </c>
      <c r="CI218" s="112" t="s">
        <v>1766</v>
      </c>
      <c r="CJ218" s="112" t="s">
        <v>1766</v>
      </c>
      <c r="CK218" s="112" t="s">
        <v>1766</v>
      </c>
      <c r="CL218" s="112" t="s">
        <v>1766</v>
      </c>
      <c r="CM218" s="112" t="s">
        <v>1766</v>
      </c>
      <c r="CN218" s="112" t="s">
        <v>1766</v>
      </c>
      <c r="CO218" s="112" t="s">
        <v>1766</v>
      </c>
    </row>
    <row r="219" spans="1:93">
      <c r="A219" s="106" t="s">
        <v>319</v>
      </c>
      <c r="B219" s="106">
        <v>8</v>
      </c>
      <c r="C219" s="106">
        <v>1</v>
      </c>
      <c r="D219" s="106">
        <v>1</v>
      </c>
      <c r="E219" s="106">
        <v>1</v>
      </c>
      <c r="F219" s="106">
        <v>1</v>
      </c>
      <c r="G219" s="106" t="s">
        <v>66</v>
      </c>
      <c r="H219" s="106" t="s">
        <v>226</v>
      </c>
      <c r="I219" s="106">
        <v>201</v>
      </c>
      <c r="J219" s="106">
        <v>204</v>
      </c>
      <c r="K219" s="106" t="s">
        <v>1528</v>
      </c>
      <c r="L219" s="106" t="s">
        <v>1239</v>
      </c>
      <c r="M219" s="106" t="s">
        <v>329</v>
      </c>
      <c r="N219" s="106">
        <v>13</v>
      </c>
      <c r="O219" s="106">
        <v>8</v>
      </c>
      <c r="T219" s="106" t="s">
        <v>1766</v>
      </c>
      <c r="V219" s="106">
        <v>132627.31487999999</v>
      </c>
      <c r="W219" s="106">
        <v>1</v>
      </c>
      <c r="X219" s="106">
        <v>1</v>
      </c>
      <c r="Y219" s="106">
        <v>1</v>
      </c>
      <c r="Z219" s="106" t="s">
        <v>1766</v>
      </c>
      <c r="AA219" s="106">
        <v>44000</v>
      </c>
      <c r="AB219" s="106">
        <v>44000</v>
      </c>
      <c r="AC219" s="106">
        <v>44000</v>
      </c>
      <c r="AD219" s="106">
        <v>0</v>
      </c>
      <c r="AE219" s="106">
        <v>132000</v>
      </c>
      <c r="AF219" s="106">
        <v>132000</v>
      </c>
      <c r="AH219" s="106">
        <v>2160</v>
      </c>
      <c r="AI219" s="106">
        <v>0</v>
      </c>
      <c r="AJ219" s="106">
        <v>3</v>
      </c>
      <c r="AK219" s="106">
        <v>120</v>
      </c>
      <c r="AL219" s="106">
        <v>360</v>
      </c>
      <c r="AM219" s="106">
        <v>1500</v>
      </c>
      <c r="AN219" s="106">
        <v>1500</v>
      </c>
      <c r="AO219" s="106">
        <v>596</v>
      </c>
      <c r="AP219" s="106" t="s">
        <v>114</v>
      </c>
      <c r="AQ219" s="106" t="s">
        <v>295</v>
      </c>
      <c r="AR219" s="106">
        <v>3000</v>
      </c>
      <c r="AS219" s="106">
        <v>3.5000000000000003E-2</v>
      </c>
      <c r="AT219" s="106">
        <v>3.5000000000000003E-2</v>
      </c>
      <c r="AU219" s="108" t="s">
        <v>153</v>
      </c>
      <c r="AV219" s="108" t="s">
        <v>321</v>
      </c>
      <c r="AW219" s="108">
        <v>3016</v>
      </c>
      <c r="AX219" s="108">
        <v>350</v>
      </c>
      <c r="AY219" s="108">
        <v>350</v>
      </c>
      <c r="BD219" s="106">
        <v>0</v>
      </c>
      <c r="BY219" s="112" t="s">
        <v>1766</v>
      </c>
      <c r="BZ219" s="112" t="s">
        <v>1766</v>
      </c>
      <c r="CA219" s="112" t="s">
        <v>1766</v>
      </c>
      <c r="CB219" s="112" t="s">
        <v>1766</v>
      </c>
      <c r="CC219" s="112" t="s">
        <v>1766</v>
      </c>
      <c r="CD219" s="112" t="s">
        <v>1766</v>
      </c>
      <c r="CE219" s="112" t="s">
        <v>1766</v>
      </c>
      <c r="CF219" s="112" t="s">
        <v>1766</v>
      </c>
      <c r="CG219" s="112" t="s">
        <v>1766</v>
      </c>
      <c r="CH219" s="112" t="s">
        <v>1766</v>
      </c>
      <c r="CI219" s="112" t="s">
        <v>1766</v>
      </c>
      <c r="CJ219" s="112" t="s">
        <v>1766</v>
      </c>
      <c r="CK219" s="112" t="s">
        <v>1766</v>
      </c>
      <c r="CL219" s="112" t="s">
        <v>1766</v>
      </c>
      <c r="CM219" s="112" t="s">
        <v>1766</v>
      </c>
      <c r="CN219" s="112" t="s">
        <v>1766</v>
      </c>
      <c r="CO219" s="112" t="s">
        <v>1766</v>
      </c>
    </row>
    <row r="220" spans="1:93">
      <c r="A220" s="106" t="s">
        <v>319</v>
      </c>
      <c r="B220" s="106">
        <v>9</v>
      </c>
      <c r="C220" s="106">
        <v>1</v>
      </c>
      <c r="D220" s="106">
        <v>1</v>
      </c>
      <c r="E220" s="106">
        <v>1</v>
      </c>
      <c r="F220" s="106">
        <v>1</v>
      </c>
      <c r="G220" s="106" t="s">
        <v>66</v>
      </c>
      <c r="H220" s="106" t="s">
        <v>226</v>
      </c>
      <c r="I220" s="106">
        <v>201</v>
      </c>
      <c r="J220" s="106">
        <v>204</v>
      </c>
      <c r="K220" s="106" t="s">
        <v>1528</v>
      </c>
      <c r="L220" s="106" t="s">
        <v>1244</v>
      </c>
      <c r="M220" s="106" t="s">
        <v>330</v>
      </c>
      <c r="N220" s="106">
        <v>13</v>
      </c>
      <c r="O220" s="106">
        <v>9</v>
      </c>
      <c r="T220" s="106" t="s">
        <v>1766</v>
      </c>
      <c r="V220" s="106">
        <v>218835.069552</v>
      </c>
      <c r="W220" s="106">
        <v>1</v>
      </c>
      <c r="X220" s="106">
        <v>1</v>
      </c>
      <c r="Y220" s="106">
        <v>1</v>
      </c>
      <c r="Z220" s="106" t="s">
        <v>1766</v>
      </c>
      <c r="AA220" s="106">
        <v>73000</v>
      </c>
      <c r="AB220" s="106">
        <v>73000</v>
      </c>
      <c r="AC220" s="106">
        <v>73000</v>
      </c>
      <c r="AD220" s="106">
        <v>0</v>
      </c>
      <c r="AE220" s="106">
        <v>219000</v>
      </c>
      <c r="AF220" s="106">
        <v>219000</v>
      </c>
      <c r="AH220" s="106">
        <v>4320</v>
      </c>
      <c r="AI220" s="106">
        <v>0</v>
      </c>
      <c r="AJ220" s="106">
        <v>4</v>
      </c>
      <c r="AK220" s="106">
        <v>120</v>
      </c>
      <c r="AL220" s="106">
        <v>480</v>
      </c>
      <c r="AM220" s="106">
        <v>3540</v>
      </c>
      <c r="AN220" s="106">
        <v>3540</v>
      </c>
      <c r="AO220" s="106">
        <v>1034</v>
      </c>
      <c r="AP220" s="106" t="s">
        <v>114</v>
      </c>
      <c r="AQ220" s="106" t="s">
        <v>295</v>
      </c>
      <c r="AR220" s="106">
        <v>3000</v>
      </c>
      <c r="AS220" s="106">
        <v>0.04</v>
      </c>
      <c r="AT220" s="106">
        <v>0.04</v>
      </c>
      <c r="AU220" s="108" t="s">
        <v>153</v>
      </c>
      <c r="AV220" s="108" t="s">
        <v>321</v>
      </c>
      <c r="AW220" s="108">
        <v>3016</v>
      </c>
      <c r="AX220" s="108">
        <v>400</v>
      </c>
      <c r="AY220" s="108">
        <v>400</v>
      </c>
      <c r="BD220" s="106">
        <v>0</v>
      </c>
      <c r="BY220" s="112" t="s">
        <v>1766</v>
      </c>
      <c r="BZ220" s="112" t="s">
        <v>1766</v>
      </c>
      <c r="CA220" s="112" t="s">
        <v>1766</v>
      </c>
      <c r="CB220" s="112" t="s">
        <v>1766</v>
      </c>
      <c r="CC220" s="112" t="s">
        <v>1766</v>
      </c>
      <c r="CD220" s="112" t="s">
        <v>1766</v>
      </c>
      <c r="CE220" s="112" t="s">
        <v>1766</v>
      </c>
      <c r="CF220" s="112" t="s">
        <v>1766</v>
      </c>
      <c r="CG220" s="112" t="s">
        <v>1766</v>
      </c>
      <c r="CH220" s="112" t="s">
        <v>1766</v>
      </c>
      <c r="CI220" s="112" t="s">
        <v>1766</v>
      </c>
      <c r="CJ220" s="112" t="s">
        <v>1766</v>
      </c>
      <c r="CK220" s="112" t="s">
        <v>1766</v>
      </c>
      <c r="CL220" s="112" t="s">
        <v>1766</v>
      </c>
      <c r="CM220" s="112" t="s">
        <v>1766</v>
      </c>
      <c r="CN220" s="112" t="s">
        <v>1766</v>
      </c>
      <c r="CO220" s="112" t="s">
        <v>1766</v>
      </c>
    </row>
    <row r="221" spans="1:93">
      <c r="A221" s="106" t="s">
        <v>319</v>
      </c>
      <c r="B221" s="106">
        <v>10</v>
      </c>
      <c r="C221" s="106">
        <v>1</v>
      </c>
      <c r="D221" s="106">
        <v>1</v>
      </c>
      <c r="E221" s="106">
        <v>1</v>
      </c>
      <c r="F221" s="106">
        <v>1</v>
      </c>
      <c r="G221" s="106" t="s">
        <v>66</v>
      </c>
      <c r="H221" s="106" t="s">
        <v>226</v>
      </c>
      <c r="I221" s="106">
        <v>201</v>
      </c>
      <c r="J221" s="106">
        <v>204</v>
      </c>
      <c r="K221" s="106" t="s">
        <v>1528</v>
      </c>
      <c r="L221" s="106" t="s">
        <v>1247</v>
      </c>
      <c r="M221" s="106" t="s">
        <v>331</v>
      </c>
      <c r="N221" s="106">
        <v>13</v>
      </c>
      <c r="O221" s="106">
        <v>10</v>
      </c>
      <c r="T221" s="106" t="s">
        <v>1766</v>
      </c>
      <c r="V221" s="106">
        <v>345759.40989215998</v>
      </c>
      <c r="W221" s="106">
        <v>1</v>
      </c>
      <c r="X221" s="106">
        <v>1</v>
      </c>
      <c r="Y221" s="106">
        <v>1</v>
      </c>
      <c r="Z221" s="106">
        <v>1</v>
      </c>
      <c r="AA221" s="106">
        <v>86000</v>
      </c>
      <c r="AB221" s="106">
        <v>86000</v>
      </c>
      <c r="AC221" s="106">
        <v>86000</v>
      </c>
      <c r="AD221" s="106">
        <v>86000</v>
      </c>
      <c r="AE221" s="106">
        <v>344000</v>
      </c>
      <c r="AF221" s="106">
        <v>344000</v>
      </c>
      <c r="AH221" s="106">
        <v>6480</v>
      </c>
      <c r="AI221" s="106">
        <v>0.01</v>
      </c>
      <c r="AJ221" s="106">
        <v>4</v>
      </c>
      <c r="AK221" s="106">
        <v>120</v>
      </c>
      <c r="AL221" s="106">
        <v>480</v>
      </c>
      <c r="AM221" s="106">
        <v>5635</v>
      </c>
      <c r="AN221" s="106">
        <v>5635</v>
      </c>
      <c r="AO221" s="106">
        <v>1726</v>
      </c>
      <c r="AP221" s="106" t="s">
        <v>114</v>
      </c>
      <c r="AQ221" s="106" t="s">
        <v>295</v>
      </c>
      <c r="AR221" s="106">
        <v>3000</v>
      </c>
      <c r="AS221" s="106">
        <v>4.4999999999999998E-2</v>
      </c>
      <c r="AT221" s="106">
        <v>4.4999999999999998E-2</v>
      </c>
      <c r="AU221" s="108" t="s">
        <v>153</v>
      </c>
      <c r="AV221" s="108" t="s">
        <v>321</v>
      </c>
      <c r="AW221" s="108">
        <v>3016</v>
      </c>
      <c r="AX221" s="108">
        <v>450</v>
      </c>
      <c r="AY221" s="108">
        <v>450</v>
      </c>
      <c r="BD221" s="106">
        <v>0</v>
      </c>
      <c r="BY221" s="112" t="s">
        <v>1766</v>
      </c>
      <c r="BZ221" s="112" t="s">
        <v>1766</v>
      </c>
      <c r="CA221" s="112" t="s">
        <v>1766</v>
      </c>
      <c r="CB221" s="112" t="s">
        <v>1766</v>
      </c>
      <c r="CC221" s="112" t="s">
        <v>1766</v>
      </c>
      <c r="CD221" s="112" t="s">
        <v>1766</v>
      </c>
      <c r="CE221" s="112" t="s">
        <v>1766</v>
      </c>
      <c r="CF221" s="112" t="s">
        <v>1766</v>
      </c>
      <c r="CG221" s="112" t="s">
        <v>1766</v>
      </c>
      <c r="CH221" s="112" t="s">
        <v>1766</v>
      </c>
      <c r="CI221" s="112" t="s">
        <v>1766</v>
      </c>
      <c r="CJ221" s="112" t="s">
        <v>1766</v>
      </c>
      <c r="CK221" s="112" t="s">
        <v>1766</v>
      </c>
      <c r="CL221" s="112" t="s">
        <v>1766</v>
      </c>
      <c r="CM221" s="112" t="s">
        <v>1766</v>
      </c>
      <c r="CN221" s="112" t="s">
        <v>1766</v>
      </c>
      <c r="CO221" s="112" t="s">
        <v>1766</v>
      </c>
    </row>
    <row r="222" spans="1:93">
      <c r="A222" s="106" t="s">
        <v>319</v>
      </c>
      <c r="B222" s="106">
        <v>11</v>
      </c>
      <c r="C222" s="106">
        <v>1</v>
      </c>
      <c r="D222" s="106">
        <v>1</v>
      </c>
      <c r="E222" s="106">
        <v>1</v>
      </c>
      <c r="F222" s="106">
        <v>1</v>
      </c>
      <c r="G222" s="106" t="s">
        <v>66</v>
      </c>
      <c r="H222" s="106" t="s">
        <v>226</v>
      </c>
      <c r="I222" s="106">
        <v>201</v>
      </c>
      <c r="J222" s="106">
        <v>204</v>
      </c>
      <c r="K222" s="106" t="s">
        <v>1528</v>
      </c>
      <c r="L222" s="106" t="s">
        <v>1252</v>
      </c>
      <c r="M222" s="106" t="s">
        <v>332</v>
      </c>
      <c r="N222" s="106">
        <v>13</v>
      </c>
      <c r="O222" s="106">
        <v>11</v>
      </c>
      <c r="T222" s="106" t="s">
        <v>1766</v>
      </c>
      <c r="V222" s="106">
        <v>522096.70893716102</v>
      </c>
      <c r="W222" s="106">
        <v>1</v>
      </c>
      <c r="X222" s="106">
        <v>1</v>
      </c>
      <c r="Y222" s="106">
        <v>1</v>
      </c>
      <c r="Z222" s="106">
        <v>1</v>
      </c>
      <c r="AA222" s="106">
        <v>130000</v>
      </c>
      <c r="AB222" s="106">
        <v>130000</v>
      </c>
      <c r="AC222" s="106">
        <v>130000</v>
      </c>
      <c r="AD222" s="106">
        <v>130000</v>
      </c>
      <c r="AE222" s="106">
        <v>520000</v>
      </c>
      <c r="AF222" s="106">
        <v>520000</v>
      </c>
      <c r="AH222" s="106">
        <v>9720</v>
      </c>
      <c r="AI222" s="106">
        <v>0.02</v>
      </c>
      <c r="AJ222" s="106">
        <v>5</v>
      </c>
      <c r="AK222" s="106">
        <v>120</v>
      </c>
      <c r="AL222" s="106">
        <v>600</v>
      </c>
      <c r="AM222" s="106">
        <v>8629</v>
      </c>
      <c r="AN222" s="106">
        <v>8629</v>
      </c>
      <c r="AO222" s="106">
        <v>2770</v>
      </c>
      <c r="AP222" s="106" t="s">
        <v>114</v>
      </c>
      <c r="AQ222" s="106" t="s">
        <v>295</v>
      </c>
      <c r="AR222" s="106">
        <v>3000</v>
      </c>
      <c r="AS222" s="106">
        <v>0.05</v>
      </c>
      <c r="AT222" s="106">
        <v>0.05</v>
      </c>
      <c r="AU222" s="108" t="s">
        <v>153</v>
      </c>
      <c r="AV222" s="108" t="s">
        <v>321</v>
      </c>
      <c r="AW222" s="108">
        <v>3016</v>
      </c>
      <c r="AX222" s="108">
        <v>500</v>
      </c>
      <c r="AY222" s="108">
        <v>500</v>
      </c>
      <c r="BD222" s="106">
        <v>0</v>
      </c>
      <c r="BY222" s="112" t="s">
        <v>1766</v>
      </c>
      <c r="BZ222" s="112" t="s">
        <v>1766</v>
      </c>
      <c r="CA222" s="112" t="s">
        <v>1766</v>
      </c>
      <c r="CB222" s="112" t="s">
        <v>1766</v>
      </c>
      <c r="CC222" s="112" t="s">
        <v>1766</v>
      </c>
      <c r="CD222" s="112" t="s">
        <v>1766</v>
      </c>
      <c r="CE222" s="112" t="s">
        <v>1766</v>
      </c>
      <c r="CF222" s="112" t="s">
        <v>1766</v>
      </c>
      <c r="CG222" s="112" t="s">
        <v>1766</v>
      </c>
      <c r="CH222" s="112" t="s">
        <v>1766</v>
      </c>
      <c r="CI222" s="112" t="s">
        <v>1766</v>
      </c>
      <c r="CJ222" s="112" t="s">
        <v>1766</v>
      </c>
      <c r="CK222" s="112" t="s">
        <v>1766</v>
      </c>
      <c r="CL222" s="112" t="s">
        <v>1766</v>
      </c>
      <c r="CM222" s="112" t="s">
        <v>1766</v>
      </c>
      <c r="CN222" s="112" t="s">
        <v>1766</v>
      </c>
      <c r="CO222" s="112" t="s">
        <v>1766</v>
      </c>
    </row>
    <row r="223" spans="1:93">
      <c r="A223" s="106" t="s">
        <v>319</v>
      </c>
      <c r="B223" s="106">
        <v>12</v>
      </c>
      <c r="C223" s="106">
        <v>1</v>
      </c>
      <c r="D223" s="106">
        <v>1</v>
      </c>
      <c r="E223" s="106">
        <v>1</v>
      </c>
      <c r="F223" s="106">
        <v>1</v>
      </c>
      <c r="G223" s="106" t="s">
        <v>66</v>
      </c>
      <c r="H223" s="106" t="s">
        <v>226</v>
      </c>
      <c r="I223" s="106">
        <v>201</v>
      </c>
      <c r="J223" s="106">
        <v>204</v>
      </c>
      <c r="K223" s="106" t="s">
        <v>1528</v>
      </c>
      <c r="L223" s="106" t="s">
        <v>1258</v>
      </c>
      <c r="M223" s="106" t="s">
        <v>333</v>
      </c>
      <c r="N223" s="106">
        <v>13</v>
      </c>
      <c r="O223" s="106">
        <v>12</v>
      </c>
      <c r="T223" s="106" t="s">
        <v>1766</v>
      </c>
      <c r="V223" s="106">
        <v>751819.26086951199</v>
      </c>
      <c r="W223" s="106">
        <v>1</v>
      </c>
      <c r="X223" s="106">
        <v>1</v>
      </c>
      <c r="Y223" s="106">
        <v>1</v>
      </c>
      <c r="Z223" s="106">
        <v>1</v>
      </c>
      <c r="AA223" s="106">
        <v>190000</v>
      </c>
      <c r="AB223" s="106">
        <v>190000</v>
      </c>
      <c r="AC223" s="106">
        <v>190000</v>
      </c>
      <c r="AD223" s="106">
        <v>190000</v>
      </c>
      <c r="AE223" s="106">
        <v>760000</v>
      </c>
      <c r="AF223" s="106">
        <v>760000</v>
      </c>
      <c r="AH223" s="106">
        <v>12960</v>
      </c>
      <c r="AI223" s="106">
        <v>0.03</v>
      </c>
      <c r="AJ223" s="106">
        <v>5</v>
      </c>
      <c r="AK223" s="106">
        <v>129.6</v>
      </c>
      <c r="AL223" s="106">
        <v>648</v>
      </c>
      <c r="AM223" s="106">
        <v>11634</v>
      </c>
      <c r="AN223" s="106">
        <v>11634</v>
      </c>
      <c r="AO223" s="106">
        <v>4273</v>
      </c>
      <c r="AP223" s="106" t="s">
        <v>114</v>
      </c>
      <c r="AQ223" s="106" t="s">
        <v>295</v>
      </c>
      <c r="AR223" s="106">
        <v>3000</v>
      </c>
      <c r="AS223" s="106">
        <v>5.5E-2</v>
      </c>
      <c r="AT223" s="106">
        <v>5.5E-2</v>
      </c>
      <c r="AU223" s="108" t="s">
        <v>153</v>
      </c>
      <c r="AV223" s="108" t="s">
        <v>321</v>
      </c>
      <c r="AW223" s="108">
        <v>3016</v>
      </c>
      <c r="AX223" s="108">
        <v>550</v>
      </c>
      <c r="AY223" s="108">
        <v>550</v>
      </c>
      <c r="BD223" s="106">
        <v>0</v>
      </c>
      <c r="BY223" s="112" t="s">
        <v>1766</v>
      </c>
      <c r="BZ223" s="112" t="s">
        <v>1766</v>
      </c>
      <c r="CA223" s="112" t="s">
        <v>1766</v>
      </c>
      <c r="CB223" s="112" t="s">
        <v>1766</v>
      </c>
      <c r="CC223" s="112" t="s">
        <v>1766</v>
      </c>
      <c r="CD223" s="112" t="s">
        <v>1766</v>
      </c>
      <c r="CE223" s="112" t="s">
        <v>1766</v>
      </c>
      <c r="CF223" s="112" t="s">
        <v>1766</v>
      </c>
      <c r="CG223" s="112" t="s">
        <v>1766</v>
      </c>
      <c r="CH223" s="112" t="s">
        <v>1766</v>
      </c>
      <c r="CI223" s="112" t="s">
        <v>1766</v>
      </c>
      <c r="CJ223" s="112" t="s">
        <v>1766</v>
      </c>
      <c r="CK223" s="112" t="s">
        <v>1766</v>
      </c>
      <c r="CL223" s="112" t="s">
        <v>1766</v>
      </c>
      <c r="CM223" s="112" t="s">
        <v>1766</v>
      </c>
      <c r="CN223" s="112" t="s">
        <v>1766</v>
      </c>
      <c r="CO223" s="112" t="s">
        <v>1766</v>
      </c>
    </row>
    <row r="224" spans="1:93">
      <c r="A224" s="106" t="s">
        <v>319</v>
      </c>
      <c r="B224" s="106">
        <v>13</v>
      </c>
      <c r="C224" s="106">
        <v>1</v>
      </c>
      <c r="D224" s="106">
        <v>1</v>
      </c>
      <c r="E224" s="106">
        <v>1</v>
      </c>
      <c r="F224" s="106">
        <v>1</v>
      </c>
      <c r="G224" s="106" t="s">
        <v>66</v>
      </c>
      <c r="H224" s="106" t="s">
        <v>226</v>
      </c>
      <c r="I224" s="106">
        <v>201</v>
      </c>
      <c r="J224" s="106">
        <v>204</v>
      </c>
      <c r="K224" s="106" t="s">
        <v>1528</v>
      </c>
      <c r="L224" s="106" t="s">
        <v>1262</v>
      </c>
      <c r="M224" s="106" t="s">
        <v>334</v>
      </c>
      <c r="O224" s="106">
        <v>13</v>
      </c>
      <c r="T224" s="106" t="s">
        <v>1766</v>
      </c>
      <c r="V224" s="106">
        <v>1029992.38739123</v>
      </c>
      <c r="W224" s="106">
        <v>1</v>
      </c>
      <c r="X224" s="106">
        <v>1</v>
      </c>
      <c r="Y224" s="106">
        <v>1</v>
      </c>
      <c r="Z224" s="106">
        <v>1</v>
      </c>
      <c r="AA224" s="106">
        <v>260000</v>
      </c>
      <c r="AB224" s="106">
        <v>260000</v>
      </c>
      <c r="AC224" s="106">
        <v>260000</v>
      </c>
      <c r="AD224" s="106">
        <v>260000</v>
      </c>
      <c r="AE224" s="106">
        <v>1040000</v>
      </c>
      <c r="AF224" s="106">
        <v>1040000</v>
      </c>
      <c r="AH224" s="106">
        <v>17280</v>
      </c>
      <c r="AI224" s="106">
        <v>0.04</v>
      </c>
      <c r="AJ224" s="106">
        <v>6</v>
      </c>
      <c r="AK224" s="106">
        <v>172.8</v>
      </c>
      <c r="AL224" s="106">
        <v>1036.8</v>
      </c>
      <c r="AM224" s="106">
        <v>15278</v>
      </c>
      <c r="AN224" s="106">
        <v>15278</v>
      </c>
      <c r="AO224" s="106">
        <v>6333</v>
      </c>
      <c r="AP224" s="106" t="s">
        <v>114</v>
      </c>
      <c r="AQ224" s="106" t="s">
        <v>295</v>
      </c>
      <c r="AR224" s="106">
        <v>3000</v>
      </c>
      <c r="AS224" s="106">
        <v>0.06</v>
      </c>
      <c r="AT224" s="106">
        <v>0.06</v>
      </c>
      <c r="AU224" s="108" t="s">
        <v>153</v>
      </c>
      <c r="AV224" s="108" t="s">
        <v>321</v>
      </c>
      <c r="AW224" s="108">
        <v>3016</v>
      </c>
      <c r="AX224" s="108">
        <v>600</v>
      </c>
      <c r="AY224" s="108">
        <v>600</v>
      </c>
      <c r="BD224" s="106">
        <v>0</v>
      </c>
      <c r="BY224" s="112" t="s">
        <v>1766</v>
      </c>
      <c r="BZ224" s="112" t="s">
        <v>1766</v>
      </c>
      <c r="CA224" s="112" t="s">
        <v>1766</v>
      </c>
      <c r="CB224" s="112" t="s">
        <v>1766</v>
      </c>
      <c r="CC224" s="112" t="s">
        <v>1766</v>
      </c>
      <c r="CD224" s="112" t="s">
        <v>1766</v>
      </c>
      <c r="CE224" s="112" t="s">
        <v>1766</v>
      </c>
      <c r="CF224" s="112" t="s">
        <v>1766</v>
      </c>
      <c r="CG224" s="112" t="s">
        <v>1766</v>
      </c>
      <c r="CH224" s="112" t="s">
        <v>1766</v>
      </c>
      <c r="CI224" s="112" t="s">
        <v>1766</v>
      </c>
      <c r="CJ224" s="112" t="s">
        <v>1766</v>
      </c>
      <c r="CK224" s="112" t="s">
        <v>1766</v>
      </c>
      <c r="CL224" s="112" t="s">
        <v>1766</v>
      </c>
      <c r="CM224" s="112" t="s">
        <v>1766</v>
      </c>
      <c r="CN224" s="112" t="s">
        <v>1766</v>
      </c>
      <c r="CO224" s="112" t="s">
        <v>1766</v>
      </c>
    </row>
    <row r="225" spans="1:93">
      <c r="A225" s="106" t="s">
        <v>319</v>
      </c>
      <c r="B225" s="106">
        <v>14</v>
      </c>
      <c r="C225" s="106">
        <v>1</v>
      </c>
      <c r="D225" s="106">
        <v>1</v>
      </c>
      <c r="E225" s="106">
        <v>1</v>
      </c>
      <c r="F225" s="106">
        <v>1</v>
      </c>
      <c r="G225" s="106" t="s">
        <v>66</v>
      </c>
      <c r="H225" s="106" t="s">
        <v>226</v>
      </c>
      <c r="I225" s="106">
        <v>201</v>
      </c>
      <c r="J225" s="106">
        <v>204</v>
      </c>
      <c r="K225" s="106" t="s">
        <v>1528</v>
      </c>
      <c r="L225" s="106" t="s">
        <v>1265</v>
      </c>
      <c r="M225" s="106" t="s">
        <v>335</v>
      </c>
      <c r="O225" s="106">
        <v>14</v>
      </c>
      <c r="T225" s="106" t="s">
        <v>1766</v>
      </c>
      <c r="V225" s="106">
        <v>1338990.1036086001</v>
      </c>
      <c r="W225" s="106">
        <v>1</v>
      </c>
      <c r="X225" s="106">
        <v>1</v>
      </c>
      <c r="Y225" s="106">
        <v>1</v>
      </c>
      <c r="Z225" s="106">
        <v>1</v>
      </c>
      <c r="AA225" s="106">
        <v>330000</v>
      </c>
      <c r="AB225" s="106">
        <v>330000</v>
      </c>
      <c r="AC225" s="106">
        <v>330000</v>
      </c>
      <c r="AD225" s="106">
        <v>330000</v>
      </c>
      <c r="AE225" s="106">
        <v>1320000</v>
      </c>
      <c r="AF225" s="106">
        <v>1320000</v>
      </c>
      <c r="AH225" s="106">
        <v>21600</v>
      </c>
      <c r="AI225" s="106">
        <v>0.05</v>
      </c>
      <c r="AJ225" s="106">
        <v>6</v>
      </c>
      <c r="AK225" s="106">
        <v>216</v>
      </c>
      <c r="AL225" s="106">
        <v>1296</v>
      </c>
      <c r="AM225" s="106">
        <v>18975</v>
      </c>
      <c r="AN225" s="106">
        <v>18975</v>
      </c>
      <c r="AO225" s="106">
        <v>9011</v>
      </c>
      <c r="AP225" s="106" t="s">
        <v>114</v>
      </c>
      <c r="AQ225" s="106" t="s">
        <v>295</v>
      </c>
      <c r="AR225" s="106">
        <v>3000</v>
      </c>
      <c r="AS225" s="106">
        <v>6.5000000000000002E-2</v>
      </c>
      <c r="AT225" s="106">
        <v>6.5000000000000002E-2</v>
      </c>
      <c r="AU225" s="108" t="s">
        <v>153</v>
      </c>
      <c r="AV225" s="108" t="s">
        <v>321</v>
      </c>
      <c r="AW225" s="108">
        <v>3016</v>
      </c>
      <c r="AX225" s="108">
        <v>650</v>
      </c>
      <c r="AY225" s="108">
        <v>650</v>
      </c>
      <c r="BD225" s="106">
        <v>0</v>
      </c>
      <c r="BY225" s="112" t="s">
        <v>1766</v>
      </c>
      <c r="BZ225" s="112" t="s">
        <v>1766</v>
      </c>
      <c r="CA225" s="112" t="s">
        <v>1766</v>
      </c>
      <c r="CB225" s="112" t="s">
        <v>1766</v>
      </c>
      <c r="CC225" s="112" t="s">
        <v>1766</v>
      </c>
      <c r="CD225" s="112" t="s">
        <v>1766</v>
      </c>
      <c r="CE225" s="112" t="s">
        <v>1766</v>
      </c>
      <c r="CF225" s="112" t="s">
        <v>1766</v>
      </c>
      <c r="CG225" s="112" t="s">
        <v>1766</v>
      </c>
      <c r="CH225" s="112" t="s">
        <v>1766</v>
      </c>
      <c r="CI225" s="112" t="s">
        <v>1766</v>
      </c>
      <c r="CJ225" s="112" t="s">
        <v>1766</v>
      </c>
      <c r="CK225" s="112" t="s">
        <v>1766</v>
      </c>
      <c r="CL225" s="112" t="s">
        <v>1766</v>
      </c>
      <c r="CM225" s="112" t="s">
        <v>1766</v>
      </c>
      <c r="CN225" s="112" t="s">
        <v>1766</v>
      </c>
      <c r="CO225" s="112" t="s">
        <v>1766</v>
      </c>
    </row>
    <row r="226" spans="1:93">
      <c r="A226" s="106" t="s">
        <v>319</v>
      </c>
      <c r="B226" s="106">
        <v>15</v>
      </c>
      <c r="C226" s="106">
        <v>1</v>
      </c>
      <c r="D226" s="106">
        <v>1</v>
      </c>
      <c r="E226" s="106">
        <v>1</v>
      </c>
      <c r="F226" s="106">
        <v>1</v>
      </c>
      <c r="G226" s="106" t="s">
        <v>66</v>
      </c>
      <c r="H226" s="106" t="s">
        <v>226</v>
      </c>
      <c r="I226" s="106">
        <v>201</v>
      </c>
      <c r="J226" s="106">
        <v>204</v>
      </c>
      <c r="K226" s="106" t="s">
        <v>1528</v>
      </c>
      <c r="L226" s="106" t="s">
        <v>1269</v>
      </c>
      <c r="M226" s="106" t="s">
        <v>336</v>
      </c>
      <c r="O226" s="106">
        <v>15</v>
      </c>
      <c r="T226" s="106" t="s">
        <v>1766</v>
      </c>
      <c r="V226" s="106">
        <v>1713907.33261901</v>
      </c>
      <c r="W226" s="106">
        <v>1</v>
      </c>
      <c r="X226" s="106">
        <v>1</v>
      </c>
      <c r="Y226" s="106">
        <v>1</v>
      </c>
      <c r="Z226" s="106">
        <v>1</v>
      </c>
      <c r="AA226" s="106">
        <v>430000</v>
      </c>
      <c r="AB226" s="106">
        <v>430000</v>
      </c>
      <c r="AC226" s="106">
        <v>430000</v>
      </c>
      <c r="AD226" s="106">
        <v>430000</v>
      </c>
      <c r="AE226" s="106">
        <v>1720000</v>
      </c>
      <c r="AF226" s="106">
        <v>1720000</v>
      </c>
      <c r="AH226" s="106">
        <v>25920</v>
      </c>
      <c r="AI226" s="106">
        <v>0.05</v>
      </c>
      <c r="AJ226" s="106">
        <v>7</v>
      </c>
      <c r="AK226" s="106">
        <v>259.2</v>
      </c>
      <c r="AL226" s="106">
        <v>1814.4</v>
      </c>
      <c r="AM226" s="106">
        <v>22571</v>
      </c>
      <c r="AN226" s="106">
        <v>22571</v>
      </c>
      <c r="AO226" s="106">
        <v>12439</v>
      </c>
      <c r="AP226" s="106" t="s">
        <v>114</v>
      </c>
      <c r="AQ226" s="106" t="s">
        <v>295</v>
      </c>
      <c r="AR226" s="106">
        <v>3000</v>
      </c>
      <c r="AS226" s="106">
        <v>7.0000000000000007E-2</v>
      </c>
      <c r="AT226" s="106">
        <v>7.0000000000000007E-2</v>
      </c>
      <c r="AU226" s="108" t="s">
        <v>153</v>
      </c>
      <c r="AV226" s="108" t="s">
        <v>321</v>
      </c>
      <c r="AW226" s="108">
        <v>3016</v>
      </c>
      <c r="AX226" s="108">
        <v>700</v>
      </c>
      <c r="AY226" s="108">
        <v>700</v>
      </c>
      <c r="BD226" s="106">
        <v>0</v>
      </c>
      <c r="BY226" s="112" t="s">
        <v>1766</v>
      </c>
      <c r="BZ226" s="112" t="s">
        <v>1766</v>
      </c>
      <c r="CA226" s="112" t="s">
        <v>1766</v>
      </c>
      <c r="CB226" s="112" t="s">
        <v>1766</v>
      </c>
      <c r="CC226" s="112" t="s">
        <v>1766</v>
      </c>
      <c r="CD226" s="112" t="s">
        <v>1766</v>
      </c>
      <c r="CE226" s="112" t="s">
        <v>1766</v>
      </c>
      <c r="CF226" s="112" t="s">
        <v>1766</v>
      </c>
      <c r="CG226" s="112" t="s">
        <v>1766</v>
      </c>
      <c r="CH226" s="112" t="s">
        <v>1766</v>
      </c>
      <c r="CI226" s="112" t="s">
        <v>1766</v>
      </c>
      <c r="CJ226" s="112" t="s">
        <v>1766</v>
      </c>
      <c r="CK226" s="112" t="s">
        <v>1766</v>
      </c>
      <c r="CL226" s="112" t="s">
        <v>1766</v>
      </c>
      <c r="CM226" s="112" t="s">
        <v>1766</v>
      </c>
      <c r="CN226" s="112" t="s">
        <v>1766</v>
      </c>
      <c r="CO226" s="112" t="s">
        <v>1766</v>
      </c>
    </row>
    <row r="227" spans="1:93">
      <c r="A227" s="106" t="s">
        <v>319</v>
      </c>
      <c r="B227" s="106">
        <v>16</v>
      </c>
      <c r="C227" s="106">
        <v>1</v>
      </c>
      <c r="D227" s="106">
        <v>1</v>
      </c>
      <c r="E227" s="106">
        <v>1</v>
      </c>
      <c r="F227" s="106">
        <v>1</v>
      </c>
      <c r="G227" s="106" t="s">
        <v>66</v>
      </c>
      <c r="H227" s="106" t="s">
        <v>226</v>
      </c>
      <c r="I227" s="106">
        <v>201</v>
      </c>
      <c r="J227" s="106">
        <v>204</v>
      </c>
      <c r="K227" s="106" t="s">
        <v>1528</v>
      </c>
      <c r="L227" s="106" t="s">
        <v>1272</v>
      </c>
      <c r="M227" s="106" t="s">
        <v>337</v>
      </c>
      <c r="O227" s="106">
        <v>16</v>
      </c>
      <c r="T227" s="106" t="s">
        <v>1766</v>
      </c>
      <c r="V227" s="106">
        <v>2193801.3857523301</v>
      </c>
      <c r="W227" s="106">
        <v>1</v>
      </c>
      <c r="X227" s="106">
        <v>1</v>
      </c>
      <c r="Y227" s="106">
        <v>1</v>
      </c>
      <c r="Z227" s="106">
        <v>1</v>
      </c>
      <c r="AA227" s="106">
        <v>550000</v>
      </c>
      <c r="AB227" s="106">
        <v>550000</v>
      </c>
      <c r="AC227" s="106">
        <v>550000</v>
      </c>
      <c r="AD227" s="106">
        <v>550000</v>
      </c>
      <c r="AE227" s="106">
        <v>2200000</v>
      </c>
      <c r="AF227" s="106">
        <v>2200000</v>
      </c>
      <c r="AH227" s="106">
        <v>32400</v>
      </c>
      <c r="AI227" s="106">
        <v>0.05</v>
      </c>
      <c r="AJ227" s="106">
        <v>7</v>
      </c>
      <c r="AK227" s="106">
        <v>324</v>
      </c>
      <c r="AL227" s="106">
        <v>2268</v>
      </c>
      <c r="AM227" s="106">
        <v>28289</v>
      </c>
      <c r="AN227" s="106">
        <v>28289</v>
      </c>
      <c r="AO227" s="106">
        <v>16827</v>
      </c>
      <c r="AP227" s="106" t="s">
        <v>114</v>
      </c>
      <c r="AQ227" s="106" t="s">
        <v>295</v>
      </c>
      <c r="AR227" s="106">
        <v>3000</v>
      </c>
      <c r="AS227" s="106">
        <v>7.4999999999999997E-2</v>
      </c>
      <c r="AT227" s="106">
        <v>7.4999999999999997E-2</v>
      </c>
      <c r="AU227" s="108" t="s">
        <v>153</v>
      </c>
      <c r="AV227" s="108" t="s">
        <v>321</v>
      </c>
      <c r="AW227" s="108">
        <v>3016</v>
      </c>
      <c r="AX227" s="108">
        <v>750</v>
      </c>
      <c r="AY227" s="108">
        <v>750</v>
      </c>
      <c r="BD227" s="106">
        <v>0</v>
      </c>
      <c r="BY227" s="112" t="s">
        <v>1766</v>
      </c>
      <c r="BZ227" s="112" t="s">
        <v>1766</v>
      </c>
      <c r="CA227" s="112" t="s">
        <v>1766</v>
      </c>
      <c r="CB227" s="112" t="s">
        <v>1766</v>
      </c>
      <c r="CC227" s="112" t="s">
        <v>1766</v>
      </c>
      <c r="CD227" s="112" t="s">
        <v>1766</v>
      </c>
      <c r="CE227" s="112" t="s">
        <v>1766</v>
      </c>
      <c r="CF227" s="112" t="s">
        <v>1766</v>
      </c>
      <c r="CG227" s="112" t="s">
        <v>1766</v>
      </c>
      <c r="CH227" s="112" t="s">
        <v>1766</v>
      </c>
      <c r="CI227" s="112" t="s">
        <v>1766</v>
      </c>
      <c r="CJ227" s="112" t="s">
        <v>1766</v>
      </c>
      <c r="CK227" s="112" t="s">
        <v>1766</v>
      </c>
      <c r="CL227" s="112" t="s">
        <v>1766</v>
      </c>
      <c r="CM227" s="112" t="s">
        <v>1766</v>
      </c>
      <c r="CN227" s="112" t="s">
        <v>1766</v>
      </c>
      <c r="CO227" s="112" t="s">
        <v>1766</v>
      </c>
    </row>
    <row r="228" spans="1:93">
      <c r="A228" s="106" t="s">
        <v>319</v>
      </c>
      <c r="B228" s="106">
        <v>17</v>
      </c>
      <c r="C228" s="106">
        <v>1</v>
      </c>
      <c r="D228" s="106">
        <v>1</v>
      </c>
      <c r="E228" s="106">
        <v>1</v>
      </c>
      <c r="F228" s="106">
        <v>1</v>
      </c>
      <c r="G228" s="106" t="s">
        <v>66</v>
      </c>
      <c r="H228" s="106" t="s">
        <v>226</v>
      </c>
      <c r="I228" s="106">
        <v>201</v>
      </c>
      <c r="J228" s="106">
        <v>204</v>
      </c>
      <c r="K228" s="106" t="s">
        <v>1528</v>
      </c>
      <c r="L228" s="106" t="s">
        <v>1278</v>
      </c>
      <c r="M228" s="106" t="s">
        <v>340</v>
      </c>
      <c r="O228" s="106">
        <v>17</v>
      </c>
      <c r="T228" s="106" t="s">
        <v>1766</v>
      </c>
      <c r="V228" s="106">
        <v>2808065.7737629898</v>
      </c>
      <c r="W228" s="106">
        <v>1</v>
      </c>
      <c r="X228" s="106">
        <v>1</v>
      </c>
      <c r="Y228" s="106">
        <v>1</v>
      </c>
      <c r="Z228" s="106">
        <v>1</v>
      </c>
      <c r="AA228" s="106">
        <v>700000</v>
      </c>
      <c r="AB228" s="106">
        <v>700000</v>
      </c>
      <c r="AC228" s="106">
        <v>700000</v>
      </c>
      <c r="AD228" s="106">
        <v>700000</v>
      </c>
      <c r="AE228" s="106">
        <v>2800000</v>
      </c>
      <c r="AF228" s="106">
        <v>2800000</v>
      </c>
      <c r="AH228" s="106">
        <v>43200</v>
      </c>
      <c r="AI228" s="106">
        <v>0.05</v>
      </c>
      <c r="AJ228" s="106">
        <v>8</v>
      </c>
      <c r="AK228" s="106">
        <v>432</v>
      </c>
      <c r="AL228" s="106">
        <v>3456</v>
      </c>
      <c r="AM228" s="106">
        <v>37386</v>
      </c>
      <c r="AN228" s="106">
        <v>37386</v>
      </c>
      <c r="AO228" s="106">
        <v>22443</v>
      </c>
      <c r="AP228" s="106" t="s">
        <v>114</v>
      </c>
      <c r="AQ228" s="106" t="s">
        <v>295</v>
      </c>
      <c r="AR228" s="106">
        <v>3000</v>
      </c>
      <c r="AS228" s="106">
        <v>0.08</v>
      </c>
      <c r="AT228" s="106">
        <v>0.08</v>
      </c>
      <c r="AU228" s="108" t="s">
        <v>153</v>
      </c>
      <c r="AV228" s="108" t="s">
        <v>321</v>
      </c>
      <c r="AW228" s="108">
        <v>3016</v>
      </c>
      <c r="AX228" s="108">
        <v>800</v>
      </c>
      <c r="AY228" s="108">
        <v>800</v>
      </c>
      <c r="BD228" s="106">
        <v>0</v>
      </c>
      <c r="BY228" s="112" t="s">
        <v>1766</v>
      </c>
      <c r="BZ228" s="112" t="s">
        <v>1766</v>
      </c>
      <c r="CA228" s="112" t="s">
        <v>1766</v>
      </c>
      <c r="CB228" s="112" t="s">
        <v>1766</v>
      </c>
      <c r="CC228" s="112" t="s">
        <v>1766</v>
      </c>
      <c r="CD228" s="112" t="s">
        <v>1766</v>
      </c>
      <c r="CE228" s="112" t="s">
        <v>1766</v>
      </c>
      <c r="CF228" s="112" t="s">
        <v>1766</v>
      </c>
      <c r="CG228" s="112" t="s">
        <v>1766</v>
      </c>
      <c r="CH228" s="112" t="s">
        <v>1766</v>
      </c>
      <c r="CI228" s="112" t="s">
        <v>1766</v>
      </c>
      <c r="CJ228" s="112" t="s">
        <v>1766</v>
      </c>
      <c r="CK228" s="112" t="s">
        <v>1766</v>
      </c>
      <c r="CL228" s="112" t="s">
        <v>1766</v>
      </c>
      <c r="CM228" s="112" t="s">
        <v>1766</v>
      </c>
      <c r="CN228" s="112" t="s">
        <v>1766</v>
      </c>
      <c r="CO228" s="112" t="s">
        <v>1766</v>
      </c>
    </row>
    <row r="229" spans="1:93">
      <c r="A229" s="106" t="s">
        <v>319</v>
      </c>
      <c r="B229" s="106">
        <v>18</v>
      </c>
      <c r="C229" s="106">
        <v>1</v>
      </c>
      <c r="D229" s="106">
        <v>1</v>
      </c>
      <c r="E229" s="106">
        <v>1</v>
      </c>
      <c r="F229" s="106">
        <v>1</v>
      </c>
      <c r="G229" s="106" t="s">
        <v>66</v>
      </c>
      <c r="H229" s="106" t="s">
        <v>226</v>
      </c>
      <c r="I229" s="106">
        <v>201</v>
      </c>
      <c r="J229" s="106">
        <v>204</v>
      </c>
      <c r="K229" s="106" t="s">
        <v>1528</v>
      </c>
      <c r="L229" s="106" t="s">
        <v>1281</v>
      </c>
      <c r="M229" s="106" t="s">
        <v>341</v>
      </c>
      <c r="O229" s="106">
        <v>18</v>
      </c>
      <c r="T229" s="106" t="s">
        <v>1766</v>
      </c>
      <c r="V229" s="106">
        <v>3594324.1904166201</v>
      </c>
      <c r="W229" s="106">
        <v>1</v>
      </c>
      <c r="X229" s="106">
        <v>1</v>
      </c>
      <c r="Y229" s="106">
        <v>1</v>
      </c>
      <c r="Z229" s="106">
        <v>1</v>
      </c>
      <c r="AA229" s="106">
        <v>900000</v>
      </c>
      <c r="AB229" s="106">
        <v>900000</v>
      </c>
      <c r="AC229" s="106">
        <v>900000</v>
      </c>
      <c r="AD229" s="106">
        <v>900000</v>
      </c>
      <c r="AE229" s="106">
        <v>3600000</v>
      </c>
      <c r="AF229" s="106">
        <v>3600000</v>
      </c>
      <c r="AH229" s="106">
        <v>56160</v>
      </c>
      <c r="AI229" s="106">
        <v>6.5000000000000002E-2</v>
      </c>
      <c r="AJ229" s="106">
        <v>8</v>
      </c>
      <c r="AK229" s="106">
        <v>561.6</v>
      </c>
      <c r="AL229" s="106">
        <v>4492.8</v>
      </c>
      <c r="AM229" s="106">
        <v>47939</v>
      </c>
      <c r="AN229" s="106">
        <v>47939</v>
      </c>
      <c r="AO229" s="106">
        <v>29632</v>
      </c>
      <c r="AP229" s="106" t="s">
        <v>114</v>
      </c>
      <c r="AQ229" s="106" t="s">
        <v>295</v>
      </c>
      <c r="AR229" s="106">
        <v>3000</v>
      </c>
      <c r="AS229" s="106">
        <v>8.5000000000000006E-2</v>
      </c>
      <c r="AT229" s="106">
        <v>8.5000000000000006E-2</v>
      </c>
      <c r="AU229" s="108" t="s">
        <v>153</v>
      </c>
      <c r="AV229" s="108" t="s">
        <v>321</v>
      </c>
      <c r="AW229" s="108">
        <v>3016</v>
      </c>
      <c r="AX229" s="108">
        <v>850</v>
      </c>
      <c r="AY229" s="108">
        <v>850</v>
      </c>
      <c r="BD229" s="106">
        <v>0</v>
      </c>
      <c r="BY229" s="112" t="s">
        <v>1766</v>
      </c>
      <c r="BZ229" s="112" t="s">
        <v>1766</v>
      </c>
      <c r="CA229" s="112" t="s">
        <v>1766</v>
      </c>
      <c r="CB229" s="112" t="s">
        <v>1766</v>
      </c>
      <c r="CC229" s="112" t="s">
        <v>1766</v>
      </c>
      <c r="CD229" s="112" t="s">
        <v>1766</v>
      </c>
      <c r="CE229" s="112" t="s">
        <v>1766</v>
      </c>
      <c r="CF229" s="112" t="s">
        <v>1766</v>
      </c>
      <c r="CG229" s="112" t="s">
        <v>1766</v>
      </c>
      <c r="CH229" s="112" t="s">
        <v>1766</v>
      </c>
      <c r="CI229" s="112" t="s">
        <v>1766</v>
      </c>
      <c r="CJ229" s="112" t="s">
        <v>1766</v>
      </c>
      <c r="CK229" s="112" t="s">
        <v>1766</v>
      </c>
      <c r="CL229" s="112" t="s">
        <v>1766</v>
      </c>
      <c r="CM229" s="112" t="s">
        <v>1766</v>
      </c>
      <c r="CN229" s="112" t="s">
        <v>1766</v>
      </c>
      <c r="CO229" s="112" t="s">
        <v>1766</v>
      </c>
    </row>
    <row r="230" spans="1:93">
      <c r="A230" s="106" t="s">
        <v>319</v>
      </c>
      <c r="B230" s="106">
        <v>19</v>
      </c>
      <c r="C230" s="106">
        <v>1</v>
      </c>
      <c r="D230" s="106">
        <v>1</v>
      </c>
      <c r="E230" s="106">
        <v>1</v>
      </c>
      <c r="F230" s="106">
        <v>1</v>
      </c>
      <c r="G230" s="106" t="s">
        <v>66</v>
      </c>
      <c r="H230" s="106" t="s">
        <v>226</v>
      </c>
      <c r="I230" s="106">
        <v>201</v>
      </c>
      <c r="J230" s="106">
        <v>204</v>
      </c>
      <c r="K230" s="106" t="s">
        <v>1528</v>
      </c>
      <c r="L230" s="106" t="s">
        <v>1283</v>
      </c>
      <c r="M230" s="106" t="s">
        <v>342</v>
      </c>
      <c r="O230" s="106">
        <v>19</v>
      </c>
      <c r="T230" s="106" t="s">
        <v>1766</v>
      </c>
      <c r="V230" s="106">
        <v>4600734.9637332801</v>
      </c>
      <c r="W230" s="106">
        <v>1</v>
      </c>
      <c r="X230" s="106">
        <v>1</v>
      </c>
      <c r="Y230" s="106">
        <v>1</v>
      </c>
      <c r="Z230" s="106">
        <v>1</v>
      </c>
      <c r="AA230" s="106">
        <v>1200000</v>
      </c>
      <c r="AB230" s="106">
        <v>1200000</v>
      </c>
      <c r="AC230" s="106">
        <v>1200000</v>
      </c>
      <c r="AD230" s="106">
        <v>1200000</v>
      </c>
      <c r="AE230" s="106">
        <v>4800000</v>
      </c>
      <c r="AF230" s="106">
        <v>4800000</v>
      </c>
      <c r="AH230" s="106">
        <v>73440</v>
      </c>
      <c r="AI230" s="106">
        <v>0.08</v>
      </c>
      <c r="AJ230" s="106">
        <v>9</v>
      </c>
      <c r="AK230" s="106">
        <v>734.4</v>
      </c>
      <c r="AL230" s="106">
        <v>6609.6</v>
      </c>
      <c r="AM230" s="106">
        <v>61090</v>
      </c>
      <c r="AN230" s="106">
        <v>61090</v>
      </c>
      <c r="AO230" s="106">
        <v>38833</v>
      </c>
      <c r="AP230" s="106" t="s">
        <v>114</v>
      </c>
      <c r="AQ230" s="106" t="s">
        <v>295</v>
      </c>
      <c r="AR230" s="106">
        <v>3000</v>
      </c>
      <c r="AS230" s="106">
        <v>0.09</v>
      </c>
      <c r="AT230" s="106">
        <v>0.09</v>
      </c>
      <c r="AU230" s="108" t="s">
        <v>153</v>
      </c>
      <c r="AV230" s="108" t="s">
        <v>321</v>
      </c>
      <c r="AW230" s="108">
        <v>3016</v>
      </c>
      <c r="AX230" s="108">
        <v>900</v>
      </c>
      <c r="AY230" s="108">
        <v>900</v>
      </c>
      <c r="BD230" s="106">
        <v>0</v>
      </c>
      <c r="BY230" s="112" t="s">
        <v>1766</v>
      </c>
      <c r="BZ230" s="112" t="s">
        <v>1766</v>
      </c>
      <c r="CA230" s="112" t="s">
        <v>1766</v>
      </c>
      <c r="CB230" s="112" t="s">
        <v>1766</v>
      </c>
      <c r="CC230" s="112" t="s">
        <v>1766</v>
      </c>
      <c r="CD230" s="112" t="s">
        <v>1766</v>
      </c>
      <c r="CE230" s="112" t="s">
        <v>1766</v>
      </c>
      <c r="CF230" s="112" t="s">
        <v>1766</v>
      </c>
      <c r="CG230" s="112" t="s">
        <v>1766</v>
      </c>
      <c r="CH230" s="112" t="s">
        <v>1766</v>
      </c>
      <c r="CI230" s="112" t="s">
        <v>1766</v>
      </c>
      <c r="CJ230" s="112" t="s">
        <v>1766</v>
      </c>
      <c r="CK230" s="112" t="s">
        <v>1766</v>
      </c>
      <c r="CL230" s="112" t="s">
        <v>1766</v>
      </c>
      <c r="CM230" s="112" t="s">
        <v>1766</v>
      </c>
      <c r="CN230" s="112" t="s">
        <v>1766</v>
      </c>
      <c r="CO230" s="112" t="s">
        <v>1766</v>
      </c>
    </row>
    <row r="231" spans="1:93">
      <c r="A231" s="106" t="s">
        <v>319</v>
      </c>
      <c r="B231" s="106">
        <v>20</v>
      </c>
      <c r="C231" s="106">
        <v>1</v>
      </c>
      <c r="D231" s="106">
        <v>1</v>
      </c>
      <c r="E231" s="106">
        <v>1</v>
      </c>
      <c r="F231" s="106">
        <v>1</v>
      </c>
      <c r="G231" s="106" t="s">
        <v>66</v>
      </c>
      <c r="H231" s="106" t="s">
        <v>226</v>
      </c>
      <c r="I231" s="106">
        <v>201</v>
      </c>
      <c r="J231" s="106">
        <v>204</v>
      </c>
      <c r="K231" s="106" t="s">
        <v>1528</v>
      </c>
      <c r="L231" s="106" t="s">
        <v>1287</v>
      </c>
      <c r="M231" s="106" t="s">
        <v>343</v>
      </c>
      <c r="O231" s="106">
        <v>20</v>
      </c>
      <c r="T231" s="106" t="s">
        <v>1766</v>
      </c>
      <c r="V231" s="106">
        <v>5888940.7535785902</v>
      </c>
      <c r="W231" s="106">
        <v>1</v>
      </c>
      <c r="X231" s="106">
        <v>1</v>
      </c>
      <c r="Y231" s="106">
        <v>1</v>
      </c>
      <c r="Z231" s="106">
        <v>1</v>
      </c>
      <c r="AA231" s="106">
        <v>1500000</v>
      </c>
      <c r="AB231" s="106">
        <v>1500000</v>
      </c>
      <c r="AC231" s="106">
        <v>1500000</v>
      </c>
      <c r="AD231" s="106">
        <v>1500000</v>
      </c>
      <c r="AE231" s="106">
        <v>6000000</v>
      </c>
      <c r="AF231" s="106">
        <v>6000000</v>
      </c>
      <c r="AH231" s="106">
        <v>103680</v>
      </c>
      <c r="AI231" s="106">
        <v>9.5000000000000001E-2</v>
      </c>
      <c r="AJ231" s="106">
        <v>9</v>
      </c>
      <c r="AK231" s="106">
        <v>1036.8</v>
      </c>
      <c r="AL231" s="106">
        <v>9331.2000000000007</v>
      </c>
      <c r="AM231" s="106">
        <v>85053</v>
      </c>
      <c r="AN231" s="106">
        <v>85053</v>
      </c>
      <c r="AO231" s="106">
        <v>50611</v>
      </c>
      <c r="AP231" s="106" t="s">
        <v>114</v>
      </c>
      <c r="AQ231" s="106" t="s">
        <v>295</v>
      </c>
      <c r="AR231" s="106">
        <v>3000</v>
      </c>
      <c r="AS231" s="106">
        <v>9.5000000000000001E-2</v>
      </c>
      <c r="AT231" s="106">
        <v>9.5000000000000001E-2</v>
      </c>
      <c r="AU231" s="108" t="s">
        <v>153</v>
      </c>
      <c r="AV231" s="108" t="s">
        <v>321</v>
      </c>
      <c r="AW231" s="108">
        <v>3016</v>
      </c>
      <c r="AX231" s="108">
        <v>950</v>
      </c>
      <c r="AY231" s="108">
        <v>950</v>
      </c>
      <c r="BD231" s="106">
        <v>0</v>
      </c>
      <c r="BY231" s="112" t="s">
        <v>1766</v>
      </c>
      <c r="BZ231" s="112" t="s">
        <v>1766</v>
      </c>
      <c r="CA231" s="112" t="s">
        <v>1766</v>
      </c>
      <c r="CB231" s="112" t="s">
        <v>1766</v>
      </c>
      <c r="CC231" s="112" t="s">
        <v>1766</v>
      </c>
      <c r="CD231" s="112" t="s">
        <v>1766</v>
      </c>
      <c r="CE231" s="112" t="s">
        <v>1766</v>
      </c>
      <c r="CF231" s="112" t="s">
        <v>1766</v>
      </c>
      <c r="CG231" s="112" t="s">
        <v>1766</v>
      </c>
      <c r="CH231" s="112" t="s">
        <v>1766</v>
      </c>
      <c r="CI231" s="112" t="s">
        <v>1766</v>
      </c>
      <c r="CJ231" s="112" t="s">
        <v>1766</v>
      </c>
      <c r="CK231" s="112" t="s">
        <v>1766</v>
      </c>
      <c r="CL231" s="112" t="s">
        <v>1766</v>
      </c>
      <c r="CM231" s="112" t="s">
        <v>1766</v>
      </c>
      <c r="CN231" s="112" t="s">
        <v>1766</v>
      </c>
      <c r="CO231" s="112" t="s">
        <v>1766</v>
      </c>
    </row>
    <row r="232" spans="1:93">
      <c r="A232" s="106" t="s">
        <v>319</v>
      </c>
      <c r="B232" s="106">
        <v>21</v>
      </c>
      <c r="C232" s="106">
        <v>1</v>
      </c>
      <c r="D232" s="106">
        <v>1</v>
      </c>
      <c r="E232" s="106">
        <v>1</v>
      </c>
      <c r="F232" s="106">
        <v>1</v>
      </c>
      <c r="G232" s="106" t="s">
        <v>66</v>
      </c>
      <c r="H232" s="106" t="s">
        <v>226</v>
      </c>
      <c r="I232" s="106">
        <v>201</v>
      </c>
      <c r="J232" s="106">
        <v>204</v>
      </c>
      <c r="K232" s="106" t="s">
        <v>1528</v>
      </c>
      <c r="L232" s="106" t="s">
        <v>1291</v>
      </c>
      <c r="M232" s="106" t="s">
        <v>1529</v>
      </c>
      <c r="O232" s="106">
        <v>21</v>
      </c>
      <c r="T232" s="106" t="s">
        <v>1766</v>
      </c>
      <c r="V232" s="106">
        <v>7537844.1645806003</v>
      </c>
      <c r="W232" s="106">
        <v>1</v>
      </c>
      <c r="X232" s="106">
        <v>1</v>
      </c>
      <c r="Y232" s="106">
        <v>1</v>
      </c>
      <c r="Z232" s="106">
        <v>1</v>
      </c>
      <c r="AA232" s="106">
        <v>1900000</v>
      </c>
      <c r="AB232" s="106">
        <v>1900000</v>
      </c>
      <c r="AC232" s="106">
        <v>1900000</v>
      </c>
      <c r="AD232" s="106">
        <v>1900000</v>
      </c>
      <c r="AE232" s="106">
        <v>7600000</v>
      </c>
      <c r="AF232" s="106">
        <v>7600000</v>
      </c>
      <c r="AH232" s="106">
        <v>138240</v>
      </c>
      <c r="AI232" s="106">
        <v>0.11</v>
      </c>
      <c r="AJ232" s="106">
        <v>10</v>
      </c>
      <c r="AK232" s="106">
        <v>1382.4</v>
      </c>
      <c r="AL232" s="106">
        <v>13824</v>
      </c>
      <c r="AM232" s="106">
        <v>110416</v>
      </c>
      <c r="AN232" s="106">
        <v>110416</v>
      </c>
      <c r="AO232" s="106">
        <v>65687</v>
      </c>
      <c r="AP232" s="106" t="s">
        <v>114</v>
      </c>
      <c r="AQ232" s="106" t="s">
        <v>295</v>
      </c>
      <c r="AR232" s="106">
        <v>3000</v>
      </c>
      <c r="AS232" s="106">
        <v>0.1</v>
      </c>
      <c r="AT232" s="106">
        <v>0.1</v>
      </c>
      <c r="AU232" s="108" t="s">
        <v>153</v>
      </c>
      <c r="AV232" s="108" t="s">
        <v>321</v>
      </c>
      <c r="AW232" s="108">
        <v>3016</v>
      </c>
      <c r="AX232" s="108">
        <v>1000</v>
      </c>
      <c r="AY232" s="108">
        <v>1000</v>
      </c>
      <c r="BD232" s="106">
        <v>0</v>
      </c>
      <c r="BY232" s="112" t="s">
        <v>1766</v>
      </c>
      <c r="BZ232" s="112" t="s">
        <v>1766</v>
      </c>
      <c r="CA232" s="112" t="s">
        <v>1766</v>
      </c>
      <c r="CB232" s="112" t="s">
        <v>1766</v>
      </c>
      <c r="CC232" s="112" t="s">
        <v>1766</v>
      </c>
      <c r="CD232" s="112" t="s">
        <v>1766</v>
      </c>
      <c r="CE232" s="112" t="s">
        <v>1766</v>
      </c>
      <c r="CF232" s="112" t="s">
        <v>1766</v>
      </c>
      <c r="CG232" s="112" t="s">
        <v>1766</v>
      </c>
      <c r="CH232" s="112" t="s">
        <v>1766</v>
      </c>
      <c r="CI232" s="112" t="s">
        <v>1766</v>
      </c>
      <c r="CJ232" s="112" t="s">
        <v>1766</v>
      </c>
      <c r="CK232" s="112" t="s">
        <v>1766</v>
      </c>
      <c r="CL232" s="112" t="s">
        <v>1766</v>
      </c>
      <c r="CM232" s="112" t="s">
        <v>1766</v>
      </c>
      <c r="CN232" s="112" t="s">
        <v>1766</v>
      </c>
      <c r="CO232" s="112" t="s">
        <v>1766</v>
      </c>
    </row>
    <row r="233" spans="1:93">
      <c r="A233" s="106" t="s">
        <v>319</v>
      </c>
      <c r="B233" s="106">
        <v>22</v>
      </c>
      <c r="C233" s="106">
        <v>1</v>
      </c>
      <c r="D233" s="106">
        <v>1</v>
      </c>
      <c r="E233" s="106">
        <v>1</v>
      </c>
      <c r="F233" s="106">
        <v>1</v>
      </c>
      <c r="G233" s="106" t="s">
        <v>66</v>
      </c>
      <c r="H233" s="106" t="s">
        <v>226</v>
      </c>
      <c r="I233" s="106">
        <v>201</v>
      </c>
      <c r="J233" s="106">
        <v>204</v>
      </c>
      <c r="K233" s="106" t="s">
        <v>1528</v>
      </c>
      <c r="L233" s="106" t="s">
        <v>1295</v>
      </c>
      <c r="M233" s="106" t="s">
        <v>1530</v>
      </c>
      <c r="O233" s="106">
        <v>22</v>
      </c>
      <c r="T233" s="106" t="s">
        <v>1766</v>
      </c>
      <c r="V233" s="106">
        <v>9648440.5306631699</v>
      </c>
      <c r="W233" s="106">
        <v>1</v>
      </c>
      <c r="X233" s="106">
        <v>1</v>
      </c>
      <c r="Y233" s="106">
        <v>1</v>
      </c>
      <c r="Z233" s="106">
        <v>1</v>
      </c>
      <c r="AA233" s="106">
        <v>2400000</v>
      </c>
      <c r="AB233" s="106">
        <v>2400000</v>
      </c>
      <c r="AC233" s="106">
        <v>2400000</v>
      </c>
      <c r="AD233" s="106">
        <v>2400000</v>
      </c>
      <c r="AE233" s="106">
        <v>9600000</v>
      </c>
      <c r="AF233" s="106">
        <v>9600000</v>
      </c>
      <c r="AH233" s="106">
        <v>181440</v>
      </c>
      <c r="AI233" s="106">
        <v>0.125</v>
      </c>
      <c r="AJ233" s="106">
        <v>10</v>
      </c>
      <c r="AK233" s="106">
        <v>1814.4</v>
      </c>
      <c r="AL233" s="106">
        <v>18144</v>
      </c>
      <c r="AM233" s="106">
        <v>142836</v>
      </c>
      <c r="AN233" s="106">
        <v>142836</v>
      </c>
      <c r="AO233" s="106">
        <v>84984</v>
      </c>
      <c r="AP233" s="106" t="s">
        <v>114</v>
      </c>
      <c r="AQ233" s="106" t="s">
        <v>295</v>
      </c>
      <c r="AR233" s="106">
        <v>3000</v>
      </c>
      <c r="AS233" s="106">
        <v>0.105</v>
      </c>
      <c r="AT233" s="106">
        <v>0.105</v>
      </c>
      <c r="AU233" s="108" t="s">
        <v>153</v>
      </c>
      <c r="AV233" s="108" t="s">
        <v>321</v>
      </c>
      <c r="AW233" s="108">
        <v>3016</v>
      </c>
      <c r="AX233" s="108">
        <v>1050</v>
      </c>
      <c r="AY233" s="108">
        <v>1050</v>
      </c>
      <c r="BD233" s="106">
        <v>0</v>
      </c>
      <c r="BY233" s="112" t="s">
        <v>1766</v>
      </c>
      <c r="BZ233" s="112" t="s">
        <v>1766</v>
      </c>
      <c r="CA233" s="112" t="s">
        <v>1766</v>
      </c>
      <c r="CB233" s="112" t="s">
        <v>1766</v>
      </c>
      <c r="CC233" s="112" t="s">
        <v>1766</v>
      </c>
      <c r="CD233" s="112" t="s">
        <v>1766</v>
      </c>
      <c r="CE233" s="112" t="s">
        <v>1766</v>
      </c>
      <c r="CF233" s="112" t="s">
        <v>1766</v>
      </c>
      <c r="CG233" s="112" t="s">
        <v>1766</v>
      </c>
      <c r="CH233" s="112" t="s">
        <v>1766</v>
      </c>
      <c r="CI233" s="112" t="s">
        <v>1766</v>
      </c>
      <c r="CJ233" s="112" t="s">
        <v>1766</v>
      </c>
      <c r="CK233" s="112" t="s">
        <v>1766</v>
      </c>
      <c r="CL233" s="112" t="s">
        <v>1766</v>
      </c>
      <c r="CM233" s="112" t="s">
        <v>1766</v>
      </c>
      <c r="CN233" s="112" t="s">
        <v>1766</v>
      </c>
      <c r="CO233" s="112" t="s">
        <v>1766</v>
      </c>
    </row>
    <row r="234" spans="1:93">
      <c r="A234" s="106" t="s">
        <v>319</v>
      </c>
      <c r="B234" s="106">
        <v>23</v>
      </c>
      <c r="C234" s="106">
        <v>1</v>
      </c>
      <c r="D234" s="106">
        <v>1</v>
      </c>
      <c r="E234" s="106">
        <v>1</v>
      </c>
      <c r="F234" s="106">
        <v>1</v>
      </c>
      <c r="G234" s="106" t="s">
        <v>66</v>
      </c>
      <c r="H234" s="106" t="s">
        <v>226</v>
      </c>
      <c r="I234" s="106">
        <v>201</v>
      </c>
      <c r="J234" s="106">
        <v>204</v>
      </c>
      <c r="K234" s="106" t="s">
        <v>1528</v>
      </c>
      <c r="L234" s="106" t="s">
        <v>1298</v>
      </c>
      <c r="M234" s="106" t="s">
        <v>1531</v>
      </c>
      <c r="O234" s="106">
        <v>23</v>
      </c>
      <c r="T234" s="106" t="s">
        <v>1766</v>
      </c>
      <c r="V234" s="106">
        <v>12350003.8792489</v>
      </c>
      <c r="W234" s="106">
        <v>1</v>
      </c>
      <c r="X234" s="106">
        <v>1</v>
      </c>
      <c r="Y234" s="106">
        <v>1</v>
      </c>
      <c r="Z234" s="106">
        <v>1</v>
      </c>
      <c r="AA234" s="106">
        <v>3100000</v>
      </c>
      <c r="AB234" s="106">
        <v>3100000</v>
      </c>
      <c r="AC234" s="106">
        <v>3100000</v>
      </c>
      <c r="AD234" s="106">
        <v>3100000</v>
      </c>
      <c r="AE234" s="106">
        <v>12400000</v>
      </c>
      <c r="AF234" s="106">
        <v>12400000</v>
      </c>
      <c r="AH234" s="106">
        <v>233280</v>
      </c>
      <c r="AI234" s="106">
        <v>0.125</v>
      </c>
      <c r="AJ234" s="106">
        <v>11</v>
      </c>
      <c r="AK234" s="106">
        <v>2332.8000000000002</v>
      </c>
      <c r="AL234" s="106">
        <v>25660.799999999999</v>
      </c>
      <c r="AM234" s="106">
        <v>181399</v>
      </c>
      <c r="AN234" s="106">
        <v>181399</v>
      </c>
      <c r="AO234" s="106">
        <v>109684</v>
      </c>
      <c r="AP234" s="106" t="s">
        <v>114</v>
      </c>
      <c r="AQ234" s="106" t="s">
        <v>295</v>
      </c>
      <c r="AR234" s="106">
        <v>3000</v>
      </c>
      <c r="AS234" s="106">
        <v>0.11</v>
      </c>
      <c r="AT234" s="106">
        <v>0.11</v>
      </c>
      <c r="AU234" s="108" t="s">
        <v>153</v>
      </c>
      <c r="AV234" s="108" t="s">
        <v>321</v>
      </c>
      <c r="AW234" s="108">
        <v>3016</v>
      </c>
      <c r="AX234" s="108">
        <v>1100</v>
      </c>
      <c r="AY234" s="108">
        <v>1100</v>
      </c>
      <c r="BD234" s="106">
        <v>0</v>
      </c>
      <c r="BY234" s="112" t="s">
        <v>1766</v>
      </c>
      <c r="BZ234" s="112" t="s">
        <v>1766</v>
      </c>
      <c r="CA234" s="112" t="s">
        <v>1766</v>
      </c>
      <c r="CB234" s="112" t="s">
        <v>1766</v>
      </c>
      <c r="CC234" s="112" t="s">
        <v>1766</v>
      </c>
      <c r="CD234" s="112" t="s">
        <v>1766</v>
      </c>
      <c r="CE234" s="112" t="s">
        <v>1766</v>
      </c>
      <c r="CF234" s="112" t="s">
        <v>1766</v>
      </c>
      <c r="CG234" s="112" t="s">
        <v>1766</v>
      </c>
      <c r="CH234" s="112" t="s">
        <v>1766</v>
      </c>
      <c r="CI234" s="112" t="s">
        <v>1766</v>
      </c>
      <c r="CJ234" s="112" t="s">
        <v>1766</v>
      </c>
      <c r="CK234" s="112" t="s">
        <v>1766</v>
      </c>
      <c r="CL234" s="112" t="s">
        <v>1766</v>
      </c>
      <c r="CM234" s="112" t="s">
        <v>1766</v>
      </c>
      <c r="CN234" s="112" t="s">
        <v>1766</v>
      </c>
      <c r="CO234" s="112" t="s">
        <v>1766</v>
      </c>
    </row>
    <row r="235" spans="1:93">
      <c r="A235" s="106" t="s">
        <v>319</v>
      </c>
      <c r="B235" s="106">
        <v>24</v>
      </c>
      <c r="C235" s="106">
        <v>1</v>
      </c>
      <c r="D235" s="106">
        <v>1</v>
      </c>
      <c r="E235" s="106">
        <v>1</v>
      </c>
      <c r="F235" s="106">
        <v>1</v>
      </c>
      <c r="G235" s="106" t="s">
        <v>66</v>
      </c>
      <c r="H235" s="106" t="s">
        <v>226</v>
      </c>
      <c r="I235" s="106">
        <v>201</v>
      </c>
      <c r="J235" s="106">
        <v>204</v>
      </c>
      <c r="K235" s="106" t="s">
        <v>1528</v>
      </c>
      <c r="L235" s="106" t="s">
        <v>1302</v>
      </c>
      <c r="M235" s="106" t="s">
        <v>1532</v>
      </c>
      <c r="O235" s="106">
        <v>24</v>
      </c>
      <c r="T235" s="106" t="s">
        <v>1766</v>
      </c>
      <c r="V235" s="106">
        <v>15808004.9654385</v>
      </c>
      <c r="W235" s="106">
        <v>1</v>
      </c>
      <c r="X235" s="106">
        <v>1</v>
      </c>
      <c r="Y235" s="106">
        <v>1</v>
      </c>
      <c r="Z235" s="106">
        <v>1</v>
      </c>
      <c r="AA235" s="106">
        <v>4000000</v>
      </c>
      <c r="AB235" s="106">
        <v>4000000</v>
      </c>
      <c r="AC235" s="106">
        <v>4000000</v>
      </c>
      <c r="AD235" s="106">
        <v>4000000</v>
      </c>
      <c r="AE235" s="106">
        <v>16000000</v>
      </c>
      <c r="AF235" s="106">
        <v>16000000</v>
      </c>
      <c r="AH235" s="106">
        <v>298080</v>
      </c>
      <c r="AI235" s="106">
        <v>0.125</v>
      </c>
      <c r="AJ235" s="106">
        <v>12</v>
      </c>
      <c r="AK235" s="106">
        <v>2980.8</v>
      </c>
      <c r="AL235" s="106">
        <v>35769.599999999999</v>
      </c>
      <c r="AM235" s="106">
        <v>228890</v>
      </c>
      <c r="AN235" s="106">
        <v>228890</v>
      </c>
      <c r="AO235" s="106">
        <v>141300</v>
      </c>
      <c r="AP235" s="106" t="s">
        <v>114</v>
      </c>
      <c r="AQ235" s="106" t="s">
        <v>295</v>
      </c>
      <c r="AR235" s="106">
        <v>3000</v>
      </c>
      <c r="AS235" s="106">
        <v>0.115</v>
      </c>
      <c r="AT235" s="106">
        <v>0.115</v>
      </c>
      <c r="AU235" s="108" t="s">
        <v>153</v>
      </c>
      <c r="AV235" s="108" t="s">
        <v>321</v>
      </c>
      <c r="AW235" s="108">
        <v>3016</v>
      </c>
      <c r="AX235" s="108">
        <v>1150</v>
      </c>
      <c r="AY235" s="108">
        <v>1150</v>
      </c>
      <c r="BD235" s="106">
        <v>0</v>
      </c>
      <c r="BY235" s="112" t="s">
        <v>1766</v>
      </c>
      <c r="BZ235" s="112" t="s">
        <v>1766</v>
      </c>
      <c r="CA235" s="112" t="s">
        <v>1766</v>
      </c>
      <c r="CB235" s="112" t="s">
        <v>1766</v>
      </c>
      <c r="CC235" s="112" t="s">
        <v>1766</v>
      </c>
      <c r="CD235" s="112" t="s">
        <v>1766</v>
      </c>
      <c r="CE235" s="112" t="s">
        <v>1766</v>
      </c>
      <c r="CF235" s="112" t="s">
        <v>1766</v>
      </c>
      <c r="CG235" s="112" t="s">
        <v>1766</v>
      </c>
      <c r="CH235" s="112" t="s">
        <v>1766</v>
      </c>
      <c r="CI235" s="112" t="s">
        <v>1766</v>
      </c>
      <c r="CJ235" s="112" t="s">
        <v>1766</v>
      </c>
      <c r="CK235" s="112" t="s">
        <v>1766</v>
      </c>
      <c r="CL235" s="112" t="s">
        <v>1766</v>
      </c>
      <c r="CM235" s="112" t="s">
        <v>1766</v>
      </c>
      <c r="CN235" s="112" t="s">
        <v>1766</v>
      </c>
      <c r="CO235" s="112" t="s">
        <v>1766</v>
      </c>
    </row>
    <row r="236" spans="1:93">
      <c r="A236" s="106" t="s">
        <v>319</v>
      </c>
      <c r="B236" s="106">
        <v>25</v>
      </c>
      <c r="C236" s="106">
        <v>1</v>
      </c>
      <c r="D236" s="106">
        <v>1</v>
      </c>
      <c r="E236" s="106">
        <v>1</v>
      </c>
      <c r="F236" s="106">
        <v>1</v>
      </c>
      <c r="G236" s="106" t="s">
        <v>66</v>
      </c>
      <c r="H236" s="106" t="s">
        <v>226</v>
      </c>
      <c r="I236" s="106">
        <v>201</v>
      </c>
      <c r="J236" s="106">
        <v>204</v>
      </c>
      <c r="K236" s="106" t="s">
        <v>1528</v>
      </c>
      <c r="L236" s="106" t="s">
        <v>1305</v>
      </c>
      <c r="M236" s="106" t="s">
        <v>1533</v>
      </c>
      <c r="O236" s="106">
        <v>25</v>
      </c>
      <c r="T236" s="106" t="s">
        <v>1766</v>
      </c>
      <c r="V236" s="106">
        <v>20234246.355761301</v>
      </c>
      <c r="W236" s="106">
        <v>1</v>
      </c>
      <c r="X236" s="106">
        <v>1</v>
      </c>
      <c r="Y236" s="106">
        <v>1</v>
      </c>
      <c r="Z236" s="106">
        <v>1</v>
      </c>
      <c r="AA236" s="106">
        <v>5100000</v>
      </c>
      <c r="AB236" s="106">
        <v>5100000</v>
      </c>
      <c r="AC236" s="106">
        <v>5100000</v>
      </c>
      <c r="AD236" s="106">
        <v>5100000</v>
      </c>
      <c r="AE236" s="106">
        <v>20400000</v>
      </c>
      <c r="AF236" s="106">
        <v>20400000</v>
      </c>
      <c r="AH236" s="106">
        <v>375840</v>
      </c>
      <c r="AI236" s="106">
        <v>0.125</v>
      </c>
      <c r="AJ236" s="106">
        <v>13</v>
      </c>
      <c r="AK236" s="106">
        <v>3758.4</v>
      </c>
      <c r="AL236" s="106">
        <v>48859.199999999997</v>
      </c>
      <c r="AM236" s="106">
        <v>284920</v>
      </c>
      <c r="AN236" s="106">
        <v>284920</v>
      </c>
      <c r="AO236" s="106">
        <v>181768</v>
      </c>
      <c r="AP236" s="106" t="s">
        <v>114</v>
      </c>
      <c r="AQ236" s="106" t="s">
        <v>295</v>
      </c>
      <c r="AR236" s="106">
        <v>3000</v>
      </c>
      <c r="AS236" s="106">
        <v>0.12</v>
      </c>
      <c r="AT236" s="106">
        <v>0.12</v>
      </c>
      <c r="AU236" s="108" t="s">
        <v>153</v>
      </c>
      <c r="AV236" s="108" t="s">
        <v>321</v>
      </c>
      <c r="AW236" s="108">
        <v>3016</v>
      </c>
      <c r="AX236" s="108">
        <v>1200</v>
      </c>
      <c r="AY236" s="108">
        <v>1200</v>
      </c>
      <c r="BD236" s="106">
        <v>0</v>
      </c>
      <c r="BY236" s="112" t="s">
        <v>1766</v>
      </c>
      <c r="BZ236" s="112" t="s">
        <v>1766</v>
      </c>
      <c r="CA236" s="112" t="s">
        <v>1766</v>
      </c>
      <c r="CB236" s="112" t="s">
        <v>1766</v>
      </c>
      <c r="CC236" s="112" t="s">
        <v>1766</v>
      </c>
      <c r="CD236" s="112" t="s">
        <v>1766</v>
      </c>
      <c r="CE236" s="112" t="s">
        <v>1766</v>
      </c>
      <c r="CF236" s="112" t="s">
        <v>1766</v>
      </c>
      <c r="CG236" s="112" t="s">
        <v>1766</v>
      </c>
      <c r="CH236" s="112" t="s">
        <v>1766</v>
      </c>
      <c r="CI236" s="112" t="s">
        <v>1766</v>
      </c>
      <c r="CJ236" s="112" t="s">
        <v>1766</v>
      </c>
      <c r="CK236" s="112" t="s">
        <v>1766</v>
      </c>
      <c r="CL236" s="112" t="s">
        <v>1766</v>
      </c>
      <c r="CM236" s="112" t="s">
        <v>1766</v>
      </c>
      <c r="CN236" s="112" t="s">
        <v>1766</v>
      </c>
      <c r="CO236" s="112" t="s">
        <v>1766</v>
      </c>
    </row>
    <row r="237" spans="1:93">
      <c r="A237" s="106" t="s">
        <v>319</v>
      </c>
      <c r="B237" s="106">
        <v>26</v>
      </c>
      <c r="C237" s="106">
        <v>1</v>
      </c>
      <c r="D237" s="106">
        <v>1</v>
      </c>
      <c r="E237" s="106">
        <v>1</v>
      </c>
      <c r="F237" s="106">
        <v>1</v>
      </c>
      <c r="G237" s="106" t="s">
        <v>66</v>
      </c>
      <c r="H237" s="106" t="s">
        <v>226</v>
      </c>
      <c r="I237" s="106">
        <v>201</v>
      </c>
      <c r="J237" s="106">
        <v>204</v>
      </c>
      <c r="K237" s="106" t="s">
        <v>1528</v>
      </c>
      <c r="L237" s="106" t="s">
        <v>1308</v>
      </c>
      <c r="M237" s="106" t="s">
        <v>1534</v>
      </c>
      <c r="O237" s="106">
        <v>26</v>
      </c>
      <c r="T237" s="106" t="s">
        <v>1766</v>
      </c>
      <c r="V237" s="106">
        <v>25899835.335374501</v>
      </c>
      <c r="W237" s="106">
        <v>1</v>
      </c>
      <c r="X237" s="106">
        <v>1</v>
      </c>
      <c r="Y237" s="106">
        <v>1</v>
      </c>
      <c r="Z237" s="106">
        <v>1</v>
      </c>
      <c r="AA237" s="106">
        <v>6500000</v>
      </c>
      <c r="AB237" s="106">
        <v>6500000</v>
      </c>
      <c r="AC237" s="106">
        <v>6500000</v>
      </c>
      <c r="AD237" s="106">
        <v>6500000</v>
      </c>
      <c r="AE237" s="106">
        <v>26000000</v>
      </c>
      <c r="AF237" s="106">
        <v>26000000</v>
      </c>
      <c r="AH237" s="106">
        <v>466560</v>
      </c>
      <c r="AI237" s="106">
        <v>0.14499999999999999</v>
      </c>
      <c r="AJ237" s="106">
        <v>14</v>
      </c>
      <c r="AK237" s="106">
        <v>4665.6000000000004</v>
      </c>
      <c r="AL237" s="106">
        <v>65318.400000000001</v>
      </c>
      <c r="AM237" s="106">
        <v>341857</v>
      </c>
      <c r="AN237" s="106">
        <v>341857</v>
      </c>
      <c r="AO237" s="106">
        <v>233568</v>
      </c>
      <c r="AP237" s="106" t="s">
        <v>114</v>
      </c>
      <c r="AQ237" s="106" t="s">
        <v>295</v>
      </c>
      <c r="AR237" s="106">
        <v>3000</v>
      </c>
      <c r="AS237" s="106">
        <v>0.13</v>
      </c>
      <c r="AT237" s="106">
        <v>0.13</v>
      </c>
      <c r="AU237" s="108" t="s">
        <v>153</v>
      </c>
      <c r="AV237" s="108" t="s">
        <v>321</v>
      </c>
      <c r="AW237" s="108">
        <v>3016</v>
      </c>
      <c r="AX237" s="108">
        <v>1300</v>
      </c>
      <c r="AY237" s="108">
        <v>1300</v>
      </c>
      <c r="BD237" s="106">
        <v>0</v>
      </c>
      <c r="BY237" s="112" t="s">
        <v>1766</v>
      </c>
      <c r="BZ237" s="112" t="s">
        <v>1766</v>
      </c>
      <c r="CA237" s="112" t="s">
        <v>1766</v>
      </c>
      <c r="CB237" s="112" t="s">
        <v>1766</v>
      </c>
      <c r="CC237" s="112" t="s">
        <v>1766</v>
      </c>
      <c r="CD237" s="112" t="s">
        <v>1766</v>
      </c>
      <c r="CE237" s="112" t="s">
        <v>1766</v>
      </c>
      <c r="CF237" s="112" t="s">
        <v>1766</v>
      </c>
      <c r="CG237" s="112" t="s">
        <v>1766</v>
      </c>
      <c r="CH237" s="112" t="s">
        <v>1766</v>
      </c>
      <c r="CI237" s="112" t="s">
        <v>1766</v>
      </c>
      <c r="CJ237" s="112" t="s">
        <v>1766</v>
      </c>
      <c r="CK237" s="112" t="s">
        <v>1766</v>
      </c>
      <c r="CL237" s="112" t="s">
        <v>1766</v>
      </c>
      <c r="CM237" s="112" t="s">
        <v>1766</v>
      </c>
      <c r="CN237" s="112" t="s">
        <v>1766</v>
      </c>
      <c r="CO237" s="112" t="s">
        <v>1766</v>
      </c>
    </row>
    <row r="238" spans="1:93">
      <c r="A238" s="106" t="s">
        <v>319</v>
      </c>
      <c r="B238" s="106">
        <v>27</v>
      </c>
      <c r="C238" s="106">
        <v>1</v>
      </c>
      <c r="D238" s="106">
        <v>1</v>
      </c>
      <c r="E238" s="106">
        <v>1</v>
      </c>
      <c r="F238" s="106">
        <v>1</v>
      </c>
      <c r="G238" s="106" t="s">
        <v>66</v>
      </c>
      <c r="H238" s="106" t="s">
        <v>226</v>
      </c>
      <c r="I238" s="106">
        <v>201</v>
      </c>
      <c r="J238" s="106">
        <v>204</v>
      </c>
      <c r="K238" s="106" t="s">
        <v>1528</v>
      </c>
      <c r="L238" s="106" t="s">
        <v>1311</v>
      </c>
      <c r="M238" s="106" t="s">
        <v>1535</v>
      </c>
      <c r="O238" s="106">
        <v>27</v>
      </c>
      <c r="T238" s="106" t="s">
        <v>1766</v>
      </c>
      <c r="V238" s="106">
        <v>33151789.229279399</v>
      </c>
      <c r="W238" s="106">
        <v>1</v>
      </c>
      <c r="X238" s="106">
        <v>1</v>
      </c>
      <c r="Y238" s="106">
        <v>1</v>
      </c>
      <c r="Z238" s="106">
        <v>1</v>
      </c>
      <c r="AA238" s="106">
        <v>8300000</v>
      </c>
      <c r="AB238" s="106">
        <v>8300000</v>
      </c>
      <c r="AC238" s="106">
        <v>8300000</v>
      </c>
      <c r="AD238" s="106">
        <v>8300000</v>
      </c>
      <c r="AE238" s="106">
        <v>33200000</v>
      </c>
      <c r="AF238" s="106">
        <v>33200000</v>
      </c>
      <c r="AH238" s="106">
        <v>570240</v>
      </c>
      <c r="AI238" s="106">
        <v>0.16500000000000001</v>
      </c>
      <c r="AJ238" s="106">
        <v>15</v>
      </c>
      <c r="AK238" s="106">
        <v>5702.4</v>
      </c>
      <c r="AL238" s="106">
        <v>85536</v>
      </c>
      <c r="AM238" s="106">
        <v>403640</v>
      </c>
      <c r="AN238" s="106">
        <v>403640</v>
      </c>
      <c r="AO238" s="106">
        <v>299871</v>
      </c>
      <c r="AP238" s="106" t="s">
        <v>114</v>
      </c>
      <c r="AQ238" s="106" t="s">
        <v>295</v>
      </c>
      <c r="AR238" s="106">
        <v>3000</v>
      </c>
      <c r="AS238" s="106">
        <v>0.14000000000000001</v>
      </c>
      <c r="AT238" s="106">
        <v>0.14000000000000001</v>
      </c>
      <c r="AU238" s="108" t="s">
        <v>153</v>
      </c>
      <c r="AV238" s="108" t="s">
        <v>321</v>
      </c>
      <c r="AW238" s="108">
        <v>3016</v>
      </c>
      <c r="AX238" s="108">
        <v>1400</v>
      </c>
      <c r="AY238" s="108">
        <v>1400</v>
      </c>
      <c r="BD238" s="106">
        <v>0</v>
      </c>
      <c r="BY238" s="112" t="s">
        <v>1766</v>
      </c>
      <c r="BZ238" s="112" t="s">
        <v>1766</v>
      </c>
      <c r="CA238" s="112" t="s">
        <v>1766</v>
      </c>
      <c r="CB238" s="112" t="s">
        <v>1766</v>
      </c>
      <c r="CC238" s="112" t="s">
        <v>1766</v>
      </c>
      <c r="CD238" s="112" t="s">
        <v>1766</v>
      </c>
      <c r="CE238" s="112" t="s">
        <v>1766</v>
      </c>
      <c r="CF238" s="112" t="s">
        <v>1766</v>
      </c>
      <c r="CG238" s="112" t="s">
        <v>1766</v>
      </c>
      <c r="CH238" s="112" t="s">
        <v>1766</v>
      </c>
      <c r="CI238" s="112" t="s">
        <v>1766</v>
      </c>
      <c r="CJ238" s="112" t="s">
        <v>1766</v>
      </c>
      <c r="CK238" s="112" t="s">
        <v>1766</v>
      </c>
      <c r="CL238" s="112" t="s">
        <v>1766</v>
      </c>
      <c r="CM238" s="112" t="s">
        <v>1766</v>
      </c>
      <c r="CN238" s="112" t="s">
        <v>1766</v>
      </c>
      <c r="CO238" s="112" t="s">
        <v>1766</v>
      </c>
    </row>
    <row r="239" spans="1:93">
      <c r="A239" s="106" t="s">
        <v>319</v>
      </c>
      <c r="B239" s="106">
        <v>28</v>
      </c>
      <c r="C239" s="106">
        <v>1</v>
      </c>
      <c r="D239" s="106">
        <v>1</v>
      </c>
      <c r="E239" s="106">
        <v>1</v>
      </c>
      <c r="F239" s="106">
        <v>1</v>
      </c>
      <c r="G239" s="106" t="s">
        <v>66</v>
      </c>
      <c r="H239" s="106" t="s">
        <v>226</v>
      </c>
      <c r="I239" s="106">
        <v>201</v>
      </c>
      <c r="J239" s="106">
        <v>204</v>
      </c>
      <c r="K239" s="106" t="s">
        <v>1528</v>
      </c>
      <c r="L239" s="106" t="s">
        <v>1314</v>
      </c>
      <c r="M239" s="106" t="s">
        <v>1536</v>
      </c>
      <c r="O239" s="106">
        <v>28</v>
      </c>
      <c r="T239" s="106" t="s">
        <v>1766</v>
      </c>
      <c r="V239" s="106">
        <v>42434290.213477597</v>
      </c>
      <c r="W239" s="106">
        <v>1</v>
      </c>
      <c r="X239" s="106">
        <v>1</v>
      </c>
      <c r="Y239" s="106">
        <v>1</v>
      </c>
      <c r="Z239" s="106">
        <v>1</v>
      </c>
      <c r="AA239" s="106">
        <v>11000000</v>
      </c>
      <c r="AB239" s="106">
        <v>11000000</v>
      </c>
      <c r="AC239" s="106">
        <v>11000000</v>
      </c>
      <c r="AD239" s="106">
        <v>11000000</v>
      </c>
      <c r="AE239" s="106">
        <v>44000000</v>
      </c>
      <c r="AF239" s="106">
        <v>44000000</v>
      </c>
      <c r="AH239" s="106">
        <v>699840</v>
      </c>
      <c r="AI239" s="106">
        <v>0.185</v>
      </c>
      <c r="AJ239" s="106">
        <v>16</v>
      </c>
      <c r="AK239" s="106">
        <v>6998.4</v>
      </c>
      <c r="AL239" s="106">
        <v>111974.39999999999</v>
      </c>
      <c r="AM239" s="106">
        <v>478307</v>
      </c>
      <c r="AN239" s="106">
        <v>478307</v>
      </c>
      <c r="AO239" s="106">
        <v>384740</v>
      </c>
      <c r="AP239" s="106" t="s">
        <v>114</v>
      </c>
      <c r="AQ239" s="106" t="s">
        <v>295</v>
      </c>
      <c r="AR239" s="106">
        <v>3000</v>
      </c>
      <c r="AS239" s="106">
        <v>0.15</v>
      </c>
      <c r="AT239" s="106">
        <v>0.15</v>
      </c>
      <c r="AU239" s="108" t="s">
        <v>153</v>
      </c>
      <c r="AV239" s="108" t="s">
        <v>321</v>
      </c>
      <c r="AW239" s="108">
        <v>3016</v>
      </c>
      <c r="AX239" s="108">
        <v>1500</v>
      </c>
      <c r="AY239" s="108">
        <v>1500</v>
      </c>
      <c r="BD239" s="106">
        <v>0</v>
      </c>
      <c r="BY239" s="112" t="s">
        <v>1766</v>
      </c>
      <c r="BZ239" s="112" t="s">
        <v>1766</v>
      </c>
      <c r="CA239" s="112" t="s">
        <v>1766</v>
      </c>
      <c r="CB239" s="112" t="s">
        <v>1766</v>
      </c>
      <c r="CC239" s="112" t="s">
        <v>1766</v>
      </c>
      <c r="CD239" s="112" t="s">
        <v>1766</v>
      </c>
      <c r="CE239" s="112" t="s">
        <v>1766</v>
      </c>
      <c r="CF239" s="112" t="s">
        <v>1766</v>
      </c>
      <c r="CG239" s="112" t="s">
        <v>1766</v>
      </c>
      <c r="CH239" s="112" t="s">
        <v>1766</v>
      </c>
      <c r="CI239" s="112" t="s">
        <v>1766</v>
      </c>
      <c r="CJ239" s="112" t="s">
        <v>1766</v>
      </c>
      <c r="CK239" s="112" t="s">
        <v>1766</v>
      </c>
      <c r="CL239" s="112" t="s">
        <v>1766</v>
      </c>
      <c r="CM239" s="112" t="s">
        <v>1766</v>
      </c>
      <c r="CN239" s="112" t="s">
        <v>1766</v>
      </c>
      <c r="CO239" s="112" t="s">
        <v>1766</v>
      </c>
    </row>
    <row r="240" spans="1:93">
      <c r="A240" s="106" t="s">
        <v>319</v>
      </c>
      <c r="B240" s="106">
        <v>29</v>
      </c>
      <c r="C240" s="106">
        <v>1</v>
      </c>
      <c r="D240" s="106">
        <v>1</v>
      </c>
      <c r="E240" s="106">
        <v>1</v>
      </c>
      <c r="F240" s="106">
        <v>1</v>
      </c>
      <c r="G240" s="106" t="s">
        <v>66</v>
      </c>
      <c r="H240" s="106" t="s">
        <v>226</v>
      </c>
      <c r="I240" s="106">
        <v>201</v>
      </c>
      <c r="J240" s="106">
        <v>204</v>
      </c>
      <c r="K240" s="106" t="s">
        <v>1528</v>
      </c>
      <c r="L240" s="106" t="s">
        <v>1317</v>
      </c>
      <c r="M240" s="106" t="s">
        <v>1537</v>
      </c>
      <c r="O240" s="106">
        <v>29</v>
      </c>
      <c r="T240" s="106" t="s">
        <v>1766</v>
      </c>
      <c r="V240" s="106">
        <v>54315891.473251298</v>
      </c>
      <c r="W240" s="106">
        <v>1</v>
      </c>
      <c r="X240" s="106">
        <v>1</v>
      </c>
      <c r="Y240" s="106">
        <v>1</v>
      </c>
      <c r="Z240" s="106">
        <v>1</v>
      </c>
      <c r="AA240" s="106">
        <v>14000000</v>
      </c>
      <c r="AB240" s="106">
        <v>14000000</v>
      </c>
      <c r="AC240" s="106">
        <v>14000000</v>
      </c>
      <c r="AD240" s="106">
        <v>14000000</v>
      </c>
      <c r="AE240" s="106">
        <v>56000000</v>
      </c>
      <c r="AF240" s="106">
        <v>56000000</v>
      </c>
      <c r="AH240" s="106">
        <v>855360</v>
      </c>
      <c r="AI240" s="106">
        <v>0.20499999999999999</v>
      </c>
      <c r="AJ240" s="106">
        <v>17</v>
      </c>
      <c r="AK240" s="106">
        <v>8553.6</v>
      </c>
      <c r="AL240" s="106">
        <v>145411.20000000001</v>
      </c>
      <c r="AM240" s="106">
        <v>564131</v>
      </c>
      <c r="AN240" s="106">
        <v>564131</v>
      </c>
      <c r="AO240" s="106">
        <v>493372</v>
      </c>
      <c r="AP240" s="106" t="s">
        <v>114</v>
      </c>
      <c r="AQ240" s="106" t="s">
        <v>295</v>
      </c>
      <c r="AR240" s="106">
        <v>3000</v>
      </c>
      <c r="AS240" s="106">
        <v>0.16</v>
      </c>
      <c r="AT240" s="106">
        <v>0.16</v>
      </c>
      <c r="AU240" s="108" t="s">
        <v>153</v>
      </c>
      <c r="AV240" s="108" t="s">
        <v>321</v>
      </c>
      <c r="AW240" s="108">
        <v>3016</v>
      </c>
      <c r="AX240" s="108">
        <v>1600</v>
      </c>
      <c r="AY240" s="108">
        <v>1600</v>
      </c>
      <c r="BD240" s="106">
        <v>0</v>
      </c>
      <c r="BY240" s="112" t="s">
        <v>1766</v>
      </c>
      <c r="BZ240" s="112" t="s">
        <v>1766</v>
      </c>
      <c r="CA240" s="112" t="s">
        <v>1766</v>
      </c>
      <c r="CB240" s="112" t="s">
        <v>1766</v>
      </c>
      <c r="CC240" s="112" t="s">
        <v>1766</v>
      </c>
      <c r="CD240" s="112" t="s">
        <v>1766</v>
      </c>
      <c r="CE240" s="112" t="s">
        <v>1766</v>
      </c>
      <c r="CF240" s="112" t="s">
        <v>1766</v>
      </c>
      <c r="CG240" s="112" t="s">
        <v>1766</v>
      </c>
      <c r="CH240" s="112" t="s">
        <v>1766</v>
      </c>
      <c r="CI240" s="112" t="s">
        <v>1766</v>
      </c>
      <c r="CJ240" s="112" t="s">
        <v>1766</v>
      </c>
      <c r="CK240" s="112" t="s">
        <v>1766</v>
      </c>
      <c r="CL240" s="112" t="s">
        <v>1766</v>
      </c>
      <c r="CM240" s="112" t="s">
        <v>1766</v>
      </c>
      <c r="CN240" s="112" t="s">
        <v>1766</v>
      </c>
      <c r="CO240" s="112" t="s">
        <v>1766</v>
      </c>
    </row>
    <row r="241" spans="1:93">
      <c r="A241" s="106" t="s">
        <v>319</v>
      </c>
      <c r="B241" s="106">
        <v>30</v>
      </c>
      <c r="C241" s="106">
        <v>1</v>
      </c>
      <c r="D241" s="106">
        <v>1</v>
      </c>
      <c r="E241" s="106">
        <v>1</v>
      </c>
      <c r="F241" s="106">
        <v>1</v>
      </c>
      <c r="G241" s="106" t="s">
        <v>66</v>
      </c>
      <c r="H241" s="106" t="s">
        <v>226</v>
      </c>
      <c r="I241" s="106">
        <v>201</v>
      </c>
      <c r="J241" s="106">
        <v>204</v>
      </c>
      <c r="K241" s="106" t="s">
        <v>1528</v>
      </c>
      <c r="L241" s="106" t="s">
        <v>1406</v>
      </c>
      <c r="M241" s="106" t="s">
        <v>1538</v>
      </c>
      <c r="O241" s="106">
        <v>30</v>
      </c>
      <c r="T241" s="106" t="s">
        <v>1766</v>
      </c>
      <c r="V241" s="106">
        <v>69524341.085761696</v>
      </c>
      <c r="W241" s="106">
        <v>1</v>
      </c>
      <c r="X241" s="106">
        <v>1</v>
      </c>
      <c r="Y241" s="106">
        <v>1</v>
      </c>
      <c r="Z241" s="106">
        <v>1</v>
      </c>
      <c r="AA241" s="106">
        <v>17000000</v>
      </c>
      <c r="AB241" s="106">
        <v>17000000</v>
      </c>
      <c r="AC241" s="106">
        <v>17000000</v>
      </c>
      <c r="AD241" s="106">
        <v>17000000</v>
      </c>
      <c r="AE241" s="106">
        <v>68000000</v>
      </c>
      <c r="AF241" s="106">
        <v>68000000</v>
      </c>
      <c r="AH241" s="106">
        <v>1036800</v>
      </c>
      <c r="AI241" s="106">
        <v>0.22500000000000001</v>
      </c>
      <c r="AJ241" s="106">
        <v>18</v>
      </c>
      <c r="AK241" s="106">
        <v>10368</v>
      </c>
      <c r="AL241" s="106">
        <v>186624</v>
      </c>
      <c r="AM241" s="106">
        <v>659443</v>
      </c>
      <c r="AN241" s="106">
        <v>659443</v>
      </c>
      <c r="AO241" s="106">
        <v>632420</v>
      </c>
      <c r="AP241" s="106" t="s">
        <v>114</v>
      </c>
      <c r="AQ241" s="106" t="s">
        <v>295</v>
      </c>
      <c r="AR241" s="106">
        <v>3000</v>
      </c>
      <c r="AS241" s="106">
        <v>0.17</v>
      </c>
      <c r="AT241" s="106">
        <v>0.17</v>
      </c>
      <c r="AU241" s="108" t="s">
        <v>153</v>
      </c>
      <c r="AV241" s="108" t="s">
        <v>321</v>
      </c>
      <c r="AW241" s="108">
        <v>3016</v>
      </c>
      <c r="AX241" s="108">
        <v>1700</v>
      </c>
      <c r="AY241" s="108">
        <v>1700</v>
      </c>
      <c r="BD241" s="106">
        <v>0</v>
      </c>
      <c r="BY241" s="112" t="s">
        <v>1766</v>
      </c>
      <c r="BZ241" s="112" t="s">
        <v>1766</v>
      </c>
      <c r="CA241" s="112" t="s">
        <v>1766</v>
      </c>
      <c r="CB241" s="112" t="s">
        <v>1766</v>
      </c>
      <c r="CC241" s="112" t="s">
        <v>1766</v>
      </c>
      <c r="CD241" s="112" t="s">
        <v>1766</v>
      </c>
      <c r="CE241" s="112" t="s">
        <v>1766</v>
      </c>
      <c r="CF241" s="112" t="s">
        <v>1766</v>
      </c>
      <c r="CG241" s="112" t="s">
        <v>1766</v>
      </c>
      <c r="CH241" s="112" t="s">
        <v>1766</v>
      </c>
      <c r="CI241" s="112" t="s">
        <v>1766</v>
      </c>
      <c r="CJ241" s="112" t="s">
        <v>1766</v>
      </c>
      <c r="CK241" s="112" t="s">
        <v>1766</v>
      </c>
      <c r="CL241" s="112" t="s">
        <v>1766</v>
      </c>
      <c r="CM241" s="112" t="s">
        <v>1766</v>
      </c>
      <c r="CN241" s="112" t="s">
        <v>1766</v>
      </c>
      <c r="CO241" s="112" t="s">
        <v>1766</v>
      </c>
    </row>
    <row r="242" spans="1:93">
      <c r="A242" s="106" t="s">
        <v>344</v>
      </c>
      <c r="B242" s="106">
        <v>1</v>
      </c>
      <c r="C242" s="106">
        <v>2</v>
      </c>
      <c r="D242" s="106">
        <v>4</v>
      </c>
      <c r="E242" s="106">
        <v>1</v>
      </c>
      <c r="F242" s="106">
        <v>0</v>
      </c>
      <c r="G242" s="106" t="s">
        <v>66</v>
      </c>
      <c r="I242" s="106">
        <v>201</v>
      </c>
      <c r="J242" s="106" t="s">
        <v>1766</v>
      </c>
      <c r="K242" s="106" t="s">
        <v>1318</v>
      </c>
      <c r="L242" s="106" t="s">
        <v>1322</v>
      </c>
      <c r="M242" s="106" t="s">
        <v>345</v>
      </c>
      <c r="N242" s="106">
        <v>18</v>
      </c>
      <c r="O242" s="106">
        <v>4</v>
      </c>
      <c r="T242" s="106" t="s">
        <v>1766</v>
      </c>
      <c r="V242" s="106">
        <v>0</v>
      </c>
      <c r="W242" s="106">
        <v>0</v>
      </c>
      <c r="X242" s="106">
        <v>0</v>
      </c>
      <c r="Y242" s="106" t="s">
        <v>1766</v>
      </c>
      <c r="Z242" s="106" t="s">
        <v>1766</v>
      </c>
      <c r="AA242" s="106">
        <v>0</v>
      </c>
      <c r="AB242" s="106">
        <v>0</v>
      </c>
      <c r="AC242" s="106">
        <v>0</v>
      </c>
      <c r="AD242" s="106">
        <v>0</v>
      </c>
      <c r="AE242" s="106">
        <v>0</v>
      </c>
      <c r="AF242" s="106">
        <v>0</v>
      </c>
      <c r="AH242" s="106">
        <v>25</v>
      </c>
      <c r="AI242" s="106">
        <v>0</v>
      </c>
      <c r="AJ242" s="106">
        <v>0</v>
      </c>
      <c r="AK242" s="106">
        <v>120</v>
      </c>
      <c r="AL242" s="106">
        <v>0</v>
      </c>
      <c r="AM242" s="106">
        <v>1</v>
      </c>
      <c r="AN242" s="106">
        <v>1</v>
      </c>
      <c r="AO242" s="106">
        <v>3</v>
      </c>
      <c r="AP242" s="106" t="s">
        <v>114</v>
      </c>
      <c r="AQ242" s="106" t="s">
        <v>295</v>
      </c>
      <c r="AR242" s="106">
        <v>3000</v>
      </c>
      <c r="AS242" s="106">
        <v>2E-3</v>
      </c>
      <c r="AT242" s="106">
        <v>2E-3</v>
      </c>
      <c r="AU242" s="108" t="s">
        <v>161</v>
      </c>
      <c r="AV242" s="108" t="s">
        <v>346</v>
      </c>
      <c r="AW242" s="108">
        <v>3014</v>
      </c>
      <c r="AX242" s="108">
        <v>20</v>
      </c>
      <c r="AY242" s="108">
        <v>20</v>
      </c>
      <c r="BD242" s="106">
        <v>0</v>
      </c>
      <c r="BY242" s="112" t="s">
        <v>158</v>
      </c>
      <c r="BZ242" s="112" t="s">
        <v>1407</v>
      </c>
      <c r="CA242" s="112" t="s">
        <v>1777</v>
      </c>
      <c r="CB242" s="112" t="s">
        <v>114</v>
      </c>
      <c r="CC242" s="112">
        <v>9</v>
      </c>
      <c r="CD242" s="112" t="s">
        <v>1796</v>
      </c>
      <c r="CE242" s="112" t="s">
        <v>161</v>
      </c>
      <c r="CF242" s="112">
        <v>26</v>
      </c>
      <c r="CG242" s="112" t="s">
        <v>1766</v>
      </c>
      <c r="CH242" s="112" t="s">
        <v>1766</v>
      </c>
      <c r="CI242" s="112" t="s">
        <v>1766</v>
      </c>
      <c r="CJ242" s="112" t="s">
        <v>1766</v>
      </c>
      <c r="CK242" s="112" t="s">
        <v>1766</v>
      </c>
      <c r="CL242" s="112" t="s">
        <v>1766</v>
      </c>
      <c r="CM242" s="112" t="s">
        <v>1766</v>
      </c>
      <c r="CN242" s="112" t="s">
        <v>1766</v>
      </c>
      <c r="CO242" s="112" t="s">
        <v>1766</v>
      </c>
    </row>
    <row r="243" spans="1:93">
      <c r="A243" s="106" t="s">
        <v>344</v>
      </c>
      <c r="B243" s="106">
        <v>2</v>
      </c>
      <c r="C243" s="106">
        <v>2</v>
      </c>
      <c r="D243" s="106">
        <v>4</v>
      </c>
      <c r="E243" s="106">
        <v>1</v>
      </c>
      <c r="F243" s="106">
        <v>0</v>
      </c>
      <c r="G243" s="106" t="s">
        <v>66</v>
      </c>
      <c r="I243" s="106">
        <v>201</v>
      </c>
      <c r="J243" s="106" t="s">
        <v>1766</v>
      </c>
      <c r="K243" s="106" t="s">
        <v>1318</v>
      </c>
      <c r="L243" s="106" t="s">
        <v>1322</v>
      </c>
      <c r="M243" s="106" t="s">
        <v>348</v>
      </c>
      <c r="N243" s="106">
        <v>18</v>
      </c>
      <c r="O243" s="106">
        <v>4</v>
      </c>
      <c r="T243" s="106" t="s">
        <v>1766</v>
      </c>
      <c r="V243" s="106">
        <v>3000</v>
      </c>
      <c r="W243" s="106">
        <v>1</v>
      </c>
      <c r="X243" s="106">
        <v>1</v>
      </c>
      <c r="Y243" s="106" t="s">
        <v>1766</v>
      </c>
      <c r="Z243" s="106" t="s">
        <v>1766</v>
      </c>
      <c r="AA243" s="106">
        <v>1500</v>
      </c>
      <c r="AB243" s="106">
        <v>1500</v>
      </c>
      <c r="AC243" s="106">
        <v>0</v>
      </c>
      <c r="AD243" s="106">
        <v>0</v>
      </c>
      <c r="AE243" s="106">
        <v>3000</v>
      </c>
      <c r="AF243" s="106">
        <v>3000</v>
      </c>
      <c r="AH243" s="106">
        <v>54</v>
      </c>
      <c r="AI243" s="106">
        <v>0</v>
      </c>
      <c r="AJ243" s="106">
        <v>0</v>
      </c>
      <c r="AK243" s="106">
        <v>120</v>
      </c>
      <c r="AL243" s="106">
        <v>0</v>
      </c>
      <c r="AM243" s="106">
        <v>1</v>
      </c>
      <c r="AN243" s="106">
        <v>1</v>
      </c>
      <c r="AO243" s="106">
        <v>9</v>
      </c>
      <c r="AP243" s="106" t="s">
        <v>114</v>
      </c>
      <c r="AQ243" s="106" t="s">
        <v>295</v>
      </c>
      <c r="AR243" s="106">
        <v>3000</v>
      </c>
      <c r="AS243" s="106">
        <v>5.0000000000000001E-3</v>
      </c>
      <c r="AT243" s="106">
        <v>5.0000000000000001E-3</v>
      </c>
      <c r="AU243" s="108" t="s">
        <v>161</v>
      </c>
      <c r="AV243" s="108" t="s">
        <v>346</v>
      </c>
      <c r="AW243" s="108">
        <v>3014</v>
      </c>
      <c r="AX243" s="108">
        <v>50</v>
      </c>
      <c r="AY243" s="108">
        <v>50</v>
      </c>
      <c r="BD243" s="106">
        <v>0</v>
      </c>
      <c r="BY243" s="112" t="s">
        <v>1766</v>
      </c>
      <c r="BZ243" s="112" t="s">
        <v>1766</v>
      </c>
      <c r="CA243" s="112" t="s">
        <v>1766</v>
      </c>
      <c r="CB243" s="112" t="s">
        <v>1766</v>
      </c>
      <c r="CC243" s="112" t="s">
        <v>1766</v>
      </c>
      <c r="CD243" s="112" t="s">
        <v>1766</v>
      </c>
      <c r="CE243" s="112" t="s">
        <v>1766</v>
      </c>
      <c r="CF243" s="112" t="s">
        <v>1766</v>
      </c>
      <c r="CG243" s="112" t="s">
        <v>1766</v>
      </c>
      <c r="CH243" s="112" t="s">
        <v>1766</v>
      </c>
      <c r="CI243" s="112" t="s">
        <v>1766</v>
      </c>
      <c r="CJ243" s="112" t="s">
        <v>1766</v>
      </c>
      <c r="CK243" s="112" t="s">
        <v>1766</v>
      </c>
      <c r="CL243" s="112" t="s">
        <v>1766</v>
      </c>
      <c r="CM243" s="112" t="s">
        <v>1766</v>
      </c>
      <c r="CN243" s="112" t="s">
        <v>1766</v>
      </c>
      <c r="CO243" s="112" t="s">
        <v>1766</v>
      </c>
    </row>
    <row r="244" spans="1:93">
      <c r="A244" s="106" t="s">
        <v>344</v>
      </c>
      <c r="B244" s="106">
        <v>3</v>
      </c>
      <c r="C244" s="106">
        <v>2</v>
      </c>
      <c r="D244" s="106">
        <v>4</v>
      </c>
      <c r="E244" s="106">
        <v>1</v>
      </c>
      <c r="F244" s="106">
        <v>0</v>
      </c>
      <c r="G244" s="106" t="s">
        <v>66</v>
      </c>
      <c r="I244" s="106">
        <v>201</v>
      </c>
      <c r="J244" s="106" t="s">
        <v>1766</v>
      </c>
      <c r="K244" s="106" t="s">
        <v>1318</v>
      </c>
      <c r="L244" s="106" t="s">
        <v>1322</v>
      </c>
      <c r="M244" s="106" t="s">
        <v>349</v>
      </c>
      <c r="N244" s="106">
        <v>18</v>
      </c>
      <c r="O244" s="106">
        <v>4</v>
      </c>
      <c r="T244" s="106" t="s">
        <v>1766</v>
      </c>
      <c r="V244" s="106">
        <v>6000</v>
      </c>
      <c r="W244" s="106">
        <v>1</v>
      </c>
      <c r="X244" s="106">
        <v>1</v>
      </c>
      <c r="Y244" s="106" t="s">
        <v>1766</v>
      </c>
      <c r="Z244" s="106" t="s">
        <v>1766</v>
      </c>
      <c r="AA244" s="106">
        <v>3000</v>
      </c>
      <c r="AB244" s="106">
        <v>3000</v>
      </c>
      <c r="AC244" s="106">
        <v>0</v>
      </c>
      <c r="AD244" s="106">
        <v>0</v>
      </c>
      <c r="AE244" s="106">
        <v>6000</v>
      </c>
      <c r="AF244" s="106">
        <v>6000</v>
      </c>
      <c r="AH244" s="106">
        <v>108</v>
      </c>
      <c r="AI244" s="106">
        <v>0</v>
      </c>
      <c r="AJ244" s="106">
        <v>1</v>
      </c>
      <c r="AK244" s="106">
        <v>120</v>
      </c>
      <c r="AL244" s="106">
        <v>120</v>
      </c>
      <c r="AM244" s="106">
        <v>1</v>
      </c>
      <c r="AN244" s="106">
        <v>1</v>
      </c>
      <c r="AO244" s="106">
        <v>21</v>
      </c>
      <c r="AP244" s="106" t="s">
        <v>114</v>
      </c>
      <c r="AQ244" s="106" t="s">
        <v>295</v>
      </c>
      <c r="AR244" s="106">
        <v>3000</v>
      </c>
      <c r="AS244" s="106">
        <v>0.01</v>
      </c>
      <c r="AT244" s="106">
        <v>0.01</v>
      </c>
      <c r="AU244" s="108" t="s">
        <v>161</v>
      </c>
      <c r="AV244" s="108" t="s">
        <v>346</v>
      </c>
      <c r="AW244" s="108">
        <v>3014</v>
      </c>
      <c r="AX244" s="108">
        <v>100</v>
      </c>
      <c r="AY244" s="108">
        <v>100</v>
      </c>
      <c r="BD244" s="106">
        <v>0</v>
      </c>
      <c r="BY244" s="112" t="s">
        <v>1766</v>
      </c>
      <c r="BZ244" s="112" t="s">
        <v>1766</v>
      </c>
      <c r="CA244" s="112" t="s">
        <v>1766</v>
      </c>
      <c r="CB244" s="112" t="s">
        <v>1766</v>
      </c>
      <c r="CC244" s="112" t="s">
        <v>1766</v>
      </c>
      <c r="CD244" s="112" t="s">
        <v>1766</v>
      </c>
      <c r="CE244" s="112" t="s">
        <v>1766</v>
      </c>
      <c r="CF244" s="112" t="s">
        <v>1766</v>
      </c>
      <c r="CG244" s="112" t="s">
        <v>1766</v>
      </c>
      <c r="CH244" s="112" t="s">
        <v>1766</v>
      </c>
      <c r="CI244" s="112" t="s">
        <v>1766</v>
      </c>
      <c r="CJ244" s="112" t="s">
        <v>1766</v>
      </c>
      <c r="CK244" s="112" t="s">
        <v>1766</v>
      </c>
      <c r="CL244" s="112" t="s">
        <v>1766</v>
      </c>
      <c r="CM244" s="112" t="s">
        <v>1766</v>
      </c>
      <c r="CN244" s="112" t="s">
        <v>1766</v>
      </c>
      <c r="CO244" s="112" t="s">
        <v>1766</v>
      </c>
    </row>
    <row r="245" spans="1:93">
      <c r="A245" s="106" t="s">
        <v>344</v>
      </c>
      <c r="B245" s="106">
        <v>4</v>
      </c>
      <c r="C245" s="106">
        <v>2</v>
      </c>
      <c r="D245" s="106">
        <v>4</v>
      </c>
      <c r="E245" s="106">
        <v>1</v>
      </c>
      <c r="F245" s="106">
        <v>1</v>
      </c>
      <c r="G245" s="106" t="s">
        <v>66</v>
      </c>
      <c r="I245" s="106">
        <v>201</v>
      </c>
      <c r="J245" s="106" t="s">
        <v>1766</v>
      </c>
      <c r="K245" s="106" t="s">
        <v>1318</v>
      </c>
      <c r="L245" s="106" t="s">
        <v>1322</v>
      </c>
      <c r="M245" s="106" t="s">
        <v>350</v>
      </c>
      <c r="N245" s="106">
        <v>18</v>
      </c>
      <c r="O245" s="106">
        <v>4</v>
      </c>
      <c r="T245" s="106" t="s">
        <v>1766</v>
      </c>
      <c r="V245" s="106">
        <v>12000</v>
      </c>
      <c r="W245" s="106">
        <v>1</v>
      </c>
      <c r="X245" s="106">
        <v>1</v>
      </c>
      <c r="Y245" s="106" t="s">
        <v>1766</v>
      </c>
      <c r="Z245" s="106" t="s">
        <v>1766</v>
      </c>
      <c r="AA245" s="106">
        <v>6000</v>
      </c>
      <c r="AB245" s="106">
        <v>6000</v>
      </c>
      <c r="AC245" s="106">
        <v>0</v>
      </c>
      <c r="AD245" s="106">
        <v>0</v>
      </c>
      <c r="AE245" s="106">
        <v>12000</v>
      </c>
      <c r="AF245" s="106">
        <v>12000</v>
      </c>
      <c r="AH245" s="106">
        <v>216</v>
      </c>
      <c r="AI245" s="106">
        <v>0</v>
      </c>
      <c r="AJ245" s="106">
        <v>1</v>
      </c>
      <c r="AK245" s="106">
        <v>120</v>
      </c>
      <c r="AL245" s="106">
        <v>120</v>
      </c>
      <c r="AM245" s="106">
        <v>1</v>
      </c>
      <c r="AN245" s="106">
        <v>1</v>
      </c>
      <c r="AO245" s="106">
        <v>45</v>
      </c>
      <c r="AP245" s="106" t="s">
        <v>114</v>
      </c>
      <c r="AQ245" s="106" t="s">
        <v>295</v>
      </c>
      <c r="AR245" s="106">
        <v>3000</v>
      </c>
      <c r="AS245" s="106">
        <v>1.4999999999999999E-2</v>
      </c>
      <c r="AT245" s="106">
        <v>1.4999999999999999E-2</v>
      </c>
      <c r="AU245" s="108" t="s">
        <v>161</v>
      </c>
      <c r="AV245" s="108" t="s">
        <v>346</v>
      </c>
      <c r="AW245" s="108">
        <v>3014</v>
      </c>
      <c r="AX245" s="108">
        <v>150</v>
      </c>
      <c r="AY245" s="108">
        <v>150</v>
      </c>
      <c r="BD245" s="106">
        <v>0</v>
      </c>
      <c r="BY245" s="112" t="s">
        <v>1766</v>
      </c>
      <c r="BZ245" s="112" t="s">
        <v>1766</v>
      </c>
      <c r="CA245" s="112" t="s">
        <v>1766</v>
      </c>
      <c r="CB245" s="112" t="s">
        <v>1766</v>
      </c>
      <c r="CC245" s="112" t="s">
        <v>1766</v>
      </c>
      <c r="CD245" s="112" t="s">
        <v>1766</v>
      </c>
      <c r="CE245" s="112" t="s">
        <v>1766</v>
      </c>
      <c r="CF245" s="112" t="s">
        <v>1766</v>
      </c>
      <c r="CG245" s="112" t="s">
        <v>1766</v>
      </c>
      <c r="CH245" s="112" t="s">
        <v>1766</v>
      </c>
      <c r="CI245" s="112" t="s">
        <v>1766</v>
      </c>
      <c r="CJ245" s="112" t="s">
        <v>1766</v>
      </c>
      <c r="CK245" s="112" t="s">
        <v>1766</v>
      </c>
      <c r="CL245" s="112" t="s">
        <v>1766</v>
      </c>
      <c r="CM245" s="112" t="s">
        <v>1766</v>
      </c>
      <c r="CN245" s="112" t="s">
        <v>1766</v>
      </c>
      <c r="CO245" s="112" t="s">
        <v>1766</v>
      </c>
    </row>
    <row r="246" spans="1:93">
      <c r="A246" s="106" t="s">
        <v>344</v>
      </c>
      <c r="B246" s="106">
        <v>5</v>
      </c>
      <c r="C246" s="106">
        <v>2</v>
      </c>
      <c r="D246" s="106">
        <v>4</v>
      </c>
      <c r="E246" s="106">
        <v>1</v>
      </c>
      <c r="F246" s="106">
        <v>1</v>
      </c>
      <c r="G246" s="106" t="s">
        <v>66</v>
      </c>
      <c r="H246" s="106" t="s">
        <v>249</v>
      </c>
      <c r="I246" s="106">
        <v>201</v>
      </c>
      <c r="J246" s="106">
        <v>205</v>
      </c>
      <c r="K246" s="106" t="s">
        <v>1408</v>
      </c>
      <c r="L246" s="106" t="s">
        <v>1225</v>
      </c>
      <c r="M246" s="106" t="s">
        <v>351</v>
      </c>
      <c r="N246" s="106">
        <v>18</v>
      </c>
      <c r="O246" s="106">
        <v>5</v>
      </c>
      <c r="T246" s="106" t="s">
        <v>1766</v>
      </c>
      <c r="V246" s="106">
        <v>23160</v>
      </c>
      <c r="W246" s="106">
        <v>1</v>
      </c>
      <c r="X246" s="106">
        <v>1</v>
      </c>
      <c r="Y246" s="106">
        <v>1</v>
      </c>
      <c r="Z246" s="106" t="s">
        <v>1766</v>
      </c>
      <c r="AA246" s="106">
        <v>7700</v>
      </c>
      <c r="AB246" s="106">
        <v>7700</v>
      </c>
      <c r="AC246" s="106">
        <v>7700</v>
      </c>
      <c r="AD246" s="106">
        <v>0</v>
      </c>
      <c r="AE246" s="106">
        <v>23100</v>
      </c>
      <c r="AF246" s="106">
        <v>23100</v>
      </c>
      <c r="AH246" s="106">
        <v>450</v>
      </c>
      <c r="AI246" s="106">
        <v>0</v>
      </c>
      <c r="AJ246" s="106">
        <v>2</v>
      </c>
      <c r="AK246" s="106">
        <v>120</v>
      </c>
      <c r="AL246" s="106">
        <v>240</v>
      </c>
      <c r="AM246" s="106">
        <v>1</v>
      </c>
      <c r="AN246" s="106">
        <v>1</v>
      </c>
      <c r="AO246" s="106">
        <v>91</v>
      </c>
      <c r="AP246" s="106" t="s">
        <v>114</v>
      </c>
      <c r="AQ246" s="106" t="s">
        <v>295</v>
      </c>
      <c r="AR246" s="106">
        <v>3000</v>
      </c>
      <c r="AS246" s="106">
        <v>0.02</v>
      </c>
      <c r="AT246" s="106">
        <v>0.02</v>
      </c>
      <c r="AU246" s="108" t="s">
        <v>161</v>
      </c>
      <c r="AV246" s="108" t="s">
        <v>346</v>
      </c>
      <c r="AW246" s="108">
        <v>3014</v>
      </c>
      <c r="AX246" s="108">
        <v>200</v>
      </c>
      <c r="AY246" s="108">
        <v>200</v>
      </c>
      <c r="BD246" s="106">
        <v>0</v>
      </c>
      <c r="BY246" s="112" t="s">
        <v>1766</v>
      </c>
      <c r="BZ246" s="112" t="s">
        <v>1766</v>
      </c>
      <c r="CA246" s="112" t="s">
        <v>1766</v>
      </c>
      <c r="CB246" s="112" t="s">
        <v>1766</v>
      </c>
      <c r="CC246" s="112" t="s">
        <v>1766</v>
      </c>
      <c r="CD246" s="112" t="s">
        <v>1766</v>
      </c>
      <c r="CE246" s="112" t="s">
        <v>1766</v>
      </c>
      <c r="CF246" s="112" t="s">
        <v>1766</v>
      </c>
      <c r="CG246" s="112" t="s">
        <v>1766</v>
      </c>
      <c r="CH246" s="112" t="s">
        <v>1766</v>
      </c>
      <c r="CI246" s="112" t="s">
        <v>1766</v>
      </c>
      <c r="CJ246" s="112" t="s">
        <v>1766</v>
      </c>
      <c r="CK246" s="112" t="s">
        <v>1766</v>
      </c>
      <c r="CL246" s="112" t="s">
        <v>1766</v>
      </c>
      <c r="CM246" s="112" t="s">
        <v>1766</v>
      </c>
      <c r="CN246" s="112" t="s">
        <v>1766</v>
      </c>
      <c r="CO246" s="112" t="s">
        <v>1766</v>
      </c>
    </row>
    <row r="247" spans="1:93">
      <c r="A247" s="106" t="s">
        <v>344</v>
      </c>
      <c r="B247" s="106">
        <v>6</v>
      </c>
      <c r="C247" s="106">
        <v>2</v>
      </c>
      <c r="D247" s="106">
        <v>4</v>
      </c>
      <c r="E247" s="106">
        <v>1</v>
      </c>
      <c r="F247" s="106">
        <v>1</v>
      </c>
      <c r="G247" s="106" t="s">
        <v>66</v>
      </c>
      <c r="H247" s="106" t="s">
        <v>249</v>
      </c>
      <c r="I247" s="106">
        <v>201</v>
      </c>
      <c r="J247" s="106">
        <v>205</v>
      </c>
      <c r="K247" s="106" t="s">
        <v>1408</v>
      </c>
      <c r="L247" s="106" t="s">
        <v>1230</v>
      </c>
      <c r="M247" s="106" t="s">
        <v>352</v>
      </c>
      <c r="N247" s="106">
        <v>18</v>
      </c>
      <c r="O247" s="106">
        <v>6</v>
      </c>
      <c r="T247" s="106" t="s">
        <v>1766</v>
      </c>
      <c r="V247" s="106">
        <v>43077.599999999999</v>
      </c>
      <c r="W247" s="106">
        <v>1</v>
      </c>
      <c r="X247" s="106">
        <v>1</v>
      </c>
      <c r="Y247" s="106">
        <v>1</v>
      </c>
      <c r="Z247" s="106" t="s">
        <v>1766</v>
      </c>
      <c r="AA247" s="106">
        <v>14000</v>
      </c>
      <c r="AB247" s="106">
        <v>14000</v>
      </c>
      <c r="AC247" s="106">
        <v>14000</v>
      </c>
      <c r="AD247" s="106">
        <v>0</v>
      </c>
      <c r="AE247" s="106">
        <v>42000</v>
      </c>
      <c r="AF247" s="106">
        <v>42000</v>
      </c>
      <c r="AH247" s="106">
        <v>810</v>
      </c>
      <c r="AI247" s="106">
        <v>0</v>
      </c>
      <c r="AJ247" s="106">
        <v>2</v>
      </c>
      <c r="AK247" s="106">
        <v>120</v>
      </c>
      <c r="AL247" s="106">
        <v>240</v>
      </c>
      <c r="AM247" s="106">
        <v>270</v>
      </c>
      <c r="AN247" s="106">
        <v>270</v>
      </c>
      <c r="AO247" s="106">
        <v>177</v>
      </c>
      <c r="AP247" s="106" t="s">
        <v>114</v>
      </c>
      <c r="AQ247" s="106" t="s">
        <v>295</v>
      </c>
      <c r="AR247" s="106">
        <v>3000</v>
      </c>
      <c r="AS247" s="106">
        <v>2.5000000000000001E-2</v>
      </c>
      <c r="AT247" s="106">
        <v>2.5000000000000001E-2</v>
      </c>
      <c r="AU247" s="108" t="s">
        <v>161</v>
      </c>
      <c r="AV247" s="108" t="s">
        <v>346</v>
      </c>
      <c r="AW247" s="108">
        <v>3014</v>
      </c>
      <c r="AX247" s="108">
        <v>250</v>
      </c>
      <c r="AY247" s="108">
        <v>250</v>
      </c>
      <c r="BD247" s="106">
        <v>0</v>
      </c>
      <c r="BY247" s="112" t="s">
        <v>1766</v>
      </c>
      <c r="BZ247" s="112" t="s">
        <v>1766</v>
      </c>
      <c r="CA247" s="112" t="s">
        <v>1766</v>
      </c>
      <c r="CB247" s="112" t="s">
        <v>1766</v>
      </c>
      <c r="CC247" s="112" t="s">
        <v>1766</v>
      </c>
      <c r="CD247" s="112" t="s">
        <v>1766</v>
      </c>
      <c r="CE247" s="112" t="s">
        <v>1766</v>
      </c>
      <c r="CF247" s="112" t="s">
        <v>1766</v>
      </c>
      <c r="CG247" s="112" t="s">
        <v>1766</v>
      </c>
      <c r="CH247" s="112" t="s">
        <v>1766</v>
      </c>
      <c r="CI247" s="112" t="s">
        <v>1766</v>
      </c>
      <c r="CJ247" s="112" t="s">
        <v>1766</v>
      </c>
      <c r="CK247" s="112" t="s">
        <v>1766</v>
      </c>
      <c r="CL247" s="112" t="s">
        <v>1766</v>
      </c>
      <c r="CM247" s="112" t="s">
        <v>1766</v>
      </c>
      <c r="CN247" s="112" t="s">
        <v>1766</v>
      </c>
      <c r="CO247" s="112" t="s">
        <v>1766</v>
      </c>
    </row>
    <row r="248" spans="1:93">
      <c r="A248" s="106" t="s">
        <v>344</v>
      </c>
      <c r="B248" s="106">
        <v>7</v>
      </c>
      <c r="C248" s="106">
        <v>2</v>
      </c>
      <c r="D248" s="106">
        <v>4</v>
      </c>
      <c r="E248" s="106">
        <v>1</v>
      </c>
      <c r="F248" s="106">
        <v>1</v>
      </c>
      <c r="G248" s="106" t="s">
        <v>66</v>
      </c>
      <c r="H248" s="106" t="s">
        <v>249</v>
      </c>
      <c r="I248" s="106">
        <v>201</v>
      </c>
      <c r="J248" s="106">
        <v>205</v>
      </c>
      <c r="K248" s="106" t="s">
        <v>1408</v>
      </c>
      <c r="L248" s="106" t="s">
        <v>1234</v>
      </c>
      <c r="M248" s="106" t="s">
        <v>353</v>
      </c>
      <c r="N248" s="106">
        <v>18</v>
      </c>
      <c r="O248" s="106">
        <v>7</v>
      </c>
      <c r="T248" s="106" t="s">
        <v>1766</v>
      </c>
      <c r="V248" s="106">
        <v>77108.903999999995</v>
      </c>
      <c r="W248" s="106">
        <v>1</v>
      </c>
      <c r="X248" s="106">
        <v>1</v>
      </c>
      <c r="Y248" s="106">
        <v>1</v>
      </c>
      <c r="Z248" s="106" t="s">
        <v>1766</v>
      </c>
      <c r="AA248" s="106">
        <v>26000</v>
      </c>
      <c r="AB248" s="106">
        <v>26000</v>
      </c>
      <c r="AC248" s="106">
        <v>26000</v>
      </c>
      <c r="AD248" s="106">
        <v>0</v>
      </c>
      <c r="AE248" s="106">
        <v>78000</v>
      </c>
      <c r="AF248" s="106">
        <v>78000</v>
      </c>
      <c r="AH248" s="106">
        <v>1350</v>
      </c>
      <c r="AI248" s="106">
        <v>0</v>
      </c>
      <c r="AJ248" s="106">
        <v>3</v>
      </c>
      <c r="AK248" s="106">
        <v>120</v>
      </c>
      <c r="AL248" s="106">
        <v>360</v>
      </c>
      <c r="AM248" s="106">
        <v>690</v>
      </c>
      <c r="AN248" s="106">
        <v>690</v>
      </c>
      <c r="AO248" s="106">
        <v>331</v>
      </c>
      <c r="AP248" s="106" t="s">
        <v>114</v>
      </c>
      <c r="AQ248" s="106" t="s">
        <v>295</v>
      </c>
      <c r="AR248" s="106">
        <v>3000</v>
      </c>
      <c r="AS248" s="106">
        <v>0.03</v>
      </c>
      <c r="AT248" s="106">
        <v>0.03</v>
      </c>
      <c r="AU248" s="108" t="s">
        <v>161</v>
      </c>
      <c r="AV248" s="108" t="s">
        <v>346</v>
      </c>
      <c r="AW248" s="108">
        <v>3014</v>
      </c>
      <c r="AX248" s="108">
        <v>300</v>
      </c>
      <c r="AY248" s="108">
        <v>300</v>
      </c>
      <c r="BD248" s="106">
        <v>0</v>
      </c>
      <c r="BY248" s="112" t="s">
        <v>1766</v>
      </c>
      <c r="BZ248" s="112" t="s">
        <v>1766</v>
      </c>
      <c r="CA248" s="112" t="s">
        <v>1766</v>
      </c>
      <c r="CB248" s="112" t="s">
        <v>1766</v>
      </c>
      <c r="CC248" s="112" t="s">
        <v>1766</v>
      </c>
      <c r="CD248" s="112" t="s">
        <v>1766</v>
      </c>
      <c r="CE248" s="112" t="s">
        <v>1766</v>
      </c>
      <c r="CF248" s="112" t="s">
        <v>1766</v>
      </c>
      <c r="CG248" s="112" t="s">
        <v>1766</v>
      </c>
      <c r="CH248" s="112" t="s">
        <v>1766</v>
      </c>
      <c r="CI248" s="112" t="s">
        <v>1766</v>
      </c>
      <c r="CJ248" s="112" t="s">
        <v>1766</v>
      </c>
      <c r="CK248" s="112" t="s">
        <v>1766</v>
      </c>
      <c r="CL248" s="112" t="s">
        <v>1766</v>
      </c>
      <c r="CM248" s="112" t="s">
        <v>1766</v>
      </c>
      <c r="CN248" s="112" t="s">
        <v>1766</v>
      </c>
      <c r="CO248" s="112" t="s">
        <v>1766</v>
      </c>
    </row>
    <row r="249" spans="1:93">
      <c r="A249" s="106" t="s">
        <v>344</v>
      </c>
      <c r="B249" s="106">
        <v>8</v>
      </c>
      <c r="C249" s="106">
        <v>2</v>
      </c>
      <c r="D249" s="106">
        <v>4</v>
      </c>
      <c r="E249" s="106">
        <v>1</v>
      </c>
      <c r="F249" s="106">
        <v>1</v>
      </c>
      <c r="G249" s="106" t="s">
        <v>66</v>
      </c>
      <c r="H249" s="106" t="s">
        <v>249</v>
      </c>
      <c r="I249" s="106">
        <v>201</v>
      </c>
      <c r="J249" s="106">
        <v>205</v>
      </c>
      <c r="K249" s="106" t="s">
        <v>1408</v>
      </c>
      <c r="L249" s="106" t="s">
        <v>1239</v>
      </c>
      <c r="M249" s="106" t="s">
        <v>354</v>
      </c>
      <c r="N249" s="106">
        <v>18</v>
      </c>
      <c r="O249" s="106">
        <v>8</v>
      </c>
      <c r="T249" s="106" t="s">
        <v>1766</v>
      </c>
      <c r="V249" s="106">
        <v>132627.31487999999</v>
      </c>
      <c r="W249" s="106">
        <v>1</v>
      </c>
      <c r="X249" s="106">
        <v>1</v>
      </c>
      <c r="Y249" s="106">
        <v>1</v>
      </c>
      <c r="Z249" s="106" t="s">
        <v>1766</v>
      </c>
      <c r="AA249" s="106">
        <v>44000</v>
      </c>
      <c r="AB249" s="106">
        <v>44000</v>
      </c>
      <c r="AC249" s="106">
        <v>44000</v>
      </c>
      <c r="AD249" s="106">
        <v>0</v>
      </c>
      <c r="AE249" s="106">
        <v>132000</v>
      </c>
      <c r="AF249" s="106">
        <v>132000</v>
      </c>
      <c r="AH249" s="106">
        <v>2160</v>
      </c>
      <c r="AI249" s="106">
        <v>0</v>
      </c>
      <c r="AJ249" s="106">
        <v>3</v>
      </c>
      <c r="AK249" s="106">
        <v>120</v>
      </c>
      <c r="AL249" s="106">
        <v>360</v>
      </c>
      <c r="AM249" s="106">
        <v>1500</v>
      </c>
      <c r="AN249" s="106">
        <v>1500</v>
      </c>
      <c r="AO249" s="106">
        <v>596</v>
      </c>
      <c r="AP249" s="106" t="s">
        <v>114</v>
      </c>
      <c r="AQ249" s="106" t="s">
        <v>295</v>
      </c>
      <c r="AR249" s="106">
        <v>3000</v>
      </c>
      <c r="AS249" s="106">
        <v>3.5000000000000003E-2</v>
      </c>
      <c r="AT249" s="106">
        <v>3.5000000000000003E-2</v>
      </c>
      <c r="AU249" s="108" t="s">
        <v>161</v>
      </c>
      <c r="AV249" s="108" t="s">
        <v>346</v>
      </c>
      <c r="AW249" s="108">
        <v>3014</v>
      </c>
      <c r="AX249" s="108">
        <v>350</v>
      </c>
      <c r="AY249" s="108">
        <v>350</v>
      </c>
      <c r="BD249" s="106">
        <v>0</v>
      </c>
      <c r="BY249" s="112" t="s">
        <v>1766</v>
      </c>
      <c r="BZ249" s="112" t="s">
        <v>1766</v>
      </c>
      <c r="CA249" s="112" t="s">
        <v>1766</v>
      </c>
      <c r="CB249" s="112" t="s">
        <v>1766</v>
      </c>
      <c r="CC249" s="112" t="s">
        <v>1766</v>
      </c>
      <c r="CD249" s="112" t="s">
        <v>1766</v>
      </c>
      <c r="CE249" s="112" t="s">
        <v>1766</v>
      </c>
      <c r="CF249" s="112" t="s">
        <v>1766</v>
      </c>
      <c r="CG249" s="112" t="s">
        <v>1766</v>
      </c>
      <c r="CH249" s="112" t="s">
        <v>1766</v>
      </c>
      <c r="CI249" s="112" t="s">
        <v>1766</v>
      </c>
      <c r="CJ249" s="112" t="s">
        <v>1766</v>
      </c>
      <c r="CK249" s="112" t="s">
        <v>1766</v>
      </c>
      <c r="CL249" s="112" t="s">
        <v>1766</v>
      </c>
      <c r="CM249" s="112" t="s">
        <v>1766</v>
      </c>
      <c r="CN249" s="112" t="s">
        <v>1766</v>
      </c>
      <c r="CO249" s="112" t="s">
        <v>1766</v>
      </c>
    </row>
    <row r="250" spans="1:93">
      <c r="A250" s="106" t="s">
        <v>344</v>
      </c>
      <c r="B250" s="106">
        <v>9</v>
      </c>
      <c r="C250" s="106">
        <v>2</v>
      </c>
      <c r="D250" s="106">
        <v>4</v>
      </c>
      <c r="E250" s="106">
        <v>1</v>
      </c>
      <c r="F250" s="106">
        <v>1</v>
      </c>
      <c r="G250" s="106" t="s">
        <v>66</v>
      </c>
      <c r="H250" s="106" t="s">
        <v>249</v>
      </c>
      <c r="I250" s="106">
        <v>201</v>
      </c>
      <c r="J250" s="106">
        <v>205</v>
      </c>
      <c r="K250" s="106" t="s">
        <v>1408</v>
      </c>
      <c r="L250" s="106" t="s">
        <v>1244</v>
      </c>
      <c r="M250" s="106" t="s">
        <v>355</v>
      </c>
      <c r="N250" s="106">
        <v>18</v>
      </c>
      <c r="O250" s="106">
        <v>9</v>
      </c>
      <c r="T250" s="106" t="s">
        <v>1766</v>
      </c>
      <c r="V250" s="106">
        <v>218835.069552</v>
      </c>
      <c r="W250" s="106">
        <v>1</v>
      </c>
      <c r="X250" s="106">
        <v>1</v>
      </c>
      <c r="Y250" s="106">
        <v>1</v>
      </c>
      <c r="Z250" s="106" t="s">
        <v>1766</v>
      </c>
      <c r="AA250" s="106">
        <v>73000</v>
      </c>
      <c r="AB250" s="106">
        <v>73000</v>
      </c>
      <c r="AC250" s="106">
        <v>73000</v>
      </c>
      <c r="AD250" s="106">
        <v>0</v>
      </c>
      <c r="AE250" s="106">
        <v>219000</v>
      </c>
      <c r="AF250" s="106">
        <v>219000</v>
      </c>
      <c r="AH250" s="106">
        <v>4320</v>
      </c>
      <c r="AI250" s="106">
        <v>0</v>
      </c>
      <c r="AJ250" s="106">
        <v>4</v>
      </c>
      <c r="AK250" s="106">
        <v>120</v>
      </c>
      <c r="AL250" s="106">
        <v>480</v>
      </c>
      <c r="AM250" s="106">
        <v>3540</v>
      </c>
      <c r="AN250" s="106">
        <v>3540</v>
      </c>
      <c r="AO250" s="106">
        <v>1034</v>
      </c>
      <c r="AP250" s="106" t="s">
        <v>114</v>
      </c>
      <c r="AQ250" s="106" t="s">
        <v>295</v>
      </c>
      <c r="AR250" s="106">
        <v>3000</v>
      </c>
      <c r="AS250" s="106">
        <v>0.04</v>
      </c>
      <c r="AT250" s="106">
        <v>0.04</v>
      </c>
      <c r="AU250" s="108" t="s">
        <v>161</v>
      </c>
      <c r="AV250" s="108" t="s">
        <v>346</v>
      </c>
      <c r="AW250" s="108">
        <v>3014</v>
      </c>
      <c r="AX250" s="108">
        <v>400</v>
      </c>
      <c r="AY250" s="108">
        <v>400</v>
      </c>
      <c r="BD250" s="106">
        <v>0</v>
      </c>
      <c r="BY250" s="112" t="s">
        <v>1766</v>
      </c>
      <c r="BZ250" s="112" t="s">
        <v>1766</v>
      </c>
      <c r="CA250" s="112" t="s">
        <v>1766</v>
      </c>
      <c r="CB250" s="112" t="s">
        <v>1766</v>
      </c>
      <c r="CC250" s="112" t="s">
        <v>1766</v>
      </c>
      <c r="CD250" s="112" t="s">
        <v>1766</v>
      </c>
      <c r="CE250" s="112" t="s">
        <v>1766</v>
      </c>
      <c r="CF250" s="112" t="s">
        <v>1766</v>
      </c>
      <c r="CG250" s="112" t="s">
        <v>1766</v>
      </c>
      <c r="CH250" s="112" t="s">
        <v>1766</v>
      </c>
      <c r="CI250" s="112" t="s">
        <v>1766</v>
      </c>
      <c r="CJ250" s="112" t="s">
        <v>1766</v>
      </c>
      <c r="CK250" s="112" t="s">
        <v>1766</v>
      </c>
      <c r="CL250" s="112" t="s">
        <v>1766</v>
      </c>
      <c r="CM250" s="112" t="s">
        <v>1766</v>
      </c>
      <c r="CN250" s="112" t="s">
        <v>1766</v>
      </c>
      <c r="CO250" s="112" t="s">
        <v>1766</v>
      </c>
    </row>
    <row r="251" spans="1:93">
      <c r="A251" s="106" t="s">
        <v>344</v>
      </c>
      <c r="B251" s="106">
        <v>10</v>
      </c>
      <c r="C251" s="106">
        <v>2</v>
      </c>
      <c r="D251" s="106">
        <v>4</v>
      </c>
      <c r="E251" s="106">
        <v>1</v>
      </c>
      <c r="F251" s="106">
        <v>1</v>
      </c>
      <c r="G251" s="106" t="s">
        <v>66</v>
      </c>
      <c r="H251" s="106" t="s">
        <v>249</v>
      </c>
      <c r="I251" s="106">
        <v>201</v>
      </c>
      <c r="J251" s="106">
        <v>205</v>
      </c>
      <c r="K251" s="106" t="s">
        <v>1408</v>
      </c>
      <c r="L251" s="106" t="s">
        <v>1247</v>
      </c>
      <c r="M251" s="106" t="s">
        <v>356</v>
      </c>
      <c r="N251" s="106">
        <v>18</v>
      </c>
      <c r="O251" s="106">
        <v>10</v>
      </c>
      <c r="T251" s="106" t="s">
        <v>1766</v>
      </c>
      <c r="V251" s="106">
        <v>345759.40989215998</v>
      </c>
      <c r="W251" s="106">
        <v>1</v>
      </c>
      <c r="X251" s="106">
        <v>1</v>
      </c>
      <c r="Y251" s="106">
        <v>1</v>
      </c>
      <c r="Z251" s="106">
        <v>1</v>
      </c>
      <c r="AA251" s="106">
        <v>86000</v>
      </c>
      <c r="AB251" s="106">
        <v>86000</v>
      </c>
      <c r="AC251" s="106">
        <v>86000</v>
      </c>
      <c r="AD251" s="106">
        <v>86000</v>
      </c>
      <c r="AE251" s="106">
        <v>344000</v>
      </c>
      <c r="AF251" s="106">
        <v>344000</v>
      </c>
      <c r="AH251" s="106">
        <v>6480</v>
      </c>
      <c r="AI251" s="106">
        <v>0.01</v>
      </c>
      <c r="AJ251" s="106">
        <v>4</v>
      </c>
      <c r="AK251" s="106">
        <v>120</v>
      </c>
      <c r="AL251" s="106">
        <v>480</v>
      </c>
      <c r="AM251" s="106">
        <v>5635</v>
      </c>
      <c r="AN251" s="106">
        <v>5635</v>
      </c>
      <c r="AO251" s="106">
        <v>1726</v>
      </c>
      <c r="AP251" s="106" t="s">
        <v>114</v>
      </c>
      <c r="AQ251" s="106" t="s">
        <v>295</v>
      </c>
      <c r="AR251" s="106">
        <v>3000</v>
      </c>
      <c r="AS251" s="106">
        <v>4.4999999999999998E-2</v>
      </c>
      <c r="AT251" s="106">
        <v>4.4999999999999998E-2</v>
      </c>
      <c r="AU251" s="108" t="s">
        <v>161</v>
      </c>
      <c r="AV251" s="108" t="s">
        <v>346</v>
      </c>
      <c r="AW251" s="108">
        <v>3014</v>
      </c>
      <c r="AX251" s="108">
        <v>450</v>
      </c>
      <c r="AY251" s="108">
        <v>450</v>
      </c>
      <c r="BD251" s="106">
        <v>0</v>
      </c>
      <c r="BY251" s="112" t="s">
        <v>1766</v>
      </c>
      <c r="BZ251" s="112" t="s">
        <v>1766</v>
      </c>
      <c r="CA251" s="112" t="s">
        <v>1766</v>
      </c>
      <c r="CB251" s="112" t="s">
        <v>1766</v>
      </c>
      <c r="CC251" s="112" t="s">
        <v>1766</v>
      </c>
      <c r="CD251" s="112" t="s">
        <v>1766</v>
      </c>
      <c r="CE251" s="112" t="s">
        <v>1766</v>
      </c>
      <c r="CF251" s="112" t="s">
        <v>1766</v>
      </c>
      <c r="CG251" s="112" t="s">
        <v>1766</v>
      </c>
      <c r="CH251" s="112" t="s">
        <v>1766</v>
      </c>
      <c r="CI251" s="112" t="s">
        <v>1766</v>
      </c>
      <c r="CJ251" s="112" t="s">
        <v>1766</v>
      </c>
      <c r="CK251" s="112" t="s">
        <v>1766</v>
      </c>
      <c r="CL251" s="112" t="s">
        <v>1766</v>
      </c>
      <c r="CM251" s="112" t="s">
        <v>1766</v>
      </c>
      <c r="CN251" s="112" t="s">
        <v>1766</v>
      </c>
      <c r="CO251" s="112" t="s">
        <v>1766</v>
      </c>
    </row>
    <row r="252" spans="1:93">
      <c r="A252" s="106" t="s">
        <v>344</v>
      </c>
      <c r="B252" s="106">
        <v>11</v>
      </c>
      <c r="C252" s="106">
        <v>2</v>
      </c>
      <c r="D252" s="106">
        <v>4</v>
      </c>
      <c r="E252" s="106">
        <v>1</v>
      </c>
      <c r="F252" s="106">
        <v>1</v>
      </c>
      <c r="G252" s="106" t="s">
        <v>66</v>
      </c>
      <c r="H252" s="106" t="s">
        <v>249</v>
      </c>
      <c r="I252" s="106">
        <v>201</v>
      </c>
      <c r="J252" s="106">
        <v>205</v>
      </c>
      <c r="K252" s="106" t="s">
        <v>1408</v>
      </c>
      <c r="L252" s="106" t="s">
        <v>1252</v>
      </c>
      <c r="M252" s="106" t="s">
        <v>357</v>
      </c>
      <c r="N252" s="106">
        <v>18</v>
      </c>
      <c r="O252" s="106">
        <v>11</v>
      </c>
      <c r="T252" s="106" t="s">
        <v>1766</v>
      </c>
      <c r="V252" s="106">
        <v>522096.70893716102</v>
      </c>
      <c r="W252" s="106">
        <v>1</v>
      </c>
      <c r="X252" s="106">
        <v>1</v>
      </c>
      <c r="Y252" s="106">
        <v>1</v>
      </c>
      <c r="Z252" s="106">
        <v>1</v>
      </c>
      <c r="AA252" s="106">
        <v>130000</v>
      </c>
      <c r="AB252" s="106">
        <v>130000</v>
      </c>
      <c r="AC252" s="106">
        <v>130000</v>
      </c>
      <c r="AD252" s="106">
        <v>130000</v>
      </c>
      <c r="AE252" s="106">
        <v>520000</v>
      </c>
      <c r="AF252" s="106">
        <v>520000</v>
      </c>
      <c r="AH252" s="106">
        <v>9720</v>
      </c>
      <c r="AI252" s="106">
        <v>0.02</v>
      </c>
      <c r="AJ252" s="106">
        <v>5</v>
      </c>
      <c r="AK252" s="106">
        <v>120</v>
      </c>
      <c r="AL252" s="106">
        <v>600</v>
      </c>
      <c r="AM252" s="106">
        <v>8629</v>
      </c>
      <c r="AN252" s="106">
        <v>8629</v>
      </c>
      <c r="AO252" s="106">
        <v>2770</v>
      </c>
      <c r="AP252" s="106" t="s">
        <v>114</v>
      </c>
      <c r="AQ252" s="106" t="s">
        <v>295</v>
      </c>
      <c r="AR252" s="106">
        <v>3000</v>
      </c>
      <c r="AS252" s="106">
        <v>0.05</v>
      </c>
      <c r="AT252" s="106">
        <v>0.05</v>
      </c>
      <c r="AU252" s="108" t="s">
        <v>161</v>
      </c>
      <c r="AV252" s="108" t="s">
        <v>346</v>
      </c>
      <c r="AW252" s="108">
        <v>3014</v>
      </c>
      <c r="AX252" s="108">
        <v>500</v>
      </c>
      <c r="AY252" s="108">
        <v>500</v>
      </c>
      <c r="BD252" s="106">
        <v>0</v>
      </c>
      <c r="BY252" s="112" t="s">
        <v>1766</v>
      </c>
      <c r="BZ252" s="112" t="s">
        <v>1766</v>
      </c>
      <c r="CA252" s="112" t="s">
        <v>1766</v>
      </c>
      <c r="CB252" s="112" t="s">
        <v>1766</v>
      </c>
      <c r="CC252" s="112" t="s">
        <v>1766</v>
      </c>
      <c r="CD252" s="112" t="s">
        <v>1766</v>
      </c>
      <c r="CE252" s="112" t="s">
        <v>1766</v>
      </c>
      <c r="CF252" s="112" t="s">
        <v>1766</v>
      </c>
      <c r="CG252" s="112" t="s">
        <v>1766</v>
      </c>
      <c r="CH252" s="112" t="s">
        <v>1766</v>
      </c>
      <c r="CI252" s="112" t="s">
        <v>1766</v>
      </c>
      <c r="CJ252" s="112" t="s">
        <v>1766</v>
      </c>
      <c r="CK252" s="112" t="s">
        <v>1766</v>
      </c>
      <c r="CL252" s="112" t="s">
        <v>1766</v>
      </c>
      <c r="CM252" s="112" t="s">
        <v>1766</v>
      </c>
      <c r="CN252" s="112" t="s">
        <v>1766</v>
      </c>
      <c r="CO252" s="112" t="s">
        <v>1766</v>
      </c>
    </row>
    <row r="253" spans="1:93">
      <c r="A253" s="106" t="s">
        <v>344</v>
      </c>
      <c r="B253" s="106">
        <v>12</v>
      </c>
      <c r="C253" s="106">
        <v>2</v>
      </c>
      <c r="D253" s="106">
        <v>4</v>
      </c>
      <c r="E253" s="106">
        <v>1</v>
      </c>
      <c r="F253" s="106">
        <v>1</v>
      </c>
      <c r="G253" s="106" t="s">
        <v>66</v>
      </c>
      <c r="H253" s="106" t="s">
        <v>249</v>
      </c>
      <c r="I253" s="106">
        <v>201</v>
      </c>
      <c r="J253" s="106">
        <v>205</v>
      </c>
      <c r="K253" s="106" t="s">
        <v>1408</v>
      </c>
      <c r="L253" s="106" t="s">
        <v>1258</v>
      </c>
      <c r="M253" s="106" t="s">
        <v>358</v>
      </c>
      <c r="N253" s="106">
        <v>18</v>
      </c>
      <c r="O253" s="106">
        <v>12</v>
      </c>
      <c r="T253" s="106" t="s">
        <v>1766</v>
      </c>
      <c r="V253" s="106">
        <v>751819.26086951199</v>
      </c>
      <c r="W253" s="106">
        <v>1</v>
      </c>
      <c r="X253" s="106">
        <v>1</v>
      </c>
      <c r="Y253" s="106">
        <v>1</v>
      </c>
      <c r="Z253" s="106">
        <v>1</v>
      </c>
      <c r="AA253" s="106">
        <v>190000</v>
      </c>
      <c r="AB253" s="106">
        <v>190000</v>
      </c>
      <c r="AC253" s="106">
        <v>190000</v>
      </c>
      <c r="AD253" s="106">
        <v>190000</v>
      </c>
      <c r="AE253" s="106">
        <v>760000</v>
      </c>
      <c r="AF253" s="106">
        <v>760000</v>
      </c>
      <c r="AH253" s="106">
        <v>12960</v>
      </c>
      <c r="AI253" s="106">
        <v>0.03</v>
      </c>
      <c r="AJ253" s="106">
        <v>5</v>
      </c>
      <c r="AK253" s="106">
        <v>129.6</v>
      </c>
      <c r="AL253" s="106">
        <v>648</v>
      </c>
      <c r="AM253" s="106">
        <v>11634</v>
      </c>
      <c r="AN253" s="106">
        <v>11634</v>
      </c>
      <c r="AO253" s="106">
        <v>4273</v>
      </c>
      <c r="AP253" s="106" t="s">
        <v>114</v>
      </c>
      <c r="AQ253" s="106" t="s">
        <v>295</v>
      </c>
      <c r="AR253" s="106">
        <v>3000</v>
      </c>
      <c r="AS253" s="106">
        <v>5.5E-2</v>
      </c>
      <c r="AT253" s="106">
        <v>5.5E-2</v>
      </c>
      <c r="AU253" s="108" t="s">
        <v>161</v>
      </c>
      <c r="AV253" s="108" t="s">
        <v>346</v>
      </c>
      <c r="AW253" s="108">
        <v>3014</v>
      </c>
      <c r="AX253" s="108">
        <v>550</v>
      </c>
      <c r="AY253" s="108">
        <v>550</v>
      </c>
      <c r="BD253" s="106">
        <v>0</v>
      </c>
      <c r="BY253" s="112" t="s">
        <v>1766</v>
      </c>
      <c r="BZ253" s="112" t="s">
        <v>1766</v>
      </c>
      <c r="CA253" s="112" t="s">
        <v>1766</v>
      </c>
      <c r="CB253" s="112" t="s">
        <v>1766</v>
      </c>
      <c r="CC253" s="112" t="s">
        <v>1766</v>
      </c>
      <c r="CD253" s="112" t="s">
        <v>1766</v>
      </c>
      <c r="CE253" s="112" t="s">
        <v>1766</v>
      </c>
      <c r="CF253" s="112" t="s">
        <v>1766</v>
      </c>
      <c r="CG253" s="112" t="s">
        <v>1766</v>
      </c>
      <c r="CH253" s="112" t="s">
        <v>1766</v>
      </c>
      <c r="CI253" s="112" t="s">
        <v>1766</v>
      </c>
      <c r="CJ253" s="112" t="s">
        <v>1766</v>
      </c>
      <c r="CK253" s="112" t="s">
        <v>1766</v>
      </c>
      <c r="CL253" s="112" t="s">
        <v>1766</v>
      </c>
      <c r="CM253" s="112" t="s">
        <v>1766</v>
      </c>
      <c r="CN253" s="112" t="s">
        <v>1766</v>
      </c>
      <c r="CO253" s="112" t="s">
        <v>1766</v>
      </c>
    </row>
    <row r="254" spans="1:93">
      <c r="A254" s="106" t="s">
        <v>344</v>
      </c>
      <c r="B254" s="106">
        <v>13</v>
      </c>
      <c r="C254" s="106">
        <v>2</v>
      </c>
      <c r="D254" s="106">
        <v>4</v>
      </c>
      <c r="E254" s="106">
        <v>1</v>
      </c>
      <c r="F254" s="106">
        <v>1</v>
      </c>
      <c r="G254" s="106" t="s">
        <v>66</v>
      </c>
      <c r="H254" s="106" t="s">
        <v>249</v>
      </c>
      <c r="I254" s="106">
        <v>201</v>
      </c>
      <c r="J254" s="106">
        <v>205</v>
      </c>
      <c r="K254" s="106" t="s">
        <v>1408</v>
      </c>
      <c r="L254" s="106" t="s">
        <v>1262</v>
      </c>
      <c r="M254" s="106" t="s">
        <v>359</v>
      </c>
      <c r="N254" s="106">
        <v>18</v>
      </c>
      <c r="O254" s="106">
        <v>13</v>
      </c>
      <c r="T254" s="106" t="s">
        <v>1766</v>
      </c>
      <c r="V254" s="106">
        <v>1029992.38739123</v>
      </c>
      <c r="W254" s="106">
        <v>1</v>
      </c>
      <c r="X254" s="106">
        <v>1</v>
      </c>
      <c r="Y254" s="106">
        <v>1</v>
      </c>
      <c r="Z254" s="106">
        <v>1</v>
      </c>
      <c r="AA254" s="106">
        <v>260000</v>
      </c>
      <c r="AB254" s="106">
        <v>260000</v>
      </c>
      <c r="AC254" s="106">
        <v>260000</v>
      </c>
      <c r="AD254" s="106">
        <v>260000</v>
      </c>
      <c r="AE254" s="106">
        <v>1040000</v>
      </c>
      <c r="AF254" s="106">
        <v>1040000</v>
      </c>
      <c r="AH254" s="106">
        <v>17280</v>
      </c>
      <c r="AI254" s="106">
        <v>0.04</v>
      </c>
      <c r="AJ254" s="106">
        <v>6</v>
      </c>
      <c r="AK254" s="106">
        <v>172.8</v>
      </c>
      <c r="AL254" s="106">
        <v>1036.8</v>
      </c>
      <c r="AM254" s="106">
        <v>15278</v>
      </c>
      <c r="AN254" s="106">
        <v>15278</v>
      </c>
      <c r="AO254" s="106">
        <v>6333</v>
      </c>
      <c r="AP254" s="106" t="s">
        <v>114</v>
      </c>
      <c r="AQ254" s="106" t="s">
        <v>295</v>
      </c>
      <c r="AR254" s="106">
        <v>3000</v>
      </c>
      <c r="AS254" s="106">
        <v>0.06</v>
      </c>
      <c r="AT254" s="106">
        <v>0.06</v>
      </c>
      <c r="AU254" s="108" t="s">
        <v>161</v>
      </c>
      <c r="AV254" s="108" t="s">
        <v>346</v>
      </c>
      <c r="AW254" s="108">
        <v>3014</v>
      </c>
      <c r="AX254" s="108">
        <v>600</v>
      </c>
      <c r="AY254" s="108">
        <v>600</v>
      </c>
      <c r="BD254" s="106">
        <v>0</v>
      </c>
      <c r="BY254" s="112" t="s">
        <v>1766</v>
      </c>
      <c r="BZ254" s="112" t="s">
        <v>1766</v>
      </c>
      <c r="CA254" s="112" t="s">
        <v>1766</v>
      </c>
      <c r="CB254" s="112" t="s">
        <v>1766</v>
      </c>
      <c r="CC254" s="112" t="s">
        <v>1766</v>
      </c>
      <c r="CD254" s="112" t="s">
        <v>1766</v>
      </c>
      <c r="CE254" s="112" t="s">
        <v>1766</v>
      </c>
      <c r="CF254" s="112" t="s">
        <v>1766</v>
      </c>
      <c r="CG254" s="112" t="s">
        <v>1766</v>
      </c>
      <c r="CH254" s="112" t="s">
        <v>1766</v>
      </c>
      <c r="CI254" s="112" t="s">
        <v>1766</v>
      </c>
      <c r="CJ254" s="112" t="s">
        <v>1766</v>
      </c>
      <c r="CK254" s="112" t="s">
        <v>1766</v>
      </c>
      <c r="CL254" s="112" t="s">
        <v>1766</v>
      </c>
      <c r="CM254" s="112" t="s">
        <v>1766</v>
      </c>
      <c r="CN254" s="112" t="s">
        <v>1766</v>
      </c>
      <c r="CO254" s="112" t="s">
        <v>1766</v>
      </c>
    </row>
    <row r="255" spans="1:93">
      <c r="A255" s="106" t="s">
        <v>344</v>
      </c>
      <c r="B255" s="106">
        <v>14</v>
      </c>
      <c r="C255" s="106">
        <v>2</v>
      </c>
      <c r="D255" s="106">
        <v>4</v>
      </c>
      <c r="E255" s="106">
        <v>1</v>
      </c>
      <c r="F255" s="106">
        <v>1</v>
      </c>
      <c r="G255" s="106" t="s">
        <v>66</v>
      </c>
      <c r="H255" s="106" t="s">
        <v>249</v>
      </c>
      <c r="I255" s="106">
        <v>201</v>
      </c>
      <c r="J255" s="106">
        <v>205</v>
      </c>
      <c r="K255" s="106" t="s">
        <v>1408</v>
      </c>
      <c r="L255" s="106" t="s">
        <v>1265</v>
      </c>
      <c r="M255" s="106" t="s">
        <v>360</v>
      </c>
      <c r="N255" s="106">
        <v>18</v>
      </c>
      <c r="O255" s="106">
        <v>14</v>
      </c>
      <c r="T255" s="106" t="s">
        <v>1766</v>
      </c>
      <c r="V255" s="106">
        <v>1338990.1036086001</v>
      </c>
      <c r="W255" s="106">
        <v>1</v>
      </c>
      <c r="X255" s="106">
        <v>1</v>
      </c>
      <c r="Y255" s="106">
        <v>1</v>
      </c>
      <c r="Z255" s="106">
        <v>1</v>
      </c>
      <c r="AA255" s="106">
        <v>330000</v>
      </c>
      <c r="AB255" s="106">
        <v>330000</v>
      </c>
      <c r="AC255" s="106">
        <v>330000</v>
      </c>
      <c r="AD255" s="106">
        <v>330000</v>
      </c>
      <c r="AE255" s="106">
        <v>1320000</v>
      </c>
      <c r="AF255" s="106">
        <v>1320000</v>
      </c>
      <c r="AH255" s="106">
        <v>21600</v>
      </c>
      <c r="AI255" s="106">
        <v>0.05</v>
      </c>
      <c r="AJ255" s="106">
        <v>6</v>
      </c>
      <c r="AK255" s="106">
        <v>216</v>
      </c>
      <c r="AL255" s="106">
        <v>1296</v>
      </c>
      <c r="AM255" s="106">
        <v>18975</v>
      </c>
      <c r="AN255" s="106">
        <v>18975</v>
      </c>
      <c r="AO255" s="106">
        <v>9011</v>
      </c>
      <c r="AP255" s="106" t="s">
        <v>114</v>
      </c>
      <c r="AQ255" s="106" t="s">
        <v>295</v>
      </c>
      <c r="AR255" s="106">
        <v>3000</v>
      </c>
      <c r="AS255" s="106">
        <v>6.5000000000000002E-2</v>
      </c>
      <c r="AT255" s="106">
        <v>6.5000000000000002E-2</v>
      </c>
      <c r="AU255" s="108" t="s">
        <v>161</v>
      </c>
      <c r="AV255" s="108" t="s">
        <v>346</v>
      </c>
      <c r="AW255" s="108">
        <v>3014</v>
      </c>
      <c r="AX255" s="108">
        <v>650</v>
      </c>
      <c r="AY255" s="108">
        <v>650</v>
      </c>
      <c r="BD255" s="106">
        <v>0</v>
      </c>
      <c r="BY255" s="112" t="s">
        <v>1766</v>
      </c>
      <c r="BZ255" s="112" t="s">
        <v>1766</v>
      </c>
      <c r="CA255" s="112" t="s">
        <v>1766</v>
      </c>
      <c r="CB255" s="112" t="s">
        <v>1766</v>
      </c>
      <c r="CC255" s="112" t="s">
        <v>1766</v>
      </c>
      <c r="CD255" s="112" t="s">
        <v>1766</v>
      </c>
      <c r="CE255" s="112" t="s">
        <v>1766</v>
      </c>
      <c r="CF255" s="112" t="s">
        <v>1766</v>
      </c>
      <c r="CG255" s="112" t="s">
        <v>1766</v>
      </c>
      <c r="CH255" s="112" t="s">
        <v>1766</v>
      </c>
      <c r="CI255" s="112" t="s">
        <v>1766</v>
      </c>
      <c r="CJ255" s="112" t="s">
        <v>1766</v>
      </c>
      <c r="CK255" s="112" t="s">
        <v>1766</v>
      </c>
      <c r="CL255" s="112" t="s">
        <v>1766</v>
      </c>
      <c r="CM255" s="112" t="s">
        <v>1766</v>
      </c>
      <c r="CN255" s="112" t="s">
        <v>1766</v>
      </c>
      <c r="CO255" s="112" t="s">
        <v>1766</v>
      </c>
    </row>
    <row r="256" spans="1:93">
      <c r="A256" s="106" t="s">
        <v>344</v>
      </c>
      <c r="B256" s="106">
        <v>15</v>
      </c>
      <c r="C256" s="106">
        <v>2</v>
      </c>
      <c r="D256" s="106">
        <v>4</v>
      </c>
      <c r="E256" s="106">
        <v>1</v>
      </c>
      <c r="F256" s="106">
        <v>1</v>
      </c>
      <c r="G256" s="106" t="s">
        <v>66</v>
      </c>
      <c r="H256" s="106" t="s">
        <v>249</v>
      </c>
      <c r="I256" s="106">
        <v>201</v>
      </c>
      <c r="J256" s="106">
        <v>205</v>
      </c>
      <c r="K256" s="106" t="s">
        <v>1408</v>
      </c>
      <c r="L256" s="106" t="s">
        <v>1269</v>
      </c>
      <c r="M256" s="106" t="s">
        <v>361</v>
      </c>
      <c r="N256" s="106">
        <v>18</v>
      </c>
      <c r="O256" s="106">
        <v>15</v>
      </c>
      <c r="T256" s="106" t="s">
        <v>1766</v>
      </c>
      <c r="V256" s="106">
        <v>1713907.33261901</v>
      </c>
      <c r="W256" s="106">
        <v>1</v>
      </c>
      <c r="X256" s="106">
        <v>1</v>
      </c>
      <c r="Y256" s="106">
        <v>1</v>
      </c>
      <c r="Z256" s="106">
        <v>1</v>
      </c>
      <c r="AA256" s="106">
        <v>430000</v>
      </c>
      <c r="AB256" s="106">
        <v>430000</v>
      </c>
      <c r="AC256" s="106">
        <v>430000</v>
      </c>
      <c r="AD256" s="106">
        <v>430000</v>
      </c>
      <c r="AE256" s="106">
        <v>1720000</v>
      </c>
      <c r="AF256" s="106">
        <v>1720000</v>
      </c>
      <c r="AH256" s="106">
        <v>25920</v>
      </c>
      <c r="AI256" s="106">
        <v>0.05</v>
      </c>
      <c r="AJ256" s="106">
        <v>7</v>
      </c>
      <c r="AK256" s="106">
        <v>259.2</v>
      </c>
      <c r="AL256" s="106">
        <v>1814.4</v>
      </c>
      <c r="AM256" s="106">
        <v>22571</v>
      </c>
      <c r="AN256" s="106">
        <v>22571</v>
      </c>
      <c r="AO256" s="106">
        <v>12439</v>
      </c>
      <c r="AP256" s="106" t="s">
        <v>114</v>
      </c>
      <c r="AQ256" s="106" t="s">
        <v>295</v>
      </c>
      <c r="AR256" s="106">
        <v>3000</v>
      </c>
      <c r="AS256" s="106">
        <v>7.0000000000000007E-2</v>
      </c>
      <c r="AT256" s="106">
        <v>7.0000000000000007E-2</v>
      </c>
      <c r="AU256" s="108" t="s">
        <v>161</v>
      </c>
      <c r="AV256" s="108" t="s">
        <v>346</v>
      </c>
      <c r="AW256" s="108">
        <v>3014</v>
      </c>
      <c r="AX256" s="108">
        <v>700</v>
      </c>
      <c r="AY256" s="108">
        <v>700</v>
      </c>
      <c r="BD256" s="106">
        <v>0</v>
      </c>
      <c r="BY256" s="112" t="s">
        <v>1766</v>
      </c>
      <c r="BZ256" s="112" t="s">
        <v>1766</v>
      </c>
      <c r="CA256" s="112" t="s">
        <v>1766</v>
      </c>
      <c r="CB256" s="112" t="s">
        <v>1766</v>
      </c>
      <c r="CC256" s="112" t="s">
        <v>1766</v>
      </c>
      <c r="CD256" s="112" t="s">
        <v>1766</v>
      </c>
      <c r="CE256" s="112" t="s">
        <v>1766</v>
      </c>
      <c r="CF256" s="112" t="s">
        <v>1766</v>
      </c>
      <c r="CG256" s="112" t="s">
        <v>1766</v>
      </c>
      <c r="CH256" s="112" t="s">
        <v>1766</v>
      </c>
      <c r="CI256" s="112" t="s">
        <v>1766</v>
      </c>
      <c r="CJ256" s="112" t="s">
        <v>1766</v>
      </c>
      <c r="CK256" s="112" t="s">
        <v>1766</v>
      </c>
      <c r="CL256" s="112" t="s">
        <v>1766</v>
      </c>
      <c r="CM256" s="112" t="s">
        <v>1766</v>
      </c>
      <c r="CN256" s="112" t="s">
        <v>1766</v>
      </c>
      <c r="CO256" s="112" t="s">
        <v>1766</v>
      </c>
    </row>
    <row r="257" spans="1:93">
      <c r="A257" s="106" t="s">
        <v>344</v>
      </c>
      <c r="B257" s="106">
        <v>16</v>
      </c>
      <c r="C257" s="106">
        <v>2</v>
      </c>
      <c r="D257" s="106">
        <v>4</v>
      </c>
      <c r="E257" s="106">
        <v>1</v>
      </c>
      <c r="F257" s="106">
        <v>1</v>
      </c>
      <c r="G257" s="106" t="s">
        <v>66</v>
      </c>
      <c r="H257" s="106" t="s">
        <v>249</v>
      </c>
      <c r="I257" s="106">
        <v>201</v>
      </c>
      <c r="J257" s="106">
        <v>205</v>
      </c>
      <c r="K257" s="106" t="s">
        <v>1408</v>
      </c>
      <c r="L257" s="106" t="s">
        <v>1272</v>
      </c>
      <c r="M257" s="106" t="s">
        <v>362</v>
      </c>
      <c r="N257" s="106">
        <v>18</v>
      </c>
      <c r="O257" s="106">
        <v>16</v>
      </c>
      <c r="T257" s="106" t="s">
        <v>1766</v>
      </c>
      <c r="V257" s="106">
        <v>2193801.3857523301</v>
      </c>
      <c r="W257" s="106">
        <v>1</v>
      </c>
      <c r="X257" s="106">
        <v>1</v>
      </c>
      <c r="Y257" s="106">
        <v>1</v>
      </c>
      <c r="Z257" s="106">
        <v>1</v>
      </c>
      <c r="AA257" s="106">
        <v>550000</v>
      </c>
      <c r="AB257" s="106">
        <v>550000</v>
      </c>
      <c r="AC257" s="106">
        <v>550000</v>
      </c>
      <c r="AD257" s="106">
        <v>550000</v>
      </c>
      <c r="AE257" s="106">
        <v>2200000</v>
      </c>
      <c r="AF257" s="106">
        <v>2200000</v>
      </c>
      <c r="AH257" s="106">
        <v>32400</v>
      </c>
      <c r="AI257" s="106">
        <v>0.05</v>
      </c>
      <c r="AJ257" s="106">
        <v>7</v>
      </c>
      <c r="AK257" s="106">
        <v>324</v>
      </c>
      <c r="AL257" s="106">
        <v>2268</v>
      </c>
      <c r="AM257" s="106">
        <v>28289</v>
      </c>
      <c r="AN257" s="106">
        <v>28289</v>
      </c>
      <c r="AO257" s="106">
        <v>16827</v>
      </c>
      <c r="AP257" s="106" t="s">
        <v>114</v>
      </c>
      <c r="AQ257" s="106" t="s">
        <v>295</v>
      </c>
      <c r="AR257" s="106">
        <v>3000</v>
      </c>
      <c r="AS257" s="106">
        <v>7.4999999999999997E-2</v>
      </c>
      <c r="AT257" s="106">
        <v>7.4999999999999997E-2</v>
      </c>
      <c r="AU257" s="108" t="s">
        <v>161</v>
      </c>
      <c r="AV257" s="108" t="s">
        <v>346</v>
      </c>
      <c r="AW257" s="108">
        <v>3014</v>
      </c>
      <c r="AX257" s="108">
        <v>750</v>
      </c>
      <c r="AY257" s="108">
        <v>750</v>
      </c>
      <c r="BD257" s="106">
        <v>0</v>
      </c>
      <c r="BY257" s="112" t="s">
        <v>1766</v>
      </c>
      <c r="BZ257" s="112" t="s">
        <v>1766</v>
      </c>
      <c r="CA257" s="112" t="s">
        <v>1766</v>
      </c>
      <c r="CB257" s="112" t="s">
        <v>1766</v>
      </c>
      <c r="CC257" s="112" t="s">
        <v>1766</v>
      </c>
      <c r="CD257" s="112" t="s">
        <v>1766</v>
      </c>
      <c r="CE257" s="112" t="s">
        <v>1766</v>
      </c>
      <c r="CF257" s="112" t="s">
        <v>1766</v>
      </c>
      <c r="CG257" s="112" t="s">
        <v>1766</v>
      </c>
      <c r="CH257" s="112" t="s">
        <v>1766</v>
      </c>
      <c r="CI257" s="112" t="s">
        <v>1766</v>
      </c>
      <c r="CJ257" s="112" t="s">
        <v>1766</v>
      </c>
      <c r="CK257" s="112" t="s">
        <v>1766</v>
      </c>
      <c r="CL257" s="112" t="s">
        <v>1766</v>
      </c>
      <c r="CM257" s="112" t="s">
        <v>1766</v>
      </c>
      <c r="CN257" s="112" t="s">
        <v>1766</v>
      </c>
      <c r="CO257" s="112" t="s">
        <v>1766</v>
      </c>
    </row>
    <row r="258" spans="1:93">
      <c r="A258" s="106" t="s">
        <v>344</v>
      </c>
      <c r="B258" s="106">
        <v>17</v>
      </c>
      <c r="C258" s="106">
        <v>2</v>
      </c>
      <c r="D258" s="106">
        <v>4</v>
      </c>
      <c r="E258" s="106">
        <v>1</v>
      </c>
      <c r="F258" s="106">
        <v>1</v>
      </c>
      <c r="G258" s="106" t="s">
        <v>66</v>
      </c>
      <c r="H258" s="106" t="s">
        <v>249</v>
      </c>
      <c r="I258" s="106">
        <v>201</v>
      </c>
      <c r="J258" s="106">
        <v>205</v>
      </c>
      <c r="K258" s="106" t="s">
        <v>1408</v>
      </c>
      <c r="L258" s="106" t="s">
        <v>1278</v>
      </c>
      <c r="M258" s="106" t="s">
        <v>365</v>
      </c>
      <c r="N258" s="106">
        <v>18</v>
      </c>
      <c r="O258" s="106">
        <v>17</v>
      </c>
      <c r="T258" s="106" t="s">
        <v>1766</v>
      </c>
      <c r="V258" s="106">
        <v>2808065.7737629898</v>
      </c>
      <c r="W258" s="106">
        <v>1</v>
      </c>
      <c r="X258" s="106">
        <v>1</v>
      </c>
      <c r="Y258" s="106">
        <v>1</v>
      </c>
      <c r="Z258" s="106">
        <v>1</v>
      </c>
      <c r="AA258" s="106">
        <v>700000</v>
      </c>
      <c r="AB258" s="106">
        <v>700000</v>
      </c>
      <c r="AC258" s="106">
        <v>700000</v>
      </c>
      <c r="AD258" s="106">
        <v>700000</v>
      </c>
      <c r="AE258" s="106">
        <v>2800000</v>
      </c>
      <c r="AF258" s="106">
        <v>2800000</v>
      </c>
      <c r="AH258" s="106">
        <v>43200</v>
      </c>
      <c r="AI258" s="106">
        <v>0.05</v>
      </c>
      <c r="AJ258" s="106">
        <v>8</v>
      </c>
      <c r="AK258" s="106">
        <v>432</v>
      </c>
      <c r="AL258" s="106">
        <v>3456</v>
      </c>
      <c r="AM258" s="106">
        <v>37386</v>
      </c>
      <c r="AN258" s="106">
        <v>37386</v>
      </c>
      <c r="AO258" s="106">
        <v>22443</v>
      </c>
      <c r="AP258" s="106" t="s">
        <v>114</v>
      </c>
      <c r="AQ258" s="106" t="s">
        <v>295</v>
      </c>
      <c r="AR258" s="106">
        <v>3000</v>
      </c>
      <c r="AS258" s="106">
        <v>0.08</v>
      </c>
      <c r="AT258" s="106">
        <v>0.08</v>
      </c>
      <c r="AU258" s="108" t="s">
        <v>161</v>
      </c>
      <c r="AV258" s="108" t="s">
        <v>346</v>
      </c>
      <c r="AW258" s="108">
        <v>3014</v>
      </c>
      <c r="AX258" s="108">
        <v>800</v>
      </c>
      <c r="AY258" s="108">
        <v>800</v>
      </c>
      <c r="BD258" s="106">
        <v>0</v>
      </c>
      <c r="BY258" s="112" t="s">
        <v>1766</v>
      </c>
      <c r="BZ258" s="112" t="s">
        <v>1766</v>
      </c>
      <c r="CA258" s="112" t="s">
        <v>1766</v>
      </c>
      <c r="CB258" s="112" t="s">
        <v>1766</v>
      </c>
      <c r="CC258" s="112" t="s">
        <v>1766</v>
      </c>
      <c r="CD258" s="112" t="s">
        <v>1766</v>
      </c>
      <c r="CE258" s="112" t="s">
        <v>1766</v>
      </c>
      <c r="CF258" s="112" t="s">
        <v>1766</v>
      </c>
      <c r="CG258" s="112" t="s">
        <v>1766</v>
      </c>
      <c r="CH258" s="112" t="s">
        <v>1766</v>
      </c>
      <c r="CI258" s="112" t="s">
        <v>1766</v>
      </c>
      <c r="CJ258" s="112" t="s">
        <v>1766</v>
      </c>
      <c r="CK258" s="112" t="s">
        <v>1766</v>
      </c>
      <c r="CL258" s="112" t="s">
        <v>1766</v>
      </c>
      <c r="CM258" s="112" t="s">
        <v>1766</v>
      </c>
      <c r="CN258" s="112" t="s">
        <v>1766</v>
      </c>
      <c r="CO258" s="112" t="s">
        <v>1766</v>
      </c>
    </row>
    <row r="259" spans="1:93">
      <c r="A259" s="106" t="s">
        <v>344</v>
      </c>
      <c r="B259" s="106">
        <v>18</v>
      </c>
      <c r="C259" s="106">
        <v>2</v>
      </c>
      <c r="D259" s="106">
        <v>4</v>
      </c>
      <c r="E259" s="106">
        <v>1</v>
      </c>
      <c r="F259" s="106">
        <v>1</v>
      </c>
      <c r="G259" s="106" t="s">
        <v>66</v>
      </c>
      <c r="H259" s="106" t="s">
        <v>249</v>
      </c>
      <c r="I259" s="106">
        <v>201</v>
      </c>
      <c r="J259" s="106">
        <v>205</v>
      </c>
      <c r="K259" s="106" t="s">
        <v>1408</v>
      </c>
      <c r="L259" s="106" t="s">
        <v>1281</v>
      </c>
      <c r="M259" s="106" t="s">
        <v>366</v>
      </c>
      <c r="O259" s="106">
        <v>18</v>
      </c>
      <c r="T259" s="106" t="s">
        <v>1766</v>
      </c>
      <c r="V259" s="106">
        <v>3594324.1904166201</v>
      </c>
      <c r="W259" s="106">
        <v>1</v>
      </c>
      <c r="X259" s="106">
        <v>1</v>
      </c>
      <c r="Y259" s="106">
        <v>1</v>
      </c>
      <c r="Z259" s="106">
        <v>1</v>
      </c>
      <c r="AA259" s="106">
        <v>900000</v>
      </c>
      <c r="AB259" s="106">
        <v>900000</v>
      </c>
      <c r="AC259" s="106">
        <v>900000</v>
      </c>
      <c r="AD259" s="106">
        <v>900000</v>
      </c>
      <c r="AE259" s="106">
        <v>3600000</v>
      </c>
      <c r="AF259" s="106">
        <v>3600000</v>
      </c>
      <c r="AH259" s="106">
        <v>56160</v>
      </c>
      <c r="AI259" s="106">
        <v>6.5000000000000002E-2</v>
      </c>
      <c r="AJ259" s="106">
        <v>8</v>
      </c>
      <c r="AK259" s="106">
        <v>561.6</v>
      </c>
      <c r="AL259" s="106">
        <v>4492.8</v>
      </c>
      <c r="AM259" s="106">
        <v>47939</v>
      </c>
      <c r="AN259" s="106">
        <v>47939</v>
      </c>
      <c r="AO259" s="106">
        <v>29632</v>
      </c>
      <c r="AP259" s="106" t="s">
        <v>114</v>
      </c>
      <c r="AQ259" s="106" t="s">
        <v>295</v>
      </c>
      <c r="AR259" s="106">
        <v>3000</v>
      </c>
      <c r="AS259" s="106">
        <v>8.5000000000000006E-2</v>
      </c>
      <c r="AT259" s="106">
        <v>8.5000000000000006E-2</v>
      </c>
      <c r="AU259" s="108" t="s">
        <v>161</v>
      </c>
      <c r="AV259" s="108" t="s">
        <v>346</v>
      </c>
      <c r="AW259" s="108">
        <v>3014</v>
      </c>
      <c r="AX259" s="108">
        <v>850</v>
      </c>
      <c r="AY259" s="108">
        <v>850</v>
      </c>
      <c r="BD259" s="106">
        <v>0</v>
      </c>
      <c r="BY259" s="112" t="s">
        <v>1766</v>
      </c>
      <c r="BZ259" s="112" t="s">
        <v>1766</v>
      </c>
      <c r="CA259" s="112" t="s">
        <v>1766</v>
      </c>
      <c r="CB259" s="112" t="s">
        <v>1766</v>
      </c>
      <c r="CC259" s="112" t="s">
        <v>1766</v>
      </c>
      <c r="CD259" s="112" t="s">
        <v>1766</v>
      </c>
      <c r="CE259" s="112" t="s">
        <v>1766</v>
      </c>
      <c r="CF259" s="112" t="s">
        <v>1766</v>
      </c>
      <c r="CG259" s="112" t="s">
        <v>1766</v>
      </c>
      <c r="CH259" s="112" t="s">
        <v>1766</v>
      </c>
      <c r="CI259" s="112" t="s">
        <v>1766</v>
      </c>
      <c r="CJ259" s="112" t="s">
        <v>1766</v>
      </c>
      <c r="CK259" s="112" t="s">
        <v>1766</v>
      </c>
      <c r="CL259" s="112" t="s">
        <v>1766</v>
      </c>
      <c r="CM259" s="112" t="s">
        <v>1766</v>
      </c>
      <c r="CN259" s="112" t="s">
        <v>1766</v>
      </c>
      <c r="CO259" s="112" t="s">
        <v>1766</v>
      </c>
    </row>
    <row r="260" spans="1:93">
      <c r="A260" s="106" t="s">
        <v>344</v>
      </c>
      <c r="B260" s="106">
        <v>19</v>
      </c>
      <c r="C260" s="106">
        <v>2</v>
      </c>
      <c r="D260" s="106">
        <v>4</v>
      </c>
      <c r="E260" s="106">
        <v>1</v>
      </c>
      <c r="F260" s="106">
        <v>1</v>
      </c>
      <c r="G260" s="106" t="s">
        <v>66</v>
      </c>
      <c r="H260" s="106" t="s">
        <v>249</v>
      </c>
      <c r="I260" s="106">
        <v>201</v>
      </c>
      <c r="J260" s="106">
        <v>205</v>
      </c>
      <c r="K260" s="106" t="s">
        <v>1408</v>
      </c>
      <c r="L260" s="106" t="s">
        <v>1283</v>
      </c>
      <c r="M260" s="106" t="s">
        <v>367</v>
      </c>
      <c r="O260" s="106">
        <v>19</v>
      </c>
      <c r="T260" s="106" t="s">
        <v>1766</v>
      </c>
      <c r="V260" s="106">
        <v>4600734.9637332801</v>
      </c>
      <c r="W260" s="106">
        <v>1</v>
      </c>
      <c r="X260" s="106">
        <v>1</v>
      </c>
      <c r="Y260" s="106">
        <v>1</v>
      </c>
      <c r="Z260" s="106">
        <v>1</v>
      </c>
      <c r="AA260" s="106">
        <v>1200000</v>
      </c>
      <c r="AB260" s="106">
        <v>1200000</v>
      </c>
      <c r="AC260" s="106">
        <v>1200000</v>
      </c>
      <c r="AD260" s="106">
        <v>1200000</v>
      </c>
      <c r="AE260" s="106">
        <v>4800000</v>
      </c>
      <c r="AF260" s="106">
        <v>4800000</v>
      </c>
      <c r="AH260" s="106">
        <v>73440</v>
      </c>
      <c r="AI260" s="106">
        <v>0.08</v>
      </c>
      <c r="AJ260" s="106">
        <v>9</v>
      </c>
      <c r="AK260" s="106">
        <v>734.4</v>
      </c>
      <c r="AL260" s="106">
        <v>6609.6</v>
      </c>
      <c r="AM260" s="106">
        <v>61090</v>
      </c>
      <c r="AN260" s="106">
        <v>61090</v>
      </c>
      <c r="AO260" s="106">
        <v>38833</v>
      </c>
      <c r="AP260" s="106" t="s">
        <v>114</v>
      </c>
      <c r="AQ260" s="106" t="s">
        <v>295</v>
      </c>
      <c r="AR260" s="106">
        <v>3000</v>
      </c>
      <c r="AS260" s="106">
        <v>0.09</v>
      </c>
      <c r="AT260" s="106">
        <v>0.09</v>
      </c>
      <c r="AU260" s="108" t="s">
        <v>161</v>
      </c>
      <c r="AV260" s="108" t="s">
        <v>346</v>
      </c>
      <c r="AW260" s="108">
        <v>3014</v>
      </c>
      <c r="AX260" s="108">
        <v>900</v>
      </c>
      <c r="AY260" s="108">
        <v>900</v>
      </c>
      <c r="BD260" s="106">
        <v>0</v>
      </c>
      <c r="BY260" s="112" t="s">
        <v>1766</v>
      </c>
      <c r="BZ260" s="112" t="s">
        <v>1766</v>
      </c>
      <c r="CA260" s="112" t="s">
        <v>1766</v>
      </c>
      <c r="CB260" s="112" t="s">
        <v>1766</v>
      </c>
      <c r="CC260" s="112" t="s">
        <v>1766</v>
      </c>
      <c r="CD260" s="112" t="s">
        <v>1766</v>
      </c>
      <c r="CE260" s="112" t="s">
        <v>1766</v>
      </c>
      <c r="CF260" s="112" t="s">
        <v>1766</v>
      </c>
      <c r="CG260" s="112" t="s">
        <v>1766</v>
      </c>
      <c r="CH260" s="112" t="s">
        <v>1766</v>
      </c>
      <c r="CI260" s="112" t="s">
        <v>1766</v>
      </c>
      <c r="CJ260" s="112" t="s">
        <v>1766</v>
      </c>
      <c r="CK260" s="112" t="s">
        <v>1766</v>
      </c>
      <c r="CL260" s="112" t="s">
        <v>1766</v>
      </c>
      <c r="CM260" s="112" t="s">
        <v>1766</v>
      </c>
      <c r="CN260" s="112" t="s">
        <v>1766</v>
      </c>
      <c r="CO260" s="112" t="s">
        <v>1766</v>
      </c>
    </row>
    <row r="261" spans="1:93">
      <c r="A261" s="106" t="s">
        <v>344</v>
      </c>
      <c r="B261" s="106">
        <v>20</v>
      </c>
      <c r="C261" s="106">
        <v>2</v>
      </c>
      <c r="D261" s="106">
        <v>4</v>
      </c>
      <c r="E261" s="106">
        <v>1</v>
      </c>
      <c r="F261" s="106">
        <v>1</v>
      </c>
      <c r="G261" s="106" t="s">
        <v>66</v>
      </c>
      <c r="H261" s="106" t="s">
        <v>249</v>
      </c>
      <c r="I261" s="106">
        <v>201</v>
      </c>
      <c r="J261" s="106">
        <v>205</v>
      </c>
      <c r="K261" s="106" t="s">
        <v>1408</v>
      </c>
      <c r="L261" s="106" t="s">
        <v>1287</v>
      </c>
      <c r="M261" s="106" t="s">
        <v>368</v>
      </c>
      <c r="O261" s="106">
        <v>20</v>
      </c>
      <c r="T261" s="106" t="s">
        <v>1766</v>
      </c>
      <c r="V261" s="106">
        <v>5888940.7535785902</v>
      </c>
      <c r="W261" s="106">
        <v>1</v>
      </c>
      <c r="X261" s="106">
        <v>1</v>
      </c>
      <c r="Y261" s="106">
        <v>1</v>
      </c>
      <c r="Z261" s="106">
        <v>1</v>
      </c>
      <c r="AA261" s="106">
        <v>1500000</v>
      </c>
      <c r="AB261" s="106">
        <v>1500000</v>
      </c>
      <c r="AC261" s="106">
        <v>1500000</v>
      </c>
      <c r="AD261" s="106">
        <v>1500000</v>
      </c>
      <c r="AE261" s="106">
        <v>6000000</v>
      </c>
      <c r="AF261" s="106">
        <v>6000000</v>
      </c>
      <c r="AH261" s="106">
        <v>103680</v>
      </c>
      <c r="AI261" s="106">
        <v>9.5000000000000001E-2</v>
      </c>
      <c r="AJ261" s="106">
        <v>9</v>
      </c>
      <c r="AK261" s="106">
        <v>1036.8</v>
      </c>
      <c r="AL261" s="106">
        <v>9331.2000000000007</v>
      </c>
      <c r="AM261" s="106">
        <v>85053</v>
      </c>
      <c r="AN261" s="106">
        <v>85053</v>
      </c>
      <c r="AO261" s="106">
        <v>50611</v>
      </c>
      <c r="AP261" s="106" t="s">
        <v>114</v>
      </c>
      <c r="AQ261" s="106" t="s">
        <v>295</v>
      </c>
      <c r="AR261" s="106">
        <v>3000</v>
      </c>
      <c r="AS261" s="106">
        <v>9.5000000000000001E-2</v>
      </c>
      <c r="AT261" s="106">
        <v>9.5000000000000001E-2</v>
      </c>
      <c r="AU261" s="108" t="s">
        <v>161</v>
      </c>
      <c r="AV261" s="108" t="s">
        <v>346</v>
      </c>
      <c r="AW261" s="108">
        <v>3014</v>
      </c>
      <c r="AX261" s="108">
        <v>950</v>
      </c>
      <c r="AY261" s="108">
        <v>950</v>
      </c>
      <c r="BD261" s="106">
        <v>0</v>
      </c>
      <c r="BY261" s="112" t="s">
        <v>1766</v>
      </c>
      <c r="BZ261" s="112" t="s">
        <v>1766</v>
      </c>
      <c r="CA261" s="112" t="s">
        <v>1766</v>
      </c>
      <c r="CB261" s="112" t="s">
        <v>1766</v>
      </c>
      <c r="CC261" s="112" t="s">
        <v>1766</v>
      </c>
      <c r="CD261" s="112" t="s">
        <v>1766</v>
      </c>
      <c r="CE261" s="112" t="s">
        <v>1766</v>
      </c>
      <c r="CF261" s="112" t="s">
        <v>1766</v>
      </c>
      <c r="CG261" s="112" t="s">
        <v>1766</v>
      </c>
      <c r="CH261" s="112" t="s">
        <v>1766</v>
      </c>
      <c r="CI261" s="112" t="s">
        <v>1766</v>
      </c>
      <c r="CJ261" s="112" t="s">
        <v>1766</v>
      </c>
      <c r="CK261" s="112" t="s">
        <v>1766</v>
      </c>
      <c r="CL261" s="112" t="s">
        <v>1766</v>
      </c>
      <c r="CM261" s="112" t="s">
        <v>1766</v>
      </c>
      <c r="CN261" s="112" t="s">
        <v>1766</v>
      </c>
      <c r="CO261" s="112" t="s">
        <v>1766</v>
      </c>
    </row>
    <row r="262" spans="1:93">
      <c r="A262" s="106" t="s">
        <v>344</v>
      </c>
      <c r="B262" s="106">
        <v>21</v>
      </c>
      <c r="C262" s="106">
        <v>2</v>
      </c>
      <c r="D262" s="106">
        <v>4</v>
      </c>
      <c r="E262" s="106">
        <v>1</v>
      </c>
      <c r="F262" s="106">
        <v>1</v>
      </c>
      <c r="G262" s="106" t="s">
        <v>66</v>
      </c>
      <c r="H262" s="106" t="s">
        <v>249</v>
      </c>
      <c r="I262" s="106">
        <v>201</v>
      </c>
      <c r="J262" s="106">
        <v>205</v>
      </c>
      <c r="K262" s="106" t="s">
        <v>1408</v>
      </c>
      <c r="L262" s="106" t="s">
        <v>1291</v>
      </c>
      <c r="M262" s="106" t="s">
        <v>1409</v>
      </c>
      <c r="O262" s="106">
        <v>21</v>
      </c>
      <c r="T262" s="106" t="s">
        <v>1766</v>
      </c>
      <c r="V262" s="106">
        <v>7537844.1645806003</v>
      </c>
      <c r="W262" s="106">
        <v>1</v>
      </c>
      <c r="X262" s="106">
        <v>1</v>
      </c>
      <c r="Y262" s="106">
        <v>1</v>
      </c>
      <c r="Z262" s="106">
        <v>1</v>
      </c>
      <c r="AA262" s="106">
        <v>1900000</v>
      </c>
      <c r="AB262" s="106">
        <v>1900000</v>
      </c>
      <c r="AC262" s="106">
        <v>1900000</v>
      </c>
      <c r="AD262" s="106">
        <v>1900000</v>
      </c>
      <c r="AE262" s="106">
        <v>7600000</v>
      </c>
      <c r="AF262" s="106">
        <v>7600000</v>
      </c>
      <c r="AH262" s="106">
        <v>138240</v>
      </c>
      <c r="AI262" s="106">
        <v>0.11</v>
      </c>
      <c r="AJ262" s="106">
        <v>10</v>
      </c>
      <c r="AK262" s="106">
        <v>1382.4</v>
      </c>
      <c r="AL262" s="106">
        <v>13824</v>
      </c>
      <c r="AM262" s="106">
        <v>110416</v>
      </c>
      <c r="AN262" s="106">
        <v>110416</v>
      </c>
      <c r="AO262" s="106">
        <v>65687</v>
      </c>
      <c r="AP262" s="106" t="s">
        <v>114</v>
      </c>
      <c r="AQ262" s="106" t="s">
        <v>295</v>
      </c>
      <c r="AR262" s="106">
        <v>3000</v>
      </c>
      <c r="AS262" s="106">
        <v>0.1</v>
      </c>
      <c r="AT262" s="106">
        <v>0.1</v>
      </c>
      <c r="AU262" s="108" t="s">
        <v>161</v>
      </c>
      <c r="AV262" s="108" t="s">
        <v>346</v>
      </c>
      <c r="AW262" s="108">
        <v>3014</v>
      </c>
      <c r="AX262" s="108">
        <v>1000</v>
      </c>
      <c r="AY262" s="108">
        <v>1000</v>
      </c>
      <c r="BD262" s="106">
        <v>0</v>
      </c>
      <c r="BY262" s="112" t="s">
        <v>1766</v>
      </c>
      <c r="BZ262" s="112" t="s">
        <v>1766</v>
      </c>
      <c r="CA262" s="112" t="s">
        <v>1766</v>
      </c>
      <c r="CB262" s="112" t="s">
        <v>1766</v>
      </c>
      <c r="CC262" s="112" t="s">
        <v>1766</v>
      </c>
      <c r="CD262" s="112" t="s">
        <v>1766</v>
      </c>
      <c r="CE262" s="112" t="s">
        <v>1766</v>
      </c>
      <c r="CF262" s="112" t="s">
        <v>1766</v>
      </c>
      <c r="CG262" s="112" t="s">
        <v>1766</v>
      </c>
      <c r="CH262" s="112" t="s">
        <v>1766</v>
      </c>
      <c r="CI262" s="112" t="s">
        <v>1766</v>
      </c>
      <c r="CJ262" s="112" t="s">
        <v>1766</v>
      </c>
      <c r="CK262" s="112" t="s">
        <v>1766</v>
      </c>
      <c r="CL262" s="112" t="s">
        <v>1766</v>
      </c>
      <c r="CM262" s="112" t="s">
        <v>1766</v>
      </c>
      <c r="CN262" s="112" t="s">
        <v>1766</v>
      </c>
      <c r="CO262" s="112" t="s">
        <v>1766</v>
      </c>
    </row>
    <row r="263" spans="1:93">
      <c r="A263" s="106" t="s">
        <v>344</v>
      </c>
      <c r="B263" s="106">
        <v>22</v>
      </c>
      <c r="C263" s="106">
        <v>2</v>
      </c>
      <c r="D263" s="106">
        <v>4</v>
      </c>
      <c r="E263" s="106">
        <v>1</v>
      </c>
      <c r="F263" s="106">
        <v>1</v>
      </c>
      <c r="G263" s="106" t="s">
        <v>66</v>
      </c>
      <c r="H263" s="106" t="s">
        <v>249</v>
      </c>
      <c r="I263" s="106">
        <v>201</v>
      </c>
      <c r="J263" s="106">
        <v>205</v>
      </c>
      <c r="K263" s="106" t="s">
        <v>1408</v>
      </c>
      <c r="L263" s="106" t="s">
        <v>1295</v>
      </c>
      <c r="M263" s="106" t="s">
        <v>1410</v>
      </c>
      <c r="O263" s="106">
        <v>22</v>
      </c>
      <c r="T263" s="106" t="s">
        <v>1766</v>
      </c>
      <c r="V263" s="106">
        <v>9648440.5306631699</v>
      </c>
      <c r="W263" s="106">
        <v>1</v>
      </c>
      <c r="X263" s="106">
        <v>1</v>
      </c>
      <c r="Y263" s="106">
        <v>1</v>
      </c>
      <c r="Z263" s="106">
        <v>1</v>
      </c>
      <c r="AA263" s="106">
        <v>2400000</v>
      </c>
      <c r="AB263" s="106">
        <v>2400000</v>
      </c>
      <c r="AC263" s="106">
        <v>2400000</v>
      </c>
      <c r="AD263" s="106">
        <v>2400000</v>
      </c>
      <c r="AE263" s="106">
        <v>9600000</v>
      </c>
      <c r="AF263" s="106">
        <v>9600000</v>
      </c>
      <c r="AH263" s="106">
        <v>181440</v>
      </c>
      <c r="AI263" s="106">
        <v>0.125</v>
      </c>
      <c r="AJ263" s="106">
        <v>10</v>
      </c>
      <c r="AK263" s="106">
        <v>1814.4</v>
      </c>
      <c r="AL263" s="106">
        <v>18144</v>
      </c>
      <c r="AM263" s="106">
        <v>142836</v>
      </c>
      <c r="AN263" s="106">
        <v>142836</v>
      </c>
      <c r="AO263" s="106">
        <v>84984</v>
      </c>
      <c r="AP263" s="106" t="s">
        <v>114</v>
      </c>
      <c r="AQ263" s="106" t="s">
        <v>295</v>
      </c>
      <c r="AR263" s="106">
        <v>3000</v>
      </c>
      <c r="AS263" s="106">
        <v>0.105</v>
      </c>
      <c r="AT263" s="106">
        <v>0.105</v>
      </c>
      <c r="AU263" s="108" t="s">
        <v>161</v>
      </c>
      <c r="AV263" s="108" t="s">
        <v>346</v>
      </c>
      <c r="AW263" s="108">
        <v>3014</v>
      </c>
      <c r="AX263" s="108">
        <v>1050</v>
      </c>
      <c r="AY263" s="108">
        <v>1050</v>
      </c>
      <c r="BD263" s="106">
        <v>0</v>
      </c>
      <c r="BY263" s="112" t="s">
        <v>1766</v>
      </c>
      <c r="BZ263" s="112" t="s">
        <v>1766</v>
      </c>
      <c r="CA263" s="112" t="s">
        <v>1766</v>
      </c>
      <c r="CB263" s="112" t="s">
        <v>1766</v>
      </c>
      <c r="CC263" s="112" t="s">
        <v>1766</v>
      </c>
      <c r="CD263" s="112" t="s">
        <v>1766</v>
      </c>
      <c r="CE263" s="112" t="s">
        <v>1766</v>
      </c>
      <c r="CF263" s="112" t="s">
        <v>1766</v>
      </c>
      <c r="CG263" s="112" t="s">
        <v>1766</v>
      </c>
      <c r="CH263" s="112" t="s">
        <v>1766</v>
      </c>
      <c r="CI263" s="112" t="s">
        <v>1766</v>
      </c>
      <c r="CJ263" s="112" t="s">
        <v>1766</v>
      </c>
      <c r="CK263" s="112" t="s">
        <v>1766</v>
      </c>
      <c r="CL263" s="112" t="s">
        <v>1766</v>
      </c>
      <c r="CM263" s="112" t="s">
        <v>1766</v>
      </c>
      <c r="CN263" s="112" t="s">
        <v>1766</v>
      </c>
      <c r="CO263" s="112" t="s">
        <v>1766</v>
      </c>
    </row>
    <row r="264" spans="1:93">
      <c r="A264" s="106" t="s">
        <v>344</v>
      </c>
      <c r="B264" s="106">
        <v>23</v>
      </c>
      <c r="C264" s="106">
        <v>2</v>
      </c>
      <c r="D264" s="106">
        <v>4</v>
      </c>
      <c r="E264" s="106">
        <v>1</v>
      </c>
      <c r="F264" s="106">
        <v>1</v>
      </c>
      <c r="G264" s="106" t="s">
        <v>66</v>
      </c>
      <c r="H264" s="106" t="s">
        <v>249</v>
      </c>
      <c r="I264" s="106">
        <v>201</v>
      </c>
      <c r="J264" s="106">
        <v>205</v>
      </c>
      <c r="K264" s="106" t="s">
        <v>1408</v>
      </c>
      <c r="L264" s="106" t="s">
        <v>1298</v>
      </c>
      <c r="M264" s="106" t="s">
        <v>1411</v>
      </c>
      <c r="O264" s="106">
        <v>23</v>
      </c>
      <c r="T264" s="106" t="s">
        <v>1766</v>
      </c>
      <c r="V264" s="106">
        <v>12350003.8792489</v>
      </c>
      <c r="W264" s="106">
        <v>1</v>
      </c>
      <c r="X264" s="106">
        <v>1</v>
      </c>
      <c r="Y264" s="106">
        <v>1</v>
      </c>
      <c r="Z264" s="106">
        <v>1</v>
      </c>
      <c r="AA264" s="106">
        <v>3100000</v>
      </c>
      <c r="AB264" s="106">
        <v>3100000</v>
      </c>
      <c r="AC264" s="106">
        <v>3100000</v>
      </c>
      <c r="AD264" s="106">
        <v>3100000</v>
      </c>
      <c r="AE264" s="106">
        <v>12400000</v>
      </c>
      <c r="AF264" s="106">
        <v>12400000</v>
      </c>
      <c r="AH264" s="106">
        <v>233280</v>
      </c>
      <c r="AI264" s="106">
        <v>0.125</v>
      </c>
      <c r="AJ264" s="106">
        <v>11</v>
      </c>
      <c r="AK264" s="106">
        <v>2332.8000000000002</v>
      </c>
      <c r="AL264" s="106">
        <v>25660.799999999999</v>
      </c>
      <c r="AM264" s="106">
        <v>181399</v>
      </c>
      <c r="AN264" s="106">
        <v>181399</v>
      </c>
      <c r="AO264" s="106">
        <v>109684</v>
      </c>
      <c r="AP264" s="106" t="s">
        <v>114</v>
      </c>
      <c r="AQ264" s="106" t="s">
        <v>295</v>
      </c>
      <c r="AR264" s="106">
        <v>3000</v>
      </c>
      <c r="AS264" s="106">
        <v>0.11</v>
      </c>
      <c r="AT264" s="106">
        <v>0.11</v>
      </c>
      <c r="AU264" s="108" t="s">
        <v>161</v>
      </c>
      <c r="AV264" s="108" t="s">
        <v>346</v>
      </c>
      <c r="AW264" s="108">
        <v>3014</v>
      </c>
      <c r="AX264" s="108">
        <v>1100</v>
      </c>
      <c r="AY264" s="108">
        <v>1100</v>
      </c>
      <c r="BD264" s="106">
        <v>0</v>
      </c>
      <c r="BY264" s="112" t="s">
        <v>1766</v>
      </c>
      <c r="BZ264" s="112" t="s">
        <v>1766</v>
      </c>
      <c r="CA264" s="112" t="s">
        <v>1766</v>
      </c>
      <c r="CB264" s="112" t="s">
        <v>1766</v>
      </c>
      <c r="CC264" s="112" t="s">
        <v>1766</v>
      </c>
      <c r="CD264" s="112" t="s">
        <v>1766</v>
      </c>
      <c r="CE264" s="112" t="s">
        <v>1766</v>
      </c>
      <c r="CF264" s="112" t="s">
        <v>1766</v>
      </c>
      <c r="CG264" s="112" t="s">
        <v>1766</v>
      </c>
      <c r="CH264" s="112" t="s">
        <v>1766</v>
      </c>
      <c r="CI264" s="112" t="s">
        <v>1766</v>
      </c>
      <c r="CJ264" s="112" t="s">
        <v>1766</v>
      </c>
      <c r="CK264" s="112" t="s">
        <v>1766</v>
      </c>
      <c r="CL264" s="112" t="s">
        <v>1766</v>
      </c>
      <c r="CM264" s="112" t="s">
        <v>1766</v>
      </c>
      <c r="CN264" s="112" t="s">
        <v>1766</v>
      </c>
      <c r="CO264" s="112" t="s">
        <v>1766</v>
      </c>
    </row>
    <row r="265" spans="1:93">
      <c r="A265" s="106" t="s">
        <v>344</v>
      </c>
      <c r="B265" s="106">
        <v>24</v>
      </c>
      <c r="C265" s="106">
        <v>2</v>
      </c>
      <c r="D265" s="106">
        <v>4</v>
      </c>
      <c r="E265" s="106">
        <v>1</v>
      </c>
      <c r="F265" s="106">
        <v>1</v>
      </c>
      <c r="G265" s="106" t="s">
        <v>66</v>
      </c>
      <c r="H265" s="106" t="s">
        <v>249</v>
      </c>
      <c r="I265" s="106">
        <v>201</v>
      </c>
      <c r="J265" s="106">
        <v>205</v>
      </c>
      <c r="K265" s="106" t="s">
        <v>1408</v>
      </c>
      <c r="L265" s="106" t="s">
        <v>1302</v>
      </c>
      <c r="M265" s="106" t="s">
        <v>1412</v>
      </c>
      <c r="O265" s="106">
        <v>24</v>
      </c>
      <c r="T265" s="106" t="s">
        <v>1766</v>
      </c>
      <c r="V265" s="106">
        <v>15808004.9654385</v>
      </c>
      <c r="W265" s="106">
        <v>1</v>
      </c>
      <c r="X265" s="106">
        <v>1</v>
      </c>
      <c r="Y265" s="106">
        <v>1</v>
      </c>
      <c r="Z265" s="106">
        <v>1</v>
      </c>
      <c r="AA265" s="106">
        <v>4000000</v>
      </c>
      <c r="AB265" s="106">
        <v>4000000</v>
      </c>
      <c r="AC265" s="106">
        <v>4000000</v>
      </c>
      <c r="AD265" s="106">
        <v>4000000</v>
      </c>
      <c r="AE265" s="106">
        <v>16000000</v>
      </c>
      <c r="AF265" s="106">
        <v>16000000</v>
      </c>
      <c r="AH265" s="106">
        <v>298080</v>
      </c>
      <c r="AI265" s="106">
        <v>0.125</v>
      </c>
      <c r="AJ265" s="106">
        <v>12</v>
      </c>
      <c r="AK265" s="106">
        <v>2980.8</v>
      </c>
      <c r="AL265" s="106">
        <v>35769.599999999999</v>
      </c>
      <c r="AM265" s="106">
        <v>228890</v>
      </c>
      <c r="AN265" s="106">
        <v>228890</v>
      </c>
      <c r="AO265" s="106">
        <v>141300</v>
      </c>
      <c r="AP265" s="106" t="s">
        <v>114</v>
      </c>
      <c r="AQ265" s="106" t="s">
        <v>295</v>
      </c>
      <c r="AR265" s="106">
        <v>3000</v>
      </c>
      <c r="AS265" s="106">
        <v>0.115</v>
      </c>
      <c r="AT265" s="106">
        <v>0.115</v>
      </c>
      <c r="AU265" s="108" t="s">
        <v>161</v>
      </c>
      <c r="AV265" s="108" t="s">
        <v>346</v>
      </c>
      <c r="AW265" s="108">
        <v>3014</v>
      </c>
      <c r="AX265" s="108">
        <v>1150</v>
      </c>
      <c r="AY265" s="108">
        <v>1150</v>
      </c>
      <c r="BD265" s="106">
        <v>0</v>
      </c>
      <c r="BY265" s="112" t="s">
        <v>1766</v>
      </c>
      <c r="BZ265" s="112" t="s">
        <v>1766</v>
      </c>
      <c r="CA265" s="112" t="s">
        <v>1766</v>
      </c>
      <c r="CB265" s="112" t="s">
        <v>1766</v>
      </c>
      <c r="CC265" s="112" t="s">
        <v>1766</v>
      </c>
      <c r="CD265" s="112" t="s">
        <v>1766</v>
      </c>
      <c r="CE265" s="112" t="s">
        <v>1766</v>
      </c>
      <c r="CF265" s="112" t="s">
        <v>1766</v>
      </c>
      <c r="CG265" s="112" t="s">
        <v>1766</v>
      </c>
      <c r="CH265" s="112" t="s">
        <v>1766</v>
      </c>
      <c r="CI265" s="112" t="s">
        <v>1766</v>
      </c>
      <c r="CJ265" s="112" t="s">
        <v>1766</v>
      </c>
      <c r="CK265" s="112" t="s">
        <v>1766</v>
      </c>
      <c r="CL265" s="112" t="s">
        <v>1766</v>
      </c>
      <c r="CM265" s="112" t="s">
        <v>1766</v>
      </c>
      <c r="CN265" s="112" t="s">
        <v>1766</v>
      </c>
      <c r="CO265" s="112" t="s">
        <v>1766</v>
      </c>
    </row>
    <row r="266" spans="1:93">
      <c r="A266" s="106" t="s">
        <v>344</v>
      </c>
      <c r="B266" s="106">
        <v>25</v>
      </c>
      <c r="C266" s="106">
        <v>2</v>
      </c>
      <c r="D266" s="106">
        <v>4</v>
      </c>
      <c r="E266" s="106">
        <v>1</v>
      </c>
      <c r="F266" s="106">
        <v>1</v>
      </c>
      <c r="G266" s="106" t="s">
        <v>66</v>
      </c>
      <c r="H266" s="106" t="s">
        <v>249</v>
      </c>
      <c r="I266" s="106">
        <v>201</v>
      </c>
      <c r="J266" s="106">
        <v>205</v>
      </c>
      <c r="K266" s="106" t="s">
        <v>1408</v>
      </c>
      <c r="L266" s="106" t="s">
        <v>1305</v>
      </c>
      <c r="M266" s="106" t="s">
        <v>1413</v>
      </c>
      <c r="O266" s="106">
        <v>25</v>
      </c>
      <c r="T266" s="106" t="s">
        <v>1766</v>
      </c>
      <c r="V266" s="106">
        <v>20234246.355761301</v>
      </c>
      <c r="W266" s="106">
        <v>1</v>
      </c>
      <c r="X266" s="106">
        <v>1</v>
      </c>
      <c r="Y266" s="106">
        <v>1</v>
      </c>
      <c r="Z266" s="106">
        <v>1</v>
      </c>
      <c r="AA266" s="106">
        <v>5100000</v>
      </c>
      <c r="AB266" s="106">
        <v>5100000</v>
      </c>
      <c r="AC266" s="106">
        <v>5100000</v>
      </c>
      <c r="AD266" s="106">
        <v>5100000</v>
      </c>
      <c r="AE266" s="106">
        <v>20400000</v>
      </c>
      <c r="AF266" s="106">
        <v>20400000</v>
      </c>
      <c r="AH266" s="106">
        <v>375840</v>
      </c>
      <c r="AI266" s="106">
        <v>0.125</v>
      </c>
      <c r="AJ266" s="106">
        <v>13</v>
      </c>
      <c r="AK266" s="106">
        <v>3758.4</v>
      </c>
      <c r="AL266" s="106">
        <v>48859.199999999997</v>
      </c>
      <c r="AM266" s="106">
        <v>284920</v>
      </c>
      <c r="AN266" s="106">
        <v>284920</v>
      </c>
      <c r="AO266" s="106">
        <v>181768</v>
      </c>
      <c r="AP266" s="106" t="s">
        <v>114</v>
      </c>
      <c r="AQ266" s="106" t="s">
        <v>295</v>
      </c>
      <c r="AR266" s="106">
        <v>3000</v>
      </c>
      <c r="AS266" s="106">
        <v>0.12</v>
      </c>
      <c r="AT266" s="106">
        <v>0.12</v>
      </c>
      <c r="AU266" s="108" t="s">
        <v>161</v>
      </c>
      <c r="AV266" s="108" t="s">
        <v>346</v>
      </c>
      <c r="AW266" s="108">
        <v>3014</v>
      </c>
      <c r="AX266" s="108">
        <v>1200</v>
      </c>
      <c r="AY266" s="108">
        <v>1200</v>
      </c>
      <c r="BD266" s="106">
        <v>0</v>
      </c>
      <c r="BY266" s="112" t="s">
        <v>1766</v>
      </c>
      <c r="BZ266" s="112" t="s">
        <v>1766</v>
      </c>
      <c r="CA266" s="112" t="s">
        <v>1766</v>
      </c>
      <c r="CB266" s="112" t="s">
        <v>1766</v>
      </c>
      <c r="CC266" s="112" t="s">
        <v>1766</v>
      </c>
      <c r="CD266" s="112" t="s">
        <v>1766</v>
      </c>
      <c r="CE266" s="112" t="s">
        <v>1766</v>
      </c>
      <c r="CF266" s="112" t="s">
        <v>1766</v>
      </c>
      <c r="CG266" s="112" t="s">
        <v>1766</v>
      </c>
      <c r="CH266" s="112" t="s">
        <v>1766</v>
      </c>
      <c r="CI266" s="112" t="s">
        <v>1766</v>
      </c>
      <c r="CJ266" s="112" t="s">
        <v>1766</v>
      </c>
      <c r="CK266" s="112" t="s">
        <v>1766</v>
      </c>
      <c r="CL266" s="112" t="s">
        <v>1766</v>
      </c>
      <c r="CM266" s="112" t="s">
        <v>1766</v>
      </c>
      <c r="CN266" s="112" t="s">
        <v>1766</v>
      </c>
      <c r="CO266" s="112" t="s">
        <v>1766</v>
      </c>
    </row>
    <row r="267" spans="1:93">
      <c r="A267" s="106" t="s">
        <v>344</v>
      </c>
      <c r="B267" s="106">
        <v>26</v>
      </c>
      <c r="C267" s="106">
        <v>2</v>
      </c>
      <c r="D267" s="106">
        <v>4</v>
      </c>
      <c r="E267" s="106">
        <v>1</v>
      </c>
      <c r="F267" s="106">
        <v>1</v>
      </c>
      <c r="G267" s="106" t="s">
        <v>66</v>
      </c>
      <c r="H267" s="106" t="s">
        <v>249</v>
      </c>
      <c r="I267" s="106">
        <v>201</v>
      </c>
      <c r="J267" s="106">
        <v>205</v>
      </c>
      <c r="K267" s="106" t="s">
        <v>1408</v>
      </c>
      <c r="L267" s="106" t="s">
        <v>1308</v>
      </c>
      <c r="M267" s="106" t="s">
        <v>1414</v>
      </c>
      <c r="O267" s="106">
        <v>26</v>
      </c>
      <c r="T267" s="106" t="s">
        <v>1766</v>
      </c>
      <c r="V267" s="106">
        <v>25899835.335374501</v>
      </c>
      <c r="W267" s="106">
        <v>1</v>
      </c>
      <c r="X267" s="106">
        <v>1</v>
      </c>
      <c r="Y267" s="106">
        <v>1</v>
      </c>
      <c r="Z267" s="106">
        <v>1</v>
      </c>
      <c r="AA267" s="106">
        <v>6500000</v>
      </c>
      <c r="AB267" s="106">
        <v>6500000</v>
      </c>
      <c r="AC267" s="106">
        <v>6500000</v>
      </c>
      <c r="AD267" s="106">
        <v>6500000</v>
      </c>
      <c r="AE267" s="106">
        <v>26000000</v>
      </c>
      <c r="AF267" s="106">
        <v>26000000</v>
      </c>
      <c r="AH267" s="106">
        <v>466560</v>
      </c>
      <c r="AI267" s="106">
        <v>0.14499999999999999</v>
      </c>
      <c r="AJ267" s="106">
        <v>14</v>
      </c>
      <c r="AK267" s="106">
        <v>4665.6000000000004</v>
      </c>
      <c r="AL267" s="106">
        <v>65318.400000000001</v>
      </c>
      <c r="AM267" s="106">
        <v>341857</v>
      </c>
      <c r="AN267" s="106">
        <v>341857</v>
      </c>
      <c r="AO267" s="106">
        <v>233568</v>
      </c>
      <c r="AP267" s="106" t="s">
        <v>114</v>
      </c>
      <c r="AQ267" s="106" t="s">
        <v>295</v>
      </c>
      <c r="AR267" s="106">
        <v>3000</v>
      </c>
      <c r="AS267" s="106">
        <v>0.13</v>
      </c>
      <c r="AT267" s="106">
        <v>0.13</v>
      </c>
      <c r="AU267" s="108" t="s">
        <v>161</v>
      </c>
      <c r="AV267" s="108" t="s">
        <v>346</v>
      </c>
      <c r="AW267" s="108">
        <v>3014</v>
      </c>
      <c r="AX267" s="108">
        <v>1300</v>
      </c>
      <c r="AY267" s="108">
        <v>1300</v>
      </c>
      <c r="BD267" s="106">
        <v>0</v>
      </c>
      <c r="BY267" s="112" t="s">
        <v>1766</v>
      </c>
      <c r="BZ267" s="112" t="s">
        <v>1766</v>
      </c>
      <c r="CA267" s="112" t="s">
        <v>1766</v>
      </c>
      <c r="CB267" s="112" t="s">
        <v>1766</v>
      </c>
      <c r="CC267" s="112" t="s">
        <v>1766</v>
      </c>
      <c r="CD267" s="112" t="s">
        <v>1766</v>
      </c>
      <c r="CE267" s="112" t="s">
        <v>1766</v>
      </c>
      <c r="CF267" s="112" t="s">
        <v>1766</v>
      </c>
      <c r="CG267" s="112" t="s">
        <v>1766</v>
      </c>
      <c r="CH267" s="112" t="s">
        <v>1766</v>
      </c>
      <c r="CI267" s="112" t="s">
        <v>1766</v>
      </c>
      <c r="CJ267" s="112" t="s">
        <v>1766</v>
      </c>
      <c r="CK267" s="112" t="s">
        <v>1766</v>
      </c>
      <c r="CL267" s="112" t="s">
        <v>1766</v>
      </c>
      <c r="CM267" s="112" t="s">
        <v>1766</v>
      </c>
      <c r="CN267" s="112" t="s">
        <v>1766</v>
      </c>
      <c r="CO267" s="112" t="s">
        <v>1766</v>
      </c>
    </row>
    <row r="268" spans="1:93">
      <c r="A268" s="106" t="s">
        <v>344</v>
      </c>
      <c r="B268" s="106">
        <v>27</v>
      </c>
      <c r="C268" s="106">
        <v>2</v>
      </c>
      <c r="D268" s="106">
        <v>4</v>
      </c>
      <c r="E268" s="106">
        <v>1</v>
      </c>
      <c r="F268" s="106">
        <v>1</v>
      </c>
      <c r="G268" s="106" t="s">
        <v>66</v>
      </c>
      <c r="H268" s="106" t="s">
        <v>249</v>
      </c>
      <c r="I268" s="106">
        <v>201</v>
      </c>
      <c r="J268" s="106">
        <v>205</v>
      </c>
      <c r="K268" s="106" t="s">
        <v>1408</v>
      </c>
      <c r="L268" s="106" t="s">
        <v>1311</v>
      </c>
      <c r="M268" s="106" t="s">
        <v>1415</v>
      </c>
      <c r="O268" s="106">
        <v>27</v>
      </c>
      <c r="T268" s="106" t="s">
        <v>1766</v>
      </c>
      <c r="V268" s="106">
        <v>33151789.229279399</v>
      </c>
      <c r="W268" s="106">
        <v>1</v>
      </c>
      <c r="X268" s="106">
        <v>1</v>
      </c>
      <c r="Y268" s="106">
        <v>1</v>
      </c>
      <c r="Z268" s="106">
        <v>1</v>
      </c>
      <c r="AA268" s="106">
        <v>8300000</v>
      </c>
      <c r="AB268" s="106">
        <v>8300000</v>
      </c>
      <c r="AC268" s="106">
        <v>8300000</v>
      </c>
      <c r="AD268" s="106">
        <v>8300000</v>
      </c>
      <c r="AE268" s="106">
        <v>33200000</v>
      </c>
      <c r="AF268" s="106">
        <v>33200000</v>
      </c>
      <c r="AH268" s="106">
        <v>570240</v>
      </c>
      <c r="AI268" s="106">
        <v>0.16500000000000001</v>
      </c>
      <c r="AJ268" s="106">
        <v>15</v>
      </c>
      <c r="AK268" s="106">
        <v>5702.4</v>
      </c>
      <c r="AL268" s="106">
        <v>85536</v>
      </c>
      <c r="AM268" s="106">
        <v>403640</v>
      </c>
      <c r="AN268" s="106">
        <v>403640</v>
      </c>
      <c r="AO268" s="106">
        <v>299871</v>
      </c>
      <c r="AP268" s="106" t="s">
        <v>114</v>
      </c>
      <c r="AQ268" s="106" t="s">
        <v>295</v>
      </c>
      <c r="AR268" s="106">
        <v>3000</v>
      </c>
      <c r="AS268" s="106">
        <v>0.14000000000000001</v>
      </c>
      <c r="AT268" s="106">
        <v>0.14000000000000001</v>
      </c>
      <c r="AU268" s="108" t="s">
        <v>161</v>
      </c>
      <c r="AV268" s="108" t="s">
        <v>346</v>
      </c>
      <c r="AW268" s="108">
        <v>3014</v>
      </c>
      <c r="AX268" s="108">
        <v>1400</v>
      </c>
      <c r="AY268" s="108">
        <v>1400</v>
      </c>
      <c r="BD268" s="106">
        <v>0</v>
      </c>
      <c r="BY268" s="112" t="s">
        <v>1766</v>
      </c>
      <c r="BZ268" s="112" t="s">
        <v>1766</v>
      </c>
      <c r="CA268" s="112" t="s">
        <v>1766</v>
      </c>
      <c r="CB268" s="112" t="s">
        <v>1766</v>
      </c>
      <c r="CC268" s="112" t="s">
        <v>1766</v>
      </c>
      <c r="CD268" s="112" t="s">
        <v>1766</v>
      </c>
      <c r="CE268" s="112" t="s">
        <v>1766</v>
      </c>
      <c r="CF268" s="112" t="s">
        <v>1766</v>
      </c>
      <c r="CG268" s="112" t="s">
        <v>1766</v>
      </c>
      <c r="CH268" s="112" t="s">
        <v>1766</v>
      </c>
      <c r="CI268" s="112" t="s">
        <v>1766</v>
      </c>
      <c r="CJ268" s="112" t="s">
        <v>1766</v>
      </c>
      <c r="CK268" s="112" t="s">
        <v>1766</v>
      </c>
      <c r="CL268" s="112" t="s">
        <v>1766</v>
      </c>
      <c r="CM268" s="112" t="s">
        <v>1766</v>
      </c>
      <c r="CN268" s="112" t="s">
        <v>1766</v>
      </c>
      <c r="CO268" s="112" t="s">
        <v>1766</v>
      </c>
    </row>
    <row r="269" spans="1:93">
      <c r="A269" s="106" t="s">
        <v>344</v>
      </c>
      <c r="B269" s="106">
        <v>28</v>
      </c>
      <c r="C269" s="106">
        <v>2</v>
      </c>
      <c r="D269" s="106">
        <v>4</v>
      </c>
      <c r="E269" s="106">
        <v>1</v>
      </c>
      <c r="F269" s="106">
        <v>1</v>
      </c>
      <c r="G269" s="106" t="s">
        <v>66</v>
      </c>
      <c r="H269" s="106" t="s">
        <v>249</v>
      </c>
      <c r="I269" s="106">
        <v>201</v>
      </c>
      <c r="J269" s="106">
        <v>205</v>
      </c>
      <c r="K269" s="106" t="s">
        <v>1408</v>
      </c>
      <c r="L269" s="106" t="s">
        <v>1314</v>
      </c>
      <c r="M269" s="106" t="s">
        <v>1416</v>
      </c>
      <c r="O269" s="106">
        <v>28</v>
      </c>
      <c r="T269" s="106" t="s">
        <v>1766</v>
      </c>
      <c r="V269" s="106">
        <v>42434290.213477597</v>
      </c>
      <c r="W269" s="106">
        <v>1</v>
      </c>
      <c r="X269" s="106">
        <v>1</v>
      </c>
      <c r="Y269" s="106">
        <v>1</v>
      </c>
      <c r="Z269" s="106">
        <v>1</v>
      </c>
      <c r="AA269" s="106">
        <v>11000000</v>
      </c>
      <c r="AB269" s="106">
        <v>11000000</v>
      </c>
      <c r="AC269" s="106">
        <v>11000000</v>
      </c>
      <c r="AD269" s="106">
        <v>11000000</v>
      </c>
      <c r="AE269" s="106">
        <v>44000000</v>
      </c>
      <c r="AF269" s="106">
        <v>44000000</v>
      </c>
      <c r="AH269" s="106">
        <v>699840</v>
      </c>
      <c r="AI269" s="106">
        <v>0.185</v>
      </c>
      <c r="AJ269" s="106">
        <v>16</v>
      </c>
      <c r="AK269" s="106">
        <v>6998.4</v>
      </c>
      <c r="AL269" s="106">
        <v>111974.39999999999</v>
      </c>
      <c r="AM269" s="106">
        <v>478307</v>
      </c>
      <c r="AN269" s="106">
        <v>478307</v>
      </c>
      <c r="AO269" s="106">
        <v>384740</v>
      </c>
      <c r="AP269" s="106" t="s">
        <v>114</v>
      </c>
      <c r="AQ269" s="106" t="s">
        <v>295</v>
      </c>
      <c r="AR269" s="106">
        <v>3000</v>
      </c>
      <c r="AS269" s="106">
        <v>0.15</v>
      </c>
      <c r="AT269" s="106">
        <v>0.15</v>
      </c>
      <c r="AU269" s="108" t="s">
        <v>161</v>
      </c>
      <c r="AV269" s="108" t="s">
        <v>346</v>
      </c>
      <c r="AW269" s="108">
        <v>3014</v>
      </c>
      <c r="AX269" s="108">
        <v>1500</v>
      </c>
      <c r="AY269" s="108">
        <v>1500</v>
      </c>
      <c r="BD269" s="106">
        <v>0</v>
      </c>
      <c r="BY269" s="112" t="s">
        <v>1766</v>
      </c>
      <c r="BZ269" s="112" t="s">
        <v>1766</v>
      </c>
      <c r="CA269" s="112" t="s">
        <v>1766</v>
      </c>
      <c r="CB269" s="112" t="s">
        <v>1766</v>
      </c>
      <c r="CC269" s="112" t="s">
        <v>1766</v>
      </c>
      <c r="CD269" s="112" t="s">
        <v>1766</v>
      </c>
      <c r="CE269" s="112" t="s">
        <v>1766</v>
      </c>
      <c r="CF269" s="112" t="s">
        <v>1766</v>
      </c>
      <c r="CG269" s="112" t="s">
        <v>1766</v>
      </c>
      <c r="CH269" s="112" t="s">
        <v>1766</v>
      </c>
      <c r="CI269" s="112" t="s">
        <v>1766</v>
      </c>
      <c r="CJ269" s="112" t="s">
        <v>1766</v>
      </c>
      <c r="CK269" s="112" t="s">
        <v>1766</v>
      </c>
      <c r="CL269" s="112" t="s">
        <v>1766</v>
      </c>
      <c r="CM269" s="112" t="s">
        <v>1766</v>
      </c>
      <c r="CN269" s="112" t="s">
        <v>1766</v>
      </c>
      <c r="CO269" s="112" t="s">
        <v>1766</v>
      </c>
    </row>
    <row r="270" spans="1:93">
      <c r="A270" s="106" t="s">
        <v>344</v>
      </c>
      <c r="B270" s="106">
        <v>29</v>
      </c>
      <c r="C270" s="106">
        <v>2</v>
      </c>
      <c r="D270" s="106">
        <v>4</v>
      </c>
      <c r="E270" s="106">
        <v>1</v>
      </c>
      <c r="F270" s="106">
        <v>1</v>
      </c>
      <c r="G270" s="106" t="s">
        <v>66</v>
      </c>
      <c r="H270" s="106" t="s">
        <v>249</v>
      </c>
      <c r="I270" s="106">
        <v>201</v>
      </c>
      <c r="J270" s="106">
        <v>205</v>
      </c>
      <c r="K270" s="106" t="s">
        <v>1408</v>
      </c>
      <c r="L270" s="106" t="s">
        <v>1317</v>
      </c>
      <c r="M270" s="106" t="s">
        <v>1417</v>
      </c>
      <c r="O270" s="106">
        <v>29</v>
      </c>
      <c r="T270" s="106" t="s">
        <v>1766</v>
      </c>
      <c r="V270" s="106">
        <v>54315891.473251298</v>
      </c>
      <c r="W270" s="106">
        <v>1</v>
      </c>
      <c r="X270" s="106">
        <v>1</v>
      </c>
      <c r="Y270" s="106">
        <v>1</v>
      </c>
      <c r="Z270" s="106">
        <v>1</v>
      </c>
      <c r="AA270" s="106">
        <v>14000000</v>
      </c>
      <c r="AB270" s="106">
        <v>14000000</v>
      </c>
      <c r="AC270" s="106">
        <v>14000000</v>
      </c>
      <c r="AD270" s="106">
        <v>14000000</v>
      </c>
      <c r="AE270" s="106">
        <v>56000000</v>
      </c>
      <c r="AF270" s="106">
        <v>56000000</v>
      </c>
      <c r="AH270" s="106">
        <v>855360</v>
      </c>
      <c r="AI270" s="106">
        <v>0.20499999999999999</v>
      </c>
      <c r="AJ270" s="106">
        <v>17</v>
      </c>
      <c r="AK270" s="106">
        <v>8553.6</v>
      </c>
      <c r="AL270" s="106">
        <v>145411.20000000001</v>
      </c>
      <c r="AM270" s="106">
        <v>564131</v>
      </c>
      <c r="AN270" s="106">
        <v>564131</v>
      </c>
      <c r="AO270" s="106">
        <v>493372</v>
      </c>
      <c r="AP270" s="106" t="s">
        <v>114</v>
      </c>
      <c r="AQ270" s="106" t="s">
        <v>295</v>
      </c>
      <c r="AR270" s="106">
        <v>3000</v>
      </c>
      <c r="AS270" s="106">
        <v>0.16</v>
      </c>
      <c r="AT270" s="106">
        <v>0.16</v>
      </c>
      <c r="AU270" s="108" t="s">
        <v>161</v>
      </c>
      <c r="AV270" s="108" t="s">
        <v>346</v>
      </c>
      <c r="AW270" s="108">
        <v>3014</v>
      </c>
      <c r="AX270" s="108">
        <v>1600</v>
      </c>
      <c r="AY270" s="108">
        <v>1600</v>
      </c>
      <c r="BD270" s="106">
        <v>0</v>
      </c>
      <c r="BY270" s="112" t="s">
        <v>1766</v>
      </c>
      <c r="BZ270" s="112" t="s">
        <v>1766</v>
      </c>
      <c r="CA270" s="112" t="s">
        <v>1766</v>
      </c>
      <c r="CB270" s="112" t="s">
        <v>1766</v>
      </c>
      <c r="CC270" s="112" t="s">
        <v>1766</v>
      </c>
      <c r="CD270" s="112" t="s">
        <v>1766</v>
      </c>
      <c r="CE270" s="112" t="s">
        <v>1766</v>
      </c>
      <c r="CF270" s="112" t="s">
        <v>1766</v>
      </c>
      <c r="CG270" s="112" t="s">
        <v>1766</v>
      </c>
      <c r="CH270" s="112" t="s">
        <v>1766</v>
      </c>
      <c r="CI270" s="112" t="s">
        <v>1766</v>
      </c>
      <c r="CJ270" s="112" t="s">
        <v>1766</v>
      </c>
      <c r="CK270" s="112" t="s">
        <v>1766</v>
      </c>
      <c r="CL270" s="112" t="s">
        <v>1766</v>
      </c>
      <c r="CM270" s="112" t="s">
        <v>1766</v>
      </c>
      <c r="CN270" s="112" t="s">
        <v>1766</v>
      </c>
      <c r="CO270" s="112" t="s">
        <v>1766</v>
      </c>
    </row>
    <row r="271" spans="1:93">
      <c r="A271" s="106" t="s">
        <v>344</v>
      </c>
      <c r="B271" s="106">
        <v>30</v>
      </c>
      <c r="C271" s="106">
        <v>2</v>
      </c>
      <c r="D271" s="106">
        <v>4</v>
      </c>
      <c r="E271" s="106">
        <v>1</v>
      </c>
      <c r="F271" s="106">
        <v>1</v>
      </c>
      <c r="G271" s="106" t="s">
        <v>66</v>
      </c>
      <c r="H271" s="106" t="s">
        <v>249</v>
      </c>
      <c r="I271" s="106">
        <v>201</v>
      </c>
      <c r="J271" s="106">
        <v>205</v>
      </c>
      <c r="K271" s="106" t="s">
        <v>1408</v>
      </c>
      <c r="L271" s="106" t="s">
        <v>1406</v>
      </c>
      <c r="M271" s="106" t="s">
        <v>1418</v>
      </c>
      <c r="O271" s="106">
        <v>30</v>
      </c>
      <c r="T271" s="106" t="s">
        <v>1766</v>
      </c>
      <c r="V271" s="106">
        <v>69524341.085761696</v>
      </c>
      <c r="W271" s="106">
        <v>1</v>
      </c>
      <c r="X271" s="106">
        <v>1</v>
      </c>
      <c r="Y271" s="106">
        <v>1</v>
      </c>
      <c r="Z271" s="106">
        <v>1</v>
      </c>
      <c r="AA271" s="106">
        <v>17000000</v>
      </c>
      <c r="AB271" s="106">
        <v>17000000</v>
      </c>
      <c r="AC271" s="106">
        <v>17000000</v>
      </c>
      <c r="AD271" s="106">
        <v>17000000</v>
      </c>
      <c r="AE271" s="106">
        <v>68000000</v>
      </c>
      <c r="AF271" s="106">
        <v>68000000</v>
      </c>
      <c r="AH271" s="106">
        <v>1036800</v>
      </c>
      <c r="AI271" s="106">
        <v>0.22500000000000001</v>
      </c>
      <c r="AJ271" s="106">
        <v>18</v>
      </c>
      <c r="AK271" s="106">
        <v>10368</v>
      </c>
      <c r="AL271" s="106">
        <v>186624</v>
      </c>
      <c r="AM271" s="106">
        <v>659443</v>
      </c>
      <c r="AN271" s="106">
        <v>659443</v>
      </c>
      <c r="AO271" s="106">
        <v>632420</v>
      </c>
      <c r="AP271" s="106" t="s">
        <v>114</v>
      </c>
      <c r="AQ271" s="106" t="s">
        <v>295</v>
      </c>
      <c r="AR271" s="106">
        <v>3000</v>
      </c>
      <c r="AS271" s="106">
        <v>0.17</v>
      </c>
      <c r="AT271" s="106">
        <v>0.17</v>
      </c>
      <c r="AU271" s="108" t="s">
        <v>161</v>
      </c>
      <c r="AV271" s="108" t="s">
        <v>346</v>
      </c>
      <c r="AW271" s="108">
        <v>3014</v>
      </c>
      <c r="AX271" s="108">
        <v>1700</v>
      </c>
      <c r="AY271" s="108">
        <v>1700</v>
      </c>
      <c r="BD271" s="106">
        <v>0</v>
      </c>
      <c r="BY271" s="112" t="s">
        <v>1766</v>
      </c>
      <c r="BZ271" s="112" t="s">
        <v>1766</v>
      </c>
      <c r="CA271" s="112" t="s">
        <v>1766</v>
      </c>
      <c r="CB271" s="112" t="s">
        <v>1766</v>
      </c>
      <c r="CC271" s="112" t="s">
        <v>1766</v>
      </c>
      <c r="CD271" s="112" t="s">
        <v>1766</v>
      </c>
      <c r="CE271" s="112" t="s">
        <v>1766</v>
      </c>
      <c r="CF271" s="112" t="s">
        <v>1766</v>
      </c>
      <c r="CG271" s="112" t="s">
        <v>1766</v>
      </c>
      <c r="CH271" s="112" t="s">
        <v>1766</v>
      </c>
      <c r="CI271" s="112" t="s">
        <v>1766</v>
      </c>
      <c r="CJ271" s="112" t="s">
        <v>1766</v>
      </c>
      <c r="CK271" s="112" t="s">
        <v>1766</v>
      </c>
      <c r="CL271" s="112" t="s">
        <v>1766</v>
      </c>
      <c r="CM271" s="112" t="s">
        <v>1766</v>
      </c>
      <c r="CN271" s="112" t="s">
        <v>1766</v>
      </c>
      <c r="CO271" s="112" t="s">
        <v>1766</v>
      </c>
    </row>
    <row r="272" spans="1:93">
      <c r="A272" s="106" t="s">
        <v>369</v>
      </c>
      <c r="B272" s="106">
        <v>1</v>
      </c>
      <c r="C272" s="106">
        <v>2</v>
      </c>
      <c r="D272" s="106">
        <v>4</v>
      </c>
      <c r="E272" s="106">
        <v>1</v>
      </c>
      <c r="F272" s="106">
        <v>0</v>
      </c>
      <c r="G272" s="106" t="s">
        <v>66</v>
      </c>
      <c r="I272" s="106">
        <v>201</v>
      </c>
      <c r="J272" s="106" t="s">
        <v>1766</v>
      </c>
      <c r="K272" s="106" t="s">
        <v>1318</v>
      </c>
      <c r="L272" s="106" t="s">
        <v>1322</v>
      </c>
      <c r="M272" s="106" t="s">
        <v>370</v>
      </c>
      <c r="N272" s="106">
        <v>23</v>
      </c>
      <c r="O272" s="106">
        <v>4</v>
      </c>
      <c r="T272" s="106" t="s">
        <v>1766</v>
      </c>
      <c r="V272" s="106">
        <v>0</v>
      </c>
      <c r="W272" s="106">
        <v>0</v>
      </c>
      <c r="X272" s="106">
        <v>0</v>
      </c>
      <c r="Y272" s="106" t="s">
        <v>1766</v>
      </c>
      <c r="Z272" s="106" t="s">
        <v>1766</v>
      </c>
      <c r="AA272" s="106">
        <v>0</v>
      </c>
      <c r="AB272" s="106">
        <v>0</v>
      </c>
      <c r="AC272" s="106">
        <v>0</v>
      </c>
      <c r="AD272" s="106">
        <v>0</v>
      </c>
      <c r="AE272" s="106">
        <v>0</v>
      </c>
      <c r="AF272" s="106">
        <v>0</v>
      </c>
      <c r="AH272" s="106">
        <v>25</v>
      </c>
      <c r="AI272" s="106">
        <v>0</v>
      </c>
      <c r="AJ272" s="106">
        <v>0</v>
      </c>
      <c r="AK272" s="106">
        <v>120</v>
      </c>
      <c r="AL272" s="106">
        <v>0</v>
      </c>
      <c r="AM272" s="106">
        <v>1</v>
      </c>
      <c r="AN272" s="106">
        <v>1</v>
      </c>
      <c r="AO272" s="106">
        <v>3</v>
      </c>
      <c r="AP272" s="106" t="s">
        <v>114</v>
      </c>
      <c r="AQ272" s="106" t="s">
        <v>295</v>
      </c>
      <c r="AR272" s="106">
        <v>3000</v>
      </c>
      <c r="AS272" s="106">
        <v>2E-3</v>
      </c>
      <c r="AT272" s="106">
        <v>2E-3</v>
      </c>
      <c r="AU272" s="108" t="s">
        <v>164</v>
      </c>
      <c r="AV272" s="108" t="s">
        <v>371</v>
      </c>
      <c r="AW272" s="108">
        <v>3015</v>
      </c>
      <c r="AX272" s="108">
        <v>20</v>
      </c>
      <c r="AY272" s="108">
        <v>20</v>
      </c>
      <c r="BD272" s="106">
        <v>0</v>
      </c>
      <c r="BY272" s="112" t="s">
        <v>158</v>
      </c>
      <c r="BZ272" s="112" t="s">
        <v>1442</v>
      </c>
      <c r="CA272" s="112" t="s">
        <v>1777</v>
      </c>
      <c r="CB272" s="112" t="s">
        <v>114</v>
      </c>
      <c r="CC272" s="112">
        <v>10</v>
      </c>
      <c r="CD272" s="112" t="s">
        <v>1797</v>
      </c>
      <c r="CE272" s="112" t="s">
        <v>164</v>
      </c>
      <c r="CF272" s="112">
        <v>27</v>
      </c>
      <c r="CG272" s="112" t="s">
        <v>1766</v>
      </c>
      <c r="CH272" s="112" t="s">
        <v>1766</v>
      </c>
      <c r="CI272" s="112" t="s">
        <v>1766</v>
      </c>
      <c r="CJ272" s="112" t="s">
        <v>1766</v>
      </c>
      <c r="CK272" s="112" t="s">
        <v>1766</v>
      </c>
      <c r="CL272" s="112" t="s">
        <v>1766</v>
      </c>
      <c r="CM272" s="112" t="s">
        <v>1766</v>
      </c>
      <c r="CN272" s="112" t="s">
        <v>1766</v>
      </c>
      <c r="CO272" s="112" t="s">
        <v>1766</v>
      </c>
    </row>
    <row r="273" spans="1:93">
      <c r="A273" s="106" t="s">
        <v>369</v>
      </c>
      <c r="B273" s="106">
        <v>2</v>
      </c>
      <c r="C273" s="106">
        <v>2</v>
      </c>
      <c r="D273" s="106">
        <v>4</v>
      </c>
      <c r="E273" s="106">
        <v>1</v>
      </c>
      <c r="F273" s="106">
        <v>0</v>
      </c>
      <c r="G273" s="106" t="s">
        <v>66</v>
      </c>
      <c r="I273" s="106">
        <v>201</v>
      </c>
      <c r="J273" s="106" t="s">
        <v>1766</v>
      </c>
      <c r="K273" s="106" t="s">
        <v>1318</v>
      </c>
      <c r="L273" s="106" t="s">
        <v>1322</v>
      </c>
      <c r="M273" s="106" t="s">
        <v>373</v>
      </c>
      <c r="N273" s="106">
        <v>23</v>
      </c>
      <c r="O273" s="106">
        <v>4</v>
      </c>
      <c r="T273" s="106" t="s">
        <v>1766</v>
      </c>
      <c r="V273" s="106">
        <v>3000</v>
      </c>
      <c r="W273" s="106">
        <v>1</v>
      </c>
      <c r="X273" s="106">
        <v>1</v>
      </c>
      <c r="Y273" s="106" t="s">
        <v>1766</v>
      </c>
      <c r="Z273" s="106" t="s">
        <v>1766</v>
      </c>
      <c r="AA273" s="106">
        <v>1500</v>
      </c>
      <c r="AB273" s="106">
        <v>1500</v>
      </c>
      <c r="AC273" s="106">
        <v>0</v>
      </c>
      <c r="AD273" s="106">
        <v>0</v>
      </c>
      <c r="AE273" s="106">
        <v>3000</v>
      </c>
      <c r="AF273" s="106">
        <v>3000</v>
      </c>
      <c r="AH273" s="106">
        <v>54</v>
      </c>
      <c r="AI273" s="106">
        <v>0</v>
      </c>
      <c r="AJ273" s="106">
        <v>0</v>
      </c>
      <c r="AK273" s="106">
        <v>120</v>
      </c>
      <c r="AL273" s="106">
        <v>0</v>
      </c>
      <c r="AM273" s="106">
        <v>1</v>
      </c>
      <c r="AN273" s="106">
        <v>1</v>
      </c>
      <c r="AO273" s="106">
        <v>9</v>
      </c>
      <c r="AP273" s="106" t="s">
        <v>114</v>
      </c>
      <c r="AQ273" s="106" t="s">
        <v>295</v>
      </c>
      <c r="AR273" s="106">
        <v>3000</v>
      </c>
      <c r="AS273" s="106">
        <v>5.0000000000000001E-3</v>
      </c>
      <c r="AT273" s="106">
        <v>5.0000000000000001E-3</v>
      </c>
      <c r="AU273" s="108" t="s">
        <v>164</v>
      </c>
      <c r="AV273" s="108" t="s">
        <v>371</v>
      </c>
      <c r="AW273" s="108">
        <v>3015</v>
      </c>
      <c r="AX273" s="108">
        <v>50</v>
      </c>
      <c r="AY273" s="108">
        <v>50</v>
      </c>
      <c r="BD273" s="106">
        <v>0</v>
      </c>
      <c r="BY273" s="112" t="s">
        <v>1766</v>
      </c>
      <c r="BZ273" s="112" t="s">
        <v>1766</v>
      </c>
      <c r="CA273" s="112" t="s">
        <v>1766</v>
      </c>
      <c r="CB273" s="112" t="s">
        <v>1766</v>
      </c>
      <c r="CC273" s="112" t="s">
        <v>1766</v>
      </c>
      <c r="CD273" s="112" t="s">
        <v>1766</v>
      </c>
      <c r="CE273" s="112" t="s">
        <v>1766</v>
      </c>
      <c r="CF273" s="112" t="s">
        <v>1766</v>
      </c>
      <c r="CG273" s="112" t="s">
        <v>1766</v>
      </c>
      <c r="CH273" s="112" t="s">
        <v>1766</v>
      </c>
      <c r="CI273" s="112" t="s">
        <v>1766</v>
      </c>
      <c r="CJ273" s="112" t="s">
        <v>1766</v>
      </c>
      <c r="CK273" s="112" t="s">
        <v>1766</v>
      </c>
      <c r="CL273" s="112" t="s">
        <v>1766</v>
      </c>
      <c r="CM273" s="112" t="s">
        <v>1766</v>
      </c>
      <c r="CN273" s="112" t="s">
        <v>1766</v>
      </c>
      <c r="CO273" s="112" t="s">
        <v>1766</v>
      </c>
    </row>
    <row r="274" spans="1:93">
      <c r="A274" s="106" t="s">
        <v>369</v>
      </c>
      <c r="B274" s="106">
        <v>3</v>
      </c>
      <c r="C274" s="106">
        <v>2</v>
      </c>
      <c r="D274" s="106">
        <v>4</v>
      </c>
      <c r="E274" s="106">
        <v>1</v>
      </c>
      <c r="F274" s="106">
        <v>0</v>
      </c>
      <c r="G274" s="106" t="s">
        <v>66</v>
      </c>
      <c r="I274" s="106">
        <v>201</v>
      </c>
      <c r="J274" s="106" t="s">
        <v>1766</v>
      </c>
      <c r="K274" s="106" t="s">
        <v>1318</v>
      </c>
      <c r="L274" s="106" t="s">
        <v>1322</v>
      </c>
      <c r="M274" s="106" t="s">
        <v>374</v>
      </c>
      <c r="N274" s="106">
        <v>23</v>
      </c>
      <c r="O274" s="106">
        <v>4</v>
      </c>
      <c r="T274" s="106" t="s">
        <v>1766</v>
      </c>
      <c r="V274" s="106">
        <v>6000</v>
      </c>
      <c r="W274" s="106">
        <v>1</v>
      </c>
      <c r="X274" s="106">
        <v>1</v>
      </c>
      <c r="Y274" s="106" t="s">
        <v>1766</v>
      </c>
      <c r="Z274" s="106" t="s">
        <v>1766</v>
      </c>
      <c r="AA274" s="106">
        <v>3000</v>
      </c>
      <c r="AB274" s="106">
        <v>3000</v>
      </c>
      <c r="AC274" s="106">
        <v>0</v>
      </c>
      <c r="AD274" s="106">
        <v>0</v>
      </c>
      <c r="AE274" s="106">
        <v>6000</v>
      </c>
      <c r="AF274" s="106">
        <v>6000</v>
      </c>
      <c r="AH274" s="106">
        <v>108</v>
      </c>
      <c r="AI274" s="106">
        <v>0</v>
      </c>
      <c r="AJ274" s="106">
        <v>1</v>
      </c>
      <c r="AK274" s="106">
        <v>120</v>
      </c>
      <c r="AL274" s="106">
        <v>120</v>
      </c>
      <c r="AM274" s="106">
        <v>1</v>
      </c>
      <c r="AN274" s="106">
        <v>1</v>
      </c>
      <c r="AO274" s="106">
        <v>21</v>
      </c>
      <c r="AP274" s="106" t="s">
        <v>114</v>
      </c>
      <c r="AQ274" s="106" t="s">
        <v>295</v>
      </c>
      <c r="AR274" s="106">
        <v>3000</v>
      </c>
      <c r="AS274" s="106">
        <v>0.01</v>
      </c>
      <c r="AT274" s="106">
        <v>0.01</v>
      </c>
      <c r="AU274" s="108" t="s">
        <v>164</v>
      </c>
      <c r="AV274" s="108" t="s">
        <v>371</v>
      </c>
      <c r="AW274" s="108">
        <v>3015</v>
      </c>
      <c r="AX274" s="108">
        <v>100</v>
      </c>
      <c r="AY274" s="108">
        <v>100</v>
      </c>
      <c r="BD274" s="106">
        <v>0</v>
      </c>
      <c r="BY274" s="112" t="s">
        <v>1766</v>
      </c>
      <c r="BZ274" s="112" t="s">
        <v>1766</v>
      </c>
      <c r="CA274" s="112" t="s">
        <v>1766</v>
      </c>
      <c r="CB274" s="112" t="s">
        <v>1766</v>
      </c>
      <c r="CC274" s="112" t="s">
        <v>1766</v>
      </c>
      <c r="CD274" s="112" t="s">
        <v>1766</v>
      </c>
      <c r="CE274" s="112" t="s">
        <v>1766</v>
      </c>
      <c r="CF274" s="112" t="s">
        <v>1766</v>
      </c>
      <c r="CG274" s="112" t="s">
        <v>1766</v>
      </c>
      <c r="CH274" s="112" t="s">
        <v>1766</v>
      </c>
      <c r="CI274" s="112" t="s">
        <v>1766</v>
      </c>
      <c r="CJ274" s="112" t="s">
        <v>1766</v>
      </c>
      <c r="CK274" s="112" t="s">
        <v>1766</v>
      </c>
      <c r="CL274" s="112" t="s">
        <v>1766</v>
      </c>
      <c r="CM274" s="112" t="s">
        <v>1766</v>
      </c>
      <c r="CN274" s="112" t="s">
        <v>1766</v>
      </c>
      <c r="CO274" s="112" t="s">
        <v>1766</v>
      </c>
    </row>
    <row r="275" spans="1:93">
      <c r="A275" s="106" t="s">
        <v>369</v>
      </c>
      <c r="B275" s="106">
        <v>4</v>
      </c>
      <c r="C275" s="106">
        <v>2</v>
      </c>
      <c r="D275" s="106">
        <v>4</v>
      </c>
      <c r="E275" s="106">
        <v>1</v>
      </c>
      <c r="F275" s="106">
        <v>1</v>
      </c>
      <c r="G275" s="106" t="s">
        <v>66</v>
      </c>
      <c r="I275" s="106">
        <v>201</v>
      </c>
      <c r="J275" s="106" t="s">
        <v>1766</v>
      </c>
      <c r="K275" s="106" t="s">
        <v>1318</v>
      </c>
      <c r="L275" s="106" t="s">
        <v>1322</v>
      </c>
      <c r="M275" s="106" t="s">
        <v>375</v>
      </c>
      <c r="N275" s="106">
        <v>23</v>
      </c>
      <c r="O275" s="106">
        <v>4</v>
      </c>
      <c r="T275" s="106" t="s">
        <v>1766</v>
      </c>
      <c r="V275" s="106">
        <v>12000</v>
      </c>
      <c r="W275" s="106">
        <v>1</v>
      </c>
      <c r="X275" s="106">
        <v>1</v>
      </c>
      <c r="Y275" s="106" t="s">
        <v>1766</v>
      </c>
      <c r="Z275" s="106" t="s">
        <v>1766</v>
      </c>
      <c r="AA275" s="106">
        <v>6000</v>
      </c>
      <c r="AB275" s="106">
        <v>6000</v>
      </c>
      <c r="AC275" s="106">
        <v>0</v>
      </c>
      <c r="AD275" s="106">
        <v>0</v>
      </c>
      <c r="AE275" s="106">
        <v>12000</v>
      </c>
      <c r="AF275" s="106">
        <v>12000</v>
      </c>
      <c r="AH275" s="106">
        <v>216</v>
      </c>
      <c r="AI275" s="106">
        <v>0</v>
      </c>
      <c r="AJ275" s="106">
        <v>1</v>
      </c>
      <c r="AK275" s="106">
        <v>120</v>
      </c>
      <c r="AL275" s="106">
        <v>120</v>
      </c>
      <c r="AM275" s="106">
        <v>1</v>
      </c>
      <c r="AN275" s="106">
        <v>1</v>
      </c>
      <c r="AO275" s="106">
        <v>45</v>
      </c>
      <c r="AP275" s="106" t="s">
        <v>114</v>
      </c>
      <c r="AQ275" s="106" t="s">
        <v>295</v>
      </c>
      <c r="AR275" s="106">
        <v>3000</v>
      </c>
      <c r="AS275" s="106">
        <v>1.4999999999999999E-2</v>
      </c>
      <c r="AT275" s="106">
        <v>1.4999999999999999E-2</v>
      </c>
      <c r="AU275" s="108" t="s">
        <v>164</v>
      </c>
      <c r="AV275" s="108" t="s">
        <v>371</v>
      </c>
      <c r="AW275" s="108">
        <v>3015</v>
      </c>
      <c r="AX275" s="108">
        <v>150</v>
      </c>
      <c r="AY275" s="108">
        <v>150</v>
      </c>
      <c r="BD275" s="106">
        <v>0</v>
      </c>
      <c r="BY275" s="112" t="s">
        <v>1766</v>
      </c>
      <c r="BZ275" s="112" t="s">
        <v>1766</v>
      </c>
      <c r="CA275" s="112" t="s">
        <v>1766</v>
      </c>
      <c r="CB275" s="112" t="s">
        <v>1766</v>
      </c>
      <c r="CC275" s="112" t="s">
        <v>1766</v>
      </c>
      <c r="CD275" s="112" t="s">
        <v>1766</v>
      </c>
      <c r="CE275" s="112" t="s">
        <v>1766</v>
      </c>
      <c r="CF275" s="112" t="s">
        <v>1766</v>
      </c>
      <c r="CG275" s="112" t="s">
        <v>1766</v>
      </c>
      <c r="CH275" s="112" t="s">
        <v>1766</v>
      </c>
      <c r="CI275" s="112" t="s">
        <v>1766</v>
      </c>
      <c r="CJ275" s="112" t="s">
        <v>1766</v>
      </c>
      <c r="CK275" s="112" t="s">
        <v>1766</v>
      </c>
      <c r="CL275" s="112" t="s">
        <v>1766</v>
      </c>
      <c r="CM275" s="112" t="s">
        <v>1766</v>
      </c>
      <c r="CN275" s="112" t="s">
        <v>1766</v>
      </c>
      <c r="CO275" s="112" t="s">
        <v>1766</v>
      </c>
    </row>
    <row r="276" spans="1:93">
      <c r="A276" s="106" t="s">
        <v>369</v>
      </c>
      <c r="B276" s="106">
        <v>5</v>
      </c>
      <c r="C276" s="106">
        <v>2</v>
      </c>
      <c r="D276" s="106">
        <v>4</v>
      </c>
      <c r="E276" s="106">
        <v>1</v>
      </c>
      <c r="F276" s="106">
        <v>1</v>
      </c>
      <c r="G276" s="106" t="s">
        <v>66</v>
      </c>
      <c r="I276" s="106">
        <v>201</v>
      </c>
      <c r="J276" s="106" t="s">
        <v>1766</v>
      </c>
      <c r="K276" s="106" t="s">
        <v>1318</v>
      </c>
      <c r="L276" s="106" t="s">
        <v>1323</v>
      </c>
      <c r="M276" s="106" t="s">
        <v>376</v>
      </c>
      <c r="N276" s="106">
        <v>23</v>
      </c>
      <c r="O276" s="106">
        <v>5</v>
      </c>
      <c r="T276" s="106" t="s">
        <v>1766</v>
      </c>
      <c r="V276" s="106">
        <v>23160</v>
      </c>
      <c r="W276" s="106">
        <v>1</v>
      </c>
      <c r="X276" s="106">
        <v>1</v>
      </c>
      <c r="Y276" s="106">
        <v>1</v>
      </c>
      <c r="Z276" s="106" t="s">
        <v>1766</v>
      </c>
      <c r="AA276" s="106">
        <v>7700</v>
      </c>
      <c r="AB276" s="106">
        <v>7700</v>
      </c>
      <c r="AC276" s="106">
        <v>7700</v>
      </c>
      <c r="AD276" s="106">
        <v>0</v>
      </c>
      <c r="AE276" s="106">
        <v>23100</v>
      </c>
      <c r="AF276" s="106">
        <v>23100</v>
      </c>
      <c r="AH276" s="106">
        <v>450</v>
      </c>
      <c r="AI276" s="106">
        <v>0</v>
      </c>
      <c r="AJ276" s="106">
        <v>2</v>
      </c>
      <c r="AK276" s="106">
        <v>120</v>
      </c>
      <c r="AL276" s="106">
        <v>240</v>
      </c>
      <c r="AM276" s="106">
        <v>1</v>
      </c>
      <c r="AN276" s="106">
        <v>1</v>
      </c>
      <c r="AO276" s="106">
        <v>91</v>
      </c>
      <c r="AP276" s="106" t="s">
        <v>114</v>
      </c>
      <c r="AQ276" s="106" t="s">
        <v>295</v>
      </c>
      <c r="AR276" s="106">
        <v>3000</v>
      </c>
      <c r="AS276" s="106">
        <v>0.02</v>
      </c>
      <c r="AT276" s="106">
        <v>0.02</v>
      </c>
      <c r="AU276" s="108" t="s">
        <v>164</v>
      </c>
      <c r="AV276" s="108" t="s">
        <v>371</v>
      </c>
      <c r="AW276" s="108">
        <v>3015</v>
      </c>
      <c r="AX276" s="108">
        <v>200</v>
      </c>
      <c r="AY276" s="108">
        <v>200</v>
      </c>
      <c r="BD276" s="106">
        <v>0</v>
      </c>
      <c r="BY276" s="112" t="s">
        <v>1766</v>
      </c>
      <c r="BZ276" s="112" t="s">
        <v>1766</v>
      </c>
      <c r="CA276" s="112" t="s">
        <v>1766</v>
      </c>
      <c r="CB276" s="112" t="s">
        <v>1766</v>
      </c>
      <c r="CC276" s="112" t="s">
        <v>1766</v>
      </c>
      <c r="CD276" s="112" t="s">
        <v>1766</v>
      </c>
      <c r="CE276" s="112" t="s">
        <v>1766</v>
      </c>
      <c r="CF276" s="112" t="s">
        <v>1766</v>
      </c>
      <c r="CG276" s="112" t="s">
        <v>1766</v>
      </c>
      <c r="CH276" s="112" t="s">
        <v>1766</v>
      </c>
      <c r="CI276" s="112" t="s">
        <v>1766</v>
      </c>
      <c r="CJ276" s="112" t="s">
        <v>1766</v>
      </c>
      <c r="CK276" s="112" t="s">
        <v>1766</v>
      </c>
      <c r="CL276" s="112" t="s">
        <v>1766</v>
      </c>
      <c r="CM276" s="112" t="s">
        <v>1766</v>
      </c>
      <c r="CN276" s="112" t="s">
        <v>1766</v>
      </c>
      <c r="CO276" s="112" t="s">
        <v>1766</v>
      </c>
    </row>
    <row r="277" spans="1:93">
      <c r="A277" s="106" t="s">
        <v>369</v>
      </c>
      <c r="B277" s="106">
        <v>6</v>
      </c>
      <c r="C277" s="106">
        <v>2</v>
      </c>
      <c r="D277" s="106">
        <v>4</v>
      </c>
      <c r="E277" s="106">
        <v>1</v>
      </c>
      <c r="F277" s="106">
        <v>1</v>
      </c>
      <c r="G277" s="106" t="s">
        <v>66</v>
      </c>
      <c r="I277" s="106">
        <v>201</v>
      </c>
      <c r="J277" s="106" t="s">
        <v>1766</v>
      </c>
      <c r="K277" s="106" t="s">
        <v>1318</v>
      </c>
      <c r="L277" s="106" t="s">
        <v>1324</v>
      </c>
      <c r="M277" s="106" t="s">
        <v>377</v>
      </c>
      <c r="N277" s="106">
        <v>23</v>
      </c>
      <c r="O277" s="106">
        <v>6</v>
      </c>
      <c r="T277" s="106" t="s">
        <v>1766</v>
      </c>
      <c r="V277" s="106">
        <v>43077.599999999999</v>
      </c>
      <c r="W277" s="106">
        <v>1</v>
      </c>
      <c r="X277" s="106">
        <v>1</v>
      </c>
      <c r="Y277" s="106">
        <v>1</v>
      </c>
      <c r="Z277" s="106" t="s">
        <v>1766</v>
      </c>
      <c r="AA277" s="106">
        <v>14000</v>
      </c>
      <c r="AB277" s="106">
        <v>14000</v>
      </c>
      <c r="AC277" s="106">
        <v>14000</v>
      </c>
      <c r="AD277" s="106">
        <v>0</v>
      </c>
      <c r="AE277" s="106">
        <v>42000</v>
      </c>
      <c r="AF277" s="106">
        <v>42000</v>
      </c>
      <c r="AH277" s="106">
        <v>810</v>
      </c>
      <c r="AI277" s="106">
        <v>0</v>
      </c>
      <c r="AJ277" s="106">
        <v>2</v>
      </c>
      <c r="AK277" s="106">
        <v>120</v>
      </c>
      <c r="AL277" s="106">
        <v>240</v>
      </c>
      <c r="AM277" s="106">
        <v>270</v>
      </c>
      <c r="AN277" s="106">
        <v>270</v>
      </c>
      <c r="AO277" s="106">
        <v>177</v>
      </c>
      <c r="AP277" s="106" t="s">
        <v>114</v>
      </c>
      <c r="AQ277" s="106" t="s">
        <v>295</v>
      </c>
      <c r="AR277" s="106">
        <v>3000</v>
      </c>
      <c r="AS277" s="106">
        <v>2.5000000000000001E-2</v>
      </c>
      <c r="AT277" s="106">
        <v>2.5000000000000001E-2</v>
      </c>
      <c r="AU277" s="108" t="s">
        <v>164</v>
      </c>
      <c r="AV277" s="108" t="s">
        <v>371</v>
      </c>
      <c r="AW277" s="108">
        <v>3015</v>
      </c>
      <c r="AX277" s="108">
        <v>250</v>
      </c>
      <c r="AY277" s="108">
        <v>250</v>
      </c>
      <c r="BD277" s="106">
        <v>0</v>
      </c>
      <c r="BY277" s="112" t="s">
        <v>1766</v>
      </c>
      <c r="BZ277" s="112" t="s">
        <v>1766</v>
      </c>
      <c r="CA277" s="112" t="s">
        <v>1766</v>
      </c>
      <c r="CB277" s="112" t="s">
        <v>1766</v>
      </c>
      <c r="CC277" s="112" t="s">
        <v>1766</v>
      </c>
      <c r="CD277" s="112" t="s">
        <v>1766</v>
      </c>
      <c r="CE277" s="112" t="s">
        <v>1766</v>
      </c>
      <c r="CF277" s="112" t="s">
        <v>1766</v>
      </c>
      <c r="CG277" s="112" t="s">
        <v>1766</v>
      </c>
      <c r="CH277" s="112" t="s">
        <v>1766</v>
      </c>
      <c r="CI277" s="112" t="s">
        <v>1766</v>
      </c>
      <c r="CJ277" s="112" t="s">
        <v>1766</v>
      </c>
      <c r="CK277" s="112" t="s">
        <v>1766</v>
      </c>
      <c r="CL277" s="112" t="s">
        <v>1766</v>
      </c>
      <c r="CM277" s="112" t="s">
        <v>1766</v>
      </c>
      <c r="CN277" s="112" t="s">
        <v>1766</v>
      </c>
      <c r="CO277" s="112" t="s">
        <v>1766</v>
      </c>
    </row>
    <row r="278" spans="1:93">
      <c r="A278" s="106" t="s">
        <v>369</v>
      </c>
      <c r="B278" s="106">
        <v>7</v>
      </c>
      <c r="C278" s="106">
        <v>2</v>
      </c>
      <c r="D278" s="106">
        <v>4</v>
      </c>
      <c r="E278" s="106">
        <v>1</v>
      </c>
      <c r="F278" s="106">
        <v>1</v>
      </c>
      <c r="G278" s="106" t="s">
        <v>66</v>
      </c>
      <c r="I278" s="106">
        <v>201</v>
      </c>
      <c r="J278" s="106" t="s">
        <v>1766</v>
      </c>
      <c r="K278" s="106" t="s">
        <v>1318</v>
      </c>
      <c r="L278" s="106" t="s">
        <v>1325</v>
      </c>
      <c r="M278" s="106" t="s">
        <v>378</v>
      </c>
      <c r="N278" s="106">
        <v>23</v>
      </c>
      <c r="O278" s="106">
        <v>7</v>
      </c>
      <c r="T278" s="106" t="s">
        <v>1766</v>
      </c>
      <c r="V278" s="106">
        <v>77108.903999999995</v>
      </c>
      <c r="W278" s="106">
        <v>1</v>
      </c>
      <c r="X278" s="106">
        <v>1</v>
      </c>
      <c r="Y278" s="106">
        <v>1</v>
      </c>
      <c r="Z278" s="106" t="s">
        <v>1766</v>
      </c>
      <c r="AA278" s="106">
        <v>26000</v>
      </c>
      <c r="AB278" s="106">
        <v>26000</v>
      </c>
      <c r="AC278" s="106">
        <v>26000</v>
      </c>
      <c r="AD278" s="106">
        <v>0</v>
      </c>
      <c r="AE278" s="106">
        <v>78000</v>
      </c>
      <c r="AF278" s="106">
        <v>78000</v>
      </c>
      <c r="AH278" s="106">
        <v>1350</v>
      </c>
      <c r="AI278" s="106">
        <v>0</v>
      </c>
      <c r="AJ278" s="106">
        <v>3</v>
      </c>
      <c r="AK278" s="106">
        <v>120</v>
      </c>
      <c r="AL278" s="106">
        <v>360</v>
      </c>
      <c r="AM278" s="106">
        <v>690</v>
      </c>
      <c r="AN278" s="106">
        <v>690</v>
      </c>
      <c r="AO278" s="106">
        <v>331</v>
      </c>
      <c r="AP278" s="106" t="s">
        <v>114</v>
      </c>
      <c r="AQ278" s="106" t="s">
        <v>295</v>
      </c>
      <c r="AR278" s="106">
        <v>3000</v>
      </c>
      <c r="AS278" s="106">
        <v>0.03</v>
      </c>
      <c r="AT278" s="106">
        <v>0.03</v>
      </c>
      <c r="AU278" s="108" t="s">
        <v>164</v>
      </c>
      <c r="AV278" s="108" t="s">
        <v>371</v>
      </c>
      <c r="AW278" s="108">
        <v>3015</v>
      </c>
      <c r="AX278" s="108">
        <v>300</v>
      </c>
      <c r="AY278" s="108">
        <v>300</v>
      </c>
      <c r="BD278" s="106">
        <v>0</v>
      </c>
      <c r="BY278" s="112" t="s">
        <v>1766</v>
      </c>
      <c r="BZ278" s="112" t="s">
        <v>1766</v>
      </c>
      <c r="CA278" s="112" t="s">
        <v>1766</v>
      </c>
      <c r="CB278" s="112" t="s">
        <v>1766</v>
      </c>
      <c r="CC278" s="112" t="s">
        <v>1766</v>
      </c>
      <c r="CD278" s="112" t="s">
        <v>1766</v>
      </c>
      <c r="CE278" s="112" t="s">
        <v>1766</v>
      </c>
      <c r="CF278" s="112" t="s">
        <v>1766</v>
      </c>
      <c r="CG278" s="112" t="s">
        <v>1766</v>
      </c>
      <c r="CH278" s="112" t="s">
        <v>1766</v>
      </c>
      <c r="CI278" s="112" t="s">
        <v>1766</v>
      </c>
      <c r="CJ278" s="112" t="s">
        <v>1766</v>
      </c>
      <c r="CK278" s="112" t="s">
        <v>1766</v>
      </c>
      <c r="CL278" s="112" t="s">
        <v>1766</v>
      </c>
      <c r="CM278" s="112" t="s">
        <v>1766</v>
      </c>
      <c r="CN278" s="112" t="s">
        <v>1766</v>
      </c>
      <c r="CO278" s="112" t="s">
        <v>1766</v>
      </c>
    </row>
    <row r="279" spans="1:93">
      <c r="A279" s="106" t="s">
        <v>369</v>
      </c>
      <c r="B279" s="106">
        <v>8</v>
      </c>
      <c r="C279" s="106">
        <v>2</v>
      </c>
      <c r="D279" s="106">
        <v>4</v>
      </c>
      <c r="E279" s="106">
        <v>1</v>
      </c>
      <c r="F279" s="106">
        <v>1</v>
      </c>
      <c r="G279" s="106" t="s">
        <v>66</v>
      </c>
      <c r="I279" s="106">
        <v>201</v>
      </c>
      <c r="J279" s="106" t="s">
        <v>1766</v>
      </c>
      <c r="K279" s="106" t="s">
        <v>1318</v>
      </c>
      <c r="L279" s="106" t="s">
        <v>1326</v>
      </c>
      <c r="M279" s="106" t="s">
        <v>379</v>
      </c>
      <c r="N279" s="106">
        <v>23</v>
      </c>
      <c r="O279" s="106">
        <v>8</v>
      </c>
      <c r="T279" s="106" t="s">
        <v>1766</v>
      </c>
      <c r="V279" s="106">
        <v>132627.31487999999</v>
      </c>
      <c r="W279" s="106">
        <v>1</v>
      </c>
      <c r="X279" s="106">
        <v>1</v>
      </c>
      <c r="Y279" s="106">
        <v>1</v>
      </c>
      <c r="Z279" s="106" t="s">
        <v>1766</v>
      </c>
      <c r="AA279" s="106">
        <v>44000</v>
      </c>
      <c r="AB279" s="106">
        <v>44000</v>
      </c>
      <c r="AC279" s="106">
        <v>44000</v>
      </c>
      <c r="AD279" s="106">
        <v>0</v>
      </c>
      <c r="AE279" s="106">
        <v>132000</v>
      </c>
      <c r="AF279" s="106">
        <v>132000</v>
      </c>
      <c r="AH279" s="106">
        <v>2160</v>
      </c>
      <c r="AI279" s="106">
        <v>0</v>
      </c>
      <c r="AJ279" s="106">
        <v>3</v>
      </c>
      <c r="AK279" s="106">
        <v>120</v>
      </c>
      <c r="AL279" s="106">
        <v>360</v>
      </c>
      <c r="AM279" s="106">
        <v>1500</v>
      </c>
      <c r="AN279" s="106">
        <v>1500</v>
      </c>
      <c r="AO279" s="106">
        <v>596</v>
      </c>
      <c r="AP279" s="106" t="s">
        <v>114</v>
      </c>
      <c r="AQ279" s="106" t="s">
        <v>295</v>
      </c>
      <c r="AR279" s="106">
        <v>3000</v>
      </c>
      <c r="AS279" s="106">
        <v>3.5000000000000003E-2</v>
      </c>
      <c r="AT279" s="106">
        <v>3.5000000000000003E-2</v>
      </c>
      <c r="AU279" s="108" t="s">
        <v>164</v>
      </c>
      <c r="AV279" s="108" t="s">
        <v>371</v>
      </c>
      <c r="AW279" s="108">
        <v>3015</v>
      </c>
      <c r="AX279" s="108">
        <v>350</v>
      </c>
      <c r="AY279" s="108">
        <v>350</v>
      </c>
      <c r="BD279" s="106">
        <v>0</v>
      </c>
      <c r="BY279" s="112" t="s">
        <v>1766</v>
      </c>
      <c r="BZ279" s="112" t="s">
        <v>1766</v>
      </c>
      <c r="CA279" s="112" t="s">
        <v>1766</v>
      </c>
      <c r="CB279" s="112" t="s">
        <v>1766</v>
      </c>
      <c r="CC279" s="112" t="s">
        <v>1766</v>
      </c>
      <c r="CD279" s="112" t="s">
        <v>1766</v>
      </c>
      <c r="CE279" s="112" t="s">
        <v>1766</v>
      </c>
      <c r="CF279" s="112" t="s">
        <v>1766</v>
      </c>
      <c r="CG279" s="112" t="s">
        <v>1766</v>
      </c>
      <c r="CH279" s="112" t="s">
        <v>1766</v>
      </c>
      <c r="CI279" s="112" t="s">
        <v>1766</v>
      </c>
      <c r="CJ279" s="112" t="s">
        <v>1766</v>
      </c>
      <c r="CK279" s="112" t="s">
        <v>1766</v>
      </c>
      <c r="CL279" s="112" t="s">
        <v>1766</v>
      </c>
      <c r="CM279" s="112" t="s">
        <v>1766</v>
      </c>
      <c r="CN279" s="112" t="s">
        <v>1766</v>
      </c>
      <c r="CO279" s="112" t="s">
        <v>1766</v>
      </c>
    </row>
    <row r="280" spans="1:93">
      <c r="A280" s="106" t="s">
        <v>369</v>
      </c>
      <c r="B280" s="106">
        <v>9</v>
      </c>
      <c r="C280" s="106">
        <v>2</v>
      </c>
      <c r="D280" s="106">
        <v>4</v>
      </c>
      <c r="E280" s="106">
        <v>1</v>
      </c>
      <c r="F280" s="106">
        <v>1</v>
      </c>
      <c r="G280" s="106" t="s">
        <v>66</v>
      </c>
      <c r="I280" s="106">
        <v>201</v>
      </c>
      <c r="J280" s="106" t="s">
        <v>1766</v>
      </c>
      <c r="K280" s="106" t="s">
        <v>1318</v>
      </c>
      <c r="L280" s="106" t="s">
        <v>1327</v>
      </c>
      <c r="M280" s="106" t="s">
        <v>380</v>
      </c>
      <c r="N280" s="106">
        <v>23</v>
      </c>
      <c r="O280" s="106">
        <v>9</v>
      </c>
      <c r="T280" s="106" t="s">
        <v>1766</v>
      </c>
      <c r="V280" s="106">
        <v>218835.069552</v>
      </c>
      <c r="W280" s="106">
        <v>1</v>
      </c>
      <c r="X280" s="106">
        <v>1</v>
      </c>
      <c r="Y280" s="106">
        <v>1</v>
      </c>
      <c r="Z280" s="106" t="s">
        <v>1766</v>
      </c>
      <c r="AA280" s="106">
        <v>73000</v>
      </c>
      <c r="AB280" s="106">
        <v>73000</v>
      </c>
      <c r="AC280" s="106">
        <v>73000</v>
      </c>
      <c r="AD280" s="106">
        <v>0</v>
      </c>
      <c r="AE280" s="106">
        <v>219000</v>
      </c>
      <c r="AF280" s="106">
        <v>219000</v>
      </c>
      <c r="AH280" s="106">
        <v>4320</v>
      </c>
      <c r="AI280" s="106">
        <v>0</v>
      </c>
      <c r="AJ280" s="106">
        <v>4</v>
      </c>
      <c r="AK280" s="106">
        <v>120</v>
      </c>
      <c r="AL280" s="106">
        <v>480</v>
      </c>
      <c r="AM280" s="106">
        <v>3540</v>
      </c>
      <c r="AN280" s="106">
        <v>3540</v>
      </c>
      <c r="AO280" s="106">
        <v>1034</v>
      </c>
      <c r="AP280" s="106" t="s">
        <v>114</v>
      </c>
      <c r="AQ280" s="106" t="s">
        <v>295</v>
      </c>
      <c r="AR280" s="106">
        <v>3000</v>
      </c>
      <c r="AS280" s="106">
        <v>0.04</v>
      </c>
      <c r="AT280" s="106">
        <v>0.04</v>
      </c>
      <c r="AU280" s="108" t="s">
        <v>164</v>
      </c>
      <c r="AV280" s="108" t="s">
        <v>371</v>
      </c>
      <c r="AW280" s="108">
        <v>3015</v>
      </c>
      <c r="AX280" s="108">
        <v>400</v>
      </c>
      <c r="AY280" s="108">
        <v>400</v>
      </c>
      <c r="BD280" s="106">
        <v>0</v>
      </c>
      <c r="BY280" s="112" t="s">
        <v>1766</v>
      </c>
      <c r="BZ280" s="112" t="s">
        <v>1766</v>
      </c>
      <c r="CA280" s="112" t="s">
        <v>1766</v>
      </c>
      <c r="CB280" s="112" t="s">
        <v>1766</v>
      </c>
      <c r="CC280" s="112" t="s">
        <v>1766</v>
      </c>
      <c r="CD280" s="112" t="s">
        <v>1766</v>
      </c>
      <c r="CE280" s="112" t="s">
        <v>1766</v>
      </c>
      <c r="CF280" s="112" t="s">
        <v>1766</v>
      </c>
      <c r="CG280" s="112" t="s">
        <v>1766</v>
      </c>
      <c r="CH280" s="112" t="s">
        <v>1766</v>
      </c>
      <c r="CI280" s="112" t="s">
        <v>1766</v>
      </c>
      <c r="CJ280" s="112" t="s">
        <v>1766</v>
      </c>
      <c r="CK280" s="112" t="s">
        <v>1766</v>
      </c>
      <c r="CL280" s="112" t="s">
        <v>1766</v>
      </c>
      <c r="CM280" s="112" t="s">
        <v>1766</v>
      </c>
      <c r="CN280" s="112" t="s">
        <v>1766</v>
      </c>
      <c r="CO280" s="112" t="s">
        <v>1766</v>
      </c>
    </row>
    <row r="281" spans="1:93">
      <c r="A281" s="106" t="s">
        <v>369</v>
      </c>
      <c r="B281" s="106">
        <v>10</v>
      </c>
      <c r="C281" s="106">
        <v>2</v>
      </c>
      <c r="D281" s="106">
        <v>4</v>
      </c>
      <c r="E281" s="106">
        <v>1</v>
      </c>
      <c r="F281" s="106">
        <v>1</v>
      </c>
      <c r="G281" s="106" t="s">
        <v>66</v>
      </c>
      <c r="I281" s="106">
        <v>201</v>
      </c>
      <c r="J281" s="106" t="s">
        <v>1766</v>
      </c>
      <c r="K281" s="106" t="s">
        <v>1318</v>
      </c>
      <c r="L281" s="106" t="s">
        <v>1328</v>
      </c>
      <c r="M281" s="106" t="s">
        <v>381</v>
      </c>
      <c r="N281" s="106">
        <v>23</v>
      </c>
      <c r="O281" s="106">
        <v>10</v>
      </c>
      <c r="T281" s="106" t="s">
        <v>1766</v>
      </c>
      <c r="V281" s="106">
        <v>345759.40989215998</v>
      </c>
      <c r="W281" s="106">
        <v>1</v>
      </c>
      <c r="X281" s="106">
        <v>1</v>
      </c>
      <c r="Y281" s="106">
        <v>1</v>
      </c>
      <c r="Z281" s="106">
        <v>1</v>
      </c>
      <c r="AA281" s="106">
        <v>86000</v>
      </c>
      <c r="AB281" s="106">
        <v>86000</v>
      </c>
      <c r="AC281" s="106">
        <v>86000</v>
      </c>
      <c r="AD281" s="106">
        <v>86000</v>
      </c>
      <c r="AE281" s="106">
        <v>344000</v>
      </c>
      <c r="AF281" s="106">
        <v>344000</v>
      </c>
      <c r="AH281" s="106">
        <v>6480</v>
      </c>
      <c r="AI281" s="106">
        <v>0.01</v>
      </c>
      <c r="AJ281" s="106">
        <v>4</v>
      </c>
      <c r="AK281" s="106">
        <v>120</v>
      </c>
      <c r="AL281" s="106">
        <v>480</v>
      </c>
      <c r="AM281" s="106">
        <v>5635</v>
      </c>
      <c r="AN281" s="106">
        <v>5635</v>
      </c>
      <c r="AO281" s="106">
        <v>1726</v>
      </c>
      <c r="AP281" s="106" t="s">
        <v>114</v>
      </c>
      <c r="AQ281" s="106" t="s">
        <v>295</v>
      </c>
      <c r="AR281" s="106">
        <v>3000</v>
      </c>
      <c r="AS281" s="106">
        <v>4.4999999999999998E-2</v>
      </c>
      <c r="AT281" s="106">
        <v>4.4999999999999998E-2</v>
      </c>
      <c r="AU281" s="108" t="s">
        <v>164</v>
      </c>
      <c r="AV281" s="108" t="s">
        <v>371</v>
      </c>
      <c r="AW281" s="108">
        <v>3015</v>
      </c>
      <c r="AX281" s="108">
        <v>450</v>
      </c>
      <c r="AY281" s="108">
        <v>450</v>
      </c>
      <c r="BD281" s="106">
        <v>0</v>
      </c>
      <c r="BY281" s="112" t="s">
        <v>1766</v>
      </c>
      <c r="BZ281" s="112" t="s">
        <v>1766</v>
      </c>
      <c r="CA281" s="112" t="s">
        <v>1766</v>
      </c>
      <c r="CB281" s="112" t="s">
        <v>1766</v>
      </c>
      <c r="CC281" s="112" t="s">
        <v>1766</v>
      </c>
      <c r="CD281" s="112" t="s">
        <v>1766</v>
      </c>
      <c r="CE281" s="112" t="s">
        <v>1766</v>
      </c>
      <c r="CF281" s="112" t="s">
        <v>1766</v>
      </c>
      <c r="CG281" s="112" t="s">
        <v>1766</v>
      </c>
      <c r="CH281" s="112" t="s">
        <v>1766</v>
      </c>
      <c r="CI281" s="112" t="s">
        <v>1766</v>
      </c>
      <c r="CJ281" s="112" t="s">
        <v>1766</v>
      </c>
      <c r="CK281" s="112" t="s">
        <v>1766</v>
      </c>
      <c r="CL281" s="112" t="s">
        <v>1766</v>
      </c>
      <c r="CM281" s="112" t="s">
        <v>1766</v>
      </c>
      <c r="CN281" s="112" t="s">
        <v>1766</v>
      </c>
      <c r="CO281" s="112" t="s">
        <v>1766</v>
      </c>
    </row>
    <row r="282" spans="1:93">
      <c r="A282" s="106" t="s">
        <v>369</v>
      </c>
      <c r="B282" s="106">
        <v>11</v>
      </c>
      <c r="C282" s="106">
        <v>2</v>
      </c>
      <c r="D282" s="106">
        <v>4</v>
      </c>
      <c r="E282" s="106">
        <v>1</v>
      </c>
      <c r="F282" s="106">
        <v>1</v>
      </c>
      <c r="G282" s="106" t="s">
        <v>66</v>
      </c>
      <c r="H282" s="106" t="s">
        <v>271</v>
      </c>
      <c r="I282" s="106">
        <v>201</v>
      </c>
      <c r="J282" s="106">
        <v>234</v>
      </c>
      <c r="K282" s="106" t="s">
        <v>1443</v>
      </c>
      <c r="L282" s="106" t="s">
        <v>1252</v>
      </c>
      <c r="M282" s="106" t="s">
        <v>382</v>
      </c>
      <c r="N282" s="106">
        <v>23</v>
      </c>
      <c r="O282" s="106">
        <v>11</v>
      </c>
      <c r="T282" s="106" t="s">
        <v>1766</v>
      </c>
      <c r="V282" s="106">
        <v>522096.70893716102</v>
      </c>
      <c r="W282" s="106">
        <v>1</v>
      </c>
      <c r="X282" s="106">
        <v>1</v>
      </c>
      <c r="Y282" s="106">
        <v>1</v>
      </c>
      <c r="Z282" s="106">
        <v>1</v>
      </c>
      <c r="AA282" s="106">
        <v>130000</v>
      </c>
      <c r="AB282" s="106">
        <v>130000</v>
      </c>
      <c r="AC282" s="106">
        <v>130000</v>
      </c>
      <c r="AD282" s="106">
        <v>130000</v>
      </c>
      <c r="AE282" s="106">
        <v>520000</v>
      </c>
      <c r="AF282" s="106">
        <v>520000</v>
      </c>
      <c r="AH282" s="106">
        <v>9720</v>
      </c>
      <c r="AI282" s="106">
        <v>0.02</v>
      </c>
      <c r="AJ282" s="106">
        <v>5</v>
      </c>
      <c r="AK282" s="106">
        <v>120</v>
      </c>
      <c r="AL282" s="106">
        <v>600</v>
      </c>
      <c r="AM282" s="106">
        <v>8629</v>
      </c>
      <c r="AN282" s="106">
        <v>8629</v>
      </c>
      <c r="AO282" s="106">
        <v>2770</v>
      </c>
      <c r="AP282" s="106" t="s">
        <v>114</v>
      </c>
      <c r="AQ282" s="106" t="s">
        <v>295</v>
      </c>
      <c r="AR282" s="106">
        <v>3000</v>
      </c>
      <c r="AS282" s="106">
        <v>0.05</v>
      </c>
      <c r="AT282" s="106">
        <v>0.05</v>
      </c>
      <c r="AU282" s="108" t="s">
        <v>164</v>
      </c>
      <c r="AV282" s="108" t="s">
        <v>371</v>
      </c>
      <c r="AW282" s="108">
        <v>3015</v>
      </c>
      <c r="AX282" s="108">
        <v>500</v>
      </c>
      <c r="AY282" s="108">
        <v>500</v>
      </c>
      <c r="BD282" s="106">
        <v>0</v>
      </c>
      <c r="BY282" s="112" t="s">
        <v>1766</v>
      </c>
      <c r="BZ282" s="112" t="s">
        <v>1766</v>
      </c>
      <c r="CA282" s="112" t="s">
        <v>1766</v>
      </c>
      <c r="CB282" s="112" t="s">
        <v>1766</v>
      </c>
      <c r="CC282" s="112" t="s">
        <v>1766</v>
      </c>
      <c r="CD282" s="112" t="s">
        <v>1766</v>
      </c>
      <c r="CE282" s="112" t="s">
        <v>1766</v>
      </c>
      <c r="CF282" s="112" t="s">
        <v>1766</v>
      </c>
      <c r="CG282" s="112" t="s">
        <v>1766</v>
      </c>
      <c r="CH282" s="112" t="s">
        <v>1766</v>
      </c>
      <c r="CI282" s="112" t="s">
        <v>1766</v>
      </c>
      <c r="CJ282" s="112" t="s">
        <v>1766</v>
      </c>
      <c r="CK282" s="112" t="s">
        <v>1766</v>
      </c>
      <c r="CL282" s="112" t="s">
        <v>1766</v>
      </c>
      <c r="CM282" s="112" t="s">
        <v>1766</v>
      </c>
      <c r="CN282" s="112" t="s">
        <v>1766</v>
      </c>
      <c r="CO282" s="112" t="s">
        <v>1766</v>
      </c>
    </row>
    <row r="283" spans="1:93">
      <c r="A283" s="106" t="s">
        <v>369</v>
      </c>
      <c r="B283" s="106">
        <v>12</v>
      </c>
      <c r="C283" s="106">
        <v>2</v>
      </c>
      <c r="D283" s="106">
        <v>4</v>
      </c>
      <c r="E283" s="106">
        <v>1</v>
      </c>
      <c r="F283" s="106">
        <v>1</v>
      </c>
      <c r="G283" s="106" t="s">
        <v>66</v>
      </c>
      <c r="H283" s="106" t="s">
        <v>271</v>
      </c>
      <c r="I283" s="106">
        <v>201</v>
      </c>
      <c r="J283" s="106">
        <v>234</v>
      </c>
      <c r="K283" s="106" t="s">
        <v>1443</v>
      </c>
      <c r="L283" s="106" t="s">
        <v>1258</v>
      </c>
      <c r="M283" s="106" t="s">
        <v>383</v>
      </c>
      <c r="N283" s="106">
        <v>23</v>
      </c>
      <c r="O283" s="106">
        <v>12</v>
      </c>
      <c r="T283" s="106" t="s">
        <v>1766</v>
      </c>
      <c r="V283" s="106">
        <v>751819.26086951199</v>
      </c>
      <c r="W283" s="106">
        <v>1</v>
      </c>
      <c r="X283" s="106">
        <v>1</v>
      </c>
      <c r="Y283" s="106">
        <v>1</v>
      </c>
      <c r="Z283" s="106">
        <v>1</v>
      </c>
      <c r="AA283" s="106">
        <v>190000</v>
      </c>
      <c r="AB283" s="106">
        <v>190000</v>
      </c>
      <c r="AC283" s="106">
        <v>190000</v>
      </c>
      <c r="AD283" s="106">
        <v>190000</v>
      </c>
      <c r="AE283" s="106">
        <v>760000</v>
      </c>
      <c r="AF283" s="106">
        <v>760000</v>
      </c>
      <c r="AH283" s="106">
        <v>12960</v>
      </c>
      <c r="AI283" s="106">
        <v>0.03</v>
      </c>
      <c r="AJ283" s="106">
        <v>5</v>
      </c>
      <c r="AK283" s="106">
        <v>129.6</v>
      </c>
      <c r="AL283" s="106">
        <v>648</v>
      </c>
      <c r="AM283" s="106">
        <v>11634</v>
      </c>
      <c r="AN283" s="106">
        <v>11634</v>
      </c>
      <c r="AO283" s="106">
        <v>4273</v>
      </c>
      <c r="AP283" s="106" t="s">
        <v>114</v>
      </c>
      <c r="AQ283" s="106" t="s">
        <v>295</v>
      </c>
      <c r="AR283" s="106">
        <v>3000</v>
      </c>
      <c r="AS283" s="106">
        <v>5.5E-2</v>
      </c>
      <c r="AT283" s="106">
        <v>5.5E-2</v>
      </c>
      <c r="AU283" s="108" t="s">
        <v>164</v>
      </c>
      <c r="AV283" s="108" t="s">
        <v>371</v>
      </c>
      <c r="AW283" s="108">
        <v>3015</v>
      </c>
      <c r="AX283" s="108">
        <v>550</v>
      </c>
      <c r="AY283" s="108">
        <v>550</v>
      </c>
      <c r="BC283" s="113"/>
      <c r="BD283" s="113">
        <v>0</v>
      </c>
      <c r="BY283" s="112" t="s">
        <v>1766</v>
      </c>
      <c r="BZ283" s="112" t="s">
        <v>1766</v>
      </c>
      <c r="CA283" s="112" t="s">
        <v>1766</v>
      </c>
      <c r="CB283" s="112" t="s">
        <v>1766</v>
      </c>
      <c r="CC283" s="112" t="s">
        <v>1766</v>
      </c>
      <c r="CD283" s="112" t="s">
        <v>1766</v>
      </c>
      <c r="CE283" s="112" t="s">
        <v>1766</v>
      </c>
      <c r="CF283" s="112" t="s">
        <v>1766</v>
      </c>
      <c r="CG283" s="112" t="s">
        <v>1766</v>
      </c>
      <c r="CH283" s="112" t="s">
        <v>1766</v>
      </c>
      <c r="CI283" s="112" t="s">
        <v>1766</v>
      </c>
      <c r="CJ283" s="112" t="s">
        <v>1766</v>
      </c>
      <c r="CK283" s="112" t="s">
        <v>1766</v>
      </c>
      <c r="CL283" s="112" t="s">
        <v>1766</v>
      </c>
      <c r="CM283" s="112" t="s">
        <v>1766</v>
      </c>
      <c r="CN283" s="112" t="s">
        <v>1766</v>
      </c>
      <c r="CO283" s="112" t="s">
        <v>1766</v>
      </c>
    </row>
    <row r="284" spans="1:93">
      <c r="A284" s="106" t="s">
        <v>369</v>
      </c>
      <c r="B284" s="106">
        <v>13</v>
      </c>
      <c r="C284" s="106">
        <v>2</v>
      </c>
      <c r="D284" s="106">
        <v>4</v>
      </c>
      <c r="E284" s="106">
        <v>1</v>
      </c>
      <c r="F284" s="106">
        <v>1</v>
      </c>
      <c r="G284" s="106" t="s">
        <v>66</v>
      </c>
      <c r="H284" s="106" t="s">
        <v>271</v>
      </c>
      <c r="I284" s="106">
        <v>201</v>
      </c>
      <c r="J284" s="106">
        <v>234</v>
      </c>
      <c r="K284" s="106" t="s">
        <v>1443</v>
      </c>
      <c r="L284" s="106" t="s">
        <v>1262</v>
      </c>
      <c r="M284" s="106" t="s">
        <v>384</v>
      </c>
      <c r="N284" s="106">
        <v>23</v>
      </c>
      <c r="O284" s="106">
        <v>13</v>
      </c>
      <c r="T284" s="106" t="s">
        <v>1766</v>
      </c>
      <c r="V284" s="106">
        <v>1029992.38739123</v>
      </c>
      <c r="W284" s="106">
        <v>1</v>
      </c>
      <c r="X284" s="106">
        <v>1</v>
      </c>
      <c r="Y284" s="106">
        <v>1</v>
      </c>
      <c r="Z284" s="106">
        <v>1</v>
      </c>
      <c r="AA284" s="106">
        <v>260000</v>
      </c>
      <c r="AB284" s="106">
        <v>260000</v>
      </c>
      <c r="AC284" s="106">
        <v>260000</v>
      </c>
      <c r="AD284" s="106">
        <v>260000</v>
      </c>
      <c r="AE284" s="106">
        <v>1040000</v>
      </c>
      <c r="AF284" s="106">
        <v>1040000</v>
      </c>
      <c r="AH284" s="106">
        <v>17280</v>
      </c>
      <c r="AI284" s="106">
        <v>0.04</v>
      </c>
      <c r="AJ284" s="106">
        <v>6</v>
      </c>
      <c r="AK284" s="106">
        <v>172.8</v>
      </c>
      <c r="AL284" s="106">
        <v>1036.8</v>
      </c>
      <c r="AM284" s="106">
        <v>15278</v>
      </c>
      <c r="AN284" s="106">
        <v>15278</v>
      </c>
      <c r="AO284" s="106">
        <v>6333</v>
      </c>
      <c r="AP284" s="106" t="s">
        <v>114</v>
      </c>
      <c r="AQ284" s="106" t="s">
        <v>295</v>
      </c>
      <c r="AR284" s="106">
        <v>3000</v>
      </c>
      <c r="AS284" s="106">
        <v>0.06</v>
      </c>
      <c r="AT284" s="106">
        <v>0.06</v>
      </c>
      <c r="AU284" s="108" t="s">
        <v>164</v>
      </c>
      <c r="AV284" s="108" t="s">
        <v>371</v>
      </c>
      <c r="AW284" s="108">
        <v>3015</v>
      </c>
      <c r="AX284" s="108">
        <v>600</v>
      </c>
      <c r="AY284" s="108">
        <v>600</v>
      </c>
      <c r="BC284" s="113"/>
      <c r="BD284" s="113">
        <v>0</v>
      </c>
      <c r="BY284" s="112" t="s">
        <v>1766</v>
      </c>
      <c r="BZ284" s="112" t="s">
        <v>1766</v>
      </c>
      <c r="CA284" s="112" t="s">
        <v>1766</v>
      </c>
      <c r="CB284" s="112" t="s">
        <v>1766</v>
      </c>
      <c r="CC284" s="112" t="s">
        <v>1766</v>
      </c>
      <c r="CD284" s="112" t="s">
        <v>1766</v>
      </c>
      <c r="CE284" s="112" t="s">
        <v>1766</v>
      </c>
      <c r="CF284" s="112" t="s">
        <v>1766</v>
      </c>
      <c r="CG284" s="112" t="s">
        <v>1766</v>
      </c>
      <c r="CH284" s="112" t="s">
        <v>1766</v>
      </c>
      <c r="CI284" s="112" t="s">
        <v>1766</v>
      </c>
      <c r="CJ284" s="112" t="s">
        <v>1766</v>
      </c>
      <c r="CK284" s="112" t="s">
        <v>1766</v>
      </c>
      <c r="CL284" s="112" t="s">
        <v>1766</v>
      </c>
      <c r="CM284" s="112" t="s">
        <v>1766</v>
      </c>
      <c r="CN284" s="112" t="s">
        <v>1766</v>
      </c>
      <c r="CO284" s="112" t="s">
        <v>1766</v>
      </c>
    </row>
    <row r="285" spans="1:93">
      <c r="A285" s="106" t="s">
        <v>369</v>
      </c>
      <c r="B285" s="106">
        <v>14</v>
      </c>
      <c r="C285" s="106">
        <v>2</v>
      </c>
      <c r="D285" s="106">
        <v>4</v>
      </c>
      <c r="E285" s="106">
        <v>1</v>
      </c>
      <c r="F285" s="106">
        <v>1</v>
      </c>
      <c r="G285" s="106" t="s">
        <v>66</v>
      </c>
      <c r="H285" s="106" t="s">
        <v>271</v>
      </c>
      <c r="I285" s="106">
        <v>201</v>
      </c>
      <c r="J285" s="106">
        <v>234</v>
      </c>
      <c r="K285" s="106" t="s">
        <v>1443</v>
      </c>
      <c r="L285" s="106" t="s">
        <v>1265</v>
      </c>
      <c r="M285" s="106" t="s">
        <v>385</v>
      </c>
      <c r="N285" s="106">
        <v>23</v>
      </c>
      <c r="O285" s="106">
        <v>14</v>
      </c>
      <c r="T285" s="106" t="s">
        <v>1766</v>
      </c>
      <c r="V285" s="106">
        <v>1338990.1036086001</v>
      </c>
      <c r="W285" s="106">
        <v>1</v>
      </c>
      <c r="X285" s="106">
        <v>1</v>
      </c>
      <c r="Y285" s="106">
        <v>1</v>
      </c>
      <c r="Z285" s="106">
        <v>1</v>
      </c>
      <c r="AA285" s="106">
        <v>330000</v>
      </c>
      <c r="AB285" s="106">
        <v>330000</v>
      </c>
      <c r="AC285" s="106">
        <v>330000</v>
      </c>
      <c r="AD285" s="106">
        <v>330000</v>
      </c>
      <c r="AE285" s="106">
        <v>1320000</v>
      </c>
      <c r="AF285" s="106">
        <v>1320000</v>
      </c>
      <c r="AH285" s="106">
        <v>21600</v>
      </c>
      <c r="AI285" s="106">
        <v>0.05</v>
      </c>
      <c r="AJ285" s="106">
        <v>6</v>
      </c>
      <c r="AK285" s="106">
        <v>216</v>
      </c>
      <c r="AL285" s="106">
        <v>1296</v>
      </c>
      <c r="AM285" s="106">
        <v>18975</v>
      </c>
      <c r="AN285" s="106">
        <v>18975</v>
      </c>
      <c r="AO285" s="106">
        <v>9011</v>
      </c>
      <c r="AP285" s="106" t="s">
        <v>114</v>
      </c>
      <c r="AQ285" s="106" t="s">
        <v>295</v>
      </c>
      <c r="AR285" s="106">
        <v>3000</v>
      </c>
      <c r="AS285" s="106">
        <v>6.5000000000000002E-2</v>
      </c>
      <c r="AT285" s="106">
        <v>6.5000000000000002E-2</v>
      </c>
      <c r="AU285" s="108" t="s">
        <v>164</v>
      </c>
      <c r="AV285" s="108" t="s">
        <v>371</v>
      </c>
      <c r="AW285" s="108">
        <v>3015</v>
      </c>
      <c r="AX285" s="108">
        <v>650</v>
      </c>
      <c r="AY285" s="108">
        <v>650</v>
      </c>
      <c r="BC285" s="113"/>
      <c r="BD285" s="113">
        <v>0</v>
      </c>
      <c r="BY285" s="112" t="s">
        <v>1766</v>
      </c>
      <c r="BZ285" s="112" t="s">
        <v>1766</v>
      </c>
      <c r="CA285" s="112" t="s">
        <v>1766</v>
      </c>
      <c r="CB285" s="112" t="s">
        <v>1766</v>
      </c>
      <c r="CC285" s="112" t="s">
        <v>1766</v>
      </c>
      <c r="CD285" s="112" t="s">
        <v>1766</v>
      </c>
      <c r="CE285" s="112" t="s">
        <v>1766</v>
      </c>
      <c r="CF285" s="112" t="s">
        <v>1766</v>
      </c>
      <c r="CG285" s="112" t="s">
        <v>1766</v>
      </c>
      <c r="CH285" s="112" t="s">
        <v>1766</v>
      </c>
      <c r="CI285" s="112" t="s">
        <v>1766</v>
      </c>
      <c r="CJ285" s="112" t="s">
        <v>1766</v>
      </c>
      <c r="CK285" s="112" t="s">
        <v>1766</v>
      </c>
      <c r="CL285" s="112" t="s">
        <v>1766</v>
      </c>
      <c r="CM285" s="112" t="s">
        <v>1766</v>
      </c>
      <c r="CN285" s="112" t="s">
        <v>1766</v>
      </c>
      <c r="CO285" s="112" t="s">
        <v>1766</v>
      </c>
    </row>
    <row r="286" spans="1:93">
      <c r="A286" s="106" t="s">
        <v>369</v>
      </c>
      <c r="B286" s="106">
        <v>15</v>
      </c>
      <c r="C286" s="106">
        <v>2</v>
      </c>
      <c r="D286" s="106">
        <v>4</v>
      </c>
      <c r="E286" s="106">
        <v>1</v>
      </c>
      <c r="F286" s="106">
        <v>1</v>
      </c>
      <c r="G286" s="106" t="s">
        <v>66</v>
      </c>
      <c r="H286" s="106" t="s">
        <v>271</v>
      </c>
      <c r="I286" s="106">
        <v>201</v>
      </c>
      <c r="J286" s="106">
        <v>234</v>
      </c>
      <c r="K286" s="106" t="s">
        <v>1443</v>
      </c>
      <c r="L286" s="106" t="s">
        <v>1269</v>
      </c>
      <c r="M286" s="106" t="s">
        <v>386</v>
      </c>
      <c r="N286" s="106">
        <v>23</v>
      </c>
      <c r="O286" s="106">
        <v>15</v>
      </c>
      <c r="T286" s="106" t="s">
        <v>1766</v>
      </c>
      <c r="V286" s="106">
        <v>1713907.33261901</v>
      </c>
      <c r="W286" s="106">
        <v>1</v>
      </c>
      <c r="X286" s="106">
        <v>1</v>
      </c>
      <c r="Y286" s="106">
        <v>1</v>
      </c>
      <c r="Z286" s="106">
        <v>1</v>
      </c>
      <c r="AA286" s="106">
        <v>430000</v>
      </c>
      <c r="AB286" s="106">
        <v>430000</v>
      </c>
      <c r="AC286" s="106">
        <v>430000</v>
      </c>
      <c r="AD286" s="106">
        <v>430000</v>
      </c>
      <c r="AE286" s="106">
        <v>1720000</v>
      </c>
      <c r="AF286" s="106">
        <v>1720000</v>
      </c>
      <c r="AH286" s="106">
        <v>25920</v>
      </c>
      <c r="AI286" s="106">
        <v>0.05</v>
      </c>
      <c r="AJ286" s="106">
        <v>7</v>
      </c>
      <c r="AK286" s="106">
        <v>259.2</v>
      </c>
      <c r="AL286" s="106">
        <v>1814.4</v>
      </c>
      <c r="AM286" s="106">
        <v>22571</v>
      </c>
      <c r="AN286" s="106">
        <v>22571</v>
      </c>
      <c r="AO286" s="106">
        <v>12439</v>
      </c>
      <c r="AP286" s="106" t="s">
        <v>114</v>
      </c>
      <c r="AQ286" s="106" t="s">
        <v>295</v>
      </c>
      <c r="AR286" s="106">
        <v>3000</v>
      </c>
      <c r="AS286" s="106">
        <v>7.0000000000000007E-2</v>
      </c>
      <c r="AT286" s="106">
        <v>7.0000000000000007E-2</v>
      </c>
      <c r="AU286" s="108" t="s">
        <v>164</v>
      </c>
      <c r="AV286" s="108" t="s">
        <v>371</v>
      </c>
      <c r="AW286" s="108">
        <v>3015</v>
      </c>
      <c r="AX286" s="108">
        <v>700</v>
      </c>
      <c r="AY286" s="108">
        <v>700</v>
      </c>
      <c r="BC286" s="113"/>
      <c r="BD286" s="113">
        <v>0</v>
      </c>
      <c r="BY286" s="112" t="s">
        <v>1766</v>
      </c>
      <c r="BZ286" s="112" t="s">
        <v>1766</v>
      </c>
      <c r="CA286" s="112" t="s">
        <v>1766</v>
      </c>
      <c r="CB286" s="112" t="s">
        <v>1766</v>
      </c>
      <c r="CC286" s="112" t="s">
        <v>1766</v>
      </c>
      <c r="CD286" s="112" t="s">
        <v>1766</v>
      </c>
      <c r="CE286" s="112" t="s">
        <v>1766</v>
      </c>
      <c r="CF286" s="112" t="s">
        <v>1766</v>
      </c>
      <c r="CG286" s="112" t="s">
        <v>1766</v>
      </c>
      <c r="CH286" s="112" t="s">
        <v>1766</v>
      </c>
      <c r="CI286" s="112" t="s">
        <v>1766</v>
      </c>
      <c r="CJ286" s="112" t="s">
        <v>1766</v>
      </c>
      <c r="CK286" s="112" t="s">
        <v>1766</v>
      </c>
      <c r="CL286" s="112" t="s">
        <v>1766</v>
      </c>
      <c r="CM286" s="112" t="s">
        <v>1766</v>
      </c>
      <c r="CN286" s="112" t="s">
        <v>1766</v>
      </c>
      <c r="CO286" s="112" t="s">
        <v>1766</v>
      </c>
    </row>
    <row r="287" spans="1:93">
      <c r="A287" s="106" t="s">
        <v>369</v>
      </c>
      <c r="B287" s="106">
        <v>16</v>
      </c>
      <c r="C287" s="106">
        <v>2</v>
      </c>
      <c r="D287" s="106">
        <v>4</v>
      </c>
      <c r="E287" s="106">
        <v>1</v>
      </c>
      <c r="F287" s="106">
        <v>1</v>
      </c>
      <c r="G287" s="106" t="s">
        <v>66</v>
      </c>
      <c r="H287" s="106" t="s">
        <v>271</v>
      </c>
      <c r="I287" s="106">
        <v>201</v>
      </c>
      <c r="J287" s="106">
        <v>234</v>
      </c>
      <c r="K287" s="106" t="s">
        <v>1443</v>
      </c>
      <c r="L287" s="106" t="s">
        <v>1272</v>
      </c>
      <c r="M287" s="106" t="s">
        <v>387</v>
      </c>
      <c r="N287" s="106">
        <v>23</v>
      </c>
      <c r="O287" s="106">
        <v>16</v>
      </c>
      <c r="T287" s="106" t="s">
        <v>1766</v>
      </c>
      <c r="V287" s="106">
        <v>2193801.3857523301</v>
      </c>
      <c r="W287" s="106">
        <v>1</v>
      </c>
      <c r="X287" s="106">
        <v>1</v>
      </c>
      <c r="Y287" s="106">
        <v>1</v>
      </c>
      <c r="Z287" s="106">
        <v>1</v>
      </c>
      <c r="AA287" s="106">
        <v>550000</v>
      </c>
      <c r="AB287" s="106">
        <v>550000</v>
      </c>
      <c r="AC287" s="106">
        <v>550000</v>
      </c>
      <c r="AD287" s="106">
        <v>550000</v>
      </c>
      <c r="AE287" s="106">
        <v>2200000</v>
      </c>
      <c r="AF287" s="106">
        <v>2200000</v>
      </c>
      <c r="AH287" s="106">
        <v>32400</v>
      </c>
      <c r="AI287" s="106">
        <v>0.05</v>
      </c>
      <c r="AJ287" s="106">
        <v>7</v>
      </c>
      <c r="AK287" s="106">
        <v>324</v>
      </c>
      <c r="AL287" s="106">
        <v>2268</v>
      </c>
      <c r="AM287" s="106">
        <v>28289</v>
      </c>
      <c r="AN287" s="106">
        <v>28289</v>
      </c>
      <c r="AO287" s="106">
        <v>16827</v>
      </c>
      <c r="AP287" s="106" t="s">
        <v>114</v>
      </c>
      <c r="AQ287" s="106" t="s">
        <v>295</v>
      </c>
      <c r="AR287" s="106">
        <v>3000</v>
      </c>
      <c r="AS287" s="106">
        <v>7.4999999999999997E-2</v>
      </c>
      <c r="AT287" s="106">
        <v>7.4999999999999997E-2</v>
      </c>
      <c r="AU287" s="108" t="s">
        <v>164</v>
      </c>
      <c r="AV287" s="108" t="s">
        <v>371</v>
      </c>
      <c r="AW287" s="108">
        <v>3015</v>
      </c>
      <c r="AX287" s="108">
        <v>750</v>
      </c>
      <c r="AY287" s="108">
        <v>750</v>
      </c>
      <c r="BC287" s="113"/>
      <c r="BD287" s="113">
        <v>0</v>
      </c>
      <c r="BY287" s="112" t="s">
        <v>1766</v>
      </c>
      <c r="BZ287" s="112" t="s">
        <v>1766</v>
      </c>
      <c r="CA287" s="112" t="s">
        <v>1766</v>
      </c>
      <c r="CB287" s="112" t="s">
        <v>1766</v>
      </c>
      <c r="CC287" s="112" t="s">
        <v>1766</v>
      </c>
      <c r="CD287" s="112" t="s">
        <v>1766</v>
      </c>
      <c r="CE287" s="112" t="s">
        <v>1766</v>
      </c>
      <c r="CF287" s="112" t="s">
        <v>1766</v>
      </c>
      <c r="CG287" s="112" t="s">
        <v>1766</v>
      </c>
      <c r="CH287" s="112" t="s">
        <v>1766</v>
      </c>
      <c r="CI287" s="112" t="s">
        <v>1766</v>
      </c>
      <c r="CJ287" s="112" t="s">
        <v>1766</v>
      </c>
      <c r="CK287" s="112" t="s">
        <v>1766</v>
      </c>
      <c r="CL287" s="112" t="s">
        <v>1766</v>
      </c>
      <c r="CM287" s="112" t="s">
        <v>1766</v>
      </c>
      <c r="CN287" s="112" t="s">
        <v>1766</v>
      </c>
      <c r="CO287" s="112" t="s">
        <v>1766</v>
      </c>
    </row>
    <row r="288" spans="1:93">
      <c r="A288" s="106" t="s">
        <v>369</v>
      </c>
      <c r="B288" s="106">
        <v>17</v>
      </c>
      <c r="C288" s="106">
        <v>2</v>
      </c>
      <c r="D288" s="106">
        <v>4</v>
      </c>
      <c r="E288" s="106">
        <v>1</v>
      </c>
      <c r="F288" s="106">
        <v>1</v>
      </c>
      <c r="G288" s="106" t="s">
        <v>66</v>
      </c>
      <c r="H288" s="106" t="s">
        <v>271</v>
      </c>
      <c r="I288" s="106">
        <v>201</v>
      </c>
      <c r="J288" s="106">
        <v>234</v>
      </c>
      <c r="K288" s="106" t="s">
        <v>1443</v>
      </c>
      <c r="L288" s="106" t="s">
        <v>1278</v>
      </c>
      <c r="M288" s="106" t="s">
        <v>390</v>
      </c>
      <c r="N288" s="106">
        <v>23</v>
      </c>
      <c r="O288" s="106">
        <v>17</v>
      </c>
      <c r="T288" s="106" t="s">
        <v>1766</v>
      </c>
      <c r="V288" s="106">
        <v>2808065.7737629898</v>
      </c>
      <c r="W288" s="106">
        <v>1</v>
      </c>
      <c r="X288" s="106">
        <v>1</v>
      </c>
      <c r="Y288" s="106">
        <v>1</v>
      </c>
      <c r="Z288" s="106">
        <v>1</v>
      </c>
      <c r="AA288" s="106">
        <v>700000</v>
      </c>
      <c r="AB288" s="106">
        <v>700000</v>
      </c>
      <c r="AC288" s="106">
        <v>700000</v>
      </c>
      <c r="AD288" s="106">
        <v>700000</v>
      </c>
      <c r="AE288" s="106">
        <v>2800000</v>
      </c>
      <c r="AF288" s="106">
        <v>2800000</v>
      </c>
      <c r="AH288" s="106">
        <v>43200</v>
      </c>
      <c r="AI288" s="106">
        <v>0.05</v>
      </c>
      <c r="AJ288" s="106">
        <v>8</v>
      </c>
      <c r="AK288" s="106">
        <v>432</v>
      </c>
      <c r="AL288" s="106">
        <v>3456</v>
      </c>
      <c r="AM288" s="106">
        <v>37386</v>
      </c>
      <c r="AN288" s="106">
        <v>37386</v>
      </c>
      <c r="AO288" s="106">
        <v>22443</v>
      </c>
      <c r="AP288" s="106" t="s">
        <v>114</v>
      </c>
      <c r="AQ288" s="106" t="s">
        <v>295</v>
      </c>
      <c r="AR288" s="106">
        <v>3000</v>
      </c>
      <c r="AS288" s="106">
        <v>0.08</v>
      </c>
      <c r="AT288" s="106">
        <v>0.08</v>
      </c>
      <c r="AU288" s="108" t="s">
        <v>164</v>
      </c>
      <c r="AV288" s="108" t="s">
        <v>371</v>
      </c>
      <c r="AW288" s="108">
        <v>3015</v>
      </c>
      <c r="AX288" s="108">
        <v>800</v>
      </c>
      <c r="AY288" s="108">
        <v>800</v>
      </c>
      <c r="BC288" s="113"/>
      <c r="BD288" s="113">
        <v>0</v>
      </c>
      <c r="BY288" s="112" t="s">
        <v>1766</v>
      </c>
      <c r="BZ288" s="112" t="s">
        <v>1766</v>
      </c>
      <c r="CA288" s="112" t="s">
        <v>1766</v>
      </c>
      <c r="CB288" s="112" t="s">
        <v>1766</v>
      </c>
      <c r="CC288" s="112" t="s">
        <v>1766</v>
      </c>
      <c r="CD288" s="112" t="s">
        <v>1766</v>
      </c>
      <c r="CE288" s="112" t="s">
        <v>1766</v>
      </c>
      <c r="CF288" s="112" t="s">
        <v>1766</v>
      </c>
      <c r="CG288" s="112" t="s">
        <v>1766</v>
      </c>
      <c r="CH288" s="112" t="s">
        <v>1766</v>
      </c>
      <c r="CI288" s="112" t="s">
        <v>1766</v>
      </c>
      <c r="CJ288" s="112" t="s">
        <v>1766</v>
      </c>
      <c r="CK288" s="112" t="s">
        <v>1766</v>
      </c>
      <c r="CL288" s="112" t="s">
        <v>1766</v>
      </c>
      <c r="CM288" s="112" t="s">
        <v>1766</v>
      </c>
      <c r="CN288" s="112" t="s">
        <v>1766</v>
      </c>
      <c r="CO288" s="112" t="s">
        <v>1766</v>
      </c>
    </row>
    <row r="289" spans="1:93">
      <c r="A289" s="106" t="s">
        <v>369</v>
      </c>
      <c r="B289" s="106">
        <v>18</v>
      </c>
      <c r="C289" s="106">
        <v>2</v>
      </c>
      <c r="D289" s="106">
        <v>4</v>
      </c>
      <c r="E289" s="106">
        <v>1</v>
      </c>
      <c r="F289" s="106">
        <v>1</v>
      </c>
      <c r="G289" s="106" t="s">
        <v>66</v>
      </c>
      <c r="H289" s="106" t="s">
        <v>271</v>
      </c>
      <c r="I289" s="106">
        <v>201</v>
      </c>
      <c r="J289" s="106">
        <v>234</v>
      </c>
      <c r="K289" s="106" t="s">
        <v>1443</v>
      </c>
      <c r="L289" s="106" t="s">
        <v>1281</v>
      </c>
      <c r="M289" s="106" t="s">
        <v>391</v>
      </c>
      <c r="N289" s="106">
        <v>23</v>
      </c>
      <c r="O289" s="106">
        <v>18</v>
      </c>
      <c r="T289" s="106" t="s">
        <v>1766</v>
      </c>
      <c r="V289" s="106">
        <v>3594324.1904166201</v>
      </c>
      <c r="W289" s="106">
        <v>1</v>
      </c>
      <c r="X289" s="106">
        <v>1</v>
      </c>
      <c r="Y289" s="106">
        <v>1</v>
      </c>
      <c r="Z289" s="106">
        <v>1</v>
      </c>
      <c r="AA289" s="106">
        <v>900000</v>
      </c>
      <c r="AB289" s="106">
        <v>900000</v>
      </c>
      <c r="AC289" s="106">
        <v>900000</v>
      </c>
      <c r="AD289" s="106">
        <v>900000</v>
      </c>
      <c r="AE289" s="106">
        <v>3600000</v>
      </c>
      <c r="AF289" s="106">
        <v>3600000</v>
      </c>
      <c r="AH289" s="106">
        <v>56160</v>
      </c>
      <c r="AI289" s="106">
        <v>6.5000000000000002E-2</v>
      </c>
      <c r="AJ289" s="106">
        <v>8</v>
      </c>
      <c r="AK289" s="106">
        <v>561.6</v>
      </c>
      <c r="AL289" s="106">
        <v>4492.8</v>
      </c>
      <c r="AM289" s="106">
        <v>47939</v>
      </c>
      <c r="AN289" s="106">
        <v>47939</v>
      </c>
      <c r="AO289" s="106">
        <v>29632</v>
      </c>
      <c r="AP289" s="106" t="s">
        <v>114</v>
      </c>
      <c r="AQ289" s="106" t="s">
        <v>295</v>
      </c>
      <c r="AR289" s="106">
        <v>3000</v>
      </c>
      <c r="AS289" s="106">
        <v>8.5000000000000006E-2</v>
      </c>
      <c r="AT289" s="106">
        <v>8.5000000000000006E-2</v>
      </c>
      <c r="AU289" s="108" t="s">
        <v>164</v>
      </c>
      <c r="AV289" s="108" t="s">
        <v>371</v>
      </c>
      <c r="AW289" s="108">
        <v>3015</v>
      </c>
      <c r="AX289" s="108">
        <v>850</v>
      </c>
      <c r="AY289" s="108">
        <v>850</v>
      </c>
      <c r="BC289" s="113"/>
      <c r="BD289" s="113">
        <v>0</v>
      </c>
      <c r="BY289" s="112" t="s">
        <v>1766</v>
      </c>
      <c r="BZ289" s="112" t="s">
        <v>1766</v>
      </c>
      <c r="CA289" s="112" t="s">
        <v>1766</v>
      </c>
      <c r="CB289" s="112" t="s">
        <v>1766</v>
      </c>
      <c r="CC289" s="112" t="s">
        <v>1766</v>
      </c>
      <c r="CD289" s="112" t="s">
        <v>1766</v>
      </c>
      <c r="CE289" s="112" t="s">
        <v>1766</v>
      </c>
      <c r="CF289" s="112" t="s">
        <v>1766</v>
      </c>
      <c r="CG289" s="112" t="s">
        <v>1766</v>
      </c>
      <c r="CH289" s="112" t="s">
        <v>1766</v>
      </c>
      <c r="CI289" s="112" t="s">
        <v>1766</v>
      </c>
      <c r="CJ289" s="112" t="s">
        <v>1766</v>
      </c>
      <c r="CK289" s="112" t="s">
        <v>1766</v>
      </c>
      <c r="CL289" s="112" t="s">
        <v>1766</v>
      </c>
      <c r="CM289" s="112" t="s">
        <v>1766</v>
      </c>
      <c r="CN289" s="112" t="s">
        <v>1766</v>
      </c>
      <c r="CO289" s="112" t="s">
        <v>1766</v>
      </c>
    </row>
    <row r="290" spans="1:93">
      <c r="A290" s="106" t="s">
        <v>369</v>
      </c>
      <c r="B290" s="106">
        <v>19</v>
      </c>
      <c r="C290" s="106">
        <v>2</v>
      </c>
      <c r="D290" s="106">
        <v>4</v>
      </c>
      <c r="E290" s="106">
        <v>1</v>
      </c>
      <c r="F290" s="106">
        <v>1</v>
      </c>
      <c r="G290" s="106" t="s">
        <v>66</v>
      </c>
      <c r="H290" s="106" t="s">
        <v>271</v>
      </c>
      <c r="I290" s="106">
        <v>201</v>
      </c>
      <c r="J290" s="106">
        <v>234</v>
      </c>
      <c r="K290" s="106" t="s">
        <v>1443</v>
      </c>
      <c r="L290" s="106" t="s">
        <v>1283</v>
      </c>
      <c r="M290" s="106" t="s">
        <v>392</v>
      </c>
      <c r="N290" s="106">
        <v>23</v>
      </c>
      <c r="O290" s="106">
        <v>19</v>
      </c>
      <c r="T290" s="106" t="s">
        <v>1766</v>
      </c>
      <c r="V290" s="106">
        <v>4600734.9637332801</v>
      </c>
      <c r="W290" s="106">
        <v>1</v>
      </c>
      <c r="X290" s="106">
        <v>1</v>
      </c>
      <c r="Y290" s="106">
        <v>1</v>
      </c>
      <c r="Z290" s="106">
        <v>1</v>
      </c>
      <c r="AA290" s="106">
        <v>1200000</v>
      </c>
      <c r="AB290" s="106">
        <v>1200000</v>
      </c>
      <c r="AC290" s="106">
        <v>1200000</v>
      </c>
      <c r="AD290" s="106">
        <v>1200000</v>
      </c>
      <c r="AE290" s="106">
        <v>4800000</v>
      </c>
      <c r="AF290" s="106">
        <v>4800000</v>
      </c>
      <c r="AH290" s="106">
        <v>73440</v>
      </c>
      <c r="AI290" s="106">
        <v>0.08</v>
      </c>
      <c r="AJ290" s="106">
        <v>9</v>
      </c>
      <c r="AK290" s="106">
        <v>734.4</v>
      </c>
      <c r="AL290" s="106">
        <v>6609.6</v>
      </c>
      <c r="AM290" s="106">
        <v>61090</v>
      </c>
      <c r="AN290" s="106">
        <v>61090</v>
      </c>
      <c r="AO290" s="106">
        <v>38833</v>
      </c>
      <c r="AP290" s="106" t="s">
        <v>114</v>
      </c>
      <c r="AQ290" s="106" t="s">
        <v>295</v>
      </c>
      <c r="AR290" s="106">
        <v>3000</v>
      </c>
      <c r="AS290" s="106">
        <v>0.09</v>
      </c>
      <c r="AT290" s="106">
        <v>0.09</v>
      </c>
      <c r="AU290" s="108" t="s">
        <v>164</v>
      </c>
      <c r="AV290" s="108" t="s">
        <v>371</v>
      </c>
      <c r="AW290" s="108">
        <v>3015</v>
      </c>
      <c r="AX290" s="108">
        <v>900</v>
      </c>
      <c r="AY290" s="108">
        <v>900</v>
      </c>
      <c r="BC290" s="113"/>
      <c r="BD290" s="113">
        <v>0</v>
      </c>
      <c r="BY290" s="112" t="s">
        <v>1766</v>
      </c>
      <c r="BZ290" s="112" t="s">
        <v>1766</v>
      </c>
      <c r="CA290" s="112" t="s">
        <v>1766</v>
      </c>
      <c r="CB290" s="112" t="s">
        <v>1766</v>
      </c>
      <c r="CC290" s="112" t="s">
        <v>1766</v>
      </c>
      <c r="CD290" s="112" t="s">
        <v>1766</v>
      </c>
      <c r="CE290" s="112" t="s">
        <v>1766</v>
      </c>
      <c r="CF290" s="112" t="s">
        <v>1766</v>
      </c>
      <c r="CG290" s="112" t="s">
        <v>1766</v>
      </c>
      <c r="CH290" s="112" t="s">
        <v>1766</v>
      </c>
      <c r="CI290" s="112" t="s">
        <v>1766</v>
      </c>
      <c r="CJ290" s="112" t="s">
        <v>1766</v>
      </c>
      <c r="CK290" s="112" t="s">
        <v>1766</v>
      </c>
      <c r="CL290" s="112" t="s">
        <v>1766</v>
      </c>
      <c r="CM290" s="112" t="s">
        <v>1766</v>
      </c>
      <c r="CN290" s="112" t="s">
        <v>1766</v>
      </c>
      <c r="CO290" s="112" t="s">
        <v>1766</v>
      </c>
    </row>
    <row r="291" spans="1:93">
      <c r="A291" s="106" t="s">
        <v>369</v>
      </c>
      <c r="B291" s="106">
        <v>20</v>
      </c>
      <c r="C291" s="106">
        <v>2</v>
      </c>
      <c r="D291" s="106">
        <v>4</v>
      </c>
      <c r="E291" s="106">
        <v>1</v>
      </c>
      <c r="F291" s="106">
        <v>1</v>
      </c>
      <c r="G291" s="106" t="s">
        <v>66</v>
      </c>
      <c r="H291" s="106" t="s">
        <v>271</v>
      </c>
      <c r="I291" s="106">
        <v>201</v>
      </c>
      <c r="J291" s="106">
        <v>234</v>
      </c>
      <c r="K291" s="106" t="s">
        <v>1443</v>
      </c>
      <c r="L291" s="106" t="s">
        <v>1287</v>
      </c>
      <c r="M291" s="106" t="s">
        <v>393</v>
      </c>
      <c r="N291" s="106">
        <v>23</v>
      </c>
      <c r="O291" s="106">
        <v>20</v>
      </c>
      <c r="T291" s="106" t="s">
        <v>1766</v>
      </c>
      <c r="V291" s="106">
        <v>5888940.7535785902</v>
      </c>
      <c r="W291" s="106">
        <v>1</v>
      </c>
      <c r="X291" s="106">
        <v>1</v>
      </c>
      <c r="Y291" s="106">
        <v>1</v>
      </c>
      <c r="Z291" s="106">
        <v>1</v>
      </c>
      <c r="AA291" s="106">
        <v>1500000</v>
      </c>
      <c r="AB291" s="106">
        <v>1500000</v>
      </c>
      <c r="AC291" s="106">
        <v>1500000</v>
      </c>
      <c r="AD291" s="106">
        <v>1500000</v>
      </c>
      <c r="AE291" s="106">
        <v>6000000</v>
      </c>
      <c r="AF291" s="106">
        <v>6000000</v>
      </c>
      <c r="AH291" s="106">
        <v>103680</v>
      </c>
      <c r="AI291" s="106">
        <v>9.5000000000000001E-2</v>
      </c>
      <c r="AJ291" s="106">
        <v>9</v>
      </c>
      <c r="AK291" s="106">
        <v>1036.8</v>
      </c>
      <c r="AL291" s="106">
        <v>9331.2000000000007</v>
      </c>
      <c r="AM291" s="106">
        <v>85053</v>
      </c>
      <c r="AN291" s="106">
        <v>85053</v>
      </c>
      <c r="AO291" s="106">
        <v>50611</v>
      </c>
      <c r="AP291" s="106" t="s">
        <v>114</v>
      </c>
      <c r="AQ291" s="106" t="s">
        <v>295</v>
      </c>
      <c r="AR291" s="106">
        <v>3000</v>
      </c>
      <c r="AS291" s="106">
        <v>9.5000000000000001E-2</v>
      </c>
      <c r="AT291" s="106">
        <v>9.5000000000000001E-2</v>
      </c>
      <c r="AU291" s="108" t="s">
        <v>164</v>
      </c>
      <c r="AV291" s="108" t="s">
        <v>371</v>
      </c>
      <c r="AW291" s="108">
        <v>3015</v>
      </c>
      <c r="AX291" s="108">
        <v>950</v>
      </c>
      <c r="AY291" s="108">
        <v>950</v>
      </c>
      <c r="BC291" s="113"/>
      <c r="BD291" s="113">
        <v>0</v>
      </c>
      <c r="BY291" s="112" t="s">
        <v>1766</v>
      </c>
      <c r="BZ291" s="112" t="s">
        <v>1766</v>
      </c>
      <c r="CA291" s="112" t="s">
        <v>1766</v>
      </c>
      <c r="CB291" s="112" t="s">
        <v>1766</v>
      </c>
      <c r="CC291" s="112" t="s">
        <v>1766</v>
      </c>
      <c r="CD291" s="112" t="s">
        <v>1766</v>
      </c>
      <c r="CE291" s="112" t="s">
        <v>1766</v>
      </c>
      <c r="CF291" s="112" t="s">
        <v>1766</v>
      </c>
      <c r="CG291" s="112" t="s">
        <v>1766</v>
      </c>
      <c r="CH291" s="112" t="s">
        <v>1766</v>
      </c>
      <c r="CI291" s="112" t="s">
        <v>1766</v>
      </c>
      <c r="CJ291" s="112" t="s">
        <v>1766</v>
      </c>
      <c r="CK291" s="112" t="s">
        <v>1766</v>
      </c>
      <c r="CL291" s="112" t="s">
        <v>1766</v>
      </c>
      <c r="CM291" s="112" t="s">
        <v>1766</v>
      </c>
      <c r="CN291" s="112" t="s">
        <v>1766</v>
      </c>
      <c r="CO291" s="112" t="s">
        <v>1766</v>
      </c>
    </row>
    <row r="292" spans="1:93">
      <c r="A292" s="106" t="s">
        <v>369</v>
      </c>
      <c r="B292" s="106">
        <v>21</v>
      </c>
      <c r="C292" s="106">
        <v>2</v>
      </c>
      <c r="D292" s="106">
        <v>4</v>
      </c>
      <c r="E292" s="106">
        <v>1</v>
      </c>
      <c r="F292" s="106">
        <v>1</v>
      </c>
      <c r="G292" s="106" t="s">
        <v>66</v>
      </c>
      <c r="H292" s="106" t="s">
        <v>271</v>
      </c>
      <c r="I292" s="106">
        <v>201</v>
      </c>
      <c r="J292" s="106">
        <v>234</v>
      </c>
      <c r="K292" s="106" t="s">
        <v>1443</v>
      </c>
      <c r="L292" s="106" t="s">
        <v>1291</v>
      </c>
      <c r="M292" s="106" t="s">
        <v>1444</v>
      </c>
      <c r="N292" s="106">
        <v>23</v>
      </c>
      <c r="O292" s="106">
        <v>21</v>
      </c>
      <c r="T292" s="106" t="s">
        <v>1766</v>
      </c>
      <c r="V292" s="106">
        <v>7537844.1645806003</v>
      </c>
      <c r="W292" s="106">
        <v>1</v>
      </c>
      <c r="X292" s="106">
        <v>1</v>
      </c>
      <c r="Y292" s="106">
        <v>1</v>
      </c>
      <c r="Z292" s="106">
        <v>1</v>
      </c>
      <c r="AA292" s="106">
        <v>1900000</v>
      </c>
      <c r="AB292" s="106">
        <v>1900000</v>
      </c>
      <c r="AC292" s="106">
        <v>1900000</v>
      </c>
      <c r="AD292" s="106">
        <v>1900000</v>
      </c>
      <c r="AE292" s="106">
        <v>7600000</v>
      </c>
      <c r="AF292" s="106">
        <v>7600000</v>
      </c>
      <c r="AH292" s="106">
        <v>138240</v>
      </c>
      <c r="AI292" s="106">
        <v>0.11</v>
      </c>
      <c r="AJ292" s="106">
        <v>10</v>
      </c>
      <c r="AK292" s="106">
        <v>1382.4</v>
      </c>
      <c r="AL292" s="106">
        <v>13824</v>
      </c>
      <c r="AM292" s="106">
        <v>110416</v>
      </c>
      <c r="AN292" s="106">
        <v>110416</v>
      </c>
      <c r="AO292" s="106">
        <v>65687</v>
      </c>
      <c r="AP292" s="106" t="s">
        <v>114</v>
      </c>
      <c r="AQ292" s="106" t="s">
        <v>295</v>
      </c>
      <c r="AR292" s="106">
        <v>3000</v>
      </c>
      <c r="AS292" s="106">
        <v>0.1</v>
      </c>
      <c r="AT292" s="106">
        <v>0.1</v>
      </c>
      <c r="AU292" s="108" t="s">
        <v>164</v>
      </c>
      <c r="AV292" s="108" t="s">
        <v>371</v>
      </c>
      <c r="AW292" s="108">
        <v>3015</v>
      </c>
      <c r="AX292" s="108">
        <v>1000</v>
      </c>
      <c r="AY292" s="108">
        <v>1000</v>
      </c>
      <c r="BC292" s="113"/>
      <c r="BD292" s="113">
        <v>0</v>
      </c>
      <c r="BY292" s="112" t="s">
        <v>1766</v>
      </c>
      <c r="BZ292" s="112" t="s">
        <v>1766</v>
      </c>
      <c r="CA292" s="112" t="s">
        <v>1766</v>
      </c>
      <c r="CB292" s="112" t="s">
        <v>1766</v>
      </c>
      <c r="CC292" s="112" t="s">
        <v>1766</v>
      </c>
      <c r="CD292" s="112" t="s">
        <v>1766</v>
      </c>
      <c r="CE292" s="112" t="s">
        <v>1766</v>
      </c>
      <c r="CF292" s="112" t="s">
        <v>1766</v>
      </c>
      <c r="CG292" s="112" t="s">
        <v>1766</v>
      </c>
      <c r="CH292" s="112" t="s">
        <v>1766</v>
      </c>
      <c r="CI292" s="112" t="s">
        <v>1766</v>
      </c>
      <c r="CJ292" s="112" t="s">
        <v>1766</v>
      </c>
      <c r="CK292" s="112" t="s">
        <v>1766</v>
      </c>
      <c r="CL292" s="112" t="s">
        <v>1766</v>
      </c>
      <c r="CM292" s="112" t="s">
        <v>1766</v>
      </c>
      <c r="CN292" s="112" t="s">
        <v>1766</v>
      </c>
      <c r="CO292" s="112" t="s">
        <v>1766</v>
      </c>
    </row>
    <row r="293" spans="1:93">
      <c r="A293" s="106" t="s">
        <v>369</v>
      </c>
      <c r="B293" s="106">
        <v>22</v>
      </c>
      <c r="C293" s="106">
        <v>2</v>
      </c>
      <c r="D293" s="106">
        <v>4</v>
      </c>
      <c r="E293" s="106">
        <v>1</v>
      </c>
      <c r="F293" s="106">
        <v>1</v>
      </c>
      <c r="G293" s="106" t="s">
        <v>66</v>
      </c>
      <c r="H293" s="106" t="s">
        <v>271</v>
      </c>
      <c r="I293" s="106">
        <v>201</v>
      </c>
      <c r="J293" s="106">
        <v>234</v>
      </c>
      <c r="K293" s="106" t="s">
        <v>1443</v>
      </c>
      <c r="L293" s="106" t="s">
        <v>1295</v>
      </c>
      <c r="M293" s="106" t="s">
        <v>1445</v>
      </c>
      <c r="N293" s="106">
        <v>23</v>
      </c>
      <c r="O293" s="106">
        <v>22</v>
      </c>
      <c r="T293" s="106" t="s">
        <v>1766</v>
      </c>
      <c r="V293" s="106">
        <v>9648440.5306631699</v>
      </c>
      <c r="W293" s="106">
        <v>1</v>
      </c>
      <c r="X293" s="106">
        <v>1</v>
      </c>
      <c r="Y293" s="106">
        <v>1</v>
      </c>
      <c r="Z293" s="106">
        <v>1</v>
      </c>
      <c r="AA293" s="106">
        <v>2400000</v>
      </c>
      <c r="AB293" s="106">
        <v>2400000</v>
      </c>
      <c r="AC293" s="106">
        <v>2400000</v>
      </c>
      <c r="AD293" s="106">
        <v>2400000</v>
      </c>
      <c r="AE293" s="106">
        <v>9600000</v>
      </c>
      <c r="AF293" s="106">
        <v>9600000</v>
      </c>
      <c r="AH293" s="106">
        <v>181440</v>
      </c>
      <c r="AI293" s="106">
        <v>0.125</v>
      </c>
      <c r="AJ293" s="106">
        <v>10</v>
      </c>
      <c r="AK293" s="106">
        <v>1814.4</v>
      </c>
      <c r="AL293" s="106">
        <v>18144</v>
      </c>
      <c r="AM293" s="106">
        <v>142836</v>
      </c>
      <c r="AN293" s="106">
        <v>142836</v>
      </c>
      <c r="AO293" s="106">
        <v>84984</v>
      </c>
      <c r="AP293" s="106" t="s">
        <v>114</v>
      </c>
      <c r="AQ293" s="106" t="s">
        <v>295</v>
      </c>
      <c r="AR293" s="106">
        <v>3000</v>
      </c>
      <c r="AS293" s="106">
        <v>0.105</v>
      </c>
      <c r="AT293" s="106">
        <v>0.105</v>
      </c>
      <c r="AU293" s="108" t="s">
        <v>164</v>
      </c>
      <c r="AV293" s="108" t="s">
        <v>371</v>
      </c>
      <c r="AW293" s="108">
        <v>3015</v>
      </c>
      <c r="AX293" s="108">
        <v>1050</v>
      </c>
      <c r="AY293" s="108">
        <v>1050</v>
      </c>
      <c r="BC293" s="113"/>
      <c r="BD293" s="113">
        <v>0</v>
      </c>
      <c r="BY293" s="112" t="s">
        <v>1766</v>
      </c>
      <c r="BZ293" s="112" t="s">
        <v>1766</v>
      </c>
      <c r="CA293" s="112" t="s">
        <v>1766</v>
      </c>
      <c r="CB293" s="112" t="s">
        <v>1766</v>
      </c>
      <c r="CC293" s="112" t="s">
        <v>1766</v>
      </c>
      <c r="CD293" s="112" t="s">
        <v>1766</v>
      </c>
      <c r="CE293" s="112" t="s">
        <v>1766</v>
      </c>
      <c r="CF293" s="112" t="s">
        <v>1766</v>
      </c>
      <c r="CG293" s="112" t="s">
        <v>1766</v>
      </c>
      <c r="CH293" s="112" t="s">
        <v>1766</v>
      </c>
      <c r="CI293" s="112" t="s">
        <v>1766</v>
      </c>
      <c r="CJ293" s="112" t="s">
        <v>1766</v>
      </c>
      <c r="CK293" s="112" t="s">
        <v>1766</v>
      </c>
      <c r="CL293" s="112" t="s">
        <v>1766</v>
      </c>
      <c r="CM293" s="112" t="s">
        <v>1766</v>
      </c>
      <c r="CN293" s="112" t="s">
        <v>1766</v>
      </c>
      <c r="CO293" s="112" t="s">
        <v>1766</v>
      </c>
    </row>
    <row r="294" spans="1:93">
      <c r="A294" s="106" t="s">
        <v>369</v>
      </c>
      <c r="B294" s="106">
        <v>23</v>
      </c>
      <c r="C294" s="106">
        <v>2</v>
      </c>
      <c r="D294" s="106">
        <v>4</v>
      </c>
      <c r="E294" s="106">
        <v>1</v>
      </c>
      <c r="F294" s="106">
        <v>1</v>
      </c>
      <c r="G294" s="106" t="s">
        <v>66</v>
      </c>
      <c r="H294" s="106" t="s">
        <v>271</v>
      </c>
      <c r="I294" s="106">
        <v>201</v>
      </c>
      <c r="J294" s="106">
        <v>234</v>
      </c>
      <c r="K294" s="106" t="s">
        <v>1443</v>
      </c>
      <c r="L294" s="106" t="s">
        <v>1298</v>
      </c>
      <c r="M294" s="106" t="s">
        <v>1446</v>
      </c>
      <c r="O294" s="106">
        <v>23</v>
      </c>
      <c r="T294" s="106" t="s">
        <v>1766</v>
      </c>
      <c r="V294" s="106">
        <v>12350003.8792489</v>
      </c>
      <c r="W294" s="106">
        <v>1</v>
      </c>
      <c r="X294" s="106">
        <v>1</v>
      </c>
      <c r="Y294" s="106">
        <v>1</v>
      </c>
      <c r="Z294" s="106">
        <v>1</v>
      </c>
      <c r="AA294" s="106">
        <v>3100000</v>
      </c>
      <c r="AB294" s="106">
        <v>3100000</v>
      </c>
      <c r="AC294" s="106">
        <v>3100000</v>
      </c>
      <c r="AD294" s="106">
        <v>3100000</v>
      </c>
      <c r="AE294" s="106">
        <v>12400000</v>
      </c>
      <c r="AF294" s="106">
        <v>12400000</v>
      </c>
      <c r="AH294" s="106">
        <v>233280</v>
      </c>
      <c r="AI294" s="106">
        <v>0.125</v>
      </c>
      <c r="AJ294" s="106">
        <v>11</v>
      </c>
      <c r="AK294" s="106">
        <v>2332.8000000000002</v>
      </c>
      <c r="AL294" s="106">
        <v>25660.799999999999</v>
      </c>
      <c r="AM294" s="106">
        <v>181399</v>
      </c>
      <c r="AN294" s="106">
        <v>181399</v>
      </c>
      <c r="AO294" s="106">
        <v>109684</v>
      </c>
      <c r="AP294" s="106" t="s">
        <v>114</v>
      </c>
      <c r="AQ294" s="106" t="s">
        <v>295</v>
      </c>
      <c r="AR294" s="106">
        <v>3000</v>
      </c>
      <c r="AS294" s="106">
        <v>0.11</v>
      </c>
      <c r="AT294" s="106">
        <v>0.11</v>
      </c>
      <c r="AU294" s="108" t="s">
        <v>164</v>
      </c>
      <c r="AV294" s="108" t="s">
        <v>371</v>
      </c>
      <c r="AW294" s="108">
        <v>3015</v>
      </c>
      <c r="AX294" s="108">
        <v>1100</v>
      </c>
      <c r="AY294" s="108">
        <v>1100</v>
      </c>
      <c r="BC294" s="113"/>
      <c r="BD294" s="113">
        <v>0</v>
      </c>
      <c r="BY294" s="112" t="s">
        <v>1766</v>
      </c>
      <c r="BZ294" s="112" t="s">
        <v>1766</v>
      </c>
      <c r="CA294" s="112" t="s">
        <v>1766</v>
      </c>
      <c r="CB294" s="112" t="s">
        <v>1766</v>
      </c>
      <c r="CC294" s="112" t="s">
        <v>1766</v>
      </c>
      <c r="CD294" s="112" t="s">
        <v>1766</v>
      </c>
      <c r="CE294" s="112" t="s">
        <v>1766</v>
      </c>
      <c r="CF294" s="112" t="s">
        <v>1766</v>
      </c>
      <c r="CG294" s="112" t="s">
        <v>1766</v>
      </c>
      <c r="CH294" s="112" t="s">
        <v>1766</v>
      </c>
      <c r="CI294" s="112" t="s">
        <v>1766</v>
      </c>
      <c r="CJ294" s="112" t="s">
        <v>1766</v>
      </c>
      <c r="CK294" s="112" t="s">
        <v>1766</v>
      </c>
      <c r="CL294" s="112" t="s">
        <v>1766</v>
      </c>
      <c r="CM294" s="112" t="s">
        <v>1766</v>
      </c>
      <c r="CN294" s="112" t="s">
        <v>1766</v>
      </c>
      <c r="CO294" s="112" t="s">
        <v>1766</v>
      </c>
    </row>
    <row r="295" spans="1:93">
      <c r="A295" s="106" t="s">
        <v>369</v>
      </c>
      <c r="B295" s="106">
        <v>24</v>
      </c>
      <c r="C295" s="106">
        <v>2</v>
      </c>
      <c r="D295" s="106">
        <v>4</v>
      </c>
      <c r="E295" s="106">
        <v>1</v>
      </c>
      <c r="F295" s="106">
        <v>1</v>
      </c>
      <c r="G295" s="106" t="s">
        <v>66</v>
      </c>
      <c r="H295" s="106" t="s">
        <v>271</v>
      </c>
      <c r="I295" s="106">
        <v>201</v>
      </c>
      <c r="J295" s="106">
        <v>234</v>
      </c>
      <c r="K295" s="106" t="s">
        <v>1443</v>
      </c>
      <c r="L295" s="106" t="s">
        <v>1302</v>
      </c>
      <c r="M295" s="106" t="s">
        <v>1447</v>
      </c>
      <c r="O295" s="106">
        <v>24</v>
      </c>
      <c r="T295" s="106" t="s">
        <v>1766</v>
      </c>
      <c r="V295" s="106">
        <v>15808004.9654385</v>
      </c>
      <c r="W295" s="106">
        <v>1</v>
      </c>
      <c r="X295" s="106">
        <v>1</v>
      </c>
      <c r="Y295" s="106">
        <v>1</v>
      </c>
      <c r="Z295" s="106">
        <v>1</v>
      </c>
      <c r="AA295" s="106">
        <v>4000000</v>
      </c>
      <c r="AB295" s="106">
        <v>4000000</v>
      </c>
      <c r="AC295" s="106">
        <v>4000000</v>
      </c>
      <c r="AD295" s="106">
        <v>4000000</v>
      </c>
      <c r="AE295" s="106">
        <v>16000000</v>
      </c>
      <c r="AF295" s="106">
        <v>16000000</v>
      </c>
      <c r="AH295" s="106">
        <v>298080</v>
      </c>
      <c r="AI295" s="106">
        <v>0.125</v>
      </c>
      <c r="AJ295" s="106">
        <v>12</v>
      </c>
      <c r="AK295" s="106">
        <v>2980.8</v>
      </c>
      <c r="AL295" s="106">
        <v>35769.599999999999</v>
      </c>
      <c r="AM295" s="106">
        <v>228890</v>
      </c>
      <c r="AN295" s="106">
        <v>228890</v>
      </c>
      <c r="AO295" s="106">
        <v>141300</v>
      </c>
      <c r="AP295" s="106" t="s">
        <v>114</v>
      </c>
      <c r="AQ295" s="106" t="s">
        <v>295</v>
      </c>
      <c r="AR295" s="106">
        <v>3000</v>
      </c>
      <c r="AS295" s="106">
        <v>0.115</v>
      </c>
      <c r="AT295" s="106">
        <v>0.115</v>
      </c>
      <c r="AU295" s="108" t="s">
        <v>164</v>
      </c>
      <c r="AV295" s="108" t="s">
        <v>371</v>
      </c>
      <c r="AW295" s="108">
        <v>3015</v>
      </c>
      <c r="AX295" s="108">
        <v>1150</v>
      </c>
      <c r="AY295" s="108">
        <v>1150</v>
      </c>
      <c r="BC295" s="113"/>
      <c r="BD295" s="113">
        <v>0</v>
      </c>
      <c r="BY295" s="112" t="s">
        <v>1766</v>
      </c>
      <c r="BZ295" s="112" t="s">
        <v>1766</v>
      </c>
      <c r="CA295" s="112" t="s">
        <v>1766</v>
      </c>
      <c r="CB295" s="112" t="s">
        <v>1766</v>
      </c>
      <c r="CC295" s="112" t="s">
        <v>1766</v>
      </c>
      <c r="CD295" s="112" t="s">
        <v>1766</v>
      </c>
      <c r="CE295" s="112" t="s">
        <v>1766</v>
      </c>
      <c r="CF295" s="112" t="s">
        <v>1766</v>
      </c>
      <c r="CG295" s="112" t="s">
        <v>1766</v>
      </c>
      <c r="CH295" s="112" t="s">
        <v>1766</v>
      </c>
      <c r="CI295" s="112" t="s">
        <v>1766</v>
      </c>
      <c r="CJ295" s="112" t="s">
        <v>1766</v>
      </c>
      <c r="CK295" s="112" t="s">
        <v>1766</v>
      </c>
      <c r="CL295" s="112" t="s">
        <v>1766</v>
      </c>
      <c r="CM295" s="112" t="s">
        <v>1766</v>
      </c>
      <c r="CN295" s="112" t="s">
        <v>1766</v>
      </c>
      <c r="CO295" s="112" t="s">
        <v>1766</v>
      </c>
    </row>
    <row r="296" spans="1:93">
      <c r="A296" s="106" t="s">
        <v>369</v>
      </c>
      <c r="B296" s="106">
        <v>25</v>
      </c>
      <c r="C296" s="106">
        <v>2</v>
      </c>
      <c r="D296" s="106">
        <v>4</v>
      </c>
      <c r="E296" s="106">
        <v>1</v>
      </c>
      <c r="F296" s="106">
        <v>1</v>
      </c>
      <c r="G296" s="106" t="s">
        <v>66</v>
      </c>
      <c r="H296" s="106" t="s">
        <v>271</v>
      </c>
      <c r="I296" s="106">
        <v>201</v>
      </c>
      <c r="J296" s="106">
        <v>234</v>
      </c>
      <c r="K296" s="106" t="s">
        <v>1443</v>
      </c>
      <c r="L296" s="106" t="s">
        <v>1305</v>
      </c>
      <c r="M296" s="106" t="s">
        <v>1448</v>
      </c>
      <c r="O296" s="106">
        <v>25</v>
      </c>
      <c r="T296" s="106" t="s">
        <v>1766</v>
      </c>
      <c r="V296" s="106">
        <v>20234246.355761301</v>
      </c>
      <c r="W296" s="106">
        <v>1</v>
      </c>
      <c r="X296" s="106">
        <v>1</v>
      </c>
      <c r="Y296" s="106">
        <v>1</v>
      </c>
      <c r="Z296" s="106">
        <v>1</v>
      </c>
      <c r="AA296" s="106">
        <v>5100000</v>
      </c>
      <c r="AB296" s="106">
        <v>5100000</v>
      </c>
      <c r="AC296" s="106">
        <v>5100000</v>
      </c>
      <c r="AD296" s="106">
        <v>5100000</v>
      </c>
      <c r="AE296" s="106">
        <v>20400000</v>
      </c>
      <c r="AF296" s="106">
        <v>20400000</v>
      </c>
      <c r="AH296" s="106">
        <v>375840</v>
      </c>
      <c r="AI296" s="106">
        <v>0.125</v>
      </c>
      <c r="AJ296" s="106">
        <v>13</v>
      </c>
      <c r="AK296" s="106">
        <v>3758.4</v>
      </c>
      <c r="AL296" s="106">
        <v>48859.199999999997</v>
      </c>
      <c r="AM296" s="106">
        <v>284920</v>
      </c>
      <c r="AN296" s="106">
        <v>284920</v>
      </c>
      <c r="AO296" s="106">
        <v>181768</v>
      </c>
      <c r="AP296" s="106" t="s">
        <v>114</v>
      </c>
      <c r="AQ296" s="106" t="s">
        <v>295</v>
      </c>
      <c r="AR296" s="106">
        <v>3000</v>
      </c>
      <c r="AS296" s="106">
        <v>0.12</v>
      </c>
      <c r="AT296" s="106">
        <v>0.12</v>
      </c>
      <c r="AU296" s="108" t="s">
        <v>164</v>
      </c>
      <c r="AV296" s="108" t="s">
        <v>371</v>
      </c>
      <c r="AW296" s="108">
        <v>3015</v>
      </c>
      <c r="AX296" s="108">
        <v>1200</v>
      </c>
      <c r="AY296" s="108">
        <v>1200</v>
      </c>
      <c r="BC296" s="113"/>
      <c r="BD296" s="113">
        <v>0</v>
      </c>
      <c r="BY296" s="112" t="s">
        <v>1766</v>
      </c>
      <c r="BZ296" s="112" t="s">
        <v>1766</v>
      </c>
      <c r="CA296" s="112" t="s">
        <v>1766</v>
      </c>
      <c r="CB296" s="112" t="s">
        <v>1766</v>
      </c>
      <c r="CC296" s="112" t="s">
        <v>1766</v>
      </c>
      <c r="CD296" s="112" t="s">
        <v>1766</v>
      </c>
      <c r="CE296" s="112" t="s">
        <v>1766</v>
      </c>
      <c r="CF296" s="112" t="s">
        <v>1766</v>
      </c>
      <c r="CG296" s="112" t="s">
        <v>1766</v>
      </c>
      <c r="CH296" s="112" t="s">
        <v>1766</v>
      </c>
      <c r="CI296" s="112" t="s">
        <v>1766</v>
      </c>
      <c r="CJ296" s="112" t="s">
        <v>1766</v>
      </c>
      <c r="CK296" s="112" t="s">
        <v>1766</v>
      </c>
      <c r="CL296" s="112" t="s">
        <v>1766</v>
      </c>
      <c r="CM296" s="112" t="s">
        <v>1766</v>
      </c>
      <c r="CN296" s="112" t="s">
        <v>1766</v>
      </c>
      <c r="CO296" s="112" t="s">
        <v>1766</v>
      </c>
    </row>
    <row r="297" spans="1:93">
      <c r="A297" s="106" t="s">
        <v>369</v>
      </c>
      <c r="B297" s="106">
        <v>26</v>
      </c>
      <c r="C297" s="106">
        <v>2</v>
      </c>
      <c r="D297" s="106">
        <v>4</v>
      </c>
      <c r="E297" s="106">
        <v>1</v>
      </c>
      <c r="F297" s="106">
        <v>1</v>
      </c>
      <c r="G297" s="106" t="s">
        <v>66</v>
      </c>
      <c r="H297" s="106" t="s">
        <v>271</v>
      </c>
      <c r="I297" s="106">
        <v>201</v>
      </c>
      <c r="J297" s="106">
        <v>234</v>
      </c>
      <c r="K297" s="106" t="s">
        <v>1443</v>
      </c>
      <c r="L297" s="106" t="s">
        <v>1308</v>
      </c>
      <c r="M297" s="106" t="s">
        <v>1449</v>
      </c>
      <c r="O297" s="106">
        <v>26</v>
      </c>
      <c r="T297" s="106" t="s">
        <v>1766</v>
      </c>
      <c r="V297" s="106">
        <v>25899835.335374501</v>
      </c>
      <c r="W297" s="106">
        <v>1</v>
      </c>
      <c r="X297" s="106">
        <v>1</v>
      </c>
      <c r="Y297" s="106">
        <v>1</v>
      </c>
      <c r="Z297" s="106">
        <v>1</v>
      </c>
      <c r="AA297" s="106">
        <v>6500000</v>
      </c>
      <c r="AB297" s="106">
        <v>6500000</v>
      </c>
      <c r="AC297" s="106">
        <v>6500000</v>
      </c>
      <c r="AD297" s="106">
        <v>6500000</v>
      </c>
      <c r="AE297" s="106">
        <v>26000000</v>
      </c>
      <c r="AF297" s="106">
        <v>26000000</v>
      </c>
      <c r="AH297" s="106">
        <v>466560</v>
      </c>
      <c r="AI297" s="106">
        <v>0.14499999999999999</v>
      </c>
      <c r="AJ297" s="106">
        <v>14</v>
      </c>
      <c r="AK297" s="106">
        <v>4665.6000000000004</v>
      </c>
      <c r="AL297" s="106">
        <v>65318.400000000001</v>
      </c>
      <c r="AM297" s="106">
        <v>341857</v>
      </c>
      <c r="AN297" s="106">
        <v>341857</v>
      </c>
      <c r="AO297" s="106">
        <v>233568</v>
      </c>
      <c r="AP297" s="106" t="s">
        <v>114</v>
      </c>
      <c r="AQ297" s="106" t="s">
        <v>295</v>
      </c>
      <c r="AR297" s="106">
        <v>3000</v>
      </c>
      <c r="AS297" s="106">
        <v>0.13</v>
      </c>
      <c r="AT297" s="106">
        <v>0.13</v>
      </c>
      <c r="AU297" s="108" t="s">
        <v>164</v>
      </c>
      <c r="AV297" s="108" t="s">
        <v>371</v>
      </c>
      <c r="AW297" s="108">
        <v>3015</v>
      </c>
      <c r="AX297" s="108">
        <v>1300</v>
      </c>
      <c r="AY297" s="108">
        <v>1300</v>
      </c>
      <c r="BC297" s="113"/>
      <c r="BD297" s="113">
        <v>0</v>
      </c>
      <c r="BY297" s="112" t="s">
        <v>1766</v>
      </c>
      <c r="BZ297" s="112" t="s">
        <v>1766</v>
      </c>
      <c r="CA297" s="112" t="s">
        <v>1766</v>
      </c>
      <c r="CB297" s="112" t="s">
        <v>1766</v>
      </c>
      <c r="CC297" s="112" t="s">
        <v>1766</v>
      </c>
      <c r="CD297" s="112" t="s">
        <v>1766</v>
      </c>
      <c r="CE297" s="112" t="s">
        <v>1766</v>
      </c>
      <c r="CF297" s="112" t="s">
        <v>1766</v>
      </c>
      <c r="CG297" s="112" t="s">
        <v>1766</v>
      </c>
      <c r="CH297" s="112" t="s">
        <v>1766</v>
      </c>
      <c r="CI297" s="112" t="s">
        <v>1766</v>
      </c>
      <c r="CJ297" s="112" t="s">
        <v>1766</v>
      </c>
      <c r="CK297" s="112" t="s">
        <v>1766</v>
      </c>
      <c r="CL297" s="112" t="s">
        <v>1766</v>
      </c>
      <c r="CM297" s="112" t="s">
        <v>1766</v>
      </c>
      <c r="CN297" s="112" t="s">
        <v>1766</v>
      </c>
      <c r="CO297" s="112" t="s">
        <v>1766</v>
      </c>
    </row>
    <row r="298" spans="1:93">
      <c r="A298" s="106" t="s">
        <v>369</v>
      </c>
      <c r="B298" s="106">
        <v>27</v>
      </c>
      <c r="C298" s="106">
        <v>2</v>
      </c>
      <c r="D298" s="106">
        <v>4</v>
      </c>
      <c r="E298" s="106">
        <v>1</v>
      </c>
      <c r="F298" s="106">
        <v>1</v>
      </c>
      <c r="G298" s="106" t="s">
        <v>66</v>
      </c>
      <c r="H298" s="106" t="s">
        <v>271</v>
      </c>
      <c r="I298" s="106">
        <v>201</v>
      </c>
      <c r="J298" s="106">
        <v>234</v>
      </c>
      <c r="K298" s="106" t="s">
        <v>1443</v>
      </c>
      <c r="L298" s="106" t="s">
        <v>1311</v>
      </c>
      <c r="M298" s="106" t="s">
        <v>1450</v>
      </c>
      <c r="O298" s="106">
        <v>27</v>
      </c>
      <c r="T298" s="106" t="s">
        <v>1766</v>
      </c>
      <c r="V298" s="106">
        <v>33151789.229279399</v>
      </c>
      <c r="W298" s="106">
        <v>1</v>
      </c>
      <c r="X298" s="106">
        <v>1</v>
      </c>
      <c r="Y298" s="106">
        <v>1</v>
      </c>
      <c r="Z298" s="106">
        <v>1</v>
      </c>
      <c r="AA298" s="106">
        <v>8300000</v>
      </c>
      <c r="AB298" s="106">
        <v>8300000</v>
      </c>
      <c r="AC298" s="106">
        <v>8300000</v>
      </c>
      <c r="AD298" s="106">
        <v>8300000</v>
      </c>
      <c r="AE298" s="106">
        <v>33200000</v>
      </c>
      <c r="AF298" s="106">
        <v>33200000</v>
      </c>
      <c r="AH298" s="106">
        <v>570240</v>
      </c>
      <c r="AI298" s="106">
        <v>0.16500000000000001</v>
      </c>
      <c r="AJ298" s="106">
        <v>15</v>
      </c>
      <c r="AK298" s="106">
        <v>5702.4</v>
      </c>
      <c r="AL298" s="106">
        <v>85536</v>
      </c>
      <c r="AM298" s="106">
        <v>403640</v>
      </c>
      <c r="AN298" s="106">
        <v>403640</v>
      </c>
      <c r="AO298" s="106">
        <v>299871</v>
      </c>
      <c r="AP298" s="106" t="s">
        <v>114</v>
      </c>
      <c r="AQ298" s="106" t="s">
        <v>295</v>
      </c>
      <c r="AR298" s="106">
        <v>3000</v>
      </c>
      <c r="AS298" s="106">
        <v>0.14000000000000001</v>
      </c>
      <c r="AT298" s="106">
        <v>0.14000000000000001</v>
      </c>
      <c r="AU298" s="108" t="s">
        <v>164</v>
      </c>
      <c r="AV298" s="108" t="s">
        <v>371</v>
      </c>
      <c r="AW298" s="108">
        <v>3015</v>
      </c>
      <c r="AX298" s="108">
        <v>1400</v>
      </c>
      <c r="AY298" s="108">
        <v>1400</v>
      </c>
      <c r="BC298" s="113"/>
      <c r="BD298" s="113">
        <v>0</v>
      </c>
      <c r="BY298" s="112" t="s">
        <v>1766</v>
      </c>
      <c r="BZ298" s="112" t="s">
        <v>1766</v>
      </c>
      <c r="CA298" s="112" t="s">
        <v>1766</v>
      </c>
      <c r="CB298" s="112" t="s">
        <v>1766</v>
      </c>
      <c r="CC298" s="112" t="s">
        <v>1766</v>
      </c>
      <c r="CD298" s="112" t="s">
        <v>1766</v>
      </c>
      <c r="CE298" s="112" t="s">
        <v>1766</v>
      </c>
      <c r="CF298" s="112" t="s">
        <v>1766</v>
      </c>
      <c r="CG298" s="112" t="s">
        <v>1766</v>
      </c>
      <c r="CH298" s="112" t="s">
        <v>1766</v>
      </c>
      <c r="CI298" s="112" t="s">
        <v>1766</v>
      </c>
      <c r="CJ298" s="112" t="s">
        <v>1766</v>
      </c>
      <c r="CK298" s="112" t="s">
        <v>1766</v>
      </c>
      <c r="CL298" s="112" t="s">
        <v>1766</v>
      </c>
      <c r="CM298" s="112" t="s">
        <v>1766</v>
      </c>
      <c r="CN298" s="112" t="s">
        <v>1766</v>
      </c>
      <c r="CO298" s="112" t="s">
        <v>1766</v>
      </c>
    </row>
    <row r="299" spans="1:93">
      <c r="A299" s="106" t="s">
        <v>369</v>
      </c>
      <c r="B299" s="106">
        <v>28</v>
      </c>
      <c r="C299" s="106">
        <v>2</v>
      </c>
      <c r="D299" s="106">
        <v>4</v>
      </c>
      <c r="E299" s="106">
        <v>1</v>
      </c>
      <c r="F299" s="106">
        <v>1</v>
      </c>
      <c r="G299" s="106" t="s">
        <v>66</v>
      </c>
      <c r="H299" s="106" t="s">
        <v>271</v>
      </c>
      <c r="I299" s="106">
        <v>201</v>
      </c>
      <c r="J299" s="106">
        <v>234</v>
      </c>
      <c r="K299" s="106" t="s">
        <v>1443</v>
      </c>
      <c r="L299" s="106" t="s">
        <v>1314</v>
      </c>
      <c r="M299" s="106" t="s">
        <v>1451</v>
      </c>
      <c r="O299" s="106">
        <v>28</v>
      </c>
      <c r="T299" s="106" t="s">
        <v>1766</v>
      </c>
      <c r="V299" s="106">
        <v>42434290.213477597</v>
      </c>
      <c r="W299" s="106">
        <v>1</v>
      </c>
      <c r="X299" s="106">
        <v>1</v>
      </c>
      <c r="Y299" s="106">
        <v>1</v>
      </c>
      <c r="Z299" s="106">
        <v>1</v>
      </c>
      <c r="AA299" s="106">
        <v>11000000</v>
      </c>
      <c r="AB299" s="106">
        <v>11000000</v>
      </c>
      <c r="AC299" s="106">
        <v>11000000</v>
      </c>
      <c r="AD299" s="106">
        <v>11000000</v>
      </c>
      <c r="AE299" s="106">
        <v>44000000</v>
      </c>
      <c r="AF299" s="106">
        <v>44000000</v>
      </c>
      <c r="AH299" s="106">
        <v>699840</v>
      </c>
      <c r="AI299" s="106">
        <v>0.185</v>
      </c>
      <c r="AJ299" s="106">
        <v>16</v>
      </c>
      <c r="AK299" s="106">
        <v>6998.4</v>
      </c>
      <c r="AL299" s="106">
        <v>111974.39999999999</v>
      </c>
      <c r="AM299" s="106">
        <v>478307</v>
      </c>
      <c r="AN299" s="106">
        <v>478307</v>
      </c>
      <c r="AO299" s="106">
        <v>384740</v>
      </c>
      <c r="AP299" s="106" t="s">
        <v>114</v>
      </c>
      <c r="AQ299" s="106" t="s">
        <v>295</v>
      </c>
      <c r="AR299" s="106">
        <v>3000</v>
      </c>
      <c r="AS299" s="106">
        <v>0.15</v>
      </c>
      <c r="AT299" s="106">
        <v>0.15</v>
      </c>
      <c r="AU299" s="108" t="s">
        <v>164</v>
      </c>
      <c r="AV299" s="108" t="s">
        <v>371</v>
      </c>
      <c r="AW299" s="108">
        <v>3015</v>
      </c>
      <c r="AX299" s="108">
        <v>1500</v>
      </c>
      <c r="AY299" s="108">
        <v>1500</v>
      </c>
      <c r="BC299" s="113"/>
      <c r="BD299" s="113">
        <v>0</v>
      </c>
      <c r="BY299" s="112" t="s">
        <v>1766</v>
      </c>
      <c r="BZ299" s="112" t="s">
        <v>1766</v>
      </c>
      <c r="CA299" s="112" t="s">
        <v>1766</v>
      </c>
      <c r="CB299" s="112" t="s">
        <v>1766</v>
      </c>
      <c r="CC299" s="112" t="s">
        <v>1766</v>
      </c>
      <c r="CD299" s="112" t="s">
        <v>1766</v>
      </c>
      <c r="CE299" s="112" t="s">
        <v>1766</v>
      </c>
      <c r="CF299" s="112" t="s">
        <v>1766</v>
      </c>
      <c r="CG299" s="112" t="s">
        <v>1766</v>
      </c>
      <c r="CH299" s="112" t="s">
        <v>1766</v>
      </c>
      <c r="CI299" s="112" t="s">
        <v>1766</v>
      </c>
      <c r="CJ299" s="112" t="s">
        <v>1766</v>
      </c>
      <c r="CK299" s="112" t="s">
        <v>1766</v>
      </c>
      <c r="CL299" s="112" t="s">
        <v>1766</v>
      </c>
      <c r="CM299" s="112" t="s">
        <v>1766</v>
      </c>
      <c r="CN299" s="112" t="s">
        <v>1766</v>
      </c>
      <c r="CO299" s="112" t="s">
        <v>1766</v>
      </c>
    </row>
    <row r="300" spans="1:93">
      <c r="A300" s="106" t="s">
        <v>369</v>
      </c>
      <c r="B300" s="106">
        <v>29</v>
      </c>
      <c r="C300" s="106">
        <v>2</v>
      </c>
      <c r="D300" s="106">
        <v>4</v>
      </c>
      <c r="E300" s="106">
        <v>1</v>
      </c>
      <c r="F300" s="106">
        <v>1</v>
      </c>
      <c r="G300" s="106" t="s">
        <v>66</v>
      </c>
      <c r="H300" s="106" t="s">
        <v>271</v>
      </c>
      <c r="I300" s="106">
        <v>201</v>
      </c>
      <c r="J300" s="106">
        <v>234</v>
      </c>
      <c r="K300" s="106" t="s">
        <v>1443</v>
      </c>
      <c r="L300" s="106" t="s">
        <v>1317</v>
      </c>
      <c r="M300" s="106" t="s">
        <v>1452</v>
      </c>
      <c r="O300" s="106">
        <v>29</v>
      </c>
      <c r="T300" s="106" t="s">
        <v>1766</v>
      </c>
      <c r="V300" s="106">
        <v>54315891.473251298</v>
      </c>
      <c r="W300" s="106">
        <v>1</v>
      </c>
      <c r="X300" s="106">
        <v>1</v>
      </c>
      <c r="Y300" s="106">
        <v>1</v>
      </c>
      <c r="Z300" s="106">
        <v>1</v>
      </c>
      <c r="AA300" s="106">
        <v>14000000</v>
      </c>
      <c r="AB300" s="106">
        <v>14000000</v>
      </c>
      <c r="AC300" s="106">
        <v>14000000</v>
      </c>
      <c r="AD300" s="106">
        <v>14000000</v>
      </c>
      <c r="AE300" s="106">
        <v>56000000</v>
      </c>
      <c r="AF300" s="106">
        <v>56000000</v>
      </c>
      <c r="AH300" s="106">
        <v>855360</v>
      </c>
      <c r="AI300" s="106">
        <v>0.20499999999999999</v>
      </c>
      <c r="AJ300" s="106">
        <v>17</v>
      </c>
      <c r="AK300" s="106">
        <v>8553.6</v>
      </c>
      <c r="AL300" s="106">
        <v>145411.20000000001</v>
      </c>
      <c r="AM300" s="106">
        <v>564131</v>
      </c>
      <c r="AN300" s="106">
        <v>564131</v>
      </c>
      <c r="AO300" s="106">
        <v>493372</v>
      </c>
      <c r="AP300" s="106" t="s">
        <v>114</v>
      </c>
      <c r="AQ300" s="106" t="s">
        <v>295</v>
      </c>
      <c r="AR300" s="106">
        <v>3000</v>
      </c>
      <c r="AS300" s="106">
        <v>0.16</v>
      </c>
      <c r="AT300" s="106">
        <v>0.16</v>
      </c>
      <c r="AU300" s="108" t="s">
        <v>164</v>
      </c>
      <c r="AV300" s="108" t="s">
        <v>371</v>
      </c>
      <c r="AW300" s="108">
        <v>3015</v>
      </c>
      <c r="AX300" s="108">
        <v>1600</v>
      </c>
      <c r="AY300" s="108">
        <v>1600</v>
      </c>
      <c r="BC300" s="113"/>
      <c r="BD300" s="113">
        <v>0</v>
      </c>
      <c r="BY300" s="112" t="s">
        <v>1766</v>
      </c>
      <c r="BZ300" s="112" t="s">
        <v>1766</v>
      </c>
      <c r="CA300" s="112" t="s">
        <v>1766</v>
      </c>
      <c r="CB300" s="112" t="s">
        <v>1766</v>
      </c>
      <c r="CC300" s="112" t="s">
        <v>1766</v>
      </c>
      <c r="CD300" s="112" t="s">
        <v>1766</v>
      </c>
      <c r="CE300" s="112" t="s">
        <v>1766</v>
      </c>
      <c r="CF300" s="112" t="s">
        <v>1766</v>
      </c>
      <c r="CG300" s="112" t="s">
        <v>1766</v>
      </c>
      <c r="CH300" s="112" t="s">
        <v>1766</v>
      </c>
      <c r="CI300" s="112" t="s">
        <v>1766</v>
      </c>
      <c r="CJ300" s="112" t="s">
        <v>1766</v>
      </c>
      <c r="CK300" s="112" t="s">
        <v>1766</v>
      </c>
      <c r="CL300" s="112" t="s">
        <v>1766</v>
      </c>
      <c r="CM300" s="112" t="s">
        <v>1766</v>
      </c>
      <c r="CN300" s="112" t="s">
        <v>1766</v>
      </c>
      <c r="CO300" s="112" t="s">
        <v>1766</v>
      </c>
    </row>
    <row r="301" spans="1:93">
      <c r="A301" s="106" t="s">
        <v>369</v>
      </c>
      <c r="B301" s="106">
        <v>30</v>
      </c>
      <c r="C301" s="106">
        <v>2</v>
      </c>
      <c r="D301" s="106">
        <v>4</v>
      </c>
      <c r="E301" s="106">
        <v>1</v>
      </c>
      <c r="F301" s="106">
        <v>1</v>
      </c>
      <c r="G301" s="106" t="s">
        <v>66</v>
      </c>
      <c r="H301" s="106" t="s">
        <v>271</v>
      </c>
      <c r="I301" s="106">
        <v>201</v>
      </c>
      <c r="J301" s="106">
        <v>234</v>
      </c>
      <c r="K301" s="106" t="s">
        <v>1443</v>
      </c>
      <c r="L301" s="106" t="s">
        <v>1406</v>
      </c>
      <c r="M301" s="106" t="s">
        <v>1453</v>
      </c>
      <c r="O301" s="106">
        <v>30</v>
      </c>
      <c r="T301" s="106" t="s">
        <v>1766</v>
      </c>
      <c r="V301" s="106">
        <v>69524341.085761696</v>
      </c>
      <c r="W301" s="106">
        <v>1</v>
      </c>
      <c r="X301" s="106">
        <v>1</v>
      </c>
      <c r="Y301" s="106">
        <v>1</v>
      </c>
      <c r="Z301" s="106">
        <v>1</v>
      </c>
      <c r="AA301" s="106">
        <v>17000000</v>
      </c>
      <c r="AB301" s="106">
        <v>17000000</v>
      </c>
      <c r="AC301" s="106">
        <v>17000000</v>
      </c>
      <c r="AD301" s="106">
        <v>17000000</v>
      </c>
      <c r="AE301" s="106">
        <v>68000000</v>
      </c>
      <c r="AF301" s="106">
        <v>68000000</v>
      </c>
      <c r="AH301" s="106">
        <v>1036800</v>
      </c>
      <c r="AI301" s="106">
        <v>0.22500000000000001</v>
      </c>
      <c r="AJ301" s="106">
        <v>18</v>
      </c>
      <c r="AK301" s="106">
        <v>10368</v>
      </c>
      <c r="AL301" s="106">
        <v>186624</v>
      </c>
      <c r="AM301" s="106">
        <v>659443</v>
      </c>
      <c r="AN301" s="106">
        <v>659443</v>
      </c>
      <c r="AO301" s="106">
        <v>632420</v>
      </c>
      <c r="AP301" s="106" t="s">
        <v>114</v>
      </c>
      <c r="AQ301" s="106" t="s">
        <v>295</v>
      </c>
      <c r="AR301" s="106">
        <v>3000</v>
      </c>
      <c r="AS301" s="106">
        <v>0.17</v>
      </c>
      <c r="AT301" s="106">
        <v>0.17</v>
      </c>
      <c r="AU301" s="108" t="s">
        <v>164</v>
      </c>
      <c r="AV301" s="108" t="s">
        <v>371</v>
      </c>
      <c r="AW301" s="108">
        <v>3015</v>
      </c>
      <c r="AX301" s="108">
        <v>1700</v>
      </c>
      <c r="AY301" s="108">
        <v>1700</v>
      </c>
      <c r="BC301" s="113"/>
      <c r="BD301" s="113">
        <v>0</v>
      </c>
      <c r="BY301" s="112" t="s">
        <v>1766</v>
      </c>
      <c r="BZ301" s="112" t="s">
        <v>1766</v>
      </c>
      <c r="CA301" s="112" t="s">
        <v>1766</v>
      </c>
      <c r="CB301" s="112" t="s">
        <v>1766</v>
      </c>
      <c r="CC301" s="112" t="s">
        <v>1766</v>
      </c>
      <c r="CD301" s="112" t="s">
        <v>1766</v>
      </c>
      <c r="CE301" s="112" t="s">
        <v>1766</v>
      </c>
      <c r="CF301" s="112" t="s">
        <v>1766</v>
      </c>
      <c r="CG301" s="112" t="s">
        <v>1766</v>
      </c>
      <c r="CH301" s="112" t="s">
        <v>1766</v>
      </c>
      <c r="CI301" s="112" t="s">
        <v>1766</v>
      </c>
      <c r="CJ301" s="112" t="s">
        <v>1766</v>
      </c>
      <c r="CK301" s="112" t="s">
        <v>1766</v>
      </c>
      <c r="CL301" s="112" t="s">
        <v>1766</v>
      </c>
      <c r="CM301" s="112" t="s">
        <v>1766</v>
      </c>
      <c r="CN301" s="112" t="s">
        <v>1766</v>
      </c>
      <c r="CO301" s="112" t="s">
        <v>1766</v>
      </c>
    </row>
    <row r="302" spans="1:93">
      <c r="A302" s="106" t="s">
        <v>418</v>
      </c>
      <c r="B302" s="106">
        <v>1</v>
      </c>
      <c r="C302" s="106">
        <v>1</v>
      </c>
      <c r="D302" s="106">
        <v>1</v>
      </c>
      <c r="E302" s="106">
        <v>1</v>
      </c>
      <c r="F302" s="106">
        <v>1</v>
      </c>
      <c r="G302" s="106" t="s">
        <v>66</v>
      </c>
      <c r="I302" s="106">
        <v>201</v>
      </c>
      <c r="J302" s="106" t="s">
        <v>1766</v>
      </c>
      <c r="K302" s="106" t="s">
        <v>1318</v>
      </c>
      <c r="L302" s="106" t="s">
        <v>229</v>
      </c>
      <c r="M302" s="106" t="s">
        <v>419</v>
      </c>
      <c r="N302" s="106">
        <v>5</v>
      </c>
      <c r="O302" s="106">
        <v>1</v>
      </c>
      <c r="T302" s="106" t="s">
        <v>1766</v>
      </c>
      <c r="V302" s="106">
        <v>0</v>
      </c>
      <c r="W302" s="106">
        <v>0</v>
      </c>
      <c r="X302" s="106">
        <v>0</v>
      </c>
      <c r="Y302" s="106" t="s">
        <v>1766</v>
      </c>
      <c r="Z302" s="106" t="s">
        <v>1766</v>
      </c>
      <c r="AA302" s="106">
        <v>0</v>
      </c>
      <c r="AB302" s="106">
        <v>0</v>
      </c>
      <c r="AC302" s="106">
        <v>0</v>
      </c>
      <c r="AD302" s="106">
        <v>0</v>
      </c>
      <c r="AE302" s="106">
        <v>0</v>
      </c>
      <c r="AF302" s="106">
        <v>0</v>
      </c>
      <c r="AH302" s="106">
        <v>25</v>
      </c>
      <c r="AI302" s="106">
        <v>0</v>
      </c>
      <c r="AJ302" s="106">
        <v>0</v>
      </c>
      <c r="AK302" s="106">
        <v>120</v>
      </c>
      <c r="AL302" s="106">
        <v>0</v>
      </c>
      <c r="AM302" s="106">
        <v>1</v>
      </c>
      <c r="AN302" s="106">
        <v>1</v>
      </c>
      <c r="AO302" s="106">
        <v>5</v>
      </c>
      <c r="AP302" s="106" t="s">
        <v>122</v>
      </c>
      <c r="AQ302" s="106" t="s">
        <v>420</v>
      </c>
      <c r="AR302" s="106">
        <v>4004</v>
      </c>
      <c r="AS302" s="106">
        <v>100000</v>
      </c>
      <c r="AT302" s="106">
        <v>100000</v>
      </c>
      <c r="BC302" s="113"/>
      <c r="BD302" s="113">
        <v>0</v>
      </c>
      <c r="BY302" s="112" t="s">
        <v>229</v>
      </c>
      <c r="BZ302" s="112" t="s">
        <v>1419</v>
      </c>
      <c r="CA302" s="112" t="s">
        <v>1419</v>
      </c>
      <c r="CB302" s="112" t="s">
        <v>122</v>
      </c>
      <c r="CC302" s="112">
        <v>11</v>
      </c>
      <c r="CD302" s="112" t="s">
        <v>1766</v>
      </c>
      <c r="CE302" s="112" t="s">
        <v>1766</v>
      </c>
      <c r="CF302" s="112" t="s">
        <v>1766</v>
      </c>
      <c r="CG302" s="112" t="s">
        <v>1766</v>
      </c>
      <c r="CH302" s="112" t="s">
        <v>1766</v>
      </c>
      <c r="CI302" s="112" t="s">
        <v>1766</v>
      </c>
      <c r="CJ302" s="112" t="s">
        <v>1766</v>
      </c>
      <c r="CK302" s="112" t="s">
        <v>1766</v>
      </c>
      <c r="CL302" s="112" t="s">
        <v>1766</v>
      </c>
      <c r="CM302" s="112" t="s">
        <v>1766</v>
      </c>
      <c r="CN302" s="112" t="s">
        <v>1766</v>
      </c>
      <c r="CO302" s="112" t="s">
        <v>1766</v>
      </c>
    </row>
    <row r="303" spans="1:93">
      <c r="A303" s="106" t="s">
        <v>418</v>
      </c>
      <c r="B303" s="106">
        <v>2</v>
      </c>
      <c r="C303" s="106">
        <v>1</v>
      </c>
      <c r="D303" s="106">
        <v>1</v>
      </c>
      <c r="E303" s="106">
        <v>1</v>
      </c>
      <c r="F303" s="106">
        <v>1</v>
      </c>
      <c r="G303" s="106" t="s">
        <v>66</v>
      </c>
      <c r="I303" s="106">
        <v>201</v>
      </c>
      <c r="J303" s="106" t="s">
        <v>1766</v>
      </c>
      <c r="K303" s="106" t="s">
        <v>1318</v>
      </c>
      <c r="L303" s="106" t="s">
        <v>1320</v>
      </c>
      <c r="M303" s="106" t="s">
        <v>423</v>
      </c>
      <c r="N303" s="106">
        <v>5</v>
      </c>
      <c r="O303" s="106">
        <v>2</v>
      </c>
      <c r="T303" s="106" t="s">
        <v>1766</v>
      </c>
      <c r="V303" s="106">
        <v>5000</v>
      </c>
      <c r="W303" s="106">
        <v>1</v>
      </c>
      <c r="X303" s="106">
        <v>1</v>
      </c>
      <c r="Y303" s="106" t="s">
        <v>1766</v>
      </c>
      <c r="Z303" s="106" t="s">
        <v>1766</v>
      </c>
      <c r="AA303" s="106">
        <v>2500</v>
      </c>
      <c r="AB303" s="106">
        <v>2500</v>
      </c>
      <c r="AC303" s="106">
        <v>0</v>
      </c>
      <c r="AD303" s="106">
        <v>0</v>
      </c>
      <c r="AE303" s="106">
        <v>5000</v>
      </c>
      <c r="AF303" s="106">
        <v>5000</v>
      </c>
      <c r="AH303" s="106">
        <v>90</v>
      </c>
      <c r="AI303" s="106">
        <v>0</v>
      </c>
      <c r="AJ303" s="106">
        <v>0</v>
      </c>
      <c r="AK303" s="106">
        <v>120</v>
      </c>
      <c r="AL303" s="106">
        <v>0</v>
      </c>
      <c r="AM303" s="106">
        <v>1</v>
      </c>
      <c r="AN303" s="106">
        <v>1</v>
      </c>
      <c r="AO303" s="106">
        <v>15</v>
      </c>
      <c r="AP303" s="106" t="s">
        <v>122</v>
      </c>
      <c r="AQ303" s="106" t="s">
        <v>420</v>
      </c>
      <c r="AR303" s="106">
        <v>4004</v>
      </c>
      <c r="AS303" s="106">
        <v>120000</v>
      </c>
      <c r="AT303" s="106">
        <v>120000</v>
      </c>
      <c r="BD303" s="106">
        <v>0</v>
      </c>
      <c r="BY303" s="112" t="s">
        <v>1766</v>
      </c>
      <c r="BZ303" s="112" t="s">
        <v>1766</v>
      </c>
      <c r="CA303" s="112" t="s">
        <v>1766</v>
      </c>
      <c r="CB303" s="112" t="s">
        <v>1766</v>
      </c>
      <c r="CC303" s="112" t="s">
        <v>1766</v>
      </c>
      <c r="CD303" s="112" t="s">
        <v>1766</v>
      </c>
      <c r="CE303" s="112" t="s">
        <v>1766</v>
      </c>
      <c r="CF303" s="112" t="s">
        <v>1766</v>
      </c>
      <c r="CG303" s="112" t="s">
        <v>1766</v>
      </c>
      <c r="CH303" s="112" t="s">
        <v>1766</v>
      </c>
      <c r="CI303" s="112" t="s">
        <v>1766</v>
      </c>
      <c r="CJ303" s="112" t="s">
        <v>1766</v>
      </c>
      <c r="CK303" s="112" t="s">
        <v>1766</v>
      </c>
      <c r="CL303" s="112" t="s">
        <v>1766</v>
      </c>
      <c r="CM303" s="112" t="s">
        <v>1766</v>
      </c>
      <c r="CN303" s="112" t="s">
        <v>1766</v>
      </c>
      <c r="CO303" s="112" t="s">
        <v>1766</v>
      </c>
    </row>
    <row r="304" spans="1:93">
      <c r="A304" s="106" t="s">
        <v>418</v>
      </c>
      <c r="B304" s="106">
        <v>3</v>
      </c>
      <c r="C304" s="106">
        <v>1</v>
      </c>
      <c r="D304" s="106">
        <v>1</v>
      </c>
      <c r="E304" s="106">
        <v>1</v>
      </c>
      <c r="F304" s="106">
        <v>1</v>
      </c>
      <c r="G304" s="106" t="s">
        <v>66</v>
      </c>
      <c r="I304" s="106">
        <v>201</v>
      </c>
      <c r="J304" s="106" t="s">
        <v>1766</v>
      </c>
      <c r="K304" s="106" t="s">
        <v>1318</v>
      </c>
      <c r="L304" s="106" t="s">
        <v>1321</v>
      </c>
      <c r="M304" s="106" t="s">
        <v>424</v>
      </c>
      <c r="N304" s="106">
        <v>5</v>
      </c>
      <c r="O304" s="106">
        <v>3</v>
      </c>
      <c r="T304" s="106" t="s">
        <v>1766</v>
      </c>
      <c r="V304" s="106">
        <v>10000</v>
      </c>
      <c r="W304" s="106">
        <v>1</v>
      </c>
      <c r="X304" s="106">
        <v>1</v>
      </c>
      <c r="Y304" s="106" t="s">
        <v>1766</v>
      </c>
      <c r="Z304" s="106" t="s">
        <v>1766</v>
      </c>
      <c r="AA304" s="106">
        <v>5000</v>
      </c>
      <c r="AB304" s="106">
        <v>5000</v>
      </c>
      <c r="AC304" s="106">
        <v>0</v>
      </c>
      <c r="AD304" s="106">
        <v>0</v>
      </c>
      <c r="AE304" s="106">
        <v>10000</v>
      </c>
      <c r="AF304" s="106">
        <v>10000</v>
      </c>
      <c r="AH304" s="106">
        <v>180</v>
      </c>
      <c r="AI304" s="106">
        <v>0</v>
      </c>
      <c r="AJ304" s="106">
        <v>1</v>
      </c>
      <c r="AK304" s="106">
        <v>120</v>
      </c>
      <c r="AL304" s="106">
        <v>120</v>
      </c>
      <c r="AM304" s="106">
        <v>1</v>
      </c>
      <c r="AN304" s="106">
        <v>1</v>
      </c>
      <c r="AO304" s="106">
        <v>35</v>
      </c>
      <c r="AP304" s="106" t="s">
        <v>122</v>
      </c>
      <c r="AQ304" s="106" t="s">
        <v>420</v>
      </c>
      <c r="AR304" s="106">
        <v>4004</v>
      </c>
      <c r="AS304" s="106">
        <v>140000</v>
      </c>
      <c r="AT304" s="106">
        <v>140000</v>
      </c>
      <c r="BD304" s="106">
        <v>0</v>
      </c>
      <c r="BY304" s="112" t="s">
        <v>1766</v>
      </c>
      <c r="BZ304" s="112" t="s">
        <v>1766</v>
      </c>
      <c r="CA304" s="112" t="s">
        <v>1766</v>
      </c>
      <c r="CB304" s="112" t="s">
        <v>1766</v>
      </c>
      <c r="CC304" s="112" t="s">
        <v>1766</v>
      </c>
      <c r="CD304" s="112" t="s">
        <v>1766</v>
      </c>
      <c r="CE304" s="112" t="s">
        <v>1766</v>
      </c>
      <c r="CF304" s="112" t="s">
        <v>1766</v>
      </c>
      <c r="CG304" s="112" t="s">
        <v>1766</v>
      </c>
      <c r="CH304" s="112" t="s">
        <v>1766</v>
      </c>
      <c r="CI304" s="112" t="s">
        <v>1766</v>
      </c>
      <c r="CJ304" s="112" t="s">
        <v>1766</v>
      </c>
      <c r="CK304" s="112" t="s">
        <v>1766</v>
      </c>
      <c r="CL304" s="112" t="s">
        <v>1766</v>
      </c>
      <c r="CM304" s="112" t="s">
        <v>1766</v>
      </c>
      <c r="CN304" s="112" t="s">
        <v>1766</v>
      </c>
      <c r="CO304" s="112" t="s">
        <v>1766</v>
      </c>
    </row>
    <row r="305" spans="1:93">
      <c r="A305" s="106" t="s">
        <v>418</v>
      </c>
      <c r="B305" s="106">
        <v>4</v>
      </c>
      <c r="C305" s="106">
        <v>1</v>
      </c>
      <c r="D305" s="106">
        <v>1</v>
      </c>
      <c r="E305" s="106">
        <v>1</v>
      </c>
      <c r="F305" s="106">
        <v>1</v>
      </c>
      <c r="G305" s="106" t="s">
        <v>66</v>
      </c>
      <c r="I305" s="106">
        <v>201</v>
      </c>
      <c r="J305" s="106" t="s">
        <v>1766</v>
      </c>
      <c r="K305" s="106" t="s">
        <v>1318</v>
      </c>
      <c r="L305" s="106" t="s">
        <v>1322</v>
      </c>
      <c r="M305" s="106" t="s">
        <v>425</v>
      </c>
      <c r="N305" s="106">
        <v>5</v>
      </c>
      <c r="O305" s="106">
        <v>4</v>
      </c>
      <c r="T305" s="106" t="s">
        <v>1766</v>
      </c>
      <c r="V305" s="106">
        <v>20000</v>
      </c>
      <c r="W305" s="106">
        <v>1</v>
      </c>
      <c r="X305" s="106">
        <v>1</v>
      </c>
      <c r="Y305" s="106" t="s">
        <v>1766</v>
      </c>
      <c r="Z305" s="106" t="s">
        <v>1766</v>
      </c>
      <c r="AA305" s="106">
        <v>10000</v>
      </c>
      <c r="AB305" s="106">
        <v>10000</v>
      </c>
      <c r="AC305" s="106">
        <v>0</v>
      </c>
      <c r="AD305" s="106">
        <v>0</v>
      </c>
      <c r="AE305" s="106">
        <v>20000</v>
      </c>
      <c r="AF305" s="106">
        <v>20000</v>
      </c>
      <c r="AH305" s="106">
        <v>360</v>
      </c>
      <c r="AI305" s="106">
        <v>0</v>
      </c>
      <c r="AJ305" s="106">
        <v>1</v>
      </c>
      <c r="AK305" s="106">
        <v>120</v>
      </c>
      <c r="AL305" s="106">
        <v>120</v>
      </c>
      <c r="AM305" s="106">
        <v>1</v>
      </c>
      <c r="AN305" s="106">
        <v>1</v>
      </c>
      <c r="AO305" s="106">
        <v>75</v>
      </c>
      <c r="AP305" s="106" t="s">
        <v>122</v>
      </c>
      <c r="AQ305" s="106" t="s">
        <v>420</v>
      </c>
      <c r="AR305" s="106">
        <v>4004</v>
      </c>
      <c r="AS305" s="106">
        <v>160000</v>
      </c>
      <c r="AT305" s="106">
        <v>160000</v>
      </c>
      <c r="BD305" s="106">
        <v>0</v>
      </c>
      <c r="BY305" s="112" t="s">
        <v>1766</v>
      </c>
      <c r="BZ305" s="112" t="s">
        <v>1766</v>
      </c>
      <c r="CA305" s="112" t="s">
        <v>1766</v>
      </c>
      <c r="CB305" s="112" t="s">
        <v>1766</v>
      </c>
      <c r="CC305" s="112" t="s">
        <v>1766</v>
      </c>
      <c r="CD305" s="112" t="s">
        <v>1766</v>
      </c>
      <c r="CE305" s="112" t="s">
        <v>1766</v>
      </c>
      <c r="CF305" s="112" t="s">
        <v>1766</v>
      </c>
      <c r="CG305" s="112" t="s">
        <v>1766</v>
      </c>
      <c r="CH305" s="112" t="s">
        <v>1766</v>
      </c>
      <c r="CI305" s="112" t="s">
        <v>1766</v>
      </c>
      <c r="CJ305" s="112" t="s">
        <v>1766</v>
      </c>
      <c r="CK305" s="112" t="s">
        <v>1766</v>
      </c>
      <c r="CL305" s="112" t="s">
        <v>1766</v>
      </c>
      <c r="CM305" s="112" t="s">
        <v>1766</v>
      </c>
      <c r="CN305" s="112" t="s">
        <v>1766</v>
      </c>
      <c r="CO305" s="112" t="s">
        <v>1766</v>
      </c>
    </row>
    <row r="306" spans="1:93">
      <c r="A306" s="106" t="s">
        <v>418</v>
      </c>
      <c r="B306" s="106">
        <v>5</v>
      </c>
      <c r="C306" s="106">
        <v>1</v>
      </c>
      <c r="D306" s="106">
        <v>1</v>
      </c>
      <c r="E306" s="106">
        <v>1</v>
      </c>
      <c r="F306" s="106">
        <v>1</v>
      </c>
      <c r="G306" s="106" t="s">
        <v>66</v>
      </c>
      <c r="H306" s="106" t="s">
        <v>565</v>
      </c>
      <c r="I306" s="106">
        <v>201</v>
      </c>
      <c r="J306" s="106">
        <v>237</v>
      </c>
      <c r="K306" s="106" t="s">
        <v>1420</v>
      </c>
      <c r="L306" s="106" t="s">
        <v>1225</v>
      </c>
      <c r="M306" s="106" t="s">
        <v>426</v>
      </c>
      <c r="N306" s="106">
        <v>6</v>
      </c>
      <c r="O306" s="106">
        <v>5</v>
      </c>
      <c r="T306" s="106" t="s">
        <v>1766</v>
      </c>
      <c r="V306" s="106">
        <v>38600</v>
      </c>
      <c r="W306" s="106">
        <v>1</v>
      </c>
      <c r="X306" s="106">
        <v>1</v>
      </c>
      <c r="Y306" s="106">
        <v>2</v>
      </c>
      <c r="Z306" s="106" t="s">
        <v>1766</v>
      </c>
      <c r="AA306" s="106">
        <v>9700</v>
      </c>
      <c r="AB306" s="106">
        <v>9700</v>
      </c>
      <c r="AC306" s="106">
        <v>19000</v>
      </c>
      <c r="AD306" s="106">
        <v>0</v>
      </c>
      <c r="AE306" s="106">
        <v>38400</v>
      </c>
      <c r="AF306" s="106">
        <v>38400</v>
      </c>
      <c r="AH306" s="106">
        <v>750</v>
      </c>
      <c r="AI306" s="106">
        <v>0</v>
      </c>
      <c r="AJ306" s="106">
        <v>2</v>
      </c>
      <c r="AK306" s="106">
        <v>120</v>
      </c>
      <c r="AL306" s="106">
        <v>240</v>
      </c>
      <c r="AM306" s="106">
        <v>210</v>
      </c>
      <c r="AN306" s="106">
        <v>210</v>
      </c>
      <c r="AO306" s="106">
        <v>152</v>
      </c>
      <c r="AP306" s="106" t="s">
        <v>122</v>
      </c>
      <c r="AQ306" s="106" t="s">
        <v>420</v>
      </c>
      <c r="AR306" s="106">
        <v>4004</v>
      </c>
      <c r="AS306" s="106">
        <v>180000</v>
      </c>
      <c r="AT306" s="106">
        <v>180000</v>
      </c>
      <c r="BD306" s="106">
        <v>0</v>
      </c>
      <c r="BY306" s="112" t="s">
        <v>1766</v>
      </c>
      <c r="BZ306" s="112" t="s">
        <v>1766</v>
      </c>
      <c r="CA306" s="112" t="s">
        <v>1766</v>
      </c>
      <c r="CB306" s="112" t="s">
        <v>1766</v>
      </c>
      <c r="CC306" s="112" t="s">
        <v>1766</v>
      </c>
      <c r="CD306" s="112" t="s">
        <v>1766</v>
      </c>
      <c r="CE306" s="112" t="s">
        <v>1766</v>
      </c>
      <c r="CF306" s="112" t="s">
        <v>1766</v>
      </c>
      <c r="CG306" s="112" t="s">
        <v>1766</v>
      </c>
      <c r="CH306" s="112" t="s">
        <v>1766</v>
      </c>
      <c r="CI306" s="112" t="s">
        <v>1766</v>
      </c>
      <c r="CJ306" s="112" t="s">
        <v>1766</v>
      </c>
      <c r="CK306" s="112" t="s">
        <v>1766</v>
      </c>
      <c r="CL306" s="112" t="s">
        <v>1766</v>
      </c>
      <c r="CM306" s="112" t="s">
        <v>1766</v>
      </c>
      <c r="CN306" s="112" t="s">
        <v>1766</v>
      </c>
      <c r="CO306" s="112" t="s">
        <v>1766</v>
      </c>
    </row>
    <row r="307" spans="1:93">
      <c r="A307" s="106" t="s">
        <v>418</v>
      </c>
      <c r="B307" s="106">
        <v>6</v>
      </c>
      <c r="C307" s="106">
        <v>1</v>
      </c>
      <c r="D307" s="106">
        <v>1</v>
      </c>
      <c r="E307" s="106">
        <v>1</v>
      </c>
      <c r="F307" s="106">
        <v>1</v>
      </c>
      <c r="G307" s="106" t="s">
        <v>66</v>
      </c>
      <c r="H307" s="106" t="s">
        <v>565</v>
      </c>
      <c r="I307" s="106">
        <v>201</v>
      </c>
      <c r="J307" s="106">
        <v>237</v>
      </c>
      <c r="K307" s="106" t="s">
        <v>1420</v>
      </c>
      <c r="L307" s="106" t="s">
        <v>1230</v>
      </c>
      <c r="M307" s="106" t="s">
        <v>427</v>
      </c>
      <c r="N307" s="106">
        <v>7</v>
      </c>
      <c r="O307" s="106">
        <v>6</v>
      </c>
      <c r="T307" s="106" t="s">
        <v>1766</v>
      </c>
      <c r="V307" s="106">
        <v>71796</v>
      </c>
      <c r="W307" s="106">
        <v>1</v>
      </c>
      <c r="X307" s="106">
        <v>1</v>
      </c>
      <c r="Y307" s="106">
        <v>2</v>
      </c>
      <c r="Z307" s="106" t="s">
        <v>1766</v>
      </c>
      <c r="AA307" s="106">
        <v>18000</v>
      </c>
      <c r="AB307" s="106">
        <v>18000</v>
      </c>
      <c r="AC307" s="106">
        <v>36000</v>
      </c>
      <c r="AD307" s="106">
        <v>0</v>
      </c>
      <c r="AE307" s="106">
        <v>72000</v>
      </c>
      <c r="AF307" s="106">
        <v>72000</v>
      </c>
      <c r="AH307" s="106">
        <v>1350</v>
      </c>
      <c r="AI307" s="106">
        <v>0</v>
      </c>
      <c r="AJ307" s="106">
        <v>2</v>
      </c>
      <c r="AK307" s="106">
        <v>120</v>
      </c>
      <c r="AL307" s="106">
        <v>240</v>
      </c>
      <c r="AM307" s="106">
        <v>810</v>
      </c>
      <c r="AN307" s="106">
        <v>810</v>
      </c>
      <c r="AO307" s="106">
        <v>295</v>
      </c>
      <c r="AP307" s="106" t="s">
        <v>122</v>
      </c>
      <c r="AQ307" s="106" t="s">
        <v>420</v>
      </c>
      <c r="AR307" s="106">
        <v>4004</v>
      </c>
      <c r="AS307" s="106">
        <v>200000</v>
      </c>
      <c r="AT307" s="106">
        <v>200000</v>
      </c>
      <c r="BD307" s="106">
        <v>0</v>
      </c>
      <c r="BY307" s="112" t="s">
        <v>1766</v>
      </c>
      <c r="BZ307" s="112" t="s">
        <v>1766</v>
      </c>
      <c r="CA307" s="112" t="s">
        <v>1766</v>
      </c>
      <c r="CB307" s="112" t="s">
        <v>1766</v>
      </c>
      <c r="CC307" s="112" t="s">
        <v>1766</v>
      </c>
      <c r="CD307" s="112" t="s">
        <v>1766</v>
      </c>
      <c r="CE307" s="112" t="s">
        <v>1766</v>
      </c>
      <c r="CF307" s="112" t="s">
        <v>1766</v>
      </c>
      <c r="CG307" s="112" t="s">
        <v>1766</v>
      </c>
      <c r="CH307" s="112" t="s">
        <v>1766</v>
      </c>
      <c r="CI307" s="112" t="s">
        <v>1766</v>
      </c>
      <c r="CJ307" s="112" t="s">
        <v>1766</v>
      </c>
      <c r="CK307" s="112" t="s">
        <v>1766</v>
      </c>
      <c r="CL307" s="112" t="s">
        <v>1766</v>
      </c>
      <c r="CM307" s="112" t="s">
        <v>1766</v>
      </c>
      <c r="CN307" s="112" t="s">
        <v>1766</v>
      </c>
      <c r="CO307" s="112" t="s">
        <v>1766</v>
      </c>
    </row>
    <row r="308" spans="1:93">
      <c r="A308" s="106" t="s">
        <v>418</v>
      </c>
      <c r="B308" s="106">
        <v>7</v>
      </c>
      <c r="C308" s="106">
        <v>1</v>
      </c>
      <c r="D308" s="106">
        <v>1</v>
      </c>
      <c r="E308" s="106">
        <v>1</v>
      </c>
      <c r="F308" s="106">
        <v>1</v>
      </c>
      <c r="G308" s="106" t="s">
        <v>66</v>
      </c>
      <c r="H308" s="106" t="s">
        <v>565</v>
      </c>
      <c r="I308" s="106">
        <v>201</v>
      </c>
      <c r="J308" s="106">
        <v>237</v>
      </c>
      <c r="K308" s="106" t="s">
        <v>1420</v>
      </c>
      <c r="L308" s="106" t="s">
        <v>1234</v>
      </c>
      <c r="M308" s="106" t="s">
        <v>428</v>
      </c>
      <c r="N308" s="106">
        <v>8</v>
      </c>
      <c r="O308" s="106">
        <v>7</v>
      </c>
      <c r="T308" s="106" t="s">
        <v>1766</v>
      </c>
      <c r="V308" s="106">
        <v>128514.84</v>
      </c>
      <c r="W308" s="106">
        <v>1</v>
      </c>
      <c r="X308" s="106">
        <v>1</v>
      </c>
      <c r="Y308" s="106">
        <v>2</v>
      </c>
      <c r="Z308" s="106" t="s">
        <v>1766</v>
      </c>
      <c r="AA308" s="106">
        <v>32000</v>
      </c>
      <c r="AB308" s="106">
        <v>32000</v>
      </c>
      <c r="AC308" s="106">
        <v>64000</v>
      </c>
      <c r="AD308" s="106">
        <v>0</v>
      </c>
      <c r="AE308" s="106">
        <v>128000</v>
      </c>
      <c r="AF308" s="106">
        <v>128000</v>
      </c>
      <c r="AH308" s="106">
        <v>2250</v>
      </c>
      <c r="AI308" s="106">
        <v>0</v>
      </c>
      <c r="AJ308" s="106">
        <v>3</v>
      </c>
      <c r="AK308" s="106">
        <v>120</v>
      </c>
      <c r="AL308" s="106">
        <v>360</v>
      </c>
      <c r="AM308" s="106">
        <v>1590</v>
      </c>
      <c r="AN308" s="106">
        <v>1590</v>
      </c>
      <c r="AO308" s="106">
        <v>552</v>
      </c>
      <c r="AP308" s="106" t="s">
        <v>122</v>
      </c>
      <c r="AQ308" s="106" t="s">
        <v>420</v>
      </c>
      <c r="AR308" s="106">
        <v>4004</v>
      </c>
      <c r="AS308" s="106">
        <v>220000</v>
      </c>
      <c r="AT308" s="106">
        <v>220000</v>
      </c>
      <c r="BD308" s="106">
        <v>0</v>
      </c>
      <c r="BY308" s="112" t="s">
        <v>1766</v>
      </c>
      <c r="BZ308" s="112" t="s">
        <v>1766</v>
      </c>
      <c r="CA308" s="112" t="s">
        <v>1766</v>
      </c>
      <c r="CB308" s="112" t="s">
        <v>1766</v>
      </c>
      <c r="CC308" s="112" t="s">
        <v>1766</v>
      </c>
      <c r="CD308" s="112" t="s">
        <v>1766</v>
      </c>
      <c r="CE308" s="112" t="s">
        <v>1766</v>
      </c>
      <c r="CF308" s="112" t="s">
        <v>1766</v>
      </c>
      <c r="CG308" s="112" t="s">
        <v>1766</v>
      </c>
      <c r="CH308" s="112" t="s">
        <v>1766</v>
      </c>
      <c r="CI308" s="112" t="s">
        <v>1766</v>
      </c>
      <c r="CJ308" s="112" t="s">
        <v>1766</v>
      </c>
      <c r="CK308" s="112" t="s">
        <v>1766</v>
      </c>
      <c r="CL308" s="112" t="s">
        <v>1766</v>
      </c>
      <c r="CM308" s="112" t="s">
        <v>1766</v>
      </c>
      <c r="CN308" s="112" t="s">
        <v>1766</v>
      </c>
      <c r="CO308" s="112" t="s">
        <v>1766</v>
      </c>
    </row>
    <row r="309" spans="1:93">
      <c r="A309" s="106" t="s">
        <v>418</v>
      </c>
      <c r="B309" s="106">
        <v>8</v>
      </c>
      <c r="C309" s="106">
        <v>1</v>
      </c>
      <c r="D309" s="106">
        <v>1</v>
      </c>
      <c r="E309" s="106">
        <v>1</v>
      </c>
      <c r="F309" s="106">
        <v>1</v>
      </c>
      <c r="G309" s="106" t="s">
        <v>66</v>
      </c>
      <c r="H309" s="106" t="s">
        <v>565</v>
      </c>
      <c r="I309" s="106">
        <v>201</v>
      </c>
      <c r="J309" s="106">
        <v>237</v>
      </c>
      <c r="K309" s="106" t="s">
        <v>1420</v>
      </c>
      <c r="L309" s="106" t="s">
        <v>1239</v>
      </c>
      <c r="M309" s="106" t="s">
        <v>429</v>
      </c>
      <c r="N309" s="106">
        <v>9</v>
      </c>
      <c r="O309" s="106">
        <v>8</v>
      </c>
      <c r="T309" s="106" t="s">
        <v>1766</v>
      </c>
      <c r="V309" s="106">
        <v>221045.52480000001</v>
      </c>
      <c r="W309" s="106">
        <v>1</v>
      </c>
      <c r="X309" s="106">
        <v>1</v>
      </c>
      <c r="Y309" s="106">
        <v>2</v>
      </c>
      <c r="Z309" s="106" t="s">
        <v>1766</v>
      </c>
      <c r="AA309" s="106">
        <v>55000</v>
      </c>
      <c r="AB309" s="106">
        <v>55000</v>
      </c>
      <c r="AC309" s="106">
        <v>110000</v>
      </c>
      <c r="AD309" s="106">
        <v>0</v>
      </c>
      <c r="AE309" s="106">
        <v>220000</v>
      </c>
      <c r="AF309" s="106">
        <v>220000</v>
      </c>
      <c r="AH309" s="106">
        <v>3600</v>
      </c>
      <c r="AI309" s="106">
        <v>0</v>
      </c>
      <c r="AJ309" s="106">
        <v>3</v>
      </c>
      <c r="AK309" s="106">
        <v>120</v>
      </c>
      <c r="AL309" s="106">
        <v>360</v>
      </c>
      <c r="AM309" s="106">
        <v>2940</v>
      </c>
      <c r="AN309" s="106">
        <v>2940</v>
      </c>
      <c r="AO309" s="106">
        <v>994</v>
      </c>
      <c r="AP309" s="106" t="s">
        <v>122</v>
      </c>
      <c r="AQ309" s="106" t="s">
        <v>420</v>
      </c>
      <c r="AR309" s="106">
        <v>4004</v>
      </c>
      <c r="AS309" s="106">
        <v>240000</v>
      </c>
      <c r="AT309" s="106">
        <v>240000</v>
      </c>
      <c r="BD309" s="106">
        <v>0</v>
      </c>
      <c r="BY309" s="112" t="s">
        <v>1766</v>
      </c>
      <c r="BZ309" s="112" t="s">
        <v>1766</v>
      </c>
      <c r="CA309" s="112" t="s">
        <v>1766</v>
      </c>
      <c r="CB309" s="112" t="s">
        <v>1766</v>
      </c>
      <c r="CC309" s="112" t="s">
        <v>1766</v>
      </c>
      <c r="CD309" s="112" t="s">
        <v>1766</v>
      </c>
      <c r="CE309" s="112" t="s">
        <v>1766</v>
      </c>
      <c r="CF309" s="112" t="s">
        <v>1766</v>
      </c>
      <c r="CG309" s="112" t="s">
        <v>1766</v>
      </c>
      <c r="CH309" s="112" t="s">
        <v>1766</v>
      </c>
      <c r="CI309" s="112" t="s">
        <v>1766</v>
      </c>
      <c r="CJ309" s="112" t="s">
        <v>1766</v>
      </c>
      <c r="CK309" s="112" t="s">
        <v>1766</v>
      </c>
      <c r="CL309" s="112" t="s">
        <v>1766</v>
      </c>
      <c r="CM309" s="112" t="s">
        <v>1766</v>
      </c>
      <c r="CN309" s="112" t="s">
        <v>1766</v>
      </c>
      <c r="CO309" s="112" t="s">
        <v>1766</v>
      </c>
    </row>
    <row r="310" spans="1:93">
      <c r="A310" s="106" t="s">
        <v>418</v>
      </c>
      <c r="B310" s="106">
        <v>9</v>
      </c>
      <c r="C310" s="106">
        <v>1</v>
      </c>
      <c r="D310" s="106">
        <v>1</v>
      </c>
      <c r="E310" s="106">
        <v>1</v>
      </c>
      <c r="F310" s="106">
        <v>1</v>
      </c>
      <c r="G310" s="106" t="s">
        <v>66</v>
      </c>
      <c r="H310" s="106" t="s">
        <v>565</v>
      </c>
      <c r="I310" s="106">
        <v>201</v>
      </c>
      <c r="J310" s="106">
        <v>237</v>
      </c>
      <c r="K310" s="106" t="s">
        <v>1420</v>
      </c>
      <c r="L310" s="106" t="s">
        <v>1244</v>
      </c>
      <c r="M310" s="106" t="s">
        <v>430</v>
      </c>
      <c r="N310" s="106">
        <v>10</v>
      </c>
      <c r="O310" s="106">
        <v>9</v>
      </c>
      <c r="T310" s="106" t="s">
        <v>1766</v>
      </c>
      <c r="V310" s="106">
        <v>364725.11592000001</v>
      </c>
      <c r="W310" s="106">
        <v>1</v>
      </c>
      <c r="X310" s="106">
        <v>1</v>
      </c>
      <c r="Y310" s="106">
        <v>2</v>
      </c>
      <c r="Z310" s="106" t="s">
        <v>1766</v>
      </c>
      <c r="AA310" s="106">
        <v>91000</v>
      </c>
      <c r="AB310" s="106">
        <v>91000</v>
      </c>
      <c r="AC310" s="106">
        <v>180000</v>
      </c>
      <c r="AD310" s="106">
        <v>0</v>
      </c>
      <c r="AE310" s="106">
        <v>362000</v>
      </c>
      <c r="AF310" s="106">
        <v>362000</v>
      </c>
      <c r="AH310" s="106">
        <v>7200</v>
      </c>
      <c r="AI310" s="106">
        <v>0</v>
      </c>
      <c r="AJ310" s="106">
        <v>4</v>
      </c>
      <c r="AK310" s="106">
        <v>120</v>
      </c>
      <c r="AL310" s="106">
        <v>480</v>
      </c>
      <c r="AM310" s="106">
        <v>6420</v>
      </c>
      <c r="AN310" s="106">
        <v>6420</v>
      </c>
      <c r="AO310" s="106">
        <v>1724</v>
      </c>
      <c r="AP310" s="106" t="s">
        <v>122</v>
      </c>
      <c r="AQ310" s="106" t="s">
        <v>420</v>
      </c>
      <c r="AR310" s="106">
        <v>4004</v>
      </c>
      <c r="AS310" s="106">
        <v>260000</v>
      </c>
      <c r="AT310" s="106">
        <v>260000</v>
      </c>
      <c r="BD310" s="106">
        <v>0</v>
      </c>
      <c r="BY310" s="112" t="s">
        <v>1766</v>
      </c>
      <c r="BZ310" s="112" t="s">
        <v>1766</v>
      </c>
      <c r="CA310" s="112" t="s">
        <v>1766</v>
      </c>
      <c r="CB310" s="112" t="s">
        <v>1766</v>
      </c>
      <c r="CC310" s="112" t="s">
        <v>1766</v>
      </c>
      <c r="CD310" s="112" t="s">
        <v>1766</v>
      </c>
      <c r="CE310" s="112" t="s">
        <v>1766</v>
      </c>
      <c r="CF310" s="112" t="s">
        <v>1766</v>
      </c>
      <c r="CG310" s="112" t="s">
        <v>1766</v>
      </c>
      <c r="CH310" s="112" t="s">
        <v>1766</v>
      </c>
      <c r="CI310" s="112" t="s">
        <v>1766</v>
      </c>
      <c r="CJ310" s="112" t="s">
        <v>1766</v>
      </c>
      <c r="CK310" s="112" t="s">
        <v>1766</v>
      </c>
      <c r="CL310" s="112" t="s">
        <v>1766</v>
      </c>
      <c r="CM310" s="112" t="s">
        <v>1766</v>
      </c>
      <c r="CN310" s="112" t="s">
        <v>1766</v>
      </c>
      <c r="CO310" s="112" t="s">
        <v>1766</v>
      </c>
    </row>
    <row r="311" spans="1:93">
      <c r="A311" s="106" t="s">
        <v>418</v>
      </c>
      <c r="B311" s="106">
        <v>10</v>
      </c>
      <c r="C311" s="106">
        <v>1</v>
      </c>
      <c r="D311" s="106">
        <v>1</v>
      </c>
      <c r="E311" s="106">
        <v>1</v>
      </c>
      <c r="F311" s="106">
        <v>1</v>
      </c>
      <c r="G311" s="106" t="s">
        <v>66</v>
      </c>
      <c r="H311" s="106" t="s">
        <v>565</v>
      </c>
      <c r="I311" s="106">
        <v>201</v>
      </c>
      <c r="J311" s="106">
        <v>237</v>
      </c>
      <c r="K311" s="106" t="s">
        <v>1420</v>
      </c>
      <c r="L311" s="106" t="s">
        <v>1247</v>
      </c>
      <c r="M311" s="106" t="s">
        <v>431</v>
      </c>
      <c r="N311" s="106">
        <v>11</v>
      </c>
      <c r="O311" s="106">
        <v>10</v>
      </c>
      <c r="T311" s="106" t="s">
        <v>1766</v>
      </c>
      <c r="V311" s="106">
        <v>576265.68315359997</v>
      </c>
      <c r="W311" s="106">
        <v>1</v>
      </c>
      <c r="X311" s="106">
        <v>1</v>
      </c>
      <c r="Y311" s="106">
        <v>2</v>
      </c>
      <c r="Z311" s="106">
        <v>1</v>
      </c>
      <c r="AA311" s="106">
        <v>120000</v>
      </c>
      <c r="AB311" s="106">
        <v>120000</v>
      </c>
      <c r="AC311" s="106">
        <v>230000</v>
      </c>
      <c r="AD311" s="106">
        <v>120000</v>
      </c>
      <c r="AE311" s="106">
        <v>590000</v>
      </c>
      <c r="AF311" s="106">
        <v>590000</v>
      </c>
      <c r="AH311" s="106">
        <v>10800</v>
      </c>
      <c r="AI311" s="106">
        <v>0.01</v>
      </c>
      <c r="AJ311" s="106">
        <v>4</v>
      </c>
      <c r="AK311" s="106">
        <v>120</v>
      </c>
      <c r="AL311" s="106">
        <v>480</v>
      </c>
      <c r="AM311" s="106">
        <v>9913</v>
      </c>
      <c r="AN311" s="106">
        <v>9913</v>
      </c>
      <c r="AO311" s="106">
        <v>2876</v>
      </c>
      <c r="AP311" s="106" t="s">
        <v>122</v>
      </c>
      <c r="AQ311" s="106" t="s">
        <v>420</v>
      </c>
      <c r="AR311" s="106">
        <v>4004</v>
      </c>
      <c r="AS311" s="106">
        <v>280000</v>
      </c>
      <c r="AT311" s="106">
        <v>280000</v>
      </c>
      <c r="BD311" s="106">
        <v>0</v>
      </c>
      <c r="BY311" s="112" t="s">
        <v>1766</v>
      </c>
      <c r="BZ311" s="112" t="s">
        <v>1766</v>
      </c>
      <c r="CA311" s="112" t="s">
        <v>1766</v>
      </c>
      <c r="CB311" s="112" t="s">
        <v>1766</v>
      </c>
      <c r="CC311" s="112" t="s">
        <v>1766</v>
      </c>
      <c r="CD311" s="112" t="s">
        <v>1766</v>
      </c>
      <c r="CE311" s="112" t="s">
        <v>1766</v>
      </c>
      <c r="CF311" s="112" t="s">
        <v>1766</v>
      </c>
      <c r="CG311" s="112" t="s">
        <v>1766</v>
      </c>
      <c r="CH311" s="112" t="s">
        <v>1766</v>
      </c>
      <c r="CI311" s="112" t="s">
        <v>1766</v>
      </c>
      <c r="CJ311" s="112" t="s">
        <v>1766</v>
      </c>
      <c r="CK311" s="112" t="s">
        <v>1766</v>
      </c>
      <c r="CL311" s="112" t="s">
        <v>1766</v>
      </c>
      <c r="CM311" s="112" t="s">
        <v>1766</v>
      </c>
      <c r="CN311" s="112" t="s">
        <v>1766</v>
      </c>
      <c r="CO311" s="112" t="s">
        <v>1766</v>
      </c>
    </row>
    <row r="312" spans="1:93">
      <c r="A312" s="106" t="s">
        <v>418</v>
      </c>
      <c r="B312" s="106">
        <v>11</v>
      </c>
      <c r="C312" s="106">
        <v>1</v>
      </c>
      <c r="D312" s="106">
        <v>1</v>
      </c>
      <c r="E312" s="106">
        <v>1</v>
      </c>
      <c r="F312" s="106">
        <v>1</v>
      </c>
      <c r="G312" s="106" t="s">
        <v>66</v>
      </c>
      <c r="H312" s="106" t="s">
        <v>565</v>
      </c>
      <c r="I312" s="106">
        <v>201</v>
      </c>
      <c r="J312" s="106">
        <v>237</v>
      </c>
      <c r="K312" s="106" t="s">
        <v>1420</v>
      </c>
      <c r="L312" s="106" t="s">
        <v>1252</v>
      </c>
      <c r="M312" s="106" t="s">
        <v>432</v>
      </c>
      <c r="N312" s="106">
        <v>12</v>
      </c>
      <c r="O312" s="106">
        <v>11</v>
      </c>
      <c r="T312" s="106" t="s">
        <v>1766</v>
      </c>
      <c r="V312" s="106">
        <v>870161.18156193604</v>
      </c>
      <c r="W312" s="106">
        <v>1</v>
      </c>
      <c r="X312" s="106">
        <v>1</v>
      </c>
      <c r="Y312" s="106">
        <v>2</v>
      </c>
      <c r="Z312" s="106">
        <v>1</v>
      </c>
      <c r="AA312" s="106">
        <v>170000</v>
      </c>
      <c r="AB312" s="106">
        <v>170000</v>
      </c>
      <c r="AC312" s="106">
        <v>350000</v>
      </c>
      <c r="AD312" s="106">
        <v>170000</v>
      </c>
      <c r="AE312" s="106">
        <v>860000</v>
      </c>
      <c r="AF312" s="106">
        <v>860000</v>
      </c>
      <c r="AH312" s="106">
        <v>16200</v>
      </c>
      <c r="AI312" s="106">
        <v>0.02</v>
      </c>
      <c r="AJ312" s="106">
        <v>5</v>
      </c>
      <c r="AK312" s="106">
        <v>162</v>
      </c>
      <c r="AL312" s="106">
        <v>810</v>
      </c>
      <c r="AM312" s="106">
        <v>14772</v>
      </c>
      <c r="AN312" s="106">
        <v>14772</v>
      </c>
      <c r="AO312" s="106">
        <v>4617</v>
      </c>
      <c r="AP312" s="106" t="s">
        <v>122</v>
      </c>
      <c r="AQ312" s="106" t="s">
        <v>420</v>
      </c>
      <c r="AR312" s="106">
        <v>4004</v>
      </c>
      <c r="AS312" s="106">
        <v>300000</v>
      </c>
      <c r="AT312" s="106">
        <v>300000</v>
      </c>
      <c r="BD312" s="106">
        <v>0</v>
      </c>
      <c r="BY312" s="112" t="s">
        <v>1766</v>
      </c>
      <c r="BZ312" s="112" t="s">
        <v>1766</v>
      </c>
      <c r="CA312" s="112" t="s">
        <v>1766</v>
      </c>
      <c r="CB312" s="112" t="s">
        <v>1766</v>
      </c>
      <c r="CC312" s="112" t="s">
        <v>1766</v>
      </c>
      <c r="CD312" s="112" t="s">
        <v>1766</v>
      </c>
      <c r="CE312" s="112" t="s">
        <v>1766</v>
      </c>
      <c r="CF312" s="112" t="s">
        <v>1766</v>
      </c>
      <c r="CG312" s="112" t="s">
        <v>1766</v>
      </c>
      <c r="CH312" s="112" t="s">
        <v>1766</v>
      </c>
      <c r="CI312" s="112" t="s">
        <v>1766</v>
      </c>
      <c r="CJ312" s="112" t="s">
        <v>1766</v>
      </c>
      <c r="CK312" s="112" t="s">
        <v>1766</v>
      </c>
      <c r="CL312" s="112" t="s">
        <v>1766</v>
      </c>
      <c r="CM312" s="112" t="s">
        <v>1766</v>
      </c>
      <c r="CN312" s="112" t="s">
        <v>1766</v>
      </c>
      <c r="CO312" s="112" t="s">
        <v>1766</v>
      </c>
    </row>
    <row r="313" spans="1:93">
      <c r="A313" s="106" t="s">
        <v>418</v>
      </c>
      <c r="B313" s="106">
        <v>12</v>
      </c>
      <c r="C313" s="106">
        <v>1</v>
      </c>
      <c r="D313" s="106">
        <v>1</v>
      </c>
      <c r="E313" s="106">
        <v>1</v>
      </c>
      <c r="F313" s="106">
        <v>1</v>
      </c>
      <c r="G313" s="106" t="s">
        <v>66</v>
      </c>
      <c r="H313" s="106" t="s">
        <v>565</v>
      </c>
      <c r="I313" s="106">
        <v>201</v>
      </c>
      <c r="J313" s="106">
        <v>237</v>
      </c>
      <c r="K313" s="106" t="s">
        <v>1420</v>
      </c>
      <c r="L313" s="106" t="s">
        <v>1258</v>
      </c>
      <c r="M313" s="106" t="s">
        <v>433</v>
      </c>
      <c r="N313" s="106">
        <v>13</v>
      </c>
      <c r="O313" s="106">
        <v>12</v>
      </c>
      <c r="T313" s="106" t="s">
        <v>1766</v>
      </c>
      <c r="V313" s="106">
        <v>1253032.1014491899</v>
      </c>
      <c r="W313" s="106">
        <v>1</v>
      </c>
      <c r="X313" s="106">
        <v>1</v>
      </c>
      <c r="Y313" s="106">
        <v>2</v>
      </c>
      <c r="Z313" s="106">
        <v>1</v>
      </c>
      <c r="AA313" s="106">
        <v>250000</v>
      </c>
      <c r="AB313" s="106">
        <v>250000</v>
      </c>
      <c r="AC313" s="106">
        <v>500000</v>
      </c>
      <c r="AD313" s="106">
        <v>250000</v>
      </c>
      <c r="AE313" s="106">
        <v>1250000</v>
      </c>
      <c r="AF313" s="106">
        <v>1250000</v>
      </c>
      <c r="AH313" s="106">
        <v>21600</v>
      </c>
      <c r="AI313" s="106">
        <v>0.03</v>
      </c>
      <c r="AJ313" s="106">
        <v>5</v>
      </c>
      <c r="AK313" s="106">
        <v>216</v>
      </c>
      <c r="AL313" s="106">
        <v>1080</v>
      </c>
      <c r="AM313" s="106">
        <v>19590</v>
      </c>
      <c r="AN313" s="106">
        <v>19590</v>
      </c>
      <c r="AO313" s="106">
        <v>7123</v>
      </c>
      <c r="AP313" s="106" t="s">
        <v>122</v>
      </c>
      <c r="AQ313" s="106" t="s">
        <v>420</v>
      </c>
      <c r="AR313" s="106">
        <v>4004</v>
      </c>
      <c r="AS313" s="106">
        <v>320000</v>
      </c>
      <c r="AT313" s="106">
        <v>320000</v>
      </c>
      <c r="BD313" s="106">
        <v>0</v>
      </c>
      <c r="BY313" s="112" t="s">
        <v>1766</v>
      </c>
      <c r="BZ313" s="112" t="s">
        <v>1766</v>
      </c>
      <c r="CA313" s="112" t="s">
        <v>1766</v>
      </c>
      <c r="CB313" s="112" t="s">
        <v>1766</v>
      </c>
      <c r="CC313" s="112" t="s">
        <v>1766</v>
      </c>
      <c r="CD313" s="112" t="s">
        <v>1766</v>
      </c>
      <c r="CE313" s="112" t="s">
        <v>1766</v>
      </c>
      <c r="CF313" s="112" t="s">
        <v>1766</v>
      </c>
      <c r="CG313" s="112" t="s">
        <v>1766</v>
      </c>
      <c r="CH313" s="112" t="s">
        <v>1766</v>
      </c>
      <c r="CI313" s="112" t="s">
        <v>1766</v>
      </c>
      <c r="CJ313" s="112" t="s">
        <v>1766</v>
      </c>
      <c r="CK313" s="112" t="s">
        <v>1766</v>
      </c>
      <c r="CL313" s="112" t="s">
        <v>1766</v>
      </c>
      <c r="CM313" s="112" t="s">
        <v>1766</v>
      </c>
      <c r="CN313" s="112" t="s">
        <v>1766</v>
      </c>
      <c r="CO313" s="112" t="s">
        <v>1766</v>
      </c>
    </row>
    <row r="314" spans="1:93">
      <c r="A314" s="106" t="s">
        <v>418</v>
      </c>
      <c r="B314" s="106">
        <v>13</v>
      </c>
      <c r="C314" s="106">
        <v>1</v>
      </c>
      <c r="D314" s="106">
        <v>1</v>
      </c>
      <c r="E314" s="106">
        <v>1</v>
      </c>
      <c r="F314" s="106">
        <v>1</v>
      </c>
      <c r="G314" s="106" t="s">
        <v>66</v>
      </c>
      <c r="H314" s="106" t="s">
        <v>565</v>
      </c>
      <c r="I314" s="106">
        <v>201</v>
      </c>
      <c r="J314" s="106">
        <v>237</v>
      </c>
      <c r="K314" s="106" t="s">
        <v>1420</v>
      </c>
      <c r="L314" s="106" t="s">
        <v>1262</v>
      </c>
      <c r="M314" s="106" t="s">
        <v>434</v>
      </c>
      <c r="N314" s="106">
        <v>14</v>
      </c>
      <c r="O314" s="106">
        <v>13</v>
      </c>
      <c r="T314" s="106" t="s">
        <v>1766</v>
      </c>
      <c r="V314" s="106">
        <v>1716653.9789853899</v>
      </c>
      <c r="W314" s="106">
        <v>1</v>
      </c>
      <c r="X314" s="106">
        <v>1</v>
      </c>
      <c r="Y314" s="106">
        <v>2</v>
      </c>
      <c r="Z314" s="106">
        <v>1</v>
      </c>
      <c r="AA314" s="106">
        <v>340000</v>
      </c>
      <c r="AB314" s="106">
        <v>340000</v>
      </c>
      <c r="AC314" s="106">
        <v>690000</v>
      </c>
      <c r="AD314" s="106">
        <v>340000</v>
      </c>
      <c r="AE314" s="106">
        <v>1710000</v>
      </c>
      <c r="AF314" s="106">
        <v>1710000</v>
      </c>
      <c r="AH314" s="106">
        <v>28800</v>
      </c>
      <c r="AI314" s="106">
        <v>0.04</v>
      </c>
      <c r="AJ314" s="106">
        <v>6</v>
      </c>
      <c r="AK314" s="106">
        <v>288</v>
      </c>
      <c r="AL314" s="106">
        <v>1728</v>
      </c>
      <c r="AM314" s="106">
        <v>25664</v>
      </c>
      <c r="AN314" s="106">
        <v>25664</v>
      </c>
      <c r="AO314" s="106">
        <v>10556</v>
      </c>
      <c r="AP314" s="106" t="s">
        <v>122</v>
      </c>
      <c r="AQ314" s="106" t="s">
        <v>420</v>
      </c>
      <c r="AR314" s="106">
        <v>4004</v>
      </c>
      <c r="AS314" s="106">
        <v>340000</v>
      </c>
      <c r="AT314" s="106">
        <v>340000</v>
      </c>
      <c r="BD314" s="106">
        <v>0</v>
      </c>
      <c r="BY314" s="112" t="s">
        <v>1766</v>
      </c>
      <c r="BZ314" s="112" t="s">
        <v>1766</v>
      </c>
      <c r="CA314" s="112" t="s">
        <v>1766</v>
      </c>
      <c r="CB314" s="112" t="s">
        <v>1766</v>
      </c>
      <c r="CC314" s="112" t="s">
        <v>1766</v>
      </c>
      <c r="CD314" s="112" t="s">
        <v>1766</v>
      </c>
      <c r="CE314" s="112" t="s">
        <v>1766</v>
      </c>
      <c r="CF314" s="112" t="s">
        <v>1766</v>
      </c>
      <c r="CG314" s="112" t="s">
        <v>1766</v>
      </c>
      <c r="CH314" s="112" t="s">
        <v>1766</v>
      </c>
      <c r="CI314" s="112" t="s">
        <v>1766</v>
      </c>
      <c r="CJ314" s="112" t="s">
        <v>1766</v>
      </c>
      <c r="CK314" s="112" t="s">
        <v>1766</v>
      </c>
      <c r="CL314" s="112" t="s">
        <v>1766</v>
      </c>
      <c r="CM314" s="112" t="s">
        <v>1766</v>
      </c>
      <c r="CN314" s="112" t="s">
        <v>1766</v>
      </c>
      <c r="CO314" s="112" t="s">
        <v>1766</v>
      </c>
    </row>
    <row r="315" spans="1:93">
      <c r="A315" s="106" t="s">
        <v>418</v>
      </c>
      <c r="B315" s="106">
        <v>14</v>
      </c>
      <c r="C315" s="106">
        <v>1</v>
      </c>
      <c r="D315" s="106">
        <v>1</v>
      </c>
      <c r="E315" s="106">
        <v>1</v>
      </c>
      <c r="F315" s="106">
        <v>1</v>
      </c>
      <c r="G315" s="106" t="s">
        <v>66</v>
      </c>
      <c r="H315" s="106" t="s">
        <v>565</v>
      </c>
      <c r="I315" s="106">
        <v>201</v>
      </c>
      <c r="J315" s="106">
        <v>237</v>
      </c>
      <c r="K315" s="106" t="s">
        <v>1420</v>
      </c>
      <c r="L315" s="106" t="s">
        <v>1265</v>
      </c>
      <c r="M315" s="106" t="s">
        <v>435</v>
      </c>
      <c r="N315" s="106">
        <v>15</v>
      </c>
      <c r="O315" s="106">
        <v>14</v>
      </c>
      <c r="T315" s="106" t="s">
        <v>1766</v>
      </c>
      <c r="V315" s="106">
        <v>2231650.1726810001</v>
      </c>
      <c r="W315" s="106">
        <v>1</v>
      </c>
      <c r="X315" s="106">
        <v>1</v>
      </c>
      <c r="Y315" s="106">
        <v>2</v>
      </c>
      <c r="Z315" s="106">
        <v>1</v>
      </c>
      <c r="AA315" s="106">
        <v>450000</v>
      </c>
      <c r="AB315" s="106">
        <v>450000</v>
      </c>
      <c r="AC315" s="106">
        <v>890000</v>
      </c>
      <c r="AD315" s="106">
        <v>450000</v>
      </c>
      <c r="AE315" s="106">
        <v>2240000</v>
      </c>
      <c r="AF315" s="106">
        <v>2240000</v>
      </c>
      <c r="AH315" s="106">
        <v>36000</v>
      </c>
      <c r="AI315" s="106">
        <v>0.05</v>
      </c>
      <c r="AJ315" s="106">
        <v>6</v>
      </c>
      <c r="AK315" s="106">
        <v>360</v>
      </c>
      <c r="AL315" s="106">
        <v>2160</v>
      </c>
      <c r="AM315" s="106">
        <v>31825</v>
      </c>
      <c r="AN315" s="106">
        <v>31825</v>
      </c>
      <c r="AO315" s="106">
        <v>15019</v>
      </c>
      <c r="AP315" s="106" t="s">
        <v>122</v>
      </c>
      <c r="AQ315" s="106" t="s">
        <v>420</v>
      </c>
      <c r="AR315" s="106">
        <v>4004</v>
      </c>
      <c r="AS315" s="106">
        <v>370000</v>
      </c>
      <c r="AT315" s="106">
        <v>370000</v>
      </c>
      <c r="BD315" s="106">
        <v>0</v>
      </c>
      <c r="BY315" s="112" t="s">
        <v>1766</v>
      </c>
      <c r="BZ315" s="112" t="s">
        <v>1766</v>
      </c>
      <c r="CA315" s="112" t="s">
        <v>1766</v>
      </c>
      <c r="CB315" s="112" t="s">
        <v>1766</v>
      </c>
      <c r="CC315" s="112" t="s">
        <v>1766</v>
      </c>
      <c r="CD315" s="112" t="s">
        <v>1766</v>
      </c>
      <c r="CE315" s="112" t="s">
        <v>1766</v>
      </c>
      <c r="CF315" s="112" t="s">
        <v>1766</v>
      </c>
      <c r="CG315" s="112" t="s">
        <v>1766</v>
      </c>
      <c r="CH315" s="112" t="s">
        <v>1766</v>
      </c>
      <c r="CI315" s="112" t="s">
        <v>1766</v>
      </c>
      <c r="CJ315" s="112" t="s">
        <v>1766</v>
      </c>
      <c r="CK315" s="112" t="s">
        <v>1766</v>
      </c>
      <c r="CL315" s="112" t="s">
        <v>1766</v>
      </c>
      <c r="CM315" s="112" t="s">
        <v>1766</v>
      </c>
      <c r="CN315" s="112" t="s">
        <v>1766</v>
      </c>
      <c r="CO315" s="112" t="s">
        <v>1766</v>
      </c>
    </row>
    <row r="316" spans="1:93">
      <c r="A316" s="106" t="s">
        <v>418</v>
      </c>
      <c r="B316" s="106">
        <v>15</v>
      </c>
      <c r="C316" s="106">
        <v>1</v>
      </c>
      <c r="D316" s="106">
        <v>1</v>
      </c>
      <c r="E316" s="106">
        <v>1</v>
      </c>
      <c r="F316" s="106">
        <v>1</v>
      </c>
      <c r="G316" s="106" t="s">
        <v>66</v>
      </c>
      <c r="H316" s="106" t="s">
        <v>565</v>
      </c>
      <c r="I316" s="106">
        <v>201</v>
      </c>
      <c r="J316" s="106">
        <v>237</v>
      </c>
      <c r="K316" s="106" t="s">
        <v>1420</v>
      </c>
      <c r="L316" s="106" t="s">
        <v>1269</v>
      </c>
      <c r="M316" s="106" t="s">
        <v>436</v>
      </c>
      <c r="N316" s="106">
        <v>16</v>
      </c>
      <c r="O316" s="106">
        <v>15</v>
      </c>
      <c r="T316" s="106" t="s">
        <v>1766</v>
      </c>
      <c r="V316" s="106">
        <v>2856512.2210316798</v>
      </c>
      <c r="W316" s="106">
        <v>1</v>
      </c>
      <c r="X316" s="106">
        <v>1</v>
      </c>
      <c r="Y316" s="106">
        <v>2</v>
      </c>
      <c r="Z316" s="106">
        <v>1</v>
      </c>
      <c r="AA316" s="106">
        <v>570000</v>
      </c>
      <c r="AB316" s="106">
        <v>570000</v>
      </c>
      <c r="AC316" s="106">
        <v>1100000</v>
      </c>
      <c r="AD316" s="106">
        <v>570000</v>
      </c>
      <c r="AE316" s="106">
        <v>2810000</v>
      </c>
      <c r="AF316" s="106">
        <v>2810000</v>
      </c>
      <c r="AH316" s="106">
        <v>43200</v>
      </c>
      <c r="AI316" s="106">
        <v>0.05</v>
      </c>
      <c r="AJ316" s="106">
        <v>7</v>
      </c>
      <c r="AK316" s="106">
        <v>432</v>
      </c>
      <c r="AL316" s="106">
        <v>3024</v>
      </c>
      <c r="AM316" s="106">
        <v>37818</v>
      </c>
      <c r="AN316" s="106">
        <v>37818</v>
      </c>
      <c r="AO316" s="106">
        <v>20732</v>
      </c>
      <c r="AP316" s="106" t="s">
        <v>122</v>
      </c>
      <c r="AQ316" s="106" t="s">
        <v>420</v>
      </c>
      <c r="AR316" s="106">
        <v>4004</v>
      </c>
      <c r="AS316" s="106">
        <v>400000</v>
      </c>
      <c r="AT316" s="106">
        <v>400000</v>
      </c>
      <c r="BD316" s="106">
        <v>0</v>
      </c>
      <c r="BY316" s="112" t="s">
        <v>1766</v>
      </c>
      <c r="BZ316" s="112" t="s">
        <v>1766</v>
      </c>
      <c r="CA316" s="112" t="s">
        <v>1766</v>
      </c>
      <c r="CB316" s="112" t="s">
        <v>1766</v>
      </c>
      <c r="CC316" s="112" t="s">
        <v>1766</v>
      </c>
      <c r="CD316" s="112" t="s">
        <v>1766</v>
      </c>
      <c r="CE316" s="112" t="s">
        <v>1766</v>
      </c>
      <c r="CF316" s="112" t="s">
        <v>1766</v>
      </c>
      <c r="CG316" s="112" t="s">
        <v>1766</v>
      </c>
      <c r="CH316" s="112" t="s">
        <v>1766</v>
      </c>
      <c r="CI316" s="112" t="s">
        <v>1766</v>
      </c>
      <c r="CJ316" s="112" t="s">
        <v>1766</v>
      </c>
      <c r="CK316" s="112" t="s">
        <v>1766</v>
      </c>
      <c r="CL316" s="112" t="s">
        <v>1766</v>
      </c>
      <c r="CM316" s="112" t="s">
        <v>1766</v>
      </c>
      <c r="CN316" s="112" t="s">
        <v>1766</v>
      </c>
      <c r="CO316" s="112" t="s">
        <v>1766</v>
      </c>
    </row>
    <row r="317" spans="1:93">
      <c r="A317" s="106" t="s">
        <v>418</v>
      </c>
      <c r="B317" s="106">
        <v>16</v>
      </c>
      <c r="C317" s="106">
        <v>1</v>
      </c>
      <c r="D317" s="106">
        <v>1</v>
      </c>
      <c r="E317" s="106">
        <v>1</v>
      </c>
      <c r="F317" s="106">
        <v>1</v>
      </c>
      <c r="G317" s="106" t="s">
        <v>66</v>
      </c>
      <c r="H317" s="106" t="s">
        <v>565</v>
      </c>
      <c r="I317" s="106">
        <v>201</v>
      </c>
      <c r="J317" s="106">
        <v>237</v>
      </c>
      <c r="K317" s="106" t="s">
        <v>1420</v>
      </c>
      <c r="L317" s="106" t="s">
        <v>1272</v>
      </c>
      <c r="M317" s="106" t="s">
        <v>437</v>
      </c>
      <c r="N317" s="106">
        <v>17</v>
      </c>
      <c r="O317" s="106">
        <v>16</v>
      </c>
      <c r="T317" s="106" t="s">
        <v>1766</v>
      </c>
      <c r="V317" s="106">
        <v>3656335.64292055</v>
      </c>
      <c r="W317" s="106">
        <v>1</v>
      </c>
      <c r="X317" s="106">
        <v>1</v>
      </c>
      <c r="Y317" s="106">
        <v>2</v>
      </c>
      <c r="Z317" s="106">
        <v>1</v>
      </c>
      <c r="AA317" s="106">
        <v>730000</v>
      </c>
      <c r="AB317" s="106">
        <v>730000</v>
      </c>
      <c r="AC317" s="106">
        <v>1500000</v>
      </c>
      <c r="AD317" s="106">
        <v>730000</v>
      </c>
      <c r="AE317" s="106">
        <v>3690000</v>
      </c>
      <c r="AF317" s="106">
        <v>3690000</v>
      </c>
      <c r="AH317" s="106">
        <v>54000</v>
      </c>
      <c r="AI317" s="106">
        <v>0.05</v>
      </c>
      <c r="AJ317" s="106">
        <v>7</v>
      </c>
      <c r="AK317" s="106">
        <v>540</v>
      </c>
      <c r="AL317" s="106">
        <v>3780</v>
      </c>
      <c r="AM317" s="106">
        <v>47348</v>
      </c>
      <c r="AN317" s="106">
        <v>47348</v>
      </c>
      <c r="AO317" s="106">
        <v>28045</v>
      </c>
      <c r="AP317" s="106" t="s">
        <v>122</v>
      </c>
      <c r="AQ317" s="106" t="s">
        <v>420</v>
      </c>
      <c r="AR317" s="106">
        <v>4004</v>
      </c>
      <c r="AS317" s="106">
        <v>430000</v>
      </c>
      <c r="AT317" s="106">
        <v>430000</v>
      </c>
      <c r="BD317" s="106">
        <v>0</v>
      </c>
      <c r="BY317" s="112" t="s">
        <v>1766</v>
      </c>
      <c r="BZ317" s="112" t="s">
        <v>1766</v>
      </c>
      <c r="CA317" s="112" t="s">
        <v>1766</v>
      </c>
      <c r="CB317" s="112" t="s">
        <v>1766</v>
      </c>
      <c r="CC317" s="112" t="s">
        <v>1766</v>
      </c>
      <c r="CD317" s="112" t="s">
        <v>1766</v>
      </c>
      <c r="CE317" s="112" t="s">
        <v>1766</v>
      </c>
      <c r="CF317" s="112" t="s">
        <v>1766</v>
      </c>
      <c r="CG317" s="112" t="s">
        <v>1766</v>
      </c>
      <c r="CH317" s="112" t="s">
        <v>1766</v>
      </c>
      <c r="CI317" s="112" t="s">
        <v>1766</v>
      </c>
      <c r="CJ317" s="112" t="s">
        <v>1766</v>
      </c>
      <c r="CK317" s="112" t="s">
        <v>1766</v>
      </c>
      <c r="CL317" s="112" t="s">
        <v>1766</v>
      </c>
      <c r="CM317" s="112" t="s">
        <v>1766</v>
      </c>
      <c r="CN317" s="112" t="s">
        <v>1766</v>
      </c>
      <c r="CO317" s="112" t="s">
        <v>1766</v>
      </c>
    </row>
    <row r="318" spans="1:93">
      <c r="A318" s="106" t="s">
        <v>418</v>
      </c>
      <c r="B318" s="106">
        <v>17</v>
      </c>
      <c r="C318" s="106">
        <v>1</v>
      </c>
      <c r="D318" s="106">
        <v>1</v>
      </c>
      <c r="E318" s="106">
        <v>1</v>
      </c>
      <c r="F318" s="106">
        <v>1</v>
      </c>
      <c r="G318" s="106" t="s">
        <v>66</v>
      </c>
      <c r="H318" s="106" t="s">
        <v>565</v>
      </c>
      <c r="I318" s="106">
        <v>201</v>
      </c>
      <c r="J318" s="106">
        <v>237</v>
      </c>
      <c r="K318" s="106" t="s">
        <v>1420</v>
      </c>
      <c r="L318" s="106" t="s">
        <v>1278</v>
      </c>
      <c r="M318" s="106" t="s">
        <v>438</v>
      </c>
      <c r="N318" s="106">
        <v>18</v>
      </c>
      <c r="O318" s="106">
        <v>17</v>
      </c>
      <c r="T318" s="106" t="s">
        <v>1766</v>
      </c>
      <c r="V318" s="106">
        <v>4680109.6229383098</v>
      </c>
      <c r="W318" s="106">
        <v>1</v>
      </c>
      <c r="X318" s="106">
        <v>1</v>
      </c>
      <c r="Y318" s="106">
        <v>2</v>
      </c>
      <c r="Z318" s="106">
        <v>1</v>
      </c>
      <c r="AA318" s="106">
        <v>940000</v>
      </c>
      <c r="AB318" s="106">
        <v>940000</v>
      </c>
      <c r="AC318" s="106">
        <v>1900000</v>
      </c>
      <c r="AD318" s="106">
        <v>940000</v>
      </c>
      <c r="AE318" s="106">
        <v>4720000</v>
      </c>
      <c r="AF318" s="106">
        <v>4720000</v>
      </c>
      <c r="AH318" s="106">
        <v>72000</v>
      </c>
      <c r="AI318" s="106">
        <v>0.05</v>
      </c>
      <c r="AJ318" s="106">
        <v>8</v>
      </c>
      <c r="AK318" s="106">
        <v>720</v>
      </c>
      <c r="AL318" s="106">
        <v>5760</v>
      </c>
      <c r="AM318" s="106">
        <v>62511</v>
      </c>
      <c r="AN318" s="106">
        <v>62511</v>
      </c>
      <c r="AO318" s="106">
        <v>37405</v>
      </c>
      <c r="AP318" s="106" t="s">
        <v>122</v>
      </c>
      <c r="AQ318" s="106" t="s">
        <v>420</v>
      </c>
      <c r="AR318" s="106">
        <v>4004</v>
      </c>
      <c r="AS318" s="106">
        <v>460000</v>
      </c>
      <c r="AT318" s="106">
        <v>460000</v>
      </c>
      <c r="BD318" s="106">
        <v>0</v>
      </c>
      <c r="BY318" s="112" t="s">
        <v>1766</v>
      </c>
      <c r="BZ318" s="112" t="s">
        <v>1766</v>
      </c>
      <c r="CA318" s="112" t="s">
        <v>1766</v>
      </c>
      <c r="CB318" s="112" t="s">
        <v>1766</v>
      </c>
      <c r="CC318" s="112" t="s">
        <v>1766</v>
      </c>
      <c r="CD318" s="112" t="s">
        <v>1766</v>
      </c>
      <c r="CE318" s="112" t="s">
        <v>1766</v>
      </c>
      <c r="CF318" s="112" t="s">
        <v>1766</v>
      </c>
      <c r="CG318" s="112" t="s">
        <v>1766</v>
      </c>
      <c r="CH318" s="112" t="s">
        <v>1766</v>
      </c>
      <c r="CI318" s="112" t="s">
        <v>1766</v>
      </c>
      <c r="CJ318" s="112" t="s">
        <v>1766</v>
      </c>
      <c r="CK318" s="112" t="s">
        <v>1766</v>
      </c>
      <c r="CL318" s="112" t="s">
        <v>1766</v>
      </c>
      <c r="CM318" s="112" t="s">
        <v>1766</v>
      </c>
      <c r="CN318" s="112" t="s">
        <v>1766</v>
      </c>
      <c r="CO318" s="112" t="s">
        <v>1766</v>
      </c>
    </row>
    <row r="319" spans="1:93">
      <c r="A319" s="106" t="s">
        <v>418</v>
      </c>
      <c r="B319" s="106">
        <v>18</v>
      </c>
      <c r="C319" s="106">
        <v>1</v>
      </c>
      <c r="D319" s="106">
        <v>1</v>
      </c>
      <c r="E319" s="106">
        <v>1</v>
      </c>
      <c r="F319" s="106">
        <v>1</v>
      </c>
      <c r="G319" s="106" t="s">
        <v>66</v>
      </c>
      <c r="H319" s="106" t="s">
        <v>565</v>
      </c>
      <c r="I319" s="106">
        <v>201</v>
      </c>
      <c r="J319" s="106">
        <v>237</v>
      </c>
      <c r="K319" s="106" t="s">
        <v>1420</v>
      </c>
      <c r="L319" s="106" t="s">
        <v>1281</v>
      </c>
      <c r="M319" s="106" t="s">
        <v>439</v>
      </c>
      <c r="N319" s="106">
        <v>19</v>
      </c>
      <c r="O319" s="106">
        <v>18</v>
      </c>
      <c r="T319" s="106" t="s">
        <v>1766</v>
      </c>
      <c r="V319" s="106">
        <v>5990540.31736104</v>
      </c>
      <c r="W319" s="106">
        <v>1</v>
      </c>
      <c r="X319" s="106">
        <v>1</v>
      </c>
      <c r="Y319" s="106">
        <v>2</v>
      </c>
      <c r="Z319" s="106">
        <v>1</v>
      </c>
      <c r="AA319" s="106">
        <v>1200000</v>
      </c>
      <c r="AB319" s="106">
        <v>1200000</v>
      </c>
      <c r="AC319" s="106">
        <v>2400000</v>
      </c>
      <c r="AD319" s="106">
        <v>1200000</v>
      </c>
      <c r="AE319" s="106">
        <v>6000000</v>
      </c>
      <c r="AF319" s="106">
        <v>6000000</v>
      </c>
      <c r="AH319" s="106">
        <v>93600</v>
      </c>
      <c r="AI319" s="106">
        <v>6.5000000000000002E-2</v>
      </c>
      <c r="AJ319" s="106">
        <v>8</v>
      </c>
      <c r="AK319" s="106">
        <v>936</v>
      </c>
      <c r="AL319" s="106">
        <v>7488</v>
      </c>
      <c r="AM319" s="106">
        <v>80099</v>
      </c>
      <c r="AN319" s="106">
        <v>80099</v>
      </c>
      <c r="AO319" s="106">
        <v>49386</v>
      </c>
      <c r="AP319" s="106" t="s">
        <v>122</v>
      </c>
      <c r="AQ319" s="106" t="s">
        <v>420</v>
      </c>
      <c r="AR319" s="106">
        <v>4004</v>
      </c>
      <c r="AS319" s="106">
        <v>490000</v>
      </c>
      <c r="AT319" s="106">
        <v>490000</v>
      </c>
      <c r="BD319" s="106">
        <v>0</v>
      </c>
      <c r="BY319" s="112" t="s">
        <v>1766</v>
      </c>
      <c r="BZ319" s="112" t="s">
        <v>1766</v>
      </c>
      <c r="CA319" s="112" t="s">
        <v>1766</v>
      </c>
      <c r="CB319" s="112" t="s">
        <v>1766</v>
      </c>
      <c r="CC319" s="112" t="s">
        <v>1766</v>
      </c>
      <c r="CD319" s="112" t="s">
        <v>1766</v>
      </c>
      <c r="CE319" s="112" t="s">
        <v>1766</v>
      </c>
      <c r="CF319" s="112" t="s">
        <v>1766</v>
      </c>
      <c r="CG319" s="112" t="s">
        <v>1766</v>
      </c>
      <c r="CH319" s="112" t="s">
        <v>1766</v>
      </c>
      <c r="CI319" s="112" t="s">
        <v>1766</v>
      </c>
      <c r="CJ319" s="112" t="s">
        <v>1766</v>
      </c>
      <c r="CK319" s="112" t="s">
        <v>1766</v>
      </c>
      <c r="CL319" s="112" t="s">
        <v>1766</v>
      </c>
      <c r="CM319" s="112" t="s">
        <v>1766</v>
      </c>
      <c r="CN319" s="112" t="s">
        <v>1766</v>
      </c>
      <c r="CO319" s="112" t="s">
        <v>1766</v>
      </c>
    </row>
    <row r="320" spans="1:93">
      <c r="A320" s="106" t="s">
        <v>418</v>
      </c>
      <c r="B320" s="106">
        <v>19</v>
      </c>
      <c r="C320" s="106">
        <v>1</v>
      </c>
      <c r="D320" s="106">
        <v>1</v>
      </c>
      <c r="E320" s="106">
        <v>1</v>
      </c>
      <c r="F320" s="106">
        <v>1</v>
      </c>
      <c r="G320" s="106" t="s">
        <v>66</v>
      </c>
      <c r="H320" s="106" t="s">
        <v>565</v>
      </c>
      <c r="I320" s="106">
        <v>201</v>
      </c>
      <c r="J320" s="106">
        <v>237</v>
      </c>
      <c r="K320" s="106" t="s">
        <v>1420</v>
      </c>
      <c r="L320" s="106" t="s">
        <v>1283</v>
      </c>
      <c r="M320" s="106" t="s">
        <v>440</v>
      </c>
      <c r="N320" s="106">
        <v>20</v>
      </c>
      <c r="O320" s="106">
        <v>19</v>
      </c>
      <c r="T320" s="106" t="s">
        <v>1766</v>
      </c>
      <c r="V320" s="106">
        <v>7667891.6062221304</v>
      </c>
      <c r="W320" s="106">
        <v>1</v>
      </c>
      <c r="X320" s="106">
        <v>1</v>
      </c>
      <c r="Y320" s="106">
        <v>2</v>
      </c>
      <c r="Z320" s="106">
        <v>1</v>
      </c>
      <c r="AA320" s="106">
        <v>1500000</v>
      </c>
      <c r="AB320" s="106">
        <v>1500000</v>
      </c>
      <c r="AC320" s="106">
        <v>3100000</v>
      </c>
      <c r="AD320" s="106">
        <v>1500000</v>
      </c>
      <c r="AE320" s="106">
        <v>7600000</v>
      </c>
      <c r="AF320" s="106">
        <v>7600000</v>
      </c>
      <c r="AH320" s="106">
        <v>122400</v>
      </c>
      <c r="AI320" s="106">
        <v>0.08</v>
      </c>
      <c r="AJ320" s="106">
        <v>9</v>
      </c>
      <c r="AK320" s="106">
        <v>1224</v>
      </c>
      <c r="AL320" s="106">
        <v>11016</v>
      </c>
      <c r="AM320" s="106">
        <v>102017</v>
      </c>
      <c r="AN320" s="106">
        <v>102017</v>
      </c>
      <c r="AO320" s="106">
        <v>64722</v>
      </c>
      <c r="AP320" s="106" t="s">
        <v>122</v>
      </c>
      <c r="AQ320" s="106" t="s">
        <v>420</v>
      </c>
      <c r="AR320" s="106">
        <v>4004</v>
      </c>
      <c r="AS320" s="106">
        <v>520000</v>
      </c>
      <c r="AT320" s="106">
        <v>520000</v>
      </c>
      <c r="BD320" s="106">
        <v>0</v>
      </c>
      <c r="BY320" s="112" t="s">
        <v>1766</v>
      </c>
      <c r="BZ320" s="112" t="s">
        <v>1766</v>
      </c>
      <c r="CA320" s="112" t="s">
        <v>1766</v>
      </c>
      <c r="CB320" s="112" t="s">
        <v>1766</v>
      </c>
      <c r="CC320" s="112" t="s">
        <v>1766</v>
      </c>
      <c r="CD320" s="112" t="s">
        <v>1766</v>
      </c>
      <c r="CE320" s="112" t="s">
        <v>1766</v>
      </c>
      <c r="CF320" s="112" t="s">
        <v>1766</v>
      </c>
      <c r="CG320" s="112" t="s">
        <v>1766</v>
      </c>
      <c r="CH320" s="112" t="s">
        <v>1766</v>
      </c>
      <c r="CI320" s="112" t="s">
        <v>1766</v>
      </c>
      <c r="CJ320" s="112" t="s">
        <v>1766</v>
      </c>
      <c r="CK320" s="112" t="s">
        <v>1766</v>
      </c>
      <c r="CL320" s="112" t="s">
        <v>1766</v>
      </c>
      <c r="CM320" s="112" t="s">
        <v>1766</v>
      </c>
      <c r="CN320" s="112" t="s">
        <v>1766</v>
      </c>
      <c r="CO320" s="112" t="s">
        <v>1766</v>
      </c>
    </row>
    <row r="321" spans="1:93">
      <c r="A321" s="106" t="s">
        <v>418</v>
      </c>
      <c r="B321" s="106">
        <v>20</v>
      </c>
      <c r="C321" s="106">
        <v>1</v>
      </c>
      <c r="D321" s="106">
        <v>1</v>
      </c>
      <c r="E321" s="106">
        <v>1</v>
      </c>
      <c r="F321" s="106">
        <v>1</v>
      </c>
      <c r="G321" s="106" t="s">
        <v>66</v>
      </c>
      <c r="H321" s="106" t="s">
        <v>565</v>
      </c>
      <c r="I321" s="106">
        <v>201</v>
      </c>
      <c r="J321" s="106">
        <v>237</v>
      </c>
      <c r="K321" s="106" t="s">
        <v>1420</v>
      </c>
      <c r="L321" s="106" t="s">
        <v>1287</v>
      </c>
      <c r="M321" s="106" t="s">
        <v>441</v>
      </c>
      <c r="N321" s="106">
        <v>21</v>
      </c>
      <c r="O321" s="106">
        <v>20</v>
      </c>
      <c r="T321" s="106" t="s">
        <v>1766</v>
      </c>
      <c r="V321" s="106">
        <v>9814901.2559643202</v>
      </c>
      <c r="W321" s="106">
        <v>1</v>
      </c>
      <c r="X321" s="106">
        <v>1</v>
      </c>
      <c r="Y321" s="106">
        <v>2</v>
      </c>
      <c r="Z321" s="106">
        <v>1</v>
      </c>
      <c r="AA321" s="106">
        <v>2000000</v>
      </c>
      <c r="AB321" s="106">
        <v>2000000</v>
      </c>
      <c r="AC321" s="106">
        <v>3900000</v>
      </c>
      <c r="AD321" s="106">
        <v>2000000</v>
      </c>
      <c r="AE321" s="106">
        <v>9900000</v>
      </c>
      <c r="AF321" s="106">
        <v>9900000</v>
      </c>
      <c r="AH321" s="106">
        <v>172800</v>
      </c>
      <c r="AI321" s="106">
        <v>9.5000000000000001E-2</v>
      </c>
      <c r="AJ321" s="106">
        <v>9</v>
      </c>
      <c r="AK321" s="106">
        <v>1728</v>
      </c>
      <c r="AL321" s="106">
        <v>15552</v>
      </c>
      <c r="AM321" s="106">
        <v>141956</v>
      </c>
      <c r="AN321" s="106">
        <v>141956</v>
      </c>
      <c r="AO321" s="106">
        <v>84352</v>
      </c>
      <c r="AP321" s="106" t="s">
        <v>122</v>
      </c>
      <c r="AQ321" s="106" t="s">
        <v>420</v>
      </c>
      <c r="AR321" s="106">
        <v>4004</v>
      </c>
      <c r="AS321" s="106">
        <v>550000</v>
      </c>
      <c r="AT321" s="106">
        <v>550000</v>
      </c>
      <c r="BD321" s="106">
        <v>0</v>
      </c>
      <c r="BY321" s="112" t="s">
        <v>1766</v>
      </c>
      <c r="BZ321" s="112" t="s">
        <v>1766</v>
      </c>
      <c r="CA321" s="112" t="s">
        <v>1766</v>
      </c>
      <c r="CB321" s="112" t="s">
        <v>1766</v>
      </c>
      <c r="CC321" s="112" t="s">
        <v>1766</v>
      </c>
      <c r="CD321" s="112" t="s">
        <v>1766</v>
      </c>
      <c r="CE321" s="112" t="s">
        <v>1766</v>
      </c>
      <c r="CF321" s="112" t="s">
        <v>1766</v>
      </c>
      <c r="CG321" s="112" t="s">
        <v>1766</v>
      </c>
      <c r="CH321" s="112" t="s">
        <v>1766</v>
      </c>
      <c r="CI321" s="112" t="s">
        <v>1766</v>
      </c>
      <c r="CJ321" s="112" t="s">
        <v>1766</v>
      </c>
      <c r="CK321" s="112" t="s">
        <v>1766</v>
      </c>
      <c r="CL321" s="112" t="s">
        <v>1766</v>
      </c>
      <c r="CM321" s="112" t="s">
        <v>1766</v>
      </c>
      <c r="CN321" s="112" t="s">
        <v>1766</v>
      </c>
      <c r="CO321" s="112" t="s">
        <v>1766</v>
      </c>
    </row>
    <row r="322" spans="1:93">
      <c r="A322" s="106" t="s">
        <v>418</v>
      </c>
      <c r="B322" s="106">
        <v>21</v>
      </c>
      <c r="C322" s="106">
        <v>1</v>
      </c>
      <c r="D322" s="106">
        <v>1</v>
      </c>
      <c r="E322" s="106">
        <v>1</v>
      </c>
      <c r="F322" s="106">
        <v>1</v>
      </c>
      <c r="G322" s="106" t="s">
        <v>66</v>
      </c>
      <c r="H322" s="106" t="s">
        <v>565</v>
      </c>
      <c r="I322" s="106">
        <v>201</v>
      </c>
      <c r="J322" s="106">
        <v>237</v>
      </c>
      <c r="K322" s="106" t="s">
        <v>1420</v>
      </c>
      <c r="L322" s="106" t="s">
        <v>1291</v>
      </c>
      <c r="M322" s="106" t="s">
        <v>1421</v>
      </c>
      <c r="N322" s="106">
        <v>22</v>
      </c>
      <c r="O322" s="106">
        <v>21</v>
      </c>
      <c r="T322" s="106" t="s">
        <v>1766</v>
      </c>
      <c r="V322" s="106">
        <v>12563073.6076343</v>
      </c>
      <c r="W322" s="106">
        <v>1</v>
      </c>
      <c r="X322" s="106">
        <v>1</v>
      </c>
      <c r="Y322" s="106">
        <v>2</v>
      </c>
      <c r="Z322" s="106">
        <v>1</v>
      </c>
      <c r="AA322" s="106">
        <v>2500000</v>
      </c>
      <c r="AB322" s="106">
        <v>2500000</v>
      </c>
      <c r="AC322" s="106">
        <v>5000000</v>
      </c>
      <c r="AD322" s="106">
        <v>2500000</v>
      </c>
      <c r="AE322" s="106">
        <v>12500000</v>
      </c>
      <c r="AF322" s="106">
        <v>12500000</v>
      </c>
      <c r="AH322" s="106">
        <v>230400</v>
      </c>
      <c r="AI322" s="106">
        <v>0.11</v>
      </c>
      <c r="AJ322" s="106">
        <v>10</v>
      </c>
      <c r="AK322" s="106">
        <v>2304</v>
      </c>
      <c r="AL322" s="106">
        <v>23040</v>
      </c>
      <c r="AM322" s="106">
        <v>184227</v>
      </c>
      <c r="AN322" s="106">
        <v>184227</v>
      </c>
      <c r="AO322" s="106">
        <v>109478</v>
      </c>
      <c r="AP322" s="106" t="s">
        <v>122</v>
      </c>
      <c r="AQ322" s="106" t="s">
        <v>420</v>
      </c>
      <c r="AR322" s="106">
        <v>4004</v>
      </c>
      <c r="AS322" s="106">
        <v>580000</v>
      </c>
      <c r="AT322" s="106">
        <v>580000</v>
      </c>
      <c r="BD322" s="106">
        <v>0</v>
      </c>
      <c r="BY322" s="112" t="s">
        <v>1766</v>
      </c>
      <c r="BZ322" s="112" t="s">
        <v>1766</v>
      </c>
      <c r="CA322" s="112" t="s">
        <v>1766</v>
      </c>
      <c r="CB322" s="112" t="s">
        <v>1766</v>
      </c>
      <c r="CC322" s="112" t="s">
        <v>1766</v>
      </c>
      <c r="CD322" s="112" t="s">
        <v>1766</v>
      </c>
      <c r="CE322" s="112" t="s">
        <v>1766</v>
      </c>
      <c r="CF322" s="112" t="s">
        <v>1766</v>
      </c>
      <c r="CG322" s="112" t="s">
        <v>1766</v>
      </c>
      <c r="CH322" s="112" t="s">
        <v>1766</v>
      </c>
      <c r="CI322" s="112" t="s">
        <v>1766</v>
      </c>
      <c r="CJ322" s="112" t="s">
        <v>1766</v>
      </c>
      <c r="CK322" s="112" t="s">
        <v>1766</v>
      </c>
      <c r="CL322" s="112" t="s">
        <v>1766</v>
      </c>
      <c r="CM322" s="112" t="s">
        <v>1766</v>
      </c>
      <c r="CN322" s="112" t="s">
        <v>1766</v>
      </c>
      <c r="CO322" s="112" t="s">
        <v>1766</v>
      </c>
    </row>
    <row r="323" spans="1:93">
      <c r="A323" s="106" t="s">
        <v>418</v>
      </c>
      <c r="B323" s="106">
        <v>22</v>
      </c>
      <c r="C323" s="106">
        <v>1</v>
      </c>
      <c r="D323" s="106">
        <v>1</v>
      </c>
      <c r="E323" s="106">
        <v>1</v>
      </c>
      <c r="F323" s="106">
        <v>1</v>
      </c>
      <c r="G323" s="106" t="s">
        <v>66</v>
      </c>
      <c r="H323" s="106" t="s">
        <v>565</v>
      </c>
      <c r="I323" s="106">
        <v>201</v>
      </c>
      <c r="J323" s="106">
        <v>237</v>
      </c>
      <c r="K323" s="106" t="s">
        <v>1420</v>
      </c>
      <c r="L323" s="106" t="s">
        <v>1295</v>
      </c>
      <c r="M323" s="106" t="s">
        <v>1422</v>
      </c>
      <c r="N323" s="106">
        <v>23</v>
      </c>
      <c r="O323" s="106">
        <v>22</v>
      </c>
      <c r="T323" s="106" t="s">
        <v>1766</v>
      </c>
      <c r="V323" s="106">
        <v>16080734.217771901</v>
      </c>
      <c r="W323" s="106">
        <v>1</v>
      </c>
      <c r="X323" s="106">
        <v>1</v>
      </c>
      <c r="Y323" s="106">
        <v>2</v>
      </c>
      <c r="Z323" s="106">
        <v>1</v>
      </c>
      <c r="AA323" s="106">
        <v>3200000</v>
      </c>
      <c r="AB323" s="106">
        <v>3200000</v>
      </c>
      <c r="AC323" s="106">
        <v>6400000</v>
      </c>
      <c r="AD323" s="106">
        <v>3200000</v>
      </c>
      <c r="AE323" s="106">
        <v>16000000</v>
      </c>
      <c r="AF323" s="106">
        <v>16000000</v>
      </c>
      <c r="AH323" s="106">
        <v>302400</v>
      </c>
      <c r="AI323" s="106">
        <v>0.125</v>
      </c>
      <c r="AJ323" s="106">
        <v>10</v>
      </c>
      <c r="AK323" s="106">
        <v>3024</v>
      </c>
      <c r="AL323" s="106">
        <v>30240</v>
      </c>
      <c r="AM323" s="106">
        <v>238260</v>
      </c>
      <c r="AN323" s="106">
        <v>238260</v>
      </c>
      <c r="AO323" s="106">
        <v>141640</v>
      </c>
      <c r="AP323" s="106" t="s">
        <v>122</v>
      </c>
      <c r="AQ323" s="106" t="s">
        <v>420</v>
      </c>
      <c r="AR323" s="106">
        <v>4004</v>
      </c>
      <c r="AS323" s="106">
        <v>610000</v>
      </c>
      <c r="AT323" s="106">
        <v>610000</v>
      </c>
      <c r="BD323" s="106">
        <v>0</v>
      </c>
      <c r="BY323" s="112" t="s">
        <v>1766</v>
      </c>
      <c r="BZ323" s="112" t="s">
        <v>1766</v>
      </c>
      <c r="CA323" s="112" t="s">
        <v>1766</v>
      </c>
      <c r="CB323" s="112" t="s">
        <v>1766</v>
      </c>
      <c r="CC323" s="112" t="s">
        <v>1766</v>
      </c>
      <c r="CD323" s="112" t="s">
        <v>1766</v>
      </c>
      <c r="CE323" s="112" t="s">
        <v>1766</v>
      </c>
      <c r="CF323" s="112" t="s">
        <v>1766</v>
      </c>
      <c r="CG323" s="112" t="s">
        <v>1766</v>
      </c>
      <c r="CH323" s="112" t="s">
        <v>1766</v>
      </c>
      <c r="CI323" s="112" t="s">
        <v>1766</v>
      </c>
      <c r="CJ323" s="112" t="s">
        <v>1766</v>
      </c>
      <c r="CK323" s="112" t="s">
        <v>1766</v>
      </c>
      <c r="CL323" s="112" t="s">
        <v>1766</v>
      </c>
      <c r="CM323" s="112" t="s">
        <v>1766</v>
      </c>
      <c r="CN323" s="112" t="s">
        <v>1766</v>
      </c>
      <c r="CO323" s="112" t="s">
        <v>1766</v>
      </c>
    </row>
    <row r="324" spans="1:93">
      <c r="A324" s="106" t="s">
        <v>418</v>
      </c>
      <c r="B324" s="106">
        <v>23</v>
      </c>
      <c r="C324" s="106">
        <v>1</v>
      </c>
      <c r="D324" s="106">
        <v>1</v>
      </c>
      <c r="E324" s="106">
        <v>1</v>
      </c>
      <c r="F324" s="106">
        <v>1</v>
      </c>
      <c r="G324" s="106" t="s">
        <v>66</v>
      </c>
      <c r="H324" s="106" t="s">
        <v>565</v>
      </c>
      <c r="I324" s="106">
        <v>201</v>
      </c>
      <c r="J324" s="106">
        <v>237</v>
      </c>
      <c r="K324" s="106" t="s">
        <v>1420</v>
      </c>
      <c r="L324" s="106" t="s">
        <v>1298</v>
      </c>
      <c r="M324" s="106" t="s">
        <v>1423</v>
      </c>
      <c r="N324" s="106">
        <v>24</v>
      </c>
      <c r="O324" s="106">
        <v>23</v>
      </c>
      <c r="T324" s="106" t="s">
        <v>1766</v>
      </c>
      <c r="V324" s="106">
        <v>20583339.798748098</v>
      </c>
      <c r="W324" s="106">
        <v>1</v>
      </c>
      <c r="X324" s="106">
        <v>1</v>
      </c>
      <c r="Y324" s="106">
        <v>2</v>
      </c>
      <c r="Z324" s="106">
        <v>1</v>
      </c>
      <c r="AA324" s="106">
        <v>4100000</v>
      </c>
      <c r="AB324" s="106">
        <v>4100000</v>
      </c>
      <c r="AC324" s="106">
        <v>8200000</v>
      </c>
      <c r="AD324" s="106">
        <v>4100000</v>
      </c>
      <c r="AE324" s="106">
        <v>20500000</v>
      </c>
      <c r="AF324" s="106">
        <v>20500000</v>
      </c>
      <c r="AH324" s="106">
        <v>388800</v>
      </c>
      <c r="AI324" s="106">
        <v>0.125</v>
      </c>
      <c r="AJ324" s="106">
        <v>11</v>
      </c>
      <c r="AK324" s="106">
        <v>3888</v>
      </c>
      <c r="AL324" s="106">
        <v>42768</v>
      </c>
      <c r="AM324" s="106">
        <v>302532</v>
      </c>
      <c r="AN324" s="106">
        <v>302532</v>
      </c>
      <c r="AO324" s="106">
        <v>182806</v>
      </c>
      <c r="AP324" s="106" t="s">
        <v>122</v>
      </c>
      <c r="AQ324" s="106" t="s">
        <v>420</v>
      </c>
      <c r="AR324" s="106">
        <v>4004</v>
      </c>
      <c r="AS324" s="106">
        <v>640000</v>
      </c>
      <c r="AT324" s="106">
        <v>640000</v>
      </c>
      <c r="BD324" s="106">
        <v>0</v>
      </c>
      <c r="BY324" s="112" t="s">
        <v>1766</v>
      </c>
      <c r="BZ324" s="112" t="s">
        <v>1766</v>
      </c>
      <c r="CA324" s="112" t="s">
        <v>1766</v>
      </c>
      <c r="CB324" s="112" t="s">
        <v>1766</v>
      </c>
      <c r="CC324" s="112" t="s">
        <v>1766</v>
      </c>
      <c r="CD324" s="112" t="s">
        <v>1766</v>
      </c>
      <c r="CE324" s="112" t="s">
        <v>1766</v>
      </c>
      <c r="CF324" s="112" t="s">
        <v>1766</v>
      </c>
      <c r="CG324" s="112" t="s">
        <v>1766</v>
      </c>
      <c r="CH324" s="112" t="s">
        <v>1766</v>
      </c>
      <c r="CI324" s="112" t="s">
        <v>1766</v>
      </c>
      <c r="CJ324" s="112" t="s">
        <v>1766</v>
      </c>
      <c r="CK324" s="112" t="s">
        <v>1766</v>
      </c>
      <c r="CL324" s="112" t="s">
        <v>1766</v>
      </c>
      <c r="CM324" s="112" t="s">
        <v>1766</v>
      </c>
      <c r="CN324" s="112" t="s">
        <v>1766</v>
      </c>
      <c r="CO324" s="112" t="s">
        <v>1766</v>
      </c>
    </row>
    <row r="325" spans="1:93">
      <c r="A325" s="106" t="s">
        <v>418</v>
      </c>
      <c r="B325" s="106">
        <v>24</v>
      </c>
      <c r="C325" s="106">
        <v>1</v>
      </c>
      <c r="D325" s="106">
        <v>1</v>
      </c>
      <c r="E325" s="106">
        <v>1</v>
      </c>
      <c r="F325" s="106">
        <v>1</v>
      </c>
      <c r="G325" s="106" t="s">
        <v>66</v>
      </c>
      <c r="H325" s="106" t="s">
        <v>565</v>
      </c>
      <c r="I325" s="106">
        <v>201</v>
      </c>
      <c r="J325" s="106">
        <v>237</v>
      </c>
      <c r="K325" s="106" t="s">
        <v>1420</v>
      </c>
      <c r="L325" s="106" t="s">
        <v>1302</v>
      </c>
      <c r="M325" s="106" t="s">
        <v>1424</v>
      </c>
      <c r="N325" s="106">
        <v>25</v>
      </c>
      <c r="O325" s="106">
        <v>24</v>
      </c>
      <c r="T325" s="106" t="s">
        <v>1766</v>
      </c>
      <c r="V325" s="106">
        <v>26346674.942397598</v>
      </c>
      <c r="W325" s="106">
        <v>1</v>
      </c>
      <c r="X325" s="106">
        <v>1</v>
      </c>
      <c r="Y325" s="106">
        <v>2</v>
      </c>
      <c r="Z325" s="106">
        <v>1</v>
      </c>
      <c r="AA325" s="106">
        <v>5300000</v>
      </c>
      <c r="AB325" s="106">
        <v>5300000</v>
      </c>
      <c r="AC325" s="106">
        <v>11000000</v>
      </c>
      <c r="AD325" s="106">
        <v>5300000</v>
      </c>
      <c r="AE325" s="106">
        <v>26900000</v>
      </c>
      <c r="AF325" s="106">
        <v>26900000</v>
      </c>
      <c r="AH325" s="106">
        <v>496800</v>
      </c>
      <c r="AI325" s="106">
        <v>0.125</v>
      </c>
      <c r="AJ325" s="106">
        <v>12</v>
      </c>
      <c r="AK325" s="106">
        <v>4968</v>
      </c>
      <c r="AL325" s="106">
        <v>59616</v>
      </c>
      <c r="AM325" s="106">
        <v>381684</v>
      </c>
      <c r="AN325" s="106">
        <v>381684</v>
      </c>
      <c r="AO325" s="106">
        <v>235500</v>
      </c>
      <c r="AP325" s="106" t="s">
        <v>122</v>
      </c>
      <c r="AQ325" s="106" t="s">
        <v>420</v>
      </c>
      <c r="AR325" s="106">
        <v>4004</v>
      </c>
      <c r="AS325" s="106">
        <v>670000</v>
      </c>
      <c r="AT325" s="106">
        <v>670000</v>
      </c>
      <c r="BD325" s="106">
        <v>0</v>
      </c>
      <c r="BY325" s="112" t="s">
        <v>1766</v>
      </c>
      <c r="BZ325" s="112" t="s">
        <v>1766</v>
      </c>
      <c r="CA325" s="112" t="s">
        <v>1766</v>
      </c>
      <c r="CB325" s="112" t="s">
        <v>1766</v>
      </c>
      <c r="CC325" s="112" t="s">
        <v>1766</v>
      </c>
      <c r="CD325" s="112" t="s">
        <v>1766</v>
      </c>
      <c r="CE325" s="112" t="s">
        <v>1766</v>
      </c>
      <c r="CF325" s="112" t="s">
        <v>1766</v>
      </c>
      <c r="CG325" s="112" t="s">
        <v>1766</v>
      </c>
      <c r="CH325" s="112" t="s">
        <v>1766</v>
      </c>
      <c r="CI325" s="112" t="s">
        <v>1766</v>
      </c>
      <c r="CJ325" s="112" t="s">
        <v>1766</v>
      </c>
      <c r="CK325" s="112" t="s">
        <v>1766</v>
      </c>
      <c r="CL325" s="112" t="s">
        <v>1766</v>
      </c>
      <c r="CM325" s="112" t="s">
        <v>1766</v>
      </c>
      <c r="CN325" s="112" t="s">
        <v>1766</v>
      </c>
      <c r="CO325" s="112" t="s">
        <v>1766</v>
      </c>
    </row>
    <row r="326" spans="1:93">
      <c r="A326" s="106" t="s">
        <v>418</v>
      </c>
      <c r="B326" s="106">
        <v>25</v>
      </c>
      <c r="C326" s="106">
        <v>1</v>
      </c>
      <c r="D326" s="106">
        <v>1</v>
      </c>
      <c r="E326" s="106">
        <v>1</v>
      </c>
      <c r="F326" s="106">
        <v>1</v>
      </c>
      <c r="G326" s="106" t="s">
        <v>66</v>
      </c>
      <c r="H326" s="106" t="s">
        <v>565</v>
      </c>
      <c r="I326" s="106">
        <v>201</v>
      </c>
      <c r="J326" s="106">
        <v>237</v>
      </c>
      <c r="K326" s="106" t="s">
        <v>1420</v>
      </c>
      <c r="L326" s="106" t="s">
        <v>1305</v>
      </c>
      <c r="M326" s="106" t="s">
        <v>1425</v>
      </c>
      <c r="N326" s="106">
        <v>26</v>
      </c>
      <c r="O326" s="106">
        <v>25</v>
      </c>
      <c r="T326" s="106" t="s">
        <v>1766</v>
      </c>
      <c r="V326" s="106">
        <v>33723743.926268898</v>
      </c>
      <c r="W326" s="106">
        <v>1</v>
      </c>
      <c r="X326" s="106">
        <v>1</v>
      </c>
      <c r="Y326" s="106">
        <v>2</v>
      </c>
      <c r="Z326" s="106">
        <v>1</v>
      </c>
      <c r="AA326" s="106">
        <v>6700000</v>
      </c>
      <c r="AB326" s="106">
        <v>6700000</v>
      </c>
      <c r="AC326" s="106">
        <v>13000000</v>
      </c>
      <c r="AD326" s="106">
        <v>6700000</v>
      </c>
      <c r="AE326" s="106">
        <v>33100000</v>
      </c>
      <c r="AF326" s="106">
        <v>33100000</v>
      </c>
      <c r="AH326" s="106">
        <v>626400</v>
      </c>
      <c r="AI326" s="106">
        <v>0.125</v>
      </c>
      <c r="AJ326" s="106">
        <v>13</v>
      </c>
      <c r="AK326" s="106">
        <v>6264</v>
      </c>
      <c r="AL326" s="106">
        <v>81432</v>
      </c>
      <c r="AM326" s="106">
        <v>475068</v>
      </c>
      <c r="AN326" s="106">
        <v>475068</v>
      </c>
      <c r="AO326" s="106">
        <v>302947</v>
      </c>
      <c r="AP326" s="106" t="s">
        <v>122</v>
      </c>
      <c r="AQ326" s="106" t="s">
        <v>420</v>
      </c>
      <c r="AR326" s="106">
        <v>4004</v>
      </c>
      <c r="AS326" s="106">
        <v>700000</v>
      </c>
      <c r="AT326" s="106">
        <v>700000</v>
      </c>
      <c r="BD326" s="106">
        <v>0</v>
      </c>
      <c r="BY326" s="112" t="s">
        <v>1766</v>
      </c>
      <c r="BZ326" s="112" t="s">
        <v>1766</v>
      </c>
      <c r="CA326" s="112" t="s">
        <v>1766</v>
      </c>
      <c r="CB326" s="112" t="s">
        <v>1766</v>
      </c>
      <c r="CC326" s="112" t="s">
        <v>1766</v>
      </c>
      <c r="CD326" s="112" t="s">
        <v>1766</v>
      </c>
      <c r="CE326" s="112" t="s">
        <v>1766</v>
      </c>
      <c r="CF326" s="112" t="s">
        <v>1766</v>
      </c>
      <c r="CG326" s="112" t="s">
        <v>1766</v>
      </c>
      <c r="CH326" s="112" t="s">
        <v>1766</v>
      </c>
      <c r="CI326" s="112" t="s">
        <v>1766</v>
      </c>
      <c r="CJ326" s="112" t="s">
        <v>1766</v>
      </c>
      <c r="CK326" s="112" t="s">
        <v>1766</v>
      </c>
      <c r="CL326" s="112" t="s">
        <v>1766</v>
      </c>
      <c r="CM326" s="112" t="s">
        <v>1766</v>
      </c>
      <c r="CN326" s="112" t="s">
        <v>1766</v>
      </c>
      <c r="CO326" s="112" t="s">
        <v>1766</v>
      </c>
    </row>
    <row r="327" spans="1:93">
      <c r="A327" s="106" t="s">
        <v>418</v>
      </c>
      <c r="B327" s="106">
        <v>26</v>
      </c>
      <c r="C327" s="106">
        <v>1</v>
      </c>
      <c r="D327" s="106">
        <v>1</v>
      </c>
      <c r="E327" s="106">
        <v>1</v>
      </c>
      <c r="F327" s="106">
        <v>1</v>
      </c>
      <c r="G327" s="106" t="s">
        <v>66</v>
      </c>
      <c r="H327" s="106" t="s">
        <v>565</v>
      </c>
      <c r="I327" s="106">
        <v>201</v>
      </c>
      <c r="J327" s="106">
        <v>237</v>
      </c>
      <c r="K327" s="106" t="s">
        <v>1420</v>
      </c>
      <c r="L327" s="106" t="s">
        <v>1308</v>
      </c>
      <c r="M327" s="106" t="s">
        <v>1426</v>
      </c>
      <c r="N327" s="106">
        <v>27</v>
      </c>
      <c r="O327" s="106">
        <v>26</v>
      </c>
      <c r="T327" s="106" t="s">
        <v>1766</v>
      </c>
      <c r="V327" s="106">
        <v>43166392.225624204</v>
      </c>
      <c r="W327" s="106">
        <v>1</v>
      </c>
      <c r="X327" s="106">
        <v>1</v>
      </c>
      <c r="Y327" s="106">
        <v>2</v>
      </c>
      <c r="Z327" s="106">
        <v>1</v>
      </c>
      <c r="AA327" s="106">
        <v>8600000</v>
      </c>
      <c r="AB327" s="106">
        <v>8600000</v>
      </c>
      <c r="AC327" s="106">
        <v>17000000</v>
      </c>
      <c r="AD327" s="106">
        <v>8600000</v>
      </c>
      <c r="AE327" s="106">
        <v>42800000</v>
      </c>
      <c r="AF327" s="106">
        <v>42800000</v>
      </c>
      <c r="AH327" s="106">
        <v>777600</v>
      </c>
      <c r="AI327" s="106">
        <v>0.14499999999999999</v>
      </c>
      <c r="AJ327" s="106">
        <v>14</v>
      </c>
      <c r="AK327" s="106">
        <v>7776</v>
      </c>
      <c r="AL327" s="106">
        <v>108864</v>
      </c>
      <c r="AM327" s="106">
        <v>569962</v>
      </c>
      <c r="AN327" s="106">
        <v>569962</v>
      </c>
      <c r="AO327" s="106">
        <v>389280</v>
      </c>
      <c r="AP327" s="106" t="s">
        <v>122</v>
      </c>
      <c r="AQ327" s="106" t="s">
        <v>420</v>
      </c>
      <c r="AR327" s="106">
        <v>4004</v>
      </c>
      <c r="AS327" s="106">
        <v>740000</v>
      </c>
      <c r="AT327" s="106">
        <v>740000</v>
      </c>
      <c r="BD327" s="106">
        <v>0</v>
      </c>
      <c r="BY327" s="112" t="s">
        <v>1766</v>
      </c>
      <c r="BZ327" s="112" t="s">
        <v>1766</v>
      </c>
      <c r="CA327" s="112" t="s">
        <v>1766</v>
      </c>
      <c r="CB327" s="112" t="s">
        <v>1766</v>
      </c>
      <c r="CC327" s="112" t="s">
        <v>1766</v>
      </c>
      <c r="CD327" s="112" t="s">
        <v>1766</v>
      </c>
      <c r="CE327" s="112" t="s">
        <v>1766</v>
      </c>
      <c r="CF327" s="112" t="s">
        <v>1766</v>
      </c>
      <c r="CG327" s="112" t="s">
        <v>1766</v>
      </c>
      <c r="CH327" s="112" t="s">
        <v>1766</v>
      </c>
      <c r="CI327" s="112" t="s">
        <v>1766</v>
      </c>
      <c r="CJ327" s="112" t="s">
        <v>1766</v>
      </c>
      <c r="CK327" s="112" t="s">
        <v>1766</v>
      </c>
      <c r="CL327" s="112" t="s">
        <v>1766</v>
      </c>
      <c r="CM327" s="112" t="s">
        <v>1766</v>
      </c>
      <c r="CN327" s="112" t="s">
        <v>1766</v>
      </c>
      <c r="CO327" s="112" t="s">
        <v>1766</v>
      </c>
    </row>
    <row r="328" spans="1:93">
      <c r="A328" s="106" t="s">
        <v>418</v>
      </c>
      <c r="B328" s="106">
        <v>27</v>
      </c>
      <c r="C328" s="106">
        <v>1</v>
      </c>
      <c r="D328" s="106">
        <v>1</v>
      </c>
      <c r="E328" s="106">
        <v>1</v>
      </c>
      <c r="F328" s="106">
        <v>1</v>
      </c>
      <c r="G328" s="106" t="s">
        <v>66</v>
      </c>
      <c r="H328" s="106" t="s">
        <v>565</v>
      </c>
      <c r="I328" s="106">
        <v>201</v>
      </c>
      <c r="J328" s="106">
        <v>237</v>
      </c>
      <c r="K328" s="106" t="s">
        <v>1420</v>
      </c>
      <c r="L328" s="106" t="s">
        <v>1311</v>
      </c>
      <c r="M328" s="106" t="s">
        <v>1427</v>
      </c>
      <c r="N328" s="106">
        <v>28</v>
      </c>
      <c r="O328" s="106">
        <v>27</v>
      </c>
      <c r="T328" s="106" t="s">
        <v>1766</v>
      </c>
      <c r="V328" s="106">
        <v>55252982.048798896</v>
      </c>
      <c r="W328" s="106">
        <v>1</v>
      </c>
      <c r="X328" s="106">
        <v>1</v>
      </c>
      <c r="Y328" s="106">
        <v>2</v>
      </c>
      <c r="Z328" s="106">
        <v>1</v>
      </c>
      <c r="AA328" s="106">
        <v>11000000</v>
      </c>
      <c r="AB328" s="106">
        <v>11000000</v>
      </c>
      <c r="AC328" s="106">
        <v>22000000</v>
      </c>
      <c r="AD328" s="106">
        <v>11000000</v>
      </c>
      <c r="AE328" s="106">
        <v>55000000</v>
      </c>
      <c r="AF328" s="106">
        <v>55000000</v>
      </c>
      <c r="AH328" s="106">
        <v>950400</v>
      </c>
      <c r="AI328" s="106">
        <v>0.16500000000000001</v>
      </c>
      <c r="AJ328" s="106">
        <v>15</v>
      </c>
      <c r="AK328" s="106">
        <v>9504</v>
      </c>
      <c r="AL328" s="106">
        <v>142560</v>
      </c>
      <c r="AM328" s="106">
        <v>672933</v>
      </c>
      <c r="AN328" s="106">
        <v>672933</v>
      </c>
      <c r="AO328" s="106">
        <v>499786</v>
      </c>
      <c r="AP328" s="106" t="s">
        <v>122</v>
      </c>
      <c r="AQ328" s="106" t="s">
        <v>420</v>
      </c>
      <c r="AR328" s="106">
        <v>4004</v>
      </c>
      <c r="AS328" s="106">
        <v>790000</v>
      </c>
      <c r="AT328" s="106">
        <v>790000</v>
      </c>
      <c r="BD328" s="106">
        <v>0</v>
      </c>
      <c r="BY328" s="112" t="s">
        <v>1766</v>
      </c>
      <c r="BZ328" s="112" t="s">
        <v>1766</v>
      </c>
      <c r="CA328" s="112" t="s">
        <v>1766</v>
      </c>
      <c r="CB328" s="112" t="s">
        <v>1766</v>
      </c>
      <c r="CC328" s="112" t="s">
        <v>1766</v>
      </c>
      <c r="CD328" s="112" t="s">
        <v>1766</v>
      </c>
      <c r="CE328" s="112" t="s">
        <v>1766</v>
      </c>
      <c r="CF328" s="112" t="s">
        <v>1766</v>
      </c>
      <c r="CG328" s="112" t="s">
        <v>1766</v>
      </c>
      <c r="CH328" s="112" t="s">
        <v>1766</v>
      </c>
      <c r="CI328" s="112" t="s">
        <v>1766</v>
      </c>
      <c r="CJ328" s="112" t="s">
        <v>1766</v>
      </c>
      <c r="CK328" s="112" t="s">
        <v>1766</v>
      </c>
      <c r="CL328" s="112" t="s">
        <v>1766</v>
      </c>
      <c r="CM328" s="112" t="s">
        <v>1766</v>
      </c>
      <c r="CN328" s="112" t="s">
        <v>1766</v>
      </c>
      <c r="CO328" s="112" t="s">
        <v>1766</v>
      </c>
    </row>
    <row r="329" spans="1:93">
      <c r="A329" s="106" t="s">
        <v>418</v>
      </c>
      <c r="B329" s="106">
        <v>28</v>
      </c>
      <c r="C329" s="106">
        <v>1</v>
      </c>
      <c r="D329" s="106">
        <v>1</v>
      </c>
      <c r="E329" s="106">
        <v>1</v>
      </c>
      <c r="F329" s="106">
        <v>1</v>
      </c>
      <c r="G329" s="106" t="s">
        <v>66</v>
      </c>
      <c r="H329" s="106" t="s">
        <v>565</v>
      </c>
      <c r="I329" s="106">
        <v>201</v>
      </c>
      <c r="J329" s="106">
        <v>237</v>
      </c>
      <c r="K329" s="106" t="s">
        <v>1420</v>
      </c>
      <c r="L329" s="106" t="s">
        <v>1314</v>
      </c>
      <c r="M329" s="106" t="s">
        <v>1428</v>
      </c>
      <c r="N329" s="106">
        <v>29</v>
      </c>
      <c r="O329" s="106">
        <v>28</v>
      </c>
      <c r="T329" s="106" t="s">
        <v>1766</v>
      </c>
      <c r="V329" s="106">
        <v>70723817.022462606</v>
      </c>
      <c r="W329" s="106">
        <v>1</v>
      </c>
      <c r="X329" s="106">
        <v>1</v>
      </c>
      <c r="Y329" s="106">
        <v>2</v>
      </c>
      <c r="Z329" s="106">
        <v>1</v>
      </c>
      <c r="AA329" s="106">
        <v>14000000</v>
      </c>
      <c r="AB329" s="106">
        <v>14000000</v>
      </c>
      <c r="AC329" s="106">
        <v>28000000</v>
      </c>
      <c r="AD329" s="106">
        <v>14000000</v>
      </c>
      <c r="AE329" s="106">
        <v>70000000</v>
      </c>
      <c r="AF329" s="106">
        <v>70000000</v>
      </c>
      <c r="AH329" s="106">
        <v>1166400</v>
      </c>
      <c r="AI329" s="106">
        <v>0.185</v>
      </c>
      <c r="AJ329" s="106">
        <v>16</v>
      </c>
      <c r="AK329" s="106">
        <v>11664</v>
      </c>
      <c r="AL329" s="106">
        <v>186624</v>
      </c>
      <c r="AM329" s="106">
        <v>797379</v>
      </c>
      <c r="AN329" s="106">
        <v>797379</v>
      </c>
      <c r="AO329" s="106">
        <v>641233</v>
      </c>
      <c r="AP329" s="106" t="s">
        <v>122</v>
      </c>
      <c r="AQ329" s="106" t="s">
        <v>420</v>
      </c>
      <c r="AR329" s="106">
        <v>4004</v>
      </c>
      <c r="AS329" s="106">
        <v>850000</v>
      </c>
      <c r="AT329" s="106">
        <v>850000</v>
      </c>
      <c r="BD329" s="106">
        <v>0</v>
      </c>
      <c r="BY329" s="112" t="s">
        <v>1766</v>
      </c>
      <c r="BZ329" s="112" t="s">
        <v>1766</v>
      </c>
      <c r="CA329" s="112" t="s">
        <v>1766</v>
      </c>
      <c r="CB329" s="112" t="s">
        <v>1766</v>
      </c>
      <c r="CC329" s="112" t="s">
        <v>1766</v>
      </c>
      <c r="CD329" s="112" t="s">
        <v>1766</v>
      </c>
      <c r="CE329" s="112" t="s">
        <v>1766</v>
      </c>
      <c r="CF329" s="112" t="s">
        <v>1766</v>
      </c>
      <c r="CG329" s="112" t="s">
        <v>1766</v>
      </c>
      <c r="CH329" s="112" t="s">
        <v>1766</v>
      </c>
      <c r="CI329" s="112" t="s">
        <v>1766</v>
      </c>
      <c r="CJ329" s="112" t="s">
        <v>1766</v>
      </c>
      <c r="CK329" s="112" t="s">
        <v>1766</v>
      </c>
      <c r="CL329" s="112" t="s">
        <v>1766</v>
      </c>
      <c r="CM329" s="112" t="s">
        <v>1766</v>
      </c>
      <c r="CN329" s="112" t="s">
        <v>1766</v>
      </c>
      <c r="CO329" s="112" t="s">
        <v>1766</v>
      </c>
    </row>
    <row r="330" spans="1:93">
      <c r="A330" s="106" t="s">
        <v>418</v>
      </c>
      <c r="B330" s="106">
        <v>29</v>
      </c>
      <c r="C330" s="106">
        <v>1</v>
      </c>
      <c r="D330" s="106">
        <v>1</v>
      </c>
      <c r="E330" s="106">
        <v>1</v>
      </c>
      <c r="F330" s="106">
        <v>1</v>
      </c>
      <c r="G330" s="106" t="s">
        <v>66</v>
      </c>
      <c r="H330" s="106" t="s">
        <v>565</v>
      </c>
      <c r="I330" s="106">
        <v>201</v>
      </c>
      <c r="J330" s="106">
        <v>237</v>
      </c>
      <c r="K330" s="106" t="s">
        <v>1420</v>
      </c>
      <c r="L330" s="106" t="s">
        <v>1317</v>
      </c>
      <c r="M330" s="106" t="s">
        <v>1429</v>
      </c>
      <c r="N330" s="106">
        <v>30</v>
      </c>
      <c r="O330" s="106">
        <v>29</v>
      </c>
      <c r="T330" s="106" t="s">
        <v>1766</v>
      </c>
      <c r="V330" s="106">
        <v>90526485.788752198</v>
      </c>
      <c r="W330" s="106">
        <v>1</v>
      </c>
      <c r="X330" s="106">
        <v>1</v>
      </c>
      <c r="Y330" s="106">
        <v>2</v>
      </c>
      <c r="Z330" s="106">
        <v>1</v>
      </c>
      <c r="AA330" s="106">
        <v>18000000</v>
      </c>
      <c r="AB330" s="106">
        <v>18000000</v>
      </c>
      <c r="AC330" s="106">
        <v>36000000</v>
      </c>
      <c r="AD330" s="106">
        <v>18000000</v>
      </c>
      <c r="AE330" s="106">
        <v>90000000</v>
      </c>
      <c r="AF330" s="106">
        <v>90000000</v>
      </c>
      <c r="AH330" s="106">
        <v>1425600</v>
      </c>
      <c r="AI330" s="106">
        <v>0.20499999999999999</v>
      </c>
      <c r="AJ330" s="106">
        <v>17</v>
      </c>
      <c r="AK330" s="106">
        <v>14256</v>
      </c>
      <c r="AL330" s="106">
        <v>242352</v>
      </c>
      <c r="AM330" s="106">
        <v>940418</v>
      </c>
      <c r="AN330" s="106">
        <v>940418</v>
      </c>
      <c r="AO330" s="106">
        <v>822286</v>
      </c>
      <c r="AP330" s="106" t="s">
        <v>122</v>
      </c>
      <c r="AQ330" s="106" t="s">
        <v>420</v>
      </c>
      <c r="AR330" s="106">
        <v>4004</v>
      </c>
      <c r="AS330" s="106">
        <v>920000</v>
      </c>
      <c r="AT330" s="106">
        <v>920000</v>
      </c>
      <c r="BD330" s="106">
        <v>0</v>
      </c>
      <c r="BY330" s="112" t="s">
        <v>1766</v>
      </c>
      <c r="BZ330" s="112" t="s">
        <v>1766</v>
      </c>
      <c r="CA330" s="112" t="s">
        <v>1766</v>
      </c>
      <c r="CB330" s="112" t="s">
        <v>1766</v>
      </c>
      <c r="CC330" s="112" t="s">
        <v>1766</v>
      </c>
      <c r="CD330" s="112" t="s">
        <v>1766</v>
      </c>
      <c r="CE330" s="112" t="s">
        <v>1766</v>
      </c>
      <c r="CF330" s="112" t="s">
        <v>1766</v>
      </c>
      <c r="CG330" s="112" t="s">
        <v>1766</v>
      </c>
      <c r="CH330" s="112" t="s">
        <v>1766</v>
      </c>
      <c r="CI330" s="112" t="s">
        <v>1766</v>
      </c>
      <c r="CJ330" s="112" t="s">
        <v>1766</v>
      </c>
      <c r="CK330" s="112" t="s">
        <v>1766</v>
      </c>
      <c r="CL330" s="112" t="s">
        <v>1766</v>
      </c>
      <c r="CM330" s="112" t="s">
        <v>1766</v>
      </c>
      <c r="CN330" s="112" t="s">
        <v>1766</v>
      </c>
      <c r="CO330" s="112" t="s">
        <v>1766</v>
      </c>
    </row>
    <row r="331" spans="1:93">
      <c r="A331" s="106" t="s">
        <v>418</v>
      </c>
      <c r="B331" s="106">
        <v>30</v>
      </c>
      <c r="C331" s="106">
        <v>1</v>
      </c>
      <c r="D331" s="106">
        <v>1</v>
      </c>
      <c r="E331" s="106">
        <v>1</v>
      </c>
      <c r="F331" s="106">
        <v>1</v>
      </c>
      <c r="G331" s="106" t="s">
        <v>66</v>
      </c>
      <c r="H331" s="106" t="s">
        <v>565</v>
      </c>
      <c r="I331" s="106">
        <v>201</v>
      </c>
      <c r="J331" s="106">
        <v>237</v>
      </c>
      <c r="K331" s="106" t="s">
        <v>1420</v>
      </c>
      <c r="L331" s="106" t="s">
        <v>1406</v>
      </c>
      <c r="M331" s="106" t="s">
        <v>1430</v>
      </c>
      <c r="O331" s="106">
        <v>30</v>
      </c>
      <c r="T331" s="106" t="s">
        <v>1766</v>
      </c>
      <c r="V331" s="106">
        <v>115873901.80960301</v>
      </c>
      <c r="W331" s="106">
        <v>1</v>
      </c>
      <c r="X331" s="106">
        <v>1</v>
      </c>
      <c r="Y331" s="106">
        <v>2</v>
      </c>
      <c r="Z331" s="106">
        <v>1</v>
      </c>
      <c r="AA331" s="106">
        <v>23000000</v>
      </c>
      <c r="AB331" s="106">
        <v>23000000</v>
      </c>
      <c r="AC331" s="106">
        <v>46000000</v>
      </c>
      <c r="AD331" s="106">
        <v>23000000</v>
      </c>
      <c r="AE331" s="106">
        <v>115000000</v>
      </c>
      <c r="AF331" s="106">
        <v>115000000</v>
      </c>
      <c r="AH331" s="106">
        <v>1728000</v>
      </c>
      <c r="AI331" s="106">
        <v>0.22500000000000001</v>
      </c>
      <c r="AJ331" s="106">
        <v>18</v>
      </c>
      <c r="AK331" s="106">
        <v>17280</v>
      </c>
      <c r="AL331" s="106">
        <v>311040</v>
      </c>
      <c r="AM331" s="106">
        <v>1099272</v>
      </c>
      <c r="AN331" s="106">
        <v>1099272</v>
      </c>
      <c r="AO331" s="106">
        <v>1054034</v>
      </c>
      <c r="AP331" s="106" t="s">
        <v>122</v>
      </c>
      <c r="AQ331" s="106" t="s">
        <v>420</v>
      </c>
      <c r="AR331" s="106">
        <v>4004</v>
      </c>
      <c r="AS331" s="106">
        <v>1000000</v>
      </c>
      <c r="AT331" s="106">
        <v>1000000</v>
      </c>
      <c r="BD331" s="106">
        <v>0</v>
      </c>
      <c r="BY331" s="112" t="s">
        <v>1766</v>
      </c>
      <c r="BZ331" s="112" t="s">
        <v>1766</v>
      </c>
      <c r="CA331" s="112" t="s">
        <v>1766</v>
      </c>
      <c r="CB331" s="112" t="s">
        <v>1766</v>
      </c>
      <c r="CC331" s="112" t="s">
        <v>1766</v>
      </c>
      <c r="CD331" s="112" t="s">
        <v>1766</v>
      </c>
      <c r="CE331" s="112" t="s">
        <v>1766</v>
      </c>
      <c r="CF331" s="112" t="s">
        <v>1766</v>
      </c>
      <c r="CG331" s="112" t="s">
        <v>1766</v>
      </c>
      <c r="CH331" s="112" t="s">
        <v>1766</v>
      </c>
      <c r="CI331" s="112" t="s">
        <v>1766</v>
      </c>
      <c r="CJ331" s="112" t="s">
        <v>1766</v>
      </c>
      <c r="CK331" s="112" t="s">
        <v>1766</v>
      </c>
      <c r="CL331" s="112" t="s">
        <v>1766</v>
      </c>
      <c r="CM331" s="112" t="s">
        <v>1766</v>
      </c>
      <c r="CN331" s="112" t="s">
        <v>1766</v>
      </c>
      <c r="CO331" s="112" t="s">
        <v>1766</v>
      </c>
    </row>
    <row r="332" spans="1:93">
      <c r="A332" s="106" t="s">
        <v>442</v>
      </c>
      <c r="B332" s="106">
        <v>1</v>
      </c>
      <c r="C332" s="106">
        <v>1</v>
      </c>
      <c r="D332" s="106">
        <v>2</v>
      </c>
      <c r="E332" s="106">
        <v>1</v>
      </c>
      <c r="F332" s="106">
        <v>0</v>
      </c>
      <c r="G332" s="106" t="s">
        <v>66</v>
      </c>
      <c r="I332" s="106">
        <v>201</v>
      </c>
      <c r="J332" s="106" t="s">
        <v>1766</v>
      </c>
      <c r="K332" s="106" t="s">
        <v>1318</v>
      </c>
      <c r="L332" s="106" t="s">
        <v>1320</v>
      </c>
      <c r="M332" s="106" t="s">
        <v>443</v>
      </c>
      <c r="N332" s="106">
        <v>5</v>
      </c>
      <c r="O332" s="106">
        <v>2</v>
      </c>
      <c r="T332" s="106" t="s">
        <v>1766</v>
      </c>
      <c r="V332" s="106">
        <v>0</v>
      </c>
      <c r="W332" s="106">
        <v>0</v>
      </c>
      <c r="X332" s="106">
        <v>0</v>
      </c>
      <c r="Y332" s="106" t="s">
        <v>1766</v>
      </c>
      <c r="Z332" s="106" t="s">
        <v>1766</v>
      </c>
      <c r="AA332" s="106">
        <v>0</v>
      </c>
      <c r="AB332" s="106">
        <v>0</v>
      </c>
      <c r="AC332" s="106">
        <v>0</v>
      </c>
      <c r="AD332" s="106">
        <v>0</v>
      </c>
      <c r="AE332" s="106">
        <v>0</v>
      </c>
      <c r="AF332" s="106">
        <v>0</v>
      </c>
      <c r="AH332" s="106">
        <v>25</v>
      </c>
      <c r="AI332" s="106">
        <v>0</v>
      </c>
      <c r="AJ332" s="106">
        <v>0</v>
      </c>
      <c r="AK332" s="106">
        <v>120</v>
      </c>
      <c r="AL332" s="106">
        <v>0</v>
      </c>
      <c r="AM332" s="106">
        <v>1</v>
      </c>
      <c r="AN332" s="106">
        <v>1</v>
      </c>
      <c r="AO332" s="106">
        <v>6</v>
      </c>
      <c r="AP332" s="106" t="s">
        <v>125</v>
      </c>
      <c r="AQ332" s="106" t="s">
        <v>444</v>
      </c>
      <c r="AR332" s="106">
        <v>3102</v>
      </c>
      <c r="AS332" s="106">
        <v>30000</v>
      </c>
      <c r="AT332" s="106">
        <v>30000</v>
      </c>
      <c r="AU332" s="108" t="s">
        <v>173</v>
      </c>
      <c r="AV332" s="108" t="s">
        <v>445</v>
      </c>
      <c r="AW332" s="108">
        <v>3100</v>
      </c>
      <c r="AX332" s="108">
        <v>0.01</v>
      </c>
      <c r="AY332" s="108">
        <v>0.01</v>
      </c>
      <c r="BD332" s="106">
        <v>0</v>
      </c>
      <c r="BY332" s="112" t="s">
        <v>158</v>
      </c>
      <c r="BZ332" s="112" t="s">
        <v>1431</v>
      </c>
      <c r="CA332" s="112" t="s">
        <v>1778</v>
      </c>
      <c r="CB332" s="112" t="s">
        <v>125</v>
      </c>
      <c r="CC332" s="112">
        <v>12</v>
      </c>
      <c r="CD332" s="112" t="s">
        <v>1798</v>
      </c>
      <c r="CE332" s="112" t="s">
        <v>173</v>
      </c>
      <c r="CF332" s="112">
        <v>28</v>
      </c>
      <c r="CG332" s="112" t="s">
        <v>1766</v>
      </c>
      <c r="CH332" s="112" t="s">
        <v>1766</v>
      </c>
      <c r="CI332" s="112" t="s">
        <v>1766</v>
      </c>
      <c r="CJ332" s="112" t="s">
        <v>1766</v>
      </c>
      <c r="CK332" s="112" t="s">
        <v>1766</v>
      </c>
      <c r="CL332" s="112" t="s">
        <v>1766</v>
      </c>
      <c r="CM332" s="112" t="s">
        <v>1766</v>
      </c>
      <c r="CN332" s="112" t="s">
        <v>1766</v>
      </c>
      <c r="CO332" s="112" t="s">
        <v>1766</v>
      </c>
    </row>
    <row r="333" spans="1:93">
      <c r="A333" s="106" t="s">
        <v>442</v>
      </c>
      <c r="B333" s="106">
        <v>2</v>
      </c>
      <c r="C333" s="106">
        <v>1</v>
      </c>
      <c r="D333" s="106">
        <v>2</v>
      </c>
      <c r="E333" s="106">
        <v>1</v>
      </c>
      <c r="F333" s="106">
        <v>1</v>
      </c>
      <c r="G333" s="106" t="s">
        <v>66</v>
      </c>
      <c r="I333" s="106">
        <v>201</v>
      </c>
      <c r="J333" s="106" t="s">
        <v>1766</v>
      </c>
      <c r="K333" s="106" t="s">
        <v>1318</v>
      </c>
      <c r="L333" s="106" t="s">
        <v>1320</v>
      </c>
      <c r="M333" s="106" t="s">
        <v>450</v>
      </c>
      <c r="N333" s="106">
        <v>5</v>
      </c>
      <c r="O333" s="106">
        <v>2</v>
      </c>
      <c r="T333" s="106" t="s">
        <v>1766</v>
      </c>
      <c r="V333" s="106">
        <v>6000</v>
      </c>
      <c r="W333" s="106">
        <v>1</v>
      </c>
      <c r="X333" s="106">
        <v>1</v>
      </c>
      <c r="Y333" s="106" t="s">
        <v>1766</v>
      </c>
      <c r="Z333" s="106" t="s">
        <v>1766</v>
      </c>
      <c r="AA333" s="106">
        <v>3000</v>
      </c>
      <c r="AB333" s="106">
        <v>3000</v>
      </c>
      <c r="AC333" s="106">
        <v>0</v>
      </c>
      <c r="AD333" s="106">
        <v>0</v>
      </c>
      <c r="AE333" s="106">
        <v>6000</v>
      </c>
      <c r="AF333" s="106">
        <v>6000</v>
      </c>
      <c r="AH333" s="106">
        <v>108</v>
      </c>
      <c r="AI333" s="106">
        <v>0</v>
      </c>
      <c r="AJ333" s="106">
        <v>0</v>
      </c>
      <c r="AK333" s="106">
        <v>120</v>
      </c>
      <c r="AL333" s="106">
        <v>0</v>
      </c>
      <c r="AM333" s="106">
        <v>1</v>
      </c>
      <c r="AN333" s="106">
        <v>1</v>
      </c>
      <c r="AO333" s="106">
        <v>18</v>
      </c>
      <c r="AP333" s="106" t="s">
        <v>125</v>
      </c>
      <c r="AQ333" s="106" t="s">
        <v>444</v>
      </c>
      <c r="AR333" s="106">
        <v>3102</v>
      </c>
      <c r="AS333" s="106">
        <v>35000</v>
      </c>
      <c r="AT333" s="106">
        <v>35000</v>
      </c>
      <c r="AU333" s="108" t="s">
        <v>173</v>
      </c>
      <c r="AV333" s="108" t="s">
        <v>445</v>
      </c>
      <c r="AW333" s="108">
        <v>3100</v>
      </c>
      <c r="AX333" s="108">
        <v>0.02</v>
      </c>
      <c r="AY333" s="108">
        <v>0.02</v>
      </c>
      <c r="BD333" s="106">
        <v>0</v>
      </c>
      <c r="BY333" s="112" t="s">
        <v>1766</v>
      </c>
      <c r="BZ333" s="112" t="s">
        <v>1766</v>
      </c>
      <c r="CA333" s="112" t="s">
        <v>1766</v>
      </c>
      <c r="CB333" s="112" t="s">
        <v>1766</v>
      </c>
      <c r="CC333" s="112" t="s">
        <v>1766</v>
      </c>
      <c r="CD333" s="112" t="s">
        <v>1766</v>
      </c>
      <c r="CE333" s="112" t="s">
        <v>1766</v>
      </c>
      <c r="CF333" s="112" t="s">
        <v>1766</v>
      </c>
      <c r="CG333" s="112" t="s">
        <v>1766</v>
      </c>
      <c r="CH333" s="112" t="s">
        <v>1766</v>
      </c>
      <c r="CI333" s="112" t="s">
        <v>1766</v>
      </c>
      <c r="CJ333" s="112" t="s">
        <v>1766</v>
      </c>
      <c r="CK333" s="112" t="s">
        <v>1766</v>
      </c>
      <c r="CL333" s="112" t="s">
        <v>1766</v>
      </c>
      <c r="CM333" s="112" t="s">
        <v>1766</v>
      </c>
      <c r="CN333" s="112" t="s">
        <v>1766</v>
      </c>
      <c r="CO333" s="112" t="s">
        <v>1766</v>
      </c>
    </row>
    <row r="334" spans="1:93">
      <c r="A334" s="106" t="s">
        <v>442</v>
      </c>
      <c r="B334" s="106">
        <v>3</v>
      </c>
      <c r="C334" s="106">
        <v>1</v>
      </c>
      <c r="D334" s="106">
        <v>2</v>
      </c>
      <c r="E334" s="106">
        <v>1</v>
      </c>
      <c r="F334" s="106">
        <v>1</v>
      </c>
      <c r="G334" s="106" t="s">
        <v>66</v>
      </c>
      <c r="I334" s="106">
        <v>201</v>
      </c>
      <c r="J334" s="106" t="s">
        <v>1766</v>
      </c>
      <c r="K334" s="106" t="s">
        <v>1318</v>
      </c>
      <c r="L334" s="106" t="s">
        <v>1321</v>
      </c>
      <c r="M334" s="106" t="s">
        <v>451</v>
      </c>
      <c r="N334" s="106">
        <v>5</v>
      </c>
      <c r="O334" s="106">
        <v>3</v>
      </c>
      <c r="T334" s="106" t="s">
        <v>1766</v>
      </c>
      <c r="V334" s="106">
        <v>12000</v>
      </c>
      <c r="W334" s="106">
        <v>1</v>
      </c>
      <c r="X334" s="106">
        <v>1</v>
      </c>
      <c r="Y334" s="106" t="s">
        <v>1766</v>
      </c>
      <c r="Z334" s="106" t="s">
        <v>1766</v>
      </c>
      <c r="AA334" s="106">
        <v>6000</v>
      </c>
      <c r="AB334" s="106">
        <v>6000</v>
      </c>
      <c r="AC334" s="106">
        <v>0</v>
      </c>
      <c r="AD334" s="106">
        <v>0</v>
      </c>
      <c r="AE334" s="106">
        <v>12000</v>
      </c>
      <c r="AF334" s="106">
        <v>12000</v>
      </c>
      <c r="AH334" s="106">
        <v>216</v>
      </c>
      <c r="AI334" s="106">
        <v>0</v>
      </c>
      <c r="AJ334" s="106">
        <v>1</v>
      </c>
      <c r="AK334" s="106">
        <v>120</v>
      </c>
      <c r="AL334" s="106">
        <v>120</v>
      </c>
      <c r="AM334" s="106">
        <v>1</v>
      </c>
      <c r="AN334" s="106">
        <v>1</v>
      </c>
      <c r="AO334" s="106">
        <v>42</v>
      </c>
      <c r="AP334" s="106" t="s">
        <v>125</v>
      </c>
      <c r="AQ334" s="106" t="s">
        <v>444</v>
      </c>
      <c r="AR334" s="106">
        <v>3102</v>
      </c>
      <c r="AS334" s="106">
        <v>40000</v>
      </c>
      <c r="AT334" s="106">
        <v>40000</v>
      </c>
      <c r="AU334" s="108" t="s">
        <v>173</v>
      </c>
      <c r="AV334" s="108" t="s">
        <v>445</v>
      </c>
      <c r="AW334" s="108">
        <v>3100</v>
      </c>
      <c r="AX334" s="108">
        <v>0.03</v>
      </c>
      <c r="AY334" s="108">
        <v>0.03</v>
      </c>
      <c r="BD334" s="106">
        <v>0</v>
      </c>
      <c r="BY334" s="112" t="s">
        <v>1766</v>
      </c>
      <c r="BZ334" s="112" t="s">
        <v>1766</v>
      </c>
      <c r="CA334" s="112" t="s">
        <v>1766</v>
      </c>
      <c r="CB334" s="112" t="s">
        <v>1766</v>
      </c>
      <c r="CC334" s="112" t="s">
        <v>1766</v>
      </c>
      <c r="CD334" s="112" t="s">
        <v>1766</v>
      </c>
      <c r="CE334" s="112" t="s">
        <v>1766</v>
      </c>
      <c r="CF334" s="112" t="s">
        <v>1766</v>
      </c>
      <c r="CG334" s="112" t="s">
        <v>1766</v>
      </c>
      <c r="CH334" s="112" t="s">
        <v>1766</v>
      </c>
      <c r="CI334" s="112" t="s">
        <v>1766</v>
      </c>
      <c r="CJ334" s="112" t="s">
        <v>1766</v>
      </c>
      <c r="CK334" s="112" t="s">
        <v>1766</v>
      </c>
      <c r="CL334" s="112" t="s">
        <v>1766</v>
      </c>
      <c r="CM334" s="112" t="s">
        <v>1766</v>
      </c>
      <c r="CN334" s="112" t="s">
        <v>1766</v>
      </c>
      <c r="CO334" s="112" t="s">
        <v>1766</v>
      </c>
    </row>
    <row r="335" spans="1:93">
      <c r="A335" s="106" t="s">
        <v>442</v>
      </c>
      <c r="B335" s="106">
        <v>4</v>
      </c>
      <c r="C335" s="106">
        <v>1</v>
      </c>
      <c r="D335" s="106">
        <v>2</v>
      </c>
      <c r="E335" s="106">
        <v>1</v>
      </c>
      <c r="F335" s="106">
        <v>1</v>
      </c>
      <c r="G335" s="106" t="s">
        <v>66</v>
      </c>
      <c r="I335" s="106">
        <v>201</v>
      </c>
      <c r="J335" s="106" t="s">
        <v>1766</v>
      </c>
      <c r="K335" s="106" t="s">
        <v>1318</v>
      </c>
      <c r="L335" s="106" t="s">
        <v>1322</v>
      </c>
      <c r="M335" s="106" t="s">
        <v>452</v>
      </c>
      <c r="N335" s="106">
        <v>5</v>
      </c>
      <c r="O335" s="106">
        <v>4</v>
      </c>
      <c r="T335" s="106" t="s">
        <v>1766</v>
      </c>
      <c r="V335" s="106">
        <v>24000</v>
      </c>
      <c r="W335" s="106">
        <v>1</v>
      </c>
      <c r="X335" s="106">
        <v>1</v>
      </c>
      <c r="Y335" s="106" t="s">
        <v>1766</v>
      </c>
      <c r="Z335" s="106" t="s">
        <v>1766</v>
      </c>
      <c r="AA335" s="106">
        <v>12000</v>
      </c>
      <c r="AB335" s="106">
        <v>12000</v>
      </c>
      <c r="AC335" s="106">
        <v>0</v>
      </c>
      <c r="AD335" s="106">
        <v>0</v>
      </c>
      <c r="AE335" s="106">
        <v>24000</v>
      </c>
      <c r="AF335" s="106">
        <v>24000</v>
      </c>
      <c r="AH335" s="106">
        <v>432</v>
      </c>
      <c r="AI335" s="106">
        <v>0</v>
      </c>
      <c r="AJ335" s="106">
        <v>1</v>
      </c>
      <c r="AK335" s="106">
        <v>120</v>
      </c>
      <c r="AL335" s="106">
        <v>120</v>
      </c>
      <c r="AM335" s="106">
        <v>12</v>
      </c>
      <c r="AN335" s="106">
        <v>12</v>
      </c>
      <c r="AO335" s="106">
        <v>90</v>
      </c>
      <c r="AP335" s="106" t="s">
        <v>125</v>
      </c>
      <c r="AQ335" s="106" t="s">
        <v>444</v>
      </c>
      <c r="AR335" s="106">
        <v>3102</v>
      </c>
      <c r="AS335" s="106">
        <v>45000</v>
      </c>
      <c r="AT335" s="106">
        <v>45000</v>
      </c>
      <c r="AU335" s="108" t="s">
        <v>173</v>
      </c>
      <c r="AV335" s="108" t="s">
        <v>445</v>
      </c>
      <c r="AW335" s="108">
        <v>3100</v>
      </c>
      <c r="AX335" s="108">
        <v>0.04</v>
      </c>
      <c r="AY335" s="108">
        <v>0.04</v>
      </c>
      <c r="BD335" s="106">
        <v>0</v>
      </c>
      <c r="BY335" s="112" t="s">
        <v>1766</v>
      </c>
      <c r="BZ335" s="112" t="s">
        <v>1766</v>
      </c>
      <c r="CA335" s="112" t="s">
        <v>1766</v>
      </c>
      <c r="CB335" s="112" t="s">
        <v>1766</v>
      </c>
      <c r="CC335" s="112" t="s">
        <v>1766</v>
      </c>
      <c r="CD335" s="112" t="s">
        <v>1766</v>
      </c>
      <c r="CE335" s="112" t="s">
        <v>1766</v>
      </c>
      <c r="CF335" s="112" t="s">
        <v>1766</v>
      </c>
      <c r="CG335" s="112" t="s">
        <v>1766</v>
      </c>
      <c r="CH335" s="112" t="s">
        <v>1766</v>
      </c>
      <c r="CI335" s="112" t="s">
        <v>1766</v>
      </c>
      <c r="CJ335" s="112" t="s">
        <v>1766</v>
      </c>
      <c r="CK335" s="112" t="s">
        <v>1766</v>
      </c>
      <c r="CL335" s="112" t="s">
        <v>1766</v>
      </c>
      <c r="CM335" s="112" t="s">
        <v>1766</v>
      </c>
      <c r="CN335" s="112" t="s">
        <v>1766</v>
      </c>
      <c r="CO335" s="112" t="s">
        <v>1766</v>
      </c>
    </row>
    <row r="336" spans="1:93">
      <c r="A336" s="106" t="s">
        <v>442</v>
      </c>
      <c r="B336" s="106">
        <v>5</v>
      </c>
      <c r="C336" s="106">
        <v>1</v>
      </c>
      <c r="D336" s="106">
        <v>2</v>
      </c>
      <c r="E336" s="106">
        <v>1</v>
      </c>
      <c r="F336" s="106">
        <v>1</v>
      </c>
      <c r="G336" s="106" t="s">
        <v>66</v>
      </c>
      <c r="I336" s="106">
        <v>201</v>
      </c>
      <c r="J336" s="106" t="s">
        <v>1766</v>
      </c>
      <c r="K336" s="106" t="s">
        <v>1318</v>
      </c>
      <c r="L336" s="106" t="s">
        <v>1323</v>
      </c>
      <c r="M336" s="106" t="s">
        <v>453</v>
      </c>
      <c r="N336" s="106">
        <v>11</v>
      </c>
      <c r="O336" s="106">
        <v>5</v>
      </c>
      <c r="T336" s="106" t="s">
        <v>1766</v>
      </c>
      <c r="V336" s="106">
        <v>46320</v>
      </c>
      <c r="W336" s="106">
        <v>1</v>
      </c>
      <c r="X336" s="106">
        <v>1</v>
      </c>
      <c r="Y336" s="106">
        <v>1</v>
      </c>
      <c r="Z336" s="106" t="s">
        <v>1766</v>
      </c>
      <c r="AA336" s="106">
        <v>15000</v>
      </c>
      <c r="AB336" s="106">
        <v>15000</v>
      </c>
      <c r="AC336" s="106">
        <v>15000</v>
      </c>
      <c r="AD336" s="106">
        <v>0</v>
      </c>
      <c r="AE336" s="106">
        <v>45000</v>
      </c>
      <c r="AF336" s="106">
        <v>45000</v>
      </c>
      <c r="AH336" s="106">
        <v>900</v>
      </c>
      <c r="AI336" s="106">
        <v>0</v>
      </c>
      <c r="AJ336" s="106">
        <v>2</v>
      </c>
      <c r="AK336" s="106">
        <v>120</v>
      </c>
      <c r="AL336" s="106">
        <v>240</v>
      </c>
      <c r="AM336" s="106">
        <v>360</v>
      </c>
      <c r="AN336" s="106">
        <v>360</v>
      </c>
      <c r="AO336" s="106">
        <v>182</v>
      </c>
      <c r="AP336" s="106" t="s">
        <v>125</v>
      </c>
      <c r="AQ336" s="106" t="s">
        <v>444</v>
      </c>
      <c r="AR336" s="106">
        <v>3102</v>
      </c>
      <c r="AS336" s="106">
        <v>50000</v>
      </c>
      <c r="AT336" s="106">
        <v>50000</v>
      </c>
      <c r="AU336" s="108" t="s">
        <v>173</v>
      </c>
      <c r="AV336" s="108" t="s">
        <v>445</v>
      </c>
      <c r="AW336" s="108">
        <v>3100</v>
      </c>
      <c r="AX336" s="108">
        <v>0.05</v>
      </c>
      <c r="AY336" s="108">
        <v>0.05</v>
      </c>
      <c r="BD336" s="106">
        <v>0</v>
      </c>
      <c r="BY336" s="112" t="s">
        <v>1766</v>
      </c>
      <c r="BZ336" s="112" t="s">
        <v>1766</v>
      </c>
      <c r="CA336" s="112" t="s">
        <v>1766</v>
      </c>
      <c r="CB336" s="112" t="s">
        <v>1766</v>
      </c>
      <c r="CC336" s="112" t="s">
        <v>1766</v>
      </c>
      <c r="CD336" s="112" t="s">
        <v>1766</v>
      </c>
      <c r="CE336" s="112" t="s">
        <v>1766</v>
      </c>
      <c r="CF336" s="112" t="s">
        <v>1766</v>
      </c>
      <c r="CG336" s="112" t="s">
        <v>1766</v>
      </c>
      <c r="CH336" s="112" t="s">
        <v>1766</v>
      </c>
      <c r="CI336" s="112" t="s">
        <v>1766</v>
      </c>
      <c r="CJ336" s="112" t="s">
        <v>1766</v>
      </c>
      <c r="CK336" s="112" t="s">
        <v>1766</v>
      </c>
      <c r="CL336" s="112" t="s">
        <v>1766</v>
      </c>
      <c r="CM336" s="112" t="s">
        <v>1766</v>
      </c>
      <c r="CN336" s="112" t="s">
        <v>1766</v>
      </c>
      <c r="CO336" s="112" t="s">
        <v>1766</v>
      </c>
    </row>
    <row r="337" spans="1:93">
      <c r="A337" s="106" t="s">
        <v>442</v>
      </c>
      <c r="B337" s="106">
        <v>6</v>
      </c>
      <c r="C337" s="106">
        <v>1</v>
      </c>
      <c r="D337" s="106">
        <v>2</v>
      </c>
      <c r="E337" s="106">
        <v>1</v>
      </c>
      <c r="F337" s="106">
        <v>1</v>
      </c>
      <c r="G337" s="106" t="s">
        <v>66</v>
      </c>
      <c r="I337" s="106">
        <v>201</v>
      </c>
      <c r="J337" s="106" t="s">
        <v>1766</v>
      </c>
      <c r="K337" s="106" t="s">
        <v>1318</v>
      </c>
      <c r="L337" s="106" t="s">
        <v>1324</v>
      </c>
      <c r="M337" s="106" t="s">
        <v>454</v>
      </c>
      <c r="N337" s="106">
        <v>11</v>
      </c>
      <c r="O337" s="106">
        <v>6</v>
      </c>
      <c r="T337" s="106" t="s">
        <v>1766</v>
      </c>
      <c r="V337" s="106">
        <v>86155.199999999997</v>
      </c>
      <c r="W337" s="106">
        <v>1</v>
      </c>
      <c r="X337" s="106">
        <v>1</v>
      </c>
      <c r="Y337" s="106">
        <v>1</v>
      </c>
      <c r="Z337" s="106" t="s">
        <v>1766</v>
      </c>
      <c r="AA337" s="106">
        <v>29000</v>
      </c>
      <c r="AB337" s="106">
        <v>29000</v>
      </c>
      <c r="AC337" s="106">
        <v>29000</v>
      </c>
      <c r="AD337" s="106">
        <v>0</v>
      </c>
      <c r="AE337" s="106">
        <v>87000</v>
      </c>
      <c r="AF337" s="106">
        <v>87000</v>
      </c>
      <c r="AH337" s="106">
        <v>1620</v>
      </c>
      <c r="AI337" s="106">
        <v>0</v>
      </c>
      <c r="AJ337" s="106">
        <v>2</v>
      </c>
      <c r="AK337" s="106">
        <v>120</v>
      </c>
      <c r="AL337" s="106">
        <v>240</v>
      </c>
      <c r="AM337" s="106">
        <v>1080</v>
      </c>
      <c r="AN337" s="106">
        <v>1080</v>
      </c>
      <c r="AO337" s="106">
        <v>354</v>
      </c>
      <c r="AP337" s="106" t="s">
        <v>125</v>
      </c>
      <c r="AQ337" s="106" t="s">
        <v>444</v>
      </c>
      <c r="AR337" s="106">
        <v>3102</v>
      </c>
      <c r="AS337" s="106">
        <v>55000</v>
      </c>
      <c r="AT337" s="106">
        <v>55000</v>
      </c>
      <c r="AU337" s="108" t="s">
        <v>173</v>
      </c>
      <c r="AV337" s="108" t="s">
        <v>445</v>
      </c>
      <c r="AW337" s="108">
        <v>3100</v>
      </c>
      <c r="AX337" s="108">
        <v>0.06</v>
      </c>
      <c r="AY337" s="108">
        <v>0.06</v>
      </c>
      <c r="BD337" s="106">
        <v>0</v>
      </c>
      <c r="BY337" s="112" t="s">
        <v>1766</v>
      </c>
      <c r="BZ337" s="112" t="s">
        <v>1766</v>
      </c>
      <c r="CA337" s="112" t="s">
        <v>1766</v>
      </c>
      <c r="CB337" s="112" t="s">
        <v>1766</v>
      </c>
      <c r="CC337" s="112" t="s">
        <v>1766</v>
      </c>
      <c r="CD337" s="112" t="s">
        <v>1766</v>
      </c>
      <c r="CE337" s="112" t="s">
        <v>1766</v>
      </c>
      <c r="CF337" s="112" t="s">
        <v>1766</v>
      </c>
      <c r="CG337" s="112" t="s">
        <v>1766</v>
      </c>
      <c r="CH337" s="112" t="s">
        <v>1766</v>
      </c>
      <c r="CI337" s="112" t="s">
        <v>1766</v>
      </c>
      <c r="CJ337" s="112" t="s">
        <v>1766</v>
      </c>
      <c r="CK337" s="112" t="s">
        <v>1766</v>
      </c>
      <c r="CL337" s="112" t="s">
        <v>1766</v>
      </c>
      <c r="CM337" s="112" t="s">
        <v>1766</v>
      </c>
      <c r="CN337" s="112" t="s">
        <v>1766</v>
      </c>
      <c r="CO337" s="112" t="s">
        <v>1766</v>
      </c>
    </row>
    <row r="338" spans="1:93">
      <c r="A338" s="106" t="s">
        <v>442</v>
      </c>
      <c r="B338" s="106">
        <v>7</v>
      </c>
      <c r="C338" s="106">
        <v>1</v>
      </c>
      <c r="D338" s="106">
        <v>2</v>
      </c>
      <c r="E338" s="106">
        <v>1</v>
      </c>
      <c r="F338" s="106">
        <v>1</v>
      </c>
      <c r="G338" s="106" t="s">
        <v>66</v>
      </c>
      <c r="I338" s="106">
        <v>201</v>
      </c>
      <c r="J338" s="106" t="s">
        <v>1766</v>
      </c>
      <c r="K338" s="106" t="s">
        <v>1318</v>
      </c>
      <c r="L338" s="106" t="s">
        <v>1325</v>
      </c>
      <c r="M338" s="106" t="s">
        <v>455</v>
      </c>
      <c r="N338" s="106">
        <v>11</v>
      </c>
      <c r="O338" s="106">
        <v>7</v>
      </c>
      <c r="T338" s="106" t="s">
        <v>1766</v>
      </c>
      <c r="V338" s="106">
        <v>154217.80799999999</v>
      </c>
      <c r="W338" s="106">
        <v>1</v>
      </c>
      <c r="X338" s="106">
        <v>1</v>
      </c>
      <c r="Y338" s="106">
        <v>1</v>
      </c>
      <c r="Z338" s="106" t="s">
        <v>1766</v>
      </c>
      <c r="AA338" s="106">
        <v>51000</v>
      </c>
      <c r="AB338" s="106">
        <v>51000</v>
      </c>
      <c r="AC338" s="106">
        <v>51000</v>
      </c>
      <c r="AD338" s="106">
        <v>0</v>
      </c>
      <c r="AE338" s="106">
        <v>153000</v>
      </c>
      <c r="AF338" s="106">
        <v>153000</v>
      </c>
      <c r="AH338" s="106">
        <v>2700</v>
      </c>
      <c r="AI338" s="106">
        <v>0</v>
      </c>
      <c r="AJ338" s="106">
        <v>3</v>
      </c>
      <c r="AK338" s="106">
        <v>120</v>
      </c>
      <c r="AL338" s="106">
        <v>360</v>
      </c>
      <c r="AM338" s="106">
        <v>2040</v>
      </c>
      <c r="AN338" s="106">
        <v>2040</v>
      </c>
      <c r="AO338" s="106">
        <v>663</v>
      </c>
      <c r="AP338" s="106" t="s">
        <v>125</v>
      </c>
      <c r="AQ338" s="106" t="s">
        <v>444</v>
      </c>
      <c r="AR338" s="106">
        <v>3102</v>
      </c>
      <c r="AS338" s="106">
        <v>60000</v>
      </c>
      <c r="AT338" s="106">
        <v>60000</v>
      </c>
      <c r="AU338" s="108" t="s">
        <v>173</v>
      </c>
      <c r="AV338" s="108" t="s">
        <v>445</v>
      </c>
      <c r="AW338" s="108">
        <v>3100</v>
      </c>
      <c r="AX338" s="108">
        <v>7.0000000000000007E-2</v>
      </c>
      <c r="AY338" s="108">
        <v>7.0000000000000007E-2</v>
      </c>
      <c r="BD338" s="106">
        <v>0</v>
      </c>
      <c r="BY338" s="112" t="s">
        <v>1766</v>
      </c>
      <c r="BZ338" s="112" t="s">
        <v>1766</v>
      </c>
      <c r="CA338" s="112" t="s">
        <v>1766</v>
      </c>
      <c r="CB338" s="112" t="s">
        <v>1766</v>
      </c>
      <c r="CC338" s="112" t="s">
        <v>1766</v>
      </c>
      <c r="CD338" s="112" t="s">
        <v>1766</v>
      </c>
      <c r="CE338" s="112" t="s">
        <v>1766</v>
      </c>
      <c r="CF338" s="112" t="s">
        <v>1766</v>
      </c>
      <c r="CG338" s="112" t="s">
        <v>1766</v>
      </c>
      <c r="CH338" s="112" t="s">
        <v>1766</v>
      </c>
      <c r="CI338" s="112" t="s">
        <v>1766</v>
      </c>
      <c r="CJ338" s="112" t="s">
        <v>1766</v>
      </c>
      <c r="CK338" s="112" t="s">
        <v>1766</v>
      </c>
      <c r="CL338" s="112" t="s">
        <v>1766</v>
      </c>
      <c r="CM338" s="112" t="s">
        <v>1766</v>
      </c>
      <c r="CN338" s="112" t="s">
        <v>1766</v>
      </c>
      <c r="CO338" s="112" t="s">
        <v>1766</v>
      </c>
    </row>
    <row r="339" spans="1:93">
      <c r="A339" s="106" t="s">
        <v>442</v>
      </c>
      <c r="B339" s="106">
        <v>8</v>
      </c>
      <c r="C339" s="106">
        <v>1</v>
      </c>
      <c r="D339" s="106">
        <v>2</v>
      </c>
      <c r="E339" s="106">
        <v>1</v>
      </c>
      <c r="F339" s="106">
        <v>1</v>
      </c>
      <c r="G339" s="106" t="s">
        <v>66</v>
      </c>
      <c r="I339" s="106">
        <v>201</v>
      </c>
      <c r="J339" s="106" t="s">
        <v>1766</v>
      </c>
      <c r="K339" s="106" t="s">
        <v>1318</v>
      </c>
      <c r="L339" s="106" t="s">
        <v>1326</v>
      </c>
      <c r="M339" s="106" t="s">
        <v>456</v>
      </c>
      <c r="N339" s="106">
        <v>11</v>
      </c>
      <c r="O339" s="106">
        <v>8</v>
      </c>
      <c r="T339" s="106" t="s">
        <v>1766</v>
      </c>
      <c r="V339" s="106">
        <v>265254.62975999998</v>
      </c>
      <c r="W339" s="106">
        <v>1</v>
      </c>
      <c r="X339" s="106">
        <v>1</v>
      </c>
      <c r="Y339" s="106">
        <v>1</v>
      </c>
      <c r="Z339" s="106" t="s">
        <v>1766</v>
      </c>
      <c r="AA339" s="106">
        <v>88000</v>
      </c>
      <c r="AB339" s="106">
        <v>88000</v>
      </c>
      <c r="AC339" s="106">
        <v>88000</v>
      </c>
      <c r="AD339" s="106">
        <v>0</v>
      </c>
      <c r="AE339" s="106">
        <v>264000</v>
      </c>
      <c r="AF339" s="106">
        <v>264000</v>
      </c>
      <c r="AH339" s="106">
        <v>4320</v>
      </c>
      <c r="AI339" s="106">
        <v>0</v>
      </c>
      <c r="AJ339" s="106">
        <v>3</v>
      </c>
      <c r="AK339" s="106">
        <v>120</v>
      </c>
      <c r="AL339" s="106">
        <v>360</v>
      </c>
      <c r="AM339" s="106">
        <v>3660</v>
      </c>
      <c r="AN339" s="106">
        <v>3660</v>
      </c>
      <c r="AO339" s="106">
        <v>1193</v>
      </c>
      <c r="AP339" s="106" t="s">
        <v>125</v>
      </c>
      <c r="AQ339" s="106" t="s">
        <v>444</v>
      </c>
      <c r="AR339" s="106">
        <v>3102</v>
      </c>
      <c r="AS339" s="106">
        <v>65000</v>
      </c>
      <c r="AT339" s="106">
        <v>65000</v>
      </c>
      <c r="AU339" s="108" t="s">
        <v>173</v>
      </c>
      <c r="AV339" s="108" t="s">
        <v>445</v>
      </c>
      <c r="AW339" s="108">
        <v>3100</v>
      </c>
      <c r="AX339" s="108">
        <v>0.08</v>
      </c>
      <c r="AY339" s="108">
        <v>0.08</v>
      </c>
      <c r="BD339" s="106">
        <v>0</v>
      </c>
      <c r="BY339" s="112" t="s">
        <v>1766</v>
      </c>
      <c r="BZ339" s="112" t="s">
        <v>1766</v>
      </c>
      <c r="CA339" s="112" t="s">
        <v>1766</v>
      </c>
      <c r="CB339" s="112" t="s">
        <v>1766</v>
      </c>
      <c r="CC339" s="112" t="s">
        <v>1766</v>
      </c>
      <c r="CD339" s="112" t="s">
        <v>1766</v>
      </c>
      <c r="CE339" s="112" t="s">
        <v>1766</v>
      </c>
      <c r="CF339" s="112" t="s">
        <v>1766</v>
      </c>
      <c r="CG339" s="112" t="s">
        <v>1766</v>
      </c>
      <c r="CH339" s="112" t="s">
        <v>1766</v>
      </c>
      <c r="CI339" s="112" t="s">
        <v>1766</v>
      </c>
      <c r="CJ339" s="112" t="s">
        <v>1766</v>
      </c>
      <c r="CK339" s="112" t="s">
        <v>1766</v>
      </c>
      <c r="CL339" s="112" t="s">
        <v>1766</v>
      </c>
      <c r="CM339" s="112" t="s">
        <v>1766</v>
      </c>
      <c r="CN339" s="112" t="s">
        <v>1766</v>
      </c>
      <c r="CO339" s="112" t="s">
        <v>1766</v>
      </c>
    </row>
    <row r="340" spans="1:93">
      <c r="A340" s="106" t="s">
        <v>442</v>
      </c>
      <c r="B340" s="106">
        <v>9</v>
      </c>
      <c r="C340" s="106">
        <v>1</v>
      </c>
      <c r="D340" s="106">
        <v>2</v>
      </c>
      <c r="E340" s="106">
        <v>1</v>
      </c>
      <c r="F340" s="106">
        <v>1</v>
      </c>
      <c r="G340" s="106" t="s">
        <v>66</v>
      </c>
      <c r="I340" s="106">
        <v>201</v>
      </c>
      <c r="J340" s="106" t="s">
        <v>1766</v>
      </c>
      <c r="K340" s="106" t="s">
        <v>1318</v>
      </c>
      <c r="L340" s="106" t="s">
        <v>1327</v>
      </c>
      <c r="M340" s="106" t="s">
        <v>457</v>
      </c>
      <c r="N340" s="106">
        <v>11</v>
      </c>
      <c r="O340" s="106">
        <v>9</v>
      </c>
      <c r="T340" s="106" t="s">
        <v>1766</v>
      </c>
      <c r="V340" s="106">
        <v>437670.139104</v>
      </c>
      <c r="W340" s="106">
        <v>1</v>
      </c>
      <c r="X340" s="106">
        <v>1</v>
      </c>
      <c r="Y340" s="106">
        <v>1</v>
      </c>
      <c r="Z340" s="106" t="s">
        <v>1766</v>
      </c>
      <c r="AA340" s="106">
        <v>150000</v>
      </c>
      <c r="AB340" s="106">
        <v>150000</v>
      </c>
      <c r="AC340" s="106">
        <v>150000</v>
      </c>
      <c r="AD340" s="106">
        <v>0</v>
      </c>
      <c r="AE340" s="106">
        <v>450000</v>
      </c>
      <c r="AF340" s="106">
        <v>450000</v>
      </c>
      <c r="AH340" s="106">
        <v>8640</v>
      </c>
      <c r="AI340" s="106">
        <v>0</v>
      </c>
      <c r="AJ340" s="106">
        <v>4</v>
      </c>
      <c r="AK340" s="106">
        <v>120</v>
      </c>
      <c r="AL340" s="106">
        <v>480</v>
      </c>
      <c r="AM340" s="106">
        <v>7860</v>
      </c>
      <c r="AN340" s="106">
        <v>7860</v>
      </c>
      <c r="AO340" s="106">
        <v>2069</v>
      </c>
      <c r="AP340" s="106" t="s">
        <v>125</v>
      </c>
      <c r="AQ340" s="106" t="s">
        <v>444</v>
      </c>
      <c r="AR340" s="106">
        <v>3102</v>
      </c>
      <c r="AS340" s="106">
        <v>70000</v>
      </c>
      <c r="AT340" s="106">
        <v>70000</v>
      </c>
      <c r="AU340" s="108" t="s">
        <v>173</v>
      </c>
      <c r="AV340" s="108" t="s">
        <v>445</v>
      </c>
      <c r="AW340" s="108">
        <v>3100</v>
      </c>
      <c r="AX340" s="108">
        <v>0.09</v>
      </c>
      <c r="AY340" s="108">
        <v>0.09</v>
      </c>
      <c r="BD340" s="106">
        <v>0</v>
      </c>
      <c r="BY340" s="112" t="s">
        <v>1766</v>
      </c>
      <c r="BZ340" s="112" t="s">
        <v>1766</v>
      </c>
      <c r="CA340" s="112" t="s">
        <v>1766</v>
      </c>
      <c r="CB340" s="112" t="s">
        <v>1766</v>
      </c>
      <c r="CC340" s="112" t="s">
        <v>1766</v>
      </c>
      <c r="CD340" s="112" t="s">
        <v>1766</v>
      </c>
      <c r="CE340" s="112" t="s">
        <v>1766</v>
      </c>
      <c r="CF340" s="112" t="s">
        <v>1766</v>
      </c>
      <c r="CG340" s="112" t="s">
        <v>1766</v>
      </c>
      <c r="CH340" s="112" t="s">
        <v>1766</v>
      </c>
      <c r="CI340" s="112" t="s">
        <v>1766</v>
      </c>
      <c r="CJ340" s="112" t="s">
        <v>1766</v>
      </c>
      <c r="CK340" s="112" t="s">
        <v>1766</v>
      </c>
      <c r="CL340" s="112" t="s">
        <v>1766</v>
      </c>
      <c r="CM340" s="112" t="s">
        <v>1766</v>
      </c>
      <c r="CN340" s="112" t="s">
        <v>1766</v>
      </c>
      <c r="CO340" s="112" t="s">
        <v>1766</v>
      </c>
    </row>
    <row r="341" spans="1:93">
      <c r="A341" s="106" t="s">
        <v>442</v>
      </c>
      <c r="B341" s="106">
        <v>10</v>
      </c>
      <c r="C341" s="106">
        <v>1</v>
      </c>
      <c r="D341" s="106">
        <v>2</v>
      </c>
      <c r="E341" s="106">
        <v>1</v>
      </c>
      <c r="F341" s="106">
        <v>1</v>
      </c>
      <c r="G341" s="106" t="s">
        <v>66</v>
      </c>
      <c r="I341" s="106">
        <v>201</v>
      </c>
      <c r="J341" s="106" t="s">
        <v>1766</v>
      </c>
      <c r="K341" s="106" t="s">
        <v>1318</v>
      </c>
      <c r="L341" s="106" t="s">
        <v>1328</v>
      </c>
      <c r="M341" s="106" t="s">
        <v>458</v>
      </c>
      <c r="N341" s="106">
        <v>11</v>
      </c>
      <c r="O341" s="106">
        <v>10</v>
      </c>
      <c r="T341" s="106" t="s">
        <v>1766</v>
      </c>
      <c r="V341" s="106">
        <v>691518.81978431996</v>
      </c>
      <c r="W341" s="106">
        <v>1</v>
      </c>
      <c r="X341" s="106">
        <v>1</v>
      </c>
      <c r="Y341" s="106">
        <v>1</v>
      </c>
      <c r="Z341" s="106">
        <v>2</v>
      </c>
      <c r="AA341" s="106">
        <v>140000</v>
      </c>
      <c r="AB341" s="106">
        <v>140000</v>
      </c>
      <c r="AC341" s="106">
        <v>140000</v>
      </c>
      <c r="AD341" s="106">
        <v>280000</v>
      </c>
      <c r="AE341" s="106">
        <v>700000</v>
      </c>
      <c r="AF341" s="106">
        <v>700000</v>
      </c>
      <c r="AH341" s="106">
        <v>12960</v>
      </c>
      <c r="AI341" s="106">
        <v>0.01</v>
      </c>
      <c r="AJ341" s="106">
        <v>4</v>
      </c>
      <c r="AK341" s="106">
        <v>129.6</v>
      </c>
      <c r="AL341" s="106">
        <v>518.4</v>
      </c>
      <c r="AM341" s="106">
        <v>12013</v>
      </c>
      <c r="AN341" s="106">
        <v>12013</v>
      </c>
      <c r="AO341" s="106">
        <v>3452</v>
      </c>
      <c r="AP341" s="106" t="s">
        <v>125</v>
      </c>
      <c r="AQ341" s="106" t="s">
        <v>444</v>
      </c>
      <c r="AR341" s="106">
        <v>3102</v>
      </c>
      <c r="AS341" s="106">
        <v>75000</v>
      </c>
      <c r="AT341" s="106">
        <v>75000</v>
      </c>
      <c r="AU341" s="108" t="s">
        <v>173</v>
      </c>
      <c r="AV341" s="108" t="s">
        <v>445</v>
      </c>
      <c r="AW341" s="108">
        <v>3100</v>
      </c>
      <c r="AX341" s="108">
        <v>0.1</v>
      </c>
      <c r="AY341" s="108">
        <v>0.1</v>
      </c>
      <c r="BD341" s="106">
        <v>0</v>
      </c>
      <c r="BY341" s="112" t="s">
        <v>1766</v>
      </c>
      <c r="BZ341" s="112" t="s">
        <v>1766</v>
      </c>
      <c r="CA341" s="112" t="s">
        <v>1766</v>
      </c>
      <c r="CB341" s="112" t="s">
        <v>1766</v>
      </c>
      <c r="CC341" s="112" t="s">
        <v>1766</v>
      </c>
      <c r="CD341" s="112" t="s">
        <v>1766</v>
      </c>
      <c r="CE341" s="112" t="s">
        <v>1766</v>
      </c>
      <c r="CF341" s="112" t="s">
        <v>1766</v>
      </c>
      <c r="CG341" s="112" t="s">
        <v>1766</v>
      </c>
      <c r="CH341" s="112" t="s">
        <v>1766</v>
      </c>
      <c r="CI341" s="112" t="s">
        <v>1766</v>
      </c>
      <c r="CJ341" s="112" t="s">
        <v>1766</v>
      </c>
      <c r="CK341" s="112" t="s">
        <v>1766</v>
      </c>
      <c r="CL341" s="112" t="s">
        <v>1766</v>
      </c>
      <c r="CM341" s="112" t="s">
        <v>1766</v>
      </c>
      <c r="CN341" s="112" t="s">
        <v>1766</v>
      </c>
      <c r="CO341" s="112" t="s">
        <v>1766</v>
      </c>
    </row>
    <row r="342" spans="1:93">
      <c r="A342" s="106" t="s">
        <v>442</v>
      </c>
      <c r="B342" s="106">
        <v>11</v>
      </c>
      <c r="C342" s="106">
        <v>1</v>
      </c>
      <c r="D342" s="106">
        <v>2</v>
      </c>
      <c r="E342" s="106">
        <v>1</v>
      </c>
      <c r="F342" s="106">
        <v>1</v>
      </c>
      <c r="G342" s="106" t="s">
        <v>66</v>
      </c>
      <c r="I342" s="106">
        <v>201</v>
      </c>
      <c r="J342" s="106" t="s">
        <v>1766</v>
      </c>
      <c r="K342" s="106" t="s">
        <v>1318</v>
      </c>
      <c r="L342" s="106" t="s">
        <v>1329</v>
      </c>
      <c r="M342" s="106" t="s">
        <v>459</v>
      </c>
      <c r="N342" s="106">
        <v>16</v>
      </c>
      <c r="O342" s="106">
        <v>11</v>
      </c>
      <c r="T342" s="106" t="s">
        <v>1766</v>
      </c>
      <c r="V342" s="106">
        <v>1044193.4178743199</v>
      </c>
      <c r="W342" s="106">
        <v>1</v>
      </c>
      <c r="X342" s="106">
        <v>1</v>
      </c>
      <c r="Y342" s="106">
        <v>1</v>
      </c>
      <c r="Z342" s="106">
        <v>2</v>
      </c>
      <c r="AA342" s="106">
        <v>210000</v>
      </c>
      <c r="AB342" s="106">
        <v>210000</v>
      </c>
      <c r="AC342" s="106">
        <v>210000</v>
      </c>
      <c r="AD342" s="106">
        <v>420000</v>
      </c>
      <c r="AE342" s="106">
        <v>1050000</v>
      </c>
      <c r="AF342" s="106">
        <v>1050000</v>
      </c>
      <c r="AH342" s="106">
        <v>19440</v>
      </c>
      <c r="AI342" s="106">
        <v>0.02</v>
      </c>
      <c r="AJ342" s="106">
        <v>5</v>
      </c>
      <c r="AK342" s="106">
        <v>194.4</v>
      </c>
      <c r="AL342" s="106">
        <v>972</v>
      </c>
      <c r="AM342" s="106">
        <v>17786</v>
      </c>
      <c r="AN342" s="106">
        <v>17786</v>
      </c>
      <c r="AO342" s="106">
        <v>5540</v>
      </c>
      <c r="AP342" s="106" t="s">
        <v>125</v>
      </c>
      <c r="AQ342" s="106" t="s">
        <v>444</v>
      </c>
      <c r="AR342" s="106">
        <v>3102</v>
      </c>
      <c r="AS342" s="106">
        <v>80000</v>
      </c>
      <c r="AT342" s="106">
        <v>80000</v>
      </c>
      <c r="AU342" s="108" t="s">
        <v>173</v>
      </c>
      <c r="AV342" s="108" t="s">
        <v>445</v>
      </c>
      <c r="AW342" s="108">
        <v>3100</v>
      </c>
      <c r="AX342" s="108">
        <v>0.11</v>
      </c>
      <c r="AY342" s="108">
        <v>0.11</v>
      </c>
      <c r="BD342" s="106">
        <v>0</v>
      </c>
      <c r="BY342" s="112" t="s">
        <v>1766</v>
      </c>
      <c r="BZ342" s="112" t="s">
        <v>1766</v>
      </c>
      <c r="CA342" s="112" t="s">
        <v>1766</v>
      </c>
      <c r="CB342" s="112" t="s">
        <v>1766</v>
      </c>
      <c r="CC342" s="112" t="s">
        <v>1766</v>
      </c>
      <c r="CD342" s="112" t="s">
        <v>1766</v>
      </c>
      <c r="CE342" s="112" t="s">
        <v>1766</v>
      </c>
      <c r="CF342" s="112" t="s">
        <v>1766</v>
      </c>
      <c r="CG342" s="112" t="s">
        <v>1766</v>
      </c>
      <c r="CH342" s="112" t="s">
        <v>1766</v>
      </c>
      <c r="CI342" s="112" t="s">
        <v>1766</v>
      </c>
      <c r="CJ342" s="112" t="s">
        <v>1766</v>
      </c>
      <c r="CK342" s="112" t="s">
        <v>1766</v>
      </c>
      <c r="CL342" s="112" t="s">
        <v>1766</v>
      </c>
      <c r="CM342" s="112" t="s">
        <v>1766</v>
      </c>
      <c r="CN342" s="112" t="s">
        <v>1766</v>
      </c>
      <c r="CO342" s="112" t="s">
        <v>1766</v>
      </c>
    </row>
    <row r="343" spans="1:93">
      <c r="A343" s="106" t="s">
        <v>442</v>
      </c>
      <c r="B343" s="106">
        <v>12</v>
      </c>
      <c r="C343" s="106">
        <v>1</v>
      </c>
      <c r="D343" s="106">
        <v>2</v>
      </c>
      <c r="E343" s="106">
        <v>1</v>
      </c>
      <c r="F343" s="106">
        <v>1</v>
      </c>
      <c r="G343" s="106" t="s">
        <v>66</v>
      </c>
      <c r="I343" s="106">
        <v>201</v>
      </c>
      <c r="J343" s="106" t="s">
        <v>1766</v>
      </c>
      <c r="K343" s="106" t="s">
        <v>1318</v>
      </c>
      <c r="L343" s="106" t="s">
        <v>1330</v>
      </c>
      <c r="M343" s="106" t="s">
        <v>460</v>
      </c>
      <c r="N343" s="106">
        <v>16</v>
      </c>
      <c r="O343" s="106">
        <v>12</v>
      </c>
      <c r="T343" s="106" t="s">
        <v>1766</v>
      </c>
      <c r="V343" s="106">
        <v>1503638.52173902</v>
      </c>
      <c r="W343" s="106">
        <v>1</v>
      </c>
      <c r="X343" s="106">
        <v>1</v>
      </c>
      <c r="Y343" s="106">
        <v>1</v>
      </c>
      <c r="Z343" s="106">
        <v>2</v>
      </c>
      <c r="AA343" s="106">
        <v>300000</v>
      </c>
      <c r="AB343" s="106">
        <v>300000</v>
      </c>
      <c r="AC343" s="106">
        <v>300000</v>
      </c>
      <c r="AD343" s="106">
        <v>600000</v>
      </c>
      <c r="AE343" s="106">
        <v>1500000</v>
      </c>
      <c r="AF343" s="106">
        <v>1500000</v>
      </c>
      <c r="AH343" s="106">
        <v>25920</v>
      </c>
      <c r="AI343" s="106">
        <v>0.03</v>
      </c>
      <c r="AJ343" s="106">
        <v>5</v>
      </c>
      <c r="AK343" s="106">
        <v>259.2</v>
      </c>
      <c r="AL343" s="106">
        <v>1296</v>
      </c>
      <c r="AM343" s="106">
        <v>23569</v>
      </c>
      <c r="AN343" s="106">
        <v>23569</v>
      </c>
      <c r="AO343" s="106">
        <v>8547</v>
      </c>
      <c r="AP343" s="106" t="s">
        <v>125</v>
      </c>
      <c r="AQ343" s="106" t="s">
        <v>444</v>
      </c>
      <c r="AR343" s="106">
        <v>3102</v>
      </c>
      <c r="AS343" s="114">
        <v>85000</v>
      </c>
      <c r="AT343" s="114">
        <v>85000</v>
      </c>
      <c r="AU343" s="108" t="s">
        <v>173</v>
      </c>
      <c r="AV343" s="108" t="s">
        <v>445</v>
      </c>
      <c r="AW343" s="108">
        <v>3100</v>
      </c>
      <c r="AX343" s="108">
        <v>0.12</v>
      </c>
      <c r="AY343" s="108">
        <v>0.12</v>
      </c>
      <c r="BD343" s="106">
        <v>0</v>
      </c>
      <c r="BY343" s="112" t="s">
        <v>1766</v>
      </c>
      <c r="BZ343" s="112" t="s">
        <v>1766</v>
      </c>
      <c r="CA343" s="112" t="s">
        <v>1766</v>
      </c>
      <c r="CB343" s="112" t="s">
        <v>1766</v>
      </c>
      <c r="CC343" s="112" t="s">
        <v>1766</v>
      </c>
      <c r="CD343" s="112" t="s">
        <v>1766</v>
      </c>
      <c r="CE343" s="112" t="s">
        <v>1766</v>
      </c>
      <c r="CF343" s="112" t="s">
        <v>1766</v>
      </c>
      <c r="CG343" s="112" t="s">
        <v>1766</v>
      </c>
      <c r="CH343" s="112" t="s">
        <v>1766</v>
      </c>
      <c r="CI343" s="112" t="s">
        <v>1766</v>
      </c>
      <c r="CJ343" s="112" t="s">
        <v>1766</v>
      </c>
      <c r="CK343" s="112" t="s">
        <v>1766</v>
      </c>
      <c r="CL343" s="112" t="s">
        <v>1766</v>
      </c>
      <c r="CM343" s="112" t="s">
        <v>1766</v>
      </c>
      <c r="CN343" s="112" t="s">
        <v>1766</v>
      </c>
      <c r="CO343" s="112" t="s">
        <v>1766</v>
      </c>
    </row>
    <row r="344" spans="1:93">
      <c r="A344" s="106" t="s">
        <v>442</v>
      </c>
      <c r="B344" s="106">
        <v>13</v>
      </c>
      <c r="C344" s="106">
        <v>1</v>
      </c>
      <c r="D344" s="106">
        <v>2</v>
      </c>
      <c r="E344" s="106">
        <v>1</v>
      </c>
      <c r="F344" s="106">
        <v>1</v>
      </c>
      <c r="G344" s="106" t="s">
        <v>66</v>
      </c>
      <c r="I344" s="106">
        <v>201</v>
      </c>
      <c r="J344" s="106" t="s">
        <v>1766</v>
      </c>
      <c r="K344" s="106" t="s">
        <v>1318</v>
      </c>
      <c r="L344" s="106" t="s">
        <v>1331</v>
      </c>
      <c r="M344" s="106" t="s">
        <v>461</v>
      </c>
      <c r="N344" s="106">
        <v>16</v>
      </c>
      <c r="O344" s="106">
        <v>13</v>
      </c>
      <c r="T344" s="106" t="s">
        <v>1766</v>
      </c>
      <c r="V344" s="106">
        <v>2059984.77478246</v>
      </c>
      <c r="W344" s="106">
        <v>1</v>
      </c>
      <c r="X344" s="106">
        <v>1</v>
      </c>
      <c r="Y344" s="106">
        <v>1</v>
      </c>
      <c r="Z344" s="106">
        <v>2</v>
      </c>
      <c r="AA344" s="106">
        <v>410000</v>
      </c>
      <c r="AB344" s="106">
        <v>410000</v>
      </c>
      <c r="AC344" s="106">
        <v>410000</v>
      </c>
      <c r="AD344" s="106">
        <v>820000</v>
      </c>
      <c r="AE344" s="106">
        <v>2050000</v>
      </c>
      <c r="AF344" s="106">
        <v>2050000</v>
      </c>
      <c r="AH344" s="106">
        <v>34560</v>
      </c>
      <c r="AI344" s="106">
        <v>0.04</v>
      </c>
      <c r="AJ344" s="106">
        <v>6</v>
      </c>
      <c r="AK344" s="106">
        <v>345.6</v>
      </c>
      <c r="AL344" s="106">
        <v>2073.6</v>
      </c>
      <c r="AM344" s="106">
        <v>30857</v>
      </c>
      <c r="AN344" s="106">
        <v>30857</v>
      </c>
      <c r="AO344" s="106">
        <v>12667</v>
      </c>
      <c r="AP344" s="106" t="s">
        <v>125</v>
      </c>
      <c r="AQ344" s="106" t="s">
        <v>444</v>
      </c>
      <c r="AR344" s="106">
        <v>3102</v>
      </c>
      <c r="AS344" s="114">
        <v>90000</v>
      </c>
      <c r="AT344" s="114">
        <v>90000</v>
      </c>
      <c r="AU344" s="108" t="s">
        <v>173</v>
      </c>
      <c r="AV344" s="108" t="s">
        <v>445</v>
      </c>
      <c r="AW344" s="108">
        <v>3100</v>
      </c>
      <c r="AX344" s="108">
        <v>0.13</v>
      </c>
      <c r="AY344" s="108">
        <v>0.13</v>
      </c>
      <c r="BD344" s="106">
        <v>0</v>
      </c>
      <c r="BY344" s="112" t="s">
        <v>1766</v>
      </c>
      <c r="BZ344" s="112" t="s">
        <v>1766</v>
      </c>
      <c r="CA344" s="112" t="s">
        <v>1766</v>
      </c>
      <c r="CB344" s="112" t="s">
        <v>1766</v>
      </c>
      <c r="CC344" s="112" t="s">
        <v>1766</v>
      </c>
      <c r="CD344" s="112" t="s">
        <v>1766</v>
      </c>
      <c r="CE344" s="112" t="s">
        <v>1766</v>
      </c>
      <c r="CF344" s="112" t="s">
        <v>1766</v>
      </c>
      <c r="CG344" s="112" t="s">
        <v>1766</v>
      </c>
      <c r="CH344" s="112" t="s">
        <v>1766</v>
      </c>
      <c r="CI344" s="112" t="s">
        <v>1766</v>
      </c>
      <c r="CJ344" s="112" t="s">
        <v>1766</v>
      </c>
      <c r="CK344" s="112" t="s">
        <v>1766</v>
      </c>
      <c r="CL344" s="112" t="s">
        <v>1766</v>
      </c>
      <c r="CM344" s="112" t="s">
        <v>1766</v>
      </c>
      <c r="CN344" s="112" t="s">
        <v>1766</v>
      </c>
      <c r="CO344" s="112" t="s">
        <v>1766</v>
      </c>
    </row>
    <row r="345" spans="1:93">
      <c r="A345" s="106" t="s">
        <v>442</v>
      </c>
      <c r="B345" s="106">
        <v>14</v>
      </c>
      <c r="C345" s="106">
        <v>1</v>
      </c>
      <c r="D345" s="106">
        <v>2</v>
      </c>
      <c r="E345" s="106">
        <v>1</v>
      </c>
      <c r="F345" s="106">
        <v>1</v>
      </c>
      <c r="G345" s="106" t="s">
        <v>66</v>
      </c>
      <c r="I345" s="106">
        <v>201</v>
      </c>
      <c r="J345" s="106" t="s">
        <v>1766</v>
      </c>
      <c r="K345" s="106" t="s">
        <v>1318</v>
      </c>
      <c r="L345" s="106" t="s">
        <v>1332</v>
      </c>
      <c r="M345" s="106" t="s">
        <v>462</v>
      </c>
      <c r="N345" s="106">
        <v>16</v>
      </c>
      <c r="O345" s="106">
        <v>14</v>
      </c>
      <c r="T345" s="106" t="s">
        <v>1766</v>
      </c>
      <c r="V345" s="106">
        <v>2677980.2072172002</v>
      </c>
      <c r="W345" s="106">
        <v>1</v>
      </c>
      <c r="X345" s="106">
        <v>1</v>
      </c>
      <c r="Y345" s="106">
        <v>1</v>
      </c>
      <c r="Z345" s="106">
        <v>2</v>
      </c>
      <c r="AA345" s="106">
        <v>540000</v>
      </c>
      <c r="AB345" s="106">
        <v>540000</v>
      </c>
      <c r="AC345" s="106">
        <v>540000</v>
      </c>
      <c r="AD345" s="106">
        <v>1100000</v>
      </c>
      <c r="AE345" s="106">
        <v>2720000</v>
      </c>
      <c r="AF345" s="106">
        <v>2720000</v>
      </c>
      <c r="AH345" s="106">
        <v>43200</v>
      </c>
      <c r="AI345" s="106">
        <v>0.05</v>
      </c>
      <c r="AJ345" s="106">
        <v>6</v>
      </c>
      <c r="AK345" s="106">
        <v>432</v>
      </c>
      <c r="AL345" s="106">
        <v>2592</v>
      </c>
      <c r="AM345" s="106">
        <v>38250</v>
      </c>
      <c r="AN345" s="106">
        <v>38250</v>
      </c>
      <c r="AO345" s="106">
        <v>18023</v>
      </c>
      <c r="AP345" s="106" t="s">
        <v>125</v>
      </c>
      <c r="AQ345" s="106" t="s">
        <v>444</v>
      </c>
      <c r="AR345" s="106">
        <v>3102</v>
      </c>
      <c r="AS345" s="114">
        <v>95000</v>
      </c>
      <c r="AT345" s="114">
        <v>95000</v>
      </c>
      <c r="AU345" s="108" t="s">
        <v>173</v>
      </c>
      <c r="AV345" s="108" t="s">
        <v>445</v>
      </c>
      <c r="AW345" s="108">
        <v>3100</v>
      </c>
      <c r="AX345" s="108">
        <v>0.14000000000000001</v>
      </c>
      <c r="AY345" s="108">
        <v>0.14000000000000001</v>
      </c>
      <c r="BD345" s="106">
        <v>0</v>
      </c>
      <c r="BY345" s="112" t="s">
        <v>1766</v>
      </c>
      <c r="BZ345" s="112" t="s">
        <v>1766</v>
      </c>
      <c r="CA345" s="112" t="s">
        <v>1766</v>
      </c>
      <c r="CB345" s="112" t="s">
        <v>1766</v>
      </c>
      <c r="CC345" s="112" t="s">
        <v>1766</v>
      </c>
      <c r="CD345" s="112" t="s">
        <v>1766</v>
      </c>
      <c r="CE345" s="112" t="s">
        <v>1766</v>
      </c>
      <c r="CF345" s="112" t="s">
        <v>1766</v>
      </c>
      <c r="CG345" s="112" t="s">
        <v>1766</v>
      </c>
      <c r="CH345" s="112" t="s">
        <v>1766</v>
      </c>
      <c r="CI345" s="112" t="s">
        <v>1766</v>
      </c>
      <c r="CJ345" s="112" t="s">
        <v>1766</v>
      </c>
      <c r="CK345" s="112" t="s">
        <v>1766</v>
      </c>
      <c r="CL345" s="112" t="s">
        <v>1766</v>
      </c>
      <c r="CM345" s="112" t="s">
        <v>1766</v>
      </c>
      <c r="CN345" s="112" t="s">
        <v>1766</v>
      </c>
      <c r="CO345" s="112" t="s">
        <v>1766</v>
      </c>
    </row>
    <row r="346" spans="1:93">
      <c r="A346" s="106" t="s">
        <v>442</v>
      </c>
      <c r="B346" s="106">
        <v>15</v>
      </c>
      <c r="C346" s="106">
        <v>1</v>
      </c>
      <c r="D346" s="106">
        <v>2</v>
      </c>
      <c r="E346" s="106">
        <v>1</v>
      </c>
      <c r="F346" s="106">
        <v>1</v>
      </c>
      <c r="G346" s="106" t="s">
        <v>66</v>
      </c>
      <c r="I346" s="106">
        <v>201</v>
      </c>
      <c r="J346" s="106" t="s">
        <v>1766</v>
      </c>
      <c r="K346" s="106" t="s">
        <v>1318</v>
      </c>
      <c r="L346" s="106" t="s">
        <v>1333</v>
      </c>
      <c r="M346" s="106" t="s">
        <v>463</v>
      </c>
      <c r="N346" s="106">
        <v>16</v>
      </c>
      <c r="O346" s="106">
        <v>15</v>
      </c>
      <c r="T346" s="106" t="s">
        <v>1766</v>
      </c>
      <c r="V346" s="106">
        <v>3427814.66523802</v>
      </c>
      <c r="W346" s="106">
        <v>1</v>
      </c>
      <c r="X346" s="106">
        <v>1</v>
      </c>
      <c r="Y346" s="106">
        <v>1</v>
      </c>
      <c r="Z346" s="106">
        <v>2</v>
      </c>
      <c r="AA346" s="106">
        <v>690000</v>
      </c>
      <c r="AB346" s="106">
        <v>690000</v>
      </c>
      <c r="AC346" s="106">
        <v>690000</v>
      </c>
      <c r="AD346" s="106">
        <v>1400000</v>
      </c>
      <c r="AE346" s="106">
        <v>3470000</v>
      </c>
      <c r="AF346" s="106">
        <v>3470000</v>
      </c>
      <c r="AH346" s="106">
        <v>51840</v>
      </c>
      <c r="AI346" s="106">
        <v>0.05</v>
      </c>
      <c r="AJ346" s="106">
        <v>7</v>
      </c>
      <c r="AK346" s="106">
        <v>518.4</v>
      </c>
      <c r="AL346" s="106">
        <v>3628.8</v>
      </c>
      <c r="AM346" s="106">
        <v>45442</v>
      </c>
      <c r="AN346" s="106">
        <v>45442</v>
      </c>
      <c r="AO346" s="106">
        <v>24879</v>
      </c>
      <c r="AP346" s="106" t="s">
        <v>125</v>
      </c>
      <c r="AQ346" s="106" t="s">
        <v>444</v>
      </c>
      <c r="AR346" s="106">
        <v>3102</v>
      </c>
      <c r="AS346" s="114">
        <v>100000</v>
      </c>
      <c r="AT346" s="114">
        <v>100000</v>
      </c>
      <c r="AU346" s="108" t="s">
        <v>173</v>
      </c>
      <c r="AV346" s="108" t="s">
        <v>445</v>
      </c>
      <c r="AW346" s="108">
        <v>3100</v>
      </c>
      <c r="AX346" s="108">
        <v>0.15</v>
      </c>
      <c r="AY346" s="108">
        <v>0.15</v>
      </c>
      <c r="BD346" s="106">
        <v>0</v>
      </c>
      <c r="BY346" s="112" t="s">
        <v>1766</v>
      </c>
      <c r="BZ346" s="112" t="s">
        <v>1766</v>
      </c>
      <c r="CA346" s="112" t="s">
        <v>1766</v>
      </c>
      <c r="CB346" s="112" t="s">
        <v>1766</v>
      </c>
      <c r="CC346" s="112" t="s">
        <v>1766</v>
      </c>
      <c r="CD346" s="112" t="s">
        <v>1766</v>
      </c>
      <c r="CE346" s="112" t="s">
        <v>1766</v>
      </c>
      <c r="CF346" s="112" t="s">
        <v>1766</v>
      </c>
      <c r="CG346" s="112" t="s">
        <v>1766</v>
      </c>
      <c r="CH346" s="112" t="s">
        <v>1766</v>
      </c>
      <c r="CI346" s="112" t="s">
        <v>1766</v>
      </c>
      <c r="CJ346" s="112" t="s">
        <v>1766</v>
      </c>
      <c r="CK346" s="112" t="s">
        <v>1766</v>
      </c>
      <c r="CL346" s="112" t="s">
        <v>1766</v>
      </c>
      <c r="CM346" s="112" t="s">
        <v>1766</v>
      </c>
      <c r="CN346" s="112" t="s">
        <v>1766</v>
      </c>
      <c r="CO346" s="112" t="s">
        <v>1766</v>
      </c>
    </row>
    <row r="347" spans="1:93">
      <c r="A347" s="106" t="s">
        <v>442</v>
      </c>
      <c r="B347" s="106">
        <v>16</v>
      </c>
      <c r="C347" s="106">
        <v>1</v>
      </c>
      <c r="D347" s="106">
        <v>2</v>
      </c>
      <c r="E347" s="106">
        <v>1</v>
      </c>
      <c r="F347" s="106">
        <v>1</v>
      </c>
      <c r="G347" s="106" t="s">
        <v>66</v>
      </c>
      <c r="I347" s="106">
        <v>201</v>
      </c>
      <c r="J347" s="106" t="s">
        <v>1766</v>
      </c>
      <c r="K347" s="106" t="s">
        <v>1318</v>
      </c>
      <c r="L347" s="106" t="s">
        <v>1334</v>
      </c>
      <c r="M347" s="106" t="s">
        <v>464</v>
      </c>
      <c r="N347" s="106">
        <v>21</v>
      </c>
      <c r="O347" s="106">
        <v>16</v>
      </c>
      <c r="T347" s="106" t="s">
        <v>1766</v>
      </c>
      <c r="V347" s="106">
        <v>4387602.7715046704</v>
      </c>
      <c r="W347" s="106">
        <v>1</v>
      </c>
      <c r="X347" s="106">
        <v>1</v>
      </c>
      <c r="Y347" s="106">
        <v>1</v>
      </c>
      <c r="Z347" s="106">
        <v>2</v>
      </c>
      <c r="AA347" s="106">
        <v>880000</v>
      </c>
      <c r="AB347" s="106">
        <v>880000</v>
      </c>
      <c r="AC347" s="106">
        <v>880000</v>
      </c>
      <c r="AD347" s="106">
        <v>1800000</v>
      </c>
      <c r="AE347" s="106">
        <v>4440000</v>
      </c>
      <c r="AF347" s="106">
        <v>4440000</v>
      </c>
      <c r="AH347" s="106">
        <v>64800</v>
      </c>
      <c r="AI347" s="106">
        <v>0.05</v>
      </c>
      <c r="AJ347" s="106">
        <v>7</v>
      </c>
      <c r="AK347" s="106">
        <v>648</v>
      </c>
      <c r="AL347" s="106">
        <v>4536</v>
      </c>
      <c r="AM347" s="106">
        <v>56878</v>
      </c>
      <c r="AN347" s="106">
        <v>56878</v>
      </c>
      <c r="AO347" s="106">
        <v>33654</v>
      </c>
      <c r="AP347" s="106" t="s">
        <v>125</v>
      </c>
      <c r="AQ347" s="106" t="s">
        <v>444</v>
      </c>
      <c r="AR347" s="106">
        <v>3102</v>
      </c>
      <c r="AS347" s="114">
        <v>105000</v>
      </c>
      <c r="AT347" s="114">
        <v>105000</v>
      </c>
      <c r="AU347" s="108" t="s">
        <v>173</v>
      </c>
      <c r="AV347" s="108" t="s">
        <v>445</v>
      </c>
      <c r="AW347" s="108">
        <v>3100</v>
      </c>
      <c r="AX347" s="108">
        <v>0.16</v>
      </c>
      <c r="AY347" s="108">
        <v>0.16</v>
      </c>
      <c r="BD347" s="106">
        <v>0</v>
      </c>
      <c r="BY347" s="112" t="s">
        <v>1766</v>
      </c>
      <c r="BZ347" s="112" t="s">
        <v>1766</v>
      </c>
      <c r="CA347" s="112" t="s">
        <v>1766</v>
      </c>
      <c r="CB347" s="112" t="s">
        <v>1766</v>
      </c>
      <c r="CC347" s="112" t="s">
        <v>1766</v>
      </c>
      <c r="CD347" s="112" t="s">
        <v>1766</v>
      </c>
      <c r="CE347" s="112" t="s">
        <v>1766</v>
      </c>
      <c r="CF347" s="112" t="s">
        <v>1766</v>
      </c>
      <c r="CG347" s="112" t="s">
        <v>1766</v>
      </c>
      <c r="CH347" s="112" t="s">
        <v>1766</v>
      </c>
      <c r="CI347" s="112" t="s">
        <v>1766</v>
      </c>
      <c r="CJ347" s="112" t="s">
        <v>1766</v>
      </c>
      <c r="CK347" s="112" t="s">
        <v>1766</v>
      </c>
      <c r="CL347" s="112" t="s">
        <v>1766</v>
      </c>
      <c r="CM347" s="112" t="s">
        <v>1766</v>
      </c>
      <c r="CN347" s="112" t="s">
        <v>1766</v>
      </c>
      <c r="CO347" s="112" t="s">
        <v>1766</v>
      </c>
    </row>
    <row r="348" spans="1:93">
      <c r="A348" s="106" t="s">
        <v>442</v>
      </c>
      <c r="B348" s="106">
        <v>17</v>
      </c>
      <c r="C348" s="106">
        <v>1</v>
      </c>
      <c r="D348" s="106">
        <v>2</v>
      </c>
      <c r="E348" s="106">
        <v>1</v>
      </c>
      <c r="F348" s="106">
        <v>1</v>
      </c>
      <c r="G348" s="106" t="s">
        <v>66</v>
      </c>
      <c r="I348" s="106">
        <v>201</v>
      </c>
      <c r="J348" s="106" t="s">
        <v>1766</v>
      </c>
      <c r="K348" s="106" t="s">
        <v>1318</v>
      </c>
      <c r="L348" s="106" t="s">
        <v>1335</v>
      </c>
      <c r="M348" s="106" t="s">
        <v>465</v>
      </c>
      <c r="N348" s="106">
        <v>21</v>
      </c>
      <c r="O348" s="106">
        <v>17</v>
      </c>
      <c r="T348" s="106" t="s">
        <v>1766</v>
      </c>
      <c r="V348" s="106">
        <v>5616131.5475259703</v>
      </c>
      <c r="W348" s="106">
        <v>1</v>
      </c>
      <c r="X348" s="106">
        <v>1</v>
      </c>
      <c r="Y348" s="106">
        <v>1</v>
      </c>
      <c r="Z348" s="106">
        <v>2</v>
      </c>
      <c r="AA348" s="106">
        <v>1100000</v>
      </c>
      <c r="AB348" s="106">
        <v>1100000</v>
      </c>
      <c r="AC348" s="106">
        <v>1100000</v>
      </c>
      <c r="AD348" s="106">
        <v>2200000</v>
      </c>
      <c r="AE348" s="106">
        <v>5500000</v>
      </c>
      <c r="AF348" s="106">
        <v>5500000</v>
      </c>
      <c r="AH348" s="106">
        <v>86400</v>
      </c>
      <c r="AI348" s="106">
        <v>0.05</v>
      </c>
      <c r="AJ348" s="106">
        <v>8</v>
      </c>
      <c r="AK348" s="106">
        <v>864</v>
      </c>
      <c r="AL348" s="106">
        <v>6912</v>
      </c>
      <c r="AM348" s="106">
        <v>75073</v>
      </c>
      <c r="AN348" s="106">
        <v>75073</v>
      </c>
      <c r="AO348" s="106">
        <v>44886</v>
      </c>
      <c r="AP348" s="106" t="s">
        <v>125</v>
      </c>
      <c r="AQ348" s="106" t="s">
        <v>444</v>
      </c>
      <c r="AR348" s="106">
        <v>3102</v>
      </c>
      <c r="AS348" s="114">
        <v>110000</v>
      </c>
      <c r="AT348" s="114">
        <v>110000</v>
      </c>
      <c r="AU348" s="108" t="s">
        <v>173</v>
      </c>
      <c r="AV348" s="108" t="s">
        <v>445</v>
      </c>
      <c r="AW348" s="108">
        <v>3100</v>
      </c>
      <c r="AX348" s="108">
        <v>0.17</v>
      </c>
      <c r="AY348" s="108">
        <v>0.17</v>
      </c>
      <c r="BD348" s="106">
        <v>0</v>
      </c>
      <c r="BY348" s="112" t="s">
        <v>1766</v>
      </c>
      <c r="BZ348" s="112" t="s">
        <v>1766</v>
      </c>
      <c r="CA348" s="112" t="s">
        <v>1766</v>
      </c>
      <c r="CB348" s="112" t="s">
        <v>1766</v>
      </c>
      <c r="CC348" s="112" t="s">
        <v>1766</v>
      </c>
      <c r="CD348" s="112" t="s">
        <v>1766</v>
      </c>
      <c r="CE348" s="112" t="s">
        <v>1766</v>
      </c>
      <c r="CF348" s="112" t="s">
        <v>1766</v>
      </c>
      <c r="CG348" s="112" t="s">
        <v>1766</v>
      </c>
      <c r="CH348" s="112" t="s">
        <v>1766</v>
      </c>
      <c r="CI348" s="112" t="s">
        <v>1766</v>
      </c>
      <c r="CJ348" s="112" t="s">
        <v>1766</v>
      </c>
      <c r="CK348" s="112" t="s">
        <v>1766</v>
      </c>
      <c r="CL348" s="112" t="s">
        <v>1766</v>
      </c>
      <c r="CM348" s="112" t="s">
        <v>1766</v>
      </c>
      <c r="CN348" s="112" t="s">
        <v>1766</v>
      </c>
      <c r="CO348" s="112" t="s">
        <v>1766</v>
      </c>
    </row>
    <row r="349" spans="1:93">
      <c r="A349" s="106" t="s">
        <v>442</v>
      </c>
      <c r="B349" s="106">
        <v>18</v>
      </c>
      <c r="C349" s="106">
        <v>1</v>
      </c>
      <c r="D349" s="106">
        <v>2</v>
      </c>
      <c r="E349" s="106">
        <v>1</v>
      </c>
      <c r="F349" s="106">
        <v>1</v>
      </c>
      <c r="G349" s="106" t="s">
        <v>66</v>
      </c>
      <c r="I349" s="106">
        <v>201</v>
      </c>
      <c r="J349" s="106" t="s">
        <v>1766</v>
      </c>
      <c r="K349" s="106" t="s">
        <v>1318</v>
      </c>
      <c r="L349" s="106" t="s">
        <v>1336</v>
      </c>
      <c r="M349" s="106" t="s">
        <v>466</v>
      </c>
      <c r="N349" s="106">
        <v>21</v>
      </c>
      <c r="O349" s="106">
        <v>18</v>
      </c>
      <c r="T349" s="106" t="s">
        <v>1766</v>
      </c>
      <c r="V349" s="106">
        <v>7188648.3808332402</v>
      </c>
      <c r="W349" s="106">
        <v>1</v>
      </c>
      <c r="X349" s="106">
        <v>1</v>
      </c>
      <c r="Y349" s="106">
        <v>1</v>
      </c>
      <c r="Z349" s="106">
        <v>2</v>
      </c>
      <c r="AA349" s="106">
        <v>1400000</v>
      </c>
      <c r="AB349" s="106">
        <v>1400000</v>
      </c>
      <c r="AC349" s="106">
        <v>1400000</v>
      </c>
      <c r="AD349" s="106">
        <v>2900000</v>
      </c>
      <c r="AE349" s="106">
        <v>7100000</v>
      </c>
      <c r="AF349" s="106">
        <v>7100000</v>
      </c>
      <c r="AH349" s="106">
        <v>112320</v>
      </c>
      <c r="AI349" s="106">
        <v>6.5000000000000002E-2</v>
      </c>
      <c r="AJ349" s="106">
        <v>8</v>
      </c>
      <c r="AK349" s="106">
        <v>1123.2</v>
      </c>
      <c r="AL349" s="106">
        <v>8985.6</v>
      </c>
      <c r="AM349" s="106">
        <v>96179</v>
      </c>
      <c r="AN349" s="106">
        <v>96179</v>
      </c>
      <c r="AO349" s="106">
        <v>59264</v>
      </c>
      <c r="AP349" s="106" t="s">
        <v>125</v>
      </c>
      <c r="AQ349" s="106" t="s">
        <v>444</v>
      </c>
      <c r="AR349" s="106">
        <v>3102</v>
      </c>
      <c r="AS349" s="114">
        <v>115000</v>
      </c>
      <c r="AT349" s="114">
        <v>115000</v>
      </c>
      <c r="AU349" s="108" t="s">
        <v>173</v>
      </c>
      <c r="AV349" s="108" t="s">
        <v>445</v>
      </c>
      <c r="AW349" s="108">
        <v>3100</v>
      </c>
      <c r="AX349" s="108">
        <v>0.18</v>
      </c>
      <c r="AY349" s="108">
        <v>0.18</v>
      </c>
      <c r="BD349" s="106">
        <v>0</v>
      </c>
      <c r="BY349" s="112" t="s">
        <v>1766</v>
      </c>
      <c r="BZ349" s="112" t="s">
        <v>1766</v>
      </c>
      <c r="CA349" s="112" t="s">
        <v>1766</v>
      </c>
      <c r="CB349" s="112" t="s">
        <v>1766</v>
      </c>
      <c r="CC349" s="112" t="s">
        <v>1766</v>
      </c>
      <c r="CD349" s="112" t="s">
        <v>1766</v>
      </c>
      <c r="CE349" s="112" t="s">
        <v>1766</v>
      </c>
      <c r="CF349" s="112" t="s">
        <v>1766</v>
      </c>
      <c r="CG349" s="112" t="s">
        <v>1766</v>
      </c>
      <c r="CH349" s="112" t="s">
        <v>1766</v>
      </c>
      <c r="CI349" s="112" t="s">
        <v>1766</v>
      </c>
      <c r="CJ349" s="112" t="s">
        <v>1766</v>
      </c>
      <c r="CK349" s="112" t="s">
        <v>1766</v>
      </c>
      <c r="CL349" s="112" t="s">
        <v>1766</v>
      </c>
      <c r="CM349" s="112" t="s">
        <v>1766</v>
      </c>
      <c r="CN349" s="112" t="s">
        <v>1766</v>
      </c>
      <c r="CO349" s="112" t="s">
        <v>1766</v>
      </c>
    </row>
    <row r="350" spans="1:93">
      <c r="A350" s="106" t="s">
        <v>442</v>
      </c>
      <c r="B350" s="106">
        <v>19</v>
      </c>
      <c r="C350" s="106">
        <v>1</v>
      </c>
      <c r="D350" s="106">
        <v>2</v>
      </c>
      <c r="E350" s="106">
        <v>1</v>
      </c>
      <c r="F350" s="106">
        <v>1</v>
      </c>
      <c r="G350" s="106" t="s">
        <v>66</v>
      </c>
      <c r="I350" s="106">
        <v>201</v>
      </c>
      <c r="J350" s="106" t="s">
        <v>1766</v>
      </c>
      <c r="K350" s="106" t="s">
        <v>1318</v>
      </c>
      <c r="L350" s="106" t="s">
        <v>1337</v>
      </c>
      <c r="M350" s="106" t="s">
        <v>467</v>
      </c>
      <c r="N350" s="106">
        <v>21</v>
      </c>
      <c r="O350" s="106">
        <v>19</v>
      </c>
      <c r="T350" s="106" t="s">
        <v>1766</v>
      </c>
      <c r="V350" s="106">
        <v>9201469.9274665508</v>
      </c>
      <c r="W350" s="106">
        <v>1</v>
      </c>
      <c r="X350" s="106">
        <v>1</v>
      </c>
      <c r="Y350" s="106">
        <v>1</v>
      </c>
      <c r="Z350" s="106">
        <v>2</v>
      </c>
      <c r="AA350" s="106">
        <v>1800000</v>
      </c>
      <c r="AB350" s="106">
        <v>1800000</v>
      </c>
      <c r="AC350" s="106">
        <v>1800000</v>
      </c>
      <c r="AD350" s="106">
        <v>3700000</v>
      </c>
      <c r="AE350" s="106">
        <v>9100000</v>
      </c>
      <c r="AF350" s="106">
        <v>9100000</v>
      </c>
      <c r="AH350" s="106">
        <v>146880</v>
      </c>
      <c r="AI350" s="106">
        <v>0.08</v>
      </c>
      <c r="AJ350" s="106">
        <v>9</v>
      </c>
      <c r="AK350" s="106">
        <v>1468.8</v>
      </c>
      <c r="AL350" s="106">
        <v>13219.2</v>
      </c>
      <c r="AM350" s="106">
        <v>122480</v>
      </c>
      <c r="AN350" s="106">
        <v>122480</v>
      </c>
      <c r="AO350" s="106">
        <v>77667</v>
      </c>
      <c r="AP350" s="106" t="s">
        <v>125</v>
      </c>
      <c r="AQ350" s="106" t="s">
        <v>444</v>
      </c>
      <c r="AR350" s="106">
        <v>3102</v>
      </c>
      <c r="AS350" s="114">
        <v>120000</v>
      </c>
      <c r="AT350" s="114">
        <v>120000</v>
      </c>
      <c r="AU350" s="108" t="s">
        <v>173</v>
      </c>
      <c r="AV350" s="108" t="s">
        <v>445</v>
      </c>
      <c r="AW350" s="108">
        <v>3100</v>
      </c>
      <c r="AX350" s="108">
        <v>0.19</v>
      </c>
      <c r="AY350" s="108">
        <v>0.19</v>
      </c>
      <c r="BD350" s="106">
        <v>0</v>
      </c>
      <c r="BY350" s="112" t="s">
        <v>1766</v>
      </c>
      <c r="BZ350" s="112" t="s">
        <v>1766</v>
      </c>
      <c r="CA350" s="112" t="s">
        <v>1766</v>
      </c>
      <c r="CB350" s="112" t="s">
        <v>1766</v>
      </c>
      <c r="CC350" s="112" t="s">
        <v>1766</v>
      </c>
      <c r="CD350" s="112" t="s">
        <v>1766</v>
      </c>
      <c r="CE350" s="112" t="s">
        <v>1766</v>
      </c>
      <c r="CF350" s="112" t="s">
        <v>1766</v>
      </c>
      <c r="CG350" s="112" t="s">
        <v>1766</v>
      </c>
      <c r="CH350" s="112" t="s">
        <v>1766</v>
      </c>
      <c r="CI350" s="112" t="s">
        <v>1766</v>
      </c>
      <c r="CJ350" s="112" t="s">
        <v>1766</v>
      </c>
      <c r="CK350" s="112" t="s">
        <v>1766</v>
      </c>
      <c r="CL350" s="112" t="s">
        <v>1766</v>
      </c>
      <c r="CM350" s="112" t="s">
        <v>1766</v>
      </c>
      <c r="CN350" s="112" t="s">
        <v>1766</v>
      </c>
      <c r="CO350" s="112" t="s">
        <v>1766</v>
      </c>
    </row>
    <row r="351" spans="1:93">
      <c r="A351" s="106" t="s">
        <v>442</v>
      </c>
      <c r="B351" s="106">
        <v>20</v>
      </c>
      <c r="C351" s="106">
        <v>1</v>
      </c>
      <c r="D351" s="106">
        <v>2</v>
      </c>
      <c r="E351" s="106">
        <v>1</v>
      </c>
      <c r="F351" s="106">
        <v>1</v>
      </c>
      <c r="G351" s="106" t="s">
        <v>66</v>
      </c>
      <c r="I351" s="106">
        <v>201</v>
      </c>
      <c r="J351" s="106" t="s">
        <v>1766</v>
      </c>
      <c r="K351" s="106" t="s">
        <v>1318</v>
      </c>
      <c r="L351" s="106" t="s">
        <v>1338</v>
      </c>
      <c r="M351" s="106" t="s">
        <v>468</v>
      </c>
      <c r="N351" s="106">
        <v>21</v>
      </c>
      <c r="O351" s="106">
        <v>20</v>
      </c>
      <c r="T351" s="106" t="s">
        <v>1766</v>
      </c>
      <c r="V351" s="106">
        <v>11777881.507157199</v>
      </c>
      <c r="W351" s="106">
        <v>1</v>
      </c>
      <c r="X351" s="106">
        <v>1</v>
      </c>
      <c r="Y351" s="106">
        <v>1</v>
      </c>
      <c r="Z351" s="106">
        <v>2</v>
      </c>
      <c r="AA351" s="106">
        <v>2400000</v>
      </c>
      <c r="AB351" s="106">
        <v>2400000</v>
      </c>
      <c r="AC351" s="106">
        <v>2400000</v>
      </c>
      <c r="AD351" s="106">
        <v>4700000</v>
      </c>
      <c r="AE351" s="106">
        <v>11900000</v>
      </c>
      <c r="AF351" s="106">
        <v>11900000</v>
      </c>
      <c r="AH351" s="106">
        <v>207360</v>
      </c>
      <c r="AI351" s="106">
        <v>9.5000000000000001E-2</v>
      </c>
      <c r="AJ351" s="106">
        <v>9</v>
      </c>
      <c r="AK351" s="106">
        <v>2073.6</v>
      </c>
      <c r="AL351" s="106">
        <v>18662.400000000001</v>
      </c>
      <c r="AM351" s="106">
        <v>170407</v>
      </c>
      <c r="AN351" s="106">
        <v>170407</v>
      </c>
      <c r="AO351" s="106">
        <v>101222</v>
      </c>
      <c r="AP351" s="106" t="s">
        <v>125</v>
      </c>
      <c r="AQ351" s="106" t="s">
        <v>444</v>
      </c>
      <c r="AR351" s="106">
        <v>3102</v>
      </c>
      <c r="AS351" s="114">
        <v>125000</v>
      </c>
      <c r="AT351" s="114">
        <v>125000</v>
      </c>
      <c r="AU351" s="108" t="s">
        <v>173</v>
      </c>
      <c r="AV351" s="108" t="s">
        <v>445</v>
      </c>
      <c r="AW351" s="108">
        <v>3100</v>
      </c>
      <c r="AX351" s="108">
        <v>0.2</v>
      </c>
      <c r="AY351" s="108">
        <v>0.2</v>
      </c>
      <c r="BD351" s="106">
        <v>0</v>
      </c>
      <c r="BY351" s="112" t="s">
        <v>1766</v>
      </c>
      <c r="BZ351" s="112" t="s">
        <v>1766</v>
      </c>
      <c r="CA351" s="112" t="s">
        <v>1766</v>
      </c>
      <c r="CB351" s="112" t="s">
        <v>1766</v>
      </c>
      <c r="CC351" s="112" t="s">
        <v>1766</v>
      </c>
      <c r="CD351" s="112" t="s">
        <v>1766</v>
      </c>
      <c r="CE351" s="112" t="s">
        <v>1766</v>
      </c>
      <c r="CF351" s="112" t="s">
        <v>1766</v>
      </c>
      <c r="CG351" s="112" t="s">
        <v>1766</v>
      </c>
      <c r="CH351" s="112" t="s">
        <v>1766</v>
      </c>
      <c r="CI351" s="112" t="s">
        <v>1766</v>
      </c>
      <c r="CJ351" s="112" t="s">
        <v>1766</v>
      </c>
      <c r="CK351" s="112" t="s">
        <v>1766</v>
      </c>
      <c r="CL351" s="112" t="s">
        <v>1766</v>
      </c>
      <c r="CM351" s="112" t="s">
        <v>1766</v>
      </c>
      <c r="CN351" s="112" t="s">
        <v>1766</v>
      </c>
      <c r="CO351" s="112" t="s">
        <v>1766</v>
      </c>
    </row>
    <row r="352" spans="1:93">
      <c r="A352" s="106" t="s">
        <v>442</v>
      </c>
      <c r="B352" s="106">
        <v>21</v>
      </c>
      <c r="C352" s="106">
        <v>1</v>
      </c>
      <c r="D352" s="106">
        <v>2</v>
      </c>
      <c r="E352" s="106">
        <v>1</v>
      </c>
      <c r="F352" s="106">
        <v>1</v>
      </c>
      <c r="G352" s="106" t="s">
        <v>66</v>
      </c>
      <c r="I352" s="106">
        <v>201</v>
      </c>
      <c r="J352" s="106" t="s">
        <v>1766</v>
      </c>
      <c r="K352" s="106" t="s">
        <v>1318</v>
      </c>
      <c r="L352" s="106" t="s">
        <v>1340</v>
      </c>
      <c r="M352" s="106" t="s">
        <v>1432</v>
      </c>
      <c r="N352" s="106">
        <v>28</v>
      </c>
      <c r="O352" s="106">
        <v>21</v>
      </c>
      <c r="T352" s="106" t="s">
        <v>1766</v>
      </c>
      <c r="V352" s="106">
        <v>15075688.329161201</v>
      </c>
      <c r="W352" s="106">
        <v>1</v>
      </c>
      <c r="X352" s="106">
        <v>1</v>
      </c>
      <c r="Y352" s="106">
        <v>1</v>
      </c>
      <c r="Z352" s="106">
        <v>2</v>
      </c>
      <c r="AA352" s="106">
        <v>3000000</v>
      </c>
      <c r="AB352" s="106">
        <v>3000000</v>
      </c>
      <c r="AC352" s="106">
        <v>3000000</v>
      </c>
      <c r="AD352" s="106">
        <v>6000000</v>
      </c>
      <c r="AE352" s="106">
        <v>15000000</v>
      </c>
      <c r="AF352" s="106">
        <v>15000000</v>
      </c>
      <c r="AH352" s="106">
        <v>276480</v>
      </c>
      <c r="AI352" s="106">
        <v>0.11</v>
      </c>
      <c r="AJ352" s="106">
        <v>10</v>
      </c>
      <c r="AK352" s="106">
        <v>2764.8</v>
      </c>
      <c r="AL352" s="106">
        <v>27648</v>
      </c>
      <c r="AM352" s="106">
        <v>221133</v>
      </c>
      <c r="AN352" s="106">
        <v>221133</v>
      </c>
      <c r="AO352" s="106">
        <v>131374</v>
      </c>
      <c r="AP352" s="106" t="s">
        <v>125</v>
      </c>
      <c r="AQ352" s="106" t="s">
        <v>444</v>
      </c>
      <c r="AR352" s="106">
        <v>3102</v>
      </c>
      <c r="AS352" s="114">
        <v>130000</v>
      </c>
      <c r="AT352" s="114">
        <v>130000</v>
      </c>
      <c r="AU352" s="108" t="s">
        <v>173</v>
      </c>
      <c r="AV352" s="108" t="s">
        <v>445</v>
      </c>
      <c r="AW352" s="108">
        <v>3100</v>
      </c>
      <c r="AX352" s="108">
        <v>0.21</v>
      </c>
      <c r="AY352" s="108">
        <v>0.21</v>
      </c>
      <c r="BD352" s="106">
        <v>0</v>
      </c>
      <c r="BY352" s="112" t="s">
        <v>1766</v>
      </c>
      <c r="BZ352" s="112" t="s">
        <v>1766</v>
      </c>
      <c r="CA352" s="112" t="s">
        <v>1766</v>
      </c>
      <c r="CB352" s="112" t="s">
        <v>1766</v>
      </c>
      <c r="CC352" s="112" t="s">
        <v>1766</v>
      </c>
      <c r="CD352" s="112" t="s">
        <v>1766</v>
      </c>
      <c r="CE352" s="112" t="s">
        <v>1766</v>
      </c>
      <c r="CF352" s="112" t="s">
        <v>1766</v>
      </c>
      <c r="CG352" s="112" t="s">
        <v>1766</v>
      </c>
      <c r="CH352" s="112" t="s">
        <v>1766</v>
      </c>
      <c r="CI352" s="112" t="s">
        <v>1766</v>
      </c>
      <c r="CJ352" s="112" t="s">
        <v>1766</v>
      </c>
      <c r="CK352" s="112" t="s">
        <v>1766</v>
      </c>
      <c r="CL352" s="112" t="s">
        <v>1766</v>
      </c>
      <c r="CM352" s="112" t="s">
        <v>1766</v>
      </c>
      <c r="CN352" s="112" t="s">
        <v>1766</v>
      </c>
      <c r="CO352" s="112" t="s">
        <v>1766</v>
      </c>
    </row>
    <row r="353" spans="1:93">
      <c r="A353" s="106" t="s">
        <v>442</v>
      </c>
      <c r="B353" s="106">
        <v>22</v>
      </c>
      <c r="C353" s="106">
        <v>1</v>
      </c>
      <c r="D353" s="106">
        <v>2</v>
      </c>
      <c r="E353" s="106">
        <v>1</v>
      </c>
      <c r="F353" s="106">
        <v>1</v>
      </c>
      <c r="G353" s="106" t="s">
        <v>66</v>
      </c>
      <c r="I353" s="106">
        <v>201</v>
      </c>
      <c r="J353" s="106" t="s">
        <v>1766</v>
      </c>
      <c r="K353" s="106" t="s">
        <v>1318</v>
      </c>
      <c r="L353" s="106" t="s">
        <v>1342</v>
      </c>
      <c r="M353" s="106" t="s">
        <v>1433</v>
      </c>
      <c r="N353" s="106">
        <v>28</v>
      </c>
      <c r="O353" s="106">
        <v>22</v>
      </c>
      <c r="T353" s="106" t="s">
        <v>1766</v>
      </c>
      <c r="V353" s="106">
        <v>19296881.061326299</v>
      </c>
      <c r="W353" s="106">
        <v>1</v>
      </c>
      <c r="X353" s="106">
        <v>1</v>
      </c>
      <c r="Y353" s="106">
        <v>1</v>
      </c>
      <c r="Z353" s="106">
        <v>2</v>
      </c>
      <c r="AA353" s="106">
        <v>3900000</v>
      </c>
      <c r="AB353" s="106">
        <v>3900000</v>
      </c>
      <c r="AC353" s="106">
        <v>3900000</v>
      </c>
      <c r="AD353" s="106">
        <v>7700000</v>
      </c>
      <c r="AE353" s="106">
        <v>19400000</v>
      </c>
      <c r="AF353" s="106">
        <v>19400000</v>
      </c>
      <c r="AH353" s="106">
        <v>362880</v>
      </c>
      <c r="AI353" s="106">
        <v>0.125</v>
      </c>
      <c r="AJ353" s="106">
        <v>10</v>
      </c>
      <c r="AK353" s="106">
        <v>3628.8</v>
      </c>
      <c r="AL353" s="106">
        <v>36288</v>
      </c>
      <c r="AM353" s="106">
        <v>285972</v>
      </c>
      <c r="AN353" s="106">
        <v>285972</v>
      </c>
      <c r="AO353" s="106">
        <v>169968</v>
      </c>
      <c r="AP353" s="106" t="s">
        <v>125</v>
      </c>
      <c r="AQ353" s="106" t="s">
        <v>444</v>
      </c>
      <c r="AR353" s="106">
        <v>3102</v>
      </c>
      <c r="AS353" s="114">
        <v>135000</v>
      </c>
      <c r="AT353" s="114">
        <v>135000</v>
      </c>
      <c r="AU353" s="108" t="s">
        <v>173</v>
      </c>
      <c r="AV353" s="108" t="s">
        <v>445</v>
      </c>
      <c r="AW353" s="108">
        <v>3100</v>
      </c>
      <c r="AX353" s="108">
        <v>0.22</v>
      </c>
      <c r="AY353" s="108">
        <v>0.22</v>
      </c>
      <c r="BD353" s="106">
        <v>0</v>
      </c>
      <c r="BY353" s="112" t="s">
        <v>1766</v>
      </c>
      <c r="BZ353" s="112" t="s">
        <v>1766</v>
      </c>
      <c r="CA353" s="112" t="s">
        <v>1766</v>
      </c>
      <c r="CB353" s="112" t="s">
        <v>1766</v>
      </c>
      <c r="CC353" s="112" t="s">
        <v>1766</v>
      </c>
      <c r="CD353" s="112" t="s">
        <v>1766</v>
      </c>
      <c r="CE353" s="112" t="s">
        <v>1766</v>
      </c>
      <c r="CF353" s="112" t="s">
        <v>1766</v>
      </c>
      <c r="CG353" s="112" t="s">
        <v>1766</v>
      </c>
      <c r="CH353" s="112" t="s">
        <v>1766</v>
      </c>
      <c r="CI353" s="112" t="s">
        <v>1766</v>
      </c>
      <c r="CJ353" s="112" t="s">
        <v>1766</v>
      </c>
      <c r="CK353" s="112" t="s">
        <v>1766</v>
      </c>
      <c r="CL353" s="112" t="s">
        <v>1766</v>
      </c>
      <c r="CM353" s="112" t="s">
        <v>1766</v>
      </c>
      <c r="CN353" s="112" t="s">
        <v>1766</v>
      </c>
      <c r="CO353" s="112" t="s">
        <v>1766</v>
      </c>
    </row>
    <row r="354" spans="1:93">
      <c r="A354" s="106" t="s">
        <v>442</v>
      </c>
      <c r="B354" s="106">
        <v>23</v>
      </c>
      <c r="C354" s="106">
        <v>1</v>
      </c>
      <c r="D354" s="106">
        <v>2</v>
      </c>
      <c r="E354" s="106">
        <v>1</v>
      </c>
      <c r="F354" s="106">
        <v>1</v>
      </c>
      <c r="G354" s="106" t="s">
        <v>66</v>
      </c>
      <c r="I354" s="106">
        <v>201</v>
      </c>
      <c r="J354" s="106" t="s">
        <v>1766</v>
      </c>
      <c r="K354" s="106" t="s">
        <v>1318</v>
      </c>
      <c r="L354" s="106" t="s">
        <v>1344</v>
      </c>
      <c r="M354" s="106" t="s">
        <v>1434</v>
      </c>
      <c r="N354" s="106">
        <v>28</v>
      </c>
      <c r="O354" s="106">
        <v>23</v>
      </c>
      <c r="T354" s="106" t="s">
        <v>1766</v>
      </c>
      <c r="V354" s="106">
        <v>24700007.7584977</v>
      </c>
      <c r="W354" s="106">
        <v>1</v>
      </c>
      <c r="X354" s="106">
        <v>1</v>
      </c>
      <c r="Y354" s="106">
        <v>1</v>
      </c>
      <c r="Z354" s="106">
        <v>2</v>
      </c>
      <c r="AA354" s="106">
        <v>4900000</v>
      </c>
      <c r="AB354" s="106">
        <v>4900000</v>
      </c>
      <c r="AC354" s="106">
        <v>4900000</v>
      </c>
      <c r="AD354" s="106">
        <v>9900000</v>
      </c>
      <c r="AE354" s="106">
        <v>24600000</v>
      </c>
      <c r="AF354" s="106">
        <v>24600000</v>
      </c>
      <c r="AH354" s="106">
        <v>466560</v>
      </c>
      <c r="AI354" s="106">
        <v>0.125</v>
      </c>
      <c r="AJ354" s="106">
        <v>11</v>
      </c>
      <c r="AK354" s="106">
        <v>4665.6000000000004</v>
      </c>
      <c r="AL354" s="106">
        <v>51321.599999999999</v>
      </c>
      <c r="AM354" s="106">
        <v>363098</v>
      </c>
      <c r="AN354" s="106">
        <v>363098</v>
      </c>
      <c r="AO354" s="106">
        <v>219368</v>
      </c>
      <c r="AP354" s="106" t="s">
        <v>125</v>
      </c>
      <c r="AQ354" s="106" t="s">
        <v>444</v>
      </c>
      <c r="AR354" s="106">
        <v>3102</v>
      </c>
      <c r="AS354" s="114">
        <v>140000</v>
      </c>
      <c r="AT354" s="114">
        <v>140000</v>
      </c>
      <c r="AU354" s="108" t="s">
        <v>173</v>
      </c>
      <c r="AV354" s="108" t="s">
        <v>445</v>
      </c>
      <c r="AW354" s="108">
        <v>3100</v>
      </c>
      <c r="AX354" s="108">
        <v>0.23</v>
      </c>
      <c r="AY354" s="108">
        <v>0.23</v>
      </c>
      <c r="BD354" s="106">
        <v>0</v>
      </c>
      <c r="BY354" s="112" t="s">
        <v>1766</v>
      </c>
      <c r="BZ354" s="112" t="s">
        <v>1766</v>
      </c>
      <c r="CA354" s="112" t="s">
        <v>1766</v>
      </c>
      <c r="CB354" s="112" t="s">
        <v>1766</v>
      </c>
      <c r="CC354" s="112" t="s">
        <v>1766</v>
      </c>
      <c r="CD354" s="112" t="s">
        <v>1766</v>
      </c>
      <c r="CE354" s="112" t="s">
        <v>1766</v>
      </c>
      <c r="CF354" s="112" t="s">
        <v>1766</v>
      </c>
      <c r="CG354" s="112" t="s">
        <v>1766</v>
      </c>
      <c r="CH354" s="112" t="s">
        <v>1766</v>
      </c>
      <c r="CI354" s="112" t="s">
        <v>1766</v>
      </c>
      <c r="CJ354" s="112" t="s">
        <v>1766</v>
      </c>
      <c r="CK354" s="112" t="s">
        <v>1766</v>
      </c>
      <c r="CL354" s="112" t="s">
        <v>1766</v>
      </c>
      <c r="CM354" s="112" t="s">
        <v>1766</v>
      </c>
      <c r="CN354" s="112" t="s">
        <v>1766</v>
      </c>
      <c r="CO354" s="112" t="s">
        <v>1766</v>
      </c>
    </row>
    <row r="355" spans="1:93">
      <c r="A355" s="106" t="s">
        <v>442</v>
      </c>
      <c r="B355" s="106">
        <v>24</v>
      </c>
      <c r="C355" s="106">
        <v>1</v>
      </c>
      <c r="D355" s="106">
        <v>2</v>
      </c>
      <c r="E355" s="106">
        <v>1</v>
      </c>
      <c r="F355" s="106">
        <v>1</v>
      </c>
      <c r="G355" s="106" t="s">
        <v>66</v>
      </c>
      <c r="I355" s="106">
        <v>201</v>
      </c>
      <c r="J355" s="106" t="s">
        <v>1766</v>
      </c>
      <c r="K355" s="106" t="s">
        <v>1318</v>
      </c>
      <c r="L355" s="106" t="s">
        <v>1346</v>
      </c>
      <c r="M355" s="106" t="s">
        <v>1435</v>
      </c>
      <c r="N355" s="106">
        <v>28</v>
      </c>
      <c r="O355" s="106">
        <v>24</v>
      </c>
      <c r="T355" s="106" t="s">
        <v>1766</v>
      </c>
      <c r="V355" s="106">
        <v>31616009.930877101</v>
      </c>
      <c r="W355" s="106">
        <v>1</v>
      </c>
      <c r="X355" s="106">
        <v>1</v>
      </c>
      <c r="Y355" s="106">
        <v>1</v>
      </c>
      <c r="Z355" s="106">
        <v>2</v>
      </c>
      <c r="AA355" s="106">
        <v>6300000</v>
      </c>
      <c r="AB355" s="106">
        <v>6300000</v>
      </c>
      <c r="AC355" s="106">
        <v>6300000</v>
      </c>
      <c r="AD355" s="106">
        <v>13000000</v>
      </c>
      <c r="AE355" s="106">
        <v>31900000</v>
      </c>
      <c r="AF355" s="106">
        <v>31900000</v>
      </c>
      <c r="AH355" s="106">
        <v>596160</v>
      </c>
      <c r="AI355" s="106">
        <v>0.125</v>
      </c>
      <c r="AJ355" s="106">
        <v>12</v>
      </c>
      <c r="AK355" s="106">
        <v>5961.6</v>
      </c>
      <c r="AL355" s="106">
        <v>71539.199999999997</v>
      </c>
      <c r="AM355" s="106">
        <v>458080</v>
      </c>
      <c r="AN355" s="106">
        <v>458080</v>
      </c>
      <c r="AO355" s="106">
        <v>282600</v>
      </c>
      <c r="AP355" s="106" t="s">
        <v>125</v>
      </c>
      <c r="AQ355" s="106" t="s">
        <v>444</v>
      </c>
      <c r="AR355" s="106">
        <v>3102</v>
      </c>
      <c r="AS355" s="114">
        <v>145000</v>
      </c>
      <c r="AT355" s="114">
        <v>145000</v>
      </c>
      <c r="AU355" s="108" t="s">
        <v>173</v>
      </c>
      <c r="AV355" s="108" t="s">
        <v>445</v>
      </c>
      <c r="AW355" s="108">
        <v>3100</v>
      </c>
      <c r="AX355" s="108">
        <v>0.24</v>
      </c>
      <c r="AY355" s="108">
        <v>0.24</v>
      </c>
      <c r="BD355" s="106">
        <v>0</v>
      </c>
      <c r="BY355" s="112" t="s">
        <v>1766</v>
      </c>
      <c r="BZ355" s="112" t="s">
        <v>1766</v>
      </c>
      <c r="CA355" s="112" t="s">
        <v>1766</v>
      </c>
      <c r="CB355" s="112" t="s">
        <v>1766</v>
      </c>
      <c r="CC355" s="112" t="s">
        <v>1766</v>
      </c>
      <c r="CD355" s="112" t="s">
        <v>1766</v>
      </c>
      <c r="CE355" s="112" t="s">
        <v>1766</v>
      </c>
      <c r="CF355" s="112" t="s">
        <v>1766</v>
      </c>
      <c r="CG355" s="112" t="s">
        <v>1766</v>
      </c>
      <c r="CH355" s="112" t="s">
        <v>1766</v>
      </c>
      <c r="CI355" s="112" t="s">
        <v>1766</v>
      </c>
      <c r="CJ355" s="112" t="s">
        <v>1766</v>
      </c>
      <c r="CK355" s="112" t="s">
        <v>1766</v>
      </c>
      <c r="CL355" s="112" t="s">
        <v>1766</v>
      </c>
      <c r="CM355" s="112" t="s">
        <v>1766</v>
      </c>
      <c r="CN355" s="112" t="s">
        <v>1766</v>
      </c>
      <c r="CO355" s="112" t="s">
        <v>1766</v>
      </c>
    </row>
    <row r="356" spans="1:93">
      <c r="A356" s="106" t="s">
        <v>442</v>
      </c>
      <c r="B356" s="106">
        <v>25</v>
      </c>
      <c r="C356" s="106">
        <v>1</v>
      </c>
      <c r="D356" s="106">
        <v>2</v>
      </c>
      <c r="E356" s="106">
        <v>1</v>
      </c>
      <c r="F356" s="106">
        <v>1</v>
      </c>
      <c r="G356" s="106" t="s">
        <v>66</v>
      </c>
      <c r="I356" s="106">
        <v>201</v>
      </c>
      <c r="J356" s="106" t="s">
        <v>1766</v>
      </c>
      <c r="K356" s="106" t="s">
        <v>1318</v>
      </c>
      <c r="L356" s="106" t="s">
        <v>1348</v>
      </c>
      <c r="M356" s="106" t="s">
        <v>1436</v>
      </c>
      <c r="N356" s="106">
        <v>28</v>
      </c>
      <c r="O356" s="106">
        <v>25</v>
      </c>
      <c r="T356" s="106" t="s">
        <v>1766</v>
      </c>
      <c r="V356" s="106">
        <v>40468492.711522602</v>
      </c>
      <c r="W356" s="106">
        <v>1</v>
      </c>
      <c r="X356" s="106">
        <v>1</v>
      </c>
      <c r="Y356" s="106">
        <v>1</v>
      </c>
      <c r="Z356" s="106">
        <v>2</v>
      </c>
      <c r="AA356" s="106">
        <v>8100000</v>
      </c>
      <c r="AB356" s="106">
        <v>8100000</v>
      </c>
      <c r="AC356" s="106">
        <v>8100000</v>
      </c>
      <c r="AD356" s="106">
        <v>16000000</v>
      </c>
      <c r="AE356" s="106">
        <v>40300000</v>
      </c>
      <c r="AF356" s="106">
        <v>40300000</v>
      </c>
      <c r="AH356" s="106">
        <v>751680</v>
      </c>
      <c r="AI356" s="106">
        <v>0.125</v>
      </c>
      <c r="AJ356" s="106">
        <v>13</v>
      </c>
      <c r="AK356" s="106">
        <v>7516.8</v>
      </c>
      <c r="AL356" s="106">
        <v>97718.399999999994</v>
      </c>
      <c r="AM356" s="106">
        <v>570141</v>
      </c>
      <c r="AN356" s="106">
        <v>570141</v>
      </c>
      <c r="AO356" s="106">
        <v>363537</v>
      </c>
      <c r="AP356" s="106" t="s">
        <v>125</v>
      </c>
      <c r="AQ356" s="106" t="s">
        <v>444</v>
      </c>
      <c r="AR356" s="106">
        <v>3102</v>
      </c>
      <c r="AS356" s="114">
        <v>150000</v>
      </c>
      <c r="AT356" s="114">
        <v>150000</v>
      </c>
      <c r="AU356" s="108" t="s">
        <v>173</v>
      </c>
      <c r="AV356" s="108" t="s">
        <v>445</v>
      </c>
      <c r="AW356" s="108">
        <v>3100</v>
      </c>
      <c r="AX356" s="108">
        <v>0.25</v>
      </c>
      <c r="AY356" s="108">
        <v>0.25</v>
      </c>
      <c r="BD356" s="106">
        <v>0</v>
      </c>
      <c r="BY356" s="112" t="s">
        <v>1766</v>
      </c>
      <c r="BZ356" s="112" t="s">
        <v>1766</v>
      </c>
      <c r="CA356" s="112" t="s">
        <v>1766</v>
      </c>
      <c r="CB356" s="112" t="s">
        <v>1766</v>
      </c>
      <c r="CC356" s="112" t="s">
        <v>1766</v>
      </c>
      <c r="CD356" s="112" t="s">
        <v>1766</v>
      </c>
      <c r="CE356" s="112" t="s">
        <v>1766</v>
      </c>
      <c r="CF356" s="112" t="s">
        <v>1766</v>
      </c>
      <c r="CG356" s="112" t="s">
        <v>1766</v>
      </c>
      <c r="CH356" s="112" t="s">
        <v>1766</v>
      </c>
      <c r="CI356" s="112" t="s">
        <v>1766</v>
      </c>
      <c r="CJ356" s="112" t="s">
        <v>1766</v>
      </c>
      <c r="CK356" s="112" t="s">
        <v>1766</v>
      </c>
      <c r="CL356" s="112" t="s">
        <v>1766</v>
      </c>
      <c r="CM356" s="112" t="s">
        <v>1766</v>
      </c>
      <c r="CN356" s="112" t="s">
        <v>1766</v>
      </c>
      <c r="CO356" s="112" t="s">
        <v>1766</v>
      </c>
    </row>
    <row r="357" spans="1:93">
      <c r="A357" s="106" t="s">
        <v>442</v>
      </c>
      <c r="B357" s="106">
        <v>26</v>
      </c>
      <c r="C357" s="106">
        <v>1</v>
      </c>
      <c r="D357" s="106">
        <v>2</v>
      </c>
      <c r="E357" s="106">
        <v>1</v>
      </c>
      <c r="F357" s="106">
        <v>1</v>
      </c>
      <c r="G357" s="106" t="s">
        <v>66</v>
      </c>
      <c r="I357" s="106">
        <v>201</v>
      </c>
      <c r="J357" s="106" t="s">
        <v>1766</v>
      </c>
      <c r="K357" s="106" t="s">
        <v>1318</v>
      </c>
      <c r="L357" s="106" t="s">
        <v>1350</v>
      </c>
      <c r="M357" s="106" t="s">
        <v>1437</v>
      </c>
      <c r="N357" s="106">
        <v>28</v>
      </c>
      <c r="O357" s="106">
        <v>26</v>
      </c>
      <c r="T357" s="106" t="s">
        <v>1766</v>
      </c>
      <c r="V357" s="106">
        <v>51799670.670749001</v>
      </c>
      <c r="W357" s="106">
        <v>1</v>
      </c>
      <c r="X357" s="106">
        <v>1</v>
      </c>
      <c r="Y357" s="106">
        <v>1</v>
      </c>
      <c r="Z357" s="106">
        <v>2</v>
      </c>
      <c r="AA357" s="106">
        <v>10000000</v>
      </c>
      <c r="AB357" s="106">
        <v>10000000</v>
      </c>
      <c r="AC357" s="106">
        <v>10000000</v>
      </c>
      <c r="AD357" s="106">
        <v>21000000</v>
      </c>
      <c r="AE357" s="106">
        <v>51000000</v>
      </c>
      <c r="AF357" s="106">
        <v>51000000</v>
      </c>
      <c r="AH357" s="106">
        <v>933120</v>
      </c>
      <c r="AI357" s="106">
        <v>0.14499999999999999</v>
      </c>
      <c r="AJ357" s="106">
        <v>14</v>
      </c>
      <c r="AK357" s="106">
        <v>9331.2000000000007</v>
      </c>
      <c r="AL357" s="106">
        <v>130636.8</v>
      </c>
      <c r="AM357" s="106">
        <v>684015</v>
      </c>
      <c r="AN357" s="106">
        <v>684015</v>
      </c>
      <c r="AO357" s="106">
        <v>467136</v>
      </c>
      <c r="AP357" s="106" t="s">
        <v>125</v>
      </c>
      <c r="AQ357" s="106" t="s">
        <v>444</v>
      </c>
      <c r="AR357" s="106">
        <v>3102</v>
      </c>
      <c r="AS357" s="114">
        <v>160000</v>
      </c>
      <c r="AT357" s="114">
        <v>160000</v>
      </c>
      <c r="AU357" s="108" t="s">
        <v>173</v>
      </c>
      <c r="AV357" s="108" t="s">
        <v>445</v>
      </c>
      <c r="AW357" s="108">
        <v>3100</v>
      </c>
      <c r="AX357" s="108">
        <v>0.27</v>
      </c>
      <c r="AY357" s="108">
        <v>0.27</v>
      </c>
      <c r="BD357" s="106">
        <v>0</v>
      </c>
      <c r="BY357" s="112" t="s">
        <v>1766</v>
      </c>
      <c r="BZ357" s="112" t="s">
        <v>1766</v>
      </c>
      <c r="CA357" s="112" t="s">
        <v>1766</v>
      </c>
      <c r="CB357" s="112" t="s">
        <v>1766</v>
      </c>
      <c r="CC357" s="112" t="s">
        <v>1766</v>
      </c>
      <c r="CD357" s="112" t="s">
        <v>1766</v>
      </c>
      <c r="CE357" s="112" t="s">
        <v>1766</v>
      </c>
      <c r="CF357" s="112" t="s">
        <v>1766</v>
      </c>
      <c r="CG357" s="112" t="s">
        <v>1766</v>
      </c>
      <c r="CH357" s="112" t="s">
        <v>1766</v>
      </c>
      <c r="CI357" s="112" t="s">
        <v>1766</v>
      </c>
      <c r="CJ357" s="112" t="s">
        <v>1766</v>
      </c>
      <c r="CK357" s="112" t="s">
        <v>1766</v>
      </c>
      <c r="CL357" s="112" t="s">
        <v>1766</v>
      </c>
      <c r="CM357" s="112" t="s">
        <v>1766</v>
      </c>
      <c r="CN357" s="112" t="s">
        <v>1766</v>
      </c>
      <c r="CO357" s="112" t="s">
        <v>1766</v>
      </c>
    </row>
    <row r="358" spans="1:93">
      <c r="A358" s="106" t="s">
        <v>442</v>
      </c>
      <c r="B358" s="106">
        <v>27</v>
      </c>
      <c r="C358" s="106">
        <v>1</v>
      </c>
      <c r="D358" s="106">
        <v>2</v>
      </c>
      <c r="E358" s="106">
        <v>1</v>
      </c>
      <c r="F358" s="106">
        <v>1</v>
      </c>
      <c r="G358" s="106" t="s">
        <v>66</v>
      </c>
      <c r="I358" s="106">
        <v>201</v>
      </c>
      <c r="J358" s="106" t="s">
        <v>1766</v>
      </c>
      <c r="K358" s="106" t="s">
        <v>1318</v>
      </c>
      <c r="L358" s="106" t="s">
        <v>1352</v>
      </c>
      <c r="M358" s="106" t="s">
        <v>1438</v>
      </c>
      <c r="N358" s="106">
        <v>28</v>
      </c>
      <c r="O358" s="106">
        <v>27</v>
      </c>
      <c r="T358" s="106" t="s">
        <v>1766</v>
      </c>
      <c r="V358" s="106">
        <v>66303578.458558701</v>
      </c>
      <c r="W358" s="106">
        <v>1</v>
      </c>
      <c r="X358" s="106">
        <v>1</v>
      </c>
      <c r="Y358" s="106">
        <v>1</v>
      </c>
      <c r="Z358" s="106">
        <v>2</v>
      </c>
      <c r="AA358" s="106">
        <v>13000000</v>
      </c>
      <c r="AB358" s="106">
        <v>13000000</v>
      </c>
      <c r="AC358" s="106">
        <v>13000000</v>
      </c>
      <c r="AD358" s="106">
        <v>27000000</v>
      </c>
      <c r="AE358" s="106">
        <v>66000000</v>
      </c>
      <c r="AF358" s="106">
        <v>66000000</v>
      </c>
      <c r="AH358" s="106">
        <v>1140480</v>
      </c>
      <c r="AI358" s="106">
        <v>0.16500000000000001</v>
      </c>
      <c r="AJ358" s="106">
        <v>15</v>
      </c>
      <c r="AK358" s="106">
        <v>11404.8</v>
      </c>
      <c r="AL358" s="106">
        <v>171072</v>
      </c>
      <c r="AM358" s="106">
        <v>807580</v>
      </c>
      <c r="AN358" s="106">
        <v>807580</v>
      </c>
      <c r="AO358" s="106">
        <v>599743</v>
      </c>
      <c r="AP358" s="106" t="s">
        <v>125</v>
      </c>
      <c r="AQ358" s="106" t="s">
        <v>444</v>
      </c>
      <c r="AR358" s="106">
        <v>3102</v>
      </c>
      <c r="AS358" s="114">
        <v>170000</v>
      </c>
      <c r="AT358" s="114">
        <v>170000</v>
      </c>
      <c r="AU358" s="108" t="s">
        <v>173</v>
      </c>
      <c r="AV358" s="108" t="s">
        <v>445</v>
      </c>
      <c r="AW358" s="108">
        <v>3100</v>
      </c>
      <c r="AX358" s="108">
        <v>0.28999999999999998</v>
      </c>
      <c r="AY358" s="108">
        <v>0.28999999999999998</v>
      </c>
      <c r="BD358" s="106">
        <v>0</v>
      </c>
      <c r="BY358" s="112" t="s">
        <v>1766</v>
      </c>
      <c r="BZ358" s="112" t="s">
        <v>1766</v>
      </c>
      <c r="CA358" s="112" t="s">
        <v>1766</v>
      </c>
      <c r="CB358" s="112" t="s">
        <v>1766</v>
      </c>
      <c r="CC358" s="112" t="s">
        <v>1766</v>
      </c>
      <c r="CD358" s="112" t="s">
        <v>1766</v>
      </c>
      <c r="CE358" s="112" t="s">
        <v>1766</v>
      </c>
      <c r="CF358" s="112" t="s">
        <v>1766</v>
      </c>
      <c r="CG358" s="112" t="s">
        <v>1766</v>
      </c>
      <c r="CH358" s="112" t="s">
        <v>1766</v>
      </c>
      <c r="CI358" s="112" t="s">
        <v>1766</v>
      </c>
      <c r="CJ358" s="112" t="s">
        <v>1766</v>
      </c>
      <c r="CK358" s="112" t="s">
        <v>1766</v>
      </c>
      <c r="CL358" s="112" t="s">
        <v>1766</v>
      </c>
      <c r="CM358" s="112" t="s">
        <v>1766</v>
      </c>
      <c r="CN358" s="112" t="s">
        <v>1766</v>
      </c>
      <c r="CO358" s="112" t="s">
        <v>1766</v>
      </c>
    </row>
    <row r="359" spans="1:93">
      <c r="A359" s="106" t="s">
        <v>442</v>
      </c>
      <c r="B359" s="106">
        <v>28</v>
      </c>
      <c r="C359" s="106">
        <v>1</v>
      </c>
      <c r="D359" s="106">
        <v>2</v>
      </c>
      <c r="E359" s="106">
        <v>1</v>
      </c>
      <c r="F359" s="106">
        <v>1</v>
      </c>
      <c r="G359" s="106" t="s">
        <v>66</v>
      </c>
      <c r="I359" s="106">
        <v>201</v>
      </c>
      <c r="J359" s="106" t="s">
        <v>1766</v>
      </c>
      <c r="K359" s="106" t="s">
        <v>1318</v>
      </c>
      <c r="L359" s="106" t="s">
        <v>1354</v>
      </c>
      <c r="M359" s="106" t="s">
        <v>1439</v>
      </c>
      <c r="O359" s="106">
        <v>28</v>
      </c>
      <c r="T359" s="106" t="s">
        <v>1766</v>
      </c>
      <c r="V359" s="106">
        <v>84868580.426955104</v>
      </c>
      <c r="W359" s="106">
        <v>1</v>
      </c>
      <c r="X359" s="106">
        <v>1</v>
      </c>
      <c r="Y359" s="106">
        <v>1</v>
      </c>
      <c r="Z359" s="106">
        <v>2</v>
      </c>
      <c r="AA359" s="106">
        <v>17000000</v>
      </c>
      <c r="AB359" s="106">
        <v>17000000</v>
      </c>
      <c r="AC359" s="106">
        <v>17000000</v>
      </c>
      <c r="AD359" s="106">
        <v>34000000</v>
      </c>
      <c r="AE359" s="106">
        <v>85000000</v>
      </c>
      <c r="AF359" s="106">
        <v>85000000</v>
      </c>
      <c r="AH359" s="106">
        <v>1399680</v>
      </c>
      <c r="AI359" s="106">
        <v>0.185</v>
      </c>
      <c r="AJ359" s="106">
        <v>16</v>
      </c>
      <c r="AK359" s="106">
        <v>13996.8</v>
      </c>
      <c r="AL359" s="106">
        <v>223948.79999999999</v>
      </c>
      <c r="AM359" s="106">
        <v>956915</v>
      </c>
      <c r="AN359" s="106">
        <v>956915</v>
      </c>
      <c r="AO359" s="106">
        <v>769480</v>
      </c>
      <c r="AP359" s="106" t="s">
        <v>125</v>
      </c>
      <c r="AQ359" s="106" t="s">
        <v>444</v>
      </c>
      <c r="AR359" s="106">
        <v>3102</v>
      </c>
      <c r="AS359" s="114">
        <v>180000</v>
      </c>
      <c r="AT359" s="114">
        <v>180000</v>
      </c>
      <c r="AU359" s="108" t="s">
        <v>173</v>
      </c>
      <c r="AV359" s="108" t="s">
        <v>445</v>
      </c>
      <c r="AW359" s="108">
        <v>3100</v>
      </c>
      <c r="AX359" s="108">
        <v>0.31</v>
      </c>
      <c r="AY359" s="108">
        <v>0.31</v>
      </c>
      <c r="BD359" s="106">
        <v>0</v>
      </c>
      <c r="BY359" s="112" t="s">
        <v>1766</v>
      </c>
      <c r="BZ359" s="112" t="s">
        <v>1766</v>
      </c>
      <c r="CA359" s="112" t="s">
        <v>1766</v>
      </c>
      <c r="CB359" s="112" t="s">
        <v>1766</v>
      </c>
      <c r="CC359" s="112" t="s">
        <v>1766</v>
      </c>
      <c r="CD359" s="112" t="s">
        <v>1766</v>
      </c>
      <c r="CE359" s="112" t="s">
        <v>1766</v>
      </c>
      <c r="CF359" s="112" t="s">
        <v>1766</v>
      </c>
      <c r="CG359" s="112" t="s">
        <v>1766</v>
      </c>
      <c r="CH359" s="112" t="s">
        <v>1766</v>
      </c>
      <c r="CI359" s="112" t="s">
        <v>1766</v>
      </c>
      <c r="CJ359" s="112" t="s">
        <v>1766</v>
      </c>
      <c r="CK359" s="112" t="s">
        <v>1766</v>
      </c>
      <c r="CL359" s="112" t="s">
        <v>1766</v>
      </c>
      <c r="CM359" s="112" t="s">
        <v>1766</v>
      </c>
      <c r="CN359" s="112" t="s">
        <v>1766</v>
      </c>
      <c r="CO359" s="112" t="s">
        <v>1766</v>
      </c>
    </row>
    <row r="360" spans="1:93">
      <c r="A360" s="106" t="s">
        <v>442</v>
      </c>
      <c r="B360" s="106">
        <v>29</v>
      </c>
      <c r="C360" s="106">
        <v>1</v>
      </c>
      <c r="D360" s="106">
        <v>2</v>
      </c>
      <c r="E360" s="106">
        <v>1</v>
      </c>
      <c r="F360" s="106">
        <v>1</v>
      </c>
      <c r="G360" s="106" t="s">
        <v>66</v>
      </c>
      <c r="I360" s="106">
        <v>201</v>
      </c>
      <c r="J360" s="106" t="s">
        <v>1766</v>
      </c>
      <c r="K360" s="106" t="s">
        <v>1318</v>
      </c>
      <c r="L360" s="106" t="s">
        <v>1356</v>
      </c>
      <c r="M360" s="106" t="s">
        <v>1440</v>
      </c>
      <c r="O360" s="106">
        <v>29</v>
      </c>
      <c r="T360" s="106" t="s">
        <v>1766</v>
      </c>
      <c r="V360" s="106">
        <v>108631782.946503</v>
      </c>
      <c r="W360" s="106">
        <v>1</v>
      </c>
      <c r="X360" s="106">
        <v>1</v>
      </c>
      <c r="Y360" s="106">
        <v>1</v>
      </c>
      <c r="Z360" s="106">
        <v>2</v>
      </c>
      <c r="AA360" s="106">
        <v>22000000</v>
      </c>
      <c r="AB360" s="106">
        <v>22000000</v>
      </c>
      <c r="AC360" s="106">
        <v>22000000</v>
      </c>
      <c r="AD360" s="106">
        <v>43000000</v>
      </c>
      <c r="AE360" s="106">
        <v>109000000</v>
      </c>
      <c r="AF360" s="106">
        <v>109000000</v>
      </c>
      <c r="AH360" s="106">
        <v>1710720</v>
      </c>
      <c r="AI360" s="106">
        <v>0.20499999999999999</v>
      </c>
      <c r="AJ360" s="106">
        <v>17</v>
      </c>
      <c r="AK360" s="106">
        <v>17107.2</v>
      </c>
      <c r="AL360" s="106">
        <v>290822.40000000002</v>
      </c>
      <c r="AM360" s="106">
        <v>1128562</v>
      </c>
      <c r="AN360" s="106">
        <v>1128562</v>
      </c>
      <c r="AO360" s="106">
        <v>986744</v>
      </c>
      <c r="AP360" s="106" t="s">
        <v>125</v>
      </c>
      <c r="AQ360" s="106" t="s">
        <v>444</v>
      </c>
      <c r="AR360" s="106">
        <v>3102</v>
      </c>
      <c r="AS360" s="114">
        <v>190000</v>
      </c>
      <c r="AT360" s="114">
        <v>190000</v>
      </c>
      <c r="AU360" s="108" t="s">
        <v>173</v>
      </c>
      <c r="AV360" s="108" t="s">
        <v>445</v>
      </c>
      <c r="AW360" s="108">
        <v>3100</v>
      </c>
      <c r="AX360" s="108">
        <v>0.33</v>
      </c>
      <c r="AY360" s="108">
        <v>0.33</v>
      </c>
      <c r="BD360" s="106">
        <v>0</v>
      </c>
      <c r="BY360" s="112" t="s">
        <v>1766</v>
      </c>
      <c r="BZ360" s="112" t="s">
        <v>1766</v>
      </c>
      <c r="CA360" s="112" t="s">
        <v>1766</v>
      </c>
      <c r="CB360" s="112" t="s">
        <v>1766</v>
      </c>
      <c r="CC360" s="112" t="s">
        <v>1766</v>
      </c>
      <c r="CD360" s="112" t="s">
        <v>1766</v>
      </c>
      <c r="CE360" s="112" t="s">
        <v>1766</v>
      </c>
      <c r="CF360" s="112" t="s">
        <v>1766</v>
      </c>
      <c r="CG360" s="112" t="s">
        <v>1766</v>
      </c>
      <c r="CH360" s="112" t="s">
        <v>1766</v>
      </c>
      <c r="CI360" s="112" t="s">
        <v>1766</v>
      </c>
      <c r="CJ360" s="112" t="s">
        <v>1766</v>
      </c>
      <c r="CK360" s="112" t="s">
        <v>1766</v>
      </c>
      <c r="CL360" s="112" t="s">
        <v>1766</v>
      </c>
      <c r="CM360" s="112" t="s">
        <v>1766</v>
      </c>
      <c r="CN360" s="112" t="s">
        <v>1766</v>
      </c>
      <c r="CO360" s="112" t="s">
        <v>1766</v>
      </c>
    </row>
    <row r="361" spans="1:93">
      <c r="A361" s="106" t="s">
        <v>442</v>
      </c>
      <c r="B361" s="106">
        <v>30</v>
      </c>
      <c r="C361" s="106">
        <v>1</v>
      </c>
      <c r="D361" s="106">
        <v>2</v>
      </c>
      <c r="E361" s="106">
        <v>1</v>
      </c>
      <c r="F361" s="106">
        <v>1</v>
      </c>
      <c r="G361" s="106" t="s">
        <v>66</v>
      </c>
      <c r="I361" s="106">
        <v>201</v>
      </c>
      <c r="J361" s="106" t="s">
        <v>1766</v>
      </c>
      <c r="K361" s="106" t="s">
        <v>1318</v>
      </c>
      <c r="L361" s="106" t="s">
        <v>1358</v>
      </c>
      <c r="M361" s="106" t="s">
        <v>1441</v>
      </c>
      <c r="O361" s="106">
        <v>30</v>
      </c>
      <c r="T361" s="106" t="s">
        <v>1766</v>
      </c>
      <c r="V361" s="106">
        <v>139048682.171523</v>
      </c>
      <c r="W361" s="106">
        <v>1</v>
      </c>
      <c r="X361" s="106">
        <v>1</v>
      </c>
      <c r="Y361" s="106">
        <v>1</v>
      </c>
      <c r="Z361" s="106">
        <v>2</v>
      </c>
      <c r="AA361" s="106">
        <v>28000000</v>
      </c>
      <c r="AB361" s="106">
        <v>28000000</v>
      </c>
      <c r="AC361" s="106">
        <v>28000000</v>
      </c>
      <c r="AD361" s="106">
        <v>56000000</v>
      </c>
      <c r="AE361" s="106">
        <v>140000000</v>
      </c>
      <c r="AF361" s="106">
        <v>140000000</v>
      </c>
      <c r="AH361" s="106">
        <v>2073600</v>
      </c>
      <c r="AI361" s="106">
        <v>0.22500000000000001</v>
      </c>
      <c r="AJ361" s="106">
        <v>18</v>
      </c>
      <c r="AK361" s="106">
        <v>20736</v>
      </c>
      <c r="AL361" s="106">
        <v>373248</v>
      </c>
      <c r="AM361" s="106">
        <v>1319186</v>
      </c>
      <c r="AN361" s="106">
        <v>1319186</v>
      </c>
      <c r="AO361" s="106">
        <v>1264841</v>
      </c>
      <c r="AP361" s="106" t="s">
        <v>125</v>
      </c>
      <c r="AQ361" s="106" t="s">
        <v>444</v>
      </c>
      <c r="AR361" s="106">
        <v>3102</v>
      </c>
      <c r="AS361" s="114">
        <v>200000</v>
      </c>
      <c r="AT361" s="114">
        <v>200000</v>
      </c>
      <c r="AU361" s="108" t="s">
        <v>173</v>
      </c>
      <c r="AV361" s="108" t="s">
        <v>445</v>
      </c>
      <c r="AW361" s="108">
        <v>3100</v>
      </c>
      <c r="AX361" s="108">
        <v>0.35</v>
      </c>
      <c r="AY361" s="108">
        <v>0.35</v>
      </c>
      <c r="BD361" s="106">
        <v>0</v>
      </c>
      <c r="BY361" s="112" t="s">
        <v>1766</v>
      </c>
      <c r="BZ361" s="112" t="s">
        <v>1766</v>
      </c>
      <c r="CA361" s="112" t="s">
        <v>1766</v>
      </c>
      <c r="CB361" s="112" t="s">
        <v>1766</v>
      </c>
      <c r="CC361" s="112" t="s">
        <v>1766</v>
      </c>
      <c r="CD361" s="112" t="s">
        <v>1766</v>
      </c>
      <c r="CE361" s="112" t="s">
        <v>1766</v>
      </c>
      <c r="CF361" s="112" t="s">
        <v>1766</v>
      </c>
      <c r="CG361" s="112" t="s">
        <v>1766</v>
      </c>
      <c r="CH361" s="112" t="s">
        <v>1766</v>
      </c>
      <c r="CI361" s="112" t="s">
        <v>1766</v>
      </c>
      <c r="CJ361" s="112" t="s">
        <v>1766</v>
      </c>
      <c r="CK361" s="112" t="s">
        <v>1766</v>
      </c>
      <c r="CL361" s="112" t="s">
        <v>1766</v>
      </c>
      <c r="CM361" s="112" t="s">
        <v>1766</v>
      </c>
      <c r="CN361" s="112" t="s">
        <v>1766</v>
      </c>
      <c r="CO361" s="112" t="s">
        <v>1766</v>
      </c>
    </row>
    <row r="362" spans="1:93">
      <c r="A362" s="106" t="s">
        <v>469</v>
      </c>
      <c r="B362" s="106">
        <v>1</v>
      </c>
      <c r="C362" s="106">
        <v>1</v>
      </c>
      <c r="D362" s="106">
        <v>1</v>
      </c>
      <c r="E362" s="106">
        <v>1</v>
      </c>
      <c r="F362" s="106">
        <v>1</v>
      </c>
      <c r="G362" s="106" t="s">
        <v>66</v>
      </c>
      <c r="I362" s="106">
        <v>201</v>
      </c>
      <c r="J362" s="106" t="s">
        <v>1766</v>
      </c>
      <c r="K362" s="106" t="s">
        <v>1318</v>
      </c>
      <c r="L362" s="106" t="s">
        <v>229</v>
      </c>
      <c r="M362" s="106" t="s">
        <v>470</v>
      </c>
      <c r="N362" s="106">
        <v>6</v>
      </c>
      <c r="O362" s="106">
        <v>6</v>
      </c>
      <c r="T362" s="106" t="s">
        <v>1766</v>
      </c>
      <c r="V362" s="106">
        <v>0</v>
      </c>
      <c r="W362" s="106">
        <v>0</v>
      </c>
      <c r="X362" s="106">
        <v>0</v>
      </c>
      <c r="Y362" s="106" t="s">
        <v>1766</v>
      </c>
      <c r="Z362" s="106" t="s">
        <v>1766</v>
      </c>
      <c r="AA362" s="106">
        <v>0</v>
      </c>
      <c r="AB362" s="106">
        <v>0</v>
      </c>
      <c r="AC362" s="106">
        <v>0</v>
      </c>
      <c r="AD362" s="106">
        <v>0</v>
      </c>
      <c r="AE362" s="106">
        <v>0</v>
      </c>
      <c r="AF362" s="106">
        <v>0</v>
      </c>
      <c r="AH362" s="106">
        <v>25</v>
      </c>
      <c r="AI362" s="106">
        <v>0</v>
      </c>
      <c r="AJ362" s="106">
        <v>0</v>
      </c>
      <c r="AK362" s="106">
        <v>120</v>
      </c>
      <c r="AL362" s="106">
        <v>0</v>
      </c>
      <c r="AM362" s="106">
        <v>1</v>
      </c>
      <c r="AN362" s="106">
        <v>1</v>
      </c>
      <c r="AO362" s="106">
        <v>2</v>
      </c>
      <c r="AP362" s="106" t="s">
        <v>128</v>
      </c>
      <c r="AQ362" s="106" t="s">
        <v>471</v>
      </c>
      <c r="AR362" s="106">
        <v>2553</v>
      </c>
      <c r="AS362" s="114">
        <v>0.02</v>
      </c>
      <c r="AT362" s="114">
        <v>0.02</v>
      </c>
      <c r="AU362" s="108" t="s">
        <v>176</v>
      </c>
      <c r="AV362" s="108" t="s">
        <v>472</v>
      </c>
      <c r="AW362" s="108">
        <v>2570</v>
      </c>
      <c r="AX362" s="108">
        <v>1</v>
      </c>
      <c r="AY362" s="108">
        <v>1</v>
      </c>
      <c r="BD362" s="106">
        <v>0</v>
      </c>
      <c r="BY362" s="112" t="s">
        <v>158</v>
      </c>
      <c r="BZ362" s="112" t="s">
        <v>1454</v>
      </c>
      <c r="CA362" s="112" t="s">
        <v>1780</v>
      </c>
      <c r="CB362" s="112" t="s">
        <v>128</v>
      </c>
      <c r="CC362" s="112">
        <v>13</v>
      </c>
      <c r="CD362" s="112" t="s">
        <v>1799</v>
      </c>
      <c r="CE362" s="112" t="s">
        <v>176</v>
      </c>
      <c r="CF362" s="112">
        <v>29</v>
      </c>
      <c r="CG362" s="112" t="s">
        <v>1766</v>
      </c>
      <c r="CH362" s="112" t="s">
        <v>1766</v>
      </c>
      <c r="CI362" s="112" t="s">
        <v>1766</v>
      </c>
      <c r="CJ362" s="112" t="s">
        <v>1766</v>
      </c>
      <c r="CK362" s="112" t="s">
        <v>1766</v>
      </c>
      <c r="CL362" s="112" t="s">
        <v>1766</v>
      </c>
      <c r="CM362" s="112" t="s">
        <v>1766</v>
      </c>
      <c r="CN362" s="112" t="s">
        <v>1766</v>
      </c>
      <c r="CO362" s="112" t="s">
        <v>1766</v>
      </c>
    </row>
    <row r="363" spans="1:93">
      <c r="A363" s="106" t="s">
        <v>469</v>
      </c>
      <c r="B363" s="106">
        <v>2</v>
      </c>
      <c r="C363" s="106">
        <v>1</v>
      </c>
      <c r="D363" s="106">
        <v>1</v>
      </c>
      <c r="E363" s="106">
        <v>1</v>
      </c>
      <c r="F363" s="106">
        <v>1</v>
      </c>
      <c r="G363" s="106" t="s">
        <v>66</v>
      </c>
      <c r="I363" s="106">
        <v>201</v>
      </c>
      <c r="J363" s="106" t="s">
        <v>1766</v>
      </c>
      <c r="K363" s="106" t="s">
        <v>1318</v>
      </c>
      <c r="L363" s="106" t="s">
        <v>1320</v>
      </c>
      <c r="M363" s="106" t="s">
        <v>474</v>
      </c>
      <c r="N363" s="106">
        <v>6</v>
      </c>
      <c r="O363" s="106">
        <v>6</v>
      </c>
      <c r="T363" s="106" t="s">
        <v>1766</v>
      </c>
      <c r="V363" s="106">
        <v>2000</v>
      </c>
      <c r="W363" s="106">
        <v>1</v>
      </c>
      <c r="X363" s="106">
        <v>2</v>
      </c>
      <c r="Y363" s="106" t="s">
        <v>1766</v>
      </c>
      <c r="Z363" s="106" t="s">
        <v>1766</v>
      </c>
      <c r="AA363" s="106">
        <v>670</v>
      </c>
      <c r="AB363" s="106">
        <v>1300</v>
      </c>
      <c r="AC363" s="106">
        <v>0</v>
      </c>
      <c r="AD363" s="106">
        <v>0</v>
      </c>
      <c r="AE363" s="106">
        <v>1970</v>
      </c>
      <c r="AF363" s="106">
        <v>1970</v>
      </c>
      <c r="AH363" s="106">
        <v>36</v>
      </c>
      <c r="AI363" s="106">
        <v>0</v>
      </c>
      <c r="AJ363" s="106">
        <v>0</v>
      </c>
      <c r="AK363" s="106">
        <v>120</v>
      </c>
      <c r="AL363" s="106">
        <v>0</v>
      </c>
      <c r="AM363" s="106">
        <v>1</v>
      </c>
      <c r="AN363" s="106">
        <v>1</v>
      </c>
      <c r="AO363" s="106">
        <v>6</v>
      </c>
      <c r="AP363" s="106" t="s">
        <v>128</v>
      </c>
      <c r="AQ363" s="106" t="s">
        <v>471</v>
      </c>
      <c r="AR363" s="106">
        <v>2553</v>
      </c>
      <c r="AS363" s="106">
        <v>0.04</v>
      </c>
      <c r="AT363" s="106">
        <v>0.04</v>
      </c>
      <c r="AU363" s="108" t="s">
        <v>176</v>
      </c>
      <c r="AV363" s="108" t="s">
        <v>472</v>
      </c>
      <c r="AW363" s="108">
        <v>2570</v>
      </c>
      <c r="AX363" s="108">
        <v>1</v>
      </c>
      <c r="AY363" s="108">
        <v>1</v>
      </c>
      <c r="BD363" s="106">
        <v>0</v>
      </c>
      <c r="BY363" s="112" t="s">
        <v>1766</v>
      </c>
      <c r="BZ363" s="112" t="s">
        <v>1766</v>
      </c>
      <c r="CA363" s="112" t="s">
        <v>1766</v>
      </c>
      <c r="CB363" s="112" t="s">
        <v>1766</v>
      </c>
      <c r="CC363" s="112" t="s">
        <v>1766</v>
      </c>
      <c r="CD363" s="112" t="s">
        <v>1766</v>
      </c>
      <c r="CE363" s="112" t="s">
        <v>1766</v>
      </c>
      <c r="CF363" s="112" t="s">
        <v>1766</v>
      </c>
      <c r="CG363" s="112" t="s">
        <v>1766</v>
      </c>
      <c r="CH363" s="112" t="s">
        <v>1766</v>
      </c>
      <c r="CI363" s="112" t="s">
        <v>1766</v>
      </c>
      <c r="CJ363" s="112" t="s">
        <v>1766</v>
      </c>
      <c r="CK363" s="112" t="s">
        <v>1766</v>
      </c>
      <c r="CL363" s="112" t="s">
        <v>1766</v>
      </c>
      <c r="CM363" s="112" t="s">
        <v>1766</v>
      </c>
      <c r="CN363" s="112" t="s">
        <v>1766</v>
      </c>
      <c r="CO363" s="112" t="s">
        <v>1766</v>
      </c>
    </row>
    <row r="364" spans="1:93">
      <c r="A364" s="106" t="s">
        <v>469</v>
      </c>
      <c r="B364" s="106">
        <v>3</v>
      </c>
      <c r="C364" s="106">
        <v>1</v>
      </c>
      <c r="D364" s="106">
        <v>1</v>
      </c>
      <c r="E364" s="106">
        <v>1</v>
      </c>
      <c r="F364" s="106">
        <v>1</v>
      </c>
      <c r="G364" s="106" t="s">
        <v>66</v>
      </c>
      <c r="I364" s="106">
        <v>201</v>
      </c>
      <c r="J364" s="106" t="s">
        <v>1766</v>
      </c>
      <c r="K364" s="106" t="s">
        <v>1318</v>
      </c>
      <c r="L364" s="106" t="s">
        <v>1321</v>
      </c>
      <c r="M364" s="106" t="s">
        <v>475</v>
      </c>
      <c r="N364" s="106">
        <v>6</v>
      </c>
      <c r="O364" s="106">
        <v>6</v>
      </c>
      <c r="T364" s="106" t="s">
        <v>1766</v>
      </c>
      <c r="V364" s="106">
        <v>4000</v>
      </c>
      <c r="W364" s="106">
        <v>1</v>
      </c>
      <c r="X364" s="106">
        <v>2</v>
      </c>
      <c r="Y364" s="106" t="s">
        <v>1766</v>
      </c>
      <c r="Z364" s="106" t="s">
        <v>1766</v>
      </c>
      <c r="AA364" s="106">
        <v>1300</v>
      </c>
      <c r="AB364" s="106">
        <v>2700</v>
      </c>
      <c r="AC364" s="106">
        <v>0</v>
      </c>
      <c r="AD364" s="106">
        <v>0</v>
      </c>
      <c r="AE364" s="106">
        <v>4000</v>
      </c>
      <c r="AF364" s="106">
        <v>4000</v>
      </c>
      <c r="AH364" s="106">
        <v>72</v>
      </c>
      <c r="AI364" s="106">
        <v>0</v>
      </c>
      <c r="AJ364" s="106">
        <v>1</v>
      </c>
      <c r="AK364" s="106">
        <v>120</v>
      </c>
      <c r="AL364" s="106">
        <v>120</v>
      </c>
      <c r="AM364" s="106">
        <v>1</v>
      </c>
      <c r="AN364" s="106">
        <v>1</v>
      </c>
      <c r="AO364" s="106">
        <v>14</v>
      </c>
      <c r="AP364" s="106" t="s">
        <v>128</v>
      </c>
      <c r="AQ364" s="106" t="s">
        <v>471</v>
      </c>
      <c r="AR364" s="106">
        <v>2553</v>
      </c>
      <c r="AS364" s="106">
        <v>0.06</v>
      </c>
      <c r="AT364" s="106">
        <v>0.06</v>
      </c>
      <c r="AU364" s="108" t="s">
        <v>176</v>
      </c>
      <c r="AV364" s="108" t="s">
        <v>472</v>
      </c>
      <c r="AW364" s="108">
        <v>2570</v>
      </c>
      <c r="AX364" s="108">
        <v>1</v>
      </c>
      <c r="AY364" s="108">
        <v>1</v>
      </c>
      <c r="BD364" s="106">
        <v>0</v>
      </c>
      <c r="BY364" s="112" t="s">
        <v>1766</v>
      </c>
      <c r="BZ364" s="112" t="s">
        <v>1766</v>
      </c>
      <c r="CA364" s="112" t="s">
        <v>1766</v>
      </c>
      <c r="CB364" s="112" t="s">
        <v>1766</v>
      </c>
      <c r="CC364" s="112" t="s">
        <v>1766</v>
      </c>
      <c r="CD364" s="112" t="s">
        <v>1766</v>
      </c>
      <c r="CE364" s="112" t="s">
        <v>1766</v>
      </c>
      <c r="CF364" s="112" t="s">
        <v>1766</v>
      </c>
      <c r="CG364" s="112" t="s">
        <v>1766</v>
      </c>
      <c r="CH364" s="112" t="s">
        <v>1766</v>
      </c>
      <c r="CI364" s="112" t="s">
        <v>1766</v>
      </c>
      <c r="CJ364" s="112" t="s">
        <v>1766</v>
      </c>
      <c r="CK364" s="112" t="s">
        <v>1766</v>
      </c>
      <c r="CL364" s="112" t="s">
        <v>1766</v>
      </c>
      <c r="CM364" s="112" t="s">
        <v>1766</v>
      </c>
      <c r="CN364" s="112" t="s">
        <v>1766</v>
      </c>
      <c r="CO364" s="112" t="s">
        <v>1766</v>
      </c>
    </row>
    <row r="365" spans="1:93">
      <c r="A365" s="106" t="s">
        <v>469</v>
      </c>
      <c r="B365" s="106">
        <v>4</v>
      </c>
      <c r="C365" s="106">
        <v>1</v>
      </c>
      <c r="D365" s="106">
        <v>1</v>
      </c>
      <c r="E365" s="106">
        <v>1</v>
      </c>
      <c r="F365" s="106">
        <v>1</v>
      </c>
      <c r="G365" s="106" t="s">
        <v>66</v>
      </c>
      <c r="I365" s="106">
        <v>201</v>
      </c>
      <c r="J365" s="106" t="s">
        <v>1766</v>
      </c>
      <c r="K365" s="106" t="s">
        <v>1318</v>
      </c>
      <c r="L365" s="106" t="s">
        <v>1322</v>
      </c>
      <c r="M365" s="106" t="s">
        <v>476</v>
      </c>
      <c r="N365" s="106">
        <v>6</v>
      </c>
      <c r="O365" s="106">
        <v>6</v>
      </c>
      <c r="T365" s="106" t="s">
        <v>1766</v>
      </c>
      <c r="V365" s="106">
        <v>8000</v>
      </c>
      <c r="W365" s="106">
        <v>1</v>
      </c>
      <c r="X365" s="106">
        <v>2</v>
      </c>
      <c r="Y365" s="106" t="s">
        <v>1766</v>
      </c>
      <c r="Z365" s="106" t="s">
        <v>1766</v>
      </c>
      <c r="AA365" s="106">
        <v>2700</v>
      </c>
      <c r="AB365" s="106">
        <v>5300</v>
      </c>
      <c r="AC365" s="106">
        <v>0</v>
      </c>
      <c r="AD365" s="106">
        <v>0</v>
      </c>
      <c r="AE365" s="106">
        <v>8000</v>
      </c>
      <c r="AF365" s="106">
        <v>8000</v>
      </c>
      <c r="AH365" s="106">
        <v>144</v>
      </c>
      <c r="AI365" s="106">
        <v>0</v>
      </c>
      <c r="AJ365" s="106">
        <v>1</v>
      </c>
      <c r="AK365" s="106">
        <v>120</v>
      </c>
      <c r="AL365" s="106">
        <v>120</v>
      </c>
      <c r="AM365" s="106">
        <v>1</v>
      </c>
      <c r="AN365" s="106">
        <v>1</v>
      </c>
      <c r="AO365" s="106">
        <v>30</v>
      </c>
      <c r="AP365" s="106" t="s">
        <v>128</v>
      </c>
      <c r="AQ365" s="106" t="s">
        <v>471</v>
      </c>
      <c r="AR365" s="106">
        <v>2553</v>
      </c>
      <c r="AS365" s="106">
        <v>0.08</v>
      </c>
      <c r="AT365" s="106">
        <v>0.08</v>
      </c>
      <c r="AU365" s="108" t="s">
        <v>176</v>
      </c>
      <c r="AV365" s="108" t="s">
        <v>472</v>
      </c>
      <c r="AW365" s="108">
        <v>2570</v>
      </c>
      <c r="AX365" s="108">
        <v>1</v>
      </c>
      <c r="AY365" s="108">
        <v>1</v>
      </c>
      <c r="BD365" s="106">
        <v>0</v>
      </c>
      <c r="BY365" s="112" t="s">
        <v>1766</v>
      </c>
      <c r="BZ365" s="112" t="s">
        <v>1766</v>
      </c>
      <c r="CA365" s="112" t="s">
        <v>1766</v>
      </c>
      <c r="CB365" s="112" t="s">
        <v>1766</v>
      </c>
      <c r="CC365" s="112" t="s">
        <v>1766</v>
      </c>
      <c r="CD365" s="112" t="s">
        <v>1766</v>
      </c>
      <c r="CE365" s="112" t="s">
        <v>1766</v>
      </c>
      <c r="CF365" s="112" t="s">
        <v>1766</v>
      </c>
      <c r="CG365" s="112" t="s">
        <v>1766</v>
      </c>
      <c r="CH365" s="112" t="s">
        <v>1766</v>
      </c>
      <c r="CI365" s="112" t="s">
        <v>1766</v>
      </c>
      <c r="CJ365" s="112" t="s">
        <v>1766</v>
      </c>
      <c r="CK365" s="112" t="s">
        <v>1766</v>
      </c>
      <c r="CL365" s="112" t="s">
        <v>1766</v>
      </c>
      <c r="CM365" s="112" t="s">
        <v>1766</v>
      </c>
      <c r="CN365" s="112" t="s">
        <v>1766</v>
      </c>
      <c r="CO365" s="112" t="s">
        <v>1766</v>
      </c>
    </row>
    <row r="366" spans="1:93">
      <c r="A366" s="106" t="s">
        <v>469</v>
      </c>
      <c r="B366" s="106">
        <v>5</v>
      </c>
      <c r="C366" s="106">
        <v>1</v>
      </c>
      <c r="D366" s="106">
        <v>1</v>
      </c>
      <c r="E366" s="106">
        <v>1</v>
      </c>
      <c r="F366" s="106">
        <v>1</v>
      </c>
      <c r="G366" s="106" t="s">
        <v>66</v>
      </c>
      <c r="I366" s="106">
        <v>201</v>
      </c>
      <c r="J366" s="106" t="s">
        <v>1766</v>
      </c>
      <c r="K366" s="106" t="s">
        <v>1318</v>
      </c>
      <c r="L366" s="106" t="s">
        <v>1323</v>
      </c>
      <c r="M366" s="106" t="s">
        <v>477</v>
      </c>
      <c r="N366" s="106">
        <v>6</v>
      </c>
      <c r="O366" s="106">
        <v>6</v>
      </c>
      <c r="T366" s="106" t="s">
        <v>1766</v>
      </c>
      <c r="V366" s="106">
        <v>15440</v>
      </c>
      <c r="W366" s="106">
        <v>1</v>
      </c>
      <c r="X366" s="106">
        <v>2</v>
      </c>
      <c r="Y366" s="106">
        <v>1</v>
      </c>
      <c r="Z366" s="106" t="s">
        <v>1766</v>
      </c>
      <c r="AA366" s="106">
        <v>3900</v>
      </c>
      <c r="AB366" s="106">
        <v>7700</v>
      </c>
      <c r="AC366" s="106">
        <v>3900</v>
      </c>
      <c r="AD366" s="106">
        <v>0</v>
      </c>
      <c r="AE366" s="106">
        <v>15500</v>
      </c>
      <c r="AF366" s="106">
        <v>15500</v>
      </c>
      <c r="AH366" s="106">
        <v>300</v>
      </c>
      <c r="AI366" s="106">
        <v>0</v>
      </c>
      <c r="AJ366" s="106">
        <v>2</v>
      </c>
      <c r="AK366" s="106">
        <v>120</v>
      </c>
      <c r="AL366" s="106">
        <v>240</v>
      </c>
      <c r="AM366" s="106">
        <v>1</v>
      </c>
      <c r="AN366" s="106">
        <v>1</v>
      </c>
      <c r="AO366" s="106">
        <v>60</v>
      </c>
      <c r="AP366" s="106" t="s">
        <v>128</v>
      </c>
      <c r="AQ366" s="106" t="s">
        <v>471</v>
      </c>
      <c r="AR366" s="106">
        <v>2553</v>
      </c>
      <c r="AS366" s="106">
        <v>0.1</v>
      </c>
      <c r="AT366" s="106">
        <v>0.1</v>
      </c>
      <c r="AU366" s="108" t="s">
        <v>176</v>
      </c>
      <c r="AV366" s="108" t="s">
        <v>472</v>
      </c>
      <c r="AW366" s="108">
        <v>2570</v>
      </c>
      <c r="AX366" s="108">
        <v>2</v>
      </c>
      <c r="AY366" s="108">
        <v>2</v>
      </c>
      <c r="BD366" s="106">
        <v>0</v>
      </c>
      <c r="BY366" s="112" t="s">
        <v>1766</v>
      </c>
      <c r="BZ366" s="112" t="s">
        <v>1766</v>
      </c>
      <c r="CA366" s="112" t="s">
        <v>1766</v>
      </c>
      <c r="CB366" s="112" t="s">
        <v>1766</v>
      </c>
      <c r="CC366" s="112" t="s">
        <v>1766</v>
      </c>
      <c r="CD366" s="112" t="s">
        <v>1766</v>
      </c>
      <c r="CE366" s="112" t="s">
        <v>1766</v>
      </c>
      <c r="CF366" s="112" t="s">
        <v>1766</v>
      </c>
      <c r="CG366" s="112" t="s">
        <v>1766</v>
      </c>
      <c r="CH366" s="112" t="s">
        <v>1766</v>
      </c>
      <c r="CI366" s="112" t="s">
        <v>1766</v>
      </c>
      <c r="CJ366" s="112" t="s">
        <v>1766</v>
      </c>
      <c r="CK366" s="112" t="s">
        <v>1766</v>
      </c>
      <c r="CL366" s="112" t="s">
        <v>1766</v>
      </c>
      <c r="CM366" s="112" t="s">
        <v>1766</v>
      </c>
      <c r="CN366" s="112" t="s">
        <v>1766</v>
      </c>
      <c r="CO366" s="112" t="s">
        <v>1766</v>
      </c>
    </row>
    <row r="367" spans="1:93">
      <c r="A367" s="106" t="s">
        <v>469</v>
      </c>
      <c r="B367" s="106">
        <v>6</v>
      </c>
      <c r="C367" s="106">
        <v>1</v>
      </c>
      <c r="D367" s="106">
        <v>1</v>
      </c>
      <c r="E367" s="106">
        <v>1</v>
      </c>
      <c r="F367" s="106">
        <v>1</v>
      </c>
      <c r="G367" s="106" t="s">
        <v>66</v>
      </c>
      <c r="I367" s="106">
        <v>201</v>
      </c>
      <c r="J367" s="106" t="s">
        <v>1766</v>
      </c>
      <c r="K367" s="106" t="s">
        <v>1318</v>
      </c>
      <c r="L367" s="106" t="s">
        <v>1324</v>
      </c>
      <c r="M367" s="106" t="s">
        <v>478</v>
      </c>
      <c r="O367" s="106">
        <v>0</v>
      </c>
      <c r="T367" s="106" t="s">
        <v>1766</v>
      </c>
      <c r="V367" s="106">
        <v>28718.400000000001</v>
      </c>
      <c r="W367" s="106">
        <v>1</v>
      </c>
      <c r="X367" s="106">
        <v>2</v>
      </c>
      <c r="Y367" s="106">
        <v>1</v>
      </c>
      <c r="Z367" s="106" t="s">
        <v>1766</v>
      </c>
      <c r="AA367" s="106">
        <v>7200</v>
      </c>
      <c r="AB367" s="106">
        <v>14000</v>
      </c>
      <c r="AC367" s="106">
        <v>7200</v>
      </c>
      <c r="AD367" s="106">
        <v>0</v>
      </c>
      <c r="AE367" s="106">
        <v>28400</v>
      </c>
      <c r="AF367" s="106">
        <v>28400</v>
      </c>
      <c r="AH367" s="106">
        <v>540</v>
      </c>
      <c r="AI367" s="106">
        <v>0</v>
      </c>
      <c r="AJ367" s="106">
        <v>2</v>
      </c>
      <c r="AK367" s="106">
        <v>120</v>
      </c>
      <c r="AL367" s="106">
        <v>240</v>
      </c>
      <c r="AM367" s="106">
        <v>1</v>
      </c>
      <c r="AN367" s="106">
        <v>1</v>
      </c>
      <c r="AO367" s="106">
        <v>118</v>
      </c>
      <c r="AP367" s="106" t="s">
        <v>128</v>
      </c>
      <c r="AQ367" s="106" t="s">
        <v>471</v>
      </c>
      <c r="AR367" s="106">
        <v>2553</v>
      </c>
      <c r="AS367" s="106">
        <v>0.12</v>
      </c>
      <c r="AT367" s="106">
        <v>0.12</v>
      </c>
      <c r="AU367" s="108" t="s">
        <v>176</v>
      </c>
      <c r="AV367" s="108" t="s">
        <v>472</v>
      </c>
      <c r="AW367" s="108">
        <v>2570</v>
      </c>
      <c r="AX367" s="108">
        <v>2</v>
      </c>
      <c r="AY367" s="108">
        <v>2</v>
      </c>
      <c r="BD367" s="106">
        <v>0</v>
      </c>
      <c r="BY367" s="112" t="s">
        <v>1766</v>
      </c>
      <c r="BZ367" s="112" t="s">
        <v>1766</v>
      </c>
      <c r="CA367" s="112" t="s">
        <v>1766</v>
      </c>
      <c r="CB367" s="112" t="s">
        <v>1766</v>
      </c>
      <c r="CC367" s="112" t="s">
        <v>1766</v>
      </c>
      <c r="CD367" s="112" t="s">
        <v>1766</v>
      </c>
      <c r="CE367" s="112" t="s">
        <v>1766</v>
      </c>
      <c r="CF367" s="112" t="s">
        <v>1766</v>
      </c>
      <c r="CG367" s="112" t="s">
        <v>1766</v>
      </c>
      <c r="CH367" s="112" t="s">
        <v>1766</v>
      </c>
      <c r="CI367" s="112" t="s">
        <v>1766</v>
      </c>
      <c r="CJ367" s="112" t="s">
        <v>1766</v>
      </c>
      <c r="CK367" s="112" t="s">
        <v>1766</v>
      </c>
      <c r="CL367" s="112" t="s">
        <v>1766</v>
      </c>
      <c r="CM367" s="112" t="s">
        <v>1766</v>
      </c>
      <c r="CN367" s="112" t="s">
        <v>1766</v>
      </c>
      <c r="CO367" s="112" t="s">
        <v>1766</v>
      </c>
    </row>
    <row r="368" spans="1:93">
      <c r="A368" s="106" t="s">
        <v>469</v>
      </c>
      <c r="B368" s="106">
        <v>7</v>
      </c>
      <c r="C368" s="106">
        <v>1</v>
      </c>
      <c r="D368" s="106">
        <v>1</v>
      </c>
      <c r="E368" s="106">
        <v>1</v>
      </c>
      <c r="F368" s="106">
        <v>1</v>
      </c>
      <c r="G368" s="106" t="s">
        <v>66</v>
      </c>
      <c r="I368" s="106">
        <v>201</v>
      </c>
      <c r="J368" s="106" t="s">
        <v>1766</v>
      </c>
      <c r="K368" s="106" t="s">
        <v>1318</v>
      </c>
      <c r="L368" s="106" t="s">
        <v>1325</v>
      </c>
      <c r="M368" s="106" t="s">
        <v>479</v>
      </c>
      <c r="O368" s="106">
        <v>0</v>
      </c>
      <c r="T368" s="106" t="s">
        <v>1766</v>
      </c>
      <c r="V368" s="106">
        <v>51405.936000000002</v>
      </c>
      <c r="W368" s="106">
        <v>1</v>
      </c>
      <c r="X368" s="106">
        <v>2</v>
      </c>
      <c r="Y368" s="106">
        <v>1</v>
      </c>
      <c r="Z368" s="106" t="s">
        <v>1766</v>
      </c>
      <c r="AA368" s="106">
        <v>13000</v>
      </c>
      <c r="AB368" s="106">
        <v>26000</v>
      </c>
      <c r="AC368" s="106">
        <v>13000</v>
      </c>
      <c r="AD368" s="106">
        <v>0</v>
      </c>
      <c r="AE368" s="106">
        <v>52000</v>
      </c>
      <c r="AF368" s="106">
        <v>52000</v>
      </c>
      <c r="AH368" s="106">
        <v>900</v>
      </c>
      <c r="AI368" s="106">
        <v>0</v>
      </c>
      <c r="AJ368" s="106">
        <v>3</v>
      </c>
      <c r="AK368" s="106">
        <v>120</v>
      </c>
      <c r="AL368" s="106">
        <v>360</v>
      </c>
      <c r="AM368" s="106">
        <v>240</v>
      </c>
      <c r="AN368" s="106">
        <v>240</v>
      </c>
      <c r="AO368" s="106">
        <v>221</v>
      </c>
      <c r="AP368" s="106" t="s">
        <v>128</v>
      </c>
      <c r="AQ368" s="106" t="s">
        <v>471</v>
      </c>
      <c r="AR368" s="106">
        <v>2553</v>
      </c>
      <c r="AS368" s="106">
        <v>0.14000000000000001</v>
      </c>
      <c r="AT368" s="106">
        <v>0.14000000000000001</v>
      </c>
      <c r="AU368" s="108" t="s">
        <v>176</v>
      </c>
      <c r="AV368" s="108" t="s">
        <v>472</v>
      </c>
      <c r="AW368" s="108">
        <v>2570</v>
      </c>
      <c r="AX368" s="108">
        <v>2</v>
      </c>
      <c r="AY368" s="108">
        <v>2</v>
      </c>
      <c r="BD368" s="106">
        <v>0</v>
      </c>
      <c r="BY368" s="112" t="s">
        <v>1766</v>
      </c>
      <c r="BZ368" s="112" t="s">
        <v>1766</v>
      </c>
      <c r="CA368" s="112" t="s">
        <v>1766</v>
      </c>
      <c r="CB368" s="112" t="s">
        <v>1766</v>
      </c>
      <c r="CC368" s="112" t="s">
        <v>1766</v>
      </c>
      <c r="CD368" s="112" t="s">
        <v>1766</v>
      </c>
      <c r="CE368" s="112" t="s">
        <v>1766</v>
      </c>
      <c r="CF368" s="112" t="s">
        <v>1766</v>
      </c>
      <c r="CG368" s="112" t="s">
        <v>1766</v>
      </c>
      <c r="CH368" s="112" t="s">
        <v>1766</v>
      </c>
      <c r="CI368" s="112" t="s">
        <v>1766</v>
      </c>
      <c r="CJ368" s="112" t="s">
        <v>1766</v>
      </c>
      <c r="CK368" s="112" t="s">
        <v>1766</v>
      </c>
      <c r="CL368" s="112" t="s">
        <v>1766</v>
      </c>
      <c r="CM368" s="112" t="s">
        <v>1766</v>
      </c>
      <c r="CN368" s="112" t="s">
        <v>1766</v>
      </c>
      <c r="CO368" s="112" t="s">
        <v>1766</v>
      </c>
    </row>
    <row r="369" spans="1:93">
      <c r="A369" s="106" t="s">
        <v>469</v>
      </c>
      <c r="B369" s="106">
        <v>8</v>
      </c>
      <c r="C369" s="106">
        <v>1</v>
      </c>
      <c r="D369" s="106">
        <v>1</v>
      </c>
      <c r="E369" s="106">
        <v>1</v>
      </c>
      <c r="F369" s="106">
        <v>1</v>
      </c>
      <c r="G369" s="106" t="s">
        <v>66</v>
      </c>
      <c r="I369" s="106">
        <v>201</v>
      </c>
      <c r="J369" s="106" t="s">
        <v>1766</v>
      </c>
      <c r="K369" s="106" t="s">
        <v>1318</v>
      </c>
      <c r="L369" s="106" t="s">
        <v>1326</v>
      </c>
      <c r="M369" s="106" t="s">
        <v>480</v>
      </c>
      <c r="O369" s="106">
        <v>0</v>
      </c>
      <c r="T369" s="106" t="s">
        <v>1766</v>
      </c>
      <c r="V369" s="106">
        <v>88418.209919999994</v>
      </c>
      <c r="W369" s="106">
        <v>1</v>
      </c>
      <c r="X369" s="106">
        <v>2</v>
      </c>
      <c r="Y369" s="106">
        <v>1</v>
      </c>
      <c r="Z369" s="106" t="s">
        <v>1766</v>
      </c>
      <c r="AA369" s="106">
        <v>22000</v>
      </c>
      <c r="AB369" s="106">
        <v>44000</v>
      </c>
      <c r="AC369" s="106">
        <v>22000</v>
      </c>
      <c r="AD369" s="106">
        <v>0</v>
      </c>
      <c r="AE369" s="106">
        <v>88000</v>
      </c>
      <c r="AF369" s="106">
        <v>88000</v>
      </c>
      <c r="AH369" s="106">
        <v>1440</v>
      </c>
      <c r="AI369" s="106">
        <v>0</v>
      </c>
      <c r="AJ369" s="106">
        <v>3</v>
      </c>
      <c r="AK369" s="106">
        <v>120</v>
      </c>
      <c r="AL369" s="106">
        <v>360</v>
      </c>
      <c r="AM369" s="106">
        <v>780</v>
      </c>
      <c r="AN369" s="106">
        <v>780</v>
      </c>
      <c r="AO369" s="106">
        <v>397</v>
      </c>
      <c r="AP369" s="106" t="s">
        <v>128</v>
      </c>
      <c r="AQ369" s="106" t="s">
        <v>471</v>
      </c>
      <c r="AR369" s="106">
        <v>2553</v>
      </c>
      <c r="AS369" s="106">
        <v>0.16</v>
      </c>
      <c r="AT369" s="106">
        <v>0.16</v>
      </c>
      <c r="AU369" s="108" t="s">
        <v>176</v>
      </c>
      <c r="AV369" s="108" t="s">
        <v>472</v>
      </c>
      <c r="AW369" s="108">
        <v>2570</v>
      </c>
      <c r="AX369" s="108">
        <v>2</v>
      </c>
      <c r="AY369" s="108">
        <v>2</v>
      </c>
      <c r="BD369" s="106">
        <v>0</v>
      </c>
      <c r="BY369" s="112" t="s">
        <v>1766</v>
      </c>
      <c r="BZ369" s="112" t="s">
        <v>1766</v>
      </c>
      <c r="CA369" s="112" t="s">
        <v>1766</v>
      </c>
      <c r="CB369" s="112" t="s">
        <v>1766</v>
      </c>
      <c r="CC369" s="112" t="s">
        <v>1766</v>
      </c>
      <c r="CD369" s="112" t="s">
        <v>1766</v>
      </c>
      <c r="CE369" s="112" t="s">
        <v>1766</v>
      </c>
      <c r="CF369" s="112" t="s">
        <v>1766</v>
      </c>
      <c r="CG369" s="112" t="s">
        <v>1766</v>
      </c>
      <c r="CH369" s="112" t="s">
        <v>1766</v>
      </c>
      <c r="CI369" s="112" t="s">
        <v>1766</v>
      </c>
      <c r="CJ369" s="112" t="s">
        <v>1766</v>
      </c>
      <c r="CK369" s="112" t="s">
        <v>1766</v>
      </c>
      <c r="CL369" s="112" t="s">
        <v>1766</v>
      </c>
      <c r="CM369" s="112" t="s">
        <v>1766</v>
      </c>
      <c r="CN369" s="112" t="s">
        <v>1766</v>
      </c>
      <c r="CO369" s="112" t="s">
        <v>1766</v>
      </c>
    </row>
    <row r="370" spans="1:93">
      <c r="A370" s="106" t="s">
        <v>469</v>
      </c>
      <c r="B370" s="106">
        <v>9</v>
      </c>
      <c r="C370" s="106">
        <v>1</v>
      </c>
      <c r="D370" s="106">
        <v>1</v>
      </c>
      <c r="E370" s="106">
        <v>1</v>
      </c>
      <c r="F370" s="106">
        <v>1</v>
      </c>
      <c r="G370" s="106" t="s">
        <v>66</v>
      </c>
      <c r="I370" s="106">
        <v>201</v>
      </c>
      <c r="J370" s="106" t="s">
        <v>1766</v>
      </c>
      <c r="K370" s="106" t="s">
        <v>1318</v>
      </c>
      <c r="L370" s="106" t="s">
        <v>1327</v>
      </c>
      <c r="M370" s="106" t="s">
        <v>481</v>
      </c>
      <c r="O370" s="106">
        <v>0</v>
      </c>
      <c r="T370" s="106" t="s">
        <v>1766</v>
      </c>
      <c r="V370" s="106">
        <v>145890.04636800001</v>
      </c>
      <c r="W370" s="106">
        <v>1</v>
      </c>
      <c r="X370" s="106">
        <v>2</v>
      </c>
      <c r="Y370" s="106">
        <v>1</v>
      </c>
      <c r="Z370" s="106" t="s">
        <v>1766</v>
      </c>
      <c r="AA370" s="106">
        <v>36000</v>
      </c>
      <c r="AB370" s="106">
        <v>73000</v>
      </c>
      <c r="AC370" s="106">
        <v>36000</v>
      </c>
      <c r="AD370" s="106">
        <v>0</v>
      </c>
      <c r="AE370" s="106">
        <v>145000</v>
      </c>
      <c r="AF370" s="106">
        <v>145000</v>
      </c>
      <c r="AH370" s="106">
        <v>2880</v>
      </c>
      <c r="AI370" s="106">
        <v>0</v>
      </c>
      <c r="AJ370" s="106">
        <v>4</v>
      </c>
      <c r="AK370" s="106">
        <v>120</v>
      </c>
      <c r="AL370" s="106">
        <v>480</v>
      </c>
      <c r="AM370" s="106">
        <v>2100</v>
      </c>
      <c r="AN370" s="106">
        <v>2100</v>
      </c>
      <c r="AO370" s="106">
        <v>689</v>
      </c>
      <c r="AP370" s="106" t="s">
        <v>128</v>
      </c>
      <c r="AQ370" s="106" t="s">
        <v>471</v>
      </c>
      <c r="AR370" s="106">
        <v>2553</v>
      </c>
      <c r="AS370" s="106">
        <v>0.18</v>
      </c>
      <c r="AT370" s="106">
        <v>0.18</v>
      </c>
      <c r="AU370" s="108" t="s">
        <v>176</v>
      </c>
      <c r="AV370" s="108" t="s">
        <v>472</v>
      </c>
      <c r="AW370" s="108">
        <v>2570</v>
      </c>
      <c r="AX370" s="108">
        <v>2</v>
      </c>
      <c r="AY370" s="108">
        <v>2</v>
      </c>
      <c r="BD370" s="106">
        <v>0</v>
      </c>
      <c r="BY370" s="112" t="s">
        <v>1766</v>
      </c>
      <c r="BZ370" s="112" t="s">
        <v>1766</v>
      </c>
      <c r="CA370" s="112" t="s">
        <v>1766</v>
      </c>
      <c r="CB370" s="112" t="s">
        <v>1766</v>
      </c>
      <c r="CC370" s="112" t="s">
        <v>1766</v>
      </c>
      <c r="CD370" s="112" t="s">
        <v>1766</v>
      </c>
      <c r="CE370" s="112" t="s">
        <v>1766</v>
      </c>
      <c r="CF370" s="112" t="s">
        <v>1766</v>
      </c>
      <c r="CG370" s="112" t="s">
        <v>1766</v>
      </c>
      <c r="CH370" s="112" t="s">
        <v>1766</v>
      </c>
      <c r="CI370" s="112" t="s">
        <v>1766</v>
      </c>
      <c r="CJ370" s="112" t="s">
        <v>1766</v>
      </c>
      <c r="CK370" s="112" t="s">
        <v>1766</v>
      </c>
      <c r="CL370" s="112" t="s">
        <v>1766</v>
      </c>
      <c r="CM370" s="112" t="s">
        <v>1766</v>
      </c>
      <c r="CN370" s="112" t="s">
        <v>1766</v>
      </c>
      <c r="CO370" s="112" t="s">
        <v>1766</v>
      </c>
    </row>
    <row r="371" spans="1:93">
      <c r="A371" s="106" t="s">
        <v>469</v>
      </c>
      <c r="B371" s="106">
        <v>10</v>
      </c>
      <c r="C371" s="106">
        <v>1</v>
      </c>
      <c r="D371" s="106">
        <v>1</v>
      </c>
      <c r="E371" s="106">
        <v>1</v>
      </c>
      <c r="F371" s="106">
        <v>1</v>
      </c>
      <c r="G371" s="106" t="s">
        <v>66</v>
      </c>
      <c r="I371" s="106">
        <v>201</v>
      </c>
      <c r="J371" s="106" t="s">
        <v>1766</v>
      </c>
      <c r="K371" s="106" t="s">
        <v>1318</v>
      </c>
      <c r="L371" s="106" t="s">
        <v>1328</v>
      </c>
      <c r="M371" s="106" t="s">
        <v>482</v>
      </c>
      <c r="O371" s="106">
        <v>0</v>
      </c>
      <c r="T371" s="106" t="s">
        <v>1766</v>
      </c>
      <c r="V371" s="106">
        <v>230506.27326143999</v>
      </c>
      <c r="W371" s="106">
        <v>1</v>
      </c>
      <c r="X371" s="106">
        <v>2</v>
      </c>
      <c r="Y371" s="106">
        <v>1</v>
      </c>
      <c r="Z371" s="106">
        <v>1</v>
      </c>
      <c r="AA371" s="106">
        <v>46000</v>
      </c>
      <c r="AB371" s="106">
        <v>92000</v>
      </c>
      <c r="AC371" s="106">
        <v>46000</v>
      </c>
      <c r="AD371" s="106">
        <v>46000</v>
      </c>
      <c r="AE371" s="106">
        <v>230000</v>
      </c>
      <c r="AF371" s="106">
        <v>230000</v>
      </c>
      <c r="AH371" s="106">
        <v>4320</v>
      </c>
      <c r="AI371" s="106">
        <v>0.01</v>
      </c>
      <c r="AJ371" s="106">
        <v>4</v>
      </c>
      <c r="AK371" s="106">
        <v>120</v>
      </c>
      <c r="AL371" s="106">
        <v>480</v>
      </c>
      <c r="AM371" s="106">
        <v>3497</v>
      </c>
      <c r="AN371" s="106">
        <v>3497</v>
      </c>
      <c r="AO371" s="106">
        <v>1150</v>
      </c>
      <c r="AP371" s="106" t="s">
        <v>128</v>
      </c>
      <c r="AQ371" s="106" t="s">
        <v>471</v>
      </c>
      <c r="AR371" s="106">
        <v>2553</v>
      </c>
      <c r="AS371" s="106">
        <v>0.2</v>
      </c>
      <c r="AT371" s="106">
        <v>0.2</v>
      </c>
      <c r="AU371" s="108" t="s">
        <v>176</v>
      </c>
      <c r="AV371" s="108" t="s">
        <v>472</v>
      </c>
      <c r="AW371" s="108">
        <v>2570</v>
      </c>
      <c r="AX371" s="108">
        <v>2</v>
      </c>
      <c r="AY371" s="108">
        <v>2</v>
      </c>
      <c r="BD371" s="106">
        <v>0</v>
      </c>
      <c r="BY371" s="112" t="s">
        <v>1766</v>
      </c>
      <c r="BZ371" s="112" t="s">
        <v>1766</v>
      </c>
      <c r="CA371" s="112" t="s">
        <v>1766</v>
      </c>
      <c r="CB371" s="112" t="s">
        <v>1766</v>
      </c>
      <c r="CC371" s="112" t="s">
        <v>1766</v>
      </c>
      <c r="CD371" s="112" t="s">
        <v>1766</v>
      </c>
      <c r="CE371" s="112" t="s">
        <v>1766</v>
      </c>
      <c r="CF371" s="112" t="s">
        <v>1766</v>
      </c>
      <c r="CG371" s="112" t="s">
        <v>1766</v>
      </c>
      <c r="CH371" s="112" t="s">
        <v>1766</v>
      </c>
      <c r="CI371" s="112" t="s">
        <v>1766</v>
      </c>
      <c r="CJ371" s="112" t="s">
        <v>1766</v>
      </c>
      <c r="CK371" s="112" t="s">
        <v>1766</v>
      </c>
      <c r="CL371" s="112" t="s">
        <v>1766</v>
      </c>
      <c r="CM371" s="112" t="s">
        <v>1766</v>
      </c>
      <c r="CN371" s="112" t="s">
        <v>1766</v>
      </c>
      <c r="CO371" s="112" t="s">
        <v>1766</v>
      </c>
    </row>
    <row r="372" spans="1:93">
      <c r="A372" s="106" t="s">
        <v>469</v>
      </c>
      <c r="B372" s="106">
        <v>11</v>
      </c>
      <c r="C372" s="106">
        <v>1</v>
      </c>
      <c r="D372" s="106">
        <v>1</v>
      </c>
      <c r="E372" s="106">
        <v>1</v>
      </c>
      <c r="F372" s="106">
        <v>1</v>
      </c>
      <c r="G372" s="106" t="s">
        <v>66</v>
      </c>
      <c r="I372" s="106">
        <v>201</v>
      </c>
      <c r="J372" s="106" t="s">
        <v>1766</v>
      </c>
      <c r="K372" s="106" t="s">
        <v>1318</v>
      </c>
      <c r="L372" s="106" t="s">
        <v>1329</v>
      </c>
      <c r="M372" s="106" t="s">
        <v>483</v>
      </c>
      <c r="O372" s="106">
        <v>0</v>
      </c>
      <c r="T372" s="106" t="s">
        <v>1766</v>
      </c>
      <c r="V372" s="106">
        <v>348064.47262477397</v>
      </c>
      <c r="W372" s="106">
        <v>1</v>
      </c>
      <c r="X372" s="106">
        <v>2</v>
      </c>
      <c r="Y372" s="106">
        <v>1</v>
      </c>
      <c r="Z372" s="106">
        <v>1</v>
      </c>
      <c r="AA372" s="106">
        <v>70000</v>
      </c>
      <c r="AB372" s="106">
        <v>140000</v>
      </c>
      <c r="AC372" s="106">
        <v>70000</v>
      </c>
      <c r="AD372" s="106">
        <v>70000</v>
      </c>
      <c r="AE372" s="106">
        <v>350000</v>
      </c>
      <c r="AF372" s="106">
        <v>350000</v>
      </c>
      <c r="AH372" s="106">
        <v>6480</v>
      </c>
      <c r="AI372" s="106">
        <v>0.02</v>
      </c>
      <c r="AJ372" s="106">
        <v>5</v>
      </c>
      <c r="AK372" s="106">
        <v>120</v>
      </c>
      <c r="AL372" s="106">
        <v>600</v>
      </c>
      <c r="AM372" s="106">
        <v>5452</v>
      </c>
      <c r="AN372" s="106">
        <v>5452</v>
      </c>
      <c r="AO372" s="106">
        <v>1846</v>
      </c>
      <c r="AP372" s="106" t="s">
        <v>128</v>
      </c>
      <c r="AQ372" s="106" t="s">
        <v>471</v>
      </c>
      <c r="AR372" s="106">
        <v>2553</v>
      </c>
      <c r="AS372" s="106">
        <v>0.22</v>
      </c>
      <c r="AT372" s="106">
        <v>0.22</v>
      </c>
      <c r="AU372" s="108" t="s">
        <v>176</v>
      </c>
      <c r="AV372" s="108" t="s">
        <v>472</v>
      </c>
      <c r="AW372" s="108">
        <v>2570</v>
      </c>
      <c r="AX372" s="108">
        <v>3</v>
      </c>
      <c r="AY372" s="108">
        <v>3</v>
      </c>
      <c r="BD372" s="106">
        <v>0</v>
      </c>
      <c r="BY372" s="112" t="s">
        <v>1766</v>
      </c>
      <c r="BZ372" s="112" t="s">
        <v>1766</v>
      </c>
      <c r="CA372" s="112" t="s">
        <v>1766</v>
      </c>
      <c r="CB372" s="112" t="s">
        <v>1766</v>
      </c>
      <c r="CC372" s="112" t="s">
        <v>1766</v>
      </c>
      <c r="CD372" s="112" t="s">
        <v>1766</v>
      </c>
      <c r="CE372" s="112" t="s">
        <v>1766</v>
      </c>
      <c r="CF372" s="112" t="s">
        <v>1766</v>
      </c>
      <c r="CG372" s="112" t="s">
        <v>1766</v>
      </c>
      <c r="CH372" s="112" t="s">
        <v>1766</v>
      </c>
      <c r="CI372" s="112" t="s">
        <v>1766</v>
      </c>
      <c r="CJ372" s="112" t="s">
        <v>1766</v>
      </c>
      <c r="CK372" s="112" t="s">
        <v>1766</v>
      </c>
      <c r="CL372" s="112" t="s">
        <v>1766</v>
      </c>
      <c r="CM372" s="112" t="s">
        <v>1766</v>
      </c>
      <c r="CN372" s="112" t="s">
        <v>1766</v>
      </c>
      <c r="CO372" s="112" t="s">
        <v>1766</v>
      </c>
    </row>
    <row r="373" spans="1:93">
      <c r="A373" s="106" t="s">
        <v>469</v>
      </c>
      <c r="B373" s="106">
        <v>12</v>
      </c>
      <c r="C373" s="106">
        <v>1</v>
      </c>
      <c r="D373" s="106">
        <v>1</v>
      </c>
      <c r="E373" s="106">
        <v>1</v>
      </c>
      <c r="F373" s="106">
        <v>1</v>
      </c>
      <c r="G373" s="106" t="s">
        <v>66</v>
      </c>
      <c r="I373" s="106">
        <v>201</v>
      </c>
      <c r="J373" s="106" t="s">
        <v>1766</v>
      </c>
      <c r="K373" s="106" t="s">
        <v>1318</v>
      </c>
      <c r="L373" s="106" t="s">
        <v>1330</v>
      </c>
      <c r="M373" s="106" t="s">
        <v>484</v>
      </c>
      <c r="O373" s="106">
        <v>0</v>
      </c>
      <c r="T373" s="106" t="s">
        <v>1766</v>
      </c>
      <c r="V373" s="106">
        <v>501212.84057967499</v>
      </c>
      <c r="W373" s="106">
        <v>1</v>
      </c>
      <c r="X373" s="106">
        <v>2</v>
      </c>
      <c r="Y373" s="106">
        <v>1</v>
      </c>
      <c r="Z373" s="106">
        <v>1</v>
      </c>
      <c r="AA373" s="106">
        <v>100000</v>
      </c>
      <c r="AB373" s="106">
        <v>200000</v>
      </c>
      <c r="AC373" s="106">
        <v>100000</v>
      </c>
      <c r="AD373" s="106">
        <v>100000</v>
      </c>
      <c r="AE373" s="106">
        <v>500000</v>
      </c>
      <c r="AF373" s="106">
        <v>500000</v>
      </c>
      <c r="AH373" s="106">
        <v>8640</v>
      </c>
      <c r="AI373" s="106">
        <v>0.03</v>
      </c>
      <c r="AJ373" s="106">
        <v>5</v>
      </c>
      <c r="AK373" s="106">
        <v>120</v>
      </c>
      <c r="AL373" s="106">
        <v>600</v>
      </c>
      <c r="AM373" s="106">
        <v>7488</v>
      </c>
      <c r="AN373" s="106">
        <v>7488</v>
      </c>
      <c r="AO373" s="106">
        <v>2849</v>
      </c>
      <c r="AP373" s="106" t="s">
        <v>128</v>
      </c>
      <c r="AQ373" s="106" t="s">
        <v>471</v>
      </c>
      <c r="AR373" s="106">
        <v>2553</v>
      </c>
      <c r="AS373" s="106">
        <v>0.24</v>
      </c>
      <c r="AT373" s="106">
        <v>0.24</v>
      </c>
      <c r="AU373" s="108" t="s">
        <v>176</v>
      </c>
      <c r="AV373" s="108" t="s">
        <v>472</v>
      </c>
      <c r="AW373" s="108">
        <v>2570</v>
      </c>
      <c r="AX373" s="108">
        <v>3</v>
      </c>
      <c r="AY373" s="108">
        <v>3</v>
      </c>
      <c r="BD373" s="106">
        <v>0</v>
      </c>
      <c r="BY373" s="112" t="s">
        <v>1766</v>
      </c>
      <c r="BZ373" s="112" t="s">
        <v>1766</v>
      </c>
      <c r="CA373" s="112" t="s">
        <v>1766</v>
      </c>
      <c r="CB373" s="112" t="s">
        <v>1766</v>
      </c>
      <c r="CC373" s="112" t="s">
        <v>1766</v>
      </c>
      <c r="CD373" s="112" t="s">
        <v>1766</v>
      </c>
      <c r="CE373" s="112" t="s">
        <v>1766</v>
      </c>
      <c r="CF373" s="112" t="s">
        <v>1766</v>
      </c>
      <c r="CG373" s="112" t="s">
        <v>1766</v>
      </c>
      <c r="CH373" s="112" t="s">
        <v>1766</v>
      </c>
      <c r="CI373" s="112" t="s">
        <v>1766</v>
      </c>
      <c r="CJ373" s="112" t="s">
        <v>1766</v>
      </c>
      <c r="CK373" s="112" t="s">
        <v>1766</v>
      </c>
      <c r="CL373" s="112" t="s">
        <v>1766</v>
      </c>
      <c r="CM373" s="112" t="s">
        <v>1766</v>
      </c>
      <c r="CN373" s="112" t="s">
        <v>1766</v>
      </c>
      <c r="CO373" s="112" t="s">
        <v>1766</v>
      </c>
    </row>
    <row r="374" spans="1:93">
      <c r="A374" s="106" t="s">
        <v>469</v>
      </c>
      <c r="B374" s="106">
        <v>13</v>
      </c>
      <c r="C374" s="106">
        <v>1</v>
      </c>
      <c r="D374" s="106">
        <v>1</v>
      </c>
      <c r="E374" s="106">
        <v>1</v>
      </c>
      <c r="F374" s="106">
        <v>1</v>
      </c>
      <c r="G374" s="106" t="s">
        <v>66</v>
      </c>
      <c r="I374" s="106">
        <v>201</v>
      </c>
      <c r="J374" s="106" t="s">
        <v>1766</v>
      </c>
      <c r="K374" s="106" t="s">
        <v>1318</v>
      </c>
      <c r="L374" s="106" t="s">
        <v>1331</v>
      </c>
      <c r="M374" s="106" t="s">
        <v>485</v>
      </c>
      <c r="O374" s="106">
        <v>0</v>
      </c>
      <c r="T374" s="106" t="s">
        <v>1766</v>
      </c>
      <c r="V374" s="106">
        <v>686661.59159415495</v>
      </c>
      <c r="W374" s="106">
        <v>1</v>
      </c>
      <c r="X374" s="106">
        <v>2</v>
      </c>
      <c r="Y374" s="106">
        <v>1</v>
      </c>
      <c r="Z374" s="106">
        <v>1</v>
      </c>
      <c r="AA374" s="106">
        <v>140000</v>
      </c>
      <c r="AB374" s="106">
        <v>270000</v>
      </c>
      <c r="AC374" s="106">
        <v>140000</v>
      </c>
      <c r="AD374" s="106">
        <v>140000</v>
      </c>
      <c r="AE374" s="106">
        <v>690000</v>
      </c>
      <c r="AF374" s="106">
        <v>690000</v>
      </c>
      <c r="AH374" s="106">
        <v>11520</v>
      </c>
      <c r="AI374" s="106">
        <v>0.04</v>
      </c>
      <c r="AJ374" s="106">
        <v>6</v>
      </c>
      <c r="AK374" s="106">
        <v>120</v>
      </c>
      <c r="AL374" s="106">
        <v>720</v>
      </c>
      <c r="AM374" s="106">
        <v>10056</v>
      </c>
      <c r="AN374" s="106">
        <v>10056</v>
      </c>
      <c r="AO374" s="106">
        <v>4222</v>
      </c>
      <c r="AP374" s="106" t="s">
        <v>128</v>
      </c>
      <c r="AQ374" s="106" t="s">
        <v>471</v>
      </c>
      <c r="AR374" s="106">
        <v>2553</v>
      </c>
      <c r="AS374" s="106">
        <v>0.26</v>
      </c>
      <c r="AT374" s="106">
        <v>0.26</v>
      </c>
      <c r="AU374" s="108" t="s">
        <v>176</v>
      </c>
      <c r="AV374" s="108" t="s">
        <v>472</v>
      </c>
      <c r="AW374" s="108">
        <v>2570</v>
      </c>
      <c r="AX374" s="108">
        <v>3</v>
      </c>
      <c r="AY374" s="108">
        <v>3</v>
      </c>
      <c r="BD374" s="106">
        <v>0</v>
      </c>
      <c r="BY374" s="112" t="s">
        <v>1766</v>
      </c>
      <c r="BZ374" s="112" t="s">
        <v>1766</v>
      </c>
      <c r="CA374" s="112" t="s">
        <v>1766</v>
      </c>
      <c r="CB374" s="112" t="s">
        <v>1766</v>
      </c>
      <c r="CC374" s="112" t="s">
        <v>1766</v>
      </c>
      <c r="CD374" s="112" t="s">
        <v>1766</v>
      </c>
      <c r="CE374" s="112" t="s">
        <v>1766</v>
      </c>
      <c r="CF374" s="112" t="s">
        <v>1766</v>
      </c>
      <c r="CG374" s="112" t="s">
        <v>1766</v>
      </c>
      <c r="CH374" s="112" t="s">
        <v>1766</v>
      </c>
      <c r="CI374" s="112" t="s">
        <v>1766</v>
      </c>
      <c r="CJ374" s="112" t="s">
        <v>1766</v>
      </c>
      <c r="CK374" s="112" t="s">
        <v>1766</v>
      </c>
      <c r="CL374" s="112" t="s">
        <v>1766</v>
      </c>
      <c r="CM374" s="112" t="s">
        <v>1766</v>
      </c>
      <c r="CN374" s="112" t="s">
        <v>1766</v>
      </c>
      <c r="CO374" s="112" t="s">
        <v>1766</v>
      </c>
    </row>
    <row r="375" spans="1:93">
      <c r="A375" s="106" t="s">
        <v>469</v>
      </c>
      <c r="B375" s="106">
        <v>14</v>
      </c>
      <c r="C375" s="106">
        <v>1</v>
      </c>
      <c r="D375" s="106">
        <v>1</v>
      </c>
      <c r="E375" s="106">
        <v>1</v>
      </c>
      <c r="F375" s="106">
        <v>1</v>
      </c>
      <c r="G375" s="106" t="s">
        <v>66</v>
      </c>
      <c r="I375" s="106">
        <v>201</v>
      </c>
      <c r="J375" s="106" t="s">
        <v>1766</v>
      </c>
      <c r="K375" s="106" t="s">
        <v>1318</v>
      </c>
      <c r="L375" s="106" t="s">
        <v>1332</v>
      </c>
      <c r="M375" s="106" t="s">
        <v>486</v>
      </c>
      <c r="O375" s="106">
        <v>0</v>
      </c>
      <c r="T375" s="106" t="s">
        <v>1766</v>
      </c>
      <c r="V375" s="106">
        <v>892660.06907240103</v>
      </c>
      <c r="W375" s="106">
        <v>1</v>
      </c>
      <c r="X375" s="106">
        <v>2</v>
      </c>
      <c r="Y375" s="106">
        <v>1</v>
      </c>
      <c r="Z375" s="106">
        <v>1</v>
      </c>
      <c r="AA375" s="106">
        <v>180000</v>
      </c>
      <c r="AB375" s="106">
        <v>360000</v>
      </c>
      <c r="AC375" s="106">
        <v>180000</v>
      </c>
      <c r="AD375" s="106">
        <v>180000</v>
      </c>
      <c r="AE375" s="106">
        <v>900000</v>
      </c>
      <c r="AF375" s="106">
        <v>900000</v>
      </c>
      <c r="AH375" s="106">
        <v>14400</v>
      </c>
      <c r="AI375" s="106">
        <v>0.05</v>
      </c>
      <c r="AJ375" s="106">
        <v>6</v>
      </c>
      <c r="AK375" s="106">
        <v>144</v>
      </c>
      <c r="AL375" s="106">
        <v>864</v>
      </c>
      <c r="AM375" s="106">
        <v>12550</v>
      </c>
      <c r="AN375" s="106">
        <v>12550</v>
      </c>
      <c r="AO375" s="106">
        <v>6007</v>
      </c>
      <c r="AP375" s="106" t="s">
        <v>128</v>
      </c>
      <c r="AQ375" s="106" t="s">
        <v>471</v>
      </c>
      <c r="AR375" s="106">
        <v>2553</v>
      </c>
      <c r="AS375" s="106">
        <v>0.28000000000000003</v>
      </c>
      <c r="AT375" s="106">
        <v>0.28000000000000003</v>
      </c>
      <c r="AU375" s="108" t="s">
        <v>176</v>
      </c>
      <c r="AV375" s="108" t="s">
        <v>472</v>
      </c>
      <c r="AW375" s="108">
        <v>2570</v>
      </c>
      <c r="AX375" s="108">
        <v>3</v>
      </c>
      <c r="AY375" s="108">
        <v>3</v>
      </c>
      <c r="BD375" s="106">
        <v>0</v>
      </c>
      <c r="BY375" s="112" t="s">
        <v>1766</v>
      </c>
      <c r="BZ375" s="112" t="s">
        <v>1766</v>
      </c>
      <c r="CA375" s="112" t="s">
        <v>1766</v>
      </c>
      <c r="CB375" s="112" t="s">
        <v>1766</v>
      </c>
      <c r="CC375" s="112" t="s">
        <v>1766</v>
      </c>
      <c r="CD375" s="112" t="s">
        <v>1766</v>
      </c>
      <c r="CE375" s="112" t="s">
        <v>1766</v>
      </c>
      <c r="CF375" s="112" t="s">
        <v>1766</v>
      </c>
      <c r="CG375" s="112" t="s">
        <v>1766</v>
      </c>
      <c r="CH375" s="112" t="s">
        <v>1766</v>
      </c>
      <c r="CI375" s="112" t="s">
        <v>1766</v>
      </c>
      <c r="CJ375" s="112" t="s">
        <v>1766</v>
      </c>
      <c r="CK375" s="112" t="s">
        <v>1766</v>
      </c>
      <c r="CL375" s="112" t="s">
        <v>1766</v>
      </c>
      <c r="CM375" s="112" t="s">
        <v>1766</v>
      </c>
      <c r="CN375" s="112" t="s">
        <v>1766</v>
      </c>
      <c r="CO375" s="112" t="s">
        <v>1766</v>
      </c>
    </row>
    <row r="376" spans="1:93">
      <c r="A376" s="106" t="s">
        <v>469</v>
      </c>
      <c r="B376" s="106">
        <v>15</v>
      </c>
      <c r="C376" s="106">
        <v>1</v>
      </c>
      <c r="D376" s="106">
        <v>1</v>
      </c>
      <c r="E376" s="106">
        <v>1</v>
      </c>
      <c r="F376" s="106">
        <v>1</v>
      </c>
      <c r="G376" s="106" t="s">
        <v>66</v>
      </c>
      <c r="I376" s="106">
        <v>201</v>
      </c>
      <c r="J376" s="106" t="s">
        <v>1766</v>
      </c>
      <c r="K376" s="106" t="s">
        <v>1318</v>
      </c>
      <c r="L376" s="106" t="s">
        <v>1333</v>
      </c>
      <c r="M376" s="106" t="s">
        <v>487</v>
      </c>
      <c r="O376" s="106">
        <v>0</v>
      </c>
      <c r="T376" s="106" t="s">
        <v>1766</v>
      </c>
      <c r="V376" s="106">
        <v>1142604.88841267</v>
      </c>
      <c r="W376" s="106">
        <v>1</v>
      </c>
      <c r="X376" s="106">
        <v>2</v>
      </c>
      <c r="Y376" s="106">
        <v>1</v>
      </c>
      <c r="Z376" s="106">
        <v>1</v>
      </c>
      <c r="AA376" s="106">
        <v>230000</v>
      </c>
      <c r="AB376" s="106">
        <v>460000</v>
      </c>
      <c r="AC376" s="106">
        <v>230000</v>
      </c>
      <c r="AD376" s="106">
        <v>230000</v>
      </c>
      <c r="AE376" s="106">
        <v>1150000</v>
      </c>
      <c r="AF376" s="106">
        <v>1150000</v>
      </c>
      <c r="AH376" s="106">
        <v>17280</v>
      </c>
      <c r="AI376" s="106">
        <v>0.05</v>
      </c>
      <c r="AJ376" s="106">
        <v>7</v>
      </c>
      <c r="AK376" s="106">
        <v>172.8</v>
      </c>
      <c r="AL376" s="106">
        <v>1209.5999999999999</v>
      </c>
      <c r="AM376" s="106">
        <v>14947</v>
      </c>
      <c r="AN376" s="106">
        <v>14947</v>
      </c>
      <c r="AO376" s="106">
        <v>8293</v>
      </c>
      <c r="AP376" s="106" t="s">
        <v>128</v>
      </c>
      <c r="AQ376" s="106" t="s">
        <v>471</v>
      </c>
      <c r="AR376" s="106">
        <v>2553</v>
      </c>
      <c r="AS376" s="106">
        <v>0.3</v>
      </c>
      <c r="AT376" s="106">
        <v>0.3</v>
      </c>
      <c r="AU376" s="108" t="s">
        <v>176</v>
      </c>
      <c r="AV376" s="108" t="s">
        <v>472</v>
      </c>
      <c r="AW376" s="108">
        <v>2570</v>
      </c>
      <c r="AX376" s="108">
        <v>3</v>
      </c>
      <c r="AY376" s="108">
        <v>3</v>
      </c>
      <c r="BD376" s="106">
        <v>0</v>
      </c>
      <c r="BY376" s="112" t="s">
        <v>1766</v>
      </c>
      <c r="BZ376" s="112" t="s">
        <v>1766</v>
      </c>
      <c r="CA376" s="112" t="s">
        <v>1766</v>
      </c>
      <c r="CB376" s="112" t="s">
        <v>1766</v>
      </c>
      <c r="CC376" s="112" t="s">
        <v>1766</v>
      </c>
      <c r="CD376" s="112" t="s">
        <v>1766</v>
      </c>
      <c r="CE376" s="112" t="s">
        <v>1766</v>
      </c>
      <c r="CF376" s="112" t="s">
        <v>1766</v>
      </c>
      <c r="CG376" s="112" t="s">
        <v>1766</v>
      </c>
      <c r="CH376" s="112" t="s">
        <v>1766</v>
      </c>
      <c r="CI376" s="112" t="s">
        <v>1766</v>
      </c>
      <c r="CJ376" s="112" t="s">
        <v>1766</v>
      </c>
      <c r="CK376" s="112" t="s">
        <v>1766</v>
      </c>
      <c r="CL376" s="112" t="s">
        <v>1766</v>
      </c>
      <c r="CM376" s="112" t="s">
        <v>1766</v>
      </c>
      <c r="CN376" s="112" t="s">
        <v>1766</v>
      </c>
      <c r="CO376" s="112" t="s">
        <v>1766</v>
      </c>
    </row>
    <row r="377" spans="1:93">
      <c r="A377" s="106" t="s">
        <v>469</v>
      </c>
      <c r="B377" s="106">
        <v>16</v>
      </c>
      <c r="C377" s="106">
        <v>1</v>
      </c>
      <c r="D377" s="106">
        <v>1</v>
      </c>
      <c r="E377" s="106">
        <v>1</v>
      </c>
      <c r="F377" s="106">
        <v>1</v>
      </c>
      <c r="G377" s="106" t="s">
        <v>66</v>
      </c>
      <c r="I377" s="106">
        <v>201</v>
      </c>
      <c r="J377" s="106" t="s">
        <v>1766</v>
      </c>
      <c r="K377" s="106" t="s">
        <v>1318</v>
      </c>
      <c r="L377" s="106" t="s">
        <v>1334</v>
      </c>
      <c r="M377" s="106" t="s">
        <v>488</v>
      </c>
      <c r="O377" s="106">
        <v>0</v>
      </c>
      <c r="T377" s="106" t="s">
        <v>1766</v>
      </c>
      <c r="V377" s="106">
        <v>1462534.2571682199</v>
      </c>
      <c r="W377" s="106">
        <v>1</v>
      </c>
      <c r="X377" s="106">
        <v>2</v>
      </c>
      <c r="Y377" s="106">
        <v>1</v>
      </c>
      <c r="Z377" s="106">
        <v>1</v>
      </c>
      <c r="AA377" s="106">
        <v>290000</v>
      </c>
      <c r="AB377" s="106">
        <v>590000</v>
      </c>
      <c r="AC377" s="106">
        <v>290000</v>
      </c>
      <c r="AD377" s="106">
        <v>290000</v>
      </c>
      <c r="AE377" s="106">
        <v>1460000</v>
      </c>
      <c r="AF377" s="106">
        <v>1460000</v>
      </c>
      <c r="AH377" s="106">
        <v>21600</v>
      </c>
      <c r="AI377" s="106">
        <v>0.05</v>
      </c>
      <c r="AJ377" s="106">
        <v>7</v>
      </c>
      <c r="AK377" s="106">
        <v>216</v>
      </c>
      <c r="AL377" s="106">
        <v>1512</v>
      </c>
      <c r="AM377" s="106">
        <v>18759</v>
      </c>
      <c r="AN377" s="106">
        <v>18759</v>
      </c>
      <c r="AO377" s="106">
        <v>11218</v>
      </c>
      <c r="AP377" s="106" t="s">
        <v>128</v>
      </c>
      <c r="AQ377" s="106" t="s">
        <v>471</v>
      </c>
      <c r="AR377" s="106">
        <v>2553</v>
      </c>
      <c r="AS377" s="106">
        <v>0.32</v>
      </c>
      <c r="AT377" s="106">
        <v>0.32</v>
      </c>
      <c r="AU377" s="108" t="s">
        <v>176</v>
      </c>
      <c r="AV377" s="108" t="s">
        <v>472</v>
      </c>
      <c r="AW377" s="108">
        <v>2570</v>
      </c>
      <c r="AX377" s="108">
        <v>3</v>
      </c>
      <c r="AY377" s="108">
        <v>3</v>
      </c>
      <c r="BD377" s="106">
        <v>0</v>
      </c>
      <c r="BY377" s="112" t="s">
        <v>1766</v>
      </c>
      <c r="BZ377" s="112" t="s">
        <v>1766</v>
      </c>
      <c r="CA377" s="112" t="s">
        <v>1766</v>
      </c>
      <c r="CB377" s="112" t="s">
        <v>1766</v>
      </c>
      <c r="CC377" s="112" t="s">
        <v>1766</v>
      </c>
      <c r="CD377" s="112" t="s">
        <v>1766</v>
      </c>
      <c r="CE377" s="112" t="s">
        <v>1766</v>
      </c>
      <c r="CF377" s="112" t="s">
        <v>1766</v>
      </c>
      <c r="CG377" s="112" t="s">
        <v>1766</v>
      </c>
      <c r="CH377" s="112" t="s">
        <v>1766</v>
      </c>
      <c r="CI377" s="112" t="s">
        <v>1766</v>
      </c>
      <c r="CJ377" s="112" t="s">
        <v>1766</v>
      </c>
      <c r="CK377" s="112" t="s">
        <v>1766</v>
      </c>
      <c r="CL377" s="112" t="s">
        <v>1766</v>
      </c>
      <c r="CM377" s="112" t="s">
        <v>1766</v>
      </c>
      <c r="CN377" s="112" t="s">
        <v>1766</v>
      </c>
      <c r="CO377" s="112" t="s">
        <v>1766</v>
      </c>
    </row>
    <row r="378" spans="1:93">
      <c r="A378" s="106" t="s">
        <v>469</v>
      </c>
      <c r="B378" s="106">
        <v>17</v>
      </c>
      <c r="C378" s="106">
        <v>1</v>
      </c>
      <c r="D378" s="106">
        <v>1</v>
      </c>
      <c r="E378" s="106">
        <v>1</v>
      </c>
      <c r="F378" s="106">
        <v>1</v>
      </c>
      <c r="G378" s="106" t="s">
        <v>66</v>
      </c>
      <c r="I378" s="106">
        <v>201</v>
      </c>
      <c r="J378" s="106" t="s">
        <v>1766</v>
      </c>
      <c r="K378" s="106" t="s">
        <v>1318</v>
      </c>
      <c r="L378" s="106" t="s">
        <v>1335</v>
      </c>
      <c r="M378" s="106" t="s">
        <v>489</v>
      </c>
      <c r="O378" s="106">
        <v>0</v>
      </c>
      <c r="T378" s="106" t="s">
        <v>1766</v>
      </c>
      <c r="V378" s="106">
        <v>1872043.84917532</v>
      </c>
      <c r="W378" s="106">
        <v>1</v>
      </c>
      <c r="X378" s="106">
        <v>2</v>
      </c>
      <c r="Y378" s="106">
        <v>1</v>
      </c>
      <c r="Z378" s="106">
        <v>1</v>
      </c>
      <c r="AA378" s="106">
        <v>370000</v>
      </c>
      <c r="AB378" s="106">
        <v>750000</v>
      </c>
      <c r="AC378" s="106">
        <v>370000</v>
      </c>
      <c r="AD378" s="106">
        <v>370000</v>
      </c>
      <c r="AE378" s="106">
        <v>1860000</v>
      </c>
      <c r="AF378" s="106">
        <v>1860000</v>
      </c>
      <c r="AH378" s="106">
        <v>28800</v>
      </c>
      <c r="AI378" s="106">
        <v>0.05</v>
      </c>
      <c r="AJ378" s="106">
        <v>8</v>
      </c>
      <c r="AK378" s="106">
        <v>288</v>
      </c>
      <c r="AL378" s="106">
        <v>2304</v>
      </c>
      <c r="AM378" s="106">
        <v>24824</v>
      </c>
      <c r="AN378" s="106">
        <v>24824</v>
      </c>
      <c r="AO378" s="106">
        <v>14962</v>
      </c>
      <c r="AP378" s="106" t="s">
        <v>128</v>
      </c>
      <c r="AQ378" s="106" t="s">
        <v>471</v>
      </c>
      <c r="AR378" s="106">
        <v>2553</v>
      </c>
      <c r="AS378" s="106">
        <v>0.34</v>
      </c>
      <c r="AT378" s="106">
        <v>0.34</v>
      </c>
      <c r="AU378" s="108" t="s">
        <v>176</v>
      </c>
      <c r="AV378" s="108" t="s">
        <v>472</v>
      </c>
      <c r="AW378" s="108">
        <v>2570</v>
      </c>
      <c r="AX378" s="108">
        <v>3</v>
      </c>
      <c r="AY378" s="108">
        <v>3</v>
      </c>
      <c r="BD378" s="106">
        <v>0</v>
      </c>
      <c r="BY378" s="112" t="s">
        <v>1766</v>
      </c>
      <c r="BZ378" s="112" t="s">
        <v>1766</v>
      </c>
      <c r="CA378" s="112" t="s">
        <v>1766</v>
      </c>
      <c r="CB378" s="112" t="s">
        <v>1766</v>
      </c>
      <c r="CC378" s="112" t="s">
        <v>1766</v>
      </c>
      <c r="CD378" s="112" t="s">
        <v>1766</v>
      </c>
      <c r="CE378" s="112" t="s">
        <v>1766</v>
      </c>
      <c r="CF378" s="112" t="s">
        <v>1766</v>
      </c>
      <c r="CG378" s="112" t="s">
        <v>1766</v>
      </c>
      <c r="CH378" s="112" t="s">
        <v>1766</v>
      </c>
      <c r="CI378" s="112" t="s">
        <v>1766</v>
      </c>
      <c r="CJ378" s="112" t="s">
        <v>1766</v>
      </c>
      <c r="CK378" s="112" t="s">
        <v>1766</v>
      </c>
      <c r="CL378" s="112" t="s">
        <v>1766</v>
      </c>
      <c r="CM378" s="112" t="s">
        <v>1766</v>
      </c>
      <c r="CN378" s="112" t="s">
        <v>1766</v>
      </c>
      <c r="CO378" s="112" t="s">
        <v>1766</v>
      </c>
    </row>
    <row r="379" spans="1:93">
      <c r="A379" s="106" t="s">
        <v>469</v>
      </c>
      <c r="B379" s="106">
        <v>18</v>
      </c>
      <c r="C379" s="106">
        <v>1</v>
      </c>
      <c r="D379" s="106">
        <v>1</v>
      </c>
      <c r="E379" s="106">
        <v>1</v>
      </c>
      <c r="F379" s="106">
        <v>1</v>
      </c>
      <c r="G379" s="106" t="s">
        <v>66</v>
      </c>
      <c r="I379" s="106">
        <v>201</v>
      </c>
      <c r="J379" s="106" t="s">
        <v>1766</v>
      </c>
      <c r="K379" s="106" t="s">
        <v>1318</v>
      </c>
      <c r="L379" s="106" t="s">
        <v>1336</v>
      </c>
      <c r="M379" s="106" t="s">
        <v>490</v>
      </c>
      <c r="O379" s="106">
        <v>0</v>
      </c>
      <c r="T379" s="106" t="s">
        <v>1766</v>
      </c>
      <c r="V379" s="106">
        <v>2396216.1269444101</v>
      </c>
      <c r="W379" s="106">
        <v>1</v>
      </c>
      <c r="X379" s="106">
        <v>2</v>
      </c>
      <c r="Y379" s="106">
        <v>1</v>
      </c>
      <c r="Z379" s="106">
        <v>1</v>
      </c>
      <c r="AA379" s="106">
        <v>480000</v>
      </c>
      <c r="AB379" s="106">
        <v>960000</v>
      </c>
      <c r="AC379" s="106">
        <v>480000</v>
      </c>
      <c r="AD379" s="106">
        <v>480000</v>
      </c>
      <c r="AE379" s="106">
        <v>2400000</v>
      </c>
      <c r="AF379" s="106">
        <v>2400000</v>
      </c>
      <c r="AH379" s="106">
        <v>37440</v>
      </c>
      <c r="AI379" s="106">
        <v>6.5000000000000002E-2</v>
      </c>
      <c r="AJ379" s="106">
        <v>8</v>
      </c>
      <c r="AK379" s="106">
        <v>374.4</v>
      </c>
      <c r="AL379" s="106">
        <v>2995.2</v>
      </c>
      <c r="AM379" s="106">
        <v>31859</v>
      </c>
      <c r="AN379" s="106">
        <v>31859</v>
      </c>
      <c r="AO379" s="106">
        <v>19754</v>
      </c>
      <c r="AP379" s="106" t="s">
        <v>128</v>
      </c>
      <c r="AQ379" s="106" t="s">
        <v>471</v>
      </c>
      <c r="AR379" s="106">
        <v>2553</v>
      </c>
      <c r="AS379" s="106">
        <v>0.36</v>
      </c>
      <c r="AT379" s="106">
        <v>0.36</v>
      </c>
      <c r="AU379" s="108" t="s">
        <v>176</v>
      </c>
      <c r="AV379" s="108" t="s">
        <v>472</v>
      </c>
      <c r="AW379" s="108">
        <v>2570</v>
      </c>
      <c r="AX379" s="108">
        <v>3</v>
      </c>
      <c r="AY379" s="108">
        <v>3</v>
      </c>
      <c r="BD379" s="106">
        <v>0</v>
      </c>
      <c r="BY379" s="112" t="s">
        <v>1766</v>
      </c>
      <c r="BZ379" s="112" t="s">
        <v>1766</v>
      </c>
      <c r="CA379" s="112" t="s">
        <v>1766</v>
      </c>
      <c r="CB379" s="112" t="s">
        <v>1766</v>
      </c>
      <c r="CC379" s="112" t="s">
        <v>1766</v>
      </c>
      <c r="CD379" s="112" t="s">
        <v>1766</v>
      </c>
      <c r="CE379" s="112" t="s">
        <v>1766</v>
      </c>
      <c r="CF379" s="112" t="s">
        <v>1766</v>
      </c>
      <c r="CG379" s="112" t="s">
        <v>1766</v>
      </c>
      <c r="CH379" s="112" t="s">
        <v>1766</v>
      </c>
      <c r="CI379" s="112" t="s">
        <v>1766</v>
      </c>
      <c r="CJ379" s="112" t="s">
        <v>1766</v>
      </c>
      <c r="CK379" s="112" t="s">
        <v>1766</v>
      </c>
      <c r="CL379" s="112" t="s">
        <v>1766</v>
      </c>
      <c r="CM379" s="112" t="s">
        <v>1766</v>
      </c>
      <c r="CN379" s="112" t="s">
        <v>1766</v>
      </c>
      <c r="CO379" s="112" t="s">
        <v>1766</v>
      </c>
    </row>
    <row r="380" spans="1:93">
      <c r="A380" s="106" t="s">
        <v>469</v>
      </c>
      <c r="B380" s="106">
        <v>19</v>
      </c>
      <c r="C380" s="106">
        <v>1</v>
      </c>
      <c r="D380" s="106">
        <v>1</v>
      </c>
      <c r="E380" s="106">
        <v>1</v>
      </c>
      <c r="F380" s="106">
        <v>1</v>
      </c>
      <c r="G380" s="106" t="s">
        <v>66</v>
      </c>
      <c r="I380" s="106">
        <v>201</v>
      </c>
      <c r="J380" s="106" t="s">
        <v>1766</v>
      </c>
      <c r="K380" s="106" t="s">
        <v>1318</v>
      </c>
      <c r="L380" s="106" t="s">
        <v>1337</v>
      </c>
      <c r="M380" s="106" t="s">
        <v>491</v>
      </c>
      <c r="O380" s="106">
        <v>0</v>
      </c>
      <c r="T380" s="106" t="s">
        <v>1766</v>
      </c>
      <c r="V380" s="106">
        <v>3067156.6424888498</v>
      </c>
      <c r="W380" s="106">
        <v>1</v>
      </c>
      <c r="X380" s="106">
        <v>2</v>
      </c>
      <c r="Y380" s="106">
        <v>1</v>
      </c>
      <c r="Z380" s="106">
        <v>1</v>
      </c>
      <c r="AA380" s="106">
        <v>610000</v>
      </c>
      <c r="AB380" s="106">
        <v>1200000</v>
      </c>
      <c r="AC380" s="106">
        <v>610000</v>
      </c>
      <c r="AD380" s="106">
        <v>610000</v>
      </c>
      <c r="AE380" s="106">
        <v>3030000</v>
      </c>
      <c r="AF380" s="106">
        <v>3030000</v>
      </c>
      <c r="AH380" s="106">
        <v>48960</v>
      </c>
      <c r="AI380" s="106">
        <v>0.08</v>
      </c>
      <c r="AJ380" s="106">
        <v>9</v>
      </c>
      <c r="AK380" s="106">
        <v>489.6</v>
      </c>
      <c r="AL380" s="106">
        <v>4406.3999999999996</v>
      </c>
      <c r="AM380" s="106">
        <v>40626</v>
      </c>
      <c r="AN380" s="106">
        <v>40626</v>
      </c>
      <c r="AO380" s="106">
        <v>25889</v>
      </c>
      <c r="AP380" s="106" t="s">
        <v>128</v>
      </c>
      <c r="AQ380" s="106" t="s">
        <v>471</v>
      </c>
      <c r="AR380" s="106">
        <v>2553</v>
      </c>
      <c r="AS380" s="106">
        <v>0.38</v>
      </c>
      <c r="AT380" s="106">
        <v>0.38</v>
      </c>
      <c r="AU380" s="108" t="s">
        <v>176</v>
      </c>
      <c r="AV380" s="108" t="s">
        <v>472</v>
      </c>
      <c r="AW380" s="108">
        <v>2570</v>
      </c>
      <c r="AX380" s="108">
        <v>3</v>
      </c>
      <c r="AY380" s="108">
        <v>3</v>
      </c>
      <c r="BD380" s="106">
        <v>0</v>
      </c>
      <c r="BY380" s="112" t="s">
        <v>1766</v>
      </c>
      <c r="BZ380" s="112" t="s">
        <v>1766</v>
      </c>
      <c r="CA380" s="112" t="s">
        <v>1766</v>
      </c>
      <c r="CB380" s="112" t="s">
        <v>1766</v>
      </c>
      <c r="CC380" s="112" t="s">
        <v>1766</v>
      </c>
      <c r="CD380" s="112" t="s">
        <v>1766</v>
      </c>
      <c r="CE380" s="112" t="s">
        <v>1766</v>
      </c>
      <c r="CF380" s="112" t="s">
        <v>1766</v>
      </c>
      <c r="CG380" s="112" t="s">
        <v>1766</v>
      </c>
      <c r="CH380" s="112" t="s">
        <v>1766</v>
      </c>
      <c r="CI380" s="112" t="s">
        <v>1766</v>
      </c>
      <c r="CJ380" s="112" t="s">
        <v>1766</v>
      </c>
      <c r="CK380" s="112" t="s">
        <v>1766</v>
      </c>
      <c r="CL380" s="112" t="s">
        <v>1766</v>
      </c>
      <c r="CM380" s="112" t="s">
        <v>1766</v>
      </c>
      <c r="CN380" s="112" t="s">
        <v>1766</v>
      </c>
      <c r="CO380" s="112" t="s">
        <v>1766</v>
      </c>
    </row>
    <row r="381" spans="1:93">
      <c r="A381" s="106" t="s">
        <v>469</v>
      </c>
      <c r="B381" s="106">
        <v>20</v>
      </c>
      <c r="C381" s="106">
        <v>1</v>
      </c>
      <c r="D381" s="106">
        <v>1</v>
      </c>
      <c r="E381" s="106">
        <v>1</v>
      </c>
      <c r="F381" s="106">
        <v>1</v>
      </c>
      <c r="G381" s="106" t="s">
        <v>66</v>
      </c>
      <c r="I381" s="106">
        <v>201</v>
      </c>
      <c r="J381" s="106" t="s">
        <v>1766</v>
      </c>
      <c r="K381" s="106" t="s">
        <v>1318</v>
      </c>
      <c r="L381" s="106" t="s">
        <v>1338</v>
      </c>
      <c r="M381" s="106" t="s">
        <v>492</v>
      </c>
      <c r="O381" s="106">
        <v>0</v>
      </c>
      <c r="T381" s="106" t="s">
        <v>1766</v>
      </c>
      <c r="V381" s="106">
        <v>3925960.5023857299</v>
      </c>
      <c r="W381" s="106">
        <v>1</v>
      </c>
      <c r="X381" s="106">
        <v>2</v>
      </c>
      <c r="Y381" s="106">
        <v>1</v>
      </c>
      <c r="Z381" s="106">
        <v>1</v>
      </c>
      <c r="AA381" s="106">
        <v>790000</v>
      </c>
      <c r="AB381" s="106">
        <v>1600000</v>
      </c>
      <c r="AC381" s="106">
        <v>790000</v>
      </c>
      <c r="AD381" s="106">
        <v>790000</v>
      </c>
      <c r="AE381" s="106">
        <v>3970000</v>
      </c>
      <c r="AF381" s="106">
        <v>3970000</v>
      </c>
      <c r="AH381" s="106">
        <v>69120</v>
      </c>
      <c r="AI381" s="106">
        <v>9.5000000000000001E-2</v>
      </c>
      <c r="AJ381" s="106">
        <v>9</v>
      </c>
      <c r="AK381" s="106">
        <v>691.2</v>
      </c>
      <c r="AL381" s="106">
        <v>6220.8</v>
      </c>
      <c r="AM381" s="106">
        <v>56602</v>
      </c>
      <c r="AN381" s="106">
        <v>56602</v>
      </c>
      <c r="AO381" s="106">
        <v>33740</v>
      </c>
      <c r="AP381" s="106" t="s">
        <v>128</v>
      </c>
      <c r="AQ381" s="106" t="s">
        <v>471</v>
      </c>
      <c r="AR381" s="106">
        <v>2553</v>
      </c>
      <c r="AS381" s="106">
        <v>0.4</v>
      </c>
      <c r="AT381" s="106">
        <v>0.4</v>
      </c>
      <c r="AU381" s="108" t="s">
        <v>176</v>
      </c>
      <c r="AV381" s="108" t="s">
        <v>472</v>
      </c>
      <c r="AW381" s="108">
        <v>2570</v>
      </c>
      <c r="AX381" s="108">
        <v>3</v>
      </c>
      <c r="AY381" s="108">
        <v>3</v>
      </c>
      <c r="BD381" s="106">
        <v>0</v>
      </c>
      <c r="BY381" s="112" t="s">
        <v>1766</v>
      </c>
      <c r="BZ381" s="112" t="s">
        <v>1766</v>
      </c>
      <c r="CA381" s="112" t="s">
        <v>1766</v>
      </c>
      <c r="CB381" s="112" t="s">
        <v>1766</v>
      </c>
      <c r="CC381" s="112" t="s">
        <v>1766</v>
      </c>
      <c r="CD381" s="112" t="s">
        <v>1766</v>
      </c>
      <c r="CE381" s="112" t="s">
        <v>1766</v>
      </c>
      <c r="CF381" s="112" t="s">
        <v>1766</v>
      </c>
      <c r="CG381" s="112" t="s">
        <v>1766</v>
      </c>
      <c r="CH381" s="112" t="s">
        <v>1766</v>
      </c>
      <c r="CI381" s="112" t="s">
        <v>1766</v>
      </c>
      <c r="CJ381" s="112" t="s">
        <v>1766</v>
      </c>
      <c r="CK381" s="112" t="s">
        <v>1766</v>
      </c>
      <c r="CL381" s="112" t="s">
        <v>1766</v>
      </c>
      <c r="CM381" s="112" t="s">
        <v>1766</v>
      </c>
      <c r="CN381" s="112" t="s">
        <v>1766</v>
      </c>
      <c r="CO381" s="112" t="s">
        <v>1766</v>
      </c>
    </row>
    <row r="382" spans="1:93">
      <c r="A382" s="106" t="s">
        <v>469</v>
      </c>
      <c r="B382" s="106">
        <v>21</v>
      </c>
      <c r="C382" s="106">
        <v>1</v>
      </c>
      <c r="D382" s="106">
        <v>1</v>
      </c>
      <c r="E382" s="106">
        <v>1</v>
      </c>
      <c r="F382" s="106">
        <v>1</v>
      </c>
      <c r="G382" s="106" t="s">
        <v>66</v>
      </c>
      <c r="I382" s="106">
        <v>201</v>
      </c>
      <c r="J382" s="106" t="s">
        <v>1766</v>
      </c>
      <c r="K382" s="106" t="s">
        <v>1318</v>
      </c>
      <c r="L382" s="106" t="s">
        <v>1340</v>
      </c>
      <c r="M382" s="106" t="s">
        <v>1455</v>
      </c>
      <c r="O382" s="106">
        <v>0</v>
      </c>
      <c r="T382" s="106" t="s">
        <v>1766</v>
      </c>
      <c r="V382" s="106">
        <v>5025229.4430537298</v>
      </c>
      <c r="W382" s="106">
        <v>1</v>
      </c>
      <c r="X382" s="106">
        <v>2</v>
      </c>
      <c r="Y382" s="106">
        <v>1</v>
      </c>
      <c r="Z382" s="106">
        <v>1</v>
      </c>
      <c r="AA382" s="106">
        <v>1000000</v>
      </c>
      <c r="AB382" s="106">
        <v>2000000</v>
      </c>
      <c r="AC382" s="106">
        <v>1000000</v>
      </c>
      <c r="AD382" s="106">
        <v>1000000</v>
      </c>
      <c r="AE382" s="106">
        <v>5000000</v>
      </c>
      <c r="AF382" s="106">
        <v>5000000</v>
      </c>
      <c r="AH382" s="106">
        <v>92160</v>
      </c>
      <c r="AI382" s="106">
        <v>0.11</v>
      </c>
      <c r="AJ382" s="106">
        <v>10</v>
      </c>
      <c r="AK382" s="106">
        <v>921.6</v>
      </c>
      <c r="AL382" s="106">
        <v>9216</v>
      </c>
      <c r="AM382" s="106">
        <v>73511</v>
      </c>
      <c r="AN382" s="106">
        <v>73511</v>
      </c>
      <c r="AO382" s="106">
        <v>43791</v>
      </c>
      <c r="AP382" s="106" t="s">
        <v>128</v>
      </c>
      <c r="AQ382" s="106" t="s">
        <v>471</v>
      </c>
      <c r="AR382" s="106">
        <v>2553</v>
      </c>
      <c r="AS382" s="106">
        <v>0.42</v>
      </c>
      <c r="AT382" s="106">
        <v>0.42</v>
      </c>
      <c r="AU382" s="108" t="s">
        <v>176</v>
      </c>
      <c r="AV382" s="108" t="s">
        <v>472</v>
      </c>
      <c r="AW382" s="108">
        <v>2570</v>
      </c>
      <c r="AX382" s="108">
        <v>3</v>
      </c>
      <c r="AY382" s="108">
        <v>3</v>
      </c>
      <c r="BD382" s="106">
        <v>0</v>
      </c>
      <c r="BY382" s="112" t="s">
        <v>1766</v>
      </c>
      <c r="BZ382" s="112" t="s">
        <v>1766</v>
      </c>
      <c r="CA382" s="112" t="s">
        <v>1766</v>
      </c>
      <c r="CB382" s="112" t="s">
        <v>1766</v>
      </c>
      <c r="CC382" s="112" t="s">
        <v>1766</v>
      </c>
      <c r="CD382" s="112" t="s">
        <v>1766</v>
      </c>
      <c r="CE382" s="112" t="s">
        <v>1766</v>
      </c>
      <c r="CF382" s="112" t="s">
        <v>1766</v>
      </c>
      <c r="CG382" s="112" t="s">
        <v>1766</v>
      </c>
      <c r="CH382" s="112" t="s">
        <v>1766</v>
      </c>
      <c r="CI382" s="112" t="s">
        <v>1766</v>
      </c>
      <c r="CJ382" s="112" t="s">
        <v>1766</v>
      </c>
      <c r="CK382" s="112" t="s">
        <v>1766</v>
      </c>
      <c r="CL382" s="112" t="s">
        <v>1766</v>
      </c>
      <c r="CM382" s="112" t="s">
        <v>1766</v>
      </c>
      <c r="CN382" s="112" t="s">
        <v>1766</v>
      </c>
      <c r="CO382" s="112" t="s">
        <v>1766</v>
      </c>
    </row>
    <row r="383" spans="1:93">
      <c r="A383" s="106" t="s">
        <v>469</v>
      </c>
      <c r="B383" s="106">
        <v>22</v>
      </c>
      <c r="C383" s="106">
        <v>1</v>
      </c>
      <c r="D383" s="106">
        <v>1</v>
      </c>
      <c r="E383" s="106">
        <v>1</v>
      </c>
      <c r="F383" s="106">
        <v>1</v>
      </c>
      <c r="G383" s="106" t="s">
        <v>66</v>
      </c>
      <c r="I383" s="106">
        <v>201</v>
      </c>
      <c r="J383" s="106" t="s">
        <v>1766</v>
      </c>
      <c r="K383" s="106" t="s">
        <v>1318</v>
      </c>
      <c r="L383" s="106" t="s">
        <v>1342</v>
      </c>
      <c r="M383" s="106" t="s">
        <v>1456</v>
      </c>
      <c r="O383" s="106">
        <v>0</v>
      </c>
      <c r="T383" s="106" t="s">
        <v>1766</v>
      </c>
      <c r="V383" s="106">
        <v>6432293.6871087803</v>
      </c>
      <c r="W383" s="106">
        <v>1</v>
      </c>
      <c r="X383" s="106">
        <v>2</v>
      </c>
      <c r="Y383" s="106">
        <v>1</v>
      </c>
      <c r="Z383" s="106">
        <v>1</v>
      </c>
      <c r="AA383" s="106">
        <v>1300000</v>
      </c>
      <c r="AB383" s="106">
        <v>2600000</v>
      </c>
      <c r="AC383" s="106">
        <v>1300000</v>
      </c>
      <c r="AD383" s="106">
        <v>1300000</v>
      </c>
      <c r="AE383" s="106">
        <v>6500000</v>
      </c>
      <c r="AF383" s="106">
        <v>6500000</v>
      </c>
      <c r="AH383" s="106">
        <v>120960</v>
      </c>
      <c r="AI383" s="106">
        <v>0.125</v>
      </c>
      <c r="AJ383" s="106">
        <v>10</v>
      </c>
      <c r="AK383" s="106">
        <v>1209.5999999999999</v>
      </c>
      <c r="AL383" s="106">
        <v>12096</v>
      </c>
      <c r="AM383" s="106">
        <v>95124</v>
      </c>
      <c r="AN383" s="106">
        <v>95124</v>
      </c>
      <c r="AO383" s="106">
        <v>56656</v>
      </c>
      <c r="AP383" s="106" t="s">
        <v>128</v>
      </c>
      <c r="AQ383" s="106" t="s">
        <v>471</v>
      </c>
      <c r="AR383" s="106">
        <v>2553</v>
      </c>
      <c r="AS383" s="106">
        <v>0.44</v>
      </c>
      <c r="AT383" s="106">
        <v>0.44</v>
      </c>
      <c r="AU383" s="108" t="s">
        <v>176</v>
      </c>
      <c r="AV383" s="108" t="s">
        <v>472</v>
      </c>
      <c r="AW383" s="108">
        <v>2570</v>
      </c>
      <c r="AX383" s="108">
        <v>3</v>
      </c>
      <c r="AY383" s="108">
        <v>3</v>
      </c>
      <c r="BD383" s="106">
        <v>0</v>
      </c>
      <c r="BY383" s="112" t="s">
        <v>1766</v>
      </c>
      <c r="BZ383" s="112" t="s">
        <v>1766</v>
      </c>
      <c r="CA383" s="112" t="s">
        <v>1766</v>
      </c>
      <c r="CB383" s="112" t="s">
        <v>1766</v>
      </c>
      <c r="CC383" s="112" t="s">
        <v>1766</v>
      </c>
      <c r="CD383" s="112" t="s">
        <v>1766</v>
      </c>
      <c r="CE383" s="112" t="s">
        <v>1766</v>
      </c>
      <c r="CF383" s="112" t="s">
        <v>1766</v>
      </c>
      <c r="CG383" s="112" t="s">
        <v>1766</v>
      </c>
      <c r="CH383" s="112" t="s">
        <v>1766</v>
      </c>
      <c r="CI383" s="112" t="s">
        <v>1766</v>
      </c>
      <c r="CJ383" s="112" t="s">
        <v>1766</v>
      </c>
      <c r="CK383" s="112" t="s">
        <v>1766</v>
      </c>
      <c r="CL383" s="112" t="s">
        <v>1766</v>
      </c>
      <c r="CM383" s="112" t="s">
        <v>1766</v>
      </c>
      <c r="CN383" s="112" t="s">
        <v>1766</v>
      </c>
      <c r="CO383" s="112" t="s">
        <v>1766</v>
      </c>
    </row>
    <row r="384" spans="1:93">
      <c r="A384" s="106" t="s">
        <v>469</v>
      </c>
      <c r="B384" s="106">
        <v>23</v>
      </c>
      <c r="C384" s="106">
        <v>1</v>
      </c>
      <c r="D384" s="106">
        <v>1</v>
      </c>
      <c r="E384" s="106">
        <v>1</v>
      </c>
      <c r="F384" s="106">
        <v>1</v>
      </c>
      <c r="G384" s="106" t="s">
        <v>66</v>
      </c>
      <c r="I384" s="106">
        <v>201</v>
      </c>
      <c r="J384" s="106" t="s">
        <v>1766</v>
      </c>
      <c r="K384" s="106" t="s">
        <v>1318</v>
      </c>
      <c r="L384" s="106" t="s">
        <v>1344</v>
      </c>
      <c r="M384" s="106" t="s">
        <v>1457</v>
      </c>
      <c r="O384" s="106">
        <v>0</v>
      </c>
      <c r="T384" s="106" t="s">
        <v>1766</v>
      </c>
      <c r="V384" s="106">
        <v>8233335.9194992399</v>
      </c>
      <c r="W384" s="106">
        <v>1</v>
      </c>
      <c r="X384" s="106">
        <v>2</v>
      </c>
      <c r="Y384" s="106">
        <v>1</v>
      </c>
      <c r="Z384" s="106">
        <v>1</v>
      </c>
      <c r="AA384" s="106">
        <v>1600000</v>
      </c>
      <c r="AB384" s="106">
        <v>3300000</v>
      </c>
      <c r="AC384" s="106">
        <v>1600000</v>
      </c>
      <c r="AD384" s="106">
        <v>1600000</v>
      </c>
      <c r="AE384" s="106">
        <v>8100000</v>
      </c>
      <c r="AF384" s="106">
        <v>8100000</v>
      </c>
      <c r="AH384" s="106">
        <v>155520</v>
      </c>
      <c r="AI384" s="106">
        <v>0.125</v>
      </c>
      <c r="AJ384" s="106">
        <v>11</v>
      </c>
      <c r="AK384" s="106">
        <v>1555.2</v>
      </c>
      <c r="AL384" s="106">
        <v>17107.2</v>
      </c>
      <c r="AM384" s="106">
        <v>120832</v>
      </c>
      <c r="AN384" s="106">
        <v>120832</v>
      </c>
      <c r="AO384" s="106">
        <v>73122</v>
      </c>
      <c r="AP384" s="106" t="s">
        <v>128</v>
      </c>
      <c r="AQ384" s="106" t="s">
        <v>471</v>
      </c>
      <c r="AR384" s="106">
        <v>2553</v>
      </c>
      <c r="AS384" s="106">
        <v>0.46</v>
      </c>
      <c r="AT384" s="106">
        <v>0.46</v>
      </c>
      <c r="AU384" s="108" t="s">
        <v>176</v>
      </c>
      <c r="AV384" s="108" t="s">
        <v>472</v>
      </c>
      <c r="AW384" s="108">
        <v>2570</v>
      </c>
      <c r="AX384" s="108">
        <v>3</v>
      </c>
      <c r="AY384" s="108">
        <v>3</v>
      </c>
      <c r="BD384" s="106">
        <v>0</v>
      </c>
      <c r="BY384" s="112" t="s">
        <v>1766</v>
      </c>
      <c r="BZ384" s="112" t="s">
        <v>1766</v>
      </c>
      <c r="CA384" s="112" t="s">
        <v>1766</v>
      </c>
      <c r="CB384" s="112" t="s">
        <v>1766</v>
      </c>
      <c r="CC384" s="112" t="s">
        <v>1766</v>
      </c>
      <c r="CD384" s="112" t="s">
        <v>1766</v>
      </c>
      <c r="CE384" s="112" t="s">
        <v>1766</v>
      </c>
      <c r="CF384" s="112" t="s">
        <v>1766</v>
      </c>
      <c r="CG384" s="112" t="s">
        <v>1766</v>
      </c>
      <c r="CH384" s="112" t="s">
        <v>1766</v>
      </c>
      <c r="CI384" s="112" t="s">
        <v>1766</v>
      </c>
      <c r="CJ384" s="112" t="s">
        <v>1766</v>
      </c>
      <c r="CK384" s="112" t="s">
        <v>1766</v>
      </c>
      <c r="CL384" s="112" t="s">
        <v>1766</v>
      </c>
      <c r="CM384" s="112" t="s">
        <v>1766</v>
      </c>
      <c r="CN384" s="112" t="s">
        <v>1766</v>
      </c>
      <c r="CO384" s="112" t="s">
        <v>1766</v>
      </c>
    </row>
    <row r="385" spans="1:93">
      <c r="A385" s="106" t="s">
        <v>469</v>
      </c>
      <c r="B385" s="106">
        <v>24</v>
      </c>
      <c r="C385" s="106">
        <v>1</v>
      </c>
      <c r="D385" s="106">
        <v>1</v>
      </c>
      <c r="E385" s="106">
        <v>1</v>
      </c>
      <c r="F385" s="106">
        <v>1</v>
      </c>
      <c r="G385" s="106" t="s">
        <v>66</v>
      </c>
      <c r="I385" s="106">
        <v>201</v>
      </c>
      <c r="J385" s="106" t="s">
        <v>1766</v>
      </c>
      <c r="K385" s="106" t="s">
        <v>1318</v>
      </c>
      <c r="L385" s="106" t="s">
        <v>1346</v>
      </c>
      <c r="M385" s="106" t="s">
        <v>1458</v>
      </c>
      <c r="O385" s="106">
        <v>0</v>
      </c>
      <c r="T385" s="106" t="s">
        <v>1766</v>
      </c>
      <c r="V385" s="106">
        <v>10538669.976958999</v>
      </c>
      <c r="W385" s="106">
        <v>1</v>
      </c>
      <c r="X385" s="106">
        <v>2</v>
      </c>
      <c r="Y385" s="106">
        <v>1</v>
      </c>
      <c r="Z385" s="106">
        <v>1</v>
      </c>
      <c r="AA385" s="106">
        <v>2100000</v>
      </c>
      <c r="AB385" s="106">
        <v>4200000</v>
      </c>
      <c r="AC385" s="106">
        <v>2100000</v>
      </c>
      <c r="AD385" s="106">
        <v>2100000</v>
      </c>
      <c r="AE385" s="106">
        <v>10500000</v>
      </c>
      <c r="AF385" s="106">
        <v>10500000</v>
      </c>
      <c r="AH385" s="106">
        <v>198720</v>
      </c>
      <c r="AI385" s="106">
        <v>0.125</v>
      </c>
      <c r="AJ385" s="106">
        <v>12</v>
      </c>
      <c r="AK385" s="106">
        <v>1987.2</v>
      </c>
      <c r="AL385" s="106">
        <v>23846.400000000001</v>
      </c>
      <c r="AM385" s="106">
        <v>152493</v>
      </c>
      <c r="AN385" s="106">
        <v>152493</v>
      </c>
      <c r="AO385" s="106">
        <v>94200</v>
      </c>
      <c r="AP385" s="106" t="s">
        <v>128</v>
      </c>
      <c r="AQ385" s="106" t="s">
        <v>471</v>
      </c>
      <c r="AR385" s="106">
        <v>2553</v>
      </c>
      <c r="AS385" s="106">
        <v>0.48</v>
      </c>
      <c r="AT385" s="106">
        <v>0.48</v>
      </c>
      <c r="AU385" s="108" t="s">
        <v>176</v>
      </c>
      <c r="AV385" s="108" t="s">
        <v>472</v>
      </c>
      <c r="AW385" s="108">
        <v>2570</v>
      </c>
      <c r="AX385" s="108">
        <v>3</v>
      </c>
      <c r="AY385" s="108">
        <v>3</v>
      </c>
      <c r="BD385" s="106">
        <v>0</v>
      </c>
      <c r="BY385" s="112" t="s">
        <v>1766</v>
      </c>
      <c r="BZ385" s="112" t="s">
        <v>1766</v>
      </c>
      <c r="CA385" s="112" t="s">
        <v>1766</v>
      </c>
      <c r="CB385" s="112" t="s">
        <v>1766</v>
      </c>
      <c r="CC385" s="112" t="s">
        <v>1766</v>
      </c>
      <c r="CD385" s="112" t="s">
        <v>1766</v>
      </c>
      <c r="CE385" s="112" t="s">
        <v>1766</v>
      </c>
      <c r="CF385" s="112" t="s">
        <v>1766</v>
      </c>
      <c r="CG385" s="112" t="s">
        <v>1766</v>
      </c>
      <c r="CH385" s="112" t="s">
        <v>1766</v>
      </c>
      <c r="CI385" s="112" t="s">
        <v>1766</v>
      </c>
      <c r="CJ385" s="112" t="s">
        <v>1766</v>
      </c>
      <c r="CK385" s="112" t="s">
        <v>1766</v>
      </c>
      <c r="CL385" s="112" t="s">
        <v>1766</v>
      </c>
      <c r="CM385" s="112" t="s">
        <v>1766</v>
      </c>
      <c r="CN385" s="112" t="s">
        <v>1766</v>
      </c>
      <c r="CO385" s="112" t="s">
        <v>1766</v>
      </c>
    </row>
    <row r="386" spans="1:93">
      <c r="A386" s="106" t="s">
        <v>469</v>
      </c>
      <c r="B386" s="106">
        <v>25</v>
      </c>
      <c r="C386" s="106">
        <v>1</v>
      </c>
      <c r="D386" s="106">
        <v>1</v>
      </c>
      <c r="E386" s="106">
        <v>1</v>
      </c>
      <c r="F386" s="106">
        <v>1</v>
      </c>
      <c r="G386" s="106" t="s">
        <v>66</v>
      </c>
      <c r="I386" s="106">
        <v>201</v>
      </c>
      <c r="J386" s="106" t="s">
        <v>1766</v>
      </c>
      <c r="K386" s="106" t="s">
        <v>1318</v>
      </c>
      <c r="L386" s="106" t="s">
        <v>1348</v>
      </c>
      <c r="M386" s="106" t="s">
        <v>1459</v>
      </c>
      <c r="O386" s="106">
        <v>0</v>
      </c>
      <c r="T386" s="106" t="s">
        <v>1766</v>
      </c>
      <c r="V386" s="106">
        <v>13489497.570507601</v>
      </c>
      <c r="W386" s="106">
        <v>1</v>
      </c>
      <c r="X386" s="106">
        <v>2</v>
      </c>
      <c r="Y386" s="106">
        <v>1</v>
      </c>
      <c r="Z386" s="106">
        <v>1</v>
      </c>
      <c r="AA386" s="106">
        <v>2700000</v>
      </c>
      <c r="AB386" s="106">
        <v>5400000</v>
      </c>
      <c r="AC386" s="106">
        <v>2700000</v>
      </c>
      <c r="AD386" s="106">
        <v>2700000</v>
      </c>
      <c r="AE386" s="106">
        <v>13500000</v>
      </c>
      <c r="AF386" s="106">
        <v>13500000</v>
      </c>
      <c r="AH386" s="106">
        <v>250560</v>
      </c>
      <c r="AI386" s="106">
        <v>0.125</v>
      </c>
      <c r="AJ386" s="106">
        <v>13</v>
      </c>
      <c r="AK386" s="106">
        <v>2505.6</v>
      </c>
      <c r="AL386" s="106">
        <v>32572.799999999999</v>
      </c>
      <c r="AM386" s="106">
        <v>189847</v>
      </c>
      <c r="AN386" s="106">
        <v>189847</v>
      </c>
      <c r="AO386" s="106">
        <v>121179</v>
      </c>
      <c r="AP386" s="106" t="s">
        <v>128</v>
      </c>
      <c r="AQ386" s="106" t="s">
        <v>471</v>
      </c>
      <c r="AR386" s="106">
        <v>2553</v>
      </c>
      <c r="AS386" s="106">
        <v>0.5</v>
      </c>
      <c r="AT386" s="106">
        <v>0.5</v>
      </c>
      <c r="AU386" s="108" t="s">
        <v>176</v>
      </c>
      <c r="AV386" s="108" t="s">
        <v>472</v>
      </c>
      <c r="AW386" s="108">
        <v>2570</v>
      </c>
      <c r="AX386" s="108">
        <v>3</v>
      </c>
      <c r="AY386" s="108">
        <v>3</v>
      </c>
      <c r="BD386" s="106">
        <v>0</v>
      </c>
      <c r="BY386" s="112" t="s">
        <v>1766</v>
      </c>
      <c r="BZ386" s="112" t="s">
        <v>1766</v>
      </c>
      <c r="CA386" s="112" t="s">
        <v>1766</v>
      </c>
      <c r="CB386" s="112" t="s">
        <v>1766</v>
      </c>
      <c r="CC386" s="112" t="s">
        <v>1766</v>
      </c>
      <c r="CD386" s="112" t="s">
        <v>1766</v>
      </c>
      <c r="CE386" s="112" t="s">
        <v>1766</v>
      </c>
      <c r="CF386" s="112" t="s">
        <v>1766</v>
      </c>
      <c r="CG386" s="112" t="s">
        <v>1766</v>
      </c>
      <c r="CH386" s="112" t="s">
        <v>1766</v>
      </c>
      <c r="CI386" s="112" t="s">
        <v>1766</v>
      </c>
      <c r="CJ386" s="112" t="s">
        <v>1766</v>
      </c>
      <c r="CK386" s="112" t="s">
        <v>1766</v>
      </c>
      <c r="CL386" s="112" t="s">
        <v>1766</v>
      </c>
      <c r="CM386" s="112" t="s">
        <v>1766</v>
      </c>
      <c r="CN386" s="112" t="s">
        <v>1766</v>
      </c>
      <c r="CO386" s="112" t="s">
        <v>1766</v>
      </c>
    </row>
    <row r="387" spans="1:93">
      <c r="A387" s="106" t="s">
        <v>469</v>
      </c>
      <c r="B387" s="106">
        <v>26</v>
      </c>
      <c r="C387" s="106">
        <v>1</v>
      </c>
      <c r="D387" s="106">
        <v>1</v>
      </c>
      <c r="E387" s="106">
        <v>1</v>
      </c>
      <c r="F387" s="106">
        <v>1</v>
      </c>
      <c r="G387" s="106" t="s">
        <v>66</v>
      </c>
      <c r="I387" s="106">
        <v>201</v>
      </c>
      <c r="J387" s="106" t="s">
        <v>1766</v>
      </c>
      <c r="K387" s="106" t="s">
        <v>1318</v>
      </c>
      <c r="L387" s="106" t="s">
        <v>1350</v>
      </c>
      <c r="M387" s="106" t="s">
        <v>1460</v>
      </c>
      <c r="O387" s="106">
        <v>0</v>
      </c>
      <c r="T387" s="106" t="s">
        <v>1766</v>
      </c>
      <c r="V387" s="106">
        <v>17266556.890249699</v>
      </c>
      <c r="W387" s="106">
        <v>1</v>
      </c>
      <c r="X387" s="106">
        <v>2</v>
      </c>
      <c r="Y387" s="106">
        <v>1</v>
      </c>
      <c r="Z387" s="106">
        <v>1</v>
      </c>
      <c r="AA387" s="106">
        <v>3500000</v>
      </c>
      <c r="AB387" s="106">
        <v>6900000</v>
      </c>
      <c r="AC387" s="106">
        <v>3500000</v>
      </c>
      <c r="AD387" s="106">
        <v>3500000</v>
      </c>
      <c r="AE387" s="106">
        <v>17400000</v>
      </c>
      <c r="AF387" s="106">
        <v>17400000</v>
      </c>
      <c r="AH387" s="106">
        <v>311040</v>
      </c>
      <c r="AI387" s="106">
        <v>0.14499999999999999</v>
      </c>
      <c r="AJ387" s="106">
        <v>14</v>
      </c>
      <c r="AK387" s="106">
        <v>3110.4</v>
      </c>
      <c r="AL387" s="106">
        <v>43545.599999999999</v>
      </c>
      <c r="AM387" s="106">
        <v>227805</v>
      </c>
      <c r="AN387" s="106">
        <v>227805</v>
      </c>
      <c r="AO387" s="106">
        <v>155712</v>
      </c>
      <c r="AP387" s="106" t="s">
        <v>128</v>
      </c>
      <c r="AQ387" s="106" t="s">
        <v>471</v>
      </c>
      <c r="AR387" s="106">
        <v>2553</v>
      </c>
      <c r="AS387" s="106">
        <v>0.54</v>
      </c>
      <c r="AT387" s="106">
        <v>0.54</v>
      </c>
      <c r="AU387" s="108" t="s">
        <v>176</v>
      </c>
      <c r="AV387" s="108" t="s">
        <v>472</v>
      </c>
      <c r="AW387" s="108">
        <v>2570</v>
      </c>
      <c r="AX387" s="108">
        <v>3</v>
      </c>
      <c r="AY387" s="108">
        <v>3</v>
      </c>
      <c r="BD387" s="106">
        <v>0</v>
      </c>
      <c r="BY387" s="112" t="s">
        <v>1766</v>
      </c>
      <c r="BZ387" s="112" t="s">
        <v>1766</v>
      </c>
      <c r="CA387" s="112" t="s">
        <v>1766</v>
      </c>
      <c r="CB387" s="112" t="s">
        <v>1766</v>
      </c>
      <c r="CC387" s="112" t="s">
        <v>1766</v>
      </c>
      <c r="CD387" s="112" t="s">
        <v>1766</v>
      </c>
      <c r="CE387" s="112" t="s">
        <v>1766</v>
      </c>
      <c r="CF387" s="112" t="s">
        <v>1766</v>
      </c>
      <c r="CG387" s="112" t="s">
        <v>1766</v>
      </c>
      <c r="CH387" s="112" t="s">
        <v>1766</v>
      </c>
      <c r="CI387" s="112" t="s">
        <v>1766</v>
      </c>
      <c r="CJ387" s="112" t="s">
        <v>1766</v>
      </c>
      <c r="CK387" s="112" t="s">
        <v>1766</v>
      </c>
      <c r="CL387" s="112" t="s">
        <v>1766</v>
      </c>
      <c r="CM387" s="112" t="s">
        <v>1766</v>
      </c>
      <c r="CN387" s="112" t="s">
        <v>1766</v>
      </c>
      <c r="CO387" s="112" t="s">
        <v>1766</v>
      </c>
    </row>
    <row r="388" spans="1:93">
      <c r="A388" s="106" t="s">
        <v>469</v>
      </c>
      <c r="B388" s="106">
        <v>27</v>
      </c>
      <c r="C388" s="106">
        <v>1</v>
      </c>
      <c r="D388" s="106">
        <v>1</v>
      </c>
      <c r="E388" s="106">
        <v>1</v>
      </c>
      <c r="F388" s="106">
        <v>1</v>
      </c>
      <c r="G388" s="106" t="s">
        <v>66</v>
      </c>
      <c r="I388" s="106">
        <v>201</v>
      </c>
      <c r="J388" s="106" t="s">
        <v>1766</v>
      </c>
      <c r="K388" s="106" t="s">
        <v>1318</v>
      </c>
      <c r="L388" s="106" t="s">
        <v>1352</v>
      </c>
      <c r="M388" s="106" t="s">
        <v>1461</v>
      </c>
      <c r="O388" s="106">
        <v>0</v>
      </c>
      <c r="T388" s="106" t="s">
        <v>1766</v>
      </c>
      <c r="V388" s="106">
        <v>22101192.819519602</v>
      </c>
      <c r="W388" s="106">
        <v>1</v>
      </c>
      <c r="X388" s="106">
        <v>2</v>
      </c>
      <c r="Y388" s="106">
        <v>1</v>
      </c>
      <c r="Z388" s="106">
        <v>1</v>
      </c>
      <c r="AA388" s="106">
        <v>4400000</v>
      </c>
      <c r="AB388" s="106">
        <v>8800000</v>
      </c>
      <c r="AC388" s="106">
        <v>4400000</v>
      </c>
      <c r="AD388" s="106">
        <v>4400000</v>
      </c>
      <c r="AE388" s="106">
        <v>22000000</v>
      </c>
      <c r="AF388" s="106">
        <v>22000000</v>
      </c>
      <c r="AH388" s="106">
        <v>380160</v>
      </c>
      <c r="AI388" s="106">
        <v>0.16500000000000001</v>
      </c>
      <c r="AJ388" s="106">
        <v>15</v>
      </c>
      <c r="AK388" s="106">
        <v>3801.6</v>
      </c>
      <c r="AL388" s="106">
        <v>57024</v>
      </c>
      <c r="AM388" s="106">
        <v>268993</v>
      </c>
      <c r="AN388" s="106">
        <v>268993</v>
      </c>
      <c r="AO388" s="106">
        <v>199914</v>
      </c>
      <c r="AP388" s="106" t="s">
        <v>128</v>
      </c>
      <c r="AQ388" s="106" t="s">
        <v>471</v>
      </c>
      <c r="AR388" s="106">
        <v>2553</v>
      </c>
      <c r="AS388" s="106">
        <v>0.57999999999999996</v>
      </c>
      <c r="AT388" s="106">
        <v>0.57999999999999996</v>
      </c>
      <c r="AU388" s="108" t="s">
        <v>176</v>
      </c>
      <c r="AV388" s="108" t="s">
        <v>472</v>
      </c>
      <c r="AW388" s="108">
        <v>2570</v>
      </c>
      <c r="AX388" s="108">
        <v>3</v>
      </c>
      <c r="AY388" s="108">
        <v>3</v>
      </c>
      <c r="BD388" s="106">
        <v>0</v>
      </c>
      <c r="BY388" s="112" t="s">
        <v>1766</v>
      </c>
      <c r="BZ388" s="112" t="s">
        <v>1766</v>
      </c>
      <c r="CA388" s="112" t="s">
        <v>1766</v>
      </c>
      <c r="CB388" s="112" t="s">
        <v>1766</v>
      </c>
      <c r="CC388" s="112" t="s">
        <v>1766</v>
      </c>
      <c r="CD388" s="112" t="s">
        <v>1766</v>
      </c>
      <c r="CE388" s="112" t="s">
        <v>1766</v>
      </c>
      <c r="CF388" s="112" t="s">
        <v>1766</v>
      </c>
      <c r="CG388" s="112" t="s">
        <v>1766</v>
      </c>
      <c r="CH388" s="112" t="s">
        <v>1766</v>
      </c>
      <c r="CI388" s="112" t="s">
        <v>1766</v>
      </c>
      <c r="CJ388" s="112" t="s">
        <v>1766</v>
      </c>
      <c r="CK388" s="112" t="s">
        <v>1766</v>
      </c>
      <c r="CL388" s="112" t="s">
        <v>1766</v>
      </c>
      <c r="CM388" s="112" t="s">
        <v>1766</v>
      </c>
      <c r="CN388" s="112" t="s">
        <v>1766</v>
      </c>
      <c r="CO388" s="112" t="s">
        <v>1766</v>
      </c>
    </row>
    <row r="389" spans="1:93">
      <c r="A389" s="106" t="s">
        <v>469</v>
      </c>
      <c r="B389" s="106">
        <v>28</v>
      </c>
      <c r="C389" s="106">
        <v>1</v>
      </c>
      <c r="D389" s="106">
        <v>1</v>
      </c>
      <c r="E389" s="106">
        <v>1</v>
      </c>
      <c r="F389" s="106">
        <v>1</v>
      </c>
      <c r="G389" s="106" t="s">
        <v>66</v>
      </c>
      <c r="I389" s="106">
        <v>201</v>
      </c>
      <c r="J389" s="106" t="s">
        <v>1766</v>
      </c>
      <c r="K389" s="106" t="s">
        <v>1318</v>
      </c>
      <c r="L389" s="106" t="s">
        <v>1354</v>
      </c>
      <c r="M389" s="106" t="s">
        <v>1462</v>
      </c>
      <c r="O389" s="106">
        <v>0</v>
      </c>
      <c r="T389" s="106" t="s">
        <v>1766</v>
      </c>
      <c r="V389" s="106">
        <v>28289526.808985099</v>
      </c>
      <c r="W389" s="106">
        <v>1</v>
      </c>
      <c r="X389" s="106">
        <v>2</v>
      </c>
      <c r="Y389" s="106">
        <v>1</v>
      </c>
      <c r="Z389" s="106">
        <v>1</v>
      </c>
      <c r="AA389" s="106">
        <v>5700000</v>
      </c>
      <c r="AB389" s="106">
        <v>11000000</v>
      </c>
      <c r="AC389" s="106">
        <v>5700000</v>
      </c>
      <c r="AD389" s="106">
        <v>5700000</v>
      </c>
      <c r="AE389" s="106">
        <v>28100000</v>
      </c>
      <c r="AF389" s="106">
        <v>28100000</v>
      </c>
      <c r="AH389" s="106">
        <v>466560</v>
      </c>
      <c r="AI389" s="106">
        <v>0.185</v>
      </c>
      <c r="AJ389" s="106">
        <v>16</v>
      </c>
      <c r="AK389" s="106">
        <v>4665.6000000000004</v>
      </c>
      <c r="AL389" s="106">
        <v>74649.600000000006</v>
      </c>
      <c r="AM389" s="106">
        <v>318771</v>
      </c>
      <c r="AN389" s="106">
        <v>318771</v>
      </c>
      <c r="AO389" s="106">
        <v>256493</v>
      </c>
      <c r="AP389" s="106" t="s">
        <v>128</v>
      </c>
      <c r="AQ389" s="106" t="s">
        <v>471</v>
      </c>
      <c r="AR389" s="106">
        <v>2553</v>
      </c>
      <c r="AS389" s="106">
        <v>0.62</v>
      </c>
      <c r="AT389" s="106">
        <v>0.62</v>
      </c>
      <c r="AU389" s="108" t="s">
        <v>176</v>
      </c>
      <c r="AV389" s="108" t="s">
        <v>472</v>
      </c>
      <c r="AW389" s="108">
        <v>2570</v>
      </c>
      <c r="AX389" s="108">
        <v>3</v>
      </c>
      <c r="AY389" s="108">
        <v>3</v>
      </c>
      <c r="BD389" s="106">
        <v>0</v>
      </c>
      <c r="BY389" s="112" t="s">
        <v>1766</v>
      </c>
      <c r="BZ389" s="112" t="s">
        <v>1766</v>
      </c>
      <c r="CA389" s="112" t="s">
        <v>1766</v>
      </c>
      <c r="CB389" s="112" t="s">
        <v>1766</v>
      </c>
      <c r="CC389" s="112" t="s">
        <v>1766</v>
      </c>
      <c r="CD389" s="112" t="s">
        <v>1766</v>
      </c>
      <c r="CE389" s="112" t="s">
        <v>1766</v>
      </c>
      <c r="CF389" s="112" t="s">
        <v>1766</v>
      </c>
      <c r="CG389" s="112" t="s">
        <v>1766</v>
      </c>
      <c r="CH389" s="112" t="s">
        <v>1766</v>
      </c>
      <c r="CI389" s="112" t="s">
        <v>1766</v>
      </c>
      <c r="CJ389" s="112" t="s">
        <v>1766</v>
      </c>
      <c r="CK389" s="112" t="s">
        <v>1766</v>
      </c>
      <c r="CL389" s="112" t="s">
        <v>1766</v>
      </c>
      <c r="CM389" s="112" t="s">
        <v>1766</v>
      </c>
      <c r="CN389" s="112" t="s">
        <v>1766</v>
      </c>
      <c r="CO389" s="112" t="s">
        <v>1766</v>
      </c>
    </row>
    <row r="390" spans="1:93">
      <c r="A390" s="106" t="s">
        <v>469</v>
      </c>
      <c r="B390" s="106">
        <v>29</v>
      </c>
      <c r="C390" s="106">
        <v>1</v>
      </c>
      <c r="D390" s="106">
        <v>1</v>
      </c>
      <c r="E390" s="106">
        <v>1</v>
      </c>
      <c r="F390" s="106">
        <v>1</v>
      </c>
      <c r="G390" s="106" t="s">
        <v>66</v>
      </c>
      <c r="I390" s="106">
        <v>201</v>
      </c>
      <c r="J390" s="106" t="s">
        <v>1766</v>
      </c>
      <c r="K390" s="106" t="s">
        <v>1318</v>
      </c>
      <c r="L390" s="106" t="s">
        <v>1356</v>
      </c>
      <c r="M390" s="106" t="s">
        <v>1463</v>
      </c>
      <c r="O390" s="106">
        <v>0</v>
      </c>
      <c r="T390" s="106" t="s">
        <v>1766</v>
      </c>
      <c r="V390" s="106">
        <v>36210594.3155009</v>
      </c>
      <c r="W390" s="106">
        <v>1</v>
      </c>
      <c r="X390" s="106">
        <v>2</v>
      </c>
      <c r="Y390" s="106">
        <v>1</v>
      </c>
      <c r="Z390" s="106">
        <v>1</v>
      </c>
      <c r="AA390" s="106">
        <v>7200000</v>
      </c>
      <c r="AB390" s="106">
        <v>14000000</v>
      </c>
      <c r="AC390" s="106">
        <v>7200000</v>
      </c>
      <c r="AD390" s="106">
        <v>7200000</v>
      </c>
      <c r="AE390" s="106">
        <v>35600000</v>
      </c>
      <c r="AF390" s="106">
        <v>35600000</v>
      </c>
      <c r="AH390" s="106">
        <v>570240</v>
      </c>
      <c r="AI390" s="106">
        <v>0.20499999999999999</v>
      </c>
      <c r="AJ390" s="106">
        <v>17</v>
      </c>
      <c r="AK390" s="106">
        <v>5702.4</v>
      </c>
      <c r="AL390" s="106">
        <v>96940.800000000003</v>
      </c>
      <c r="AM390" s="106">
        <v>375987</v>
      </c>
      <c r="AN390" s="106">
        <v>375987</v>
      </c>
      <c r="AO390" s="106">
        <v>328914</v>
      </c>
      <c r="AP390" s="106" t="s">
        <v>128</v>
      </c>
      <c r="AQ390" s="106" t="s">
        <v>471</v>
      </c>
      <c r="AR390" s="106">
        <v>2553</v>
      </c>
      <c r="AS390" s="106">
        <v>0.66</v>
      </c>
      <c r="AT390" s="106">
        <v>0.66</v>
      </c>
      <c r="AU390" s="108" t="s">
        <v>176</v>
      </c>
      <c r="AV390" s="108" t="s">
        <v>472</v>
      </c>
      <c r="AW390" s="108">
        <v>2570</v>
      </c>
      <c r="AX390" s="108">
        <v>3</v>
      </c>
      <c r="AY390" s="108">
        <v>3</v>
      </c>
      <c r="BD390" s="106">
        <v>0</v>
      </c>
      <c r="BY390" s="112" t="s">
        <v>1766</v>
      </c>
      <c r="BZ390" s="112" t="s">
        <v>1766</v>
      </c>
      <c r="CA390" s="112" t="s">
        <v>1766</v>
      </c>
      <c r="CB390" s="112" t="s">
        <v>1766</v>
      </c>
      <c r="CC390" s="112" t="s">
        <v>1766</v>
      </c>
      <c r="CD390" s="112" t="s">
        <v>1766</v>
      </c>
      <c r="CE390" s="112" t="s">
        <v>1766</v>
      </c>
      <c r="CF390" s="112" t="s">
        <v>1766</v>
      </c>
      <c r="CG390" s="112" t="s">
        <v>1766</v>
      </c>
      <c r="CH390" s="112" t="s">
        <v>1766</v>
      </c>
      <c r="CI390" s="112" t="s">
        <v>1766</v>
      </c>
      <c r="CJ390" s="112" t="s">
        <v>1766</v>
      </c>
      <c r="CK390" s="112" t="s">
        <v>1766</v>
      </c>
      <c r="CL390" s="112" t="s">
        <v>1766</v>
      </c>
      <c r="CM390" s="112" t="s">
        <v>1766</v>
      </c>
      <c r="CN390" s="112" t="s">
        <v>1766</v>
      </c>
      <c r="CO390" s="112" t="s">
        <v>1766</v>
      </c>
    </row>
    <row r="391" spans="1:93">
      <c r="A391" s="106" t="s">
        <v>469</v>
      </c>
      <c r="B391" s="106">
        <v>30</v>
      </c>
      <c r="C391" s="106">
        <v>1</v>
      </c>
      <c r="D391" s="106">
        <v>1</v>
      </c>
      <c r="E391" s="106">
        <v>1</v>
      </c>
      <c r="F391" s="106">
        <v>1</v>
      </c>
      <c r="G391" s="106" t="s">
        <v>66</v>
      </c>
      <c r="I391" s="106">
        <v>201</v>
      </c>
      <c r="J391" s="106" t="s">
        <v>1766</v>
      </c>
      <c r="K391" s="106" t="s">
        <v>1318</v>
      </c>
      <c r="L391" s="106" t="s">
        <v>1358</v>
      </c>
      <c r="M391" s="106" t="s">
        <v>1464</v>
      </c>
      <c r="O391" s="106">
        <v>0</v>
      </c>
      <c r="T391" s="106" t="s">
        <v>1766</v>
      </c>
      <c r="V391" s="106">
        <v>46349560.723841101</v>
      </c>
      <c r="W391" s="106">
        <v>1</v>
      </c>
      <c r="X391" s="106">
        <v>2</v>
      </c>
      <c r="Y391" s="106">
        <v>1</v>
      </c>
      <c r="Z391" s="106">
        <v>1</v>
      </c>
      <c r="AA391" s="106">
        <v>9300000</v>
      </c>
      <c r="AB391" s="106">
        <v>19000000</v>
      </c>
      <c r="AC391" s="106">
        <v>9300000</v>
      </c>
      <c r="AD391" s="106">
        <v>9300000</v>
      </c>
      <c r="AE391" s="106">
        <v>46900000</v>
      </c>
      <c r="AF391" s="106">
        <v>46900000</v>
      </c>
      <c r="AH391" s="106">
        <v>691200</v>
      </c>
      <c r="AI391" s="106">
        <v>0.22500000000000001</v>
      </c>
      <c r="AJ391" s="106">
        <v>18</v>
      </c>
      <c r="AK391" s="106">
        <v>6912</v>
      </c>
      <c r="AL391" s="106">
        <v>124416</v>
      </c>
      <c r="AM391" s="106">
        <v>439528</v>
      </c>
      <c r="AN391" s="106">
        <v>439528</v>
      </c>
      <c r="AO391" s="106">
        <v>421613</v>
      </c>
      <c r="AP391" s="106" t="s">
        <v>128</v>
      </c>
      <c r="AQ391" s="106" t="s">
        <v>471</v>
      </c>
      <c r="AR391" s="106">
        <v>2553</v>
      </c>
      <c r="AS391" s="106">
        <v>0.7</v>
      </c>
      <c r="AT391" s="106">
        <v>0.7</v>
      </c>
      <c r="AU391" s="108" t="s">
        <v>176</v>
      </c>
      <c r="AV391" s="108" t="s">
        <v>472</v>
      </c>
      <c r="AW391" s="108">
        <v>2570</v>
      </c>
      <c r="AX391" s="108">
        <v>3</v>
      </c>
      <c r="AY391" s="108">
        <v>3</v>
      </c>
      <c r="BD391" s="106">
        <v>0</v>
      </c>
      <c r="BY391" s="112" t="s">
        <v>1766</v>
      </c>
      <c r="BZ391" s="112" t="s">
        <v>1766</v>
      </c>
      <c r="CA391" s="112" t="s">
        <v>1766</v>
      </c>
      <c r="CB391" s="112" t="s">
        <v>1766</v>
      </c>
      <c r="CC391" s="112" t="s">
        <v>1766</v>
      </c>
      <c r="CD391" s="112" t="s">
        <v>1766</v>
      </c>
      <c r="CE391" s="112" t="s">
        <v>1766</v>
      </c>
      <c r="CF391" s="112" t="s">
        <v>1766</v>
      </c>
      <c r="CG391" s="112" t="s">
        <v>1766</v>
      </c>
      <c r="CH391" s="112" t="s">
        <v>1766</v>
      </c>
      <c r="CI391" s="112" t="s">
        <v>1766</v>
      </c>
      <c r="CJ391" s="112" t="s">
        <v>1766</v>
      </c>
      <c r="CK391" s="112" t="s">
        <v>1766</v>
      </c>
      <c r="CL391" s="112" t="s">
        <v>1766</v>
      </c>
      <c r="CM391" s="112" t="s">
        <v>1766</v>
      </c>
      <c r="CN391" s="112" t="s">
        <v>1766</v>
      </c>
      <c r="CO391" s="112" t="s">
        <v>1766</v>
      </c>
    </row>
    <row r="392" spans="1:93">
      <c r="A392" s="106" t="s">
        <v>940</v>
      </c>
      <c r="B392" s="106">
        <v>1</v>
      </c>
      <c r="C392" s="106">
        <v>2</v>
      </c>
      <c r="D392" s="106">
        <v>5</v>
      </c>
      <c r="E392" s="106">
        <v>2</v>
      </c>
      <c r="F392" s="106">
        <v>0</v>
      </c>
      <c r="G392" s="106" t="s">
        <v>66</v>
      </c>
      <c r="I392" s="106">
        <v>201</v>
      </c>
      <c r="J392" s="106" t="s">
        <v>1766</v>
      </c>
      <c r="K392" s="106" t="s">
        <v>1318</v>
      </c>
      <c r="L392" s="106" t="s">
        <v>1323</v>
      </c>
      <c r="M392" s="106" t="s">
        <v>1465</v>
      </c>
      <c r="O392" s="106">
        <v>0</v>
      </c>
      <c r="V392" s="106">
        <v>0</v>
      </c>
      <c r="W392" s="106">
        <v>0</v>
      </c>
      <c r="X392" s="106">
        <v>0</v>
      </c>
      <c r="Y392" s="106" t="s">
        <v>1766</v>
      </c>
      <c r="Z392" s="106" t="s">
        <v>1766</v>
      </c>
      <c r="AA392" s="106">
        <v>0</v>
      </c>
      <c r="AB392" s="106">
        <v>0</v>
      </c>
      <c r="AC392" s="106">
        <v>0</v>
      </c>
      <c r="AD392" s="106">
        <v>0</v>
      </c>
      <c r="AE392" s="106">
        <v>0</v>
      </c>
      <c r="AF392" s="106">
        <v>0</v>
      </c>
      <c r="AH392" s="106">
        <v>25</v>
      </c>
      <c r="AI392" s="106">
        <v>0</v>
      </c>
      <c r="AJ392" s="106">
        <v>0</v>
      </c>
      <c r="AK392" s="106">
        <v>120</v>
      </c>
      <c r="AL392" s="106">
        <v>0</v>
      </c>
      <c r="AM392" s="106">
        <v>1</v>
      </c>
      <c r="AN392" s="106">
        <v>2</v>
      </c>
      <c r="AO392" s="106">
        <v>2</v>
      </c>
      <c r="AP392" s="106" t="s">
        <v>131</v>
      </c>
      <c r="AQ392" s="106" t="s">
        <v>495</v>
      </c>
      <c r="AR392" s="106">
        <v>4207</v>
      </c>
      <c r="AS392" s="106">
        <v>40</v>
      </c>
      <c r="AT392" s="106">
        <v>80</v>
      </c>
      <c r="AY392" s="108">
        <v>0</v>
      </c>
      <c r="BD392" s="106">
        <v>0</v>
      </c>
      <c r="BY392" s="112" t="s">
        <v>229</v>
      </c>
      <c r="BZ392" s="112" t="s">
        <v>1466</v>
      </c>
      <c r="CA392" s="112" t="s">
        <v>1466</v>
      </c>
      <c r="CB392" s="112" t="s">
        <v>131</v>
      </c>
      <c r="CC392" s="112">
        <v>14</v>
      </c>
      <c r="CD392" s="112" t="s">
        <v>1766</v>
      </c>
      <c r="CE392" s="112" t="s">
        <v>1766</v>
      </c>
      <c r="CF392" s="112" t="s">
        <v>1766</v>
      </c>
      <c r="CG392" s="112" t="s">
        <v>1766</v>
      </c>
      <c r="CH392" s="112" t="s">
        <v>1766</v>
      </c>
      <c r="CI392" s="112" t="s">
        <v>1766</v>
      </c>
      <c r="CJ392" s="112" t="s">
        <v>1766</v>
      </c>
      <c r="CK392" s="112" t="s">
        <v>1766</v>
      </c>
      <c r="CL392" s="112" t="s">
        <v>1766</v>
      </c>
      <c r="CM392" s="112" t="s">
        <v>1766</v>
      </c>
      <c r="CN392" s="112" t="s">
        <v>1766</v>
      </c>
      <c r="CO392" s="112" t="s">
        <v>1766</v>
      </c>
    </row>
    <row r="393" spans="1:93">
      <c r="A393" s="106" t="s">
        <v>940</v>
      </c>
      <c r="B393" s="106">
        <v>2</v>
      </c>
      <c r="C393" s="106">
        <v>2</v>
      </c>
      <c r="D393" s="106">
        <v>5</v>
      </c>
      <c r="E393" s="106">
        <v>2</v>
      </c>
      <c r="F393" s="106">
        <v>0</v>
      </c>
      <c r="G393" s="106" t="s">
        <v>66</v>
      </c>
      <c r="I393" s="106">
        <v>201</v>
      </c>
      <c r="J393" s="106" t="s">
        <v>1766</v>
      </c>
      <c r="K393" s="106" t="s">
        <v>1318</v>
      </c>
      <c r="L393" s="106" t="s">
        <v>1323</v>
      </c>
      <c r="M393" s="106" t="s">
        <v>1467</v>
      </c>
      <c r="O393" s="106">
        <v>0</v>
      </c>
      <c r="S393" s="1" t="s">
        <v>1807</v>
      </c>
      <c r="T393" s="106">
        <v>2068</v>
      </c>
      <c r="U393">
        <v>2</v>
      </c>
      <c r="V393" s="106">
        <v>2500</v>
      </c>
      <c r="W393" s="106">
        <v>1</v>
      </c>
      <c r="X393" s="106">
        <v>1</v>
      </c>
      <c r="Y393" s="106" t="s">
        <v>1766</v>
      </c>
      <c r="Z393" s="106" t="s">
        <v>1766</v>
      </c>
      <c r="AA393" s="106">
        <v>1300</v>
      </c>
      <c r="AB393" s="106">
        <v>1300</v>
      </c>
      <c r="AC393" s="106">
        <v>0</v>
      </c>
      <c r="AD393" s="106">
        <v>0</v>
      </c>
      <c r="AE393" s="106">
        <v>2600</v>
      </c>
      <c r="AF393" s="106">
        <v>5200</v>
      </c>
      <c r="AH393" s="106">
        <v>45</v>
      </c>
      <c r="AI393" s="106">
        <v>0</v>
      </c>
      <c r="AJ393" s="106">
        <v>0</v>
      </c>
      <c r="AK393" s="106">
        <v>120</v>
      </c>
      <c r="AL393" s="106">
        <v>0</v>
      </c>
      <c r="AM393" s="106">
        <v>1</v>
      </c>
      <c r="AN393" s="106">
        <v>2</v>
      </c>
      <c r="AO393" s="106">
        <v>7</v>
      </c>
      <c r="AP393" s="106" t="s">
        <v>131</v>
      </c>
      <c r="AQ393" s="106" t="s">
        <v>495</v>
      </c>
      <c r="AR393" s="106">
        <v>4207</v>
      </c>
      <c r="AS393" s="106">
        <v>80</v>
      </c>
      <c r="AT393" s="106">
        <v>160</v>
      </c>
      <c r="AY393" s="108">
        <v>0</v>
      </c>
      <c r="BD393" s="106">
        <v>0</v>
      </c>
      <c r="BY393" s="112" t="s">
        <v>1766</v>
      </c>
      <c r="BZ393" s="112" t="s">
        <v>1766</v>
      </c>
      <c r="CA393" s="112" t="s">
        <v>1766</v>
      </c>
      <c r="CB393" s="112" t="s">
        <v>1766</v>
      </c>
      <c r="CC393" s="112" t="s">
        <v>1766</v>
      </c>
      <c r="CD393" s="112" t="s">
        <v>1766</v>
      </c>
      <c r="CE393" s="112" t="s">
        <v>1766</v>
      </c>
      <c r="CF393" s="112" t="s">
        <v>1766</v>
      </c>
      <c r="CG393" s="112" t="s">
        <v>1766</v>
      </c>
      <c r="CH393" s="112" t="s">
        <v>1766</v>
      </c>
      <c r="CI393" s="112" t="s">
        <v>1766</v>
      </c>
      <c r="CJ393" s="112" t="s">
        <v>1766</v>
      </c>
      <c r="CK393" s="112" t="s">
        <v>1766</v>
      </c>
      <c r="CL393" s="112" t="s">
        <v>1766</v>
      </c>
      <c r="CM393" s="112" t="s">
        <v>1766</v>
      </c>
      <c r="CN393" s="112" t="s">
        <v>1766</v>
      </c>
      <c r="CO393" s="112" t="s">
        <v>1766</v>
      </c>
    </row>
    <row r="394" spans="1:93">
      <c r="A394" s="106" t="s">
        <v>940</v>
      </c>
      <c r="B394" s="106">
        <v>3</v>
      </c>
      <c r="C394" s="106">
        <v>2</v>
      </c>
      <c r="D394" s="106">
        <v>5</v>
      </c>
      <c r="E394" s="106">
        <v>2</v>
      </c>
      <c r="F394" s="106">
        <v>0</v>
      </c>
      <c r="G394" s="106" t="s">
        <v>66</v>
      </c>
      <c r="I394" s="106">
        <v>201</v>
      </c>
      <c r="J394" s="106" t="s">
        <v>1766</v>
      </c>
      <c r="K394" s="106" t="s">
        <v>1318</v>
      </c>
      <c r="L394" s="106" t="s">
        <v>1323</v>
      </c>
      <c r="M394" s="106" t="s">
        <v>1468</v>
      </c>
      <c r="O394" s="106">
        <v>0</v>
      </c>
      <c r="S394" s="1" t="s">
        <v>1807</v>
      </c>
      <c r="T394" s="106">
        <v>2068</v>
      </c>
      <c r="U394">
        <v>3</v>
      </c>
      <c r="V394" s="106">
        <v>5000</v>
      </c>
      <c r="W394" s="106">
        <v>1</v>
      </c>
      <c r="X394" s="106">
        <v>1</v>
      </c>
      <c r="Y394" s="106" t="s">
        <v>1766</v>
      </c>
      <c r="Z394" s="106" t="s">
        <v>1766</v>
      </c>
      <c r="AA394" s="106">
        <v>2500</v>
      </c>
      <c r="AB394" s="106">
        <v>2500</v>
      </c>
      <c r="AC394" s="106">
        <v>0</v>
      </c>
      <c r="AD394" s="106">
        <v>0</v>
      </c>
      <c r="AE394" s="106">
        <v>5000</v>
      </c>
      <c r="AF394" s="106">
        <v>10000</v>
      </c>
      <c r="AH394" s="106">
        <v>90</v>
      </c>
      <c r="AI394" s="106">
        <v>0</v>
      </c>
      <c r="AJ394" s="106">
        <v>1</v>
      </c>
      <c r="AK394" s="106">
        <v>120</v>
      </c>
      <c r="AL394" s="106">
        <v>120</v>
      </c>
      <c r="AM394" s="106">
        <v>1</v>
      </c>
      <c r="AN394" s="106">
        <v>2</v>
      </c>
      <c r="AO394" s="106">
        <v>17</v>
      </c>
      <c r="AP394" s="106" t="s">
        <v>131</v>
      </c>
      <c r="AQ394" s="106" t="s">
        <v>495</v>
      </c>
      <c r="AR394" s="106">
        <v>4207</v>
      </c>
      <c r="AS394" s="106">
        <v>120</v>
      </c>
      <c r="AT394" s="106">
        <v>240</v>
      </c>
      <c r="AY394" s="108">
        <v>0</v>
      </c>
      <c r="BD394" s="106">
        <v>0</v>
      </c>
      <c r="BY394" s="112" t="s">
        <v>1766</v>
      </c>
      <c r="BZ394" s="112" t="s">
        <v>1766</v>
      </c>
      <c r="CA394" s="112" t="s">
        <v>1766</v>
      </c>
      <c r="CB394" s="112" t="s">
        <v>1766</v>
      </c>
      <c r="CC394" s="112" t="s">
        <v>1766</v>
      </c>
      <c r="CD394" s="112" t="s">
        <v>1766</v>
      </c>
      <c r="CE394" s="112" t="s">
        <v>1766</v>
      </c>
      <c r="CF394" s="112" t="s">
        <v>1766</v>
      </c>
      <c r="CG394" s="112" t="s">
        <v>1766</v>
      </c>
      <c r="CH394" s="112" t="s">
        <v>1766</v>
      </c>
      <c r="CI394" s="112" t="s">
        <v>1766</v>
      </c>
      <c r="CJ394" s="112" t="s">
        <v>1766</v>
      </c>
      <c r="CK394" s="112" t="s">
        <v>1766</v>
      </c>
      <c r="CL394" s="112" t="s">
        <v>1766</v>
      </c>
      <c r="CM394" s="112" t="s">
        <v>1766</v>
      </c>
      <c r="CN394" s="112" t="s">
        <v>1766</v>
      </c>
      <c r="CO394" s="112" t="s">
        <v>1766</v>
      </c>
    </row>
    <row r="395" spans="1:93">
      <c r="A395" s="106" t="s">
        <v>940</v>
      </c>
      <c r="B395" s="106">
        <v>4</v>
      </c>
      <c r="C395" s="106">
        <v>2</v>
      </c>
      <c r="D395" s="106">
        <v>5</v>
      </c>
      <c r="E395" s="106">
        <v>2</v>
      </c>
      <c r="F395" s="106">
        <v>0</v>
      </c>
      <c r="G395" s="106" t="s">
        <v>66</v>
      </c>
      <c r="I395" s="106">
        <v>201</v>
      </c>
      <c r="J395" s="106" t="s">
        <v>1766</v>
      </c>
      <c r="K395" s="106" t="s">
        <v>1318</v>
      </c>
      <c r="L395" s="106" t="s">
        <v>1323</v>
      </c>
      <c r="M395" s="106" t="s">
        <v>1469</v>
      </c>
      <c r="O395" s="106">
        <v>0</v>
      </c>
      <c r="S395" s="1" t="s">
        <v>1807</v>
      </c>
      <c r="T395" s="106">
        <v>2068</v>
      </c>
      <c r="U395">
        <v>4</v>
      </c>
      <c r="V395" s="106">
        <v>10000</v>
      </c>
      <c r="W395" s="106">
        <v>1</v>
      </c>
      <c r="X395" s="106">
        <v>1</v>
      </c>
      <c r="Y395" s="106" t="s">
        <v>1766</v>
      </c>
      <c r="Z395" s="106" t="s">
        <v>1766</v>
      </c>
      <c r="AA395" s="106">
        <v>5000</v>
      </c>
      <c r="AB395" s="106">
        <v>5000</v>
      </c>
      <c r="AC395" s="106">
        <v>0</v>
      </c>
      <c r="AD395" s="106">
        <v>0</v>
      </c>
      <c r="AE395" s="106">
        <v>10000</v>
      </c>
      <c r="AF395" s="106">
        <v>20000</v>
      </c>
      <c r="AH395" s="106">
        <v>180</v>
      </c>
      <c r="AI395" s="106">
        <v>0</v>
      </c>
      <c r="AJ395" s="106">
        <v>1</v>
      </c>
      <c r="AK395" s="106">
        <v>120</v>
      </c>
      <c r="AL395" s="106">
        <v>120</v>
      </c>
      <c r="AM395" s="106">
        <v>1</v>
      </c>
      <c r="AN395" s="106">
        <v>2</v>
      </c>
      <c r="AO395" s="106">
        <v>37</v>
      </c>
      <c r="AP395" s="106" t="s">
        <v>131</v>
      </c>
      <c r="AQ395" s="106" t="s">
        <v>495</v>
      </c>
      <c r="AR395" s="106">
        <v>4207</v>
      </c>
      <c r="AS395" s="106">
        <v>160</v>
      </c>
      <c r="AT395" s="106">
        <v>320</v>
      </c>
      <c r="AY395" s="108">
        <v>0</v>
      </c>
      <c r="BD395" s="106">
        <v>0</v>
      </c>
      <c r="BY395" s="112" t="s">
        <v>1766</v>
      </c>
      <c r="BZ395" s="112" t="s">
        <v>1766</v>
      </c>
      <c r="CA395" s="112" t="s">
        <v>1766</v>
      </c>
      <c r="CB395" s="112" t="s">
        <v>1766</v>
      </c>
      <c r="CC395" s="112" t="s">
        <v>1766</v>
      </c>
      <c r="CD395" s="112" t="s">
        <v>1766</v>
      </c>
      <c r="CE395" s="112" t="s">
        <v>1766</v>
      </c>
      <c r="CF395" s="112" t="s">
        <v>1766</v>
      </c>
      <c r="CG395" s="112" t="s">
        <v>1766</v>
      </c>
      <c r="CH395" s="112" t="s">
        <v>1766</v>
      </c>
      <c r="CI395" s="112" t="s">
        <v>1766</v>
      </c>
      <c r="CJ395" s="112" t="s">
        <v>1766</v>
      </c>
      <c r="CK395" s="112" t="s">
        <v>1766</v>
      </c>
      <c r="CL395" s="112" t="s">
        <v>1766</v>
      </c>
      <c r="CM395" s="112" t="s">
        <v>1766</v>
      </c>
      <c r="CN395" s="112" t="s">
        <v>1766</v>
      </c>
      <c r="CO395" s="112" t="s">
        <v>1766</v>
      </c>
    </row>
    <row r="396" spans="1:93">
      <c r="A396" s="106" t="s">
        <v>940</v>
      </c>
      <c r="B396" s="106">
        <v>5</v>
      </c>
      <c r="C396" s="106">
        <v>2</v>
      </c>
      <c r="D396" s="106">
        <v>5</v>
      </c>
      <c r="E396" s="106">
        <v>2</v>
      </c>
      <c r="F396" s="106">
        <v>1</v>
      </c>
      <c r="G396" s="106" t="s">
        <v>66</v>
      </c>
      <c r="H396" s="106" t="s">
        <v>418</v>
      </c>
      <c r="I396" s="106">
        <v>201</v>
      </c>
      <c r="J396" s="106">
        <v>215</v>
      </c>
      <c r="K396" s="106" t="s">
        <v>1471</v>
      </c>
      <c r="L396" s="106" t="s">
        <v>1225</v>
      </c>
      <c r="M396" s="106" t="s">
        <v>1470</v>
      </c>
      <c r="O396" s="106">
        <v>0</v>
      </c>
      <c r="S396" s="1" t="s">
        <v>1807</v>
      </c>
      <c r="T396" s="106">
        <v>2068</v>
      </c>
      <c r="U396">
        <v>6</v>
      </c>
      <c r="V396" s="106">
        <v>19300</v>
      </c>
      <c r="W396" s="106">
        <v>1</v>
      </c>
      <c r="X396" s="106">
        <v>1</v>
      </c>
      <c r="Y396" s="106">
        <v>2</v>
      </c>
      <c r="Z396" s="106" t="s">
        <v>1766</v>
      </c>
      <c r="AA396" s="106">
        <v>4800</v>
      </c>
      <c r="AB396" s="106">
        <v>4800</v>
      </c>
      <c r="AC396" s="106">
        <v>9700</v>
      </c>
      <c r="AD396" s="106">
        <v>0</v>
      </c>
      <c r="AE396" s="106">
        <v>19300</v>
      </c>
      <c r="AF396" s="106">
        <v>38600</v>
      </c>
      <c r="AH396" s="106">
        <v>375</v>
      </c>
      <c r="AI396" s="106">
        <v>0</v>
      </c>
      <c r="AJ396" s="106">
        <v>2</v>
      </c>
      <c r="AK396" s="106">
        <v>120</v>
      </c>
      <c r="AL396" s="106">
        <v>240</v>
      </c>
      <c r="AM396" s="106">
        <v>1</v>
      </c>
      <c r="AN396" s="106">
        <v>2</v>
      </c>
      <c r="AO396" s="106">
        <v>76</v>
      </c>
      <c r="AP396" s="106" t="s">
        <v>131</v>
      </c>
      <c r="AQ396" s="106" t="s">
        <v>495</v>
      </c>
      <c r="AR396" s="106">
        <v>4207</v>
      </c>
      <c r="AS396" s="106">
        <v>200</v>
      </c>
      <c r="AT396" s="106">
        <v>400</v>
      </c>
      <c r="AY396" s="108">
        <v>0</v>
      </c>
      <c r="BD396" s="106">
        <v>0</v>
      </c>
      <c r="BY396" s="112" t="s">
        <v>1766</v>
      </c>
      <c r="BZ396" s="112" t="s">
        <v>1766</v>
      </c>
      <c r="CA396" s="112" t="s">
        <v>1766</v>
      </c>
      <c r="CB396" s="112" t="s">
        <v>1766</v>
      </c>
      <c r="CC396" s="112" t="s">
        <v>1766</v>
      </c>
      <c r="CD396" s="112" t="s">
        <v>1766</v>
      </c>
      <c r="CE396" s="112" t="s">
        <v>1766</v>
      </c>
      <c r="CF396" s="112" t="s">
        <v>1766</v>
      </c>
      <c r="CG396" s="112" t="s">
        <v>1766</v>
      </c>
      <c r="CH396" s="112" t="s">
        <v>1766</v>
      </c>
      <c r="CI396" s="112" t="s">
        <v>1766</v>
      </c>
      <c r="CJ396" s="112" t="s">
        <v>1766</v>
      </c>
      <c r="CK396" s="112" t="s">
        <v>1766</v>
      </c>
      <c r="CL396" s="112" t="s">
        <v>1766</v>
      </c>
      <c r="CM396" s="112" t="s">
        <v>1766</v>
      </c>
      <c r="CN396" s="112" t="s">
        <v>1766</v>
      </c>
      <c r="CO396" s="112" t="s">
        <v>1766</v>
      </c>
    </row>
    <row r="397" spans="1:93">
      <c r="A397" s="106" t="s">
        <v>940</v>
      </c>
      <c r="B397" s="106">
        <v>6</v>
      </c>
      <c r="C397" s="106">
        <v>2</v>
      </c>
      <c r="D397" s="106">
        <v>5</v>
      </c>
      <c r="E397" s="106">
        <v>2</v>
      </c>
      <c r="F397" s="106">
        <v>1</v>
      </c>
      <c r="G397" s="106" t="s">
        <v>66</v>
      </c>
      <c r="H397" s="106" t="s">
        <v>418</v>
      </c>
      <c r="I397" s="106">
        <v>201</v>
      </c>
      <c r="J397" s="106">
        <v>215</v>
      </c>
      <c r="K397" s="106" t="s">
        <v>1471</v>
      </c>
      <c r="L397" s="106" t="s">
        <v>1230</v>
      </c>
      <c r="M397" s="106" t="s">
        <v>1472</v>
      </c>
      <c r="O397" s="106">
        <v>0</v>
      </c>
      <c r="S397" s="1" t="s">
        <v>1807</v>
      </c>
      <c r="T397" s="106">
        <v>2068</v>
      </c>
      <c r="U397">
        <v>10</v>
      </c>
      <c r="V397" s="106">
        <v>35898</v>
      </c>
      <c r="W397" s="106">
        <v>1</v>
      </c>
      <c r="X397" s="106">
        <v>1</v>
      </c>
      <c r="Y397" s="106">
        <v>2</v>
      </c>
      <c r="Z397" s="106" t="s">
        <v>1766</v>
      </c>
      <c r="AA397" s="106">
        <v>9000</v>
      </c>
      <c r="AB397" s="106">
        <v>9000</v>
      </c>
      <c r="AC397" s="106">
        <v>18000</v>
      </c>
      <c r="AD397" s="106">
        <v>0</v>
      </c>
      <c r="AE397" s="106">
        <v>36000</v>
      </c>
      <c r="AF397" s="106">
        <v>72000</v>
      </c>
      <c r="AH397" s="106">
        <v>675</v>
      </c>
      <c r="AI397" s="106">
        <v>0</v>
      </c>
      <c r="AJ397" s="106">
        <v>2</v>
      </c>
      <c r="AK397" s="106">
        <v>120</v>
      </c>
      <c r="AL397" s="106">
        <v>240</v>
      </c>
      <c r="AM397" s="106">
        <v>135</v>
      </c>
      <c r="AN397" s="106">
        <v>270</v>
      </c>
      <c r="AO397" s="106">
        <v>147</v>
      </c>
      <c r="AP397" s="106" t="s">
        <v>131</v>
      </c>
      <c r="AQ397" s="106" t="s">
        <v>495</v>
      </c>
      <c r="AR397" s="106">
        <v>4207</v>
      </c>
      <c r="AS397" s="106">
        <v>250</v>
      </c>
      <c r="AT397" s="106">
        <v>500</v>
      </c>
      <c r="AY397" s="108">
        <v>0</v>
      </c>
      <c r="BD397" s="106">
        <v>0</v>
      </c>
      <c r="BY397" s="112" t="s">
        <v>1766</v>
      </c>
      <c r="BZ397" s="112" t="s">
        <v>1766</v>
      </c>
      <c r="CA397" s="112" t="s">
        <v>1766</v>
      </c>
      <c r="CB397" s="112" t="s">
        <v>1766</v>
      </c>
      <c r="CC397" s="112" t="s">
        <v>1766</v>
      </c>
      <c r="CD397" s="112" t="s">
        <v>1766</v>
      </c>
      <c r="CE397" s="112" t="s">
        <v>1766</v>
      </c>
      <c r="CF397" s="112" t="s">
        <v>1766</v>
      </c>
      <c r="CG397" s="112" t="s">
        <v>1766</v>
      </c>
      <c r="CH397" s="112" t="s">
        <v>1766</v>
      </c>
      <c r="CI397" s="112" t="s">
        <v>1766</v>
      </c>
      <c r="CJ397" s="112" t="s">
        <v>1766</v>
      </c>
      <c r="CK397" s="112" t="s">
        <v>1766</v>
      </c>
      <c r="CL397" s="112" t="s">
        <v>1766</v>
      </c>
      <c r="CM397" s="112" t="s">
        <v>1766</v>
      </c>
      <c r="CN397" s="112" t="s">
        <v>1766</v>
      </c>
      <c r="CO397" s="112" t="s">
        <v>1766</v>
      </c>
    </row>
    <row r="398" spans="1:93">
      <c r="A398" s="106" t="s">
        <v>940</v>
      </c>
      <c r="B398" s="106">
        <v>7</v>
      </c>
      <c r="C398" s="106">
        <v>2</v>
      </c>
      <c r="D398" s="106">
        <v>5</v>
      </c>
      <c r="E398" s="106">
        <v>2</v>
      </c>
      <c r="F398" s="106">
        <v>1</v>
      </c>
      <c r="G398" s="106" t="s">
        <v>66</v>
      </c>
      <c r="H398" s="106" t="s">
        <v>418</v>
      </c>
      <c r="I398" s="106">
        <v>201</v>
      </c>
      <c r="J398" s="106">
        <v>215</v>
      </c>
      <c r="K398" s="106" t="s">
        <v>1471</v>
      </c>
      <c r="L398" s="106" t="s">
        <v>1234</v>
      </c>
      <c r="M398" s="106" t="s">
        <v>1473</v>
      </c>
      <c r="O398" s="106">
        <v>0</v>
      </c>
      <c r="S398" s="1" t="s">
        <v>1807</v>
      </c>
      <c r="T398" s="106">
        <v>2068</v>
      </c>
      <c r="U398">
        <v>15</v>
      </c>
      <c r="V398" s="106">
        <v>64257.42</v>
      </c>
      <c r="W398" s="106">
        <v>1</v>
      </c>
      <c r="X398" s="106">
        <v>1</v>
      </c>
      <c r="Y398" s="106">
        <v>2</v>
      </c>
      <c r="Z398" s="106" t="s">
        <v>1766</v>
      </c>
      <c r="AA398" s="106">
        <v>16000</v>
      </c>
      <c r="AB398" s="106">
        <v>16000</v>
      </c>
      <c r="AC398" s="106">
        <v>32000</v>
      </c>
      <c r="AD398" s="106">
        <v>0</v>
      </c>
      <c r="AE398" s="106">
        <v>64000</v>
      </c>
      <c r="AF398" s="106">
        <v>128000</v>
      </c>
      <c r="AH398" s="106">
        <v>1125</v>
      </c>
      <c r="AI398" s="106">
        <v>0</v>
      </c>
      <c r="AJ398" s="106">
        <v>3</v>
      </c>
      <c r="AK398" s="106">
        <v>120</v>
      </c>
      <c r="AL398" s="106">
        <v>360</v>
      </c>
      <c r="AM398" s="106">
        <v>465</v>
      </c>
      <c r="AN398" s="106">
        <v>930</v>
      </c>
      <c r="AO398" s="106">
        <v>276</v>
      </c>
      <c r="AP398" s="106" t="s">
        <v>131</v>
      </c>
      <c r="AQ398" s="106" t="s">
        <v>495</v>
      </c>
      <c r="AR398" s="106">
        <v>4207</v>
      </c>
      <c r="AS398" s="106">
        <v>300</v>
      </c>
      <c r="AT398" s="106">
        <v>600</v>
      </c>
      <c r="AY398" s="108">
        <v>0</v>
      </c>
      <c r="BD398" s="106">
        <v>0</v>
      </c>
      <c r="BY398" s="112" t="s">
        <v>1766</v>
      </c>
      <c r="BZ398" s="112" t="s">
        <v>1766</v>
      </c>
      <c r="CA398" s="112" t="s">
        <v>1766</v>
      </c>
      <c r="CB398" s="112" t="s">
        <v>1766</v>
      </c>
      <c r="CC398" s="112" t="s">
        <v>1766</v>
      </c>
      <c r="CD398" s="112" t="s">
        <v>1766</v>
      </c>
      <c r="CE398" s="112" t="s">
        <v>1766</v>
      </c>
      <c r="CF398" s="112" t="s">
        <v>1766</v>
      </c>
      <c r="CG398" s="112" t="s">
        <v>1766</v>
      </c>
      <c r="CH398" s="112" t="s">
        <v>1766</v>
      </c>
      <c r="CI398" s="112" t="s">
        <v>1766</v>
      </c>
      <c r="CJ398" s="112" t="s">
        <v>1766</v>
      </c>
      <c r="CK398" s="112" t="s">
        <v>1766</v>
      </c>
      <c r="CL398" s="112" t="s">
        <v>1766</v>
      </c>
      <c r="CM398" s="112" t="s">
        <v>1766</v>
      </c>
      <c r="CN398" s="112" t="s">
        <v>1766</v>
      </c>
      <c r="CO398" s="112" t="s">
        <v>1766</v>
      </c>
    </row>
    <row r="399" spans="1:93">
      <c r="A399" s="106" t="s">
        <v>940</v>
      </c>
      <c r="B399" s="106">
        <v>8</v>
      </c>
      <c r="C399" s="106">
        <v>2</v>
      </c>
      <c r="D399" s="106">
        <v>5</v>
      </c>
      <c r="E399" s="106">
        <v>2</v>
      </c>
      <c r="F399" s="106">
        <v>1</v>
      </c>
      <c r="G399" s="106" t="s">
        <v>66</v>
      </c>
      <c r="H399" s="106" t="s">
        <v>418</v>
      </c>
      <c r="I399" s="106">
        <v>201</v>
      </c>
      <c r="J399" s="106">
        <v>215</v>
      </c>
      <c r="K399" s="106" t="s">
        <v>1471</v>
      </c>
      <c r="L399" s="106" t="s">
        <v>1239</v>
      </c>
      <c r="M399" s="106" t="s">
        <v>1474</v>
      </c>
      <c r="O399" s="106">
        <v>0</v>
      </c>
      <c r="S399" s="1" t="s">
        <v>1807</v>
      </c>
      <c r="T399" s="106">
        <v>2068</v>
      </c>
      <c r="U399">
        <v>20</v>
      </c>
      <c r="V399" s="106">
        <v>110522.76240000001</v>
      </c>
      <c r="W399" s="106">
        <v>1</v>
      </c>
      <c r="X399" s="106">
        <v>1</v>
      </c>
      <c r="Y399" s="106">
        <v>2</v>
      </c>
      <c r="Z399" s="106" t="s">
        <v>1766</v>
      </c>
      <c r="AA399" s="106">
        <v>28000</v>
      </c>
      <c r="AB399" s="106">
        <v>28000</v>
      </c>
      <c r="AC399" s="106">
        <v>55000</v>
      </c>
      <c r="AD399" s="106">
        <v>0</v>
      </c>
      <c r="AE399" s="106">
        <v>111000</v>
      </c>
      <c r="AF399" s="106">
        <v>222000</v>
      </c>
      <c r="AH399" s="106">
        <v>1800</v>
      </c>
      <c r="AI399" s="106">
        <v>0</v>
      </c>
      <c r="AJ399" s="106">
        <v>3</v>
      </c>
      <c r="AK399" s="106">
        <v>120</v>
      </c>
      <c r="AL399" s="106">
        <v>360</v>
      </c>
      <c r="AM399" s="106">
        <v>1140</v>
      </c>
      <c r="AN399" s="106">
        <v>2280</v>
      </c>
      <c r="AO399" s="106">
        <v>497</v>
      </c>
      <c r="AP399" s="106" t="s">
        <v>131</v>
      </c>
      <c r="AQ399" s="106" t="s">
        <v>495</v>
      </c>
      <c r="AR399" s="106">
        <v>4207</v>
      </c>
      <c r="AS399" s="106">
        <v>350</v>
      </c>
      <c r="AT399" s="106">
        <v>700</v>
      </c>
      <c r="AY399" s="108">
        <v>0</v>
      </c>
      <c r="BD399" s="106">
        <v>0</v>
      </c>
      <c r="BY399" s="112" t="s">
        <v>1766</v>
      </c>
      <c r="BZ399" s="112" t="s">
        <v>1766</v>
      </c>
      <c r="CA399" s="112" t="s">
        <v>1766</v>
      </c>
      <c r="CB399" s="112" t="s">
        <v>1766</v>
      </c>
      <c r="CC399" s="112" t="s">
        <v>1766</v>
      </c>
      <c r="CD399" s="112" t="s">
        <v>1766</v>
      </c>
      <c r="CE399" s="112" t="s">
        <v>1766</v>
      </c>
      <c r="CF399" s="112" t="s">
        <v>1766</v>
      </c>
      <c r="CG399" s="112" t="s">
        <v>1766</v>
      </c>
      <c r="CH399" s="112" t="s">
        <v>1766</v>
      </c>
      <c r="CI399" s="112" t="s">
        <v>1766</v>
      </c>
      <c r="CJ399" s="112" t="s">
        <v>1766</v>
      </c>
      <c r="CK399" s="112" t="s">
        <v>1766</v>
      </c>
      <c r="CL399" s="112" t="s">
        <v>1766</v>
      </c>
      <c r="CM399" s="112" t="s">
        <v>1766</v>
      </c>
      <c r="CN399" s="112" t="s">
        <v>1766</v>
      </c>
      <c r="CO399" s="112" t="s">
        <v>1766</v>
      </c>
    </row>
    <row r="400" spans="1:93">
      <c r="A400" s="106" t="s">
        <v>940</v>
      </c>
      <c r="B400" s="106">
        <v>9</v>
      </c>
      <c r="C400" s="106">
        <v>2</v>
      </c>
      <c r="D400" s="106">
        <v>5</v>
      </c>
      <c r="E400" s="106">
        <v>2</v>
      </c>
      <c r="F400" s="106">
        <v>1</v>
      </c>
      <c r="G400" s="106" t="s">
        <v>66</v>
      </c>
      <c r="H400" s="106" t="s">
        <v>418</v>
      </c>
      <c r="I400" s="106">
        <v>201</v>
      </c>
      <c r="J400" s="106">
        <v>215</v>
      </c>
      <c r="K400" s="106" t="s">
        <v>1471</v>
      </c>
      <c r="L400" s="106" t="s">
        <v>1244</v>
      </c>
      <c r="M400" s="106" t="s">
        <v>1475</v>
      </c>
      <c r="O400" s="106">
        <v>0</v>
      </c>
      <c r="S400" s="1" t="s">
        <v>1807</v>
      </c>
      <c r="T400" s="106">
        <v>2068</v>
      </c>
      <c r="U400">
        <v>25</v>
      </c>
      <c r="V400" s="106">
        <v>182362.55796000001</v>
      </c>
      <c r="W400" s="106">
        <v>1</v>
      </c>
      <c r="X400" s="106">
        <v>1</v>
      </c>
      <c r="Y400" s="106">
        <v>2</v>
      </c>
      <c r="Z400" s="106" t="s">
        <v>1766</v>
      </c>
      <c r="AA400" s="106">
        <v>46000</v>
      </c>
      <c r="AB400" s="106">
        <v>46000</v>
      </c>
      <c r="AC400" s="106">
        <v>91000</v>
      </c>
      <c r="AD400" s="106">
        <v>0</v>
      </c>
      <c r="AE400" s="106">
        <v>183000</v>
      </c>
      <c r="AF400" s="106">
        <v>366000</v>
      </c>
      <c r="AH400" s="106">
        <v>3600</v>
      </c>
      <c r="AI400" s="106">
        <v>0</v>
      </c>
      <c r="AJ400" s="106">
        <v>4</v>
      </c>
      <c r="AK400" s="106">
        <v>120</v>
      </c>
      <c r="AL400" s="106">
        <v>480</v>
      </c>
      <c r="AM400" s="106">
        <v>2820</v>
      </c>
      <c r="AN400" s="106">
        <v>5640</v>
      </c>
      <c r="AO400" s="106">
        <v>862</v>
      </c>
      <c r="AP400" s="106" t="s">
        <v>131</v>
      </c>
      <c r="AQ400" s="106" t="s">
        <v>495</v>
      </c>
      <c r="AR400" s="106">
        <v>4207</v>
      </c>
      <c r="AS400" s="106">
        <v>400</v>
      </c>
      <c r="AT400" s="106">
        <v>800</v>
      </c>
      <c r="AY400" s="108">
        <v>0</v>
      </c>
      <c r="BD400" s="106">
        <v>0</v>
      </c>
      <c r="BY400" s="112" t="s">
        <v>1766</v>
      </c>
      <c r="BZ400" s="112" t="s">
        <v>1766</v>
      </c>
      <c r="CA400" s="112" t="s">
        <v>1766</v>
      </c>
      <c r="CB400" s="112" t="s">
        <v>1766</v>
      </c>
      <c r="CC400" s="112" t="s">
        <v>1766</v>
      </c>
      <c r="CD400" s="112" t="s">
        <v>1766</v>
      </c>
      <c r="CE400" s="112" t="s">
        <v>1766</v>
      </c>
      <c r="CF400" s="112" t="s">
        <v>1766</v>
      </c>
      <c r="CG400" s="112" t="s">
        <v>1766</v>
      </c>
      <c r="CH400" s="112" t="s">
        <v>1766</v>
      </c>
      <c r="CI400" s="112" t="s">
        <v>1766</v>
      </c>
      <c r="CJ400" s="112" t="s">
        <v>1766</v>
      </c>
      <c r="CK400" s="112" t="s">
        <v>1766</v>
      </c>
      <c r="CL400" s="112" t="s">
        <v>1766</v>
      </c>
      <c r="CM400" s="112" t="s">
        <v>1766</v>
      </c>
      <c r="CN400" s="112" t="s">
        <v>1766</v>
      </c>
      <c r="CO400" s="112" t="s">
        <v>1766</v>
      </c>
    </row>
    <row r="401" spans="1:93">
      <c r="A401" s="106" t="s">
        <v>940</v>
      </c>
      <c r="B401" s="106">
        <v>10</v>
      </c>
      <c r="C401" s="106">
        <v>2</v>
      </c>
      <c r="D401" s="106">
        <v>5</v>
      </c>
      <c r="E401" s="106">
        <v>2</v>
      </c>
      <c r="F401" s="106">
        <v>1</v>
      </c>
      <c r="G401" s="106" t="s">
        <v>66</v>
      </c>
      <c r="H401" s="106" t="s">
        <v>418</v>
      </c>
      <c r="I401" s="106">
        <v>201</v>
      </c>
      <c r="J401" s="106">
        <v>215</v>
      </c>
      <c r="K401" s="106" t="s">
        <v>1471</v>
      </c>
      <c r="L401" s="106" t="s">
        <v>1247</v>
      </c>
      <c r="M401" s="106" t="s">
        <v>1476</v>
      </c>
      <c r="O401" s="106">
        <v>0</v>
      </c>
      <c r="S401" s="1" t="s">
        <v>1807</v>
      </c>
      <c r="T401" s="106">
        <v>2068</v>
      </c>
      <c r="U401">
        <v>30</v>
      </c>
      <c r="V401" s="106">
        <v>288132.84157679998</v>
      </c>
      <c r="W401" s="106">
        <v>1</v>
      </c>
      <c r="X401" s="106">
        <v>1</v>
      </c>
      <c r="Y401" s="106">
        <v>2</v>
      </c>
      <c r="Z401" s="106">
        <v>1</v>
      </c>
      <c r="AA401" s="106">
        <v>58000</v>
      </c>
      <c r="AB401" s="106">
        <v>58000</v>
      </c>
      <c r="AC401" s="106">
        <v>120000</v>
      </c>
      <c r="AD401" s="106">
        <v>58000</v>
      </c>
      <c r="AE401" s="106">
        <v>294000</v>
      </c>
      <c r="AF401" s="106">
        <v>588000</v>
      </c>
      <c r="AH401" s="106">
        <v>5400</v>
      </c>
      <c r="AI401" s="106">
        <v>0.01</v>
      </c>
      <c r="AJ401" s="106">
        <v>4</v>
      </c>
      <c r="AK401" s="106">
        <v>120</v>
      </c>
      <c r="AL401" s="106">
        <v>480</v>
      </c>
      <c r="AM401" s="106">
        <v>4566</v>
      </c>
      <c r="AN401" s="106">
        <v>9132</v>
      </c>
      <c r="AO401" s="106">
        <v>1438</v>
      </c>
      <c r="AP401" s="106" t="s">
        <v>131</v>
      </c>
      <c r="AQ401" s="106" t="s">
        <v>495</v>
      </c>
      <c r="AR401" s="106">
        <v>4207</v>
      </c>
      <c r="AS401" s="106">
        <v>460</v>
      </c>
      <c r="AT401" s="106">
        <v>920</v>
      </c>
      <c r="AY401" s="108">
        <v>0</v>
      </c>
      <c r="BD401" s="106">
        <v>0</v>
      </c>
      <c r="BY401" s="112" t="s">
        <v>1766</v>
      </c>
      <c r="BZ401" s="112" t="s">
        <v>1766</v>
      </c>
      <c r="CA401" s="112" t="s">
        <v>1766</v>
      </c>
      <c r="CB401" s="112" t="s">
        <v>1766</v>
      </c>
      <c r="CC401" s="112" t="s">
        <v>1766</v>
      </c>
      <c r="CD401" s="112" t="s">
        <v>1766</v>
      </c>
      <c r="CE401" s="112" t="s">
        <v>1766</v>
      </c>
      <c r="CF401" s="112" t="s">
        <v>1766</v>
      </c>
      <c r="CG401" s="112" t="s">
        <v>1766</v>
      </c>
      <c r="CH401" s="112" t="s">
        <v>1766</v>
      </c>
      <c r="CI401" s="112" t="s">
        <v>1766</v>
      </c>
      <c r="CJ401" s="112" t="s">
        <v>1766</v>
      </c>
      <c r="CK401" s="112" t="s">
        <v>1766</v>
      </c>
      <c r="CL401" s="112" t="s">
        <v>1766</v>
      </c>
      <c r="CM401" s="112" t="s">
        <v>1766</v>
      </c>
      <c r="CN401" s="112" t="s">
        <v>1766</v>
      </c>
      <c r="CO401" s="112" t="s">
        <v>1766</v>
      </c>
    </row>
    <row r="402" spans="1:93">
      <c r="A402" s="106" t="s">
        <v>940</v>
      </c>
      <c r="B402" s="106">
        <v>11</v>
      </c>
      <c r="C402" s="106">
        <v>2</v>
      </c>
      <c r="D402" s="106">
        <v>5</v>
      </c>
      <c r="E402" s="106">
        <v>2</v>
      </c>
      <c r="F402" s="106">
        <v>1</v>
      </c>
      <c r="G402" s="106" t="s">
        <v>66</v>
      </c>
      <c r="H402" s="106" t="s">
        <v>418</v>
      </c>
      <c r="I402" s="106">
        <v>201</v>
      </c>
      <c r="J402" s="106">
        <v>215</v>
      </c>
      <c r="K402" s="106" t="s">
        <v>1471</v>
      </c>
      <c r="L402" s="106" t="s">
        <v>1252</v>
      </c>
      <c r="M402" s="106" t="s">
        <v>1477</v>
      </c>
      <c r="O402" s="106">
        <v>0</v>
      </c>
      <c r="S402" s="1" t="s">
        <v>1807</v>
      </c>
      <c r="T402" s="106">
        <v>2068</v>
      </c>
      <c r="U402">
        <v>40</v>
      </c>
      <c r="V402" s="106">
        <v>435080.59078096802</v>
      </c>
      <c r="W402" s="106">
        <v>1</v>
      </c>
      <c r="X402" s="106">
        <v>1</v>
      </c>
      <c r="Y402" s="106">
        <v>2</v>
      </c>
      <c r="Z402" s="106">
        <v>1</v>
      </c>
      <c r="AA402" s="106">
        <v>87000</v>
      </c>
      <c r="AB402" s="106">
        <v>87000</v>
      </c>
      <c r="AC402" s="106">
        <v>170000</v>
      </c>
      <c r="AD402" s="106">
        <v>87000</v>
      </c>
      <c r="AE402" s="106">
        <v>431000</v>
      </c>
      <c r="AF402" s="106">
        <v>862000</v>
      </c>
      <c r="AH402" s="106">
        <v>8100</v>
      </c>
      <c r="AI402" s="106">
        <v>0.02</v>
      </c>
      <c r="AJ402" s="106">
        <v>5</v>
      </c>
      <c r="AK402" s="106">
        <v>120</v>
      </c>
      <c r="AL402" s="106">
        <v>600</v>
      </c>
      <c r="AM402" s="106">
        <v>7041</v>
      </c>
      <c r="AN402" s="106">
        <v>14082</v>
      </c>
      <c r="AO402" s="106">
        <v>2308</v>
      </c>
      <c r="AP402" s="106" t="s">
        <v>131</v>
      </c>
      <c r="AQ402" s="106" t="s">
        <v>495</v>
      </c>
      <c r="AR402" s="106">
        <v>4207</v>
      </c>
      <c r="AS402" s="106">
        <v>520</v>
      </c>
      <c r="AT402" s="106">
        <v>1040</v>
      </c>
      <c r="AY402" s="108">
        <v>0</v>
      </c>
      <c r="BD402" s="106">
        <v>0</v>
      </c>
      <c r="BY402" s="112" t="s">
        <v>1766</v>
      </c>
      <c r="BZ402" s="112" t="s">
        <v>1766</v>
      </c>
      <c r="CA402" s="112" t="s">
        <v>1766</v>
      </c>
      <c r="CB402" s="112" t="s">
        <v>1766</v>
      </c>
      <c r="CC402" s="112" t="s">
        <v>1766</v>
      </c>
      <c r="CD402" s="112" t="s">
        <v>1766</v>
      </c>
      <c r="CE402" s="112" t="s">
        <v>1766</v>
      </c>
      <c r="CF402" s="112" t="s">
        <v>1766</v>
      </c>
      <c r="CG402" s="112" t="s">
        <v>1766</v>
      </c>
      <c r="CH402" s="112" t="s">
        <v>1766</v>
      </c>
      <c r="CI402" s="112" t="s">
        <v>1766</v>
      </c>
      <c r="CJ402" s="112" t="s">
        <v>1766</v>
      </c>
      <c r="CK402" s="112" t="s">
        <v>1766</v>
      </c>
      <c r="CL402" s="112" t="s">
        <v>1766</v>
      </c>
      <c r="CM402" s="112" t="s">
        <v>1766</v>
      </c>
      <c r="CN402" s="112" t="s">
        <v>1766</v>
      </c>
      <c r="CO402" s="112" t="s">
        <v>1766</v>
      </c>
    </row>
    <row r="403" spans="1:93">
      <c r="A403" s="106" t="s">
        <v>940</v>
      </c>
      <c r="B403" s="106">
        <v>12</v>
      </c>
      <c r="C403" s="106">
        <v>2</v>
      </c>
      <c r="D403" s="106">
        <v>5</v>
      </c>
      <c r="E403" s="106">
        <v>2</v>
      </c>
      <c r="F403" s="106">
        <v>1</v>
      </c>
      <c r="G403" s="106" t="s">
        <v>66</v>
      </c>
      <c r="H403" s="106" t="s">
        <v>418</v>
      </c>
      <c r="I403" s="106">
        <v>201</v>
      </c>
      <c r="J403" s="106">
        <v>215</v>
      </c>
      <c r="K403" s="106" t="s">
        <v>1471</v>
      </c>
      <c r="L403" s="106" t="s">
        <v>1258</v>
      </c>
      <c r="M403" s="106" t="s">
        <v>1478</v>
      </c>
      <c r="O403" s="106">
        <v>0</v>
      </c>
      <c r="S403" s="1" t="s">
        <v>1807</v>
      </c>
      <c r="T403" s="106">
        <v>2068</v>
      </c>
      <c r="U403">
        <v>50</v>
      </c>
      <c r="V403" s="106">
        <v>626516.05072459404</v>
      </c>
      <c r="W403" s="106">
        <v>1</v>
      </c>
      <c r="X403" s="106">
        <v>1</v>
      </c>
      <c r="Y403" s="106">
        <v>2</v>
      </c>
      <c r="Z403" s="106">
        <v>1</v>
      </c>
      <c r="AA403" s="106">
        <v>130000</v>
      </c>
      <c r="AB403" s="106">
        <v>130000</v>
      </c>
      <c r="AC403" s="106">
        <v>250000</v>
      </c>
      <c r="AD403" s="106">
        <v>130000</v>
      </c>
      <c r="AE403" s="106">
        <v>640000</v>
      </c>
      <c r="AF403" s="106">
        <v>1280000</v>
      </c>
      <c r="AH403" s="106">
        <v>10800</v>
      </c>
      <c r="AI403" s="106">
        <v>0.03</v>
      </c>
      <c r="AJ403" s="106">
        <v>5</v>
      </c>
      <c r="AK403" s="106">
        <v>120</v>
      </c>
      <c r="AL403" s="106">
        <v>600</v>
      </c>
      <c r="AM403" s="106">
        <v>9585</v>
      </c>
      <c r="AN403" s="106">
        <v>19170</v>
      </c>
      <c r="AO403" s="106">
        <v>3561</v>
      </c>
      <c r="AP403" s="106" t="s">
        <v>131</v>
      </c>
      <c r="AQ403" s="106" t="s">
        <v>495</v>
      </c>
      <c r="AR403" s="106">
        <v>4207</v>
      </c>
      <c r="AS403" s="106">
        <v>580</v>
      </c>
      <c r="AT403" s="106">
        <v>1160</v>
      </c>
      <c r="AY403" s="108">
        <v>0</v>
      </c>
      <c r="BD403" s="106">
        <v>0</v>
      </c>
      <c r="BY403" s="112" t="s">
        <v>1766</v>
      </c>
      <c r="BZ403" s="112" t="s">
        <v>1766</v>
      </c>
      <c r="CA403" s="112" t="s">
        <v>1766</v>
      </c>
      <c r="CB403" s="112" t="s">
        <v>1766</v>
      </c>
      <c r="CC403" s="112" t="s">
        <v>1766</v>
      </c>
      <c r="CD403" s="112" t="s">
        <v>1766</v>
      </c>
      <c r="CE403" s="112" t="s">
        <v>1766</v>
      </c>
      <c r="CF403" s="112" t="s">
        <v>1766</v>
      </c>
      <c r="CG403" s="112" t="s">
        <v>1766</v>
      </c>
      <c r="CH403" s="112" t="s">
        <v>1766</v>
      </c>
      <c r="CI403" s="112" t="s">
        <v>1766</v>
      </c>
      <c r="CJ403" s="112" t="s">
        <v>1766</v>
      </c>
      <c r="CK403" s="112" t="s">
        <v>1766</v>
      </c>
      <c r="CL403" s="112" t="s">
        <v>1766</v>
      </c>
      <c r="CM403" s="112" t="s">
        <v>1766</v>
      </c>
      <c r="CN403" s="112" t="s">
        <v>1766</v>
      </c>
      <c r="CO403" s="112" t="s">
        <v>1766</v>
      </c>
    </row>
    <row r="404" spans="1:93">
      <c r="A404" s="106" t="s">
        <v>940</v>
      </c>
      <c r="B404" s="106">
        <v>13</v>
      </c>
      <c r="C404" s="106">
        <v>2</v>
      </c>
      <c r="D404" s="106">
        <v>5</v>
      </c>
      <c r="E404" s="106">
        <v>2</v>
      </c>
      <c r="F404" s="106">
        <v>1</v>
      </c>
      <c r="G404" s="106" t="s">
        <v>66</v>
      </c>
      <c r="H404" s="106" t="s">
        <v>418</v>
      </c>
      <c r="I404" s="106">
        <v>201</v>
      </c>
      <c r="J404" s="106">
        <v>215</v>
      </c>
      <c r="K404" s="106" t="s">
        <v>1471</v>
      </c>
      <c r="L404" s="106" t="s">
        <v>1262</v>
      </c>
      <c r="M404" s="106" t="s">
        <v>1479</v>
      </c>
      <c r="O404" s="106">
        <v>0</v>
      </c>
      <c r="S404" s="1" t="s">
        <v>1807</v>
      </c>
      <c r="T404" s="106">
        <v>2068</v>
      </c>
      <c r="U404">
        <v>60</v>
      </c>
      <c r="V404" s="106">
        <v>858326.98949269298</v>
      </c>
      <c r="W404" s="106">
        <v>1</v>
      </c>
      <c r="X404" s="106">
        <v>1</v>
      </c>
      <c r="Y404" s="106">
        <v>2</v>
      </c>
      <c r="Z404" s="106">
        <v>1</v>
      </c>
      <c r="AA404" s="106">
        <v>170000</v>
      </c>
      <c r="AB404" s="106">
        <v>170000</v>
      </c>
      <c r="AC404" s="106">
        <v>340000</v>
      </c>
      <c r="AD404" s="106">
        <v>170000</v>
      </c>
      <c r="AE404" s="106">
        <v>850000</v>
      </c>
      <c r="AF404" s="106">
        <v>1700000</v>
      </c>
      <c r="AH404" s="106">
        <v>14400</v>
      </c>
      <c r="AI404" s="106">
        <v>0.04</v>
      </c>
      <c r="AJ404" s="106">
        <v>6</v>
      </c>
      <c r="AK404" s="106">
        <v>144</v>
      </c>
      <c r="AL404" s="106">
        <v>864</v>
      </c>
      <c r="AM404" s="106">
        <v>12682</v>
      </c>
      <c r="AN404" s="106">
        <v>25364</v>
      </c>
      <c r="AO404" s="106">
        <v>5278</v>
      </c>
      <c r="AP404" s="106" t="s">
        <v>131</v>
      </c>
      <c r="AQ404" s="106" t="s">
        <v>495</v>
      </c>
      <c r="AR404" s="106">
        <v>4207</v>
      </c>
      <c r="AS404" s="106">
        <v>640</v>
      </c>
      <c r="AT404" s="106">
        <v>1280</v>
      </c>
      <c r="AY404" s="108">
        <v>0</v>
      </c>
      <c r="BD404" s="106">
        <v>0</v>
      </c>
      <c r="BY404" s="112" t="s">
        <v>1766</v>
      </c>
      <c r="BZ404" s="112" t="s">
        <v>1766</v>
      </c>
      <c r="CA404" s="112" t="s">
        <v>1766</v>
      </c>
      <c r="CB404" s="112" t="s">
        <v>1766</v>
      </c>
      <c r="CC404" s="112" t="s">
        <v>1766</v>
      </c>
      <c r="CD404" s="112" t="s">
        <v>1766</v>
      </c>
      <c r="CE404" s="112" t="s">
        <v>1766</v>
      </c>
      <c r="CF404" s="112" t="s">
        <v>1766</v>
      </c>
      <c r="CG404" s="112" t="s">
        <v>1766</v>
      </c>
      <c r="CH404" s="112" t="s">
        <v>1766</v>
      </c>
      <c r="CI404" s="112" t="s">
        <v>1766</v>
      </c>
      <c r="CJ404" s="112" t="s">
        <v>1766</v>
      </c>
      <c r="CK404" s="112" t="s">
        <v>1766</v>
      </c>
      <c r="CL404" s="112" t="s">
        <v>1766</v>
      </c>
      <c r="CM404" s="112" t="s">
        <v>1766</v>
      </c>
      <c r="CN404" s="112" t="s">
        <v>1766</v>
      </c>
      <c r="CO404" s="112" t="s">
        <v>1766</v>
      </c>
    </row>
    <row r="405" spans="1:93">
      <c r="A405" s="106" t="s">
        <v>940</v>
      </c>
      <c r="B405" s="106">
        <v>14</v>
      </c>
      <c r="C405" s="106">
        <v>2</v>
      </c>
      <c r="D405" s="106">
        <v>5</v>
      </c>
      <c r="E405" s="106">
        <v>2</v>
      </c>
      <c r="F405" s="106">
        <v>1</v>
      </c>
      <c r="G405" s="106" t="s">
        <v>66</v>
      </c>
      <c r="H405" s="106" t="s">
        <v>418</v>
      </c>
      <c r="I405" s="106">
        <v>201</v>
      </c>
      <c r="J405" s="106">
        <v>215</v>
      </c>
      <c r="K405" s="106" t="s">
        <v>1471</v>
      </c>
      <c r="L405" s="106" t="s">
        <v>1265</v>
      </c>
      <c r="M405" s="106" t="s">
        <v>1480</v>
      </c>
      <c r="O405" s="106">
        <v>0</v>
      </c>
      <c r="S405" s="1" t="s">
        <v>1807</v>
      </c>
      <c r="T405" s="106">
        <v>2068</v>
      </c>
      <c r="U405">
        <v>70</v>
      </c>
      <c r="V405" s="106">
        <v>1115825.0863405</v>
      </c>
      <c r="W405" s="106">
        <v>1</v>
      </c>
      <c r="X405" s="106">
        <v>1</v>
      </c>
      <c r="Y405" s="106">
        <v>2</v>
      </c>
      <c r="Z405" s="106">
        <v>1</v>
      </c>
      <c r="AA405" s="106">
        <v>220000</v>
      </c>
      <c r="AB405" s="106">
        <v>220000</v>
      </c>
      <c r="AC405" s="106">
        <v>450000</v>
      </c>
      <c r="AD405" s="106">
        <v>220000</v>
      </c>
      <c r="AE405" s="106">
        <v>1110000</v>
      </c>
      <c r="AF405" s="106">
        <v>2220000</v>
      </c>
      <c r="AH405" s="106">
        <v>18000</v>
      </c>
      <c r="AI405" s="106">
        <v>0.05</v>
      </c>
      <c r="AJ405" s="106">
        <v>6</v>
      </c>
      <c r="AK405" s="106">
        <v>180</v>
      </c>
      <c r="AL405" s="106">
        <v>1080</v>
      </c>
      <c r="AM405" s="106">
        <v>15762</v>
      </c>
      <c r="AN405" s="106">
        <v>31524</v>
      </c>
      <c r="AO405" s="106">
        <v>7509</v>
      </c>
      <c r="AP405" s="106" t="s">
        <v>131</v>
      </c>
      <c r="AQ405" s="106" t="s">
        <v>495</v>
      </c>
      <c r="AR405" s="106">
        <v>4207</v>
      </c>
      <c r="AS405" s="106">
        <v>700</v>
      </c>
      <c r="AT405" s="106">
        <v>1400</v>
      </c>
      <c r="AY405" s="108">
        <v>0</v>
      </c>
      <c r="BD405" s="106">
        <v>0</v>
      </c>
      <c r="BY405" s="112" t="s">
        <v>1766</v>
      </c>
      <c r="BZ405" s="112" t="s">
        <v>1766</v>
      </c>
      <c r="CA405" s="112" t="s">
        <v>1766</v>
      </c>
      <c r="CB405" s="112" t="s">
        <v>1766</v>
      </c>
      <c r="CC405" s="112" t="s">
        <v>1766</v>
      </c>
      <c r="CD405" s="112" t="s">
        <v>1766</v>
      </c>
      <c r="CE405" s="112" t="s">
        <v>1766</v>
      </c>
      <c r="CF405" s="112" t="s">
        <v>1766</v>
      </c>
      <c r="CG405" s="112" t="s">
        <v>1766</v>
      </c>
      <c r="CH405" s="112" t="s">
        <v>1766</v>
      </c>
      <c r="CI405" s="112" t="s">
        <v>1766</v>
      </c>
      <c r="CJ405" s="112" t="s">
        <v>1766</v>
      </c>
      <c r="CK405" s="112" t="s">
        <v>1766</v>
      </c>
      <c r="CL405" s="112" t="s">
        <v>1766</v>
      </c>
      <c r="CM405" s="112" t="s">
        <v>1766</v>
      </c>
      <c r="CN405" s="112" t="s">
        <v>1766</v>
      </c>
      <c r="CO405" s="112" t="s">
        <v>1766</v>
      </c>
    </row>
    <row r="406" spans="1:93">
      <c r="A406" s="106" t="s">
        <v>940</v>
      </c>
      <c r="B406" s="106">
        <v>15</v>
      </c>
      <c r="C406" s="106">
        <v>2</v>
      </c>
      <c r="D406" s="106">
        <v>5</v>
      </c>
      <c r="E406" s="106">
        <v>2</v>
      </c>
      <c r="F406" s="106">
        <v>1</v>
      </c>
      <c r="G406" s="106" t="s">
        <v>66</v>
      </c>
      <c r="H406" s="106" t="s">
        <v>418</v>
      </c>
      <c r="I406" s="106">
        <v>201</v>
      </c>
      <c r="J406" s="106">
        <v>215</v>
      </c>
      <c r="K406" s="106" t="s">
        <v>1471</v>
      </c>
      <c r="L406" s="106" t="s">
        <v>1269</v>
      </c>
      <c r="M406" s="106" t="s">
        <v>1481</v>
      </c>
      <c r="O406" s="106">
        <v>0</v>
      </c>
      <c r="S406" s="1" t="s">
        <v>1807</v>
      </c>
      <c r="T406" s="106">
        <v>2068</v>
      </c>
      <c r="U406">
        <v>80</v>
      </c>
      <c r="V406" s="106">
        <v>1428256.1105158399</v>
      </c>
      <c r="W406" s="106">
        <v>1</v>
      </c>
      <c r="X406" s="106">
        <v>1</v>
      </c>
      <c r="Y406" s="106">
        <v>2</v>
      </c>
      <c r="Z406" s="106">
        <v>1</v>
      </c>
      <c r="AA406" s="106">
        <v>290000</v>
      </c>
      <c r="AB406" s="106">
        <v>290000</v>
      </c>
      <c r="AC406" s="106">
        <v>570000</v>
      </c>
      <c r="AD406" s="106">
        <v>290000</v>
      </c>
      <c r="AE406" s="106">
        <v>1440000</v>
      </c>
      <c r="AF406" s="106">
        <v>2880000</v>
      </c>
      <c r="AH406" s="106">
        <v>21600</v>
      </c>
      <c r="AI406" s="106">
        <v>0.05</v>
      </c>
      <c r="AJ406" s="106">
        <v>7</v>
      </c>
      <c r="AK406" s="106">
        <v>216</v>
      </c>
      <c r="AL406" s="106">
        <v>1512</v>
      </c>
      <c r="AM406" s="106">
        <v>18759</v>
      </c>
      <c r="AN406" s="106">
        <v>37518</v>
      </c>
      <c r="AO406" s="106">
        <v>10366</v>
      </c>
      <c r="AP406" s="106" t="s">
        <v>131</v>
      </c>
      <c r="AQ406" s="106" t="s">
        <v>495</v>
      </c>
      <c r="AR406" s="106">
        <v>4207</v>
      </c>
      <c r="AS406" s="106">
        <v>780</v>
      </c>
      <c r="AT406" s="106">
        <v>1560</v>
      </c>
      <c r="AY406" s="108">
        <v>0</v>
      </c>
      <c r="BD406" s="106">
        <v>0</v>
      </c>
      <c r="BY406" s="112" t="s">
        <v>1766</v>
      </c>
      <c r="BZ406" s="112" t="s">
        <v>1766</v>
      </c>
      <c r="CA406" s="112" t="s">
        <v>1766</v>
      </c>
      <c r="CB406" s="112" t="s">
        <v>1766</v>
      </c>
      <c r="CC406" s="112" t="s">
        <v>1766</v>
      </c>
      <c r="CD406" s="112" t="s">
        <v>1766</v>
      </c>
      <c r="CE406" s="112" t="s">
        <v>1766</v>
      </c>
      <c r="CF406" s="112" t="s">
        <v>1766</v>
      </c>
      <c r="CG406" s="112" t="s">
        <v>1766</v>
      </c>
      <c r="CH406" s="112" t="s">
        <v>1766</v>
      </c>
      <c r="CI406" s="112" t="s">
        <v>1766</v>
      </c>
      <c r="CJ406" s="112" t="s">
        <v>1766</v>
      </c>
      <c r="CK406" s="112" t="s">
        <v>1766</v>
      </c>
      <c r="CL406" s="112" t="s">
        <v>1766</v>
      </c>
      <c r="CM406" s="112" t="s">
        <v>1766</v>
      </c>
      <c r="CN406" s="112" t="s">
        <v>1766</v>
      </c>
      <c r="CO406" s="112" t="s">
        <v>1766</v>
      </c>
    </row>
    <row r="407" spans="1:93">
      <c r="A407" s="106" t="s">
        <v>940</v>
      </c>
      <c r="B407" s="106">
        <v>16</v>
      </c>
      <c r="C407" s="106">
        <v>2</v>
      </c>
      <c r="D407" s="106">
        <v>5</v>
      </c>
      <c r="E407" s="106">
        <v>2</v>
      </c>
      <c r="F407" s="106">
        <v>1</v>
      </c>
      <c r="G407" s="106" t="s">
        <v>66</v>
      </c>
      <c r="H407" s="106" t="s">
        <v>418</v>
      </c>
      <c r="I407" s="106">
        <v>201</v>
      </c>
      <c r="J407" s="106">
        <v>215</v>
      </c>
      <c r="K407" s="106" t="s">
        <v>1471</v>
      </c>
      <c r="L407" s="106" t="s">
        <v>1272</v>
      </c>
      <c r="M407" s="106" t="s">
        <v>1482</v>
      </c>
      <c r="O407" s="106">
        <v>0</v>
      </c>
      <c r="S407" s="1" t="s">
        <v>1807</v>
      </c>
      <c r="T407" s="106">
        <v>2068</v>
      </c>
      <c r="U407">
        <v>90</v>
      </c>
      <c r="V407" s="106">
        <v>1828167.8214602801</v>
      </c>
      <c r="W407" s="106">
        <v>1</v>
      </c>
      <c r="X407" s="106">
        <v>1</v>
      </c>
      <c r="Y407" s="106">
        <v>2</v>
      </c>
      <c r="Z407" s="106">
        <v>1</v>
      </c>
      <c r="AA407" s="106">
        <v>370000</v>
      </c>
      <c r="AB407" s="106">
        <v>370000</v>
      </c>
      <c r="AC407" s="106">
        <v>730000</v>
      </c>
      <c r="AD407" s="106">
        <v>370000</v>
      </c>
      <c r="AE407" s="106">
        <v>1840000</v>
      </c>
      <c r="AF407" s="106">
        <v>3680000</v>
      </c>
      <c r="AH407" s="106">
        <v>27000</v>
      </c>
      <c r="AI407" s="106">
        <v>0.05</v>
      </c>
      <c r="AJ407" s="106">
        <v>7</v>
      </c>
      <c r="AK407" s="106">
        <v>270</v>
      </c>
      <c r="AL407" s="106">
        <v>1890</v>
      </c>
      <c r="AM407" s="106">
        <v>23524</v>
      </c>
      <c r="AN407" s="106">
        <v>47048</v>
      </c>
      <c r="AO407" s="106">
        <v>14022</v>
      </c>
      <c r="AP407" s="106" t="s">
        <v>131</v>
      </c>
      <c r="AQ407" s="106" t="s">
        <v>495</v>
      </c>
      <c r="AR407" s="106">
        <v>4207</v>
      </c>
      <c r="AS407" s="106">
        <v>860</v>
      </c>
      <c r="AT407" s="106">
        <v>1720</v>
      </c>
      <c r="AY407" s="108">
        <v>0</v>
      </c>
      <c r="BD407" s="106">
        <v>0</v>
      </c>
      <c r="BY407" s="112" t="s">
        <v>1766</v>
      </c>
      <c r="BZ407" s="112" t="s">
        <v>1766</v>
      </c>
      <c r="CA407" s="112" t="s">
        <v>1766</v>
      </c>
      <c r="CB407" s="112" t="s">
        <v>1766</v>
      </c>
      <c r="CC407" s="112" t="s">
        <v>1766</v>
      </c>
      <c r="CD407" s="112" t="s">
        <v>1766</v>
      </c>
      <c r="CE407" s="112" t="s">
        <v>1766</v>
      </c>
      <c r="CF407" s="112" t="s">
        <v>1766</v>
      </c>
      <c r="CG407" s="112" t="s">
        <v>1766</v>
      </c>
      <c r="CH407" s="112" t="s">
        <v>1766</v>
      </c>
      <c r="CI407" s="112" t="s">
        <v>1766</v>
      </c>
      <c r="CJ407" s="112" t="s">
        <v>1766</v>
      </c>
      <c r="CK407" s="112" t="s">
        <v>1766</v>
      </c>
      <c r="CL407" s="112" t="s">
        <v>1766</v>
      </c>
      <c r="CM407" s="112" t="s">
        <v>1766</v>
      </c>
      <c r="CN407" s="112" t="s">
        <v>1766</v>
      </c>
      <c r="CO407" s="112" t="s">
        <v>1766</v>
      </c>
    </row>
    <row r="408" spans="1:93">
      <c r="A408" s="106" t="s">
        <v>940</v>
      </c>
      <c r="B408" s="106">
        <v>17</v>
      </c>
      <c r="C408" s="106">
        <v>2</v>
      </c>
      <c r="D408" s="106">
        <v>5</v>
      </c>
      <c r="E408" s="106">
        <v>2</v>
      </c>
      <c r="F408" s="106">
        <v>1</v>
      </c>
      <c r="G408" s="106" t="s">
        <v>66</v>
      </c>
      <c r="H408" s="106" t="s">
        <v>418</v>
      </c>
      <c r="I408" s="106">
        <v>201</v>
      </c>
      <c r="J408" s="106">
        <v>215</v>
      </c>
      <c r="K408" s="106" t="s">
        <v>1471</v>
      </c>
      <c r="L408" s="106" t="s">
        <v>1278</v>
      </c>
      <c r="M408" s="106" t="s">
        <v>1483</v>
      </c>
      <c r="O408" s="106">
        <v>0</v>
      </c>
      <c r="S408" s="1" t="s">
        <v>1807</v>
      </c>
      <c r="T408" s="106">
        <v>2068</v>
      </c>
      <c r="U408">
        <v>105</v>
      </c>
      <c r="V408" s="106">
        <v>2340054.8114691498</v>
      </c>
      <c r="W408" s="106">
        <v>1</v>
      </c>
      <c r="X408" s="106">
        <v>1</v>
      </c>
      <c r="Y408" s="106">
        <v>2</v>
      </c>
      <c r="Z408" s="106">
        <v>1</v>
      </c>
      <c r="AA408" s="106">
        <v>470000</v>
      </c>
      <c r="AB408" s="106">
        <v>470000</v>
      </c>
      <c r="AC408" s="106">
        <v>940000</v>
      </c>
      <c r="AD408" s="106">
        <v>470000</v>
      </c>
      <c r="AE408" s="106">
        <v>2350000</v>
      </c>
      <c r="AF408" s="106">
        <v>4700000</v>
      </c>
      <c r="AH408" s="106">
        <v>36000</v>
      </c>
      <c r="AI408" s="106">
        <v>0.05</v>
      </c>
      <c r="AJ408" s="106">
        <v>8</v>
      </c>
      <c r="AK408" s="106">
        <v>360</v>
      </c>
      <c r="AL408" s="106">
        <v>2880</v>
      </c>
      <c r="AM408" s="106">
        <v>31105</v>
      </c>
      <c r="AN408" s="106">
        <v>62210</v>
      </c>
      <c r="AO408" s="106">
        <v>18702</v>
      </c>
      <c r="AP408" s="106" t="s">
        <v>131</v>
      </c>
      <c r="AQ408" s="106" t="s">
        <v>495</v>
      </c>
      <c r="AR408" s="106">
        <v>4207</v>
      </c>
      <c r="AS408" s="106">
        <v>940</v>
      </c>
      <c r="AT408" s="106">
        <v>1880</v>
      </c>
      <c r="AY408" s="108">
        <v>0</v>
      </c>
      <c r="BD408" s="106">
        <v>0</v>
      </c>
      <c r="BY408" s="112" t="s">
        <v>1766</v>
      </c>
      <c r="BZ408" s="112" t="s">
        <v>1766</v>
      </c>
      <c r="CA408" s="112" t="s">
        <v>1766</v>
      </c>
      <c r="CB408" s="112" t="s">
        <v>1766</v>
      </c>
      <c r="CC408" s="112" t="s">
        <v>1766</v>
      </c>
      <c r="CD408" s="112" t="s">
        <v>1766</v>
      </c>
      <c r="CE408" s="112" t="s">
        <v>1766</v>
      </c>
      <c r="CF408" s="112" t="s">
        <v>1766</v>
      </c>
      <c r="CG408" s="112" t="s">
        <v>1766</v>
      </c>
      <c r="CH408" s="112" t="s">
        <v>1766</v>
      </c>
      <c r="CI408" s="112" t="s">
        <v>1766</v>
      </c>
      <c r="CJ408" s="112" t="s">
        <v>1766</v>
      </c>
      <c r="CK408" s="112" t="s">
        <v>1766</v>
      </c>
      <c r="CL408" s="112" t="s">
        <v>1766</v>
      </c>
      <c r="CM408" s="112" t="s">
        <v>1766</v>
      </c>
      <c r="CN408" s="112" t="s">
        <v>1766</v>
      </c>
      <c r="CO408" s="112" t="s">
        <v>1766</v>
      </c>
    </row>
    <row r="409" spans="1:93">
      <c r="A409" s="106" t="s">
        <v>940</v>
      </c>
      <c r="B409" s="106">
        <v>18</v>
      </c>
      <c r="C409" s="106">
        <v>2</v>
      </c>
      <c r="D409" s="106">
        <v>5</v>
      </c>
      <c r="E409" s="106">
        <v>2</v>
      </c>
      <c r="F409" s="106">
        <v>1</v>
      </c>
      <c r="G409" s="106" t="s">
        <v>66</v>
      </c>
      <c r="H409" s="106" t="s">
        <v>418</v>
      </c>
      <c r="I409" s="106">
        <v>201</v>
      </c>
      <c r="J409" s="106">
        <v>215</v>
      </c>
      <c r="K409" s="106" t="s">
        <v>1471</v>
      </c>
      <c r="L409" s="106" t="s">
        <v>1281</v>
      </c>
      <c r="M409" s="106" t="s">
        <v>1484</v>
      </c>
      <c r="O409" s="106">
        <v>0</v>
      </c>
      <c r="S409" s="1" t="s">
        <v>1807</v>
      </c>
      <c r="T409" s="106">
        <v>2068</v>
      </c>
      <c r="U409">
        <v>120</v>
      </c>
      <c r="V409" s="106">
        <v>2995270.15868052</v>
      </c>
      <c r="W409" s="106">
        <v>1</v>
      </c>
      <c r="X409" s="106">
        <v>1</v>
      </c>
      <c r="Y409" s="106">
        <v>2</v>
      </c>
      <c r="Z409" s="106">
        <v>1</v>
      </c>
      <c r="AA409" s="106">
        <v>600000</v>
      </c>
      <c r="AB409" s="106">
        <v>600000</v>
      </c>
      <c r="AC409" s="106">
        <v>1200000</v>
      </c>
      <c r="AD409" s="106">
        <v>600000</v>
      </c>
      <c r="AE409" s="106">
        <v>3000000</v>
      </c>
      <c r="AF409" s="106">
        <v>6000000</v>
      </c>
      <c r="AH409" s="106">
        <v>46800</v>
      </c>
      <c r="AI409" s="106">
        <v>6.5000000000000002E-2</v>
      </c>
      <c r="AJ409" s="106">
        <v>8</v>
      </c>
      <c r="AK409" s="106">
        <v>468</v>
      </c>
      <c r="AL409" s="106">
        <v>3744</v>
      </c>
      <c r="AM409" s="106">
        <v>39899</v>
      </c>
      <c r="AN409" s="106">
        <v>79798</v>
      </c>
      <c r="AO409" s="106">
        <v>24693</v>
      </c>
      <c r="AP409" s="106" t="s">
        <v>131</v>
      </c>
      <c r="AQ409" s="106" t="s">
        <v>495</v>
      </c>
      <c r="AR409" s="106">
        <v>4207</v>
      </c>
      <c r="AS409" s="106">
        <v>1020</v>
      </c>
      <c r="AT409" s="106">
        <v>2040</v>
      </c>
      <c r="AY409" s="108">
        <v>0</v>
      </c>
      <c r="BD409" s="106">
        <v>0</v>
      </c>
      <c r="BY409" s="112" t="s">
        <v>1766</v>
      </c>
      <c r="BZ409" s="112" t="s">
        <v>1766</v>
      </c>
      <c r="CA409" s="112" t="s">
        <v>1766</v>
      </c>
      <c r="CB409" s="112" t="s">
        <v>1766</v>
      </c>
      <c r="CC409" s="112" t="s">
        <v>1766</v>
      </c>
      <c r="CD409" s="112" t="s">
        <v>1766</v>
      </c>
      <c r="CE409" s="112" t="s">
        <v>1766</v>
      </c>
      <c r="CF409" s="112" t="s">
        <v>1766</v>
      </c>
      <c r="CG409" s="112" t="s">
        <v>1766</v>
      </c>
      <c r="CH409" s="112" t="s">
        <v>1766</v>
      </c>
      <c r="CI409" s="112" t="s">
        <v>1766</v>
      </c>
      <c r="CJ409" s="112" t="s">
        <v>1766</v>
      </c>
      <c r="CK409" s="112" t="s">
        <v>1766</v>
      </c>
      <c r="CL409" s="112" t="s">
        <v>1766</v>
      </c>
      <c r="CM409" s="112" t="s">
        <v>1766</v>
      </c>
      <c r="CN409" s="112" t="s">
        <v>1766</v>
      </c>
      <c r="CO409" s="112" t="s">
        <v>1766</v>
      </c>
    </row>
    <row r="410" spans="1:93">
      <c r="A410" s="106" t="s">
        <v>940</v>
      </c>
      <c r="B410" s="106">
        <v>19</v>
      </c>
      <c r="C410" s="106">
        <v>2</v>
      </c>
      <c r="D410" s="106">
        <v>5</v>
      </c>
      <c r="E410" s="106">
        <v>2</v>
      </c>
      <c r="F410" s="106">
        <v>1</v>
      </c>
      <c r="G410" s="106" t="s">
        <v>66</v>
      </c>
      <c r="H410" s="106" t="s">
        <v>418</v>
      </c>
      <c r="I410" s="106">
        <v>201</v>
      </c>
      <c r="J410" s="106">
        <v>215</v>
      </c>
      <c r="K410" s="106" t="s">
        <v>1471</v>
      </c>
      <c r="L410" s="106" t="s">
        <v>1283</v>
      </c>
      <c r="M410" s="106" t="s">
        <v>1485</v>
      </c>
      <c r="O410" s="106">
        <v>0</v>
      </c>
      <c r="S410" s="1" t="s">
        <v>1807</v>
      </c>
      <c r="T410" s="106">
        <v>2068</v>
      </c>
      <c r="U410">
        <v>135</v>
      </c>
      <c r="V410" s="106">
        <v>3833945.8031110601</v>
      </c>
      <c r="W410" s="106">
        <v>1</v>
      </c>
      <c r="X410" s="106">
        <v>1</v>
      </c>
      <c r="Y410" s="106">
        <v>2</v>
      </c>
      <c r="Z410" s="106">
        <v>1</v>
      </c>
      <c r="AA410" s="106">
        <v>770000</v>
      </c>
      <c r="AB410" s="106">
        <v>770000</v>
      </c>
      <c r="AC410" s="106">
        <v>1500000</v>
      </c>
      <c r="AD410" s="106">
        <v>770000</v>
      </c>
      <c r="AE410" s="106">
        <v>3810000</v>
      </c>
      <c r="AF410" s="106">
        <v>7620000</v>
      </c>
      <c r="AH410" s="106">
        <v>61200</v>
      </c>
      <c r="AI410" s="106">
        <v>0.08</v>
      </c>
      <c r="AJ410" s="106">
        <v>9</v>
      </c>
      <c r="AK410" s="106">
        <v>612</v>
      </c>
      <c r="AL410" s="106">
        <v>5508</v>
      </c>
      <c r="AM410" s="106">
        <v>50858</v>
      </c>
      <c r="AN410" s="106">
        <v>101716</v>
      </c>
      <c r="AO410" s="106">
        <v>32361</v>
      </c>
      <c r="AP410" s="106" t="s">
        <v>131</v>
      </c>
      <c r="AQ410" s="106" t="s">
        <v>495</v>
      </c>
      <c r="AR410" s="106">
        <v>4207</v>
      </c>
      <c r="AS410" s="106">
        <v>1100</v>
      </c>
      <c r="AT410" s="106">
        <v>2200</v>
      </c>
      <c r="AY410" s="108">
        <v>0</v>
      </c>
      <c r="BD410" s="106">
        <v>0</v>
      </c>
      <c r="BY410" s="112" t="s">
        <v>1766</v>
      </c>
      <c r="BZ410" s="112" t="s">
        <v>1766</v>
      </c>
      <c r="CA410" s="112" t="s">
        <v>1766</v>
      </c>
      <c r="CB410" s="112" t="s">
        <v>1766</v>
      </c>
      <c r="CC410" s="112" t="s">
        <v>1766</v>
      </c>
      <c r="CD410" s="112" t="s">
        <v>1766</v>
      </c>
      <c r="CE410" s="112" t="s">
        <v>1766</v>
      </c>
      <c r="CF410" s="112" t="s">
        <v>1766</v>
      </c>
      <c r="CG410" s="112" t="s">
        <v>1766</v>
      </c>
      <c r="CH410" s="112" t="s">
        <v>1766</v>
      </c>
      <c r="CI410" s="112" t="s">
        <v>1766</v>
      </c>
      <c r="CJ410" s="112" t="s">
        <v>1766</v>
      </c>
      <c r="CK410" s="112" t="s">
        <v>1766</v>
      </c>
      <c r="CL410" s="112" t="s">
        <v>1766</v>
      </c>
      <c r="CM410" s="112" t="s">
        <v>1766</v>
      </c>
      <c r="CN410" s="112" t="s">
        <v>1766</v>
      </c>
      <c r="CO410" s="112" t="s">
        <v>1766</v>
      </c>
    </row>
    <row r="411" spans="1:93">
      <c r="A411" s="106" t="s">
        <v>940</v>
      </c>
      <c r="B411" s="106">
        <v>20</v>
      </c>
      <c r="C411" s="106">
        <v>2</v>
      </c>
      <c r="D411" s="106">
        <v>5</v>
      </c>
      <c r="E411" s="106">
        <v>2</v>
      </c>
      <c r="F411" s="106">
        <v>1</v>
      </c>
      <c r="G411" s="106" t="s">
        <v>66</v>
      </c>
      <c r="H411" s="106" t="s">
        <v>418</v>
      </c>
      <c r="I411" s="106">
        <v>201</v>
      </c>
      <c r="J411" s="106">
        <v>215</v>
      </c>
      <c r="K411" s="106" t="s">
        <v>1471</v>
      </c>
      <c r="L411" s="106" t="s">
        <v>1287</v>
      </c>
      <c r="M411" s="106" t="s">
        <v>1486</v>
      </c>
      <c r="O411" s="106">
        <v>0</v>
      </c>
      <c r="S411" s="1" t="s">
        <v>1807</v>
      </c>
      <c r="T411" s="106">
        <v>2068</v>
      </c>
      <c r="U411">
        <v>150</v>
      </c>
      <c r="V411" s="106">
        <v>4907450.6279821601</v>
      </c>
      <c r="W411" s="106">
        <v>1</v>
      </c>
      <c r="X411" s="106">
        <v>1</v>
      </c>
      <c r="Y411" s="106">
        <v>2</v>
      </c>
      <c r="Z411" s="106">
        <v>1</v>
      </c>
      <c r="AA411" s="106">
        <v>980000</v>
      </c>
      <c r="AB411" s="106">
        <v>980000</v>
      </c>
      <c r="AC411" s="106">
        <v>2000000</v>
      </c>
      <c r="AD411" s="106">
        <v>980000</v>
      </c>
      <c r="AE411" s="106">
        <v>4940000</v>
      </c>
      <c r="AF411" s="106">
        <v>9880000</v>
      </c>
      <c r="AH411" s="106">
        <v>86400</v>
      </c>
      <c r="AI411" s="106">
        <v>9.5000000000000001E-2</v>
      </c>
      <c r="AJ411" s="106">
        <v>9</v>
      </c>
      <c r="AK411" s="106">
        <v>864</v>
      </c>
      <c r="AL411" s="106">
        <v>7776</v>
      </c>
      <c r="AM411" s="106">
        <v>70828</v>
      </c>
      <c r="AN411" s="106">
        <v>141656</v>
      </c>
      <c r="AO411" s="106">
        <v>42176</v>
      </c>
      <c r="AP411" s="106" t="s">
        <v>131</v>
      </c>
      <c r="AQ411" s="106" t="s">
        <v>495</v>
      </c>
      <c r="AR411" s="106">
        <v>4207</v>
      </c>
      <c r="AS411" s="106">
        <v>1200</v>
      </c>
      <c r="AT411" s="106">
        <v>2400</v>
      </c>
      <c r="AY411" s="108">
        <v>0</v>
      </c>
      <c r="BD411" s="106">
        <v>0</v>
      </c>
      <c r="BY411" s="112" t="s">
        <v>1766</v>
      </c>
      <c r="BZ411" s="112" t="s">
        <v>1766</v>
      </c>
      <c r="CA411" s="112" t="s">
        <v>1766</v>
      </c>
      <c r="CB411" s="112" t="s">
        <v>1766</v>
      </c>
      <c r="CC411" s="112" t="s">
        <v>1766</v>
      </c>
      <c r="CD411" s="112" t="s">
        <v>1766</v>
      </c>
      <c r="CE411" s="112" t="s">
        <v>1766</v>
      </c>
      <c r="CF411" s="112" t="s">
        <v>1766</v>
      </c>
      <c r="CG411" s="112" t="s">
        <v>1766</v>
      </c>
      <c r="CH411" s="112" t="s">
        <v>1766</v>
      </c>
      <c r="CI411" s="112" t="s">
        <v>1766</v>
      </c>
      <c r="CJ411" s="112" t="s">
        <v>1766</v>
      </c>
      <c r="CK411" s="112" t="s">
        <v>1766</v>
      </c>
      <c r="CL411" s="112" t="s">
        <v>1766</v>
      </c>
      <c r="CM411" s="112" t="s">
        <v>1766</v>
      </c>
      <c r="CN411" s="112" t="s">
        <v>1766</v>
      </c>
      <c r="CO411" s="112" t="s">
        <v>1766</v>
      </c>
    </row>
    <row r="412" spans="1:93">
      <c r="A412" s="106" t="s">
        <v>940</v>
      </c>
      <c r="B412" s="106">
        <v>21</v>
      </c>
      <c r="C412" s="106">
        <v>2</v>
      </c>
      <c r="D412" s="106">
        <v>5</v>
      </c>
      <c r="E412" s="106">
        <v>2</v>
      </c>
      <c r="F412" s="106">
        <v>1</v>
      </c>
      <c r="G412" s="106" t="s">
        <v>66</v>
      </c>
      <c r="H412" s="106" t="s">
        <v>418</v>
      </c>
      <c r="I412" s="106">
        <v>201</v>
      </c>
      <c r="J412" s="106">
        <v>215</v>
      </c>
      <c r="K412" s="106" t="s">
        <v>1471</v>
      </c>
      <c r="L412" s="106" t="s">
        <v>1291</v>
      </c>
      <c r="M412" s="106" t="s">
        <v>1487</v>
      </c>
      <c r="O412" s="106">
        <v>0</v>
      </c>
      <c r="S412" s="1" t="s">
        <v>1807</v>
      </c>
      <c r="T412" s="106">
        <v>2068</v>
      </c>
      <c r="U412">
        <v>170</v>
      </c>
      <c r="V412" s="106">
        <v>6281536.8038171697</v>
      </c>
      <c r="W412" s="106">
        <v>1</v>
      </c>
      <c r="X412" s="106">
        <v>1</v>
      </c>
      <c r="Y412" s="106">
        <v>2</v>
      </c>
      <c r="Z412" s="106">
        <v>1</v>
      </c>
      <c r="AA412" s="106">
        <v>1300000</v>
      </c>
      <c r="AB412" s="106">
        <v>1300000</v>
      </c>
      <c r="AC412" s="106">
        <v>2500000</v>
      </c>
      <c r="AD412" s="106">
        <v>1300000</v>
      </c>
      <c r="AE412" s="106">
        <v>6400000</v>
      </c>
      <c r="AF412" s="106">
        <v>12800000</v>
      </c>
      <c r="AH412" s="106">
        <v>115200</v>
      </c>
      <c r="AI412" s="106">
        <v>0.11</v>
      </c>
      <c r="AJ412" s="106">
        <v>10</v>
      </c>
      <c r="AK412" s="106">
        <v>1152</v>
      </c>
      <c r="AL412" s="106">
        <v>11520</v>
      </c>
      <c r="AM412" s="106">
        <v>91963</v>
      </c>
      <c r="AN412" s="106">
        <v>183926</v>
      </c>
      <c r="AO412" s="106">
        <v>54739</v>
      </c>
      <c r="AP412" s="106" t="s">
        <v>131</v>
      </c>
      <c r="AQ412" s="106" t="s">
        <v>495</v>
      </c>
      <c r="AR412" s="106">
        <v>4207</v>
      </c>
      <c r="AS412" s="106">
        <v>1300</v>
      </c>
      <c r="AT412" s="106">
        <v>2600</v>
      </c>
      <c r="AY412" s="108">
        <v>0</v>
      </c>
      <c r="BD412" s="106">
        <v>0</v>
      </c>
      <c r="BY412" s="112" t="s">
        <v>1766</v>
      </c>
      <c r="BZ412" s="112" t="s">
        <v>1766</v>
      </c>
      <c r="CA412" s="112" t="s">
        <v>1766</v>
      </c>
      <c r="CB412" s="112" t="s">
        <v>1766</v>
      </c>
      <c r="CC412" s="112" t="s">
        <v>1766</v>
      </c>
      <c r="CD412" s="112" t="s">
        <v>1766</v>
      </c>
      <c r="CE412" s="112" t="s">
        <v>1766</v>
      </c>
      <c r="CF412" s="112" t="s">
        <v>1766</v>
      </c>
      <c r="CG412" s="112" t="s">
        <v>1766</v>
      </c>
      <c r="CH412" s="112" t="s">
        <v>1766</v>
      </c>
      <c r="CI412" s="112" t="s">
        <v>1766</v>
      </c>
      <c r="CJ412" s="112" t="s">
        <v>1766</v>
      </c>
      <c r="CK412" s="112" t="s">
        <v>1766</v>
      </c>
      <c r="CL412" s="112" t="s">
        <v>1766</v>
      </c>
      <c r="CM412" s="112" t="s">
        <v>1766</v>
      </c>
      <c r="CN412" s="112" t="s">
        <v>1766</v>
      </c>
      <c r="CO412" s="112" t="s">
        <v>1766</v>
      </c>
    </row>
    <row r="413" spans="1:93">
      <c r="A413" s="106" t="s">
        <v>940</v>
      </c>
      <c r="B413" s="106">
        <v>22</v>
      </c>
      <c r="C413" s="106">
        <v>2</v>
      </c>
      <c r="D413" s="106">
        <v>5</v>
      </c>
      <c r="E413" s="106">
        <v>2</v>
      </c>
      <c r="F413" s="106">
        <v>1</v>
      </c>
      <c r="G413" s="106" t="s">
        <v>66</v>
      </c>
      <c r="H413" s="106" t="s">
        <v>418</v>
      </c>
      <c r="I413" s="106">
        <v>201</v>
      </c>
      <c r="J413" s="106">
        <v>215</v>
      </c>
      <c r="K413" s="106" t="s">
        <v>1471</v>
      </c>
      <c r="L413" s="106" t="s">
        <v>1295</v>
      </c>
      <c r="M413" s="106" t="s">
        <v>1488</v>
      </c>
      <c r="O413" s="106">
        <v>0</v>
      </c>
      <c r="S413" s="1" t="s">
        <v>1807</v>
      </c>
      <c r="T413" s="106">
        <v>2068</v>
      </c>
      <c r="U413">
        <v>185</v>
      </c>
      <c r="V413" s="106">
        <v>8040367.10888597</v>
      </c>
      <c r="W413" s="106">
        <v>1</v>
      </c>
      <c r="X413" s="106">
        <v>1</v>
      </c>
      <c r="Y413" s="106">
        <v>2</v>
      </c>
      <c r="Z413" s="106">
        <v>1</v>
      </c>
      <c r="AA413" s="106">
        <v>1600000</v>
      </c>
      <c r="AB413" s="106">
        <v>1600000</v>
      </c>
      <c r="AC413" s="106">
        <v>3200000</v>
      </c>
      <c r="AD413" s="106">
        <v>1600000</v>
      </c>
      <c r="AE413" s="106">
        <v>8000000</v>
      </c>
      <c r="AF413" s="106">
        <v>16000000</v>
      </c>
      <c r="AH413" s="106">
        <v>151200</v>
      </c>
      <c r="AI413" s="106">
        <v>0.125</v>
      </c>
      <c r="AJ413" s="106">
        <v>10</v>
      </c>
      <c r="AK413" s="106">
        <v>1512</v>
      </c>
      <c r="AL413" s="106">
        <v>15120</v>
      </c>
      <c r="AM413" s="106">
        <v>118980</v>
      </c>
      <c r="AN413" s="106">
        <v>237960</v>
      </c>
      <c r="AO413" s="106">
        <v>70820</v>
      </c>
      <c r="AP413" s="106" t="s">
        <v>131</v>
      </c>
      <c r="AQ413" s="106" t="s">
        <v>495</v>
      </c>
      <c r="AR413" s="106">
        <v>4207</v>
      </c>
      <c r="AS413" s="106">
        <v>1400</v>
      </c>
      <c r="AT413" s="106">
        <v>2800</v>
      </c>
      <c r="AY413" s="108">
        <v>0</v>
      </c>
      <c r="BD413" s="106">
        <v>0</v>
      </c>
      <c r="BY413" s="112" t="s">
        <v>1766</v>
      </c>
      <c r="BZ413" s="112" t="s">
        <v>1766</v>
      </c>
      <c r="CA413" s="112" t="s">
        <v>1766</v>
      </c>
      <c r="CB413" s="112" t="s">
        <v>1766</v>
      </c>
      <c r="CC413" s="112" t="s">
        <v>1766</v>
      </c>
      <c r="CD413" s="112" t="s">
        <v>1766</v>
      </c>
      <c r="CE413" s="112" t="s">
        <v>1766</v>
      </c>
      <c r="CF413" s="112" t="s">
        <v>1766</v>
      </c>
      <c r="CG413" s="112" t="s">
        <v>1766</v>
      </c>
      <c r="CH413" s="112" t="s">
        <v>1766</v>
      </c>
      <c r="CI413" s="112" t="s">
        <v>1766</v>
      </c>
      <c r="CJ413" s="112" t="s">
        <v>1766</v>
      </c>
      <c r="CK413" s="112" t="s">
        <v>1766</v>
      </c>
      <c r="CL413" s="112" t="s">
        <v>1766</v>
      </c>
      <c r="CM413" s="112" t="s">
        <v>1766</v>
      </c>
      <c r="CN413" s="112" t="s">
        <v>1766</v>
      </c>
      <c r="CO413" s="112" t="s">
        <v>1766</v>
      </c>
    </row>
    <row r="414" spans="1:93">
      <c r="A414" s="106" t="s">
        <v>940</v>
      </c>
      <c r="B414" s="106">
        <v>23</v>
      </c>
      <c r="C414" s="106">
        <v>2</v>
      </c>
      <c r="D414" s="106">
        <v>5</v>
      </c>
      <c r="E414" s="106">
        <v>2</v>
      </c>
      <c r="F414" s="106">
        <v>1</v>
      </c>
      <c r="G414" s="106" t="s">
        <v>66</v>
      </c>
      <c r="H414" s="106" t="s">
        <v>418</v>
      </c>
      <c r="I414" s="106">
        <v>201</v>
      </c>
      <c r="J414" s="106">
        <v>215</v>
      </c>
      <c r="K414" s="106" t="s">
        <v>1471</v>
      </c>
      <c r="L414" s="106" t="s">
        <v>1298</v>
      </c>
      <c r="M414" s="106" t="s">
        <v>1489</v>
      </c>
      <c r="O414" s="106">
        <v>0</v>
      </c>
      <c r="S414" s="1" t="s">
        <v>1807</v>
      </c>
      <c r="T414" s="106">
        <v>2068</v>
      </c>
      <c r="U414">
        <v>205</v>
      </c>
      <c r="V414" s="106">
        <v>10291669.899374001</v>
      </c>
      <c r="W414" s="106">
        <v>1</v>
      </c>
      <c r="X414" s="106">
        <v>1</v>
      </c>
      <c r="Y414" s="106">
        <v>2</v>
      </c>
      <c r="Z414" s="106">
        <v>1</v>
      </c>
      <c r="AA414" s="106">
        <v>2100000</v>
      </c>
      <c r="AB414" s="106">
        <v>2100000</v>
      </c>
      <c r="AC414" s="106">
        <v>4100000</v>
      </c>
      <c r="AD414" s="106">
        <v>2100000</v>
      </c>
      <c r="AE414" s="106">
        <v>10400000</v>
      </c>
      <c r="AF414" s="106">
        <v>20800000</v>
      </c>
      <c r="AH414" s="106">
        <v>194400</v>
      </c>
      <c r="AI414" s="106">
        <v>0.125</v>
      </c>
      <c r="AJ414" s="106">
        <v>11</v>
      </c>
      <c r="AK414" s="106">
        <v>1944</v>
      </c>
      <c r="AL414" s="106">
        <v>21384</v>
      </c>
      <c r="AM414" s="106">
        <v>151116</v>
      </c>
      <c r="AN414" s="106">
        <v>302232</v>
      </c>
      <c r="AO414" s="106">
        <v>91403</v>
      </c>
      <c r="AP414" s="106" t="s">
        <v>131</v>
      </c>
      <c r="AQ414" s="106" t="s">
        <v>495</v>
      </c>
      <c r="AR414" s="106">
        <v>4207</v>
      </c>
      <c r="AS414" s="106">
        <v>1500</v>
      </c>
      <c r="AT414" s="106">
        <v>3000</v>
      </c>
      <c r="AY414" s="108">
        <v>0</v>
      </c>
      <c r="BD414" s="106">
        <v>0</v>
      </c>
      <c r="BY414" s="112" t="s">
        <v>1766</v>
      </c>
      <c r="BZ414" s="112" t="s">
        <v>1766</v>
      </c>
      <c r="CA414" s="112" t="s">
        <v>1766</v>
      </c>
      <c r="CB414" s="112" t="s">
        <v>1766</v>
      </c>
      <c r="CC414" s="112" t="s">
        <v>1766</v>
      </c>
      <c r="CD414" s="112" t="s">
        <v>1766</v>
      </c>
      <c r="CE414" s="112" t="s">
        <v>1766</v>
      </c>
      <c r="CF414" s="112" t="s">
        <v>1766</v>
      </c>
      <c r="CG414" s="112" t="s">
        <v>1766</v>
      </c>
      <c r="CH414" s="112" t="s">
        <v>1766</v>
      </c>
      <c r="CI414" s="112" t="s">
        <v>1766</v>
      </c>
      <c r="CJ414" s="112" t="s">
        <v>1766</v>
      </c>
      <c r="CK414" s="112" t="s">
        <v>1766</v>
      </c>
      <c r="CL414" s="112" t="s">
        <v>1766</v>
      </c>
      <c r="CM414" s="112" t="s">
        <v>1766</v>
      </c>
      <c r="CN414" s="112" t="s">
        <v>1766</v>
      </c>
      <c r="CO414" s="112" t="s">
        <v>1766</v>
      </c>
    </row>
    <row r="415" spans="1:93">
      <c r="A415" s="106" t="s">
        <v>940</v>
      </c>
      <c r="B415" s="106">
        <v>24</v>
      </c>
      <c r="C415" s="106">
        <v>2</v>
      </c>
      <c r="D415" s="106">
        <v>5</v>
      </c>
      <c r="E415" s="106">
        <v>2</v>
      </c>
      <c r="F415" s="106">
        <v>1</v>
      </c>
      <c r="G415" s="106" t="s">
        <v>66</v>
      </c>
      <c r="H415" s="106" t="s">
        <v>418</v>
      </c>
      <c r="I415" s="106">
        <v>201</v>
      </c>
      <c r="J415" s="106">
        <v>215</v>
      </c>
      <c r="K415" s="106" t="s">
        <v>1471</v>
      </c>
      <c r="L415" s="106" t="s">
        <v>1302</v>
      </c>
      <c r="M415" s="106" t="s">
        <v>1490</v>
      </c>
      <c r="O415" s="106">
        <v>0</v>
      </c>
      <c r="S415" s="1" t="s">
        <v>1807</v>
      </c>
      <c r="T415" s="106">
        <v>2068</v>
      </c>
      <c r="U415">
        <v>225</v>
      </c>
      <c r="V415" s="106">
        <v>13173337.471198799</v>
      </c>
      <c r="W415" s="106">
        <v>1</v>
      </c>
      <c r="X415" s="106">
        <v>1</v>
      </c>
      <c r="Y415" s="106">
        <v>2</v>
      </c>
      <c r="Z415" s="106">
        <v>1</v>
      </c>
      <c r="AA415" s="106">
        <v>2600000</v>
      </c>
      <c r="AB415" s="106">
        <v>2600000</v>
      </c>
      <c r="AC415" s="106">
        <v>5300000</v>
      </c>
      <c r="AD415" s="106">
        <v>2600000</v>
      </c>
      <c r="AE415" s="106">
        <v>13100000</v>
      </c>
      <c r="AF415" s="106">
        <v>26200000</v>
      </c>
      <c r="AH415" s="106">
        <v>248400</v>
      </c>
      <c r="AI415" s="106">
        <v>0.125</v>
      </c>
      <c r="AJ415" s="106">
        <v>12</v>
      </c>
      <c r="AK415" s="106">
        <v>2484</v>
      </c>
      <c r="AL415" s="106">
        <v>29808</v>
      </c>
      <c r="AM415" s="106">
        <v>190692</v>
      </c>
      <c r="AN415" s="106">
        <v>381384</v>
      </c>
      <c r="AO415" s="106">
        <v>117750</v>
      </c>
      <c r="AP415" s="106" t="s">
        <v>131</v>
      </c>
      <c r="AQ415" s="106" t="s">
        <v>495</v>
      </c>
      <c r="AR415" s="106">
        <v>4207</v>
      </c>
      <c r="AS415" s="106">
        <v>1600</v>
      </c>
      <c r="AT415" s="106">
        <v>3200</v>
      </c>
      <c r="AY415" s="108">
        <v>0</v>
      </c>
      <c r="BD415" s="106">
        <v>0</v>
      </c>
      <c r="BY415" s="112" t="s">
        <v>1766</v>
      </c>
      <c r="BZ415" s="112" t="s">
        <v>1766</v>
      </c>
      <c r="CA415" s="112" t="s">
        <v>1766</v>
      </c>
      <c r="CB415" s="112" t="s">
        <v>1766</v>
      </c>
      <c r="CC415" s="112" t="s">
        <v>1766</v>
      </c>
      <c r="CD415" s="112" t="s">
        <v>1766</v>
      </c>
      <c r="CE415" s="112" t="s">
        <v>1766</v>
      </c>
      <c r="CF415" s="112" t="s">
        <v>1766</v>
      </c>
      <c r="CG415" s="112" t="s">
        <v>1766</v>
      </c>
      <c r="CH415" s="112" t="s">
        <v>1766</v>
      </c>
      <c r="CI415" s="112" t="s">
        <v>1766</v>
      </c>
      <c r="CJ415" s="112" t="s">
        <v>1766</v>
      </c>
      <c r="CK415" s="112" t="s">
        <v>1766</v>
      </c>
      <c r="CL415" s="112" t="s">
        <v>1766</v>
      </c>
      <c r="CM415" s="112" t="s">
        <v>1766</v>
      </c>
      <c r="CN415" s="112" t="s">
        <v>1766</v>
      </c>
      <c r="CO415" s="112" t="s">
        <v>1766</v>
      </c>
    </row>
    <row r="416" spans="1:93">
      <c r="A416" s="106" t="s">
        <v>940</v>
      </c>
      <c r="B416" s="106">
        <v>25</v>
      </c>
      <c r="C416" s="106">
        <v>2</v>
      </c>
      <c r="D416" s="106">
        <v>5</v>
      </c>
      <c r="E416" s="106">
        <v>2</v>
      </c>
      <c r="F416" s="106">
        <v>1</v>
      </c>
      <c r="G416" s="106" t="s">
        <v>66</v>
      </c>
      <c r="H416" s="106" t="s">
        <v>418</v>
      </c>
      <c r="I416" s="106">
        <v>201</v>
      </c>
      <c r="J416" s="106">
        <v>215</v>
      </c>
      <c r="K416" s="106" t="s">
        <v>1471</v>
      </c>
      <c r="L416" s="106" t="s">
        <v>1305</v>
      </c>
      <c r="M416" s="106" t="s">
        <v>1491</v>
      </c>
      <c r="O416" s="106">
        <v>0</v>
      </c>
      <c r="S416" s="1" t="s">
        <v>1807</v>
      </c>
      <c r="T416" s="106">
        <v>2068</v>
      </c>
      <c r="U416">
        <v>245</v>
      </c>
      <c r="V416" s="106">
        <v>16861871.963134401</v>
      </c>
      <c r="W416" s="106">
        <v>1</v>
      </c>
      <c r="X416" s="106">
        <v>1</v>
      </c>
      <c r="Y416" s="106">
        <v>2</v>
      </c>
      <c r="Z416" s="106">
        <v>1</v>
      </c>
      <c r="AA416" s="106">
        <v>3400000</v>
      </c>
      <c r="AB416" s="106">
        <v>3400000</v>
      </c>
      <c r="AC416" s="106">
        <v>6700000</v>
      </c>
      <c r="AD416" s="106">
        <v>3400000</v>
      </c>
      <c r="AE416" s="106">
        <v>16900000</v>
      </c>
      <c r="AF416" s="106">
        <v>33800000</v>
      </c>
      <c r="AH416" s="106">
        <v>313200</v>
      </c>
      <c r="AI416" s="106">
        <v>0.125</v>
      </c>
      <c r="AJ416" s="106">
        <v>13</v>
      </c>
      <c r="AK416" s="106">
        <v>3132</v>
      </c>
      <c r="AL416" s="106">
        <v>40716</v>
      </c>
      <c r="AM416" s="106">
        <v>237384</v>
      </c>
      <c r="AN416" s="106">
        <v>474768</v>
      </c>
      <c r="AO416" s="106">
        <v>151473</v>
      </c>
      <c r="AP416" s="106" t="s">
        <v>131</v>
      </c>
      <c r="AQ416" s="106" t="s">
        <v>495</v>
      </c>
      <c r="AR416" s="106">
        <v>4207</v>
      </c>
      <c r="AS416" s="106">
        <v>1700</v>
      </c>
      <c r="AT416" s="106">
        <v>3400</v>
      </c>
      <c r="AY416" s="108">
        <v>0</v>
      </c>
      <c r="BD416" s="106">
        <v>0</v>
      </c>
      <c r="BY416" s="112" t="s">
        <v>1766</v>
      </c>
      <c r="BZ416" s="112" t="s">
        <v>1766</v>
      </c>
      <c r="CA416" s="112" t="s">
        <v>1766</v>
      </c>
      <c r="CB416" s="112" t="s">
        <v>1766</v>
      </c>
      <c r="CC416" s="112" t="s">
        <v>1766</v>
      </c>
      <c r="CD416" s="112" t="s">
        <v>1766</v>
      </c>
      <c r="CE416" s="112" t="s">
        <v>1766</v>
      </c>
      <c r="CF416" s="112" t="s">
        <v>1766</v>
      </c>
      <c r="CG416" s="112" t="s">
        <v>1766</v>
      </c>
      <c r="CH416" s="112" t="s">
        <v>1766</v>
      </c>
      <c r="CI416" s="112" t="s">
        <v>1766</v>
      </c>
      <c r="CJ416" s="112" t="s">
        <v>1766</v>
      </c>
      <c r="CK416" s="112" t="s">
        <v>1766</v>
      </c>
      <c r="CL416" s="112" t="s">
        <v>1766</v>
      </c>
      <c r="CM416" s="112" t="s">
        <v>1766</v>
      </c>
      <c r="CN416" s="112" t="s">
        <v>1766</v>
      </c>
      <c r="CO416" s="112" t="s">
        <v>1766</v>
      </c>
    </row>
    <row r="417" spans="1:93">
      <c r="A417" s="106" t="s">
        <v>940</v>
      </c>
      <c r="B417" s="106">
        <v>26</v>
      </c>
      <c r="C417" s="106">
        <v>2</v>
      </c>
      <c r="D417" s="106">
        <v>5</v>
      </c>
      <c r="E417" s="106">
        <v>2</v>
      </c>
      <c r="F417" s="106">
        <v>1</v>
      </c>
      <c r="G417" s="106" t="s">
        <v>66</v>
      </c>
      <c r="H417" s="106" t="s">
        <v>418</v>
      </c>
      <c r="I417" s="106">
        <v>201</v>
      </c>
      <c r="J417" s="106">
        <v>215</v>
      </c>
      <c r="K417" s="106" t="s">
        <v>1471</v>
      </c>
      <c r="L417" s="106" t="s">
        <v>1308</v>
      </c>
      <c r="M417" s="106" t="s">
        <v>1492</v>
      </c>
      <c r="O417" s="106">
        <v>0</v>
      </c>
      <c r="S417" s="1" t="s">
        <v>1807</v>
      </c>
      <c r="T417" s="106">
        <v>2068</v>
      </c>
      <c r="U417">
        <v>265</v>
      </c>
      <c r="V417" s="106">
        <v>21583196.112812102</v>
      </c>
      <c r="W417" s="106">
        <v>1</v>
      </c>
      <c r="X417" s="106">
        <v>1</v>
      </c>
      <c r="Y417" s="106">
        <v>2</v>
      </c>
      <c r="Z417" s="106">
        <v>1</v>
      </c>
      <c r="AA417" s="106">
        <v>4300000</v>
      </c>
      <c r="AB417" s="106">
        <v>4300000</v>
      </c>
      <c r="AC417" s="106">
        <v>8600000</v>
      </c>
      <c r="AD417" s="106">
        <v>4300000</v>
      </c>
      <c r="AE417" s="106">
        <v>21500000</v>
      </c>
      <c r="AF417" s="106">
        <v>43000000</v>
      </c>
      <c r="AH417" s="106">
        <v>388800</v>
      </c>
      <c r="AI417" s="106">
        <v>0.14499999999999999</v>
      </c>
      <c r="AJ417" s="106">
        <v>14</v>
      </c>
      <c r="AK417" s="106">
        <v>3888</v>
      </c>
      <c r="AL417" s="106">
        <v>54432</v>
      </c>
      <c r="AM417" s="106">
        <v>284831</v>
      </c>
      <c r="AN417" s="106">
        <v>569662</v>
      </c>
      <c r="AO417" s="106">
        <v>194640</v>
      </c>
      <c r="AP417" s="106" t="s">
        <v>131</v>
      </c>
      <c r="AQ417" s="106" t="s">
        <v>495</v>
      </c>
      <c r="AR417" s="106">
        <v>4207</v>
      </c>
      <c r="AS417" s="106">
        <v>1820</v>
      </c>
      <c r="AT417" s="106">
        <v>3640</v>
      </c>
      <c r="AY417" s="108">
        <v>0</v>
      </c>
      <c r="BD417" s="106">
        <v>0</v>
      </c>
      <c r="BY417" s="112" t="s">
        <v>1766</v>
      </c>
      <c r="BZ417" s="112" t="s">
        <v>1766</v>
      </c>
      <c r="CA417" s="112" t="s">
        <v>1766</v>
      </c>
      <c r="CB417" s="112" t="s">
        <v>1766</v>
      </c>
      <c r="CC417" s="112" t="s">
        <v>1766</v>
      </c>
      <c r="CD417" s="112" t="s">
        <v>1766</v>
      </c>
      <c r="CE417" s="112" t="s">
        <v>1766</v>
      </c>
      <c r="CF417" s="112" t="s">
        <v>1766</v>
      </c>
      <c r="CG417" s="112" t="s">
        <v>1766</v>
      </c>
      <c r="CH417" s="112" t="s">
        <v>1766</v>
      </c>
      <c r="CI417" s="112" t="s">
        <v>1766</v>
      </c>
      <c r="CJ417" s="112" t="s">
        <v>1766</v>
      </c>
      <c r="CK417" s="112" t="s">
        <v>1766</v>
      </c>
      <c r="CL417" s="112" t="s">
        <v>1766</v>
      </c>
      <c r="CM417" s="112" t="s">
        <v>1766</v>
      </c>
      <c r="CN417" s="112" t="s">
        <v>1766</v>
      </c>
      <c r="CO417" s="112" t="s">
        <v>1766</v>
      </c>
    </row>
    <row r="418" spans="1:93">
      <c r="A418" s="106" t="s">
        <v>940</v>
      </c>
      <c r="B418" s="106">
        <v>27</v>
      </c>
      <c r="C418" s="106">
        <v>2</v>
      </c>
      <c r="D418" s="106">
        <v>5</v>
      </c>
      <c r="E418" s="106">
        <v>2</v>
      </c>
      <c r="F418" s="106">
        <v>1</v>
      </c>
      <c r="G418" s="106" t="s">
        <v>66</v>
      </c>
      <c r="H418" s="106" t="s">
        <v>418</v>
      </c>
      <c r="I418" s="106">
        <v>201</v>
      </c>
      <c r="J418" s="106">
        <v>215</v>
      </c>
      <c r="K418" s="106" t="s">
        <v>1471</v>
      </c>
      <c r="L418" s="106" t="s">
        <v>1311</v>
      </c>
      <c r="M418" s="106" t="s">
        <v>1493</v>
      </c>
      <c r="O418" s="106">
        <v>0</v>
      </c>
      <c r="S418" s="1" t="s">
        <v>1807</v>
      </c>
      <c r="T418" s="106">
        <v>2068</v>
      </c>
      <c r="U418">
        <v>290</v>
      </c>
      <c r="V418" s="106">
        <v>27626491.0243995</v>
      </c>
      <c r="W418" s="106">
        <v>1</v>
      </c>
      <c r="X418" s="106">
        <v>1</v>
      </c>
      <c r="Y418" s="106">
        <v>2</v>
      </c>
      <c r="Z418" s="106">
        <v>1</v>
      </c>
      <c r="AA418" s="106">
        <v>5500000</v>
      </c>
      <c r="AB418" s="106">
        <v>5500000</v>
      </c>
      <c r="AC418" s="106">
        <v>11000000</v>
      </c>
      <c r="AD418" s="106">
        <v>5500000</v>
      </c>
      <c r="AE418" s="106">
        <v>27500000</v>
      </c>
      <c r="AF418" s="106">
        <v>55000000</v>
      </c>
      <c r="AH418" s="106">
        <v>475200</v>
      </c>
      <c r="AI418" s="106">
        <v>0.16500000000000001</v>
      </c>
      <c r="AJ418" s="106">
        <v>15</v>
      </c>
      <c r="AK418" s="106">
        <v>4752</v>
      </c>
      <c r="AL418" s="106">
        <v>71280</v>
      </c>
      <c r="AM418" s="106">
        <v>336316</v>
      </c>
      <c r="AN418" s="106">
        <v>672632</v>
      </c>
      <c r="AO418" s="106">
        <v>249893</v>
      </c>
      <c r="AP418" s="106" t="s">
        <v>131</v>
      </c>
      <c r="AQ418" s="106" t="s">
        <v>495</v>
      </c>
      <c r="AR418" s="106">
        <v>4207</v>
      </c>
      <c r="AS418" s="106">
        <v>1970</v>
      </c>
      <c r="AT418" s="106">
        <v>3940</v>
      </c>
      <c r="AY418" s="108">
        <v>0</v>
      </c>
      <c r="BD418" s="106">
        <v>0</v>
      </c>
      <c r="BY418" s="112" t="s">
        <v>1766</v>
      </c>
      <c r="BZ418" s="112" t="s">
        <v>1766</v>
      </c>
      <c r="CA418" s="112" t="s">
        <v>1766</v>
      </c>
      <c r="CB418" s="112" t="s">
        <v>1766</v>
      </c>
      <c r="CC418" s="112" t="s">
        <v>1766</v>
      </c>
      <c r="CD418" s="112" t="s">
        <v>1766</v>
      </c>
      <c r="CE418" s="112" t="s">
        <v>1766</v>
      </c>
      <c r="CF418" s="112" t="s">
        <v>1766</v>
      </c>
      <c r="CG418" s="112" t="s">
        <v>1766</v>
      </c>
      <c r="CH418" s="112" t="s">
        <v>1766</v>
      </c>
      <c r="CI418" s="112" t="s">
        <v>1766</v>
      </c>
      <c r="CJ418" s="112" t="s">
        <v>1766</v>
      </c>
      <c r="CK418" s="112" t="s">
        <v>1766</v>
      </c>
      <c r="CL418" s="112" t="s">
        <v>1766</v>
      </c>
      <c r="CM418" s="112" t="s">
        <v>1766</v>
      </c>
      <c r="CN418" s="112" t="s">
        <v>1766</v>
      </c>
      <c r="CO418" s="112" t="s">
        <v>1766</v>
      </c>
    </row>
    <row r="419" spans="1:93">
      <c r="A419" s="106" t="s">
        <v>940</v>
      </c>
      <c r="B419" s="106">
        <v>28</v>
      </c>
      <c r="C419" s="106">
        <v>2</v>
      </c>
      <c r="D419" s="106">
        <v>5</v>
      </c>
      <c r="E419" s="106">
        <v>2</v>
      </c>
      <c r="F419" s="106">
        <v>1</v>
      </c>
      <c r="G419" s="106" t="s">
        <v>66</v>
      </c>
      <c r="H419" s="106" t="s">
        <v>418</v>
      </c>
      <c r="I419" s="106">
        <v>201</v>
      </c>
      <c r="J419" s="106">
        <v>215</v>
      </c>
      <c r="K419" s="106" t="s">
        <v>1471</v>
      </c>
      <c r="L419" s="106" t="s">
        <v>1314</v>
      </c>
      <c r="M419" s="106" t="s">
        <v>1494</v>
      </c>
      <c r="O419" s="106">
        <v>0</v>
      </c>
      <c r="S419" s="1" t="s">
        <v>1807</v>
      </c>
      <c r="T419" s="106">
        <v>2068</v>
      </c>
      <c r="U419">
        <v>310</v>
      </c>
      <c r="V419" s="106">
        <v>35361908.511231303</v>
      </c>
      <c r="W419" s="106">
        <v>1</v>
      </c>
      <c r="X419" s="106">
        <v>1</v>
      </c>
      <c r="Y419" s="106">
        <v>2</v>
      </c>
      <c r="Z419" s="106">
        <v>1</v>
      </c>
      <c r="AA419" s="106">
        <v>7100000</v>
      </c>
      <c r="AB419" s="106">
        <v>7100000</v>
      </c>
      <c r="AC419" s="106">
        <v>14000000</v>
      </c>
      <c r="AD419" s="106">
        <v>7100000</v>
      </c>
      <c r="AE419" s="106">
        <v>35300000</v>
      </c>
      <c r="AF419" s="106">
        <v>70600000</v>
      </c>
      <c r="AH419" s="106">
        <v>583200</v>
      </c>
      <c r="AI419" s="106">
        <v>0.185</v>
      </c>
      <c r="AJ419" s="106">
        <v>16</v>
      </c>
      <c r="AK419" s="106">
        <v>5832</v>
      </c>
      <c r="AL419" s="106">
        <v>93312</v>
      </c>
      <c r="AM419" s="106">
        <v>398539</v>
      </c>
      <c r="AN419" s="106">
        <v>797078</v>
      </c>
      <c r="AO419" s="106">
        <v>320616</v>
      </c>
      <c r="AP419" s="106" t="s">
        <v>131</v>
      </c>
      <c r="AQ419" s="106" t="s">
        <v>495</v>
      </c>
      <c r="AR419" s="106">
        <v>4207</v>
      </c>
      <c r="AS419" s="106">
        <v>2160</v>
      </c>
      <c r="AT419" s="106">
        <v>4320</v>
      </c>
      <c r="AY419" s="108">
        <v>0</v>
      </c>
      <c r="BD419" s="106">
        <v>0</v>
      </c>
      <c r="BY419" s="112" t="s">
        <v>1766</v>
      </c>
      <c r="BZ419" s="112" t="s">
        <v>1766</v>
      </c>
      <c r="CA419" s="112" t="s">
        <v>1766</v>
      </c>
      <c r="CB419" s="112" t="s">
        <v>1766</v>
      </c>
      <c r="CC419" s="112" t="s">
        <v>1766</v>
      </c>
      <c r="CD419" s="112" t="s">
        <v>1766</v>
      </c>
      <c r="CE419" s="112" t="s">
        <v>1766</v>
      </c>
      <c r="CF419" s="112" t="s">
        <v>1766</v>
      </c>
      <c r="CG419" s="112" t="s">
        <v>1766</v>
      </c>
      <c r="CH419" s="112" t="s">
        <v>1766</v>
      </c>
      <c r="CI419" s="112" t="s">
        <v>1766</v>
      </c>
      <c r="CJ419" s="112" t="s">
        <v>1766</v>
      </c>
      <c r="CK419" s="112" t="s">
        <v>1766</v>
      </c>
      <c r="CL419" s="112" t="s">
        <v>1766</v>
      </c>
      <c r="CM419" s="112" t="s">
        <v>1766</v>
      </c>
      <c r="CN419" s="112" t="s">
        <v>1766</v>
      </c>
      <c r="CO419" s="112" t="s">
        <v>1766</v>
      </c>
    </row>
    <row r="420" spans="1:93">
      <c r="A420" s="106" t="s">
        <v>940</v>
      </c>
      <c r="B420" s="106">
        <v>29</v>
      </c>
      <c r="C420" s="106">
        <v>2</v>
      </c>
      <c r="D420" s="106">
        <v>5</v>
      </c>
      <c r="E420" s="106">
        <v>2</v>
      </c>
      <c r="F420" s="106">
        <v>1</v>
      </c>
      <c r="G420" s="106" t="s">
        <v>66</v>
      </c>
      <c r="H420" s="106" t="s">
        <v>418</v>
      </c>
      <c r="I420" s="106">
        <v>201</v>
      </c>
      <c r="J420" s="106">
        <v>215</v>
      </c>
      <c r="K420" s="106" t="s">
        <v>1471</v>
      </c>
      <c r="L420" s="106" t="s">
        <v>1317</v>
      </c>
      <c r="M420" s="106" t="s">
        <v>1495</v>
      </c>
      <c r="O420" s="106">
        <v>0</v>
      </c>
      <c r="S420" s="1" t="s">
        <v>1807</v>
      </c>
      <c r="T420" s="106">
        <v>2068</v>
      </c>
      <c r="U420">
        <v>335</v>
      </c>
      <c r="V420" s="106">
        <v>45263242.894376099</v>
      </c>
      <c r="W420" s="106">
        <v>1</v>
      </c>
      <c r="X420" s="106">
        <v>1</v>
      </c>
      <c r="Y420" s="106">
        <v>2</v>
      </c>
      <c r="Z420" s="106">
        <v>1</v>
      </c>
      <c r="AA420" s="106">
        <v>9100000</v>
      </c>
      <c r="AB420" s="106">
        <v>9100000</v>
      </c>
      <c r="AC420" s="106">
        <v>18000000</v>
      </c>
      <c r="AD420" s="106">
        <v>9100000</v>
      </c>
      <c r="AE420" s="106">
        <v>45300000</v>
      </c>
      <c r="AF420" s="106">
        <v>90600000</v>
      </c>
      <c r="AH420" s="106">
        <v>712800</v>
      </c>
      <c r="AI420" s="106">
        <v>0.20499999999999999</v>
      </c>
      <c r="AJ420" s="106">
        <v>17</v>
      </c>
      <c r="AK420" s="106">
        <v>7128</v>
      </c>
      <c r="AL420" s="106">
        <v>121176</v>
      </c>
      <c r="AM420" s="106">
        <v>470059</v>
      </c>
      <c r="AN420" s="106">
        <v>940118</v>
      </c>
      <c r="AO420" s="106">
        <v>411143</v>
      </c>
      <c r="AP420" s="106" t="s">
        <v>131</v>
      </c>
      <c r="AQ420" s="106" t="s">
        <v>495</v>
      </c>
      <c r="AR420" s="106">
        <v>4207</v>
      </c>
      <c r="AS420" s="106">
        <v>2400</v>
      </c>
      <c r="AT420" s="106">
        <v>4800</v>
      </c>
      <c r="AY420" s="108">
        <v>0</v>
      </c>
      <c r="BD420" s="106">
        <v>0</v>
      </c>
      <c r="BY420" s="112" t="s">
        <v>1766</v>
      </c>
      <c r="BZ420" s="112" t="s">
        <v>1766</v>
      </c>
      <c r="CA420" s="112" t="s">
        <v>1766</v>
      </c>
      <c r="CB420" s="112" t="s">
        <v>1766</v>
      </c>
      <c r="CC420" s="112" t="s">
        <v>1766</v>
      </c>
      <c r="CD420" s="112" t="s">
        <v>1766</v>
      </c>
      <c r="CE420" s="112" t="s">
        <v>1766</v>
      </c>
      <c r="CF420" s="112" t="s">
        <v>1766</v>
      </c>
      <c r="CG420" s="112" t="s">
        <v>1766</v>
      </c>
      <c r="CH420" s="112" t="s">
        <v>1766</v>
      </c>
      <c r="CI420" s="112" t="s">
        <v>1766</v>
      </c>
      <c r="CJ420" s="112" t="s">
        <v>1766</v>
      </c>
      <c r="CK420" s="112" t="s">
        <v>1766</v>
      </c>
      <c r="CL420" s="112" t="s">
        <v>1766</v>
      </c>
      <c r="CM420" s="112" t="s">
        <v>1766</v>
      </c>
      <c r="CN420" s="112" t="s">
        <v>1766</v>
      </c>
      <c r="CO420" s="112" t="s">
        <v>1766</v>
      </c>
    </row>
    <row r="421" spans="1:93">
      <c r="A421" s="106" t="s">
        <v>940</v>
      </c>
      <c r="B421" s="106">
        <v>30</v>
      </c>
      <c r="C421" s="106">
        <v>2</v>
      </c>
      <c r="D421" s="106">
        <v>5</v>
      </c>
      <c r="E421" s="106">
        <v>2</v>
      </c>
      <c r="F421" s="106">
        <v>1</v>
      </c>
      <c r="G421" s="106" t="s">
        <v>66</v>
      </c>
      <c r="H421" s="106" t="s">
        <v>418</v>
      </c>
      <c r="I421" s="106">
        <v>201</v>
      </c>
      <c r="J421" s="106">
        <v>215</v>
      </c>
      <c r="K421" s="106" t="s">
        <v>1471</v>
      </c>
      <c r="L421" s="106" t="s">
        <v>1406</v>
      </c>
      <c r="M421" s="106" t="s">
        <v>1496</v>
      </c>
      <c r="O421" s="106">
        <v>0</v>
      </c>
      <c r="S421" s="1" t="s">
        <v>1807</v>
      </c>
      <c r="T421" s="106">
        <v>2068</v>
      </c>
      <c r="U421">
        <v>360</v>
      </c>
      <c r="V421" s="106">
        <v>57936950.904801399</v>
      </c>
      <c r="W421" s="106">
        <v>1</v>
      </c>
      <c r="X421" s="106">
        <v>1</v>
      </c>
      <c r="Y421" s="106">
        <v>2</v>
      </c>
      <c r="Z421" s="106">
        <v>1</v>
      </c>
      <c r="AA421" s="106">
        <v>12000000</v>
      </c>
      <c r="AB421" s="106">
        <v>12000000</v>
      </c>
      <c r="AC421" s="106">
        <v>23000000</v>
      </c>
      <c r="AD421" s="106">
        <v>12000000</v>
      </c>
      <c r="AE421" s="106">
        <v>59000000</v>
      </c>
      <c r="AF421" s="106">
        <v>118000000</v>
      </c>
      <c r="AH421" s="106">
        <v>864000</v>
      </c>
      <c r="AI421" s="106">
        <v>0.22500000000000001</v>
      </c>
      <c r="AJ421" s="106">
        <v>18</v>
      </c>
      <c r="AK421" s="106">
        <v>8640</v>
      </c>
      <c r="AL421" s="106">
        <v>155520</v>
      </c>
      <c r="AM421" s="106">
        <v>549486</v>
      </c>
      <c r="AN421" s="106">
        <v>1098972</v>
      </c>
      <c r="AO421" s="106">
        <v>527017</v>
      </c>
      <c r="AP421" s="106" t="s">
        <v>131</v>
      </c>
      <c r="AQ421" s="106" t="s">
        <v>495</v>
      </c>
      <c r="AR421" s="106">
        <v>4207</v>
      </c>
      <c r="AS421" s="106">
        <v>2700</v>
      </c>
      <c r="AT421" s="106">
        <v>5400</v>
      </c>
      <c r="AY421" s="108">
        <v>0</v>
      </c>
      <c r="BD421" s="106">
        <v>0</v>
      </c>
      <c r="BY421" s="112" t="s">
        <v>1766</v>
      </c>
      <c r="BZ421" s="112" t="s">
        <v>1766</v>
      </c>
      <c r="CA421" s="112" t="s">
        <v>1766</v>
      </c>
      <c r="CB421" s="112" t="s">
        <v>1766</v>
      </c>
      <c r="CC421" s="112" t="s">
        <v>1766</v>
      </c>
      <c r="CD421" s="112" t="s">
        <v>1766</v>
      </c>
      <c r="CE421" s="112" t="s">
        <v>1766</v>
      </c>
      <c r="CF421" s="112" t="s">
        <v>1766</v>
      </c>
      <c r="CG421" s="112" t="s">
        <v>1766</v>
      </c>
      <c r="CH421" s="112" t="s">
        <v>1766</v>
      </c>
      <c r="CI421" s="112" t="s">
        <v>1766</v>
      </c>
      <c r="CJ421" s="112" t="s">
        <v>1766</v>
      </c>
      <c r="CK421" s="112" t="s">
        <v>1766</v>
      </c>
      <c r="CL421" s="112" t="s">
        <v>1766</v>
      </c>
      <c r="CM421" s="112" t="s">
        <v>1766</v>
      </c>
      <c r="CN421" s="112" t="s">
        <v>1766</v>
      </c>
      <c r="CO421" s="112" t="s">
        <v>1766</v>
      </c>
    </row>
    <row r="422" spans="1:93">
      <c r="A422" s="106" t="s">
        <v>515</v>
      </c>
      <c r="B422" s="106">
        <v>1</v>
      </c>
      <c r="C422" s="106">
        <v>3</v>
      </c>
      <c r="D422" s="106">
        <v>12</v>
      </c>
      <c r="E422" s="106">
        <v>1</v>
      </c>
      <c r="F422" s="106">
        <v>0</v>
      </c>
      <c r="G422" s="106" t="s">
        <v>66</v>
      </c>
      <c r="I422" s="106">
        <v>201</v>
      </c>
      <c r="J422" s="106" t="s">
        <v>1766</v>
      </c>
      <c r="K422" s="106" t="s">
        <v>1318</v>
      </c>
      <c r="L422" s="106" t="s">
        <v>1330</v>
      </c>
      <c r="M422" s="106" t="s">
        <v>516</v>
      </c>
      <c r="O422" s="106">
        <v>0</v>
      </c>
      <c r="S422" s="106"/>
      <c r="T422" s="106"/>
      <c r="U422" s="106"/>
      <c r="V422" s="106">
        <v>0</v>
      </c>
      <c r="W422" s="106">
        <v>0</v>
      </c>
      <c r="X422" s="106">
        <v>0</v>
      </c>
      <c r="Y422" s="106" t="s">
        <v>1766</v>
      </c>
      <c r="Z422" s="106" t="s">
        <v>1766</v>
      </c>
      <c r="AA422" s="106">
        <v>0</v>
      </c>
      <c r="AB422" s="106">
        <v>0</v>
      </c>
      <c r="AC422" s="106">
        <v>0</v>
      </c>
      <c r="AD422" s="106">
        <v>0</v>
      </c>
      <c r="AE422" s="106">
        <v>0</v>
      </c>
      <c r="AF422" s="106">
        <v>0</v>
      </c>
      <c r="AH422" s="106">
        <v>25</v>
      </c>
      <c r="AI422" s="106">
        <v>0</v>
      </c>
      <c r="AJ422" s="106">
        <v>0</v>
      </c>
      <c r="AK422" s="106">
        <v>120</v>
      </c>
      <c r="AL422" s="106">
        <v>0</v>
      </c>
      <c r="AM422" s="106">
        <v>1</v>
      </c>
      <c r="AN422" s="106">
        <v>1</v>
      </c>
      <c r="AO422" s="106">
        <v>7</v>
      </c>
      <c r="AP422" s="106" t="s">
        <v>179</v>
      </c>
      <c r="AQ422" s="106" t="s">
        <v>518</v>
      </c>
      <c r="AR422" s="106">
        <v>1254</v>
      </c>
      <c r="AS422" s="106">
        <v>100000</v>
      </c>
      <c r="AT422" s="106">
        <v>100000</v>
      </c>
      <c r="AU422" s="108" t="s">
        <v>1801</v>
      </c>
      <c r="AV422" s="108" t="s">
        <v>1808</v>
      </c>
      <c r="AW422" s="108">
        <v>10000401</v>
      </c>
      <c r="AX422" s="108">
        <v>20000</v>
      </c>
      <c r="AY422" s="108">
        <v>20000</v>
      </c>
      <c r="BY422" s="112" t="s">
        <v>158</v>
      </c>
      <c r="BZ422" s="112" t="s">
        <v>1497</v>
      </c>
      <c r="CA422" s="112" t="s">
        <v>1783</v>
      </c>
      <c r="CB422" s="112" t="s">
        <v>179</v>
      </c>
      <c r="CC422" s="112">
        <v>15</v>
      </c>
      <c r="CD422" s="112" t="s">
        <v>1800</v>
      </c>
      <c r="CE422" s="112" t="s">
        <v>1801</v>
      </c>
      <c r="CF422" s="112">
        <v>30</v>
      </c>
      <c r="CG422" s="112" t="s">
        <v>1766</v>
      </c>
      <c r="CH422" s="112" t="s">
        <v>1766</v>
      </c>
      <c r="CI422" s="112" t="s">
        <v>1766</v>
      </c>
      <c r="CJ422" s="112" t="s">
        <v>1766</v>
      </c>
      <c r="CK422" s="112" t="s">
        <v>1766</v>
      </c>
      <c r="CL422" s="112" t="s">
        <v>1766</v>
      </c>
      <c r="CM422" s="112" t="s">
        <v>1766</v>
      </c>
      <c r="CN422" s="112" t="s">
        <v>1766</v>
      </c>
      <c r="CO422" s="112" t="s">
        <v>1766</v>
      </c>
    </row>
    <row r="423" spans="1:93">
      <c r="A423" s="106" t="s">
        <v>515</v>
      </c>
      <c r="B423" s="106">
        <v>2</v>
      </c>
      <c r="C423" s="106">
        <v>3</v>
      </c>
      <c r="D423" s="106">
        <v>12</v>
      </c>
      <c r="E423" s="106">
        <v>1</v>
      </c>
      <c r="F423" s="106">
        <v>0</v>
      </c>
      <c r="G423" s="106" t="s">
        <v>66</v>
      </c>
      <c r="I423" s="106">
        <v>201</v>
      </c>
      <c r="J423" s="106" t="s">
        <v>1766</v>
      </c>
      <c r="K423" s="106" t="s">
        <v>1318</v>
      </c>
      <c r="L423" s="106" t="s">
        <v>1330</v>
      </c>
      <c r="M423" s="106" t="s">
        <v>520</v>
      </c>
      <c r="O423" s="106">
        <v>0</v>
      </c>
      <c r="S423" s="106" t="s">
        <v>1809</v>
      </c>
      <c r="T423" s="106">
        <v>2061</v>
      </c>
      <c r="U423" s="106">
        <v>2</v>
      </c>
      <c r="V423" s="106">
        <v>7000</v>
      </c>
      <c r="W423" s="106">
        <v>1</v>
      </c>
      <c r="X423" s="106">
        <v>2</v>
      </c>
      <c r="Y423" s="106" t="s">
        <v>1766</v>
      </c>
      <c r="Z423" s="106" t="s">
        <v>1766</v>
      </c>
      <c r="AA423" s="106">
        <v>2300</v>
      </c>
      <c r="AB423" s="106">
        <v>4700</v>
      </c>
      <c r="AC423" s="106">
        <v>0</v>
      </c>
      <c r="AD423" s="106">
        <v>0</v>
      </c>
      <c r="AE423" s="106">
        <v>7000</v>
      </c>
      <c r="AF423" s="106">
        <v>7000</v>
      </c>
      <c r="AH423" s="106">
        <v>126</v>
      </c>
      <c r="AI423" s="106">
        <v>0</v>
      </c>
      <c r="AJ423" s="106">
        <v>0</v>
      </c>
      <c r="AK423" s="106">
        <v>120</v>
      </c>
      <c r="AL423" s="106">
        <v>0</v>
      </c>
      <c r="AM423" s="106">
        <v>1</v>
      </c>
      <c r="AN423" s="106">
        <v>1</v>
      </c>
      <c r="AO423" s="106">
        <v>21</v>
      </c>
      <c r="AP423" s="106" t="s">
        <v>179</v>
      </c>
      <c r="AQ423" s="106" t="s">
        <v>518</v>
      </c>
      <c r="AR423" s="106">
        <v>1254</v>
      </c>
      <c r="AS423" s="106">
        <v>140000</v>
      </c>
      <c r="AT423" s="106">
        <v>140000</v>
      </c>
      <c r="AU423" s="108" t="s">
        <v>1801</v>
      </c>
      <c r="AV423" s="108" t="s">
        <v>1808</v>
      </c>
      <c r="AW423" s="108">
        <v>10000401</v>
      </c>
      <c r="AX423" s="108">
        <v>40000</v>
      </c>
      <c r="AY423" s="108">
        <v>40000</v>
      </c>
      <c r="BY423" s="112" t="s">
        <v>1766</v>
      </c>
      <c r="BZ423" s="112" t="s">
        <v>1766</v>
      </c>
      <c r="CA423" s="112" t="s">
        <v>1766</v>
      </c>
      <c r="CB423" s="112" t="s">
        <v>1766</v>
      </c>
      <c r="CC423" s="112" t="s">
        <v>1766</v>
      </c>
      <c r="CD423" s="112" t="s">
        <v>1766</v>
      </c>
      <c r="CE423" s="112" t="s">
        <v>1766</v>
      </c>
      <c r="CF423" s="112" t="s">
        <v>1766</v>
      </c>
      <c r="CG423" s="112" t="s">
        <v>1766</v>
      </c>
      <c r="CH423" s="112" t="s">
        <v>1766</v>
      </c>
      <c r="CI423" s="112" t="s">
        <v>1766</v>
      </c>
      <c r="CJ423" s="112" t="s">
        <v>1766</v>
      </c>
      <c r="CK423" s="112" t="s">
        <v>1766</v>
      </c>
      <c r="CL423" s="112" t="s">
        <v>1766</v>
      </c>
      <c r="CM423" s="112" t="s">
        <v>1766</v>
      </c>
      <c r="CN423" s="112" t="s">
        <v>1766</v>
      </c>
      <c r="CO423" s="112" t="s">
        <v>1766</v>
      </c>
    </row>
    <row r="424" spans="1:93">
      <c r="A424" s="106" t="s">
        <v>515</v>
      </c>
      <c r="B424" s="106">
        <v>3</v>
      </c>
      <c r="C424" s="106">
        <v>3</v>
      </c>
      <c r="D424" s="106">
        <v>12</v>
      </c>
      <c r="E424" s="106">
        <v>1</v>
      </c>
      <c r="F424" s="106">
        <v>0</v>
      </c>
      <c r="G424" s="106" t="s">
        <v>66</v>
      </c>
      <c r="I424" s="106">
        <v>201</v>
      </c>
      <c r="J424" s="106" t="s">
        <v>1766</v>
      </c>
      <c r="K424" s="106" t="s">
        <v>1318</v>
      </c>
      <c r="L424" s="106" t="s">
        <v>1330</v>
      </c>
      <c r="M424" s="106" t="s">
        <v>521</v>
      </c>
      <c r="O424" s="106">
        <v>0</v>
      </c>
      <c r="S424" s="106" t="s">
        <v>1809</v>
      </c>
      <c r="T424" s="106">
        <v>2061</v>
      </c>
      <c r="U424" s="106">
        <v>3</v>
      </c>
      <c r="V424" s="106">
        <v>14000</v>
      </c>
      <c r="W424" s="106">
        <v>1</v>
      </c>
      <c r="X424" s="106">
        <v>2</v>
      </c>
      <c r="Y424" s="106" t="s">
        <v>1766</v>
      </c>
      <c r="Z424" s="106" t="s">
        <v>1766</v>
      </c>
      <c r="AA424" s="106">
        <v>4700</v>
      </c>
      <c r="AB424" s="106">
        <v>9300</v>
      </c>
      <c r="AC424" s="106">
        <v>0</v>
      </c>
      <c r="AD424" s="106">
        <v>0</v>
      </c>
      <c r="AE424" s="106">
        <v>14000</v>
      </c>
      <c r="AF424" s="106">
        <v>14000</v>
      </c>
      <c r="AH424" s="106">
        <v>252</v>
      </c>
      <c r="AI424" s="106">
        <v>0</v>
      </c>
      <c r="AJ424" s="106">
        <v>1</v>
      </c>
      <c r="AK424" s="106">
        <v>120</v>
      </c>
      <c r="AL424" s="106">
        <v>120</v>
      </c>
      <c r="AM424" s="106">
        <v>1</v>
      </c>
      <c r="AN424" s="106">
        <v>1</v>
      </c>
      <c r="AO424" s="106">
        <v>49</v>
      </c>
      <c r="AP424" s="106" t="s">
        <v>179</v>
      </c>
      <c r="AQ424" s="106" t="s">
        <v>518</v>
      </c>
      <c r="AR424" s="106">
        <v>1254</v>
      </c>
      <c r="AS424" s="106">
        <v>200000</v>
      </c>
      <c r="AT424" s="106">
        <v>200000</v>
      </c>
      <c r="AU424" s="108" t="s">
        <v>1801</v>
      </c>
      <c r="AV424" s="108" t="s">
        <v>1808</v>
      </c>
      <c r="AW424" s="108">
        <v>10000401</v>
      </c>
      <c r="AX424" s="108">
        <v>60000</v>
      </c>
      <c r="AY424" s="108">
        <v>60000</v>
      </c>
      <c r="BY424" s="112" t="s">
        <v>1766</v>
      </c>
      <c r="BZ424" s="112" t="s">
        <v>1766</v>
      </c>
      <c r="CA424" s="112" t="s">
        <v>1766</v>
      </c>
      <c r="CB424" s="112" t="s">
        <v>1766</v>
      </c>
      <c r="CC424" s="112" t="s">
        <v>1766</v>
      </c>
      <c r="CD424" s="112" t="s">
        <v>1766</v>
      </c>
      <c r="CE424" s="112" t="s">
        <v>1766</v>
      </c>
      <c r="CF424" s="112" t="s">
        <v>1766</v>
      </c>
      <c r="CG424" s="112" t="s">
        <v>1766</v>
      </c>
      <c r="CH424" s="112" t="s">
        <v>1766</v>
      </c>
      <c r="CI424" s="112" t="s">
        <v>1766</v>
      </c>
      <c r="CJ424" s="112" t="s">
        <v>1766</v>
      </c>
      <c r="CK424" s="112" t="s">
        <v>1766</v>
      </c>
      <c r="CL424" s="112" t="s">
        <v>1766</v>
      </c>
      <c r="CM424" s="112" t="s">
        <v>1766</v>
      </c>
      <c r="CN424" s="112" t="s">
        <v>1766</v>
      </c>
      <c r="CO424" s="112" t="s">
        <v>1766</v>
      </c>
    </row>
    <row r="425" spans="1:93">
      <c r="A425" s="106" t="s">
        <v>515</v>
      </c>
      <c r="B425" s="106">
        <v>4</v>
      </c>
      <c r="C425" s="106">
        <v>3</v>
      </c>
      <c r="D425" s="106">
        <v>12</v>
      </c>
      <c r="E425" s="106">
        <v>1</v>
      </c>
      <c r="F425" s="106">
        <v>0</v>
      </c>
      <c r="G425" s="106" t="s">
        <v>66</v>
      </c>
      <c r="I425" s="106">
        <v>201</v>
      </c>
      <c r="J425" s="106" t="s">
        <v>1766</v>
      </c>
      <c r="K425" s="106" t="s">
        <v>1318</v>
      </c>
      <c r="L425" s="106" t="s">
        <v>1330</v>
      </c>
      <c r="M425" s="106" t="s">
        <v>522</v>
      </c>
      <c r="O425" s="106">
        <v>0</v>
      </c>
      <c r="S425" s="106" t="s">
        <v>1809</v>
      </c>
      <c r="T425" s="106">
        <v>2061</v>
      </c>
      <c r="U425" s="106">
        <v>4</v>
      </c>
      <c r="V425" s="106">
        <v>28000</v>
      </c>
      <c r="W425" s="106">
        <v>1</v>
      </c>
      <c r="X425" s="106">
        <v>2</v>
      </c>
      <c r="Y425" s="106" t="s">
        <v>1766</v>
      </c>
      <c r="Z425" s="106" t="s">
        <v>1766</v>
      </c>
      <c r="AA425" s="106">
        <v>9300</v>
      </c>
      <c r="AB425" s="106">
        <v>19000</v>
      </c>
      <c r="AC425" s="106">
        <v>0</v>
      </c>
      <c r="AD425" s="106">
        <v>0</v>
      </c>
      <c r="AE425" s="106">
        <v>28300</v>
      </c>
      <c r="AF425" s="106">
        <v>28300</v>
      </c>
      <c r="AH425" s="106">
        <v>504</v>
      </c>
      <c r="AI425" s="106">
        <v>0</v>
      </c>
      <c r="AJ425" s="106">
        <v>1</v>
      </c>
      <c r="AK425" s="106">
        <v>120</v>
      </c>
      <c r="AL425" s="106">
        <v>120</v>
      </c>
      <c r="AM425" s="106">
        <v>84</v>
      </c>
      <c r="AN425" s="106">
        <v>84</v>
      </c>
      <c r="AO425" s="106">
        <v>105</v>
      </c>
      <c r="AP425" s="106" t="s">
        <v>179</v>
      </c>
      <c r="AQ425" s="106" t="s">
        <v>518</v>
      </c>
      <c r="AR425" s="106">
        <v>1254</v>
      </c>
      <c r="AS425" s="106">
        <v>280000</v>
      </c>
      <c r="AT425" s="106">
        <v>280000</v>
      </c>
      <c r="AU425" s="108" t="s">
        <v>1801</v>
      </c>
      <c r="AV425" s="108" t="s">
        <v>1808</v>
      </c>
      <c r="AW425" s="108">
        <v>10000401</v>
      </c>
      <c r="AX425" s="108">
        <v>80000</v>
      </c>
      <c r="AY425" s="108">
        <v>80000</v>
      </c>
      <c r="BY425" s="112" t="s">
        <v>1766</v>
      </c>
      <c r="BZ425" s="112" t="s">
        <v>1766</v>
      </c>
      <c r="CA425" s="112" t="s">
        <v>1766</v>
      </c>
      <c r="CB425" s="112" t="s">
        <v>1766</v>
      </c>
      <c r="CC425" s="112" t="s">
        <v>1766</v>
      </c>
      <c r="CD425" s="112" t="s">
        <v>1766</v>
      </c>
      <c r="CE425" s="112" t="s">
        <v>1766</v>
      </c>
      <c r="CF425" s="112" t="s">
        <v>1766</v>
      </c>
      <c r="CG425" s="112" t="s">
        <v>1766</v>
      </c>
      <c r="CH425" s="112" t="s">
        <v>1766</v>
      </c>
      <c r="CI425" s="112" t="s">
        <v>1766</v>
      </c>
      <c r="CJ425" s="112" t="s">
        <v>1766</v>
      </c>
      <c r="CK425" s="112" t="s">
        <v>1766</v>
      </c>
      <c r="CL425" s="112" t="s">
        <v>1766</v>
      </c>
      <c r="CM425" s="112" t="s">
        <v>1766</v>
      </c>
      <c r="CN425" s="112" t="s">
        <v>1766</v>
      </c>
      <c r="CO425" s="112" t="s">
        <v>1766</v>
      </c>
    </row>
    <row r="426" spans="1:93">
      <c r="A426" s="106" t="s">
        <v>515</v>
      </c>
      <c r="B426" s="106">
        <v>5</v>
      </c>
      <c r="C426" s="106">
        <v>3</v>
      </c>
      <c r="D426" s="106">
        <v>12</v>
      </c>
      <c r="E426" s="106">
        <v>1</v>
      </c>
      <c r="F426" s="106">
        <v>0</v>
      </c>
      <c r="G426" s="106" t="s">
        <v>66</v>
      </c>
      <c r="H426" s="106" t="s">
        <v>539</v>
      </c>
      <c r="I426" s="106">
        <v>201</v>
      </c>
      <c r="J426" s="106">
        <v>230</v>
      </c>
      <c r="K426" s="106" t="s">
        <v>1498</v>
      </c>
      <c r="L426" s="106" t="s">
        <v>1499</v>
      </c>
      <c r="M426" s="106" t="s">
        <v>523</v>
      </c>
      <c r="O426" s="106">
        <v>0</v>
      </c>
      <c r="S426" s="106" t="s">
        <v>1809</v>
      </c>
      <c r="T426" s="106">
        <v>2061</v>
      </c>
      <c r="U426" s="106">
        <v>6</v>
      </c>
      <c r="V426" s="106">
        <v>54040</v>
      </c>
      <c r="W426" s="106">
        <v>1</v>
      </c>
      <c r="X426" s="106">
        <v>2</v>
      </c>
      <c r="Y426" s="106">
        <v>2</v>
      </c>
      <c r="Z426" s="106" t="s">
        <v>1766</v>
      </c>
      <c r="AA426" s="106">
        <v>11000</v>
      </c>
      <c r="AB426" s="106">
        <v>22000</v>
      </c>
      <c r="AC426" s="106">
        <v>22000</v>
      </c>
      <c r="AD426" s="106">
        <v>0</v>
      </c>
      <c r="AE426" s="106">
        <v>55000</v>
      </c>
      <c r="AF426" s="106">
        <v>55000</v>
      </c>
      <c r="AH426" s="106">
        <v>1050</v>
      </c>
      <c r="AI426" s="106">
        <v>0</v>
      </c>
      <c r="AJ426" s="106">
        <v>2</v>
      </c>
      <c r="AK426" s="106">
        <v>120</v>
      </c>
      <c r="AL426" s="106">
        <v>240</v>
      </c>
      <c r="AM426" s="106">
        <v>510</v>
      </c>
      <c r="AN426" s="106">
        <v>510</v>
      </c>
      <c r="AO426" s="106">
        <v>213</v>
      </c>
      <c r="AP426" s="106" t="s">
        <v>179</v>
      </c>
      <c r="AQ426" s="106" t="s">
        <v>518</v>
      </c>
      <c r="AR426" s="106">
        <v>1254</v>
      </c>
      <c r="AS426" s="106">
        <v>450000</v>
      </c>
      <c r="AT426" s="106">
        <v>450000</v>
      </c>
      <c r="AU426" s="108" t="s">
        <v>1801</v>
      </c>
      <c r="AV426" s="108" t="s">
        <v>1808</v>
      </c>
      <c r="AW426" s="108">
        <v>10000401</v>
      </c>
      <c r="AX426" s="108">
        <v>100000</v>
      </c>
      <c r="AY426" s="108">
        <v>100000</v>
      </c>
      <c r="BY426" s="112" t="s">
        <v>1766</v>
      </c>
      <c r="BZ426" s="112" t="s">
        <v>1766</v>
      </c>
      <c r="CA426" s="112" t="s">
        <v>1766</v>
      </c>
      <c r="CB426" s="112" t="s">
        <v>1766</v>
      </c>
      <c r="CC426" s="112" t="s">
        <v>1766</v>
      </c>
      <c r="CD426" s="112" t="s">
        <v>1766</v>
      </c>
      <c r="CE426" s="112" t="s">
        <v>1766</v>
      </c>
      <c r="CF426" s="112" t="s">
        <v>1766</v>
      </c>
      <c r="CG426" s="112" t="s">
        <v>1766</v>
      </c>
      <c r="CH426" s="112" t="s">
        <v>1766</v>
      </c>
      <c r="CI426" s="112" t="s">
        <v>1766</v>
      </c>
      <c r="CJ426" s="112" t="s">
        <v>1766</v>
      </c>
      <c r="CK426" s="112" t="s">
        <v>1766</v>
      </c>
      <c r="CL426" s="112" t="s">
        <v>1766</v>
      </c>
      <c r="CM426" s="112" t="s">
        <v>1766</v>
      </c>
      <c r="CN426" s="112" t="s">
        <v>1766</v>
      </c>
      <c r="CO426" s="112" t="s">
        <v>1766</v>
      </c>
    </row>
    <row r="427" spans="1:93">
      <c r="A427" s="106" t="s">
        <v>515</v>
      </c>
      <c r="B427" s="106">
        <v>6</v>
      </c>
      <c r="C427" s="106">
        <v>3</v>
      </c>
      <c r="D427" s="106">
        <v>12</v>
      </c>
      <c r="E427" s="106">
        <v>1</v>
      </c>
      <c r="F427" s="106">
        <v>0</v>
      </c>
      <c r="G427" s="106" t="s">
        <v>66</v>
      </c>
      <c r="H427" s="106" t="s">
        <v>539</v>
      </c>
      <c r="I427" s="106">
        <v>201</v>
      </c>
      <c r="J427" s="106">
        <v>230</v>
      </c>
      <c r="K427" s="106" t="s">
        <v>1498</v>
      </c>
      <c r="L427" s="106" t="s">
        <v>1500</v>
      </c>
      <c r="M427" s="106" t="s">
        <v>524</v>
      </c>
      <c r="O427" s="106">
        <v>0</v>
      </c>
      <c r="S427" s="106" t="s">
        <v>1809</v>
      </c>
      <c r="T427" s="106">
        <v>2061</v>
      </c>
      <c r="U427" s="106">
        <v>10</v>
      </c>
      <c r="V427" s="106">
        <v>100514.4</v>
      </c>
      <c r="W427" s="106">
        <v>1</v>
      </c>
      <c r="X427" s="106">
        <v>2</v>
      </c>
      <c r="Y427" s="106">
        <v>2</v>
      </c>
      <c r="Z427" s="106" t="s">
        <v>1766</v>
      </c>
      <c r="AA427" s="106">
        <v>20000</v>
      </c>
      <c r="AB427" s="106">
        <v>40000</v>
      </c>
      <c r="AC427" s="106">
        <v>40000</v>
      </c>
      <c r="AD427" s="106">
        <v>0</v>
      </c>
      <c r="AE427" s="106">
        <v>100000</v>
      </c>
      <c r="AF427" s="106">
        <v>100000</v>
      </c>
      <c r="AH427" s="106">
        <v>1890</v>
      </c>
      <c r="AI427" s="106">
        <v>0</v>
      </c>
      <c r="AJ427" s="106">
        <v>2</v>
      </c>
      <c r="AK427" s="106">
        <v>120</v>
      </c>
      <c r="AL427" s="106">
        <v>240</v>
      </c>
      <c r="AM427" s="106">
        <v>1350</v>
      </c>
      <c r="AN427" s="106">
        <v>1350</v>
      </c>
      <c r="AO427" s="106">
        <v>414</v>
      </c>
      <c r="AP427" s="106" t="s">
        <v>179</v>
      </c>
      <c r="AQ427" s="106" t="s">
        <v>518</v>
      </c>
      <c r="AR427" s="106">
        <v>1254</v>
      </c>
      <c r="AS427" s="106">
        <v>640000</v>
      </c>
      <c r="AT427" s="106">
        <v>640000</v>
      </c>
      <c r="AU427" s="108" t="s">
        <v>1801</v>
      </c>
      <c r="AV427" s="108" t="s">
        <v>1808</v>
      </c>
      <c r="AW427" s="108">
        <v>10000401</v>
      </c>
      <c r="AX427" s="108">
        <v>140000</v>
      </c>
      <c r="AY427" s="108">
        <v>140000</v>
      </c>
      <c r="BY427" s="112" t="s">
        <v>1766</v>
      </c>
      <c r="BZ427" s="112" t="s">
        <v>1766</v>
      </c>
      <c r="CA427" s="112" t="s">
        <v>1766</v>
      </c>
      <c r="CB427" s="112" t="s">
        <v>1766</v>
      </c>
      <c r="CC427" s="112" t="s">
        <v>1766</v>
      </c>
      <c r="CD427" s="112" t="s">
        <v>1766</v>
      </c>
      <c r="CE427" s="112" t="s">
        <v>1766</v>
      </c>
      <c r="CF427" s="112" t="s">
        <v>1766</v>
      </c>
      <c r="CG427" s="112" t="s">
        <v>1766</v>
      </c>
      <c r="CH427" s="112" t="s">
        <v>1766</v>
      </c>
      <c r="CI427" s="112" t="s">
        <v>1766</v>
      </c>
      <c r="CJ427" s="112" t="s">
        <v>1766</v>
      </c>
      <c r="CK427" s="112" t="s">
        <v>1766</v>
      </c>
      <c r="CL427" s="112" t="s">
        <v>1766</v>
      </c>
      <c r="CM427" s="112" t="s">
        <v>1766</v>
      </c>
      <c r="CN427" s="112" t="s">
        <v>1766</v>
      </c>
      <c r="CO427" s="112" t="s">
        <v>1766</v>
      </c>
    </row>
    <row r="428" spans="1:93">
      <c r="A428" s="106" t="s">
        <v>515</v>
      </c>
      <c r="B428" s="106">
        <v>7</v>
      </c>
      <c r="C428" s="106">
        <v>3</v>
      </c>
      <c r="D428" s="106">
        <v>12</v>
      </c>
      <c r="E428" s="106">
        <v>1</v>
      </c>
      <c r="F428" s="106">
        <v>0</v>
      </c>
      <c r="G428" s="106" t="s">
        <v>66</v>
      </c>
      <c r="H428" s="106" t="s">
        <v>539</v>
      </c>
      <c r="I428" s="106">
        <v>201</v>
      </c>
      <c r="J428" s="106">
        <v>230</v>
      </c>
      <c r="K428" s="106" t="s">
        <v>1498</v>
      </c>
      <c r="L428" s="106" t="s">
        <v>1501</v>
      </c>
      <c r="M428" s="106" t="s">
        <v>525</v>
      </c>
      <c r="O428" s="106">
        <v>0</v>
      </c>
      <c r="S428" s="106" t="s">
        <v>1809</v>
      </c>
      <c r="T428" s="106">
        <v>2061</v>
      </c>
      <c r="U428" s="106">
        <v>15</v>
      </c>
      <c r="V428" s="106">
        <v>179920.77600000001</v>
      </c>
      <c r="W428" s="106">
        <v>1</v>
      </c>
      <c r="X428" s="106">
        <v>2</v>
      </c>
      <c r="Y428" s="106">
        <v>2</v>
      </c>
      <c r="Z428" s="106" t="s">
        <v>1766</v>
      </c>
      <c r="AA428" s="106">
        <v>36000</v>
      </c>
      <c r="AB428" s="106">
        <v>72000</v>
      </c>
      <c r="AC428" s="106">
        <v>72000</v>
      </c>
      <c r="AD428" s="106">
        <v>0</v>
      </c>
      <c r="AE428" s="106">
        <v>180000</v>
      </c>
      <c r="AF428" s="106">
        <v>180000</v>
      </c>
      <c r="AH428" s="106">
        <v>3150</v>
      </c>
      <c r="AI428" s="106">
        <v>0</v>
      </c>
      <c r="AJ428" s="106">
        <v>3</v>
      </c>
      <c r="AK428" s="106">
        <v>120</v>
      </c>
      <c r="AL428" s="106">
        <v>360</v>
      </c>
      <c r="AM428" s="106">
        <v>2490</v>
      </c>
      <c r="AN428" s="106">
        <v>2490</v>
      </c>
      <c r="AO428" s="106">
        <v>773</v>
      </c>
      <c r="AP428" s="106" t="s">
        <v>179</v>
      </c>
      <c r="AQ428" s="106" t="s">
        <v>518</v>
      </c>
      <c r="AR428" s="106">
        <v>1254</v>
      </c>
      <c r="AS428" s="106">
        <v>850000</v>
      </c>
      <c r="AT428" s="106">
        <v>850000</v>
      </c>
      <c r="AU428" s="108" t="s">
        <v>1801</v>
      </c>
      <c r="AV428" s="108" t="s">
        <v>1808</v>
      </c>
      <c r="AW428" s="108">
        <v>10000401</v>
      </c>
      <c r="AX428" s="108">
        <v>180000</v>
      </c>
      <c r="AY428" s="108">
        <v>180000</v>
      </c>
      <c r="BY428" s="112" t="s">
        <v>1766</v>
      </c>
      <c r="BZ428" s="112" t="s">
        <v>1766</v>
      </c>
      <c r="CA428" s="112" t="s">
        <v>1766</v>
      </c>
      <c r="CB428" s="112" t="s">
        <v>1766</v>
      </c>
      <c r="CC428" s="112" t="s">
        <v>1766</v>
      </c>
      <c r="CD428" s="112" t="s">
        <v>1766</v>
      </c>
      <c r="CE428" s="112" t="s">
        <v>1766</v>
      </c>
      <c r="CF428" s="112" t="s">
        <v>1766</v>
      </c>
      <c r="CG428" s="112" t="s">
        <v>1766</v>
      </c>
      <c r="CH428" s="112" t="s">
        <v>1766</v>
      </c>
      <c r="CI428" s="112" t="s">
        <v>1766</v>
      </c>
      <c r="CJ428" s="112" t="s">
        <v>1766</v>
      </c>
      <c r="CK428" s="112" t="s">
        <v>1766</v>
      </c>
      <c r="CL428" s="112" t="s">
        <v>1766</v>
      </c>
      <c r="CM428" s="112" t="s">
        <v>1766</v>
      </c>
      <c r="CN428" s="112" t="s">
        <v>1766</v>
      </c>
      <c r="CO428" s="112" t="s">
        <v>1766</v>
      </c>
    </row>
    <row r="429" spans="1:93">
      <c r="A429" s="106" t="s">
        <v>515</v>
      </c>
      <c r="B429" s="106">
        <v>8</v>
      </c>
      <c r="C429" s="106">
        <v>3</v>
      </c>
      <c r="D429" s="106">
        <v>12</v>
      </c>
      <c r="E429" s="106">
        <v>1</v>
      </c>
      <c r="F429" s="106">
        <v>0</v>
      </c>
      <c r="G429" s="106" t="s">
        <v>66</v>
      </c>
      <c r="H429" s="106" t="s">
        <v>539</v>
      </c>
      <c r="I429" s="106">
        <v>201</v>
      </c>
      <c r="J429" s="106">
        <v>230</v>
      </c>
      <c r="K429" s="106" t="s">
        <v>1498</v>
      </c>
      <c r="L429" s="106" t="s">
        <v>1502</v>
      </c>
      <c r="M429" s="106" t="s">
        <v>526</v>
      </c>
      <c r="O429" s="106">
        <v>0</v>
      </c>
      <c r="S429" s="106" t="s">
        <v>1809</v>
      </c>
      <c r="T429" s="106">
        <v>2061</v>
      </c>
      <c r="U429" s="106">
        <v>20</v>
      </c>
      <c r="V429" s="106">
        <v>309463.73472000001</v>
      </c>
      <c r="W429" s="106">
        <v>1</v>
      </c>
      <c r="X429" s="106">
        <v>2</v>
      </c>
      <c r="Y429" s="106">
        <v>2</v>
      </c>
      <c r="Z429" s="106" t="s">
        <v>1766</v>
      </c>
      <c r="AA429" s="106">
        <v>62000</v>
      </c>
      <c r="AB429" s="106">
        <v>120000</v>
      </c>
      <c r="AC429" s="106">
        <v>120000</v>
      </c>
      <c r="AD429" s="106">
        <v>0</v>
      </c>
      <c r="AE429" s="106">
        <v>302000</v>
      </c>
      <c r="AF429" s="106">
        <v>302000</v>
      </c>
      <c r="AH429" s="106">
        <v>5040</v>
      </c>
      <c r="AI429" s="106">
        <v>0</v>
      </c>
      <c r="AJ429" s="106">
        <v>3</v>
      </c>
      <c r="AK429" s="106">
        <v>120</v>
      </c>
      <c r="AL429" s="106">
        <v>360</v>
      </c>
      <c r="AM429" s="106">
        <v>4380</v>
      </c>
      <c r="AN429" s="106">
        <v>4380</v>
      </c>
      <c r="AO429" s="106">
        <v>1392</v>
      </c>
      <c r="AP429" s="106" t="s">
        <v>179</v>
      </c>
      <c r="AQ429" s="106" t="s">
        <v>518</v>
      </c>
      <c r="AR429" s="106">
        <v>1254</v>
      </c>
      <c r="AS429" s="106">
        <v>1080000</v>
      </c>
      <c r="AT429" s="106">
        <v>1080000</v>
      </c>
      <c r="AU429" s="108" t="s">
        <v>1801</v>
      </c>
      <c r="AV429" s="108" t="s">
        <v>1808</v>
      </c>
      <c r="AW429" s="108">
        <v>10000401</v>
      </c>
      <c r="AX429" s="108">
        <v>220000</v>
      </c>
      <c r="AY429" s="108">
        <v>220000</v>
      </c>
      <c r="BY429" s="112" t="s">
        <v>1766</v>
      </c>
      <c r="BZ429" s="112" t="s">
        <v>1766</v>
      </c>
      <c r="CA429" s="112" t="s">
        <v>1766</v>
      </c>
      <c r="CB429" s="112" t="s">
        <v>1766</v>
      </c>
      <c r="CC429" s="112" t="s">
        <v>1766</v>
      </c>
      <c r="CD429" s="112" t="s">
        <v>1766</v>
      </c>
      <c r="CE429" s="112" t="s">
        <v>1766</v>
      </c>
      <c r="CF429" s="112" t="s">
        <v>1766</v>
      </c>
      <c r="CG429" s="112" t="s">
        <v>1766</v>
      </c>
      <c r="CH429" s="112" t="s">
        <v>1766</v>
      </c>
      <c r="CI429" s="112" t="s">
        <v>1766</v>
      </c>
      <c r="CJ429" s="112" t="s">
        <v>1766</v>
      </c>
      <c r="CK429" s="112" t="s">
        <v>1766</v>
      </c>
      <c r="CL429" s="112" t="s">
        <v>1766</v>
      </c>
      <c r="CM429" s="112" t="s">
        <v>1766</v>
      </c>
      <c r="CN429" s="112" t="s">
        <v>1766</v>
      </c>
      <c r="CO429" s="112" t="s">
        <v>1766</v>
      </c>
    </row>
    <row r="430" spans="1:93">
      <c r="A430" s="106" t="s">
        <v>515</v>
      </c>
      <c r="B430" s="106">
        <v>9</v>
      </c>
      <c r="C430" s="106">
        <v>3</v>
      </c>
      <c r="D430" s="106">
        <v>12</v>
      </c>
      <c r="E430" s="106">
        <v>1</v>
      </c>
      <c r="F430" s="106">
        <v>0</v>
      </c>
      <c r="G430" s="106" t="s">
        <v>66</v>
      </c>
      <c r="H430" s="106" t="s">
        <v>539</v>
      </c>
      <c r="I430" s="106">
        <v>201</v>
      </c>
      <c r="J430" s="106">
        <v>230</v>
      </c>
      <c r="K430" s="106" t="s">
        <v>1498</v>
      </c>
      <c r="L430" s="106" t="s">
        <v>1503</v>
      </c>
      <c r="M430" s="106" t="s">
        <v>527</v>
      </c>
      <c r="O430" s="106">
        <v>0</v>
      </c>
      <c r="S430" s="106" t="s">
        <v>1809</v>
      </c>
      <c r="T430" s="106">
        <v>2061</v>
      </c>
      <c r="U430" s="106">
        <v>25</v>
      </c>
      <c r="V430" s="106">
        <v>510615.16228799999</v>
      </c>
      <c r="W430" s="106">
        <v>1</v>
      </c>
      <c r="X430" s="106">
        <v>2</v>
      </c>
      <c r="Y430" s="106">
        <v>2</v>
      </c>
      <c r="Z430" s="106" t="s">
        <v>1766</v>
      </c>
      <c r="AA430" s="106">
        <v>100000</v>
      </c>
      <c r="AB430" s="106">
        <v>200000</v>
      </c>
      <c r="AC430" s="106">
        <v>200000</v>
      </c>
      <c r="AD430" s="106">
        <v>0</v>
      </c>
      <c r="AE430" s="106">
        <v>500000</v>
      </c>
      <c r="AF430" s="106">
        <v>500000</v>
      </c>
      <c r="AH430" s="106">
        <v>10080</v>
      </c>
      <c r="AI430" s="106">
        <v>0</v>
      </c>
      <c r="AJ430" s="106">
        <v>4</v>
      </c>
      <c r="AK430" s="106">
        <v>120</v>
      </c>
      <c r="AL430" s="106">
        <v>480</v>
      </c>
      <c r="AM430" s="106">
        <v>9300</v>
      </c>
      <c r="AN430" s="106">
        <v>9300</v>
      </c>
      <c r="AO430" s="106">
        <v>2414</v>
      </c>
      <c r="AP430" s="106" t="s">
        <v>179</v>
      </c>
      <c r="AQ430" s="106" t="s">
        <v>518</v>
      </c>
      <c r="AR430" s="106">
        <v>1254</v>
      </c>
      <c r="AS430" s="106">
        <v>1330000</v>
      </c>
      <c r="AT430" s="106">
        <v>1330000</v>
      </c>
      <c r="AU430" s="108" t="s">
        <v>1801</v>
      </c>
      <c r="AV430" s="108" t="s">
        <v>1808</v>
      </c>
      <c r="AW430" s="108">
        <v>10000401</v>
      </c>
      <c r="AX430" s="108">
        <v>260000</v>
      </c>
      <c r="AY430" s="108">
        <v>260000</v>
      </c>
      <c r="BY430" s="112" t="s">
        <v>1766</v>
      </c>
      <c r="BZ430" s="112" t="s">
        <v>1766</v>
      </c>
      <c r="CA430" s="112" t="s">
        <v>1766</v>
      </c>
      <c r="CB430" s="112" t="s">
        <v>1766</v>
      </c>
      <c r="CC430" s="112" t="s">
        <v>1766</v>
      </c>
      <c r="CD430" s="112" t="s">
        <v>1766</v>
      </c>
      <c r="CE430" s="112" t="s">
        <v>1766</v>
      </c>
      <c r="CF430" s="112" t="s">
        <v>1766</v>
      </c>
      <c r="CG430" s="112" t="s">
        <v>1766</v>
      </c>
      <c r="CH430" s="112" t="s">
        <v>1766</v>
      </c>
      <c r="CI430" s="112" t="s">
        <v>1766</v>
      </c>
      <c r="CJ430" s="112" t="s">
        <v>1766</v>
      </c>
      <c r="CK430" s="112" t="s">
        <v>1766</v>
      </c>
      <c r="CL430" s="112" t="s">
        <v>1766</v>
      </c>
      <c r="CM430" s="112" t="s">
        <v>1766</v>
      </c>
      <c r="CN430" s="112" t="s">
        <v>1766</v>
      </c>
      <c r="CO430" s="112" t="s">
        <v>1766</v>
      </c>
    </row>
    <row r="431" spans="1:93">
      <c r="A431" s="106" t="s">
        <v>515</v>
      </c>
      <c r="B431" s="106">
        <v>10</v>
      </c>
      <c r="C431" s="106">
        <v>3</v>
      </c>
      <c r="D431" s="106">
        <v>12</v>
      </c>
      <c r="E431" s="106">
        <v>1</v>
      </c>
      <c r="F431" s="106">
        <v>0</v>
      </c>
      <c r="G431" s="106" t="s">
        <v>66</v>
      </c>
      <c r="H431" s="106" t="s">
        <v>539</v>
      </c>
      <c r="I431" s="106">
        <v>201</v>
      </c>
      <c r="J431" s="106">
        <v>230</v>
      </c>
      <c r="K431" s="106" t="s">
        <v>1498</v>
      </c>
      <c r="L431" s="106" t="s">
        <v>1504</v>
      </c>
      <c r="M431" s="106" t="s">
        <v>528</v>
      </c>
      <c r="O431" s="106">
        <v>0</v>
      </c>
      <c r="S431" s="106" t="s">
        <v>1809</v>
      </c>
      <c r="T431" s="106">
        <v>2061</v>
      </c>
      <c r="U431" s="106">
        <v>30</v>
      </c>
      <c r="V431" s="106">
        <v>806771.95641503995</v>
      </c>
      <c r="W431" s="106">
        <v>1</v>
      </c>
      <c r="X431" s="106">
        <v>2</v>
      </c>
      <c r="Y431" s="106">
        <v>2</v>
      </c>
      <c r="Z431" s="106">
        <v>2</v>
      </c>
      <c r="AA431" s="106">
        <v>120000</v>
      </c>
      <c r="AB431" s="106">
        <v>230000</v>
      </c>
      <c r="AC431" s="106">
        <v>230000</v>
      </c>
      <c r="AD431" s="106">
        <v>230000</v>
      </c>
      <c r="AE431" s="106">
        <v>810000</v>
      </c>
      <c r="AF431" s="106">
        <v>810000</v>
      </c>
      <c r="AH431" s="106">
        <v>15120</v>
      </c>
      <c r="AI431" s="106">
        <v>0.01</v>
      </c>
      <c r="AJ431" s="106">
        <v>4</v>
      </c>
      <c r="AK431" s="106">
        <v>151.19999999999999</v>
      </c>
      <c r="AL431" s="106">
        <v>604.79999999999995</v>
      </c>
      <c r="AM431" s="106">
        <v>14065</v>
      </c>
      <c r="AN431" s="106">
        <v>14065</v>
      </c>
      <c r="AO431" s="106">
        <v>4027</v>
      </c>
      <c r="AP431" s="106" t="s">
        <v>179</v>
      </c>
      <c r="AQ431" s="106" t="s">
        <v>518</v>
      </c>
      <c r="AR431" s="106">
        <v>1254</v>
      </c>
      <c r="AS431" s="106">
        <v>1820000</v>
      </c>
      <c r="AT431" s="106">
        <v>1820000</v>
      </c>
      <c r="AU431" s="108" t="s">
        <v>1801</v>
      </c>
      <c r="AV431" s="108" t="s">
        <v>1808</v>
      </c>
      <c r="AW431" s="108">
        <v>10000401</v>
      </c>
      <c r="AX431" s="108">
        <v>300000</v>
      </c>
      <c r="AY431" s="108">
        <v>300000</v>
      </c>
      <c r="BY431" s="112" t="s">
        <v>1766</v>
      </c>
      <c r="BZ431" s="112" t="s">
        <v>1766</v>
      </c>
      <c r="CA431" s="112" t="s">
        <v>1766</v>
      </c>
      <c r="CB431" s="112" t="s">
        <v>1766</v>
      </c>
      <c r="CC431" s="112" t="s">
        <v>1766</v>
      </c>
      <c r="CD431" s="112" t="s">
        <v>1766</v>
      </c>
      <c r="CE431" s="112" t="s">
        <v>1766</v>
      </c>
      <c r="CF431" s="112" t="s">
        <v>1766</v>
      </c>
      <c r="CG431" s="112" t="s">
        <v>1766</v>
      </c>
      <c r="CH431" s="112" t="s">
        <v>1766</v>
      </c>
      <c r="CI431" s="112" t="s">
        <v>1766</v>
      </c>
      <c r="CJ431" s="112" t="s">
        <v>1766</v>
      </c>
      <c r="CK431" s="112" t="s">
        <v>1766</v>
      </c>
      <c r="CL431" s="112" t="s">
        <v>1766</v>
      </c>
      <c r="CM431" s="112" t="s">
        <v>1766</v>
      </c>
      <c r="CN431" s="112" t="s">
        <v>1766</v>
      </c>
      <c r="CO431" s="112" t="s">
        <v>1766</v>
      </c>
    </row>
    <row r="432" spans="1:93">
      <c r="A432" s="106" t="s">
        <v>515</v>
      </c>
      <c r="B432" s="106">
        <v>11</v>
      </c>
      <c r="C432" s="106">
        <v>3</v>
      </c>
      <c r="D432" s="106">
        <v>12</v>
      </c>
      <c r="E432" s="106">
        <v>1</v>
      </c>
      <c r="F432" s="106">
        <v>0</v>
      </c>
      <c r="G432" s="106" t="s">
        <v>66</v>
      </c>
      <c r="H432" s="106" t="s">
        <v>539</v>
      </c>
      <c r="I432" s="106">
        <v>201</v>
      </c>
      <c r="J432" s="106">
        <v>230</v>
      </c>
      <c r="K432" s="106" t="s">
        <v>1498</v>
      </c>
      <c r="L432" s="106" t="s">
        <v>1505</v>
      </c>
      <c r="M432" s="106" t="s">
        <v>529</v>
      </c>
      <c r="O432" s="106">
        <v>0</v>
      </c>
      <c r="S432" s="106" t="s">
        <v>1809</v>
      </c>
      <c r="T432" s="106">
        <v>2061</v>
      </c>
      <c r="U432" s="106">
        <v>40</v>
      </c>
      <c r="V432" s="106">
        <v>1218225.65418671</v>
      </c>
      <c r="W432" s="106">
        <v>1</v>
      </c>
      <c r="X432" s="106">
        <v>2</v>
      </c>
      <c r="Y432" s="106">
        <v>2</v>
      </c>
      <c r="Z432" s="106">
        <v>2</v>
      </c>
      <c r="AA432" s="106">
        <v>170000</v>
      </c>
      <c r="AB432" s="106">
        <v>350000</v>
      </c>
      <c r="AC432" s="106">
        <v>350000</v>
      </c>
      <c r="AD432" s="106">
        <v>350000</v>
      </c>
      <c r="AE432" s="106">
        <v>1220000</v>
      </c>
      <c r="AF432" s="106">
        <v>1220000</v>
      </c>
      <c r="AH432" s="106">
        <v>22680</v>
      </c>
      <c r="AI432" s="106">
        <v>0.02</v>
      </c>
      <c r="AJ432" s="106">
        <v>5</v>
      </c>
      <c r="AK432" s="106">
        <v>226.8</v>
      </c>
      <c r="AL432" s="106">
        <v>1134</v>
      </c>
      <c r="AM432" s="106">
        <v>20801</v>
      </c>
      <c r="AN432" s="106">
        <v>20801</v>
      </c>
      <c r="AO432" s="106">
        <v>6464</v>
      </c>
      <c r="AP432" s="106" t="s">
        <v>179</v>
      </c>
      <c r="AQ432" s="106" t="s">
        <v>518</v>
      </c>
      <c r="AR432" s="106">
        <v>1254</v>
      </c>
      <c r="AS432" s="106">
        <v>2330000</v>
      </c>
      <c r="AT432" s="106">
        <v>2330000</v>
      </c>
      <c r="AU432" s="108" t="s">
        <v>1801</v>
      </c>
      <c r="AV432" s="108" t="s">
        <v>1808</v>
      </c>
      <c r="AW432" s="108">
        <v>10000401</v>
      </c>
      <c r="AX432" s="108">
        <v>360000</v>
      </c>
      <c r="AY432" s="108">
        <v>360000</v>
      </c>
      <c r="BY432" s="112" t="s">
        <v>1766</v>
      </c>
      <c r="BZ432" s="112" t="s">
        <v>1766</v>
      </c>
      <c r="CA432" s="112" t="s">
        <v>1766</v>
      </c>
      <c r="CB432" s="112" t="s">
        <v>1766</v>
      </c>
      <c r="CC432" s="112" t="s">
        <v>1766</v>
      </c>
      <c r="CD432" s="112" t="s">
        <v>1766</v>
      </c>
      <c r="CE432" s="112" t="s">
        <v>1766</v>
      </c>
      <c r="CF432" s="112" t="s">
        <v>1766</v>
      </c>
      <c r="CG432" s="112" t="s">
        <v>1766</v>
      </c>
      <c r="CH432" s="112" t="s">
        <v>1766</v>
      </c>
      <c r="CI432" s="112" t="s">
        <v>1766</v>
      </c>
      <c r="CJ432" s="112" t="s">
        <v>1766</v>
      </c>
      <c r="CK432" s="112" t="s">
        <v>1766</v>
      </c>
      <c r="CL432" s="112" t="s">
        <v>1766</v>
      </c>
      <c r="CM432" s="112" t="s">
        <v>1766</v>
      </c>
      <c r="CN432" s="112" t="s">
        <v>1766</v>
      </c>
      <c r="CO432" s="112" t="s">
        <v>1766</v>
      </c>
    </row>
    <row r="433" spans="1:93">
      <c r="A433" s="106" t="s">
        <v>515</v>
      </c>
      <c r="B433" s="106">
        <v>12</v>
      </c>
      <c r="C433" s="106">
        <v>3</v>
      </c>
      <c r="D433" s="106">
        <v>12</v>
      </c>
      <c r="E433" s="106">
        <v>1</v>
      </c>
      <c r="F433" s="106">
        <v>1</v>
      </c>
      <c r="G433" s="106" t="s">
        <v>66</v>
      </c>
      <c r="H433" s="106" t="s">
        <v>539</v>
      </c>
      <c r="I433" s="106">
        <v>201</v>
      </c>
      <c r="J433" s="106">
        <v>230</v>
      </c>
      <c r="K433" s="106" t="s">
        <v>1498</v>
      </c>
      <c r="L433" s="106" t="s">
        <v>1258</v>
      </c>
      <c r="M433" s="106" t="s">
        <v>530</v>
      </c>
      <c r="O433" s="106">
        <v>0</v>
      </c>
      <c r="S433" s="106" t="s">
        <v>1809</v>
      </c>
      <c r="T433" s="106">
        <v>2061</v>
      </c>
      <c r="U433" s="106">
        <v>50</v>
      </c>
      <c r="V433" s="106">
        <v>1754244.9420288601</v>
      </c>
      <c r="W433" s="106">
        <v>1</v>
      </c>
      <c r="X433" s="106">
        <v>2</v>
      </c>
      <c r="Y433" s="106">
        <v>2</v>
      </c>
      <c r="Z433" s="106">
        <v>2</v>
      </c>
      <c r="AA433" s="106">
        <v>250000</v>
      </c>
      <c r="AB433" s="106">
        <v>500000</v>
      </c>
      <c r="AC433" s="106">
        <v>500000</v>
      </c>
      <c r="AD433" s="106">
        <v>500000</v>
      </c>
      <c r="AE433" s="106">
        <v>1750000</v>
      </c>
      <c r="AF433" s="106">
        <v>1750000</v>
      </c>
      <c r="AH433" s="106">
        <v>30240</v>
      </c>
      <c r="AI433" s="106">
        <v>0.03</v>
      </c>
      <c r="AJ433" s="106">
        <v>5</v>
      </c>
      <c r="AK433" s="106">
        <v>302.39999999999998</v>
      </c>
      <c r="AL433" s="106">
        <v>1512</v>
      </c>
      <c r="AM433" s="106">
        <v>27547</v>
      </c>
      <c r="AN433" s="106">
        <v>27547</v>
      </c>
      <c r="AO433" s="106">
        <v>9972</v>
      </c>
      <c r="AP433" s="106" t="s">
        <v>179</v>
      </c>
      <c r="AQ433" s="106" t="s">
        <v>518</v>
      </c>
      <c r="AR433" s="106">
        <v>1254</v>
      </c>
      <c r="AS433" s="106">
        <v>2860000</v>
      </c>
      <c r="AT433" s="106">
        <v>2860000</v>
      </c>
      <c r="AU433" s="108" t="s">
        <v>1801</v>
      </c>
      <c r="AV433" s="108" t="s">
        <v>1808</v>
      </c>
      <c r="AW433" s="108">
        <v>10000401</v>
      </c>
      <c r="AX433" s="108">
        <v>420000</v>
      </c>
      <c r="AY433" s="108">
        <v>420000</v>
      </c>
      <c r="BY433" s="112" t="s">
        <v>1766</v>
      </c>
      <c r="BZ433" s="112" t="s">
        <v>1766</v>
      </c>
      <c r="CA433" s="112" t="s">
        <v>1766</v>
      </c>
      <c r="CB433" s="112" t="s">
        <v>1766</v>
      </c>
      <c r="CC433" s="112" t="s">
        <v>1766</v>
      </c>
      <c r="CD433" s="112" t="s">
        <v>1766</v>
      </c>
      <c r="CE433" s="112" t="s">
        <v>1766</v>
      </c>
      <c r="CF433" s="112" t="s">
        <v>1766</v>
      </c>
      <c r="CG433" s="112" t="s">
        <v>1766</v>
      </c>
      <c r="CH433" s="112" t="s">
        <v>1766</v>
      </c>
      <c r="CI433" s="112" t="s">
        <v>1766</v>
      </c>
      <c r="CJ433" s="112" t="s">
        <v>1766</v>
      </c>
      <c r="CK433" s="112" t="s">
        <v>1766</v>
      </c>
      <c r="CL433" s="112" t="s">
        <v>1766</v>
      </c>
      <c r="CM433" s="112" t="s">
        <v>1766</v>
      </c>
      <c r="CN433" s="112" t="s">
        <v>1766</v>
      </c>
      <c r="CO433" s="112" t="s">
        <v>1766</v>
      </c>
    </row>
    <row r="434" spans="1:93">
      <c r="A434" s="106" t="s">
        <v>515</v>
      </c>
      <c r="B434" s="106">
        <v>13</v>
      </c>
      <c r="C434" s="106">
        <v>3</v>
      </c>
      <c r="D434" s="106">
        <v>12</v>
      </c>
      <c r="E434" s="106">
        <v>1</v>
      </c>
      <c r="F434" s="106">
        <v>1</v>
      </c>
      <c r="G434" s="106" t="s">
        <v>66</v>
      </c>
      <c r="H434" s="106" t="s">
        <v>539</v>
      </c>
      <c r="I434" s="106">
        <v>201</v>
      </c>
      <c r="J434" s="106">
        <v>230</v>
      </c>
      <c r="K434" s="106" t="s">
        <v>1498</v>
      </c>
      <c r="L434" s="106" t="s">
        <v>1262</v>
      </c>
      <c r="M434" s="106" t="s">
        <v>531</v>
      </c>
      <c r="O434" s="106">
        <v>0</v>
      </c>
      <c r="S434" s="106" t="s">
        <v>1809</v>
      </c>
      <c r="T434" s="106">
        <v>2061</v>
      </c>
      <c r="U434" s="106">
        <v>60</v>
      </c>
      <c r="V434" s="106">
        <v>2403315.57057954</v>
      </c>
      <c r="W434" s="106">
        <v>1</v>
      </c>
      <c r="X434" s="106">
        <v>2</v>
      </c>
      <c r="Y434" s="106">
        <v>2</v>
      </c>
      <c r="Z434" s="106">
        <v>2</v>
      </c>
      <c r="AA434" s="106">
        <v>340000</v>
      </c>
      <c r="AB434" s="106">
        <v>690000</v>
      </c>
      <c r="AC434" s="106">
        <v>690000</v>
      </c>
      <c r="AD434" s="106">
        <v>690000</v>
      </c>
      <c r="AE434" s="106">
        <v>2410000</v>
      </c>
      <c r="AF434" s="106">
        <v>2410000</v>
      </c>
      <c r="AH434" s="106">
        <v>40320</v>
      </c>
      <c r="AI434" s="106">
        <v>0.04</v>
      </c>
      <c r="AJ434" s="106">
        <v>6</v>
      </c>
      <c r="AK434" s="106">
        <v>403.2</v>
      </c>
      <c r="AL434" s="106">
        <v>2419.1999999999998</v>
      </c>
      <c r="AM434" s="106">
        <v>36050</v>
      </c>
      <c r="AN434" s="106">
        <v>36050</v>
      </c>
      <c r="AO434" s="106">
        <v>14779</v>
      </c>
      <c r="AP434" s="106" t="s">
        <v>179</v>
      </c>
      <c r="AQ434" s="106" t="s">
        <v>518</v>
      </c>
      <c r="AR434" s="106">
        <v>1254</v>
      </c>
      <c r="AS434" s="106">
        <v>3410000</v>
      </c>
      <c r="AT434" s="106">
        <v>3410000</v>
      </c>
      <c r="AU434" s="108" t="s">
        <v>1801</v>
      </c>
      <c r="AV434" s="108" t="s">
        <v>1808</v>
      </c>
      <c r="AW434" s="108">
        <v>10000401</v>
      </c>
      <c r="AX434" s="108">
        <v>480000</v>
      </c>
      <c r="AY434" s="108">
        <v>480000</v>
      </c>
      <c r="BY434" s="112" t="s">
        <v>1766</v>
      </c>
      <c r="BZ434" s="112" t="s">
        <v>1766</v>
      </c>
      <c r="CA434" s="112" t="s">
        <v>1766</v>
      </c>
      <c r="CB434" s="112" t="s">
        <v>1766</v>
      </c>
      <c r="CC434" s="112" t="s">
        <v>1766</v>
      </c>
      <c r="CD434" s="112" t="s">
        <v>1766</v>
      </c>
      <c r="CE434" s="112" t="s">
        <v>1766</v>
      </c>
      <c r="CF434" s="112" t="s">
        <v>1766</v>
      </c>
      <c r="CG434" s="112" t="s">
        <v>1766</v>
      </c>
      <c r="CH434" s="112" t="s">
        <v>1766</v>
      </c>
      <c r="CI434" s="112" t="s">
        <v>1766</v>
      </c>
      <c r="CJ434" s="112" t="s">
        <v>1766</v>
      </c>
      <c r="CK434" s="112" t="s">
        <v>1766</v>
      </c>
      <c r="CL434" s="112" t="s">
        <v>1766</v>
      </c>
      <c r="CM434" s="112" t="s">
        <v>1766</v>
      </c>
      <c r="CN434" s="112" t="s">
        <v>1766</v>
      </c>
      <c r="CO434" s="112" t="s">
        <v>1766</v>
      </c>
    </row>
    <row r="435" spans="1:93">
      <c r="A435" s="106" t="s">
        <v>515</v>
      </c>
      <c r="B435" s="106">
        <v>14</v>
      </c>
      <c r="C435" s="106">
        <v>3</v>
      </c>
      <c r="D435" s="106">
        <v>12</v>
      </c>
      <c r="E435" s="106">
        <v>1</v>
      </c>
      <c r="F435" s="106">
        <v>1</v>
      </c>
      <c r="G435" s="106" t="s">
        <v>66</v>
      </c>
      <c r="H435" s="106" t="s">
        <v>539</v>
      </c>
      <c r="I435" s="106">
        <v>201</v>
      </c>
      <c r="J435" s="106">
        <v>230</v>
      </c>
      <c r="K435" s="106" t="s">
        <v>1498</v>
      </c>
      <c r="L435" s="106" t="s">
        <v>1265</v>
      </c>
      <c r="M435" s="106" t="s">
        <v>532</v>
      </c>
      <c r="O435" s="106">
        <v>0</v>
      </c>
      <c r="S435" s="106" t="s">
        <v>1809</v>
      </c>
      <c r="T435" s="106">
        <v>2061</v>
      </c>
      <c r="U435" s="106">
        <v>70</v>
      </c>
      <c r="V435" s="106">
        <v>3124310.2417533998</v>
      </c>
      <c r="W435" s="106">
        <v>1</v>
      </c>
      <c r="X435" s="106">
        <v>2</v>
      </c>
      <c r="Y435" s="106">
        <v>2</v>
      </c>
      <c r="Z435" s="106">
        <v>2</v>
      </c>
      <c r="AA435" s="106">
        <v>450000</v>
      </c>
      <c r="AB435" s="106">
        <v>890000</v>
      </c>
      <c r="AC435" s="106">
        <v>890000</v>
      </c>
      <c r="AD435" s="106">
        <v>890000</v>
      </c>
      <c r="AE435" s="106">
        <v>3120000</v>
      </c>
      <c r="AF435" s="106">
        <v>3120000</v>
      </c>
      <c r="AH435" s="106">
        <v>50400</v>
      </c>
      <c r="AI435" s="106">
        <v>0.05</v>
      </c>
      <c r="AJ435" s="106">
        <v>6</v>
      </c>
      <c r="AK435" s="106">
        <v>504</v>
      </c>
      <c r="AL435" s="106">
        <v>3024</v>
      </c>
      <c r="AM435" s="106">
        <v>44676</v>
      </c>
      <c r="AN435" s="106">
        <v>44676</v>
      </c>
      <c r="AO435" s="106">
        <v>21027</v>
      </c>
      <c r="AP435" s="106" t="s">
        <v>179</v>
      </c>
      <c r="AQ435" s="106" t="s">
        <v>518</v>
      </c>
      <c r="AR435" s="106">
        <v>1254</v>
      </c>
      <c r="AS435" s="106">
        <v>3980000</v>
      </c>
      <c r="AT435" s="106">
        <v>3980000</v>
      </c>
      <c r="AU435" s="108" t="s">
        <v>1801</v>
      </c>
      <c r="AV435" s="108" t="s">
        <v>1808</v>
      </c>
      <c r="AW435" s="108">
        <v>10000401</v>
      </c>
      <c r="AX435" s="108">
        <v>540000</v>
      </c>
      <c r="AY435" s="108">
        <v>540000</v>
      </c>
      <c r="BY435" s="112" t="s">
        <v>1766</v>
      </c>
      <c r="BZ435" s="112" t="s">
        <v>1766</v>
      </c>
      <c r="CA435" s="112" t="s">
        <v>1766</v>
      </c>
      <c r="CB435" s="112" t="s">
        <v>1766</v>
      </c>
      <c r="CC435" s="112" t="s">
        <v>1766</v>
      </c>
      <c r="CD435" s="112" t="s">
        <v>1766</v>
      </c>
      <c r="CE435" s="112" t="s">
        <v>1766</v>
      </c>
      <c r="CF435" s="112" t="s">
        <v>1766</v>
      </c>
      <c r="CG435" s="112" t="s">
        <v>1766</v>
      </c>
      <c r="CH435" s="112" t="s">
        <v>1766</v>
      </c>
      <c r="CI435" s="112" t="s">
        <v>1766</v>
      </c>
      <c r="CJ435" s="112" t="s">
        <v>1766</v>
      </c>
      <c r="CK435" s="112" t="s">
        <v>1766</v>
      </c>
      <c r="CL435" s="112" t="s">
        <v>1766</v>
      </c>
      <c r="CM435" s="112" t="s">
        <v>1766</v>
      </c>
      <c r="CN435" s="112" t="s">
        <v>1766</v>
      </c>
      <c r="CO435" s="112" t="s">
        <v>1766</v>
      </c>
    </row>
    <row r="436" spans="1:93">
      <c r="A436" s="106" t="s">
        <v>515</v>
      </c>
      <c r="B436" s="106">
        <v>15</v>
      </c>
      <c r="C436" s="106">
        <v>3</v>
      </c>
      <c r="D436" s="106">
        <v>12</v>
      </c>
      <c r="E436" s="106">
        <v>1</v>
      </c>
      <c r="F436" s="106">
        <v>1</v>
      </c>
      <c r="G436" s="106" t="s">
        <v>66</v>
      </c>
      <c r="H436" s="106" t="s">
        <v>539</v>
      </c>
      <c r="I436" s="106">
        <v>201</v>
      </c>
      <c r="J436" s="106">
        <v>230</v>
      </c>
      <c r="K436" s="106" t="s">
        <v>1498</v>
      </c>
      <c r="L436" s="106" t="s">
        <v>1269</v>
      </c>
      <c r="M436" s="106" t="s">
        <v>533</v>
      </c>
      <c r="O436" s="106">
        <v>0</v>
      </c>
      <c r="S436" s="106" t="s">
        <v>1809</v>
      </c>
      <c r="T436" s="106">
        <v>2061</v>
      </c>
      <c r="U436" s="106">
        <v>80</v>
      </c>
      <c r="V436" s="106">
        <v>3999117.1094443598</v>
      </c>
      <c r="W436" s="106">
        <v>1</v>
      </c>
      <c r="X436" s="106">
        <v>2</v>
      </c>
      <c r="Y436" s="106">
        <v>2</v>
      </c>
      <c r="Z436" s="106">
        <v>2</v>
      </c>
      <c r="AA436" s="106">
        <v>570000</v>
      </c>
      <c r="AB436" s="106">
        <v>1100000</v>
      </c>
      <c r="AC436" s="106">
        <v>1100000</v>
      </c>
      <c r="AD436" s="106">
        <v>1100000</v>
      </c>
      <c r="AE436" s="106">
        <v>3870000</v>
      </c>
      <c r="AF436" s="106">
        <v>3870000</v>
      </c>
      <c r="AH436" s="106">
        <v>60480</v>
      </c>
      <c r="AI436" s="106">
        <v>0.05</v>
      </c>
      <c r="AJ436" s="106">
        <v>7</v>
      </c>
      <c r="AK436" s="106">
        <v>604.79999999999995</v>
      </c>
      <c r="AL436" s="106">
        <v>4233.6000000000004</v>
      </c>
      <c r="AM436" s="106">
        <v>53066</v>
      </c>
      <c r="AN436" s="106">
        <v>53066</v>
      </c>
      <c r="AO436" s="106">
        <v>29026</v>
      </c>
      <c r="AP436" s="106" t="s">
        <v>179</v>
      </c>
      <c r="AQ436" s="106" t="s">
        <v>518</v>
      </c>
      <c r="AR436" s="106">
        <v>1254</v>
      </c>
      <c r="AS436" s="106">
        <v>4640000</v>
      </c>
      <c r="AT436" s="106">
        <v>4640000</v>
      </c>
      <c r="AU436" s="108" t="s">
        <v>1801</v>
      </c>
      <c r="AV436" s="108" t="s">
        <v>1808</v>
      </c>
      <c r="AW436" s="108">
        <v>10000401</v>
      </c>
      <c r="AX436" s="108">
        <v>600000</v>
      </c>
      <c r="AY436" s="108">
        <v>600000</v>
      </c>
      <c r="BY436" s="112" t="s">
        <v>1766</v>
      </c>
      <c r="BZ436" s="112" t="s">
        <v>1766</v>
      </c>
      <c r="CA436" s="112" t="s">
        <v>1766</v>
      </c>
      <c r="CB436" s="112" t="s">
        <v>1766</v>
      </c>
      <c r="CC436" s="112" t="s">
        <v>1766</v>
      </c>
      <c r="CD436" s="112" t="s">
        <v>1766</v>
      </c>
      <c r="CE436" s="112" t="s">
        <v>1766</v>
      </c>
      <c r="CF436" s="112" t="s">
        <v>1766</v>
      </c>
      <c r="CG436" s="112" t="s">
        <v>1766</v>
      </c>
      <c r="CH436" s="112" t="s">
        <v>1766</v>
      </c>
      <c r="CI436" s="112" t="s">
        <v>1766</v>
      </c>
      <c r="CJ436" s="112" t="s">
        <v>1766</v>
      </c>
      <c r="CK436" s="112" t="s">
        <v>1766</v>
      </c>
      <c r="CL436" s="112" t="s">
        <v>1766</v>
      </c>
      <c r="CM436" s="112" t="s">
        <v>1766</v>
      </c>
      <c r="CN436" s="112" t="s">
        <v>1766</v>
      </c>
      <c r="CO436" s="112" t="s">
        <v>1766</v>
      </c>
    </row>
    <row r="437" spans="1:93">
      <c r="A437" s="106" t="s">
        <v>515</v>
      </c>
      <c r="B437" s="106">
        <v>16</v>
      </c>
      <c r="C437" s="106">
        <v>3</v>
      </c>
      <c r="D437" s="106">
        <v>12</v>
      </c>
      <c r="E437" s="106">
        <v>1</v>
      </c>
      <c r="F437" s="106">
        <v>1</v>
      </c>
      <c r="G437" s="106" t="s">
        <v>66</v>
      </c>
      <c r="H437" s="106" t="s">
        <v>539</v>
      </c>
      <c r="I437" s="106">
        <v>201</v>
      </c>
      <c r="J437" s="106">
        <v>230</v>
      </c>
      <c r="K437" s="106" t="s">
        <v>1498</v>
      </c>
      <c r="L437" s="106" t="s">
        <v>1272</v>
      </c>
      <c r="M437" s="106" t="s">
        <v>534</v>
      </c>
      <c r="O437" s="106">
        <v>0</v>
      </c>
      <c r="S437" s="106" t="s">
        <v>1809</v>
      </c>
      <c r="T437" s="106">
        <v>2061</v>
      </c>
      <c r="U437" s="106">
        <v>90</v>
      </c>
      <c r="V437" s="106">
        <v>5118869.9000887796</v>
      </c>
      <c r="W437" s="106">
        <v>1</v>
      </c>
      <c r="X437" s="106">
        <v>2</v>
      </c>
      <c r="Y437" s="106">
        <v>2</v>
      </c>
      <c r="Z437" s="106">
        <v>2</v>
      </c>
      <c r="AA437" s="106">
        <v>730000</v>
      </c>
      <c r="AB437" s="106">
        <v>1500000</v>
      </c>
      <c r="AC437" s="106">
        <v>1500000</v>
      </c>
      <c r="AD437" s="106">
        <v>1500000</v>
      </c>
      <c r="AE437" s="106">
        <v>5230000</v>
      </c>
      <c r="AF437" s="106">
        <v>5230000</v>
      </c>
      <c r="AH437" s="106">
        <v>75600</v>
      </c>
      <c r="AI437" s="106">
        <v>0.05</v>
      </c>
      <c r="AJ437" s="106">
        <v>7</v>
      </c>
      <c r="AK437" s="106">
        <v>756</v>
      </c>
      <c r="AL437" s="106">
        <v>5292</v>
      </c>
      <c r="AM437" s="106">
        <v>66408</v>
      </c>
      <c r="AN437" s="106">
        <v>66408</v>
      </c>
      <c r="AO437" s="106">
        <v>39263</v>
      </c>
      <c r="AP437" s="106" t="s">
        <v>179</v>
      </c>
      <c r="AQ437" s="106" t="s">
        <v>518</v>
      </c>
      <c r="AR437" s="106">
        <v>1254</v>
      </c>
      <c r="AS437" s="106">
        <v>5320000</v>
      </c>
      <c r="AT437" s="106">
        <v>5320000</v>
      </c>
      <c r="AU437" s="108" t="s">
        <v>1801</v>
      </c>
      <c r="AV437" s="108" t="s">
        <v>1808</v>
      </c>
      <c r="AW437" s="108">
        <v>10000401</v>
      </c>
      <c r="AX437" s="108">
        <v>660000</v>
      </c>
      <c r="AY437" s="108">
        <v>660000</v>
      </c>
      <c r="BY437" s="112" t="s">
        <v>1766</v>
      </c>
      <c r="BZ437" s="112" t="s">
        <v>1766</v>
      </c>
      <c r="CA437" s="112" t="s">
        <v>1766</v>
      </c>
      <c r="CB437" s="112" t="s">
        <v>1766</v>
      </c>
      <c r="CC437" s="112" t="s">
        <v>1766</v>
      </c>
      <c r="CD437" s="112" t="s">
        <v>1766</v>
      </c>
      <c r="CE437" s="112" t="s">
        <v>1766</v>
      </c>
      <c r="CF437" s="112" t="s">
        <v>1766</v>
      </c>
      <c r="CG437" s="112" t="s">
        <v>1766</v>
      </c>
      <c r="CH437" s="112" t="s">
        <v>1766</v>
      </c>
      <c r="CI437" s="112" t="s">
        <v>1766</v>
      </c>
      <c r="CJ437" s="112" t="s">
        <v>1766</v>
      </c>
      <c r="CK437" s="112" t="s">
        <v>1766</v>
      </c>
      <c r="CL437" s="112" t="s">
        <v>1766</v>
      </c>
      <c r="CM437" s="112" t="s">
        <v>1766</v>
      </c>
      <c r="CN437" s="112" t="s">
        <v>1766</v>
      </c>
      <c r="CO437" s="112" t="s">
        <v>1766</v>
      </c>
    </row>
    <row r="438" spans="1:93">
      <c r="A438" s="106" t="s">
        <v>515</v>
      </c>
      <c r="B438" s="106">
        <v>17</v>
      </c>
      <c r="C438" s="106">
        <v>3</v>
      </c>
      <c r="D438" s="106">
        <v>12</v>
      </c>
      <c r="E438" s="106">
        <v>1</v>
      </c>
      <c r="F438" s="106">
        <v>1</v>
      </c>
      <c r="G438" s="106" t="s">
        <v>66</v>
      </c>
      <c r="H438" s="106" t="s">
        <v>539</v>
      </c>
      <c r="I438" s="106">
        <v>201</v>
      </c>
      <c r="J438" s="106">
        <v>230</v>
      </c>
      <c r="K438" s="106" t="s">
        <v>1498</v>
      </c>
      <c r="L438" s="106" t="s">
        <v>1278</v>
      </c>
      <c r="M438" s="106" t="s">
        <v>535</v>
      </c>
      <c r="O438" s="106">
        <v>0</v>
      </c>
      <c r="S438" s="106" t="s">
        <v>1809</v>
      </c>
      <c r="T438" s="106">
        <v>2061</v>
      </c>
      <c r="U438" s="106">
        <v>105</v>
      </c>
      <c r="V438" s="106">
        <v>6552153.4721136298</v>
      </c>
      <c r="W438" s="106">
        <v>1</v>
      </c>
      <c r="X438" s="106">
        <v>2</v>
      </c>
      <c r="Y438" s="106">
        <v>2</v>
      </c>
      <c r="Z438" s="106">
        <v>2</v>
      </c>
      <c r="AA438" s="106">
        <v>940000</v>
      </c>
      <c r="AB438" s="106">
        <v>1900000</v>
      </c>
      <c r="AC438" s="106">
        <v>1900000</v>
      </c>
      <c r="AD438" s="106">
        <v>1900000</v>
      </c>
      <c r="AE438" s="106">
        <v>6640000</v>
      </c>
      <c r="AF438" s="106">
        <v>6640000</v>
      </c>
      <c r="AH438" s="106">
        <v>100800</v>
      </c>
      <c r="AI438" s="106">
        <v>0.05</v>
      </c>
      <c r="AJ438" s="106">
        <v>8</v>
      </c>
      <c r="AK438" s="106">
        <v>1008</v>
      </c>
      <c r="AL438" s="106">
        <v>8064</v>
      </c>
      <c r="AM438" s="106">
        <v>87636</v>
      </c>
      <c r="AN438" s="106">
        <v>87636</v>
      </c>
      <c r="AO438" s="106">
        <v>52368</v>
      </c>
      <c r="AP438" s="106" t="s">
        <v>179</v>
      </c>
      <c r="AQ438" s="106" t="s">
        <v>518</v>
      </c>
      <c r="AR438" s="106">
        <v>1254</v>
      </c>
      <c r="AS438" s="106">
        <v>6020000</v>
      </c>
      <c r="AT438" s="106">
        <v>6020000</v>
      </c>
      <c r="AU438" s="108" t="s">
        <v>1801</v>
      </c>
      <c r="AV438" s="108" t="s">
        <v>1808</v>
      </c>
      <c r="AW438" s="108">
        <v>10000401</v>
      </c>
      <c r="AX438" s="108">
        <v>720000</v>
      </c>
      <c r="AY438" s="108">
        <v>720000</v>
      </c>
      <c r="BY438" s="112" t="s">
        <v>1766</v>
      </c>
      <c r="BZ438" s="112" t="s">
        <v>1766</v>
      </c>
      <c r="CA438" s="112" t="s">
        <v>1766</v>
      </c>
      <c r="CB438" s="112" t="s">
        <v>1766</v>
      </c>
      <c r="CC438" s="112" t="s">
        <v>1766</v>
      </c>
      <c r="CD438" s="112" t="s">
        <v>1766</v>
      </c>
      <c r="CE438" s="112" t="s">
        <v>1766</v>
      </c>
      <c r="CF438" s="112" t="s">
        <v>1766</v>
      </c>
      <c r="CG438" s="112" t="s">
        <v>1766</v>
      </c>
      <c r="CH438" s="112" t="s">
        <v>1766</v>
      </c>
      <c r="CI438" s="112" t="s">
        <v>1766</v>
      </c>
      <c r="CJ438" s="112" t="s">
        <v>1766</v>
      </c>
      <c r="CK438" s="112" t="s">
        <v>1766</v>
      </c>
      <c r="CL438" s="112" t="s">
        <v>1766</v>
      </c>
      <c r="CM438" s="112" t="s">
        <v>1766</v>
      </c>
      <c r="CN438" s="112" t="s">
        <v>1766</v>
      </c>
      <c r="CO438" s="112" t="s">
        <v>1766</v>
      </c>
    </row>
    <row r="439" spans="1:93">
      <c r="A439" s="106" t="s">
        <v>515</v>
      </c>
      <c r="B439" s="106">
        <v>18</v>
      </c>
      <c r="C439" s="106">
        <v>3</v>
      </c>
      <c r="D439" s="106">
        <v>12</v>
      </c>
      <c r="E439" s="106">
        <v>1</v>
      </c>
      <c r="F439" s="106">
        <v>1</v>
      </c>
      <c r="G439" s="106" t="s">
        <v>66</v>
      </c>
      <c r="H439" s="106" t="s">
        <v>539</v>
      </c>
      <c r="I439" s="106">
        <v>201</v>
      </c>
      <c r="J439" s="106">
        <v>230</v>
      </c>
      <c r="K439" s="106" t="s">
        <v>1498</v>
      </c>
      <c r="L439" s="106" t="s">
        <v>1281</v>
      </c>
      <c r="M439" s="106" t="s">
        <v>536</v>
      </c>
      <c r="O439" s="106">
        <v>0</v>
      </c>
      <c r="S439" s="106" t="s">
        <v>1809</v>
      </c>
      <c r="T439" s="106">
        <v>2061</v>
      </c>
      <c r="U439" s="106">
        <v>120</v>
      </c>
      <c r="V439" s="106">
        <v>8386756.4443054497</v>
      </c>
      <c r="W439" s="106">
        <v>1</v>
      </c>
      <c r="X439" s="106">
        <v>2</v>
      </c>
      <c r="Y439" s="106">
        <v>2</v>
      </c>
      <c r="Z439" s="106">
        <v>2</v>
      </c>
      <c r="AA439" s="106">
        <v>1200000</v>
      </c>
      <c r="AB439" s="106">
        <v>2400000</v>
      </c>
      <c r="AC439" s="106">
        <v>2400000</v>
      </c>
      <c r="AD439" s="106">
        <v>2400000</v>
      </c>
      <c r="AE439" s="106">
        <v>8400000</v>
      </c>
      <c r="AF439" s="106">
        <v>8400000</v>
      </c>
      <c r="AH439" s="106">
        <v>131040</v>
      </c>
      <c r="AI439" s="106">
        <v>6.5000000000000002E-2</v>
      </c>
      <c r="AJ439" s="106">
        <v>8</v>
      </c>
      <c r="AK439" s="106">
        <v>1310.4000000000001</v>
      </c>
      <c r="AL439" s="106">
        <v>10483.200000000001</v>
      </c>
      <c r="AM439" s="106">
        <v>112259</v>
      </c>
      <c r="AN439" s="106">
        <v>112259</v>
      </c>
      <c r="AO439" s="106">
        <v>69141</v>
      </c>
      <c r="AP439" s="106" t="s">
        <v>179</v>
      </c>
      <c r="AQ439" s="106" t="s">
        <v>518</v>
      </c>
      <c r="AR439" s="106">
        <v>1254</v>
      </c>
      <c r="AS439" s="106">
        <v>6740000</v>
      </c>
      <c r="AT439" s="106">
        <v>6740000</v>
      </c>
      <c r="AU439" s="108" t="s">
        <v>1801</v>
      </c>
      <c r="AV439" s="108" t="s">
        <v>1808</v>
      </c>
      <c r="AW439" s="108">
        <v>10000401</v>
      </c>
      <c r="AX439" s="108">
        <v>780000</v>
      </c>
      <c r="AY439" s="108">
        <v>780000</v>
      </c>
      <c r="BY439" s="112" t="s">
        <v>1766</v>
      </c>
      <c r="BZ439" s="112" t="s">
        <v>1766</v>
      </c>
      <c r="CA439" s="112" t="s">
        <v>1766</v>
      </c>
      <c r="CB439" s="112" t="s">
        <v>1766</v>
      </c>
      <c r="CC439" s="112" t="s">
        <v>1766</v>
      </c>
      <c r="CD439" s="112" t="s">
        <v>1766</v>
      </c>
      <c r="CE439" s="112" t="s">
        <v>1766</v>
      </c>
      <c r="CF439" s="112" t="s">
        <v>1766</v>
      </c>
      <c r="CG439" s="112" t="s">
        <v>1766</v>
      </c>
      <c r="CH439" s="112" t="s">
        <v>1766</v>
      </c>
      <c r="CI439" s="112" t="s">
        <v>1766</v>
      </c>
      <c r="CJ439" s="112" t="s">
        <v>1766</v>
      </c>
      <c r="CK439" s="112" t="s">
        <v>1766</v>
      </c>
      <c r="CL439" s="112" t="s">
        <v>1766</v>
      </c>
      <c r="CM439" s="112" t="s">
        <v>1766</v>
      </c>
      <c r="CN439" s="112" t="s">
        <v>1766</v>
      </c>
      <c r="CO439" s="112" t="s">
        <v>1766</v>
      </c>
    </row>
    <row r="440" spans="1:93">
      <c r="A440" s="106" t="s">
        <v>515</v>
      </c>
      <c r="B440" s="106">
        <v>19</v>
      </c>
      <c r="C440" s="106">
        <v>3</v>
      </c>
      <c r="D440" s="106">
        <v>12</v>
      </c>
      <c r="E440" s="106">
        <v>1</v>
      </c>
      <c r="F440" s="106">
        <v>1</v>
      </c>
      <c r="G440" s="106" t="s">
        <v>66</v>
      </c>
      <c r="H440" s="106" t="s">
        <v>539</v>
      </c>
      <c r="I440" s="106">
        <v>201</v>
      </c>
      <c r="J440" s="106">
        <v>230</v>
      </c>
      <c r="K440" s="106" t="s">
        <v>1498</v>
      </c>
      <c r="L440" s="106" t="s">
        <v>1283</v>
      </c>
      <c r="M440" s="106" t="s">
        <v>537</v>
      </c>
      <c r="O440" s="106">
        <v>0</v>
      </c>
      <c r="S440" s="106" t="s">
        <v>1809</v>
      </c>
      <c r="T440" s="106">
        <v>2061</v>
      </c>
      <c r="U440" s="106">
        <v>135</v>
      </c>
      <c r="V440" s="106">
        <v>10735048.248710999</v>
      </c>
      <c r="W440" s="106">
        <v>1</v>
      </c>
      <c r="X440" s="106">
        <v>2</v>
      </c>
      <c r="Y440" s="106">
        <v>2</v>
      </c>
      <c r="Z440" s="106">
        <v>2</v>
      </c>
      <c r="AA440" s="106">
        <v>1500000</v>
      </c>
      <c r="AB440" s="106">
        <v>3100000</v>
      </c>
      <c r="AC440" s="106">
        <v>3100000</v>
      </c>
      <c r="AD440" s="106">
        <v>3100000</v>
      </c>
      <c r="AE440" s="106">
        <v>10800000</v>
      </c>
      <c r="AF440" s="106">
        <v>10800000</v>
      </c>
      <c r="AH440" s="106">
        <v>171360</v>
      </c>
      <c r="AI440" s="106">
        <v>0.08</v>
      </c>
      <c r="AJ440" s="106">
        <v>9</v>
      </c>
      <c r="AK440" s="106">
        <v>1713.6</v>
      </c>
      <c r="AL440" s="106">
        <v>15422.4</v>
      </c>
      <c r="AM440" s="106">
        <v>142944</v>
      </c>
      <c r="AN440" s="106">
        <v>142944</v>
      </c>
      <c r="AO440" s="106">
        <v>90611</v>
      </c>
      <c r="AP440" s="106" t="s">
        <v>179</v>
      </c>
      <c r="AQ440" s="106" t="s">
        <v>518</v>
      </c>
      <c r="AR440" s="106">
        <v>1254</v>
      </c>
      <c r="AS440" s="106">
        <v>7480000</v>
      </c>
      <c r="AT440" s="106">
        <v>7480000</v>
      </c>
      <c r="AU440" s="108" t="s">
        <v>1801</v>
      </c>
      <c r="AV440" s="108" t="s">
        <v>1808</v>
      </c>
      <c r="AW440" s="108">
        <v>10000401</v>
      </c>
      <c r="AX440" s="108">
        <v>840000</v>
      </c>
      <c r="AY440" s="108">
        <v>840000</v>
      </c>
      <c r="BY440" s="112" t="s">
        <v>1766</v>
      </c>
      <c r="BZ440" s="112" t="s">
        <v>1766</v>
      </c>
      <c r="CA440" s="112" t="s">
        <v>1766</v>
      </c>
      <c r="CB440" s="112" t="s">
        <v>1766</v>
      </c>
      <c r="CC440" s="112" t="s">
        <v>1766</v>
      </c>
      <c r="CD440" s="112" t="s">
        <v>1766</v>
      </c>
      <c r="CE440" s="112" t="s">
        <v>1766</v>
      </c>
      <c r="CF440" s="112" t="s">
        <v>1766</v>
      </c>
      <c r="CG440" s="112" t="s">
        <v>1766</v>
      </c>
      <c r="CH440" s="112" t="s">
        <v>1766</v>
      </c>
      <c r="CI440" s="112" t="s">
        <v>1766</v>
      </c>
      <c r="CJ440" s="112" t="s">
        <v>1766</v>
      </c>
      <c r="CK440" s="112" t="s">
        <v>1766</v>
      </c>
      <c r="CL440" s="112" t="s">
        <v>1766</v>
      </c>
      <c r="CM440" s="112" t="s">
        <v>1766</v>
      </c>
      <c r="CN440" s="112" t="s">
        <v>1766</v>
      </c>
      <c r="CO440" s="112" t="s">
        <v>1766</v>
      </c>
    </row>
    <row r="441" spans="1:93">
      <c r="A441" s="106" t="s">
        <v>515</v>
      </c>
      <c r="B441" s="106">
        <v>20</v>
      </c>
      <c r="C441" s="106">
        <v>3</v>
      </c>
      <c r="D441" s="106">
        <v>12</v>
      </c>
      <c r="E441" s="106">
        <v>1</v>
      </c>
      <c r="F441" s="106">
        <v>1</v>
      </c>
      <c r="G441" s="106" t="s">
        <v>66</v>
      </c>
      <c r="H441" s="106" t="s">
        <v>539</v>
      </c>
      <c r="I441" s="106">
        <v>201</v>
      </c>
      <c r="J441" s="106">
        <v>230</v>
      </c>
      <c r="K441" s="106" t="s">
        <v>1498</v>
      </c>
      <c r="L441" s="106" t="s">
        <v>1287</v>
      </c>
      <c r="M441" s="106" t="s">
        <v>538</v>
      </c>
      <c r="O441" s="106">
        <v>0</v>
      </c>
      <c r="S441" s="106" t="s">
        <v>1809</v>
      </c>
      <c r="T441" s="106">
        <v>2061</v>
      </c>
      <c r="U441" s="106">
        <v>150</v>
      </c>
      <c r="V441" s="106">
        <v>13740861.7583501</v>
      </c>
      <c r="W441" s="106">
        <v>1</v>
      </c>
      <c r="X441" s="106">
        <v>2</v>
      </c>
      <c r="Y441" s="106">
        <v>2</v>
      </c>
      <c r="Z441" s="106">
        <v>2</v>
      </c>
      <c r="AA441" s="106">
        <v>2000000</v>
      </c>
      <c r="AB441" s="106">
        <v>3900000</v>
      </c>
      <c r="AC441" s="106">
        <v>3900000</v>
      </c>
      <c r="AD441" s="106">
        <v>3900000</v>
      </c>
      <c r="AE441" s="106">
        <v>13700000</v>
      </c>
      <c r="AF441" s="106">
        <v>13700000</v>
      </c>
      <c r="AH441" s="106">
        <v>241920</v>
      </c>
      <c r="AI441" s="106">
        <v>9.5000000000000001E-2</v>
      </c>
      <c r="AJ441" s="106">
        <v>9</v>
      </c>
      <c r="AK441" s="106">
        <v>2419.1999999999998</v>
      </c>
      <c r="AL441" s="106">
        <v>21772.799999999999</v>
      </c>
      <c r="AM441" s="106">
        <v>198858</v>
      </c>
      <c r="AN441" s="106">
        <v>198858</v>
      </c>
      <c r="AO441" s="106">
        <v>118093</v>
      </c>
      <c r="AP441" s="106" t="s">
        <v>179</v>
      </c>
      <c r="AQ441" s="106" t="s">
        <v>518</v>
      </c>
      <c r="AR441" s="106">
        <v>1254</v>
      </c>
      <c r="AS441" s="106">
        <v>8460000</v>
      </c>
      <c r="AT441" s="106">
        <v>8460000</v>
      </c>
      <c r="AU441" s="108" t="s">
        <v>1801</v>
      </c>
      <c r="AV441" s="108" t="s">
        <v>1808</v>
      </c>
      <c r="AW441" s="108">
        <v>10000401</v>
      </c>
      <c r="AX441" s="108">
        <v>900000</v>
      </c>
      <c r="AY441" s="108">
        <v>900000</v>
      </c>
      <c r="BY441" s="112" t="s">
        <v>1766</v>
      </c>
      <c r="BZ441" s="112" t="s">
        <v>1766</v>
      </c>
      <c r="CA441" s="112" t="s">
        <v>1766</v>
      </c>
      <c r="CB441" s="112" t="s">
        <v>1766</v>
      </c>
      <c r="CC441" s="112" t="s">
        <v>1766</v>
      </c>
      <c r="CD441" s="112" t="s">
        <v>1766</v>
      </c>
      <c r="CE441" s="112" t="s">
        <v>1766</v>
      </c>
      <c r="CF441" s="112" t="s">
        <v>1766</v>
      </c>
      <c r="CG441" s="112" t="s">
        <v>1766</v>
      </c>
      <c r="CH441" s="112" t="s">
        <v>1766</v>
      </c>
      <c r="CI441" s="112" t="s">
        <v>1766</v>
      </c>
      <c r="CJ441" s="112" t="s">
        <v>1766</v>
      </c>
      <c r="CK441" s="112" t="s">
        <v>1766</v>
      </c>
      <c r="CL441" s="112" t="s">
        <v>1766</v>
      </c>
      <c r="CM441" s="112" t="s">
        <v>1766</v>
      </c>
      <c r="CN441" s="112" t="s">
        <v>1766</v>
      </c>
      <c r="CO441" s="112" t="s">
        <v>1766</v>
      </c>
    </row>
    <row r="442" spans="1:93">
      <c r="A442" s="106" t="s">
        <v>515</v>
      </c>
      <c r="B442" s="106">
        <v>21</v>
      </c>
      <c r="C442" s="106">
        <v>3</v>
      </c>
      <c r="D442" s="106">
        <v>12</v>
      </c>
      <c r="E442" s="106">
        <v>1</v>
      </c>
      <c r="F442" s="106">
        <v>1</v>
      </c>
      <c r="G442" s="106" t="s">
        <v>66</v>
      </c>
      <c r="H442" s="106" t="s">
        <v>539</v>
      </c>
      <c r="I442" s="106">
        <v>201</v>
      </c>
      <c r="J442" s="106">
        <v>230</v>
      </c>
      <c r="K442" s="106" t="s">
        <v>1498</v>
      </c>
      <c r="L442" s="106" t="s">
        <v>1291</v>
      </c>
      <c r="M442" s="106" t="s">
        <v>1506</v>
      </c>
      <c r="O442" s="106">
        <v>0</v>
      </c>
      <c r="S442" s="106" t="s">
        <v>1809</v>
      </c>
      <c r="T442" s="106">
        <v>2061</v>
      </c>
      <c r="U442" s="106">
        <v>170</v>
      </c>
      <c r="V442" s="106">
        <v>17588303.050688099</v>
      </c>
      <c r="W442" s="106">
        <v>1</v>
      </c>
      <c r="X442" s="106">
        <v>2</v>
      </c>
      <c r="Y442" s="106">
        <v>2</v>
      </c>
      <c r="Z442" s="106">
        <v>2</v>
      </c>
      <c r="AA442" s="106">
        <v>2500000</v>
      </c>
      <c r="AB442" s="106">
        <v>5000000</v>
      </c>
      <c r="AC442" s="106">
        <v>5000000</v>
      </c>
      <c r="AD442" s="106">
        <v>5000000</v>
      </c>
      <c r="AE442" s="106">
        <v>17500000</v>
      </c>
      <c r="AF442" s="106">
        <v>17500000</v>
      </c>
      <c r="AH442" s="106">
        <v>322560</v>
      </c>
      <c r="AI442" s="106">
        <v>0.11</v>
      </c>
      <c r="AJ442" s="106">
        <v>10</v>
      </c>
      <c r="AK442" s="106">
        <v>3225.6</v>
      </c>
      <c r="AL442" s="106">
        <v>32256</v>
      </c>
      <c r="AM442" s="106">
        <v>258038</v>
      </c>
      <c r="AN442" s="106">
        <v>258038</v>
      </c>
      <c r="AO442" s="106">
        <v>153270</v>
      </c>
      <c r="AP442" s="106" t="s">
        <v>179</v>
      </c>
      <c r="AQ442" s="106" t="s">
        <v>518</v>
      </c>
      <c r="AR442" s="106">
        <v>1254</v>
      </c>
      <c r="AS442" s="106">
        <v>9460000</v>
      </c>
      <c r="AT442" s="106">
        <v>9460000</v>
      </c>
      <c r="AU442" s="108" t="s">
        <v>1801</v>
      </c>
      <c r="AV442" s="108" t="s">
        <v>1808</v>
      </c>
      <c r="AW442" s="108">
        <v>10000401</v>
      </c>
      <c r="AX442" s="108">
        <v>980000</v>
      </c>
      <c r="AY442" s="108">
        <v>980000</v>
      </c>
      <c r="BY442" s="112" t="s">
        <v>1766</v>
      </c>
      <c r="BZ442" s="112" t="s">
        <v>1766</v>
      </c>
      <c r="CA442" s="112" t="s">
        <v>1766</v>
      </c>
      <c r="CB442" s="112" t="s">
        <v>1766</v>
      </c>
      <c r="CC442" s="112" t="s">
        <v>1766</v>
      </c>
      <c r="CD442" s="112" t="s">
        <v>1766</v>
      </c>
      <c r="CE442" s="112" t="s">
        <v>1766</v>
      </c>
      <c r="CF442" s="112" t="s">
        <v>1766</v>
      </c>
      <c r="CG442" s="112" t="s">
        <v>1766</v>
      </c>
      <c r="CH442" s="112" t="s">
        <v>1766</v>
      </c>
      <c r="CI442" s="112" t="s">
        <v>1766</v>
      </c>
      <c r="CJ442" s="112" t="s">
        <v>1766</v>
      </c>
      <c r="CK442" s="112" t="s">
        <v>1766</v>
      </c>
      <c r="CL442" s="112" t="s">
        <v>1766</v>
      </c>
      <c r="CM442" s="112" t="s">
        <v>1766</v>
      </c>
      <c r="CN442" s="112" t="s">
        <v>1766</v>
      </c>
      <c r="CO442" s="112" t="s">
        <v>1766</v>
      </c>
    </row>
    <row r="443" spans="1:93">
      <c r="A443" s="106" t="s">
        <v>515</v>
      </c>
      <c r="B443" s="106">
        <v>22</v>
      </c>
      <c r="C443" s="106">
        <v>3</v>
      </c>
      <c r="D443" s="106">
        <v>12</v>
      </c>
      <c r="E443" s="106">
        <v>1</v>
      </c>
      <c r="F443" s="106">
        <v>1</v>
      </c>
      <c r="G443" s="106" t="s">
        <v>66</v>
      </c>
      <c r="H443" s="106" t="s">
        <v>539</v>
      </c>
      <c r="I443" s="106">
        <v>201</v>
      </c>
      <c r="J443" s="106">
        <v>230</v>
      </c>
      <c r="K443" s="106" t="s">
        <v>1498</v>
      </c>
      <c r="L443" s="106" t="s">
        <v>1295</v>
      </c>
      <c r="M443" s="106" t="s">
        <v>1507</v>
      </c>
      <c r="O443" s="106">
        <v>0</v>
      </c>
      <c r="S443" s="106" t="s">
        <v>1809</v>
      </c>
      <c r="T443" s="106">
        <v>2061</v>
      </c>
      <c r="U443" s="106">
        <v>185</v>
      </c>
      <c r="V443" s="106">
        <v>22513027.904880699</v>
      </c>
      <c r="W443" s="106">
        <v>1</v>
      </c>
      <c r="X443" s="106">
        <v>2</v>
      </c>
      <c r="Y443" s="106">
        <v>2</v>
      </c>
      <c r="Z443" s="106">
        <v>2</v>
      </c>
      <c r="AA443" s="106">
        <v>3200000</v>
      </c>
      <c r="AB443" s="106">
        <v>6400000</v>
      </c>
      <c r="AC443" s="106">
        <v>6400000</v>
      </c>
      <c r="AD443" s="106">
        <v>6400000</v>
      </c>
      <c r="AE443" s="106">
        <v>22400000</v>
      </c>
      <c r="AF443" s="106">
        <v>22400000</v>
      </c>
      <c r="AH443" s="106">
        <v>423360</v>
      </c>
      <c r="AI443" s="106">
        <v>0.125</v>
      </c>
      <c r="AJ443" s="106">
        <v>10</v>
      </c>
      <c r="AK443" s="106">
        <v>4233.6000000000004</v>
      </c>
      <c r="AL443" s="106">
        <v>42336</v>
      </c>
      <c r="AM443" s="106">
        <v>333684</v>
      </c>
      <c r="AN443" s="106">
        <v>333684</v>
      </c>
      <c r="AO443" s="106">
        <v>198296</v>
      </c>
      <c r="AP443" s="106" t="s">
        <v>179</v>
      </c>
      <c r="AQ443" s="106" t="s">
        <v>518</v>
      </c>
      <c r="AR443" s="106">
        <v>1254</v>
      </c>
      <c r="AS443" s="106">
        <v>10480000</v>
      </c>
      <c r="AT443" s="106">
        <v>10480000</v>
      </c>
      <c r="AU443" s="108" t="s">
        <v>1801</v>
      </c>
      <c r="AV443" s="108" t="s">
        <v>1808</v>
      </c>
      <c r="AW443" s="108">
        <v>10000401</v>
      </c>
      <c r="AX443" s="108">
        <v>1060000</v>
      </c>
      <c r="AY443" s="108">
        <v>1060000</v>
      </c>
      <c r="BY443" s="112" t="s">
        <v>1766</v>
      </c>
      <c r="BZ443" s="112" t="s">
        <v>1766</v>
      </c>
      <c r="CA443" s="112" t="s">
        <v>1766</v>
      </c>
      <c r="CB443" s="112" t="s">
        <v>1766</v>
      </c>
      <c r="CC443" s="112" t="s">
        <v>1766</v>
      </c>
      <c r="CD443" s="112" t="s">
        <v>1766</v>
      </c>
      <c r="CE443" s="112" t="s">
        <v>1766</v>
      </c>
      <c r="CF443" s="112" t="s">
        <v>1766</v>
      </c>
      <c r="CG443" s="112" t="s">
        <v>1766</v>
      </c>
      <c r="CH443" s="112" t="s">
        <v>1766</v>
      </c>
      <c r="CI443" s="112" t="s">
        <v>1766</v>
      </c>
      <c r="CJ443" s="112" t="s">
        <v>1766</v>
      </c>
      <c r="CK443" s="112" t="s">
        <v>1766</v>
      </c>
      <c r="CL443" s="112" t="s">
        <v>1766</v>
      </c>
      <c r="CM443" s="112" t="s">
        <v>1766</v>
      </c>
      <c r="CN443" s="112" t="s">
        <v>1766</v>
      </c>
      <c r="CO443" s="112" t="s">
        <v>1766</v>
      </c>
    </row>
    <row r="444" spans="1:93">
      <c r="A444" s="106" t="s">
        <v>515</v>
      </c>
      <c r="B444" s="106">
        <v>23</v>
      </c>
      <c r="C444" s="106">
        <v>3</v>
      </c>
      <c r="D444" s="106">
        <v>12</v>
      </c>
      <c r="E444" s="106">
        <v>1</v>
      </c>
      <c r="F444" s="106">
        <v>1</v>
      </c>
      <c r="G444" s="106" t="s">
        <v>66</v>
      </c>
      <c r="H444" s="106" t="s">
        <v>539</v>
      </c>
      <c r="I444" s="106">
        <v>201</v>
      </c>
      <c r="J444" s="106">
        <v>230</v>
      </c>
      <c r="K444" s="106" t="s">
        <v>1498</v>
      </c>
      <c r="L444" s="106" t="s">
        <v>1298</v>
      </c>
      <c r="M444" s="106" t="s">
        <v>1508</v>
      </c>
      <c r="O444" s="106">
        <v>0</v>
      </c>
      <c r="S444" s="106" t="s">
        <v>1809</v>
      </c>
      <c r="T444" s="106">
        <v>2061</v>
      </c>
      <c r="U444" s="106">
        <v>205</v>
      </c>
      <c r="V444" s="106">
        <v>28816675.718247298</v>
      </c>
      <c r="W444" s="106">
        <v>1</v>
      </c>
      <c r="X444" s="106">
        <v>2</v>
      </c>
      <c r="Y444" s="106">
        <v>2</v>
      </c>
      <c r="Z444" s="106">
        <v>2</v>
      </c>
      <c r="AA444" s="106">
        <v>4100000</v>
      </c>
      <c r="AB444" s="106">
        <v>8200000</v>
      </c>
      <c r="AC444" s="106">
        <v>8200000</v>
      </c>
      <c r="AD444" s="106">
        <v>8200000</v>
      </c>
      <c r="AE444" s="106">
        <v>28700000</v>
      </c>
      <c r="AF444" s="106">
        <v>28700000</v>
      </c>
      <c r="AH444" s="106">
        <v>544320</v>
      </c>
      <c r="AI444" s="106">
        <v>0.125</v>
      </c>
      <c r="AJ444" s="106">
        <v>11</v>
      </c>
      <c r="AK444" s="106">
        <v>5443.2</v>
      </c>
      <c r="AL444" s="106">
        <v>59875.199999999997</v>
      </c>
      <c r="AM444" s="106">
        <v>423664</v>
      </c>
      <c r="AN444" s="106">
        <v>423664</v>
      </c>
      <c r="AO444" s="106">
        <v>255929</v>
      </c>
      <c r="AP444" s="106" t="s">
        <v>179</v>
      </c>
      <c r="AQ444" s="106" t="s">
        <v>518</v>
      </c>
      <c r="AR444" s="106">
        <v>1254</v>
      </c>
      <c r="AS444" s="106">
        <v>11520000</v>
      </c>
      <c r="AT444" s="106">
        <v>11520000</v>
      </c>
      <c r="AU444" s="108" t="s">
        <v>1801</v>
      </c>
      <c r="AV444" s="108" t="s">
        <v>1808</v>
      </c>
      <c r="AW444" s="108">
        <v>10000401</v>
      </c>
      <c r="AX444" s="108">
        <v>1140000</v>
      </c>
      <c r="AY444" s="108">
        <v>1140000</v>
      </c>
      <c r="BY444" s="112" t="s">
        <v>1766</v>
      </c>
      <c r="BZ444" s="112" t="s">
        <v>1766</v>
      </c>
      <c r="CA444" s="112" t="s">
        <v>1766</v>
      </c>
      <c r="CB444" s="112" t="s">
        <v>1766</v>
      </c>
      <c r="CC444" s="112" t="s">
        <v>1766</v>
      </c>
      <c r="CD444" s="112" t="s">
        <v>1766</v>
      </c>
      <c r="CE444" s="112" t="s">
        <v>1766</v>
      </c>
      <c r="CF444" s="112" t="s">
        <v>1766</v>
      </c>
      <c r="CG444" s="112" t="s">
        <v>1766</v>
      </c>
      <c r="CH444" s="112" t="s">
        <v>1766</v>
      </c>
      <c r="CI444" s="112" t="s">
        <v>1766</v>
      </c>
      <c r="CJ444" s="112" t="s">
        <v>1766</v>
      </c>
      <c r="CK444" s="112" t="s">
        <v>1766</v>
      </c>
      <c r="CL444" s="112" t="s">
        <v>1766</v>
      </c>
      <c r="CM444" s="112" t="s">
        <v>1766</v>
      </c>
      <c r="CN444" s="112" t="s">
        <v>1766</v>
      </c>
      <c r="CO444" s="112" t="s">
        <v>1766</v>
      </c>
    </row>
    <row r="445" spans="1:93">
      <c r="A445" s="106" t="s">
        <v>515</v>
      </c>
      <c r="B445" s="106">
        <v>24</v>
      </c>
      <c r="C445" s="106">
        <v>3</v>
      </c>
      <c r="D445" s="106">
        <v>12</v>
      </c>
      <c r="E445" s="106">
        <v>1</v>
      </c>
      <c r="F445" s="106">
        <v>1</v>
      </c>
      <c r="G445" s="106" t="s">
        <v>66</v>
      </c>
      <c r="H445" s="106" t="s">
        <v>539</v>
      </c>
      <c r="I445" s="106">
        <v>201</v>
      </c>
      <c r="J445" s="106">
        <v>230</v>
      </c>
      <c r="K445" s="106" t="s">
        <v>1498</v>
      </c>
      <c r="L445" s="106" t="s">
        <v>1302</v>
      </c>
      <c r="M445" s="106" t="s">
        <v>1509</v>
      </c>
      <c r="O445" s="106">
        <v>0</v>
      </c>
      <c r="S445" s="106" t="s">
        <v>1809</v>
      </c>
      <c r="T445" s="106">
        <v>2061</v>
      </c>
      <c r="U445" s="106">
        <v>225</v>
      </c>
      <c r="V445" s="106">
        <v>36885344.919356599</v>
      </c>
      <c r="W445" s="106">
        <v>1</v>
      </c>
      <c r="X445" s="106">
        <v>2</v>
      </c>
      <c r="Y445" s="106">
        <v>2</v>
      </c>
      <c r="Z445" s="106">
        <v>2</v>
      </c>
      <c r="AA445" s="106">
        <v>5300000</v>
      </c>
      <c r="AB445" s="106">
        <v>11000000</v>
      </c>
      <c r="AC445" s="106">
        <v>11000000</v>
      </c>
      <c r="AD445" s="106">
        <v>11000000</v>
      </c>
      <c r="AE445" s="106">
        <v>38300000</v>
      </c>
      <c r="AF445" s="106">
        <v>38300000</v>
      </c>
      <c r="AH445" s="106">
        <v>695520</v>
      </c>
      <c r="AI445" s="106">
        <v>0.125</v>
      </c>
      <c r="AJ445" s="106">
        <v>12</v>
      </c>
      <c r="AK445" s="106">
        <v>6955.2</v>
      </c>
      <c r="AL445" s="106">
        <v>83462.399999999994</v>
      </c>
      <c r="AM445" s="106">
        <v>534477</v>
      </c>
      <c r="AN445" s="106">
        <v>534477</v>
      </c>
      <c r="AO445" s="106">
        <v>329700</v>
      </c>
      <c r="AP445" s="106" t="s">
        <v>179</v>
      </c>
      <c r="AQ445" s="106" t="s">
        <v>518</v>
      </c>
      <c r="AR445" s="106">
        <v>1254</v>
      </c>
      <c r="AS445" s="106">
        <v>12580000</v>
      </c>
      <c r="AT445" s="106">
        <v>12580000</v>
      </c>
      <c r="AU445" s="108" t="s">
        <v>1801</v>
      </c>
      <c r="AV445" s="108" t="s">
        <v>1808</v>
      </c>
      <c r="AW445" s="108">
        <v>10000401</v>
      </c>
      <c r="AX445" s="108">
        <v>1220000</v>
      </c>
      <c r="AY445" s="108">
        <v>1220000</v>
      </c>
      <c r="BY445" s="112" t="s">
        <v>1766</v>
      </c>
      <c r="BZ445" s="112" t="s">
        <v>1766</v>
      </c>
      <c r="CA445" s="112" t="s">
        <v>1766</v>
      </c>
      <c r="CB445" s="112" t="s">
        <v>1766</v>
      </c>
      <c r="CC445" s="112" t="s">
        <v>1766</v>
      </c>
      <c r="CD445" s="112" t="s">
        <v>1766</v>
      </c>
      <c r="CE445" s="112" t="s">
        <v>1766</v>
      </c>
      <c r="CF445" s="112" t="s">
        <v>1766</v>
      </c>
      <c r="CG445" s="112" t="s">
        <v>1766</v>
      </c>
      <c r="CH445" s="112" t="s">
        <v>1766</v>
      </c>
      <c r="CI445" s="112" t="s">
        <v>1766</v>
      </c>
      <c r="CJ445" s="112" t="s">
        <v>1766</v>
      </c>
      <c r="CK445" s="112" t="s">
        <v>1766</v>
      </c>
      <c r="CL445" s="112" t="s">
        <v>1766</v>
      </c>
      <c r="CM445" s="112" t="s">
        <v>1766</v>
      </c>
      <c r="CN445" s="112" t="s">
        <v>1766</v>
      </c>
      <c r="CO445" s="112" t="s">
        <v>1766</v>
      </c>
    </row>
    <row r="446" spans="1:93">
      <c r="A446" s="106" t="s">
        <v>515</v>
      </c>
      <c r="B446" s="106">
        <v>25</v>
      </c>
      <c r="C446" s="106">
        <v>3</v>
      </c>
      <c r="D446" s="106">
        <v>12</v>
      </c>
      <c r="E446" s="106">
        <v>1</v>
      </c>
      <c r="F446" s="106">
        <v>1</v>
      </c>
      <c r="G446" s="106" t="s">
        <v>66</v>
      </c>
      <c r="H446" s="106" t="s">
        <v>539</v>
      </c>
      <c r="I446" s="106">
        <v>201</v>
      </c>
      <c r="J446" s="106">
        <v>230</v>
      </c>
      <c r="K446" s="106" t="s">
        <v>1498</v>
      </c>
      <c r="L446" s="106" t="s">
        <v>1305</v>
      </c>
      <c r="M446" s="106" t="s">
        <v>1510</v>
      </c>
      <c r="O446" s="106">
        <v>0</v>
      </c>
      <c r="S446" s="106" t="s">
        <v>1809</v>
      </c>
      <c r="T446" s="106">
        <v>2061</v>
      </c>
      <c r="U446" s="106">
        <v>245</v>
      </c>
      <c r="V446" s="106">
        <v>47213241.496776402</v>
      </c>
      <c r="W446" s="106">
        <v>1</v>
      </c>
      <c r="X446" s="106">
        <v>2</v>
      </c>
      <c r="Y446" s="106">
        <v>2</v>
      </c>
      <c r="Z446" s="106">
        <v>2</v>
      </c>
      <c r="AA446" s="106">
        <v>6700000</v>
      </c>
      <c r="AB446" s="106">
        <v>13000000</v>
      </c>
      <c r="AC446" s="106">
        <v>13000000</v>
      </c>
      <c r="AD446" s="106">
        <v>13000000</v>
      </c>
      <c r="AE446" s="106">
        <v>45700000</v>
      </c>
      <c r="AF446" s="106">
        <v>45700000</v>
      </c>
      <c r="AH446" s="106">
        <v>876960</v>
      </c>
      <c r="AI446" s="106">
        <v>0.125</v>
      </c>
      <c r="AJ446" s="106">
        <v>13</v>
      </c>
      <c r="AK446" s="106">
        <v>8769.6</v>
      </c>
      <c r="AL446" s="106">
        <v>114004.8</v>
      </c>
      <c r="AM446" s="106">
        <v>665215</v>
      </c>
      <c r="AN446" s="106">
        <v>665215</v>
      </c>
      <c r="AO446" s="106">
        <v>424126</v>
      </c>
      <c r="AP446" s="106" t="s">
        <v>179</v>
      </c>
      <c r="AQ446" s="106" t="s">
        <v>518</v>
      </c>
      <c r="AR446" s="106">
        <v>1254</v>
      </c>
      <c r="AS446" s="106">
        <v>13730000</v>
      </c>
      <c r="AT446" s="106">
        <v>13730000</v>
      </c>
      <c r="AU446" s="108" t="s">
        <v>1801</v>
      </c>
      <c r="AV446" s="108" t="s">
        <v>1808</v>
      </c>
      <c r="AW446" s="108">
        <v>10000401</v>
      </c>
      <c r="AX446" s="108">
        <v>1300000</v>
      </c>
      <c r="AY446" s="108">
        <v>1300000</v>
      </c>
      <c r="BY446" s="112" t="s">
        <v>1766</v>
      </c>
      <c r="BZ446" s="112" t="s">
        <v>1766</v>
      </c>
      <c r="CA446" s="112" t="s">
        <v>1766</v>
      </c>
      <c r="CB446" s="112" t="s">
        <v>1766</v>
      </c>
      <c r="CC446" s="112" t="s">
        <v>1766</v>
      </c>
      <c r="CD446" s="112" t="s">
        <v>1766</v>
      </c>
      <c r="CE446" s="112" t="s">
        <v>1766</v>
      </c>
      <c r="CF446" s="112" t="s">
        <v>1766</v>
      </c>
      <c r="CG446" s="112" t="s">
        <v>1766</v>
      </c>
      <c r="CH446" s="112" t="s">
        <v>1766</v>
      </c>
      <c r="CI446" s="112" t="s">
        <v>1766</v>
      </c>
      <c r="CJ446" s="112" t="s">
        <v>1766</v>
      </c>
      <c r="CK446" s="112" t="s">
        <v>1766</v>
      </c>
      <c r="CL446" s="112" t="s">
        <v>1766</v>
      </c>
      <c r="CM446" s="112" t="s">
        <v>1766</v>
      </c>
      <c r="CN446" s="112" t="s">
        <v>1766</v>
      </c>
      <c r="CO446" s="112" t="s">
        <v>1766</v>
      </c>
    </row>
    <row r="447" spans="1:93">
      <c r="A447" s="106" t="s">
        <v>515</v>
      </c>
      <c r="B447" s="106">
        <v>26</v>
      </c>
      <c r="C447" s="106">
        <v>3</v>
      </c>
      <c r="D447" s="106">
        <v>12</v>
      </c>
      <c r="E447" s="106">
        <v>1</v>
      </c>
      <c r="F447" s="106">
        <v>1</v>
      </c>
      <c r="G447" s="106" t="s">
        <v>66</v>
      </c>
      <c r="H447" s="106" t="s">
        <v>539</v>
      </c>
      <c r="I447" s="106">
        <v>201</v>
      </c>
      <c r="J447" s="106">
        <v>230</v>
      </c>
      <c r="K447" s="106" t="s">
        <v>1498</v>
      </c>
      <c r="L447" s="106" t="s">
        <v>1308</v>
      </c>
      <c r="M447" s="106" t="s">
        <v>1511</v>
      </c>
      <c r="O447" s="106">
        <v>0</v>
      </c>
      <c r="S447" s="106" t="s">
        <v>1809</v>
      </c>
      <c r="T447" s="106">
        <v>2061</v>
      </c>
      <c r="U447" s="106">
        <v>265</v>
      </c>
      <c r="V447" s="106">
        <v>60432949.115873799</v>
      </c>
      <c r="W447" s="106">
        <v>1</v>
      </c>
      <c r="X447" s="106">
        <v>2</v>
      </c>
      <c r="Y447" s="106">
        <v>2</v>
      </c>
      <c r="Z447" s="106">
        <v>2</v>
      </c>
      <c r="AA447" s="106">
        <v>8600000</v>
      </c>
      <c r="AB447" s="106">
        <v>17000000</v>
      </c>
      <c r="AC447" s="106">
        <v>17000000</v>
      </c>
      <c r="AD447" s="106">
        <v>17000000</v>
      </c>
      <c r="AE447" s="106">
        <v>59600000</v>
      </c>
      <c r="AF447" s="106">
        <v>59600000</v>
      </c>
      <c r="AH447" s="106">
        <v>1088640</v>
      </c>
      <c r="AI447" s="106">
        <v>0.14499999999999999</v>
      </c>
      <c r="AJ447" s="106">
        <v>14</v>
      </c>
      <c r="AK447" s="106">
        <v>10886.4</v>
      </c>
      <c r="AL447" s="106">
        <v>152409.60000000001</v>
      </c>
      <c r="AM447" s="106">
        <v>798067</v>
      </c>
      <c r="AN447" s="106">
        <v>798067</v>
      </c>
      <c r="AO447" s="106">
        <v>544992</v>
      </c>
      <c r="AP447" s="106" t="s">
        <v>179</v>
      </c>
      <c r="AQ447" s="106" t="s">
        <v>518</v>
      </c>
      <c r="AR447" s="106">
        <v>1254</v>
      </c>
      <c r="AS447" s="106">
        <v>14900000</v>
      </c>
      <c r="AT447" s="106">
        <v>14900000</v>
      </c>
      <c r="AU447" s="108" t="s">
        <v>1801</v>
      </c>
      <c r="AV447" s="108" t="s">
        <v>1808</v>
      </c>
      <c r="AW447" s="108">
        <v>10000401</v>
      </c>
      <c r="AX447" s="108">
        <v>1400000</v>
      </c>
      <c r="AY447" s="108">
        <v>1400000</v>
      </c>
      <c r="BY447" s="112" t="s">
        <v>1766</v>
      </c>
      <c r="BZ447" s="112" t="s">
        <v>1766</v>
      </c>
      <c r="CA447" s="112" t="s">
        <v>1766</v>
      </c>
      <c r="CB447" s="112" t="s">
        <v>1766</v>
      </c>
      <c r="CC447" s="112" t="s">
        <v>1766</v>
      </c>
      <c r="CD447" s="112" t="s">
        <v>1766</v>
      </c>
      <c r="CE447" s="112" t="s">
        <v>1766</v>
      </c>
      <c r="CF447" s="112" t="s">
        <v>1766</v>
      </c>
      <c r="CG447" s="112" t="s">
        <v>1766</v>
      </c>
      <c r="CH447" s="112" t="s">
        <v>1766</v>
      </c>
      <c r="CI447" s="112" t="s">
        <v>1766</v>
      </c>
      <c r="CJ447" s="112" t="s">
        <v>1766</v>
      </c>
      <c r="CK447" s="112" t="s">
        <v>1766</v>
      </c>
      <c r="CL447" s="112" t="s">
        <v>1766</v>
      </c>
      <c r="CM447" s="112" t="s">
        <v>1766</v>
      </c>
      <c r="CN447" s="112" t="s">
        <v>1766</v>
      </c>
      <c r="CO447" s="112" t="s">
        <v>1766</v>
      </c>
    </row>
    <row r="448" spans="1:93">
      <c r="A448" s="106" t="s">
        <v>515</v>
      </c>
      <c r="B448" s="106">
        <v>27</v>
      </c>
      <c r="C448" s="106">
        <v>3</v>
      </c>
      <c r="D448" s="106">
        <v>12</v>
      </c>
      <c r="E448" s="106">
        <v>1</v>
      </c>
      <c r="F448" s="106">
        <v>1</v>
      </c>
      <c r="G448" s="106" t="s">
        <v>66</v>
      </c>
      <c r="H448" s="106" t="s">
        <v>539</v>
      </c>
      <c r="I448" s="106">
        <v>201</v>
      </c>
      <c r="J448" s="106">
        <v>230</v>
      </c>
      <c r="K448" s="106" t="s">
        <v>1498</v>
      </c>
      <c r="L448" s="106" t="s">
        <v>1311</v>
      </c>
      <c r="M448" s="106" t="s">
        <v>1512</v>
      </c>
      <c r="O448" s="106">
        <v>0</v>
      </c>
      <c r="S448" s="106" t="s">
        <v>1809</v>
      </c>
      <c r="T448" s="106">
        <v>2061</v>
      </c>
      <c r="U448" s="106">
        <v>290</v>
      </c>
      <c r="V448" s="106">
        <v>77354174.868318498</v>
      </c>
      <c r="W448" s="106">
        <v>1</v>
      </c>
      <c r="X448" s="106">
        <v>2</v>
      </c>
      <c r="Y448" s="106">
        <v>2</v>
      </c>
      <c r="Z448" s="106">
        <v>2</v>
      </c>
      <c r="AA448" s="106">
        <v>11000000</v>
      </c>
      <c r="AB448" s="106">
        <v>22000000</v>
      </c>
      <c r="AC448" s="106">
        <v>22000000</v>
      </c>
      <c r="AD448" s="106">
        <v>22000000</v>
      </c>
      <c r="AE448" s="106">
        <v>77000000</v>
      </c>
      <c r="AF448" s="106">
        <v>77000000</v>
      </c>
      <c r="AH448" s="106">
        <v>1330560</v>
      </c>
      <c r="AI448" s="106">
        <v>0.16500000000000001</v>
      </c>
      <c r="AJ448" s="106">
        <v>15</v>
      </c>
      <c r="AK448" s="106">
        <v>13305.6</v>
      </c>
      <c r="AL448" s="106">
        <v>199584</v>
      </c>
      <c r="AM448" s="106">
        <v>942227</v>
      </c>
      <c r="AN448" s="106">
        <v>942227</v>
      </c>
      <c r="AO448" s="106">
        <v>699700</v>
      </c>
      <c r="AP448" s="106" t="s">
        <v>179</v>
      </c>
      <c r="AQ448" s="106" t="s">
        <v>518</v>
      </c>
      <c r="AR448" s="106">
        <v>1254</v>
      </c>
      <c r="AS448" s="106">
        <v>16090000</v>
      </c>
      <c r="AT448" s="106">
        <v>16090000</v>
      </c>
      <c r="AU448" s="108" t="s">
        <v>1801</v>
      </c>
      <c r="AV448" s="108" t="s">
        <v>1808</v>
      </c>
      <c r="AW448" s="108">
        <v>10000401</v>
      </c>
      <c r="AX448" s="108">
        <v>1520000</v>
      </c>
      <c r="AY448" s="108">
        <v>1520000</v>
      </c>
      <c r="BY448" s="112" t="s">
        <v>1766</v>
      </c>
      <c r="BZ448" s="112" t="s">
        <v>1766</v>
      </c>
      <c r="CA448" s="112" t="s">
        <v>1766</v>
      </c>
      <c r="CB448" s="112" t="s">
        <v>1766</v>
      </c>
      <c r="CC448" s="112" t="s">
        <v>1766</v>
      </c>
      <c r="CD448" s="112" t="s">
        <v>1766</v>
      </c>
      <c r="CE448" s="112" t="s">
        <v>1766</v>
      </c>
      <c r="CF448" s="112" t="s">
        <v>1766</v>
      </c>
      <c r="CG448" s="112" t="s">
        <v>1766</v>
      </c>
      <c r="CH448" s="112" t="s">
        <v>1766</v>
      </c>
      <c r="CI448" s="112" t="s">
        <v>1766</v>
      </c>
      <c r="CJ448" s="112" t="s">
        <v>1766</v>
      </c>
      <c r="CK448" s="112" t="s">
        <v>1766</v>
      </c>
      <c r="CL448" s="112" t="s">
        <v>1766</v>
      </c>
      <c r="CM448" s="112" t="s">
        <v>1766</v>
      </c>
      <c r="CN448" s="112" t="s">
        <v>1766</v>
      </c>
      <c r="CO448" s="112" t="s">
        <v>1766</v>
      </c>
    </row>
    <row r="449" spans="1:93">
      <c r="A449" s="106" t="s">
        <v>515</v>
      </c>
      <c r="B449" s="106">
        <v>28</v>
      </c>
      <c r="C449" s="106">
        <v>3</v>
      </c>
      <c r="D449" s="106">
        <v>12</v>
      </c>
      <c r="E449" s="106">
        <v>1</v>
      </c>
      <c r="F449" s="106">
        <v>1</v>
      </c>
      <c r="G449" s="106" t="s">
        <v>66</v>
      </c>
      <c r="H449" s="106" t="s">
        <v>539</v>
      </c>
      <c r="I449" s="106">
        <v>201</v>
      </c>
      <c r="J449" s="106">
        <v>230</v>
      </c>
      <c r="K449" s="106" t="s">
        <v>1498</v>
      </c>
      <c r="L449" s="106" t="s">
        <v>1314</v>
      </c>
      <c r="M449" s="106" t="s">
        <v>1513</v>
      </c>
      <c r="O449" s="106">
        <v>0</v>
      </c>
      <c r="S449" s="106" t="s">
        <v>1809</v>
      </c>
      <c r="T449" s="106">
        <v>2061</v>
      </c>
      <c r="U449" s="106">
        <v>310</v>
      </c>
      <c r="V449" s="106">
        <v>99013343.831447706</v>
      </c>
      <c r="W449" s="106">
        <v>1</v>
      </c>
      <c r="X449" s="106">
        <v>2</v>
      </c>
      <c r="Y449" s="106">
        <v>2</v>
      </c>
      <c r="Z449" s="106">
        <v>2</v>
      </c>
      <c r="AA449" s="106">
        <v>14000000</v>
      </c>
      <c r="AB449" s="106">
        <v>28000000</v>
      </c>
      <c r="AC449" s="106">
        <v>28000000</v>
      </c>
      <c r="AD449" s="106">
        <v>28000000</v>
      </c>
      <c r="AE449" s="106">
        <v>98000000</v>
      </c>
      <c r="AF449" s="106">
        <v>98000000</v>
      </c>
      <c r="AH449" s="106">
        <v>1632960</v>
      </c>
      <c r="AI449" s="106">
        <v>0.185</v>
      </c>
      <c r="AJ449" s="106">
        <v>16</v>
      </c>
      <c r="AK449" s="106">
        <v>16329.6</v>
      </c>
      <c r="AL449" s="106">
        <v>261273.60000000001</v>
      </c>
      <c r="AM449" s="106">
        <v>1116451</v>
      </c>
      <c r="AN449" s="106">
        <v>1116451</v>
      </c>
      <c r="AO449" s="106">
        <v>897727</v>
      </c>
      <c r="AP449" s="106" t="s">
        <v>179</v>
      </c>
      <c r="AQ449" s="106" t="s">
        <v>518</v>
      </c>
      <c r="AR449" s="106">
        <v>1254</v>
      </c>
      <c r="AS449" s="106">
        <v>17300000</v>
      </c>
      <c r="AT449" s="106">
        <v>17300000</v>
      </c>
      <c r="AU449" s="108" t="s">
        <v>1801</v>
      </c>
      <c r="AV449" s="108" t="s">
        <v>1808</v>
      </c>
      <c r="AW449" s="108">
        <v>10000401</v>
      </c>
      <c r="AX449" s="108">
        <v>1660000</v>
      </c>
      <c r="AY449" s="108">
        <v>1660000</v>
      </c>
      <c r="BY449" s="112" t="s">
        <v>1766</v>
      </c>
      <c r="BZ449" s="112" t="s">
        <v>1766</v>
      </c>
      <c r="CA449" s="112" t="s">
        <v>1766</v>
      </c>
      <c r="CB449" s="112" t="s">
        <v>1766</v>
      </c>
      <c r="CC449" s="112" t="s">
        <v>1766</v>
      </c>
      <c r="CD449" s="112" t="s">
        <v>1766</v>
      </c>
      <c r="CE449" s="112" t="s">
        <v>1766</v>
      </c>
      <c r="CF449" s="112" t="s">
        <v>1766</v>
      </c>
      <c r="CG449" s="112" t="s">
        <v>1766</v>
      </c>
      <c r="CH449" s="112" t="s">
        <v>1766</v>
      </c>
      <c r="CI449" s="112" t="s">
        <v>1766</v>
      </c>
      <c r="CJ449" s="112" t="s">
        <v>1766</v>
      </c>
      <c r="CK449" s="112" t="s">
        <v>1766</v>
      </c>
      <c r="CL449" s="112" t="s">
        <v>1766</v>
      </c>
      <c r="CM449" s="112" t="s">
        <v>1766</v>
      </c>
      <c r="CN449" s="112" t="s">
        <v>1766</v>
      </c>
      <c r="CO449" s="112" t="s">
        <v>1766</v>
      </c>
    </row>
    <row r="450" spans="1:93">
      <c r="A450" s="106" t="s">
        <v>515</v>
      </c>
      <c r="B450" s="106">
        <v>29</v>
      </c>
      <c r="C450" s="106">
        <v>3</v>
      </c>
      <c r="D450" s="106">
        <v>12</v>
      </c>
      <c r="E450" s="106">
        <v>1</v>
      </c>
      <c r="F450" s="106">
        <v>1</v>
      </c>
      <c r="G450" s="106" t="s">
        <v>66</v>
      </c>
      <c r="H450" s="106" t="s">
        <v>539</v>
      </c>
      <c r="I450" s="106">
        <v>201</v>
      </c>
      <c r="J450" s="106">
        <v>230</v>
      </c>
      <c r="K450" s="106" t="s">
        <v>1498</v>
      </c>
      <c r="L450" s="106" t="s">
        <v>1317</v>
      </c>
      <c r="M450" s="106" t="s">
        <v>1514</v>
      </c>
      <c r="O450" s="106">
        <v>0</v>
      </c>
      <c r="S450" s="106" t="s">
        <v>1809</v>
      </c>
      <c r="T450" s="106">
        <v>2061</v>
      </c>
      <c r="U450" s="106">
        <v>335</v>
      </c>
      <c r="V450" s="106">
        <v>126737080.10425299</v>
      </c>
      <c r="W450" s="106">
        <v>1</v>
      </c>
      <c r="X450" s="106">
        <v>2</v>
      </c>
      <c r="Y450" s="106">
        <v>2</v>
      </c>
      <c r="Z450" s="106">
        <v>2</v>
      </c>
      <c r="AA450" s="106">
        <v>18000000</v>
      </c>
      <c r="AB450" s="106">
        <v>36000000</v>
      </c>
      <c r="AC450" s="106">
        <v>36000000</v>
      </c>
      <c r="AD450" s="106">
        <v>36000000</v>
      </c>
      <c r="AE450" s="106">
        <v>126000000</v>
      </c>
      <c r="AF450" s="106">
        <v>126000000</v>
      </c>
      <c r="AH450" s="106">
        <v>1995840</v>
      </c>
      <c r="AI450" s="106">
        <v>0.20499999999999999</v>
      </c>
      <c r="AJ450" s="106">
        <v>17</v>
      </c>
      <c r="AK450" s="106">
        <v>19958.400000000001</v>
      </c>
      <c r="AL450" s="106">
        <v>339292.8</v>
      </c>
      <c r="AM450" s="106">
        <v>1316705</v>
      </c>
      <c r="AN450" s="106">
        <v>1316705</v>
      </c>
      <c r="AO450" s="106">
        <v>1151201</v>
      </c>
      <c r="AP450" s="106" t="s">
        <v>179</v>
      </c>
      <c r="AQ450" s="106" t="s">
        <v>518</v>
      </c>
      <c r="AR450" s="106">
        <v>1254</v>
      </c>
      <c r="AS450" s="106">
        <v>18530000</v>
      </c>
      <c r="AT450" s="106">
        <v>18530000</v>
      </c>
      <c r="AU450" s="108" t="s">
        <v>1801</v>
      </c>
      <c r="AV450" s="108" t="s">
        <v>1808</v>
      </c>
      <c r="AW450" s="108">
        <v>10000401</v>
      </c>
      <c r="AX450" s="108">
        <v>1820000</v>
      </c>
      <c r="AY450" s="108">
        <v>1820000</v>
      </c>
      <c r="BY450" s="112" t="s">
        <v>1766</v>
      </c>
      <c r="BZ450" s="112" t="s">
        <v>1766</v>
      </c>
      <c r="CA450" s="112" t="s">
        <v>1766</v>
      </c>
      <c r="CB450" s="112" t="s">
        <v>1766</v>
      </c>
      <c r="CC450" s="112" t="s">
        <v>1766</v>
      </c>
      <c r="CD450" s="112" t="s">
        <v>1766</v>
      </c>
      <c r="CE450" s="112" t="s">
        <v>1766</v>
      </c>
      <c r="CF450" s="112" t="s">
        <v>1766</v>
      </c>
      <c r="CG450" s="112" t="s">
        <v>1766</v>
      </c>
      <c r="CH450" s="112" t="s">
        <v>1766</v>
      </c>
      <c r="CI450" s="112" t="s">
        <v>1766</v>
      </c>
      <c r="CJ450" s="112" t="s">
        <v>1766</v>
      </c>
      <c r="CK450" s="112" t="s">
        <v>1766</v>
      </c>
      <c r="CL450" s="112" t="s">
        <v>1766</v>
      </c>
      <c r="CM450" s="112" t="s">
        <v>1766</v>
      </c>
      <c r="CN450" s="112" t="s">
        <v>1766</v>
      </c>
      <c r="CO450" s="112" t="s">
        <v>1766</v>
      </c>
    </row>
    <row r="451" spans="1:93">
      <c r="A451" s="106" t="s">
        <v>515</v>
      </c>
      <c r="B451" s="106">
        <v>30</v>
      </c>
      <c r="C451" s="106">
        <v>3</v>
      </c>
      <c r="D451" s="106">
        <v>12</v>
      </c>
      <c r="E451" s="106">
        <v>1</v>
      </c>
      <c r="F451" s="106">
        <v>1</v>
      </c>
      <c r="G451" s="106" t="s">
        <v>66</v>
      </c>
      <c r="H451" s="106" t="s">
        <v>539</v>
      </c>
      <c r="I451" s="106">
        <v>201</v>
      </c>
      <c r="J451" s="106">
        <v>230</v>
      </c>
      <c r="K451" s="106" t="s">
        <v>1498</v>
      </c>
      <c r="L451" s="106" t="s">
        <v>1406</v>
      </c>
      <c r="M451" s="106" t="s">
        <v>1515</v>
      </c>
      <c r="O451" s="106">
        <v>0</v>
      </c>
      <c r="S451" s="106" t="s">
        <v>1809</v>
      </c>
      <c r="T451" s="106">
        <v>2061</v>
      </c>
      <c r="U451">
        <v>360</v>
      </c>
      <c r="V451" s="106">
        <v>162223462.53344399</v>
      </c>
      <c r="W451" s="106">
        <v>1</v>
      </c>
      <c r="X451" s="106">
        <v>2</v>
      </c>
      <c r="Y451" s="106">
        <v>2</v>
      </c>
      <c r="Z451" s="106">
        <v>2</v>
      </c>
      <c r="AA451" s="106">
        <v>23000000</v>
      </c>
      <c r="AB451" s="106">
        <v>46000000</v>
      </c>
      <c r="AC451" s="106">
        <v>46000000</v>
      </c>
      <c r="AD451" s="106">
        <v>46000000</v>
      </c>
      <c r="AE451" s="106">
        <v>161000000</v>
      </c>
      <c r="AF451" s="106">
        <v>161000000</v>
      </c>
      <c r="AH451" s="106">
        <v>2419200</v>
      </c>
      <c r="AI451" s="106">
        <v>0.22500000000000001</v>
      </c>
      <c r="AJ451" s="106">
        <v>18</v>
      </c>
      <c r="AK451" s="106">
        <v>24192</v>
      </c>
      <c r="AL451" s="106">
        <v>435456</v>
      </c>
      <c r="AM451" s="106">
        <v>1539101</v>
      </c>
      <c r="AN451" s="106">
        <v>1539101</v>
      </c>
      <c r="AO451" s="106">
        <v>1475648</v>
      </c>
      <c r="AP451" s="106" t="s">
        <v>179</v>
      </c>
      <c r="AQ451" s="106" t="s">
        <v>518</v>
      </c>
      <c r="AR451" s="106">
        <v>1254</v>
      </c>
      <c r="AS451" s="106">
        <v>20000000</v>
      </c>
      <c r="AT451" s="106">
        <v>20000000</v>
      </c>
      <c r="AU451" s="108" t="s">
        <v>1801</v>
      </c>
      <c r="AV451" s="108" t="s">
        <v>1808</v>
      </c>
      <c r="AW451" s="108">
        <v>10000401</v>
      </c>
      <c r="AX451" s="108">
        <v>2000000</v>
      </c>
      <c r="AY451" s="108">
        <v>2000000</v>
      </c>
      <c r="BY451" s="112" t="s">
        <v>1766</v>
      </c>
      <c r="BZ451" s="112" t="s">
        <v>1766</v>
      </c>
      <c r="CA451" s="112" t="s">
        <v>1766</v>
      </c>
      <c r="CB451" s="112" t="s">
        <v>1766</v>
      </c>
      <c r="CC451" s="112" t="s">
        <v>1766</v>
      </c>
      <c r="CD451" s="112" t="s">
        <v>1766</v>
      </c>
      <c r="CE451" s="112" t="s">
        <v>1766</v>
      </c>
      <c r="CF451" s="112" t="s">
        <v>1766</v>
      </c>
      <c r="CG451" s="112" t="s">
        <v>1766</v>
      </c>
      <c r="CH451" s="112" t="s">
        <v>1766</v>
      </c>
      <c r="CI451" s="112" t="s">
        <v>1766</v>
      </c>
      <c r="CJ451" s="112" t="s">
        <v>1766</v>
      </c>
      <c r="CK451" s="112" t="s">
        <v>1766</v>
      </c>
      <c r="CL451" s="112" t="s">
        <v>1766</v>
      </c>
      <c r="CM451" s="112" t="s">
        <v>1766</v>
      </c>
      <c r="CN451" s="112" t="s">
        <v>1766</v>
      </c>
      <c r="CO451" s="112" t="s">
        <v>1766</v>
      </c>
    </row>
    <row r="452" spans="1:93">
      <c r="A452" s="106" t="s">
        <v>539</v>
      </c>
      <c r="B452" s="106">
        <v>1</v>
      </c>
      <c r="C452" s="106">
        <v>2</v>
      </c>
      <c r="D452" s="106">
        <v>8</v>
      </c>
      <c r="E452" s="106">
        <v>1</v>
      </c>
      <c r="F452" s="106">
        <v>0</v>
      </c>
      <c r="G452" s="106" t="s">
        <v>66</v>
      </c>
      <c r="I452" s="106">
        <v>201</v>
      </c>
      <c r="J452" s="106" t="s">
        <v>1766</v>
      </c>
      <c r="K452" s="106" t="s">
        <v>1318</v>
      </c>
      <c r="L452" s="106" t="s">
        <v>1326</v>
      </c>
      <c r="M452" s="106" t="s">
        <v>540</v>
      </c>
      <c r="N452" s="106">
        <v>9</v>
      </c>
      <c r="O452" s="106">
        <v>9</v>
      </c>
      <c r="T452" s="106" t="s">
        <v>1766</v>
      </c>
      <c r="V452" s="106">
        <v>0</v>
      </c>
      <c r="W452" s="106">
        <v>0</v>
      </c>
      <c r="X452" s="106">
        <v>0</v>
      </c>
      <c r="Y452" s="106" t="s">
        <v>1766</v>
      </c>
      <c r="Z452" s="106" t="s">
        <v>1766</v>
      </c>
      <c r="AA452" s="106">
        <v>0</v>
      </c>
      <c r="AB452" s="106">
        <v>0</v>
      </c>
      <c r="AC452" s="106">
        <v>0</v>
      </c>
      <c r="AD452" s="106">
        <v>0</v>
      </c>
      <c r="AE452" s="106">
        <v>0</v>
      </c>
      <c r="AF452" s="106">
        <v>0</v>
      </c>
      <c r="AH452" s="106">
        <v>25</v>
      </c>
      <c r="AI452" s="106">
        <v>0</v>
      </c>
      <c r="AJ452" s="106">
        <v>0</v>
      </c>
      <c r="AK452" s="106">
        <v>120</v>
      </c>
      <c r="AL452" s="106">
        <v>0</v>
      </c>
      <c r="AM452" s="106">
        <v>1</v>
      </c>
      <c r="AN452" s="106">
        <v>1</v>
      </c>
      <c r="AO452" s="106">
        <v>4</v>
      </c>
      <c r="AP452" s="106" t="s">
        <v>137</v>
      </c>
      <c r="AQ452" s="106" t="s">
        <v>541</v>
      </c>
      <c r="AR452" s="106">
        <v>2601</v>
      </c>
      <c r="AS452" s="106">
        <v>20000</v>
      </c>
      <c r="AT452" s="106">
        <v>20000</v>
      </c>
      <c r="AU452" s="108" t="s">
        <v>182</v>
      </c>
      <c r="AV452" s="108" t="s">
        <v>542</v>
      </c>
      <c r="AW452" s="108">
        <v>1400</v>
      </c>
      <c r="AX452" s="108">
        <v>1</v>
      </c>
      <c r="AY452" s="108">
        <v>1</v>
      </c>
      <c r="BY452" s="112" t="s">
        <v>158</v>
      </c>
      <c r="BZ452" s="112" t="s">
        <v>1516</v>
      </c>
      <c r="CA452" s="112" t="s">
        <v>1785</v>
      </c>
      <c r="CB452" s="112" t="s">
        <v>137</v>
      </c>
      <c r="CC452" s="112">
        <v>16</v>
      </c>
      <c r="CD452" s="112" t="s">
        <v>1802</v>
      </c>
      <c r="CE452" s="112" t="s">
        <v>182</v>
      </c>
      <c r="CF452" s="112">
        <v>31</v>
      </c>
      <c r="CG452" s="112" t="s">
        <v>1766</v>
      </c>
      <c r="CH452" s="112" t="s">
        <v>1766</v>
      </c>
      <c r="CI452" s="112" t="s">
        <v>1766</v>
      </c>
      <c r="CJ452" s="112" t="s">
        <v>1766</v>
      </c>
      <c r="CK452" s="112" t="s">
        <v>1766</v>
      </c>
      <c r="CL452" s="112" t="s">
        <v>1766</v>
      </c>
      <c r="CM452" s="112" t="s">
        <v>1766</v>
      </c>
      <c r="CN452" s="112" t="s">
        <v>1766</v>
      </c>
      <c r="CO452" s="112" t="s">
        <v>1766</v>
      </c>
    </row>
    <row r="453" spans="1:93">
      <c r="A453" s="106" t="s">
        <v>539</v>
      </c>
      <c r="B453" s="106">
        <v>2</v>
      </c>
      <c r="C453" s="106">
        <v>2</v>
      </c>
      <c r="D453" s="106">
        <v>8</v>
      </c>
      <c r="E453" s="106">
        <v>1</v>
      </c>
      <c r="F453" s="106">
        <v>0</v>
      </c>
      <c r="G453" s="106" t="s">
        <v>66</v>
      </c>
      <c r="I453" s="106">
        <v>201</v>
      </c>
      <c r="J453" s="106" t="s">
        <v>1766</v>
      </c>
      <c r="K453" s="106" t="s">
        <v>1318</v>
      </c>
      <c r="L453" s="106" t="s">
        <v>1326</v>
      </c>
      <c r="M453" s="106" t="s">
        <v>546</v>
      </c>
      <c r="N453" s="106">
        <v>9</v>
      </c>
      <c r="O453" s="106">
        <v>9</v>
      </c>
      <c r="T453" s="106" t="s">
        <v>1766</v>
      </c>
      <c r="V453" s="106">
        <v>4000</v>
      </c>
      <c r="W453" s="106">
        <v>1</v>
      </c>
      <c r="X453" s="106">
        <v>2</v>
      </c>
      <c r="Y453" s="106" t="s">
        <v>1766</v>
      </c>
      <c r="Z453" s="106" t="s">
        <v>1766</v>
      </c>
      <c r="AA453" s="106">
        <v>1300</v>
      </c>
      <c r="AB453" s="106">
        <v>2700</v>
      </c>
      <c r="AC453" s="106">
        <v>0</v>
      </c>
      <c r="AD453" s="106">
        <v>0</v>
      </c>
      <c r="AE453" s="106">
        <v>4000</v>
      </c>
      <c r="AF453" s="106">
        <v>4000</v>
      </c>
      <c r="AH453" s="106">
        <v>72</v>
      </c>
      <c r="AI453" s="106">
        <v>0</v>
      </c>
      <c r="AJ453" s="106">
        <v>0</v>
      </c>
      <c r="AK453" s="106">
        <v>120</v>
      </c>
      <c r="AL453" s="106">
        <v>0</v>
      </c>
      <c r="AM453" s="106">
        <v>1</v>
      </c>
      <c r="AN453" s="106">
        <v>1</v>
      </c>
      <c r="AO453" s="106">
        <v>12</v>
      </c>
      <c r="AP453" s="106" t="s">
        <v>137</v>
      </c>
      <c r="AQ453" s="106" t="s">
        <v>541</v>
      </c>
      <c r="AR453" s="106">
        <v>2601</v>
      </c>
      <c r="AS453" s="106">
        <v>40000</v>
      </c>
      <c r="AT453" s="106">
        <v>40000</v>
      </c>
      <c r="AU453" s="108" t="s">
        <v>182</v>
      </c>
      <c r="AV453" s="108" t="s">
        <v>542</v>
      </c>
      <c r="AW453" s="108">
        <v>1400</v>
      </c>
      <c r="AX453" s="108">
        <v>1</v>
      </c>
      <c r="AY453" s="108">
        <v>1</v>
      </c>
      <c r="BY453" s="112" t="s">
        <v>1766</v>
      </c>
      <c r="BZ453" s="112" t="s">
        <v>1766</v>
      </c>
      <c r="CA453" s="112" t="s">
        <v>1766</v>
      </c>
      <c r="CB453" s="112" t="s">
        <v>1766</v>
      </c>
      <c r="CC453" s="112" t="s">
        <v>1766</v>
      </c>
      <c r="CD453" s="112" t="s">
        <v>1766</v>
      </c>
      <c r="CE453" s="112" t="s">
        <v>1766</v>
      </c>
      <c r="CF453" s="112" t="s">
        <v>1766</v>
      </c>
      <c r="CG453" s="112" t="s">
        <v>1766</v>
      </c>
      <c r="CH453" s="112" t="s">
        <v>1766</v>
      </c>
      <c r="CI453" s="112" t="s">
        <v>1766</v>
      </c>
      <c r="CJ453" s="112" t="s">
        <v>1766</v>
      </c>
      <c r="CK453" s="112" t="s">
        <v>1766</v>
      </c>
      <c r="CL453" s="112" t="s">
        <v>1766</v>
      </c>
      <c r="CM453" s="112" t="s">
        <v>1766</v>
      </c>
      <c r="CN453" s="112" t="s">
        <v>1766</v>
      </c>
      <c r="CO453" s="112" t="s">
        <v>1766</v>
      </c>
    </row>
    <row r="454" spans="1:93">
      <c r="A454" s="106" t="s">
        <v>539</v>
      </c>
      <c r="B454" s="106">
        <v>3</v>
      </c>
      <c r="C454" s="106">
        <v>2</v>
      </c>
      <c r="D454" s="106">
        <v>8</v>
      </c>
      <c r="E454" s="106">
        <v>1</v>
      </c>
      <c r="F454" s="106">
        <v>0</v>
      </c>
      <c r="G454" s="106" t="s">
        <v>66</v>
      </c>
      <c r="I454" s="106">
        <v>201</v>
      </c>
      <c r="J454" s="106" t="s">
        <v>1766</v>
      </c>
      <c r="K454" s="106" t="s">
        <v>1318</v>
      </c>
      <c r="L454" s="106" t="s">
        <v>1326</v>
      </c>
      <c r="M454" s="106" t="s">
        <v>547</v>
      </c>
      <c r="N454" s="106">
        <v>9</v>
      </c>
      <c r="O454" s="106">
        <v>9</v>
      </c>
      <c r="T454" s="106" t="s">
        <v>1766</v>
      </c>
      <c r="V454" s="106">
        <v>8000</v>
      </c>
      <c r="W454" s="106">
        <v>1</v>
      </c>
      <c r="X454" s="106">
        <v>2</v>
      </c>
      <c r="Y454" s="106" t="s">
        <v>1766</v>
      </c>
      <c r="Z454" s="106" t="s">
        <v>1766</v>
      </c>
      <c r="AA454" s="106">
        <v>2700</v>
      </c>
      <c r="AB454" s="106">
        <v>5300</v>
      </c>
      <c r="AC454" s="106">
        <v>0</v>
      </c>
      <c r="AD454" s="106">
        <v>0</v>
      </c>
      <c r="AE454" s="106">
        <v>8000</v>
      </c>
      <c r="AF454" s="106">
        <v>8000</v>
      </c>
      <c r="AH454" s="106">
        <v>144</v>
      </c>
      <c r="AI454" s="106">
        <v>0</v>
      </c>
      <c r="AJ454" s="106">
        <v>1</v>
      </c>
      <c r="AK454" s="106">
        <v>120</v>
      </c>
      <c r="AL454" s="106">
        <v>120</v>
      </c>
      <c r="AM454" s="106">
        <v>1</v>
      </c>
      <c r="AN454" s="106">
        <v>1</v>
      </c>
      <c r="AO454" s="106">
        <v>28</v>
      </c>
      <c r="AP454" s="106" t="s">
        <v>137</v>
      </c>
      <c r="AQ454" s="106" t="s">
        <v>541</v>
      </c>
      <c r="AR454" s="106">
        <v>2601</v>
      </c>
      <c r="AS454" s="106">
        <v>60000</v>
      </c>
      <c r="AT454" s="106">
        <v>60000</v>
      </c>
      <c r="AU454" s="108" t="s">
        <v>182</v>
      </c>
      <c r="AV454" s="108" t="s">
        <v>542</v>
      </c>
      <c r="AW454" s="108">
        <v>1400</v>
      </c>
      <c r="AX454" s="108">
        <v>2</v>
      </c>
      <c r="AY454" s="108">
        <v>2</v>
      </c>
      <c r="BY454" s="112" t="s">
        <v>1766</v>
      </c>
      <c r="BZ454" s="112" t="s">
        <v>1766</v>
      </c>
      <c r="CA454" s="112" t="s">
        <v>1766</v>
      </c>
      <c r="CB454" s="112" t="s">
        <v>1766</v>
      </c>
      <c r="CC454" s="112" t="s">
        <v>1766</v>
      </c>
      <c r="CD454" s="112" t="s">
        <v>1766</v>
      </c>
      <c r="CE454" s="112" t="s">
        <v>1766</v>
      </c>
      <c r="CF454" s="112" t="s">
        <v>1766</v>
      </c>
      <c r="CG454" s="112" t="s">
        <v>1766</v>
      </c>
      <c r="CH454" s="112" t="s">
        <v>1766</v>
      </c>
      <c r="CI454" s="112" t="s">
        <v>1766</v>
      </c>
      <c r="CJ454" s="112" t="s">
        <v>1766</v>
      </c>
      <c r="CK454" s="112" t="s">
        <v>1766</v>
      </c>
      <c r="CL454" s="112" t="s">
        <v>1766</v>
      </c>
      <c r="CM454" s="112" t="s">
        <v>1766</v>
      </c>
      <c r="CN454" s="112" t="s">
        <v>1766</v>
      </c>
      <c r="CO454" s="112" t="s">
        <v>1766</v>
      </c>
    </row>
    <row r="455" spans="1:93">
      <c r="A455" s="106" t="s">
        <v>539</v>
      </c>
      <c r="B455" s="106">
        <v>4</v>
      </c>
      <c r="C455" s="106">
        <v>2</v>
      </c>
      <c r="D455" s="106">
        <v>8</v>
      </c>
      <c r="E455" s="106">
        <v>1</v>
      </c>
      <c r="F455" s="106">
        <v>0</v>
      </c>
      <c r="G455" s="106" t="s">
        <v>66</v>
      </c>
      <c r="I455" s="106">
        <v>201</v>
      </c>
      <c r="J455" s="106" t="s">
        <v>1766</v>
      </c>
      <c r="K455" s="106" t="s">
        <v>1318</v>
      </c>
      <c r="L455" s="106" t="s">
        <v>1326</v>
      </c>
      <c r="M455" s="106" t="s">
        <v>548</v>
      </c>
      <c r="N455" s="106">
        <v>9</v>
      </c>
      <c r="O455" s="106">
        <v>9</v>
      </c>
      <c r="T455" s="106" t="s">
        <v>1766</v>
      </c>
      <c r="V455" s="106">
        <v>16000</v>
      </c>
      <c r="W455" s="106">
        <v>1</v>
      </c>
      <c r="X455" s="106">
        <v>2</v>
      </c>
      <c r="Y455" s="106" t="s">
        <v>1766</v>
      </c>
      <c r="Z455" s="106" t="s">
        <v>1766</v>
      </c>
      <c r="AA455" s="106">
        <v>5300</v>
      </c>
      <c r="AB455" s="106">
        <v>11000</v>
      </c>
      <c r="AC455" s="106">
        <v>0</v>
      </c>
      <c r="AD455" s="106">
        <v>0</v>
      </c>
      <c r="AE455" s="106">
        <v>16300</v>
      </c>
      <c r="AF455" s="106">
        <v>16300</v>
      </c>
      <c r="AH455" s="106">
        <v>288</v>
      </c>
      <c r="AI455" s="106">
        <v>0</v>
      </c>
      <c r="AJ455" s="106">
        <v>1</v>
      </c>
      <c r="AK455" s="106">
        <v>120</v>
      </c>
      <c r="AL455" s="106">
        <v>120</v>
      </c>
      <c r="AM455" s="106">
        <v>1</v>
      </c>
      <c r="AN455" s="106">
        <v>1</v>
      </c>
      <c r="AO455" s="106">
        <v>60</v>
      </c>
      <c r="AP455" s="106" t="s">
        <v>137</v>
      </c>
      <c r="AQ455" s="106" t="s">
        <v>541</v>
      </c>
      <c r="AR455" s="106">
        <v>2601</v>
      </c>
      <c r="AS455" s="106">
        <v>80000</v>
      </c>
      <c r="AT455" s="106">
        <v>80000</v>
      </c>
      <c r="AU455" s="108" t="s">
        <v>182</v>
      </c>
      <c r="AV455" s="108" t="s">
        <v>542</v>
      </c>
      <c r="AW455" s="108">
        <v>1400</v>
      </c>
      <c r="AX455" s="108">
        <v>2</v>
      </c>
      <c r="AY455" s="108">
        <v>2</v>
      </c>
      <c r="BY455" s="112" t="s">
        <v>1766</v>
      </c>
      <c r="BZ455" s="112" t="s">
        <v>1766</v>
      </c>
      <c r="CA455" s="112" t="s">
        <v>1766</v>
      </c>
      <c r="CB455" s="112" t="s">
        <v>1766</v>
      </c>
      <c r="CC455" s="112" t="s">
        <v>1766</v>
      </c>
      <c r="CD455" s="112" t="s">
        <v>1766</v>
      </c>
      <c r="CE455" s="112" t="s">
        <v>1766</v>
      </c>
      <c r="CF455" s="112" t="s">
        <v>1766</v>
      </c>
      <c r="CG455" s="112" t="s">
        <v>1766</v>
      </c>
      <c r="CH455" s="112" t="s">
        <v>1766</v>
      </c>
      <c r="CI455" s="112" t="s">
        <v>1766</v>
      </c>
      <c r="CJ455" s="112" t="s">
        <v>1766</v>
      </c>
      <c r="CK455" s="112" t="s">
        <v>1766</v>
      </c>
      <c r="CL455" s="112" t="s">
        <v>1766</v>
      </c>
      <c r="CM455" s="112" t="s">
        <v>1766</v>
      </c>
      <c r="CN455" s="112" t="s">
        <v>1766</v>
      </c>
      <c r="CO455" s="112" t="s">
        <v>1766</v>
      </c>
    </row>
    <row r="456" spans="1:93">
      <c r="A456" s="106" t="s">
        <v>539</v>
      </c>
      <c r="B456" s="106">
        <v>5</v>
      </c>
      <c r="C456" s="106">
        <v>2</v>
      </c>
      <c r="D456" s="106">
        <v>8</v>
      </c>
      <c r="E456" s="106">
        <v>1</v>
      </c>
      <c r="F456" s="106">
        <v>0</v>
      </c>
      <c r="G456" s="106" t="s">
        <v>66</v>
      </c>
      <c r="I456" s="106">
        <v>201</v>
      </c>
      <c r="J456" s="106" t="s">
        <v>1766</v>
      </c>
      <c r="K456" s="106" t="s">
        <v>1318</v>
      </c>
      <c r="L456" s="106" t="s">
        <v>1326</v>
      </c>
      <c r="M456" s="106" t="s">
        <v>549</v>
      </c>
      <c r="N456" s="106">
        <v>9</v>
      </c>
      <c r="O456" s="106">
        <v>9</v>
      </c>
      <c r="T456" s="106" t="s">
        <v>1766</v>
      </c>
      <c r="V456" s="106">
        <v>30880</v>
      </c>
      <c r="W456" s="106">
        <v>1</v>
      </c>
      <c r="X456" s="106">
        <v>2</v>
      </c>
      <c r="Y456" s="106">
        <v>2</v>
      </c>
      <c r="Z456" s="106" t="s">
        <v>1766</v>
      </c>
      <c r="AA456" s="106">
        <v>6200</v>
      </c>
      <c r="AB456" s="106">
        <v>12000</v>
      </c>
      <c r="AC456" s="106">
        <v>12000</v>
      </c>
      <c r="AD456" s="106">
        <v>0</v>
      </c>
      <c r="AE456" s="106">
        <v>30200</v>
      </c>
      <c r="AF456" s="106">
        <v>30200</v>
      </c>
      <c r="AH456" s="106">
        <v>600</v>
      </c>
      <c r="AI456" s="106">
        <v>0</v>
      </c>
      <c r="AJ456" s="106">
        <v>2</v>
      </c>
      <c r="AK456" s="106">
        <v>120</v>
      </c>
      <c r="AL456" s="106">
        <v>240</v>
      </c>
      <c r="AM456" s="106">
        <v>60</v>
      </c>
      <c r="AN456" s="106">
        <v>60</v>
      </c>
      <c r="AO456" s="106">
        <v>121</v>
      </c>
      <c r="AP456" s="106" t="s">
        <v>137</v>
      </c>
      <c r="AQ456" s="106" t="s">
        <v>541</v>
      </c>
      <c r="AR456" s="106">
        <v>2601</v>
      </c>
      <c r="AS456" s="106">
        <v>100000</v>
      </c>
      <c r="AT456" s="106">
        <v>100000</v>
      </c>
      <c r="AU456" s="108" t="s">
        <v>182</v>
      </c>
      <c r="AV456" s="108" t="s">
        <v>542</v>
      </c>
      <c r="AW456" s="108">
        <v>1400</v>
      </c>
      <c r="AX456" s="108">
        <v>3</v>
      </c>
      <c r="AY456" s="108">
        <v>3</v>
      </c>
      <c r="BY456" s="112" t="s">
        <v>1766</v>
      </c>
      <c r="BZ456" s="112" t="s">
        <v>1766</v>
      </c>
      <c r="CA456" s="112" t="s">
        <v>1766</v>
      </c>
      <c r="CB456" s="112" t="s">
        <v>1766</v>
      </c>
      <c r="CC456" s="112" t="s">
        <v>1766</v>
      </c>
      <c r="CD456" s="112" t="s">
        <v>1766</v>
      </c>
      <c r="CE456" s="112" t="s">
        <v>1766</v>
      </c>
      <c r="CF456" s="112" t="s">
        <v>1766</v>
      </c>
      <c r="CG456" s="112" t="s">
        <v>1766</v>
      </c>
      <c r="CH456" s="112" t="s">
        <v>1766</v>
      </c>
      <c r="CI456" s="112" t="s">
        <v>1766</v>
      </c>
      <c r="CJ456" s="112" t="s">
        <v>1766</v>
      </c>
      <c r="CK456" s="112" t="s">
        <v>1766</v>
      </c>
      <c r="CL456" s="112" t="s">
        <v>1766</v>
      </c>
      <c r="CM456" s="112" t="s">
        <v>1766</v>
      </c>
      <c r="CN456" s="112" t="s">
        <v>1766</v>
      </c>
      <c r="CO456" s="112" t="s">
        <v>1766</v>
      </c>
    </row>
    <row r="457" spans="1:93">
      <c r="A457" s="106" t="s">
        <v>539</v>
      </c>
      <c r="B457" s="106">
        <v>6</v>
      </c>
      <c r="C457" s="106">
        <v>2</v>
      </c>
      <c r="D457" s="106">
        <v>8</v>
      </c>
      <c r="E457" s="106">
        <v>1</v>
      </c>
      <c r="F457" s="106">
        <v>0</v>
      </c>
      <c r="G457" s="106" t="s">
        <v>66</v>
      </c>
      <c r="I457" s="106">
        <v>201</v>
      </c>
      <c r="J457" s="106" t="s">
        <v>1766</v>
      </c>
      <c r="K457" s="106" t="s">
        <v>1318</v>
      </c>
      <c r="L457" s="106" t="s">
        <v>1326</v>
      </c>
      <c r="M457" s="106" t="s">
        <v>550</v>
      </c>
      <c r="N457" s="106">
        <v>9</v>
      </c>
      <c r="O457" s="106">
        <v>9</v>
      </c>
      <c r="T457" s="106" t="s">
        <v>1766</v>
      </c>
      <c r="V457" s="106">
        <v>57436.800000000003</v>
      </c>
      <c r="W457" s="106">
        <v>1</v>
      </c>
      <c r="X457" s="106">
        <v>2</v>
      </c>
      <c r="Y457" s="106">
        <v>2</v>
      </c>
      <c r="Z457" s="106" t="s">
        <v>1766</v>
      </c>
      <c r="AA457" s="106">
        <v>11000</v>
      </c>
      <c r="AB457" s="106">
        <v>23000</v>
      </c>
      <c r="AC457" s="106">
        <v>23000</v>
      </c>
      <c r="AD457" s="106">
        <v>0</v>
      </c>
      <c r="AE457" s="106">
        <v>57000</v>
      </c>
      <c r="AF457" s="106">
        <v>57000</v>
      </c>
      <c r="AH457" s="106">
        <v>1080</v>
      </c>
      <c r="AI457" s="106">
        <v>0</v>
      </c>
      <c r="AJ457" s="106">
        <v>2</v>
      </c>
      <c r="AK457" s="106">
        <v>120</v>
      </c>
      <c r="AL457" s="106">
        <v>240</v>
      </c>
      <c r="AM457" s="106">
        <v>540</v>
      </c>
      <c r="AN457" s="106">
        <v>540</v>
      </c>
      <c r="AO457" s="106">
        <v>236</v>
      </c>
      <c r="AP457" s="106" t="s">
        <v>137</v>
      </c>
      <c r="AQ457" s="106" t="s">
        <v>541</v>
      </c>
      <c r="AR457" s="106">
        <v>2601</v>
      </c>
      <c r="AS457" s="106">
        <v>120000</v>
      </c>
      <c r="AT457" s="106">
        <v>120000</v>
      </c>
      <c r="AU457" s="108" t="s">
        <v>182</v>
      </c>
      <c r="AV457" s="108" t="s">
        <v>542</v>
      </c>
      <c r="AW457" s="108">
        <v>1400</v>
      </c>
      <c r="AX457" s="108">
        <v>3</v>
      </c>
      <c r="AY457" s="108">
        <v>3</v>
      </c>
      <c r="BY457" s="112" t="s">
        <v>1766</v>
      </c>
      <c r="BZ457" s="112" t="s">
        <v>1766</v>
      </c>
      <c r="CA457" s="112" t="s">
        <v>1766</v>
      </c>
      <c r="CB457" s="112" t="s">
        <v>1766</v>
      </c>
      <c r="CC457" s="112" t="s">
        <v>1766</v>
      </c>
      <c r="CD457" s="112" t="s">
        <v>1766</v>
      </c>
      <c r="CE457" s="112" t="s">
        <v>1766</v>
      </c>
      <c r="CF457" s="112" t="s">
        <v>1766</v>
      </c>
      <c r="CG457" s="112" t="s">
        <v>1766</v>
      </c>
      <c r="CH457" s="112" t="s">
        <v>1766</v>
      </c>
      <c r="CI457" s="112" t="s">
        <v>1766</v>
      </c>
      <c r="CJ457" s="112" t="s">
        <v>1766</v>
      </c>
      <c r="CK457" s="112" t="s">
        <v>1766</v>
      </c>
      <c r="CL457" s="112" t="s">
        <v>1766</v>
      </c>
      <c r="CM457" s="112" t="s">
        <v>1766</v>
      </c>
      <c r="CN457" s="112" t="s">
        <v>1766</v>
      </c>
      <c r="CO457" s="112" t="s">
        <v>1766</v>
      </c>
    </row>
    <row r="458" spans="1:93">
      <c r="A458" s="106" t="s">
        <v>539</v>
      </c>
      <c r="B458" s="106">
        <v>7</v>
      </c>
      <c r="C458" s="106">
        <v>2</v>
      </c>
      <c r="D458" s="106">
        <v>8</v>
      </c>
      <c r="E458" s="106">
        <v>1</v>
      </c>
      <c r="F458" s="106">
        <v>0</v>
      </c>
      <c r="G458" s="106" t="s">
        <v>66</v>
      </c>
      <c r="I458" s="106">
        <v>201</v>
      </c>
      <c r="J458" s="106" t="s">
        <v>1766</v>
      </c>
      <c r="K458" s="106" t="s">
        <v>1318</v>
      </c>
      <c r="L458" s="106" t="s">
        <v>1326</v>
      </c>
      <c r="M458" s="106" t="s">
        <v>551</v>
      </c>
      <c r="N458" s="106">
        <v>9</v>
      </c>
      <c r="O458" s="106">
        <v>9</v>
      </c>
      <c r="T458" s="106" t="s">
        <v>1766</v>
      </c>
      <c r="V458" s="106">
        <v>102811.872</v>
      </c>
      <c r="W458" s="106">
        <v>1</v>
      </c>
      <c r="X458" s="106">
        <v>2</v>
      </c>
      <c r="Y458" s="106">
        <v>2</v>
      </c>
      <c r="Z458" s="106" t="s">
        <v>1766</v>
      </c>
      <c r="AA458" s="106">
        <v>21000</v>
      </c>
      <c r="AB458" s="106">
        <v>41000</v>
      </c>
      <c r="AC458" s="106">
        <v>41000</v>
      </c>
      <c r="AD458" s="106">
        <v>0</v>
      </c>
      <c r="AE458" s="106">
        <v>103000</v>
      </c>
      <c r="AF458" s="106">
        <v>103000</v>
      </c>
      <c r="AH458" s="106">
        <v>1800</v>
      </c>
      <c r="AI458" s="106">
        <v>0</v>
      </c>
      <c r="AJ458" s="106">
        <v>3</v>
      </c>
      <c r="AK458" s="106">
        <v>120</v>
      </c>
      <c r="AL458" s="106">
        <v>360</v>
      </c>
      <c r="AM458" s="106">
        <v>1140</v>
      </c>
      <c r="AN458" s="106">
        <v>1140</v>
      </c>
      <c r="AO458" s="106">
        <v>442</v>
      </c>
      <c r="AP458" s="106" t="s">
        <v>137</v>
      </c>
      <c r="AQ458" s="106" t="s">
        <v>541</v>
      </c>
      <c r="AR458" s="106">
        <v>2601</v>
      </c>
      <c r="AS458" s="106">
        <v>140000</v>
      </c>
      <c r="AT458" s="106">
        <v>140000</v>
      </c>
      <c r="AU458" s="108" t="s">
        <v>182</v>
      </c>
      <c r="AV458" s="108" t="s">
        <v>542</v>
      </c>
      <c r="AW458" s="108">
        <v>1400</v>
      </c>
      <c r="AX458" s="108">
        <v>4</v>
      </c>
      <c r="AY458" s="108">
        <v>4</v>
      </c>
      <c r="BY458" s="112" t="s">
        <v>1766</v>
      </c>
      <c r="BZ458" s="112" t="s">
        <v>1766</v>
      </c>
      <c r="CA458" s="112" t="s">
        <v>1766</v>
      </c>
      <c r="CB458" s="112" t="s">
        <v>1766</v>
      </c>
      <c r="CC458" s="112" t="s">
        <v>1766</v>
      </c>
      <c r="CD458" s="112" t="s">
        <v>1766</v>
      </c>
      <c r="CE458" s="112" t="s">
        <v>1766</v>
      </c>
      <c r="CF458" s="112" t="s">
        <v>1766</v>
      </c>
      <c r="CG458" s="112" t="s">
        <v>1766</v>
      </c>
      <c r="CH458" s="112" t="s">
        <v>1766</v>
      </c>
      <c r="CI458" s="112" t="s">
        <v>1766</v>
      </c>
      <c r="CJ458" s="112" t="s">
        <v>1766</v>
      </c>
      <c r="CK458" s="112" t="s">
        <v>1766</v>
      </c>
      <c r="CL458" s="112" t="s">
        <v>1766</v>
      </c>
      <c r="CM458" s="112" t="s">
        <v>1766</v>
      </c>
      <c r="CN458" s="112" t="s">
        <v>1766</v>
      </c>
      <c r="CO458" s="112" t="s">
        <v>1766</v>
      </c>
    </row>
    <row r="459" spans="1:93">
      <c r="A459" s="106" t="s">
        <v>539</v>
      </c>
      <c r="B459" s="106">
        <v>8</v>
      </c>
      <c r="C459" s="106">
        <v>2</v>
      </c>
      <c r="D459" s="106">
        <v>8</v>
      </c>
      <c r="E459" s="106">
        <v>1</v>
      </c>
      <c r="F459" s="106">
        <v>1</v>
      </c>
      <c r="G459" s="106" t="s">
        <v>66</v>
      </c>
      <c r="I459" s="106">
        <v>201</v>
      </c>
      <c r="J459" s="106" t="s">
        <v>1766</v>
      </c>
      <c r="K459" s="106" t="s">
        <v>1318</v>
      </c>
      <c r="L459" s="106" t="s">
        <v>1326</v>
      </c>
      <c r="M459" s="106" t="s">
        <v>552</v>
      </c>
      <c r="N459" s="106">
        <v>9</v>
      </c>
      <c r="O459" s="106">
        <v>9</v>
      </c>
      <c r="T459" s="106" t="s">
        <v>1766</v>
      </c>
      <c r="V459" s="106">
        <v>176836.41983999999</v>
      </c>
      <c r="W459" s="106">
        <v>1</v>
      </c>
      <c r="X459" s="106">
        <v>2</v>
      </c>
      <c r="Y459" s="106">
        <v>2</v>
      </c>
      <c r="Z459" s="106" t="s">
        <v>1766</v>
      </c>
      <c r="AA459" s="106">
        <v>35000</v>
      </c>
      <c r="AB459" s="106">
        <v>71000</v>
      </c>
      <c r="AC459" s="106">
        <v>71000</v>
      </c>
      <c r="AD459" s="106">
        <v>0</v>
      </c>
      <c r="AE459" s="106">
        <v>177000</v>
      </c>
      <c r="AF459" s="106">
        <v>177000</v>
      </c>
      <c r="AH459" s="106">
        <v>2880</v>
      </c>
      <c r="AI459" s="106">
        <v>0</v>
      </c>
      <c r="AJ459" s="106">
        <v>3</v>
      </c>
      <c r="AK459" s="106">
        <v>120</v>
      </c>
      <c r="AL459" s="106">
        <v>360</v>
      </c>
      <c r="AM459" s="106">
        <v>2220</v>
      </c>
      <c r="AN459" s="106">
        <v>2220</v>
      </c>
      <c r="AO459" s="106">
        <v>795</v>
      </c>
      <c r="AP459" s="106" t="s">
        <v>137</v>
      </c>
      <c r="AQ459" s="106" t="s">
        <v>541</v>
      </c>
      <c r="AR459" s="106">
        <v>2601</v>
      </c>
      <c r="AS459" s="106">
        <v>160000</v>
      </c>
      <c r="AT459" s="106">
        <v>160000</v>
      </c>
      <c r="AU459" s="108" t="s">
        <v>182</v>
      </c>
      <c r="AV459" s="108" t="s">
        <v>542</v>
      </c>
      <c r="AW459" s="108">
        <v>1400</v>
      </c>
      <c r="AX459" s="108">
        <v>4</v>
      </c>
      <c r="AY459" s="108">
        <v>4</v>
      </c>
      <c r="BY459" s="112" t="s">
        <v>1766</v>
      </c>
      <c r="BZ459" s="112" t="s">
        <v>1766</v>
      </c>
      <c r="CA459" s="112" t="s">
        <v>1766</v>
      </c>
      <c r="CB459" s="112" t="s">
        <v>1766</v>
      </c>
      <c r="CC459" s="112" t="s">
        <v>1766</v>
      </c>
      <c r="CD459" s="112" t="s">
        <v>1766</v>
      </c>
      <c r="CE459" s="112" t="s">
        <v>1766</v>
      </c>
      <c r="CF459" s="112" t="s">
        <v>1766</v>
      </c>
      <c r="CG459" s="112" t="s">
        <v>1766</v>
      </c>
      <c r="CH459" s="112" t="s">
        <v>1766</v>
      </c>
      <c r="CI459" s="112" t="s">
        <v>1766</v>
      </c>
      <c r="CJ459" s="112" t="s">
        <v>1766</v>
      </c>
      <c r="CK459" s="112" t="s">
        <v>1766</v>
      </c>
      <c r="CL459" s="112" t="s">
        <v>1766</v>
      </c>
      <c r="CM459" s="112" t="s">
        <v>1766</v>
      </c>
      <c r="CN459" s="112" t="s">
        <v>1766</v>
      </c>
      <c r="CO459" s="112" t="s">
        <v>1766</v>
      </c>
    </row>
    <row r="460" spans="1:93">
      <c r="A460" s="106" t="s">
        <v>539</v>
      </c>
      <c r="B460" s="106">
        <v>9</v>
      </c>
      <c r="C460" s="106">
        <v>2</v>
      </c>
      <c r="D460" s="106">
        <v>8</v>
      </c>
      <c r="E460" s="106">
        <v>1</v>
      </c>
      <c r="F460" s="106">
        <v>1</v>
      </c>
      <c r="G460" s="106" t="s">
        <v>66</v>
      </c>
      <c r="I460" s="106">
        <v>201</v>
      </c>
      <c r="J460" s="106" t="s">
        <v>1766</v>
      </c>
      <c r="K460" s="106" t="s">
        <v>1318</v>
      </c>
      <c r="L460" s="106" t="s">
        <v>1327</v>
      </c>
      <c r="M460" s="106" t="s">
        <v>553</v>
      </c>
      <c r="N460" s="106">
        <v>14</v>
      </c>
      <c r="O460" s="106">
        <v>14</v>
      </c>
      <c r="T460" s="106" t="s">
        <v>1766</v>
      </c>
      <c r="V460" s="106">
        <v>291780.09273600002</v>
      </c>
      <c r="W460" s="106">
        <v>1</v>
      </c>
      <c r="X460" s="106">
        <v>2</v>
      </c>
      <c r="Y460" s="106">
        <v>2</v>
      </c>
      <c r="Z460" s="106" t="s">
        <v>1766</v>
      </c>
      <c r="AA460" s="106">
        <v>58000</v>
      </c>
      <c r="AB460" s="106">
        <v>120000</v>
      </c>
      <c r="AC460" s="106">
        <v>120000</v>
      </c>
      <c r="AD460" s="106">
        <v>0</v>
      </c>
      <c r="AE460" s="106">
        <v>298000</v>
      </c>
      <c r="AF460" s="106">
        <v>298000</v>
      </c>
      <c r="AH460" s="106">
        <v>5760</v>
      </c>
      <c r="AI460" s="106">
        <v>0</v>
      </c>
      <c r="AJ460" s="106">
        <v>4</v>
      </c>
      <c r="AK460" s="106">
        <v>120</v>
      </c>
      <c r="AL460" s="106">
        <v>480</v>
      </c>
      <c r="AM460" s="106">
        <v>4980</v>
      </c>
      <c r="AN460" s="106">
        <v>4980</v>
      </c>
      <c r="AO460" s="106">
        <v>1379</v>
      </c>
      <c r="AP460" s="106" t="s">
        <v>137</v>
      </c>
      <c r="AQ460" s="106" t="s">
        <v>541</v>
      </c>
      <c r="AR460" s="106">
        <v>2601</v>
      </c>
      <c r="AS460" s="106">
        <v>180000</v>
      </c>
      <c r="AT460" s="106">
        <v>180000</v>
      </c>
      <c r="AU460" s="108" t="s">
        <v>182</v>
      </c>
      <c r="AV460" s="108" t="s">
        <v>542</v>
      </c>
      <c r="AW460" s="108">
        <v>1400</v>
      </c>
      <c r="AX460" s="108">
        <v>5</v>
      </c>
      <c r="AY460" s="108">
        <v>5</v>
      </c>
      <c r="BY460" s="112" t="s">
        <v>1766</v>
      </c>
      <c r="BZ460" s="112" t="s">
        <v>1766</v>
      </c>
      <c r="CA460" s="112" t="s">
        <v>1766</v>
      </c>
      <c r="CB460" s="112" t="s">
        <v>1766</v>
      </c>
      <c r="CC460" s="112" t="s">
        <v>1766</v>
      </c>
      <c r="CD460" s="112" t="s">
        <v>1766</v>
      </c>
      <c r="CE460" s="112" t="s">
        <v>1766</v>
      </c>
      <c r="CF460" s="112" t="s">
        <v>1766</v>
      </c>
      <c r="CG460" s="112" t="s">
        <v>1766</v>
      </c>
      <c r="CH460" s="112" t="s">
        <v>1766</v>
      </c>
      <c r="CI460" s="112" t="s">
        <v>1766</v>
      </c>
      <c r="CJ460" s="112" t="s">
        <v>1766</v>
      </c>
      <c r="CK460" s="112" t="s">
        <v>1766</v>
      </c>
      <c r="CL460" s="112" t="s">
        <v>1766</v>
      </c>
      <c r="CM460" s="112" t="s">
        <v>1766</v>
      </c>
      <c r="CN460" s="112" t="s">
        <v>1766</v>
      </c>
      <c r="CO460" s="112" t="s">
        <v>1766</v>
      </c>
    </row>
    <row r="461" spans="1:93">
      <c r="A461" s="106" t="s">
        <v>539</v>
      </c>
      <c r="B461" s="106">
        <v>10</v>
      </c>
      <c r="C461" s="106">
        <v>2</v>
      </c>
      <c r="D461" s="106">
        <v>8</v>
      </c>
      <c r="E461" s="106">
        <v>1</v>
      </c>
      <c r="F461" s="106">
        <v>1</v>
      </c>
      <c r="G461" s="106" t="s">
        <v>66</v>
      </c>
      <c r="I461" s="106">
        <v>201</v>
      </c>
      <c r="J461" s="106" t="s">
        <v>1766</v>
      </c>
      <c r="K461" s="106" t="s">
        <v>1318</v>
      </c>
      <c r="L461" s="106" t="s">
        <v>1328</v>
      </c>
      <c r="M461" s="106" t="s">
        <v>554</v>
      </c>
      <c r="N461" s="106">
        <v>14</v>
      </c>
      <c r="O461" s="106">
        <v>14</v>
      </c>
      <c r="T461" s="106" t="s">
        <v>1766</v>
      </c>
      <c r="V461" s="106">
        <v>461012.54652287997</v>
      </c>
      <c r="W461" s="106">
        <v>1</v>
      </c>
      <c r="X461" s="106">
        <v>2</v>
      </c>
      <c r="Y461" s="106">
        <v>2</v>
      </c>
      <c r="Z461" s="106">
        <v>2</v>
      </c>
      <c r="AA461" s="106">
        <v>66000</v>
      </c>
      <c r="AB461" s="106">
        <v>130000</v>
      </c>
      <c r="AC461" s="106">
        <v>130000</v>
      </c>
      <c r="AD461" s="106">
        <v>130000</v>
      </c>
      <c r="AE461" s="106">
        <v>456000</v>
      </c>
      <c r="AF461" s="106">
        <v>456000</v>
      </c>
      <c r="AH461" s="106">
        <v>8640</v>
      </c>
      <c r="AI461" s="106">
        <v>0.01</v>
      </c>
      <c r="AJ461" s="106">
        <v>4</v>
      </c>
      <c r="AK461" s="106">
        <v>120</v>
      </c>
      <c r="AL461" s="106">
        <v>480</v>
      </c>
      <c r="AM461" s="106">
        <v>7774</v>
      </c>
      <c r="AN461" s="106">
        <v>7774</v>
      </c>
      <c r="AO461" s="106">
        <v>2301</v>
      </c>
      <c r="AP461" s="106" t="s">
        <v>137</v>
      </c>
      <c r="AQ461" s="106" t="s">
        <v>541</v>
      </c>
      <c r="AR461" s="106">
        <v>2601</v>
      </c>
      <c r="AS461" s="106">
        <v>200000</v>
      </c>
      <c r="AT461" s="106">
        <v>200000</v>
      </c>
      <c r="AU461" s="108" t="s">
        <v>182</v>
      </c>
      <c r="AV461" s="108" t="s">
        <v>542</v>
      </c>
      <c r="AW461" s="108">
        <v>1400</v>
      </c>
      <c r="AX461" s="108">
        <v>5</v>
      </c>
      <c r="AY461" s="108">
        <v>5</v>
      </c>
      <c r="BY461" s="112" t="s">
        <v>1766</v>
      </c>
      <c r="BZ461" s="112" t="s">
        <v>1766</v>
      </c>
      <c r="CA461" s="112" t="s">
        <v>1766</v>
      </c>
      <c r="CB461" s="112" t="s">
        <v>1766</v>
      </c>
      <c r="CC461" s="112" t="s">
        <v>1766</v>
      </c>
      <c r="CD461" s="112" t="s">
        <v>1766</v>
      </c>
      <c r="CE461" s="112" t="s">
        <v>1766</v>
      </c>
      <c r="CF461" s="112" t="s">
        <v>1766</v>
      </c>
      <c r="CG461" s="112" t="s">
        <v>1766</v>
      </c>
      <c r="CH461" s="112" t="s">
        <v>1766</v>
      </c>
      <c r="CI461" s="112" t="s">
        <v>1766</v>
      </c>
      <c r="CJ461" s="112" t="s">
        <v>1766</v>
      </c>
      <c r="CK461" s="112" t="s">
        <v>1766</v>
      </c>
      <c r="CL461" s="112" t="s">
        <v>1766</v>
      </c>
      <c r="CM461" s="112" t="s">
        <v>1766</v>
      </c>
      <c r="CN461" s="112" t="s">
        <v>1766</v>
      </c>
      <c r="CO461" s="112" t="s">
        <v>1766</v>
      </c>
    </row>
    <row r="462" spans="1:93">
      <c r="A462" s="106" t="s">
        <v>539</v>
      </c>
      <c r="B462" s="106">
        <v>11</v>
      </c>
      <c r="C462" s="106">
        <v>2</v>
      </c>
      <c r="D462" s="106">
        <v>8</v>
      </c>
      <c r="E462" s="106">
        <v>1</v>
      </c>
      <c r="F462" s="106">
        <v>1</v>
      </c>
      <c r="G462" s="106" t="s">
        <v>66</v>
      </c>
      <c r="I462" s="106">
        <v>201</v>
      </c>
      <c r="J462" s="106" t="s">
        <v>1766</v>
      </c>
      <c r="K462" s="106" t="s">
        <v>1318</v>
      </c>
      <c r="L462" s="106" t="s">
        <v>1329</v>
      </c>
      <c r="M462" s="106" t="s">
        <v>555</v>
      </c>
      <c r="N462" s="106">
        <v>14</v>
      </c>
      <c r="O462" s="106">
        <v>14</v>
      </c>
      <c r="T462" s="106" t="s">
        <v>1766</v>
      </c>
      <c r="V462" s="106">
        <v>696128.945249549</v>
      </c>
      <c r="W462" s="106">
        <v>1</v>
      </c>
      <c r="X462" s="106">
        <v>2</v>
      </c>
      <c r="Y462" s="106">
        <v>2</v>
      </c>
      <c r="Z462" s="106">
        <v>2</v>
      </c>
      <c r="AA462" s="106">
        <v>99000</v>
      </c>
      <c r="AB462" s="106">
        <v>200000</v>
      </c>
      <c r="AC462" s="106">
        <v>200000</v>
      </c>
      <c r="AD462" s="106">
        <v>200000</v>
      </c>
      <c r="AE462" s="106">
        <v>699000</v>
      </c>
      <c r="AF462" s="106">
        <v>699000</v>
      </c>
      <c r="AH462" s="106">
        <v>12960</v>
      </c>
      <c r="AI462" s="106">
        <v>0.02</v>
      </c>
      <c r="AJ462" s="106">
        <v>5</v>
      </c>
      <c r="AK462" s="106">
        <v>129.6</v>
      </c>
      <c r="AL462" s="106">
        <v>648</v>
      </c>
      <c r="AM462" s="106">
        <v>11757</v>
      </c>
      <c r="AN462" s="106">
        <v>11757</v>
      </c>
      <c r="AO462" s="106">
        <v>3693</v>
      </c>
      <c r="AP462" s="106" t="s">
        <v>137</v>
      </c>
      <c r="AQ462" s="106" t="s">
        <v>541</v>
      </c>
      <c r="AR462" s="106">
        <v>2601</v>
      </c>
      <c r="AS462" s="106">
        <v>230000</v>
      </c>
      <c r="AT462" s="106">
        <v>230000</v>
      </c>
      <c r="AU462" s="108" t="s">
        <v>182</v>
      </c>
      <c r="AV462" s="108" t="s">
        <v>542</v>
      </c>
      <c r="AW462" s="108">
        <v>1400</v>
      </c>
      <c r="AX462" s="108">
        <v>6</v>
      </c>
      <c r="AY462" s="108">
        <v>6</v>
      </c>
      <c r="BY462" s="112" t="s">
        <v>1766</v>
      </c>
      <c r="BZ462" s="112" t="s">
        <v>1766</v>
      </c>
      <c r="CA462" s="112" t="s">
        <v>1766</v>
      </c>
      <c r="CB462" s="112" t="s">
        <v>1766</v>
      </c>
      <c r="CC462" s="112" t="s">
        <v>1766</v>
      </c>
      <c r="CD462" s="112" t="s">
        <v>1766</v>
      </c>
      <c r="CE462" s="112" t="s">
        <v>1766</v>
      </c>
      <c r="CF462" s="112" t="s">
        <v>1766</v>
      </c>
      <c r="CG462" s="112" t="s">
        <v>1766</v>
      </c>
      <c r="CH462" s="112" t="s">
        <v>1766</v>
      </c>
      <c r="CI462" s="112" t="s">
        <v>1766</v>
      </c>
      <c r="CJ462" s="112" t="s">
        <v>1766</v>
      </c>
      <c r="CK462" s="112" t="s">
        <v>1766</v>
      </c>
      <c r="CL462" s="112" t="s">
        <v>1766</v>
      </c>
      <c r="CM462" s="112" t="s">
        <v>1766</v>
      </c>
      <c r="CN462" s="112" t="s">
        <v>1766</v>
      </c>
      <c r="CO462" s="112" t="s">
        <v>1766</v>
      </c>
    </row>
    <row r="463" spans="1:93">
      <c r="A463" s="106" t="s">
        <v>539</v>
      </c>
      <c r="B463" s="106">
        <v>12</v>
      </c>
      <c r="C463" s="106">
        <v>2</v>
      </c>
      <c r="D463" s="106">
        <v>8</v>
      </c>
      <c r="E463" s="106">
        <v>1</v>
      </c>
      <c r="F463" s="106">
        <v>1</v>
      </c>
      <c r="G463" s="106" t="s">
        <v>66</v>
      </c>
      <c r="I463" s="106">
        <v>201</v>
      </c>
      <c r="J463" s="106" t="s">
        <v>1766</v>
      </c>
      <c r="K463" s="106" t="s">
        <v>1318</v>
      </c>
      <c r="L463" s="106" t="s">
        <v>1330</v>
      </c>
      <c r="M463" s="106" t="s">
        <v>556</v>
      </c>
      <c r="N463" s="106">
        <v>14</v>
      </c>
      <c r="O463" s="106">
        <v>14</v>
      </c>
      <c r="T463" s="106" t="s">
        <v>1766</v>
      </c>
      <c r="V463" s="106">
        <v>1002425.68115935</v>
      </c>
      <c r="W463" s="106">
        <v>1</v>
      </c>
      <c r="X463" s="106">
        <v>2</v>
      </c>
      <c r="Y463" s="106">
        <v>2</v>
      </c>
      <c r="Z463" s="106">
        <v>2</v>
      </c>
      <c r="AA463" s="106">
        <v>140000</v>
      </c>
      <c r="AB463" s="106">
        <v>290000</v>
      </c>
      <c r="AC463" s="106">
        <v>290000</v>
      </c>
      <c r="AD463" s="106">
        <v>290000</v>
      </c>
      <c r="AE463" s="106">
        <v>1010000</v>
      </c>
      <c r="AF463" s="106">
        <v>1010000</v>
      </c>
      <c r="AH463" s="106">
        <v>17280</v>
      </c>
      <c r="AI463" s="106">
        <v>0.03</v>
      </c>
      <c r="AJ463" s="106">
        <v>5</v>
      </c>
      <c r="AK463" s="106">
        <v>172.8</v>
      </c>
      <c r="AL463" s="106">
        <v>864</v>
      </c>
      <c r="AM463" s="106">
        <v>15612</v>
      </c>
      <c r="AN463" s="106">
        <v>15612</v>
      </c>
      <c r="AO463" s="106">
        <v>5698</v>
      </c>
      <c r="AP463" s="106" t="s">
        <v>137</v>
      </c>
      <c r="AQ463" s="106" t="s">
        <v>541</v>
      </c>
      <c r="AR463" s="106">
        <v>2601</v>
      </c>
      <c r="AS463" s="106">
        <v>260000</v>
      </c>
      <c r="AT463" s="106">
        <v>260000</v>
      </c>
      <c r="AU463" s="108" t="s">
        <v>182</v>
      </c>
      <c r="AV463" s="108" t="s">
        <v>542</v>
      </c>
      <c r="AW463" s="108">
        <v>1400</v>
      </c>
      <c r="AX463" s="108">
        <v>6</v>
      </c>
      <c r="AY463" s="108">
        <v>6</v>
      </c>
      <c r="BY463" s="112" t="s">
        <v>1766</v>
      </c>
      <c r="BZ463" s="112" t="s">
        <v>1766</v>
      </c>
      <c r="CA463" s="112" t="s">
        <v>1766</v>
      </c>
      <c r="CB463" s="112" t="s">
        <v>1766</v>
      </c>
      <c r="CC463" s="112" t="s">
        <v>1766</v>
      </c>
      <c r="CD463" s="112" t="s">
        <v>1766</v>
      </c>
      <c r="CE463" s="112" t="s">
        <v>1766</v>
      </c>
      <c r="CF463" s="112" t="s">
        <v>1766</v>
      </c>
      <c r="CG463" s="112" t="s">
        <v>1766</v>
      </c>
      <c r="CH463" s="112" t="s">
        <v>1766</v>
      </c>
      <c r="CI463" s="112" t="s">
        <v>1766</v>
      </c>
      <c r="CJ463" s="112" t="s">
        <v>1766</v>
      </c>
      <c r="CK463" s="112" t="s">
        <v>1766</v>
      </c>
      <c r="CL463" s="112" t="s">
        <v>1766</v>
      </c>
      <c r="CM463" s="112" t="s">
        <v>1766</v>
      </c>
      <c r="CN463" s="112" t="s">
        <v>1766</v>
      </c>
      <c r="CO463" s="112" t="s">
        <v>1766</v>
      </c>
    </row>
    <row r="464" spans="1:93">
      <c r="A464" s="106" t="s">
        <v>539</v>
      </c>
      <c r="B464" s="106">
        <v>13</v>
      </c>
      <c r="C464" s="106">
        <v>2</v>
      </c>
      <c r="D464" s="106">
        <v>8</v>
      </c>
      <c r="E464" s="106">
        <v>1</v>
      </c>
      <c r="F464" s="106">
        <v>1</v>
      </c>
      <c r="G464" s="106" t="s">
        <v>66</v>
      </c>
      <c r="I464" s="106">
        <v>201</v>
      </c>
      <c r="J464" s="106" t="s">
        <v>1766</v>
      </c>
      <c r="K464" s="106" t="s">
        <v>1318</v>
      </c>
      <c r="L464" s="106" t="s">
        <v>1331</v>
      </c>
      <c r="M464" s="106" t="s">
        <v>557</v>
      </c>
      <c r="N464" s="106">
        <v>14</v>
      </c>
      <c r="O464" s="106">
        <v>14</v>
      </c>
      <c r="T464" s="106" t="s">
        <v>1766</v>
      </c>
      <c r="V464" s="106">
        <v>1373323.1831883099</v>
      </c>
      <c r="W464" s="106">
        <v>1</v>
      </c>
      <c r="X464" s="106">
        <v>2</v>
      </c>
      <c r="Y464" s="106">
        <v>2</v>
      </c>
      <c r="Z464" s="106">
        <v>2</v>
      </c>
      <c r="AA464" s="106">
        <v>200000</v>
      </c>
      <c r="AB464" s="106">
        <v>390000</v>
      </c>
      <c r="AC464" s="106">
        <v>390000</v>
      </c>
      <c r="AD464" s="106">
        <v>390000</v>
      </c>
      <c r="AE464" s="106">
        <v>1370000</v>
      </c>
      <c r="AF464" s="106">
        <v>1370000</v>
      </c>
      <c r="AH464" s="106">
        <v>23040</v>
      </c>
      <c r="AI464" s="106">
        <v>0.04</v>
      </c>
      <c r="AJ464" s="106">
        <v>6</v>
      </c>
      <c r="AK464" s="106">
        <v>230.4</v>
      </c>
      <c r="AL464" s="106">
        <v>1382.4</v>
      </c>
      <c r="AM464" s="106">
        <v>20471</v>
      </c>
      <c r="AN464" s="106">
        <v>20471</v>
      </c>
      <c r="AO464" s="106">
        <v>8445</v>
      </c>
      <c r="AP464" s="106" t="s">
        <v>137</v>
      </c>
      <c r="AQ464" s="106" t="s">
        <v>541</v>
      </c>
      <c r="AR464" s="106">
        <v>2601</v>
      </c>
      <c r="AS464" s="106">
        <v>290000</v>
      </c>
      <c r="AT464" s="106">
        <v>290000</v>
      </c>
      <c r="AU464" s="108" t="s">
        <v>182</v>
      </c>
      <c r="AV464" s="108" t="s">
        <v>542</v>
      </c>
      <c r="AW464" s="108">
        <v>1400</v>
      </c>
      <c r="AX464" s="108">
        <v>7</v>
      </c>
      <c r="AY464" s="108">
        <v>7</v>
      </c>
      <c r="BY464" s="112" t="s">
        <v>1766</v>
      </c>
      <c r="BZ464" s="112" t="s">
        <v>1766</v>
      </c>
      <c r="CA464" s="112" t="s">
        <v>1766</v>
      </c>
      <c r="CB464" s="112" t="s">
        <v>1766</v>
      </c>
      <c r="CC464" s="112" t="s">
        <v>1766</v>
      </c>
      <c r="CD464" s="112" t="s">
        <v>1766</v>
      </c>
      <c r="CE464" s="112" t="s">
        <v>1766</v>
      </c>
      <c r="CF464" s="112" t="s">
        <v>1766</v>
      </c>
      <c r="CG464" s="112" t="s">
        <v>1766</v>
      </c>
      <c r="CH464" s="112" t="s">
        <v>1766</v>
      </c>
      <c r="CI464" s="112" t="s">
        <v>1766</v>
      </c>
      <c r="CJ464" s="112" t="s">
        <v>1766</v>
      </c>
      <c r="CK464" s="112" t="s">
        <v>1766</v>
      </c>
      <c r="CL464" s="112" t="s">
        <v>1766</v>
      </c>
      <c r="CM464" s="112" t="s">
        <v>1766</v>
      </c>
      <c r="CN464" s="112" t="s">
        <v>1766</v>
      </c>
      <c r="CO464" s="112" t="s">
        <v>1766</v>
      </c>
    </row>
    <row r="465" spans="1:93">
      <c r="A465" s="106" t="s">
        <v>539</v>
      </c>
      <c r="B465" s="106">
        <v>14</v>
      </c>
      <c r="C465" s="106">
        <v>2</v>
      </c>
      <c r="D465" s="106">
        <v>8</v>
      </c>
      <c r="E465" s="106">
        <v>1</v>
      </c>
      <c r="F465" s="106">
        <v>1</v>
      </c>
      <c r="G465" s="106" t="s">
        <v>66</v>
      </c>
      <c r="I465" s="106">
        <v>201</v>
      </c>
      <c r="J465" s="106" t="s">
        <v>1766</v>
      </c>
      <c r="K465" s="106" t="s">
        <v>1318</v>
      </c>
      <c r="L465" s="106" t="s">
        <v>1332</v>
      </c>
      <c r="M465" s="106" t="s">
        <v>558</v>
      </c>
      <c r="N465" s="106">
        <v>19</v>
      </c>
      <c r="O465" s="106">
        <v>19</v>
      </c>
      <c r="T465" s="106" t="s">
        <v>1766</v>
      </c>
      <c r="V465" s="106">
        <v>1785320.1381448</v>
      </c>
      <c r="W465" s="106">
        <v>1</v>
      </c>
      <c r="X465" s="106">
        <v>2</v>
      </c>
      <c r="Y465" s="106">
        <v>2</v>
      </c>
      <c r="Z465" s="106">
        <v>2</v>
      </c>
      <c r="AA465" s="106">
        <v>260000</v>
      </c>
      <c r="AB465" s="106">
        <v>510000</v>
      </c>
      <c r="AC465" s="106">
        <v>510000</v>
      </c>
      <c r="AD465" s="106">
        <v>510000</v>
      </c>
      <c r="AE465" s="106">
        <v>1790000</v>
      </c>
      <c r="AF465" s="106">
        <v>1790000</v>
      </c>
      <c r="AH465" s="106">
        <v>28800</v>
      </c>
      <c r="AI465" s="106">
        <v>0.05</v>
      </c>
      <c r="AJ465" s="106">
        <v>6</v>
      </c>
      <c r="AK465" s="106">
        <v>288</v>
      </c>
      <c r="AL465" s="106">
        <v>1728</v>
      </c>
      <c r="AM465" s="106">
        <v>25400</v>
      </c>
      <c r="AN465" s="106">
        <v>25400</v>
      </c>
      <c r="AO465" s="106">
        <v>12015</v>
      </c>
      <c r="AP465" s="106" t="s">
        <v>137</v>
      </c>
      <c r="AQ465" s="106" t="s">
        <v>541</v>
      </c>
      <c r="AR465" s="106">
        <v>2601</v>
      </c>
      <c r="AS465" s="106">
        <v>320000</v>
      </c>
      <c r="AT465" s="106">
        <v>320000</v>
      </c>
      <c r="AU465" s="108" t="s">
        <v>182</v>
      </c>
      <c r="AV465" s="108" t="s">
        <v>542</v>
      </c>
      <c r="AW465" s="108">
        <v>1400</v>
      </c>
      <c r="AX465" s="108">
        <v>7</v>
      </c>
      <c r="AY465" s="108">
        <v>7</v>
      </c>
      <c r="BY465" s="112" t="s">
        <v>1766</v>
      </c>
      <c r="BZ465" s="112" t="s">
        <v>1766</v>
      </c>
      <c r="CA465" s="112" t="s">
        <v>1766</v>
      </c>
      <c r="CB465" s="112" t="s">
        <v>1766</v>
      </c>
      <c r="CC465" s="112" t="s">
        <v>1766</v>
      </c>
      <c r="CD465" s="112" t="s">
        <v>1766</v>
      </c>
      <c r="CE465" s="112" t="s">
        <v>1766</v>
      </c>
      <c r="CF465" s="112" t="s">
        <v>1766</v>
      </c>
      <c r="CG465" s="112" t="s">
        <v>1766</v>
      </c>
      <c r="CH465" s="112" t="s">
        <v>1766</v>
      </c>
      <c r="CI465" s="112" t="s">
        <v>1766</v>
      </c>
      <c r="CJ465" s="112" t="s">
        <v>1766</v>
      </c>
      <c r="CK465" s="112" t="s">
        <v>1766</v>
      </c>
      <c r="CL465" s="112" t="s">
        <v>1766</v>
      </c>
      <c r="CM465" s="112" t="s">
        <v>1766</v>
      </c>
      <c r="CN465" s="112" t="s">
        <v>1766</v>
      </c>
      <c r="CO465" s="112" t="s">
        <v>1766</v>
      </c>
    </row>
    <row r="466" spans="1:93">
      <c r="A466" s="106" t="s">
        <v>539</v>
      </c>
      <c r="B466" s="106">
        <v>15</v>
      </c>
      <c r="C466" s="106">
        <v>2</v>
      </c>
      <c r="D466" s="106">
        <v>8</v>
      </c>
      <c r="E466" s="106">
        <v>1</v>
      </c>
      <c r="F466" s="106">
        <v>1</v>
      </c>
      <c r="G466" s="106" t="s">
        <v>66</v>
      </c>
      <c r="I466" s="106">
        <v>201</v>
      </c>
      <c r="J466" s="106" t="s">
        <v>1766</v>
      </c>
      <c r="K466" s="106" t="s">
        <v>1318</v>
      </c>
      <c r="L466" s="106" t="s">
        <v>1333</v>
      </c>
      <c r="M466" s="106" t="s">
        <v>559</v>
      </c>
      <c r="N466" s="106">
        <v>19</v>
      </c>
      <c r="O466" s="106">
        <v>19</v>
      </c>
      <c r="T466" s="106" t="s">
        <v>1766</v>
      </c>
      <c r="V466" s="106">
        <v>2285209.7768253498</v>
      </c>
      <c r="W466" s="106">
        <v>1</v>
      </c>
      <c r="X466" s="106">
        <v>2</v>
      </c>
      <c r="Y466" s="106">
        <v>2</v>
      </c>
      <c r="Z466" s="106">
        <v>2</v>
      </c>
      <c r="AA466" s="106">
        <v>330000</v>
      </c>
      <c r="AB466" s="106">
        <v>650000</v>
      </c>
      <c r="AC466" s="106">
        <v>650000</v>
      </c>
      <c r="AD466" s="106">
        <v>650000</v>
      </c>
      <c r="AE466" s="106">
        <v>2280000</v>
      </c>
      <c r="AF466" s="106">
        <v>2280000</v>
      </c>
      <c r="AH466" s="106">
        <v>34560</v>
      </c>
      <c r="AI466" s="106">
        <v>0.05</v>
      </c>
      <c r="AJ466" s="106">
        <v>7</v>
      </c>
      <c r="AK466" s="106">
        <v>345.6</v>
      </c>
      <c r="AL466" s="106">
        <v>2419.1999999999998</v>
      </c>
      <c r="AM466" s="106">
        <v>30195</v>
      </c>
      <c r="AN466" s="106">
        <v>30195</v>
      </c>
      <c r="AO466" s="106">
        <v>16586</v>
      </c>
      <c r="AP466" s="106" t="s">
        <v>137</v>
      </c>
      <c r="AQ466" s="106" t="s">
        <v>541</v>
      </c>
      <c r="AR466" s="106">
        <v>2601</v>
      </c>
      <c r="AS466" s="106">
        <v>350000</v>
      </c>
      <c r="AT466" s="106">
        <v>350000</v>
      </c>
      <c r="AU466" s="108" t="s">
        <v>182</v>
      </c>
      <c r="AV466" s="108" t="s">
        <v>542</v>
      </c>
      <c r="AW466" s="108">
        <v>1400</v>
      </c>
      <c r="AX466" s="108">
        <v>8</v>
      </c>
      <c r="AY466" s="108">
        <v>8</v>
      </c>
      <c r="BY466" s="112" t="s">
        <v>1766</v>
      </c>
      <c r="BZ466" s="112" t="s">
        <v>1766</v>
      </c>
      <c r="CA466" s="112" t="s">
        <v>1766</v>
      </c>
      <c r="CB466" s="112" t="s">
        <v>1766</v>
      </c>
      <c r="CC466" s="112" t="s">
        <v>1766</v>
      </c>
      <c r="CD466" s="112" t="s">
        <v>1766</v>
      </c>
      <c r="CE466" s="112" t="s">
        <v>1766</v>
      </c>
      <c r="CF466" s="112" t="s">
        <v>1766</v>
      </c>
      <c r="CG466" s="112" t="s">
        <v>1766</v>
      </c>
      <c r="CH466" s="112" t="s">
        <v>1766</v>
      </c>
      <c r="CI466" s="112" t="s">
        <v>1766</v>
      </c>
      <c r="CJ466" s="112" t="s">
        <v>1766</v>
      </c>
      <c r="CK466" s="112" t="s">
        <v>1766</v>
      </c>
      <c r="CL466" s="112" t="s">
        <v>1766</v>
      </c>
      <c r="CM466" s="112" t="s">
        <v>1766</v>
      </c>
      <c r="CN466" s="112" t="s">
        <v>1766</v>
      </c>
      <c r="CO466" s="112" t="s">
        <v>1766</v>
      </c>
    </row>
    <row r="467" spans="1:93">
      <c r="A467" s="106" t="s">
        <v>539</v>
      </c>
      <c r="B467" s="106">
        <v>16</v>
      </c>
      <c r="C467" s="106">
        <v>2</v>
      </c>
      <c r="D467" s="106">
        <v>8</v>
      </c>
      <c r="E467" s="106">
        <v>1</v>
      </c>
      <c r="F467" s="106">
        <v>1</v>
      </c>
      <c r="G467" s="106" t="s">
        <v>66</v>
      </c>
      <c r="I467" s="106">
        <v>201</v>
      </c>
      <c r="J467" s="106" t="s">
        <v>1766</v>
      </c>
      <c r="K467" s="106" t="s">
        <v>1318</v>
      </c>
      <c r="L467" s="106" t="s">
        <v>1334</v>
      </c>
      <c r="M467" s="106" t="s">
        <v>560</v>
      </c>
      <c r="N467" s="106">
        <v>19</v>
      </c>
      <c r="O467" s="106">
        <v>19</v>
      </c>
      <c r="T467" s="106" t="s">
        <v>1766</v>
      </c>
      <c r="V467" s="106">
        <v>2925068.5143364398</v>
      </c>
      <c r="W467" s="106">
        <v>1</v>
      </c>
      <c r="X467" s="106">
        <v>2</v>
      </c>
      <c r="Y467" s="106">
        <v>2</v>
      </c>
      <c r="Z467" s="106">
        <v>2</v>
      </c>
      <c r="AA467" s="106">
        <v>420000</v>
      </c>
      <c r="AB467" s="106">
        <v>840000</v>
      </c>
      <c r="AC467" s="106">
        <v>840000</v>
      </c>
      <c r="AD467" s="106">
        <v>840000</v>
      </c>
      <c r="AE467" s="106">
        <v>2940000</v>
      </c>
      <c r="AF467" s="106">
        <v>2940000</v>
      </c>
      <c r="AH467" s="106">
        <v>43200</v>
      </c>
      <c r="AI467" s="106">
        <v>0.05</v>
      </c>
      <c r="AJ467" s="106">
        <v>7</v>
      </c>
      <c r="AK467" s="106">
        <v>432</v>
      </c>
      <c r="AL467" s="106">
        <v>3024</v>
      </c>
      <c r="AM467" s="106">
        <v>37818</v>
      </c>
      <c r="AN467" s="106">
        <v>37818</v>
      </c>
      <c r="AO467" s="106">
        <v>22436</v>
      </c>
      <c r="AP467" s="106" t="s">
        <v>137</v>
      </c>
      <c r="AQ467" s="106" t="s">
        <v>541</v>
      </c>
      <c r="AR467" s="106">
        <v>2601</v>
      </c>
      <c r="AS467" s="106">
        <v>380000</v>
      </c>
      <c r="AT467" s="106">
        <v>380000</v>
      </c>
      <c r="AU467" s="108" t="s">
        <v>182</v>
      </c>
      <c r="AV467" s="108" t="s">
        <v>542</v>
      </c>
      <c r="AW467" s="108">
        <v>1400</v>
      </c>
      <c r="AX467" s="108">
        <v>8</v>
      </c>
      <c r="AY467" s="108">
        <v>8</v>
      </c>
      <c r="BY467" s="112" t="s">
        <v>1766</v>
      </c>
      <c r="BZ467" s="112" t="s">
        <v>1766</v>
      </c>
      <c r="CA467" s="112" t="s">
        <v>1766</v>
      </c>
      <c r="CB467" s="112" t="s">
        <v>1766</v>
      </c>
      <c r="CC467" s="112" t="s">
        <v>1766</v>
      </c>
      <c r="CD467" s="112" t="s">
        <v>1766</v>
      </c>
      <c r="CE467" s="112" t="s">
        <v>1766</v>
      </c>
      <c r="CF467" s="112" t="s">
        <v>1766</v>
      </c>
      <c r="CG467" s="112" t="s">
        <v>1766</v>
      </c>
      <c r="CH467" s="112" t="s">
        <v>1766</v>
      </c>
      <c r="CI467" s="112" t="s">
        <v>1766</v>
      </c>
      <c r="CJ467" s="112" t="s">
        <v>1766</v>
      </c>
      <c r="CK467" s="112" t="s">
        <v>1766</v>
      </c>
      <c r="CL467" s="112" t="s">
        <v>1766</v>
      </c>
      <c r="CM467" s="112" t="s">
        <v>1766</v>
      </c>
      <c r="CN467" s="112" t="s">
        <v>1766</v>
      </c>
      <c r="CO467" s="112" t="s">
        <v>1766</v>
      </c>
    </row>
    <row r="468" spans="1:93">
      <c r="A468" s="106" t="s">
        <v>539</v>
      </c>
      <c r="B468" s="106">
        <v>17</v>
      </c>
      <c r="C468" s="106">
        <v>2</v>
      </c>
      <c r="D468" s="106">
        <v>8</v>
      </c>
      <c r="E468" s="106">
        <v>1</v>
      </c>
      <c r="F468" s="106">
        <v>1</v>
      </c>
      <c r="G468" s="106" t="s">
        <v>66</v>
      </c>
      <c r="I468" s="106">
        <v>201</v>
      </c>
      <c r="J468" s="106" t="s">
        <v>1766</v>
      </c>
      <c r="K468" s="106" t="s">
        <v>1318</v>
      </c>
      <c r="L468" s="106" t="s">
        <v>1335</v>
      </c>
      <c r="M468" s="106" t="s">
        <v>561</v>
      </c>
      <c r="N468" s="106">
        <v>19</v>
      </c>
      <c r="O468" s="106">
        <v>19</v>
      </c>
      <c r="T468" s="106" t="s">
        <v>1766</v>
      </c>
      <c r="V468" s="106">
        <v>3744087.6983506498</v>
      </c>
      <c r="W468" s="106">
        <v>1</v>
      </c>
      <c r="X468" s="106">
        <v>2</v>
      </c>
      <c r="Y468" s="106">
        <v>2</v>
      </c>
      <c r="Z468" s="106">
        <v>2</v>
      </c>
      <c r="AA468" s="106">
        <v>530000</v>
      </c>
      <c r="AB468" s="106">
        <v>1100000</v>
      </c>
      <c r="AC468" s="106">
        <v>1100000</v>
      </c>
      <c r="AD468" s="106">
        <v>1100000</v>
      </c>
      <c r="AE468" s="106">
        <v>3830000</v>
      </c>
      <c r="AF468" s="106">
        <v>3830000</v>
      </c>
      <c r="AH468" s="106">
        <v>57600</v>
      </c>
      <c r="AI468" s="106">
        <v>0.05</v>
      </c>
      <c r="AJ468" s="106">
        <v>8</v>
      </c>
      <c r="AK468" s="106">
        <v>576</v>
      </c>
      <c r="AL468" s="106">
        <v>4608</v>
      </c>
      <c r="AM468" s="106">
        <v>49949</v>
      </c>
      <c r="AN468" s="106">
        <v>49949</v>
      </c>
      <c r="AO468" s="106">
        <v>29924</v>
      </c>
      <c r="AP468" s="106" t="s">
        <v>137</v>
      </c>
      <c r="AQ468" s="106" t="s">
        <v>541</v>
      </c>
      <c r="AR468" s="106">
        <v>2601</v>
      </c>
      <c r="AS468" s="106">
        <v>420000</v>
      </c>
      <c r="AT468" s="106">
        <v>420000</v>
      </c>
      <c r="AU468" s="108" t="s">
        <v>182</v>
      </c>
      <c r="AV468" s="108" t="s">
        <v>542</v>
      </c>
      <c r="AW468" s="108">
        <v>1400</v>
      </c>
      <c r="AX468" s="108">
        <v>9</v>
      </c>
      <c r="AY468" s="108">
        <v>9</v>
      </c>
      <c r="BY468" s="112" t="s">
        <v>1766</v>
      </c>
      <c r="BZ468" s="112" t="s">
        <v>1766</v>
      </c>
      <c r="CA468" s="112" t="s">
        <v>1766</v>
      </c>
      <c r="CB468" s="112" t="s">
        <v>1766</v>
      </c>
      <c r="CC468" s="112" t="s">
        <v>1766</v>
      </c>
      <c r="CD468" s="112" t="s">
        <v>1766</v>
      </c>
      <c r="CE468" s="112" t="s">
        <v>1766</v>
      </c>
      <c r="CF468" s="112" t="s">
        <v>1766</v>
      </c>
      <c r="CG468" s="112" t="s">
        <v>1766</v>
      </c>
      <c r="CH468" s="112" t="s">
        <v>1766</v>
      </c>
      <c r="CI468" s="112" t="s">
        <v>1766</v>
      </c>
      <c r="CJ468" s="112" t="s">
        <v>1766</v>
      </c>
      <c r="CK468" s="112" t="s">
        <v>1766</v>
      </c>
      <c r="CL468" s="112" t="s">
        <v>1766</v>
      </c>
      <c r="CM468" s="112" t="s">
        <v>1766</v>
      </c>
      <c r="CN468" s="112" t="s">
        <v>1766</v>
      </c>
      <c r="CO468" s="112" t="s">
        <v>1766</v>
      </c>
    </row>
    <row r="469" spans="1:93">
      <c r="A469" s="106" t="s">
        <v>539</v>
      </c>
      <c r="B469" s="106">
        <v>18</v>
      </c>
      <c r="C469" s="106">
        <v>2</v>
      </c>
      <c r="D469" s="106">
        <v>8</v>
      </c>
      <c r="E469" s="106">
        <v>1</v>
      </c>
      <c r="F469" s="106">
        <v>1</v>
      </c>
      <c r="G469" s="106" t="s">
        <v>66</v>
      </c>
      <c r="I469" s="106">
        <v>201</v>
      </c>
      <c r="J469" s="106" t="s">
        <v>1766</v>
      </c>
      <c r="K469" s="106" t="s">
        <v>1318</v>
      </c>
      <c r="L469" s="106" t="s">
        <v>1336</v>
      </c>
      <c r="M469" s="106" t="s">
        <v>562</v>
      </c>
      <c r="N469" s="106">
        <v>19</v>
      </c>
      <c r="O469" s="106">
        <v>19</v>
      </c>
      <c r="T469" s="106" t="s">
        <v>1766</v>
      </c>
      <c r="V469" s="106">
        <v>4792432.2538888296</v>
      </c>
      <c r="W469" s="106">
        <v>1</v>
      </c>
      <c r="X469" s="106">
        <v>2</v>
      </c>
      <c r="Y469" s="106">
        <v>2</v>
      </c>
      <c r="Z469" s="106">
        <v>2</v>
      </c>
      <c r="AA469" s="106">
        <v>680000</v>
      </c>
      <c r="AB469" s="106">
        <v>1400000</v>
      </c>
      <c r="AC469" s="106">
        <v>1400000</v>
      </c>
      <c r="AD469" s="106">
        <v>1400000</v>
      </c>
      <c r="AE469" s="106">
        <v>4880000</v>
      </c>
      <c r="AF469" s="106">
        <v>4880000</v>
      </c>
      <c r="AH469" s="106">
        <v>74880</v>
      </c>
      <c r="AI469" s="106">
        <v>6.5000000000000002E-2</v>
      </c>
      <c r="AJ469" s="106">
        <v>8</v>
      </c>
      <c r="AK469" s="106">
        <v>748.8</v>
      </c>
      <c r="AL469" s="106">
        <v>5990.4</v>
      </c>
      <c r="AM469" s="106">
        <v>64019</v>
      </c>
      <c r="AN469" s="106">
        <v>64019</v>
      </c>
      <c r="AO469" s="106">
        <v>39509</v>
      </c>
      <c r="AP469" s="106" t="s">
        <v>137</v>
      </c>
      <c r="AQ469" s="106" t="s">
        <v>541</v>
      </c>
      <c r="AR469" s="106">
        <v>2601</v>
      </c>
      <c r="AS469" s="106">
        <v>460000</v>
      </c>
      <c r="AT469" s="106">
        <v>460000</v>
      </c>
      <c r="AU469" s="108" t="s">
        <v>182</v>
      </c>
      <c r="AV469" s="108" t="s">
        <v>542</v>
      </c>
      <c r="AW469" s="108">
        <v>1400</v>
      </c>
      <c r="AX469" s="108">
        <v>9</v>
      </c>
      <c r="AY469" s="108">
        <v>9</v>
      </c>
      <c r="BY469" s="112" t="s">
        <v>1766</v>
      </c>
      <c r="BZ469" s="112" t="s">
        <v>1766</v>
      </c>
      <c r="CA469" s="112" t="s">
        <v>1766</v>
      </c>
      <c r="CB469" s="112" t="s">
        <v>1766</v>
      </c>
      <c r="CC469" s="112" t="s">
        <v>1766</v>
      </c>
      <c r="CD469" s="112" t="s">
        <v>1766</v>
      </c>
      <c r="CE469" s="112" t="s">
        <v>1766</v>
      </c>
      <c r="CF469" s="112" t="s">
        <v>1766</v>
      </c>
      <c r="CG469" s="112" t="s">
        <v>1766</v>
      </c>
      <c r="CH469" s="112" t="s">
        <v>1766</v>
      </c>
      <c r="CI469" s="112" t="s">
        <v>1766</v>
      </c>
      <c r="CJ469" s="112" t="s">
        <v>1766</v>
      </c>
      <c r="CK469" s="112" t="s">
        <v>1766</v>
      </c>
      <c r="CL469" s="112" t="s">
        <v>1766</v>
      </c>
      <c r="CM469" s="112" t="s">
        <v>1766</v>
      </c>
      <c r="CN469" s="112" t="s">
        <v>1766</v>
      </c>
      <c r="CO469" s="112" t="s">
        <v>1766</v>
      </c>
    </row>
    <row r="470" spans="1:93">
      <c r="A470" s="106" t="s">
        <v>539</v>
      </c>
      <c r="B470" s="106">
        <v>19</v>
      </c>
      <c r="C470" s="106">
        <v>2</v>
      </c>
      <c r="D470" s="106">
        <v>8</v>
      </c>
      <c r="E470" s="106">
        <v>1</v>
      </c>
      <c r="F470" s="106">
        <v>1</v>
      </c>
      <c r="G470" s="106" t="s">
        <v>66</v>
      </c>
      <c r="I470" s="106">
        <v>201</v>
      </c>
      <c r="J470" s="106" t="s">
        <v>1766</v>
      </c>
      <c r="K470" s="106" t="s">
        <v>1318</v>
      </c>
      <c r="L470" s="106" t="s">
        <v>1337</v>
      </c>
      <c r="M470" s="106" t="s">
        <v>563</v>
      </c>
      <c r="N470" s="106">
        <v>24</v>
      </c>
      <c r="O470" s="106">
        <v>24</v>
      </c>
      <c r="T470" s="106" t="s">
        <v>1766</v>
      </c>
      <c r="V470" s="106">
        <v>6134313.2849776996</v>
      </c>
      <c r="W470" s="106">
        <v>1</v>
      </c>
      <c r="X470" s="106">
        <v>2</v>
      </c>
      <c r="Y470" s="106">
        <v>2</v>
      </c>
      <c r="Z470" s="106">
        <v>2</v>
      </c>
      <c r="AA470" s="106">
        <v>880000</v>
      </c>
      <c r="AB470" s="106">
        <v>1800000</v>
      </c>
      <c r="AC470" s="106">
        <v>1800000</v>
      </c>
      <c r="AD470" s="106">
        <v>1800000</v>
      </c>
      <c r="AE470" s="106">
        <v>6280000</v>
      </c>
      <c r="AF470" s="106">
        <v>6280000</v>
      </c>
      <c r="AH470" s="106">
        <v>97920</v>
      </c>
      <c r="AI470" s="106">
        <v>0.08</v>
      </c>
      <c r="AJ470" s="106">
        <v>9</v>
      </c>
      <c r="AK470" s="106">
        <v>979.2</v>
      </c>
      <c r="AL470" s="106">
        <v>8812.7999999999993</v>
      </c>
      <c r="AM470" s="106">
        <v>81553</v>
      </c>
      <c r="AN470" s="106">
        <v>81553</v>
      </c>
      <c r="AO470" s="106">
        <v>51778</v>
      </c>
      <c r="AP470" s="106" t="s">
        <v>137</v>
      </c>
      <c r="AQ470" s="106" t="s">
        <v>541</v>
      </c>
      <c r="AR470" s="106">
        <v>2601</v>
      </c>
      <c r="AS470" s="106">
        <v>500000</v>
      </c>
      <c r="AT470" s="106">
        <v>500000</v>
      </c>
      <c r="AU470" s="108" t="s">
        <v>182</v>
      </c>
      <c r="AV470" s="108" t="s">
        <v>542</v>
      </c>
      <c r="AW470" s="108">
        <v>1400</v>
      </c>
      <c r="AX470" s="108">
        <v>10</v>
      </c>
      <c r="AY470" s="108">
        <v>10</v>
      </c>
      <c r="BY470" s="112" t="s">
        <v>1766</v>
      </c>
      <c r="BZ470" s="112" t="s">
        <v>1766</v>
      </c>
      <c r="CA470" s="112" t="s">
        <v>1766</v>
      </c>
      <c r="CB470" s="112" t="s">
        <v>1766</v>
      </c>
      <c r="CC470" s="112" t="s">
        <v>1766</v>
      </c>
      <c r="CD470" s="112" t="s">
        <v>1766</v>
      </c>
      <c r="CE470" s="112" t="s">
        <v>1766</v>
      </c>
      <c r="CF470" s="112" t="s">
        <v>1766</v>
      </c>
      <c r="CG470" s="112" t="s">
        <v>1766</v>
      </c>
      <c r="CH470" s="112" t="s">
        <v>1766</v>
      </c>
      <c r="CI470" s="112" t="s">
        <v>1766</v>
      </c>
      <c r="CJ470" s="112" t="s">
        <v>1766</v>
      </c>
      <c r="CK470" s="112" t="s">
        <v>1766</v>
      </c>
      <c r="CL470" s="112" t="s">
        <v>1766</v>
      </c>
      <c r="CM470" s="112" t="s">
        <v>1766</v>
      </c>
      <c r="CN470" s="112" t="s">
        <v>1766</v>
      </c>
      <c r="CO470" s="112" t="s">
        <v>1766</v>
      </c>
    </row>
    <row r="471" spans="1:93">
      <c r="A471" s="106" t="s">
        <v>539</v>
      </c>
      <c r="B471" s="106">
        <v>20</v>
      </c>
      <c r="C471" s="106">
        <v>2</v>
      </c>
      <c r="D471" s="106">
        <v>8</v>
      </c>
      <c r="E471" s="106">
        <v>1</v>
      </c>
      <c r="F471" s="106">
        <v>1</v>
      </c>
      <c r="G471" s="106" t="s">
        <v>66</v>
      </c>
      <c r="I471" s="106">
        <v>201</v>
      </c>
      <c r="J471" s="106" t="s">
        <v>1766</v>
      </c>
      <c r="K471" s="106" t="s">
        <v>1318</v>
      </c>
      <c r="L471" s="106" t="s">
        <v>1338</v>
      </c>
      <c r="M471" s="106" t="s">
        <v>564</v>
      </c>
      <c r="N471" s="106">
        <v>24</v>
      </c>
      <c r="O471" s="106">
        <v>24</v>
      </c>
      <c r="T471" s="106" t="s">
        <v>1766</v>
      </c>
      <c r="V471" s="106">
        <v>7851921.0047714598</v>
      </c>
      <c r="W471" s="106">
        <v>1</v>
      </c>
      <c r="X471" s="106">
        <v>2</v>
      </c>
      <c r="Y471" s="106">
        <v>2</v>
      </c>
      <c r="Z471" s="106">
        <v>2</v>
      </c>
      <c r="AA471" s="106">
        <v>1100000</v>
      </c>
      <c r="AB471" s="106">
        <v>2200000</v>
      </c>
      <c r="AC471" s="106">
        <v>2200000</v>
      </c>
      <c r="AD471" s="106">
        <v>2200000</v>
      </c>
      <c r="AE471" s="106">
        <v>7700000</v>
      </c>
      <c r="AF471" s="106">
        <v>7700000</v>
      </c>
      <c r="AH471" s="106">
        <v>138240</v>
      </c>
      <c r="AI471" s="106">
        <v>9.5000000000000001E-2</v>
      </c>
      <c r="AJ471" s="106">
        <v>9</v>
      </c>
      <c r="AK471" s="106">
        <v>1382.4</v>
      </c>
      <c r="AL471" s="106">
        <v>12441.6</v>
      </c>
      <c r="AM471" s="106">
        <v>113504</v>
      </c>
      <c r="AN471" s="106">
        <v>113504</v>
      </c>
      <c r="AO471" s="106">
        <v>67481</v>
      </c>
      <c r="AP471" s="106" t="s">
        <v>137</v>
      </c>
      <c r="AQ471" s="106" t="s">
        <v>541</v>
      </c>
      <c r="AR471" s="106">
        <v>2601</v>
      </c>
      <c r="AS471" s="106">
        <v>540000</v>
      </c>
      <c r="AT471" s="106">
        <v>540000</v>
      </c>
      <c r="AU471" s="108" t="s">
        <v>182</v>
      </c>
      <c r="AV471" s="108" t="s">
        <v>542</v>
      </c>
      <c r="AW471" s="108">
        <v>1400</v>
      </c>
      <c r="AX471" s="108">
        <v>10</v>
      </c>
      <c r="AY471" s="108">
        <v>10</v>
      </c>
      <c r="BY471" s="112" t="s">
        <v>1766</v>
      </c>
      <c r="BZ471" s="112" t="s">
        <v>1766</v>
      </c>
      <c r="CA471" s="112" t="s">
        <v>1766</v>
      </c>
      <c r="CB471" s="112" t="s">
        <v>1766</v>
      </c>
      <c r="CC471" s="112" t="s">
        <v>1766</v>
      </c>
      <c r="CD471" s="112" t="s">
        <v>1766</v>
      </c>
      <c r="CE471" s="112" t="s">
        <v>1766</v>
      </c>
      <c r="CF471" s="112" t="s">
        <v>1766</v>
      </c>
      <c r="CG471" s="112" t="s">
        <v>1766</v>
      </c>
      <c r="CH471" s="112" t="s">
        <v>1766</v>
      </c>
      <c r="CI471" s="112" t="s">
        <v>1766</v>
      </c>
      <c r="CJ471" s="112" t="s">
        <v>1766</v>
      </c>
      <c r="CK471" s="112" t="s">
        <v>1766</v>
      </c>
      <c r="CL471" s="112" t="s">
        <v>1766</v>
      </c>
      <c r="CM471" s="112" t="s">
        <v>1766</v>
      </c>
      <c r="CN471" s="112" t="s">
        <v>1766</v>
      </c>
      <c r="CO471" s="112" t="s">
        <v>1766</v>
      </c>
    </row>
    <row r="472" spans="1:93">
      <c r="A472" s="106" t="s">
        <v>539</v>
      </c>
      <c r="B472" s="106">
        <v>21</v>
      </c>
      <c r="C472" s="106">
        <v>2</v>
      </c>
      <c r="D472" s="106">
        <v>8</v>
      </c>
      <c r="E472" s="106">
        <v>1</v>
      </c>
      <c r="F472" s="106">
        <v>1</v>
      </c>
      <c r="G472" s="106" t="s">
        <v>66</v>
      </c>
      <c r="I472" s="106">
        <v>201</v>
      </c>
      <c r="J472" s="106" t="s">
        <v>1766</v>
      </c>
      <c r="K472" s="106" t="s">
        <v>1318</v>
      </c>
      <c r="L472" s="106" t="s">
        <v>1340</v>
      </c>
      <c r="M472" s="106" t="s">
        <v>1517</v>
      </c>
      <c r="N472" s="106">
        <v>24</v>
      </c>
      <c r="O472" s="106">
        <v>24</v>
      </c>
      <c r="T472" s="106" t="s">
        <v>1766</v>
      </c>
      <c r="V472" s="106">
        <v>10050458.886107501</v>
      </c>
      <c r="W472" s="106">
        <v>1</v>
      </c>
      <c r="X472" s="106">
        <v>2</v>
      </c>
      <c r="Y472" s="106">
        <v>2</v>
      </c>
      <c r="Z472" s="106">
        <v>2</v>
      </c>
      <c r="AA472" s="106">
        <v>1400000</v>
      </c>
      <c r="AB472" s="106">
        <v>2900000</v>
      </c>
      <c r="AC472" s="106">
        <v>2900000</v>
      </c>
      <c r="AD472" s="106">
        <v>2900000</v>
      </c>
      <c r="AE472" s="106">
        <v>10100000</v>
      </c>
      <c r="AF472" s="106">
        <v>10100000</v>
      </c>
      <c r="AH472" s="106">
        <v>184320</v>
      </c>
      <c r="AI472" s="106">
        <v>0.11</v>
      </c>
      <c r="AJ472" s="106">
        <v>10</v>
      </c>
      <c r="AK472" s="106">
        <v>1843.2</v>
      </c>
      <c r="AL472" s="106">
        <v>18432</v>
      </c>
      <c r="AM472" s="106">
        <v>147322</v>
      </c>
      <c r="AN472" s="106">
        <v>147322</v>
      </c>
      <c r="AO472" s="106">
        <v>87582</v>
      </c>
      <c r="AP472" s="106" t="s">
        <v>137</v>
      </c>
      <c r="AQ472" s="106" t="s">
        <v>541</v>
      </c>
      <c r="AR472" s="106">
        <v>2601</v>
      </c>
      <c r="AS472" s="106">
        <v>580000</v>
      </c>
      <c r="AT472" s="106">
        <v>580000</v>
      </c>
      <c r="AU472" s="108" t="s">
        <v>182</v>
      </c>
      <c r="AV472" s="108" t="s">
        <v>542</v>
      </c>
      <c r="AW472" s="108">
        <v>1400</v>
      </c>
      <c r="AX472" s="108">
        <v>11</v>
      </c>
      <c r="AY472" s="108">
        <v>11</v>
      </c>
      <c r="BY472" s="112" t="s">
        <v>1766</v>
      </c>
      <c r="BZ472" s="112" t="s">
        <v>1766</v>
      </c>
      <c r="CA472" s="112" t="s">
        <v>1766</v>
      </c>
      <c r="CB472" s="112" t="s">
        <v>1766</v>
      </c>
      <c r="CC472" s="112" t="s">
        <v>1766</v>
      </c>
      <c r="CD472" s="112" t="s">
        <v>1766</v>
      </c>
      <c r="CE472" s="112" t="s">
        <v>1766</v>
      </c>
      <c r="CF472" s="112" t="s">
        <v>1766</v>
      </c>
      <c r="CG472" s="112" t="s">
        <v>1766</v>
      </c>
      <c r="CH472" s="112" t="s">
        <v>1766</v>
      </c>
      <c r="CI472" s="112" t="s">
        <v>1766</v>
      </c>
      <c r="CJ472" s="112" t="s">
        <v>1766</v>
      </c>
      <c r="CK472" s="112" t="s">
        <v>1766</v>
      </c>
      <c r="CL472" s="112" t="s">
        <v>1766</v>
      </c>
      <c r="CM472" s="112" t="s">
        <v>1766</v>
      </c>
      <c r="CN472" s="112" t="s">
        <v>1766</v>
      </c>
      <c r="CO472" s="112" t="s">
        <v>1766</v>
      </c>
    </row>
    <row r="473" spans="1:93">
      <c r="A473" s="106" t="s">
        <v>539</v>
      </c>
      <c r="B473" s="106">
        <v>22</v>
      </c>
      <c r="C473" s="106">
        <v>2</v>
      </c>
      <c r="D473" s="106">
        <v>8</v>
      </c>
      <c r="E473" s="106">
        <v>1</v>
      </c>
      <c r="F473" s="106">
        <v>1</v>
      </c>
      <c r="G473" s="106" t="s">
        <v>66</v>
      </c>
      <c r="I473" s="106">
        <v>201</v>
      </c>
      <c r="J473" s="106" t="s">
        <v>1766</v>
      </c>
      <c r="K473" s="106" t="s">
        <v>1318</v>
      </c>
      <c r="L473" s="106" t="s">
        <v>1342</v>
      </c>
      <c r="M473" s="106" t="s">
        <v>1518</v>
      </c>
      <c r="N473" s="106">
        <v>24</v>
      </c>
      <c r="O473" s="106">
        <v>24</v>
      </c>
      <c r="T473" s="106" t="s">
        <v>1766</v>
      </c>
      <c r="V473" s="106">
        <v>12864587.3742176</v>
      </c>
      <c r="W473" s="106">
        <v>1</v>
      </c>
      <c r="X473" s="106">
        <v>2</v>
      </c>
      <c r="Y473" s="106">
        <v>2</v>
      </c>
      <c r="Z473" s="106">
        <v>2</v>
      </c>
      <c r="AA473" s="106">
        <v>1800000</v>
      </c>
      <c r="AB473" s="106">
        <v>3700000</v>
      </c>
      <c r="AC473" s="106">
        <v>3700000</v>
      </c>
      <c r="AD473" s="106">
        <v>3700000</v>
      </c>
      <c r="AE473" s="106">
        <v>12900000</v>
      </c>
      <c r="AF473" s="106">
        <v>12900000</v>
      </c>
      <c r="AH473" s="106">
        <v>241920</v>
      </c>
      <c r="AI473" s="106">
        <v>0.125</v>
      </c>
      <c r="AJ473" s="106">
        <v>10</v>
      </c>
      <c r="AK473" s="106">
        <v>2419.1999999999998</v>
      </c>
      <c r="AL473" s="106">
        <v>24192</v>
      </c>
      <c r="AM473" s="106">
        <v>190548</v>
      </c>
      <c r="AN473" s="106">
        <v>190548</v>
      </c>
      <c r="AO473" s="106">
        <v>113312</v>
      </c>
      <c r="AP473" s="106" t="s">
        <v>137</v>
      </c>
      <c r="AQ473" s="106" t="s">
        <v>541</v>
      </c>
      <c r="AR473" s="106">
        <v>2601</v>
      </c>
      <c r="AS473" s="106">
        <v>620000</v>
      </c>
      <c r="AT473" s="106">
        <v>620000</v>
      </c>
      <c r="AU473" s="108" t="s">
        <v>182</v>
      </c>
      <c r="AV473" s="108" t="s">
        <v>542</v>
      </c>
      <c r="AW473" s="108">
        <v>1400</v>
      </c>
      <c r="AX473" s="108">
        <v>12</v>
      </c>
      <c r="AY473" s="108">
        <v>12</v>
      </c>
      <c r="BY473" s="112" t="s">
        <v>1766</v>
      </c>
      <c r="BZ473" s="112" t="s">
        <v>1766</v>
      </c>
      <c r="CA473" s="112" t="s">
        <v>1766</v>
      </c>
      <c r="CB473" s="112" t="s">
        <v>1766</v>
      </c>
      <c r="CC473" s="112" t="s">
        <v>1766</v>
      </c>
      <c r="CD473" s="112" t="s">
        <v>1766</v>
      </c>
      <c r="CE473" s="112" t="s">
        <v>1766</v>
      </c>
      <c r="CF473" s="112" t="s">
        <v>1766</v>
      </c>
      <c r="CG473" s="112" t="s">
        <v>1766</v>
      </c>
      <c r="CH473" s="112" t="s">
        <v>1766</v>
      </c>
      <c r="CI473" s="112" t="s">
        <v>1766</v>
      </c>
      <c r="CJ473" s="112" t="s">
        <v>1766</v>
      </c>
      <c r="CK473" s="112" t="s">
        <v>1766</v>
      </c>
      <c r="CL473" s="112" t="s">
        <v>1766</v>
      </c>
      <c r="CM473" s="112" t="s">
        <v>1766</v>
      </c>
      <c r="CN473" s="112" t="s">
        <v>1766</v>
      </c>
      <c r="CO473" s="112" t="s">
        <v>1766</v>
      </c>
    </row>
    <row r="474" spans="1:93">
      <c r="A474" s="106" t="s">
        <v>539</v>
      </c>
      <c r="B474" s="106">
        <v>23</v>
      </c>
      <c r="C474" s="106">
        <v>2</v>
      </c>
      <c r="D474" s="106">
        <v>8</v>
      </c>
      <c r="E474" s="106">
        <v>1</v>
      </c>
      <c r="F474" s="106">
        <v>1</v>
      </c>
      <c r="G474" s="106" t="s">
        <v>66</v>
      </c>
      <c r="I474" s="106">
        <v>201</v>
      </c>
      <c r="J474" s="106" t="s">
        <v>1766</v>
      </c>
      <c r="K474" s="106" t="s">
        <v>1318</v>
      </c>
      <c r="L474" s="106" t="s">
        <v>1344</v>
      </c>
      <c r="M474" s="106" t="s">
        <v>1519</v>
      </c>
      <c r="N474" s="106">
        <v>24</v>
      </c>
      <c r="O474" s="106">
        <v>24</v>
      </c>
      <c r="T474" s="106" t="s">
        <v>1766</v>
      </c>
      <c r="V474" s="106">
        <v>16466671.8389985</v>
      </c>
      <c r="W474" s="106">
        <v>1</v>
      </c>
      <c r="X474" s="106">
        <v>2</v>
      </c>
      <c r="Y474" s="106">
        <v>2</v>
      </c>
      <c r="Z474" s="106">
        <v>2</v>
      </c>
      <c r="AA474" s="106">
        <v>2400000</v>
      </c>
      <c r="AB474" s="106">
        <v>4700000</v>
      </c>
      <c r="AC474" s="106">
        <v>4700000</v>
      </c>
      <c r="AD474" s="106">
        <v>4700000</v>
      </c>
      <c r="AE474" s="106">
        <v>16500000</v>
      </c>
      <c r="AF474" s="106">
        <v>16500000</v>
      </c>
      <c r="AH474" s="106">
        <v>311040</v>
      </c>
      <c r="AI474" s="106">
        <v>0.125</v>
      </c>
      <c r="AJ474" s="106">
        <v>11</v>
      </c>
      <c r="AK474" s="106">
        <v>3110.4</v>
      </c>
      <c r="AL474" s="106">
        <v>34214.400000000001</v>
      </c>
      <c r="AM474" s="106">
        <v>241965</v>
      </c>
      <c r="AN474" s="106">
        <v>241965</v>
      </c>
      <c r="AO474" s="106">
        <v>146245</v>
      </c>
      <c r="AP474" s="106" t="s">
        <v>137</v>
      </c>
      <c r="AQ474" s="106" t="s">
        <v>541</v>
      </c>
      <c r="AR474" s="106">
        <v>2601</v>
      </c>
      <c r="AS474" s="106">
        <v>660000</v>
      </c>
      <c r="AT474" s="106">
        <v>660000</v>
      </c>
      <c r="AU474" s="108" t="s">
        <v>182</v>
      </c>
      <c r="AV474" s="108" t="s">
        <v>542</v>
      </c>
      <c r="AW474" s="108">
        <v>1400</v>
      </c>
      <c r="AX474" s="108">
        <v>13</v>
      </c>
      <c r="AY474" s="108">
        <v>13</v>
      </c>
      <c r="BY474" s="112" t="s">
        <v>1766</v>
      </c>
      <c r="BZ474" s="112" t="s">
        <v>1766</v>
      </c>
      <c r="CA474" s="112" t="s">
        <v>1766</v>
      </c>
      <c r="CB474" s="112" t="s">
        <v>1766</v>
      </c>
      <c r="CC474" s="112" t="s">
        <v>1766</v>
      </c>
      <c r="CD474" s="112" t="s">
        <v>1766</v>
      </c>
      <c r="CE474" s="112" t="s">
        <v>1766</v>
      </c>
      <c r="CF474" s="112" t="s">
        <v>1766</v>
      </c>
      <c r="CG474" s="112" t="s">
        <v>1766</v>
      </c>
      <c r="CH474" s="112" t="s">
        <v>1766</v>
      </c>
      <c r="CI474" s="112" t="s">
        <v>1766</v>
      </c>
      <c r="CJ474" s="112" t="s">
        <v>1766</v>
      </c>
      <c r="CK474" s="112" t="s">
        <v>1766</v>
      </c>
      <c r="CL474" s="112" t="s">
        <v>1766</v>
      </c>
      <c r="CM474" s="112" t="s">
        <v>1766</v>
      </c>
      <c r="CN474" s="112" t="s">
        <v>1766</v>
      </c>
      <c r="CO474" s="112" t="s">
        <v>1766</v>
      </c>
    </row>
    <row r="475" spans="1:93">
      <c r="A475" s="106" t="s">
        <v>539</v>
      </c>
      <c r="B475" s="106">
        <v>24</v>
      </c>
      <c r="C475" s="106">
        <v>2</v>
      </c>
      <c r="D475" s="106">
        <v>8</v>
      </c>
      <c r="E475" s="106">
        <v>1</v>
      </c>
      <c r="F475" s="106">
        <v>1</v>
      </c>
      <c r="G475" s="106" t="s">
        <v>66</v>
      </c>
      <c r="I475" s="106">
        <v>201</v>
      </c>
      <c r="J475" s="106" t="s">
        <v>1766</v>
      </c>
      <c r="K475" s="106" t="s">
        <v>1318</v>
      </c>
      <c r="L475" s="106" t="s">
        <v>1346</v>
      </c>
      <c r="M475" s="106" t="s">
        <v>1520</v>
      </c>
      <c r="N475" s="106">
        <v>29</v>
      </c>
      <c r="O475" s="106">
        <v>29</v>
      </c>
      <c r="T475" s="106" t="s">
        <v>1766</v>
      </c>
      <c r="V475" s="106">
        <v>21077339.953917999</v>
      </c>
      <c r="W475" s="106">
        <v>1</v>
      </c>
      <c r="X475" s="106">
        <v>2</v>
      </c>
      <c r="Y475" s="106">
        <v>2</v>
      </c>
      <c r="Z475" s="106">
        <v>2</v>
      </c>
      <c r="AA475" s="106">
        <v>3000000</v>
      </c>
      <c r="AB475" s="106">
        <v>6000000</v>
      </c>
      <c r="AC475" s="106">
        <v>6000000</v>
      </c>
      <c r="AD475" s="106">
        <v>6000000</v>
      </c>
      <c r="AE475" s="106">
        <v>21000000</v>
      </c>
      <c r="AF475" s="106">
        <v>21000000</v>
      </c>
      <c r="AH475" s="106">
        <v>397440</v>
      </c>
      <c r="AI475" s="106">
        <v>0.125</v>
      </c>
      <c r="AJ475" s="106">
        <v>12</v>
      </c>
      <c r="AK475" s="106">
        <v>3974.4</v>
      </c>
      <c r="AL475" s="106">
        <v>47692.800000000003</v>
      </c>
      <c r="AM475" s="106">
        <v>305287</v>
      </c>
      <c r="AN475" s="106">
        <v>305287</v>
      </c>
      <c r="AO475" s="106">
        <v>188400</v>
      </c>
      <c r="AP475" s="106" t="s">
        <v>137</v>
      </c>
      <c r="AQ475" s="106" t="s">
        <v>541</v>
      </c>
      <c r="AR475" s="106">
        <v>2601</v>
      </c>
      <c r="AS475" s="106">
        <v>700000</v>
      </c>
      <c r="AT475" s="106">
        <v>700000</v>
      </c>
      <c r="AU475" s="108" t="s">
        <v>182</v>
      </c>
      <c r="AV475" s="108" t="s">
        <v>542</v>
      </c>
      <c r="AW475" s="108">
        <v>1400</v>
      </c>
      <c r="AX475" s="108">
        <v>14</v>
      </c>
      <c r="AY475" s="108">
        <v>14</v>
      </c>
      <c r="BY475" s="112" t="s">
        <v>1766</v>
      </c>
      <c r="BZ475" s="112" t="s">
        <v>1766</v>
      </c>
      <c r="CA475" s="112" t="s">
        <v>1766</v>
      </c>
      <c r="CB475" s="112" t="s">
        <v>1766</v>
      </c>
      <c r="CC475" s="112" t="s">
        <v>1766</v>
      </c>
      <c r="CD475" s="112" t="s">
        <v>1766</v>
      </c>
      <c r="CE475" s="112" t="s">
        <v>1766</v>
      </c>
      <c r="CF475" s="112" t="s">
        <v>1766</v>
      </c>
      <c r="CG475" s="112" t="s">
        <v>1766</v>
      </c>
      <c r="CH475" s="112" t="s">
        <v>1766</v>
      </c>
      <c r="CI475" s="112" t="s">
        <v>1766</v>
      </c>
      <c r="CJ475" s="112" t="s">
        <v>1766</v>
      </c>
      <c r="CK475" s="112" t="s">
        <v>1766</v>
      </c>
      <c r="CL475" s="112" t="s">
        <v>1766</v>
      </c>
      <c r="CM475" s="112" t="s">
        <v>1766</v>
      </c>
      <c r="CN475" s="112" t="s">
        <v>1766</v>
      </c>
      <c r="CO475" s="112" t="s">
        <v>1766</v>
      </c>
    </row>
    <row r="476" spans="1:93">
      <c r="A476" s="106" t="s">
        <v>539</v>
      </c>
      <c r="B476" s="106">
        <v>25</v>
      </c>
      <c r="C476" s="106">
        <v>2</v>
      </c>
      <c r="D476" s="106">
        <v>8</v>
      </c>
      <c r="E476" s="106">
        <v>1</v>
      </c>
      <c r="F476" s="106">
        <v>1</v>
      </c>
      <c r="G476" s="106" t="s">
        <v>66</v>
      </c>
      <c r="I476" s="106">
        <v>201</v>
      </c>
      <c r="J476" s="106" t="s">
        <v>1766</v>
      </c>
      <c r="K476" s="106" t="s">
        <v>1318</v>
      </c>
      <c r="L476" s="106" t="s">
        <v>1348</v>
      </c>
      <c r="M476" s="106" t="s">
        <v>1521</v>
      </c>
      <c r="N476" s="106">
        <v>29</v>
      </c>
      <c r="O476" s="106">
        <v>29</v>
      </c>
      <c r="T476" s="106" t="s">
        <v>1766</v>
      </c>
      <c r="V476" s="106">
        <v>26978995.141015101</v>
      </c>
      <c r="W476" s="106">
        <v>1</v>
      </c>
      <c r="X476" s="106">
        <v>2</v>
      </c>
      <c r="Y476" s="106">
        <v>2</v>
      </c>
      <c r="Z476" s="106">
        <v>2</v>
      </c>
      <c r="AA476" s="106">
        <v>3900000</v>
      </c>
      <c r="AB476" s="106">
        <v>7700000</v>
      </c>
      <c r="AC476" s="106">
        <v>7700000</v>
      </c>
      <c r="AD476" s="106">
        <v>7700000</v>
      </c>
      <c r="AE476" s="106">
        <v>27000000</v>
      </c>
      <c r="AF476" s="106">
        <v>27000000</v>
      </c>
      <c r="AH476" s="106">
        <v>501120</v>
      </c>
      <c r="AI476" s="106">
        <v>0.125</v>
      </c>
      <c r="AJ476" s="106">
        <v>13</v>
      </c>
      <c r="AK476" s="106">
        <v>5011.2</v>
      </c>
      <c r="AL476" s="106">
        <v>65145.599999999999</v>
      </c>
      <c r="AM476" s="106">
        <v>379994</v>
      </c>
      <c r="AN476" s="106">
        <v>379994</v>
      </c>
      <c r="AO476" s="106">
        <v>242358</v>
      </c>
      <c r="AP476" s="106" t="s">
        <v>137</v>
      </c>
      <c r="AQ476" s="106" t="s">
        <v>541</v>
      </c>
      <c r="AR476" s="106">
        <v>2601</v>
      </c>
      <c r="AS476" s="106">
        <v>750000</v>
      </c>
      <c r="AT476" s="106">
        <v>750000</v>
      </c>
      <c r="AU476" s="108" t="s">
        <v>182</v>
      </c>
      <c r="AV476" s="108" t="s">
        <v>542</v>
      </c>
      <c r="AW476" s="108">
        <v>1400</v>
      </c>
      <c r="AX476" s="108">
        <v>15</v>
      </c>
      <c r="AY476" s="108">
        <v>15</v>
      </c>
      <c r="BY476" s="112" t="s">
        <v>1766</v>
      </c>
      <c r="BZ476" s="112" t="s">
        <v>1766</v>
      </c>
      <c r="CA476" s="112" t="s">
        <v>1766</v>
      </c>
      <c r="CB476" s="112" t="s">
        <v>1766</v>
      </c>
      <c r="CC476" s="112" t="s">
        <v>1766</v>
      </c>
      <c r="CD476" s="112" t="s">
        <v>1766</v>
      </c>
      <c r="CE476" s="112" t="s">
        <v>1766</v>
      </c>
      <c r="CF476" s="112" t="s">
        <v>1766</v>
      </c>
      <c r="CG476" s="112" t="s">
        <v>1766</v>
      </c>
      <c r="CH476" s="112" t="s">
        <v>1766</v>
      </c>
      <c r="CI476" s="112" t="s">
        <v>1766</v>
      </c>
      <c r="CJ476" s="112" t="s">
        <v>1766</v>
      </c>
      <c r="CK476" s="112" t="s">
        <v>1766</v>
      </c>
      <c r="CL476" s="112" t="s">
        <v>1766</v>
      </c>
      <c r="CM476" s="112" t="s">
        <v>1766</v>
      </c>
      <c r="CN476" s="112" t="s">
        <v>1766</v>
      </c>
      <c r="CO476" s="112" t="s">
        <v>1766</v>
      </c>
    </row>
    <row r="477" spans="1:93">
      <c r="A477" s="106" t="s">
        <v>539</v>
      </c>
      <c r="B477" s="106">
        <v>26</v>
      </c>
      <c r="C477" s="106">
        <v>2</v>
      </c>
      <c r="D477" s="106">
        <v>8</v>
      </c>
      <c r="E477" s="106">
        <v>1</v>
      </c>
      <c r="F477" s="106">
        <v>1</v>
      </c>
      <c r="G477" s="106" t="s">
        <v>66</v>
      </c>
      <c r="I477" s="106">
        <v>201</v>
      </c>
      <c r="J477" s="106" t="s">
        <v>1766</v>
      </c>
      <c r="K477" s="106" t="s">
        <v>1318</v>
      </c>
      <c r="L477" s="106" t="s">
        <v>1350</v>
      </c>
      <c r="M477" s="106" t="s">
        <v>1522</v>
      </c>
      <c r="N477" s="106">
        <v>29</v>
      </c>
      <c r="O477" s="106">
        <v>29</v>
      </c>
      <c r="T477" s="106" t="s">
        <v>1766</v>
      </c>
      <c r="V477" s="106">
        <v>34533113.780499302</v>
      </c>
      <c r="W477" s="106">
        <v>1</v>
      </c>
      <c r="X477" s="106">
        <v>2</v>
      </c>
      <c r="Y477" s="106">
        <v>2</v>
      </c>
      <c r="Z477" s="106">
        <v>2</v>
      </c>
      <c r="AA477" s="106">
        <v>4900000</v>
      </c>
      <c r="AB477" s="106">
        <v>9900000</v>
      </c>
      <c r="AC477" s="106">
        <v>9900000</v>
      </c>
      <c r="AD477" s="106">
        <v>9900000</v>
      </c>
      <c r="AE477" s="106">
        <v>34600000</v>
      </c>
      <c r="AF477" s="106">
        <v>34600000</v>
      </c>
      <c r="AH477" s="106">
        <v>622080</v>
      </c>
      <c r="AI477" s="106">
        <v>0.14499999999999999</v>
      </c>
      <c r="AJ477" s="106">
        <v>14</v>
      </c>
      <c r="AK477" s="106">
        <v>6220.8</v>
      </c>
      <c r="AL477" s="106">
        <v>87091.199999999997</v>
      </c>
      <c r="AM477" s="106">
        <v>455910</v>
      </c>
      <c r="AN477" s="106">
        <v>455910</v>
      </c>
      <c r="AO477" s="106">
        <v>311424</v>
      </c>
      <c r="AP477" s="106" t="s">
        <v>137</v>
      </c>
      <c r="AQ477" s="106" t="s">
        <v>541</v>
      </c>
      <c r="AR477" s="106">
        <v>2601</v>
      </c>
      <c r="AS477" s="106">
        <v>800000</v>
      </c>
      <c r="AT477" s="106">
        <v>800000</v>
      </c>
      <c r="AU477" s="108" t="s">
        <v>182</v>
      </c>
      <c r="AV477" s="108" t="s">
        <v>542</v>
      </c>
      <c r="AW477" s="108">
        <v>1400</v>
      </c>
      <c r="AX477" s="108">
        <v>16</v>
      </c>
      <c r="AY477" s="108">
        <v>16</v>
      </c>
      <c r="BY477" s="112" t="s">
        <v>1766</v>
      </c>
      <c r="BZ477" s="112" t="s">
        <v>1766</v>
      </c>
      <c r="CA477" s="112" t="s">
        <v>1766</v>
      </c>
      <c r="CB477" s="112" t="s">
        <v>1766</v>
      </c>
      <c r="CC477" s="112" t="s">
        <v>1766</v>
      </c>
      <c r="CD477" s="112" t="s">
        <v>1766</v>
      </c>
      <c r="CE477" s="112" t="s">
        <v>1766</v>
      </c>
      <c r="CF477" s="112" t="s">
        <v>1766</v>
      </c>
      <c r="CG477" s="112" t="s">
        <v>1766</v>
      </c>
      <c r="CH477" s="112" t="s">
        <v>1766</v>
      </c>
      <c r="CI477" s="112" t="s">
        <v>1766</v>
      </c>
      <c r="CJ477" s="112" t="s">
        <v>1766</v>
      </c>
      <c r="CK477" s="112" t="s">
        <v>1766</v>
      </c>
      <c r="CL477" s="112" t="s">
        <v>1766</v>
      </c>
      <c r="CM477" s="112" t="s">
        <v>1766</v>
      </c>
      <c r="CN477" s="112" t="s">
        <v>1766</v>
      </c>
      <c r="CO477" s="112" t="s">
        <v>1766</v>
      </c>
    </row>
    <row r="478" spans="1:93">
      <c r="A478" s="106" t="s">
        <v>539</v>
      </c>
      <c r="B478" s="106">
        <v>27</v>
      </c>
      <c r="C478" s="106">
        <v>2</v>
      </c>
      <c r="D478" s="106">
        <v>8</v>
      </c>
      <c r="E478" s="106">
        <v>1</v>
      </c>
      <c r="F478" s="106">
        <v>1</v>
      </c>
      <c r="G478" s="106" t="s">
        <v>66</v>
      </c>
      <c r="I478" s="106">
        <v>201</v>
      </c>
      <c r="J478" s="106" t="s">
        <v>1766</v>
      </c>
      <c r="K478" s="106" t="s">
        <v>1318</v>
      </c>
      <c r="L478" s="106" t="s">
        <v>1352</v>
      </c>
      <c r="M478" s="106" t="s">
        <v>1523</v>
      </c>
      <c r="N478" s="106">
        <v>29</v>
      </c>
      <c r="O478" s="106">
        <v>29</v>
      </c>
      <c r="T478" s="106" t="s">
        <v>1766</v>
      </c>
      <c r="V478" s="106">
        <v>44202385.639039099</v>
      </c>
      <c r="W478" s="106">
        <v>1</v>
      </c>
      <c r="X478" s="106">
        <v>2</v>
      </c>
      <c r="Y478" s="106">
        <v>2</v>
      </c>
      <c r="Z478" s="106">
        <v>2</v>
      </c>
      <c r="AA478" s="106">
        <v>6300000</v>
      </c>
      <c r="AB478" s="106">
        <v>13000000</v>
      </c>
      <c r="AC478" s="106">
        <v>13000000</v>
      </c>
      <c r="AD478" s="106">
        <v>13000000</v>
      </c>
      <c r="AE478" s="106">
        <v>45300000</v>
      </c>
      <c r="AF478" s="106">
        <v>45300000</v>
      </c>
      <c r="AH478" s="106">
        <v>760320</v>
      </c>
      <c r="AI478" s="106">
        <v>0.16500000000000001</v>
      </c>
      <c r="AJ478" s="106">
        <v>15</v>
      </c>
      <c r="AK478" s="106">
        <v>7603.2</v>
      </c>
      <c r="AL478" s="106">
        <v>114048</v>
      </c>
      <c r="AM478" s="106">
        <v>538287</v>
      </c>
      <c r="AN478" s="106">
        <v>538287</v>
      </c>
      <c r="AO478" s="106">
        <v>399829</v>
      </c>
      <c r="AP478" s="106" t="s">
        <v>137</v>
      </c>
      <c r="AQ478" s="106" t="s">
        <v>541</v>
      </c>
      <c r="AR478" s="106">
        <v>2601</v>
      </c>
      <c r="AS478" s="106">
        <v>850000</v>
      </c>
      <c r="AT478" s="106">
        <v>850000</v>
      </c>
      <c r="AU478" s="108" t="s">
        <v>182</v>
      </c>
      <c r="AV478" s="108" t="s">
        <v>542</v>
      </c>
      <c r="AW478" s="108">
        <v>1400</v>
      </c>
      <c r="AX478" s="108">
        <v>17</v>
      </c>
      <c r="AY478" s="108">
        <v>17</v>
      </c>
      <c r="BY478" s="112" t="s">
        <v>1766</v>
      </c>
      <c r="BZ478" s="112" t="s">
        <v>1766</v>
      </c>
      <c r="CA478" s="112" t="s">
        <v>1766</v>
      </c>
      <c r="CB478" s="112" t="s">
        <v>1766</v>
      </c>
      <c r="CC478" s="112" t="s">
        <v>1766</v>
      </c>
      <c r="CD478" s="112" t="s">
        <v>1766</v>
      </c>
      <c r="CE478" s="112" t="s">
        <v>1766</v>
      </c>
      <c r="CF478" s="112" t="s">
        <v>1766</v>
      </c>
      <c r="CG478" s="112" t="s">
        <v>1766</v>
      </c>
      <c r="CH478" s="112" t="s">
        <v>1766</v>
      </c>
      <c r="CI478" s="112" t="s">
        <v>1766</v>
      </c>
      <c r="CJ478" s="112" t="s">
        <v>1766</v>
      </c>
      <c r="CK478" s="112" t="s">
        <v>1766</v>
      </c>
      <c r="CL478" s="112" t="s">
        <v>1766</v>
      </c>
      <c r="CM478" s="112" t="s">
        <v>1766</v>
      </c>
      <c r="CN478" s="112" t="s">
        <v>1766</v>
      </c>
      <c r="CO478" s="112" t="s">
        <v>1766</v>
      </c>
    </row>
    <row r="479" spans="1:93">
      <c r="A479" s="106" t="s">
        <v>539</v>
      </c>
      <c r="B479" s="106">
        <v>28</v>
      </c>
      <c r="C479" s="106">
        <v>2</v>
      </c>
      <c r="D479" s="106">
        <v>8</v>
      </c>
      <c r="E479" s="106">
        <v>1</v>
      </c>
      <c r="F479" s="106">
        <v>1</v>
      </c>
      <c r="G479" s="106" t="s">
        <v>66</v>
      </c>
      <c r="I479" s="106">
        <v>201</v>
      </c>
      <c r="J479" s="106" t="s">
        <v>1766</v>
      </c>
      <c r="K479" s="106" t="s">
        <v>1318</v>
      </c>
      <c r="L479" s="106" t="s">
        <v>1354</v>
      </c>
      <c r="M479" s="106" t="s">
        <v>1524</v>
      </c>
      <c r="N479" s="106">
        <v>29</v>
      </c>
      <c r="O479" s="106">
        <v>29</v>
      </c>
      <c r="T479" s="106" t="s">
        <v>1766</v>
      </c>
      <c r="V479" s="106">
        <v>56579053.617970102</v>
      </c>
      <c r="W479" s="106">
        <v>1</v>
      </c>
      <c r="X479" s="106">
        <v>2</v>
      </c>
      <c r="Y479" s="106">
        <v>2</v>
      </c>
      <c r="Z479" s="106">
        <v>2</v>
      </c>
      <c r="AA479" s="106">
        <v>8100000</v>
      </c>
      <c r="AB479" s="106">
        <v>16000000</v>
      </c>
      <c r="AC479" s="106">
        <v>16000000</v>
      </c>
      <c r="AD479" s="106">
        <v>16000000</v>
      </c>
      <c r="AE479" s="106">
        <v>56100000</v>
      </c>
      <c r="AF479" s="106">
        <v>56100000</v>
      </c>
      <c r="AH479" s="106">
        <v>933120</v>
      </c>
      <c r="AI479" s="106">
        <v>0.185</v>
      </c>
      <c r="AJ479" s="106">
        <v>16</v>
      </c>
      <c r="AK479" s="106">
        <v>9331.2000000000007</v>
      </c>
      <c r="AL479" s="106">
        <v>149299.20000000001</v>
      </c>
      <c r="AM479" s="106">
        <v>637843</v>
      </c>
      <c r="AN479" s="106">
        <v>637843</v>
      </c>
      <c r="AO479" s="106">
        <v>512987</v>
      </c>
      <c r="AP479" s="106" t="s">
        <v>137</v>
      </c>
      <c r="AQ479" s="106" t="s">
        <v>541</v>
      </c>
      <c r="AR479" s="106">
        <v>2601</v>
      </c>
      <c r="AS479" s="106">
        <v>900000</v>
      </c>
      <c r="AT479" s="106">
        <v>900000</v>
      </c>
      <c r="AU479" s="108" t="s">
        <v>182</v>
      </c>
      <c r="AV479" s="108" t="s">
        <v>542</v>
      </c>
      <c r="AW479" s="108">
        <v>1400</v>
      </c>
      <c r="AX479" s="108">
        <v>18</v>
      </c>
      <c r="AY479" s="108">
        <v>18</v>
      </c>
      <c r="BY479" s="112" t="s">
        <v>1766</v>
      </c>
      <c r="BZ479" s="112" t="s">
        <v>1766</v>
      </c>
      <c r="CA479" s="112" t="s">
        <v>1766</v>
      </c>
      <c r="CB479" s="112" t="s">
        <v>1766</v>
      </c>
      <c r="CC479" s="112" t="s">
        <v>1766</v>
      </c>
      <c r="CD479" s="112" t="s">
        <v>1766</v>
      </c>
      <c r="CE479" s="112" t="s">
        <v>1766</v>
      </c>
      <c r="CF479" s="112" t="s">
        <v>1766</v>
      </c>
      <c r="CG479" s="112" t="s">
        <v>1766</v>
      </c>
      <c r="CH479" s="112" t="s">
        <v>1766</v>
      </c>
      <c r="CI479" s="112" t="s">
        <v>1766</v>
      </c>
      <c r="CJ479" s="112" t="s">
        <v>1766</v>
      </c>
      <c r="CK479" s="112" t="s">
        <v>1766</v>
      </c>
      <c r="CL479" s="112" t="s">
        <v>1766</v>
      </c>
      <c r="CM479" s="112" t="s">
        <v>1766</v>
      </c>
      <c r="CN479" s="112" t="s">
        <v>1766</v>
      </c>
      <c r="CO479" s="112" t="s">
        <v>1766</v>
      </c>
    </row>
    <row r="480" spans="1:93">
      <c r="A480" s="106" t="s">
        <v>539</v>
      </c>
      <c r="B480" s="106">
        <v>29</v>
      </c>
      <c r="C480" s="106">
        <v>2</v>
      </c>
      <c r="D480" s="106">
        <v>8</v>
      </c>
      <c r="E480" s="106">
        <v>1</v>
      </c>
      <c r="F480" s="106">
        <v>1</v>
      </c>
      <c r="G480" s="106" t="s">
        <v>66</v>
      </c>
      <c r="I480" s="106">
        <v>201</v>
      </c>
      <c r="J480" s="106" t="s">
        <v>1766</v>
      </c>
      <c r="K480" s="106" t="s">
        <v>1318</v>
      </c>
      <c r="L480" s="106" t="s">
        <v>1356</v>
      </c>
      <c r="M480" s="106" t="s">
        <v>1525</v>
      </c>
      <c r="O480" s="106">
        <v>0</v>
      </c>
      <c r="T480" s="106" t="s">
        <v>1766</v>
      </c>
      <c r="V480" s="106">
        <v>72421188.631001696</v>
      </c>
      <c r="W480" s="106">
        <v>1</v>
      </c>
      <c r="X480" s="106">
        <v>2</v>
      </c>
      <c r="Y480" s="106">
        <v>2</v>
      </c>
      <c r="Z480" s="106">
        <v>2</v>
      </c>
      <c r="AA480" s="106">
        <v>10000000</v>
      </c>
      <c r="AB480" s="106">
        <v>21000000</v>
      </c>
      <c r="AC480" s="106">
        <v>21000000</v>
      </c>
      <c r="AD480" s="106">
        <v>21000000</v>
      </c>
      <c r="AE480" s="106">
        <v>73000000</v>
      </c>
      <c r="AF480" s="106">
        <v>73000000</v>
      </c>
      <c r="AH480" s="106">
        <v>1140480</v>
      </c>
      <c r="AI480" s="106">
        <v>0.20499999999999999</v>
      </c>
      <c r="AJ480" s="106">
        <v>17</v>
      </c>
      <c r="AK480" s="106">
        <v>11404.8</v>
      </c>
      <c r="AL480" s="106">
        <v>193881.60000000001</v>
      </c>
      <c r="AM480" s="106">
        <v>752274</v>
      </c>
      <c r="AN480" s="106">
        <v>752274</v>
      </c>
      <c r="AO480" s="106">
        <v>657829</v>
      </c>
      <c r="AP480" s="106" t="s">
        <v>137</v>
      </c>
      <c r="AQ480" s="106" t="s">
        <v>541</v>
      </c>
      <c r="AR480" s="106">
        <v>2601</v>
      </c>
      <c r="AS480" s="106">
        <v>950000</v>
      </c>
      <c r="AT480" s="106">
        <v>950000</v>
      </c>
      <c r="AU480" s="108" t="s">
        <v>182</v>
      </c>
      <c r="AV480" s="108" t="s">
        <v>542</v>
      </c>
      <c r="AW480" s="108">
        <v>1400</v>
      </c>
      <c r="AX480" s="108">
        <v>19</v>
      </c>
      <c r="AY480" s="108">
        <v>19</v>
      </c>
      <c r="BY480" s="112" t="s">
        <v>1766</v>
      </c>
      <c r="BZ480" s="112" t="s">
        <v>1766</v>
      </c>
      <c r="CA480" s="112" t="s">
        <v>1766</v>
      </c>
      <c r="CB480" s="112" t="s">
        <v>1766</v>
      </c>
      <c r="CC480" s="112" t="s">
        <v>1766</v>
      </c>
      <c r="CD480" s="112" t="s">
        <v>1766</v>
      </c>
      <c r="CE480" s="112" t="s">
        <v>1766</v>
      </c>
      <c r="CF480" s="112" t="s">
        <v>1766</v>
      </c>
      <c r="CG480" s="112" t="s">
        <v>1766</v>
      </c>
      <c r="CH480" s="112" t="s">
        <v>1766</v>
      </c>
      <c r="CI480" s="112" t="s">
        <v>1766</v>
      </c>
      <c r="CJ480" s="112" t="s">
        <v>1766</v>
      </c>
      <c r="CK480" s="112" t="s">
        <v>1766</v>
      </c>
      <c r="CL480" s="112" t="s">
        <v>1766</v>
      </c>
      <c r="CM480" s="112" t="s">
        <v>1766</v>
      </c>
      <c r="CN480" s="112" t="s">
        <v>1766</v>
      </c>
      <c r="CO480" s="112" t="s">
        <v>1766</v>
      </c>
    </row>
    <row r="481" spans="1:93">
      <c r="A481" s="106" t="s">
        <v>539</v>
      </c>
      <c r="B481" s="106">
        <v>30</v>
      </c>
      <c r="C481" s="106">
        <v>2</v>
      </c>
      <c r="D481" s="106">
        <v>8</v>
      </c>
      <c r="E481" s="106">
        <v>1</v>
      </c>
      <c r="F481" s="106">
        <v>1</v>
      </c>
      <c r="G481" s="106" t="s">
        <v>66</v>
      </c>
      <c r="I481" s="106">
        <v>201</v>
      </c>
      <c r="J481" s="106" t="s">
        <v>1766</v>
      </c>
      <c r="K481" s="106" t="s">
        <v>1318</v>
      </c>
      <c r="L481" s="106" t="s">
        <v>1358</v>
      </c>
      <c r="M481" s="106" t="s">
        <v>1526</v>
      </c>
      <c r="O481" s="106">
        <v>0</v>
      </c>
      <c r="T481" s="106" t="s">
        <v>1766</v>
      </c>
      <c r="V481" s="106">
        <v>92699121.447682202</v>
      </c>
      <c r="W481" s="106">
        <v>1</v>
      </c>
      <c r="X481" s="106">
        <v>2</v>
      </c>
      <c r="Y481" s="106">
        <v>2</v>
      </c>
      <c r="Z481" s="106">
        <v>2</v>
      </c>
      <c r="AA481" s="106">
        <v>13000000</v>
      </c>
      <c r="AB481" s="106">
        <v>26000000</v>
      </c>
      <c r="AC481" s="106">
        <v>26000000</v>
      </c>
      <c r="AD481" s="106">
        <v>26000000</v>
      </c>
      <c r="AE481" s="106">
        <v>91000000</v>
      </c>
      <c r="AF481" s="106">
        <v>91000000</v>
      </c>
      <c r="AH481" s="106">
        <v>1382400</v>
      </c>
      <c r="AI481" s="106">
        <v>0.22500000000000001</v>
      </c>
      <c r="AJ481" s="106">
        <v>18</v>
      </c>
      <c r="AK481" s="106">
        <v>13824</v>
      </c>
      <c r="AL481" s="106">
        <v>248832</v>
      </c>
      <c r="AM481" s="106">
        <v>879357</v>
      </c>
      <c r="AN481" s="106">
        <v>879357</v>
      </c>
      <c r="AO481" s="106">
        <v>843227</v>
      </c>
      <c r="AP481" s="106" t="s">
        <v>137</v>
      </c>
      <c r="AQ481" s="106" t="s">
        <v>541</v>
      </c>
      <c r="AR481" s="106">
        <v>2601</v>
      </c>
      <c r="AS481" s="106">
        <v>1000000</v>
      </c>
      <c r="AT481" s="106">
        <v>1000000</v>
      </c>
      <c r="AU481" s="108" t="s">
        <v>182</v>
      </c>
      <c r="AV481" s="108" t="s">
        <v>542</v>
      </c>
      <c r="AW481" s="108">
        <v>1400</v>
      </c>
      <c r="AX481" s="108">
        <v>20</v>
      </c>
      <c r="AY481" s="108">
        <v>20</v>
      </c>
      <c r="BY481" s="112" t="s">
        <v>1766</v>
      </c>
      <c r="BZ481" s="112" t="s">
        <v>1766</v>
      </c>
      <c r="CA481" s="112" t="s">
        <v>1766</v>
      </c>
      <c r="CB481" s="112" t="s">
        <v>1766</v>
      </c>
      <c r="CC481" s="112" t="s">
        <v>1766</v>
      </c>
      <c r="CD481" s="112" t="s">
        <v>1766</v>
      </c>
      <c r="CE481" s="112" t="s">
        <v>1766</v>
      </c>
      <c r="CF481" s="112" t="s">
        <v>1766</v>
      </c>
      <c r="CG481" s="112" t="s">
        <v>1766</v>
      </c>
      <c r="CH481" s="112" t="s">
        <v>1766</v>
      </c>
      <c r="CI481" s="112" t="s">
        <v>1766</v>
      </c>
      <c r="CJ481" s="112" t="s">
        <v>1766</v>
      </c>
      <c r="CK481" s="112" t="s">
        <v>1766</v>
      </c>
      <c r="CL481" s="112" t="s">
        <v>1766</v>
      </c>
      <c r="CM481" s="112" t="s">
        <v>1766</v>
      </c>
      <c r="CN481" s="112" t="s">
        <v>1766</v>
      </c>
      <c r="CO481" s="112" t="s">
        <v>1766</v>
      </c>
    </row>
    <row r="482" spans="1:93">
      <c r="A482" s="106" t="s">
        <v>605</v>
      </c>
      <c r="B482" s="106">
        <v>1</v>
      </c>
      <c r="C482" s="106">
        <v>2</v>
      </c>
      <c r="D482" s="106">
        <v>4</v>
      </c>
      <c r="E482" s="106">
        <v>1</v>
      </c>
      <c r="F482" s="106">
        <v>0</v>
      </c>
      <c r="G482" s="106" t="s">
        <v>66</v>
      </c>
      <c r="I482" s="106">
        <v>201</v>
      </c>
      <c r="J482" s="106" t="s">
        <v>1766</v>
      </c>
      <c r="K482" s="106" t="s">
        <v>1318</v>
      </c>
      <c r="L482" s="106" t="s">
        <v>1322</v>
      </c>
      <c r="M482" s="106" t="s">
        <v>606</v>
      </c>
      <c r="N482" s="106">
        <v>10</v>
      </c>
      <c r="O482" s="106">
        <v>4</v>
      </c>
      <c r="T482" s="106" t="s">
        <v>1766</v>
      </c>
      <c r="V482" s="106">
        <v>0</v>
      </c>
      <c r="W482" s="106">
        <v>0</v>
      </c>
      <c r="X482" s="106">
        <v>0</v>
      </c>
      <c r="Y482" s="106" t="s">
        <v>1766</v>
      </c>
      <c r="Z482" s="106" t="s">
        <v>1766</v>
      </c>
      <c r="AA482" s="106">
        <v>0</v>
      </c>
      <c r="AB482" s="106">
        <v>0</v>
      </c>
      <c r="AC482" s="106">
        <v>0</v>
      </c>
      <c r="AD482" s="106">
        <v>0</v>
      </c>
      <c r="AE482" s="106">
        <v>0</v>
      </c>
      <c r="AF482" s="106">
        <v>0</v>
      </c>
      <c r="AH482" s="106">
        <v>25</v>
      </c>
      <c r="AI482" s="106">
        <v>0</v>
      </c>
      <c r="AJ482" s="106">
        <v>0</v>
      </c>
      <c r="AK482" s="106">
        <v>120</v>
      </c>
      <c r="AL482" s="106">
        <v>0</v>
      </c>
      <c r="AM482" s="106">
        <v>1</v>
      </c>
      <c r="AN482" s="106">
        <v>1</v>
      </c>
      <c r="AO482" s="106">
        <v>4</v>
      </c>
      <c r="AP482" s="106" t="s">
        <v>1787</v>
      </c>
      <c r="AQ482" s="106" t="s">
        <v>1810</v>
      </c>
      <c r="AR482" s="106">
        <v>1300</v>
      </c>
      <c r="AS482" s="106">
        <v>0.01</v>
      </c>
      <c r="AT482" s="106">
        <v>0.01</v>
      </c>
      <c r="AY482" s="108">
        <v>0</v>
      </c>
      <c r="BD482" s="106">
        <v>0</v>
      </c>
      <c r="BY482" s="112" t="s">
        <v>229</v>
      </c>
      <c r="BZ482" s="112" t="s">
        <v>1597</v>
      </c>
      <c r="CA482" s="112" t="s">
        <v>1597</v>
      </c>
      <c r="CB482" s="112" t="s">
        <v>1787</v>
      </c>
      <c r="CC482" s="112">
        <v>17</v>
      </c>
      <c r="CD482" s="112" t="s">
        <v>1766</v>
      </c>
      <c r="CE482" s="112" t="s">
        <v>1766</v>
      </c>
      <c r="CF482" s="112" t="s">
        <v>1766</v>
      </c>
      <c r="CG482" s="112" t="s">
        <v>1766</v>
      </c>
      <c r="CH482" s="112" t="s">
        <v>1766</v>
      </c>
      <c r="CI482" s="112" t="s">
        <v>1766</v>
      </c>
      <c r="CJ482" s="112" t="s">
        <v>1766</v>
      </c>
      <c r="CK482" s="112" t="s">
        <v>1766</v>
      </c>
      <c r="CL482" s="112" t="s">
        <v>1766</v>
      </c>
      <c r="CM482" s="112" t="s">
        <v>1766</v>
      </c>
      <c r="CN482" s="112" t="s">
        <v>1766</v>
      </c>
      <c r="CO482" s="112" t="s">
        <v>1766</v>
      </c>
    </row>
    <row r="483" spans="1:93">
      <c r="A483" s="106" t="s">
        <v>605</v>
      </c>
      <c r="B483" s="106">
        <v>2</v>
      </c>
      <c r="C483" s="106">
        <v>2</v>
      </c>
      <c r="D483" s="106">
        <v>4</v>
      </c>
      <c r="E483" s="106">
        <v>1</v>
      </c>
      <c r="F483" s="106">
        <v>0</v>
      </c>
      <c r="G483" s="106" t="s">
        <v>66</v>
      </c>
      <c r="I483" s="106">
        <v>201</v>
      </c>
      <c r="J483" s="106" t="s">
        <v>1766</v>
      </c>
      <c r="K483" s="106" t="s">
        <v>1318</v>
      </c>
      <c r="L483" s="106" t="s">
        <v>1322</v>
      </c>
      <c r="M483" s="106" t="s">
        <v>1598</v>
      </c>
      <c r="N483" s="106">
        <v>10</v>
      </c>
      <c r="O483" s="106">
        <v>4</v>
      </c>
      <c r="T483" s="106" t="s">
        <v>1766</v>
      </c>
      <c r="V483" s="106">
        <v>4000</v>
      </c>
      <c r="W483" s="106">
        <v>1</v>
      </c>
      <c r="X483" s="106">
        <v>1</v>
      </c>
      <c r="Y483" s="106" t="s">
        <v>1766</v>
      </c>
      <c r="Z483" s="106" t="s">
        <v>1766</v>
      </c>
      <c r="AA483" s="106">
        <v>2000</v>
      </c>
      <c r="AB483" s="106">
        <v>2000</v>
      </c>
      <c r="AC483" s="106">
        <v>0</v>
      </c>
      <c r="AD483" s="106">
        <v>0</v>
      </c>
      <c r="AE483" s="106">
        <v>4000</v>
      </c>
      <c r="AF483" s="106">
        <v>4000</v>
      </c>
      <c r="AH483" s="106">
        <v>72</v>
      </c>
      <c r="AI483" s="106">
        <v>0</v>
      </c>
      <c r="AJ483" s="106">
        <v>0</v>
      </c>
      <c r="AK483" s="106">
        <v>120</v>
      </c>
      <c r="AL483" s="106">
        <v>0</v>
      </c>
      <c r="AM483" s="106">
        <v>1</v>
      </c>
      <c r="AN483" s="106">
        <v>1</v>
      </c>
      <c r="AO483" s="106">
        <v>12</v>
      </c>
      <c r="AP483" s="106" t="s">
        <v>1787</v>
      </c>
      <c r="AQ483" s="106" t="s">
        <v>1810</v>
      </c>
      <c r="AR483" s="106">
        <v>1300</v>
      </c>
      <c r="AS483" s="106">
        <v>0.02</v>
      </c>
      <c r="AT483" s="106">
        <v>0.02</v>
      </c>
      <c r="AY483" s="108">
        <v>0</v>
      </c>
      <c r="BD483" s="106">
        <v>0</v>
      </c>
      <c r="BY483" s="112" t="s">
        <v>1766</v>
      </c>
      <c r="BZ483" s="112" t="s">
        <v>1766</v>
      </c>
      <c r="CA483" s="112" t="s">
        <v>1766</v>
      </c>
      <c r="CB483" s="112" t="s">
        <v>1766</v>
      </c>
      <c r="CC483" s="112" t="s">
        <v>1766</v>
      </c>
      <c r="CD483" s="112" t="s">
        <v>1766</v>
      </c>
      <c r="CE483" s="112" t="s">
        <v>1766</v>
      </c>
      <c r="CF483" s="112" t="s">
        <v>1766</v>
      </c>
      <c r="CG483" s="112" t="s">
        <v>1766</v>
      </c>
      <c r="CH483" s="112" t="s">
        <v>1766</v>
      </c>
      <c r="CI483" s="112" t="s">
        <v>1766</v>
      </c>
      <c r="CJ483" s="112" t="s">
        <v>1766</v>
      </c>
      <c r="CK483" s="112" t="s">
        <v>1766</v>
      </c>
      <c r="CL483" s="112" t="s">
        <v>1766</v>
      </c>
      <c r="CM483" s="112" t="s">
        <v>1766</v>
      </c>
      <c r="CN483" s="112" t="s">
        <v>1766</v>
      </c>
      <c r="CO483" s="112" t="s">
        <v>1766</v>
      </c>
    </row>
    <row r="484" spans="1:93">
      <c r="A484" s="106" t="s">
        <v>605</v>
      </c>
      <c r="B484" s="106">
        <v>3</v>
      </c>
      <c r="C484" s="106">
        <v>2</v>
      </c>
      <c r="D484" s="106">
        <v>4</v>
      </c>
      <c r="E484" s="106">
        <v>1</v>
      </c>
      <c r="F484" s="106">
        <v>0</v>
      </c>
      <c r="G484" s="106" t="s">
        <v>66</v>
      </c>
      <c r="I484" s="106">
        <v>201</v>
      </c>
      <c r="J484" s="106" t="s">
        <v>1766</v>
      </c>
      <c r="K484" s="106" t="s">
        <v>1318</v>
      </c>
      <c r="L484" s="106" t="s">
        <v>1322</v>
      </c>
      <c r="M484" s="106" t="s">
        <v>1599</v>
      </c>
      <c r="N484" s="106">
        <v>10</v>
      </c>
      <c r="O484" s="106">
        <v>4</v>
      </c>
      <c r="T484" s="106" t="s">
        <v>1766</v>
      </c>
      <c r="V484" s="106">
        <v>8000</v>
      </c>
      <c r="W484" s="106">
        <v>1</v>
      </c>
      <c r="X484" s="106">
        <v>1</v>
      </c>
      <c r="Y484" s="106" t="s">
        <v>1766</v>
      </c>
      <c r="Z484" s="106" t="s">
        <v>1766</v>
      </c>
      <c r="AA484" s="106">
        <v>4000</v>
      </c>
      <c r="AB484" s="106">
        <v>4000</v>
      </c>
      <c r="AC484" s="106">
        <v>0</v>
      </c>
      <c r="AD484" s="106">
        <v>0</v>
      </c>
      <c r="AE484" s="106">
        <v>8000</v>
      </c>
      <c r="AF484" s="106">
        <v>8000</v>
      </c>
      <c r="AH484" s="106">
        <v>144</v>
      </c>
      <c r="AI484" s="106">
        <v>0</v>
      </c>
      <c r="AJ484" s="106">
        <v>1</v>
      </c>
      <c r="AK484" s="106">
        <v>120</v>
      </c>
      <c r="AL484" s="106">
        <v>120</v>
      </c>
      <c r="AM484" s="106">
        <v>1</v>
      </c>
      <c r="AN484" s="106">
        <v>1</v>
      </c>
      <c r="AO484" s="106">
        <v>28</v>
      </c>
      <c r="AP484" s="106" t="s">
        <v>1787</v>
      </c>
      <c r="AQ484" s="106" t="s">
        <v>1810</v>
      </c>
      <c r="AR484" s="106">
        <v>1300</v>
      </c>
      <c r="AS484" s="106">
        <v>0.03</v>
      </c>
      <c r="AT484" s="106">
        <v>0.03</v>
      </c>
      <c r="AY484" s="108">
        <v>0</v>
      </c>
      <c r="BD484" s="106">
        <v>0</v>
      </c>
      <c r="BY484" s="112" t="s">
        <v>1766</v>
      </c>
      <c r="BZ484" s="112" t="s">
        <v>1766</v>
      </c>
      <c r="CA484" s="112" t="s">
        <v>1766</v>
      </c>
      <c r="CB484" s="112" t="s">
        <v>1766</v>
      </c>
      <c r="CC484" s="112" t="s">
        <v>1766</v>
      </c>
      <c r="CD484" s="112" t="s">
        <v>1766</v>
      </c>
      <c r="CE484" s="112" t="s">
        <v>1766</v>
      </c>
      <c r="CF484" s="112" t="s">
        <v>1766</v>
      </c>
      <c r="CG484" s="112" t="s">
        <v>1766</v>
      </c>
      <c r="CH484" s="112" t="s">
        <v>1766</v>
      </c>
      <c r="CI484" s="112" t="s">
        <v>1766</v>
      </c>
      <c r="CJ484" s="112" t="s">
        <v>1766</v>
      </c>
      <c r="CK484" s="112" t="s">
        <v>1766</v>
      </c>
      <c r="CL484" s="112" t="s">
        <v>1766</v>
      </c>
      <c r="CM484" s="112" t="s">
        <v>1766</v>
      </c>
      <c r="CN484" s="112" t="s">
        <v>1766</v>
      </c>
      <c r="CO484" s="112" t="s">
        <v>1766</v>
      </c>
    </row>
    <row r="485" spans="1:93">
      <c r="A485" s="106" t="s">
        <v>605</v>
      </c>
      <c r="B485" s="106">
        <v>4</v>
      </c>
      <c r="C485" s="106">
        <v>2</v>
      </c>
      <c r="D485" s="106">
        <v>4</v>
      </c>
      <c r="E485" s="106">
        <v>1</v>
      </c>
      <c r="F485" s="106">
        <v>1</v>
      </c>
      <c r="G485" s="106" t="s">
        <v>66</v>
      </c>
      <c r="I485" s="106">
        <v>201</v>
      </c>
      <c r="J485" s="106" t="s">
        <v>1766</v>
      </c>
      <c r="K485" s="106" t="s">
        <v>1318</v>
      </c>
      <c r="L485" s="106" t="s">
        <v>1322</v>
      </c>
      <c r="M485" s="106" t="s">
        <v>1600</v>
      </c>
      <c r="N485" s="106">
        <v>10</v>
      </c>
      <c r="O485" s="106">
        <v>4</v>
      </c>
      <c r="T485" s="106" t="s">
        <v>1766</v>
      </c>
      <c r="V485" s="106">
        <v>16000</v>
      </c>
      <c r="W485" s="106">
        <v>1</v>
      </c>
      <c r="X485" s="106">
        <v>1</v>
      </c>
      <c r="Y485" s="106" t="s">
        <v>1766</v>
      </c>
      <c r="Z485" s="106" t="s">
        <v>1766</v>
      </c>
      <c r="AA485" s="106">
        <v>8000</v>
      </c>
      <c r="AB485" s="106">
        <v>8000</v>
      </c>
      <c r="AC485" s="106">
        <v>0</v>
      </c>
      <c r="AD485" s="106">
        <v>0</v>
      </c>
      <c r="AE485" s="106">
        <v>16000</v>
      </c>
      <c r="AF485" s="106">
        <v>16000</v>
      </c>
      <c r="AH485" s="106">
        <v>288</v>
      </c>
      <c r="AI485" s="106">
        <v>0</v>
      </c>
      <c r="AJ485" s="106">
        <v>1</v>
      </c>
      <c r="AK485" s="106">
        <v>120</v>
      </c>
      <c r="AL485" s="106">
        <v>120</v>
      </c>
      <c r="AM485" s="106">
        <v>1</v>
      </c>
      <c r="AN485" s="106">
        <v>1</v>
      </c>
      <c r="AO485" s="106">
        <v>60</v>
      </c>
      <c r="AP485" s="106" t="s">
        <v>1787</v>
      </c>
      <c r="AQ485" s="106" t="s">
        <v>1810</v>
      </c>
      <c r="AR485" s="106">
        <v>1300</v>
      </c>
      <c r="AS485" s="106">
        <v>0.04</v>
      </c>
      <c r="AT485" s="106">
        <v>0.04</v>
      </c>
      <c r="AY485" s="108">
        <v>0</v>
      </c>
      <c r="BD485" s="106">
        <v>0</v>
      </c>
      <c r="BY485" s="112" t="s">
        <v>1766</v>
      </c>
      <c r="BZ485" s="112" t="s">
        <v>1766</v>
      </c>
      <c r="CA485" s="112" t="s">
        <v>1766</v>
      </c>
      <c r="CB485" s="112" t="s">
        <v>1766</v>
      </c>
      <c r="CC485" s="112" t="s">
        <v>1766</v>
      </c>
      <c r="CD485" s="112" t="s">
        <v>1766</v>
      </c>
      <c r="CE485" s="112" t="s">
        <v>1766</v>
      </c>
      <c r="CF485" s="112" t="s">
        <v>1766</v>
      </c>
      <c r="CG485" s="112" t="s">
        <v>1766</v>
      </c>
      <c r="CH485" s="112" t="s">
        <v>1766</v>
      </c>
      <c r="CI485" s="112" t="s">
        <v>1766</v>
      </c>
      <c r="CJ485" s="112" t="s">
        <v>1766</v>
      </c>
      <c r="CK485" s="112" t="s">
        <v>1766</v>
      </c>
      <c r="CL485" s="112" t="s">
        <v>1766</v>
      </c>
      <c r="CM485" s="112" t="s">
        <v>1766</v>
      </c>
      <c r="CN485" s="112" t="s">
        <v>1766</v>
      </c>
      <c r="CO485" s="112" t="s">
        <v>1766</v>
      </c>
    </row>
    <row r="486" spans="1:93">
      <c r="A486" s="106" t="s">
        <v>605</v>
      </c>
      <c r="B486" s="106">
        <v>5</v>
      </c>
      <c r="C486" s="106">
        <v>2</v>
      </c>
      <c r="D486" s="106">
        <v>4</v>
      </c>
      <c r="E486" s="106">
        <v>1</v>
      </c>
      <c r="F486" s="106">
        <v>1</v>
      </c>
      <c r="G486" s="106" t="s">
        <v>66</v>
      </c>
      <c r="H486" s="106" t="s">
        <v>154</v>
      </c>
      <c r="I486" s="106">
        <v>201</v>
      </c>
      <c r="J486" s="106">
        <v>202</v>
      </c>
      <c r="K486" s="106" t="s">
        <v>1602</v>
      </c>
      <c r="L486" s="106" t="s">
        <v>1225</v>
      </c>
      <c r="M486" s="106" t="s">
        <v>1601</v>
      </c>
      <c r="N486" s="106">
        <v>10</v>
      </c>
      <c r="O486" s="106">
        <v>5</v>
      </c>
      <c r="T486" s="106" t="s">
        <v>1766</v>
      </c>
      <c r="V486" s="106">
        <v>30880</v>
      </c>
      <c r="W486" s="106">
        <v>1</v>
      </c>
      <c r="X486" s="106">
        <v>1</v>
      </c>
      <c r="Y486" s="106">
        <v>1</v>
      </c>
      <c r="Z486" s="106" t="s">
        <v>1766</v>
      </c>
      <c r="AA486" s="106">
        <v>10000</v>
      </c>
      <c r="AB486" s="106">
        <v>10000</v>
      </c>
      <c r="AC486" s="106">
        <v>10000</v>
      </c>
      <c r="AD486" s="106">
        <v>0</v>
      </c>
      <c r="AE486" s="106">
        <v>30000</v>
      </c>
      <c r="AF486" s="106">
        <v>30000</v>
      </c>
      <c r="AH486" s="106">
        <v>600</v>
      </c>
      <c r="AI486" s="106">
        <v>0</v>
      </c>
      <c r="AJ486" s="106">
        <v>2</v>
      </c>
      <c r="AK486" s="106">
        <v>120</v>
      </c>
      <c r="AL486" s="106">
        <v>240</v>
      </c>
      <c r="AM486" s="106">
        <v>60</v>
      </c>
      <c r="AN486" s="106">
        <v>60</v>
      </c>
      <c r="AO486" s="106">
        <v>121</v>
      </c>
      <c r="AP486" s="106" t="s">
        <v>1787</v>
      </c>
      <c r="AQ486" s="106" t="s">
        <v>1810</v>
      </c>
      <c r="AR486" s="106">
        <v>1300</v>
      </c>
      <c r="AS486" s="106">
        <v>0.05</v>
      </c>
      <c r="AT486" s="106">
        <v>0.05</v>
      </c>
      <c r="AY486" s="108">
        <v>0</v>
      </c>
      <c r="BD486" s="106">
        <v>0</v>
      </c>
      <c r="BY486" s="112" t="s">
        <v>1766</v>
      </c>
      <c r="BZ486" s="112" t="s">
        <v>1766</v>
      </c>
      <c r="CA486" s="112" t="s">
        <v>1766</v>
      </c>
      <c r="CB486" s="112" t="s">
        <v>1766</v>
      </c>
      <c r="CC486" s="112" t="s">
        <v>1766</v>
      </c>
      <c r="CD486" s="112" t="s">
        <v>1766</v>
      </c>
      <c r="CE486" s="112" t="s">
        <v>1766</v>
      </c>
      <c r="CF486" s="112" t="s">
        <v>1766</v>
      </c>
      <c r="CG486" s="112" t="s">
        <v>1766</v>
      </c>
      <c r="CH486" s="112" t="s">
        <v>1766</v>
      </c>
      <c r="CI486" s="112" t="s">
        <v>1766</v>
      </c>
      <c r="CJ486" s="112" t="s">
        <v>1766</v>
      </c>
      <c r="CK486" s="112" t="s">
        <v>1766</v>
      </c>
      <c r="CL486" s="112" t="s">
        <v>1766</v>
      </c>
      <c r="CM486" s="112" t="s">
        <v>1766</v>
      </c>
      <c r="CN486" s="112" t="s">
        <v>1766</v>
      </c>
      <c r="CO486" s="112" t="s">
        <v>1766</v>
      </c>
    </row>
    <row r="487" spans="1:93">
      <c r="A487" s="106" t="s">
        <v>605</v>
      </c>
      <c r="B487" s="106">
        <v>6</v>
      </c>
      <c r="C487" s="106">
        <v>2</v>
      </c>
      <c r="D487" s="106">
        <v>4</v>
      </c>
      <c r="E487" s="106">
        <v>1</v>
      </c>
      <c r="F487" s="106">
        <v>1</v>
      </c>
      <c r="G487" s="106" t="s">
        <v>66</v>
      </c>
      <c r="H487" s="106" t="s">
        <v>154</v>
      </c>
      <c r="I487" s="106">
        <v>201</v>
      </c>
      <c r="J487" s="106">
        <v>202</v>
      </c>
      <c r="K487" s="106" t="s">
        <v>1602</v>
      </c>
      <c r="L487" s="106" t="s">
        <v>1230</v>
      </c>
      <c r="M487" s="106" t="s">
        <v>1603</v>
      </c>
      <c r="N487" s="106">
        <v>10</v>
      </c>
      <c r="O487" s="106">
        <v>6</v>
      </c>
      <c r="T487" s="106" t="s">
        <v>1766</v>
      </c>
      <c r="V487" s="106">
        <v>57436.800000000003</v>
      </c>
      <c r="W487" s="106">
        <v>1</v>
      </c>
      <c r="X487" s="106">
        <v>1</v>
      </c>
      <c r="Y487" s="106">
        <v>1</v>
      </c>
      <c r="Z487" s="106" t="s">
        <v>1766</v>
      </c>
      <c r="AA487" s="106">
        <v>19000</v>
      </c>
      <c r="AB487" s="106">
        <v>19000</v>
      </c>
      <c r="AC487" s="106">
        <v>19000</v>
      </c>
      <c r="AD487" s="106">
        <v>0</v>
      </c>
      <c r="AE487" s="106">
        <v>57000</v>
      </c>
      <c r="AF487" s="106">
        <v>57000</v>
      </c>
      <c r="AH487" s="106">
        <v>1080</v>
      </c>
      <c r="AI487" s="106">
        <v>0</v>
      </c>
      <c r="AJ487" s="106">
        <v>2</v>
      </c>
      <c r="AK487" s="106">
        <v>120</v>
      </c>
      <c r="AL487" s="106">
        <v>240</v>
      </c>
      <c r="AM487" s="106">
        <v>540</v>
      </c>
      <c r="AN487" s="106">
        <v>540</v>
      </c>
      <c r="AO487" s="106">
        <v>236</v>
      </c>
      <c r="AP487" s="106" t="s">
        <v>1787</v>
      </c>
      <c r="AQ487" s="106" t="s">
        <v>1810</v>
      </c>
      <c r="AR487" s="106">
        <v>1300</v>
      </c>
      <c r="AS487" s="106">
        <v>0.06</v>
      </c>
      <c r="AT487" s="106">
        <v>0.06</v>
      </c>
      <c r="AY487" s="108">
        <v>0</v>
      </c>
      <c r="BD487" s="106">
        <v>0</v>
      </c>
      <c r="BY487" s="112" t="s">
        <v>1766</v>
      </c>
      <c r="BZ487" s="112" t="s">
        <v>1766</v>
      </c>
      <c r="CA487" s="112" t="s">
        <v>1766</v>
      </c>
      <c r="CB487" s="112" t="s">
        <v>1766</v>
      </c>
      <c r="CC487" s="112" t="s">
        <v>1766</v>
      </c>
      <c r="CD487" s="112" t="s">
        <v>1766</v>
      </c>
      <c r="CE487" s="112" t="s">
        <v>1766</v>
      </c>
      <c r="CF487" s="112" t="s">
        <v>1766</v>
      </c>
      <c r="CG487" s="112" t="s">
        <v>1766</v>
      </c>
      <c r="CH487" s="112" t="s">
        <v>1766</v>
      </c>
      <c r="CI487" s="112" t="s">
        <v>1766</v>
      </c>
      <c r="CJ487" s="112" t="s">
        <v>1766</v>
      </c>
      <c r="CK487" s="112" t="s">
        <v>1766</v>
      </c>
      <c r="CL487" s="112" t="s">
        <v>1766</v>
      </c>
      <c r="CM487" s="112" t="s">
        <v>1766</v>
      </c>
      <c r="CN487" s="112" t="s">
        <v>1766</v>
      </c>
      <c r="CO487" s="112" t="s">
        <v>1766</v>
      </c>
    </row>
    <row r="488" spans="1:93">
      <c r="A488" s="106" t="s">
        <v>605</v>
      </c>
      <c r="B488" s="106">
        <v>7</v>
      </c>
      <c r="C488" s="106">
        <v>2</v>
      </c>
      <c r="D488" s="106">
        <v>4</v>
      </c>
      <c r="E488" s="106">
        <v>1</v>
      </c>
      <c r="F488" s="106">
        <v>1</v>
      </c>
      <c r="G488" s="106" t="s">
        <v>66</v>
      </c>
      <c r="H488" s="106" t="s">
        <v>154</v>
      </c>
      <c r="I488" s="106">
        <v>201</v>
      </c>
      <c r="J488" s="106">
        <v>202</v>
      </c>
      <c r="K488" s="106" t="s">
        <v>1602</v>
      </c>
      <c r="L488" s="106" t="s">
        <v>1234</v>
      </c>
      <c r="M488" s="106" t="s">
        <v>1604</v>
      </c>
      <c r="N488" s="106">
        <v>10</v>
      </c>
      <c r="O488" s="106">
        <v>7</v>
      </c>
      <c r="T488" s="106" t="s">
        <v>1766</v>
      </c>
      <c r="V488" s="106">
        <v>102811.872</v>
      </c>
      <c r="W488" s="106">
        <v>1</v>
      </c>
      <c r="X488" s="106">
        <v>1</v>
      </c>
      <c r="Y488" s="106">
        <v>1</v>
      </c>
      <c r="Z488" s="106" t="s">
        <v>1766</v>
      </c>
      <c r="AA488" s="106">
        <v>34000</v>
      </c>
      <c r="AB488" s="106">
        <v>34000</v>
      </c>
      <c r="AC488" s="106">
        <v>34000</v>
      </c>
      <c r="AD488" s="106">
        <v>0</v>
      </c>
      <c r="AE488" s="106">
        <v>102000</v>
      </c>
      <c r="AF488" s="106">
        <v>102000</v>
      </c>
      <c r="AH488" s="106">
        <v>1800</v>
      </c>
      <c r="AI488" s="106">
        <v>0</v>
      </c>
      <c r="AJ488" s="106">
        <v>3</v>
      </c>
      <c r="AK488" s="106">
        <v>120</v>
      </c>
      <c r="AL488" s="106">
        <v>360</v>
      </c>
      <c r="AM488" s="106">
        <v>1140</v>
      </c>
      <c r="AN488" s="106">
        <v>1140</v>
      </c>
      <c r="AO488" s="106">
        <v>442</v>
      </c>
      <c r="AP488" s="106" t="s">
        <v>1787</v>
      </c>
      <c r="AQ488" s="106" t="s">
        <v>1810</v>
      </c>
      <c r="AR488" s="106">
        <v>1300</v>
      </c>
      <c r="AS488" s="106">
        <v>7.0000000000000007E-2</v>
      </c>
      <c r="AT488" s="106">
        <v>7.0000000000000007E-2</v>
      </c>
      <c r="AY488" s="108">
        <v>0</v>
      </c>
      <c r="BD488" s="106">
        <v>0</v>
      </c>
      <c r="BY488" s="112" t="s">
        <v>1766</v>
      </c>
      <c r="BZ488" s="112" t="s">
        <v>1766</v>
      </c>
      <c r="CA488" s="112" t="s">
        <v>1766</v>
      </c>
      <c r="CB488" s="112" t="s">
        <v>1766</v>
      </c>
      <c r="CC488" s="112" t="s">
        <v>1766</v>
      </c>
      <c r="CD488" s="112" t="s">
        <v>1766</v>
      </c>
      <c r="CE488" s="112" t="s">
        <v>1766</v>
      </c>
      <c r="CF488" s="112" t="s">
        <v>1766</v>
      </c>
      <c r="CG488" s="112" t="s">
        <v>1766</v>
      </c>
      <c r="CH488" s="112" t="s">
        <v>1766</v>
      </c>
      <c r="CI488" s="112" t="s">
        <v>1766</v>
      </c>
      <c r="CJ488" s="112" t="s">
        <v>1766</v>
      </c>
      <c r="CK488" s="112" t="s">
        <v>1766</v>
      </c>
      <c r="CL488" s="112" t="s">
        <v>1766</v>
      </c>
      <c r="CM488" s="112" t="s">
        <v>1766</v>
      </c>
      <c r="CN488" s="112" t="s">
        <v>1766</v>
      </c>
      <c r="CO488" s="112" t="s">
        <v>1766</v>
      </c>
    </row>
    <row r="489" spans="1:93">
      <c r="A489" s="106" t="s">
        <v>605</v>
      </c>
      <c r="B489" s="106">
        <v>8</v>
      </c>
      <c r="C489" s="106">
        <v>2</v>
      </c>
      <c r="D489" s="106">
        <v>4</v>
      </c>
      <c r="E489" s="106">
        <v>1</v>
      </c>
      <c r="F489" s="106">
        <v>1</v>
      </c>
      <c r="G489" s="106" t="s">
        <v>66</v>
      </c>
      <c r="H489" s="106" t="s">
        <v>154</v>
      </c>
      <c r="I489" s="106">
        <v>201</v>
      </c>
      <c r="J489" s="106">
        <v>202</v>
      </c>
      <c r="K489" s="106" t="s">
        <v>1602</v>
      </c>
      <c r="L489" s="106" t="s">
        <v>1239</v>
      </c>
      <c r="M489" s="106" t="s">
        <v>1605</v>
      </c>
      <c r="N489" s="106">
        <v>10</v>
      </c>
      <c r="O489" s="106">
        <v>8</v>
      </c>
      <c r="T489" s="106" t="s">
        <v>1766</v>
      </c>
      <c r="V489" s="106">
        <v>176836.41983999999</v>
      </c>
      <c r="W489" s="106">
        <v>1</v>
      </c>
      <c r="X489" s="106">
        <v>1</v>
      </c>
      <c r="Y489" s="106">
        <v>1</v>
      </c>
      <c r="Z489" s="106" t="s">
        <v>1766</v>
      </c>
      <c r="AA489" s="106">
        <v>59000</v>
      </c>
      <c r="AB489" s="106">
        <v>59000</v>
      </c>
      <c r="AC489" s="106">
        <v>59000</v>
      </c>
      <c r="AD489" s="106">
        <v>0</v>
      </c>
      <c r="AE489" s="106">
        <v>177000</v>
      </c>
      <c r="AF489" s="106">
        <v>177000</v>
      </c>
      <c r="AH489" s="106">
        <v>2880</v>
      </c>
      <c r="AI489" s="106">
        <v>0</v>
      </c>
      <c r="AJ489" s="106">
        <v>3</v>
      </c>
      <c r="AK489" s="106">
        <v>120</v>
      </c>
      <c r="AL489" s="106">
        <v>360</v>
      </c>
      <c r="AM489" s="106">
        <v>2220</v>
      </c>
      <c r="AN489" s="106">
        <v>2220</v>
      </c>
      <c r="AO489" s="106">
        <v>795</v>
      </c>
      <c r="AP489" s="106" t="s">
        <v>1787</v>
      </c>
      <c r="AQ489" s="106" t="s">
        <v>1810</v>
      </c>
      <c r="AR489" s="106">
        <v>1300</v>
      </c>
      <c r="AS489" s="106">
        <v>0.08</v>
      </c>
      <c r="AT489" s="106">
        <v>0.08</v>
      </c>
      <c r="AY489" s="108">
        <v>0</v>
      </c>
      <c r="BD489" s="106">
        <v>0</v>
      </c>
      <c r="BY489" s="112" t="s">
        <v>1766</v>
      </c>
      <c r="BZ489" s="112" t="s">
        <v>1766</v>
      </c>
      <c r="CA489" s="112" t="s">
        <v>1766</v>
      </c>
      <c r="CB489" s="112" t="s">
        <v>1766</v>
      </c>
      <c r="CC489" s="112" t="s">
        <v>1766</v>
      </c>
      <c r="CD489" s="112" t="s">
        <v>1766</v>
      </c>
      <c r="CE489" s="112" t="s">
        <v>1766</v>
      </c>
      <c r="CF489" s="112" t="s">
        <v>1766</v>
      </c>
      <c r="CG489" s="112" t="s">
        <v>1766</v>
      </c>
      <c r="CH489" s="112" t="s">
        <v>1766</v>
      </c>
      <c r="CI489" s="112" t="s">
        <v>1766</v>
      </c>
      <c r="CJ489" s="112" t="s">
        <v>1766</v>
      </c>
      <c r="CK489" s="112" t="s">
        <v>1766</v>
      </c>
      <c r="CL489" s="112" t="s">
        <v>1766</v>
      </c>
      <c r="CM489" s="112" t="s">
        <v>1766</v>
      </c>
      <c r="CN489" s="112" t="s">
        <v>1766</v>
      </c>
      <c r="CO489" s="112" t="s">
        <v>1766</v>
      </c>
    </row>
    <row r="490" spans="1:93">
      <c r="A490" s="106" t="s">
        <v>605</v>
      </c>
      <c r="B490" s="106">
        <v>9</v>
      </c>
      <c r="C490" s="106">
        <v>2</v>
      </c>
      <c r="D490" s="106">
        <v>4</v>
      </c>
      <c r="E490" s="106">
        <v>1</v>
      </c>
      <c r="F490" s="106">
        <v>1</v>
      </c>
      <c r="G490" s="106" t="s">
        <v>66</v>
      </c>
      <c r="H490" s="106" t="s">
        <v>154</v>
      </c>
      <c r="I490" s="106">
        <v>201</v>
      </c>
      <c r="J490" s="106">
        <v>202</v>
      </c>
      <c r="K490" s="106" t="s">
        <v>1602</v>
      </c>
      <c r="L490" s="106" t="s">
        <v>1244</v>
      </c>
      <c r="M490" s="106" t="s">
        <v>1606</v>
      </c>
      <c r="N490" s="106">
        <v>10</v>
      </c>
      <c r="O490" s="106">
        <v>9</v>
      </c>
      <c r="T490" s="106" t="s">
        <v>1766</v>
      </c>
      <c r="V490" s="106">
        <v>291780.09273600002</v>
      </c>
      <c r="W490" s="106">
        <v>1</v>
      </c>
      <c r="X490" s="106">
        <v>1</v>
      </c>
      <c r="Y490" s="106">
        <v>1</v>
      </c>
      <c r="Z490" s="106" t="s">
        <v>1766</v>
      </c>
      <c r="AA490" s="106">
        <v>97000</v>
      </c>
      <c r="AB490" s="106">
        <v>97000</v>
      </c>
      <c r="AC490" s="106">
        <v>97000</v>
      </c>
      <c r="AD490" s="106">
        <v>0</v>
      </c>
      <c r="AE490" s="106">
        <v>291000</v>
      </c>
      <c r="AF490" s="106">
        <v>291000</v>
      </c>
      <c r="AH490" s="106">
        <v>5760</v>
      </c>
      <c r="AI490" s="106">
        <v>0</v>
      </c>
      <c r="AJ490" s="106">
        <v>4</v>
      </c>
      <c r="AK490" s="106">
        <v>120</v>
      </c>
      <c r="AL490" s="106">
        <v>480</v>
      </c>
      <c r="AM490" s="106">
        <v>4980</v>
      </c>
      <c r="AN490" s="106">
        <v>4980</v>
      </c>
      <c r="AO490" s="106">
        <v>1379</v>
      </c>
      <c r="AP490" s="106" t="s">
        <v>1787</v>
      </c>
      <c r="AQ490" s="106" t="s">
        <v>1810</v>
      </c>
      <c r="AR490" s="106">
        <v>1300</v>
      </c>
      <c r="AS490" s="106">
        <v>0.09</v>
      </c>
      <c r="AT490" s="106">
        <v>0.09</v>
      </c>
      <c r="AY490" s="108">
        <v>0</v>
      </c>
      <c r="BD490" s="106">
        <v>0</v>
      </c>
      <c r="BY490" s="112" t="s">
        <v>1766</v>
      </c>
      <c r="BZ490" s="112" t="s">
        <v>1766</v>
      </c>
      <c r="CA490" s="112" t="s">
        <v>1766</v>
      </c>
      <c r="CB490" s="112" t="s">
        <v>1766</v>
      </c>
      <c r="CC490" s="112" t="s">
        <v>1766</v>
      </c>
      <c r="CD490" s="112" t="s">
        <v>1766</v>
      </c>
      <c r="CE490" s="112" t="s">
        <v>1766</v>
      </c>
      <c r="CF490" s="112" t="s">
        <v>1766</v>
      </c>
      <c r="CG490" s="112" t="s">
        <v>1766</v>
      </c>
      <c r="CH490" s="112" t="s">
        <v>1766</v>
      </c>
      <c r="CI490" s="112" t="s">
        <v>1766</v>
      </c>
      <c r="CJ490" s="112" t="s">
        <v>1766</v>
      </c>
      <c r="CK490" s="112" t="s">
        <v>1766</v>
      </c>
      <c r="CL490" s="112" t="s">
        <v>1766</v>
      </c>
      <c r="CM490" s="112" t="s">
        <v>1766</v>
      </c>
      <c r="CN490" s="112" t="s">
        <v>1766</v>
      </c>
      <c r="CO490" s="112" t="s">
        <v>1766</v>
      </c>
    </row>
    <row r="491" spans="1:93">
      <c r="A491" s="106" t="s">
        <v>605</v>
      </c>
      <c r="B491" s="106">
        <v>10</v>
      </c>
      <c r="C491" s="106">
        <v>2</v>
      </c>
      <c r="D491" s="106">
        <v>4</v>
      </c>
      <c r="E491" s="106">
        <v>1</v>
      </c>
      <c r="F491" s="106">
        <v>1</v>
      </c>
      <c r="G491" s="106" t="s">
        <v>66</v>
      </c>
      <c r="H491" s="106" t="s">
        <v>154</v>
      </c>
      <c r="I491" s="106">
        <v>201</v>
      </c>
      <c r="J491" s="106">
        <v>202</v>
      </c>
      <c r="K491" s="106" t="s">
        <v>1602</v>
      </c>
      <c r="L491" s="106" t="s">
        <v>1247</v>
      </c>
      <c r="M491" s="106" t="s">
        <v>1607</v>
      </c>
      <c r="N491" s="106">
        <v>15</v>
      </c>
      <c r="O491" s="106">
        <v>10</v>
      </c>
      <c r="T491" s="106" t="s">
        <v>1766</v>
      </c>
      <c r="V491" s="106">
        <v>461012.54652287997</v>
      </c>
      <c r="W491" s="106">
        <v>1</v>
      </c>
      <c r="X491" s="106">
        <v>1</v>
      </c>
      <c r="Y491" s="106">
        <v>1</v>
      </c>
      <c r="Z491" s="106">
        <v>1</v>
      </c>
      <c r="AA491" s="106">
        <v>120000</v>
      </c>
      <c r="AB491" s="106">
        <v>120000</v>
      </c>
      <c r="AC491" s="106">
        <v>120000</v>
      </c>
      <c r="AD491" s="106">
        <v>120000</v>
      </c>
      <c r="AE491" s="106">
        <v>480000</v>
      </c>
      <c r="AF491" s="106">
        <v>480000</v>
      </c>
      <c r="AH491" s="106">
        <v>8640</v>
      </c>
      <c r="AI491" s="106">
        <v>0.01</v>
      </c>
      <c r="AJ491" s="106">
        <v>4</v>
      </c>
      <c r="AK491" s="106">
        <v>120</v>
      </c>
      <c r="AL491" s="106">
        <v>480</v>
      </c>
      <c r="AM491" s="106">
        <v>7774</v>
      </c>
      <c r="AN491" s="106">
        <v>7774</v>
      </c>
      <c r="AO491" s="106">
        <v>2301</v>
      </c>
      <c r="AP491" s="106" t="s">
        <v>1787</v>
      </c>
      <c r="AQ491" s="106" t="s">
        <v>1810</v>
      </c>
      <c r="AR491" s="106">
        <v>1300</v>
      </c>
      <c r="AS491" s="106">
        <v>0.1</v>
      </c>
      <c r="AT491" s="106">
        <v>0.1</v>
      </c>
      <c r="AY491" s="108">
        <v>0</v>
      </c>
      <c r="BD491" s="106">
        <v>0</v>
      </c>
      <c r="BY491" s="112" t="s">
        <v>1766</v>
      </c>
      <c r="BZ491" s="112" t="s">
        <v>1766</v>
      </c>
      <c r="CA491" s="112" t="s">
        <v>1766</v>
      </c>
      <c r="CB491" s="112" t="s">
        <v>1766</v>
      </c>
      <c r="CC491" s="112" t="s">
        <v>1766</v>
      </c>
      <c r="CD491" s="112" t="s">
        <v>1766</v>
      </c>
      <c r="CE491" s="112" t="s">
        <v>1766</v>
      </c>
      <c r="CF491" s="112" t="s">
        <v>1766</v>
      </c>
      <c r="CG491" s="112" t="s">
        <v>1766</v>
      </c>
      <c r="CH491" s="112" t="s">
        <v>1766</v>
      </c>
      <c r="CI491" s="112" t="s">
        <v>1766</v>
      </c>
      <c r="CJ491" s="112" t="s">
        <v>1766</v>
      </c>
      <c r="CK491" s="112" t="s">
        <v>1766</v>
      </c>
      <c r="CL491" s="112" t="s">
        <v>1766</v>
      </c>
      <c r="CM491" s="112" t="s">
        <v>1766</v>
      </c>
      <c r="CN491" s="112" t="s">
        <v>1766</v>
      </c>
      <c r="CO491" s="112" t="s">
        <v>1766</v>
      </c>
    </row>
    <row r="492" spans="1:93">
      <c r="A492" s="106" t="s">
        <v>605</v>
      </c>
      <c r="B492" s="106">
        <v>11</v>
      </c>
      <c r="C492" s="106">
        <v>2</v>
      </c>
      <c r="D492" s="106">
        <v>4</v>
      </c>
      <c r="E492" s="106">
        <v>1</v>
      </c>
      <c r="F492" s="106">
        <v>1</v>
      </c>
      <c r="G492" s="106" t="s">
        <v>66</v>
      </c>
      <c r="H492" s="106" t="s">
        <v>154</v>
      </c>
      <c r="I492" s="106">
        <v>201</v>
      </c>
      <c r="J492" s="106">
        <v>202</v>
      </c>
      <c r="K492" s="106" t="s">
        <v>1602</v>
      </c>
      <c r="L492" s="106" t="s">
        <v>1252</v>
      </c>
      <c r="M492" s="106" t="s">
        <v>1608</v>
      </c>
      <c r="N492" s="106">
        <v>15</v>
      </c>
      <c r="O492" s="106">
        <v>11</v>
      </c>
      <c r="T492" s="106" t="s">
        <v>1766</v>
      </c>
      <c r="V492" s="106">
        <v>696128.945249549</v>
      </c>
      <c r="W492" s="106">
        <v>1</v>
      </c>
      <c r="X492" s="106">
        <v>1</v>
      </c>
      <c r="Y492" s="106">
        <v>1</v>
      </c>
      <c r="Z492" s="106">
        <v>1</v>
      </c>
      <c r="AA492" s="106">
        <v>170000</v>
      </c>
      <c r="AB492" s="106">
        <v>170000</v>
      </c>
      <c r="AC492" s="106">
        <v>170000</v>
      </c>
      <c r="AD492" s="106">
        <v>170000</v>
      </c>
      <c r="AE492" s="106">
        <v>680000</v>
      </c>
      <c r="AF492" s="106">
        <v>680000</v>
      </c>
      <c r="AH492" s="106">
        <v>12960</v>
      </c>
      <c r="AI492" s="106">
        <v>0.02</v>
      </c>
      <c r="AJ492" s="106">
        <v>5</v>
      </c>
      <c r="AK492" s="106">
        <v>129.6</v>
      </c>
      <c r="AL492" s="106">
        <v>648</v>
      </c>
      <c r="AM492" s="106">
        <v>11757</v>
      </c>
      <c r="AN492" s="106">
        <v>11757</v>
      </c>
      <c r="AO492" s="106">
        <v>3693</v>
      </c>
      <c r="AP492" s="106" t="s">
        <v>1787</v>
      </c>
      <c r="AQ492" s="106" t="s">
        <v>1810</v>
      </c>
      <c r="AR492" s="106">
        <v>1300</v>
      </c>
      <c r="AS492" s="106">
        <v>0.11</v>
      </c>
      <c r="AT492" s="106">
        <v>0.11</v>
      </c>
      <c r="AY492" s="108">
        <v>0</v>
      </c>
      <c r="BD492" s="106">
        <v>0</v>
      </c>
      <c r="BY492" s="112" t="s">
        <v>1766</v>
      </c>
      <c r="BZ492" s="112" t="s">
        <v>1766</v>
      </c>
      <c r="CA492" s="112" t="s">
        <v>1766</v>
      </c>
      <c r="CB492" s="112" t="s">
        <v>1766</v>
      </c>
      <c r="CC492" s="112" t="s">
        <v>1766</v>
      </c>
      <c r="CD492" s="112" t="s">
        <v>1766</v>
      </c>
      <c r="CE492" s="112" t="s">
        <v>1766</v>
      </c>
      <c r="CF492" s="112" t="s">
        <v>1766</v>
      </c>
      <c r="CG492" s="112" t="s">
        <v>1766</v>
      </c>
      <c r="CH492" s="112" t="s">
        <v>1766</v>
      </c>
      <c r="CI492" s="112" t="s">
        <v>1766</v>
      </c>
      <c r="CJ492" s="112" t="s">
        <v>1766</v>
      </c>
      <c r="CK492" s="112" t="s">
        <v>1766</v>
      </c>
      <c r="CL492" s="112" t="s">
        <v>1766</v>
      </c>
      <c r="CM492" s="112" t="s">
        <v>1766</v>
      </c>
      <c r="CN492" s="112" t="s">
        <v>1766</v>
      </c>
      <c r="CO492" s="112" t="s">
        <v>1766</v>
      </c>
    </row>
    <row r="493" spans="1:93">
      <c r="A493" s="106" t="s">
        <v>605</v>
      </c>
      <c r="B493" s="106">
        <v>12</v>
      </c>
      <c r="C493" s="106">
        <v>2</v>
      </c>
      <c r="D493" s="106">
        <v>4</v>
      </c>
      <c r="E493" s="106">
        <v>1</v>
      </c>
      <c r="F493" s="106">
        <v>1</v>
      </c>
      <c r="G493" s="106" t="s">
        <v>66</v>
      </c>
      <c r="H493" s="106" t="s">
        <v>154</v>
      </c>
      <c r="I493" s="106">
        <v>201</v>
      </c>
      <c r="J493" s="106">
        <v>202</v>
      </c>
      <c r="K493" s="106" t="s">
        <v>1602</v>
      </c>
      <c r="L493" s="106" t="s">
        <v>1258</v>
      </c>
      <c r="M493" s="106" t="s">
        <v>1609</v>
      </c>
      <c r="N493" s="106">
        <v>15</v>
      </c>
      <c r="O493" s="106">
        <v>12</v>
      </c>
      <c r="T493" s="106" t="s">
        <v>1766</v>
      </c>
      <c r="V493" s="106">
        <v>1002425.68115935</v>
      </c>
      <c r="W493" s="106">
        <v>1</v>
      </c>
      <c r="X493" s="106">
        <v>1</v>
      </c>
      <c r="Y493" s="106">
        <v>1</v>
      </c>
      <c r="Z493" s="106">
        <v>1</v>
      </c>
      <c r="AA493" s="106">
        <v>250000</v>
      </c>
      <c r="AB493" s="106">
        <v>250000</v>
      </c>
      <c r="AC493" s="106">
        <v>250000</v>
      </c>
      <c r="AD493" s="106">
        <v>250000</v>
      </c>
      <c r="AE493" s="106">
        <v>1000000</v>
      </c>
      <c r="AF493" s="106">
        <v>1000000</v>
      </c>
      <c r="AH493" s="106">
        <v>17280</v>
      </c>
      <c r="AI493" s="106">
        <v>0.03</v>
      </c>
      <c r="AJ493" s="106">
        <v>5</v>
      </c>
      <c r="AK493" s="106">
        <v>172.8</v>
      </c>
      <c r="AL493" s="106">
        <v>864</v>
      </c>
      <c r="AM493" s="106">
        <v>15612</v>
      </c>
      <c r="AN493" s="106">
        <v>15612</v>
      </c>
      <c r="AO493" s="106">
        <v>5698</v>
      </c>
      <c r="AP493" s="106" t="s">
        <v>1787</v>
      </c>
      <c r="AQ493" s="106" t="s">
        <v>1810</v>
      </c>
      <c r="AR493" s="106">
        <v>1300</v>
      </c>
      <c r="AS493" s="106">
        <v>0.12</v>
      </c>
      <c r="AT493" s="106">
        <v>0.12</v>
      </c>
      <c r="AY493" s="108">
        <v>0</v>
      </c>
      <c r="BD493" s="106">
        <v>0</v>
      </c>
      <c r="BY493" s="112" t="s">
        <v>1766</v>
      </c>
      <c r="BZ493" s="112" t="s">
        <v>1766</v>
      </c>
      <c r="CA493" s="112" t="s">
        <v>1766</v>
      </c>
      <c r="CB493" s="112" t="s">
        <v>1766</v>
      </c>
      <c r="CC493" s="112" t="s">
        <v>1766</v>
      </c>
      <c r="CD493" s="112" t="s">
        <v>1766</v>
      </c>
      <c r="CE493" s="112" t="s">
        <v>1766</v>
      </c>
      <c r="CF493" s="112" t="s">
        <v>1766</v>
      </c>
      <c r="CG493" s="112" t="s">
        <v>1766</v>
      </c>
      <c r="CH493" s="112" t="s">
        <v>1766</v>
      </c>
      <c r="CI493" s="112" t="s">
        <v>1766</v>
      </c>
      <c r="CJ493" s="112" t="s">
        <v>1766</v>
      </c>
      <c r="CK493" s="112" t="s">
        <v>1766</v>
      </c>
      <c r="CL493" s="112" t="s">
        <v>1766</v>
      </c>
      <c r="CM493" s="112" t="s">
        <v>1766</v>
      </c>
      <c r="CN493" s="112" t="s">
        <v>1766</v>
      </c>
      <c r="CO493" s="112" t="s">
        <v>1766</v>
      </c>
    </row>
    <row r="494" spans="1:93">
      <c r="A494" s="106" t="s">
        <v>605</v>
      </c>
      <c r="B494" s="106">
        <v>13</v>
      </c>
      <c r="C494" s="106">
        <v>2</v>
      </c>
      <c r="D494" s="106">
        <v>4</v>
      </c>
      <c r="E494" s="106">
        <v>1</v>
      </c>
      <c r="F494" s="106">
        <v>1</v>
      </c>
      <c r="G494" s="106" t="s">
        <v>66</v>
      </c>
      <c r="H494" s="106" t="s">
        <v>154</v>
      </c>
      <c r="I494" s="106">
        <v>201</v>
      </c>
      <c r="J494" s="106">
        <v>202</v>
      </c>
      <c r="K494" s="106" t="s">
        <v>1602</v>
      </c>
      <c r="L494" s="106" t="s">
        <v>1262</v>
      </c>
      <c r="M494" s="106" t="s">
        <v>1610</v>
      </c>
      <c r="N494" s="106">
        <v>15</v>
      </c>
      <c r="O494" s="106">
        <v>13</v>
      </c>
      <c r="T494" s="106" t="s">
        <v>1766</v>
      </c>
      <c r="V494" s="106">
        <v>1373323.1831883099</v>
      </c>
      <c r="W494" s="106">
        <v>1</v>
      </c>
      <c r="X494" s="106">
        <v>1</v>
      </c>
      <c r="Y494" s="106">
        <v>1</v>
      </c>
      <c r="Z494" s="106">
        <v>1</v>
      </c>
      <c r="AA494" s="106">
        <v>340000</v>
      </c>
      <c r="AB494" s="106">
        <v>340000</v>
      </c>
      <c r="AC494" s="106">
        <v>340000</v>
      </c>
      <c r="AD494" s="106">
        <v>340000</v>
      </c>
      <c r="AE494" s="106">
        <v>1360000</v>
      </c>
      <c r="AF494" s="106">
        <v>1360000</v>
      </c>
      <c r="AH494" s="106">
        <v>23040</v>
      </c>
      <c r="AI494" s="106">
        <v>0.04</v>
      </c>
      <c r="AJ494" s="106">
        <v>6</v>
      </c>
      <c r="AK494" s="106">
        <v>230.4</v>
      </c>
      <c r="AL494" s="106">
        <v>1382.4</v>
      </c>
      <c r="AM494" s="106">
        <v>20471</v>
      </c>
      <c r="AN494" s="106">
        <v>20471</v>
      </c>
      <c r="AO494" s="106">
        <v>8445</v>
      </c>
      <c r="AP494" s="106" t="s">
        <v>1787</v>
      </c>
      <c r="AQ494" s="106" t="s">
        <v>1810</v>
      </c>
      <c r="AR494" s="106">
        <v>1300</v>
      </c>
      <c r="AS494" s="106">
        <v>0.13</v>
      </c>
      <c r="AT494" s="106">
        <v>0.13</v>
      </c>
      <c r="AY494" s="108">
        <v>0</v>
      </c>
      <c r="BD494" s="106">
        <v>0</v>
      </c>
      <c r="BY494" s="112" t="s">
        <v>1766</v>
      </c>
      <c r="BZ494" s="112" t="s">
        <v>1766</v>
      </c>
      <c r="CA494" s="112" t="s">
        <v>1766</v>
      </c>
      <c r="CB494" s="112" t="s">
        <v>1766</v>
      </c>
      <c r="CC494" s="112" t="s">
        <v>1766</v>
      </c>
      <c r="CD494" s="112" t="s">
        <v>1766</v>
      </c>
      <c r="CE494" s="112" t="s">
        <v>1766</v>
      </c>
      <c r="CF494" s="112" t="s">
        <v>1766</v>
      </c>
      <c r="CG494" s="112" t="s">
        <v>1766</v>
      </c>
      <c r="CH494" s="112" t="s">
        <v>1766</v>
      </c>
      <c r="CI494" s="112" t="s">
        <v>1766</v>
      </c>
      <c r="CJ494" s="112" t="s">
        <v>1766</v>
      </c>
      <c r="CK494" s="112" t="s">
        <v>1766</v>
      </c>
      <c r="CL494" s="112" t="s">
        <v>1766</v>
      </c>
      <c r="CM494" s="112" t="s">
        <v>1766</v>
      </c>
      <c r="CN494" s="112" t="s">
        <v>1766</v>
      </c>
      <c r="CO494" s="112" t="s">
        <v>1766</v>
      </c>
    </row>
    <row r="495" spans="1:93">
      <c r="A495" s="106" t="s">
        <v>605</v>
      </c>
      <c r="B495" s="106">
        <v>14</v>
      </c>
      <c r="C495" s="106">
        <v>2</v>
      </c>
      <c r="D495" s="106">
        <v>4</v>
      </c>
      <c r="E495" s="106">
        <v>1</v>
      </c>
      <c r="F495" s="106">
        <v>1</v>
      </c>
      <c r="G495" s="106" t="s">
        <v>66</v>
      </c>
      <c r="H495" s="106" t="s">
        <v>154</v>
      </c>
      <c r="I495" s="106">
        <v>201</v>
      </c>
      <c r="J495" s="106">
        <v>202</v>
      </c>
      <c r="K495" s="106" t="s">
        <v>1602</v>
      </c>
      <c r="L495" s="106" t="s">
        <v>1265</v>
      </c>
      <c r="M495" s="106" t="s">
        <v>1611</v>
      </c>
      <c r="N495" s="106">
        <v>15</v>
      </c>
      <c r="O495" s="106">
        <v>14</v>
      </c>
      <c r="T495" s="106" t="s">
        <v>1766</v>
      </c>
      <c r="V495" s="106">
        <v>1785320.1381448</v>
      </c>
      <c r="W495" s="106">
        <v>1</v>
      </c>
      <c r="X495" s="106">
        <v>1</v>
      </c>
      <c r="Y495" s="106">
        <v>1</v>
      </c>
      <c r="Z495" s="106">
        <v>1</v>
      </c>
      <c r="AA495" s="106">
        <v>450000</v>
      </c>
      <c r="AB495" s="106">
        <v>450000</v>
      </c>
      <c r="AC495" s="106">
        <v>450000</v>
      </c>
      <c r="AD495" s="106">
        <v>450000</v>
      </c>
      <c r="AE495" s="106">
        <v>1800000</v>
      </c>
      <c r="AF495" s="106">
        <v>1800000</v>
      </c>
      <c r="AH495" s="106">
        <v>28800</v>
      </c>
      <c r="AI495" s="106">
        <v>0.05</v>
      </c>
      <c r="AJ495" s="106">
        <v>6</v>
      </c>
      <c r="AK495" s="106">
        <v>288</v>
      </c>
      <c r="AL495" s="106">
        <v>1728</v>
      </c>
      <c r="AM495" s="106">
        <v>25400</v>
      </c>
      <c r="AN495" s="106">
        <v>25400</v>
      </c>
      <c r="AO495" s="106">
        <v>12015</v>
      </c>
      <c r="AP495" s="106" t="s">
        <v>1787</v>
      </c>
      <c r="AQ495" s="106" t="s">
        <v>1810</v>
      </c>
      <c r="AR495" s="106">
        <v>1300</v>
      </c>
      <c r="AS495" s="106">
        <v>0.14000000000000001</v>
      </c>
      <c r="AT495" s="106">
        <v>0.14000000000000001</v>
      </c>
      <c r="AY495" s="108">
        <v>0</v>
      </c>
      <c r="BD495" s="106">
        <v>0</v>
      </c>
      <c r="BY495" s="112" t="s">
        <v>1766</v>
      </c>
      <c r="BZ495" s="112" t="s">
        <v>1766</v>
      </c>
      <c r="CA495" s="112" t="s">
        <v>1766</v>
      </c>
      <c r="CB495" s="112" t="s">
        <v>1766</v>
      </c>
      <c r="CC495" s="112" t="s">
        <v>1766</v>
      </c>
      <c r="CD495" s="112" t="s">
        <v>1766</v>
      </c>
      <c r="CE495" s="112" t="s">
        <v>1766</v>
      </c>
      <c r="CF495" s="112" t="s">
        <v>1766</v>
      </c>
      <c r="CG495" s="112" t="s">
        <v>1766</v>
      </c>
      <c r="CH495" s="112" t="s">
        <v>1766</v>
      </c>
      <c r="CI495" s="112" t="s">
        <v>1766</v>
      </c>
      <c r="CJ495" s="112" t="s">
        <v>1766</v>
      </c>
      <c r="CK495" s="112" t="s">
        <v>1766</v>
      </c>
      <c r="CL495" s="112" t="s">
        <v>1766</v>
      </c>
      <c r="CM495" s="112" t="s">
        <v>1766</v>
      </c>
      <c r="CN495" s="112" t="s">
        <v>1766</v>
      </c>
      <c r="CO495" s="112" t="s">
        <v>1766</v>
      </c>
    </row>
    <row r="496" spans="1:93">
      <c r="A496" s="106" t="s">
        <v>605</v>
      </c>
      <c r="B496" s="106">
        <v>15</v>
      </c>
      <c r="C496" s="106">
        <v>2</v>
      </c>
      <c r="D496" s="106">
        <v>4</v>
      </c>
      <c r="E496" s="106">
        <v>1</v>
      </c>
      <c r="F496" s="106">
        <v>1</v>
      </c>
      <c r="G496" s="106" t="s">
        <v>66</v>
      </c>
      <c r="H496" s="106" t="s">
        <v>154</v>
      </c>
      <c r="I496" s="106">
        <v>201</v>
      </c>
      <c r="J496" s="106">
        <v>202</v>
      </c>
      <c r="K496" s="106" t="s">
        <v>1602</v>
      </c>
      <c r="L496" s="106" t="s">
        <v>1269</v>
      </c>
      <c r="M496" s="106" t="s">
        <v>1612</v>
      </c>
      <c r="N496" s="106">
        <v>20</v>
      </c>
      <c r="O496" s="106">
        <v>15</v>
      </c>
      <c r="T496" s="106" t="s">
        <v>1766</v>
      </c>
      <c r="V496" s="106">
        <v>2285209.7768253498</v>
      </c>
      <c r="W496" s="106">
        <v>1</v>
      </c>
      <c r="X496" s="106">
        <v>1</v>
      </c>
      <c r="Y496" s="106">
        <v>1</v>
      </c>
      <c r="Z496" s="106">
        <v>1</v>
      </c>
      <c r="AA496" s="106">
        <v>570000</v>
      </c>
      <c r="AB496" s="106">
        <v>570000</v>
      </c>
      <c r="AC496" s="106">
        <v>570000</v>
      </c>
      <c r="AD496" s="106">
        <v>570000</v>
      </c>
      <c r="AE496" s="106">
        <v>2280000</v>
      </c>
      <c r="AF496" s="106">
        <v>2280000</v>
      </c>
      <c r="AH496" s="106">
        <v>34560</v>
      </c>
      <c r="AI496" s="106">
        <v>0.05</v>
      </c>
      <c r="AJ496" s="106">
        <v>7</v>
      </c>
      <c r="AK496" s="106">
        <v>345.6</v>
      </c>
      <c r="AL496" s="106">
        <v>2419.1999999999998</v>
      </c>
      <c r="AM496" s="106">
        <v>30195</v>
      </c>
      <c r="AN496" s="106">
        <v>30195</v>
      </c>
      <c r="AO496" s="106">
        <v>16586</v>
      </c>
      <c r="AP496" s="106" t="s">
        <v>1787</v>
      </c>
      <c r="AQ496" s="106" t="s">
        <v>1810</v>
      </c>
      <c r="AR496" s="106">
        <v>1300</v>
      </c>
      <c r="AS496" s="106">
        <v>0.15</v>
      </c>
      <c r="AT496" s="106">
        <v>0.15</v>
      </c>
      <c r="AY496" s="108">
        <v>0</v>
      </c>
      <c r="BD496" s="106">
        <v>0</v>
      </c>
      <c r="BY496" s="112" t="s">
        <v>1766</v>
      </c>
      <c r="BZ496" s="112" t="s">
        <v>1766</v>
      </c>
      <c r="CA496" s="112" t="s">
        <v>1766</v>
      </c>
      <c r="CB496" s="112" t="s">
        <v>1766</v>
      </c>
      <c r="CC496" s="112" t="s">
        <v>1766</v>
      </c>
      <c r="CD496" s="112" t="s">
        <v>1766</v>
      </c>
      <c r="CE496" s="112" t="s">
        <v>1766</v>
      </c>
      <c r="CF496" s="112" t="s">
        <v>1766</v>
      </c>
      <c r="CG496" s="112" t="s">
        <v>1766</v>
      </c>
      <c r="CH496" s="112" t="s">
        <v>1766</v>
      </c>
      <c r="CI496" s="112" t="s">
        <v>1766</v>
      </c>
      <c r="CJ496" s="112" t="s">
        <v>1766</v>
      </c>
      <c r="CK496" s="112" t="s">
        <v>1766</v>
      </c>
      <c r="CL496" s="112" t="s">
        <v>1766</v>
      </c>
      <c r="CM496" s="112" t="s">
        <v>1766</v>
      </c>
      <c r="CN496" s="112" t="s">
        <v>1766</v>
      </c>
      <c r="CO496" s="112" t="s">
        <v>1766</v>
      </c>
    </row>
    <row r="497" spans="1:93">
      <c r="A497" s="106" t="s">
        <v>605</v>
      </c>
      <c r="B497" s="106">
        <v>16</v>
      </c>
      <c r="C497" s="106">
        <v>2</v>
      </c>
      <c r="D497" s="106">
        <v>4</v>
      </c>
      <c r="E497" s="106">
        <v>1</v>
      </c>
      <c r="F497" s="106">
        <v>1</v>
      </c>
      <c r="G497" s="106" t="s">
        <v>66</v>
      </c>
      <c r="H497" s="106" t="s">
        <v>154</v>
      </c>
      <c r="I497" s="106">
        <v>201</v>
      </c>
      <c r="J497" s="106">
        <v>202</v>
      </c>
      <c r="K497" s="106" t="s">
        <v>1602</v>
      </c>
      <c r="L497" s="106" t="s">
        <v>1272</v>
      </c>
      <c r="M497" s="106" t="s">
        <v>1613</v>
      </c>
      <c r="N497" s="106">
        <v>20</v>
      </c>
      <c r="O497" s="106">
        <v>16</v>
      </c>
      <c r="T497" s="106" t="s">
        <v>1766</v>
      </c>
      <c r="V497" s="106">
        <v>2925068.5143364398</v>
      </c>
      <c r="W497" s="106">
        <v>1</v>
      </c>
      <c r="X497" s="106">
        <v>1</v>
      </c>
      <c r="Y497" s="106">
        <v>1</v>
      </c>
      <c r="Z497" s="106">
        <v>1</v>
      </c>
      <c r="AA497" s="106">
        <v>730000</v>
      </c>
      <c r="AB497" s="106">
        <v>730000</v>
      </c>
      <c r="AC497" s="106">
        <v>730000</v>
      </c>
      <c r="AD497" s="106">
        <v>730000</v>
      </c>
      <c r="AE497" s="106">
        <v>2920000</v>
      </c>
      <c r="AF497" s="106">
        <v>2920000</v>
      </c>
      <c r="AH497" s="106">
        <v>43200</v>
      </c>
      <c r="AI497" s="106">
        <v>0.05</v>
      </c>
      <c r="AJ497" s="106">
        <v>7</v>
      </c>
      <c r="AK497" s="106">
        <v>432</v>
      </c>
      <c r="AL497" s="106">
        <v>3024</v>
      </c>
      <c r="AM497" s="106">
        <v>37818</v>
      </c>
      <c r="AN497" s="106">
        <v>37818</v>
      </c>
      <c r="AO497" s="106">
        <v>22436</v>
      </c>
      <c r="AP497" s="106" t="s">
        <v>1787</v>
      </c>
      <c r="AQ497" s="106" t="s">
        <v>1810</v>
      </c>
      <c r="AR497" s="106">
        <v>1300</v>
      </c>
      <c r="AS497" s="106">
        <v>0.16</v>
      </c>
      <c r="AT497" s="106">
        <v>0.16</v>
      </c>
      <c r="AY497" s="108">
        <v>0</v>
      </c>
      <c r="BD497" s="106">
        <v>0</v>
      </c>
      <c r="BY497" s="112" t="s">
        <v>1766</v>
      </c>
      <c r="BZ497" s="112" t="s">
        <v>1766</v>
      </c>
      <c r="CA497" s="112" t="s">
        <v>1766</v>
      </c>
      <c r="CB497" s="112" t="s">
        <v>1766</v>
      </c>
      <c r="CC497" s="112" t="s">
        <v>1766</v>
      </c>
      <c r="CD497" s="112" t="s">
        <v>1766</v>
      </c>
      <c r="CE497" s="112" t="s">
        <v>1766</v>
      </c>
      <c r="CF497" s="112" t="s">
        <v>1766</v>
      </c>
      <c r="CG497" s="112" t="s">
        <v>1766</v>
      </c>
      <c r="CH497" s="112" t="s">
        <v>1766</v>
      </c>
      <c r="CI497" s="112" t="s">
        <v>1766</v>
      </c>
      <c r="CJ497" s="112" t="s">
        <v>1766</v>
      </c>
      <c r="CK497" s="112" t="s">
        <v>1766</v>
      </c>
      <c r="CL497" s="112" t="s">
        <v>1766</v>
      </c>
      <c r="CM497" s="112" t="s">
        <v>1766</v>
      </c>
      <c r="CN497" s="112" t="s">
        <v>1766</v>
      </c>
      <c r="CO497" s="112" t="s">
        <v>1766</v>
      </c>
    </row>
    <row r="498" spans="1:93">
      <c r="A498" s="106" t="s">
        <v>605</v>
      </c>
      <c r="B498" s="106">
        <v>17</v>
      </c>
      <c r="C498" s="106">
        <v>2</v>
      </c>
      <c r="D498" s="106">
        <v>4</v>
      </c>
      <c r="E498" s="106">
        <v>1</v>
      </c>
      <c r="F498" s="106">
        <v>1</v>
      </c>
      <c r="G498" s="106" t="s">
        <v>66</v>
      </c>
      <c r="H498" s="106" t="s">
        <v>154</v>
      </c>
      <c r="I498" s="106">
        <v>201</v>
      </c>
      <c r="J498" s="106">
        <v>202</v>
      </c>
      <c r="K498" s="106" t="s">
        <v>1602</v>
      </c>
      <c r="L498" s="106" t="s">
        <v>1278</v>
      </c>
      <c r="M498" s="106" t="s">
        <v>1614</v>
      </c>
      <c r="N498" s="106">
        <v>20</v>
      </c>
      <c r="O498" s="106">
        <v>17</v>
      </c>
      <c r="T498" s="106" t="s">
        <v>1766</v>
      </c>
      <c r="V498" s="106">
        <v>3744087.6983506498</v>
      </c>
      <c r="W498" s="106">
        <v>1</v>
      </c>
      <c r="X498" s="106">
        <v>1</v>
      </c>
      <c r="Y498" s="106">
        <v>1</v>
      </c>
      <c r="Z498" s="106">
        <v>1</v>
      </c>
      <c r="AA498" s="106">
        <v>940000</v>
      </c>
      <c r="AB498" s="106">
        <v>940000</v>
      </c>
      <c r="AC498" s="106">
        <v>940000</v>
      </c>
      <c r="AD498" s="106">
        <v>940000</v>
      </c>
      <c r="AE498" s="106">
        <v>3760000</v>
      </c>
      <c r="AF498" s="106">
        <v>3760000</v>
      </c>
      <c r="AH498" s="106">
        <v>57600</v>
      </c>
      <c r="AI498" s="106">
        <v>0.05</v>
      </c>
      <c r="AJ498" s="106">
        <v>8</v>
      </c>
      <c r="AK498" s="106">
        <v>576</v>
      </c>
      <c r="AL498" s="106">
        <v>4608</v>
      </c>
      <c r="AM498" s="106">
        <v>49949</v>
      </c>
      <c r="AN498" s="106">
        <v>49949</v>
      </c>
      <c r="AO498" s="106">
        <v>29924</v>
      </c>
      <c r="AP498" s="106" t="s">
        <v>1787</v>
      </c>
      <c r="AQ498" s="106" t="s">
        <v>1810</v>
      </c>
      <c r="AR498" s="106">
        <v>1300</v>
      </c>
      <c r="AS498" s="106">
        <v>0.17</v>
      </c>
      <c r="AT498" s="106">
        <v>0.17</v>
      </c>
      <c r="AY498" s="108">
        <v>0</v>
      </c>
      <c r="BD498" s="106">
        <v>0</v>
      </c>
      <c r="BY498" s="112" t="s">
        <v>1766</v>
      </c>
      <c r="BZ498" s="112" t="s">
        <v>1766</v>
      </c>
      <c r="CA498" s="112" t="s">
        <v>1766</v>
      </c>
      <c r="CB498" s="112" t="s">
        <v>1766</v>
      </c>
      <c r="CC498" s="112" t="s">
        <v>1766</v>
      </c>
      <c r="CD498" s="112" t="s">
        <v>1766</v>
      </c>
      <c r="CE498" s="112" t="s">
        <v>1766</v>
      </c>
      <c r="CF498" s="112" t="s">
        <v>1766</v>
      </c>
      <c r="CG498" s="112" t="s">
        <v>1766</v>
      </c>
      <c r="CH498" s="112" t="s">
        <v>1766</v>
      </c>
      <c r="CI498" s="112" t="s">
        <v>1766</v>
      </c>
      <c r="CJ498" s="112" t="s">
        <v>1766</v>
      </c>
      <c r="CK498" s="112" t="s">
        <v>1766</v>
      </c>
      <c r="CL498" s="112" t="s">
        <v>1766</v>
      </c>
      <c r="CM498" s="112" t="s">
        <v>1766</v>
      </c>
      <c r="CN498" s="112" t="s">
        <v>1766</v>
      </c>
      <c r="CO498" s="112" t="s">
        <v>1766</v>
      </c>
    </row>
    <row r="499" spans="1:93">
      <c r="A499" s="106" t="s">
        <v>605</v>
      </c>
      <c r="B499" s="106">
        <v>18</v>
      </c>
      <c r="C499" s="106">
        <v>2</v>
      </c>
      <c r="D499" s="106">
        <v>4</v>
      </c>
      <c r="E499" s="106">
        <v>1</v>
      </c>
      <c r="F499" s="106">
        <v>1</v>
      </c>
      <c r="G499" s="106" t="s">
        <v>66</v>
      </c>
      <c r="H499" s="106" t="s">
        <v>154</v>
      </c>
      <c r="I499" s="106">
        <v>201</v>
      </c>
      <c r="J499" s="106">
        <v>202</v>
      </c>
      <c r="K499" s="106" t="s">
        <v>1602</v>
      </c>
      <c r="L499" s="106" t="s">
        <v>1281</v>
      </c>
      <c r="M499" s="106" t="s">
        <v>1615</v>
      </c>
      <c r="N499" s="106">
        <v>20</v>
      </c>
      <c r="O499" s="106">
        <v>18</v>
      </c>
      <c r="T499" s="106" t="s">
        <v>1766</v>
      </c>
      <c r="V499" s="106">
        <v>4792432.2538888296</v>
      </c>
      <c r="W499" s="106">
        <v>1</v>
      </c>
      <c r="X499" s="106">
        <v>1</v>
      </c>
      <c r="Y499" s="106">
        <v>1</v>
      </c>
      <c r="Z499" s="106">
        <v>1</v>
      </c>
      <c r="AA499" s="106">
        <v>1200000</v>
      </c>
      <c r="AB499" s="106">
        <v>1200000</v>
      </c>
      <c r="AC499" s="106">
        <v>1200000</v>
      </c>
      <c r="AD499" s="106">
        <v>1200000</v>
      </c>
      <c r="AE499" s="106">
        <v>4800000</v>
      </c>
      <c r="AF499" s="106">
        <v>4800000</v>
      </c>
      <c r="AH499" s="106">
        <v>74880</v>
      </c>
      <c r="AI499" s="106">
        <v>6.5000000000000002E-2</v>
      </c>
      <c r="AJ499" s="106">
        <v>8</v>
      </c>
      <c r="AK499" s="106">
        <v>748.8</v>
      </c>
      <c r="AL499" s="106">
        <v>5990.4</v>
      </c>
      <c r="AM499" s="106">
        <v>64019</v>
      </c>
      <c r="AN499" s="106">
        <v>64019</v>
      </c>
      <c r="AO499" s="106">
        <v>39509</v>
      </c>
      <c r="AP499" s="106" t="s">
        <v>1787</v>
      </c>
      <c r="AQ499" s="106" t="s">
        <v>1810</v>
      </c>
      <c r="AR499" s="106">
        <v>1300</v>
      </c>
      <c r="AS499" s="106">
        <v>0.18</v>
      </c>
      <c r="AT499" s="106">
        <v>0.18</v>
      </c>
      <c r="AY499" s="108">
        <v>0</v>
      </c>
      <c r="BD499" s="106">
        <v>0</v>
      </c>
      <c r="BY499" s="112" t="s">
        <v>1766</v>
      </c>
      <c r="BZ499" s="112" t="s">
        <v>1766</v>
      </c>
      <c r="CA499" s="112" t="s">
        <v>1766</v>
      </c>
      <c r="CB499" s="112" t="s">
        <v>1766</v>
      </c>
      <c r="CC499" s="112" t="s">
        <v>1766</v>
      </c>
      <c r="CD499" s="112" t="s">
        <v>1766</v>
      </c>
      <c r="CE499" s="112" t="s">
        <v>1766</v>
      </c>
      <c r="CF499" s="112" t="s">
        <v>1766</v>
      </c>
      <c r="CG499" s="112" t="s">
        <v>1766</v>
      </c>
      <c r="CH499" s="112" t="s">
        <v>1766</v>
      </c>
      <c r="CI499" s="112" t="s">
        <v>1766</v>
      </c>
      <c r="CJ499" s="112" t="s">
        <v>1766</v>
      </c>
      <c r="CK499" s="112" t="s">
        <v>1766</v>
      </c>
      <c r="CL499" s="112" t="s">
        <v>1766</v>
      </c>
      <c r="CM499" s="112" t="s">
        <v>1766</v>
      </c>
      <c r="CN499" s="112" t="s">
        <v>1766</v>
      </c>
      <c r="CO499" s="112" t="s">
        <v>1766</v>
      </c>
    </row>
    <row r="500" spans="1:93">
      <c r="A500" s="106" t="s">
        <v>605</v>
      </c>
      <c r="B500" s="106">
        <v>19</v>
      </c>
      <c r="C500" s="106">
        <v>2</v>
      </c>
      <c r="D500" s="106">
        <v>4</v>
      </c>
      <c r="E500" s="106">
        <v>1</v>
      </c>
      <c r="F500" s="106">
        <v>1</v>
      </c>
      <c r="G500" s="106" t="s">
        <v>66</v>
      </c>
      <c r="H500" s="106" t="s">
        <v>154</v>
      </c>
      <c r="I500" s="106">
        <v>201</v>
      </c>
      <c r="J500" s="106">
        <v>202</v>
      </c>
      <c r="K500" s="106" t="s">
        <v>1602</v>
      </c>
      <c r="L500" s="106" t="s">
        <v>1283</v>
      </c>
      <c r="M500" s="106" t="s">
        <v>1616</v>
      </c>
      <c r="N500" s="106">
        <v>20</v>
      </c>
      <c r="O500" s="106">
        <v>19</v>
      </c>
      <c r="T500" s="106" t="s">
        <v>1766</v>
      </c>
      <c r="V500" s="106">
        <v>6134313.2849776996</v>
      </c>
      <c r="W500" s="106">
        <v>1</v>
      </c>
      <c r="X500" s="106">
        <v>1</v>
      </c>
      <c r="Y500" s="106">
        <v>1</v>
      </c>
      <c r="Z500" s="106">
        <v>1</v>
      </c>
      <c r="AA500" s="106">
        <v>1500000</v>
      </c>
      <c r="AB500" s="106">
        <v>1500000</v>
      </c>
      <c r="AC500" s="106">
        <v>1500000</v>
      </c>
      <c r="AD500" s="106">
        <v>1500000</v>
      </c>
      <c r="AE500" s="106">
        <v>6000000</v>
      </c>
      <c r="AF500" s="106">
        <v>6000000</v>
      </c>
      <c r="AH500" s="106">
        <v>97920</v>
      </c>
      <c r="AI500" s="106">
        <v>0.08</v>
      </c>
      <c r="AJ500" s="106">
        <v>9</v>
      </c>
      <c r="AK500" s="106">
        <v>979.2</v>
      </c>
      <c r="AL500" s="106">
        <v>8812.7999999999993</v>
      </c>
      <c r="AM500" s="106">
        <v>81553</v>
      </c>
      <c r="AN500" s="106">
        <v>81553</v>
      </c>
      <c r="AO500" s="106">
        <v>51778</v>
      </c>
      <c r="AP500" s="106" t="s">
        <v>1787</v>
      </c>
      <c r="AQ500" s="106" t="s">
        <v>1810</v>
      </c>
      <c r="AR500" s="106">
        <v>1300</v>
      </c>
      <c r="AS500" s="106">
        <v>0.19</v>
      </c>
      <c r="AT500" s="106">
        <v>0.19</v>
      </c>
      <c r="AY500" s="108">
        <v>0</v>
      </c>
      <c r="BD500" s="106">
        <v>0</v>
      </c>
      <c r="BY500" s="112" t="s">
        <v>1766</v>
      </c>
      <c r="BZ500" s="112" t="s">
        <v>1766</v>
      </c>
      <c r="CA500" s="112" t="s">
        <v>1766</v>
      </c>
      <c r="CB500" s="112" t="s">
        <v>1766</v>
      </c>
      <c r="CC500" s="112" t="s">
        <v>1766</v>
      </c>
      <c r="CD500" s="112" t="s">
        <v>1766</v>
      </c>
      <c r="CE500" s="112" t="s">
        <v>1766</v>
      </c>
      <c r="CF500" s="112" t="s">
        <v>1766</v>
      </c>
      <c r="CG500" s="112" t="s">
        <v>1766</v>
      </c>
      <c r="CH500" s="112" t="s">
        <v>1766</v>
      </c>
      <c r="CI500" s="112" t="s">
        <v>1766</v>
      </c>
      <c r="CJ500" s="112" t="s">
        <v>1766</v>
      </c>
      <c r="CK500" s="112" t="s">
        <v>1766</v>
      </c>
      <c r="CL500" s="112" t="s">
        <v>1766</v>
      </c>
      <c r="CM500" s="112" t="s">
        <v>1766</v>
      </c>
      <c r="CN500" s="112" t="s">
        <v>1766</v>
      </c>
      <c r="CO500" s="112" t="s">
        <v>1766</v>
      </c>
    </row>
    <row r="501" spans="1:93">
      <c r="A501" s="106" t="s">
        <v>605</v>
      </c>
      <c r="B501" s="106">
        <v>20</v>
      </c>
      <c r="C501" s="106">
        <v>2</v>
      </c>
      <c r="D501" s="106">
        <v>4</v>
      </c>
      <c r="E501" s="106">
        <v>1</v>
      </c>
      <c r="F501" s="106">
        <v>1</v>
      </c>
      <c r="G501" s="106" t="s">
        <v>66</v>
      </c>
      <c r="H501" s="106" t="s">
        <v>154</v>
      </c>
      <c r="I501" s="106">
        <v>201</v>
      </c>
      <c r="J501" s="106">
        <v>202</v>
      </c>
      <c r="K501" s="106" t="s">
        <v>1602</v>
      </c>
      <c r="L501" s="106" t="s">
        <v>1287</v>
      </c>
      <c r="M501" s="106" t="s">
        <v>1617</v>
      </c>
      <c r="N501" s="106">
        <v>25</v>
      </c>
      <c r="O501" s="106">
        <v>20</v>
      </c>
      <c r="T501" s="106" t="s">
        <v>1766</v>
      </c>
      <c r="V501" s="106">
        <v>7851921.0047714598</v>
      </c>
      <c r="W501" s="106">
        <v>1</v>
      </c>
      <c r="X501" s="106">
        <v>1</v>
      </c>
      <c r="Y501" s="106">
        <v>1</v>
      </c>
      <c r="Z501" s="106">
        <v>1</v>
      </c>
      <c r="AA501" s="106">
        <v>2000000</v>
      </c>
      <c r="AB501" s="106">
        <v>2000000</v>
      </c>
      <c r="AC501" s="106">
        <v>2000000</v>
      </c>
      <c r="AD501" s="106">
        <v>2000000</v>
      </c>
      <c r="AE501" s="106">
        <v>8000000</v>
      </c>
      <c r="AF501" s="106">
        <v>8000000</v>
      </c>
      <c r="AH501" s="106">
        <v>138240</v>
      </c>
      <c r="AI501" s="106">
        <v>9.5000000000000001E-2</v>
      </c>
      <c r="AJ501" s="106">
        <v>9</v>
      </c>
      <c r="AK501" s="106">
        <v>1382.4</v>
      </c>
      <c r="AL501" s="106">
        <v>12441.6</v>
      </c>
      <c r="AM501" s="106">
        <v>113504</v>
      </c>
      <c r="AN501" s="106">
        <v>113504</v>
      </c>
      <c r="AO501" s="106">
        <v>67481</v>
      </c>
      <c r="AP501" s="106" t="s">
        <v>1787</v>
      </c>
      <c r="AQ501" s="106" t="s">
        <v>1810</v>
      </c>
      <c r="AR501" s="106">
        <v>1300</v>
      </c>
      <c r="AS501" s="106">
        <v>0.2</v>
      </c>
      <c r="AT501" s="106">
        <v>0.2</v>
      </c>
      <c r="AY501" s="108">
        <v>0</v>
      </c>
      <c r="BD501" s="106">
        <v>0</v>
      </c>
      <c r="BY501" s="112" t="s">
        <v>1766</v>
      </c>
      <c r="BZ501" s="112" t="s">
        <v>1766</v>
      </c>
      <c r="CA501" s="112" t="s">
        <v>1766</v>
      </c>
      <c r="CB501" s="112" t="s">
        <v>1766</v>
      </c>
      <c r="CC501" s="112" t="s">
        <v>1766</v>
      </c>
      <c r="CD501" s="112" t="s">
        <v>1766</v>
      </c>
      <c r="CE501" s="112" t="s">
        <v>1766</v>
      </c>
      <c r="CF501" s="112" t="s">
        <v>1766</v>
      </c>
      <c r="CG501" s="112" t="s">
        <v>1766</v>
      </c>
      <c r="CH501" s="112" t="s">
        <v>1766</v>
      </c>
      <c r="CI501" s="112" t="s">
        <v>1766</v>
      </c>
      <c r="CJ501" s="112" t="s">
        <v>1766</v>
      </c>
      <c r="CK501" s="112" t="s">
        <v>1766</v>
      </c>
      <c r="CL501" s="112" t="s">
        <v>1766</v>
      </c>
      <c r="CM501" s="112" t="s">
        <v>1766</v>
      </c>
      <c r="CN501" s="112" t="s">
        <v>1766</v>
      </c>
      <c r="CO501" s="112" t="s">
        <v>1766</v>
      </c>
    </row>
    <row r="502" spans="1:93">
      <c r="A502" s="106" t="s">
        <v>605</v>
      </c>
      <c r="B502" s="106">
        <v>21</v>
      </c>
      <c r="C502" s="106">
        <v>2</v>
      </c>
      <c r="D502" s="106">
        <v>4</v>
      </c>
      <c r="E502" s="106">
        <v>1</v>
      </c>
      <c r="F502" s="106">
        <v>1</v>
      </c>
      <c r="G502" s="106" t="s">
        <v>66</v>
      </c>
      <c r="H502" s="106" t="s">
        <v>154</v>
      </c>
      <c r="I502" s="106">
        <v>201</v>
      </c>
      <c r="J502" s="106">
        <v>202</v>
      </c>
      <c r="K502" s="106" t="s">
        <v>1602</v>
      </c>
      <c r="L502" s="106" t="s">
        <v>1291</v>
      </c>
      <c r="M502" s="106" t="s">
        <v>1618</v>
      </c>
      <c r="N502" s="106">
        <v>25</v>
      </c>
      <c r="O502" s="106">
        <v>21</v>
      </c>
      <c r="T502" s="106" t="s">
        <v>1766</v>
      </c>
      <c r="V502" s="106">
        <v>10050458.886107501</v>
      </c>
      <c r="W502" s="106">
        <v>1</v>
      </c>
      <c r="X502" s="106">
        <v>1</v>
      </c>
      <c r="Y502" s="106">
        <v>1</v>
      </c>
      <c r="Z502" s="106">
        <v>1</v>
      </c>
      <c r="AA502" s="106">
        <v>2500000</v>
      </c>
      <c r="AB502" s="106">
        <v>2500000</v>
      </c>
      <c r="AC502" s="106">
        <v>2500000</v>
      </c>
      <c r="AD502" s="106">
        <v>2500000</v>
      </c>
      <c r="AE502" s="106">
        <v>10000000</v>
      </c>
      <c r="AF502" s="106">
        <v>10000000</v>
      </c>
      <c r="AH502" s="106">
        <v>184320</v>
      </c>
      <c r="AI502" s="106">
        <v>0.11</v>
      </c>
      <c r="AJ502" s="106">
        <v>10</v>
      </c>
      <c r="AK502" s="106">
        <v>1843.2</v>
      </c>
      <c r="AL502" s="106">
        <v>18432</v>
      </c>
      <c r="AM502" s="106">
        <v>147322</v>
      </c>
      <c r="AN502" s="106">
        <v>147322</v>
      </c>
      <c r="AO502" s="106">
        <v>87582</v>
      </c>
      <c r="AP502" s="106" t="s">
        <v>1787</v>
      </c>
      <c r="AQ502" s="106" t="s">
        <v>1810</v>
      </c>
      <c r="AR502" s="106">
        <v>1300</v>
      </c>
      <c r="AS502" s="106">
        <v>0.21</v>
      </c>
      <c r="AT502" s="106">
        <v>0.21</v>
      </c>
      <c r="AY502" s="108">
        <v>0</v>
      </c>
      <c r="BD502" s="106">
        <v>0</v>
      </c>
      <c r="BY502" s="112" t="s">
        <v>1766</v>
      </c>
      <c r="BZ502" s="112" t="s">
        <v>1766</v>
      </c>
      <c r="CA502" s="112" t="s">
        <v>1766</v>
      </c>
      <c r="CB502" s="112" t="s">
        <v>1766</v>
      </c>
      <c r="CC502" s="112" t="s">
        <v>1766</v>
      </c>
      <c r="CD502" s="112" t="s">
        <v>1766</v>
      </c>
      <c r="CE502" s="112" t="s">
        <v>1766</v>
      </c>
      <c r="CF502" s="112" t="s">
        <v>1766</v>
      </c>
      <c r="CG502" s="112" t="s">
        <v>1766</v>
      </c>
      <c r="CH502" s="112" t="s">
        <v>1766</v>
      </c>
      <c r="CI502" s="112" t="s">
        <v>1766</v>
      </c>
      <c r="CJ502" s="112" t="s">
        <v>1766</v>
      </c>
      <c r="CK502" s="112" t="s">
        <v>1766</v>
      </c>
      <c r="CL502" s="112" t="s">
        <v>1766</v>
      </c>
      <c r="CM502" s="112" t="s">
        <v>1766</v>
      </c>
      <c r="CN502" s="112" t="s">
        <v>1766</v>
      </c>
      <c r="CO502" s="112" t="s">
        <v>1766</v>
      </c>
    </row>
    <row r="503" spans="1:93">
      <c r="A503" s="106" t="s">
        <v>605</v>
      </c>
      <c r="B503" s="106">
        <v>22</v>
      </c>
      <c r="C503" s="106">
        <v>2</v>
      </c>
      <c r="D503" s="106">
        <v>4</v>
      </c>
      <c r="E503" s="106">
        <v>1</v>
      </c>
      <c r="F503" s="106">
        <v>1</v>
      </c>
      <c r="G503" s="106" t="s">
        <v>66</v>
      </c>
      <c r="H503" s="106" t="s">
        <v>154</v>
      </c>
      <c r="I503" s="106">
        <v>201</v>
      </c>
      <c r="J503" s="106">
        <v>202</v>
      </c>
      <c r="K503" s="106" t="s">
        <v>1602</v>
      </c>
      <c r="L503" s="106" t="s">
        <v>1295</v>
      </c>
      <c r="M503" s="106" t="s">
        <v>1619</v>
      </c>
      <c r="N503" s="106">
        <v>25</v>
      </c>
      <c r="O503" s="106">
        <v>22</v>
      </c>
      <c r="T503" s="106" t="s">
        <v>1766</v>
      </c>
      <c r="V503" s="106">
        <v>12864587.3742176</v>
      </c>
      <c r="W503" s="106">
        <v>1</v>
      </c>
      <c r="X503" s="106">
        <v>1</v>
      </c>
      <c r="Y503" s="106">
        <v>1</v>
      </c>
      <c r="Z503" s="106">
        <v>1</v>
      </c>
      <c r="AA503" s="106">
        <v>3200000</v>
      </c>
      <c r="AB503" s="106">
        <v>3200000</v>
      </c>
      <c r="AC503" s="106">
        <v>3200000</v>
      </c>
      <c r="AD503" s="106">
        <v>3200000</v>
      </c>
      <c r="AE503" s="106">
        <v>12800000</v>
      </c>
      <c r="AF503" s="106">
        <v>12800000</v>
      </c>
      <c r="AH503" s="106">
        <v>241920</v>
      </c>
      <c r="AI503" s="106">
        <v>0.125</v>
      </c>
      <c r="AJ503" s="106">
        <v>10</v>
      </c>
      <c r="AK503" s="106">
        <v>2419.1999999999998</v>
      </c>
      <c r="AL503" s="106">
        <v>24192</v>
      </c>
      <c r="AM503" s="106">
        <v>190548</v>
      </c>
      <c r="AN503" s="106">
        <v>190548</v>
      </c>
      <c r="AO503" s="106">
        <v>113312</v>
      </c>
      <c r="AP503" s="106" t="s">
        <v>1787</v>
      </c>
      <c r="AQ503" s="106" t="s">
        <v>1810</v>
      </c>
      <c r="AR503" s="106">
        <v>1300</v>
      </c>
      <c r="AS503" s="106">
        <v>0.22</v>
      </c>
      <c r="AT503" s="106">
        <v>0.22</v>
      </c>
      <c r="AY503" s="108">
        <v>0</v>
      </c>
      <c r="BD503" s="106">
        <v>0</v>
      </c>
      <c r="BY503" s="112" t="s">
        <v>1766</v>
      </c>
      <c r="BZ503" s="112" t="s">
        <v>1766</v>
      </c>
      <c r="CA503" s="112" t="s">
        <v>1766</v>
      </c>
      <c r="CB503" s="112" t="s">
        <v>1766</v>
      </c>
      <c r="CC503" s="112" t="s">
        <v>1766</v>
      </c>
      <c r="CD503" s="112" t="s">
        <v>1766</v>
      </c>
      <c r="CE503" s="112" t="s">
        <v>1766</v>
      </c>
      <c r="CF503" s="112" t="s">
        <v>1766</v>
      </c>
      <c r="CG503" s="112" t="s">
        <v>1766</v>
      </c>
      <c r="CH503" s="112" t="s">
        <v>1766</v>
      </c>
      <c r="CI503" s="112" t="s">
        <v>1766</v>
      </c>
      <c r="CJ503" s="112" t="s">
        <v>1766</v>
      </c>
      <c r="CK503" s="112" t="s">
        <v>1766</v>
      </c>
      <c r="CL503" s="112" t="s">
        <v>1766</v>
      </c>
      <c r="CM503" s="112" t="s">
        <v>1766</v>
      </c>
      <c r="CN503" s="112" t="s">
        <v>1766</v>
      </c>
      <c r="CO503" s="112" t="s">
        <v>1766</v>
      </c>
    </row>
    <row r="504" spans="1:93">
      <c r="A504" s="106" t="s">
        <v>605</v>
      </c>
      <c r="B504" s="106">
        <v>23</v>
      </c>
      <c r="C504" s="106">
        <v>2</v>
      </c>
      <c r="D504" s="106">
        <v>4</v>
      </c>
      <c r="E504" s="106">
        <v>1</v>
      </c>
      <c r="F504" s="106">
        <v>1</v>
      </c>
      <c r="G504" s="106" t="s">
        <v>66</v>
      </c>
      <c r="H504" s="106" t="s">
        <v>154</v>
      </c>
      <c r="I504" s="106">
        <v>201</v>
      </c>
      <c r="J504" s="106">
        <v>202</v>
      </c>
      <c r="K504" s="106" t="s">
        <v>1602</v>
      </c>
      <c r="L504" s="106" t="s">
        <v>1298</v>
      </c>
      <c r="M504" s="106" t="s">
        <v>1620</v>
      </c>
      <c r="N504" s="106">
        <v>25</v>
      </c>
      <c r="O504" s="106">
        <v>23</v>
      </c>
      <c r="T504" s="106" t="s">
        <v>1766</v>
      </c>
      <c r="V504" s="106">
        <v>16466671.8389985</v>
      </c>
      <c r="W504" s="106">
        <v>1</v>
      </c>
      <c r="X504" s="106">
        <v>1</v>
      </c>
      <c r="Y504" s="106">
        <v>1</v>
      </c>
      <c r="Z504" s="106">
        <v>1</v>
      </c>
      <c r="AA504" s="106">
        <v>4100000</v>
      </c>
      <c r="AB504" s="106">
        <v>4100000</v>
      </c>
      <c r="AC504" s="106">
        <v>4100000</v>
      </c>
      <c r="AD504" s="106">
        <v>4100000</v>
      </c>
      <c r="AE504" s="106">
        <v>16400000</v>
      </c>
      <c r="AF504" s="106">
        <v>16400000</v>
      </c>
      <c r="AH504" s="106">
        <v>311040</v>
      </c>
      <c r="AI504" s="106">
        <v>0.125</v>
      </c>
      <c r="AJ504" s="106">
        <v>11</v>
      </c>
      <c r="AK504" s="106">
        <v>3110.4</v>
      </c>
      <c r="AL504" s="106">
        <v>34214.400000000001</v>
      </c>
      <c r="AM504" s="106">
        <v>241965</v>
      </c>
      <c r="AN504" s="106">
        <v>241965</v>
      </c>
      <c r="AO504" s="106">
        <v>146245</v>
      </c>
      <c r="AP504" s="106" t="s">
        <v>1787</v>
      </c>
      <c r="AQ504" s="106" t="s">
        <v>1810</v>
      </c>
      <c r="AR504" s="106">
        <v>1300</v>
      </c>
      <c r="AS504" s="106">
        <v>0.23</v>
      </c>
      <c r="AT504" s="106">
        <v>0.23</v>
      </c>
      <c r="AY504" s="108">
        <v>0</v>
      </c>
      <c r="BD504" s="106">
        <v>0</v>
      </c>
      <c r="BY504" s="112" t="s">
        <v>1766</v>
      </c>
      <c r="BZ504" s="112" t="s">
        <v>1766</v>
      </c>
      <c r="CA504" s="112" t="s">
        <v>1766</v>
      </c>
      <c r="CB504" s="112" t="s">
        <v>1766</v>
      </c>
      <c r="CC504" s="112" t="s">
        <v>1766</v>
      </c>
      <c r="CD504" s="112" t="s">
        <v>1766</v>
      </c>
      <c r="CE504" s="112" t="s">
        <v>1766</v>
      </c>
      <c r="CF504" s="112" t="s">
        <v>1766</v>
      </c>
      <c r="CG504" s="112" t="s">
        <v>1766</v>
      </c>
      <c r="CH504" s="112" t="s">
        <v>1766</v>
      </c>
      <c r="CI504" s="112" t="s">
        <v>1766</v>
      </c>
      <c r="CJ504" s="112" t="s">
        <v>1766</v>
      </c>
      <c r="CK504" s="112" t="s">
        <v>1766</v>
      </c>
      <c r="CL504" s="112" t="s">
        <v>1766</v>
      </c>
      <c r="CM504" s="112" t="s">
        <v>1766</v>
      </c>
      <c r="CN504" s="112" t="s">
        <v>1766</v>
      </c>
      <c r="CO504" s="112" t="s">
        <v>1766</v>
      </c>
    </row>
    <row r="505" spans="1:93">
      <c r="A505" s="106" t="s">
        <v>605</v>
      </c>
      <c r="B505" s="106">
        <v>24</v>
      </c>
      <c r="C505" s="106">
        <v>2</v>
      </c>
      <c r="D505" s="106">
        <v>4</v>
      </c>
      <c r="E505" s="106">
        <v>1</v>
      </c>
      <c r="F505" s="106">
        <v>1</v>
      </c>
      <c r="G505" s="106" t="s">
        <v>66</v>
      </c>
      <c r="H505" s="106" t="s">
        <v>154</v>
      </c>
      <c r="I505" s="106">
        <v>201</v>
      </c>
      <c r="J505" s="106">
        <v>202</v>
      </c>
      <c r="K505" s="106" t="s">
        <v>1602</v>
      </c>
      <c r="L505" s="106" t="s">
        <v>1302</v>
      </c>
      <c r="M505" s="106" t="s">
        <v>1621</v>
      </c>
      <c r="N505" s="106">
        <v>25</v>
      </c>
      <c r="O505" s="106">
        <v>24</v>
      </c>
      <c r="T505" s="106" t="s">
        <v>1766</v>
      </c>
      <c r="V505" s="106">
        <v>21077339.953917999</v>
      </c>
      <c r="W505" s="106">
        <v>1</v>
      </c>
      <c r="X505" s="106">
        <v>1</v>
      </c>
      <c r="Y505" s="106">
        <v>1</v>
      </c>
      <c r="Z505" s="106">
        <v>1</v>
      </c>
      <c r="AA505" s="106">
        <v>5300000</v>
      </c>
      <c r="AB505" s="106">
        <v>5300000</v>
      </c>
      <c r="AC505" s="106">
        <v>5300000</v>
      </c>
      <c r="AD505" s="106">
        <v>5300000</v>
      </c>
      <c r="AE505" s="106">
        <v>21200000</v>
      </c>
      <c r="AF505" s="106">
        <v>21200000</v>
      </c>
      <c r="AH505" s="106">
        <v>397440</v>
      </c>
      <c r="AI505" s="106">
        <v>0.125</v>
      </c>
      <c r="AJ505" s="106">
        <v>12</v>
      </c>
      <c r="AK505" s="106">
        <v>3974.4</v>
      </c>
      <c r="AL505" s="106">
        <v>47692.800000000003</v>
      </c>
      <c r="AM505" s="106">
        <v>305287</v>
      </c>
      <c r="AN505" s="106">
        <v>305287</v>
      </c>
      <c r="AO505" s="106">
        <v>188400</v>
      </c>
      <c r="AP505" s="106" t="s">
        <v>1787</v>
      </c>
      <c r="AQ505" s="106" t="s">
        <v>1810</v>
      </c>
      <c r="AR505" s="106">
        <v>1300</v>
      </c>
      <c r="AS505" s="106">
        <v>0.24</v>
      </c>
      <c r="AT505" s="106">
        <v>0.24</v>
      </c>
      <c r="AY505" s="108">
        <v>0</v>
      </c>
      <c r="BD505" s="106">
        <v>0</v>
      </c>
      <c r="BY505" s="112" t="s">
        <v>1766</v>
      </c>
      <c r="BZ505" s="112" t="s">
        <v>1766</v>
      </c>
      <c r="CA505" s="112" t="s">
        <v>1766</v>
      </c>
      <c r="CB505" s="112" t="s">
        <v>1766</v>
      </c>
      <c r="CC505" s="112" t="s">
        <v>1766</v>
      </c>
      <c r="CD505" s="112" t="s">
        <v>1766</v>
      </c>
      <c r="CE505" s="112" t="s">
        <v>1766</v>
      </c>
      <c r="CF505" s="112" t="s">
        <v>1766</v>
      </c>
      <c r="CG505" s="112" t="s">
        <v>1766</v>
      </c>
      <c r="CH505" s="112" t="s">
        <v>1766</v>
      </c>
      <c r="CI505" s="112" t="s">
        <v>1766</v>
      </c>
      <c r="CJ505" s="112" t="s">
        <v>1766</v>
      </c>
      <c r="CK505" s="112" t="s">
        <v>1766</v>
      </c>
      <c r="CL505" s="112" t="s">
        <v>1766</v>
      </c>
      <c r="CM505" s="112" t="s">
        <v>1766</v>
      </c>
      <c r="CN505" s="112" t="s">
        <v>1766</v>
      </c>
      <c r="CO505" s="112" t="s">
        <v>1766</v>
      </c>
    </row>
    <row r="506" spans="1:93">
      <c r="A506" s="106" t="s">
        <v>605</v>
      </c>
      <c r="B506" s="106">
        <v>25</v>
      </c>
      <c r="C506" s="106">
        <v>2</v>
      </c>
      <c r="D506" s="106">
        <v>4</v>
      </c>
      <c r="E506" s="106">
        <v>1</v>
      </c>
      <c r="F506" s="106">
        <v>1</v>
      </c>
      <c r="G506" s="106" t="s">
        <v>66</v>
      </c>
      <c r="H506" s="106" t="s">
        <v>154</v>
      </c>
      <c r="I506" s="106">
        <v>201</v>
      </c>
      <c r="J506" s="106">
        <v>202</v>
      </c>
      <c r="K506" s="106" t="s">
        <v>1602</v>
      </c>
      <c r="L506" s="106" t="s">
        <v>1305</v>
      </c>
      <c r="M506" s="106" t="s">
        <v>1622</v>
      </c>
      <c r="N506" s="106">
        <v>30</v>
      </c>
      <c r="O506" s="106">
        <v>25</v>
      </c>
      <c r="T506" s="106" t="s">
        <v>1766</v>
      </c>
      <c r="V506" s="106">
        <v>26978995.141015101</v>
      </c>
      <c r="W506" s="106">
        <v>1</v>
      </c>
      <c r="X506" s="106">
        <v>1</v>
      </c>
      <c r="Y506" s="106">
        <v>1</v>
      </c>
      <c r="Z506" s="106">
        <v>1</v>
      </c>
      <c r="AA506" s="106">
        <v>6700000</v>
      </c>
      <c r="AB506" s="106">
        <v>6700000</v>
      </c>
      <c r="AC506" s="106">
        <v>6700000</v>
      </c>
      <c r="AD506" s="106">
        <v>6700000</v>
      </c>
      <c r="AE506" s="106">
        <v>26800000</v>
      </c>
      <c r="AF506" s="106">
        <v>26800000</v>
      </c>
      <c r="AH506" s="106">
        <v>501120</v>
      </c>
      <c r="AI506" s="106">
        <v>0.125</v>
      </c>
      <c r="AJ506" s="106">
        <v>13</v>
      </c>
      <c r="AK506" s="106">
        <v>5011.2</v>
      </c>
      <c r="AL506" s="106">
        <v>65145.599999999999</v>
      </c>
      <c r="AM506" s="106">
        <v>379994</v>
      </c>
      <c r="AN506" s="106">
        <v>379994</v>
      </c>
      <c r="AO506" s="106">
        <v>242358</v>
      </c>
      <c r="AP506" s="106" t="s">
        <v>1787</v>
      </c>
      <c r="AQ506" s="106" t="s">
        <v>1810</v>
      </c>
      <c r="AR506" s="106">
        <v>1300</v>
      </c>
      <c r="AS506" s="106">
        <v>0.25</v>
      </c>
      <c r="AT506" s="106">
        <v>0.25</v>
      </c>
      <c r="AY506" s="108">
        <v>0</v>
      </c>
      <c r="BD506" s="106">
        <v>0</v>
      </c>
      <c r="BY506" s="112" t="s">
        <v>1766</v>
      </c>
      <c r="BZ506" s="112" t="s">
        <v>1766</v>
      </c>
      <c r="CA506" s="112" t="s">
        <v>1766</v>
      </c>
      <c r="CB506" s="112" t="s">
        <v>1766</v>
      </c>
      <c r="CC506" s="112" t="s">
        <v>1766</v>
      </c>
      <c r="CD506" s="112" t="s">
        <v>1766</v>
      </c>
      <c r="CE506" s="112" t="s">
        <v>1766</v>
      </c>
      <c r="CF506" s="112" t="s">
        <v>1766</v>
      </c>
      <c r="CG506" s="112" t="s">
        <v>1766</v>
      </c>
      <c r="CH506" s="112" t="s">
        <v>1766</v>
      </c>
      <c r="CI506" s="112" t="s">
        <v>1766</v>
      </c>
      <c r="CJ506" s="112" t="s">
        <v>1766</v>
      </c>
      <c r="CK506" s="112" t="s">
        <v>1766</v>
      </c>
      <c r="CL506" s="112" t="s">
        <v>1766</v>
      </c>
      <c r="CM506" s="112" t="s">
        <v>1766</v>
      </c>
      <c r="CN506" s="112" t="s">
        <v>1766</v>
      </c>
      <c r="CO506" s="112" t="s">
        <v>1766</v>
      </c>
    </row>
    <row r="507" spans="1:93">
      <c r="A507" s="106" t="s">
        <v>605</v>
      </c>
      <c r="B507" s="106">
        <v>26</v>
      </c>
      <c r="C507" s="106">
        <v>2</v>
      </c>
      <c r="D507" s="106">
        <v>4</v>
      </c>
      <c r="E507" s="106">
        <v>1</v>
      </c>
      <c r="F507" s="106">
        <v>1</v>
      </c>
      <c r="G507" s="106" t="s">
        <v>66</v>
      </c>
      <c r="H507" s="106" t="s">
        <v>154</v>
      </c>
      <c r="I507" s="106">
        <v>201</v>
      </c>
      <c r="J507" s="106">
        <v>202</v>
      </c>
      <c r="K507" s="106" t="s">
        <v>1602</v>
      </c>
      <c r="L507" s="106" t="s">
        <v>1308</v>
      </c>
      <c r="M507" s="106" t="s">
        <v>1623</v>
      </c>
      <c r="N507" s="106">
        <v>30</v>
      </c>
      <c r="O507" s="106">
        <v>26</v>
      </c>
      <c r="T507" s="106" t="s">
        <v>1766</v>
      </c>
      <c r="V507" s="106">
        <v>34533113.780499302</v>
      </c>
      <c r="W507" s="106">
        <v>1</v>
      </c>
      <c r="X507" s="106">
        <v>1</v>
      </c>
      <c r="Y507" s="106">
        <v>1</v>
      </c>
      <c r="Z507" s="106">
        <v>1</v>
      </c>
      <c r="AA507" s="106">
        <v>8600000</v>
      </c>
      <c r="AB507" s="106">
        <v>8600000</v>
      </c>
      <c r="AC507" s="106">
        <v>8600000</v>
      </c>
      <c r="AD507" s="106">
        <v>8600000</v>
      </c>
      <c r="AE507" s="106">
        <v>34400000</v>
      </c>
      <c r="AF507" s="106">
        <v>34400000</v>
      </c>
      <c r="AH507" s="106">
        <v>622080</v>
      </c>
      <c r="AI507" s="106">
        <v>0.14499999999999999</v>
      </c>
      <c r="AJ507" s="106">
        <v>14</v>
      </c>
      <c r="AK507" s="106">
        <v>6220.8</v>
      </c>
      <c r="AL507" s="106">
        <v>87091.199999999997</v>
      </c>
      <c r="AM507" s="106">
        <v>455910</v>
      </c>
      <c r="AN507" s="106">
        <v>455910</v>
      </c>
      <c r="AO507" s="106">
        <v>311424</v>
      </c>
      <c r="AP507" s="106" t="s">
        <v>1787</v>
      </c>
      <c r="AQ507" s="106" t="s">
        <v>1810</v>
      </c>
      <c r="AR507" s="106">
        <v>1300</v>
      </c>
      <c r="AS507" s="106">
        <v>0.27</v>
      </c>
      <c r="AT507" s="106">
        <v>0.27</v>
      </c>
      <c r="AY507" s="108">
        <v>0</v>
      </c>
      <c r="BD507" s="106">
        <v>0</v>
      </c>
      <c r="BY507" s="112" t="s">
        <v>1766</v>
      </c>
      <c r="BZ507" s="112" t="s">
        <v>1766</v>
      </c>
      <c r="CA507" s="112" t="s">
        <v>1766</v>
      </c>
      <c r="CB507" s="112" t="s">
        <v>1766</v>
      </c>
      <c r="CC507" s="112" t="s">
        <v>1766</v>
      </c>
      <c r="CD507" s="112" t="s">
        <v>1766</v>
      </c>
      <c r="CE507" s="112" t="s">
        <v>1766</v>
      </c>
      <c r="CF507" s="112" t="s">
        <v>1766</v>
      </c>
      <c r="CG507" s="112" t="s">
        <v>1766</v>
      </c>
      <c r="CH507" s="112" t="s">
        <v>1766</v>
      </c>
      <c r="CI507" s="112" t="s">
        <v>1766</v>
      </c>
      <c r="CJ507" s="112" t="s">
        <v>1766</v>
      </c>
      <c r="CK507" s="112" t="s">
        <v>1766</v>
      </c>
      <c r="CL507" s="112" t="s">
        <v>1766</v>
      </c>
      <c r="CM507" s="112" t="s">
        <v>1766</v>
      </c>
      <c r="CN507" s="112" t="s">
        <v>1766</v>
      </c>
      <c r="CO507" s="112" t="s">
        <v>1766</v>
      </c>
    </row>
    <row r="508" spans="1:93">
      <c r="A508" s="106" t="s">
        <v>605</v>
      </c>
      <c r="B508" s="106">
        <v>27</v>
      </c>
      <c r="C508" s="106">
        <v>2</v>
      </c>
      <c r="D508" s="106">
        <v>4</v>
      </c>
      <c r="E508" s="106">
        <v>1</v>
      </c>
      <c r="F508" s="106">
        <v>1</v>
      </c>
      <c r="G508" s="106" t="s">
        <v>66</v>
      </c>
      <c r="H508" s="106" t="s">
        <v>154</v>
      </c>
      <c r="I508" s="106">
        <v>201</v>
      </c>
      <c r="J508" s="106">
        <v>202</v>
      </c>
      <c r="K508" s="106" t="s">
        <v>1602</v>
      </c>
      <c r="L508" s="106" t="s">
        <v>1311</v>
      </c>
      <c r="M508" s="106" t="s">
        <v>1624</v>
      </c>
      <c r="N508" s="106">
        <v>30</v>
      </c>
      <c r="O508" s="106">
        <v>27</v>
      </c>
      <c r="T508" s="106" t="s">
        <v>1766</v>
      </c>
      <c r="V508" s="106">
        <v>44202385.639039099</v>
      </c>
      <c r="W508" s="106">
        <v>1</v>
      </c>
      <c r="X508" s="106">
        <v>1</v>
      </c>
      <c r="Y508" s="106">
        <v>1</v>
      </c>
      <c r="Z508" s="106">
        <v>1</v>
      </c>
      <c r="AA508" s="106">
        <v>11000000</v>
      </c>
      <c r="AB508" s="106">
        <v>11000000</v>
      </c>
      <c r="AC508" s="106">
        <v>11000000</v>
      </c>
      <c r="AD508" s="106">
        <v>11000000</v>
      </c>
      <c r="AE508" s="106">
        <v>44000000</v>
      </c>
      <c r="AF508" s="106">
        <v>44000000</v>
      </c>
      <c r="AH508" s="106">
        <v>760320</v>
      </c>
      <c r="AI508" s="106">
        <v>0.16500000000000001</v>
      </c>
      <c r="AJ508" s="106">
        <v>15</v>
      </c>
      <c r="AK508" s="106">
        <v>7603.2</v>
      </c>
      <c r="AL508" s="106">
        <v>114048</v>
      </c>
      <c r="AM508" s="106">
        <v>538287</v>
      </c>
      <c r="AN508" s="106">
        <v>538287</v>
      </c>
      <c r="AO508" s="106">
        <v>399829</v>
      </c>
      <c r="AP508" s="106" t="s">
        <v>1787</v>
      </c>
      <c r="AQ508" s="106" t="s">
        <v>1810</v>
      </c>
      <c r="AR508" s="106">
        <v>1300</v>
      </c>
      <c r="AS508" s="106">
        <v>0.28999999999999998</v>
      </c>
      <c r="AT508" s="106">
        <v>0.28999999999999998</v>
      </c>
      <c r="AY508" s="108">
        <v>0</v>
      </c>
      <c r="BD508" s="106">
        <v>0</v>
      </c>
      <c r="BY508" s="112" t="s">
        <v>1766</v>
      </c>
      <c r="BZ508" s="112" t="s">
        <v>1766</v>
      </c>
      <c r="CA508" s="112" t="s">
        <v>1766</v>
      </c>
      <c r="CB508" s="112" t="s">
        <v>1766</v>
      </c>
      <c r="CC508" s="112" t="s">
        <v>1766</v>
      </c>
      <c r="CD508" s="112" t="s">
        <v>1766</v>
      </c>
      <c r="CE508" s="112" t="s">
        <v>1766</v>
      </c>
      <c r="CF508" s="112" t="s">
        <v>1766</v>
      </c>
      <c r="CG508" s="112" t="s">
        <v>1766</v>
      </c>
      <c r="CH508" s="112" t="s">
        <v>1766</v>
      </c>
      <c r="CI508" s="112" t="s">
        <v>1766</v>
      </c>
      <c r="CJ508" s="112" t="s">
        <v>1766</v>
      </c>
      <c r="CK508" s="112" t="s">
        <v>1766</v>
      </c>
      <c r="CL508" s="112" t="s">
        <v>1766</v>
      </c>
      <c r="CM508" s="112" t="s">
        <v>1766</v>
      </c>
      <c r="CN508" s="112" t="s">
        <v>1766</v>
      </c>
      <c r="CO508" s="112" t="s">
        <v>1766</v>
      </c>
    </row>
    <row r="509" spans="1:93">
      <c r="A509" s="106" t="s">
        <v>605</v>
      </c>
      <c r="B509" s="106">
        <v>28</v>
      </c>
      <c r="C509" s="106">
        <v>2</v>
      </c>
      <c r="D509" s="106">
        <v>4</v>
      </c>
      <c r="E509" s="106">
        <v>1</v>
      </c>
      <c r="F509" s="106">
        <v>1</v>
      </c>
      <c r="G509" s="106" t="s">
        <v>66</v>
      </c>
      <c r="H509" s="106" t="s">
        <v>154</v>
      </c>
      <c r="I509" s="106">
        <v>201</v>
      </c>
      <c r="J509" s="106">
        <v>202</v>
      </c>
      <c r="K509" s="106" t="s">
        <v>1602</v>
      </c>
      <c r="L509" s="106" t="s">
        <v>1314</v>
      </c>
      <c r="M509" s="106" t="s">
        <v>1625</v>
      </c>
      <c r="N509" s="106">
        <v>30</v>
      </c>
      <c r="O509" s="106">
        <v>28</v>
      </c>
      <c r="T509" s="106" t="s">
        <v>1766</v>
      </c>
      <c r="V509" s="106">
        <v>56579053.617970102</v>
      </c>
      <c r="W509" s="106">
        <v>1</v>
      </c>
      <c r="X509" s="106">
        <v>1</v>
      </c>
      <c r="Y509" s="106">
        <v>1</v>
      </c>
      <c r="Z509" s="106">
        <v>1</v>
      </c>
      <c r="AA509" s="106">
        <v>14000000</v>
      </c>
      <c r="AB509" s="106">
        <v>14000000</v>
      </c>
      <c r="AC509" s="106">
        <v>14000000</v>
      </c>
      <c r="AD509" s="106">
        <v>14000000</v>
      </c>
      <c r="AE509" s="106">
        <v>56000000</v>
      </c>
      <c r="AF509" s="106">
        <v>56000000</v>
      </c>
      <c r="AH509" s="106">
        <v>933120</v>
      </c>
      <c r="AI509" s="106">
        <v>0.185</v>
      </c>
      <c r="AJ509" s="106">
        <v>16</v>
      </c>
      <c r="AK509" s="106">
        <v>9331.2000000000007</v>
      </c>
      <c r="AL509" s="106">
        <v>149299.20000000001</v>
      </c>
      <c r="AM509" s="106">
        <v>637843</v>
      </c>
      <c r="AN509" s="106">
        <v>637843</v>
      </c>
      <c r="AO509" s="106">
        <v>512987</v>
      </c>
      <c r="AP509" s="106" t="s">
        <v>1787</v>
      </c>
      <c r="AQ509" s="106" t="s">
        <v>1810</v>
      </c>
      <c r="AR509" s="106">
        <v>1300</v>
      </c>
      <c r="AS509" s="106">
        <v>0.31</v>
      </c>
      <c r="AT509" s="106">
        <v>0.31</v>
      </c>
      <c r="AY509" s="108">
        <v>0</v>
      </c>
      <c r="BD509" s="106">
        <v>0</v>
      </c>
      <c r="BY509" s="112" t="s">
        <v>1766</v>
      </c>
      <c r="BZ509" s="112" t="s">
        <v>1766</v>
      </c>
      <c r="CA509" s="112" t="s">
        <v>1766</v>
      </c>
      <c r="CB509" s="112" t="s">
        <v>1766</v>
      </c>
      <c r="CC509" s="112" t="s">
        <v>1766</v>
      </c>
      <c r="CD509" s="112" t="s">
        <v>1766</v>
      </c>
      <c r="CE509" s="112" t="s">
        <v>1766</v>
      </c>
      <c r="CF509" s="112" t="s">
        <v>1766</v>
      </c>
      <c r="CG509" s="112" t="s">
        <v>1766</v>
      </c>
      <c r="CH509" s="112" t="s">
        <v>1766</v>
      </c>
      <c r="CI509" s="112" t="s">
        <v>1766</v>
      </c>
      <c r="CJ509" s="112" t="s">
        <v>1766</v>
      </c>
      <c r="CK509" s="112" t="s">
        <v>1766</v>
      </c>
      <c r="CL509" s="112" t="s">
        <v>1766</v>
      </c>
      <c r="CM509" s="112" t="s">
        <v>1766</v>
      </c>
      <c r="CN509" s="112" t="s">
        <v>1766</v>
      </c>
      <c r="CO509" s="112" t="s">
        <v>1766</v>
      </c>
    </row>
    <row r="510" spans="1:93">
      <c r="A510" s="106" t="s">
        <v>605</v>
      </c>
      <c r="B510" s="106">
        <v>29</v>
      </c>
      <c r="C510" s="106">
        <v>2</v>
      </c>
      <c r="D510" s="106">
        <v>4</v>
      </c>
      <c r="E510" s="106">
        <v>1</v>
      </c>
      <c r="F510" s="106">
        <v>1</v>
      </c>
      <c r="G510" s="106" t="s">
        <v>66</v>
      </c>
      <c r="H510" s="106" t="s">
        <v>154</v>
      </c>
      <c r="I510" s="106">
        <v>201</v>
      </c>
      <c r="J510" s="106">
        <v>202</v>
      </c>
      <c r="K510" s="106" t="s">
        <v>1602</v>
      </c>
      <c r="L510" s="106" t="s">
        <v>1317</v>
      </c>
      <c r="M510" s="106" t="s">
        <v>1626</v>
      </c>
      <c r="N510" s="106">
        <v>30</v>
      </c>
      <c r="O510" s="106">
        <v>29</v>
      </c>
      <c r="T510" s="106" t="s">
        <v>1766</v>
      </c>
      <c r="V510" s="106">
        <v>72421188.631001696</v>
      </c>
      <c r="W510" s="106">
        <v>1</v>
      </c>
      <c r="X510" s="106">
        <v>1</v>
      </c>
      <c r="Y510" s="106">
        <v>1</v>
      </c>
      <c r="Z510" s="106">
        <v>1</v>
      </c>
      <c r="AA510" s="106">
        <v>18000000</v>
      </c>
      <c r="AB510" s="106">
        <v>18000000</v>
      </c>
      <c r="AC510" s="106">
        <v>18000000</v>
      </c>
      <c r="AD510" s="106">
        <v>18000000</v>
      </c>
      <c r="AE510" s="106">
        <v>72000000</v>
      </c>
      <c r="AF510" s="106">
        <v>72000000</v>
      </c>
      <c r="AH510" s="106">
        <v>1140480</v>
      </c>
      <c r="AI510" s="106">
        <v>0.20499999999999999</v>
      </c>
      <c r="AJ510" s="106">
        <v>17</v>
      </c>
      <c r="AK510" s="106">
        <v>11404.8</v>
      </c>
      <c r="AL510" s="106">
        <v>193881.60000000001</v>
      </c>
      <c r="AM510" s="106">
        <v>752274</v>
      </c>
      <c r="AN510" s="106">
        <v>752274</v>
      </c>
      <c r="AO510" s="106">
        <v>657829</v>
      </c>
      <c r="AP510" s="106" t="s">
        <v>1787</v>
      </c>
      <c r="AQ510" s="106" t="s">
        <v>1810</v>
      </c>
      <c r="AR510" s="106">
        <v>1300</v>
      </c>
      <c r="AS510" s="106">
        <v>0.33</v>
      </c>
      <c r="AT510" s="106">
        <v>0.33</v>
      </c>
      <c r="AY510" s="108">
        <v>0</v>
      </c>
      <c r="BD510" s="106">
        <v>0</v>
      </c>
      <c r="BY510" s="112" t="s">
        <v>1766</v>
      </c>
      <c r="BZ510" s="112" t="s">
        <v>1766</v>
      </c>
      <c r="CA510" s="112" t="s">
        <v>1766</v>
      </c>
      <c r="CB510" s="112" t="s">
        <v>1766</v>
      </c>
      <c r="CC510" s="112" t="s">
        <v>1766</v>
      </c>
      <c r="CD510" s="112" t="s">
        <v>1766</v>
      </c>
      <c r="CE510" s="112" t="s">
        <v>1766</v>
      </c>
      <c r="CF510" s="112" t="s">
        <v>1766</v>
      </c>
      <c r="CG510" s="112" t="s">
        <v>1766</v>
      </c>
      <c r="CH510" s="112" t="s">
        <v>1766</v>
      </c>
      <c r="CI510" s="112" t="s">
        <v>1766</v>
      </c>
      <c r="CJ510" s="112" t="s">
        <v>1766</v>
      </c>
      <c r="CK510" s="112" t="s">
        <v>1766</v>
      </c>
      <c r="CL510" s="112" t="s">
        <v>1766</v>
      </c>
      <c r="CM510" s="112" t="s">
        <v>1766</v>
      </c>
      <c r="CN510" s="112" t="s">
        <v>1766</v>
      </c>
      <c r="CO510" s="112" t="s">
        <v>1766</v>
      </c>
    </row>
    <row r="511" spans="1:93">
      <c r="A511" s="106" t="s">
        <v>605</v>
      </c>
      <c r="B511" s="106">
        <v>30</v>
      </c>
      <c r="C511" s="106">
        <v>2</v>
      </c>
      <c r="D511" s="106">
        <v>4</v>
      </c>
      <c r="E511" s="106">
        <v>1</v>
      </c>
      <c r="F511" s="106">
        <v>1</v>
      </c>
      <c r="G511" s="106" t="s">
        <v>66</v>
      </c>
      <c r="H511" s="106" t="s">
        <v>154</v>
      </c>
      <c r="I511" s="106">
        <v>201</v>
      </c>
      <c r="J511" s="106">
        <v>202</v>
      </c>
      <c r="K511" s="106" t="s">
        <v>1602</v>
      </c>
      <c r="L511" s="106" t="s">
        <v>1406</v>
      </c>
      <c r="M511" s="106" t="s">
        <v>1627</v>
      </c>
      <c r="O511" s="106">
        <v>30</v>
      </c>
      <c r="T511" s="106" t="s">
        <v>1766</v>
      </c>
      <c r="V511" s="106">
        <v>92699121.447682202</v>
      </c>
      <c r="W511" s="106">
        <v>1</v>
      </c>
      <c r="X511" s="106">
        <v>1</v>
      </c>
      <c r="Y511" s="106">
        <v>1</v>
      </c>
      <c r="Z511" s="106">
        <v>1</v>
      </c>
      <c r="AA511" s="106">
        <v>23000000</v>
      </c>
      <c r="AB511" s="106">
        <v>23000000</v>
      </c>
      <c r="AC511" s="106">
        <v>23000000</v>
      </c>
      <c r="AD511" s="106">
        <v>23000000</v>
      </c>
      <c r="AE511" s="106">
        <v>92000000</v>
      </c>
      <c r="AF511" s="106">
        <v>92000000</v>
      </c>
      <c r="AH511" s="106">
        <v>1382400</v>
      </c>
      <c r="AI511" s="106">
        <v>0.22500000000000001</v>
      </c>
      <c r="AJ511" s="106">
        <v>18</v>
      </c>
      <c r="AK511" s="106">
        <v>13824</v>
      </c>
      <c r="AL511" s="106">
        <v>248832</v>
      </c>
      <c r="AM511" s="106">
        <v>879357</v>
      </c>
      <c r="AN511" s="106">
        <v>879357</v>
      </c>
      <c r="AO511" s="106">
        <v>843227</v>
      </c>
      <c r="AP511" s="106" t="s">
        <v>1787</v>
      </c>
      <c r="AQ511" s="106" t="s">
        <v>1810</v>
      </c>
      <c r="AR511" s="106">
        <v>1300</v>
      </c>
      <c r="AS511" s="106">
        <v>0.35</v>
      </c>
      <c r="AT511" s="106">
        <v>0.35</v>
      </c>
      <c r="AY511" s="108">
        <v>0</v>
      </c>
      <c r="BD511" s="106">
        <v>0</v>
      </c>
      <c r="BY511" s="112" t="s">
        <v>1766</v>
      </c>
      <c r="BZ511" s="112" t="s">
        <v>1766</v>
      </c>
      <c r="CA511" s="112" t="s">
        <v>1766</v>
      </c>
      <c r="CB511" s="112" t="s">
        <v>1766</v>
      </c>
      <c r="CC511" s="112" t="s">
        <v>1766</v>
      </c>
      <c r="CD511" s="112" t="s">
        <v>1766</v>
      </c>
      <c r="CE511" s="112" t="s">
        <v>1766</v>
      </c>
      <c r="CF511" s="112" t="s">
        <v>1766</v>
      </c>
      <c r="CG511" s="112" t="s">
        <v>1766</v>
      </c>
      <c r="CH511" s="112" t="s">
        <v>1766</v>
      </c>
      <c r="CI511" s="112" t="s">
        <v>1766</v>
      </c>
      <c r="CJ511" s="112" t="s">
        <v>1766</v>
      </c>
      <c r="CK511" s="112" t="s">
        <v>1766</v>
      </c>
      <c r="CL511" s="112" t="s">
        <v>1766</v>
      </c>
      <c r="CM511" s="112" t="s">
        <v>1766</v>
      </c>
      <c r="CN511" s="112" t="s">
        <v>1766</v>
      </c>
      <c r="CO511" s="112" t="s">
        <v>1766</v>
      </c>
    </row>
    <row r="512" spans="1:93">
      <c r="A512" s="106" t="s">
        <v>591</v>
      </c>
      <c r="B512" s="106">
        <v>1</v>
      </c>
      <c r="C512" s="106">
        <v>2</v>
      </c>
      <c r="D512" s="106">
        <v>6</v>
      </c>
      <c r="E512" s="106">
        <v>1</v>
      </c>
      <c r="F512" s="106">
        <v>0</v>
      </c>
      <c r="G512" s="106" t="s">
        <v>66</v>
      </c>
      <c r="I512" s="106">
        <v>201</v>
      </c>
      <c r="J512" s="106" t="s">
        <v>1766</v>
      </c>
      <c r="K512" s="106" t="s">
        <v>1318</v>
      </c>
      <c r="L512" s="106" t="s">
        <v>1324</v>
      </c>
      <c r="M512" s="106" t="s">
        <v>592</v>
      </c>
      <c r="N512" s="106">
        <v>7</v>
      </c>
      <c r="O512" s="106">
        <v>7</v>
      </c>
      <c r="T512" s="106" t="s">
        <v>1766</v>
      </c>
      <c r="V512" s="106">
        <v>0</v>
      </c>
      <c r="W512" s="106">
        <v>0</v>
      </c>
      <c r="X512" s="106">
        <v>0</v>
      </c>
      <c r="Y512" s="106" t="s">
        <v>1766</v>
      </c>
      <c r="Z512" s="106" t="s">
        <v>1766</v>
      </c>
      <c r="AA512" s="106">
        <v>0</v>
      </c>
      <c r="AB512" s="106">
        <v>0</v>
      </c>
      <c r="AC512" s="106">
        <v>0</v>
      </c>
      <c r="AD512" s="106">
        <v>0</v>
      </c>
      <c r="AE512" s="106">
        <v>0</v>
      </c>
      <c r="AF512" s="106">
        <v>0</v>
      </c>
      <c r="AH512" s="106">
        <v>25</v>
      </c>
      <c r="AI512" s="106">
        <v>0</v>
      </c>
      <c r="AJ512" s="106">
        <v>0</v>
      </c>
      <c r="AK512" s="106">
        <v>120</v>
      </c>
      <c r="AL512" s="106">
        <v>0</v>
      </c>
      <c r="AM512" s="106">
        <v>1</v>
      </c>
      <c r="AN512" s="106">
        <v>1</v>
      </c>
      <c r="AO512" s="106">
        <v>2</v>
      </c>
      <c r="AP512" s="106" t="s">
        <v>1789</v>
      </c>
      <c r="AQ512" s="106" t="s">
        <v>1811</v>
      </c>
      <c r="AR512" s="106">
        <v>1328</v>
      </c>
      <c r="AS512" s="106">
        <v>0.7</v>
      </c>
      <c r="AT512" s="106">
        <v>0.7</v>
      </c>
      <c r="AU512" s="108" t="s">
        <v>1804</v>
      </c>
      <c r="AV512" s="108" t="s">
        <v>1812</v>
      </c>
      <c r="AW512" s="108">
        <v>1329</v>
      </c>
      <c r="AX512" s="108">
        <v>200000</v>
      </c>
      <c r="AY512" s="108">
        <v>200000</v>
      </c>
      <c r="BD512" s="106">
        <v>0</v>
      </c>
      <c r="BY512" s="112" t="s">
        <v>158</v>
      </c>
      <c r="BZ512" s="112" t="s">
        <v>1550</v>
      </c>
      <c r="CA512" s="112" t="s">
        <v>1788</v>
      </c>
      <c r="CB512" s="112" t="s">
        <v>1789</v>
      </c>
      <c r="CC512" s="112">
        <v>18</v>
      </c>
      <c r="CD512" s="112" t="s">
        <v>1803</v>
      </c>
      <c r="CE512" s="112" t="s">
        <v>1804</v>
      </c>
      <c r="CF512" s="112">
        <v>32</v>
      </c>
      <c r="CG512" s="112" t="s">
        <v>1766</v>
      </c>
      <c r="CH512" s="112" t="s">
        <v>1766</v>
      </c>
      <c r="CI512" s="112" t="s">
        <v>1766</v>
      </c>
      <c r="CJ512" s="112" t="s">
        <v>1766</v>
      </c>
      <c r="CK512" s="112" t="s">
        <v>1766</v>
      </c>
      <c r="CL512" s="112" t="s">
        <v>1766</v>
      </c>
      <c r="CM512" s="112" t="s">
        <v>1766</v>
      </c>
      <c r="CN512" s="112" t="s">
        <v>1766</v>
      </c>
      <c r="CO512" s="112" t="s">
        <v>1766</v>
      </c>
    </row>
    <row r="513" spans="1:93">
      <c r="A513" s="106" t="s">
        <v>591</v>
      </c>
      <c r="B513" s="106">
        <v>2</v>
      </c>
      <c r="C513" s="106">
        <v>2</v>
      </c>
      <c r="D513" s="106">
        <v>6</v>
      </c>
      <c r="E513" s="106">
        <v>1</v>
      </c>
      <c r="F513" s="106">
        <v>0</v>
      </c>
      <c r="G513" s="106" t="s">
        <v>66</v>
      </c>
      <c r="I513" s="106">
        <v>201</v>
      </c>
      <c r="J513" s="106" t="s">
        <v>1766</v>
      </c>
      <c r="K513" s="106" t="s">
        <v>1318</v>
      </c>
      <c r="L513" s="106" t="s">
        <v>1324</v>
      </c>
      <c r="M513" s="106" t="s">
        <v>1551</v>
      </c>
      <c r="N513" s="106">
        <v>7</v>
      </c>
      <c r="O513" s="106">
        <v>7</v>
      </c>
      <c r="T513" s="106" t="s">
        <v>1766</v>
      </c>
      <c r="V513" s="106">
        <v>2000</v>
      </c>
      <c r="W513" s="106">
        <v>1</v>
      </c>
      <c r="X513" s="106">
        <v>1</v>
      </c>
      <c r="Y513" s="106" t="s">
        <v>1766</v>
      </c>
      <c r="Z513" s="106" t="s">
        <v>1766</v>
      </c>
      <c r="AA513" s="106">
        <v>1000</v>
      </c>
      <c r="AB513" s="106">
        <v>1000</v>
      </c>
      <c r="AC513" s="106">
        <v>0</v>
      </c>
      <c r="AD513" s="106">
        <v>0</v>
      </c>
      <c r="AE513" s="106">
        <v>2000</v>
      </c>
      <c r="AF513" s="106">
        <v>2000</v>
      </c>
      <c r="AH513" s="106">
        <v>36</v>
      </c>
      <c r="AI513" s="106">
        <v>0</v>
      </c>
      <c r="AJ513" s="106">
        <v>0</v>
      </c>
      <c r="AK513" s="106">
        <v>120</v>
      </c>
      <c r="AL513" s="106">
        <v>0</v>
      </c>
      <c r="AM513" s="106">
        <v>1</v>
      </c>
      <c r="AN513" s="106">
        <v>1</v>
      </c>
      <c r="AO513" s="106">
        <v>6</v>
      </c>
      <c r="AP513" s="106" t="s">
        <v>1789</v>
      </c>
      <c r="AQ513" s="106" t="s">
        <v>1811</v>
      </c>
      <c r="AR513" s="106">
        <v>1328</v>
      </c>
      <c r="AS513" s="106">
        <v>0.70899999999999996</v>
      </c>
      <c r="AT513" s="106">
        <v>0.70899999999999996</v>
      </c>
      <c r="AU513" s="108" t="s">
        <v>1804</v>
      </c>
      <c r="AV513" s="108" t="s">
        <v>1812</v>
      </c>
      <c r="AW513" s="108">
        <v>1329</v>
      </c>
      <c r="AX513" s="108">
        <v>240000</v>
      </c>
      <c r="AY513" s="108">
        <v>240000</v>
      </c>
      <c r="BD513" s="106">
        <v>0</v>
      </c>
      <c r="BY513" s="112" t="s">
        <v>1766</v>
      </c>
      <c r="BZ513" s="112" t="s">
        <v>1766</v>
      </c>
      <c r="CA513" s="112" t="s">
        <v>1766</v>
      </c>
      <c r="CB513" s="112" t="s">
        <v>1766</v>
      </c>
      <c r="CC513" s="112" t="s">
        <v>1766</v>
      </c>
      <c r="CD513" s="112" t="s">
        <v>1766</v>
      </c>
      <c r="CE513" s="112" t="s">
        <v>1766</v>
      </c>
      <c r="CF513" s="112" t="s">
        <v>1766</v>
      </c>
      <c r="CG513" s="112" t="s">
        <v>1766</v>
      </c>
      <c r="CH513" s="112" t="s">
        <v>1766</v>
      </c>
      <c r="CI513" s="112" t="s">
        <v>1766</v>
      </c>
      <c r="CJ513" s="112" t="s">
        <v>1766</v>
      </c>
      <c r="CK513" s="112" t="s">
        <v>1766</v>
      </c>
      <c r="CL513" s="112" t="s">
        <v>1766</v>
      </c>
      <c r="CM513" s="112" t="s">
        <v>1766</v>
      </c>
      <c r="CN513" s="112" t="s">
        <v>1766</v>
      </c>
      <c r="CO513" s="112" t="s">
        <v>1766</v>
      </c>
    </row>
    <row r="514" spans="1:93">
      <c r="A514" s="106" t="s">
        <v>591</v>
      </c>
      <c r="B514" s="106">
        <v>3</v>
      </c>
      <c r="C514" s="106">
        <v>2</v>
      </c>
      <c r="D514" s="106">
        <v>6</v>
      </c>
      <c r="E514" s="106">
        <v>1</v>
      </c>
      <c r="F514" s="106">
        <v>0</v>
      </c>
      <c r="G514" s="106" t="s">
        <v>66</v>
      </c>
      <c r="I514" s="106">
        <v>201</v>
      </c>
      <c r="J514" s="106" t="s">
        <v>1766</v>
      </c>
      <c r="K514" s="106" t="s">
        <v>1318</v>
      </c>
      <c r="L514" s="106" t="s">
        <v>1324</v>
      </c>
      <c r="M514" s="106" t="s">
        <v>1552</v>
      </c>
      <c r="N514" s="106">
        <v>7</v>
      </c>
      <c r="O514" s="106">
        <v>7</v>
      </c>
      <c r="T514" s="106" t="s">
        <v>1766</v>
      </c>
      <c r="V514" s="106">
        <v>4000</v>
      </c>
      <c r="W514" s="106">
        <v>1</v>
      </c>
      <c r="X514" s="106">
        <v>1</v>
      </c>
      <c r="Y514" s="106" t="s">
        <v>1766</v>
      </c>
      <c r="Z514" s="106" t="s">
        <v>1766</v>
      </c>
      <c r="AA514" s="106">
        <v>2000</v>
      </c>
      <c r="AB514" s="106">
        <v>2000</v>
      </c>
      <c r="AC514" s="106">
        <v>0</v>
      </c>
      <c r="AD514" s="106">
        <v>0</v>
      </c>
      <c r="AE514" s="106">
        <v>4000</v>
      </c>
      <c r="AF514" s="106">
        <v>4000</v>
      </c>
      <c r="AH514" s="106">
        <v>72</v>
      </c>
      <c r="AI514" s="106">
        <v>0</v>
      </c>
      <c r="AJ514" s="106">
        <v>1</v>
      </c>
      <c r="AK514" s="106">
        <v>120</v>
      </c>
      <c r="AL514" s="106">
        <v>120</v>
      </c>
      <c r="AM514" s="106">
        <v>1</v>
      </c>
      <c r="AN514" s="106">
        <v>1</v>
      </c>
      <c r="AO514" s="106">
        <v>14</v>
      </c>
      <c r="AP514" s="106" t="s">
        <v>1789</v>
      </c>
      <c r="AQ514" s="106" t="s">
        <v>1811</v>
      </c>
      <c r="AR514" s="106">
        <v>1328</v>
      </c>
      <c r="AS514" s="106">
        <v>0.71799999999999997</v>
      </c>
      <c r="AT514" s="106">
        <v>0.71799999999999997</v>
      </c>
      <c r="AU514" s="108" t="s">
        <v>1804</v>
      </c>
      <c r="AV514" s="108" t="s">
        <v>1812</v>
      </c>
      <c r="AW514" s="108">
        <v>1329</v>
      </c>
      <c r="AX514" s="108">
        <v>280000</v>
      </c>
      <c r="AY514" s="108">
        <v>280000</v>
      </c>
      <c r="BD514" s="106">
        <v>0</v>
      </c>
      <c r="BY514" s="112" t="s">
        <v>1766</v>
      </c>
      <c r="BZ514" s="112" t="s">
        <v>1766</v>
      </c>
      <c r="CA514" s="112" t="s">
        <v>1766</v>
      </c>
      <c r="CB514" s="112" t="s">
        <v>1766</v>
      </c>
      <c r="CC514" s="112" t="s">
        <v>1766</v>
      </c>
      <c r="CD514" s="112" t="s">
        <v>1766</v>
      </c>
      <c r="CE514" s="112" t="s">
        <v>1766</v>
      </c>
      <c r="CF514" s="112" t="s">
        <v>1766</v>
      </c>
      <c r="CG514" s="112" t="s">
        <v>1766</v>
      </c>
      <c r="CH514" s="112" t="s">
        <v>1766</v>
      </c>
      <c r="CI514" s="112" t="s">
        <v>1766</v>
      </c>
      <c r="CJ514" s="112" t="s">
        <v>1766</v>
      </c>
      <c r="CK514" s="112" t="s">
        <v>1766</v>
      </c>
      <c r="CL514" s="112" t="s">
        <v>1766</v>
      </c>
      <c r="CM514" s="112" t="s">
        <v>1766</v>
      </c>
      <c r="CN514" s="112" t="s">
        <v>1766</v>
      </c>
      <c r="CO514" s="112" t="s">
        <v>1766</v>
      </c>
    </row>
    <row r="515" spans="1:93">
      <c r="A515" s="106" t="s">
        <v>591</v>
      </c>
      <c r="B515" s="106">
        <v>4</v>
      </c>
      <c r="C515" s="106">
        <v>2</v>
      </c>
      <c r="D515" s="106">
        <v>6</v>
      </c>
      <c r="E515" s="106">
        <v>1</v>
      </c>
      <c r="F515" s="106">
        <v>0</v>
      </c>
      <c r="G515" s="106" t="s">
        <v>66</v>
      </c>
      <c r="I515" s="106">
        <v>201</v>
      </c>
      <c r="J515" s="106" t="s">
        <v>1766</v>
      </c>
      <c r="K515" s="106" t="s">
        <v>1318</v>
      </c>
      <c r="L515" s="106" t="s">
        <v>1324</v>
      </c>
      <c r="M515" s="106" t="s">
        <v>1553</v>
      </c>
      <c r="N515" s="106">
        <v>7</v>
      </c>
      <c r="O515" s="106">
        <v>7</v>
      </c>
      <c r="T515" s="106" t="s">
        <v>1766</v>
      </c>
      <c r="V515" s="106">
        <v>8000</v>
      </c>
      <c r="W515" s="106">
        <v>1</v>
      </c>
      <c r="X515" s="106">
        <v>1</v>
      </c>
      <c r="Y515" s="106" t="s">
        <v>1766</v>
      </c>
      <c r="Z515" s="106" t="s">
        <v>1766</v>
      </c>
      <c r="AA515" s="106">
        <v>4000</v>
      </c>
      <c r="AB515" s="106">
        <v>4000</v>
      </c>
      <c r="AC515" s="106">
        <v>0</v>
      </c>
      <c r="AD515" s="106">
        <v>0</v>
      </c>
      <c r="AE515" s="106">
        <v>8000</v>
      </c>
      <c r="AF515" s="106">
        <v>8000</v>
      </c>
      <c r="AH515" s="106">
        <v>144</v>
      </c>
      <c r="AI515" s="106">
        <v>0</v>
      </c>
      <c r="AJ515" s="106">
        <v>1</v>
      </c>
      <c r="AK515" s="106">
        <v>120</v>
      </c>
      <c r="AL515" s="106">
        <v>120</v>
      </c>
      <c r="AM515" s="106">
        <v>1</v>
      </c>
      <c r="AN515" s="106">
        <v>1</v>
      </c>
      <c r="AO515" s="106">
        <v>30</v>
      </c>
      <c r="AP515" s="106" t="s">
        <v>1789</v>
      </c>
      <c r="AQ515" s="106" t="s">
        <v>1811</v>
      </c>
      <c r="AR515" s="106">
        <v>1328</v>
      </c>
      <c r="AS515" s="106">
        <v>0.72699999999999998</v>
      </c>
      <c r="AT515" s="106">
        <v>0.72699999999999998</v>
      </c>
      <c r="AU515" s="108" t="s">
        <v>1804</v>
      </c>
      <c r="AV515" s="108" t="s">
        <v>1812</v>
      </c>
      <c r="AW515" s="108">
        <v>1329</v>
      </c>
      <c r="AX515" s="108">
        <v>320000</v>
      </c>
      <c r="AY515" s="108">
        <v>320000</v>
      </c>
      <c r="BD515" s="106">
        <v>0</v>
      </c>
      <c r="BY515" s="112" t="s">
        <v>1766</v>
      </c>
      <c r="BZ515" s="112" t="s">
        <v>1766</v>
      </c>
      <c r="CA515" s="112" t="s">
        <v>1766</v>
      </c>
      <c r="CB515" s="112" t="s">
        <v>1766</v>
      </c>
      <c r="CC515" s="112" t="s">
        <v>1766</v>
      </c>
      <c r="CD515" s="112" t="s">
        <v>1766</v>
      </c>
      <c r="CE515" s="112" t="s">
        <v>1766</v>
      </c>
      <c r="CF515" s="112" t="s">
        <v>1766</v>
      </c>
      <c r="CG515" s="112" t="s">
        <v>1766</v>
      </c>
      <c r="CH515" s="112" t="s">
        <v>1766</v>
      </c>
      <c r="CI515" s="112" t="s">
        <v>1766</v>
      </c>
      <c r="CJ515" s="112" t="s">
        <v>1766</v>
      </c>
      <c r="CK515" s="112" t="s">
        <v>1766</v>
      </c>
      <c r="CL515" s="112" t="s">
        <v>1766</v>
      </c>
      <c r="CM515" s="112" t="s">
        <v>1766</v>
      </c>
      <c r="CN515" s="112" t="s">
        <v>1766</v>
      </c>
      <c r="CO515" s="112" t="s">
        <v>1766</v>
      </c>
    </row>
    <row r="516" spans="1:93">
      <c r="A516" s="106" t="s">
        <v>591</v>
      </c>
      <c r="B516" s="106">
        <v>5</v>
      </c>
      <c r="C516" s="106">
        <v>2</v>
      </c>
      <c r="D516" s="106">
        <v>6</v>
      </c>
      <c r="E516" s="106">
        <v>1</v>
      </c>
      <c r="F516" s="106">
        <v>0</v>
      </c>
      <c r="G516" s="106" t="s">
        <v>66</v>
      </c>
      <c r="H516" s="106" t="s">
        <v>1014</v>
      </c>
      <c r="I516" s="106">
        <v>201</v>
      </c>
      <c r="J516" s="106">
        <v>400</v>
      </c>
      <c r="K516" s="106" t="s">
        <v>1555</v>
      </c>
      <c r="L516" s="106" t="s">
        <v>1556</v>
      </c>
      <c r="M516" s="106" t="s">
        <v>1554</v>
      </c>
      <c r="N516" s="106">
        <v>7</v>
      </c>
      <c r="O516" s="106">
        <v>7</v>
      </c>
      <c r="T516" s="106" t="s">
        <v>1766</v>
      </c>
      <c r="V516" s="106">
        <v>15440</v>
      </c>
      <c r="W516" s="106">
        <v>1</v>
      </c>
      <c r="X516" s="106">
        <v>1</v>
      </c>
      <c r="Y516" s="106">
        <v>1</v>
      </c>
      <c r="Z516" s="106" t="s">
        <v>1766</v>
      </c>
      <c r="AA516" s="106">
        <v>5100</v>
      </c>
      <c r="AB516" s="106">
        <v>5100</v>
      </c>
      <c r="AC516" s="106">
        <v>5100</v>
      </c>
      <c r="AD516" s="106">
        <v>0</v>
      </c>
      <c r="AE516" s="106">
        <v>15300</v>
      </c>
      <c r="AF516" s="106">
        <v>15300</v>
      </c>
      <c r="AH516" s="106">
        <v>300</v>
      </c>
      <c r="AI516" s="106">
        <v>0</v>
      </c>
      <c r="AJ516" s="106">
        <v>2</v>
      </c>
      <c r="AK516" s="106">
        <v>120</v>
      </c>
      <c r="AL516" s="106">
        <v>240</v>
      </c>
      <c r="AM516" s="106">
        <v>1</v>
      </c>
      <c r="AN516" s="106">
        <v>1</v>
      </c>
      <c r="AO516" s="106">
        <v>60</v>
      </c>
      <c r="AP516" s="106" t="s">
        <v>1789</v>
      </c>
      <c r="AQ516" s="106" t="s">
        <v>1811</v>
      </c>
      <c r="AR516" s="106">
        <v>1328</v>
      </c>
      <c r="AS516" s="106">
        <v>0.73599999999999999</v>
      </c>
      <c r="AT516" s="106">
        <v>0.73599999999999999</v>
      </c>
      <c r="AU516" s="108" t="s">
        <v>1804</v>
      </c>
      <c r="AV516" s="108" t="s">
        <v>1812</v>
      </c>
      <c r="AW516" s="108">
        <v>1329</v>
      </c>
      <c r="AX516" s="108">
        <v>360000</v>
      </c>
      <c r="AY516" s="108">
        <v>360000</v>
      </c>
      <c r="BD516" s="106">
        <v>0</v>
      </c>
      <c r="BY516" s="112" t="s">
        <v>1766</v>
      </c>
      <c r="BZ516" s="112" t="s">
        <v>1766</v>
      </c>
      <c r="CA516" s="112" t="s">
        <v>1766</v>
      </c>
      <c r="CB516" s="112" t="s">
        <v>1766</v>
      </c>
      <c r="CC516" s="112" t="s">
        <v>1766</v>
      </c>
      <c r="CD516" s="112" t="s">
        <v>1766</v>
      </c>
      <c r="CE516" s="112" t="s">
        <v>1766</v>
      </c>
      <c r="CF516" s="112" t="s">
        <v>1766</v>
      </c>
      <c r="CG516" s="112" t="s">
        <v>1766</v>
      </c>
      <c r="CH516" s="112" t="s">
        <v>1766</v>
      </c>
      <c r="CI516" s="112" t="s">
        <v>1766</v>
      </c>
      <c r="CJ516" s="112" t="s">
        <v>1766</v>
      </c>
      <c r="CK516" s="112" t="s">
        <v>1766</v>
      </c>
      <c r="CL516" s="112" t="s">
        <v>1766</v>
      </c>
      <c r="CM516" s="112" t="s">
        <v>1766</v>
      </c>
      <c r="CN516" s="112" t="s">
        <v>1766</v>
      </c>
      <c r="CO516" s="112" t="s">
        <v>1766</v>
      </c>
    </row>
    <row r="517" spans="1:93">
      <c r="A517" s="106" t="s">
        <v>591</v>
      </c>
      <c r="B517" s="106">
        <v>6</v>
      </c>
      <c r="C517" s="106">
        <v>2</v>
      </c>
      <c r="D517" s="106">
        <v>6</v>
      </c>
      <c r="E517" s="106">
        <v>1</v>
      </c>
      <c r="F517" s="106">
        <v>1</v>
      </c>
      <c r="G517" s="106" t="s">
        <v>66</v>
      </c>
      <c r="H517" s="106" t="s">
        <v>1014</v>
      </c>
      <c r="I517" s="106">
        <v>201</v>
      </c>
      <c r="J517" s="106">
        <v>400</v>
      </c>
      <c r="K517" s="106" t="s">
        <v>1555</v>
      </c>
      <c r="L517" s="106" t="s">
        <v>1230</v>
      </c>
      <c r="M517" s="106" t="s">
        <v>1557</v>
      </c>
      <c r="N517" s="106">
        <v>7</v>
      </c>
      <c r="O517" s="106">
        <v>7</v>
      </c>
      <c r="T517" s="106" t="s">
        <v>1766</v>
      </c>
      <c r="V517" s="106">
        <v>28718.400000000001</v>
      </c>
      <c r="W517" s="106">
        <v>1</v>
      </c>
      <c r="X517" s="106">
        <v>1</v>
      </c>
      <c r="Y517" s="106">
        <v>1</v>
      </c>
      <c r="Z517" s="106" t="s">
        <v>1766</v>
      </c>
      <c r="AA517" s="106">
        <v>9600</v>
      </c>
      <c r="AB517" s="106">
        <v>9600</v>
      </c>
      <c r="AC517" s="106">
        <v>9600</v>
      </c>
      <c r="AD517" s="106">
        <v>0</v>
      </c>
      <c r="AE517" s="106">
        <v>28800</v>
      </c>
      <c r="AF517" s="106">
        <v>28800</v>
      </c>
      <c r="AH517" s="106">
        <v>540</v>
      </c>
      <c r="AI517" s="106">
        <v>0</v>
      </c>
      <c r="AJ517" s="106">
        <v>2</v>
      </c>
      <c r="AK517" s="106">
        <v>120</v>
      </c>
      <c r="AL517" s="106">
        <v>240</v>
      </c>
      <c r="AM517" s="106">
        <v>1</v>
      </c>
      <c r="AN517" s="106">
        <v>1</v>
      </c>
      <c r="AO517" s="106">
        <v>118</v>
      </c>
      <c r="AP517" s="106" t="s">
        <v>1789</v>
      </c>
      <c r="AQ517" s="106" t="s">
        <v>1811</v>
      </c>
      <c r="AR517" s="106">
        <v>1328</v>
      </c>
      <c r="AS517" s="106">
        <v>0.745</v>
      </c>
      <c r="AT517" s="106">
        <v>0.745</v>
      </c>
      <c r="AU517" s="108" t="s">
        <v>1804</v>
      </c>
      <c r="AV517" s="108" t="s">
        <v>1812</v>
      </c>
      <c r="AW517" s="108">
        <v>1329</v>
      </c>
      <c r="AX517" s="108">
        <v>400000</v>
      </c>
      <c r="AY517" s="108">
        <v>400000</v>
      </c>
      <c r="BD517" s="106">
        <v>0</v>
      </c>
      <c r="BY517" s="112" t="s">
        <v>1766</v>
      </c>
      <c r="BZ517" s="112" t="s">
        <v>1766</v>
      </c>
      <c r="CA517" s="112" t="s">
        <v>1766</v>
      </c>
      <c r="CB517" s="112" t="s">
        <v>1766</v>
      </c>
      <c r="CC517" s="112" t="s">
        <v>1766</v>
      </c>
      <c r="CD517" s="112" t="s">
        <v>1766</v>
      </c>
      <c r="CE517" s="112" t="s">
        <v>1766</v>
      </c>
      <c r="CF517" s="112" t="s">
        <v>1766</v>
      </c>
      <c r="CG517" s="112" t="s">
        <v>1766</v>
      </c>
      <c r="CH517" s="112" t="s">
        <v>1766</v>
      </c>
      <c r="CI517" s="112" t="s">
        <v>1766</v>
      </c>
      <c r="CJ517" s="112" t="s">
        <v>1766</v>
      </c>
      <c r="CK517" s="112" t="s">
        <v>1766</v>
      </c>
      <c r="CL517" s="112" t="s">
        <v>1766</v>
      </c>
      <c r="CM517" s="112" t="s">
        <v>1766</v>
      </c>
      <c r="CN517" s="112" t="s">
        <v>1766</v>
      </c>
      <c r="CO517" s="112" t="s">
        <v>1766</v>
      </c>
    </row>
    <row r="518" spans="1:93">
      <c r="A518" s="106" t="s">
        <v>591</v>
      </c>
      <c r="B518" s="106">
        <v>7</v>
      </c>
      <c r="C518" s="106">
        <v>2</v>
      </c>
      <c r="D518" s="106">
        <v>6</v>
      </c>
      <c r="E518" s="106">
        <v>1</v>
      </c>
      <c r="F518" s="106">
        <v>1</v>
      </c>
      <c r="G518" s="106" t="s">
        <v>66</v>
      </c>
      <c r="H518" s="106" t="s">
        <v>1014</v>
      </c>
      <c r="I518" s="106">
        <v>201</v>
      </c>
      <c r="J518" s="106">
        <v>400</v>
      </c>
      <c r="K518" s="106" t="s">
        <v>1555</v>
      </c>
      <c r="L518" s="106" t="s">
        <v>1234</v>
      </c>
      <c r="M518" s="106" t="s">
        <v>1558</v>
      </c>
      <c r="N518" s="106">
        <v>12</v>
      </c>
      <c r="O518" s="106">
        <v>12</v>
      </c>
      <c r="T518" s="106" t="s">
        <v>1766</v>
      </c>
      <c r="V518" s="106">
        <v>51405.936000000002</v>
      </c>
      <c r="W518" s="106">
        <v>1</v>
      </c>
      <c r="X518" s="106">
        <v>1</v>
      </c>
      <c r="Y518" s="106">
        <v>1</v>
      </c>
      <c r="Z518" s="106" t="s">
        <v>1766</v>
      </c>
      <c r="AA518" s="106">
        <v>17000</v>
      </c>
      <c r="AB518" s="106">
        <v>17000</v>
      </c>
      <c r="AC518" s="106">
        <v>17000</v>
      </c>
      <c r="AD518" s="106">
        <v>0</v>
      </c>
      <c r="AE518" s="106">
        <v>51000</v>
      </c>
      <c r="AF518" s="106">
        <v>51000</v>
      </c>
      <c r="AH518" s="106">
        <v>900</v>
      </c>
      <c r="AI518" s="106">
        <v>0</v>
      </c>
      <c r="AJ518" s="106">
        <v>3</v>
      </c>
      <c r="AK518" s="106">
        <v>120</v>
      </c>
      <c r="AL518" s="106">
        <v>360</v>
      </c>
      <c r="AM518" s="106">
        <v>240</v>
      </c>
      <c r="AN518" s="106">
        <v>240</v>
      </c>
      <c r="AO518" s="106">
        <v>221</v>
      </c>
      <c r="AP518" s="106" t="s">
        <v>1789</v>
      </c>
      <c r="AQ518" s="106" t="s">
        <v>1811</v>
      </c>
      <c r="AR518" s="106">
        <v>1328</v>
      </c>
      <c r="AS518" s="106">
        <v>0.754</v>
      </c>
      <c r="AT518" s="106">
        <v>0.754</v>
      </c>
      <c r="AU518" s="108" t="s">
        <v>1804</v>
      </c>
      <c r="AV518" s="108" t="s">
        <v>1812</v>
      </c>
      <c r="AW518" s="108">
        <v>1329</v>
      </c>
      <c r="AX518" s="108">
        <v>460000</v>
      </c>
      <c r="AY518" s="108">
        <v>460000</v>
      </c>
      <c r="BD518" s="106">
        <v>0</v>
      </c>
      <c r="BY518" s="112" t="s">
        <v>1766</v>
      </c>
      <c r="BZ518" s="112" t="s">
        <v>1766</v>
      </c>
      <c r="CA518" s="112" t="s">
        <v>1766</v>
      </c>
      <c r="CB518" s="112" t="s">
        <v>1766</v>
      </c>
      <c r="CC518" s="112" t="s">
        <v>1766</v>
      </c>
      <c r="CD518" s="112" t="s">
        <v>1766</v>
      </c>
      <c r="CE518" s="112" t="s">
        <v>1766</v>
      </c>
      <c r="CF518" s="112" t="s">
        <v>1766</v>
      </c>
      <c r="CG518" s="112" t="s">
        <v>1766</v>
      </c>
      <c r="CH518" s="112" t="s">
        <v>1766</v>
      </c>
      <c r="CI518" s="112" t="s">
        <v>1766</v>
      </c>
      <c r="CJ518" s="112" t="s">
        <v>1766</v>
      </c>
      <c r="CK518" s="112" t="s">
        <v>1766</v>
      </c>
      <c r="CL518" s="112" t="s">
        <v>1766</v>
      </c>
      <c r="CM518" s="112" t="s">
        <v>1766</v>
      </c>
      <c r="CN518" s="112" t="s">
        <v>1766</v>
      </c>
      <c r="CO518" s="112" t="s">
        <v>1766</v>
      </c>
    </row>
    <row r="519" spans="1:93">
      <c r="A519" s="106" t="s">
        <v>591</v>
      </c>
      <c r="B519" s="106">
        <v>8</v>
      </c>
      <c r="C519" s="106">
        <v>2</v>
      </c>
      <c r="D519" s="106">
        <v>6</v>
      </c>
      <c r="E519" s="106">
        <v>1</v>
      </c>
      <c r="F519" s="106">
        <v>1</v>
      </c>
      <c r="G519" s="106" t="s">
        <v>66</v>
      </c>
      <c r="H519" s="106" t="s">
        <v>1014</v>
      </c>
      <c r="I519" s="106">
        <v>201</v>
      </c>
      <c r="J519" s="106">
        <v>400</v>
      </c>
      <c r="K519" s="106" t="s">
        <v>1555</v>
      </c>
      <c r="L519" s="106" t="s">
        <v>1239</v>
      </c>
      <c r="M519" s="106" t="s">
        <v>1559</v>
      </c>
      <c r="N519" s="106">
        <v>12</v>
      </c>
      <c r="O519" s="106">
        <v>12</v>
      </c>
      <c r="T519" s="106" t="s">
        <v>1766</v>
      </c>
      <c r="V519" s="106">
        <v>88418.209919999994</v>
      </c>
      <c r="W519" s="106">
        <v>1</v>
      </c>
      <c r="X519" s="106">
        <v>1</v>
      </c>
      <c r="Y519" s="106">
        <v>1</v>
      </c>
      <c r="Z519" s="106" t="s">
        <v>1766</v>
      </c>
      <c r="AA519" s="106">
        <v>29000</v>
      </c>
      <c r="AB519" s="106">
        <v>29000</v>
      </c>
      <c r="AC519" s="106">
        <v>29000</v>
      </c>
      <c r="AD519" s="106">
        <v>0</v>
      </c>
      <c r="AE519" s="106">
        <v>87000</v>
      </c>
      <c r="AF519" s="106">
        <v>87000</v>
      </c>
      <c r="AH519" s="106">
        <v>1440</v>
      </c>
      <c r="AI519" s="106">
        <v>0</v>
      </c>
      <c r="AJ519" s="106">
        <v>3</v>
      </c>
      <c r="AK519" s="106">
        <v>120</v>
      </c>
      <c r="AL519" s="106">
        <v>360</v>
      </c>
      <c r="AM519" s="106">
        <v>780</v>
      </c>
      <c r="AN519" s="106">
        <v>780</v>
      </c>
      <c r="AO519" s="106">
        <v>397</v>
      </c>
      <c r="AP519" s="106" t="s">
        <v>1789</v>
      </c>
      <c r="AQ519" s="106" t="s">
        <v>1811</v>
      </c>
      <c r="AR519" s="106">
        <v>1328</v>
      </c>
      <c r="AS519" s="106">
        <v>0.76300000000000001</v>
      </c>
      <c r="AT519" s="106">
        <v>0.76300000000000001</v>
      </c>
      <c r="AU519" s="108" t="s">
        <v>1804</v>
      </c>
      <c r="AV519" s="108" t="s">
        <v>1812</v>
      </c>
      <c r="AW519" s="108">
        <v>1329</v>
      </c>
      <c r="AX519" s="108">
        <v>520000</v>
      </c>
      <c r="AY519" s="108">
        <v>520000</v>
      </c>
      <c r="BD519" s="106">
        <v>0</v>
      </c>
      <c r="BY519" s="112" t="s">
        <v>1766</v>
      </c>
      <c r="BZ519" s="112" t="s">
        <v>1766</v>
      </c>
      <c r="CA519" s="112" t="s">
        <v>1766</v>
      </c>
      <c r="CB519" s="112" t="s">
        <v>1766</v>
      </c>
      <c r="CC519" s="112" t="s">
        <v>1766</v>
      </c>
      <c r="CD519" s="112" t="s">
        <v>1766</v>
      </c>
      <c r="CE519" s="112" t="s">
        <v>1766</v>
      </c>
      <c r="CF519" s="112" t="s">
        <v>1766</v>
      </c>
      <c r="CG519" s="112" t="s">
        <v>1766</v>
      </c>
      <c r="CH519" s="112" t="s">
        <v>1766</v>
      </c>
      <c r="CI519" s="112" t="s">
        <v>1766</v>
      </c>
      <c r="CJ519" s="112" t="s">
        <v>1766</v>
      </c>
      <c r="CK519" s="112" t="s">
        <v>1766</v>
      </c>
      <c r="CL519" s="112" t="s">
        <v>1766</v>
      </c>
      <c r="CM519" s="112" t="s">
        <v>1766</v>
      </c>
      <c r="CN519" s="112" t="s">
        <v>1766</v>
      </c>
      <c r="CO519" s="112" t="s">
        <v>1766</v>
      </c>
    </row>
    <row r="520" spans="1:93">
      <c r="A520" s="106" t="s">
        <v>591</v>
      </c>
      <c r="B520" s="106">
        <v>9</v>
      </c>
      <c r="C520" s="106">
        <v>2</v>
      </c>
      <c r="D520" s="106">
        <v>6</v>
      </c>
      <c r="E520" s="106">
        <v>1</v>
      </c>
      <c r="F520" s="106">
        <v>1</v>
      </c>
      <c r="G520" s="106" t="s">
        <v>66</v>
      </c>
      <c r="H520" s="106" t="s">
        <v>1014</v>
      </c>
      <c r="I520" s="106">
        <v>201</v>
      </c>
      <c r="J520" s="106">
        <v>400</v>
      </c>
      <c r="K520" s="106" t="s">
        <v>1555</v>
      </c>
      <c r="L520" s="106" t="s">
        <v>1244</v>
      </c>
      <c r="M520" s="106" t="s">
        <v>1560</v>
      </c>
      <c r="N520" s="106">
        <v>12</v>
      </c>
      <c r="O520" s="106">
        <v>12</v>
      </c>
      <c r="T520" s="106" t="s">
        <v>1766</v>
      </c>
      <c r="V520" s="106">
        <v>145890.04636800001</v>
      </c>
      <c r="W520" s="106">
        <v>1</v>
      </c>
      <c r="X520" s="106">
        <v>1</v>
      </c>
      <c r="Y520" s="106">
        <v>1</v>
      </c>
      <c r="Z520" s="106" t="s">
        <v>1766</v>
      </c>
      <c r="AA520" s="106">
        <v>49000</v>
      </c>
      <c r="AB520" s="106">
        <v>49000</v>
      </c>
      <c r="AC520" s="106">
        <v>49000</v>
      </c>
      <c r="AD520" s="106">
        <v>0</v>
      </c>
      <c r="AE520" s="106">
        <v>147000</v>
      </c>
      <c r="AF520" s="106">
        <v>147000</v>
      </c>
      <c r="AH520" s="106">
        <v>2880</v>
      </c>
      <c r="AI520" s="106">
        <v>0</v>
      </c>
      <c r="AJ520" s="106">
        <v>4</v>
      </c>
      <c r="AK520" s="106">
        <v>120</v>
      </c>
      <c r="AL520" s="106">
        <v>480</v>
      </c>
      <c r="AM520" s="106">
        <v>2100</v>
      </c>
      <c r="AN520" s="106">
        <v>2100</v>
      </c>
      <c r="AO520" s="106">
        <v>689</v>
      </c>
      <c r="AP520" s="106" t="s">
        <v>1789</v>
      </c>
      <c r="AQ520" s="106" t="s">
        <v>1811</v>
      </c>
      <c r="AR520" s="106">
        <v>1328</v>
      </c>
      <c r="AS520" s="106">
        <v>0.77200000000000002</v>
      </c>
      <c r="AT520" s="106">
        <v>0.77200000000000002</v>
      </c>
      <c r="AU520" s="108" t="s">
        <v>1804</v>
      </c>
      <c r="AV520" s="108" t="s">
        <v>1812</v>
      </c>
      <c r="AW520" s="108">
        <v>1329</v>
      </c>
      <c r="AX520" s="108">
        <v>580000</v>
      </c>
      <c r="AY520" s="108">
        <v>580000</v>
      </c>
      <c r="BD520" s="106">
        <v>0</v>
      </c>
      <c r="BY520" s="112" t="s">
        <v>1766</v>
      </c>
      <c r="BZ520" s="112" t="s">
        <v>1766</v>
      </c>
      <c r="CA520" s="112" t="s">
        <v>1766</v>
      </c>
      <c r="CB520" s="112" t="s">
        <v>1766</v>
      </c>
      <c r="CC520" s="112" t="s">
        <v>1766</v>
      </c>
      <c r="CD520" s="112" t="s">
        <v>1766</v>
      </c>
      <c r="CE520" s="112" t="s">
        <v>1766</v>
      </c>
      <c r="CF520" s="112" t="s">
        <v>1766</v>
      </c>
      <c r="CG520" s="112" t="s">
        <v>1766</v>
      </c>
      <c r="CH520" s="112" t="s">
        <v>1766</v>
      </c>
      <c r="CI520" s="112" t="s">
        <v>1766</v>
      </c>
      <c r="CJ520" s="112" t="s">
        <v>1766</v>
      </c>
      <c r="CK520" s="112" t="s">
        <v>1766</v>
      </c>
      <c r="CL520" s="112" t="s">
        <v>1766</v>
      </c>
      <c r="CM520" s="112" t="s">
        <v>1766</v>
      </c>
      <c r="CN520" s="112" t="s">
        <v>1766</v>
      </c>
      <c r="CO520" s="112" t="s">
        <v>1766</v>
      </c>
    </row>
    <row r="521" spans="1:93">
      <c r="A521" s="106" t="s">
        <v>591</v>
      </c>
      <c r="B521" s="106">
        <v>10</v>
      </c>
      <c r="C521" s="106">
        <v>2</v>
      </c>
      <c r="D521" s="106">
        <v>6</v>
      </c>
      <c r="E521" s="106">
        <v>1</v>
      </c>
      <c r="F521" s="106">
        <v>1</v>
      </c>
      <c r="G521" s="106" t="s">
        <v>66</v>
      </c>
      <c r="H521" s="106" t="s">
        <v>1014</v>
      </c>
      <c r="I521" s="106">
        <v>201</v>
      </c>
      <c r="J521" s="106">
        <v>400</v>
      </c>
      <c r="K521" s="106" t="s">
        <v>1555</v>
      </c>
      <c r="L521" s="106" t="s">
        <v>1247</v>
      </c>
      <c r="M521" s="106" t="s">
        <v>1561</v>
      </c>
      <c r="N521" s="106">
        <v>12</v>
      </c>
      <c r="O521" s="106">
        <v>12</v>
      </c>
      <c r="T521" s="106" t="s">
        <v>1766</v>
      </c>
      <c r="V521" s="106">
        <v>230506.27326143999</v>
      </c>
      <c r="W521" s="106">
        <v>1</v>
      </c>
      <c r="X521" s="106">
        <v>1</v>
      </c>
      <c r="Y521" s="106">
        <v>1</v>
      </c>
      <c r="Z521" s="106">
        <v>3</v>
      </c>
      <c r="AA521" s="106">
        <v>38000</v>
      </c>
      <c r="AB521" s="106">
        <v>38000</v>
      </c>
      <c r="AC521" s="106">
        <v>38000</v>
      </c>
      <c r="AD521" s="106">
        <v>120000</v>
      </c>
      <c r="AE521" s="106">
        <v>234000</v>
      </c>
      <c r="AF521" s="106">
        <v>234000</v>
      </c>
      <c r="AH521" s="106">
        <v>4320</v>
      </c>
      <c r="AI521" s="106">
        <v>0.01</v>
      </c>
      <c r="AJ521" s="106">
        <v>4</v>
      </c>
      <c r="AK521" s="106">
        <v>120</v>
      </c>
      <c r="AL521" s="106">
        <v>480</v>
      </c>
      <c r="AM521" s="106">
        <v>3497</v>
      </c>
      <c r="AN521" s="106">
        <v>3497</v>
      </c>
      <c r="AO521" s="106">
        <v>1150</v>
      </c>
      <c r="AP521" s="106" t="s">
        <v>1789</v>
      </c>
      <c r="AQ521" s="106" t="s">
        <v>1811</v>
      </c>
      <c r="AR521" s="106">
        <v>1328</v>
      </c>
      <c r="AS521" s="106">
        <v>0.78200000000000003</v>
      </c>
      <c r="AT521" s="106">
        <v>0.78200000000000003</v>
      </c>
      <c r="AU521" s="108" t="s">
        <v>1804</v>
      </c>
      <c r="AV521" s="108" t="s">
        <v>1812</v>
      </c>
      <c r="AW521" s="108">
        <v>1329</v>
      </c>
      <c r="AX521" s="108">
        <v>640000</v>
      </c>
      <c r="AY521" s="108">
        <v>640000</v>
      </c>
      <c r="BD521" s="106">
        <v>0</v>
      </c>
      <c r="BY521" s="112" t="s">
        <v>1766</v>
      </c>
      <c r="BZ521" s="112" t="s">
        <v>1766</v>
      </c>
      <c r="CA521" s="112" t="s">
        <v>1766</v>
      </c>
      <c r="CB521" s="112" t="s">
        <v>1766</v>
      </c>
      <c r="CC521" s="112" t="s">
        <v>1766</v>
      </c>
      <c r="CD521" s="112" t="s">
        <v>1766</v>
      </c>
      <c r="CE521" s="112" t="s">
        <v>1766</v>
      </c>
      <c r="CF521" s="112" t="s">
        <v>1766</v>
      </c>
      <c r="CG521" s="112" t="s">
        <v>1766</v>
      </c>
      <c r="CH521" s="112" t="s">
        <v>1766</v>
      </c>
      <c r="CI521" s="112" t="s">
        <v>1766</v>
      </c>
      <c r="CJ521" s="112" t="s">
        <v>1766</v>
      </c>
      <c r="CK521" s="112" t="s">
        <v>1766</v>
      </c>
      <c r="CL521" s="112" t="s">
        <v>1766</v>
      </c>
      <c r="CM521" s="112" t="s">
        <v>1766</v>
      </c>
      <c r="CN521" s="112" t="s">
        <v>1766</v>
      </c>
      <c r="CO521" s="112" t="s">
        <v>1766</v>
      </c>
    </row>
    <row r="522" spans="1:93">
      <c r="A522" s="106" t="s">
        <v>591</v>
      </c>
      <c r="B522" s="106">
        <v>11</v>
      </c>
      <c r="C522" s="106">
        <v>2</v>
      </c>
      <c r="D522" s="106">
        <v>6</v>
      </c>
      <c r="E522" s="106">
        <v>1</v>
      </c>
      <c r="F522" s="106">
        <v>1</v>
      </c>
      <c r="G522" s="106" t="s">
        <v>66</v>
      </c>
      <c r="H522" s="106" t="s">
        <v>1014</v>
      </c>
      <c r="I522" s="106">
        <v>201</v>
      </c>
      <c r="J522" s="106">
        <v>400</v>
      </c>
      <c r="K522" s="106" t="s">
        <v>1555</v>
      </c>
      <c r="L522" s="106" t="s">
        <v>1252</v>
      </c>
      <c r="M522" s="106" t="s">
        <v>1562</v>
      </c>
      <c r="N522" s="106">
        <v>12</v>
      </c>
      <c r="O522" s="106">
        <v>12</v>
      </c>
      <c r="T522" s="106" t="s">
        <v>1766</v>
      </c>
      <c r="V522" s="106">
        <v>348064.47262477397</v>
      </c>
      <c r="W522" s="106">
        <v>1</v>
      </c>
      <c r="X522" s="106">
        <v>1</v>
      </c>
      <c r="Y522" s="106">
        <v>1</v>
      </c>
      <c r="Z522" s="106">
        <v>3</v>
      </c>
      <c r="AA522" s="106">
        <v>58000</v>
      </c>
      <c r="AB522" s="106">
        <v>58000</v>
      </c>
      <c r="AC522" s="106">
        <v>58000</v>
      </c>
      <c r="AD522" s="106">
        <v>170000</v>
      </c>
      <c r="AE522" s="106">
        <v>344000</v>
      </c>
      <c r="AF522" s="106">
        <v>344000</v>
      </c>
      <c r="AH522" s="106">
        <v>6480</v>
      </c>
      <c r="AI522" s="106">
        <v>0.02</v>
      </c>
      <c r="AJ522" s="106">
        <v>5</v>
      </c>
      <c r="AK522" s="106">
        <v>120</v>
      </c>
      <c r="AL522" s="106">
        <v>600</v>
      </c>
      <c r="AM522" s="106">
        <v>5452</v>
      </c>
      <c r="AN522" s="106">
        <v>5452</v>
      </c>
      <c r="AO522" s="106">
        <v>1846</v>
      </c>
      <c r="AP522" s="106" t="s">
        <v>1789</v>
      </c>
      <c r="AQ522" s="106" t="s">
        <v>1811</v>
      </c>
      <c r="AR522" s="106">
        <v>1328</v>
      </c>
      <c r="AS522" s="106">
        <v>0.79200000000000004</v>
      </c>
      <c r="AT522" s="106">
        <v>0.79200000000000004</v>
      </c>
      <c r="AU522" s="108" t="s">
        <v>1804</v>
      </c>
      <c r="AV522" s="108" t="s">
        <v>1812</v>
      </c>
      <c r="AW522" s="108">
        <v>1329</v>
      </c>
      <c r="AX522" s="108">
        <v>700000</v>
      </c>
      <c r="AY522" s="108">
        <v>700000</v>
      </c>
      <c r="BD522" s="106">
        <v>0</v>
      </c>
      <c r="BY522" s="112" t="s">
        <v>1766</v>
      </c>
      <c r="BZ522" s="112" t="s">
        <v>1766</v>
      </c>
      <c r="CA522" s="112" t="s">
        <v>1766</v>
      </c>
      <c r="CB522" s="112" t="s">
        <v>1766</v>
      </c>
      <c r="CC522" s="112" t="s">
        <v>1766</v>
      </c>
      <c r="CD522" s="112" t="s">
        <v>1766</v>
      </c>
      <c r="CE522" s="112" t="s">
        <v>1766</v>
      </c>
      <c r="CF522" s="112" t="s">
        <v>1766</v>
      </c>
      <c r="CG522" s="112" t="s">
        <v>1766</v>
      </c>
      <c r="CH522" s="112" t="s">
        <v>1766</v>
      </c>
      <c r="CI522" s="112" t="s">
        <v>1766</v>
      </c>
      <c r="CJ522" s="112" t="s">
        <v>1766</v>
      </c>
      <c r="CK522" s="112" t="s">
        <v>1766</v>
      </c>
      <c r="CL522" s="112" t="s">
        <v>1766</v>
      </c>
      <c r="CM522" s="112" t="s">
        <v>1766</v>
      </c>
      <c r="CN522" s="112" t="s">
        <v>1766</v>
      </c>
      <c r="CO522" s="112" t="s">
        <v>1766</v>
      </c>
    </row>
    <row r="523" spans="1:93">
      <c r="A523" s="106" t="s">
        <v>591</v>
      </c>
      <c r="B523" s="106">
        <v>12</v>
      </c>
      <c r="C523" s="106">
        <v>2</v>
      </c>
      <c r="D523" s="106">
        <v>6</v>
      </c>
      <c r="E523" s="106">
        <v>1</v>
      </c>
      <c r="F523" s="106">
        <v>1</v>
      </c>
      <c r="G523" s="106" t="s">
        <v>66</v>
      </c>
      <c r="H523" s="106" t="s">
        <v>1014</v>
      </c>
      <c r="I523" s="106">
        <v>201</v>
      </c>
      <c r="J523" s="106">
        <v>400</v>
      </c>
      <c r="K523" s="106" t="s">
        <v>1555</v>
      </c>
      <c r="L523" s="106" t="s">
        <v>1258</v>
      </c>
      <c r="M523" s="106" t="s">
        <v>1563</v>
      </c>
      <c r="N523" s="106">
        <v>17</v>
      </c>
      <c r="O523" s="106">
        <v>17</v>
      </c>
      <c r="T523" s="106" t="s">
        <v>1766</v>
      </c>
      <c r="V523" s="106">
        <v>501212.84057967499</v>
      </c>
      <c r="W523" s="106">
        <v>1</v>
      </c>
      <c r="X523" s="106">
        <v>1</v>
      </c>
      <c r="Y523" s="106">
        <v>1</v>
      </c>
      <c r="Z523" s="106">
        <v>3</v>
      </c>
      <c r="AA523" s="106">
        <v>84000</v>
      </c>
      <c r="AB523" s="106">
        <v>84000</v>
      </c>
      <c r="AC523" s="106">
        <v>84000</v>
      </c>
      <c r="AD523" s="106">
        <v>250000</v>
      </c>
      <c r="AE523" s="106">
        <v>502000</v>
      </c>
      <c r="AF523" s="106">
        <v>502000</v>
      </c>
      <c r="AH523" s="106">
        <v>8640</v>
      </c>
      <c r="AI523" s="106">
        <v>0.03</v>
      </c>
      <c r="AJ523" s="106">
        <v>5</v>
      </c>
      <c r="AK523" s="106">
        <v>120</v>
      </c>
      <c r="AL523" s="106">
        <v>600</v>
      </c>
      <c r="AM523" s="106">
        <v>7488</v>
      </c>
      <c r="AN523" s="106">
        <v>7488</v>
      </c>
      <c r="AO523" s="106">
        <v>2849</v>
      </c>
      <c r="AP523" s="106" t="s">
        <v>1789</v>
      </c>
      <c r="AQ523" s="106" t="s">
        <v>1811</v>
      </c>
      <c r="AR523" s="106">
        <v>1328</v>
      </c>
      <c r="AS523" s="106">
        <v>0.80200000000000005</v>
      </c>
      <c r="AT523" s="106">
        <v>0.80200000000000005</v>
      </c>
      <c r="AU523" s="108" t="s">
        <v>1804</v>
      </c>
      <c r="AV523" s="108" t="s">
        <v>1812</v>
      </c>
      <c r="AW523" s="108">
        <v>1329</v>
      </c>
      <c r="AX523" s="108">
        <v>780000</v>
      </c>
      <c r="AY523" s="108">
        <v>780000</v>
      </c>
      <c r="BD523" s="106">
        <v>0</v>
      </c>
      <c r="BY523" s="112" t="s">
        <v>1766</v>
      </c>
      <c r="BZ523" s="112" t="s">
        <v>1766</v>
      </c>
      <c r="CA523" s="112" t="s">
        <v>1766</v>
      </c>
      <c r="CB523" s="112" t="s">
        <v>1766</v>
      </c>
      <c r="CC523" s="112" t="s">
        <v>1766</v>
      </c>
      <c r="CD523" s="112" t="s">
        <v>1766</v>
      </c>
      <c r="CE523" s="112" t="s">
        <v>1766</v>
      </c>
      <c r="CF523" s="112" t="s">
        <v>1766</v>
      </c>
      <c r="CG523" s="112" t="s">
        <v>1766</v>
      </c>
      <c r="CH523" s="112" t="s">
        <v>1766</v>
      </c>
      <c r="CI523" s="112" t="s">
        <v>1766</v>
      </c>
      <c r="CJ523" s="112" t="s">
        <v>1766</v>
      </c>
      <c r="CK523" s="112" t="s">
        <v>1766</v>
      </c>
      <c r="CL523" s="112" t="s">
        <v>1766</v>
      </c>
      <c r="CM523" s="112" t="s">
        <v>1766</v>
      </c>
      <c r="CN523" s="112" t="s">
        <v>1766</v>
      </c>
      <c r="CO523" s="112" t="s">
        <v>1766</v>
      </c>
    </row>
    <row r="524" spans="1:93">
      <c r="A524" s="106" t="s">
        <v>591</v>
      </c>
      <c r="B524" s="106">
        <v>13</v>
      </c>
      <c r="C524" s="106">
        <v>2</v>
      </c>
      <c r="D524" s="106">
        <v>6</v>
      </c>
      <c r="E524" s="106">
        <v>1</v>
      </c>
      <c r="F524" s="106">
        <v>1</v>
      </c>
      <c r="G524" s="106" t="s">
        <v>66</v>
      </c>
      <c r="H524" s="106" t="s">
        <v>1014</v>
      </c>
      <c r="I524" s="106">
        <v>201</v>
      </c>
      <c r="J524" s="106">
        <v>400</v>
      </c>
      <c r="K524" s="106" t="s">
        <v>1555</v>
      </c>
      <c r="L524" s="106" t="s">
        <v>1262</v>
      </c>
      <c r="M524" s="106" t="s">
        <v>1564</v>
      </c>
      <c r="N524" s="106">
        <v>17</v>
      </c>
      <c r="O524" s="106">
        <v>17</v>
      </c>
      <c r="T524" s="106" t="s">
        <v>1766</v>
      </c>
      <c r="V524" s="106">
        <v>686661.59159415495</v>
      </c>
      <c r="W524" s="106">
        <v>1</v>
      </c>
      <c r="X524" s="106">
        <v>1</v>
      </c>
      <c r="Y524" s="106">
        <v>1</v>
      </c>
      <c r="Z524" s="106">
        <v>3</v>
      </c>
      <c r="AA524" s="106">
        <v>110000</v>
      </c>
      <c r="AB524" s="106">
        <v>110000</v>
      </c>
      <c r="AC524" s="106">
        <v>110000</v>
      </c>
      <c r="AD524" s="106">
        <v>340000</v>
      </c>
      <c r="AE524" s="106">
        <v>670000</v>
      </c>
      <c r="AF524" s="106">
        <v>670000</v>
      </c>
      <c r="AH524" s="106">
        <v>11520</v>
      </c>
      <c r="AI524" s="106">
        <v>0.04</v>
      </c>
      <c r="AJ524" s="106">
        <v>6</v>
      </c>
      <c r="AK524" s="106">
        <v>120</v>
      </c>
      <c r="AL524" s="106">
        <v>720</v>
      </c>
      <c r="AM524" s="106">
        <v>10056</v>
      </c>
      <c r="AN524" s="106">
        <v>10056</v>
      </c>
      <c r="AO524" s="106">
        <v>4222</v>
      </c>
      <c r="AP524" s="106" t="s">
        <v>1789</v>
      </c>
      <c r="AQ524" s="106" t="s">
        <v>1811</v>
      </c>
      <c r="AR524" s="106">
        <v>1328</v>
      </c>
      <c r="AS524" s="106">
        <v>0.81200000000000006</v>
      </c>
      <c r="AT524" s="106">
        <v>0.81200000000000006</v>
      </c>
      <c r="AU524" s="108" t="s">
        <v>1804</v>
      </c>
      <c r="AV524" s="108" t="s">
        <v>1812</v>
      </c>
      <c r="AW524" s="108">
        <v>1329</v>
      </c>
      <c r="AX524" s="108">
        <v>860000</v>
      </c>
      <c r="AY524" s="108">
        <v>860000</v>
      </c>
      <c r="BD524" s="106">
        <v>0</v>
      </c>
      <c r="BY524" s="112" t="s">
        <v>1766</v>
      </c>
      <c r="BZ524" s="112" t="s">
        <v>1766</v>
      </c>
      <c r="CA524" s="112" t="s">
        <v>1766</v>
      </c>
      <c r="CB524" s="112" t="s">
        <v>1766</v>
      </c>
      <c r="CC524" s="112" t="s">
        <v>1766</v>
      </c>
      <c r="CD524" s="112" t="s">
        <v>1766</v>
      </c>
      <c r="CE524" s="112" t="s">
        <v>1766</v>
      </c>
      <c r="CF524" s="112" t="s">
        <v>1766</v>
      </c>
      <c r="CG524" s="112" t="s">
        <v>1766</v>
      </c>
      <c r="CH524" s="112" t="s">
        <v>1766</v>
      </c>
      <c r="CI524" s="112" t="s">
        <v>1766</v>
      </c>
      <c r="CJ524" s="112" t="s">
        <v>1766</v>
      </c>
      <c r="CK524" s="112" t="s">
        <v>1766</v>
      </c>
      <c r="CL524" s="112" t="s">
        <v>1766</v>
      </c>
      <c r="CM524" s="112" t="s">
        <v>1766</v>
      </c>
      <c r="CN524" s="112" t="s">
        <v>1766</v>
      </c>
      <c r="CO524" s="112" t="s">
        <v>1766</v>
      </c>
    </row>
    <row r="525" spans="1:93">
      <c r="A525" s="106" t="s">
        <v>591</v>
      </c>
      <c r="B525" s="106">
        <v>14</v>
      </c>
      <c r="C525" s="106">
        <v>2</v>
      </c>
      <c r="D525" s="106">
        <v>6</v>
      </c>
      <c r="E525" s="106">
        <v>1</v>
      </c>
      <c r="F525" s="106">
        <v>1</v>
      </c>
      <c r="G525" s="106" t="s">
        <v>66</v>
      </c>
      <c r="H525" s="106" t="s">
        <v>1014</v>
      </c>
      <c r="I525" s="106">
        <v>201</v>
      </c>
      <c r="J525" s="106">
        <v>400</v>
      </c>
      <c r="K525" s="106" t="s">
        <v>1555</v>
      </c>
      <c r="L525" s="106" t="s">
        <v>1265</v>
      </c>
      <c r="M525" s="106" t="s">
        <v>1565</v>
      </c>
      <c r="N525" s="106">
        <v>17</v>
      </c>
      <c r="O525" s="106">
        <v>17</v>
      </c>
      <c r="T525" s="106" t="s">
        <v>1766</v>
      </c>
      <c r="V525" s="106">
        <v>892660.06907240103</v>
      </c>
      <c r="W525" s="106">
        <v>1</v>
      </c>
      <c r="X525" s="106">
        <v>1</v>
      </c>
      <c r="Y525" s="106">
        <v>1</v>
      </c>
      <c r="Z525" s="106">
        <v>3</v>
      </c>
      <c r="AA525" s="106">
        <v>150000</v>
      </c>
      <c r="AB525" s="106">
        <v>150000</v>
      </c>
      <c r="AC525" s="106">
        <v>150000</v>
      </c>
      <c r="AD525" s="106">
        <v>450000</v>
      </c>
      <c r="AE525" s="106">
        <v>900000</v>
      </c>
      <c r="AF525" s="106">
        <v>900000</v>
      </c>
      <c r="AH525" s="106">
        <v>14400</v>
      </c>
      <c r="AI525" s="106">
        <v>0.05</v>
      </c>
      <c r="AJ525" s="106">
        <v>6</v>
      </c>
      <c r="AK525" s="106">
        <v>144</v>
      </c>
      <c r="AL525" s="106">
        <v>864</v>
      </c>
      <c r="AM525" s="106">
        <v>12550</v>
      </c>
      <c r="AN525" s="106">
        <v>12550</v>
      </c>
      <c r="AO525" s="106">
        <v>6007</v>
      </c>
      <c r="AP525" s="106" t="s">
        <v>1789</v>
      </c>
      <c r="AQ525" s="106" t="s">
        <v>1811</v>
      </c>
      <c r="AR525" s="106">
        <v>1328</v>
      </c>
      <c r="AS525" s="106">
        <v>0.82199999999999995</v>
      </c>
      <c r="AT525" s="106">
        <v>0.82199999999999995</v>
      </c>
      <c r="AU525" s="108" t="s">
        <v>1804</v>
      </c>
      <c r="AV525" s="108" t="s">
        <v>1812</v>
      </c>
      <c r="AW525" s="108">
        <v>1329</v>
      </c>
      <c r="AX525" s="108">
        <v>940000</v>
      </c>
      <c r="AY525" s="108">
        <v>940000</v>
      </c>
      <c r="BD525" s="106">
        <v>0</v>
      </c>
      <c r="BY525" s="112" t="s">
        <v>1766</v>
      </c>
      <c r="BZ525" s="112" t="s">
        <v>1766</v>
      </c>
      <c r="CA525" s="112" t="s">
        <v>1766</v>
      </c>
      <c r="CB525" s="112" t="s">
        <v>1766</v>
      </c>
      <c r="CC525" s="112" t="s">
        <v>1766</v>
      </c>
      <c r="CD525" s="112" t="s">
        <v>1766</v>
      </c>
      <c r="CE525" s="112" t="s">
        <v>1766</v>
      </c>
      <c r="CF525" s="112" t="s">
        <v>1766</v>
      </c>
      <c r="CG525" s="112" t="s">
        <v>1766</v>
      </c>
      <c r="CH525" s="112" t="s">
        <v>1766</v>
      </c>
      <c r="CI525" s="112" t="s">
        <v>1766</v>
      </c>
      <c r="CJ525" s="112" t="s">
        <v>1766</v>
      </c>
      <c r="CK525" s="112" t="s">
        <v>1766</v>
      </c>
      <c r="CL525" s="112" t="s">
        <v>1766</v>
      </c>
      <c r="CM525" s="112" t="s">
        <v>1766</v>
      </c>
      <c r="CN525" s="112" t="s">
        <v>1766</v>
      </c>
      <c r="CO525" s="112" t="s">
        <v>1766</v>
      </c>
    </row>
    <row r="526" spans="1:93">
      <c r="A526" s="106" t="s">
        <v>591</v>
      </c>
      <c r="B526" s="106">
        <v>15</v>
      </c>
      <c r="C526" s="106">
        <v>2</v>
      </c>
      <c r="D526" s="106">
        <v>6</v>
      </c>
      <c r="E526" s="106">
        <v>1</v>
      </c>
      <c r="F526" s="106">
        <v>1</v>
      </c>
      <c r="G526" s="106" t="s">
        <v>66</v>
      </c>
      <c r="H526" s="106" t="s">
        <v>1014</v>
      </c>
      <c r="I526" s="106">
        <v>201</v>
      </c>
      <c r="J526" s="106">
        <v>400</v>
      </c>
      <c r="K526" s="106" t="s">
        <v>1555</v>
      </c>
      <c r="L526" s="106" t="s">
        <v>1269</v>
      </c>
      <c r="M526" s="106" t="s">
        <v>1566</v>
      </c>
      <c r="N526" s="106">
        <v>17</v>
      </c>
      <c r="O526" s="106">
        <v>17</v>
      </c>
      <c r="T526" s="106" t="s">
        <v>1766</v>
      </c>
      <c r="V526" s="106">
        <v>1142604.88841267</v>
      </c>
      <c r="W526" s="106">
        <v>1</v>
      </c>
      <c r="X526" s="106">
        <v>1</v>
      </c>
      <c r="Y526" s="106">
        <v>1</v>
      </c>
      <c r="Z526" s="106">
        <v>3</v>
      </c>
      <c r="AA526" s="106">
        <v>190000</v>
      </c>
      <c r="AB526" s="106">
        <v>190000</v>
      </c>
      <c r="AC526" s="106">
        <v>190000</v>
      </c>
      <c r="AD526" s="106">
        <v>570000</v>
      </c>
      <c r="AE526" s="106">
        <v>1140000</v>
      </c>
      <c r="AF526" s="106">
        <v>1140000</v>
      </c>
      <c r="AH526" s="106">
        <v>17280</v>
      </c>
      <c r="AI526" s="106">
        <v>0.05</v>
      </c>
      <c r="AJ526" s="106">
        <v>7</v>
      </c>
      <c r="AK526" s="106">
        <v>172.8</v>
      </c>
      <c r="AL526" s="106">
        <v>1209.5999999999999</v>
      </c>
      <c r="AM526" s="106">
        <v>14947</v>
      </c>
      <c r="AN526" s="106">
        <v>14947</v>
      </c>
      <c r="AO526" s="106">
        <v>8293</v>
      </c>
      <c r="AP526" s="106" t="s">
        <v>1789</v>
      </c>
      <c r="AQ526" s="106" t="s">
        <v>1811</v>
      </c>
      <c r="AR526" s="106">
        <v>1328</v>
      </c>
      <c r="AS526" s="106">
        <v>0.83199999999999996</v>
      </c>
      <c r="AT526" s="106">
        <v>0.83199999999999996</v>
      </c>
      <c r="AU526" s="108" t="s">
        <v>1804</v>
      </c>
      <c r="AV526" s="108" t="s">
        <v>1812</v>
      </c>
      <c r="AW526" s="108">
        <v>1329</v>
      </c>
      <c r="AX526" s="108">
        <v>1020000</v>
      </c>
      <c r="AY526" s="108">
        <v>1020000</v>
      </c>
      <c r="BD526" s="106">
        <v>0</v>
      </c>
      <c r="BY526" s="112" t="s">
        <v>1766</v>
      </c>
      <c r="BZ526" s="112" t="s">
        <v>1766</v>
      </c>
      <c r="CA526" s="112" t="s">
        <v>1766</v>
      </c>
      <c r="CB526" s="112" t="s">
        <v>1766</v>
      </c>
      <c r="CC526" s="112" t="s">
        <v>1766</v>
      </c>
      <c r="CD526" s="112" t="s">
        <v>1766</v>
      </c>
      <c r="CE526" s="112" t="s">
        <v>1766</v>
      </c>
      <c r="CF526" s="112" t="s">
        <v>1766</v>
      </c>
      <c r="CG526" s="112" t="s">
        <v>1766</v>
      </c>
      <c r="CH526" s="112" t="s">
        <v>1766</v>
      </c>
      <c r="CI526" s="112" t="s">
        <v>1766</v>
      </c>
      <c r="CJ526" s="112" t="s">
        <v>1766</v>
      </c>
      <c r="CK526" s="112" t="s">
        <v>1766</v>
      </c>
      <c r="CL526" s="112" t="s">
        <v>1766</v>
      </c>
      <c r="CM526" s="112" t="s">
        <v>1766</v>
      </c>
      <c r="CN526" s="112" t="s">
        <v>1766</v>
      </c>
      <c r="CO526" s="112" t="s">
        <v>1766</v>
      </c>
    </row>
    <row r="527" spans="1:93">
      <c r="A527" s="106" t="s">
        <v>591</v>
      </c>
      <c r="B527" s="106">
        <v>16</v>
      </c>
      <c r="C527" s="106">
        <v>2</v>
      </c>
      <c r="D527" s="106">
        <v>6</v>
      </c>
      <c r="E527" s="106">
        <v>1</v>
      </c>
      <c r="F527" s="106">
        <v>1</v>
      </c>
      <c r="G527" s="106" t="s">
        <v>66</v>
      </c>
      <c r="H527" s="106" t="s">
        <v>1014</v>
      </c>
      <c r="I527" s="106">
        <v>201</v>
      </c>
      <c r="J527" s="106">
        <v>400</v>
      </c>
      <c r="K527" s="106" t="s">
        <v>1555</v>
      </c>
      <c r="L527" s="106" t="s">
        <v>1272</v>
      </c>
      <c r="M527" s="106" t="s">
        <v>1567</v>
      </c>
      <c r="N527" s="106">
        <v>17</v>
      </c>
      <c r="O527" s="106">
        <v>17</v>
      </c>
      <c r="T527" s="106" t="s">
        <v>1766</v>
      </c>
      <c r="V527" s="106">
        <v>1462534.2571682199</v>
      </c>
      <c r="W527" s="106">
        <v>1</v>
      </c>
      <c r="X527" s="106">
        <v>1</v>
      </c>
      <c r="Y527" s="106">
        <v>1</v>
      </c>
      <c r="Z527" s="106">
        <v>3</v>
      </c>
      <c r="AA527" s="106">
        <v>240000</v>
      </c>
      <c r="AB527" s="106">
        <v>240000</v>
      </c>
      <c r="AC527" s="106">
        <v>240000</v>
      </c>
      <c r="AD527" s="106">
        <v>730000</v>
      </c>
      <c r="AE527" s="106">
        <v>1450000</v>
      </c>
      <c r="AF527" s="106">
        <v>1450000</v>
      </c>
      <c r="AH527" s="106">
        <v>21600</v>
      </c>
      <c r="AI527" s="106">
        <v>0.05</v>
      </c>
      <c r="AJ527" s="106">
        <v>7</v>
      </c>
      <c r="AK527" s="106">
        <v>216</v>
      </c>
      <c r="AL527" s="106">
        <v>1512</v>
      </c>
      <c r="AM527" s="106">
        <v>18759</v>
      </c>
      <c r="AN527" s="106">
        <v>18759</v>
      </c>
      <c r="AO527" s="106">
        <v>11218</v>
      </c>
      <c r="AP527" s="106" t="s">
        <v>1789</v>
      </c>
      <c r="AQ527" s="106" t="s">
        <v>1811</v>
      </c>
      <c r="AR527" s="106">
        <v>1328</v>
      </c>
      <c r="AS527" s="106">
        <v>0.84199999999999997</v>
      </c>
      <c r="AT527" s="106">
        <v>0.84199999999999997</v>
      </c>
      <c r="AU527" s="108" t="s">
        <v>1804</v>
      </c>
      <c r="AV527" s="108" t="s">
        <v>1812</v>
      </c>
      <c r="AW527" s="108">
        <v>1329</v>
      </c>
      <c r="AX527" s="108">
        <v>1100000</v>
      </c>
      <c r="AY527" s="108">
        <v>1100000</v>
      </c>
      <c r="BD527" s="106">
        <v>0</v>
      </c>
      <c r="BY527" s="112" t="s">
        <v>1766</v>
      </c>
      <c r="BZ527" s="112" t="s">
        <v>1766</v>
      </c>
      <c r="CA527" s="112" t="s">
        <v>1766</v>
      </c>
      <c r="CB527" s="112" t="s">
        <v>1766</v>
      </c>
      <c r="CC527" s="112" t="s">
        <v>1766</v>
      </c>
      <c r="CD527" s="112" t="s">
        <v>1766</v>
      </c>
      <c r="CE527" s="112" t="s">
        <v>1766</v>
      </c>
      <c r="CF527" s="112" t="s">
        <v>1766</v>
      </c>
      <c r="CG527" s="112" t="s">
        <v>1766</v>
      </c>
      <c r="CH527" s="112" t="s">
        <v>1766</v>
      </c>
      <c r="CI527" s="112" t="s">
        <v>1766</v>
      </c>
      <c r="CJ527" s="112" t="s">
        <v>1766</v>
      </c>
      <c r="CK527" s="112" t="s">
        <v>1766</v>
      </c>
      <c r="CL527" s="112" t="s">
        <v>1766</v>
      </c>
      <c r="CM527" s="112" t="s">
        <v>1766</v>
      </c>
      <c r="CN527" s="112" t="s">
        <v>1766</v>
      </c>
      <c r="CO527" s="112" t="s">
        <v>1766</v>
      </c>
    </row>
    <row r="528" spans="1:93">
      <c r="A528" s="106" t="s">
        <v>591</v>
      </c>
      <c r="B528" s="106">
        <v>17</v>
      </c>
      <c r="C528" s="106">
        <v>2</v>
      </c>
      <c r="D528" s="106">
        <v>6</v>
      </c>
      <c r="E528" s="106">
        <v>1</v>
      </c>
      <c r="F528" s="106">
        <v>1</v>
      </c>
      <c r="G528" s="106" t="s">
        <v>66</v>
      </c>
      <c r="H528" s="106" t="s">
        <v>1014</v>
      </c>
      <c r="I528" s="106">
        <v>201</v>
      </c>
      <c r="J528" s="106">
        <v>400</v>
      </c>
      <c r="K528" s="106" t="s">
        <v>1555</v>
      </c>
      <c r="L528" s="106" t="s">
        <v>1278</v>
      </c>
      <c r="M528" s="106" t="s">
        <v>1568</v>
      </c>
      <c r="N528" s="106">
        <v>22</v>
      </c>
      <c r="O528" s="106">
        <v>22</v>
      </c>
      <c r="T528" s="106" t="s">
        <v>1766</v>
      </c>
      <c r="V528" s="106">
        <v>1872043.84917532</v>
      </c>
      <c r="W528" s="106">
        <v>1</v>
      </c>
      <c r="X528" s="106">
        <v>1</v>
      </c>
      <c r="Y528" s="106">
        <v>1</v>
      </c>
      <c r="Z528" s="106">
        <v>3</v>
      </c>
      <c r="AA528" s="106">
        <v>310000</v>
      </c>
      <c r="AB528" s="106">
        <v>310000</v>
      </c>
      <c r="AC528" s="106">
        <v>310000</v>
      </c>
      <c r="AD528" s="106">
        <v>940000</v>
      </c>
      <c r="AE528" s="106">
        <v>1870000</v>
      </c>
      <c r="AF528" s="106">
        <v>1870000</v>
      </c>
      <c r="AH528" s="106">
        <v>28800</v>
      </c>
      <c r="AI528" s="106">
        <v>0.05</v>
      </c>
      <c r="AJ528" s="106">
        <v>8</v>
      </c>
      <c r="AK528" s="106">
        <v>288</v>
      </c>
      <c r="AL528" s="106">
        <v>2304</v>
      </c>
      <c r="AM528" s="106">
        <v>24824</v>
      </c>
      <c r="AN528" s="106">
        <v>24824</v>
      </c>
      <c r="AO528" s="106">
        <v>14962</v>
      </c>
      <c r="AP528" s="106" t="s">
        <v>1789</v>
      </c>
      <c r="AQ528" s="106" t="s">
        <v>1811</v>
      </c>
      <c r="AR528" s="106">
        <v>1328</v>
      </c>
      <c r="AS528" s="106">
        <v>0.85199999999999998</v>
      </c>
      <c r="AT528" s="106">
        <v>0.85199999999999998</v>
      </c>
      <c r="AU528" s="108" t="s">
        <v>1804</v>
      </c>
      <c r="AV528" s="108" t="s">
        <v>1812</v>
      </c>
      <c r="AW528" s="108">
        <v>1329</v>
      </c>
      <c r="AX528" s="108">
        <v>1200000</v>
      </c>
      <c r="AY528" s="108">
        <v>1200000</v>
      </c>
      <c r="BD528" s="106">
        <v>0</v>
      </c>
      <c r="BY528" s="112" t="s">
        <v>1766</v>
      </c>
      <c r="BZ528" s="112" t="s">
        <v>1766</v>
      </c>
      <c r="CA528" s="112" t="s">
        <v>1766</v>
      </c>
      <c r="CB528" s="112" t="s">
        <v>1766</v>
      </c>
      <c r="CC528" s="112" t="s">
        <v>1766</v>
      </c>
      <c r="CD528" s="112" t="s">
        <v>1766</v>
      </c>
      <c r="CE528" s="112" t="s">
        <v>1766</v>
      </c>
      <c r="CF528" s="112" t="s">
        <v>1766</v>
      </c>
      <c r="CG528" s="112" t="s">
        <v>1766</v>
      </c>
      <c r="CH528" s="112" t="s">
        <v>1766</v>
      </c>
      <c r="CI528" s="112" t="s">
        <v>1766</v>
      </c>
      <c r="CJ528" s="112" t="s">
        <v>1766</v>
      </c>
      <c r="CK528" s="112" t="s">
        <v>1766</v>
      </c>
      <c r="CL528" s="112" t="s">
        <v>1766</v>
      </c>
      <c r="CM528" s="112" t="s">
        <v>1766</v>
      </c>
      <c r="CN528" s="112" t="s">
        <v>1766</v>
      </c>
      <c r="CO528" s="112" t="s">
        <v>1766</v>
      </c>
    </row>
    <row r="529" spans="1:93">
      <c r="A529" s="106" t="s">
        <v>591</v>
      </c>
      <c r="B529" s="106">
        <v>18</v>
      </c>
      <c r="C529" s="106">
        <v>2</v>
      </c>
      <c r="D529" s="106">
        <v>6</v>
      </c>
      <c r="E529" s="106">
        <v>1</v>
      </c>
      <c r="F529" s="106">
        <v>1</v>
      </c>
      <c r="G529" s="106" t="s">
        <v>66</v>
      </c>
      <c r="H529" s="106" t="s">
        <v>1014</v>
      </c>
      <c r="I529" s="106">
        <v>201</v>
      </c>
      <c r="J529" s="106">
        <v>400</v>
      </c>
      <c r="K529" s="106" t="s">
        <v>1555</v>
      </c>
      <c r="L529" s="106" t="s">
        <v>1281</v>
      </c>
      <c r="M529" s="106" t="s">
        <v>1569</v>
      </c>
      <c r="N529" s="106">
        <v>22</v>
      </c>
      <c r="O529" s="106">
        <v>22</v>
      </c>
      <c r="T529" s="106" t="s">
        <v>1766</v>
      </c>
      <c r="V529" s="106">
        <v>2396216.1269444101</v>
      </c>
      <c r="W529" s="106">
        <v>1</v>
      </c>
      <c r="X529" s="106">
        <v>1</v>
      </c>
      <c r="Y529" s="106">
        <v>1</v>
      </c>
      <c r="Z529" s="106">
        <v>3</v>
      </c>
      <c r="AA529" s="106">
        <v>400000</v>
      </c>
      <c r="AB529" s="106">
        <v>400000</v>
      </c>
      <c r="AC529" s="106">
        <v>400000</v>
      </c>
      <c r="AD529" s="106">
        <v>1200000</v>
      </c>
      <c r="AE529" s="106">
        <v>2400000</v>
      </c>
      <c r="AF529" s="106">
        <v>2400000</v>
      </c>
      <c r="AH529" s="106">
        <v>37440</v>
      </c>
      <c r="AI529" s="106">
        <v>6.5000000000000002E-2</v>
      </c>
      <c r="AJ529" s="106">
        <v>8</v>
      </c>
      <c r="AK529" s="106">
        <v>374.4</v>
      </c>
      <c r="AL529" s="106">
        <v>2995.2</v>
      </c>
      <c r="AM529" s="106">
        <v>31859</v>
      </c>
      <c r="AN529" s="106">
        <v>31859</v>
      </c>
      <c r="AO529" s="106">
        <v>19754</v>
      </c>
      <c r="AP529" s="106" t="s">
        <v>1789</v>
      </c>
      <c r="AQ529" s="106" t="s">
        <v>1811</v>
      </c>
      <c r="AR529" s="106">
        <v>1328</v>
      </c>
      <c r="AS529" s="106">
        <v>0.86299999999999999</v>
      </c>
      <c r="AT529" s="106">
        <v>0.86299999999999999</v>
      </c>
      <c r="AU529" s="108" t="s">
        <v>1804</v>
      </c>
      <c r="AV529" s="108" t="s">
        <v>1812</v>
      </c>
      <c r="AW529" s="108">
        <v>1329</v>
      </c>
      <c r="AX529" s="108">
        <v>1300000</v>
      </c>
      <c r="AY529" s="108">
        <v>1300000</v>
      </c>
      <c r="BD529" s="106">
        <v>0</v>
      </c>
      <c r="BY529" s="112" t="s">
        <v>1766</v>
      </c>
      <c r="BZ529" s="112" t="s">
        <v>1766</v>
      </c>
      <c r="CA529" s="112" t="s">
        <v>1766</v>
      </c>
      <c r="CB529" s="112" t="s">
        <v>1766</v>
      </c>
      <c r="CC529" s="112" t="s">
        <v>1766</v>
      </c>
      <c r="CD529" s="112" t="s">
        <v>1766</v>
      </c>
      <c r="CE529" s="112" t="s">
        <v>1766</v>
      </c>
      <c r="CF529" s="112" t="s">
        <v>1766</v>
      </c>
      <c r="CG529" s="112" t="s">
        <v>1766</v>
      </c>
      <c r="CH529" s="112" t="s">
        <v>1766</v>
      </c>
      <c r="CI529" s="112" t="s">
        <v>1766</v>
      </c>
      <c r="CJ529" s="112" t="s">
        <v>1766</v>
      </c>
      <c r="CK529" s="112" t="s">
        <v>1766</v>
      </c>
      <c r="CL529" s="112" t="s">
        <v>1766</v>
      </c>
      <c r="CM529" s="112" t="s">
        <v>1766</v>
      </c>
      <c r="CN529" s="112" t="s">
        <v>1766</v>
      </c>
      <c r="CO529" s="112" t="s">
        <v>1766</v>
      </c>
    </row>
    <row r="530" spans="1:93">
      <c r="A530" s="106" t="s">
        <v>591</v>
      </c>
      <c r="B530" s="106">
        <v>19</v>
      </c>
      <c r="C530" s="106">
        <v>2</v>
      </c>
      <c r="D530" s="106">
        <v>6</v>
      </c>
      <c r="E530" s="106">
        <v>1</v>
      </c>
      <c r="F530" s="106">
        <v>1</v>
      </c>
      <c r="G530" s="106" t="s">
        <v>66</v>
      </c>
      <c r="H530" s="106" t="s">
        <v>1014</v>
      </c>
      <c r="I530" s="106">
        <v>201</v>
      </c>
      <c r="J530" s="106">
        <v>400</v>
      </c>
      <c r="K530" s="106" t="s">
        <v>1555</v>
      </c>
      <c r="L530" s="106" t="s">
        <v>1283</v>
      </c>
      <c r="M530" s="106" t="s">
        <v>1570</v>
      </c>
      <c r="N530" s="106">
        <v>22</v>
      </c>
      <c r="O530" s="106">
        <v>22</v>
      </c>
      <c r="T530" s="106" t="s">
        <v>1766</v>
      </c>
      <c r="V530" s="106">
        <v>3067156.6424888498</v>
      </c>
      <c r="W530" s="106">
        <v>1</v>
      </c>
      <c r="X530" s="106">
        <v>1</v>
      </c>
      <c r="Y530" s="106">
        <v>1</v>
      </c>
      <c r="Z530" s="106">
        <v>3</v>
      </c>
      <c r="AA530" s="106">
        <v>510000</v>
      </c>
      <c r="AB530" s="106">
        <v>510000</v>
      </c>
      <c r="AC530" s="106">
        <v>510000</v>
      </c>
      <c r="AD530" s="106">
        <v>1500000</v>
      </c>
      <c r="AE530" s="106">
        <v>3030000</v>
      </c>
      <c r="AF530" s="106">
        <v>3030000</v>
      </c>
      <c r="AH530" s="106">
        <v>48960</v>
      </c>
      <c r="AI530" s="106">
        <v>0.08</v>
      </c>
      <c r="AJ530" s="106">
        <v>9</v>
      </c>
      <c r="AK530" s="106">
        <v>489.6</v>
      </c>
      <c r="AL530" s="106">
        <v>4406.3999999999996</v>
      </c>
      <c r="AM530" s="106">
        <v>40626</v>
      </c>
      <c r="AN530" s="106">
        <v>40626</v>
      </c>
      <c r="AO530" s="106">
        <v>25889</v>
      </c>
      <c r="AP530" s="106" t="s">
        <v>1789</v>
      </c>
      <c r="AQ530" s="106" t="s">
        <v>1811</v>
      </c>
      <c r="AR530" s="106">
        <v>1328</v>
      </c>
      <c r="AS530" s="106">
        <v>0.874</v>
      </c>
      <c r="AT530" s="106">
        <v>0.874</v>
      </c>
      <c r="AU530" s="108" t="s">
        <v>1804</v>
      </c>
      <c r="AV530" s="108" t="s">
        <v>1812</v>
      </c>
      <c r="AW530" s="108">
        <v>1329</v>
      </c>
      <c r="AX530" s="108">
        <v>1400000</v>
      </c>
      <c r="AY530" s="108">
        <v>1400000</v>
      </c>
      <c r="BD530" s="106">
        <v>0</v>
      </c>
      <c r="BY530" s="112" t="s">
        <v>1766</v>
      </c>
      <c r="BZ530" s="112" t="s">
        <v>1766</v>
      </c>
      <c r="CA530" s="112" t="s">
        <v>1766</v>
      </c>
      <c r="CB530" s="112" t="s">
        <v>1766</v>
      </c>
      <c r="CC530" s="112" t="s">
        <v>1766</v>
      </c>
      <c r="CD530" s="112" t="s">
        <v>1766</v>
      </c>
      <c r="CE530" s="112" t="s">
        <v>1766</v>
      </c>
      <c r="CF530" s="112" t="s">
        <v>1766</v>
      </c>
      <c r="CG530" s="112" t="s">
        <v>1766</v>
      </c>
      <c r="CH530" s="112" t="s">
        <v>1766</v>
      </c>
      <c r="CI530" s="112" t="s">
        <v>1766</v>
      </c>
      <c r="CJ530" s="112" t="s">
        <v>1766</v>
      </c>
      <c r="CK530" s="112" t="s">
        <v>1766</v>
      </c>
      <c r="CL530" s="112" t="s">
        <v>1766</v>
      </c>
      <c r="CM530" s="112" t="s">
        <v>1766</v>
      </c>
      <c r="CN530" s="112" t="s">
        <v>1766</v>
      </c>
      <c r="CO530" s="112" t="s">
        <v>1766</v>
      </c>
    </row>
    <row r="531" spans="1:93">
      <c r="A531" s="106" t="s">
        <v>591</v>
      </c>
      <c r="B531" s="106">
        <v>20</v>
      </c>
      <c r="C531" s="106">
        <v>2</v>
      </c>
      <c r="D531" s="106">
        <v>6</v>
      </c>
      <c r="E531" s="106">
        <v>1</v>
      </c>
      <c r="F531" s="106">
        <v>1</v>
      </c>
      <c r="G531" s="106" t="s">
        <v>66</v>
      </c>
      <c r="H531" s="106" t="s">
        <v>1014</v>
      </c>
      <c r="I531" s="106">
        <v>201</v>
      </c>
      <c r="J531" s="106">
        <v>400</v>
      </c>
      <c r="K531" s="106" t="s">
        <v>1555</v>
      </c>
      <c r="L531" s="106" t="s">
        <v>1287</v>
      </c>
      <c r="M531" s="106" t="s">
        <v>1571</v>
      </c>
      <c r="N531" s="106">
        <v>22</v>
      </c>
      <c r="O531" s="106">
        <v>22</v>
      </c>
      <c r="T531" s="106" t="s">
        <v>1766</v>
      </c>
      <c r="V531" s="106">
        <v>3925960.5023857299</v>
      </c>
      <c r="W531" s="106">
        <v>1</v>
      </c>
      <c r="X531" s="106">
        <v>1</v>
      </c>
      <c r="Y531" s="106">
        <v>1</v>
      </c>
      <c r="Z531" s="106">
        <v>3</v>
      </c>
      <c r="AA531" s="106">
        <v>650000</v>
      </c>
      <c r="AB531" s="106">
        <v>650000</v>
      </c>
      <c r="AC531" s="106">
        <v>650000</v>
      </c>
      <c r="AD531" s="106">
        <v>2000000</v>
      </c>
      <c r="AE531" s="106">
        <v>3950000</v>
      </c>
      <c r="AF531" s="106">
        <v>3950000</v>
      </c>
      <c r="AH531" s="106">
        <v>69120</v>
      </c>
      <c r="AI531" s="106">
        <v>9.5000000000000001E-2</v>
      </c>
      <c r="AJ531" s="106">
        <v>9</v>
      </c>
      <c r="AK531" s="106">
        <v>691.2</v>
      </c>
      <c r="AL531" s="106">
        <v>6220.8</v>
      </c>
      <c r="AM531" s="106">
        <v>56602</v>
      </c>
      <c r="AN531" s="106">
        <v>56602</v>
      </c>
      <c r="AO531" s="106">
        <v>33740</v>
      </c>
      <c r="AP531" s="106" t="s">
        <v>1789</v>
      </c>
      <c r="AQ531" s="106" t="s">
        <v>1811</v>
      </c>
      <c r="AR531" s="106">
        <v>1328</v>
      </c>
      <c r="AS531" s="106">
        <v>0.88500000000000001</v>
      </c>
      <c r="AT531" s="106">
        <v>0.88500000000000001</v>
      </c>
      <c r="AU531" s="108" t="s">
        <v>1804</v>
      </c>
      <c r="AV531" s="108" t="s">
        <v>1812</v>
      </c>
      <c r="AW531" s="108">
        <v>1329</v>
      </c>
      <c r="AX531" s="108">
        <v>1500000</v>
      </c>
      <c r="AY531" s="108">
        <v>1500000</v>
      </c>
      <c r="BD531" s="106">
        <v>0</v>
      </c>
      <c r="BY531" s="112" t="s">
        <v>1766</v>
      </c>
      <c r="BZ531" s="112" t="s">
        <v>1766</v>
      </c>
      <c r="CA531" s="112" t="s">
        <v>1766</v>
      </c>
      <c r="CB531" s="112" t="s">
        <v>1766</v>
      </c>
      <c r="CC531" s="112" t="s">
        <v>1766</v>
      </c>
      <c r="CD531" s="112" t="s">
        <v>1766</v>
      </c>
      <c r="CE531" s="112" t="s">
        <v>1766</v>
      </c>
      <c r="CF531" s="112" t="s">
        <v>1766</v>
      </c>
      <c r="CG531" s="112" t="s">
        <v>1766</v>
      </c>
      <c r="CH531" s="112" t="s">
        <v>1766</v>
      </c>
      <c r="CI531" s="112" t="s">
        <v>1766</v>
      </c>
      <c r="CJ531" s="112" t="s">
        <v>1766</v>
      </c>
      <c r="CK531" s="112" t="s">
        <v>1766</v>
      </c>
      <c r="CL531" s="112" t="s">
        <v>1766</v>
      </c>
      <c r="CM531" s="112" t="s">
        <v>1766</v>
      </c>
      <c r="CN531" s="112" t="s">
        <v>1766</v>
      </c>
      <c r="CO531" s="112" t="s">
        <v>1766</v>
      </c>
    </row>
    <row r="532" spans="1:93">
      <c r="A532" s="106" t="s">
        <v>591</v>
      </c>
      <c r="B532" s="106">
        <v>21</v>
      </c>
      <c r="C532" s="106">
        <v>2</v>
      </c>
      <c r="D532" s="106">
        <v>6</v>
      </c>
      <c r="E532" s="106">
        <v>1</v>
      </c>
      <c r="F532" s="106">
        <v>1</v>
      </c>
      <c r="G532" s="106" t="s">
        <v>66</v>
      </c>
      <c r="H532" s="106" t="s">
        <v>1014</v>
      </c>
      <c r="I532" s="106">
        <v>201</v>
      </c>
      <c r="J532" s="106">
        <v>400</v>
      </c>
      <c r="K532" s="106" t="s">
        <v>1555</v>
      </c>
      <c r="L532" s="106" t="s">
        <v>1291</v>
      </c>
      <c r="M532" s="106" t="s">
        <v>1572</v>
      </c>
      <c r="N532" s="106">
        <v>22</v>
      </c>
      <c r="O532" s="106">
        <v>22</v>
      </c>
      <c r="T532" s="106" t="s">
        <v>1766</v>
      </c>
      <c r="V532" s="106">
        <v>5025229.4430537298</v>
      </c>
      <c r="W532" s="106">
        <v>1</v>
      </c>
      <c r="X532" s="106">
        <v>1</v>
      </c>
      <c r="Y532" s="106">
        <v>1</v>
      </c>
      <c r="Z532" s="106">
        <v>3</v>
      </c>
      <c r="AA532" s="106">
        <v>840000</v>
      </c>
      <c r="AB532" s="106">
        <v>840000</v>
      </c>
      <c r="AC532" s="106">
        <v>840000</v>
      </c>
      <c r="AD532" s="106">
        <v>2500000</v>
      </c>
      <c r="AE532" s="106">
        <v>5020000</v>
      </c>
      <c r="AF532" s="106">
        <v>5020000</v>
      </c>
      <c r="AH532" s="106">
        <v>92160</v>
      </c>
      <c r="AI532" s="106">
        <v>0.11</v>
      </c>
      <c r="AJ532" s="106">
        <v>10</v>
      </c>
      <c r="AK532" s="106">
        <v>921.6</v>
      </c>
      <c r="AL532" s="106">
        <v>9216</v>
      </c>
      <c r="AM532" s="106">
        <v>73511</v>
      </c>
      <c r="AN532" s="106">
        <v>73511</v>
      </c>
      <c r="AO532" s="106">
        <v>43791</v>
      </c>
      <c r="AP532" s="106" t="s">
        <v>1789</v>
      </c>
      <c r="AQ532" s="106" t="s">
        <v>1811</v>
      </c>
      <c r="AR532" s="106">
        <v>1328</v>
      </c>
      <c r="AS532" s="106">
        <v>0.89600000000000002</v>
      </c>
      <c r="AT532" s="106">
        <v>0.89600000000000002</v>
      </c>
      <c r="AU532" s="108" t="s">
        <v>1804</v>
      </c>
      <c r="AV532" s="108" t="s">
        <v>1812</v>
      </c>
      <c r="AW532" s="108">
        <v>1329</v>
      </c>
      <c r="AX532" s="108">
        <v>1620000</v>
      </c>
      <c r="AY532" s="108">
        <v>1620000</v>
      </c>
      <c r="BD532" s="106">
        <v>0</v>
      </c>
      <c r="BY532" s="112" t="s">
        <v>1766</v>
      </c>
      <c r="BZ532" s="112" t="s">
        <v>1766</v>
      </c>
      <c r="CA532" s="112" t="s">
        <v>1766</v>
      </c>
      <c r="CB532" s="112" t="s">
        <v>1766</v>
      </c>
      <c r="CC532" s="112" t="s">
        <v>1766</v>
      </c>
      <c r="CD532" s="112" t="s">
        <v>1766</v>
      </c>
      <c r="CE532" s="112" t="s">
        <v>1766</v>
      </c>
      <c r="CF532" s="112" t="s">
        <v>1766</v>
      </c>
      <c r="CG532" s="112" t="s">
        <v>1766</v>
      </c>
      <c r="CH532" s="112" t="s">
        <v>1766</v>
      </c>
      <c r="CI532" s="112" t="s">
        <v>1766</v>
      </c>
      <c r="CJ532" s="112" t="s">
        <v>1766</v>
      </c>
      <c r="CK532" s="112" t="s">
        <v>1766</v>
      </c>
      <c r="CL532" s="112" t="s">
        <v>1766</v>
      </c>
      <c r="CM532" s="112" t="s">
        <v>1766</v>
      </c>
      <c r="CN532" s="112" t="s">
        <v>1766</v>
      </c>
      <c r="CO532" s="112" t="s">
        <v>1766</v>
      </c>
    </row>
    <row r="533" spans="1:93">
      <c r="A533" s="106" t="s">
        <v>591</v>
      </c>
      <c r="B533" s="106">
        <v>22</v>
      </c>
      <c r="C533" s="106">
        <v>2</v>
      </c>
      <c r="D533" s="106">
        <v>6</v>
      </c>
      <c r="E533" s="106">
        <v>1</v>
      </c>
      <c r="F533" s="106">
        <v>1</v>
      </c>
      <c r="G533" s="106" t="s">
        <v>66</v>
      </c>
      <c r="H533" s="106" t="s">
        <v>1014</v>
      </c>
      <c r="I533" s="106">
        <v>201</v>
      </c>
      <c r="J533" s="106">
        <v>400</v>
      </c>
      <c r="K533" s="106" t="s">
        <v>1555</v>
      </c>
      <c r="L533" s="106" t="s">
        <v>1295</v>
      </c>
      <c r="M533" s="106" t="s">
        <v>1573</v>
      </c>
      <c r="N533" s="106">
        <v>27</v>
      </c>
      <c r="O533" s="106">
        <v>27</v>
      </c>
      <c r="T533" s="106" t="s">
        <v>1766</v>
      </c>
      <c r="V533" s="106">
        <v>6432293.6871087803</v>
      </c>
      <c r="W533" s="106">
        <v>1</v>
      </c>
      <c r="X533" s="106">
        <v>1</v>
      </c>
      <c r="Y533" s="106">
        <v>1</v>
      </c>
      <c r="Z533" s="106">
        <v>3</v>
      </c>
      <c r="AA533" s="106">
        <v>1100000</v>
      </c>
      <c r="AB533" s="106">
        <v>1100000</v>
      </c>
      <c r="AC533" s="106">
        <v>1100000</v>
      </c>
      <c r="AD533" s="106">
        <v>3200000</v>
      </c>
      <c r="AE533" s="106">
        <v>6500000</v>
      </c>
      <c r="AF533" s="106">
        <v>6500000</v>
      </c>
      <c r="AH533" s="106">
        <v>120960</v>
      </c>
      <c r="AI533" s="106">
        <v>0.125</v>
      </c>
      <c r="AJ533" s="106">
        <v>10</v>
      </c>
      <c r="AK533" s="106">
        <v>1209.5999999999999</v>
      </c>
      <c r="AL533" s="106">
        <v>12096</v>
      </c>
      <c r="AM533" s="106">
        <v>95124</v>
      </c>
      <c r="AN533" s="106">
        <v>95124</v>
      </c>
      <c r="AO533" s="106">
        <v>56656</v>
      </c>
      <c r="AP533" s="106" t="s">
        <v>1789</v>
      </c>
      <c r="AQ533" s="106" t="s">
        <v>1811</v>
      </c>
      <c r="AR533" s="106">
        <v>1328</v>
      </c>
      <c r="AS533" s="106">
        <v>0.90700000000000003</v>
      </c>
      <c r="AT533" s="106">
        <v>0.90700000000000003</v>
      </c>
      <c r="AU533" s="108" t="s">
        <v>1804</v>
      </c>
      <c r="AV533" s="108" t="s">
        <v>1812</v>
      </c>
      <c r="AW533" s="108">
        <v>1329</v>
      </c>
      <c r="AX533" s="108">
        <v>1740000</v>
      </c>
      <c r="AY533" s="108">
        <v>1740000</v>
      </c>
      <c r="BD533" s="106">
        <v>0</v>
      </c>
      <c r="BY533" s="112" t="s">
        <v>1766</v>
      </c>
      <c r="BZ533" s="112" t="s">
        <v>1766</v>
      </c>
      <c r="CA533" s="112" t="s">
        <v>1766</v>
      </c>
      <c r="CB533" s="112" t="s">
        <v>1766</v>
      </c>
      <c r="CC533" s="112" t="s">
        <v>1766</v>
      </c>
      <c r="CD533" s="112" t="s">
        <v>1766</v>
      </c>
      <c r="CE533" s="112" t="s">
        <v>1766</v>
      </c>
      <c r="CF533" s="112" t="s">
        <v>1766</v>
      </c>
      <c r="CG533" s="112" t="s">
        <v>1766</v>
      </c>
      <c r="CH533" s="112" t="s">
        <v>1766</v>
      </c>
      <c r="CI533" s="112" t="s">
        <v>1766</v>
      </c>
      <c r="CJ533" s="112" t="s">
        <v>1766</v>
      </c>
      <c r="CK533" s="112" t="s">
        <v>1766</v>
      </c>
      <c r="CL533" s="112" t="s">
        <v>1766</v>
      </c>
      <c r="CM533" s="112" t="s">
        <v>1766</v>
      </c>
      <c r="CN533" s="112" t="s">
        <v>1766</v>
      </c>
      <c r="CO533" s="112" t="s">
        <v>1766</v>
      </c>
    </row>
    <row r="534" spans="1:93">
      <c r="A534" s="106" t="s">
        <v>591</v>
      </c>
      <c r="B534" s="106">
        <v>23</v>
      </c>
      <c r="C534" s="106">
        <v>2</v>
      </c>
      <c r="D534" s="106">
        <v>6</v>
      </c>
      <c r="E534" s="106">
        <v>1</v>
      </c>
      <c r="F534" s="106">
        <v>1</v>
      </c>
      <c r="G534" s="106" t="s">
        <v>66</v>
      </c>
      <c r="H534" s="106" t="s">
        <v>1014</v>
      </c>
      <c r="I534" s="106">
        <v>201</v>
      </c>
      <c r="J534" s="106">
        <v>400</v>
      </c>
      <c r="K534" s="106" t="s">
        <v>1555</v>
      </c>
      <c r="L534" s="106" t="s">
        <v>1298</v>
      </c>
      <c r="M534" s="106" t="s">
        <v>1574</v>
      </c>
      <c r="N534" s="106">
        <v>27</v>
      </c>
      <c r="O534" s="106">
        <v>27</v>
      </c>
      <c r="T534" s="106" t="s">
        <v>1766</v>
      </c>
      <c r="V534" s="106">
        <v>8233335.9194992399</v>
      </c>
      <c r="W534" s="106">
        <v>1</v>
      </c>
      <c r="X534" s="106">
        <v>1</v>
      </c>
      <c r="Y534" s="106">
        <v>1</v>
      </c>
      <c r="Z534" s="106">
        <v>3</v>
      </c>
      <c r="AA534" s="106">
        <v>1400000</v>
      </c>
      <c r="AB534" s="106">
        <v>1400000</v>
      </c>
      <c r="AC534" s="106">
        <v>1400000</v>
      </c>
      <c r="AD534" s="106">
        <v>4100000</v>
      </c>
      <c r="AE534" s="106">
        <v>8300000</v>
      </c>
      <c r="AF534" s="106">
        <v>8300000</v>
      </c>
      <c r="AH534" s="106">
        <v>155520</v>
      </c>
      <c r="AI534" s="106">
        <v>0.125</v>
      </c>
      <c r="AJ534" s="106">
        <v>11</v>
      </c>
      <c r="AK534" s="106">
        <v>1555.2</v>
      </c>
      <c r="AL534" s="106">
        <v>17107.2</v>
      </c>
      <c r="AM534" s="106">
        <v>120832</v>
      </c>
      <c r="AN534" s="106">
        <v>120832</v>
      </c>
      <c r="AO534" s="106">
        <v>73122</v>
      </c>
      <c r="AP534" s="106" t="s">
        <v>1789</v>
      </c>
      <c r="AQ534" s="106" t="s">
        <v>1811</v>
      </c>
      <c r="AR534" s="106">
        <v>1328</v>
      </c>
      <c r="AS534" s="106">
        <v>0.91800000000000004</v>
      </c>
      <c r="AT534" s="106">
        <v>0.91800000000000004</v>
      </c>
      <c r="AU534" s="108" t="s">
        <v>1804</v>
      </c>
      <c r="AV534" s="108" t="s">
        <v>1812</v>
      </c>
      <c r="AW534" s="108">
        <v>1329</v>
      </c>
      <c r="AX534" s="108">
        <v>1860000</v>
      </c>
      <c r="AY534" s="108">
        <v>1860000</v>
      </c>
      <c r="BD534" s="106">
        <v>0</v>
      </c>
      <c r="BY534" s="112" t="s">
        <v>1766</v>
      </c>
      <c r="BZ534" s="112" t="s">
        <v>1766</v>
      </c>
      <c r="CA534" s="112" t="s">
        <v>1766</v>
      </c>
      <c r="CB534" s="112" t="s">
        <v>1766</v>
      </c>
      <c r="CC534" s="112" t="s">
        <v>1766</v>
      </c>
      <c r="CD534" s="112" t="s">
        <v>1766</v>
      </c>
      <c r="CE534" s="112" t="s">
        <v>1766</v>
      </c>
      <c r="CF534" s="112" t="s">
        <v>1766</v>
      </c>
      <c r="CG534" s="112" t="s">
        <v>1766</v>
      </c>
      <c r="CH534" s="112" t="s">
        <v>1766</v>
      </c>
      <c r="CI534" s="112" t="s">
        <v>1766</v>
      </c>
      <c r="CJ534" s="112" t="s">
        <v>1766</v>
      </c>
      <c r="CK534" s="112" t="s">
        <v>1766</v>
      </c>
      <c r="CL534" s="112" t="s">
        <v>1766</v>
      </c>
      <c r="CM534" s="112" t="s">
        <v>1766</v>
      </c>
      <c r="CN534" s="112" t="s">
        <v>1766</v>
      </c>
      <c r="CO534" s="112" t="s">
        <v>1766</v>
      </c>
    </row>
    <row r="535" spans="1:93">
      <c r="A535" s="106" t="s">
        <v>591</v>
      </c>
      <c r="B535" s="106">
        <v>24</v>
      </c>
      <c r="C535" s="106">
        <v>2</v>
      </c>
      <c r="D535" s="106">
        <v>6</v>
      </c>
      <c r="E535" s="106">
        <v>1</v>
      </c>
      <c r="F535" s="106">
        <v>1</v>
      </c>
      <c r="G535" s="106" t="s">
        <v>66</v>
      </c>
      <c r="H535" s="106" t="s">
        <v>1014</v>
      </c>
      <c r="I535" s="106">
        <v>201</v>
      </c>
      <c r="J535" s="106">
        <v>400</v>
      </c>
      <c r="K535" s="106" t="s">
        <v>1555</v>
      </c>
      <c r="L535" s="106" t="s">
        <v>1302</v>
      </c>
      <c r="M535" s="106" t="s">
        <v>1575</v>
      </c>
      <c r="N535" s="106">
        <v>27</v>
      </c>
      <c r="O535" s="106">
        <v>27</v>
      </c>
      <c r="T535" s="106" t="s">
        <v>1766</v>
      </c>
      <c r="V535" s="106">
        <v>10538669.976958999</v>
      </c>
      <c r="W535" s="106">
        <v>1</v>
      </c>
      <c r="X535" s="106">
        <v>1</v>
      </c>
      <c r="Y535" s="106">
        <v>1</v>
      </c>
      <c r="Z535" s="106">
        <v>3</v>
      </c>
      <c r="AA535" s="106">
        <v>1800000</v>
      </c>
      <c r="AB535" s="106">
        <v>1800000</v>
      </c>
      <c r="AC535" s="106">
        <v>1800000</v>
      </c>
      <c r="AD535" s="106">
        <v>5300000</v>
      </c>
      <c r="AE535" s="106">
        <v>10700000</v>
      </c>
      <c r="AF535" s="106">
        <v>10700000</v>
      </c>
      <c r="AH535" s="106">
        <v>198720</v>
      </c>
      <c r="AI535" s="106">
        <v>0.125</v>
      </c>
      <c r="AJ535" s="106">
        <v>12</v>
      </c>
      <c r="AK535" s="106">
        <v>1987.2</v>
      </c>
      <c r="AL535" s="106">
        <v>23846.400000000001</v>
      </c>
      <c r="AM535" s="106">
        <v>152493</v>
      </c>
      <c r="AN535" s="106">
        <v>152493</v>
      </c>
      <c r="AO535" s="106">
        <v>94200</v>
      </c>
      <c r="AP535" s="106" t="s">
        <v>1789</v>
      </c>
      <c r="AQ535" s="106" t="s">
        <v>1811</v>
      </c>
      <c r="AR535" s="106">
        <v>1328</v>
      </c>
      <c r="AS535" s="106">
        <v>0.92900000000000005</v>
      </c>
      <c r="AT535" s="106">
        <v>0.92900000000000005</v>
      </c>
      <c r="AU535" s="108" t="s">
        <v>1804</v>
      </c>
      <c r="AV535" s="108" t="s">
        <v>1812</v>
      </c>
      <c r="AW535" s="108">
        <v>1329</v>
      </c>
      <c r="AX535" s="108">
        <v>1980000</v>
      </c>
      <c r="AY535" s="108">
        <v>1980000</v>
      </c>
      <c r="BD535" s="106">
        <v>0</v>
      </c>
      <c r="BY535" s="112" t="s">
        <v>1766</v>
      </c>
      <c r="BZ535" s="112" t="s">
        <v>1766</v>
      </c>
      <c r="CA535" s="112" t="s">
        <v>1766</v>
      </c>
      <c r="CB535" s="112" t="s">
        <v>1766</v>
      </c>
      <c r="CC535" s="112" t="s">
        <v>1766</v>
      </c>
      <c r="CD535" s="112" t="s">
        <v>1766</v>
      </c>
      <c r="CE535" s="112" t="s">
        <v>1766</v>
      </c>
      <c r="CF535" s="112" t="s">
        <v>1766</v>
      </c>
      <c r="CG535" s="112" t="s">
        <v>1766</v>
      </c>
      <c r="CH535" s="112" t="s">
        <v>1766</v>
      </c>
      <c r="CI535" s="112" t="s">
        <v>1766</v>
      </c>
      <c r="CJ535" s="112" t="s">
        <v>1766</v>
      </c>
      <c r="CK535" s="112" t="s">
        <v>1766</v>
      </c>
      <c r="CL535" s="112" t="s">
        <v>1766</v>
      </c>
      <c r="CM535" s="112" t="s">
        <v>1766</v>
      </c>
      <c r="CN535" s="112" t="s">
        <v>1766</v>
      </c>
      <c r="CO535" s="112" t="s">
        <v>1766</v>
      </c>
    </row>
    <row r="536" spans="1:93">
      <c r="A536" s="106" t="s">
        <v>591</v>
      </c>
      <c r="B536" s="106">
        <v>25</v>
      </c>
      <c r="C536" s="106">
        <v>2</v>
      </c>
      <c r="D536" s="106">
        <v>6</v>
      </c>
      <c r="E536" s="106">
        <v>1</v>
      </c>
      <c r="F536" s="106">
        <v>1</v>
      </c>
      <c r="G536" s="106" t="s">
        <v>66</v>
      </c>
      <c r="H536" s="106" t="s">
        <v>1014</v>
      </c>
      <c r="I536" s="106">
        <v>201</v>
      </c>
      <c r="J536" s="106">
        <v>400</v>
      </c>
      <c r="K536" s="106" t="s">
        <v>1555</v>
      </c>
      <c r="L536" s="106" t="s">
        <v>1305</v>
      </c>
      <c r="M536" s="106" t="s">
        <v>1576</v>
      </c>
      <c r="N536" s="106">
        <v>27</v>
      </c>
      <c r="O536" s="106">
        <v>27</v>
      </c>
      <c r="T536" s="106" t="s">
        <v>1766</v>
      </c>
      <c r="V536" s="106">
        <v>13489497.570507601</v>
      </c>
      <c r="W536" s="106">
        <v>1</v>
      </c>
      <c r="X536" s="106">
        <v>1</v>
      </c>
      <c r="Y536" s="106">
        <v>1</v>
      </c>
      <c r="Z536" s="106">
        <v>3</v>
      </c>
      <c r="AA536" s="106">
        <v>2200000</v>
      </c>
      <c r="AB536" s="106">
        <v>2200000</v>
      </c>
      <c r="AC536" s="106">
        <v>2200000</v>
      </c>
      <c r="AD536" s="106">
        <v>6700000</v>
      </c>
      <c r="AE536" s="106">
        <v>13300000</v>
      </c>
      <c r="AF536" s="106">
        <v>13300000</v>
      </c>
      <c r="AH536" s="106">
        <v>250560</v>
      </c>
      <c r="AI536" s="106">
        <v>0.125</v>
      </c>
      <c r="AJ536" s="106">
        <v>13</v>
      </c>
      <c r="AK536" s="106">
        <v>2505.6</v>
      </c>
      <c r="AL536" s="106">
        <v>32572.799999999999</v>
      </c>
      <c r="AM536" s="106">
        <v>189847</v>
      </c>
      <c r="AN536" s="106">
        <v>189847</v>
      </c>
      <c r="AO536" s="106">
        <v>121179</v>
      </c>
      <c r="AP536" s="106" t="s">
        <v>1789</v>
      </c>
      <c r="AQ536" s="106" t="s">
        <v>1811</v>
      </c>
      <c r="AR536" s="106">
        <v>1328</v>
      </c>
      <c r="AS536" s="106">
        <v>0.94</v>
      </c>
      <c r="AT536" s="106">
        <v>0.94</v>
      </c>
      <c r="AU536" s="108" t="s">
        <v>1804</v>
      </c>
      <c r="AV536" s="108" t="s">
        <v>1812</v>
      </c>
      <c r="AW536" s="108">
        <v>1329</v>
      </c>
      <c r="AX536" s="108">
        <v>2100000</v>
      </c>
      <c r="AY536" s="108">
        <v>2100000</v>
      </c>
      <c r="BD536" s="106">
        <v>0</v>
      </c>
      <c r="BY536" s="112" t="s">
        <v>1766</v>
      </c>
      <c r="BZ536" s="112" t="s">
        <v>1766</v>
      </c>
      <c r="CA536" s="112" t="s">
        <v>1766</v>
      </c>
      <c r="CB536" s="112" t="s">
        <v>1766</v>
      </c>
      <c r="CC536" s="112" t="s">
        <v>1766</v>
      </c>
      <c r="CD536" s="112" t="s">
        <v>1766</v>
      </c>
      <c r="CE536" s="112" t="s">
        <v>1766</v>
      </c>
      <c r="CF536" s="112" t="s">
        <v>1766</v>
      </c>
      <c r="CG536" s="112" t="s">
        <v>1766</v>
      </c>
      <c r="CH536" s="112" t="s">
        <v>1766</v>
      </c>
      <c r="CI536" s="112" t="s">
        <v>1766</v>
      </c>
      <c r="CJ536" s="112" t="s">
        <v>1766</v>
      </c>
      <c r="CK536" s="112" t="s">
        <v>1766</v>
      </c>
      <c r="CL536" s="112" t="s">
        <v>1766</v>
      </c>
      <c r="CM536" s="112" t="s">
        <v>1766</v>
      </c>
      <c r="CN536" s="112" t="s">
        <v>1766</v>
      </c>
      <c r="CO536" s="112" t="s">
        <v>1766</v>
      </c>
    </row>
    <row r="537" spans="1:93">
      <c r="A537" s="106" t="s">
        <v>591</v>
      </c>
      <c r="B537" s="106">
        <v>26</v>
      </c>
      <c r="C537" s="106">
        <v>2</v>
      </c>
      <c r="D537" s="106">
        <v>6</v>
      </c>
      <c r="E537" s="106">
        <v>1</v>
      </c>
      <c r="F537" s="106">
        <v>1</v>
      </c>
      <c r="G537" s="106" t="s">
        <v>66</v>
      </c>
      <c r="H537" s="106" t="s">
        <v>1014</v>
      </c>
      <c r="I537" s="106">
        <v>201</v>
      </c>
      <c r="J537" s="106">
        <v>400</v>
      </c>
      <c r="K537" s="106" t="s">
        <v>1555</v>
      </c>
      <c r="L537" s="106" t="s">
        <v>1308</v>
      </c>
      <c r="M537" s="106" t="s">
        <v>1577</v>
      </c>
      <c r="N537" s="106">
        <v>27</v>
      </c>
      <c r="O537" s="106">
        <v>27</v>
      </c>
      <c r="T537" s="106" t="s">
        <v>1766</v>
      </c>
      <c r="V537" s="106">
        <v>17266556.890249699</v>
      </c>
      <c r="W537" s="106">
        <v>1</v>
      </c>
      <c r="X537" s="106">
        <v>1</v>
      </c>
      <c r="Y537" s="106">
        <v>1</v>
      </c>
      <c r="Z537" s="106">
        <v>3</v>
      </c>
      <c r="AA537" s="106">
        <v>2900000</v>
      </c>
      <c r="AB537" s="106">
        <v>2900000</v>
      </c>
      <c r="AC537" s="106">
        <v>2900000</v>
      </c>
      <c r="AD537" s="106">
        <v>8600000</v>
      </c>
      <c r="AE537" s="106">
        <v>17300000</v>
      </c>
      <c r="AF537" s="106">
        <v>17300000</v>
      </c>
      <c r="AH537" s="106">
        <v>311040</v>
      </c>
      <c r="AI537" s="106">
        <v>0.14499999999999999</v>
      </c>
      <c r="AJ537" s="106">
        <v>14</v>
      </c>
      <c r="AK537" s="106">
        <v>3110.4</v>
      </c>
      <c r="AL537" s="106">
        <v>43545.599999999999</v>
      </c>
      <c r="AM537" s="106">
        <v>227805</v>
      </c>
      <c r="AN537" s="106">
        <v>227805</v>
      </c>
      <c r="AO537" s="106">
        <v>155712</v>
      </c>
      <c r="AP537" s="106" t="s">
        <v>1789</v>
      </c>
      <c r="AQ537" s="106" t="s">
        <v>1811</v>
      </c>
      <c r="AR537" s="106">
        <v>1328</v>
      </c>
      <c r="AS537" s="106">
        <v>0.95199999999999996</v>
      </c>
      <c r="AT537" s="106">
        <v>0.95199999999999996</v>
      </c>
      <c r="AU537" s="108" t="s">
        <v>1804</v>
      </c>
      <c r="AV537" s="108" t="s">
        <v>1812</v>
      </c>
      <c r="AW537" s="108">
        <v>1329</v>
      </c>
      <c r="AX537" s="108">
        <v>2240000</v>
      </c>
      <c r="AY537" s="108">
        <v>2240000</v>
      </c>
      <c r="BD537" s="106">
        <v>0</v>
      </c>
      <c r="BY537" s="112" t="s">
        <v>1766</v>
      </c>
      <c r="BZ537" s="112" t="s">
        <v>1766</v>
      </c>
      <c r="CA537" s="112" t="s">
        <v>1766</v>
      </c>
      <c r="CB537" s="112" t="s">
        <v>1766</v>
      </c>
      <c r="CC537" s="112" t="s">
        <v>1766</v>
      </c>
      <c r="CD537" s="112" t="s">
        <v>1766</v>
      </c>
      <c r="CE537" s="112" t="s">
        <v>1766</v>
      </c>
      <c r="CF537" s="112" t="s">
        <v>1766</v>
      </c>
      <c r="CG537" s="112" t="s">
        <v>1766</v>
      </c>
      <c r="CH537" s="112" t="s">
        <v>1766</v>
      </c>
      <c r="CI537" s="112" t="s">
        <v>1766</v>
      </c>
      <c r="CJ537" s="112" t="s">
        <v>1766</v>
      </c>
      <c r="CK537" s="112" t="s">
        <v>1766</v>
      </c>
      <c r="CL537" s="112" t="s">
        <v>1766</v>
      </c>
      <c r="CM537" s="112" t="s">
        <v>1766</v>
      </c>
      <c r="CN537" s="112" t="s">
        <v>1766</v>
      </c>
      <c r="CO537" s="112" t="s">
        <v>1766</v>
      </c>
    </row>
    <row r="538" spans="1:93">
      <c r="A538" s="106" t="s">
        <v>591</v>
      </c>
      <c r="B538" s="106">
        <v>27</v>
      </c>
      <c r="C538" s="106">
        <v>2</v>
      </c>
      <c r="D538" s="106">
        <v>6</v>
      </c>
      <c r="E538" s="106">
        <v>1</v>
      </c>
      <c r="F538" s="106">
        <v>1</v>
      </c>
      <c r="G538" s="106" t="s">
        <v>66</v>
      </c>
      <c r="H538" s="106" t="s">
        <v>1014</v>
      </c>
      <c r="I538" s="106">
        <v>201</v>
      </c>
      <c r="J538" s="106">
        <v>400</v>
      </c>
      <c r="K538" s="106" t="s">
        <v>1555</v>
      </c>
      <c r="L538" s="106" t="s">
        <v>1311</v>
      </c>
      <c r="M538" s="106" t="s">
        <v>1578</v>
      </c>
      <c r="O538" s="106">
        <v>0</v>
      </c>
      <c r="T538" s="106" t="s">
        <v>1766</v>
      </c>
      <c r="V538" s="106">
        <v>22101192.819519602</v>
      </c>
      <c r="W538" s="106">
        <v>1</v>
      </c>
      <c r="X538" s="106">
        <v>1</v>
      </c>
      <c r="Y538" s="106">
        <v>1</v>
      </c>
      <c r="Z538" s="106">
        <v>3</v>
      </c>
      <c r="AA538" s="106">
        <v>3700000</v>
      </c>
      <c r="AB538" s="106">
        <v>3700000</v>
      </c>
      <c r="AC538" s="106">
        <v>3700000</v>
      </c>
      <c r="AD538" s="106">
        <v>11000000</v>
      </c>
      <c r="AE538" s="106">
        <v>22100000</v>
      </c>
      <c r="AF538" s="106">
        <v>22100000</v>
      </c>
      <c r="AH538" s="106">
        <v>380160</v>
      </c>
      <c r="AI538" s="106">
        <v>0.16500000000000001</v>
      </c>
      <c r="AJ538" s="106">
        <v>15</v>
      </c>
      <c r="AK538" s="106">
        <v>3801.6</v>
      </c>
      <c r="AL538" s="106">
        <v>57024</v>
      </c>
      <c r="AM538" s="106">
        <v>268993</v>
      </c>
      <c r="AN538" s="106">
        <v>268993</v>
      </c>
      <c r="AO538" s="106">
        <v>199914</v>
      </c>
      <c r="AP538" s="106" t="s">
        <v>1789</v>
      </c>
      <c r="AQ538" s="106" t="s">
        <v>1811</v>
      </c>
      <c r="AR538" s="106">
        <v>1328</v>
      </c>
      <c r="AS538" s="106">
        <v>0.96399999999999997</v>
      </c>
      <c r="AT538" s="106">
        <v>0.96399999999999997</v>
      </c>
      <c r="AU538" s="108" t="s">
        <v>1804</v>
      </c>
      <c r="AV538" s="108" t="s">
        <v>1812</v>
      </c>
      <c r="AW538" s="108">
        <v>1329</v>
      </c>
      <c r="AX538" s="108">
        <v>2400000</v>
      </c>
      <c r="AY538" s="108">
        <v>2400000</v>
      </c>
      <c r="BD538" s="106">
        <v>0</v>
      </c>
      <c r="BY538" s="112" t="s">
        <v>1766</v>
      </c>
      <c r="BZ538" s="112" t="s">
        <v>1766</v>
      </c>
      <c r="CA538" s="112" t="s">
        <v>1766</v>
      </c>
      <c r="CB538" s="112" t="s">
        <v>1766</v>
      </c>
      <c r="CC538" s="112" t="s">
        <v>1766</v>
      </c>
      <c r="CD538" s="112" t="s">
        <v>1766</v>
      </c>
      <c r="CE538" s="112" t="s">
        <v>1766</v>
      </c>
      <c r="CF538" s="112" t="s">
        <v>1766</v>
      </c>
      <c r="CG538" s="112" t="s">
        <v>1766</v>
      </c>
      <c r="CH538" s="112" t="s">
        <v>1766</v>
      </c>
      <c r="CI538" s="112" t="s">
        <v>1766</v>
      </c>
      <c r="CJ538" s="112" t="s">
        <v>1766</v>
      </c>
      <c r="CK538" s="112" t="s">
        <v>1766</v>
      </c>
      <c r="CL538" s="112" t="s">
        <v>1766</v>
      </c>
      <c r="CM538" s="112" t="s">
        <v>1766</v>
      </c>
      <c r="CN538" s="112" t="s">
        <v>1766</v>
      </c>
      <c r="CO538" s="112" t="s">
        <v>1766</v>
      </c>
    </row>
    <row r="539" spans="1:93">
      <c r="A539" s="106" t="s">
        <v>591</v>
      </c>
      <c r="B539" s="106">
        <v>28</v>
      </c>
      <c r="C539" s="106">
        <v>2</v>
      </c>
      <c r="D539" s="106">
        <v>6</v>
      </c>
      <c r="E539" s="106">
        <v>1</v>
      </c>
      <c r="F539" s="106">
        <v>1</v>
      </c>
      <c r="G539" s="106" t="s">
        <v>66</v>
      </c>
      <c r="H539" s="106" t="s">
        <v>1014</v>
      </c>
      <c r="I539" s="106">
        <v>201</v>
      </c>
      <c r="J539" s="106">
        <v>400</v>
      </c>
      <c r="K539" s="106" t="s">
        <v>1555</v>
      </c>
      <c r="L539" s="106" t="s">
        <v>1314</v>
      </c>
      <c r="M539" s="106" t="s">
        <v>1579</v>
      </c>
      <c r="O539" s="106">
        <v>0</v>
      </c>
      <c r="T539" s="106" t="s">
        <v>1766</v>
      </c>
      <c r="V539" s="106">
        <v>28289526.808985099</v>
      </c>
      <c r="W539" s="106">
        <v>1</v>
      </c>
      <c r="X539" s="106">
        <v>1</v>
      </c>
      <c r="Y539" s="106">
        <v>1</v>
      </c>
      <c r="Z539" s="106">
        <v>3</v>
      </c>
      <c r="AA539" s="106">
        <v>4700000</v>
      </c>
      <c r="AB539" s="106">
        <v>4700000</v>
      </c>
      <c r="AC539" s="106">
        <v>4700000</v>
      </c>
      <c r="AD539" s="106">
        <v>14000000</v>
      </c>
      <c r="AE539" s="106">
        <v>28100000</v>
      </c>
      <c r="AF539" s="106">
        <v>28100000</v>
      </c>
      <c r="AH539" s="106">
        <v>466560</v>
      </c>
      <c r="AI539" s="106">
        <v>0.185</v>
      </c>
      <c r="AJ539" s="106">
        <v>16</v>
      </c>
      <c r="AK539" s="106">
        <v>4665.6000000000004</v>
      </c>
      <c r="AL539" s="106">
        <v>74649.600000000006</v>
      </c>
      <c r="AM539" s="106">
        <v>318771</v>
      </c>
      <c r="AN539" s="106">
        <v>318771</v>
      </c>
      <c r="AO539" s="106">
        <v>256493</v>
      </c>
      <c r="AP539" s="106" t="s">
        <v>1789</v>
      </c>
      <c r="AQ539" s="106" t="s">
        <v>1811</v>
      </c>
      <c r="AR539" s="106">
        <v>1328</v>
      </c>
      <c r="AS539" s="106">
        <v>0.97599999999999998</v>
      </c>
      <c r="AT539" s="106">
        <v>0.97599999999999998</v>
      </c>
      <c r="AU539" s="108" t="s">
        <v>1804</v>
      </c>
      <c r="AV539" s="108" t="s">
        <v>1812</v>
      </c>
      <c r="AW539" s="108">
        <v>1329</v>
      </c>
      <c r="AX539" s="108">
        <v>2580000</v>
      </c>
      <c r="AY539" s="108">
        <v>2580000</v>
      </c>
      <c r="BD539" s="106">
        <v>0</v>
      </c>
      <c r="BY539" s="112" t="s">
        <v>1766</v>
      </c>
      <c r="BZ539" s="112" t="s">
        <v>1766</v>
      </c>
      <c r="CA539" s="112" t="s">
        <v>1766</v>
      </c>
      <c r="CB539" s="112" t="s">
        <v>1766</v>
      </c>
      <c r="CC539" s="112" t="s">
        <v>1766</v>
      </c>
      <c r="CD539" s="112" t="s">
        <v>1766</v>
      </c>
      <c r="CE539" s="112" t="s">
        <v>1766</v>
      </c>
      <c r="CF539" s="112" t="s">
        <v>1766</v>
      </c>
      <c r="CG539" s="112" t="s">
        <v>1766</v>
      </c>
      <c r="CH539" s="112" t="s">
        <v>1766</v>
      </c>
      <c r="CI539" s="112" t="s">
        <v>1766</v>
      </c>
      <c r="CJ539" s="112" t="s">
        <v>1766</v>
      </c>
      <c r="CK539" s="112" t="s">
        <v>1766</v>
      </c>
      <c r="CL539" s="112" t="s">
        <v>1766</v>
      </c>
      <c r="CM539" s="112" t="s">
        <v>1766</v>
      </c>
      <c r="CN539" s="112" t="s">
        <v>1766</v>
      </c>
      <c r="CO539" s="112" t="s">
        <v>1766</v>
      </c>
    </row>
    <row r="540" spans="1:93">
      <c r="A540" s="106" t="s">
        <v>591</v>
      </c>
      <c r="B540" s="106">
        <v>29</v>
      </c>
      <c r="C540" s="106">
        <v>2</v>
      </c>
      <c r="D540" s="106">
        <v>6</v>
      </c>
      <c r="E540" s="106">
        <v>1</v>
      </c>
      <c r="F540" s="106">
        <v>1</v>
      </c>
      <c r="G540" s="106" t="s">
        <v>66</v>
      </c>
      <c r="H540" s="106" t="s">
        <v>1014</v>
      </c>
      <c r="I540" s="106">
        <v>201</v>
      </c>
      <c r="J540" s="106">
        <v>400</v>
      </c>
      <c r="K540" s="106" t="s">
        <v>1555</v>
      </c>
      <c r="L540" s="106" t="s">
        <v>1317</v>
      </c>
      <c r="M540" s="106" t="s">
        <v>1580</v>
      </c>
      <c r="O540" s="106">
        <v>0</v>
      </c>
      <c r="T540" s="106" t="s">
        <v>1766</v>
      </c>
      <c r="V540" s="106">
        <v>36210594.3155009</v>
      </c>
      <c r="W540" s="106">
        <v>1</v>
      </c>
      <c r="X540" s="106">
        <v>1</v>
      </c>
      <c r="Y540" s="106">
        <v>1</v>
      </c>
      <c r="Z540" s="106">
        <v>3</v>
      </c>
      <c r="AA540" s="106">
        <v>6000000</v>
      </c>
      <c r="AB540" s="106">
        <v>6000000</v>
      </c>
      <c r="AC540" s="106">
        <v>6000000</v>
      </c>
      <c r="AD540" s="106">
        <v>18000000</v>
      </c>
      <c r="AE540" s="106">
        <v>36000000</v>
      </c>
      <c r="AF540" s="106">
        <v>36000000</v>
      </c>
      <c r="AH540" s="106">
        <v>570240</v>
      </c>
      <c r="AI540" s="106">
        <v>0.20499999999999999</v>
      </c>
      <c r="AJ540" s="106">
        <v>17</v>
      </c>
      <c r="AK540" s="106">
        <v>5702.4</v>
      </c>
      <c r="AL540" s="106">
        <v>96940.800000000003</v>
      </c>
      <c r="AM540" s="106">
        <v>375987</v>
      </c>
      <c r="AN540" s="106">
        <v>375987</v>
      </c>
      <c r="AO540" s="106">
        <v>328914</v>
      </c>
      <c r="AP540" s="106" t="s">
        <v>1789</v>
      </c>
      <c r="AQ540" s="106" t="s">
        <v>1811</v>
      </c>
      <c r="AR540" s="106">
        <v>1328</v>
      </c>
      <c r="AS540" s="106">
        <v>0.98799999999999999</v>
      </c>
      <c r="AT540" s="106">
        <v>0.98799999999999999</v>
      </c>
      <c r="AU540" s="108" t="s">
        <v>1804</v>
      </c>
      <c r="AV540" s="108" t="s">
        <v>1812</v>
      </c>
      <c r="AW540" s="108">
        <v>1329</v>
      </c>
      <c r="AX540" s="108">
        <v>2780000</v>
      </c>
      <c r="AY540" s="108">
        <v>2780000</v>
      </c>
      <c r="BD540" s="106">
        <v>0</v>
      </c>
      <c r="BY540" s="112" t="s">
        <v>1766</v>
      </c>
      <c r="BZ540" s="112" t="s">
        <v>1766</v>
      </c>
      <c r="CA540" s="112" t="s">
        <v>1766</v>
      </c>
      <c r="CB540" s="112" t="s">
        <v>1766</v>
      </c>
      <c r="CC540" s="112" t="s">
        <v>1766</v>
      </c>
      <c r="CD540" s="112" t="s">
        <v>1766</v>
      </c>
      <c r="CE540" s="112" t="s">
        <v>1766</v>
      </c>
      <c r="CF540" s="112" t="s">
        <v>1766</v>
      </c>
      <c r="CG540" s="112" t="s">
        <v>1766</v>
      </c>
      <c r="CH540" s="112" t="s">
        <v>1766</v>
      </c>
      <c r="CI540" s="112" t="s">
        <v>1766</v>
      </c>
      <c r="CJ540" s="112" t="s">
        <v>1766</v>
      </c>
      <c r="CK540" s="112" t="s">
        <v>1766</v>
      </c>
      <c r="CL540" s="112" t="s">
        <v>1766</v>
      </c>
      <c r="CM540" s="112" t="s">
        <v>1766</v>
      </c>
      <c r="CN540" s="112" t="s">
        <v>1766</v>
      </c>
      <c r="CO540" s="112" t="s">
        <v>1766</v>
      </c>
    </row>
    <row r="541" spans="1:93">
      <c r="A541" s="106" t="s">
        <v>591</v>
      </c>
      <c r="B541" s="106">
        <v>30</v>
      </c>
      <c r="C541" s="106">
        <v>2</v>
      </c>
      <c r="D541" s="106">
        <v>6</v>
      </c>
      <c r="E541" s="106">
        <v>1</v>
      </c>
      <c r="F541" s="106">
        <v>1</v>
      </c>
      <c r="G541" s="106" t="s">
        <v>66</v>
      </c>
      <c r="H541" s="106" t="s">
        <v>1014</v>
      </c>
      <c r="I541" s="106">
        <v>201</v>
      </c>
      <c r="J541" s="106">
        <v>400</v>
      </c>
      <c r="K541" s="106" t="s">
        <v>1555</v>
      </c>
      <c r="L541" s="106" t="s">
        <v>1406</v>
      </c>
      <c r="M541" s="106" t="s">
        <v>1581</v>
      </c>
      <c r="O541" s="106">
        <v>0</v>
      </c>
      <c r="T541" s="106" t="s">
        <v>1766</v>
      </c>
      <c r="V541" s="106">
        <v>46349560.723841101</v>
      </c>
      <c r="W541" s="106">
        <v>1</v>
      </c>
      <c r="X541" s="106">
        <v>1</v>
      </c>
      <c r="Y541" s="106">
        <v>1</v>
      </c>
      <c r="Z541" s="106">
        <v>3</v>
      </c>
      <c r="AA541" s="106">
        <v>7700000</v>
      </c>
      <c r="AB541" s="106">
        <v>7700000</v>
      </c>
      <c r="AC541" s="106">
        <v>7700000</v>
      </c>
      <c r="AD541" s="106">
        <v>23000000</v>
      </c>
      <c r="AE541" s="106">
        <v>46100000</v>
      </c>
      <c r="AF541" s="106">
        <v>46100000</v>
      </c>
      <c r="AH541" s="106">
        <v>691200</v>
      </c>
      <c r="AI541" s="106">
        <v>0.22500000000000001</v>
      </c>
      <c r="AJ541" s="106">
        <v>18</v>
      </c>
      <c r="AK541" s="106">
        <v>6912</v>
      </c>
      <c r="AL541" s="106">
        <v>124416</v>
      </c>
      <c r="AM541" s="106">
        <v>439528</v>
      </c>
      <c r="AN541" s="106">
        <v>439528</v>
      </c>
      <c r="AO541" s="106">
        <v>421613</v>
      </c>
      <c r="AP541" s="106" t="s">
        <v>1789</v>
      </c>
      <c r="AQ541" s="106" t="s">
        <v>1811</v>
      </c>
      <c r="AR541" s="106">
        <v>1328</v>
      </c>
      <c r="AS541" s="106">
        <v>1</v>
      </c>
      <c r="AT541" s="106">
        <v>1</v>
      </c>
      <c r="AU541" s="108" t="s">
        <v>1804</v>
      </c>
      <c r="AV541" s="108" t="s">
        <v>1812</v>
      </c>
      <c r="AW541" s="108">
        <v>1329</v>
      </c>
      <c r="AX541" s="108">
        <v>3000000</v>
      </c>
      <c r="AY541" s="108">
        <v>3000000</v>
      </c>
      <c r="BD541" s="106">
        <v>0</v>
      </c>
      <c r="BY541" s="112" t="s">
        <v>1766</v>
      </c>
      <c r="BZ541" s="112" t="s">
        <v>1766</v>
      </c>
      <c r="CA541" s="112" t="s">
        <v>1766</v>
      </c>
      <c r="CB541" s="112" t="s">
        <v>1766</v>
      </c>
      <c r="CC541" s="112" t="s">
        <v>1766</v>
      </c>
      <c r="CD541" s="112" t="s">
        <v>1766</v>
      </c>
      <c r="CE541" s="112" t="s">
        <v>1766</v>
      </c>
      <c r="CF541" s="112" t="s">
        <v>1766</v>
      </c>
      <c r="CG541" s="112" t="s">
        <v>1766</v>
      </c>
      <c r="CH541" s="112" t="s">
        <v>1766</v>
      </c>
      <c r="CI541" s="112" t="s">
        <v>1766</v>
      </c>
      <c r="CJ541" s="112" t="s">
        <v>1766</v>
      </c>
      <c r="CK541" s="112" t="s">
        <v>1766</v>
      </c>
      <c r="CL541" s="112" t="s">
        <v>1766</v>
      </c>
      <c r="CM541" s="112" t="s">
        <v>1766</v>
      </c>
      <c r="CN541" s="112" t="s">
        <v>1766</v>
      </c>
      <c r="CO541" s="112" t="s">
        <v>1766</v>
      </c>
    </row>
    <row r="542" spans="1:93">
      <c r="A542" s="106" t="s">
        <v>1014</v>
      </c>
      <c r="B542" s="106">
        <v>1</v>
      </c>
      <c r="C542" s="106">
        <v>1</v>
      </c>
      <c r="D542" s="106">
        <v>4</v>
      </c>
      <c r="E542" s="106">
        <v>1</v>
      </c>
      <c r="F542" s="106">
        <v>0</v>
      </c>
      <c r="G542" s="106" t="s">
        <v>66</v>
      </c>
      <c r="I542" s="106">
        <v>201</v>
      </c>
      <c r="J542" s="106" t="s">
        <v>1766</v>
      </c>
      <c r="K542" s="106" t="s">
        <v>1318</v>
      </c>
      <c r="L542" s="106">
        <v>6</v>
      </c>
      <c r="M542" s="106" t="s">
        <v>1629</v>
      </c>
      <c r="N542" s="106">
        <v>7</v>
      </c>
      <c r="O542" s="106">
        <v>7</v>
      </c>
      <c r="T542" s="106" t="s">
        <v>1766</v>
      </c>
      <c r="V542" s="106">
        <v>0</v>
      </c>
      <c r="W542" s="106">
        <v>0</v>
      </c>
      <c r="X542" s="106">
        <v>0</v>
      </c>
      <c r="Y542" s="106" t="s">
        <v>1766</v>
      </c>
      <c r="Z542" s="106" t="s">
        <v>1766</v>
      </c>
      <c r="AA542" s="106">
        <v>0</v>
      </c>
      <c r="AB542" s="106">
        <v>0</v>
      </c>
      <c r="AC542" s="106">
        <v>0</v>
      </c>
      <c r="AD542" s="106">
        <v>0</v>
      </c>
      <c r="AE542" s="106">
        <v>0</v>
      </c>
      <c r="AF542" s="106">
        <v>0</v>
      </c>
      <c r="AH542" s="106">
        <v>25</v>
      </c>
      <c r="AI542" s="106">
        <v>0</v>
      </c>
      <c r="AJ542" s="106">
        <v>0</v>
      </c>
      <c r="AK542" s="106">
        <v>120</v>
      </c>
      <c r="AL542" s="106">
        <v>0</v>
      </c>
      <c r="AM542" s="106">
        <v>1</v>
      </c>
      <c r="AN542" s="106">
        <v>1</v>
      </c>
      <c r="AO542" s="106">
        <v>3</v>
      </c>
      <c r="AP542" s="106" t="s">
        <v>170</v>
      </c>
      <c r="AQ542" s="106" t="s">
        <v>421</v>
      </c>
      <c r="AR542" s="106">
        <v>1261</v>
      </c>
      <c r="AS542" s="106">
        <v>20000</v>
      </c>
      <c r="AT542" s="106">
        <v>20000</v>
      </c>
      <c r="AW542" s="106"/>
      <c r="AX542" s="106"/>
      <c r="BD542" s="106">
        <v>0</v>
      </c>
      <c r="BG542" s="106"/>
      <c r="BH542" s="106"/>
      <c r="BY542" s="112" t="s">
        <v>1630</v>
      </c>
      <c r="BZ542" s="112" t="s">
        <v>1631</v>
      </c>
      <c r="CA542" s="112" t="s">
        <v>1631</v>
      </c>
      <c r="CB542" s="112" t="s">
        <v>170</v>
      </c>
      <c r="CC542" s="112">
        <v>19</v>
      </c>
      <c r="CD542" s="112" t="s">
        <v>1766</v>
      </c>
      <c r="CE542" s="112" t="s">
        <v>1766</v>
      </c>
      <c r="CF542" s="112" t="s">
        <v>1766</v>
      </c>
      <c r="CG542" s="112" t="s">
        <v>1766</v>
      </c>
      <c r="CH542" s="112" t="s">
        <v>1766</v>
      </c>
      <c r="CI542" s="112" t="s">
        <v>1766</v>
      </c>
      <c r="CJ542" s="112" t="s">
        <v>1766</v>
      </c>
      <c r="CK542" s="112" t="s">
        <v>1766</v>
      </c>
      <c r="CL542" s="112" t="s">
        <v>1766</v>
      </c>
      <c r="CM542" s="112" t="s">
        <v>1766</v>
      </c>
      <c r="CN542" s="112" t="s">
        <v>1766</v>
      </c>
      <c r="CO542" s="112" t="s">
        <v>1766</v>
      </c>
    </row>
    <row r="543" spans="1:93">
      <c r="A543" s="106" t="s">
        <v>1014</v>
      </c>
      <c r="B543" s="106">
        <v>2</v>
      </c>
      <c r="C543" s="106">
        <v>1</v>
      </c>
      <c r="D543" s="106">
        <v>4</v>
      </c>
      <c r="E543" s="106">
        <v>1</v>
      </c>
      <c r="F543" s="106">
        <v>0</v>
      </c>
      <c r="G543" s="106" t="s">
        <v>66</v>
      </c>
      <c r="I543" s="106">
        <v>201</v>
      </c>
      <c r="J543" s="106" t="s">
        <v>1766</v>
      </c>
      <c r="K543" s="106" t="s">
        <v>1318</v>
      </c>
      <c r="L543" s="106">
        <v>6</v>
      </c>
      <c r="M543" s="106" t="s">
        <v>1632</v>
      </c>
      <c r="N543" s="106">
        <v>7</v>
      </c>
      <c r="O543" s="106">
        <v>7</v>
      </c>
      <c r="T543" s="106" t="s">
        <v>1766</v>
      </c>
      <c r="V543" s="106">
        <v>3000</v>
      </c>
      <c r="W543" s="106">
        <v>1</v>
      </c>
      <c r="X543" s="106">
        <v>1</v>
      </c>
      <c r="Y543" s="106" t="s">
        <v>1766</v>
      </c>
      <c r="Z543" s="106" t="s">
        <v>1766</v>
      </c>
      <c r="AA543" s="106">
        <v>1500</v>
      </c>
      <c r="AB543" s="106">
        <v>1500</v>
      </c>
      <c r="AC543" s="106">
        <v>0</v>
      </c>
      <c r="AD543" s="106">
        <v>0</v>
      </c>
      <c r="AE543" s="106">
        <v>3000</v>
      </c>
      <c r="AF543" s="106">
        <v>3000</v>
      </c>
      <c r="AH543" s="106">
        <v>54</v>
      </c>
      <c r="AI543" s="106">
        <v>0</v>
      </c>
      <c r="AJ543" s="106">
        <v>0</v>
      </c>
      <c r="AK543" s="106">
        <v>120</v>
      </c>
      <c r="AL543" s="106">
        <v>0</v>
      </c>
      <c r="AM543" s="106">
        <v>1</v>
      </c>
      <c r="AN543" s="106">
        <v>1</v>
      </c>
      <c r="AO543" s="106">
        <v>9</v>
      </c>
      <c r="AP543" s="106" t="s">
        <v>170</v>
      </c>
      <c r="AQ543" s="106" t="s">
        <v>421</v>
      </c>
      <c r="AR543" s="106">
        <v>1261</v>
      </c>
      <c r="AS543" s="106">
        <v>40000</v>
      </c>
      <c r="AT543" s="106">
        <v>40000</v>
      </c>
      <c r="AW543" s="106"/>
      <c r="AX543" s="106"/>
      <c r="BD543" s="106">
        <v>0</v>
      </c>
      <c r="BG543" s="106"/>
      <c r="BH543" s="106"/>
      <c r="BY543" s="112" t="s">
        <v>1766</v>
      </c>
      <c r="BZ543" s="112" t="s">
        <v>1766</v>
      </c>
      <c r="CA543" s="112" t="s">
        <v>1766</v>
      </c>
      <c r="CB543" s="112" t="s">
        <v>1766</v>
      </c>
      <c r="CC543" s="112" t="s">
        <v>1766</v>
      </c>
      <c r="CD543" s="112" t="s">
        <v>1766</v>
      </c>
      <c r="CE543" s="112" t="s">
        <v>1766</v>
      </c>
      <c r="CF543" s="112" t="s">
        <v>1766</v>
      </c>
      <c r="CG543" s="112" t="s">
        <v>1766</v>
      </c>
      <c r="CH543" s="112" t="s">
        <v>1766</v>
      </c>
      <c r="CI543" s="112" t="s">
        <v>1766</v>
      </c>
      <c r="CJ543" s="112" t="s">
        <v>1766</v>
      </c>
      <c r="CK543" s="112" t="s">
        <v>1766</v>
      </c>
      <c r="CL543" s="112" t="s">
        <v>1766</v>
      </c>
      <c r="CM543" s="112" t="s">
        <v>1766</v>
      </c>
      <c r="CN543" s="112" t="s">
        <v>1766</v>
      </c>
      <c r="CO543" s="112" t="s">
        <v>1766</v>
      </c>
    </row>
    <row r="544" spans="1:93">
      <c r="A544" s="106" t="s">
        <v>1014</v>
      </c>
      <c r="B544" s="106">
        <v>3</v>
      </c>
      <c r="C544" s="106">
        <v>1</v>
      </c>
      <c r="D544" s="106">
        <v>4</v>
      </c>
      <c r="E544" s="106">
        <v>1</v>
      </c>
      <c r="F544" s="106">
        <v>0</v>
      </c>
      <c r="G544" s="106" t="s">
        <v>66</v>
      </c>
      <c r="I544" s="106">
        <v>201</v>
      </c>
      <c r="J544" s="106" t="s">
        <v>1766</v>
      </c>
      <c r="K544" s="106" t="s">
        <v>1318</v>
      </c>
      <c r="L544" s="106">
        <v>6</v>
      </c>
      <c r="M544" s="106" t="s">
        <v>1633</v>
      </c>
      <c r="N544" s="106">
        <v>7</v>
      </c>
      <c r="O544" s="106">
        <v>7</v>
      </c>
      <c r="T544" s="106" t="s">
        <v>1766</v>
      </c>
      <c r="V544" s="106">
        <v>6000</v>
      </c>
      <c r="W544" s="106">
        <v>1</v>
      </c>
      <c r="X544" s="106">
        <v>1</v>
      </c>
      <c r="Y544" s="106" t="s">
        <v>1766</v>
      </c>
      <c r="Z544" s="106" t="s">
        <v>1766</v>
      </c>
      <c r="AA544" s="106">
        <v>3000</v>
      </c>
      <c r="AB544" s="106">
        <v>3000</v>
      </c>
      <c r="AC544" s="106">
        <v>0</v>
      </c>
      <c r="AD544" s="106">
        <v>0</v>
      </c>
      <c r="AE544" s="106">
        <v>6000</v>
      </c>
      <c r="AF544" s="106">
        <v>6000</v>
      </c>
      <c r="AH544" s="106">
        <v>108</v>
      </c>
      <c r="AI544" s="106">
        <v>0</v>
      </c>
      <c r="AJ544" s="106">
        <v>1</v>
      </c>
      <c r="AK544" s="106">
        <v>120</v>
      </c>
      <c r="AL544" s="106">
        <v>120</v>
      </c>
      <c r="AM544" s="106">
        <v>1</v>
      </c>
      <c r="AN544" s="106">
        <v>1</v>
      </c>
      <c r="AO544" s="106">
        <v>21</v>
      </c>
      <c r="AP544" s="106" t="s">
        <v>170</v>
      </c>
      <c r="AQ544" s="106" t="s">
        <v>421</v>
      </c>
      <c r="AR544" s="106">
        <v>1261</v>
      </c>
      <c r="AS544" s="106">
        <v>60000</v>
      </c>
      <c r="AT544" s="106">
        <v>60000</v>
      </c>
      <c r="AW544" s="106"/>
      <c r="AX544" s="106"/>
      <c r="BD544" s="106">
        <v>0</v>
      </c>
      <c r="BG544" s="106"/>
      <c r="BH544" s="106"/>
      <c r="BY544" s="112" t="s">
        <v>1766</v>
      </c>
      <c r="BZ544" s="112" t="s">
        <v>1766</v>
      </c>
      <c r="CA544" s="112" t="s">
        <v>1766</v>
      </c>
      <c r="CB544" s="112" t="s">
        <v>1766</v>
      </c>
      <c r="CC544" s="112" t="s">
        <v>1766</v>
      </c>
      <c r="CD544" s="112" t="s">
        <v>1766</v>
      </c>
      <c r="CE544" s="112" t="s">
        <v>1766</v>
      </c>
      <c r="CF544" s="112" t="s">
        <v>1766</v>
      </c>
      <c r="CG544" s="112" t="s">
        <v>1766</v>
      </c>
      <c r="CH544" s="112" t="s">
        <v>1766</v>
      </c>
      <c r="CI544" s="112" t="s">
        <v>1766</v>
      </c>
      <c r="CJ544" s="112" t="s">
        <v>1766</v>
      </c>
      <c r="CK544" s="112" t="s">
        <v>1766</v>
      </c>
      <c r="CL544" s="112" t="s">
        <v>1766</v>
      </c>
      <c r="CM544" s="112" t="s">
        <v>1766</v>
      </c>
      <c r="CN544" s="112" t="s">
        <v>1766</v>
      </c>
      <c r="CO544" s="112" t="s">
        <v>1766</v>
      </c>
    </row>
    <row r="545" spans="1:93">
      <c r="A545" s="106" t="s">
        <v>1014</v>
      </c>
      <c r="B545" s="106">
        <v>4</v>
      </c>
      <c r="C545" s="106">
        <v>1</v>
      </c>
      <c r="D545" s="106">
        <v>4</v>
      </c>
      <c r="E545" s="106">
        <v>1</v>
      </c>
      <c r="F545" s="106">
        <v>1</v>
      </c>
      <c r="G545" s="106" t="s">
        <v>66</v>
      </c>
      <c r="I545" s="106">
        <v>201</v>
      </c>
      <c r="J545" s="106" t="s">
        <v>1766</v>
      </c>
      <c r="K545" s="106" t="s">
        <v>1318</v>
      </c>
      <c r="L545" s="106">
        <v>6</v>
      </c>
      <c r="M545" s="106" t="s">
        <v>1634</v>
      </c>
      <c r="N545" s="106">
        <v>7</v>
      </c>
      <c r="O545" s="106">
        <v>7</v>
      </c>
      <c r="T545" s="106" t="s">
        <v>1766</v>
      </c>
      <c r="V545" s="106">
        <v>12000</v>
      </c>
      <c r="W545" s="106">
        <v>1</v>
      </c>
      <c r="X545" s="106">
        <v>1</v>
      </c>
      <c r="Y545" s="106" t="s">
        <v>1766</v>
      </c>
      <c r="Z545" s="106" t="s">
        <v>1766</v>
      </c>
      <c r="AA545" s="106">
        <v>6000</v>
      </c>
      <c r="AB545" s="106">
        <v>6000</v>
      </c>
      <c r="AC545" s="106">
        <v>0</v>
      </c>
      <c r="AD545" s="106">
        <v>0</v>
      </c>
      <c r="AE545" s="106">
        <v>12000</v>
      </c>
      <c r="AF545" s="106">
        <v>12000</v>
      </c>
      <c r="AH545" s="106">
        <v>216</v>
      </c>
      <c r="AI545" s="106">
        <v>0</v>
      </c>
      <c r="AJ545" s="106">
        <v>1</v>
      </c>
      <c r="AK545" s="106">
        <v>120</v>
      </c>
      <c r="AL545" s="106">
        <v>120</v>
      </c>
      <c r="AM545" s="106">
        <v>1</v>
      </c>
      <c r="AN545" s="106">
        <v>1</v>
      </c>
      <c r="AO545" s="106">
        <v>45</v>
      </c>
      <c r="AP545" s="106" t="s">
        <v>170</v>
      </c>
      <c r="AQ545" s="106" t="s">
        <v>421</v>
      </c>
      <c r="AR545" s="106">
        <v>1261</v>
      </c>
      <c r="AS545" s="106">
        <v>80000</v>
      </c>
      <c r="AT545" s="106">
        <v>80000</v>
      </c>
      <c r="AW545" s="106"/>
      <c r="AX545" s="106"/>
      <c r="BD545" s="106">
        <v>0</v>
      </c>
      <c r="BG545" s="106"/>
      <c r="BH545" s="106"/>
      <c r="BY545" s="112" t="s">
        <v>1766</v>
      </c>
      <c r="BZ545" s="112" t="s">
        <v>1766</v>
      </c>
      <c r="CA545" s="112" t="s">
        <v>1766</v>
      </c>
      <c r="CB545" s="112" t="s">
        <v>1766</v>
      </c>
      <c r="CC545" s="112" t="s">
        <v>1766</v>
      </c>
      <c r="CD545" s="112" t="s">
        <v>1766</v>
      </c>
      <c r="CE545" s="112" t="s">
        <v>1766</v>
      </c>
      <c r="CF545" s="112" t="s">
        <v>1766</v>
      </c>
      <c r="CG545" s="112" t="s">
        <v>1766</v>
      </c>
      <c r="CH545" s="112" t="s">
        <v>1766</v>
      </c>
      <c r="CI545" s="112" t="s">
        <v>1766</v>
      </c>
      <c r="CJ545" s="112" t="s">
        <v>1766</v>
      </c>
      <c r="CK545" s="112" t="s">
        <v>1766</v>
      </c>
      <c r="CL545" s="112" t="s">
        <v>1766</v>
      </c>
      <c r="CM545" s="112" t="s">
        <v>1766</v>
      </c>
      <c r="CN545" s="112" t="s">
        <v>1766</v>
      </c>
      <c r="CO545" s="112" t="s">
        <v>1766</v>
      </c>
    </row>
    <row r="546" spans="1:93">
      <c r="A546" s="106" t="s">
        <v>1014</v>
      </c>
      <c r="B546" s="106">
        <v>5</v>
      </c>
      <c r="C546" s="106">
        <v>1</v>
      </c>
      <c r="D546" s="106">
        <v>4</v>
      </c>
      <c r="E546" s="106">
        <v>1</v>
      </c>
      <c r="F546" s="106">
        <v>1</v>
      </c>
      <c r="G546" s="106" t="s">
        <v>66</v>
      </c>
      <c r="I546" s="106">
        <v>201</v>
      </c>
      <c r="J546" s="106" t="s">
        <v>1766</v>
      </c>
      <c r="K546" s="106" t="s">
        <v>1318</v>
      </c>
      <c r="L546" s="106">
        <v>6</v>
      </c>
      <c r="M546" s="106" t="s">
        <v>1635</v>
      </c>
      <c r="N546" s="106">
        <v>7</v>
      </c>
      <c r="O546" s="106">
        <v>7</v>
      </c>
      <c r="T546" s="106" t="s">
        <v>1766</v>
      </c>
      <c r="V546" s="106">
        <v>23160</v>
      </c>
      <c r="W546" s="106">
        <v>1</v>
      </c>
      <c r="X546" s="106">
        <v>1</v>
      </c>
      <c r="Y546" s="106">
        <v>1</v>
      </c>
      <c r="Z546" s="106" t="s">
        <v>1766</v>
      </c>
      <c r="AA546" s="106">
        <v>7700</v>
      </c>
      <c r="AB546" s="106">
        <v>7700</v>
      </c>
      <c r="AC546" s="106">
        <v>7700</v>
      </c>
      <c r="AD546" s="106">
        <v>0</v>
      </c>
      <c r="AE546" s="106">
        <v>23100</v>
      </c>
      <c r="AF546" s="106">
        <v>23100</v>
      </c>
      <c r="AH546" s="106">
        <v>450</v>
      </c>
      <c r="AI546" s="106">
        <v>0</v>
      </c>
      <c r="AJ546" s="106">
        <v>2</v>
      </c>
      <c r="AK546" s="106">
        <v>120</v>
      </c>
      <c r="AL546" s="106">
        <v>240</v>
      </c>
      <c r="AM546" s="106">
        <v>1</v>
      </c>
      <c r="AN546" s="106">
        <v>1</v>
      </c>
      <c r="AO546" s="106">
        <v>91</v>
      </c>
      <c r="AP546" s="106" t="s">
        <v>170</v>
      </c>
      <c r="AQ546" s="106" t="s">
        <v>421</v>
      </c>
      <c r="AR546" s="106">
        <v>1261</v>
      </c>
      <c r="AS546" s="106">
        <v>100000</v>
      </c>
      <c r="AT546" s="106">
        <v>100000</v>
      </c>
      <c r="AW546" s="106"/>
      <c r="AX546" s="106"/>
      <c r="BD546" s="106">
        <v>0</v>
      </c>
      <c r="BG546" s="106"/>
      <c r="BH546" s="106"/>
      <c r="BY546" s="112" t="s">
        <v>1766</v>
      </c>
      <c r="BZ546" s="112" t="s">
        <v>1766</v>
      </c>
      <c r="CA546" s="112" t="s">
        <v>1766</v>
      </c>
      <c r="CB546" s="112" t="s">
        <v>1766</v>
      </c>
      <c r="CC546" s="112" t="s">
        <v>1766</v>
      </c>
      <c r="CD546" s="112" t="s">
        <v>1766</v>
      </c>
      <c r="CE546" s="112" t="s">
        <v>1766</v>
      </c>
      <c r="CF546" s="112" t="s">
        <v>1766</v>
      </c>
      <c r="CG546" s="112" t="s">
        <v>1766</v>
      </c>
      <c r="CH546" s="112" t="s">
        <v>1766</v>
      </c>
      <c r="CI546" s="112" t="s">
        <v>1766</v>
      </c>
      <c r="CJ546" s="112" t="s">
        <v>1766</v>
      </c>
      <c r="CK546" s="112" t="s">
        <v>1766</v>
      </c>
      <c r="CL546" s="112" t="s">
        <v>1766</v>
      </c>
      <c r="CM546" s="112" t="s">
        <v>1766</v>
      </c>
      <c r="CN546" s="112" t="s">
        <v>1766</v>
      </c>
      <c r="CO546" s="112" t="s">
        <v>1766</v>
      </c>
    </row>
    <row r="547" spans="1:93">
      <c r="A547" s="106" t="s">
        <v>1014</v>
      </c>
      <c r="B547" s="106">
        <v>6</v>
      </c>
      <c r="C547" s="106">
        <v>1</v>
      </c>
      <c r="D547" s="106">
        <v>4</v>
      </c>
      <c r="E547" s="106">
        <v>1</v>
      </c>
      <c r="F547" s="106">
        <v>1</v>
      </c>
      <c r="G547" s="106" t="s">
        <v>66</v>
      </c>
      <c r="I547" s="106">
        <v>201</v>
      </c>
      <c r="J547" s="106" t="s">
        <v>1766</v>
      </c>
      <c r="K547" s="106" t="s">
        <v>1318</v>
      </c>
      <c r="L547" s="106" t="s">
        <v>1324</v>
      </c>
      <c r="M547" s="106" t="s">
        <v>1636</v>
      </c>
      <c r="N547" s="106">
        <v>7</v>
      </c>
      <c r="O547" s="106">
        <v>7</v>
      </c>
      <c r="T547" s="106" t="s">
        <v>1766</v>
      </c>
      <c r="V547" s="106">
        <v>43077.599999999999</v>
      </c>
      <c r="W547" s="106">
        <v>1</v>
      </c>
      <c r="X547" s="106">
        <v>1</v>
      </c>
      <c r="Y547" s="106">
        <v>1</v>
      </c>
      <c r="Z547" s="106" t="s">
        <v>1766</v>
      </c>
      <c r="AA547" s="106">
        <v>14000</v>
      </c>
      <c r="AB547" s="106">
        <v>14000</v>
      </c>
      <c r="AC547" s="106">
        <v>14000</v>
      </c>
      <c r="AD547" s="106">
        <v>0</v>
      </c>
      <c r="AE547" s="106">
        <v>42000</v>
      </c>
      <c r="AF547" s="106">
        <v>42000</v>
      </c>
      <c r="AH547" s="106">
        <v>810</v>
      </c>
      <c r="AI547" s="106">
        <v>0</v>
      </c>
      <c r="AJ547" s="106">
        <v>2</v>
      </c>
      <c r="AK547" s="106">
        <v>120</v>
      </c>
      <c r="AL547" s="106">
        <v>240</v>
      </c>
      <c r="AM547" s="106">
        <v>270</v>
      </c>
      <c r="AN547" s="106">
        <v>270</v>
      </c>
      <c r="AO547" s="106">
        <v>177</v>
      </c>
      <c r="AP547" s="106" t="s">
        <v>170</v>
      </c>
      <c r="AQ547" s="106" t="s">
        <v>421</v>
      </c>
      <c r="AR547" s="106">
        <v>1261</v>
      </c>
      <c r="AS547" s="106">
        <v>140000</v>
      </c>
      <c r="AT547" s="106">
        <v>140000</v>
      </c>
      <c r="AW547" s="106"/>
      <c r="AX547" s="106"/>
      <c r="BD547" s="106">
        <v>0</v>
      </c>
      <c r="BG547" s="106"/>
      <c r="BH547" s="106"/>
      <c r="BY547" s="112" t="s">
        <v>1766</v>
      </c>
      <c r="BZ547" s="112" t="s">
        <v>1766</v>
      </c>
      <c r="CA547" s="112" t="s">
        <v>1766</v>
      </c>
      <c r="CB547" s="112" t="s">
        <v>1766</v>
      </c>
      <c r="CC547" s="112" t="s">
        <v>1766</v>
      </c>
      <c r="CD547" s="112" t="s">
        <v>1766</v>
      </c>
      <c r="CE547" s="112" t="s">
        <v>1766</v>
      </c>
      <c r="CF547" s="112" t="s">
        <v>1766</v>
      </c>
      <c r="CG547" s="112" t="s">
        <v>1766</v>
      </c>
      <c r="CH547" s="112" t="s">
        <v>1766</v>
      </c>
      <c r="CI547" s="112" t="s">
        <v>1766</v>
      </c>
      <c r="CJ547" s="112" t="s">
        <v>1766</v>
      </c>
      <c r="CK547" s="112" t="s">
        <v>1766</v>
      </c>
      <c r="CL547" s="112" t="s">
        <v>1766</v>
      </c>
      <c r="CM547" s="112" t="s">
        <v>1766</v>
      </c>
      <c r="CN547" s="112" t="s">
        <v>1766</v>
      </c>
      <c r="CO547" s="112" t="s">
        <v>1766</v>
      </c>
    </row>
    <row r="548" spans="1:93">
      <c r="A548" s="106" t="s">
        <v>1014</v>
      </c>
      <c r="B548" s="106">
        <v>7</v>
      </c>
      <c r="C548" s="106">
        <v>1</v>
      </c>
      <c r="D548" s="106">
        <v>4</v>
      </c>
      <c r="E548" s="106">
        <v>1</v>
      </c>
      <c r="F548" s="106">
        <v>1</v>
      </c>
      <c r="G548" s="106" t="s">
        <v>66</v>
      </c>
      <c r="I548" s="106">
        <v>201</v>
      </c>
      <c r="J548" s="106" t="s">
        <v>1766</v>
      </c>
      <c r="K548" s="106" t="s">
        <v>1318</v>
      </c>
      <c r="L548" s="106" t="s">
        <v>1325</v>
      </c>
      <c r="M548" s="106" t="s">
        <v>1637</v>
      </c>
      <c r="N548" s="106">
        <v>12</v>
      </c>
      <c r="O548" s="106">
        <v>12</v>
      </c>
      <c r="T548" s="106" t="s">
        <v>1766</v>
      </c>
      <c r="V548" s="106">
        <v>77108.903999999995</v>
      </c>
      <c r="W548" s="106">
        <v>1</v>
      </c>
      <c r="X548" s="106">
        <v>1</v>
      </c>
      <c r="Y548" s="106">
        <v>1</v>
      </c>
      <c r="Z548" s="106" t="s">
        <v>1766</v>
      </c>
      <c r="AA548" s="106">
        <v>26000</v>
      </c>
      <c r="AB548" s="106">
        <v>26000</v>
      </c>
      <c r="AC548" s="106">
        <v>26000</v>
      </c>
      <c r="AD548" s="106">
        <v>0</v>
      </c>
      <c r="AE548" s="106">
        <v>78000</v>
      </c>
      <c r="AF548" s="106">
        <v>78000</v>
      </c>
      <c r="AH548" s="106">
        <v>1350</v>
      </c>
      <c r="AI548" s="106">
        <v>0</v>
      </c>
      <c r="AJ548" s="106">
        <v>3</v>
      </c>
      <c r="AK548" s="106">
        <v>120</v>
      </c>
      <c r="AL548" s="106">
        <v>360</v>
      </c>
      <c r="AM548" s="106">
        <v>690</v>
      </c>
      <c r="AN548" s="106">
        <v>690</v>
      </c>
      <c r="AO548" s="106">
        <v>331</v>
      </c>
      <c r="AP548" s="106" t="s">
        <v>170</v>
      </c>
      <c r="AQ548" s="106" t="s">
        <v>421</v>
      </c>
      <c r="AR548" s="106">
        <v>1261</v>
      </c>
      <c r="AS548" s="106">
        <v>180000</v>
      </c>
      <c r="AT548" s="106">
        <v>180000</v>
      </c>
      <c r="AW548" s="106"/>
      <c r="AX548" s="106"/>
      <c r="BD548" s="106">
        <v>0</v>
      </c>
      <c r="BG548" s="106"/>
      <c r="BH548" s="106"/>
      <c r="BY548" s="112" t="s">
        <v>1766</v>
      </c>
      <c r="BZ548" s="112" t="s">
        <v>1766</v>
      </c>
      <c r="CA548" s="112" t="s">
        <v>1766</v>
      </c>
      <c r="CB548" s="112" t="s">
        <v>1766</v>
      </c>
      <c r="CC548" s="112" t="s">
        <v>1766</v>
      </c>
      <c r="CD548" s="112" t="s">
        <v>1766</v>
      </c>
      <c r="CE548" s="112" t="s">
        <v>1766</v>
      </c>
      <c r="CF548" s="112" t="s">
        <v>1766</v>
      </c>
      <c r="CG548" s="112" t="s">
        <v>1766</v>
      </c>
      <c r="CH548" s="112" t="s">
        <v>1766</v>
      </c>
      <c r="CI548" s="112" t="s">
        <v>1766</v>
      </c>
      <c r="CJ548" s="112" t="s">
        <v>1766</v>
      </c>
      <c r="CK548" s="112" t="s">
        <v>1766</v>
      </c>
      <c r="CL548" s="112" t="s">
        <v>1766</v>
      </c>
      <c r="CM548" s="112" t="s">
        <v>1766</v>
      </c>
      <c r="CN548" s="112" t="s">
        <v>1766</v>
      </c>
      <c r="CO548" s="112" t="s">
        <v>1766</v>
      </c>
    </row>
    <row r="549" spans="1:93">
      <c r="A549" s="106" t="s">
        <v>1014</v>
      </c>
      <c r="B549" s="106">
        <v>8</v>
      </c>
      <c r="C549" s="106">
        <v>1</v>
      </c>
      <c r="D549" s="106">
        <v>4</v>
      </c>
      <c r="E549" s="106">
        <v>1</v>
      </c>
      <c r="F549" s="106">
        <v>1</v>
      </c>
      <c r="G549" s="106" t="s">
        <v>66</v>
      </c>
      <c r="I549" s="106">
        <v>201</v>
      </c>
      <c r="J549" s="106" t="s">
        <v>1766</v>
      </c>
      <c r="K549" s="106" t="s">
        <v>1318</v>
      </c>
      <c r="L549" s="106" t="s">
        <v>1326</v>
      </c>
      <c r="M549" s="106" t="s">
        <v>1638</v>
      </c>
      <c r="N549" s="106">
        <v>12</v>
      </c>
      <c r="O549" s="106">
        <v>12</v>
      </c>
      <c r="T549" s="106" t="s">
        <v>1766</v>
      </c>
      <c r="V549" s="106">
        <v>132627.31487999999</v>
      </c>
      <c r="W549" s="106">
        <v>1</v>
      </c>
      <c r="X549" s="106">
        <v>1</v>
      </c>
      <c r="Y549" s="106">
        <v>1</v>
      </c>
      <c r="Z549" s="106" t="s">
        <v>1766</v>
      </c>
      <c r="AA549" s="106">
        <v>44000</v>
      </c>
      <c r="AB549" s="106">
        <v>44000</v>
      </c>
      <c r="AC549" s="106">
        <v>44000</v>
      </c>
      <c r="AD549" s="106">
        <v>0</v>
      </c>
      <c r="AE549" s="106">
        <v>132000</v>
      </c>
      <c r="AF549" s="106">
        <v>132000</v>
      </c>
      <c r="AH549" s="106">
        <v>2160</v>
      </c>
      <c r="AI549" s="106">
        <v>0</v>
      </c>
      <c r="AJ549" s="106">
        <v>3</v>
      </c>
      <c r="AK549" s="106">
        <v>120</v>
      </c>
      <c r="AL549" s="106">
        <v>360</v>
      </c>
      <c r="AM549" s="106">
        <v>1500</v>
      </c>
      <c r="AN549" s="106">
        <v>1500</v>
      </c>
      <c r="AO549" s="106">
        <v>596</v>
      </c>
      <c r="AP549" s="106" t="s">
        <v>170</v>
      </c>
      <c r="AQ549" s="106" t="s">
        <v>421</v>
      </c>
      <c r="AR549" s="106">
        <v>1261</v>
      </c>
      <c r="AS549" s="106">
        <v>220000</v>
      </c>
      <c r="AT549" s="106">
        <v>220000</v>
      </c>
      <c r="AW549" s="106"/>
      <c r="AX549" s="106"/>
      <c r="BD549" s="106">
        <v>0</v>
      </c>
      <c r="BG549" s="106"/>
      <c r="BH549" s="106"/>
      <c r="BY549" s="112" t="s">
        <v>1766</v>
      </c>
      <c r="BZ549" s="112" t="s">
        <v>1766</v>
      </c>
      <c r="CA549" s="112" t="s">
        <v>1766</v>
      </c>
      <c r="CB549" s="112" t="s">
        <v>1766</v>
      </c>
      <c r="CC549" s="112" t="s">
        <v>1766</v>
      </c>
      <c r="CD549" s="112" t="s">
        <v>1766</v>
      </c>
      <c r="CE549" s="112" t="s">
        <v>1766</v>
      </c>
      <c r="CF549" s="112" t="s">
        <v>1766</v>
      </c>
      <c r="CG549" s="112" t="s">
        <v>1766</v>
      </c>
      <c r="CH549" s="112" t="s">
        <v>1766</v>
      </c>
      <c r="CI549" s="112" t="s">
        <v>1766</v>
      </c>
      <c r="CJ549" s="112" t="s">
        <v>1766</v>
      </c>
      <c r="CK549" s="112" t="s">
        <v>1766</v>
      </c>
      <c r="CL549" s="112" t="s">
        <v>1766</v>
      </c>
      <c r="CM549" s="112" t="s">
        <v>1766</v>
      </c>
      <c r="CN549" s="112" t="s">
        <v>1766</v>
      </c>
      <c r="CO549" s="112" t="s">
        <v>1766</v>
      </c>
    </row>
    <row r="550" spans="1:93">
      <c r="A550" s="106" t="s">
        <v>1014</v>
      </c>
      <c r="B550" s="106">
        <v>9</v>
      </c>
      <c r="C550" s="106">
        <v>1</v>
      </c>
      <c r="D550" s="106">
        <v>4</v>
      </c>
      <c r="E550" s="106">
        <v>1</v>
      </c>
      <c r="F550" s="106">
        <v>1</v>
      </c>
      <c r="G550" s="106" t="s">
        <v>66</v>
      </c>
      <c r="I550" s="106">
        <v>201</v>
      </c>
      <c r="J550" s="106" t="s">
        <v>1766</v>
      </c>
      <c r="K550" s="106" t="s">
        <v>1318</v>
      </c>
      <c r="L550" s="106" t="s">
        <v>1327</v>
      </c>
      <c r="M550" s="106" t="s">
        <v>1639</v>
      </c>
      <c r="N550" s="106">
        <v>12</v>
      </c>
      <c r="O550" s="106">
        <v>12</v>
      </c>
      <c r="T550" s="106" t="s">
        <v>1766</v>
      </c>
      <c r="V550" s="106">
        <v>218835.069552</v>
      </c>
      <c r="W550" s="106">
        <v>1</v>
      </c>
      <c r="X550" s="106">
        <v>1</v>
      </c>
      <c r="Y550" s="106">
        <v>1</v>
      </c>
      <c r="Z550" s="106" t="s">
        <v>1766</v>
      </c>
      <c r="AA550" s="106">
        <v>73000</v>
      </c>
      <c r="AB550" s="106">
        <v>73000</v>
      </c>
      <c r="AC550" s="106">
        <v>73000</v>
      </c>
      <c r="AD550" s="106">
        <v>0</v>
      </c>
      <c r="AE550" s="106">
        <v>219000</v>
      </c>
      <c r="AF550" s="106">
        <v>219000</v>
      </c>
      <c r="AH550" s="106">
        <v>4320</v>
      </c>
      <c r="AI550" s="106">
        <v>0</v>
      </c>
      <c r="AJ550" s="106">
        <v>4</v>
      </c>
      <c r="AK550" s="106">
        <v>120</v>
      </c>
      <c r="AL550" s="106">
        <v>480</v>
      </c>
      <c r="AM550" s="106">
        <v>3540</v>
      </c>
      <c r="AN550" s="106">
        <v>3540</v>
      </c>
      <c r="AO550" s="106">
        <v>1034</v>
      </c>
      <c r="AP550" s="106" t="s">
        <v>170</v>
      </c>
      <c r="AQ550" s="106" t="s">
        <v>421</v>
      </c>
      <c r="AR550" s="106">
        <v>1261</v>
      </c>
      <c r="AS550" s="106">
        <v>260000</v>
      </c>
      <c r="AT550" s="106">
        <v>260000</v>
      </c>
      <c r="AW550" s="106"/>
      <c r="AX550" s="106"/>
      <c r="BD550" s="106">
        <v>0</v>
      </c>
      <c r="BG550" s="106"/>
      <c r="BH550" s="106"/>
      <c r="BY550" s="112" t="s">
        <v>1766</v>
      </c>
      <c r="BZ550" s="112" t="s">
        <v>1766</v>
      </c>
      <c r="CA550" s="112" t="s">
        <v>1766</v>
      </c>
      <c r="CB550" s="112" t="s">
        <v>1766</v>
      </c>
      <c r="CC550" s="112" t="s">
        <v>1766</v>
      </c>
      <c r="CD550" s="112" t="s">
        <v>1766</v>
      </c>
      <c r="CE550" s="112" t="s">
        <v>1766</v>
      </c>
      <c r="CF550" s="112" t="s">
        <v>1766</v>
      </c>
      <c r="CG550" s="112" t="s">
        <v>1766</v>
      </c>
      <c r="CH550" s="112" t="s">
        <v>1766</v>
      </c>
      <c r="CI550" s="112" t="s">
        <v>1766</v>
      </c>
      <c r="CJ550" s="112" t="s">
        <v>1766</v>
      </c>
      <c r="CK550" s="112" t="s">
        <v>1766</v>
      </c>
      <c r="CL550" s="112" t="s">
        <v>1766</v>
      </c>
      <c r="CM550" s="112" t="s">
        <v>1766</v>
      </c>
      <c r="CN550" s="112" t="s">
        <v>1766</v>
      </c>
      <c r="CO550" s="112" t="s">
        <v>1766</v>
      </c>
    </row>
    <row r="551" spans="1:93">
      <c r="A551" s="106" t="s">
        <v>1014</v>
      </c>
      <c r="B551" s="106">
        <v>10</v>
      </c>
      <c r="C551" s="106">
        <v>1</v>
      </c>
      <c r="D551" s="106">
        <v>4</v>
      </c>
      <c r="E551" s="106">
        <v>1</v>
      </c>
      <c r="F551" s="106">
        <v>1</v>
      </c>
      <c r="G551" s="106" t="s">
        <v>66</v>
      </c>
      <c r="I551" s="106">
        <v>201</v>
      </c>
      <c r="J551" s="106" t="s">
        <v>1766</v>
      </c>
      <c r="K551" s="106" t="s">
        <v>1318</v>
      </c>
      <c r="L551" s="106" t="s">
        <v>1328</v>
      </c>
      <c r="M551" s="106" t="s">
        <v>1640</v>
      </c>
      <c r="N551" s="106">
        <v>12</v>
      </c>
      <c r="O551" s="106">
        <v>12</v>
      </c>
      <c r="T551" s="106" t="s">
        <v>1766</v>
      </c>
      <c r="V551" s="106">
        <v>345759.40989215998</v>
      </c>
      <c r="W551" s="106">
        <v>1</v>
      </c>
      <c r="X551" s="106">
        <v>1</v>
      </c>
      <c r="Y551" s="106">
        <v>1</v>
      </c>
      <c r="Z551" s="106">
        <v>2</v>
      </c>
      <c r="AA551" s="106">
        <v>69000</v>
      </c>
      <c r="AB551" s="106">
        <v>69000</v>
      </c>
      <c r="AC551" s="106">
        <v>69000</v>
      </c>
      <c r="AD551" s="106">
        <v>140000</v>
      </c>
      <c r="AE551" s="106">
        <v>347000</v>
      </c>
      <c r="AF551" s="106">
        <v>347000</v>
      </c>
      <c r="AH551" s="106">
        <v>6480</v>
      </c>
      <c r="AI551" s="106">
        <v>0.01</v>
      </c>
      <c r="AJ551" s="106">
        <v>4</v>
      </c>
      <c r="AK551" s="106">
        <v>120</v>
      </c>
      <c r="AL551" s="106">
        <v>480</v>
      </c>
      <c r="AM551" s="106">
        <v>5635</v>
      </c>
      <c r="AN551" s="106">
        <v>5635</v>
      </c>
      <c r="AO551" s="106">
        <v>1726</v>
      </c>
      <c r="AP551" s="106" t="s">
        <v>170</v>
      </c>
      <c r="AQ551" s="106" t="s">
        <v>421</v>
      </c>
      <c r="AR551" s="106">
        <v>1261</v>
      </c>
      <c r="AS551" s="106">
        <v>300000</v>
      </c>
      <c r="AT551" s="106">
        <v>300000</v>
      </c>
      <c r="AW551" s="106"/>
      <c r="AX551" s="106"/>
      <c r="BD551" s="106">
        <v>0</v>
      </c>
      <c r="BG551" s="106"/>
      <c r="BH551" s="106"/>
      <c r="BY551" s="112" t="s">
        <v>1766</v>
      </c>
      <c r="BZ551" s="112" t="s">
        <v>1766</v>
      </c>
      <c r="CA551" s="112" t="s">
        <v>1766</v>
      </c>
      <c r="CB551" s="112" t="s">
        <v>1766</v>
      </c>
      <c r="CC551" s="112" t="s">
        <v>1766</v>
      </c>
      <c r="CD551" s="112" t="s">
        <v>1766</v>
      </c>
      <c r="CE551" s="112" t="s">
        <v>1766</v>
      </c>
      <c r="CF551" s="112" t="s">
        <v>1766</v>
      </c>
      <c r="CG551" s="112" t="s">
        <v>1766</v>
      </c>
      <c r="CH551" s="112" t="s">
        <v>1766</v>
      </c>
      <c r="CI551" s="112" t="s">
        <v>1766</v>
      </c>
      <c r="CJ551" s="112" t="s">
        <v>1766</v>
      </c>
      <c r="CK551" s="112" t="s">
        <v>1766</v>
      </c>
      <c r="CL551" s="112" t="s">
        <v>1766</v>
      </c>
      <c r="CM551" s="112" t="s">
        <v>1766</v>
      </c>
      <c r="CN551" s="112" t="s">
        <v>1766</v>
      </c>
      <c r="CO551" s="112" t="s">
        <v>1766</v>
      </c>
    </row>
    <row r="552" spans="1:93">
      <c r="A552" s="106" t="s">
        <v>1014</v>
      </c>
      <c r="B552" s="106">
        <v>11</v>
      </c>
      <c r="C552" s="106">
        <v>1</v>
      </c>
      <c r="D552" s="106">
        <v>4</v>
      </c>
      <c r="E552" s="106">
        <v>1</v>
      </c>
      <c r="F552" s="106">
        <v>1</v>
      </c>
      <c r="G552" s="106" t="s">
        <v>66</v>
      </c>
      <c r="I552" s="106">
        <v>201</v>
      </c>
      <c r="J552" s="106" t="s">
        <v>1766</v>
      </c>
      <c r="K552" s="106" t="s">
        <v>1318</v>
      </c>
      <c r="L552" s="106" t="s">
        <v>1329</v>
      </c>
      <c r="M552" s="106" t="s">
        <v>1641</v>
      </c>
      <c r="N552" s="106">
        <v>12</v>
      </c>
      <c r="O552" s="106">
        <v>12</v>
      </c>
      <c r="T552" s="106" t="s">
        <v>1766</v>
      </c>
      <c r="V552" s="106">
        <v>522096.70893716102</v>
      </c>
      <c r="W552" s="106">
        <v>1</v>
      </c>
      <c r="X552" s="106">
        <v>1</v>
      </c>
      <c r="Y552" s="106">
        <v>1</v>
      </c>
      <c r="Z552" s="106">
        <v>2</v>
      </c>
      <c r="AA552" s="106">
        <v>100000</v>
      </c>
      <c r="AB552" s="106">
        <v>100000</v>
      </c>
      <c r="AC552" s="106">
        <v>100000</v>
      </c>
      <c r="AD552" s="106">
        <v>210000</v>
      </c>
      <c r="AE552" s="106">
        <v>510000</v>
      </c>
      <c r="AF552" s="106">
        <v>510000</v>
      </c>
      <c r="AH552" s="106">
        <v>9720</v>
      </c>
      <c r="AI552" s="106">
        <v>0.02</v>
      </c>
      <c r="AJ552" s="106">
        <v>5</v>
      </c>
      <c r="AK552" s="106">
        <v>120</v>
      </c>
      <c r="AL552" s="106">
        <v>600</v>
      </c>
      <c r="AM552" s="106">
        <v>8629</v>
      </c>
      <c r="AN552" s="106">
        <v>8629</v>
      </c>
      <c r="AO552" s="106">
        <v>2770</v>
      </c>
      <c r="AP552" s="106" t="s">
        <v>170</v>
      </c>
      <c r="AQ552" s="106" t="s">
        <v>421</v>
      </c>
      <c r="AR552" s="106">
        <v>1261</v>
      </c>
      <c r="AS552" s="106">
        <v>360000</v>
      </c>
      <c r="AT552" s="106">
        <v>360000</v>
      </c>
      <c r="AW552" s="106"/>
      <c r="AX552" s="106"/>
      <c r="BD552" s="106">
        <v>0</v>
      </c>
      <c r="BG552" s="106"/>
      <c r="BH552" s="106"/>
      <c r="BY552" s="112" t="s">
        <v>1766</v>
      </c>
      <c r="BZ552" s="112" t="s">
        <v>1766</v>
      </c>
      <c r="CA552" s="112" t="s">
        <v>1766</v>
      </c>
      <c r="CB552" s="112" t="s">
        <v>1766</v>
      </c>
      <c r="CC552" s="112" t="s">
        <v>1766</v>
      </c>
      <c r="CD552" s="112" t="s">
        <v>1766</v>
      </c>
      <c r="CE552" s="112" t="s">
        <v>1766</v>
      </c>
      <c r="CF552" s="112" t="s">
        <v>1766</v>
      </c>
      <c r="CG552" s="112" t="s">
        <v>1766</v>
      </c>
      <c r="CH552" s="112" t="s">
        <v>1766</v>
      </c>
      <c r="CI552" s="112" t="s">
        <v>1766</v>
      </c>
      <c r="CJ552" s="112" t="s">
        <v>1766</v>
      </c>
      <c r="CK552" s="112" t="s">
        <v>1766</v>
      </c>
      <c r="CL552" s="112" t="s">
        <v>1766</v>
      </c>
      <c r="CM552" s="112" t="s">
        <v>1766</v>
      </c>
      <c r="CN552" s="112" t="s">
        <v>1766</v>
      </c>
      <c r="CO552" s="112" t="s">
        <v>1766</v>
      </c>
    </row>
    <row r="553" spans="1:93">
      <c r="A553" s="106" t="s">
        <v>1014</v>
      </c>
      <c r="B553" s="106">
        <v>12</v>
      </c>
      <c r="C553" s="106">
        <v>1</v>
      </c>
      <c r="D553" s="106">
        <v>4</v>
      </c>
      <c r="E553" s="106">
        <v>1</v>
      </c>
      <c r="F553" s="106">
        <v>1</v>
      </c>
      <c r="G553" s="106" t="s">
        <v>66</v>
      </c>
      <c r="I553" s="106">
        <v>201</v>
      </c>
      <c r="J553" s="106" t="s">
        <v>1766</v>
      </c>
      <c r="K553" s="106" t="s">
        <v>1318</v>
      </c>
      <c r="L553" s="106" t="s">
        <v>1330</v>
      </c>
      <c r="M553" s="106" t="s">
        <v>1642</v>
      </c>
      <c r="N553" s="106">
        <v>17</v>
      </c>
      <c r="O553" s="106">
        <v>17</v>
      </c>
      <c r="T553" s="106" t="s">
        <v>1766</v>
      </c>
      <c r="V553" s="106">
        <v>751819.26086951199</v>
      </c>
      <c r="W553" s="106">
        <v>1</v>
      </c>
      <c r="X553" s="106">
        <v>1</v>
      </c>
      <c r="Y553" s="106">
        <v>1</v>
      </c>
      <c r="Z553" s="106">
        <v>2</v>
      </c>
      <c r="AA553" s="106">
        <v>150000</v>
      </c>
      <c r="AB553" s="106">
        <v>150000</v>
      </c>
      <c r="AC553" s="106">
        <v>150000</v>
      </c>
      <c r="AD553" s="106">
        <v>300000</v>
      </c>
      <c r="AE553" s="106">
        <v>750000</v>
      </c>
      <c r="AF553" s="106">
        <v>750000</v>
      </c>
      <c r="AH553" s="106">
        <v>12960</v>
      </c>
      <c r="AI553" s="106">
        <v>0.03</v>
      </c>
      <c r="AJ553" s="106">
        <v>5</v>
      </c>
      <c r="AK553" s="106">
        <v>129.6</v>
      </c>
      <c r="AL553" s="106">
        <v>648</v>
      </c>
      <c r="AM553" s="106">
        <v>11634</v>
      </c>
      <c r="AN553" s="106">
        <v>11634</v>
      </c>
      <c r="AO553" s="106">
        <v>4273</v>
      </c>
      <c r="AP553" s="106" t="s">
        <v>170</v>
      </c>
      <c r="AQ553" s="106" t="s">
        <v>421</v>
      </c>
      <c r="AR553" s="106">
        <v>1261</v>
      </c>
      <c r="AS553" s="106">
        <v>420000</v>
      </c>
      <c r="AT553" s="106">
        <v>420000</v>
      </c>
      <c r="AW553" s="106"/>
      <c r="AX553" s="106"/>
      <c r="BD553" s="106">
        <v>0</v>
      </c>
      <c r="BG553" s="106"/>
      <c r="BH553" s="106"/>
      <c r="BY553" s="112" t="s">
        <v>1766</v>
      </c>
      <c r="BZ553" s="112" t="s">
        <v>1766</v>
      </c>
      <c r="CA553" s="112" t="s">
        <v>1766</v>
      </c>
      <c r="CB553" s="112" t="s">
        <v>1766</v>
      </c>
      <c r="CC553" s="112" t="s">
        <v>1766</v>
      </c>
      <c r="CD553" s="112" t="s">
        <v>1766</v>
      </c>
      <c r="CE553" s="112" t="s">
        <v>1766</v>
      </c>
      <c r="CF553" s="112" t="s">
        <v>1766</v>
      </c>
      <c r="CG553" s="112" t="s">
        <v>1766</v>
      </c>
      <c r="CH553" s="112" t="s">
        <v>1766</v>
      </c>
      <c r="CI553" s="112" t="s">
        <v>1766</v>
      </c>
      <c r="CJ553" s="112" t="s">
        <v>1766</v>
      </c>
      <c r="CK553" s="112" t="s">
        <v>1766</v>
      </c>
      <c r="CL553" s="112" t="s">
        <v>1766</v>
      </c>
      <c r="CM553" s="112" t="s">
        <v>1766</v>
      </c>
      <c r="CN553" s="112" t="s">
        <v>1766</v>
      </c>
      <c r="CO553" s="112" t="s">
        <v>1766</v>
      </c>
    </row>
    <row r="554" spans="1:93">
      <c r="A554" s="106" t="s">
        <v>1014</v>
      </c>
      <c r="B554" s="106">
        <v>13</v>
      </c>
      <c r="C554" s="106">
        <v>1</v>
      </c>
      <c r="D554" s="106">
        <v>4</v>
      </c>
      <c r="E554" s="106">
        <v>1</v>
      </c>
      <c r="F554" s="106">
        <v>1</v>
      </c>
      <c r="G554" s="106" t="s">
        <v>66</v>
      </c>
      <c r="I554" s="106">
        <v>201</v>
      </c>
      <c r="J554" s="106" t="s">
        <v>1766</v>
      </c>
      <c r="K554" s="106" t="s">
        <v>1318</v>
      </c>
      <c r="L554" s="106" t="s">
        <v>1331</v>
      </c>
      <c r="M554" s="106" t="s">
        <v>1643</v>
      </c>
      <c r="N554" s="106">
        <v>17</v>
      </c>
      <c r="O554" s="106">
        <v>17</v>
      </c>
      <c r="T554" s="106" t="s">
        <v>1766</v>
      </c>
      <c r="V554" s="106">
        <v>1029992.38739123</v>
      </c>
      <c r="W554" s="106">
        <v>1</v>
      </c>
      <c r="X554" s="106">
        <v>1</v>
      </c>
      <c r="Y554" s="106">
        <v>1</v>
      </c>
      <c r="Z554" s="106">
        <v>2</v>
      </c>
      <c r="AA554" s="106">
        <v>210000</v>
      </c>
      <c r="AB554" s="106">
        <v>210000</v>
      </c>
      <c r="AC554" s="106">
        <v>210000</v>
      </c>
      <c r="AD554" s="106">
        <v>410000</v>
      </c>
      <c r="AE554" s="106">
        <v>1040000</v>
      </c>
      <c r="AF554" s="106">
        <v>1040000</v>
      </c>
      <c r="AH554" s="106">
        <v>17280</v>
      </c>
      <c r="AI554" s="106">
        <v>0.04</v>
      </c>
      <c r="AJ554" s="106">
        <v>6</v>
      </c>
      <c r="AK554" s="106">
        <v>172.8</v>
      </c>
      <c r="AL554" s="106">
        <v>1036.8</v>
      </c>
      <c r="AM554" s="106">
        <v>15278</v>
      </c>
      <c r="AN554" s="106">
        <v>15278</v>
      </c>
      <c r="AO554" s="106">
        <v>6333</v>
      </c>
      <c r="AP554" s="106" t="s">
        <v>170</v>
      </c>
      <c r="AQ554" s="106" t="s">
        <v>421</v>
      </c>
      <c r="AR554" s="106">
        <v>1261</v>
      </c>
      <c r="AS554" s="106">
        <v>480000</v>
      </c>
      <c r="AT554" s="106">
        <v>480000</v>
      </c>
      <c r="AW554" s="106"/>
      <c r="AX554" s="106"/>
      <c r="BD554" s="106">
        <v>0</v>
      </c>
      <c r="BG554" s="106"/>
      <c r="BH554" s="106"/>
      <c r="BY554" s="112" t="s">
        <v>1766</v>
      </c>
      <c r="BZ554" s="112" t="s">
        <v>1766</v>
      </c>
      <c r="CA554" s="112" t="s">
        <v>1766</v>
      </c>
      <c r="CB554" s="112" t="s">
        <v>1766</v>
      </c>
      <c r="CC554" s="112" t="s">
        <v>1766</v>
      </c>
      <c r="CD554" s="112" t="s">
        <v>1766</v>
      </c>
      <c r="CE554" s="112" t="s">
        <v>1766</v>
      </c>
      <c r="CF554" s="112" t="s">
        <v>1766</v>
      </c>
      <c r="CG554" s="112" t="s">
        <v>1766</v>
      </c>
      <c r="CH554" s="112" t="s">
        <v>1766</v>
      </c>
      <c r="CI554" s="112" t="s">
        <v>1766</v>
      </c>
      <c r="CJ554" s="112" t="s">
        <v>1766</v>
      </c>
      <c r="CK554" s="112" t="s">
        <v>1766</v>
      </c>
      <c r="CL554" s="112" t="s">
        <v>1766</v>
      </c>
      <c r="CM554" s="112" t="s">
        <v>1766</v>
      </c>
      <c r="CN554" s="112" t="s">
        <v>1766</v>
      </c>
      <c r="CO554" s="112" t="s">
        <v>1766</v>
      </c>
    </row>
    <row r="555" spans="1:93">
      <c r="A555" s="106" t="s">
        <v>1014</v>
      </c>
      <c r="B555" s="106">
        <v>14</v>
      </c>
      <c r="C555" s="106">
        <v>1</v>
      </c>
      <c r="D555" s="106">
        <v>4</v>
      </c>
      <c r="E555" s="106">
        <v>1</v>
      </c>
      <c r="F555" s="106">
        <v>1</v>
      </c>
      <c r="G555" s="106" t="s">
        <v>66</v>
      </c>
      <c r="I555" s="106">
        <v>201</v>
      </c>
      <c r="J555" s="106" t="s">
        <v>1766</v>
      </c>
      <c r="K555" s="106" t="s">
        <v>1318</v>
      </c>
      <c r="L555" s="106" t="s">
        <v>1332</v>
      </c>
      <c r="M555" s="106" t="s">
        <v>1644</v>
      </c>
      <c r="N555" s="106">
        <v>17</v>
      </c>
      <c r="O555" s="106">
        <v>17</v>
      </c>
      <c r="T555" s="106" t="s">
        <v>1766</v>
      </c>
      <c r="V555" s="106">
        <v>1338990.1036086001</v>
      </c>
      <c r="W555" s="106">
        <v>1</v>
      </c>
      <c r="X555" s="106">
        <v>1</v>
      </c>
      <c r="Y555" s="106">
        <v>1</v>
      </c>
      <c r="Z555" s="106">
        <v>2</v>
      </c>
      <c r="AA555" s="106">
        <v>270000</v>
      </c>
      <c r="AB555" s="106">
        <v>270000</v>
      </c>
      <c r="AC555" s="106">
        <v>270000</v>
      </c>
      <c r="AD555" s="106">
        <v>540000</v>
      </c>
      <c r="AE555" s="106">
        <v>1350000</v>
      </c>
      <c r="AF555" s="106">
        <v>1350000</v>
      </c>
      <c r="AH555" s="106">
        <v>21600</v>
      </c>
      <c r="AI555" s="106">
        <v>0.05</v>
      </c>
      <c r="AJ555" s="106">
        <v>6</v>
      </c>
      <c r="AK555" s="106">
        <v>216</v>
      </c>
      <c r="AL555" s="106">
        <v>1296</v>
      </c>
      <c r="AM555" s="106">
        <v>18975</v>
      </c>
      <c r="AN555" s="106">
        <v>18975</v>
      </c>
      <c r="AO555" s="106">
        <v>9011</v>
      </c>
      <c r="AP555" s="106" t="s">
        <v>170</v>
      </c>
      <c r="AQ555" s="106" t="s">
        <v>421</v>
      </c>
      <c r="AR555" s="106">
        <v>1261</v>
      </c>
      <c r="AS555" s="106">
        <v>540000</v>
      </c>
      <c r="AT555" s="106">
        <v>540000</v>
      </c>
      <c r="AW555" s="106"/>
      <c r="AX555" s="106"/>
      <c r="BD555" s="106">
        <v>0</v>
      </c>
      <c r="BG555" s="106"/>
      <c r="BH555" s="106"/>
      <c r="BY555" s="112" t="s">
        <v>1766</v>
      </c>
      <c r="BZ555" s="112" t="s">
        <v>1766</v>
      </c>
      <c r="CA555" s="112" t="s">
        <v>1766</v>
      </c>
      <c r="CB555" s="112" t="s">
        <v>1766</v>
      </c>
      <c r="CC555" s="112" t="s">
        <v>1766</v>
      </c>
      <c r="CD555" s="112" t="s">
        <v>1766</v>
      </c>
      <c r="CE555" s="112" t="s">
        <v>1766</v>
      </c>
      <c r="CF555" s="112" t="s">
        <v>1766</v>
      </c>
      <c r="CG555" s="112" t="s">
        <v>1766</v>
      </c>
      <c r="CH555" s="112" t="s">
        <v>1766</v>
      </c>
      <c r="CI555" s="112" t="s">
        <v>1766</v>
      </c>
      <c r="CJ555" s="112" t="s">
        <v>1766</v>
      </c>
      <c r="CK555" s="112" t="s">
        <v>1766</v>
      </c>
      <c r="CL555" s="112" t="s">
        <v>1766</v>
      </c>
      <c r="CM555" s="112" t="s">
        <v>1766</v>
      </c>
      <c r="CN555" s="112" t="s">
        <v>1766</v>
      </c>
      <c r="CO555" s="112" t="s">
        <v>1766</v>
      </c>
    </row>
    <row r="556" spans="1:93">
      <c r="A556" s="106" t="s">
        <v>1014</v>
      </c>
      <c r="B556" s="106">
        <v>15</v>
      </c>
      <c r="C556" s="106">
        <v>1</v>
      </c>
      <c r="D556" s="106">
        <v>4</v>
      </c>
      <c r="E556" s="106">
        <v>1</v>
      </c>
      <c r="F556" s="106">
        <v>1</v>
      </c>
      <c r="G556" s="106" t="s">
        <v>66</v>
      </c>
      <c r="I556" s="106">
        <v>201</v>
      </c>
      <c r="J556" s="106" t="s">
        <v>1766</v>
      </c>
      <c r="K556" s="106" t="s">
        <v>1318</v>
      </c>
      <c r="L556" s="106" t="s">
        <v>1333</v>
      </c>
      <c r="M556" s="106" t="s">
        <v>1645</v>
      </c>
      <c r="N556" s="106">
        <v>17</v>
      </c>
      <c r="O556" s="106">
        <v>17</v>
      </c>
      <c r="T556" s="106" t="s">
        <v>1766</v>
      </c>
      <c r="V556" s="106">
        <v>1713907.33261901</v>
      </c>
      <c r="W556" s="106">
        <v>1</v>
      </c>
      <c r="X556" s="106">
        <v>1</v>
      </c>
      <c r="Y556" s="106">
        <v>1</v>
      </c>
      <c r="Z556" s="106">
        <v>2</v>
      </c>
      <c r="AA556" s="106">
        <v>340000</v>
      </c>
      <c r="AB556" s="106">
        <v>340000</v>
      </c>
      <c r="AC556" s="106">
        <v>340000</v>
      </c>
      <c r="AD556" s="106">
        <v>690000</v>
      </c>
      <c r="AE556" s="106">
        <v>1710000</v>
      </c>
      <c r="AF556" s="106">
        <v>1710000</v>
      </c>
      <c r="AH556" s="106">
        <v>25920</v>
      </c>
      <c r="AI556" s="106">
        <v>0.05</v>
      </c>
      <c r="AJ556" s="106">
        <v>7</v>
      </c>
      <c r="AK556" s="106">
        <v>259.2</v>
      </c>
      <c r="AL556" s="106">
        <v>1814.4</v>
      </c>
      <c r="AM556" s="106">
        <v>22571</v>
      </c>
      <c r="AN556" s="106">
        <v>22571</v>
      </c>
      <c r="AO556" s="106">
        <v>12439</v>
      </c>
      <c r="AP556" s="106" t="s">
        <v>170</v>
      </c>
      <c r="AQ556" s="106" t="s">
        <v>421</v>
      </c>
      <c r="AR556" s="106">
        <v>1261</v>
      </c>
      <c r="AS556" s="106">
        <v>600000</v>
      </c>
      <c r="AT556" s="106">
        <v>600000</v>
      </c>
      <c r="AW556" s="106"/>
      <c r="AX556" s="106"/>
      <c r="BD556" s="106">
        <v>0</v>
      </c>
      <c r="BG556" s="106"/>
      <c r="BH556" s="106"/>
      <c r="BY556" s="112" t="s">
        <v>1766</v>
      </c>
      <c r="BZ556" s="112" t="s">
        <v>1766</v>
      </c>
      <c r="CA556" s="112" t="s">
        <v>1766</v>
      </c>
      <c r="CB556" s="112" t="s">
        <v>1766</v>
      </c>
      <c r="CC556" s="112" t="s">
        <v>1766</v>
      </c>
      <c r="CD556" s="112" t="s">
        <v>1766</v>
      </c>
      <c r="CE556" s="112" t="s">
        <v>1766</v>
      </c>
      <c r="CF556" s="112" t="s">
        <v>1766</v>
      </c>
      <c r="CG556" s="112" t="s">
        <v>1766</v>
      </c>
      <c r="CH556" s="112" t="s">
        <v>1766</v>
      </c>
      <c r="CI556" s="112" t="s">
        <v>1766</v>
      </c>
      <c r="CJ556" s="112" t="s">
        <v>1766</v>
      </c>
      <c r="CK556" s="112" t="s">
        <v>1766</v>
      </c>
      <c r="CL556" s="112" t="s">
        <v>1766</v>
      </c>
      <c r="CM556" s="112" t="s">
        <v>1766</v>
      </c>
      <c r="CN556" s="112" t="s">
        <v>1766</v>
      </c>
      <c r="CO556" s="112" t="s">
        <v>1766</v>
      </c>
    </row>
    <row r="557" spans="1:93">
      <c r="A557" s="106" t="s">
        <v>1014</v>
      </c>
      <c r="B557" s="106">
        <v>16</v>
      </c>
      <c r="C557" s="106">
        <v>1</v>
      </c>
      <c r="D557" s="106">
        <v>4</v>
      </c>
      <c r="E557" s="106">
        <v>1</v>
      </c>
      <c r="F557" s="106">
        <v>1</v>
      </c>
      <c r="G557" s="106" t="s">
        <v>66</v>
      </c>
      <c r="I557" s="106">
        <v>201</v>
      </c>
      <c r="J557" s="106" t="s">
        <v>1766</v>
      </c>
      <c r="K557" s="106" t="s">
        <v>1318</v>
      </c>
      <c r="L557" s="106" t="s">
        <v>1334</v>
      </c>
      <c r="M557" s="106" t="s">
        <v>1646</v>
      </c>
      <c r="N557" s="106">
        <v>17</v>
      </c>
      <c r="O557" s="106">
        <v>17</v>
      </c>
      <c r="T557" s="106" t="s">
        <v>1766</v>
      </c>
      <c r="V557" s="106">
        <v>2193801.3857523301</v>
      </c>
      <c r="W557" s="106">
        <v>1</v>
      </c>
      <c r="X557" s="106">
        <v>1</v>
      </c>
      <c r="Y557" s="106">
        <v>1</v>
      </c>
      <c r="Z557" s="106">
        <v>2</v>
      </c>
      <c r="AA557" s="106">
        <v>440000</v>
      </c>
      <c r="AB557" s="106">
        <v>440000</v>
      </c>
      <c r="AC557" s="106">
        <v>440000</v>
      </c>
      <c r="AD557" s="106">
        <v>880000</v>
      </c>
      <c r="AE557" s="106">
        <v>2200000</v>
      </c>
      <c r="AF557" s="106">
        <v>2200000</v>
      </c>
      <c r="AH557" s="106">
        <v>32400</v>
      </c>
      <c r="AI557" s="106">
        <v>0.05</v>
      </c>
      <c r="AJ557" s="106">
        <v>7</v>
      </c>
      <c r="AK557" s="106">
        <v>324</v>
      </c>
      <c r="AL557" s="106">
        <v>2268</v>
      </c>
      <c r="AM557" s="106">
        <v>28289</v>
      </c>
      <c r="AN557" s="106">
        <v>28289</v>
      </c>
      <c r="AO557" s="106">
        <v>16827</v>
      </c>
      <c r="AP557" s="106" t="s">
        <v>170</v>
      </c>
      <c r="AQ557" s="106" t="s">
        <v>421</v>
      </c>
      <c r="AR557" s="106">
        <v>1261</v>
      </c>
      <c r="AS557" s="106">
        <v>680000</v>
      </c>
      <c r="AT557" s="106">
        <v>680000</v>
      </c>
      <c r="AW557" s="106"/>
      <c r="AX557" s="106"/>
      <c r="BD557" s="106">
        <v>0</v>
      </c>
      <c r="BG557" s="106"/>
      <c r="BH557" s="106"/>
      <c r="BY557" s="112" t="s">
        <v>1766</v>
      </c>
      <c r="BZ557" s="112" t="s">
        <v>1766</v>
      </c>
      <c r="CA557" s="112" t="s">
        <v>1766</v>
      </c>
      <c r="CB557" s="112" t="s">
        <v>1766</v>
      </c>
      <c r="CC557" s="112" t="s">
        <v>1766</v>
      </c>
      <c r="CD557" s="112" t="s">
        <v>1766</v>
      </c>
      <c r="CE557" s="112" t="s">
        <v>1766</v>
      </c>
      <c r="CF557" s="112" t="s">
        <v>1766</v>
      </c>
      <c r="CG557" s="112" t="s">
        <v>1766</v>
      </c>
      <c r="CH557" s="112" t="s">
        <v>1766</v>
      </c>
      <c r="CI557" s="112" t="s">
        <v>1766</v>
      </c>
      <c r="CJ557" s="112" t="s">
        <v>1766</v>
      </c>
      <c r="CK557" s="112" t="s">
        <v>1766</v>
      </c>
      <c r="CL557" s="112" t="s">
        <v>1766</v>
      </c>
      <c r="CM557" s="112" t="s">
        <v>1766</v>
      </c>
      <c r="CN557" s="112" t="s">
        <v>1766</v>
      </c>
      <c r="CO557" s="112" t="s">
        <v>1766</v>
      </c>
    </row>
    <row r="558" spans="1:93">
      <c r="A558" s="106" t="s">
        <v>1014</v>
      </c>
      <c r="B558" s="106">
        <v>17</v>
      </c>
      <c r="C558" s="106">
        <v>1</v>
      </c>
      <c r="D558" s="106">
        <v>4</v>
      </c>
      <c r="E558" s="106">
        <v>1</v>
      </c>
      <c r="F558" s="106">
        <v>1</v>
      </c>
      <c r="G558" s="106" t="s">
        <v>66</v>
      </c>
      <c r="I558" s="106">
        <v>201</v>
      </c>
      <c r="J558" s="106" t="s">
        <v>1766</v>
      </c>
      <c r="K558" s="106" t="s">
        <v>1318</v>
      </c>
      <c r="L558" s="106" t="s">
        <v>1335</v>
      </c>
      <c r="M558" s="106" t="s">
        <v>1647</v>
      </c>
      <c r="N558" s="106">
        <v>22</v>
      </c>
      <c r="O558" s="106">
        <v>22</v>
      </c>
      <c r="T558" s="106" t="s">
        <v>1766</v>
      </c>
      <c r="V558" s="106">
        <v>2808065.7737629898</v>
      </c>
      <c r="W558" s="106">
        <v>1</v>
      </c>
      <c r="X558" s="106">
        <v>1</v>
      </c>
      <c r="Y558" s="106">
        <v>1</v>
      </c>
      <c r="Z558" s="106">
        <v>2</v>
      </c>
      <c r="AA558" s="106">
        <v>560000</v>
      </c>
      <c r="AB558" s="106">
        <v>560000</v>
      </c>
      <c r="AC558" s="106">
        <v>560000</v>
      </c>
      <c r="AD558" s="106">
        <v>1100000</v>
      </c>
      <c r="AE558" s="106">
        <v>2780000</v>
      </c>
      <c r="AF558" s="106">
        <v>2780000</v>
      </c>
      <c r="AH558" s="106">
        <v>43200</v>
      </c>
      <c r="AI558" s="106">
        <v>0.05</v>
      </c>
      <c r="AJ558" s="106">
        <v>8</v>
      </c>
      <c r="AK558" s="106">
        <v>432</v>
      </c>
      <c r="AL558" s="106">
        <v>3456</v>
      </c>
      <c r="AM558" s="106">
        <v>37386</v>
      </c>
      <c r="AN558" s="106">
        <v>37386</v>
      </c>
      <c r="AO558" s="106">
        <v>22443</v>
      </c>
      <c r="AP558" s="106" t="s">
        <v>170</v>
      </c>
      <c r="AQ558" s="106" t="s">
        <v>421</v>
      </c>
      <c r="AR558" s="106">
        <v>1261</v>
      </c>
      <c r="AS558" s="106">
        <v>760000</v>
      </c>
      <c r="AT558" s="106">
        <v>760000</v>
      </c>
      <c r="AW558" s="106"/>
      <c r="AX558" s="106"/>
      <c r="BD558" s="106">
        <v>0</v>
      </c>
      <c r="BG558" s="106"/>
      <c r="BH558" s="106"/>
      <c r="BY558" s="112" t="s">
        <v>1766</v>
      </c>
      <c r="BZ558" s="112" t="s">
        <v>1766</v>
      </c>
      <c r="CA558" s="112" t="s">
        <v>1766</v>
      </c>
      <c r="CB558" s="112" t="s">
        <v>1766</v>
      </c>
      <c r="CC558" s="112" t="s">
        <v>1766</v>
      </c>
      <c r="CD558" s="112" t="s">
        <v>1766</v>
      </c>
      <c r="CE558" s="112" t="s">
        <v>1766</v>
      </c>
      <c r="CF558" s="112" t="s">
        <v>1766</v>
      </c>
      <c r="CG558" s="112" t="s">
        <v>1766</v>
      </c>
      <c r="CH558" s="112" t="s">
        <v>1766</v>
      </c>
      <c r="CI558" s="112" t="s">
        <v>1766</v>
      </c>
      <c r="CJ558" s="112" t="s">
        <v>1766</v>
      </c>
      <c r="CK558" s="112" t="s">
        <v>1766</v>
      </c>
      <c r="CL558" s="112" t="s">
        <v>1766</v>
      </c>
      <c r="CM558" s="112" t="s">
        <v>1766</v>
      </c>
      <c r="CN558" s="112" t="s">
        <v>1766</v>
      </c>
      <c r="CO558" s="112" t="s">
        <v>1766</v>
      </c>
    </row>
    <row r="559" spans="1:93">
      <c r="A559" s="106" t="s">
        <v>1014</v>
      </c>
      <c r="B559" s="106">
        <v>18</v>
      </c>
      <c r="C559" s="106">
        <v>1</v>
      </c>
      <c r="D559" s="106">
        <v>4</v>
      </c>
      <c r="E559" s="106">
        <v>1</v>
      </c>
      <c r="F559" s="106">
        <v>1</v>
      </c>
      <c r="G559" s="106" t="s">
        <v>66</v>
      </c>
      <c r="I559" s="106">
        <v>201</v>
      </c>
      <c r="J559" s="106" t="s">
        <v>1766</v>
      </c>
      <c r="K559" s="106" t="s">
        <v>1318</v>
      </c>
      <c r="L559" s="106" t="s">
        <v>1336</v>
      </c>
      <c r="M559" s="106" t="s">
        <v>1648</v>
      </c>
      <c r="N559" s="106">
        <v>22</v>
      </c>
      <c r="O559" s="106">
        <v>22</v>
      </c>
      <c r="T559" s="106" t="s">
        <v>1766</v>
      </c>
      <c r="V559" s="106">
        <v>3594324.1904166201</v>
      </c>
      <c r="W559" s="106">
        <v>1</v>
      </c>
      <c r="X559" s="106">
        <v>1</v>
      </c>
      <c r="Y559" s="106">
        <v>1</v>
      </c>
      <c r="Z559" s="106">
        <v>2</v>
      </c>
      <c r="AA559" s="106">
        <v>720000</v>
      </c>
      <c r="AB559" s="106">
        <v>720000</v>
      </c>
      <c r="AC559" s="106">
        <v>720000</v>
      </c>
      <c r="AD559" s="106">
        <v>1400000</v>
      </c>
      <c r="AE559" s="106">
        <v>3560000</v>
      </c>
      <c r="AF559" s="106">
        <v>3560000</v>
      </c>
      <c r="AH559" s="106">
        <v>56160</v>
      </c>
      <c r="AI559" s="106">
        <v>6.5000000000000002E-2</v>
      </c>
      <c r="AJ559" s="106">
        <v>8</v>
      </c>
      <c r="AK559" s="106">
        <v>561.6</v>
      </c>
      <c r="AL559" s="106">
        <v>4492.8</v>
      </c>
      <c r="AM559" s="106">
        <v>47939</v>
      </c>
      <c r="AN559" s="106">
        <v>47939</v>
      </c>
      <c r="AO559" s="106">
        <v>29632</v>
      </c>
      <c r="AP559" s="106" t="s">
        <v>170</v>
      </c>
      <c r="AQ559" s="106" t="s">
        <v>421</v>
      </c>
      <c r="AR559" s="106">
        <v>1261</v>
      </c>
      <c r="AS559" s="106">
        <v>840000</v>
      </c>
      <c r="AT559" s="106">
        <v>840000</v>
      </c>
      <c r="AW559" s="106"/>
      <c r="AX559" s="106"/>
      <c r="BD559" s="106">
        <v>0</v>
      </c>
      <c r="BG559" s="106"/>
      <c r="BH559" s="106"/>
      <c r="BY559" s="112" t="s">
        <v>1766</v>
      </c>
      <c r="BZ559" s="112" t="s">
        <v>1766</v>
      </c>
      <c r="CA559" s="112" t="s">
        <v>1766</v>
      </c>
      <c r="CB559" s="112" t="s">
        <v>1766</v>
      </c>
      <c r="CC559" s="112" t="s">
        <v>1766</v>
      </c>
      <c r="CD559" s="112" t="s">
        <v>1766</v>
      </c>
      <c r="CE559" s="112" t="s">
        <v>1766</v>
      </c>
      <c r="CF559" s="112" t="s">
        <v>1766</v>
      </c>
      <c r="CG559" s="112" t="s">
        <v>1766</v>
      </c>
      <c r="CH559" s="112" t="s">
        <v>1766</v>
      </c>
      <c r="CI559" s="112" t="s">
        <v>1766</v>
      </c>
      <c r="CJ559" s="112" t="s">
        <v>1766</v>
      </c>
      <c r="CK559" s="112" t="s">
        <v>1766</v>
      </c>
      <c r="CL559" s="112" t="s">
        <v>1766</v>
      </c>
      <c r="CM559" s="112" t="s">
        <v>1766</v>
      </c>
      <c r="CN559" s="112" t="s">
        <v>1766</v>
      </c>
      <c r="CO559" s="112" t="s">
        <v>1766</v>
      </c>
    </row>
    <row r="560" spans="1:93">
      <c r="A560" s="106" t="s">
        <v>1014</v>
      </c>
      <c r="B560" s="106">
        <v>19</v>
      </c>
      <c r="C560" s="106">
        <v>1</v>
      </c>
      <c r="D560" s="106">
        <v>4</v>
      </c>
      <c r="E560" s="106">
        <v>1</v>
      </c>
      <c r="F560" s="106">
        <v>1</v>
      </c>
      <c r="G560" s="106" t="s">
        <v>66</v>
      </c>
      <c r="I560" s="106">
        <v>201</v>
      </c>
      <c r="J560" s="106" t="s">
        <v>1766</v>
      </c>
      <c r="K560" s="106" t="s">
        <v>1318</v>
      </c>
      <c r="L560" s="106" t="s">
        <v>1337</v>
      </c>
      <c r="M560" s="106" t="s">
        <v>1649</v>
      </c>
      <c r="N560" s="106">
        <v>22</v>
      </c>
      <c r="O560" s="106">
        <v>22</v>
      </c>
      <c r="T560" s="106" t="s">
        <v>1766</v>
      </c>
      <c r="V560" s="106">
        <v>4600734.9637332801</v>
      </c>
      <c r="W560" s="106">
        <v>1</v>
      </c>
      <c r="X560" s="106">
        <v>1</v>
      </c>
      <c r="Y560" s="106">
        <v>1</v>
      </c>
      <c r="Z560" s="106">
        <v>2</v>
      </c>
      <c r="AA560" s="106">
        <v>920000</v>
      </c>
      <c r="AB560" s="106">
        <v>920000</v>
      </c>
      <c r="AC560" s="106">
        <v>920000</v>
      </c>
      <c r="AD560" s="106">
        <v>1800000</v>
      </c>
      <c r="AE560" s="106">
        <v>4560000</v>
      </c>
      <c r="AF560" s="106">
        <v>4560000</v>
      </c>
      <c r="AH560" s="106">
        <v>73440</v>
      </c>
      <c r="AI560" s="106">
        <v>0.08</v>
      </c>
      <c r="AJ560" s="106">
        <v>9</v>
      </c>
      <c r="AK560" s="106">
        <v>734.4</v>
      </c>
      <c r="AL560" s="106">
        <v>6609.6</v>
      </c>
      <c r="AM560" s="106">
        <v>61090</v>
      </c>
      <c r="AN560" s="106">
        <v>61090</v>
      </c>
      <c r="AO560" s="106">
        <v>38833</v>
      </c>
      <c r="AP560" s="106" t="s">
        <v>170</v>
      </c>
      <c r="AQ560" s="106" t="s">
        <v>421</v>
      </c>
      <c r="AR560" s="106">
        <v>1261</v>
      </c>
      <c r="AS560" s="106">
        <v>920000</v>
      </c>
      <c r="AT560" s="106">
        <v>920000</v>
      </c>
      <c r="AW560" s="106"/>
      <c r="AX560" s="106"/>
      <c r="BD560" s="106">
        <v>0</v>
      </c>
      <c r="BG560" s="106"/>
      <c r="BH560" s="106"/>
      <c r="BY560" s="112" t="s">
        <v>1766</v>
      </c>
      <c r="BZ560" s="112" t="s">
        <v>1766</v>
      </c>
      <c r="CA560" s="112" t="s">
        <v>1766</v>
      </c>
      <c r="CB560" s="112" t="s">
        <v>1766</v>
      </c>
      <c r="CC560" s="112" t="s">
        <v>1766</v>
      </c>
      <c r="CD560" s="112" t="s">
        <v>1766</v>
      </c>
      <c r="CE560" s="112" t="s">
        <v>1766</v>
      </c>
      <c r="CF560" s="112" t="s">
        <v>1766</v>
      </c>
      <c r="CG560" s="112" t="s">
        <v>1766</v>
      </c>
      <c r="CH560" s="112" t="s">
        <v>1766</v>
      </c>
      <c r="CI560" s="112" t="s">
        <v>1766</v>
      </c>
      <c r="CJ560" s="112" t="s">
        <v>1766</v>
      </c>
      <c r="CK560" s="112" t="s">
        <v>1766</v>
      </c>
      <c r="CL560" s="112" t="s">
        <v>1766</v>
      </c>
      <c r="CM560" s="112" t="s">
        <v>1766</v>
      </c>
      <c r="CN560" s="112" t="s">
        <v>1766</v>
      </c>
      <c r="CO560" s="112" t="s">
        <v>1766</v>
      </c>
    </row>
    <row r="561" spans="1:93">
      <c r="A561" s="106" t="s">
        <v>1014</v>
      </c>
      <c r="B561" s="106">
        <v>20</v>
      </c>
      <c r="C561" s="106">
        <v>1</v>
      </c>
      <c r="D561" s="106">
        <v>4</v>
      </c>
      <c r="E561" s="106">
        <v>1</v>
      </c>
      <c r="F561" s="106">
        <v>1</v>
      </c>
      <c r="G561" s="106" t="s">
        <v>66</v>
      </c>
      <c r="I561" s="106">
        <v>201</v>
      </c>
      <c r="J561" s="106" t="s">
        <v>1766</v>
      </c>
      <c r="K561" s="106" t="s">
        <v>1318</v>
      </c>
      <c r="L561" s="106" t="s">
        <v>1338</v>
      </c>
      <c r="M561" s="106" t="s">
        <v>1650</v>
      </c>
      <c r="N561" s="106">
        <v>22</v>
      </c>
      <c r="O561" s="106">
        <v>22</v>
      </c>
      <c r="T561" s="106" t="s">
        <v>1766</v>
      </c>
      <c r="V561" s="106">
        <v>5888940.7535785902</v>
      </c>
      <c r="W561" s="106">
        <v>1</v>
      </c>
      <c r="X561" s="106">
        <v>1</v>
      </c>
      <c r="Y561" s="106">
        <v>1</v>
      </c>
      <c r="Z561" s="106">
        <v>2</v>
      </c>
      <c r="AA561" s="106">
        <v>1200000</v>
      </c>
      <c r="AB561" s="106">
        <v>1200000</v>
      </c>
      <c r="AC561" s="106">
        <v>1200000</v>
      </c>
      <c r="AD561" s="106">
        <v>2400000</v>
      </c>
      <c r="AE561" s="106">
        <v>6000000</v>
      </c>
      <c r="AF561" s="106">
        <v>6000000</v>
      </c>
      <c r="AH561" s="106">
        <v>103680</v>
      </c>
      <c r="AI561" s="106">
        <v>9.5000000000000001E-2</v>
      </c>
      <c r="AJ561" s="106">
        <v>9</v>
      </c>
      <c r="AK561" s="106">
        <v>1036.8</v>
      </c>
      <c r="AL561" s="106">
        <v>9331.2000000000007</v>
      </c>
      <c r="AM561" s="106">
        <v>85053</v>
      </c>
      <c r="AN561" s="106">
        <v>85053</v>
      </c>
      <c r="AO561" s="106">
        <v>50611</v>
      </c>
      <c r="AP561" s="106" t="s">
        <v>170</v>
      </c>
      <c r="AQ561" s="106" t="s">
        <v>421</v>
      </c>
      <c r="AR561" s="106">
        <v>1261</v>
      </c>
      <c r="AS561" s="106">
        <v>1000000</v>
      </c>
      <c r="AT561" s="106">
        <v>1000000</v>
      </c>
      <c r="AW561" s="106"/>
      <c r="AX561" s="106"/>
      <c r="BD561" s="106">
        <v>0</v>
      </c>
      <c r="BG561" s="106"/>
      <c r="BH561" s="106"/>
      <c r="BY561" s="112" t="s">
        <v>1766</v>
      </c>
      <c r="BZ561" s="112" t="s">
        <v>1766</v>
      </c>
      <c r="CA561" s="112" t="s">
        <v>1766</v>
      </c>
      <c r="CB561" s="112" t="s">
        <v>1766</v>
      </c>
      <c r="CC561" s="112" t="s">
        <v>1766</v>
      </c>
      <c r="CD561" s="112" t="s">
        <v>1766</v>
      </c>
      <c r="CE561" s="112" t="s">
        <v>1766</v>
      </c>
      <c r="CF561" s="112" t="s">
        <v>1766</v>
      </c>
      <c r="CG561" s="112" t="s">
        <v>1766</v>
      </c>
      <c r="CH561" s="112" t="s">
        <v>1766</v>
      </c>
      <c r="CI561" s="112" t="s">
        <v>1766</v>
      </c>
      <c r="CJ561" s="112" t="s">
        <v>1766</v>
      </c>
      <c r="CK561" s="112" t="s">
        <v>1766</v>
      </c>
      <c r="CL561" s="112" t="s">
        <v>1766</v>
      </c>
      <c r="CM561" s="112" t="s">
        <v>1766</v>
      </c>
      <c r="CN561" s="112" t="s">
        <v>1766</v>
      </c>
      <c r="CO561" s="112" t="s">
        <v>1766</v>
      </c>
    </row>
    <row r="562" spans="1:93">
      <c r="A562" s="106" t="s">
        <v>1014</v>
      </c>
      <c r="B562" s="106">
        <v>21</v>
      </c>
      <c r="C562" s="106">
        <v>1</v>
      </c>
      <c r="D562" s="106">
        <v>4</v>
      </c>
      <c r="E562" s="106">
        <v>1</v>
      </c>
      <c r="F562" s="106">
        <v>1</v>
      </c>
      <c r="G562" s="106" t="s">
        <v>66</v>
      </c>
      <c r="I562" s="106">
        <v>201</v>
      </c>
      <c r="J562" s="106" t="s">
        <v>1766</v>
      </c>
      <c r="K562" s="106" t="s">
        <v>1318</v>
      </c>
      <c r="L562" s="106" t="s">
        <v>1340</v>
      </c>
      <c r="M562" s="106" t="s">
        <v>1651</v>
      </c>
      <c r="N562" s="106">
        <v>22</v>
      </c>
      <c r="O562" s="106">
        <v>22</v>
      </c>
      <c r="T562" s="106" t="s">
        <v>1766</v>
      </c>
      <c r="V562" s="106">
        <v>7537844.1645806003</v>
      </c>
      <c r="W562" s="106">
        <v>1</v>
      </c>
      <c r="X562" s="106">
        <v>1</v>
      </c>
      <c r="Y562" s="106">
        <v>1</v>
      </c>
      <c r="Z562" s="106">
        <v>2</v>
      </c>
      <c r="AA562" s="106">
        <v>1500000</v>
      </c>
      <c r="AB562" s="106">
        <v>1500000</v>
      </c>
      <c r="AC562" s="106">
        <v>1500000</v>
      </c>
      <c r="AD562" s="106">
        <v>3000000</v>
      </c>
      <c r="AE562" s="106">
        <v>7500000</v>
      </c>
      <c r="AF562" s="106">
        <v>7500000</v>
      </c>
      <c r="AH562" s="106">
        <v>138240</v>
      </c>
      <c r="AI562" s="106">
        <v>0.11</v>
      </c>
      <c r="AJ562" s="106">
        <v>10</v>
      </c>
      <c r="AK562" s="106">
        <v>1382.4</v>
      </c>
      <c r="AL562" s="106">
        <v>13824</v>
      </c>
      <c r="AM562" s="106">
        <v>110416</v>
      </c>
      <c r="AN562" s="106">
        <v>110416</v>
      </c>
      <c r="AO562" s="106">
        <v>65687</v>
      </c>
      <c r="AP562" s="106" t="s">
        <v>170</v>
      </c>
      <c r="AQ562" s="106" t="s">
        <v>421</v>
      </c>
      <c r="AR562" s="106">
        <v>1261</v>
      </c>
      <c r="AS562" s="106">
        <v>1100000</v>
      </c>
      <c r="AT562" s="106">
        <v>1100000</v>
      </c>
      <c r="AW562" s="106"/>
      <c r="AX562" s="106"/>
      <c r="BD562" s="106">
        <v>0</v>
      </c>
      <c r="BG562" s="106"/>
      <c r="BH562" s="106"/>
      <c r="BY562" s="112" t="s">
        <v>1766</v>
      </c>
      <c r="BZ562" s="112" t="s">
        <v>1766</v>
      </c>
      <c r="CA562" s="112" t="s">
        <v>1766</v>
      </c>
      <c r="CB562" s="112" t="s">
        <v>1766</v>
      </c>
      <c r="CC562" s="112" t="s">
        <v>1766</v>
      </c>
      <c r="CD562" s="112" t="s">
        <v>1766</v>
      </c>
      <c r="CE562" s="112" t="s">
        <v>1766</v>
      </c>
      <c r="CF562" s="112" t="s">
        <v>1766</v>
      </c>
      <c r="CG562" s="112" t="s">
        <v>1766</v>
      </c>
      <c r="CH562" s="112" t="s">
        <v>1766</v>
      </c>
      <c r="CI562" s="112" t="s">
        <v>1766</v>
      </c>
      <c r="CJ562" s="112" t="s">
        <v>1766</v>
      </c>
      <c r="CK562" s="112" t="s">
        <v>1766</v>
      </c>
      <c r="CL562" s="112" t="s">
        <v>1766</v>
      </c>
      <c r="CM562" s="112" t="s">
        <v>1766</v>
      </c>
      <c r="CN562" s="112" t="s">
        <v>1766</v>
      </c>
      <c r="CO562" s="112" t="s">
        <v>1766</v>
      </c>
    </row>
    <row r="563" spans="1:93">
      <c r="A563" s="106" t="s">
        <v>1014</v>
      </c>
      <c r="B563" s="106">
        <v>22</v>
      </c>
      <c r="C563" s="106">
        <v>1</v>
      </c>
      <c r="D563" s="106">
        <v>4</v>
      </c>
      <c r="E563" s="106">
        <v>1</v>
      </c>
      <c r="F563" s="106">
        <v>1</v>
      </c>
      <c r="G563" s="106" t="s">
        <v>66</v>
      </c>
      <c r="I563" s="106">
        <v>201</v>
      </c>
      <c r="J563" s="106" t="s">
        <v>1766</v>
      </c>
      <c r="K563" s="106" t="s">
        <v>1318</v>
      </c>
      <c r="L563" s="106" t="s">
        <v>1342</v>
      </c>
      <c r="M563" s="106" t="s">
        <v>1652</v>
      </c>
      <c r="N563" s="106">
        <v>27</v>
      </c>
      <c r="O563" s="106">
        <v>27</v>
      </c>
      <c r="T563" s="106" t="s">
        <v>1766</v>
      </c>
      <c r="V563" s="106">
        <v>9648440.5306631699</v>
      </c>
      <c r="W563" s="106">
        <v>1</v>
      </c>
      <c r="X563" s="106">
        <v>1</v>
      </c>
      <c r="Y563" s="106">
        <v>1</v>
      </c>
      <c r="Z563" s="106">
        <v>2</v>
      </c>
      <c r="AA563" s="106">
        <v>1900000</v>
      </c>
      <c r="AB563" s="106">
        <v>1900000</v>
      </c>
      <c r="AC563" s="106">
        <v>1900000</v>
      </c>
      <c r="AD563" s="106">
        <v>3900000</v>
      </c>
      <c r="AE563" s="106">
        <v>9600000</v>
      </c>
      <c r="AF563" s="106">
        <v>9600000</v>
      </c>
      <c r="AH563" s="106">
        <v>181440</v>
      </c>
      <c r="AI563" s="106">
        <v>0.125</v>
      </c>
      <c r="AJ563" s="106">
        <v>10</v>
      </c>
      <c r="AK563" s="106">
        <v>1814.4</v>
      </c>
      <c r="AL563" s="106">
        <v>18144</v>
      </c>
      <c r="AM563" s="106">
        <v>142836</v>
      </c>
      <c r="AN563" s="106">
        <v>142836</v>
      </c>
      <c r="AO563" s="106">
        <v>84984</v>
      </c>
      <c r="AP563" s="106" t="s">
        <v>170</v>
      </c>
      <c r="AQ563" s="106" t="s">
        <v>421</v>
      </c>
      <c r="AR563" s="106">
        <v>1261</v>
      </c>
      <c r="AS563" s="106">
        <v>1200000</v>
      </c>
      <c r="AT563" s="106">
        <v>1200000</v>
      </c>
      <c r="AW563" s="106"/>
      <c r="AX563" s="106"/>
      <c r="BD563" s="106">
        <v>0</v>
      </c>
      <c r="BG563" s="106"/>
      <c r="BH563" s="106"/>
      <c r="BY563" s="112" t="s">
        <v>1766</v>
      </c>
      <c r="BZ563" s="112" t="s">
        <v>1766</v>
      </c>
      <c r="CA563" s="112" t="s">
        <v>1766</v>
      </c>
      <c r="CB563" s="112" t="s">
        <v>1766</v>
      </c>
      <c r="CC563" s="112" t="s">
        <v>1766</v>
      </c>
      <c r="CD563" s="112" t="s">
        <v>1766</v>
      </c>
      <c r="CE563" s="112" t="s">
        <v>1766</v>
      </c>
      <c r="CF563" s="112" t="s">
        <v>1766</v>
      </c>
      <c r="CG563" s="112" t="s">
        <v>1766</v>
      </c>
      <c r="CH563" s="112" t="s">
        <v>1766</v>
      </c>
      <c r="CI563" s="112" t="s">
        <v>1766</v>
      </c>
      <c r="CJ563" s="112" t="s">
        <v>1766</v>
      </c>
      <c r="CK563" s="112" t="s">
        <v>1766</v>
      </c>
      <c r="CL563" s="112" t="s">
        <v>1766</v>
      </c>
      <c r="CM563" s="112" t="s">
        <v>1766</v>
      </c>
      <c r="CN563" s="112" t="s">
        <v>1766</v>
      </c>
      <c r="CO563" s="112" t="s">
        <v>1766</v>
      </c>
    </row>
    <row r="564" spans="1:93">
      <c r="A564" s="106" t="s">
        <v>1014</v>
      </c>
      <c r="B564" s="106">
        <v>23</v>
      </c>
      <c r="C564" s="106">
        <v>1</v>
      </c>
      <c r="D564" s="106">
        <v>4</v>
      </c>
      <c r="E564" s="106">
        <v>1</v>
      </c>
      <c r="F564" s="106">
        <v>1</v>
      </c>
      <c r="G564" s="106" t="s">
        <v>66</v>
      </c>
      <c r="I564" s="106">
        <v>201</v>
      </c>
      <c r="J564" s="106" t="s">
        <v>1766</v>
      </c>
      <c r="K564" s="106" t="s">
        <v>1318</v>
      </c>
      <c r="L564" s="106" t="s">
        <v>1344</v>
      </c>
      <c r="M564" s="106" t="s">
        <v>1653</v>
      </c>
      <c r="N564" s="106">
        <v>27</v>
      </c>
      <c r="O564" s="106">
        <v>27</v>
      </c>
      <c r="T564" s="106" t="s">
        <v>1766</v>
      </c>
      <c r="V564" s="106">
        <v>12350003.8792489</v>
      </c>
      <c r="W564" s="106">
        <v>1</v>
      </c>
      <c r="X564" s="106">
        <v>1</v>
      </c>
      <c r="Y564" s="106">
        <v>1</v>
      </c>
      <c r="Z564" s="106">
        <v>2</v>
      </c>
      <c r="AA564" s="106">
        <v>2500000</v>
      </c>
      <c r="AB564" s="106">
        <v>2500000</v>
      </c>
      <c r="AC564" s="106">
        <v>2500000</v>
      </c>
      <c r="AD564" s="106">
        <v>4900000</v>
      </c>
      <c r="AE564" s="106">
        <v>12400000</v>
      </c>
      <c r="AF564" s="106">
        <v>12400000</v>
      </c>
      <c r="AH564" s="106">
        <v>233280</v>
      </c>
      <c r="AI564" s="106">
        <v>0.125</v>
      </c>
      <c r="AJ564" s="106">
        <v>11</v>
      </c>
      <c r="AK564" s="106">
        <v>2332.8000000000002</v>
      </c>
      <c r="AL564" s="106">
        <v>25660.799999999999</v>
      </c>
      <c r="AM564" s="106">
        <v>181399</v>
      </c>
      <c r="AN564" s="106">
        <v>181399</v>
      </c>
      <c r="AO564" s="106">
        <v>109684</v>
      </c>
      <c r="AP564" s="106" t="s">
        <v>170</v>
      </c>
      <c r="AQ564" s="106" t="s">
        <v>421</v>
      </c>
      <c r="AR564" s="106">
        <v>1261</v>
      </c>
      <c r="AS564" s="106">
        <v>1300000</v>
      </c>
      <c r="AT564" s="106">
        <v>1300000</v>
      </c>
      <c r="AW564" s="106"/>
      <c r="AX564" s="106"/>
      <c r="BD564" s="106">
        <v>0</v>
      </c>
      <c r="BG564" s="106"/>
      <c r="BH564" s="106"/>
      <c r="BY564" s="112" t="s">
        <v>1766</v>
      </c>
      <c r="BZ564" s="112" t="s">
        <v>1766</v>
      </c>
      <c r="CA564" s="112" t="s">
        <v>1766</v>
      </c>
      <c r="CB564" s="112" t="s">
        <v>1766</v>
      </c>
      <c r="CC564" s="112" t="s">
        <v>1766</v>
      </c>
      <c r="CD564" s="112" t="s">
        <v>1766</v>
      </c>
      <c r="CE564" s="112" t="s">
        <v>1766</v>
      </c>
      <c r="CF564" s="112" t="s">
        <v>1766</v>
      </c>
      <c r="CG564" s="112" t="s">
        <v>1766</v>
      </c>
      <c r="CH564" s="112" t="s">
        <v>1766</v>
      </c>
      <c r="CI564" s="112" t="s">
        <v>1766</v>
      </c>
      <c r="CJ564" s="112" t="s">
        <v>1766</v>
      </c>
      <c r="CK564" s="112" t="s">
        <v>1766</v>
      </c>
      <c r="CL564" s="112" t="s">
        <v>1766</v>
      </c>
      <c r="CM564" s="112" t="s">
        <v>1766</v>
      </c>
      <c r="CN564" s="112" t="s">
        <v>1766</v>
      </c>
      <c r="CO564" s="112" t="s">
        <v>1766</v>
      </c>
    </row>
    <row r="565" spans="1:93">
      <c r="A565" s="106" t="s">
        <v>1014</v>
      </c>
      <c r="B565" s="106">
        <v>24</v>
      </c>
      <c r="C565" s="106">
        <v>1</v>
      </c>
      <c r="D565" s="106">
        <v>4</v>
      </c>
      <c r="E565" s="106">
        <v>1</v>
      </c>
      <c r="F565" s="106">
        <v>1</v>
      </c>
      <c r="G565" s="106" t="s">
        <v>66</v>
      </c>
      <c r="I565" s="106">
        <v>201</v>
      </c>
      <c r="J565" s="106" t="s">
        <v>1766</v>
      </c>
      <c r="K565" s="106" t="s">
        <v>1318</v>
      </c>
      <c r="L565" s="106" t="s">
        <v>1346</v>
      </c>
      <c r="M565" s="106" t="s">
        <v>1654</v>
      </c>
      <c r="N565" s="106">
        <v>27</v>
      </c>
      <c r="O565" s="106">
        <v>27</v>
      </c>
      <c r="T565" s="106" t="s">
        <v>1766</v>
      </c>
      <c r="V565" s="106">
        <v>15808004.9654385</v>
      </c>
      <c r="W565" s="106">
        <v>1</v>
      </c>
      <c r="X565" s="106">
        <v>1</v>
      </c>
      <c r="Y565" s="106">
        <v>1</v>
      </c>
      <c r="Z565" s="106">
        <v>2</v>
      </c>
      <c r="AA565" s="106">
        <v>3200000</v>
      </c>
      <c r="AB565" s="106">
        <v>3200000</v>
      </c>
      <c r="AC565" s="106">
        <v>3200000</v>
      </c>
      <c r="AD565" s="106">
        <v>6300000</v>
      </c>
      <c r="AE565" s="106">
        <v>15900000</v>
      </c>
      <c r="AF565" s="106">
        <v>15900000</v>
      </c>
      <c r="AH565" s="106">
        <v>298080</v>
      </c>
      <c r="AI565" s="106">
        <v>0.125</v>
      </c>
      <c r="AJ565" s="106">
        <v>12</v>
      </c>
      <c r="AK565" s="106">
        <v>2980.8</v>
      </c>
      <c r="AL565" s="106">
        <v>35769.599999999999</v>
      </c>
      <c r="AM565" s="106">
        <v>228890</v>
      </c>
      <c r="AN565" s="106">
        <v>228890</v>
      </c>
      <c r="AO565" s="106">
        <v>141300</v>
      </c>
      <c r="AP565" s="106" t="s">
        <v>170</v>
      </c>
      <c r="AQ565" s="106" t="s">
        <v>421</v>
      </c>
      <c r="AR565" s="106">
        <v>1261</v>
      </c>
      <c r="AS565" s="106">
        <v>1400000</v>
      </c>
      <c r="AT565" s="106">
        <v>1400000</v>
      </c>
      <c r="AW565" s="106"/>
      <c r="AX565" s="106"/>
      <c r="BD565" s="106">
        <v>0</v>
      </c>
      <c r="BG565" s="106"/>
      <c r="BH565" s="106"/>
      <c r="BY565" s="112" t="s">
        <v>1766</v>
      </c>
      <c r="BZ565" s="112" t="s">
        <v>1766</v>
      </c>
      <c r="CA565" s="112" t="s">
        <v>1766</v>
      </c>
      <c r="CB565" s="112" t="s">
        <v>1766</v>
      </c>
      <c r="CC565" s="112" t="s">
        <v>1766</v>
      </c>
      <c r="CD565" s="112" t="s">
        <v>1766</v>
      </c>
      <c r="CE565" s="112" t="s">
        <v>1766</v>
      </c>
      <c r="CF565" s="112" t="s">
        <v>1766</v>
      </c>
      <c r="CG565" s="112" t="s">
        <v>1766</v>
      </c>
      <c r="CH565" s="112" t="s">
        <v>1766</v>
      </c>
      <c r="CI565" s="112" t="s">
        <v>1766</v>
      </c>
      <c r="CJ565" s="112" t="s">
        <v>1766</v>
      </c>
      <c r="CK565" s="112" t="s">
        <v>1766</v>
      </c>
      <c r="CL565" s="112" t="s">
        <v>1766</v>
      </c>
      <c r="CM565" s="112" t="s">
        <v>1766</v>
      </c>
      <c r="CN565" s="112" t="s">
        <v>1766</v>
      </c>
      <c r="CO565" s="112" t="s">
        <v>1766</v>
      </c>
    </row>
    <row r="566" spans="1:93">
      <c r="A566" s="106" t="s">
        <v>1014</v>
      </c>
      <c r="B566" s="106">
        <v>25</v>
      </c>
      <c r="C566" s="106">
        <v>1</v>
      </c>
      <c r="D566" s="106">
        <v>4</v>
      </c>
      <c r="E566" s="106">
        <v>1</v>
      </c>
      <c r="F566" s="106">
        <v>1</v>
      </c>
      <c r="G566" s="106" t="s">
        <v>66</v>
      </c>
      <c r="I566" s="106">
        <v>201</v>
      </c>
      <c r="J566" s="106" t="s">
        <v>1766</v>
      </c>
      <c r="K566" s="106" t="s">
        <v>1318</v>
      </c>
      <c r="L566" s="106" t="s">
        <v>1348</v>
      </c>
      <c r="M566" s="106" t="s">
        <v>1655</v>
      </c>
      <c r="N566" s="106">
        <v>27</v>
      </c>
      <c r="O566" s="106">
        <v>27</v>
      </c>
      <c r="T566" s="106" t="s">
        <v>1766</v>
      </c>
      <c r="V566" s="106">
        <v>20234246.355761301</v>
      </c>
      <c r="W566" s="106">
        <v>1</v>
      </c>
      <c r="X566" s="106">
        <v>1</v>
      </c>
      <c r="Y566" s="106">
        <v>1</v>
      </c>
      <c r="Z566" s="106">
        <v>2</v>
      </c>
      <c r="AA566" s="106">
        <v>4000000</v>
      </c>
      <c r="AB566" s="106">
        <v>4000000</v>
      </c>
      <c r="AC566" s="106">
        <v>4000000</v>
      </c>
      <c r="AD566" s="106">
        <v>8100000</v>
      </c>
      <c r="AE566" s="106">
        <v>20100000</v>
      </c>
      <c r="AF566" s="106">
        <v>20100000</v>
      </c>
      <c r="AH566" s="106">
        <v>375840</v>
      </c>
      <c r="AI566" s="106">
        <v>0.125</v>
      </c>
      <c r="AJ566" s="106">
        <v>13</v>
      </c>
      <c r="AK566" s="106">
        <v>3758.4</v>
      </c>
      <c r="AL566" s="106">
        <v>48859.199999999997</v>
      </c>
      <c r="AM566" s="106">
        <v>284920</v>
      </c>
      <c r="AN566" s="106">
        <v>284920</v>
      </c>
      <c r="AO566" s="106">
        <v>181768</v>
      </c>
      <c r="AP566" s="106" t="s">
        <v>170</v>
      </c>
      <c r="AQ566" s="106" t="s">
        <v>421</v>
      </c>
      <c r="AR566" s="106">
        <v>1261</v>
      </c>
      <c r="AS566" s="106">
        <v>1500000</v>
      </c>
      <c r="AT566" s="106">
        <v>1500000</v>
      </c>
      <c r="AW566" s="106"/>
      <c r="AX566" s="106"/>
      <c r="BD566" s="106">
        <v>0</v>
      </c>
      <c r="BG566" s="106"/>
      <c r="BH566" s="106"/>
      <c r="BY566" s="112" t="s">
        <v>1766</v>
      </c>
      <c r="BZ566" s="112" t="s">
        <v>1766</v>
      </c>
      <c r="CA566" s="112" t="s">
        <v>1766</v>
      </c>
      <c r="CB566" s="112" t="s">
        <v>1766</v>
      </c>
      <c r="CC566" s="112" t="s">
        <v>1766</v>
      </c>
      <c r="CD566" s="112" t="s">
        <v>1766</v>
      </c>
      <c r="CE566" s="112" t="s">
        <v>1766</v>
      </c>
      <c r="CF566" s="112" t="s">
        <v>1766</v>
      </c>
      <c r="CG566" s="112" t="s">
        <v>1766</v>
      </c>
      <c r="CH566" s="112" t="s">
        <v>1766</v>
      </c>
      <c r="CI566" s="112" t="s">
        <v>1766</v>
      </c>
      <c r="CJ566" s="112" t="s">
        <v>1766</v>
      </c>
      <c r="CK566" s="112" t="s">
        <v>1766</v>
      </c>
      <c r="CL566" s="112" t="s">
        <v>1766</v>
      </c>
      <c r="CM566" s="112" t="s">
        <v>1766</v>
      </c>
      <c r="CN566" s="112" t="s">
        <v>1766</v>
      </c>
      <c r="CO566" s="112" t="s">
        <v>1766</v>
      </c>
    </row>
    <row r="567" spans="1:93">
      <c r="A567" s="106" t="s">
        <v>1014</v>
      </c>
      <c r="B567" s="106">
        <v>26</v>
      </c>
      <c r="C567" s="106">
        <v>1</v>
      </c>
      <c r="D567" s="106">
        <v>4</v>
      </c>
      <c r="E567" s="106">
        <v>1</v>
      </c>
      <c r="F567" s="106">
        <v>1</v>
      </c>
      <c r="G567" s="106" t="s">
        <v>66</v>
      </c>
      <c r="I567" s="106">
        <v>201</v>
      </c>
      <c r="J567" s="106" t="s">
        <v>1766</v>
      </c>
      <c r="K567" s="106" t="s">
        <v>1318</v>
      </c>
      <c r="L567" s="106" t="s">
        <v>1350</v>
      </c>
      <c r="M567" s="106" t="s">
        <v>1656</v>
      </c>
      <c r="N567" s="106">
        <v>27</v>
      </c>
      <c r="O567" s="106">
        <v>27</v>
      </c>
      <c r="T567" s="106" t="s">
        <v>1766</v>
      </c>
      <c r="V567" s="106">
        <v>25899835.335374501</v>
      </c>
      <c r="W567" s="106">
        <v>1</v>
      </c>
      <c r="X567" s="106">
        <v>1</v>
      </c>
      <c r="Y567" s="106">
        <v>1</v>
      </c>
      <c r="Z567" s="106">
        <v>2</v>
      </c>
      <c r="AA567" s="106">
        <v>5200000</v>
      </c>
      <c r="AB567" s="106">
        <v>5200000</v>
      </c>
      <c r="AC567" s="106">
        <v>5200000</v>
      </c>
      <c r="AD567" s="106">
        <v>10000000</v>
      </c>
      <c r="AE567" s="106">
        <v>25600000</v>
      </c>
      <c r="AF567" s="106">
        <v>25600000</v>
      </c>
      <c r="AH567" s="106">
        <v>466560</v>
      </c>
      <c r="AI567" s="106">
        <v>0.14499999999999999</v>
      </c>
      <c r="AJ567" s="106">
        <v>14</v>
      </c>
      <c r="AK567" s="106">
        <v>4665.6000000000004</v>
      </c>
      <c r="AL567" s="106">
        <v>65318.400000000001</v>
      </c>
      <c r="AM567" s="106">
        <v>341857</v>
      </c>
      <c r="AN567" s="106">
        <v>341857</v>
      </c>
      <c r="AO567" s="106">
        <v>233568</v>
      </c>
      <c r="AP567" s="106" t="s">
        <v>170</v>
      </c>
      <c r="AQ567" s="106" t="s">
        <v>421</v>
      </c>
      <c r="AR567" s="106">
        <v>1261</v>
      </c>
      <c r="AS567" s="106">
        <v>1620000</v>
      </c>
      <c r="AT567" s="106">
        <v>1620000</v>
      </c>
      <c r="AW567" s="106"/>
      <c r="AX567" s="106"/>
      <c r="BD567" s="106">
        <v>0</v>
      </c>
      <c r="BG567" s="106"/>
      <c r="BH567" s="106"/>
      <c r="BY567" s="112" t="s">
        <v>1766</v>
      </c>
      <c r="BZ567" s="112" t="s">
        <v>1766</v>
      </c>
      <c r="CA567" s="112" t="s">
        <v>1766</v>
      </c>
      <c r="CB567" s="112" t="s">
        <v>1766</v>
      </c>
      <c r="CC567" s="112" t="s">
        <v>1766</v>
      </c>
      <c r="CD567" s="112" t="s">
        <v>1766</v>
      </c>
      <c r="CE567" s="112" t="s">
        <v>1766</v>
      </c>
      <c r="CF567" s="112" t="s">
        <v>1766</v>
      </c>
      <c r="CG567" s="112" t="s">
        <v>1766</v>
      </c>
      <c r="CH567" s="112" t="s">
        <v>1766</v>
      </c>
      <c r="CI567" s="112" t="s">
        <v>1766</v>
      </c>
      <c r="CJ567" s="112" t="s">
        <v>1766</v>
      </c>
      <c r="CK567" s="112" t="s">
        <v>1766</v>
      </c>
      <c r="CL567" s="112" t="s">
        <v>1766</v>
      </c>
      <c r="CM567" s="112" t="s">
        <v>1766</v>
      </c>
      <c r="CN567" s="112" t="s">
        <v>1766</v>
      </c>
      <c r="CO567" s="112" t="s">
        <v>1766</v>
      </c>
    </row>
    <row r="568" spans="1:93">
      <c r="A568" s="106" t="s">
        <v>1014</v>
      </c>
      <c r="B568" s="106">
        <v>27</v>
      </c>
      <c r="C568" s="106">
        <v>1</v>
      </c>
      <c r="D568" s="106">
        <v>4</v>
      </c>
      <c r="E568" s="106">
        <v>1</v>
      </c>
      <c r="F568" s="106">
        <v>1</v>
      </c>
      <c r="G568" s="106" t="s">
        <v>66</v>
      </c>
      <c r="I568" s="106">
        <v>201</v>
      </c>
      <c r="J568" s="106" t="s">
        <v>1766</v>
      </c>
      <c r="K568" s="106" t="s">
        <v>1318</v>
      </c>
      <c r="L568" s="106" t="s">
        <v>1352</v>
      </c>
      <c r="M568" s="106" t="s">
        <v>1657</v>
      </c>
      <c r="O568" s="106">
        <v>0</v>
      </c>
      <c r="T568" s="106" t="s">
        <v>1766</v>
      </c>
      <c r="V568" s="106">
        <v>33151789.229279399</v>
      </c>
      <c r="W568" s="106">
        <v>1</v>
      </c>
      <c r="X568" s="106">
        <v>1</v>
      </c>
      <c r="Y568" s="106">
        <v>1</v>
      </c>
      <c r="Z568" s="106">
        <v>2</v>
      </c>
      <c r="AA568" s="106">
        <v>6600000</v>
      </c>
      <c r="AB568" s="106">
        <v>6600000</v>
      </c>
      <c r="AC568" s="106">
        <v>6600000</v>
      </c>
      <c r="AD568" s="106">
        <v>13000000</v>
      </c>
      <c r="AE568" s="106">
        <v>32800000</v>
      </c>
      <c r="AF568" s="106">
        <v>32800000</v>
      </c>
      <c r="AH568" s="106">
        <v>570240</v>
      </c>
      <c r="AI568" s="106">
        <v>0.16500000000000001</v>
      </c>
      <c r="AJ568" s="106">
        <v>15</v>
      </c>
      <c r="AK568" s="106">
        <v>5702.4</v>
      </c>
      <c r="AL568" s="106">
        <v>85536</v>
      </c>
      <c r="AM568" s="106">
        <v>403640</v>
      </c>
      <c r="AN568" s="106">
        <v>403640</v>
      </c>
      <c r="AO568" s="106">
        <v>299871</v>
      </c>
      <c r="AP568" s="106" t="s">
        <v>170</v>
      </c>
      <c r="AQ568" s="106" t="s">
        <v>421</v>
      </c>
      <c r="AR568" s="106">
        <v>1261</v>
      </c>
      <c r="AS568" s="106">
        <v>1760000</v>
      </c>
      <c r="AT568" s="106">
        <v>1760000</v>
      </c>
      <c r="AW568" s="106"/>
      <c r="AX568" s="106"/>
      <c r="BD568" s="106">
        <v>0</v>
      </c>
      <c r="BG568" s="106"/>
      <c r="BH568" s="106"/>
      <c r="BY568" s="112" t="s">
        <v>1766</v>
      </c>
      <c r="BZ568" s="112" t="s">
        <v>1766</v>
      </c>
      <c r="CA568" s="112" t="s">
        <v>1766</v>
      </c>
      <c r="CB568" s="112" t="s">
        <v>1766</v>
      </c>
      <c r="CC568" s="112" t="s">
        <v>1766</v>
      </c>
      <c r="CD568" s="112" t="s">
        <v>1766</v>
      </c>
      <c r="CE568" s="112" t="s">
        <v>1766</v>
      </c>
      <c r="CF568" s="112" t="s">
        <v>1766</v>
      </c>
      <c r="CG568" s="112" t="s">
        <v>1766</v>
      </c>
      <c r="CH568" s="112" t="s">
        <v>1766</v>
      </c>
      <c r="CI568" s="112" t="s">
        <v>1766</v>
      </c>
      <c r="CJ568" s="112" t="s">
        <v>1766</v>
      </c>
      <c r="CK568" s="112" t="s">
        <v>1766</v>
      </c>
      <c r="CL568" s="112" t="s">
        <v>1766</v>
      </c>
      <c r="CM568" s="112" t="s">
        <v>1766</v>
      </c>
      <c r="CN568" s="112" t="s">
        <v>1766</v>
      </c>
      <c r="CO568" s="112" t="s">
        <v>1766</v>
      </c>
    </row>
    <row r="569" spans="1:93">
      <c r="A569" s="106" t="s">
        <v>1014</v>
      </c>
      <c r="B569" s="106">
        <v>28</v>
      </c>
      <c r="C569" s="106">
        <v>1</v>
      </c>
      <c r="D569" s="106">
        <v>4</v>
      </c>
      <c r="E569" s="106">
        <v>1</v>
      </c>
      <c r="F569" s="106">
        <v>1</v>
      </c>
      <c r="G569" s="106" t="s">
        <v>66</v>
      </c>
      <c r="I569" s="106">
        <v>201</v>
      </c>
      <c r="J569" s="106" t="s">
        <v>1766</v>
      </c>
      <c r="K569" s="106" t="s">
        <v>1318</v>
      </c>
      <c r="L569" s="106" t="s">
        <v>1354</v>
      </c>
      <c r="M569" s="106" t="s">
        <v>1658</v>
      </c>
      <c r="O569" s="106">
        <v>0</v>
      </c>
      <c r="T569" s="106" t="s">
        <v>1766</v>
      </c>
      <c r="V569" s="106">
        <v>42434290.213477597</v>
      </c>
      <c r="W569" s="106">
        <v>1</v>
      </c>
      <c r="X569" s="106">
        <v>1</v>
      </c>
      <c r="Y569" s="106">
        <v>1</v>
      </c>
      <c r="Z569" s="106">
        <v>2</v>
      </c>
      <c r="AA569" s="106">
        <v>8500000</v>
      </c>
      <c r="AB569" s="106">
        <v>8500000</v>
      </c>
      <c r="AC569" s="106">
        <v>8500000</v>
      </c>
      <c r="AD569" s="106">
        <v>17000000</v>
      </c>
      <c r="AE569" s="106">
        <v>42500000</v>
      </c>
      <c r="AF569" s="106">
        <v>42500000</v>
      </c>
      <c r="AH569" s="106">
        <v>699840</v>
      </c>
      <c r="AI569" s="106">
        <v>0.185</v>
      </c>
      <c r="AJ569" s="106">
        <v>16</v>
      </c>
      <c r="AK569" s="106">
        <v>6998.4</v>
      </c>
      <c r="AL569" s="106">
        <v>111974.39999999999</v>
      </c>
      <c r="AM569" s="106">
        <v>478307</v>
      </c>
      <c r="AN569" s="106">
        <v>478307</v>
      </c>
      <c r="AO569" s="106">
        <v>384740</v>
      </c>
      <c r="AP569" s="106" t="s">
        <v>170</v>
      </c>
      <c r="AQ569" s="106" t="s">
        <v>421</v>
      </c>
      <c r="AR569" s="106">
        <v>1261</v>
      </c>
      <c r="AS569" s="106">
        <v>1920000</v>
      </c>
      <c r="AT569" s="106">
        <v>1920000</v>
      </c>
      <c r="AW569" s="106"/>
      <c r="AX569" s="106"/>
      <c r="BD569" s="106">
        <v>0</v>
      </c>
      <c r="BG569" s="106"/>
      <c r="BH569" s="106"/>
      <c r="BY569" s="112" t="s">
        <v>1766</v>
      </c>
      <c r="BZ569" s="112" t="s">
        <v>1766</v>
      </c>
      <c r="CA569" s="112" t="s">
        <v>1766</v>
      </c>
      <c r="CB569" s="112" t="s">
        <v>1766</v>
      </c>
      <c r="CC569" s="112" t="s">
        <v>1766</v>
      </c>
      <c r="CD569" s="112" t="s">
        <v>1766</v>
      </c>
      <c r="CE569" s="112" t="s">
        <v>1766</v>
      </c>
      <c r="CF569" s="112" t="s">
        <v>1766</v>
      </c>
      <c r="CG569" s="112" t="s">
        <v>1766</v>
      </c>
      <c r="CH569" s="112" t="s">
        <v>1766</v>
      </c>
      <c r="CI569" s="112" t="s">
        <v>1766</v>
      </c>
      <c r="CJ569" s="112" t="s">
        <v>1766</v>
      </c>
      <c r="CK569" s="112" t="s">
        <v>1766</v>
      </c>
      <c r="CL569" s="112" t="s">
        <v>1766</v>
      </c>
      <c r="CM569" s="112" t="s">
        <v>1766</v>
      </c>
      <c r="CN569" s="112" t="s">
        <v>1766</v>
      </c>
      <c r="CO569" s="112" t="s">
        <v>1766</v>
      </c>
    </row>
    <row r="570" spans="1:93">
      <c r="A570" s="106" t="s">
        <v>1014</v>
      </c>
      <c r="B570" s="106">
        <v>29</v>
      </c>
      <c r="C570" s="106">
        <v>1</v>
      </c>
      <c r="D570" s="106">
        <v>4</v>
      </c>
      <c r="E570" s="106">
        <v>1</v>
      </c>
      <c r="F570" s="106">
        <v>1</v>
      </c>
      <c r="G570" s="106" t="s">
        <v>66</v>
      </c>
      <c r="I570" s="106">
        <v>201</v>
      </c>
      <c r="J570" s="106" t="s">
        <v>1766</v>
      </c>
      <c r="K570" s="106" t="s">
        <v>1318</v>
      </c>
      <c r="L570" s="106" t="s">
        <v>1356</v>
      </c>
      <c r="M570" s="106" t="s">
        <v>1659</v>
      </c>
      <c r="O570" s="106">
        <v>0</v>
      </c>
      <c r="T570" s="106" t="s">
        <v>1766</v>
      </c>
      <c r="V570" s="106">
        <v>54315891.473251298</v>
      </c>
      <c r="W570" s="106">
        <v>1</v>
      </c>
      <c r="X570" s="106">
        <v>1</v>
      </c>
      <c r="Y570" s="106">
        <v>1</v>
      </c>
      <c r="Z570" s="106">
        <v>2</v>
      </c>
      <c r="AA570" s="106">
        <v>11000000</v>
      </c>
      <c r="AB570" s="106">
        <v>11000000</v>
      </c>
      <c r="AC570" s="106">
        <v>11000000</v>
      </c>
      <c r="AD570" s="106">
        <v>22000000</v>
      </c>
      <c r="AE570" s="106">
        <v>55000000</v>
      </c>
      <c r="AF570" s="106">
        <v>55000000</v>
      </c>
      <c r="AH570" s="106">
        <v>855360</v>
      </c>
      <c r="AI570" s="106">
        <v>0.20499999999999999</v>
      </c>
      <c r="AJ570" s="106">
        <v>17</v>
      </c>
      <c r="AK570" s="106">
        <v>8553.6</v>
      </c>
      <c r="AL570" s="106">
        <v>145411.20000000001</v>
      </c>
      <c r="AM570" s="106">
        <v>564131</v>
      </c>
      <c r="AN570" s="106">
        <v>564131</v>
      </c>
      <c r="AO570" s="106">
        <v>493372</v>
      </c>
      <c r="AP570" s="106" t="s">
        <v>170</v>
      </c>
      <c r="AQ570" s="106" t="s">
        <v>421</v>
      </c>
      <c r="AR570" s="106">
        <v>1261</v>
      </c>
      <c r="AS570" s="106">
        <v>2100000</v>
      </c>
      <c r="AT570" s="106">
        <v>2100000</v>
      </c>
      <c r="AW570" s="106"/>
      <c r="AX570" s="106"/>
      <c r="BD570" s="106">
        <v>0</v>
      </c>
      <c r="BG570" s="106"/>
      <c r="BH570" s="106"/>
      <c r="BY570" s="112" t="s">
        <v>1766</v>
      </c>
      <c r="BZ570" s="112" t="s">
        <v>1766</v>
      </c>
      <c r="CA570" s="112" t="s">
        <v>1766</v>
      </c>
      <c r="CB570" s="112" t="s">
        <v>1766</v>
      </c>
      <c r="CC570" s="112" t="s">
        <v>1766</v>
      </c>
      <c r="CD570" s="112" t="s">
        <v>1766</v>
      </c>
      <c r="CE570" s="112" t="s">
        <v>1766</v>
      </c>
      <c r="CF570" s="112" t="s">
        <v>1766</v>
      </c>
      <c r="CG570" s="112" t="s">
        <v>1766</v>
      </c>
      <c r="CH570" s="112" t="s">
        <v>1766</v>
      </c>
      <c r="CI570" s="112" t="s">
        <v>1766</v>
      </c>
      <c r="CJ570" s="112" t="s">
        <v>1766</v>
      </c>
      <c r="CK570" s="112" t="s">
        <v>1766</v>
      </c>
      <c r="CL570" s="112" t="s">
        <v>1766</v>
      </c>
      <c r="CM570" s="112" t="s">
        <v>1766</v>
      </c>
      <c r="CN570" s="112" t="s">
        <v>1766</v>
      </c>
      <c r="CO570" s="112" t="s">
        <v>1766</v>
      </c>
    </row>
    <row r="571" spans="1:93">
      <c r="A571" s="106" t="s">
        <v>1014</v>
      </c>
      <c r="B571" s="106">
        <v>30</v>
      </c>
      <c r="C571" s="106">
        <v>1</v>
      </c>
      <c r="D571" s="106">
        <v>4</v>
      </c>
      <c r="E571" s="106">
        <v>1</v>
      </c>
      <c r="F571" s="106">
        <v>1</v>
      </c>
      <c r="G571" s="106" t="s">
        <v>66</v>
      </c>
      <c r="I571" s="106">
        <v>201</v>
      </c>
      <c r="J571" s="106" t="s">
        <v>1766</v>
      </c>
      <c r="K571" s="106" t="s">
        <v>1318</v>
      </c>
      <c r="L571" s="106" t="s">
        <v>1358</v>
      </c>
      <c r="M571" s="106" t="s">
        <v>1660</v>
      </c>
      <c r="O571" s="106">
        <v>0</v>
      </c>
      <c r="T571" s="106" t="s">
        <v>1766</v>
      </c>
      <c r="V571" s="106">
        <v>69524341.085761696</v>
      </c>
      <c r="W571" s="106">
        <v>1</v>
      </c>
      <c r="X571" s="106">
        <v>1</v>
      </c>
      <c r="Y571" s="106">
        <v>1</v>
      </c>
      <c r="Z571" s="106">
        <v>2</v>
      </c>
      <c r="AA571" s="106">
        <v>14000000</v>
      </c>
      <c r="AB571" s="106">
        <v>14000000</v>
      </c>
      <c r="AC571" s="106">
        <v>14000000</v>
      </c>
      <c r="AD571" s="106">
        <v>28000000</v>
      </c>
      <c r="AE571" s="106">
        <v>70000000</v>
      </c>
      <c r="AF571" s="106">
        <v>70000000</v>
      </c>
      <c r="AH571" s="106">
        <v>1036800</v>
      </c>
      <c r="AI571" s="106">
        <v>0.22500000000000001</v>
      </c>
      <c r="AJ571" s="106">
        <v>18</v>
      </c>
      <c r="AK571" s="106">
        <v>10368</v>
      </c>
      <c r="AL571" s="106">
        <v>186624</v>
      </c>
      <c r="AM571" s="106">
        <v>659443</v>
      </c>
      <c r="AN571" s="106">
        <v>659443</v>
      </c>
      <c r="AO571" s="106">
        <v>632420</v>
      </c>
      <c r="AP571" s="106" t="s">
        <v>170</v>
      </c>
      <c r="AQ571" s="106" t="s">
        <v>421</v>
      </c>
      <c r="AR571" s="106">
        <v>1261</v>
      </c>
      <c r="AS571" s="106">
        <v>2300000</v>
      </c>
      <c r="AT571" s="106">
        <v>2300000</v>
      </c>
      <c r="AW571" s="106"/>
      <c r="AX571" s="106"/>
      <c r="BD571" s="106">
        <v>0</v>
      </c>
      <c r="BG571" s="106"/>
      <c r="BH571" s="106"/>
      <c r="BY571" s="112" t="s">
        <v>1766</v>
      </c>
      <c r="BZ571" s="112" t="s">
        <v>1766</v>
      </c>
      <c r="CA571" s="112" t="s">
        <v>1766</v>
      </c>
      <c r="CB571" s="112" t="s">
        <v>1766</v>
      </c>
      <c r="CC571" s="112" t="s">
        <v>1766</v>
      </c>
      <c r="CD571" s="112" t="s">
        <v>1766</v>
      </c>
      <c r="CE571" s="112" t="s">
        <v>1766</v>
      </c>
      <c r="CF571" s="112" t="s">
        <v>1766</v>
      </c>
      <c r="CG571" s="112" t="s">
        <v>1766</v>
      </c>
      <c r="CH571" s="112" t="s">
        <v>1766</v>
      </c>
      <c r="CI571" s="112" t="s">
        <v>1766</v>
      </c>
      <c r="CJ571" s="112" t="s">
        <v>1766</v>
      </c>
      <c r="CK571" s="112" t="s">
        <v>1766</v>
      </c>
      <c r="CL571" s="112" t="s">
        <v>1766</v>
      </c>
      <c r="CM571" s="112" t="s">
        <v>1766</v>
      </c>
      <c r="CN571" s="112" t="s">
        <v>1766</v>
      </c>
      <c r="CO571" s="112" t="s">
        <v>1766</v>
      </c>
    </row>
    <row r="572" spans="1:93">
      <c r="A572" s="106" t="s">
        <v>565</v>
      </c>
      <c r="B572" s="106">
        <v>1</v>
      </c>
      <c r="C572" s="106">
        <v>1</v>
      </c>
      <c r="D572" s="106">
        <v>1</v>
      </c>
      <c r="E572" s="106">
        <v>1</v>
      </c>
      <c r="F572" s="106">
        <v>1</v>
      </c>
      <c r="G572" s="106" t="s">
        <v>66</v>
      </c>
      <c r="I572" s="106">
        <v>201</v>
      </c>
      <c r="J572" s="106" t="s">
        <v>1766</v>
      </c>
      <c r="K572" s="106" t="s">
        <v>1318</v>
      </c>
      <c r="L572" s="106" t="s">
        <v>229</v>
      </c>
      <c r="M572" s="106" t="s">
        <v>566</v>
      </c>
      <c r="N572" s="106">
        <v>5</v>
      </c>
      <c r="O572" s="106">
        <v>1</v>
      </c>
      <c r="T572" s="106" t="s">
        <v>1766</v>
      </c>
      <c r="V572" s="106">
        <v>0</v>
      </c>
      <c r="W572" s="106">
        <v>0</v>
      </c>
      <c r="X572" s="106">
        <v>0</v>
      </c>
      <c r="Y572" s="106" t="s">
        <v>1766</v>
      </c>
      <c r="Z572" s="106" t="s">
        <v>1766</v>
      </c>
      <c r="AA572" s="106">
        <v>0</v>
      </c>
      <c r="AB572" s="106">
        <v>0</v>
      </c>
      <c r="AC572" s="106">
        <v>0</v>
      </c>
      <c r="AD572" s="106">
        <v>0</v>
      </c>
      <c r="AE572" s="106">
        <v>0</v>
      </c>
      <c r="AF572" s="106">
        <v>0</v>
      </c>
      <c r="AH572" s="106">
        <v>25</v>
      </c>
      <c r="AI572" s="106">
        <v>0</v>
      </c>
      <c r="AJ572" s="106">
        <v>0</v>
      </c>
      <c r="AK572" s="106">
        <v>120</v>
      </c>
      <c r="AL572" s="106">
        <v>0</v>
      </c>
      <c r="AM572" s="106">
        <v>1</v>
      </c>
      <c r="AN572" s="106">
        <v>1</v>
      </c>
      <c r="AO572" s="106">
        <v>3</v>
      </c>
      <c r="AP572" s="106" t="s">
        <v>1791</v>
      </c>
      <c r="AQ572" s="106" t="s">
        <v>1813</v>
      </c>
      <c r="AR572" s="106">
        <v>10000601</v>
      </c>
      <c r="AS572" s="106">
        <v>10</v>
      </c>
      <c r="AT572" s="106">
        <v>10</v>
      </c>
      <c r="AU572" s="108" t="s">
        <v>1806</v>
      </c>
      <c r="AV572" s="108" t="s">
        <v>1814</v>
      </c>
      <c r="AW572" s="108">
        <v>10000701</v>
      </c>
      <c r="AX572" s="108">
        <v>0.02</v>
      </c>
      <c r="AY572" s="108">
        <v>0.02</v>
      </c>
      <c r="BD572" s="106">
        <v>0</v>
      </c>
      <c r="BY572" s="112" t="s">
        <v>158</v>
      </c>
      <c r="BZ572" s="112" t="s">
        <v>1585</v>
      </c>
      <c r="CA572" s="112" t="s">
        <v>1790</v>
      </c>
      <c r="CB572" s="112" t="s">
        <v>1791</v>
      </c>
      <c r="CC572" s="112">
        <v>20</v>
      </c>
      <c r="CD572" s="112" t="s">
        <v>1805</v>
      </c>
      <c r="CE572" s="112" t="s">
        <v>1806</v>
      </c>
      <c r="CF572" s="112">
        <v>33</v>
      </c>
      <c r="CG572" s="112" t="s">
        <v>1766</v>
      </c>
      <c r="CH572" s="112" t="s">
        <v>1766</v>
      </c>
      <c r="CI572" s="112" t="s">
        <v>1766</v>
      </c>
      <c r="CJ572" s="112" t="s">
        <v>1766</v>
      </c>
      <c r="CK572" s="112" t="s">
        <v>1766</v>
      </c>
      <c r="CL572" s="112" t="s">
        <v>1766</v>
      </c>
      <c r="CM572" s="112" t="s">
        <v>1766</v>
      </c>
      <c r="CN572" s="112" t="s">
        <v>1766</v>
      </c>
      <c r="CO572" s="112" t="s">
        <v>1766</v>
      </c>
    </row>
    <row r="573" spans="1:93">
      <c r="A573" s="106" t="s">
        <v>565</v>
      </c>
      <c r="B573" s="106">
        <v>2</v>
      </c>
      <c r="C573" s="106">
        <v>1</v>
      </c>
      <c r="D573" s="106">
        <v>1</v>
      </c>
      <c r="E573" s="106">
        <v>1</v>
      </c>
      <c r="F573" s="106">
        <v>1</v>
      </c>
      <c r="G573" s="106" t="s">
        <v>66</v>
      </c>
      <c r="I573" s="106">
        <v>201</v>
      </c>
      <c r="J573" s="106" t="s">
        <v>1766</v>
      </c>
      <c r="K573" s="106" t="s">
        <v>1318</v>
      </c>
      <c r="L573" s="106" t="s">
        <v>1320</v>
      </c>
      <c r="M573" s="106" t="s">
        <v>570</v>
      </c>
      <c r="N573" s="106">
        <v>5</v>
      </c>
      <c r="O573" s="106">
        <v>2</v>
      </c>
      <c r="T573" s="106" t="s">
        <v>1766</v>
      </c>
      <c r="V573" s="106">
        <v>3000</v>
      </c>
      <c r="W573" s="106">
        <v>1</v>
      </c>
      <c r="X573" s="106">
        <v>2</v>
      </c>
      <c r="Y573" s="106" t="s">
        <v>1766</v>
      </c>
      <c r="Z573" s="106" t="s">
        <v>1766</v>
      </c>
      <c r="AA573" s="106">
        <v>1000</v>
      </c>
      <c r="AB573" s="106">
        <v>2000</v>
      </c>
      <c r="AC573" s="106">
        <v>0</v>
      </c>
      <c r="AD573" s="106">
        <v>0</v>
      </c>
      <c r="AE573" s="106">
        <v>3000</v>
      </c>
      <c r="AF573" s="106">
        <v>3000</v>
      </c>
      <c r="AH573" s="106">
        <v>54</v>
      </c>
      <c r="AI573" s="106">
        <v>0</v>
      </c>
      <c r="AJ573" s="106">
        <v>0</v>
      </c>
      <c r="AK573" s="106">
        <v>120</v>
      </c>
      <c r="AL573" s="106">
        <v>0</v>
      </c>
      <c r="AM573" s="106">
        <v>1</v>
      </c>
      <c r="AN573" s="106">
        <v>1</v>
      </c>
      <c r="AO573" s="106">
        <v>9</v>
      </c>
      <c r="AP573" s="106" t="s">
        <v>1791</v>
      </c>
      <c r="AQ573" s="106" t="s">
        <v>1813</v>
      </c>
      <c r="AR573" s="106">
        <v>10000601</v>
      </c>
      <c r="AS573" s="106">
        <v>10</v>
      </c>
      <c r="AT573" s="106">
        <v>10</v>
      </c>
      <c r="AU573" s="108" t="s">
        <v>1806</v>
      </c>
      <c r="AV573" s="108" t="s">
        <v>1814</v>
      </c>
      <c r="AW573" s="108">
        <v>10000701</v>
      </c>
      <c r="AX573" s="108">
        <v>0.04</v>
      </c>
      <c r="AY573" s="108">
        <v>0.04</v>
      </c>
      <c r="BD573" s="106">
        <v>0</v>
      </c>
      <c r="BY573" s="112" t="s">
        <v>1766</v>
      </c>
      <c r="BZ573" s="112" t="s">
        <v>1766</v>
      </c>
      <c r="CA573" s="112" t="s">
        <v>1766</v>
      </c>
      <c r="CB573" s="112" t="s">
        <v>1766</v>
      </c>
      <c r="CC573" s="112" t="s">
        <v>1766</v>
      </c>
      <c r="CD573" s="112" t="s">
        <v>1766</v>
      </c>
      <c r="CE573" s="112" t="s">
        <v>1766</v>
      </c>
      <c r="CF573" s="112" t="s">
        <v>1766</v>
      </c>
      <c r="CG573" s="112" t="s">
        <v>1766</v>
      </c>
      <c r="CH573" s="112" t="s">
        <v>1766</v>
      </c>
      <c r="CI573" s="112" t="s">
        <v>1766</v>
      </c>
      <c r="CJ573" s="112" t="s">
        <v>1766</v>
      </c>
      <c r="CK573" s="112" t="s">
        <v>1766</v>
      </c>
      <c r="CL573" s="112" t="s">
        <v>1766</v>
      </c>
      <c r="CM573" s="112" t="s">
        <v>1766</v>
      </c>
      <c r="CN573" s="112" t="s">
        <v>1766</v>
      </c>
      <c r="CO573" s="112" t="s">
        <v>1766</v>
      </c>
    </row>
    <row r="574" spans="1:93">
      <c r="A574" s="106" t="s">
        <v>565</v>
      </c>
      <c r="B574" s="106">
        <v>3</v>
      </c>
      <c r="C574" s="106">
        <v>1</v>
      </c>
      <c r="D574" s="106">
        <v>1</v>
      </c>
      <c r="E574" s="106">
        <v>1</v>
      </c>
      <c r="F574" s="106">
        <v>1</v>
      </c>
      <c r="G574" s="106" t="s">
        <v>66</v>
      </c>
      <c r="I574" s="106">
        <v>201</v>
      </c>
      <c r="J574" s="106" t="s">
        <v>1766</v>
      </c>
      <c r="K574" s="106" t="s">
        <v>1318</v>
      </c>
      <c r="L574" s="106" t="s">
        <v>1321</v>
      </c>
      <c r="M574" s="106" t="s">
        <v>571</v>
      </c>
      <c r="N574" s="106">
        <v>5</v>
      </c>
      <c r="O574" s="106">
        <v>3</v>
      </c>
      <c r="T574" s="106" t="s">
        <v>1766</v>
      </c>
      <c r="V574" s="106">
        <v>6000</v>
      </c>
      <c r="W574" s="106">
        <v>1</v>
      </c>
      <c r="X574" s="106">
        <v>2</v>
      </c>
      <c r="Y574" s="106" t="s">
        <v>1766</v>
      </c>
      <c r="Z574" s="106" t="s">
        <v>1766</v>
      </c>
      <c r="AA574" s="106">
        <v>2000</v>
      </c>
      <c r="AB574" s="106">
        <v>4000</v>
      </c>
      <c r="AC574" s="106">
        <v>0</v>
      </c>
      <c r="AD574" s="106">
        <v>0</v>
      </c>
      <c r="AE574" s="106">
        <v>6000</v>
      </c>
      <c r="AF574" s="106">
        <v>6000</v>
      </c>
      <c r="AH574" s="106">
        <v>108</v>
      </c>
      <c r="AI574" s="106">
        <v>0</v>
      </c>
      <c r="AJ574" s="106">
        <v>1</v>
      </c>
      <c r="AK574" s="106">
        <v>120</v>
      </c>
      <c r="AL574" s="106">
        <v>120</v>
      </c>
      <c r="AM574" s="106">
        <v>1</v>
      </c>
      <c r="AN574" s="106">
        <v>1</v>
      </c>
      <c r="AO574" s="106">
        <v>21</v>
      </c>
      <c r="AP574" s="106" t="s">
        <v>1791</v>
      </c>
      <c r="AQ574" s="106" t="s">
        <v>1813</v>
      </c>
      <c r="AR574" s="106">
        <v>10000601</v>
      </c>
      <c r="AS574" s="106">
        <v>10</v>
      </c>
      <c r="AT574" s="106">
        <v>10</v>
      </c>
      <c r="AU574" s="108" t="s">
        <v>1806</v>
      </c>
      <c r="AV574" s="108" t="s">
        <v>1814</v>
      </c>
      <c r="AW574" s="108">
        <v>10000701</v>
      </c>
      <c r="AX574" s="108">
        <v>0.06</v>
      </c>
      <c r="AY574" s="108">
        <v>0.06</v>
      </c>
      <c r="BD574" s="106">
        <v>0</v>
      </c>
      <c r="BY574" s="112" t="s">
        <v>1766</v>
      </c>
      <c r="BZ574" s="112" t="s">
        <v>1766</v>
      </c>
      <c r="CA574" s="112" t="s">
        <v>1766</v>
      </c>
      <c r="CB574" s="112" t="s">
        <v>1766</v>
      </c>
      <c r="CC574" s="112" t="s">
        <v>1766</v>
      </c>
      <c r="CD574" s="112" t="s">
        <v>1766</v>
      </c>
      <c r="CE574" s="112" t="s">
        <v>1766</v>
      </c>
      <c r="CF574" s="112" t="s">
        <v>1766</v>
      </c>
      <c r="CG574" s="112" t="s">
        <v>1766</v>
      </c>
      <c r="CH574" s="112" t="s">
        <v>1766</v>
      </c>
      <c r="CI574" s="112" t="s">
        <v>1766</v>
      </c>
      <c r="CJ574" s="112" t="s">
        <v>1766</v>
      </c>
      <c r="CK574" s="112" t="s">
        <v>1766</v>
      </c>
      <c r="CL574" s="112" t="s">
        <v>1766</v>
      </c>
      <c r="CM574" s="112" t="s">
        <v>1766</v>
      </c>
      <c r="CN574" s="112" t="s">
        <v>1766</v>
      </c>
      <c r="CO574" s="112" t="s">
        <v>1766</v>
      </c>
    </row>
    <row r="575" spans="1:93">
      <c r="A575" s="106" t="s">
        <v>565</v>
      </c>
      <c r="B575" s="106">
        <v>4</v>
      </c>
      <c r="C575" s="106">
        <v>1</v>
      </c>
      <c r="D575" s="106">
        <v>1</v>
      </c>
      <c r="E575" s="106">
        <v>1</v>
      </c>
      <c r="F575" s="106">
        <v>1</v>
      </c>
      <c r="G575" s="106" t="s">
        <v>66</v>
      </c>
      <c r="I575" s="106">
        <v>201</v>
      </c>
      <c r="J575" s="106" t="s">
        <v>1766</v>
      </c>
      <c r="K575" s="106" t="s">
        <v>1318</v>
      </c>
      <c r="L575" s="106" t="s">
        <v>1322</v>
      </c>
      <c r="M575" s="106" t="s">
        <v>572</v>
      </c>
      <c r="N575" s="106">
        <v>5</v>
      </c>
      <c r="O575" s="106">
        <v>4</v>
      </c>
      <c r="T575" s="106" t="s">
        <v>1766</v>
      </c>
      <c r="V575" s="106">
        <v>12000</v>
      </c>
      <c r="W575" s="106">
        <v>1</v>
      </c>
      <c r="X575" s="106">
        <v>2</v>
      </c>
      <c r="Y575" s="106" t="s">
        <v>1766</v>
      </c>
      <c r="Z575" s="106" t="s">
        <v>1766</v>
      </c>
      <c r="AA575" s="106">
        <v>4000</v>
      </c>
      <c r="AB575" s="106">
        <v>8000</v>
      </c>
      <c r="AC575" s="106">
        <v>0</v>
      </c>
      <c r="AD575" s="106">
        <v>0</v>
      </c>
      <c r="AE575" s="106">
        <v>12000</v>
      </c>
      <c r="AF575" s="106">
        <v>12000</v>
      </c>
      <c r="AH575" s="106">
        <v>216</v>
      </c>
      <c r="AI575" s="106">
        <v>0</v>
      </c>
      <c r="AJ575" s="106">
        <v>1</v>
      </c>
      <c r="AK575" s="106">
        <v>120</v>
      </c>
      <c r="AL575" s="106">
        <v>120</v>
      </c>
      <c r="AM575" s="106">
        <v>1</v>
      </c>
      <c r="AN575" s="106">
        <v>1</v>
      </c>
      <c r="AO575" s="106">
        <v>45</v>
      </c>
      <c r="AP575" s="106" t="s">
        <v>1791</v>
      </c>
      <c r="AQ575" s="106" t="s">
        <v>1813</v>
      </c>
      <c r="AR575" s="106">
        <v>10000601</v>
      </c>
      <c r="AS575" s="106">
        <v>10</v>
      </c>
      <c r="AT575" s="106">
        <v>10</v>
      </c>
      <c r="AU575" s="108" t="s">
        <v>1806</v>
      </c>
      <c r="AV575" s="108" t="s">
        <v>1814</v>
      </c>
      <c r="AW575" s="108">
        <v>10000701</v>
      </c>
      <c r="AX575" s="108">
        <v>0.08</v>
      </c>
      <c r="AY575" s="108">
        <v>0.08</v>
      </c>
      <c r="BD575" s="106">
        <v>0</v>
      </c>
      <c r="BY575" s="112" t="s">
        <v>1766</v>
      </c>
      <c r="BZ575" s="112" t="s">
        <v>1766</v>
      </c>
      <c r="CA575" s="112" t="s">
        <v>1766</v>
      </c>
      <c r="CB575" s="112" t="s">
        <v>1766</v>
      </c>
      <c r="CC575" s="112" t="s">
        <v>1766</v>
      </c>
      <c r="CD575" s="112" t="s">
        <v>1766</v>
      </c>
      <c r="CE575" s="112" t="s">
        <v>1766</v>
      </c>
      <c r="CF575" s="112" t="s">
        <v>1766</v>
      </c>
      <c r="CG575" s="112" t="s">
        <v>1766</v>
      </c>
      <c r="CH575" s="112" t="s">
        <v>1766</v>
      </c>
      <c r="CI575" s="112" t="s">
        <v>1766</v>
      </c>
      <c r="CJ575" s="112" t="s">
        <v>1766</v>
      </c>
      <c r="CK575" s="112" t="s">
        <v>1766</v>
      </c>
      <c r="CL575" s="112" t="s">
        <v>1766</v>
      </c>
      <c r="CM575" s="112" t="s">
        <v>1766</v>
      </c>
      <c r="CN575" s="112" t="s">
        <v>1766</v>
      </c>
      <c r="CO575" s="112" t="s">
        <v>1766</v>
      </c>
    </row>
    <row r="576" spans="1:93">
      <c r="A576" s="106" t="s">
        <v>565</v>
      </c>
      <c r="B576" s="106">
        <v>5</v>
      </c>
      <c r="C576" s="106">
        <v>1</v>
      </c>
      <c r="D576" s="106">
        <v>1</v>
      </c>
      <c r="E576" s="106">
        <v>1</v>
      </c>
      <c r="F576" s="106">
        <v>1</v>
      </c>
      <c r="G576" s="106" t="s">
        <v>66</v>
      </c>
      <c r="I576" s="106">
        <v>201</v>
      </c>
      <c r="J576" s="106" t="s">
        <v>1766</v>
      </c>
      <c r="K576" s="106" t="s">
        <v>1318</v>
      </c>
      <c r="L576" s="106" t="s">
        <v>1323</v>
      </c>
      <c r="M576" s="106" t="s">
        <v>573</v>
      </c>
      <c r="N576" s="106">
        <v>6</v>
      </c>
      <c r="O576" s="106">
        <v>5</v>
      </c>
      <c r="T576" s="106" t="s">
        <v>1766</v>
      </c>
      <c r="V576" s="106">
        <v>23160</v>
      </c>
      <c r="W576" s="106">
        <v>1</v>
      </c>
      <c r="X576" s="106">
        <v>2</v>
      </c>
      <c r="Y576" s="106">
        <v>2</v>
      </c>
      <c r="Z576" s="106" t="s">
        <v>1766</v>
      </c>
      <c r="AA576" s="106">
        <v>4600</v>
      </c>
      <c r="AB576" s="106">
        <v>9300</v>
      </c>
      <c r="AC576" s="106">
        <v>9300</v>
      </c>
      <c r="AD576" s="106">
        <v>0</v>
      </c>
      <c r="AE576" s="106">
        <v>23200</v>
      </c>
      <c r="AF576" s="106">
        <v>23200</v>
      </c>
      <c r="AH576" s="106">
        <v>450</v>
      </c>
      <c r="AI576" s="106">
        <v>0</v>
      </c>
      <c r="AJ576" s="106">
        <v>2</v>
      </c>
      <c r="AK576" s="106">
        <v>120</v>
      </c>
      <c r="AL576" s="106">
        <v>240</v>
      </c>
      <c r="AM576" s="106">
        <v>1</v>
      </c>
      <c r="AN576" s="106">
        <v>1</v>
      </c>
      <c r="AO576" s="106">
        <v>91</v>
      </c>
      <c r="AP576" s="106" t="s">
        <v>1791</v>
      </c>
      <c r="AQ576" s="106" t="s">
        <v>1813</v>
      </c>
      <c r="AR576" s="106">
        <v>10000601</v>
      </c>
      <c r="AS576" s="106">
        <v>10</v>
      </c>
      <c r="AT576" s="106">
        <v>10</v>
      </c>
      <c r="AU576" s="108" t="s">
        <v>1806</v>
      </c>
      <c r="AV576" s="108" t="s">
        <v>1814</v>
      </c>
      <c r="AW576" s="108">
        <v>10000701</v>
      </c>
      <c r="AX576" s="108">
        <v>0.1</v>
      </c>
      <c r="AY576" s="108">
        <v>0.1</v>
      </c>
      <c r="BD576" s="106">
        <v>0</v>
      </c>
      <c r="BY576" s="112" t="s">
        <v>1766</v>
      </c>
      <c r="BZ576" s="112" t="s">
        <v>1766</v>
      </c>
      <c r="CA576" s="112" t="s">
        <v>1766</v>
      </c>
      <c r="CB576" s="112" t="s">
        <v>1766</v>
      </c>
      <c r="CC576" s="112" t="s">
        <v>1766</v>
      </c>
      <c r="CD576" s="112" t="s">
        <v>1766</v>
      </c>
      <c r="CE576" s="112" t="s">
        <v>1766</v>
      </c>
      <c r="CF576" s="112" t="s">
        <v>1766</v>
      </c>
      <c r="CG576" s="112" t="s">
        <v>1766</v>
      </c>
      <c r="CH576" s="112" t="s">
        <v>1766</v>
      </c>
      <c r="CI576" s="112" t="s">
        <v>1766</v>
      </c>
      <c r="CJ576" s="112" t="s">
        <v>1766</v>
      </c>
      <c r="CK576" s="112" t="s">
        <v>1766</v>
      </c>
      <c r="CL576" s="112" t="s">
        <v>1766</v>
      </c>
      <c r="CM576" s="112" t="s">
        <v>1766</v>
      </c>
      <c r="CN576" s="112" t="s">
        <v>1766</v>
      </c>
      <c r="CO576" s="112" t="s">
        <v>1766</v>
      </c>
    </row>
    <row r="577" spans="1:93">
      <c r="A577" s="106" t="s">
        <v>565</v>
      </c>
      <c r="B577" s="106">
        <v>6</v>
      </c>
      <c r="C577" s="106">
        <v>1</v>
      </c>
      <c r="D577" s="106">
        <v>1</v>
      </c>
      <c r="E577" s="106">
        <v>1</v>
      </c>
      <c r="F577" s="106">
        <v>1</v>
      </c>
      <c r="G577" s="106" t="s">
        <v>66</v>
      </c>
      <c r="I577" s="106">
        <v>201</v>
      </c>
      <c r="J577" s="106" t="s">
        <v>1766</v>
      </c>
      <c r="K577" s="106" t="s">
        <v>1318</v>
      </c>
      <c r="L577" s="106" t="s">
        <v>1324</v>
      </c>
      <c r="M577" s="106" t="s">
        <v>574</v>
      </c>
      <c r="N577" s="106">
        <v>7</v>
      </c>
      <c r="O577" s="106">
        <v>6</v>
      </c>
      <c r="T577" s="106" t="s">
        <v>1766</v>
      </c>
      <c r="V577" s="106">
        <v>43077.599999999999</v>
      </c>
      <c r="W577" s="106">
        <v>1</v>
      </c>
      <c r="X577" s="106">
        <v>2</v>
      </c>
      <c r="Y577" s="106">
        <v>2</v>
      </c>
      <c r="Z577" s="106" t="s">
        <v>1766</v>
      </c>
      <c r="AA577" s="106">
        <v>8600</v>
      </c>
      <c r="AB577" s="106">
        <v>17000</v>
      </c>
      <c r="AC577" s="106">
        <v>17000</v>
      </c>
      <c r="AD577" s="106">
        <v>0</v>
      </c>
      <c r="AE577" s="106">
        <v>42600</v>
      </c>
      <c r="AF577" s="106">
        <v>42600</v>
      </c>
      <c r="AH577" s="106">
        <v>810</v>
      </c>
      <c r="AI577" s="106">
        <v>0</v>
      </c>
      <c r="AJ577" s="106">
        <v>2</v>
      </c>
      <c r="AK577" s="106">
        <v>120</v>
      </c>
      <c r="AL577" s="106">
        <v>240</v>
      </c>
      <c r="AM577" s="106">
        <v>270</v>
      </c>
      <c r="AN577" s="106">
        <v>270</v>
      </c>
      <c r="AO577" s="106">
        <v>177</v>
      </c>
      <c r="AP577" s="106" t="s">
        <v>1791</v>
      </c>
      <c r="AQ577" s="106" t="s">
        <v>1813</v>
      </c>
      <c r="AR577" s="106">
        <v>10000601</v>
      </c>
      <c r="AS577" s="106">
        <v>10</v>
      </c>
      <c r="AT577" s="106">
        <v>10</v>
      </c>
      <c r="AU577" s="108" t="s">
        <v>1806</v>
      </c>
      <c r="AV577" s="108" t="s">
        <v>1814</v>
      </c>
      <c r="AW577" s="108">
        <v>10000701</v>
      </c>
      <c r="AX577" s="108">
        <v>0.12</v>
      </c>
      <c r="AY577" s="108">
        <v>0.12</v>
      </c>
      <c r="BD577" s="106">
        <v>0</v>
      </c>
      <c r="BY577" s="112" t="s">
        <v>1766</v>
      </c>
      <c r="BZ577" s="112" t="s">
        <v>1766</v>
      </c>
      <c r="CA577" s="112" t="s">
        <v>1766</v>
      </c>
      <c r="CB577" s="112" t="s">
        <v>1766</v>
      </c>
      <c r="CC577" s="112" t="s">
        <v>1766</v>
      </c>
      <c r="CD577" s="112" t="s">
        <v>1766</v>
      </c>
      <c r="CE577" s="112" t="s">
        <v>1766</v>
      </c>
      <c r="CF577" s="112" t="s">
        <v>1766</v>
      </c>
      <c r="CG577" s="112" t="s">
        <v>1766</v>
      </c>
      <c r="CH577" s="112" t="s">
        <v>1766</v>
      </c>
      <c r="CI577" s="112" t="s">
        <v>1766</v>
      </c>
      <c r="CJ577" s="112" t="s">
        <v>1766</v>
      </c>
      <c r="CK577" s="112" t="s">
        <v>1766</v>
      </c>
      <c r="CL577" s="112" t="s">
        <v>1766</v>
      </c>
      <c r="CM577" s="112" t="s">
        <v>1766</v>
      </c>
      <c r="CN577" s="112" t="s">
        <v>1766</v>
      </c>
      <c r="CO577" s="112" t="s">
        <v>1766</v>
      </c>
    </row>
    <row r="578" spans="1:93">
      <c r="A578" s="106" t="s">
        <v>565</v>
      </c>
      <c r="B578" s="106">
        <v>7</v>
      </c>
      <c r="C578" s="106">
        <v>1</v>
      </c>
      <c r="D578" s="106">
        <v>1</v>
      </c>
      <c r="E578" s="106">
        <v>1</v>
      </c>
      <c r="F578" s="106">
        <v>1</v>
      </c>
      <c r="G578" s="106" t="s">
        <v>66</v>
      </c>
      <c r="I578" s="106">
        <v>201</v>
      </c>
      <c r="J578" s="106" t="s">
        <v>1766</v>
      </c>
      <c r="K578" s="106" t="s">
        <v>1318</v>
      </c>
      <c r="L578" s="106" t="s">
        <v>1325</v>
      </c>
      <c r="M578" s="106" t="s">
        <v>575</v>
      </c>
      <c r="N578" s="106">
        <v>8</v>
      </c>
      <c r="O578" s="106">
        <v>7</v>
      </c>
      <c r="T578" s="106" t="s">
        <v>1766</v>
      </c>
      <c r="V578" s="106">
        <v>77108.903999999995</v>
      </c>
      <c r="W578" s="106">
        <v>1</v>
      </c>
      <c r="X578" s="106">
        <v>2</v>
      </c>
      <c r="Y578" s="106">
        <v>2</v>
      </c>
      <c r="Z578" s="106" t="s">
        <v>1766</v>
      </c>
      <c r="AA578" s="106">
        <v>15000</v>
      </c>
      <c r="AB578" s="106">
        <v>31000</v>
      </c>
      <c r="AC578" s="106">
        <v>31000</v>
      </c>
      <c r="AD578" s="106">
        <v>0</v>
      </c>
      <c r="AE578" s="106">
        <v>77000</v>
      </c>
      <c r="AF578" s="106">
        <v>77000</v>
      </c>
      <c r="AH578" s="106">
        <v>1350</v>
      </c>
      <c r="AI578" s="106">
        <v>0</v>
      </c>
      <c r="AJ578" s="106">
        <v>3</v>
      </c>
      <c r="AK578" s="106">
        <v>120</v>
      </c>
      <c r="AL578" s="106">
        <v>360</v>
      </c>
      <c r="AM578" s="106">
        <v>690</v>
      </c>
      <c r="AN578" s="106">
        <v>690</v>
      </c>
      <c r="AO578" s="106">
        <v>331</v>
      </c>
      <c r="AP578" s="106" t="s">
        <v>1791</v>
      </c>
      <c r="AQ578" s="106" t="s">
        <v>1813</v>
      </c>
      <c r="AR578" s="106">
        <v>10000601</v>
      </c>
      <c r="AS578" s="106">
        <v>15</v>
      </c>
      <c r="AT578" s="106">
        <v>15</v>
      </c>
      <c r="AU578" s="108" t="s">
        <v>1806</v>
      </c>
      <c r="AV578" s="108" t="s">
        <v>1814</v>
      </c>
      <c r="AW578" s="108">
        <v>10000701</v>
      </c>
      <c r="AX578" s="108">
        <v>0.14000000000000001</v>
      </c>
      <c r="AY578" s="108">
        <v>0.14000000000000001</v>
      </c>
      <c r="BD578" s="106">
        <v>0</v>
      </c>
      <c r="BY578" s="112" t="s">
        <v>1766</v>
      </c>
      <c r="BZ578" s="112" t="s">
        <v>1766</v>
      </c>
      <c r="CA578" s="112" t="s">
        <v>1766</v>
      </c>
      <c r="CB578" s="112" t="s">
        <v>1766</v>
      </c>
      <c r="CC578" s="112" t="s">
        <v>1766</v>
      </c>
      <c r="CD578" s="112" t="s">
        <v>1766</v>
      </c>
      <c r="CE578" s="112" t="s">
        <v>1766</v>
      </c>
      <c r="CF578" s="112" t="s">
        <v>1766</v>
      </c>
      <c r="CG578" s="112" t="s">
        <v>1766</v>
      </c>
      <c r="CH578" s="112" t="s">
        <v>1766</v>
      </c>
      <c r="CI578" s="112" t="s">
        <v>1766</v>
      </c>
      <c r="CJ578" s="112" t="s">
        <v>1766</v>
      </c>
      <c r="CK578" s="112" t="s">
        <v>1766</v>
      </c>
      <c r="CL578" s="112" t="s">
        <v>1766</v>
      </c>
      <c r="CM578" s="112" t="s">
        <v>1766</v>
      </c>
      <c r="CN578" s="112" t="s">
        <v>1766</v>
      </c>
      <c r="CO578" s="112" t="s">
        <v>1766</v>
      </c>
    </row>
    <row r="579" spans="1:93">
      <c r="A579" s="106" t="s">
        <v>565</v>
      </c>
      <c r="B579" s="106">
        <v>8</v>
      </c>
      <c r="C579" s="106">
        <v>1</v>
      </c>
      <c r="D579" s="106">
        <v>1</v>
      </c>
      <c r="E579" s="106">
        <v>1</v>
      </c>
      <c r="F579" s="106">
        <v>1</v>
      </c>
      <c r="G579" s="106" t="s">
        <v>66</v>
      </c>
      <c r="I579" s="106">
        <v>201</v>
      </c>
      <c r="J579" s="106" t="s">
        <v>1766</v>
      </c>
      <c r="K579" s="106" t="s">
        <v>1318</v>
      </c>
      <c r="L579" s="106" t="s">
        <v>1326</v>
      </c>
      <c r="M579" s="106" t="s">
        <v>576</v>
      </c>
      <c r="N579" s="106">
        <v>9</v>
      </c>
      <c r="O579" s="106">
        <v>8</v>
      </c>
      <c r="T579" s="106" t="s">
        <v>1766</v>
      </c>
      <c r="V579" s="106">
        <v>132627.31487999999</v>
      </c>
      <c r="W579" s="106">
        <v>1</v>
      </c>
      <c r="X579" s="106">
        <v>2</v>
      </c>
      <c r="Y579" s="106">
        <v>2</v>
      </c>
      <c r="Z579" s="106" t="s">
        <v>1766</v>
      </c>
      <c r="AA579" s="106">
        <v>27000</v>
      </c>
      <c r="AB579" s="106">
        <v>53000</v>
      </c>
      <c r="AC579" s="106">
        <v>53000</v>
      </c>
      <c r="AD579" s="106">
        <v>0</v>
      </c>
      <c r="AE579" s="106">
        <v>133000</v>
      </c>
      <c r="AF579" s="106">
        <v>133000</v>
      </c>
      <c r="AH579" s="106">
        <v>2160</v>
      </c>
      <c r="AI579" s="106">
        <v>0</v>
      </c>
      <c r="AJ579" s="106">
        <v>3</v>
      </c>
      <c r="AK579" s="106">
        <v>120</v>
      </c>
      <c r="AL579" s="106">
        <v>360</v>
      </c>
      <c r="AM579" s="106">
        <v>1500</v>
      </c>
      <c r="AN579" s="106">
        <v>1500</v>
      </c>
      <c r="AO579" s="106">
        <v>596</v>
      </c>
      <c r="AP579" s="106" t="s">
        <v>1791</v>
      </c>
      <c r="AQ579" s="106" t="s">
        <v>1813</v>
      </c>
      <c r="AR579" s="106">
        <v>10000601</v>
      </c>
      <c r="AS579" s="106">
        <v>20</v>
      </c>
      <c r="AT579" s="106">
        <v>20</v>
      </c>
      <c r="AU579" s="108" t="s">
        <v>1806</v>
      </c>
      <c r="AV579" s="108" t="s">
        <v>1814</v>
      </c>
      <c r="AW579" s="108">
        <v>10000701</v>
      </c>
      <c r="AX579" s="108">
        <v>0.16</v>
      </c>
      <c r="AY579" s="108">
        <v>0.16</v>
      </c>
      <c r="BD579" s="106">
        <v>0</v>
      </c>
      <c r="BY579" s="112" t="s">
        <v>1766</v>
      </c>
      <c r="BZ579" s="112" t="s">
        <v>1766</v>
      </c>
      <c r="CA579" s="112" t="s">
        <v>1766</v>
      </c>
      <c r="CB579" s="112" t="s">
        <v>1766</v>
      </c>
      <c r="CC579" s="112" t="s">
        <v>1766</v>
      </c>
      <c r="CD579" s="112" t="s">
        <v>1766</v>
      </c>
      <c r="CE579" s="112" t="s">
        <v>1766</v>
      </c>
      <c r="CF579" s="112" t="s">
        <v>1766</v>
      </c>
      <c r="CG579" s="112" t="s">
        <v>1766</v>
      </c>
      <c r="CH579" s="112" t="s">
        <v>1766</v>
      </c>
      <c r="CI579" s="112" t="s">
        <v>1766</v>
      </c>
      <c r="CJ579" s="112" t="s">
        <v>1766</v>
      </c>
      <c r="CK579" s="112" t="s">
        <v>1766</v>
      </c>
      <c r="CL579" s="112" t="s">
        <v>1766</v>
      </c>
      <c r="CM579" s="112" t="s">
        <v>1766</v>
      </c>
      <c r="CN579" s="112" t="s">
        <v>1766</v>
      </c>
      <c r="CO579" s="112" t="s">
        <v>1766</v>
      </c>
    </row>
    <row r="580" spans="1:93">
      <c r="A580" s="106" t="s">
        <v>565</v>
      </c>
      <c r="B580" s="106">
        <v>9</v>
      </c>
      <c r="C580" s="106">
        <v>1</v>
      </c>
      <c r="D580" s="106">
        <v>1</v>
      </c>
      <c r="E580" s="106">
        <v>1</v>
      </c>
      <c r="F580" s="106">
        <v>1</v>
      </c>
      <c r="G580" s="106" t="s">
        <v>66</v>
      </c>
      <c r="I580" s="106">
        <v>201</v>
      </c>
      <c r="J580" s="106" t="s">
        <v>1766</v>
      </c>
      <c r="K580" s="106" t="s">
        <v>1318</v>
      </c>
      <c r="L580" s="106" t="s">
        <v>1327</v>
      </c>
      <c r="M580" s="106" t="s">
        <v>577</v>
      </c>
      <c r="N580" s="106">
        <v>10</v>
      </c>
      <c r="O580" s="106">
        <v>9</v>
      </c>
      <c r="T580" s="106" t="s">
        <v>1766</v>
      </c>
      <c r="V580" s="106">
        <v>218835.069552</v>
      </c>
      <c r="W580" s="106">
        <v>1</v>
      </c>
      <c r="X580" s="106">
        <v>2</v>
      </c>
      <c r="Y580" s="106">
        <v>2</v>
      </c>
      <c r="Z580" s="106" t="s">
        <v>1766</v>
      </c>
      <c r="AA580" s="106">
        <v>44000</v>
      </c>
      <c r="AB580" s="106">
        <v>88000</v>
      </c>
      <c r="AC580" s="106">
        <v>88000</v>
      </c>
      <c r="AD580" s="106">
        <v>0</v>
      </c>
      <c r="AE580" s="106">
        <v>220000</v>
      </c>
      <c r="AF580" s="106">
        <v>220000</v>
      </c>
      <c r="AH580" s="106">
        <v>4320</v>
      </c>
      <c r="AI580" s="106">
        <v>0</v>
      </c>
      <c r="AJ580" s="106">
        <v>4</v>
      </c>
      <c r="AK580" s="106">
        <v>120</v>
      </c>
      <c r="AL580" s="106">
        <v>480</v>
      </c>
      <c r="AM580" s="106">
        <v>3540</v>
      </c>
      <c r="AN580" s="106">
        <v>3540</v>
      </c>
      <c r="AO580" s="106">
        <v>1034</v>
      </c>
      <c r="AP580" s="106" t="s">
        <v>1791</v>
      </c>
      <c r="AQ580" s="106" t="s">
        <v>1813</v>
      </c>
      <c r="AR580" s="106">
        <v>10000601</v>
      </c>
      <c r="AS580" s="106">
        <v>25</v>
      </c>
      <c r="AT580" s="106">
        <v>25</v>
      </c>
      <c r="AU580" s="108" t="s">
        <v>1806</v>
      </c>
      <c r="AV580" s="108" t="s">
        <v>1814</v>
      </c>
      <c r="AW580" s="108">
        <v>10000701</v>
      </c>
      <c r="AX580" s="108">
        <v>0.18</v>
      </c>
      <c r="AY580" s="108">
        <v>0.18</v>
      </c>
      <c r="BD580" s="106">
        <v>0</v>
      </c>
      <c r="BY580" s="112" t="s">
        <v>1766</v>
      </c>
      <c r="BZ580" s="112" t="s">
        <v>1766</v>
      </c>
      <c r="CA580" s="112" t="s">
        <v>1766</v>
      </c>
      <c r="CB580" s="112" t="s">
        <v>1766</v>
      </c>
      <c r="CC580" s="112" t="s">
        <v>1766</v>
      </c>
      <c r="CD580" s="112" t="s">
        <v>1766</v>
      </c>
      <c r="CE580" s="112" t="s">
        <v>1766</v>
      </c>
      <c r="CF580" s="112" t="s">
        <v>1766</v>
      </c>
      <c r="CG580" s="112" t="s">
        <v>1766</v>
      </c>
      <c r="CH580" s="112" t="s">
        <v>1766</v>
      </c>
      <c r="CI580" s="112" t="s">
        <v>1766</v>
      </c>
      <c r="CJ580" s="112" t="s">
        <v>1766</v>
      </c>
      <c r="CK580" s="112" t="s">
        <v>1766</v>
      </c>
      <c r="CL580" s="112" t="s">
        <v>1766</v>
      </c>
      <c r="CM580" s="112" t="s">
        <v>1766</v>
      </c>
      <c r="CN580" s="112" t="s">
        <v>1766</v>
      </c>
      <c r="CO580" s="112" t="s">
        <v>1766</v>
      </c>
    </row>
    <row r="581" spans="1:93">
      <c r="A581" s="106" t="s">
        <v>565</v>
      </c>
      <c r="B581" s="106">
        <v>10</v>
      </c>
      <c r="C581" s="106">
        <v>1</v>
      </c>
      <c r="D581" s="106">
        <v>1</v>
      </c>
      <c r="E581" s="106">
        <v>1</v>
      </c>
      <c r="F581" s="106">
        <v>1</v>
      </c>
      <c r="G581" s="106" t="s">
        <v>66</v>
      </c>
      <c r="I581" s="106">
        <v>201</v>
      </c>
      <c r="J581" s="106" t="s">
        <v>1766</v>
      </c>
      <c r="K581" s="106" t="s">
        <v>1318</v>
      </c>
      <c r="L581" s="106" t="s">
        <v>1328</v>
      </c>
      <c r="M581" s="106" t="s">
        <v>578</v>
      </c>
      <c r="N581" s="106">
        <v>11</v>
      </c>
      <c r="O581" s="106">
        <v>10</v>
      </c>
      <c r="T581" s="106" t="s">
        <v>1766</v>
      </c>
      <c r="V581" s="106">
        <v>345759.40989215998</v>
      </c>
      <c r="W581" s="106">
        <v>1</v>
      </c>
      <c r="X581" s="106">
        <v>2</v>
      </c>
      <c r="Y581" s="106">
        <v>2</v>
      </c>
      <c r="Z581" s="106">
        <v>1</v>
      </c>
      <c r="AA581" s="106">
        <v>58000</v>
      </c>
      <c r="AB581" s="106">
        <v>120000</v>
      </c>
      <c r="AC581" s="106">
        <v>120000</v>
      </c>
      <c r="AD581" s="106">
        <v>58000</v>
      </c>
      <c r="AE581" s="106">
        <v>356000</v>
      </c>
      <c r="AF581" s="106">
        <v>356000</v>
      </c>
      <c r="AH581" s="106">
        <v>6480</v>
      </c>
      <c r="AI581" s="106">
        <v>0.01</v>
      </c>
      <c r="AJ581" s="106">
        <v>4</v>
      </c>
      <c r="AK581" s="106">
        <v>120</v>
      </c>
      <c r="AL581" s="106">
        <v>480</v>
      </c>
      <c r="AM581" s="106">
        <v>5635</v>
      </c>
      <c r="AN581" s="106">
        <v>5635</v>
      </c>
      <c r="AO581" s="106">
        <v>1726</v>
      </c>
      <c r="AP581" s="106" t="s">
        <v>1791</v>
      </c>
      <c r="AQ581" s="106" t="s">
        <v>1813</v>
      </c>
      <c r="AR581" s="106">
        <v>10000601</v>
      </c>
      <c r="AS581" s="106">
        <v>30</v>
      </c>
      <c r="AT581" s="106">
        <v>30</v>
      </c>
      <c r="AU581" s="108" t="s">
        <v>1806</v>
      </c>
      <c r="AV581" s="108" t="s">
        <v>1814</v>
      </c>
      <c r="AW581" s="108">
        <v>10000701</v>
      </c>
      <c r="AX581" s="108">
        <v>0.2</v>
      </c>
      <c r="AY581" s="108">
        <v>0.2</v>
      </c>
      <c r="BD581" s="106">
        <v>0</v>
      </c>
      <c r="BY581" s="112" t="s">
        <v>1766</v>
      </c>
      <c r="BZ581" s="112" t="s">
        <v>1766</v>
      </c>
      <c r="CA581" s="112" t="s">
        <v>1766</v>
      </c>
      <c r="CB581" s="112" t="s">
        <v>1766</v>
      </c>
      <c r="CC581" s="112" t="s">
        <v>1766</v>
      </c>
      <c r="CD581" s="112" t="s">
        <v>1766</v>
      </c>
      <c r="CE581" s="112" t="s">
        <v>1766</v>
      </c>
      <c r="CF581" s="112" t="s">
        <v>1766</v>
      </c>
      <c r="CG581" s="112" t="s">
        <v>1766</v>
      </c>
      <c r="CH581" s="112" t="s">
        <v>1766</v>
      </c>
      <c r="CI581" s="112" t="s">
        <v>1766</v>
      </c>
      <c r="CJ581" s="112" t="s">
        <v>1766</v>
      </c>
      <c r="CK581" s="112" t="s">
        <v>1766</v>
      </c>
      <c r="CL581" s="112" t="s">
        <v>1766</v>
      </c>
      <c r="CM581" s="112" t="s">
        <v>1766</v>
      </c>
      <c r="CN581" s="112" t="s">
        <v>1766</v>
      </c>
      <c r="CO581" s="112" t="s">
        <v>1766</v>
      </c>
    </row>
    <row r="582" spans="1:93">
      <c r="A582" s="106" t="s">
        <v>565</v>
      </c>
      <c r="B582" s="106">
        <v>11</v>
      </c>
      <c r="C582" s="106">
        <v>1</v>
      </c>
      <c r="D582" s="106">
        <v>1</v>
      </c>
      <c r="E582" s="106">
        <v>1</v>
      </c>
      <c r="F582" s="106">
        <v>1</v>
      </c>
      <c r="G582" s="106" t="s">
        <v>66</v>
      </c>
      <c r="I582" s="106">
        <v>201</v>
      </c>
      <c r="J582" s="106" t="s">
        <v>1766</v>
      </c>
      <c r="K582" s="106" t="s">
        <v>1318</v>
      </c>
      <c r="L582" s="106" t="s">
        <v>1329</v>
      </c>
      <c r="M582" s="106" t="s">
        <v>579</v>
      </c>
      <c r="N582" s="106">
        <v>12</v>
      </c>
      <c r="O582" s="106">
        <v>11</v>
      </c>
      <c r="T582" s="106" t="s">
        <v>1766</v>
      </c>
      <c r="V582" s="106">
        <v>522096.70893716102</v>
      </c>
      <c r="W582" s="106">
        <v>1</v>
      </c>
      <c r="X582" s="106">
        <v>2</v>
      </c>
      <c r="Y582" s="106">
        <v>2</v>
      </c>
      <c r="Z582" s="106">
        <v>1</v>
      </c>
      <c r="AA582" s="106">
        <v>87000</v>
      </c>
      <c r="AB582" s="106">
        <v>170000</v>
      </c>
      <c r="AC582" s="106">
        <v>170000</v>
      </c>
      <c r="AD582" s="106">
        <v>87000</v>
      </c>
      <c r="AE582" s="106">
        <v>514000</v>
      </c>
      <c r="AF582" s="106">
        <v>514000</v>
      </c>
      <c r="AH582" s="106">
        <v>9720</v>
      </c>
      <c r="AI582" s="106">
        <v>0.02</v>
      </c>
      <c r="AJ582" s="106">
        <v>5</v>
      </c>
      <c r="AK582" s="106">
        <v>120</v>
      </c>
      <c r="AL582" s="106">
        <v>600</v>
      </c>
      <c r="AM582" s="106">
        <v>8629</v>
      </c>
      <c r="AN582" s="106">
        <v>8629</v>
      </c>
      <c r="AO582" s="106">
        <v>2770</v>
      </c>
      <c r="AP582" s="106" t="s">
        <v>1791</v>
      </c>
      <c r="AQ582" s="106" t="s">
        <v>1813</v>
      </c>
      <c r="AR582" s="106">
        <v>10000601</v>
      </c>
      <c r="AS582" s="106">
        <v>35</v>
      </c>
      <c r="AT582" s="106">
        <v>35</v>
      </c>
      <c r="AU582" s="108" t="s">
        <v>1806</v>
      </c>
      <c r="AV582" s="108" t="s">
        <v>1814</v>
      </c>
      <c r="AW582" s="108">
        <v>10000701</v>
      </c>
      <c r="AX582" s="108">
        <v>0.22</v>
      </c>
      <c r="AY582" s="108">
        <v>0.22</v>
      </c>
      <c r="BD582" s="106">
        <v>0</v>
      </c>
      <c r="BY582" s="112" t="s">
        <v>1766</v>
      </c>
      <c r="BZ582" s="112" t="s">
        <v>1766</v>
      </c>
      <c r="CA582" s="112" t="s">
        <v>1766</v>
      </c>
      <c r="CB582" s="112" t="s">
        <v>1766</v>
      </c>
      <c r="CC582" s="112" t="s">
        <v>1766</v>
      </c>
      <c r="CD582" s="112" t="s">
        <v>1766</v>
      </c>
      <c r="CE582" s="112" t="s">
        <v>1766</v>
      </c>
      <c r="CF582" s="112" t="s">
        <v>1766</v>
      </c>
      <c r="CG582" s="112" t="s">
        <v>1766</v>
      </c>
      <c r="CH582" s="112" t="s">
        <v>1766</v>
      </c>
      <c r="CI582" s="112" t="s">
        <v>1766</v>
      </c>
      <c r="CJ582" s="112" t="s">
        <v>1766</v>
      </c>
      <c r="CK582" s="112" t="s">
        <v>1766</v>
      </c>
      <c r="CL582" s="112" t="s">
        <v>1766</v>
      </c>
      <c r="CM582" s="112" t="s">
        <v>1766</v>
      </c>
      <c r="CN582" s="112" t="s">
        <v>1766</v>
      </c>
      <c r="CO582" s="112" t="s">
        <v>1766</v>
      </c>
    </row>
    <row r="583" spans="1:93">
      <c r="A583" s="106" t="s">
        <v>565</v>
      </c>
      <c r="B583" s="106">
        <v>12</v>
      </c>
      <c r="C583" s="106">
        <v>1</v>
      </c>
      <c r="D583" s="106">
        <v>1</v>
      </c>
      <c r="E583" s="106">
        <v>1</v>
      </c>
      <c r="F583" s="106">
        <v>1</v>
      </c>
      <c r="G583" s="106" t="s">
        <v>66</v>
      </c>
      <c r="I583" s="106">
        <v>201</v>
      </c>
      <c r="J583" s="106" t="s">
        <v>1766</v>
      </c>
      <c r="K583" s="106" t="s">
        <v>1318</v>
      </c>
      <c r="L583" s="106" t="s">
        <v>1330</v>
      </c>
      <c r="M583" s="106" t="s">
        <v>580</v>
      </c>
      <c r="N583" s="106">
        <v>13</v>
      </c>
      <c r="O583" s="106">
        <v>12</v>
      </c>
      <c r="T583" s="106" t="s">
        <v>1766</v>
      </c>
      <c r="V583" s="106">
        <v>751819.26086951199</v>
      </c>
      <c r="W583" s="106">
        <v>1</v>
      </c>
      <c r="X583" s="106">
        <v>2</v>
      </c>
      <c r="Y583" s="106">
        <v>2</v>
      </c>
      <c r="Z583" s="106">
        <v>1</v>
      </c>
      <c r="AA583" s="106">
        <v>130000</v>
      </c>
      <c r="AB583" s="106">
        <v>250000</v>
      </c>
      <c r="AC583" s="106">
        <v>250000</v>
      </c>
      <c r="AD583" s="106">
        <v>130000</v>
      </c>
      <c r="AE583" s="106">
        <v>760000</v>
      </c>
      <c r="AF583" s="106">
        <v>760000</v>
      </c>
      <c r="AH583" s="106">
        <v>12960</v>
      </c>
      <c r="AI583" s="106">
        <v>0.03</v>
      </c>
      <c r="AJ583" s="106">
        <v>5</v>
      </c>
      <c r="AK583" s="106">
        <v>129.6</v>
      </c>
      <c r="AL583" s="106">
        <v>648</v>
      </c>
      <c r="AM583" s="106">
        <v>11634</v>
      </c>
      <c r="AN583" s="106">
        <v>11634</v>
      </c>
      <c r="AO583" s="106">
        <v>4273</v>
      </c>
      <c r="AP583" s="106" t="s">
        <v>1791</v>
      </c>
      <c r="AQ583" s="106" t="s">
        <v>1813</v>
      </c>
      <c r="AR583" s="106">
        <v>10000601</v>
      </c>
      <c r="AS583" s="106">
        <v>40</v>
      </c>
      <c r="AT583" s="106">
        <v>40</v>
      </c>
      <c r="AU583" s="108" t="s">
        <v>1806</v>
      </c>
      <c r="AV583" s="108" t="s">
        <v>1814</v>
      </c>
      <c r="AW583" s="108">
        <v>10000701</v>
      </c>
      <c r="AX583" s="108">
        <v>0.24</v>
      </c>
      <c r="AY583" s="108">
        <v>0.24</v>
      </c>
      <c r="BD583" s="106">
        <v>0</v>
      </c>
      <c r="BY583" s="112" t="s">
        <v>1766</v>
      </c>
      <c r="BZ583" s="112" t="s">
        <v>1766</v>
      </c>
      <c r="CA583" s="112" t="s">
        <v>1766</v>
      </c>
      <c r="CB583" s="112" t="s">
        <v>1766</v>
      </c>
      <c r="CC583" s="112" t="s">
        <v>1766</v>
      </c>
      <c r="CD583" s="112" t="s">
        <v>1766</v>
      </c>
      <c r="CE583" s="112" t="s">
        <v>1766</v>
      </c>
      <c r="CF583" s="112" t="s">
        <v>1766</v>
      </c>
      <c r="CG583" s="112" t="s">
        <v>1766</v>
      </c>
      <c r="CH583" s="112" t="s">
        <v>1766</v>
      </c>
      <c r="CI583" s="112" t="s">
        <v>1766</v>
      </c>
      <c r="CJ583" s="112" t="s">
        <v>1766</v>
      </c>
      <c r="CK583" s="112" t="s">
        <v>1766</v>
      </c>
      <c r="CL583" s="112" t="s">
        <v>1766</v>
      </c>
      <c r="CM583" s="112" t="s">
        <v>1766</v>
      </c>
      <c r="CN583" s="112" t="s">
        <v>1766</v>
      </c>
      <c r="CO583" s="112" t="s">
        <v>1766</v>
      </c>
    </row>
    <row r="584" spans="1:93">
      <c r="A584" s="106" t="s">
        <v>565</v>
      </c>
      <c r="B584" s="106">
        <v>13</v>
      </c>
      <c r="C584" s="106">
        <v>1</v>
      </c>
      <c r="D584" s="106">
        <v>1</v>
      </c>
      <c r="E584" s="106">
        <v>1</v>
      </c>
      <c r="F584" s="106">
        <v>1</v>
      </c>
      <c r="G584" s="106" t="s">
        <v>66</v>
      </c>
      <c r="I584" s="106">
        <v>201</v>
      </c>
      <c r="J584" s="106" t="s">
        <v>1766</v>
      </c>
      <c r="K584" s="106" t="s">
        <v>1318</v>
      </c>
      <c r="L584" s="106" t="s">
        <v>1331</v>
      </c>
      <c r="M584" s="106" t="s">
        <v>581</v>
      </c>
      <c r="N584" s="106">
        <v>14</v>
      </c>
      <c r="O584" s="106">
        <v>13</v>
      </c>
      <c r="T584" s="106" t="s">
        <v>1766</v>
      </c>
      <c r="V584" s="106">
        <v>1029992.38739123</v>
      </c>
      <c r="W584" s="106">
        <v>1</v>
      </c>
      <c r="X584" s="106">
        <v>2</v>
      </c>
      <c r="Y584" s="106">
        <v>2</v>
      </c>
      <c r="Z584" s="106">
        <v>1</v>
      </c>
      <c r="AA584" s="106">
        <v>170000</v>
      </c>
      <c r="AB584" s="106">
        <v>340000</v>
      </c>
      <c r="AC584" s="106">
        <v>340000</v>
      </c>
      <c r="AD584" s="106">
        <v>170000</v>
      </c>
      <c r="AE584" s="106">
        <v>1020000</v>
      </c>
      <c r="AF584" s="106">
        <v>1020000</v>
      </c>
      <c r="AH584" s="106">
        <v>17280</v>
      </c>
      <c r="AI584" s="106">
        <v>0.04</v>
      </c>
      <c r="AJ584" s="106">
        <v>6</v>
      </c>
      <c r="AK584" s="106">
        <v>172.8</v>
      </c>
      <c r="AL584" s="106">
        <v>1036.8</v>
      </c>
      <c r="AM584" s="106">
        <v>15278</v>
      </c>
      <c r="AN584" s="106">
        <v>15278</v>
      </c>
      <c r="AO584" s="106">
        <v>6333</v>
      </c>
      <c r="AP584" s="106" t="s">
        <v>1791</v>
      </c>
      <c r="AQ584" s="106" t="s">
        <v>1813</v>
      </c>
      <c r="AR584" s="106">
        <v>10000601</v>
      </c>
      <c r="AS584" s="106">
        <v>45</v>
      </c>
      <c r="AT584" s="106">
        <v>45</v>
      </c>
      <c r="AU584" s="108" t="s">
        <v>1806</v>
      </c>
      <c r="AV584" s="108" t="s">
        <v>1814</v>
      </c>
      <c r="AW584" s="108">
        <v>10000701</v>
      </c>
      <c r="AX584" s="108">
        <v>0.26</v>
      </c>
      <c r="AY584" s="108">
        <v>0.26</v>
      </c>
      <c r="BD584" s="106">
        <v>0</v>
      </c>
      <c r="BY584" s="112" t="s">
        <v>1766</v>
      </c>
      <c r="BZ584" s="112" t="s">
        <v>1766</v>
      </c>
      <c r="CA584" s="112" t="s">
        <v>1766</v>
      </c>
      <c r="CB584" s="112" t="s">
        <v>1766</v>
      </c>
      <c r="CC584" s="112" t="s">
        <v>1766</v>
      </c>
      <c r="CD584" s="112" t="s">
        <v>1766</v>
      </c>
      <c r="CE584" s="112" t="s">
        <v>1766</v>
      </c>
      <c r="CF584" s="112" t="s">
        <v>1766</v>
      </c>
      <c r="CG584" s="112" t="s">
        <v>1766</v>
      </c>
      <c r="CH584" s="112" t="s">
        <v>1766</v>
      </c>
      <c r="CI584" s="112" t="s">
        <v>1766</v>
      </c>
      <c r="CJ584" s="112" t="s">
        <v>1766</v>
      </c>
      <c r="CK584" s="112" t="s">
        <v>1766</v>
      </c>
      <c r="CL584" s="112" t="s">
        <v>1766</v>
      </c>
      <c r="CM584" s="112" t="s">
        <v>1766</v>
      </c>
      <c r="CN584" s="112" t="s">
        <v>1766</v>
      </c>
      <c r="CO584" s="112" t="s">
        <v>1766</v>
      </c>
    </row>
    <row r="585" spans="1:93">
      <c r="A585" s="106" t="s">
        <v>565</v>
      </c>
      <c r="B585" s="106">
        <v>14</v>
      </c>
      <c r="C585" s="106">
        <v>1</v>
      </c>
      <c r="D585" s="106">
        <v>1</v>
      </c>
      <c r="E585" s="106">
        <v>1</v>
      </c>
      <c r="F585" s="106">
        <v>1</v>
      </c>
      <c r="G585" s="106" t="s">
        <v>66</v>
      </c>
      <c r="I585" s="106">
        <v>201</v>
      </c>
      <c r="J585" s="106" t="s">
        <v>1766</v>
      </c>
      <c r="K585" s="106" t="s">
        <v>1318</v>
      </c>
      <c r="L585" s="106" t="s">
        <v>1332</v>
      </c>
      <c r="M585" s="106" t="s">
        <v>582</v>
      </c>
      <c r="N585" s="106">
        <v>15</v>
      </c>
      <c r="O585" s="106">
        <v>14</v>
      </c>
      <c r="T585" s="106" t="s">
        <v>1766</v>
      </c>
      <c r="V585" s="106">
        <v>1338990.1036086001</v>
      </c>
      <c r="W585" s="106">
        <v>1</v>
      </c>
      <c r="X585" s="106">
        <v>2</v>
      </c>
      <c r="Y585" s="106">
        <v>2</v>
      </c>
      <c r="Z585" s="106">
        <v>1</v>
      </c>
      <c r="AA585" s="106">
        <v>220000</v>
      </c>
      <c r="AB585" s="106">
        <v>450000</v>
      </c>
      <c r="AC585" s="106">
        <v>450000</v>
      </c>
      <c r="AD585" s="106">
        <v>220000</v>
      </c>
      <c r="AE585" s="106">
        <v>1340000</v>
      </c>
      <c r="AF585" s="106">
        <v>1340000</v>
      </c>
      <c r="AH585" s="106">
        <v>21600</v>
      </c>
      <c r="AI585" s="106">
        <v>0.05</v>
      </c>
      <c r="AJ585" s="106">
        <v>6</v>
      </c>
      <c r="AK585" s="106">
        <v>216</v>
      </c>
      <c r="AL585" s="106">
        <v>1296</v>
      </c>
      <c r="AM585" s="106">
        <v>18975</v>
      </c>
      <c r="AN585" s="106">
        <v>18975</v>
      </c>
      <c r="AO585" s="106">
        <v>9011</v>
      </c>
      <c r="AP585" s="106" t="s">
        <v>1791</v>
      </c>
      <c r="AQ585" s="106" t="s">
        <v>1813</v>
      </c>
      <c r="AR585" s="106">
        <v>10000601</v>
      </c>
      <c r="AS585" s="106">
        <v>50</v>
      </c>
      <c r="AT585" s="106">
        <v>50</v>
      </c>
      <c r="AU585" s="108" t="s">
        <v>1806</v>
      </c>
      <c r="AV585" s="108" t="s">
        <v>1814</v>
      </c>
      <c r="AW585" s="108">
        <v>10000701</v>
      </c>
      <c r="AX585" s="108">
        <v>0.28000000000000003</v>
      </c>
      <c r="AY585" s="108">
        <v>0.28000000000000003</v>
      </c>
      <c r="BD585" s="106">
        <v>0</v>
      </c>
      <c r="BY585" s="112" t="s">
        <v>1766</v>
      </c>
      <c r="BZ585" s="112" t="s">
        <v>1766</v>
      </c>
      <c r="CA585" s="112" t="s">
        <v>1766</v>
      </c>
      <c r="CB585" s="112" t="s">
        <v>1766</v>
      </c>
      <c r="CC585" s="112" t="s">
        <v>1766</v>
      </c>
      <c r="CD585" s="112" t="s">
        <v>1766</v>
      </c>
      <c r="CE585" s="112" t="s">
        <v>1766</v>
      </c>
      <c r="CF585" s="112" t="s">
        <v>1766</v>
      </c>
      <c r="CG585" s="112" t="s">
        <v>1766</v>
      </c>
      <c r="CH585" s="112" t="s">
        <v>1766</v>
      </c>
      <c r="CI585" s="112" t="s">
        <v>1766</v>
      </c>
      <c r="CJ585" s="112" t="s">
        <v>1766</v>
      </c>
      <c r="CK585" s="112" t="s">
        <v>1766</v>
      </c>
      <c r="CL585" s="112" t="s">
        <v>1766</v>
      </c>
      <c r="CM585" s="112" t="s">
        <v>1766</v>
      </c>
      <c r="CN585" s="112" t="s">
        <v>1766</v>
      </c>
      <c r="CO585" s="112" t="s">
        <v>1766</v>
      </c>
    </row>
    <row r="586" spans="1:93">
      <c r="A586" s="106" t="s">
        <v>565</v>
      </c>
      <c r="B586" s="106">
        <v>15</v>
      </c>
      <c r="C586" s="106">
        <v>1</v>
      </c>
      <c r="D586" s="106">
        <v>1</v>
      </c>
      <c r="E586" s="106">
        <v>1</v>
      </c>
      <c r="F586" s="106">
        <v>1</v>
      </c>
      <c r="G586" s="106" t="s">
        <v>66</v>
      </c>
      <c r="I586" s="106">
        <v>201</v>
      </c>
      <c r="J586" s="106" t="s">
        <v>1766</v>
      </c>
      <c r="K586" s="106" t="s">
        <v>1318</v>
      </c>
      <c r="L586" s="106" t="s">
        <v>1333</v>
      </c>
      <c r="M586" s="106" t="s">
        <v>583</v>
      </c>
      <c r="N586" s="106">
        <v>16</v>
      </c>
      <c r="O586" s="106">
        <v>15</v>
      </c>
      <c r="T586" s="106" t="s">
        <v>1766</v>
      </c>
      <c r="V586" s="106">
        <v>1713907.33261901</v>
      </c>
      <c r="W586" s="106">
        <v>1</v>
      </c>
      <c r="X586" s="106">
        <v>2</v>
      </c>
      <c r="Y586" s="106">
        <v>2</v>
      </c>
      <c r="Z586" s="106">
        <v>1</v>
      </c>
      <c r="AA586" s="106">
        <v>290000</v>
      </c>
      <c r="AB586" s="106">
        <v>570000</v>
      </c>
      <c r="AC586" s="106">
        <v>570000</v>
      </c>
      <c r="AD586" s="106">
        <v>290000</v>
      </c>
      <c r="AE586" s="106">
        <v>1720000</v>
      </c>
      <c r="AF586" s="106">
        <v>1720000</v>
      </c>
      <c r="AH586" s="106">
        <v>25920</v>
      </c>
      <c r="AI586" s="106">
        <v>0.05</v>
      </c>
      <c r="AJ586" s="106">
        <v>7</v>
      </c>
      <c r="AK586" s="106">
        <v>259.2</v>
      </c>
      <c r="AL586" s="106">
        <v>1814.4</v>
      </c>
      <c r="AM586" s="106">
        <v>22571</v>
      </c>
      <c r="AN586" s="106">
        <v>22571</v>
      </c>
      <c r="AO586" s="106">
        <v>12439</v>
      </c>
      <c r="AP586" s="106" t="s">
        <v>1791</v>
      </c>
      <c r="AQ586" s="106" t="s">
        <v>1813</v>
      </c>
      <c r="AR586" s="106">
        <v>10000601</v>
      </c>
      <c r="AS586" s="106">
        <v>55</v>
      </c>
      <c r="AT586" s="106">
        <v>55</v>
      </c>
      <c r="AU586" s="108" t="s">
        <v>1806</v>
      </c>
      <c r="AV586" s="108" t="s">
        <v>1814</v>
      </c>
      <c r="AW586" s="108">
        <v>10000701</v>
      </c>
      <c r="AX586" s="108">
        <v>0.3</v>
      </c>
      <c r="AY586" s="108">
        <v>0.3</v>
      </c>
      <c r="BD586" s="106">
        <v>0</v>
      </c>
      <c r="BY586" s="112" t="s">
        <v>1766</v>
      </c>
      <c r="BZ586" s="112" t="s">
        <v>1766</v>
      </c>
      <c r="CA586" s="112" t="s">
        <v>1766</v>
      </c>
      <c r="CB586" s="112" t="s">
        <v>1766</v>
      </c>
      <c r="CC586" s="112" t="s">
        <v>1766</v>
      </c>
      <c r="CD586" s="112" t="s">
        <v>1766</v>
      </c>
      <c r="CE586" s="112" t="s">
        <v>1766</v>
      </c>
      <c r="CF586" s="112" t="s">
        <v>1766</v>
      </c>
      <c r="CG586" s="112" t="s">
        <v>1766</v>
      </c>
      <c r="CH586" s="112" t="s">
        <v>1766</v>
      </c>
      <c r="CI586" s="112" t="s">
        <v>1766</v>
      </c>
      <c r="CJ586" s="112" t="s">
        <v>1766</v>
      </c>
      <c r="CK586" s="112" t="s">
        <v>1766</v>
      </c>
      <c r="CL586" s="112" t="s">
        <v>1766</v>
      </c>
      <c r="CM586" s="112" t="s">
        <v>1766</v>
      </c>
      <c r="CN586" s="112" t="s">
        <v>1766</v>
      </c>
      <c r="CO586" s="112" t="s">
        <v>1766</v>
      </c>
    </row>
    <row r="587" spans="1:93">
      <c r="A587" s="106" t="s">
        <v>565</v>
      </c>
      <c r="B587" s="106">
        <v>16</v>
      </c>
      <c r="C587" s="106">
        <v>1</v>
      </c>
      <c r="D587" s="106">
        <v>1</v>
      </c>
      <c r="E587" s="106">
        <v>1</v>
      </c>
      <c r="F587" s="106">
        <v>1</v>
      </c>
      <c r="G587" s="106" t="s">
        <v>66</v>
      </c>
      <c r="I587" s="106">
        <v>201</v>
      </c>
      <c r="J587" s="106" t="s">
        <v>1766</v>
      </c>
      <c r="K587" s="106" t="s">
        <v>1318</v>
      </c>
      <c r="L587" s="106" t="s">
        <v>1334</v>
      </c>
      <c r="M587" s="106" t="s">
        <v>584</v>
      </c>
      <c r="N587" s="106">
        <v>17</v>
      </c>
      <c r="O587" s="106">
        <v>16</v>
      </c>
      <c r="T587" s="106" t="s">
        <v>1766</v>
      </c>
      <c r="V587" s="106">
        <v>2193801.3857523301</v>
      </c>
      <c r="W587" s="106">
        <v>1</v>
      </c>
      <c r="X587" s="106">
        <v>2</v>
      </c>
      <c r="Y587" s="106">
        <v>2</v>
      </c>
      <c r="Z587" s="106">
        <v>1</v>
      </c>
      <c r="AA587" s="106">
        <v>370000</v>
      </c>
      <c r="AB587" s="106">
        <v>730000</v>
      </c>
      <c r="AC587" s="106">
        <v>730000</v>
      </c>
      <c r="AD587" s="106">
        <v>370000</v>
      </c>
      <c r="AE587" s="106">
        <v>2200000</v>
      </c>
      <c r="AF587" s="106">
        <v>2200000</v>
      </c>
      <c r="AH587" s="106">
        <v>32400</v>
      </c>
      <c r="AI587" s="106">
        <v>0.05</v>
      </c>
      <c r="AJ587" s="106">
        <v>7</v>
      </c>
      <c r="AK587" s="106">
        <v>324</v>
      </c>
      <c r="AL587" s="106">
        <v>2268</v>
      </c>
      <c r="AM587" s="106">
        <v>28289</v>
      </c>
      <c r="AN587" s="106">
        <v>28289</v>
      </c>
      <c r="AO587" s="106">
        <v>16827</v>
      </c>
      <c r="AP587" s="106" t="s">
        <v>1791</v>
      </c>
      <c r="AQ587" s="106" t="s">
        <v>1813</v>
      </c>
      <c r="AR587" s="106">
        <v>10000601</v>
      </c>
      <c r="AS587" s="106">
        <v>60</v>
      </c>
      <c r="AT587" s="106">
        <v>60</v>
      </c>
      <c r="AU587" s="108" t="s">
        <v>1806</v>
      </c>
      <c r="AV587" s="108" t="s">
        <v>1814</v>
      </c>
      <c r="AW587" s="108">
        <v>10000701</v>
      </c>
      <c r="AX587" s="108">
        <v>0.32</v>
      </c>
      <c r="AY587" s="108">
        <v>0.32</v>
      </c>
      <c r="BD587" s="106">
        <v>0</v>
      </c>
      <c r="BY587" s="112" t="s">
        <v>1766</v>
      </c>
      <c r="BZ587" s="112" t="s">
        <v>1766</v>
      </c>
      <c r="CA587" s="112" t="s">
        <v>1766</v>
      </c>
      <c r="CB587" s="112" t="s">
        <v>1766</v>
      </c>
      <c r="CC587" s="112" t="s">
        <v>1766</v>
      </c>
      <c r="CD587" s="112" t="s">
        <v>1766</v>
      </c>
      <c r="CE587" s="112" t="s">
        <v>1766</v>
      </c>
      <c r="CF587" s="112" t="s">
        <v>1766</v>
      </c>
      <c r="CG587" s="112" t="s">
        <v>1766</v>
      </c>
      <c r="CH587" s="112" t="s">
        <v>1766</v>
      </c>
      <c r="CI587" s="112" t="s">
        <v>1766</v>
      </c>
      <c r="CJ587" s="112" t="s">
        <v>1766</v>
      </c>
      <c r="CK587" s="112" t="s">
        <v>1766</v>
      </c>
      <c r="CL587" s="112" t="s">
        <v>1766</v>
      </c>
      <c r="CM587" s="112" t="s">
        <v>1766</v>
      </c>
      <c r="CN587" s="112" t="s">
        <v>1766</v>
      </c>
      <c r="CO587" s="112" t="s">
        <v>1766</v>
      </c>
    </row>
    <row r="588" spans="1:93">
      <c r="A588" s="106" t="s">
        <v>565</v>
      </c>
      <c r="B588" s="106">
        <v>17</v>
      </c>
      <c r="C588" s="106">
        <v>1</v>
      </c>
      <c r="D588" s="106">
        <v>1</v>
      </c>
      <c r="E588" s="106">
        <v>1</v>
      </c>
      <c r="F588" s="106">
        <v>1</v>
      </c>
      <c r="G588" s="106" t="s">
        <v>66</v>
      </c>
      <c r="I588" s="106">
        <v>201</v>
      </c>
      <c r="J588" s="106" t="s">
        <v>1766</v>
      </c>
      <c r="K588" s="106" t="s">
        <v>1318</v>
      </c>
      <c r="L588" s="106" t="s">
        <v>1335</v>
      </c>
      <c r="M588" s="106" t="s">
        <v>585</v>
      </c>
      <c r="N588" s="106">
        <v>18</v>
      </c>
      <c r="O588" s="106">
        <v>17</v>
      </c>
      <c r="T588" s="106" t="s">
        <v>1766</v>
      </c>
      <c r="V588" s="106">
        <v>2808065.7737629898</v>
      </c>
      <c r="W588" s="106">
        <v>1</v>
      </c>
      <c r="X588" s="106">
        <v>2</v>
      </c>
      <c r="Y588" s="106">
        <v>2</v>
      </c>
      <c r="Z588" s="106">
        <v>1</v>
      </c>
      <c r="AA588" s="106">
        <v>470000</v>
      </c>
      <c r="AB588" s="106">
        <v>940000</v>
      </c>
      <c r="AC588" s="106">
        <v>940000</v>
      </c>
      <c r="AD588" s="106">
        <v>470000</v>
      </c>
      <c r="AE588" s="106">
        <v>2820000</v>
      </c>
      <c r="AF588" s="106">
        <v>2820000</v>
      </c>
      <c r="AH588" s="106">
        <v>43200</v>
      </c>
      <c r="AI588" s="106">
        <v>0.05</v>
      </c>
      <c r="AJ588" s="106">
        <v>8</v>
      </c>
      <c r="AK588" s="106">
        <v>432</v>
      </c>
      <c r="AL588" s="106">
        <v>3456</v>
      </c>
      <c r="AM588" s="106">
        <v>37386</v>
      </c>
      <c r="AN588" s="106">
        <v>37386</v>
      </c>
      <c r="AO588" s="106">
        <v>22443</v>
      </c>
      <c r="AP588" s="106" t="s">
        <v>1791</v>
      </c>
      <c r="AQ588" s="106" t="s">
        <v>1813</v>
      </c>
      <c r="AR588" s="106">
        <v>10000601</v>
      </c>
      <c r="AS588" s="106">
        <v>65</v>
      </c>
      <c r="AT588" s="106">
        <v>65</v>
      </c>
      <c r="AU588" s="108" t="s">
        <v>1806</v>
      </c>
      <c r="AV588" s="108" t="s">
        <v>1814</v>
      </c>
      <c r="AW588" s="108">
        <v>10000701</v>
      </c>
      <c r="AX588" s="108">
        <v>0.34</v>
      </c>
      <c r="AY588" s="108">
        <v>0.34</v>
      </c>
      <c r="BD588" s="106">
        <v>0</v>
      </c>
      <c r="BY588" s="112" t="s">
        <v>1766</v>
      </c>
      <c r="BZ588" s="112" t="s">
        <v>1766</v>
      </c>
      <c r="CA588" s="112" t="s">
        <v>1766</v>
      </c>
      <c r="CB588" s="112" t="s">
        <v>1766</v>
      </c>
      <c r="CC588" s="112" t="s">
        <v>1766</v>
      </c>
      <c r="CD588" s="112" t="s">
        <v>1766</v>
      </c>
      <c r="CE588" s="112" t="s">
        <v>1766</v>
      </c>
      <c r="CF588" s="112" t="s">
        <v>1766</v>
      </c>
      <c r="CG588" s="112" t="s">
        <v>1766</v>
      </c>
      <c r="CH588" s="112" t="s">
        <v>1766</v>
      </c>
      <c r="CI588" s="112" t="s">
        <v>1766</v>
      </c>
      <c r="CJ588" s="112" t="s">
        <v>1766</v>
      </c>
      <c r="CK588" s="112" t="s">
        <v>1766</v>
      </c>
      <c r="CL588" s="112" t="s">
        <v>1766</v>
      </c>
      <c r="CM588" s="112" t="s">
        <v>1766</v>
      </c>
      <c r="CN588" s="112" t="s">
        <v>1766</v>
      </c>
      <c r="CO588" s="112" t="s">
        <v>1766</v>
      </c>
    </row>
    <row r="589" spans="1:93">
      <c r="A589" s="106" t="s">
        <v>565</v>
      </c>
      <c r="B589" s="106">
        <v>18</v>
      </c>
      <c r="C589" s="106">
        <v>1</v>
      </c>
      <c r="D589" s="106">
        <v>1</v>
      </c>
      <c r="E589" s="106">
        <v>1</v>
      </c>
      <c r="F589" s="106">
        <v>1</v>
      </c>
      <c r="G589" s="106" t="s">
        <v>66</v>
      </c>
      <c r="I589" s="106">
        <v>201</v>
      </c>
      <c r="J589" s="106" t="s">
        <v>1766</v>
      </c>
      <c r="K589" s="106" t="s">
        <v>1318</v>
      </c>
      <c r="L589" s="106" t="s">
        <v>1336</v>
      </c>
      <c r="M589" s="106" t="s">
        <v>586</v>
      </c>
      <c r="N589" s="106">
        <v>19</v>
      </c>
      <c r="O589" s="106">
        <v>18</v>
      </c>
      <c r="T589" s="106" t="s">
        <v>1766</v>
      </c>
      <c r="V589" s="106">
        <v>3594324.1904166201</v>
      </c>
      <c r="W589" s="106">
        <v>1</v>
      </c>
      <c r="X589" s="106">
        <v>2</v>
      </c>
      <c r="Y589" s="106">
        <v>2</v>
      </c>
      <c r="Z589" s="106">
        <v>1</v>
      </c>
      <c r="AA589" s="106">
        <v>600000</v>
      </c>
      <c r="AB589" s="106">
        <v>1200000</v>
      </c>
      <c r="AC589" s="106">
        <v>1200000</v>
      </c>
      <c r="AD589" s="106">
        <v>600000</v>
      </c>
      <c r="AE589" s="106">
        <v>3600000</v>
      </c>
      <c r="AF589" s="106">
        <v>3600000</v>
      </c>
      <c r="AH589" s="106">
        <v>56160</v>
      </c>
      <c r="AI589" s="106">
        <v>6.5000000000000002E-2</v>
      </c>
      <c r="AJ589" s="106">
        <v>8</v>
      </c>
      <c r="AK589" s="106">
        <v>561.6</v>
      </c>
      <c r="AL589" s="106">
        <v>4492.8</v>
      </c>
      <c r="AM589" s="106">
        <v>47939</v>
      </c>
      <c r="AN589" s="106">
        <v>47939</v>
      </c>
      <c r="AO589" s="106">
        <v>29632</v>
      </c>
      <c r="AP589" s="106" t="s">
        <v>1791</v>
      </c>
      <c r="AQ589" s="106" t="s">
        <v>1813</v>
      </c>
      <c r="AR589" s="106">
        <v>10000601</v>
      </c>
      <c r="AS589" s="106">
        <v>70</v>
      </c>
      <c r="AT589" s="106">
        <v>70</v>
      </c>
      <c r="AU589" s="108" t="s">
        <v>1806</v>
      </c>
      <c r="AV589" s="108" t="s">
        <v>1814</v>
      </c>
      <c r="AW589" s="108">
        <v>10000701</v>
      </c>
      <c r="AX589" s="108">
        <v>0.36</v>
      </c>
      <c r="AY589" s="108">
        <v>0.36</v>
      </c>
      <c r="BD589" s="106">
        <v>0</v>
      </c>
      <c r="BY589" s="112" t="s">
        <v>1766</v>
      </c>
      <c r="BZ589" s="112" t="s">
        <v>1766</v>
      </c>
      <c r="CA589" s="112" t="s">
        <v>1766</v>
      </c>
      <c r="CB589" s="112" t="s">
        <v>1766</v>
      </c>
      <c r="CC589" s="112" t="s">
        <v>1766</v>
      </c>
      <c r="CD589" s="112" t="s">
        <v>1766</v>
      </c>
      <c r="CE589" s="112" t="s">
        <v>1766</v>
      </c>
      <c r="CF589" s="112" t="s">
        <v>1766</v>
      </c>
      <c r="CG589" s="112" t="s">
        <v>1766</v>
      </c>
      <c r="CH589" s="112" t="s">
        <v>1766</v>
      </c>
      <c r="CI589" s="112" t="s">
        <v>1766</v>
      </c>
      <c r="CJ589" s="112" t="s">
        <v>1766</v>
      </c>
      <c r="CK589" s="112" t="s">
        <v>1766</v>
      </c>
      <c r="CL589" s="112" t="s">
        <v>1766</v>
      </c>
      <c r="CM589" s="112" t="s">
        <v>1766</v>
      </c>
      <c r="CN589" s="112" t="s">
        <v>1766</v>
      </c>
      <c r="CO589" s="112" t="s">
        <v>1766</v>
      </c>
    </row>
    <row r="590" spans="1:93">
      <c r="A590" s="106" t="s">
        <v>565</v>
      </c>
      <c r="B590" s="106">
        <v>19</v>
      </c>
      <c r="C590" s="106">
        <v>1</v>
      </c>
      <c r="D590" s="106">
        <v>1</v>
      </c>
      <c r="E590" s="106">
        <v>1</v>
      </c>
      <c r="F590" s="106">
        <v>1</v>
      </c>
      <c r="G590" s="106" t="s">
        <v>66</v>
      </c>
      <c r="I590" s="106">
        <v>201</v>
      </c>
      <c r="J590" s="106" t="s">
        <v>1766</v>
      </c>
      <c r="K590" s="106" t="s">
        <v>1318</v>
      </c>
      <c r="L590" s="106" t="s">
        <v>1337</v>
      </c>
      <c r="M590" s="106" t="s">
        <v>587</v>
      </c>
      <c r="N590" s="106">
        <v>20</v>
      </c>
      <c r="O590" s="106">
        <v>19</v>
      </c>
      <c r="T590" s="106" t="s">
        <v>1766</v>
      </c>
      <c r="V590" s="106">
        <v>4600734.9637332801</v>
      </c>
      <c r="W590" s="106">
        <v>1</v>
      </c>
      <c r="X590" s="106">
        <v>2</v>
      </c>
      <c r="Y590" s="106">
        <v>2</v>
      </c>
      <c r="Z590" s="106">
        <v>1</v>
      </c>
      <c r="AA590" s="106">
        <v>770000</v>
      </c>
      <c r="AB590" s="106">
        <v>1500000</v>
      </c>
      <c r="AC590" s="106">
        <v>1500000</v>
      </c>
      <c r="AD590" s="106">
        <v>770000</v>
      </c>
      <c r="AE590" s="106">
        <v>4540000</v>
      </c>
      <c r="AF590" s="106">
        <v>4540000</v>
      </c>
      <c r="AH590" s="106">
        <v>73440</v>
      </c>
      <c r="AI590" s="106">
        <v>0.08</v>
      </c>
      <c r="AJ590" s="106">
        <v>9</v>
      </c>
      <c r="AK590" s="106">
        <v>734.4</v>
      </c>
      <c r="AL590" s="106">
        <v>6609.6</v>
      </c>
      <c r="AM590" s="106">
        <v>61090</v>
      </c>
      <c r="AN590" s="106">
        <v>61090</v>
      </c>
      <c r="AO590" s="106">
        <v>38833</v>
      </c>
      <c r="AP590" s="106" t="s">
        <v>1791</v>
      </c>
      <c r="AQ590" s="106" t="s">
        <v>1813</v>
      </c>
      <c r="AR590" s="106">
        <v>10000601</v>
      </c>
      <c r="AS590" s="106">
        <v>75</v>
      </c>
      <c r="AT590" s="106">
        <v>75</v>
      </c>
      <c r="AU590" s="108" t="s">
        <v>1806</v>
      </c>
      <c r="AV590" s="108" t="s">
        <v>1814</v>
      </c>
      <c r="AW590" s="108">
        <v>10000701</v>
      </c>
      <c r="AX590" s="108">
        <v>0.38</v>
      </c>
      <c r="AY590" s="108">
        <v>0.38</v>
      </c>
      <c r="BD590" s="106">
        <v>0</v>
      </c>
      <c r="BY590" s="112" t="s">
        <v>1766</v>
      </c>
      <c r="BZ590" s="112" t="s">
        <v>1766</v>
      </c>
      <c r="CA590" s="112" t="s">
        <v>1766</v>
      </c>
      <c r="CB590" s="112" t="s">
        <v>1766</v>
      </c>
      <c r="CC590" s="112" t="s">
        <v>1766</v>
      </c>
      <c r="CD590" s="112" t="s">
        <v>1766</v>
      </c>
      <c r="CE590" s="112" t="s">
        <v>1766</v>
      </c>
      <c r="CF590" s="112" t="s">
        <v>1766</v>
      </c>
      <c r="CG590" s="112" t="s">
        <v>1766</v>
      </c>
      <c r="CH590" s="112" t="s">
        <v>1766</v>
      </c>
      <c r="CI590" s="112" t="s">
        <v>1766</v>
      </c>
      <c r="CJ590" s="112" t="s">
        <v>1766</v>
      </c>
      <c r="CK590" s="112" t="s">
        <v>1766</v>
      </c>
      <c r="CL590" s="112" t="s">
        <v>1766</v>
      </c>
      <c r="CM590" s="112" t="s">
        <v>1766</v>
      </c>
      <c r="CN590" s="112" t="s">
        <v>1766</v>
      </c>
      <c r="CO590" s="112" t="s">
        <v>1766</v>
      </c>
    </row>
    <row r="591" spans="1:93">
      <c r="A591" s="106" t="s">
        <v>565</v>
      </c>
      <c r="B591" s="106">
        <v>20</v>
      </c>
      <c r="C591" s="106">
        <v>1</v>
      </c>
      <c r="D591" s="106">
        <v>1</v>
      </c>
      <c r="E591" s="106">
        <v>1</v>
      </c>
      <c r="F591" s="106">
        <v>1</v>
      </c>
      <c r="G591" s="106" t="s">
        <v>66</v>
      </c>
      <c r="I591" s="106">
        <v>201</v>
      </c>
      <c r="J591" s="106" t="s">
        <v>1766</v>
      </c>
      <c r="K591" s="106" t="s">
        <v>1318</v>
      </c>
      <c r="L591" s="106" t="s">
        <v>1338</v>
      </c>
      <c r="M591" s="106" t="s">
        <v>588</v>
      </c>
      <c r="N591" s="106">
        <v>21</v>
      </c>
      <c r="O591" s="106">
        <v>20</v>
      </c>
      <c r="T591" s="106" t="s">
        <v>1766</v>
      </c>
      <c r="V591" s="106">
        <v>5888940.7535785902</v>
      </c>
      <c r="W591" s="106">
        <v>1</v>
      </c>
      <c r="X591" s="106">
        <v>2</v>
      </c>
      <c r="Y591" s="106">
        <v>2</v>
      </c>
      <c r="Z591" s="106">
        <v>1</v>
      </c>
      <c r="AA591" s="106">
        <v>980000</v>
      </c>
      <c r="AB591" s="106">
        <v>2000000</v>
      </c>
      <c r="AC591" s="106">
        <v>2000000</v>
      </c>
      <c r="AD591" s="106">
        <v>980000</v>
      </c>
      <c r="AE591" s="106">
        <v>5960000</v>
      </c>
      <c r="AF591" s="106">
        <v>5960000</v>
      </c>
      <c r="AH591" s="106">
        <v>103680</v>
      </c>
      <c r="AI591" s="106">
        <v>9.5000000000000001E-2</v>
      </c>
      <c r="AJ591" s="106">
        <v>9</v>
      </c>
      <c r="AK591" s="106">
        <v>1036.8</v>
      </c>
      <c r="AL591" s="106">
        <v>9331.2000000000007</v>
      </c>
      <c r="AM591" s="106">
        <v>85053</v>
      </c>
      <c r="AN591" s="106">
        <v>85053</v>
      </c>
      <c r="AO591" s="106">
        <v>50611</v>
      </c>
      <c r="AP591" s="106" t="s">
        <v>1791</v>
      </c>
      <c r="AQ591" s="106" t="s">
        <v>1813</v>
      </c>
      <c r="AR591" s="106">
        <v>10000601</v>
      </c>
      <c r="AS591" s="106">
        <v>80</v>
      </c>
      <c r="AT591" s="106">
        <v>80</v>
      </c>
      <c r="AU591" s="108" t="s">
        <v>1806</v>
      </c>
      <c r="AV591" s="108" t="s">
        <v>1814</v>
      </c>
      <c r="AW591" s="108">
        <v>10000701</v>
      </c>
      <c r="AX591" s="108">
        <v>0.4</v>
      </c>
      <c r="AY591" s="108">
        <v>0.4</v>
      </c>
      <c r="BD591" s="106">
        <v>0</v>
      </c>
      <c r="BY591" s="112" t="s">
        <v>1766</v>
      </c>
      <c r="BZ591" s="112" t="s">
        <v>1766</v>
      </c>
      <c r="CA591" s="112" t="s">
        <v>1766</v>
      </c>
      <c r="CB591" s="112" t="s">
        <v>1766</v>
      </c>
      <c r="CC591" s="112" t="s">
        <v>1766</v>
      </c>
      <c r="CD591" s="112" t="s">
        <v>1766</v>
      </c>
      <c r="CE591" s="112" t="s">
        <v>1766</v>
      </c>
      <c r="CF591" s="112" t="s">
        <v>1766</v>
      </c>
      <c r="CG591" s="112" t="s">
        <v>1766</v>
      </c>
      <c r="CH591" s="112" t="s">
        <v>1766</v>
      </c>
      <c r="CI591" s="112" t="s">
        <v>1766</v>
      </c>
      <c r="CJ591" s="112" t="s">
        <v>1766</v>
      </c>
      <c r="CK591" s="112" t="s">
        <v>1766</v>
      </c>
      <c r="CL591" s="112" t="s">
        <v>1766</v>
      </c>
      <c r="CM591" s="112" t="s">
        <v>1766</v>
      </c>
      <c r="CN591" s="112" t="s">
        <v>1766</v>
      </c>
      <c r="CO591" s="112" t="s">
        <v>1766</v>
      </c>
    </row>
    <row r="592" spans="1:93">
      <c r="A592" s="106" t="s">
        <v>565</v>
      </c>
      <c r="B592" s="106">
        <v>21</v>
      </c>
      <c r="C592" s="106">
        <v>1</v>
      </c>
      <c r="D592" s="106">
        <v>1</v>
      </c>
      <c r="E592" s="106">
        <v>1</v>
      </c>
      <c r="F592" s="106">
        <v>1</v>
      </c>
      <c r="G592" s="106" t="s">
        <v>66</v>
      </c>
      <c r="I592" s="106">
        <v>201</v>
      </c>
      <c r="J592" s="106" t="s">
        <v>1766</v>
      </c>
      <c r="K592" s="106" t="s">
        <v>1318</v>
      </c>
      <c r="L592" s="106" t="s">
        <v>1340</v>
      </c>
      <c r="M592" s="106" t="s">
        <v>1586</v>
      </c>
      <c r="N592" s="106">
        <v>22</v>
      </c>
      <c r="O592" s="106">
        <v>21</v>
      </c>
      <c r="T592" s="106" t="s">
        <v>1766</v>
      </c>
      <c r="V592" s="106">
        <v>7537844.1645806003</v>
      </c>
      <c r="W592" s="106">
        <v>1</v>
      </c>
      <c r="X592" s="106">
        <v>2</v>
      </c>
      <c r="Y592" s="106">
        <v>2</v>
      </c>
      <c r="Z592" s="106">
        <v>1</v>
      </c>
      <c r="AA592" s="106">
        <v>1300000</v>
      </c>
      <c r="AB592" s="106">
        <v>2500000</v>
      </c>
      <c r="AC592" s="106">
        <v>2500000</v>
      </c>
      <c r="AD592" s="106">
        <v>1300000</v>
      </c>
      <c r="AE592" s="106">
        <v>7600000</v>
      </c>
      <c r="AF592" s="106">
        <v>7600000</v>
      </c>
      <c r="AH592" s="106">
        <v>138240</v>
      </c>
      <c r="AI592" s="106">
        <v>0.11</v>
      </c>
      <c r="AJ592" s="106">
        <v>10</v>
      </c>
      <c r="AK592" s="106">
        <v>1382.4</v>
      </c>
      <c r="AL592" s="106">
        <v>13824</v>
      </c>
      <c r="AM592" s="106">
        <v>110416</v>
      </c>
      <c r="AN592" s="106">
        <v>110416</v>
      </c>
      <c r="AO592" s="106">
        <v>65687</v>
      </c>
      <c r="AP592" s="106" t="s">
        <v>1791</v>
      </c>
      <c r="AQ592" s="106" t="s">
        <v>1813</v>
      </c>
      <c r="AR592" s="106">
        <v>10000601</v>
      </c>
      <c r="AS592" s="106">
        <v>85</v>
      </c>
      <c r="AT592" s="106">
        <v>85</v>
      </c>
      <c r="AU592" s="108" t="s">
        <v>1806</v>
      </c>
      <c r="AV592" s="108" t="s">
        <v>1814</v>
      </c>
      <c r="AW592" s="108">
        <v>10000701</v>
      </c>
      <c r="AX592" s="108">
        <v>0.42</v>
      </c>
      <c r="AY592" s="108">
        <v>0.42</v>
      </c>
      <c r="BD592" s="106">
        <v>0</v>
      </c>
      <c r="BY592" s="112" t="s">
        <v>1766</v>
      </c>
      <c r="BZ592" s="112" t="s">
        <v>1766</v>
      </c>
      <c r="CA592" s="112" t="s">
        <v>1766</v>
      </c>
      <c r="CB592" s="112" t="s">
        <v>1766</v>
      </c>
      <c r="CC592" s="112" t="s">
        <v>1766</v>
      </c>
      <c r="CD592" s="112" t="s">
        <v>1766</v>
      </c>
      <c r="CE592" s="112" t="s">
        <v>1766</v>
      </c>
      <c r="CF592" s="112" t="s">
        <v>1766</v>
      </c>
      <c r="CG592" s="112" t="s">
        <v>1766</v>
      </c>
      <c r="CH592" s="112" t="s">
        <v>1766</v>
      </c>
      <c r="CI592" s="112" t="s">
        <v>1766</v>
      </c>
      <c r="CJ592" s="112" t="s">
        <v>1766</v>
      </c>
      <c r="CK592" s="112" t="s">
        <v>1766</v>
      </c>
      <c r="CL592" s="112" t="s">
        <v>1766</v>
      </c>
      <c r="CM592" s="112" t="s">
        <v>1766</v>
      </c>
      <c r="CN592" s="112" t="s">
        <v>1766</v>
      </c>
      <c r="CO592" s="112" t="s">
        <v>1766</v>
      </c>
    </row>
    <row r="593" spans="1:93">
      <c r="A593" s="106" t="s">
        <v>565</v>
      </c>
      <c r="B593" s="106">
        <v>22</v>
      </c>
      <c r="C593" s="106">
        <v>1</v>
      </c>
      <c r="D593" s="106">
        <v>1</v>
      </c>
      <c r="E593" s="106">
        <v>1</v>
      </c>
      <c r="F593" s="106">
        <v>1</v>
      </c>
      <c r="G593" s="106" t="s">
        <v>66</v>
      </c>
      <c r="I593" s="106">
        <v>201</v>
      </c>
      <c r="J593" s="106" t="s">
        <v>1766</v>
      </c>
      <c r="K593" s="106" t="s">
        <v>1318</v>
      </c>
      <c r="L593" s="106" t="s">
        <v>1342</v>
      </c>
      <c r="M593" s="106" t="s">
        <v>1587</v>
      </c>
      <c r="N593" s="106">
        <v>23</v>
      </c>
      <c r="O593" s="106">
        <v>22</v>
      </c>
      <c r="T593" s="106" t="s">
        <v>1766</v>
      </c>
      <c r="V593" s="106">
        <v>9648440.5306631699</v>
      </c>
      <c r="W593" s="106">
        <v>1</v>
      </c>
      <c r="X593" s="106">
        <v>2</v>
      </c>
      <c r="Y593" s="106">
        <v>2</v>
      </c>
      <c r="Z593" s="106">
        <v>1</v>
      </c>
      <c r="AA593" s="106">
        <v>1600000</v>
      </c>
      <c r="AB593" s="106">
        <v>3200000</v>
      </c>
      <c r="AC593" s="106">
        <v>3200000</v>
      </c>
      <c r="AD593" s="106">
        <v>1600000</v>
      </c>
      <c r="AE593" s="106">
        <v>9600000</v>
      </c>
      <c r="AF593" s="106">
        <v>9600000</v>
      </c>
      <c r="AH593" s="106">
        <v>181440</v>
      </c>
      <c r="AI593" s="106">
        <v>0.125</v>
      </c>
      <c r="AJ593" s="106">
        <v>10</v>
      </c>
      <c r="AK593" s="106">
        <v>1814.4</v>
      </c>
      <c r="AL593" s="106">
        <v>18144</v>
      </c>
      <c r="AM593" s="106">
        <v>142836</v>
      </c>
      <c r="AN593" s="106">
        <v>142836</v>
      </c>
      <c r="AO593" s="106">
        <v>84984</v>
      </c>
      <c r="AP593" s="106" t="s">
        <v>1791</v>
      </c>
      <c r="AQ593" s="106" t="s">
        <v>1813</v>
      </c>
      <c r="AR593" s="106">
        <v>10000601</v>
      </c>
      <c r="AS593" s="106">
        <v>90</v>
      </c>
      <c r="AT593" s="106">
        <v>90</v>
      </c>
      <c r="AU593" s="108" t="s">
        <v>1806</v>
      </c>
      <c r="AV593" s="108" t="s">
        <v>1814</v>
      </c>
      <c r="AW593" s="108">
        <v>10000701</v>
      </c>
      <c r="AX593" s="108">
        <v>0.44</v>
      </c>
      <c r="AY593" s="108">
        <v>0.44</v>
      </c>
      <c r="BD593" s="106">
        <v>0</v>
      </c>
      <c r="BY593" s="112" t="s">
        <v>1766</v>
      </c>
      <c r="BZ593" s="112" t="s">
        <v>1766</v>
      </c>
      <c r="CA593" s="112" t="s">
        <v>1766</v>
      </c>
      <c r="CB593" s="112" t="s">
        <v>1766</v>
      </c>
      <c r="CC593" s="112" t="s">
        <v>1766</v>
      </c>
      <c r="CD593" s="112" t="s">
        <v>1766</v>
      </c>
      <c r="CE593" s="112" t="s">
        <v>1766</v>
      </c>
      <c r="CF593" s="112" t="s">
        <v>1766</v>
      </c>
      <c r="CG593" s="112" t="s">
        <v>1766</v>
      </c>
      <c r="CH593" s="112" t="s">
        <v>1766</v>
      </c>
      <c r="CI593" s="112" t="s">
        <v>1766</v>
      </c>
      <c r="CJ593" s="112" t="s">
        <v>1766</v>
      </c>
      <c r="CK593" s="112" t="s">
        <v>1766</v>
      </c>
      <c r="CL593" s="112" t="s">
        <v>1766</v>
      </c>
      <c r="CM593" s="112" t="s">
        <v>1766</v>
      </c>
      <c r="CN593" s="112" t="s">
        <v>1766</v>
      </c>
      <c r="CO593" s="112" t="s">
        <v>1766</v>
      </c>
    </row>
    <row r="594" spans="1:93">
      <c r="A594" s="106" t="s">
        <v>565</v>
      </c>
      <c r="B594" s="106">
        <v>23</v>
      </c>
      <c r="C594" s="106">
        <v>1</v>
      </c>
      <c r="D594" s="106">
        <v>1</v>
      </c>
      <c r="E594" s="106">
        <v>1</v>
      </c>
      <c r="F594" s="106">
        <v>1</v>
      </c>
      <c r="G594" s="106" t="s">
        <v>66</v>
      </c>
      <c r="I594" s="106">
        <v>201</v>
      </c>
      <c r="J594" s="106" t="s">
        <v>1766</v>
      </c>
      <c r="K594" s="106" t="s">
        <v>1318</v>
      </c>
      <c r="L594" s="106" t="s">
        <v>1344</v>
      </c>
      <c r="M594" s="106" t="s">
        <v>1588</v>
      </c>
      <c r="N594" s="106">
        <v>24</v>
      </c>
      <c r="O594" s="106">
        <v>23</v>
      </c>
      <c r="T594" s="106" t="s">
        <v>1766</v>
      </c>
      <c r="V594" s="106">
        <v>12350003.8792489</v>
      </c>
      <c r="W594" s="106">
        <v>1</v>
      </c>
      <c r="X594" s="106">
        <v>2</v>
      </c>
      <c r="Y594" s="106">
        <v>2</v>
      </c>
      <c r="Z594" s="106">
        <v>1</v>
      </c>
      <c r="AA594" s="106">
        <v>2100000</v>
      </c>
      <c r="AB594" s="106">
        <v>4100000</v>
      </c>
      <c r="AC594" s="106">
        <v>4100000</v>
      </c>
      <c r="AD594" s="106">
        <v>2100000</v>
      </c>
      <c r="AE594" s="106">
        <v>12400000</v>
      </c>
      <c r="AF594" s="106">
        <v>12400000</v>
      </c>
      <c r="AH594" s="106">
        <v>233280</v>
      </c>
      <c r="AI594" s="106">
        <v>0.125</v>
      </c>
      <c r="AJ594" s="106">
        <v>11</v>
      </c>
      <c r="AK594" s="106">
        <v>2332.8000000000002</v>
      </c>
      <c r="AL594" s="106">
        <v>25660.799999999999</v>
      </c>
      <c r="AM594" s="106">
        <v>181399</v>
      </c>
      <c r="AN594" s="106">
        <v>181399</v>
      </c>
      <c r="AO594" s="106">
        <v>109684</v>
      </c>
      <c r="AP594" s="106" t="s">
        <v>1791</v>
      </c>
      <c r="AQ594" s="106" t="s">
        <v>1813</v>
      </c>
      <c r="AR594" s="106">
        <v>10000601</v>
      </c>
      <c r="AS594" s="106">
        <v>95</v>
      </c>
      <c r="AT594" s="106">
        <v>95</v>
      </c>
      <c r="AU594" s="108" t="s">
        <v>1806</v>
      </c>
      <c r="AV594" s="108" t="s">
        <v>1814</v>
      </c>
      <c r="AW594" s="108">
        <v>10000701</v>
      </c>
      <c r="AX594" s="108">
        <v>0.46</v>
      </c>
      <c r="AY594" s="108">
        <v>0.46</v>
      </c>
      <c r="BD594" s="106">
        <v>0</v>
      </c>
      <c r="BY594" s="112" t="s">
        <v>1766</v>
      </c>
      <c r="BZ594" s="112" t="s">
        <v>1766</v>
      </c>
      <c r="CA594" s="112" t="s">
        <v>1766</v>
      </c>
      <c r="CB594" s="112" t="s">
        <v>1766</v>
      </c>
      <c r="CC594" s="112" t="s">
        <v>1766</v>
      </c>
      <c r="CD594" s="112" t="s">
        <v>1766</v>
      </c>
      <c r="CE594" s="112" t="s">
        <v>1766</v>
      </c>
      <c r="CF594" s="112" t="s">
        <v>1766</v>
      </c>
      <c r="CG594" s="112" t="s">
        <v>1766</v>
      </c>
      <c r="CH594" s="112" t="s">
        <v>1766</v>
      </c>
      <c r="CI594" s="112" t="s">
        <v>1766</v>
      </c>
      <c r="CJ594" s="112" t="s">
        <v>1766</v>
      </c>
      <c r="CK594" s="112" t="s">
        <v>1766</v>
      </c>
      <c r="CL594" s="112" t="s">
        <v>1766</v>
      </c>
      <c r="CM594" s="112" t="s">
        <v>1766</v>
      </c>
      <c r="CN594" s="112" t="s">
        <v>1766</v>
      </c>
      <c r="CO594" s="112" t="s">
        <v>1766</v>
      </c>
    </row>
    <row r="595" spans="1:93">
      <c r="A595" s="106" t="s">
        <v>565</v>
      </c>
      <c r="B595" s="106">
        <v>24</v>
      </c>
      <c r="C595" s="106">
        <v>1</v>
      </c>
      <c r="D595" s="106">
        <v>1</v>
      </c>
      <c r="E595" s="106">
        <v>1</v>
      </c>
      <c r="F595" s="106">
        <v>1</v>
      </c>
      <c r="G595" s="106" t="s">
        <v>66</v>
      </c>
      <c r="I595" s="106">
        <v>201</v>
      </c>
      <c r="J595" s="106" t="s">
        <v>1766</v>
      </c>
      <c r="K595" s="106" t="s">
        <v>1318</v>
      </c>
      <c r="L595" s="106" t="s">
        <v>1346</v>
      </c>
      <c r="M595" s="106" t="s">
        <v>1589</v>
      </c>
      <c r="N595" s="106">
        <v>25</v>
      </c>
      <c r="O595" s="106">
        <v>24</v>
      </c>
      <c r="T595" s="106" t="s">
        <v>1766</v>
      </c>
      <c r="V595" s="106">
        <v>15808004.9654385</v>
      </c>
      <c r="W595" s="106">
        <v>1</v>
      </c>
      <c r="X595" s="106">
        <v>2</v>
      </c>
      <c r="Y595" s="106">
        <v>2</v>
      </c>
      <c r="Z595" s="106">
        <v>1</v>
      </c>
      <c r="AA595" s="106">
        <v>2600000</v>
      </c>
      <c r="AB595" s="106">
        <v>5300000</v>
      </c>
      <c r="AC595" s="106">
        <v>5300000</v>
      </c>
      <c r="AD595" s="106">
        <v>2600000</v>
      </c>
      <c r="AE595" s="106">
        <v>15800000</v>
      </c>
      <c r="AF595" s="106">
        <v>15800000</v>
      </c>
      <c r="AH595" s="106">
        <v>298080</v>
      </c>
      <c r="AI595" s="106">
        <v>0.125</v>
      </c>
      <c r="AJ595" s="106">
        <v>12</v>
      </c>
      <c r="AK595" s="106">
        <v>2980.8</v>
      </c>
      <c r="AL595" s="106">
        <v>35769.599999999999</v>
      </c>
      <c r="AM595" s="106">
        <v>228890</v>
      </c>
      <c r="AN595" s="106">
        <v>228890</v>
      </c>
      <c r="AO595" s="106">
        <v>141300</v>
      </c>
      <c r="AP595" s="106" t="s">
        <v>1791</v>
      </c>
      <c r="AQ595" s="106" t="s">
        <v>1813</v>
      </c>
      <c r="AR595" s="106">
        <v>10000601</v>
      </c>
      <c r="AS595" s="106">
        <v>100</v>
      </c>
      <c r="AT595" s="106">
        <v>100</v>
      </c>
      <c r="AU595" s="108" t="s">
        <v>1806</v>
      </c>
      <c r="AV595" s="108" t="s">
        <v>1814</v>
      </c>
      <c r="AW595" s="108">
        <v>10000701</v>
      </c>
      <c r="AX595" s="108">
        <v>0.48</v>
      </c>
      <c r="AY595" s="108">
        <v>0.48</v>
      </c>
      <c r="BD595" s="106">
        <v>0</v>
      </c>
      <c r="BY595" s="112" t="s">
        <v>1766</v>
      </c>
      <c r="BZ595" s="112" t="s">
        <v>1766</v>
      </c>
      <c r="CA595" s="112" t="s">
        <v>1766</v>
      </c>
      <c r="CB595" s="112" t="s">
        <v>1766</v>
      </c>
      <c r="CC595" s="112" t="s">
        <v>1766</v>
      </c>
      <c r="CD595" s="112" t="s">
        <v>1766</v>
      </c>
      <c r="CE595" s="112" t="s">
        <v>1766</v>
      </c>
      <c r="CF595" s="112" t="s">
        <v>1766</v>
      </c>
      <c r="CG595" s="112" t="s">
        <v>1766</v>
      </c>
      <c r="CH595" s="112" t="s">
        <v>1766</v>
      </c>
      <c r="CI595" s="112" t="s">
        <v>1766</v>
      </c>
      <c r="CJ595" s="112" t="s">
        <v>1766</v>
      </c>
      <c r="CK595" s="112" t="s">
        <v>1766</v>
      </c>
      <c r="CL595" s="112" t="s">
        <v>1766</v>
      </c>
      <c r="CM595" s="112" t="s">
        <v>1766</v>
      </c>
      <c r="CN595" s="112" t="s">
        <v>1766</v>
      </c>
      <c r="CO595" s="112" t="s">
        <v>1766</v>
      </c>
    </row>
    <row r="596" spans="1:93">
      <c r="A596" s="106" t="s">
        <v>565</v>
      </c>
      <c r="B596" s="106">
        <v>25</v>
      </c>
      <c r="C596" s="106">
        <v>1</v>
      </c>
      <c r="D596" s="106">
        <v>1</v>
      </c>
      <c r="E596" s="106">
        <v>1</v>
      </c>
      <c r="F596" s="106">
        <v>1</v>
      </c>
      <c r="G596" s="106" t="s">
        <v>66</v>
      </c>
      <c r="I596" s="106">
        <v>201</v>
      </c>
      <c r="J596" s="106" t="s">
        <v>1766</v>
      </c>
      <c r="K596" s="106" t="s">
        <v>1318</v>
      </c>
      <c r="L596" s="106" t="s">
        <v>1348</v>
      </c>
      <c r="M596" s="106" t="s">
        <v>1590</v>
      </c>
      <c r="N596" s="106">
        <v>26</v>
      </c>
      <c r="O596" s="106">
        <v>25</v>
      </c>
      <c r="R596" s="106" t="s">
        <v>1766</v>
      </c>
      <c r="T596" s="106" t="s">
        <v>1766</v>
      </c>
      <c r="V596" s="106">
        <v>20234246.355761301</v>
      </c>
      <c r="W596" s="106">
        <v>1</v>
      </c>
      <c r="X596" s="106">
        <v>2</v>
      </c>
      <c r="Y596" s="106">
        <v>2</v>
      </c>
      <c r="Z596" s="106">
        <v>1</v>
      </c>
      <c r="AA596" s="106">
        <v>3400000</v>
      </c>
      <c r="AB596" s="106">
        <v>6700000</v>
      </c>
      <c r="AC596" s="106">
        <v>6700000</v>
      </c>
      <c r="AD596" s="106">
        <v>3400000</v>
      </c>
      <c r="AE596" s="106">
        <v>20200000</v>
      </c>
      <c r="AF596" s="106">
        <v>20200000</v>
      </c>
      <c r="AH596" s="106">
        <v>375840</v>
      </c>
      <c r="AI596" s="106">
        <v>0.125</v>
      </c>
      <c r="AJ596" s="106">
        <v>13</v>
      </c>
      <c r="AK596" s="106">
        <v>3758.4</v>
      </c>
      <c r="AL596" s="106">
        <v>48859.199999999997</v>
      </c>
      <c r="AM596" s="106">
        <v>284920</v>
      </c>
      <c r="AN596" s="106">
        <v>284920</v>
      </c>
      <c r="AO596" s="106">
        <v>181768</v>
      </c>
      <c r="AP596" s="106" t="s">
        <v>1791</v>
      </c>
      <c r="AQ596" s="106" t="s">
        <v>1813</v>
      </c>
      <c r="AR596" s="106">
        <v>10000601</v>
      </c>
      <c r="AS596" s="106">
        <v>105</v>
      </c>
      <c r="AT596" s="106">
        <v>105</v>
      </c>
      <c r="AU596" s="108" t="s">
        <v>1806</v>
      </c>
      <c r="AV596" s="108" t="s">
        <v>1814</v>
      </c>
      <c r="AW596" s="108">
        <v>10000701</v>
      </c>
      <c r="AX596" s="108">
        <v>0.5</v>
      </c>
      <c r="AY596" s="108">
        <v>0.5</v>
      </c>
      <c r="BD596" s="106">
        <v>0</v>
      </c>
      <c r="BY596" s="112" t="s">
        <v>1766</v>
      </c>
      <c r="BZ596" s="112" t="s">
        <v>1766</v>
      </c>
      <c r="CA596" s="112" t="s">
        <v>1766</v>
      </c>
      <c r="CB596" s="112" t="s">
        <v>1766</v>
      </c>
      <c r="CC596" s="112" t="s">
        <v>1766</v>
      </c>
      <c r="CD596" s="112" t="s">
        <v>1766</v>
      </c>
      <c r="CE596" s="112" t="s">
        <v>1766</v>
      </c>
      <c r="CF596" s="112" t="s">
        <v>1766</v>
      </c>
      <c r="CG596" s="112" t="s">
        <v>1766</v>
      </c>
      <c r="CH596" s="112" t="s">
        <v>1766</v>
      </c>
      <c r="CI596" s="112" t="s">
        <v>1766</v>
      </c>
      <c r="CJ596" s="112" t="s">
        <v>1766</v>
      </c>
      <c r="CK596" s="112" t="s">
        <v>1766</v>
      </c>
      <c r="CL596" s="112" t="s">
        <v>1766</v>
      </c>
      <c r="CM596" s="112" t="s">
        <v>1766</v>
      </c>
      <c r="CN596" s="112" t="s">
        <v>1766</v>
      </c>
      <c r="CO596" s="112" t="s">
        <v>1766</v>
      </c>
    </row>
    <row r="597" spans="1:93">
      <c r="A597" s="106" t="s">
        <v>565</v>
      </c>
      <c r="B597" s="106">
        <v>26</v>
      </c>
      <c r="C597" s="106">
        <v>1</v>
      </c>
      <c r="D597" s="106">
        <v>1</v>
      </c>
      <c r="E597" s="106">
        <v>1</v>
      </c>
      <c r="F597" s="106">
        <v>1</v>
      </c>
      <c r="G597" s="106" t="s">
        <v>66</v>
      </c>
      <c r="I597" s="106">
        <v>201</v>
      </c>
      <c r="J597" s="106" t="s">
        <v>1766</v>
      </c>
      <c r="K597" s="106" t="s">
        <v>1318</v>
      </c>
      <c r="L597" s="106" t="s">
        <v>1350</v>
      </c>
      <c r="M597" s="106" t="s">
        <v>1591</v>
      </c>
      <c r="N597" s="106">
        <v>27</v>
      </c>
      <c r="O597" s="106">
        <v>26</v>
      </c>
      <c r="R597" s="106" t="s">
        <v>1766</v>
      </c>
      <c r="T597" s="106" t="s">
        <v>1766</v>
      </c>
      <c r="V597" s="106">
        <v>25899835.335374501</v>
      </c>
      <c r="W597" s="106">
        <v>1</v>
      </c>
      <c r="X597" s="106">
        <v>2</v>
      </c>
      <c r="Y597" s="106">
        <v>2</v>
      </c>
      <c r="Z597" s="106">
        <v>1</v>
      </c>
      <c r="AA597" s="106">
        <v>4300000</v>
      </c>
      <c r="AB597" s="106">
        <v>8600000</v>
      </c>
      <c r="AC597" s="106">
        <v>8600000</v>
      </c>
      <c r="AD597" s="106">
        <v>4300000</v>
      </c>
      <c r="AE597" s="106">
        <v>25800000</v>
      </c>
      <c r="AF597" s="106">
        <v>25800000</v>
      </c>
      <c r="AH597" s="106">
        <v>466560</v>
      </c>
      <c r="AI597" s="106">
        <v>0.14499999999999999</v>
      </c>
      <c r="AJ597" s="106">
        <v>14</v>
      </c>
      <c r="AK597" s="106">
        <v>4665.6000000000004</v>
      </c>
      <c r="AL597" s="106">
        <v>65318.400000000001</v>
      </c>
      <c r="AM597" s="106">
        <v>341857</v>
      </c>
      <c r="AN597" s="106">
        <v>341857</v>
      </c>
      <c r="AO597" s="106">
        <v>233568</v>
      </c>
      <c r="AP597" s="106" t="s">
        <v>1791</v>
      </c>
      <c r="AQ597" s="106" t="s">
        <v>1813</v>
      </c>
      <c r="AR597" s="106">
        <v>10000601</v>
      </c>
      <c r="AS597" s="106">
        <v>110</v>
      </c>
      <c r="AT597" s="106">
        <v>110</v>
      </c>
      <c r="AU597" s="108" t="s">
        <v>1806</v>
      </c>
      <c r="AV597" s="108" t="s">
        <v>1814</v>
      </c>
      <c r="AW597" s="108">
        <v>10000701</v>
      </c>
      <c r="AX597" s="108">
        <v>0.54</v>
      </c>
      <c r="AY597" s="108">
        <v>0.54</v>
      </c>
      <c r="BD597" s="106">
        <v>0</v>
      </c>
      <c r="BY597" s="112" t="s">
        <v>1766</v>
      </c>
      <c r="BZ597" s="112" t="s">
        <v>1766</v>
      </c>
      <c r="CA597" s="112" t="s">
        <v>1766</v>
      </c>
      <c r="CB597" s="112" t="s">
        <v>1766</v>
      </c>
      <c r="CC597" s="112" t="s">
        <v>1766</v>
      </c>
      <c r="CD597" s="112" t="s">
        <v>1766</v>
      </c>
      <c r="CE597" s="112" t="s">
        <v>1766</v>
      </c>
      <c r="CF597" s="112" t="s">
        <v>1766</v>
      </c>
      <c r="CG597" s="112" t="s">
        <v>1766</v>
      </c>
      <c r="CH597" s="112" t="s">
        <v>1766</v>
      </c>
      <c r="CI597" s="112" t="s">
        <v>1766</v>
      </c>
      <c r="CJ597" s="112" t="s">
        <v>1766</v>
      </c>
      <c r="CK597" s="112" t="s">
        <v>1766</v>
      </c>
      <c r="CL597" s="112" t="s">
        <v>1766</v>
      </c>
      <c r="CM597" s="112" t="s">
        <v>1766</v>
      </c>
      <c r="CN597" s="112" t="s">
        <v>1766</v>
      </c>
      <c r="CO597" s="112" t="s">
        <v>1766</v>
      </c>
    </row>
    <row r="598" spans="1:93">
      <c r="A598" s="106" t="s">
        <v>565</v>
      </c>
      <c r="B598" s="106">
        <v>27</v>
      </c>
      <c r="C598" s="106">
        <v>1</v>
      </c>
      <c r="D598" s="106">
        <v>1</v>
      </c>
      <c r="E598" s="106">
        <v>1</v>
      </c>
      <c r="F598" s="106">
        <v>1</v>
      </c>
      <c r="G598" s="106" t="s">
        <v>66</v>
      </c>
      <c r="I598" s="106">
        <v>201</v>
      </c>
      <c r="J598" s="106" t="s">
        <v>1766</v>
      </c>
      <c r="K598" s="106" t="s">
        <v>1318</v>
      </c>
      <c r="L598" s="106" t="s">
        <v>1352</v>
      </c>
      <c r="M598" s="106" t="s">
        <v>1592</v>
      </c>
      <c r="N598" s="106">
        <v>28</v>
      </c>
      <c r="O598" s="106">
        <v>27</v>
      </c>
      <c r="R598" s="106" t="s">
        <v>1766</v>
      </c>
      <c r="T598" s="106" t="s">
        <v>1766</v>
      </c>
      <c r="V598" s="106">
        <v>33151789.229279399</v>
      </c>
      <c r="W598" s="106">
        <v>1</v>
      </c>
      <c r="X598" s="106">
        <v>2</v>
      </c>
      <c r="Y598" s="106">
        <v>2</v>
      </c>
      <c r="Z598" s="106">
        <v>1</v>
      </c>
      <c r="AA598" s="106">
        <v>5500000</v>
      </c>
      <c r="AB598" s="106">
        <v>11000000</v>
      </c>
      <c r="AC598" s="106">
        <v>11000000</v>
      </c>
      <c r="AD598" s="106">
        <v>5500000</v>
      </c>
      <c r="AE598" s="106">
        <v>33000000</v>
      </c>
      <c r="AF598" s="106">
        <v>33000000</v>
      </c>
      <c r="AH598" s="106">
        <v>570240</v>
      </c>
      <c r="AI598" s="106">
        <v>0.16500000000000001</v>
      </c>
      <c r="AJ598" s="106">
        <v>15</v>
      </c>
      <c r="AK598" s="106">
        <v>5702.4</v>
      </c>
      <c r="AL598" s="106">
        <v>85536</v>
      </c>
      <c r="AM598" s="106">
        <v>403640</v>
      </c>
      <c r="AN598" s="106">
        <v>403640</v>
      </c>
      <c r="AO598" s="106">
        <v>299871</v>
      </c>
      <c r="AP598" s="106" t="s">
        <v>1791</v>
      </c>
      <c r="AQ598" s="106" t="s">
        <v>1813</v>
      </c>
      <c r="AR598" s="106">
        <v>10000601</v>
      </c>
      <c r="AS598" s="106">
        <v>110</v>
      </c>
      <c r="AT598" s="106">
        <v>110</v>
      </c>
      <c r="AU598" s="108" t="s">
        <v>1806</v>
      </c>
      <c r="AV598" s="108" t="s">
        <v>1814</v>
      </c>
      <c r="AW598" s="108">
        <v>10000701</v>
      </c>
      <c r="AX598" s="108">
        <v>0.57999999999999996</v>
      </c>
      <c r="AY598" s="108">
        <v>0.57999999999999996</v>
      </c>
      <c r="BD598" s="106">
        <v>0</v>
      </c>
      <c r="BY598" s="112" t="s">
        <v>1766</v>
      </c>
      <c r="BZ598" s="112" t="s">
        <v>1766</v>
      </c>
      <c r="CA598" s="112" t="s">
        <v>1766</v>
      </c>
      <c r="CB598" s="112" t="s">
        <v>1766</v>
      </c>
      <c r="CC598" s="112" t="s">
        <v>1766</v>
      </c>
      <c r="CD598" s="112" t="s">
        <v>1766</v>
      </c>
      <c r="CE598" s="112" t="s">
        <v>1766</v>
      </c>
      <c r="CF598" s="112" t="s">
        <v>1766</v>
      </c>
      <c r="CG598" s="112" t="s">
        <v>1766</v>
      </c>
      <c r="CH598" s="112" t="s">
        <v>1766</v>
      </c>
      <c r="CI598" s="112" t="s">
        <v>1766</v>
      </c>
      <c r="CJ598" s="112" t="s">
        <v>1766</v>
      </c>
      <c r="CK598" s="112" t="s">
        <v>1766</v>
      </c>
      <c r="CL598" s="112" t="s">
        <v>1766</v>
      </c>
      <c r="CM598" s="112" t="s">
        <v>1766</v>
      </c>
      <c r="CN598" s="112" t="s">
        <v>1766</v>
      </c>
      <c r="CO598" s="112" t="s">
        <v>1766</v>
      </c>
    </row>
    <row r="599" spans="1:93">
      <c r="A599" s="106" t="s">
        <v>565</v>
      </c>
      <c r="B599" s="106">
        <v>28</v>
      </c>
      <c r="C599" s="106">
        <v>1</v>
      </c>
      <c r="D599" s="106">
        <v>1</v>
      </c>
      <c r="E599" s="106">
        <v>1</v>
      </c>
      <c r="F599" s="106">
        <v>1</v>
      </c>
      <c r="G599" s="106" t="s">
        <v>66</v>
      </c>
      <c r="I599" s="106">
        <v>201</v>
      </c>
      <c r="J599" s="106" t="s">
        <v>1766</v>
      </c>
      <c r="K599" s="106" t="s">
        <v>1318</v>
      </c>
      <c r="L599" s="106" t="s">
        <v>1354</v>
      </c>
      <c r="M599" s="106" t="s">
        <v>1593</v>
      </c>
      <c r="N599" s="106">
        <v>29</v>
      </c>
      <c r="O599" s="106">
        <v>28</v>
      </c>
      <c r="R599" s="106" t="s">
        <v>1766</v>
      </c>
      <c r="T599" s="106" t="s">
        <v>1766</v>
      </c>
      <c r="V599" s="106">
        <v>42434290.213477597</v>
      </c>
      <c r="W599" s="106">
        <v>1</v>
      </c>
      <c r="X599" s="106">
        <v>2</v>
      </c>
      <c r="Y599" s="106">
        <v>2</v>
      </c>
      <c r="Z599" s="106">
        <v>1</v>
      </c>
      <c r="AA599" s="106">
        <v>7100000</v>
      </c>
      <c r="AB599" s="106">
        <v>14000000</v>
      </c>
      <c r="AC599" s="106">
        <v>14000000</v>
      </c>
      <c r="AD599" s="106">
        <v>7100000</v>
      </c>
      <c r="AE599" s="106">
        <v>42200000</v>
      </c>
      <c r="AF599" s="106">
        <v>42200000</v>
      </c>
      <c r="AH599" s="106">
        <v>699840</v>
      </c>
      <c r="AI599" s="106">
        <v>0.185</v>
      </c>
      <c r="AJ599" s="106">
        <v>16</v>
      </c>
      <c r="AK599" s="106">
        <v>6998.4</v>
      </c>
      <c r="AL599" s="106">
        <v>111974.39999999999</v>
      </c>
      <c r="AM599" s="106">
        <v>478307</v>
      </c>
      <c r="AN599" s="106">
        <v>478307</v>
      </c>
      <c r="AO599" s="106">
        <v>384740</v>
      </c>
      <c r="AP599" s="106" t="s">
        <v>1791</v>
      </c>
      <c r="AQ599" s="106" t="s">
        <v>1813</v>
      </c>
      <c r="AR599" s="106">
        <v>10000601</v>
      </c>
      <c r="AS599" s="106">
        <v>110</v>
      </c>
      <c r="AT599" s="106">
        <v>110</v>
      </c>
      <c r="AU599" s="108" t="s">
        <v>1806</v>
      </c>
      <c r="AV599" s="108" t="s">
        <v>1814</v>
      </c>
      <c r="AW599" s="108">
        <v>10000701</v>
      </c>
      <c r="AX599" s="108">
        <v>0.62</v>
      </c>
      <c r="AY599" s="108">
        <v>0.62</v>
      </c>
      <c r="BD599" s="106">
        <v>0</v>
      </c>
      <c r="BY599" s="112" t="s">
        <v>1766</v>
      </c>
      <c r="BZ599" s="112" t="s">
        <v>1766</v>
      </c>
      <c r="CA599" s="112" t="s">
        <v>1766</v>
      </c>
      <c r="CB599" s="112" t="s">
        <v>1766</v>
      </c>
      <c r="CC599" s="112" t="s">
        <v>1766</v>
      </c>
      <c r="CD599" s="112" t="s">
        <v>1766</v>
      </c>
      <c r="CE599" s="112" t="s">
        <v>1766</v>
      </c>
      <c r="CF599" s="112" t="s">
        <v>1766</v>
      </c>
      <c r="CG599" s="112" t="s">
        <v>1766</v>
      </c>
      <c r="CH599" s="112" t="s">
        <v>1766</v>
      </c>
      <c r="CI599" s="112" t="s">
        <v>1766</v>
      </c>
      <c r="CJ599" s="112" t="s">
        <v>1766</v>
      </c>
      <c r="CK599" s="112" t="s">
        <v>1766</v>
      </c>
      <c r="CL599" s="112" t="s">
        <v>1766</v>
      </c>
      <c r="CM599" s="112" t="s">
        <v>1766</v>
      </c>
      <c r="CN599" s="112" t="s">
        <v>1766</v>
      </c>
      <c r="CO599" s="112" t="s">
        <v>1766</v>
      </c>
    </row>
    <row r="600" spans="1:93">
      <c r="A600" s="106" t="s">
        <v>565</v>
      </c>
      <c r="B600" s="106">
        <v>29</v>
      </c>
      <c r="C600" s="106">
        <v>1</v>
      </c>
      <c r="D600" s="106">
        <v>1</v>
      </c>
      <c r="E600" s="106">
        <v>1</v>
      </c>
      <c r="F600" s="106">
        <v>1</v>
      </c>
      <c r="G600" s="106" t="s">
        <v>66</v>
      </c>
      <c r="I600" s="106">
        <v>201</v>
      </c>
      <c r="J600" s="106" t="s">
        <v>1766</v>
      </c>
      <c r="K600" s="106" t="s">
        <v>1318</v>
      </c>
      <c r="L600" s="106" t="s">
        <v>1356</v>
      </c>
      <c r="M600" s="106" t="s">
        <v>1594</v>
      </c>
      <c r="N600" s="106">
        <v>30</v>
      </c>
      <c r="O600" s="106">
        <v>29</v>
      </c>
      <c r="R600" s="106" t="s">
        <v>1766</v>
      </c>
      <c r="T600" s="106" t="s">
        <v>1766</v>
      </c>
      <c r="V600" s="106">
        <v>54315891.473251298</v>
      </c>
      <c r="W600" s="106">
        <v>1</v>
      </c>
      <c r="X600" s="106">
        <v>2</v>
      </c>
      <c r="Y600" s="106">
        <v>2</v>
      </c>
      <c r="Z600" s="106">
        <v>1</v>
      </c>
      <c r="AA600" s="106">
        <v>9100000</v>
      </c>
      <c r="AB600" s="106">
        <v>18000000</v>
      </c>
      <c r="AC600" s="106">
        <v>18000000</v>
      </c>
      <c r="AD600" s="106">
        <v>9100000</v>
      </c>
      <c r="AE600" s="106">
        <v>54200000</v>
      </c>
      <c r="AF600" s="106">
        <v>54200000</v>
      </c>
      <c r="AH600" s="106">
        <v>855360</v>
      </c>
      <c r="AI600" s="106">
        <v>0.20499999999999999</v>
      </c>
      <c r="AJ600" s="106">
        <v>17</v>
      </c>
      <c r="AK600" s="106">
        <v>8553.6</v>
      </c>
      <c r="AL600" s="106">
        <v>145411.20000000001</v>
      </c>
      <c r="AM600" s="106">
        <v>564131</v>
      </c>
      <c r="AN600" s="106">
        <v>564131</v>
      </c>
      <c r="AO600" s="106">
        <v>493372</v>
      </c>
      <c r="AP600" s="106" t="s">
        <v>1791</v>
      </c>
      <c r="AQ600" s="106" t="s">
        <v>1813</v>
      </c>
      <c r="AR600" s="106">
        <v>10000601</v>
      </c>
      <c r="AS600" s="106">
        <v>110</v>
      </c>
      <c r="AT600" s="106">
        <v>110</v>
      </c>
      <c r="AU600" s="108" t="s">
        <v>1806</v>
      </c>
      <c r="AV600" s="108" t="s">
        <v>1814</v>
      </c>
      <c r="AW600" s="108">
        <v>10000701</v>
      </c>
      <c r="AX600" s="108">
        <v>0.66</v>
      </c>
      <c r="AY600" s="108">
        <v>0.66</v>
      </c>
      <c r="BD600" s="106">
        <v>0</v>
      </c>
      <c r="BY600" s="112" t="s">
        <v>1766</v>
      </c>
      <c r="BZ600" s="112" t="s">
        <v>1766</v>
      </c>
      <c r="CA600" s="112" t="s">
        <v>1766</v>
      </c>
      <c r="CB600" s="112" t="s">
        <v>1766</v>
      </c>
      <c r="CC600" s="112" t="s">
        <v>1766</v>
      </c>
      <c r="CD600" s="112" t="s">
        <v>1766</v>
      </c>
      <c r="CE600" s="112" t="s">
        <v>1766</v>
      </c>
      <c r="CF600" s="112" t="s">
        <v>1766</v>
      </c>
      <c r="CG600" s="112" t="s">
        <v>1766</v>
      </c>
      <c r="CH600" s="112" t="s">
        <v>1766</v>
      </c>
      <c r="CI600" s="112" t="s">
        <v>1766</v>
      </c>
      <c r="CJ600" s="112" t="s">
        <v>1766</v>
      </c>
      <c r="CK600" s="112" t="s">
        <v>1766</v>
      </c>
      <c r="CL600" s="112" t="s">
        <v>1766</v>
      </c>
      <c r="CM600" s="112" t="s">
        <v>1766</v>
      </c>
      <c r="CN600" s="112" t="s">
        <v>1766</v>
      </c>
      <c r="CO600" s="112" t="s">
        <v>1766</v>
      </c>
    </row>
    <row r="601" spans="1:93">
      <c r="A601" s="106" t="s">
        <v>565</v>
      </c>
      <c r="B601" s="106">
        <v>30</v>
      </c>
      <c r="C601" s="106">
        <v>1</v>
      </c>
      <c r="D601" s="106">
        <v>1</v>
      </c>
      <c r="E601" s="106">
        <v>1</v>
      </c>
      <c r="F601" s="106">
        <v>1</v>
      </c>
      <c r="G601" s="106" t="s">
        <v>66</v>
      </c>
      <c r="I601" s="106">
        <v>201</v>
      </c>
      <c r="J601" s="106" t="s">
        <v>1766</v>
      </c>
      <c r="K601" s="106" t="s">
        <v>1318</v>
      </c>
      <c r="L601" s="106" t="s">
        <v>1358</v>
      </c>
      <c r="M601" s="106" t="s">
        <v>1595</v>
      </c>
      <c r="O601" s="106">
        <v>30</v>
      </c>
      <c r="R601" s="106" t="s">
        <v>1766</v>
      </c>
      <c r="T601" s="106" t="s">
        <v>1766</v>
      </c>
      <c r="V601" s="106">
        <v>69524341.085761696</v>
      </c>
      <c r="W601" s="106">
        <v>1</v>
      </c>
      <c r="X601" s="106">
        <v>2</v>
      </c>
      <c r="Y601" s="106">
        <v>2</v>
      </c>
      <c r="Z601" s="106">
        <v>1</v>
      </c>
      <c r="AA601" s="106">
        <v>12000000</v>
      </c>
      <c r="AB601" s="106">
        <v>23000000</v>
      </c>
      <c r="AC601" s="106">
        <v>23000000</v>
      </c>
      <c r="AD601" s="106">
        <v>12000000</v>
      </c>
      <c r="AE601" s="106">
        <v>70000000</v>
      </c>
      <c r="AF601" s="106">
        <v>70000000</v>
      </c>
      <c r="AH601" s="106">
        <v>1036800</v>
      </c>
      <c r="AI601" s="106">
        <v>0.22500000000000001</v>
      </c>
      <c r="AJ601" s="106">
        <v>18</v>
      </c>
      <c r="AK601" s="106">
        <v>10368</v>
      </c>
      <c r="AL601" s="106">
        <v>186624</v>
      </c>
      <c r="AM601" s="106">
        <v>659443</v>
      </c>
      <c r="AN601" s="106">
        <v>659443</v>
      </c>
      <c r="AO601" s="106">
        <v>632420</v>
      </c>
      <c r="AP601" s="106" t="s">
        <v>1791</v>
      </c>
      <c r="AQ601" s="106" t="s">
        <v>1813</v>
      </c>
      <c r="AR601" s="106">
        <v>10000601</v>
      </c>
      <c r="AS601" s="106">
        <v>110</v>
      </c>
      <c r="AT601" s="106">
        <v>110</v>
      </c>
      <c r="AU601" s="108" t="s">
        <v>1806</v>
      </c>
      <c r="AV601" s="108" t="s">
        <v>1814</v>
      </c>
      <c r="AW601" s="108">
        <v>10000701</v>
      </c>
      <c r="AX601" s="108">
        <v>0.7</v>
      </c>
      <c r="AY601" s="108">
        <v>0.7</v>
      </c>
      <c r="BD601" s="106">
        <v>0</v>
      </c>
      <c r="BY601" s="112" t="s">
        <v>1766</v>
      </c>
      <c r="BZ601" s="112" t="s">
        <v>1766</v>
      </c>
      <c r="CA601" s="112" t="s">
        <v>1766</v>
      </c>
      <c r="CB601" s="112" t="s">
        <v>1766</v>
      </c>
      <c r="CC601" s="112" t="s">
        <v>1766</v>
      </c>
      <c r="CD601" s="112" t="s">
        <v>1766</v>
      </c>
      <c r="CE601" s="112" t="s">
        <v>1766</v>
      </c>
      <c r="CF601" s="112" t="s">
        <v>1766</v>
      </c>
      <c r="CG601" s="112" t="s">
        <v>1766</v>
      </c>
      <c r="CH601" s="112" t="s">
        <v>1766</v>
      </c>
      <c r="CI601" s="112" t="s">
        <v>1766</v>
      </c>
      <c r="CJ601" s="112" t="s">
        <v>1766</v>
      </c>
      <c r="CK601" s="112" t="s">
        <v>1766</v>
      </c>
      <c r="CL601" s="112" t="s">
        <v>1766</v>
      </c>
      <c r="CM601" s="112" t="s">
        <v>1766</v>
      </c>
      <c r="CN601" s="112" t="s">
        <v>1766</v>
      </c>
      <c r="CO601" s="112" t="s">
        <v>1766</v>
      </c>
    </row>
    <row r="602" spans="1:93">
      <c r="A602" s="106" t="s">
        <v>595</v>
      </c>
      <c r="B602" s="106">
        <v>1</v>
      </c>
      <c r="C602" s="106">
        <v>1</v>
      </c>
      <c r="D602" s="106">
        <v>1</v>
      </c>
      <c r="E602" s="106">
        <v>16</v>
      </c>
      <c r="F602" s="106">
        <v>1</v>
      </c>
      <c r="G602" s="106" t="s">
        <v>202</v>
      </c>
      <c r="I602" s="106">
        <v>203</v>
      </c>
      <c r="J602" s="106" t="s">
        <v>1766</v>
      </c>
      <c r="K602" s="106" t="s">
        <v>1582</v>
      </c>
      <c r="L602" s="106" t="s">
        <v>229</v>
      </c>
      <c r="M602" s="106" t="s">
        <v>596</v>
      </c>
      <c r="O602" s="106">
        <v>1</v>
      </c>
      <c r="R602" s="106">
        <v>0</v>
      </c>
      <c r="T602" s="106" t="s">
        <v>1766</v>
      </c>
      <c r="V602" s="106">
        <v>0</v>
      </c>
      <c r="W602" s="106">
        <v>0</v>
      </c>
      <c r="X602" s="106">
        <v>1</v>
      </c>
      <c r="Y602" s="106" t="s">
        <v>1766</v>
      </c>
      <c r="Z602" s="106" t="s">
        <v>1766</v>
      </c>
      <c r="AA602" s="106">
        <v>0</v>
      </c>
      <c r="AB602" s="106">
        <v>0</v>
      </c>
      <c r="AC602" s="106">
        <v>0</v>
      </c>
      <c r="AD602" s="106">
        <v>0</v>
      </c>
      <c r="AE602" s="106">
        <v>0</v>
      </c>
      <c r="AF602" s="106">
        <v>0</v>
      </c>
      <c r="AH602" s="106">
        <v>1</v>
      </c>
      <c r="AI602" s="106">
        <v>0</v>
      </c>
      <c r="AJ602" s="106">
        <v>0</v>
      </c>
      <c r="AK602" s="106">
        <v>120</v>
      </c>
      <c r="AL602" s="106">
        <v>0</v>
      </c>
      <c r="AM602" s="106">
        <v>1</v>
      </c>
      <c r="AN602" s="106">
        <v>16</v>
      </c>
      <c r="AO602" s="106">
        <v>0</v>
      </c>
      <c r="AP602" s="106" t="s">
        <v>94</v>
      </c>
      <c r="AQ602" s="106" t="s">
        <v>204</v>
      </c>
      <c r="AR602" s="106">
        <v>1015</v>
      </c>
      <c r="AS602" s="106">
        <v>200</v>
      </c>
      <c r="AT602" s="106">
        <v>3200</v>
      </c>
      <c r="BD602" s="106">
        <v>0</v>
      </c>
      <c r="BY602" s="112" t="s">
        <v>229</v>
      </c>
      <c r="BZ602" s="112" t="s">
        <v>1583</v>
      </c>
      <c r="CA602" s="112" t="s">
        <v>1583</v>
      </c>
      <c r="CB602" s="112" t="s">
        <v>94</v>
      </c>
      <c r="CC602" s="112">
        <v>21</v>
      </c>
      <c r="CD602" s="112" t="s">
        <v>1766</v>
      </c>
      <c r="CE602" s="112" t="s">
        <v>1766</v>
      </c>
      <c r="CF602" s="112" t="s">
        <v>1766</v>
      </c>
      <c r="CG602" s="112" t="s">
        <v>1766</v>
      </c>
      <c r="CH602" s="112" t="s">
        <v>1766</v>
      </c>
      <c r="CI602" s="112" t="s">
        <v>1766</v>
      </c>
      <c r="CJ602" s="112" t="s">
        <v>1766</v>
      </c>
      <c r="CK602" s="112" t="s">
        <v>1766</v>
      </c>
      <c r="CL602" s="112" t="s">
        <v>1766</v>
      </c>
      <c r="CM602" s="112" t="s">
        <v>1766</v>
      </c>
      <c r="CN602" s="112" t="s">
        <v>1766</v>
      </c>
      <c r="CO602" s="112" t="s">
        <v>1766</v>
      </c>
    </row>
    <row r="603" spans="1:93">
      <c r="A603" s="106" t="s">
        <v>599</v>
      </c>
      <c r="B603" s="106">
        <v>1</v>
      </c>
      <c r="C603" s="106">
        <v>1</v>
      </c>
      <c r="D603" s="106">
        <v>2</v>
      </c>
      <c r="E603" s="106">
        <v>1</v>
      </c>
      <c r="F603" s="106">
        <v>0</v>
      </c>
      <c r="G603" s="106" t="s">
        <v>66</v>
      </c>
      <c r="I603" s="106">
        <v>201</v>
      </c>
      <c r="J603" s="106" t="s">
        <v>1766</v>
      </c>
      <c r="K603" s="106" t="s">
        <v>1318</v>
      </c>
      <c r="L603" s="106" t="s">
        <v>1320</v>
      </c>
      <c r="M603" s="106" t="s">
        <v>600</v>
      </c>
      <c r="O603" s="106">
        <v>2</v>
      </c>
      <c r="R603" s="106">
        <v>0</v>
      </c>
      <c r="T603" s="106" t="s">
        <v>1766</v>
      </c>
      <c r="V603" s="106">
        <v>0</v>
      </c>
      <c r="W603" s="106">
        <v>0</v>
      </c>
      <c r="X603" s="106">
        <v>1</v>
      </c>
      <c r="Y603" s="106" t="s">
        <v>1766</v>
      </c>
      <c r="Z603" s="106" t="s">
        <v>1766</v>
      </c>
      <c r="AA603" s="106">
        <v>0</v>
      </c>
      <c r="AB603" s="106">
        <v>0</v>
      </c>
      <c r="AC603" s="106">
        <v>0</v>
      </c>
      <c r="AD603" s="106">
        <v>0</v>
      </c>
      <c r="AE603" s="106">
        <v>0</v>
      </c>
      <c r="AF603" s="106">
        <v>0</v>
      </c>
      <c r="AH603" s="106">
        <v>1</v>
      </c>
      <c r="AI603" s="106">
        <v>0</v>
      </c>
      <c r="AJ603" s="106">
        <v>0</v>
      </c>
      <c r="AK603" s="106">
        <v>120</v>
      </c>
      <c r="AL603" s="106">
        <v>0</v>
      </c>
      <c r="AM603" s="106">
        <v>1</v>
      </c>
      <c r="AN603" s="106">
        <v>1</v>
      </c>
      <c r="AO603" s="106">
        <v>0</v>
      </c>
      <c r="BD603" s="106">
        <v>0</v>
      </c>
      <c r="BY603" s="112" t="s">
        <v>1766</v>
      </c>
      <c r="BZ603" s="112" t="s">
        <v>1766</v>
      </c>
      <c r="CA603" s="112" t="s">
        <v>1766</v>
      </c>
      <c r="CB603" s="112" t="s">
        <v>1766</v>
      </c>
      <c r="CC603" s="112" t="s">
        <v>1766</v>
      </c>
      <c r="CD603" s="112" t="s">
        <v>1766</v>
      </c>
      <c r="CE603" s="112" t="s">
        <v>1766</v>
      </c>
      <c r="CF603" s="112" t="s">
        <v>1766</v>
      </c>
      <c r="CG603" s="112" t="s">
        <v>1766</v>
      </c>
      <c r="CH603" s="112" t="s">
        <v>1766</v>
      </c>
      <c r="CI603" s="112" t="s">
        <v>1766</v>
      </c>
      <c r="CJ603" s="112" t="s">
        <v>1766</v>
      </c>
      <c r="CK603" s="112" t="s">
        <v>1766</v>
      </c>
      <c r="CL603" s="112" t="s">
        <v>1766</v>
      </c>
      <c r="CM603" s="112" t="s">
        <v>1766</v>
      </c>
      <c r="CN603" s="112" t="s">
        <v>1766</v>
      </c>
      <c r="CO603" s="112" t="s">
        <v>1766</v>
      </c>
    </row>
    <row r="604" spans="1:93">
      <c r="A604" s="106" t="s">
        <v>994</v>
      </c>
      <c r="B604" s="106">
        <v>1</v>
      </c>
      <c r="C604" s="106">
        <v>1</v>
      </c>
      <c r="D604" s="106">
        <v>1</v>
      </c>
      <c r="E604" s="106">
        <v>1</v>
      </c>
      <c r="F604" s="106">
        <v>1</v>
      </c>
      <c r="G604" s="106" t="s">
        <v>66</v>
      </c>
      <c r="I604" s="106">
        <v>201</v>
      </c>
      <c r="J604" s="106" t="s">
        <v>1766</v>
      </c>
      <c r="K604" s="106" t="s">
        <v>1318</v>
      </c>
      <c r="L604" s="106" t="s">
        <v>229</v>
      </c>
      <c r="M604" s="106" t="s">
        <v>1596</v>
      </c>
      <c r="O604" s="106">
        <v>1</v>
      </c>
      <c r="R604" s="106">
        <v>0</v>
      </c>
      <c r="T604" s="106" t="s">
        <v>1766</v>
      </c>
      <c r="V604" s="106">
        <v>0</v>
      </c>
      <c r="W604" s="106">
        <v>0</v>
      </c>
      <c r="X604" s="106">
        <v>1</v>
      </c>
      <c r="Y604" s="106" t="s">
        <v>1766</v>
      </c>
      <c r="Z604" s="106" t="s">
        <v>1766</v>
      </c>
      <c r="AA604" s="106">
        <v>0</v>
      </c>
      <c r="AB604" s="106">
        <v>0</v>
      </c>
      <c r="AC604" s="106">
        <v>0</v>
      </c>
      <c r="AD604" s="106">
        <v>0</v>
      </c>
      <c r="AE604" s="106">
        <v>0</v>
      </c>
      <c r="AF604" s="106">
        <v>0</v>
      </c>
      <c r="AH604" s="106">
        <v>25</v>
      </c>
      <c r="AI604" s="106">
        <v>0</v>
      </c>
      <c r="AJ604" s="106">
        <v>0</v>
      </c>
      <c r="AK604" s="106">
        <v>120</v>
      </c>
      <c r="AL604" s="106">
        <v>0</v>
      </c>
      <c r="AM604" s="106">
        <v>1</v>
      </c>
      <c r="AN604" s="106">
        <v>1</v>
      </c>
      <c r="AO604" s="106">
        <v>0</v>
      </c>
      <c r="BD604" s="106">
        <v>0</v>
      </c>
      <c r="BY604" s="112" t="s">
        <v>1766</v>
      </c>
      <c r="BZ604" s="112" t="s">
        <v>1766</v>
      </c>
      <c r="CA604" s="112" t="s">
        <v>1766</v>
      </c>
      <c r="CB604" s="112" t="s">
        <v>1766</v>
      </c>
      <c r="CC604" s="112" t="s">
        <v>1766</v>
      </c>
      <c r="CD604" s="112" t="s">
        <v>1766</v>
      </c>
      <c r="CE604" s="112" t="s">
        <v>1766</v>
      </c>
      <c r="CF604" s="112" t="s">
        <v>1766</v>
      </c>
      <c r="CG604" s="112" t="s">
        <v>1766</v>
      </c>
      <c r="CH604" s="112" t="s">
        <v>1766</v>
      </c>
      <c r="CI604" s="112" t="s">
        <v>1766</v>
      </c>
      <c r="CJ604" s="112" t="s">
        <v>1766</v>
      </c>
      <c r="CK604" s="112" t="s">
        <v>1766</v>
      </c>
      <c r="CL604" s="112" t="s">
        <v>1766</v>
      </c>
      <c r="CM604" s="112" t="s">
        <v>1766</v>
      </c>
      <c r="CN604" s="112" t="s">
        <v>1766</v>
      </c>
      <c r="CO604" s="112" t="s">
        <v>1766</v>
      </c>
    </row>
    <row r="605" spans="1:93">
      <c r="A605" s="106" t="s">
        <v>999</v>
      </c>
      <c r="B605" s="106">
        <v>1</v>
      </c>
      <c r="C605" s="106">
        <v>1</v>
      </c>
      <c r="D605" s="106">
        <v>1</v>
      </c>
      <c r="E605" s="106">
        <v>1</v>
      </c>
      <c r="F605" s="106">
        <v>1</v>
      </c>
      <c r="G605" s="106" t="s">
        <v>66</v>
      </c>
      <c r="I605" s="106">
        <v>201</v>
      </c>
      <c r="J605" s="106" t="s">
        <v>1766</v>
      </c>
      <c r="K605" s="106" t="s">
        <v>1318</v>
      </c>
      <c r="L605" s="106" t="s">
        <v>229</v>
      </c>
      <c r="M605" s="106" t="s">
        <v>1584</v>
      </c>
      <c r="O605" s="106">
        <v>1</v>
      </c>
      <c r="R605" s="106">
        <v>0</v>
      </c>
      <c r="T605" s="106" t="s">
        <v>1766</v>
      </c>
      <c r="V605" s="106">
        <v>0</v>
      </c>
      <c r="W605" s="106">
        <v>0</v>
      </c>
      <c r="X605" s="106">
        <v>1</v>
      </c>
      <c r="Y605" s="106" t="s">
        <v>1766</v>
      </c>
      <c r="Z605" s="106" t="s">
        <v>1766</v>
      </c>
      <c r="AA605" s="106">
        <v>0</v>
      </c>
      <c r="AB605" s="106">
        <v>0</v>
      </c>
      <c r="AC605" s="106">
        <v>0</v>
      </c>
      <c r="AD605" s="106">
        <v>0</v>
      </c>
      <c r="AE605" s="106">
        <v>0</v>
      </c>
      <c r="AF605" s="106">
        <v>0</v>
      </c>
      <c r="AH605" s="106">
        <v>25</v>
      </c>
      <c r="AI605" s="106">
        <v>0</v>
      </c>
      <c r="AJ605" s="106">
        <v>0</v>
      </c>
      <c r="AK605" s="106">
        <v>120</v>
      </c>
      <c r="AL605" s="106">
        <v>0</v>
      </c>
      <c r="AM605" s="106">
        <v>1</v>
      </c>
      <c r="AN605" s="106">
        <v>1</v>
      </c>
      <c r="AO605" s="106">
        <v>0</v>
      </c>
      <c r="BD605" s="106">
        <v>0</v>
      </c>
      <c r="BY605" s="112" t="s">
        <v>1766</v>
      </c>
      <c r="BZ605" s="112" t="s">
        <v>1766</v>
      </c>
      <c r="CA605" s="112" t="s">
        <v>1766</v>
      </c>
      <c r="CB605" s="112" t="s">
        <v>1766</v>
      </c>
      <c r="CC605" s="112" t="s">
        <v>1766</v>
      </c>
      <c r="CD605" s="112" t="s">
        <v>1766</v>
      </c>
      <c r="CE605" s="112" t="s">
        <v>1766</v>
      </c>
      <c r="CF605" s="112" t="s">
        <v>1766</v>
      </c>
      <c r="CG605" s="112" t="s">
        <v>1766</v>
      </c>
      <c r="CH605" s="112" t="s">
        <v>1766</v>
      </c>
      <c r="CI605" s="112" t="s">
        <v>1766</v>
      </c>
      <c r="CJ605" s="112" t="s">
        <v>1766</v>
      </c>
      <c r="CK605" s="112" t="s">
        <v>1766</v>
      </c>
      <c r="CL605" s="112" t="s">
        <v>1766</v>
      </c>
      <c r="CM605" s="112" t="s">
        <v>1766</v>
      </c>
      <c r="CN605" s="112" t="s">
        <v>1766</v>
      </c>
      <c r="CO605" s="112" t="s">
        <v>1766</v>
      </c>
    </row>
    <row r="606" spans="1:93">
      <c r="A606" s="106" t="s">
        <v>589</v>
      </c>
      <c r="B606" s="106">
        <v>1</v>
      </c>
      <c r="C606" s="106">
        <v>1</v>
      </c>
      <c r="D606" s="106">
        <v>1</v>
      </c>
      <c r="E606" s="106">
        <v>1</v>
      </c>
      <c r="F606" s="106">
        <v>1</v>
      </c>
      <c r="G606" s="106" t="s">
        <v>66</v>
      </c>
      <c r="I606" s="106">
        <v>201</v>
      </c>
      <c r="J606" s="106" t="s">
        <v>1766</v>
      </c>
      <c r="K606" s="106" t="s">
        <v>1318</v>
      </c>
      <c r="L606" s="106" t="s">
        <v>229</v>
      </c>
      <c r="M606" s="106" t="s">
        <v>590</v>
      </c>
      <c r="O606" s="106">
        <v>1</v>
      </c>
      <c r="R606" s="106">
        <v>0</v>
      </c>
      <c r="T606" s="106" t="s">
        <v>1766</v>
      </c>
      <c r="V606" s="106">
        <v>0</v>
      </c>
      <c r="W606" s="106">
        <v>0</v>
      </c>
      <c r="X606" s="106">
        <v>1</v>
      </c>
      <c r="Y606" s="106" t="s">
        <v>1766</v>
      </c>
      <c r="Z606" s="106" t="s">
        <v>1766</v>
      </c>
      <c r="AA606" s="106">
        <v>0</v>
      </c>
      <c r="AB606" s="106">
        <v>0</v>
      </c>
      <c r="AC606" s="106">
        <v>0</v>
      </c>
      <c r="AD606" s="106">
        <v>0</v>
      </c>
      <c r="AE606" s="106">
        <v>0</v>
      </c>
      <c r="AF606" s="106">
        <v>0</v>
      </c>
      <c r="AH606" s="106">
        <v>25</v>
      </c>
      <c r="AI606" s="106">
        <v>0</v>
      </c>
      <c r="AJ606" s="106">
        <v>0</v>
      </c>
      <c r="AK606" s="106">
        <v>120</v>
      </c>
      <c r="AL606" s="106">
        <v>0</v>
      </c>
      <c r="AM606" s="106">
        <v>1</v>
      </c>
      <c r="AN606" s="106">
        <v>1</v>
      </c>
      <c r="AO606" s="106">
        <v>0</v>
      </c>
      <c r="BD606" s="106">
        <v>0</v>
      </c>
      <c r="BY606" s="112" t="s">
        <v>1766</v>
      </c>
      <c r="BZ606" s="112" t="s">
        <v>1766</v>
      </c>
      <c r="CA606" s="112" t="s">
        <v>1766</v>
      </c>
      <c r="CB606" s="112" t="s">
        <v>1766</v>
      </c>
      <c r="CC606" s="112" t="s">
        <v>1766</v>
      </c>
      <c r="CD606" s="112" t="s">
        <v>1766</v>
      </c>
      <c r="CE606" s="112" t="s">
        <v>1766</v>
      </c>
      <c r="CF606" s="112" t="s">
        <v>1766</v>
      </c>
      <c r="CG606" s="112" t="s">
        <v>1766</v>
      </c>
      <c r="CH606" s="112" t="s">
        <v>1766</v>
      </c>
      <c r="CI606" s="112" t="s">
        <v>1766</v>
      </c>
      <c r="CJ606" s="112" t="s">
        <v>1766</v>
      </c>
      <c r="CK606" s="112" t="s">
        <v>1766</v>
      </c>
      <c r="CL606" s="112" t="s">
        <v>1766</v>
      </c>
      <c r="CM606" s="112" t="s">
        <v>1766</v>
      </c>
      <c r="CN606" s="112" t="s">
        <v>1766</v>
      </c>
      <c r="CO606" s="112" t="s">
        <v>1766</v>
      </c>
    </row>
    <row r="607" spans="1:93">
      <c r="A607" s="106" t="s">
        <v>1010</v>
      </c>
      <c r="B607" s="106">
        <v>1</v>
      </c>
      <c r="C607" s="106">
        <v>2</v>
      </c>
      <c r="D607" s="106">
        <v>5</v>
      </c>
      <c r="E607" s="106">
        <v>1</v>
      </c>
      <c r="F607" s="106">
        <v>0</v>
      </c>
      <c r="G607" s="106" t="s">
        <v>66</v>
      </c>
      <c r="I607" s="106">
        <v>201</v>
      </c>
      <c r="J607" s="106" t="s">
        <v>1766</v>
      </c>
      <c r="K607" s="106" t="s">
        <v>1318</v>
      </c>
      <c r="L607" s="106" t="s">
        <v>1323</v>
      </c>
      <c r="M607" s="106" t="s">
        <v>1628</v>
      </c>
      <c r="O607" s="106">
        <v>5</v>
      </c>
      <c r="R607" s="106">
        <v>0</v>
      </c>
      <c r="T607" s="106" t="s">
        <v>1766</v>
      </c>
      <c r="V607" s="106">
        <v>0</v>
      </c>
      <c r="W607" s="106">
        <v>0</v>
      </c>
      <c r="X607" s="106">
        <v>1</v>
      </c>
      <c r="Y607" s="106" t="s">
        <v>1766</v>
      </c>
      <c r="Z607" s="106" t="s">
        <v>1766</v>
      </c>
      <c r="AA607" s="106">
        <v>0</v>
      </c>
      <c r="AB607" s="106">
        <v>0</v>
      </c>
      <c r="AC607" s="106">
        <v>0</v>
      </c>
      <c r="AD607" s="106">
        <v>0</v>
      </c>
      <c r="AE607" s="106">
        <v>0</v>
      </c>
      <c r="AF607" s="106">
        <v>0</v>
      </c>
      <c r="AH607" s="106">
        <v>25</v>
      </c>
      <c r="AI607" s="106">
        <v>0</v>
      </c>
      <c r="AJ607" s="106">
        <v>0</v>
      </c>
      <c r="AK607" s="106">
        <v>120</v>
      </c>
      <c r="AL607" s="106">
        <v>0</v>
      </c>
      <c r="AM607" s="106">
        <v>1</v>
      </c>
      <c r="AN607" s="106">
        <v>1</v>
      </c>
      <c r="AO607" s="106">
        <v>0</v>
      </c>
      <c r="BD607" s="106">
        <v>0</v>
      </c>
      <c r="BY607" s="112" t="s">
        <v>1766</v>
      </c>
      <c r="BZ607" s="112" t="s">
        <v>1766</v>
      </c>
      <c r="CA607" s="112" t="s">
        <v>1766</v>
      </c>
      <c r="CB607" s="112" t="s">
        <v>1766</v>
      </c>
      <c r="CC607" s="112" t="s">
        <v>1766</v>
      </c>
      <c r="CD607" s="112" t="s">
        <v>1766</v>
      </c>
      <c r="CE607" s="112" t="s">
        <v>1766</v>
      </c>
      <c r="CF607" s="112" t="s">
        <v>1766</v>
      </c>
      <c r="CG607" s="112" t="s">
        <v>1766</v>
      </c>
      <c r="CH607" s="112" t="s">
        <v>1766</v>
      </c>
      <c r="CI607" s="112" t="s">
        <v>1766</v>
      </c>
      <c r="CJ607" s="112" t="s">
        <v>1766</v>
      </c>
      <c r="CK607" s="112" t="s">
        <v>1766</v>
      </c>
      <c r="CL607" s="112" t="s">
        <v>1766</v>
      </c>
      <c r="CM607" s="112" t="s">
        <v>1766</v>
      </c>
      <c r="CN607" s="112" t="s">
        <v>1766</v>
      </c>
      <c r="CO607" s="112" t="s">
        <v>1766</v>
      </c>
    </row>
    <row r="608" spans="1:93">
      <c r="A608" s="106" t="s">
        <v>394</v>
      </c>
      <c r="B608" s="106">
        <v>1</v>
      </c>
      <c r="C608" s="106">
        <v>1</v>
      </c>
      <c r="D608" s="106">
        <v>1</v>
      </c>
      <c r="E608" s="106">
        <v>1</v>
      </c>
      <c r="F608" s="106">
        <v>1</v>
      </c>
      <c r="G608" s="106" t="s">
        <v>66</v>
      </c>
      <c r="I608" s="106">
        <v>201</v>
      </c>
      <c r="J608" s="106" t="s">
        <v>1766</v>
      </c>
      <c r="K608" s="106" t="s">
        <v>1318</v>
      </c>
      <c r="L608" s="106" t="s">
        <v>229</v>
      </c>
      <c r="M608" s="106" t="s">
        <v>395</v>
      </c>
      <c r="O608" s="106">
        <v>1</v>
      </c>
      <c r="R608" s="106">
        <v>0</v>
      </c>
      <c r="T608" s="106" t="s">
        <v>1766</v>
      </c>
      <c r="V608" s="106">
        <v>0</v>
      </c>
      <c r="W608" s="106">
        <v>0</v>
      </c>
      <c r="X608" s="106">
        <v>1</v>
      </c>
      <c r="Y608" s="106" t="s">
        <v>1766</v>
      </c>
      <c r="Z608" s="106" t="s">
        <v>1766</v>
      </c>
      <c r="AA608" s="106">
        <v>0</v>
      </c>
      <c r="AB608" s="106">
        <v>0</v>
      </c>
      <c r="AC608" s="106">
        <v>0</v>
      </c>
      <c r="AD608" s="106">
        <v>0</v>
      </c>
      <c r="AE608" s="106">
        <v>0</v>
      </c>
      <c r="AF608" s="106">
        <v>0</v>
      </c>
      <c r="AH608" s="106">
        <v>25</v>
      </c>
      <c r="AI608" s="106">
        <v>0</v>
      </c>
      <c r="AJ608" s="106">
        <v>0</v>
      </c>
      <c r="AK608" s="106">
        <v>120</v>
      </c>
      <c r="AL608" s="106">
        <v>0</v>
      </c>
      <c r="AM608" s="106">
        <v>1</v>
      </c>
      <c r="AN608" s="106">
        <v>1</v>
      </c>
      <c r="AO608" s="106">
        <v>0</v>
      </c>
      <c r="BD608" s="106">
        <v>0</v>
      </c>
      <c r="BY608" s="112" t="s">
        <v>1766</v>
      </c>
      <c r="BZ608" s="112" t="s">
        <v>1766</v>
      </c>
      <c r="CA608" s="112" t="s">
        <v>1766</v>
      </c>
      <c r="CB608" s="112" t="s">
        <v>1766</v>
      </c>
      <c r="CC608" s="112" t="s">
        <v>1766</v>
      </c>
      <c r="CD608" s="112" t="s">
        <v>1766</v>
      </c>
      <c r="CE608" s="112" t="s">
        <v>1766</v>
      </c>
      <c r="CF608" s="112" t="s">
        <v>1766</v>
      </c>
      <c r="CG608" s="112" t="s">
        <v>1766</v>
      </c>
      <c r="CH608" s="112" t="s">
        <v>1766</v>
      </c>
      <c r="CI608" s="112" t="s">
        <v>1766</v>
      </c>
      <c r="CJ608" s="112" t="s">
        <v>1766</v>
      </c>
      <c r="CK608" s="112" t="s">
        <v>1766</v>
      </c>
      <c r="CL608" s="112" t="s">
        <v>1766</v>
      </c>
      <c r="CM608" s="112" t="s">
        <v>1766</v>
      </c>
      <c r="CN608" s="112" t="s">
        <v>1766</v>
      </c>
      <c r="CO608" s="112" t="s">
        <v>1766</v>
      </c>
    </row>
    <row r="609" spans="1:93">
      <c r="A609" s="106" t="s">
        <v>593</v>
      </c>
      <c r="B609" s="106">
        <v>1</v>
      </c>
      <c r="C609" s="106">
        <v>1</v>
      </c>
      <c r="D609" s="106">
        <v>1</v>
      </c>
      <c r="E609" s="106">
        <v>1</v>
      </c>
      <c r="F609" s="106">
        <v>1</v>
      </c>
      <c r="G609" s="106" t="s">
        <v>66</v>
      </c>
      <c r="I609" s="106">
        <v>201</v>
      </c>
      <c r="J609" s="106" t="s">
        <v>1766</v>
      </c>
      <c r="K609" s="106" t="s">
        <v>1318</v>
      </c>
      <c r="L609" s="106" t="s">
        <v>229</v>
      </c>
      <c r="M609" s="106" t="s">
        <v>594</v>
      </c>
      <c r="O609" s="106">
        <v>1</v>
      </c>
      <c r="R609" s="106">
        <v>0</v>
      </c>
      <c r="T609" s="106" t="s">
        <v>1766</v>
      </c>
      <c r="V609" s="106">
        <v>0</v>
      </c>
      <c r="W609" s="106">
        <v>0</v>
      </c>
      <c r="X609" s="106">
        <v>1</v>
      </c>
      <c r="Y609" s="106" t="s">
        <v>1766</v>
      </c>
      <c r="Z609" s="106" t="s">
        <v>1766</v>
      </c>
      <c r="AA609" s="106">
        <v>0</v>
      </c>
      <c r="AB609" s="106">
        <v>0</v>
      </c>
      <c r="AC609" s="106">
        <v>0</v>
      </c>
      <c r="AD609" s="106">
        <v>0</v>
      </c>
      <c r="AE609" s="106">
        <v>0</v>
      </c>
      <c r="AF609" s="106">
        <v>0</v>
      </c>
      <c r="AH609" s="106">
        <v>25</v>
      </c>
      <c r="AI609" s="106">
        <v>0</v>
      </c>
      <c r="AJ609" s="106">
        <v>0</v>
      </c>
      <c r="AK609" s="106">
        <v>120</v>
      </c>
      <c r="AL609" s="106">
        <v>0</v>
      </c>
      <c r="AM609" s="106">
        <v>1</v>
      </c>
      <c r="AN609" s="106">
        <v>1</v>
      </c>
      <c r="AO609" s="106">
        <v>0</v>
      </c>
      <c r="BD609" s="106">
        <v>0</v>
      </c>
      <c r="BY609" s="112" t="s">
        <v>1766</v>
      </c>
      <c r="BZ609" s="112" t="s">
        <v>1766</v>
      </c>
      <c r="CA609" s="112" t="s">
        <v>1766</v>
      </c>
      <c r="CB609" s="112" t="s">
        <v>1766</v>
      </c>
      <c r="CC609" s="112" t="s">
        <v>1766</v>
      </c>
      <c r="CD609" s="112" t="s">
        <v>1766</v>
      </c>
      <c r="CE609" s="112" t="s">
        <v>1766</v>
      </c>
      <c r="CF609" s="112" t="s">
        <v>1766</v>
      </c>
      <c r="CG609" s="112" t="s">
        <v>1766</v>
      </c>
      <c r="CH609" s="112" t="s">
        <v>1766</v>
      </c>
      <c r="CI609" s="112" t="s">
        <v>1766</v>
      </c>
      <c r="CJ609" s="112" t="s">
        <v>1766</v>
      </c>
      <c r="CK609" s="112" t="s">
        <v>1766</v>
      </c>
      <c r="CL609" s="112" t="s">
        <v>1766</v>
      </c>
      <c r="CM609" s="112" t="s">
        <v>1766</v>
      </c>
      <c r="CN609" s="112" t="s">
        <v>1766</v>
      </c>
      <c r="CO609" s="112" t="s">
        <v>1766</v>
      </c>
    </row>
    <row r="610" spans="1:93">
      <c r="A610" s="106" t="s">
        <v>948</v>
      </c>
      <c r="B610" s="106">
        <v>1</v>
      </c>
      <c r="C610" s="106">
        <v>1</v>
      </c>
      <c r="D610" s="106">
        <v>10</v>
      </c>
      <c r="E610" s="106">
        <v>1</v>
      </c>
      <c r="F610" s="106">
        <v>1</v>
      </c>
      <c r="G610" s="106" t="s">
        <v>66</v>
      </c>
      <c r="I610" s="106">
        <v>201</v>
      </c>
      <c r="K610" s="106" t="s">
        <v>1318</v>
      </c>
      <c r="L610" s="106">
        <v>15</v>
      </c>
      <c r="M610" s="106" t="s">
        <v>1815</v>
      </c>
      <c r="N610">
        <v>2</v>
      </c>
      <c r="O610" s="106">
        <v>1</v>
      </c>
      <c r="V610" s="115">
        <v>0</v>
      </c>
      <c r="W610" s="115">
        <v>0</v>
      </c>
      <c r="X610" s="115">
        <v>0</v>
      </c>
      <c r="Y610" s="115" t="s">
        <v>1766</v>
      </c>
      <c r="Z610" s="115" t="s">
        <v>1766</v>
      </c>
      <c r="AA610" s="115">
        <v>0</v>
      </c>
      <c r="AB610" s="115">
        <v>0</v>
      </c>
      <c r="AC610" s="115">
        <v>0</v>
      </c>
      <c r="AD610" s="115">
        <v>0</v>
      </c>
      <c r="AE610" s="115">
        <v>0</v>
      </c>
      <c r="AF610" s="115">
        <v>0</v>
      </c>
      <c r="AG610" s="116"/>
      <c r="AH610" s="115">
        <v>25</v>
      </c>
      <c r="AI610" s="115">
        <v>0</v>
      </c>
      <c r="AJ610" s="115">
        <v>0</v>
      </c>
      <c r="AK610" s="115">
        <v>120</v>
      </c>
      <c r="AL610" s="115">
        <v>0</v>
      </c>
      <c r="AM610" s="115">
        <v>1</v>
      </c>
      <c r="AN610" s="115">
        <v>1</v>
      </c>
      <c r="AO610" s="115">
        <v>3</v>
      </c>
      <c r="AP610" s="1" t="s">
        <v>1816</v>
      </c>
      <c r="AQ610" s="1" t="s">
        <v>1817</v>
      </c>
      <c r="AR610" s="117">
        <v>1.66E-2</v>
      </c>
    </row>
    <row r="611" spans="1:93">
      <c r="A611" s="106" t="s">
        <v>948</v>
      </c>
      <c r="B611" s="106">
        <v>2</v>
      </c>
      <c r="C611" s="106">
        <v>1</v>
      </c>
      <c r="D611" s="106">
        <v>10</v>
      </c>
      <c r="E611" s="106">
        <v>1</v>
      </c>
      <c r="F611" s="106">
        <v>1</v>
      </c>
      <c r="G611" s="106" t="s">
        <v>66</v>
      </c>
      <c r="I611" s="106">
        <v>201</v>
      </c>
      <c r="K611" s="106" t="s">
        <v>1318</v>
      </c>
      <c r="L611" s="106">
        <v>15</v>
      </c>
      <c r="M611" s="106" t="s">
        <v>1818</v>
      </c>
      <c r="N611">
        <v>3</v>
      </c>
      <c r="O611" s="106">
        <v>2</v>
      </c>
      <c r="V611" s="115">
        <v>3000</v>
      </c>
      <c r="W611" s="115">
        <v>1</v>
      </c>
      <c r="X611" s="115">
        <v>2</v>
      </c>
      <c r="Y611" s="115" t="s">
        <v>1766</v>
      </c>
      <c r="Z611" s="115" t="s">
        <v>1766</v>
      </c>
      <c r="AA611" s="115">
        <v>1000</v>
      </c>
      <c r="AB611" s="115">
        <v>2000</v>
      </c>
      <c r="AC611" s="115">
        <v>0</v>
      </c>
      <c r="AD611" s="115">
        <v>0</v>
      </c>
      <c r="AE611" s="115">
        <v>3000</v>
      </c>
      <c r="AF611" s="115">
        <v>3000</v>
      </c>
      <c r="AG611" s="116"/>
      <c r="AH611" s="115">
        <v>54</v>
      </c>
      <c r="AI611" s="115">
        <v>0</v>
      </c>
      <c r="AJ611" s="115">
        <v>0</v>
      </c>
      <c r="AK611" s="115">
        <v>120</v>
      </c>
      <c r="AL611" s="115">
        <v>0</v>
      </c>
      <c r="AM611" s="115">
        <v>1</v>
      </c>
      <c r="AN611" s="115">
        <v>1</v>
      </c>
      <c r="AO611" s="115">
        <v>9</v>
      </c>
      <c r="AP611" s="1" t="s">
        <v>1816</v>
      </c>
      <c r="AQ611" s="1" t="s">
        <v>1817</v>
      </c>
      <c r="AR611" s="117">
        <v>3.3300000000000003E-2</v>
      </c>
    </row>
    <row r="612" spans="1:93">
      <c r="A612" s="106" t="s">
        <v>948</v>
      </c>
      <c r="B612" s="106">
        <v>3</v>
      </c>
      <c r="C612" s="106">
        <v>1</v>
      </c>
      <c r="D612" s="106">
        <v>10</v>
      </c>
      <c r="E612" s="106">
        <v>1</v>
      </c>
      <c r="F612" s="106">
        <v>1</v>
      </c>
      <c r="G612" s="106" t="s">
        <v>66</v>
      </c>
      <c r="I612" s="106">
        <v>201</v>
      </c>
      <c r="K612" s="106" t="s">
        <v>1318</v>
      </c>
      <c r="L612" s="106">
        <v>15</v>
      </c>
      <c r="M612" s="106" t="s">
        <v>1819</v>
      </c>
      <c r="N612">
        <v>4</v>
      </c>
      <c r="O612" s="106">
        <v>3</v>
      </c>
      <c r="V612" s="115">
        <v>6000</v>
      </c>
      <c r="W612" s="115">
        <v>1</v>
      </c>
      <c r="X612" s="115">
        <v>2</v>
      </c>
      <c r="Y612" s="115" t="s">
        <v>1766</v>
      </c>
      <c r="Z612" s="115" t="s">
        <v>1766</v>
      </c>
      <c r="AA612" s="115">
        <v>2000</v>
      </c>
      <c r="AB612" s="115">
        <v>4000</v>
      </c>
      <c r="AC612" s="115">
        <v>0</v>
      </c>
      <c r="AD612" s="115">
        <v>0</v>
      </c>
      <c r="AE612" s="115">
        <v>6000</v>
      </c>
      <c r="AF612" s="115">
        <v>6000</v>
      </c>
      <c r="AG612" s="116"/>
      <c r="AH612" s="115">
        <v>108</v>
      </c>
      <c r="AI612" s="115">
        <v>0</v>
      </c>
      <c r="AJ612" s="115">
        <v>1</v>
      </c>
      <c r="AK612" s="115">
        <v>120</v>
      </c>
      <c r="AL612" s="115">
        <v>120</v>
      </c>
      <c r="AM612" s="115">
        <v>1</v>
      </c>
      <c r="AN612" s="115">
        <v>1</v>
      </c>
      <c r="AO612" s="115">
        <v>21</v>
      </c>
      <c r="AP612" s="1" t="s">
        <v>1816</v>
      </c>
      <c r="AQ612" s="1" t="s">
        <v>1817</v>
      </c>
      <c r="AR612" s="117">
        <v>0.05</v>
      </c>
    </row>
    <row r="613" spans="1:93">
      <c r="A613" s="106" t="s">
        <v>948</v>
      </c>
      <c r="B613" s="106">
        <v>4</v>
      </c>
      <c r="C613" s="106">
        <v>1</v>
      </c>
      <c r="D613" s="106">
        <v>10</v>
      </c>
      <c r="E613" s="106">
        <v>1</v>
      </c>
      <c r="F613" s="106">
        <v>1</v>
      </c>
      <c r="G613" s="106" t="s">
        <v>66</v>
      </c>
      <c r="I613" s="106">
        <v>201</v>
      </c>
      <c r="K613" s="106" t="s">
        <v>1318</v>
      </c>
      <c r="L613" s="106">
        <v>15</v>
      </c>
      <c r="M613" s="106" t="s">
        <v>1820</v>
      </c>
      <c r="N613">
        <v>5</v>
      </c>
      <c r="O613" s="106">
        <v>4</v>
      </c>
      <c r="V613" s="115">
        <v>12000</v>
      </c>
      <c r="W613" s="115">
        <v>1</v>
      </c>
      <c r="X613" s="115">
        <v>2</v>
      </c>
      <c r="Y613" s="115" t="s">
        <v>1766</v>
      </c>
      <c r="Z613" s="115" t="s">
        <v>1766</v>
      </c>
      <c r="AA613" s="115">
        <v>4000</v>
      </c>
      <c r="AB613" s="115">
        <v>8000</v>
      </c>
      <c r="AC613" s="115">
        <v>0</v>
      </c>
      <c r="AD613" s="115">
        <v>0</v>
      </c>
      <c r="AE613" s="115">
        <v>12000</v>
      </c>
      <c r="AF613" s="115">
        <v>12000</v>
      </c>
      <c r="AG613" s="116"/>
      <c r="AH613" s="115">
        <v>216</v>
      </c>
      <c r="AI613" s="115">
        <v>0</v>
      </c>
      <c r="AJ613" s="115">
        <v>1</v>
      </c>
      <c r="AK613" s="115">
        <v>120</v>
      </c>
      <c r="AL613" s="115">
        <v>120</v>
      </c>
      <c r="AM613" s="115">
        <v>1</v>
      </c>
      <c r="AN613" s="115">
        <v>1</v>
      </c>
      <c r="AO613" s="115">
        <v>45</v>
      </c>
      <c r="AP613" s="1" t="s">
        <v>1816</v>
      </c>
      <c r="AQ613" s="1" t="s">
        <v>1817</v>
      </c>
      <c r="AR613" s="117">
        <v>6.6699999999999995E-2</v>
      </c>
    </row>
    <row r="614" spans="1:93">
      <c r="A614" s="106" t="s">
        <v>948</v>
      </c>
      <c r="B614" s="106">
        <v>5</v>
      </c>
      <c r="C614" s="106">
        <v>1</v>
      </c>
      <c r="D614" s="106">
        <v>10</v>
      </c>
      <c r="E614" s="106">
        <v>1</v>
      </c>
      <c r="F614" s="106">
        <v>1</v>
      </c>
      <c r="G614" s="106" t="s">
        <v>66</v>
      </c>
      <c r="I614" s="106">
        <v>201</v>
      </c>
      <c r="K614" s="106" t="s">
        <v>1318</v>
      </c>
      <c r="L614" s="106">
        <v>15</v>
      </c>
      <c r="M614" s="106" t="s">
        <v>1821</v>
      </c>
      <c r="N614">
        <v>6</v>
      </c>
      <c r="O614" s="106">
        <v>5</v>
      </c>
      <c r="V614" s="115">
        <v>23160</v>
      </c>
      <c r="W614" s="115">
        <v>1</v>
      </c>
      <c r="X614" s="115">
        <v>2</v>
      </c>
      <c r="Y614" s="115">
        <v>2</v>
      </c>
      <c r="Z614" s="115" t="s">
        <v>1766</v>
      </c>
      <c r="AA614" s="115">
        <v>4600</v>
      </c>
      <c r="AB614" s="115">
        <v>9300</v>
      </c>
      <c r="AC614" s="115">
        <v>9300</v>
      </c>
      <c r="AD614" s="115">
        <v>0</v>
      </c>
      <c r="AE614" s="115">
        <v>23200</v>
      </c>
      <c r="AF614" s="115">
        <v>23200</v>
      </c>
      <c r="AG614" s="116"/>
      <c r="AH614" s="115">
        <v>450</v>
      </c>
      <c r="AI614" s="115">
        <v>0</v>
      </c>
      <c r="AJ614" s="115">
        <v>2</v>
      </c>
      <c r="AK614" s="115">
        <v>120</v>
      </c>
      <c r="AL614" s="115">
        <v>240</v>
      </c>
      <c r="AM614" s="115">
        <v>1</v>
      </c>
      <c r="AN614" s="115">
        <v>1</v>
      </c>
      <c r="AO614" s="115">
        <v>91</v>
      </c>
      <c r="AP614" s="1" t="s">
        <v>1816</v>
      </c>
      <c r="AQ614" s="1" t="s">
        <v>1817</v>
      </c>
      <c r="AR614" s="117">
        <v>8.3400000000000002E-2</v>
      </c>
    </row>
    <row r="615" spans="1:93">
      <c r="A615" s="106" t="s">
        <v>948</v>
      </c>
      <c r="B615" s="106">
        <v>6</v>
      </c>
      <c r="C615" s="106">
        <v>1</v>
      </c>
      <c r="D615" s="106">
        <v>10</v>
      </c>
      <c r="E615" s="106">
        <v>1</v>
      </c>
      <c r="F615" s="106">
        <v>1</v>
      </c>
      <c r="G615" s="106" t="s">
        <v>66</v>
      </c>
      <c r="I615" s="106">
        <v>201</v>
      </c>
      <c r="K615" s="106" t="s">
        <v>1318</v>
      </c>
      <c r="L615" s="106">
        <v>15</v>
      </c>
      <c r="M615" s="106" t="s">
        <v>1822</v>
      </c>
      <c r="N615">
        <v>7</v>
      </c>
      <c r="O615" s="106">
        <v>6</v>
      </c>
      <c r="V615" s="115">
        <v>43077.599999999999</v>
      </c>
      <c r="W615" s="115">
        <v>1</v>
      </c>
      <c r="X615" s="115">
        <v>2</v>
      </c>
      <c r="Y615" s="115">
        <v>2</v>
      </c>
      <c r="Z615" s="115" t="s">
        <v>1766</v>
      </c>
      <c r="AA615" s="115">
        <v>8600</v>
      </c>
      <c r="AB615" s="115">
        <v>17000</v>
      </c>
      <c r="AC615" s="115">
        <v>17000</v>
      </c>
      <c r="AD615" s="115">
        <v>0</v>
      </c>
      <c r="AE615" s="115">
        <v>42600</v>
      </c>
      <c r="AF615" s="115">
        <v>42600</v>
      </c>
      <c r="AG615" s="116"/>
      <c r="AH615" s="115">
        <v>810</v>
      </c>
      <c r="AI615" s="115">
        <v>0</v>
      </c>
      <c r="AJ615" s="115">
        <v>2</v>
      </c>
      <c r="AK615" s="115">
        <v>120</v>
      </c>
      <c r="AL615" s="115">
        <v>240</v>
      </c>
      <c r="AM615" s="115">
        <v>270</v>
      </c>
      <c r="AN615" s="115">
        <v>270</v>
      </c>
      <c r="AO615" s="115">
        <v>177</v>
      </c>
      <c r="AP615" s="1" t="s">
        <v>1816</v>
      </c>
      <c r="AQ615" s="1" t="s">
        <v>1817</v>
      </c>
      <c r="AR615" s="117">
        <v>0.10009999999999999</v>
      </c>
    </row>
    <row r="616" spans="1:93">
      <c r="A616" s="106" t="s">
        <v>948</v>
      </c>
      <c r="B616" s="106">
        <v>7</v>
      </c>
      <c r="C616" s="106">
        <v>1</v>
      </c>
      <c r="D616" s="106">
        <v>10</v>
      </c>
      <c r="E616" s="106">
        <v>1</v>
      </c>
      <c r="F616" s="106">
        <v>1</v>
      </c>
      <c r="G616" s="106" t="s">
        <v>66</v>
      </c>
      <c r="I616" s="106">
        <v>201</v>
      </c>
      <c r="K616" s="106" t="s">
        <v>1318</v>
      </c>
      <c r="L616" s="106">
        <v>15</v>
      </c>
      <c r="M616" s="106" t="s">
        <v>1823</v>
      </c>
      <c r="V616" s="115">
        <v>77108.903999999995</v>
      </c>
      <c r="W616" s="115">
        <v>1</v>
      </c>
      <c r="X616" s="115">
        <v>2</v>
      </c>
      <c r="Y616" s="115">
        <v>2</v>
      </c>
      <c r="Z616" s="115" t="s">
        <v>1766</v>
      </c>
      <c r="AA616" s="115">
        <v>15000</v>
      </c>
      <c r="AB616" s="115">
        <v>31000</v>
      </c>
      <c r="AC616" s="115">
        <v>31000</v>
      </c>
      <c r="AD616" s="115">
        <v>0</v>
      </c>
      <c r="AE616" s="115">
        <v>77000</v>
      </c>
      <c r="AF616" s="115">
        <v>77000</v>
      </c>
      <c r="AG616" s="116"/>
      <c r="AH616" s="115">
        <v>1350</v>
      </c>
      <c r="AI616" s="115">
        <v>0</v>
      </c>
      <c r="AJ616" s="115">
        <v>3</v>
      </c>
      <c r="AK616" s="115">
        <v>120</v>
      </c>
      <c r="AL616" s="115">
        <v>360</v>
      </c>
      <c r="AM616" s="115">
        <v>690</v>
      </c>
      <c r="AN616" s="115">
        <v>690</v>
      </c>
      <c r="AO616" s="115">
        <v>331</v>
      </c>
      <c r="AP616" s="1" t="s">
        <v>1816</v>
      </c>
      <c r="AQ616" s="1" t="s">
        <v>1817</v>
      </c>
      <c r="AR616" s="117">
        <v>0.1168</v>
      </c>
    </row>
    <row r="617" spans="1:93">
      <c r="A617" s="106" t="s">
        <v>948</v>
      </c>
      <c r="B617" s="106">
        <v>8</v>
      </c>
      <c r="C617" s="106">
        <v>1</v>
      </c>
      <c r="D617" s="106">
        <v>10</v>
      </c>
      <c r="E617" s="106">
        <v>1</v>
      </c>
      <c r="F617" s="106">
        <v>1</v>
      </c>
      <c r="G617" s="106" t="s">
        <v>66</v>
      </c>
      <c r="I617" s="106">
        <v>201</v>
      </c>
      <c r="K617" s="106" t="s">
        <v>1318</v>
      </c>
      <c r="L617" s="106">
        <v>15</v>
      </c>
      <c r="M617" s="106" t="s">
        <v>1824</v>
      </c>
      <c r="V617" s="115">
        <v>132627.31487999999</v>
      </c>
      <c r="W617" s="115">
        <v>1</v>
      </c>
      <c r="X617" s="115">
        <v>2</v>
      </c>
      <c r="Y617" s="115">
        <v>2</v>
      </c>
      <c r="Z617" s="115" t="s">
        <v>1766</v>
      </c>
      <c r="AA617" s="115">
        <v>27000</v>
      </c>
      <c r="AB617" s="115">
        <v>53000</v>
      </c>
      <c r="AC617" s="115">
        <v>53000</v>
      </c>
      <c r="AD617" s="115">
        <v>0</v>
      </c>
      <c r="AE617" s="115">
        <v>133000</v>
      </c>
      <c r="AF617" s="115">
        <v>133000</v>
      </c>
      <c r="AG617" s="116"/>
      <c r="AH617" s="115">
        <v>2160</v>
      </c>
      <c r="AI617" s="115">
        <v>0</v>
      </c>
      <c r="AJ617" s="115">
        <v>3</v>
      </c>
      <c r="AK617" s="115">
        <v>120</v>
      </c>
      <c r="AL617" s="115">
        <v>360</v>
      </c>
      <c r="AM617" s="115">
        <v>1500</v>
      </c>
      <c r="AN617" s="115">
        <v>1500</v>
      </c>
      <c r="AO617" s="115">
        <v>596</v>
      </c>
      <c r="AP617" s="1" t="s">
        <v>1816</v>
      </c>
      <c r="AQ617" s="1" t="s">
        <v>1817</v>
      </c>
      <c r="AR617" s="117">
        <v>0.13350000000000001</v>
      </c>
    </row>
    <row r="618" spans="1:93">
      <c r="A618" s="106" t="s">
        <v>948</v>
      </c>
      <c r="B618" s="106">
        <v>9</v>
      </c>
      <c r="C618" s="106">
        <v>1</v>
      </c>
      <c r="D618" s="106">
        <v>10</v>
      </c>
      <c r="E618" s="106">
        <v>1</v>
      </c>
      <c r="F618" s="106">
        <v>1</v>
      </c>
      <c r="G618" s="106" t="s">
        <v>66</v>
      </c>
      <c r="I618" s="106">
        <v>201</v>
      </c>
      <c r="K618" s="106" t="s">
        <v>1318</v>
      </c>
      <c r="L618" s="106">
        <v>15</v>
      </c>
      <c r="M618" s="106" t="s">
        <v>1825</v>
      </c>
      <c r="V618" s="115">
        <v>218835.069552</v>
      </c>
      <c r="W618" s="115">
        <v>1</v>
      </c>
      <c r="X618" s="115">
        <v>2</v>
      </c>
      <c r="Y618" s="115">
        <v>2</v>
      </c>
      <c r="Z618" s="115" t="s">
        <v>1766</v>
      </c>
      <c r="AA618" s="115">
        <v>44000</v>
      </c>
      <c r="AB618" s="115">
        <v>88000</v>
      </c>
      <c r="AC618" s="115">
        <v>88000</v>
      </c>
      <c r="AD618" s="115">
        <v>0</v>
      </c>
      <c r="AE618" s="115">
        <v>220000</v>
      </c>
      <c r="AF618" s="115">
        <v>220000</v>
      </c>
      <c r="AG618" s="116"/>
      <c r="AH618" s="115">
        <v>4320</v>
      </c>
      <c r="AI618" s="115">
        <v>0</v>
      </c>
      <c r="AJ618" s="115">
        <v>4</v>
      </c>
      <c r="AK618" s="115">
        <v>120</v>
      </c>
      <c r="AL618" s="115">
        <v>480</v>
      </c>
      <c r="AM618" s="115">
        <v>3540</v>
      </c>
      <c r="AN618" s="115">
        <v>3540</v>
      </c>
      <c r="AO618" s="115">
        <v>1034</v>
      </c>
      <c r="AP618" s="1" t="s">
        <v>1816</v>
      </c>
      <c r="AQ618" s="1" t="s">
        <v>1817</v>
      </c>
      <c r="AR618" s="117">
        <v>0.1502</v>
      </c>
    </row>
    <row r="619" spans="1:93">
      <c r="A619" s="106" t="s">
        <v>948</v>
      </c>
      <c r="B619" s="106">
        <v>10</v>
      </c>
      <c r="C619" s="106">
        <v>1</v>
      </c>
      <c r="D619" s="106">
        <v>10</v>
      </c>
      <c r="E619" s="106">
        <v>1</v>
      </c>
      <c r="F619" s="106">
        <v>1</v>
      </c>
      <c r="G619" s="106" t="s">
        <v>66</v>
      </c>
      <c r="I619" s="106">
        <v>201</v>
      </c>
      <c r="K619" s="106" t="s">
        <v>1318</v>
      </c>
      <c r="L619" s="106">
        <v>15</v>
      </c>
      <c r="M619" s="106" t="s">
        <v>1826</v>
      </c>
      <c r="V619" s="115">
        <v>345759.40989215998</v>
      </c>
      <c r="W619" s="115">
        <v>1</v>
      </c>
      <c r="X619" s="115">
        <v>2</v>
      </c>
      <c r="Y619" s="115">
        <v>2</v>
      </c>
      <c r="Z619" s="115">
        <v>1</v>
      </c>
      <c r="AA619" s="115">
        <v>58000</v>
      </c>
      <c r="AB619" s="115">
        <v>120000</v>
      </c>
      <c r="AC619" s="115">
        <v>120000</v>
      </c>
      <c r="AD619" s="115">
        <v>58000</v>
      </c>
      <c r="AE619" s="115">
        <v>356000</v>
      </c>
      <c r="AF619" s="115">
        <v>356000</v>
      </c>
      <c r="AG619" s="116"/>
      <c r="AH619" s="115">
        <v>6480</v>
      </c>
      <c r="AI619" s="115">
        <v>0.01</v>
      </c>
      <c r="AJ619" s="115">
        <v>4</v>
      </c>
      <c r="AK619" s="115">
        <v>120</v>
      </c>
      <c r="AL619" s="115">
        <v>480</v>
      </c>
      <c r="AM619" s="115">
        <v>5635</v>
      </c>
      <c r="AN619" s="115">
        <v>5635</v>
      </c>
      <c r="AO619" s="115">
        <v>1726</v>
      </c>
      <c r="AP619" s="1" t="s">
        <v>1816</v>
      </c>
      <c r="AQ619" s="1" t="s">
        <v>1817</v>
      </c>
      <c r="AR619" s="117">
        <v>0.16689999999999999</v>
      </c>
    </row>
    <row r="620" spans="1:93">
      <c r="A620" s="106" t="s">
        <v>948</v>
      </c>
      <c r="B620" s="106">
        <v>11</v>
      </c>
      <c r="C620" s="106">
        <v>1</v>
      </c>
      <c r="D620" s="106">
        <v>10</v>
      </c>
      <c r="E620" s="106">
        <v>1</v>
      </c>
      <c r="F620" s="106">
        <v>1</v>
      </c>
      <c r="G620" s="106" t="s">
        <v>66</v>
      </c>
      <c r="I620" s="106">
        <v>201</v>
      </c>
      <c r="K620" s="106" t="s">
        <v>1318</v>
      </c>
      <c r="L620" s="106">
        <v>15</v>
      </c>
      <c r="M620" s="106" t="s">
        <v>1827</v>
      </c>
      <c r="V620" s="115">
        <v>522096.70893716102</v>
      </c>
      <c r="W620" s="115">
        <v>1</v>
      </c>
      <c r="X620" s="115">
        <v>2</v>
      </c>
      <c r="Y620" s="115">
        <v>2</v>
      </c>
      <c r="Z620" s="115">
        <v>1</v>
      </c>
      <c r="AA620" s="115">
        <v>87000</v>
      </c>
      <c r="AB620" s="115">
        <v>170000</v>
      </c>
      <c r="AC620" s="115">
        <v>170000</v>
      </c>
      <c r="AD620" s="115">
        <v>87000</v>
      </c>
      <c r="AE620" s="115">
        <v>514000</v>
      </c>
      <c r="AF620" s="115">
        <v>514000</v>
      </c>
      <c r="AG620" s="116"/>
      <c r="AH620" s="115">
        <v>9720</v>
      </c>
      <c r="AI620" s="115">
        <v>0.02</v>
      </c>
      <c r="AJ620" s="115">
        <v>5</v>
      </c>
      <c r="AK620" s="115">
        <v>120</v>
      </c>
      <c r="AL620" s="115">
        <v>600</v>
      </c>
      <c r="AM620" s="115">
        <v>8629</v>
      </c>
      <c r="AN620" s="115">
        <v>8629</v>
      </c>
      <c r="AO620" s="115">
        <v>2770</v>
      </c>
      <c r="AP620" s="1" t="s">
        <v>1816</v>
      </c>
      <c r="AQ620" s="1" t="s">
        <v>1817</v>
      </c>
      <c r="AR620" s="117">
        <v>0.18360000000000001</v>
      </c>
    </row>
    <row r="621" spans="1:93">
      <c r="A621" s="106" t="s">
        <v>948</v>
      </c>
      <c r="B621" s="106">
        <v>12</v>
      </c>
      <c r="C621" s="106">
        <v>1</v>
      </c>
      <c r="D621" s="106">
        <v>10</v>
      </c>
      <c r="E621" s="106">
        <v>1</v>
      </c>
      <c r="F621" s="106">
        <v>1</v>
      </c>
      <c r="G621" s="106" t="s">
        <v>66</v>
      </c>
      <c r="I621" s="106">
        <v>201</v>
      </c>
      <c r="K621" s="106" t="s">
        <v>1318</v>
      </c>
      <c r="L621" s="106">
        <v>15</v>
      </c>
      <c r="M621" s="106" t="s">
        <v>1828</v>
      </c>
      <c r="V621" s="115">
        <v>751819.26086951199</v>
      </c>
      <c r="W621" s="115">
        <v>1</v>
      </c>
      <c r="X621" s="115">
        <v>2</v>
      </c>
      <c r="Y621" s="115">
        <v>2</v>
      </c>
      <c r="Z621" s="115">
        <v>1</v>
      </c>
      <c r="AA621" s="115">
        <v>130000</v>
      </c>
      <c r="AB621" s="115">
        <v>250000</v>
      </c>
      <c r="AC621" s="115">
        <v>250000</v>
      </c>
      <c r="AD621" s="115">
        <v>130000</v>
      </c>
      <c r="AE621" s="115">
        <v>760000</v>
      </c>
      <c r="AF621" s="115">
        <v>760000</v>
      </c>
      <c r="AG621" s="116"/>
      <c r="AH621" s="115">
        <v>12960</v>
      </c>
      <c r="AI621" s="115">
        <v>0.03</v>
      </c>
      <c r="AJ621" s="115">
        <v>5</v>
      </c>
      <c r="AK621" s="115">
        <v>129.6</v>
      </c>
      <c r="AL621" s="115">
        <v>648</v>
      </c>
      <c r="AM621" s="115">
        <v>11634</v>
      </c>
      <c r="AN621" s="115">
        <v>11634</v>
      </c>
      <c r="AO621" s="115">
        <v>4273</v>
      </c>
      <c r="AP621" s="1" t="s">
        <v>1816</v>
      </c>
      <c r="AQ621" s="1" t="s">
        <v>1817</v>
      </c>
      <c r="AR621" s="117">
        <v>0.20030000000000001</v>
      </c>
    </row>
    <row r="622" spans="1:93">
      <c r="A622" s="106" t="s">
        <v>948</v>
      </c>
      <c r="B622" s="106">
        <v>13</v>
      </c>
      <c r="C622" s="106">
        <v>1</v>
      </c>
      <c r="D622" s="106">
        <v>10</v>
      </c>
      <c r="E622" s="106">
        <v>1</v>
      </c>
      <c r="F622" s="106">
        <v>1</v>
      </c>
      <c r="G622" s="106" t="s">
        <v>66</v>
      </c>
      <c r="I622" s="106">
        <v>201</v>
      </c>
      <c r="K622" s="106" t="s">
        <v>1318</v>
      </c>
      <c r="L622" s="106">
        <v>15</v>
      </c>
      <c r="M622" s="106" t="s">
        <v>1829</v>
      </c>
      <c r="V622" s="115">
        <v>1029992.38739123</v>
      </c>
      <c r="W622" s="115">
        <v>1</v>
      </c>
      <c r="X622" s="115">
        <v>2</v>
      </c>
      <c r="Y622" s="115">
        <v>2</v>
      </c>
      <c r="Z622" s="115">
        <v>1</v>
      </c>
      <c r="AA622" s="115">
        <v>170000</v>
      </c>
      <c r="AB622" s="115">
        <v>340000</v>
      </c>
      <c r="AC622" s="115">
        <v>340000</v>
      </c>
      <c r="AD622" s="115">
        <v>170000</v>
      </c>
      <c r="AE622" s="115">
        <v>1020000</v>
      </c>
      <c r="AF622" s="115">
        <v>1020000</v>
      </c>
      <c r="AG622" s="116"/>
      <c r="AH622" s="115">
        <v>17280</v>
      </c>
      <c r="AI622" s="115">
        <v>0.04</v>
      </c>
      <c r="AJ622" s="115">
        <v>6</v>
      </c>
      <c r="AK622" s="115">
        <v>172.8</v>
      </c>
      <c r="AL622" s="115">
        <v>1036.8</v>
      </c>
      <c r="AM622" s="115">
        <v>15278</v>
      </c>
      <c r="AN622" s="115">
        <v>15278</v>
      </c>
      <c r="AO622" s="115">
        <v>6333</v>
      </c>
      <c r="AP622" s="1" t="s">
        <v>1816</v>
      </c>
      <c r="AQ622" s="1" t="s">
        <v>1817</v>
      </c>
      <c r="AR622" s="117">
        <v>0.217</v>
      </c>
    </row>
    <row r="623" spans="1:93">
      <c r="A623" s="106" t="s">
        <v>948</v>
      </c>
      <c r="B623" s="106">
        <v>14</v>
      </c>
      <c r="C623" s="106">
        <v>1</v>
      </c>
      <c r="D623" s="106">
        <v>10</v>
      </c>
      <c r="E623" s="106">
        <v>1</v>
      </c>
      <c r="F623" s="106">
        <v>1</v>
      </c>
      <c r="G623" s="106" t="s">
        <v>66</v>
      </c>
      <c r="I623" s="106">
        <v>201</v>
      </c>
      <c r="K623" s="106" t="s">
        <v>1318</v>
      </c>
      <c r="L623" s="106">
        <v>15</v>
      </c>
      <c r="M623" s="106" t="s">
        <v>1830</v>
      </c>
      <c r="V623" s="115">
        <v>1338990.1036086001</v>
      </c>
      <c r="W623" s="115">
        <v>1</v>
      </c>
      <c r="X623" s="115">
        <v>2</v>
      </c>
      <c r="Y623" s="115">
        <v>2</v>
      </c>
      <c r="Z623" s="115">
        <v>1</v>
      </c>
      <c r="AA623" s="115">
        <v>220000</v>
      </c>
      <c r="AB623" s="115">
        <v>450000</v>
      </c>
      <c r="AC623" s="115">
        <v>450000</v>
      </c>
      <c r="AD623" s="115">
        <v>220000</v>
      </c>
      <c r="AE623" s="115">
        <v>1340000</v>
      </c>
      <c r="AF623" s="115">
        <v>1340000</v>
      </c>
      <c r="AG623" s="116"/>
      <c r="AH623" s="115">
        <v>21600</v>
      </c>
      <c r="AI623" s="115">
        <v>0.05</v>
      </c>
      <c r="AJ623" s="115">
        <v>6</v>
      </c>
      <c r="AK623" s="115">
        <v>216</v>
      </c>
      <c r="AL623" s="115">
        <v>1296</v>
      </c>
      <c r="AM623" s="115">
        <v>18975</v>
      </c>
      <c r="AN623" s="115">
        <v>18975</v>
      </c>
      <c r="AO623" s="115">
        <v>9011</v>
      </c>
      <c r="AP623" s="1" t="s">
        <v>1816</v>
      </c>
      <c r="AQ623" s="1" t="s">
        <v>1817</v>
      </c>
      <c r="AR623" s="117">
        <v>0.23369999999999999</v>
      </c>
    </row>
    <row r="624" spans="1:93">
      <c r="A624" s="106" t="s">
        <v>948</v>
      </c>
      <c r="B624" s="106">
        <v>15</v>
      </c>
      <c r="C624" s="106">
        <v>1</v>
      </c>
      <c r="D624" s="106">
        <v>10</v>
      </c>
      <c r="E624" s="106">
        <v>1</v>
      </c>
      <c r="F624" s="106">
        <v>1</v>
      </c>
      <c r="G624" s="106" t="s">
        <v>66</v>
      </c>
      <c r="I624" s="106">
        <v>201</v>
      </c>
      <c r="K624" s="106" t="s">
        <v>1318</v>
      </c>
      <c r="L624" s="106" t="s">
        <v>1333</v>
      </c>
      <c r="M624" s="106" t="s">
        <v>1831</v>
      </c>
      <c r="V624" s="115">
        <v>1713907.33261901</v>
      </c>
      <c r="W624" s="115">
        <v>1</v>
      </c>
      <c r="X624" s="115">
        <v>2</v>
      </c>
      <c r="Y624" s="115">
        <v>2</v>
      </c>
      <c r="Z624" s="115">
        <v>1</v>
      </c>
      <c r="AA624" s="115">
        <v>290000</v>
      </c>
      <c r="AB624" s="115">
        <v>570000</v>
      </c>
      <c r="AC624" s="115">
        <v>570000</v>
      </c>
      <c r="AD624" s="115">
        <v>290000</v>
      </c>
      <c r="AE624" s="115">
        <v>1720000</v>
      </c>
      <c r="AF624" s="115">
        <v>1720000</v>
      </c>
      <c r="AG624" s="116"/>
      <c r="AH624" s="115">
        <v>25920</v>
      </c>
      <c r="AI624" s="115">
        <v>0.05</v>
      </c>
      <c r="AJ624" s="115">
        <v>7</v>
      </c>
      <c r="AK624" s="115">
        <v>259.2</v>
      </c>
      <c r="AL624" s="115">
        <v>1814.4</v>
      </c>
      <c r="AM624" s="115">
        <v>22571</v>
      </c>
      <c r="AN624" s="115">
        <v>22571</v>
      </c>
      <c r="AO624" s="115">
        <v>12439</v>
      </c>
      <c r="AP624" s="1" t="s">
        <v>1816</v>
      </c>
      <c r="AQ624" s="1" t="s">
        <v>1817</v>
      </c>
      <c r="AR624" s="117">
        <v>0.25040000000000001</v>
      </c>
    </row>
    <row r="625" spans="1:44">
      <c r="A625" s="106" t="s">
        <v>948</v>
      </c>
      <c r="B625" s="106">
        <v>16</v>
      </c>
      <c r="C625" s="106">
        <v>1</v>
      </c>
      <c r="D625" s="106">
        <v>10</v>
      </c>
      <c r="E625" s="106">
        <v>1</v>
      </c>
      <c r="F625" s="106">
        <v>1</v>
      </c>
      <c r="G625" s="106" t="s">
        <v>66</v>
      </c>
      <c r="I625" s="106">
        <v>201</v>
      </c>
      <c r="K625" s="106" t="s">
        <v>1318</v>
      </c>
      <c r="L625" s="106" t="s">
        <v>1334</v>
      </c>
      <c r="M625" s="106" t="s">
        <v>1832</v>
      </c>
      <c r="V625" s="115">
        <v>2193801.3857523301</v>
      </c>
      <c r="W625" s="115">
        <v>1</v>
      </c>
      <c r="X625" s="115">
        <v>2</v>
      </c>
      <c r="Y625" s="115">
        <v>2</v>
      </c>
      <c r="Z625" s="115">
        <v>1</v>
      </c>
      <c r="AA625" s="115">
        <v>370000</v>
      </c>
      <c r="AB625" s="115">
        <v>730000</v>
      </c>
      <c r="AC625" s="115">
        <v>730000</v>
      </c>
      <c r="AD625" s="115">
        <v>370000</v>
      </c>
      <c r="AE625" s="115">
        <v>2200000</v>
      </c>
      <c r="AF625" s="115">
        <v>2200000</v>
      </c>
      <c r="AG625" s="116"/>
      <c r="AH625" s="115">
        <v>32400</v>
      </c>
      <c r="AI625" s="115">
        <v>0.05</v>
      </c>
      <c r="AJ625" s="115">
        <v>7</v>
      </c>
      <c r="AK625" s="115">
        <v>324</v>
      </c>
      <c r="AL625" s="115">
        <v>2268</v>
      </c>
      <c r="AM625" s="115">
        <v>28289</v>
      </c>
      <c r="AN625" s="115">
        <v>28289</v>
      </c>
      <c r="AO625" s="115">
        <v>16827</v>
      </c>
      <c r="AP625" s="1" t="s">
        <v>1816</v>
      </c>
      <c r="AQ625" s="1" t="s">
        <v>1817</v>
      </c>
      <c r="AR625" s="117">
        <v>0.2671</v>
      </c>
    </row>
    <row r="626" spans="1:44">
      <c r="A626" s="106" t="s">
        <v>948</v>
      </c>
      <c r="B626" s="106">
        <v>17</v>
      </c>
      <c r="C626" s="106">
        <v>1</v>
      </c>
      <c r="D626" s="106">
        <v>10</v>
      </c>
      <c r="E626" s="106">
        <v>1</v>
      </c>
      <c r="F626" s="106">
        <v>1</v>
      </c>
      <c r="G626" s="106" t="s">
        <v>66</v>
      </c>
      <c r="I626" s="106">
        <v>201</v>
      </c>
      <c r="K626" s="106" t="s">
        <v>1318</v>
      </c>
      <c r="L626" s="106" t="s">
        <v>1335</v>
      </c>
      <c r="M626" s="106" t="s">
        <v>1833</v>
      </c>
      <c r="V626" s="115">
        <v>2808065.7737629898</v>
      </c>
      <c r="W626" s="115">
        <v>1</v>
      </c>
      <c r="X626" s="115">
        <v>2</v>
      </c>
      <c r="Y626" s="115">
        <v>2</v>
      </c>
      <c r="Z626" s="115">
        <v>1</v>
      </c>
      <c r="AA626" s="115">
        <v>470000</v>
      </c>
      <c r="AB626" s="115">
        <v>940000</v>
      </c>
      <c r="AC626" s="115">
        <v>940000</v>
      </c>
      <c r="AD626" s="115">
        <v>470000</v>
      </c>
      <c r="AE626" s="115">
        <v>2820000</v>
      </c>
      <c r="AF626" s="115">
        <v>2820000</v>
      </c>
      <c r="AG626" s="116"/>
      <c r="AH626" s="115">
        <v>43200</v>
      </c>
      <c r="AI626" s="115">
        <v>0.05</v>
      </c>
      <c r="AJ626" s="115">
        <v>8</v>
      </c>
      <c r="AK626" s="115">
        <v>432</v>
      </c>
      <c r="AL626" s="115">
        <v>3456</v>
      </c>
      <c r="AM626" s="115">
        <v>37386</v>
      </c>
      <c r="AN626" s="115">
        <v>37386</v>
      </c>
      <c r="AO626" s="115">
        <v>22443</v>
      </c>
      <c r="AP626" s="1" t="s">
        <v>1816</v>
      </c>
      <c r="AQ626" s="1" t="s">
        <v>1817</v>
      </c>
      <c r="AR626" s="117">
        <v>0.2838</v>
      </c>
    </row>
    <row r="627" spans="1:44">
      <c r="A627" s="106" t="s">
        <v>948</v>
      </c>
      <c r="B627" s="106">
        <v>18</v>
      </c>
      <c r="C627" s="106">
        <v>1</v>
      </c>
      <c r="D627" s="106">
        <v>10</v>
      </c>
      <c r="E627" s="106">
        <v>1</v>
      </c>
      <c r="F627" s="106">
        <v>1</v>
      </c>
      <c r="G627" s="106" t="s">
        <v>66</v>
      </c>
      <c r="I627" s="106">
        <v>201</v>
      </c>
      <c r="K627" s="106" t="s">
        <v>1318</v>
      </c>
      <c r="L627" s="106" t="s">
        <v>1336</v>
      </c>
      <c r="M627" s="106" t="s">
        <v>1834</v>
      </c>
      <c r="V627" s="115">
        <v>3594324.1904166201</v>
      </c>
      <c r="W627" s="115">
        <v>1</v>
      </c>
      <c r="X627" s="115">
        <v>2</v>
      </c>
      <c r="Y627" s="115">
        <v>2</v>
      </c>
      <c r="Z627" s="115">
        <v>1</v>
      </c>
      <c r="AA627" s="115">
        <v>600000</v>
      </c>
      <c r="AB627" s="115">
        <v>1200000</v>
      </c>
      <c r="AC627" s="115">
        <v>1200000</v>
      </c>
      <c r="AD627" s="115">
        <v>600000</v>
      </c>
      <c r="AE627" s="115">
        <v>3600000</v>
      </c>
      <c r="AF627" s="115">
        <v>3600000</v>
      </c>
      <c r="AG627" s="116"/>
      <c r="AH627" s="115">
        <v>56160</v>
      </c>
      <c r="AI627" s="115">
        <v>6.5000000000000002E-2</v>
      </c>
      <c r="AJ627" s="115">
        <v>8</v>
      </c>
      <c r="AK627" s="115">
        <v>561.6</v>
      </c>
      <c r="AL627" s="115">
        <v>4492.8</v>
      </c>
      <c r="AM627" s="115">
        <v>47939</v>
      </c>
      <c r="AN627" s="115">
        <v>47939</v>
      </c>
      <c r="AO627" s="115">
        <v>29632</v>
      </c>
      <c r="AP627" s="1" t="s">
        <v>1816</v>
      </c>
      <c r="AQ627" s="1" t="s">
        <v>1817</v>
      </c>
      <c r="AR627" s="117">
        <v>0.30049999999999999</v>
      </c>
    </row>
    <row r="628" spans="1:44">
      <c r="A628" s="106" t="s">
        <v>948</v>
      </c>
      <c r="B628" s="106">
        <v>19</v>
      </c>
      <c r="C628" s="106">
        <v>1</v>
      </c>
      <c r="D628" s="106">
        <v>10</v>
      </c>
      <c r="E628" s="106">
        <v>1</v>
      </c>
      <c r="F628" s="106">
        <v>1</v>
      </c>
      <c r="G628" s="106" t="s">
        <v>66</v>
      </c>
      <c r="I628" s="106">
        <v>201</v>
      </c>
      <c r="K628" s="106" t="s">
        <v>1318</v>
      </c>
      <c r="L628" s="106" t="s">
        <v>1337</v>
      </c>
      <c r="M628" s="106" t="s">
        <v>1835</v>
      </c>
      <c r="V628" s="115">
        <v>4600734.9637332801</v>
      </c>
      <c r="W628" s="115">
        <v>1</v>
      </c>
      <c r="X628" s="115">
        <v>2</v>
      </c>
      <c r="Y628" s="115">
        <v>2</v>
      </c>
      <c r="Z628" s="115">
        <v>1</v>
      </c>
      <c r="AA628" s="115">
        <v>770000</v>
      </c>
      <c r="AB628" s="115">
        <v>1500000</v>
      </c>
      <c r="AC628" s="115">
        <v>1500000</v>
      </c>
      <c r="AD628" s="115">
        <v>770000</v>
      </c>
      <c r="AE628" s="115">
        <v>4540000</v>
      </c>
      <c r="AF628" s="115">
        <v>4540000</v>
      </c>
      <c r="AG628" s="116"/>
      <c r="AH628" s="115">
        <v>73440</v>
      </c>
      <c r="AI628" s="115">
        <v>0.08</v>
      </c>
      <c r="AJ628" s="115">
        <v>9</v>
      </c>
      <c r="AK628" s="115">
        <v>734.4</v>
      </c>
      <c r="AL628" s="115">
        <v>6609.6</v>
      </c>
      <c r="AM628" s="115">
        <v>61090</v>
      </c>
      <c r="AN628" s="115">
        <v>61090</v>
      </c>
      <c r="AO628" s="115">
        <v>38833</v>
      </c>
      <c r="AP628" s="1" t="s">
        <v>1816</v>
      </c>
      <c r="AQ628" s="1" t="s">
        <v>1817</v>
      </c>
      <c r="AR628" s="117">
        <v>0.31719999999999998</v>
      </c>
    </row>
    <row r="629" spans="1:44">
      <c r="A629" s="106" t="s">
        <v>948</v>
      </c>
      <c r="B629" s="106">
        <v>20</v>
      </c>
      <c r="C629" s="106">
        <v>1</v>
      </c>
      <c r="D629" s="106">
        <v>10</v>
      </c>
      <c r="E629" s="106">
        <v>1</v>
      </c>
      <c r="F629" s="106">
        <v>1</v>
      </c>
      <c r="G629" s="106" t="s">
        <v>66</v>
      </c>
      <c r="I629" s="106">
        <v>201</v>
      </c>
      <c r="K629" s="106" t="s">
        <v>1318</v>
      </c>
      <c r="L629" s="106" t="s">
        <v>1338</v>
      </c>
      <c r="M629" s="106" t="s">
        <v>1836</v>
      </c>
      <c r="V629" s="115">
        <v>5888940.7535785902</v>
      </c>
      <c r="W629" s="115">
        <v>1</v>
      </c>
      <c r="X629" s="115">
        <v>2</v>
      </c>
      <c r="Y629" s="115">
        <v>2</v>
      </c>
      <c r="Z629" s="115">
        <v>1</v>
      </c>
      <c r="AA629" s="115">
        <v>980000</v>
      </c>
      <c r="AB629" s="115">
        <v>2000000</v>
      </c>
      <c r="AC629" s="115">
        <v>2000000</v>
      </c>
      <c r="AD629" s="115">
        <v>980000</v>
      </c>
      <c r="AE629" s="115">
        <v>5960000</v>
      </c>
      <c r="AF629" s="115">
        <v>5960000</v>
      </c>
      <c r="AG629" s="116"/>
      <c r="AH629" s="115">
        <v>103680</v>
      </c>
      <c r="AI629" s="115">
        <v>9.5000000000000001E-2</v>
      </c>
      <c r="AJ629" s="115">
        <v>9</v>
      </c>
      <c r="AK629" s="115">
        <v>1036.8</v>
      </c>
      <c r="AL629" s="115">
        <v>9331.2000000000007</v>
      </c>
      <c r="AM629" s="115">
        <v>85053</v>
      </c>
      <c r="AN629" s="115">
        <v>85053</v>
      </c>
      <c r="AO629" s="115">
        <v>50611</v>
      </c>
      <c r="AP629" s="1" t="s">
        <v>1816</v>
      </c>
      <c r="AQ629" s="1" t="s">
        <v>1817</v>
      </c>
      <c r="AR629" s="117">
        <v>0.33389999999999997</v>
      </c>
    </row>
    <row r="630" spans="1:44">
      <c r="A630" s="106" t="s">
        <v>948</v>
      </c>
      <c r="B630" s="106">
        <v>21</v>
      </c>
      <c r="C630" s="106">
        <v>1</v>
      </c>
      <c r="D630" s="106">
        <v>10</v>
      </c>
      <c r="E630" s="106">
        <v>1</v>
      </c>
      <c r="F630" s="106">
        <v>1</v>
      </c>
      <c r="G630" s="106" t="s">
        <v>66</v>
      </c>
      <c r="I630" s="106">
        <v>201</v>
      </c>
      <c r="K630" s="106" t="s">
        <v>1318</v>
      </c>
      <c r="L630" s="106" t="s">
        <v>1340</v>
      </c>
      <c r="M630" s="106" t="s">
        <v>1837</v>
      </c>
      <c r="V630" s="115">
        <v>7537844.1645806003</v>
      </c>
      <c r="W630" s="115">
        <v>1</v>
      </c>
      <c r="X630" s="115">
        <v>2</v>
      </c>
      <c r="Y630" s="115">
        <v>2</v>
      </c>
      <c r="Z630" s="115">
        <v>1</v>
      </c>
      <c r="AA630" s="115">
        <v>1300000</v>
      </c>
      <c r="AB630" s="115">
        <v>2500000</v>
      </c>
      <c r="AC630" s="115">
        <v>2500000</v>
      </c>
      <c r="AD630" s="115">
        <v>1300000</v>
      </c>
      <c r="AE630" s="115">
        <v>7600000</v>
      </c>
      <c r="AF630" s="115">
        <v>7600000</v>
      </c>
      <c r="AG630" s="116"/>
      <c r="AH630" s="115">
        <v>138240</v>
      </c>
      <c r="AI630" s="115">
        <v>0.11</v>
      </c>
      <c r="AJ630" s="115">
        <v>10</v>
      </c>
      <c r="AK630" s="115">
        <v>1382.4</v>
      </c>
      <c r="AL630" s="115">
        <v>13824</v>
      </c>
      <c r="AM630" s="115">
        <v>110416</v>
      </c>
      <c r="AN630" s="115">
        <v>110416</v>
      </c>
      <c r="AO630" s="115">
        <v>65687</v>
      </c>
      <c r="AP630" s="1" t="s">
        <v>1816</v>
      </c>
      <c r="AQ630" s="1" t="s">
        <v>1817</v>
      </c>
      <c r="AR630" s="117">
        <v>0.35060000000000002</v>
      </c>
    </row>
    <row r="631" spans="1:44">
      <c r="A631" s="106" t="s">
        <v>948</v>
      </c>
      <c r="B631" s="106">
        <v>22</v>
      </c>
      <c r="C631" s="106">
        <v>1</v>
      </c>
      <c r="D631" s="106">
        <v>10</v>
      </c>
      <c r="E631" s="106">
        <v>1</v>
      </c>
      <c r="F631" s="106">
        <v>1</v>
      </c>
      <c r="G631" s="106" t="s">
        <v>66</v>
      </c>
      <c r="I631" s="106">
        <v>201</v>
      </c>
      <c r="K631" s="106" t="s">
        <v>1318</v>
      </c>
      <c r="L631" s="106" t="s">
        <v>1342</v>
      </c>
      <c r="M631" s="106" t="s">
        <v>1838</v>
      </c>
      <c r="V631" s="115">
        <v>9648440.5306631699</v>
      </c>
      <c r="W631" s="115">
        <v>1</v>
      </c>
      <c r="X631" s="115">
        <v>2</v>
      </c>
      <c r="Y631" s="115">
        <v>2</v>
      </c>
      <c r="Z631" s="115">
        <v>1</v>
      </c>
      <c r="AA631" s="115">
        <v>1600000</v>
      </c>
      <c r="AB631" s="115">
        <v>3200000</v>
      </c>
      <c r="AC631" s="115">
        <v>3200000</v>
      </c>
      <c r="AD631" s="115">
        <v>1600000</v>
      </c>
      <c r="AE631" s="115">
        <v>9600000</v>
      </c>
      <c r="AF631" s="115">
        <v>9600000</v>
      </c>
      <c r="AG631" s="116"/>
      <c r="AH631" s="115">
        <v>181440</v>
      </c>
      <c r="AI631" s="115">
        <v>0.125</v>
      </c>
      <c r="AJ631" s="115">
        <v>10</v>
      </c>
      <c r="AK631" s="115">
        <v>1814.4</v>
      </c>
      <c r="AL631" s="115">
        <v>18144</v>
      </c>
      <c r="AM631" s="115">
        <v>142836</v>
      </c>
      <c r="AN631" s="115">
        <v>142836</v>
      </c>
      <c r="AO631" s="115">
        <v>84984</v>
      </c>
      <c r="AP631" s="1" t="s">
        <v>1816</v>
      </c>
      <c r="AQ631" s="1" t="s">
        <v>1817</v>
      </c>
      <c r="AR631" s="117">
        <v>0.36730000000000002</v>
      </c>
    </row>
    <row r="632" spans="1:44">
      <c r="A632" s="106" t="s">
        <v>948</v>
      </c>
      <c r="B632" s="106">
        <v>23</v>
      </c>
      <c r="C632" s="106">
        <v>1</v>
      </c>
      <c r="D632" s="106">
        <v>10</v>
      </c>
      <c r="E632" s="106">
        <v>1</v>
      </c>
      <c r="F632" s="106">
        <v>1</v>
      </c>
      <c r="G632" s="106" t="s">
        <v>66</v>
      </c>
      <c r="I632" s="106">
        <v>201</v>
      </c>
      <c r="K632" s="106" t="s">
        <v>1318</v>
      </c>
      <c r="L632" s="106" t="s">
        <v>1344</v>
      </c>
      <c r="M632" s="106" t="s">
        <v>1839</v>
      </c>
      <c r="V632" s="115">
        <v>12350003.8792489</v>
      </c>
      <c r="W632" s="115">
        <v>1</v>
      </c>
      <c r="X632" s="115">
        <v>2</v>
      </c>
      <c r="Y632" s="115">
        <v>2</v>
      </c>
      <c r="Z632" s="115">
        <v>1</v>
      </c>
      <c r="AA632" s="115">
        <v>2100000</v>
      </c>
      <c r="AB632" s="115">
        <v>4100000</v>
      </c>
      <c r="AC632" s="115">
        <v>4100000</v>
      </c>
      <c r="AD632" s="115">
        <v>2100000</v>
      </c>
      <c r="AE632" s="115">
        <v>12400000</v>
      </c>
      <c r="AF632" s="115">
        <v>12400000</v>
      </c>
      <c r="AG632" s="116"/>
      <c r="AH632" s="115">
        <v>233280</v>
      </c>
      <c r="AI632" s="115">
        <v>0.125</v>
      </c>
      <c r="AJ632" s="115">
        <v>11</v>
      </c>
      <c r="AK632" s="115">
        <v>2332.8000000000002</v>
      </c>
      <c r="AL632" s="115">
        <v>25660.799999999999</v>
      </c>
      <c r="AM632" s="115">
        <v>181399</v>
      </c>
      <c r="AN632" s="115">
        <v>181399</v>
      </c>
      <c r="AO632" s="115">
        <v>109684</v>
      </c>
      <c r="AP632" s="1" t="s">
        <v>1816</v>
      </c>
      <c r="AQ632" s="1" t="s">
        <v>1817</v>
      </c>
      <c r="AR632" s="117">
        <v>0.38400000000000001</v>
      </c>
    </row>
    <row r="633" spans="1:44">
      <c r="A633" s="106" t="s">
        <v>948</v>
      </c>
      <c r="B633" s="106">
        <v>24</v>
      </c>
      <c r="C633" s="106">
        <v>1</v>
      </c>
      <c r="D633" s="106">
        <v>10</v>
      </c>
      <c r="E633" s="106">
        <v>1</v>
      </c>
      <c r="F633" s="106">
        <v>1</v>
      </c>
      <c r="G633" s="106" t="s">
        <v>66</v>
      </c>
      <c r="I633" s="106">
        <v>201</v>
      </c>
      <c r="K633" s="106" t="s">
        <v>1318</v>
      </c>
      <c r="L633" s="106" t="s">
        <v>1346</v>
      </c>
      <c r="M633" s="106" t="s">
        <v>1840</v>
      </c>
      <c r="V633" s="115">
        <v>15808004.9654385</v>
      </c>
      <c r="W633" s="115">
        <v>1</v>
      </c>
      <c r="X633" s="115">
        <v>2</v>
      </c>
      <c r="Y633" s="115">
        <v>2</v>
      </c>
      <c r="Z633" s="115">
        <v>1</v>
      </c>
      <c r="AA633" s="115">
        <v>2600000</v>
      </c>
      <c r="AB633" s="115">
        <v>5300000</v>
      </c>
      <c r="AC633" s="115">
        <v>5300000</v>
      </c>
      <c r="AD633" s="115">
        <v>2600000</v>
      </c>
      <c r="AE633" s="115">
        <v>15800000</v>
      </c>
      <c r="AF633" s="115">
        <v>15800000</v>
      </c>
      <c r="AG633" s="116"/>
      <c r="AH633" s="115">
        <v>298080</v>
      </c>
      <c r="AI633" s="115">
        <v>0.125</v>
      </c>
      <c r="AJ633" s="115">
        <v>12</v>
      </c>
      <c r="AK633" s="115">
        <v>2980.8</v>
      </c>
      <c r="AL633" s="115">
        <v>35769.599999999999</v>
      </c>
      <c r="AM633" s="115">
        <v>228890</v>
      </c>
      <c r="AN633" s="115">
        <v>228890</v>
      </c>
      <c r="AO633" s="115">
        <v>141300</v>
      </c>
      <c r="AP633" s="1" t="s">
        <v>1816</v>
      </c>
      <c r="AQ633" s="1" t="s">
        <v>1817</v>
      </c>
      <c r="AR633" s="117">
        <v>0.4007</v>
      </c>
    </row>
    <row r="634" spans="1:44">
      <c r="A634" s="106" t="s">
        <v>948</v>
      </c>
      <c r="B634" s="106">
        <v>25</v>
      </c>
      <c r="C634" s="106">
        <v>1</v>
      </c>
      <c r="D634" s="106">
        <v>10</v>
      </c>
      <c r="E634" s="106">
        <v>1</v>
      </c>
      <c r="F634" s="106">
        <v>1</v>
      </c>
      <c r="G634" s="106" t="s">
        <v>66</v>
      </c>
      <c r="I634" s="106">
        <v>201</v>
      </c>
      <c r="K634" s="106" t="s">
        <v>1318</v>
      </c>
      <c r="L634" s="106" t="s">
        <v>1348</v>
      </c>
      <c r="M634" s="106" t="s">
        <v>1841</v>
      </c>
      <c r="V634" s="115">
        <v>20234246.355761301</v>
      </c>
      <c r="W634" s="115">
        <v>1</v>
      </c>
      <c r="X634" s="115">
        <v>2</v>
      </c>
      <c r="Y634" s="115">
        <v>2</v>
      </c>
      <c r="Z634" s="115">
        <v>1</v>
      </c>
      <c r="AA634" s="115">
        <v>3400000</v>
      </c>
      <c r="AB634" s="115">
        <v>6700000</v>
      </c>
      <c r="AC634" s="115">
        <v>6700000</v>
      </c>
      <c r="AD634" s="115">
        <v>3400000</v>
      </c>
      <c r="AE634" s="115">
        <v>20200000</v>
      </c>
      <c r="AF634" s="115">
        <v>20200000</v>
      </c>
      <c r="AG634" s="116"/>
      <c r="AH634" s="115">
        <v>375840</v>
      </c>
      <c r="AI634" s="115">
        <v>0.125</v>
      </c>
      <c r="AJ634" s="115">
        <v>13</v>
      </c>
      <c r="AK634" s="115">
        <v>3758.4</v>
      </c>
      <c r="AL634" s="115">
        <v>48859.199999999997</v>
      </c>
      <c r="AM634" s="115">
        <v>284920</v>
      </c>
      <c r="AN634" s="115">
        <v>284920</v>
      </c>
      <c r="AO634" s="115">
        <v>181768</v>
      </c>
      <c r="AP634" s="1" t="s">
        <v>1816</v>
      </c>
      <c r="AQ634" s="1" t="s">
        <v>1817</v>
      </c>
      <c r="AR634" s="117">
        <v>0.41739999999999999</v>
      </c>
    </row>
    <row r="635" spans="1:44">
      <c r="A635" s="106" t="s">
        <v>948</v>
      </c>
      <c r="B635" s="106">
        <v>26</v>
      </c>
      <c r="C635" s="106">
        <v>1</v>
      </c>
      <c r="D635" s="106">
        <v>10</v>
      </c>
      <c r="E635" s="106">
        <v>1</v>
      </c>
      <c r="F635" s="106">
        <v>1</v>
      </c>
      <c r="G635" s="106" t="s">
        <v>66</v>
      </c>
      <c r="I635" s="106">
        <v>201</v>
      </c>
      <c r="K635" s="106" t="s">
        <v>1318</v>
      </c>
      <c r="L635" s="106" t="s">
        <v>1350</v>
      </c>
      <c r="M635" s="106" t="s">
        <v>1842</v>
      </c>
      <c r="V635" s="115">
        <v>25899835.335374501</v>
      </c>
      <c r="W635" s="115">
        <v>1</v>
      </c>
      <c r="X635" s="115">
        <v>2</v>
      </c>
      <c r="Y635" s="115">
        <v>2</v>
      </c>
      <c r="Z635" s="115">
        <v>1</v>
      </c>
      <c r="AA635" s="115">
        <v>4300000</v>
      </c>
      <c r="AB635" s="115">
        <v>8600000</v>
      </c>
      <c r="AC635" s="115">
        <v>8600000</v>
      </c>
      <c r="AD635" s="115">
        <v>4300000</v>
      </c>
      <c r="AE635" s="115">
        <v>25800000</v>
      </c>
      <c r="AF635" s="115">
        <v>25800000</v>
      </c>
      <c r="AG635" s="116"/>
      <c r="AH635" s="115">
        <v>466560</v>
      </c>
      <c r="AI635" s="115">
        <v>0.14499999999999999</v>
      </c>
      <c r="AJ635" s="115">
        <v>14</v>
      </c>
      <c r="AK635" s="115">
        <v>4665.6000000000004</v>
      </c>
      <c r="AL635" s="115">
        <v>65318.400000000001</v>
      </c>
      <c r="AM635" s="115">
        <v>341857</v>
      </c>
      <c r="AN635" s="115">
        <v>341857</v>
      </c>
      <c r="AO635" s="115">
        <v>233568</v>
      </c>
      <c r="AP635" s="1" t="s">
        <v>1816</v>
      </c>
      <c r="AQ635" s="1" t="s">
        <v>1817</v>
      </c>
      <c r="AR635" s="117">
        <v>0.43409999999999999</v>
      </c>
    </row>
    <row r="636" spans="1:44">
      <c r="A636" s="106" t="s">
        <v>948</v>
      </c>
      <c r="B636" s="106">
        <v>27</v>
      </c>
      <c r="C636" s="106">
        <v>1</v>
      </c>
      <c r="D636" s="106">
        <v>10</v>
      </c>
      <c r="E636" s="106">
        <v>1</v>
      </c>
      <c r="F636" s="106">
        <v>1</v>
      </c>
      <c r="G636" s="106" t="s">
        <v>66</v>
      </c>
      <c r="I636" s="106">
        <v>201</v>
      </c>
      <c r="K636" s="106" t="s">
        <v>1318</v>
      </c>
      <c r="L636" s="106" t="s">
        <v>1352</v>
      </c>
      <c r="M636" s="106" t="s">
        <v>1843</v>
      </c>
      <c r="V636" s="115">
        <v>33151789.229279399</v>
      </c>
      <c r="W636" s="115">
        <v>1</v>
      </c>
      <c r="X636" s="115">
        <v>2</v>
      </c>
      <c r="Y636" s="115">
        <v>2</v>
      </c>
      <c r="Z636" s="115">
        <v>1</v>
      </c>
      <c r="AA636" s="115">
        <v>5500000</v>
      </c>
      <c r="AB636" s="115">
        <v>11000000</v>
      </c>
      <c r="AC636" s="115">
        <v>11000000</v>
      </c>
      <c r="AD636" s="115">
        <v>5500000</v>
      </c>
      <c r="AE636" s="115">
        <v>33000000</v>
      </c>
      <c r="AF636" s="115">
        <v>33000000</v>
      </c>
      <c r="AG636" s="116"/>
      <c r="AH636" s="115">
        <v>570240</v>
      </c>
      <c r="AI636" s="115">
        <v>0.16500000000000001</v>
      </c>
      <c r="AJ636" s="115">
        <v>15</v>
      </c>
      <c r="AK636" s="115">
        <v>5702.4</v>
      </c>
      <c r="AL636" s="115">
        <v>85536</v>
      </c>
      <c r="AM636" s="115">
        <v>403640</v>
      </c>
      <c r="AN636" s="115">
        <v>403640</v>
      </c>
      <c r="AO636" s="115">
        <v>299871</v>
      </c>
      <c r="AP636" s="1" t="s">
        <v>1816</v>
      </c>
      <c r="AQ636" s="1" t="s">
        <v>1817</v>
      </c>
      <c r="AR636" s="117">
        <v>0.45079999999999998</v>
      </c>
    </row>
    <row r="637" spans="1:44">
      <c r="A637" s="106" t="s">
        <v>948</v>
      </c>
      <c r="B637" s="106">
        <v>28</v>
      </c>
      <c r="C637" s="106">
        <v>1</v>
      </c>
      <c r="D637" s="106">
        <v>10</v>
      </c>
      <c r="E637" s="106">
        <v>1</v>
      </c>
      <c r="F637" s="106">
        <v>1</v>
      </c>
      <c r="G637" s="106" t="s">
        <v>66</v>
      </c>
      <c r="I637" s="106">
        <v>201</v>
      </c>
      <c r="K637" s="106" t="s">
        <v>1318</v>
      </c>
      <c r="L637" s="106" t="s">
        <v>1354</v>
      </c>
      <c r="M637" s="106" t="s">
        <v>1844</v>
      </c>
      <c r="V637" s="115">
        <v>42434290.213477597</v>
      </c>
      <c r="W637" s="115">
        <v>1</v>
      </c>
      <c r="X637" s="115">
        <v>2</v>
      </c>
      <c r="Y637" s="115">
        <v>2</v>
      </c>
      <c r="Z637" s="115">
        <v>1</v>
      </c>
      <c r="AA637" s="115">
        <v>7100000</v>
      </c>
      <c r="AB637" s="115">
        <v>14000000</v>
      </c>
      <c r="AC637" s="115">
        <v>14000000</v>
      </c>
      <c r="AD637" s="115">
        <v>7100000</v>
      </c>
      <c r="AE637" s="115">
        <v>42200000</v>
      </c>
      <c r="AF637" s="115">
        <v>42200000</v>
      </c>
      <c r="AG637" s="116"/>
      <c r="AH637" s="115">
        <v>699840</v>
      </c>
      <c r="AI637" s="115">
        <v>0.185</v>
      </c>
      <c r="AJ637" s="115">
        <v>16</v>
      </c>
      <c r="AK637" s="115">
        <v>6998.4</v>
      </c>
      <c r="AL637" s="115">
        <v>111974.39999999999</v>
      </c>
      <c r="AM637" s="115">
        <v>478307</v>
      </c>
      <c r="AN637" s="115">
        <v>478307</v>
      </c>
      <c r="AO637" s="115">
        <v>384740</v>
      </c>
      <c r="AP637" s="1" t="s">
        <v>1816</v>
      </c>
      <c r="AQ637" s="1" t="s">
        <v>1817</v>
      </c>
      <c r="AR637" s="117">
        <v>0.46750000000000003</v>
      </c>
    </row>
    <row r="638" spans="1:44">
      <c r="A638" s="106" t="s">
        <v>948</v>
      </c>
      <c r="B638" s="106">
        <v>29</v>
      </c>
      <c r="C638" s="106">
        <v>1</v>
      </c>
      <c r="D638" s="106">
        <v>10</v>
      </c>
      <c r="E638" s="106">
        <v>1</v>
      </c>
      <c r="F638" s="106">
        <v>1</v>
      </c>
      <c r="G638" s="106" t="s">
        <v>66</v>
      </c>
      <c r="I638" s="106">
        <v>201</v>
      </c>
      <c r="K638" s="106" t="s">
        <v>1318</v>
      </c>
      <c r="L638" s="106" t="s">
        <v>1356</v>
      </c>
      <c r="M638" s="106" t="s">
        <v>1845</v>
      </c>
      <c r="V638" s="115">
        <v>54315891.473251298</v>
      </c>
      <c r="W638" s="115">
        <v>1</v>
      </c>
      <c r="X638" s="115">
        <v>2</v>
      </c>
      <c r="Y638" s="115">
        <v>2</v>
      </c>
      <c r="Z638" s="115">
        <v>1</v>
      </c>
      <c r="AA638" s="115">
        <v>9100000</v>
      </c>
      <c r="AB638" s="115">
        <v>18000000</v>
      </c>
      <c r="AC638" s="115">
        <v>18000000</v>
      </c>
      <c r="AD638" s="115">
        <v>9100000</v>
      </c>
      <c r="AE638" s="115">
        <v>54200000</v>
      </c>
      <c r="AF638" s="115">
        <v>54200000</v>
      </c>
      <c r="AG638" s="116"/>
      <c r="AH638" s="115">
        <v>855360</v>
      </c>
      <c r="AI638" s="115">
        <v>0.20499999999999999</v>
      </c>
      <c r="AJ638" s="115">
        <v>17</v>
      </c>
      <c r="AK638" s="115">
        <v>8553.6</v>
      </c>
      <c r="AL638" s="115">
        <v>145411.20000000001</v>
      </c>
      <c r="AM638" s="115">
        <v>564131</v>
      </c>
      <c r="AN638" s="115">
        <v>564131</v>
      </c>
      <c r="AO638" s="115">
        <v>493372</v>
      </c>
      <c r="AP638" s="1" t="s">
        <v>1816</v>
      </c>
      <c r="AQ638" s="1" t="s">
        <v>1817</v>
      </c>
      <c r="AR638" s="117">
        <v>0.48420000000000002</v>
      </c>
    </row>
    <row r="639" spans="1:44">
      <c r="A639" s="106" t="s">
        <v>948</v>
      </c>
      <c r="B639" s="106">
        <v>30</v>
      </c>
      <c r="C639" s="106">
        <v>1</v>
      </c>
      <c r="D639" s="106">
        <v>10</v>
      </c>
      <c r="E639" s="106">
        <v>1</v>
      </c>
      <c r="F639" s="106">
        <v>1</v>
      </c>
      <c r="G639" s="106" t="s">
        <v>66</v>
      </c>
      <c r="I639" s="106">
        <v>201</v>
      </c>
      <c r="K639" s="106" t="s">
        <v>1318</v>
      </c>
      <c r="L639" s="106" t="s">
        <v>1358</v>
      </c>
      <c r="M639" s="106" t="s">
        <v>1846</v>
      </c>
      <c r="V639" s="115">
        <v>69524341.085761696</v>
      </c>
      <c r="W639" s="115">
        <v>1</v>
      </c>
      <c r="X639" s="115">
        <v>2</v>
      </c>
      <c r="Y639" s="115">
        <v>2</v>
      </c>
      <c r="Z639" s="115">
        <v>1</v>
      </c>
      <c r="AA639" s="115">
        <v>12000000</v>
      </c>
      <c r="AB639" s="115">
        <v>23000000</v>
      </c>
      <c r="AC639" s="115">
        <v>23000000</v>
      </c>
      <c r="AD639" s="115">
        <v>12000000</v>
      </c>
      <c r="AE639" s="115">
        <v>70000000</v>
      </c>
      <c r="AF639" s="115">
        <v>70000000</v>
      </c>
      <c r="AG639" s="116"/>
      <c r="AH639" s="115">
        <v>1036800</v>
      </c>
      <c r="AI639" s="115">
        <v>0.22500000000000001</v>
      </c>
      <c r="AJ639" s="115">
        <v>18</v>
      </c>
      <c r="AK639" s="115">
        <v>10368</v>
      </c>
      <c r="AL639" s="115">
        <v>186624</v>
      </c>
      <c r="AM639" s="115">
        <v>659443</v>
      </c>
      <c r="AN639" s="115">
        <v>659443</v>
      </c>
      <c r="AO639" s="115">
        <v>632420</v>
      </c>
      <c r="AP639" s="1" t="s">
        <v>1816</v>
      </c>
      <c r="AQ639" s="1" t="s">
        <v>1817</v>
      </c>
      <c r="AR639" s="117">
        <v>0.50090000000000001</v>
      </c>
    </row>
  </sheetData>
  <phoneticPr fontId="2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303"/>
  <sheetViews>
    <sheetView workbookViewId="0">
      <pane ySplit="3" topLeftCell="A548" activePane="bottomLeft" state="frozen"/>
      <selection pane="bottomLeft" activeCell="Q580" sqref="Q580"/>
    </sheetView>
  </sheetViews>
  <sheetFormatPr defaultColWidth="9" defaultRowHeight="14"/>
  <cols>
    <col min="1" max="1" width="9" customWidth="1"/>
    <col min="2" max="2" width="13" customWidth="1"/>
    <col min="3" max="3" width="10.58203125" customWidth="1"/>
    <col min="4" max="4" width="21.33203125" customWidth="1"/>
    <col min="5" max="5" width="13" customWidth="1"/>
    <col min="6" max="6" width="17.33203125" customWidth="1"/>
    <col min="7" max="14" width="13" customWidth="1"/>
  </cols>
  <sheetData>
    <row r="1" spans="1:14" ht="15" customHeight="1">
      <c r="A1" s="44" t="s">
        <v>1847</v>
      </c>
    </row>
    <row r="2" spans="1:14" ht="16.5">
      <c r="A2" s="48" t="s">
        <v>690</v>
      </c>
      <c r="B2" s="45" t="s">
        <v>691</v>
      </c>
      <c r="C2" s="45" t="s">
        <v>692</v>
      </c>
      <c r="D2" s="45" t="s">
        <v>1848</v>
      </c>
      <c r="E2" s="45" t="s">
        <v>1849</v>
      </c>
      <c r="F2" s="45" t="s">
        <v>693</v>
      </c>
      <c r="G2" s="45" t="s">
        <v>694</v>
      </c>
      <c r="H2" s="45" t="s">
        <v>695</v>
      </c>
      <c r="I2" s="45" t="s">
        <v>696</v>
      </c>
      <c r="J2" s="45" t="s">
        <v>697</v>
      </c>
      <c r="K2" s="45" t="s">
        <v>698</v>
      </c>
      <c r="L2" s="45" t="s">
        <v>699</v>
      </c>
      <c r="M2" s="45" t="s">
        <v>700</v>
      </c>
      <c r="N2" s="45" t="s">
        <v>701</v>
      </c>
    </row>
    <row r="3" spans="1:14" ht="16.5">
      <c r="A3" s="88" t="s">
        <v>702</v>
      </c>
      <c r="B3" s="89" t="s">
        <v>703</v>
      </c>
      <c r="C3" s="89"/>
      <c r="D3" s="89" t="s">
        <v>1850</v>
      </c>
      <c r="E3" s="89" t="s">
        <v>1851</v>
      </c>
      <c r="F3" s="89" t="s">
        <v>704</v>
      </c>
      <c r="G3" s="89" t="s">
        <v>705</v>
      </c>
      <c r="H3" s="89" t="s">
        <v>706</v>
      </c>
      <c r="I3" s="89" t="s">
        <v>707</v>
      </c>
      <c r="J3" s="89" t="s">
        <v>708</v>
      </c>
      <c r="K3" s="89" t="s">
        <v>709</v>
      </c>
      <c r="L3" s="89" t="s">
        <v>710</v>
      </c>
      <c r="M3" s="89" t="s">
        <v>711</v>
      </c>
      <c r="N3" s="89" t="s">
        <v>712</v>
      </c>
    </row>
    <row r="4" spans="1:14" ht="16.5">
      <c r="A4" s="90">
        <v>1</v>
      </c>
      <c r="B4" s="47">
        <v>202</v>
      </c>
      <c r="C4" s="50" t="s">
        <v>154</v>
      </c>
      <c r="D4" s="50" t="s">
        <v>1852</v>
      </c>
      <c r="E4" s="50" t="s">
        <v>1853</v>
      </c>
      <c r="F4" s="90" t="s">
        <v>1854</v>
      </c>
      <c r="G4" s="90" t="s">
        <v>1674</v>
      </c>
      <c r="H4" s="90" t="s">
        <v>1247</v>
      </c>
      <c r="I4" s="90" t="s">
        <v>1855</v>
      </c>
      <c r="J4" s="90" t="s">
        <v>1856</v>
      </c>
      <c r="K4" s="90" t="s">
        <v>1857</v>
      </c>
      <c r="L4" s="90" t="s">
        <v>1858</v>
      </c>
      <c r="M4" s="95" t="s">
        <v>1679</v>
      </c>
      <c r="N4" s="90" t="s">
        <v>1859</v>
      </c>
    </row>
    <row r="5" spans="1:14" ht="16.5">
      <c r="A5" s="90">
        <v>2</v>
      </c>
      <c r="B5" s="91">
        <v>203</v>
      </c>
      <c r="C5" s="90" t="s">
        <v>202</v>
      </c>
      <c r="D5" s="50" t="s">
        <v>1852</v>
      </c>
      <c r="E5" s="50" t="s">
        <v>1853</v>
      </c>
      <c r="F5" s="90" t="s">
        <v>1860</v>
      </c>
      <c r="G5" s="90" t="s">
        <v>1682</v>
      </c>
      <c r="H5" s="90" t="s">
        <v>1247</v>
      </c>
      <c r="I5" s="90" t="s">
        <v>1861</v>
      </c>
      <c r="J5" s="90" t="s">
        <v>1862</v>
      </c>
      <c r="K5" s="90" t="s">
        <v>1863</v>
      </c>
      <c r="L5" s="90" t="s">
        <v>1864</v>
      </c>
      <c r="M5" s="95" t="s">
        <v>1679</v>
      </c>
      <c r="N5" s="90" t="s">
        <v>1680</v>
      </c>
    </row>
    <row r="6" spans="1:14" ht="16.5">
      <c r="A6" s="90">
        <v>3</v>
      </c>
      <c r="B6" s="47">
        <v>204</v>
      </c>
      <c r="C6" s="50" t="s">
        <v>226</v>
      </c>
      <c r="D6" s="50" t="s">
        <v>1852</v>
      </c>
      <c r="E6" s="50" t="s">
        <v>1853</v>
      </c>
      <c r="F6" s="90" t="s">
        <v>1854</v>
      </c>
      <c r="G6" s="90" t="s">
        <v>1674</v>
      </c>
      <c r="H6" s="90" t="s">
        <v>1247</v>
      </c>
      <c r="I6" s="90" t="s">
        <v>1855</v>
      </c>
      <c r="J6" s="90" t="s">
        <v>1856</v>
      </c>
      <c r="K6" s="90" t="s">
        <v>1857</v>
      </c>
      <c r="L6" s="90" t="s">
        <v>1858</v>
      </c>
      <c r="M6" s="95" t="s">
        <v>1679</v>
      </c>
      <c r="N6" s="90" t="s">
        <v>1680</v>
      </c>
    </row>
    <row r="7" spans="1:14" ht="16.5">
      <c r="A7" s="90">
        <v>4</v>
      </c>
      <c r="B7" s="47">
        <v>205</v>
      </c>
      <c r="C7" s="50" t="s">
        <v>249</v>
      </c>
      <c r="D7" s="50" t="s">
        <v>1852</v>
      </c>
      <c r="E7" s="50" t="s">
        <v>1853</v>
      </c>
      <c r="F7" s="90" t="s">
        <v>1854</v>
      </c>
      <c r="G7" s="90" t="s">
        <v>1674</v>
      </c>
      <c r="H7" s="90" t="s">
        <v>1247</v>
      </c>
      <c r="I7" s="90" t="s">
        <v>1855</v>
      </c>
      <c r="J7" s="90" t="s">
        <v>1856</v>
      </c>
      <c r="K7" s="90" t="s">
        <v>1857</v>
      </c>
      <c r="L7" s="90" t="s">
        <v>1858</v>
      </c>
      <c r="M7" s="95" t="s">
        <v>1679</v>
      </c>
      <c r="N7" s="90" t="s">
        <v>1859</v>
      </c>
    </row>
    <row r="8" spans="1:14" ht="16.5">
      <c r="A8" s="90">
        <v>5</v>
      </c>
      <c r="B8" s="47">
        <v>207</v>
      </c>
      <c r="C8" s="50" t="s">
        <v>595</v>
      </c>
      <c r="D8" s="50" t="s">
        <v>1852</v>
      </c>
      <c r="E8" s="50" t="s">
        <v>1853</v>
      </c>
      <c r="F8" s="90">
        <v>50</v>
      </c>
      <c r="G8" s="90">
        <v>30</v>
      </c>
      <c r="H8" s="90">
        <v>10</v>
      </c>
      <c r="I8" s="90">
        <v>30</v>
      </c>
      <c r="J8" s="90">
        <v>40</v>
      </c>
      <c r="K8" s="90">
        <v>60</v>
      </c>
      <c r="L8" s="90">
        <v>65</v>
      </c>
      <c r="M8" s="95">
        <v>1</v>
      </c>
      <c r="N8" s="90">
        <v>3</v>
      </c>
    </row>
    <row r="9" spans="1:14" ht="16.5">
      <c r="A9" s="90">
        <v>6</v>
      </c>
      <c r="B9" s="47">
        <v>208</v>
      </c>
      <c r="C9" s="50" t="s">
        <v>589</v>
      </c>
      <c r="D9" s="50" t="s">
        <v>1852</v>
      </c>
      <c r="E9" s="50" t="s">
        <v>1853</v>
      </c>
      <c r="F9" s="90">
        <v>53</v>
      </c>
      <c r="G9" s="90">
        <v>50</v>
      </c>
      <c r="H9" s="90">
        <v>1</v>
      </c>
      <c r="I9" s="90">
        <v>20</v>
      </c>
      <c r="J9" s="90">
        <v>35</v>
      </c>
      <c r="K9" s="90">
        <v>63</v>
      </c>
      <c r="L9" s="90">
        <v>68</v>
      </c>
      <c r="M9" s="95">
        <v>1</v>
      </c>
      <c r="N9" s="90">
        <v>8</v>
      </c>
    </row>
    <row r="10" spans="1:14" ht="16.5">
      <c r="A10" s="90">
        <v>7</v>
      </c>
      <c r="B10" s="47">
        <v>215</v>
      </c>
      <c r="C10" s="50" t="s">
        <v>418</v>
      </c>
      <c r="D10" s="50" t="s">
        <v>1852</v>
      </c>
      <c r="E10" s="50" t="s">
        <v>1853</v>
      </c>
      <c r="F10" s="90" t="s">
        <v>1865</v>
      </c>
      <c r="G10" s="90" t="s">
        <v>1682</v>
      </c>
      <c r="H10" s="90" t="s">
        <v>1247</v>
      </c>
      <c r="I10" s="90" t="s">
        <v>1866</v>
      </c>
      <c r="J10" s="90" t="s">
        <v>1867</v>
      </c>
      <c r="K10" s="90" t="s">
        <v>1868</v>
      </c>
      <c r="L10" s="90" t="s">
        <v>1869</v>
      </c>
      <c r="M10" s="95" t="s">
        <v>1679</v>
      </c>
      <c r="N10" s="90" t="s">
        <v>1870</v>
      </c>
    </row>
    <row r="11" spans="1:14" ht="16.5">
      <c r="A11" s="90">
        <v>8</v>
      </c>
      <c r="B11" s="47">
        <v>222</v>
      </c>
      <c r="C11" s="50" t="s">
        <v>442</v>
      </c>
      <c r="D11" s="50" t="s">
        <v>1852</v>
      </c>
      <c r="E11" s="50" t="s">
        <v>1853</v>
      </c>
      <c r="F11" s="90" t="s">
        <v>1854</v>
      </c>
      <c r="G11" s="90" t="s">
        <v>1871</v>
      </c>
      <c r="H11" s="90" t="s">
        <v>1247</v>
      </c>
      <c r="I11" s="90" t="s">
        <v>1855</v>
      </c>
      <c r="J11" s="90" t="s">
        <v>1856</v>
      </c>
      <c r="K11" s="90" t="s">
        <v>1857</v>
      </c>
      <c r="L11" s="90" t="s">
        <v>1858</v>
      </c>
      <c r="M11" s="95" t="s">
        <v>1679</v>
      </c>
      <c r="N11" s="90" t="s">
        <v>1859</v>
      </c>
    </row>
    <row r="12" spans="1:14" ht="16.5">
      <c r="A12" s="90">
        <v>9</v>
      </c>
      <c r="B12" s="47">
        <v>223</v>
      </c>
      <c r="C12" s="50" t="s">
        <v>918</v>
      </c>
      <c r="D12" s="50" t="s">
        <v>1852</v>
      </c>
      <c r="E12" s="50" t="s">
        <v>1853</v>
      </c>
      <c r="F12" s="90">
        <v>28</v>
      </c>
      <c r="G12" s="90">
        <v>30</v>
      </c>
      <c r="H12" s="90">
        <v>10</v>
      </c>
      <c r="I12" s="90">
        <v>17</v>
      </c>
      <c r="J12" s="90">
        <v>22</v>
      </c>
      <c r="K12" s="90">
        <v>33</v>
      </c>
      <c r="L12" s="90">
        <v>38</v>
      </c>
      <c r="M12" s="95">
        <v>1</v>
      </c>
      <c r="N12" s="90">
        <v>2</v>
      </c>
    </row>
    <row r="13" spans="1:14" ht="16.5">
      <c r="A13" s="90">
        <v>10</v>
      </c>
      <c r="B13" s="47">
        <v>226</v>
      </c>
      <c r="C13" s="92" t="s">
        <v>469</v>
      </c>
      <c r="D13" s="50" t="s">
        <v>1852</v>
      </c>
      <c r="E13" s="50" t="s">
        <v>1853</v>
      </c>
      <c r="F13" s="90" t="s">
        <v>1872</v>
      </c>
      <c r="G13" s="90" t="s">
        <v>1682</v>
      </c>
      <c r="H13" s="90" t="s">
        <v>1247</v>
      </c>
      <c r="I13" s="90" t="s">
        <v>1873</v>
      </c>
      <c r="J13" s="90" t="s">
        <v>1874</v>
      </c>
      <c r="K13" s="90" t="s">
        <v>1875</v>
      </c>
      <c r="L13" s="90" t="s">
        <v>1876</v>
      </c>
      <c r="M13" s="95" t="s">
        <v>1679</v>
      </c>
      <c r="N13" s="90" t="s">
        <v>1877</v>
      </c>
    </row>
    <row r="14" spans="1:14" ht="16.5">
      <c r="A14" s="90">
        <v>11</v>
      </c>
      <c r="B14" s="91">
        <v>227</v>
      </c>
      <c r="C14" s="93" t="s">
        <v>493</v>
      </c>
      <c r="D14" s="50" t="s">
        <v>1852</v>
      </c>
      <c r="E14" s="50" t="s">
        <v>1853</v>
      </c>
      <c r="F14" s="90" t="s">
        <v>1872</v>
      </c>
      <c r="G14" s="90" t="s">
        <v>1682</v>
      </c>
      <c r="H14" s="90" t="s">
        <v>1247</v>
      </c>
      <c r="I14" s="90" t="s">
        <v>1873</v>
      </c>
      <c r="J14" s="90" t="s">
        <v>1874</v>
      </c>
      <c r="K14" s="90" t="s">
        <v>1875</v>
      </c>
      <c r="L14" s="90" t="s">
        <v>1876</v>
      </c>
      <c r="M14" s="95" t="s">
        <v>1679</v>
      </c>
      <c r="N14" s="90" t="s">
        <v>1870</v>
      </c>
    </row>
    <row r="15" spans="1:14" ht="16.5">
      <c r="A15" s="90">
        <v>12</v>
      </c>
      <c r="B15" s="47">
        <v>234</v>
      </c>
      <c r="C15" s="50" t="s">
        <v>1878</v>
      </c>
      <c r="D15" s="50" t="s">
        <v>1852</v>
      </c>
      <c r="E15" s="50" t="s">
        <v>1853</v>
      </c>
      <c r="F15" s="90" t="s">
        <v>1854</v>
      </c>
      <c r="G15" s="90" t="s">
        <v>1674</v>
      </c>
      <c r="H15" s="90" t="s">
        <v>1247</v>
      </c>
      <c r="I15" s="90" t="s">
        <v>1855</v>
      </c>
      <c r="J15" s="90" t="s">
        <v>1856</v>
      </c>
      <c r="K15" s="90" t="s">
        <v>1857</v>
      </c>
      <c r="L15" s="90" t="s">
        <v>1858</v>
      </c>
      <c r="M15" s="95" t="s">
        <v>1679</v>
      </c>
      <c r="N15" s="90" t="s">
        <v>1859</v>
      </c>
    </row>
    <row r="16" spans="1:14" ht="16.5">
      <c r="A16" s="90">
        <v>13</v>
      </c>
      <c r="B16" s="47">
        <v>235</v>
      </c>
      <c r="C16" s="50" t="s">
        <v>601</v>
      </c>
      <c r="D16" s="50" t="s">
        <v>1852</v>
      </c>
      <c r="E16" s="50" t="s">
        <v>1853</v>
      </c>
      <c r="F16" s="90">
        <v>50</v>
      </c>
      <c r="G16" s="90">
        <v>30</v>
      </c>
      <c r="H16" s="90">
        <v>10</v>
      </c>
      <c r="I16" s="90">
        <v>30</v>
      </c>
      <c r="J16" s="90">
        <v>40</v>
      </c>
      <c r="K16" s="90">
        <v>60</v>
      </c>
      <c r="L16" s="90">
        <v>65</v>
      </c>
      <c r="M16" s="95">
        <v>1</v>
      </c>
      <c r="N16" s="90">
        <v>3</v>
      </c>
    </row>
    <row r="17" spans="1:14" ht="16.5">
      <c r="A17" s="90">
        <v>14</v>
      </c>
      <c r="B17" s="47">
        <v>236</v>
      </c>
      <c r="C17" s="50" t="s">
        <v>1688</v>
      </c>
      <c r="D17" s="50" t="s">
        <v>1852</v>
      </c>
      <c r="E17" s="50" t="s">
        <v>1853</v>
      </c>
      <c r="F17" s="90">
        <v>50</v>
      </c>
      <c r="G17" s="90">
        <v>30</v>
      </c>
      <c r="H17" s="90">
        <v>10</v>
      </c>
      <c r="I17" s="90">
        <v>30</v>
      </c>
      <c r="J17" s="90">
        <v>40</v>
      </c>
      <c r="K17" s="90">
        <v>60</v>
      </c>
      <c r="L17" s="90">
        <v>65</v>
      </c>
      <c r="M17" s="95">
        <v>1</v>
      </c>
      <c r="N17" s="90">
        <v>3</v>
      </c>
    </row>
    <row r="18" spans="1:14" ht="16.5">
      <c r="A18" s="90">
        <v>15</v>
      </c>
      <c r="B18" s="91">
        <v>201</v>
      </c>
      <c r="C18" s="90" t="s">
        <v>66</v>
      </c>
      <c r="D18" s="50" t="s">
        <v>1852</v>
      </c>
      <c r="E18" s="50" t="s">
        <v>1853</v>
      </c>
      <c r="F18" s="90" t="s">
        <v>1872</v>
      </c>
      <c r="G18" s="90" t="s">
        <v>1682</v>
      </c>
      <c r="H18" s="90" t="s">
        <v>1247</v>
      </c>
      <c r="I18" s="90" t="s">
        <v>1879</v>
      </c>
      <c r="J18" s="90" t="s">
        <v>1880</v>
      </c>
      <c r="K18" s="90" t="s">
        <v>1875</v>
      </c>
      <c r="L18" s="90" t="s">
        <v>1876</v>
      </c>
      <c r="M18" s="95" t="s">
        <v>1679</v>
      </c>
      <c r="N18" s="90" t="s">
        <v>1680</v>
      </c>
    </row>
    <row r="19" spans="1:14" ht="16.5">
      <c r="A19" s="90">
        <v>16</v>
      </c>
      <c r="B19" s="91">
        <v>206</v>
      </c>
      <c r="C19" s="90" t="s">
        <v>293</v>
      </c>
      <c r="D19" s="50" t="s">
        <v>1852</v>
      </c>
      <c r="E19" s="50" t="s">
        <v>1853</v>
      </c>
      <c r="F19" s="90" t="s">
        <v>1860</v>
      </c>
      <c r="G19" s="90" t="s">
        <v>1682</v>
      </c>
      <c r="H19" s="90" t="s">
        <v>1247</v>
      </c>
      <c r="I19" s="90" t="s">
        <v>1861</v>
      </c>
      <c r="J19" s="90" t="s">
        <v>1862</v>
      </c>
      <c r="K19" s="90" t="s">
        <v>1863</v>
      </c>
      <c r="L19" s="90" t="s">
        <v>1864</v>
      </c>
      <c r="M19" s="95" t="s">
        <v>1679</v>
      </c>
      <c r="N19" s="90" t="s">
        <v>1680</v>
      </c>
    </row>
    <row r="20" spans="1:14" ht="16.5">
      <c r="A20" s="90">
        <v>17</v>
      </c>
      <c r="B20" s="47">
        <v>209</v>
      </c>
      <c r="C20" s="50" t="s">
        <v>344</v>
      </c>
      <c r="D20" s="50" t="s">
        <v>1852</v>
      </c>
      <c r="E20" s="50" t="s">
        <v>1853</v>
      </c>
      <c r="F20" s="90" t="s">
        <v>1860</v>
      </c>
      <c r="G20" s="90" t="s">
        <v>1682</v>
      </c>
      <c r="H20" s="90" t="s">
        <v>1247</v>
      </c>
      <c r="I20" s="90" t="s">
        <v>1861</v>
      </c>
      <c r="J20" s="90" t="s">
        <v>1862</v>
      </c>
      <c r="K20" s="90" t="s">
        <v>1863</v>
      </c>
      <c r="L20" s="90" t="s">
        <v>1864</v>
      </c>
      <c r="M20" s="95" t="s">
        <v>1679</v>
      </c>
      <c r="N20" s="90" t="s">
        <v>1680</v>
      </c>
    </row>
    <row r="21" spans="1:14" ht="16.5">
      <c r="A21" s="90">
        <v>18</v>
      </c>
      <c r="B21" s="47">
        <v>230</v>
      </c>
      <c r="C21" s="50" t="s">
        <v>539</v>
      </c>
      <c r="D21" s="50" t="s">
        <v>1852</v>
      </c>
      <c r="E21" s="50" t="s">
        <v>1853</v>
      </c>
      <c r="F21" s="90" t="s">
        <v>1881</v>
      </c>
      <c r="G21" s="90" t="s">
        <v>1682</v>
      </c>
      <c r="H21" s="90" t="s">
        <v>1247</v>
      </c>
      <c r="I21" s="90" t="s">
        <v>1683</v>
      </c>
      <c r="J21" s="90" t="s">
        <v>1684</v>
      </c>
      <c r="K21" s="90" t="s">
        <v>1882</v>
      </c>
      <c r="L21" s="90" t="s">
        <v>1883</v>
      </c>
      <c r="M21" s="95" t="s">
        <v>1679</v>
      </c>
      <c r="N21" s="90" t="s">
        <v>1884</v>
      </c>
    </row>
    <row r="22" spans="1:14" ht="16.5">
      <c r="A22" s="90">
        <v>19</v>
      </c>
      <c r="B22" s="91">
        <v>232</v>
      </c>
      <c r="C22" s="90" t="s">
        <v>319</v>
      </c>
      <c r="D22" s="50" t="s">
        <v>1852</v>
      </c>
      <c r="E22" s="50" t="s">
        <v>1853</v>
      </c>
      <c r="F22" s="90" t="s">
        <v>1860</v>
      </c>
      <c r="G22" s="90" t="s">
        <v>1682</v>
      </c>
      <c r="H22" s="90" t="s">
        <v>1247</v>
      </c>
      <c r="I22" s="90" t="s">
        <v>1861</v>
      </c>
      <c r="J22" s="90" t="s">
        <v>1862</v>
      </c>
      <c r="K22" s="90" t="s">
        <v>1863</v>
      </c>
      <c r="L22" s="90" t="s">
        <v>1864</v>
      </c>
      <c r="M22" s="95" t="s">
        <v>1679</v>
      </c>
      <c r="N22" s="90" t="s">
        <v>1680</v>
      </c>
    </row>
    <row r="23" spans="1:14" ht="16.5">
      <c r="A23" s="90">
        <v>20</v>
      </c>
      <c r="B23" s="47">
        <v>233</v>
      </c>
      <c r="C23" s="50" t="s">
        <v>593</v>
      </c>
      <c r="D23" s="50" t="s">
        <v>1852</v>
      </c>
      <c r="E23" s="50" t="s">
        <v>1853</v>
      </c>
      <c r="F23" s="90">
        <v>50</v>
      </c>
      <c r="G23" s="90">
        <v>30</v>
      </c>
      <c r="H23" s="90">
        <v>10</v>
      </c>
      <c r="I23" s="90">
        <v>30</v>
      </c>
      <c r="J23" s="90">
        <v>40</v>
      </c>
      <c r="K23" s="90">
        <v>60</v>
      </c>
      <c r="L23" s="90">
        <v>65</v>
      </c>
      <c r="M23" s="95">
        <v>1</v>
      </c>
      <c r="N23" s="90">
        <v>3</v>
      </c>
    </row>
    <row r="24" spans="1:14" ht="16.5">
      <c r="A24" s="90">
        <v>21</v>
      </c>
      <c r="B24" s="47">
        <v>237</v>
      </c>
      <c r="C24" s="50" t="s">
        <v>565</v>
      </c>
      <c r="D24" s="50" t="s">
        <v>1852</v>
      </c>
      <c r="E24" s="50" t="s">
        <v>1853</v>
      </c>
      <c r="F24" s="90" t="s">
        <v>1885</v>
      </c>
      <c r="G24" s="90" t="s">
        <v>1682</v>
      </c>
      <c r="H24" s="90" t="s">
        <v>1247</v>
      </c>
      <c r="I24" s="90" t="s">
        <v>1675</v>
      </c>
      <c r="J24" s="90" t="s">
        <v>1676</v>
      </c>
      <c r="K24" s="90" t="s">
        <v>1886</v>
      </c>
      <c r="L24" s="90" t="s">
        <v>1887</v>
      </c>
      <c r="M24" s="95" t="s">
        <v>1679</v>
      </c>
      <c r="N24" s="90" t="s">
        <v>1680</v>
      </c>
    </row>
    <row r="25" spans="1:14" ht="16.5">
      <c r="A25" s="90">
        <v>22</v>
      </c>
      <c r="B25" s="47">
        <v>213</v>
      </c>
      <c r="C25" s="50" t="s">
        <v>599</v>
      </c>
      <c r="D25" s="50" t="s">
        <v>1852</v>
      </c>
      <c r="E25" s="50" t="s">
        <v>1853</v>
      </c>
      <c r="F25" s="90">
        <v>63</v>
      </c>
      <c r="G25" s="90">
        <v>30</v>
      </c>
      <c r="H25" s="90">
        <v>10</v>
      </c>
      <c r="I25" s="90">
        <v>48</v>
      </c>
      <c r="J25" s="90">
        <v>53</v>
      </c>
      <c r="K25" s="90">
        <v>73</v>
      </c>
      <c r="L25" s="90">
        <v>78</v>
      </c>
      <c r="M25" s="95">
        <v>1</v>
      </c>
      <c r="N25" s="90">
        <v>6</v>
      </c>
    </row>
    <row r="26" spans="1:14" ht="16.5">
      <c r="A26" s="90">
        <v>23</v>
      </c>
      <c r="B26" s="47">
        <v>224</v>
      </c>
      <c r="C26" s="50" t="s">
        <v>369</v>
      </c>
      <c r="D26" s="50" t="s">
        <v>1852</v>
      </c>
      <c r="E26" s="50" t="s">
        <v>1853</v>
      </c>
      <c r="F26" s="90" t="s">
        <v>1860</v>
      </c>
      <c r="G26" s="90" t="s">
        <v>1682</v>
      </c>
      <c r="H26" s="90" t="s">
        <v>1247</v>
      </c>
      <c r="I26" s="90" t="s">
        <v>1861</v>
      </c>
      <c r="J26" s="90" t="s">
        <v>1862</v>
      </c>
      <c r="K26" s="90" t="s">
        <v>1863</v>
      </c>
      <c r="L26" s="90" t="s">
        <v>1864</v>
      </c>
      <c r="M26" s="95" t="s">
        <v>1679</v>
      </c>
      <c r="N26" s="90" t="s">
        <v>1680</v>
      </c>
    </row>
    <row r="27" spans="1:14" ht="16.5">
      <c r="A27" s="90">
        <v>24</v>
      </c>
      <c r="B27" s="47">
        <v>229</v>
      </c>
      <c r="C27" s="50" t="s">
        <v>515</v>
      </c>
      <c r="D27" s="50" t="s">
        <v>1852</v>
      </c>
      <c r="E27" s="50" t="s">
        <v>1853</v>
      </c>
      <c r="F27" s="90" t="s">
        <v>1872</v>
      </c>
      <c r="G27" s="90" t="s">
        <v>1682</v>
      </c>
      <c r="H27" s="90" t="s">
        <v>1247</v>
      </c>
      <c r="I27" s="90" t="s">
        <v>1879</v>
      </c>
      <c r="J27" s="90" t="s">
        <v>1880</v>
      </c>
      <c r="K27" s="90" t="s">
        <v>1875</v>
      </c>
      <c r="L27" s="90" t="s">
        <v>1876</v>
      </c>
      <c r="M27" s="95" t="s">
        <v>1679</v>
      </c>
      <c r="N27" s="90" t="s">
        <v>1680</v>
      </c>
    </row>
    <row r="28" spans="1:14" ht="16.5">
      <c r="A28" s="90">
        <v>25</v>
      </c>
      <c r="B28" s="47">
        <v>231</v>
      </c>
      <c r="C28" s="94" t="s">
        <v>591</v>
      </c>
      <c r="D28" s="50" t="s">
        <v>1852</v>
      </c>
      <c r="E28" s="50" t="s">
        <v>1853</v>
      </c>
      <c r="F28" s="90" t="s">
        <v>1872</v>
      </c>
      <c r="G28" s="90" t="s">
        <v>1862</v>
      </c>
      <c r="H28" s="90" t="s">
        <v>1888</v>
      </c>
      <c r="I28" s="90" t="s">
        <v>1862</v>
      </c>
      <c r="J28" s="90" t="s">
        <v>1889</v>
      </c>
      <c r="K28" s="90" t="s">
        <v>1890</v>
      </c>
      <c r="L28" s="90" t="s">
        <v>1868</v>
      </c>
      <c r="M28" s="95" t="s">
        <v>1679</v>
      </c>
      <c r="N28" s="90" t="s">
        <v>1891</v>
      </c>
    </row>
    <row r="29" spans="1:14" ht="16.5">
      <c r="A29" s="90">
        <v>26</v>
      </c>
      <c r="B29" s="47">
        <v>211</v>
      </c>
      <c r="C29" s="50" t="s">
        <v>605</v>
      </c>
      <c r="D29" s="50" t="s">
        <v>1852</v>
      </c>
      <c r="E29" s="50" t="s">
        <v>1853</v>
      </c>
      <c r="F29" s="90">
        <v>50</v>
      </c>
      <c r="G29" s="90">
        <v>30</v>
      </c>
      <c r="H29" s="90">
        <v>10</v>
      </c>
      <c r="I29" s="90">
        <v>33</v>
      </c>
      <c r="J29" s="90">
        <v>38</v>
      </c>
      <c r="K29" s="90">
        <v>58</v>
      </c>
      <c r="L29" s="90">
        <v>63</v>
      </c>
      <c r="M29" s="95">
        <v>1</v>
      </c>
      <c r="N29" s="90">
        <v>3</v>
      </c>
    </row>
    <row r="30" spans="1:14" ht="16.5">
      <c r="A30" s="90">
        <v>27</v>
      </c>
      <c r="B30" s="47">
        <v>212</v>
      </c>
      <c r="C30" s="50" t="s">
        <v>394</v>
      </c>
      <c r="D30" s="50" t="s">
        <v>1852</v>
      </c>
      <c r="E30" s="50" t="s">
        <v>1853</v>
      </c>
      <c r="F30" s="90" t="s">
        <v>1881</v>
      </c>
      <c r="G30" s="90" t="s">
        <v>1862</v>
      </c>
      <c r="H30" s="90" t="s">
        <v>1888</v>
      </c>
      <c r="I30" s="90" t="s">
        <v>1892</v>
      </c>
      <c r="J30" s="90" t="s">
        <v>1893</v>
      </c>
      <c r="K30" s="90" t="s">
        <v>1894</v>
      </c>
      <c r="L30" s="90" t="s">
        <v>1895</v>
      </c>
      <c r="M30" s="95" t="s">
        <v>1679</v>
      </c>
      <c r="N30" s="90" t="s">
        <v>1891</v>
      </c>
    </row>
    <row r="31" spans="1:14" ht="16.5">
      <c r="A31" s="90">
        <v>28</v>
      </c>
      <c r="B31" s="47">
        <v>300</v>
      </c>
      <c r="C31" s="50" t="s">
        <v>1896</v>
      </c>
      <c r="D31" s="50" t="s">
        <v>1852</v>
      </c>
      <c r="E31" s="50" t="s">
        <v>1853</v>
      </c>
      <c r="F31" s="90">
        <v>42</v>
      </c>
      <c r="G31" s="90">
        <v>30</v>
      </c>
      <c r="H31" s="90">
        <v>10</v>
      </c>
      <c r="I31" s="90">
        <v>27</v>
      </c>
      <c r="J31" s="90">
        <v>32</v>
      </c>
      <c r="K31" s="90">
        <v>52</v>
      </c>
      <c r="L31" s="90">
        <v>57</v>
      </c>
      <c r="M31" s="95">
        <v>1</v>
      </c>
      <c r="N31" s="90">
        <v>3</v>
      </c>
    </row>
    <row r="32" spans="1:14" ht="16.5">
      <c r="A32" s="90">
        <v>29</v>
      </c>
      <c r="B32" s="47">
        <v>228</v>
      </c>
      <c r="C32" s="50" t="s">
        <v>948</v>
      </c>
      <c r="D32" s="50" t="s">
        <v>1852</v>
      </c>
      <c r="E32" s="50" t="s">
        <v>1853</v>
      </c>
      <c r="F32" s="90" t="s">
        <v>1872</v>
      </c>
      <c r="G32" s="90" t="s">
        <v>1682</v>
      </c>
      <c r="H32" s="90" t="s">
        <v>1247</v>
      </c>
      <c r="I32" s="90" t="s">
        <v>1873</v>
      </c>
      <c r="J32" s="90" t="s">
        <v>1874</v>
      </c>
      <c r="K32" s="90" t="s">
        <v>1875</v>
      </c>
      <c r="L32" s="90" t="s">
        <v>1876</v>
      </c>
      <c r="M32" s="95" t="s">
        <v>1679</v>
      </c>
      <c r="N32" s="90" t="s">
        <v>1877</v>
      </c>
    </row>
    <row r="33" spans="1:14" ht="16.5">
      <c r="A33" s="90">
        <v>30</v>
      </c>
      <c r="B33" s="47">
        <v>202</v>
      </c>
      <c r="C33" s="50" t="s">
        <v>154</v>
      </c>
      <c r="D33" s="50" t="s">
        <v>1897</v>
      </c>
      <c r="E33" s="50" t="s">
        <v>1853</v>
      </c>
      <c r="F33" s="90" t="s">
        <v>1854</v>
      </c>
      <c r="G33" s="90" t="s">
        <v>1674</v>
      </c>
      <c r="H33" s="90" t="s">
        <v>1247</v>
      </c>
      <c r="I33" s="90" t="s">
        <v>1855</v>
      </c>
      <c r="J33" s="90" t="s">
        <v>1856</v>
      </c>
      <c r="K33" s="90" t="s">
        <v>1857</v>
      </c>
      <c r="L33" s="90" t="s">
        <v>1858</v>
      </c>
      <c r="M33" s="95" t="s">
        <v>1679</v>
      </c>
      <c r="N33" s="90" t="s">
        <v>1859</v>
      </c>
    </row>
    <row r="34" spans="1:14" ht="16.5">
      <c r="A34" s="90">
        <v>31</v>
      </c>
      <c r="B34" s="91">
        <v>203</v>
      </c>
      <c r="C34" s="90" t="s">
        <v>202</v>
      </c>
      <c r="D34" s="50" t="s">
        <v>1897</v>
      </c>
      <c r="E34" s="50" t="s">
        <v>1853</v>
      </c>
      <c r="F34" s="90" t="s">
        <v>1860</v>
      </c>
      <c r="G34" s="90" t="s">
        <v>1682</v>
      </c>
      <c r="H34" s="90" t="s">
        <v>1247</v>
      </c>
      <c r="I34" s="90" t="s">
        <v>1861</v>
      </c>
      <c r="J34" s="90" t="s">
        <v>1862</v>
      </c>
      <c r="K34" s="90" t="s">
        <v>1863</v>
      </c>
      <c r="L34" s="90" t="s">
        <v>1864</v>
      </c>
      <c r="M34" s="95" t="s">
        <v>1679</v>
      </c>
      <c r="N34" s="90" t="s">
        <v>1870</v>
      </c>
    </row>
    <row r="35" spans="1:14" ht="16.5">
      <c r="A35" s="90">
        <v>32</v>
      </c>
      <c r="B35" s="47">
        <v>204</v>
      </c>
      <c r="C35" s="50" t="s">
        <v>226</v>
      </c>
      <c r="D35" s="50" t="s">
        <v>1897</v>
      </c>
      <c r="E35" s="50" t="s">
        <v>1853</v>
      </c>
      <c r="F35" s="90" t="s">
        <v>1854</v>
      </c>
      <c r="G35" s="90" t="s">
        <v>1674</v>
      </c>
      <c r="H35" s="90" t="s">
        <v>1247</v>
      </c>
      <c r="I35" s="90" t="s">
        <v>1855</v>
      </c>
      <c r="J35" s="90" t="s">
        <v>1856</v>
      </c>
      <c r="K35" s="90" t="s">
        <v>1857</v>
      </c>
      <c r="L35" s="90" t="s">
        <v>1858</v>
      </c>
      <c r="M35" s="95" t="s">
        <v>1679</v>
      </c>
      <c r="N35" s="90" t="s">
        <v>1680</v>
      </c>
    </row>
    <row r="36" spans="1:14" ht="16.5">
      <c r="A36" s="90">
        <v>33</v>
      </c>
      <c r="B36" s="47">
        <v>205</v>
      </c>
      <c r="C36" s="50" t="s">
        <v>249</v>
      </c>
      <c r="D36" s="50" t="s">
        <v>1897</v>
      </c>
      <c r="E36" s="50" t="s">
        <v>1853</v>
      </c>
      <c r="F36" s="90" t="s">
        <v>1854</v>
      </c>
      <c r="G36" s="90" t="s">
        <v>1674</v>
      </c>
      <c r="H36" s="90" t="s">
        <v>1247</v>
      </c>
      <c r="I36" s="90" t="s">
        <v>1855</v>
      </c>
      <c r="J36" s="90" t="s">
        <v>1856</v>
      </c>
      <c r="K36" s="90" t="s">
        <v>1857</v>
      </c>
      <c r="L36" s="90" t="s">
        <v>1858</v>
      </c>
      <c r="M36" s="95" t="s">
        <v>1679</v>
      </c>
      <c r="N36" s="90" t="s">
        <v>1859</v>
      </c>
    </row>
    <row r="37" spans="1:14" ht="16.5">
      <c r="A37" s="90">
        <v>34</v>
      </c>
      <c r="B37" s="47">
        <v>207</v>
      </c>
      <c r="C37" s="50" t="s">
        <v>595</v>
      </c>
      <c r="D37" s="50" t="s">
        <v>1897</v>
      </c>
      <c r="E37" s="50" t="s">
        <v>1853</v>
      </c>
      <c r="F37" s="90">
        <v>50</v>
      </c>
      <c r="G37" s="90">
        <v>30</v>
      </c>
      <c r="H37" s="90">
        <v>10</v>
      </c>
      <c r="I37" s="90">
        <v>30</v>
      </c>
      <c r="J37" s="90">
        <v>40</v>
      </c>
      <c r="K37" s="90">
        <v>60</v>
      </c>
      <c r="L37" s="90">
        <v>65</v>
      </c>
      <c r="M37" s="95">
        <v>1</v>
      </c>
      <c r="N37" s="90">
        <v>3</v>
      </c>
    </row>
    <row r="38" spans="1:14" ht="16.5">
      <c r="A38" s="90">
        <v>35</v>
      </c>
      <c r="B38" s="47">
        <v>208</v>
      </c>
      <c r="C38" s="50" t="s">
        <v>589</v>
      </c>
      <c r="D38" s="50" t="s">
        <v>1897</v>
      </c>
      <c r="E38" s="50" t="s">
        <v>1853</v>
      </c>
      <c r="F38" s="90">
        <v>53</v>
      </c>
      <c r="G38" s="90">
        <v>50</v>
      </c>
      <c r="H38" s="90">
        <v>1</v>
      </c>
      <c r="I38" s="90">
        <v>20</v>
      </c>
      <c r="J38" s="90">
        <v>35</v>
      </c>
      <c r="K38" s="90">
        <v>63</v>
      </c>
      <c r="L38" s="90">
        <v>68</v>
      </c>
      <c r="M38" s="95">
        <v>1</v>
      </c>
      <c r="N38" s="90">
        <v>8</v>
      </c>
    </row>
    <row r="39" spans="1:14" ht="16.5">
      <c r="A39" s="90">
        <v>36</v>
      </c>
      <c r="B39" s="47">
        <v>215</v>
      </c>
      <c r="C39" s="50" t="s">
        <v>418</v>
      </c>
      <c r="D39" s="50" t="s">
        <v>1897</v>
      </c>
      <c r="E39" s="50" t="s">
        <v>1853</v>
      </c>
      <c r="F39" s="90" t="s">
        <v>1865</v>
      </c>
      <c r="G39" s="90" t="s">
        <v>1682</v>
      </c>
      <c r="H39" s="90" t="s">
        <v>1247</v>
      </c>
      <c r="I39" s="90" t="s">
        <v>1866</v>
      </c>
      <c r="J39" s="90" t="s">
        <v>1867</v>
      </c>
      <c r="K39" s="90" t="s">
        <v>1868</v>
      </c>
      <c r="L39" s="90" t="s">
        <v>1869</v>
      </c>
      <c r="M39" s="95" t="s">
        <v>1679</v>
      </c>
      <c r="N39" s="90" t="s">
        <v>1870</v>
      </c>
    </row>
    <row r="40" spans="1:14" ht="16.5">
      <c r="A40" s="90">
        <v>37</v>
      </c>
      <c r="B40" s="47">
        <v>222</v>
      </c>
      <c r="C40" s="50" t="s">
        <v>442</v>
      </c>
      <c r="D40" s="50" t="s">
        <v>1897</v>
      </c>
      <c r="E40" s="50" t="s">
        <v>1853</v>
      </c>
      <c r="F40" s="90" t="s">
        <v>1854</v>
      </c>
      <c r="G40" s="90" t="s">
        <v>1871</v>
      </c>
      <c r="H40" s="90" t="s">
        <v>1247</v>
      </c>
      <c r="I40" s="90" t="s">
        <v>1855</v>
      </c>
      <c r="J40" s="90" t="s">
        <v>1856</v>
      </c>
      <c r="K40" s="90" t="s">
        <v>1857</v>
      </c>
      <c r="L40" s="90" t="s">
        <v>1858</v>
      </c>
      <c r="M40" s="95" t="s">
        <v>1679</v>
      </c>
      <c r="N40" s="90" t="s">
        <v>1859</v>
      </c>
    </row>
    <row r="41" spans="1:14" ht="16.5">
      <c r="A41" s="90">
        <v>38</v>
      </c>
      <c r="B41" s="47">
        <v>223</v>
      </c>
      <c r="C41" s="50" t="s">
        <v>918</v>
      </c>
      <c r="D41" s="50" t="s">
        <v>1897</v>
      </c>
      <c r="E41" s="50" t="s">
        <v>1853</v>
      </c>
      <c r="F41" s="90">
        <v>28</v>
      </c>
      <c r="G41" s="90">
        <v>30</v>
      </c>
      <c r="H41" s="90">
        <v>10</v>
      </c>
      <c r="I41" s="90">
        <v>17</v>
      </c>
      <c r="J41" s="90">
        <v>22</v>
      </c>
      <c r="K41" s="90">
        <v>33</v>
      </c>
      <c r="L41" s="90">
        <v>38</v>
      </c>
      <c r="M41" s="95">
        <v>1</v>
      </c>
      <c r="N41" s="90">
        <v>2</v>
      </c>
    </row>
    <row r="42" spans="1:14" ht="16.5">
      <c r="A42" s="90">
        <v>39</v>
      </c>
      <c r="B42" s="47">
        <v>226</v>
      </c>
      <c r="C42" s="92" t="s">
        <v>469</v>
      </c>
      <c r="D42" s="50" t="s">
        <v>1897</v>
      </c>
      <c r="E42" s="50" t="s">
        <v>1853</v>
      </c>
      <c r="F42" s="90" t="s">
        <v>1872</v>
      </c>
      <c r="G42" s="90" t="s">
        <v>1682</v>
      </c>
      <c r="H42" s="90" t="s">
        <v>1247</v>
      </c>
      <c r="I42" s="90" t="s">
        <v>1873</v>
      </c>
      <c r="J42" s="90" t="s">
        <v>1874</v>
      </c>
      <c r="K42" s="90" t="s">
        <v>1875</v>
      </c>
      <c r="L42" s="90" t="s">
        <v>1876</v>
      </c>
      <c r="M42" s="95" t="s">
        <v>1679</v>
      </c>
      <c r="N42" s="90" t="s">
        <v>1877</v>
      </c>
    </row>
    <row r="43" spans="1:14" ht="16.5">
      <c r="A43" s="90">
        <v>40</v>
      </c>
      <c r="B43" s="91">
        <v>227</v>
      </c>
      <c r="C43" s="93" t="s">
        <v>493</v>
      </c>
      <c r="D43" s="50" t="s">
        <v>1897</v>
      </c>
      <c r="E43" s="50" t="s">
        <v>1853</v>
      </c>
      <c r="F43" s="90" t="s">
        <v>1872</v>
      </c>
      <c r="G43" s="90" t="s">
        <v>1682</v>
      </c>
      <c r="H43" s="90" t="s">
        <v>1247</v>
      </c>
      <c r="I43" s="90" t="s">
        <v>1873</v>
      </c>
      <c r="J43" s="90" t="s">
        <v>1874</v>
      </c>
      <c r="K43" s="90" t="s">
        <v>1875</v>
      </c>
      <c r="L43" s="90" t="s">
        <v>1876</v>
      </c>
      <c r="M43" s="95" t="s">
        <v>1679</v>
      </c>
      <c r="N43" s="90" t="s">
        <v>1870</v>
      </c>
    </row>
    <row r="44" spans="1:14" ht="16.5">
      <c r="A44" s="90">
        <v>41</v>
      </c>
      <c r="B44" s="47">
        <v>234</v>
      </c>
      <c r="C44" s="50" t="s">
        <v>1878</v>
      </c>
      <c r="D44" s="50" t="s">
        <v>1897</v>
      </c>
      <c r="E44" s="50" t="s">
        <v>1853</v>
      </c>
      <c r="F44" s="90" t="s">
        <v>1854</v>
      </c>
      <c r="G44" s="90" t="s">
        <v>1674</v>
      </c>
      <c r="H44" s="90" t="s">
        <v>1247</v>
      </c>
      <c r="I44" s="90" t="s">
        <v>1855</v>
      </c>
      <c r="J44" s="90" t="s">
        <v>1856</v>
      </c>
      <c r="K44" s="90" t="s">
        <v>1857</v>
      </c>
      <c r="L44" s="90" t="s">
        <v>1858</v>
      </c>
      <c r="M44" s="95" t="s">
        <v>1679</v>
      </c>
      <c r="N44" s="90" t="s">
        <v>1859</v>
      </c>
    </row>
    <row r="45" spans="1:14" ht="16.5">
      <c r="A45" s="90">
        <v>42</v>
      </c>
      <c r="B45" s="47">
        <v>235</v>
      </c>
      <c r="C45" s="50" t="s">
        <v>601</v>
      </c>
      <c r="D45" s="50" t="s">
        <v>1897</v>
      </c>
      <c r="E45" s="50" t="s">
        <v>1853</v>
      </c>
      <c r="F45" s="90">
        <v>50</v>
      </c>
      <c r="G45" s="90">
        <v>30</v>
      </c>
      <c r="H45" s="90">
        <v>10</v>
      </c>
      <c r="I45" s="90">
        <v>30</v>
      </c>
      <c r="J45" s="90">
        <v>40</v>
      </c>
      <c r="K45" s="90">
        <v>60</v>
      </c>
      <c r="L45" s="90">
        <v>65</v>
      </c>
      <c r="M45" s="95">
        <v>1</v>
      </c>
      <c r="N45" s="90">
        <v>3</v>
      </c>
    </row>
    <row r="46" spans="1:14" ht="16.5">
      <c r="A46" s="90">
        <v>43</v>
      </c>
      <c r="B46" s="47">
        <v>236</v>
      </c>
      <c r="C46" s="50" t="s">
        <v>1688</v>
      </c>
      <c r="D46" s="50" t="s">
        <v>1897</v>
      </c>
      <c r="E46" s="50" t="s">
        <v>1853</v>
      </c>
      <c r="F46" s="90">
        <v>50</v>
      </c>
      <c r="G46" s="90">
        <v>30</v>
      </c>
      <c r="H46" s="90">
        <v>10</v>
      </c>
      <c r="I46" s="90">
        <v>30</v>
      </c>
      <c r="J46" s="90">
        <v>40</v>
      </c>
      <c r="K46" s="90">
        <v>60</v>
      </c>
      <c r="L46" s="90">
        <v>65</v>
      </c>
      <c r="M46" s="95">
        <v>1</v>
      </c>
      <c r="N46" s="90">
        <v>3</v>
      </c>
    </row>
    <row r="47" spans="1:14" ht="16.5">
      <c r="A47" s="90">
        <v>44</v>
      </c>
      <c r="B47" s="91">
        <v>201</v>
      </c>
      <c r="C47" s="90" t="s">
        <v>66</v>
      </c>
      <c r="D47" s="50" t="s">
        <v>1897</v>
      </c>
      <c r="E47" s="50" t="s">
        <v>1853</v>
      </c>
      <c r="F47" s="90" t="s">
        <v>1872</v>
      </c>
      <c r="G47" s="90" t="s">
        <v>1682</v>
      </c>
      <c r="H47" s="90" t="s">
        <v>1247</v>
      </c>
      <c r="I47" s="90" t="s">
        <v>1879</v>
      </c>
      <c r="J47" s="90" t="s">
        <v>1880</v>
      </c>
      <c r="K47" s="90" t="s">
        <v>1875</v>
      </c>
      <c r="L47" s="90" t="s">
        <v>1876</v>
      </c>
      <c r="M47" s="95" t="s">
        <v>1679</v>
      </c>
      <c r="N47" s="90" t="s">
        <v>1680</v>
      </c>
    </row>
    <row r="48" spans="1:14" ht="16.5">
      <c r="A48" s="90">
        <v>45</v>
      </c>
      <c r="B48" s="91">
        <v>206</v>
      </c>
      <c r="C48" s="90" t="s">
        <v>293</v>
      </c>
      <c r="D48" s="50" t="s">
        <v>1897</v>
      </c>
      <c r="E48" s="50" t="s">
        <v>1853</v>
      </c>
      <c r="F48" s="90" t="s">
        <v>1860</v>
      </c>
      <c r="G48" s="90" t="s">
        <v>1682</v>
      </c>
      <c r="H48" s="90" t="s">
        <v>1247</v>
      </c>
      <c r="I48" s="90" t="s">
        <v>1861</v>
      </c>
      <c r="J48" s="90" t="s">
        <v>1862</v>
      </c>
      <c r="K48" s="90" t="s">
        <v>1863</v>
      </c>
      <c r="L48" s="90" t="s">
        <v>1864</v>
      </c>
      <c r="M48" s="95" t="s">
        <v>1679</v>
      </c>
      <c r="N48" s="90" t="s">
        <v>1680</v>
      </c>
    </row>
    <row r="49" spans="1:14" ht="16.5">
      <c r="A49" s="90">
        <v>46</v>
      </c>
      <c r="B49" s="47">
        <v>209</v>
      </c>
      <c r="C49" s="50" t="s">
        <v>344</v>
      </c>
      <c r="D49" s="50" t="s">
        <v>1897</v>
      </c>
      <c r="E49" s="50" t="s">
        <v>1853</v>
      </c>
      <c r="F49" s="90" t="s">
        <v>1860</v>
      </c>
      <c r="G49" s="90" t="s">
        <v>1682</v>
      </c>
      <c r="H49" s="90" t="s">
        <v>1247</v>
      </c>
      <c r="I49" s="90" t="s">
        <v>1861</v>
      </c>
      <c r="J49" s="90" t="s">
        <v>1862</v>
      </c>
      <c r="K49" s="90" t="s">
        <v>1863</v>
      </c>
      <c r="L49" s="90" t="s">
        <v>1864</v>
      </c>
      <c r="M49" s="95" t="s">
        <v>1679</v>
      </c>
      <c r="N49" s="90" t="s">
        <v>1680</v>
      </c>
    </row>
    <row r="50" spans="1:14" ht="16.5">
      <c r="A50" s="90">
        <v>47</v>
      </c>
      <c r="B50" s="47">
        <v>230</v>
      </c>
      <c r="C50" s="50" t="s">
        <v>539</v>
      </c>
      <c r="D50" s="50" t="s">
        <v>1897</v>
      </c>
      <c r="E50" s="50" t="s">
        <v>1853</v>
      </c>
      <c r="F50" s="90" t="s">
        <v>1881</v>
      </c>
      <c r="G50" s="90" t="s">
        <v>1682</v>
      </c>
      <c r="H50" s="90" t="s">
        <v>1247</v>
      </c>
      <c r="I50" s="90" t="s">
        <v>1683</v>
      </c>
      <c r="J50" s="90" t="s">
        <v>1684</v>
      </c>
      <c r="K50" s="90" t="s">
        <v>1882</v>
      </c>
      <c r="L50" s="90" t="s">
        <v>1883</v>
      </c>
      <c r="M50" s="95" t="s">
        <v>1679</v>
      </c>
      <c r="N50" s="90" t="s">
        <v>1884</v>
      </c>
    </row>
    <row r="51" spans="1:14" ht="16.5">
      <c r="A51" s="90">
        <v>48</v>
      </c>
      <c r="B51" s="91">
        <v>232</v>
      </c>
      <c r="C51" s="90" t="s">
        <v>319</v>
      </c>
      <c r="D51" s="50" t="s">
        <v>1897</v>
      </c>
      <c r="E51" s="50" t="s">
        <v>1853</v>
      </c>
      <c r="F51" s="90" t="s">
        <v>1860</v>
      </c>
      <c r="G51" s="90" t="s">
        <v>1682</v>
      </c>
      <c r="H51" s="90" t="s">
        <v>1247</v>
      </c>
      <c r="I51" s="90" t="s">
        <v>1861</v>
      </c>
      <c r="J51" s="90" t="s">
        <v>1862</v>
      </c>
      <c r="K51" s="90" t="s">
        <v>1863</v>
      </c>
      <c r="L51" s="90" t="s">
        <v>1864</v>
      </c>
      <c r="M51" s="95" t="s">
        <v>1679</v>
      </c>
      <c r="N51" s="90" t="s">
        <v>1680</v>
      </c>
    </row>
    <row r="52" spans="1:14" ht="16.5">
      <c r="A52" s="90">
        <v>49</v>
      </c>
      <c r="B52" s="47">
        <v>233</v>
      </c>
      <c r="C52" s="50" t="s">
        <v>593</v>
      </c>
      <c r="D52" s="50" t="s">
        <v>1897</v>
      </c>
      <c r="E52" s="50" t="s">
        <v>1853</v>
      </c>
      <c r="F52" s="90">
        <v>50</v>
      </c>
      <c r="G52" s="90">
        <v>30</v>
      </c>
      <c r="H52" s="90">
        <v>10</v>
      </c>
      <c r="I52" s="90">
        <v>30</v>
      </c>
      <c r="J52" s="90">
        <v>40</v>
      </c>
      <c r="K52" s="90">
        <v>60</v>
      </c>
      <c r="L52" s="90">
        <v>65</v>
      </c>
      <c r="M52" s="95">
        <v>1</v>
      </c>
      <c r="N52" s="90">
        <v>3</v>
      </c>
    </row>
    <row r="53" spans="1:14" ht="16.5">
      <c r="A53" s="90">
        <v>50</v>
      </c>
      <c r="B53" s="47">
        <v>237</v>
      </c>
      <c r="C53" s="50" t="s">
        <v>565</v>
      </c>
      <c r="D53" s="50" t="s">
        <v>1897</v>
      </c>
      <c r="E53" s="50" t="s">
        <v>1853</v>
      </c>
      <c r="F53" s="90" t="s">
        <v>1885</v>
      </c>
      <c r="G53" s="90" t="s">
        <v>1682</v>
      </c>
      <c r="H53" s="90" t="s">
        <v>1247</v>
      </c>
      <c r="I53" s="90" t="s">
        <v>1675</v>
      </c>
      <c r="J53" s="90" t="s">
        <v>1676</v>
      </c>
      <c r="K53" s="90" t="s">
        <v>1886</v>
      </c>
      <c r="L53" s="90" t="s">
        <v>1887</v>
      </c>
      <c r="M53" s="95" t="s">
        <v>1679</v>
      </c>
      <c r="N53" s="90" t="s">
        <v>1680</v>
      </c>
    </row>
    <row r="54" spans="1:14" ht="16.5">
      <c r="A54" s="90">
        <v>51</v>
      </c>
      <c r="B54" s="47">
        <v>213</v>
      </c>
      <c r="C54" s="50" t="s">
        <v>599</v>
      </c>
      <c r="D54" s="50" t="s">
        <v>1897</v>
      </c>
      <c r="E54" s="50" t="s">
        <v>1853</v>
      </c>
      <c r="F54" s="90">
        <v>63</v>
      </c>
      <c r="G54" s="90">
        <v>30</v>
      </c>
      <c r="H54" s="90">
        <v>10</v>
      </c>
      <c r="I54" s="90">
        <v>48</v>
      </c>
      <c r="J54" s="90">
        <v>53</v>
      </c>
      <c r="K54" s="90">
        <v>73</v>
      </c>
      <c r="L54" s="90">
        <v>78</v>
      </c>
      <c r="M54" s="95">
        <v>1</v>
      </c>
      <c r="N54" s="90">
        <v>6</v>
      </c>
    </row>
    <row r="55" spans="1:14" ht="16.5">
      <c r="A55" s="90">
        <v>52</v>
      </c>
      <c r="B55" s="47">
        <v>224</v>
      </c>
      <c r="C55" s="50" t="s">
        <v>369</v>
      </c>
      <c r="D55" s="50" t="s">
        <v>1897</v>
      </c>
      <c r="E55" s="50" t="s">
        <v>1853</v>
      </c>
      <c r="F55" s="90" t="s">
        <v>1860</v>
      </c>
      <c r="G55" s="90" t="s">
        <v>1682</v>
      </c>
      <c r="H55" s="90" t="s">
        <v>1247</v>
      </c>
      <c r="I55" s="90" t="s">
        <v>1861</v>
      </c>
      <c r="J55" s="90" t="s">
        <v>1862</v>
      </c>
      <c r="K55" s="90" t="s">
        <v>1863</v>
      </c>
      <c r="L55" s="90" t="s">
        <v>1864</v>
      </c>
      <c r="M55" s="95" t="s">
        <v>1679</v>
      </c>
      <c r="N55" s="90" t="s">
        <v>1680</v>
      </c>
    </row>
    <row r="56" spans="1:14" ht="16.5">
      <c r="A56" s="90">
        <v>53</v>
      </c>
      <c r="B56" s="47">
        <v>229</v>
      </c>
      <c r="C56" s="50" t="s">
        <v>515</v>
      </c>
      <c r="D56" s="50" t="s">
        <v>1897</v>
      </c>
      <c r="E56" s="50" t="s">
        <v>1853</v>
      </c>
      <c r="F56" s="90" t="s">
        <v>1872</v>
      </c>
      <c r="G56" s="90" t="s">
        <v>1682</v>
      </c>
      <c r="H56" s="90" t="s">
        <v>1247</v>
      </c>
      <c r="I56" s="90" t="s">
        <v>1879</v>
      </c>
      <c r="J56" s="90" t="s">
        <v>1880</v>
      </c>
      <c r="K56" s="90" t="s">
        <v>1875</v>
      </c>
      <c r="L56" s="90" t="s">
        <v>1876</v>
      </c>
      <c r="M56" s="95" t="s">
        <v>1679</v>
      </c>
      <c r="N56" s="90" t="s">
        <v>1680</v>
      </c>
    </row>
    <row r="57" spans="1:14" ht="16.5">
      <c r="A57" s="90">
        <v>54</v>
      </c>
      <c r="B57" s="47">
        <v>231</v>
      </c>
      <c r="C57" s="94" t="s">
        <v>591</v>
      </c>
      <c r="D57" s="50" t="s">
        <v>1897</v>
      </c>
      <c r="E57" s="50" t="s">
        <v>1853</v>
      </c>
      <c r="F57" s="90" t="s">
        <v>1872</v>
      </c>
      <c r="G57" s="90" t="s">
        <v>1862</v>
      </c>
      <c r="H57" s="90" t="s">
        <v>1888</v>
      </c>
      <c r="I57" s="90" t="s">
        <v>1862</v>
      </c>
      <c r="J57" s="90" t="s">
        <v>1889</v>
      </c>
      <c r="K57" s="90" t="s">
        <v>1890</v>
      </c>
      <c r="L57" s="90" t="s">
        <v>1868</v>
      </c>
      <c r="M57" s="95" t="s">
        <v>1679</v>
      </c>
      <c r="N57" s="90" t="s">
        <v>1891</v>
      </c>
    </row>
    <row r="58" spans="1:14" ht="16.5">
      <c r="A58" s="90">
        <v>55</v>
      </c>
      <c r="B58" s="47">
        <v>211</v>
      </c>
      <c r="C58" s="50" t="s">
        <v>605</v>
      </c>
      <c r="D58" s="50" t="s">
        <v>1897</v>
      </c>
      <c r="E58" s="50" t="s">
        <v>1853</v>
      </c>
      <c r="F58" s="90">
        <v>50</v>
      </c>
      <c r="G58" s="90">
        <v>30</v>
      </c>
      <c r="H58" s="90">
        <v>10</v>
      </c>
      <c r="I58" s="90">
        <v>33</v>
      </c>
      <c r="J58" s="90">
        <v>38</v>
      </c>
      <c r="K58" s="90">
        <v>58</v>
      </c>
      <c r="L58" s="90">
        <v>63</v>
      </c>
      <c r="M58" s="95">
        <v>1</v>
      </c>
      <c r="N58" s="90">
        <v>3</v>
      </c>
    </row>
    <row r="59" spans="1:14" ht="16.5">
      <c r="A59" s="90">
        <v>56</v>
      </c>
      <c r="B59" s="47">
        <v>212</v>
      </c>
      <c r="C59" s="50" t="s">
        <v>394</v>
      </c>
      <c r="D59" s="50" t="s">
        <v>1897</v>
      </c>
      <c r="E59" s="50" t="s">
        <v>1853</v>
      </c>
      <c r="F59" s="90" t="s">
        <v>1898</v>
      </c>
      <c r="G59" s="90" t="s">
        <v>1862</v>
      </c>
      <c r="H59" s="90" t="s">
        <v>1888</v>
      </c>
      <c r="I59" s="90" t="s">
        <v>1899</v>
      </c>
      <c r="J59" s="90" t="s">
        <v>1889</v>
      </c>
      <c r="K59" s="90" t="s">
        <v>1900</v>
      </c>
      <c r="L59" s="90" t="s">
        <v>1901</v>
      </c>
      <c r="M59" s="95" t="s">
        <v>1679</v>
      </c>
      <c r="N59" s="90" t="s">
        <v>1902</v>
      </c>
    </row>
    <row r="60" spans="1:14" ht="16.5">
      <c r="A60" s="90">
        <v>57</v>
      </c>
      <c r="B60" s="47">
        <v>300</v>
      </c>
      <c r="C60" s="50" t="s">
        <v>1896</v>
      </c>
      <c r="D60" s="50" t="s">
        <v>1897</v>
      </c>
      <c r="E60" s="50" t="s">
        <v>1853</v>
      </c>
      <c r="F60" s="90">
        <v>42</v>
      </c>
      <c r="G60" s="90">
        <v>30</v>
      </c>
      <c r="H60" s="90">
        <v>10</v>
      </c>
      <c r="I60" s="90">
        <v>27</v>
      </c>
      <c r="J60" s="90">
        <v>32</v>
      </c>
      <c r="K60" s="90">
        <v>52</v>
      </c>
      <c r="L60" s="90">
        <v>57</v>
      </c>
      <c r="M60" s="95">
        <v>1</v>
      </c>
      <c r="N60" s="90">
        <v>3</v>
      </c>
    </row>
    <row r="61" spans="1:14" ht="16.5">
      <c r="A61" s="90">
        <v>58</v>
      </c>
      <c r="B61" s="47">
        <v>228</v>
      </c>
      <c r="C61" s="50" t="s">
        <v>948</v>
      </c>
      <c r="D61" s="50" t="s">
        <v>1897</v>
      </c>
      <c r="E61" s="50" t="s">
        <v>1853</v>
      </c>
      <c r="F61" s="90" t="s">
        <v>1872</v>
      </c>
      <c r="G61" s="90" t="s">
        <v>1682</v>
      </c>
      <c r="H61" s="90" t="s">
        <v>1247</v>
      </c>
      <c r="I61" s="90" t="s">
        <v>1873</v>
      </c>
      <c r="J61" s="90" t="s">
        <v>1874</v>
      </c>
      <c r="K61" s="90" t="s">
        <v>1875</v>
      </c>
      <c r="L61" s="90" t="s">
        <v>1876</v>
      </c>
      <c r="M61" s="95" t="s">
        <v>1679</v>
      </c>
      <c r="N61" s="90" t="s">
        <v>1877</v>
      </c>
    </row>
    <row r="62" spans="1:14" ht="16.5">
      <c r="A62" s="90">
        <v>59</v>
      </c>
      <c r="B62" s="47">
        <v>202</v>
      </c>
      <c r="C62" s="50" t="s">
        <v>154</v>
      </c>
      <c r="D62" s="50" t="s">
        <v>1903</v>
      </c>
      <c r="E62" s="50" t="s">
        <v>1853</v>
      </c>
      <c r="F62" s="90" t="s">
        <v>1854</v>
      </c>
      <c r="G62" s="90" t="s">
        <v>1674</v>
      </c>
      <c r="H62" s="90" t="s">
        <v>1247</v>
      </c>
      <c r="I62" s="90" t="s">
        <v>1855</v>
      </c>
      <c r="J62" s="90" t="s">
        <v>1856</v>
      </c>
      <c r="K62" s="90" t="s">
        <v>1857</v>
      </c>
      <c r="L62" s="90" t="s">
        <v>1858</v>
      </c>
      <c r="M62" s="95" t="s">
        <v>1679</v>
      </c>
      <c r="N62" s="90" t="s">
        <v>1859</v>
      </c>
    </row>
    <row r="63" spans="1:14" ht="16.5">
      <c r="A63" s="90">
        <v>60</v>
      </c>
      <c r="B63" s="91">
        <v>203</v>
      </c>
      <c r="C63" s="90" t="s">
        <v>202</v>
      </c>
      <c r="D63" s="50" t="s">
        <v>1903</v>
      </c>
      <c r="E63" s="50" t="s">
        <v>1853</v>
      </c>
      <c r="F63" s="90" t="s">
        <v>1860</v>
      </c>
      <c r="G63" s="90" t="s">
        <v>1682</v>
      </c>
      <c r="H63" s="90" t="s">
        <v>1247</v>
      </c>
      <c r="I63" s="90" t="s">
        <v>1861</v>
      </c>
      <c r="J63" s="90" t="s">
        <v>1862</v>
      </c>
      <c r="K63" s="90" t="s">
        <v>1863</v>
      </c>
      <c r="L63" s="90" t="s">
        <v>1864</v>
      </c>
      <c r="M63" s="95" t="s">
        <v>1679</v>
      </c>
      <c r="N63" s="90" t="s">
        <v>1904</v>
      </c>
    </row>
    <row r="64" spans="1:14" ht="16.5">
      <c r="A64" s="90">
        <v>61</v>
      </c>
      <c r="B64" s="47">
        <v>204</v>
      </c>
      <c r="C64" s="50" t="s">
        <v>226</v>
      </c>
      <c r="D64" s="50" t="s">
        <v>1903</v>
      </c>
      <c r="E64" s="50" t="s">
        <v>1853</v>
      </c>
      <c r="F64" s="90" t="s">
        <v>1854</v>
      </c>
      <c r="G64" s="90" t="s">
        <v>1674</v>
      </c>
      <c r="H64" s="90" t="s">
        <v>1247</v>
      </c>
      <c r="I64" s="90" t="s">
        <v>1855</v>
      </c>
      <c r="J64" s="90" t="s">
        <v>1856</v>
      </c>
      <c r="K64" s="90" t="s">
        <v>1857</v>
      </c>
      <c r="L64" s="90" t="s">
        <v>1858</v>
      </c>
      <c r="M64" s="95" t="s">
        <v>1679</v>
      </c>
      <c r="N64" s="90" t="s">
        <v>1680</v>
      </c>
    </row>
    <row r="65" spans="1:14" ht="16.5">
      <c r="A65" s="90">
        <v>62</v>
      </c>
      <c r="B65" s="47">
        <v>205</v>
      </c>
      <c r="C65" s="50" t="s">
        <v>249</v>
      </c>
      <c r="D65" s="50" t="s">
        <v>1903</v>
      </c>
      <c r="E65" s="50" t="s">
        <v>1853</v>
      </c>
      <c r="F65" s="90" t="s">
        <v>1854</v>
      </c>
      <c r="G65" s="90" t="s">
        <v>1674</v>
      </c>
      <c r="H65" s="90" t="s">
        <v>1247</v>
      </c>
      <c r="I65" s="90" t="s">
        <v>1855</v>
      </c>
      <c r="J65" s="90" t="s">
        <v>1856</v>
      </c>
      <c r="K65" s="90" t="s">
        <v>1857</v>
      </c>
      <c r="L65" s="90" t="s">
        <v>1858</v>
      </c>
      <c r="M65" s="95" t="s">
        <v>1679</v>
      </c>
      <c r="N65" s="90" t="s">
        <v>1859</v>
      </c>
    </row>
    <row r="66" spans="1:14" ht="16.5">
      <c r="A66" s="90">
        <v>63</v>
      </c>
      <c r="B66" s="47">
        <v>207</v>
      </c>
      <c r="C66" s="50" t="s">
        <v>595</v>
      </c>
      <c r="D66" s="50" t="s">
        <v>1903</v>
      </c>
      <c r="E66" s="50" t="s">
        <v>1853</v>
      </c>
      <c r="F66" s="90">
        <v>50</v>
      </c>
      <c r="G66" s="90">
        <v>30</v>
      </c>
      <c r="H66" s="90">
        <v>10</v>
      </c>
      <c r="I66" s="90">
        <v>30</v>
      </c>
      <c r="J66" s="90">
        <v>40</v>
      </c>
      <c r="K66" s="90">
        <v>60</v>
      </c>
      <c r="L66" s="90">
        <v>65</v>
      </c>
      <c r="M66" s="95">
        <v>1</v>
      </c>
      <c r="N66" s="90">
        <v>3</v>
      </c>
    </row>
    <row r="67" spans="1:14" ht="16.5">
      <c r="A67" s="90">
        <v>64</v>
      </c>
      <c r="B67" s="96">
        <v>208</v>
      </c>
      <c r="C67" s="97" t="s">
        <v>589</v>
      </c>
      <c r="D67" s="97" t="s">
        <v>1903</v>
      </c>
      <c r="E67" s="97" t="s">
        <v>1853</v>
      </c>
      <c r="F67" s="97">
        <v>63</v>
      </c>
      <c r="G67" s="97">
        <v>50</v>
      </c>
      <c r="H67" s="97">
        <v>1</v>
      </c>
      <c r="I67" s="97">
        <v>30</v>
      </c>
      <c r="J67" s="97">
        <v>45</v>
      </c>
      <c r="K67" s="97">
        <v>73</v>
      </c>
      <c r="L67" s="97">
        <v>78</v>
      </c>
      <c r="M67" s="98">
        <v>1</v>
      </c>
      <c r="N67" s="97">
        <v>10</v>
      </c>
    </row>
    <row r="68" spans="1:14" ht="16.5">
      <c r="A68" s="90">
        <v>65</v>
      </c>
      <c r="B68" s="47">
        <v>215</v>
      </c>
      <c r="C68" s="50" t="s">
        <v>418</v>
      </c>
      <c r="D68" s="50" t="s">
        <v>1903</v>
      </c>
      <c r="E68" s="50" t="s">
        <v>1853</v>
      </c>
      <c r="F68" s="90" t="s">
        <v>1865</v>
      </c>
      <c r="G68" s="90" t="s">
        <v>1682</v>
      </c>
      <c r="H68" s="90" t="s">
        <v>1247</v>
      </c>
      <c r="I68" s="90" t="s">
        <v>1866</v>
      </c>
      <c r="J68" s="90" t="s">
        <v>1867</v>
      </c>
      <c r="K68" s="90" t="s">
        <v>1868</v>
      </c>
      <c r="L68" s="90" t="s">
        <v>1869</v>
      </c>
      <c r="M68" s="95" t="s">
        <v>1679</v>
      </c>
      <c r="N68" s="90" t="s">
        <v>1870</v>
      </c>
    </row>
    <row r="69" spans="1:14" ht="16.5">
      <c r="A69" s="90">
        <v>66</v>
      </c>
      <c r="B69" s="47">
        <v>222</v>
      </c>
      <c r="C69" s="50" t="s">
        <v>442</v>
      </c>
      <c r="D69" s="50" t="s">
        <v>1903</v>
      </c>
      <c r="E69" s="50" t="s">
        <v>1853</v>
      </c>
      <c r="F69" s="90" t="s">
        <v>1854</v>
      </c>
      <c r="G69" s="90" t="s">
        <v>1871</v>
      </c>
      <c r="H69" s="90" t="s">
        <v>1247</v>
      </c>
      <c r="I69" s="90" t="s">
        <v>1855</v>
      </c>
      <c r="J69" s="90" t="s">
        <v>1856</v>
      </c>
      <c r="K69" s="90" t="s">
        <v>1857</v>
      </c>
      <c r="L69" s="90" t="s">
        <v>1858</v>
      </c>
      <c r="M69" s="95" t="s">
        <v>1679</v>
      </c>
      <c r="N69" s="90" t="s">
        <v>1859</v>
      </c>
    </row>
    <row r="70" spans="1:14" ht="16.5">
      <c r="A70" s="90">
        <v>67</v>
      </c>
      <c r="B70" s="47">
        <v>223</v>
      </c>
      <c r="C70" s="50" t="s">
        <v>918</v>
      </c>
      <c r="D70" s="50" t="s">
        <v>1903</v>
      </c>
      <c r="E70" s="50" t="s">
        <v>1853</v>
      </c>
      <c r="F70" s="90">
        <v>28</v>
      </c>
      <c r="G70" s="90">
        <v>30</v>
      </c>
      <c r="H70" s="90">
        <v>10</v>
      </c>
      <c r="I70" s="90">
        <v>17</v>
      </c>
      <c r="J70" s="90">
        <v>22</v>
      </c>
      <c r="K70" s="90">
        <v>33</v>
      </c>
      <c r="L70" s="90">
        <v>38</v>
      </c>
      <c r="M70" s="95">
        <v>1</v>
      </c>
      <c r="N70" s="90">
        <v>2</v>
      </c>
    </row>
    <row r="71" spans="1:14" ht="16.5">
      <c r="A71" s="90">
        <v>68</v>
      </c>
      <c r="B71" s="47">
        <v>226</v>
      </c>
      <c r="C71" s="92" t="s">
        <v>469</v>
      </c>
      <c r="D71" s="50" t="s">
        <v>1903</v>
      </c>
      <c r="E71" s="50" t="s">
        <v>1853</v>
      </c>
      <c r="F71" s="90" t="s">
        <v>1872</v>
      </c>
      <c r="G71" s="90" t="s">
        <v>1682</v>
      </c>
      <c r="H71" s="90" t="s">
        <v>1247</v>
      </c>
      <c r="I71" s="90" t="s">
        <v>1873</v>
      </c>
      <c r="J71" s="90" t="s">
        <v>1874</v>
      </c>
      <c r="K71" s="90" t="s">
        <v>1875</v>
      </c>
      <c r="L71" s="90" t="s">
        <v>1876</v>
      </c>
      <c r="M71" s="95" t="s">
        <v>1679</v>
      </c>
      <c r="N71" s="90" t="s">
        <v>1877</v>
      </c>
    </row>
    <row r="72" spans="1:14" ht="16.5">
      <c r="A72" s="90">
        <v>69</v>
      </c>
      <c r="B72" s="91">
        <v>227</v>
      </c>
      <c r="C72" s="93" t="s">
        <v>493</v>
      </c>
      <c r="D72" s="50" t="s">
        <v>1903</v>
      </c>
      <c r="E72" s="50" t="s">
        <v>1853</v>
      </c>
      <c r="F72" s="90" t="s">
        <v>1872</v>
      </c>
      <c r="G72" s="90" t="s">
        <v>1682</v>
      </c>
      <c r="H72" s="90" t="s">
        <v>1247</v>
      </c>
      <c r="I72" s="90" t="s">
        <v>1873</v>
      </c>
      <c r="J72" s="90" t="s">
        <v>1874</v>
      </c>
      <c r="K72" s="90" t="s">
        <v>1875</v>
      </c>
      <c r="L72" s="90" t="s">
        <v>1876</v>
      </c>
      <c r="M72" s="95" t="s">
        <v>1679</v>
      </c>
      <c r="N72" s="90" t="s">
        <v>1870</v>
      </c>
    </row>
    <row r="73" spans="1:14" ht="16.5">
      <c r="A73" s="90">
        <v>70</v>
      </c>
      <c r="B73" s="47">
        <v>234</v>
      </c>
      <c r="C73" s="50" t="s">
        <v>1878</v>
      </c>
      <c r="D73" s="50" t="s">
        <v>1903</v>
      </c>
      <c r="E73" s="50" t="s">
        <v>1853</v>
      </c>
      <c r="F73" s="90" t="s">
        <v>1854</v>
      </c>
      <c r="G73" s="90" t="s">
        <v>1674</v>
      </c>
      <c r="H73" s="90" t="s">
        <v>1247</v>
      </c>
      <c r="I73" s="90" t="s">
        <v>1855</v>
      </c>
      <c r="J73" s="90" t="s">
        <v>1856</v>
      </c>
      <c r="K73" s="90" t="s">
        <v>1857</v>
      </c>
      <c r="L73" s="90" t="s">
        <v>1858</v>
      </c>
      <c r="M73" s="95" t="s">
        <v>1679</v>
      </c>
      <c r="N73" s="90" t="s">
        <v>1859</v>
      </c>
    </row>
    <row r="74" spans="1:14" ht="16.5">
      <c r="A74" s="90">
        <v>71</v>
      </c>
      <c r="B74" s="47">
        <v>235</v>
      </c>
      <c r="C74" s="50" t="s">
        <v>601</v>
      </c>
      <c r="D74" s="50" t="s">
        <v>1903</v>
      </c>
      <c r="E74" s="50" t="s">
        <v>1853</v>
      </c>
      <c r="F74" s="90">
        <v>50</v>
      </c>
      <c r="G74" s="90">
        <v>30</v>
      </c>
      <c r="H74" s="90">
        <v>10</v>
      </c>
      <c r="I74" s="90">
        <v>30</v>
      </c>
      <c r="J74" s="90">
        <v>40</v>
      </c>
      <c r="K74" s="90">
        <v>60</v>
      </c>
      <c r="L74" s="90">
        <v>65</v>
      </c>
      <c r="M74" s="95">
        <v>1</v>
      </c>
      <c r="N74" s="90">
        <v>3</v>
      </c>
    </row>
    <row r="75" spans="1:14" ht="16.5">
      <c r="A75" s="90">
        <v>72</v>
      </c>
      <c r="B75" s="47">
        <v>236</v>
      </c>
      <c r="C75" s="50" t="s">
        <v>1688</v>
      </c>
      <c r="D75" s="50" t="s">
        <v>1903</v>
      </c>
      <c r="E75" s="50" t="s">
        <v>1853</v>
      </c>
      <c r="F75" s="90">
        <v>50</v>
      </c>
      <c r="G75" s="90">
        <v>30</v>
      </c>
      <c r="H75" s="90">
        <v>10</v>
      </c>
      <c r="I75" s="90">
        <v>30</v>
      </c>
      <c r="J75" s="90">
        <v>40</v>
      </c>
      <c r="K75" s="90">
        <v>60</v>
      </c>
      <c r="L75" s="90">
        <v>65</v>
      </c>
      <c r="M75" s="95">
        <v>1</v>
      </c>
      <c r="N75" s="90">
        <v>3</v>
      </c>
    </row>
    <row r="76" spans="1:14" ht="16.5">
      <c r="A76" s="90">
        <v>73</v>
      </c>
      <c r="B76" s="91">
        <v>201</v>
      </c>
      <c r="C76" s="90" t="s">
        <v>66</v>
      </c>
      <c r="D76" s="50" t="s">
        <v>1903</v>
      </c>
      <c r="E76" s="50" t="s">
        <v>1853</v>
      </c>
      <c r="F76" s="90" t="s">
        <v>1872</v>
      </c>
      <c r="G76" s="90" t="s">
        <v>1682</v>
      </c>
      <c r="H76" s="90" t="s">
        <v>1247</v>
      </c>
      <c r="I76" s="90" t="s">
        <v>1879</v>
      </c>
      <c r="J76" s="90" t="s">
        <v>1880</v>
      </c>
      <c r="K76" s="90" t="s">
        <v>1875</v>
      </c>
      <c r="L76" s="90" t="s">
        <v>1876</v>
      </c>
      <c r="M76" s="95" t="s">
        <v>1679</v>
      </c>
      <c r="N76" s="90" t="s">
        <v>1680</v>
      </c>
    </row>
    <row r="77" spans="1:14" ht="16.5">
      <c r="A77" s="90">
        <v>74</v>
      </c>
      <c r="B77" s="91">
        <v>206</v>
      </c>
      <c r="C77" s="90" t="s">
        <v>293</v>
      </c>
      <c r="D77" s="50" t="s">
        <v>1903</v>
      </c>
      <c r="E77" s="50" t="s">
        <v>1853</v>
      </c>
      <c r="F77" s="90" t="s">
        <v>1860</v>
      </c>
      <c r="G77" s="90" t="s">
        <v>1682</v>
      </c>
      <c r="H77" s="90" t="s">
        <v>1247</v>
      </c>
      <c r="I77" s="90" t="s">
        <v>1861</v>
      </c>
      <c r="J77" s="90" t="s">
        <v>1862</v>
      </c>
      <c r="K77" s="90" t="s">
        <v>1863</v>
      </c>
      <c r="L77" s="90" t="s">
        <v>1864</v>
      </c>
      <c r="M77" s="95" t="s">
        <v>1679</v>
      </c>
      <c r="N77" s="90" t="s">
        <v>1680</v>
      </c>
    </row>
    <row r="78" spans="1:14" ht="16.5">
      <c r="A78" s="90">
        <v>75</v>
      </c>
      <c r="B78" s="47">
        <v>209</v>
      </c>
      <c r="C78" s="50" t="s">
        <v>344</v>
      </c>
      <c r="D78" s="50" t="s">
        <v>1903</v>
      </c>
      <c r="E78" s="50" t="s">
        <v>1853</v>
      </c>
      <c r="F78" s="90" t="s">
        <v>1860</v>
      </c>
      <c r="G78" s="90" t="s">
        <v>1682</v>
      </c>
      <c r="H78" s="90" t="s">
        <v>1247</v>
      </c>
      <c r="I78" s="90" t="s">
        <v>1861</v>
      </c>
      <c r="J78" s="90" t="s">
        <v>1862</v>
      </c>
      <c r="K78" s="90" t="s">
        <v>1863</v>
      </c>
      <c r="L78" s="90" t="s">
        <v>1864</v>
      </c>
      <c r="M78" s="95" t="s">
        <v>1679</v>
      </c>
      <c r="N78" s="90" t="s">
        <v>1680</v>
      </c>
    </row>
    <row r="79" spans="1:14" ht="16.5">
      <c r="A79" s="90">
        <v>76</v>
      </c>
      <c r="B79" s="47">
        <v>230</v>
      </c>
      <c r="C79" s="50" t="s">
        <v>539</v>
      </c>
      <c r="D79" s="50" t="s">
        <v>1903</v>
      </c>
      <c r="E79" s="50" t="s">
        <v>1853</v>
      </c>
      <c r="F79" s="90" t="s">
        <v>1881</v>
      </c>
      <c r="G79" s="90" t="s">
        <v>1682</v>
      </c>
      <c r="H79" s="90" t="s">
        <v>1247</v>
      </c>
      <c r="I79" s="90" t="s">
        <v>1683</v>
      </c>
      <c r="J79" s="90" t="s">
        <v>1684</v>
      </c>
      <c r="K79" s="90" t="s">
        <v>1882</v>
      </c>
      <c r="L79" s="90" t="s">
        <v>1883</v>
      </c>
      <c r="M79" s="95" t="s">
        <v>1679</v>
      </c>
      <c r="N79" s="90" t="s">
        <v>1884</v>
      </c>
    </row>
    <row r="80" spans="1:14" ht="16.5">
      <c r="A80" s="90">
        <v>77</v>
      </c>
      <c r="B80" s="91">
        <v>232</v>
      </c>
      <c r="C80" s="90" t="s">
        <v>319</v>
      </c>
      <c r="D80" s="50" t="s">
        <v>1903</v>
      </c>
      <c r="E80" s="50" t="s">
        <v>1853</v>
      </c>
      <c r="F80" s="90" t="s">
        <v>1860</v>
      </c>
      <c r="G80" s="90" t="s">
        <v>1682</v>
      </c>
      <c r="H80" s="90" t="s">
        <v>1247</v>
      </c>
      <c r="I80" s="90" t="s">
        <v>1861</v>
      </c>
      <c r="J80" s="90" t="s">
        <v>1862</v>
      </c>
      <c r="K80" s="90" t="s">
        <v>1863</v>
      </c>
      <c r="L80" s="90" t="s">
        <v>1864</v>
      </c>
      <c r="M80" s="95" t="s">
        <v>1679</v>
      </c>
      <c r="N80" s="90" t="s">
        <v>1680</v>
      </c>
    </row>
    <row r="81" spans="1:14" ht="16.5">
      <c r="A81" s="90">
        <v>78</v>
      </c>
      <c r="B81" s="47">
        <v>233</v>
      </c>
      <c r="C81" s="50" t="s">
        <v>593</v>
      </c>
      <c r="D81" s="50" t="s">
        <v>1903</v>
      </c>
      <c r="E81" s="50" t="s">
        <v>1853</v>
      </c>
      <c r="F81" s="90">
        <v>50</v>
      </c>
      <c r="G81" s="90">
        <v>30</v>
      </c>
      <c r="H81" s="90">
        <v>10</v>
      </c>
      <c r="I81" s="90">
        <v>30</v>
      </c>
      <c r="J81" s="90">
        <v>40</v>
      </c>
      <c r="K81" s="90">
        <v>60</v>
      </c>
      <c r="L81" s="90">
        <v>65</v>
      </c>
      <c r="M81" s="95">
        <v>1</v>
      </c>
      <c r="N81" s="90">
        <v>3</v>
      </c>
    </row>
    <row r="82" spans="1:14" ht="16.5">
      <c r="A82" s="90">
        <v>79</v>
      </c>
      <c r="B82" s="47">
        <v>237</v>
      </c>
      <c r="C82" s="50" t="s">
        <v>565</v>
      </c>
      <c r="D82" s="50" t="s">
        <v>1903</v>
      </c>
      <c r="E82" s="50" t="s">
        <v>1853</v>
      </c>
      <c r="F82" s="90" t="s">
        <v>1885</v>
      </c>
      <c r="G82" s="90" t="s">
        <v>1682</v>
      </c>
      <c r="H82" s="90" t="s">
        <v>1247</v>
      </c>
      <c r="I82" s="90" t="s">
        <v>1675</v>
      </c>
      <c r="J82" s="90" t="s">
        <v>1676</v>
      </c>
      <c r="K82" s="90" t="s">
        <v>1886</v>
      </c>
      <c r="L82" s="90" t="s">
        <v>1887</v>
      </c>
      <c r="M82" s="95" t="s">
        <v>1679</v>
      </c>
      <c r="N82" s="90" t="s">
        <v>1680</v>
      </c>
    </row>
    <row r="83" spans="1:14" ht="16.5">
      <c r="A83" s="90">
        <v>80</v>
      </c>
      <c r="B83" s="47">
        <v>213</v>
      </c>
      <c r="C83" s="50" t="s">
        <v>599</v>
      </c>
      <c r="D83" s="50" t="s">
        <v>1903</v>
      </c>
      <c r="E83" s="50" t="s">
        <v>1853</v>
      </c>
      <c r="F83" s="90">
        <v>63</v>
      </c>
      <c r="G83" s="90">
        <v>30</v>
      </c>
      <c r="H83" s="90">
        <v>10</v>
      </c>
      <c r="I83" s="90">
        <v>48</v>
      </c>
      <c r="J83" s="90">
        <v>53</v>
      </c>
      <c r="K83" s="90">
        <v>73</v>
      </c>
      <c r="L83" s="90">
        <v>78</v>
      </c>
      <c r="M83" s="95">
        <v>1</v>
      </c>
      <c r="N83" s="90">
        <v>6</v>
      </c>
    </row>
    <row r="84" spans="1:14" ht="16.5">
      <c r="A84" s="90">
        <v>81</v>
      </c>
      <c r="B84" s="47">
        <v>224</v>
      </c>
      <c r="C84" s="50" t="s">
        <v>369</v>
      </c>
      <c r="D84" s="50" t="s">
        <v>1903</v>
      </c>
      <c r="E84" s="50" t="s">
        <v>1853</v>
      </c>
      <c r="F84" s="90" t="s">
        <v>1860</v>
      </c>
      <c r="G84" s="90" t="s">
        <v>1682</v>
      </c>
      <c r="H84" s="90" t="s">
        <v>1247</v>
      </c>
      <c r="I84" s="90" t="s">
        <v>1861</v>
      </c>
      <c r="J84" s="90" t="s">
        <v>1862</v>
      </c>
      <c r="K84" s="90" t="s">
        <v>1863</v>
      </c>
      <c r="L84" s="90" t="s">
        <v>1864</v>
      </c>
      <c r="M84" s="95" t="s">
        <v>1679</v>
      </c>
      <c r="N84" s="90" t="s">
        <v>1680</v>
      </c>
    </row>
    <row r="85" spans="1:14" ht="16.5">
      <c r="A85" s="90">
        <v>82</v>
      </c>
      <c r="B85" s="47">
        <v>229</v>
      </c>
      <c r="C85" s="50" t="s">
        <v>515</v>
      </c>
      <c r="D85" s="50" t="s">
        <v>1903</v>
      </c>
      <c r="E85" s="50" t="s">
        <v>1853</v>
      </c>
      <c r="F85" s="90" t="s">
        <v>1872</v>
      </c>
      <c r="G85" s="90" t="s">
        <v>1682</v>
      </c>
      <c r="H85" s="90" t="s">
        <v>1247</v>
      </c>
      <c r="I85" s="90" t="s">
        <v>1879</v>
      </c>
      <c r="J85" s="90" t="s">
        <v>1880</v>
      </c>
      <c r="K85" s="90" t="s">
        <v>1875</v>
      </c>
      <c r="L85" s="90" t="s">
        <v>1876</v>
      </c>
      <c r="M85" s="95" t="s">
        <v>1679</v>
      </c>
      <c r="N85" s="90" t="s">
        <v>1680</v>
      </c>
    </row>
    <row r="86" spans="1:14" ht="16.5">
      <c r="A86" s="90">
        <v>83</v>
      </c>
      <c r="B86" s="47">
        <v>231</v>
      </c>
      <c r="C86" s="94" t="s">
        <v>591</v>
      </c>
      <c r="D86" s="50" t="s">
        <v>1903</v>
      </c>
      <c r="E86" s="50" t="s">
        <v>1853</v>
      </c>
      <c r="F86" s="90" t="s">
        <v>1872</v>
      </c>
      <c r="G86" s="90" t="s">
        <v>1862</v>
      </c>
      <c r="H86" s="90" t="s">
        <v>1888</v>
      </c>
      <c r="I86" s="90" t="s">
        <v>1862</v>
      </c>
      <c r="J86" s="90" t="s">
        <v>1889</v>
      </c>
      <c r="K86" s="90" t="s">
        <v>1890</v>
      </c>
      <c r="L86" s="90" t="s">
        <v>1868</v>
      </c>
      <c r="M86" s="95" t="s">
        <v>1679</v>
      </c>
      <c r="N86" s="90" t="s">
        <v>1891</v>
      </c>
    </row>
    <row r="87" spans="1:14" ht="16.5">
      <c r="A87" s="90">
        <v>84</v>
      </c>
      <c r="B87" s="47">
        <v>211</v>
      </c>
      <c r="C87" s="50" t="s">
        <v>605</v>
      </c>
      <c r="D87" s="50" t="s">
        <v>1903</v>
      </c>
      <c r="E87" s="50" t="s">
        <v>1853</v>
      </c>
      <c r="F87" s="90">
        <v>50</v>
      </c>
      <c r="G87" s="90">
        <v>30</v>
      </c>
      <c r="H87" s="90">
        <v>10</v>
      </c>
      <c r="I87" s="90">
        <v>33</v>
      </c>
      <c r="J87" s="90">
        <v>38</v>
      </c>
      <c r="K87" s="90">
        <v>58</v>
      </c>
      <c r="L87" s="90">
        <v>63</v>
      </c>
      <c r="M87" s="95">
        <v>1</v>
      </c>
      <c r="N87" s="90">
        <v>3</v>
      </c>
    </row>
    <row r="88" spans="1:14" ht="16.5">
      <c r="A88" s="90">
        <v>85</v>
      </c>
      <c r="B88" s="47">
        <v>212</v>
      </c>
      <c r="C88" s="50" t="s">
        <v>394</v>
      </c>
      <c r="D88" s="50" t="s">
        <v>1903</v>
      </c>
      <c r="E88" s="50" t="s">
        <v>1853</v>
      </c>
      <c r="F88" s="90" t="s">
        <v>1898</v>
      </c>
      <c r="G88" s="90" t="s">
        <v>1862</v>
      </c>
      <c r="H88" s="90" t="s">
        <v>1888</v>
      </c>
      <c r="I88" s="90" t="s">
        <v>1899</v>
      </c>
      <c r="J88" s="90" t="s">
        <v>1889</v>
      </c>
      <c r="K88" s="90" t="s">
        <v>1900</v>
      </c>
      <c r="L88" s="90" t="s">
        <v>1901</v>
      </c>
      <c r="M88" s="95" t="s">
        <v>1679</v>
      </c>
      <c r="N88" s="90" t="s">
        <v>1902</v>
      </c>
    </row>
    <row r="89" spans="1:14" ht="16.5">
      <c r="A89" s="90">
        <v>86</v>
      </c>
      <c r="B89" s="47">
        <v>300</v>
      </c>
      <c r="C89" s="50" t="s">
        <v>1896</v>
      </c>
      <c r="D89" s="50" t="s">
        <v>1903</v>
      </c>
      <c r="E89" s="50" t="s">
        <v>1853</v>
      </c>
      <c r="F89" s="90">
        <v>42</v>
      </c>
      <c r="G89" s="90">
        <v>30</v>
      </c>
      <c r="H89" s="90">
        <v>10</v>
      </c>
      <c r="I89" s="90">
        <v>27</v>
      </c>
      <c r="J89" s="90">
        <v>32</v>
      </c>
      <c r="K89" s="90">
        <v>52</v>
      </c>
      <c r="L89" s="90">
        <v>57</v>
      </c>
      <c r="M89" s="95">
        <v>1</v>
      </c>
      <c r="N89" s="90">
        <v>3</v>
      </c>
    </row>
    <row r="90" spans="1:14" ht="16.5">
      <c r="A90" s="90">
        <v>87</v>
      </c>
      <c r="B90" s="47">
        <v>228</v>
      </c>
      <c r="C90" s="50" t="s">
        <v>948</v>
      </c>
      <c r="D90" s="50" t="s">
        <v>1903</v>
      </c>
      <c r="E90" s="50" t="s">
        <v>1853</v>
      </c>
      <c r="F90" s="90" t="s">
        <v>1872</v>
      </c>
      <c r="G90" s="90" t="s">
        <v>1682</v>
      </c>
      <c r="H90" s="90" t="s">
        <v>1247</v>
      </c>
      <c r="I90" s="90" t="s">
        <v>1873</v>
      </c>
      <c r="J90" s="90" t="s">
        <v>1874</v>
      </c>
      <c r="K90" s="90" t="s">
        <v>1875</v>
      </c>
      <c r="L90" s="90" t="s">
        <v>1876</v>
      </c>
      <c r="M90" s="95" t="s">
        <v>1679</v>
      </c>
      <c r="N90" s="90" t="s">
        <v>1877</v>
      </c>
    </row>
    <row r="91" spans="1:14" ht="16.5">
      <c r="A91" s="90">
        <v>88</v>
      </c>
      <c r="B91" s="47">
        <v>202</v>
      </c>
      <c r="C91" s="50" t="s">
        <v>154</v>
      </c>
      <c r="D91" s="50" t="s">
        <v>1905</v>
      </c>
      <c r="E91" s="50" t="s">
        <v>1853</v>
      </c>
      <c r="F91" s="90" t="s">
        <v>1854</v>
      </c>
      <c r="G91" s="90" t="s">
        <v>1674</v>
      </c>
      <c r="H91" s="90" t="s">
        <v>1247</v>
      </c>
      <c r="I91" s="90" t="s">
        <v>1855</v>
      </c>
      <c r="J91" s="90" t="s">
        <v>1856</v>
      </c>
      <c r="K91" s="90" t="s">
        <v>1857</v>
      </c>
      <c r="L91" s="90" t="s">
        <v>1858</v>
      </c>
      <c r="M91" s="95" t="s">
        <v>1679</v>
      </c>
      <c r="N91" s="90" t="s">
        <v>1859</v>
      </c>
    </row>
    <row r="92" spans="1:14" ht="16.5">
      <c r="A92" s="90">
        <v>89</v>
      </c>
      <c r="B92" s="91">
        <v>203</v>
      </c>
      <c r="C92" s="90" t="s">
        <v>202</v>
      </c>
      <c r="D92" s="50" t="s">
        <v>1905</v>
      </c>
      <c r="E92" s="50" t="s">
        <v>1853</v>
      </c>
      <c r="F92" s="90" t="s">
        <v>1881</v>
      </c>
      <c r="G92" s="90" t="s">
        <v>1682</v>
      </c>
      <c r="H92" s="90" t="s">
        <v>1247</v>
      </c>
      <c r="I92" s="90" t="s">
        <v>1683</v>
      </c>
      <c r="J92" s="90" t="s">
        <v>1684</v>
      </c>
      <c r="K92" s="90" t="s">
        <v>1882</v>
      </c>
      <c r="L92" s="90" t="s">
        <v>1883</v>
      </c>
      <c r="M92" s="95" t="s">
        <v>1679</v>
      </c>
      <c r="N92" s="90" t="s">
        <v>1906</v>
      </c>
    </row>
    <row r="93" spans="1:14" ht="16.5">
      <c r="A93" s="90">
        <v>90</v>
      </c>
      <c r="B93" s="47">
        <v>204</v>
      </c>
      <c r="C93" s="50" t="s">
        <v>226</v>
      </c>
      <c r="D93" s="50" t="s">
        <v>1905</v>
      </c>
      <c r="E93" s="50" t="s">
        <v>1853</v>
      </c>
      <c r="F93" s="90" t="s">
        <v>1854</v>
      </c>
      <c r="G93" s="90" t="s">
        <v>1674</v>
      </c>
      <c r="H93" s="90" t="s">
        <v>1247</v>
      </c>
      <c r="I93" s="90" t="s">
        <v>1855</v>
      </c>
      <c r="J93" s="90" t="s">
        <v>1856</v>
      </c>
      <c r="K93" s="90" t="s">
        <v>1857</v>
      </c>
      <c r="L93" s="90" t="s">
        <v>1858</v>
      </c>
      <c r="M93" s="95" t="s">
        <v>1679</v>
      </c>
      <c r="N93" s="90" t="s">
        <v>1680</v>
      </c>
    </row>
    <row r="94" spans="1:14" ht="16.5">
      <c r="A94" s="90">
        <v>91</v>
      </c>
      <c r="B94" s="47">
        <v>205</v>
      </c>
      <c r="C94" s="50" t="s">
        <v>249</v>
      </c>
      <c r="D94" s="50" t="s">
        <v>1905</v>
      </c>
      <c r="E94" s="50" t="s">
        <v>1853</v>
      </c>
      <c r="F94" s="90" t="s">
        <v>1854</v>
      </c>
      <c r="G94" s="90" t="s">
        <v>1674</v>
      </c>
      <c r="H94" s="90" t="s">
        <v>1247</v>
      </c>
      <c r="I94" s="90" t="s">
        <v>1855</v>
      </c>
      <c r="J94" s="90" t="s">
        <v>1856</v>
      </c>
      <c r="K94" s="90" t="s">
        <v>1857</v>
      </c>
      <c r="L94" s="90" t="s">
        <v>1858</v>
      </c>
      <c r="M94" s="95" t="s">
        <v>1679</v>
      </c>
      <c r="N94" s="90" t="s">
        <v>1859</v>
      </c>
    </row>
    <row r="95" spans="1:14" ht="16.5">
      <c r="A95" s="90">
        <v>92</v>
      </c>
      <c r="B95" s="47">
        <v>207</v>
      </c>
      <c r="C95" s="50" t="s">
        <v>595</v>
      </c>
      <c r="D95" s="50" t="s">
        <v>1905</v>
      </c>
      <c r="E95" s="50" t="s">
        <v>1853</v>
      </c>
      <c r="F95" s="90">
        <v>50</v>
      </c>
      <c r="G95" s="90">
        <v>30</v>
      </c>
      <c r="H95" s="90">
        <v>10</v>
      </c>
      <c r="I95" s="90">
        <v>30</v>
      </c>
      <c r="J95" s="90">
        <v>40</v>
      </c>
      <c r="K95" s="90">
        <v>60</v>
      </c>
      <c r="L95" s="90">
        <v>65</v>
      </c>
      <c r="M95" s="95">
        <v>1</v>
      </c>
      <c r="N95" s="90">
        <v>3</v>
      </c>
    </row>
    <row r="96" spans="1:14" ht="16.5">
      <c r="A96" s="90">
        <v>93</v>
      </c>
      <c r="B96" s="96">
        <v>208</v>
      </c>
      <c r="C96" s="97" t="s">
        <v>589</v>
      </c>
      <c r="D96" s="97" t="s">
        <v>1905</v>
      </c>
      <c r="E96" s="97" t="s">
        <v>1853</v>
      </c>
      <c r="F96" s="97">
        <v>63</v>
      </c>
      <c r="G96" s="97">
        <v>50</v>
      </c>
      <c r="H96" s="97">
        <v>1</v>
      </c>
      <c r="I96" s="97">
        <v>30</v>
      </c>
      <c r="J96" s="97">
        <v>45</v>
      </c>
      <c r="K96" s="97">
        <v>73</v>
      </c>
      <c r="L96" s="97">
        <v>78</v>
      </c>
      <c r="M96" s="98">
        <v>1</v>
      </c>
      <c r="N96" s="97">
        <v>12</v>
      </c>
    </row>
    <row r="97" spans="1:14" ht="16.5">
      <c r="A97" s="90">
        <v>94</v>
      </c>
      <c r="B97" s="47">
        <v>215</v>
      </c>
      <c r="C97" s="50" t="s">
        <v>418</v>
      </c>
      <c r="D97" s="50" t="s">
        <v>1905</v>
      </c>
      <c r="E97" s="50" t="s">
        <v>1853</v>
      </c>
      <c r="F97" s="90" t="s">
        <v>1907</v>
      </c>
      <c r="G97" s="90" t="s">
        <v>1682</v>
      </c>
      <c r="H97" s="90" t="s">
        <v>1247</v>
      </c>
      <c r="I97" s="90" t="s">
        <v>1908</v>
      </c>
      <c r="J97" s="90" t="s">
        <v>1909</v>
      </c>
      <c r="K97" s="90" t="s">
        <v>1910</v>
      </c>
      <c r="L97" s="90" t="s">
        <v>1911</v>
      </c>
      <c r="M97" s="95" t="s">
        <v>1679</v>
      </c>
      <c r="N97" s="90" t="s">
        <v>1906</v>
      </c>
    </row>
    <row r="98" spans="1:14" ht="16.5">
      <c r="A98" s="90">
        <v>95</v>
      </c>
      <c r="B98" s="47">
        <v>222</v>
      </c>
      <c r="C98" s="50" t="s">
        <v>442</v>
      </c>
      <c r="D98" s="50" t="s">
        <v>1905</v>
      </c>
      <c r="E98" s="50" t="s">
        <v>1853</v>
      </c>
      <c r="F98" s="90" t="s">
        <v>1854</v>
      </c>
      <c r="G98" s="90" t="s">
        <v>1871</v>
      </c>
      <c r="H98" s="90" t="s">
        <v>1247</v>
      </c>
      <c r="I98" s="90" t="s">
        <v>1855</v>
      </c>
      <c r="J98" s="90" t="s">
        <v>1856</v>
      </c>
      <c r="K98" s="90" t="s">
        <v>1857</v>
      </c>
      <c r="L98" s="90" t="s">
        <v>1858</v>
      </c>
      <c r="M98" s="95" t="s">
        <v>1679</v>
      </c>
      <c r="N98" s="90" t="s">
        <v>1859</v>
      </c>
    </row>
    <row r="99" spans="1:14" ht="16.5">
      <c r="A99" s="90">
        <v>96</v>
      </c>
      <c r="B99" s="47">
        <v>223</v>
      </c>
      <c r="C99" s="50" t="s">
        <v>918</v>
      </c>
      <c r="D99" s="50" t="s">
        <v>1905</v>
      </c>
      <c r="E99" s="50" t="s">
        <v>1853</v>
      </c>
      <c r="F99" s="90">
        <v>28</v>
      </c>
      <c r="G99" s="90">
        <v>30</v>
      </c>
      <c r="H99" s="90">
        <v>10</v>
      </c>
      <c r="I99" s="90">
        <v>17</v>
      </c>
      <c r="J99" s="90">
        <v>22</v>
      </c>
      <c r="K99" s="90">
        <v>33</v>
      </c>
      <c r="L99" s="90">
        <v>38</v>
      </c>
      <c r="M99" s="95">
        <v>1</v>
      </c>
      <c r="N99" s="90">
        <v>2</v>
      </c>
    </row>
    <row r="100" spans="1:14" ht="16.5">
      <c r="A100" s="90">
        <v>97</v>
      </c>
      <c r="B100" s="47">
        <v>226</v>
      </c>
      <c r="C100" s="92" t="s">
        <v>469</v>
      </c>
      <c r="D100" s="50" t="s">
        <v>1905</v>
      </c>
      <c r="E100" s="50" t="s">
        <v>1853</v>
      </c>
      <c r="F100" s="90" t="s">
        <v>1912</v>
      </c>
      <c r="G100" s="90" t="s">
        <v>1682</v>
      </c>
      <c r="H100" s="90" t="s">
        <v>1247</v>
      </c>
      <c r="I100" s="90" t="s">
        <v>1866</v>
      </c>
      <c r="J100" s="90" t="s">
        <v>1913</v>
      </c>
      <c r="K100" s="90" t="s">
        <v>1901</v>
      </c>
      <c r="L100" s="90" t="s">
        <v>1914</v>
      </c>
      <c r="M100" s="95" t="s">
        <v>1679</v>
      </c>
      <c r="N100" s="90" t="s">
        <v>1915</v>
      </c>
    </row>
    <row r="101" spans="1:14" ht="16.5">
      <c r="A101" s="90">
        <v>98</v>
      </c>
      <c r="B101" s="91">
        <v>227</v>
      </c>
      <c r="C101" s="93" t="s">
        <v>493</v>
      </c>
      <c r="D101" s="50" t="s">
        <v>1905</v>
      </c>
      <c r="E101" s="50" t="s">
        <v>1853</v>
      </c>
      <c r="F101" s="90" t="s">
        <v>1872</v>
      </c>
      <c r="G101" s="90" t="s">
        <v>1682</v>
      </c>
      <c r="H101" s="90" t="s">
        <v>1247</v>
      </c>
      <c r="I101" s="90" t="s">
        <v>1873</v>
      </c>
      <c r="J101" s="90" t="s">
        <v>1874</v>
      </c>
      <c r="K101" s="90" t="s">
        <v>1875</v>
      </c>
      <c r="L101" s="90" t="s">
        <v>1876</v>
      </c>
      <c r="M101" s="95" t="s">
        <v>1679</v>
      </c>
      <c r="N101" s="90" t="s">
        <v>1870</v>
      </c>
    </row>
    <row r="102" spans="1:14" ht="16.5">
      <c r="A102" s="90">
        <v>99</v>
      </c>
      <c r="B102" s="47">
        <v>234</v>
      </c>
      <c r="C102" s="50" t="s">
        <v>1878</v>
      </c>
      <c r="D102" s="50" t="s">
        <v>1905</v>
      </c>
      <c r="E102" s="50" t="s">
        <v>1853</v>
      </c>
      <c r="F102" s="90" t="s">
        <v>1854</v>
      </c>
      <c r="G102" s="90" t="s">
        <v>1674</v>
      </c>
      <c r="H102" s="90" t="s">
        <v>1247</v>
      </c>
      <c r="I102" s="90" t="s">
        <v>1855</v>
      </c>
      <c r="J102" s="90" t="s">
        <v>1856</v>
      </c>
      <c r="K102" s="90" t="s">
        <v>1857</v>
      </c>
      <c r="L102" s="90" t="s">
        <v>1858</v>
      </c>
      <c r="M102" s="95" t="s">
        <v>1679</v>
      </c>
      <c r="N102" s="90" t="s">
        <v>1859</v>
      </c>
    </row>
    <row r="103" spans="1:14" ht="16.5">
      <c r="A103" s="90">
        <v>100</v>
      </c>
      <c r="B103" s="47">
        <v>235</v>
      </c>
      <c r="C103" s="50" t="s">
        <v>601</v>
      </c>
      <c r="D103" s="50" t="s">
        <v>1905</v>
      </c>
      <c r="E103" s="50" t="s">
        <v>1853</v>
      </c>
      <c r="F103" s="90">
        <v>50</v>
      </c>
      <c r="G103" s="90">
        <v>30</v>
      </c>
      <c r="H103" s="90">
        <v>10</v>
      </c>
      <c r="I103" s="90">
        <v>30</v>
      </c>
      <c r="J103" s="90">
        <v>40</v>
      </c>
      <c r="K103" s="90">
        <v>60</v>
      </c>
      <c r="L103" s="90">
        <v>65</v>
      </c>
      <c r="M103" s="95">
        <v>1</v>
      </c>
      <c r="N103" s="90">
        <v>3</v>
      </c>
    </row>
    <row r="104" spans="1:14" ht="16.5">
      <c r="A104" s="90">
        <v>101</v>
      </c>
      <c r="B104" s="47">
        <v>236</v>
      </c>
      <c r="C104" s="50" t="s">
        <v>1688</v>
      </c>
      <c r="D104" s="50" t="s">
        <v>1905</v>
      </c>
      <c r="E104" s="50" t="s">
        <v>1853</v>
      </c>
      <c r="F104" s="90">
        <v>50</v>
      </c>
      <c r="G104" s="90">
        <v>30</v>
      </c>
      <c r="H104" s="90">
        <v>10</v>
      </c>
      <c r="I104" s="90">
        <v>30</v>
      </c>
      <c r="J104" s="90">
        <v>40</v>
      </c>
      <c r="K104" s="90">
        <v>60</v>
      </c>
      <c r="L104" s="90">
        <v>65</v>
      </c>
      <c r="M104" s="95">
        <v>1</v>
      </c>
      <c r="N104" s="90">
        <v>3</v>
      </c>
    </row>
    <row r="105" spans="1:14" ht="16.5">
      <c r="A105" s="90">
        <v>102</v>
      </c>
      <c r="B105" s="91">
        <v>201</v>
      </c>
      <c r="C105" s="90" t="s">
        <v>66</v>
      </c>
      <c r="D105" s="50" t="s">
        <v>1905</v>
      </c>
      <c r="E105" s="50" t="s">
        <v>1853</v>
      </c>
      <c r="F105" s="90" t="s">
        <v>1912</v>
      </c>
      <c r="G105" s="90" t="s">
        <v>1682</v>
      </c>
      <c r="H105" s="90" t="s">
        <v>1247</v>
      </c>
      <c r="I105" s="90" t="s">
        <v>1916</v>
      </c>
      <c r="J105" s="90" t="s">
        <v>1917</v>
      </c>
      <c r="K105" s="90" t="s">
        <v>1918</v>
      </c>
      <c r="L105" s="90" t="s">
        <v>1919</v>
      </c>
      <c r="M105" s="95" t="s">
        <v>1679</v>
      </c>
      <c r="N105" s="90" t="s">
        <v>1687</v>
      </c>
    </row>
    <row r="106" spans="1:14" ht="16.5">
      <c r="A106" s="90">
        <v>103</v>
      </c>
      <c r="B106" s="91">
        <v>206</v>
      </c>
      <c r="C106" s="90" t="s">
        <v>293</v>
      </c>
      <c r="D106" s="50" t="s">
        <v>1905</v>
      </c>
      <c r="E106" s="50" t="s">
        <v>1853</v>
      </c>
      <c r="F106" s="90" t="s">
        <v>1872</v>
      </c>
      <c r="G106" s="90" t="s">
        <v>1682</v>
      </c>
      <c r="H106" s="90" t="s">
        <v>1247</v>
      </c>
      <c r="I106" s="90" t="s">
        <v>1920</v>
      </c>
      <c r="J106" s="90" t="s">
        <v>1880</v>
      </c>
      <c r="K106" s="90" t="s">
        <v>1875</v>
      </c>
      <c r="L106" s="90" t="s">
        <v>1876</v>
      </c>
      <c r="M106" s="95" t="s">
        <v>1679</v>
      </c>
      <c r="N106" s="90" t="s">
        <v>1680</v>
      </c>
    </row>
    <row r="107" spans="1:14" ht="16.5">
      <c r="A107" s="90">
        <v>104</v>
      </c>
      <c r="B107" s="47">
        <v>209</v>
      </c>
      <c r="C107" s="50" t="s">
        <v>344</v>
      </c>
      <c r="D107" s="50" t="s">
        <v>1905</v>
      </c>
      <c r="E107" s="50" t="s">
        <v>1853</v>
      </c>
      <c r="F107" s="90" t="s">
        <v>1872</v>
      </c>
      <c r="G107" s="90" t="s">
        <v>1682</v>
      </c>
      <c r="H107" s="90" t="s">
        <v>1247</v>
      </c>
      <c r="I107" s="90" t="s">
        <v>1920</v>
      </c>
      <c r="J107" s="90" t="s">
        <v>1880</v>
      </c>
      <c r="K107" s="90" t="s">
        <v>1875</v>
      </c>
      <c r="L107" s="90" t="s">
        <v>1876</v>
      </c>
      <c r="M107" s="95" t="s">
        <v>1679</v>
      </c>
      <c r="N107" s="90" t="s">
        <v>1680</v>
      </c>
    </row>
    <row r="108" spans="1:14" ht="16.5">
      <c r="A108" s="90">
        <v>105</v>
      </c>
      <c r="B108" s="47">
        <v>230</v>
      </c>
      <c r="C108" s="50" t="s">
        <v>539</v>
      </c>
      <c r="D108" s="50" t="s">
        <v>1905</v>
      </c>
      <c r="E108" s="50" t="s">
        <v>1853</v>
      </c>
      <c r="F108" s="90" t="s">
        <v>1872</v>
      </c>
      <c r="G108" s="90" t="s">
        <v>1682</v>
      </c>
      <c r="H108" s="90" t="s">
        <v>1247</v>
      </c>
      <c r="I108" s="90" t="s">
        <v>1920</v>
      </c>
      <c r="J108" s="90" t="s">
        <v>1880</v>
      </c>
      <c r="K108" s="90" t="s">
        <v>1875</v>
      </c>
      <c r="L108" s="90" t="s">
        <v>1876</v>
      </c>
      <c r="M108" s="95" t="s">
        <v>1679</v>
      </c>
      <c r="N108" s="90" t="s">
        <v>1921</v>
      </c>
    </row>
    <row r="109" spans="1:14" ht="16.5">
      <c r="A109" s="90">
        <v>106</v>
      </c>
      <c r="B109" s="91">
        <v>232</v>
      </c>
      <c r="C109" s="90" t="s">
        <v>319</v>
      </c>
      <c r="D109" s="50" t="s">
        <v>1905</v>
      </c>
      <c r="E109" s="50" t="s">
        <v>1853</v>
      </c>
      <c r="F109" s="90" t="s">
        <v>1872</v>
      </c>
      <c r="G109" s="90" t="s">
        <v>1682</v>
      </c>
      <c r="H109" s="90" t="s">
        <v>1247</v>
      </c>
      <c r="I109" s="90" t="s">
        <v>1920</v>
      </c>
      <c r="J109" s="90" t="s">
        <v>1880</v>
      </c>
      <c r="K109" s="90" t="s">
        <v>1875</v>
      </c>
      <c r="L109" s="90" t="s">
        <v>1876</v>
      </c>
      <c r="M109" s="95" t="s">
        <v>1679</v>
      </c>
      <c r="N109" s="90" t="s">
        <v>1680</v>
      </c>
    </row>
    <row r="110" spans="1:14" ht="16.5">
      <c r="A110" s="90">
        <v>107</v>
      </c>
      <c r="B110" s="47">
        <v>233</v>
      </c>
      <c r="C110" s="50" t="s">
        <v>593</v>
      </c>
      <c r="D110" s="50" t="s">
        <v>1905</v>
      </c>
      <c r="E110" s="50" t="s">
        <v>1853</v>
      </c>
      <c r="F110" s="90">
        <v>50</v>
      </c>
      <c r="G110" s="90">
        <v>30</v>
      </c>
      <c r="H110" s="90">
        <v>10</v>
      </c>
      <c r="I110" s="90">
        <v>30</v>
      </c>
      <c r="J110" s="90">
        <v>40</v>
      </c>
      <c r="K110" s="90">
        <v>60</v>
      </c>
      <c r="L110" s="90">
        <v>65</v>
      </c>
      <c r="M110" s="95">
        <v>1</v>
      </c>
      <c r="N110" s="90">
        <v>3</v>
      </c>
    </row>
    <row r="111" spans="1:14" ht="16.5">
      <c r="A111" s="90">
        <v>108</v>
      </c>
      <c r="B111" s="47">
        <v>237</v>
      </c>
      <c r="C111" s="50" t="s">
        <v>565</v>
      </c>
      <c r="D111" s="50" t="s">
        <v>1905</v>
      </c>
      <c r="E111" s="50" t="s">
        <v>1853</v>
      </c>
      <c r="F111" s="90" t="s">
        <v>1885</v>
      </c>
      <c r="G111" s="90" t="s">
        <v>1682</v>
      </c>
      <c r="H111" s="90" t="s">
        <v>1247</v>
      </c>
      <c r="I111" s="90" t="s">
        <v>1675</v>
      </c>
      <c r="J111" s="90" t="s">
        <v>1676</v>
      </c>
      <c r="K111" s="90" t="s">
        <v>1886</v>
      </c>
      <c r="L111" s="90" t="s">
        <v>1887</v>
      </c>
      <c r="M111" s="95" t="s">
        <v>1679</v>
      </c>
      <c r="N111" s="90" t="s">
        <v>1680</v>
      </c>
    </row>
    <row r="112" spans="1:14" ht="16.5">
      <c r="A112" s="90">
        <v>109</v>
      </c>
      <c r="B112" s="47">
        <v>213</v>
      </c>
      <c r="C112" s="50" t="s">
        <v>599</v>
      </c>
      <c r="D112" s="50" t="s">
        <v>1905</v>
      </c>
      <c r="E112" s="50" t="s">
        <v>1853</v>
      </c>
      <c r="F112" s="90">
        <v>63</v>
      </c>
      <c r="G112" s="90">
        <v>30</v>
      </c>
      <c r="H112" s="90">
        <v>10</v>
      </c>
      <c r="I112" s="90">
        <v>48</v>
      </c>
      <c r="J112" s="90">
        <v>53</v>
      </c>
      <c r="K112" s="90">
        <v>73</v>
      </c>
      <c r="L112" s="90">
        <v>78</v>
      </c>
      <c r="M112" s="95">
        <v>1</v>
      </c>
      <c r="N112" s="90">
        <v>6</v>
      </c>
    </row>
    <row r="113" spans="1:14" ht="16.5">
      <c r="A113" s="90">
        <v>110</v>
      </c>
      <c r="B113" s="47">
        <v>224</v>
      </c>
      <c r="C113" s="50" t="s">
        <v>369</v>
      </c>
      <c r="D113" s="50" t="s">
        <v>1905</v>
      </c>
      <c r="E113" s="50" t="s">
        <v>1853</v>
      </c>
      <c r="F113" s="90" t="s">
        <v>1872</v>
      </c>
      <c r="G113" s="90" t="s">
        <v>1682</v>
      </c>
      <c r="H113" s="90" t="s">
        <v>1247</v>
      </c>
      <c r="I113" s="90" t="s">
        <v>1920</v>
      </c>
      <c r="J113" s="90" t="s">
        <v>1880</v>
      </c>
      <c r="K113" s="90" t="s">
        <v>1875</v>
      </c>
      <c r="L113" s="90" t="s">
        <v>1876</v>
      </c>
      <c r="M113" s="95" t="s">
        <v>1679</v>
      </c>
      <c r="N113" s="90" t="s">
        <v>1680</v>
      </c>
    </row>
    <row r="114" spans="1:14" ht="16.5">
      <c r="A114" s="90">
        <v>111</v>
      </c>
      <c r="B114" s="47">
        <v>229</v>
      </c>
      <c r="C114" s="50" t="s">
        <v>515</v>
      </c>
      <c r="D114" s="50" t="s">
        <v>1905</v>
      </c>
      <c r="E114" s="50" t="s">
        <v>1853</v>
      </c>
      <c r="F114" s="90" t="s">
        <v>1872</v>
      </c>
      <c r="G114" s="90" t="s">
        <v>1682</v>
      </c>
      <c r="H114" s="90" t="s">
        <v>1247</v>
      </c>
      <c r="I114" s="90" t="s">
        <v>1920</v>
      </c>
      <c r="J114" s="90" t="s">
        <v>1880</v>
      </c>
      <c r="K114" s="90" t="s">
        <v>1875</v>
      </c>
      <c r="L114" s="90" t="s">
        <v>1876</v>
      </c>
      <c r="M114" s="95" t="s">
        <v>1679</v>
      </c>
      <c r="N114" s="90" t="s">
        <v>1870</v>
      </c>
    </row>
    <row r="115" spans="1:14" ht="16.5">
      <c r="A115" s="90">
        <v>112</v>
      </c>
      <c r="B115" s="47">
        <v>231</v>
      </c>
      <c r="C115" s="94" t="s">
        <v>591</v>
      </c>
      <c r="D115" s="50" t="s">
        <v>1905</v>
      </c>
      <c r="E115" s="50" t="s">
        <v>1853</v>
      </c>
      <c r="F115" s="90" t="s">
        <v>1865</v>
      </c>
      <c r="G115" s="90" t="s">
        <v>1862</v>
      </c>
      <c r="H115" s="90" t="s">
        <v>1888</v>
      </c>
      <c r="I115" s="90" t="s">
        <v>1880</v>
      </c>
      <c r="J115" s="90" t="s">
        <v>1922</v>
      </c>
      <c r="K115" s="90" t="s">
        <v>1923</v>
      </c>
      <c r="L115" s="90" t="s">
        <v>1924</v>
      </c>
      <c r="M115" s="95" t="s">
        <v>1679</v>
      </c>
      <c r="N115" s="90" t="s">
        <v>1891</v>
      </c>
    </row>
    <row r="116" spans="1:14" ht="16.5">
      <c r="A116" s="90">
        <v>113</v>
      </c>
      <c r="B116" s="47">
        <v>211</v>
      </c>
      <c r="C116" s="50" t="s">
        <v>605</v>
      </c>
      <c r="D116" s="50" t="s">
        <v>1905</v>
      </c>
      <c r="E116" s="50" t="s">
        <v>1853</v>
      </c>
      <c r="F116" s="90">
        <v>60</v>
      </c>
      <c r="G116" s="90">
        <v>30</v>
      </c>
      <c r="H116" s="90">
        <v>10</v>
      </c>
      <c r="I116" s="90">
        <v>45</v>
      </c>
      <c r="J116" s="90">
        <v>50</v>
      </c>
      <c r="K116" s="90">
        <v>70</v>
      </c>
      <c r="L116" s="90">
        <v>75</v>
      </c>
      <c r="M116" s="95">
        <v>1</v>
      </c>
      <c r="N116" s="90">
        <v>5.5</v>
      </c>
    </row>
    <row r="117" spans="1:14" ht="16.5">
      <c r="A117" s="90">
        <v>114</v>
      </c>
      <c r="B117" s="47">
        <v>212</v>
      </c>
      <c r="C117" s="50" t="s">
        <v>394</v>
      </c>
      <c r="D117" s="50" t="s">
        <v>1905</v>
      </c>
      <c r="E117" s="50" t="s">
        <v>1853</v>
      </c>
      <c r="F117" s="90" t="s">
        <v>1898</v>
      </c>
      <c r="G117" s="90" t="s">
        <v>1862</v>
      </c>
      <c r="H117" s="90" t="s">
        <v>1888</v>
      </c>
      <c r="I117" s="90" t="s">
        <v>1899</v>
      </c>
      <c r="J117" s="90" t="s">
        <v>1889</v>
      </c>
      <c r="K117" s="90" t="s">
        <v>1900</v>
      </c>
      <c r="L117" s="90" t="s">
        <v>1901</v>
      </c>
      <c r="M117" s="95" t="s">
        <v>1679</v>
      </c>
      <c r="N117" s="90" t="s">
        <v>1902</v>
      </c>
    </row>
    <row r="118" spans="1:14" ht="16.5">
      <c r="A118" s="90">
        <v>115</v>
      </c>
      <c r="B118" s="47">
        <v>300</v>
      </c>
      <c r="C118" s="50" t="s">
        <v>1896</v>
      </c>
      <c r="D118" s="50" t="s">
        <v>1903</v>
      </c>
      <c r="E118" s="50" t="s">
        <v>1853</v>
      </c>
      <c r="F118" s="90">
        <v>42</v>
      </c>
      <c r="G118" s="90">
        <v>30</v>
      </c>
      <c r="H118" s="90">
        <v>10</v>
      </c>
      <c r="I118" s="90">
        <v>27</v>
      </c>
      <c r="J118" s="90">
        <v>32</v>
      </c>
      <c r="K118" s="90">
        <v>52</v>
      </c>
      <c r="L118" s="90">
        <v>57</v>
      </c>
      <c r="M118" s="95">
        <v>1</v>
      </c>
      <c r="N118" s="90">
        <v>3</v>
      </c>
    </row>
    <row r="119" spans="1:14" ht="16.5">
      <c r="A119" s="90">
        <v>116</v>
      </c>
      <c r="B119" s="47">
        <v>228</v>
      </c>
      <c r="C119" s="50" t="s">
        <v>948</v>
      </c>
      <c r="D119" s="50" t="s">
        <v>1905</v>
      </c>
      <c r="E119" s="50" t="s">
        <v>1853</v>
      </c>
      <c r="F119" s="90" t="s">
        <v>1872</v>
      </c>
      <c r="G119" s="90" t="s">
        <v>1682</v>
      </c>
      <c r="H119" s="90" t="s">
        <v>1247</v>
      </c>
      <c r="I119" s="90" t="s">
        <v>1873</v>
      </c>
      <c r="J119" s="90" t="s">
        <v>1874</v>
      </c>
      <c r="K119" s="90" t="s">
        <v>1875</v>
      </c>
      <c r="L119" s="90" t="s">
        <v>1876</v>
      </c>
      <c r="M119" s="95" t="s">
        <v>1679</v>
      </c>
      <c r="N119" s="90" t="s">
        <v>1877</v>
      </c>
    </row>
    <row r="120" spans="1:14" ht="16.5">
      <c r="A120" s="90">
        <v>117</v>
      </c>
      <c r="B120" s="47">
        <v>202</v>
      </c>
      <c r="C120" s="50" t="s">
        <v>154</v>
      </c>
      <c r="D120" s="1" t="s">
        <v>1925</v>
      </c>
      <c r="E120" s="50" t="s">
        <v>1853</v>
      </c>
      <c r="F120" s="90" t="s">
        <v>1854</v>
      </c>
      <c r="G120" s="90" t="s">
        <v>1674</v>
      </c>
      <c r="H120" s="90" t="s">
        <v>1247</v>
      </c>
      <c r="I120" s="90" t="s">
        <v>1855</v>
      </c>
      <c r="J120" s="90" t="s">
        <v>1856</v>
      </c>
      <c r="K120" s="90" t="s">
        <v>1857</v>
      </c>
      <c r="L120" s="90" t="s">
        <v>1858</v>
      </c>
      <c r="M120" s="95" t="s">
        <v>1679</v>
      </c>
      <c r="N120" s="90" t="s">
        <v>1859</v>
      </c>
    </row>
    <row r="121" spans="1:14" ht="16.5">
      <c r="A121" s="90">
        <v>118</v>
      </c>
      <c r="B121" s="91">
        <v>203</v>
      </c>
      <c r="C121" s="90" t="s">
        <v>202</v>
      </c>
      <c r="D121" s="1" t="s">
        <v>1925</v>
      </c>
      <c r="E121" s="50" t="s">
        <v>1853</v>
      </c>
      <c r="F121" s="90" t="s">
        <v>1881</v>
      </c>
      <c r="G121" s="90" t="s">
        <v>1682</v>
      </c>
      <c r="H121" s="90" t="s">
        <v>1247</v>
      </c>
      <c r="I121" s="90" t="s">
        <v>1683</v>
      </c>
      <c r="J121" s="90" t="s">
        <v>1684</v>
      </c>
      <c r="K121" s="90" t="s">
        <v>1882</v>
      </c>
      <c r="L121" s="90" t="s">
        <v>1883</v>
      </c>
      <c r="M121" s="95" t="s">
        <v>1679</v>
      </c>
      <c r="N121" s="90" t="s">
        <v>1906</v>
      </c>
    </row>
    <row r="122" spans="1:14" ht="16.5">
      <c r="A122" s="90">
        <v>119</v>
      </c>
      <c r="B122" s="47">
        <v>204</v>
      </c>
      <c r="C122" s="50" t="s">
        <v>226</v>
      </c>
      <c r="D122" s="1" t="s">
        <v>1925</v>
      </c>
      <c r="E122" s="50" t="s">
        <v>1853</v>
      </c>
      <c r="F122" s="90" t="s">
        <v>1854</v>
      </c>
      <c r="G122" s="90" t="s">
        <v>1674</v>
      </c>
      <c r="H122" s="90" t="s">
        <v>1247</v>
      </c>
      <c r="I122" s="90" t="s">
        <v>1855</v>
      </c>
      <c r="J122" s="90" t="s">
        <v>1856</v>
      </c>
      <c r="K122" s="90" t="s">
        <v>1857</v>
      </c>
      <c r="L122" s="90" t="s">
        <v>1858</v>
      </c>
      <c r="M122" s="95" t="s">
        <v>1679</v>
      </c>
      <c r="N122" s="90" t="s">
        <v>1680</v>
      </c>
    </row>
    <row r="123" spans="1:14" ht="16.5">
      <c r="A123" s="90">
        <v>120</v>
      </c>
      <c r="B123" s="47">
        <v>205</v>
      </c>
      <c r="C123" s="50" t="s">
        <v>249</v>
      </c>
      <c r="D123" s="1" t="s">
        <v>1925</v>
      </c>
      <c r="E123" s="50" t="s">
        <v>1853</v>
      </c>
      <c r="F123" s="90" t="s">
        <v>1854</v>
      </c>
      <c r="G123" s="90" t="s">
        <v>1674</v>
      </c>
      <c r="H123" s="90" t="s">
        <v>1247</v>
      </c>
      <c r="I123" s="90" t="s">
        <v>1855</v>
      </c>
      <c r="J123" s="90" t="s">
        <v>1856</v>
      </c>
      <c r="K123" s="90" t="s">
        <v>1857</v>
      </c>
      <c r="L123" s="90" t="s">
        <v>1858</v>
      </c>
      <c r="M123" s="95" t="s">
        <v>1679</v>
      </c>
      <c r="N123" s="90" t="s">
        <v>1859</v>
      </c>
    </row>
    <row r="124" spans="1:14" ht="16.5">
      <c r="A124" s="90">
        <v>121</v>
      </c>
      <c r="B124" s="47">
        <v>207</v>
      </c>
      <c r="C124" s="50" t="s">
        <v>595</v>
      </c>
      <c r="D124" s="1" t="s">
        <v>1925</v>
      </c>
      <c r="E124" s="50" t="s">
        <v>1853</v>
      </c>
      <c r="F124" s="90">
        <v>50</v>
      </c>
      <c r="G124" s="90">
        <v>30</v>
      </c>
      <c r="H124" s="90">
        <v>10</v>
      </c>
      <c r="I124" s="90">
        <v>30</v>
      </c>
      <c r="J124" s="90">
        <v>40</v>
      </c>
      <c r="K124" s="90">
        <v>60</v>
      </c>
      <c r="L124" s="90">
        <v>65</v>
      </c>
      <c r="M124" s="95">
        <v>1</v>
      </c>
      <c r="N124" s="90">
        <v>3</v>
      </c>
    </row>
    <row r="125" spans="1:14" ht="16.5">
      <c r="A125" s="90">
        <v>122</v>
      </c>
      <c r="B125" s="47">
        <v>410</v>
      </c>
      <c r="C125" s="50" t="s">
        <v>2308</v>
      </c>
      <c r="D125" s="50" t="s">
        <v>1905</v>
      </c>
      <c r="E125" s="50" t="s">
        <v>1853</v>
      </c>
      <c r="F125" s="90">
        <v>50</v>
      </c>
      <c r="G125" s="90">
        <v>30</v>
      </c>
      <c r="H125" s="90">
        <v>10</v>
      </c>
      <c r="I125" s="90">
        <v>30</v>
      </c>
      <c r="J125" s="90">
        <v>40</v>
      </c>
      <c r="K125" s="90">
        <v>60</v>
      </c>
      <c r="L125" s="90">
        <v>65</v>
      </c>
      <c r="M125" s="95">
        <v>1</v>
      </c>
      <c r="N125" s="90">
        <v>3</v>
      </c>
    </row>
    <row r="126" spans="1:14" ht="16.5">
      <c r="A126" s="90">
        <v>123</v>
      </c>
      <c r="B126" s="47">
        <v>410</v>
      </c>
      <c r="C126" s="50" t="s">
        <v>2308</v>
      </c>
      <c r="D126" s="1" t="s">
        <v>1925</v>
      </c>
      <c r="E126" s="50" t="s">
        <v>1853</v>
      </c>
      <c r="F126" s="90">
        <v>50</v>
      </c>
      <c r="G126" s="90">
        <v>30</v>
      </c>
      <c r="H126" s="90">
        <v>10</v>
      </c>
      <c r="I126" s="90">
        <v>30</v>
      </c>
      <c r="J126" s="90">
        <v>40</v>
      </c>
      <c r="K126" s="90">
        <v>60</v>
      </c>
      <c r="L126" s="90">
        <v>65</v>
      </c>
      <c r="M126" s="95">
        <v>1</v>
      </c>
      <c r="N126" s="90">
        <v>3</v>
      </c>
    </row>
    <row r="127" spans="1:14" ht="16.5">
      <c r="A127" s="90">
        <v>124</v>
      </c>
      <c r="B127" s="96">
        <v>208</v>
      </c>
      <c r="C127" s="97" t="s">
        <v>589</v>
      </c>
      <c r="D127" s="1" t="s">
        <v>1925</v>
      </c>
      <c r="E127" s="97" t="s">
        <v>1853</v>
      </c>
      <c r="F127" s="97">
        <v>63</v>
      </c>
      <c r="G127" s="97">
        <v>50</v>
      </c>
      <c r="H127" s="97">
        <v>1</v>
      </c>
      <c r="I127" s="97">
        <v>30</v>
      </c>
      <c r="J127" s="97">
        <v>45</v>
      </c>
      <c r="K127" s="97">
        <v>73</v>
      </c>
      <c r="L127" s="97">
        <v>78</v>
      </c>
      <c r="M127" s="98">
        <v>1</v>
      </c>
      <c r="N127" s="97">
        <v>12</v>
      </c>
    </row>
    <row r="128" spans="1:14" ht="16.5">
      <c r="A128" s="90">
        <v>125</v>
      </c>
      <c r="B128" s="47">
        <v>215</v>
      </c>
      <c r="C128" s="50" t="s">
        <v>418</v>
      </c>
      <c r="D128" s="1" t="s">
        <v>1925</v>
      </c>
      <c r="E128" s="50" t="s">
        <v>1853</v>
      </c>
      <c r="F128" s="90" t="s">
        <v>1907</v>
      </c>
      <c r="G128" s="90" t="s">
        <v>1682</v>
      </c>
      <c r="H128" s="90" t="s">
        <v>1247</v>
      </c>
      <c r="I128" s="90" t="s">
        <v>1908</v>
      </c>
      <c r="J128" s="90" t="s">
        <v>1909</v>
      </c>
      <c r="K128" s="90" t="s">
        <v>1910</v>
      </c>
      <c r="L128" s="90" t="s">
        <v>1911</v>
      </c>
      <c r="M128" s="95" t="s">
        <v>1679</v>
      </c>
      <c r="N128" s="90" t="s">
        <v>1906</v>
      </c>
    </row>
    <row r="129" spans="1:14" ht="16.5">
      <c r="A129" s="90">
        <v>126</v>
      </c>
      <c r="B129" s="47">
        <v>222</v>
      </c>
      <c r="C129" s="50" t="s">
        <v>442</v>
      </c>
      <c r="D129" s="1" t="s">
        <v>1925</v>
      </c>
      <c r="E129" s="50" t="s">
        <v>1853</v>
      </c>
      <c r="F129" s="90" t="s">
        <v>1854</v>
      </c>
      <c r="G129" s="90" t="s">
        <v>1871</v>
      </c>
      <c r="H129" s="90" t="s">
        <v>1247</v>
      </c>
      <c r="I129" s="90" t="s">
        <v>1855</v>
      </c>
      <c r="J129" s="90" t="s">
        <v>1856</v>
      </c>
      <c r="K129" s="90" t="s">
        <v>1857</v>
      </c>
      <c r="L129" s="90" t="s">
        <v>1858</v>
      </c>
      <c r="M129" s="95" t="s">
        <v>1679</v>
      </c>
      <c r="N129" s="90" t="s">
        <v>1859</v>
      </c>
    </row>
    <row r="130" spans="1:14" ht="16.5">
      <c r="A130" s="90">
        <v>127</v>
      </c>
      <c r="B130" s="47">
        <v>223</v>
      </c>
      <c r="C130" s="50" t="s">
        <v>918</v>
      </c>
      <c r="D130" s="1" t="s">
        <v>1925</v>
      </c>
      <c r="E130" s="50" t="s">
        <v>1853</v>
      </c>
      <c r="F130" s="90">
        <v>28</v>
      </c>
      <c r="G130" s="90">
        <v>30</v>
      </c>
      <c r="H130" s="90">
        <v>10</v>
      </c>
      <c r="I130" s="90">
        <v>17</v>
      </c>
      <c r="J130" s="90">
        <v>22</v>
      </c>
      <c r="K130" s="90">
        <v>33</v>
      </c>
      <c r="L130" s="90">
        <v>38</v>
      </c>
      <c r="M130" s="95">
        <v>1</v>
      </c>
      <c r="N130" s="90">
        <v>2</v>
      </c>
    </row>
    <row r="131" spans="1:14" ht="16.5">
      <c r="A131" s="90">
        <v>128</v>
      </c>
      <c r="B131" s="47">
        <v>226</v>
      </c>
      <c r="C131" s="92" t="s">
        <v>469</v>
      </c>
      <c r="D131" s="1" t="s">
        <v>1925</v>
      </c>
      <c r="E131" s="50" t="s">
        <v>1853</v>
      </c>
      <c r="F131" s="90" t="s">
        <v>1912</v>
      </c>
      <c r="G131" s="90" t="s">
        <v>1682</v>
      </c>
      <c r="H131" s="90" t="s">
        <v>1247</v>
      </c>
      <c r="I131" s="90" t="s">
        <v>1866</v>
      </c>
      <c r="J131" s="90" t="s">
        <v>1913</v>
      </c>
      <c r="K131" s="90" t="s">
        <v>1901</v>
      </c>
      <c r="L131" s="90" t="s">
        <v>1914</v>
      </c>
      <c r="M131" s="95" t="s">
        <v>1679</v>
      </c>
      <c r="N131" s="90" t="s">
        <v>1915</v>
      </c>
    </row>
    <row r="132" spans="1:14" ht="16.5">
      <c r="A132" s="90">
        <v>129</v>
      </c>
      <c r="B132" s="91">
        <v>227</v>
      </c>
      <c r="C132" s="93" t="s">
        <v>493</v>
      </c>
      <c r="D132" s="1" t="s">
        <v>1925</v>
      </c>
      <c r="E132" s="50" t="s">
        <v>1853</v>
      </c>
      <c r="F132" s="90" t="s">
        <v>1872</v>
      </c>
      <c r="G132" s="90" t="s">
        <v>1682</v>
      </c>
      <c r="H132" s="90" t="s">
        <v>1247</v>
      </c>
      <c r="I132" s="90" t="s">
        <v>1873</v>
      </c>
      <c r="J132" s="90" t="s">
        <v>1874</v>
      </c>
      <c r="K132" s="90" t="s">
        <v>1875</v>
      </c>
      <c r="L132" s="90" t="s">
        <v>1876</v>
      </c>
      <c r="M132" s="95" t="s">
        <v>1679</v>
      </c>
      <c r="N132" s="90" t="s">
        <v>1870</v>
      </c>
    </row>
    <row r="133" spans="1:14" ht="16.5">
      <c r="A133" s="90">
        <v>130</v>
      </c>
      <c r="B133" s="47">
        <v>234</v>
      </c>
      <c r="C133" s="50" t="s">
        <v>1878</v>
      </c>
      <c r="D133" s="1" t="s">
        <v>1925</v>
      </c>
      <c r="E133" s="50" t="s">
        <v>1853</v>
      </c>
      <c r="F133" s="90" t="s">
        <v>1854</v>
      </c>
      <c r="G133" s="90" t="s">
        <v>1674</v>
      </c>
      <c r="H133" s="90" t="s">
        <v>1247</v>
      </c>
      <c r="I133" s="90" t="s">
        <v>1855</v>
      </c>
      <c r="J133" s="90" t="s">
        <v>1856</v>
      </c>
      <c r="K133" s="90" t="s">
        <v>1857</v>
      </c>
      <c r="L133" s="90" t="s">
        <v>1858</v>
      </c>
      <c r="M133" s="95" t="s">
        <v>1679</v>
      </c>
      <c r="N133" s="90" t="s">
        <v>1859</v>
      </c>
    </row>
    <row r="134" spans="1:14" ht="16.5">
      <c r="A134" s="90">
        <v>131</v>
      </c>
      <c r="B134" s="47">
        <v>235</v>
      </c>
      <c r="C134" s="50" t="s">
        <v>601</v>
      </c>
      <c r="D134" s="1" t="s">
        <v>1925</v>
      </c>
      <c r="E134" s="50" t="s">
        <v>1853</v>
      </c>
      <c r="F134" s="90">
        <v>50</v>
      </c>
      <c r="G134" s="90">
        <v>30</v>
      </c>
      <c r="H134" s="90">
        <v>10</v>
      </c>
      <c r="I134" s="90">
        <v>30</v>
      </c>
      <c r="J134" s="90">
        <v>40</v>
      </c>
      <c r="K134" s="90">
        <v>60</v>
      </c>
      <c r="L134" s="90">
        <v>65</v>
      </c>
      <c r="M134" s="95">
        <v>1</v>
      </c>
      <c r="N134" s="90">
        <v>3</v>
      </c>
    </row>
    <row r="135" spans="1:14" ht="16.5">
      <c r="A135" s="90">
        <v>132</v>
      </c>
      <c r="B135" s="47">
        <v>236</v>
      </c>
      <c r="C135" s="50" t="s">
        <v>1688</v>
      </c>
      <c r="D135" s="1" t="s">
        <v>1925</v>
      </c>
      <c r="E135" s="50" t="s">
        <v>1853</v>
      </c>
      <c r="F135" s="90">
        <v>50</v>
      </c>
      <c r="G135" s="90">
        <v>30</v>
      </c>
      <c r="H135" s="90">
        <v>10</v>
      </c>
      <c r="I135" s="90">
        <v>30</v>
      </c>
      <c r="J135" s="90">
        <v>40</v>
      </c>
      <c r="K135" s="90">
        <v>60</v>
      </c>
      <c r="L135" s="90">
        <v>65</v>
      </c>
      <c r="M135" s="95">
        <v>1</v>
      </c>
      <c r="N135" s="90">
        <v>3</v>
      </c>
    </row>
    <row r="136" spans="1:14" ht="16.5">
      <c r="A136" s="90">
        <v>133</v>
      </c>
      <c r="B136" s="91">
        <v>201</v>
      </c>
      <c r="C136" s="90" t="s">
        <v>66</v>
      </c>
      <c r="D136" s="1" t="s">
        <v>1925</v>
      </c>
      <c r="E136" s="50" t="s">
        <v>1853</v>
      </c>
      <c r="F136" s="90" t="s">
        <v>1912</v>
      </c>
      <c r="G136" s="90" t="s">
        <v>1682</v>
      </c>
      <c r="H136" s="90" t="s">
        <v>1247</v>
      </c>
      <c r="I136" s="90" t="s">
        <v>1916</v>
      </c>
      <c r="J136" s="90" t="s">
        <v>1917</v>
      </c>
      <c r="K136" s="90" t="s">
        <v>1918</v>
      </c>
      <c r="L136" s="90" t="s">
        <v>1919</v>
      </c>
      <c r="M136" s="95" t="s">
        <v>1679</v>
      </c>
      <c r="N136" s="90" t="s">
        <v>1687</v>
      </c>
    </row>
    <row r="137" spans="1:14" ht="16.5">
      <c r="A137" s="90">
        <v>134</v>
      </c>
      <c r="B137" s="91">
        <v>206</v>
      </c>
      <c r="C137" s="90" t="s">
        <v>293</v>
      </c>
      <c r="D137" s="1" t="s">
        <v>1925</v>
      </c>
      <c r="E137" s="50" t="s">
        <v>1853</v>
      </c>
      <c r="F137" s="90" t="s">
        <v>1872</v>
      </c>
      <c r="G137" s="90" t="s">
        <v>1682</v>
      </c>
      <c r="H137" s="90" t="s">
        <v>1247</v>
      </c>
      <c r="I137" s="90" t="s">
        <v>1920</v>
      </c>
      <c r="J137" s="90" t="s">
        <v>1880</v>
      </c>
      <c r="K137" s="90" t="s">
        <v>1875</v>
      </c>
      <c r="L137" s="90" t="s">
        <v>1876</v>
      </c>
      <c r="M137" s="95" t="s">
        <v>1679</v>
      </c>
      <c r="N137" s="90" t="s">
        <v>1680</v>
      </c>
    </row>
    <row r="138" spans="1:14" ht="16.5">
      <c r="A138" s="90">
        <v>135</v>
      </c>
      <c r="B138" s="47">
        <v>209</v>
      </c>
      <c r="C138" s="50" t="s">
        <v>344</v>
      </c>
      <c r="D138" s="1" t="s">
        <v>1925</v>
      </c>
      <c r="E138" s="50" t="s">
        <v>1853</v>
      </c>
      <c r="F138" s="90" t="s">
        <v>1872</v>
      </c>
      <c r="G138" s="90" t="s">
        <v>1682</v>
      </c>
      <c r="H138" s="90" t="s">
        <v>1247</v>
      </c>
      <c r="I138" s="90" t="s">
        <v>1920</v>
      </c>
      <c r="J138" s="90" t="s">
        <v>1880</v>
      </c>
      <c r="K138" s="90" t="s">
        <v>1875</v>
      </c>
      <c r="L138" s="90" t="s">
        <v>1876</v>
      </c>
      <c r="M138" s="95" t="s">
        <v>1679</v>
      </c>
      <c r="N138" s="90" t="s">
        <v>1680</v>
      </c>
    </row>
    <row r="139" spans="1:14" ht="16.5">
      <c r="A139" s="90">
        <v>136</v>
      </c>
      <c r="B139" s="47">
        <v>230</v>
      </c>
      <c r="C139" s="50" t="s">
        <v>539</v>
      </c>
      <c r="D139" s="1" t="s">
        <v>1925</v>
      </c>
      <c r="E139" s="50" t="s">
        <v>1853</v>
      </c>
      <c r="F139" s="90" t="s">
        <v>1872</v>
      </c>
      <c r="G139" s="90" t="s">
        <v>1682</v>
      </c>
      <c r="H139" s="90" t="s">
        <v>1247</v>
      </c>
      <c r="I139" s="90" t="s">
        <v>1920</v>
      </c>
      <c r="J139" s="90" t="s">
        <v>1880</v>
      </c>
      <c r="K139" s="90" t="s">
        <v>1875</v>
      </c>
      <c r="L139" s="90" t="s">
        <v>1876</v>
      </c>
      <c r="M139" s="95" t="s">
        <v>1679</v>
      </c>
      <c r="N139" s="90" t="s">
        <v>1921</v>
      </c>
    </row>
    <row r="140" spans="1:14" ht="16.5">
      <c r="A140" s="90">
        <v>137</v>
      </c>
      <c r="B140" s="91">
        <v>232</v>
      </c>
      <c r="C140" s="90" t="s">
        <v>319</v>
      </c>
      <c r="D140" s="1" t="s">
        <v>1925</v>
      </c>
      <c r="E140" s="50" t="s">
        <v>1853</v>
      </c>
      <c r="F140" s="90" t="s">
        <v>1872</v>
      </c>
      <c r="G140" s="90" t="s">
        <v>1682</v>
      </c>
      <c r="H140" s="90" t="s">
        <v>1247</v>
      </c>
      <c r="I140" s="90" t="s">
        <v>1920</v>
      </c>
      <c r="J140" s="90" t="s">
        <v>1880</v>
      </c>
      <c r="K140" s="90" t="s">
        <v>1875</v>
      </c>
      <c r="L140" s="90" t="s">
        <v>1876</v>
      </c>
      <c r="M140" s="95" t="s">
        <v>1679</v>
      </c>
      <c r="N140" s="90" t="s">
        <v>1680</v>
      </c>
    </row>
    <row r="141" spans="1:14" ht="16.5">
      <c r="A141" s="90">
        <v>138</v>
      </c>
      <c r="B141" s="47">
        <v>233</v>
      </c>
      <c r="C141" s="50" t="s">
        <v>593</v>
      </c>
      <c r="D141" s="1" t="s">
        <v>1925</v>
      </c>
      <c r="E141" s="50" t="s">
        <v>1853</v>
      </c>
      <c r="F141" s="90">
        <v>50</v>
      </c>
      <c r="G141" s="90">
        <v>30</v>
      </c>
      <c r="H141" s="90">
        <v>10</v>
      </c>
      <c r="I141" s="90">
        <v>30</v>
      </c>
      <c r="J141" s="90">
        <v>40</v>
      </c>
      <c r="K141" s="90">
        <v>60</v>
      </c>
      <c r="L141" s="90">
        <v>65</v>
      </c>
      <c r="M141" s="95">
        <v>1</v>
      </c>
      <c r="N141" s="90">
        <v>3</v>
      </c>
    </row>
    <row r="142" spans="1:14" ht="16.5">
      <c r="A142" s="90">
        <v>139</v>
      </c>
      <c r="B142" s="47">
        <v>237</v>
      </c>
      <c r="C142" s="50" t="s">
        <v>565</v>
      </c>
      <c r="D142" s="1" t="s">
        <v>1925</v>
      </c>
      <c r="E142" s="50" t="s">
        <v>1853</v>
      </c>
      <c r="F142" s="90" t="s">
        <v>1885</v>
      </c>
      <c r="G142" s="90" t="s">
        <v>1682</v>
      </c>
      <c r="H142" s="90" t="s">
        <v>1247</v>
      </c>
      <c r="I142" s="90" t="s">
        <v>1675</v>
      </c>
      <c r="J142" s="90" t="s">
        <v>1676</v>
      </c>
      <c r="K142" s="90" t="s">
        <v>1886</v>
      </c>
      <c r="L142" s="90" t="s">
        <v>1887</v>
      </c>
      <c r="M142" s="95" t="s">
        <v>1679</v>
      </c>
      <c r="N142" s="90" t="s">
        <v>1680</v>
      </c>
    </row>
    <row r="143" spans="1:14" ht="16.5">
      <c r="A143" s="90">
        <v>140</v>
      </c>
      <c r="B143" s="47">
        <v>213</v>
      </c>
      <c r="C143" s="50" t="s">
        <v>599</v>
      </c>
      <c r="D143" s="1" t="s">
        <v>1925</v>
      </c>
      <c r="E143" s="50" t="s">
        <v>1853</v>
      </c>
      <c r="F143" s="90">
        <v>63</v>
      </c>
      <c r="G143" s="90">
        <v>30</v>
      </c>
      <c r="H143" s="90">
        <v>10</v>
      </c>
      <c r="I143" s="90">
        <v>48</v>
      </c>
      <c r="J143" s="90">
        <v>53</v>
      </c>
      <c r="K143" s="90">
        <v>73</v>
      </c>
      <c r="L143" s="90">
        <v>78</v>
      </c>
      <c r="M143" s="95">
        <v>1</v>
      </c>
      <c r="N143" s="90">
        <v>6</v>
      </c>
    </row>
    <row r="144" spans="1:14" ht="16.5">
      <c r="A144" s="90">
        <v>141</v>
      </c>
      <c r="B144" s="47">
        <v>224</v>
      </c>
      <c r="C144" s="50" t="s">
        <v>369</v>
      </c>
      <c r="D144" s="1" t="s">
        <v>1925</v>
      </c>
      <c r="E144" s="50" t="s">
        <v>1853</v>
      </c>
      <c r="F144" s="90" t="s">
        <v>1872</v>
      </c>
      <c r="G144" s="90" t="s">
        <v>1682</v>
      </c>
      <c r="H144" s="90" t="s">
        <v>1247</v>
      </c>
      <c r="I144" s="90" t="s">
        <v>1920</v>
      </c>
      <c r="J144" s="90" t="s">
        <v>1880</v>
      </c>
      <c r="K144" s="90" t="s">
        <v>1875</v>
      </c>
      <c r="L144" s="90" t="s">
        <v>1876</v>
      </c>
      <c r="M144" s="95" t="s">
        <v>1679</v>
      </c>
      <c r="N144" s="90" t="s">
        <v>1680</v>
      </c>
    </row>
    <row r="145" spans="1:14" ht="16.5">
      <c r="A145" s="90">
        <v>142</v>
      </c>
      <c r="B145" s="47">
        <v>229</v>
      </c>
      <c r="C145" s="50" t="s">
        <v>515</v>
      </c>
      <c r="D145" s="1" t="s">
        <v>1925</v>
      </c>
      <c r="E145" s="50" t="s">
        <v>1853</v>
      </c>
      <c r="F145" s="90" t="s">
        <v>1872</v>
      </c>
      <c r="G145" s="90" t="s">
        <v>1682</v>
      </c>
      <c r="H145" s="90" t="s">
        <v>1247</v>
      </c>
      <c r="I145" s="90" t="s">
        <v>1920</v>
      </c>
      <c r="J145" s="90" t="s">
        <v>1880</v>
      </c>
      <c r="K145" s="90" t="s">
        <v>1875</v>
      </c>
      <c r="L145" s="90" t="s">
        <v>1876</v>
      </c>
      <c r="M145" s="95" t="s">
        <v>1679</v>
      </c>
      <c r="N145" s="90" t="s">
        <v>1870</v>
      </c>
    </row>
    <row r="146" spans="1:14" ht="16.5">
      <c r="A146" s="90">
        <v>143</v>
      </c>
      <c r="B146" s="47">
        <v>231</v>
      </c>
      <c r="C146" s="94" t="s">
        <v>591</v>
      </c>
      <c r="D146" s="1" t="s">
        <v>1925</v>
      </c>
      <c r="E146" s="50" t="s">
        <v>1853</v>
      </c>
      <c r="F146" s="90" t="s">
        <v>1865</v>
      </c>
      <c r="G146" s="90" t="s">
        <v>1862</v>
      </c>
      <c r="H146" s="90" t="s">
        <v>1888</v>
      </c>
      <c r="I146" s="90" t="s">
        <v>1880</v>
      </c>
      <c r="J146" s="90" t="s">
        <v>1922</v>
      </c>
      <c r="K146" s="90" t="s">
        <v>1923</v>
      </c>
      <c r="L146" s="90" t="s">
        <v>1924</v>
      </c>
      <c r="M146" s="95" t="s">
        <v>1679</v>
      </c>
      <c r="N146" s="90" t="s">
        <v>1891</v>
      </c>
    </row>
    <row r="147" spans="1:14" ht="16.5">
      <c r="A147" s="90">
        <v>144</v>
      </c>
      <c r="B147" s="47">
        <v>211</v>
      </c>
      <c r="C147" s="50" t="s">
        <v>605</v>
      </c>
      <c r="D147" s="1" t="s">
        <v>1925</v>
      </c>
      <c r="E147" s="50" t="s">
        <v>1853</v>
      </c>
      <c r="F147" s="90">
        <v>60</v>
      </c>
      <c r="G147" s="90">
        <v>30</v>
      </c>
      <c r="H147" s="90">
        <v>10</v>
      </c>
      <c r="I147" s="90">
        <v>45</v>
      </c>
      <c r="J147" s="90">
        <v>50</v>
      </c>
      <c r="K147" s="90">
        <v>70</v>
      </c>
      <c r="L147" s="90">
        <v>75</v>
      </c>
      <c r="M147" s="95">
        <v>1</v>
      </c>
      <c r="N147" s="90">
        <v>5.5</v>
      </c>
    </row>
    <row r="148" spans="1:14" ht="16.5">
      <c r="A148" s="90">
        <v>145</v>
      </c>
      <c r="B148" s="47">
        <v>212</v>
      </c>
      <c r="C148" s="50" t="s">
        <v>394</v>
      </c>
      <c r="D148" s="1" t="s">
        <v>1925</v>
      </c>
      <c r="E148" s="50" t="s">
        <v>1853</v>
      </c>
      <c r="F148" s="90" t="s">
        <v>1898</v>
      </c>
      <c r="G148" s="90" t="s">
        <v>1862</v>
      </c>
      <c r="H148" s="90" t="s">
        <v>1888</v>
      </c>
      <c r="I148" s="90" t="s">
        <v>1899</v>
      </c>
      <c r="J148" s="90" t="s">
        <v>1889</v>
      </c>
      <c r="K148" s="90" t="s">
        <v>1900</v>
      </c>
      <c r="L148" s="90" t="s">
        <v>1901</v>
      </c>
      <c r="M148" s="95" t="s">
        <v>1679</v>
      </c>
      <c r="N148" s="90" t="s">
        <v>1902</v>
      </c>
    </row>
    <row r="149" spans="1:14" ht="16.5">
      <c r="A149" s="90">
        <v>146</v>
      </c>
      <c r="B149" s="47">
        <v>300</v>
      </c>
      <c r="C149" s="50" t="s">
        <v>1896</v>
      </c>
      <c r="D149" s="1" t="s">
        <v>1925</v>
      </c>
      <c r="E149" s="50" t="s">
        <v>1853</v>
      </c>
      <c r="F149" s="90">
        <v>42</v>
      </c>
      <c r="G149" s="90">
        <v>30</v>
      </c>
      <c r="H149" s="90">
        <v>10</v>
      </c>
      <c r="I149" s="90">
        <v>27</v>
      </c>
      <c r="J149" s="90">
        <v>32</v>
      </c>
      <c r="K149" s="90">
        <v>52</v>
      </c>
      <c r="L149" s="90">
        <v>57</v>
      </c>
      <c r="M149" s="95">
        <v>1</v>
      </c>
      <c r="N149" s="90">
        <v>3</v>
      </c>
    </row>
    <row r="150" spans="1:14" ht="16.5">
      <c r="A150" s="90">
        <v>147</v>
      </c>
      <c r="B150" s="47">
        <v>228</v>
      </c>
      <c r="C150" s="50" t="s">
        <v>948</v>
      </c>
      <c r="D150" s="1" t="s">
        <v>1925</v>
      </c>
      <c r="E150" s="50" t="s">
        <v>1853</v>
      </c>
      <c r="F150" s="90" t="s">
        <v>1872</v>
      </c>
      <c r="G150" s="90" t="s">
        <v>1682</v>
      </c>
      <c r="H150" s="90" t="s">
        <v>1247</v>
      </c>
      <c r="I150" s="90" t="s">
        <v>1873</v>
      </c>
      <c r="J150" s="90" t="s">
        <v>1874</v>
      </c>
      <c r="K150" s="90" t="s">
        <v>1875</v>
      </c>
      <c r="L150" s="90" t="s">
        <v>1876</v>
      </c>
      <c r="M150" s="95" t="s">
        <v>1679</v>
      </c>
      <c r="N150" s="90" t="s">
        <v>1877</v>
      </c>
    </row>
    <row r="151" spans="1:14" ht="16.5">
      <c r="A151" s="90">
        <v>148</v>
      </c>
      <c r="B151" s="47">
        <v>202</v>
      </c>
      <c r="C151" s="50" t="s">
        <v>154</v>
      </c>
      <c r="D151" s="50" t="s">
        <v>1852</v>
      </c>
      <c r="E151" s="50" t="s">
        <v>1926</v>
      </c>
      <c r="F151" s="90" t="s">
        <v>1854</v>
      </c>
      <c r="G151" s="90" t="s">
        <v>1674</v>
      </c>
      <c r="H151" s="90" t="s">
        <v>1247</v>
      </c>
      <c r="I151" s="90" t="s">
        <v>1855</v>
      </c>
      <c r="J151" s="90" t="s">
        <v>1856</v>
      </c>
      <c r="K151" s="90" t="s">
        <v>1857</v>
      </c>
      <c r="L151" s="90" t="s">
        <v>1858</v>
      </c>
      <c r="M151" s="95" t="s">
        <v>1679</v>
      </c>
      <c r="N151" s="90" t="s">
        <v>1859</v>
      </c>
    </row>
    <row r="152" spans="1:14" ht="16.5">
      <c r="A152" s="90">
        <v>149</v>
      </c>
      <c r="B152" s="91">
        <v>203</v>
      </c>
      <c r="C152" s="90" t="s">
        <v>202</v>
      </c>
      <c r="D152" s="50" t="s">
        <v>1852</v>
      </c>
      <c r="E152" s="50" t="s">
        <v>1926</v>
      </c>
      <c r="F152" s="90" t="s">
        <v>1860</v>
      </c>
      <c r="G152" s="90" t="s">
        <v>1682</v>
      </c>
      <c r="H152" s="90" t="s">
        <v>1247</v>
      </c>
      <c r="I152" s="90" t="s">
        <v>1861</v>
      </c>
      <c r="J152" s="90" t="s">
        <v>1862</v>
      </c>
      <c r="K152" s="90" t="s">
        <v>1863</v>
      </c>
      <c r="L152" s="90" t="s">
        <v>1864</v>
      </c>
      <c r="M152" s="95" t="s">
        <v>1679</v>
      </c>
      <c r="N152" s="90" t="s">
        <v>1680</v>
      </c>
    </row>
    <row r="153" spans="1:14" ht="16.5">
      <c r="A153" s="90">
        <v>150</v>
      </c>
      <c r="B153" s="47">
        <v>204</v>
      </c>
      <c r="C153" s="50" t="s">
        <v>226</v>
      </c>
      <c r="D153" s="50" t="s">
        <v>1852</v>
      </c>
      <c r="E153" s="50" t="s">
        <v>1926</v>
      </c>
      <c r="F153" s="90" t="s">
        <v>1854</v>
      </c>
      <c r="G153" s="90" t="s">
        <v>1674</v>
      </c>
      <c r="H153" s="90" t="s">
        <v>1247</v>
      </c>
      <c r="I153" s="90" t="s">
        <v>1855</v>
      </c>
      <c r="J153" s="90" t="s">
        <v>1856</v>
      </c>
      <c r="K153" s="90" t="s">
        <v>1857</v>
      </c>
      <c r="L153" s="90" t="s">
        <v>1858</v>
      </c>
      <c r="M153" s="95" t="s">
        <v>1679</v>
      </c>
      <c r="N153" s="90" t="s">
        <v>1680</v>
      </c>
    </row>
    <row r="154" spans="1:14" ht="16.5">
      <c r="A154" s="90">
        <v>151</v>
      </c>
      <c r="B154" s="47">
        <v>205</v>
      </c>
      <c r="C154" s="50" t="s">
        <v>249</v>
      </c>
      <c r="D154" s="50" t="s">
        <v>1852</v>
      </c>
      <c r="E154" s="50" t="s">
        <v>1926</v>
      </c>
      <c r="F154" s="90" t="s">
        <v>1854</v>
      </c>
      <c r="G154" s="90" t="s">
        <v>1674</v>
      </c>
      <c r="H154" s="90" t="s">
        <v>1247</v>
      </c>
      <c r="I154" s="90" t="s">
        <v>1855</v>
      </c>
      <c r="J154" s="90" t="s">
        <v>1856</v>
      </c>
      <c r="K154" s="90" t="s">
        <v>1857</v>
      </c>
      <c r="L154" s="90" t="s">
        <v>1858</v>
      </c>
      <c r="M154" s="95" t="s">
        <v>1679</v>
      </c>
      <c r="N154" s="90" t="s">
        <v>1859</v>
      </c>
    </row>
    <row r="155" spans="1:14" ht="16.5">
      <c r="A155" s="90">
        <v>152</v>
      </c>
      <c r="B155" s="47">
        <v>207</v>
      </c>
      <c r="C155" s="50" t="s">
        <v>595</v>
      </c>
      <c r="D155" s="50" t="s">
        <v>1852</v>
      </c>
      <c r="E155" s="50" t="s">
        <v>1926</v>
      </c>
      <c r="F155" s="90">
        <v>50</v>
      </c>
      <c r="G155" s="90">
        <v>30</v>
      </c>
      <c r="H155" s="90">
        <v>10</v>
      </c>
      <c r="I155" s="90">
        <v>30</v>
      </c>
      <c r="J155" s="90">
        <v>40</v>
      </c>
      <c r="K155" s="90">
        <v>60</v>
      </c>
      <c r="L155" s="90">
        <v>65</v>
      </c>
      <c r="M155" s="95">
        <v>1</v>
      </c>
      <c r="N155" s="90">
        <v>3</v>
      </c>
    </row>
    <row r="156" spans="1:14" ht="16.5">
      <c r="A156" s="90">
        <v>153</v>
      </c>
      <c r="B156" s="47">
        <v>208</v>
      </c>
      <c r="C156" s="50" t="s">
        <v>589</v>
      </c>
      <c r="D156" s="50" t="s">
        <v>1852</v>
      </c>
      <c r="E156" s="50" t="s">
        <v>1926</v>
      </c>
      <c r="F156" s="90">
        <v>53</v>
      </c>
      <c r="G156" s="90">
        <v>50</v>
      </c>
      <c r="H156" s="90">
        <v>1</v>
      </c>
      <c r="I156" s="90">
        <v>20</v>
      </c>
      <c r="J156" s="90">
        <v>35</v>
      </c>
      <c r="K156" s="90">
        <v>63</v>
      </c>
      <c r="L156" s="90">
        <v>68</v>
      </c>
      <c r="M156" s="95">
        <v>1</v>
      </c>
      <c r="N156" s="90">
        <v>8</v>
      </c>
    </row>
    <row r="157" spans="1:14" ht="16.5">
      <c r="A157" s="90">
        <v>154</v>
      </c>
      <c r="B157" s="47">
        <v>215</v>
      </c>
      <c r="C157" s="50" t="s">
        <v>418</v>
      </c>
      <c r="D157" s="50" t="s">
        <v>1852</v>
      </c>
      <c r="E157" s="50" t="s">
        <v>1926</v>
      </c>
      <c r="F157" s="90" t="s">
        <v>1865</v>
      </c>
      <c r="G157" s="90" t="s">
        <v>1682</v>
      </c>
      <c r="H157" s="90" t="s">
        <v>1247</v>
      </c>
      <c r="I157" s="90" t="s">
        <v>1866</v>
      </c>
      <c r="J157" s="90" t="s">
        <v>1867</v>
      </c>
      <c r="K157" s="90" t="s">
        <v>1868</v>
      </c>
      <c r="L157" s="90" t="s">
        <v>1869</v>
      </c>
      <c r="M157" s="95" t="s">
        <v>1679</v>
      </c>
      <c r="N157" s="90" t="s">
        <v>1870</v>
      </c>
    </row>
    <row r="158" spans="1:14" ht="16.5">
      <c r="A158" s="90">
        <v>155</v>
      </c>
      <c r="B158" s="47">
        <v>222</v>
      </c>
      <c r="C158" s="50" t="s">
        <v>442</v>
      </c>
      <c r="D158" s="50" t="s">
        <v>1852</v>
      </c>
      <c r="E158" s="50" t="s">
        <v>1926</v>
      </c>
      <c r="F158" s="90" t="s">
        <v>1854</v>
      </c>
      <c r="G158" s="90" t="s">
        <v>1871</v>
      </c>
      <c r="H158" s="90" t="s">
        <v>1247</v>
      </c>
      <c r="I158" s="90" t="s">
        <v>1855</v>
      </c>
      <c r="J158" s="90" t="s">
        <v>1856</v>
      </c>
      <c r="K158" s="90" t="s">
        <v>1857</v>
      </c>
      <c r="L158" s="90" t="s">
        <v>1858</v>
      </c>
      <c r="M158" s="95" t="s">
        <v>1679</v>
      </c>
      <c r="N158" s="90" t="s">
        <v>1859</v>
      </c>
    </row>
    <row r="159" spans="1:14" ht="16.5">
      <c r="A159" s="90">
        <v>156</v>
      </c>
      <c r="B159" s="47">
        <v>223</v>
      </c>
      <c r="C159" s="50" t="s">
        <v>918</v>
      </c>
      <c r="D159" s="50" t="s">
        <v>1852</v>
      </c>
      <c r="E159" s="50" t="s">
        <v>1926</v>
      </c>
      <c r="F159" s="90">
        <v>28</v>
      </c>
      <c r="G159" s="90">
        <v>30</v>
      </c>
      <c r="H159" s="90">
        <v>10</v>
      </c>
      <c r="I159" s="90">
        <v>17</v>
      </c>
      <c r="J159" s="90">
        <v>22</v>
      </c>
      <c r="K159" s="90">
        <v>33</v>
      </c>
      <c r="L159" s="90">
        <v>38</v>
      </c>
      <c r="M159" s="95">
        <v>1</v>
      </c>
      <c r="N159" s="90">
        <v>2</v>
      </c>
    </row>
    <row r="160" spans="1:14" ht="16.5">
      <c r="A160" s="90">
        <v>157</v>
      </c>
      <c r="B160" s="47">
        <v>226</v>
      </c>
      <c r="C160" s="92" t="s">
        <v>469</v>
      </c>
      <c r="D160" s="50" t="s">
        <v>1852</v>
      </c>
      <c r="E160" s="50" t="s">
        <v>1926</v>
      </c>
      <c r="F160" s="90" t="s">
        <v>1872</v>
      </c>
      <c r="G160" s="90" t="s">
        <v>1682</v>
      </c>
      <c r="H160" s="90" t="s">
        <v>1247</v>
      </c>
      <c r="I160" s="90" t="s">
        <v>1873</v>
      </c>
      <c r="J160" s="90" t="s">
        <v>1874</v>
      </c>
      <c r="K160" s="90" t="s">
        <v>1875</v>
      </c>
      <c r="L160" s="90" t="s">
        <v>1876</v>
      </c>
      <c r="M160" s="95" t="s">
        <v>1679</v>
      </c>
      <c r="N160" s="90" t="s">
        <v>1877</v>
      </c>
    </row>
    <row r="161" spans="1:14" ht="16.5">
      <c r="A161" s="90">
        <v>158</v>
      </c>
      <c r="B161" s="91">
        <v>227</v>
      </c>
      <c r="C161" s="93" t="s">
        <v>493</v>
      </c>
      <c r="D161" s="50" t="s">
        <v>1852</v>
      </c>
      <c r="E161" s="50" t="s">
        <v>1926</v>
      </c>
      <c r="F161" s="90" t="s">
        <v>1872</v>
      </c>
      <c r="G161" s="90" t="s">
        <v>1682</v>
      </c>
      <c r="H161" s="90" t="s">
        <v>1247</v>
      </c>
      <c r="I161" s="90" t="s">
        <v>1873</v>
      </c>
      <c r="J161" s="90" t="s">
        <v>1874</v>
      </c>
      <c r="K161" s="90" t="s">
        <v>1875</v>
      </c>
      <c r="L161" s="90" t="s">
        <v>1876</v>
      </c>
      <c r="M161" s="95" t="s">
        <v>1679</v>
      </c>
      <c r="N161" s="90" t="s">
        <v>1870</v>
      </c>
    </row>
    <row r="162" spans="1:14" ht="16.5">
      <c r="A162" s="90">
        <v>159</v>
      </c>
      <c r="B162" s="47">
        <v>234</v>
      </c>
      <c r="C162" s="50" t="s">
        <v>1878</v>
      </c>
      <c r="D162" s="50" t="s">
        <v>1852</v>
      </c>
      <c r="E162" s="50" t="s">
        <v>1926</v>
      </c>
      <c r="F162" s="90" t="s">
        <v>1854</v>
      </c>
      <c r="G162" s="90" t="s">
        <v>1674</v>
      </c>
      <c r="H162" s="90" t="s">
        <v>1247</v>
      </c>
      <c r="I162" s="90" t="s">
        <v>1855</v>
      </c>
      <c r="J162" s="90" t="s">
        <v>1856</v>
      </c>
      <c r="K162" s="90" t="s">
        <v>1857</v>
      </c>
      <c r="L162" s="90" t="s">
        <v>1858</v>
      </c>
      <c r="M162" s="95" t="s">
        <v>1679</v>
      </c>
      <c r="N162" s="90" t="s">
        <v>1859</v>
      </c>
    </row>
    <row r="163" spans="1:14" ht="16.5">
      <c r="A163" s="90">
        <v>160</v>
      </c>
      <c r="B163" s="47">
        <v>235</v>
      </c>
      <c r="C163" s="50" t="s">
        <v>601</v>
      </c>
      <c r="D163" s="50" t="s">
        <v>1852</v>
      </c>
      <c r="E163" s="50" t="s">
        <v>1926</v>
      </c>
      <c r="F163" s="90">
        <v>50</v>
      </c>
      <c r="G163" s="90">
        <v>30</v>
      </c>
      <c r="H163" s="90">
        <v>10</v>
      </c>
      <c r="I163" s="90">
        <v>30</v>
      </c>
      <c r="J163" s="90">
        <v>40</v>
      </c>
      <c r="K163" s="90">
        <v>60</v>
      </c>
      <c r="L163" s="90">
        <v>65</v>
      </c>
      <c r="M163" s="95">
        <v>1</v>
      </c>
      <c r="N163" s="90">
        <v>3</v>
      </c>
    </row>
    <row r="164" spans="1:14" ht="16.5">
      <c r="A164" s="90">
        <v>161</v>
      </c>
      <c r="B164" s="47">
        <v>236</v>
      </c>
      <c r="C164" s="50" t="s">
        <v>1688</v>
      </c>
      <c r="D164" s="50" t="s">
        <v>1852</v>
      </c>
      <c r="E164" s="50" t="s">
        <v>1926</v>
      </c>
      <c r="F164" s="90">
        <v>50</v>
      </c>
      <c r="G164" s="90">
        <v>30</v>
      </c>
      <c r="H164" s="90">
        <v>10</v>
      </c>
      <c r="I164" s="90">
        <v>30</v>
      </c>
      <c r="J164" s="90">
        <v>40</v>
      </c>
      <c r="K164" s="90">
        <v>60</v>
      </c>
      <c r="L164" s="90">
        <v>65</v>
      </c>
      <c r="M164" s="95">
        <v>1</v>
      </c>
      <c r="N164" s="90">
        <v>3</v>
      </c>
    </row>
    <row r="165" spans="1:14" ht="16.5">
      <c r="A165" s="90">
        <v>162</v>
      </c>
      <c r="B165" s="91">
        <v>201</v>
      </c>
      <c r="C165" s="90" t="s">
        <v>66</v>
      </c>
      <c r="D165" s="50" t="s">
        <v>1852</v>
      </c>
      <c r="E165" s="50" t="s">
        <v>1926</v>
      </c>
      <c r="F165" s="90" t="s">
        <v>1872</v>
      </c>
      <c r="G165" s="90" t="s">
        <v>1682</v>
      </c>
      <c r="H165" s="90" t="s">
        <v>1247</v>
      </c>
      <c r="I165" s="90" t="s">
        <v>1879</v>
      </c>
      <c r="J165" s="90" t="s">
        <v>1880</v>
      </c>
      <c r="K165" s="90" t="s">
        <v>1875</v>
      </c>
      <c r="L165" s="90" t="s">
        <v>1876</v>
      </c>
      <c r="M165" s="95" t="s">
        <v>1679</v>
      </c>
      <c r="N165" s="90" t="s">
        <v>1680</v>
      </c>
    </row>
    <row r="166" spans="1:14" ht="16.5">
      <c r="A166" s="90">
        <v>163</v>
      </c>
      <c r="B166" s="91">
        <v>206</v>
      </c>
      <c r="C166" s="90" t="s">
        <v>293</v>
      </c>
      <c r="D166" s="50" t="s">
        <v>1852</v>
      </c>
      <c r="E166" s="50" t="s">
        <v>1926</v>
      </c>
      <c r="F166" s="90" t="s">
        <v>1860</v>
      </c>
      <c r="G166" s="90" t="s">
        <v>1682</v>
      </c>
      <c r="H166" s="90" t="s">
        <v>1247</v>
      </c>
      <c r="I166" s="90" t="s">
        <v>1861</v>
      </c>
      <c r="J166" s="90" t="s">
        <v>1862</v>
      </c>
      <c r="K166" s="90" t="s">
        <v>1863</v>
      </c>
      <c r="L166" s="90" t="s">
        <v>1864</v>
      </c>
      <c r="M166" s="95" t="s">
        <v>1679</v>
      </c>
      <c r="N166" s="90" t="s">
        <v>1680</v>
      </c>
    </row>
    <row r="167" spans="1:14" ht="16.5">
      <c r="A167" s="90">
        <v>164</v>
      </c>
      <c r="B167" s="47">
        <v>209</v>
      </c>
      <c r="C167" s="50" t="s">
        <v>344</v>
      </c>
      <c r="D167" s="50" t="s">
        <v>1852</v>
      </c>
      <c r="E167" s="50" t="s">
        <v>1926</v>
      </c>
      <c r="F167" s="90" t="s">
        <v>1860</v>
      </c>
      <c r="G167" s="90" t="s">
        <v>1682</v>
      </c>
      <c r="H167" s="90" t="s">
        <v>1247</v>
      </c>
      <c r="I167" s="90" t="s">
        <v>1861</v>
      </c>
      <c r="J167" s="90" t="s">
        <v>1862</v>
      </c>
      <c r="K167" s="90" t="s">
        <v>1863</v>
      </c>
      <c r="L167" s="90" t="s">
        <v>1864</v>
      </c>
      <c r="M167" s="95" t="s">
        <v>1679</v>
      </c>
      <c r="N167" s="90" t="s">
        <v>1680</v>
      </c>
    </row>
    <row r="168" spans="1:14" ht="16.5">
      <c r="A168" s="90">
        <v>165</v>
      </c>
      <c r="B168" s="47">
        <v>230</v>
      </c>
      <c r="C168" s="50" t="s">
        <v>539</v>
      </c>
      <c r="D168" s="50" t="s">
        <v>1852</v>
      </c>
      <c r="E168" s="50" t="s">
        <v>1926</v>
      </c>
      <c r="F168" s="90" t="s">
        <v>1881</v>
      </c>
      <c r="G168" s="90" t="s">
        <v>1682</v>
      </c>
      <c r="H168" s="90" t="s">
        <v>1247</v>
      </c>
      <c r="I168" s="90" t="s">
        <v>1683</v>
      </c>
      <c r="J168" s="90" t="s">
        <v>1684</v>
      </c>
      <c r="K168" s="90" t="s">
        <v>1882</v>
      </c>
      <c r="L168" s="90" t="s">
        <v>1883</v>
      </c>
      <c r="M168" s="95" t="s">
        <v>1679</v>
      </c>
      <c r="N168" s="90" t="s">
        <v>1884</v>
      </c>
    </row>
    <row r="169" spans="1:14" ht="16.5">
      <c r="A169" s="90">
        <v>166</v>
      </c>
      <c r="B169" s="91">
        <v>232</v>
      </c>
      <c r="C169" s="90" t="s">
        <v>319</v>
      </c>
      <c r="D169" s="50" t="s">
        <v>1852</v>
      </c>
      <c r="E169" s="50" t="s">
        <v>1926</v>
      </c>
      <c r="F169" s="90" t="s">
        <v>1860</v>
      </c>
      <c r="G169" s="90" t="s">
        <v>1682</v>
      </c>
      <c r="H169" s="90" t="s">
        <v>1247</v>
      </c>
      <c r="I169" s="90" t="s">
        <v>1861</v>
      </c>
      <c r="J169" s="90" t="s">
        <v>1862</v>
      </c>
      <c r="K169" s="90" t="s">
        <v>1863</v>
      </c>
      <c r="L169" s="90" t="s">
        <v>1864</v>
      </c>
      <c r="M169" s="95" t="s">
        <v>1679</v>
      </c>
      <c r="N169" s="90" t="s">
        <v>1680</v>
      </c>
    </row>
    <row r="170" spans="1:14" ht="16.5">
      <c r="A170" s="90">
        <v>167</v>
      </c>
      <c r="B170" s="47">
        <v>233</v>
      </c>
      <c r="C170" s="50" t="s">
        <v>593</v>
      </c>
      <c r="D170" s="50" t="s">
        <v>1852</v>
      </c>
      <c r="E170" s="50" t="s">
        <v>1926</v>
      </c>
      <c r="F170" s="90">
        <v>50</v>
      </c>
      <c r="G170" s="90">
        <v>30</v>
      </c>
      <c r="H170" s="90">
        <v>10</v>
      </c>
      <c r="I170" s="90">
        <v>30</v>
      </c>
      <c r="J170" s="90">
        <v>40</v>
      </c>
      <c r="K170" s="90">
        <v>60</v>
      </c>
      <c r="L170" s="90">
        <v>65</v>
      </c>
      <c r="M170" s="95">
        <v>1</v>
      </c>
      <c r="N170" s="90">
        <v>3</v>
      </c>
    </row>
    <row r="171" spans="1:14" ht="16.5">
      <c r="A171" s="90">
        <v>168</v>
      </c>
      <c r="B171" s="47">
        <v>237</v>
      </c>
      <c r="C171" s="50" t="s">
        <v>565</v>
      </c>
      <c r="D171" s="50" t="s">
        <v>1852</v>
      </c>
      <c r="E171" s="50" t="s">
        <v>1926</v>
      </c>
      <c r="F171" s="90" t="s">
        <v>1885</v>
      </c>
      <c r="G171" s="90" t="s">
        <v>1682</v>
      </c>
      <c r="H171" s="90" t="s">
        <v>1247</v>
      </c>
      <c r="I171" s="90" t="s">
        <v>1675</v>
      </c>
      <c r="J171" s="90" t="s">
        <v>1676</v>
      </c>
      <c r="K171" s="90" t="s">
        <v>1886</v>
      </c>
      <c r="L171" s="90" t="s">
        <v>1887</v>
      </c>
      <c r="M171" s="95" t="s">
        <v>1679</v>
      </c>
      <c r="N171" s="90" t="s">
        <v>1680</v>
      </c>
    </row>
    <row r="172" spans="1:14" ht="16.5">
      <c r="A172" s="90">
        <v>169</v>
      </c>
      <c r="B172" s="47">
        <v>213</v>
      </c>
      <c r="C172" s="50" t="s">
        <v>599</v>
      </c>
      <c r="D172" s="50" t="s">
        <v>1852</v>
      </c>
      <c r="E172" s="50" t="s">
        <v>1926</v>
      </c>
      <c r="F172" s="90">
        <v>63</v>
      </c>
      <c r="G172" s="90">
        <v>30</v>
      </c>
      <c r="H172" s="90">
        <v>10</v>
      </c>
      <c r="I172" s="90">
        <v>48</v>
      </c>
      <c r="J172" s="90">
        <v>53</v>
      </c>
      <c r="K172" s="90">
        <v>73</v>
      </c>
      <c r="L172" s="90">
        <v>78</v>
      </c>
      <c r="M172" s="95">
        <v>1</v>
      </c>
      <c r="N172" s="90">
        <v>6</v>
      </c>
    </row>
    <row r="173" spans="1:14" ht="16.5">
      <c r="A173" s="90">
        <v>170</v>
      </c>
      <c r="B173" s="47">
        <v>224</v>
      </c>
      <c r="C173" s="50" t="s">
        <v>369</v>
      </c>
      <c r="D173" s="50" t="s">
        <v>1852</v>
      </c>
      <c r="E173" s="50" t="s">
        <v>1926</v>
      </c>
      <c r="F173" s="90" t="s">
        <v>1860</v>
      </c>
      <c r="G173" s="90" t="s">
        <v>1682</v>
      </c>
      <c r="H173" s="90" t="s">
        <v>1247</v>
      </c>
      <c r="I173" s="90" t="s">
        <v>1861</v>
      </c>
      <c r="J173" s="90" t="s">
        <v>1862</v>
      </c>
      <c r="K173" s="90" t="s">
        <v>1863</v>
      </c>
      <c r="L173" s="90" t="s">
        <v>1864</v>
      </c>
      <c r="M173" s="95" t="s">
        <v>1679</v>
      </c>
      <c r="N173" s="90" t="s">
        <v>1680</v>
      </c>
    </row>
    <row r="174" spans="1:14" ht="16.5">
      <c r="A174" s="90">
        <v>171</v>
      </c>
      <c r="B174" s="47">
        <v>229</v>
      </c>
      <c r="C174" s="50" t="s">
        <v>515</v>
      </c>
      <c r="D174" s="50" t="s">
        <v>1852</v>
      </c>
      <c r="E174" s="50" t="s">
        <v>1926</v>
      </c>
      <c r="F174" s="90" t="s">
        <v>1872</v>
      </c>
      <c r="G174" s="90" t="s">
        <v>1682</v>
      </c>
      <c r="H174" s="90" t="s">
        <v>1247</v>
      </c>
      <c r="I174" s="90" t="s">
        <v>1879</v>
      </c>
      <c r="J174" s="90" t="s">
        <v>1880</v>
      </c>
      <c r="K174" s="90" t="s">
        <v>1875</v>
      </c>
      <c r="L174" s="90" t="s">
        <v>1876</v>
      </c>
      <c r="M174" s="95" t="s">
        <v>1679</v>
      </c>
      <c r="N174" s="90" t="s">
        <v>1680</v>
      </c>
    </row>
    <row r="175" spans="1:14" ht="16.5">
      <c r="A175" s="90">
        <v>172</v>
      </c>
      <c r="B175" s="47">
        <v>231</v>
      </c>
      <c r="C175" s="94" t="s">
        <v>591</v>
      </c>
      <c r="D175" s="50" t="s">
        <v>1852</v>
      </c>
      <c r="E175" s="50" t="s">
        <v>1926</v>
      </c>
      <c r="F175" s="90" t="s">
        <v>1872</v>
      </c>
      <c r="G175" s="90" t="s">
        <v>1862</v>
      </c>
      <c r="H175" s="90" t="s">
        <v>1888</v>
      </c>
      <c r="I175" s="90" t="s">
        <v>1862</v>
      </c>
      <c r="J175" s="90" t="s">
        <v>1889</v>
      </c>
      <c r="K175" s="90" t="s">
        <v>1890</v>
      </c>
      <c r="L175" s="90" t="s">
        <v>1868</v>
      </c>
      <c r="M175" s="95" t="s">
        <v>1679</v>
      </c>
      <c r="N175" s="90" t="s">
        <v>1891</v>
      </c>
    </row>
    <row r="176" spans="1:14" ht="16.5">
      <c r="A176" s="90">
        <v>173</v>
      </c>
      <c r="B176" s="47">
        <v>211</v>
      </c>
      <c r="C176" s="50" t="s">
        <v>605</v>
      </c>
      <c r="D176" s="50" t="s">
        <v>1852</v>
      </c>
      <c r="E176" s="50" t="s">
        <v>1926</v>
      </c>
      <c r="F176" s="90">
        <v>50</v>
      </c>
      <c r="G176" s="90">
        <v>30</v>
      </c>
      <c r="H176" s="90">
        <v>10</v>
      </c>
      <c r="I176" s="90">
        <v>33</v>
      </c>
      <c r="J176" s="90">
        <v>38</v>
      </c>
      <c r="K176" s="90">
        <v>58</v>
      </c>
      <c r="L176" s="90">
        <v>63</v>
      </c>
      <c r="M176" s="95">
        <v>1</v>
      </c>
      <c r="N176" s="90">
        <v>3</v>
      </c>
    </row>
    <row r="177" spans="1:14" ht="16.5">
      <c r="A177" s="90">
        <v>174</v>
      </c>
      <c r="B177" s="47">
        <v>212</v>
      </c>
      <c r="C177" s="50" t="s">
        <v>394</v>
      </c>
      <c r="D177" s="50" t="s">
        <v>1852</v>
      </c>
      <c r="E177" s="50" t="s">
        <v>1926</v>
      </c>
      <c r="F177" s="90" t="s">
        <v>1881</v>
      </c>
      <c r="G177" s="90" t="s">
        <v>1862</v>
      </c>
      <c r="H177" s="90" t="s">
        <v>1888</v>
      </c>
      <c r="I177" s="90" t="s">
        <v>1892</v>
      </c>
      <c r="J177" s="90" t="s">
        <v>1893</v>
      </c>
      <c r="K177" s="90" t="s">
        <v>1894</v>
      </c>
      <c r="L177" s="90" t="s">
        <v>1895</v>
      </c>
      <c r="M177" s="95" t="s">
        <v>1679</v>
      </c>
      <c r="N177" s="90" t="s">
        <v>1891</v>
      </c>
    </row>
    <row r="178" spans="1:14" ht="16.5">
      <c r="A178" s="90">
        <v>175</v>
      </c>
      <c r="B178" s="47">
        <v>300</v>
      </c>
      <c r="C178" s="50" t="s">
        <v>1896</v>
      </c>
      <c r="D178" s="50" t="s">
        <v>1852</v>
      </c>
      <c r="E178" s="50" t="s">
        <v>1926</v>
      </c>
      <c r="F178" s="90">
        <v>42</v>
      </c>
      <c r="G178" s="90">
        <v>30</v>
      </c>
      <c r="H178" s="90">
        <v>10</v>
      </c>
      <c r="I178" s="90">
        <v>27</v>
      </c>
      <c r="J178" s="90">
        <v>32</v>
      </c>
      <c r="K178" s="90">
        <v>52</v>
      </c>
      <c r="L178" s="90">
        <v>57</v>
      </c>
      <c r="M178" s="95">
        <v>1</v>
      </c>
      <c r="N178" s="90">
        <v>3</v>
      </c>
    </row>
    <row r="179" spans="1:14" ht="16.5">
      <c r="A179" s="90">
        <v>176</v>
      </c>
      <c r="B179" s="47">
        <v>228</v>
      </c>
      <c r="C179" s="50" t="s">
        <v>948</v>
      </c>
      <c r="D179" s="50" t="s">
        <v>1852</v>
      </c>
      <c r="E179" s="50" t="s">
        <v>1926</v>
      </c>
      <c r="F179" s="90" t="s">
        <v>1872</v>
      </c>
      <c r="G179" s="90" t="s">
        <v>1682</v>
      </c>
      <c r="H179" s="90" t="s">
        <v>1247</v>
      </c>
      <c r="I179" s="90" t="s">
        <v>1873</v>
      </c>
      <c r="J179" s="90" t="s">
        <v>1874</v>
      </c>
      <c r="K179" s="90" t="s">
        <v>1875</v>
      </c>
      <c r="L179" s="90" t="s">
        <v>1876</v>
      </c>
      <c r="M179" s="95" t="s">
        <v>1679</v>
      </c>
      <c r="N179" s="90" t="s">
        <v>1877</v>
      </c>
    </row>
    <row r="180" spans="1:14" ht="16.5">
      <c r="A180" s="90">
        <v>177</v>
      </c>
      <c r="B180" s="47">
        <v>202</v>
      </c>
      <c r="C180" s="50" t="s">
        <v>154</v>
      </c>
      <c r="D180" s="50" t="s">
        <v>1897</v>
      </c>
      <c r="E180" s="50" t="s">
        <v>1926</v>
      </c>
      <c r="F180" s="90" t="s">
        <v>1854</v>
      </c>
      <c r="G180" s="90" t="s">
        <v>1674</v>
      </c>
      <c r="H180" s="90" t="s">
        <v>1247</v>
      </c>
      <c r="I180" s="90" t="s">
        <v>1855</v>
      </c>
      <c r="J180" s="90" t="s">
        <v>1856</v>
      </c>
      <c r="K180" s="90" t="s">
        <v>1857</v>
      </c>
      <c r="L180" s="90" t="s">
        <v>1858</v>
      </c>
      <c r="M180" s="95" t="s">
        <v>1679</v>
      </c>
      <c r="N180" s="90" t="s">
        <v>1859</v>
      </c>
    </row>
    <row r="181" spans="1:14" ht="16.5">
      <c r="A181" s="90">
        <v>178</v>
      </c>
      <c r="B181" s="91">
        <v>203</v>
      </c>
      <c r="C181" s="90" t="s">
        <v>202</v>
      </c>
      <c r="D181" s="50" t="s">
        <v>1897</v>
      </c>
      <c r="E181" s="50" t="s">
        <v>1926</v>
      </c>
      <c r="F181" s="90" t="s">
        <v>1860</v>
      </c>
      <c r="G181" s="90" t="s">
        <v>1682</v>
      </c>
      <c r="H181" s="90" t="s">
        <v>1247</v>
      </c>
      <c r="I181" s="90" t="s">
        <v>1861</v>
      </c>
      <c r="J181" s="90" t="s">
        <v>1862</v>
      </c>
      <c r="K181" s="90" t="s">
        <v>1863</v>
      </c>
      <c r="L181" s="90" t="s">
        <v>1864</v>
      </c>
      <c r="M181" s="95" t="s">
        <v>1679</v>
      </c>
      <c r="N181" s="90" t="s">
        <v>1680</v>
      </c>
    </row>
    <row r="182" spans="1:14" ht="16.5">
      <c r="A182" s="90">
        <v>179</v>
      </c>
      <c r="B182" s="47">
        <v>204</v>
      </c>
      <c r="C182" s="50" t="s">
        <v>226</v>
      </c>
      <c r="D182" s="50" t="s">
        <v>1897</v>
      </c>
      <c r="E182" s="50" t="s">
        <v>1926</v>
      </c>
      <c r="F182" s="90" t="s">
        <v>1854</v>
      </c>
      <c r="G182" s="90" t="s">
        <v>1674</v>
      </c>
      <c r="H182" s="90" t="s">
        <v>1247</v>
      </c>
      <c r="I182" s="90" t="s">
        <v>1855</v>
      </c>
      <c r="J182" s="90" t="s">
        <v>1856</v>
      </c>
      <c r="K182" s="90" t="s">
        <v>1857</v>
      </c>
      <c r="L182" s="90" t="s">
        <v>1858</v>
      </c>
      <c r="M182" s="95" t="s">
        <v>1679</v>
      </c>
      <c r="N182" s="90" t="s">
        <v>1680</v>
      </c>
    </row>
    <row r="183" spans="1:14" ht="16.5">
      <c r="A183" s="90">
        <v>180</v>
      </c>
      <c r="B183" s="47">
        <v>205</v>
      </c>
      <c r="C183" s="50" t="s">
        <v>249</v>
      </c>
      <c r="D183" s="50" t="s">
        <v>1897</v>
      </c>
      <c r="E183" s="50" t="s">
        <v>1926</v>
      </c>
      <c r="F183" s="90" t="s">
        <v>1854</v>
      </c>
      <c r="G183" s="90" t="s">
        <v>1674</v>
      </c>
      <c r="H183" s="90" t="s">
        <v>1247</v>
      </c>
      <c r="I183" s="90" t="s">
        <v>1855</v>
      </c>
      <c r="J183" s="90" t="s">
        <v>1856</v>
      </c>
      <c r="K183" s="90" t="s">
        <v>1857</v>
      </c>
      <c r="L183" s="90" t="s">
        <v>1858</v>
      </c>
      <c r="M183" s="95" t="s">
        <v>1679</v>
      </c>
      <c r="N183" s="90" t="s">
        <v>1859</v>
      </c>
    </row>
    <row r="184" spans="1:14" ht="16.5">
      <c r="A184" s="90">
        <v>181</v>
      </c>
      <c r="B184" s="47">
        <v>207</v>
      </c>
      <c r="C184" s="50" t="s">
        <v>595</v>
      </c>
      <c r="D184" s="50" t="s">
        <v>1897</v>
      </c>
      <c r="E184" s="50" t="s">
        <v>1926</v>
      </c>
      <c r="F184" s="90">
        <v>50</v>
      </c>
      <c r="G184" s="90">
        <v>30</v>
      </c>
      <c r="H184" s="90">
        <v>10</v>
      </c>
      <c r="I184" s="90">
        <v>30</v>
      </c>
      <c r="J184" s="90">
        <v>40</v>
      </c>
      <c r="K184" s="90">
        <v>60</v>
      </c>
      <c r="L184" s="90">
        <v>65</v>
      </c>
      <c r="M184" s="95">
        <v>1</v>
      </c>
      <c r="N184" s="90">
        <v>3</v>
      </c>
    </row>
    <row r="185" spans="1:14" ht="16.5">
      <c r="A185" s="90">
        <v>182</v>
      </c>
      <c r="B185" s="47">
        <v>208</v>
      </c>
      <c r="C185" s="50" t="s">
        <v>589</v>
      </c>
      <c r="D185" s="50" t="s">
        <v>1897</v>
      </c>
      <c r="E185" s="50" t="s">
        <v>1926</v>
      </c>
      <c r="F185" s="90">
        <v>53</v>
      </c>
      <c r="G185" s="90">
        <v>50</v>
      </c>
      <c r="H185" s="90">
        <v>1</v>
      </c>
      <c r="I185" s="90">
        <v>20</v>
      </c>
      <c r="J185" s="90">
        <v>35</v>
      </c>
      <c r="K185" s="90">
        <v>63</v>
      </c>
      <c r="L185" s="90">
        <v>68</v>
      </c>
      <c r="M185" s="95">
        <v>1</v>
      </c>
      <c r="N185" s="90">
        <v>8</v>
      </c>
    </row>
    <row r="186" spans="1:14" ht="16.5">
      <c r="A186" s="90">
        <v>183</v>
      </c>
      <c r="B186" s="47">
        <v>215</v>
      </c>
      <c r="C186" s="50" t="s">
        <v>418</v>
      </c>
      <c r="D186" s="50" t="s">
        <v>1897</v>
      </c>
      <c r="E186" s="50" t="s">
        <v>1926</v>
      </c>
      <c r="F186" s="90" t="s">
        <v>1927</v>
      </c>
      <c r="G186" s="90" t="s">
        <v>1682</v>
      </c>
      <c r="H186" s="90" t="s">
        <v>1928</v>
      </c>
      <c r="I186" s="90" t="s">
        <v>1929</v>
      </c>
      <c r="J186" s="90" t="s">
        <v>1930</v>
      </c>
      <c r="K186" s="90" t="s">
        <v>1931</v>
      </c>
      <c r="L186" s="90" t="s">
        <v>1932</v>
      </c>
      <c r="M186" s="95" t="s">
        <v>1679</v>
      </c>
      <c r="N186" s="90" t="s">
        <v>1933</v>
      </c>
    </row>
    <row r="187" spans="1:14" ht="16.5">
      <c r="A187" s="90">
        <v>184</v>
      </c>
      <c r="B187" s="47">
        <v>222</v>
      </c>
      <c r="C187" s="50" t="s">
        <v>442</v>
      </c>
      <c r="D187" s="50" t="s">
        <v>1897</v>
      </c>
      <c r="E187" s="50" t="s">
        <v>1926</v>
      </c>
      <c r="F187" s="90" t="s">
        <v>1854</v>
      </c>
      <c r="G187" s="90" t="s">
        <v>1871</v>
      </c>
      <c r="H187" s="90" t="s">
        <v>1247</v>
      </c>
      <c r="I187" s="90" t="s">
        <v>1855</v>
      </c>
      <c r="J187" s="90" t="s">
        <v>1856</v>
      </c>
      <c r="K187" s="90" t="s">
        <v>1857</v>
      </c>
      <c r="L187" s="90" t="s">
        <v>1858</v>
      </c>
      <c r="M187" s="95" t="s">
        <v>1679</v>
      </c>
      <c r="N187" s="90" t="s">
        <v>1859</v>
      </c>
    </row>
    <row r="188" spans="1:14" ht="16.5">
      <c r="A188" s="90">
        <v>185</v>
      </c>
      <c r="B188" s="47">
        <v>223</v>
      </c>
      <c r="C188" s="50" t="s">
        <v>918</v>
      </c>
      <c r="D188" s="50" t="s">
        <v>1897</v>
      </c>
      <c r="E188" s="50" t="s">
        <v>1926</v>
      </c>
      <c r="F188" s="90">
        <v>28</v>
      </c>
      <c r="G188" s="90">
        <v>30</v>
      </c>
      <c r="H188" s="90">
        <v>10</v>
      </c>
      <c r="I188" s="90">
        <v>17</v>
      </c>
      <c r="J188" s="90">
        <v>22</v>
      </c>
      <c r="K188" s="90">
        <v>33</v>
      </c>
      <c r="L188" s="90">
        <v>38</v>
      </c>
      <c r="M188" s="95">
        <v>1</v>
      </c>
      <c r="N188" s="90">
        <v>2</v>
      </c>
    </row>
    <row r="189" spans="1:14" ht="16.5">
      <c r="A189" s="90">
        <v>186</v>
      </c>
      <c r="B189" s="47">
        <v>226</v>
      </c>
      <c r="C189" s="92" t="s">
        <v>469</v>
      </c>
      <c r="D189" s="50" t="s">
        <v>1897</v>
      </c>
      <c r="E189" s="50" t="s">
        <v>1926</v>
      </c>
      <c r="F189" s="90" t="s">
        <v>1872</v>
      </c>
      <c r="G189" s="90" t="s">
        <v>1682</v>
      </c>
      <c r="H189" s="90" t="s">
        <v>1247</v>
      </c>
      <c r="I189" s="90" t="s">
        <v>1873</v>
      </c>
      <c r="J189" s="90" t="s">
        <v>1874</v>
      </c>
      <c r="K189" s="90" t="s">
        <v>1875</v>
      </c>
      <c r="L189" s="90" t="s">
        <v>1876</v>
      </c>
      <c r="M189" s="95" t="s">
        <v>1679</v>
      </c>
      <c r="N189" s="90" t="s">
        <v>1877</v>
      </c>
    </row>
    <row r="190" spans="1:14" ht="16.5">
      <c r="A190" s="90">
        <v>187</v>
      </c>
      <c r="B190" s="91">
        <v>227</v>
      </c>
      <c r="C190" s="93" t="s">
        <v>493</v>
      </c>
      <c r="D190" s="50" t="s">
        <v>1897</v>
      </c>
      <c r="E190" s="50" t="s">
        <v>1926</v>
      </c>
      <c r="F190" s="90" t="s">
        <v>1872</v>
      </c>
      <c r="G190" s="90" t="s">
        <v>1682</v>
      </c>
      <c r="H190" s="90" t="s">
        <v>1247</v>
      </c>
      <c r="I190" s="90" t="s">
        <v>1873</v>
      </c>
      <c r="J190" s="90" t="s">
        <v>1874</v>
      </c>
      <c r="K190" s="90" t="s">
        <v>1875</v>
      </c>
      <c r="L190" s="90" t="s">
        <v>1876</v>
      </c>
      <c r="M190" s="95" t="s">
        <v>1679</v>
      </c>
      <c r="N190" s="90" t="s">
        <v>1870</v>
      </c>
    </row>
    <row r="191" spans="1:14" ht="16.5">
      <c r="A191" s="90">
        <v>188</v>
      </c>
      <c r="B191" s="47">
        <v>234</v>
      </c>
      <c r="C191" s="50" t="s">
        <v>1878</v>
      </c>
      <c r="D191" s="50" t="s">
        <v>1897</v>
      </c>
      <c r="E191" s="50" t="s">
        <v>1926</v>
      </c>
      <c r="F191" s="90" t="s">
        <v>1854</v>
      </c>
      <c r="G191" s="90" t="s">
        <v>1674</v>
      </c>
      <c r="H191" s="90" t="s">
        <v>1247</v>
      </c>
      <c r="I191" s="90" t="s">
        <v>1855</v>
      </c>
      <c r="J191" s="90" t="s">
        <v>1856</v>
      </c>
      <c r="K191" s="90" t="s">
        <v>1857</v>
      </c>
      <c r="L191" s="90" t="s">
        <v>1858</v>
      </c>
      <c r="M191" s="95" t="s">
        <v>1679</v>
      </c>
      <c r="N191" s="90" t="s">
        <v>1859</v>
      </c>
    </row>
    <row r="192" spans="1:14" ht="16.5">
      <c r="A192" s="90">
        <v>189</v>
      </c>
      <c r="B192" s="47">
        <v>235</v>
      </c>
      <c r="C192" s="50" t="s">
        <v>601</v>
      </c>
      <c r="D192" s="50" t="s">
        <v>1897</v>
      </c>
      <c r="E192" s="50" t="s">
        <v>1926</v>
      </c>
      <c r="F192" s="90">
        <v>50</v>
      </c>
      <c r="G192" s="90">
        <v>30</v>
      </c>
      <c r="H192" s="90">
        <v>10</v>
      </c>
      <c r="I192" s="90">
        <v>30</v>
      </c>
      <c r="J192" s="90">
        <v>40</v>
      </c>
      <c r="K192" s="90">
        <v>60</v>
      </c>
      <c r="L192" s="90">
        <v>65</v>
      </c>
      <c r="M192" s="95">
        <v>1</v>
      </c>
      <c r="N192" s="90">
        <v>3</v>
      </c>
    </row>
    <row r="193" spans="1:14" ht="16.5">
      <c r="A193" s="90">
        <v>190</v>
      </c>
      <c r="B193" s="47">
        <v>236</v>
      </c>
      <c r="C193" s="50" t="s">
        <v>1688</v>
      </c>
      <c r="D193" s="50" t="s">
        <v>1897</v>
      </c>
      <c r="E193" s="50" t="s">
        <v>1926</v>
      </c>
      <c r="F193" s="90">
        <v>50</v>
      </c>
      <c r="G193" s="90">
        <v>30</v>
      </c>
      <c r="H193" s="90">
        <v>10</v>
      </c>
      <c r="I193" s="90">
        <v>30</v>
      </c>
      <c r="J193" s="90">
        <v>40</v>
      </c>
      <c r="K193" s="90">
        <v>60</v>
      </c>
      <c r="L193" s="90">
        <v>65</v>
      </c>
      <c r="M193" s="95">
        <v>1</v>
      </c>
      <c r="N193" s="90">
        <v>3</v>
      </c>
    </row>
    <row r="194" spans="1:14" ht="16.5">
      <c r="A194" s="90">
        <v>191</v>
      </c>
      <c r="B194" s="91">
        <v>201</v>
      </c>
      <c r="C194" s="90" t="s">
        <v>66</v>
      </c>
      <c r="D194" s="50" t="s">
        <v>1897</v>
      </c>
      <c r="E194" s="50" t="s">
        <v>1926</v>
      </c>
      <c r="F194" s="90" t="s">
        <v>1872</v>
      </c>
      <c r="G194" s="90" t="s">
        <v>1682</v>
      </c>
      <c r="H194" s="90" t="s">
        <v>1247</v>
      </c>
      <c r="I194" s="90" t="s">
        <v>1879</v>
      </c>
      <c r="J194" s="90" t="s">
        <v>1880</v>
      </c>
      <c r="K194" s="90" t="s">
        <v>1875</v>
      </c>
      <c r="L194" s="90" t="s">
        <v>1876</v>
      </c>
      <c r="M194" s="95" t="s">
        <v>1679</v>
      </c>
      <c r="N194" s="90" t="s">
        <v>1680</v>
      </c>
    </row>
    <row r="195" spans="1:14" ht="16.5">
      <c r="A195" s="90">
        <v>192</v>
      </c>
      <c r="B195" s="91">
        <v>206</v>
      </c>
      <c r="C195" s="90" t="s">
        <v>293</v>
      </c>
      <c r="D195" s="50" t="s">
        <v>1897</v>
      </c>
      <c r="E195" s="50" t="s">
        <v>1926</v>
      </c>
      <c r="F195" s="90" t="s">
        <v>1860</v>
      </c>
      <c r="G195" s="90" t="s">
        <v>1682</v>
      </c>
      <c r="H195" s="90" t="s">
        <v>1247</v>
      </c>
      <c r="I195" s="90" t="s">
        <v>1861</v>
      </c>
      <c r="J195" s="90" t="s">
        <v>1862</v>
      </c>
      <c r="K195" s="90" t="s">
        <v>1863</v>
      </c>
      <c r="L195" s="90" t="s">
        <v>1864</v>
      </c>
      <c r="M195" s="95" t="s">
        <v>1679</v>
      </c>
      <c r="N195" s="90" t="s">
        <v>1680</v>
      </c>
    </row>
    <row r="196" spans="1:14" ht="16.5">
      <c r="A196" s="90">
        <v>193</v>
      </c>
      <c r="B196" s="47">
        <v>209</v>
      </c>
      <c r="C196" s="50" t="s">
        <v>344</v>
      </c>
      <c r="D196" s="50" t="s">
        <v>1897</v>
      </c>
      <c r="E196" s="50" t="s">
        <v>1926</v>
      </c>
      <c r="F196" s="90" t="s">
        <v>1860</v>
      </c>
      <c r="G196" s="90" t="s">
        <v>1682</v>
      </c>
      <c r="H196" s="90" t="s">
        <v>1247</v>
      </c>
      <c r="I196" s="90" t="s">
        <v>1861</v>
      </c>
      <c r="J196" s="90" t="s">
        <v>1862</v>
      </c>
      <c r="K196" s="90" t="s">
        <v>1863</v>
      </c>
      <c r="L196" s="90" t="s">
        <v>1864</v>
      </c>
      <c r="M196" s="95" t="s">
        <v>1679</v>
      </c>
      <c r="N196" s="90" t="s">
        <v>1680</v>
      </c>
    </row>
    <row r="197" spans="1:14" ht="16.5">
      <c r="A197" s="90">
        <v>194</v>
      </c>
      <c r="B197" s="47">
        <v>230</v>
      </c>
      <c r="C197" s="50" t="s">
        <v>539</v>
      </c>
      <c r="D197" s="50" t="s">
        <v>1897</v>
      </c>
      <c r="E197" s="50" t="s">
        <v>1926</v>
      </c>
      <c r="F197" s="90" t="s">
        <v>1881</v>
      </c>
      <c r="G197" s="90" t="s">
        <v>1682</v>
      </c>
      <c r="H197" s="90" t="s">
        <v>1247</v>
      </c>
      <c r="I197" s="90" t="s">
        <v>1683</v>
      </c>
      <c r="J197" s="90" t="s">
        <v>1684</v>
      </c>
      <c r="K197" s="90" t="s">
        <v>1882</v>
      </c>
      <c r="L197" s="90" t="s">
        <v>1883</v>
      </c>
      <c r="M197" s="95" t="s">
        <v>1679</v>
      </c>
      <c r="N197" s="90" t="s">
        <v>1884</v>
      </c>
    </row>
    <row r="198" spans="1:14" ht="16.5">
      <c r="A198" s="90">
        <v>195</v>
      </c>
      <c r="B198" s="91">
        <v>232</v>
      </c>
      <c r="C198" s="90" t="s">
        <v>319</v>
      </c>
      <c r="D198" s="50" t="s">
        <v>1897</v>
      </c>
      <c r="E198" s="50" t="s">
        <v>1926</v>
      </c>
      <c r="F198" s="90" t="s">
        <v>1860</v>
      </c>
      <c r="G198" s="90" t="s">
        <v>1682</v>
      </c>
      <c r="H198" s="90" t="s">
        <v>1247</v>
      </c>
      <c r="I198" s="90" t="s">
        <v>1861</v>
      </c>
      <c r="J198" s="90" t="s">
        <v>1862</v>
      </c>
      <c r="K198" s="90" t="s">
        <v>1863</v>
      </c>
      <c r="L198" s="90" t="s">
        <v>1864</v>
      </c>
      <c r="M198" s="95" t="s">
        <v>1679</v>
      </c>
      <c r="N198" s="90" t="s">
        <v>1680</v>
      </c>
    </row>
    <row r="199" spans="1:14" ht="16.5">
      <c r="A199" s="90">
        <v>196</v>
      </c>
      <c r="B199" s="47">
        <v>233</v>
      </c>
      <c r="C199" s="50" t="s">
        <v>593</v>
      </c>
      <c r="D199" s="50" t="s">
        <v>1897</v>
      </c>
      <c r="E199" s="50" t="s">
        <v>1926</v>
      </c>
      <c r="F199" s="90">
        <v>50</v>
      </c>
      <c r="G199" s="90">
        <v>30</v>
      </c>
      <c r="H199" s="90">
        <v>10</v>
      </c>
      <c r="I199" s="90">
        <v>30</v>
      </c>
      <c r="J199" s="90">
        <v>40</v>
      </c>
      <c r="K199" s="90">
        <v>60</v>
      </c>
      <c r="L199" s="90">
        <v>65</v>
      </c>
      <c r="M199" s="95">
        <v>1</v>
      </c>
      <c r="N199" s="90">
        <v>3</v>
      </c>
    </row>
    <row r="200" spans="1:14" ht="16.5">
      <c r="A200" s="90">
        <v>197</v>
      </c>
      <c r="B200" s="47">
        <v>237</v>
      </c>
      <c r="C200" s="50" t="s">
        <v>565</v>
      </c>
      <c r="D200" s="50" t="s">
        <v>1897</v>
      </c>
      <c r="E200" s="50" t="s">
        <v>1926</v>
      </c>
      <c r="F200" s="90" t="s">
        <v>1885</v>
      </c>
      <c r="G200" s="90" t="s">
        <v>1682</v>
      </c>
      <c r="H200" s="90" t="s">
        <v>1247</v>
      </c>
      <c r="I200" s="90" t="s">
        <v>1675</v>
      </c>
      <c r="J200" s="90" t="s">
        <v>1676</v>
      </c>
      <c r="K200" s="90" t="s">
        <v>1886</v>
      </c>
      <c r="L200" s="90" t="s">
        <v>1887</v>
      </c>
      <c r="M200" s="95" t="s">
        <v>1679</v>
      </c>
      <c r="N200" s="90" t="s">
        <v>1680</v>
      </c>
    </row>
    <row r="201" spans="1:14" ht="16.5">
      <c r="A201" s="90">
        <v>198</v>
      </c>
      <c r="B201" s="47">
        <v>213</v>
      </c>
      <c r="C201" s="50" t="s">
        <v>599</v>
      </c>
      <c r="D201" s="50" t="s">
        <v>1897</v>
      </c>
      <c r="E201" s="50" t="s">
        <v>1926</v>
      </c>
      <c r="F201" s="90">
        <v>63</v>
      </c>
      <c r="G201" s="90">
        <v>30</v>
      </c>
      <c r="H201" s="90">
        <v>10</v>
      </c>
      <c r="I201" s="90">
        <v>48</v>
      </c>
      <c r="J201" s="90">
        <v>53</v>
      </c>
      <c r="K201" s="90">
        <v>73</v>
      </c>
      <c r="L201" s="90">
        <v>78</v>
      </c>
      <c r="M201" s="95">
        <v>1</v>
      </c>
      <c r="N201" s="90">
        <v>6</v>
      </c>
    </row>
    <row r="202" spans="1:14" ht="16.5">
      <c r="A202" s="90">
        <v>199</v>
      </c>
      <c r="B202" s="47">
        <v>224</v>
      </c>
      <c r="C202" s="50" t="s">
        <v>369</v>
      </c>
      <c r="D202" s="50" t="s">
        <v>1897</v>
      </c>
      <c r="E202" s="50" t="s">
        <v>1926</v>
      </c>
      <c r="F202" s="90" t="s">
        <v>1860</v>
      </c>
      <c r="G202" s="90" t="s">
        <v>1682</v>
      </c>
      <c r="H202" s="90" t="s">
        <v>1247</v>
      </c>
      <c r="I202" s="90" t="s">
        <v>1861</v>
      </c>
      <c r="J202" s="90" t="s">
        <v>1862</v>
      </c>
      <c r="K202" s="90" t="s">
        <v>1863</v>
      </c>
      <c r="L202" s="90" t="s">
        <v>1864</v>
      </c>
      <c r="M202" s="95" t="s">
        <v>1679</v>
      </c>
      <c r="N202" s="90" t="s">
        <v>1680</v>
      </c>
    </row>
    <row r="203" spans="1:14" ht="16.5">
      <c r="A203" s="90">
        <v>200</v>
      </c>
      <c r="B203" s="47">
        <v>229</v>
      </c>
      <c r="C203" s="50" t="s">
        <v>515</v>
      </c>
      <c r="D203" s="50" t="s">
        <v>1897</v>
      </c>
      <c r="E203" s="50" t="s">
        <v>1926</v>
      </c>
      <c r="F203" s="90" t="s">
        <v>1872</v>
      </c>
      <c r="G203" s="90" t="s">
        <v>1682</v>
      </c>
      <c r="H203" s="90" t="s">
        <v>1247</v>
      </c>
      <c r="I203" s="90" t="s">
        <v>1879</v>
      </c>
      <c r="J203" s="90" t="s">
        <v>1880</v>
      </c>
      <c r="K203" s="90" t="s">
        <v>1875</v>
      </c>
      <c r="L203" s="90" t="s">
        <v>1876</v>
      </c>
      <c r="M203" s="95" t="s">
        <v>1679</v>
      </c>
      <c r="N203" s="90" t="s">
        <v>1680</v>
      </c>
    </row>
    <row r="204" spans="1:14" ht="16.5">
      <c r="A204" s="90">
        <v>201</v>
      </c>
      <c r="B204" s="47">
        <v>231</v>
      </c>
      <c r="C204" s="94" t="s">
        <v>591</v>
      </c>
      <c r="D204" s="50" t="s">
        <v>1897</v>
      </c>
      <c r="E204" s="50" t="s">
        <v>1926</v>
      </c>
      <c r="F204" s="90" t="s">
        <v>1872</v>
      </c>
      <c r="G204" s="90" t="s">
        <v>1862</v>
      </c>
      <c r="H204" s="90" t="s">
        <v>1888</v>
      </c>
      <c r="I204" s="90" t="s">
        <v>1862</v>
      </c>
      <c r="J204" s="90" t="s">
        <v>1889</v>
      </c>
      <c r="K204" s="90" t="s">
        <v>1890</v>
      </c>
      <c r="L204" s="90" t="s">
        <v>1868</v>
      </c>
      <c r="M204" s="95" t="s">
        <v>1679</v>
      </c>
      <c r="N204" s="90" t="s">
        <v>1891</v>
      </c>
    </row>
    <row r="205" spans="1:14" ht="16.5">
      <c r="A205" s="90">
        <v>202</v>
      </c>
      <c r="B205" s="47">
        <v>211</v>
      </c>
      <c r="C205" s="50" t="s">
        <v>605</v>
      </c>
      <c r="D205" s="50" t="s">
        <v>1897</v>
      </c>
      <c r="E205" s="50" t="s">
        <v>1926</v>
      </c>
      <c r="F205" s="90">
        <v>50</v>
      </c>
      <c r="G205" s="90">
        <v>30</v>
      </c>
      <c r="H205" s="90">
        <v>10</v>
      </c>
      <c r="I205" s="90">
        <v>33</v>
      </c>
      <c r="J205" s="90">
        <v>38</v>
      </c>
      <c r="K205" s="90">
        <v>58</v>
      </c>
      <c r="L205" s="90">
        <v>63</v>
      </c>
      <c r="M205" s="95">
        <v>1</v>
      </c>
      <c r="N205" s="90">
        <v>3</v>
      </c>
    </row>
    <row r="206" spans="1:14" ht="16.5">
      <c r="A206" s="90">
        <v>203</v>
      </c>
      <c r="B206" s="47">
        <v>212</v>
      </c>
      <c r="C206" s="50" t="s">
        <v>394</v>
      </c>
      <c r="D206" s="50" t="s">
        <v>1897</v>
      </c>
      <c r="E206" s="50" t="s">
        <v>1926</v>
      </c>
      <c r="F206" s="90" t="s">
        <v>1898</v>
      </c>
      <c r="G206" s="90" t="s">
        <v>1862</v>
      </c>
      <c r="H206" s="90" t="s">
        <v>1888</v>
      </c>
      <c r="I206" s="90" t="s">
        <v>1899</v>
      </c>
      <c r="J206" s="90" t="s">
        <v>1889</v>
      </c>
      <c r="K206" s="90" t="s">
        <v>1900</v>
      </c>
      <c r="L206" s="90" t="s">
        <v>1901</v>
      </c>
      <c r="M206" s="95" t="s">
        <v>1679</v>
      </c>
      <c r="N206" s="90" t="s">
        <v>1902</v>
      </c>
    </row>
    <row r="207" spans="1:14" ht="16.5">
      <c r="A207" s="90">
        <v>204</v>
      </c>
      <c r="B207" s="47">
        <v>300</v>
      </c>
      <c r="C207" s="50" t="s">
        <v>1896</v>
      </c>
      <c r="D207" s="50" t="s">
        <v>1897</v>
      </c>
      <c r="E207" s="50" t="s">
        <v>1926</v>
      </c>
      <c r="F207" s="90">
        <v>42</v>
      </c>
      <c r="G207" s="90">
        <v>30</v>
      </c>
      <c r="H207" s="90">
        <v>10</v>
      </c>
      <c r="I207" s="90">
        <v>27</v>
      </c>
      <c r="J207" s="90">
        <v>32</v>
      </c>
      <c r="K207" s="90">
        <v>52</v>
      </c>
      <c r="L207" s="90">
        <v>57</v>
      </c>
      <c r="M207" s="95">
        <v>1</v>
      </c>
      <c r="N207" s="90">
        <v>3</v>
      </c>
    </row>
    <row r="208" spans="1:14" ht="16.5">
      <c r="A208" s="90">
        <v>205</v>
      </c>
      <c r="B208" s="47">
        <v>228</v>
      </c>
      <c r="C208" s="50" t="s">
        <v>948</v>
      </c>
      <c r="D208" s="50" t="s">
        <v>1897</v>
      </c>
      <c r="E208" s="50" t="s">
        <v>1926</v>
      </c>
      <c r="F208" s="90" t="s">
        <v>1872</v>
      </c>
      <c r="G208" s="90" t="s">
        <v>1682</v>
      </c>
      <c r="H208" s="90" t="s">
        <v>1247</v>
      </c>
      <c r="I208" s="90" t="s">
        <v>1873</v>
      </c>
      <c r="J208" s="90" t="s">
        <v>1874</v>
      </c>
      <c r="K208" s="90" t="s">
        <v>1875</v>
      </c>
      <c r="L208" s="90" t="s">
        <v>1876</v>
      </c>
      <c r="M208" s="95" t="s">
        <v>1679</v>
      </c>
      <c r="N208" s="90" t="s">
        <v>1877</v>
      </c>
    </row>
    <row r="209" spans="1:14" ht="16.5">
      <c r="A209" s="90">
        <v>206</v>
      </c>
      <c r="B209" s="47">
        <v>202</v>
      </c>
      <c r="C209" s="50" t="s">
        <v>154</v>
      </c>
      <c r="D209" s="50" t="s">
        <v>1903</v>
      </c>
      <c r="E209" s="50" t="s">
        <v>1926</v>
      </c>
      <c r="F209" s="90" t="s">
        <v>1854</v>
      </c>
      <c r="G209" s="90" t="s">
        <v>1674</v>
      </c>
      <c r="H209" s="90" t="s">
        <v>1247</v>
      </c>
      <c r="I209" s="90" t="s">
        <v>1855</v>
      </c>
      <c r="J209" s="90" t="s">
        <v>1856</v>
      </c>
      <c r="K209" s="90" t="s">
        <v>1857</v>
      </c>
      <c r="L209" s="90" t="s">
        <v>1858</v>
      </c>
      <c r="M209" s="95" t="s">
        <v>1679</v>
      </c>
      <c r="N209" s="90" t="s">
        <v>1859</v>
      </c>
    </row>
    <row r="210" spans="1:14" ht="16.5">
      <c r="A210" s="90">
        <v>207</v>
      </c>
      <c r="B210" s="91">
        <v>203</v>
      </c>
      <c r="C210" s="90" t="s">
        <v>202</v>
      </c>
      <c r="D210" s="50" t="s">
        <v>1903</v>
      </c>
      <c r="E210" s="50" t="s">
        <v>1926</v>
      </c>
      <c r="F210" s="90" t="s">
        <v>1860</v>
      </c>
      <c r="G210" s="90" t="s">
        <v>1682</v>
      </c>
      <c r="H210" s="90" t="s">
        <v>1247</v>
      </c>
      <c r="I210" s="90" t="s">
        <v>1861</v>
      </c>
      <c r="J210" s="90" t="s">
        <v>1862</v>
      </c>
      <c r="K210" s="90" t="s">
        <v>1863</v>
      </c>
      <c r="L210" s="90" t="s">
        <v>1864</v>
      </c>
      <c r="M210" s="95" t="s">
        <v>1679</v>
      </c>
      <c r="N210" s="90" t="s">
        <v>1680</v>
      </c>
    </row>
    <row r="211" spans="1:14" ht="16.5">
      <c r="A211" s="90">
        <v>208</v>
      </c>
      <c r="B211" s="47">
        <v>204</v>
      </c>
      <c r="C211" s="50" t="s">
        <v>226</v>
      </c>
      <c r="D211" s="50" t="s">
        <v>1903</v>
      </c>
      <c r="E211" s="50" t="s">
        <v>1926</v>
      </c>
      <c r="F211" s="90" t="s">
        <v>1854</v>
      </c>
      <c r="G211" s="90" t="s">
        <v>1674</v>
      </c>
      <c r="H211" s="90" t="s">
        <v>1247</v>
      </c>
      <c r="I211" s="90" t="s">
        <v>1855</v>
      </c>
      <c r="J211" s="90" t="s">
        <v>1856</v>
      </c>
      <c r="K211" s="90" t="s">
        <v>1857</v>
      </c>
      <c r="L211" s="90" t="s">
        <v>1858</v>
      </c>
      <c r="M211" s="95" t="s">
        <v>1679</v>
      </c>
      <c r="N211" s="90" t="s">
        <v>1680</v>
      </c>
    </row>
    <row r="212" spans="1:14" ht="16.5">
      <c r="A212" s="90">
        <v>209</v>
      </c>
      <c r="B212" s="47">
        <v>205</v>
      </c>
      <c r="C212" s="50" t="s">
        <v>249</v>
      </c>
      <c r="D212" s="50" t="s">
        <v>1903</v>
      </c>
      <c r="E212" s="50" t="s">
        <v>1926</v>
      </c>
      <c r="F212" s="90" t="s">
        <v>1854</v>
      </c>
      <c r="G212" s="90" t="s">
        <v>1674</v>
      </c>
      <c r="H212" s="90" t="s">
        <v>1247</v>
      </c>
      <c r="I212" s="90" t="s">
        <v>1855</v>
      </c>
      <c r="J212" s="90" t="s">
        <v>1856</v>
      </c>
      <c r="K212" s="90" t="s">
        <v>1857</v>
      </c>
      <c r="L212" s="90" t="s">
        <v>1858</v>
      </c>
      <c r="M212" s="95" t="s">
        <v>1679</v>
      </c>
      <c r="N212" s="90" t="s">
        <v>1859</v>
      </c>
    </row>
    <row r="213" spans="1:14" ht="16.5">
      <c r="A213" s="90">
        <v>210</v>
      </c>
      <c r="B213" s="47">
        <v>207</v>
      </c>
      <c r="C213" s="50" t="s">
        <v>595</v>
      </c>
      <c r="D213" s="50" t="s">
        <v>1903</v>
      </c>
      <c r="E213" s="50" t="s">
        <v>1926</v>
      </c>
      <c r="F213" s="90">
        <v>50</v>
      </c>
      <c r="G213" s="90">
        <v>30</v>
      </c>
      <c r="H213" s="90">
        <v>10</v>
      </c>
      <c r="I213" s="90">
        <v>30</v>
      </c>
      <c r="J213" s="90">
        <v>40</v>
      </c>
      <c r="K213" s="90">
        <v>60</v>
      </c>
      <c r="L213" s="90">
        <v>65</v>
      </c>
      <c r="M213" s="95">
        <v>1</v>
      </c>
      <c r="N213" s="90">
        <v>3</v>
      </c>
    </row>
    <row r="214" spans="1:14" ht="16.5">
      <c r="A214" s="90">
        <v>211</v>
      </c>
      <c r="B214" s="96">
        <v>208</v>
      </c>
      <c r="C214" s="97" t="s">
        <v>589</v>
      </c>
      <c r="D214" s="97" t="s">
        <v>1903</v>
      </c>
      <c r="E214" s="96" t="s">
        <v>1926</v>
      </c>
      <c r="F214" s="97">
        <v>63</v>
      </c>
      <c r="G214" s="97">
        <v>50</v>
      </c>
      <c r="H214" s="97">
        <v>1</v>
      </c>
      <c r="I214" s="97">
        <v>30</v>
      </c>
      <c r="J214" s="97">
        <v>45</v>
      </c>
      <c r="K214" s="97">
        <v>73</v>
      </c>
      <c r="L214" s="97">
        <v>78</v>
      </c>
      <c r="M214" s="98">
        <v>1</v>
      </c>
      <c r="N214" s="97">
        <v>10</v>
      </c>
    </row>
    <row r="215" spans="1:14" ht="16.5">
      <c r="A215" s="90">
        <v>212</v>
      </c>
      <c r="B215" s="47">
        <v>215</v>
      </c>
      <c r="C215" s="50" t="s">
        <v>418</v>
      </c>
      <c r="D215" s="50" t="s">
        <v>1903</v>
      </c>
      <c r="E215" s="50" t="s">
        <v>1926</v>
      </c>
      <c r="F215" s="90" t="s">
        <v>1865</v>
      </c>
      <c r="G215" s="90" t="s">
        <v>1682</v>
      </c>
      <c r="H215" s="90" t="s">
        <v>1247</v>
      </c>
      <c r="I215" s="90" t="s">
        <v>1866</v>
      </c>
      <c r="J215" s="90" t="s">
        <v>1867</v>
      </c>
      <c r="K215" s="90" t="s">
        <v>1868</v>
      </c>
      <c r="L215" s="90" t="s">
        <v>1869</v>
      </c>
      <c r="M215" s="95" t="s">
        <v>1679</v>
      </c>
      <c r="N215" s="90" t="s">
        <v>1870</v>
      </c>
    </row>
    <row r="216" spans="1:14" ht="16.5">
      <c r="A216" s="90">
        <v>213</v>
      </c>
      <c r="B216" s="47">
        <v>222</v>
      </c>
      <c r="C216" s="50" t="s">
        <v>442</v>
      </c>
      <c r="D216" s="50" t="s">
        <v>1903</v>
      </c>
      <c r="E216" s="50" t="s">
        <v>1926</v>
      </c>
      <c r="F216" s="90" t="s">
        <v>1854</v>
      </c>
      <c r="G216" s="90" t="s">
        <v>1871</v>
      </c>
      <c r="H216" s="90" t="s">
        <v>1247</v>
      </c>
      <c r="I216" s="90" t="s">
        <v>1855</v>
      </c>
      <c r="J216" s="90" t="s">
        <v>1856</v>
      </c>
      <c r="K216" s="90" t="s">
        <v>1857</v>
      </c>
      <c r="L216" s="90" t="s">
        <v>1858</v>
      </c>
      <c r="M216" s="95" t="s">
        <v>1679</v>
      </c>
      <c r="N216" s="90" t="s">
        <v>1859</v>
      </c>
    </row>
    <row r="217" spans="1:14" ht="16.5">
      <c r="A217" s="90">
        <v>214</v>
      </c>
      <c r="B217" s="47">
        <v>223</v>
      </c>
      <c r="C217" s="50" t="s">
        <v>918</v>
      </c>
      <c r="D217" s="50" t="s">
        <v>1903</v>
      </c>
      <c r="E217" s="50" t="s">
        <v>1926</v>
      </c>
      <c r="F217" s="90">
        <v>28</v>
      </c>
      <c r="G217" s="90">
        <v>30</v>
      </c>
      <c r="H217" s="90">
        <v>10</v>
      </c>
      <c r="I217" s="90">
        <v>17</v>
      </c>
      <c r="J217" s="90">
        <v>22</v>
      </c>
      <c r="K217" s="90">
        <v>33</v>
      </c>
      <c r="L217" s="90">
        <v>38</v>
      </c>
      <c r="M217" s="95">
        <v>1</v>
      </c>
      <c r="N217" s="90">
        <v>2</v>
      </c>
    </row>
    <row r="218" spans="1:14" ht="16.5">
      <c r="A218" s="90">
        <v>215</v>
      </c>
      <c r="B218" s="47">
        <v>226</v>
      </c>
      <c r="C218" s="92" t="s">
        <v>469</v>
      </c>
      <c r="D218" s="50" t="s">
        <v>1903</v>
      </c>
      <c r="E218" s="50" t="s">
        <v>1926</v>
      </c>
      <c r="F218" s="90" t="s">
        <v>1872</v>
      </c>
      <c r="G218" s="90" t="s">
        <v>1682</v>
      </c>
      <c r="H218" s="90" t="s">
        <v>1247</v>
      </c>
      <c r="I218" s="90" t="s">
        <v>1873</v>
      </c>
      <c r="J218" s="90" t="s">
        <v>1874</v>
      </c>
      <c r="K218" s="90" t="s">
        <v>1875</v>
      </c>
      <c r="L218" s="90" t="s">
        <v>1876</v>
      </c>
      <c r="M218" s="95" t="s">
        <v>1679</v>
      </c>
      <c r="N218" s="90" t="s">
        <v>1877</v>
      </c>
    </row>
    <row r="219" spans="1:14" ht="16.5">
      <c r="A219" s="90">
        <v>216</v>
      </c>
      <c r="B219" s="91">
        <v>227</v>
      </c>
      <c r="C219" s="93" t="s">
        <v>493</v>
      </c>
      <c r="D219" s="50" t="s">
        <v>1903</v>
      </c>
      <c r="E219" s="50" t="s">
        <v>1926</v>
      </c>
      <c r="F219" s="90" t="s">
        <v>1872</v>
      </c>
      <c r="G219" s="90" t="s">
        <v>1682</v>
      </c>
      <c r="H219" s="90" t="s">
        <v>1247</v>
      </c>
      <c r="I219" s="90" t="s">
        <v>1873</v>
      </c>
      <c r="J219" s="90" t="s">
        <v>1874</v>
      </c>
      <c r="K219" s="90" t="s">
        <v>1875</v>
      </c>
      <c r="L219" s="90" t="s">
        <v>1876</v>
      </c>
      <c r="M219" s="95" t="s">
        <v>1679</v>
      </c>
      <c r="N219" s="90" t="s">
        <v>1870</v>
      </c>
    </row>
    <row r="220" spans="1:14" ht="16.5">
      <c r="A220" s="90">
        <v>217</v>
      </c>
      <c r="B220" s="47">
        <v>234</v>
      </c>
      <c r="C220" s="50" t="s">
        <v>1878</v>
      </c>
      <c r="D220" s="50" t="s">
        <v>1903</v>
      </c>
      <c r="E220" s="50" t="s">
        <v>1926</v>
      </c>
      <c r="F220" s="90" t="s">
        <v>1854</v>
      </c>
      <c r="G220" s="90" t="s">
        <v>1674</v>
      </c>
      <c r="H220" s="90" t="s">
        <v>1247</v>
      </c>
      <c r="I220" s="90" t="s">
        <v>1855</v>
      </c>
      <c r="J220" s="90" t="s">
        <v>1856</v>
      </c>
      <c r="K220" s="90" t="s">
        <v>1857</v>
      </c>
      <c r="L220" s="90" t="s">
        <v>1858</v>
      </c>
      <c r="M220" s="95" t="s">
        <v>1679</v>
      </c>
      <c r="N220" s="90" t="s">
        <v>1859</v>
      </c>
    </row>
    <row r="221" spans="1:14" ht="16.5">
      <c r="A221" s="90">
        <v>218</v>
      </c>
      <c r="B221" s="47">
        <v>235</v>
      </c>
      <c r="C221" s="50" t="s">
        <v>601</v>
      </c>
      <c r="D221" s="50" t="s">
        <v>1903</v>
      </c>
      <c r="E221" s="50" t="s">
        <v>1926</v>
      </c>
      <c r="F221" s="90">
        <v>50</v>
      </c>
      <c r="G221" s="90">
        <v>30</v>
      </c>
      <c r="H221" s="90">
        <v>10</v>
      </c>
      <c r="I221" s="90">
        <v>30</v>
      </c>
      <c r="J221" s="90">
        <v>40</v>
      </c>
      <c r="K221" s="90">
        <v>60</v>
      </c>
      <c r="L221" s="90">
        <v>65</v>
      </c>
      <c r="M221" s="95">
        <v>1</v>
      </c>
      <c r="N221" s="90">
        <v>3</v>
      </c>
    </row>
    <row r="222" spans="1:14" ht="16.5">
      <c r="A222" s="90">
        <v>219</v>
      </c>
      <c r="B222" s="47">
        <v>236</v>
      </c>
      <c r="C222" s="50" t="s">
        <v>1688</v>
      </c>
      <c r="D222" s="50" t="s">
        <v>1903</v>
      </c>
      <c r="E222" s="50" t="s">
        <v>1926</v>
      </c>
      <c r="F222" s="90">
        <v>50</v>
      </c>
      <c r="G222" s="90">
        <v>30</v>
      </c>
      <c r="H222" s="90">
        <v>10</v>
      </c>
      <c r="I222" s="90">
        <v>30</v>
      </c>
      <c r="J222" s="90">
        <v>40</v>
      </c>
      <c r="K222" s="90">
        <v>60</v>
      </c>
      <c r="L222" s="90">
        <v>65</v>
      </c>
      <c r="M222" s="95">
        <v>1</v>
      </c>
      <c r="N222" s="90">
        <v>3</v>
      </c>
    </row>
    <row r="223" spans="1:14" ht="16.5">
      <c r="A223" s="90">
        <v>220</v>
      </c>
      <c r="B223" s="91">
        <v>201</v>
      </c>
      <c r="C223" s="90" t="s">
        <v>66</v>
      </c>
      <c r="D223" s="50" t="s">
        <v>1903</v>
      </c>
      <c r="E223" s="50" t="s">
        <v>1926</v>
      </c>
      <c r="F223" s="90" t="s">
        <v>1872</v>
      </c>
      <c r="G223" s="90" t="s">
        <v>1682</v>
      </c>
      <c r="H223" s="90" t="s">
        <v>1247</v>
      </c>
      <c r="I223" s="90" t="s">
        <v>1879</v>
      </c>
      <c r="J223" s="90" t="s">
        <v>1880</v>
      </c>
      <c r="K223" s="90" t="s">
        <v>1875</v>
      </c>
      <c r="L223" s="90" t="s">
        <v>1876</v>
      </c>
      <c r="M223" s="95" t="s">
        <v>1679</v>
      </c>
      <c r="N223" s="90" t="s">
        <v>1680</v>
      </c>
    </row>
    <row r="224" spans="1:14" ht="16.5">
      <c r="A224" s="90">
        <v>221</v>
      </c>
      <c r="B224" s="91">
        <v>206</v>
      </c>
      <c r="C224" s="90" t="s">
        <v>293</v>
      </c>
      <c r="D224" s="50" t="s">
        <v>1903</v>
      </c>
      <c r="E224" s="50" t="s">
        <v>1926</v>
      </c>
      <c r="F224" s="90" t="s">
        <v>1860</v>
      </c>
      <c r="G224" s="90" t="s">
        <v>1682</v>
      </c>
      <c r="H224" s="90" t="s">
        <v>1247</v>
      </c>
      <c r="I224" s="90" t="s">
        <v>1861</v>
      </c>
      <c r="J224" s="90" t="s">
        <v>1862</v>
      </c>
      <c r="K224" s="90" t="s">
        <v>1863</v>
      </c>
      <c r="L224" s="90" t="s">
        <v>1864</v>
      </c>
      <c r="M224" s="95" t="s">
        <v>1679</v>
      </c>
      <c r="N224" s="90" t="s">
        <v>1680</v>
      </c>
    </row>
    <row r="225" spans="1:15" ht="16.5">
      <c r="A225" s="90">
        <v>222</v>
      </c>
      <c r="B225" s="47">
        <v>209</v>
      </c>
      <c r="C225" s="50" t="s">
        <v>344</v>
      </c>
      <c r="D225" s="50" t="s">
        <v>1903</v>
      </c>
      <c r="E225" s="50" t="s">
        <v>1926</v>
      </c>
      <c r="F225" s="90" t="s">
        <v>1860</v>
      </c>
      <c r="G225" s="90" t="s">
        <v>1682</v>
      </c>
      <c r="H225" s="90" t="s">
        <v>1247</v>
      </c>
      <c r="I225" s="90" t="s">
        <v>1861</v>
      </c>
      <c r="J225" s="90" t="s">
        <v>1862</v>
      </c>
      <c r="K225" s="90" t="s">
        <v>1863</v>
      </c>
      <c r="L225" s="90" t="s">
        <v>1864</v>
      </c>
      <c r="M225" s="95" t="s">
        <v>1679</v>
      </c>
      <c r="N225" s="90" t="s">
        <v>1680</v>
      </c>
    </row>
    <row r="226" spans="1:15" ht="16.5">
      <c r="A226" s="90">
        <v>223</v>
      </c>
      <c r="B226" s="47">
        <v>230</v>
      </c>
      <c r="C226" s="50" t="s">
        <v>539</v>
      </c>
      <c r="D226" s="50" t="s">
        <v>1903</v>
      </c>
      <c r="E226" s="50" t="s">
        <v>1926</v>
      </c>
      <c r="F226" s="90" t="s">
        <v>1881</v>
      </c>
      <c r="G226" s="90" t="s">
        <v>1682</v>
      </c>
      <c r="H226" s="90" t="s">
        <v>1247</v>
      </c>
      <c r="I226" s="90" t="s">
        <v>1683</v>
      </c>
      <c r="J226" s="90" t="s">
        <v>1684</v>
      </c>
      <c r="K226" s="90" t="s">
        <v>1882</v>
      </c>
      <c r="L226" s="90" t="s">
        <v>1883</v>
      </c>
      <c r="M226" s="95" t="s">
        <v>1679</v>
      </c>
      <c r="N226" s="90" t="s">
        <v>1884</v>
      </c>
    </row>
    <row r="227" spans="1:15" ht="16.5">
      <c r="A227" s="90">
        <v>224</v>
      </c>
      <c r="B227" s="91">
        <v>232</v>
      </c>
      <c r="C227" s="90" t="s">
        <v>319</v>
      </c>
      <c r="D227" s="50" t="s">
        <v>1903</v>
      </c>
      <c r="E227" s="50" t="s">
        <v>1926</v>
      </c>
      <c r="F227" s="90" t="s">
        <v>1860</v>
      </c>
      <c r="G227" s="90" t="s">
        <v>1682</v>
      </c>
      <c r="H227" s="90" t="s">
        <v>1247</v>
      </c>
      <c r="I227" s="90" t="s">
        <v>1861</v>
      </c>
      <c r="J227" s="90" t="s">
        <v>1862</v>
      </c>
      <c r="K227" s="90" t="s">
        <v>1863</v>
      </c>
      <c r="L227" s="90" t="s">
        <v>1864</v>
      </c>
      <c r="M227" s="95" t="s">
        <v>1679</v>
      </c>
      <c r="N227" s="90" t="s">
        <v>1680</v>
      </c>
    </row>
    <row r="228" spans="1:15" ht="16.5">
      <c r="A228" s="90">
        <v>225</v>
      </c>
      <c r="B228" s="47">
        <v>233</v>
      </c>
      <c r="C228" s="50" t="s">
        <v>593</v>
      </c>
      <c r="D228" s="50" t="s">
        <v>1903</v>
      </c>
      <c r="E228" s="50" t="s">
        <v>1926</v>
      </c>
      <c r="F228" s="90">
        <v>50</v>
      </c>
      <c r="G228" s="90">
        <v>30</v>
      </c>
      <c r="H228" s="90">
        <v>10</v>
      </c>
      <c r="I228" s="90">
        <v>30</v>
      </c>
      <c r="J228" s="90">
        <v>40</v>
      </c>
      <c r="K228" s="90">
        <v>60</v>
      </c>
      <c r="L228" s="90">
        <v>65</v>
      </c>
      <c r="M228" s="95">
        <v>1</v>
      </c>
      <c r="N228" s="90">
        <v>3</v>
      </c>
    </row>
    <row r="229" spans="1:15" ht="16.5">
      <c r="A229" s="90">
        <v>226</v>
      </c>
      <c r="B229" s="47">
        <v>237</v>
      </c>
      <c r="C229" s="50" t="s">
        <v>565</v>
      </c>
      <c r="D229" s="50" t="s">
        <v>1903</v>
      </c>
      <c r="E229" s="50" t="s">
        <v>1926</v>
      </c>
      <c r="F229" s="90" t="s">
        <v>1885</v>
      </c>
      <c r="G229" s="90" t="s">
        <v>1682</v>
      </c>
      <c r="H229" s="90" t="s">
        <v>1247</v>
      </c>
      <c r="I229" s="90" t="s">
        <v>1675</v>
      </c>
      <c r="J229" s="90" t="s">
        <v>1676</v>
      </c>
      <c r="K229" s="90" t="s">
        <v>1886</v>
      </c>
      <c r="L229" s="90" t="s">
        <v>1887</v>
      </c>
      <c r="M229" s="95" t="s">
        <v>1679</v>
      </c>
      <c r="N229" s="90" t="s">
        <v>1680</v>
      </c>
    </row>
    <row r="230" spans="1:15" ht="16.5">
      <c r="A230" s="90">
        <v>227</v>
      </c>
      <c r="B230" s="47">
        <v>213</v>
      </c>
      <c r="C230" s="50" t="s">
        <v>599</v>
      </c>
      <c r="D230" s="50" t="s">
        <v>1903</v>
      </c>
      <c r="E230" s="50" t="s">
        <v>1926</v>
      </c>
      <c r="F230" s="90">
        <v>63</v>
      </c>
      <c r="G230" s="90">
        <v>30</v>
      </c>
      <c r="H230" s="90">
        <v>10</v>
      </c>
      <c r="I230" s="90">
        <v>48</v>
      </c>
      <c r="J230" s="90">
        <v>53</v>
      </c>
      <c r="K230" s="90">
        <v>73</v>
      </c>
      <c r="L230" s="90">
        <v>78</v>
      </c>
      <c r="M230" s="95">
        <v>1</v>
      </c>
      <c r="N230" s="90">
        <v>6</v>
      </c>
    </row>
    <row r="231" spans="1:15" ht="16.5">
      <c r="A231" s="90">
        <v>228</v>
      </c>
      <c r="B231" s="47">
        <v>224</v>
      </c>
      <c r="C231" s="50" t="s">
        <v>369</v>
      </c>
      <c r="D231" s="50" t="s">
        <v>1903</v>
      </c>
      <c r="E231" s="50" t="s">
        <v>1926</v>
      </c>
      <c r="F231" s="90" t="s">
        <v>1860</v>
      </c>
      <c r="G231" s="90" t="s">
        <v>1682</v>
      </c>
      <c r="H231" s="90" t="s">
        <v>1247</v>
      </c>
      <c r="I231" s="90" t="s">
        <v>1861</v>
      </c>
      <c r="J231" s="90" t="s">
        <v>1862</v>
      </c>
      <c r="K231" s="90" t="s">
        <v>1863</v>
      </c>
      <c r="L231" s="90" t="s">
        <v>1864</v>
      </c>
      <c r="M231" s="95" t="s">
        <v>1679</v>
      </c>
      <c r="N231" s="90" t="s">
        <v>1680</v>
      </c>
    </row>
    <row r="232" spans="1:15" ht="16.5">
      <c r="A232" s="90">
        <v>229</v>
      </c>
      <c r="B232" s="47">
        <v>229</v>
      </c>
      <c r="C232" s="50" t="s">
        <v>515</v>
      </c>
      <c r="D232" s="50" t="s">
        <v>1903</v>
      </c>
      <c r="E232" s="50" t="s">
        <v>1926</v>
      </c>
      <c r="F232" s="90" t="s">
        <v>1872</v>
      </c>
      <c r="G232" s="90" t="s">
        <v>1682</v>
      </c>
      <c r="H232" s="90" t="s">
        <v>1247</v>
      </c>
      <c r="I232" s="90" t="s">
        <v>1879</v>
      </c>
      <c r="J232" s="90" t="s">
        <v>1880</v>
      </c>
      <c r="K232" s="90" t="s">
        <v>1875</v>
      </c>
      <c r="L232" s="90" t="s">
        <v>1876</v>
      </c>
      <c r="M232" s="95" t="s">
        <v>1679</v>
      </c>
      <c r="N232" s="90" t="s">
        <v>1680</v>
      </c>
    </row>
    <row r="233" spans="1:15" ht="16.5">
      <c r="A233" s="90">
        <v>230</v>
      </c>
      <c r="B233" s="47">
        <v>231</v>
      </c>
      <c r="C233" s="94" t="s">
        <v>591</v>
      </c>
      <c r="D233" s="50" t="s">
        <v>1903</v>
      </c>
      <c r="E233" s="50" t="s">
        <v>1926</v>
      </c>
      <c r="F233" s="90" t="s">
        <v>1872</v>
      </c>
      <c r="G233" s="90" t="s">
        <v>1862</v>
      </c>
      <c r="H233" s="90" t="s">
        <v>1888</v>
      </c>
      <c r="I233" s="90" t="s">
        <v>1862</v>
      </c>
      <c r="J233" s="90" t="s">
        <v>1889</v>
      </c>
      <c r="K233" s="90" t="s">
        <v>1890</v>
      </c>
      <c r="L233" s="90" t="s">
        <v>1868</v>
      </c>
      <c r="M233" s="95" t="s">
        <v>1679</v>
      </c>
      <c r="N233" s="90" t="s">
        <v>1891</v>
      </c>
    </row>
    <row r="234" spans="1:15" ht="16.5">
      <c r="A234" s="90">
        <v>231</v>
      </c>
      <c r="B234" s="47">
        <v>211</v>
      </c>
      <c r="C234" s="50" t="s">
        <v>605</v>
      </c>
      <c r="D234" s="50" t="s">
        <v>1903</v>
      </c>
      <c r="E234" s="50" t="s">
        <v>1926</v>
      </c>
      <c r="F234" s="90">
        <v>50</v>
      </c>
      <c r="G234" s="90">
        <v>30</v>
      </c>
      <c r="H234" s="90">
        <v>10</v>
      </c>
      <c r="I234" s="90">
        <v>33</v>
      </c>
      <c r="J234" s="90">
        <v>38</v>
      </c>
      <c r="K234" s="90">
        <v>58</v>
      </c>
      <c r="L234" s="90">
        <v>63</v>
      </c>
      <c r="M234" s="95">
        <v>1</v>
      </c>
      <c r="N234" s="90">
        <v>3</v>
      </c>
    </row>
    <row r="235" spans="1:15" ht="16.5">
      <c r="A235" s="90">
        <v>232</v>
      </c>
      <c r="B235" s="47">
        <v>212</v>
      </c>
      <c r="C235" s="50" t="s">
        <v>394</v>
      </c>
      <c r="D235" s="50" t="s">
        <v>1903</v>
      </c>
      <c r="E235" s="50" t="s">
        <v>1926</v>
      </c>
      <c r="F235" s="90" t="s">
        <v>1898</v>
      </c>
      <c r="G235" s="90" t="s">
        <v>1862</v>
      </c>
      <c r="H235" s="90" t="s">
        <v>1888</v>
      </c>
      <c r="I235" s="90" t="s">
        <v>1899</v>
      </c>
      <c r="J235" s="90" t="s">
        <v>1889</v>
      </c>
      <c r="K235" s="90" t="s">
        <v>1900</v>
      </c>
      <c r="L235" s="90" t="s">
        <v>1901</v>
      </c>
      <c r="M235" s="95" t="s">
        <v>1679</v>
      </c>
      <c r="N235" s="90" t="s">
        <v>1902</v>
      </c>
    </row>
    <row r="236" spans="1:15" ht="16.5">
      <c r="A236" s="90">
        <v>233</v>
      </c>
      <c r="B236" s="47">
        <v>300</v>
      </c>
      <c r="C236" s="50" t="s">
        <v>1896</v>
      </c>
      <c r="D236" s="50" t="s">
        <v>1903</v>
      </c>
      <c r="E236" s="50" t="s">
        <v>1926</v>
      </c>
      <c r="F236" s="90">
        <v>42</v>
      </c>
      <c r="G236" s="90">
        <v>30</v>
      </c>
      <c r="H236" s="90">
        <v>10</v>
      </c>
      <c r="I236" s="90">
        <v>27</v>
      </c>
      <c r="J236" s="90">
        <v>32</v>
      </c>
      <c r="K236" s="90">
        <v>52</v>
      </c>
      <c r="L236" s="90">
        <v>57</v>
      </c>
      <c r="M236" s="95">
        <v>1</v>
      </c>
      <c r="N236" s="90">
        <v>3</v>
      </c>
    </row>
    <row r="237" spans="1:15" ht="16.5">
      <c r="A237" s="90">
        <v>234</v>
      </c>
      <c r="B237" s="47">
        <v>228</v>
      </c>
      <c r="C237" s="50" t="s">
        <v>948</v>
      </c>
      <c r="D237" s="50" t="s">
        <v>1903</v>
      </c>
      <c r="E237" s="50" t="s">
        <v>1926</v>
      </c>
      <c r="F237" s="90" t="s">
        <v>1872</v>
      </c>
      <c r="G237" s="90" t="s">
        <v>1682</v>
      </c>
      <c r="H237" s="90" t="s">
        <v>1247</v>
      </c>
      <c r="I237" s="90" t="s">
        <v>1873</v>
      </c>
      <c r="J237" s="90" t="s">
        <v>1874</v>
      </c>
      <c r="K237" s="90" t="s">
        <v>1875</v>
      </c>
      <c r="L237" s="90" t="s">
        <v>1876</v>
      </c>
      <c r="M237" s="95" t="s">
        <v>1679</v>
      </c>
      <c r="N237" s="90" t="s">
        <v>1877</v>
      </c>
      <c r="O237" s="90"/>
    </row>
    <row r="238" spans="1:15" ht="16.5">
      <c r="A238" s="90">
        <v>235</v>
      </c>
      <c r="B238" s="47">
        <v>202</v>
      </c>
      <c r="C238" s="50" t="s">
        <v>154</v>
      </c>
      <c r="D238" s="50" t="s">
        <v>1905</v>
      </c>
      <c r="E238" s="50" t="s">
        <v>1926</v>
      </c>
      <c r="F238" s="90" t="s">
        <v>1854</v>
      </c>
      <c r="G238" s="90" t="s">
        <v>1674</v>
      </c>
      <c r="H238" s="90" t="s">
        <v>1247</v>
      </c>
      <c r="I238" s="90" t="s">
        <v>1855</v>
      </c>
      <c r="J238" s="90" t="s">
        <v>1856</v>
      </c>
      <c r="K238" s="90" t="s">
        <v>1857</v>
      </c>
      <c r="L238" s="90" t="s">
        <v>1858</v>
      </c>
      <c r="M238" s="95" t="s">
        <v>1679</v>
      </c>
      <c r="N238" s="90" t="s">
        <v>1859</v>
      </c>
    </row>
    <row r="239" spans="1:15" ht="16.5">
      <c r="A239" s="90">
        <v>236</v>
      </c>
      <c r="B239" s="91">
        <v>203</v>
      </c>
      <c r="C239" s="90" t="s">
        <v>202</v>
      </c>
      <c r="D239" s="50" t="s">
        <v>1905</v>
      </c>
      <c r="E239" s="50" t="s">
        <v>1926</v>
      </c>
      <c r="F239" s="90" t="s">
        <v>1881</v>
      </c>
      <c r="G239" s="90" t="s">
        <v>1682</v>
      </c>
      <c r="H239" s="90" t="s">
        <v>1247</v>
      </c>
      <c r="I239" s="90" t="s">
        <v>1683</v>
      </c>
      <c r="J239" s="90" t="s">
        <v>1684</v>
      </c>
      <c r="K239" s="90" t="s">
        <v>1882</v>
      </c>
      <c r="L239" s="90" t="s">
        <v>1883</v>
      </c>
      <c r="M239" s="95" t="s">
        <v>1679</v>
      </c>
      <c r="N239" s="90" t="s">
        <v>1906</v>
      </c>
    </row>
    <row r="240" spans="1:15" ht="16.5">
      <c r="A240" s="90">
        <v>237</v>
      </c>
      <c r="B240" s="47">
        <v>204</v>
      </c>
      <c r="C240" s="50" t="s">
        <v>226</v>
      </c>
      <c r="D240" s="50" t="s">
        <v>1905</v>
      </c>
      <c r="E240" s="50" t="s">
        <v>1926</v>
      </c>
      <c r="F240" s="90" t="s">
        <v>1854</v>
      </c>
      <c r="G240" s="90" t="s">
        <v>1674</v>
      </c>
      <c r="H240" s="90" t="s">
        <v>1247</v>
      </c>
      <c r="I240" s="90" t="s">
        <v>1855</v>
      </c>
      <c r="J240" s="90" t="s">
        <v>1856</v>
      </c>
      <c r="K240" s="90" t="s">
        <v>1857</v>
      </c>
      <c r="L240" s="90" t="s">
        <v>1858</v>
      </c>
      <c r="M240" s="95" t="s">
        <v>1679</v>
      </c>
      <c r="N240" s="90" t="s">
        <v>1680</v>
      </c>
    </row>
    <row r="241" spans="1:14" ht="16.5">
      <c r="A241" s="90">
        <v>238</v>
      </c>
      <c r="B241" s="47">
        <v>205</v>
      </c>
      <c r="C241" s="50" t="s">
        <v>249</v>
      </c>
      <c r="D241" s="50" t="s">
        <v>1905</v>
      </c>
      <c r="E241" s="50" t="s">
        <v>1926</v>
      </c>
      <c r="F241" s="90" t="s">
        <v>1854</v>
      </c>
      <c r="G241" s="90" t="s">
        <v>1674</v>
      </c>
      <c r="H241" s="90" t="s">
        <v>1247</v>
      </c>
      <c r="I241" s="90" t="s">
        <v>1855</v>
      </c>
      <c r="J241" s="90" t="s">
        <v>1856</v>
      </c>
      <c r="K241" s="90" t="s">
        <v>1857</v>
      </c>
      <c r="L241" s="90" t="s">
        <v>1858</v>
      </c>
      <c r="M241" s="95" t="s">
        <v>1679</v>
      </c>
      <c r="N241" s="90" t="s">
        <v>1859</v>
      </c>
    </row>
    <row r="242" spans="1:14" ht="16.5">
      <c r="A242" s="90">
        <v>239</v>
      </c>
      <c r="B242" s="47">
        <v>207</v>
      </c>
      <c r="C242" s="50" t="s">
        <v>595</v>
      </c>
      <c r="D242" s="50" t="s">
        <v>1905</v>
      </c>
      <c r="E242" s="50" t="s">
        <v>1926</v>
      </c>
      <c r="F242" s="90">
        <v>50</v>
      </c>
      <c r="G242" s="90">
        <v>30</v>
      </c>
      <c r="H242" s="90">
        <v>10</v>
      </c>
      <c r="I242" s="90">
        <v>30</v>
      </c>
      <c r="J242" s="90">
        <v>40</v>
      </c>
      <c r="K242" s="90">
        <v>60</v>
      </c>
      <c r="L242" s="90">
        <v>65</v>
      </c>
      <c r="M242" s="95">
        <v>1</v>
      </c>
      <c r="N242" s="90">
        <v>3</v>
      </c>
    </row>
    <row r="243" spans="1:14" ht="16.5">
      <c r="A243" s="90">
        <v>240</v>
      </c>
      <c r="B243" s="96">
        <v>208</v>
      </c>
      <c r="C243" s="97" t="s">
        <v>589</v>
      </c>
      <c r="D243" s="97" t="s">
        <v>1905</v>
      </c>
      <c r="E243" s="97" t="s">
        <v>1926</v>
      </c>
      <c r="F243" s="97">
        <v>63</v>
      </c>
      <c r="G243" s="97">
        <v>50</v>
      </c>
      <c r="H243" s="97">
        <v>1</v>
      </c>
      <c r="I243" s="97">
        <v>30</v>
      </c>
      <c r="J243" s="97">
        <v>45</v>
      </c>
      <c r="K243" s="97">
        <v>73</v>
      </c>
      <c r="L243" s="97">
        <v>78</v>
      </c>
      <c r="M243" s="98">
        <v>1</v>
      </c>
      <c r="N243" s="97">
        <v>12</v>
      </c>
    </row>
    <row r="244" spans="1:14" ht="16.5">
      <c r="A244" s="90">
        <v>241</v>
      </c>
      <c r="B244" s="47">
        <v>215</v>
      </c>
      <c r="C244" s="50" t="s">
        <v>418</v>
      </c>
      <c r="D244" s="50" t="s">
        <v>1905</v>
      </c>
      <c r="E244" s="50" t="s">
        <v>1926</v>
      </c>
      <c r="F244" s="90" t="s">
        <v>1907</v>
      </c>
      <c r="G244" s="90" t="s">
        <v>1682</v>
      </c>
      <c r="H244" s="90" t="s">
        <v>1247</v>
      </c>
      <c r="I244" s="90" t="s">
        <v>1908</v>
      </c>
      <c r="J244" s="90" t="s">
        <v>1909</v>
      </c>
      <c r="K244" s="90" t="s">
        <v>1910</v>
      </c>
      <c r="L244" s="90" t="s">
        <v>1911</v>
      </c>
      <c r="M244" s="95" t="s">
        <v>1679</v>
      </c>
      <c r="N244" s="90" t="s">
        <v>1906</v>
      </c>
    </row>
    <row r="245" spans="1:14" ht="16.5">
      <c r="A245" s="90">
        <v>242</v>
      </c>
      <c r="B245" s="47">
        <v>222</v>
      </c>
      <c r="C245" s="50" t="s">
        <v>442</v>
      </c>
      <c r="D245" s="50" t="s">
        <v>1905</v>
      </c>
      <c r="E245" s="50" t="s">
        <v>1926</v>
      </c>
      <c r="F245" s="90" t="s">
        <v>1854</v>
      </c>
      <c r="G245" s="90" t="s">
        <v>1871</v>
      </c>
      <c r="H245" s="90" t="s">
        <v>1247</v>
      </c>
      <c r="I245" s="90" t="s">
        <v>1855</v>
      </c>
      <c r="J245" s="90" t="s">
        <v>1856</v>
      </c>
      <c r="K245" s="90" t="s">
        <v>1857</v>
      </c>
      <c r="L245" s="90" t="s">
        <v>1858</v>
      </c>
      <c r="M245" s="95" t="s">
        <v>1679</v>
      </c>
      <c r="N245" s="90" t="s">
        <v>1859</v>
      </c>
    </row>
    <row r="246" spans="1:14" ht="16.5">
      <c r="A246" s="90">
        <v>243</v>
      </c>
      <c r="B246" s="47">
        <v>223</v>
      </c>
      <c r="C246" s="50" t="s">
        <v>918</v>
      </c>
      <c r="D246" s="50" t="s">
        <v>1905</v>
      </c>
      <c r="E246" s="50" t="s">
        <v>1926</v>
      </c>
      <c r="F246" s="90">
        <v>28</v>
      </c>
      <c r="G246" s="90">
        <v>30</v>
      </c>
      <c r="H246" s="90">
        <v>10</v>
      </c>
      <c r="I246" s="90">
        <v>17</v>
      </c>
      <c r="J246" s="90">
        <v>22</v>
      </c>
      <c r="K246" s="90">
        <v>33</v>
      </c>
      <c r="L246" s="90">
        <v>38</v>
      </c>
      <c r="M246" s="95">
        <v>1</v>
      </c>
      <c r="N246" s="90">
        <v>2</v>
      </c>
    </row>
    <row r="247" spans="1:14" ht="16.5">
      <c r="A247" s="90">
        <v>244</v>
      </c>
      <c r="B247" s="47">
        <v>226</v>
      </c>
      <c r="C247" s="92" t="s">
        <v>469</v>
      </c>
      <c r="D247" s="50" t="s">
        <v>1905</v>
      </c>
      <c r="E247" s="50" t="s">
        <v>1926</v>
      </c>
      <c r="F247" s="90" t="s">
        <v>1912</v>
      </c>
      <c r="G247" s="90" t="s">
        <v>1682</v>
      </c>
      <c r="H247" s="90" t="s">
        <v>1247</v>
      </c>
      <c r="I247" s="90" t="s">
        <v>1866</v>
      </c>
      <c r="J247" s="90" t="s">
        <v>1913</v>
      </c>
      <c r="K247" s="90" t="s">
        <v>1901</v>
      </c>
      <c r="L247" s="90" t="s">
        <v>1914</v>
      </c>
      <c r="M247" s="95" t="s">
        <v>1679</v>
      </c>
      <c r="N247" s="90" t="s">
        <v>1915</v>
      </c>
    </row>
    <row r="248" spans="1:14" ht="16.5">
      <c r="A248" s="90">
        <v>245</v>
      </c>
      <c r="B248" s="91">
        <v>227</v>
      </c>
      <c r="C248" s="93" t="s">
        <v>493</v>
      </c>
      <c r="D248" s="50" t="s">
        <v>1905</v>
      </c>
      <c r="E248" s="50" t="s">
        <v>1926</v>
      </c>
      <c r="F248" s="90" t="s">
        <v>1872</v>
      </c>
      <c r="G248" s="90" t="s">
        <v>1682</v>
      </c>
      <c r="H248" s="90" t="s">
        <v>1247</v>
      </c>
      <c r="I248" s="90" t="s">
        <v>1873</v>
      </c>
      <c r="J248" s="90" t="s">
        <v>1874</v>
      </c>
      <c r="K248" s="90" t="s">
        <v>1875</v>
      </c>
      <c r="L248" s="90" t="s">
        <v>1876</v>
      </c>
      <c r="M248" s="95" t="s">
        <v>1679</v>
      </c>
      <c r="N248" s="90" t="s">
        <v>1870</v>
      </c>
    </row>
    <row r="249" spans="1:14" ht="16.5">
      <c r="A249" s="90">
        <v>246</v>
      </c>
      <c r="B249" s="47">
        <v>234</v>
      </c>
      <c r="C249" s="50" t="s">
        <v>1878</v>
      </c>
      <c r="D249" s="50" t="s">
        <v>1905</v>
      </c>
      <c r="E249" s="50" t="s">
        <v>1926</v>
      </c>
      <c r="F249" s="90" t="s">
        <v>1854</v>
      </c>
      <c r="G249" s="90" t="s">
        <v>1674</v>
      </c>
      <c r="H249" s="90" t="s">
        <v>1247</v>
      </c>
      <c r="I249" s="90" t="s">
        <v>1855</v>
      </c>
      <c r="J249" s="90" t="s">
        <v>1856</v>
      </c>
      <c r="K249" s="90" t="s">
        <v>1857</v>
      </c>
      <c r="L249" s="90" t="s">
        <v>1858</v>
      </c>
      <c r="M249" s="95" t="s">
        <v>1679</v>
      </c>
      <c r="N249" s="90" t="s">
        <v>1859</v>
      </c>
    </row>
    <row r="250" spans="1:14" ht="16.5">
      <c r="A250" s="90">
        <v>247</v>
      </c>
      <c r="B250" s="47">
        <v>235</v>
      </c>
      <c r="C250" s="50" t="s">
        <v>601</v>
      </c>
      <c r="D250" s="50" t="s">
        <v>1905</v>
      </c>
      <c r="E250" s="50" t="s">
        <v>1926</v>
      </c>
      <c r="F250" s="90">
        <v>50</v>
      </c>
      <c r="G250" s="90">
        <v>30</v>
      </c>
      <c r="H250" s="90">
        <v>10</v>
      </c>
      <c r="I250" s="90">
        <v>30</v>
      </c>
      <c r="J250" s="90">
        <v>40</v>
      </c>
      <c r="K250" s="90">
        <v>60</v>
      </c>
      <c r="L250" s="90">
        <v>65</v>
      </c>
      <c r="M250" s="95">
        <v>1</v>
      </c>
      <c r="N250" s="90">
        <v>3</v>
      </c>
    </row>
    <row r="251" spans="1:14" ht="16.5">
      <c r="A251" s="90">
        <v>248</v>
      </c>
      <c r="B251" s="47">
        <v>236</v>
      </c>
      <c r="C251" s="50" t="s">
        <v>1688</v>
      </c>
      <c r="D251" s="50" t="s">
        <v>1905</v>
      </c>
      <c r="E251" s="50" t="s">
        <v>1926</v>
      </c>
      <c r="F251" s="90">
        <v>50</v>
      </c>
      <c r="G251" s="90">
        <v>30</v>
      </c>
      <c r="H251" s="90">
        <v>10</v>
      </c>
      <c r="I251" s="90">
        <v>30</v>
      </c>
      <c r="J251" s="90">
        <v>40</v>
      </c>
      <c r="K251" s="90">
        <v>60</v>
      </c>
      <c r="L251" s="90">
        <v>65</v>
      </c>
      <c r="M251" s="95">
        <v>1</v>
      </c>
      <c r="N251" s="90">
        <v>3</v>
      </c>
    </row>
    <row r="252" spans="1:14" ht="16.5">
      <c r="A252" s="90">
        <v>249</v>
      </c>
      <c r="B252" s="91">
        <v>201</v>
      </c>
      <c r="C252" s="90" t="s">
        <v>66</v>
      </c>
      <c r="D252" s="50" t="s">
        <v>1905</v>
      </c>
      <c r="E252" s="50" t="s">
        <v>1926</v>
      </c>
      <c r="F252" s="90" t="s">
        <v>1912</v>
      </c>
      <c r="G252" s="90" t="s">
        <v>1682</v>
      </c>
      <c r="H252" s="90" t="s">
        <v>1247</v>
      </c>
      <c r="I252" s="90" t="s">
        <v>1916</v>
      </c>
      <c r="J252" s="90" t="s">
        <v>1917</v>
      </c>
      <c r="K252" s="90" t="s">
        <v>1918</v>
      </c>
      <c r="L252" s="90" t="s">
        <v>1919</v>
      </c>
      <c r="M252" s="95" t="s">
        <v>1679</v>
      </c>
      <c r="N252" s="90" t="s">
        <v>1687</v>
      </c>
    </row>
    <row r="253" spans="1:14" ht="16.5">
      <c r="A253" s="90">
        <v>250</v>
      </c>
      <c r="B253" s="91">
        <v>206</v>
      </c>
      <c r="C253" s="90" t="s">
        <v>293</v>
      </c>
      <c r="D253" s="50" t="s">
        <v>1905</v>
      </c>
      <c r="E253" s="50" t="s">
        <v>1926</v>
      </c>
      <c r="F253" s="90" t="s">
        <v>1872</v>
      </c>
      <c r="G253" s="90" t="s">
        <v>1682</v>
      </c>
      <c r="H253" s="90" t="s">
        <v>1247</v>
      </c>
      <c r="I253" s="90" t="s">
        <v>1920</v>
      </c>
      <c r="J253" s="90" t="s">
        <v>1880</v>
      </c>
      <c r="K253" s="90" t="s">
        <v>1875</v>
      </c>
      <c r="L253" s="90" t="s">
        <v>1876</v>
      </c>
      <c r="M253" s="95" t="s">
        <v>1679</v>
      </c>
      <c r="N253" s="90" t="s">
        <v>1680</v>
      </c>
    </row>
    <row r="254" spans="1:14" ht="16.5">
      <c r="A254" s="90">
        <v>251</v>
      </c>
      <c r="B254" s="47">
        <v>209</v>
      </c>
      <c r="C254" s="50" t="s">
        <v>344</v>
      </c>
      <c r="D254" s="50" t="s">
        <v>1905</v>
      </c>
      <c r="E254" s="50" t="s">
        <v>1926</v>
      </c>
      <c r="F254" s="90" t="s">
        <v>1872</v>
      </c>
      <c r="G254" s="90" t="s">
        <v>1682</v>
      </c>
      <c r="H254" s="90" t="s">
        <v>1247</v>
      </c>
      <c r="I254" s="90" t="s">
        <v>1920</v>
      </c>
      <c r="J254" s="90" t="s">
        <v>1880</v>
      </c>
      <c r="K254" s="90" t="s">
        <v>1875</v>
      </c>
      <c r="L254" s="90" t="s">
        <v>1876</v>
      </c>
      <c r="M254" s="95" t="s">
        <v>1679</v>
      </c>
      <c r="N254" s="90" t="s">
        <v>1680</v>
      </c>
    </row>
    <row r="255" spans="1:14" ht="16.5">
      <c r="A255" s="90">
        <v>252</v>
      </c>
      <c r="B255" s="47">
        <v>230</v>
      </c>
      <c r="C255" s="50" t="s">
        <v>539</v>
      </c>
      <c r="D255" s="50" t="s">
        <v>1905</v>
      </c>
      <c r="E255" s="50" t="s">
        <v>1926</v>
      </c>
      <c r="F255" s="90" t="s">
        <v>1872</v>
      </c>
      <c r="G255" s="90" t="s">
        <v>1682</v>
      </c>
      <c r="H255" s="90" t="s">
        <v>1247</v>
      </c>
      <c r="I255" s="90" t="s">
        <v>1920</v>
      </c>
      <c r="J255" s="90" t="s">
        <v>1880</v>
      </c>
      <c r="K255" s="90" t="s">
        <v>1875</v>
      </c>
      <c r="L255" s="90" t="s">
        <v>1876</v>
      </c>
      <c r="M255" s="95" t="s">
        <v>1679</v>
      </c>
      <c r="N255" s="90" t="s">
        <v>1921</v>
      </c>
    </row>
    <row r="256" spans="1:14" ht="16.5">
      <c r="A256" s="90">
        <v>253</v>
      </c>
      <c r="B256" s="91">
        <v>232</v>
      </c>
      <c r="C256" s="90" t="s">
        <v>319</v>
      </c>
      <c r="D256" s="50" t="s">
        <v>1905</v>
      </c>
      <c r="E256" s="50" t="s">
        <v>1926</v>
      </c>
      <c r="F256" s="90" t="s">
        <v>1872</v>
      </c>
      <c r="G256" s="90" t="s">
        <v>1682</v>
      </c>
      <c r="H256" s="90" t="s">
        <v>1247</v>
      </c>
      <c r="I256" s="90" t="s">
        <v>1920</v>
      </c>
      <c r="J256" s="90" t="s">
        <v>1880</v>
      </c>
      <c r="K256" s="90" t="s">
        <v>1875</v>
      </c>
      <c r="L256" s="90" t="s">
        <v>1876</v>
      </c>
      <c r="M256" s="95" t="s">
        <v>1679</v>
      </c>
      <c r="N256" s="90" t="s">
        <v>1680</v>
      </c>
    </row>
    <row r="257" spans="1:15" ht="16.5">
      <c r="A257" s="90">
        <v>254</v>
      </c>
      <c r="B257" s="47">
        <v>233</v>
      </c>
      <c r="C257" s="50" t="s">
        <v>593</v>
      </c>
      <c r="D257" s="50" t="s">
        <v>1905</v>
      </c>
      <c r="E257" s="50" t="s">
        <v>1926</v>
      </c>
      <c r="F257" s="90">
        <v>50</v>
      </c>
      <c r="G257" s="90">
        <v>30</v>
      </c>
      <c r="H257" s="90">
        <v>10</v>
      </c>
      <c r="I257" s="90">
        <v>30</v>
      </c>
      <c r="J257" s="90">
        <v>40</v>
      </c>
      <c r="K257" s="90">
        <v>60</v>
      </c>
      <c r="L257" s="90">
        <v>65</v>
      </c>
      <c r="M257" s="95">
        <v>1</v>
      </c>
      <c r="N257" s="90">
        <v>3</v>
      </c>
    </row>
    <row r="258" spans="1:15" ht="16.5">
      <c r="A258" s="90">
        <v>255</v>
      </c>
      <c r="B258" s="47">
        <v>237</v>
      </c>
      <c r="C258" s="50" t="s">
        <v>565</v>
      </c>
      <c r="D258" s="50" t="s">
        <v>1905</v>
      </c>
      <c r="E258" s="50" t="s">
        <v>1926</v>
      </c>
      <c r="F258" s="90" t="s">
        <v>1885</v>
      </c>
      <c r="G258" s="90" t="s">
        <v>1682</v>
      </c>
      <c r="H258" s="90" t="s">
        <v>1247</v>
      </c>
      <c r="I258" s="90" t="s">
        <v>1675</v>
      </c>
      <c r="J258" s="90" t="s">
        <v>1676</v>
      </c>
      <c r="K258" s="90" t="s">
        <v>1886</v>
      </c>
      <c r="L258" s="90" t="s">
        <v>1887</v>
      </c>
      <c r="M258" s="95" t="s">
        <v>1679</v>
      </c>
      <c r="N258" s="90" t="s">
        <v>1680</v>
      </c>
    </row>
    <row r="259" spans="1:15" ht="16.5">
      <c r="A259" s="90">
        <v>256</v>
      </c>
      <c r="B259" s="47">
        <v>213</v>
      </c>
      <c r="C259" s="50" t="s">
        <v>599</v>
      </c>
      <c r="D259" s="50" t="s">
        <v>1905</v>
      </c>
      <c r="E259" s="50" t="s">
        <v>1926</v>
      </c>
      <c r="F259" s="90">
        <v>63</v>
      </c>
      <c r="G259" s="90">
        <v>30</v>
      </c>
      <c r="H259" s="90">
        <v>10</v>
      </c>
      <c r="I259" s="90">
        <v>48</v>
      </c>
      <c r="J259" s="90">
        <v>53</v>
      </c>
      <c r="K259" s="90">
        <v>73</v>
      </c>
      <c r="L259" s="90">
        <v>78</v>
      </c>
      <c r="M259" s="95">
        <v>1</v>
      </c>
      <c r="N259" s="90">
        <v>6</v>
      </c>
    </row>
    <row r="260" spans="1:15" ht="16.5">
      <c r="A260" s="90">
        <v>257</v>
      </c>
      <c r="B260" s="47">
        <v>224</v>
      </c>
      <c r="C260" s="50" t="s">
        <v>369</v>
      </c>
      <c r="D260" s="50" t="s">
        <v>1905</v>
      </c>
      <c r="E260" s="50" t="s">
        <v>1926</v>
      </c>
      <c r="F260" s="90" t="s">
        <v>1872</v>
      </c>
      <c r="G260" s="90" t="s">
        <v>1682</v>
      </c>
      <c r="H260" s="90" t="s">
        <v>1247</v>
      </c>
      <c r="I260" s="90" t="s">
        <v>1920</v>
      </c>
      <c r="J260" s="90" t="s">
        <v>1880</v>
      </c>
      <c r="K260" s="90" t="s">
        <v>1875</v>
      </c>
      <c r="L260" s="90" t="s">
        <v>1876</v>
      </c>
      <c r="M260" s="95" t="s">
        <v>1679</v>
      </c>
      <c r="N260" s="90" t="s">
        <v>1680</v>
      </c>
    </row>
    <row r="261" spans="1:15" ht="16.5">
      <c r="A261" s="90">
        <v>258</v>
      </c>
      <c r="B261" s="47">
        <v>229</v>
      </c>
      <c r="C261" s="50" t="s">
        <v>515</v>
      </c>
      <c r="D261" s="50" t="s">
        <v>1905</v>
      </c>
      <c r="E261" s="50" t="s">
        <v>1926</v>
      </c>
      <c r="F261" s="90" t="s">
        <v>1872</v>
      </c>
      <c r="G261" s="90" t="s">
        <v>1682</v>
      </c>
      <c r="H261" s="90" t="s">
        <v>1247</v>
      </c>
      <c r="I261" s="90" t="s">
        <v>1920</v>
      </c>
      <c r="J261" s="90" t="s">
        <v>1880</v>
      </c>
      <c r="K261" s="90" t="s">
        <v>1875</v>
      </c>
      <c r="L261" s="90" t="s">
        <v>1876</v>
      </c>
      <c r="M261" s="95" t="s">
        <v>1679</v>
      </c>
      <c r="N261" s="90" t="s">
        <v>1870</v>
      </c>
    </row>
    <row r="262" spans="1:15" ht="16.5">
      <c r="A262" s="90">
        <v>259</v>
      </c>
      <c r="B262" s="47">
        <v>231</v>
      </c>
      <c r="C262" s="94" t="s">
        <v>591</v>
      </c>
      <c r="D262" s="50" t="s">
        <v>1905</v>
      </c>
      <c r="E262" s="50" t="s">
        <v>1926</v>
      </c>
      <c r="F262" s="90" t="s">
        <v>1865</v>
      </c>
      <c r="G262" s="90" t="s">
        <v>1862</v>
      </c>
      <c r="H262" s="90" t="s">
        <v>1888</v>
      </c>
      <c r="I262" s="90" t="s">
        <v>1880</v>
      </c>
      <c r="J262" s="90" t="s">
        <v>1922</v>
      </c>
      <c r="K262" s="90" t="s">
        <v>1923</v>
      </c>
      <c r="L262" s="90" t="s">
        <v>1924</v>
      </c>
      <c r="M262" s="95" t="s">
        <v>1679</v>
      </c>
      <c r="N262" s="90" t="s">
        <v>1891</v>
      </c>
    </row>
    <row r="263" spans="1:15" ht="16.5">
      <c r="A263" s="90">
        <v>260</v>
      </c>
      <c r="B263" s="47">
        <v>211</v>
      </c>
      <c r="C263" s="50" t="s">
        <v>605</v>
      </c>
      <c r="D263" s="50" t="s">
        <v>1905</v>
      </c>
      <c r="E263" s="50" t="s">
        <v>1926</v>
      </c>
      <c r="F263" s="90">
        <v>60</v>
      </c>
      <c r="G263" s="90">
        <v>30</v>
      </c>
      <c r="H263" s="90">
        <v>10</v>
      </c>
      <c r="I263" s="90">
        <v>45</v>
      </c>
      <c r="J263" s="90">
        <v>50</v>
      </c>
      <c r="K263" s="90">
        <v>70</v>
      </c>
      <c r="L263" s="90">
        <v>75</v>
      </c>
      <c r="M263" s="95">
        <v>1</v>
      </c>
      <c r="N263" s="90">
        <v>5.5</v>
      </c>
    </row>
    <row r="264" spans="1:15" ht="16.5">
      <c r="A264" s="90">
        <v>261</v>
      </c>
      <c r="B264" s="47">
        <v>212</v>
      </c>
      <c r="C264" s="50" t="s">
        <v>394</v>
      </c>
      <c r="D264" s="50" t="s">
        <v>1905</v>
      </c>
      <c r="E264" s="50" t="s">
        <v>1926</v>
      </c>
      <c r="F264" s="90" t="s">
        <v>1898</v>
      </c>
      <c r="G264" s="90" t="s">
        <v>1862</v>
      </c>
      <c r="H264" s="90" t="s">
        <v>1888</v>
      </c>
      <c r="I264" s="90" t="s">
        <v>1899</v>
      </c>
      <c r="J264" s="90" t="s">
        <v>1889</v>
      </c>
      <c r="K264" s="90" t="s">
        <v>1900</v>
      </c>
      <c r="L264" s="90" t="s">
        <v>1901</v>
      </c>
      <c r="M264" s="95" t="s">
        <v>1679</v>
      </c>
      <c r="N264" s="90" t="s">
        <v>1902</v>
      </c>
    </row>
    <row r="265" spans="1:15" ht="16.5">
      <c r="A265" s="90">
        <v>262</v>
      </c>
      <c r="B265" s="47">
        <v>300</v>
      </c>
      <c r="C265" s="50" t="s">
        <v>1896</v>
      </c>
      <c r="D265" s="50" t="s">
        <v>1905</v>
      </c>
      <c r="E265" s="50" t="s">
        <v>1926</v>
      </c>
      <c r="F265" s="90">
        <v>42</v>
      </c>
      <c r="G265" s="90">
        <v>30</v>
      </c>
      <c r="H265" s="90">
        <v>10</v>
      </c>
      <c r="I265" s="90">
        <v>27</v>
      </c>
      <c r="J265" s="90">
        <v>32</v>
      </c>
      <c r="K265" s="90">
        <v>52</v>
      </c>
      <c r="L265" s="90">
        <v>57</v>
      </c>
      <c r="M265" s="95">
        <v>1</v>
      </c>
      <c r="N265" s="90">
        <v>3</v>
      </c>
    </row>
    <row r="266" spans="1:15" ht="16.5">
      <c r="A266" s="90">
        <v>263</v>
      </c>
      <c r="B266" s="47">
        <v>228</v>
      </c>
      <c r="C266" s="50" t="s">
        <v>948</v>
      </c>
      <c r="D266" s="50" t="s">
        <v>1905</v>
      </c>
      <c r="E266" s="50" t="s">
        <v>1926</v>
      </c>
      <c r="F266" s="90" t="s">
        <v>1872</v>
      </c>
      <c r="G266" s="90" t="s">
        <v>1682</v>
      </c>
      <c r="H266" s="90" t="s">
        <v>1247</v>
      </c>
      <c r="I266" s="90" t="s">
        <v>1873</v>
      </c>
      <c r="J266" s="90" t="s">
        <v>1874</v>
      </c>
      <c r="K266" s="90" t="s">
        <v>1875</v>
      </c>
      <c r="L266" s="90" t="s">
        <v>1876</v>
      </c>
      <c r="M266" s="95" t="s">
        <v>1679</v>
      </c>
      <c r="N266" s="90" t="s">
        <v>1859</v>
      </c>
      <c r="O266" s="90"/>
    </row>
    <row r="267" spans="1:15" ht="16.5">
      <c r="A267" s="90">
        <v>264</v>
      </c>
      <c r="B267" s="47">
        <v>202</v>
      </c>
      <c r="C267" s="50" t="s">
        <v>154</v>
      </c>
      <c r="D267" s="1" t="s">
        <v>1925</v>
      </c>
      <c r="E267" s="50" t="s">
        <v>1926</v>
      </c>
      <c r="F267" s="90" t="s">
        <v>1854</v>
      </c>
      <c r="G267" s="90" t="s">
        <v>1674</v>
      </c>
      <c r="H267" s="90" t="s">
        <v>1247</v>
      </c>
      <c r="I267" s="90" t="s">
        <v>1855</v>
      </c>
      <c r="J267" s="90" t="s">
        <v>1856</v>
      </c>
      <c r="K267" s="90" t="s">
        <v>1857</v>
      </c>
      <c r="L267" s="90" t="s">
        <v>1858</v>
      </c>
      <c r="M267" s="95" t="s">
        <v>1679</v>
      </c>
      <c r="N267" s="90" t="s">
        <v>1877</v>
      </c>
      <c r="O267" s="65"/>
    </row>
    <row r="268" spans="1:15" ht="16.5">
      <c r="A268" s="90">
        <v>265</v>
      </c>
      <c r="B268" s="91">
        <v>203</v>
      </c>
      <c r="C268" s="90" t="s">
        <v>202</v>
      </c>
      <c r="D268" s="1" t="s">
        <v>1925</v>
      </c>
      <c r="E268" s="50" t="s">
        <v>1926</v>
      </c>
      <c r="F268" s="90" t="s">
        <v>1881</v>
      </c>
      <c r="G268" s="90" t="s">
        <v>1682</v>
      </c>
      <c r="H268" s="90" t="s">
        <v>1247</v>
      </c>
      <c r="I268" s="90" t="s">
        <v>1683</v>
      </c>
      <c r="J268" s="90" t="s">
        <v>1684</v>
      </c>
      <c r="K268" s="90" t="s">
        <v>1882</v>
      </c>
      <c r="L268" s="90" t="s">
        <v>1883</v>
      </c>
      <c r="M268" s="95" t="s">
        <v>1679</v>
      </c>
      <c r="N268" s="90" t="s">
        <v>1680</v>
      </c>
      <c r="O268" s="65"/>
    </row>
    <row r="269" spans="1:15" ht="16.5">
      <c r="A269" s="90">
        <v>266</v>
      </c>
      <c r="B269" s="47">
        <v>204</v>
      </c>
      <c r="C269" s="50" t="s">
        <v>226</v>
      </c>
      <c r="D269" s="1" t="s">
        <v>1925</v>
      </c>
      <c r="E269" s="50" t="s">
        <v>1926</v>
      </c>
      <c r="F269" s="90" t="s">
        <v>1854</v>
      </c>
      <c r="G269" s="90" t="s">
        <v>1674</v>
      </c>
      <c r="H269" s="90" t="s">
        <v>1247</v>
      </c>
      <c r="I269" s="90" t="s">
        <v>1855</v>
      </c>
      <c r="J269" s="90" t="s">
        <v>1856</v>
      </c>
      <c r="K269" s="90" t="s">
        <v>1857</v>
      </c>
      <c r="L269" s="90" t="s">
        <v>1858</v>
      </c>
      <c r="M269" s="95" t="s">
        <v>1679</v>
      </c>
      <c r="N269" s="90" t="s">
        <v>1680</v>
      </c>
      <c r="O269" s="65"/>
    </row>
    <row r="270" spans="1:15" ht="16.5">
      <c r="A270" s="90">
        <v>267</v>
      </c>
      <c r="B270" s="47">
        <v>205</v>
      </c>
      <c r="C270" s="50" t="s">
        <v>249</v>
      </c>
      <c r="D270" s="1" t="s">
        <v>1925</v>
      </c>
      <c r="E270" s="50" t="s">
        <v>1926</v>
      </c>
      <c r="F270" s="90" t="s">
        <v>1854</v>
      </c>
      <c r="G270" s="90" t="s">
        <v>1674</v>
      </c>
      <c r="H270" s="90" t="s">
        <v>1247</v>
      </c>
      <c r="I270" s="90" t="s">
        <v>1855</v>
      </c>
      <c r="J270" s="90" t="s">
        <v>1856</v>
      </c>
      <c r="K270" s="90" t="s">
        <v>1857</v>
      </c>
      <c r="L270" s="90" t="s">
        <v>1858</v>
      </c>
      <c r="M270" s="95" t="s">
        <v>1679</v>
      </c>
      <c r="N270" s="90" t="s">
        <v>1859</v>
      </c>
      <c r="O270" s="65"/>
    </row>
    <row r="271" spans="1:15" ht="16.5">
      <c r="A271" s="90">
        <v>268</v>
      </c>
      <c r="B271" s="47">
        <v>207</v>
      </c>
      <c r="C271" s="50" t="s">
        <v>595</v>
      </c>
      <c r="D271" s="1" t="s">
        <v>1925</v>
      </c>
      <c r="E271" s="50" t="s">
        <v>1926</v>
      </c>
      <c r="F271" s="90">
        <v>50</v>
      </c>
      <c r="G271" s="90">
        <v>30</v>
      </c>
      <c r="H271" s="90">
        <v>10</v>
      </c>
      <c r="I271" s="90">
        <v>30</v>
      </c>
      <c r="J271" s="90">
        <v>40</v>
      </c>
      <c r="K271" s="90">
        <v>60</v>
      </c>
      <c r="L271" s="90">
        <v>65</v>
      </c>
      <c r="M271" s="95">
        <v>1</v>
      </c>
      <c r="N271" s="90">
        <v>3</v>
      </c>
      <c r="O271" s="65"/>
    </row>
    <row r="272" spans="1:15" ht="16.5">
      <c r="A272" s="90">
        <v>269</v>
      </c>
      <c r="B272" s="96">
        <v>208</v>
      </c>
      <c r="C272" s="97" t="s">
        <v>589</v>
      </c>
      <c r="D272" s="1" t="s">
        <v>1925</v>
      </c>
      <c r="E272" s="97" t="s">
        <v>1926</v>
      </c>
      <c r="F272" s="97">
        <v>63</v>
      </c>
      <c r="G272" s="97">
        <v>50</v>
      </c>
      <c r="H272" s="97">
        <v>1</v>
      </c>
      <c r="I272" s="97">
        <v>30</v>
      </c>
      <c r="J272" s="97">
        <v>45</v>
      </c>
      <c r="K272" s="97">
        <v>73</v>
      </c>
      <c r="L272" s="97">
        <v>78</v>
      </c>
      <c r="M272" s="98">
        <v>1</v>
      </c>
      <c r="N272" s="97">
        <v>12</v>
      </c>
      <c r="O272" s="65"/>
    </row>
    <row r="273" spans="1:15" ht="16.5">
      <c r="A273" s="90">
        <v>270</v>
      </c>
      <c r="B273" s="47">
        <v>215</v>
      </c>
      <c r="C273" s="50" t="s">
        <v>418</v>
      </c>
      <c r="D273" s="1" t="s">
        <v>1925</v>
      </c>
      <c r="E273" s="50" t="s">
        <v>1926</v>
      </c>
      <c r="F273" s="90" t="s">
        <v>1907</v>
      </c>
      <c r="G273" s="90" t="s">
        <v>1682</v>
      </c>
      <c r="H273" s="90" t="s">
        <v>1247</v>
      </c>
      <c r="I273" s="90" t="s">
        <v>1908</v>
      </c>
      <c r="J273" s="90" t="s">
        <v>1909</v>
      </c>
      <c r="K273" s="90" t="s">
        <v>1910</v>
      </c>
      <c r="L273" s="90" t="s">
        <v>1911</v>
      </c>
      <c r="M273" s="95" t="s">
        <v>1679</v>
      </c>
      <c r="N273" s="90" t="s">
        <v>1906</v>
      </c>
      <c r="O273" s="65"/>
    </row>
    <row r="274" spans="1:15" ht="16.5">
      <c r="A274" s="90">
        <v>271</v>
      </c>
      <c r="B274" s="47">
        <v>222</v>
      </c>
      <c r="C274" s="50" t="s">
        <v>442</v>
      </c>
      <c r="D274" s="1" t="s">
        <v>1925</v>
      </c>
      <c r="E274" s="50" t="s">
        <v>1926</v>
      </c>
      <c r="F274" s="90" t="s">
        <v>1854</v>
      </c>
      <c r="G274" s="90" t="s">
        <v>1871</v>
      </c>
      <c r="H274" s="90" t="s">
        <v>1247</v>
      </c>
      <c r="I274" s="90" t="s">
        <v>1855</v>
      </c>
      <c r="J274" s="90" t="s">
        <v>1856</v>
      </c>
      <c r="K274" s="90" t="s">
        <v>1857</v>
      </c>
      <c r="L274" s="90" t="s">
        <v>1858</v>
      </c>
      <c r="M274" s="95" t="s">
        <v>1679</v>
      </c>
      <c r="N274" s="90" t="s">
        <v>1859</v>
      </c>
      <c r="O274" s="65"/>
    </row>
    <row r="275" spans="1:15" ht="16.5">
      <c r="A275" s="90">
        <v>272</v>
      </c>
      <c r="B275" s="47">
        <v>223</v>
      </c>
      <c r="C275" s="50" t="s">
        <v>918</v>
      </c>
      <c r="D275" s="1" t="s">
        <v>1925</v>
      </c>
      <c r="E275" s="50" t="s">
        <v>1926</v>
      </c>
      <c r="F275" s="90">
        <v>28</v>
      </c>
      <c r="G275" s="90">
        <v>30</v>
      </c>
      <c r="H275" s="90">
        <v>10</v>
      </c>
      <c r="I275" s="90">
        <v>17</v>
      </c>
      <c r="J275" s="90">
        <v>22</v>
      </c>
      <c r="K275" s="90">
        <v>33</v>
      </c>
      <c r="L275" s="90">
        <v>38</v>
      </c>
      <c r="M275" s="95">
        <v>1</v>
      </c>
      <c r="N275" s="90">
        <v>2</v>
      </c>
      <c r="O275" s="65"/>
    </row>
    <row r="276" spans="1:15" ht="16.5">
      <c r="A276" s="90">
        <v>273</v>
      </c>
      <c r="B276" s="47">
        <v>226</v>
      </c>
      <c r="C276" s="92" t="s">
        <v>469</v>
      </c>
      <c r="D276" s="1" t="s">
        <v>1925</v>
      </c>
      <c r="E276" s="50" t="s">
        <v>1926</v>
      </c>
      <c r="F276" s="90" t="s">
        <v>1912</v>
      </c>
      <c r="G276" s="90" t="s">
        <v>1682</v>
      </c>
      <c r="H276" s="90" t="s">
        <v>1247</v>
      </c>
      <c r="I276" s="90" t="s">
        <v>1866</v>
      </c>
      <c r="J276" s="90" t="s">
        <v>1913</v>
      </c>
      <c r="K276" s="90" t="s">
        <v>1901</v>
      </c>
      <c r="L276" s="90" t="s">
        <v>1914</v>
      </c>
      <c r="M276" s="95" t="s">
        <v>1679</v>
      </c>
      <c r="N276" s="90" t="s">
        <v>1915</v>
      </c>
      <c r="O276" s="65"/>
    </row>
    <row r="277" spans="1:15" ht="16.5">
      <c r="A277" s="90">
        <v>274</v>
      </c>
      <c r="B277" s="91">
        <v>227</v>
      </c>
      <c r="C277" s="93" t="s">
        <v>493</v>
      </c>
      <c r="D277" s="1" t="s">
        <v>1925</v>
      </c>
      <c r="E277" s="50" t="s">
        <v>1926</v>
      </c>
      <c r="F277" s="90" t="s">
        <v>1872</v>
      </c>
      <c r="G277" s="90" t="s">
        <v>1682</v>
      </c>
      <c r="H277" s="90" t="s">
        <v>1247</v>
      </c>
      <c r="I277" s="90" t="s">
        <v>1873</v>
      </c>
      <c r="J277" s="90" t="s">
        <v>1874</v>
      </c>
      <c r="K277" s="90" t="s">
        <v>1875</v>
      </c>
      <c r="L277" s="90" t="s">
        <v>1876</v>
      </c>
      <c r="M277" s="95" t="s">
        <v>1679</v>
      </c>
      <c r="N277" s="90" t="s">
        <v>1870</v>
      </c>
      <c r="O277" s="65"/>
    </row>
    <row r="278" spans="1:15" ht="16.5">
      <c r="A278" s="90">
        <v>275</v>
      </c>
      <c r="B278" s="47">
        <v>234</v>
      </c>
      <c r="C278" s="50" t="s">
        <v>1878</v>
      </c>
      <c r="D278" s="1" t="s">
        <v>1925</v>
      </c>
      <c r="E278" s="50" t="s">
        <v>1926</v>
      </c>
      <c r="F278" s="90" t="s">
        <v>1854</v>
      </c>
      <c r="G278" s="90" t="s">
        <v>1674</v>
      </c>
      <c r="H278" s="90" t="s">
        <v>1247</v>
      </c>
      <c r="I278" s="90" t="s">
        <v>1855</v>
      </c>
      <c r="J278" s="90" t="s">
        <v>1856</v>
      </c>
      <c r="K278" s="90" t="s">
        <v>1857</v>
      </c>
      <c r="L278" s="90" t="s">
        <v>1858</v>
      </c>
      <c r="M278" s="95" t="s">
        <v>1679</v>
      </c>
      <c r="N278" s="90" t="s">
        <v>1859</v>
      </c>
      <c r="O278" s="65"/>
    </row>
    <row r="279" spans="1:15" ht="16.5">
      <c r="A279" s="90">
        <v>276</v>
      </c>
      <c r="B279" s="47">
        <v>235</v>
      </c>
      <c r="C279" s="50" t="s">
        <v>601</v>
      </c>
      <c r="D279" s="1" t="s">
        <v>1925</v>
      </c>
      <c r="E279" s="50" t="s">
        <v>1926</v>
      </c>
      <c r="F279" s="90">
        <v>50</v>
      </c>
      <c r="G279" s="90">
        <v>30</v>
      </c>
      <c r="H279" s="90">
        <v>10</v>
      </c>
      <c r="I279" s="90">
        <v>30</v>
      </c>
      <c r="J279" s="90">
        <v>40</v>
      </c>
      <c r="K279" s="90">
        <v>60</v>
      </c>
      <c r="L279" s="90">
        <v>65</v>
      </c>
      <c r="M279" s="95">
        <v>1</v>
      </c>
      <c r="N279" s="90">
        <v>3</v>
      </c>
      <c r="O279" s="65"/>
    </row>
    <row r="280" spans="1:15" ht="16.5">
      <c r="A280" s="90">
        <v>277</v>
      </c>
      <c r="B280" s="47">
        <v>236</v>
      </c>
      <c r="C280" s="50" t="s">
        <v>1688</v>
      </c>
      <c r="D280" s="1" t="s">
        <v>1925</v>
      </c>
      <c r="E280" s="50" t="s">
        <v>1926</v>
      </c>
      <c r="F280" s="90">
        <v>50</v>
      </c>
      <c r="G280" s="90">
        <v>30</v>
      </c>
      <c r="H280" s="90">
        <v>10</v>
      </c>
      <c r="I280" s="90">
        <v>30</v>
      </c>
      <c r="J280" s="90">
        <v>40</v>
      </c>
      <c r="K280" s="90">
        <v>60</v>
      </c>
      <c r="L280" s="90">
        <v>65</v>
      </c>
      <c r="M280" s="95">
        <v>1</v>
      </c>
      <c r="N280" s="90">
        <v>3</v>
      </c>
      <c r="O280" s="65"/>
    </row>
    <row r="281" spans="1:15" ht="16.5">
      <c r="A281" s="90">
        <v>278</v>
      </c>
      <c r="B281" s="91">
        <v>201</v>
      </c>
      <c r="C281" s="90" t="s">
        <v>66</v>
      </c>
      <c r="D281" s="1" t="s">
        <v>1925</v>
      </c>
      <c r="E281" s="50" t="s">
        <v>1926</v>
      </c>
      <c r="F281" s="90" t="s">
        <v>1912</v>
      </c>
      <c r="G281" s="90" t="s">
        <v>1682</v>
      </c>
      <c r="H281" s="90" t="s">
        <v>1247</v>
      </c>
      <c r="I281" s="90" t="s">
        <v>1916</v>
      </c>
      <c r="J281" s="90" t="s">
        <v>1917</v>
      </c>
      <c r="K281" s="90" t="s">
        <v>1918</v>
      </c>
      <c r="L281" s="90" t="s">
        <v>1919</v>
      </c>
      <c r="M281" s="95" t="s">
        <v>1679</v>
      </c>
      <c r="N281" s="90" t="s">
        <v>1687</v>
      </c>
      <c r="O281" s="65"/>
    </row>
    <row r="282" spans="1:15" ht="16.5">
      <c r="A282" s="90">
        <v>279</v>
      </c>
      <c r="B282" s="91">
        <v>206</v>
      </c>
      <c r="C282" s="90" t="s">
        <v>293</v>
      </c>
      <c r="D282" s="1" t="s">
        <v>1925</v>
      </c>
      <c r="E282" s="50" t="s">
        <v>1926</v>
      </c>
      <c r="F282" s="90" t="s">
        <v>1872</v>
      </c>
      <c r="G282" s="90" t="s">
        <v>1682</v>
      </c>
      <c r="H282" s="90" t="s">
        <v>1247</v>
      </c>
      <c r="I282" s="90" t="s">
        <v>1920</v>
      </c>
      <c r="J282" s="90" t="s">
        <v>1880</v>
      </c>
      <c r="K282" s="90" t="s">
        <v>1875</v>
      </c>
      <c r="L282" s="90" t="s">
        <v>1876</v>
      </c>
      <c r="M282" s="95" t="s">
        <v>1679</v>
      </c>
      <c r="N282" s="90" t="s">
        <v>1680</v>
      </c>
      <c r="O282" s="65"/>
    </row>
    <row r="283" spans="1:15" ht="16.5">
      <c r="A283" s="90">
        <v>280</v>
      </c>
      <c r="B283" s="47">
        <v>209</v>
      </c>
      <c r="C283" s="50" t="s">
        <v>344</v>
      </c>
      <c r="D283" s="1" t="s">
        <v>1925</v>
      </c>
      <c r="E283" s="50" t="s">
        <v>1926</v>
      </c>
      <c r="F283" s="90" t="s">
        <v>1872</v>
      </c>
      <c r="G283" s="90" t="s">
        <v>1682</v>
      </c>
      <c r="H283" s="90" t="s">
        <v>1247</v>
      </c>
      <c r="I283" s="90" t="s">
        <v>1920</v>
      </c>
      <c r="J283" s="90" t="s">
        <v>1880</v>
      </c>
      <c r="K283" s="90" t="s">
        <v>1875</v>
      </c>
      <c r="L283" s="90" t="s">
        <v>1876</v>
      </c>
      <c r="M283" s="95" t="s">
        <v>1679</v>
      </c>
      <c r="N283" s="90" t="s">
        <v>1680</v>
      </c>
      <c r="O283" s="65"/>
    </row>
    <row r="284" spans="1:15" ht="16.5">
      <c r="A284" s="90">
        <v>281</v>
      </c>
      <c r="B284" s="47">
        <v>230</v>
      </c>
      <c r="C284" s="50" t="s">
        <v>539</v>
      </c>
      <c r="D284" s="1" t="s">
        <v>1925</v>
      </c>
      <c r="E284" s="50" t="s">
        <v>1926</v>
      </c>
      <c r="F284" s="90" t="s">
        <v>1872</v>
      </c>
      <c r="G284" s="90" t="s">
        <v>1682</v>
      </c>
      <c r="H284" s="90" t="s">
        <v>1247</v>
      </c>
      <c r="I284" s="90" t="s">
        <v>1920</v>
      </c>
      <c r="J284" s="90" t="s">
        <v>1880</v>
      </c>
      <c r="K284" s="90" t="s">
        <v>1875</v>
      </c>
      <c r="L284" s="90" t="s">
        <v>1876</v>
      </c>
      <c r="M284" s="95" t="s">
        <v>1679</v>
      </c>
      <c r="N284" s="90" t="s">
        <v>1921</v>
      </c>
      <c r="O284" s="65"/>
    </row>
    <row r="285" spans="1:15" ht="16.5">
      <c r="A285" s="90">
        <v>282</v>
      </c>
      <c r="B285" s="91">
        <v>232</v>
      </c>
      <c r="C285" s="90" t="s">
        <v>319</v>
      </c>
      <c r="D285" s="1" t="s">
        <v>1925</v>
      </c>
      <c r="E285" s="50" t="s">
        <v>1926</v>
      </c>
      <c r="F285" s="90" t="s">
        <v>1872</v>
      </c>
      <c r="G285" s="90" t="s">
        <v>1682</v>
      </c>
      <c r="H285" s="90" t="s">
        <v>1247</v>
      </c>
      <c r="I285" s="90" t="s">
        <v>1920</v>
      </c>
      <c r="J285" s="90" t="s">
        <v>1880</v>
      </c>
      <c r="K285" s="90" t="s">
        <v>1875</v>
      </c>
      <c r="L285" s="90" t="s">
        <v>1876</v>
      </c>
      <c r="M285" s="95" t="s">
        <v>1679</v>
      </c>
      <c r="N285" s="90" t="s">
        <v>1680</v>
      </c>
      <c r="O285" s="65"/>
    </row>
    <row r="286" spans="1:15" ht="16.5">
      <c r="A286" s="90">
        <v>283</v>
      </c>
      <c r="B286" s="47">
        <v>233</v>
      </c>
      <c r="C286" s="50" t="s">
        <v>593</v>
      </c>
      <c r="D286" s="1" t="s">
        <v>1925</v>
      </c>
      <c r="E286" s="50" t="s">
        <v>1926</v>
      </c>
      <c r="F286" s="90">
        <v>50</v>
      </c>
      <c r="G286" s="90">
        <v>30</v>
      </c>
      <c r="H286" s="90">
        <v>10</v>
      </c>
      <c r="I286" s="90">
        <v>30</v>
      </c>
      <c r="J286" s="90">
        <v>40</v>
      </c>
      <c r="K286" s="90">
        <v>60</v>
      </c>
      <c r="L286" s="90">
        <v>65</v>
      </c>
      <c r="M286" s="95">
        <v>1</v>
      </c>
      <c r="N286" s="90">
        <v>3</v>
      </c>
      <c r="O286" s="65"/>
    </row>
    <row r="287" spans="1:15" ht="16.5">
      <c r="A287" s="90">
        <v>284</v>
      </c>
      <c r="B287" s="47">
        <v>237</v>
      </c>
      <c r="C287" s="50" t="s">
        <v>565</v>
      </c>
      <c r="D287" s="1" t="s">
        <v>1925</v>
      </c>
      <c r="E287" s="50" t="s">
        <v>1926</v>
      </c>
      <c r="F287" s="90" t="s">
        <v>1885</v>
      </c>
      <c r="G287" s="90" t="s">
        <v>1682</v>
      </c>
      <c r="H287" s="90" t="s">
        <v>1247</v>
      </c>
      <c r="I287" s="90" t="s">
        <v>1675</v>
      </c>
      <c r="J287" s="90" t="s">
        <v>1676</v>
      </c>
      <c r="K287" s="90" t="s">
        <v>1886</v>
      </c>
      <c r="L287" s="90" t="s">
        <v>1887</v>
      </c>
      <c r="M287" s="95" t="s">
        <v>1679</v>
      </c>
      <c r="N287" s="90" t="s">
        <v>1680</v>
      </c>
      <c r="O287" s="65"/>
    </row>
    <row r="288" spans="1:15" ht="16.5">
      <c r="A288" s="90">
        <v>285</v>
      </c>
      <c r="B288" s="47">
        <v>213</v>
      </c>
      <c r="C288" s="50" t="s">
        <v>599</v>
      </c>
      <c r="D288" s="1" t="s">
        <v>1925</v>
      </c>
      <c r="E288" s="50" t="s">
        <v>1926</v>
      </c>
      <c r="F288" s="90">
        <v>63</v>
      </c>
      <c r="G288" s="90">
        <v>30</v>
      </c>
      <c r="H288" s="90">
        <v>10</v>
      </c>
      <c r="I288" s="90">
        <v>48</v>
      </c>
      <c r="J288" s="90">
        <v>53</v>
      </c>
      <c r="K288" s="90">
        <v>73</v>
      </c>
      <c r="L288" s="90">
        <v>78</v>
      </c>
      <c r="M288" s="95">
        <v>1</v>
      </c>
      <c r="N288" s="90">
        <v>6</v>
      </c>
      <c r="O288" s="65"/>
    </row>
    <row r="289" spans="1:15" ht="16.5">
      <c r="A289" s="90">
        <v>286</v>
      </c>
      <c r="B289" s="47">
        <v>224</v>
      </c>
      <c r="C289" s="50" t="s">
        <v>369</v>
      </c>
      <c r="D289" s="1" t="s">
        <v>1925</v>
      </c>
      <c r="E289" s="50" t="s">
        <v>1926</v>
      </c>
      <c r="F289" s="90" t="s">
        <v>1872</v>
      </c>
      <c r="G289" s="90" t="s">
        <v>1682</v>
      </c>
      <c r="H289" s="90" t="s">
        <v>1247</v>
      </c>
      <c r="I289" s="90" t="s">
        <v>1920</v>
      </c>
      <c r="J289" s="90" t="s">
        <v>1880</v>
      </c>
      <c r="K289" s="90" t="s">
        <v>1875</v>
      </c>
      <c r="L289" s="90" t="s">
        <v>1876</v>
      </c>
      <c r="M289" s="95" t="s">
        <v>1679</v>
      </c>
      <c r="N289" s="90" t="s">
        <v>1680</v>
      </c>
      <c r="O289" s="65"/>
    </row>
    <row r="290" spans="1:15" ht="16.5">
      <c r="A290" s="90">
        <v>287</v>
      </c>
      <c r="B290" s="47">
        <v>229</v>
      </c>
      <c r="C290" s="50" t="s">
        <v>515</v>
      </c>
      <c r="D290" s="1" t="s">
        <v>1925</v>
      </c>
      <c r="E290" s="50" t="s">
        <v>1926</v>
      </c>
      <c r="F290" s="90" t="s">
        <v>1872</v>
      </c>
      <c r="G290" s="90" t="s">
        <v>1682</v>
      </c>
      <c r="H290" s="90" t="s">
        <v>1247</v>
      </c>
      <c r="I290" s="90" t="s">
        <v>1920</v>
      </c>
      <c r="J290" s="90" t="s">
        <v>1880</v>
      </c>
      <c r="K290" s="90" t="s">
        <v>1875</v>
      </c>
      <c r="L290" s="90" t="s">
        <v>1876</v>
      </c>
      <c r="M290" s="95" t="s">
        <v>1679</v>
      </c>
      <c r="N290" s="90" t="s">
        <v>1870</v>
      </c>
      <c r="O290" s="65"/>
    </row>
    <row r="291" spans="1:15" ht="16.5">
      <c r="A291" s="90">
        <v>288</v>
      </c>
      <c r="B291" s="47">
        <v>231</v>
      </c>
      <c r="C291" s="94" t="s">
        <v>591</v>
      </c>
      <c r="D291" s="1" t="s">
        <v>1925</v>
      </c>
      <c r="E291" s="50" t="s">
        <v>1926</v>
      </c>
      <c r="F291" s="90" t="s">
        <v>1865</v>
      </c>
      <c r="G291" s="90" t="s">
        <v>1862</v>
      </c>
      <c r="H291" s="90" t="s">
        <v>1888</v>
      </c>
      <c r="I291" s="90" t="s">
        <v>1880</v>
      </c>
      <c r="J291" s="90" t="s">
        <v>1922</v>
      </c>
      <c r="K291" s="90" t="s">
        <v>1923</v>
      </c>
      <c r="L291" s="90" t="s">
        <v>1924</v>
      </c>
      <c r="M291" s="95" t="s">
        <v>1679</v>
      </c>
      <c r="N291" s="90" t="s">
        <v>1891</v>
      </c>
      <c r="O291" s="65"/>
    </row>
    <row r="292" spans="1:15" ht="16.5">
      <c r="A292" s="90">
        <v>289</v>
      </c>
      <c r="B292" s="47">
        <v>211</v>
      </c>
      <c r="C292" s="50" t="s">
        <v>605</v>
      </c>
      <c r="D292" s="1" t="s">
        <v>1925</v>
      </c>
      <c r="E292" s="50" t="s">
        <v>1926</v>
      </c>
      <c r="F292" s="90">
        <v>60</v>
      </c>
      <c r="G292" s="90">
        <v>30</v>
      </c>
      <c r="H292" s="90">
        <v>10</v>
      </c>
      <c r="I292" s="90">
        <v>45</v>
      </c>
      <c r="J292" s="90">
        <v>50</v>
      </c>
      <c r="K292" s="90">
        <v>70</v>
      </c>
      <c r="L292" s="90">
        <v>75</v>
      </c>
      <c r="M292" s="95">
        <v>1</v>
      </c>
      <c r="N292" s="90">
        <v>5.5</v>
      </c>
      <c r="O292" s="65"/>
    </row>
    <row r="293" spans="1:15" ht="16.5">
      <c r="A293" s="90">
        <v>290</v>
      </c>
      <c r="B293" s="47">
        <v>212</v>
      </c>
      <c r="C293" s="50" t="s">
        <v>394</v>
      </c>
      <c r="D293" s="1" t="s">
        <v>1925</v>
      </c>
      <c r="E293" s="50" t="s">
        <v>1926</v>
      </c>
      <c r="F293" s="90" t="s">
        <v>1898</v>
      </c>
      <c r="G293" s="90" t="s">
        <v>1862</v>
      </c>
      <c r="H293" s="90" t="s">
        <v>1888</v>
      </c>
      <c r="I293" s="90" t="s">
        <v>1899</v>
      </c>
      <c r="J293" s="90" t="s">
        <v>1889</v>
      </c>
      <c r="K293" s="90" t="s">
        <v>1900</v>
      </c>
      <c r="L293" s="90" t="s">
        <v>1901</v>
      </c>
      <c r="M293" s="95" t="s">
        <v>1679</v>
      </c>
      <c r="N293" s="90" t="s">
        <v>1902</v>
      </c>
      <c r="O293" s="65"/>
    </row>
    <row r="294" spans="1:15" ht="16.5">
      <c r="A294" s="90">
        <v>291</v>
      </c>
      <c r="B294" s="47">
        <v>300</v>
      </c>
      <c r="C294" s="50" t="s">
        <v>1896</v>
      </c>
      <c r="D294" s="1" t="s">
        <v>1925</v>
      </c>
      <c r="E294" s="50" t="s">
        <v>1926</v>
      </c>
      <c r="F294" s="90">
        <v>42</v>
      </c>
      <c r="G294" s="90">
        <v>30</v>
      </c>
      <c r="H294" s="90">
        <v>10</v>
      </c>
      <c r="I294" s="90">
        <v>27</v>
      </c>
      <c r="J294" s="90">
        <v>32</v>
      </c>
      <c r="K294" s="90">
        <v>52</v>
      </c>
      <c r="L294" s="90">
        <v>57</v>
      </c>
      <c r="M294" s="95">
        <v>1</v>
      </c>
      <c r="N294" s="90">
        <v>3</v>
      </c>
      <c r="O294" s="65"/>
    </row>
    <row r="295" spans="1:15" ht="16.5">
      <c r="A295" s="90">
        <v>292</v>
      </c>
      <c r="B295" s="47">
        <v>228</v>
      </c>
      <c r="C295" s="50" t="s">
        <v>948</v>
      </c>
      <c r="D295" s="1" t="s">
        <v>1925</v>
      </c>
      <c r="E295" s="50" t="s">
        <v>1926</v>
      </c>
      <c r="F295" s="90" t="s">
        <v>1872</v>
      </c>
      <c r="G295" s="90" t="s">
        <v>1682</v>
      </c>
      <c r="H295" s="90" t="s">
        <v>1247</v>
      </c>
      <c r="I295" s="90" t="s">
        <v>1873</v>
      </c>
      <c r="J295" s="90" t="s">
        <v>1874</v>
      </c>
      <c r="K295" s="90" t="s">
        <v>1875</v>
      </c>
      <c r="L295" s="90" t="s">
        <v>1876</v>
      </c>
      <c r="M295" s="95" t="s">
        <v>1679</v>
      </c>
      <c r="N295" s="90" t="s">
        <v>1877</v>
      </c>
      <c r="O295" s="65"/>
    </row>
    <row r="296" spans="1:15" ht="16.5">
      <c r="A296" s="90">
        <v>293</v>
      </c>
      <c r="B296" s="47">
        <v>410</v>
      </c>
      <c r="C296" s="50" t="s">
        <v>2308</v>
      </c>
      <c r="D296" s="50" t="s">
        <v>1905</v>
      </c>
      <c r="E296" s="50" t="s">
        <v>1926</v>
      </c>
      <c r="F296" s="90" t="s">
        <v>1872</v>
      </c>
      <c r="G296" s="90" t="s">
        <v>1682</v>
      </c>
      <c r="H296" s="90" t="s">
        <v>1247</v>
      </c>
      <c r="I296" s="90" t="s">
        <v>1873</v>
      </c>
      <c r="J296" s="90" t="s">
        <v>1874</v>
      </c>
      <c r="K296" s="90" t="s">
        <v>1875</v>
      </c>
      <c r="L296" s="90" t="s">
        <v>1876</v>
      </c>
      <c r="M296" s="95" t="s">
        <v>1679</v>
      </c>
      <c r="N296" s="90" t="s">
        <v>1877</v>
      </c>
      <c r="O296" s="65"/>
    </row>
    <row r="297" spans="1:15" ht="16.5">
      <c r="A297" s="90">
        <v>294</v>
      </c>
      <c r="B297" s="47">
        <v>410</v>
      </c>
      <c r="C297" s="50" t="s">
        <v>2308</v>
      </c>
      <c r="D297" s="1" t="s">
        <v>1925</v>
      </c>
      <c r="E297" s="50" t="s">
        <v>1926</v>
      </c>
      <c r="F297" s="90" t="s">
        <v>1872</v>
      </c>
      <c r="G297" s="90" t="s">
        <v>1682</v>
      </c>
      <c r="H297" s="90" t="s">
        <v>1247</v>
      </c>
      <c r="I297" s="90" t="s">
        <v>1873</v>
      </c>
      <c r="J297" s="90" t="s">
        <v>1874</v>
      </c>
      <c r="K297" s="90" t="s">
        <v>1875</v>
      </c>
      <c r="L297" s="90" t="s">
        <v>1876</v>
      </c>
      <c r="M297" s="95" t="s">
        <v>1679</v>
      </c>
      <c r="N297" s="90" t="s">
        <v>1877</v>
      </c>
      <c r="O297" s="65"/>
    </row>
    <row r="298" spans="1:15" ht="16.5">
      <c r="A298" s="90">
        <v>295</v>
      </c>
      <c r="B298" s="47">
        <v>202</v>
      </c>
      <c r="C298" s="50" t="s">
        <v>154</v>
      </c>
      <c r="D298" s="50" t="s">
        <v>1852</v>
      </c>
      <c r="E298" s="50" t="s">
        <v>1934</v>
      </c>
      <c r="F298" s="90" t="s">
        <v>1854</v>
      </c>
      <c r="G298" s="90" t="s">
        <v>1674</v>
      </c>
      <c r="H298" s="90" t="s">
        <v>1247</v>
      </c>
      <c r="I298" s="90" t="s">
        <v>1855</v>
      </c>
      <c r="J298" s="90" t="s">
        <v>1856</v>
      </c>
      <c r="K298" s="90" t="s">
        <v>1857</v>
      </c>
      <c r="L298" s="90" t="s">
        <v>1858</v>
      </c>
      <c r="M298" s="95" t="s">
        <v>1679</v>
      </c>
      <c r="N298" s="90" t="s">
        <v>1859</v>
      </c>
    </row>
    <row r="299" spans="1:15" ht="16.5">
      <c r="A299" s="90">
        <v>296</v>
      </c>
      <c r="B299" s="91">
        <v>203</v>
      </c>
      <c r="C299" s="90" t="s">
        <v>202</v>
      </c>
      <c r="D299" s="50" t="s">
        <v>1852</v>
      </c>
      <c r="E299" s="50" t="s">
        <v>1934</v>
      </c>
      <c r="F299" s="90" t="s">
        <v>1860</v>
      </c>
      <c r="G299" s="90" t="s">
        <v>1682</v>
      </c>
      <c r="H299" s="90" t="s">
        <v>1247</v>
      </c>
      <c r="I299" s="90" t="s">
        <v>1861</v>
      </c>
      <c r="J299" s="90" t="s">
        <v>1862</v>
      </c>
      <c r="K299" s="90" t="s">
        <v>1863</v>
      </c>
      <c r="L299" s="90" t="s">
        <v>1864</v>
      </c>
      <c r="M299" s="95" t="s">
        <v>1679</v>
      </c>
      <c r="N299" s="90" t="s">
        <v>1680</v>
      </c>
    </row>
    <row r="300" spans="1:15" ht="16.5">
      <c r="A300" s="90">
        <v>297</v>
      </c>
      <c r="B300" s="47">
        <v>204</v>
      </c>
      <c r="C300" s="50" t="s">
        <v>226</v>
      </c>
      <c r="D300" s="50" t="s">
        <v>1852</v>
      </c>
      <c r="E300" s="50" t="s">
        <v>1934</v>
      </c>
      <c r="F300" s="90" t="s">
        <v>1854</v>
      </c>
      <c r="G300" s="90" t="s">
        <v>1674</v>
      </c>
      <c r="H300" s="90" t="s">
        <v>1247</v>
      </c>
      <c r="I300" s="90" t="s">
        <v>1855</v>
      </c>
      <c r="J300" s="90" t="s">
        <v>1856</v>
      </c>
      <c r="K300" s="90" t="s">
        <v>1857</v>
      </c>
      <c r="L300" s="90" t="s">
        <v>1858</v>
      </c>
      <c r="M300" s="95" t="s">
        <v>1679</v>
      </c>
      <c r="N300" s="90" t="s">
        <v>1680</v>
      </c>
    </row>
    <row r="301" spans="1:15" ht="16.5">
      <c r="A301" s="90">
        <v>298</v>
      </c>
      <c r="B301" s="47">
        <v>205</v>
      </c>
      <c r="C301" s="50" t="s">
        <v>249</v>
      </c>
      <c r="D301" s="50" t="s">
        <v>1852</v>
      </c>
      <c r="E301" s="50" t="s">
        <v>1934</v>
      </c>
      <c r="F301" s="90" t="s">
        <v>1854</v>
      </c>
      <c r="G301" s="90" t="s">
        <v>1674</v>
      </c>
      <c r="H301" s="90" t="s">
        <v>1247</v>
      </c>
      <c r="I301" s="90" t="s">
        <v>1855</v>
      </c>
      <c r="J301" s="90" t="s">
        <v>1856</v>
      </c>
      <c r="K301" s="90" t="s">
        <v>1857</v>
      </c>
      <c r="L301" s="90" t="s">
        <v>1858</v>
      </c>
      <c r="M301" s="95" t="s">
        <v>1679</v>
      </c>
      <c r="N301" s="90" t="s">
        <v>1859</v>
      </c>
    </row>
    <row r="302" spans="1:15" ht="16.5">
      <c r="A302" s="90">
        <v>299</v>
      </c>
      <c r="B302" s="47">
        <v>207</v>
      </c>
      <c r="C302" s="50" t="s">
        <v>595</v>
      </c>
      <c r="D302" s="50" t="s">
        <v>1852</v>
      </c>
      <c r="E302" s="50" t="s">
        <v>1934</v>
      </c>
      <c r="F302" s="90">
        <v>50</v>
      </c>
      <c r="G302" s="90">
        <v>30</v>
      </c>
      <c r="H302" s="90">
        <v>10</v>
      </c>
      <c r="I302" s="90">
        <v>30</v>
      </c>
      <c r="J302" s="90">
        <v>40</v>
      </c>
      <c r="K302" s="90">
        <v>60</v>
      </c>
      <c r="L302" s="90">
        <v>65</v>
      </c>
      <c r="M302" s="95">
        <v>1</v>
      </c>
      <c r="N302" s="90">
        <v>3</v>
      </c>
    </row>
    <row r="303" spans="1:15" ht="16.5">
      <c r="A303" s="90">
        <v>300</v>
      </c>
      <c r="B303" s="47">
        <v>208</v>
      </c>
      <c r="C303" s="50" t="s">
        <v>589</v>
      </c>
      <c r="D303" s="50" t="s">
        <v>1852</v>
      </c>
      <c r="E303" s="50" t="s">
        <v>1934</v>
      </c>
      <c r="F303" s="90">
        <v>53</v>
      </c>
      <c r="G303" s="90">
        <v>50</v>
      </c>
      <c r="H303" s="90">
        <v>1</v>
      </c>
      <c r="I303" s="90">
        <v>20</v>
      </c>
      <c r="J303" s="90">
        <v>35</v>
      </c>
      <c r="K303" s="90">
        <v>63</v>
      </c>
      <c r="L303" s="90">
        <v>68</v>
      </c>
      <c r="M303" s="95">
        <v>1</v>
      </c>
      <c r="N303" s="90">
        <v>8</v>
      </c>
    </row>
    <row r="304" spans="1:15" ht="16.5">
      <c r="A304" s="90">
        <v>301</v>
      </c>
      <c r="B304" s="47">
        <v>215</v>
      </c>
      <c r="C304" s="50" t="s">
        <v>418</v>
      </c>
      <c r="D304" s="50" t="s">
        <v>1852</v>
      </c>
      <c r="E304" s="50" t="s">
        <v>1934</v>
      </c>
      <c r="F304" s="90" t="s">
        <v>1865</v>
      </c>
      <c r="G304" s="90" t="s">
        <v>1682</v>
      </c>
      <c r="H304" s="90" t="s">
        <v>1247</v>
      </c>
      <c r="I304" s="90" t="s">
        <v>1866</v>
      </c>
      <c r="J304" s="90" t="s">
        <v>1867</v>
      </c>
      <c r="K304" s="90" t="s">
        <v>1868</v>
      </c>
      <c r="L304" s="90" t="s">
        <v>1869</v>
      </c>
      <c r="M304" s="95" t="s">
        <v>1679</v>
      </c>
      <c r="N304" s="90" t="s">
        <v>1870</v>
      </c>
    </row>
    <row r="305" spans="1:14" ht="16.5">
      <c r="A305" s="90">
        <v>302</v>
      </c>
      <c r="B305" s="47">
        <v>222</v>
      </c>
      <c r="C305" s="50" t="s">
        <v>442</v>
      </c>
      <c r="D305" s="50" t="s">
        <v>1852</v>
      </c>
      <c r="E305" s="50" t="s">
        <v>1934</v>
      </c>
      <c r="F305" s="90" t="s">
        <v>1854</v>
      </c>
      <c r="G305" s="90" t="s">
        <v>1871</v>
      </c>
      <c r="H305" s="90" t="s">
        <v>1247</v>
      </c>
      <c r="I305" s="90" t="s">
        <v>1855</v>
      </c>
      <c r="J305" s="90" t="s">
        <v>1856</v>
      </c>
      <c r="K305" s="90" t="s">
        <v>1857</v>
      </c>
      <c r="L305" s="90" t="s">
        <v>1858</v>
      </c>
      <c r="M305" s="95" t="s">
        <v>1679</v>
      </c>
      <c r="N305" s="90" t="s">
        <v>1859</v>
      </c>
    </row>
    <row r="306" spans="1:14" ht="16.5">
      <c r="A306" s="90">
        <v>303</v>
      </c>
      <c r="B306" s="47">
        <v>223</v>
      </c>
      <c r="C306" s="50" t="s">
        <v>918</v>
      </c>
      <c r="D306" s="50" t="s">
        <v>1852</v>
      </c>
      <c r="E306" s="50" t="s">
        <v>1934</v>
      </c>
      <c r="F306" s="90">
        <v>28</v>
      </c>
      <c r="G306" s="90">
        <v>30</v>
      </c>
      <c r="H306" s="90">
        <v>10</v>
      </c>
      <c r="I306" s="90">
        <v>17</v>
      </c>
      <c r="J306" s="90">
        <v>22</v>
      </c>
      <c r="K306" s="90">
        <v>33</v>
      </c>
      <c r="L306" s="90">
        <v>38</v>
      </c>
      <c r="M306" s="95">
        <v>1</v>
      </c>
      <c r="N306" s="90">
        <v>2</v>
      </c>
    </row>
    <row r="307" spans="1:14" ht="16.5">
      <c r="A307" s="90">
        <v>304</v>
      </c>
      <c r="B307" s="47">
        <v>226</v>
      </c>
      <c r="C307" s="92" t="s">
        <v>469</v>
      </c>
      <c r="D307" s="50" t="s">
        <v>1852</v>
      </c>
      <c r="E307" s="50" t="s">
        <v>1934</v>
      </c>
      <c r="F307" s="90" t="s">
        <v>1872</v>
      </c>
      <c r="G307" s="90" t="s">
        <v>1682</v>
      </c>
      <c r="H307" s="90" t="s">
        <v>1247</v>
      </c>
      <c r="I307" s="90" t="s">
        <v>1873</v>
      </c>
      <c r="J307" s="90" t="s">
        <v>1874</v>
      </c>
      <c r="K307" s="90" t="s">
        <v>1875</v>
      </c>
      <c r="L307" s="90" t="s">
        <v>1876</v>
      </c>
      <c r="M307" s="95" t="s">
        <v>1679</v>
      </c>
      <c r="N307" s="90" t="s">
        <v>1877</v>
      </c>
    </row>
    <row r="308" spans="1:14" ht="16.5">
      <c r="A308" s="90">
        <v>305</v>
      </c>
      <c r="B308" s="91">
        <v>227</v>
      </c>
      <c r="C308" s="93" t="s">
        <v>493</v>
      </c>
      <c r="D308" s="50" t="s">
        <v>1852</v>
      </c>
      <c r="E308" s="50" t="s">
        <v>1934</v>
      </c>
      <c r="F308" s="90" t="s">
        <v>1872</v>
      </c>
      <c r="G308" s="90" t="s">
        <v>1682</v>
      </c>
      <c r="H308" s="90" t="s">
        <v>1247</v>
      </c>
      <c r="I308" s="90" t="s">
        <v>1873</v>
      </c>
      <c r="J308" s="90" t="s">
        <v>1874</v>
      </c>
      <c r="K308" s="90" t="s">
        <v>1875</v>
      </c>
      <c r="L308" s="90" t="s">
        <v>1876</v>
      </c>
      <c r="M308" s="95" t="s">
        <v>1679</v>
      </c>
      <c r="N308" s="90" t="s">
        <v>1870</v>
      </c>
    </row>
    <row r="309" spans="1:14" ht="16.5">
      <c r="A309" s="90">
        <v>306</v>
      </c>
      <c r="B309" s="47">
        <v>234</v>
      </c>
      <c r="C309" s="50" t="s">
        <v>1878</v>
      </c>
      <c r="D309" s="50" t="s">
        <v>1852</v>
      </c>
      <c r="E309" s="50" t="s">
        <v>1934</v>
      </c>
      <c r="F309" s="90" t="s">
        <v>1854</v>
      </c>
      <c r="G309" s="90" t="s">
        <v>1674</v>
      </c>
      <c r="H309" s="90" t="s">
        <v>1247</v>
      </c>
      <c r="I309" s="90" t="s">
        <v>1855</v>
      </c>
      <c r="J309" s="90" t="s">
        <v>1856</v>
      </c>
      <c r="K309" s="90" t="s">
        <v>1857</v>
      </c>
      <c r="L309" s="90" t="s">
        <v>1858</v>
      </c>
      <c r="M309" s="95" t="s">
        <v>1679</v>
      </c>
      <c r="N309" s="90" t="s">
        <v>1859</v>
      </c>
    </row>
    <row r="310" spans="1:14" ht="16.5">
      <c r="A310" s="90">
        <v>307</v>
      </c>
      <c r="B310" s="47">
        <v>235</v>
      </c>
      <c r="C310" s="50" t="s">
        <v>601</v>
      </c>
      <c r="D310" s="50" t="s">
        <v>1852</v>
      </c>
      <c r="E310" s="50" t="s">
        <v>1934</v>
      </c>
      <c r="F310" s="90">
        <v>50</v>
      </c>
      <c r="G310" s="90">
        <v>30</v>
      </c>
      <c r="H310" s="90">
        <v>10</v>
      </c>
      <c r="I310" s="90">
        <v>30</v>
      </c>
      <c r="J310" s="90">
        <v>40</v>
      </c>
      <c r="K310" s="90">
        <v>60</v>
      </c>
      <c r="L310" s="90">
        <v>65</v>
      </c>
      <c r="M310" s="95">
        <v>1</v>
      </c>
      <c r="N310" s="90">
        <v>3</v>
      </c>
    </row>
    <row r="311" spans="1:14" ht="16.5">
      <c r="A311" s="90">
        <v>308</v>
      </c>
      <c r="B311" s="47">
        <v>236</v>
      </c>
      <c r="C311" s="50" t="s">
        <v>1688</v>
      </c>
      <c r="D311" s="50" t="s">
        <v>1852</v>
      </c>
      <c r="E311" s="50" t="s">
        <v>1934</v>
      </c>
      <c r="F311" s="90">
        <v>50</v>
      </c>
      <c r="G311" s="90">
        <v>30</v>
      </c>
      <c r="H311" s="90">
        <v>10</v>
      </c>
      <c r="I311" s="90">
        <v>30</v>
      </c>
      <c r="J311" s="90">
        <v>40</v>
      </c>
      <c r="K311" s="90">
        <v>60</v>
      </c>
      <c r="L311" s="90">
        <v>65</v>
      </c>
      <c r="M311" s="95">
        <v>1</v>
      </c>
      <c r="N311" s="90">
        <v>3</v>
      </c>
    </row>
    <row r="312" spans="1:14" ht="16.5">
      <c r="A312" s="90">
        <v>309</v>
      </c>
      <c r="B312" s="91">
        <v>201</v>
      </c>
      <c r="C312" s="90" t="s">
        <v>66</v>
      </c>
      <c r="D312" s="50" t="s">
        <v>1852</v>
      </c>
      <c r="E312" s="50" t="s">
        <v>1934</v>
      </c>
      <c r="F312" s="90" t="s">
        <v>1872</v>
      </c>
      <c r="G312" s="90" t="s">
        <v>1682</v>
      </c>
      <c r="H312" s="90" t="s">
        <v>1247</v>
      </c>
      <c r="I312" s="90" t="s">
        <v>1879</v>
      </c>
      <c r="J312" s="90" t="s">
        <v>1880</v>
      </c>
      <c r="K312" s="90" t="s">
        <v>1875</v>
      </c>
      <c r="L312" s="90" t="s">
        <v>1876</v>
      </c>
      <c r="M312" s="95" t="s">
        <v>1679</v>
      </c>
      <c r="N312" s="90" t="s">
        <v>1680</v>
      </c>
    </row>
    <row r="313" spans="1:14" ht="16.5">
      <c r="A313" s="90">
        <v>310</v>
      </c>
      <c r="B313" s="91">
        <v>206</v>
      </c>
      <c r="C313" s="90" t="s">
        <v>293</v>
      </c>
      <c r="D313" s="50" t="s">
        <v>1852</v>
      </c>
      <c r="E313" s="50" t="s">
        <v>1934</v>
      </c>
      <c r="F313" s="90" t="s">
        <v>1860</v>
      </c>
      <c r="G313" s="90" t="s">
        <v>1682</v>
      </c>
      <c r="H313" s="90" t="s">
        <v>1247</v>
      </c>
      <c r="I313" s="90" t="s">
        <v>1861</v>
      </c>
      <c r="J313" s="90" t="s">
        <v>1862</v>
      </c>
      <c r="K313" s="90" t="s">
        <v>1863</v>
      </c>
      <c r="L313" s="90" t="s">
        <v>1864</v>
      </c>
      <c r="M313" s="95" t="s">
        <v>1679</v>
      </c>
      <c r="N313" s="90" t="s">
        <v>1680</v>
      </c>
    </row>
    <row r="314" spans="1:14" ht="16.5">
      <c r="A314" s="90">
        <v>311</v>
      </c>
      <c r="B314" s="47">
        <v>209</v>
      </c>
      <c r="C314" s="50" t="s">
        <v>344</v>
      </c>
      <c r="D314" s="50" t="s">
        <v>1852</v>
      </c>
      <c r="E314" s="50" t="s">
        <v>1934</v>
      </c>
      <c r="F314" s="90" t="s">
        <v>1860</v>
      </c>
      <c r="G314" s="90" t="s">
        <v>1682</v>
      </c>
      <c r="H314" s="90" t="s">
        <v>1247</v>
      </c>
      <c r="I314" s="90" t="s">
        <v>1861</v>
      </c>
      <c r="J314" s="90" t="s">
        <v>1862</v>
      </c>
      <c r="K314" s="90" t="s">
        <v>1863</v>
      </c>
      <c r="L314" s="90" t="s">
        <v>1864</v>
      </c>
      <c r="M314" s="95" t="s">
        <v>1679</v>
      </c>
      <c r="N314" s="90" t="s">
        <v>1680</v>
      </c>
    </row>
    <row r="315" spans="1:14" ht="16.5">
      <c r="A315" s="90">
        <v>312</v>
      </c>
      <c r="B315" s="47">
        <v>230</v>
      </c>
      <c r="C315" s="50" t="s">
        <v>539</v>
      </c>
      <c r="D315" s="50" t="s">
        <v>1852</v>
      </c>
      <c r="E315" s="50" t="s">
        <v>1934</v>
      </c>
      <c r="F315" s="90" t="s">
        <v>1881</v>
      </c>
      <c r="G315" s="90" t="s">
        <v>1682</v>
      </c>
      <c r="H315" s="90" t="s">
        <v>1247</v>
      </c>
      <c r="I315" s="90" t="s">
        <v>1683</v>
      </c>
      <c r="J315" s="90" t="s">
        <v>1684</v>
      </c>
      <c r="K315" s="90" t="s">
        <v>1882</v>
      </c>
      <c r="L315" s="90" t="s">
        <v>1883</v>
      </c>
      <c r="M315" s="95" t="s">
        <v>1679</v>
      </c>
      <c r="N315" s="90" t="s">
        <v>1884</v>
      </c>
    </row>
    <row r="316" spans="1:14" ht="16.5">
      <c r="A316" s="90">
        <v>313</v>
      </c>
      <c r="B316" s="91">
        <v>232</v>
      </c>
      <c r="C316" s="90" t="s">
        <v>319</v>
      </c>
      <c r="D316" s="50" t="s">
        <v>1852</v>
      </c>
      <c r="E316" s="50" t="s">
        <v>1934</v>
      </c>
      <c r="F316" s="90" t="s">
        <v>1860</v>
      </c>
      <c r="G316" s="90" t="s">
        <v>1682</v>
      </c>
      <c r="H316" s="90" t="s">
        <v>1247</v>
      </c>
      <c r="I316" s="90" t="s">
        <v>1861</v>
      </c>
      <c r="J316" s="90" t="s">
        <v>1862</v>
      </c>
      <c r="K316" s="90" t="s">
        <v>1863</v>
      </c>
      <c r="L316" s="90" t="s">
        <v>1864</v>
      </c>
      <c r="M316" s="95" t="s">
        <v>1679</v>
      </c>
      <c r="N316" s="90" t="s">
        <v>1680</v>
      </c>
    </row>
    <row r="317" spans="1:14" ht="16.5">
      <c r="A317" s="90">
        <v>314</v>
      </c>
      <c r="B317" s="47">
        <v>233</v>
      </c>
      <c r="C317" s="50" t="s">
        <v>593</v>
      </c>
      <c r="D317" s="50" t="s">
        <v>1852</v>
      </c>
      <c r="E317" s="50" t="s">
        <v>1934</v>
      </c>
      <c r="F317" s="90">
        <v>50</v>
      </c>
      <c r="G317" s="90">
        <v>30</v>
      </c>
      <c r="H317" s="90">
        <v>10</v>
      </c>
      <c r="I317" s="90">
        <v>30</v>
      </c>
      <c r="J317" s="90">
        <v>40</v>
      </c>
      <c r="K317" s="90">
        <v>60</v>
      </c>
      <c r="L317" s="90">
        <v>65</v>
      </c>
      <c r="M317" s="95">
        <v>1</v>
      </c>
      <c r="N317" s="90">
        <v>3</v>
      </c>
    </row>
    <row r="318" spans="1:14" ht="16.5">
      <c r="A318" s="90">
        <v>315</v>
      </c>
      <c r="B318" s="47">
        <v>237</v>
      </c>
      <c r="C318" s="50" t="s">
        <v>565</v>
      </c>
      <c r="D318" s="50" t="s">
        <v>1852</v>
      </c>
      <c r="E318" s="50" t="s">
        <v>1934</v>
      </c>
      <c r="F318" s="90" t="s">
        <v>1885</v>
      </c>
      <c r="G318" s="90" t="s">
        <v>1682</v>
      </c>
      <c r="H318" s="90" t="s">
        <v>1247</v>
      </c>
      <c r="I318" s="90" t="s">
        <v>1675</v>
      </c>
      <c r="J318" s="90" t="s">
        <v>1676</v>
      </c>
      <c r="K318" s="90" t="s">
        <v>1886</v>
      </c>
      <c r="L318" s="90" t="s">
        <v>1887</v>
      </c>
      <c r="M318" s="95" t="s">
        <v>1679</v>
      </c>
      <c r="N318" s="90" t="s">
        <v>1680</v>
      </c>
    </row>
    <row r="319" spans="1:14" ht="16.5">
      <c r="A319" s="90">
        <v>316</v>
      </c>
      <c r="B319" s="47">
        <v>213</v>
      </c>
      <c r="C319" s="50" t="s">
        <v>599</v>
      </c>
      <c r="D319" s="50" t="s">
        <v>1852</v>
      </c>
      <c r="E319" s="50" t="s">
        <v>1934</v>
      </c>
      <c r="F319" s="90">
        <v>63</v>
      </c>
      <c r="G319" s="90">
        <v>30</v>
      </c>
      <c r="H319" s="90">
        <v>10</v>
      </c>
      <c r="I319" s="90">
        <v>48</v>
      </c>
      <c r="J319" s="90">
        <v>53</v>
      </c>
      <c r="K319" s="90">
        <v>73</v>
      </c>
      <c r="L319" s="90">
        <v>78</v>
      </c>
      <c r="M319" s="95">
        <v>1</v>
      </c>
      <c r="N319" s="90">
        <v>6</v>
      </c>
    </row>
    <row r="320" spans="1:14" ht="16.5">
      <c r="A320" s="90">
        <v>317</v>
      </c>
      <c r="B320" s="47">
        <v>224</v>
      </c>
      <c r="C320" s="50" t="s">
        <v>369</v>
      </c>
      <c r="D320" s="50" t="s">
        <v>1852</v>
      </c>
      <c r="E320" s="50" t="s">
        <v>1934</v>
      </c>
      <c r="F320" s="90" t="s">
        <v>1860</v>
      </c>
      <c r="G320" s="90" t="s">
        <v>1682</v>
      </c>
      <c r="H320" s="90" t="s">
        <v>1247</v>
      </c>
      <c r="I320" s="90" t="s">
        <v>1861</v>
      </c>
      <c r="J320" s="90" t="s">
        <v>1862</v>
      </c>
      <c r="K320" s="90" t="s">
        <v>1863</v>
      </c>
      <c r="L320" s="90" t="s">
        <v>1864</v>
      </c>
      <c r="M320" s="95" t="s">
        <v>1679</v>
      </c>
      <c r="N320" s="90" t="s">
        <v>1680</v>
      </c>
    </row>
    <row r="321" spans="1:14" ht="16.5">
      <c r="A321" s="90">
        <v>318</v>
      </c>
      <c r="B321" s="47">
        <v>229</v>
      </c>
      <c r="C321" s="50" t="s">
        <v>515</v>
      </c>
      <c r="D321" s="50" t="s">
        <v>1852</v>
      </c>
      <c r="E321" s="50" t="s">
        <v>1934</v>
      </c>
      <c r="F321" s="90" t="s">
        <v>1872</v>
      </c>
      <c r="G321" s="90" t="s">
        <v>1682</v>
      </c>
      <c r="H321" s="90" t="s">
        <v>1247</v>
      </c>
      <c r="I321" s="90" t="s">
        <v>1879</v>
      </c>
      <c r="J321" s="90" t="s">
        <v>1880</v>
      </c>
      <c r="K321" s="90" t="s">
        <v>1875</v>
      </c>
      <c r="L321" s="90" t="s">
        <v>1876</v>
      </c>
      <c r="M321" s="95" t="s">
        <v>1679</v>
      </c>
      <c r="N321" s="90" t="s">
        <v>1680</v>
      </c>
    </row>
    <row r="322" spans="1:14" ht="16.5">
      <c r="A322" s="90">
        <v>319</v>
      </c>
      <c r="B322" s="47">
        <v>231</v>
      </c>
      <c r="C322" s="94" t="s">
        <v>591</v>
      </c>
      <c r="D322" s="50" t="s">
        <v>1852</v>
      </c>
      <c r="E322" s="50" t="s">
        <v>1934</v>
      </c>
      <c r="F322" s="90" t="s">
        <v>1872</v>
      </c>
      <c r="G322" s="90" t="s">
        <v>1862</v>
      </c>
      <c r="H322" s="90" t="s">
        <v>1888</v>
      </c>
      <c r="I322" s="90" t="s">
        <v>1862</v>
      </c>
      <c r="J322" s="90" t="s">
        <v>1889</v>
      </c>
      <c r="K322" s="90" t="s">
        <v>1890</v>
      </c>
      <c r="L322" s="90" t="s">
        <v>1868</v>
      </c>
      <c r="M322" s="95" t="s">
        <v>1679</v>
      </c>
      <c r="N322" s="90" t="s">
        <v>1891</v>
      </c>
    </row>
    <row r="323" spans="1:14" ht="16.5">
      <c r="A323" s="90">
        <v>320</v>
      </c>
      <c r="B323" s="47">
        <v>211</v>
      </c>
      <c r="C323" s="50" t="s">
        <v>605</v>
      </c>
      <c r="D323" s="50" t="s">
        <v>1852</v>
      </c>
      <c r="E323" s="50" t="s">
        <v>1934</v>
      </c>
      <c r="F323" s="90">
        <v>50</v>
      </c>
      <c r="G323" s="90">
        <v>30</v>
      </c>
      <c r="H323" s="90">
        <v>10</v>
      </c>
      <c r="I323" s="90">
        <v>33</v>
      </c>
      <c r="J323" s="90">
        <v>38</v>
      </c>
      <c r="K323" s="90">
        <v>58</v>
      </c>
      <c r="L323" s="90">
        <v>63</v>
      </c>
      <c r="M323" s="95">
        <v>1</v>
      </c>
      <c r="N323" s="90">
        <v>3</v>
      </c>
    </row>
    <row r="324" spans="1:14" ht="16.5">
      <c r="A324" s="90">
        <v>321</v>
      </c>
      <c r="B324" s="47">
        <v>212</v>
      </c>
      <c r="C324" s="50" t="s">
        <v>394</v>
      </c>
      <c r="D324" s="50" t="s">
        <v>1852</v>
      </c>
      <c r="E324" s="50" t="s">
        <v>1934</v>
      </c>
      <c r="F324" s="90" t="s">
        <v>1881</v>
      </c>
      <c r="G324" s="90" t="s">
        <v>1862</v>
      </c>
      <c r="H324" s="90" t="s">
        <v>1888</v>
      </c>
      <c r="I324" s="90" t="s">
        <v>1892</v>
      </c>
      <c r="J324" s="90" t="s">
        <v>1893</v>
      </c>
      <c r="K324" s="90" t="s">
        <v>1894</v>
      </c>
      <c r="L324" s="90" t="s">
        <v>1895</v>
      </c>
      <c r="M324" s="95" t="s">
        <v>1679</v>
      </c>
      <c r="N324" s="90" t="s">
        <v>1891</v>
      </c>
    </row>
    <row r="325" spans="1:14" ht="16.5">
      <c r="A325" s="90">
        <v>322</v>
      </c>
      <c r="B325" s="47">
        <v>300</v>
      </c>
      <c r="C325" s="50" t="s">
        <v>1896</v>
      </c>
      <c r="D325" s="50" t="s">
        <v>1852</v>
      </c>
      <c r="E325" s="50" t="s">
        <v>1934</v>
      </c>
      <c r="F325" s="90">
        <v>42</v>
      </c>
      <c r="G325" s="90">
        <v>30</v>
      </c>
      <c r="H325" s="90">
        <v>10</v>
      </c>
      <c r="I325" s="90">
        <v>27</v>
      </c>
      <c r="J325" s="90">
        <v>32</v>
      </c>
      <c r="K325" s="90">
        <v>52</v>
      </c>
      <c r="L325" s="90">
        <v>57</v>
      </c>
      <c r="M325" s="95">
        <v>1</v>
      </c>
      <c r="N325" s="90">
        <v>3</v>
      </c>
    </row>
    <row r="326" spans="1:14" ht="16.5">
      <c r="A326" s="90">
        <v>323</v>
      </c>
      <c r="B326" s="47">
        <v>228</v>
      </c>
      <c r="C326" s="50" t="s">
        <v>948</v>
      </c>
      <c r="D326" s="50" t="s">
        <v>1852</v>
      </c>
      <c r="E326" s="50" t="s">
        <v>1934</v>
      </c>
      <c r="F326" s="90" t="s">
        <v>1872</v>
      </c>
      <c r="G326" s="90" t="s">
        <v>1682</v>
      </c>
      <c r="H326" s="90" t="s">
        <v>1247</v>
      </c>
      <c r="I326" s="90" t="s">
        <v>1873</v>
      </c>
      <c r="J326" s="90" t="s">
        <v>1874</v>
      </c>
      <c r="K326" s="90" t="s">
        <v>1875</v>
      </c>
      <c r="L326" s="90" t="s">
        <v>1876</v>
      </c>
      <c r="M326" s="95" t="s">
        <v>1679</v>
      </c>
      <c r="N326" s="90" t="s">
        <v>1877</v>
      </c>
    </row>
    <row r="327" spans="1:14" s="87" customFormat="1" ht="16.5">
      <c r="A327" s="90">
        <v>324</v>
      </c>
      <c r="B327" s="100">
        <v>202</v>
      </c>
      <c r="C327" s="99" t="s">
        <v>154</v>
      </c>
      <c r="D327" s="99" t="s">
        <v>1897</v>
      </c>
      <c r="E327" s="99" t="s">
        <v>1934</v>
      </c>
      <c r="F327" s="99" t="s">
        <v>1854</v>
      </c>
      <c r="G327" s="99" t="s">
        <v>1674</v>
      </c>
      <c r="H327" s="99" t="s">
        <v>1247</v>
      </c>
      <c r="I327" s="99" t="s">
        <v>1855</v>
      </c>
      <c r="J327" s="99" t="s">
        <v>1856</v>
      </c>
      <c r="K327" s="99" t="s">
        <v>1857</v>
      </c>
      <c r="L327" s="99" t="s">
        <v>1858</v>
      </c>
      <c r="M327" s="101" t="s">
        <v>1679</v>
      </c>
      <c r="N327" s="99" t="s">
        <v>1859</v>
      </c>
    </row>
    <row r="328" spans="1:14" s="87" customFormat="1" ht="16.5">
      <c r="A328" s="90">
        <v>325</v>
      </c>
      <c r="B328" s="100">
        <v>203</v>
      </c>
      <c r="C328" s="99" t="s">
        <v>202</v>
      </c>
      <c r="D328" s="99" t="s">
        <v>1897</v>
      </c>
      <c r="E328" s="99" t="s">
        <v>1934</v>
      </c>
      <c r="F328" s="99" t="s">
        <v>1860</v>
      </c>
      <c r="G328" s="99" t="s">
        <v>1682</v>
      </c>
      <c r="H328" s="99" t="s">
        <v>1247</v>
      </c>
      <c r="I328" s="99" t="s">
        <v>1861</v>
      </c>
      <c r="J328" s="99" t="s">
        <v>1862</v>
      </c>
      <c r="K328" s="99" t="s">
        <v>1863</v>
      </c>
      <c r="L328" s="99" t="s">
        <v>1864</v>
      </c>
      <c r="M328" s="101" t="s">
        <v>1679</v>
      </c>
      <c r="N328" s="99" t="s">
        <v>1870</v>
      </c>
    </row>
    <row r="329" spans="1:14" s="87" customFormat="1" ht="16.5">
      <c r="A329" s="90">
        <v>326</v>
      </c>
      <c r="B329" s="100">
        <v>204</v>
      </c>
      <c r="C329" s="99" t="s">
        <v>226</v>
      </c>
      <c r="D329" s="99" t="s">
        <v>1897</v>
      </c>
      <c r="E329" s="99" t="s">
        <v>1934</v>
      </c>
      <c r="F329" s="99" t="s">
        <v>1854</v>
      </c>
      <c r="G329" s="99" t="s">
        <v>1674</v>
      </c>
      <c r="H329" s="99" t="s">
        <v>1247</v>
      </c>
      <c r="I329" s="99" t="s">
        <v>1855</v>
      </c>
      <c r="J329" s="99" t="s">
        <v>1856</v>
      </c>
      <c r="K329" s="99" t="s">
        <v>1857</v>
      </c>
      <c r="L329" s="99" t="s">
        <v>1858</v>
      </c>
      <c r="M329" s="101" t="s">
        <v>1679</v>
      </c>
      <c r="N329" s="99" t="s">
        <v>1680</v>
      </c>
    </row>
    <row r="330" spans="1:14" s="87" customFormat="1" ht="16.5">
      <c r="A330" s="90">
        <v>327</v>
      </c>
      <c r="B330" s="100">
        <v>205</v>
      </c>
      <c r="C330" s="99" t="s">
        <v>249</v>
      </c>
      <c r="D330" s="99" t="s">
        <v>1897</v>
      </c>
      <c r="E330" s="99" t="s">
        <v>1934</v>
      </c>
      <c r="F330" s="99" t="s">
        <v>1854</v>
      </c>
      <c r="G330" s="99" t="s">
        <v>1674</v>
      </c>
      <c r="H330" s="99" t="s">
        <v>1247</v>
      </c>
      <c r="I330" s="99" t="s">
        <v>1855</v>
      </c>
      <c r="J330" s="99" t="s">
        <v>1856</v>
      </c>
      <c r="K330" s="99" t="s">
        <v>1857</v>
      </c>
      <c r="L330" s="99" t="s">
        <v>1858</v>
      </c>
      <c r="M330" s="101" t="s">
        <v>1679</v>
      </c>
      <c r="N330" s="99" t="s">
        <v>1859</v>
      </c>
    </row>
    <row r="331" spans="1:14" ht="16.5">
      <c r="A331" s="90">
        <v>328</v>
      </c>
      <c r="B331" s="47">
        <v>207</v>
      </c>
      <c r="C331" s="50" t="s">
        <v>595</v>
      </c>
      <c r="D331" s="50" t="s">
        <v>1897</v>
      </c>
      <c r="E331" s="50" t="s">
        <v>1934</v>
      </c>
      <c r="F331" s="90">
        <v>50</v>
      </c>
      <c r="G331" s="90">
        <v>30</v>
      </c>
      <c r="H331" s="90">
        <v>10</v>
      </c>
      <c r="I331" s="90">
        <v>30</v>
      </c>
      <c r="J331" s="90">
        <v>40</v>
      </c>
      <c r="K331" s="90">
        <v>60</v>
      </c>
      <c r="L331" s="90">
        <v>65</v>
      </c>
      <c r="M331" s="95">
        <v>1</v>
      </c>
      <c r="N331" s="90">
        <v>3</v>
      </c>
    </row>
    <row r="332" spans="1:14" ht="16.5">
      <c r="A332" s="90">
        <v>329</v>
      </c>
      <c r="B332" s="47">
        <v>208</v>
      </c>
      <c r="C332" s="50" t="s">
        <v>589</v>
      </c>
      <c r="D332" s="50" t="s">
        <v>1897</v>
      </c>
      <c r="E332" s="50" t="s">
        <v>1934</v>
      </c>
      <c r="F332" s="90">
        <v>53</v>
      </c>
      <c r="G332" s="90">
        <v>50</v>
      </c>
      <c r="H332" s="90">
        <v>1</v>
      </c>
      <c r="I332" s="90">
        <v>20</v>
      </c>
      <c r="J332" s="90">
        <v>35</v>
      </c>
      <c r="K332" s="90">
        <v>63</v>
      </c>
      <c r="L332" s="90">
        <v>68</v>
      </c>
      <c r="M332" s="95">
        <v>1</v>
      </c>
      <c r="N332" s="90">
        <v>8</v>
      </c>
    </row>
    <row r="333" spans="1:14" ht="16.5">
      <c r="A333" s="90">
        <v>330</v>
      </c>
      <c r="B333" s="47">
        <v>215</v>
      </c>
      <c r="C333" s="50" t="s">
        <v>418</v>
      </c>
      <c r="D333" s="50" t="s">
        <v>1897</v>
      </c>
      <c r="E333" s="50" t="s">
        <v>1934</v>
      </c>
      <c r="F333" s="90" t="s">
        <v>1865</v>
      </c>
      <c r="G333" s="90" t="s">
        <v>1682</v>
      </c>
      <c r="H333" s="90" t="s">
        <v>1247</v>
      </c>
      <c r="I333" s="90" t="s">
        <v>1866</v>
      </c>
      <c r="J333" s="90" t="s">
        <v>1867</v>
      </c>
      <c r="K333" s="90" t="s">
        <v>1868</v>
      </c>
      <c r="L333" s="90" t="s">
        <v>1869</v>
      </c>
      <c r="M333" s="95" t="s">
        <v>1679</v>
      </c>
      <c r="N333" s="90" t="s">
        <v>1870</v>
      </c>
    </row>
    <row r="334" spans="1:14" ht="16.5">
      <c r="A334" s="90">
        <v>331</v>
      </c>
      <c r="B334" s="47">
        <v>222</v>
      </c>
      <c r="C334" s="50" t="s">
        <v>442</v>
      </c>
      <c r="D334" s="50" t="s">
        <v>1897</v>
      </c>
      <c r="E334" s="50" t="s">
        <v>1934</v>
      </c>
      <c r="F334" s="90" t="s">
        <v>1854</v>
      </c>
      <c r="G334" s="90" t="s">
        <v>1871</v>
      </c>
      <c r="H334" s="90" t="s">
        <v>1247</v>
      </c>
      <c r="I334" s="90" t="s">
        <v>1855</v>
      </c>
      <c r="J334" s="90" t="s">
        <v>1856</v>
      </c>
      <c r="K334" s="90" t="s">
        <v>1857</v>
      </c>
      <c r="L334" s="90" t="s">
        <v>1858</v>
      </c>
      <c r="M334" s="95" t="s">
        <v>1679</v>
      </c>
      <c r="N334" s="90" t="s">
        <v>1859</v>
      </c>
    </row>
    <row r="335" spans="1:14" ht="16.5">
      <c r="A335" s="90">
        <v>332</v>
      </c>
      <c r="B335" s="47">
        <v>223</v>
      </c>
      <c r="C335" s="50" t="s">
        <v>918</v>
      </c>
      <c r="D335" s="50" t="s">
        <v>1897</v>
      </c>
      <c r="E335" s="50" t="s">
        <v>1934</v>
      </c>
      <c r="F335" s="90">
        <v>28</v>
      </c>
      <c r="G335" s="90">
        <v>30</v>
      </c>
      <c r="H335" s="90">
        <v>10</v>
      </c>
      <c r="I335" s="90">
        <v>17</v>
      </c>
      <c r="J335" s="90">
        <v>22</v>
      </c>
      <c r="K335" s="90">
        <v>33</v>
      </c>
      <c r="L335" s="90">
        <v>38</v>
      </c>
      <c r="M335" s="95">
        <v>1</v>
      </c>
      <c r="N335" s="90">
        <v>2</v>
      </c>
    </row>
    <row r="336" spans="1:14" ht="16.5">
      <c r="A336" s="90">
        <v>333</v>
      </c>
      <c r="B336" s="47">
        <v>226</v>
      </c>
      <c r="C336" s="92" t="s">
        <v>469</v>
      </c>
      <c r="D336" s="50" t="s">
        <v>1897</v>
      </c>
      <c r="E336" s="50" t="s">
        <v>1934</v>
      </c>
      <c r="F336" s="90" t="s">
        <v>1872</v>
      </c>
      <c r="G336" s="90" t="s">
        <v>1682</v>
      </c>
      <c r="H336" s="90" t="s">
        <v>1247</v>
      </c>
      <c r="I336" s="90" t="s">
        <v>1873</v>
      </c>
      <c r="J336" s="90" t="s">
        <v>1874</v>
      </c>
      <c r="K336" s="90" t="s">
        <v>1875</v>
      </c>
      <c r="L336" s="90" t="s">
        <v>1876</v>
      </c>
      <c r="M336" s="95" t="s">
        <v>1679</v>
      </c>
      <c r="N336" s="90" t="s">
        <v>1877</v>
      </c>
    </row>
    <row r="337" spans="1:14" ht="16.5">
      <c r="A337" s="90">
        <v>334</v>
      </c>
      <c r="B337" s="91">
        <v>227</v>
      </c>
      <c r="C337" s="93" t="s">
        <v>493</v>
      </c>
      <c r="D337" s="50" t="s">
        <v>1897</v>
      </c>
      <c r="E337" s="50" t="s">
        <v>1934</v>
      </c>
      <c r="F337" s="90" t="s">
        <v>1872</v>
      </c>
      <c r="G337" s="90" t="s">
        <v>1682</v>
      </c>
      <c r="H337" s="90" t="s">
        <v>1247</v>
      </c>
      <c r="I337" s="90" t="s">
        <v>1873</v>
      </c>
      <c r="J337" s="90" t="s">
        <v>1874</v>
      </c>
      <c r="K337" s="90" t="s">
        <v>1875</v>
      </c>
      <c r="L337" s="90" t="s">
        <v>1876</v>
      </c>
      <c r="M337" s="95" t="s">
        <v>1679</v>
      </c>
      <c r="N337" s="90" t="s">
        <v>1870</v>
      </c>
    </row>
    <row r="338" spans="1:14" ht="16.5">
      <c r="A338" s="90">
        <v>335</v>
      </c>
      <c r="B338" s="47">
        <v>234</v>
      </c>
      <c r="C338" s="50" t="s">
        <v>1878</v>
      </c>
      <c r="D338" s="50" t="s">
        <v>1897</v>
      </c>
      <c r="E338" s="50" t="s">
        <v>1934</v>
      </c>
      <c r="F338" s="90" t="s">
        <v>1854</v>
      </c>
      <c r="G338" s="90" t="s">
        <v>1674</v>
      </c>
      <c r="H338" s="90" t="s">
        <v>1247</v>
      </c>
      <c r="I338" s="90" t="s">
        <v>1855</v>
      </c>
      <c r="J338" s="90" t="s">
        <v>1856</v>
      </c>
      <c r="K338" s="90" t="s">
        <v>1857</v>
      </c>
      <c r="L338" s="90" t="s">
        <v>1858</v>
      </c>
      <c r="M338" s="95" t="s">
        <v>1679</v>
      </c>
      <c r="N338" s="90" t="s">
        <v>1859</v>
      </c>
    </row>
    <row r="339" spans="1:14" ht="16.5">
      <c r="A339" s="90">
        <v>336</v>
      </c>
      <c r="B339" s="47">
        <v>235</v>
      </c>
      <c r="C339" s="50" t="s">
        <v>601</v>
      </c>
      <c r="D339" s="50" t="s">
        <v>1897</v>
      </c>
      <c r="E339" s="50" t="s">
        <v>1934</v>
      </c>
      <c r="F339" s="90">
        <v>50</v>
      </c>
      <c r="G339" s="90">
        <v>30</v>
      </c>
      <c r="H339" s="90">
        <v>10</v>
      </c>
      <c r="I339" s="90">
        <v>30</v>
      </c>
      <c r="J339" s="90">
        <v>40</v>
      </c>
      <c r="K339" s="90">
        <v>60</v>
      </c>
      <c r="L339" s="90">
        <v>65</v>
      </c>
      <c r="M339" s="95">
        <v>1</v>
      </c>
      <c r="N339" s="90">
        <v>3</v>
      </c>
    </row>
    <row r="340" spans="1:14" ht="16.5">
      <c r="A340" s="90">
        <v>337</v>
      </c>
      <c r="B340" s="47">
        <v>236</v>
      </c>
      <c r="C340" s="50" t="s">
        <v>1688</v>
      </c>
      <c r="D340" s="50" t="s">
        <v>1897</v>
      </c>
      <c r="E340" s="50" t="s">
        <v>1934</v>
      </c>
      <c r="F340" s="90">
        <v>50</v>
      </c>
      <c r="G340" s="90">
        <v>30</v>
      </c>
      <c r="H340" s="90">
        <v>10</v>
      </c>
      <c r="I340" s="90">
        <v>30</v>
      </c>
      <c r="J340" s="90">
        <v>40</v>
      </c>
      <c r="K340" s="90">
        <v>60</v>
      </c>
      <c r="L340" s="90">
        <v>65</v>
      </c>
      <c r="M340" s="95">
        <v>1</v>
      </c>
      <c r="N340" s="90">
        <v>3</v>
      </c>
    </row>
    <row r="341" spans="1:14" ht="16.5">
      <c r="A341" s="90">
        <v>338</v>
      </c>
      <c r="B341" s="91">
        <v>201</v>
      </c>
      <c r="C341" s="90" t="s">
        <v>66</v>
      </c>
      <c r="D341" s="50" t="s">
        <v>1897</v>
      </c>
      <c r="E341" s="50" t="s">
        <v>1934</v>
      </c>
      <c r="F341" s="90" t="s">
        <v>1872</v>
      </c>
      <c r="G341" s="90" t="s">
        <v>1682</v>
      </c>
      <c r="H341" s="90" t="s">
        <v>1247</v>
      </c>
      <c r="I341" s="90" t="s">
        <v>1879</v>
      </c>
      <c r="J341" s="90" t="s">
        <v>1880</v>
      </c>
      <c r="K341" s="90" t="s">
        <v>1875</v>
      </c>
      <c r="L341" s="90" t="s">
        <v>1876</v>
      </c>
      <c r="M341" s="95" t="s">
        <v>1679</v>
      </c>
      <c r="N341" s="90" t="s">
        <v>1680</v>
      </c>
    </row>
    <row r="342" spans="1:14" ht="16.5">
      <c r="A342" s="90">
        <v>339</v>
      </c>
      <c r="B342" s="91">
        <v>206</v>
      </c>
      <c r="C342" s="90" t="s">
        <v>293</v>
      </c>
      <c r="D342" s="50" t="s">
        <v>1897</v>
      </c>
      <c r="E342" s="50" t="s">
        <v>1934</v>
      </c>
      <c r="F342" s="90" t="s">
        <v>1860</v>
      </c>
      <c r="G342" s="90" t="s">
        <v>1682</v>
      </c>
      <c r="H342" s="90" t="s">
        <v>1247</v>
      </c>
      <c r="I342" s="90" t="s">
        <v>1861</v>
      </c>
      <c r="J342" s="90" t="s">
        <v>1862</v>
      </c>
      <c r="K342" s="90" t="s">
        <v>1863</v>
      </c>
      <c r="L342" s="90" t="s">
        <v>1864</v>
      </c>
      <c r="M342" s="95" t="s">
        <v>1679</v>
      </c>
      <c r="N342" s="90" t="s">
        <v>1680</v>
      </c>
    </row>
    <row r="343" spans="1:14" ht="16.5">
      <c r="A343" s="90">
        <v>340</v>
      </c>
      <c r="B343" s="47">
        <v>209</v>
      </c>
      <c r="C343" s="50" t="s">
        <v>344</v>
      </c>
      <c r="D343" s="50" t="s">
        <v>1897</v>
      </c>
      <c r="E343" s="50" t="s">
        <v>1934</v>
      </c>
      <c r="F343" s="90" t="s">
        <v>1860</v>
      </c>
      <c r="G343" s="90" t="s">
        <v>1682</v>
      </c>
      <c r="H343" s="90" t="s">
        <v>1247</v>
      </c>
      <c r="I343" s="90" t="s">
        <v>1861</v>
      </c>
      <c r="J343" s="90" t="s">
        <v>1862</v>
      </c>
      <c r="K343" s="90" t="s">
        <v>1863</v>
      </c>
      <c r="L343" s="90" t="s">
        <v>1864</v>
      </c>
      <c r="M343" s="95" t="s">
        <v>1679</v>
      </c>
      <c r="N343" s="90" t="s">
        <v>1680</v>
      </c>
    </row>
    <row r="344" spans="1:14" ht="16.5">
      <c r="A344" s="90">
        <v>341</v>
      </c>
      <c r="B344" s="47">
        <v>230</v>
      </c>
      <c r="C344" s="50" t="s">
        <v>539</v>
      </c>
      <c r="D344" s="50" t="s">
        <v>1897</v>
      </c>
      <c r="E344" s="50" t="s">
        <v>1934</v>
      </c>
      <c r="F344" s="90" t="s">
        <v>1881</v>
      </c>
      <c r="G344" s="90" t="s">
        <v>1682</v>
      </c>
      <c r="H344" s="90" t="s">
        <v>1247</v>
      </c>
      <c r="I344" s="90" t="s">
        <v>1683</v>
      </c>
      <c r="J344" s="90" t="s">
        <v>1684</v>
      </c>
      <c r="K344" s="90" t="s">
        <v>1882</v>
      </c>
      <c r="L344" s="90" t="s">
        <v>1883</v>
      </c>
      <c r="M344" s="95" t="s">
        <v>1679</v>
      </c>
      <c r="N344" s="90" t="s">
        <v>1884</v>
      </c>
    </row>
    <row r="345" spans="1:14" ht="16.5">
      <c r="A345" s="90">
        <v>342</v>
      </c>
      <c r="B345" s="91">
        <v>232</v>
      </c>
      <c r="C345" s="90" t="s">
        <v>319</v>
      </c>
      <c r="D345" s="50" t="s">
        <v>1897</v>
      </c>
      <c r="E345" s="50" t="s">
        <v>1934</v>
      </c>
      <c r="F345" s="90" t="s">
        <v>1860</v>
      </c>
      <c r="G345" s="90" t="s">
        <v>1682</v>
      </c>
      <c r="H345" s="90" t="s">
        <v>1247</v>
      </c>
      <c r="I345" s="90" t="s">
        <v>1861</v>
      </c>
      <c r="J345" s="90" t="s">
        <v>1862</v>
      </c>
      <c r="K345" s="90" t="s">
        <v>1863</v>
      </c>
      <c r="L345" s="90" t="s">
        <v>1864</v>
      </c>
      <c r="M345" s="95" t="s">
        <v>1679</v>
      </c>
      <c r="N345" s="90" t="s">
        <v>1680</v>
      </c>
    </row>
    <row r="346" spans="1:14" ht="16.5">
      <c r="A346" s="90">
        <v>343</v>
      </c>
      <c r="B346" s="47">
        <v>233</v>
      </c>
      <c r="C346" s="50" t="s">
        <v>593</v>
      </c>
      <c r="D346" s="50" t="s">
        <v>1897</v>
      </c>
      <c r="E346" s="50" t="s">
        <v>1934</v>
      </c>
      <c r="F346" s="90">
        <v>50</v>
      </c>
      <c r="G346" s="90">
        <v>30</v>
      </c>
      <c r="H346" s="90">
        <v>10</v>
      </c>
      <c r="I346" s="90">
        <v>30</v>
      </c>
      <c r="J346" s="90">
        <v>40</v>
      </c>
      <c r="K346" s="90">
        <v>60</v>
      </c>
      <c r="L346" s="90">
        <v>65</v>
      </c>
      <c r="M346" s="95">
        <v>1</v>
      </c>
      <c r="N346" s="90">
        <v>3</v>
      </c>
    </row>
    <row r="347" spans="1:14" ht="16.5">
      <c r="A347" s="90">
        <v>344</v>
      </c>
      <c r="B347" s="47">
        <v>237</v>
      </c>
      <c r="C347" s="50" t="s">
        <v>565</v>
      </c>
      <c r="D347" s="50" t="s">
        <v>1897</v>
      </c>
      <c r="E347" s="50" t="s">
        <v>1934</v>
      </c>
      <c r="F347" s="90" t="s">
        <v>1885</v>
      </c>
      <c r="G347" s="90" t="s">
        <v>1682</v>
      </c>
      <c r="H347" s="90" t="s">
        <v>1247</v>
      </c>
      <c r="I347" s="90" t="s">
        <v>1675</v>
      </c>
      <c r="J347" s="90" t="s">
        <v>1676</v>
      </c>
      <c r="K347" s="90" t="s">
        <v>1886</v>
      </c>
      <c r="L347" s="90" t="s">
        <v>1887</v>
      </c>
      <c r="M347" s="95" t="s">
        <v>1679</v>
      </c>
      <c r="N347" s="90" t="s">
        <v>1680</v>
      </c>
    </row>
    <row r="348" spans="1:14" ht="16.5">
      <c r="A348" s="90">
        <v>345</v>
      </c>
      <c r="B348" s="47">
        <v>213</v>
      </c>
      <c r="C348" s="50" t="s">
        <v>599</v>
      </c>
      <c r="D348" s="50" t="s">
        <v>1897</v>
      </c>
      <c r="E348" s="50" t="s">
        <v>1934</v>
      </c>
      <c r="F348" s="90">
        <v>63</v>
      </c>
      <c r="G348" s="90">
        <v>30</v>
      </c>
      <c r="H348" s="90">
        <v>10</v>
      </c>
      <c r="I348" s="90">
        <v>48</v>
      </c>
      <c r="J348" s="90">
        <v>53</v>
      </c>
      <c r="K348" s="90">
        <v>73</v>
      </c>
      <c r="L348" s="90">
        <v>78</v>
      </c>
      <c r="M348" s="95">
        <v>1</v>
      </c>
      <c r="N348" s="90">
        <v>6</v>
      </c>
    </row>
    <row r="349" spans="1:14" ht="16.5">
      <c r="A349" s="90">
        <v>346</v>
      </c>
      <c r="B349" s="47">
        <v>224</v>
      </c>
      <c r="C349" s="50" t="s">
        <v>369</v>
      </c>
      <c r="D349" s="50" t="s">
        <v>1897</v>
      </c>
      <c r="E349" s="50" t="s">
        <v>1934</v>
      </c>
      <c r="F349" s="90" t="s">
        <v>1860</v>
      </c>
      <c r="G349" s="90" t="s">
        <v>1682</v>
      </c>
      <c r="H349" s="90" t="s">
        <v>1247</v>
      </c>
      <c r="I349" s="90" t="s">
        <v>1861</v>
      </c>
      <c r="J349" s="90" t="s">
        <v>1862</v>
      </c>
      <c r="K349" s="90" t="s">
        <v>1863</v>
      </c>
      <c r="L349" s="90" t="s">
        <v>1864</v>
      </c>
      <c r="M349" s="95" t="s">
        <v>1679</v>
      </c>
      <c r="N349" s="90" t="s">
        <v>1680</v>
      </c>
    </row>
    <row r="350" spans="1:14" ht="16.5">
      <c r="A350" s="90">
        <v>347</v>
      </c>
      <c r="B350" s="47">
        <v>229</v>
      </c>
      <c r="C350" s="50" t="s">
        <v>515</v>
      </c>
      <c r="D350" s="50" t="s">
        <v>1897</v>
      </c>
      <c r="E350" s="50" t="s">
        <v>1934</v>
      </c>
      <c r="F350" s="90" t="s">
        <v>1872</v>
      </c>
      <c r="G350" s="90" t="s">
        <v>1682</v>
      </c>
      <c r="H350" s="90" t="s">
        <v>1247</v>
      </c>
      <c r="I350" s="90" t="s">
        <v>1879</v>
      </c>
      <c r="J350" s="90" t="s">
        <v>1880</v>
      </c>
      <c r="K350" s="90" t="s">
        <v>1875</v>
      </c>
      <c r="L350" s="90" t="s">
        <v>1876</v>
      </c>
      <c r="M350" s="95" t="s">
        <v>1679</v>
      </c>
      <c r="N350" s="90" t="s">
        <v>1680</v>
      </c>
    </row>
    <row r="351" spans="1:14" ht="16.5">
      <c r="A351" s="90">
        <v>348</v>
      </c>
      <c r="B351" s="47">
        <v>231</v>
      </c>
      <c r="C351" s="94" t="s">
        <v>591</v>
      </c>
      <c r="D351" s="50" t="s">
        <v>1897</v>
      </c>
      <c r="E351" s="50" t="s">
        <v>1934</v>
      </c>
      <c r="F351" s="90" t="s">
        <v>1872</v>
      </c>
      <c r="G351" s="90" t="s">
        <v>1862</v>
      </c>
      <c r="H351" s="90" t="s">
        <v>1888</v>
      </c>
      <c r="I351" s="90" t="s">
        <v>1862</v>
      </c>
      <c r="J351" s="90" t="s">
        <v>1889</v>
      </c>
      <c r="K351" s="90" t="s">
        <v>1890</v>
      </c>
      <c r="L351" s="90" t="s">
        <v>1868</v>
      </c>
      <c r="M351" s="95" t="s">
        <v>1679</v>
      </c>
      <c r="N351" s="90" t="s">
        <v>1891</v>
      </c>
    </row>
    <row r="352" spans="1:14" ht="16.5">
      <c r="A352" s="90">
        <v>349</v>
      </c>
      <c r="B352" s="47">
        <v>211</v>
      </c>
      <c r="C352" s="50" t="s">
        <v>605</v>
      </c>
      <c r="D352" s="50" t="s">
        <v>1897</v>
      </c>
      <c r="E352" s="50" t="s">
        <v>1934</v>
      </c>
      <c r="F352" s="90">
        <v>50</v>
      </c>
      <c r="G352" s="90">
        <v>30</v>
      </c>
      <c r="H352" s="90">
        <v>10</v>
      </c>
      <c r="I352" s="90">
        <v>33</v>
      </c>
      <c r="J352" s="90">
        <v>38</v>
      </c>
      <c r="K352" s="90">
        <v>58</v>
      </c>
      <c r="L352" s="90">
        <v>63</v>
      </c>
      <c r="M352" s="95">
        <v>1</v>
      </c>
      <c r="N352" s="90">
        <v>3</v>
      </c>
    </row>
    <row r="353" spans="1:14" ht="16.5">
      <c r="A353" s="90">
        <v>350</v>
      </c>
      <c r="B353" s="47">
        <v>212</v>
      </c>
      <c r="C353" s="50" t="s">
        <v>394</v>
      </c>
      <c r="D353" s="50" t="s">
        <v>1897</v>
      </c>
      <c r="E353" s="50" t="s">
        <v>1934</v>
      </c>
      <c r="F353" s="90" t="s">
        <v>1898</v>
      </c>
      <c r="G353" s="90" t="s">
        <v>1862</v>
      </c>
      <c r="H353" s="90" t="s">
        <v>1888</v>
      </c>
      <c r="I353" s="90" t="s">
        <v>1899</v>
      </c>
      <c r="J353" s="90" t="s">
        <v>1889</v>
      </c>
      <c r="K353" s="90" t="s">
        <v>1900</v>
      </c>
      <c r="L353" s="90" t="s">
        <v>1901</v>
      </c>
      <c r="M353" s="95" t="s">
        <v>1679</v>
      </c>
      <c r="N353" s="90" t="s">
        <v>1902</v>
      </c>
    </row>
    <row r="354" spans="1:14" ht="16.5">
      <c r="A354" s="90">
        <v>351</v>
      </c>
      <c r="B354" s="47">
        <v>300</v>
      </c>
      <c r="C354" s="50" t="s">
        <v>1896</v>
      </c>
      <c r="D354" s="50" t="s">
        <v>1897</v>
      </c>
      <c r="E354" s="50" t="s">
        <v>1934</v>
      </c>
      <c r="F354" s="90">
        <v>42</v>
      </c>
      <c r="G354" s="90">
        <v>30</v>
      </c>
      <c r="H354" s="90">
        <v>10</v>
      </c>
      <c r="I354" s="90">
        <v>27</v>
      </c>
      <c r="J354" s="90">
        <v>32</v>
      </c>
      <c r="K354" s="90">
        <v>52</v>
      </c>
      <c r="L354" s="90">
        <v>57</v>
      </c>
      <c r="M354" s="95">
        <v>1</v>
      </c>
      <c r="N354" s="90">
        <v>3</v>
      </c>
    </row>
    <row r="355" spans="1:14" ht="16.5">
      <c r="A355" s="90">
        <v>352</v>
      </c>
      <c r="B355" s="47">
        <v>228</v>
      </c>
      <c r="C355" s="50" t="s">
        <v>948</v>
      </c>
      <c r="D355" s="50" t="s">
        <v>1897</v>
      </c>
      <c r="E355" s="50" t="s">
        <v>1934</v>
      </c>
      <c r="F355" s="90" t="s">
        <v>1872</v>
      </c>
      <c r="G355" s="90" t="s">
        <v>1682</v>
      </c>
      <c r="H355" s="90" t="s">
        <v>1247</v>
      </c>
      <c r="I355" s="90" t="s">
        <v>1873</v>
      </c>
      <c r="J355" s="90" t="s">
        <v>1874</v>
      </c>
      <c r="K355" s="90" t="s">
        <v>1875</v>
      </c>
      <c r="L355" s="90" t="s">
        <v>1876</v>
      </c>
      <c r="M355" s="95" t="s">
        <v>1679</v>
      </c>
      <c r="N355" s="90" t="s">
        <v>1859</v>
      </c>
    </row>
    <row r="356" spans="1:14" ht="16.5">
      <c r="A356" s="90">
        <v>353</v>
      </c>
      <c r="B356" s="47">
        <v>202</v>
      </c>
      <c r="C356" s="50" t="s">
        <v>154</v>
      </c>
      <c r="D356" s="50" t="s">
        <v>1903</v>
      </c>
      <c r="E356" s="50" t="s">
        <v>1934</v>
      </c>
      <c r="F356" s="90" t="s">
        <v>1854</v>
      </c>
      <c r="G356" s="90" t="s">
        <v>1674</v>
      </c>
      <c r="H356" s="90" t="s">
        <v>1247</v>
      </c>
      <c r="I356" s="90" t="s">
        <v>1855</v>
      </c>
      <c r="J356" s="90" t="s">
        <v>1856</v>
      </c>
      <c r="K356" s="90" t="s">
        <v>1857</v>
      </c>
      <c r="L356" s="90" t="s">
        <v>1858</v>
      </c>
      <c r="M356" s="95" t="s">
        <v>1679</v>
      </c>
      <c r="N356" s="90" t="s">
        <v>1680</v>
      </c>
    </row>
    <row r="357" spans="1:14" ht="16.5">
      <c r="A357" s="90">
        <v>354</v>
      </c>
      <c r="B357" s="91">
        <v>203</v>
      </c>
      <c r="C357" s="90" t="s">
        <v>202</v>
      </c>
      <c r="D357" s="50" t="s">
        <v>1903</v>
      </c>
      <c r="E357" s="50" t="s">
        <v>1934</v>
      </c>
      <c r="F357" s="90" t="s">
        <v>1860</v>
      </c>
      <c r="G357" s="90" t="s">
        <v>1682</v>
      </c>
      <c r="H357" s="90" t="s">
        <v>1247</v>
      </c>
      <c r="I357" s="90" t="s">
        <v>1861</v>
      </c>
      <c r="J357" s="90" t="s">
        <v>1862</v>
      </c>
      <c r="K357" s="90" t="s">
        <v>1863</v>
      </c>
      <c r="L357" s="90" t="s">
        <v>1864</v>
      </c>
      <c r="M357" s="95" t="s">
        <v>1679</v>
      </c>
      <c r="N357" s="90" t="s">
        <v>1877</v>
      </c>
    </row>
    <row r="358" spans="1:14" ht="16.5">
      <c r="A358" s="90">
        <v>355</v>
      </c>
      <c r="B358" s="47">
        <v>204</v>
      </c>
      <c r="C358" s="50" t="s">
        <v>226</v>
      </c>
      <c r="D358" s="50" t="s">
        <v>1903</v>
      </c>
      <c r="E358" s="50" t="s">
        <v>1934</v>
      </c>
      <c r="F358" s="90" t="s">
        <v>1854</v>
      </c>
      <c r="G358" s="90" t="s">
        <v>1674</v>
      </c>
      <c r="H358" s="90" t="s">
        <v>1247</v>
      </c>
      <c r="I358" s="90" t="s">
        <v>1855</v>
      </c>
      <c r="J358" s="90" t="s">
        <v>1856</v>
      </c>
      <c r="K358" s="90" t="s">
        <v>1857</v>
      </c>
      <c r="L358" s="90" t="s">
        <v>1858</v>
      </c>
      <c r="M358" s="95" t="s">
        <v>1679</v>
      </c>
      <c r="N358" s="90" t="s">
        <v>1680</v>
      </c>
    </row>
    <row r="359" spans="1:14" ht="16.5">
      <c r="A359" s="90">
        <v>356</v>
      </c>
      <c r="B359" s="47">
        <v>205</v>
      </c>
      <c r="C359" s="50" t="s">
        <v>249</v>
      </c>
      <c r="D359" s="50" t="s">
        <v>1903</v>
      </c>
      <c r="E359" s="50" t="s">
        <v>1934</v>
      </c>
      <c r="F359" s="90" t="s">
        <v>1854</v>
      </c>
      <c r="G359" s="90" t="s">
        <v>1674</v>
      </c>
      <c r="H359" s="90" t="s">
        <v>1247</v>
      </c>
      <c r="I359" s="90" t="s">
        <v>1855</v>
      </c>
      <c r="J359" s="90" t="s">
        <v>1856</v>
      </c>
      <c r="K359" s="90" t="s">
        <v>1857</v>
      </c>
      <c r="L359" s="90" t="s">
        <v>1858</v>
      </c>
      <c r="M359" s="95" t="s">
        <v>1679</v>
      </c>
      <c r="N359" s="90" t="s">
        <v>1859</v>
      </c>
    </row>
    <row r="360" spans="1:14" ht="16.5">
      <c r="A360" s="90">
        <v>357</v>
      </c>
      <c r="B360" s="47">
        <v>207</v>
      </c>
      <c r="C360" s="50" t="s">
        <v>595</v>
      </c>
      <c r="D360" s="50" t="s">
        <v>1903</v>
      </c>
      <c r="E360" s="50" t="s">
        <v>1934</v>
      </c>
      <c r="F360" s="90">
        <v>50</v>
      </c>
      <c r="G360" s="90">
        <v>30</v>
      </c>
      <c r="H360" s="90">
        <v>10</v>
      </c>
      <c r="I360" s="90">
        <v>30</v>
      </c>
      <c r="J360" s="90">
        <v>40</v>
      </c>
      <c r="K360" s="90">
        <v>60</v>
      </c>
      <c r="L360" s="90">
        <v>65</v>
      </c>
      <c r="M360" s="95">
        <v>1</v>
      </c>
      <c r="N360" s="90">
        <v>3</v>
      </c>
    </row>
    <row r="361" spans="1:14" ht="17.25" customHeight="1">
      <c r="A361" s="90">
        <v>358</v>
      </c>
      <c r="B361" s="96">
        <v>208</v>
      </c>
      <c r="C361" s="97" t="s">
        <v>589</v>
      </c>
      <c r="D361" s="97" t="s">
        <v>1903</v>
      </c>
      <c r="E361" s="97" t="s">
        <v>1934</v>
      </c>
      <c r="F361" s="97">
        <v>63</v>
      </c>
      <c r="G361" s="97">
        <v>50</v>
      </c>
      <c r="H361" s="97">
        <v>1</v>
      </c>
      <c r="I361" s="97">
        <v>30</v>
      </c>
      <c r="J361" s="97">
        <v>45</v>
      </c>
      <c r="K361" s="97">
        <v>73</v>
      </c>
      <c r="L361" s="97">
        <v>78</v>
      </c>
      <c r="M361" s="98">
        <v>1</v>
      </c>
      <c r="N361" s="97">
        <v>10</v>
      </c>
    </row>
    <row r="362" spans="1:14" ht="16.5">
      <c r="A362" s="90">
        <v>359</v>
      </c>
      <c r="B362" s="47">
        <v>215</v>
      </c>
      <c r="C362" s="50" t="s">
        <v>418</v>
      </c>
      <c r="D362" s="50" t="s">
        <v>1903</v>
      </c>
      <c r="E362" s="50" t="s">
        <v>1934</v>
      </c>
      <c r="F362" s="90" t="s">
        <v>1865</v>
      </c>
      <c r="G362" s="90" t="s">
        <v>1682</v>
      </c>
      <c r="H362" s="90" t="s">
        <v>1247</v>
      </c>
      <c r="I362" s="90" t="s">
        <v>1866</v>
      </c>
      <c r="J362" s="90" t="s">
        <v>1867</v>
      </c>
      <c r="K362" s="90" t="s">
        <v>1868</v>
      </c>
      <c r="L362" s="90" t="s">
        <v>1869</v>
      </c>
      <c r="M362" s="95" t="s">
        <v>1679</v>
      </c>
      <c r="N362" s="90" t="s">
        <v>1870</v>
      </c>
    </row>
    <row r="363" spans="1:14" ht="16.5">
      <c r="A363" s="90">
        <v>360</v>
      </c>
      <c r="B363" s="47">
        <v>222</v>
      </c>
      <c r="C363" s="50" t="s">
        <v>442</v>
      </c>
      <c r="D363" s="50" t="s">
        <v>1903</v>
      </c>
      <c r="E363" s="50" t="s">
        <v>1934</v>
      </c>
      <c r="F363" s="90" t="s">
        <v>1854</v>
      </c>
      <c r="G363" s="90" t="s">
        <v>1871</v>
      </c>
      <c r="H363" s="90" t="s">
        <v>1247</v>
      </c>
      <c r="I363" s="90" t="s">
        <v>1855</v>
      </c>
      <c r="J363" s="90" t="s">
        <v>1856</v>
      </c>
      <c r="K363" s="90" t="s">
        <v>1857</v>
      </c>
      <c r="L363" s="90" t="s">
        <v>1858</v>
      </c>
      <c r="M363" s="95" t="s">
        <v>1679</v>
      </c>
      <c r="N363" s="90" t="s">
        <v>1859</v>
      </c>
    </row>
    <row r="364" spans="1:14" ht="16.5">
      <c r="A364" s="90">
        <v>361</v>
      </c>
      <c r="B364" s="47">
        <v>223</v>
      </c>
      <c r="C364" s="50" t="s">
        <v>918</v>
      </c>
      <c r="D364" s="50" t="s">
        <v>1903</v>
      </c>
      <c r="E364" s="50" t="s">
        <v>1934</v>
      </c>
      <c r="F364" s="90">
        <v>28</v>
      </c>
      <c r="G364" s="90">
        <v>30</v>
      </c>
      <c r="H364" s="90">
        <v>10</v>
      </c>
      <c r="I364" s="90">
        <v>17</v>
      </c>
      <c r="J364" s="90">
        <v>22</v>
      </c>
      <c r="K364" s="90">
        <v>33</v>
      </c>
      <c r="L364" s="90">
        <v>38</v>
      </c>
      <c r="M364" s="95">
        <v>1</v>
      </c>
      <c r="N364" s="90">
        <v>2</v>
      </c>
    </row>
    <row r="365" spans="1:14" ht="16.5">
      <c r="A365" s="90">
        <v>362</v>
      </c>
      <c r="B365" s="47">
        <v>226</v>
      </c>
      <c r="C365" s="92" t="s">
        <v>469</v>
      </c>
      <c r="D365" s="50" t="s">
        <v>1903</v>
      </c>
      <c r="E365" s="50" t="s">
        <v>1934</v>
      </c>
      <c r="F365" s="90" t="s">
        <v>1872</v>
      </c>
      <c r="G365" s="90" t="s">
        <v>1682</v>
      </c>
      <c r="H365" s="90" t="s">
        <v>1247</v>
      </c>
      <c r="I365" s="90" t="s">
        <v>1873</v>
      </c>
      <c r="J365" s="90" t="s">
        <v>1874</v>
      </c>
      <c r="K365" s="90" t="s">
        <v>1875</v>
      </c>
      <c r="L365" s="90" t="s">
        <v>1876</v>
      </c>
      <c r="M365" s="95" t="s">
        <v>1679</v>
      </c>
      <c r="N365" s="90" t="s">
        <v>1877</v>
      </c>
    </row>
    <row r="366" spans="1:14" ht="16.5">
      <c r="A366" s="90">
        <v>363</v>
      </c>
      <c r="B366" s="91">
        <v>227</v>
      </c>
      <c r="C366" s="93" t="s">
        <v>493</v>
      </c>
      <c r="D366" s="50" t="s">
        <v>1903</v>
      </c>
      <c r="E366" s="50" t="s">
        <v>1934</v>
      </c>
      <c r="F366" s="90" t="s">
        <v>1872</v>
      </c>
      <c r="G366" s="90" t="s">
        <v>1682</v>
      </c>
      <c r="H366" s="90" t="s">
        <v>1247</v>
      </c>
      <c r="I366" s="90" t="s">
        <v>1873</v>
      </c>
      <c r="J366" s="90" t="s">
        <v>1874</v>
      </c>
      <c r="K366" s="90" t="s">
        <v>1875</v>
      </c>
      <c r="L366" s="90" t="s">
        <v>1876</v>
      </c>
      <c r="M366" s="95" t="s">
        <v>1679</v>
      </c>
      <c r="N366" s="90" t="s">
        <v>1870</v>
      </c>
    </row>
    <row r="367" spans="1:14" ht="16.5">
      <c r="A367" s="90">
        <v>364</v>
      </c>
      <c r="B367" s="47">
        <v>234</v>
      </c>
      <c r="C367" s="50" t="s">
        <v>1878</v>
      </c>
      <c r="D367" s="50" t="s">
        <v>1903</v>
      </c>
      <c r="E367" s="50" t="s">
        <v>1934</v>
      </c>
      <c r="F367" s="90" t="s">
        <v>1854</v>
      </c>
      <c r="G367" s="90" t="s">
        <v>1674</v>
      </c>
      <c r="H367" s="90" t="s">
        <v>1247</v>
      </c>
      <c r="I367" s="90" t="s">
        <v>1855</v>
      </c>
      <c r="J367" s="90" t="s">
        <v>1856</v>
      </c>
      <c r="K367" s="90" t="s">
        <v>1857</v>
      </c>
      <c r="L367" s="90" t="s">
        <v>1858</v>
      </c>
      <c r="M367" s="95" t="s">
        <v>1679</v>
      </c>
      <c r="N367" s="90" t="s">
        <v>1859</v>
      </c>
    </row>
    <row r="368" spans="1:14" ht="16.5">
      <c r="A368" s="90">
        <v>365</v>
      </c>
      <c r="B368" s="47">
        <v>235</v>
      </c>
      <c r="C368" s="50" t="s">
        <v>601</v>
      </c>
      <c r="D368" s="50" t="s">
        <v>1903</v>
      </c>
      <c r="E368" s="50" t="s">
        <v>1934</v>
      </c>
      <c r="F368" s="90">
        <v>50</v>
      </c>
      <c r="G368" s="90">
        <v>30</v>
      </c>
      <c r="H368" s="90">
        <v>10</v>
      </c>
      <c r="I368" s="90">
        <v>30</v>
      </c>
      <c r="J368" s="90">
        <v>40</v>
      </c>
      <c r="K368" s="90">
        <v>60</v>
      </c>
      <c r="L368" s="90">
        <v>65</v>
      </c>
      <c r="M368" s="95">
        <v>1</v>
      </c>
      <c r="N368" s="90">
        <v>3</v>
      </c>
    </row>
    <row r="369" spans="1:14" ht="16.5">
      <c r="A369" s="90">
        <v>366</v>
      </c>
      <c r="B369" s="47">
        <v>236</v>
      </c>
      <c r="C369" s="50" t="s">
        <v>1688</v>
      </c>
      <c r="D369" s="50" t="s">
        <v>1903</v>
      </c>
      <c r="E369" s="50" t="s">
        <v>1934</v>
      </c>
      <c r="F369" s="90">
        <v>50</v>
      </c>
      <c r="G369" s="90">
        <v>30</v>
      </c>
      <c r="H369" s="90">
        <v>10</v>
      </c>
      <c r="I369" s="90">
        <v>30</v>
      </c>
      <c r="J369" s="90">
        <v>40</v>
      </c>
      <c r="K369" s="90">
        <v>60</v>
      </c>
      <c r="L369" s="90">
        <v>65</v>
      </c>
      <c r="M369" s="95">
        <v>1</v>
      </c>
      <c r="N369" s="90">
        <v>3</v>
      </c>
    </row>
    <row r="370" spans="1:14" ht="16.5">
      <c r="A370" s="90">
        <v>367</v>
      </c>
      <c r="B370" s="91">
        <v>201</v>
      </c>
      <c r="C370" s="90" t="s">
        <v>66</v>
      </c>
      <c r="D370" s="50" t="s">
        <v>1903</v>
      </c>
      <c r="E370" s="50" t="s">
        <v>1934</v>
      </c>
      <c r="F370" s="90" t="s">
        <v>1872</v>
      </c>
      <c r="G370" s="90" t="s">
        <v>1682</v>
      </c>
      <c r="H370" s="90" t="s">
        <v>1247</v>
      </c>
      <c r="I370" s="90" t="s">
        <v>1879</v>
      </c>
      <c r="J370" s="90" t="s">
        <v>1880</v>
      </c>
      <c r="K370" s="90" t="s">
        <v>1875</v>
      </c>
      <c r="L370" s="90" t="s">
        <v>1876</v>
      </c>
      <c r="M370" s="95" t="s">
        <v>1679</v>
      </c>
      <c r="N370" s="90" t="s">
        <v>1680</v>
      </c>
    </row>
    <row r="371" spans="1:14" ht="16.5">
      <c r="A371" s="90">
        <v>368</v>
      </c>
      <c r="B371" s="91">
        <v>206</v>
      </c>
      <c r="C371" s="90" t="s">
        <v>293</v>
      </c>
      <c r="D371" s="50" t="s">
        <v>1903</v>
      </c>
      <c r="E371" s="50" t="s">
        <v>1934</v>
      </c>
      <c r="F371" s="90" t="s">
        <v>1860</v>
      </c>
      <c r="G371" s="90" t="s">
        <v>1682</v>
      </c>
      <c r="H371" s="90" t="s">
        <v>1247</v>
      </c>
      <c r="I371" s="90" t="s">
        <v>1861</v>
      </c>
      <c r="J371" s="90" t="s">
        <v>1862</v>
      </c>
      <c r="K371" s="90" t="s">
        <v>1863</v>
      </c>
      <c r="L371" s="90" t="s">
        <v>1864</v>
      </c>
      <c r="M371" s="95" t="s">
        <v>1679</v>
      </c>
      <c r="N371" s="90" t="s">
        <v>1680</v>
      </c>
    </row>
    <row r="372" spans="1:14" ht="16.5">
      <c r="A372" s="90">
        <v>369</v>
      </c>
      <c r="B372" s="47">
        <v>209</v>
      </c>
      <c r="C372" s="50" t="s">
        <v>344</v>
      </c>
      <c r="D372" s="50" t="s">
        <v>1903</v>
      </c>
      <c r="E372" s="50" t="s">
        <v>1934</v>
      </c>
      <c r="F372" s="90" t="s">
        <v>1860</v>
      </c>
      <c r="G372" s="90" t="s">
        <v>1682</v>
      </c>
      <c r="H372" s="90" t="s">
        <v>1247</v>
      </c>
      <c r="I372" s="90" t="s">
        <v>1861</v>
      </c>
      <c r="J372" s="90" t="s">
        <v>1862</v>
      </c>
      <c r="K372" s="90" t="s">
        <v>1863</v>
      </c>
      <c r="L372" s="90" t="s">
        <v>1864</v>
      </c>
      <c r="M372" s="95" t="s">
        <v>1679</v>
      </c>
      <c r="N372" s="90" t="s">
        <v>1680</v>
      </c>
    </row>
    <row r="373" spans="1:14" ht="16.5">
      <c r="A373" s="90">
        <v>370</v>
      </c>
      <c r="B373" s="47">
        <v>230</v>
      </c>
      <c r="C373" s="50" t="s">
        <v>539</v>
      </c>
      <c r="D373" s="50" t="s">
        <v>1903</v>
      </c>
      <c r="E373" s="50" t="s">
        <v>1934</v>
      </c>
      <c r="F373" s="90" t="s">
        <v>1881</v>
      </c>
      <c r="G373" s="90" t="s">
        <v>1682</v>
      </c>
      <c r="H373" s="90" t="s">
        <v>1247</v>
      </c>
      <c r="I373" s="90" t="s">
        <v>1683</v>
      </c>
      <c r="J373" s="90" t="s">
        <v>1684</v>
      </c>
      <c r="K373" s="90" t="s">
        <v>1882</v>
      </c>
      <c r="L373" s="90" t="s">
        <v>1883</v>
      </c>
      <c r="M373" s="95" t="s">
        <v>1679</v>
      </c>
      <c r="N373" s="90" t="s">
        <v>1884</v>
      </c>
    </row>
    <row r="374" spans="1:14" ht="16.5">
      <c r="A374" s="90">
        <v>371</v>
      </c>
      <c r="B374" s="91">
        <v>232</v>
      </c>
      <c r="C374" s="90" t="s">
        <v>319</v>
      </c>
      <c r="D374" s="50" t="s">
        <v>1903</v>
      </c>
      <c r="E374" s="50" t="s">
        <v>1934</v>
      </c>
      <c r="F374" s="90" t="s">
        <v>1860</v>
      </c>
      <c r="G374" s="90" t="s">
        <v>1682</v>
      </c>
      <c r="H374" s="90" t="s">
        <v>1247</v>
      </c>
      <c r="I374" s="90" t="s">
        <v>1861</v>
      </c>
      <c r="J374" s="90" t="s">
        <v>1862</v>
      </c>
      <c r="K374" s="90" t="s">
        <v>1863</v>
      </c>
      <c r="L374" s="90" t="s">
        <v>1864</v>
      </c>
      <c r="M374" s="95" t="s">
        <v>1679</v>
      </c>
      <c r="N374" s="90" t="s">
        <v>1680</v>
      </c>
    </row>
    <row r="375" spans="1:14" ht="16.5">
      <c r="A375" s="90">
        <v>372</v>
      </c>
      <c r="B375" s="47">
        <v>233</v>
      </c>
      <c r="C375" s="50" t="s">
        <v>593</v>
      </c>
      <c r="D375" s="50" t="s">
        <v>1903</v>
      </c>
      <c r="E375" s="50" t="s">
        <v>1934</v>
      </c>
      <c r="F375" s="90">
        <v>50</v>
      </c>
      <c r="G375" s="90">
        <v>30</v>
      </c>
      <c r="H375" s="90">
        <v>10</v>
      </c>
      <c r="I375" s="90">
        <v>30</v>
      </c>
      <c r="J375" s="90">
        <v>40</v>
      </c>
      <c r="K375" s="90">
        <v>60</v>
      </c>
      <c r="L375" s="90">
        <v>65</v>
      </c>
      <c r="M375" s="95">
        <v>1</v>
      </c>
      <c r="N375" s="90">
        <v>3</v>
      </c>
    </row>
    <row r="376" spans="1:14" ht="16.5">
      <c r="A376" s="90">
        <v>373</v>
      </c>
      <c r="B376" s="47">
        <v>237</v>
      </c>
      <c r="C376" s="50" t="s">
        <v>565</v>
      </c>
      <c r="D376" s="50" t="s">
        <v>1903</v>
      </c>
      <c r="E376" s="50" t="s">
        <v>1934</v>
      </c>
      <c r="F376" s="90" t="s">
        <v>1885</v>
      </c>
      <c r="G376" s="90" t="s">
        <v>1682</v>
      </c>
      <c r="H376" s="90" t="s">
        <v>1247</v>
      </c>
      <c r="I376" s="90" t="s">
        <v>1675</v>
      </c>
      <c r="J376" s="90" t="s">
        <v>1676</v>
      </c>
      <c r="K376" s="90" t="s">
        <v>1886</v>
      </c>
      <c r="L376" s="90" t="s">
        <v>1887</v>
      </c>
      <c r="M376" s="95" t="s">
        <v>1679</v>
      </c>
      <c r="N376" s="90" t="s">
        <v>1680</v>
      </c>
    </row>
    <row r="377" spans="1:14" ht="16.5">
      <c r="A377" s="90">
        <v>374</v>
      </c>
      <c r="B377" s="47">
        <v>213</v>
      </c>
      <c r="C377" s="50" t="s">
        <v>599</v>
      </c>
      <c r="D377" s="50" t="s">
        <v>1903</v>
      </c>
      <c r="E377" s="50" t="s">
        <v>1934</v>
      </c>
      <c r="F377" s="90">
        <v>63</v>
      </c>
      <c r="G377" s="90">
        <v>30</v>
      </c>
      <c r="H377" s="90">
        <v>10</v>
      </c>
      <c r="I377" s="90">
        <v>48</v>
      </c>
      <c r="J377" s="90">
        <v>53</v>
      </c>
      <c r="K377" s="90">
        <v>73</v>
      </c>
      <c r="L377" s="90">
        <v>78</v>
      </c>
      <c r="M377" s="95">
        <v>1</v>
      </c>
      <c r="N377" s="90">
        <v>6</v>
      </c>
    </row>
    <row r="378" spans="1:14" ht="16.5">
      <c r="A378" s="90">
        <v>375</v>
      </c>
      <c r="B378" s="47">
        <v>224</v>
      </c>
      <c r="C378" s="50" t="s">
        <v>369</v>
      </c>
      <c r="D378" s="50" t="s">
        <v>1903</v>
      </c>
      <c r="E378" s="50" t="s">
        <v>1934</v>
      </c>
      <c r="F378" s="90" t="s">
        <v>1860</v>
      </c>
      <c r="G378" s="90" t="s">
        <v>1682</v>
      </c>
      <c r="H378" s="90" t="s">
        <v>1247</v>
      </c>
      <c r="I378" s="90" t="s">
        <v>1861</v>
      </c>
      <c r="J378" s="90" t="s">
        <v>1862</v>
      </c>
      <c r="K378" s="90" t="s">
        <v>1863</v>
      </c>
      <c r="L378" s="90" t="s">
        <v>1864</v>
      </c>
      <c r="M378" s="95" t="s">
        <v>1679</v>
      </c>
      <c r="N378" s="90" t="s">
        <v>1680</v>
      </c>
    </row>
    <row r="379" spans="1:14" ht="16.5">
      <c r="A379" s="90">
        <v>376</v>
      </c>
      <c r="B379" s="47">
        <v>229</v>
      </c>
      <c r="C379" s="50" t="s">
        <v>515</v>
      </c>
      <c r="D379" s="50" t="s">
        <v>1903</v>
      </c>
      <c r="E379" s="50" t="s">
        <v>1934</v>
      </c>
      <c r="F379" s="90" t="s">
        <v>1872</v>
      </c>
      <c r="G379" s="90" t="s">
        <v>1682</v>
      </c>
      <c r="H379" s="90" t="s">
        <v>1247</v>
      </c>
      <c r="I379" s="90" t="s">
        <v>1879</v>
      </c>
      <c r="J379" s="90" t="s">
        <v>1880</v>
      </c>
      <c r="K379" s="90" t="s">
        <v>1875</v>
      </c>
      <c r="L379" s="90" t="s">
        <v>1876</v>
      </c>
      <c r="M379" s="95" t="s">
        <v>1679</v>
      </c>
      <c r="N379" s="90" t="s">
        <v>1680</v>
      </c>
    </row>
    <row r="380" spans="1:14" ht="16.5">
      <c r="A380" s="90">
        <v>377</v>
      </c>
      <c r="B380" s="47">
        <v>231</v>
      </c>
      <c r="C380" s="94" t="s">
        <v>591</v>
      </c>
      <c r="D380" s="50" t="s">
        <v>1903</v>
      </c>
      <c r="E380" s="50" t="s">
        <v>1934</v>
      </c>
      <c r="F380" s="90" t="s">
        <v>1872</v>
      </c>
      <c r="G380" s="90" t="s">
        <v>1862</v>
      </c>
      <c r="H380" s="90" t="s">
        <v>1888</v>
      </c>
      <c r="I380" s="90" t="s">
        <v>1862</v>
      </c>
      <c r="J380" s="90" t="s">
        <v>1889</v>
      </c>
      <c r="K380" s="90" t="s">
        <v>1890</v>
      </c>
      <c r="L380" s="90" t="s">
        <v>1868</v>
      </c>
      <c r="M380" s="95" t="s">
        <v>1679</v>
      </c>
      <c r="N380" s="90" t="s">
        <v>1891</v>
      </c>
    </row>
    <row r="381" spans="1:14" ht="16.5">
      <c r="A381" s="90">
        <v>378</v>
      </c>
      <c r="B381" s="47">
        <v>211</v>
      </c>
      <c r="C381" s="50" t="s">
        <v>605</v>
      </c>
      <c r="D381" s="50" t="s">
        <v>1903</v>
      </c>
      <c r="E381" s="50" t="s">
        <v>1934</v>
      </c>
      <c r="F381" s="90">
        <v>50</v>
      </c>
      <c r="G381" s="90">
        <v>30</v>
      </c>
      <c r="H381" s="90">
        <v>10</v>
      </c>
      <c r="I381" s="90">
        <v>33</v>
      </c>
      <c r="J381" s="90">
        <v>38</v>
      </c>
      <c r="K381" s="90">
        <v>58</v>
      </c>
      <c r="L381" s="90">
        <v>63</v>
      </c>
      <c r="M381" s="95">
        <v>1</v>
      </c>
      <c r="N381" s="90">
        <v>3</v>
      </c>
    </row>
    <row r="382" spans="1:14" ht="16.5">
      <c r="A382" s="90">
        <v>379</v>
      </c>
      <c r="B382" s="47">
        <v>212</v>
      </c>
      <c r="C382" s="50" t="s">
        <v>394</v>
      </c>
      <c r="D382" s="50" t="s">
        <v>1903</v>
      </c>
      <c r="E382" s="50" t="s">
        <v>1934</v>
      </c>
      <c r="F382" s="90" t="s">
        <v>1898</v>
      </c>
      <c r="G382" s="90" t="s">
        <v>1862</v>
      </c>
      <c r="H382" s="90" t="s">
        <v>1888</v>
      </c>
      <c r="I382" s="90" t="s">
        <v>1899</v>
      </c>
      <c r="J382" s="90" t="s">
        <v>1889</v>
      </c>
      <c r="K382" s="90" t="s">
        <v>1900</v>
      </c>
      <c r="L382" s="90" t="s">
        <v>1901</v>
      </c>
      <c r="M382" s="95" t="s">
        <v>1679</v>
      </c>
      <c r="N382" s="90" t="s">
        <v>1902</v>
      </c>
    </row>
    <row r="383" spans="1:14" ht="16.5">
      <c r="A383" s="90">
        <v>380</v>
      </c>
      <c r="B383" s="47">
        <v>300</v>
      </c>
      <c r="C383" s="50" t="s">
        <v>1896</v>
      </c>
      <c r="D383" s="50" t="s">
        <v>1903</v>
      </c>
      <c r="E383" s="50" t="s">
        <v>1934</v>
      </c>
      <c r="F383" s="90">
        <v>42</v>
      </c>
      <c r="G383" s="90">
        <v>30</v>
      </c>
      <c r="H383" s="90">
        <v>10</v>
      </c>
      <c r="I383" s="90">
        <v>27</v>
      </c>
      <c r="J383" s="90">
        <v>32</v>
      </c>
      <c r="K383" s="90">
        <v>52</v>
      </c>
      <c r="L383" s="90">
        <v>57</v>
      </c>
      <c r="M383" s="95">
        <v>1</v>
      </c>
      <c r="N383" s="90">
        <v>3</v>
      </c>
    </row>
    <row r="384" spans="1:14" ht="16.5">
      <c r="A384" s="90">
        <v>381</v>
      </c>
      <c r="B384" s="47">
        <v>228</v>
      </c>
      <c r="C384" s="50" t="s">
        <v>948</v>
      </c>
      <c r="D384" s="50" t="s">
        <v>1903</v>
      </c>
      <c r="E384" s="50" t="s">
        <v>1934</v>
      </c>
      <c r="F384" s="90" t="s">
        <v>1872</v>
      </c>
      <c r="G384" s="90" t="s">
        <v>1682</v>
      </c>
      <c r="H384" s="90" t="s">
        <v>1247</v>
      </c>
      <c r="I384" s="90" t="s">
        <v>1873</v>
      </c>
      <c r="J384" s="90" t="s">
        <v>1874</v>
      </c>
      <c r="K384" s="90" t="s">
        <v>1875</v>
      </c>
      <c r="L384" s="90" t="s">
        <v>1876</v>
      </c>
      <c r="M384" s="95" t="s">
        <v>1679</v>
      </c>
      <c r="N384" s="90" t="s">
        <v>1859</v>
      </c>
    </row>
    <row r="385" spans="1:14" ht="16.5">
      <c r="A385" s="90">
        <v>382</v>
      </c>
      <c r="B385" s="47">
        <v>202</v>
      </c>
      <c r="C385" s="50" t="s">
        <v>154</v>
      </c>
      <c r="D385" s="50" t="s">
        <v>1905</v>
      </c>
      <c r="E385" s="50" t="s">
        <v>1934</v>
      </c>
      <c r="F385" s="90" t="s">
        <v>1854</v>
      </c>
      <c r="G385" s="90" t="s">
        <v>1674</v>
      </c>
      <c r="H385" s="90" t="s">
        <v>1247</v>
      </c>
      <c r="I385" s="90" t="s">
        <v>1855</v>
      </c>
      <c r="J385" s="90" t="s">
        <v>1856</v>
      </c>
      <c r="K385" s="90" t="s">
        <v>1857</v>
      </c>
      <c r="L385" s="90" t="s">
        <v>1858</v>
      </c>
      <c r="M385" s="95" t="s">
        <v>1679</v>
      </c>
      <c r="N385" s="90" t="s">
        <v>1680</v>
      </c>
    </row>
    <row r="386" spans="1:14" ht="16.5">
      <c r="A386" s="90">
        <v>383</v>
      </c>
      <c r="B386" s="91">
        <v>203</v>
      </c>
      <c r="C386" s="90" t="s">
        <v>202</v>
      </c>
      <c r="D386" s="50" t="s">
        <v>1905</v>
      </c>
      <c r="E386" s="50" t="s">
        <v>1934</v>
      </c>
      <c r="F386" s="90" t="s">
        <v>1881</v>
      </c>
      <c r="G386" s="90" t="s">
        <v>1682</v>
      </c>
      <c r="H386" s="90" t="s">
        <v>1247</v>
      </c>
      <c r="I386" s="90" t="s">
        <v>1683</v>
      </c>
      <c r="J386" s="90" t="s">
        <v>1684</v>
      </c>
      <c r="K386" s="90" t="s">
        <v>1882</v>
      </c>
      <c r="L386" s="90" t="s">
        <v>1883</v>
      </c>
      <c r="M386" s="95" t="s">
        <v>1679</v>
      </c>
      <c r="N386" s="90" t="s">
        <v>1877</v>
      </c>
    </row>
    <row r="387" spans="1:14" ht="16.5">
      <c r="A387" s="90">
        <v>384</v>
      </c>
      <c r="B387" s="47">
        <v>204</v>
      </c>
      <c r="C387" s="50" t="s">
        <v>226</v>
      </c>
      <c r="D387" s="50" t="s">
        <v>1905</v>
      </c>
      <c r="E387" s="50" t="s">
        <v>1934</v>
      </c>
      <c r="F387" s="90" t="s">
        <v>1854</v>
      </c>
      <c r="G387" s="90" t="s">
        <v>1674</v>
      </c>
      <c r="H387" s="90" t="s">
        <v>1247</v>
      </c>
      <c r="I387" s="90" t="s">
        <v>1855</v>
      </c>
      <c r="J387" s="90" t="s">
        <v>1856</v>
      </c>
      <c r="K387" s="90" t="s">
        <v>1857</v>
      </c>
      <c r="L387" s="90" t="s">
        <v>1858</v>
      </c>
      <c r="M387" s="95" t="s">
        <v>1679</v>
      </c>
      <c r="N387" s="90" t="s">
        <v>1680</v>
      </c>
    </row>
    <row r="388" spans="1:14" ht="16.5">
      <c r="A388" s="90">
        <v>385</v>
      </c>
      <c r="B388" s="47">
        <v>205</v>
      </c>
      <c r="C388" s="50" t="s">
        <v>249</v>
      </c>
      <c r="D388" s="50" t="s">
        <v>1905</v>
      </c>
      <c r="E388" s="50" t="s">
        <v>1934</v>
      </c>
      <c r="F388" s="90" t="s">
        <v>1854</v>
      </c>
      <c r="G388" s="90" t="s">
        <v>1674</v>
      </c>
      <c r="H388" s="90" t="s">
        <v>1247</v>
      </c>
      <c r="I388" s="90" t="s">
        <v>1855</v>
      </c>
      <c r="J388" s="90" t="s">
        <v>1856</v>
      </c>
      <c r="K388" s="90" t="s">
        <v>1857</v>
      </c>
      <c r="L388" s="90" t="s">
        <v>1858</v>
      </c>
      <c r="M388" s="95" t="s">
        <v>1679</v>
      </c>
      <c r="N388" s="90" t="s">
        <v>1859</v>
      </c>
    </row>
    <row r="389" spans="1:14" ht="16.5">
      <c r="A389" s="90">
        <v>386</v>
      </c>
      <c r="B389" s="47">
        <v>207</v>
      </c>
      <c r="C389" s="50" t="s">
        <v>595</v>
      </c>
      <c r="D389" s="50" t="s">
        <v>1905</v>
      </c>
      <c r="E389" s="50" t="s">
        <v>1934</v>
      </c>
      <c r="F389" s="90">
        <v>50</v>
      </c>
      <c r="G389" s="90">
        <v>30</v>
      </c>
      <c r="H389" s="90">
        <v>10</v>
      </c>
      <c r="I389" s="90">
        <v>30</v>
      </c>
      <c r="J389" s="90">
        <v>40</v>
      </c>
      <c r="K389" s="90">
        <v>60</v>
      </c>
      <c r="L389" s="90">
        <v>65</v>
      </c>
      <c r="M389" s="95">
        <v>1</v>
      </c>
      <c r="N389" s="90">
        <v>3</v>
      </c>
    </row>
    <row r="390" spans="1:14" ht="16.5">
      <c r="A390" s="90">
        <v>387</v>
      </c>
      <c r="B390" s="96">
        <v>208</v>
      </c>
      <c r="C390" s="97" t="s">
        <v>589</v>
      </c>
      <c r="D390" s="97" t="s">
        <v>1905</v>
      </c>
      <c r="E390" s="97" t="s">
        <v>1934</v>
      </c>
      <c r="F390" s="97">
        <v>63</v>
      </c>
      <c r="G390" s="97">
        <v>50</v>
      </c>
      <c r="H390" s="97">
        <v>1</v>
      </c>
      <c r="I390" s="97">
        <v>30</v>
      </c>
      <c r="J390" s="97">
        <v>45</v>
      </c>
      <c r="K390" s="97">
        <v>73</v>
      </c>
      <c r="L390" s="97">
        <v>78</v>
      </c>
      <c r="M390" s="98">
        <v>1</v>
      </c>
      <c r="N390" s="97">
        <v>12</v>
      </c>
    </row>
    <row r="391" spans="1:14" ht="16.5">
      <c r="A391" s="90">
        <v>388</v>
      </c>
      <c r="B391" s="47">
        <v>215</v>
      </c>
      <c r="C391" s="50" t="s">
        <v>418</v>
      </c>
      <c r="D391" s="50" t="s">
        <v>1905</v>
      </c>
      <c r="E391" s="50" t="s">
        <v>1934</v>
      </c>
      <c r="F391" s="90" t="s">
        <v>1907</v>
      </c>
      <c r="G391" s="90" t="s">
        <v>1682</v>
      </c>
      <c r="H391" s="90" t="s">
        <v>1247</v>
      </c>
      <c r="I391" s="90" t="s">
        <v>1908</v>
      </c>
      <c r="J391" s="90" t="s">
        <v>1909</v>
      </c>
      <c r="K391" s="90" t="s">
        <v>1910</v>
      </c>
      <c r="L391" s="90" t="s">
        <v>1911</v>
      </c>
      <c r="M391" s="95" t="s">
        <v>1679</v>
      </c>
      <c r="N391" s="90" t="s">
        <v>1906</v>
      </c>
    </row>
    <row r="392" spans="1:14" ht="16.5">
      <c r="A392" s="90">
        <v>389</v>
      </c>
      <c r="B392" s="47">
        <v>222</v>
      </c>
      <c r="C392" s="50" t="s">
        <v>442</v>
      </c>
      <c r="D392" s="50" t="s">
        <v>1905</v>
      </c>
      <c r="E392" s="50" t="s">
        <v>1934</v>
      </c>
      <c r="F392" s="90" t="s">
        <v>1854</v>
      </c>
      <c r="G392" s="90" t="s">
        <v>1871</v>
      </c>
      <c r="H392" s="90" t="s">
        <v>1247</v>
      </c>
      <c r="I392" s="90" t="s">
        <v>1855</v>
      </c>
      <c r="J392" s="90" t="s">
        <v>1856</v>
      </c>
      <c r="K392" s="90" t="s">
        <v>1857</v>
      </c>
      <c r="L392" s="90" t="s">
        <v>1858</v>
      </c>
      <c r="M392" s="95" t="s">
        <v>1679</v>
      </c>
      <c r="N392" s="90" t="s">
        <v>1859</v>
      </c>
    </row>
    <row r="393" spans="1:14" ht="16.5">
      <c r="A393" s="90">
        <v>390</v>
      </c>
      <c r="B393" s="47">
        <v>223</v>
      </c>
      <c r="C393" s="50" t="s">
        <v>918</v>
      </c>
      <c r="D393" s="50" t="s">
        <v>1905</v>
      </c>
      <c r="E393" s="50" t="s">
        <v>1934</v>
      </c>
      <c r="F393" s="90">
        <v>28</v>
      </c>
      <c r="G393" s="90">
        <v>30</v>
      </c>
      <c r="H393" s="90">
        <v>10</v>
      </c>
      <c r="I393" s="90">
        <v>17</v>
      </c>
      <c r="J393" s="90">
        <v>22</v>
      </c>
      <c r="K393" s="90">
        <v>33</v>
      </c>
      <c r="L393" s="90">
        <v>38</v>
      </c>
      <c r="M393" s="95">
        <v>1</v>
      </c>
      <c r="N393" s="90">
        <v>2</v>
      </c>
    </row>
    <row r="394" spans="1:14" ht="16.5">
      <c r="A394" s="90">
        <v>391</v>
      </c>
      <c r="B394" s="47">
        <v>226</v>
      </c>
      <c r="C394" s="92" t="s">
        <v>469</v>
      </c>
      <c r="D394" s="50" t="s">
        <v>1905</v>
      </c>
      <c r="E394" s="50" t="s">
        <v>1934</v>
      </c>
      <c r="F394" s="90" t="s">
        <v>1912</v>
      </c>
      <c r="G394" s="90" t="s">
        <v>1682</v>
      </c>
      <c r="H394" s="90" t="s">
        <v>1247</v>
      </c>
      <c r="I394" s="90" t="s">
        <v>1866</v>
      </c>
      <c r="J394" s="90" t="s">
        <v>1913</v>
      </c>
      <c r="K394" s="90" t="s">
        <v>1901</v>
      </c>
      <c r="L394" s="90" t="s">
        <v>1914</v>
      </c>
      <c r="M394" s="95" t="s">
        <v>1679</v>
      </c>
      <c r="N394" s="90" t="s">
        <v>1915</v>
      </c>
    </row>
    <row r="395" spans="1:14" ht="16.5">
      <c r="A395" s="90">
        <v>392</v>
      </c>
      <c r="B395" s="91">
        <v>227</v>
      </c>
      <c r="C395" s="93" t="s">
        <v>493</v>
      </c>
      <c r="D395" s="50" t="s">
        <v>1905</v>
      </c>
      <c r="E395" s="50" t="s">
        <v>1934</v>
      </c>
      <c r="F395" s="90" t="s">
        <v>1872</v>
      </c>
      <c r="G395" s="90" t="s">
        <v>1682</v>
      </c>
      <c r="H395" s="90" t="s">
        <v>1247</v>
      </c>
      <c r="I395" s="90" t="s">
        <v>1873</v>
      </c>
      <c r="J395" s="90" t="s">
        <v>1874</v>
      </c>
      <c r="K395" s="90" t="s">
        <v>1875</v>
      </c>
      <c r="L395" s="90" t="s">
        <v>1876</v>
      </c>
      <c r="M395" s="95" t="s">
        <v>1679</v>
      </c>
      <c r="N395" s="90" t="s">
        <v>1870</v>
      </c>
    </row>
    <row r="396" spans="1:14" ht="16.5">
      <c r="A396" s="90">
        <v>393</v>
      </c>
      <c r="B396" s="47">
        <v>234</v>
      </c>
      <c r="C396" s="50" t="s">
        <v>1878</v>
      </c>
      <c r="D396" s="50" t="s">
        <v>1905</v>
      </c>
      <c r="E396" s="50" t="s">
        <v>1934</v>
      </c>
      <c r="F396" s="90" t="s">
        <v>1854</v>
      </c>
      <c r="G396" s="90" t="s">
        <v>1674</v>
      </c>
      <c r="H396" s="90" t="s">
        <v>1247</v>
      </c>
      <c r="I396" s="90" t="s">
        <v>1855</v>
      </c>
      <c r="J396" s="90" t="s">
        <v>1856</v>
      </c>
      <c r="K396" s="90" t="s">
        <v>1857</v>
      </c>
      <c r="L396" s="90" t="s">
        <v>1858</v>
      </c>
      <c r="M396" s="95" t="s">
        <v>1679</v>
      </c>
      <c r="N396" s="90" t="s">
        <v>1859</v>
      </c>
    </row>
    <row r="397" spans="1:14" ht="16.5">
      <c r="A397" s="90">
        <v>394</v>
      </c>
      <c r="B397" s="47">
        <v>235</v>
      </c>
      <c r="C397" s="50" t="s">
        <v>601</v>
      </c>
      <c r="D397" s="50" t="s">
        <v>1905</v>
      </c>
      <c r="E397" s="50" t="s">
        <v>1934</v>
      </c>
      <c r="F397" s="90">
        <v>50</v>
      </c>
      <c r="G397" s="90">
        <v>30</v>
      </c>
      <c r="H397" s="90">
        <v>10</v>
      </c>
      <c r="I397" s="90">
        <v>30</v>
      </c>
      <c r="J397" s="90">
        <v>40</v>
      </c>
      <c r="K397" s="90">
        <v>60</v>
      </c>
      <c r="L397" s="90">
        <v>65</v>
      </c>
      <c r="M397" s="95">
        <v>1</v>
      </c>
      <c r="N397" s="90">
        <v>3</v>
      </c>
    </row>
    <row r="398" spans="1:14" ht="16.5">
      <c r="A398" s="90">
        <v>395</v>
      </c>
      <c r="B398" s="47">
        <v>236</v>
      </c>
      <c r="C398" s="50" t="s">
        <v>1688</v>
      </c>
      <c r="D398" s="50" t="s">
        <v>1905</v>
      </c>
      <c r="E398" s="50" t="s">
        <v>1934</v>
      </c>
      <c r="F398" s="90">
        <v>50</v>
      </c>
      <c r="G398" s="90">
        <v>30</v>
      </c>
      <c r="H398" s="90">
        <v>10</v>
      </c>
      <c r="I398" s="90">
        <v>30</v>
      </c>
      <c r="J398" s="90">
        <v>40</v>
      </c>
      <c r="K398" s="90">
        <v>60</v>
      </c>
      <c r="L398" s="90">
        <v>65</v>
      </c>
      <c r="M398" s="95">
        <v>1</v>
      </c>
      <c r="N398" s="90">
        <v>3</v>
      </c>
    </row>
    <row r="399" spans="1:14" ht="16.5">
      <c r="A399" s="90">
        <v>396</v>
      </c>
      <c r="B399" s="91">
        <v>201</v>
      </c>
      <c r="C399" s="90" t="s">
        <v>66</v>
      </c>
      <c r="D399" s="50" t="s">
        <v>1905</v>
      </c>
      <c r="E399" s="50" t="s">
        <v>1934</v>
      </c>
      <c r="F399" s="90" t="s">
        <v>1912</v>
      </c>
      <c r="G399" s="90" t="s">
        <v>1682</v>
      </c>
      <c r="H399" s="90" t="s">
        <v>1247</v>
      </c>
      <c r="I399" s="90" t="s">
        <v>1916</v>
      </c>
      <c r="J399" s="90" t="s">
        <v>1917</v>
      </c>
      <c r="K399" s="90" t="s">
        <v>1918</v>
      </c>
      <c r="L399" s="90" t="s">
        <v>1919</v>
      </c>
      <c r="M399" s="95" t="s">
        <v>1679</v>
      </c>
      <c r="N399" s="90" t="s">
        <v>1687</v>
      </c>
    </row>
    <row r="400" spans="1:14" ht="16.5">
      <c r="A400" s="90">
        <v>397</v>
      </c>
      <c r="B400" s="91">
        <v>206</v>
      </c>
      <c r="C400" s="90" t="s">
        <v>293</v>
      </c>
      <c r="D400" s="50" t="s">
        <v>1905</v>
      </c>
      <c r="E400" s="50" t="s">
        <v>1934</v>
      </c>
      <c r="F400" s="90" t="s">
        <v>1872</v>
      </c>
      <c r="G400" s="90" t="s">
        <v>1682</v>
      </c>
      <c r="H400" s="90" t="s">
        <v>1247</v>
      </c>
      <c r="I400" s="90" t="s">
        <v>1920</v>
      </c>
      <c r="J400" s="90" t="s">
        <v>1880</v>
      </c>
      <c r="K400" s="90" t="s">
        <v>1875</v>
      </c>
      <c r="L400" s="90" t="s">
        <v>1876</v>
      </c>
      <c r="M400" s="95" t="s">
        <v>1679</v>
      </c>
      <c r="N400" s="90" t="s">
        <v>1680</v>
      </c>
    </row>
    <row r="401" spans="1:14" ht="16.5">
      <c r="A401" s="90">
        <v>398</v>
      </c>
      <c r="B401" s="47">
        <v>209</v>
      </c>
      <c r="C401" s="50" t="s">
        <v>344</v>
      </c>
      <c r="D401" s="50" t="s">
        <v>1905</v>
      </c>
      <c r="E401" s="50" t="s">
        <v>1934</v>
      </c>
      <c r="F401" s="90" t="s">
        <v>1872</v>
      </c>
      <c r="G401" s="90" t="s">
        <v>1682</v>
      </c>
      <c r="H401" s="90" t="s">
        <v>1247</v>
      </c>
      <c r="I401" s="90" t="s">
        <v>1920</v>
      </c>
      <c r="J401" s="90" t="s">
        <v>1880</v>
      </c>
      <c r="K401" s="90" t="s">
        <v>1875</v>
      </c>
      <c r="L401" s="90" t="s">
        <v>1876</v>
      </c>
      <c r="M401" s="95" t="s">
        <v>1679</v>
      </c>
      <c r="N401" s="90" t="s">
        <v>1680</v>
      </c>
    </row>
    <row r="402" spans="1:14" ht="16.5">
      <c r="A402" s="90">
        <v>399</v>
      </c>
      <c r="B402" s="47">
        <v>230</v>
      </c>
      <c r="C402" s="50" t="s">
        <v>539</v>
      </c>
      <c r="D402" s="50" t="s">
        <v>1905</v>
      </c>
      <c r="E402" s="50" t="s">
        <v>1934</v>
      </c>
      <c r="F402" s="90" t="s">
        <v>1872</v>
      </c>
      <c r="G402" s="90" t="s">
        <v>1682</v>
      </c>
      <c r="H402" s="90" t="s">
        <v>1247</v>
      </c>
      <c r="I402" s="90" t="s">
        <v>1920</v>
      </c>
      <c r="J402" s="90" t="s">
        <v>1880</v>
      </c>
      <c r="K402" s="90" t="s">
        <v>1875</v>
      </c>
      <c r="L402" s="90" t="s">
        <v>1876</v>
      </c>
      <c r="M402" s="95" t="s">
        <v>1679</v>
      </c>
      <c r="N402" s="90" t="s">
        <v>1921</v>
      </c>
    </row>
    <row r="403" spans="1:14" ht="16.5">
      <c r="A403" s="90">
        <v>400</v>
      </c>
      <c r="B403" s="91">
        <v>232</v>
      </c>
      <c r="C403" s="90" t="s">
        <v>319</v>
      </c>
      <c r="D403" s="50" t="s">
        <v>1905</v>
      </c>
      <c r="E403" s="50" t="s">
        <v>1934</v>
      </c>
      <c r="F403" s="90" t="s">
        <v>1872</v>
      </c>
      <c r="G403" s="90" t="s">
        <v>1682</v>
      </c>
      <c r="H403" s="90" t="s">
        <v>1247</v>
      </c>
      <c r="I403" s="90" t="s">
        <v>1920</v>
      </c>
      <c r="J403" s="90" t="s">
        <v>1880</v>
      </c>
      <c r="K403" s="90" t="s">
        <v>1875</v>
      </c>
      <c r="L403" s="90" t="s">
        <v>1876</v>
      </c>
      <c r="M403" s="95" t="s">
        <v>1679</v>
      </c>
      <c r="N403" s="90" t="s">
        <v>1680</v>
      </c>
    </row>
    <row r="404" spans="1:14" ht="16.5">
      <c r="A404" s="90">
        <v>401</v>
      </c>
      <c r="B404" s="47">
        <v>233</v>
      </c>
      <c r="C404" s="50" t="s">
        <v>593</v>
      </c>
      <c r="D404" s="50" t="s">
        <v>1905</v>
      </c>
      <c r="E404" s="50" t="s">
        <v>1934</v>
      </c>
      <c r="F404" s="90">
        <v>50</v>
      </c>
      <c r="G404" s="90">
        <v>30</v>
      </c>
      <c r="H404" s="90">
        <v>10</v>
      </c>
      <c r="I404" s="90">
        <v>30</v>
      </c>
      <c r="J404" s="90">
        <v>40</v>
      </c>
      <c r="K404" s="90">
        <v>60</v>
      </c>
      <c r="L404" s="90">
        <v>65</v>
      </c>
      <c r="M404" s="95">
        <v>1</v>
      </c>
      <c r="N404" s="90">
        <v>3</v>
      </c>
    </row>
    <row r="405" spans="1:14" ht="16.5">
      <c r="A405" s="90">
        <v>402</v>
      </c>
      <c r="B405" s="47">
        <v>237</v>
      </c>
      <c r="C405" s="50" t="s">
        <v>565</v>
      </c>
      <c r="D405" s="50" t="s">
        <v>1905</v>
      </c>
      <c r="E405" s="50" t="s">
        <v>1934</v>
      </c>
      <c r="F405" s="90" t="s">
        <v>1885</v>
      </c>
      <c r="G405" s="90" t="s">
        <v>1682</v>
      </c>
      <c r="H405" s="90" t="s">
        <v>1247</v>
      </c>
      <c r="I405" s="90" t="s">
        <v>1675</v>
      </c>
      <c r="J405" s="90" t="s">
        <v>1676</v>
      </c>
      <c r="K405" s="90" t="s">
        <v>1886</v>
      </c>
      <c r="L405" s="90" t="s">
        <v>1887</v>
      </c>
      <c r="M405" s="95" t="s">
        <v>1679</v>
      </c>
      <c r="N405" s="90" t="s">
        <v>1680</v>
      </c>
    </row>
    <row r="406" spans="1:14" ht="16.5">
      <c r="A406" s="90">
        <v>403</v>
      </c>
      <c r="B406" s="47">
        <v>213</v>
      </c>
      <c r="C406" s="50" t="s">
        <v>599</v>
      </c>
      <c r="D406" s="50" t="s">
        <v>1905</v>
      </c>
      <c r="E406" s="50" t="s">
        <v>1934</v>
      </c>
      <c r="F406" s="90">
        <v>63</v>
      </c>
      <c r="G406" s="90">
        <v>30</v>
      </c>
      <c r="H406" s="90">
        <v>10</v>
      </c>
      <c r="I406" s="90">
        <v>48</v>
      </c>
      <c r="J406" s="90">
        <v>53</v>
      </c>
      <c r="K406" s="90">
        <v>73</v>
      </c>
      <c r="L406" s="90">
        <v>78</v>
      </c>
      <c r="M406" s="95">
        <v>1</v>
      </c>
      <c r="N406" s="90">
        <v>6</v>
      </c>
    </row>
    <row r="407" spans="1:14" ht="16.5">
      <c r="A407" s="90">
        <v>404</v>
      </c>
      <c r="B407" s="47">
        <v>224</v>
      </c>
      <c r="C407" s="50" t="s">
        <v>369</v>
      </c>
      <c r="D407" s="50" t="s">
        <v>1905</v>
      </c>
      <c r="E407" s="50" t="s">
        <v>1934</v>
      </c>
      <c r="F407" s="90" t="s">
        <v>1872</v>
      </c>
      <c r="G407" s="90" t="s">
        <v>1682</v>
      </c>
      <c r="H407" s="90" t="s">
        <v>1247</v>
      </c>
      <c r="I407" s="90" t="s">
        <v>1920</v>
      </c>
      <c r="J407" s="90" t="s">
        <v>1880</v>
      </c>
      <c r="K407" s="90" t="s">
        <v>1875</v>
      </c>
      <c r="L407" s="90" t="s">
        <v>1876</v>
      </c>
      <c r="M407" s="95" t="s">
        <v>1679</v>
      </c>
      <c r="N407" s="90" t="s">
        <v>1680</v>
      </c>
    </row>
    <row r="408" spans="1:14" ht="16.5">
      <c r="A408" s="90">
        <v>405</v>
      </c>
      <c r="B408" s="47">
        <v>229</v>
      </c>
      <c r="C408" s="50" t="s">
        <v>515</v>
      </c>
      <c r="D408" s="50" t="s">
        <v>1905</v>
      </c>
      <c r="E408" s="50" t="s">
        <v>1934</v>
      </c>
      <c r="F408" s="90" t="s">
        <v>1872</v>
      </c>
      <c r="G408" s="90" t="s">
        <v>1682</v>
      </c>
      <c r="H408" s="90" t="s">
        <v>1247</v>
      </c>
      <c r="I408" s="90" t="s">
        <v>1920</v>
      </c>
      <c r="J408" s="90" t="s">
        <v>1880</v>
      </c>
      <c r="K408" s="90" t="s">
        <v>1875</v>
      </c>
      <c r="L408" s="90" t="s">
        <v>1876</v>
      </c>
      <c r="M408" s="95" t="s">
        <v>1679</v>
      </c>
      <c r="N408" s="90" t="s">
        <v>1870</v>
      </c>
    </row>
    <row r="409" spans="1:14" ht="16.5">
      <c r="A409" s="90">
        <v>406</v>
      </c>
      <c r="B409" s="47">
        <v>231</v>
      </c>
      <c r="C409" s="94" t="s">
        <v>591</v>
      </c>
      <c r="D409" s="50" t="s">
        <v>1905</v>
      </c>
      <c r="E409" s="50" t="s">
        <v>1934</v>
      </c>
      <c r="F409" s="90" t="s">
        <v>1865</v>
      </c>
      <c r="G409" s="90" t="s">
        <v>1862</v>
      </c>
      <c r="H409" s="90" t="s">
        <v>1888</v>
      </c>
      <c r="I409" s="90" t="s">
        <v>1880</v>
      </c>
      <c r="J409" s="90" t="s">
        <v>1922</v>
      </c>
      <c r="K409" s="90" t="s">
        <v>1923</v>
      </c>
      <c r="L409" s="90" t="s">
        <v>1924</v>
      </c>
      <c r="M409" s="95" t="s">
        <v>1679</v>
      </c>
      <c r="N409" s="90" t="s">
        <v>1891</v>
      </c>
    </row>
    <row r="410" spans="1:14" ht="16.5">
      <c r="A410" s="90">
        <v>407</v>
      </c>
      <c r="B410" s="47">
        <v>211</v>
      </c>
      <c r="C410" s="50" t="s">
        <v>605</v>
      </c>
      <c r="D410" s="50" t="s">
        <v>1905</v>
      </c>
      <c r="E410" s="50" t="s">
        <v>1934</v>
      </c>
      <c r="F410" s="90">
        <v>60</v>
      </c>
      <c r="G410" s="90">
        <v>30</v>
      </c>
      <c r="H410" s="90">
        <v>10</v>
      </c>
      <c r="I410" s="90">
        <v>45</v>
      </c>
      <c r="J410" s="90">
        <v>50</v>
      </c>
      <c r="K410" s="90">
        <v>70</v>
      </c>
      <c r="L410" s="90">
        <v>75</v>
      </c>
      <c r="M410" s="95">
        <v>1</v>
      </c>
      <c r="N410" s="90">
        <v>5.5</v>
      </c>
    </row>
    <row r="411" spans="1:14" ht="16.5">
      <c r="A411" s="90">
        <v>408</v>
      </c>
      <c r="B411" s="47">
        <v>212</v>
      </c>
      <c r="C411" s="50" t="s">
        <v>394</v>
      </c>
      <c r="D411" s="50" t="s">
        <v>1905</v>
      </c>
      <c r="E411" s="50" t="s">
        <v>1934</v>
      </c>
      <c r="F411" s="90" t="s">
        <v>1898</v>
      </c>
      <c r="G411" s="90" t="s">
        <v>1862</v>
      </c>
      <c r="H411" s="90" t="s">
        <v>1888</v>
      </c>
      <c r="I411" s="90" t="s">
        <v>1899</v>
      </c>
      <c r="J411" s="90" t="s">
        <v>1889</v>
      </c>
      <c r="K411" s="90" t="s">
        <v>1900</v>
      </c>
      <c r="L411" s="90" t="s">
        <v>1901</v>
      </c>
      <c r="M411" s="95" t="s">
        <v>1679</v>
      </c>
      <c r="N411" s="90" t="s">
        <v>1902</v>
      </c>
    </row>
    <row r="412" spans="1:14" ht="16.5">
      <c r="A412" s="90">
        <v>409</v>
      </c>
      <c r="B412" s="47">
        <v>300</v>
      </c>
      <c r="C412" s="50" t="s">
        <v>1896</v>
      </c>
      <c r="D412" s="50" t="s">
        <v>1905</v>
      </c>
      <c r="E412" s="50" t="s">
        <v>1934</v>
      </c>
      <c r="F412" s="90">
        <v>42</v>
      </c>
      <c r="G412" s="90">
        <v>30</v>
      </c>
      <c r="H412" s="90">
        <v>10</v>
      </c>
      <c r="I412" s="90">
        <v>27</v>
      </c>
      <c r="J412" s="90">
        <v>32</v>
      </c>
      <c r="K412" s="90">
        <v>52</v>
      </c>
      <c r="L412" s="90">
        <v>57</v>
      </c>
      <c r="M412" s="95">
        <v>1</v>
      </c>
      <c r="N412" s="90">
        <v>3</v>
      </c>
    </row>
    <row r="413" spans="1:14" ht="16.5">
      <c r="A413" s="90">
        <v>410</v>
      </c>
      <c r="B413" s="47">
        <v>228</v>
      </c>
      <c r="C413" s="50" t="s">
        <v>948</v>
      </c>
      <c r="D413" s="50" t="s">
        <v>1905</v>
      </c>
      <c r="E413" s="50" t="s">
        <v>1934</v>
      </c>
      <c r="F413" s="90" t="s">
        <v>1872</v>
      </c>
      <c r="G413" s="90" t="s">
        <v>1682</v>
      </c>
      <c r="H413" s="90" t="s">
        <v>1247</v>
      </c>
      <c r="I413" s="90" t="s">
        <v>1873</v>
      </c>
      <c r="J413" s="90" t="s">
        <v>1874</v>
      </c>
      <c r="K413" s="90" t="s">
        <v>1875</v>
      </c>
      <c r="L413" s="90" t="s">
        <v>1876</v>
      </c>
      <c r="M413" s="95" t="s">
        <v>1679</v>
      </c>
      <c r="N413" s="90" t="s">
        <v>1859</v>
      </c>
    </row>
    <row r="414" spans="1:14" ht="16.5">
      <c r="A414" s="90">
        <v>411</v>
      </c>
      <c r="B414" s="47">
        <v>202</v>
      </c>
      <c r="C414" s="50" t="s">
        <v>154</v>
      </c>
      <c r="D414" s="1" t="s">
        <v>1925</v>
      </c>
      <c r="E414" s="50" t="s">
        <v>1934</v>
      </c>
      <c r="F414" s="90" t="s">
        <v>1854</v>
      </c>
      <c r="G414" s="90" t="s">
        <v>1674</v>
      </c>
      <c r="H414" s="90" t="s">
        <v>1247</v>
      </c>
      <c r="I414" s="90" t="s">
        <v>1855</v>
      </c>
      <c r="J414" s="90" t="s">
        <v>1856</v>
      </c>
      <c r="K414" s="90" t="s">
        <v>1857</v>
      </c>
      <c r="L414" s="90" t="s">
        <v>1858</v>
      </c>
      <c r="M414" s="95" t="s">
        <v>1679</v>
      </c>
      <c r="N414" s="90" t="s">
        <v>1680</v>
      </c>
    </row>
    <row r="415" spans="1:14" ht="16.5">
      <c r="A415" s="90">
        <v>412</v>
      </c>
      <c r="B415" s="91">
        <v>203</v>
      </c>
      <c r="C415" s="90" t="s">
        <v>202</v>
      </c>
      <c r="D415" s="1" t="s">
        <v>1925</v>
      </c>
      <c r="E415" s="50" t="s">
        <v>1934</v>
      </c>
      <c r="F415" s="90" t="s">
        <v>1881</v>
      </c>
      <c r="G415" s="90" t="s">
        <v>1682</v>
      </c>
      <c r="H415" s="90" t="s">
        <v>1247</v>
      </c>
      <c r="I415" s="90" t="s">
        <v>1683</v>
      </c>
      <c r="J415" s="90" t="s">
        <v>1684</v>
      </c>
      <c r="K415" s="90" t="s">
        <v>1882</v>
      </c>
      <c r="L415" s="90" t="s">
        <v>1883</v>
      </c>
      <c r="M415" s="95" t="s">
        <v>1679</v>
      </c>
      <c r="N415" s="90" t="s">
        <v>1877</v>
      </c>
    </row>
    <row r="416" spans="1:14" ht="16.5">
      <c r="A416" s="90">
        <v>413</v>
      </c>
      <c r="B416" s="47">
        <v>204</v>
      </c>
      <c r="C416" s="50" t="s">
        <v>226</v>
      </c>
      <c r="D416" s="1" t="s">
        <v>1925</v>
      </c>
      <c r="E416" s="50" t="s">
        <v>1934</v>
      </c>
      <c r="F416" s="90" t="s">
        <v>1854</v>
      </c>
      <c r="G416" s="90" t="s">
        <v>1674</v>
      </c>
      <c r="H416" s="90" t="s">
        <v>1247</v>
      </c>
      <c r="I416" s="90" t="s">
        <v>1855</v>
      </c>
      <c r="J416" s="90" t="s">
        <v>1856</v>
      </c>
      <c r="K416" s="90" t="s">
        <v>1857</v>
      </c>
      <c r="L416" s="90" t="s">
        <v>1858</v>
      </c>
      <c r="M416" s="95" t="s">
        <v>1679</v>
      </c>
      <c r="N416" s="90" t="s">
        <v>1680</v>
      </c>
    </row>
    <row r="417" spans="1:14" ht="16.5">
      <c r="A417" s="90">
        <v>414</v>
      </c>
      <c r="B417" s="47">
        <v>205</v>
      </c>
      <c r="C417" s="50" t="s">
        <v>249</v>
      </c>
      <c r="D417" s="1" t="s">
        <v>1925</v>
      </c>
      <c r="E417" s="50" t="s">
        <v>1934</v>
      </c>
      <c r="F417" s="90" t="s">
        <v>1854</v>
      </c>
      <c r="G417" s="90" t="s">
        <v>1674</v>
      </c>
      <c r="H417" s="90" t="s">
        <v>1247</v>
      </c>
      <c r="I417" s="90" t="s">
        <v>1855</v>
      </c>
      <c r="J417" s="90" t="s">
        <v>1856</v>
      </c>
      <c r="K417" s="90" t="s">
        <v>1857</v>
      </c>
      <c r="L417" s="90" t="s">
        <v>1858</v>
      </c>
      <c r="M417" s="95" t="s">
        <v>1679</v>
      </c>
      <c r="N417" s="90" t="s">
        <v>1859</v>
      </c>
    </row>
    <row r="418" spans="1:14" ht="16.5">
      <c r="A418" s="90">
        <v>415</v>
      </c>
      <c r="B418" s="47">
        <v>207</v>
      </c>
      <c r="C418" s="50" t="s">
        <v>595</v>
      </c>
      <c r="D418" s="1" t="s">
        <v>1925</v>
      </c>
      <c r="E418" s="50" t="s">
        <v>1934</v>
      </c>
      <c r="F418" s="90">
        <v>50</v>
      </c>
      <c r="G418" s="90">
        <v>30</v>
      </c>
      <c r="H418" s="90">
        <v>10</v>
      </c>
      <c r="I418" s="90">
        <v>30</v>
      </c>
      <c r="J418" s="90">
        <v>40</v>
      </c>
      <c r="K418" s="90">
        <v>60</v>
      </c>
      <c r="L418" s="90">
        <v>65</v>
      </c>
      <c r="M418" s="95">
        <v>1</v>
      </c>
      <c r="N418" s="90">
        <v>3</v>
      </c>
    </row>
    <row r="419" spans="1:14" ht="16.5">
      <c r="A419" s="90">
        <v>416</v>
      </c>
      <c r="B419" s="96">
        <v>208</v>
      </c>
      <c r="C419" s="97" t="s">
        <v>589</v>
      </c>
      <c r="D419" s="1" t="s">
        <v>1925</v>
      </c>
      <c r="E419" s="97" t="s">
        <v>1934</v>
      </c>
      <c r="F419" s="97">
        <v>63</v>
      </c>
      <c r="G419" s="97">
        <v>50</v>
      </c>
      <c r="H419" s="97">
        <v>1</v>
      </c>
      <c r="I419" s="97">
        <v>30</v>
      </c>
      <c r="J419" s="97">
        <v>45</v>
      </c>
      <c r="K419" s="97">
        <v>73</v>
      </c>
      <c r="L419" s="97">
        <v>78</v>
      </c>
      <c r="M419" s="98">
        <v>1</v>
      </c>
      <c r="N419" s="97">
        <v>12</v>
      </c>
    </row>
    <row r="420" spans="1:14" ht="16.5">
      <c r="A420" s="90">
        <v>417</v>
      </c>
      <c r="B420" s="47">
        <v>215</v>
      </c>
      <c r="C420" s="50" t="s">
        <v>418</v>
      </c>
      <c r="D420" s="1" t="s">
        <v>1925</v>
      </c>
      <c r="E420" s="50" t="s">
        <v>1934</v>
      </c>
      <c r="F420" s="90" t="s">
        <v>1907</v>
      </c>
      <c r="G420" s="90" t="s">
        <v>1682</v>
      </c>
      <c r="H420" s="90" t="s">
        <v>1247</v>
      </c>
      <c r="I420" s="90" t="s">
        <v>1908</v>
      </c>
      <c r="J420" s="90" t="s">
        <v>1909</v>
      </c>
      <c r="K420" s="90" t="s">
        <v>1910</v>
      </c>
      <c r="L420" s="90" t="s">
        <v>1911</v>
      </c>
      <c r="M420" s="95" t="s">
        <v>1679</v>
      </c>
      <c r="N420" s="90" t="s">
        <v>1906</v>
      </c>
    </row>
    <row r="421" spans="1:14" ht="16.5">
      <c r="A421" s="90">
        <v>418</v>
      </c>
      <c r="B421" s="47">
        <v>222</v>
      </c>
      <c r="C421" s="50" t="s">
        <v>442</v>
      </c>
      <c r="D421" s="1" t="s">
        <v>1925</v>
      </c>
      <c r="E421" s="50" t="s">
        <v>1934</v>
      </c>
      <c r="F421" s="90" t="s">
        <v>1854</v>
      </c>
      <c r="G421" s="90" t="s">
        <v>1871</v>
      </c>
      <c r="H421" s="90" t="s">
        <v>1247</v>
      </c>
      <c r="I421" s="90" t="s">
        <v>1855</v>
      </c>
      <c r="J421" s="90" t="s">
        <v>1856</v>
      </c>
      <c r="K421" s="90" t="s">
        <v>1857</v>
      </c>
      <c r="L421" s="90" t="s">
        <v>1858</v>
      </c>
      <c r="M421" s="95" t="s">
        <v>1679</v>
      </c>
      <c r="N421" s="90" t="s">
        <v>1859</v>
      </c>
    </row>
    <row r="422" spans="1:14" ht="16.5">
      <c r="A422" s="90">
        <v>419</v>
      </c>
      <c r="B422" s="47">
        <v>223</v>
      </c>
      <c r="C422" s="50" t="s">
        <v>918</v>
      </c>
      <c r="D422" s="1" t="s">
        <v>1925</v>
      </c>
      <c r="E422" s="50" t="s">
        <v>1934</v>
      </c>
      <c r="F422" s="90">
        <v>28</v>
      </c>
      <c r="G422" s="90">
        <v>30</v>
      </c>
      <c r="H422" s="90">
        <v>10</v>
      </c>
      <c r="I422" s="90">
        <v>17</v>
      </c>
      <c r="J422" s="90">
        <v>22</v>
      </c>
      <c r="K422" s="90">
        <v>33</v>
      </c>
      <c r="L422" s="90">
        <v>38</v>
      </c>
      <c r="M422" s="95">
        <v>1</v>
      </c>
      <c r="N422" s="90">
        <v>2</v>
      </c>
    </row>
    <row r="423" spans="1:14" ht="16.5">
      <c r="A423" s="90">
        <v>420</v>
      </c>
      <c r="B423" s="47">
        <v>226</v>
      </c>
      <c r="C423" s="92" t="s">
        <v>469</v>
      </c>
      <c r="D423" s="1" t="s">
        <v>1925</v>
      </c>
      <c r="E423" s="50" t="s">
        <v>1934</v>
      </c>
      <c r="F423" s="90" t="s">
        <v>1912</v>
      </c>
      <c r="G423" s="90" t="s">
        <v>1682</v>
      </c>
      <c r="H423" s="90" t="s">
        <v>1247</v>
      </c>
      <c r="I423" s="90" t="s">
        <v>1866</v>
      </c>
      <c r="J423" s="90" t="s">
        <v>1913</v>
      </c>
      <c r="K423" s="90" t="s">
        <v>1901</v>
      </c>
      <c r="L423" s="90" t="s">
        <v>1914</v>
      </c>
      <c r="M423" s="95" t="s">
        <v>1679</v>
      </c>
      <c r="N423" s="90" t="s">
        <v>1915</v>
      </c>
    </row>
    <row r="424" spans="1:14" ht="16.5">
      <c r="A424" s="90">
        <v>421</v>
      </c>
      <c r="B424" s="91">
        <v>227</v>
      </c>
      <c r="C424" s="93" t="s">
        <v>493</v>
      </c>
      <c r="D424" s="1" t="s">
        <v>1925</v>
      </c>
      <c r="E424" s="50" t="s">
        <v>1934</v>
      </c>
      <c r="F424" s="90" t="s">
        <v>1872</v>
      </c>
      <c r="G424" s="90" t="s">
        <v>1682</v>
      </c>
      <c r="H424" s="90" t="s">
        <v>1247</v>
      </c>
      <c r="I424" s="90" t="s">
        <v>1873</v>
      </c>
      <c r="J424" s="90" t="s">
        <v>1874</v>
      </c>
      <c r="K424" s="90" t="s">
        <v>1875</v>
      </c>
      <c r="L424" s="90" t="s">
        <v>1876</v>
      </c>
      <c r="M424" s="95" t="s">
        <v>1679</v>
      </c>
      <c r="N424" s="90" t="s">
        <v>1870</v>
      </c>
    </row>
    <row r="425" spans="1:14" ht="16.5">
      <c r="A425" s="90">
        <v>422</v>
      </c>
      <c r="B425" s="47">
        <v>234</v>
      </c>
      <c r="C425" s="50" t="s">
        <v>1878</v>
      </c>
      <c r="D425" s="1" t="s">
        <v>1925</v>
      </c>
      <c r="E425" s="50" t="s">
        <v>1934</v>
      </c>
      <c r="F425" s="90" t="s">
        <v>1854</v>
      </c>
      <c r="G425" s="90" t="s">
        <v>1674</v>
      </c>
      <c r="H425" s="90" t="s">
        <v>1247</v>
      </c>
      <c r="I425" s="90" t="s">
        <v>1855</v>
      </c>
      <c r="J425" s="90" t="s">
        <v>1856</v>
      </c>
      <c r="K425" s="90" t="s">
        <v>1857</v>
      </c>
      <c r="L425" s="90" t="s">
        <v>1858</v>
      </c>
      <c r="M425" s="95" t="s">
        <v>1679</v>
      </c>
      <c r="N425" s="90" t="s">
        <v>1859</v>
      </c>
    </row>
    <row r="426" spans="1:14" ht="16.5">
      <c r="A426" s="90">
        <v>423</v>
      </c>
      <c r="B426" s="47">
        <v>235</v>
      </c>
      <c r="C426" s="50" t="s">
        <v>601</v>
      </c>
      <c r="D426" s="1" t="s">
        <v>1925</v>
      </c>
      <c r="E426" s="50" t="s">
        <v>1934</v>
      </c>
      <c r="F426" s="90">
        <v>50</v>
      </c>
      <c r="G426" s="90">
        <v>30</v>
      </c>
      <c r="H426" s="90">
        <v>10</v>
      </c>
      <c r="I426" s="90">
        <v>30</v>
      </c>
      <c r="J426" s="90">
        <v>40</v>
      </c>
      <c r="K426" s="90">
        <v>60</v>
      </c>
      <c r="L426" s="90">
        <v>65</v>
      </c>
      <c r="M426" s="95">
        <v>1</v>
      </c>
      <c r="N426" s="90">
        <v>3</v>
      </c>
    </row>
    <row r="427" spans="1:14" ht="16.5">
      <c r="A427" s="90">
        <v>424</v>
      </c>
      <c r="B427" s="47">
        <v>236</v>
      </c>
      <c r="C427" s="50" t="s">
        <v>1688</v>
      </c>
      <c r="D427" s="1" t="s">
        <v>1925</v>
      </c>
      <c r="E427" s="50" t="s">
        <v>1934</v>
      </c>
      <c r="F427" s="90">
        <v>50</v>
      </c>
      <c r="G427" s="90">
        <v>30</v>
      </c>
      <c r="H427" s="90">
        <v>10</v>
      </c>
      <c r="I427" s="90">
        <v>30</v>
      </c>
      <c r="J427" s="90">
        <v>40</v>
      </c>
      <c r="K427" s="90">
        <v>60</v>
      </c>
      <c r="L427" s="90">
        <v>65</v>
      </c>
      <c r="M427" s="95">
        <v>1</v>
      </c>
      <c r="N427" s="90">
        <v>3</v>
      </c>
    </row>
    <row r="428" spans="1:14" ht="16.5">
      <c r="A428" s="90">
        <v>425</v>
      </c>
      <c r="B428" s="91">
        <v>201</v>
      </c>
      <c r="C428" s="90" t="s">
        <v>66</v>
      </c>
      <c r="D428" s="1" t="s">
        <v>1925</v>
      </c>
      <c r="E428" s="50" t="s">
        <v>1934</v>
      </c>
      <c r="F428" s="90" t="s">
        <v>1912</v>
      </c>
      <c r="G428" s="90" t="s">
        <v>1682</v>
      </c>
      <c r="H428" s="90" t="s">
        <v>1247</v>
      </c>
      <c r="I428" s="90" t="s">
        <v>1916</v>
      </c>
      <c r="J428" s="90" t="s">
        <v>1917</v>
      </c>
      <c r="K428" s="90" t="s">
        <v>1918</v>
      </c>
      <c r="L428" s="90" t="s">
        <v>1919</v>
      </c>
      <c r="M428" s="95" t="s">
        <v>1679</v>
      </c>
      <c r="N428" s="90" t="s">
        <v>1687</v>
      </c>
    </row>
    <row r="429" spans="1:14" ht="16.5">
      <c r="A429" s="90">
        <v>426</v>
      </c>
      <c r="B429" s="91">
        <v>206</v>
      </c>
      <c r="C429" s="90" t="s">
        <v>293</v>
      </c>
      <c r="D429" s="1" t="s">
        <v>1925</v>
      </c>
      <c r="E429" s="50" t="s">
        <v>1934</v>
      </c>
      <c r="F429" s="90" t="s">
        <v>1872</v>
      </c>
      <c r="G429" s="90" t="s">
        <v>1682</v>
      </c>
      <c r="H429" s="90" t="s">
        <v>1247</v>
      </c>
      <c r="I429" s="90" t="s">
        <v>1920</v>
      </c>
      <c r="J429" s="90" t="s">
        <v>1880</v>
      </c>
      <c r="K429" s="90" t="s">
        <v>1875</v>
      </c>
      <c r="L429" s="90" t="s">
        <v>1876</v>
      </c>
      <c r="M429" s="95" t="s">
        <v>1679</v>
      </c>
      <c r="N429" s="90" t="s">
        <v>1680</v>
      </c>
    </row>
    <row r="430" spans="1:14" ht="16.5">
      <c r="A430" s="90">
        <v>427</v>
      </c>
      <c r="B430" s="47">
        <v>209</v>
      </c>
      <c r="C430" s="50" t="s">
        <v>344</v>
      </c>
      <c r="D430" s="1" t="s">
        <v>1925</v>
      </c>
      <c r="E430" s="50" t="s">
        <v>1934</v>
      </c>
      <c r="F430" s="90" t="s">
        <v>1872</v>
      </c>
      <c r="G430" s="90" t="s">
        <v>1682</v>
      </c>
      <c r="H430" s="90" t="s">
        <v>1247</v>
      </c>
      <c r="I430" s="90" t="s">
        <v>1920</v>
      </c>
      <c r="J430" s="90" t="s">
        <v>1880</v>
      </c>
      <c r="K430" s="90" t="s">
        <v>1875</v>
      </c>
      <c r="L430" s="90" t="s">
        <v>1876</v>
      </c>
      <c r="M430" s="95" t="s">
        <v>1679</v>
      </c>
      <c r="N430" s="90" t="s">
        <v>1680</v>
      </c>
    </row>
    <row r="431" spans="1:14" ht="16.5">
      <c r="A431" s="90">
        <v>428</v>
      </c>
      <c r="B431" s="47">
        <v>230</v>
      </c>
      <c r="C431" s="50" t="s">
        <v>539</v>
      </c>
      <c r="D431" s="1" t="s">
        <v>1925</v>
      </c>
      <c r="E431" s="50" t="s">
        <v>1934</v>
      </c>
      <c r="F431" s="90" t="s">
        <v>1872</v>
      </c>
      <c r="G431" s="90" t="s">
        <v>1682</v>
      </c>
      <c r="H431" s="90" t="s">
        <v>1247</v>
      </c>
      <c r="I431" s="90" t="s">
        <v>1920</v>
      </c>
      <c r="J431" s="90" t="s">
        <v>1880</v>
      </c>
      <c r="K431" s="90" t="s">
        <v>1875</v>
      </c>
      <c r="L431" s="90" t="s">
        <v>1876</v>
      </c>
      <c r="M431" s="95" t="s">
        <v>1679</v>
      </c>
      <c r="N431" s="90" t="s">
        <v>1921</v>
      </c>
    </row>
    <row r="432" spans="1:14" ht="16.5">
      <c r="A432" s="90">
        <v>429</v>
      </c>
      <c r="B432" s="91">
        <v>232</v>
      </c>
      <c r="C432" s="90" t="s">
        <v>319</v>
      </c>
      <c r="D432" s="1" t="s">
        <v>1925</v>
      </c>
      <c r="E432" s="50" t="s">
        <v>1934</v>
      </c>
      <c r="F432" s="90" t="s">
        <v>1872</v>
      </c>
      <c r="G432" s="90" t="s">
        <v>1682</v>
      </c>
      <c r="H432" s="90" t="s">
        <v>1247</v>
      </c>
      <c r="I432" s="90" t="s">
        <v>1920</v>
      </c>
      <c r="J432" s="90" t="s">
        <v>1880</v>
      </c>
      <c r="K432" s="90" t="s">
        <v>1875</v>
      </c>
      <c r="L432" s="90" t="s">
        <v>1876</v>
      </c>
      <c r="M432" s="95" t="s">
        <v>1679</v>
      </c>
      <c r="N432" s="90" t="s">
        <v>1680</v>
      </c>
    </row>
    <row r="433" spans="1:14" ht="16.5">
      <c r="A433" s="90">
        <v>430</v>
      </c>
      <c r="B433" s="47">
        <v>233</v>
      </c>
      <c r="C433" s="50" t="s">
        <v>593</v>
      </c>
      <c r="D433" s="1" t="s">
        <v>1925</v>
      </c>
      <c r="E433" s="50" t="s">
        <v>1934</v>
      </c>
      <c r="F433" s="90">
        <v>50</v>
      </c>
      <c r="G433" s="90">
        <v>30</v>
      </c>
      <c r="H433" s="90">
        <v>10</v>
      </c>
      <c r="I433" s="90">
        <v>30</v>
      </c>
      <c r="J433" s="90">
        <v>40</v>
      </c>
      <c r="K433" s="90">
        <v>60</v>
      </c>
      <c r="L433" s="90">
        <v>65</v>
      </c>
      <c r="M433" s="95">
        <v>1</v>
      </c>
      <c r="N433" s="90">
        <v>3</v>
      </c>
    </row>
    <row r="434" spans="1:14" ht="16.5">
      <c r="A434" s="90">
        <v>431</v>
      </c>
      <c r="B434" s="47">
        <v>237</v>
      </c>
      <c r="C434" s="50" t="s">
        <v>565</v>
      </c>
      <c r="D434" s="1" t="s">
        <v>1925</v>
      </c>
      <c r="E434" s="50" t="s">
        <v>1934</v>
      </c>
      <c r="F434" s="90" t="s">
        <v>1885</v>
      </c>
      <c r="G434" s="90" t="s">
        <v>1682</v>
      </c>
      <c r="H434" s="90" t="s">
        <v>1247</v>
      </c>
      <c r="I434" s="90" t="s">
        <v>1675</v>
      </c>
      <c r="J434" s="90" t="s">
        <v>1676</v>
      </c>
      <c r="K434" s="90" t="s">
        <v>1886</v>
      </c>
      <c r="L434" s="90" t="s">
        <v>1887</v>
      </c>
      <c r="M434" s="95" t="s">
        <v>1679</v>
      </c>
      <c r="N434" s="90" t="s">
        <v>1680</v>
      </c>
    </row>
    <row r="435" spans="1:14" ht="16.5">
      <c r="A435" s="90">
        <v>432</v>
      </c>
      <c r="B435" s="47">
        <v>213</v>
      </c>
      <c r="C435" s="50" t="s">
        <v>599</v>
      </c>
      <c r="D435" s="1" t="s">
        <v>1925</v>
      </c>
      <c r="E435" s="50" t="s">
        <v>1934</v>
      </c>
      <c r="F435" s="90">
        <v>63</v>
      </c>
      <c r="G435" s="90">
        <v>30</v>
      </c>
      <c r="H435" s="90">
        <v>10</v>
      </c>
      <c r="I435" s="90">
        <v>48</v>
      </c>
      <c r="J435" s="90">
        <v>53</v>
      </c>
      <c r="K435" s="90">
        <v>73</v>
      </c>
      <c r="L435" s="90">
        <v>78</v>
      </c>
      <c r="M435" s="95">
        <v>1</v>
      </c>
      <c r="N435" s="90">
        <v>6</v>
      </c>
    </row>
    <row r="436" spans="1:14" ht="16.5">
      <c r="A436" s="90">
        <v>433</v>
      </c>
      <c r="B436" s="47">
        <v>224</v>
      </c>
      <c r="C436" s="50" t="s">
        <v>369</v>
      </c>
      <c r="D436" s="1" t="s">
        <v>1925</v>
      </c>
      <c r="E436" s="50" t="s">
        <v>1934</v>
      </c>
      <c r="F436" s="90" t="s">
        <v>1872</v>
      </c>
      <c r="G436" s="90" t="s">
        <v>1682</v>
      </c>
      <c r="H436" s="90" t="s">
        <v>1247</v>
      </c>
      <c r="I436" s="90" t="s">
        <v>1920</v>
      </c>
      <c r="J436" s="90" t="s">
        <v>1880</v>
      </c>
      <c r="K436" s="90" t="s">
        <v>1875</v>
      </c>
      <c r="L436" s="90" t="s">
        <v>1876</v>
      </c>
      <c r="M436" s="95" t="s">
        <v>1679</v>
      </c>
      <c r="N436" s="90" t="s">
        <v>1680</v>
      </c>
    </row>
    <row r="437" spans="1:14" ht="16.5">
      <c r="A437" s="90">
        <v>434</v>
      </c>
      <c r="B437" s="47">
        <v>229</v>
      </c>
      <c r="C437" s="50" t="s">
        <v>515</v>
      </c>
      <c r="D437" s="1" t="s">
        <v>1925</v>
      </c>
      <c r="E437" s="50" t="s">
        <v>1934</v>
      </c>
      <c r="F437" s="90" t="s">
        <v>1872</v>
      </c>
      <c r="G437" s="90" t="s">
        <v>1682</v>
      </c>
      <c r="H437" s="90" t="s">
        <v>1247</v>
      </c>
      <c r="I437" s="90" t="s">
        <v>1920</v>
      </c>
      <c r="J437" s="90" t="s">
        <v>1880</v>
      </c>
      <c r="K437" s="90" t="s">
        <v>1875</v>
      </c>
      <c r="L437" s="90" t="s">
        <v>1876</v>
      </c>
      <c r="M437" s="95" t="s">
        <v>1679</v>
      </c>
      <c r="N437" s="90" t="s">
        <v>1870</v>
      </c>
    </row>
    <row r="438" spans="1:14" ht="16.5">
      <c r="A438" s="90">
        <v>435</v>
      </c>
      <c r="B438" s="47">
        <v>231</v>
      </c>
      <c r="C438" s="94" t="s">
        <v>591</v>
      </c>
      <c r="D438" s="1" t="s">
        <v>1925</v>
      </c>
      <c r="E438" s="50" t="s">
        <v>1934</v>
      </c>
      <c r="F438" s="90" t="s">
        <v>1865</v>
      </c>
      <c r="G438" s="90" t="s">
        <v>1862</v>
      </c>
      <c r="H438" s="90" t="s">
        <v>1888</v>
      </c>
      <c r="I438" s="90" t="s">
        <v>1880</v>
      </c>
      <c r="J438" s="90" t="s">
        <v>1922</v>
      </c>
      <c r="K438" s="90" t="s">
        <v>1923</v>
      </c>
      <c r="L438" s="90" t="s">
        <v>1924</v>
      </c>
      <c r="M438" s="95" t="s">
        <v>1679</v>
      </c>
      <c r="N438" s="90" t="s">
        <v>1891</v>
      </c>
    </row>
    <row r="439" spans="1:14" ht="16.5">
      <c r="A439" s="90">
        <v>436</v>
      </c>
      <c r="B439" s="47">
        <v>211</v>
      </c>
      <c r="C439" s="50" t="s">
        <v>605</v>
      </c>
      <c r="D439" s="1" t="s">
        <v>1925</v>
      </c>
      <c r="E439" s="50" t="s">
        <v>1934</v>
      </c>
      <c r="F439" s="90">
        <v>60</v>
      </c>
      <c r="G439" s="90">
        <v>30</v>
      </c>
      <c r="H439" s="90">
        <v>10</v>
      </c>
      <c r="I439" s="90">
        <v>45</v>
      </c>
      <c r="J439" s="90">
        <v>50</v>
      </c>
      <c r="K439" s="90">
        <v>70</v>
      </c>
      <c r="L439" s="90">
        <v>75</v>
      </c>
      <c r="M439" s="95">
        <v>1</v>
      </c>
      <c r="N439" s="90">
        <v>5.5</v>
      </c>
    </row>
    <row r="440" spans="1:14" ht="16.5">
      <c r="A440" s="90">
        <v>437</v>
      </c>
      <c r="B440" s="47">
        <v>212</v>
      </c>
      <c r="C440" s="50" t="s">
        <v>394</v>
      </c>
      <c r="D440" s="1" t="s">
        <v>1925</v>
      </c>
      <c r="E440" s="50" t="s">
        <v>1934</v>
      </c>
      <c r="F440" s="90" t="s">
        <v>1898</v>
      </c>
      <c r="G440" s="90" t="s">
        <v>1862</v>
      </c>
      <c r="H440" s="90" t="s">
        <v>1888</v>
      </c>
      <c r="I440" s="90" t="s">
        <v>1899</v>
      </c>
      <c r="J440" s="90" t="s">
        <v>1889</v>
      </c>
      <c r="K440" s="90" t="s">
        <v>1900</v>
      </c>
      <c r="L440" s="90" t="s">
        <v>1901</v>
      </c>
      <c r="M440" s="95" t="s">
        <v>1679</v>
      </c>
      <c r="N440" s="90" t="s">
        <v>1902</v>
      </c>
    </row>
    <row r="441" spans="1:14" ht="16.5">
      <c r="A441" s="90">
        <v>438</v>
      </c>
      <c r="B441" s="47">
        <v>300</v>
      </c>
      <c r="C441" s="50" t="s">
        <v>1896</v>
      </c>
      <c r="D441" s="1" t="s">
        <v>1925</v>
      </c>
      <c r="E441" s="50" t="s">
        <v>1934</v>
      </c>
      <c r="F441" s="90">
        <v>42</v>
      </c>
      <c r="G441" s="90">
        <v>30</v>
      </c>
      <c r="H441" s="90">
        <v>10</v>
      </c>
      <c r="I441" s="90">
        <v>27</v>
      </c>
      <c r="J441" s="90">
        <v>32</v>
      </c>
      <c r="K441" s="90">
        <v>52</v>
      </c>
      <c r="L441" s="90">
        <v>57</v>
      </c>
      <c r="M441" s="95">
        <v>1</v>
      </c>
      <c r="N441" s="90">
        <v>3</v>
      </c>
    </row>
    <row r="442" spans="1:14" ht="16.5">
      <c r="A442" s="90">
        <v>439</v>
      </c>
      <c r="B442" s="47">
        <v>228</v>
      </c>
      <c r="C442" s="50" t="s">
        <v>948</v>
      </c>
      <c r="D442" s="1" t="s">
        <v>1925</v>
      </c>
      <c r="E442" s="50" t="s">
        <v>1934</v>
      </c>
      <c r="F442" s="90" t="s">
        <v>1872</v>
      </c>
      <c r="G442" s="90" t="s">
        <v>1682</v>
      </c>
      <c r="H442" s="90" t="s">
        <v>1247</v>
      </c>
      <c r="I442" s="90" t="s">
        <v>1873</v>
      </c>
      <c r="J442" s="90" t="s">
        <v>1874</v>
      </c>
      <c r="K442" s="90" t="s">
        <v>1875</v>
      </c>
      <c r="L442" s="90" t="s">
        <v>1876</v>
      </c>
      <c r="M442" s="95" t="s">
        <v>1679</v>
      </c>
      <c r="N442" s="90" t="s">
        <v>1859</v>
      </c>
    </row>
    <row r="443" spans="1:14" ht="16.5">
      <c r="A443" s="90">
        <v>440</v>
      </c>
      <c r="B443" s="47">
        <v>410</v>
      </c>
      <c r="C443" s="50" t="s">
        <v>2308</v>
      </c>
      <c r="D443" s="50" t="s">
        <v>1905</v>
      </c>
      <c r="E443" s="50" t="s">
        <v>1934</v>
      </c>
      <c r="F443" s="90" t="s">
        <v>1872</v>
      </c>
      <c r="G443" s="90" t="s">
        <v>1682</v>
      </c>
      <c r="H443" s="90" t="s">
        <v>1247</v>
      </c>
      <c r="I443" s="90" t="s">
        <v>1873</v>
      </c>
      <c r="J443" s="90" t="s">
        <v>1874</v>
      </c>
      <c r="K443" s="90" t="s">
        <v>1875</v>
      </c>
      <c r="L443" s="90" t="s">
        <v>1876</v>
      </c>
      <c r="M443" s="95" t="s">
        <v>1679</v>
      </c>
      <c r="N443" s="90" t="s">
        <v>1859</v>
      </c>
    </row>
    <row r="444" spans="1:14" ht="16.5">
      <c r="A444" s="90">
        <v>441</v>
      </c>
      <c r="B444" s="47">
        <v>410</v>
      </c>
      <c r="C444" s="50" t="s">
        <v>2308</v>
      </c>
      <c r="D444" s="1" t="s">
        <v>1925</v>
      </c>
      <c r="E444" s="50" t="s">
        <v>1934</v>
      </c>
      <c r="F444" s="90" t="s">
        <v>1872</v>
      </c>
      <c r="G444" s="90" t="s">
        <v>1682</v>
      </c>
      <c r="H444" s="90" t="s">
        <v>1247</v>
      </c>
      <c r="I444" s="90" t="s">
        <v>1873</v>
      </c>
      <c r="J444" s="90" t="s">
        <v>1874</v>
      </c>
      <c r="K444" s="90" t="s">
        <v>1875</v>
      </c>
      <c r="L444" s="90" t="s">
        <v>1876</v>
      </c>
      <c r="M444" s="95" t="s">
        <v>1679</v>
      </c>
      <c r="N444" s="90" t="s">
        <v>1859</v>
      </c>
    </row>
    <row r="445" spans="1:14" ht="16.5">
      <c r="A445" s="90">
        <v>442</v>
      </c>
      <c r="B445" s="47">
        <v>202</v>
      </c>
      <c r="C445" s="50" t="s">
        <v>154</v>
      </c>
      <c r="D445" s="50" t="s">
        <v>1852</v>
      </c>
      <c r="E445" s="50" t="s">
        <v>1935</v>
      </c>
      <c r="F445" s="90" t="s">
        <v>1854</v>
      </c>
      <c r="G445" s="90" t="s">
        <v>1674</v>
      </c>
      <c r="H445" s="90" t="s">
        <v>1247</v>
      </c>
      <c r="I445" s="90" t="s">
        <v>1855</v>
      </c>
      <c r="J445" s="90" t="s">
        <v>1856</v>
      </c>
      <c r="K445" s="90" t="s">
        <v>1857</v>
      </c>
      <c r="L445" s="90" t="s">
        <v>1858</v>
      </c>
      <c r="M445" s="95" t="s">
        <v>1679</v>
      </c>
      <c r="N445" s="90" t="s">
        <v>1680</v>
      </c>
    </row>
    <row r="446" spans="1:14" ht="16.5">
      <c r="A446" s="90">
        <v>443</v>
      </c>
      <c r="B446" s="91">
        <v>203</v>
      </c>
      <c r="C446" s="90" t="s">
        <v>202</v>
      </c>
      <c r="D446" s="50" t="s">
        <v>1852</v>
      </c>
      <c r="E446" s="50" t="s">
        <v>1935</v>
      </c>
      <c r="F446" s="90" t="s">
        <v>1860</v>
      </c>
      <c r="G446" s="90" t="s">
        <v>1682</v>
      </c>
      <c r="H446" s="90" t="s">
        <v>1247</v>
      </c>
      <c r="I446" s="90" t="s">
        <v>1861</v>
      </c>
      <c r="J446" s="90" t="s">
        <v>1862</v>
      </c>
      <c r="K446" s="90" t="s">
        <v>1863</v>
      </c>
      <c r="L446" s="90" t="s">
        <v>1864</v>
      </c>
      <c r="M446" s="95" t="s">
        <v>1679</v>
      </c>
      <c r="N446" s="90" t="s">
        <v>1877</v>
      </c>
    </row>
    <row r="447" spans="1:14" ht="16.5">
      <c r="A447" s="90">
        <v>444</v>
      </c>
      <c r="B447" s="47">
        <v>204</v>
      </c>
      <c r="C447" s="50" t="s">
        <v>226</v>
      </c>
      <c r="D447" s="50" t="s">
        <v>1852</v>
      </c>
      <c r="E447" s="50" t="s">
        <v>1935</v>
      </c>
      <c r="F447" s="90" t="s">
        <v>1854</v>
      </c>
      <c r="G447" s="90" t="s">
        <v>1674</v>
      </c>
      <c r="H447" s="90" t="s">
        <v>1247</v>
      </c>
      <c r="I447" s="90" t="s">
        <v>1855</v>
      </c>
      <c r="J447" s="90" t="s">
        <v>1856</v>
      </c>
      <c r="K447" s="90" t="s">
        <v>1857</v>
      </c>
      <c r="L447" s="90" t="s">
        <v>1858</v>
      </c>
      <c r="M447" s="95" t="s">
        <v>1679</v>
      </c>
      <c r="N447" s="90" t="s">
        <v>1680</v>
      </c>
    </row>
    <row r="448" spans="1:14" ht="16.5">
      <c r="A448" s="90">
        <v>445</v>
      </c>
      <c r="B448" s="47">
        <v>205</v>
      </c>
      <c r="C448" s="50" t="s">
        <v>249</v>
      </c>
      <c r="D448" s="50" t="s">
        <v>1852</v>
      </c>
      <c r="E448" s="50" t="s">
        <v>1935</v>
      </c>
      <c r="F448" s="90" t="s">
        <v>1854</v>
      </c>
      <c r="G448" s="90" t="s">
        <v>1674</v>
      </c>
      <c r="H448" s="90" t="s">
        <v>1247</v>
      </c>
      <c r="I448" s="90" t="s">
        <v>1855</v>
      </c>
      <c r="J448" s="90" t="s">
        <v>1856</v>
      </c>
      <c r="K448" s="90" t="s">
        <v>1857</v>
      </c>
      <c r="L448" s="90" t="s">
        <v>1858</v>
      </c>
      <c r="M448" s="95" t="s">
        <v>1679</v>
      </c>
      <c r="N448" s="90" t="s">
        <v>1859</v>
      </c>
    </row>
    <row r="449" spans="1:14" ht="16.5">
      <c r="A449" s="90">
        <v>446</v>
      </c>
      <c r="B449" s="47">
        <v>207</v>
      </c>
      <c r="C449" s="50" t="s">
        <v>595</v>
      </c>
      <c r="D449" s="50" t="s">
        <v>1852</v>
      </c>
      <c r="E449" s="50" t="s">
        <v>1935</v>
      </c>
      <c r="F449" s="90">
        <v>50</v>
      </c>
      <c r="G449" s="90">
        <v>30</v>
      </c>
      <c r="H449" s="90">
        <v>10</v>
      </c>
      <c r="I449" s="90">
        <v>30</v>
      </c>
      <c r="J449" s="90">
        <v>40</v>
      </c>
      <c r="K449" s="90">
        <v>60</v>
      </c>
      <c r="L449" s="90">
        <v>65</v>
      </c>
      <c r="M449" s="95">
        <v>1</v>
      </c>
      <c r="N449" s="90">
        <v>3</v>
      </c>
    </row>
    <row r="450" spans="1:14" ht="16.5">
      <c r="A450" s="90">
        <v>447</v>
      </c>
      <c r="B450" s="47">
        <v>208</v>
      </c>
      <c r="C450" s="50" t="s">
        <v>589</v>
      </c>
      <c r="D450" s="50" t="s">
        <v>1852</v>
      </c>
      <c r="E450" s="50" t="s">
        <v>1935</v>
      </c>
      <c r="F450" s="90">
        <v>53</v>
      </c>
      <c r="G450" s="90">
        <v>50</v>
      </c>
      <c r="H450" s="90">
        <v>1</v>
      </c>
      <c r="I450" s="90">
        <v>20</v>
      </c>
      <c r="J450" s="90">
        <v>35</v>
      </c>
      <c r="K450" s="90">
        <v>63</v>
      </c>
      <c r="L450" s="90">
        <v>68</v>
      </c>
      <c r="M450" s="95">
        <v>1</v>
      </c>
      <c r="N450" s="90">
        <v>8</v>
      </c>
    </row>
    <row r="451" spans="1:14" ht="16.5">
      <c r="A451" s="90">
        <v>448</v>
      </c>
      <c r="B451" s="47">
        <v>215</v>
      </c>
      <c r="C451" s="50" t="s">
        <v>418</v>
      </c>
      <c r="D451" s="50" t="s">
        <v>1852</v>
      </c>
      <c r="E451" s="50" t="s">
        <v>1935</v>
      </c>
      <c r="F451" s="90" t="s">
        <v>1865</v>
      </c>
      <c r="G451" s="90" t="s">
        <v>1682</v>
      </c>
      <c r="H451" s="90" t="s">
        <v>1247</v>
      </c>
      <c r="I451" s="90" t="s">
        <v>1866</v>
      </c>
      <c r="J451" s="90" t="s">
        <v>1867</v>
      </c>
      <c r="K451" s="90" t="s">
        <v>1868</v>
      </c>
      <c r="L451" s="90" t="s">
        <v>1869</v>
      </c>
      <c r="M451" s="95" t="s">
        <v>1679</v>
      </c>
      <c r="N451" s="90" t="s">
        <v>1870</v>
      </c>
    </row>
    <row r="452" spans="1:14" ht="16.5">
      <c r="A452" s="90">
        <v>449</v>
      </c>
      <c r="B452" s="47">
        <v>222</v>
      </c>
      <c r="C452" s="50" t="s">
        <v>442</v>
      </c>
      <c r="D452" s="50" t="s">
        <v>1852</v>
      </c>
      <c r="E452" s="50" t="s">
        <v>1935</v>
      </c>
      <c r="F452" s="90" t="s">
        <v>1854</v>
      </c>
      <c r="G452" s="90" t="s">
        <v>1871</v>
      </c>
      <c r="H452" s="90" t="s">
        <v>1247</v>
      </c>
      <c r="I452" s="90" t="s">
        <v>1855</v>
      </c>
      <c r="J452" s="90" t="s">
        <v>1856</v>
      </c>
      <c r="K452" s="90" t="s">
        <v>1857</v>
      </c>
      <c r="L452" s="90" t="s">
        <v>1858</v>
      </c>
      <c r="M452" s="95" t="s">
        <v>1679</v>
      </c>
      <c r="N452" s="90" t="s">
        <v>1859</v>
      </c>
    </row>
    <row r="453" spans="1:14" ht="16.5">
      <c r="A453" s="90">
        <v>450</v>
      </c>
      <c r="B453" s="47">
        <v>223</v>
      </c>
      <c r="C453" s="50" t="s">
        <v>918</v>
      </c>
      <c r="D453" s="50" t="s">
        <v>1852</v>
      </c>
      <c r="E453" s="50" t="s">
        <v>1935</v>
      </c>
      <c r="F453" s="90">
        <v>28</v>
      </c>
      <c r="G453" s="90">
        <v>30</v>
      </c>
      <c r="H453" s="90">
        <v>10</v>
      </c>
      <c r="I453" s="90">
        <v>17</v>
      </c>
      <c r="J453" s="90">
        <v>22</v>
      </c>
      <c r="K453" s="90">
        <v>33</v>
      </c>
      <c r="L453" s="90">
        <v>38</v>
      </c>
      <c r="M453" s="95">
        <v>1</v>
      </c>
      <c r="N453" s="90">
        <v>2</v>
      </c>
    </row>
    <row r="454" spans="1:14" ht="16.5">
      <c r="A454" s="90">
        <v>451</v>
      </c>
      <c r="B454" s="47">
        <v>226</v>
      </c>
      <c r="C454" s="92" t="s">
        <v>469</v>
      </c>
      <c r="D454" s="50" t="s">
        <v>1852</v>
      </c>
      <c r="E454" s="50" t="s">
        <v>1935</v>
      </c>
      <c r="F454" s="90" t="s">
        <v>1872</v>
      </c>
      <c r="G454" s="90" t="s">
        <v>1682</v>
      </c>
      <c r="H454" s="90" t="s">
        <v>1247</v>
      </c>
      <c r="I454" s="90" t="s">
        <v>1873</v>
      </c>
      <c r="J454" s="90" t="s">
        <v>1874</v>
      </c>
      <c r="K454" s="90" t="s">
        <v>1875</v>
      </c>
      <c r="L454" s="90" t="s">
        <v>1876</v>
      </c>
      <c r="M454" s="95" t="s">
        <v>1679</v>
      </c>
      <c r="N454" s="90" t="s">
        <v>1877</v>
      </c>
    </row>
    <row r="455" spans="1:14" ht="16.5">
      <c r="A455" s="90">
        <v>452</v>
      </c>
      <c r="B455" s="91">
        <v>227</v>
      </c>
      <c r="C455" s="93" t="s">
        <v>493</v>
      </c>
      <c r="D455" s="50" t="s">
        <v>1852</v>
      </c>
      <c r="E455" s="50" t="s">
        <v>1935</v>
      </c>
      <c r="F455" s="90" t="s">
        <v>1872</v>
      </c>
      <c r="G455" s="90" t="s">
        <v>1682</v>
      </c>
      <c r="H455" s="90" t="s">
        <v>1247</v>
      </c>
      <c r="I455" s="90" t="s">
        <v>1873</v>
      </c>
      <c r="J455" s="90" t="s">
        <v>1874</v>
      </c>
      <c r="K455" s="90" t="s">
        <v>1875</v>
      </c>
      <c r="L455" s="90" t="s">
        <v>1876</v>
      </c>
      <c r="M455" s="95" t="s">
        <v>1679</v>
      </c>
      <c r="N455" s="90" t="s">
        <v>1870</v>
      </c>
    </row>
    <row r="456" spans="1:14" ht="16.5">
      <c r="A456" s="90">
        <v>453</v>
      </c>
      <c r="B456" s="47">
        <v>234</v>
      </c>
      <c r="C456" s="50" t="s">
        <v>1878</v>
      </c>
      <c r="D456" s="50" t="s">
        <v>1852</v>
      </c>
      <c r="E456" s="50" t="s">
        <v>1935</v>
      </c>
      <c r="F456" s="90" t="s">
        <v>1854</v>
      </c>
      <c r="G456" s="90" t="s">
        <v>1674</v>
      </c>
      <c r="H456" s="90" t="s">
        <v>1247</v>
      </c>
      <c r="I456" s="90" t="s">
        <v>1855</v>
      </c>
      <c r="J456" s="90" t="s">
        <v>1856</v>
      </c>
      <c r="K456" s="90" t="s">
        <v>1857</v>
      </c>
      <c r="L456" s="90" t="s">
        <v>1858</v>
      </c>
      <c r="M456" s="95" t="s">
        <v>1679</v>
      </c>
      <c r="N456" s="90" t="s">
        <v>1859</v>
      </c>
    </row>
    <row r="457" spans="1:14" ht="16.5">
      <c r="A457" s="90">
        <v>454</v>
      </c>
      <c r="B457" s="47">
        <v>235</v>
      </c>
      <c r="C457" s="50" t="s">
        <v>601</v>
      </c>
      <c r="D457" s="50" t="s">
        <v>1852</v>
      </c>
      <c r="E457" s="50" t="s">
        <v>1935</v>
      </c>
      <c r="F457" s="90">
        <v>50</v>
      </c>
      <c r="G457" s="90">
        <v>30</v>
      </c>
      <c r="H457" s="90">
        <v>10</v>
      </c>
      <c r="I457" s="90">
        <v>30</v>
      </c>
      <c r="J457" s="90">
        <v>40</v>
      </c>
      <c r="K457" s="90">
        <v>60</v>
      </c>
      <c r="L457" s="90">
        <v>65</v>
      </c>
      <c r="M457" s="95">
        <v>1</v>
      </c>
      <c r="N457" s="90">
        <v>3</v>
      </c>
    </row>
    <row r="458" spans="1:14" ht="16.5">
      <c r="A458" s="90">
        <v>455</v>
      </c>
      <c r="B458" s="47">
        <v>236</v>
      </c>
      <c r="C458" s="50" t="s">
        <v>1688</v>
      </c>
      <c r="D458" s="50" t="s">
        <v>1852</v>
      </c>
      <c r="E458" s="50" t="s">
        <v>1935</v>
      </c>
      <c r="F458" s="90">
        <v>50</v>
      </c>
      <c r="G458" s="90">
        <v>30</v>
      </c>
      <c r="H458" s="90">
        <v>10</v>
      </c>
      <c r="I458" s="90">
        <v>30</v>
      </c>
      <c r="J458" s="90">
        <v>40</v>
      </c>
      <c r="K458" s="90">
        <v>60</v>
      </c>
      <c r="L458" s="90">
        <v>65</v>
      </c>
      <c r="M458" s="95">
        <v>1</v>
      </c>
      <c r="N458" s="90">
        <v>3</v>
      </c>
    </row>
    <row r="459" spans="1:14" ht="16.5">
      <c r="A459" s="90">
        <v>456</v>
      </c>
      <c r="B459" s="91">
        <v>201</v>
      </c>
      <c r="C459" s="90" t="s">
        <v>66</v>
      </c>
      <c r="D459" s="50" t="s">
        <v>1852</v>
      </c>
      <c r="E459" s="50" t="s">
        <v>1935</v>
      </c>
      <c r="F459" s="90" t="s">
        <v>1872</v>
      </c>
      <c r="G459" s="90" t="s">
        <v>1682</v>
      </c>
      <c r="H459" s="90" t="s">
        <v>1247</v>
      </c>
      <c r="I459" s="90" t="s">
        <v>1879</v>
      </c>
      <c r="J459" s="90" t="s">
        <v>1880</v>
      </c>
      <c r="K459" s="90" t="s">
        <v>1875</v>
      </c>
      <c r="L459" s="90" t="s">
        <v>1876</v>
      </c>
      <c r="M459" s="95" t="s">
        <v>1679</v>
      </c>
      <c r="N459" s="90" t="s">
        <v>1680</v>
      </c>
    </row>
    <row r="460" spans="1:14" ht="16.5">
      <c r="A460" s="90">
        <v>457</v>
      </c>
      <c r="B460" s="91">
        <v>206</v>
      </c>
      <c r="C460" s="90" t="s">
        <v>293</v>
      </c>
      <c r="D460" s="50" t="s">
        <v>1852</v>
      </c>
      <c r="E460" s="50" t="s">
        <v>1935</v>
      </c>
      <c r="F460" s="90" t="s">
        <v>1860</v>
      </c>
      <c r="G460" s="90" t="s">
        <v>1682</v>
      </c>
      <c r="H460" s="90" t="s">
        <v>1247</v>
      </c>
      <c r="I460" s="90" t="s">
        <v>1861</v>
      </c>
      <c r="J460" s="90" t="s">
        <v>1862</v>
      </c>
      <c r="K460" s="90" t="s">
        <v>1863</v>
      </c>
      <c r="L460" s="90" t="s">
        <v>1864</v>
      </c>
      <c r="M460" s="95" t="s">
        <v>1679</v>
      </c>
      <c r="N460" s="90" t="s">
        <v>1680</v>
      </c>
    </row>
    <row r="461" spans="1:14" ht="16.5">
      <c r="A461" s="90">
        <v>458</v>
      </c>
      <c r="B461" s="47">
        <v>209</v>
      </c>
      <c r="C461" s="50" t="s">
        <v>344</v>
      </c>
      <c r="D461" s="50" t="s">
        <v>1852</v>
      </c>
      <c r="E461" s="50" t="s">
        <v>1935</v>
      </c>
      <c r="F461" s="90" t="s">
        <v>1860</v>
      </c>
      <c r="G461" s="90" t="s">
        <v>1682</v>
      </c>
      <c r="H461" s="90" t="s">
        <v>1247</v>
      </c>
      <c r="I461" s="90" t="s">
        <v>1861</v>
      </c>
      <c r="J461" s="90" t="s">
        <v>1862</v>
      </c>
      <c r="K461" s="90" t="s">
        <v>1863</v>
      </c>
      <c r="L461" s="90" t="s">
        <v>1864</v>
      </c>
      <c r="M461" s="95" t="s">
        <v>1679</v>
      </c>
      <c r="N461" s="90" t="s">
        <v>1680</v>
      </c>
    </row>
    <row r="462" spans="1:14" ht="16.5">
      <c r="A462" s="90">
        <v>459</v>
      </c>
      <c r="B462" s="47">
        <v>230</v>
      </c>
      <c r="C462" s="50" t="s">
        <v>539</v>
      </c>
      <c r="D462" s="50" t="s">
        <v>1852</v>
      </c>
      <c r="E462" s="50" t="s">
        <v>1935</v>
      </c>
      <c r="F462" s="90" t="s">
        <v>1881</v>
      </c>
      <c r="G462" s="90" t="s">
        <v>1682</v>
      </c>
      <c r="H462" s="90" t="s">
        <v>1247</v>
      </c>
      <c r="I462" s="90" t="s">
        <v>1683</v>
      </c>
      <c r="J462" s="90" t="s">
        <v>1684</v>
      </c>
      <c r="K462" s="90" t="s">
        <v>1882</v>
      </c>
      <c r="L462" s="90" t="s">
        <v>1883</v>
      </c>
      <c r="M462" s="95" t="s">
        <v>1679</v>
      </c>
      <c r="N462" s="90" t="s">
        <v>1884</v>
      </c>
    </row>
    <row r="463" spans="1:14" ht="16.5">
      <c r="A463" s="90">
        <v>460</v>
      </c>
      <c r="B463" s="91">
        <v>232</v>
      </c>
      <c r="C463" s="90" t="s">
        <v>319</v>
      </c>
      <c r="D463" s="50" t="s">
        <v>1852</v>
      </c>
      <c r="E463" s="50" t="s">
        <v>1935</v>
      </c>
      <c r="F463" s="90" t="s">
        <v>1860</v>
      </c>
      <c r="G463" s="90" t="s">
        <v>1682</v>
      </c>
      <c r="H463" s="90" t="s">
        <v>1247</v>
      </c>
      <c r="I463" s="90" t="s">
        <v>1861</v>
      </c>
      <c r="J463" s="90" t="s">
        <v>1862</v>
      </c>
      <c r="K463" s="90" t="s">
        <v>1863</v>
      </c>
      <c r="L463" s="90" t="s">
        <v>1864</v>
      </c>
      <c r="M463" s="95" t="s">
        <v>1679</v>
      </c>
      <c r="N463" s="90" t="s">
        <v>1680</v>
      </c>
    </row>
    <row r="464" spans="1:14" ht="16.5">
      <c r="A464" s="90">
        <v>461</v>
      </c>
      <c r="B464" s="47">
        <v>233</v>
      </c>
      <c r="C464" s="50" t="s">
        <v>593</v>
      </c>
      <c r="D464" s="50" t="s">
        <v>1852</v>
      </c>
      <c r="E464" s="50" t="s">
        <v>1935</v>
      </c>
      <c r="F464" s="90">
        <v>50</v>
      </c>
      <c r="G464" s="90">
        <v>30</v>
      </c>
      <c r="H464" s="90">
        <v>10</v>
      </c>
      <c r="I464" s="90">
        <v>30</v>
      </c>
      <c r="J464" s="90">
        <v>40</v>
      </c>
      <c r="K464" s="90">
        <v>60</v>
      </c>
      <c r="L464" s="90">
        <v>65</v>
      </c>
      <c r="M464" s="95">
        <v>1</v>
      </c>
      <c r="N464" s="90">
        <v>3</v>
      </c>
    </row>
    <row r="465" spans="1:14" ht="16.5">
      <c r="A465" s="90">
        <v>462</v>
      </c>
      <c r="B465" s="47">
        <v>237</v>
      </c>
      <c r="C465" s="50" t="s">
        <v>565</v>
      </c>
      <c r="D465" s="50" t="s">
        <v>1852</v>
      </c>
      <c r="E465" s="50" t="s">
        <v>1935</v>
      </c>
      <c r="F465" s="90" t="s">
        <v>1885</v>
      </c>
      <c r="G465" s="90" t="s">
        <v>1682</v>
      </c>
      <c r="H465" s="90" t="s">
        <v>1247</v>
      </c>
      <c r="I465" s="90" t="s">
        <v>1675</v>
      </c>
      <c r="J465" s="90" t="s">
        <v>1676</v>
      </c>
      <c r="K465" s="90" t="s">
        <v>1886</v>
      </c>
      <c r="L465" s="90" t="s">
        <v>1887</v>
      </c>
      <c r="M465" s="95" t="s">
        <v>1679</v>
      </c>
      <c r="N465" s="90" t="s">
        <v>1680</v>
      </c>
    </row>
    <row r="466" spans="1:14" ht="16.5">
      <c r="A466" s="90">
        <v>463</v>
      </c>
      <c r="B466" s="47">
        <v>213</v>
      </c>
      <c r="C466" s="50" t="s">
        <v>599</v>
      </c>
      <c r="D466" s="50" t="s">
        <v>1852</v>
      </c>
      <c r="E466" s="50" t="s">
        <v>1935</v>
      </c>
      <c r="F466" s="90">
        <v>63</v>
      </c>
      <c r="G466" s="90">
        <v>30</v>
      </c>
      <c r="H466" s="90">
        <v>10</v>
      </c>
      <c r="I466" s="90">
        <v>48</v>
      </c>
      <c r="J466" s="90">
        <v>53</v>
      </c>
      <c r="K466" s="90">
        <v>73</v>
      </c>
      <c r="L466" s="90">
        <v>78</v>
      </c>
      <c r="M466" s="95">
        <v>1</v>
      </c>
      <c r="N466" s="90">
        <v>6</v>
      </c>
    </row>
    <row r="467" spans="1:14" ht="16.5">
      <c r="A467" s="90">
        <v>464</v>
      </c>
      <c r="B467" s="47">
        <v>224</v>
      </c>
      <c r="C467" s="50" t="s">
        <v>369</v>
      </c>
      <c r="D467" s="50" t="s">
        <v>1852</v>
      </c>
      <c r="E467" s="50" t="s">
        <v>1935</v>
      </c>
      <c r="F467" s="90" t="s">
        <v>1860</v>
      </c>
      <c r="G467" s="90" t="s">
        <v>1682</v>
      </c>
      <c r="H467" s="90" t="s">
        <v>1247</v>
      </c>
      <c r="I467" s="90" t="s">
        <v>1861</v>
      </c>
      <c r="J467" s="90" t="s">
        <v>1862</v>
      </c>
      <c r="K467" s="90" t="s">
        <v>1863</v>
      </c>
      <c r="L467" s="90" t="s">
        <v>1864</v>
      </c>
      <c r="M467" s="95" t="s">
        <v>1679</v>
      </c>
      <c r="N467" s="90" t="s">
        <v>1680</v>
      </c>
    </row>
    <row r="468" spans="1:14" ht="16.5">
      <c r="A468" s="90">
        <v>465</v>
      </c>
      <c r="B468" s="47">
        <v>229</v>
      </c>
      <c r="C468" s="50" t="s">
        <v>515</v>
      </c>
      <c r="D468" s="50" t="s">
        <v>1852</v>
      </c>
      <c r="E468" s="50" t="s">
        <v>1935</v>
      </c>
      <c r="F468" s="90" t="s">
        <v>1872</v>
      </c>
      <c r="G468" s="90" t="s">
        <v>1682</v>
      </c>
      <c r="H468" s="90" t="s">
        <v>1247</v>
      </c>
      <c r="I468" s="90" t="s">
        <v>1879</v>
      </c>
      <c r="J468" s="90" t="s">
        <v>1880</v>
      </c>
      <c r="K468" s="90" t="s">
        <v>1875</v>
      </c>
      <c r="L468" s="90" t="s">
        <v>1876</v>
      </c>
      <c r="M468" s="95" t="s">
        <v>1679</v>
      </c>
      <c r="N468" s="90" t="s">
        <v>1680</v>
      </c>
    </row>
    <row r="469" spans="1:14" ht="16.5">
      <c r="A469" s="90">
        <v>466</v>
      </c>
      <c r="B469" s="47">
        <v>231</v>
      </c>
      <c r="C469" s="94" t="s">
        <v>591</v>
      </c>
      <c r="D469" s="50" t="s">
        <v>1852</v>
      </c>
      <c r="E469" s="50" t="s">
        <v>1935</v>
      </c>
      <c r="F469" s="90" t="s">
        <v>1872</v>
      </c>
      <c r="G469" s="90" t="s">
        <v>1862</v>
      </c>
      <c r="H469" s="90" t="s">
        <v>1888</v>
      </c>
      <c r="I469" s="90" t="s">
        <v>1862</v>
      </c>
      <c r="J469" s="90" t="s">
        <v>1889</v>
      </c>
      <c r="K469" s="90" t="s">
        <v>1890</v>
      </c>
      <c r="L469" s="90" t="s">
        <v>1868</v>
      </c>
      <c r="M469" s="95" t="s">
        <v>1679</v>
      </c>
      <c r="N469" s="90" t="s">
        <v>1891</v>
      </c>
    </row>
    <row r="470" spans="1:14" ht="16.5">
      <c r="A470" s="90">
        <v>467</v>
      </c>
      <c r="B470" s="47">
        <v>211</v>
      </c>
      <c r="C470" s="50" t="s">
        <v>605</v>
      </c>
      <c r="D470" s="50" t="s">
        <v>1852</v>
      </c>
      <c r="E470" s="50" t="s">
        <v>1935</v>
      </c>
      <c r="F470" s="90">
        <v>50</v>
      </c>
      <c r="G470" s="90">
        <v>30</v>
      </c>
      <c r="H470" s="90">
        <v>10</v>
      </c>
      <c r="I470" s="90">
        <v>33</v>
      </c>
      <c r="J470" s="90">
        <v>38</v>
      </c>
      <c r="K470" s="90">
        <v>58</v>
      </c>
      <c r="L470" s="90">
        <v>63</v>
      </c>
      <c r="M470" s="95">
        <v>1</v>
      </c>
      <c r="N470" s="90">
        <v>3</v>
      </c>
    </row>
    <row r="471" spans="1:14" ht="16.5">
      <c r="A471" s="90">
        <v>468</v>
      </c>
      <c r="B471" s="47">
        <v>212</v>
      </c>
      <c r="C471" s="50" t="s">
        <v>394</v>
      </c>
      <c r="D471" s="50" t="s">
        <v>1852</v>
      </c>
      <c r="E471" s="50" t="s">
        <v>1935</v>
      </c>
      <c r="F471" s="90" t="s">
        <v>1881</v>
      </c>
      <c r="G471" s="90" t="s">
        <v>1862</v>
      </c>
      <c r="H471" s="90" t="s">
        <v>1888</v>
      </c>
      <c r="I471" s="90" t="s">
        <v>1892</v>
      </c>
      <c r="J471" s="90" t="s">
        <v>1893</v>
      </c>
      <c r="K471" s="90" t="s">
        <v>1894</v>
      </c>
      <c r="L471" s="90" t="s">
        <v>1895</v>
      </c>
      <c r="M471" s="95" t="s">
        <v>1679</v>
      </c>
      <c r="N471" s="90" t="s">
        <v>1891</v>
      </c>
    </row>
    <row r="472" spans="1:14" ht="16.5">
      <c r="A472" s="90">
        <v>469</v>
      </c>
      <c r="B472" s="47">
        <v>300</v>
      </c>
      <c r="C472" s="50" t="s">
        <v>1896</v>
      </c>
      <c r="D472" s="50" t="s">
        <v>1852</v>
      </c>
      <c r="E472" s="50" t="s">
        <v>1935</v>
      </c>
      <c r="F472" s="90">
        <v>42</v>
      </c>
      <c r="G472" s="90">
        <v>30</v>
      </c>
      <c r="H472" s="90">
        <v>10</v>
      </c>
      <c r="I472" s="90">
        <v>27</v>
      </c>
      <c r="J472" s="90">
        <v>32</v>
      </c>
      <c r="K472" s="90">
        <v>52</v>
      </c>
      <c r="L472" s="90">
        <v>57</v>
      </c>
      <c r="M472" s="95">
        <v>1</v>
      </c>
      <c r="N472" s="90">
        <v>3</v>
      </c>
    </row>
    <row r="473" spans="1:14" ht="16.5">
      <c r="A473" s="90">
        <v>470</v>
      </c>
      <c r="B473" s="47">
        <v>228</v>
      </c>
      <c r="C473" s="50" t="s">
        <v>948</v>
      </c>
      <c r="D473" s="50" t="s">
        <v>1852</v>
      </c>
      <c r="E473" s="50" t="s">
        <v>1935</v>
      </c>
      <c r="F473" s="90" t="s">
        <v>1872</v>
      </c>
      <c r="G473" s="90" t="s">
        <v>1682</v>
      </c>
      <c r="H473" s="90" t="s">
        <v>1247</v>
      </c>
      <c r="I473" s="90" t="s">
        <v>1873</v>
      </c>
      <c r="J473" s="90" t="s">
        <v>1874</v>
      </c>
      <c r="K473" s="90" t="s">
        <v>1875</v>
      </c>
      <c r="L473" s="90" t="s">
        <v>1876</v>
      </c>
      <c r="M473" s="95" t="s">
        <v>1679</v>
      </c>
      <c r="N473" s="90" t="s">
        <v>1859</v>
      </c>
    </row>
    <row r="474" spans="1:14" ht="16.5">
      <c r="A474" s="90">
        <v>471</v>
      </c>
      <c r="B474" s="47">
        <v>202</v>
      </c>
      <c r="C474" s="50" t="s">
        <v>154</v>
      </c>
      <c r="D474" s="50" t="s">
        <v>1897</v>
      </c>
      <c r="E474" s="50" t="s">
        <v>1935</v>
      </c>
      <c r="F474" s="90" t="s">
        <v>1854</v>
      </c>
      <c r="G474" s="90" t="s">
        <v>1674</v>
      </c>
      <c r="H474" s="90" t="s">
        <v>1247</v>
      </c>
      <c r="I474" s="90" t="s">
        <v>1855</v>
      </c>
      <c r="J474" s="90" t="s">
        <v>1856</v>
      </c>
      <c r="K474" s="90" t="s">
        <v>1857</v>
      </c>
      <c r="L474" s="90" t="s">
        <v>1858</v>
      </c>
      <c r="M474" s="95" t="s">
        <v>1679</v>
      </c>
      <c r="N474" s="90" t="s">
        <v>1870</v>
      </c>
    </row>
    <row r="475" spans="1:14" ht="16.5">
      <c r="A475" s="90">
        <v>472</v>
      </c>
      <c r="B475" s="91">
        <v>203</v>
      </c>
      <c r="C475" s="90" t="s">
        <v>202</v>
      </c>
      <c r="D475" s="50" t="s">
        <v>1897</v>
      </c>
      <c r="E475" s="50" t="s">
        <v>1935</v>
      </c>
      <c r="F475" s="90" t="s">
        <v>1860</v>
      </c>
      <c r="G475" s="90" t="s">
        <v>1682</v>
      </c>
      <c r="H475" s="90" t="s">
        <v>1247</v>
      </c>
      <c r="I475" s="90" t="s">
        <v>1861</v>
      </c>
      <c r="J475" s="90" t="s">
        <v>1862</v>
      </c>
      <c r="K475" s="90" t="s">
        <v>1863</v>
      </c>
      <c r="L475" s="90" t="s">
        <v>1864</v>
      </c>
      <c r="M475" s="95" t="s">
        <v>1679</v>
      </c>
      <c r="N475" s="90" t="s">
        <v>1877</v>
      </c>
    </row>
    <row r="476" spans="1:14" ht="16.5">
      <c r="A476" s="90">
        <v>473</v>
      </c>
      <c r="B476" s="47">
        <v>204</v>
      </c>
      <c r="C476" s="50" t="s">
        <v>226</v>
      </c>
      <c r="D476" s="50" t="s">
        <v>1897</v>
      </c>
      <c r="E476" s="50" t="s">
        <v>1935</v>
      </c>
      <c r="F476" s="90" t="s">
        <v>1854</v>
      </c>
      <c r="G476" s="90" t="s">
        <v>1674</v>
      </c>
      <c r="H476" s="90" t="s">
        <v>1247</v>
      </c>
      <c r="I476" s="90" t="s">
        <v>1855</v>
      </c>
      <c r="J476" s="90" t="s">
        <v>1856</v>
      </c>
      <c r="K476" s="90" t="s">
        <v>1857</v>
      </c>
      <c r="L476" s="90" t="s">
        <v>1858</v>
      </c>
      <c r="M476" s="95" t="s">
        <v>1679</v>
      </c>
      <c r="N476" s="90" t="s">
        <v>1680</v>
      </c>
    </row>
    <row r="477" spans="1:14" ht="16.5">
      <c r="A477" s="90">
        <v>474</v>
      </c>
      <c r="B477" s="47">
        <v>205</v>
      </c>
      <c r="C477" s="50" t="s">
        <v>249</v>
      </c>
      <c r="D477" s="50" t="s">
        <v>1897</v>
      </c>
      <c r="E477" s="50" t="s">
        <v>1935</v>
      </c>
      <c r="F477" s="90" t="s">
        <v>1854</v>
      </c>
      <c r="G477" s="90" t="s">
        <v>1674</v>
      </c>
      <c r="H477" s="90" t="s">
        <v>1247</v>
      </c>
      <c r="I477" s="90" t="s">
        <v>1855</v>
      </c>
      <c r="J477" s="90" t="s">
        <v>1856</v>
      </c>
      <c r="K477" s="90" t="s">
        <v>1857</v>
      </c>
      <c r="L477" s="90" t="s">
        <v>1858</v>
      </c>
      <c r="M477" s="95" t="s">
        <v>1679</v>
      </c>
      <c r="N477" s="90" t="s">
        <v>1859</v>
      </c>
    </row>
    <row r="478" spans="1:14" ht="16.5">
      <c r="A478" s="90">
        <v>475</v>
      </c>
      <c r="B478" s="47">
        <v>207</v>
      </c>
      <c r="C478" s="50" t="s">
        <v>595</v>
      </c>
      <c r="D478" s="50" t="s">
        <v>1897</v>
      </c>
      <c r="E478" s="50" t="s">
        <v>1935</v>
      </c>
      <c r="F478" s="90">
        <v>50</v>
      </c>
      <c r="G478" s="90">
        <v>30</v>
      </c>
      <c r="H478" s="90">
        <v>10</v>
      </c>
      <c r="I478" s="90">
        <v>30</v>
      </c>
      <c r="J478" s="90">
        <v>40</v>
      </c>
      <c r="K478" s="90">
        <v>60</v>
      </c>
      <c r="L478" s="90">
        <v>65</v>
      </c>
      <c r="M478" s="95">
        <v>1</v>
      </c>
      <c r="N478" s="90">
        <v>3</v>
      </c>
    </row>
    <row r="479" spans="1:14" ht="16.5">
      <c r="A479" s="90">
        <v>476</v>
      </c>
      <c r="B479" s="47">
        <v>208</v>
      </c>
      <c r="C479" s="50" t="s">
        <v>589</v>
      </c>
      <c r="D479" s="50" t="s">
        <v>1897</v>
      </c>
      <c r="E479" s="50" t="s">
        <v>1935</v>
      </c>
      <c r="F479" s="90">
        <v>53</v>
      </c>
      <c r="G479" s="90">
        <v>50</v>
      </c>
      <c r="H479" s="90">
        <v>1</v>
      </c>
      <c r="I479" s="90">
        <v>20</v>
      </c>
      <c r="J479" s="90">
        <v>35</v>
      </c>
      <c r="K479" s="90">
        <v>63</v>
      </c>
      <c r="L479" s="90">
        <v>68</v>
      </c>
      <c r="M479" s="95">
        <v>1</v>
      </c>
      <c r="N479" s="90">
        <v>8</v>
      </c>
    </row>
    <row r="480" spans="1:14" ht="16.5">
      <c r="A480" s="90">
        <v>477</v>
      </c>
      <c r="B480" s="47">
        <v>215</v>
      </c>
      <c r="C480" s="50" t="s">
        <v>418</v>
      </c>
      <c r="D480" s="50" t="s">
        <v>1897</v>
      </c>
      <c r="E480" s="50" t="s">
        <v>1935</v>
      </c>
      <c r="F480" s="90" t="s">
        <v>1865</v>
      </c>
      <c r="G480" s="90" t="s">
        <v>1682</v>
      </c>
      <c r="H480" s="90" t="s">
        <v>1247</v>
      </c>
      <c r="I480" s="90" t="s">
        <v>1866</v>
      </c>
      <c r="J480" s="90" t="s">
        <v>1867</v>
      </c>
      <c r="K480" s="90" t="s">
        <v>1868</v>
      </c>
      <c r="L480" s="90" t="s">
        <v>1869</v>
      </c>
      <c r="M480" s="95" t="s">
        <v>1679</v>
      </c>
      <c r="N480" s="90" t="s">
        <v>1870</v>
      </c>
    </row>
    <row r="481" spans="1:14" ht="16.5">
      <c r="A481" s="90">
        <v>478</v>
      </c>
      <c r="B481" s="47">
        <v>222</v>
      </c>
      <c r="C481" s="50" t="s">
        <v>442</v>
      </c>
      <c r="D481" s="50" t="s">
        <v>1897</v>
      </c>
      <c r="E481" s="50" t="s">
        <v>1935</v>
      </c>
      <c r="F481" s="90" t="s">
        <v>1854</v>
      </c>
      <c r="G481" s="90" t="s">
        <v>1871</v>
      </c>
      <c r="H481" s="90" t="s">
        <v>1247</v>
      </c>
      <c r="I481" s="90" t="s">
        <v>1855</v>
      </c>
      <c r="J481" s="90" t="s">
        <v>1856</v>
      </c>
      <c r="K481" s="90" t="s">
        <v>1857</v>
      </c>
      <c r="L481" s="90" t="s">
        <v>1858</v>
      </c>
      <c r="M481" s="95" t="s">
        <v>1679</v>
      </c>
      <c r="N481" s="90" t="s">
        <v>1859</v>
      </c>
    </row>
    <row r="482" spans="1:14" ht="16.5">
      <c r="A482" s="90">
        <v>479</v>
      </c>
      <c r="B482" s="47">
        <v>223</v>
      </c>
      <c r="C482" s="50" t="s">
        <v>918</v>
      </c>
      <c r="D482" s="50" t="s">
        <v>1897</v>
      </c>
      <c r="E482" s="50" t="s">
        <v>1935</v>
      </c>
      <c r="F482" s="90">
        <v>28</v>
      </c>
      <c r="G482" s="90">
        <v>30</v>
      </c>
      <c r="H482" s="90">
        <v>10</v>
      </c>
      <c r="I482" s="90">
        <v>17</v>
      </c>
      <c r="J482" s="90">
        <v>22</v>
      </c>
      <c r="K482" s="90">
        <v>33</v>
      </c>
      <c r="L482" s="90">
        <v>38</v>
      </c>
      <c r="M482" s="95">
        <v>1</v>
      </c>
      <c r="N482" s="90">
        <v>2</v>
      </c>
    </row>
    <row r="483" spans="1:14" ht="16.5">
      <c r="A483" s="90">
        <v>480</v>
      </c>
      <c r="B483" s="47">
        <v>226</v>
      </c>
      <c r="C483" s="92" t="s">
        <v>469</v>
      </c>
      <c r="D483" s="50" t="s">
        <v>1897</v>
      </c>
      <c r="E483" s="50" t="s">
        <v>1935</v>
      </c>
      <c r="F483" s="90" t="s">
        <v>1872</v>
      </c>
      <c r="G483" s="90" t="s">
        <v>1682</v>
      </c>
      <c r="H483" s="90" t="s">
        <v>1247</v>
      </c>
      <c r="I483" s="90" t="s">
        <v>1873</v>
      </c>
      <c r="J483" s="90" t="s">
        <v>1874</v>
      </c>
      <c r="K483" s="90" t="s">
        <v>1875</v>
      </c>
      <c r="L483" s="90" t="s">
        <v>1876</v>
      </c>
      <c r="M483" s="95" t="s">
        <v>1679</v>
      </c>
      <c r="N483" s="90" t="s">
        <v>1877</v>
      </c>
    </row>
    <row r="484" spans="1:14" ht="16.5">
      <c r="A484" s="90">
        <v>481</v>
      </c>
      <c r="B484" s="91">
        <v>227</v>
      </c>
      <c r="C484" s="93" t="s">
        <v>493</v>
      </c>
      <c r="D484" s="50" t="s">
        <v>1897</v>
      </c>
      <c r="E484" s="50" t="s">
        <v>1935</v>
      </c>
      <c r="F484" s="90" t="s">
        <v>1872</v>
      </c>
      <c r="G484" s="90" t="s">
        <v>1682</v>
      </c>
      <c r="H484" s="90" t="s">
        <v>1247</v>
      </c>
      <c r="I484" s="90" t="s">
        <v>1873</v>
      </c>
      <c r="J484" s="90" t="s">
        <v>1874</v>
      </c>
      <c r="K484" s="90" t="s">
        <v>1875</v>
      </c>
      <c r="L484" s="90" t="s">
        <v>1876</v>
      </c>
      <c r="M484" s="95" t="s">
        <v>1679</v>
      </c>
      <c r="N484" s="90" t="s">
        <v>1870</v>
      </c>
    </row>
    <row r="485" spans="1:14" ht="16.5">
      <c r="A485" s="90">
        <v>482</v>
      </c>
      <c r="B485" s="47">
        <v>234</v>
      </c>
      <c r="C485" s="50" t="s">
        <v>1878</v>
      </c>
      <c r="D485" s="50" t="s">
        <v>1897</v>
      </c>
      <c r="E485" s="50" t="s">
        <v>1935</v>
      </c>
      <c r="F485" s="90" t="s">
        <v>1854</v>
      </c>
      <c r="G485" s="90" t="s">
        <v>1674</v>
      </c>
      <c r="H485" s="90" t="s">
        <v>1247</v>
      </c>
      <c r="I485" s="90" t="s">
        <v>1855</v>
      </c>
      <c r="J485" s="90" t="s">
        <v>1856</v>
      </c>
      <c r="K485" s="90" t="s">
        <v>1857</v>
      </c>
      <c r="L485" s="90" t="s">
        <v>1858</v>
      </c>
      <c r="M485" s="95" t="s">
        <v>1679</v>
      </c>
      <c r="N485" s="90" t="s">
        <v>1859</v>
      </c>
    </row>
    <row r="486" spans="1:14" ht="16.5">
      <c r="A486" s="90">
        <v>483</v>
      </c>
      <c r="B486" s="47">
        <v>235</v>
      </c>
      <c r="C486" s="50" t="s">
        <v>601</v>
      </c>
      <c r="D486" s="50" t="s">
        <v>1897</v>
      </c>
      <c r="E486" s="50" t="s">
        <v>1935</v>
      </c>
      <c r="F486" s="90">
        <v>50</v>
      </c>
      <c r="G486" s="90">
        <v>30</v>
      </c>
      <c r="H486" s="90">
        <v>10</v>
      </c>
      <c r="I486" s="90">
        <v>30</v>
      </c>
      <c r="J486" s="90">
        <v>40</v>
      </c>
      <c r="K486" s="90">
        <v>60</v>
      </c>
      <c r="L486" s="90">
        <v>65</v>
      </c>
      <c r="M486" s="95">
        <v>1</v>
      </c>
      <c r="N486" s="90">
        <v>3</v>
      </c>
    </row>
    <row r="487" spans="1:14" ht="16.5">
      <c r="A487" s="90">
        <v>484</v>
      </c>
      <c r="B487" s="47">
        <v>236</v>
      </c>
      <c r="C487" s="50" t="s">
        <v>1688</v>
      </c>
      <c r="D487" s="50" t="s">
        <v>1897</v>
      </c>
      <c r="E487" s="50" t="s">
        <v>1935</v>
      </c>
      <c r="F487" s="90">
        <v>50</v>
      </c>
      <c r="G487" s="90">
        <v>30</v>
      </c>
      <c r="H487" s="90">
        <v>10</v>
      </c>
      <c r="I487" s="90">
        <v>30</v>
      </c>
      <c r="J487" s="90">
        <v>40</v>
      </c>
      <c r="K487" s="90">
        <v>60</v>
      </c>
      <c r="L487" s="90">
        <v>65</v>
      </c>
      <c r="M487" s="95">
        <v>1</v>
      </c>
      <c r="N487" s="90">
        <v>3</v>
      </c>
    </row>
    <row r="488" spans="1:14" ht="16.5">
      <c r="A488" s="90">
        <v>485</v>
      </c>
      <c r="B488" s="91">
        <v>201</v>
      </c>
      <c r="C488" s="90" t="s">
        <v>66</v>
      </c>
      <c r="D488" s="50" t="s">
        <v>1897</v>
      </c>
      <c r="E488" s="50" t="s">
        <v>1935</v>
      </c>
      <c r="F488" s="90" t="s">
        <v>1872</v>
      </c>
      <c r="G488" s="90" t="s">
        <v>1682</v>
      </c>
      <c r="H488" s="90" t="s">
        <v>1247</v>
      </c>
      <c r="I488" s="90" t="s">
        <v>1879</v>
      </c>
      <c r="J488" s="90" t="s">
        <v>1880</v>
      </c>
      <c r="K488" s="90" t="s">
        <v>1875</v>
      </c>
      <c r="L488" s="90" t="s">
        <v>1876</v>
      </c>
      <c r="M488" s="95" t="s">
        <v>1679</v>
      </c>
      <c r="N488" s="90" t="s">
        <v>1680</v>
      </c>
    </row>
    <row r="489" spans="1:14" ht="16.5">
      <c r="A489" s="90">
        <v>486</v>
      </c>
      <c r="B489" s="91">
        <v>206</v>
      </c>
      <c r="C489" s="90" t="s">
        <v>293</v>
      </c>
      <c r="D489" s="50" t="s">
        <v>1897</v>
      </c>
      <c r="E489" s="50" t="s">
        <v>1935</v>
      </c>
      <c r="F489" s="90" t="s">
        <v>1860</v>
      </c>
      <c r="G489" s="90" t="s">
        <v>1682</v>
      </c>
      <c r="H489" s="90" t="s">
        <v>1247</v>
      </c>
      <c r="I489" s="90" t="s">
        <v>1861</v>
      </c>
      <c r="J489" s="90" t="s">
        <v>1862</v>
      </c>
      <c r="K489" s="90" t="s">
        <v>1863</v>
      </c>
      <c r="L489" s="90" t="s">
        <v>1864</v>
      </c>
      <c r="M489" s="95" t="s">
        <v>1679</v>
      </c>
      <c r="N489" s="90" t="s">
        <v>1680</v>
      </c>
    </row>
    <row r="490" spans="1:14" ht="16.5">
      <c r="A490" s="90">
        <v>487</v>
      </c>
      <c r="B490" s="47">
        <v>209</v>
      </c>
      <c r="C490" s="50" t="s">
        <v>344</v>
      </c>
      <c r="D490" s="50" t="s">
        <v>1897</v>
      </c>
      <c r="E490" s="50" t="s">
        <v>1935</v>
      </c>
      <c r="F490" s="90" t="s">
        <v>1860</v>
      </c>
      <c r="G490" s="90" t="s">
        <v>1682</v>
      </c>
      <c r="H490" s="90" t="s">
        <v>1247</v>
      </c>
      <c r="I490" s="90" t="s">
        <v>1861</v>
      </c>
      <c r="J490" s="90" t="s">
        <v>1862</v>
      </c>
      <c r="K490" s="90" t="s">
        <v>1863</v>
      </c>
      <c r="L490" s="90" t="s">
        <v>1864</v>
      </c>
      <c r="M490" s="95" t="s">
        <v>1679</v>
      </c>
      <c r="N490" s="90" t="s">
        <v>1680</v>
      </c>
    </row>
    <row r="491" spans="1:14" ht="16.5">
      <c r="A491" s="90">
        <v>488</v>
      </c>
      <c r="B491" s="47">
        <v>230</v>
      </c>
      <c r="C491" s="50" t="s">
        <v>539</v>
      </c>
      <c r="D491" s="50" t="s">
        <v>1897</v>
      </c>
      <c r="E491" s="50" t="s">
        <v>1935</v>
      </c>
      <c r="F491" s="90" t="s">
        <v>1881</v>
      </c>
      <c r="G491" s="90" t="s">
        <v>1682</v>
      </c>
      <c r="H491" s="90" t="s">
        <v>1247</v>
      </c>
      <c r="I491" s="90" t="s">
        <v>1683</v>
      </c>
      <c r="J491" s="90" t="s">
        <v>1684</v>
      </c>
      <c r="K491" s="90" t="s">
        <v>1882</v>
      </c>
      <c r="L491" s="90" t="s">
        <v>1883</v>
      </c>
      <c r="M491" s="95" t="s">
        <v>1679</v>
      </c>
      <c r="N491" s="90" t="s">
        <v>1884</v>
      </c>
    </row>
    <row r="492" spans="1:14" ht="16.5">
      <c r="A492" s="90">
        <v>489</v>
      </c>
      <c r="B492" s="91">
        <v>232</v>
      </c>
      <c r="C492" s="90" t="s">
        <v>319</v>
      </c>
      <c r="D492" s="50" t="s">
        <v>1897</v>
      </c>
      <c r="E492" s="50" t="s">
        <v>1935</v>
      </c>
      <c r="F492" s="90" t="s">
        <v>1860</v>
      </c>
      <c r="G492" s="90" t="s">
        <v>1682</v>
      </c>
      <c r="H492" s="90" t="s">
        <v>1247</v>
      </c>
      <c r="I492" s="90" t="s">
        <v>1861</v>
      </c>
      <c r="J492" s="90" t="s">
        <v>1862</v>
      </c>
      <c r="K492" s="90" t="s">
        <v>1863</v>
      </c>
      <c r="L492" s="90" t="s">
        <v>1864</v>
      </c>
      <c r="M492" s="95" t="s">
        <v>1679</v>
      </c>
      <c r="N492" s="90" t="s">
        <v>1680</v>
      </c>
    </row>
    <row r="493" spans="1:14" ht="16.5">
      <c r="A493" s="90">
        <v>490</v>
      </c>
      <c r="B493" s="47">
        <v>233</v>
      </c>
      <c r="C493" s="50" t="s">
        <v>593</v>
      </c>
      <c r="D493" s="50" t="s">
        <v>1897</v>
      </c>
      <c r="E493" s="50" t="s">
        <v>1935</v>
      </c>
      <c r="F493" s="90">
        <v>50</v>
      </c>
      <c r="G493" s="90">
        <v>30</v>
      </c>
      <c r="H493" s="90">
        <v>10</v>
      </c>
      <c r="I493" s="90">
        <v>30</v>
      </c>
      <c r="J493" s="90">
        <v>40</v>
      </c>
      <c r="K493" s="90">
        <v>60</v>
      </c>
      <c r="L493" s="90">
        <v>65</v>
      </c>
      <c r="M493" s="95">
        <v>1</v>
      </c>
      <c r="N493" s="90">
        <v>3</v>
      </c>
    </row>
    <row r="494" spans="1:14" ht="16.5">
      <c r="A494" s="90">
        <v>491</v>
      </c>
      <c r="B494" s="47">
        <v>237</v>
      </c>
      <c r="C494" s="50" t="s">
        <v>565</v>
      </c>
      <c r="D494" s="50" t="s">
        <v>1897</v>
      </c>
      <c r="E494" s="50" t="s">
        <v>1935</v>
      </c>
      <c r="F494" s="90" t="s">
        <v>1885</v>
      </c>
      <c r="G494" s="90" t="s">
        <v>1682</v>
      </c>
      <c r="H494" s="90" t="s">
        <v>1247</v>
      </c>
      <c r="I494" s="90" t="s">
        <v>1675</v>
      </c>
      <c r="J494" s="90" t="s">
        <v>1676</v>
      </c>
      <c r="K494" s="90" t="s">
        <v>1886</v>
      </c>
      <c r="L494" s="90" t="s">
        <v>1887</v>
      </c>
      <c r="M494" s="95" t="s">
        <v>1679</v>
      </c>
      <c r="N494" s="90" t="s">
        <v>1680</v>
      </c>
    </row>
    <row r="495" spans="1:14" ht="16.5">
      <c r="A495" s="90">
        <v>492</v>
      </c>
      <c r="B495" s="47">
        <v>213</v>
      </c>
      <c r="C495" s="50" t="s">
        <v>599</v>
      </c>
      <c r="D495" s="50" t="s">
        <v>1897</v>
      </c>
      <c r="E495" s="50" t="s">
        <v>1935</v>
      </c>
      <c r="F495" s="90">
        <v>63</v>
      </c>
      <c r="G495" s="90">
        <v>30</v>
      </c>
      <c r="H495" s="90">
        <v>10</v>
      </c>
      <c r="I495" s="90">
        <v>48</v>
      </c>
      <c r="J495" s="90">
        <v>53</v>
      </c>
      <c r="K495" s="90">
        <v>73</v>
      </c>
      <c r="L495" s="90">
        <v>78</v>
      </c>
      <c r="M495" s="95">
        <v>1</v>
      </c>
      <c r="N495" s="90">
        <v>6</v>
      </c>
    </row>
    <row r="496" spans="1:14" ht="16.5">
      <c r="A496" s="90">
        <v>493</v>
      </c>
      <c r="B496" s="47">
        <v>224</v>
      </c>
      <c r="C496" s="50" t="s">
        <v>369</v>
      </c>
      <c r="D496" s="50" t="s">
        <v>1897</v>
      </c>
      <c r="E496" s="50" t="s">
        <v>1935</v>
      </c>
      <c r="F496" s="90" t="s">
        <v>1860</v>
      </c>
      <c r="G496" s="90" t="s">
        <v>1682</v>
      </c>
      <c r="H496" s="90" t="s">
        <v>1247</v>
      </c>
      <c r="I496" s="90" t="s">
        <v>1861</v>
      </c>
      <c r="J496" s="90" t="s">
        <v>1862</v>
      </c>
      <c r="K496" s="90" t="s">
        <v>1863</v>
      </c>
      <c r="L496" s="90" t="s">
        <v>1864</v>
      </c>
      <c r="M496" s="95" t="s">
        <v>1679</v>
      </c>
      <c r="N496" s="90" t="s">
        <v>1680</v>
      </c>
    </row>
    <row r="497" spans="1:14" ht="16.5">
      <c r="A497" s="90">
        <v>494</v>
      </c>
      <c r="B497" s="47">
        <v>229</v>
      </c>
      <c r="C497" s="50" t="s">
        <v>515</v>
      </c>
      <c r="D497" s="50" t="s">
        <v>1897</v>
      </c>
      <c r="E497" s="50" t="s">
        <v>1935</v>
      </c>
      <c r="F497" s="90" t="s">
        <v>1872</v>
      </c>
      <c r="G497" s="90" t="s">
        <v>1682</v>
      </c>
      <c r="H497" s="90" t="s">
        <v>1247</v>
      </c>
      <c r="I497" s="90" t="s">
        <v>1879</v>
      </c>
      <c r="J497" s="90" t="s">
        <v>1880</v>
      </c>
      <c r="K497" s="90" t="s">
        <v>1875</v>
      </c>
      <c r="L497" s="90" t="s">
        <v>1876</v>
      </c>
      <c r="M497" s="95" t="s">
        <v>1679</v>
      </c>
      <c r="N497" s="90" t="s">
        <v>1680</v>
      </c>
    </row>
    <row r="498" spans="1:14" ht="16.5">
      <c r="A498" s="90">
        <v>495</v>
      </c>
      <c r="B498" s="47">
        <v>231</v>
      </c>
      <c r="C498" s="94" t="s">
        <v>591</v>
      </c>
      <c r="D498" s="50" t="s">
        <v>1897</v>
      </c>
      <c r="E498" s="50" t="s">
        <v>1935</v>
      </c>
      <c r="F498" s="90" t="s">
        <v>1872</v>
      </c>
      <c r="G498" s="90" t="s">
        <v>1862</v>
      </c>
      <c r="H498" s="90" t="s">
        <v>1888</v>
      </c>
      <c r="I498" s="90" t="s">
        <v>1862</v>
      </c>
      <c r="J498" s="90" t="s">
        <v>1889</v>
      </c>
      <c r="K498" s="90" t="s">
        <v>1890</v>
      </c>
      <c r="L498" s="90" t="s">
        <v>1868</v>
      </c>
      <c r="M498" s="95" t="s">
        <v>1679</v>
      </c>
      <c r="N498" s="90" t="s">
        <v>1891</v>
      </c>
    </row>
    <row r="499" spans="1:14" ht="16.5">
      <c r="A499" s="90">
        <v>496</v>
      </c>
      <c r="B499" s="47">
        <v>211</v>
      </c>
      <c r="C499" s="50" t="s">
        <v>605</v>
      </c>
      <c r="D499" s="50" t="s">
        <v>1897</v>
      </c>
      <c r="E499" s="50" t="s">
        <v>1935</v>
      </c>
      <c r="F499" s="90">
        <v>50</v>
      </c>
      <c r="G499" s="90">
        <v>30</v>
      </c>
      <c r="H499" s="90">
        <v>10</v>
      </c>
      <c r="I499" s="90">
        <v>33</v>
      </c>
      <c r="J499" s="90">
        <v>38</v>
      </c>
      <c r="K499" s="90">
        <v>58</v>
      </c>
      <c r="L499" s="90">
        <v>63</v>
      </c>
      <c r="M499" s="95">
        <v>1</v>
      </c>
      <c r="N499" s="90">
        <v>3</v>
      </c>
    </row>
    <row r="500" spans="1:14" ht="16.5">
      <c r="A500" s="90">
        <v>497</v>
      </c>
      <c r="B500" s="47">
        <v>212</v>
      </c>
      <c r="C500" s="50" t="s">
        <v>394</v>
      </c>
      <c r="D500" s="50" t="s">
        <v>1897</v>
      </c>
      <c r="E500" s="50" t="s">
        <v>1935</v>
      </c>
      <c r="F500" s="90" t="s">
        <v>1898</v>
      </c>
      <c r="G500" s="90" t="s">
        <v>1862</v>
      </c>
      <c r="H500" s="90" t="s">
        <v>1888</v>
      </c>
      <c r="I500" s="90" t="s">
        <v>1899</v>
      </c>
      <c r="J500" s="90" t="s">
        <v>1889</v>
      </c>
      <c r="K500" s="90" t="s">
        <v>1900</v>
      </c>
      <c r="L500" s="90" t="s">
        <v>1901</v>
      </c>
      <c r="M500" s="95" t="s">
        <v>1679</v>
      </c>
      <c r="N500" s="90" t="s">
        <v>1902</v>
      </c>
    </row>
    <row r="501" spans="1:14" ht="16.5">
      <c r="A501" s="90">
        <v>498</v>
      </c>
      <c r="B501" s="47">
        <v>300</v>
      </c>
      <c r="C501" s="50" t="s">
        <v>1896</v>
      </c>
      <c r="D501" s="50" t="s">
        <v>1897</v>
      </c>
      <c r="E501" s="50" t="s">
        <v>1935</v>
      </c>
      <c r="F501" s="90">
        <v>42</v>
      </c>
      <c r="G501" s="90">
        <v>30</v>
      </c>
      <c r="H501" s="90">
        <v>10</v>
      </c>
      <c r="I501" s="90">
        <v>27</v>
      </c>
      <c r="J501" s="90">
        <v>32</v>
      </c>
      <c r="K501" s="90">
        <v>52</v>
      </c>
      <c r="L501" s="90">
        <v>57</v>
      </c>
      <c r="M501" s="95">
        <v>1</v>
      </c>
      <c r="N501" s="90">
        <v>3</v>
      </c>
    </row>
    <row r="502" spans="1:14" ht="16.5">
      <c r="A502" s="90">
        <v>499</v>
      </c>
      <c r="B502" s="47">
        <v>228</v>
      </c>
      <c r="C502" s="50" t="s">
        <v>948</v>
      </c>
      <c r="D502" s="50" t="s">
        <v>1897</v>
      </c>
      <c r="E502" s="50" t="s">
        <v>1935</v>
      </c>
      <c r="F502" s="90" t="s">
        <v>1872</v>
      </c>
      <c r="G502" s="90" t="s">
        <v>1682</v>
      </c>
      <c r="H502" s="90" t="s">
        <v>1247</v>
      </c>
      <c r="I502" s="90" t="s">
        <v>1873</v>
      </c>
      <c r="J502" s="90" t="s">
        <v>1874</v>
      </c>
      <c r="K502" s="90" t="s">
        <v>1875</v>
      </c>
      <c r="L502" s="90" t="s">
        <v>1876</v>
      </c>
      <c r="M502" s="95" t="s">
        <v>1679</v>
      </c>
      <c r="N502" s="90" t="s">
        <v>1859</v>
      </c>
    </row>
    <row r="503" spans="1:14" ht="16.5">
      <c r="A503" s="90">
        <v>500</v>
      </c>
      <c r="B503" s="47">
        <v>202</v>
      </c>
      <c r="C503" s="50" t="s">
        <v>154</v>
      </c>
      <c r="D503" s="50" t="s">
        <v>1903</v>
      </c>
      <c r="E503" s="50" t="s">
        <v>1935</v>
      </c>
      <c r="F503" s="90" t="s">
        <v>1854</v>
      </c>
      <c r="G503" s="90" t="s">
        <v>1674</v>
      </c>
      <c r="H503" s="90" t="s">
        <v>1247</v>
      </c>
      <c r="I503" s="90" t="s">
        <v>1855</v>
      </c>
      <c r="J503" s="90" t="s">
        <v>1856</v>
      </c>
      <c r="K503" s="90" t="s">
        <v>1857</v>
      </c>
      <c r="L503" s="90" t="s">
        <v>1858</v>
      </c>
      <c r="M503" s="95" t="s">
        <v>1679</v>
      </c>
      <c r="N503" s="90" t="s">
        <v>1904</v>
      </c>
    </row>
    <row r="504" spans="1:14" ht="16.5">
      <c r="A504" s="90">
        <v>501</v>
      </c>
      <c r="B504" s="91">
        <v>203</v>
      </c>
      <c r="C504" s="90" t="s">
        <v>202</v>
      </c>
      <c r="D504" s="50" t="s">
        <v>1903</v>
      </c>
      <c r="E504" s="50" t="s">
        <v>1935</v>
      </c>
      <c r="F504" s="90" t="s">
        <v>1860</v>
      </c>
      <c r="G504" s="90" t="s">
        <v>1682</v>
      </c>
      <c r="H504" s="90" t="s">
        <v>1247</v>
      </c>
      <c r="I504" s="90" t="s">
        <v>1861</v>
      </c>
      <c r="J504" s="90" t="s">
        <v>1862</v>
      </c>
      <c r="K504" s="90" t="s">
        <v>1863</v>
      </c>
      <c r="L504" s="90" t="s">
        <v>1864</v>
      </c>
      <c r="M504" s="95" t="s">
        <v>1679</v>
      </c>
      <c r="N504" s="90" t="s">
        <v>1877</v>
      </c>
    </row>
    <row r="505" spans="1:14" ht="16.5">
      <c r="A505" s="90">
        <v>502</v>
      </c>
      <c r="B505" s="47">
        <v>204</v>
      </c>
      <c r="C505" s="50" t="s">
        <v>226</v>
      </c>
      <c r="D505" s="50" t="s">
        <v>1903</v>
      </c>
      <c r="E505" s="50" t="s">
        <v>1935</v>
      </c>
      <c r="F505" s="90" t="s">
        <v>1854</v>
      </c>
      <c r="G505" s="90" t="s">
        <v>1674</v>
      </c>
      <c r="H505" s="90" t="s">
        <v>1247</v>
      </c>
      <c r="I505" s="90" t="s">
        <v>1855</v>
      </c>
      <c r="J505" s="90" t="s">
        <v>1856</v>
      </c>
      <c r="K505" s="90" t="s">
        <v>1857</v>
      </c>
      <c r="L505" s="90" t="s">
        <v>1858</v>
      </c>
      <c r="M505" s="95" t="s">
        <v>1679</v>
      </c>
      <c r="N505" s="90" t="s">
        <v>1680</v>
      </c>
    </row>
    <row r="506" spans="1:14" ht="16.5">
      <c r="A506" s="90">
        <v>503</v>
      </c>
      <c r="B506" s="47">
        <v>205</v>
      </c>
      <c r="C506" s="50" t="s">
        <v>249</v>
      </c>
      <c r="D506" s="50" t="s">
        <v>1903</v>
      </c>
      <c r="E506" s="50" t="s">
        <v>1935</v>
      </c>
      <c r="F506" s="90" t="s">
        <v>1854</v>
      </c>
      <c r="G506" s="90" t="s">
        <v>1674</v>
      </c>
      <c r="H506" s="90" t="s">
        <v>1247</v>
      </c>
      <c r="I506" s="90" t="s">
        <v>1855</v>
      </c>
      <c r="J506" s="90" t="s">
        <v>1856</v>
      </c>
      <c r="K506" s="90" t="s">
        <v>1857</v>
      </c>
      <c r="L506" s="90" t="s">
        <v>1858</v>
      </c>
      <c r="M506" s="95" t="s">
        <v>1679</v>
      </c>
      <c r="N506" s="90" t="s">
        <v>1859</v>
      </c>
    </row>
    <row r="507" spans="1:14" ht="16.5">
      <c r="A507" s="90">
        <v>504</v>
      </c>
      <c r="B507" s="47">
        <v>207</v>
      </c>
      <c r="C507" s="50" t="s">
        <v>595</v>
      </c>
      <c r="D507" s="50" t="s">
        <v>1903</v>
      </c>
      <c r="E507" s="50" t="s">
        <v>1935</v>
      </c>
      <c r="F507" s="90">
        <v>50</v>
      </c>
      <c r="G507" s="90">
        <v>30</v>
      </c>
      <c r="H507" s="90">
        <v>10</v>
      </c>
      <c r="I507" s="90">
        <v>30</v>
      </c>
      <c r="J507" s="90">
        <v>40</v>
      </c>
      <c r="K507" s="90">
        <v>60</v>
      </c>
      <c r="L507" s="90">
        <v>65</v>
      </c>
      <c r="M507" s="95">
        <v>1</v>
      </c>
      <c r="N507" s="90">
        <v>3</v>
      </c>
    </row>
    <row r="508" spans="1:14" ht="16.5">
      <c r="A508" s="90">
        <v>505</v>
      </c>
      <c r="B508" s="96">
        <v>208</v>
      </c>
      <c r="C508" s="97" t="s">
        <v>589</v>
      </c>
      <c r="D508" s="97" t="s">
        <v>1903</v>
      </c>
      <c r="E508" s="97" t="s">
        <v>1935</v>
      </c>
      <c r="F508" s="97">
        <v>45</v>
      </c>
      <c r="G508" s="97">
        <v>50</v>
      </c>
      <c r="H508" s="97">
        <v>1</v>
      </c>
      <c r="I508" s="97">
        <v>30</v>
      </c>
      <c r="J508" s="97">
        <v>45</v>
      </c>
      <c r="K508" s="97">
        <v>73</v>
      </c>
      <c r="L508" s="97">
        <v>78</v>
      </c>
      <c r="M508" s="98">
        <v>1</v>
      </c>
      <c r="N508" s="97">
        <v>13</v>
      </c>
    </row>
    <row r="509" spans="1:14" ht="16.5">
      <c r="A509" s="90">
        <v>506</v>
      </c>
      <c r="B509" s="47">
        <v>215</v>
      </c>
      <c r="C509" s="50" t="s">
        <v>418</v>
      </c>
      <c r="D509" s="50" t="s">
        <v>1903</v>
      </c>
      <c r="E509" s="50" t="s">
        <v>1935</v>
      </c>
      <c r="F509" s="90" t="s">
        <v>1865</v>
      </c>
      <c r="G509" s="90" t="s">
        <v>1682</v>
      </c>
      <c r="H509" s="90" t="s">
        <v>1247</v>
      </c>
      <c r="I509" s="90" t="s">
        <v>1866</v>
      </c>
      <c r="J509" s="90" t="s">
        <v>1867</v>
      </c>
      <c r="K509" s="90" t="s">
        <v>1868</v>
      </c>
      <c r="L509" s="90" t="s">
        <v>1869</v>
      </c>
      <c r="M509" s="95" t="s">
        <v>1679</v>
      </c>
      <c r="N509" s="90" t="s">
        <v>1870</v>
      </c>
    </row>
    <row r="510" spans="1:14" ht="16.5">
      <c r="A510" s="90">
        <v>507</v>
      </c>
      <c r="B510" s="47">
        <v>222</v>
      </c>
      <c r="C510" s="50" t="s">
        <v>442</v>
      </c>
      <c r="D510" s="50" t="s">
        <v>1903</v>
      </c>
      <c r="E510" s="50" t="s">
        <v>1935</v>
      </c>
      <c r="F510" s="90" t="s">
        <v>1854</v>
      </c>
      <c r="G510" s="90" t="s">
        <v>1871</v>
      </c>
      <c r="H510" s="90" t="s">
        <v>1247</v>
      </c>
      <c r="I510" s="90" t="s">
        <v>1855</v>
      </c>
      <c r="J510" s="90" t="s">
        <v>1856</v>
      </c>
      <c r="K510" s="90" t="s">
        <v>1857</v>
      </c>
      <c r="L510" s="90" t="s">
        <v>1858</v>
      </c>
      <c r="M510" s="95" t="s">
        <v>1679</v>
      </c>
      <c r="N510" s="90" t="s">
        <v>1859</v>
      </c>
    </row>
    <row r="511" spans="1:14" ht="16.5">
      <c r="A511" s="90">
        <v>508</v>
      </c>
      <c r="B511" s="47">
        <v>223</v>
      </c>
      <c r="C511" s="50" t="s">
        <v>918</v>
      </c>
      <c r="D511" s="50" t="s">
        <v>1903</v>
      </c>
      <c r="E511" s="50" t="s">
        <v>1935</v>
      </c>
      <c r="F511" s="90">
        <v>28</v>
      </c>
      <c r="G511" s="90">
        <v>30</v>
      </c>
      <c r="H511" s="90">
        <v>10</v>
      </c>
      <c r="I511" s="90">
        <v>17</v>
      </c>
      <c r="J511" s="90">
        <v>22</v>
      </c>
      <c r="K511" s="90">
        <v>33</v>
      </c>
      <c r="L511" s="90">
        <v>38</v>
      </c>
      <c r="M511" s="95">
        <v>1</v>
      </c>
      <c r="N511" s="90">
        <v>2</v>
      </c>
    </row>
    <row r="512" spans="1:14" ht="16.5">
      <c r="A512" s="90">
        <v>509</v>
      </c>
      <c r="B512" s="47">
        <v>226</v>
      </c>
      <c r="C512" s="92" t="s">
        <v>469</v>
      </c>
      <c r="D512" s="50" t="s">
        <v>1903</v>
      </c>
      <c r="E512" s="50" t="s">
        <v>1935</v>
      </c>
      <c r="F512" s="90" t="s">
        <v>1872</v>
      </c>
      <c r="G512" s="90" t="s">
        <v>1682</v>
      </c>
      <c r="H512" s="90" t="s">
        <v>1247</v>
      </c>
      <c r="I512" s="90" t="s">
        <v>1873</v>
      </c>
      <c r="J512" s="90" t="s">
        <v>1874</v>
      </c>
      <c r="K512" s="90" t="s">
        <v>1875</v>
      </c>
      <c r="L512" s="90" t="s">
        <v>1876</v>
      </c>
      <c r="M512" s="95" t="s">
        <v>1679</v>
      </c>
      <c r="N512" s="90" t="s">
        <v>1877</v>
      </c>
    </row>
    <row r="513" spans="1:14" ht="16.5">
      <c r="A513" s="90">
        <v>510</v>
      </c>
      <c r="B513" s="91">
        <v>227</v>
      </c>
      <c r="C513" s="93" t="s">
        <v>493</v>
      </c>
      <c r="D513" s="50" t="s">
        <v>1903</v>
      </c>
      <c r="E513" s="50" t="s">
        <v>1935</v>
      </c>
      <c r="F513" s="90" t="s">
        <v>1872</v>
      </c>
      <c r="G513" s="90" t="s">
        <v>1682</v>
      </c>
      <c r="H513" s="90" t="s">
        <v>1247</v>
      </c>
      <c r="I513" s="90" t="s">
        <v>1873</v>
      </c>
      <c r="J513" s="90" t="s">
        <v>1874</v>
      </c>
      <c r="K513" s="90" t="s">
        <v>1875</v>
      </c>
      <c r="L513" s="90" t="s">
        <v>1876</v>
      </c>
      <c r="M513" s="95" t="s">
        <v>1679</v>
      </c>
      <c r="N513" s="90" t="s">
        <v>1870</v>
      </c>
    </row>
    <row r="514" spans="1:14" ht="16.5">
      <c r="A514" s="90">
        <v>511</v>
      </c>
      <c r="B514" s="47">
        <v>234</v>
      </c>
      <c r="C514" s="50" t="s">
        <v>1878</v>
      </c>
      <c r="D514" s="50" t="s">
        <v>1903</v>
      </c>
      <c r="E514" s="50" t="s">
        <v>1935</v>
      </c>
      <c r="F514" s="90" t="s">
        <v>1854</v>
      </c>
      <c r="G514" s="90" t="s">
        <v>1674</v>
      </c>
      <c r="H514" s="90" t="s">
        <v>1247</v>
      </c>
      <c r="I514" s="90" t="s">
        <v>1855</v>
      </c>
      <c r="J514" s="90" t="s">
        <v>1856</v>
      </c>
      <c r="K514" s="90" t="s">
        <v>1857</v>
      </c>
      <c r="L514" s="90" t="s">
        <v>1858</v>
      </c>
      <c r="M514" s="95" t="s">
        <v>1679</v>
      </c>
      <c r="N514" s="90" t="s">
        <v>1859</v>
      </c>
    </row>
    <row r="515" spans="1:14" ht="16.5">
      <c r="A515" s="90">
        <v>512</v>
      </c>
      <c r="B515" s="47">
        <v>235</v>
      </c>
      <c r="C515" s="50" t="s">
        <v>601</v>
      </c>
      <c r="D515" s="50" t="s">
        <v>1903</v>
      </c>
      <c r="E515" s="50" t="s">
        <v>1935</v>
      </c>
      <c r="F515" s="90">
        <v>50</v>
      </c>
      <c r="G515" s="90">
        <v>30</v>
      </c>
      <c r="H515" s="90">
        <v>10</v>
      </c>
      <c r="I515" s="90">
        <v>30</v>
      </c>
      <c r="J515" s="90">
        <v>40</v>
      </c>
      <c r="K515" s="90">
        <v>60</v>
      </c>
      <c r="L515" s="90">
        <v>65</v>
      </c>
      <c r="M515" s="95">
        <v>1</v>
      </c>
      <c r="N515" s="90">
        <v>3</v>
      </c>
    </row>
    <row r="516" spans="1:14" ht="16.5">
      <c r="A516" s="90">
        <v>513</v>
      </c>
      <c r="B516" s="47">
        <v>236</v>
      </c>
      <c r="C516" s="50" t="s">
        <v>1688</v>
      </c>
      <c r="D516" s="50" t="s">
        <v>1903</v>
      </c>
      <c r="E516" s="50" t="s">
        <v>1935</v>
      </c>
      <c r="F516" s="90">
        <v>50</v>
      </c>
      <c r="G516" s="90">
        <v>30</v>
      </c>
      <c r="H516" s="90">
        <v>10</v>
      </c>
      <c r="I516" s="90">
        <v>30</v>
      </c>
      <c r="J516" s="90">
        <v>40</v>
      </c>
      <c r="K516" s="90">
        <v>60</v>
      </c>
      <c r="L516" s="90">
        <v>65</v>
      </c>
      <c r="M516" s="95">
        <v>1</v>
      </c>
      <c r="N516" s="90">
        <v>3</v>
      </c>
    </row>
    <row r="517" spans="1:14" ht="16.5">
      <c r="A517" s="90">
        <v>514</v>
      </c>
      <c r="B517" s="91">
        <v>201</v>
      </c>
      <c r="C517" s="90" t="s">
        <v>66</v>
      </c>
      <c r="D517" s="50" t="s">
        <v>1903</v>
      </c>
      <c r="E517" s="50" t="s">
        <v>1935</v>
      </c>
      <c r="F517" s="90" t="s">
        <v>1872</v>
      </c>
      <c r="G517" s="90" t="s">
        <v>1682</v>
      </c>
      <c r="H517" s="90" t="s">
        <v>1247</v>
      </c>
      <c r="I517" s="90" t="s">
        <v>1879</v>
      </c>
      <c r="J517" s="90" t="s">
        <v>1880</v>
      </c>
      <c r="K517" s="90" t="s">
        <v>1875</v>
      </c>
      <c r="L517" s="90" t="s">
        <v>1876</v>
      </c>
      <c r="M517" s="95" t="s">
        <v>1679</v>
      </c>
      <c r="N517" s="90" t="s">
        <v>1680</v>
      </c>
    </row>
    <row r="518" spans="1:14" ht="16.5">
      <c r="A518" s="90">
        <v>515</v>
      </c>
      <c r="B518" s="91">
        <v>206</v>
      </c>
      <c r="C518" s="90" t="s">
        <v>293</v>
      </c>
      <c r="D518" s="50" t="s">
        <v>1903</v>
      </c>
      <c r="E518" s="50" t="s">
        <v>1935</v>
      </c>
      <c r="F518" s="90" t="s">
        <v>1860</v>
      </c>
      <c r="G518" s="90" t="s">
        <v>1682</v>
      </c>
      <c r="H518" s="90" t="s">
        <v>1247</v>
      </c>
      <c r="I518" s="90" t="s">
        <v>1861</v>
      </c>
      <c r="J518" s="90" t="s">
        <v>1862</v>
      </c>
      <c r="K518" s="90" t="s">
        <v>1863</v>
      </c>
      <c r="L518" s="90" t="s">
        <v>1864</v>
      </c>
      <c r="M518" s="95" t="s">
        <v>1679</v>
      </c>
      <c r="N518" s="90" t="s">
        <v>1680</v>
      </c>
    </row>
    <row r="519" spans="1:14" ht="16.5">
      <c r="A519" s="90">
        <v>516</v>
      </c>
      <c r="B519" s="47">
        <v>209</v>
      </c>
      <c r="C519" s="50" t="s">
        <v>344</v>
      </c>
      <c r="D519" s="50" t="s">
        <v>1903</v>
      </c>
      <c r="E519" s="50" t="s">
        <v>1935</v>
      </c>
      <c r="F519" s="90" t="s">
        <v>1860</v>
      </c>
      <c r="G519" s="90" t="s">
        <v>1682</v>
      </c>
      <c r="H519" s="90" t="s">
        <v>1247</v>
      </c>
      <c r="I519" s="90" t="s">
        <v>1861</v>
      </c>
      <c r="J519" s="90" t="s">
        <v>1862</v>
      </c>
      <c r="K519" s="90" t="s">
        <v>1863</v>
      </c>
      <c r="L519" s="90" t="s">
        <v>1864</v>
      </c>
      <c r="M519" s="95" t="s">
        <v>1679</v>
      </c>
      <c r="N519" s="90" t="s">
        <v>1680</v>
      </c>
    </row>
    <row r="520" spans="1:14" ht="16.5">
      <c r="A520" s="90">
        <v>517</v>
      </c>
      <c r="B520" s="47">
        <v>230</v>
      </c>
      <c r="C520" s="50" t="s">
        <v>539</v>
      </c>
      <c r="D520" s="50" t="s">
        <v>1903</v>
      </c>
      <c r="E520" s="50" t="s">
        <v>1935</v>
      </c>
      <c r="F520" s="90" t="s">
        <v>1881</v>
      </c>
      <c r="G520" s="90" t="s">
        <v>1682</v>
      </c>
      <c r="H520" s="90" t="s">
        <v>1247</v>
      </c>
      <c r="I520" s="90" t="s">
        <v>1683</v>
      </c>
      <c r="J520" s="90" t="s">
        <v>1684</v>
      </c>
      <c r="K520" s="90" t="s">
        <v>1882</v>
      </c>
      <c r="L520" s="90" t="s">
        <v>1883</v>
      </c>
      <c r="M520" s="95" t="s">
        <v>1679</v>
      </c>
      <c r="N520" s="90" t="s">
        <v>1884</v>
      </c>
    </row>
    <row r="521" spans="1:14" ht="16.5">
      <c r="A521" s="90">
        <v>518</v>
      </c>
      <c r="B521" s="91">
        <v>232</v>
      </c>
      <c r="C521" s="90" t="s">
        <v>319</v>
      </c>
      <c r="D521" s="50" t="s">
        <v>1903</v>
      </c>
      <c r="E521" s="50" t="s">
        <v>1935</v>
      </c>
      <c r="F521" s="90" t="s">
        <v>1860</v>
      </c>
      <c r="G521" s="90" t="s">
        <v>1682</v>
      </c>
      <c r="H521" s="90" t="s">
        <v>1247</v>
      </c>
      <c r="I521" s="90" t="s">
        <v>1861</v>
      </c>
      <c r="J521" s="90" t="s">
        <v>1862</v>
      </c>
      <c r="K521" s="90" t="s">
        <v>1863</v>
      </c>
      <c r="L521" s="90" t="s">
        <v>1864</v>
      </c>
      <c r="M521" s="95" t="s">
        <v>1679</v>
      </c>
      <c r="N521" s="90" t="s">
        <v>1680</v>
      </c>
    </row>
    <row r="522" spans="1:14" ht="16.5">
      <c r="A522" s="90">
        <v>519</v>
      </c>
      <c r="B522" s="47">
        <v>233</v>
      </c>
      <c r="C522" s="50" t="s">
        <v>593</v>
      </c>
      <c r="D522" s="50" t="s">
        <v>1903</v>
      </c>
      <c r="E522" s="50" t="s">
        <v>1935</v>
      </c>
      <c r="F522" s="90">
        <v>50</v>
      </c>
      <c r="G522" s="90">
        <v>30</v>
      </c>
      <c r="H522" s="90">
        <v>10</v>
      </c>
      <c r="I522" s="90">
        <v>30</v>
      </c>
      <c r="J522" s="90">
        <v>40</v>
      </c>
      <c r="K522" s="90">
        <v>60</v>
      </c>
      <c r="L522" s="90">
        <v>65</v>
      </c>
      <c r="M522" s="95">
        <v>1</v>
      </c>
      <c r="N522" s="90">
        <v>3</v>
      </c>
    </row>
    <row r="523" spans="1:14" ht="16.5">
      <c r="A523" s="90">
        <v>520</v>
      </c>
      <c r="B523" s="47">
        <v>237</v>
      </c>
      <c r="C523" s="50" t="s">
        <v>565</v>
      </c>
      <c r="D523" s="50" t="s">
        <v>1903</v>
      </c>
      <c r="E523" s="50" t="s">
        <v>1935</v>
      </c>
      <c r="F523" s="90" t="s">
        <v>1885</v>
      </c>
      <c r="G523" s="90" t="s">
        <v>1682</v>
      </c>
      <c r="H523" s="90" t="s">
        <v>1247</v>
      </c>
      <c r="I523" s="90" t="s">
        <v>1675</v>
      </c>
      <c r="J523" s="90" t="s">
        <v>1676</v>
      </c>
      <c r="K523" s="90" t="s">
        <v>1886</v>
      </c>
      <c r="L523" s="90" t="s">
        <v>1887</v>
      </c>
      <c r="M523" s="95" t="s">
        <v>1679</v>
      </c>
      <c r="N523" s="90" t="s">
        <v>1680</v>
      </c>
    </row>
    <row r="524" spans="1:14" ht="16.5">
      <c r="A524" s="90">
        <v>521</v>
      </c>
      <c r="B524" s="47">
        <v>213</v>
      </c>
      <c r="C524" s="50" t="s">
        <v>599</v>
      </c>
      <c r="D524" s="50" t="s">
        <v>1903</v>
      </c>
      <c r="E524" s="50" t="s">
        <v>1935</v>
      </c>
      <c r="F524" s="90">
        <v>63</v>
      </c>
      <c r="G524" s="90">
        <v>30</v>
      </c>
      <c r="H524" s="90">
        <v>10</v>
      </c>
      <c r="I524" s="90">
        <v>48</v>
      </c>
      <c r="J524" s="90">
        <v>53</v>
      </c>
      <c r="K524" s="90">
        <v>73</v>
      </c>
      <c r="L524" s="90">
        <v>78</v>
      </c>
      <c r="M524" s="95">
        <v>1</v>
      </c>
      <c r="N524" s="90">
        <v>6</v>
      </c>
    </row>
    <row r="525" spans="1:14" ht="16.5">
      <c r="A525" s="90">
        <v>522</v>
      </c>
      <c r="B525" s="47">
        <v>224</v>
      </c>
      <c r="C525" s="50" t="s">
        <v>369</v>
      </c>
      <c r="D525" s="50" t="s">
        <v>1903</v>
      </c>
      <c r="E525" s="50" t="s">
        <v>1935</v>
      </c>
      <c r="F525" s="90" t="s">
        <v>1860</v>
      </c>
      <c r="G525" s="90" t="s">
        <v>1682</v>
      </c>
      <c r="H525" s="90" t="s">
        <v>1247</v>
      </c>
      <c r="I525" s="90" t="s">
        <v>1861</v>
      </c>
      <c r="J525" s="90" t="s">
        <v>1862</v>
      </c>
      <c r="K525" s="90" t="s">
        <v>1863</v>
      </c>
      <c r="L525" s="90" t="s">
        <v>1864</v>
      </c>
      <c r="M525" s="95" t="s">
        <v>1679</v>
      </c>
      <c r="N525" s="90" t="s">
        <v>1680</v>
      </c>
    </row>
    <row r="526" spans="1:14" ht="16.5">
      <c r="A526" s="90">
        <v>523</v>
      </c>
      <c r="B526" s="47">
        <v>229</v>
      </c>
      <c r="C526" s="50" t="s">
        <v>515</v>
      </c>
      <c r="D526" s="50" t="s">
        <v>1903</v>
      </c>
      <c r="E526" s="50" t="s">
        <v>1935</v>
      </c>
      <c r="F526" s="90" t="s">
        <v>1872</v>
      </c>
      <c r="G526" s="90" t="s">
        <v>1682</v>
      </c>
      <c r="H526" s="90" t="s">
        <v>1247</v>
      </c>
      <c r="I526" s="90" t="s">
        <v>1879</v>
      </c>
      <c r="J526" s="90" t="s">
        <v>1880</v>
      </c>
      <c r="K526" s="90" t="s">
        <v>1875</v>
      </c>
      <c r="L526" s="90" t="s">
        <v>1876</v>
      </c>
      <c r="M526" s="95" t="s">
        <v>1679</v>
      </c>
      <c r="N526" s="90" t="s">
        <v>1680</v>
      </c>
    </row>
    <row r="527" spans="1:14" ht="16.5">
      <c r="A527" s="90">
        <v>524</v>
      </c>
      <c r="B527" s="47">
        <v>231</v>
      </c>
      <c r="C527" s="94" t="s">
        <v>591</v>
      </c>
      <c r="D527" s="50" t="s">
        <v>1903</v>
      </c>
      <c r="E527" s="50" t="s">
        <v>1935</v>
      </c>
      <c r="F527" s="90" t="s">
        <v>1872</v>
      </c>
      <c r="G527" s="90" t="s">
        <v>1862</v>
      </c>
      <c r="H527" s="90" t="s">
        <v>1888</v>
      </c>
      <c r="I527" s="90" t="s">
        <v>1862</v>
      </c>
      <c r="J527" s="90" t="s">
        <v>1889</v>
      </c>
      <c r="K527" s="90" t="s">
        <v>1890</v>
      </c>
      <c r="L527" s="90" t="s">
        <v>1868</v>
      </c>
      <c r="M527" s="95" t="s">
        <v>1679</v>
      </c>
      <c r="N527" s="90" t="s">
        <v>1891</v>
      </c>
    </row>
    <row r="528" spans="1:14" ht="16.5">
      <c r="A528" s="90">
        <v>525</v>
      </c>
      <c r="B528" s="47">
        <v>211</v>
      </c>
      <c r="C528" s="50" t="s">
        <v>605</v>
      </c>
      <c r="D528" s="50" t="s">
        <v>1903</v>
      </c>
      <c r="E528" s="50" t="s">
        <v>1935</v>
      </c>
      <c r="F528" s="90">
        <v>50</v>
      </c>
      <c r="G528" s="90">
        <v>30</v>
      </c>
      <c r="H528" s="90">
        <v>10</v>
      </c>
      <c r="I528" s="90">
        <v>33</v>
      </c>
      <c r="J528" s="90">
        <v>38</v>
      </c>
      <c r="K528" s="90">
        <v>58</v>
      </c>
      <c r="L528" s="90">
        <v>63</v>
      </c>
      <c r="M528" s="95">
        <v>1</v>
      </c>
      <c r="N528" s="90">
        <v>3</v>
      </c>
    </row>
    <row r="529" spans="1:14" ht="16.5">
      <c r="A529" s="90">
        <v>526</v>
      </c>
      <c r="B529" s="47">
        <v>212</v>
      </c>
      <c r="C529" s="50" t="s">
        <v>394</v>
      </c>
      <c r="D529" s="50" t="s">
        <v>1903</v>
      </c>
      <c r="E529" s="50" t="s">
        <v>1935</v>
      </c>
      <c r="F529" s="90" t="s">
        <v>1898</v>
      </c>
      <c r="G529" s="90" t="s">
        <v>1862</v>
      </c>
      <c r="H529" s="90" t="s">
        <v>1888</v>
      </c>
      <c r="I529" s="90" t="s">
        <v>1899</v>
      </c>
      <c r="J529" s="90" t="s">
        <v>1889</v>
      </c>
      <c r="K529" s="90" t="s">
        <v>1900</v>
      </c>
      <c r="L529" s="90" t="s">
        <v>1901</v>
      </c>
      <c r="M529" s="95" t="s">
        <v>1679</v>
      </c>
      <c r="N529" s="90" t="s">
        <v>1902</v>
      </c>
    </row>
    <row r="530" spans="1:14" ht="16.5">
      <c r="A530" s="90">
        <v>527</v>
      </c>
      <c r="B530" s="47">
        <v>300</v>
      </c>
      <c r="C530" s="50" t="s">
        <v>1896</v>
      </c>
      <c r="D530" s="50" t="s">
        <v>1903</v>
      </c>
      <c r="E530" s="50" t="s">
        <v>1935</v>
      </c>
      <c r="F530" s="90">
        <v>42</v>
      </c>
      <c r="G530" s="90">
        <v>30</v>
      </c>
      <c r="H530" s="90">
        <v>10</v>
      </c>
      <c r="I530" s="90">
        <v>27</v>
      </c>
      <c r="J530" s="90">
        <v>32</v>
      </c>
      <c r="K530" s="90">
        <v>52</v>
      </c>
      <c r="L530" s="90">
        <v>57</v>
      </c>
      <c r="M530" s="95">
        <v>1</v>
      </c>
      <c r="N530" s="90">
        <v>3</v>
      </c>
    </row>
    <row r="531" spans="1:14" ht="16.5">
      <c r="A531" s="90">
        <v>528</v>
      </c>
      <c r="B531" s="47">
        <v>228</v>
      </c>
      <c r="C531" s="50" t="s">
        <v>948</v>
      </c>
      <c r="D531" s="50" t="s">
        <v>1903</v>
      </c>
      <c r="E531" s="50" t="s">
        <v>1935</v>
      </c>
      <c r="F531" s="90" t="s">
        <v>1872</v>
      </c>
      <c r="G531" s="90" t="s">
        <v>1682</v>
      </c>
      <c r="H531" s="90" t="s">
        <v>1247</v>
      </c>
      <c r="I531" s="90" t="s">
        <v>1873</v>
      </c>
      <c r="J531" s="90" t="s">
        <v>1874</v>
      </c>
      <c r="K531" s="90" t="s">
        <v>1875</v>
      </c>
      <c r="L531" s="90" t="s">
        <v>1876</v>
      </c>
      <c r="M531" s="95" t="s">
        <v>1679</v>
      </c>
      <c r="N531" s="90" t="s">
        <v>1877</v>
      </c>
    </row>
    <row r="532" spans="1:14" ht="16.5">
      <c r="A532" s="90">
        <v>529</v>
      </c>
      <c r="B532" s="47">
        <v>202</v>
      </c>
      <c r="C532" s="50" t="s">
        <v>154</v>
      </c>
      <c r="D532" s="50" t="s">
        <v>1905</v>
      </c>
      <c r="E532" s="50" t="s">
        <v>1935</v>
      </c>
      <c r="F532" s="90" t="s">
        <v>1854</v>
      </c>
      <c r="G532" s="90" t="s">
        <v>1674</v>
      </c>
      <c r="H532" s="90" t="s">
        <v>1247</v>
      </c>
      <c r="I532" s="90" t="s">
        <v>1855</v>
      </c>
      <c r="J532" s="90" t="s">
        <v>1856</v>
      </c>
      <c r="K532" s="90" t="s">
        <v>1857</v>
      </c>
      <c r="L532" s="90" t="s">
        <v>1858</v>
      </c>
      <c r="M532" s="95" t="s">
        <v>1679</v>
      </c>
      <c r="N532" s="90" t="s">
        <v>1859</v>
      </c>
    </row>
    <row r="533" spans="1:14" ht="16.5">
      <c r="A533" s="90">
        <v>530</v>
      </c>
      <c r="B533" s="102">
        <v>203</v>
      </c>
      <c r="C533" s="102" t="s">
        <v>202</v>
      </c>
      <c r="D533" s="102" t="s">
        <v>1905</v>
      </c>
      <c r="E533" s="102" t="s">
        <v>1935</v>
      </c>
      <c r="F533" s="102" t="s">
        <v>1854</v>
      </c>
      <c r="G533" s="102" t="s">
        <v>1674</v>
      </c>
      <c r="H533" s="102" t="s">
        <v>1247</v>
      </c>
      <c r="I533" s="102" t="s">
        <v>1855</v>
      </c>
      <c r="J533" s="102" t="s">
        <v>1856</v>
      </c>
      <c r="K533" s="102" t="s">
        <v>1857</v>
      </c>
      <c r="L533" s="102" t="s">
        <v>1858</v>
      </c>
      <c r="M533" s="103" t="s">
        <v>1679</v>
      </c>
      <c r="N533" s="102" t="s">
        <v>1906</v>
      </c>
    </row>
    <row r="534" spans="1:14" ht="16.5">
      <c r="A534" s="90">
        <v>531</v>
      </c>
      <c r="B534" s="47">
        <v>204</v>
      </c>
      <c r="C534" s="50" t="s">
        <v>226</v>
      </c>
      <c r="D534" s="50" t="s">
        <v>1905</v>
      </c>
      <c r="E534" s="50" t="s">
        <v>1935</v>
      </c>
      <c r="F534" s="90" t="s">
        <v>1854</v>
      </c>
      <c r="G534" s="90" t="s">
        <v>1674</v>
      </c>
      <c r="H534" s="90" t="s">
        <v>1247</v>
      </c>
      <c r="I534" s="90" t="s">
        <v>1855</v>
      </c>
      <c r="J534" s="90" t="s">
        <v>1856</v>
      </c>
      <c r="K534" s="90" t="s">
        <v>1857</v>
      </c>
      <c r="L534" s="90" t="s">
        <v>1858</v>
      </c>
      <c r="M534" s="95" t="s">
        <v>1679</v>
      </c>
      <c r="N534" s="90" t="s">
        <v>1680</v>
      </c>
    </row>
    <row r="535" spans="1:14" ht="16.5">
      <c r="A535" s="90">
        <v>532</v>
      </c>
      <c r="B535" s="47">
        <v>205</v>
      </c>
      <c r="C535" s="50" t="s">
        <v>249</v>
      </c>
      <c r="D535" s="50" t="s">
        <v>1905</v>
      </c>
      <c r="E535" s="50" t="s">
        <v>1935</v>
      </c>
      <c r="F535" s="90" t="s">
        <v>1854</v>
      </c>
      <c r="G535" s="90" t="s">
        <v>1674</v>
      </c>
      <c r="H535" s="90" t="s">
        <v>1247</v>
      </c>
      <c r="I535" s="90" t="s">
        <v>1855</v>
      </c>
      <c r="J535" s="90" t="s">
        <v>1856</v>
      </c>
      <c r="K535" s="90" t="s">
        <v>1857</v>
      </c>
      <c r="L535" s="90" t="s">
        <v>1858</v>
      </c>
      <c r="M535" s="95" t="s">
        <v>1679</v>
      </c>
      <c r="N535" s="90" t="s">
        <v>1859</v>
      </c>
    </row>
    <row r="536" spans="1:14" ht="16.5">
      <c r="A536" s="90">
        <v>533</v>
      </c>
      <c r="B536" s="47">
        <v>207</v>
      </c>
      <c r="C536" s="50" t="s">
        <v>595</v>
      </c>
      <c r="D536" s="50" t="s">
        <v>1905</v>
      </c>
      <c r="E536" s="50" t="s">
        <v>1935</v>
      </c>
      <c r="F536" s="90">
        <v>50</v>
      </c>
      <c r="G536" s="90">
        <v>30</v>
      </c>
      <c r="H536" s="90">
        <v>10</v>
      </c>
      <c r="I536" s="90">
        <v>30</v>
      </c>
      <c r="J536" s="90">
        <v>40</v>
      </c>
      <c r="K536" s="90">
        <v>60</v>
      </c>
      <c r="L536" s="90">
        <v>65</v>
      </c>
      <c r="M536" s="95">
        <v>1</v>
      </c>
      <c r="N536" s="90">
        <v>3</v>
      </c>
    </row>
    <row r="537" spans="1:14" ht="16.5">
      <c r="A537" s="90">
        <v>534</v>
      </c>
      <c r="B537" s="96">
        <v>208</v>
      </c>
      <c r="C537" s="97" t="s">
        <v>589</v>
      </c>
      <c r="D537" s="97" t="s">
        <v>1905</v>
      </c>
      <c r="E537" s="97" t="s">
        <v>1935</v>
      </c>
      <c r="F537" s="97">
        <v>63</v>
      </c>
      <c r="G537" s="97">
        <v>50</v>
      </c>
      <c r="H537" s="97">
        <v>1</v>
      </c>
      <c r="I537" s="97">
        <v>30</v>
      </c>
      <c r="J537" s="97">
        <v>45</v>
      </c>
      <c r="K537" s="97">
        <v>73</v>
      </c>
      <c r="L537" s="97">
        <v>78</v>
      </c>
      <c r="M537" s="98">
        <v>1</v>
      </c>
      <c r="N537" s="97">
        <v>12</v>
      </c>
    </row>
    <row r="538" spans="1:14" ht="16.5">
      <c r="A538" s="90">
        <v>535</v>
      </c>
      <c r="B538" s="47">
        <v>215</v>
      </c>
      <c r="C538" s="50" t="s">
        <v>418</v>
      </c>
      <c r="D538" s="50" t="s">
        <v>1905</v>
      </c>
      <c r="E538" s="50" t="s">
        <v>1935</v>
      </c>
      <c r="F538" s="90" t="s">
        <v>1907</v>
      </c>
      <c r="G538" s="90" t="s">
        <v>1682</v>
      </c>
      <c r="H538" s="90" t="s">
        <v>1247</v>
      </c>
      <c r="I538" s="90" t="s">
        <v>1908</v>
      </c>
      <c r="J538" s="90" t="s">
        <v>1909</v>
      </c>
      <c r="K538" s="90" t="s">
        <v>1910</v>
      </c>
      <c r="L538" s="90" t="s">
        <v>1911</v>
      </c>
      <c r="M538" s="95" t="s">
        <v>1679</v>
      </c>
      <c r="N538" s="90" t="s">
        <v>1906</v>
      </c>
    </row>
    <row r="539" spans="1:14" ht="16.5">
      <c r="A539" s="90">
        <v>536</v>
      </c>
      <c r="B539" s="47">
        <v>222</v>
      </c>
      <c r="C539" s="50" t="s">
        <v>442</v>
      </c>
      <c r="D539" s="50" t="s">
        <v>1905</v>
      </c>
      <c r="E539" s="50" t="s">
        <v>1935</v>
      </c>
      <c r="F539" s="90" t="s">
        <v>1854</v>
      </c>
      <c r="G539" s="90" t="s">
        <v>1871</v>
      </c>
      <c r="H539" s="90" t="s">
        <v>1247</v>
      </c>
      <c r="I539" s="90" t="s">
        <v>1855</v>
      </c>
      <c r="J539" s="90" t="s">
        <v>1856</v>
      </c>
      <c r="K539" s="90" t="s">
        <v>1857</v>
      </c>
      <c r="L539" s="90" t="s">
        <v>1858</v>
      </c>
      <c r="M539" s="95" t="s">
        <v>1679</v>
      </c>
      <c r="N539" s="90" t="s">
        <v>1859</v>
      </c>
    </row>
    <row r="540" spans="1:14" ht="16.5">
      <c r="A540" s="90">
        <v>537</v>
      </c>
      <c r="B540" s="47">
        <v>223</v>
      </c>
      <c r="C540" s="50" t="s">
        <v>918</v>
      </c>
      <c r="D540" s="50" t="s">
        <v>1905</v>
      </c>
      <c r="E540" s="50" t="s">
        <v>1935</v>
      </c>
      <c r="F540" s="90">
        <v>28</v>
      </c>
      <c r="G540" s="90">
        <v>30</v>
      </c>
      <c r="H540" s="90">
        <v>10</v>
      </c>
      <c r="I540" s="90">
        <v>17</v>
      </c>
      <c r="J540" s="90">
        <v>22</v>
      </c>
      <c r="K540" s="90">
        <v>33</v>
      </c>
      <c r="L540" s="90">
        <v>38</v>
      </c>
      <c r="M540" s="95">
        <v>1</v>
      </c>
      <c r="N540" s="90">
        <v>2</v>
      </c>
    </row>
    <row r="541" spans="1:14" ht="16.5">
      <c r="A541" s="90">
        <v>538</v>
      </c>
      <c r="B541" s="47">
        <v>226</v>
      </c>
      <c r="C541" s="92" t="s">
        <v>469</v>
      </c>
      <c r="D541" s="50" t="s">
        <v>1905</v>
      </c>
      <c r="E541" s="50" t="s">
        <v>1935</v>
      </c>
      <c r="F541" s="90" t="s">
        <v>1912</v>
      </c>
      <c r="G541" s="90" t="s">
        <v>1682</v>
      </c>
      <c r="H541" s="90" t="s">
        <v>1247</v>
      </c>
      <c r="I541" s="90" t="s">
        <v>1866</v>
      </c>
      <c r="J541" s="90" t="s">
        <v>1913</v>
      </c>
      <c r="K541" s="90" t="s">
        <v>1901</v>
      </c>
      <c r="L541" s="90" t="s">
        <v>1914</v>
      </c>
      <c r="M541" s="95" t="s">
        <v>1679</v>
      </c>
      <c r="N541" s="90" t="s">
        <v>1915</v>
      </c>
    </row>
    <row r="542" spans="1:14" ht="16.5">
      <c r="A542" s="90">
        <v>539</v>
      </c>
      <c r="B542" s="91">
        <v>227</v>
      </c>
      <c r="C542" s="93" t="s">
        <v>493</v>
      </c>
      <c r="D542" s="50" t="s">
        <v>1905</v>
      </c>
      <c r="E542" s="50" t="s">
        <v>1935</v>
      </c>
      <c r="F542" s="90" t="s">
        <v>1872</v>
      </c>
      <c r="G542" s="90" t="s">
        <v>1682</v>
      </c>
      <c r="H542" s="90" t="s">
        <v>1247</v>
      </c>
      <c r="I542" s="90" t="s">
        <v>1873</v>
      </c>
      <c r="J542" s="90" t="s">
        <v>1874</v>
      </c>
      <c r="K542" s="90" t="s">
        <v>1875</v>
      </c>
      <c r="L542" s="90" t="s">
        <v>1876</v>
      </c>
      <c r="M542" s="95" t="s">
        <v>1679</v>
      </c>
      <c r="N542" s="90" t="s">
        <v>1870</v>
      </c>
    </row>
    <row r="543" spans="1:14" ht="16.5">
      <c r="A543" s="90">
        <v>540</v>
      </c>
      <c r="B543" s="47">
        <v>234</v>
      </c>
      <c r="C543" s="50" t="s">
        <v>1878</v>
      </c>
      <c r="D543" s="50" t="s">
        <v>1905</v>
      </c>
      <c r="E543" s="50" t="s">
        <v>1935</v>
      </c>
      <c r="F543" s="90" t="s">
        <v>1854</v>
      </c>
      <c r="G543" s="90" t="s">
        <v>1674</v>
      </c>
      <c r="H543" s="90" t="s">
        <v>1247</v>
      </c>
      <c r="I543" s="90" t="s">
        <v>1855</v>
      </c>
      <c r="J543" s="90" t="s">
        <v>1856</v>
      </c>
      <c r="K543" s="90" t="s">
        <v>1857</v>
      </c>
      <c r="L543" s="90" t="s">
        <v>1858</v>
      </c>
      <c r="M543" s="95" t="s">
        <v>1679</v>
      </c>
      <c r="N543" s="90" t="s">
        <v>1859</v>
      </c>
    </row>
    <row r="544" spans="1:14" ht="16.5">
      <c r="A544" s="90">
        <v>541</v>
      </c>
      <c r="B544" s="47">
        <v>235</v>
      </c>
      <c r="C544" s="50" t="s">
        <v>601</v>
      </c>
      <c r="D544" s="50" t="s">
        <v>1905</v>
      </c>
      <c r="E544" s="50" t="s">
        <v>1935</v>
      </c>
      <c r="F544" s="90">
        <v>50</v>
      </c>
      <c r="G544" s="90">
        <v>30</v>
      </c>
      <c r="H544" s="90">
        <v>10</v>
      </c>
      <c r="I544" s="90">
        <v>30</v>
      </c>
      <c r="J544" s="90">
        <v>40</v>
      </c>
      <c r="K544" s="90">
        <v>60</v>
      </c>
      <c r="L544" s="90">
        <v>65</v>
      </c>
      <c r="M544" s="95">
        <v>1</v>
      </c>
      <c r="N544" s="90">
        <v>3</v>
      </c>
    </row>
    <row r="545" spans="1:14" ht="16.5">
      <c r="A545" s="90">
        <v>542</v>
      </c>
      <c r="B545" s="47">
        <v>236</v>
      </c>
      <c r="C545" s="50" t="s">
        <v>1688</v>
      </c>
      <c r="D545" s="50" t="s">
        <v>1905</v>
      </c>
      <c r="E545" s="50" t="s">
        <v>1935</v>
      </c>
      <c r="F545" s="90">
        <v>50</v>
      </c>
      <c r="G545" s="90">
        <v>30</v>
      </c>
      <c r="H545" s="90">
        <v>10</v>
      </c>
      <c r="I545" s="90">
        <v>30</v>
      </c>
      <c r="J545" s="90">
        <v>40</v>
      </c>
      <c r="K545" s="90">
        <v>60</v>
      </c>
      <c r="L545" s="90">
        <v>65</v>
      </c>
      <c r="M545" s="95">
        <v>1</v>
      </c>
      <c r="N545" s="90">
        <v>3</v>
      </c>
    </row>
    <row r="546" spans="1:14" ht="16.5">
      <c r="A546" s="90">
        <v>543</v>
      </c>
      <c r="B546" s="91">
        <v>201</v>
      </c>
      <c r="C546" s="90" t="s">
        <v>66</v>
      </c>
      <c r="D546" s="50" t="s">
        <v>1905</v>
      </c>
      <c r="E546" s="50" t="s">
        <v>1935</v>
      </c>
      <c r="F546" s="90" t="s">
        <v>1912</v>
      </c>
      <c r="G546" s="90" t="s">
        <v>1682</v>
      </c>
      <c r="H546" s="90" t="s">
        <v>1247</v>
      </c>
      <c r="I546" s="90" t="s">
        <v>1916</v>
      </c>
      <c r="J546" s="90" t="s">
        <v>1917</v>
      </c>
      <c r="K546" s="90" t="s">
        <v>1918</v>
      </c>
      <c r="L546" s="90" t="s">
        <v>1919</v>
      </c>
      <c r="M546" s="95" t="s">
        <v>1679</v>
      </c>
      <c r="N546" s="90" t="s">
        <v>1687</v>
      </c>
    </row>
    <row r="547" spans="1:14" ht="16.5">
      <c r="A547" s="90">
        <v>544</v>
      </c>
      <c r="B547" s="91">
        <v>206</v>
      </c>
      <c r="C547" s="90" t="s">
        <v>293</v>
      </c>
      <c r="D547" s="50" t="s">
        <v>1905</v>
      </c>
      <c r="E547" s="50" t="s">
        <v>1935</v>
      </c>
      <c r="F547" s="90" t="s">
        <v>1872</v>
      </c>
      <c r="G547" s="90" t="s">
        <v>1682</v>
      </c>
      <c r="H547" s="90" t="s">
        <v>1247</v>
      </c>
      <c r="I547" s="90" t="s">
        <v>1920</v>
      </c>
      <c r="J547" s="90" t="s">
        <v>1880</v>
      </c>
      <c r="K547" s="90" t="s">
        <v>1875</v>
      </c>
      <c r="L547" s="90" t="s">
        <v>1876</v>
      </c>
      <c r="M547" s="95" t="s">
        <v>1679</v>
      </c>
      <c r="N547" s="90" t="s">
        <v>1680</v>
      </c>
    </row>
    <row r="548" spans="1:14" ht="16.5">
      <c r="A548" s="90">
        <v>545</v>
      </c>
      <c r="B548" s="47">
        <v>209</v>
      </c>
      <c r="C548" s="50" t="s">
        <v>344</v>
      </c>
      <c r="D548" s="50" t="s">
        <v>1905</v>
      </c>
      <c r="E548" s="50" t="s">
        <v>1935</v>
      </c>
      <c r="F548" s="90" t="s">
        <v>1872</v>
      </c>
      <c r="G548" s="90" t="s">
        <v>1682</v>
      </c>
      <c r="H548" s="90" t="s">
        <v>1247</v>
      </c>
      <c r="I548" s="90" t="s">
        <v>1920</v>
      </c>
      <c r="J548" s="90" t="s">
        <v>1880</v>
      </c>
      <c r="K548" s="90" t="s">
        <v>1875</v>
      </c>
      <c r="L548" s="90" t="s">
        <v>1876</v>
      </c>
      <c r="M548" s="95" t="s">
        <v>1679</v>
      </c>
      <c r="N548" s="90" t="s">
        <v>1680</v>
      </c>
    </row>
    <row r="549" spans="1:14" ht="16.5">
      <c r="A549" s="90">
        <v>546</v>
      </c>
      <c r="B549" s="47">
        <v>230</v>
      </c>
      <c r="C549" s="50" t="s">
        <v>539</v>
      </c>
      <c r="D549" s="50" t="s">
        <v>1905</v>
      </c>
      <c r="E549" s="50" t="s">
        <v>1935</v>
      </c>
      <c r="F549" s="90" t="s">
        <v>1872</v>
      </c>
      <c r="G549" s="90" t="s">
        <v>1682</v>
      </c>
      <c r="H549" s="90" t="s">
        <v>1247</v>
      </c>
      <c r="I549" s="90" t="s">
        <v>1920</v>
      </c>
      <c r="J549" s="90" t="s">
        <v>1880</v>
      </c>
      <c r="K549" s="90" t="s">
        <v>1875</v>
      </c>
      <c r="L549" s="90" t="s">
        <v>1876</v>
      </c>
      <c r="M549" s="95" t="s">
        <v>1679</v>
      </c>
      <c r="N549" s="90" t="s">
        <v>1921</v>
      </c>
    </row>
    <row r="550" spans="1:14" ht="16.5">
      <c r="A550" s="90">
        <v>547</v>
      </c>
      <c r="B550" s="91">
        <v>232</v>
      </c>
      <c r="C550" s="90" t="s">
        <v>319</v>
      </c>
      <c r="D550" s="50" t="s">
        <v>1905</v>
      </c>
      <c r="E550" s="50" t="s">
        <v>1935</v>
      </c>
      <c r="F550" s="90" t="s">
        <v>1872</v>
      </c>
      <c r="G550" s="90" t="s">
        <v>1682</v>
      </c>
      <c r="H550" s="90" t="s">
        <v>1247</v>
      </c>
      <c r="I550" s="90" t="s">
        <v>1920</v>
      </c>
      <c r="J550" s="90" t="s">
        <v>1880</v>
      </c>
      <c r="K550" s="90" t="s">
        <v>1875</v>
      </c>
      <c r="L550" s="90" t="s">
        <v>1876</v>
      </c>
      <c r="M550" s="95" t="s">
        <v>1679</v>
      </c>
      <c r="N550" s="90" t="s">
        <v>1680</v>
      </c>
    </row>
    <row r="551" spans="1:14" ht="16.5">
      <c r="A551" s="90">
        <v>548</v>
      </c>
      <c r="B551" s="47">
        <v>233</v>
      </c>
      <c r="C551" s="50" t="s">
        <v>593</v>
      </c>
      <c r="D551" s="50" t="s">
        <v>1905</v>
      </c>
      <c r="E551" s="50" t="s">
        <v>1935</v>
      </c>
      <c r="F551" s="90">
        <v>50</v>
      </c>
      <c r="G551" s="90">
        <v>30</v>
      </c>
      <c r="H551" s="90">
        <v>10</v>
      </c>
      <c r="I551" s="90">
        <v>30</v>
      </c>
      <c r="J551" s="90">
        <v>40</v>
      </c>
      <c r="K551" s="90">
        <v>60</v>
      </c>
      <c r="L551" s="90">
        <v>65</v>
      </c>
      <c r="M551" s="95">
        <v>1</v>
      </c>
      <c r="N551" s="90">
        <v>3</v>
      </c>
    </row>
    <row r="552" spans="1:14" ht="16.5">
      <c r="A552" s="90">
        <v>549</v>
      </c>
      <c r="B552" s="47">
        <v>237</v>
      </c>
      <c r="C552" s="50" t="s">
        <v>565</v>
      </c>
      <c r="D552" s="50" t="s">
        <v>1905</v>
      </c>
      <c r="E552" s="50" t="s">
        <v>1935</v>
      </c>
      <c r="F552" s="90" t="s">
        <v>1885</v>
      </c>
      <c r="G552" s="90" t="s">
        <v>1682</v>
      </c>
      <c r="H552" s="90" t="s">
        <v>1247</v>
      </c>
      <c r="I552" s="90" t="s">
        <v>1675</v>
      </c>
      <c r="J552" s="90" t="s">
        <v>1676</v>
      </c>
      <c r="K552" s="90" t="s">
        <v>1886</v>
      </c>
      <c r="L552" s="90" t="s">
        <v>1887</v>
      </c>
      <c r="M552" s="95" t="s">
        <v>1679</v>
      </c>
      <c r="N552" s="90" t="s">
        <v>1680</v>
      </c>
    </row>
    <row r="553" spans="1:14" ht="16.5">
      <c r="A553" s="90">
        <v>550</v>
      </c>
      <c r="B553" s="47">
        <v>213</v>
      </c>
      <c r="C553" s="50" t="s">
        <v>599</v>
      </c>
      <c r="D553" s="50" t="s">
        <v>1905</v>
      </c>
      <c r="E553" s="50" t="s">
        <v>1935</v>
      </c>
      <c r="F553" s="90">
        <v>63</v>
      </c>
      <c r="G553" s="90">
        <v>30</v>
      </c>
      <c r="H553" s="90">
        <v>10</v>
      </c>
      <c r="I553" s="90">
        <v>48</v>
      </c>
      <c r="J553" s="90">
        <v>53</v>
      </c>
      <c r="K553" s="90">
        <v>73</v>
      </c>
      <c r="L553" s="90">
        <v>78</v>
      </c>
      <c r="M553" s="95">
        <v>1</v>
      </c>
      <c r="N553" s="90">
        <v>6</v>
      </c>
    </row>
    <row r="554" spans="1:14" ht="16.5">
      <c r="A554" s="90">
        <v>551</v>
      </c>
      <c r="B554" s="47">
        <v>224</v>
      </c>
      <c r="C554" s="50" t="s">
        <v>369</v>
      </c>
      <c r="D554" s="50" t="s">
        <v>1905</v>
      </c>
      <c r="E554" s="50" t="s">
        <v>1935</v>
      </c>
      <c r="F554" s="90" t="s">
        <v>1872</v>
      </c>
      <c r="G554" s="90" t="s">
        <v>1682</v>
      </c>
      <c r="H554" s="90" t="s">
        <v>1247</v>
      </c>
      <c r="I554" s="90" t="s">
        <v>1920</v>
      </c>
      <c r="J554" s="90" t="s">
        <v>1880</v>
      </c>
      <c r="K554" s="90" t="s">
        <v>1875</v>
      </c>
      <c r="L554" s="90" t="s">
        <v>1876</v>
      </c>
      <c r="M554" s="95" t="s">
        <v>1679</v>
      </c>
      <c r="N554" s="90" t="s">
        <v>1680</v>
      </c>
    </row>
    <row r="555" spans="1:14" ht="16.5">
      <c r="A555" s="90">
        <v>552</v>
      </c>
      <c r="B555" s="47">
        <v>229</v>
      </c>
      <c r="C555" s="50" t="s">
        <v>515</v>
      </c>
      <c r="D555" s="50" t="s">
        <v>1905</v>
      </c>
      <c r="E555" s="50" t="s">
        <v>1935</v>
      </c>
      <c r="F555" s="90" t="s">
        <v>1872</v>
      </c>
      <c r="G555" s="90" t="s">
        <v>1682</v>
      </c>
      <c r="H555" s="90" t="s">
        <v>1247</v>
      </c>
      <c r="I555" s="90" t="s">
        <v>1920</v>
      </c>
      <c r="J555" s="90" t="s">
        <v>1880</v>
      </c>
      <c r="K555" s="90" t="s">
        <v>1875</v>
      </c>
      <c r="L555" s="90" t="s">
        <v>1876</v>
      </c>
      <c r="M555" s="95" t="s">
        <v>1679</v>
      </c>
      <c r="N555" s="90" t="s">
        <v>1870</v>
      </c>
    </row>
    <row r="556" spans="1:14" ht="16.5">
      <c r="A556" s="90">
        <v>553</v>
      </c>
      <c r="B556" s="47">
        <v>231</v>
      </c>
      <c r="C556" s="94" t="s">
        <v>591</v>
      </c>
      <c r="D556" s="50" t="s">
        <v>1905</v>
      </c>
      <c r="E556" s="50" t="s">
        <v>1935</v>
      </c>
      <c r="F556" s="90" t="s">
        <v>1865</v>
      </c>
      <c r="G556" s="90" t="s">
        <v>1862</v>
      </c>
      <c r="H556" s="90" t="s">
        <v>1888</v>
      </c>
      <c r="I556" s="90" t="s">
        <v>1880</v>
      </c>
      <c r="J556" s="90" t="s">
        <v>1922</v>
      </c>
      <c r="K556" s="90" t="s">
        <v>1923</v>
      </c>
      <c r="L556" s="90" t="s">
        <v>1924</v>
      </c>
      <c r="M556" s="95" t="s">
        <v>1679</v>
      </c>
      <c r="N556" s="90" t="s">
        <v>1891</v>
      </c>
    </row>
    <row r="557" spans="1:14" ht="16.5">
      <c r="A557" s="90">
        <v>554</v>
      </c>
      <c r="B557" s="47">
        <v>211</v>
      </c>
      <c r="C557" s="50" t="s">
        <v>605</v>
      </c>
      <c r="D557" s="50" t="s">
        <v>1905</v>
      </c>
      <c r="E557" s="50" t="s">
        <v>1935</v>
      </c>
      <c r="F557" s="90">
        <v>60</v>
      </c>
      <c r="G557" s="90">
        <v>30</v>
      </c>
      <c r="H557" s="90">
        <v>10</v>
      </c>
      <c r="I557" s="90">
        <v>45</v>
      </c>
      <c r="J557" s="90">
        <v>50</v>
      </c>
      <c r="K557" s="90">
        <v>70</v>
      </c>
      <c r="L557" s="90">
        <v>75</v>
      </c>
      <c r="M557" s="95">
        <v>1</v>
      </c>
      <c r="N557" s="90">
        <v>5.5</v>
      </c>
    </row>
    <row r="558" spans="1:14" ht="16.5">
      <c r="A558" s="90">
        <v>555</v>
      </c>
      <c r="B558" s="47">
        <v>212</v>
      </c>
      <c r="C558" s="50" t="s">
        <v>394</v>
      </c>
      <c r="D558" s="50" t="s">
        <v>1905</v>
      </c>
      <c r="E558" s="50" t="s">
        <v>1935</v>
      </c>
      <c r="F558" s="90" t="s">
        <v>1898</v>
      </c>
      <c r="G558" s="90" t="s">
        <v>1862</v>
      </c>
      <c r="H558" s="90" t="s">
        <v>1888</v>
      </c>
      <c r="I558" s="90" t="s">
        <v>1899</v>
      </c>
      <c r="J558" s="90" t="s">
        <v>1889</v>
      </c>
      <c r="K558" s="90" t="s">
        <v>1900</v>
      </c>
      <c r="L558" s="90" t="s">
        <v>1901</v>
      </c>
      <c r="M558" s="95" t="s">
        <v>1679</v>
      </c>
      <c r="N558" s="90" t="s">
        <v>1902</v>
      </c>
    </row>
    <row r="559" spans="1:14" ht="16.5">
      <c r="A559" s="90">
        <v>556</v>
      </c>
      <c r="B559" s="47">
        <v>300</v>
      </c>
      <c r="C559" s="50" t="s">
        <v>1896</v>
      </c>
      <c r="D559" s="50" t="s">
        <v>1905</v>
      </c>
      <c r="E559" s="50" t="s">
        <v>1935</v>
      </c>
      <c r="F559" s="90">
        <v>42</v>
      </c>
      <c r="G559" s="90">
        <v>30</v>
      </c>
      <c r="H559" s="90">
        <v>10</v>
      </c>
      <c r="I559" s="90">
        <v>27</v>
      </c>
      <c r="J559" s="90">
        <v>32</v>
      </c>
      <c r="K559" s="90">
        <v>52</v>
      </c>
      <c r="L559" s="90">
        <v>57</v>
      </c>
      <c r="M559" s="95">
        <v>1</v>
      </c>
      <c r="N559" s="90">
        <v>3</v>
      </c>
    </row>
    <row r="560" spans="1:14" ht="16.5">
      <c r="A560" s="90">
        <v>557</v>
      </c>
      <c r="B560" s="47">
        <v>228</v>
      </c>
      <c r="C560" s="50" t="s">
        <v>948</v>
      </c>
      <c r="D560" s="50" t="s">
        <v>1905</v>
      </c>
      <c r="E560" s="50" t="s">
        <v>1935</v>
      </c>
      <c r="F560" s="90" t="s">
        <v>1872</v>
      </c>
      <c r="G560" s="90" t="s">
        <v>1682</v>
      </c>
      <c r="H560" s="90" t="s">
        <v>1247</v>
      </c>
      <c r="I560" s="90" t="s">
        <v>1873</v>
      </c>
      <c r="J560" s="90" t="s">
        <v>1874</v>
      </c>
      <c r="K560" s="90" t="s">
        <v>1875</v>
      </c>
      <c r="L560" s="90" t="s">
        <v>1876</v>
      </c>
      <c r="M560" s="95" t="s">
        <v>1679</v>
      </c>
      <c r="N560" s="90" t="s">
        <v>1877</v>
      </c>
    </row>
    <row r="561" spans="1:14" ht="16.5">
      <c r="A561" s="90">
        <v>558</v>
      </c>
      <c r="B561" s="47">
        <v>202</v>
      </c>
      <c r="C561" s="50" t="s">
        <v>154</v>
      </c>
      <c r="D561" s="1" t="s">
        <v>1925</v>
      </c>
      <c r="E561" s="50" t="s">
        <v>1935</v>
      </c>
      <c r="F561" s="90" t="s">
        <v>1854</v>
      </c>
      <c r="G561" s="90" t="s">
        <v>1674</v>
      </c>
      <c r="H561" s="90" t="s">
        <v>1247</v>
      </c>
      <c r="I561" s="90" t="s">
        <v>1855</v>
      </c>
      <c r="J561" s="90" t="s">
        <v>1856</v>
      </c>
      <c r="K561" s="90" t="s">
        <v>1857</v>
      </c>
      <c r="L561" s="90" t="s">
        <v>1858</v>
      </c>
      <c r="M561" s="95" t="s">
        <v>1679</v>
      </c>
      <c r="N561" s="90" t="s">
        <v>1859</v>
      </c>
    </row>
    <row r="562" spans="1:14" ht="16.5">
      <c r="A562" s="90">
        <v>559</v>
      </c>
      <c r="B562" s="102">
        <v>203</v>
      </c>
      <c r="C562" s="102" t="s">
        <v>202</v>
      </c>
      <c r="D562" s="1" t="s">
        <v>1925</v>
      </c>
      <c r="E562" s="102" t="s">
        <v>1935</v>
      </c>
      <c r="F562" s="102" t="s">
        <v>1854</v>
      </c>
      <c r="G562" s="102" t="s">
        <v>1674</v>
      </c>
      <c r="H562" s="102" t="s">
        <v>1247</v>
      </c>
      <c r="I562" s="102" t="s">
        <v>1855</v>
      </c>
      <c r="J562" s="102" t="s">
        <v>1856</v>
      </c>
      <c r="K562" s="102" t="s">
        <v>1857</v>
      </c>
      <c r="L562" s="102" t="s">
        <v>1858</v>
      </c>
      <c r="M562" s="103" t="s">
        <v>1679</v>
      </c>
      <c r="N562" s="90" t="s">
        <v>1906</v>
      </c>
    </row>
    <row r="563" spans="1:14" ht="16.5">
      <c r="A563" s="90">
        <v>560</v>
      </c>
      <c r="B563" s="47">
        <v>204</v>
      </c>
      <c r="C563" s="50" t="s">
        <v>226</v>
      </c>
      <c r="D563" s="1" t="s">
        <v>1925</v>
      </c>
      <c r="E563" s="50" t="s">
        <v>1935</v>
      </c>
      <c r="F563" s="90" t="s">
        <v>1854</v>
      </c>
      <c r="G563" s="90" t="s">
        <v>1674</v>
      </c>
      <c r="H563" s="90" t="s">
        <v>1247</v>
      </c>
      <c r="I563" s="90" t="s">
        <v>1855</v>
      </c>
      <c r="J563" s="90" t="s">
        <v>1856</v>
      </c>
      <c r="K563" s="90" t="s">
        <v>1857</v>
      </c>
      <c r="L563" s="90" t="s">
        <v>1858</v>
      </c>
      <c r="M563" s="95" t="s">
        <v>1679</v>
      </c>
      <c r="N563" s="90" t="s">
        <v>1680</v>
      </c>
    </row>
    <row r="564" spans="1:14" ht="16.5">
      <c r="A564" s="90">
        <v>561</v>
      </c>
      <c r="B564" s="47">
        <v>205</v>
      </c>
      <c r="C564" s="50" t="s">
        <v>249</v>
      </c>
      <c r="D564" s="1" t="s">
        <v>1925</v>
      </c>
      <c r="E564" s="50" t="s">
        <v>1935</v>
      </c>
      <c r="F564" s="90" t="s">
        <v>1854</v>
      </c>
      <c r="G564" s="90" t="s">
        <v>1674</v>
      </c>
      <c r="H564" s="90" t="s">
        <v>1247</v>
      </c>
      <c r="I564" s="90" t="s">
        <v>1855</v>
      </c>
      <c r="J564" s="90" t="s">
        <v>1856</v>
      </c>
      <c r="K564" s="90" t="s">
        <v>1857</v>
      </c>
      <c r="L564" s="90" t="s">
        <v>1858</v>
      </c>
      <c r="M564" s="95" t="s">
        <v>1679</v>
      </c>
      <c r="N564" s="90" t="s">
        <v>1859</v>
      </c>
    </row>
    <row r="565" spans="1:14" ht="16.5">
      <c r="A565" s="90">
        <v>562</v>
      </c>
      <c r="B565" s="47">
        <v>207</v>
      </c>
      <c r="C565" s="50" t="s">
        <v>595</v>
      </c>
      <c r="D565" s="1" t="s">
        <v>1925</v>
      </c>
      <c r="E565" s="50" t="s">
        <v>1935</v>
      </c>
      <c r="F565" s="90">
        <v>50</v>
      </c>
      <c r="G565" s="90">
        <v>30</v>
      </c>
      <c r="H565" s="90">
        <v>10</v>
      </c>
      <c r="I565" s="90">
        <v>30</v>
      </c>
      <c r="J565" s="90">
        <v>40</v>
      </c>
      <c r="K565" s="90">
        <v>60</v>
      </c>
      <c r="L565" s="90">
        <v>65</v>
      </c>
      <c r="M565" s="95">
        <v>1</v>
      </c>
      <c r="N565" s="90">
        <v>3</v>
      </c>
    </row>
    <row r="566" spans="1:14" ht="16.5">
      <c r="A566" s="90">
        <v>563</v>
      </c>
      <c r="B566" s="96">
        <v>208</v>
      </c>
      <c r="C566" s="97" t="s">
        <v>589</v>
      </c>
      <c r="D566" s="1" t="s">
        <v>1925</v>
      </c>
      <c r="E566" s="97" t="s">
        <v>1935</v>
      </c>
      <c r="F566" s="97">
        <v>55</v>
      </c>
      <c r="G566" s="97">
        <v>50</v>
      </c>
      <c r="H566" s="97">
        <v>1</v>
      </c>
      <c r="I566" s="97">
        <v>30</v>
      </c>
      <c r="J566" s="97">
        <v>45</v>
      </c>
      <c r="K566" s="97">
        <v>73</v>
      </c>
      <c r="L566" s="97">
        <v>78</v>
      </c>
      <c r="M566" s="98">
        <v>1</v>
      </c>
      <c r="N566" s="97">
        <v>12</v>
      </c>
    </row>
    <row r="567" spans="1:14" ht="16.5">
      <c r="A567" s="90">
        <v>564</v>
      </c>
      <c r="B567" s="47">
        <v>215</v>
      </c>
      <c r="C567" s="50" t="s">
        <v>418</v>
      </c>
      <c r="D567" s="1" t="s">
        <v>1925</v>
      </c>
      <c r="E567" s="50" t="s">
        <v>1935</v>
      </c>
      <c r="F567" s="90" t="s">
        <v>1907</v>
      </c>
      <c r="G567" s="90" t="s">
        <v>1682</v>
      </c>
      <c r="H567" s="90" t="s">
        <v>1247</v>
      </c>
      <c r="I567" s="90" t="s">
        <v>1908</v>
      </c>
      <c r="J567" s="90" t="s">
        <v>1909</v>
      </c>
      <c r="K567" s="90" t="s">
        <v>1910</v>
      </c>
      <c r="L567" s="90" t="s">
        <v>1911</v>
      </c>
      <c r="M567" s="95" t="s">
        <v>1679</v>
      </c>
      <c r="N567" s="90" t="s">
        <v>1906</v>
      </c>
    </row>
    <row r="568" spans="1:14" ht="16.5">
      <c r="A568" s="90">
        <v>565</v>
      </c>
      <c r="B568" s="47">
        <v>222</v>
      </c>
      <c r="C568" s="50" t="s">
        <v>442</v>
      </c>
      <c r="D568" s="1" t="s">
        <v>1925</v>
      </c>
      <c r="E568" s="50" t="s">
        <v>1935</v>
      </c>
      <c r="F568" s="90" t="s">
        <v>1854</v>
      </c>
      <c r="G568" s="90" t="s">
        <v>1871</v>
      </c>
      <c r="H568" s="90" t="s">
        <v>1247</v>
      </c>
      <c r="I568" s="90" t="s">
        <v>1855</v>
      </c>
      <c r="J568" s="90" t="s">
        <v>1856</v>
      </c>
      <c r="K568" s="90" t="s">
        <v>1857</v>
      </c>
      <c r="L568" s="90" t="s">
        <v>1858</v>
      </c>
      <c r="M568" s="95" t="s">
        <v>1679</v>
      </c>
      <c r="N568" s="90" t="s">
        <v>1859</v>
      </c>
    </row>
    <row r="569" spans="1:14" ht="16.5">
      <c r="A569" s="90">
        <v>566</v>
      </c>
      <c r="B569" s="47">
        <v>223</v>
      </c>
      <c r="C569" s="50" t="s">
        <v>918</v>
      </c>
      <c r="D569" s="1" t="s">
        <v>1925</v>
      </c>
      <c r="E569" s="50" t="s">
        <v>1935</v>
      </c>
      <c r="F569" s="90">
        <v>28</v>
      </c>
      <c r="G569" s="90">
        <v>30</v>
      </c>
      <c r="H569" s="90">
        <v>10</v>
      </c>
      <c r="I569" s="90">
        <v>17</v>
      </c>
      <c r="J569" s="90">
        <v>22</v>
      </c>
      <c r="K569" s="90">
        <v>33</v>
      </c>
      <c r="L569" s="90">
        <v>38</v>
      </c>
      <c r="M569" s="95">
        <v>1</v>
      </c>
      <c r="N569" s="90">
        <v>2</v>
      </c>
    </row>
    <row r="570" spans="1:14" ht="16.5">
      <c r="A570" s="90">
        <v>567</v>
      </c>
      <c r="B570" s="47">
        <v>226</v>
      </c>
      <c r="C570" s="92" t="s">
        <v>469</v>
      </c>
      <c r="D570" s="1" t="s">
        <v>1925</v>
      </c>
      <c r="E570" s="50" t="s">
        <v>1935</v>
      </c>
      <c r="F570" s="90" t="s">
        <v>1912</v>
      </c>
      <c r="G570" s="90" t="s">
        <v>1682</v>
      </c>
      <c r="H570" s="90" t="s">
        <v>1247</v>
      </c>
      <c r="I570" s="90" t="s">
        <v>1866</v>
      </c>
      <c r="J570" s="90" t="s">
        <v>1913</v>
      </c>
      <c r="K570" s="90" t="s">
        <v>1901</v>
      </c>
      <c r="L570" s="90" t="s">
        <v>1914</v>
      </c>
      <c r="M570" s="95" t="s">
        <v>1679</v>
      </c>
      <c r="N570" s="90" t="s">
        <v>1915</v>
      </c>
    </row>
    <row r="571" spans="1:14" ht="16.5">
      <c r="A571" s="90">
        <v>568</v>
      </c>
      <c r="B571" s="91">
        <v>227</v>
      </c>
      <c r="C571" s="93" t="s">
        <v>493</v>
      </c>
      <c r="D571" s="1" t="s">
        <v>1925</v>
      </c>
      <c r="E571" s="50" t="s">
        <v>1935</v>
      </c>
      <c r="F571" s="90" t="s">
        <v>1872</v>
      </c>
      <c r="G571" s="90" t="s">
        <v>1682</v>
      </c>
      <c r="H571" s="90" t="s">
        <v>1247</v>
      </c>
      <c r="I571" s="90" t="s">
        <v>1873</v>
      </c>
      <c r="J571" s="90" t="s">
        <v>1874</v>
      </c>
      <c r="K571" s="90" t="s">
        <v>1875</v>
      </c>
      <c r="L571" s="90" t="s">
        <v>1876</v>
      </c>
      <c r="M571" s="95" t="s">
        <v>1679</v>
      </c>
      <c r="N571" s="90" t="s">
        <v>1870</v>
      </c>
    </row>
    <row r="572" spans="1:14" ht="16.5">
      <c r="A572" s="90">
        <v>569</v>
      </c>
      <c r="B572" s="47">
        <v>234</v>
      </c>
      <c r="C572" s="50" t="s">
        <v>1878</v>
      </c>
      <c r="D572" s="1" t="s">
        <v>1925</v>
      </c>
      <c r="E572" s="50" t="s">
        <v>1935</v>
      </c>
      <c r="F572" s="90" t="s">
        <v>1854</v>
      </c>
      <c r="G572" s="90" t="s">
        <v>1674</v>
      </c>
      <c r="H572" s="90" t="s">
        <v>1247</v>
      </c>
      <c r="I572" s="90" t="s">
        <v>1855</v>
      </c>
      <c r="J572" s="90" t="s">
        <v>1856</v>
      </c>
      <c r="K572" s="90" t="s">
        <v>1857</v>
      </c>
      <c r="L572" s="90" t="s">
        <v>1858</v>
      </c>
      <c r="M572" s="95" t="s">
        <v>1679</v>
      </c>
      <c r="N572" s="90" t="s">
        <v>1859</v>
      </c>
    </row>
    <row r="573" spans="1:14" ht="16.5">
      <c r="A573" s="90">
        <v>570</v>
      </c>
      <c r="B573" s="47">
        <v>235</v>
      </c>
      <c r="C573" s="50" t="s">
        <v>601</v>
      </c>
      <c r="D573" s="1" t="s">
        <v>1925</v>
      </c>
      <c r="E573" s="50" t="s">
        <v>1935</v>
      </c>
      <c r="F573" s="90">
        <v>50</v>
      </c>
      <c r="G573" s="90">
        <v>30</v>
      </c>
      <c r="H573" s="90">
        <v>10</v>
      </c>
      <c r="I573" s="90">
        <v>30</v>
      </c>
      <c r="J573" s="90">
        <v>40</v>
      </c>
      <c r="K573" s="90">
        <v>60</v>
      </c>
      <c r="L573" s="90">
        <v>65</v>
      </c>
      <c r="M573" s="95">
        <v>1</v>
      </c>
      <c r="N573" s="90">
        <v>3</v>
      </c>
    </row>
    <row r="574" spans="1:14" ht="16.5">
      <c r="A574" s="90">
        <v>571</v>
      </c>
      <c r="B574" s="47">
        <v>236</v>
      </c>
      <c r="C574" s="50" t="s">
        <v>1688</v>
      </c>
      <c r="D574" s="1" t="s">
        <v>1925</v>
      </c>
      <c r="E574" s="50" t="s">
        <v>1935</v>
      </c>
      <c r="F574" s="90">
        <v>50</v>
      </c>
      <c r="G574" s="90">
        <v>30</v>
      </c>
      <c r="H574" s="90">
        <v>10</v>
      </c>
      <c r="I574" s="90">
        <v>30</v>
      </c>
      <c r="J574" s="90">
        <v>40</v>
      </c>
      <c r="K574" s="90">
        <v>60</v>
      </c>
      <c r="L574" s="90">
        <v>65</v>
      </c>
      <c r="M574" s="95">
        <v>1</v>
      </c>
      <c r="N574" s="90">
        <v>3</v>
      </c>
    </row>
    <row r="575" spans="1:14" ht="16.5">
      <c r="A575" s="90">
        <v>572</v>
      </c>
      <c r="B575" s="91">
        <v>201</v>
      </c>
      <c r="C575" s="90" t="s">
        <v>66</v>
      </c>
      <c r="D575" s="1" t="s">
        <v>1925</v>
      </c>
      <c r="E575" s="50" t="s">
        <v>1935</v>
      </c>
      <c r="F575" s="90" t="s">
        <v>1912</v>
      </c>
      <c r="G575" s="90" t="s">
        <v>1682</v>
      </c>
      <c r="H575" s="90" t="s">
        <v>1247</v>
      </c>
      <c r="I575" s="90" t="s">
        <v>1916</v>
      </c>
      <c r="J575" s="90" t="s">
        <v>1917</v>
      </c>
      <c r="K575" s="90" t="s">
        <v>1918</v>
      </c>
      <c r="L575" s="90" t="s">
        <v>1919</v>
      </c>
      <c r="M575" s="95" t="s">
        <v>1679</v>
      </c>
      <c r="N575" s="90" t="s">
        <v>1687</v>
      </c>
    </row>
    <row r="576" spans="1:14" ht="16.5">
      <c r="A576" s="90">
        <v>573</v>
      </c>
      <c r="B576" s="91">
        <v>206</v>
      </c>
      <c r="C576" s="90" t="s">
        <v>293</v>
      </c>
      <c r="D576" s="1" t="s">
        <v>1925</v>
      </c>
      <c r="E576" s="50" t="s">
        <v>1935</v>
      </c>
      <c r="F576" s="90" t="s">
        <v>1872</v>
      </c>
      <c r="G576" s="90" t="s">
        <v>1682</v>
      </c>
      <c r="H576" s="90" t="s">
        <v>1247</v>
      </c>
      <c r="I576" s="90" t="s">
        <v>1920</v>
      </c>
      <c r="J576" s="90" t="s">
        <v>1880</v>
      </c>
      <c r="K576" s="90" t="s">
        <v>1875</v>
      </c>
      <c r="L576" s="90" t="s">
        <v>1876</v>
      </c>
      <c r="M576" s="95" t="s">
        <v>1679</v>
      </c>
      <c r="N576" s="90" t="s">
        <v>1680</v>
      </c>
    </row>
    <row r="577" spans="1:14" ht="16.5">
      <c r="A577" s="90">
        <v>574</v>
      </c>
      <c r="B577" s="47">
        <v>209</v>
      </c>
      <c r="C577" s="50" t="s">
        <v>344</v>
      </c>
      <c r="D577" s="1" t="s">
        <v>1925</v>
      </c>
      <c r="E577" s="50" t="s">
        <v>1935</v>
      </c>
      <c r="F577" s="90" t="s">
        <v>1872</v>
      </c>
      <c r="G577" s="90" t="s">
        <v>1682</v>
      </c>
      <c r="H577" s="90" t="s">
        <v>1247</v>
      </c>
      <c r="I577" s="90" t="s">
        <v>1920</v>
      </c>
      <c r="J577" s="90" t="s">
        <v>1880</v>
      </c>
      <c r="K577" s="90" t="s">
        <v>1875</v>
      </c>
      <c r="L577" s="90" t="s">
        <v>1876</v>
      </c>
      <c r="M577" s="95" t="s">
        <v>1679</v>
      </c>
      <c r="N577" s="90" t="s">
        <v>1680</v>
      </c>
    </row>
    <row r="578" spans="1:14" ht="16.5">
      <c r="A578" s="90">
        <v>575</v>
      </c>
      <c r="B578" s="47">
        <v>230</v>
      </c>
      <c r="C578" s="50" t="s">
        <v>539</v>
      </c>
      <c r="D578" s="1" t="s">
        <v>1925</v>
      </c>
      <c r="E578" s="50" t="s">
        <v>1935</v>
      </c>
      <c r="F578" s="90" t="s">
        <v>1872</v>
      </c>
      <c r="G578" s="90" t="s">
        <v>1682</v>
      </c>
      <c r="H578" s="90" t="s">
        <v>1247</v>
      </c>
      <c r="I578" s="90" t="s">
        <v>1920</v>
      </c>
      <c r="J578" s="90" t="s">
        <v>1880</v>
      </c>
      <c r="K578" s="90" t="s">
        <v>1875</v>
      </c>
      <c r="L578" s="90" t="s">
        <v>1876</v>
      </c>
      <c r="M578" s="95" t="s">
        <v>1679</v>
      </c>
      <c r="N578" s="90" t="s">
        <v>1921</v>
      </c>
    </row>
    <row r="579" spans="1:14" ht="16.5">
      <c r="A579" s="90">
        <v>576</v>
      </c>
      <c r="B579" s="91">
        <v>232</v>
      </c>
      <c r="C579" s="90" t="s">
        <v>319</v>
      </c>
      <c r="D579" s="1" t="s">
        <v>1925</v>
      </c>
      <c r="E579" s="50" t="s">
        <v>1935</v>
      </c>
      <c r="F579" s="90" t="s">
        <v>1872</v>
      </c>
      <c r="G579" s="90" t="s">
        <v>1682</v>
      </c>
      <c r="H579" s="90" t="s">
        <v>1247</v>
      </c>
      <c r="I579" s="90" t="s">
        <v>1920</v>
      </c>
      <c r="J579" s="90" t="s">
        <v>1880</v>
      </c>
      <c r="K579" s="90" t="s">
        <v>1875</v>
      </c>
      <c r="L579" s="90" t="s">
        <v>1876</v>
      </c>
      <c r="M579" s="95" t="s">
        <v>1679</v>
      </c>
      <c r="N579" s="90" t="s">
        <v>1680</v>
      </c>
    </row>
    <row r="580" spans="1:14" ht="16.5">
      <c r="A580" s="90">
        <v>577</v>
      </c>
      <c r="B580" s="47">
        <v>233</v>
      </c>
      <c r="C580" s="50" t="s">
        <v>593</v>
      </c>
      <c r="D580" s="1" t="s">
        <v>1925</v>
      </c>
      <c r="E580" s="50" t="s">
        <v>1935</v>
      </c>
      <c r="F580" s="90">
        <v>50</v>
      </c>
      <c r="G580" s="90">
        <v>30</v>
      </c>
      <c r="H580" s="90">
        <v>10</v>
      </c>
      <c r="I580" s="90">
        <v>30</v>
      </c>
      <c r="J580" s="90">
        <v>40</v>
      </c>
      <c r="K580" s="90">
        <v>60</v>
      </c>
      <c r="L580" s="90">
        <v>65</v>
      </c>
      <c r="M580" s="95">
        <v>1</v>
      </c>
      <c r="N580" s="90">
        <v>3</v>
      </c>
    </row>
    <row r="581" spans="1:14" ht="16.5">
      <c r="A581" s="90">
        <v>578</v>
      </c>
      <c r="B581" s="47">
        <v>237</v>
      </c>
      <c r="C581" s="50" t="s">
        <v>565</v>
      </c>
      <c r="D581" s="1" t="s">
        <v>1925</v>
      </c>
      <c r="E581" s="50" t="s">
        <v>1935</v>
      </c>
      <c r="F581" s="90" t="s">
        <v>1885</v>
      </c>
      <c r="G581" s="90" t="s">
        <v>1682</v>
      </c>
      <c r="H581" s="90" t="s">
        <v>1247</v>
      </c>
      <c r="I581" s="90" t="s">
        <v>1675</v>
      </c>
      <c r="J581" s="90" t="s">
        <v>1676</v>
      </c>
      <c r="K581" s="90" t="s">
        <v>1886</v>
      </c>
      <c r="L581" s="90" t="s">
        <v>1887</v>
      </c>
      <c r="M581" s="95" t="s">
        <v>1679</v>
      </c>
      <c r="N581" s="90" t="s">
        <v>1680</v>
      </c>
    </row>
    <row r="582" spans="1:14" ht="16.5">
      <c r="A582" s="90">
        <v>579</v>
      </c>
      <c r="B582" s="47">
        <v>213</v>
      </c>
      <c r="C582" s="50" t="s">
        <v>599</v>
      </c>
      <c r="D582" s="1" t="s">
        <v>1925</v>
      </c>
      <c r="E582" s="50" t="s">
        <v>1935</v>
      </c>
      <c r="F582" s="90">
        <v>63</v>
      </c>
      <c r="G582" s="90">
        <v>30</v>
      </c>
      <c r="H582" s="90">
        <v>10</v>
      </c>
      <c r="I582" s="90">
        <v>48</v>
      </c>
      <c r="J582" s="90">
        <v>53</v>
      </c>
      <c r="K582" s="90">
        <v>73</v>
      </c>
      <c r="L582" s="90">
        <v>78</v>
      </c>
      <c r="M582" s="95">
        <v>1</v>
      </c>
      <c r="N582" s="90">
        <v>6</v>
      </c>
    </row>
    <row r="583" spans="1:14" ht="16.5">
      <c r="A583" s="90">
        <v>580</v>
      </c>
      <c r="B583" s="47">
        <v>224</v>
      </c>
      <c r="C583" s="50" t="s">
        <v>369</v>
      </c>
      <c r="D583" s="1" t="s">
        <v>1925</v>
      </c>
      <c r="E583" s="50" t="s">
        <v>1935</v>
      </c>
      <c r="F583" s="90" t="s">
        <v>1872</v>
      </c>
      <c r="G583" s="90" t="s">
        <v>1682</v>
      </c>
      <c r="H583" s="90" t="s">
        <v>1247</v>
      </c>
      <c r="I583" s="90" t="s">
        <v>1920</v>
      </c>
      <c r="J583" s="90" t="s">
        <v>1880</v>
      </c>
      <c r="K583" s="90" t="s">
        <v>1875</v>
      </c>
      <c r="L583" s="90" t="s">
        <v>1876</v>
      </c>
      <c r="M583" s="95" t="s">
        <v>1679</v>
      </c>
      <c r="N583" s="90" t="s">
        <v>1680</v>
      </c>
    </row>
    <row r="584" spans="1:14" ht="16.5">
      <c r="A584" s="90">
        <v>581</v>
      </c>
      <c r="B584" s="47">
        <v>229</v>
      </c>
      <c r="C584" s="50" t="s">
        <v>515</v>
      </c>
      <c r="D584" s="1" t="s">
        <v>1925</v>
      </c>
      <c r="E584" s="50" t="s">
        <v>1935</v>
      </c>
      <c r="F584" s="90" t="s">
        <v>1872</v>
      </c>
      <c r="G584" s="90" t="s">
        <v>1682</v>
      </c>
      <c r="H584" s="90" t="s">
        <v>1247</v>
      </c>
      <c r="I584" s="90" t="s">
        <v>1920</v>
      </c>
      <c r="J584" s="90" t="s">
        <v>1880</v>
      </c>
      <c r="K584" s="90" t="s">
        <v>1875</v>
      </c>
      <c r="L584" s="90" t="s">
        <v>1876</v>
      </c>
      <c r="M584" s="95" t="s">
        <v>1679</v>
      </c>
      <c r="N584" s="90" t="s">
        <v>1870</v>
      </c>
    </row>
    <row r="585" spans="1:14" ht="16.5">
      <c r="A585" s="90">
        <v>582</v>
      </c>
      <c r="B585" s="47">
        <v>231</v>
      </c>
      <c r="C585" s="94" t="s">
        <v>591</v>
      </c>
      <c r="D585" s="1" t="s">
        <v>1925</v>
      </c>
      <c r="E585" s="50" t="s">
        <v>1935</v>
      </c>
      <c r="F585" s="90" t="s">
        <v>1865</v>
      </c>
      <c r="G585" s="90" t="s">
        <v>1862</v>
      </c>
      <c r="H585" s="90" t="s">
        <v>1888</v>
      </c>
      <c r="I585" s="90" t="s">
        <v>1880</v>
      </c>
      <c r="J585" s="90" t="s">
        <v>1922</v>
      </c>
      <c r="K585" s="90" t="s">
        <v>1923</v>
      </c>
      <c r="L585" s="90" t="s">
        <v>1924</v>
      </c>
      <c r="M585" s="95" t="s">
        <v>1679</v>
      </c>
      <c r="N585" s="90" t="s">
        <v>1891</v>
      </c>
    </row>
    <row r="586" spans="1:14" ht="16.5">
      <c r="A586" s="90">
        <v>583</v>
      </c>
      <c r="B586" s="47">
        <v>211</v>
      </c>
      <c r="C586" s="50" t="s">
        <v>605</v>
      </c>
      <c r="D586" s="1" t="s">
        <v>1925</v>
      </c>
      <c r="E586" s="50" t="s">
        <v>1935</v>
      </c>
      <c r="F586" s="90">
        <v>60</v>
      </c>
      <c r="G586" s="90">
        <v>30</v>
      </c>
      <c r="H586" s="90">
        <v>10</v>
      </c>
      <c r="I586" s="90">
        <v>45</v>
      </c>
      <c r="J586" s="90">
        <v>50</v>
      </c>
      <c r="K586" s="90">
        <v>70</v>
      </c>
      <c r="L586" s="90">
        <v>75</v>
      </c>
      <c r="M586" s="95">
        <v>1</v>
      </c>
      <c r="N586" s="90">
        <v>5.5</v>
      </c>
    </row>
    <row r="587" spans="1:14" ht="16.5">
      <c r="A587" s="90">
        <v>584</v>
      </c>
      <c r="B587" s="47">
        <v>212</v>
      </c>
      <c r="C587" s="50" t="s">
        <v>394</v>
      </c>
      <c r="D587" s="1" t="s">
        <v>1925</v>
      </c>
      <c r="E587" s="50" t="s">
        <v>1935</v>
      </c>
      <c r="F587" s="90" t="s">
        <v>1898</v>
      </c>
      <c r="G587" s="90" t="s">
        <v>1862</v>
      </c>
      <c r="H587" s="90" t="s">
        <v>1888</v>
      </c>
      <c r="I587" s="90" t="s">
        <v>1899</v>
      </c>
      <c r="J587" s="90" t="s">
        <v>1889</v>
      </c>
      <c r="K587" s="90" t="s">
        <v>1900</v>
      </c>
      <c r="L587" s="90" t="s">
        <v>1901</v>
      </c>
      <c r="M587" s="95" t="s">
        <v>1679</v>
      </c>
      <c r="N587" s="90" t="s">
        <v>1902</v>
      </c>
    </row>
    <row r="588" spans="1:14" ht="16.5">
      <c r="A588" s="90">
        <v>585</v>
      </c>
      <c r="B588" s="47">
        <v>300</v>
      </c>
      <c r="C588" s="50" t="s">
        <v>1896</v>
      </c>
      <c r="D588" s="1" t="s">
        <v>1925</v>
      </c>
      <c r="E588" s="50" t="s">
        <v>1935</v>
      </c>
      <c r="F588" s="90">
        <v>42</v>
      </c>
      <c r="G588" s="90">
        <v>30</v>
      </c>
      <c r="H588" s="90">
        <v>10</v>
      </c>
      <c r="I588" s="90">
        <v>27</v>
      </c>
      <c r="J588" s="90">
        <v>32</v>
      </c>
      <c r="K588" s="90">
        <v>52</v>
      </c>
      <c r="L588" s="90">
        <v>57</v>
      </c>
      <c r="M588" s="95">
        <v>1</v>
      </c>
      <c r="N588" s="90">
        <v>3</v>
      </c>
    </row>
    <row r="589" spans="1:14" ht="16.5">
      <c r="A589" s="90">
        <v>586</v>
      </c>
      <c r="B589" s="47">
        <v>228</v>
      </c>
      <c r="C589" s="50" t="s">
        <v>948</v>
      </c>
      <c r="D589" s="1" t="s">
        <v>1925</v>
      </c>
      <c r="E589" s="50" t="s">
        <v>1935</v>
      </c>
      <c r="F589" s="90" t="s">
        <v>1872</v>
      </c>
      <c r="G589" s="90" t="s">
        <v>1682</v>
      </c>
      <c r="H589" s="90" t="s">
        <v>1247</v>
      </c>
      <c r="I589" s="90" t="s">
        <v>1873</v>
      </c>
      <c r="J589" s="90" t="s">
        <v>1874</v>
      </c>
      <c r="K589" s="90" t="s">
        <v>1875</v>
      </c>
      <c r="L589" s="90" t="s">
        <v>1876</v>
      </c>
      <c r="M589" s="95" t="s">
        <v>1679</v>
      </c>
      <c r="N589" s="90" t="s">
        <v>1859</v>
      </c>
    </row>
    <row r="590" spans="1:14" ht="16.5">
      <c r="A590" s="90">
        <v>587</v>
      </c>
      <c r="B590" s="47">
        <v>410</v>
      </c>
      <c r="C590" s="50" t="s">
        <v>2308</v>
      </c>
      <c r="D590" s="50" t="s">
        <v>1905</v>
      </c>
      <c r="E590" s="50" t="s">
        <v>1935</v>
      </c>
      <c r="F590" s="90" t="s">
        <v>1872</v>
      </c>
      <c r="G590" s="90" t="s">
        <v>1682</v>
      </c>
      <c r="H590" s="90" t="s">
        <v>1247</v>
      </c>
      <c r="I590" s="90" t="s">
        <v>1873</v>
      </c>
      <c r="J590" s="90" t="s">
        <v>1874</v>
      </c>
      <c r="K590" s="90" t="s">
        <v>1875</v>
      </c>
      <c r="L590" s="90" t="s">
        <v>1876</v>
      </c>
      <c r="M590" s="95" t="s">
        <v>1679</v>
      </c>
      <c r="N590" s="90" t="s">
        <v>1859</v>
      </c>
    </row>
    <row r="591" spans="1:14" ht="16.5">
      <c r="A591" s="90">
        <v>588</v>
      </c>
      <c r="B591" s="47">
        <v>410</v>
      </c>
      <c r="C591" s="50" t="s">
        <v>2308</v>
      </c>
      <c r="D591" s="1" t="s">
        <v>1925</v>
      </c>
      <c r="E591" s="50" t="s">
        <v>1935</v>
      </c>
      <c r="F591" s="90" t="s">
        <v>1872</v>
      </c>
      <c r="G591" s="90" t="s">
        <v>1682</v>
      </c>
      <c r="H591" s="90" t="s">
        <v>1247</v>
      </c>
      <c r="I591" s="90" t="s">
        <v>1873</v>
      </c>
      <c r="J591" s="90" t="s">
        <v>1874</v>
      </c>
      <c r="K591" s="90" t="s">
        <v>1875</v>
      </c>
      <c r="L591" s="90" t="s">
        <v>1876</v>
      </c>
      <c r="M591" s="95" t="s">
        <v>1679</v>
      </c>
      <c r="N591" s="90" t="s">
        <v>1859</v>
      </c>
    </row>
    <row r="592" spans="1:14" ht="16.5">
      <c r="A592" s="90">
        <v>589</v>
      </c>
      <c r="B592" s="47">
        <v>400</v>
      </c>
      <c r="C592" s="50" t="s">
        <v>1014</v>
      </c>
      <c r="D592" s="50" t="s">
        <v>1852</v>
      </c>
      <c r="E592" s="50" t="s">
        <v>1853</v>
      </c>
      <c r="F592" s="90" t="s">
        <v>1854</v>
      </c>
      <c r="G592" s="90" t="s">
        <v>1871</v>
      </c>
      <c r="H592" s="90" t="s">
        <v>1247</v>
      </c>
      <c r="I592" s="90" t="s">
        <v>1855</v>
      </c>
      <c r="J592" s="90" t="s">
        <v>1856</v>
      </c>
      <c r="K592" s="90" t="s">
        <v>1857</v>
      </c>
      <c r="L592" s="90" t="s">
        <v>1858</v>
      </c>
      <c r="M592" s="95" t="s">
        <v>1679</v>
      </c>
      <c r="N592" s="90" t="s">
        <v>1859</v>
      </c>
    </row>
    <row r="593" spans="1:14" ht="16.5">
      <c r="A593" s="90">
        <v>590</v>
      </c>
      <c r="B593" s="47">
        <v>400</v>
      </c>
      <c r="C593" s="50" t="s">
        <v>1014</v>
      </c>
      <c r="D593" s="50" t="s">
        <v>1897</v>
      </c>
      <c r="E593" s="50" t="s">
        <v>1853</v>
      </c>
      <c r="F593" s="90" t="s">
        <v>1854</v>
      </c>
      <c r="G593" s="90" t="s">
        <v>1871</v>
      </c>
      <c r="H593" s="90" t="s">
        <v>1247</v>
      </c>
      <c r="I593" s="90" t="s">
        <v>1855</v>
      </c>
      <c r="J593" s="90" t="s">
        <v>1856</v>
      </c>
      <c r="K593" s="90" t="s">
        <v>1857</v>
      </c>
      <c r="L593" s="90" t="s">
        <v>1858</v>
      </c>
      <c r="M593" s="95" t="s">
        <v>1679</v>
      </c>
      <c r="N593" s="90" t="s">
        <v>1859</v>
      </c>
    </row>
    <row r="594" spans="1:14" ht="16.5">
      <c r="A594" s="90">
        <v>591</v>
      </c>
      <c r="B594" s="47">
        <v>400</v>
      </c>
      <c r="C594" s="50" t="s">
        <v>1014</v>
      </c>
      <c r="D594" s="50" t="s">
        <v>1903</v>
      </c>
      <c r="E594" s="50" t="s">
        <v>1853</v>
      </c>
      <c r="F594" s="90" t="s">
        <v>1854</v>
      </c>
      <c r="G594" s="90" t="s">
        <v>1871</v>
      </c>
      <c r="H594" s="90" t="s">
        <v>1247</v>
      </c>
      <c r="I594" s="90" t="s">
        <v>1855</v>
      </c>
      <c r="J594" s="90" t="s">
        <v>1856</v>
      </c>
      <c r="K594" s="90" t="s">
        <v>1857</v>
      </c>
      <c r="L594" s="90" t="s">
        <v>1858</v>
      </c>
      <c r="M594" s="95" t="s">
        <v>1679</v>
      </c>
      <c r="N594" s="90" t="s">
        <v>1859</v>
      </c>
    </row>
    <row r="595" spans="1:14" ht="16.5">
      <c r="A595" s="90">
        <v>592</v>
      </c>
      <c r="B595" s="47">
        <v>400</v>
      </c>
      <c r="C595" s="50" t="s">
        <v>1014</v>
      </c>
      <c r="D595" s="50" t="s">
        <v>1905</v>
      </c>
      <c r="E595" s="50" t="s">
        <v>1853</v>
      </c>
      <c r="F595" s="90" t="s">
        <v>1854</v>
      </c>
      <c r="G595" s="90" t="s">
        <v>1871</v>
      </c>
      <c r="H595" s="90" t="s">
        <v>1247</v>
      </c>
      <c r="I595" s="90" t="s">
        <v>1855</v>
      </c>
      <c r="J595" s="90" t="s">
        <v>1856</v>
      </c>
      <c r="K595" s="90" t="s">
        <v>1857</v>
      </c>
      <c r="L595" s="90" t="s">
        <v>1858</v>
      </c>
      <c r="M595" s="95" t="s">
        <v>1679</v>
      </c>
      <c r="N595" s="90" t="s">
        <v>1859</v>
      </c>
    </row>
    <row r="596" spans="1:14" ht="16.5">
      <c r="A596" s="90">
        <v>593</v>
      </c>
      <c r="B596" s="47">
        <v>400</v>
      </c>
      <c r="C596" s="50" t="s">
        <v>1014</v>
      </c>
      <c r="D596" s="1" t="s">
        <v>1925</v>
      </c>
      <c r="E596" s="50" t="s">
        <v>1853</v>
      </c>
      <c r="F596" s="90" t="s">
        <v>1854</v>
      </c>
      <c r="G596" s="90" t="s">
        <v>1871</v>
      </c>
      <c r="H596" s="90" t="s">
        <v>1247</v>
      </c>
      <c r="I596" s="90" t="s">
        <v>1855</v>
      </c>
      <c r="J596" s="90" t="s">
        <v>1856</v>
      </c>
      <c r="K596" s="90" t="s">
        <v>1857</v>
      </c>
      <c r="L596" s="90" t="s">
        <v>1858</v>
      </c>
      <c r="M596" s="95" t="s">
        <v>1679</v>
      </c>
      <c r="N596" s="90" t="s">
        <v>1859</v>
      </c>
    </row>
    <row r="597" spans="1:14" ht="16.5">
      <c r="A597" s="90">
        <v>594</v>
      </c>
      <c r="B597" s="47">
        <v>400</v>
      </c>
      <c r="C597" s="50" t="s">
        <v>1014</v>
      </c>
      <c r="D597" s="50" t="s">
        <v>1852</v>
      </c>
      <c r="E597" s="50" t="s">
        <v>1926</v>
      </c>
      <c r="F597" s="90" t="s">
        <v>1854</v>
      </c>
      <c r="G597" s="90" t="s">
        <v>1871</v>
      </c>
      <c r="H597" s="90" t="s">
        <v>1247</v>
      </c>
      <c r="I597" s="90" t="s">
        <v>1855</v>
      </c>
      <c r="J597" s="90" t="s">
        <v>1856</v>
      </c>
      <c r="K597" s="90" t="s">
        <v>1857</v>
      </c>
      <c r="L597" s="90" t="s">
        <v>1858</v>
      </c>
      <c r="M597" s="95" t="s">
        <v>1679</v>
      </c>
      <c r="N597" s="90" t="s">
        <v>1859</v>
      </c>
    </row>
    <row r="598" spans="1:14" ht="16.5">
      <c r="A598" s="90">
        <v>595</v>
      </c>
      <c r="B598" s="47">
        <v>400</v>
      </c>
      <c r="C598" s="50" t="s">
        <v>1014</v>
      </c>
      <c r="D598" s="50" t="s">
        <v>1897</v>
      </c>
      <c r="E598" s="50" t="s">
        <v>1926</v>
      </c>
      <c r="F598" s="90" t="s">
        <v>1854</v>
      </c>
      <c r="G598" s="90" t="s">
        <v>1871</v>
      </c>
      <c r="H598" s="90" t="s">
        <v>1247</v>
      </c>
      <c r="I598" s="90" t="s">
        <v>1855</v>
      </c>
      <c r="J598" s="90" t="s">
        <v>1856</v>
      </c>
      <c r="K598" s="90" t="s">
        <v>1857</v>
      </c>
      <c r="L598" s="90" t="s">
        <v>1858</v>
      </c>
      <c r="M598" s="95" t="s">
        <v>1679</v>
      </c>
      <c r="N598" s="90" t="s">
        <v>1859</v>
      </c>
    </row>
    <row r="599" spans="1:14" ht="16.5">
      <c r="A599" s="90">
        <v>596</v>
      </c>
      <c r="B599" s="47">
        <v>400</v>
      </c>
      <c r="C599" s="50" t="s">
        <v>1014</v>
      </c>
      <c r="D599" s="50" t="s">
        <v>1903</v>
      </c>
      <c r="E599" s="50" t="s">
        <v>1926</v>
      </c>
      <c r="F599" s="90" t="s">
        <v>1854</v>
      </c>
      <c r="G599" s="90" t="s">
        <v>1871</v>
      </c>
      <c r="H599" s="90" t="s">
        <v>1247</v>
      </c>
      <c r="I599" s="90" t="s">
        <v>1855</v>
      </c>
      <c r="J599" s="90" t="s">
        <v>1856</v>
      </c>
      <c r="K599" s="90" t="s">
        <v>1857</v>
      </c>
      <c r="L599" s="90" t="s">
        <v>1858</v>
      </c>
      <c r="M599" s="95" t="s">
        <v>1679</v>
      </c>
      <c r="N599" s="90" t="s">
        <v>1859</v>
      </c>
    </row>
    <row r="600" spans="1:14" ht="16.5">
      <c r="A600" s="90">
        <v>597</v>
      </c>
      <c r="B600" s="47">
        <v>400</v>
      </c>
      <c r="C600" s="50" t="s">
        <v>1014</v>
      </c>
      <c r="D600" s="50" t="s">
        <v>1905</v>
      </c>
      <c r="E600" s="50" t="s">
        <v>1926</v>
      </c>
      <c r="F600" s="90" t="s">
        <v>1854</v>
      </c>
      <c r="G600" s="90" t="s">
        <v>1871</v>
      </c>
      <c r="H600" s="90" t="s">
        <v>1247</v>
      </c>
      <c r="I600" s="90" t="s">
        <v>1855</v>
      </c>
      <c r="J600" s="90" t="s">
        <v>1856</v>
      </c>
      <c r="K600" s="90" t="s">
        <v>1857</v>
      </c>
      <c r="L600" s="90" t="s">
        <v>1858</v>
      </c>
      <c r="M600" s="95" t="s">
        <v>1679</v>
      </c>
      <c r="N600" s="90" t="s">
        <v>1859</v>
      </c>
    </row>
    <row r="601" spans="1:14" ht="16.5">
      <c r="A601" s="90">
        <v>598</v>
      </c>
      <c r="B601" s="47">
        <v>400</v>
      </c>
      <c r="C601" s="50" t="s">
        <v>1014</v>
      </c>
      <c r="D601" s="1" t="s">
        <v>1925</v>
      </c>
      <c r="E601" s="50" t="s">
        <v>1926</v>
      </c>
      <c r="F601" s="90" t="s">
        <v>1854</v>
      </c>
      <c r="G601" s="90" t="s">
        <v>1871</v>
      </c>
      <c r="H601" s="90" t="s">
        <v>1247</v>
      </c>
      <c r="I601" s="90" t="s">
        <v>1855</v>
      </c>
      <c r="J601" s="90" t="s">
        <v>1856</v>
      </c>
      <c r="K601" s="90" t="s">
        <v>1857</v>
      </c>
      <c r="L601" s="90" t="s">
        <v>1858</v>
      </c>
      <c r="M601" s="95" t="s">
        <v>1679</v>
      </c>
      <c r="N601" s="90" t="s">
        <v>1859</v>
      </c>
    </row>
    <row r="602" spans="1:14" ht="17.25" customHeight="1">
      <c r="A602" s="90">
        <v>599</v>
      </c>
      <c r="B602" s="47">
        <v>400</v>
      </c>
      <c r="C602" s="50" t="s">
        <v>1014</v>
      </c>
      <c r="D602" s="50" t="s">
        <v>1852</v>
      </c>
      <c r="E602" s="50" t="s">
        <v>1934</v>
      </c>
      <c r="F602" s="90" t="s">
        <v>1854</v>
      </c>
      <c r="G602" s="90" t="s">
        <v>1871</v>
      </c>
      <c r="H602" s="90" t="s">
        <v>1247</v>
      </c>
      <c r="I602" s="90" t="s">
        <v>1855</v>
      </c>
      <c r="J602" s="90" t="s">
        <v>1856</v>
      </c>
      <c r="K602" s="90" t="s">
        <v>1857</v>
      </c>
      <c r="L602" s="90" t="s">
        <v>1858</v>
      </c>
      <c r="M602" s="95" t="s">
        <v>1679</v>
      </c>
      <c r="N602" s="90" t="s">
        <v>1859</v>
      </c>
    </row>
    <row r="603" spans="1:14" ht="16.5">
      <c r="A603" s="90">
        <v>600</v>
      </c>
      <c r="B603" s="47">
        <v>400</v>
      </c>
      <c r="C603" s="50" t="s">
        <v>1014</v>
      </c>
      <c r="D603" s="50" t="s">
        <v>1897</v>
      </c>
      <c r="E603" s="50" t="s">
        <v>1934</v>
      </c>
      <c r="F603" s="90" t="s">
        <v>1854</v>
      </c>
      <c r="G603" s="90" t="s">
        <v>1871</v>
      </c>
      <c r="H603" s="90" t="s">
        <v>1247</v>
      </c>
      <c r="I603" s="90" t="s">
        <v>1855</v>
      </c>
      <c r="J603" s="90" t="s">
        <v>1856</v>
      </c>
      <c r="K603" s="90" t="s">
        <v>1857</v>
      </c>
      <c r="L603" s="90" t="s">
        <v>1858</v>
      </c>
      <c r="M603" s="95" t="s">
        <v>1679</v>
      </c>
      <c r="N603" s="90" t="s">
        <v>1859</v>
      </c>
    </row>
    <row r="604" spans="1:14" ht="16.5">
      <c r="A604" s="90">
        <v>601</v>
      </c>
      <c r="B604" s="47">
        <v>400</v>
      </c>
      <c r="C604" s="50" t="s">
        <v>1014</v>
      </c>
      <c r="D604" s="50" t="s">
        <v>1903</v>
      </c>
      <c r="E604" s="50" t="s">
        <v>1934</v>
      </c>
      <c r="F604" s="90" t="s">
        <v>1854</v>
      </c>
      <c r="G604" s="90" t="s">
        <v>1871</v>
      </c>
      <c r="H604" s="90" t="s">
        <v>1247</v>
      </c>
      <c r="I604" s="90" t="s">
        <v>1855</v>
      </c>
      <c r="J604" s="90" t="s">
        <v>1856</v>
      </c>
      <c r="K604" s="90" t="s">
        <v>1857</v>
      </c>
      <c r="L604" s="90" t="s">
        <v>1858</v>
      </c>
      <c r="M604" s="95" t="s">
        <v>1679</v>
      </c>
      <c r="N604" s="90" t="s">
        <v>1859</v>
      </c>
    </row>
    <row r="605" spans="1:14" ht="16.5">
      <c r="A605" s="90">
        <v>602</v>
      </c>
      <c r="B605" s="47">
        <v>400</v>
      </c>
      <c r="C605" s="50" t="s">
        <v>1014</v>
      </c>
      <c r="D605" s="50" t="s">
        <v>1905</v>
      </c>
      <c r="E605" s="50" t="s">
        <v>1934</v>
      </c>
      <c r="F605" s="90" t="s">
        <v>1854</v>
      </c>
      <c r="G605" s="90" t="s">
        <v>1871</v>
      </c>
      <c r="H605" s="90" t="s">
        <v>1247</v>
      </c>
      <c r="I605" s="90" t="s">
        <v>1855</v>
      </c>
      <c r="J605" s="90" t="s">
        <v>1856</v>
      </c>
      <c r="K605" s="90" t="s">
        <v>1857</v>
      </c>
      <c r="L605" s="90" t="s">
        <v>1858</v>
      </c>
      <c r="M605" s="95" t="s">
        <v>1679</v>
      </c>
      <c r="N605" s="90" t="s">
        <v>1859</v>
      </c>
    </row>
    <row r="606" spans="1:14" ht="16.5">
      <c r="A606" s="90">
        <v>603</v>
      </c>
      <c r="B606" s="47">
        <v>400</v>
      </c>
      <c r="C606" s="50" t="s">
        <v>1014</v>
      </c>
      <c r="D606" s="1" t="s">
        <v>1925</v>
      </c>
      <c r="E606" s="50" t="s">
        <v>1934</v>
      </c>
      <c r="F606" s="90" t="s">
        <v>1854</v>
      </c>
      <c r="G606" s="90" t="s">
        <v>1871</v>
      </c>
      <c r="H606" s="90" t="s">
        <v>1247</v>
      </c>
      <c r="I606" s="90" t="s">
        <v>1855</v>
      </c>
      <c r="J606" s="90" t="s">
        <v>1856</v>
      </c>
      <c r="K606" s="90" t="s">
        <v>1857</v>
      </c>
      <c r="L606" s="90" t="s">
        <v>1858</v>
      </c>
      <c r="M606" s="95" t="s">
        <v>1679</v>
      </c>
      <c r="N606" s="90" t="s">
        <v>1859</v>
      </c>
    </row>
    <row r="607" spans="1:14" ht="16.5">
      <c r="A607" s="90">
        <v>604</v>
      </c>
      <c r="B607" s="47">
        <v>400</v>
      </c>
      <c r="C607" s="50" t="s">
        <v>1014</v>
      </c>
      <c r="D607" s="50" t="s">
        <v>1852</v>
      </c>
      <c r="E607" s="50" t="s">
        <v>1935</v>
      </c>
      <c r="F607" s="90" t="s">
        <v>1854</v>
      </c>
      <c r="G607" s="90" t="s">
        <v>1871</v>
      </c>
      <c r="H607" s="90" t="s">
        <v>1247</v>
      </c>
      <c r="I607" s="90" t="s">
        <v>1855</v>
      </c>
      <c r="J607" s="90" t="s">
        <v>1856</v>
      </c>
      <c r="K607" s="90" t="s">
        <v>1857</v>
      </c>
      <c r="L607" s="90" t="s">
        <v>1858</v>
      </c>
      <c r="M607" s="95" t="s">
        <v>1679</v>
      </c>
      <c r="N607" s="90" t="s">
        <v>1859</v>
      </c>
    </row>
    <row r="608" spans="1:14" ht="16.5">
      <c r="A608" s="90">
        <v>605</v>
      </c>
      <c r="B608" s="47">
        <v>400</v>
      </c>
      <c r="C608" s="50" t="s">
        <v>1014</v>
      </c>
      <c r="D608" s="50" t="s">
        <v>1897</v>
      </c>
      <c r="E608" s="50" t="s">
        <v>1935</v>
      </c>
      <c r="F608" s="90" t="s">
        <v>1854</v>
      </c>
      <c r="G608" s="90" t="s">
        <v>1871</v>
      </c>
      <c r="H608" s="90" t="s">
        <v>1247</v>
      </c>
      <c r="I608" s="90" t="s">
        <v>1855</v>
      </c>
      <c r="J608" s="90" t="s">
        <v>1856</v>
      </c>
      <c r="K608" s="90" t="s">
        <v>1857</v>
      </c>
      <c r="L608" s="90" t="s">
        <v>1858</v>
      </c>
      <c r="M608" s="95" t="s">
        <v>1679</v>
      </c>
      <c r="N608" s="90" t="s">
        <v>1859</v>
      </c>
    </row>
    <row r="609" spans="1:14" ht="16.5">
      <c r="A609" s="90">
        <v>606</v>
      </c>
      <c r="B609" s="47">
        <v>400</v>
      </c>
      <c r="C609" s="50" t="s">
        <v>1014</v>
      </c>
      <c r="D609" s="50" t="s">
        <v>1903</v>
      </c>
      <c r="E609" s="50" t="s">
        <v>1935</v>
      </c>
      <c r="F609" s="90" t="s">
        <v>1854</v>
      </c>
      <c r="G609" s="90" t="s">
        <v>1871</v>
      </c>
      <c r="H609" s="90" t="s">
        <v>1247</v>
      </c>
      <c r="I609" s="90" t="s">
        <v>1855</v>
      </c>
      <c r="J609" s="90" t="s">
        <v>1856</v>
      </c>
      <c r="K609" s="90" t="s">
        <v>1857</v>
      </c>
      <c r="L609" s="90" t="s">
        <v>1858</v>
      </c>
      <c r="M609" s="95" t="s">
        <v>1679</v>
      </c>
      <c r="N609" s="90" t="s">
        <v>1859</v>
      </c>
    </row>
    <row r="610" spans="1:14" ht="16.5">
      <c r="A610" s="90">
        <v>607</v>
      </c>
      <c r="B610" s="47">
        <v>400</v>
      </c>
      <c r="C610" s="50" t="s">
        <v>1014</v>
      </c>
      <c r="D610" s="50" t="s">
        <v>1905</v>
      </c>
      <c r="E610" s="50" t="s">
        <v>1935</v>
      </c>
      <c r="F610" s="90" t="s">
        <v>1854</v>
      </c>
      <c r="G610" s="90" t="s">
        <v>1871</v>
      </c>
      <c r="H610" s="90" t="s">
        <v>1247</v>
      </c>
      <c r="I610" s="90" t="s">
        <v>1855</v>
      </c>
      <c r="J610" s="90" t="s">
        <v>1856</v>
      </c>
      <c r="K610" s="90" t="s">
        <v>1857</v>
      </c>
      <c r="L610" s="90" t="s">
        <v>1858</v>
      </c>
      <c r="M610" s="95" t="s">
        <v>1679</v>
      </c>
      <c r="N610" s="90" t="s">
        <v>1859</v>
      </c>
    </row>
    <row r="611" spans="1:14" ht="16.5">
      <c r="A611" s="90">
        <v>608</v>
      </c>
      <c r="B611" s="47">
        <v>400</v>
      </c>
      <c r="C611" s="50" t="s">
        <v>1014</v>
      </c>
      <c r="D611" s="1" t="s">
        <v>1925</v>
      </c>
      <c r="E611" s="50" t="s">
        <v>1935</v>
      </c>
      <c r="F611" s="90" t="s">
        <v>1854</v>
      </c>
      <c r="G611" s="90" t="s">
        <v>1871</v>
      </c>
      <c r="H611" s="90" t="s">
        <v>1247</v>
      </c>
      <c r="I611" s="90" t="s">
        <v>1855</v>
      </c>
      <c r="J611" s="90" t="s">
        <v>1856</v>
      </c>
      <c r="K611" s="90" t="s">
        <v>1857</v>
      </c>
      <c r="L611" s="90" t="s">
        <v>1858</v>
      </c>
      <c r="M611" s="95" t="s">
        <v>1679</v>
      </c>
      <c r="N611" s="90" t="s">
        <v>1859</v>
      </c>
    </row>
    <row r="612" spans="1:14" ht="16.5">
      <c r="A612" s="90">
        <v>609</v>
      </c>
      <c r="B612" s="47">
        <v>404</v>
      </c>
      <c r="C612" s="50" t="s">
        <v>1019</v>
      </c>
      <c r="D612" s="50" t="s">
        <v>1852</v>
      </c>
      <c r="E612" s="50" t="s">
        <v>1853</v>
      </c>
      <c r="F612" s="90" t="s">
        <v>1854</v>
      </c>
      <c r="G612" s="90" t="s">
        <v>1871</v>
      </c>
      <c r="H612" s="90" t="s">
        <v>1247</v>
      </c>
      <c r="I612" s="90" t="s">
        <v>1855</v>
      </c>
      <c r="J612" s="90" t="s">
        <v>1856</v>
      </c>
      <c r="K612" s="90" t="s">
        <v>1857</v>
      </c>
      <c r="L612" s="90" t="s">
        <v>1858</v>
      </c>
      <c r="M612" s="95" t="s">
        <v>1679</v>
      </c>
      <c r="N612" s="90" t="s">
        <v>1859</v>
      </c>
    </row>
    <row r="613" spans="1:14" ht="16.5">
      <c r="A613" s="90">
        <v>610</v>
      </c>
      <c r="B613" s="47">
        <v>404</v>
      </c>
      <c r="C613" s="50" t="s">
        <v>1019</v>
      </c>
      <c r="D613" s="50" t="s">
        <v>1897</v>
      </c>
      <c r="E613" s="50" t="s">
        <v>1853</v>
      </c>
      <c r="F613" s="90" t="s">
        <v>1854</v>
      </c>
      <c r="G613" s="90" t="s">
        <v>1871</v>
      </c>
      <c r="H613" s="90" t="s">
        <v>1247</v>
      </c>
      <c r="I613" s="90" t="s">
        <v>1855</v>
      </c>
      <c r="J613" s="90" t="s">
        <v>1856</v>
      </c>
      <c r="K613" s="90" t="s">
        <v>1857</v>
      </c>
      <c r="L613" s="90" t="s">
        <v>1858</v>
      </c>
      <c r="M613" s="95" t="s">
        <v>1679</v>
      </c>
      <c r="N613" s="90" t="s">
        <v>1859</v>
      </c>
    </row>
    <row r="614" spans="1:14" ht="16.5">
      <c r="A614" s="90">
        <v>611</v>
      </c>
      <c r="B614" s="47">
        <v>404</v>
      </c>
      <c r="C614" s="50" t="s">
        <v>1019</v>
      </c>
      <c r="D614" s="50" t="s">
        <v>1903</v>
      </c>
      <c r="E614" s="50" t="s">
        <v>1853</v>
      </c>
      <c r="F614" s="90" t="s">
        <v>1854</v>
      </c>
      <c r="G614" s="90" t="s">
        <v>1871</v>
      </c>
      <c r="H614" s="90" t="s">
        <v>1247</v>
      </c>
      <c r="I614" s="90" t="s">
        <v>1855</v>
      </c>
      <c r="J614" s="90" t="s">
        <v>1856</v>
      </c>
      <c r="K614" s="90" t="s">
        <v>1857</v>
      </c>
      <c r="L614" s="90" t="s">
        <v>1858</v>
      </c>
      <c r="M614" s="95" t="s">
        <v>1679</v>
      </c>
      <c r="N614" s="90" t="s">
        <v>1859</v>
      </c>
    </row>
    <row r="615" spans="1:14" ht="16.5">
      <c r="A615" s="90">
        <v>612</v>
      </c>
      <c r="B615" s="47">
        <v>404</v>
      </c>
      <c r="C615" s="50" t="s">
        <v>1019</v>
      </c>
      <c r="D615" s="50" t="s">
        <v>1905</v>
      </c>
      <c r="E615" s="50" t="s">
        <v>1853</v>
      </c>
      <c r="F615" s="90" t="s">
        <v>1854</v>
      </c>
      <c r="G615" s="90" t="s">
        <v>1871</v>
      </c>
      <c r="H615" s="90" t="s">
        <v>1247</v>
      </c>
      <c r="I615" s="90" t="s">
        <v>1855</v>
      </c>
      <c r="J615" s="90" t="s">
        <v>1856</v>
      </c>
      <c r="K615" s="90" t="s">
        <v>1857</v>
      </c>
      <c r="L615" s="90" t="s">
        <v>1858</v>
      </c>
      <c r="M615" s="95" t="s">
        <v>1679</v>
      </c>
      <c r="N615" s="90" t="s">
        <v>1859</v>
      </c>
    </row>
    <row r="616" spans="1:14" ht="16.5">
      <c r="A616" s="90">
        <v>613</v>
      </c>
      <c r="B616" s="47">
        <v>404</v>
      </c>
      <c r="C616" s="50" t="s">
        <v>1019</v>
      </c>
      <c r="D616" s="1" t="s">
        <v>1925</v>
      </c>
      <c r="E616" s="50" t="s">
        <v>1853</v>
      </c>
      <c r="F616" s="90" t="s">
        <v>1854</v>
      </c>
      <c r="G616" s="90" t="s">
        <v>1871</v>
      </c>
      <c r="H616" s="90" t="s">
        <v>1247</v>
      </c>
      <c r="I616" s="90" t="s">
        <v>1855</v>
      </c>
      <c r="J616" s="90" t="s">
        <v>1856</v>
      </c>
      <c r="K616" s="90" t="s">
        <v>1857</v>
      </c>
      <c r="L616" s="90" t="s">
        <v>1858</v>
      </c>
      <c r="M616" s="95" t="s">
        <v>1679</v>
      </c>
      <c r="N616" s="90" t="s">
        <v>1859</v>
      </c>
    </row>
    <row r="617" spans="1:14" ht="16.5">
      <c r="A617" s="90">
        <v>614</v>
      </c>
      <c r="B617" s="47">
        <v>404</v>
      </c>
      <c r="C617" s="50" t="s">
        <v>1019</v>
      </c>
      <c r="D617" s="50" t="s">
        <v>1852</v>
      </c>
      <c r="E617" s="50" t="s">
        <v>1926</v>
      </c>
      <c r="F617" s="90" t="s">
        <v>1854</v>
      </c>
      <c r="G617" s="90" t="s">
        <v>1871</v>
      </c>
      <c r="H617" s="90" t="s">
        <v>1247</v>
      </c>
      <c r="I617" s="90" t="s">
        <v>1855</v>
      </c>
      <c r="J617" s="90" t="s">
        <v>1856</v>
      </c>
      <c r="K617" s="90" t="s">
        <v>1857</v>
      </c>
      <c r="L617" s="90" t="s">
        <v>1858</v>
      </c>
      <c r="M617" s="95" t="s">
        <v>1679</v>
      </c>
      <c r="N617" s="90" t="s">
        <v>1859</v>
      </c>
    </row>
    <row r="618" spans="1:14" ht="16.5">
      <c r="A618" s="90">
        <v>615</v>
      </c>
      <c r="B618" s="47">
        <v>404</v>
      </c>
      <c r="C618" s="50" t="s">
        <v>1019</v>
      </c>
      <c r="D618" s="50" t="s">
        <v>1897</v>
      </c>
      <c r="E618" s="50" t="s">
        <v>1926</v>
      </c>
      <c r="F618" s="90" t="s">
        <v>1854</v>
      </c>
      <c r="G618" s="90" t="s">
        <v>1871</v>
      </c>
      <c r="H618" s="90" t="s">
        <v>1247</v>
      </c>
      <c r="I618" s="90" t="s">
        <v>1855</v>
      </c>
      <c r="J618" s="90" t="s">
        <v>1856</v>
      </c>
      <c r="K618" s="90" t="s">
        <v>1857</v>
      </c>
      <c r="L618" s="90" t="s">
        <v>1858</v>
      </c>
      <c r="M618" s="95" t="s">
        <v>1679</v>
      </c>
      <c r="N618" s="90" t="s">
        <v>1859</v>
      </c>
    </row>
    <row r="619" spans="1:14" ht="16.5">
      <c r="A619" s="90">
        <v>616</v>
      </c>
      <c r="B619" s="47">
        <v>404</v>
      </c>
      <c r="C619" s="50" t="s">
        <v>1019</v>
      </c>
      <c r="D619" s="50" t="s">
        <v>1903</v>
      </c>
      <c r="E619" s="50" t="s">
        <v>1926</v>
      </c>
      <c r="F619" s="90" t="s">
        <v>1854</v>
      </c>
      <c r="G619" s="90" t="s">
        <v>1871</v>
      </c>
      <c r="H619" s="90" t="s">
        <v>1247</v>
      </c>
      <c r="I619" s="90" t="s">
        <v>1855</v>
      </c>
      <c r="J619" s="90" t="s">
        <v>1856</v>
      </c>
      <c r="K619" s="90" t="s">
        <v>1857</v>
      </c>
      <c r="L619" s="90" t="s">
        <v>1858</v>
      </c>
      <c r="M619" s="95" t="s">
        <v>1679</v>
      </c>
      <c r="N619" s="90" t="s">
        <v>1859</v>
      </c>
    </row>
    <row r="620" spans="1:14" ht="16.5">
      <c r="A620" s="90">
        <v>617</v>
      </c>
      <c r="B620" s="47">
        <v>404</v>
      </c>
      <c r="C620" s="50" t="s">
        <v>1019</v>
      </c>
      <c r="D620" s="50" t="s">
        <v>1905</v>
      </c>
      <c r="E620" s="50" t="s">
        <v>1926</v>
      </c>
      <c r="F620" s="90" t="s">
        <v>1854</v>
      </c>
      <c r="G620" s="90" t="s">
        <v>1871</v>
      </c>
      <c r="H620" s="90" t="s">
        <v>1247</v>
      </c>
      <c r="I620" s="90" t="s">
        <v>1855</v>
      </c>
      <c r="J620" s="90" t="s">
        <v>1856</v>
      </c>
      <c r="K620" s="90" t="s">
        <v>1857</v>
      </c>
      <c r="L620" s="90" t="s">
        <v>1858</v>
      </c>
      <c r="M620" s="95" t="s">
        <v>1679</v>
      </c>
      <c r="N620" s="90" t="s">
        <v>1859</v>
      </c>
    </row>
    <row r="621" spans="1:14" ht="16.5">
      <c r="A621" s="90">
        <v>618</v>
      </c>
      <c r="B621" s="47">
        <v>404</v>
      </c>
      <c r="C621" s="50" t="s">
        <v>1019</v>
      </c>
      <c r="D621" s="1" t="s">
        <v>1925</v>
      </c>
      <c r="E621" s="50" t="s">
        <v>1926</v>
      </c>
      <c r="F621" s="90" t="s">
        <v>1854</v>
      </c>
      <c r="G621" s="90" t="s">
        <v>1871</v>
      </c>
      <c r="H621" s="90" t="s">
        <v>1247</v>
      </c>
      <c r="I621" s="90" t="s">
        <v>1855</v>
      </c>
      <c r="J621" s="90" t="s">
        <v>1856</v>
      </c>
      <c r="K621" s="90" t="s">
        <v>1857</v>
      </c>
      <c r="L621" s="90" t="s">
        <v>1858</v>
      </c>
      <c r="M621" s="95" t="s">
        <v>1679</v>
      </c>
      <c r="N621" s="90" t="s">
        <v>1859</v>
      </c>
    </row>
    <row r="622" spans="1:14" ht="16.5">
      <c r="A622" s="90">
        <v>619</v>
      </c>
      <c r="B622" s="47">
        <v>404</v>
      </c>
      <c r="C622" s="50" t="s">
        <v>1019</v>
      </c>
      <c r="D622" s="50" t="s">
        <v>1852</v>
      </c>
      <c r="E622" s="50" t="s">
        <v>1934</v>
      </c>
      <c r="F622" s="90" t="s">
        <v>1854</v>
      </c>
      <c r="G622" s="90" t="s">
        <v>1871</v>
      </c>
      <c r="H622" s="90" t="s">
        <v>1247</v>
      </c>
      <c r="I622" s="90" t="s">
        <v>1855</v>
      </c>
      <c r="J622" s="90" t="s">
        <v>1856</v>
      </c>
      <c r="K622" s="90" t="s">
        <v>1857</v>
      </c>
      <c r="L622" s="90" t="s">
        <v>1858</v>
      </c>
      <c r="M622" s="95" t="s">
        <v>1679</v>
      </c>
      <c r="N622" s="90" t="s">
        <v>1859</v>
      </c>
    </row>
    <row r="623" spans="1:14" ht="16.5">
      <c r="A623" s="90">
        <v>620</v>
      </c>
      <c r="B623" s="47">
        <v>404</v>
      </c>
      <c r="C623" s="50" t="s">
        <v>1019</v>
      </c>
      <c r="D623" s="50" t="s">
        <v>1897</v>
      </c>
      <c r="E623" s="50" t="s">
        <v>1934</v>
      </c>
      <c r="F623" s="90" t="s">
        <v>1854</v>
      </c>
      <c r="G623" s="90" t="s">
        <v>1871</v>
      </c>
      <c r="H623" s="90" t="s">
        <v>1247</v>
      </c>
      <c r="I623" s="90" t="s">
        <v>1855</v>
      </c>
      <c r="J623" s="90" t="s">
        <v>1856</v>
      </c>
      <c r="K623" s="90" t="s">
        <v>1857</v>
      </c>
      <c r="L623" s="90" t="s">
        <v>1858</v>
      </c>
      <c r="M623" s="95" t="s">
        <v>1679</v>
      </c>
      <c r="N623" s="90" t="s">
        <v>1859</v>
      </c>
    </row>
    <row r="624" spans="1:14" ht="16.5">
      <c r="A624" s="90">
        <v>621</v>
      </c>
      <c r="B624" s="47">
        <v>404</v>
      </c>
      <c r="C624" s="50" t="s">
        <v>1019</v>
      </c>
      <c r="D624" s="50" t="s">
        <v>1903</v>
      </c>
      <c r="E624" s="50" t="s">
        <v>1934</v>
      </c>
      <c r="F624" s="90" t="s">
        <v>1854</v>
      </c>
      <c r="G624" s="90" t="s">
        <v>1871</v>
      </c>
      <c r="H624" s="90" t="s">
        <v>1247</v>
      </c>
      <c r="I624" s="90" t="s">
        <v>1855</v>
      </c>
      <c r="J624" s="90" t="s">
        <v>1856</v>
      </c>
      <c r="K624" s="90" t="s">
        <v>1857</v>
      </c>
      <c r="L624" s="90" t="s">
        <v>1858</v>
      </c>
      <c r="M624" s="95" t="s">
        <v>1679</v>
      </c>
      <c r="N624" s="90" t="s">
        <v>1859</v>
      </c>
    </row>
    <row r="625" spans="1:14" ht="16.5">
      <c r="A625" s="90">
        <v>622</v>
      </c>
      <c r="B625" s="47">
        <v>404</v>
      </c>
      <c r="C625" s="50" t="s">
        <v>1019</v>
      </c>
      <c r="D625" s="50" t="s">
        <v>1905</v>
      </c>
      <c r="E625" s="50" t="s">
        <v>1934</v>
      </c>
      <c r="F625" s="90" t="s">
        <v>1854</v>
      </c>
      <c r="G625" s="90" t="s">
        <v>1871</v>
      </c>
      <c r="H625" s="90" t="s">
        <v>1247</v>
      </c>
      <c r="I625" s="90" t="s">
        <v>1855</v>
      </c>
      <c r="J625" s="90" t="s">
        <v>1856</v>
      </c>
      <c r="K625" s="90" t="s">
        <v>1857</v>
      </c>
      <c r="L625" s="90" t="s">
        <v>1858</v>
      </c>
      <c r="M625" s="95" t="s">
        <v>1679</v>
      </c>
      <c r="N625" s="90" t="s">
        <v>1859</v>
      </c>
    </row>
    <row r="626" spans="1:14" ht="16.5">
      <c r="A626" s="90">
        <v>623</v>
      </c>
      <c r="B626" s="47">
        <v>404</v>
      </c>
      <c r="C626" s="50" t="s">
        <v>1019</v>
      </c>
      <c r="D626" s="1" t="s">
        <v>1925</v>
      </c>
      <c r="E626" s="50" t="s">
        <v>1934</v>
      </c>
      <c r="F626" s="90" t="s">
        <v>1854</v>
      </c>
      <c r="G626" s="90" t="s">
        <v>1871</v>
      </c>
      <c r="H626" s="90" t="s">
        <v>1247</v>
      </c>
      <c r="I626" s="90" t="s">
        <v>1855</v>
      </c>
      <c r="J626" s="90" t="s">
        <v>1856</v>
      </c>
      <c r="K626" s="90" t="s">
        <v>1857</v>
      </c>
      <c r="L626" s="90" t="s">
        <v>1858</v>
      </c>
      <c r="M626" s="95" t="s">
        <v>1679</v>
      </c>
      <c r="N626" s="90" t="s">
        <v>1859</v>
      </c>
    </row>
    <row r="627" spans="1:14" ht="16.5">
      <c r="A627" s="90">
        <v>624</v>
      </c>
      <c r="B627" s="47">
        <v>404</v>
      </c>
      <c r="C627" s="50" t="s">
        <v>1019</v>
      </c>
      <c r="D627" s="50" t="s">
        <v>1852</v>
      </c>
      <c r="E627" s="50" t="s">
        <v>1935</v>
      </c>
      <c r="F627" s="90" t="s">
        <v>1854</v>
      </c>
      <c r="G627" s="90" t="s">
        <v>1871</v>
      </c>
      <c r="H627" s="90" t="s">
        <v>1247</v>
      </c>
      <c r="I627" s="90" t="s">
        <v>1855</v>
      </c>
      <c r="J627" s="90" t="s">
        <v>1856</v>
      </c>
      <c r="K627" s="90" t="s">
        <v>1857</v>
      </c>
      <c r="L627" s="90" t="s">
        <v>1858</v>
      </c>
      <c r="M627" s="95" t="s">
        <v>1679</v>
      </c>
      <c r="N627" s="90" t="s">
        <v>1859</v>
      </c>
    </row>
    <row r="628" spans="1:14" ht="16.5">
      <c r="A628" s="90">
        <v>625</v>
      </c>
      <c r="B628" s="47">
        <v>404</v>
      </c>
      <c r="C628" s="50" t="s">
        <v>1019</v>
      </c>
      <c r="D628" s="50" t="s">
        <v>1897</v>
      </c>
      <c r="E628" s="50" t="s">
        <v>1935</v>
      </c>
      <c r="F628" s="90" t="s">
        <v>1854</v>
      </c>
      <c r="G628" s="90" t="s">
        <v>1871</v>
      </c>
      <c r="H628" s="90" t="s">
        <v>1247</v>
      </c>
      <c r="I628" s="90" t="s">
        <v>1855</v>
      </c>
      <c r="J628" s="90" t="s">
        <v>1856</v>
      </c>
      <c r="K628" s="90" t="s">
        <v>1857</v>
      </c>
      <c r="L628" s="90" t="s">
        <v>1858</v>
      </c>
      <c r="M628" s="95" t="s">
        <v>1679</v>
      </c>
      <c r="N628" s="90" t="s">
        <v>1859</v>
      </c>
    </row>
    <row r="629" spans="1:14" ht="16.5">
      <c r="A629" s="90">
        <v>626</v>
      </c>
      <c r="B629" s="47">
        <v>404</v>
      </c>
      <c r="C629" s="50" t="s">
        <v>1019</v>
      </c>
      <c r="D629" s="50" t="s">
        <v>1903</v>
      </c>
      <c r="E629" s="50" t="s">
        <v>1935</v>
      </c>
      <c r="F629" s="90" t="s">
        <v>1854</v>
      </c>
      <c r="G629" s="90" t="s">
        <v>1871</v>
      </c>
      <c r="H629" s="90" t="s">
        <v>1247</v>
      </c>
      <c r="I629" s="90" t="s">
        <v>1855</v>
      </c>
      <c r="J629" s="90" t="s">
        <v>1856</v>
      </c>
      <c r="K629" s="90" t="s">
        <v>1857</v>
      </c>
      <c r="L629" s="90" t="s">
        <v>1858</v>
      </c>
      <c r="M629" s="95" t="s">
        <v>1679</v>
      </c>
      <c r="N629" s="90" t="s">
        <v>1859</v>
      </c>
    </row>
    <row r="630" spans="1:14" ht="16.5">
      <c r="A630" s="90">
        <v>627</v>
      </c>
      <c r="B630" s="47">
        <v>404</v>
      </c>
      <c r="C630" s="50" t="s">
        <v>1019</v>
      </c>
      <c r="D630" s="50" t="s">
        <v>1905</v>
      </c>
      <c r="E630" s="50" t="s">
        <v>1935</v>
      </c>
      <c r="F630" s="90" t="s">
        <v>1854</v>
      </c>
      <c r="G630" s="90" t="s">
        <v>1871</v>
      </c>
      <c r="H630" s="90" t="s">
        <v>1247</v>
      </c>
      <c r="I630" s="90" t="s">
        <v>1855</v>
      </c>
      <c r="J630" s="90" t="s">
        <v>1856</v>
      </c>
      <c r="K630" s="90" t="s">
        <v>1857</v>
      </c>
      <c r="L630" s="90" t="s">
        <v>1858</v>
      </c>
      <c r="M630" s="95" t="s">
        <v>1679</v>
      </c>
      <c r="N630" s="90" t="s">
        <v>1859</v>
      </c>
    </row>
    <row r="631" spans="1:14" ht="16.5">
      <c r="A631" s="90">
        <v>628</v>
      </c>
      <c r="B631" s="47">
        <v>404</v>
      </c>
      <c r="C631" s="50" t="s">
        <v>1019</v>
      </c>
      <c r="D631" s="1" t="s">
        <v>1925</v>
      </c>
      <c r="E631" s="50" t="s">
        <v>1935</v>
      </c>
      <c r="F631" s="90" t="s">
        <v>1854</v>
      </c>
      <c r="G631" s="90" t="s">
        <v>1871</v>
      </c>
      <c r="H631" s="90" t="s">
        <v>1247</v>
      </c>
      <c r="I631" s="90" t="s">
        <v>1855</v>
      </c>
      <c r="J631" s="90" t="s">
        <v>1856</v>
      </c>
      <c r="K631" s="90" t="s">
        <v>1857</v>
      </c>
      <c r="L631" s="90" t="s">
        <v>1858</v>
      </c>
      <c r="M631" s="95" t="s">
        <v>1679</v>
      </c>
      <c r="N631" s="90" t="s">
        <v>1859</v>
      </c>
    </row>
    <row r="632" spans="1:14" ht="16.5">
      <c r="A632" s="90">
        <v>629</v>
      </c>
      <c r="B632" s="47">
        <v>409</v>
      </c>
      <c r="C632" s="50" t="s">
        <v>1019</v>
      </c>
      <c r="D632" s="50" t="s">
        <v>1852</v>
      </c>
      <c r="E632" s="50" t="s">
        <v>1853</v>
      </c>
      <c r="F632" s="90" t="s">
        <v>1854</v>
      </c>
      <c r="G632" s="90" t="s">
        <v>1871</v>
      </c>
      <c r="H632" s="90" t="s">
        <v>1247</v>
      </c>
      <c r="I632" s="90" t="s">
        <v>1855</v>
      </c>
      <c r="J632" s="90" t="s">
        <v>1856</v>
      </c>
      <c r="K632" s="90" t="s">
        <v>1857</v>
      </c>
      <c r="L632" s="90" t="s">
        <v>1858</v>
      </c>
      <c r="M632" s="95" t="s">
        <v>1679</v>
      </c>
      <c r="N632" s="90" t="s">
        <v>1859</v>
      </c>
    </row>
    <row r="633" spans="1:14" ht="16.5">
      <c r="A633" s="90">
        <v>630</v>
      </c>
      <c r="B633" s="47">
        <v>409</v>
      </c>
      <c r="C633" s="50" t="s">
        <v>1023</v>
      </c>
      <c r="D633" s="50" t="s">
        <v>1897</v>
      </c>
      <c r="E633" s="50" t="s">
        <v>1853</v>
      </c>
      <c r="F633" s="90" t="s">
        <v>1854</v>
      </c>
      <c r="G633" s="90" t="s">
        <v>1871</v>
      </c>
      <c r="H633" s="90" t="s">
        <v>1247</v>
      </c>
      <c r="I633" s="90" t="s">
        <v>1855</v>
      </c>
      <c r="J633" s="90" t="s">
        <v>1856</v>
      </c>
      <c r="K633" s="90" t="s">
        <v>1857</v>
      </c>
      <c r="L633" s="90" t="s">
        <v>1858</v>
      </c>
      <c r="M633" s="95" t="s">
        <v>1679</v>
      </c>
      <c r="N633" s="90" t="s">
        <v>1859</v>
      </c>
    </row>
    <row r="634" spans="1:14" ht="16.5">
      <c r="A634" s="90">
        <v>631</v>
      </c>
      <c r="B634" s="47">
        <v>409</v>
      </c>
      <c r="C634" s="50" t="s">
        <v>1023</v>
      </c>
      <c r="D634" s="50" t="s">
        <v>1903</v>
      </c>
      <c r="E634" s="50" t="s">
        <v>1853</v>
      </c>
      <c r="F634" s="90" t="s">
        <v>1854</v>
      </c>
      <c r="G634" s="90" t="s">
        <v>1871</v>
      </c>
      <c r="H634" s="90" t="s">
        <v>1247</v>
      </c>
      <c r="I634" s="90" t="s">
        <v>1855</v>
      </c>
      <c r="J634" s="90" t="s">
        <v>1856</v>
      </c>
      <c r="K634" s="90" t="s">
        <v>1857</v>
      </c>
      <c r="L634" s="90" t="s">
        <v>1858</v>
      </c>
      <c r="M634" s="95" t="s">
        <v>1679</v>
      </c>
      <c r="N634" s="90" t="s">
        <v>1859</v>
      </c>
    </row>
    <row r="635" spans="1:14" ht="16.5">
      <c r="A635" s="90">
        <v>632</v>
      </c>
      <c r="B635" s="47">
        <v>409</v>
      </c>
      <c r="C635" s="50" t="s">
        <v>1023</v>
      </c>
      <c r="D635" s="50" t="s">
        <v>1905</v>
      </c>
      <c r="E635" s="50" t="s">
        <v>1853</v>
      </c>
      <c r="F635" s="90" t="s">
        <v>1854</v>
      </c>
      <c r="G635" s="90" t="s">
        <v>1871</v>
      </c>
      <c r="H635" s="90" t="s">
        <v>1247</v>
      </c>
      <c r="I635" s="90" t="s">
        <v>1855</v>
      </c>
      <c r="J635" s="90" t="s">
        <v>1856</v>
      </c>
      <c r="K635" s="90" t="s">
        <v>1857</v>
      </c>
      <c r="L635" s="90" t="s">
        <v>1858</v>
      </c>
      <c r="M635" s="95" t="s">
        <v>1679</v>
      </c>
      <c r="N635" s="90" t="s">
        <v>1859</v>
      </c>
    </row>
    <row r="636" spans="1:14" ht="16.5">
      <c r="A636" s="90">
        <v>633</v>
      </c>
      <c r="B636" s="47">
        <v>409</v>
      </c>
      <c r="C636" s="50" t="s">
        <v>1023</v>
      </c>
      <c r="D636" s="1" t="s">
        <v>1925</v>
      </c>
      <c r="E636" s="50" t="s">
        <v>1853</v>
      </c>
      <c r="F636" s="90" t="s">
        <v>1854</v>
      </c>
      <c r="G636" s="90" t="s">
        <v>1871</v>
      </c>
      <c r="H636" s="90" t="s">
        <v>1247</v>
      </c>
      <c r="I636" s="90" t="s">
        <v>1855</v>
      </c>
      <c r="J636" s="90" t="s">
        <v>1856</v>
      </c>
      <c r="K636" s="90" t="s">
        <v>1857</v>
      </c>
      <c r="L636" s="90" t="s">
        <v>1858</v>
      </c>
      <c r="M636" s="95" t="s">
        <v>1679</v>
      </c>
      <c r="N636" s="90" t="s">
        <v>1859</v>
      </c>
    </row>
    <row r="637" spans="1:14" ht="16.5">
      <c r="A637" s="90">
        <v>634</v>
      </c>
      <c r="B637" s="47">
        <v>409</v>
      </c>
      <c r="C637" s="50" t="s">
        <v>1023</v>
      </c>
      <c r="D637" s="50" t="s">
        <v>1852</v>
      </c>
      <c r="E637" s="50" t="s">
        <v>1926</v>
      </c>
      <c r="F637" s="90" t="s">
        <v>1854</v>
      </c>
      <c r="G637" s="90" t="s">
        <v>1871</v>
      </c>
      <c r="H637" s="90" t="s">
        <v>1247</v>
      </c>
      <c r="I637" s="90" t="s">
        <v>1855</v>
      </c>
      <c r="J637" s="90" t="s">
        <v>1856</v>
      </c>
      <c r="K637" s="90" t="s">
        <v>1857</v>
      </c>
      <c r="L637" s="90" t="s">
        <v>1858</v>
      </c>
      <c r="M637" s="95" t="s">
        <v>1679</v>
      </c>
      <c r="N637" s="90" t="s">
        <v>1859</v>
      </c>
    </row>
    <row r="638" spans="1:14" ht="16.5">
      <c r="A638" s="90">
        <v>635</v>
      </c>
      <c r="B638" s="47">
        <v>409</v>
      </c>
      <c r="C638" s="50" t="s">
        <v>1023</v>
      </c>
      <c r="D638" s="50" t="s">
        <v>1897</v>
      </c>
      <c r="E638" s="50" t="s">
        <v>1926</v>
      </c>
      <c r="F638" s="90" t="s">
        <v>1854</v>
      </c>
      <c r="G638" s="90" t="s">
        <v>1871</v>
      </c>
      <c r="H638" s="90" t="s">
        <v>1247</v>
      </c>
      <c r="I638" s="90" t="s">
        <v>1855</v>
      </c>
      <c r="J638" s="90" t="s">
        <v>1856</v>
      </c>
      <c r="K638" s="90" t="s">
        <v>1857</v>
      </c>
      <c r="L638" s="90" t="s">
        <v>1858</v>
      </c>
      <c r="M638" s="95" t="s">
        <v>1679</v>
      </c>
      <c r="N638" s="90" t="s">
        <v>1859</v>
      </c>
    </row>
    <row r="639" spans="1:14" ht="16.5">
      <c r="A639" s="90">
        <v>636</v>
      </c>
      <c r="B639" s="47">
        <v>409</v>
      </c>
      <c r="C639" s="50" t="s">
        <v>1023</v>
      </c>
      <c r="D639" s="50" t="s">
        <v>1903</v>
      </c>
      <c r="E639" s="50" t="s">
        <v>1926</v>
      </c>
      <c r="F639" s="90" t="s">
        <v>1854</v>
      </c>
      <c r="G639" s="90" t="s">
        <v>1871</v>
      </c>
      <c r="H639" s="90" t="s">
        <v>1247</v>
      </c>
      <c r="I639" s="90" t="s">
        <v>1855</v>
      </c>
      <c r="J639" s="90" t="s">
        <v>1856</v>
      </c>
      <c r="K639" s="90" t="s">
        <v>1857</v>
      </c>
      <c r="L639" s="90" t="s">
        <v>1858</v>
      </c>
      <c r="M639" s="95" t="s">
        <v>1679</v>
      </c>
      <c r="N639" s="90" t="s">
        <v>1859</v>
      </c>
    </row>
    <row r="640" spans="1:14" ht="16.5">
      <c r="A640" s="90">
        <v>637</v>
      </c>
      <c r="B640" s="47">
        <v>409</v>
      </c>
      <c r="C640" s="50" t="s">
        <v>1023</v>
      </c>
      <c r="D640" s="50" t="s">
        <v>1905</v>
      </c>
      <c r="E640" s="50" t="s">
        <v>1926</v>
      </c>
      <c r="F640" s="90" t="s">
        <v>1854</v>
      </c>
      <c r="G640" s="90" t="s">
        <v>1871</v>
      </c>
      <c r="H640" s="90" t="s">
        <v>1247</v>
      </c>
      <c r="I640" s="90" t="s">
        <v>1855</v>
      </c>
      <c r="J640" s="90" t="s">
        <v>1856</v>
      </c>
      <c r="K640" s="90" t="s">
        <v>1857</v>
      </c>
      <c r="L640" s="90" t="s">
        <v>1858</v>
      </c>
      <c r="M640" s="95" t="s">
        <v>1679</v>
      </c>
      <c r="N640" s="90" t="s">
        <v>1859</v>
      </c>
    </row>
    <row r="641" spans="1:14" ht="16.5">
      <c r="A641" s="90">
        <v>638</v>
      </c>
      <c r="B641" s="47">
        <v>409</v>
      </c>
      <c r="C641" s="50" t="s">
        <v>1023</v>
      </c>
      <c r="D641" s="1" t="s">
        <v>1925</v>
      </c>
      <c r="E641" s="50" t="s">
        <v>1926</v>
      </c>
      <c r="F641" s="90" t="s">
        <v>1854</v>
      </c>
      <c r="G641" s="90" t="s">
        <v>1871</v>
      </c>
      <c r="H641" s="90" t="s">
        <v>1247</v>
      </c>
      <c r="I641" s="90" t="s">
        <v>1855</v>
      </c>
      <c r="J641" s="90" t="s">
        <v>1856</v>
      </c>
      <c r="K641" s="90" t="s">
        <v>1857</v>
      </c>
      <c r="L641" s="90" t="s">
        <v>1858</v>
      </c>
      <c r="M641" s="95" t="s">
        <v>1679</v>
      </c>
      <c r="N641" s="90" t="s">
        <v>1859</v>
      </c>
    </row>
    <row r="642" spans="1:14" ht="16.5">
      <c r="A642" s="90">
        <v>639</v>
      </c>
      <c r="B642" s="47">
        <v>409</v>
      </c>
      <c r="C642" s="50" t="s">
        <v>1023</v>
      </c>
      <c r="D642" s="50" t="s">
        <v>1852</v>
      </c>
      <c r="E642" s="50" t="s">
        <v>1934</v>
      </c>
      <c r="F642" s="90" t="s">
        <v>1854</v>
      </c>
      <c r="G642" s="90" t="s">
        <v>1871</v>
      </c>
      <c r="H642" s="90" t="s">
        <v>1247</v>
      </c>
      <c r="I642" s="90" t="s">
        <v>1855</v>
      </c>
      <c r="J642" s="90" t="s">
        <v>1856</v>
      </c>
      <c r="K642" s="90" t="s">
        <v>1857</v>
      </c>
      <c r="L642" s="90" t="s">
        <v>1858</v>
      </c>
      <c r="M642" s="95" t="s">
        <v>1679</v>
      </c>
      <c r="N642" s="90" t="s">
        <v>1859</v>
      </c>
    </row>
    <row r="643" spans="1:14" ht="16.5">
      <c r="A643" s="90">
        <v>640</v>
      </c>
      <c r="B643" s="47">
        <v>409</v>
      </c>
      <c r="C643" s="50" t="s">
        <v>1023</v>
      </c>
      <c r="D643" s="50" t="s">
        <v>1897</v>
      </c>
      <c r="E643" s="50" t="s">
        <v>1934</v>
      </c>
      <c r="F643" s="90" t="s">
        <v>1854</v>
      </c>
      <c r="G643" s="90" t="s">
        <v>1871</v>
      </c>
      <c r="H643" s="90" t="s">
        <v>1247</v>
      </c>
      <c r="I643" s="90" t="s">
        <v>1855</v>
      </c>
      <c r="J643" s="90" t="s">
        <v>1856</v>
      </c>
      <c r="K643" s="90" t="s">
        <v>1857</v>
      </c>
      <c r="L643" s="90" t="s">
        <v>1858</v>
      </c>
      <c r="M643" s="95" t="s">
        <v>1679</v>
      </c>
      <c r="N643" s="90" t="s">
        <v>1859</v>
      </c>
    </row>
    <row r="644" spans="1:14" ht="16.5">
      <c r="A644" s="90">
        <v>641</v>
      </c>
      <c r="B644" s="47">
        <v>409</v>
      </c>
      <c r="C644" s="50" t="s">
        <v>1023</v>
      </c>
      <c r="D644" s="50" t="s">
        <v>1903</v>
      </c>
      <c r="E644" s="50" t="s">
        <v>1934</v>
      </c>
      <c r="F644" s="90" t="s">
        <v>1854</v>
      </c>
      <c r="G644" s="90" t="s">
        <v>1871</v>
      </c>
      <c r="H644" s="90" t="s">
        <v>1247</v>
      </c>
      <c r="I644" s="90" t="s">
        <v>1855</v>
      </c>
      <c r="J644" s="90" t="s">
        <v>1856</v>
      </c>
      <c r="K644" s="90" t="s">
        <v>1857</v>
      </c>
      <c r="L644" s="90" t="s">
        <v>1858</v>
      </c>
      <c r="M644" s="95" t="s">
        <v>1679</v>
      </c>
      <c r="N644" s="90" t="s">
        <v>1859</v>
      </c>
    </row>
    <row r="645" spans="1:14" ht="16.5">
      <c r="A645" s="90">
        <v>642</v>
      </c>
      <c r="B645" s="47">
        <v>409</v>
      </c>
      <c r="C645" s="50" t="s">
        <v>1023</v>
      </c>
      <c r="D645" s="50" t="s">
        <v>1905</v>
      </c>
      <c r="E645" s="50" t="s">
        <v>1934</v>
      </c>
      <c r="F645" s="90" t="s">
        <v>1854</v>
      </c>
      <c r="G645" s="90" t="s">
        <v>1871</v>
      </c>
      <c r="H645" s="90" t="s">
        <v>1247</v>
      </c>
      <c r="I645" s="90" t="s">
        <v>1855</v>
      </c>
      <c r="J645" s="90" t="s">
        <v>1856</v>
      </c>
      <c r="K645" s="90" t="s">
        <v>1857</v>
      </c>
      <c r="L645" s="90" t="s">
        <v>1858</v>
      </c>
      <c r="M645" s="95" t="s">
        <v>1679</v>
      </c>
      <c r="N645" s="90" t="s">
        <v>1859</v>
      </c>
    </row>
    <row r="646" spans="1:14" ht="16.5">
      <c r="A646" s="90">
        <v>643</v>
      </c>
      <c r="B646" s="47">
        <v>409</v>
      </c>
      <c r="C646" s="50" t="s">
        <v>1023</v>
      </c>
      <c r="D646" s="1" t="s">
        <v>1925</v>
      </c>
      <c r="E646" s="50" t="s">
        <v>1934</v>
      </c>
      <c r="F646" s="90" t="s">
        <v>1854</v>
      </c>
      <c r="G646" s="90" t="s">
        <v>1871</v>
      </c>
      <c r="H646" s="90" t="s">
        <v>1247</v>
      </c>
      <c r="I646" s="90" t="s">
        <v>1855</v>
      </c>
      <c r="J646" s="90" t="s">
        <v>1856</v>
      </c>
      <c r="K646" s="90" t="s">
        <v>1857</v>
      </c>
      <c r="L646" s="90" t="s">
        <v>1858</v>
      </c>
      <c r="M646" s="95" t="s">
        <v>1679</v>
      </c>
      <c r="N646" s="90" t="s">
        <v>1859</v>
      </c>
    </row>
    <row r="647" spans="1:14" ht="16.5">
      <c r="A647" s="90">
        <v>644</v>
      </c>
      <c r="B647" s="47">
        <v>409</v>
      </c>
      <c r="C647" s="50" t="s">
        <v>1023</v>
      </c>
      <c r="D647" s="50" t="s">
        <v>1852</v>
      </c>
      <c r="E647" s="50" t="s">
        <v>1935</v>
      </c>
      <c r="F647" s="90" t="s">
        <v>1854</v>
      </c>
      <c r="G647" s="90" t="s">
        <v>1871</v>
      </c>
      <c r="H647" s="90" t="s">
        <v>1247</v>
      </c>
      <c r="I647" s="90" t="s">
        <v>1855</v>
      </c>
      <c r="J647" s="90" t="s">
        <v>1856</v>
      </c>
      <c r="K647" s="90" t="s">
        <v>1857</v>
      </c>
      <c r="L647" s="90" t="s">
        <v>1858</v>
      </c>
      <c r="M647" s="95" t="s">
        <v>1679</v>
      </c>
      <c r="N647" s="90" t="s">
        <v>1859</v>
      </c>
    </row>
    <row r="648" spans="1:14" ht="16.5">
      <c r="A648" s="90">
        <v>645</v>
      </c>
      <c r="B648" s="47">
        <v>409</v>
      </c>
      <c r="C648" s="50" t="s">
        <v>1023</v>
      </c>
      <c r="D648" s="50" t="s">
        <v>1897</v>
      </c>
      <c r="E648" s="50" t="s">
        <v>1935</v>
      </c>
      <c r="F648" s="90" t="s">
        <v>1854</v>
      </c>
      <c r="G648" s="90" t="s">
        <v>1871</v>
      </c>
      <c r="H648" s="90" t="s">
        <v>1247</v>
      </c>
      <c r="I648" s="90" t="s">
        <v>1855</v>
      </c>
      <c r="J648" s="90" t="s">
        <v>1856</v>
      </c>
      <c r="K648" s="90" t="s">
        <v>1857</v>
      </c>
      <c r="L648" s="90" t="s">
        <v>1858</v>
      </c>
      <c r="M648" s="95" t="s">
        <v>1679</v>
      </c>
      <c r="N648" s="90" t="s">
        <v>1859</v>
      </c>
    </row>
    <row r="649" spans="1:14" ht="16.5">
      <c r="A649" s="90">
        <v>646</v>
      </c>
      <c r="B649" s="47">
        <v>409</v>
      </c>
      <c r="C649" s="50" t="s">
        <v>1023</v>
      </c>
      <c r="D649" s="50" t="s">
        <v>1903</v>
      </c>
      <c r="E649" s="50" t="s">
        <v>1935</v>
      </c>
      <c r="F649" s="90" t="s">
        <v>1854</v>
      </c>
      <c r="G649" s="90" t="s">
        <v>1871</v>
      </c>
      <c r="H649" s="90" t="s">
        <v>1247</v>
      </c>
      <c r="I649" s="90" t="s">
        <v>1855</v>
      </c>
      <c r="J649" s="90" t="s">
        <v>1856</v>
      </c>
      <c r="K649" s="90" t="s">
        <v>1857</v>
      </c>
      <c r="L649" s="90" t="s">
        <v>1858</v>
      </c>
      <c r="M649" s="95" t="s">
        <v>1679</v>
      </c>
      <c r="N649" s="90" t="s">
        <v>1859</v>
      </c>
    </row>
    <row r="650" spans="1:14" ht="16.5">
      <c r="A650" s="90">
        <v>647</v>
      </c>
      <c r="B650" s="47">
        <v>409</v>
      </c>
      <c r="C650" s="50" t="s">
        <v>1023</v>
      </c>
      <c r="D650" s="50" t="s">
        <v>1905</v>
      </c>
      <c r="E650" s="50" t="s">
        <v>1935</v>
      </c>
      <c r="F650" s="90" t="s">
        <v>1854</v>
      </c>
      <c r="G650" s="90" t="s">
        <v>1871</v>
      </c>
      <c r="H650" s="90" t="s">
        <v>1247</v>
      </c>
      <c r="I650" s="90" t="s">
        <v>1855</v>
      </c>
      <c r="J650" s="90" t="s">
        <v>1856</v>
      </c>
      <c r="K650" s="90" t="s">
        <v>1857</v>
      </c>
      <c r="L650" s="90" t="s">
        <v>1858</v>
      </c>
      <c r="M650" s="95" t="s">
        <v>1679</v>
      </c>
      <c r="N650" s="90" t="s">
        <v>1859</v>
      </c>
    </row>
    <row r="651" spans="1:14" ht="16.5">
      <c r="A651" s="90">
        <v>648</v>
      </c>
      <c r="B651" s="47">
        <v>409</v>
      </c>
      <c r="C651" s="50" t="s">
        <v>1023</v>
      </c>
      <c r="D651" s="1" t="s">
        <v>1925</v>
      </c>
      <c r="E651" s="50" t="s">
        <v>1935</v>
      </c>
      <c r="F651" s="90" t="s">
        <v>1854</v>
      </c>
      <c r="G651" s="90" t="s">
        <v>1871</v>
      </c>
      <c r="H651" s="90" t="s">
        <v>1247</v>
      </c>
      <c r="I651" s="90" t="s">
        <v>1855</v>
      </c>
      <c r="J651" s="90" t="s">
        <v>1856</v>
      </c>
      <c r="K651" s="90" t="s">
        <v>1857</v>
      </c>
      <c r="L651" s="90" t="s">
        <v>1858</v>
      </c>
      <c r="M651" s="95" t="s">
        <v>1679</v>
      </c>
      <c r="N651" s="90" t="s">
        <v>1859</v>
      </c>
    </row>
    <row r="652" spans="1:14" ht="16.5">
      <c r="A652" s="90">
        <v>649</v>
      </c>
      <c r="B652" s="47">
        <v>202</v>
      </c>
      <c r="C652" s="50" t="s">
        <v>154</v>
      </c>
      <c r="D652" s="50" t="s">
        <v>1852</v>
      </c>
      <c r="E652" s="50" t="s">
        <v>1936</v>
      </c>
      <c r="F652" s="90" t="s">
        <v>1854</v>
      </c>
      <c r="G652" s="90" t="s">
        <v>1674</v>
      </c>
      <c r="H652" s="90" t="s">
        <v>1247</v>
      </c>
      <c r="I652" s="90" t="s">
        <v>1855</v>
      </c>
      <c r="J652" s="90" t="s">
        <v>1856</v>
      </c>
      <c r="K652" s="90" t="s">
        <v>1857</v>
      </c>
      <c r="L652" s="90" t="s">
        <v>1858</v>
      </c>
      <c r="M652" s="95" t="s">
        <v>1679</v>
      </c>
      <c r="N652" s="90" t="s">
        <v>1859</v>
      </c>
    </row>
    <row r="653" spans="1:14" ht="16.5">
      <c r="A653" s="90">
        <v>650</v>
      </c>
      <c r="B653" s="91">
        <v>203</v>
      </c>
      <c r="C653" s="90" t="s">
        <v>202</v>
      </c>
      <c r="D653" s="50" t="s">
        <v>1852</v>
      </c>
      <c r="E653" s="50" t="s">
        <v>1936</v>
      </c>
      <c r="F653" s="90" t="s">
        <v>1860</v>
      </c>
      <c r="G653" s="90" t="s">
        <v>1682</v>
      </c>
      <c r="H653" s="90" t="s">
        <v>1247</v>
      </c>
      <c r="I653" s="90" t="s">
        <v>1861</v>
      </c>
      <c r="J653" s="90" t="s">
        <v>1862</v>
      </c>
      <c r="K653" s="90" t="s">
        <v>1863</v>
      </c>
      <c r="L653" s="90" t="s">
        <v>1864</v>
      </c>
      <c r="M653" s="95" t="s">
        <v>1679</v>
      </c>
      <c r="N653" s="90" t="s">
        <v>1680</v>
      </c>
    </row>
    <row r="654" spans="1:14" ht="16.5">
      <c r="A654" s="90">
        <v>651</v>
      </c>
      <c r="B654" s="47">
        <v>204</v>
      </c>
      <c r="C654" s="50" t="s">
        <v>226</v>
      </c>
      <c r="D654" s="50" t="s">
        <v>1852</v>
      </c>
      <c r="E654" s="50" t="s">
        <v>1936</v>
      </c>
      <c r="F654" s="90" t="s">
        <v>1854</v>
      </c>
      <c r="G654" s="90" t="s">
        <v>1674</v>
      </c>
      <c r="H654" s="90" t="s">
        <v>1247</v>
      </c>
      <c r="I654" s="90" t="s">
        <v>1855</v>
      </c>
      <c r="J654" s="90" t="s">
        <v>1856</v>
      </c>
      <c r="K654" s="90" t="s">
        <v>1857</v>
      </c>
      <c r="L654" s="90" t="s">
        <v>1858</v>
      </c>
      <c r="M654" s="95" t="s">
        <v>1679</v>
      </c>
      <c r="N654" s="90" t="s">
        <v>1680</v>
      </c>
    </row>
    <row r="655" spans="1:14" ht="16.5">
      <c r="A655" s="90">
        <v>652</v>
      </c>
      <c r="B655" s="47">
        <v>205</v>
      </c>
      <c r="C655" s="50" t="s">
        <v>249</v>
      </c>
      <c r="D655" s="50" t="s">
        <v>1852</v>
      </c>
      <c r="E655" s="50" t="s">
        <v>1936</v>
      </c>
      <c r="F655" s="90" t="s">
        <v>1854</v>
      </c>
      <c r="G655" s="90" t="s">
        <v>1674</v>
      </c>
      <c r="H655" s="90" t="s">
        <v>1247</v>
      </c>
      <c r="I655" s="90" t="s">
        <v>1855</v>
      </c>
      <c r="J655" s="90" t="s">
        <v>1856</v>
      </c>
      <c r="K655" s="90" t="s">
        <v>1857</v>
      </c>
      <c r="L655" s="90" t="s">
        <v>1858</v>
      </c>
      <c r="M655" s="95" t="s">
        <v>1679</v>
      </c>
      <c r="N655" s="90" t="s">
        <v>1859</v>
      </c>
    </row>
    <row r="656" spans="1:14" ht="16.5">
      <c r="A656" s="90">
        <v>653</v>
      </c>
      <c r="B656" s="47">
        <v>207</v>
      </c>
      <c r="C656" s="50" t="s">
        <v>595</v>
      </c>
      <c r="D656" s="50" t="s">
        <v>1852</v>
      </c>
      <c r="E656" s="50" t="s">
        <v>1936</v>
      </c>
      <c r="F656" s="90">
        <v>50</v>
      </c>
      <c r="G656" s="90">
        <v>30</v>
      </c>
      <c r="H656" s="90">
        <v>10</v>
      </c>
      <c r="I656" s="90">
        <v>30</v>
      </c>
      <c r="J656" s="90">
        <v>40</v>
      </c>
      <c r="K656" s="90">
        <v>60</v>
      </c>
      <c r="L656" s="90">
        <v>65</v>
      </c>
      <c r="M656" s="95">
        <v>1</v>
      </c>
      <c r="N656" s="90">
        <v>3</v>
      </c>
    </row>
    <row r="657" spans="1:14" ht="16.5">
      <c r="A657" s="90">
        <v>654</v>
      </c>
      <c r="B657" s="47">
        <v>208</v>
      </c>
      <c r="C657" s="50" t="s">
        <v>589</v>
      </c>
      <c r="D657" s="50" t="s">
        <v>1852</v>
      </c>
      <c r="E657" s="50" t="s">
        <v>1936</v>
      </c>
      <c r="F657" s="90">
        <v>53</v>
      </c>
      <c r="G657" s="90">
        <v>50</v>
      </c>
      <c r="H657" s="90">
        <v>1</v>
      </c>
      <c r="I657" s="90">
        <v>20</v>
      </c>
      <c r="J657" s="90">
        <v>35</v>
      </c>
      <c r="K657" s="90">
        <v>63</v>
      </c>
      <c r="L657" s="90">
        <v>68</v>
      </c>
      <c r="M657" s="95">
        <v>1</v>
      </c>
      <c r="N657" s="90">
        <v>8</v>
      </c>
    </row>
    <row r="658" spans="1:14" ht="16.5">
      <c r="A658" s="90">
        <v>655</v>
      </c>
      <c r="B658" s="47">
        <v>215</v>
      </c>
      <c r="C658" s="50" t="s">
        <v>418</v>
      </c>
      <c r="D658" s="50" t="s">
        <v>1852</v>
      </c>
      <c r="E658" s="50" t="s">
        <v>1936</v>
      </c>
      <c r="F658" s="90" t="s">
        <v>1865</v>
      </c>
      <c r="G658" s="90" t="s">
        <v>1682</v>
      </c>
      <c r="H658" s="90" t="s">
        <v>1247</v>
      </c>
      <c r="I658" s="90" t="s">
        <v>1866</v>
      </c>
      <c r="J658" s="90" t="s">
        <v>1867</v>
      </c>
      <c r="K658" s="90" t="s">
        <v>1868</v>
      </c>
      <c r="L658" s="90" t="s">
        <v>1869</v>
      </c>
      <c r="M658" s="95" t="s">
        <v>1679</v>
      </c>
      <c r="N658" s="90" t="s">
        <v>1870</v>
      </c>
    </row>
    <row r="659" spans="1:14" ht="16.5">
      <c r="A659" s="90">
        <v>656</v>
      </c>
      <c r="B659" s="47">
        <v>222</v>
      </c>
      <c r="C659" s="50" t="s">
        <v>442</v>
      </c>
      <c r="D659" s="50" t="s">
        <v>1852</v>
      </c>
      <c r="E659" s="50" t="s">
        <v>1936</v>
      </c>
      <c r="F659" s="90" t="s">
        <v>1854</v>
      </c>
      <c r="G659" s="90" t="s">
        <v>1871</v>
      </c>
      <c r="H659" s="90" t="s">
        <v>1247</v>
      </c>
      <c r="I659" s="90" t="s">
        <v>1855</v>
      </c>
      <c r="J659" s="90" t="s">
        <v>1856</v>
      </c>
      <c r="K659" s="90" t="s">
        <v>1857</v>
      </c>
      <c r="L659" s="90" t="s">
        <v>1858</v>
      </c>
      <c r="M659" s="95" t="s">
        <v>1679</v>
      </c>
      <c r="N659" s="90" t="s">
        <v>1859</v>
      </c>
    </row>
    <row r="660" spans="1:14" ht="16.5">
      <c r="A660" s="90">
        <v>657</v>
      </c>
      <c r="B660" s="47">
        <v>223</v>
      </c>
      <c r="C660" s="50" t="s">
        <v>918</v>
      </c>
      <c r="D660" s="50" t="s">
        <v>1852</v>
      </c>
      <c r="E660" s="50" t="s">
        <v>1936</v>
      </c>
      <c r="F660" s="90">
        <v>28</v>
      </c>
      <c r="G660" s="90">
        <v>30</v>
      </c>
      <c r="H660" s="90">
        <v>10</v>
      </c>
      <c r="I660" s="90">
        <v>17</v>
      </c>
      <c r="J660" s="90">
        <v>22</v>
      </c>
      <c r="K660" s="90">
        <v>33</v>
      </c>
      <c r="L660" s="90">
        <v>38</v>
      </c>
      <c r="M660" s="95">
        <v>1</v>
      </c>
      <c r="N660" s="90">
        <v>2</v>
      </c>
    </row>
    <row r="661" spans="1:14" ht="16.5">
      <c r="A661" s="90">
        <v>658</v>
      </c>
      <c r="B661" s="47">
        <v>226</v>
      </c>
      <c r="C661" s="92" t="s">
        <v>469</v>
      </c>
      <c r="D661" s="50" t="s">
        <v>1852</v>
      </c>
      <c r="E661" s="50" t="s">
        <v>1936</v>
      </c>
      <c r="F661" s="90" t="s">
        <v>1872</v>
      </c>
      <c r="G661" s="90" t="s">
        <v>1682</v>
      </c>
      <c r="H661" s="90" t="s">
        <v>1247</v>
      </c>
      <c r="I661" s="90" t="s">
        <v>1873</v>
      </c>
      <c r="J661" s="90" t="s">
        <v>1874</v>
      </c>
      <c r="K661" s="90" t="s">
        <v>1875</v>
      </c>
      <c r="L661" s="90" t="s">
        <v>1876</v>
      </c>
      <c r="M661" s="95" t="s">
        <v>1679</v>
      </c>
      <c r="N661" s="90" t="s">
        <v>1877</v>
      </c>
    </row>
    <row r="662" spans="1:14" ht="16.5">
      <c r="A662" s="90">
        <v>659</v>
      </c>
      <c r="B662" s="91">
        <v>227</v>
      </c>
      <c r="C662" s="93" t="s">
        <v>493</v>
      </c>
      <c r="D662" s="50" t="s">
        <v>1852</v>
      </c>
      <c r="E662" s="50" t="s">
        <v>1936</v>
      </c>
      <c r="F662" s="90" t="s">
        <v>1872</v>
      </c>
      <c r="G662" s="90" t="s">
        <v>1682</v>
      </c>
      <c r="H662" s="90" t="s">
        <v>1247</v>
      </c>
      <c r="I662" s="90" t="s">
        <v>1873</v>
      </c>
      <c r="J662" s="90" t="s">
        <v>1874</v>
      </c>
      <c r="K662" s="90" t="s">
        <v>1875</v>
      </c>
      <c r="L662" s="90" t="s">
        <v>1876</v>
      </c>
      <c r="M662" s="95" t="s">
        <v>1679</v>
      </c>
      <c r="N662" s="90" t="s">
        <v>1870</v>
      </c>
    </row>
    <row r="663" spans="1:14" ht="16.5">
      <c r="A663" s="90">
        <v>660</v>
      </c>
      <c r="B663" s="47">
        <v>234</v>
      </c>
      <c r="C663" s="50" t="s">
        <v>1878</v>
      </c>
      <c r="D663" s="50" t="s">
        <v>1852</v>
      </c>
      <c r="E663" s="50" t="s">
        <v>1936</v>
      </c>
      <c r="F663" s="90" t="s">
        <v>1854</v>
      </c>
      <c r="G663" s="90" t="s">
        <v>1674</v>
      </c>
      <c r="H663" s="90" t="s">
        <v>1247</v>
      </c>
      <c r="I663" s="90" t="s">
        <v>1855</v>
      </c>
      <c r="J663" s="90" t="s">
        <v>1856</v>
      </c>
      <c r="K663" s="90" t="s">
        <v>1857</v>
      </c>
      <c r="L663" s="90" t="s">
        <v>1858</v>
      </c>
      <c r="M663" s="95" t="s">
        <v>1679</v>
      </c>
      <c r="N663" s="90" t="s">
        <v>1859</v>
      </c>
    </row>
    <row r="664" spans="1:14" ht="16.5">
      <c r="A664" s="90">
        <v>661</v>
      </c>
      <c r="B664" s="47">
        <v>235</v>
      </c>
      <c r="C664" s="50" t="s">
        <v>601</v>
      </c>
      <c r="D664" s="50" t="s">
        <v>1852</v>
      </c>
      <c r="E664" s="50" t="s">
        <v>1936</v>
      </c>
      <c r="F664" s="90">
        <v>50</v>
      </c>
      <c r="G664" s="90">
        <v>30</v>
      </c>
      <c r="H664" s="90">
        <v>10</v>
      </c>
      <c r="I664" s="90">
        <v>30</v>
      </c>
      <c r="J664" s="90">
        <v>40</v>
      </c>
      <c r="K664" s="90">
        <v>60</v>
      </c>
      <c r="L664" s="90">
        <v>65</v>
      </c>
      <c r="M664" s="95">
        <v>1</v>
      </c>
      <c r="N664" s="90">
        <v>3</v>
      </c>
    </row>
    <row r="665" spans="1:14" ht="16.5">
      <c r="A665" s="90">
        <v>662</v>
      </c>
      <c r="B665" s="47">
        <v>236</v>
      </c>
      <c r="C665" s="50" t="s">
        <v>1688</v>
      </c>
      <c r="D665" s="50" t="s">
        <v>1852</v>
      </c>
      <c r="E665" s="50" t="s">
        <v>1936</v>
      </c>
      <c r="F665" s="90">
        <v>50</v>
      </c>
      <c r="G665" s="90">
        <v>30</v>
      </c>
      <c r="H665" s="90">
        <v>10</v>
      </c>
      <c r="I665" s="90">
        <v>30</v>
      </c>
      <c r="J665" s="90">
        <v>40</v>
      </c>
      <c r="K665" s="90">
        <v>60</v>
      </c>
      <c r="L665" s="90">
        <v>65</v>
      </c>
      <c r="M665" s="95">
        <v>1</v>
      </c>
      <c r="N665" s="90">
        <v>3</v>
      </c>
    </row>
    <row r="666" spans="1:14" ht="16.5">
      <c r="A666" s="90">
        <v>663</v>
      </c>
      <c r="B666" s="91">
        <v>201</v>
      </c>
      <c r="C666" s="90" t="s">
        <v>66</v>
      </c>
      <c r="D666" s="50" t="s">
        <v>1852</v>
      </c>
      <c r="E666" s="50" t="s">
        <v>1936</v>
      </c>
      <c r="F666" s="90" t="s">
        <v>1872</v>
      </c>
      <c r="G666" s="90" t="s">
        <v>1682</v>
      </c>
      <c r="H666" s="90" t="s">
        <v>1247</v>
      </c>
      <c r="I666" s="90" t="s">
        <v>1879</v>
      </c>
      <c r="J666" s="90" t="s">
        <v>1880</v>
      </c>
      <c r="K666" s="90" t="s">
        <v>1875</v>
      </c>
      <c r="L666" s="90" t="s">
        <v>1876</v>
      </c>
      <c r="M666" s="95" t="s">
        <v>1679</v>
      </c>
      <c r="N666" s="90" t="s">
        <v>1680</v>
      </c>
    </row>
    <row r="667" spans="1:14" ht="16.5">
      <c r="A667" s="90">
        <v>664</v>
      </c>
      <c r="B667" s="91">
        <v>206</v>
      </c>
      <c r="C667" s="90" t="s">
        <v>293</v>
      </c>
      <c r="D667" s="50" t="s">
        <v>1852</v>
      </c>
      <c r="E667" s="50" t="s">
        <v>1936</v>
      </c>
      <c r="F667" s="90" t="s">
        <v>1860</v>
      </c>
      <c r="G667" s="90" t="s">
        <v>1682</v>
      </c>
      <c r="H667" s="90" t="s">
        <v>1247</v>
      </c>
      <c r="I667" s="90" t="s">
        <v>1861</v>
      </c>
      <c r="J667" s="90" t="s">
        <v>1862</v>
      </c>
      <c r="K667" s="90" t="s">
        <v>1863</v>
      </c>
      <c r="L667" s="90" t="s">
        <v>1864</v>
      </c>
      <c r="M667" s="95" t="s">
        <v>1679</v>
      </c>
      <c r="N667" s="90" t="s">
        <v>1680</v>
      </c>
    </row>
    <row r="668" spans="1:14" ht="16.5">
      <c r="A668" s="90">
        <v>665</v>
      </c>
      <c r="B668" s="47">
        <v>209</v>
      </c>
      <c r="C668" s="50" t="s">
        <v>344</v>
      </c>
      <c r="D668" s="50" t="s">
        <v>1852</v>
      </c>
      <c r="E668" s="50" t="s">
        <v>1936</v>
      </c>
      <c r="F668" s="90" t="s">
        <v>1860</v>
      </c>
      <c r="G668" s="90" t="s">
        <v>1682</v>
      </c>
      <c r="H668" s="90" t="s">
        <v>1247</v>
      </c>
      <c r="I668" s="90" t="s">
        <v>1861</v>
      </c>
      <c r="J668" s="90" t="s">
        <v>1862</v>
      </c>
      <c r="K668" s="90" t="s">
        <v>1863</v>
      </c>
      <c r="L668" s="90" t="s">
        <v>1864</v>
      </c>
      <c r="M668" s="95" t="s">
        <v>1679</v>
      </c>
      <c r="N668" s="90" t="s">
        <v>1680</v>
      </c>
    </row>
    <row r="669" spans="1:14" ht="16.5">
      <c r="A669" s="90">
        <v>666</v>
      </c>
      <c r="B669" s="47">
        <v>230</v>
      </c>
      <c r="C669" s="50" t="s">
        <v>539</v>
      </c>
      <c r="D669" s="50" t="s">
        <v>1852</v>
      </c>
      <c r="E669" s="50" t="s">
        <v>1936</v>
      </c>
      <c r="F669" s="90" t="s">
        <v>1881</v>
      </c>
      <c r="G669" s="90" t="s">
        <v>1682</v>
      </c>
      <c r="H669" s="90" t="s">
        <v>1247</v>
      </c>
      <c r="I669" s="90" t="s">
        <v>1683</v>
      </c>
      <c r="J669" s="90" t="s">
        <v>1684</v>
      </c>
      <c r="K669" s="90" t="s">
        <v>1882</v>
      </c>
      <c r="L669" s="90" t="s">
        <v>1883</v>
      </c>
      <c r="M669" s="95" t="s">
        <v>1679</v>
      </c>
      <c r="N669" s="90" t="s">
        <v>1884</v>
      </c>
    </row>
    <row r="670" spans="1:14" ht="16.5">
      <c r="A670" s="90">
        <v>667</v>
      </c>
      <c r="B670" s="91">
        <v>232</v>
      </c>
      <c r="C670" s="90" t="s">
        <v>319</v>
      </c>
      <c r="D670" s="50" t="s">
        <v>1852</v>
      </c>
      <c r="E670" s="50" t="s">
        <v>1936</v>
      </c>
      <c r="F670" s="90" t="s">
        <v>1860</v>
      </c>
      <c r="G670" s="90" t="s">
        <v>1682</v>
      </c>
      <c r="H670" s="90" t="s">
        <v>1247</v>
      </c>
      <c r="I670" s="90" t="s">
        <v>1861</v>
      </c>
      <c r="J670" s="90" t="s">
        <v>1862</v>
      </c>
      <c r="K670" s="90" t="s">
        <v>1863</v>
      </c>
      <c r="L670" s="90" t="s">
        <v>1864</v>
      </c>
      <c r="M670" s="95" t="s">
        <v>1679</v>
      </c>
      <c r="N670" s="90" t="s">
        <v>1680</v>
      </c>
    </row>
    <row r="671" spans="1:14" ht="16.5">
      <c r="A671" s="90">
        <v>668</v>
      </c>
      <c r="B671" s="47">
        <v>233</v>
      </c>
      <c r="C671" s="50" t="s">
        <v>593</v>
      </c>
      <c r="D671" s="50" t="s">
        <v>1852</v>
      </c>
      <c r="E671" s="50" t="s">
        <v>1936</v>
      </c>
      <c r="F671" s="90">
        <v>50</v>
      </c>
      <c r="G671" s="90">
        <v>30</v>
      </c>
      <c r="H671" s="90">
        <v>10</v>
      </c>
      <c r="I671" s="90">
        <v>30</v>
      </c>
      <c r="J671" s="90">
        <v>40</v>
      </c>
      <c r="K671" s="90">
        <v>60</v>
      </c>
      <c r="L671" s="90">
        <v>65</v>
      </c>
      <c r="M671" s="95">
        <v>1</v>
      </c>
      <c r="N671" s="90">
        <v>3</v>
      </c>
    </row>
    <row r="672" spans="1:14" ht="16.5">
      <c r="A672" s="90">
        <v>669</v>
      </c>
      <c r="B672" s="47">
        <v>237</v>
      </c>
      <c r="C672" s="50" t="s">
        <v>565</v>
      </c>
      <c r="D672" s="50" t="s">
        <v>1852</v>
      </c>
      <c r="E672" s="50" t="s">
        <v>1936</v>
      </c>
      <c r="F672" s="90" t="s">
        <v>1885</v>
      </c>
      <c r="G672" s="90" t="s">
        <v>1682</v>
      </c>
      <c r="H672" s="90" t="s">
        <v>1247</v>
      </c>
      <c r="I672" s="90" t="s">
        <v>1675</v>
      </c>
      <c r="J672" s="90" t="s">
        <v>1676</v>
      </c>
      <c r="K672" s="90" t="s">
        <v>1886</v>
      </c>
      <c r="L672" s="90" t="s">
        <v>1887</v>
      </c>
      <c r="M672" s="95" t="s">
        <v>1679</v>
      </c>
      <c r="N672" s="90" t="s">
        <v>1680</v>
      </c>
    </row>
    <row r="673" spans="1:14" ht="16.5">
      <c r="A673" s="90">
        <v>670</v>
      </c>
      <c r="B673" s="47">
        <v>213</v>
      </c>
      <c r="C673" s="50" t="s">
        <v>599</v>
      </c>
      <c r="D673" s="50" t="s">
        <v>1852</v>
      </c>
      <c r="E673" s="50" t="s">
        <v>1936</v>
      </c>
      <c r="F673" s="90">
        <v>63</v>
      </c>
      <c r="G673" s="90">
        <v>30</v>
      </c>
      <c r="H673" s="90">
        <v>10</v>
      </c>
      <c r="I673" s="90">
        <v>48</v>
      </c>
      <c r="J673" s="90">
        <v>53</v>
      </c>
      <c r="K673" s="90">
        <v>73</v>
      </c>
      <c r="L673" s="90">
        <v>78</v>
      </c>
      <c r="M673" s="95">
        <v>1</v>
      </c>
      <c r="N673" s="90">
        <v>6</v>
      </c>
    </row>
    <row r="674" spans="1:14" ht="16.5">
      <c r="A674" s="90">
        <v>671</v>
      </c>
      <c r="B674" s="47">
        <v>224</v>
      </c>
      <c r="C674" s="50" t="s">
        <v>369</v>
      </c>
      <c r="D674" s="50" t="s">
        <v>1852</v>
      </c>
      <c r="E674" s="50" t="s">
        <v>1936</v>
      </c>
      <c r="F674" s="90" t="s">
        <v>1860</v>
      </c>
      <c r="G674" s="90" t="s">
        <v>1682</v>
      </c>
      <c r="H674" s="90" t="s">
        <v>1247</v>
      </c>
      <c r="I674" s="90" t="s">
        <v>1861</v>
      </c>
      <c r="J674" s="90" t="s">
        <v>1862</v>
      </c>
      <c r="K674" s="90" t="s">
        <v>1863</v>
      </c>
      <c r="L674" s="90" t="s">
        <v>1864</v>
      </c>
      <c r="M674" s="95" t="s">
        <v>1679</v>
      </c>
      <c r="N674" s="90" t="s">
        <v>1680</v>
      </c>
    </row>
    <row r="675" spans="1:14" ht="16.5">
      <c r="A675" s="90">
        <v>672</v>
      </c>
      <c r="B675" s="47">
        <v>229</v>
      </c>
      <c r="C675" s="50" t="s">
        <v>515</v>
      </c>
      <c r="D675" s="50" t="s">
        <v>1852</v>
      </c>
      <c r="E675" s="50" t="s">
        <v>1936</v>
      </c>
      <c r="F675" s="90" t="s">
        <v>1872</v>
      </c>
      <c r="G675" s="90" t="s">
        <v>1682</v>
      </c>
      <c r="H675" s="90" t="s">
        <v>1247</v>
      </c>
      <c r="I675" s="90" t="s">
        <v>1879</v>
      </c>
      <c r="J675" s="90" t="s">
        <v>1880</v>
      </c>
      <c r="K675" s="90" t="s">
        <v>1875</v>
      </c>
      <c r="L675" s="90" t="s">
        <v>1876</v>
      </c>
      <c r="M675" s="95" t="s">
        <v>1679</v>
      </c>
      <c r="N675" s="90" t="s">
        <v>1680</v>
      </c>
    </row>
    <row r="676" spans="1:14" ht="16.5">
      <c r="A676" s="90">
        <v>673</v>
      </c>
      <c r="B676" s="47">
        <v>231</v>
      </c>
      <c r="C676" s="94" t="s">
        <v>591</v>
      </c>
      <c r="D676" s="50" t="s">
        <v>1852</v>
      </c>
      <c r="E676" s="50" t="s">
        <v>1936</v>
      </c>
      <c r="F676" s="90" t="s">
        <v>1872</v>
      </c>
      <c r="G676" s="90" t="s">
        <v>1862</v>
      </c>
      <c r="H676" s="90" t="s">
        <v>1888</v>
      </c>
      <c r="I676" s="90" t="s">
        <v>1862</v>
      </c>
      <c r="J676" s="90" t="s">
        <v>1889</v>
      </c>
      <c r="K676" s="90" t="s">
        <v>1890</v>
      </c>
      <c r="L676" s="90" t="s">
        <v>1868</v>
      </c>
      <c r="M676" s="95" t="s">
        <v>1679</v>
      </c>
      <c r="N676" s="90" t="s">
        <v>1891</v>
      </c>
    </row>
    <row r="677" spans="1:14" ht="16.5">
      <c r="A677" s="90">
        <v>674</v>
      </c>
      <c r="B677" s="47">
        <v>211</v>
      </c>
      <c r="C677" s="50" t="s">
        <v>605</v>
      </c>
      <c r="D677" s="50" t="s">
        <v>1852</v>
      </c>
      <c r="E677" s="50" t="s">
        <v>1936</v>
      </c>
      <c r="F677" s="90">
        <v>50</v>
      </c>
      <c r="G677" s="90">
        <v>30</v>
      </c>
      <c r="H677" s="90">
        <v>10</v>
      </c>
      <c r="I677" s="90">
        <v>33</v>
      </c>
      <c r="J677" s="90">
        <v>38</v>
      </c>
      <c r="K677" s="90">
        <v>58</v>
      </c>
      <c r="L677" s="90">
        <v>63</v>
      </c>
      <c r="M677" s="95">
        <v>1</v>
      </c>
      <c r="N677" s="90">
        <v>3</v>
      </c>
    </row>
    <row r="678" spans="1:14" ht="16.5">
      <c r="A678" s="90">
        <v>675</v>
      </c>
      <c r="B678" s="47">
        <v>212</v>
      </c>
      <c r="C678" s="50" t="s">
        <v>394</v>
      </c>
      <c r="D678" s="50" t="s">
        <v>1852</v>
      </c>
      <c r="E678" s="50" t="s">
        <v>1936</v>
      </c>
      <c r="F678" s="90" t="s">
        <v>1881</v>
      </c>
      <c r="G678" s="90" t="s">
        <v>1862</v>
      </c>
      <c r="H678" s="90" t="s">
        <v>1888</v>
      </c>
      <c r="I678" s="90" t="s">
        <v>1892</v>
      </c>
      <c r="J678" s="90" t="s">
        <v>1893</v>
      </c>
      <c r="K678" s="90" t="s">
        <v>1894</v>
      </c>
      <c r="L678" s="90" t="s">
        <v>1895</v>
      </c>
      <c r="M678" s="95" t="s">
        <v>1679</v>
      </c>
      <c r="N678" s="90" t="s">
        <v>1891</v>
      </c>
    </row>
    <row r="679" spans="1:14" ht="16.5">
      <c r="A679" s="90">
        <v>676</v>
      </c>
      <c r="B679" s="47">
        <v>300</v>
      </c>
      <c r="C679" s="50" t="s">
        <v>1896</v>
      </c>
      <c r="D679" s="50" t="s">
        <v>1852</v>
      </c>
      <c r="E679" s="50" t="s">
        <v>1936</v>
      </c>
      <c r="F679" s="90">
        <v>35</v>
      </c>
      <c r="G679" s="90">
        <v>30</v>
      </c>
      <c r="H679" s="90">
        <v>10</v>
      </c>
      <c r="I679" s="90">
        <v>27</v>
      </c>
      <c r="J679" s="90">
        <v>32</v>
      </c>
      <c r="K679" s="90">
        <v>52</v>
      </c>
      <c r="L679" s="90">
        <v>57</v>
      </c>
      <c r="M679" s="95">
        <v>1</v>
      </c>
      <c r="N679" s="90">
        <v>6</v>
      </c>
    </row>
    <row r="680" spans="1:14" ht="16.5">
      <c r="A680" s="90">
        <v>677</v>
      </c>
      <c r="B680" s="47">
        <v>228</v>
      </c>
      <c r="C680" s="50" t="s">
        <v>948</v>
      </c>
      <c r="D680" s="50" t="s">
        <v>1852</v>
      </c>
      <c r="E680" s="50" t="s">
        <v>1936</v>
      </c>
      <c r="F680" s="90" t="s">
        <v>1872</v>
      </c>
      <c r="G680" s="90" t="s">
        <v>1682</v>
      </c>
      <c r="H680" s="90" t="s">
        <v>1247</v>
      </c>
      <c r="I680" s="90" t="s">
        <v>1873</v>
      </c>
      <c r="J680" s="90" t="s">
        <v>1874</v>
      </c>
      <c r="K680" s="90" t="s">
        <v>1875</v>
      </c>
      <c r="L680" s="90" t="s">
        <v>1876</v>
      </c>
      <c r="M680" s="95" t="s">
        <v>1679</v>
      </c>
      <c r="N680" s="90" t="s">
        <v>1877</v>
      </c>
    </row>
    <row r="681" spans="1:14" ht="16.5">
      <c r="A681" s="90">
        <v>678</v>
      </c>
      <c r="B681" s="47">
        <v>202</v>
      </c>
      <c r="C681" s="50" t="s">
        <v>154</v>
      </c>
      <c r="D681" s="50" t="s">
        <v>1897</v>
      </c>
      <c r="E681" s="50" t="s">
        <v>1936</v>
      </c>
      <c r="F681" s="90" t="s">
        <v>1854</v>
      </c>
      <c r="G681" s="90" t="s">
        <v>1674</v>
      </c>
      <c r="H681" s="90" t="s">
        <v>1247</v>
      </c>
      <c r="I681" s="90" t="s">
        <v>1855</v>
      </c>
      <c r="J681" s="90" t="s">
        <v>1856</v>
      </c>
      <c r="K681" s="90" t="s">
        <v>1857</v>
      </c>
      <c r="L681" s="90" t="s">
        <v>1858</v>
      </c>
      <c r="M681" s="95" t="s">
        <v>1679</v>
      </c>
      <c r="N681" s="90" t="s">
        <v>1859</v>
      </c>
    </row>
    <row r="682" spans="1:14" ht="16.5">
      <c r="A682" s="90">
        <v>679</v>
      </c>
      <c r="B682" s="91">
        <v>203</v>
      </c>
      <c r="C682" s="90" t="s">
        <v>202</v>
      </c>
      <c r="D682" s="50" t="s">
        <v>1897</v>
      </c>
      <c r="E682" s="50" t="s">
        <v>1936</v>
      </c>
      <c r="F682" s="90" t="s">
        <v>1860</v>
      </c>
      <c r="G682" s="90" t="s">
        <v>1682</v>
      </c>
      <c r="H682" s="90" t="s">
        <v>1247</v>
      </c>
      <c r="I682" s="90" t="s">
        <v>1861</v>
      </c>
      <c r="J682" s="90" t="s">
        <v>1862</v>
      </c>
      <c r="K682" s="90" t="s">
        <v>1863</v>
      </c>
      <c r="L682" s="90" t="s">
        <v>1864</v>
      </c>
      <c r="M682" s="95" t="s">
        <v>1679</v>
      </c>
      <c r="N682" s="90" t="s">
        <v>1870</v>
      </c>
    </row>
    <row r="683" spans="1:14" ht="16.5">
      <c r="A683" s="90">
        <v>680</v>
      </c>
      <c r="B683" s="47">
        <v>204</v>
      </c>
      <c r="C683" s="50" t="s">
        <v>226</v>
      </c>
      <c r="D683" s="50" t="s">
        <v>1897</v>
      </c>
      <c r="E683" s="50" t="s">
        <v>1936</v>
      </c>
      <c r="F683" s="90" t="s">
        <v>1854</v>
      </c>
      <c r="G683" s="90" t="s">
        <v>1674</v>
      </c>
      <c r="H683" s="90" t="s">
        <v>1247</v>
      </c>
      <c r="I683" s="90" t="s">
        <v>1855</v>
      </c>
      <c r="J683" s="90" t="s">
        <v>1856</v>
      </c>
      <c r="K683" s="90" t="s">
        <v>1857</v>
      </c>
      <c r="L683" s="90" t="s">
        <v>1858</v>
      </c>
      <c r="M683" s="95" t="s">
        <v>1679</v>
      </c>
      <c r="N683" s="90" t="s">
        <v>1680</v>
      </c>
    </row>
    <row r="684" spans="1:14" ht="16.5">
      <c r="A684" s="90">
        <v>681</v>
      </c>
      <c r="B684" s="47">
        <v>205</v>
      </c>
      <c r="C684" s="50" t="s">
        <v>249</v>
      </c>
      <c r="D684" s="50" t="s">
        <v>1897</v>
      </c>
      <c r="E684" s="50" t="s">
        <v>1936</v>
      </c>
      <c r="F684" s="90" t="s">
        <v>1854</v>
      </c>
      <c r="G684" s="90" t="s">
        <v>1674</v>
      </c>
      <c r="H684" s="90" t="s">
        <v>1247</v>
      </c>
      <c r="I684" s="90" t="s">
        <v>1855</v>
      </c>
      <c r="J684" s="90" t="s">
        <v>1856</v>
      </c>
      <c r="K684" s="90" t="s">
        <v>1857</v>
      </c>
      <c r="L684" s="90" t="s">
        <v>1858</v>
      </c>
      <c r="M684" s="95" t="s">
        <v>1679</v>
      </c>
      <c r="N684" s="90" t="s">
        <v>1859</v>
      </c>
    </row>
    <row r="685" spans="1:14" ht="16.5">
      <c r="A685" s="90">
        <v>682</v>
      </c>
      <c r="B685" s="47">
        <v>207</v>
      </c>
      <c r="C685" s="50" t="s">
        <v>595</v>
      </c>
      <c r="D685" s="50" t="s">
        <v>1897</v>
      </c>
      <c r="E685" s="50" t="s">
        <v>1936</v>
      </c>
      <c r="F685" s="90">
        <v>50</v>
      </c>
      <c r="G685" s="90">
        <v>30</v>
      </c>
      <c r="H685" s="90">
        <v>10</v>
      </c>
      <c r="I685" s="90">
        <v>30</v>
      </c>
      <c r="J685" s="90">
        <v>40</v>
      </c>
      <c r="K685" s="90">
        <v>60</v>
      </c>
      <c r="L685" s="90">
        <v>65</v>
      </c>
      <c r="M685" s="95">
        <v>1</v>
      </c>
      <c r="N685" s="90">
        <v>3</v>
      </c>
    </row>
    <row r="686" spans="1:14" ht="16.5">
      <c r="A686" s="90">
        <v>683</v>
      </c>
      <c r="B686" s="47">
        <v>208</v>
      </c>
      <c r="C686" s="50" t="s">
        <v>589</v>
      </c>
      <c r="D686" s="50" t="s">
        <v>1897</v>
      </c>
      <c r="E686" s="50" t="s">
        <v>1936</v>
      </c>
      <c r="F686" s="90">
        <v>53</v>
      </c>
      <c r="G686" s="90">
        <v>50</v>
      </c>
      <c r="H686" s="90">
        <v>1</v>
      </c>
      <c r="I686" s="90">
        <v>20</v>
      </c>
      <c r="J686" s="90">
        <v>35</v>
      </c>
      <c r="K686" s="90">
        <v>63</v>
      </c>
      <c r="L686" s="90">
        <v>68</v>
      </c>
      <c r="M686" s="95">
        <v>1</v>
      </c>
      <c r="N686" s="90">
        <v>8</v>
      </c>
    </row>
    <row r="687" spans="1:14" ht="16.5">
      <c r="A687" s="90">
        <v>684</v>
      </c>
      <c r="B687" s="47">
        <v>215</v>
      </c>
      <c r="C687" s="50" t="s">
        <v>418</v>
      </c>
      <c r="D687" s="50" t="s">
        <v>1897</v>
      </c>
      <c r="E687" s="50" t="s">
        <v>1936</v>
      </c>
      <c r="F687" s="90" t="s">
        <v>1865</v>
      </c>
      <c r="G687" s="90" t="s">
        <v>1682</v>
      </c>
      <c r="H687" s="90" t="s">
        <v>1247</v>
      </c>
      <c r="I687" s="90" t="s">
        <v>1866</v>
      </c>
      <c r="J687" s="90" t="s">
        <v>1867</v>
      </c>
      <c r="K687" s="90" t="s">
        <v>1868</v>
      </c>
      <c r="L687" s="90" t="s">
        <v>1869</v>
      </c>
      <c r="M687" s="95" t="s">
        <v>1679</v>
      </c>
      <c r="N687" s="90" t="s">
        <v>1870</v>
      </c>
    </row>
    <row r="688" spans="1:14" ht="16.5">
      <c r="A688" s="90">
        <v>685</v>
      </c>
      <c r="B688" s="47">
        <v>222</v>
      </c>
      <c r="C688" s="50" t="s">
        <v>442</v>
      </c>
      <c r="D688" s="50" t="s">
        <v>1897</v>
      </c>
      <c r="E688" s="50" t="s">
        <v>1936</v>
      </c>
      <c r="F688" s="90" t="s">
        <v>1854</v>
      </c>
      <c r="G688" s="90" t="s">
        <v>1871</v>
      </c>
      <c r="H688" s="90" t="s">
        <v>1247</v>
      </c>
      <c r="I688" s="90" t="s">
        <v>1855</v>
      </c>
      <c r="J688" s="90" t="s">
        <v>1856</v>
      </c>
      <c r="K688" s="90" t="s">
        <v>1857</v>
      </c>
      <c r="L688" s="90" t="s">
        <v>1858</v>
      </c>
      <c r="M688" s="95" t="s">
        <v>1679</v>
      </c>
      <c r="N688" s="90" t="s">
        <v>1859</v>
      </c>
    </row>
    <row r="689" spans="1:14" ht="16.5">
      <c r="A689" s="90">
        <v>686</v>
      </c>
      <c r="B689" s="47">
        <v>223</v>
      </c>
      <c r="C689" s="50" t="s">
        <v>918</v>
      </c>
      <c r="D689" s="50" t="s">
        <v>1897</v>
      </c>
      <c r="E689" s="50" t="s">
        <v>1936</v>
      </c>
      <c r="F689" s="90">
        <v>28</v>
      </c>
      <c r="G689" s="90">
        <v>30</v>
      </c>
      <c r="H689" s="90">
        <v>10</v>
      </c>
      <c r="I689" s="90">
        <v>17</v>
      </c>
      <c r="J689" s="90">
        <v>22</v>
      </c>
      <c r="K689" s="90">
        <v>33</v>
      </c>
      <c r="L689" s="90">
        <v>38</v>
      </c>
      <c r="M689" s="95">
        <v>1</v>
      </c>
      <c r="N689" s="90">
        <v>2</v>
      </c>
    </row>
    <row r="690" spans="1:14" ht="16.5">
      <c r="A690" s="90">
        <v>687</v>
      </c>
      <c r="B690" s="47">
        <v>226</v>
      </c>
      <c r="C690" s="92" t="s">
        <v>469</v>
      </c>
      <c r="D690" s="50" t="s">
        <v>1897</v>
      </c>
      <c r="E690" s="50" t="s">
        <v>1936</v>
      </c>
      <c r="F690" s="90" t="s">
        <v>1872</v>
      </c>
      <c r="G690" s="90" t="s">
        <v>1682</v>
      </c>
      <c r="H690" s="90" t="s">
        <v>1247</v>
      </c>
      <c r="I690" s="90" t="s">
        <v>1873</v>
      </c>
      <c r="J690" s="90" t="s">
        <v>1874</v>
      </c>
      <c r="K690" s="90" t="s">
        <v>1875</v>
      </c>
      <c r="L690" s="90" t="s">
        <v>1876</v>
      </c>
      <c r="M690" s="95" t="s">
        <v>1679</v>
      </c>
      <c r="N690" s="90" t="s">
        <v>1877</v>
      </c>
    </row>
    <row r="691" spans="1:14" ht="16.5">
      <c r="A691" s="90">
        <v>688</v>
      </c>
      <c r="B691" s="91">
        <v>227</v>
      </c>
      <c r="C691" s="93" t="s">
        <v>493</v>
      </c>
      <c r="D691" s="50" t="s">
        <v>1897</v>
      </c>
      <c r="E691" s="50" t="s">
        <v>1936</v>
      </c>
      <c r="F691" s="90" t="s">
        <v>1872</v>
      </c>
      <c r="G691" s="90" t="s">
        <v>1682</v>
      </c>
      <c r="H691" s="90" t="s">
        <v>1247</v>
      </c>
      <c r="I691" s="90" t="s">
        <v>1873</v>
      </c>
      <c r="J691" s="90" t="s">
        <v>1874</v>
      </c>
      <c r="K691" s="90" t="s">
        <v>1875</v>
      </c>
      <c r="L691" s="90" t="s">
        <v>1876</v>
      </c>
      <c r="M691" s="95" t="s">
        <v>1679</v>
      </c>
      <c r="N691" s="90" t="s">
        <v>1870</v>
      </c>
    </row>
    <row r="692" spans="1:14" ht="16.5">
      <c r="A692" s="90">
        <v>689</v>
      </c>
      <c r="B692" s="47">
        <v>234</v>
      </c>
      <c r="C692" s="50" t="s">
        <v>1878</v>
      </c>
      <c r="D692" s="50" t="s">
        <v>1897</v>
      </c>
      <c r="E692" s="50" t="s">
        <v>1936</v>
      </c>
      <c r="F692" s="90" t="s">
        <v>1854</v>
      </c>
      <c r="G692" s="90" t="s">
        <v>1674</v>
      </c>
      <c r="H692" s="90" t="s">
        <v>1247</v>
      </c>
      <c r="I692" s="90" t="s">
        <v>1855</v>
      </c>
      <c r="J692" s="90" t="s">
        <v>1856</v>
      </c>
      <c r="K692" s="90" t="s">
        <v>1857</v>
      </c>
      <c r="L692" s="90" t="s">
        <v>1858</v>
      </c>
      <c r="M692" s="95" t="s">
        <v>1679</v>
      </c>
      <c r="N692" s="90" t="s">
        <v>1859</v>
      </c>
    </row>
    <row r="693" spans="1:14" ht="16.5">
      <c r="A693" s="90">
        <v>690</v>
      </c>
      <c r="B693" s="47">
        <v>235</v>
      </c>
      <c r="C693" s="50" t="s">
        <v>601</v>
      </c>
      <c r="D693" s="50" t="s">
        <v>1897</v>
      </c>
      <c r="E693" s="50" t="s">
        <v>1936</v>
      </c>
      <c r="F693" s="90">
        <v>50</v>
      </c>
      <c r="G693" s="90">
        <v>30</v>
      </c>
      <c r="H693" s="90">
        <v>10</v>
      </c>
      <c r="I693" s="90">
        <v>30</v>
      </c>
      <c r="J693" s="90">
        <v>40</v>
      </c>
      <c r="K693" s="90">
        <v>60</v>
      </c>
      <c r="L693" s="90">
        <v>65</v>
      </c>
      <c r="M693" s="95">
        <v>1</v>
      </c>
      <c r="N693" s="90">
        <v>3</v>
      </c>
    </row>
    <row r="694" spans="1:14" ht="16.5">
      <c r="A694" s="90">
        <v>691</v>
      </c>
      <c r="B694" s="47">
        <v>236</v>
      </c>
      <c r="C694" s="50" t="s">
        <v>1688</v>
      </c>
      <c r="D694" s="50" t="s">
        <v>1897</v>
      </c>
      <c r="E694" s="50" t="s">
        <v>1936</v>
      </c>
      <c r="F694" s="90">
        <v>50</v>
      </c>
      <c r="G694" s="90">
        <v>30</v>
      </c>
      <c r="H694" s="90">
        <v>10</v>
      </c>
      <c r="I694" s="90">
        <v>30</v>
      </c>
      <c r="J694" s="90">
        <v>40</v>
      </c>
      <c r="K694" s="90">
        <v>60</v>
      </c>
      <c r="L694" s="90">
        <v>65</v>
      </c>
      <c r="M694" s="95">
        <v>1</v>
      </c>
      <c r="N694" s="90">
        <v>3</v>
      </c>
    </row>
    <row r="695" spans="1:14" ht="16.5">
      <c r="A695" s="90">
        <v>692</v>
      </c>
      <c r="B695" s="91">
        <v>201</v>
      </c>
      <c r="C695" s="90" t="s">
        <v>66</v>
      </c>
      <c r="D695" s="50" t="s">
        <v>1897</v>
      </c>
      <c r="E695" s="50" t="s">
        <v>1936</v>
      </c>
      <c r="F695" s="90" t="s">
        <v>1872</v>
      </c>
      <c r="G695" s="90" t="s">
        <v>1682</v>
      </c>
      <c r="H695" s="90" t="s">
        <v>1247</v>
      </c>
      <c r="I695" s="90" t="s">
        <v>1879</v>
      </c>
      <c r="J695" s="90" t="s">
        <v>1880</v>
      </c>
      <c r="K695" s="90" t="s">
        <v>1875</v>
      </c>
      <c r="L695" s="90" t="s">
        <v>1876</v>
      </c>
      <c r="M695" s="95" t="s">
        <v>1679</v>
      </c>
      <c r="N695" s="90" t="s">
        <v>1680</v>
      </c>
    </row>
    <row r="696" spans="1:14" ht="16.5">
      <c r="A696" s="90">
        <v>693</v>
      </c>
      <c r="B696" s="91">
        <v>206</v>
      </c>
      <c r="C696" s="90" t="s">
        <v>293</v>
      </c>
      <c r="D696" s="50" t="s">
        <v>1897</v>
      </c>
      <c r="E696" s="50" t="s">
        <v>1936</v>
      </c>
      <c r="F696" s="90" t="s">
        <v>1860</v>
      </c>
      <c r="G696" s="90" t="s">
        <v>1682</v>
      </c>
      <c r="H696" s="90" t="s">
        <v>1247</v>
      </c>
      <c r="I696" s="90" t="s">
        <v>1861</v>
      </c>
      <c r="J696" s="90" t="s">
        <v>1862</v>
      </c>
      <c r="K696" s="90" t="s">
        <v>1863</v>
      </c>
      <c r="L696" s="90" t="s">
        <v>1864</v>
      </c>
      <c r="M696" s="95" t="s">
        <v>1679</v>
      </c>
      <c r="N696" s="90" t="s">
        <v>1680</v>
      </c>
    </row>
    <row r="697" spans="1:14" ht="16.5">
      <c r="A697" s="90">
        <v>694</v>
      </c>
      <c r="B697" s="47">
        <v>209</v>
      </c>
      <c r="C697" s="50" t="s">
        <v>344</v>
      </c>
      <c r="D697" s="50" t="s">
        <v>1897</v>
      </c>
      <c r="E697" s="50" t="s">
        <v>1936</v>
      </c>
      <c r="F697" s="90" t="s">
        <v>1860</v>
      </c>
      <c r="G697" s="90" t="s">
        <v>1682</v>
      </c>
      <c r="H697" s="90" t="s">
        <v>1247</v>
      </c>
      <c r="I697" s="90" t="s">
        <v>1861</v>
      </c>
      <c r="J697" s="90" t="s">
        <v>1862</v>
      </c>
      <c r="K697" s="90" t="s">
        <v>1863</v>
      </c>
      <c r="L697" s="90" t="s">
        <v>1864</v>
      </c>
      <c r="M697" s="95" t="s">
        <v>1679</v>
      </c>
      <c r="N697" s="90" t="s">
        <v>1680</v>
      </c>
    </row>
    <row r="698" spans="1:14" ht="16.5">
      <c r="A698" s="90">
        <v>695</v>
      </c>
      <c r="B698" s="47">
        <v>230</v>
      </c>
      <c r="C698" s="50" t="s">
        <v>539</v>
      </c>
      <c r="D698" s="50" t="s">
        <v>1897</v>
      </c>
      <c r="E698" s="50" t="s">
        <v>1936</v>
      </c>
      <c r="F698" s="90" t="s">
        <v>1881</v>
      </c>
      <c r="G698" s="90" t="s">
        <v>1682</v>
      </c>
      <c r="H698" s="90" t="s">
        <v>1247</v>
      </c>
      <c r="I698" s="90" t="s">
        <v>1683</v>
      </c>
      <c r="J698" s="90" t="s">
        <v>1684</v>
      </c>
      <c r="K698" s="90" t="s">
        <v>1882</v>
      </c>
      <c r="L698" s="90" t="s">
        <v>1883</v>
      </c>
      <c r="M698" s="95" t="s">
        <v>1679</v>
      </c>
      <c r="N698" s="90" t="s">
        <v>1884</v>
      </c>
    </row>
    <row r="699" spans="1:14" ht="16.5">
      <c r="A699" s="90">
        <v>696</v>
      </c>
      <c r="B699" s="91">
        <v>232</v>
      </c>
      <c r="C699" s="90" t="s">
        <v>319</v>
      </c>
      <c r="D699" s="50" t="s">
        <v>1897</v>
      </c>
      <c r="E699" s="50" t="s">
        <v>1936</v>
      </c>
      <c r="F699" s="90" t="s">
        <v>1860</v>
      </c>
      <c r="G699" s="90" t="s">
        <v>1682</v>
      </c>
      <c r="H699" s="90" t="s">
        <v>1247</v>
      </c>
      <c r="I699" s="90" t="s">
        <v>1861</v>
      </c>
      <c r="J699" s="90" t="s">
        <v>1862</v>
      </c>
      <c r="K699" s="90" t="s">
        <v>1863</v>
      </c>
      <c r="L699" s="90" t="s">
        <v>1864</v>
      </c>
      <c r="M699" s="95" t="s">
        <v>1679</v>
      </c>
      <c r="N699" s="90" t="s">
        <v>1680</v>
      </c>
    </row>
    <row r="700" spans="1:14" ht="16.5">
      <c r="A700" s="90">
        <v>697</v>
      </c>
      <c r="B700" s="47">
        <v>233</v>
      </c>
      <c r="C700" s="50" t="s">
        <v>593</v>
      </c>
      <c r="D700" s="50" t="s">
        <v>1897</v>
      </c>
      <c r="E700" s="50" t="s">
        <v>1936</v>
      </c>
      <c r="F700" s="90">
        <v>50</v>
      </c>
      <c r="G700" s="90">
        <v>30</v>
      </c>
      <c r="H700" s="90">
        <v>10</v>
      </c>
      <c r="I700" s="90">
        <v>30</v>
      </c>
      <c r="J700" s="90">
        <v>40</v>
      </c>
      <c r="K700" s="90">
        <v>60</v>
      </c>
      <c r="L700" s="90">
        <v>65</v>
      </c>
      <c r="M700" s="95">
        <v>1</v>
      </c>
      <c r="N700" s="90">
        <v>3</v>
      </c>
    </row>
    <row r="701" spans="1:14" ht="16.5">
      <c r="A701" s="90">
        <v>698</v>
      </c>
      <c r="B701" s="47">
        <v>237</v>
      </c>
      <c r="C701" s="50" t="s">
        <v>565</v>
      </c>
      <c r="D701" s="50" t="s">
        <v>1897</v>
      </c>
      <c r="E701" s="50" t="s">
        <v>1936</v>
      </c>
      <c r="F701" s="90" t="s">
        <v>1885</v>
      </c>
      <c r="G701" s="90" t="s">
        <v>1682</v>
      </c>
      <c r="H701" s="90" t="s">
        <v>1247</v>
      </c>
      <c r="I701" s="90" t="s">
        <v>1675</v>
      </c>
      <c r="J701" s="90" t="s">
        <v>1676</v>
      </c>
      <c r="K701" s="90" t="s">
        <v>1886</v>
      </c>
      <c r="L701" s="90" t="s">
        <v>1887</v>
      </c>
      <c r="M701" s="95" t="s">
        <v>1679</v>
      </c>
      <c r="N701" s="90" t="s">
        <v>1680</v>
      </c>
    </row>
    <row r="702" spans="1:14" ht="16.5">
      <c r="A702" s="90">
        <v>699</v>
      </c>
      <c r="B702" s="47">
        <v>213</v>
      </c>
      <c r="C702" s="50" t="s">
        <v>599</v>
      </c>
      <c r="D702" s="50" t="s">
        <v>1897</v>
      </c>
      <c r="E702" s="50" t="s">
        <v>1936</v>
      </c>
      <c r="F702" s="90">
        <v>63</v>
      </c>
      <c r="G702" s="90">
        <v>30</v>
      </c>
      <c r="H702" s="90">
        <v>10</v>
      </c>
      <c r="I702" s="90">
        <v>48</v>
      </c>
      <c r="J702" s="90">
        <v>53</v>
      </c>
      <c r="K702" s="90">
        <v>73</v>
      </c>
      <c r="L702" s="90">
        <v>78</v>
      </c>
      <c r="M702" s="95">
        <v>1</v>
      </c>
      <c r="N702" s="90">
        <v>6</v>
      </c>
    </row>
    <row r="703" spans="1:14" ht="16.5">
      <c r="A703" s="90">
        <v>700</v>
      </c>
      <c r="B703" s="47">
        <v>224</v>
      </c>
      <c r="C703" s="50" t="s">
        <v>369</v>
      </c>
      <c r="D703" s="50" t="s">
        <v>1897</v>
      </c>
      <c r="E703" s="50" t="s">
        <v>1936</v>
      </c>
      <c r="F703" s="90" t="s">
        <v>1860</v>
      </c>
      <c r="G703" s="90" t="s">
        <v>1682</v>
      </c>
      <c r="H703" s="90" t="s">
        <v>1247</v>
      </c>
      <c r="I703" s="90" t="s">
        <v>1861</v>
      </c>
      <c r="J703" s="90" t="s">
        <v>1862</v>
      </c>
      <c r="K703" s="90" t="s">
        <v>1863</v>
      </c>
      <c r="L703" s="90" t="s">
        <v>1864</v>
      </c>
      <c r="M703" s="95" t="s">
        <v>1679</v>
      </c>
      <c r="N703" s="90" t="s">
        <v>1680</v>
      </c>
    </row>
    <row r="704" spans="1:14" ht="16.5">
      <c r="A704" s="90">
        <v>701</v>
      </c>
      <c r="B704" s="47">
        <v>229</v>
      </c>
      <c r="C704" s="50" t="s">
        <v>515</v>
      </c>
      <c r="D704" s="50" t="s">
        <v>1897</v>
      </c>
      <c r="E704" s="50" t="s">
        <v>1936</v>
      </c>
      <c r="F704" s="90" t="s">
        <v>1872</v>
      </c>
      <c r="G704" s="90" t="s">
        <v>1682</v>
      </c>
      <c r="H704" s="90" t="s">
        <v>1247</v>
      </c>
      <c r="I704" s="90" t="s">
        <v>1879</v>
      </c>
      <c r="J704" s="90" t="s">
        <v>1880</v>
      </c>
      <c r="K704" s="90" t="s">
        <v>1875</v>
      </c>
      <c r="L704" s="90" t="s">
        <v>1876</v>
      </c>
      <c r="M704" s="95" t="s">
        <v>1679</v>
      </c>
      <c r="N704" s="90" t="s">
        <v>1680</v>
      </c>
    </row>
    <row r="705" spans="1:14" ht="16.5">
      <c r="A705" s="90">
        <v>702</v>
      </c>
      <c r="B705" s="47">
        <v>231</v>
      </c>
      <c r="C705" s="94" t="s">
        <v>591</v>
      </c>
      <c r="D705" s="50" t="s">
        <v>1897</v>
      </c>
      <c r="E705" s="50" t="s">
        <v>1936</v>
      </c>
      <c r="F705" s="90" t="s">
        <v>1872</v>
      </c>
      <c r="G705" s="90" t="s">
        <v>1862</v>
      </c>
      <c r="H705" s="90" t="s">
        <v>1888</v>
      </c>
      <c r="I705" s="90" t="s">
        <v>1862</v>
      </c>
      <c r="J705" s="90" t="s">
        <v>1889</v>
      </c>
      <c r="K705" s="90" t="s">
        <v>1890</v>
      </c>
      <c r="L705" s="90" t="s">
        <v>1868</v>
      </c>
      <c r="M705" s="95" t="s">
        <v>1679</v>
      </c>
      <c r="N705" s="90" t="s">
        <v>1891</v>
      </c>
    </row>
    <row r="706" spans="1:14" ht="16.5">
      <c r="A706" s="90">
        <v>703</v>
      </c>
      <c r="B706" s="47">
        <v>211</v>
      </c>
      <c r="C706" s="50" t="s">
        <v>605</v>
      </c>
      <c r="D706" s="50" t="s">
        <v>1897</v>
      </c>
      <c r="E706" s="50" t="s">
        <v>1936</v>
      </c>
      <c r="F706" s="90">
        <v>50</v>
      </c>
      <c r="G706" s="90">
        <v>30</v>
      </c>
      <c r="H706" s="90">
        <v>10</v>
      </c>
      <c r="I706" s="90">
        <v>33</v>
      </c>
      <c r="J706" s="90">
        <v>38</v>
      </c>
      <c r="K706" s="90">
        <v>58</v>
      </c>
      <c r="L706" s="90">
        <v>63</v>
      </c>
      <c r="M706" s="95">
        <v>1</v>
      </c>
      <c r="N706" s="90">
        <v>3</v>
      </c>
    </row>
    <row r="707" spans="1:14" ht="16.5">
      <c r="A707" s="90">
        <v>704</v>
      </c>
      <c r="B707" s="47">
        <v>212</v>
      </c>
      <c r="C707" s="50" t="s">
        <v>394</v>
      </c>
      <c r="D707" s="50" t="s">
        <v>1897</v>
      </c>
      <c r="E707" s="50" t="s">
        <v>1936</v>
      </c>
      <c r="F707" s="90" t="s">
        <v>1898</v>
      </c>
      <c r="G707" s="90" t="s">
        <v>1862</v>
      </c>
      <c r="H707" s="90" t="s">
        <v>1888</v>
      </c>
      <c r="I707" s="90" t="s">
        <v>1899</v>
      </c>
      <c r="J707" s="90" t="s">
        <v>1889</v>
      </c>
      <c r="K707" s="90" t="s">
        <v>1900</v>
      </c>
      <c r="L707" s="90" t="s">
        <v>1901</v>
      </c>
      <c r="M707" s="95" t="s">
        <v>1679</v>
      </c>
      <c r="N707" s="90" t="s">
        <v>1902</v>
      </c>
    </row>
    <row r="708" spans="1:14" ht="16.5">
      <c r="A708" s="90">
        <v>705</v>
      </c>
      <c r="B708" s="47">
        <v>300</v>
      </c>
      <c r="C708" s="50" t="s">
        <v>1896</v>
      </c>
      <c r="D708" s="50" t="s">
        <v>1897</v>
      </c>
      <c r="E708" s="50" t="s">
        <v>1936</v>
      </c>
      <c r="F708" s="90">
        <v>35</v>
      </c>
      <c r="G708" s="90">
        <v>30</v>
      </c>
      <c r="H708" s="90">
        <v>10</v>
      </c>
      <c r="I708" s="90">
        <v>27</v>
      </c>
      <c r="J708" s="90">
        <v>32</v>
      </c>
      <c r="K708" s="90">
        <v>52</v>
      </c>
      <c r="L708" s="90">
        <v>57</v>
      </c>
      <c r="M708" s="95">
        <v>1</v>
      </c>
      <c r="N708" s="90">
        <v>6</v>
      </c>
    </row>
    <row r="709" spans="1:14" ht="16.5">
      <c r="A709" s="90">
        <v>706</v>
      </c>
      <c r="B709" s="47">
        <v>228</v>
      </c>
      <c r="C709" s="50" t="s">
        <v>948</v>
      </c>
      <c r="D709" s="50" t="s">
        <v>1897</v>
      </c>
      <c r="E709" s="50" t="s">
        <v>1936</v>
      </c>
      <c r="F709" s="90" t="s">
        <v>1872</v>
      </c>
      <c r="G709" s="90" t="s">
        <v>1682</v>
      </c>
      <c r="H709" s="90" t="s">
        <v>1247</v>
      </c>
      <c r="I709" s="90" t="s">
        <v>1873</v>
      </c>
      <c r="J709" s="90" t="s">
        <v>1874</v>
      </c>
      <c r="K709" s="90" t="s">
        <v>1875</v>
      </c>
      <c r="L709" s="90" t="s">
        <v>1876</v>
      </c>
      <c r="M709" s="95" t="s">
        <v>1679</v>
      </c>
      <c r="N709" s="90" t="s">
        <v>1877</v>
      </c>
    </row>
    <row r="710" spans="1:14" ht="16.5">
      <c r="A710" s="90">
        <v>707</v>
      </c>
      <c r="B710" s="47">
        <v>202</v>
      </c>
      <c r="C710" s="50" t="s">
        <v>154</v>
      </c>
      <c r="D710" s="50" t="s">
        <v>1903</v>
      </c>
      <c r="E710" s="50" t="s">
        <v>1936</v>
      </c>
      <c r="F710" s="90" t="s">
        <v>1854</v>
      </c>
      <c r="G710" s="90" t="s">
        <v>1674</v>
      </c>
      <c r="H710" s="90" t="s">
        <v>1247</v>
      </c>
      <c r="I710" s="90" t="s">
        <v>1855</v>
      </c>
      <c r="J710" s="90" t="s">
        <v>1856</v>
      </c>
      <c r="K710" s="90" t="s">
        <v>1857</v>
      </c>
      <c r="L710" s="90" t="s">
        <v>1858</v>
      </c>
      <c r="M710" s="95" t="s">
        <v>1679</v>
      </c>
      <c r="N710" s="90" t="s">
        <v>1859</v>
      </c>
    </row>
    <row r="711" spans="1:14" ht="16.5">
      <c r="A711" s="90">
        <v>708</v>
      </c>
      <c r="B711" s="91">
        <v>203</v>
      </c>
      <c r="C711" s="90" t="s">
        <v>202</v>
      </c>
      <c r="D711" s="50" t="s">
        <v>1903</v>
      </c>
      <c r="E711" s="50" t="s">
        <v>1936</v>
      </c>
      <c r="F711" s="90" t="s">
        <v>1860</v>
      </c>
      <c r="G711" s="90" t="s">
        <v>1682</v>
      </c>
      <c r="H711" s="90" t="s">
        <v>1247</v>
      </c>
      <c r="I711" s="90" t="s">
        <v>1861</v>
      </c>
      <c r="J711" s="90" t="s">
        <v>1862</v>
      </c>
      <c r="K711" s="90" t="s">
        <v>1863</v>
      </c>
      <c r="L711" s="90" t="s">
        <v>1864</v>
      </c>
      <c r="M711" s="95" t="s">
        <v>1679</v>
      </c>
      <c r="N711" s="90" t="s">
        <v>1904</v>
      </c>
    </row>
    <row r="712" spans="1:14" ht="16.5">
      <c r="A712" s="90">
        <v>709</v>
      </c>
      <c r="B712" s="47">
        <v>204</v>
      </c>
      <c r="C712" s="50" t="s">
        <v>226</v>
      </c>
      <c r="D712" s="50" t="s">
        <v>1903</v>
      </c>
      <c r="E712" s="50" t="s">
        <v>1936</v>
      </c>
      <c r="F712" s="90" t="s">
        <v>1854</v>
      </c>
      <c r="G712" s="90" t="s">
        <v>1674</v>
      </c>
      <c r="H712" s="90" t="s">
        <v>1247</v>
      </c>
      <c r="I712" s="90" t="s">
        <v>1855</v>
      </c>
      <c r="J712" s="90" t="s">
        <v>1856</v>
      </c>
      <c r="K712" s="90" t="s">
        <v>1857</v>
      </c>
      <c r="L712" s="90" t="s">
        <v>1858</v>
      </c>
      <c r="M712" s="95" t="s">
        <v>1679</v>
      </c>
      <c r="N712" s="90" t="s">
        <v>1680</v>
      </c>
    </row>
    <row r="713" spans="1:14" ht="16.5">
      <c r="A713" s="90">
        <v>710</v>
      </c>
      <c r="B713" s="47">
        <v>205</v>
      </c>
      <c r="C713" s="50" t="s">
        <v>249</v>
      </c>
      <c r="D713" s="50" t="s">
        <v>1903</v>
      </c>
      <c r="E713" s="50" t="s">
        <v>1936</v>
      </c>
      <c r="F713" s="90" t="s">
        <v>1854</v>
      </c>
      <c r="G713" s="90" t="s">
        <v>1674</v>
      </c>
      <c r="H713" s="90" t="s">
        <v>1247</v>
      </c>
      <c r="I713" s="90" t="s">
        <v>1855</v>
      </c>
      <c r="J713" s="90" t="s">
        <v>1856</v>
      </c>
      <c r="K713" s="90" t="s">
        <v>1857</v>
      </c>
      <c r="L713" s="90" t="s">
        <v>1858</v>
      </c>
      <c r="M713" s="95" t="s">
        <v>1679</v>
      </c>
      <c r="N713" s="90" t="s">
        <v>1859</v>
      </c>
    </row>
    <row r="714" spans="1:14" ht="16.5">
      <c r="A714" s="90">
        <v>711</v>
      </c>
      <c r="B714" s="47">
        <v>207</v>
      </c>
      <c r="C714" s="50" t="s">
        <v>595</v>
      </c>
      <c r="D714" s="50" t="s">
        <v>1903</v>
      </c>
      <c r="E714" s="50" t="s">
        <v>1936</v>
      </c>
      <c r="F714" s="90">
        <v>50</v>
      </c>
      <c r="G714" s="90">
        <v>30</v>
      </c>
      <c r="H714" s="90">
        <v>10</v>
      </c>
      <c r="I714" s="90">
        <v>30</v>
      </c>
      <c r="J714" s="90">
        <v>40</v>
      </c>
      <c r="K714" s="90">
        <v>60</v>
      </c>
      <c r="L714" s="90">
        <v>65</v>
      </c>
      <c r="M714" s="95">
        <v>1</v>
      </c>
      <c r="N714" s="90">
        <v>3</v>
      </c>
    </row>
    <row r="715" spans="1:14" ht="16.5">
      <c r="A715" s="90">
        <v>712</v>
      </c>
      <c r="B715" s="96">
        <v>208</v>
      </c>
      <c r="C715" s="97" t="s">
        <v>589</v>
      </c>
      <c r="D715" s="97" t="s">
        <v>1903</v>
      </c>
      <c r="E715" s="50" t="s">
        <v>1936</v>
      </c>
      <c r="F715" s="97">
        <v>63</v>
      </c>
      <c r="G715" s="97">
        <v>50</v>
      </c>
      <c r="H715" s="97">
        <v>1</v>
      </c>
      <c r="I715" s="97">
        <v>30</v>
      </c>
      <c r="J715" s="97">
        <v>45</v>
      </c>
      <c r="K715" s="97">
        <v>73</v>
      </c>
      <c r="L715" s="97">
        <v>78</v>
      </c>
      <c r="M715" s="98">
        <v>1</v>
      </c>
      <c r="N715" s="97">
        <v>10</v>
      </c>
    </row>
    <row r="716" spans="1:14" ht="16.5">
      <c r="A716" s="90">
        <v>713</v>
      </c>
      <c r="B716" s="47">
        <v>215</v>
      </c>
      <c r="C716" s="50" t="s">
        <v>418</v>
      </c>
      <c r="D716" s="50" t="s">
        <v>1903</v>
      </c>
      <c r="E716" s="50" t="s">
        <v>1936</v>
      </c>
      <c r="F716" s="90" t="s">
        <v>1865</v>
      </c>
      <c r="G716" s="90" t="s">
        <v>1682</v>
      </c>
      <c r="H716" s="90" t="s">
        <v>1247</v>
      </c>
      <c r="I716" s="90" t="s">
        <v>1866</v>
      </c>
      <c r="J716" s="90" t="s">
        <v>1867</v>
      </c>
      <c r="K716" s="90" t="s">
        <v>1868</v>
      </c>
      <c r="L716" s="90" t="s">
        <v>1869</v>
      </c>
      <c r="M716" s="95" t="s">
        <v>1679</v>
      </c>
      <c r="N716" s="90" t="s">
        <v>1870</v>
      </c>
    </row>
    <row r="717" spans="1:14" ht="16.5">
      <c r="A717" s="90">
        <v>714</v>
      </c>
      <c r="B717" s="47">
        <v>222</v>
      </c>
      <c r="C717" s="50" t="s">
        <v>442</v>
      </c>
      <c r="D717" s="50" t="s">
        <v>1903</v>
      </c>
      <c r="E717" s="50" t="s">
        <v>1936</v>
      </c>
      <c r="F717" s="90" t="s">
        <v>1854</v>
      </c>
      <c r="G717" s="90" t="s">
        <v>1871</v>
      </c>
      <c r="H717" s="90" t="s">
        <v>1247</v>
      </c>
      <c r="I717" s="90" t="s">
        <v>1855</v>
      </c>
      <c r="J717" s="90" t="s">
        <v>1856</v>
      </c>
      <c r="K717" s="90" t="s">
        <v>1857</v>
      </c>
      <c r="L717" s="90" t="s">
        <v>1858</v>
      </c>
      <c r="M717" s="95" t="s">
        <v>1679</v>
      </c>
      <c r="N717" s="90" t="s">
        <v>1859</v>
      </c>
    </row>
    <row r="718" spans="1:14" ht="16.5">
      <c r="A718" s="90">
        <v>715</v>
      </c>
      <c r="B718" s="47">
        <v>223</v>
      </c>
      <c r="C718" s="50" t="s">
        <v>918</v>
      </c>
      <c r="D718" s="50" t="s">
        <v>1903</v>
      </c>
      <c r="E718" s="50" t="s">
        <v>1936</v>
      </c>
      <c r="F718" s="90">
        <v>28</v>
      </c>
      <c r="G718" s="90">
        <v>30</v>
      </c>
      <c r="H718" s="90">
        <v>10</v>
      </c>
      <c r="I718" s="90">
        <v>17</v>
      </c>
      <c r="J718" s="90">
        <v>22</v>
      </c>
      <c r="K718" s="90">
        <v>33</v>
      </c>
      <c r="L718" s="90">
        <v>38</v>
      </c>
      <c r="M718" s="95">
        <v>1</v>
      </c>
      <c r="N718" s="90">
        <v>2</v>
      </c>
    </row>
    <row r="719" spans="1:14" ht="16.5">
      <c r="A719" s="90">
        <v>716</v>
      </c>
      <c r="B719" s="47">
        <v>226</v>
      </c>
      <c r="C719" s="92" t="s">
        <v>469</v>
      </c>
      <c r="D719" s="50" t="s">
        <v>1903</v>
      </c>
      <c r="E719" s="50" t="s">
        <v>1936</v>
      </c>
      <c r="F719" s="90" t="s">
        <v>1872</v>
      </c>
      <c r="G719" s="90" t="s">
        <v>1682</v>
      </c>
      <c r="H719" s="90" t="s">
        <v>1247</v>
      </c>
      <c r="I719" s="90" t="s">
        <v>1873</v>
      </c>
      <c r="J719" s="90" t="s">
        <v>1874</v>
      </c>
      <c r="K719" s="90" t="s">
        <v>1875</v>
      </c>
      <c r="L719" s="90" t="s">
        <v>1876</v>
      </c>
      <c r="M719" s="95" t="s">
        <v>1679</v>
      </c>
      <c r="N719" s="90" t="s">
        <v>1877</v>
      </c>
    </row>
    <row r="720" spans="1:14" ht="16.5">
      <c r="A720" s="90">
        <v>717</v>
      </c>
      <c r="B720" s="91">
        <v>227</v>
      </c>
      <c r="C720" s="93" t="s">
        <v>493</v>
      </c>
      <c r="D720" s="50" t="s">
        <v>1903</v>
      </c>
      <c r="E720" s="50" t="s">
        <v>1936</v>
      </c>
      <c r="F720" s="90" t="s">
        <v>1872</v>
      </c>
      <c r="G720" s="90" t="s">
        <v>1682</v>
      </c>
      <c r="H720" s="90" t="s">
        <v>1247</v>
      </c>
      <c r="I720" s="90" t="s">
        <v>1873</v>
      </c>
      <c r="J720" s="90" t="s">
        <v>1874</v>
      </c>
      <c r="K720" s="90" t="s">
        <v>1875</v>
      </c>
      <c r="L720" s="90" t="s">
        <v>1876</v>
      </c>
      <c r="M720" s="95" t="s">
        <v>1679</v>
      </c>
      <c r="N720" s="90" t="s">
        <v>1870</v>
      </c>
    </row>
    <row r="721" spans="1:14" ht="16.5">
      <c r="A721" s="90">
        <v>718</v>
      </c>
      <c r="B721" s="47">
        <v>234</v>
      </c>
      <c r="C721" s="50" t="s">
        <v>1878</v>
      </c>
      <c r="D721" s="50" t="s">
        <v>1903</v>
      </c>
      <c r="E721" s="50" t="s">
        <v>1936</v>
      </c>
      <c r="F721" s="90" t="s">
        <v>1854</v>
      </c>
      <c r="G721" s="90" t="s">
        <v>1674</v>
      </c>
      <c r="H721" s="90" t="s">
        <v>1247</v>
      </c>
      <c r="I721" s="90" t="s">
        <v>1855</v>
      </c>
      <c r="J721" s="90" t="s">
        <v>1856</v>
      </c>
      <c r="K721" s="90" t="s">
        <v>1857</v>
      </c>
      <c r="L721" s="90" t="s">
        <v>1858</v>
      </c>
      <c r="M721" s="95" t="s">
        <v>1679</v>
      </c>
      <c r="N721" s="90" t="s">
        <v>1859</v>
      </c>
    </row>
    <row r="722" spans="1:14" ht="16.5">
      <c r="A722" s="90">
        <v>719</v>
      </c>
      <c r="B722" s="47">
        <v>235</v>
      </c>
      <c r="C722" s="50" t="s">
        <v>601</v>
      </c>
      <c r="D722" s="50" t="s">
        <v>1903</v>
      </c>
      <c r="E722" s="50" t="s">
        <v>1936</v>
      </c>
      <c r="F722" s="90">
        <v>50</v>
      </c>
      <c r="G722" s="90">
        <v>30</v>
      </c>
      <c r="H722" s="90">
        <v>10</v>
      </c>
      <c r="I722" s="90">
        <v>30</v>
      </c>
      <c r="J722" s="90">
        <v>40</v>
      </c>
      <c r="K722" s="90">
        <v>60</v>
      </c>
      <c r="L722" s="90">
        <v>65</v>
      </c>
      <c r="M722" s="95">
        <v>1</v>
      </c>
      <c r="N722" s="90">
        <v>3</v>
      </c>
    </row>
    <row r="723" spans="1:14" ht="16.5">
      <c r="A723" s="90">
        <v>720</v>
      </c>
      <c r="B723" s="47">
        <v>236</v>
      </c>
      <c r="C723" s="50" t="s">
        <v>1688</v>
      </c>
      <c r="D723" s="50" t="s">
        <v>1903</v>
      </c>
      <c r="E723" s="50" t="s">
        <v>1936</v>
      </c>
      <c r="F723" s="90">
        <v>50</v>
      </c>
      <c r="G723" s="90">
        <v>30</v>
      </c>
      <c r="H723" s="90">
        <v>10</v>
      </c>
      <c r="I723" s="90">
        <v>30</v>
      </c>
      <c r="J723" s="90">
        <v>40</v>
      </c>
      <c r="K723" s="90">
        <v>60</v>
      </c>
      <c r="L723" s="90">
        <v>65</v>
      </c>
      <c r="M723" s="95">
        <v>1</v>
      </c>
      <c r="N723" s="90">
        <v>3</v>
      </c>
    </row>
    <row r="724" spans="1:14" ht="16.5">
      <c r="A724" s="90">
        <v>721</v>
      </c>
      <c r="B724" s="91">
        <v>201</v>
      </c>
      <c r="C724" s="90" t="s">
        <v>66</v>
      </c>
      <c r="D724" s="50" t="s">
        <v>1903</v>
      </c>
      <c r="E724" s="50" t="s">
        <v>1936</v>
      </c>
      <c r="F724" s="90" t="s">
        <v>1872</v>
      </c>
      <c r="G724" s="90" t="s">
        <v>1682</v>
      </c>
      <c r="H724" s="90" t="s">
        <v>1247</v>
      </c>
      <c r="I724" s="90" t="s">
        <v>1879</v>
      </c>
      <c r="J724" s="90" t="s">
        <v>1880</v>
      </c>
      <c r="K724" s="90" t="s">
        <v>1875</v>
      </c>
      <c r="L724" s="90" t="s">
        <v>1876</v>
      </c>
      <c r="M724" s="95" t="s">
        <v>1679</v>
      </c>
      <c r="N724" s="90" t="s">
        <v>1680</v>
      </c>
    </row>
    <row r="725" spans="1:14" ht="16.5">
      <c r="A725" s="90">
        <v>722</v>
      </c>
      <c r="B725" s="91">
        <v>206</v>
      </c>
      <c r="C725" s="90" t="s">
        <v>293</v>
      </c>
      <c r="D725" s="50" t="s">
        <v>1903</v>
      </c>
      <c r="E725" s="50" t="s">
        <v>1936</v>
      </c>
      <c r="F725" s="90" t="s">
        <v>1860</v>
      </c>
      <c r="G725" s="90" t="s">
        <v>1682</v>
      </c>
      <c r="H725" s="90" t="s">
        <v>1247</v>
      </c>
      <c r="I725" s="90" t="s">
        <v>1861</v>
      </c>
      <c r="J725" s="90" t="s">
        <v>1862</v>
      </c>
      <c r="K725" s="90" t="s">
        <v>1863</v>
      </c>
      <c r="L725" s="90" t="s">
        <v>1864</v>
      </c>
      <c r="M725" s="95" t="s">
        <v>1679</v>
      </c>
      <c r="N725" s="90" t="s">
        <v>1680</v>
      </c>
    </row>
    <row r="726" spans="1:14" ht="16.5">
      <c r="A726" s="90">
        <v>723</v>
      </c>
      <c r="B726" s="47">
        <v>209</v>
      </c>
      <c r="C726" s="50" t="s">
        <v>344</v>
      </c>
      <c r="D726" s="50" t="s">
        <v>1903</v>
      </c>
      <c r="E726" s="50" t="s">
        <v>1936</v>
      </c>
      <c r="F726" s="90" t="s">
        <v>1860</v>
      </c>
      <c r="G726" s="90" t="s">
        <v>1682</v>
      </c>
      <c r="H726" s="90" t="s">
        <v>1247</v>
      </c>
      <c r="I726" s="90" t="s">
        <v>1861</v>
      </c>
      <c r="J726" s="90" t="s">
        <v>1862</v>
      </c>
      <c r="K726" s="90" t="s">
        <v>1863</v>
      </c>
      <c r="L726" s="90" t="s">
        <v>1864</v>
      </c>
      <c r="M726" s="95" t="s">
        <v>1679</v>
      </c>
      <c r="N726" s="90" t="s">
        <v>1680</v>
      </c>
    </row>
    <row r="727" spans="1:14" ht="16.5">
      <c r="A727" s="90">
        <v>724</v>
      </c>
      <c r="B727" s="47">
        <v>230</v>
      </c>
      <c r="C727" s="50" t="s">
        <v>539</v>
      </c>
      <c r="D727" s="50" t="s">
        <v>1903</v>
      </c>
      <c r="E727" s="50" t="s">
        <v>1936</v>
      </c>
      <c r="F727" s="90" t="s">
        <v>1881</v>
      </c>
      <c r="G727" s="90" t="s">
        <v>1682</v>
      </c>
      <c r="H727" s="90" t="s">
        <v>1247</v>
      </c>
      <c r="I727" s="90" t="s">
        <v>1683</v>
      </c>
      <c r="J727" s="90" t="s">
        <v>1684</v>
      </c>
      <c r="K727" s="90" t="s">
        <v>1882</v>
      </c>
      <c r="L727" s="90" t="s">
        <v>1883</v>
      </c>
      <c r="M727" s="95" t="s">
        <v>1679</v>
      </c>
      <c r="N727" s="90" t="s">
        <v>1884</v>
      </c>
    </row>
    <row r="728" spans="1:14" ht="16.5">
      <c r="A728" s="90">
        <v>725</v>
      </c>
      <c r="B728" s="91">
        <v>232</v>
      </c>
      <c r="C728" s="90" t="s">
        <v>319</v>
      </c>
      <c r="D728" s="50" t="s">
        <v>1903</v>
      </c>
      <c r="E728" s="50" t="s">
        <v>1936</v>
      </c>
      <c r="F728" s="90" t="s">
        <v>1860</v>
      </c>
      <c r="G728" s="90" t="s">
        <v>1682</v>
      </c>
      <c r="H728" s="90" t="s">
        <v>1247</v>
      </c>
      <c r="I728" s="90" t="s">
        <v>1861</v>
      </c>
      <c r="J728" s="90" t="s">
        <v>1862</v>
      </c>
      <c r="K728" s="90" t="s">
        <v>1863</v>
      </c>
      <c r="L728" s="90" t="s">
        <v>1864</v>
      </c>
      <c r="M728" s="95" t="s">
        <v>1679</v>
      </c>
      <c r="N728" s="90" t="s">
        <v>1680</v>
      </c>
    </row>
    <row r="729" spans="1:14" ht="16.5">
      <c r="A729" s="90">
        <v>726</v>
      </c>
      <c r="B729" s="47">
        <v>233</v>
      </c>
      <c r="C729" s="50" t="s">
        <v>593</v>
      </c>
      <c r="D729" s="50" t="s">
        <v>1903</v>
      </c>
      <c r="E729" s="50" t="s">
        <v>1936</v>
      </c>
      <c r="F729" s="90">
        <v>50</v>
      </c>
      <c r="G729" s="90">
        <v>30</v>
      </c>
      <c r="H729" s="90">
        <v>10</v>
      </c>
      <c r="I729" s="90">
        <v>30</v>
      </c>
      <c r="J729" s="90">
        <v>40</v>
      </c>
      <c r="K729" s="90">
        <v>60</v>
      </c>
      <c r="L729" s="90">
        <v>65</v>
      </c>
      <c r="M729" s="95">
        <v>1</v>
      </c>
      <c r="N729" s="90">
        <v>3</v>
      </c>
    </row>
    <row r="730" spans="1:14" ht="16.5">
      <c r="A730" s="90">
        <v>727</v>
      </c>
      <c r="B730" s="47">
        <v>237</v>
      </c>
      <c r="C730" s="50" t="s">
        <v>565</v>
      </c>
      <c r="D730" s="50" t="s">
        <v>1903</v>
      </c>
      <c r="E730" s="50" t="s">
        <v>1936</v>
      </c>
      <c r="F730" s="90" t="s">
        <v>1885</v>
      </c>
      <c r="G730" s="90" t="s">
        <v>1682</v>
      </c>
      <c r="H730" s="90" t="s">
        <v>1247</v>
      </c>
      <c r="I730" s="90" t="s">
        <v>1675</v>
      </c>
      <c r="J730" s="90" t="s">
        <v>1676</v>
      </c>
      <c r="K730" s="90" t="s">
        <v>1886</v>
      </c>
      <c r="L730" s="90" t="s">
        <v>1887</v>
      </c>
      <c r="M730" s="95" t="s">
        <v>1679</v>
      </c>
      <c r="N730" s="90" t="s">
        <v>1680</v>
      </c>
    </row>
    <row r="731" spans="1:14" ht="16.5">
      <c r="A731" s="90">
        <v>728</v>
      </c>
      <c r="B731" s="47">
        <v>213</v>
      </c>
      <c r="C731" s="50" t="s">
        <v>599</v>
      </c>
      <c r="D731" s="50" t="s">
        <v>1903</v>
      </c>
      <c r="E731" s="50" t="s">
        <v>1936</v>
      </c>
      <c r="F731" s="90">
        <v>63</v>
      </c>
      <c r="G731" s="90">
        <v>30</v>
      </c>
      <c r="H731" s="90">
        <v>10</v>
      </c>
      <c r="I731" s="90">
        <v>48</v>
      </c>
      <c r="J731" s="90">
        <v>53</v>
      </c>
      <c r="K731" s="90">
        <v>73</v>
      </c>
      <c r="L731" s="90">
        <v>78</v>
      </c>
      <c r="M731" s="95">
        <v>1</v>
      </c>
      <c r="N731" s="90">
        <v>6</v>
      </c>
    </row>
    <row r="732" spans="1:14" ht="16.5">
      <c r="A732" s="90">
        <v>729</v>
      </c>
      <c r="B732" s="47">
        <v>224</v>
      </c>
      <c r="C732" s="50" t="s">
        <v>369</v>
      </c>
      <c r="D732" s="50" t="s">
        <v>1903</v>
      </c>
      <c r="E732" s="50" t="s">
        <v>1936</v>
      </c>
      <c r="F732" s="90" t="s">
        <v>1860</v>
      </c>
      <c r="G732" s="90" t="s">
        <v>1682</v>
      </c>
      <c r="H732" s="90" t="s">
        <v>1247</v>
      </c>
      <c r="I732" s="90" t="s">
        <v>1861</v>
      </c>
      <c r="J732" s="90" t="s">
        <v>1862</v>
      </c>
      <c r="K732" s="90" t="s">
        <v>1863</v>
      </c>
      <c r="L732" s="90" t="s">
        <v>1864</v>
      </c>
      <c r="M732" s="95" t="s">
        <v>1679</v>
      </c>
      <c r="N732" s="90" t="s">
        <v>1680</v>
      </c>
    </row>
    <row r="733" spans="1:14" ht="16.5">
      <c r="A733" s="90">
        <v>730</v>
      </c>
      <c r="B733" s="47">
        <v>229</v>
      </c>
      <c r="C733" s="50" t="s">
        <v>515</v>
      </c>
      <c r="D733" s="50" t="s">
        <v>1903</v>
      </c>
      <c r="E733" s="50" t="s">
        <v>1936</v>
      </c>
      <c r="F733" s="90" t="s">
        <v>1872</v>
      </c>
      <c r="G733" s="90" t="s">
        <v>1682</v>
      </c>
      <c r="H733" s="90" t="s">
        <v>1247</v>
      </c>
      <c r="I733" s="90" t="s">
        <v>1879</v>
      </c>
      <c r="J733" s="90" t="s">
        <v>1880</v>
      </c>
      <c r="K733" s="90" t="s">
        <v>1875</v>
      </c>
      <c r="L733" s="90" t="s">
        <v>1876</v>
      </c>
      <c r="M733" s="95" t="s">
        <v>1679</v>
      </c>
      <c r="N733" s="90" t="s">
        <v>1680</v>
      </c>
    </row>
    <row r="734" spans="1:14" ht="16.5">
      <c r="A734" s="90">
        <v>731</v>
      </c>
      <c r="B734" s="47">
        <v>231</v>
      </c>
      <c r="C734" s="94" t="s">
        <v>591</v>
      </c>
      <c r="D734" s="50" t="s">
        <v>1903</v>
      </c>
      <c r="E734" s="50" t="s">
        <v>1936</v>
      </c>
      <c r="F734" s="90" t="s">
        <v>1872</v>
      </c>
      <c r="G734" s="90" t="s">
        <v>1862</v>
      </c>
      <c r="H734" s="90" t="s">
        <v>1888</v>
      </c>
      <c r="I734" s="90" t="s">
        <v>1862</v>
      </c>
      <c r="J734" s="90" t="s">
        <v>1889</v>
      </c>
      <c r="K734" s="90" t="s">
        <v>1890</v>
      </c>
      <c r="L734" s="90" t="s">
        <v>1868</v>
      </c>
      <c r="M734" s="95" t="s">
        <v>1679</v>
      </c>
      <c r="N734" s="90" t="s">
        <v>1891</v>
      </c>
    </row>
    <row r="735" spans="1:14" ht="16.5">
      <c r="A735" s="90">
        <v>732</v>
      </c>
      <c r="B735" s="47">
        <v>211</v>
      </c>
      <c r="C735" s="50" t="s">
        <v>605</v>
      </c>
      <c r="D735" s="50" t="s">
        <v>1903</v>
      </c>
      <c r="E735" s="50" t="s">
        <v>1936</v>
      </c>
      <c r="F735" s="90">
        <v>50</v>
      </c>
      <c r="G735" s="90">
        <v>30</v>
      </c>
      <c r="H735" s="90">
        <v>10</v>
      </c>
      <c r="I735" s="90">
        <v>33</v>
      </c>
      <c r="J735" s="90">
        <v>38</v>
      </c>
      <c r="K735" s="90">
        <v>58</v>
      </c>
      <c r="L735" s="90">
        <v>63</v>
      </c>
      <c r="M735" s="95">
        <v>1</v>
      </c>
      <c r="N735" s="90">
        <v>3</v>
      </c>
    </row>
    <row r="736" spans="1:14" ht="16.5">
      <c r="A736" s="90">
        <v>733</v>
      </c>
      <c r="B736" s="47">
        <v>212</v>
      </c>
      <c r="C736" s="50" t="s">
        <v>394</v>
      </c>
      <c r="D736" s="50" t="s">
        <v>1903</v>
      </c>
      <c r="E736" s="50" t="s">
        <v>1936</v>
      </c>
      <c r="F736" s="90" t="s">
        <v>1898</v>
      </c>
      <c r="G736" s="90" t="s">
        <v>1862</v>
      </c>
      <c r="H736" s="90" t="s">
        <v>1888</v>
      </c>
      <c r="I736" s="90" t="s">
        <v>1899</v>
      </c>
      <c r="J736" s="90" t="s">
        <v>1889</v>
      </c>
      <c r="K736" s="90" t="s">
        <v>1900</v>
      </c>
      <c r="L736" s="90" t="s">
        <v>1901</v>
      </c>
      <c r="M736" s="95" t="s">
        <v>1679</v>
      </c>
      <c r="N736" s="90" t="s">
        <v>1902</v>
      </c>
    </row>
    <row r="737" spans="1:17" ht="16.5">
      <c r="A737" s="90">
        <v>734</v>
      </c>
      <c r="B737" s="47">
        <v>300</v>
      </c>
      <c r="C737" s="50" t="s">
        <v>1896</v>
      </c>
      <c r="D737" s="50" t="s">
        <v>1903</v>
      </c>
      <c r="E737" s="50" t="s">
        <v>1936</v>
      </c>
      <c r="F737" s="90">
        <v>35</v>
      </c>
      <c r="G737" s="90">
        <v>30</v>
      </c>
      <c r="H737" s="90">
        <v>10</v>
      </c>
      <c r="I737" s="90">
        <v>27</v>
      </c>
      <c r="J737" s="90">
        <v>32</v>
      </c>
      <c r="K737" s="90">
        <v>52</v>
      </c>
      <c r="L737" s="90">
        <v>57</v>
      </c>
      <c r="M737" s="95">
        <v>1</v>
      </c>
      <c r="N737" s="90">
        <v>6</v>
      </c>
    </row>
    <row r="738" spans="1:17" ht="16.5">
      <c r="A738" s="90">
        <v>735</v>
      </c>
      <c r="B738" s="47">
        <v>228</v>
      </c>
      <c r="C738" s="50" t="s">
        <v>948</v>
      </c>
      <c r="D738" s="50" t="s">
        <v>1903</v>
      </c>
      <c r="E738" s="50" t="s">
        <v>1936</v>
      </c>
      <c r="F738" s="90" t="s">
        <v>1872</v>
      </c>
      <c r="G738" s="90" t="s">
        <v>1682</v>
      </c>
      <c r="H738" s="90" t="s">
        <v>1247</v>
      </c>
      <c r="I738" s="90" t="s">
        <v>1873</v>
      </c>
      <c r="J738" s="90" t="s">
        <v>1874</v>
      </c>
      <c r="K738" s="90" t="s">
        <v>1875</v>
      </c>
      <c r="L738" s="90" t="s">
        <v>1876</v>
      </c>
      <c r="M738" s="95" t="s">
        <v>1679</v>
      </c>
      <c r="N738" s="90" t="s">
        <v>1877</v>
      </c>
    </row>
    <row r="739" spans="1:17" ht="16.5">
      <c r="A739" s="90">
        <v>736</v>
      </c>
      <c r="B739" s="47">
        <v>202</v>
      </c>
      <c r="C739" s="50" t="s">
        <v>154</v>
      </c>
      <c r="D739" s="50" t="s">
        <v>1905</v>
      </c>
      <c r="E739" s="50" t="s">
        <v>1936</v>
      </c>
      <c r="F739" s="90" t="s">
        <v>1854</v>
      </c>
      <c r="G739" s="90" t="s">
        <v>1674</v>
      </c>
      <c r="H739" s="90" t="s">
        <v>1247</v>
      </c>
      <c r="I739" s="90" t="s">
        <v>1855</v>
      </c>
      <c r="J739" s="90" t="s">
        <v>1856</v>
      </c>
      <c r="K739" s="90" t="s">
        <v>1857</v>
      </c>
      <c r="L739" s="90" t="s">
        <v>1858</v>
      </c>
      <c r="M739" s="95" t="s">
        <v>1679</v>
      </c>
      <c r="N739" s="90" t="s">
        <v>1859</v>
      </c>
    </row>
    <row r="740" spans="1:17" ht="16.5">
      <c r="A740" s="90">
        <v>737</v>
      </c>
      <c r="B740" s="91">
        <v>203</v>
      </c>
      <c r="C740" s="90" t="s">
        <v>202</v>
      </c>
      <c r="D740" s="50" t="s">
        <v>1905</v>
      </c>
      <c r="E740" s="50" t="s">
        <v>1936</v>
      </c>
      <c r="F740" s="90" t="s">
        <v>1881</v>
      </c>
      <c r="G740" s="90" t="s">
        <v>1682</v>
      </c>
      <c r="H740" s="90" t="s">
        <v>1247</v>
      </c>
      <c r="I740" s="90" t="s">
        <v>1683</v>
      </c>
      <c r="J740" s="90" t="s">
        <v>1684</v>
      </c>
      <c r="K740" s="90" t="s">
        <v>1882</v>
      </c>
      <c r="L740" s="90" t="s">
        <v>1883</v>
      </c>
      <c r="M740" s="95" t="s">
        <v>1679</v>
      </c>
      <c r="N740" s="90" t="s">
        <v>1906</v>
      </c>
    </row>
    <row r="741" spans="1:17" ht="16.5">
      <c r="A741" s="90">
        <v>738</v>
      </c>
      <c r="B741" s="47">
        <v>204</v>
      </c>
      <c r="C741" s="50" t="s">
        <v>226</v>
      </c>
      <c r="D741" s="50" t="s">
        <v>1905</v>
      </c>
      <c r="E741" s="50" t="s">
        <v>1936</v>
      </c>
      <c r="F741" s="90" t="s">
        <v>1854</v>
      </c>
      <c r="G741" s="90" t="s">
        <v>1674</v>
      </c>
      <c r="H741" s="90" t="s">
        <v>1247</v>
      </c>
      <c r="I741" s="90" t="s">
        <v>1855</v>
      </c>
      <c r="J741" s="90" t="s">
        <v>1856</v>
      </c>
      <c r="K741" s="90" t="s">
        <v>1857</v>
      </c>
      <c r="L741" s="90" t="s">
        <v>1858</v>
      </c>
      <c r="M741" s="95" t="s">
        <v>1679</v>
      </c>
      <c r="N741" s="90" t="s">
        <v>1680</v>
      </c>
    </row>
    <row r="742" spans="1:17" ht="16.5">
      <c r="A742" s="90">
        <v>739</v>
      </c>
      <c r="B742" s="47">
        <v>205</v>
      </c>
      <c r="C742" s="50" t="s">
        <v>249</v>
      </c>
      <c r="D742" s="50" t="s">
        <v>1905</v>
      </c>
      <c r="E742" s="50" t="s">
        <v>1936</v>
      </c>
      <c r="F742" s="90" t="s">
        <v>1854</v>
      </c>
      <c r="G742" s="90" t="s">
        <v>1674</v>
      </c>
      <c r="H742" s="90" t="s">
        <v>1247</v>
      </c>
      <c r="I742" s="90" t="s">
        <v>1855</v>
      </c>
      <c r="J742" s="90" t="s">
        <v>1856</v>
      </c>
      <c r="K742" s="90" t="s">
        <v>1857</v>
      </c>
      <c r="L742" s="90" t="s">
        <v>1858</v>
      </c>
      <c r="M742" s="95" t="s">
        <v>1679</v>
      </c>
      <c r="N742" s="90" t="s">
        <v>1859</v>
      </c>
    </row>
    <row r="743" spans="1:17" ht="16.5">
      <c r="A743" s="90">
        <v>740</v>
      </c>
      <c r="B743" s="47">
        <v>207</v>
      </c>
      <c r="C743" s="50" t="s">
        <v>595</v>
      </c>
      <c r="D743" s="50" t="s">
        <v>1905</v>
      </c>
      <c r="E743" s="50" t="s">
        <v>1936</v>
      </c>
      <c r="F743" s="90">
        <v>50</v>
      </c>
      <c r="G743" s="90">
        <v>30</v>
      </c>
      <c r="H743" s="90">
        <v>10</v>
      </c>
      <c r="I743" s="90">
        <v>30</v>
      </c>
      <c r="J743" s="90">
        <v>40</v>
      </c>
      <c r="K743" s="90">
        <v>60</v>
      </c>
      <c r="L743" s="90">
        <v>65</v>
      </c>
      <c r="M743" s="95">
        <v>1</v>
      </c>
      <c r="N743" s="90">
        <v>3</v>
      </c>
    </row>
    <row r="744" spans="1:17" ht="16.5">
      <c r="A744" s="90">
        <v>741</v>
      </c>
      <c r="B744" s="96">
        <v>208</v>
      </c>
      <c r="C744" s="97" t="s">
        <v>589</v>
      </c>
      <c r="D744" s="97" t="s">
        <v>1905</v>
      </c>
      <c r="E744" s="50" t="s">
        <v>1936</v>
      </c>
      <c r="F744" s="97">
        <v>63</v>
      </c>
      <c r="G744" s="97">
        <v>50</v>
      </c>
      <c r="H744" s="97">
        <v>1</v>
      </c>
      <c r="I744" s="97">
        <v>30</v>
      </c>
      <c r="J744" s="97">
        <v>45</v>
      </c>
      <c r="K744" s="97">
        <v>73</v>
      </c>
      <c r="L744" s="97">
        <v>78</v>
      </c>
      <c r="M744" s="98">
        <v>1</v>
      </c>
      <c r="N744" s="97">
        <v>12</v>
      </c>
    </row>
    <row r="745" spans="1:17" ht="16.5">
      <c r="A745" s="90">
        <v>742</v>
      </c>
      <c r="B745" s="47">
        <v>215</v>
      </c>
      <c r="C745" s="50" t="s">
        <v>418</v>
      </c>
      <c r="D745" s="50" t="s">
        <v>1905</v>
      </c>
      <c r="E745" s="50" t="s">
        <v>1936</v>
      </c>
      <c r="F745" s="90" t="s">
        <v>1907</v>
      </c>
      <c r="G745" s="90" t="s">
        <v>1682</v>
      </c>
      <c r="H745" s="90" t="s">
        <v>1247</v>
      </c>
      <c r="I745" s="90" t="s">
        <v>1908</v>
      </c>
      <c r="J745" s="90" t="s">
        <v>1909</v>
      </c>
      <c r="K745" s="90" t="s">
        <v>1910</v>
      </c>
      <c r="L745" s="90" t="s">
        <v>1911</v>
      </c>
      <c r="M745" s="95" t="s">
        <v>1679</v>
      </c>
      <c r="N745" s="90" t="s">
        <v>1906</v>
      </c>
    </row>
    <row r="746" spans="1:17" ht="16.5">
      <c r="A746" s="90">
        <v>743</v>
      </c>
      <c r="B746" s="47">
        <v>222</v>
      </c>
      <c r="C746" s="50" t="s">
        <v>442</v>
      </c>
      <c r="D746" s="50" t="s">
        <v>1905</v>
      </c>
      <c r="E746" s="50" t="s">
        <v>1936</v>
      </c>
      <c r="F746" s="90" t="s">
        <v>1854</v>
      </c>
      <c r="G746" s="90" t="s">
        <v>1871</v>
      </c>
      <c r="H746" s="90" t="s">
        <v>1247</v>
      </c>
      <c r="I746" s="90" t="s">
        <v>1855</v>
      </c>
      <c r="J746" s="90" t="s">
        <v>1856</v>
      </c>
      <c r="K746" s="90" t="s">
        <v>1857</v>
      </c>
      <c r="L746" s="90" t="s">
        <v>1858</v>
      </c>
      <c r="M746" s="95" t="s">
        <v>1679</v>
      </c>
      <c r="N746" s="90" t="s">
        <v>1859</v>
      </c>
    </row>
    <row r="747" spans="1:17" ht="16.5">
      <c r="A747" s="90">
        <v>744</v>
      </c>
      <c r="B747" s="47">
        <v>223</v>
      </c>
      <c r="C747" s="50" t="s">
        <v>918</v>
      </c>
      <c r="D747" s="50" t="s">
        <v>1905</v>
      </c>
      <c r="E747" s="50" t="s">
        <v>1936</v>
      </c>
      <c r="F747" s="90">
        <v>28</v>
      </c>
      <c r="G747" s="90">
        <v>30</v>
      </c>
      <c r="H747" s="90">
        <v>10</v>
      </c>
      <c r="I747" s="90">
        <v>17</v>
      </c>
      <c r="J747" s="90">
        <v>22</v>
      </c>
      <c r="K747" s="90">
        <v>33</v>
      </c>
      <c r="L747" s="90">
        <v>38</v>
      </c>
      <c r="M747" s="95">
        <v>1</v>
      </c>
      <c r="N747" s="90">
        <v>2</v>
      </c>
    </row>
    <row r="748" spans="1:17" ht="16.5">
      <c r="A748" s="90">
        <v>745</v>
      </c>
      <c r="B748" s="47">
        <v>226</v>
      </c>
      <c r="C748" s="92" t="s">
        <v>469</v>
      </c>
      <c r="D748" s="50" t="s">
        <v>1905</v>
      </c>
      <c r="E748" s="50" t="s">
        <v>1936</v>
      </c>
      <c r="F748" s="90" t="s">
        <v>1912</v>
      </c>
      <c r="G748" s="90" t="s">
        <v>1682</v>
      </c>
      <c r="H748" s="90" t="s">
        <v>1247</v>
      </c>
      <c r="I748" s="90" t="s">
        <v>1866</v>
      </c>
      <c r="J748" s="90" t="s">
        <v>1913</v>
      </c>
      <c r="K748" s="90" t="s">
        <v>1901</v>
      </c>
      <c r="L748" s="90" t="s">
        <v>1914</v>
      </c>
      <c r="M748" s="95" t="s">
        <v>1679</v>
      </c>
      <c r="N748" s="90" t="s">
        <v>1915</v>
      </c>
    </row>
    <row r="749" spans="1:17" ht="16.5">
      <c r="A749" s="90">
        <v>746</v>
      </c>
      <c r="B749" s="91">
        <v>227</v>
      </c>
      <c r="C749" s="93" t="s">
        <v>493</v>
      </c>
      <c r="D749" s="50" t="s">
        <v>1905</v>
      </c>
      <c r="E749" s="50" t="s">
        <v>1936</v>
      </c>
      <c r="F749" s="90" t="s">
        <v>1872</v>
      </c>
      <c r="G749" s="90" t="s">
        <v>1682</v>
      </c>
      <c r="H749" s="90" t="s">
        <v>1247</v>
      </c>
      <c r="I749" s="90" t="s">
        <v>1873</v>
      </c>
      <c r="J749" s="90" t="s">
        <v>1874</v>
      </c>
      <c r="K749" s="90" t="s">
        <v>1875</v>
      </c>
      <c r="L749" s="90" t="s">
        <v>1876</v>
      </c>
      <c r="M749" s="95" t="s">
        <v>1679</v>
      </c>
      <c r="N749" s="90" t="s">
        <v>1870</v>
      </c>
    </row>
    <row r="750" spans="1:17" ht="16.5">
      <c r="A750" s="90">
        <v>747</v>
      </c>
      <c r="B750" s="47">
        <v>234</v>
      </c>
      <c r="C750" s="50" t="s">
        <v>1878</v>
      </c>
      <c r="D750" s="50" t="s">
        <v>1905</v>
      </c>
      <c r="E750" s="50" t="s">
        <v>1936</v>
      </c>
      <c r="F750" s="90" t="s">
        <v>1854</v>
      </c>
      <c r="G750" s="90" t="s">
        <v>1674</v>
      </c>
      <c r="H750" s="90" t="s">
        <v>1247</v>
      </c>
      <c r="I750" s="90" t="s">
        <v>1855</v>
      </c>
      <c r="J750" s="90" t="s">
        <v>1856</v>
      </c>
      <c r="K750" s="90" t="s">
        <v>1857</v>
      </c>
      <c r="L750" s="90" t="s">
        <v>1858</v>
      </c>
      <c r="M750" s="95" t="s">
        <v>1679</v>
      </c>
      <c r="N750" s="90" t="s">
        <v>1859</v>
      </c>
      <c r="Q750" s="104"/>
    </row>
    <row r="751" spans="1:17" ht="16.5">
      <c r="A751" s="90">
        <v>748</v>
      </c>
      <c r="B751" s="47">
        <v>235</v>
      </c>
      <c r="C751" s="50" t="s">
        <v>601</v>
      </c>
      <c r="D751" s="50" t="s">
        <v>1905</v>
      </c>
      <c r="E751" s="50" t="s">
        <v>1936</v>
      </c>
      <c r="F751" s="90">
        <v>50</v>
      </c>
      <c r="G751" s="90">
        <v>30</v>
      </c>
      <c r="H751" s="90">
        <v>10</v>
      </c>
      <c r="I751" s="90">
        <v>30</v>
      </c>
      <c r="J751" s="90">
        <v>40</v>
      </c>
      <c r="K751" s="90">
        <v>60</v>
      </c>
      <c r="L751" s="90">
        <v>65</v>
      </c>
      <c r="M751" s="95">
        <v>1</v>
      </c>
      <c r="N751" s="90">
        <v>3</v>
      </c>
    </row>
    <row r="752" spans="1:17" ht="16.5">
      <c r="A752" s="90">
        <v>749</v>
      </c>
      <c r="B752" s="47">
        <v>236</v>
      </c>
      <c r="C752" s="50" t="s">
        <v>1688</v>
      </c>
      <c r="D752" s="50" t="s">
        <v>1905</v>
      </c>
      <c r="E752" s="50" t="s">
        <v>1936</v>
      </c>
      <c r="F752" s="90">
        <v>50</v>
      </c>
      <c r="G752" s="90">
        <v>30</v>
      </c>
      <c r="H752" s="90">
        <v>10</v>
      </c>
      <c r="I752" s="90">
        <v>30</v>
      </c>
      <c r="J752" s="90">
        <v>40</v>
      </c>
      <c r="K752" s="90">
        <v>60</v>
      </c>
      <c r="L752" s="90">
        <v>65</v>
      </c>
      <c r="M752" s="95">
        <v>1</v>
      </c>
      <c r="N752" s="90">
        <v>3</v>
      </c>
    </row>
    <row r="753" spans="1:14" ht="16.5">
      <c r="A753" s="90">
        <v>750</v>
      </c>
      <c r="B753" s="91">
        <v>201</v>
      </c>
      <c r="C753" s="90" t="s">
        <v>66</v>
      </c>
      <c r="D753" s="50" t="s">
        <v>1905</v>
      </c>
      <c r="E753" s="50" t="s">
        <v>1936</v>
      </c>
      <c r="F753" s="90" t="s">
        <v>1912</v>
      </c>
      <c r="G753" s="90" t="s">
        <v>1682</v>
      </c>
      <c r="H753" s="90" t="s">
        <v>1247</v>
      </c>
      <c r="I753" s="90" t="s">
        <v>1916</v>
      </c>
      <c r="J753" s="90" t="s">
        <v>1917</v>
      </c>
      <c r="K753" s="90" t="s">
        <v>1918</v>
      </c>
      <c r="L753" s="90" t="s">
        <v>1919</v>
      </c>
      <c r="M753" s="95" t="s">
        <v>1679</v>
      </c>
      <c r="N753" s="90" t="s">
        <v>1687</v>
      </c>
    </row>
    <row r="754" spans="1:14" ht="16.5">
      <c r="A754" s="90">
        <v>751</v>
      </c>
      <c r="B754" s="91">
        <v>206</v>
      </c>
      <c r="C754" s="90" t="s">
        <v>293</v>
      </c>
      <c r="D754" s="50" t="s">
        <v>1905</v>
      </c>
      <c r="E754" s="50" t="s">
        <v>1936</v>
      </c>
      <c r="F754" s="90" t="s">
        <v>1872</v>
      </c>
      <c r="G754" s="90" t="s">
        <v>1682</v>
      </c>
      <c r="H754" s="90" t="s">
        <v>1247</v>
      </c>
      <c r="I754" s="90" t="s">
        <v>1920</v>
      </c>
      <c r="J754" s="90" t="s">
        <v>1880</v>
      </c>
      <c r="K754" s="90" t="s">
        <v>1875</v>
      </c>
      <c r="L754" s="90" t="s">
        <v>1876</v>
      </c>
      <c r="M754" s="95" t="s">
        <v>1679</v>
      </c>
      <c r="N754" s="90" t="s">
        <v>1680</v>
      </c>
    </row>
    <row r="755" spans="1:14" ht="16.5">
      <c r="A755" s="90">
        <v>752</v>
      </c>
      <c r="B755" s="47">
        <v>209</v>
      </c>
      <c r="C755" s="50" t="s">
        <v>344</v>
      </c>
      <c r="D755" s="50" t="s">
        <v>1905</v>
      </c>
      <c r="E755" s="50" t="s">
        <v>1936</v>
      </c>
      <c r="F755" s="90" t="s">
        <v>1872</v>
      </c>
      <c r="G755" s="90" t="s">
        <v>1682</v>
      </c>
      <c r="H755" s="90" t="s">
        <v>1247</v>
      </c>
      <c r="I755" s="90" t="s">
        <v>1920</v>
      </c>
      <c r="J755" s="90" t="s">
        <v>1880</v>
      </c>
      <c r="K755" s="90" t="s">
        <v>1875</v>
      </c>
      <c r="L755" s="90" t="s">
        <v>1876</v>
      </c>
      <c r="M755" s="95" t="s">
        <v>1679</v>
      </c>
      <c r="N755" s="90" t="s">
        <v>1680</v>
      </c>
    </row>
    <row r="756" spans="1:14" ht="16.5">
      <c r="A756" s="90">
        <v>753</v>
      </c>
      <c r="B756" s="47">
        <v>230</v>
      </c>
      <c r="C756" s="50" t="s">
        <v>539</v>
      </c>
      <c r="D756" s="50" t="s">
        <v>1905</v>
      </c>
      <c r="E756" s="50" t="s">
        <v>1936</v>
      </c>
      <c r="F756" s="90" t="s">
        <v>1872</v>
      </c>
      <c r="G756" s="90" t="s">
        <v>1682</v>
      </c>
      <c r="H756" s="90" t="s">
        <v>1247</v>
      </c>
      <c r="I756" s="90" t="s">
        <v>1920</v>
      </c>
      <c r="J756" s="90" t="s">
        <v>1880</v>
      </c>
      <c r="K756" s="90" t="s">
        <v>1875</v>
      </c>
      <c r="L756" s="90" t="s">
        <v>1876</v>
      </c>
      <c r="M756" s="95" t="s">
        <v>1679</v>
      </c>
      <c r="N756" s="90" t="s">
        <v>1921</v>
      </c>
    </row>
    <row r="757" spans="1:14" ht="16.5">
      <c r="A757" s="90">
        <v>754</v>
      </c>
      <c r="B757" s="91">
        <v>232</v>
      </c>
      <c r="C757" s="90" t="s">
        <v>319</v>
      </c>
      <c r="D757" s="50" t="s">
        <v>1905</v>
      </c>
      <c r="E757" s="50" t="s">
        <v>1936</v>
      </c>
      <c r="F757" s="90" t="s">
        <v>1872</v>
      </c>
      <c r="G757" s="90" t="s">
        <v>1682</v>
      </c>
      <c r="H757" s="90" t="s">
        <v>1247</v>
      </c>
      <c r="I757" s="90" t="s">
        <v>1920</v>
      </c>
      <c r="J757" s="90" t="s">
        <v>1880</v>
      </c>
      <c r="K757" s="90" t="s">
        <v>1875</v>
      </c>
      <c r="L757" s="90" t="s">
        <v>1876</v>
      </c>
      <c r="M757" s="95" t="s">
        <v>1679</v>
      </c>
      <c r="N757" s="90" t="s">
        <v>1680</v>
      </c>
    </row>
    <row r="758" spans="1:14" ht="16.5">
      <c r="A758" s="90">
        <v>755</v>
      </c>
      <c r="B758" s="47">
        <v>233</v>
      </c>
      <c r="C758" s="50" t="s">
        <v>593</v>
      </c>
      <c r="D758" s="50" t="s">
        <v>1905</v>
      </c>
      <c r="E758" s="50" t="s">
        <v>1936</v>
      </c>
      <c r="F758" s="90">
        <v>50</v>
      </c>
      <c r="G758" s="90">
        <v>30</v>
      </c>
      <c r="H758" s="90">
        <v>10</v>
      </c>
      <c r="I758" s="90">
        <v>30</v>
      </c>
      <c r="J758" s="90">
        <v>40</v>
      </c>
      <c r="K758" s="90">
        <v>60</v>
      </c>
      <c r="L758" s="90">
        <v>65</v>
      </c>
      <c r="M758" s="95">
        <v>1</v>
      </c>
      <c r="N758" s="90">
        <v>3</v>
      </c>
    </row>
    <row r="759" spans="1:14" ht="16.5">
      <c r="A759" s="90">
        <v>756</v>
      </c>
      <c r="B759" s="47">
        <v>237</v>
      </c>
      <c r="C759" s="50" t="s">
        <v>565</v>
      </c>
      <c r="D759" s="50" t="s">
        <v>1905</v>
      </c>
      <c r="E759" s="50" t="s">
        <v>1936</v>
      </c>
      <c r="F759" s="90" t="s">
        <v>1885</v>
      </c>
      <c r="G759" s="90" t="s">
        <v>1682</v>
      </c>
      <c r="H759" s="90" t="s">
        <v>1247</v>
      </c>
      <c r="I759" s="90" t="s">
        <v>1675</v>
      </c>
      <c r="J759" s="90" t="s">
        <v>1676</v>
      </c>
      <c r="K759" s="90" t="s">
        <v>1886</v>
      </c>
      <c r="L759" s="90" t="s">
        <v>1887</v>
      </c>
      <c r="M759" s="95" t="s">
        <v>1679</v>
      </c>
      <c r="N759" s="90" t="s">
        <v>1680</v>
      </c>
    </row>
    <row r="760" spans="1:14" ht="16.5">
      <c r="A760" s="90">
        <v>757</v>
      </c>
      <c r="B760" s="47">
        <v>213</v>
      </c>
      <c r="C760" s="50" t="s">
        <v>599</v>
      </c>
      <c r="D760" s="50" t="s">
        <v>1905</v>
      </c>
      <c r="E760" s="50" t="s">
        <v>1936</v>
      </c>
      <c r="F760" s="90">
        <v>63</v>
      </c>
      <c r="G760" s="90">
        <v>30</v>
      </c>
      <c r="H760" s="90">
        <v>10</v>
      </c>
      <c r="I760" s="90">
        <v>48</v>
      </c>
      <c r="J760" s="90">
        <v>53</v>
      </c>
      <c r="K760" s="90">
        <v>73</v>
      </c>
      <c r="L760" s="90">
        <v>78</v>
      </c>
      <c r="M760" s="95">
        <v>1</v>
      </c>
      <c r="N760" s="90">
        <v>6</v>
      </c>
    </row>
    <row r="761" spans="1:14" ht="16.5">
      <c r="A761" s="90">
        <v>758</v>
      </c>
      <c r="B761" s="47">
        <v>224</v>
      </c>
      <c r="C761" s="50" t="s">
        <v>369</v>
      </c>
      <c r="D761" s="50" t="s">
        <v>1905</v>
      </c>
      <c r="E761" s="50" t="s">
        <v>1936</v>
      </c>
      <c r="F761" s="90" t="s">
        <v>1872</v>
      </c>
      <c r="G761" s="90" t="s">
        <v>1682</v>
      </c>
      <c r="H761" s="90" t="s">
        <v>1247</v>
      </c>
      <c r="I761" s="90" t="s">
        <v>1920</v>
      </c>
      <c r="J761" s="90" t="s">
        <v>1880</v>
      </c>
      <c r="K761" s="90" t="s">
        <v>1875</v>
      </c>
      <c r="L761" s="90" t="s">
        <v>1876</v>
      </c>
      <c r="M761" s="95" t="s">
        <v>1679</v>
      </c>
      <c r="N761" s="90" t="s">
        <v>1680</v>
      </c>
    </row>
    <row r="762" spans="1:14" ht="16.5">
      <c r="A762" s="90">
        <v>759</v>
      </c>
      <c r="B762" s="47">
        <v>229</v>
      </c>
      <c r="C762" s="50" t="s">
        <v>515</v>
      </c>
      <c r="D762" s="50" t="s">
        <v>1905</v>
      </c>
      <c r="E762" s="50" t="s">
        <v>1936</v>
      </c>
      <c r="F762" s="90" t="s">
        <v>1872</v>
      </c>
      <c r="G762" s="90" t="s">
        <v>1682</v>
      </c>
      <c r="H762" s="90" t="s">
        <v>1247</v>
      </c>
      <c r="I762" s="90" t="s">
        <v>1920</v>
      </c>
      <c r="J762" s="90" t="s">
        <v>1880</v>
      </c>
      <c r="K762" s="90" t="s">
        <v>1875</v>
      </c>
      <c r="L762" s="90" t="s">
        <v>1876</v>
      </c>
      <c r="M762" s="95" t="s">
        <v>1679</v>
      </c>
      <c r="N762" s="90" t="s">
        <v>1870</v>
      </c>
    </row>
    <row r="763" spans="1:14" ht="16.5">
      <c r="A763" s="90">
        <v>760</v>
      </c>
      <c r="B763" s="47">
        <v>231</v>
      </c>
      <c r="C763" s="94" t="s">
        <v>591</v>
      </c>
      <c r="D763" s="50" t="s">
        <v>1905</v>
      </c>
      <c r="E763" s="50" t="s">
        <v>1936</v>
      </c>
      <c r="F763" s="90" t="s">
        <v>1865</v>
      </c>
      <c r="G763" s="90" t="s">
        <v>1862</v>
      </c>
      <c r="H763" s="90" t="s">
        <v>1888</v>
      </c>
      <c r="I763" s="90" t="s">
        <v>1880</v>
      </c>
      <c r="J763" s="90" t="s">
        <v>1922</v>
      </c>
      <c r="K763" s="90" t="s">
        <v>1923</v>
      </c>
      <c r="L763" s="90" t="s">
        <v>1924</v>
      </c>
      <c r="M763" s="95" t="s">
        <v>1679</v>
      </c>
      <c r="N763" s="90" t="s">
        <v>1891</v>
      </c>
    </row>
    <row r="764" spans="1:14" ht="16.5">
      <c r="A764" s="90">
        <v>761</v>
      </c>
      <c r="B764" s="47">
        <v>211</v>
      </c>
      <c r="C764" s="50" t="s">
        <v>605</v>
      </c>
      <c r="D764" s="50" t="s">
        <v>1905</v>
      </c>
      <c r="E764" s="50" t="s">
        <v>1936</v>
      </c>
      <c r="F764" s="90">
        <v>60</v>
      </c>
      <c r="G764" s="90">
        <v>30</v>
      </c>
      <c r="H764" s="90">
        <v>10</v>
      </c>
      <c r="I764" s="90">
        <v>45</v>
      </c>
      <c r="J764" s="90">
        <v>50</v>
      </c>
      <c r="K764" s="90">
        <v>70</v>
      </c>
      <c r="L764" s="90">
        <v>75</v>
      </c>
      <c r="M764" s="95">
        <v>1</v>
      </c>
      <c r="N764" s="90">
        <v>5.5</v>
      </c>
    </row>
    <row r="765" spans="1:14" ht="16.5">
      <c r="A765" s="90">
        <v>762</v>
      </c>
      <c r="B765" s="47">
        <v>212</v>
      </c>
      <c r="C765" s="50" t="s">
        <v>394</v>
      </c>
      <c r="D765" s="50" t="s">
        <v>1905</v>
      </c>
      <c r="E765" s="50" t="s">
        <v>1936</v>
      </c>
      <c r="F765" s="90" t="s">
        <v>1898</v>
      </c>
      <c r="G765" s="90" t="s">
        <v>1862</v>
      </c>
      <c r="H765" s="90" t="s">
        <v>1888</v>
      </c>
      <c r="I765" s="90" t="s">
        <v>1899</v>
      </c>
      <c r="J765" s="90" t="s">
        <v>1889</v>
      </c>
      <c r="K765" s="90" t="s">
        <v>1900</v>
      </c>
      <c r="L765" s="90" t="s">
        <v>1901</v>
      </c>
      <c r="M765" s="95" t="s">
        <v>1679</v>
      </c>
      <c r="N765" s="90" t="s">
        <v>1902</v>
      </c>
    </row>
    <row r="766" spans="1:14" ht="16.5">
      <c r="A766" s="90">
        <v>763</v>
      </c>
      <c r="B766" s="47">
        <v>300</v>
      </c>
      <c r="C766" s="50" t="s">
        <v>1896</v>
      </c>
      <c r="D766" s="50" t="s">
        <v>1903</v>
      </c>
      <c r="E766" s="50" t="s">
        <v>1936</v>
      </c>
      <c r="F766" s="90">
        <v>35</v>
      </c>
      <c r="G766" s="90">
        <v>30</v>
      </c>
      <c r="H766" s="90">
        <v>10</v>
      </c>
      <c r="I766" s="90">
        <v>27</v>
      </c>
      <c r="J766" s="90">
        <v>32</v>
      </c>
      <c r="K766" s="90">
        <v>52</v>
      </c>
      <c r="L766" s="90">
        <v>57</v>
      </c>
      <c r="M766" s="95">
        <v>1</v>
      </c>
      <c r="N766" s="90">
        <v>6</v>
      </c>
    </row>
    <row r="767" spans="1:14" ht="16.5">
      <c r="A767" s="90">
        <v>764</v>
      </c>
      <c r="B767" s="47">
        <v>228</v>
      </c>
      <c r="C767" s="50" t="s">
        <v>948</v>
      </c>
      <c r="D767" s="50" t="s">
        <v>1905</v>
      </c>
      <c r="E767" s="50" t="s">
        <v>1936</v>
      </c>
      <c r="F767" s="90" t="s">
        <v>1872</v>
      </c>
      <c r="G767" s="90" t="s">
        <v>1682</v>
      </c>
      <c r="H767" s="90" t="s">
        <v>1247</v>
      </c>
      <c r="I767" s="90" t="s">
        <v>1873</v>
      </c>
      <c r="J767" s="90" t="s">
        <v>1874</v>
      </c>
      <c r="K767" s="90" t="s">
        <v>1875</v>
      </c>
      <c r="L767" s="90" t="s">
        <v>1876</v>
      </c>
      <c r="M767" s="95" t="s">
        <v>1679</v>
      </c>
      <c r="N767" s="90" t="s">
        <v>1877</v>
      </c>
    </row>
    <row r="768" spans="1:14" ht="16.5">
      <c r="A768" s="90">
        <v>765</v>
      </c>
      <c r="B768" s="47">
        <v>202</v>
      </c>
      <c r="C768" s="50" t="s">
        <v>154</v>
      </c>
      <c r="D768" s="1" t="s">
        <v>1925</v>
      </c>
      <c r="E768" s="50" t="s">
        <v>1936</v>
      </c>
      <c r="F768" s="90" t="s">
        <v>1854</v>
      </c>
      <c r="G768" s="90" t="s">
        <v>1674</v>
      </c>
      <c r="H768" s="90" t="s">
        <v>1247</v>
      </c>
      <c r="I768" s="90" t="s">
        <v>1855</v>
      </c>
      <c r="J768" s="90" t="s">
        <v>1856</v>
      </c>
      <c r="K768" s="90" t="s">
        <v>1857</v>
      </c>
      <c r="L768" s="90" t="s">
        <v>1858</v>
      </c>
      <c r="M768" s="95" t="s">
        <v>1679</v>
      </c>
      <c r="N768" s="90" t="s">
        <v>1859</v>
      </c>
    </row>
    <row r="769" spans="1:14" ht="16.5">
      <c r="A769" s="90">
        <v>766</v>
      </c>
      <c r="B769" s="91">
        <v>203</v>
      </c>
      <c r="C769" s="90" t="s">
        <v>202</v>
      </c>
      <c r="D769" s="1" t="s">
        <v>1925</v>
      </c>
      <c r="E769" s="50" t="s">
        <v>1936</v>
      </c>
      <c r="F769" s="90" t="s">
        <v>1881</v>
      </c>
      <c r="G769" s="90" t="s">
        <v>1682</v>
      </c>
      <c r="H769" s="90" t="s">
        <v>1247</v>
      </c>
      <c r="I769" s="90" t="s">
        <v>1683</v>
      </c>
      <c r="J769" s="90" t="s">
        <v>1684</v>
      </c>
      <c r="K769" s="90" t="s">
        <v>1882</v>
      </c>
      <c r="L769" s="90" t="s">
        <v>1883</v>
      </c>
      <c r="M769" s="95" t="s">
        <v>1679</v>
      </c>
      <c r="N769" s="90" t="s">
        <v>1906</v>
      </c>
    </row>
    <row r="770" spans="1:14" ht="16.5">
      <c r="A770" s="90">
        <v>767</v>
      </c>
      <c r="B770" s="47">
        <v>204</v>
      </c>
      <c r="C770" s="50" t="s">
        <v>226</v>
      </c>
      <c r="D770" s="1" t="s">
        <v>1925</v>
      </c>
      <c r="E770" s="50" t="s">
        <v>1936</v>
      </c>
      <c r="F770" s="90" t="s">
        <v>1854</v>
      </c>
      <c r="G770" s="90" t="s">
        <v>1674</v>
      </c>
      <c r="H770" s="90" t="s">
        <v>1247</v>
      </c>
      <c r="I770" s="90" t="s">
        <v>1855</v>
      </c>
      <c r="J770" s="90" t="s">
        <v>1856</v>
      </c>
      <c r="K770" s="90" t="s">
        <v>1857</v>
      </c>
      <c r="L770" s="90" t="s">
        <v>1858</v>
      </c>
      <c r="M770" s="95" t="s">
        <v>1679</v>
      </c>
      <c r="N770" s="90" t="s">
        <v>1680</v>
      </c>
    </row>
    <row r="771" spans="1:14" ht="16.5">
      <c r="A771" s="90">
        <v>768</v>
      </c>
      <c r="B771" s="47">
        <v>205</v>
      </c>
      <c r="C771" s="50" t="s">
        <v>249</v>
      </c>
      <c r="D771" s="1" t="s">
        <v>1925</v>
      </c>
      <c r="E771" s="50" t="s">
        <v>1936</v>
      </c>
      <c r="F771" s="90" t="s">
        <v>1854</v>
      </c>
      <c r="G771" s="90" t="s">
        <v>1674</v>
      </c>
      <c r="H771" s="90" t="s">
        <v>1247</v>
      </c>
      <c r="I771" s="90" t="s">
        <v>1855</v>
      </c>
      <c r="J771" s="90" t="s">
        <v>1856</v>
      </c>
      <c r="K771" s="90" t="s">
        <v>1857</v>
      </c>
      <c r="L771" s="90" t="s">
        <v>1858</v>
      </c>
      <c r="M771" s="95" t="s">
        <v>1679</v>
      </c>
      <c r="N771" s="90" t="s">
        <v>1859</v>
      </c>
    </row>
    <row r="772" spans="1:14" ht="16.5">
      <c r="A772" s="90">
        <v>769</v>
      </c>
      <c r="B772" s="47">
        <v>207</v>
      </c>
      <c r="C772" s="50" t="s">
        <v>595</v>
      </c>
      <c r="D772" s="1" t="s">
        <v>1925</v>
      </c>
      <c r="E772" s="50" t="s">
        <v>1936</v>
      </c>
      <c r="F772" s="90">
        <v>50</v>
      </c>
      <c r="G772" s="90">
        <v>30</v>
      </c>
      <c r="H772" s="90">
        <v>10</v>
      </c>
      <c r="I772" s="90">
        <v>30</v>
      </c>
      <c r="J772" s="90">
        <v>40</v>
      </c>
      <c r="K772" s="90">
        <v>60</v>
      </c>
      <c r="L772" s="90">
        <v>65</v>
      </c>
      <c r="M772" s="95">
        <v>1</v>
      </c>
      <c r="N772" s="90">
        <v>3</v>
      </c>
    </row>
    <row r="773" spans="1:14" ht="16.5">
      <c r="A773" s="90">
        <v>770</v>
      </c>
      <c r="B773" s="96">
        <v>208</v>
      </c>
      <c r="C773" s="97" t="s">
        <v>589</v>
      </c>
      <c r="D773" s="1" t="s">
        <v>1925</v>
      </c>
      <c r="E773" s="50" t="s">
        <v>1936</v>
      </c>
      <c r="F773" s="97">
        <v>63</v>
      </c>
      <c r="G773" s="97">
        <v>50</v>
      </c>
      <c r="H773" s="97">
        <v>1</v>
      </c>
      <c r="I773" s="97">
        <v>30</v>
      </c>
      <c r="J773" s="97">
        <v>45</v>
      </c>
      <c r="K773" s="97">
        <v>73</v>
      </c>
      <c r="L773" s="97">
        <v>78</v>
      </c>
      <c r="M773" s="98">
        <v>1</v>
      </c>
      <c r="N773" s="97">
        <v>12</v>
      </c>
    </row>
    <row r="774" spans="1:14" ht="16.5">
      <c r="A774" s="90">
        <v>771</v>
      </c>
      <c r="B774" s="47">
        <v>215</v>
      </c>
      <c r="C774" s="50" t="s">
        <v>418</v>
      </c>
      <c r="D774" s="1" t="s">
        <v>1925</v>
      </c>
      <c r="E774" s="50" t="s">
        <v>1936</v>
      </c>
      <c r="F774" s="90" t="s">
        <v>1907</v>
      </c>
      <c r="G774" s="90" t="s">
        <v>1682</v>
      </c>
      <c r="H774" s="90" t="s">
        <v>1247</v>
      </c>
      <c r="I774" s="90" t="s">
        <v>1908</v>
      </c>
      <c r="J774" s="90" t="s">
        <v>1909</v>
      </c>
      <c r="K774" s="90" t="s">
        <v>1910</v>
      </c>
      <c r="L774" s="90" t="s">
        <v>1911</v>
      </c>
      <c r="M774" s="95" t="s">
        <v>1679</v>
      </c>
      <c r="N774" s="90" t="s">
        <v>1906</v>
      </c>
    </row>
    <row r="775" spans="1:14" ht="16.5">
      <c r="A775" s="90">
        <v>772</v>
      </c>
      <c r="B775" s="47">
        <v>222</v>
      </c>
      <c r="C775" s="50" t="s">
        <v>442</v>
      </c>
      <c r="D775" s="1" t="s">
        <v>1925</v>
      </c>
      <c r="E775" s="50" t="s">
        <v>1936</v>
      </c>
      <c r="F775" s="90" t="s">
        <v>1854</v>
      </c>
      <c r="G775" s="90" t="s">
        <v>1871</v>
      </c>
      <c r="H775" s="90" t="s">
        <v>1247</v>
      </c>
      <c r="I775" s="90" t="s">
        <v>1855</v>
      </c>
      <c r="J775" s="90" t="s">
        <v>1856</v>
      </c>
      <c r="K775" s="90" t="s">
        <v>1857</v>
      </c>
      <c r="L775" s="90" t="s">
        <v>1858</v>
      </c>
      <c r="M775" s="95" t="s">
        <v>1679</v>
      </c>
      <c r="N775" s="90" t="s">
        <v>1859</v>
      </c>
    </row>
    <row r="776" spans="1:14" ht="16.5">
      <c r="A776" s="90">
        <v>773</v>
      </c>
      <c r="B776" s="47">
        <v>223</v>
      </c>
      <c r="C776" s="50" t="s">
        <v>918</v>
      </c>
      <c r="D776" s="1" t="s">
        <v>1925</v>
      </c>
      <c r="E776" s="50" t="s">
        <v>1936</v>
      </c>
      <c r="F776" s="90">
        <v>28</v>
      </c>
      <c r="G776" s="90">
        <v>30</v>
      </c>
      <c r="H776" s="90">
        <v>10</v>
      </c>
      <c r="I776" s="90">
        <v>17</v>
      </c>
      <c r="J776" s="90">
        <v>22</v>
      </c>
      <c r="K776" s="90">
        <v>33</v>
      </c>
      <c r="L776" s="90">
        <v>38</v>
      </c>
      <c r="M776" s="95">
        <v>1</v>
      </c>
      <c r="N776" s="90">
        <v>2</v>
      </c>
    </row>
    <row r="777" spans="1:14" ht="16.5">
      <c r="A777" s="90">
        <v>774</v>
      </c>
      <c r="B777" s="47">
        <v>226</v>
      </c>
      <c r="C777" s="92" t="s">
        <v>469</v>
      </c>
      <c r="D777" s="1" t="s">
        <v>1925</v>
      </c>
      <c r="E777" s="50" t="s">
        <v>1936</v>
      </c>
      <c r="F777" s="90" t="s">
        <v>1912</v>
      </c>
      <c r="G777" s="90" t="s">
        <v>1682</v>
      </c>
      <c r="H777" s="90" t="s">
        <v>1247</v>
      </c>
      <c r="I777" s="90" t="s">
        <v>1866</v>
      </c>
      <c r="J777" s="90" t="s">
        <v>1913</v>
      </c>
      <c r="K777" s="90" t="s">
        <v>1901</v>
      </c>
      <c r="L777" s="90" t="s">
        <v>1914</v>
      </c>
      <c r="M777" s="95" t="s">
        <v>1679</v>
      </c>
      <c r="N777" s="90" t="s">
        <v>1915</v>
      </c>
    </row>
    <row r="778" spans="1:14" ht="16.5">
      <c r="A778" s="90">
        <v>775</v>
      </c>
      <c r="B778" s="91">
        <v>227</v>
      </c>
      <c r="C778" s="93" t="s">
        <v>493</v>
      </c>
      <c r="D778" s="1" t="s">
        <v>1925</v>
      </c>
      <c r="E778" s="50" t="s">
        <v>1936</v>
      </c>
      <c r="F778" s="90" t="s">
        <v>1872</v>
      </c>
      <c r="G778" s="90" t="s">
        <v>1682</v>
      </c>
      <c r="H778" s="90" t="s">
        <v>1247</v>
      </c>
      <c r="I778" s="90" t="s">
        <v>1873</v>
      </c>
      <c r="J778" s="90" t="s">
        <v>1874</v>
      </c>
      <c r="K778" s="90" t="s">
        <v>1875</v>
      </c>
      <c r="L778" s="90" t="s">
        <v>1876</v>
      </c>
      <c r="M778" s="95" t="s">
        <v>1679</v>
      </c>
      <c r="N778" s="90" t="s">
        <v>1870</v>
      </c>
    </row>
    <row r="779" spans="1:14" ht="16.5">
      <c r="A779" s="90">
        <v>776</v>
      </c>
      <c r="B779" s="47">
        <v>234</v>
      </c>
      <c r="C779" s="50" t="s">
        <v>1878</v>
      </c>
      <c r="D779" s="1" t="s">
        <v>1925</v>
      </c>
      <c r="E779" s="50" t="s">
        <v>1936</v>
      </c>
      <c r="F779" s="90" t="s">
        <v>1854</v>
      </c>
      <c r="G779" s="90" t="s">
        <v>1674</v>
      </c>
      <c r="H779" s="90" t="s">
        <v>1247</v>
      </c>
      <c r="I779" s="90" t="s">
        <v>1855</v>
      </c>
      <c r="J779" s="90" t="s">
        <v>1856</v>
      </c>
      <c r="K779" s="90" t="s">
        <v>1857</v>
      </c>
      <c r="L779" s="90" t="s">
        <v>1858</v>
      </c>
      <c r="M779" s="95" t="s">
        <v>1679</v>
      </c>
      <c r="N779" s="90" t="s">
        <v>1859</v>
      </c>
    </row>
    <row r="780" spans="1:14" ht="16.5">
      <c r="A780" s="90">
        <v>777</v>
      </c>
      <c r="B780" s="47">
        <v>235</v>
      </c>
      <c r="C780" s="50" t="s">
        <v>601</v>
      </c>
      <c r="D780" s="1" t="s">
        <v>1925</v>
      </c>
      <c r="E780" s="50" t="s">
        <v>1936</v>
      </c>
      <c r="F780" s="90">
        <v>50</v>
      </c>
      <c r="G780" s="90">
        <v>30</v>
      </c>
      <c r="H780" s="90">
        <v>10</v>
      </c>
      <c r="I780" s="90">
        <v>30</v>
      </c>
      <c r="J780" s="90">
        <v>40</v>
      </c>
      <c r="K780" s="90">
        <v>60</v>
      </c>
      <c r="L780" s="90">
        <v>65</v>
      </c>
      <c r="M780" s="95">
        <v>1</v>
      </c>
      <c r="N780" s="90">
        <v>3</v>
      </c>
    </row>
    <row r="781" spans="1:14" ht="16.5">
      <c r="A781" s="90">
        <v>778</v>
      </c>
      <c r="B781" s="47">
        <v>236</v>
      </c>
      <c r="C781" s="50" t="s">
        <v>1688</v>
      </c>
      <c r="D781" s="1" t="s">
        <v>1925</v>
      </c>
      <c r="E781" s="50" t="s">
        <v>1936</v>
      </c>
      <c r="F781" s="90">
        <v>50</v>
      </c>
      <c r="G781" s="90">
        <v>30</v>
      </c>
      <c r="H781" s="90">
        <v>10</v>
      </c>
      <c r="I781" s="90">
        <v>30</v>
      </c>
      <c r="J781" s="90">
        <v>40</v>
      </c>
      <c r="K781" s="90">
        <v>60</v>
      </c>
      <c r="L781" s="90">
        <v>65</v>
      </c>
      <c r="M781" s="95">
        <v>1</v>
      </c>
      <c r="N781" s="90">
        <v>3</v>
      </c>
    </row>
    <row r="782" spans="1:14" ht="16.5">
      <c r="A782" s="90">
        <v>779</v>
      </c>
      <c r="B782" s="91">
        <v>201</v>
      </c>
      <c r="C782" s="90" t="s">
        <v>66</v>
      </c>
      <c r="D782" s="1" t="s">
        <v>1925</v>
      </c>
      <c r="E782" s="50" t="s">
        <v>1936</v>
      </c>
      <c r="F782" s="90" t="s">
        <v>1912</v>
      </c>
      <c r="G782" s="90" t="s">
        <v>1682</v>
      </c>
      <c r="H782" s="90" t="s">
        <v>1247</v>
      </c>
      <c r="I782" s="90" t="s">
        <v>1916</v>
      </c>
      <c r="J782" s="90" t="s">
        <v>1917</v>
      </c>
      <c r="K782" s="90" t="s">
        <v>1918</v>
      </c>
      <c r="L782" s="90" t="s">
        <v>1919</v>
      </c>
      <c r="M782" s="95" t="s">
        <v>1679</v>
      </c>
      <c r="N782" s="90" t="s">
        <v>1687</v>
      </c>
    </row>
    <row r="783" spans="1:14" ht="16.5">
      <c r="A783" s="90">
        <v>780</v>
      </c>
      <c r="B783" s="91">
        <v>206</v>
      </c>
      <c r="C783" s="90" t="s">
        <v>293</v>
      </c>
      <c r="D783" s="1" t="s">
        <v>1925</v>
      </c>
      <c r="E783" s="50" t="s">
        <v>1936</v>
      </c>
      <c r="F783" s="90" t="s">
        <v>1872</v>
      </c>
      <c r="G783" s="90" t="s">
        <v>1682</v>
      </c>
      <c r="H783" s="90" t="s">
        <v>1247</v>
      </c>
      <c r="I783" s="90" t="s">
        <v>1920</v>
      </c>
      <c r="J783" s="90" t="s">
        <v>1880</v>
      </c>
      <c r="K783" s="90" t="s">
        <v>1875</v>
      </c>
      <c r="L783" s="90" t="s">
        <v>1876</v>
      </c>
      <c r="M783" s="95" t="s">
        <v>1679</v>
      </c>
      <c r="N783" s="90" t="s">
        <v>1680</v>
      </c>
    </row>
    <row r="784" spans="1:14" ht="16.5">
      <c r="A784" s="90">
        <v>781</v>
      </c>
      <c r="B784" s="47">
        <v>209</v>
      </c>
      <c r="C784" s="50" t="s">
        <v>344</v>
      </c>
      <c r="D784" s="1" t="s">
        <v>1925</v>
      </c>
      <c r="E784" s="50" t="s">
        <v>1936</v>
      </c>
      <c r="F784" s="90" t="s">
        <v>1872</v>
      </c>
      <c r="G784" s="90" t="s">
        <v>1682</v>
      </c>
      <c r="H784" s="90" t="s">
        <v>1247</v>
      </c>
      <c r="I784" s="90" t="s">
        <v>1920</v>
      </c>
      <c r="J784" s="90" t="s">
        <v>1880</v>
      </c>
      <c r="K784" s="90" t="s">
        <v>1875</v>
      </c>
      <c r="L784" s="90" t="s">
        <v>1876</v>
      </c>
      <c r="M784" s="95" t="s">
        <v>1679</v>
      </c>
      <c r="N784" s="90" t="s">
        <v>1680</v>
      </c>
    </row>
    <row r="785" spans="1:14" ht="16.5">
      <c r="A785" s="90">
        <v>782</v>
      </c>
      <c r="B785" s="47">
        <v>230</v>
      </c>
      <c r="C785" s="50" t="s">
        <v>539</v>
      </c>
      <c r="D785" s="1" t="s">
        <v>1925</v>
      </c>
      <c r="E785" s="50" t="s">
        <v>1936</v>
      </c>
      <c r="F785" s="90" t="s">
        <v>1872</v>
      </c>
      <c r="G785" s="90" t="s">
        <v>1682</v>
      </c>
      <c r="H785" s="90" t="s">
        <v>1247</v>
      </c>
      <c r="I785" s="90" t="s">
        <v>1920</v>
      </c>
      <c r="J785" s="90" t="s">
        <v>1880</v>
      </c>
      <c r="K785" s="90" t="s">
        <v>1875</v>
      </c>
      <c r="L785" s="90" t="s">
        <v>1876</v>
      </c>
      <c r="M785" s="95" t="s">
        <v>1679</v>
      </c>
      <c r="N785" s="90" t="s">
        <v>1921</v>
      </c>
    </row>
    <row r="786" spans="1:14" ht="16.5">
      <c r="A786" s="90">
        <v>783</v>
      </c>
      <c r="B786" s="91">
        <v>232</v>
      </c>
      <c r="C786" s="90" t="s">
        <v>319</v>
      </c>
      <c r="D786" s="1" t="s">
        <v>1925</v>
      </c>
      <c r="E786" s="50" t="s">
        <v>1936</v>
      </c>
      <c r="F786" s="90" t="s">
        <v>1872</v>
      </c>
      <c r="G786" s="90" t="s">
        <v>1682</v>
      </c>
      <c r="H786" s="90" t="s">
        <v>1247</v>
      </c>
      <c r="I786" s="90" t="s">
        <v>1920</v>
      </c>
      <c r="J786" s="90" t="s">
        <v>1880</v>
      </c>
      <c r="K786" s="90" t="s">
        <v>1875</v>
      </c>
      <c r="L786" s="90" t="s">
        <v>1876</v>
      </c>
      <c r="M786" s="95" t="s">
        <v>1679</v>
      </c>
      <c r="N786" s="90" t="s">
        <v>1680</v>
      </c>
    </row>
    <row r="787" spans="1:14" ht="16.5">
      <c r="A787" s="90">
        <v>784</v>
      </c>
      <c r="B787" s="47">
        <v>233</v>
      </c>
      <c r="C787" s="50" t="s">
        <v>593</v>
      </c>
      <c r="D787" s="1" t="s">
        <v>1925</v>
      </c>
      <c r="E787" s="50" t="s">
        <v>1936</v>
      </c>
      <c r="F787" s="90">
        <v>50</v>
      </c>
      <c r="G787" s="90">
        <v>30</v>
      </c>
      <c r="H787" s="90">
        <v>10</v>
      </c>
      <c r="I787" s="90">
        <v>30</v>
      </c>
      <c r="J787" s="90">
        <v>40</v>
      </c>
      <c r="K787" s="90">
        <v>60</v>
      </c>
      <c r="L787" s="90">
        <v>65</v>
      </c>
      <c r="M787" s="95">
        <v>1</v>
      </c>
      <c r="N787" s="90">
        <v>3</v>
      </c>
    </row>
    <row r="788" spans="1:14" ht="16.5">
      <c r="A788" s="90">
        <v>785</v>
      </c>
      <c r="B788" s="47">
        <v>237</v>
      </c>
      <c r="C788" s="50" t="s">
        <v>565</v>
      </c>
      <c r="D788" s="1" t="s">
        <v>1925</v>
      </c>
      <c r="E788" s="50" t="s">
        <v>1936</v>
      </c>
      <c r="F788" s="90" t="s">
        <v>1885</v>
      </c>
      <c r="G788" s="90" t="s">
        <v>1682</v>
      </c>
      <c r="H788" s="90" t="s">
        <v>1247</v>
      </c>
      <c r="I788" s="90" t="s">
        <v>1675</v>
      </c>
      <c r="J788" s="90" t="s">
        <v>1676</v>
      </c>
      <c r="K788" s="90" t="s">
        <v>1886</v>
      </c>
      <c r="L788" s="90" t="s">
        <v>1887</v>
      </c>
      <c r="M788" s="95" t="s">
        <v>1679</v>
      </c>
      <c r="N788" s="90" t="s">
        <v>1680</v>
      </c>
    </row>
    <row r="789" spans="1:14" ht="16.5">
      <c r="A789" s="90">
        <v>786</v>
      </c>
      <c r="B789" s="47">
        <v>213</v>
      </c>
      <c r="C789" s="50" t="s">
        <v>599</v>
      </c>
      <c r="D789" s="1" t="s">
        <v>1925</v>
      </c>
      <c r="E789" s="50" t="s">
        <v>1936</v>
      </c>
      <c r="F789" s="90">
        <v>63</v>
      </c>
      <c r="G789" s="90">
        <v>30</v>
      </c>
      <c r="H789" s="90">
        <v>10</v>
      </c>
      <c r="I789" s="90">
        <v>48</v>
      </c>
      <c r="J789" s="90">
        <v>53</v>
      </c>
      <c r="K789" s="90">
        <v>73</v>
      </c>
      <c r="L789" s="90">
        <v>78</v>
      </c>
      <c r="M789" s="95">
        <v>1</v>
      </c>
      <c r="N789" s="90">
        <v>6</v>
      </c>
    </row>
    <row r="790" spans="1:14" ht="16.5">
      <c r="A790" s="90">
        <v>787</v>
      </c>
      <c r="B790" s="47">
        <v>224</v>
      </c>
      <c r="C790" s="50" t="s">
        <v>369</v>
      </c>
      <c r="D790" s="1" t="s">
        <v>1925</v>
      </c>
      <c r="E790" s="50" t="s">
        <v>1936</v>
      </c>
      <c r="F790" s="90" t="s">
        <v>1872</v>
      </c>
      <c r="G790" s="90" t="s">
        <v>1682</v>
      </c>
      <c r="H790" s="90" t="s">
        <v>1247</v>
      </c>
      <c r="I790" s="90" t="s">
        <v>1920</v>
      </c>
      <c r="J790" s="90" t="s">
        <v>1880</v>
      </c>
      <c r="K790" s="90" t="s">
        <v>1875</v>
      </c>
      <c r="L790" s="90" t="s">
        <v>1876</v>
      </c>
      <c r="M790" s="95" t="s">
        <v>1679</v>
      </c>
      <c r="N790" s="90" t="s">
        <v>1680</v>
      </c>
    </row>
    <row r="791" spans="1:14" ht="16.5">
      <c r="A791" s="90">
        <v>788</v>
      </c>
      <c r="B791" s="47">
        <v>229</v>
      </c>
      <c r="C791" s="50" t="s">
        <v>515</v>
      </c>
      <c r="D791" s="1" t="s">
        <v>1925</v>
      </c>
      <c r="E791" s="50" t="s">
        <v>1936</v>
      </c>
      <c r="F791" s="90" t="s">
        <v>1872</v>
      </c>
      <c r="G791" s="90" t="s">
        <v>1682</v>
      </c>
      <c r="H791" s="90" t="s">
        <v>1247</v>
      </c>
      <c r="I791" s="90" t="s">
        <v>1920</v>
      </c>
      <c r="J791" s="90" t="s">
        <v>1880</v>
      </c>
      <c r="K791" s="90" t="s">
        <v>1875</v>
      </c>
      <c r="L791" s="90" t="s">
        <v>1876</v>
      </c>
      <c r="M791" s="95" t="s">
        <v>1679</v>
      </c>
      <c r="N791" s="90" t="s">
        <v>1870</v>
      </c>
    </row>
    <row r="792" spans="1:14" ht="16.5">
      <c r="A792" s="90">
        <v>789</v>
      </c>
      <c r="B792" s="47">
        <v>231</v>
      </c>
      <c r="C792" s="94" t="s">
        <v>591</v>
      </c>
      <c r="D792" s="1" t="s">
        <v>1925</v>
      </c>
      <c r="E792" s="50" t="s">
        <v>1936</v>
      </c>
      <c r="F792" s="90" t="s">
        <v>1865</v>
      </c>
      <c r="G792" s="90" t="s">
        <v>1862</v>
      </c>
      <c r="H792" s="90" t="s">
        <v>1888</v>
      </c>
      <c r="I792" s="90" t="s">
        <v>1880</v>
      </c>
      <c r="J792" s="90" t="s">
        <v>1922</v>
      </c>
      <c r="K792" s="90" t="s">
        <v>1923</v>
      </c>
      <c r="L792" s="90" t="s">
        <v>1924</v>
      </c>
      <c r="M792" s="95" t="s">
        <v>1679</v>
      </c>
      <c r="N792" s="90" t="s">
        <v>1891</v>
      </c>
    </row>
    <row r="793" spans="1:14" ht="16.5">
      <c r="A793" s="90">
        <v>790</v>
      </c>
      <c r="B793" s="47">
        <v>211</v>
      </c>
      <c r="C793" s="50" t="s">
        <v>605</v>
      </c>
      <c r="D793" s="1" t="s">
        <v>1925</v>
      </c>
      <c r="E793" s="50" t="s">
        <v>1936</v>
      </c>
      <c r="F793" s="90">
        <v>60</v>
      </c>
      <c r="G793" s="90">
        <v>30</v>
      </c>
      <c r="H793" s="90">
        <v>10</v>
      </c>
      <c r="I793" s="90">
        <v>45</v>
      </c>
      <c r="J793" s="90">
        <v>50</v>
      </c>
      <c r="K793" s="90">
        <v>70</v>
      </c>
      <c r="L793" s="90">
        <v>75</v>
      </c>
      <c r="M793" s="95">
        <v>1</v>
      </c>
      <c r="N793" s="90">
        <v>5.5</v>
      </c>
    </row>
    <row r="794" spans="1:14" ht="16.5">
      <c r="A794" s="90">
        <v>791</v>
      </c>
      <c r="B794" s="47">
        <v>212</v>
      </c>
      <c r="C794" s="50" t="s">
        <v>394</v>
      </c>
      <c r="D794" s="1" t="s">
        <v>1925</v>
      </c>
      <c r="E794" s="50" t="s">
        <v>1936</v>
      </c>
      <c r="F794" s="90" t="s">
        <v>1898</v>
      </c>
      <c r="G794" s="90" t="s">
        <v>1862</v>
      </c>
      <c r="H794" s="90" t="s">
        <v>1888</v>
      </c>
      <c r="I794" s="90" t="s">
        <v>1899</v>
      </c>
      <c r="J794" s="90" t="s">
        <v>1889</v>
      </c>
      <c r="K794" s="90" t="s">
        <v>1900</v>
      </c>
      <c r="L794" s="90" t="s">
        <v>1901</v>
      </c>
      <c r="M794" s="95" t="s">
        <v>1679</v>
      </c>
      <c r="N794" s="90" t="s">
        <v>1902</v>
      </c>
    </row>
    <row r="795" spans="1:14" ht="16.5">
      <c r="A795" s="90">
        <v>792</v>
      </c>
      <c r="B795" s="47">
        <v>300</v>
      </c>
      <c r="C795" s="50" t="s">
        <v>1896</v>
      </c>
      <c r="D795" s="1" t="s">
        <v>1925</v>
      </c>
      <c r="E795" s="50" t="s">
        <v>1936</v>
      </c>
      <c r="F795" s="90">
        <v>35</v>
      </c>
      <c r="G795" s="90">
        <v>30</v>
      </c>
      <c r="H795" s="90">
        <v>10</v>
      </c>
      <c r="I795" s="90">
        <v>27</v>
      </c>
      <c r="J795" s="90">
        <v>32</v>
      </c>
      <c r="K795" s="90">
        <v>52</v>
      </c>
      <c r="L795" s="90">
        <v>57</v>
      </c>
      <c r="M795" s="95">
        <v>1</v>
      </c>
      <c r="N795" s="90">
        <v>6</v>
      </c>
    </row>
    <row r="796" spans="1:14" ht="16.5">
      <c r="A796" s="90">
        <v>793</v>
      </c>
      <c r="B796" s="47">
        <v>228</v>
      </c>
      <c r="C796" s="50" t="s">
        <v>948</v>
      </c>
      <c r="D796" s="1" t="s">
        <v>1925</v>
      </c>
      <c r="E796" s="50" t="s">
        <v>1936</v>
      </c>
      <c r="F796" s="90" t="s">
        <v>1872</v>
      </c>
      <c r="G796" s="90" t="s">
        <v>1682</v>
      </c>
      <c r="H796" s="90" t="s">
        <v>1247</v>
      </c>
      <c r="I796" s="90" t="s">
        <v>1873</v>
      </c>
      <c r="J796" s="90" t="s">
        <v>1874</v>
      </c>
      <c r="K796" s="90" t="s">
        <v>1875</v>
      </c>
      <c r="L796" s="90" t="s">
        <v>1876</v>
      </c>
      <c r="M796" s="95" t="s">
        <v>1679</v>
      </c>
      <c r="N796" s="90" t="s">
        <v>1877</v>
      </c>
    </row>
    <row r="797" spans="1:14" ht="16.5">
      <c r="A797" s="90">
        <v>794</v>
      </c>
      <c r="B797" s="47">
        <v>400</v>
      </c>
      <c r="C797" s="50" t="s">
        <v>1014</v>
      </c>
      <c r="D797" s="1" t="s">
        <v>1925</v>
      </c>
      <c r="E797" s="50" t="s">
        <v>1936</v>
      </c>
      <c r="F797" s="90" t="s">
        <v>1854</v>
      </c>
      <c r="G797" s="90" t="s">
        <v>1871</v>
      </c>
      <c r="H797" s="90" t="s">
        <v>1247</v>
      </c>
      <c r="I797" s="90" t="s">
        <v>1855</v>
      </c>
      <c r="J797" s="90" t="s">
        <v>1856</v>
      </c>
      <c r="K797" s="90" t="s">
        <v>1857</v>
      </c>
      <c r="L797" s="90" t="s">
        <v>1858</v>
      </c>
      <c r="M797" s="95" t="s">
        <v>1679</v>
      </c>
      <c r="N797" s="90" t="s">
        <v>1859</v>
      </c>
    </row>
    <row r="798" spans="1:14" ht="16.5">
      <c r="A798" s="90">
        <v>795</v>
      </c>
      <c r="B798" s="47">
        <v>400</v>
      </c>
      <c r="C798" s="50" t="s">
        <v>1014</v>
      </c>
      <c r="D798" s="50" t="s">
        <v>1852</v>
      </c>
      <c r="E798" s="50" t="s">
        <v>1936</v>
      </c>
      <c r="F798" s="90" t="s">
        <v>1854</v>
      </c>
      <c r="G798" s="90" t="s">
        <v>1871</v>
      </c>
      <c r="H798" s="90" t="s">
        <v>1247</v>
      </c>
      <c r="I798" s="90" t="s">
        <v>1855</v>
      </c>
      <c r="J798" s="90" t="s">
        <v>1856</v>
      </c>
      <c r="K798" s="90" t="s">
        <v>1857</v>
      </c>
      <c r="L798" s="90" t="s">
        <v>1858</v>
      </c>
      <c r="M798" s="95" t="s">
        <v>1679</v>
      </c>
      <c r="N798" s="90" t="s">
        <v>1859</v>
      </c>
    </row>
    <row r="799" spans="1:14" ht="16.5">
      <c r="A799" s="90">
        <v>796</v>
      </c>
      <c r="B799" s="47">
        <v>400</v>
      </c>
      <c r="C799" s="50" t="s">
        <v>1014</v>
      </c>
      <c r="D799" s="50" t="s">
        <v>1897</v>
      </c>
      <c r="E799" s="50" t="s">
        <v>1936</v>
      </c>
      <c r="F799" s="90" t="s">
        <v>1854</v>
      </c>
      <c r="G799" s="90" t="s">
        <v>1871</v>
      </c>
      <c r="H799" s="90" t="s">
        <v>1247</v>
      </c>
      <c r="I799" s="90" t="s">
        <v>1855</v>
      </c>
      <c r="J799" s="90" t="s">
        <v>1856</v>
      </c>
      <c r="K799" s="90" t="s">
        <v>1857</v>
      </c>
      <c r="L799" s="90" t="s">
        <v>1858</v>
      </c>
      <c r="M799" s="95" t="s">
        <v>1679</v>
      </c>
      <c r="N799" s="90" t="s">
        <v>1859</v>
      </c>
    </row>
    <row r="800" spans="1:14" ht="16.5">
      <c r="A800" s="90">
        <v>797</v>
      </c>
      <c r="B800" s="47">
        <v>400</v>
      </c>
      <c r="C800" s="50" t="s">
        <v>1014</v>
      </c>
      <c r="D800" s="50" t="s">
        <v>1903</v>
      </c>
      <c r="E800" s="50" t="s">
        <v>1936</v>
      </c>
      <c r="F800" s="90" t="s">
        <v>1854</v>
      </c>
      <c r="G800" s="90" t="s">
        <v>1871</v>
      </c>
      <c r="H800" s="90" t="s">
        <v>1247</v>
      </c>
      <c r="I800" s="90" t="s">
        <v>1855</v>
      </c>
      <c r="J800" s="90" t="s">
        <v>1856</v>
      </c>
      <c r="K800" s="90" t="s">
        <v>1857</v>
      </c>
      <c r="L800" s="90" t="s">
        <v>1858</v>
      </c>
      <c r="M800" s="95" t="s">
        <v>1679</v>
      </c>
      <c r="N800" s="90" t="s">
        <v>1859</v>
      </c>
    </row>
    <row r="801" spans="1:14" ht="16.5">
      <c r="A801" s="90">
        <v>798</v>
      </c>
      <c r="B801" s="47">
        <v>400</v>
      </c>
      <c r="C801" s="50" t="s">
        <v>1014</v>
      </c>
      <c r="D801" s="50" t="s">
        <v>1905</v>
      </c>
      <c r="E801" s="50" t="s">
        <v>1936</v>
      </c>
      <c r="F801" s="90" t="s">
        <v>1854</v>
      </c>
      <c r="G801" s="90" t="s">
        <v>1871</v>
      </c>
      <c r="H801" s="90" t="s">
        <v>1247</v>
      </c>
      <c r="I801" s="90" t="s">
        <v>1855</v>
      </c>
      <c r="J801" s="90" t="s">
        <v>1856</v>
      </c>
      <c r="K801" s="90" t="s">
        <v>1857</v>
      </c>
      <c r="L801" s="90" t="s">
        <v>1858</v>
      </c>
      <c r="M801" s="95" t="s">
        <v>1679</v>
      </c>
      <c r="N801" s="90" t="s">
        <v>1859</v>
      </c>
    </row>
    <row r="802" spans="1:14" ht="16.5">
      <c r="A802" s="90">
        <v>799</v>
      </c>
      <c r="B802" s="47">
        <v>400</v>
      </c>
      <c r="C802" s="50" t="s">
        <v>1014</v>
      </c>
      <c r="D802" s="1" t="s">
        <v>1925</v>
      </c>
      <c r="E802" s="50" t="s">
        <v>1936</v>
      </c>
      <c r="F802" s="90" t="s">
        <v>1854</v>
      </c>
      <c r="G802" s="90" t="s">
        <v>1871</v>
      </c>
      <c r="H802" s="90" t="s">
        <v>1247</v>
      </c>
      <c r="I802" s="90" t="s">
        <v>1855</v>
      </c>
      <c r="J802" s="90" t="s">
        <v>1856</v>
      </c>
      <c r="K802" s="90" t="s">
        <v>1857</v>
      </c>
      <c r="L802" s="90" t="s">
        <v>1858</v>
      </c>
      <c r="M802" s="95" t="s">
        <v>1679</v>
      </c>
      <c r="N802" s="90" t="s">
        <v>1859</v>
      </c>
    </row>
    <row r="803" spans="1:14" ht="16.5">
      <c r="A803" s="90">
        <v>800</v>
      </c>
      <c r="B803" s="47">
        <v>404</v>
      </c>
      <c r="C803" s="50" t="s">
        <v>1019</v>
      </c>
      <c r="D803" s="50" t="s">
        <v>1852</v>
      </c>
      <c r="E803" s="50" t="s">
        <v>1936</v>
      </c>
      <c r="F803" s="90" t="s">
        <v>1854</v>
      </c>
      <c r="G803" s="90" t="s">
        <v>1871</v>
      </c>
      <c r="H803" s="90" t="s">
        <v>1247</v>
      </c>
      <c r="I803" s="90" t="s">
        <v>1855</v>
      </c>
      <c r="J803" s="90" t="s">
        <v>1856</v>
      </c>
      <c r="K803" s="90" t="s">
        <v>1857</v>
      </c>
      <c r="L803" s="90" t="s">
        <v>1858</v>
      </c>
      <c r="M803" s="95" t="s">
        <v>1679</v>
      </c>
      <c r="N803" s="90" t="s">
        <v>1859</v>
      </c>
    </row>
    <row r="804" spans="1:14" ht="16.5">
      <c r="A804" s="90">
        <v>801</v>
      </c>
      <c r="B804" s="47">
        <v>404</v>
      </c>
      <c r="C804" s="50" t="s">
        <v>1019</v>
      </c>
      <c r="D804" s="50" t="s">
        <v>1897</v>
      </c>
      <c r="E804" s="50" t="s">
        <v>1936</v>
      </c>
      <c r="F804" s="90" t="s">
        <v>1854</v>
      </c>
      <c r="G804" s="90" t="s">
        <v>1871</v>
      </c>
      <c r="H804" s="90" t="s">
        <v>1247</v>
      </c>
      <c r="I804" s="90" t="s">
        <v>1855</v>
      </c>
      <c r="J804" s="90" t="s">
        <v>1856</v>
      </c>
      <c r="K804" s="90" t="s">
        <v>1857</v>
      </c>
      <c r="L804" s="90" t="s">
        <v>1858</v>
      </c>
      <c r="M804" s="95" t="s">
        <v>1679</v>
      </c>
      <c r="N804" s="90" t="s">
        <v>1859</v>
      </c>
    </row>
    <row r="805" spans="1:14" ht="16.5">
      <c r="A805" s="90">
        <v>802</v>
      </c>
      <c r="B805" s="47">
        <v>404</v>
      </c>
      <c r="C805" s="50" t="s">
        <v>1019</v>
      </c>
      <c r="D805" s="50" t="s">
        <v>1903</v>
      </c>
      <c r="E805" s="50" t="s">
        <v>1936</v>
      </c>
      <c r="F805" s="90" t="s">
        <v>1854</v>
      </c>
      <c r="G805" s="90" t="s">
        <v>1871</v>
      </c>
      <c r="H805" s="90" t="s">
        <v>1247</v>
      </c>
      <c r="I805" s="90" t="s">
        <v>1855</v>
      </c>
      <c r="J805" s="90" t="s">
        <v>1856</v>
      </c>
      <c r="K805" s="90" t="s">
        <v>1857</v>
      </c>
      <c r="L805" s="90" t="s">
        <v>1858</v>
      </c>
      <c r="M805" s="95" t="s">
        <v>1679</v>
      </c>
      <c r="N805" s="90" t="s">
        <v>1859</v>
      </c>
    </row>
    <row r="806" spans="1:14" ht="16.5">
      <c r="A806" s="90">
        <v>803</v>
      </c>
      <c r="B806" s="47">
        <v>404</v>
      </c>
      <c r="C806" s="50" t="s">
        <v>1019</v>
      </c>
      <c r="D806" s="50" t="s">
        <v>1905</v>
      </c>
      <c r="E806" s="50" t="s">
        <v>1936</v>
      </c>
      <c r="F806" s="90" t="s">
        <v>1854</v>
      </c>
      <c r="G806" s="90" t="s">
        <v>1871</v>
      </c>
      <c r="H806" s="90" t="s">
        <v>1247</v>
      </c>
      <c r="I806" s="90" t="s">
        <v>1855</v>
      </c>
      <c r="J806" s="90" t="s">
        <v>1856</v>
      </c>
      <c r="K806" s="90" t="s">
        <v>1857</v>
      </c>
      <c r="L806" s="90" t="s">
        <v>1858</v>
      </c>
      <c r="M806" s="95" t="s">
        <v>1679</v>
      </c>
      <c r="N806" s="90" t="s">
        <v>1859</v>
      </c>
    </row>
    <row r="807" spans="1:14" ht="16.5">
      <c r="A807" s="90">
        <v>804</v>
      </c>
      <c r="B807" s="47">
        <v>404</v>
      </c>
      <c r="C807" s="50" t="s">
        <v>1019</v>
      </c>
      <c r="D807" s="1" t="s">
        <v>1925</v>
      </c>
      <c r="E807" s="50" t="s">
        <v>1936</v>
      </c>
      <c r="F807" s="90" t="s">
        <v>1854</v>
      </c>
      <c r="G807" s="90" t="s">
        <v>1871</v>
      </c>
      <c r="H807" s="90" t="s">
        <v>1247</v>
      </c>
      <c r="I807" s="90" t="s">
        <v>1855</v>
      </c>
      <c r="J807" s="90" t="s">
        <v>1856</v>
      </c>
      <c r="K807" s="90" t="s">
        <v>1857</v>
      </c>
      <c r="L807" s="90" t="s">
        <v>1858</v>
      </c>
      <c r="M807" s="95" t="s">
        <v>1679</v>
      </c>
      <c r="N807" s="90" t="s">
        <v>1859</v>
      </c>
    </row>
    <row r="808" spans="1:14" ht="16.5">
      <c r="A808" s="90">
        <v>805</v>
      </c>
      <c r="B808" s="47">
        <v>409</v>
      </c>
      <c r="C808" s="50" t="s">
        <v>1019</v>
      </c>
      <c r="D808" s="50" t="s">
        <v>1852</v>
      </c>
      <c r="E808" s="50" t="s">
        <v>1936</v>
      </c>
      <c r="F808" s="90" t="s">
        <v>1854</v>
      </c>
      <c r="G808" s="90" t="s">
        <v>1871</v>
      </c>
      <c r="H808" s="90" t="s">
        <v>1247</v>
      </c>
      <c r="I808" s="90" t="s">
        <v>1855</v>
      </c>
      <c r="J808" s="90" t="s">
        <v>1856</v>
      </c>
      <c r="K808" s="90" t="s">
        <v>1857</v>
      </c>
      <c r="L808" s="90" t="s">
        <v>1858</v>
      </c>
      <c r="M808" s="95" t="s">
        <v>1679</v>
      </c>
      <c r="N808" s="90" t="s">
        <v>1859</v>
      </c>
    </row>
    <row r="809" spans="1:14" ht="16.5">
      <c r="A809" s="90">
        <v>806</v>
      </c>
      <c r="B809" s="47">
        <v>409</v>
      </c>
      <c r="C809" s="50" t="s">
        <v>1023</v>
      </c>
      <c r="D809" s="50" t="s">
        <v>1897</v>
      </c>
      <c r="E809" s="50" t="s">
        <v>1936</v>
      </c>
      <c r="F809" s="90" t="s">
        <v>1854</v>
      </c>
      <c r="G809" s="90" t="s">
        <v>1871</v>
      </c>
      <c r="H809" s="90" t="s">
        <v>1247</v>
      </c>
      <c r="I809" s="90" t="s">
        <v>1855</v>
      </c>
      <c r="J809" s="90" t="s">
        <v>1856</v>
      </c>
      <c r="K809" s="90" t="s">
        <v>1857</v>
      </c>
      <c r="L809" s="90" t="s">
        <v>1858</v>
      </c>
      <c r="M809" s="95" t="s">
        <v>1679</v>
      </c>
      <c r="N809" s="90" t="s">
        <v>1859</v>
      </c>
    </row>
    <row r="810" spans="1:14" ht="16.5">
      <c r="A810" s="90">
        <v>807</v>
      </c>
      <c r="B810" s="47">
        <v>409</v>
      </c>
      <c r="C810" s="50" t="s">
        <v>1023</v>
      </c>
      <c r="D810" s="50" t="s">
        <v>1903</v>
      </c>
      <c r="E810" s="50" t="s">
        <v>1936</v>
      </c>
      <c r="F810" s="90" t="s">
        <v>1854</v>
      </c>
      <c r="G810" s="90" t="s">
        <v>1871</v>
      </c>
      <c r="H810" s="90" t="s">
        <v>1247</v>
      </c>
      <c r="I810" s="90" t="s">
        <v>1855</v>
      </c>
      <c r="J810" s="90" t="s">
        <v>1856</v>
      </c>
      <c r="K810" s="90" t="s">
        <v>1857</v>
      </c>
      <c r="L810" s="90" t="s">
        <v>1858</v>
      </c>
      <c r="M810" s="95" t="s">
        <v>1679</v>
      </c>
      <c r="N810" s="90" t="s">
        <v>1859</v>
      </c>
    </row>
    <row r="811" spans="1:14" ht="16.5">
      <c r="A811" s="90">
        <v>808</v>
      </c>
      <c r="B811" s="47">
        <v>409</v>
      </c>
      <c r="C811" s="50" t="s">
        <v>1023</v>
      </c>
      <c r="D811" s="50" t="s">
        <v>1905</v>
      </c>
      <c r="E811" s="50" t="s">
        <v>1936</v>
      </c>
      <c r="F811" s="90" t="s">
        <v>1854</v>
      </c>
      <c r="G811" s="90" t="s">
        <v>1871</v>
      </c>
      <c r="H811" s="90" t="s">
        <v>1247</v>
      </c>
      <c r="I811" s="90" t="s">
        <v>1855</v>
      </c>
      <c r="J811" s="90" t="s">
        <v>1856</v>
      </c>
      <c r="K811" s="90" t="s">
        <v>1857</v>
      </c>
      <c r="L811" s="90" t="s">
        <v>1858</v>
      </c>
      <c r="M811" s="95" t="s">
        <v>1679</v>
      </c>
      <c r="N811" s="90" t="s">
        <v>1859</v>
      </c>
    </row>
    <row r="812" spans="1:14" ht="16.5">
      <c r="A812" s="90">
        <v>809</v>
      </c>
      <c r="B812" s="47">
        <v>409</v>
      </c>
      <c r="C812" s="50" t="s">
        <v>1023</v>
      </c>
      <c r="D812" s="1" t="s">
        <v>1925</v>
      </c>
      <c r="E812" s="50" t="s">
        <v>1936</v>
      </c>
      <c r="F812" s="90" t="s">
        <v>1854</v>
      </c>
      <c r="G812" s="90" t="s">
        <v>1871</v>
      </c>
      <c r="H812" s="90" t="s">
        <v>1247</v>
      </c>
      <c r="I812" s="90" t="s">
        <v>1855</v>
      </c>
      <c r="J812" s="90" t="s">
        <v>1856</v>
      </c>
      <c r="K812" s="90" t="s">
        <v>1857</v>
      </c>
      <c r="L812" s="90" t="s">
        <v>1858</v>
      </c>
      <c r="M812" s="95" t="s">
        <v>1679</v>
      </c>
      <c r="N812" s="90" t="s">
        <v>1859</v>
      </c>
    </row>
    <row r="813" spans="1:14" ht="16.5">
      <c r="A813" s="90">
        <v>810</v>
      </c>
      <c r="B813" s="47">
        <v>410</v>
      </c>
      <c r="C813" s="50" t="s">
        <v>2308</v>
      </c>
      <c r="D813" s="50" t="s">
        <v>1905</v>
      </c>
      <c r="E813" s="50" t="s">
        <v>1936</v>
      </c>
      <c r="F813" s="90" t="s">
        <v>1872</v>
      </c>
      <c r="G813" s="90" t="s">
        <v>1682</v>
      </c>
      <c r="H813" s="90" t="s">
        <v>1247</v>
      </c>
      <c r="I813" s="90" t="s">
        <v>1873</v>
      </c>
      <c r="J813" s="90" t="s">
        <v>1874</v>
      </c>
      <c r="K813" s="90" t="s">
        <v>1875</v>
      </c>
      <c r="L813" s="90" t="s">
        <v>1876</v>
      </c>
      <c r="M813" s="95" t="s">
        <v>1679</v>
      </c>
      <c r="N813" s="90" t="s">
        <v>1877</v>
      </c>
    </row>
    <row r="814" spans="1:14" ht="16.5">
      <c r="A814" s="90">
        <v>811</v>
      </c>
      <c r="B814" s="47">
        <v>410</v>
      </c>
      <c r="C814" s="50" t="s">
        <v>2308</v>
      </c>
      <c r="D814" s="1" t="s">
        <v>1925</v>
      </c>
      <c r="E814" s="50" t="s">
        <v>1936</v>
      </c>
      <c r="F814" s="90" t="s">
        <v>1872</v>
      </c>
      <c r="G814" s="90" t="s">
        <v>1682</v>
      </c>
      <c r="H814" s="90" t="s">
        <v>1247</v>
      </c>
      <c r="I814" s="90" t="s">
        <v>1873</v>
      </c>
      <c r="J814" s="90" t="s">
        <v>1874</v>
      </c>
      <c r="K814" s="90" t="s">
        <v>1875</v>
      </c>
      <c r="L814" s="90" t="s">
        <v>1876</v>
      </c>
      <c r="M814" s="95" t="s">
        <v>1679</v>
      </c>
      <c r="N814" s="90" t="s">
        <v>1877</v>
      </c>
    </row>
    <row r="815" spans="1:14" ht="16.5">
      <c r="A815" s="90">
        <v>812</v>
      </c>
      <c r="B815" s="47">
        <v>202</v>
      </c>
      <c r="C815" s="50" t="s">
        <v>154</v>
      </c>
      <c r="D815" s="50" t="s">
        <v>1852</v>
      </c>
      <c r="E815" s="50" t="s">
        <v>1937</v>
      </c>
      <c r="F815" s="90" t="s">
        <v>1854</v>
      </c>
      <c r="G815" s="90" t="s">
        <v>1674</v>
      </c>
      <c r="H815" s="90" t="s">
        <v>1247</v>
      </c>
      <c r="I815" s="90" t="s">
        <v>1855</v>
      </c>
      <c r="J815" s="90" t="s">
        <v>1856</v>
      </c>
      <c r="K815" s="90" t="s">
        <v>1857</v>
      </c>
      <c r="L815" s="90" t="s">
        <v>1858</v>
      </c>
      <c r="M815" s="95" t="s">
        <v>1679</v>
      </c>
      <c r="N815" s="90" t="s">
        <v>1859</v>
      </c>
    </row>
    <row r="816" spans="1:14" ht="16.5">
      <c r="A816" s="90">
        <v>813</v>
      </c>
      <c r="B816" s="91">
        <v>203</v>
      </c>
      <c r="C816" s="90" t="s">
        <v>202</v>
      </c>
      <c r="D816" s="50" t="s">
        <v>1852</v>
      </c>
      <c r="E816" s="50" t="s">
        <v>1937</v>
      </c>
      <c r="F816" s="90" t="s">
        <v>1860</v>
      </c>
      <c r="G816" s="90" t="s">
        <v>1682</v>
      </c>
      <c r="H816" s="90" t="s">
        <v>1247</v>
      </c>
      <c r="I816" s="90" t="s">
        <v>1861</v>
      </c>
      <c r="J816" s="90" t="s">
        <v>1862</v>
      </c>
      <c r="K816" s="90" t="s">
        <v>1863</v>
      </c>
      <c r="L816" s="90" t="s">
        <v>1864</v>
      </c>
      <c r="M816" s="95" t="s">
        <v>1679</v>
      </c>
      <c r="N816" s="90" t="s">
        <v>1680</v>
      </c>
    </row>
    <row r="817" spans="1:14" ht="16.5">
      <c r="A817" s="90">
        <v>814</v>
      </c>
      <c r="B817" s="47">
        <v>204</v>
      </c>
      <c r="C817" s="50" t="s">
        <v>226</v>
      </c>
      <c r="D817" s="50" t="s">
        <v>1852</v>
      </c>
      <c r="E817" s="50" t="s">
        <v>1937</v>
      </c>
      <c r="F817" s="90" t="s">
        <v>1854</v>
      </c>
      <c r="G817" s="90" t="s">
        <v>1674</v>
      </c>
      <c r="H817" s="90" t="s">
        <v>1247</v>
      </c>
      <c r="I817" s="90" t="s">
        <v>1855</v>
      </c>
      <c r="J817" s="90" t="s">
        <v>1856</v>
      </c>
      <c r="K817" s="90" t="s">
        <v>1857</v>
      </c>
      <c r="L817" s="90" t="s">
        <v>1858</v>
      </c>
      <c r="M817" s="95" t="s">
        <v>1679</v>
      </c>
      <c r="N817" s="90" t="s">
        <v>1680</v>
      </c>
    </row>
    <row r="818" spans="1:14" ht="16.5">
      <c r="A818" s="90">
        <v>815</v>
      </c>
      <c r="B818" s="47">
        <v>205</v>
      </c>
      <c r="C818" s="50" t="s">
        <v>249</v>
      </c>
      <c r="D818" s="50" t="s">
        <v>1852</v>
      </c>
      <c r="E818" s="50" t="s">
        <v>1937</v>
      </c>
      <c r="F818" s="90" t="s">
        <v>1854</v>
      </c>
      <c r="G818" s="90" t="s">
        <v>1674</v>
      </c>
      <c r="H818" s="90" t="s">
        <v>1247</v>
      </c>
      <c r="I818" s="90" t="s">
        <v>1855</v>
      </c>
      <c r="J818" s="90" t="s">
        <v>1856</v>
      </c>
      <c r="K818" s="90" t="s">
        <v>1857</v>
      </c>
      <c r="L818" s="90" t="s">
        <v>1858</v>
      </c>
      <c r="M818" s="95" t="s">
        <v>1679</v>
      </c>
      <c r="N818" s="90" t="s">
        <v>1859</v>
      </c>
    </row>
    <row r="819" spans="1:14" ht="16.5">
      <c r="A819" s="90">
        <v>816</v>
      </c>
      <c r="B819" s="47">
        <v>207</v>
      </c>
      <c r="C819" s="50" t="s">
        <v>595</v>
      </c>
      <c r="D819" s="50" t="s">
        <v>1852</v>
      </c>
      <c r="E819" s="50" t="s">
        <v>1937</v>
      </c>
      <c r="F819" s="90">
        <v>50</v>
      </c>
      <c r="G819" s="90">
        <v>30</v>
      </c>
      <c r="H819" s="90">
        <v>10</v>
      </c>
      <c r="I819" s="90">
        <v>30</v>
      </c>
      <c r="J819" s="90">
        <v>40</v>
      </c>
      <c r="K819" s="90">
        <v>60</v>
      </c>
      <c r="L819" s="90">
        <v>65</v>
      </c>
      <c r="M819" s="95">
        <v>1</v>
      </c>
      <c r="N819" s="90">
        <v>3</v>
      </c>
    </row>
    <row r="820" spans="1:14" ht="16.5">
      <c r="A820" s="90">
        <v>817</v>
      </c>
      <c r="B820" s="47">
        <v>208</v>
      </c>
      <c r="C820" s="50" t="s">
        <v>589</v>
      </c>
      <c r="D820" s="50" t="s">
        <v>1852</v>
      </c>
      <c r="E820" s="50" t="s">
        <v>1937</v>
      </c>
      <c r="F820" s="90">
        <v>53</v>
      </c>
      <c r="G820" s="90">
        <v>50</v>
      </c>
      <c r="H820" s="90">
        <v>1</v>
      </c>
      <c r="I820" s="90">
        <v>20</v>
      </c>
      <c r="J820" s="90">
        <v>35</v>
      </c>
      <c r="K820" s="90">
        <v>63</v>
      </c>
      <c r="L820" s="90">
        <v>68</v>
      </c>
      <c r="M820" s="95">
        <v>1</v>
      </c>
      <c r="N820" s="90">
        <v>8</v>
      </c>
    </row>
    <row r="821" spans="1:14" ht="16.5">
      <c r="A821" s="90">
        <v>818</v>
      </c>
      <c r="B821" s="47">
        <v>215</v>
      </c>
      <c r="C821" s="50" t="s">
        <v>418</v>
      </c>
      <c r="D821" s="50" t="s">
        <v>1852</v>
      </c>
      <c r="E821" s="50" t="s">
        <v>1937</v>
      </c>
      <c r="F821" s="90" t="s">
        <v>1865</v>
      </c>
      <c r="G821" s="90" t="s">
        <v>1682</v>
      </c>
      <c r="H821" s="90" t="s">
        <v>1247</v>
      </c>
      <c r="I821" s="90" t="s">
        <v>1866</v>
      </c>
      <c r="J821" s="90" t="s">
        <v>1867</v>
      </c>
      <c r="K821" s="90" t="s">
        <v>1868</v>
      </c>
      <c r="L821" s="90" t="s">
        <v>1869</v>
      </c>
      <c r="M821" s="95" t="s">
        <v>1679</v>
      </c>
      <c r="N821" s="90" t="s">
        <v>1870</v>
      </c>
    </row>
    <row r="822" spans="1:14" ht="16.5">
      <c r="A822" s="90">
        <v>819</v>
      </c>
      <c r="B822" s="47">
        <v>222</v>
      </c>
      <c r="C822" s="50" t="s">
        <v>442</v>
      </c>
      <c r="D822" s="50" t="s">
        <v>1852</v>
      </c>
      <c r="E822" s="50" t="s">
        <v>1937</v>
      </c>
      <c r="F822" s="90" t="s">
        <v>1854</v>
      </c>
      <c r="G822" s="90" t="s">
        <v>1871</v>
      </c>
      <c r="H822" s="90" t="s">
        <v>1247</v>
      </c>
      <c r="I822" s="90" t="s">
        <v>1855</v>
      </c>
      <c r="J822" s="90" t="s">
        <v>1856</v>
      </c>
      <c r="K822" s="90" t="s">
        <v>1857</v>
      </c>
      <c r="L822" s="90" t="s">
        <v>1858</v>
      </c>
      <c r="M822" s="95" t="s">
        <v>1679</v>
      </c>
      <c r="N822" s="90" t="s">
        <v>1859</v>
      </c>
    </row>
    <row r="823" spans="1:14" ht="16.5">
      <c r="A823" s="90">
        <v>820</v>
      </c>
      <c r="B823" s="47">
        <v>223</v>
      </c>
      <c r="C823" s="50" t="s">
        <v>918</v>
      </c>
      <c r="D823" s="50" t="s">
        <v>1852</v>
      </c>
      <c r="E823" s="50" t="s">
        <v>1937</v>
      </c>
      <c r="F823" s="90">
        <v>28</v>
      </c>
      <c r="G823" s="90">
        <v>30</v>
      </c>
      <c r="H823" s="90">
        <v>10</v>
      </c>
      <c r="I823" s="90">
        <v>17</v>
      </c>
      <c r="J823" s="90">
        <v>22</v>
      </c>
      <c r="K823" s="90">
        <v>33</v>
      </c>
      <c r="L823" s="90">
        <v>38</v>
      </c>
      <c r="M823" s="95">
        <v>1</v>
      </c>
      <c r="N823" s="90">
        <v>2</v>
      </c>
    </row>
    <row r="824" spans="1:14" ht="16.5">
      <c r="A824" s="90">
        <v>821</v>
      </c>
      <c r="B824" s="47">
        <v>226</v>
      </c>
      <c r="C824" s="92" t="s">
        <v>469</v>
      </c>
      <c r="D824" s="50" t="s">
        <v>1852</v>
      </c>
      <c r="E824" s="50" t="s">
        <v>1937</v>
      </c>
      <c r="F824" s="90" t="s">
        <v>1872</v>
      </c>
      <c r="G824" s="90" t="s">
        <v>1682</v>
      </c>
      <c r="H824" s="90" t="s">
        <v>1247</v>
      </c>
      <c r="I824" s="90" t="s">
        <v>1873</v>
      </c>
      <c r="J824" s="90" t="s">
        <v>1874</v>
      </c>
      <c r="K824" s="90" t="s">
        <v>1875</v>
      </c>
      <c r="L824" s="90" t="s">
        <v>1876</v>
      </c>
      <c r="M824" s="95" t="s">
        <v>1679</v>
      </c>
      <c r="N824" s="90" t="s">
        <v>1877</v>
      </c>
    </row>
    <row r="825" spans="1:14" ht="16.5">
      <c r="A825" s="90">
        <v>822</v>
      </c>
      <c r="B825" s="91">
        <v>227</v>
      </c>
      <c r="C825" s="93" t="s">
        <v>493</v>
      </c>
      <c r="D825" s="50" t="s">
        <v>1852</v>
      </c>
      <c r="E825" s="50" t="s">
        <v>1937</v>
      </c>
      <c r="F825" s="90" t="s">
        <v>1872</v>
      </c>
      <c r="G825" s="90" t="s">
        <v>1682</v>
      </c>
      <c r="H825" s="90" t="s">
        <v>1247</v>
      </c>
      <c r="I825" s="90" t="s">
        <v>1873</v>
      </c>
      <c r="J825" s="90" t="s">
        <v>1874</v>
      </c>
      <c r="K825" s="90" t="s">
        <v>1875</v>
      </c>
      <c r="L825" s="90" t="s">
        <v>1876</v>
      </c>
      <c r="M825" s="95" t="s">
        <v>1679</v>
      </c>
      <c r="N825" s="90" t="s">
        <v>1870</v>
      </c>
    </row>
    <row r="826" spans="1:14" ht="16.5">
      <c r="A826" s="90">
        <v>823</v>
      </c>
      <c r="B826" s="47">
        <v>234</v>
      </c>
      <c r="C826" s="50" t="s">
        <v>1878</v>
      </c>
      <c r="D826" s="50" t="s">
        <v>1852</v>
      </c>
      <c r="E826" s="50" t="s">
        <v>1937</v>
      </c>
      <c r="F826" s="90" t="s">
        <v>1854</v>
      </c>
      <c r="G826" s="90" t="s">
        <v>1674</v>
      </c>
      <c r="H826" s="90" t="s">
        <v>1247</v>
      </c>
      <c r="I826" s="90" t="s">
        <v>1855</v>
      </c>
      <c r="J826" s="90" t="s">
        <v>1856</v>
      </c>
      <c r="K826" s="90" t="s">
        <v>1857</v>
      </c>
      <c r="L826" s="90" t="s">
        <v>1858</v>
      </c>
      <c r="M826" s="95" t="s">
        <v>1679</v>
      </c>
      <c r="N826" s="90" t="s">
        <v>1859</v>
      </c>
    </row>
    <row r="827" spans="1:14" ht="16.5">
      <c r="A827" s="90">
        <v>824</v>
      </c>
      <c r="B827" s="47">
        <v>235</v>
      </c>
      <c r="C827" s="50" t="s">
        <v>601</v>
      </c>
      <c r="D827" s="50" t="s">
        <v>1852</v>
      </c>
      <c r="E827" s="50" t="s">
        <v>1937</v>
      </c>
      <c r="F827" s="90">
        <v>50</v>
      </c>
      <c r="G827" s="90">
        <v>30</v>
      </c>
      <c r="H827" s="90">
        <v>10</v>
      </c>
      <c r="I827" s="90">
        <v>30</v>
      </c>
      <c r="J827" s="90">
        <v>40</v>
      </c>
      <c r="K827" s="90">
        <v>60</v>
      </c>
      <c r="L827" s="90">
        <v>65</v>
      </c>
      <c r="M827" s="95">
        <v>1</v>
      </c>
      <c r="N827" s="90">
        <v>3</v>
      </c>
    </row>
    <row r="828" spans="1:14" ht="16.5">
      <c r="A828" s="90">
        <v>825</v>
      </c>
      <c r="B828" s="47">
        <v>236</v>
      </c>
      <c r="C828" s="50" t="s">
        <v>1688</v>
      </c>
      <c r="D828" s="50" t="s">
        <v>1852</v>
      </c>
      <c r="E828" s="50" t="s">
        <v>1937</v>
      </c>
      <c r="F828" s="90">
        <v>50</v>
      </c>
      <c r="G828" s="90">
        <v>30</v>
      </c>
      <c r="H828" s="90">
        <v>10</v>
      </c>
      <c r="I828" s="90">
        <v>30</v>
      </c>
      <c r="J828" s="90">
        <v>40</v>
      </c>
      <c r="K828" s="90">
        <v>60</v>
      </c>
      <c r="L828" s="90">
        <v>65</v>
      </c>
      <c r="M828" s="95">
        <v>1</v>
      </c>
      <c r="N828" s="90">
        <v>8</v>
      </c>
    </row>
    <row r="829" spans="1:14" ht="16.5">
      <c r="A829" s="90">
        <v>826</v>
      </c>
      <c r="B829" s="91">
        <v>201</v>
      </c>
      <c r="C829" s="90" t="s">
        <v>66</v>
      </c>
      <c r="D829" s="50" t="s">
        <v>1852</v>
      </c>
      <c r="E829" s="50" t="s">
        <v>1937</v>
      </c>
      <c r="F829" s="90" t="s">
        <v>1872</v>
      </c>
      <c r="G829" s="90" t="s">
        <v>1682</v>
      </c>
      <c r="H829" s="90" t="s">
        <v>1247</v>
      </c>
      <c r="I829" s="90" t="s">
        <v>1879</v>
      </c>
      <c r="J829" s="90" t="s">
        <v>1880</v>
      </c>
      <c r="K829" s="90" t="s">
        <v>1875</v>
      </c>
      <c r="L829" s="90" t="s">
        <v>1876</v>
      </c>
      <c r="M829" s="95" t="s">
        <v>1679</v>
      </c>
      <c r="N829" s="90" t="s">
        <v>1680</v>
      </c>
    </row>
    <row r="830" spans="1:14" ht="16.5">
      <c r="A830" s="90">
        <v>827</v>
      </c>
      <c r="B830" s="91">
        <v>206</v>
      </c>
      <c r="C830" s="90" t="s">
        <v>293</v>
      </c>
      <c r="D830" s="50" t="s">
        <v>1852</v>
      </c>
      <c r="E830" s="50" t="s">
        <v>1937</v>
      </c>
      <c r="F830" s="90" t="s">
        <v>1860</v>
      </c>
      <c r="G830" s="90" t="s">
        <v>1682</v>
      </c>
      <c r="H830" s="90" t="s">
        <v>1247</v>
      </c>
      <c r="I830" s="90" t="s">
        <v>1861</v>
      </c>
      <c r="J830" s="90" t="s">
        <v>1862</v>
      </c>
      <c r="K830" s="90" t="s">
        <v>1863</v>
      </c>
      <c r="L830" s="90" t="s">
        <v>1864</v>
      </c>
      <c r="M830" s="95" t="s">
        <v>1679</v>
      </c>
      <c r="N830" s="90" t="s">
        <v>1680</v>
      </c>
    </row>
    <row r="831" spans="1:14" ht="16.5">
      <c r="A831" s="90">
        <v>828</v>
      </c>
      <c r="B831" s="47">
        <v>209</v>
      </c>
      <c r="C831" s="50" t="s">
        <v>344</v>
      </c>
      <c r="D831" s="50" t="s">
        <v>1852</v>
      </c>
      <c r="E831" s="50" t="s">
        <v>1937</v>
      </c>
      <c r="F831" s="90" t="s">
        <v>1860</v>
      </c>
      <c r="G831" s="90" t="s">
        <v>1682</v>
      </c>
      <c r="H831" s="90" t="s">
        <v>1247</v>
      </c>
      <c r="I831" s="90" t="s">
        <v>1861</v>
      </c>
      <c r="J831" s="90" t="s">
        <v>1862</v>
      </c>
      <c r="K831" s="90" t="s">
        <v>1863</v>
      </c>
      <c r="L831" s="90" t="s">
        <v>1864</v>
      </c>
      <c r="M831" s="95" t="s">
        <v>1679</v>
      </c>
      <c r="N831" s="90" t="s">
        <v>1680</v>
      </c>
    </row>
    <row r="832" spans="1:14" ht="16.5">
      <c r="A832" s="90">
        <v>829</v>
      </c>
      <c r="B832" s="47">
        <v>230</v>
      </c>
      <c r="C832" s="50" t="s">
        <v>539</v>
      </c>
      <c r="D832" s="50" t="s">
        <v>1852</v>
      </c>
      <c r="E832" s="50" t="s">
        <v>1937</v>
      </c>
      <c r="F832" s="90" t="s">
        <v>1881</v>
      </c>
      <c r="G832" s="90" t="s">
        <v>1682</v>
      </c>
      <c r="H832" s="90" t="s">
        <v>1247</v>
      </c>
      <c r="I832" s="90" t="s">
        <v>1683</v>
      </c>
      <c r="J832" s="90" t="s">
        <v>1684</v>
      </c>
      <c r="K832" s="90" t="s">
        <v>1882</v>
      </c>
      <c r="L832" s="90" t="s">
        <v>1883</v>
      </c>
      <c r="M832" s="95" t="s">
        <v>1679</v>
      </c>
      <c r="N832" s="90" t="s">
        <v>1884</v>
      </c>
    </row>
    <row r="833" spans="1:14" ht="16.5">
      <c r="A833" s="90">
        <v>830</v>
      </c>
      <c r="B833" s="91">
        <v>232</v>
      </c>
      <c r="C833" s="90" t="s">
        <v>319</v>
      </c>
      <c r="D833" s="50" t="s">
        <v>1852</v>
      </c>
      <c r="E833" s="50" t="s">
        <v>1937</v>
      </c>
      <c r="F833" s="90" t="s">
        <v>1860</v>
      </c>
      <c r="G833" s="90" t="s">
        <v>1682</v>
      </c>
      <c r="H833" s="90" t="s">
        <v>1247</v>
      </c>
      <c r="I833" s="90" t="s">
        <v>1861</v>
      </c>
      <c r="J833" s="90" t="s">
        <v>1862</v>
      </c>
      <c r="K833" s="90" t="s">
        <v>1863</v>
      </c>
      <c r="L833" s="90" t="s">
        <v>1864</v>
      </c>
      <c r="M833" s="95" t="s">
        <v>1679</v>
      </c>
      <c r="N833" s="90" t="s">
        <v>1680</v>
      </c>
    </row>
    <row r="834" spans="1:14" ht="16.5">
      <c r="A834" s="90">
        <v>831</v>
      </c>
      <c r="B834" s="47">
        <v>233</v>
      </c>
      <c r="C834" s="50" t="s">
        <v>593</v>
      </c>
      <c r="D834" s="50" t="s">
        <v>1852</v>
      </c>
      <c r="E834" s="50" t="s">
        <v>1937</v>
      </c>
      <c r="F834" s="90">
        <v>50</v>
      </c>
      <c r="G834" s="90">
        <v>30</v>
      </c>
      <c r="H834" s="90">
        <v>10</v>
      </c>
      <c r="I834" s="90">
        <v>30</v>
      </c>
      <c r="J834" s="90">
        <v>40</v>
      </c>
      <c r="K834" s="90">
        <v>60</v>
      </c>
      <c r="L834" s="90">
        <v>65</v>
      </c>
      <c r="M834" s="95">
        <v>1</v>
      </c>
      <c r="N834" s="90">
        <v>3</v>
      </c>
    </row>
    <row r="835" spans="1:14" ht="16.5">
      <c r="A835" s="90">
        <v>832</v>
      </c>
      <c r="B835" s="47">
        <v>237</v>
      </c>
      <c r="C835" s="50" t="s">
        <v>565</v>
      </c>
      <c r="D835" s="50" t="s">
        <v>1852</v>
      </c>
      <c r="E835" s="50" t="s">
        <v>1937</v>
      </c>
      <c r="F835" s="90" t="s">
        <v>1885</v>
      </c>
      <c r="G835" s="90" t="s">
        <v>1682</v>
      </c>
      <c r="H835" s="90" t="s">
        <v>1247</v>
      </c>
      <c r="I835" s="90" t="s">
        <v>1675</v>
      </c>
      <c r="J835" s="90" t="s">
        <v>1676</v>
      </c>
      <c r="K835" s="90" t="s">
        <v>1886</v>
      </c>
      <c r="L835" s="90" t="s">
        <v>1887</v>
      </c>
      <c r="M835" s="95" t="s">
        <v>1679</v>
      </c>
      <c r="N835" s="90" t="s">
        <v>1680</v>
      </c>
    </row>
    <row r="836" spans="1:14" ht="16.5">
      <c r="A836" s="90">
        <v>833</v>
      </c>
      <c r="B836" s="47">
        <v>213</v>
      </c>
      <c r="C836" s="50" t="s">
        <v>599</v>
      </c>
      <c r="D836" s="50" t="s">
        <v>1852</v>
      </c>
      <c r="E836" s="50" t="s">
        <v>1937</v>
      </c>
      <c r="F836" s="90">
        <v>63</v>
      </c>
      <c r="G836" s="90">
        <v>30</v>
      </c>
      <c r="H836" s="90">
        <v>10</v>
      </c>
      <c r="I836" s="90">
        <v>48</v>
      </c>
      <c r="J836" s="90">
        <v>53</v>
      </c>
      <c r="K836" s="90">
        <v>73</v>
      </c>
      <c r="L836" s="90">
        <v>78</v>
      </c>
      <c r="M836" s="95">
        <v>1</v>
      </c>
      <c r="N836" s="90">
        <v>6</v>
      </c>
    </row>
    <row r="837" spans="1:14" ht="16.5">
      <c r="A837" s="90">
        <v>834</v>
      </c>
      <c r="B837" s="47">
        <v>224</v>
      </c>
      <c r="C837" s="50" t="s">
        <v>369</v>
      </c>
      <c r="D837" s="50" t="s">
        <v>1852</v>
      </c>
      <c r="E837" s="50" t="s">
        <v>1937</v>
      </c>
      <c r="F837" s="90" t="s">
        <v>1860</v>
      </c>
      <c r="G837" s="90" t="s">
        <v>1682</v>
      </c>
      <c r="H837" s="90" t="s">
        <v>1247</v>
      </c>
      <c r="I837" s="90" t="s">
        <v>1861</v>
      </c>
      <c r="J837" s="90" t="s">
        <v>1862</v>
      </c>
      <c r="K837" s="90" t="s">
        <v>1863</v>
      </c>
      <c r="L837" s="90" t="s">
        <v>1864</v>
      </c>
      <c r="M837" s="95" t="s">
        <v>1679</v>
      </c>
      <c r="N837" s="90" t="s">
        <v>1680</v>
      </c>
    </row>
    <row r="838" spans="1:14" ht="16.5">
      <c r="A838" s="90">
        <v>835</v>
      </c>
      <c r="B838" s="47">
        <v>229</v>
      </c>
      <c r="C838" s="50" t="s">
        <v>515</v>
      </c>
      <c r="D838" s="50" t="s">
        <v>1852</v>
      </c>
      <c r="E838" s="50" t="s">
        <v>1937</v>
      </c>
      <c r="F838" s="90" t="s">
        <v>1872</v>
      </c>
      <c r="G838" s="90" t="s">
        <v>1682</v>
      </c>
      <c r="H838" s="90" t="s">
        <v>1247</v>
      </c>
      <c r="I838" s="90" t="s">
        <v>1879</v>
      </c>
      <c r="J838" s="90" t="s">
        <v>1880</v>
      </c>
      <c r="K838" s="90" t="s">
        <v>1875</v>
      </c>
      <c r="L838" s="90" t="s">
        <v>1876</v>
      </c>
      <c r="M838" s="95" t="s">
        <v>1679</v>
      </c>
      <c r="N838" s="90" t="s">
        <v>1680</v>
      </c>
    </row>
    <row r="839" spans="1:14" ht="16.5">
      <c r="A839" s="90">
        <v>836</v>
      </c>
      <c r="B839" s="47">
        <v>231</v>
      </c>
      <c r="C839" s="94" t="s">
        <v>591</v>
      </c>
      <c r="D839" s="50" t="s">
        <v>1852</v>
      </c>
      <c r="E839" s="50" t="s">
        <v>1937</v>
      </c>
      <c r="F839" s="90" t="s">
        <v>1872</v>
      </c>
      <c r="G839" s="90" t="s">
        <v>1862</v>
      </c>
      <c r="H839" s="90" t="s">
        <v>1888</v>
      </c>
      <c r="I839" s="90" t="s">
        <v>1862</v>
      </c>
      <c r="J839" s="90" t="s">
        <v>1889</v>
      </c>
      <c r="K839" s="90" t="s">
        <v>1890</v>
      </c>
      <c r="L839" s="90" t="s">
        <v>1868</v>
      </c>
      <c r="M839" s="95" t="s">
        <v>1679</v>
      </c>
      <c r="N839" s="90" t="s">
        <v>1891</v>
      </c>
    </row>
    <row r="840" spans="1:14" ht="16.5">
      <c r="A840" s="90">
        <v>837</v>
      </c>
      <c r="B840" s="47">
        <v>211</v>
      </c>
      <c r="C840" s="50" t="s">
        <v>605</v>
      </c>
      <c r="D840" s="50" t="s">
        <v>1852</v>
      </c>
      <c r="E840" s="50" t="s">
        <v>1937</v>
      </c>
      <c r="F840" s="90">
        <v>50</v>
      </c>
      <c r="G840" s="90">
        <v>30</v>
      </c>
      <c r="H840" s="90">
        <v>10</v>
      </c>
      <c r="I840" s="90">
        <v>33</v>
      </c>
      <c r="J840" s="90">
        <v>38</v>
      </c>
      <c r="K840" s="90">
        <v>58</v>
      </c>
      <c r="L840" s="90">
        <v>63</v>
      </c>
      <c r="M840" s="95">
        <v>1</v>
      </c>
      <c r="N840" s="90">
        <v>3</v>
      </c>
    </row>
    <row r="841" spans="1:14" ht="16.5">
      <c r="A841" s="90">
        <v>838</v>
      </c>
      <c r="B841" s="47">
        <v>212</v>
      </c>
      <c r="C841" s="50" t="s">
        <v>394</v>
      </c>
      <c r="D841" s="50" t="s">
        <v>1852</v>
      </c>
      <c r="E841" s="50" t="s">
        <v>1937</v>
      </c>
      <c r="F841" s="90" t="s">
        <v>1881</v>
      </c>
      <c r="G841" s="90" t="s">
        <v>1862</v>
      </c>
      <c r="H841" s="90" t="s">
        <v>1888</v>
      </c>
      <c r="I841" s="90" t="s">
        <v>1892</v>
      </c>
      <c r="J841" s="90" t="s">
        <v>1893</v>
      </c>
      <c r="K841" s="90" t="s">
        <v>1894</v>
      </c>
      <c r="L841" s="90" t="s">
        <v>1895</v>
      </c>
      <c r="M841" s="95" t="s">
        <v>1679</v>
      </c>
      <c r="N841" s="90" t="s">
        <v>1891</v>
      </c>
    </row>
    <row r="842" spans="1:14" ht="16.5">
      <c r="A842" s="90">
        <v>839</v>
      </c>
      <c r="B842" s="47">
        <v>300</v>
      </c>
      <c r="C842" s="50" t="s">
        <v>1896</v>
      </c>
      <c r="D842" s="50" t="s">
        <v>1852</v>
      </c>
      <c r="E842" s="50" t="s">
        <v>1937</v>
      </c>
      <c r="F842" s="90">
        <v>38</v>
      </c>
      <c r="G842" s="90">
        <v>30</v>
      </c>
      <c r="H842" s="90">
        <v>10</v>
      </c>
      <c r="I842" s="90">
        <v>27</v>
      </c>
      <c r="J842" s="90">
        <v>32</v>
      </c>
      <c r="K842" s="90">
        <v>52</v>
      </c>
      <c r="L842" s="90">
        <v>57</v>
      </c>
      <c r="M842" s="95">
        <v>1</v>
      </c>
      <c r="N842" s="90">
        <v>6</v>
      </c>
    </row>
    <row r="843" spans="1:14" ht="16.5">
      <c r="A843" s="90">
        <v>840</v>
      </c>
      <c r="B843" s="47">
        <v>228</v>
      </c>
      <c r="C843" s="50" t="s">
        <v>948</v>
      </c>
      <c r="D843" s="50" t="s">
        <v>1852</v>
      </c>
      <c r="E843" s="50" t="s">
        <v>1937</v>
      </c>
      <c r="F843" s="90" t="s">
        <v>1872</v>
      </c>
      <c r="G843" s="90" t="s">
        <v>1682</v>
      </c>
      <c r="H843" s="90" t="s">
        <v>1247</v>
      </c>
      <c r="I843" s="90" t="s">
        <v>1873</v>
      </c>
      <c r="J843" s="90" t="s">
        <v>1874</v>
      </c>
      <c r="K843" s="90" t="s">
        <v>1875</v>
      </c>
      <c r="L843" s="90" t="s">
        <v>1876</v>
      </c>
      <c r="M843" s="95" t="s">
        <v>1679</v>
      </c>
      <c r="N843" s="90" t="s">
        <v>1877</v>
      </c>
    </row>
    <row r="844" spans="1:14" ht="16.5">
      <c r="A844" s="90">
        <v>841</v>
      </c>
      <c r="B844" s="47">
        <v>202</v>
      </c>
      <c r="C844" s="50" t="s">
        <v>154</v>
      </c>
      <c r="D844" s="50" t="s">
        <v>1897</v>
      </c>
      <c r="E844" s="50" t="s">
        <v>1937</v>
      </c>
      <c r="F844" s="90" t="s">
        <v>1854</v>
      </c>
      <c r="G844" s="90" t="s">
        <v>1674</v>
      </c>
      <c r="H844" s="90" t="s">
        <v>1247</v>
      </c>
      <c r="I844" s="90" t="s">
        <v>1855</v>
      </c>
      <c r="J844" s="90" t="s">
        <v>1856</v>
      </c>
      <c r="K844" s="90" t="s">
        <v>1857</v>
      </c>
      <c r="L844" s="90" t="s">
        <v>1858</v>
      </c>
      <c r="M844" s="95" t="s">
        <v>1679</v>
      </c>
      <c r="N844" s="90" t="s">
        <v>1859</v>
      </c>
    </row>
    <row r="845" spans="1:14" ht="16.5">
      <c r="A845" s="90">
        <v>842</v>
      </c>
      <c r="B845" s="91">
        <v>203</v>
      </c>
      <c r="C845" s="90" t="s">
        <v>202</v>
      </c>
      <c r="D845" s="50" t="s">
        <v>1897</v>
      </c>
      <c r="E845" s="50" t="s">
        <v>1937</v>
      </c>
      <c r="F845" s="90" t="s">
        <v>1860</v>
      </c>
      <c r="G845" s="90" t="s">
        <v>1682</v>
      </c>
      <c r="H845" s="90" t="s">
        <v>1247</v>
      </c>
      <c r="I845" s="90" t="s">
        <v>1861</v>
      </c>
      <c r="J845" s="90" t="s">
        <v>1862</v>
      </c>
      <c r="K845" s="90" t="s">
        <v>1863</v>
      </c>
      <c r="L845" s="90" t="s">
        <v>1864</v>
      </c>
      <c r="M845" s="95" t="s">
        <v>1679</v>
      </c>
      <c r="N845" s="90" t="s">
        <v>1870</v>
      </c>
    </row>
    <row r="846" spans="1:14" ht="16.5">
      <c r="A846" s="90">
        <v>843</v>
      </c>
      <c r="B846" s="47">
        <v>204</v>
      </c>
      <c r="C846" s="50" t="s">
        <v>226</v>
      </c>
      <c r="D846" s="50" t="s">
        <v>1897</v>
      </c>
      <c r="E846" s="50" t="s">
        <v>1937</v>
      </c>
      <c r="F846" s="90" t="s">
        <v>1854</v>
      </c>
      <c r="G846" s="90" t="s">
        <v>1674</v>
      </c>
      <c r="H846" s="90" t="s">
        <v>1247</v>
      </c>
      <c r="I846" s="90" t="s">
        <v>1855</v>
      </c>
      <c r="J846" s="90" t="s">
        <v>1856</v>
      </c>
      <c r="K846" s="90" t="s">
        <v>1857</v>
      </c>
      <c r="L846" s="90" t="s">
        <v>1858</v>
      </c>
      <c r="M846" s="95" t="s">
        <v>1679</v>
      </c>
      <c r="N846" s="90" t="s">
        <v>1680</v>
      </c>
    </row>
    <row r="847" spans="1:14" ht="16.5">
      <c r="A847" s="90">
        <v>844</v>
      </c>
      <c r="B847" s="47">
        <v>205</v>
      </c>
      <c r="C847" s="50" t="s">
        <v>249</v>
      </c>
      <c r="D847" s="50" t="s">
        <v>1897</v>
      </c>
      <c r="E847" s="50" t="s">
        <v>1937</v>
      </c>
      <c r="F847" s="90" t="s">
        <v>1854</v>
      </c>
      <c r="G847" s="90" t="s">
        <v>1674</v>
      </c>
      <c r="H847" s="90" t="s">
        <v>1247</v>
      </c>
      <c r="I847" s="90" t="s">
        <v>1855</v>
      </c>
      <c r="J847" s="90" t="s">
        <v>1856</v>
      </c>
      <c r="K847" s="90" t="s">
        <v>1857</v>
      </c>
      <c r="L847" s="90" t="s">
        <v>1858</v>
      </c>
      <c r="M847" s="95" t="s">
        <v>1679</v>
      </c>
      <c r="N847" s="90" t="s">
        <v>1859</v>
      </c>
    </row>
    <row r="848" spans="1:14" ht="16.5">
      <c r="A848" s="90">
        <v>845</v>
      </c>
      <c r="B848" s="47">
        <v>207</v>
      </c>
      <c r="C848" s="50" t="s">
        <v>595</v>
      </c>
      <c r="D848" s="50" t="s">
        <v>1897</v>
      </c>
      <c r="E848" s="50" t="s">
        <v>1937</v>
      </c>
      <c r="F848" s="90">
        <v>50</v>
      </c>
      <c r="G848" s="90">
        <v>30</v>
      </c>
      <c r="H848" s="90">
        <v>10</v>
      </c>
      <c r="I848" s="90">
        <v>30</v>
      </c>
      <c r="J848" s="90">
        <v>40</v>
      </c>
      <c r="K848" s="90">
        <v>60</v>
      </c>
      <c r="L848" s="90">
        <v>65</v>
      </c>
      <c r="M848" s="95">
        <v>1</v>
      </c>
      <c r="N848" s="90">
        <v>3</v>
      </c>
    </row>
    <row r="849" spans="1:14" ht="16.5">
      <c r="A849" s="90">
        <v>846</v>
      </c>
      <c r="B849" s="47">
        <v>208</v>
      </c>
      <c r="C849" s="50" t="s">
        <v>589</v>
      </c>
      <c r="D849" s="50" t="s">
        <v>1897</v>
      </c>
      <c r="E849" s="50" t="s">
        <v>1937</v>
      </c>
      <c r="F849" s="90">
        <v>53</v>
      </c>
      <c r="G849" s="90">
        <v>50</v>
      </c>
      <c r="H849" s="90">
        <v>1</v>
      </c>
      <c r="I849" s="90">
        <v>20</v>
      </c>
      <c r="J849" s="90">
        <v>35</v>
      </c>
      <c r="K849" s="90">
        <v>63</v>
      </c>
      <c r="L849" s="90">
        <v>68</v>
      </c>
      <c r="M849" s="95">
        <v>1</v>
      </c>
      <c r="N849" s="90">
        <v>8</v>
      </c>
    </row>
    <row r="850" spans="1:14" ht="16.5">
      <c r="A850" s="90">
        <v>847</v>
      </c>
      <c r="B850" s="47">
        <v>215</v>
      </c>
      <c r="C850" s="50" t="s">
        <v>418</v>
      </c>
      <c r="D850" s="50" t="s">
        <v>1897</v>
      </c>
      <c r="E850" s="50" t="s">
        <v>1937</v>
      </c>
      <c r="F850" s="90" t="s">
        <v>1865</v>
      </c>
      <c r="G850" s="90" t="s">
        <v>1682</v>
      </c>
      <c r="H850" s="90" t="s">
        <v>1247</v>
      </c>
      <c r="I850" s="90" t="s">
        <v>1866</v>
      </c>
      <c r="J850" s="90" t="s">
        <v>1867</v>
      </c>
      <c r="K850" s="90" t="s">
        <v>1868</v>
      </c>
      <c r="L850" s="90" t="s">
        <v>1869</v>
      </c>
      <c r="M850" s="95" t="s">
        <v>1679</v>
      </c>
      <c r="N850" s="90" t="s">
        <v>1870</v>
      </c>
    </row>
    <row r="851" spans="1:14" ht="16.5">
      <c r="A851" s="90">
        <v>848</v>
      </c>
      <c r="B851" s="47">
        <v>222</v>
      </c>
      <c r="C851" s="50" t="s">
        <v>442</v>
      </c>
      <c r="D851" s="50" t="s">
        <v>1897</v>
      </c>
      <c r="E851" s="50" t="s">
        <v>1937</v>
      </c>
      <c r="F851" s="90" t="s">
        <v>1854</v>
      </c>
      <c r="G851" s="90" t="s">
        <v>1871</v>
      </c>
      <c r="H851" s="90" t="s">
        <v>1247</v>
      </c>
      <c r="I851" s="90" t="s">
        <v>1855</v>
      </c>
      <c r="J851" s="90" t="s">
        <v>1856</v>
      </c>
      <c r="K851" s="90" t="s">
        <v>1857</v>
      </c>
      <c r="L851" s="90" t="s">
        <v>1858</v>
      </c>
      <c r="M851" s="95" t="s">
        <v>1679</v>
      </c>
      <c r="N851" s="90" t="s">
        <v>1859</v>
      </c>
    </row>
    <row r="852" spans="1:14" ht="16.5">
      <c r="A852" s="90">
        <v>849</v>
      </c>
      <c r="B852" s="47">
        <v>223</v>
      </c>
      <c r="C852" s="50" t="s">
        <v>918</v>
      </c>
      <c r="D852" s="50" t="s">
        <v>1897</v>
      </c>
      <c r="E852" s="50" t="s">
        <v>1937</v>
      </c>
      <c r="F852" s="90">
        <v>28</v>
      </c>
      <c r="G852" s="90">
        <v>30</v>
      </c>
      <c r="H852" s="90">
        <v>10</v>
      </c>
      <c r="I852" s="90">
        <v>17</v>
      </c>
      <c r="J852" s="90">
        <v>22</v>
      </c>
      <c r="K852" s="90">
        <v>33</v>
      </c>
      <c r="L852" s="90">
        <v>38</v>
      </c>
      <c r="M852" s="95">
        <v>1</v>
      </c>
      <c r="N852" s="90">
        <v>2</v>
      </c>
    </row>
    <row r="853" spans="1:14" ht="16.5">
      <c r="A853" s="90">
        <v>850</v>
      </c>
      <c r="B853" s="47">
        <v>226</v>
      </c>
      <c r="C853" s="92" t="s">
        <v>469</v>
      </c>
      <c r="D853" s="50" t="s">
        <v>1897</v>
      </c>
      <c r="E853" s="50" t="s">
        <v>1937</v>
      </c>
      <c r="F853" s="90" t="s">
        <v>1872</v>
      </c>
      <c r="G853" s="90" t="s">
        <v>1682</v>
      </c>
      <c r="H853" s="90" t="s">
        <v>1247</v>
      </c>
      <c r="I853" s="90" t="s">
        <v>1873</v>
      </c>
      <c r="J853" s="90" t="s">
        <v>1874</v>
      </c>
      <c r="K853" s="90" t="s">
        <v>1875</v>
      </c>
      <c r="L853" s="90" t="s">
        <v>1876</v>
      </c>
      <c r="M853" s="95" t="s">
        <v>1679</v>
      </c>
      <c r="N853" s="90" t="s">
        <v>1877</v>
      </c>
    </row>
    <row r="854" spans="1:14" ht="16.5">
      <c r="A854" s="90">
        <v>851</v>
      </c>
      <c r="B854" s="91">
        <v>227</v>
      </c>
      <c r="C854" s="93" t="s">
        <v>493</v>
      </c>
      <c r="D854" s="50" t="s">
        <v>1897</v>
      </c>
      <c r="E854" s="50" t="s">
        <v>1937</v>
      </c>
      <c r="F854" s="90" t="s">
        <v>1872</v>
      </c>
      <c r="G854" s="90" t="s">
        <v>1682</v>
      </c>
      <c r="H854" s="90" t="s">
        <v>1247</v>
      </c>
      <c r="I854" s="90" t="s">
        <v>1873</v>
      </c>
      <c r="J854" s="90" t="s">
        <v>1874</v>
      </c>
      <c r="K854" s="90" t="s">
        <v>1875</v>
      </c>
      <c r="L854" s="90" t="s">
        <v>1876</v>
      </c>
      <c r="M854" s="95" t="s">
        <v>1679</v>
      </c>
      <c r="N854" s="90" t="s">
        <v>1870</v>
      </c>
    </row>
    <row r="855" spans="1:14" ht="16.5">
      <c r="A855" s="90">
        <v>852</v>
      </c>
      <c r="B855" s="47">
        <v>234</v>
      </c>
      <c r="C855" s="50" t="s">
        <v>1878</v>
      </c>
      <c r="D855" s="50" t="s">
        <v>1897</v>
      </c>
      <c r="E855" s="50" t="s">
        <v>1937</v>
      </c>
      <c r="F855" s="90" t="s">
        <v>1854</v>
      </c>
      <c r="G855" s="90" t="s">
        <v>1674</v>
      </c>
      <c r="H855" s="90" t="s">
        <v>1247</v>
      </c>
      <c r="I855" s="90" t="s">
        <v>1855</v>
      </c>
      <c r="J855" s="90" t="s">
        <v>1856</v>
      </c>
      <c r="K855" s="90" t="s">
        <v>1857</v>
      </c>
      <c r="L855" s="90" t="s">
        <v>1858</v>
      </c>
      <c r="M855" s="95" t="s">
        <v>1679</v>
      </c>
      <c r="N855" s="90" t="s">
        <v>1859</v>
      </c>
    </row>
    <row r="856" spans="1:14" ht="16.5">
      <c r="A856" s="90">
        <v>853</v>
      </c>
      <c r="B856" s="47">
        <v>235</v>
      </c>
      <c r="C856" s="50" t="s">
        <v>601</v>
      </c>
      <c r="D856" s="50" t="s">
        <v>1897</v>
      </c>
      <c r="E856" s="50" t="s">
        <v>1937</v>
      </c>
      <c r="F856" s="90">
        <v>50</v>
      </c>
      <c r="G856" s="90">
        <v>30</v>
      </c>
      <c r="H856" s="90">
        <v>10</v>
      </c>
      <c r="I856" s="90">
        <v>30</v>
      </c>
      <c r="J856" s="90">
        <v>40</v>
      </c>
      <c r="K856" s="90">
        <v>60</v>
      </c>
      <c r="L856" s="90">
        <v>65</v>
      </c>
      <c r="M856" s="95">
        <v>1</v>
      </c>
      <c r="N856" s="90">
        <v>3</v>
      </c>
    </row>
    <row r="857" spans="1:14" ht="16.5">
      <c r="A857" s="90">
        <v>854</v>
      </c>
      <c r="B857" s="47">
        <v>236</v>
      </c>
      <c r="C857" s="50" t="s">
        <v>1688</v>
      </c>
      <c r="D857" s="50" t="s">
        <v>1897</v>
      </c>
      <c r="E857" s="50" t="s">
        <v>1937</v>
      </c>
      <c r="F857" s="90">
        <v>50</v>
      </c>
      <c r="G857" s="90">
        <v>30</v>
      </c>
      <c r="H857" s="90">
        <v>10</v>
      </c>
      <c r="I857" s="90">
        <v>30</v>
      </c>
      <c r="J857" s="90">
        <v>40</v>
      </c>
      <c r="K857" s="90">
        <v>60</v>
      </c>
      <c r="L857" s="90">
        <v>65</v>
      </c>
      <c r="M857" s="95">
        <v>1</v>
      </c>
      <c r="N857" s="90">
        <v>8</v>
      </c>
    </row>
    <row r="858" spans="1:14" ht="16.5">
      <c r="A858" s="90">
        <v>855</v>
      </c>
      <c r="B858" s="91">
        <v>201</v>
      </c>
      <c r="C858" s="90" t="s">
        <v>66</v>
      </c>
      <c r="D858" s="50" t="s">
        <v>1897</v>
      </c>
      <c r="E858" s="50" t="s">
        <v>1937</v>
      </c>
      <c r="F858" s="90" t="s">
        <v>1872</v>
      </c>
      <c r="G858" s="90" t="s">
        <v>1682</v>
      </c>
      <c r="H858" s="90" t="s">
        <v>1247</v>
      </c>
      <c r="I858" s="90" t="s">
        <v>1879</v>
      </c>
      <c r="J858" s="90" t="s">
        <v>1880</v>
      </c>
      <c r="K858" s="90" t="s">
        <v>1875</v>
      </c>
      <c r="L858" s="90" t="s">
        <v>1876</v>
      </c>
      <c r="M858" s="95" t="s">
        <v>1679</v>
      </c>
      <c r="N858" s="90" t="s">
        <v>1680</v>
      </c>
    </row>
    <row r="859" spans="1:14" ht="16.5">
      <c r="A859" s="90">
        <v>856</v>
      </c>
      <c r="B859" s="91">
        <v>206</v>
      </c>
      <c r="C859" s="90" t="s">
        <v>293</v>
      </c>
      <c r="D859" s="50" t="s">
        <v>1897</v>
      </c>
      <c r="E859" s="50" t="s">
        <v>1937</v>
      </c>
      <c r="F859" s="90" t="s">
        <v>1860</v>
      </c>
      <c r="G859" s="90" t="s">
        <v>1682</v>
      </c>
      <c r="H859" s="90" t="s">
        <v>1247</v>
      </c>
      <c r="I859" s="90" t="s">
        <v>1861</v>
      </c>
      <c r="J859" s="90" t="s">
        <v>1862</v>
      </c>
      <c r="K859" s="90" t="s">
        <v>1863</v>
      </c>
      <c r="L859" s="90" t="s">
        <v>1864</v>
      </c>
      <c r="M859" s="95" t="s">
        <v>1679</v>
      </c>
      <c r="N859" s="90" t="s">
        <v>1680</v>
      </c>
    </row>
    <row r="860" spans="1:14" ht="16.5">
      <c r="A860" s="90">
        <v>857</v>
      </c>
      <c r="B860" s="47">
        <v>209</v>
      </c>
      <c r="C860" s="50" t="s">
        <v>344</v>
      </c>
      <c r="D860" s="50" t="s">
        <v>1897</v>
      </c>
      <c r="E860" s="50" t="s">
        <v>1937</v>
      </c>
      <c r="F860" s="90" t="s">
        <v>1860</v>
      </c>
      <c r="G860" s="90" t="s">
        <v>1682</v>
      </c>
      <c r="H860" s="90" t="s">
        <v>1247</v>
      </c>
      <c r="I860" s="90" t="s">
        <v>1861</v>
      </c>
      <c r="J860" s="90" t="s">
        <v>1862</v>
      </c>
      <c r="K860" s="90" t="s">
        <v>1863</v>
      </c>
      <c r="L860" s="90" t="s">
        <v>1864</v>
      </c>
      <c r="M860" s="95" t="s">
        <v>1679</v>
      </c>
      <c r="N860" s="90" t="s">
        <v>1680</v>
      </c>
    </row>
    <row r="861" spans="1:14" ht="16.5">
      <c r="A861" s="90">
        <v>858</v>
      </c>
      <c r="B861" s="47">
        <v>230</v>
      </c>
      <c r="C861" s="50" t="s">
        <v>539</v>
      </c>
      <c r="D861" s="50" t="s">
        <v>1897</v>
      </c>
      <c r="E861" s="50" t="s">
        <v>1937</v>
      </c>
      <c r="F861" s="90" t="s">
        <v>1881</v>
      </c>
      <c r="G861" s="90" t="s">
        <v>1682</v>
      </c>
      <c r="H861" s="90" t="s">
        <v>1247</v>
      </c>
      <c r="I861" s="90" t="s">
        <v>1683</v>
      </c>
      <c r="J861" s="90" t="s">
        <v>1684</v>
      </c>
      <c r="K861" s="90" t="s">
        <v>1882</v>
      </c>
      <c r="L861" s="90" t="s">
        <v>1883</v>
      </c>
      <c r="M861" s="95" t="s">
        <v>1679</v>
      </c>
      <c r="N861" s="90" t="s">
        <v>1884</v>
      </c>
    </row>
    <row r="862" spans="1:14" ht="16.5">
      <c r="A862" s="90">
        <v>859</v>
      </c>
      <c r="B862" s="91">
        <v>232</v>
      </c>
      <c r="C862" s="90" t="s">
        <v>319</v>
      </c>
      <c r="D862" s="50" t="s">
        <v>1897</v>
      </c>
      <c r="E862" s="50" t="s">
        <v>1937</v>
      </c>
      <c r="F862" s="90" t="s">
        <v>1860</v>
      </c>
      <c r="G862" s="90" t="s">
        <v>1682</v>
      </c>
      <c r="H862" s="90" t="s">
        <v>1247</v>
      </c>
      <c r="I862" s="90" t="s">
        <v>1861</v>
      </c>
      <c r="J862" s="90" t="s">
        <v>1862</v>
      </c>
      <c r="K862" s="90" t="s">
        <v>1863</v>
      </c>
      <c r="L862" s="90" t="s">
        <v>1864</v>
      </c>
      <c r="M862" s="95" t="s">
        <v>1679</v>
      </c>
      <c r="N862" s="90" t="s">
        <v>1680</v>
      </c>
    </row>
    <row r="863" spans="1:14" ht="16.5">
      <c r="A863" s="90">
        <v>860</v>
      </c>
      <c r="B863" s="47">
        <v>233</v>
      </c>
      <c r="C863" s="50" t="s">
        <v>593</v>
      </c>
      <c r="D863" s="50" t="s">
        <v>1897</v>
      </c>
      <c r="E863" s="50" t="s">
        <v>1937</v>
      </c>
      <c r="F863" s="90">
        <v>50</v>
      </c>
      <c r="G863" s="90">
        <v>30</v>
      </c>
      <c r="H863" s="90">
        <v>10</v>
      </c>
      <c r="I863" s="90">
        <v>30</v>
      </c>
      <c r="J863" s="90">
        <v>40</v>
      </c>
      <c r="K863" s="90">
        <v>60</v>
      </c>
      <c r="L863" s="90">
        <v>65</v>
      </c>
      <c r="M863" s="95">
        <v>1</v>
      </c>
      <c r="N863" s="90">
        <v>3</v>
      </c>
    </row>
    <row r="864" spans="1:14" ht="16.5">
      <c r="A864" s="90">
        <v>861</v>
      </c>
      <c r="B864" s="47">
        <v>237</v>
      </c>
      <c r="C864" s="50" t="s">
        <v>565</v>
      </c>
      <c r="D864" s="50" t="s">
        <v>1897</v>
      </c>
      <c r="E864" s="50" t="s">
        <v>1937</v>
      </c>
      <c r="F864" s="90" t="s">
        <v>1885</v>
      </c>
      <c r="G864" s="90" t="s">
        <v>1682</v>
      </c>
      <c r="H864" s="90" t="s">
        <v>1247</v>
      </c>
      <c r="I864" s="90" t="s">
        <v>1675</v>
      </c>
      <c r="J864" s="90" t="s">
        <v>1676</v>
      </c>
      <c r="K864" s="90" t="s">
        <v>1886</v>
      </c>
      <c r="L864" s="90" t="s">
        <v>1887</v>
      </c>
      <c r="M864" s="95" t="s">
        <v>1679</v>
      </c>
      <c r="N864" s="90" t="s">
        <v>1680</v>
      </c>
    </row>
    <row r="865" spans="1:14" ht="16.5">
      <c r="A865" s="90">
        <v>862</v>
      </c>
      <c r="B865" s="47">
        <v>213</v>
      </c>
      <c r="C865" s="50" t="s">
        <v>599</v>
      </c>
      <c r="D865" s="50" t="s">
        <v>1897</v>
      </c>
      <c r="E865" s="50" t="s">
        <v>1937</v>
      </c>
      <c r="F865" s="90">
        <v>63</v>
      </c>
      <c r="G865" s="90">
        <v>30</v>
      </c>
      <c r="H865" s="90">
        <v>10</v>
      </c>
      <c r="I865" s="90">
        <v>48</v>
      </c>
      <c r="J865" s="90">
        <v>53</v>
      </c>
      <c r="K865" s="90">
        <v>73</v>
      </c>
      <c r="L865" s="90">
        <v>78</v>
      </c>
      <c r="M865" s="95">
        <v>1</v>
      </c>
      <c r="N865" s="90">
        <v>6</v>
      </c>
    </row>
    <row r="866" spans="1:14" ht="16.5">
      <c r="A866" s="90">
        <v>863</v>
      </c>
      <c r="B866" s="47">
        <v>224</v>
      </c>
      <c r="C866" s="50" t="s">
        <v>369</v>
      </c>
      <c r="D866" s="50" t="s">
        <v>1897</v>
      </c>
      <c r="E866" s="50" t="s">
        <v>1937</v>
      </c>
      <c r="F866" s="90" t="s">
        <v>1860</v>
      </c>
      <c r="G866" s="90" t="s">
        <v>1682</v>
      </c>
      <c r="H866" s="90" t="s">
        <v>1247</v>
      </c>
      <c r="I866" s="90" t="s">
        <v>1861</v>
      </c>
      <c r="J866" s="90" t="s">
        <v>1862</v>
      </c>
      <c r="K866" s="90" t="s">
        <v>1863</v>
      </c>
      <c r="L866" s="90" t="s">
        <v>1864</v>
      </c>
      <c r="M866" s="95" t="s">
        <v>1679</v>
      </c>
      <c r="N866" s="90" t="s">
        <v>1680</v>
      </c>
    </row>
    <row r="867" spans="1:14" ht="16.5">
      <c r="A867" s="90">
        <v>864</v>
      </c>
      <c r="B867" s="47">
        <v>229</v>
      </c>
      <c r="C867" s="50" t="s">
        <v>515</v>
      </c>
      <c r="D867" s="50" t="s">
        <v>1897</v>
      </c>
      <c r="E867" s="50" t="s">
        <v>1937</v>
      </c>
      <c r="F867" s="90" t="s">
        <v>1872</v>
      </c>
      <c r="G867" s="90" t="s">
        <v>1682</v>
      </c>
      <c r="H867" s="90" t="s">
        <v>1247</v>
      </c>
      <c r="I867" s="90" t="s">
        <v>1879</v>
      </c>
      <c r="J867" s="90" t="s">
        <v>1880</v>
      </c>
      <c r="K867" s="90" t="s">
        <v>1875</v>
      </c>
      <c r="L867" s="90" t="s">
        <v>1876</v>
      </c>
      <c r="M867" s="95" t="s">
        <v>1679</v>
      </c>
      <c r="N867" s="90" t="s">
        <v>1680</v>
      </c>
    </row>
    <row r="868" spans="1:14" ht="16.5">
      <c r="A868" s="90">
        <v>865</v>
      </c>
      <c r="B868" s="47">
        <v>231</v>
      </c>
      <c r="C868" s="94" t="s">
        <v>591</v>
      </c>
      <c r="D868" s="50" t="s">
        <v>1897</v>
      </c>
      <c r="E868" s="50" t="s">
        <v>1937</v>
      </c>
      <c r="F868" s="90" t="s">
        <v>1872</v>
      </c>
      <c r="G868" s="90" t="s">
        <v>1862</v>
      </c>
      <c r="H868" s="90" t="s">
        <v>1888</v>
      </c>
      <c r="I868" s="90" t="s">
        <v>1862</v>
      </c>
      <c r="J868" s="90" t="s">
        <v>1889</v>
      </c>
      <c r="K868" s="90" t="s">
        <v>1890</v>
      </c>
      <c r="L868" s="90" t="s">
        <v>1868</v>
      </c>
      <c r="M868" s="95" t="s">
        <v>1679</v>
      </c>
      <c r="N868" s="90" t="s">
        <v>1891</v>
      </c>
    </row>
    <row r="869" spans="1:14" ht="16.5">
      <c r="A869" s="90">
        <v>866</v>
      </c>
      <c r="B869" s="47">
        <v>211</v>
      </c>
      <c r="C869" s="50" t="s">
        <v>605</v>
      </c>
      <c r="D869" s="50" t="s">
        <v>1897</v>
      </c>
      <c r="E869" s="50" t="s">
        <v>1937</v>
      </c>
      <c r="F869" s="90">
        <v>50</v>
      </c>
      <c r="G869" s="90">
        <v>30</v>
      </c>
      <c r="H869" s="90">
        <v>10</v>
      </c>
      <c r="I869" s="90">
        <v>33</v>
      </c>
      <c r="J869" s="90">
        <v>38</v>
      </c>
      <c r="K869" s="90">
        <v>58</v>
      </c>
      <c r="L869" s="90">
        <v>63</v>
      </c>
      <c r="M869" s="95">
        <v>1</v>
      </c>
      <c r="N869" s="90">
        <v>3</v>
      </c>
    </row>
    <row r="870" spans="1:14" ht="16.5">
      <c r="A870" s="90">
        <v>867</v>
      </c>
      <c r="B870" s="47">
        <v>212</v>
      </c>
      <c r="C870" s="50" t="s">
        <v>394</v>
      </c>
      <c r="D870" s="50" t="s">
        <v>1897</v>
      </c>
      <c r="E870" s="50" t="s">
        <v>1937</v>
      </c>
      <c r="F870" s="90" t="s">
        <v>1898</v>
      </c>
      <c r="G870" s="90" t="s">
        <v>1862</v>
      </c>
      <c r="H870" s="90" t="s">
        <v>1888</v>
      </c>
      <c r="I870" s="90" t="s">
        <v>1899</v>
      </c>
      <c r="J870" s="90" t="s">
        <v>1889</v>
      </c>
      <c r="K870" s="90" t="s">
        <v>1900</v>
      </c>
      <c r="L870" s="90" t="s">
        <v>1901</v>
      </c>
      <c r="M870" s="95" t="s">
        <v>1679</v>
      </c>
      <c r="N870" s="90" t="s">
        <v>1902</v>
      </c>
    </row>
    <row r="871" spans="1:14" ht="16.5">
      <c r="A871" s="90">
        <v>868</v>
      </c>
      <c r="B871" s="47">
        <v>300</v>
      </c>
      <c r="C871" s="50" t="s">
        <v>1896</v>
      </c>
      <c r="D871" s="50" t="s">
        <v>1897</v>
      </c>
      <c r="E871" s="50" t="s">
        <v>1937</v>
      </c>
      <c r="F871" s="90">
        <v>42</v>
      </c>
      <c r="G871" s="90">
        <v>30</v>
      </c>
      <c r="H871" s="90">
        <v>10</v>
      </c>
      <c r="I871" s="90">
        <v>27</v>
      </c>
      <c r="J871" s="90">
        <v>32</v>
      </c>
      <c r="K871" s="90">
        <v>52</v>
      </c>
      <c r="L871" s="90">
        <v>57</v>
      </c>
      <c r="M871" s="95">
        <v>1</v>
      </c>
      <c r="N871" s="90">
        <v>3</v>
      </c>
    </row>
    <row r="872" spans="1:14" ht="16.5">
      <c r="A872" s="90">
        <v>869</v>
      </c>
      <c r="B872" s="47">
        <v>228</v>
      </c>
      <c r="C872" s="50" t="s">
        <v>948</v>
      </c>
      <c r="D872" s="50" t="s">
        <v>1897</v>
      </c>
      <c r="E872" s="50" t="s">
        <v>1937</v>
      </c>
      <c r="F872" s="90" t="s">
        <v>1872</v>
      </c>
      <c r="G872" s="90" t="s">
        <v>1682</v>
      </c>
      <c r="H872" s="90" t="s">
        <v>1247</v>
      </c>
      <c r="I872" s="90" t="s">
        <v>1873</v>
      </c>
      <c r="J872" s="90" t="s">
        <v>1874</v>
      </c>
      <c r="K872" s="90" t="s">
        <v>1875</v>
      </c>
      <c r="L872" s="90" t="s">
        <v>1876</v>
      </c>
      <c r="M872" s="95" t="s">
        <v>1679</v>
      </c>
      <c r="N872" s="90" t="s">
        <v>1877</v>
      </c>
    </row>
    <row r="873" spans="1:14" ht="16.5">
      <c r="A873" s="90">
        <v>870</v>
      </c>
      <c r="B873" s="47">
        <v>202</v>
      </c>
      <c r="C873" s="50" t="s">
        <v>154</v>
      </c>
      <c r="D873" s="50" t="s">
        <v>1903</v>
      </c>
      <c r="E873" s="50" t="s">
        <v>1937</v>
      </c>
      <c r="F873" s="90" t="s">
        <v>1854</v>
      </c>
      <c r="G873" s="90" t="s">
        <v>1674</v>
      </c>
      <c r="H873" s="90" t="s">
        <v>1247</v>
      </c>
      <c r="I873" s="90" t="s">
        <v>1855</v>
      </c>
      <c r="J873" s="90" t="s">
        <v>1856</v>
      </c>
      <c r="K873" s="90" t="s">
        <v>1857</v>
      </c>
      <c r="L873" s="90" t="s">
        <v>1858</v>
      </c>
      <c r="M873" s="95" t="s">
        <v>1679</v>
      </c>
      <c r="N873" s="90" t="s">
        <v>1859</v>
      </c>
    </row>
    <row r="874" spans="1:14" ht="16.5">
      <c r="A874" s="90">
        <v>871</v>
      </c>
      <c r="B874" s="91">
        <v>203</v>
      </c>
      <c r="C874" s="90" t="s">
        <v>202</v>
      </c>
      <c r="D874" s="50" t="s">
        <v>1903</v>
      </c>
      <c r="E874" s="50" t="s">
        <v>1937</v>
      </c>
      <c r="F874" s="90" t="s">
        <v>1860</v>
      </c>
      <c r="G874" s="90" t="s">
        <v>1682</v>
      </c>
      <c r="H874" s="90" t="s">
        <v>1247</v>
      </c>
      <c r="I874" s="90" t="s">
        <v>1861</v>
      </c>
      <c r="J874" s="90" t="s">
        <v>1862</v>
      </c>
      <c r="K874" s="90" t="s">
        <v>1863</v>
      </c>
      <c r="L874" s="90" t="s">
        <v>1864</v>
      </c>
      <c r="M874" s="95" t="s">
        <v>1679</v>
      </c>
      <c r="N874" s="90" t="s">
        <v>1904</v>
      </c>
    </row>
    <row r="875" spans="1:14" ht="16.5">
      <c r="A875" s="90">
        <v>872</v>
      </c>
      <c r="B875" s="47">
        <v>204</v>
      </c>
      <c r="C875" s="50" t="s">
        <v>226</v>
      </c>
      <c r="D875" s="50" t="s">
        <v>1903</v>
      </c>
      <c r="E875" s="50" t="s">
        <v>1937</v>
      </c>
      <c r="F875" s="90" t="s">
        <v>1854</v>
      </c>
      <c r="G875" s="90" t="s">
        <v>1674</v>
      </c>
      <c r="H875" s="90" t="s">
        <v>1247</v>
      </c>
      <c r="I875" s="90" t="s">
        <v>1855</v>
      </c>
      <c r="J875" s="90" t="s">
        <v>1856</v>
      </c>
      <c r="K875" s="90" t="s">
        <v>1857</v>
      </c>
      <c r="L875" s="90" t="s">
        <v>1858</v>
      </c>
      <c r="M875" s="95" t="s">
        <v>1679</v>
      </c>
      <c r="N875" s="90" t="s">
        <v>1680</v>
      </c>
    </row>
    <row r="876" spans="1:14" ht="16.5">
      <c r="A876" s="90">
        <v>873</v>
      </c>
      <c r="B876" s="47">
        <v>205</v>
      </c>
      <c r="C876" s="50" t="s">
        <v>249</v>
      </c>
      <c r="D876" s="50" t="s">
        <v>1903</v>
      </c>
      <c r="E876" s="50" t="s">
        <v>1937</v>
      </c>
      <c r="F876" s="90" t="s">
        <v>1854</v>
      </c>
      <c r="G876" s="90" t="s">
        <v>1674</v>
      </c>
      <c r="H876" s="90" t="s">
        <v>1247</v>
      </c>
      <c r="I876" s="90" t="s">
        <v>1855</v>
      </c>
      <c r="J876" s="90" t="s">
        <v>1856</v>
      </c>
      <c r="K876" s="90" t="s">
        <v>1857</v>
      </c>
      <c r="L876" s="90" t="s">
        <v>1858</v>
      </c>
      <c r="M876" s="95" t="s">
        <v>1679</v>
      </c>
      <c r="N876" s="90" t="s">
        <v>1859</v>
      </c>
    </row>
    <row r="877" spans="1:14" ht="16.5">
      <c r="A877" s="90">
        <v>874</v>
      </c>
      <c r="B877" s="47">
        <v>207</v>
      </c>
      <c r="C877" s="50" t="s">
        <v>595</v>
      </c>
      <c r="D877" s="50" t="s">
        <v>1903</v>
      </c>
      <c r="E877" s="50" t="s">
        <v>1937</v>
      </c>
      <c r="F877" s="90">
        <v>50</v>
      </c>
      <c r="G877" s="90">
        <v>30</v>
      </c>
      <c r="H877" s="90">
        <v>10</v>
      </c>
      <c r="I877" s="90">
        <v>30</v>
      </c>
      <c r="J877" s="90">
        <v>40</v>
      </c>
      <c r="K877" s="90">
        <v>60</v>
      </c>
      <c r="L877" s="90">
        <v>65</v>
      </c>
      <c r="M877" s="95">
        <v>1</v>
      </c>
      <c r="N877" s="90">
        <v>3</v>
      </c>
    </row>
    <row r="878" spans="1:14" ht="16.5">
      <c r="A878" s="90">
        <v>875</v>
      </c>
      <c r="B878" s="96">
        <v>208</v>
      </c>
      <c r="C878" s="97" t="s">
        <v>589</v>
      </c>
      <c r="D878" s="97" t="s">
        <v>1903</v>
      </c>
      <c r="E878" s="50" t="s">
        <v>1937</v>
      </c>
      <c r="F878" s="97">
        <v>63</v>
      </c>
      <c r="G878" s="97">
        <v>50</v>
      </c>
      <c r="H878" s="97">
        <v>1</v>
      </c>
      <c r="I878" s="97">
        <v>30</v>
      </c>
      <c r="J878" s="97">
        <v>45</v>
      </c>
      <c r="K878" s="97">
        <v>73</v>
      </c>
      <c r="L878" s="97">
        <v>78</v>
      </c>
      <c r="M878" s="98">
        <v>1</v>
      </c>
      <c r="N878" s="97">
        <v>10</v>
      </c>
    </row>
    <row r="879" spans="1:14" ht="16.5">
      <c r="A879" s="90">
        <v>876</v>
      </c>
      <c r="B879" s="47">
        <v>215</v>
      </c>
      <c r="C879" s="50" t="s">
        <v>418</v>
      </c>
      <c r="D879" s="50" t="s">
        <v>1903</v>
      </c>
      <c r="E879" s="50" t="s">
        <v>1937</v>
      </c>
      <c r="F879" s="90" t="s">
        <v>1865</v>
      </c>
      <c r="G879" s="90" t="s">
        <v>1682</v>
      </c>
      <c r="H879" s="90" t="s">
        <v>1247</v>
      </c>
      <c r="I879" s="90" t="s">
        <v>1866</v>
      </c>
      <c r="J879" s="90" t="s">
        <v>1867</v>
      </c>
      <c r="K879" s="90" t="s">
        <v>1868</v>
      </c>
      <c r="L879" s="90" t="s">
        <v>1869</v>
      </c>
      <c r="M879" s="95" t="s">
        <v>1679</v>
      </c>
      <c r="N879" s="90" t="s">
        <v>1870</v>
      </c>
    </row>
    <row r="880" spans="1:14" ht="16.5">
      <c r="A880" s="90">
        <v>877</v>
      </c>
      <c r="B880" s="47">
        <v>222</v>
      </c>
      <c r="C880" s="50" t="s">
        <v>442</v>
      </c>
      <c r="D880" s="50" t="s">
        <v>1903</v>
      </c>
      <c r="E880" s="50" t="s">
        <v>1937</v>
      </c>
      <c r="F880" s="90" t="s">
        <v>1854</v>
      </c>
      <c r="G880" s="90" t="s">
        <v>1871</v>
      </c>
      <c r="H880" s="90" t="s">
        <v>1247</v>
      </c>
      <c r="I880" s="90" t="s">
        <v>1855</v>
      </c>
      <c r="J880" s="90" t="s">
        <v>1856</v>
      </c>
      <c r="K880" s="90" t="s">
        <v>1857</v>
      </c>
      <c r="L880" s="90" t="s">
        <v>1858</v>
      </c>
      <c r="M880" s="95" t="s">
        <v>1679</v>
      </c>
      <c r="N880" s="90" t="s">
        <v>1859</v>
      </c>
    </row>
    <row r="881" spans="1:14" ht="16.5">
      <c r="A881" s="90">
        <v>878</v>
      </c>
      <c r="B881" s="47">
        <v>223</v>
      </c>
      <c r="C881" s="50" t="s">
        <v>918</v>
      </c>
      <c r="D881" s="50" t="s">
        <v>1903</v>
      </c>
      <c r="E881" s="50" t="s">
        <v>1937</v>
      </c>
      <c r="F881" s="90">
        <v>28</v>
      </c>
      <c r="G881" s="90">
        <v>30</v>
      </c>
      <c r="H881" s="90">
        <v>10</v>
      </c>
      <c r="I881" s="90">
        <v>17</v>
      </c>
      <c r="J881" s="90">
        <v>22</v>
      </c>
      <c r="K881" s="90">
        <v>33</v>
      </c>
      <c r="L881" s="90">
        <v>38</v>
      </c>
      <c r="M881" s="95">
        <v>1</v>
      </c>
      <c r="N881" s="90">
        <v>2</v>
      </c>
    </row>
    <row r="882" spans="1:14" ht="16.5">
      <c r="A882" s="90">
        <v>879</v>
      </c>
      <c r="B882" s="47">
        <v>226</v>
      </c>
      <c r="C882" s="92" t="s">
        <v>469</v>
      </c>
      <c r="D882" s="50" t="s">
        <v>1903</v>
      </c>
      <c r="E882" s="50" t="s">
        <v>1937</v>
      </c>
      <c r="F882" s="90" t="s">
        <v>1872</v>
      </c>
      <c r="G882" s="90" t="s">
        <v>1682</v>
      </c>
      <c r="H882" s="90" t="s">
        <v>1247</v>
      </c>
      <c r="I882" s="90" t="s">
        <v>1873</v>
      </c>
      <c r="J882" s="90" t="s">
        <v>1874</v>
      </c>
      <c r="K882" s="90" t="s">
        <v>1875</v>
      </c>
      <c r="L882" s="90" t="s">
        <v>1876</v>
      </c>
      <c r="M882" s="95" t="s">
        <v>1679</v>
      </c>
      <c r="N882" s="90" t="s">
        <v>1877</v>
      </c>
    </row>
    <row r="883" spans="1:14" ht="16.5">
      <c r="A883" s="90">
        <v>880</v>
      </c>
      <c r="B883" s="91">
        <v>227</v>
      </c>
      <c r="C883" s="93" t="s">
        <v>493</v>
      </c>
      <c r="D883" s="50" t="s">
        <v>1903</v>
      </c>
      <c r="E883" s="50" t="s">
        <v>1937</v>
      </c>
      <c r="F883" s="90" t="s">
        <v>1872</v>
      </c>
      <c r="G883" s="90" t="s">
        <v>1682</v>
      </c>
      <c r="H883" s="90" t="s">
        <v>1247</v>
      </c>
      <c r="I883" s="90" t="s">
        <v>1873</v>
      </c>
      <c r="J883" s="90" t="s">
        <v>1874</v>
      </c>
      <c r="K883" s="90" t="s">
        <v>1875</v>
      </c>
      <c r="L883" s="90" t="s">
        <v>1876</v>
      </c>
      <c r="M883" s="95" t="s">
        <v>1679</v>
      </c>
      <c r="N883" s="90" t="s">
        <v>1870</v>
      </c>
    </row>
    <row r="884" spans="1:14" ht="16.5">
      <c r="A884" s="90">
        <v>881</v>
      </c>
      <c r="B884" s="47">
        <v>234</v>
      </c>
      <c r="C884" s="50" t="s">
        <v>1878</v>
      </c>
      <c r="D884" s="50" t="s">
        <v>1903</v>
      </c>
      <c r="E884" s="50" t="s">
        <v>1937</v>
      </c>
      <c r="F884" s="90" t="s">
        <v>1854</v>
      </c>
      <c r="G884" s="90" t="s">
        <v>1674</v>
      </c>
      <c r="H884" s="90" t="s">
        <v>1247</v>
      </c>
      <c r="I884" s="90" t="s">
        <v>1855</v>
      </c>
      <c r="J884" s="90" t="s">
        <v>1856</v>
      </c>
      <c r="K884" s="90" t="s">
        <v>1857</v>
      </c>
      <c r="L884" s="90" t="s">
        <v>1858</v>
      </c>
      <c r="M884" s="95" t="s">
        <v>1679</v>
      </c>
      <c r="N884" s="90" t="s">
        <v>1859</v>
      </c>
    </row>
    <row r="885" spans="1:14" ht="16.5">
      <c r="A885" s="90">
        <v>882</v>
      </c>
      <c r="B885" s="47">
        <v>235</v>
      </c>
      <c r="C885" s="50" t="s">
        <v>601</v>
      </c>
      <c r="D885" s="50" t="s">
        <v>1903</v>
      </c>
      <c r="E885" s="50" t="s">
        <v>1937</v>
      </c>
      <c r="F885" s="90">
        <v>50</v>
      </c>
      <c r="G885" s="90">
        <v>30</v>
      </c>
      <c r="H885" s="90">
        <v>10</v>
      </c>
      <c r="I885" s="90">
        <v>30</v>
      </c>
      <c r="J885" s="90">
        <v>40</v>
      </c>
      <c r="K885" s="90">
        <v>60</v>
      </c>
      <c r="L885" s="90">
        <v>65</v>
      </c>
      <c r="M885" s="95">
        <v>1</v>
      </c>
      <c r="N885" s="90">
        <v>3</v>
      </c>
    </row>
    <row r="886" spans="1:14" ht="16.5">
      <c r="A886" s="90">
        <v>883</v>
      </c>
      <c r="B886" s="47">
        <v>236</v>
      </c>
      <c r="C886" s="50" t="s">
        <v>1688</v>
      </c>
      <c r="D886" s="50" t="s">
        <v>1903</v>
      </c>
      <c r="E886" s="50" t="s">
        <v>1937</v>
      </c>
      <c r="F886" s="90">
        <v>50</v>
      </c>
      <c r="G886" s="90">
        <v>30</v>
      </c>
      <c r="H886" s="90">
        <v>10</v>
      </c>
      <c r="I886" s="90">
        <v>30</v>
      </c>
      <c r="J886" s="90">
        <v>40</v>
      </c>
      <c r="K886" s="90">
        <v>60</v>
      </c>
      <c r="L886" s="90">
        <v>65</v>
      </c>
      <c r="M886" s="95">
        <v>1</v>
      </c>
      <c r="N886" s="90">
        <v>8</v>
      </c>
    </row>
    <row r="887" spans="1:14" ht="16.5">
      <c r="A887" s="90">
        <v>884</v>
      </c>
      <c r="B887" s="91">
        <v>201</v>
      </c>
      <c r="C887" s="90" t="s">
        <v>66</v>
      </c>
      <c r="D887" s="50" t="s">
        <v>1903</v>
      </c>
      <c r="E887" s="50" t="s">
        <v>1937</v>
      </c>
      <c r="F887" s="90" t="s">
        <v>1872</v>
      </c>
      <c r="G887" s="90" t="s">
        <v>1682</v>
      </c>
      <c r="H887" s="90" t="s">
        <v>1247</v>
      </c>
      <c r="I887" s="90" t="s">
        <v>1879</v>
      </c>
      <c r="J887" s="90" t="s">
        <v>1880</v>
      </c>
      <c r="K887" s="90" t="s">
        <v>1875</v>
      </c>
      <c r="L887" s="90" t="s">
        <v>1876</v>
      </c>
      <c r="M887" s="95" t="s">
        <v>1679</v>
      </c>
      <c r="N887" s="90" t="s">
        <v>1680</v>
      </c>
    </row>
    <row r="888" spans="1:14" ht="16.5">
      <c r="A888" s="90">
        <v>885</v>
      </c>
      <c r="B888" s="91">
        <v>206</v>
      </c>
      <c r="C888" s="90" t="s">
        <v>293</v>
      </c>
      <c r="D888" s="50" t="s">
        <v>1903</v>
      </c>
      <c r="E888" s="50" t="s">
        <v>1937</v>
      </c>
      <c r="F888" s="90" t="s">
        <v>1860</v>
      </c>
      <c r="G888" s="90" t="s">
        <v>1682</v>
      </c>
      <c r="H888" s="90" t="s">
        <v>1247</v>
      </c>
      <c r="I888" s="90" t="s">
        <v>1861</v>
      </c>
      <c r="J888" s="90" t="s">
        <v>1862</v>
      </c>
      <c r="K888" s="90" t="s">
        <v>1863</v>
      </c>
      <c r="L888" s="90" t="s">
        <v>1864</v>
      </c>
      <c r="M888" s="95" t="s">
        <v>1679</v>
      </c>
      <c r="N888" s="90" t="s">
        <v>1680</v>
      </c>
    </row>
    <row r="889" spans="1:14" ht="16.5">
      <c r="A889" s="90">
        <v>886</v>
      </c>
      <c r="B889" s="47">
        <v>209</v>
      </c>
      <c r="C889" s="50" t="s">
        <v>344</v>
      </c>
      <c r="D889" s="50" t="s">
        <v>1903</v>
      </c>
      <c r="E889" s="50" t="s">
        <v>1937</v>
      </c>
      <c r="F889" s="90" t="s">
        <v>1860</v>
      </c>
      <c r="G889" s="90" t="s">
        <v>1682</v>
      </c>
      <c r="H889" s="90" t="s">
        <v>1247</v>
      </c>
      <c r="I889" s="90" t="s">
        <v>1861</v>
      </c>
      <c r="J889" s="90" t="s">
        <v>1862</v>
      </c>
      <c r="K889" s="90" t="s">
        <v>1863</v>
      </c>
      <c r="L889" s="90" t="s">
        <v>1864</v>
      </c>
      <c r="M889" s="95" t="s">
        <v>1679</v>
      </c>
      <c r="N889" s="90" t="s">
        <v>1680</v>
      </c>
    </row>
    <row r="890" spans="1:14" ht="16.5">
      <c r="A890" s="90">
        <v>887</v>
      </c>
      <c r="B890" s="47">
        <v>230</v>
      </c>
      <c r="C890" s="50" t="s">
        <v>539</v>
      </c>
      <c r="D890" s="50" t="s">
        <v>1903</v>
      </c>
      <c r="E890" s="50" t="s">
        <v>1937</v>
      </c>
      <c r="F890" s="90" t="s">
        <v>1881</v>
      </c>
      <c r="G890" s="90" t="s">
        <v>1682</v>
      </c>
      <c r="H890" s="90" t="s">
        <v>1247</v>
      </c>
      <c r="I890" s="90" t="s">
        <v>1683</v>
      </c>
      <c r="J890" s="90" t="s">
        <v>1684</v>
      </c>
      <c r="K890" s="90" t="s">
        <v>1882</v>
      </c>
      <c r="L890" s="90" t="s">
        <v>1883</v>
      </c>
      <c r="M890" s="95" t="s">
        <v>1679</v>
      </c>
      <c r="N890" s="90" t="s">
        <v>1884</v>
      </c>
    </row>
    <row r="891" spans="1:14" ht="16.5">
      <c r="A891" s="90">
        <v>888</v>
      </c>
      <c r="B891" s="91">
        <v>232</v>
      </c>
      <c r="C891" s="90" t="s">
        <v>319</v>
      </c>
      <c r="D891" s="50" t="s">
        <v>1903</v>
      </c>
      <c r="E891" s="50" t="s">
        <v>1937</v>
      </c>
      <c r="F891" s="90" t="s">
        <v>1860</v>
      </c>
      <c r="G891" s="90" t="s">
        <v>1682</v>
      </c>
      <c r="H891" s="90" t="s">
        <v>1247</v>
      </c>
      <c r="I891" s="90" t="s">
        <v>1861</v>
      </c>
      <c r="J891" s="90" t="s">
        <v>1862</v>
      </c>
      <c r="K891" s="90" t="s">
        <v>1863</v>
      </c>
      <c r="L891" s="90" t="s">
        <v>1864</v>
      </c>
      <c r="M891" s="95" t="s">
        <v>1679</v>
      </c>
      <c r="N891" s="90" t="s">
        <v>1680</v>
      </c>
    </row>
    <row r="892" spans="1:14" ht="16.5">
      <c r="A892" s="90">
        <v>889</v>
      </c>
      <c r="B892" s="47">
        <v>233</v>
      </c>
      <c r="C892" s="50" t="s">
        <v>593</v>
      </c>
      <c r="D892" s="50" t="s">
        <v>1903</v>
      </c>
      <c r="E892" s="50" t="s">
        <v>1937</v>
      </c>
      <c r="F892" s="90">
        <v>50</v>
      </c>
      <c r="G892" s="90">
        <v>30</v>
      </c>
      <c r="H892" s="90">
        <v>10</v>
      </c>
      <c r="I892" s="90">
        <v>30</v>
      </c>
      <c r="J892" s="90">
        <v>40</v>
      </c>
      <c r="K892" s="90">
        <v>60</v>
      </c>
      <c r="L892" s="90">
        <v>65</v>
      </c>
      <c r="M892" s="95">
        <v>1</v>
      </c>
      <c r="N892" s="90">
        <v>3</v>
      </c>
    </row>
    <row r="893" spans="1:14" ht="16.5">
      <c r="A893" s="90">
        <v>890</v>
      </c>
      <c r="B893" s="47">
        <v>237</v>
      </c>
      <c r="C893" s="50" t="s">
        <v>565</v>
      </c>
      <c r="D893" s="50" t="s">
        <v>1903</v>
      </c>
      <c r="E893" s="50" t="s">
        <v>1937</v>
      </c>
      <c r="F893" s="90" t="s">
        <v>1885</v>
      </c>
      <c r="G893" s="90" t="s">
        <v>1682</v>
      </c>
      <c r="H893" s="90" t="s">
        <v>1247</v>
      </c>
      <c r="I893" s="90" t="s">
        <v>1675</v>
      </c>
      <c r="J893" s="90" t="s">
        <v>1676</v>
      </c>
      <c r="K893" s="90" t="s">
        <v>1886</v>
      </c>
      <c r="L893" s="90" t="s">
        <v>1887</v>
      </c>
      <c r="M893" s="95" t="s">
        <v>1679</v>
      </c>
      <c r="N893" s="90" t="s">
        <v>1680</v>
      </c>
    </row>
    <row r="894" spans="1:14" ht="16.5">
      <c r="A894" s="90">
        <v>891</v>
      </c>
      <c r="B894" s="47">
        <v>213</v>
      </c>
      <c r="C894" s="50" t="s">
        <v>599</v>
      </c>
      <c r="D894" s="50" t="s">
        <v>1903</v>
      </c>
      <c r="E894" s="50" t="s">
        <v>1937</v>
      </c>
      <c r="F894" s="90">
        <v>63</v>
      </c>
      <c r="G894" s="90">
        <v>30</v>
      </c>
      <c r="H894" s="90">
        <v>10</v>
      </c>
      <c r="I894" s="90">
        <v>48</v>
      </c>
      <c r="J894" s="90">
        <v>53</v>
      </c>
      <c r="K894" s="90">
        <v>73</v>
      </c>
      <c r="L894" s="90">
        <v>78</v>
      </c>
      <c r="M894" s="95">
        <v>1</v>
      </c>
      <c r="N894" s="90">
        <v>6</v>
      </c>
    </row>
    <row r="895" spans="1:14" ht="16.5">
      <c r="A895" s="90">
        <v>892</v>
      </c>
      <c r="B895" s="47">
        <v>224</v>
      </c>
      <c r="C895" s="50" t="s">
        <v>369</v>
      </c>
      <c r="D895" s="50" t="s">
        <v>1903</v>
      </c>
      <c r="E895" s="50" t="s">
        <v>1937</v>
      </c>
      <c r="F895" s="90" t="s">
        <v>1860</v>
      </c>
      <c r="G895" s="90" t="s">
        <v>1682</v>
      </c>
      <c r="H895" s="90" t="s">
        <v>1247</v>
      </c>
      <c r="I895" s="90" t="s">
        <v>1861</v>
      </c>
      <c r="J895" s="90" t="s">
        <v>1862</v>
      </c>
      <c r="K895" s="90" t="s">
        <v>1863</v>
      </c>
      <c r="L895" s="90" t="s">
        <v>1864</v>
      </c>
      <c r="M895" s="95" t="s">
        <v>1679</v>
      </c>
      <c r="N895" s="90" t="s">
        <v>1680</v>
      </c>
    </row>
    <row r="896" spans="1:14" ht="16.5">
      <c r="A896" s="90">
        <v>893</v>
      </c>
      <c r="B896" s="47">
        <v>229</v>
      </c>
      <c r="C896" s="50" t="s">
        <v>515</v>
      </c>
      <c r="D896" s="50" t="s">
        <v>1903</v>
      </c>
      <c r="E896" s="50" t="s">
        <v>1937</v>
      </c>
      <c r="F896" s="90" t="s">
        <v>1872</v>
      </c>
      <c r="G896" s="90" t="s">
        <v>1682</v>
      </c>
      <c r="H896" s="90" t="s">
        <v>1247</v>
      </c>
      <c r="I896" s="90" t="s">
        <v>1879</v>
      </c>
      <c r="J896" s="90" t="s">
        <v>1880</v>
      </c>
      <c r="K896" s="90" t="s">
        <v>1875</v>
      </c>
      <c r="L896" s="90" t="s">
        <v>1876</v>
      </c>
      <c r="M896" s="95" t="s">
        <v>1679</v>
      </c>
      <c r="N896" s="90" t="s">
        <v>1680</v>
      </c>
    </row>
    <row r="897" spans="1:14" ht="16.5">
      <c r="A897" s="90">
        <v>894</v>
      </c>
      <c r="B897" s="47">
        <v>231</v>
      </c>
      <c r="C897" s="94" t="s">
        <v>591</v>
      </c>
      <c r="D897" s="50" t="s">
        <v>1903</v>
      </c>
      <c r="E897" s="50" t="s">
        <v>1937</v>
      </c>
      <c r="F897" s="90" t="s">
        <v>1872</v>
      </c>
      <c r="G897" s="90" t="s">
        <v>1862</v>
      </c>
      <c r="H897" s="90" t="s">
        <v>1888</v>
      </c>
      <c r="I897" s="90" t="s">
        <v>1862</v>
      </c>
      <c r="J897" s="90" t="s">
        <v>1889</v>
      </c>
      <c r="K897" s="90" t="s">
        <v>1890</v>
      </c>
      <c r="L897" s="90" t="s">
        <v>1868</v>
      </c>
      <c r="M897" s="95" t="s">
        <v>1679</v>
      </c>
      <c r="N897" s="90" t="s">
        <v>1891</v>
      </c>
    </row>
    <row r="898" spans="1:14" ht="16.5">
      <c r="A898" s="90">
        <v>895</v>
      </c>
      <c r="B898" s="47">
        <v>211</v>
      </c>
      <c r="C898" s="50" t="s">
        <v>605</v>
      </c>
      <c r="D898" s="50" t="s">
        <v>1903</v>
      </c>
      <c r="E898" s="50" t="s">
        <v>1937</v>
      </c>
      <c r="F898" s="90">
        <v>50</v>
      </c>
      <c r="G898" s="90">
        <v>30</v>
      </c>
      <c r="H898" s="90">
        <v>10</v>
      </c>
      <c r="I898" s="90">
        <v>33</v>
      </c>
      <c r="J898" s="90">
        <v>38</v>
      </c>
      <c r="K898" s="90">
        <v>58</v>
      </c>
      <c r="L898" s="90">
        <v>63</v>
      </c>
      <c r="M898" s="95">
        <v>1</v>
      </c>
      <c r="N898" s="90">
        <v>3</v>
      </c>
    </row>
    <row r="899" spans="1:14" ht="16.5">
      <c r="A899" s="90">
        <v>896</v>
      </c>
      <c r="B899" s="47">
        <v>212</v>
      </c>
      <c r="C899" s="50" t="s">
        <v>394</v>
      </c>
      <c r="D899" s="50" t="s">
        <v>1903</v>
      </c>
      <c r="E899" s="50" t="s">
        <v>1937</v>
      </c>
      <c r="F899" s="90" t="s">
        <v>1898</v>
      </c>
      <c r="G899" s="90" t="s">
        <v>1862</v>
      </c>
      <c r="H899" s="90" t="s">
        <v>1888</v>
      </c>
      <c r="I899" s="90" t="s">
        <v>1899</v>
      </c>
      <c r="J899" s="90" t="s">
        <v>1889</v>
      </c>
      <c r="K899" s="90" t="s">
        <v>1900</v>
      </c>
      <c r="L899" s="90" t="s">
        <v>1901</v>
      </c>
      <c r="M899" s="95" t="s">
        <v>1679</v>
      </c>
      <c r="N899" s="90" t="s">
        <v>1902</v>
      </c>
    </row>
    <row r="900" spans="1:14" ht="16.5">
      <c r="A900" s="90">
        <v>897</v>
      </c>
      <c r="B900" s="47">
        <v>300</v>
      </c>
      <c r="C900" s="50" t="s">
        <v>1896</v>
      </c>
      <c r="D900" s="50" t="s">
        <v>1903</v>
      </c>
      <c r="E900" s="50" t="s">
        <v>1937</v>
      </c>
      <c r="F900" s="90">
        <v>38</v>
      </c>
      <c r="G900" s="90">
        <v>30</v>
      </c>
      <c r="H900" s="90">
        <v>10</v>
      </c>
      <c r="I900" s="90">
        <v>27</v>
      </c>
      <c r="J900" s="90">
        <v>32</v>
      </c>
      <c r="K900" s="90">
        <v>52</v>
      </c>
      <c r="L900" s="90">
        <v>57</v>
      </c>
      <c r="M900" s="95">
        <v>1</v>
      </c>
      <c r="N900" s="90">
        <v>6</v>
      </c>
    </row>
    <row r="901" spans="1:14" ht="16.5">
      <c r="A901" s="90">
        <v>898</v>
      </c>
      <c r="B901" s="47">
        <v>228</v>
      </c>
      <c r="C901" s="50" t="s">
        <v>948</v>
      </c>
      <c r="D901" s="50" t="s">
        <v>1903</v>
      </c>
      <c r="E901" s="50" t="s">
        <v>1937</v>
      </c>
      <c r="F901" s="90" t="s">
        <v>1872</v>
      </c>
      <c r="G901" s="90" t="s">
        <v>1682</v>
      </c>
      <c r="H901" s="90" t="s">
        <v>1247</v>
      </c>
      <c r="I901" s="90" t="s">
        <v>1873</v>
      </c>
      <c r="J901" s="90" t="s">
        <v>1874</v>
      </c>
      <c r="K901" s="90" t="s">
        <v>1875</v>
      </c>
      <c r="L901" s="90" t="s">
        <v>1876</v>
      </c>
      <c r="M901" s="95" t="s">
        <v>1679</v>
      </c>
      <c r="N901" s="90" t="s">
        <v>1877</v>
      </c>
    </row>
    <row r="902" spans="1:14" ht="16.5">
      <c r="A902" s="90">
        <v>899</v>
      </c>
      <c r="B902" s="47">
        <v>202</v>
      </c>
      <c r="C902" s="50" t="s">
        <v>154</v>
      </c>
      <c r="D902" s="50" t="s">
        <v>1905</v>
      </c>
      <c r="E902" s="50" t="s">
        <v>1937</v>
      </c>
      <c r="F902" s="90" t="s">
        <v>1854</v>
      </c>
      <c r="G902" s="90" t="s">
        <v>1674</v>
      </c>
      <c r="H902" s="90" t="s">
        <v>1247</v>
      </c>
      <c r="I902" s="90" t="s">
        <v>1855</v>
      </c>
      <c r="J902" s="90" t="s">
        <v>1856</v>
      </c>
      <c r="K902" s="90" t="s">
        <v>1857</v>
      </c>
      <c r="L902" s="90" t="s">
        <v>1858</v>
      </c>
      <c r="M902" s="95" t="s">
        <v>1679</v>
      </c>
      <c r="N902" s="90" t="s">
        <v>1859</v>
      </c>
    </row>
    <row r="903" spans="1:14" ht="16.5">
      <c r="A903" s="90">
        <v>900</v>
      </c>
      <c r="B903" s="91">
        <v>203</v>
      </c>
      <c r="C903" s="90" t="s">
        <v>202</v>
      </c>
      <c r="D903" s="50" t="s">
        <v>1905</v>
      </c>
      <c r="E903" s="50" t="s">
        <v>1937</v>
      </c>
      <c r="F903" s="90" t="s">
        <v>1881</v>
      </c>
      <c r="G903" s="90" t="s">
        <v>1682</v>
      </c>
      <c r="H903" s="90" t="s">
        <v>1247</v>
      </c>
      <c r="I903" s="90" t="s">
        <v>1683</v>
      </c>
      <c r="J903" s="90" t="s">
        <v>1684</v>
      </c>
      <c r="K903" s="90" t="s">
        <v>1882</v>
      </c>
      <c r="L903" s="90" t="s">
        <v>1883</v>
      </c>
      <c r="M903" s="95" t="s">
        <v>1679</v>
      </c>
      <c r="N903" s="90" t="s">
        <v>1906</v>
      </c>
    </row>
    <row r="904" spans="1:14" ht="16.5">
      <c r="A904" s="90">
        <v>901</v>
      </c>
      <c r="B904" s="47">
        <v>204</v>
      </c>
      <c r="C904" s="50" t="s">
        <v>226</v>
      </c>
      <c r="D904" s="50" t="s">
        <v>1905</v>
      </c>
      <c r="E904" s="50" t="s">
        <v>1937</v>
      </c>
      <c r="F904" s="90" t="s">
        <v>1854</v>
      </c>
      <c r="G904" s="90" t="s">
        <v>1674</v>
      </c>
      <c r="H904" s="90" t="s">
        <v>1247</v>
      </c>
      <c r="I904" s="90" t="s">
        <v>1855</v>
      </c>
      <c r="J904" s="90" t="s">
        <v>1856</v>
      </c>
      <c r="K904" s="90" t="s">
        <v>1857</v>
      </c>
      <c r="L904" s="90" t="s">
        <v>1858</v>
      </c>
      <c r="M904" s="95" t="s">
        <v>1679</v>
      </c>
      <c r="N904" s="90" t="s">
        <v>1680</v>
      </c>
    </row>
    <row r="905" spans="1:14" ht="16.5">
      <c r="A905" s="90">
        <v>902</v>
      </c>
      <c r="B905" s="47">
        <v>205</v>
      </c>
      <c r="C905" s="50" t="s">
        <v>249</v>
      </c>
      <c r="D905" s="50" t="s">
        <v>1905</v>
      </c>
      <c r="E905" s="50" t="s">
        <v>1937</v>
      </c>
      <c r="F905" s="90" t="s">
        <v>1854</v>
      </c>
      <c r="G905" s="90" t="s">
        <v>1674</v>
      </c>
      <c r="H905" s="90" t="s">
        <v>1247</v>
      </c>
      <c r="I905" s="90" t="s">
        <v>1855</v>
      </c>
      <c r="J905" s="90" t="s">
        <v>1856</v>
      </c>
      <c r="K905" s="90" t="s">
        <v>1857</v>
      </c>
      <c r="L905" s="90" t="s">
        <v>1858</v>
      </c>
      <c r="M905" s="95" t="s">
        <v>1679</v>
      </c>
      <c r="N905" s="90" t="s">
        <v>1859</v>
      </c>
    </row>
    <row r="906" spans="1:14" ht="16.5">
      <c r="A906" s="90">
        <v>903</v>
      </c>
      <c r="B906" s="47">
        <v>207</v>
      </c>
      <c r="C906" s="50" t="s">
        <v>595</v>
      </c>
      <c r="D906" s="50" t="s">
        <v>1905</v>
      </c>
      <c r="E906" s="50" t="s">
        <v>1937</v>
      </c>
      <c r="F906" s="90">
        <v>50</v>
      </c>
      <c r="G906" s="90">
        <v>30</v>
      </c>
      <c r="H906" s="90">
        <v>10</v>
      </c>
      <c r="I906" s="90">
        <v>30</v>
      </c>
      <c r="J906" s="90">
        <v>40</v>
      </c>
      <c r="K906" s="90">
        <v>60</v>
      </c>
      <c r="L906" s="90">
        <v>65</v>
      </c>
      <c r="M906" s="95">
        <v>1</v>
      </c>
      <c r="N906" s="90">
        <v>3</v>
      </c>
    </row>
    <row r="907" spans="1:14" ht="16.5">
      <c r="A907" s="90">
        <v>904</v>
      </c>
      <c r="B907" s="96">
        <v>208</v>
      </c>
      <c r="C907" s="97" t="s">
        <v>589</v>
      </c>
      <c r="D907" s="97" t="s">
        <v>1905</v>
      </c>
      <c r="E907" s="50" t="s">
        <v>1937</v>
      </c>
      <c r="F907" s="97">
        <v>63</v>
      </c>
      <c r="G907" s="97">
        <v>50</v>
      </c>
      <c r="H907" s="97">
        <v>1</v>
      </c>
      <c r="I907" s="97">
        <v>30</v>
      </c>
      <c r="J907" s="97">
        <v>45</v>
      </c>
      <c r="K907" s="97">
        <v>73</v>
      </c>
      <c r="L907" s="97">
        <v>78</v>
      </c>
      <c r="M907" s="98">
        <v>1</v>
      </c>
      <c r="N907" s="97">
        <v>12</v>
      </c>
    </row>
    <row r="908" spans="1:14" ht="16.5">
      <c r="A908" s="90">
        <v>905</v>
      </c>
      <c r="B908" s="47">
        <v>215</v>
      </c>
      <c r="C908" s="50" t="s">
        <v>418</v>
      </c>
      <c r="D908" s="50" t="s">
        <v>1905</v>
      </c>
      <c r="E908" s="50" t="s">
        <v>1937</v>
      </c>
      <c r="F908" s="90" t="s">
        <v>1907</v>
      </c>
      <c r="G908" s="90" t="s">
        <v>1682</v>
      </c>
      <c r="H908" s="90" t="s">
        <v>1247</v>
      </c>
      <c r="I908" s="90" t="s">
        <v>1908</v>
      </c>
      <c r="J908" s="90" t="s">
        <v>1909</v>
      </c>
      <c r="K908" s="90" t="s">
        <v>1910</v>
      </c>
      <c r="L908" s="90" t="s">
        <v>1911</v>
      </c>
      <c r="M908" s="95" t="s">
        <v>1679</v>
      </c>
      <c r="N908" s="90" t="s">
        <v>1906</v>
      </c>
    </row>
    <row r="909" spans="1:14" ht="16.5">
      <c r="A909" s="90">
        <v>906</v>
      </c>
      <c r="B909" s="47">
        <v>222</v>
      </c>
      <c r="C909" s="50" t="s">
        <v>442</v>
      </c>
      <c r="D909" s="50" t="s">
        <v>1905</v>
      </c>
      <c r="E909" s="50" t="s">
        <v>1937</v>
      </c>
      <c r="F909" s="90" t="s">
        <v>1854</v>
      </c>
      <c r="G909" s="90" t="s">
        <v>1871</v>
      </c>
      <c r="H909" s="90" t="s">
        <v>1247</v>
      </c>
      <c r="I909" s="90" t="s">
        <v>1855</v>
      </c>
      <c r="J909" s="90" t="s">
        <v>1856</v>
      </c>
      <c r="K909" s="90" t="s">
        <v>1857</v>
      </c>
      <c r="L909" s="90" t="s">
        <v>1858</v>
      </c>
      <c r="M909" s="95" t="s">
        <v>1679</v>
      </c>
      <c r="N909" s="90" t="s">
        <v>1859</v>
      </c>
    </row>
    <row r="910" spans="1:14" ht="16.5">
      <c r="A910" s="90">
        <v>907</v>
      </c>
      <c r="B910" s="47">
        <v>223</v>
      </c>
      <c r="C910" s="50" t="s">
        <v>918</v>
      </c>
      <c r="D910" s="50" t="s">
        <v>1905</v>
      </c>
      <c r="E910" s="50" t="s">
        <v>1937</v>
      </c>
      <c r="F910" s="90">
        <v>28</v>
      </c>
      <c r="G910" s="90">
        <v>30</v>
      </c>
      <c r="H910" s="90">
        <v>10</v>
      </c>
      <c r="I910" s="90">
        <v>17</v>
      </c>
      <c r="J910" s="90">
        <v>22</v>
      </c>
      <c r="K910" s="90">
        <v>33</v>
      </c>
      <c r="L910" s="90">
        <v>38</v>
      </c>
      <c r="M910" s="95">
        <v>1</v>
      </c>
      <c r="N910" s="90">
        <v>2</v>
      </c>
    </row>
    <row r="911" spans="1:14" ht="16.5">
      <c r="A911" s="90">
        <v>908</v>
      </c>
      <c r="B911" s="47">
        <v>226</v>
      </c>
      <c r="C911" s="92" t="s">
        <v>469</v>
      </c>
      <c r="D911" s="50" t="s">
        <v>1905</v>
      </c>
      <c r="E911" s="50" t="s">
        <v>1937</v>
      </c>
      <c r="F911" s="90" t="s">
        <v>1912</v>
      </c>
      <c r="G911" s="90" t="s">
        <v>1682</v>
      </c>
      <c r="H911" s="90" t="s">
        <v>1247</v>
      </c>
      <c r="I911" s="90" t="s">
        <v>1866</v>
      </c>
      <c r="J911" s="90" t="s">
        <v>1913</v>
      </c>
      <c r="K911" s="90" t="s">
        <v>1901</v>
      </c>
      <c r="L911" s="90" t="s">
        <v>1914</v>
      </c>
      <c r="M911" s="95" t="s">
        <v>1679</v>
      </c>
      <c r="N911" s="90" t="s">
        <v>1915</v>
      </c>
    </row>
    <row r="912" spans="1:14" ht="16.5">
      <c r="A912" s="90">
        <v>909</v>
      </c>
      <c r="B912" s="91">
        <v>227</v>
      </c>
      <c r="C912" s="93" t="s">
        <v>493</v>
      </c>
      <c r="D912" s="50" t="s">
        <v>1905</v>
      </c>
      <c r="E912" s="50" t="s">
        <v>1937</v>
      </c>
      <c r="F912" s="90" t="s">
        <v>1872</v>
      </c>
      <c r="G912" s="90" t="s">
        <v>1682</v>
      </c>
      <c r="H912" s="90" t="s">
        <v>1247</v>
      </c>
      <c r="I912" s="90" t="s">
        <v>1873</v>
      </c>
      <c r="J912" s="90" t="s">
        <v>1874</v>
      </c>
      <c r="K912" s="90" t="s">
        <v>1875</v>
      </c>
      <c r="L912" s="90" t="s">
        <v>1876</v>
      </c>
      <c r="M912" s="95" t="s">
        <v>1679</v>
      </c>
      <c r="N912" s="90" t="s">
        <v>1870</v>
      </c>
    </row>
    <row r="913" spans="1:14" ht="16.5">
      <c r="A913" s="90">
        <v>910</v>
      </c>
      <c r="B913" s="47">
        <v>234</v>
      </c>
      <c r="C913" s="50" t="s">
        <v>1878</v>
      </c>
      <c r="D913" s="50" t="s">
        <v>1905</v>
      </c>
      <c r="E913" s="50" t="s">
        <v>1937</v>
      </c>
      <c r="F913" s="90" t="s">
        <v>1854</v>
      </c>
      <c r="G913" s="90" t="s">
        <v>1674</v>
      </c>
      <c r="H913" s="90" t="s">
        <v>1247</v>
      </c>
      <c r="I913" s="90" t="s">
        <v>1855</v>
      </c>
      <c r="J913" s="90" t="s">
        <v>1856</v>
      </c>
      <c r="K913" s="90" t="s">
        <v>1857</v>
      </c>
      <c r="L913" s="90" t="s">
        <v>1858</v>
      </c>
      <c r="M913" s="95" t="s">
        <v>1679</v>
      </c>
      <c r="N913" s="90" t="s">
        <v>1859</v>
      </c>
    </row>
    <row r="914" spans="1:14" ht="16.5">
      <c r="A914" s="90">
        <v>911</v>
      </c>
      <c r="B914" s="47">
        <v>235</v>
      </c>
      <c r="C914" s="50" t="s">
        <v>601</v>
      </c>
      <c r="D914" s="50" t="s">
        <v>1905</v>
      </c>
      <c r="E914" s="50" t="s">
        <v>1937</v>
      </c>
      <c r="F914" s="90">
        <v>50</v>
      </c>
      <c r="G914" s="90">
        <v>30</v>
      </c>
      <c r="H914" s="90">
        <v>10</v>
      </c>
      <c r="I914" s="90">
        <v>30</v>
      </c>
      <c r="J914" s="90">
        <v>40</v>
      </c>
      <c r="K914" s="90">
        <v>60</v>
      </c>
      <c r="L914" s="90">
        <v>65</v>
      </c>
      <c r="M914" s="95">
        <v>1</v>
      </c>
      <c r="N914" s="90">
        <v>3</v>
      </c>
    </row>
    <row r="915" spans="1:14" ht="16.5">
      <c r="A915" s="90">
        <v>912</v>
      </c>
      <c r="B915" s="47">
        <v>236</v>
      </c>
      <c r="C915" s="50" t="s">
        <v>1688</v>
      </c>
      <c r="D915" s="50" t="s">
        <v>1905</v>
      </c>
      <c r="E915" s="50" t="s">
        <v>1937</v>
      </c>
      <c r="F915" s="90">
        <v>50</v>
      </c>
      <c r="G915" s="90">
        <v>30</v>
      </c>
      <c r="H915" s="90">
        <v>10</v>
      </c>
      <c r="I915" s="90">
        <v>30</v>
      </c>
      <c r="J915" s="90">
        <v>40</v>
      </c>
      <c r="K915" s="90">
        <v>60</v>
      </c>
      <c r="L915" s="90">
        <v>65</v>
      </c>
      <c r="M915" s="95">
        <v>1</v>
      </c>
      <c r="N915" s="90">
        <v>8</v>
      </c>
    </row>
    <row r="916" spans="1:14" ht="16.5">
      <c r="A916" s="90">
        <v>913</v>
      </c>
      <c r="B916" s="91">
        <v>201</v>
      </c>
      <c r="C916" s="90" t="s">
        <v>66</v>
      </c>
      <c r="D916" s="50" t="s">
        <v>1905</v>
      </c>
      <c r="E916" s="50" t="s">
        <v>1937</v>
      </c>
      <c r="F916" s="90" t="s">
        <v>1912</v>
      </c>
      <c r="G916" s="90" t="s">
        <v>1682</v>
      </c>
      <c r="H916" s="90" t="s">
        <v>1247</v>
      </c>
      <c r="I916" s="90" t="s">
        <v>1916</v>
      </c>
      <c r="J916" s="90" t="s">
        <v>1917</v>
      </c>
      <c r="K916" s="90" t="s">
        <v>1918</v>
      </c>
      <c r="L916" s="90" t="s">
        <v>1919</v>
      </c>
      <c r="M916" s="95" t="s">
        <v>1679</v>
      </c>
      <c r="N916" s="90" t="s">
        <v>1687</v>
      </c>
    </row>
    <row r="917" spans="1:14" ht="16.5">
      <c r="A917" s="90">
        <v>914</v>
      </c>
      <c r="B917" s="91">
        <v>206</v>
      </c>
      <c r="C917" s="90" t="s">
        <v>293</v>
      </c>
      <c r="D917" s="50" t="s">
        <v>1905</v>
      </c>
      <c r="E917" s="50" t="s">
        <v>1937</v>
      </c>
      <c r="F917" s="90" t="s">
        <v>1872</v>
      </c>
      <c r="G917" s="90" t="s">
        <v>1682</v>
      </c>
      <c r="H917" s="90" t="s">
        <v>1247</v>
      </c>
      <c r="I917" s="90" t="s">
        <v>1920</v>
      </c>
      <c r="J917" s="90" t="s">
        <v>1880</v>
      </c>
      <c r="K917" s="90" t="s">
        <v>1875</v>
      </c>
      <c r="L917" s="90" t="s">
        <v>1876</v>
      </c>
      <c r="M917" s="95" t="s">
        <v>1679</v>
      </c>
      <c r="N917" s="90" t="s">
        <v>1680</v>
      </c>
    </row>
    <row r="918" spans="1:14" ht="16.5">
      <c r="A918" s="90">
        <v>915</v>
      </c>
      <c r="B918" s="47">
        <v>209</v>
      </c>
      <c r="C918" s="50" t="s">
        <v>344</v>
      </c>
      <c r="D918" s="50" t="s">
        <v>1905</v>
      </c>
      <c r="E918" s="50" t="s">
        <v>1937</v>
      </c>
      <c r="F918" s="90" t="s">
        <v>1872</v>
      </c>
      <c r="G918" s="90" t="s">
        <v>1682</v>
      </c>
      <c r="H918" s="90" t="s">
        <v>1247</v>
      </c>
      <c r="I918" s="90" t="s">
        <v>1920</v>
      </c>
      <c r="J918" s="90" t="s">
        <v>1880</v>
      </c>
      <c r="K918" s="90" t="s">
        <v>1875</v>
      </c>
      <c r="L918" s="90" t="s">
        <v>1876</v>
      </c>
      <c r="M918" s="95" t="s">
        <v>1679</v>
      </c>
      <c r="N918" s="90" t="s">
        <v>1680</v>
      </c>
    </row>
    <row r="919" spans="1:14" ht="16.5">
      <c r="A919" s="90">
        <v>916</v>
      </c>
      <c r="B919" s="47">
        <v>230</v>
      </c>
      <c r="C919" s="50" t="s">
        <v>539</v>
      </c>
      <c r="D919" s="50" t="s">
        <v>1905</v>
      </c>
      <c r="E919" s="50" t="s">
        <v>1937</v>
      </c>
      <c r="F919" s="90" t="s">
        <v>1872</v>
      </c>
      <c r="G919" s="90" t="s">
        <v>1682</v>
      </c>
      <c r="H919" s="90" t="s">
        <v>1247</v>
      </c>
      <c r="I919" s="90" t="s">
        <v>1920</v>
      </c>
      <c r="J919" s="90" t="s">
        <v>1880</v>
      </c>
      <c r="K919" s="90" t="s">
        <v>1875</v>
      </c>
      <c r="L919" s="90" t="s">
        <v>1876</v>
      </c>
      <c r="M919" s="95" t="s">
        <v>1679</v>
      </c>
      <c r="N919" s="90" t="s">
        <v>1921</v>
      </c>
    </row>
    <row r="920" spans="1:14" ht="16.5">
      <c r="A920" s="90">
        <v>917</v>
      </c>
      <c r="B920" s="91">
        <v>232</v>
      </c>
      <c r="C920" s="90" t="s">
        <v>319</v>
      </c>
      <c r="D920" s="50" t="s">
        <v>1905</v>
      </c>
      <c r="E920" s="50" t="s">
        <v>1937</v>
      </c>
      <c r="F920" s="90" t="s">
        <v>1872</v>
      </c>
      <c r="G920" s="90" t="s">
        <v>1682</v>
      </c>
      <c r="H920" s="90" t="s">
        <v>1247</v>
      </c>
      <c r="I920" s="90" t="s">
        <v>1920</v>
      </c>
      <c r="J920" s="90" t="s">
        <v>1880</v>
      </c>
      <c r="K920" s="90" t="s">
        <v>1875</v>
      </c>
      <c r="L920" s="90" t="s">
        <v>1876</v>
      </c>
      <c r="M920" s="95" t="s">
        <v>1679</v>
      </c>
      <c r="N920" s="90" t="s">
        <v>1680</v>
      </c>
    </row>
    <row r="921" spans="1:14" ht="16.5">
      <c r="A921" s="90">
        <v>918</v>
      </c>
      <c r="B921" s="47">
        <v>233</v>
      </c>
      <c r="C921" s="50" t="s">
        <v>593</v>
      </c>
      <c r="D921" s="50" t="s">
        <v>1905</v>
      </c>
      <c r="E921" s="50" t="s">
        <v>1937</v>
      </c>
      <c r="F921" s="90">
        <v>50</v>
      </c>
      <c r="G921" s="90">
        <v>30</v>
      </c>
      <c r="H921" s="90">
        <v>10</v>
      </c>
      <c r="I921" s="90">
        <v>30</v>
      </c>
      <c r="J921" s="90">
        <v>40</v>
      </c>
      <c r="K921" s="90">
        <v>60</v>
      </c>
      <c r="L921" s="90">
        <v>65</v>
      </c>
      <c r="M921" s="95">
        <v>1</v>
      </c>
      <c r="N921" s="90">
        <v>3</v>
      </c>
    </row>
    <row r="922" spans="1:14" ht="16.5">
      <c r="A922" s="90">
        <v>919</v>
      </c>
      <c r="B922" s="47">
        <v>237</v>
      </c>
      <c r="C922" s="50" t="s">
        <v>565</v>
      </c>
      <c r="D922" s="50" t="s">
        <v>1905</v>
      </c>
      <c r="E922" s="50" t="s">
        <v>1937</v>
      </c>
      <c r="F922" s="90" t="s">
        <v>1885</v>
      </c>
      <c r="G922" s="90" t="s">
        <v>1682</v>
      </c>
      <c r="H922" s="90" t="s">
        <v>1247</v>
      </c>
      <c r="I922" s="90" t="s">
        <v>1675</v>
      </c>
      <c r="J922" s="90" t="s">
        <v>1676</v>
      </c>
      <c r="K922" s="90" t="s">
        <v>1886</v>
      </c>
      <c r="L922" s="90" t="s">
        <v>1887</v>
      </c>
      <c r="M922" s="95" t="s">
        <v>1679</v>
      </c>
      <c r="N922" s="90" t="s">
        <v>1680</v>
      </c>
    </row>
    <row r="923" spans="1:14" ht="16.5">
      <c r="A923" s="90">
        <v>920</v>
      </c>
      <c r="B923" s="47">
        <v>213</v>
      </c>
      <c r="C923" s="50" t="s">
        <v>599</v>
      </c>
      <c r="D923" s="50" t="s">
        <v>1905</v>
      </c>
      <c r="E923" s="50" t="s">
        <v>1937</v>
      </c>
      <c r="F923" s="90">
        <v>63</v>
      </c>
      <c r="G923" s="90">
        <v>30</v>
      </c>
      <c r="H923" s="90">
        <v>10</v>
      </c>
      <c r="I923" s="90">
        <v>48</v>
      </c>
      <c r="J923" s="90">
        <v>53</v>
      </c>
      <c r="K923" s="90">
        <v>73</v>
      </c>
      <c r="L923" s="90">
        <v>78</v>
      </c>
      <c r="M923" s="95">
        <v>1</v>
      </c>
      <c r="N923" s="90">
        <v>6</v>
      </c>
    </row>
    <row r="924" spans="1:14" ht="16.5">
      <c r="A924" s="90">
        <v>921</v>
      </c>
      <c r="B924" s="47">
        <v>224</v>
      </c>
      <c r="C924" s="50" t="s">
        <v>369</v>
      </c>
      <c r="D924" s="50" t="s">
        <v>1905</v>
      </c>
      <c r="E924" s="50" t="s">
        <v>1937</v>
      </c>
      <c r="F924" s="90" t="s">
        <v>1872</v>
      </c>
      <c r="G924" s="90" t="s">
        <v>1682</v>
      </c>
      <c r="H924" s="90" t="s">
        <v>1247</v>
      </c>
      <c r="I924" s="90" t="s">
        <v>1920</v>
      </c>
      <c r="J924" s="90" t="s">
        <v>1880</v>
      </c>
      <c r="K924" s="90" t="s">
        <v>1875</v>
      </c>
      <c r="L924" s="90" t="s">
        <v>1876</v>
      </c>
      <c r="M924" s="95" t="s">
        <v>1679</v>
      </c>
      <c r="N924" s="90" t="s">
        <v>1680</v>
      </c>
    </row>
    <row r="925" spans="1:14" ht="16.5">
      <c r="A925" s="90">
        <v>922</v>
      </c>
      <c r="B925" s="47">
        <v>229</v>
      </c>
      <c r="C925" s="50" t="s">
        <v>515</v>
      </c>
      <c r="D925" s="50" t="s">
        <v>1905</v>
      </c>
      <c r="E925" s="50" t="s">
        <v>1937</v>
      </c>
      <c r="F925" s="90" t="s">
        <v>1872</v>
      </c>
      <c r="G925" s="90" t="s">
        <v>1682</v>
      </c>
      <c r="H925" s="90" t="s">
        <v>1247</v>
      </c>
      <c r="I925" s="90" t="s">
        <v>1920</v>
      </c>
      <c r="J925" s="90" t="s">
        <v>1880</v>
      </c>
      <c r="K925" s="90" t="s">
        <v>1875</v>
      </c>
      <c r="L925" s="90" t="s">
        <v>1876</v>
      </c>
      <c r="M925" s="95" t="s">
        <v>1679</v>
      </c>
      <c r="N925" s="90" t="s">
        <v>1870</v>
      </c>
    </row>
    <row r="926" spans="1:14" ht="16.5">
      <c r="A926" s="90">
        <v>923</v>
      </c>
      <c r="B926" s="47">
        <v>231</v>
      </c>
      <c r="C926" s="94" t="s">
        <v>591</v>
      </c>
      <c r="D926" s="50" t="s">
        <v>1905</v>
      </c>
      <c r="E926" s="50" t="s">
        <v>1937</v>
      </c>
      <c r="F926" s="90" t="s">
        <v>1865</v>
      </c>
      <c r="G926" s="90" t="s">
        <v>1862</v>
      </c>
      <c r="H926" s="90" t="s">
        <v>1888</v>
      </c>
      <c r="I926" s="90" t="s">
        <v>1880</v>
      </c>
      <c r="J926" s="90" t="s">
        <v>1922</v>
      </c>
      <c r="K926" s="90" t="s">
        <v>1923</v>
      </c>
      <c r="L926" s="90" t="s">
        <v>1924</v>
      </c>
      <c r="M926" s="95" t="s">
        <v>1679</v>
      </c>
      <c r="N926" s="90" t="s">
        <v>1891</v>
      </c>
    </row>
    <row r="927" spans="1:14" ht="16.5">
      <c r="A927" s="90">
        <v>924</v>
      </c>
      <c r="B927" s="47">
        <v>211</v>
      </c>
      <c r="C927" s="50" t="s">
        <v>605</v>
      </c>
      <c r="D927" s="50" t="s">
        <v>1905</v>
      </c>
      <c r="E927" s="50" t="s">
        <v>1937</v>
      </c>
      <c r="F927" s="90">
        <v>60</v>
      </c>
      <c r="G927" s="90">
        <v>30</v>
      </c>
      <c r="H927" s="90">
        <v>10</v>
      </c>
      <c r="I927" s="90">
        <v>45</v>
      </c>
      <c r="J927" s="90">
        <v>50</v>
      </c>
      <c r="K927" s="90">
        <v>70</v>
      </c>
      <c r="L927" s="90">
        <v>75</v>
      </c>
      <c r="M927" s="95">
        <v>1</v>
      </c>
      <c r="N927" s="90">
        <v>5.5</v>
      </c>
    </row>
    <row r="928" spans="1:14" ht="16.5">
      <c r="A928" s="90">
        <v>925</v>
      </c>
      <c r="B928" s="47">
        <v>212</v>
      </c>
      <c r="C928" s="50" t="s">
        <v>394</v>
      </c>
      <c r="D928" s="50" t="s">
        <v>1905</v>
      </c>
      <c r="E928" s="50" t="s">
        <v>1937</v>
      </c>
      <c r="F928" s="90" t="s">
        <v>1898</v>
      </c>
      <c r="G928" s="90" t="s">
        <v>1862</v>
      </c>
      <c r="H928" s="90" t="s">
        <v>1888</v>
      </c>
      <c r="I928" s="90" t="s">
        <v>1899</v>
      </c>
      <c r="J928" s="90" t="s">
        <v>1889</v>
      </c>
      <c r="K928" s="90" t="s">
        <v>1900</v>
      </c>
      <c r="L928" s="90" t="s">
        <v>1901</v>
      </c>
      <c r="M928" s="95" t="s">
        <v>1679</v>
      </c>
      <c r="N928" s="90" t="s">
        <v>1902</v>
      </c>
    </row>
    <row r="929" spans="1:14" ht="16.5">
      <c r="A929" s="90">
        <v>926</v>
      </c>
      <c r="B929" s="47">
        <v>300</v>
      </c>
      <c r="C929" s="50" t="s">
        <v>1896</v>
      </c>
      <c r="D929" s="50" t="s">
        <v>1903</v>
      </c>
      <c r="E929" s="50" t="s">
        <v>1937</v>
      </c>
      <c r="F929" s="90">
        <v>38</v>
      </c>
      <c r="G929" s="90">
        <v>30</v>
      </c>
      <c r="H929" s="90">
        <v>10</v>
      </c>
      <c r="I929" s="90">
        <v>27</v>
      </c>
      <c r="J929" s="90">
        <v>32</v>
      </c>
      <c r="K929" s="90">
        <v>52</v>
      </c>
      <c r="L929" s="90">
        <v>57</v>
      </c>
      <c r="M929" s="95">
        <v>1</v>
      </c>
      <c r="N929" s="90">
        <v>6</v>
      </c>
    </row>
    <row r="930" spans="1:14" ht="16.5">
      <c r="A930" s="90">
        <v>927</v>
      </c>
      <c r="B930" s="47">
        <v>228</v>
      </c>
      <c r="C930" s="50" t="s">
        <v>948</v>
      </c>
      <c r="D930" s="50" t="s">
        <v>1905</v>
      </c>
      <c r="E930" s="50" t="s">
        <v>1937</v>
      </c>
      <c r="F930" s="90" t="s">
        <v>1872</v>
      </c>
      <c r="G930" s="90" t="s">
        <v>1682</v>
      </c>
      <c r="H930" s="90" t="s">
        <v>1247</v>
      </c>
      <c r="I930" s="90" t="s">
        <v>1873</v>
      </c>
      <c r="J930" s="90" t="s">
        <v>1874</v>
      </c>
      <c r="K930" s="90" t="s">
        <v>1875</v>
      </c>
      <c r="L930" s="90" t="s">
        <v>1876</v>
      </c>
      <c r="M930" s="95" t="s">
        <v>1679</v>
      </c>
      <c r="N930" s="90" t="s">
        <v>1877</v>
      </c>
    </row>
    <row r="931" spans="1:14" ht="16.5">
      <c r="A931" s="90">
        <v>928</v>
      </c>
      <c r="B931" s="47">
        <v>202</v>
      </c>
      <c r="C931" s="50" t="s">
        <v>154</v>
      </c>
      <c r="D931" s="1" t="s">
        <v>1925</v>
      </c>
      <c r="E931" s="50" t="s">
        <v>1937</v>
      </c>
      <c r="F931" s="90" t="s">
        <v>1854</v>
      </c>
      <c r="G931" s="90" t="s">
        <v>1674</v>
      </c>
      <c r="H931" s="90" t="s">
        <v>1247</v>
      </c>
      <c r="I931" s="90" t="s">
        <v>1855</v>
      </c>
      <c r="J931" s="90" t="s">
        <v>1856</v>
      </c>
      <c r="K931" s="90" t="s">
        <v>1857</v>
      </c>
      <c r="L931" s="90" t="s">
        <v>1858</v>
      </c>
      <c r="M931" s="95" t="s">
        <v>1679</v>
      </c>
      <c r="N931" s="90" t="s">
        <v>1859</v>
      </c>
    </row>
    <row r="932" spans="1:14" ht="16.5">
      <c r="A932" s="90">
        <v>929</v>
      </c>
      <c r="B932" s="91">
        <v>203</v>
      </c>
      <c r="C932" s="90" t="s">
        <v>202</v>
      </c>
      <c r="D932" s="1" t="s">
        <v>1925</v>
      </c>
      <c r="E932" s="50" t="s">
        <v>1937</v>
      </c>
      <c r="F932" s="90" t="s">
        <v>1881</v>
      </c>
      <c r="G932" s="90" t="s">
        <v>1682</v>
      </c>
      <c r="H932" s="90" t="s">
        <v>1247</v>
      </c>
      <c r="I932" s="90" t="s">
        <v>1683</v>
      </c>
      <c r="J932" s="90" t="s">
        <v>1684</v>
      </c>
      <c r="K932" s="90" t="s">
        <v>1882</v>
      </c>
      <c r="L932" s="90" t="s">
        <v>1883</v>
      </c>
      <c r="M932" s="95" t="s">
        <v>1679</v>
      </c>
      <c r="N932" s="90" t="s">
        <v>1906</v>
      </c>
    </row>
    <row r="933" spans="1:14" ht="16.5">
      <c r="A933" s="90">
        <v>930</v>
      </c>
      <c r="B933" s="47">
        <v>204</v>
      </c>
      <c r="C933" s="50" t="s">
        <v>226</v>
      </c>
      <c r="D933" s="1" t="s">
        <v>1925</v>
      </c>
      <c r="E933" s="50" t="s">
        <v>1937</v>
      </c>
      <c r="F933" s="90" t="s">
        <v>1854</v>
      </c>
      <c r="G933" s="90" t="s">
        <v>1674</v>
      </c>
      <c r="H933" s="90" t="s">
        <v>1247</v>
      </c>
      <c r="I933" s="90" t="s">
        <v>1855</v>
      </c>
      <c r="J933" s="90" t="s">
        <v>1856</v>
      </c>
      <c r="K933" s="90" t="s">
        <v>1857</v>
      </c>
      <c r="L933" s="90" t="s">
        <v>1858</v>
      </c>
      <c r="M933" s="95" t="s">
        <v>1679</v>
      </c>
      <c r="N933" s="90" t="s">
        <v>1680</v>
      </c>
    </row>
    <row r="934" spans="1:14" ht="16.5">
      <c r="A934" s="90">
        <v>931</v>
      </c>
      <c r="B934" s="47">
        <v>205</v>
      </c>
      <c r="C934" s="50" t="s">
        <v>249</v>
      </c>
      <c r="D934" s="1" t="s">
        <v>1925</v>
      </c>
      <c r="E934" s="50" t="s">
        <v>1937</v>
      </c>
      <c r="F934" s="90" t="s">
        <v>1854</v>
      </c>
      <c r="G934" s="90" t="s">
        <v>1674</v>
      </c>
      <c r="H934" s="90" t="s">
        <v>1247</v>
      </c>
      <c r="I934" s="90" t="s">
        <v>1855</v>
      </c>
      <c r="J934" s="90" t="s">
        <v>1856</v>
      </c>
      <c r="K934" s="90" t="s">
        <v>1857</v>
      </c>
      <c r="L934" s="90" t="s">
        <v>1858</v>
      </c>
      <c r="M934" s="95" t="s">
        <v>1679</v>
      </c>
      <c r="N934" s="90" t="s">
        <v>1859</v>
      </c>
    </row>
    <row r="935" spans="1:14" ht="16.5">
      <c r="A935" s="90">
        <v>932</v>
      </c>
      <c r="B935" s="47">
        <v>207</v>
      </c>
      <c r="C935" s="50" t="s">
        <v>595</v>
      </c>
      <c r="D935" s="1" t="s">
        <v>1925</v>
      </c>
      <c r="E935" s="50" t="s">
        <v>1937</v>
      </c>
      <c r="F935" s="90">
        <v>50</v>
      </c>
      <c r="G935" s="90">
        <v>30</v>
      </c>
      <c r="H935" s="90">
        <v>10</v>
      </c>
      <c r="I935" s="90">
        <v>30</v>
      </c>
      <c r="J935" s="90">
        <v>40</v>
      </c>
      <c r="K935" s="90">
        <v>60</v>
      </c>
      <c r="L935" s="90">
        <v>65</v>
      </c>
      <c r="M935" s="95">
        <v>1</v>
      </c>
      <c r="N935" s="90">
        <v>3</v>
      </c>
    </row>
    <row r="936" spans="1:14" ht="16.5">
      <c r="A936" s="90">
        <v>933</v>
      </c>
      <c r="B936" s="96">
        <v>208</v>
      </c>
      <c r="C936" s="97" t="s">
        <v>589</v>
      </c>
      <c r="D936" s="1" t="s">
        <v>1925</v>
      </c>
      <c r="E936" s="50" t="s">
        <v>1937</v>
      </c>
      <c r="F936" s="97">
        <v>63</v>
      </c>
      <c r="G936" s="97">
        <v>50</v>
      </c>
      <c r="H936" s="97">
        <v>1</v>
      </c>
      <c r="I936" s="97">
        <v>30</v>
      </c>
      <c r="J936" s="97">
        <v>45</v>
      </c>
      <c r="K936" s="97">
        <v>73</v>
      </c>
      <c r="L936" s="97">
        <v>78</v>
      </c>
      <c r="M936" s="98">
        <v>1</v>
      </c>
      <c r="N936" s="97">
        <v>12</v>
      </c>
    </row>
    <row r="937" spans="1:14" ht="16.5">
      <c r="A937" s="90">
        <v>934</v>
      </c>
      <c r="B937" s="47">
        <v>215</v>
      </c>
      <c r="C937" s="50" t="s">
        <v>418</v>
      </c>
      <c r="D937" s="1" t="s">
        <v>1925</v>
      </c>
      <c r="E937" s="50" t="s">
        <v>1937</v>
      </c>
      <c r="F937" s="90" t="s">
        <v>1907</v>
      </c>
      <c r="G937" s="90" t="s">
        <v>1682</v>
      </c>
      <c r="H937" s="90" t="s">
        <v>1247</v>
      </c>
      <c r="I937" s="90" t="s">
        <v>1908</v>
      </c>
      <c r="J937" s="90" t="s">
        <v>1909</v>
      </c>
      <c r="K937" s="90" t="s">
        <v>1910</v>
      </c>
      <c r="L937" s="90" t="s">
        <v>1911</v>
      </c>
      <c r="M937" s="95" t="s">
        <v>1679</v>
      </c>
      <c r="N937" s="90" t="s">
        <v>1906</v>
      </c>
    </row>
    <row r="938" spans="1:14" ht="16.5">
      <c r="A938" s="90">
        <v>935</v>
      </c>
      <c r="B938" s="47">
        <v>222</v>
      </c>
      <c r="C938" s="50" t="s">
        <v>442</v>
      </c>
      <c r="D938" s="1" t="s">
        <v>1925</v>
      </c>
      <c r="E938" s="50" t="s">
        <v>1937</v>
      </c>
      <c r="F938" s="90" t="s">
        <v>1854</v>
      </c>
      <c r="G938" s="90" t="s">
        <v>1871</v>
      </c>
      <c r="H938" s="90" t="s">
        <v>1247</v>
      </c>
      <c r="I938" s="90" t="s">
        <v>1855</v>
      </c>
      <c r="J938" s="90" t="s">
        <v>1856</v>
      </c>
      <c r="K938" s="90" t="s">
        <v>1857</v>
      </c>
      <c r="L938" s="90" t="s">
        <v>1858</v>
      </c>
      <c r="M938" s="95" t="s">
        <v>1679</v>
      </c>
      <c r="N938" s="90" t="s">
        <v>1859</v>
      </c>
    </row>
    <row r="939" spans="1:14" ht="16.5">
      <c r="A939" s="90">
        <v>936</v>
      </c>
      <c r="B939" s="47">
        <v>223</v>
      </c>
      <c r="C939" s="50" t="s">
        <v>918</v>
      </c>
      <c r="D939" s="1" t="s">
        <v>1925</v>
      </c>
      <c r="E939" s="50" t="s">
        <v>1937</v>
      </c>
      <c r="F939" s="90">
        <v>28</v>
      </c>
      <c r="G939" s="90">
        <v>30</v>
      </c>
      <c r="H939" s="90">
        <v>10</v>
      </c>
      <c r="I939" s="90">
        <v>17</v>
      </c>
      <c r="J939" s="90">
        <v>22</v>
      </c>
      <c r="K939" s="90">
        <v>33</v>
      </c>
      <c r="L939" s="90">
        <v>38</v>
      </c>
      <c r="M939" s="95">
        <v>1</v>
      </c>
      <c r="N939" s="90">
        <v>2</v>
      </c>
    </row>
    <row r="940" spans="1:14" ht="16.5">
      <c r="A940" s="90">
        <v>937</v>
      </c>
      <c r="B940" s="47">
        <v>226</v>
      </c>
      <c r="C940" s="92" t="s">
        <v>469</v>
      </c>
      <c r="D940" s="1" t="s">
        <v>1925</v>
      </c>
      <c r="E940" s="50" t="s">
        <v>1937</v>
      </c>
      <c r="F940" s="90" t="s">
        <v>1912</v>
      </c>
      <c r="G940" s="90" t="s">
        <v>1682</v>
      </c>
      <c r="H940" s="90" t="s">
        <v>1247</v>
      </c>
      <c r="I940" s="90" t="s">
        <v>1866</v>
      </c>
      <c r="J940" s="90" t="s">
        <v>1913</v>
      </c>
      <c r="K940" s="90" t="s">
        <v>1901</v>
      </c>
      <c r="L940" s="90" t="s">
        <v>1914</v>
      </c>
      <c r="M940" s="95" t="s">
        <v>1679</v>
      </c>
      <c r="N940" s="90" t="s">
        <v>1915</v>
      </c>
    </row>
    <row r="941" spans="1:14" ht="16.5">
      <c r="A941" s="90">
        <v>938</v>
      </c>
      <c r="B941" s="91">
        <v>227</v>
      </c>
      <c r="C941" s="93" t="s">
        <v>493</v>
      </c>
      <c r="D941" s="1" t="s">
        <v>1925</v>
      </c>
      <c r="E941" s="50" t="s">
        <v>1937</v>
      </c>
      <c r="F941" s="90" t="s">
        <v>1872</v>
      </c>
      <c r="G941" s="90" t="s">
        <v>1682</v>
      </c>
      <c r="H941" s="90" t="s">
        <v>1247</v>
      </c>
      <c r="I941" s="90" t="s">
        <v>1873</v>
      </c>
      <c r="J941" s="90" t="s">
        <v>1874</v>
      </c>
      <c r="K941" s="90" t="s">
        <v>1875</v>
      </c>
      <c r="L941" s="90" t="s">
        <v>1876</v>
      </c>
      <c r="M941" s="95" t="s">
        <v>1679</v>
      </c>
      <c r="N941" s="90" t="s">
        <v>1870</v>
      </c>
    </row>
    <row r="942" spans="1:14" ht="16.5">
      <c r="A942" s="90">
        <v>939</v>
      </c>
      <c r="B942" s="47">
        <v>234</v>
      </c>
      <c r="C942" s="50" t="s">
        <v>1878</v>
      </c>
      <c r="D942" s="1" t="s">
        <v>1925</v>
      </c>
      <c r="E942" s="50" t="s">
        <v>1937</v>
      </c>
      <c r="F942" s="90" t="s">
        <v>1854</v>
      </c>
      <c r="G942" s="90" t="s">
        <v>1674</v>
      </c>
      <c r="H942" s="90" t="s">
        <v>1247</v>
      </c>
      <c r="I942" s="90" t="s">
        <v>1855</v>
      </c>
      <c r="J942" s="90" t="s">
        <v>1856</v>
      </c>
      <c r="K942" s="90" t="s">
        <v>1857</v>
      </c>
      <c r="L942" s="90" t="s">
        <v>1858</v>
      </c>
      <c r="M942" s="95" t="s">
        <v>1679</v>
      </c>
      <c r="N942" s="90" t="s">
        <v>1859</v>
      </c>
    </row>
    <row r="943" spans="1:14" ht="16.5">
      <c r="A943" s="90">
        <v>940</v>
      </c>
      <c r="B943" s="47">
        <v>235</v>
      </c>
      <c r="C943" s="50" t="s">
        <v>601</v>
      </c>
      <c r="D943" s="1" t="s">
        <v>1925</v>
      </c>
      <c r="E943" s="50" t="s">
        <v>1937</v>
      </c>
      <c r="F943" s="90">
        <v>50</v>
      </c>
      <c r="G943" s="90">
        <v>30</v>
      </c>
      <c r="H943" s="90">
        <v>10</v>
      </c>
      <c r="I943" s="90">
        <v>30</v>
      </c>
      <c r="J943" s="90">
        <v>40</v>
      </c>
      <c r="K943" s="90">
        <v>60</v>
      </c>
      <c r="L943" s="90">
        <v>65</v>
      </c>
      <c r="M943" s="95">
        <v>1</v>
      </c>
      <c r="N943" s="90">
        <v>3</v>
      </c>
    </row>
    <row r="944" spans="1:14" ht="16.5">
      <c r="A944" s="90">
        <v>941</v>
      </c>
      <c r="B944" s="47">
        <v>236</v>
      </c>
      <c r="C944" s="50" t="s">
        <v>1688</v>
      </c>
      <c r="D944" s="1" t="s">
        <v>1925</v>
      </c>
      <c r="E944" s="50" t="s">
        <v>1937</v>
      </c>
      <c r="F944" s="90">
        <v>50</v>
      </c>
      <c r="G944" s="90">
        <v>30</v>
      </c>
      <c r="H944" s="90">
        <v>10</v>
      </c>
      <c r="I944" s="90">
        <v>30</v>
      </c>
      <c r="J944" s="90">
        <v>40</v>
      </c>
      <c r="K944" s="90">
        <v>60</v>
      </c>
      <c r="L944" s="90">
        <v>65</v>
      </c>
      <c r="M944" s="95">
        <v>1</v>
      </c>
      <c r="N944" s="90">
        <v>5</v>
      </c>
    </row>
    <row r="945" spans="1:14" ht="16.5">
      <c r="A945" s="90">
        <v>942</v>
      </c>
      <c r="B945" s="91">
        <v>201</v>
      </c>
      <c r="C945" s="90" t="s">
        <v>66</v>
      </c>
      <c r="D945" s="1" t="s">
        <v>1925</v>
      </c>
      <c r="E945" s="50" t="s">
        <v>1937</v>
      </c>
      <c r="F945" s="90" t="s">
        <v>1912</v>
      </c>
      <c r="G945" s="90" t="s">
        <v>1682</v>
      </c>
      <c r="H945" s="90" t="s">
        <v>1247</v>
      </c>
      <c r="I945" s="90" t="s">
        <v>1916</v>
      </c>
      <c r="J945" s="90" t="s">
        <v>1917</v>
      </c>
      <c r="K945" s="90" t="s">
        <v>1918</v>
      </c>
      <c r="L945" s="90" t="s">
        <v>1919</v>
      </c>
      <c r="M945" s="95" t="s">
        <v>1679</v>
      </c>
      <c r="N945" s="90" t="s">
        <v>1687</v>
      </c>
    </row>
    <row r="946" spans="1:14" ht="16.5">
      <c r="A946" s="90">
        <v>943</v>
      </c>
      <c r="B946" s="91">
        <v>206</v>
      </c>
      <c r="C946" s="90" t="s">
        <v>293</v>
      </c>
      <c r="D946" s="1" t="s">
        <v>1925</v>
      </c>
      <c r="E946" s="50" t="s">
        <v>1937</v>
      </c>
      <c r="F946" s="90" t="s">
        <v>1872</v>
      </c>
      <c r="G946" s="90" t="s">
        <v>1682</v>
      </c>
      <c r="H946" s="90" t="s">
        <v>1247</v>
      </c>
      <c r="I946" s="90" t="s">
        <v>1920</v>
      </c>
      <c r="J946" s="90" t="s">
        <v>1880</v>
      </c>
      <c r="K946" s="90" t="s">
        <v>1875</v>
      </c>
      <c r="L946" s="90" t="s">
        <v>1876</v>
      </c>
      <c r="M946" s="95" t="s">
        <v>1679</v>
      </c>
      <c r="N946" s="90" t="s">
        <v>1680</v>
      </c>
    </row>
    <row r="947" spans="1:14" ht="16.5">
      <c r="A947" s="90">
        <v>944</v>
      </c>
      <c r="B947" s="47">
        <v>209</v>
      </c>
      <c r="C947" s="50" t="s">
        <v>344</v>
      </c>
      <c r="D947" s="1" t="s">
        <v>1925</v>
      </c>
      <c r="E947" s="50" t="s">
        <v>1937</v>
      </c>
      <c r="F947" s="90" t="s">
        <v>1872</v>
      </c>
      <c r="G947" s="90" t="s">
        <v>1682</v>
      </c>
      <c r="H947" s="90" t="s">
        <v>1247</v>
      </c>
      <c r="I947" s="90" t="s">
        <v>1920</v>
      </c>
      <c r="J947" s="90" t="s">
        <v>1880</v>
      </c>
      <c r="K947" s="90" t="s">
        <v>1875</v>
      </c>
      <c r="L947" s="90" t="s">
        <v>1876</v>
      </c>
      <c r="M947" s="95" t="s">
        <v>1679</v>
      </c>
      <c r="N947" s="90" t="s">
        <v>1680</v>
      </c>
    </row>
    <row r="948" spans="1:14" ht="16.5">
      <c r="A948" s="90">
        <v>945</v>
      </c>
      <c r="B948" s="47">
        <v>230</v>
      </c>
      <c r="C948" s="50" t="s">
        <v>539</v>
      </c>
      <c r="D948" s="1" t="s">
        <v>1925</v>
      </c>
      <c r="E948" s="50" t="s">
        <v>1937</v>
      </c>
      <c r="F948" s="90" t="s">
        <v>1872</v>
      </c>
      <c r="G948" s="90" t="s">
        <v>1682</v>
      </c>
      <c r="H948" s="90" t="s">
        <v>1247</v>
      </c>
      <c r="I948" s="90" t="s">
        <v>1920</v>
      </c>
      <c r="J948" s="90" t="s">
        <v>1880</v>
      </c>
      <c r="K948" s="90" t="s">
        <v>1875</v>
      </c>
      <c r="L948" s="90" t="s">
        <v>1876</v>
      </c>
      <c r="M948" s="95" t="s">
        <v>1679</v>
      </c>
      <c r="N948" s="90" t="s">
        <v>1921</v>
      </c>
    </row>
    <row r="949" spans="1:14" ht="16.5">
      <c r="A949" s="90">
        <v>946</v>
      </c>
      <c r="B949" s="91">
        <v>232</v>
      </c>
      <c r="C949" s="90" t="s">
        <v>319</v>
      </c>
      <c r="D949" s="1" t="s">
        <v>1925</v>
      </c>
      <c r="E949" s="50" t="s">
        <v>1937</v>
      </c>
      <c r="F949" s="90" t="s">
        <v>1872</v>
      </c>
      <c r="G949" s="90" t="s">
        <v>1682</v>
      </c>
      <c r="H949" s="90" t="s">
        <v>1247</v>
      </c>
      <c r="I949" s="90" t="s">
        <v>1920</v>
      </c>
      <c r="J949" s="90" t="s">
        <v>1880</v>
      </c>
      <c r="K949" s="90" t="s">
        <v>1875</v>
      </c>
      <c r="L949" s="90" t="s">
        <v>1876</v>
      </c>
      <c r="M949" s="95" t="s">
        <v>1679</v>
      </c>
      <c r="N949" s="90" t="s">
        <v>1680</v>
      </c>
    </row>
    <row r="950" spans="1:14" ht="16.5">
      <c r="A950" s="90">
        <v>947</v>
      </c>
      <c r="B950" s="47">
        <v>233</v>
      </c>
      <c r="C950" s="50" t="s">
        <v>593</v>
      </c>
      <c r="D950" s="1" t="s">
        <v>1925</v>
      </c>
      <c r="E950" s="50" t="s">
        <v>1937</v>
      </c>
      <c r="F950" s="90">
        <v>50</v>
      </c>
      <c r="G950" s="90">
        <v>30</v>
      </c>
      <c r="H950" s="90">
        <v>10</v>
      </c>
      <c r="I950" s="90">
        <v>30</v>
      </c>
      <c r="J950" s="90">
        <v>40</v>
      </c>
      <c r="K950" s="90">
        <v>60</v>
      </c>
      <c r="L950" s="90">
        <v>65</v>
      </c>
      <c r="M950" s="95">
        <v>1</v>
      </c>
      <c r="N950" s="90">
        <v>3</v>
      </c>
    </row>
    <row r="951" spans="1:14" ht="16.5">
      <c r="A951" s="90">
        <v>948</v>
      </c>
      <c r="B951" s="47">
        <v>237</v>
      </c>
      <c r="C951" s="50" t="s">
        <v>565</v>
      </c>
      <c r="D951" s="1" t="s">
        <v>1925</v>
      </c>
      <c r="E951" s="50" t="s">
        <v>1937</v>
      </c>
      <c r="F951" s="90" t="s">
        <v>1885</v>
      </c>
      <c r="G951" s="90" t="s">
        <v>1682</v>
      </c>
      <c r="H951" s="90" t="s">
        <v>1247</v>
      </c>
      <c r="I951" s="90" t="s">
        <v>1675</v>
      </c>
      <c r="J951" s="90" t="s">
        <v>1676</v>
      </c>
      <c r="K951" s="90" t="s">
        <v>1886</v>
      </c>
      <c r="L951" s="90" t="s">
        <v>1887</v>
      </c>
      <c r="M951" s="95" t="s">
        <v>1679</v>
      </c>
      <c r="N951" s="90" t="s">
        <v>1680</v>
      </c>
    </row>
    <row r="952" spans="1:14" ht="16.5">
      <c r="A952" s="90">
        <v>949</v>
      </c>
      <c r="B952" s="47">
        <v>213</v>
      </c>
      <c r="C952" s="50" t="s">
        <v>599</v>
      </c>
      <c r="D952" s="1" t="s">
        <v>1925</v>
      </c>
      <c r="E952" s="50" t="s">
        <v>1937</v>
      </c>
      <c r="F952" s="90">
        <v>63</v>
      </c>
      <c r="G952" s="90">
        <v>30</v>
      </c>
      <c r="H952" s="90">
        <v>10</v>
      </c>
      <c r="I952" s="90">
        <v>48</v>
      </c>
      <c r="J952" s="90">
        <v>53</v>
      </c>
      <c r="K952" s="90">
        <v>73</v>
      </c>
      <c r="L952" s="90">
        <v>78</v>
      </c>
      <c r="M952" s="95">
        <v>1</v>
      </c>
      <c r="N952" s="90">
        <v>6</v>
      </c>
    </row>
    <row r="953" spans="1:14" ht="16.5">
      <c r="A953" s="90">
        <v>950</v>
      </c>
      <c r="B953" s="47">
        <v>224</v>
      </c>
      <c r="C953" s="50" t="s">
        <v>369</v>
      </c>
      <c r="D953" s="1" t="s">
        <v>1925</v>
      </c>
      <c r="E953" s="50" t="s">
        <v>1937</v>
      </c>
      <c r="F953" s="90" t="s">
        <v>1872</v>
      </c>
      <c r="G953" s="90" t="s">
        <v>1682</v>
      </c>
      <c r="H953" s="90" t="s">
        <v>1247</v>
      </c>
      <c r="I953" s="90" t="s">
        <v>1920</v>
      </c>
      <c r="J953" s="90" t="s">
        <v>1880</v>
      </c>
      <c r="K953" s="90" t="s">
        <v>1875</v>
      </c>
      <c r="L953" s="90" t="s">
        <v>1876</v>
      </c>
      <c r="M953" s="95" t="s">
        <v>1679</v>
      </c>
      <c r="N953" s="90" t="s">
        <v>1680</v>
      </c>
    </row>
    <row r="954" spans="1:14" ht="16.5">
      <c r="A954" s="90">
        <v>951</v>
      </c>
      <c r="B954" s="47">
        <v>229</v>
      </c>
      <c r="C954" s="50" t="s">
        <v>515</v>
      </c>
      <c r="D954" s="1" t="s">
        <v>1925</v>
      </c>
      <c r="E954" s="50" t="s">
        <v>1937</v>
      </c>
      <c r="F954" s="90" t="s">
        <v>1872</v>
      </c>
      <c r="G954" s="90" t="s">
        <v>1682</v>
      </c>
      <c r="H954" s="90" t="s">
        <v>1247</v>
      </c>
      <c r="I954" s="90" t="s">
        <v>1920</v>
      </c>
      <c r="J954" s="90" t="s">
        <v>1880</v>
      </c>
      <c r="K954" s="90" t="s">
        <v>1875</v>
      </c>
      <c r="L954" s="90" t="s">
        <v>1876</v>
      </c>
      <c r="M954" s="95" t="s">
        <v>1679</v>
      </c>
      <c r="N954" s="90" t="s">
        <v>1870</v>
      </c>
    </row>
    <row r="955" spans="1:14" ht="16.5">
      <c r="A955" s="90">
        <v>952</v>
      </c>
      <c r="B955" s="47">
        <v>231</v>
      </c>
      <c r="C955" s="94" t="s">
        <v>591</v>
      </c>
      <c r="D955" s="1" t="s">
        <v>1925</v>
      </c>
      <c r="E955" s="50" t="s">
        <v>1937</v>
      </c>
      <c r="F955" s="90" t="s">
        <v>1865</v>
      </c>
      <c r="G955" s="90" t="s">
        <v>1862</v>
      </c>
      <c r="H955" s="90" t="s">
        <v>1888</v>
      </c>
      <c r="I955" s="90" t="s">
        <v>1880</v>
      </c>
      <c r="J955" s="90" t="s">
        <v>1922</v>
      </c>
      <c r="K955" s="90" t="s">
        <v>1923</v>
      </c>
      <c r="L955" s="90" t="s">
        <v>1924</v>
      </c>
      <c r="M955" s="95" t="s">
        <v>1679</v>
      </c>
      <c r="N955" s="90" t="s">
        <v>1891</v>
      </c>
    </row>
    <row r="956" spans="1:14" ht="16.5">
      <c r="A956" s="90">
        <v>953</v>
      </c>
      <c r="B956" s="47">
        <v>211</v>
      </c>
      <c r="C956" s="50" t="s">
        <v>605</v>
      </c>
      <c r="D956" s="1" t="s">
        <v>1925</v>
      </c>
      <c r="E956" s="50" t="s">
        <v>1937</v>
      </c>
      <c r="F956" s="90">
        <v>60</v>
      </c>
      <c r="G956" s="90">
        <v>30</v>
      </c>
      <c r="H956" s="90">
        <v>10</v>
      </c>
      <c r="I956" s="90">
        <v>45</v>
      </c>
      <c r="J956" s="90">
        <v>50</v>
      </c>
      <c r="K956" s="90">
        <v>70</v>
      </c>
      <c r="L956" s="90">
        <v>75</v>
      </c>
      <c r="M956" s="95">
        <v>1</v>
      </c>
      <c r="N956" s="90">
        <v>5.5</v>
      </c>
    </row>
    <row r="957" spans="1:14" ht="16.5">
      <c r="A957" s="90">
        <v>954</v>
      </c>
      <c r="B957" s="47">
        <v>212</v>
      </c>
      <c r="C957" s="50" t="s">
        <v>394</v>
      </c>
      <c r="D957" s="1" t="s">
        <v>1925</v>
      </c>
      <c r="E957" s="50" t="s">
        <v>1937</v>
      </c>
      <c r="F957" s="90" t="s">
        <v>1898</v>
      </c>
      <c r="G957" s="90" t="s">
        <v>1862</v>
      </c>
      <c r="H957" s="90" t="s">
        <v>1888</v>
      </c>
      <c r="I957" s="90" t="s">
        <v>1899</v>
      </c>
      <c r="J957" s="90" t="s">
        <v>1889</v>
      </c>
      <c r="K957" s="90" t="s">
        <v>1900</v>
      </c>
      <c r="L957" s="90" t="s">
        <v>1901</v>
      </c>
      <c r="M957" s="95" t="s">
        <v>1679</v>
      </c>
      <c r="N957" s="90" t="s">
        <v>1902</v>
      </c>
    </row>
    <row r="958" spans="1:14" ht="16.5">
      <c r="A958" s="90">
        <v>955</v>
      </c>
      <c r="B958" s="47">
        <v>300</v>
      </c>
      <c r="C958" s="50" t="s">
        <v>1896</v>
      </c>
      <c r="D958" s="1" t="s">
        <v>1925</v>
      </c>
      <c r="E958" s="50" t="s">
        <v>1937</v>
      </c>
      <c r="F958" s="90">
        <v>38</v>
      </c>
      <c r="G958" s="90">
        <v>30</v>
      </c>
      <c r="H958" s="90">
        <v>10</v>
      </c>
      <c r="I958" s="90">
        <v>27</v>
      </c>
      <c r="J958" s="90">
        <v>32</v>
      </c>
      <c r="K958" s="90">
        <v>52</v>
      </c>
      <c r="L958" s="90">
        <v>57</v>
      </c>
      <c r="M958" s="95">
        <v>1</v>
      </c>
      <c r="N958" s="90">
        <v>6</v>
      </c>
    </row>
    <row r="959" spans="1:14" ht="16.5">
      <c r="A959" s="90">
        <v>956</v>
      </c>
      <c r="B959" s="47">
        <v>228</v>
      </c>
      <c r="C959" s="50" t="s">
        <v>948</v>
      </c>
      <c r="D959" s="1" t="s">
        <v>1925</v>
      </c>
      <c r="E959" s="50" t="s">
        <v>1937</v>
      </c>
      <c r="F959" s="90" t="s">
        <v>1872</v>
      </c>
      <c r="G959" s="90" t="s">
        <v>1682</v>
      </c>
      <c r="H959" s="90" t="s">
        <v>1247</v>
      </c>
      <c r="I959" s="90" t="s">
        <v>1873</v>
      </c>
      <c r="J959" s="90" t="s">
        <v>1874</v>
      </c>
      <c r="K959" s="90" t="s">
        <v>1875</v>
      </c>
      <c r="L959" s="90" t="s">
        <v>1876</v>
      </c>
      <c r="M959" s="95" t="s">
        <v>1679</v>
      </c>
      <c r="N959" s="90" t="s">
        <v>1877</v>
      </c>
    </row>
    <row r="960" spans="1:14" ht="16.5">
      <c r="A960" s="90">
        <v>957</v>
      </c>
      <c r="B960" s="47">
        <v>400</v>
      </c>
      <c r="C960" s="50" t="s">
        <v>1014</v>
      </c>
      <c r="D960" s="1" t="s">
        <v>1925</v>
      </c>
      <c r="E960" s="50" t="s">
        <v>1937</v>
      </c>
      <c r="F960" s="90" t="s">
        <v>1854</v>
      </c>
      <c r="G960" s="90" t="s">
        <v>1871</v>
      </c>
      <c r="H960" s="90" t="s">
        <v>1247</v>
      </c>
      <c r="I960" s="90" t="s">
        <v>1855</v>
      </c>
      <c r="J960" s="90" t="s">
        <v>1856</v>
      </c>
      <c r="K960" s="90" t="s">
        <v>1857</v>
      </c>
      <c r="L960" s="90" t="s">
        <v>1858</v>
      </c>
      <c r="M960" s="95" t="s">
        <v>1679</v>
      </c>
      <c r="N960" s="90" t="s">
        <v>1859</v>
      </c>
    </row>
    <row r="961" spans="1:14" ht="16.5">
      <c r="A961" s="90">
        <v>958</v>
      </c>
      <c r="B961" s="47">
        <v>400</v>
      </c>
      <c r="C961" s="50" t="s">
        <v>1014</v>
      </c>
      <c r="D961" s="50" t="s">
        <v>1852</v>
      </c>
      <c r="E961" s="50" t="s">
        <v>1937</v>
      </c>
      <c r="F961" s="90" t="s">
        <v>1854</v>
      </c>
      <c r="G961" s="90" t="s">
        <v>1871</v>
      </c>
      <c r="H961" s="90" t="s">
        <v>1247</v>
      </c>
      <c r="I961" s="90" t="s">
        <v>1855</v>
      </c>
      <c r="J961" s="90" t="s">
        <v>1856</v>
      </c>
      <c r="K961" s="90" t="s">
        <v>1857</v>
      </c>
      <c r="L961" s="90" t="s">
        <v>1858</v>
      </c>
      <c r="M961" s="95" t="s">
        <v>1679</v>
      </c>
      <c r="N961" s="90" t="s">
        <v>1859</v>
      </c>
    </row>
    <row r="962" spans="1:14" ht="16.5">
      <c r="A962" s="90">
        <v>959</v>
      </c>
      <c r="B962" s="47">
        <v>400</v>
      </c>
      <c r="C962" s="50" t="s">
        <v>1014</v>
      </c>
      <c r="D962" s="50" t="s">
        <v>1897</v>
      </c>
      <c r="E962" s="50" t="s">
        <v>1937</v>
      </c>
      <c r="F962" s="90" t="s">
        <v>1854</v>
      </c>
      <c r="G962" s="90" t="s">
        <v>1871</v>
      </c>
      <c r="H962" s="90" t="s">
        <v>1247</v>
      </c>
      <c r="I962" s="90" t="s">
        <v>1855</v>
      </c>
      <c r="J962" s="90" t="s">
        <v>1856</v>
      </c>
      <c r="K962" s="90" t="s">
        <v>1857</v>
      </c>
      <c r="L962" s="90" t="s">
        <v>1858</v>
      </c>
      <c r="M962" s="95" t="s">
        <v>1679</v>
      </c>
      <c r="N962" s="90" t="s">
        <v>1859</v>
      </c>
    </row>
    <row r="963" spans="1:14" ht="16.5">
      <c r="A963" s="90">
        <v>960</v>
      </c>
      <c r="B963" s="47">
        <v>400</v>
      </c>
      <c r="C963" s="50" t="s">
        <v>1014</v>
      </c>
      <c r="D963" s="50" t="s">
        <v>1903</v>
      </c>
      <c r="E963" s="50" t="s">
        <v>1937</v>
      </c>
      <c r="F963" s="90" t="s">
        <v>1854</v>
      </c>
      <c r="G963" s="90" t="s">
        <v>1871</v>
      </c>
      <c r="H963" s="90" t="s">
        <v>1247</v>
      </c>
      <c r="I963" s="90" t="s">
        <v>1855</v>
      </c>
      <c r="J963" s="90" t="s">
        <v>1856</v>
      </c>
      <c r="K963" s="90" t="s">
        <v>1857</v>
      </c>
      <c r="L963" s="90" t="s">
        <v>1858</v>
      </c>
      <c r="M963" s="95" t="s">
        <v>1679</v>
      </c>
      <c r="N963" s="90" t="s">
        <v>1859</v>
      </c>
    </row>
    <row r="964" spans="1:14" ht="16.5">
      <c r="A964" s="90">
        <v>961</v>
      </c>
      <c r="B964" s="47">
        <v>400</v>
      </c>
      <c r="C964" s="50" t="s">
        <v>1014</v>
      </c>
      <c r="D964" s="50" t="s">
        <v>1905</v>
      </c>
      <c r="E964" s="50" t="s">
        <v>1937</v>
      </c>
      <c r="F964" s="90" t="s">
        <v>1854</v>
      </c>
      <c r="G964" s="90" t="s">
        <v>1871</v>
      </c>
      <c r="H964" s="90" t="s">
        <v>1247</v>
      </c>
      <c r="I964" s="90" t="s">
        <v>1855</v>
      </c>
      <c r="J964" s="90" t="s">
        <v>1856</v>
      </c>
      <c r="K964" s="90" t="s">
        <v>1857</v>
      </c>
      <c r="L964" s="90" t="s">
        <v>1858</v>
      </c>
      <c r="M964" s="95" t="s">
        <v>1679</v>
      </c>
      <c r="N964" s="90" t="s">
        <v>1859</v>
      </c>
    </row>
    <row r="965" spans="1:14" ht="16.5">
      <c r="A965" s="90">
        <v>962</v>
      </c>
      <c r="B965" s="47">
        <v>400</v>
      </c>
      <c r="C965" s="50" t="s">
        <v>1014</v>
      </c>
      <c r="D965" s="1" t="s">
        <v>1925</v>
      </c>
      <c r="E965" s="50" t="s">
        <v>1937</v>
      </c>
      <c r="F965" s="90" t="s">
        <v>1854</v>
      </c>
      <c r="G965" s="90" t="s">
        <v>1871</v>
      </c>
      <c r="H965" s="90" t="s">
        <v>1247</v>
      </c>
      <c r="I965" s="90" t="s">
        <v>1855</v>
      </c>
      <c r="J965" s="90" t="s">
        <v>1856</v>
      </c>
      <c r="K965" s="90" t="s">
        <v>1857</v>
      </c>
      <c r="L965" s="90" t="s">
        <v>1858</v>
      </c>
      <c r="M965" s="95" t="s">
        <v>1679</v>
      </c>
      <c r="N965" s="90" t="s">
        <v>1859</v>
      </c>
    </row>
    <row r="966" spans="1:14" ht="16.5">
      <c r="A966" s="90">
        <v>963</v>
      </c>
      <c r="B966" s="47">
        <v>404</v>
      </c>
      <c r="C966" s="50" t="s">
        <v>1019</v>
      </c>
      <c r="D966" s="50" t="s">
        <v>1852</v>
      </c>
      <c r="E966" s="50" t="s">
        <v>1937</v>
      </c>
      <c r="F966" s="90" t="s">
        <v>1854</v>
      </c>
      <c r="G966" s="90" t="s">
        <v>1871</v>
      </c>
      <c r="H966" s="90" t="s">
        <v>1247</v>
      </c>
      <c r="I966" s="90" t="s">
        <v>1855</v>
      </c>
      <c r="J966" s="90" t="s">
        <v>1856</v>
      </c>
      <c r="K966" s="90" t="s">
        <v>1857</v>
      </c>
      <c r="L966" s="90" t="s">
        <v>1858</v>
      </c>
      <c r="M966" s="95" t="s">
        <v>1679</v>
      </c>
      <c r="N966" s="90" t="s">
        <v>1859</v>
      </c>
    </row>
    <row r="967" spans="1:14" ht="16.5">
      <c r="A967" s="90">
        <v>964</v>
      </c>
      <c r="B967" s="47">
        <v>404</v>
      </c>
      <c r="C967" s="50" t="s">
        <v>1019</v>
      </c>
      <c r="D967" s="50" t="s">
        <v>1897</v>
      </c>
      <c r="E967" s="50" t="s">
        <v>1937</v>
      </c>
      <c r="F967" s="90" t="s">
        <v>1854</v>
      </c>
      <c r="G967" s="90" t="s">
        <v>1871</v>
      </c>
      <c r="H967" s="90" t="s">
        <v>1247</v>
      </c>
      <c r="I967" s="90" t="s">
        <v>1855</v>
      </c>
      <c r="J967" s="90" t="s">
        <v>1856</v>
      </c>
      <c r="K967" s="90" t="s">
        <v>1857</v>
      </c>
      <c r="L967" s="90" t="s">
        <v>1858</v>
      </c>
      <c r="M967" s="95" t="s">
        <v>1679</v>
      </c>
      <c r="N967" s="90" t="s">
        <v>1859</v>
      </c>
    </row>
    <row r="968" spans="1:14" ht="16.5">
      <c r="A968" s="90">
        <v>965</v>
      </c>
      <c r="B968" s="47">
        <v>404</v>
      </c>
      <c r="C968" s="50" t="s">
        <v>1019</v>
      </c>
      <c r="D968" s="50" t="s">
        <v>1903</v>
      </c>
      <c r="E968" s="50" t="s">
        <v>1937</v>
      </c>
      <c r="F968" s="90" t="s">
        <v>1854</v>
      </c>
      <c r="G968" s="90" t="s">
        <v>1871</v>
      </c>
      <c r="H968" s="90" t="s">
        <v>1247</v>
      </c>
      <c r="I968" s="90" t="s">
        <v>1855</v>
      </c>
      <c r="J968" s="90" t="s">
        <v>1856</v>
      </c>
      <c r="K968" s="90" t="s">
        <v>1857</v>
      </c>
      <c r="L968" s="90" t="s">
        <v>1858</v>
      </c>
      <c r="M968" s="95" t="s">
        <v>1679</v>
      </c>
      <c r="N968" s="90" t="s">
        <v>1859</v>
      </c>
    </row>
    <row r="969" spans="1:14" ht="16.5">
      <c r="A969" s="90">
        <v>966</v>
      </c>
      <c r="B969" s="47">
        <v>404</v>
      </c>
      <c r="C969" s="50" t="s">
        <v>1019</v>
      </c>
      <c r="D969" s="50" t="s">
        <v>1905</v>
      </c>
      <c r="E969" s="50" t="s">
        <v>1937</v>
      </c>
      <c r="F969" s="90" t="s">
        <v>1854</v>
      </c>
      <c r="G969" s="90" t="s">
        <v>1871</v>
      </c>
      <c r="H969" s="90" t="s">
        <v>1247</v>
      </c>
      <c r="I969" s="90" t="s">
        <v>1855</v>
      </c>
      <c r="J969" s="90" t="s">
        <v>1856</v>
      </c>
      <c r="K969" s="90" t="s">
        <v>1857</v>
      </c>
      <c r="L969" s="90" t="s">
        <v>1858</v>
      </c>
      <c r="M969" s="95" t="s">
        <v>1679</v>
      </c>
      <c r="N969" s="90" t="s">
        <v>1859</v>
      </c>
    </row>
    <row r="970" spans="1:14" ht="16.5">
      <c r="A970" s="90">
        <v>967</v>
      </c>
      <c r="B970" s="47">
        <v>404</v>
      </c>
      <c r="C970" s="50" t="s">
        <v>1019</v>
      </c>
      <c r="D970" s="1" t="s">
        <v>1925</v>
      </c>
      <c r="E970" s="50" t="s">
        <v>1937</v>
      </c>
      <c r="F970" s="90" t="s">
        <v>1854</v>
      </c>
      <c r="G970" s="90" t="s">
        <v>1871</v>
      </c>
      <c r="H970" s="90" t="s">
        <v>1247</v>
      </c>
      <c r="I970" s="90" t="s">
        <v>1855</v>
      </c>
      <c r="J970" s="90" t="s">
        <v>1856</v>
      </c>
      <c r="K970" s="90" t="s">
        <v>1857</v>
      </c>
      <c r="L970" s="90" t="s">
        <v>1858</v>
      </c>
      <c r="M970" s="95" t="s">
        <v>1679</v>
      </c>
      <c r="N970" s="90" t="s">
        <v>1859</v>
      </c>
    </row>
    <row r="971" spans="1:14" ht="16.5">
      <c r="A971" s="90">
        <v>968</v>
      </c>
      <c r="B971" s="47">
        <v>409</v>
      </c>
      <c r="C971" s="50" t="s">
        <v>1019</v>
      </c>
      <c r="D971" s="50" t="s">
        <v>1852</v>
      </c>
      <c r="E971" s="50" t="s">
        <v>1937</v>
      </c>
      <c r="F971" s="90" t="s">
        <v>1854</v>
      </c>
      <c r="G971" s="90" t="s">
        <v>1871</v>
      </c>
      <c r="H971" s="90" t="s">
        <v>1247</v>
      </c>
      <c r="I971" s="90" t="s">
        <v>1855</v>
      </c>
      <c r="J971" s="90" t="s">
        <v>1856</v>
      </c>
      <c r="K971" s="90" t="s">
        <v>1857</v>
      </c>
      <c r="L971" s="90" t="s">
        <v>1858</v>
      </c>
      <c r="M971" s="95" t="s">
        <v>1679</v>
      </c>
      <c r="N971" s="90" t="s">
        <v>1859</v>
      </c>
    </row>
    <row r="972" spans="1:14" ht="16.5">
      <c r="A972" s="90">
        <v>969</v>
      </c>
      <c r="B972" s="47">
        <v>409</v>
      </c>
      <c r="C972" s="50" t="s">
        <v>1023</v>
      </c>
      <c r="D972" s="50" t="s">
        <v>1897</v>
      </c>
      <c r="E972" s="50" t="s">
        <v>1937</v>
      </c>
      <c r="F972" s="90" t="s">
        <v>1854</v>
      </c>
      <c r="G972" s="90" t="s">
        <v>1871</v>
      </c>
      <c r="H972" s="90" t="s">
        <v>1247</v>
      </c>
      <c r="I972" s="90" t="s">
        <v>1855</v>
      </c>
      <c r="J972" s="90" t="s">
        <v>1856</v>
      </c>
      <c r="K972" s="90" t="s">
        <v>1857</v>
      </c>
      <c r="L972" s="90" t="s">
        <v>1858</v>
      </c>
      <c r="M972" s="95" t="s">
        <v>1679</v>
      </c>
      <c r="N972" s="90" t="s">
        <v>1859</v>
      </c>
    </row>
    <row r="973" spans="1:14" ht="16.5">
      <c r="A973" s="90">
        <v>970</v>
      </c>
      <c r="B973" s="47">
        <v>409</v>
      </c>
      <c r="C973" s="50" t="s">
        <v>1023</v>
      </c>
      <c r="D973" s="50" t="s">
        <v>1903</v>
      </c>
      <c r="E973" s="50" t="s">
        <v>1937</v>
      </c>
      <c r="F973" s="90" t="s">
        <v>1854</v>
      </c>
      <c r="G973" s="90" t="s">
        <v>1871</v>
      </c>
      <c r="H973" s="90" t="s">
        <v>1247</v>
      </c>
      <c r="I973" s="90" t="s">
        <v>1855</v>
      </c>
      <c r="J973" s="90" t="s">
        <v>1856</v>
      </c>
      <c r="K973" s="90" t="s">
        <v>1857</v>
      </c>
      <c r="L973" s="90" t="s">
        <v>1858</v>
      </c>
      <c r="M973" s="95" t="s">
        <v>1679</v>
      </c>
      <c r="N973" s="90" t="s">
        <v>1859</v>
      </c>
    </row>
    <row r="974" spans="1:14" ht="16.5">
      <c r="A974" s="90">
        <v>971</v>
      </c>
      <c r="B974" s="47">
        <v>409</v>
      </c>
      <c r="C974" s="50" t="s">
        <v>1023</v>
      </c>
      <c r="D974" s="50" t="s">
        <v>1905</v>
      </c>
      <c r="E974" s="50" t="s">
        <v>1937</v>
      </c>
      <c r="F974" s="90" t="s">
        <v>1854</v>
      </c>
      <c r="G974" s="90" t="s">
        <v>1871</v>
      </c>
      <c r="H974" s="90" t="s">
        <v>1247</v>
      </c>
      <c r="I974" s="90" t="s">
        <v>1855</v>
      </c>
      <c r="J974" s="90" t="s">
        <v>1856</v>
      </c>
      <c r="K974" s="90" t="s">
        <v>1857</v>
      </c>
      <c r="L974" s="90" t="s">
        <v>1858</v>
      </c>
      <c r="M974" s="95" t="s">
        <v>1679</v>
      </c>
      <c r="N974" s="90" t="s">
        <v>1859</v>
      </c>
    </row>
    <row r="975" spans="1:14" ht="16.5">
      <c r="A975" s="90">
        <v>972</v>
      </c>
      <c r="B975" s="47">
        <v>409</v>
      </c>
      <c r="C975" s="50" t="s">
        <v>1023</v>
      </c>
      <c r="D975" s="1" t="s">
        <v>1925</v>
      </c>
      <c r="E975" s="50" t="s">
        <v>1937</v>
      </c>
      <c r="F975" s="90" t="s">
        <v>1854</v>
      </c>
      <c r="G975" s="90" t="s">
        <v>1871</v>
      </c>
      <c r="H975" s="90" t="s">
        <v>1247</v>
      </c>
      <c r="I975" s="90" t="s">
        <v>1855</v>
      </c>
      <c r="J975" s="90" t="s">
        <v>1856</v>
      </c>
      <c r="K975" s="90" t="s">
        <v>1857</v>
      </c>
      <c r="L975" s="90" t="s">
        <v>1858</v>
      </c>
      <c r="M975" s="95" t="s">
        <v>1679</v>
      </c>
      <c r="N975" s="90" t="s">
        <v>1859</v>
      </c>
    </row>
    <row r="976" spans="1:14" ht="16.5">
      <c r="A976" s="90">
        <v>973</v>
      </c>
      <c r="B976" s="47">
        <v>410</v>
      </c>
      <c r="C976" s="50" t="s">
        <v>2308</v>
      </c>
      <c r="D976" s="50" t="s">
        <v>1905</v>
      </c>
      <c r="E976" s="50" t="s">
        <v>1937</v>
      </c>
      <c r="F976" s="90" t="s">
        <v>1872</v>
      </c>
      <c r="G976" s="90" t="s">
        <v>1682</v>
      </c>
      <c r="H976" s="90" t="s">
        <v>1247</v>
      </c>
      <c r="I976" s="90" t="s">
        <v>1873</v>
      </c>
      <c r="J976" s="90" t="s">
        <v>1874</v>
      </c>
      <c r="K976" s="90" t="s">
        <v>1875</v>
      </c>
      <c r="L976" s="90" t="s">
        <v>1876</v>
      </c>
      <c r="M976" s="95" t="s">
        <v>1679</v>
      </c>
      <c r="N976" s="90" t="s">
        <v>1877</v>
      </c>
    </row>
    <row r="977" spans="1:14" ht="16.5">
      <c r="A977" s="90">
        <v>974</v>
      </c>
      <c r="B977" s="47">
        <v>410</v>
      </c>
      <c r="C977" s="50" t="s">
        <v>2308</v>
      </c>
      <c r="D977" s="1" t="s">
        <v>1925</v>
      </c>
      <c r="E977" s="50" t="s">
        <v>1937</v>
      </c>
      <c r="F977" s="90" t="s">
        <v>1872</v>
      </c>
      <c r="G977" s="90" t="s">
        <v>1682</v>
      </c>
      <c r="H977" s="90" t="s">
        <v>1247</v>
      </c>
      <c r="I977" s="90" t="s">
        <v>1873</v>
      </c>
      <c r="J977" s="90" t="s">
        <v>1874</v>
      </c>
      <c r="K977" s="90" t="s">
        <v>1875</v>
      </c>
      <c r="L977" s="90" t="s">
        <v>1876</v>
      </c>
      <c r="M977" s="95" t="s">
        <v>1679</v>
      </c>
      <c r="N977" s="90" t="s">
        <v>1877</v>
      </c>
    </row>
    <row r="978" spans="1:14" ht="16.5">
      <c r="A978" s="90">
        <v>975</v>
      </c>
      <c r="B978" s="47">
        <v>202</v>
      </c>
      <c r="C978" s="50" t="s">
        <v>154</v>
      </c>
      <c r="D978" s="50" t="s">
        <v>1852</v>
      </c>
      <c r="E978" s="50" t="s">
        <v>1938</v>
      </c>
      <c r="F978" s="90" t="s">
        <v>1854</v>
      </c>
      <c r="G978" s="90" t="s">
        <v>1674</v>
      </c>
      <c r="H978" s="90" t="s">
        <v>1247</v>
      </c>
      <c r="I978" s="90" t="s">
        <v>1855</v>
      </c>
      <c r="J978" s="90" t="s">
        <v>1856</v>
      </c>
      <c r="K978" s="90" t="s">
        <v>1857</v>
      </c>
      <c r="L978" s="90" t="s">
        <v>1858</v>
      </c>
      <c r="M978" s="95" t="s">
        <v>1679</v>
      </c>
      <c r="N978" s="90" t="s">
        <v>1859</v>
      </c>
    </row>
    <row r="979" spans="1:14" ht="16.5">
      <c r="A979" s="90">
        <v>976</v>
      </c>
      <c r="B979" s="91">
        <v>203</v>
      </c>
      <c r="C979" s="90" t="s">
        <v>202</v>
      </c>
      <c r="D979" s="50" t="s">
        <v>1852</v>
      </c>
      <c r="E979" s="50" t="s">
        <v>1938</v>
      </c>
      <c r="F979" s="90" t="s">
        <v>1860</v>
      </c>
      <c r="G979" s="90" t="s">
        <v>1682</v>
      </c>
      <c r="H979" s="90" t="s">
        <v>1247</v>
      </c>
      <c r="I979" s="90" t="s">
        <v>1861</v>
      </c>
      <c r="J979" s="90" t="s">
        <v>1862</v>
      </c>
      <c r="K979" s="90" t="s">
        <v>1863</v>
      </c>
      <c r="L979" s="90" t="s">
        <v>1864</v>
      </c>
      <c r="M979" s="95" t="s">
        <v>1679</v>
      </c>
      <c r="N979" s="90" t="s">
        <v>1680</v>
      </c>
    </row>
    <row r="980" spans="1:14" ht="16.5">
      <c r="A980" s="90">
        <v>977</v>
      </c>
      <c r="B980" s="47">
        <v>204</v>
      </c>
      <c r="C980" s="50" t="s">
        <v>226</v>
      </c>
      <c r="D980" s="50" t="s">
        <v>1852</v>
      </c>
      <c r="E980" s="50" t="s">
        <v>1938</v>
      </c>
      <c r="F980" s="90" t="s">
        <v>1854</v>
      </c>
      <c r="G980" s="90" t="s">
        <v>1674</v>
      </c>
      <c r="H980" s="90" t="s">
        <v>1247</v>
      </c>
      <c r="I980" s="90" t="s">
        <v>1855</v>
      </c>
      <c r="J980" s="90" t="s">
        <v>1856</v>
      </c>
      <c r="K980" s="90" t="s">
        <v>1857</v>
      </c>
      <c r="L980" s="90" t="s">
        <v>1858</v>
      </c>
      <c r="M980" s="95" t="s">
        <v>1679</v>
      </c>
      <c r="N980" s="90" t="s">
        <v>1680</v>
      </c>
    </row>
    <row r="981" spans="1:14" ht="16.5">
      <c r="A981" s="90">
        <v>978</v>
      </c>
      <c r="B981" s="47">
        <v>205</v>
      </c>
      <c r="C981" s="50" t="s">
        <v>249</v>
      </c>
      <c r="D981" s="50" t="s">
        <v>1852</v>
      </c>
      <c r="E981" s="50" t="s">
        <v>1938</v>
      </c>
      <c r="F981" s="90" t="s">
        <v>1854</v>
      </c>
      <c r="G981" s="90" t="s">
        <v>1674</v>
      </c>
      <c r="H981" s="90" t="s">
        <v>1247</v>
      </c>
      <c r="I981" s="90" t="s">
        <v>1855</v>
      </c>
      <c r="J981" s="90" t="s">
        <v>1856</v>
      </c>
      <c r="K981" s="90" t="s">
        <v>1857</v>
      </c>
      <c r="L981" s="90" t="s">
        <v>1858</v>
      </c>
      <c r="M981" s="95" t="s">
        <v>1679</v>
      </c>
      <c r="N981" s="90" t="s">
        <v>1859</v>
      </c>
    </row>
    <row r="982" spans="1:14" ht="16.5">
      <c r="A982" s="90">
        <v>979</v>
      </c>
      <c r="B982" s="47">
        <v>207</v>
      </c>
      <c r="C982" s="50" t="s">
        <v>595</v>
      </c>
      <c r="D982" s="50" t="s">
        <v>1852</v>
      </c>
      <c r="E982" s="50" t="s">
        <v>1938</v>
      </c>
      <c r="F982" s="90">
        <v>50</v>
      </c>
      <c r="G982" s="90">
        <v>30</v>
      </c>
      <c r="H982" s="90">
        <v>10</v>
      </c>
      <c r="I982" s="90">
        <v>30</v>
      </c>
      <c r="J982" s="90">
        <v>40</v>
      </c>
      <c r="K982" s="90">
        <v>60</v>
      </c>
      <c r="L982" s="90">
        <v>65</v>
      </c>
      <c r="M982" s="95">
        <v>1</v>
      </c>
      <c r="N982" s="90">
        <v>3</v>
      </c>
    </row>
    <row r="983" spans="1:14" ht="16.5">
      <c r="A983" s="90">
        <v>980</v>
      </c>
      <c r="B983" s="47">
        <v>208</v>
      </c>
      <c r="C983" s="50" t="s">
        <v>589</v>
      </c>
      <c r="D983" s="50" t="s">
        <v>1852</v>
      </c>
      <c r="E983" s="50" t="s">
        <v>1938</v>
      </c>
      <c r="F983" s="97">
        <v>63</v>
      </c>
      <c r="G983" s="97">
        <v>50</v>
      </c>
      <c r="H983" s="97">
        <v>1</v>
      </c>
      <c r="I983" s="97">
        <v>30</v>
      </c>
      <c r="J983" s="97">
        <v>45</v>
      </c>
      <c r="K983" s="97">
        <v>73</v>
      </c>
      <c r="L983" s="97">
        <v>78</v>
      </c>
      <c r="M983" s="98">
        <v>1</v>
      </c>
      <c r="N983" s="97">
        <v>22</v>
      </c>
    </row>
    <row r="984" spans="1:14" ht="16.5">
      <c r="A984" s="90">
        <v>981</v>
      </c>
      <c r="B984" s="47">
        <v>215</v>
      </c>
      <c r="C984" s="50" t="s">
        <v>418</v>
      </c>
      <c r="D984" s="50" t="s">
        <v>1852</v>
      </c>
      <c r="E984" s="50" t="s">
        <v>1938</v>
      </c>
      <c r="F984" s="90" t="s">
        <v>1865</v>
      </c>
      <c r="G984" s="90" t="s">
        <v>1682</v>
      </c>
      <c r="H984" s="90" t="s">
        <v>1247</v>
      </c>
      <c r="I984" s="90" t="s">
        <v>1866</v>
      </c>
      <c r="J984" s="90" t="s">
        <v>1867</v>
      </c>
      <c r="K984" s="90" t="s">
        <v>1868</v>
      </c>
      <c r="L984" s="90" t="s">
        <v>1869</v>
      </c>
      <c r="M984" s="95" t="s">
        <v>1679</v>
      </c>
      <c r="N984" s="90" t="s">
        <v>1870</v>
      </c>
    </row>
    <row r="985" spans="1:14" ht="16.5">
      <c r="A985" s="90">
        <v>982</v>
      </c>
      <c r="B985" s="47">
        <v>222</v>
      </c>
      <c r="C985" s="50" t="s">
        <v>442</v>
      </c>
      <c r="D985" s="50" t="s">
        <v>1852</v>
      </c>
      <c r="E985" s="50" t="s">
        <v>1938</v>
      </c>
      <c r="F985" s="90" t="s">
        <v>1854</v>
      </c>
      <c r="G985" s="90" t="s">
        <v>1871</v>
      </c>
      <c r="H985" s="90" t="s">
        <v>1247</v>
      </c>
      <c r="I985" s="90" t="s">
        <v>1855</v>
      </c>
      <c r="J985" s="90" t="s">
        <v>1856</v>
      </c>
      <c r="K985" s="90" t="s">
        <v>1857</v>
      </c>
      <c r="L985" s="90" t="s">
        <v>1858</v>
      </c>
      <c r="M985" s="95" t="s">
        <v>1679</v>
      </c>
      <c r="N985" s="90" t="s">
        <v>1859</v>
      </c>
    </row>
    <row r="986" spans="1:14" ht="16.5">
      <c r="A986" s="90">
        <v>983</v>
      </c>
      <c r="B986" s="47">
        <v>223</v>
      </c>
      <c r="C986" s="50" t="s">
        <v>918</v>
      </c>
      <c r="D986" s="50" t="s">
        <v>1852</v>
      </c>
      <c r="E986" s="50" t="s">
        <v>1938</v>
      </c>
      <c r="F986" s="90">
        <v>28</v>
      </c>
      <c r="G986" s="90">
        <v>30</v>
      </c>
      <c r="H986" s="90">
        <v>10</v>
      </c>
      <c r="I986" s="90">
        <v>17</v>
      </c>
      <c r="J986" s="90">
        <v>22</v>
      </c>
      <c r="K986" s="90">
        <v>33</v>
      </c>
      <c r="L986" s="90">
        <v>38</v>
      </c>
      <c r="M986" s="95">
        <v>1</v>
      </c>
      <c r="N986" s="90">
        <v>2</v>
      </c>
    </row>
    <row r="987" spans="1:14" ht="16.5">
      <c r="A987" s="90">
        <v>984</v>
      </c>
      <c r="B987" s="47">
        <v>226</v>
      </c>
      <c r="C987" s="92" t="s">
        <v>469</v>
      </c>
      <c r="D987" s="50" t="s">
        <v>1852</v>
      </c>
      <c r="E987" s="50" t="s">
        <v>1938</v>
      </c>
      <c r="F987" s="90" t="s">
        <v>1872</v>
      </c>
      <c r="G987" s="90" t="s">
        <v>1682</v>
      </c>
      <c r="H987" s="90" t="s">
        <v>1247</v>
      </c>
      <c r="I987" s="90" t="s">
        <v>1873</v>
      </c>
      <c r="J987" s="90" t="s">
        <v>1874</v>
      </c>
      <c r="K987" s="90" t="s">
        <v>1875</v>
      </c>
      <c r="L987" s="90" t="s">
        <v>1876</v>
      </c>
      <c r="M987" s="95" t="s">
        <v>1679</v>
      </c>
      <c r="N987" s="90" t="s">
        <v>1877</v>
      </c>
    </row>
    <row r="988" spans="1:14" ht="16.5">
      <c r="A988" s="90">
        <v>985</v>
      </c>
      <c r="B988" s="91">
        <v>227</v>
      </c>
      <c r="C988" s="93" t="s">
        <v>493</v>
      </c>
      <c r="D988" s="50" t="s">
        <v>1852</v>
      </c>
      <c r="E988" s="50" t="s">
        <v>1938</v>
      </c>
      <c r="F988" s="90" t="s">
        <v>1872</v>
      </c>
      <c r="G988" s="90" t="s">
        <v>1682</v>
      </c>
      <c r="H988" s="90" t="s">
        <v>1247</v>
      </c>
      <c r="I988" s="90" t="s">
        <v>1873</v>
      </c>
      <c r="J988" s="90" t="s">
        <v>1874</v>
      </c>
      <c r="K988" s="90" t="s">
        <v>1875</v>
      </c>
      <c r="L988" s="90" t="s">
        <v>1876</v>
      </c>
      <c r="M988" s="95" t="s">
        <v>1679</v>
      </c>
      <c r="N988" s="90" t="s">
        <v>1870</v>
      </c>
    </row>
    <row r="989" spans="1:14" ht="16.5">
      <c r="A989" s="90">
        <v>986</v>
      </c>
      <c r="B989" s="47">
        <v>234</v>
      </c>
      <c r="C989" s="50" t="s">
        <v>1878</v>
      </c>
      <c r="D989" s="50" t="s">
        <v>1852</v>
      </c>
      <c r="E989" s="50" t="s">
        <v>1938</v>
      </c>
      <c r="F989" s="90" t="s">
        <v>1854</v>
      </c>
      <c r="G989" s="90" t="s">
        <v>1674</v>
      </c>
      <c r="H989" s="90" t="s">
        <v>1247</v>
      </c>
      <c r="I989" s="90" t="s">
        <v>1855</v>
      </c>
      <c r="J989" s="90" t="s">
        <v>1856</v>
      </c>
      <c r="K989" s="90" t="s">
        <v>1857</v>
      </c>
      <c r="L989" s="90" t="s">
        <v>1858</v>
      </c>
      <c r="M989" s="95" t="s">
        <v>1679</v>
      </c>
      <c r="N989" s="90" t="s">
        <v>1859</v>
      </c>
    </row>
    <row r="990" spans="1:14" ht="16.5">
      <c r="A990" s="90">
        <v>987</v>
      </c>
      <c r="B990" s="47">
        <v>235</v>
      </c>
      <c r="C990" s="50" t="s">
        <v>601</v>
      </c>
      <c r="D990" s="50" t="s">
        <v>1852</v>
      </c>
      <c r="E990" s="50" t="s">
        <v>1938</v>
      </c>
      <c r="F990" s="90">
        <v>50</v>
      </c>
      <c r="G990" s="90">
        <v>30</v>
      </c>
      <c r="H990" s="90">
        <v>10</v>
      </c>
      <c r="I990" s="90">
        <v>30</v>
      </c>
      <c r="J990" s="90">
        <v>40</v>
      </c>
      <c r="K990" s="90">
        <v>60</v>
      </c>
      <c r="L990" s="90">
        <v>65</v>
      </c>
      <c r="M990" s="95">
        <v>1</v>
      </c>
      <c r="N990" s="90">
        <v>3</v>
      </c>
    </row>
    <row r="991" spans="1:14" ht="16.5">
      <c r="A991" s="90">
        <v>988</v>
      </c>
      <c r="B991" s="47">
        <v>236</v>
      </c>
      <c r="C991" s="50" t="s">
        <v>1688</v>
      </c>
      <c r="D991" s="50" t="s">
        <v>1852</v>
      </c>
      <c r="E991" s="50" t="s">
        <v>1938</v>
      </c>
      <c r="F991" s="90">
        <v>50</v>
      </c>
      <c r="G991" s="90">
        <v>30</v>
      </c>
      <c r="H991" s="90">
        <v>10</v>
      </c>
      <c r="I991" s="90">
        <v>30</v>
      </c>
      <c r="J991" s="90">
        <v>40</v>
      </c>
      <c r="K991" s="90">
        <v>60</v>
      </c>
      <c r="L991" s="90">
        <v>65</v>
      </c>
      <c r="M991" s="95">
        <v>1</v>
      </c>
      <c r="N991" s="90">
        <v>3</v>
      </c>
    </row>
    <row r="992" spans="1:14" ht="16.5">
      <c r="A992" s="90">
        <v>989</v>
      </c>
      <c r="B992" s="91">
        <v>201</v>
      </c>
      <c r="C992" s="90" t="s">
        <v>66</v>
      </c>
      <c r="D992" s="50" t="s">
        <v>1852</v>
      </c>
      <c r="E992" s="50" t="s">
        <v>1938</v>
      </c>
      <c r="F992" s="90" t="s">
        <v>1872</v>
      </c>
      <c r="G992" s="90" t="s">
        <v>1682</v>
      </c>
      <c r="H992" s="90" t="s">
        <v>1247</v>
      </c>
      <c r="I992" s="90" t="s">
        <v>1879</v>
      </c>
      <c r="J992" s="90" t="s">
        <v>1880</v>
      </c>
      <c r="K992" s="90" t="s">
        <v>1875</v>
      </c>
      <c r="L992" s="90" t="s">
        <v>1876</v>
      </c>
      <c r="M992" s="95" t="s">
        <v>1679</v>
      </c>
      <c r="N992" s="90" t="s">
        <v>1680</v>
      </c>
    </row>
    <row r="993" spans="1:14" ht="16.5">
      <c r="A993" s="90">
        <v>990</v>
      </c>
      <c r="B993" s="91">
        <v>206</v>
      </c>
      <c r="C993" s="90" t="s">
        <v>293</v>
      </c>
      <c r="D993" s="50" t="s">
        <v>1852</v>
      </c>
      <c r="E993" s="50" t="s">
        <v>1938</v>
      </c>
      <c r="F993" s="90" t="s">
        <v>1860</v>
      </c>
      <c r="G993" s="90" t="s">
        <v>1682</v>
      </c>
      <c r="H993" s="90" t="s">
        <v>1247</v>
      </c>
      <c r="I993" s="90" t="s">
        <v>1861</v>
      </c>
      <c r="J993" s="90" t="s">
        <v>1862</v>
      </c>
      <c r="K993" s="90" t="s">
        <v>1863</v>
      </c>
      <c r="L993" s="90" t="s">
        <v>1864</v>
      </c>
      <c r="M993" s="95" t="s">
        <v>1679</v>
      </c>
      <c r="N993" s="90" t="s">
        <v>1680</v>
      </c>
    </row>
    <row r="994" spans="1:14" ht="16.5">
      <c r="A994" s="90">
        <v>991</v>
      </c>
      <c r="B994" s="47">
        <v>209</v>
      </c>
      <c r="C994" s="50" t="s">
        <v>344</v>
      </c>
      <c r="D994" s="50" t="s">
        <v>1852</v>
      </c>
      <c r="E994" s="50" t="s">
        <v>1938</v>
      </c>
      <c r="F994" s="90" t="s">
        <v>1860</v>
      </c>
      <c r="G994" s="90" t="s">
        <v>1682</v>
      </c>
      <c r="H994" s="90" t="s">
        <v>1247</v>
      </c>
      <c r="I994" s="90" t="s">
        <v>1861</v>
      </c>
      <c r="J994" s="90" t="s">
        <v>1862</v>
      </c>
      <c r="K994" s="90" t="s">
        <v>1863</v>
      </c>
      <c r="L994" s="90" t="s">
        <v>1864</v>
      </c>
      <c r="M994" s="95" t="s">
        <v>1679</v>
      </c>
      <c r="N994" s="90" t="s">
        <v>1680</v>
      </c>
    </row>
    <row r="995" spans="1:14" ht="16.5">
      <c r="A995" s="90">
        <v>992</v>
      </c>
      <c r="B995" s="47">
        <v>230</v>
      </c>
      <c r="C995" s="50" t="s">
        <v>539</v>
      </c>
      <c r="D995" s="50" t="s">
        <v>1852</v>
      </c>
      <c r="E995" s="50" t="s">
        <v>1938</v>
      </c>
      <c r="F995" s="90" t="s">
        <v>1881</v>
      </c>
      <c r="G995" s="90" t="s">
        <v>1682</v>
      </c>
      <c r="H995" s="90" t="s">
        <v>1247</v>
      </c>
      <c r="I995" s="90" t="s">
        <v>1683</v>
      </c>
      <c r="J995" s="90" t="s">
        <v>1684</v>
      </c>
      <c r="K995" s="90" t="s">
        <v>1882</v>
      </c>
      <c r="L995" s="90" t="s">
        <v>1883</v>
      </c>
      <c r="M995" s="95" t="s">
        <v>1679</v>
      </c>
      <c r="N995" s="90" t="s">
        <v>1884</v>
      </c>
    </row>
    <row r="996" spans="1:14" ht="16.5">
      <c r="A996" s="90">
        <v>993</v>
      </c>
      <c r="B996" s="91">
        <v>232</v>
      </c>
      <c r="C996" s="90" t="s">
        <v>319</v>
      </c>
      <c r="D996" s="50" t="s">
        <v>1852</v>
      </c>
      <c r="E996" s="50" t="s">
        <v>1938</v>
      </c>
      <c r="F996" s="90" t="s">
        <v>1860</v>
      </c>
      <c r="G996" s="90" t="s">
        <v>1682</v>
      </c>
      <c r="H996" s="90" t="s">
        <v>1247</v>
      </c>
      <c r="I996" s="90" t="s">
        <v>1861</v>
      </c>
      <c r="J996" s="90" t="s">
        <v>1862</v>
      </c>
      <c r="K996" s="90" t="s">
        <v>1863</v>
      </c>
      <c r="L996" s="90" t="s">
        <v>1864</v>
      </c>
      <c r="M996" s="95" t="s">
        <v>1679</v>
      </c>
      <c r="N996" s="90" t="s">
        <v>1680</v>
      </c>
    </row>
    <row r="997" spans="1:14" ht="16.5">
      <c r="A997" s="90">
        <v>994</v>
      </c>
      <c r="B997" s="47">
        <v>233</v>
      </c>
      <c r="C997" s="50" t="s">
        <v>593</v>
      </c>
      <c r="D997" s="50" t="s">
        <v>1852</v>
      </c>
      <c r="E997" s="50" t="s">
        <v>1938</v>
      </c>
      <c r="F997" s="90">
        <v>50</v>
      </c>
      <c r="G997" s="90">
        <v>30</v>
      </c>
      <c r="H997" s="90">
        <v>10</v>
      </c>
      <c r="I997" s="90">
        <v>30</v>
      </c>
      <c r="J997" s="90">
        <v>40</v>
      </c>
      <c r="K997" s="90">
        <v>60</v>
      </c>
      <c r="L997" s="90">
        <v>65</v>
      </c>
      <c r="M997" s="95">
        <v>1</v>
      </c>
      <c r="N997" s="90">
        <v>3</v>
      </c>
    </row>
    <row r="998" spans="1:14" ht="16.5">
      <c r="A998" s="90">
        <v>995</v>
      </c>
      <c r="B998" s="47">
        <v>237</v>
      </c>
      <c r="C998" s="50" t="s">
        <v>565</v>
      </c>
      <c r="D998" s="50" t="s">
        <v>1852</v>
      </c>
      <c r="E998" s="50" t="s">
        <v>1938</v>
      </c>
      <c r="F998" s="90" t="s">
        <v>1885</v>
      </c>
      <c r="G998" s="90" t="s">
        <v>1682</v>
      </c>
      <c r="H998" s="90" t="s">
        <v>1247</v>
      </c>
      <c r="I998" s="90" t="s">
        <v>1675</v>
      </c>
      <c r="J998" s="90" t="s">
        <v>1676</v>
      </c>
      <c r="K998" s="90" t="s">
        <v>1886</v>
      </c>
      <c r="L998" s="90" t="s">
        <v>1887</v>
      </c>
      <c r="M998" s="95" t="s">
        <v>1679</v>
      </c>
      <c r="N998" s="90" t="s">
        <v>1680</v>
      </c>
    </row>
    <row r="999" spans="1:14" ht="16.5">
      <c r="A999" s="90">
        <v>996</v>
      </c>
      <c r="B999" s="47">
        <v>213</v>
      </c>
      <c r="C999" s="50" t="s">
        <v>599</v>
      </c>
      <c r="D999" s="50" t="s">
        <v>1852</v>
      </c>
      <c r="E999" s="50" t="s">
        <v>1938</v>
      </c>
      <c r="F999" s="90">
        <v>63</v>
      </c>
      <c r="G999" s="90">
        <v>30</v>
      </c>
      <c r="H999" s="90">
        <v>10</v>
      </c>
      <c r="I999" s="90">
        <v>48</v>
      </c>
      <c r="J999" s="90">
        <v>53</v>
      </c>
      <c r="K999" s="90">
        <v>73</v>
      </c>
      <c r="L999" s="90">
        <v>78</v>
      </c>
      <c r="M999" s="95">
        <v>1</v>
      </c>
      <c r="N999" s="90">
        <v>6</v>
      </c>
    </row>
    <row r="1000" spans="1:14" ht="16.5">
      <c r="A1000" s="90">
        <v>997</v>
      </c>
      <c r="B1000" s="47">
        <v>224</v>
      </c>
      <c r="C1000" s="50" t="s">
        <v>369</v>
      </c>
      <c r="D1000" s="50" t="s">
        <v>1852</v>
      </c>
      <c r="E1000" s="50" t="s">
        <v>1938</v>
      </c>
      <c r="F1000" s="90" t="s">
        <v>1860</v>
      </c>
      <c r="G1000" s="90" t="s">
        <v>1682</v>
      </c>
      <c r="H1000" s="90" t="s">
        <v>1247</v>
      </c>
      <c r="I1000" s="90" t="s">
        <v>1861</v>
      </c>
      <c r="J1000" s="90" t="s">
        <v>1862</v>
      </c>
      <c r="K1000" s="90" t="s">
        <v>1863</v>
      </c>
      <c r="L1000" s="90" t="s">
        <v>1864</v>
      </c>
      <c r="M1000" s="95" t="s">
        <v>1679</v>
      </c>
      <c r="N1000" s="90" t="s">
        <v>1680</v>
      </c>
    </row>
    <row r="1001" spans="1:14" ht="16.5">
      <c r="A1001" s="90">
        <v>998</v>
      </c>
      <c r="B1001" s="47">
        <v>229</v>
      </c>
      <c r="C1001" s="50" t="s">
        <v>515</v>
      </c>
      <c r="D1001" s="50" t="s">
        <v>1852</v>
      </c>
      <c r="E1001" s="50" t="s">
        <v>1938</v>
      </c>
      <c r="F1001" s="90" t="s">
        <v>1872</v>
      </c>
      <c r="G1001" s="90" t="s">
        <v>1682</v>
      </c>
      <c r="H1001" s="90" t="s">
        <v>1247</v>
      </c>
      <c r="I1001" s="90" t="s">
        <v>1879</v>
      </c>
      <c r="J1001" s="90" t="s">
        <v>1880</v>
      </c>
      <c r="K1001" s="90" t="s">
        <v>1875</v>
      </c>
      <c r="L1001" s="90" t="s">
        <v>1876</v>
      </c>
      <c r="M1001" s="95" t="s">
        <v>1679</v>
      </c>
      <c r="N1001" s="90" t="s">
        <v>1680</v>
      </c>
    </row>
    <row r="1002" spans="1:14" ht="16.5">
      <c r="A1002" s="90">
        <v>999</v>
      </c>
      <c r="B1002" s="47">
        <v>231</v>
      </c>
      <c r="C1002" s="94" t="s">
        <v>591</v>
      </c>
      <c r="D1002" s="50" t="s">
        <v>1852</v>
      </c>
      <c r="E1002" s="50" t="s">
        <v>1938</v>
      </c>
      <c r="F1002" s="90" t="s">
        <v>1872</v>
      </c>
      <c r="G1002" s="90" t="s">
        <v>1862</v>
      </c>
      <c r="H1002" s="90" t="s">
        <v>1888</v>
      </c>
      <c r="I1002" s="90" t="s">
        <v>1862</v>
      </c>
      <c r="J1002" s="90" t="s">
        <v>1889</v>
      </c>
      <c r="K1002" s="90" t="s">
        <v>1890</v>
      </c>
      <c r="L1002" s="90" t="s">
        <v>1868</v>
      </c>
      <c r="M1002" s="95" t="s">
        <v>1679</v>
      </c>
      <c r="N1002" s="90" t="s">
        <v>1891</v>
      </c>
    </row>
    <row r="1003" spans="1:14" ht="16.5">
      <c r="A1003" s="90">
        <v>1000</v>
      </c>
      <c r="B1003" s="47">
        <v>211</v>
      </c>
      <c r="C1003" s="50" t="s">
        <v>605</v>
      </c>
      <c r="D1003" s="50" t="s">
        <v>1852</v>
      </c>
      <c r="E1003" s="50" t="s">
        <v>1938</v>
      </c>
      <c r="F1003" s="90">
        <v>50</v>
      </c>
      <c r="G1003" s="90">
        <v>30</v>
      </c>
      <c r="H1003" s="90">
        <v>10</v>
      </c>
      <c r="I1003" s="90">
        <v>33</v>
      </c>
      <c r="J1003" s="90">
        <v>38</v>
      </c>
      <c r="K1003" s="90">
        <v>58</v>
      </c>
      <c r="L1003" s="90">
        <v>63</v>
      </c>
      <c r="M1003" s="95">
        <v>1</v>
      </c>
      <c r="N1003" s="90">
        <v>3</v>
      </c>
    </row>
    <row r="1004" spans="1:14" ht="16.5">
      <c r="A1004" s="90">
        <v>1001</v>
      </c>
      <c r="B1004" s="47">
        <v>212</v>
      </c>
      <c r="C1004" s="50" t="s">
        <v>394</v>
      </c>
      <c r="D1004" s="50" t="s">
        <v>1852</v>
      </c>
      <c r="E1004" s="50" t="s">
        <v>1938</v>
      </c>
      <c r="F1004" s="90" t="s">
        <v>1881</v>
      </c>
      <c r="G1004" s="90" t="s">
        <v>1862</v>
      </c>
      <c r="H1004" s="90" t="s">
        <v>1888</v>
      </c>
      <c r="I1004" s="90" t="s">
        <v>1892</v>
      </c>
      <c r="J1004" s="90" t="s">
        <v>1893</v>
      </c>
      <c r="K1004" s="90" t="s">
        <v>1894</v>
      </c>
      <c r="L1004" s="90" t="s">
        <v>1895</v>
      </c>
      <c r="M1004" s="95" t="s">
        <v>1679</v>
      </c>
      <c r="N1004" s="90" t="s">
        <v>1891</v>
      </c>
    </row>
    <row r="1005" spans="1:14" ht="16.5">
      <c r="A1005" s="90">
        <v>1002</v>
      </c>
      <c r="B1005" s="47">
        <v>300</v>
      </c>
      <c r="C1005" s="50" t="s">
        <v>1896</v>
      </c>
      <c r="D1005" s="50" t="s">
        <v>1852</v>
      </c>
      <c r="E1005" s="50" t="s">
        <v>1938</v>
      </c>
      <c r="F1005" s="90">
        <v>38</v>
      </c>
      <c r="G1005" s="90">
        <v>30</v>
      </c>
      <c r="H1005" s="90">
        <v>10</v>
      </c>
      <c r="I1005" s="90">
        <v>27</v>
      </c>
      <c r="J1005" s="90">
        <v>32</v>
      </c>
      <c r="K1005" s="90">
        <v>52</v>
      </c>
      <c r="L1005" s="90">
        <v>57</v>
      </c>
      <c r="M1005" s="95">
        <v>1</v>
      </c>
      <c r="N1005" s="90">
        <v>6</v>
      </c>
    </row>
    <row r="1006" spans="1:14" ht="16.5">
      <c r="A1006" s="90">
        <v>1003</v>
      </c>
      <c r="B1006" s="47">
        <v>228</v>
      </c>
      <c r="C1006" s="50" t="s">
        <v>948</v>
      </c>
      <c r="D1006" s="50" t="s">
        <v>1852</v>
      </c>
      <c r="E1006" s="50" t="s">
        <v>1938</v>
      </c>
      <c r="F1006" s="90" t="s">
        <v>1872</v>
      </c>
      <c r="G1006" s="90" t="s">
        <v>1682</v>
      </c>
      <c r="H1006" s="90" t="s">
        <v>1247</v>
      </c>
      <c r="I1006" s="90" t="s">
        <v>1873</v>
      </c>
      <c r="J1006" s="90" t="s">
        <v>1874</v>
      </c>
      <c r="K1006" s="90" t="s">
        <v>1875</v>
      </c>
      <c r="L1006" s="90" t="s">
        <v>1876</v>
      </c>
      <c r="M1006" s="95" t="s">
        <v>1679</v>
      </c>
      <c r="N1006" s="90" t="s">
        <v>1877</v>
      </c>
    </row>
    <row r="1007" spans="1:14" ht="16.5">
      <c r="A1007" s="90">
        <v>1004</v>
      </c>
      <c r="B1007" s="47">
        <v>202</v>
      </c>
      <c r="C1007" s="50" t="s">
        <v>154</v>
      </c>
      <c r="D1007" s="50" t="s">
        <v>1897</v>
      </c>
      <c r="E1007" s="50" t="s">
        <v>1938</v>
      </c>
      <c r="F1007" s="90" t="s">
        <v>1854</v>
      </c>
      <c r="G1007" s="90" t="s">
        <v>1674</v>
      </c>
      <c r="H1007" s="90" t="s">
        <v>1247</v>
      </c>
      <c r="I1007" s="90" t="s">
        <v>1855</v>
      </c>
      <c r="J1007" s="90" t="s">
        <v>1856</v>
      </c>
      <c r="K1007" s="90" t="s">
        <v>1857</v>
      </c>
      <c r="L1007" s="90" t="s">
        <v>1858</v>
      </c>
      <c r="M1007" s="95" t="s">
        <v>1679</v>
      </c>
      <c r="N1007" s="90" t="s">
        <v>1859</v>
      </c>
    </row>
    <row r="1008" spans="1:14" ht="16.5">
      <c r="A1008" s="90">
        <v>1005</v>
      </c>
      <c r="B1008" s="91">
        <v>203</v>
      </c>
      <c r="C1008" s="90" t="s">
        <v>202</v>
      </c>
      <c r="D1008" s="50" t="s">
        <v>1897</v>
      </c>
      <c r="E1008" s="50" t="s">
        <v>1938</v>
      </c>
      <c r="F1008" s="90" t="s">
        <v>1860</v>
      </c>
      <c r="G1008" s="90" t="s">
        <v>1682</v>
      </c>
      <c r="H1008" s="90" t="s">
        <v>1247</v>
      </c>
      <c r="I1008" s="90" t="s">
        <v>1861</v>
      </c>
      <c r="J1008" s="90" t="s">
        <v>1862</v>
      </c>
      <c r="K1008" s="90" t="s">
        <v>1863</v>
      </c>
      <c r="L1008" s="90" t="s">
        <v>1864</v>
      </c>
      <c r="M1008" s="95" t="s">
        <v>1679</v>
      </c>
      <c r="N1008" s="90" t="s">
        <v>1870</v>
      </c>
    </row>
    <row r="1009" spans="1:14" ht="16.5">
      <c r="A1009" s="90">
        <v>1006</v>
      </c>
      <c r="B1009" s="47">
        <v>204</v>
      </c>
      <c r="C1009" s="50" t="s">
        <v>226</v>
      </c>
      <c r="D1009" s="50" t="s">
        <v>1897</v>
      </c>
      <c r="E1009" s="50" t="s">
        <v>1938</v>
      </c>
      <c r="F1009" s="90" t="s">
        <v>1854</v>
      </c>
      <c r="G1009" s="90" t="s">
        <v>1674</v>
      </c>
      <c r="H1009" s="90" t="s">
        <v>1247</v>
      </c>
      <c r="I1009" s="90" t="s">
        <v>1855</v>
      </c>
      <c r="J1009" s="90" t="s">
        <v>1856</v>
      </c>
      <c r="K1009" s="90" t="s">
        <v>1857</v>
      </c>
      <c r="L1009" s="90" t="s">
        <v>1858</v>
      </c>
      <c r="M1009" s="95" t="s">
        <v>1679</v>
      </c>
      <c r="N1009" s="90" t="s">
        <v>1680</v>
      </c>
    </row>
    <row r="1010" spans="1:14" ht="16.5">
      <c r="A1010" s="90">
        <v>1007</v>
      </c>
      <c r="B1010" s="47">
        <v>205</v>
      </c>
      <c r="C1010" s="50" t="s">
        <v>249</v>
      </c>
      <c r="D1010" s="50" t="s">
        <v>1897</v>
      </c>
      <c r="E1010" s="50" t="s">
        <v>1938</v>
      </c>
      <c r="F1010" s="90" t="s">
        <v>1854</v>
      </c>
      <c r="G1010" s="90" t="s">
        <v>1674</v>
      </c>
      <c r="H1010" s="90" t="s">
        <v>1247</v>
      </c>
      <c r="I1010" s="90" t="s">
        <v>1855</v>
      </c>
      <c r="J1010" s="90" t="s">
        <v>1856</v>
      </c>
      <c r="K1010" s="90" t="s">
        <v>1857</v>
      </c>
      <c r="L1010" s="90" t="s">
        <v>1858</v>
      </c>
      <c r="M1010" s="95" t="s">
        <v>1679</v>
      </c>
      <c r="N1010" s="90" t="s">
        <v>1859</v>
      </c>
    </row>
    <row r="1011" spans="1:14" ht="16.5">
      <c r="A1011" s="90">
        <v>1008</v>
      </c>
      <c r="B1011" s="47">
        <v>207</v>
      </c>
      <c r="C1011" s="50" t="s">
        <v>595</v>
      </c>
      <c r="D1011" s="50" t="s">
        <v>1897</v>
      </c>
      <c r="E1011" s="50" t="s">
        <v>1938</v>
      </c>
      <c r="F1011" s="90">
        <v>50</v>
      </c>
      <c r="G1011" s="90">
        <v>30</v>
      </c>
      <c r="H1011" s="90">
        <v>10</v>
      </c>
      <c r="I1011" s="90">
        <v>30</v>
      </c>
      <c r="J1011" s="90">
        <v>40</v>
      </c>
      <c r="K1011" s="90">
        <v>60</v>
      </c>
      <c r="L1011" s="90">
        <v>65</v>
      </c>
      <c r="M1011" s="95">
        <v>1</v>
      </c>
      <c r="N1011" s="90">
        <v>3</v>
      </c>
    </row>
    <row r="1012" spans="1:14" ht="16.5">
      <c r="A1012" s="90">
        <v>1009</v>
      </c>
      <c r="B1012" s="47">
        <v>208</v>
      </c>
      <c r="C1012" s="50" t="s">
        <v>589</v>
      </c>
      <c r="D1012" s="50" t="s">
        <v>1897</v>
      </c>
      <c r="E1012" s="50" t="s">
        <v>1938</v>
      </c>
      <c r="F1012" s="97">
        <v>50</v>
      </c>
      <c r="G1012" s="97">
        <v>50</v>
      </c>
      <c r="H1012" s="97">
        <v>1</v>
      </c>
      <c r="I1012" s="97">
        <v>30</v>
      </c>
      <c r="J1012" s="97">
        <v>45</v>
      </c>
      <c r="K1012" s="97">
        <v>73</v>
      </c>
      <c r="L1012" s="97">
        <v>78</v>
      </c>
      <c r="M1012" s="98">
        <v>1</v>
      </c>
      <c r="N1012" s="90">
        <v>15</v>
      </c>
    </row>
    <row r="1013" spans="1:14" ht="16.5">
      <c r="A1013" s="90">
        <v>1010</v>
      </c>
      <c r="B1013" s="47">
        <v>215</v>
      </c>
      <c r="C1013" s="50" t="s">
        <v>418</v>
      </c>
      <c r="D1013" s="50" t="s">
        <v>1897</v>
      </c>
      <c r="E1013" s="50" t="s">
        <v>1938</v>
      </c>
      <c r="F1013" s="90" t="s">
        <v>1865</v>
      </c>
      <c r="G1013" s="90" t="s">
        <v>1682</v>
      </c>
      <c r="H1013" s="90" t="s">
        <v>1247</v>
      </c>
      <c r="I1013" s="90" t="s">
        <v>1866</v>
      </c>
      <c r="J1013" s="90" t="s">
        <v>1867</v>
      </c>
      <c r="K1013" s="90" t="s">
        <v>1868</v>
      </c>
      <c r="L1013" s="90" t="s">
        <v>1869</v>
      </c>
      <c r="M1013" s="95" t="s">
        <v>1679</v>
      </c>
      <c r="N1013" s="90" t="s">
        <v>1870</v>
      </c>
    </row>
    <row r="1014" spans="1:14" ht="16.5">
      <c r="A1014" s="90">
        <v>1011</v>
      </c>
      <c r="B1014" s="47">
        <v>222</v>
      </c>
      <c r="C1014" s="50" t="s">
        <v>442</v>
      </c>
      <c r="D1014" s="50" t="s">
        <v>1897</v>
      </c>
      <c r="E1014" s="50" t="s">
        <v>1938</v>
      </c>
      <c r="F1014" s="90" t="s">
        <v>1854</v>
      </c>
      <c r="G1014" s="90" t="s">
        <v>1871</v>
      </c>
      <c r="H1014" s="90" t="s">
        <v>1247</v>
      </c>
      <c r="I1014" s="90" t="s">
        <v>1855</v>
      </c>
      <c r="J1014" s="90" t="s">
        <v>1856</v>
      </c>
      <c r="K1014" s="90" t="s">
        <v>1857</v>
      </c>
      <c r="L1014" s="90" t="s">
        <v>1858</v>
      </c>
      <c r="M1014" s="95" t="s">
        <v>1679</v>
      </c>
      <c r="N1014" s="90" t="s">
        <v>1859</v>
      </c>
    </row>
    <row r="1015" spans="1:14" ht="16.5">
      <c r="A1015" s="90">
        <v>1012</v>
      </c>
      <c r="B1015" s="47">
        <v>223</v>
      </c>
      <c r="C1015" s="50" t="s">
        <v>918</v>
      </c>
      <c r="D1015" s="50" t="s">
        <v>1897</v>
      </c>
      <c r="E1015" s="50" t="s">
        <v>1938</v>
      </c>
      <c r="F1015" s="90">
        <v>28</v>
      </c>
      <c r="G1015" s="90">
        <v>30</v>
      </c>
      <c r="H1015" s="90">
        <v>10</v>
      </c>
      <c r="I1015" s="90">
        <v>17</v>
      </c>
      <c r="J1015" s="90">
        <v>22</v>
      </c>
      <c r="K1015" s="90">
        <v>33</v>
      </c>
      <c r="L1015" s="90">
        <v>38</v>
      </c>
      <c r="M1015" s="95">
        <v>1</v>
      </c>
      <c r="N1015" s="90">
        <v>2</v>
      </c>
    </row>
    <row r="1016" spans="1:14" ht="16.5">
      <c r="A1016" s="90">
        <v>1013</v>
      </c>
      <c r="B1016" s="47">
        <v>226</v>
      </c>
      <c r="C1016" s="92" t="s">
        <v>469</v>
      </c>
      <c r="D1016" s="50" t="s">
        <v>1897</v>
      </c>
      <c r="E1016" s="50" t="s">
        <v>1938</v>
      </c>
      <c r="F1016" s="90" t="s">
        <v>1872</v>
      </c>
      <c r="G1016" s="90" t="s">
        <v>1682</v>
      </c>
      <c r="H1016" s="90" t="s">
        <v>1247</v>
      </c>
      <c r="I1016" s="90" t="s">
        <v>1873</v>
      </c>
      <c r="J1016" s="90" t="s">
        <v>1874</v>
      </c>
      <c r="K1016" s="90" t="s">
        <v>1875</v>
      </c>
      <c r="L1016" s="90" t="s">
        <v>1876</v>
      </c>
      <c r="M1016" s="95" t="s">
        <v>1679</v>
      </c>
      <c r="N1016" s="90" t="s">
        <v>1877</v>
      </c>
    </row>
    <row r="1017" spans="1:14" ht="16.5">
      <c r="A1017" s="90">
        <v>1014</v>
      </c>
      <c r="B1017" s="91">
        <v>227</v>
      </c>
      <c r="C1017" s="93" t="s">
        <v>493</v>
      </c>
      <c r="D1017" s="50" t="s">
        <v>1897</v>
      </c>
      <c r="E1017" s="50" t="s">
        <v>1938</v>
      </c>
      <c r="F1017" s="90" t="s">
        <v>1872</v>
      </c>
      <c r="G1017" s="90" t="s">
        <v>1682</v>
      </c>
      <c r="H1017" s="90" t="s">
        <v>1247</v>
      </c>
      <c r="I1017" s="90" t="s">
        <v>1873</v>
      </c>
      <c r="J1017" s="90" t="s">
        <v>1874</v>
      </c>
      <c r="K1017" s="90" t="s">
        <v>1875</v>
      </c>
      <c r="L1017" s="90" t="s">
        <v>1876</v>
      </c>
      <c r="M1017" s="95" t="s">
        <v>1679</v>
      </c>
      <c r="N1017" s="90" t="s">
        <v>1870</v>
      </c>
    </row>
    <row r="1018" spans="1:14" ht="16.5">
      <c r="A1018" s="90">
        <v>1015</v>
      </c>
      <c r="B1018" s="47">
        <v>234</v>
      </c>
      <c r="C1018" s="50" t="s">
        <v>1878</v>
      </c>
      <c r="D1018" s="50" t="s">
        <v>1897</v>
      </c>
      <c r="E1018" s="50" t="s">
        <v>1938</v>
      </c>
      <c r="F1018" s="90" t="s">
        <v>1854</v>
      </c>
      <c r="G1018" s="90" t="s">
        <v>1674</v>
      </c>
      <c r="H1018" s="90" t="s">
        <v>1247</v>
      </c>
      <c r="I1018" s="90" t="s">
        <v>1855</v>
      </c>
      <c r="J1018" s="90" t="s">
        <v>1856</v>
      </c>
      <c r="K1018" s="90" t="s">
        <v>1857</v>
      </c>
      <c r="L1018" s="90" t="s">
        <v>1858</v>
      </c>
      <c r="M1018" s="95" t="s">
        <v>1679</v>
      </c>
      <c r="N1018" s="90" t="s">
        <v>1859</v>
      </c>
    </row>
    <row r="1019" spans="1:14" ht="16.5">
      <c r="A1019" s="90">
        <v>1016</v>
      </c>
      <c r="B1019" s="47">
        <v>235</v>
      </c>
      <c r="C1019" s="50" t="s">
        <v>601</v>
      </c>
      <c r="D1019" s="50" t="s">
        <v>1897</v>
      </c>
      <c r="E1019" s="50" t="s">
        <v>1938</v>
      </c>
      <c r="F1019" s="90">
        <v>50</v>
      </c>
      <c r="G1019" s="90">
        <v>30</v>
      </c>
      <c r="H1019" s="90">
        <v>10</v>
      </c>
      <c r="I1019" s="90">
        <v>30</v>
      </c>
      <c r="J1019" s="90">
        <v>40</v>
      </c>
      <c r="K1019" s="90">
        <v>60</v>
      </c>
      <c r="L1019" s="90">
        <v>65</v>
      </c>
      <c r="M1019" s="95">
        <v>1</v>
      </c>
      <c r="N1019" s="90">
        <v>3</v>
      </c>
    </row>
    <row r="1020" spans="1:14" ht="16.5">
      <c r="A1020" s="90">
        <v>1017</v>
      </c>
      <c r="B1020" s="47">
        <v>236</v>
      </c>
      <c r="C1020" s="50" t="s">
        <v>1688</v>
      </c>
      <c r="D1020" s="50" t="s">
        <v>1897</v>
      </c>
      <c r="E1020" s="50" t="s">
        <v>1938</v>
      </c>
      <c r="F1020" s="90">
        <v>50</v>
      </c>
      <c r="G1020" s="90">
        <v>30</v>
      </c>
      <c r="H1020" s="90">
        <v>10</v>
      </c>
      <c r="I1020" s="90">
        <v>30</v>
      </c>
      <c r="J1020" s="90">
        <v>40</v>
      </c>
      <c r="K1020" s="90">
        <v>60</v>
      </c>
      <c r="L1020" s="90">
        <v>65</v>
      </c>
      <c r="M1020" s="95">
        <v>1</v>
      </c>
      <c r="N1020" s="90">
        <v>3</v>
      </c>
    </row>
    <row r="1021" spans="1:14" ht="16.5">
      <c r="A1021" s="90">
        <v>1018</v>
      </c>
      <c r="B1021" s="91">
        <v>201</v>
      </c>
      <c r="C1021" s="90" t="s">
        <v>66</v>
      </c>
      <c r="D1021" s="50" t="s">
        <v>1897</v>
      </c>
      <c r="E1021" s="50" t="s">
        <v>1938</v>
      </c>
      <c r="F1021" s="90" t="s">
        <v>1872</v>
      </c>
      <c r="G1021" s="90" t="s">
        <v>1682</v>
      </c>
      <c r="H1021" s="90" t="s">
        <v>1247</v>
      </c>
      <c r="I1021" s="90" t="s">
        <v>1879</v>
      </c>
      <c r="J1021" s="90" t="s">
        <v>1880</v>
      </c>
      <c r="K1021" s="90" t="s">
        <v>1875</v>
      </c>
      <c r="L1021" s="90" t="s">
        <v>1876</v>
      </c>
      <c r="M1021" s="95" t="s">
        <v>1679</v>
      </c>
      <c r="N1021" s="90" t="s">
        <v>1680</v>
      </c>
    </row>
    <row r="1022" spans="1:14" ht="16.5">
      <c r="A1022" s="90">
        <v>1019</v>
      </c>
      <c r="B1022" s="91">
        <v>206</v>
      </c>
      <c r="C1022" s="90" t="s">
        <v>293</v>
      </c>
      <c r="D1022" s="50" t="s">
        <v>1897</v>
      </c>
      <c r="E1022" s="50" t="s">
        <v>1938</v>
      </c>
      <c r="F1022" s="90" t="s">
        <v>1860</v>
      </c>
      <c r="G1022" s="90" t="s">
        <v>1682</v>
      </c>
      <c r="H1022" s="90" t="s">
        <v>1247</v>
      </c>
      <c r="I1022" s="90" t="s">
        <v>1861</v>
      </c>
      <c r="J1022" s="90" t="s">
        <v>1862</v>
      </c>
      <c r="K1022" s="90" t="s">
        <v>1863</v>
      </c>
      <c r="L1022" s="90" t="s">
        <v>1864</v>
      </c>
      <c r="M1022" s="95" t="s">
        <v>1679</v>
      </c>
      <c r="N1022" s="90" t="s">
        <v>1680</v>
      </c>
    </row>
    <row r="1023" spans="1:14" ht="16.5">
      <c r="A1023" s="90">
        <v>1020</v>
      </c>
      <c r="B1023" s="47">
        <v>209</v>
      </c>
      <c r="C1023" s="50" t="s">
        <v>344</v>
      </c>
      <c r="D1023" s="50" t="s">
        <v>1897</v>
      </c>
      <c r="E1023" s="50" t="s">
        <v>1938</v>
      </c>
      <c r="F1023" s="90" t="s">
        <v>1860</v>
      </c>
      <c r="G1023" s="90" t="s">
        <v>1682</v>
      </c>
      <c r="H1023" s="90" t="s">
        <v>1247</v>
      </c>
      <c r="I1023" s="90" t="s">
        <v>1861</v>
      </c>
      <c r="J1023" s="90" t="s">
        <v>1862</v>
      </c>
      <c r="K1023" s="90" t="s">
        <v>1863</v>
      </c>
      <c r="L1023" s="90" t="s">
        <v>1864</v>
      </c>
      <c r="M1023" s="95" t="s">
        <v>1679</v>
      </c>
      <c r="N1023" s="90" t="s">
        <v>1680</v>
      </c>
    </row>
    <row r="1024" spans="1:14" ht="16.5">
      <c r="A1024" s="90">
        <v>1021</v>
      </c>
      <c r="B1024" s="47">
        <v>230</v>
      </c>
      <c r="C1024" s="50" t="s">
        <v>539</v>
      </c>
      <c r="D1024" s="50" t="s">
        <v>1897</v>
      </c>
      <c r="E1024" s="50" t="s">
        <v>1938</v>
      </c>
      <c r="F1024" s="90" t="s">
        <v>1881</v>
      </c>
      <c r="G1024" s="90" t="s">
        <v>1682</v>
      </c>
      <c r="H1024" s="90" t="s">
        <v>1247</v>
      </c>
      <c r="I1024" s="90" t="s">
        <v>1683</v>
      </c>
      <c r="J1024" s="90" t="s">
        <v>1684</v>
      </c>
      <c r="K1024" s="90" t="s">
        <v>1882</v>
      </c>
      <c r="L1024" s="90" t="s">
        <v>1883</v>
      </c>
      <c r="M1024" s="95" t="s">
        <v>1679</v>
      </c>
      <c r="N1024" s="90" t="s">
        <v>1884</v>
      </c>
    </row>
    <row r="1025" spans="1:14" ht="16.5">
      <c r="A1025" s="90">
        <v>1022</v>
      </c>
      <c r="B1025" s="91">
        <v>232</v>
      </c>
      <c r="C1025" s="90" t="s">
        <v>319</v>
      </c>
      <c r="D1025" s="50" t="s">
        <v>1897</v>
      </c>
      <c r="E1025" s="50" t="s">
        <v>1938</v>
      </c>
      <c r="F1025" s="90" t="s">
        <v>1860</v>
      </c>
      <c r="G1025" s="90" t="s">
        <v>1682</v>
      </c>
      <c r="H1025" s="90" t="s">
        <v>1247</v>
      </c>
      <c r="I1025" s="90" t="s">
        <v>1861</v>
      </c>
      <c r="J1025" s="90" t="s">
        <v>1862</v>
      </c>
      <c r="K1025" s="90" t="s">
        <v>1863</v>
      </c>
      <c r="L1025" s="90" t="s">
        <v>1864</v>
      </c>
      <c r="M1025" s="95" t="s">
        <v>1679</v>
      </c>
      <c r="N1025" s="90" t="s">
        <v>1680</v>
      </c>
    </row>
    <row r="1026" spans="1:14" ht="16.5">
      <c r="A1026" s="90">
        <v>1023</v>
      </c>
      <c r="B1026" s="47">
        <v>233</v>
      </c>
      <c r="C1026" s="50" t="s">
        <v>593</v>
      </c>
      <c r="D1026" s="50" t="s">
        <v>1897</v>
      </c>
      <c r="E1026" s="50" t="s">
        <v>1938</v>
      </c>
      <c r="F1026" s="90">
        <v>50</v>
      </c>
      <c r="G1026" s="90">
        <v>30</v>
      </c>
      <c r="H1026" s="90">
        <v>10</v>
      </c>
      <c r="I1026" s="90">
        <v>30</v>
      </c>
      <c r="J1026" s="90">
        <v>40</v>
      </c>
      <c r="K1026" s="90">
        <v>60</v>
      </c>
      <c r="L1026" s="90">
        <v>65</v>
      </c>
      <c r="M1026" s="95">
        <v>1</v>
      </c>
      <c r="N1026" s="90">
        <v>3</v>
      </c>
    </row>
    <row r="1027" spans="1:14" ht="16.5">
      <c r="A1027" s="90">
        <v>1024</v>
      </c>
      <c r="B1027" s="47">
        <v>237</v>
      </c>
      <c r="C1027" s="50" t="s">
        <v>565</v>
      </c>
      <c r="D1027" s="50" t="s">
        <v>1897</v>
      </c>
      <c r="E1027" s="50" t="s">
        <v>1938</v>
      </c>
      <c r="F1027" s="90" t="s">
        <v>1885</v>
      </c>
      <c r="G1027" s="90" t="s">
        <v>1682</v>
      </c>
      <c r="H1027" s="90" t="s">
        <v>1247</v>
      </c>
      <c r="I1027" s="90" t="s">
        <v>1675</v>
      </c>
      <c r="J1027" s="90" t="s">
        <v>1676</v>
      </c>
      <c r="K1027" s="90" t="s">
        <v>1886</v>
      </c>
      <c r="L1027" s="90" t="s">
        <v>1887</v>
      </c>
      <c r="M1027" s="95" t="s">
        <v>1679</v>
      </c>
      <c r="N1027" s="90" t="s">
        <v>1680</v>
      </c>
    </row>
    <row r="1028" spans="1:14" ht="16.5">
      <c r="A1028" s="90">
        <v>1025</v>
      </c>
      <c r="B1028" s="47">
        <v>213</v>
      </c>
      <c r="C1028" s="50" t="s">
        <v>599</v>
      </c>
      <c r="D1028" s="50" t="s">
        <v>1897</v>
      </c>
      <c r="E1028" s="50" t="s">
        <v>1938</v>
      </c>
      <c r="F1028" s="90">
        <v>63</v>
      </c>
      <c r="G1028" s="90">
        <v>30</v>
      </c>
      <c r="H1028" s="90">
        <v>10</v>
      </c>
      <c r="I1028" s="90">
        <v>48</v>
      </c>
      <c r="J1028" s="90">
        <v>53</v>
      </c>
      <c r="K1028" s="90">
        <v>73</v>
      </c>
      <c r="L1028" s="90">
        <v>78</v>
      </c>
      <c r="M1028" s="95">
        <v>1</v>
      </c>
      <c r="N1028" s="90">
        <v>6</v>
      </c>
    </row>
    <row r="1029" spans="1:14" ht="16.5">
      <c r="A1029" s="90">
        <v>1026</v>
      </c>
      <c r="B1029" s="47">
        <v>224</v>
      </c>
      <c r="C1029" s="50" t="s">
        <v>369</v>
      </c>
      <c r="D1029" s="50" t="s">
        <v>1897</v>
      </c>
      <c r="E1029" s="50" t="s">
        <v>1938</v>
      </c>
      <c r="F1029" s="90" t="s">
        <v>1860</v>
      </c>
      <c r="G1029" s="90" t="s">
        <v>1682</v>
      </c>
      <c r="H1029" s="90" t="s">
        <v>1247</v>
      </c>
      <c r="I1029" s="90" t="s">
        <v>1861</v>
      </c>
      <c r="J1029" s="90" t="s">
        <v>1862</v>
      </c>
      <c r="K1029" s="90" t="s">
        <v>1863</v>
      </c>
      <c r="L1029" s="90" t="s">
        <v>1864</v>
      </c>
      <c r="M1029" s="95" t="s">
        <v>1679</v>
      </c>
      <c r="N1029" s="90" t="s">
        <v>1680</v>
      </c>
    </row>
    <row r="1030" spans="1:14" ht="16.5">
      <c r="A1030" s="90">
        <v>1027</v>
      </c>
      <c r="B1030" s="47">
        <v>229</v>
      </c>
      <c r="C1030" s="50" t="s">
        <v>515</v>
      </c>
      <c r="D1030" s="50" t="s">
        <v>1897</v>
      </c>
      <c r="E1030" s="50" t="s">
        <v>1938</v>
      </c>
      <c r="F1030" s="90" t="s">
        <v>1872</v>
      </c>
      <c r="G1030" s="90" t="s">
        <v>1682</v>
      </c>
      <c r="H1030" s="90" t="s">
        <v>1247</v>
      </c>
      <c r="I1030" s="90" t="s">
        <v>1879</v>
      </c>
      <c r="J1030" s="90" t="s">
        <v>1880</v>
      </c>
      <c r="K1030" s="90" t="s">
        <v>1875</v>
      </c>
      <c r="L1030" s="90" t="s">
        <v>1876</v>
      </c>
      <c r="M1030" s="95" t="s">
        <v>1679</v>
      </c>
      <c r="N1030" s="90" t="s">
        <v>1680</v>
      </c>
    </row>
    <row r="1031" spans="1:14" ht="16.5">
      <c r="A1031" s="90">
        <v>1028</v>
      </c>
      <c r="B1031" s="47">
        <v>231</v>
      </c>
      <c r="C1031" s="94" t="s">
        <v>591</v>
      </c>
      <c r="D1031" s="50" t="s">
        <v>1897</v>
      </c>
      <c r="E1031" s="50" t="s">
        <v>1938</v>
      </c>
      <c r="F1031" s="90" t="s">
        <v>1872</v>
      </c>
      <c r="G1031" s="90" t="s">
        <v>1862</v>
      </c>
      <c r="H1031" s="90" t="s">
        <v>1888</v>
      </c>
      <c r="I1031" s="90" t="s">
        <v>1862</v>
      </c>
      <c r="J1031" s="90" t="s">
        <v>1889</v>
      </c>
      <c r="K1031" s="90" t="s">
        <v>1890</v>
      </c>
      <c r="L1031" s="90" t="s">
        <v>1868</v>
      </c>
      <c r="M1031" s="95" t="s">
        <v>1679</v>
      </c>
      <c r="N1031" s="90" t="s">
        <v>1891</v>
      </c>
    </row>
    <row r="1032" spans="1:14" ht="16.5">
      <c r="A1032" s="90">
        <v>1029</v>
      </c>
      <c r="B1032" s="47">
        <v>211</v>
      </c>
      <c r="C1032" s="50" t="s">
        <v>605</v>
      </c>
      <c r="D1032" s="50" t="s">
        <v>1897</v>
      </c>
      <c r="E1032" s="50" t="s">
        <v>1938</v>
      </c>
      <c r="F1032" s="90">
        <v>50</v>
      </c>
      <c r="G1032" s="90">
        <v>30</v>
      </c>
      <c r="H1032" s="90">
        <v>10</v>
      </c>
      <c r="I1032" s="90">
        <v>33</v>
      </c>
      <c r="J1032" s="90">
        <v>38</v>
      </c>
      <c r="K1032" s="90">
        <v>58</v>
      </c>
      <c r="L1032" s="90">
        <v>63</v>
      </c>
      <c r="M1032" s="95">
        <v>1</v>
      </c>
      <c r="N1032" s="90">
        <v>3</v>
      </c>
    </row>
    <row r="1033" spans="1:14" ht="16.5">
      <c r="A1033" s="90">
        <v>1030</v>
      </c>
      <c r="B1033" s="47">
        <v>212</v>
      </c>
      <c r="C1033" s="50" t="s">
        <v>394</v>
      </c>
      <c r="D1033" s="50" t="s">
        <v>1897</v>
      </c>
      <c r="E1033" s="50" t="s">
        <v>1938</v>
      </c>
      <c r="F1033" s="90" t="s">
        <v>1898</v>
      </c>
      <c r="G1033" s="90" t="s">
        <v>1862</v>
      </c>
      <c r="H1033" s="90" t="s">
        <v>1888</v>
      </c>
      <c r="I1033" s="90" t="s">
        <v>1899</v>
      </c>
      <c r="J1033" s="90" t="s">
        <v>1889</v>
      </c>
      <c r="K1033" s="90" t="s">
        <v>1900</v>
      </c>
      <c r="L1033" s="90" t="s">
        <v>1901</v>
      </c>
      <c r="M1033" s="95" t="s">
        <v>1679</v>
      </c>
      <c r="N1033" s="90" t="s">
        <v>1902</v>
      </c>
    </row>
    <row r="1034" spans="1:14" ht="16.5">
      <c r="A1034" s="90">
        <v>1031</v>
      </c>
      <c r="B1034" s="47">
        <v>300</v>
      </c>
      <c r="C1034" s="50" t="s">
        <v>1896</v>
      </c>
      <c r="D1034" s="50" t="s">
        <v>1897</v>
      </c>
      <c r="E1034" s="50" t="s">
        <v>1938</v>
      </c>
      <c r="F1034" s="90">
        <v>42</v>
      </c>
      <c r="G1034" s="90">
        <v>30</v>
      </c>
      <c r="H1034" s="90">
        <v>10</v>
      </c>
      <c r="I1034" s="90">
        <v>27</v>
      </c>
      <c r="J1034" s="90">
        <v>32</v>
      </c>
      <c r="K1034" s="90">
        <v>52</v>
      </c>
      <c r="L1034" s="90">
        <v>57</v>
      </c>
      <c r="M1034" s="95">
        <v>1</v>
      </c>
      <c r="N1034" s="90">
        <v>3</v>
      </c>
    </row>
    <row r="1035" spans="1:14" ht="16.5">
      <c r="A1035" s="90">
        <v>1032</v>
      </c>
      <c r="B1035" s="47">
        <v>228</v>
      </c>
      <c r="C1035" s="50" t="s">
        <v>948</v>
      </c>
      <c r="D1035" s="50" t="s">
        <v>1897</v>
      </c>
      <c r="E1035" s="50" t="s">
        <v>1938</v>
      </c>
      <c r="F1035" s="90" t="s">
        <v>1872</v>
      </c>
      <c r="G1035" s="90" t="s">
        <v>1682</v>
      </c>
      <c r="H1035" s="90" t="s">
        <v>1247</v>
      </c>
      <c r="I1035" s="90" t="s">
        <v>1873</v>
      </c>
      <c r="J1035" s="90" t="s">
        <v>1874</v>
      </c>
      <c r="K1035" s="90" t="s">
        <v>1875</v>
      </c>
      <c r="L1035" s="90" t="s">
        <v>1876</v>
      </c>
      <c r="M1035" s="95" t="s">
        <v>1679</v>
      </c>
      <c r="N1035" s="90" t="s">
        <v>1877</v>
      </c>
    </row>
    <row r="1036" spans="1:14" ht="16.5">
      <c r="A1036" s="90">
        <v>1033</v>
      </c>
      <c r="B1036" s="47">
        <v>202</v>
      </c>
      <c r="C1036" s="50" t="s">
        <v>154</v>
      </c>
      <c r="D1036" s="50" t="s">
        <v>1903</v>
      </c>
      <c r="E1036" s="50" t="s">
        <v>1938</v>
      </c>
      <c r="F1036" s="90" t="s">
        <v>1854</v>
      </c>
      <c r="G1036" s="90" t="s">
        <v>1674</v>
      </c>
      <c r="H1036" s="90" t="s">
        <v>1247</v>
      </c>
      <c r="I1036" s="90" t="s">
        <v>1855</v>
      </c>
      <c r="J1036" s="90" t="s">
        <v>1856</v>
      </c>
      <c r="K1036" s="90" t="s">
        <v>1857</v>
      </c>
      <c r="L1036" s="90" t="s">
        <v>1858</v>
      </c>
      <c r="M1036" s="95" t="s">
        <v>1679</v>
      </c>
      <c r="N1036" s="90" t="s">
        <v>1859</v>
      </c>
    </row>
    <row r="1037" spans="1:14" ht="16.5">
      <c r="A1037" s="90">
        <v>1034</v>
      </c>
      <c r="B1037" s="91">
        <v>203</v>
      </c>
      <c r="C1037" s="90" t="s">
        <v>202</v>
      </c>
      <c r="D1037" s="50" t="s">
        <v>1903</v>
      </c>
      <c r="E1037" s="50" t="s">
        <v>1938</v>
      </c>
      <c r="F1037" s="90" t="s">
        <v>1860</v>
      </c>
      <c r="G1037" s="90" t="s">
        <v>1682</v>
      </c>
      <c r="H1037" s="90" t="s">
        <v>1247</v>
      </c>
      <c r="I1037" s="90" t="s">
        <v>1861</v>
      </c>
      <c r="J1037" s="90" t="s">
        <v>1862</v>
      </c>
      <c r="K1037" s="90" t="s">
        <v>1863</v>
      </c>
      <c r="L1037" s="90" t="s">
        <v>1864</v>
      </c>
      <c r="M1037" s="95" t="s">
        <v>1679</v>
      </c>
      <c r="N1037" s="90" t="s">
        <v>1904</v>
      </c>
    </row>
    <row r="1038" spans="1:14" ht="16.5">
      <c r="A1038" s="90">
        <v>1035</v>
      </c>
      <c r="B1038" s="47">
        <v>204</v>
      </c>
      <c r="C1038" s="50" t="s">
        <v>226</v>
      </c>
      <c r="D1038" s="50" t="s">
        <v>1903</v>
      </c>
      <c r="E1038" s="50" t="s">
        <v>1938</v>
      </c>
      <c r="F1038" s="90" t="s">
        <v>1854</v>
      </c>
      <c r="G1038" s="90" t="s">
        <v>1674</v>
      </c>
      <c r="H1038" s="90" t="s">
        <v>1247</v>
      </c>
      <c r="I1038" s="90" t="s">
        <v>1855</v>
      </c>
      <c r="J1038" s="90" t="s">
        <v>1856</v>
      </c>
      <c r="K1038" s="90" t="s">
        <v>1857</v>
      </c>
      <c r="L1038" s="90" t="s">
        <v>1858</v>
      </c>
      <c r="M1038" s="95" t="s">
        <v>1679</v>
      </c>
      <c r="N1038" s="90" t="s">
        <v>1680</v>
      </c>
    </row>
    <row r="1039" spans="1:14" ht="16.5">
      <c r="A1039" s="90">
        <v>1036</v>
      </c>
      <c r="B1039" s="47">
        <v>205</v>
      </c>
      <c r="C1039" s="50" t="s">
        <v>249</v>
      </c>
      <c r="D1039" s="50" t="s">
        <v>1903</v>
      </c>
      <c r="E1039" s="50" t="s">
        <v>1938</v>
      </c>
      <c r="F1039" s="90" t="s">
        <v>1854</v>
      </c>
      <c r="G1039" s="90" t="s">
        <v>1674</v>
      </c>
      <c r="H1039" s="90" t="s">
        <v>1247</v>
      </c>
      <c r="I1039" s="90" t="s">
        <v>1855</v>
      </c>
      <c r="J1039" s="90" t="s">
        <v>1856</v>
      </c>
      <c r="K1039" s="90" t="s">
        <v>1857</v>
      </c>
      <c r="L1039" s="90" t="s">
        <v>1858</v>
      </c>
      <c r="M1039" s="95" t="s">
        <v>1679</v>
      </c>
      <c r="N1039" s="90" t="s">
        <v>1859</v>
      </c>
    </row>
    <row r="1040" spans="1:14" ht="16.5">
      <c r="A1040" s="90">
        <v>1037</v>
      </c>
      <c r="B1040" s="47">
        <v>207</v>
      </c>
      <c r="C1040" s="50" t="s">
        <v>595</v>
      </c>
      <c r="D1040" s="50" t="s">
        <v>1903</v>
      </c>
      <c r="E1040" s="50" t="s">
        <v>1938</v>
      </c>
      <c r="F1040" s="90">
        <v>50</v>
      </c>
      <c r="G1040" s="90">
        <v>30</v>
      </c>
      <c r="H1040" s="90">
        <v>10</v>
      </c>
      <c r="I1040" s="90">
        <v>30</v>
      </c>
      <c r="J1040" s="90">
        <v>40</v>
      </c>
      <c r="K1040" s="90">
        <v>60</v>
      </c>
      <c r="L1040" s="90">
        <v>65</v>
      </c>
      <c r="M1040" s="95">
        <v>1</v>
      </c>
      <c r="N1040" s="90">
        <v>3</v>
      </c>
    </row>
    <row r="1041" spans="1:14" ht="16.5">
      <c r="A1041" s="90">
        <v>1038</v>
      </c>
      <c r="B1041" s="96">
        <v>208</v>
      </c>
      <c r="C1041" s="97" t="s">
        <v>589</v>
      </c>
      <c r="D1041" s="97" t="s">
        <v>1903</v>
      </c>
      <c r="E1041" s="50" t="s">
        <v>1938</v>
      </c>
      <c r="F1041" s="97">
        <v>55</v>
      </c>
      <c r="G1041" s="97">
        <v>50</v>
      </c>
      <c r="H1041" s="97">
        <v>1</v>
      </c>
      <c r="I1041" s="97">
        <v>30</v>
      </c>
      <c r="J1041" s="97">
        <v>45</v>
      </c>
      <c r="K1041" s="97">
        <v>73</v>
      </c>
      <c r="L1041" s="97">
        <v>78</v>
      </c>
      <c r="M1041" s="98">
        <v>1</v>
      </c>
      <c r="N1041" s="97">
        <v>16</v>
      </c>
    </row>
    <row r="1042" spans="1:14" ht="16.5">
      <c r="A1042" s="90">
        <v>1039</v>
      </c>
      <c r="B1042" s="47">
        <v>215</v>
      </c>
      <c r="C1042" s="50" t="s">
        <v>418</v>
      </c>
      <c r="D1042" s="50" t="s">
        <v>1903</v>
      </c>
      <c r="E1042" s="50" t="s">
        <v>1938</v>
      </c>
      <c r="F1042" s="90" t="s">
        <v>1865</v>
      </c>
      <c r="G1042" s="90" t="s">
        <v>1682</v>
      </c>
      <c r="H1042" s="90" t="s">
        <v>1247</v>
      </c>
      <c r="I1042" s="90" t="s">
        <v>1866</v>
      </c>
      <c r="J1042" s="90" t="s">
        <v>1867</v>
      </c>
      <c r="K1042" s="90" t="s">
        <v>1868</v>
      </c>
      <c r="L1042" s="90" t="s">
        <v>1869</v>
      </c>
      <c r="M1042" s="95" t="s">
        <v>1679</v>
      </c>
      <c r="N1042" s="90" t="s">
        <v>1870</v>
      </c>
    </row>
    <row r="1043" spans="1:14" ht="16.5">
      <c r="A1043" s="90">
        <v>1040</v>
      </c>
      <c r="B1043" s="47">
        <v>222</v>
      </c>
      <c r="C1043" s="50" t="s">
        <v>442</v>
      </c>
      <c r="D1043" s="50" t="s">
        <v>1903</v>
      </c>
      <c r="E1043" s="50" t="s">
        <v>1938</v>
      </c>
      <c r="F1043" s="90" t="s">
        <v>1854</v>
      </c>
      <c r="G1043" s="90" t="s">
        <v>1871</v>
      </c>
      <c r="H1043" s="90" t="s">
        <v>1247</v>
      </c>
      <c r="I1043" s="90" t="s">
        <v>1855</v>
      </c>
      <c r="J1043" s="90" t="s">
        <v>1856</v>
      </c>
      <c r="K1043" s="90" t="s">
        <v>1857</v>
      </c>
      <c r="L1043" s="90" t="s">
        <v>1858</v>
      </c>
      <c r="M1043" s="95" t="s">
        <v>1679</v>
      </c>
      <c r="N1043" s="90" t="s">
        <v>1859</v>
      </c>
    </row>
    <row r="1044" spans="1:14" ht="16.5">
      <c r="A1044" s="90">
        <v>1041</v>
      </c>
      <c r="B1044" s="47">
        <v>223</v>
      </c>
      <c r="C1044" s="50" t="s">
        <v>918</v>
      </c>
      <c r="D1044" s="50" t="s">
        <v>1903</v>
      </c>
      <c r="E1044" s="50" t="s">
        <v>1938</v>
      </c>
      <c r="F1044" s="90">
        <v>28</v>
      </c>
      <c r="G1044" s="90">
        <v>30</v>
      </c>
      <c r="H1044" s="90">
        <v>10</v>
      </c>
      <c r="I1044" s="90">
        <v>17</v>
      </c>
      <c r="J1044" s="90">
        <v>22</v>
      </c>
      <c r="K1044" s="90">
        <v>33</v>
      </c>
      <c r="L1044" s="90">
        <v>38</v>
      </c>
      <c r="M1044" s="95">
        <v>1</v>
      </c>
      <c r="N1044" s="90">
        <v>2</v>
      </c>
    </row>
    <row r="1045" spans="1:14" ht="16.5">
      <c r="A1045" s="90">
        <v>1042</v>
      </c>
      <c r="B1045" s="47">
        <v>226</v>
      </c>
      <c r="C1045" s="92" t="s">
        <v>469</v>
      </c>
      <c r="D1045" s="50" t="s">
        <v>1903</v>
      </c>
      <c r="E1045" s="50" t="s">
        <v>1938</v>
      </c>
      <c r="F1045" s="90" t="s">
        <v>1872</v>
      </c>
      <c r="G1045" s="90" t="s">
        <v>1682</v>
      </c>
      <c r="H1045" s="90" t="s">
        <v>1247</v>
      </c>
      <c r="I1045" s="90" t="s">
        <v>1873</v>
      </c>
      <c r="J1045" s="90" t="s">
        <v>1874</v>
      </c>
      <c r="K1045" s="90" t="s">
        <v>1875</v>
      </c>
      <c r="L1045" s="90" t="s">
        <v>1876</v>
      </c>
      <c r="M1045" s="95" t="s">
        <v>1679</v>
      </c>
      <c r="N1045" s="90" t="s">
        <v>1877</v>
      </c>
    </row>
    <row r="1046" spans="1:14" ht="16.5">
      <c r="A1046" s="90">
        <v>1043</v>
      </c>
      <c r="B1046" s="91">
        <v>227</v>
      </c>
      <c r="C1046" s="93" t="s">
        <v>493</v>
      </c>
      <c r="D1046" s="50" t="s">
        <v>1903</v>
      </c>
      <c r="E1046" s="50" t="s">
        <v>1938</v>
      </c>
      <c r="F1046" s="90" t="s">
        <v>1872</v>
      </c>
      <c r="G1046" s="90" t="s">
        <v>1682</v>
      </c>
      <c r="H1046" s="90" t="s">
        <v>1247</v>
      </c>
      <c r="I1046" s="90" t="s">
        <v>1873</v>
      </c>
      <c r="J1046" s="90" t="s">
        <v>1874</v>
      </c>
      <c r="K1046" s="90" t="s">
        <v>1875</v>
      </c>
      <c r="L1046" s="90" t="s">
        <v>1876</v>
      </c>
      <c r="M1046" s="95" t="s">
        <v>1679</v>
      </c>
      <c r="N1046" s="90" t="s">
        <v>1870</v>
      </c>
    </row>
    <row r="1047" spans="1:14" ht="16.5">
      <c r="A1047" s="90">
        <v>1044</v>
      </c>
      <c r="B1047" s="47">
        <v>234</v>
      </c>
      <c r="C1047" s="50" t="s">
        <v>1878</v>
      </c>
      <c r="D1047" s="50" t="s">
        <v>1903</v>
      </c>
      <c r="E1047" s="50" t="s">
        <v>1938</v>
      </c>
      <c r="F1047" s="90" t="s">
        <v>1854</v>
      </c>
      <c r="G1047" s="90" t="s">
        <v>1674</v>
      </c>
      <c r="H1047" s="90" t="s">
        <v>1247</v>
      </c>
      <c r="I1047" s="90" t="s">
        <v>1855</v>
      </c>
      <c r="J1047" s="90" t="s">
        <v>1856</v>
      </c>
      <c r="K1047" s="90" t="s">
        <v>1857</v>
      </c>
      <c r="L1047" s="90" t="s">
        <v>1858</v>
      </c>
      <c r="M1047" s="95" t="s">
        <v>1679</v>
      </c>
      <c r="N1047" s="90" t="s">
        <v>1859</v>
      </c>
    </row>
    <row r="1048" spans="1:14" ht="16.5">
      <c r="A1048" s="90">
        <v>1045</v>
      </c>
      <c r="B1048" s="47">
        <v>235</v>
      </c>
      <c r="C1048" s="50" t="s">
        <v>601</v>
      </c>
      <c r="D1048" s="50" t="s">
        <v>1903</v>
      </c>
      <c r="E1048" s="50" t="s">
        <v>1938</v>
      </c>
      <c r="F1048" s="90">
        <v>50</v>
      </c>
      <c r="G1048" s="90">
        <v>30</v>
      </c>
      <c r="H1048" s="90">
        <v>10</v>
      </c>
      <c r="I1048" s="90">
        <v>30</v>
      </c>
      <c r="J1048" s="90">
        <v>40</v>
      </c>
      <c r="K1048" s="90">
        <v>60</v>
      </c>
      <c r="L1048" s="90">
        <v>65</v>
      </c>
      <c r="M1048" s="95">
        <v>1</v>
      </c>
      <c r="N1048" s="90">
        <v>3</v>
      </c>
    </row>
    <row r="1049" spans="1:14" ht="16.5">
      <c r="A1049" s="90">
        <v>1046</v>
      </c>
      <c r="B1049" s="47">
        <v>236</v>
      </c>
      <c r="C1049" s="50" t="s">
        <v>1688</v>
      </c>
      <c r="D1049" s="50" t="s">
        <v>1903</v>
      </c>
      <c r="E1049" s="50" t="s">
        <v>1938</v>
      </c>
      <c r="F1049" s="90">
        <v>50</v>
      </c>
      <c r="G1049" s="90">
        <v>30</v>
      </c>
      <c r="H1049" s="90">
        <v>10</v>
      </c>
      <c r="I1049" s="90">
        <v>30</v>
      </c>
      <c r="J1049" s="90">
        <v>40</v>
      </c>
      <c r="K1049" s="90">
        <v>60</v>
      </c>
      <c r="L1049" s="90">
        <v>65</v>
      </c>
      <c r="M1049" s="95">
        <v>1</v>
      </c>
      <c r="N1049" s="90">
        <v>3</v>
      </c>
    </row>
    <row r="1050" spans="1:14" ht="16.5">
      <c r="A1050" s="90">
        <v>1047</v>
      </c>
      <c r="B1050" s="91">
        <v>201</v>
      </c>
      <c r="C1050" s="90" t="s">
        <v>66</v>
      </c>
      <c r="D1050" s="50" t="s">
        <v>1903</v>
      </c>
      <c r="E1050" s="50" t="s">
        <v>1938</v>
      </c>
      <c r="F1050" s="90" t="s">
        <v>1872</v>
      </c>
      <c r="G1050" s="90" t="s">
        <v>1682</v>
      </c>
      <c r="H1050" s="90" t="s">
        <v>1247</v>
      </c>
      <c r="I1050" s="90" t="s">
        <v>1879</v>
      </c>
      <c r="J1050" s="90" t="s">
        <v>1880</v>
      </c>
      <c r="K1050" s="90" t="s">
        <v>1875</v>
      </c>
      <c r="L1050" s="90" t="s">
        <v>1876</v>
      </c>
      <c r="M1050" s="95" t="s">
        <v>1679</v>
      </c>
      <c r="N1050" s="90" t="s">
        <v>1680</v>
      </c>
    </row>
    <row r="1051" spans="1:14" ht="16.5">
      <c r="A1051" s="90">
        <v>1048</v>
      </c>
      <c r="B1051" s="91">
        <v>206</v>
      </c>
      <c r="C1051" s="90" t="s">
        <v>293</v>
      </c>
      <c r="D1051" s="50" t="s">
        <v>1903</v>
      </c>
      <c r="E1051" s="50" t="s">
        <v>1938</v>
      </c>
      <c r="F1051" s="90" t="s">
        <v>1860</v>
      </c>
      <c r="G1051" s="90" t="s">
        <v>1682</v>
      </c>
      <c r="H1051" s="90" t="s">
        <v>1247</v>
      </c>
      <c r="I1051" s="90" t="s">
        <v>1861</v>
      </c>
      <c r="J1051" s="90" t="s">
        <v>1862</v>
      </c>
      <c r="K1051" s="90" t="s">
        <v>1863</v>
      </c>
      <c r="L1051" s="90" t="s">
        <v>1864</v>
      </c>
      <c r="M1051" s="95" t="s">
        <v>1679</v>
      </c>
      <c r="N1051" s="90" t="s">
        <v>1680</v>
      </c>
    </row>
    <row r="1052" spans="1:14" ht="16.5">
      <c r="A1052" s="90">
        <v>1049</v>
      </c>
      <c r="B1052" s="47">
        <v>209</v>
      </c>
      <c r="C1052" s="50" t="s">
        <v>344</v>
      </c>
      <c r="D1052" s="50" t="s">
        <v>1903</v>
      </c>
      <c r="E1052" s="50" t="s">
        <v>1938</v>
      </c>
      <c r="F1052" s="90" t="s">
        <v>1860</v>
      </c>
      <c r="G1052" s="90" t="s">
        <v>1682</v>
      </c>
      <c r="H1052" s="90" t="s">
        <v>1247</v>
      </c>
      <c r="I1052" s="90" t="s">
        <v>1861</v>
      </c>
      <c r="J1052" s="90" t="s">
        <v>1862</v>
      </c>
      <c r="K1052" s="90" t="s">
        <v>1863</v>
      </c>
      <c r="L1052" s="90" t="s">
        <v>1864</v>
      </c>
      <c r="M1052" s="95" t="s">
        <v>1679</v>
      </c>
      <c r="N1052" s="90" t="s">
        <v>1680</v>
      </c>
    </row>
    <row r="1053" spans="1:14" ht="16.5">
      <c r="A1053" s="90">
        <v>1050</v>
      </c>
      <c r="B1053" s="47">
        <v>230</v>
      </c>
      <c r="C1053" s="50" t="s">
        <v>539</v>
      </c>
      <c r="D1053" s="50" t="s">
        <v>1903</v>
      </c>
      <c r="E1053" s="50" t="s">
        <v>1938</v>
      </c>
      <c r="F1053" s="90" t="s">
        <v>1881</v>
      </c>
      <c r="G1053" s="90" t="s">
        <v>1682</v>
      </c>
      <c r="H1053" s="90" t="s">
        <v>1247</v>
      </c>
      <c r="I1053" s="90" t="s">
        <v>1683</v>
      </c>
      <c r="J1053" s="90" t="s">
        <v>1684</v>
      </c>
      <c r="K1053" s="90" t="s">
        <v>1882</v>
      </c>
      <c r="L1053" s="90" t="s">
        <v>1883</v>
      </c>
      <c r="M1053" s="95" t="s">
        <v>1679</v>
      </c>
      <c r="N1053" s="90" t="s">
        <v>1884</v>
      </c>
    </row>
    <row r="1054" spans="1:14" ht="16.5">
      <c r="A1054" s="90">
        <v>1051</v>
      </c>
      <c r="B1054" s="91">
        <v>232</v>
      </c>
      <c r="C1054" s="90" t="s">
        <v>319</v>
      </c>
      <c r="D1054" s="50" t="s">
        <v>1903</v>
      </c>
      <c r="E1054" s="50" t="s">
        <v>1938</v>
      </c>
      <c r="F1054" s="90" t="s">
        <v>1860</v>
      </c>
      <c r="G1054" s="90" t="s">
        <v>1682</v>
      </c>
      <c r="H1054" s="90" t="s">
        <v>1247</v>
      </c>
      <c r="I1054" s="90" t="s">
        <v>1861</v>
      </c>
      <c r="J1054" s="90" t="s">
        <v>1862</v>
      </c>
      <c r="K1054" s="90" t="s">
        <v>1863</v>
      </c>
      <c r="L1054" s="90" t="s">
        <v>1864</v>
      </c>
      <c r="M1054" s="95" t="s">
        <v>1679</v>
      </c>
      <c r="N1054" s="90" t="s">
        <v>1680</v>
      </c>
    </row>
    <row r="1055" spans="1:14" ht="16.5">
      <c r="A1055" s="90">
        <v>1052</v>
      </c>
      <c r="B1055" s="47">
        <v>233</v>
      </c>
      <c r="C1055" s="50" t="s">
        <v>593</v>
      </c>
      <c r="D1055" s="50" t="s">
        <v>1903</v>
      </c>
      <c r="E1055" s="50" t="s">
        <v>1938</v>
      </c>
      <c r="F1055" s="90">
        <v>50</v>
      </c>
      <c r="G1055" s="90">
        <v>30</v>
      </c>
      <c r="H1055" s="90">
        <v>10</v>
      </c>
      <c r="I1055" s="90">
        <v>30</v>
      </c>
      <c r="J1055" s="90">
        <v>40</v>
      </c>
      <c r="K1055" s="90">
        <v>60</v>
      </c>
      <c r="L1055" s="90">
        <v>65</v>
      </c>
      <c r="M1055" s="95">
        <v>1</v>
      </c>
      <c r="N1055" s="90">
        <v>3</v>
      </c>
    </row>
    <row r="1056" spans="1:14" ht="16.5">
      <c r="A1056" s="90">
        <v>1053</v>
      </c>
      <c r="B1056" s="47">
        <v>237</v>
      </c>
      <c r="C1056" s="50" t="s">
        <v>565</v>
      </c>
      <c r="D1056" s="50" t="s">
        <v>1903</v>
      </c>
      <c r="E1056" s="50" t="s">
        <v>1938</v>
      </c>
      <c r="F1056" s="90" t="s">
        <v>1885</v>
      </c>
      <c r="G1056" s="90" t="s">
        <v>1682</v>
      </c>
      <c r="H1056" s="90" t="s">
        <v>1247</v>
      </c>
      <c r="I1056" s="90" t="s">
        <v>1675</v>
      </c>
      <c r="J1056" s="90" t="s">
        <v>1676</v>
      </c>
      <c r="K1056" s="90" t="s">
        <v>1886</v>
      </c>
      <c r="L1056" s="90" t="s">
        <v>1887</v>
      </c>
      <c r="M1056" s="95" t="s">
        <v>1679</v>
      </c>
      <c r="N1056" s="90" t="s">
        <v>1680</v>
      </c>
    </row>
    <row r="1057" spans="1:14" ht="16.5">
      <c r="A1057" s="90">
        <v>1054</v>
      </c>
      <c r="B1057" s="47">
        <v>213</v>
      </c>
      <c r="C1057" s="50" t="s">
        <v>599</v>
      </c>
      <c r="D1057" s="50" t="s">
        <v>1903</v>
      </c>
      <c r="E1057" s="50" t="s">
        <v>1938</v>
      </c>
      <c r="F1057" s="90">
        <v>63</v>
      </c>
      <c r="G1057" s="90">
        <v>30</v>
      </c>
      <c r="H1057" s="90">
        <v>10</v>
      </c>
      <c r="I1057" s="90">
        <v>48</v>
      </c>
      <c r="J1057" s="90">
        <v>53</v>
      </c>
      <c r="K1057" s="90">
        <v>73</v>
      </c>
      <c r="L1057" s="90">
        <v>78</v>
      </c>
      <c r="M1057" s="95">
        <v>1</v>
      </c>
      <c r="N1057" s="90">
        <v>6</v>
      </c>
    </row>
    <row r="1058" spans="1:14" ht="16.5">
      <c r="A1058" s="90">
        <v>1055</v>
      </c>
      <c r="B1058" s="47">
        <v>224</v>
      </c>
      <c r="C1058" s="50" t="s">
        <v>369</v>
      </c>
      <c r="D1058" s="50" t="s">
        <v>1903</v>
      </c>
      <c r="E1058" s="50" t="s">
        <v>1938</v>
      </c>
      <c r="F1058" s="90" t="s">
        <v>1860</v>
      </c>
      <c r="G1058" s="90" t="s">
        <v>1682</v>
      </c>
      <c r="H1058" s="90" t="s">
        <v>1247</v>
      </c>
      <c r="I1058" s="90" t="s">
        <v>1861</v>
      </c>
      <c r="J1058" s="90" t="s">
        <v>1862</v>
      </c>
      <c r="K1058" s="90" t="s">
        <v>1863</v>
      </c>
      <c r="L1058" s="90" t="s">
        <v>1864</v>
      </c>
      <c r="M1058" s="95" t="s">
        <v>1679</v>
      </c>
      <c r="N1058" s="90" t="s">
        <v>1680</v>
      </c>
    </row>
    <row r="1059" spans="1:14" ht="16.5">
      <c r="A1059" s="90">
        <v>1056</v>
      </c>
      <c r="B1059" s="47">
        <v>229</v>
      </c>
      <c r="C1059" s="50" t="s">
        <v>515</v>
      </c>
      <c r="D1059" s="50" t="s">
        <v>1903</v>
      </c>
      <c r="E1059" s="50" t="s">
        <v>1938</v>
      </c>
      <c r="F1059" s="90" t="s">
        <v>1872</v>
      </c>
      <c r="G1059" s="90" t="s">
        <v>1682</v>
      </c>
      <c r="H1059" s="90" t="s">
        <v>1247</v>
      </c>
      <c r="I1059" s="90" t="s">
        <v>1879</v>
      </c>
      <c r="J1059" s="90" t="s">
        <v>1880</v>
      </c>
      <c r="K1059" s="90" t="s">
        <v>1875</v>
      </c>
      <c r="L1059" s="90" t="s">
        <v>1876</v>
      </c>
      <c r="M1059" s="95" t="s">
        <v>1679</v>
      </c>
      <c r="N1059" s="90" t="s">
        <v>1680</v>
      </c>
    </row>
    <row r="1060" spans="1:14" ht="16.5">
      <c r="A1060" s="90">
        <v>1057</v>
      </c>
      <c r="B1060" s="47">
        <v>231</v>
      </c>
      <c r="C1060" s="94" t="s">
        <v>591</v>
      </c>
      <c r="D1060" s="50" t="s">
        <v>1903</v>
      </c>
      <c r="E1060" s="50" t="s">
        <v>1938</v>
      </c>
      <c r="F1060" s="90" t="s">
        <v>1872</v>
      </c>
      <c r="G1060" s="90" t="s">
        <v>1862</v>
      </c>
      <c r="H1060" s="90" t="s">
        <v>1888</v>
      </c>
      <c r="I1060" s="90" t="s">
        <v>1862</v>
      </c>
      <c r="J1060" s="90" t="s">
        <v>1889</v>
      </c>
      <c r="K1060" s="90" t="s">
        <v>1890</v>
      </c>
      <c r="L1060" s="90" t="s">
        <v>1868</v>
      </c>
      <c r="M1060" s="95" t="s">
        <v>1679</v>
      </c>
      <c r="N1060" s="90" t="s">
        <v>1891</v>
      </c>
    </row>
    <row r="1061" spans="1:14" ht="16.5">
      <c r="A1061" s="90">
        <v>1058</v>
      </c>
      <c r="B1061" s="47">
        <v>211</v>
      </c>
      <c r="C1061" s="50" t="s">
        <v>605</v>
      </c>
      <c r="D1061" s="50" t="s">
        <v>1903</v>
      </c>
      <c r="E1061" s="50" t="s">
        <v>1938</v>
      </c>
      <c r="F1061" s="90">
        <v>50</v>
      </c>
      <c r="G1061" s="90">
        <v>30</v>
      </c>
      <c r="H1061" s="90">
        <v>10</v>
      </c>
      <c r="I1061" s="90">
        <v>33</v>
      </c>
      <c r="J1061" s="90">
        <v>38</v>
      </c>
      <c r="K1061" s="90">
        <v>58</v>
      </c>
      <c r="L1061" s="90">
        <v>63</v>
      </c>
      <c r="M1061" s="95">
        <v>1</v>
      </c>
      <c r="N1061" s="90">
        <v>3</v>
      </c>
    </row>
    <row r="1062" spans="1:14" ht="16.5">
      <c r="A1062" s="90">
        <v>1059</v>
      </c>
      <c r="B1062" s="47">
        <v>212</v>
      </c>
      <c r="C1062" s="50" t="s">
        <v>394</v>
      </c>
      <c r="D1062" s="50" t="s">
        <v>1903</v>
      </c>
      <c r="E1062" s="50" t="s">
        <v>1938</v>
      </c>
      <c r="F1062" s="90" t="s">
        <v>1898</v>
      </c>
      <c r="G1062" s="90" t="s">
        <v>1862</v>
      </c>
      <c r="H1062" s="90" t="s">
        <v>1888</v>
      </c>
      <c r="I1062" s="90" t="s">
        <v>1899</v>
      </c>
      <c r="J1062" s="90" t="s">
        <v>1889</v>
      </c>
      <c r="K1062" s="90" t="s">
        <v>1900</v>
      </c>
      <c r="L1062" s="90" t="s">
        <v>1901</v>
      </c>
      <c r="M1062" s="95" t="s">
        <v>1679</v>
      </c>
      <c r="N1062" s="90" t="s">
        <v>1902</v>
      </c>
    </row>
    <row r="1063" spans="1:14" ht="16.5">
      <c r="A1063" s="90">
        <v>1060</v>
      </c>
      <c r="B1063" s="47">
        <v>300</v>
      </c>
      <c r="C1063" s="50" t="s">
        <v>1896</v>
      </c>
      <c r="D1063" s="50" t="s">
        <v>1903</v>
      </c>
      <c r="E1063" s="50" t="s">
        <v>1938</v>
      </c>
      <c r="F1063" s="90">
        <v>38</v>
      </c>
      <c r="G1063" s="90">
        <v>30</v>
      </c>
      <c r="H1063" s="90">
        <v>10</v>
      </c>
      <c r="I1063" s="90">
        <v>27</v>
      </c>
      <c r="J1063" s="90">
        <v>32</v>
      </c>
      <c r="K1063" s="90">
        <v>52</v>
      </c>
      <c r="L1063" s="90">
        <v>57</v>
      </c>
      <c r="M1063" s="95">
        <v>1</v>
      </c>
      <c r="N1063" s="90">
        <v>6</v>
      </c>
    </row>
    <row r="1064" spans="1:14" ht="16.5">
      <c r="A1064" s="90">
        <v>1061</v>
      </c>
      <c r="B1064" s="47">
        <v>228</v>
      </c>
      <c r="C1064" s="50" t="s">
        <v>948</v>
      </c>
      <c r="D1064" s="50" t="s">
        <v>1903</v>
      </c>
      <c r="E1064" s="50" t="s">
        <v>1938</v>
      </c>
      <c r="F1064" s="90" t="s">
        <v>1872</v>
      </c>
      <c r="G1064" s="90" t="s">
        <v>1682</v>
      </c>
      <c r="H1064" s="90" t="s">
        <v>1247</v>
      </c>
      <c r="I1064" s="90" t="s">
        <v>1873</v>
      </c>
      <c r="J1064" s="90" t="s">
        <v>1874</v>
      </c>
      <c r="K1064" s="90" t="s">
        <v>1875</v>
      </c>
      <c r="L1064" s="90" t="s">
        <v>1876</v>
      </c>
      <c r="M1064" s="95" t="s">
        <v>1679</v>
      </c>
      <c r="N1064" s="90" t="s">
        <v>1877</v>
      </c>
    </row>
    <row r="1065" spans="1:14" ht="16.5">
      <c r="A1065" s="90">
        <v>1062</v>
      </c>
      <c r="B1065" s="47">
        <v>202</v>
      </c>
      <c r="C1065" s="50" t="s">
        <v>154</v>
      </c>
      <c r="D1065" s="50" t="s">
        <v>1905</v>
      </c>
      <c r="E1065" s="50" t="s">
        <v>1938</v>
      </c>
      <c r="F1065" s="90" t="s">
        <v>1854</v>
      </c>
      <c r="G1065" s="90" t="s">
        <v>1674</v>
      </c>
      <c r="H1065" s="90" t="s">
        <v>1247</v>
      </c>
      <c r="I1065" s="90" t="s">
        <v>1855</v>
      </c>
      <c r="J1065" s="90" t="s">
        <v>1856</v>
      </c>
      <c r="K1065" s="90" t="s">
        <v>1857</v>
      </c>
      <c r="L1065" s="90" t="s">
        <v>1858</v>
      </c>
      <c r="M1065" s="95" t="s">
        <v>1679</v>
      </c>
      <c r="N1065" s="90" t="s">
        <v>1859</v>
      </c>
    </row>
    <row r="1066" spans="1:14" ht="16.5">
      <c r="A1066" s="90">
        <v>1063</v>
      </c>
      <c r="B1066" s="91">
        <v>203</v>
      </c>
      <c r="C1066" s="90" t="s">
        <v>202</v>
      </c>
      <c r="D1066" s="50" t="s">
        <v>1905</v>
      </c>
      <c r="E1066" s="50" t="s">
        <v>1938</v>
      </c>
      <c r="F1066" s="90" t="s">
        <v>1881</v>
      </c>
      <c r="G1066" s="90" t="s">
        <v>1682</v>
      </c>
      <c r="H1066" s="90" t="s">
        <v>1247</v>
      </c>
      <c r="I1066" s="90" t="s">
        <v>1683</v>
      </c>
      <c r="J1066" s="90" t="s">
        <v>1684</v>
      </c>
      <c r="K1066" s="90" t="s">
        <v>1882</v>
      </c>
      <c r="L1066" s="90" t="s">
        <v>1883</v>
      </c>
      <c r="M1066" s="95" t="s">
        <v>1679</v>
      </c>
      <c r="N1066" s="90" t="s">
        <v>1906</v>
      </c>
    </row>
    <row r="1067" spans="1:14" ht="16.5">
      <c r="A1067" s="90">
        <v>1064</v>
      </c>
      <c r="B1067" s="47">
        <v>204</v>
      </c>
      <c r="C1067" s="50" t="s">
        <v>226</v>
      </c>
      <c r="D1067" s="50" t="s">
        <v>1905</v>
      </c>
      <c r="E1067" s="50" t="s">
        <v>1938</v>
      </c>
      <c r="F1067" s="90" t="s">
        <v>1854</v>
      </c>
      <c r="G1067" s="90" t="s">
        <v>1674</v>
      </c>
      <c r="H1067" s="90" t="s">
        <v>1247</v>
      </c>
      <c r="I1067" s="90" t="s">
        <v>1855</v>
      </c>
      <c r="J1067" s="90" t="s">
        <v>1856</v>
      </c>
      <c r="K1067" s="90" t="s">
        <v>1857</v>
      </c>
      <c r="L1067" s="90" t="s">
        <v>1858</v>
      </c>
      <c r="M1067" s="95" t="s">
        <v>1679</v>
      </c>
      <c r="N1067" s="90" t="s">
        <v>1680</v>
      </c>
    </row>
    <row r="1068" spans="1:14" ht="16.5">
      <c r="A1068" s="90">
        <v>1065</v>
      </c>
      <c r="B1068" s="47">
        <v>205</v>
      </c>
      <c r="C1068" s="50" t="s">
        <v>249</v>
      </c>
      <c r="D1068" s="50" t="s">
        <v>1905</v>
      </c>
      <c r="E1068" s="50" t="s">
        <v>1938</v>
      </c>
      <c r="F1068" s="90" t="s">
        <v>1854</v>
      </c>
      <c r="G1068" s="90" t="s">
        <v>1674</v>
      </c>
      <c r="H1068" s="90" t="s">
        <v>1247</v>
      </c>
      <c r="I1068" s="90" t="s">
        <v>1855</v>
      </c>
      <c r="J1068" s="90" t="s">
        <v>1856</v>
      </c>
      <c r="K1068" s="90" t="s">
        <v>1857</v>
      </c>
      <c r="L1068" s="90" t="s">
        <v>1858</v>
      </c>
      <c r="M1068" s="95" t="s">
        <v>1679</v>
      </c>
      <c r="N1068" s="90" t="s">
        <v>1859</v>
      </c>
    </row>
    <row r="1069" spans="1:14" ht="16.5">
      <c r="A1069" s="90">
        <v>1066</v>
      </c>
      <c r="B1069" s="47">
        <v>207</v>
      </c>
      <c r="C1069" s="50" t="s">
        <v>595</v>
      </c>
      <c r="D1069" s="50" t="s">
        <v>1905</v>
      </c>
      <c r="E1069" s="50" t="s">
        <v>1938</v>
      </c>
      <c r="F1069" s="90">
        <v>50</v>
      </c>
      <c r="G1069" s="90">
        <v>30</v>
      </c>
      <c r="H1069" s="90">
        <v>10</v>
      </c>
      <c r="I1069" s="90">
        <v>30</v>
      </c>
      <c r="J1069" s="90">
        <v>40</v>
      </c>
      <c r="K1069" s="90">
        <v>60</v>
      </c>
      <c r="L1069" s="90">
        <v>65</v>
      </c>
      <c r="M1069" s="95">
        <v>1</v>
      </c>
      <c r="N1069" s="90">
        <v>3</v>
      </c>
    </row>
    <row r="1070" spans="1:14" ht="16.5">
      <c r="A1070" s="90">
        <v>1067</v>
      </c>
      <c r="B1070" s="96">
        <v>208</v>
      </c>
      <c r="C1070" s="97" t="s">
        <v>589</v>
      </c>
      <c r="D1070" s="97" t="s">
        <v>1905</v>
      </c>
      <c r="E1070" s="50" t="s">
        <v>1938</v>
      </c>
      <c r="F1070" s="97">
        <v>55</v>
      </c>
      <c r="G1070" s="97">
        <v>50</v>
      </c>
      <c r="H1070" s="97">
        <v>1</v>
      </c>
      <c r="I1070" s="97">
        <v>30</v>
      </c>
      <c r="J1070" s="97">
        <v>45</v>
      </c>
      <c r="K1070" s="97">
        <v>73</v>
      </c>
      <c r="L1070" s="97">
        <v>78</v>
      </c>
      <c r="M1070" s="98">
        <v>1</v>
      </c>
      <c r="N1070" s="97">
        <v>20</v>
      </c>
    </row>
    <row r="1071" spans="1:14" ht="16.5">
      <c r="A1071" s="90">
        <v>1068</v>
      </c>
      <c r="B1071" s="47">
        <v>215</v>
      </c>
      <c r="C1071" s="50" t="s">
        <v>418</v>
      </c>
      <c r="D1071" s="50" t="s">
        <v>1905</v>
      </c>
      <c r="E1071" s="50" t="s">
        <v>1938</v>
      </c>
      <c r="F1071" s="90" t="s">
        <v>1907</v>
      </c>
      <c r="G1071" s="90" t="s">
        <v>1682</v>
      </c>
      <c r="H1071" s="90" t="s">
        <v>1247</v>
      </c>
      <c r="I1071" s="90" t="s">
        <v>1908</v>
      </c>
      <c r="J1071" s="90" t="s">
        <v>1909</v>
      </c>
      <c r="K1071" s="90" t="s">
        <v>1910</v>
      </c>
      <c r="L1071" s="90" t="s">
        <v>1911</v>
      </c>
      <c r="M1071" s="95" t="s">
        <v>1679</v>
      </c>
      <c r="N1071" s="90" t="s">
        <v>1906</v>
      </c>
    </row>
    <row r="1072" spans="1:14" ht="16.5">
      <c r="A1072" s="90">
        <v>1069</v>
      </c>
      <c r="B1072" s="47">
        <v>222</v>
      </c>
      <c r="C1072" s="50" t="s">
        <v>442</v>
      </c>
      <c r="D1072" s="50" t="s">
        <v>1905</v>
      </c>
      <c r="E1072" s="50" t="s">
        <v>1938</v>
      </c>
      <c r="F1072" s="90" t="s">
        <v>1854</v>
      </c>
      <c r="G1072" s="90" t="s">
        <v>1871</v>
      </c>
      <c r="H1072" s="90" t="s">
        <v>1247</v>
      </c>
      <c r="I1072" s="90" t="s">
        <v>1855</v>
      </c>
      <c r="J1072" s="90" t="s">
        <v>1856</v>
      </c>
      <c r="K1072" s="90" t="s">
        <v>1857</v>
      </c>
      <c r="L1072" s="90" t="s">
        <v>1858</v>
      </c>
      <c r="M1072" s="95" t="s">
        <v>1679</v>
      </c>
      <c r="N1072" s="90" t="s">
        <v>1859</v>
      </c>
    </row>
    <row r="1073" spans="1:14" ht="16.5">
      <c r="A1073" s="90">
        <v>1070</v>
      </c>
      <c r="B1073" s="47">
        <v>223</v>
      </c>
      <c r="C1073" s="50" t="s">
        <v>918</v>
      </c>
      <c r="D1073" s="50" t="s">
        <v>1905</v>
      </c>
      <c r="E1073" s="50" t="s">
        <v>1938</v>
      </c>
      <c r="F1073" s="90">
        <v>28</v>
      </c>
      <c r="G1073" s="90">
        <v>30</v>
      </c>
      <c r="H1073" s="90">
        <v>10</v>
      </c>
      <c r="I1073" s="90">
        <v>17</v>
      </c>
      <c r="J1073" s="90">
        <v>22</v>
      </c>
      <c r="K1073" s="90">
        <v>33</v>
      </c>
      <c r="L1073" s="90">
        <v>38</v>
      </c>
      <c r="M1073" s="95">
        <v>1</v>
      </c>
      <c r="N1073" s="90">
        <v>2</v>
      </c>
    </row>
    <row r="1074" spans="1:14" ht="16.5">
      <c r="A1074" s="90">
        <v>1071</v>
      </c>
      <c r="B1074" s="47">
        <v>226</v>
      </c>
      <c r="C1074" s="92" t="s">
        <v>469</v>
      </c>
      <c r="D1074" s="50" t="s">
        <v>1905</v>
      </c>
      <c r="E1074" s="50" t="s">
        <v>1938</v>
      </c>
      <c r="F1074" s="90" t="s">
        <v>1912</v>
      </c>
      <c r="G1074" s="90" t="s">
        <v>1682</v>
      </c>
      <c r="H1074" s="90" t="s">
        <v>1247</v>
      </c>
      <c r="I1074" s="90" t="s">
        <v>1866</v>
      </c>
      <c r="J1074" s="90" t="s">
        <v>1913</v>
      </c>
      <c r="K1074" s="90" t="s">
        <v>1901</v>
      </c>
      <c r="L1074" s="90" t="s">
        <v>1914</v>
      </c>
      <c r="M1074" s="95" t="s">
        <v>1679</v>
      </c>
      <c r="N1074" s="90" t="s">
        <v>1915</v>
      </c>
    </row>
    <row r="1075" spans="1:14" ht="16.5">
      <c r="A1075" s="90">
        <v>1072</v>
      </c>
      <c r="B1075" s="91">
        <v>227</v>
      </c>
      <c r="C1075" s="93" t="s">
        <v>493</v>
      </c>
      <c r="D1075" s="50" t="s">
        <v>1905</v>
      </c>
      <c r="E1075" s="50" t="s">
        <v>1938</v>
      </c>
      <c r="F1075" s="90" t="s">
        <v>1872</v>
      </c>
      <c r="G1075" s="90" t="s">
        <v>1682</v>
      </c>
      <c r="H1075" s="90" t="s">
        <v>1247</v>
      </c>
      <c r="I1075" s="90" t="s">
        <v>1873</v>
      </c>
      <c r="J1075" s="90" t="s">
        <v>1874</v>
      </c>
      <c r="K1075" s="90" t="s">
        <v>1875</v>
      </c>
      <c r="L1075" s="90" t="s">
        <v>1876</v>
      </c>
      <c r="M1075" s="95" t="s">
        <v>1679</v>
      </c>
      <c r="N1075" s="90" t="s">
        <v>1870</v>
      </c>
    </row>
    <row r="1076" spans="1:14" ht="16.5">
      <c r="A1076" s="90">
        <v>1073</v>
      </c>
      <c r="B1076" s="47">
        <v>234</v>
      </c>
      <c r="C1076" s="50" t="s">
        <v>1878</v>
      </c>
      <c r="D1076" s="50" t="s">
        <v>1905</v>
      </c>
      <c r="E1076" s="50" t="s">
        <v>1938</v>
      </c>
      <c r="F1076" s="90" t="s">
        <v>1854</v>
      </c>
      <c r="G1076" s="90" t="s">
        <v>1674</v>
      </c>
      <c r="H1076" s="90" t="s">
        <v>1247</v>
      </c>
      <c r="I1076" s="90" t="s">
        <v>1855</v>
      </c>
      <c r="J1076" s="90" t="s">
        <v>1856</v>
      </c>
      <c r="K1076" s="90" t="s">
        <v>1857</v>
      </c>
      <c r="L1076" s="90" t="s">
        <v>1858</v>
      </c>
      <c r="M1076" s="95" t="s">
        <v>1679</v>
      </c>
      <c r="N1076" s="90" t="s">
        <v>1859</v>
      </c>
    </row>
    <row r="1077" spans="1:14" ht="16.5">
      <c r="A1077" s="90">
        <v>1074</v>
      </c>
      <c r="B1077" s="47">
        <v>235</v>
      </c>
      <c r="C1077" s="50" t="s">
        <v>601</v>
      </c>
      <c r="D1077" s="50" t="s">
        <v>1905</v>
      </c>
      <c r="E1077" s="50" t="s">
        <v>1938</v>
      </c>
      <c r="F1077" s="90">
        <v>50</v>
      </c>
      <c r="G1077" s="90">
        <v>30</v>
      </c>
      <c r="H1077" s="90">
        <v>10</v>
      </c>
      <c r="I1077" s="90">
        <v>30</v>
      </c>
      <c r="J1077" s="90">
        <v>40</v>
      </c>
      <c r="K1077" s="90">
        <v>60</v>
      </c>
      <c r="L1077" s="90">
        <v>65</v>
      </c>
      <c r="M1077" s="95">
        <v>1</v>
      </c>
      <c r="N1077" s="90">
        <v>3</v>
      </c>
    </row>
    <row r="1078" spans="1:14" ht="16.5">
      <c r="A1078" s="90">
        <v>1075</v>
      </c>
      <c r="B1078" s="47">
        <v>236</v>
      </c>
      <c r="C1078" s="50" t="s">
        <v>1688</v>
      </c>
      <c r="D1078" s="50" t="s">
        <v>1905</v>
      </c>
      <c r="E1078" s="50" t="s">
        <v>1938</v>
      </c>
      <c r="F1078" s="90">
        <v>50</v>
      </c>
      <c r="G1078" s="90">
        <v>30</v>
      </c>
      <c r="H1078" s="90">
        <v>10</v>
      </c>
      <c r="I1078" s="90">
        <v>30</v>
      </c>
      <c r="J1078" s="90">
        <v>40</v>
      </c>
      <c r="K1078" s="90">
        <v>60</v>
      </c>
      <c r="L1078" s="90">
        <v>65</v>
      </c>
      <c r="M1078" s="95">
        <v>1</v>
      </c>
      <c r="N1078" s="90">
        <v>3</v>
      </c>
    </row>
    <row r="1079" spans="1:14" ht="16.5">
      <c r="A1079" s="90">
        <v>1076</v>
      </c>
      <c r="B1079" s="91">
        <v>201</v>
      </c>
      <c r="C1079" s="90" t="s">
        <v>66</v>
      </c>
      <c r="D1079" s="50" t="s">
        <v>1905</v>
      </c>
      <c r="E1079" s="50" t="s">
        <v>1938</v>
      </c>
      <c r="F1079" s="90" t="s">
        <v>1912</v>
      </c>
      <c r="G1079" s="90" t="s">
        <v>1682</v>
      </c>
      <c r="H1079" s="90" t="s">
        <v>1247</v>
      </c>
      <c r="I1079" s="90" t="s">
        <v>1916</v>
      </c>
      <c r="J1079" s="90" t="s">
        <v>1917</v>
      </c>
      <c r="K1079" s="90" t="s">
        <v>1918</v>
      </c>
      <c r="L1079" s="90" t="s">
        <v>1919</v>
      </c>
      <c r="M1079" s="95" t="s">
        <v>1679</v>
      </c>
      <c r="N1079" s="90" t="s">
        <v>1687</v>
      </c>
    </row>
    <row r="1080" spans="1:14" ht="16.5">
      <c r="A1080" s="90">
        <v>1077</v>
      </c>
      <c r="B1080" s="91">
        <v>206</v>
      </c>
      <c r="C1080" s="90" t="s">
        <v>293</v>
      </c>
      <c r="D1080" s="50" t="s">
        <v>1905</v>
      </c>
      <c r="E1080" s="50" t="s">
        <v>1938</v>
      </c>
      <c r="F1080" s="90" t="s">
        <v>1872</v>
      </c>
      <c r="G1080" s="90" t="s">
        <v>1682</v>
      </c>
      <c r="H1080" s="90" t="s">
        <v>1247</v>
      </c>
      <c r="I1080" s="90" t="s">
        <v>1920</v>
      </c>
      <c r="J1080" s="90" t="s">
        <v>1880</v>
      </c>
      <c r="K1080" s="90" t="s">
        <v>1875</v>
      </c>
      <c r="L1080" s="90" t="s">
        <v>1876</v>
      </c>
      <c r="M1080" s="95" t="s">
        <v>1679</v>
      </c>
      <c r="N1080" s="90" t="s">
        <v>1680</v>
      </c>
    </row>
    <row r="1081" spans="1:14" ht="16.5">
      <c r="A1081" s="90">
        <v>1078</v>
      </c>
      <c r="B1081" s="47">
        <v>209</v>
      </c>
      <c r="C1081" s="50" t="s">
        <v>344</v>
      </c>
      <c r="D1081" s="50" t="s">
        <v>1905</v>
      </c>
      <c r="E1081" s="50" t="s">
        <v>1938</v>
      </c>
      <c r="F1081" s="90" t="s">
        <v>1872</v>
      </c>
      <c r="G1081" s="90" t="s">
        <v>1682</v>
      </c>
      <c r="H1081" s="90" t="s">
        <v>1247</v>
      </c>
      <c r="I1081" s="90" t="s">
        <v>1920</v>
      </c>
      <c r="J1081" s="90" t="s">
        <v>1880</v>
      </c>
      <c r="K1081" s="90" t="s">
        <v>1875</v>
      </c>
      <c r="L1081" s="90" t="s">
        <v>1876</v>
      </c>
      <c r="M1081" s="95" t="s">
        <v>1679</v>
      </c>
      <c r="N1081" s="90" t="s">
        <v>1680</v>
      </c>
    </row>
    <row r="1082" spans="1:14" ht="16.5">
      <c r="A1082" s="90">
        <v>1079</v>
      </c>
      <c r="B1082" s="47">
        <v>230</v>
      </c>
      <c r="C1082" s="50" t="s">
        <v>539</v>
      </c>
      <c r="D1082" s="50" t="s">
        <v>1905</v>
      </c>
      <c r="E1082" s="50" t="s">
        <v>1938</v>
      </c>
      <c r="F1082" s="90" t="s">
        <v>1872</v>
      </c>
      <c r="G1082" s="90" t="s">
        <v>1682</v>
      </c>
      <c r="H1082" s="90" t="s">
        <v>1247</v>
      </c>
      <c r="I1082" s="90" t="s">
        <v>1920</v>
      </c>
      <c r="J1082" s="90" t="s">
        <v>1880</v>
      </c>
      <c r="K1082" s="90" t="s">
        <v>1875</v>
      </c>
      <c r="L1082" s="90" t="s">
        <v>1876</v>
      </c>
      <c r="M1082" s="95" t="s">
        <v>1679</v>
      </c>
      <c r="N1082" s="90" t="s">
        <v>1921</v>
      </c>
    </row>
    <row r="1083" spans="1:14" ht="16.5">
      <c r="A1083" s="90">
        <v>1080</v>
      </c>
      <c r="B1083" s="91">
        <v>232</v>
      </c>
      <c r="C1083" s="90" t="s">
        <v>319</v>
      </c>
      <c r="D1083" s="50" t="s">
        <v>1905</v>
      </c>
      <c r="E1083" s="50" t="s">
        <v>1938</v>
      </c>
      <c r="F1083" s="90" t="s">
        <v>1872</v>
      </c>
      <c r="G1083" s="90" t="s">
        <v>1682</v>
      </c>
      <c r="H1083" s="90" t="s">
        <v>1247</v>
      </c>
      <c r="I1083" s="90" t="s">
        <v>1920</v>
      </c>
      <c r="J1083" s="90" t="s">
        <v>1880</v>
      </c>
      <c r="K1083" s="90" t="s">
        <v>1875</v>
      </c>
      <c r="L1083" s="90" t="s">
        <v>1876</v>
      </c>
      <c r="M1083" s="95" t="s">
        <v>1679</v>
      </c>
      <c r="N1083" s="90" t="s">
        <v>1680</v>
      </c>
    </row>
    <row r="1084" spans="1:14" ht="16.5">
      <c r="A1084" s="90">
        <v>1081</v>
      </c>
      <c r="B1084" s="47">
        <v>233</v>
      </c>
      <c r="C1084" s="50" t="s">
        <v>593</v>
      </c>
      <c r="D1084" s="50" t="s">
        <v>1905</v>
      </c>
      <c r="E1084" s="50" t="s">
        <v>1938</v>
      </c>
      <c r="F1084" s="90">
        <v>50</v>
      </c>
      <c r="G1084" s="90">
        <v>30</v>
      </c>
      <c r="H1084" s="90">
        <v>10</v>
      </c>
      <c r="I1084" s="90">
        <v>30</v>
      </c>
      <c r="J1084" s="90">
        <v>40</v>
      </c>
      <c r="K1084" s="90">
        <v>60</v>
      </c>
      <c r="L1084" s="90">
        <v>65</v>
      </c>
      <c r="M1084" s="95">
        <v>1</v>
      </c>
      <c r="N1084" s="90">
        <v>3</v>
      </c>
    </row>
    <row r="1085" spans="1:14" ht="16.5">
      <c r="A1085" s="90">
        <v>1082</v>
      </c>
      <c r="B1085" s="47">
        <v>237</v>
      </c>
      <c r="C1085" s="50" t="s">
        <v>565</v>
      </c>
      <c r="D1085" s="50" t="s">
        <v>1905</v>
      </c>
      <c r="E1085" s="50" t="s">
        <v>1938</v>
      </c>
      <c r="F1085" s="90" t="s">
        <v>1885</v>
      </c>
      <c r="G1085" s="90" t="s">
        <v>1682</v>
      </c>
      <c r="H1085" s="90" t="s">
        <v>1247</v>
      </c>
      <c r="I1085" s="90" t="s">
        <v>1675</v>
      </c>
      <c r="J1085" s="90" t="s">
        <v>1676</v>
      </c>
      <c r="K1085" s="90" t="s">
        <v>1886</v>
      </c>
      <c r="L1085" s="90" t="s">
        <v>1887</v>
      </c>
      <c r="M1085" s="95" t="s">
        <v>1679</v>
      </c>
      <c r="N1085" s="90" t="s">
        <v>1680</v>
      </c>
    </row>
    <row r="1086" spans="1:14" ht="16.5">
      <c r="A1086" s="90">
        <v>1083</v>
      </c>
      <c r="B1086" s="47">
        <v>213</v>
      </c>
      <c r="C1086" s="50" t="s">
        <v>599</v>
      </c>
      <c r="D1086" s="50" t="s">
        <v>1905</v>
      </c>
      <c r="E1086" s="50" t="s">
        <v>1938</v>
      </c>
      <c r="F1086" s="90">
        <v>63</v>
      </c>
      <c r="G1086" s="90">
        <v>30</v>
      </c>
      <c r="H1086" s="90">
        <v>10</v>
      </c>
      <c r="I1086" s="90">
        <v>48</v>
      </c>
      <c r="J1086" s="90">
        <v>53</v>
      </c>
      <c r="K1086" s="90">
        <v>73</v>
      </c>
      <c r="L1086" s="90">
        <v>78</v>
      </c>
      <c r="M1086" s="95">
        <v>1</v>
      </c>
      <c r="N1086" s="90">
        <v>6</v>
      </c>
    </row>
    <row r="1087" spans="1:14" ht="16.5">
      <c r="A1087" s="90">
        <v>1084</v>
      </c>
      <c r="B1087" s="47">
        <v>224</v>
      </c>
      <c r="C1087" s="50" t="s">
        <v>369</v>
      </c>
      <c r="D1087" s="50" t="s">
        <v>1905</v>
      </c>
      <c r="E1087" s="50" t="s">
        <v>1938</v>
      </c>
      <c r="F1087" s="90" t="s">
        <v>1872</v>
      </c>
      <c r="G1087" s="90" t="s">
        <v>1682</v>
      </c>
      <c r="H1087" s="90" t="s">
        <v>1247</v>
      </c>
      <c r="I1087" s="90" t="s">
        <v>1920</v>
      </c>
      <c r="J1087" s="90" t="s">
        <v>1880</v>
      </c>
      <c r="K1087" s="90" t="s">
        <v>1875</v>
      </c>
      <c r="L1087" s="90" t="s">
        <v>1876</v>
      </c>
      <c r="M1087" s="95" t="s">
        <v>1679</v>
      </c>
      <c r="N1087" s="90" t="s">
        <v>1680</v>
      </c>
    </row>
    <row r="1088" spans="1:14" ht="16.5">
      <c r="A1088" s="90">
        <v>1085</v>
      </c>
      <c r="B1088" s="47">
        <v>229</v>
      </c>
      <c r="C1088" s="50" t="s">
        <v>515</v>
      </c>
      <c r="D1088" s="50" t="s">
        <v>1905</v>
      </c>
      <c r="E1088" s="50" t="s">
        <v>1938</v>
      </c>
      <c r="F1088" s="90" t="s">
        <v>1872</v>
      </c>
      <c r="G1088" s="90" t="s">
        <v>1682</v>
      </c>
      <c r="H1088" s="90" t="s">
        <v>1247</v>
      </c>
      <c r="I1088" s="90" t="s">
        <v>1920</v>
      </c>
      <c r="J1088" s="90" t="s">
        <v>1880</v>
      </c>
      <c r="K1088" s="90" t="s">
        <v>1875</v>
      </c>
      <c r="L1088" s="90" t="s">
        <v>1876</v>
      </c>
      <c r="M1088" s="95" t="s">
        <v>1679</v>
      </c>
      <c r="N1088" s="90" t="s">
        <v>1870</v>
      </c>
    </row>
    <row r="1089" spans="1:14" ht="16.5">
      <c r="A1089" s="90">
        <v>1086</v>
      </c>
      <c r="B1089" s="47">
        <v>231</v>
      </c>
      <c r="C1089" s="94" t="s">
        <v>591</v>
      </c>
      <c r="D1089" s="50" t="s">
        <v>1905</v>
      </c>
      <c r="E1089" s="50" t="s">
        <v>1938</v>
      </c>
      <c r="F1089" s="90" t="s">
        <v>1865</v>
      </c>
      <c r="G1089" s="90" t="s">
        <v>1862</v>
      </c>
      <c r="H1089" s="90" t="s">
        <v>1888</v>
      </c>
      <c r="I1089" s="90" t="s">
        <v>1880</v>
      </c>
      <c r="J1089" s="90" t="s">
        <v>1922</v>
      </c>
      <c r="K1089" s="90" t="s">
        <v>1923</v>
      </c>
      <c r="L1089" s="90" t="s">
        <v>1924</v>
      </c>
      <c r="M1089" s="95" t="s">
        <v>1679</v>
      </c>
      <c r="N1089" s="90" t="s">
        <v>1891</v>
      </c>
    </row>
    <row r="1090" spans="1:14" ht="16.5">
      <c r="A1090" s="90">
        <v>1087</v>
      </c>
      <c r="B1090" s="47">
        <v>211</v>
      </c>
      <c r="C1090" s="50" t="s">
        <v>605</v>
      </c>
      <c r="D1090" s="50" t="s">
        <v>1905</v>
      </c>
      <c r="E1090" s="50" t="s">
        <v>1938</v>
      </c>
      <c r="F1090" s="90">
        <v>60</v>
      </c>
      <c r="G1090" s="90">
        <v>30</v>
      </c>
      <c r="H1090" s="90">
        <v>10</v>
      </c>
      <c r="I1090" s="90">
        <v>45</v>
      </c>
      <c r="J1090" s="90">
        <v>50</v>
      </c>
      <c r="K1090" s="90">
        <v>70</v>
      </c>
      <c r="L1090" s="90">
        <v>75</v>
      </c>
      <c r="M1090" s="95">
        <v>1</v>
      </c>
      <c r="N1090" s="90">
        <v>5.5</v>
      </c>
    </row>
    <row r="1091" spans="1:14" ht="16.5">
      <c r="A1091" s="90">
        <v>1088</v>
      </c>
      <c r="B1091" s="47">
        <v>212</v>
      </c>
      <c r="C1091" s="50" t="s">
        <v>394</v>
      </c>
      <c r="D1091" s="50" t="s">
        <v>1905</v>
      </c>
      <c r="E1091" s="50" t="s">
        <v>1938</v>
      </c>
      <c r="F1091" s="90" t="s">
        <v>1898</v>
      </c>
      <c r="G1091" s="90" t="s">
        <v>1862</v>
      </c>
      <c r="H1091" s="90" t="s">
        <v>1888</v>
      </c>
      <c r="I1091" s="90" t="s">
        <v>1899</v>
      </c>
      <c r="J1091" s="90" t="s">
        <v>1889</v>
      </c>
      <c r="K1091" s="90" t="s">
        <v>1900</v>
      </c>
      <c r="L1091" s="90" t="s">
        <v>1901</v>
      </c>
      <c r="M1091" s="95" t="s">
        <v>1679</v>
      </c>
      <c r="N1091" s="90" t="s">
        <v>1902</v>
      </c>
    </row>
    <row r="1092" spans="1:14" ht="16.5">
      <c r="A1092" s="90">
        <v>1089</v>
      </c>
      <c r="B1092" s="47">
        <v>300</v>
      </c>
      <c r="C1092" s="50" t="s">
        <v>1896</v>
      </c>
      <c r="D1092" s="50" t="s">
        <v>1903</v>
      </c>
      <c r="E1092" s="50" t="s">
        <v>1938</v>
      </c>
      <c r="F1092" s="90">
        <v>38</v>
      </c>
      <c r="G1092" s="90">
        <v>30</v>
      </c>
      <c r="H1092" s="90">
        <v>10</v>
      </c>
      <c r="I1092" s="90">
        <v>27</v>
      </c>
      <c r="J1092" s="90">
        <v>32</v>
      </c>
      <c r="K1092" s="90">
        <v>52</v>
      </c>
      <c r="L1092" s="90">
        <v>57</v>
      </c>
      <c r="M1092" s="95">
        <v>1</v>
      </c>
      <c r="N1092" s="90">
        <v>6</v>
      </c>
    </row>
    <row r="1093" spans="1:14" ht="16.5">
      <c r="A1093" s="90">
        <v>1090</v>
      </c>
      <c r="B1093" s="47">
        <v>228</v>
      </c>
      <c r="C1093" s="50" t="s">
        <v>948</v>
      </c>
      <c r="D1093" s="50" t="s">
        <v>1905</v>
      </c>
      <c r="E1093" s="50" t="s">
        <v>1938</v>
      </c>
      <c r="F1093" s="90" t="s">
        <v>1872</v>
      </c>
      <c r="G1093" s="90" t="s">
        <v>1682</v>
      </c>
      <c r="H1093" s="90" t="s">
        <v>1247</v>
      </c>
      <c r="I1093" s="90" t="s">
        <v>1873</v>
      </c>
      <c r="J1093" s="90" t="s">
        <v>1874</v>
      </c>
      <c r="K1093" s="90" t="s">
        <v>1875</v>
      </c>
      <c r="L1093" s="90" t="s">
        <v>1876</v>
      </c>
      <c r="M1093" s="95" t="s">
        <v>1679</v>
      </c>
      <c r="N1093" s="90" t="s">
        <v>1877</v>
      </c>
    </row>
    <row r="1094" spans="1:14" ht="16.5">
      <c r="A1094" s="90">
        <v>1091</v>
      </c>
      <c r="B1094" s="47">
        <v>202</v>
      </c>
      <c r="C1094" s="50" t="s">
        <v>154</v>
      </c>
      <c r="D1094" s="1" t="s">
        <v>1925</v>
      </c>
      <c r="E1094" s="50" t="s">
        <v>1938</v>
      </c>
      <c r="F1094" s="90" t="s">
        <v>1854</v>
      </c>
      <c r="G1094" s="90" t="s">
        <v>1674</v>
      </c>
      <c r="H1094" s="90" t="s">
        <v>1247</v>
      </c>
      <c r="I1094" s="90" t="s">
        <v>1855</v>
      </c>
      <c r="J1094" s="90" t="s">
        <v>1856</v>
      </c>
      <c r="K1094" s="90" t="s">
        <v>1857</v>
      </c>
      <c r="L1094" s="90" t="s">
        <v>1858</v>
      </c>
      <c r="M1094" s="95" t="s">
        <v>1679</v>
      </c>
      <c r="N1094" s="90" t="s">
        <v>1859</v>
      </c>
    </row>
    <row r="1095" spans="1:14" ht="16.5">
      <c r="A1095" s="90">
        <v>1092</v>
      </c>
      <c r="B1095" s="91">
        <v>203</v>
      </c>
      <c r="C1095" s="90" t="s">
        <v>202</v>
      </c>
      <c r="D1095" s="1" t="s">
        <v>1925</v>
      </c>
      <c r="E1095" s="50" t="s">
        <v>1938</v>
      </c>
      <c r="F1095" s="90" t="s">
        <v>1881</v>
      </c>
      <c r="G1095" s="90" t="s">
        <v>1682</v>
      </c>
      <c r="H1095" s="90" t="s">
        <v>1247</v>
      </c>
      <c r="I1095" s="90" t="s">
        <v>1683</v>
      </c>
      <c r="J1095" s="90" t="s">
        <v>1684</v>
      </c>
      <c r="K1095" s="90" t="s">
        <v>1882</v>
      </c>
      <c r="L1095" s="90" t="s">
        <v>1883</v>
      </c>
      <c r="M1095" s="95" t="s">
        <v>1679</v>
      </c>
      <c r="N1095" s="90" t="s">
        <v>1906</v>
      </c>
    </row>
    <row r="1096" spans="1:14" ht="16.5">
      <c r="A1096" s="90">
        <v>1093</v>
      </c>
      <c r="B1096" s="47">
        <v>204</v>
      </c>
      <c r="C1096" s="50" t="s">
        <v>226</v>
      </c>
      <c r="D1096" s="1" t="s">
        <v>1925</v>
      </c>
      <c r="E1096" s="50" t="s">
        <v>1938</v>
      </c>
      <c r="F1096" s="90" t="s">
        <v>1854</v>
      </c>
      <c r="G1096" s="90" t="s">
        <v>1674</v>
      </c>
      <c r="H1096" s="90" t="s">
        <v>1247</v>
      </c>
      <c r="I1096" s="90" t="s">
        <v>1855</v>
      </c>
      <c r="J1096" s="90" t="s">
        <v>1856</v>
      </c>
      <c r="K1096" s="90" t="s">
        <v>1857</v>
      </c>
      <c r="L1096" s="90" t="s">
        <v>1858</v>
      </c>
      <c r="M1096" s="95" t="s">
        <v>1679</v>
      </c>
      <c r="N1096" s="90" t="s">
        <v>1680</v>
      </c>
    </row>
    <row r="1097" spans="1:14" ht="16.5">
      <c r="A1097" s="90">
        <v>1094</v>
      </c>
      <c r="B1097" s="47">
        <v>205</v>
      </c>
      <c r="C1097" s="50" t="s">
        <v>249</v>
      </c>
      <c r="D1097" s="1" t="s">
        <v>1925</v>
      </c>
      <c r="E1097" s="50" t="s">
        <v>1938</v>
      </c>
      <c r="F1097" s="90" t="s">
        <v>1854</v>
      </c>
      <c r="G1097" s="90" t="s">
        <v>1674</v>
      </c>
      <c r="H1097" s="90" t="s">
        <v>1247</v>
      </c>
      <c r="I1097" s="90" t="s">
        <v>1855</v>
      </c>
      <c r="J1097" s="90" t="s">
        <v>1856</v>
      </c>
      <c r="K1097" s="90" t="s">
        <v>1857</v>
      </c>
      <c r="L1097" s="90" t="s">
        <v>1858</v>
      </c>
      <c r="M1097" s="95" t="s">
        <v>1679</v>
      </c>
      <c r="N1097" s="90" t="s">
        <v>1859</v>
      </c>
    </row>
    <row r="1098" spans="1:14" ht="16.5">
      <c r="A1098" s="90">
        <v>1095</v>
      </c>
      <c r="B1098" s="47">
        <v>207</v>
      </c>
      <c r="C1098" s="50" t="s">
        <v>595</v>
      </c>
      <c r="D1098" s="1" t="s">
        <v>1925</v>
      </c>
      <c r="E1098" s="50" t="s">
        <v>1938</v>
      </c>
      <c r="F1098" s="90">
        <v>50</v>
      </c>
      <c r="G1098" s="90">
        <v>30</v>
      </c>
      <c r="H1098" s="90">
        <v>10</v>
      </c>
      <c r="I1098" s="90">
        <v>30</v>
      </c>
      <c r="J1098" s="90">
        <v>40</v>
      </c>
      <c r="K1098" s="90">
        <v>60</v>
      </c>
      <c r="L1098" s="90">
        <v>65</v>
      </c>
      <c r="M1098" s="95">
        <v>1</v>
      </c>
      <c r="N1098" s="90">
        <v>3</v>
      </c>
    </row>
    <row r="1099" spans="1:14" ht="16.5">
      <c r="A1099" s="90">
        <v>1096</v>
      </c>
      <c r="B1099" s="96">
        <v>208</v>
      </c>
      <c r="C1099" s="97" t="s">
        <v>589</v>
      </c>
      <c r="D1099" s="1" t="s">
        <v>1925</v>
      </c>
      <c r="E1099" s="50" t="s">
        <v>1938</v>
      </c>
      <c r="F1099" s="97">
        <v>63</v>
      </c>
      <c r="G1099" s="97">
        <v>50</v>
      </c>
      <c r="H1099" s="97">
        <v>1</v>
      </c>
      <c r="I1099" s="97">
        <v>30</v>
      </c>
      <c r="J1099" s="97">
        <v>45</v>
      </c>
      <c r="K1099" s="97">
        <v>73</v>
      </c>
      <c r="L1099" s="97">
        <v>78</v>
      </c>
      <c r="M1099" s="98">
        <v>1</v>
      </c>
      <c r="N1099" s="97">
        <v>22</v>
      </c>
    </row>
    <row r="1100" spans="1:14" ht="16.5">
      <c r="A1100" s="90">
        <v>1097</v>
      </c>
      <c r="B1100" s="47">
        <v>215</v>
      </c>
      <c r="C1100" s="50" t="s">
        <v>418</v>
      </c>
      <c r="D1100" s="1" t="s">
        <v>1925</v>
      </c>
      <c r="E1100" s="50" t="s">
        <v>1938</v>
      </c>
      <c r="F1100" s="90" t="s">
        <v>1907</v>
      </c>
      <c r="G1100" s="90" t="s">
        <v>1682</v>
      </c>
      <c r="H1100" s="90" t="s">
        <v>1247</v>
      </c>
      <c r="I1100" s="90" t="s">
        <v>1908</v>
      </c>
      <c r="J1100" s="90" t="s">
        <v>1909</v>
      </c>
      <c r="K1100" s="90" t="s">
        <v>1910</v>
      </c>
      <c r="L1100" s="90" t="s">
        <v>1911</v>
      </c>
      <c r="M1100" s="95" t="s">
        <v>1679</v>
      </c>
      <c r="N1100" s="90" t="s">
        <v>1906</v>
      </c>
    </row>
    <row r="1101" spans="1:14" ht="16.5">
      <c r="A1101" s="90">
        <v>1098</v>
      </c>
      <c r="B1101" s="47">
        <v>222</v>
      </c>
      <c r="C1101" s="50" t="s">
        <v>442</v>
      </c>
      <c r="D1101" s="1" t="s">
        <v>1925</v>
      </c>
      <c r="E1101" s="50" t="s">
        <v>1938</v>
      </c>
      <c r="F1101" s="90" t="s">
        <v>1854</v>
      </c>
      <c r="G1101" s="90" t="s">
        <v>1871</v>
      </c>
      <c r="H1101" s="90" t="s">
        <v>1247</v>
      </c>
      <c r="I1101" s="90" t="s">
        <v>1855</v>
      </c>
      <c r="J1101" s="90" t="s">
        <v>1856</v>
      </c>
      <c r="K1101" s="90" t="s">
        <v>1857</v>
      </c>
      <c r="L1101" s="90" t="s">
        <v>1858</v>
      </c>
      <c r="M1101" s="95" t="s">
        <v>1679</v>
      </c>
      <c r="N1101" s="90" t="s">
        <v>1859</v>
      </c>
    </row>
    <row r="1102" spans="1:14" ht="16.5">
      <c r="A1102" s="90">
        <v>1099</v>
      </c>
      <c r="B1102" s="47">
        <v>223</v>
      </c>
      <c r="C1102" s="50" t="s">
        <v>918</v>
      </c>
      <c r="D1102" s="1" t="s">
        <v>1925</v>
      </c>
      <c r="E1102" s="50" t="s">
        <v>1938</v>
      </c>
      <c r="F1102" s="90">
        <v>28</v>
      </c>
      <c r="G1102" s="90">
        <v>30</v>
      </c>
      <c r="H1102" s="90">
        <v>10</v>
      </c>
      <c r="I1102" s="90">
        <v>17</v>
      </c>
      <c r="J1102" s="90">
        <v>22</v>
      </c>
      <c r="K1102" s="90">
        <v>33</v>
      </c>
      <c r="L1102" s="90">
        <v>38</v>
      </c>
      <c r="M1102" s="95">
        <v>1</v>
      </c>
      <c r="N1102" s="90">
        <v>2</v>
      </c>
    </row>
    <row r="1103" spans="1:14" ht="16.5">
      <c r="A1103" s="90">
        <v>1100</v>
      </c>
      <c r="B1103" s="47">
        <v>226</v>
      </c>
      <c r="C1103" s="92" t="s">
        <v>469</v>
      </c>
      <c r="D1103" s="1" t="s">
        <v>1925</v>
      </c>
      <c r="E1103" s="50" t="s">
        <v>1938</v>
      </c>
      <c r="F1103" s="90" t="s">
        <v>1912</v>
      </c>
      <c r="G1103" s="90" t="s">
        <v>1682</v>
      </c>
      <c r="H1103" s="90" t="s">
        <v>1247</v>
      </c>
      <c r="I1103" s="90" t="s">
        <v>1866</v>
      </c>
      <c r="J1103" s="90" t="s">
        <v>1913</v>
      </c>
      <c r="K1103" s="90" t="s">
        <v>1901</v>
      </c>
      <c r="L1103" s="90" t="s">
        <v>1914</v>
      </c>
      <c r="M1103" s="95" t="s">
        <v>1679</v>
      </c>
      <c r="N1103" s="90" t="s">
        <v>1915</v>
      </c>
    </row>
    <row r="1104" spans="1:14" ht="16.5">
      <c r="A1104" s="90">
        <v>1101</v>
      </c>
      <c r="B1104" s="91">
        <v>227</v>
      </c>
      <c r="C1104" s="93" t="s">
        <v>493</v>
      </c>
      <c r="D1104" s="1" t="s">
        <v>1925</v>
      </c>
      <c r="E1104" s="50" t="s">
        <v>1938</v>
      </c>
      <c r="F1104" s="90" t="s">
        <v>1872</v>
      </c>
      <c r="G1104" s="90" t="s">
        <v>1682</v>
      </c>
      <c r="H1104" s="90" t="s">
        <v>1247</v>
      </c>
      <c r="I1104" s="90" t="s">
        <v>1873</v>
      </c>
      <c r="J1104" s="90" t="s">
        <v>1874</v>
      </c>
      <c r="K1104" s="90" t="s">
        <v>1875</v>
      </c>
      <c r="L1104" s="90" t="s">
        <v>1876</v>
      </c>
      <c r="M1104" s="95" t="s">
        <v>1679</v>
      </c>
      <c r="N1104" s="90" t="s">
        <v>1870</v>
      </c>
    </row>
    <row r="1105" spans="1:14" ht="16.5">
      <c r="A1105" s="90">
        <v>1102</v>
      </c>
      <c r="B1105" s="47">
        <v>234</v>
      </c>
      <c r="C1105" s="50" t="s">
        <v>1878</v>
      </c>
      <c r="D1105" s="1" t="s">
        <v>1925</v>
      </c>
      <c r="E1105" s="50" t="s">
        <v>1938</v>
      </c>
      <c r="F1105" s="90" t="s">
        <v>1854</v>
      </c>
      <c r="G1105" s="90" t="s">
        <v>1674</v>
      </c>
      <c r="H1105" s="90" t="s">
        <v>1247</v>
      </c>
      <c r="I1105" s="90" t="s">
        <v>1855</v>
      </c>
      <c r="J1105" s="90" t="s">
        <v>1856</v>
      </c>
      <c r="K1105" s="90" t="s">
        <v>1857</v>
      </c>
      <c r="L1105" s="90" t="s">
        <v>1858</v>
      </c>
      <c r="M1105" s="95" t="s">
        <v>1679</v>
      </c>
      <c r="N1105" s="90" t="s">
        <v>1859</v>
      </c>
    </row>
    <row r="1106" spans="1:14" ht="16.5">
      <c r="A1106" s="90">
        <v>1103</v>
      </c>
      <c r="B1106" s="47">
        <v>235</v>
      </c>
      <c r="C1106" s="50" t="s">
        <v>601</v>
      </c>
      <c r="D1106" s="1" t="s">
        <v>1925</v>
      </c>
      <c r="E1106" s="50" t="s">
        <v>1938</v>
      </c>
      <c r="F1106" s="90">
        <v>50</v>
      </c>
      <c r="G1106" s="90">
        <v>30</v>
      </c>
      <c r="H1106" s="90">
        <v>10</v>
      </c>
      <c r="I1106" s="90">
        <v>30</v>
      </c>
      <c r="J1106" s="90">
        <v>40</v>
      </c>
      <c r="K1106" s="90">
        <v>60</v>
      </c>
      <c r="L1106" s="90">
        <v>65</v>
      </c>
      <c r="M1106" s="95">
        <v>1</v>
      </c>
      <c r="N1106" s="90">
        <v>3</v>
      </c>
    </row>
    <row r="1107" spans="1:14" ht="16.5">
      <c r="A1107" s="90">
        <v>1104</v>
      </c>
      <c r="B1107" s="47">
        <v>236</v>
      </c>
      <c r="C1107" s="50" t="s">
        <v>1688</v>
      </c>
      <c r="D1107" s="1" t="s">
        <v>1925</v>
      </c>
      <c r="E1107" s="50" t="s">
        <v>1938</v>
      </c>
      <c r="F1107" s="90">
        <v>50</v>
      </c>
      <c r="G1107" s="90">
        <v>30</v>
      </c>
      <c r="H1107" s="90">
        <v>10</v>
      </c>
      <c r="I1107" s="90">
        <v>30</v>
      </c>
      <c r="J1107" s="90">
        <v>40</v>
      </c>
      <c r="K1107" s="90">
        <v>60</v>
      </c>
      <c r="L1107" s="90">
        <v>65</v>
      </c>
      <c r="M1107" s="95">
        <v>1</v>
      </c>
      <c r="N1107" s="90">
        <v>3</v>
      </c>
    </row>
    <row r="1108" spans="1:14" ht="16.5">
      <c r="A1108" s="90">
        <v>1105</v>
      </c>
      <c r="B1108" s="91">
        <v>201</v>
      </c>
      <c r="C1108" s="90" t="s">
        <v>66</v>
      </c>
      <c r="D1108" s="1" t="s">
        <v>1925</v>
      </c>
      <c r="E1108" s="50" t="s">
        <v>1938</v>
      </c>
      <c r="F1108" s="90" t="s">
        <v>1912</v>
      </c>
      <c r="G1108" s="90" t="s">
        <v>1682</v>
      </c>
      <c r="H1108" s="90" t="s">
        <v>1247</v>
      </c>
      <c r="I1108" s="90" t="s">
        <v>1916</v>
      </c>
      <c r="J1108" s="90" t="s">
        <v>1917</v>
      </c>
      <c r="K1108" s="90" t="s">
        <v>1918</v>
      </c>
      <c r="L1108" s="90" t="s">
        <v>1919</v>
      </c>
      <c r="M1108" s="95" t="s">
        <v>1679</v>
      </c>
      <c r="N1108" s="90" t="s">
        <v>1687</v>
      </c>
    </row>
    <row r="1109" spans="1:14" ht="16.5">
      <c r="A1109" s="90">
        <v>1106</v>
      </c>
      <c r="B1109" s="91">
        <v>206</v>
      </c>
      <c r="C1109" s="90" t="s">
        <v>293</v>
      </c>
      <c r="D1109" s="1" t="s">
        <v>1925</v>
      </c>
      <c r="E1109" s="50" t="s">
        <v>1938</v>
      </c>
      <c r="F1109" s="90" t="s">
        <v>1872</v>
      </c>
      <c r="G1109" s="90" t="s">
        <v>1682</v>
      </c>
      <c r="H1109" s="90" t="s">
        <v>1247</v>
      </c>
      <c r="I1109" s="90" t="s">
        <v>1920</v>
      </c>
      <c r="J1109" s="90" t="s">
        <v>1880</v>
      </c>
      <c r="K1109" s="90" t="s">
        <v>1875</v>
      </c>
      <c r="L1109" s="90" t="s">
        <v>1876</v>
      </c>
      <c r="M1109" s="95" t="s">
        <v>1679</v>
      </c>
      <c r="N1109" s="90" t="s">
        <v>1680</v>
      </c>
    </row>
    <row r="1110" spans="1:14" ht="16.5">
      <c r="A1110" s="90">
        <v>1107</v>
      </c>
      <c r="B1110" s="47">
        <v>209</v>
      </c>
      <c r="C1110" s="50" t="s">
        <v>344</v>
      </c>
      <c r="D1110" s="1" t="s">
        <v>1925</v>
      </c>
      <c r="E1110" s="50" t="s">
        <v>1938</v>
      </c>
      <c r="F1110" s="90" t="s">
        <v>1872</v>
      </c>
      <c r="G1110" s="90" t="s">
        <v>1682</v>
      </c>
      <c r="H1110" s="90" t="s">
        <v>1247</v>
      </c>
      <c r="I1110" s="90" t="s">
        <v>1920</v>
      </c>
      <c r="J1110" s="90" t="s">
        <v>1880</v>
      </c>
      <c r="K1110" s="90" t="s">
        <v>1875</v>
      </c>
      <c r="L1110" s="90" t="s">
        <v>1876</v>
      </c>
      <c r="M1110" s="95" t="s">
        <v>1679</v>
      </c>
      <c r="N1110" s="90" t="s">
        <v>1680</v>
      </c>
    </row>
    <row r="1111" spans="1:14" ht="16.5">
      <c r="A1111" s="90">
        <v>1108</v>
      </c>
      <c r="B1111" s="47">
        <v>230</v>
      </c>
      <c r="C1111" s="50" t="s">
        <v>539</v>
      </c>
      <c r="D1111" s="1" t="s">
        <v>1925</v>
      </c>
      <c r="E1111" s="50" t="s">
        <v>1938</v>
      </c>
      <c r="F1111" s="90" t="s">
        <v>1872</v>
      </c>
      <c r="G1111" s="90" t="s">
        <v>1682</v>
      </c>
      <c r="H1111" s="90" t="s">
        <v>1247</v>
      </c>
      <c r="I1111" s="90" t="s">
        <v>1920</v>
      </c>
      <c r="J1111" s="90" t="s">
        <v>1880</v>
      </c>
      <c r="K1111" s="90" t="s">
        <v>1875</v>
      </c>
      <c r="L1111" s="90" t="s">
        <v>1876</v>
      </c>
      <c r="M1111" s="95" t="s">
        <v>1679</v>
      </c>
      <c r="N1111" s="90" t="s">
        <v>1921</v>
      </c>
    </row>
    <row r="1112" spans="1:14" ht="16.5">
      <c r="A1112" s="90">
        <v>1109</v>
      </c>
      <c r="B1112" s="91">
        <v>232</v>
      </c>
      <c r="C1112" s="90" t="s">
        <v>319</v>
      </c>
      <c r="D1112" s="1" t="s">
        <v>1925</v>
      </c>
      <c r="E1112" s="50" t="s">
        <v>1938</v>
      </c>
      <c r="F1112" s="90" t="s">
        <v>1872</v>
      </c>
      <c r="G1112" s="90" t="s">
        <v>1682</v>
      </c>
      <c r="H1112" s="90" t="s">
        <v>1247</v>
      </c>
      <c r="I1112" s="90" t="s">
        <v>1920</v>
      </c>
      <c r="J1112" s="90" t="s">
        <v>1880</v>
      </c>
      <c r="K1112" s="90" t="s">
        <v>1875</v>
      </c>
      <c r="L1112" s="90" t="s">
        <v>1876</v>
      </c>
      <c r="M1112" s="95" t="s">
        <v>1679</v>
      </c>
      <c r="N1112" s="90" t="s">
        <v>1680</v>
      </c>
    </row>
    <row r="1113" spans="1:14" ht="16.5">
      <c r="A1113" s="90">
        <v>1110</v>
      </c>
      <c r="B1113" s="47">
        <v>233</v>
      </c>
      <c r="C1113" s="50" t="s">
        <v>593</v>
      </c>
      <c r="D1113" s="1" t="s">
        <v>1925</v>
      </c>
      <c r="E1113" s="50" t="s">
        <v>1938</v>
      </c>
      <c r="F1113" s="90">
        <v>50</v>
      </c>
      <c r="G1113" s="90">
        <v>30</v>
      </c>
      <c r="H1113" s="90">
        <v>10</v>
      </c>
      <c r="I1113" s="90">
        <v>30</v>
      </c>
      <c r="J1113" s="90">
        <v>40</v>
      </c>
      <c r="K1113" s="90">
        <v>60</v>
      </c>
      <c r="L1113" s="90">
        <v>65</v>
      </c>
      <c r="M1113" s="95">
        <v>1</v>
      </c>
      <c r="N1113" s="90">
        <v>3</v>
      </c>
    </row>
    <row r="1114" spans="1:14" ht="16.5">
      <c r="A1114" s="90">
        <v>1111</v>
      </c>
      <c r="B1114" s="47">
        <v>237</v>
      </c>
      <c r="C1114" s="50" t="s">
        <v>565</v>
      </c>
      <c r="D1114" s="1" t="s">
        <v>1925</v>
      </c>
      <c r="E1114" s="50" t="s">
        <v>1938</v>
      </c>
      <c r="F1114" s="90" t="s">
        <v>1885</v>
      </c>
      <c r="G1114" s="90" t="s">
        <v>1682</v>
      </c>
      <c r="H1114" s="90" t="s">
        <v>1247</v>
      </c>
      <c r="I1114" s="90" t="s">
        <v>1675</v>
      </c>
      <c r="J1114" s="90" t="s">
        <v>1676</v>
      </c>
      <c r="K1114" s="90" t="s">
        <v>1886</v>
      </c>
      <c r="L1114" s="90" t="s">
        <v>1887</v>
      </c>
      <c r="M1114" s="95" t="s">
        <v>1679</v>
      </c>
      <c r="N1114" s="90" t="s">
        <v>1680</v>
      </c>
    </row>
    <row r="1115" spans="1:14" ht="16.5">
      <c r="A1115" s="90">
        <v>1112</v>
      </c>
      <c r="B1115" s="47">
        <v>213</v>
      </c>
      <c r="C1115" s="50" t="s">
        <v>599</v>
      </c>
      <c r="D1115" s="1" t="s">
        <v>1925</v>
      </c>
      <c r="E1115" s="50" t="s">
        <v>1938</v>
      </c>
      <c r="F1115" s="90">
        <v>63</v>
      </c>
      <c r="G1115" s="90">
        <v>30</v>
      </c>
      <c r="H1115" s="90">
        <v>10</v>
      </c>
      <c r="I1115" s="90">
        <v>48</v>
      </c>
      <c r="J1115" s="90">
        <v>53</v>
      </c>
      <c r="K1115" s="90">
        <v>73</v>
      </c>
      <c r="L1115" s="90">
        <v>78</v>
      </c>
      <c r="M1115" s="95">
        <v>1</v>
      </c>
      <c r="N1115" s="90">
        <v>6</v>
      </c>
    </row>
    <row r="1116" spans="1:14" ht="16.5">
      <c r="A1116" s="90">
        <v>1113</v>
      </c>
      <c r="B1116" s="47">
        <v>224</v>
      </c>
      <c r="C1116" s="50" t="s">
        <v>369</v>
      </c>
      <c r="D1116" s="1" t="s">
        <v>1925</v>
      </c>
      <c r="E1116" s="50" t="s">
        <v>1938</v>
      </c>
      <c r="F1116" s="90" t="s">
        <v>1872</v>
      </c>
      <c r="G1116" s="90" t="s">
        <v>1682</v>
      </c>
      <c r="H1116" s="90" t="s">
        <v>1247</v>
      </c>
      <c r="I1116" s="90" t="s">
        <v>1920</v>
      </c>
      <c r="J1116" s="90" t="s">
        <v>1880</v>
      </c>
      <c r="K1116" s="90" t="s">
        <v>1875</v>
      </c>
      <c r="L1116" s="90" t="s">
        <v>1876</v>
      </c>
      <c r="M1116" s="95" t="s">
        <v>1679</v>
      </c>
      <c r="N1116" s="90" t="s">
        <v>1680</v>
      </c>
    </row>
    <row r="1117" spans="1:14" ht="16.5">
      <c r="A1117" s="90">
        <v>1114</v>
      </c>
      <c r="B1117" s="47">
        <v>229</v>
      </c>
      <c r="C1117" s="50" t="s">
        <v>515</v>
      </c>
      <c r="D1117" s="1" t="s">
        <v>1925</v>
      </c>
      <c r="E1117" s="50" t="s">
        <v>1938</v>
      </c>
      <c r="F1117" s="90" t="s">
        <v>1872</v>
      </c>
      <c r="G1117" s="90" t="s">
        <v>1682</v>
      </c>
      <c r="H1117" s="90" t="s">
        <v>1247</v>
      </c>
      <c r="I1117" s="90" t="s">
        <v>1920</v>
      </c>
      <c r="J1117" s="90" t="s">
        <v>1880</v>
      </c>
      <c r="K1117" s="90" t="s">
        <v>1875</v>
      </c>
      <c r="L1117" s="90" t="s">
        <v>1876</v>
      </c>
      <c r="M1117" s="95" t="s">
        <v>1679</v>
      </c>
      <c r="N1117" s="90" t="s">
        <v>1870</v>
      </c>
    </row>
    <row r="1118" spans="1:14" ht="16.5">
      <c r="A1118" s="90">
        <v>1115</v>
      </c>
      <c r="B1118" s="47">
        <v>231</v>
      </c>
      <c r="C1118" s="94" t="s">
        <v>591</v>
      </c>
      <c r="D1118" s="1" t="s">
        <v>1925</v>
      </c>
      <c r="E1118" s="50" t="s">
        <v>1938</v>
      </c>
      <c r="F1118" s="90" t="s">
        <v>1865</v>
      </c>
      <c r="G1118" s="90" t="s">
        <v>1862</v>
      </c>
      <c r="H1118" s="90" t="s">
        <v>1888</v>
      </c>
      <c r="I1118" s="90" t="s">
        <v>1880</v>
      </c>
      <c r="J1118" s="90" t="s">
        <v>1922</v>
      </c>
      <c r="K1118" s="90" t="s">
        <v>1923</v>
      </c>
      <c r="L1118" s="90" t="s">
        <v>1924</v>
      </c>
      <c r="M1118" s="95" t="s">
        <v>1679</v>
      </c>
      <c r="N1118" s="90" t="s">
        <v>1891</v>
      </c>
    </row>
    <row r="1119" spans="1:14" ht="16.5">
      <c r="A1119" s="90">
        <v>1116</v>
      </c>
      <c r="B1119" s="47">
        <v>211</v>
      </c>
      <c r="C1119" s="50" t="s">
        <v>605</v>
      </c>
      <c r="D1119" s="1" t="s">
        <v>1925</v>
      </c>
      <c r="E1119" s="50" t="s">
        <v>1938</v>
      </c>
      <c r="F1119" s="90">
        <v>60</v>
      </c>
      <c r="G1119" s="90">
        <v>30</v>
      </c>
      <c r="H1119" s="90">
        <v>10</v>
      </c>
      <c r="I1119" s="90">
        <v>45</v>
      </c>
      <c r="J1119" s="90">
        <v>50</v>
      </c>
      <c r="K1119" s="90">
        <v>70</v>
      </c>
      <c r="L1119" s="90">
        <v>75</v>
      </c>
      <c r="M1119" s="95">
        <v>1</v>
      </c>
      <c r="N1119" s="90">
        <v>5.5</v>
      </c>
    </row>
    <row r="1120" spans="1:14" ht="16.5">
      <c r="A1120" s="90">
        <v>1117</v>
      </c>
      <c r="B1120" s="47">
        <v>212</v>
      </c>
      <c r="C1120" s="50" t="s">
        <v>394</v>
      </c>
      <c r="D1120" s="1" t="s">
        <v>1925</v>
      </c>
      <c r="E1120" s="50" t="s">
        <v>1938</v>
      </c>
      <c r="F1120" s="90" t="s">
        <v>1898</v>
      </c>
      <c r="G1120" s="90" t="s">
        <v>1862</v>
      </c>
      <c r="H1120" s="90" t="s">
        <v>1888</v>
      </c>
      <c r="I1120" s="90" t="s">
        <v>1899</v>
      </c>
      <c r="J1120" s="90" t="s">
        <v>1889</v>
      </c>
      <c r="K1120" s="90" t="s">
        <v>1900</v>
      </c>
      <c r="L1120" s="90" t="s">
        <v>1901</v>
      </c>
      <c r="M1120" s="95" t="s">
        <v>1679</v>
      </c>
      <c r="N1120" s="90" t="s">
        <v>1902</v>
      </c>
    </row>
    <row r="1121" spans="1:14" ht="16.5">
      <c r="A1121" s="90">
        <v>1118</v>
      </c>
      <c r="B1121" s="47">
        <v>300</v>
      </c>
      <c r="C1121" s="50" t="s">
        <v>1896</v>
      </c>
      <c r="D1121" s="1" t="s">
        <v>1925</v>
      </c>
      <c r="E1121" s="50" t="s">
        <v>1938</v>
      </c>
      <c r="F1121" s="90">
        <v>38</v>
      </c>
      <c r="G1121" s="90">
        <v>30</v>
      </c>
      <c r="H1121" s="90">
        <v>10</v>
      </c>
      <c r="I1121" s="90">
        <v>27</v>
      </c>
      <c r="J1121" s="90">
        <v>32</v>
      </c>
      <c r="K1121" s="90">
        <v>52</v>
      </c>
      <c r="L1121" s="90">
        <v>57</v>
      </c>
      <c r="M1121" s="95">
        <v>1</v>
      </c>
      <c r="N1121" s="90">
        <v>6</v>
      </c>
    </row>
    <row r="1122" spans="1:14" ht="16.5">
      <c r="A1122" s="90">
        <v>1119</v>
      </c>
      <c r="B1122" s="47">
        <v>228</v>
      </c>
      <c r="C1122" s="50" t="s">
        <v>948</v>
      </c>
      <c r="D1122" s="1" t="s">
        <v>1925</v>
      </c>
      <c r="E1122" s="50" t="s">
        <v>1938</v>
      </c>
      <c r="F1122" s="90" t="s">
        <v>1872</v>
      </c>
      <c r="G1122" s="90" t="s">
        <v>1682</v>
      </c>
      <c r="H1122" s="90" t="s">
        <v>1247</v>
      </c>
      <c r="I1122" s="90" t="s">
        <v>1873</v>
      </c>
      <c r="J1122" s="90" t="s">
        <v>1874</v>
      </c>
      <c r="K1122" s="90" t="s">
        <v>1875</v>
      </c>
      <c r="L1122" s="90" t="s">
        <v>1876</v>
      </c>
      <c r="M1122" s="95" t="s">
        <v>1679</v>
      </c>
      <c r="N1122" s="90" t="s">
        <v>1877</v>
      </c>
    </row>
    <row r="1123" spans="1:14" ht="16.5">
      <c r="A1123" s="90">
        <v>1120</v>
      </c>
      <c r="B1123" s="47">
        <v>400</v>
      </c>
      <c r="C1123" s="50" t="s">
        <v>1014</v>
      </c>
      <c r="D1123" s="1" t="s">
        <v>1925</v>
      </c>
      <c r="E1123" s="50" t="s">
        <v>1938</v>
      </c>
      <c r="F1123" s="90" t="s">
        <v>1854</v>
      </c>
      <c r="G1123" s="90" t="s">
        <v>1871</v>
      </c>
      <c r="H1123" s="90" t="s">
        <v>1247</v>
      </c>
      <c r="I1123" s="90" t="s">
        <v>1855</v>
      </c>
      <c r="J1123" s="90" t="s">
        <v>1856</v>
      </c>
      <c r="K1123" s="90" t="s">
        <v>1857</v>
      </c>
      <c r="L1123" s="90" t="s">
        <v>1858</v>
      </c>
      <c r="M1123" s="95" t="s">
        <v>1679</v>
      </c>
      <c r="N1123" s="90" t="s">
        <v>1859</v>
      </c>
    </row>
    <row r="1124" spans="1:14" ht="16.5">
      <c r="A1124" s="90">
        <v>1121</v>
      </c>
      <c r="B1124" s="47">
        <v>400</v>
      </c>
      <c r="C1124" s="50" t="s">
        <v>1014</v>
      </c>
      <c r="D1124" s="50" t="s">
        <v>1852</v>
      </c>
      <c r="E1124" s="50" t="s">
        <v>1938</v>
      </c>
      <c r="F1124" s="90" t="s">
        <v>1854</v>
      </c>
      <c r="G1124" s="90" t="s">
        <v>1871</v>
      </c>
      <c r="H1124" s="90" t="s">
        <v>1247</v>
      </c>
      <c r="I1124" s="90" t="s">
        <v>1855</v>
      </c>
      <c r="J1124" s="90" t="s">
        <v>1856</v>
      </c>
      <c r="K1124" s="90" t="s">
        <v>1857</v>
      </c>
      <c r="L1124" s="90" t="s">
        <v>1858</v>
      </c>
      <c r="M1124" s="95" t="s">
        <v>1679</v>
      </c>
      <c r="N1124" s="90" t="s">
        <v>1859</v>
      </c>
    </row>
    <row r="1125" spans="1:14" ht="16.5">
      <c r="A1125" s="90">
        <v>1122</v>
      </c>
      <c r="B1125" s="47">
        <v>400</v>
      </c>
      <c r="C1125" s="50" t="s">
        <v>1014</v>
      </c>
      <c r="D1125" s="50" t="s">
        <v>1897</v>
      </c>
      <c r="E1125" s="50" t="s">
        <v>1938</v>
      </c>
      <c r="F1125" s="90" t="s">
        <v>1854</v>
      </c>
      <c r="G1125" s="90" t="s">
        <v>1871</v>
      </c>
      <c r="H1125" s="90" t="s">
        <v>1247</v>
      </c>
      <c r="I1125" s="90" t="s">
        <v>1855</v>
      </c>
      <c r="J1125" s="90" t="s">
        <v>1856</v>
      </c>
      <c r="K1125" s="90" t="s">
        <v>1857</v>
      </c>
      <c r="L1125" s="90" t="s">
        <v>1858</v>
      </c>
      <c r="M1125" s="95" t="s">
        <v>1679</v>
      </c>
      <c r="N1125" s="90" t="s">
        <v>1859</v>
      </c>
    </row>
    <row r="1126" spans="1:14" ht="16.5">
      <c r="A1126" s="90">
        <v>1123</v>
      </c>
      <c r="B1126" s="47">
        <v>400</v>
      </c>
      <c r="C1126" s="50" t="s">
        <v>1014</v>
      </c>
      <c r="D1126" s="50" t="s">
        <v>1903</v>
      </c>
      <c r="E1126" s="50" t="s">
        <v>1938</v>
      </c>
      <c r="F1126" s="90" t="s">
        <v>1854</v>
      </c>
      <c r="G1126" s="90" t="s">
        <v>1871</v>
      </c>
      <c r="H1126" s="90" t="s">
        <v>1247</v>
      </c>
      <c r="I1126" s="90" t="s">
        <v>1855</v>
      </c>
      <c r="J1126" s="90" t="s">
        <v>1856</v>
      </c>
      <c r="K1126" s="90" t="s">
        <v>1857</v>
      </c>
      <c r="L1126" s="90" t="s">
        <v>1858</v>
      </c>
      <c r="M1126" s="95" t="s">
        <v>1679</v>
      </c>
      <c r="N1126" s="90" t="s">
        <v>1859</v>
      </c>
    </row>
    <row r="1127" spans="1:14" ht="16.5">
      <c r="A1127" s="90">
        <v>1124</v>
      </c>
      <c r="B1127" s="47">
        <v>400</v>
      </c>
      <c r="C1127" s="50" t="s">
        <v>1014</v>
      </c>
      <c r="D1127" s="50" t="s">
        <v>1905</v>
      </c>
      <c r="E1127" s="50" t="s">
        <v>1938</v>
      </c>
      <c r="F1127" s="90" t="s">
        <v>1854</v>
      </c>
      <c r="G1127" s="90" t="s">
        <v>1871</v>
      </c>
      <c r="H1127" s="90" t="s">
        <v>1247</v>
      </c>
      <c r="I1127" s="90" t="s">
        <v>1855</v>
      </c>
      <c r="J1127" s="90" t="s">
        <v>1856</v>
      </c>
      <c r="K1127" s="90" t="s">
        <v>1857</v>
      </c>
      <c r="L1127" s="90" t="s">
        <v>1858</v>
      </c>
      <c r="M1127" s="95" t="s">
        <v>1679</v>
      </c>
      <c r="N1127" s="90" t="s">
        <v>1859</v>
      </c>
    </row>
    <row r="1128" spans="1:14" ht="16.5">
      <c r="A1128" s="90">
        <v>1125</v>
      </c>
      <c r="B1128" s="47">
        <v>400</v>
      </c>
      <c r="C1128" s="50" t="s">
        <v>1014</v>
      </c>
      <c r="D1128" s="1" t="s">
        <v>1925</v>
      </c>
      <c r="E1128" s="50" t="s">
        <v>1938</v>
      </c>
      <c r="F1128" s="90" t="s">
        <v>1854</v>
      </c>
      <c r="G1128" s="90" t="s">
        <v>1871</v>
      </c>
      <c r="H1128" s="90" t="s">
        <v>1247</v>
      </c>
      <c r="I1128" s="90" t="s">
        <v>1855</v>
      </c>
      <c r="J1128" s="90" t="s">
        <v>1856</v>
      </c>
      <c r="K1128" s="90" t="s">
        <v>1857</v>
      </c>
      <c r="L1128" s="90" t="s">
        <v>1858</v>
      </c>
      <c r="M1128" s="95" t="s">
        <v>1679</v>
      </c>
      <c r="N1128" s="90" t="s">
        <v>1859</v>
      </c>
    </row>
    <row r="1129" spans="1:14" ht="16.5">
      <c r="A1129" s="90">
        <v>1126</v>
      </c>
      <c r="B1129" s="47">
        <v>404</v>
      </c>
      <c r="C1129" s="50" t="s">
        <v>1019</v>
      </c>
      <c r="D1129" s="50" t="s">
        <v>1852</v>
      </c>
      <c r="E1129" s="50" t="s">
        <v>1938</v>
      </c>
      <c r="F1129" s="90" t="s">
        <v>1854</v>
      </c>
      <c r="G1129" s="90" t="s">
        <v>1871</v>
      </c>
      <c r="H1129" s="90" t="s">
        <v>1247</v>
      </c>
      <c r="I1129" s="90" t="s">
        <v>1855</v>
      </c>
      <c r="J1129" s="90" t="s">
        <v>1856</v>
      </c>
      <c r="K1129" s="90" t="s">
        <v>1857</v>
      </c>
      <c r="L1129" s="90" t="s">
        <v>1858</v>
      </c>
      <c r="M1129" s="95" t="s">
        <v>1679</v>
      </c>
      <c r="N1129" s="90" t="s">
        <v>1859</v>
      </c>
    </row>
    <row r="1130" spans="1:14" ht="16.5">
      <c r="A1130" s="90">
        <v>1127</v>
      </c>
      <c r="B1130" s="47">
        <v>404</v>
      </c>
      <c r="C1130" s="50" t="s">
        <v>1019</v>
      </c>
      <c r="D1130" s="50" t="s">
        <v>1897</v>
      </c>
      <c r="E1130" s="50" t="s">
        <v>1938</v>
      </c>
      <c r="F1130" s="90" t="s">
        <v>1854</v>
      </c>
      <c r="G1130" s="90" t="s">
        <v>1871</v>
      </c>
      <c r="H1130" s="90" t="s">
        <v>1247</v>
      </c>
      <c r="I1130" s="90" t="s">
        <v>1855</v>
      </c>
      <c r="J1130" s="90" t="s">
        <v>1856</v>
      </c>
      <c r="K1130" s="90" t="s">
        <v>1857</v>
      </c>
      <c r="L1130" s="90" t="s">
        <v>1858</v>
      </c>
      <c r="M1130" s="95" t="s">
        <v>1679</v>
      </c>
      <c r="N1130" s="90" t="s">
        <v>1859</v>
      </c>
    </row>
    <row r="1131" spans="1:14" ht="16.5">
      <c r="A1131" s="90">
        <v>1128</v>
      </c>
      <c r="B1131" s="47">
        <v>404</v>
      </c>
      <c r="C1131" s="50" t="s">
        <v>1019</v>
      </c>
      <c r="D1131" s="50" t="s">
        <v>1903</v>
      </c>
      <c r="E1131" s="50" t="s">
        <v>1938</v>
      </c>
      <c r="F1131" s="90" t="s">
        <v>1854</v>
      </c>
      <c r="G1131" s="90" t="s">
        <v>1871</v>
      </c>
      <c r="H1131" s="90" t="s">
        <v>1247</v>
      </c>
      <c r="I1131" s="90" t="s">
        <v>1855</v>
      </c>
      <c r="J1131" s="90" t="s">
        <v>1856</v>
      </c>
      <c r="K1131" s="90" t="s">
        <v>1857</v>
      </c>
      <c r="L1131" s="90" t="s">
        <v>1858</v>
      </c>
      <c r="M1131" s="95" t="s">
        <v>1679</v>
      </c>
      <c r="N1131" s="90" t="s">
        <v>1859</v>
      </c>
    </row>
    <row r="1132" spans="1:14" ht="16.5">
      <c r="A1132" s="90">
        <v>1129</v>
      </c>
      <c r="B1132" s="47">
        <v>404</v>
      </c>
      <c r="C1132" s="50" t="s">
        <v>1019</v>
      </c>
      <c r="D1132" s="50" t="s">
        <v>1905</v>
      </c>
      <c r="E1132" s="50" t="s">
        <v>1938</v>
      </c>
      <c r="F1132" s="90" t="s">
        <v>1854</v>
      </c>
      <c r="G1132" s="90" t="s">
        <v>1871</v>
      </c>
      <c r="H1132" s="90" t="s">
        <v>1247</v>
      </c>
      <c r="I1132" s="90" t="s">
        <v>1855</v>
      </c>
      <c r="J1132" s="90" t="s">
        <v>1856</v>
      </c>
      <c r="K1132" s="90" t="s">
        <v>1857</v>
      </c>
      <c r="L1132" s="90" t="s">
        <v>1858</v>
      </c>
      <c r="M1132" s="95" t="s">
        <v>1679</v>
      </c>
      <c r="N1132" s="90" t="s">
        <v>1859</v>
      </c>
    </row>
    <row r="1133" spans="1:14" ht="16.5">
      <c r="A1133" s="90">
        <v>1130</v>
      </c>
      <c r="B1133" s="47">
        <v>404</v>
      </c>
      <c r="C1133" s="50" t="s">
        <v>1019</v>
      </c>
      <c r="D1133" s="1" t="s">
        <v>1925</v>
      </c>
      <c r="E1133" s="50" t="s">
        <v>1938</v>
      </c>
      <c r="F1133" s="90" t="s">
        <v>1854</v>
      </c>
      <c r="G1133" s="90" t="s">
        <v>1871</v>
      </c>
      <c r="H1133" s="90" t="s">
        <v>1247</v>
      </c>
      <c r="I1133" s="90" t="s">
        <v>1855</v>
      </c>
      <c r="J1133" s="90" t="s">
        <v>1856</v>
      </c>
      <c r="K1133" s="90" t="s">
        <v>1857</v>
      </c>
      <c r="L1133" s="90" t="s">
        <v>1858</v>
      </c>
      <c r="M1133" s="95" t="s">
        <v>1679</v>
      </c>
      <c r="N1133" s="90" t="s">
        <v>1859</v>
      </c>
    </row>
    <row r="1134" spans="1:14" ht="16.5">
      <c r="A1134" s="90">
        <v>1131</v>
      </c>
      <c r="B1134" s="47">
        <v>409</v>
      </c>
      <c r="C1134" s="50" t="s">
        <v>1019</v>
      </c>
      <c r="D1134" s="50" t="s">
        <v>1852</v>
      </c>
      <c r="E1134" s="50" t="s">
        <v>1938</v>
      </c>
      <c r="F1134" s="90" t="s">
        <v>1854</v>
      </c>
      <c r="G1134" s="90" t="s">
        <v>1871</v>
      </c>
      <c r="H1134" s="90" t="s">
        <v>1247</v>
      </c>
      <c r="I1134" s="90" t="s">
        <v>1855</v>
      </c>
      <c r="J1134" s="90" t="s">
        <v>1856</v>
      </c>
      <c r="K1134" s="90" t="s">
        <v>1857</v>
      </c>
      <c r="L1134" s="90" t="s">
        <v>1858</v>
      </c>
      <c r="M1134" s="95" t="s">
        <v>1679</v>
      </c>
      <c r="N1134" s="90" t="s">
        <v>1859</v>
      </c>
    </row>
    <row r="1135" spans="1:14" ht="16.5">
      <c r="A1135" s="90">
        <v>1132</v>
      </c>
      <c r="B1135" s="47">
        <v>409</v>
      </c>
      <c r="C1135" s="50" t="s">
        <v>1023</v>
      </c>
      <c r="D1135" s="50" t="s">
        <v>1897</v>
      </c>
      <c r="E1135" s="50" t="s">
        <v>1938</v>
      </c>
      <c r="F1135" s="90" t="s">
        <v>1854</v>
      </c>
      <c r="G1135" s="90" t="s">
        <v>1871</v>
      </c>
      <c r="H1135" s="90" t="s">
        <v>1247</v>
      </c>
      <c r="I1135" s="90" t="s">
        <v>1855</v>
      </c>
      <c r="J1135" s="90" t="s">
        <v>1856</v>
      </c>
      <c r="K1135" s="90" t="s">
        <v>1857</v>
      </c>
      <c r="L1135" s="90" t="s">
        <v>1858</v>
      </c>
      <c r="M1135" s="95" t="s">
        <v>1679</v>
      </c>
      <c r="N1135" s="90" t="s">
        <v>1859</v>
      </c>
    </row>
    <row r="1136" spans="1:14" ht="16.5">
      <c r="A1136" s="90">
        <v>1133</v>
      </c>
      <c r="B1136" s="47">
        <v>409</v>
      </c>
      <c r="C1136" s="50" t="s">
        <v>1023</v>
      </c>
      <c r="D1136" s="50" t="s">
        <v>1903</v>
      </c>
      <c r="E1136" s="50" t="s">
        <v>1938</v>
      </c>
      <c r="F1136" s="90" t="s">
        <v>1854</v>
      </c>
      <c r="G1136" s="90" t="s">
        <v>1871</v>
      </c>
      <c r="H1136" s="90" t="s">
        <v>1247</v>
      </c>
      <c r="I1136" s="90" t="s">
        <v>1855</v>
      </c>
      <c r="J1136" s="90" t="s">
        <v>1856</v>
      </c>
      <c r="K1136" s="90" t="s">
        <v>1857</v>
      </c>
      <c r="L1136" s="90" t="s">
        <v>1858</v>
      </c>
      <c r="M1136" s="95" t="s">
        <v>1679</v>
      </c>
      <c r="N1136" s="90" t="s">
        <v>1859</v>
      </c>
    </row>
    <row r="1137" spans="1:14" ht="16.5">
      <c r="A1137" s="90">
        <v>1134</v>
      </c>
      <c r="B1137" s="47">
        <v>409</v>
      </c>
      <c r="C1137" s="50" t="s">
        <v>1023</v>
      </c>
      <c r="D1137" s="50" t="s">
        <v>1905</v>
      </c>
      <c r="E1137" s="50" t="s">
        <v>1938</v>
      </c>
      <c r="F1137" s="90" t="s">
        <v>1854</v>
      </c>
      <c r="G1137" s="90" t="s">
        <v>1871</v>
      </c>
      <c r="H1137" s="90" t="s">
        <v>1247</v>
      </c>
      <c r="I1137" s="90" t="s">
        <v>1855</v>
      </c>
      <c r="J1137" s="90" t="s">
        <v>1856</v>
      </c>
      <c r="K1137" s="90" t="s">
        <v>1857</v>
      </c>
      <c r="L1137" s="90" t="s">
        <v>1858</v>
      </c>
      <c r="M1137" s="95" t="s">
        <v>1679</v>
      </c>
      <c r="N1137" s="90" t="s">
        <v>1859</v>
      </c>
    </row>
    <row r="1138" spans="1:14" ht="16.5">
      <c r="A1138" s="90">
        <v>1135</v>
      </c>
      <c r="B1138" s="47">
        <v>409</v>
      </c>
      <c r="C1138" s="50" t="s">
        <v>1023</v>
      </c>
      <c r="D1138" s="1" t="s">
        <v>1925</v>
      </c>
      <c r="E1138" s="50" t="s">
        <v>1938</v>
      </c>
      <c r="F1138" s="90" t="s">
        <v>1854</v>
      </c>
      <c r="G1138" s="90" t="s">
        <v>1871</v>
      </c>
      <c r="H1138" s="90" t="s">
        <v>1247</v>
      </c>
      <c r="I1138" s="90" t="s">
        <v>1855</v>
      </c>
      <c r="J1138" s="90" t="s">
        <v>1856</v>
      </c>
      <c r="K1138" s="90" t="s">
        <v>1857</v>
      </c>
      <c r="L1138" s="90" t="s">
        <v>1858</v>
      </c>
      <c r="M1138" s="95" t="s">
        <v>1679</v>
      </c>
      <c r="N1138" s="90" t="s">
        <v>1859</v>
      </c>
    </row>
    <row r="1139" spans="1:14" ht="16.5">
      <c r="A1139" s="90">
        <v>1136</v>
      </c>
      <c r="B1139" s="47">
        <v>410</v>
      </c>
      <c r="C1139" s="50" t="s">
        <v>2308</v>
      </c>
      <c r="D1139" s="50" t="s">
        <v>1905</v>
      </c>
      <c r="E1139" s="50" t="s">
        <v>1938</v>
      </c>
      <c r="F1139" s="90" t="s">
        <v>1872</v>
      </c>
      <c r="G1139" s="90" t="s">
        <v>1682</v>
      </c>
      <c r="H1139" s="90" t="s">
        <v>1247</v>
      </c>
      <c r="I1139" s="90" t="s">
        <v>1873</v>
      </c>
      <c r="J1139" s="90" t="s">
        <v>1874</v>
      </c>
      <c r="K1139" s="90" t="s">
        <v>1875</v>
      </c>
      <c r="L1139" s="90" t="s">
        <v>1876</v>
      </c>
      <c r="M1139" s="95" t="s">
        <v>1679</v>
      </c>
      <c r="N1139" s="90" t="s">
        <v>1877</v>
      </c>
    </row>
    <row r="1140" spans="1:14" ht="16.5">
      <c r="A1140" s="90">
        <v>1137</v>
      </c>
      <c r="B1140" s="47">
        <v>410</v>
      </c>
      <c r="C1140" s="50" t="s">
        <v>2308</v>
      </c>
      <c r="D1140" s="1" t="s">
        <v>1925</v>
      </c>
      <c r="E1140" s="50" t="s">
        <v>1938</v>
      </c>
      <c r="F1140" s="90" t="s">
        <v>1872</v>
      </c>
      <c r="G1140" s="90" t="s">
        <v>1682</v>
      </c>
      <c r="H1140" s="90" t="s">
        <v>1247</v>
      </c>
      <c r="I1140" s="90" t="s">
        <v>1873</v>
      </c>
      <c r="J1140" s="90" t="s">
        <v>1874</v>
      </c>
      <c r="K1140" s="90" t="s">
        <v>1875</v>
      </c>
      <c r="L1140" s="90" t="s">
        <v>1876</v>
      </c>
      <c r="M1140" s="95" t="s">
        <v>1679</v>
      </c>
      <c r="N1140" s="90" t="s">
        <v>1877</v>
      </c>
    </row>
    <row r="1141" spans="1:14" ht="16.5">
      <c r="A1141" s="90">
        <v>1138</v>
      </c>
      <c r="B1141" s="47">
        <v>202</v>
      </c>
      <c r="C1141" s="50" t="s">
        <v>154</v>
      </c>
      <c r="D1141" s="50" t="s">
        <v>1852</v>
      </c>
      <c r="E1141" s="50" t="s">
        <v>1939</v>
      </c>
      <c r="F1141" s="90" t="s">
        <v>1854</v>
      </c>
      <c r="G1141" s="90" t="s">
        <v>1674</v>
      </c>
      <c r="H1141" s="90" t="s">
        <v>1247</v>
      </c>
      <c r="I1141" s="90" t="s">
        <v>1855</v>
      </c>
      <c r="J1141" s="90" t="s">
        <v>1856</v>
      </c>
      <c r="K1141" s="90" t="s">
        <v>1857</v>
      </c>
      <c r="L1141" s="90" t="s">
        <v>1858</v>
      </c>
      <c r="M1141" s="95" t="s">
        <v>1679</v>
      </c>
      <c r="N1141" s="90" t="s">
        <v>1859</v>
      </c>
    </row>
    <row r="1142" spans="1:14" ht="16.5">
      <c r="A1142" s="90">
        <v>1139</v>
      </c>
      <c r="B1142" s="91">
        <v>203</v>
      </c>
      <c r="C1142" s="90" t="s">
        <v>202</v>
      </c>
      <c r="D1142" s="50" t="s">
        <v>1852</v>
      </c>
      <c r="E1142" s="50" t="s">
        <v>1939</v>
      </c>
      <c r="F1142" s="90" t="s">
        <v>1860</v>
      </c>
      <c r="G1142" s="90" t="s">
        <v>1682</v>
      </c>
      <c r="H1142" s="90" t="s">
        <v>1247</v>
      </c>
      <c r="I1142" s="90" t="s">
        <v>1861</v>
      </c>
      <c r="J1142" s="90" t="s">
        <v>1862</v>
      </c>
      <c r="K1142" s="90" t="s">
        <v>1863</v>
      </c>
      <c r="L1142" s="90" t="s">
        <v>1864</v>
      </c>
      <c r="M1142" s="95" t="s">
        <v>1679</v>
      </c>
      <c r="N1142" s="90" t="s">
        <v>1680</v>
      </c>
    </row>
    <row r="1143" spans="1:14" ht="16.5">
      <c r="A1143" s="90">
        <v>1140</v>
      </c>
      <c r="B1143" s="47">
        <v>204</v>
      </c>
      <c r="C1143" s="50" t="s">
        <v>226</v>
      </c>
      <c r="D1143" s="50" t="s">
        <v>1852</v>
      </c>
      <c r="E1143" s="50" t="s">
        <v>1939</v>
      </c>
      <c r="F1143" s="90" t="s">
        <v>1854</v>
      </c>
      <c r="G1143" s="90" t="s">
        <v>1674</v>
      </c>
      <c r="H1143" s="90" t="s">
        <v>1247</v>
      </c>
      <c r="I1143" s="90" t="s">
        <v>1855</v>
      </c>
      <c r="J1143" s="90" t="s">
        <v>1856</v>
      </c>
      <c r="K1143" s="90" t="s">
        <v>1857</v>
      </c>
      <c r="L1143" s="90" t="s">
        <v>1858</v>
      </c>
      <c r="M1143" s="95" t="s">
        <v>1679</v>
      </c>
      <c r="N1143" s="90" t="s">
        <v>1680</v>
      </c>
    </row>
    <row r="1144" spans="1:14" ht="16.5">
      <c r="A1144" s="90">
        <v>1141</v>
      </c>
      <c r="B1144" s="47">
        <v>205</v>
      </c>
      <c r="C1144" s="50" t="s">
        <v>249</v>
      </c>
      <c r="D1144" s="50" t="s">
        <v>1852</v>
      </c>
      <c r="E1144" s="50" t="s">
        <v>1939</v>
      </c>
      <c r="F1144" s="90" t="s">
        <v>1854</v>
      </c>
      <c r="G1144" s="90" t="s">
        <v>1674</v>
      </c>
      <c r="H1144" s="90" t="s">
        <v>1247</v>
      </c>
      <c r="I1144" s="90" t="s">
        <v>1855</v>
      </c>
      <c r="J1144" s="90" t="s">
        <v>1856</v>
      </c>
      <c r="K1144" s="90" t="s">
        <v>1857</v>
      </c>
      <c r="L1144" s="90" t="s">
        <v>1858</v>
      </c>
      <c r="M1144" s="95" t="s">
        <v>1679</v>
      </c>
      <c r="N1144" s="90" t="s">
        <v>1859</v>
      </c>
    </row>
    <row r="1145" spans="1:14" ht="16.5">
      <c r="A1145" s="90">
        <v>1142</v>
      </c>
      <c r="B1145" s="47">
        <v>207</v>
      </c>
      <c r="C1145" s="50" t="s">
        <v>595</v>
      </c>
      <c r="D1145" s="50" t="s">
        <v>1852</v>
      </c>
      <c r="E1145" s="50" t="s">
        <v>1939</v>
      </c>
      <c r="F1145" s="90">
        <v>50</v>
      </c>
      <c r="G1145" s="90">
        <v>30</v>
      </c>
      <c r="H1145" s="90">
        <v>10</v>
      </c>
      <c r="I1145" s="90">
        <v>30</v>
      </c>
      <c r="J1145" s="90">
        <v>40</v>
      </c>
      <c r="K1145" s="90">
        <v>60</v>
      </c>
      <c r="L1145" s="90">
        <v>65</v>
      </c>
      <c r="M1145" s="95">
        <v>1</v>
      </c>
      <c r="N1145" s="90">
        <v>3</v>
      </c>
    </row>
    <row r="1146" spans="1:14" ht="16.5">
      <c r="A1146" s="90">
        <v>1143</v>
      </c>
      <c r="B1146" s="47">
        <v>208</v>
      </c>
      <c r="C1146" s="50" t="s">
        <v>589</v>
      </c>
      <c r="D1146" s="50" t="s">
        <v>1852</v>
      </c>
      <c r="E1146" s="50" t="s">
        <v>1939</v>
      </c>
      <c r="F1146" s="90">
        <v>53</v>
      </c>
      <c r="G1146" s="90">
        <v>50</v>
      </c>
      <c r="H1146" s="90">
        <v>1</v>
      </c>
      <c r="I1146" s="90">
        <v>20</v>
      </c>
      <c r="J1146" s="90">
        <v>35</v>
      </c>
      <c r="K1146" s="90">
        <v>63</v>
      </c>
      <c r="L1146" s="90">
        <v>68</v>
      </c>
      <c r="M1146" s="95">
        <v>1</v>
      </c>
      <c r="N1146" s="90">
        <v>8</v>
      </c>
    </row>
    <row r="1147" spans="1:14" ht="16.5">
      <c r="A1147" s="90">
        <v>1144</v>
      </c>
      <c r="B1147" s="47">
        <v>215</v>
      </c>
      <c r="C1147" s="50" t="s">
        <v>418</v>
      </c>
      <c r="D1147" s="50" t="s">
        <v>1852</v>
      </c>
      <c r="E1147" s="50" t="s">
        <v>1939</v>
      </c>
      <c r="F1147" s="90" t="s">
        <v>1865</v>
      </c>
      <c r="G1147" s="90" t="s">
        <v>1682</v>
      </c>
      <c r="H1147" s="90" t="s">
        <v>1247</v>
      </c>
      <c r="I1147" s="90" t="s">
        <v>1866</v>
      </c>
      <c r="J1147" s="90" t="s">
        <v>1867</v>
      </c>
      <c r="K1147" s="90" t="s">
        <v>1868</v>
      </c>
      <c r="L1147" s="90" t="s">
        <v>1869</v>
      </c>
      <c r="M1147" s="95" t="s">
        <v>1679</v>
      </c>
      <c r="N1147" s="90" t="s">
        <v>1870</v>
      </c>
    </row>
    <row r="1148" spans="1:14" ht="16.5">
      <c r="A1148" s="90">
        <v>1145</v>
      </c>
      <c r="B1148" s="47">
        <v>222</v>
      </c>
      <c r="C1148" s="50" t="s">
        <v>442</v>
      </c>
      <c r="D1148" s="50" t="s">
        <v>1852</v>
      </c>
      <c r="E1148" s="50" t="s">
        <v>1939</v>
      </c>
      <c r="F1148" s="90" t="s">
        <v>1854</v>
      </c>
      <c r="G1148" s="90" t="s">
        <v>1871</v>
      </c>
      <c r="H1148" s="90" t="s">
        <v>1247</v>
      </c>
      <c r="I1148" s="90" t="s">
        <v>1855</v>
      </c>
      <c r="J1148" s="90" t="s">
        <v>1856</v>
      </c>
      <c r="K1148" s="90" t="s">
        <v>1857</v>
      </c>
      <c r="L1148" s="90" t="s">
        <v>1858</v>
      </c>
      <c r="M1148" s="95" t="s">
        <v>1679</v>
      </c>
      <c r="N1148" s="90" t="s">
        <v>1859</v>
      </c>
    </row>
    <row r="1149" spans="1:14" ht="16.5">
      <c r="A1149" s="90">
        <v>1146</v>
      </c>
      <c r="B1149" s="47">
        <v>223</v>
      </c>
      <c r="C1149" s="50" t="s">
        <v>918</v>
      </c>
      <c r="D1149" s="50" t="s">
        <v>1852</v>
      </c>
      <c r="E1149" s="50" t="s">
        <v>1939</v>
      </c>
      <c r="F1149" s="90">
        <v>28</v>
      </c>
      <c r="G1149" s="90">
        <v>30</v>
      </c>
      <c r="H1149" s="90">
        <v>10</v>
      </c>
      <c r="I1149" s="90">
        <v>17</v>
      </c>
      <c r="J1149" s="90">
        <v>22</v>
      </c>
      <c r="K1149" s="90">
        <v>33</v>
      </c>
      <c r="L1149" s="90">
        <v>38</v>
      </c>
      <c r="M1149" s="95">
        <v>1</v>
      </c>
      <c r="N1149" s="90">
        <v>2</v>
      </c>
    </row>
    <row r="1150" spans="1:14" ht="16.5">
      <c r="A1150" s="90">
        <v>1147</v>
      </c>
      <c r="B1150" s="47">
        <v>226</v>
      </c>
      <c r="C1150" s="92" t="s">
        <v>469</v>
      </c>
      <c r="D1150" s="50" t="s">
        <v>1852</v>
      </c>
      <c r="E1150" s="50" t="s">
        <v>1939</v>
      </c>
      <c r="F1150" s="90" t="s">
        <v>1872</v>
      </c>
      <c r="G1150" s="90" t="s">
        <v>1682</v>
      </c>
      <c r="H1150" s="90" t="s">
        <v>1247</v>
      </c>
      <c r="I1150" s="90" t="s">
        <v>1873</v>
      </c>
      <c r="J1150" s="90" t="s">
        <v>1874</v>
      </c>
      <c r="K1150" s="90" t="s">
        <v>1875</v>
      </c>
      <c r="L1150" s="90" t="s">
        <v>1876</v>
      </c>
      <c r="M1150" s="95" t="s">
        <v>1679</v>
      </c>
      <c r="N1150" s="90" t="s">
        <v>1877</v>
      </c>
    </row>
    <row r="1151" spans="1:14" ht="16.5">
      <c r="A1151" s="90">
        <v>1148</v>
      </c>
      <c r="B1151" s="91">
        <v>227</v>
      </c>
      <c r="C1151" s="93" t="s">
        <v>493</v>
      </c>
      <c r="D1151" s="50" t="s">
        <v>1852</v>
      </c>
      <c r="E1151" s="50" t="s">
        <v>1939</v>
      </c>
      <c r="F1151" s="90" t="s">
        <v>1872</v>
      </c>
      <c r="G1151" s="90" t="s">
        <v>1682</v>
      </c>
      <c r="H1151" s="90" t="s">
        <v>1247</v>
      </c>
      <c r="I1151" s="90" t="s">
        <v>1873</v>
      </c>
      <c r="J1151" s="90" t="s">
        <v>1874</v>
      </c>
      <c r="K1151" s="90" t="s">
        <v>1875</v>
      </c>
      <c r="L1151" s="90" t="s">
        <v>1876</v>
      </c>
      <c r="M1151" s="95" t="s">
        <v>1679</v>
      </c>
      <c r="N1151" s="90" t="s">
        <v>1870</v>
      </c>
    </row>
    <row r="1152" spans="1:14" ht="16.5">
      <c r="A1152" s="90">
        <v>1149</v>
      </c>
      <c r="B1152" s="47">
        <v>234</v>
      </c>
      <c r="C1152" s="50" t="s">
        <v>1878</v>
      </c>
      <c r="D1152" s="50" t="s">
        <v>1852</v>
      </c>
      <c r="E1152" s="50" t="s">
        <v>1939</v>
      </c>
      <c r="F1152" s="90" t="s">
        <v>1854</v>
      </c>
      <c r="G1152" s="90" t="s">
        <v>1674</v>
      </c>
      <c r="H1152" s="90" t="s">
        <v>1247</v>
      </c>
      <c r="I1152" s="90" t="s">
        <v>1855</v>
      </c>
      <c r="J1152" s="90" t="s">
        <v>1856</v>
      </c>
      <c r="K1152" s="90" t="s">
        <v>1857</v>
      </c>
      <c r="L1152" s="90" t="s">
        <v>1858</v>
      </c>
      <c r="M1152" s="95" t="s">
        <v>1679</v>
      </c>
      <c r="N1152" s="90" t="s">
        <v>1859</v>
      </c>
    </row>
    <row r="1153" spans="1:14" ht="16.5">
      <c r="A1153" s="90">
        <v>1150</v>
      </c>
      <c r="B1153" s="47">
        <v>235</v>
      </c>
      <c r="C1153" s="50" t="s">
        <v>601</v>
      </c>
      <c r="D1153" s="50" t="s">
        <v>1852</v>
      </c>
      <c r="E1153" s="50" t="s">
        <v>1939</v>
      </c>
      <c r="F1153" s="90">
        <v>50</v>
      </c>
      <c r="G1153" s="90">
        <v>30</v>
      </c>
      <c r="H1153" s="90">
        <v>10</v>
      </c>
      <c r="I1153" s="90">
        <v>30</v>
      </c>
      <c r="J1153" s="90">
        <v>40</v>
      </c>
      <c r="K1153" s="90">
        <v>60</v>
      </c>
      <c r="L1153" s="90">
        <v>65</v>
      </c>
      <c r="M1153" s="95">
        <v>1</v>
      </c>
      <c r="N1153" s="90">
        <v>3</v>
      </c>
    </row>
    <row r="1154" spans="1:14" ht="16.5">
      <c r="A1154" s="90">
        <v>1151</v>
      </c>
      <c r="B1154" s="47">
        <v>236</v>
      </c>
      <c r="C1154" s="50" t="s">
        <v>1688</v>
      </c>
      <c r="D1154" s="50" t="s">
        <v>1852</v>
      </c>
      <c r="E1154" s="50" t="s">
        <v>1939</v>
      </c>
      <c r="F1154" s="90">
        <v>50</v>
      </c>
      <c r="G1154" s="90">
        <v>30</v>
      </c>
      <c r="H1154" s="90">
        <v>10</v>
      </c>
      <c r="I1154" s="90">
        <v>30</v>
      </c>
      <c r="J1154" s="90">
        <v>40</v>
      </c>
      <c r="K1154" s="90">
        <v>60</v>
      </c>
      <c r="L1154" s="90">
        <v>65</v>
      </c>
      <c r="M1154" s="95">
        <v>1</v>
      </c>
      <c r="N1154" s="90">
        <v>3</v>
      </c>
    </row>
    <row r="1155" spans="1:14" ht="16.5">
      <c r="A1155" s="90">
        <v>1152</v>
      </c>
      <c r="B1155" s="91">
        <v>201</v>
      </c>
      <c r="C1155" s="90" t="s">
        <v>66</v>
      </c>
      <c r="D1155" s="50" t="s">
        <v>1852</v>
      </c>
      <c r="E1155" s="50" t="s">
        <v>1939</v>
      </c>
      <c r="F1155" s="90" t="s">
        <v>1872</v>
      </c>
      <c r="G1155" s="90" t="s">
        <v>1682</v>
      </c>
      <c r="H1155" s="90" t="s">
        <v>1247</v>
      </c>
      <c r="I1155" s="90" t="s">
        <v>1879</v>
      </c>
      <c r="J1155" s="90" t="s">
        <v>1880</v>
      </c>
      <c r="K1155" s="90" t="s">
        <v>1875</v>
      </c>
      <c r="L1155" s="90" t="s">
        <v>1876</v>
      </c>
      <c r="M1155" s="95" t="s">
        <v>1679</v>
      </c>
      <c r="N1155" s="90" t="s">
        <v>1680</v>
      </c>
    </row>
    <row r="1156" spans="1:14" ht="16.5">
      <c r="A1156" s="90">
        <v>1153</v>
      </c>
      <c r="B1156" s="91">
        <v>206</v>
      </c>
      <c r="C1156" s="90" t="s">
        <v>293</v>
      </c>
      <c r="D1156" s="50" t="s">
        <v>1852</v>
      </c>
      <c r="E1156" s="50" t="s">
        <v>1939</v>
      </c>
      <c r="F1156" s="90" t="s">
        <v>1860</v>
      </c>
      <c r="G1156" s="90" t="s">
        <v>1682</v>
      </c>
      <c r="H1156" s="90" t="s">
        <v>1247</v>
      </c>
      <c r="I1156" s="90" t="s">
        <v>1861</v>
      </c>
      <c r="J1156" s="90" t="s">
        <v>1862</v>
      </c>
      <c r="K1156" s="90" t="s">
        <v>1863</v>
      </c>
      <c r="L1156" s="90" t="s">
        <v>1864</v>
      </c>
      <c r="M1156" s="95" t="s">
        <v>1679</v>
      </c>
      <c r="N1156" s="90" t="s">
        <v>1680</v>
      </c>
    </row>
    <row r="1157" spans="1:14" ht="16.5">
      <c r="A1157" s="90">
        <v>1154</v>
      </c>
      <c r="B1157" s="47">
        <v>209</v>
      </c>
      <c r="C1157" s="50" t="s">
        <v>344</v>
      </c>
      <c r="D1157" s="50" t="s">
        <v>1852</v>
      </c>
      <c r="E1157" s="50" t="s">
        <v>1939</v>
      </c>
      <c r="F1157" s="90" t="s">
        <v>1860</v>
      </c>
      <c r="G1157" s="90" t="s">
        <v>1682</v>
      </c>
      <c r="H1157" s="90" t="s">
        <v>1247</v>
      </c>
      <c r="I1157" s="90" t="s">
        <v>1861</v>
      </c>
      <c r="J1157" s="90" t="s">
        <v>1862</v>
      </c>
      <c r="K1157" s="90" t="s">
        <v>1863</v>
      </c>
      <c r="L1157" s="90" t="s">
        <v>1864</v>
      </c>
      <c r="M1157" s="95" t="s">
        <v>1679</v>
      </c>
      <c r="N1157" s="90" t="s">
        <v>1680</v>
      </c>
    </row>
    <row r="1158" spans="1:14" ht="16.5">
      <c r="A1158" s="90">
        <v>1155</v>
      </c>
      <c r="B1158" s="47">
        <v>230</v>
      </c>
      <c r="C1158" s="50" t="s">
        <v>539</v>
      </c>
      <c r="D1158" s="50" t="s">
        <v>1852</v>
      </c>
      <c r="E1158" s="50" t="s">
        <v>1939</v>
      </c>
      <c r="F1158" s="90" t="s">
        <v>1881</v>
      </c>
      <c r="G1158" s="90" t="s">
        <v>1682</v>
      </c>
      <c r="H1158" s="90" t="s">
        <v>1247</v>
      </c>
      <c r="I1158" s="90" t="s">
        <v>1683</v>
      </c>
      <c r="J1158" s="90" t="s">
        <v>1684</v>
      </c>
      <c r="K1158" s="90" t="s">
        <v>1882</v>
      </c>
      <c r="L1158" s="90" t="s">
        <v>1883</v>
      </c>
      <c r="M1158" s="95" t="s">
        <v>1679</v>
      </c>
      <c r="N1158" s="90" t="s">
        <v>1884</v>
      </c>
    </row>
    <row r="1159" spans="1:14" ht="16.5">
      <c r="A1159" s="90">
        <v>1156</v>
      </c>
      <c r="B1159" s="91">
        <v>232</v>
      </c>
      <c r="C1159" s="90" t="s">
        <v>319</v>
      </c>
      <c r="D1159" s="50" t="s">
        <v>1852</v>
      </c>
      <c r="E1159" s="50" t="s">
        <v>1939</v>
      </c>
      <c r="F1159" s="90" t="s">
        <v>1860</v>
      </c>
      <c r="G1159" s="90" t="s">
        <v>1682</v>
      </c>
      <c r="H1159" s="90" t="s">
        <v>1247</v>
      </c>
      <c r="I1159" s="90" t="s">
        <v>1861</v>
      </c>
      <c r="J1159" s="90" t="s">
        <v>1862</v>
      </c>
      <c r="K1159" s="90" t="s">
        <v>1863</v>
      </c>
      <c r="L1159" s="90" t="s">
        <v>1864</v>
      </c>
      <c r="M1159" s="95" t="s">
        <v>1679</v>
      </c>
      <c r="N1159" s="90" t="s">
        <v>1680</v>
      </c>
    </row>
    <row r="1160" spans="1:14" ht="16.5">
      <c r="A1160" s="90">
        <v>1157</v>
      </c>
      <c r="B1160" s="47">
        <v>233</v>
      </c>
      <c r="C1160" s="50" t="s">
        <v>593</v>
      </c>
      <c r="D1160" s="50" t="s">
        <v>1852</v>
      </c>
      <c r="E1160" s="50" t="s">
        <v>1939</v>
      </c>
      <c r="F1160" s="90">
        <v>50</v>
      </c>
      <c r="G1160" s="90">
        <v>30</v>
      </c>
      <c r="H1160" s="90">
        <v>10</v>
      </c>
      <c r="I1160" s="90">
        <v>30</v>
      </c>
      <c r="J1160" s="90">
        <v>40</v>
      </c>
      <c r="K1160" s="90">
        <v>60</v>
      </c>
      <c r="L1160" s="90">
        <v>65</v>
      </c>
      <c r="M1160" s="95">
        <v>1</v>
      </c>
      <c r="N1160" s="90">
        <v>3</v>
      </c>
    </row>
    <row r="1161" spans="1:14" ht="16.5">
      <c r="A1161" s="90">
        <v>1158</v>
      </c>
      <c r="B1161" s="47">
        <v>237</v>
      </c>
      <c r="C1161" s="50" t="s">
        <v>565</v>
      </c>
      <c r="D1161" s="50" t="s">
        <v>1852</v>
      </c>
      <c r="E1161" s="50" t="s">
        <v>1939</v>
      </c>
      <c r="F1161" s="90" t="s">
        <v>1885</v>
      </c>
      <c r="G1161" s="90" t="s">
        <v>1682</v>
      </c>
      <c r="H1161" s="90" t="s">
        <v>1247</v>
      </c>
      <c r="I1161" s="90" t="s">
        <v>1675</v>
      </c>
      <c r="J1161" s="90" t="s">
        <v>1676</v>
      </c>
      <c r="K1161" s="90" t="s">
        <v>1886</v>
      </c>
      <c r="L1161" s="90" t="s">
        <v>1887</v>
      </c>
      <c r="M1161" s="95" t="s">
        <v>1679</v>
      </c>
      <c r="N1161" s="90" t="s">
        <v>1680</v>
      </c>
    </row>
    <row r="1162" spans="1:14" ht="16.5">
      <c r="A1162" s="90">
        <v>1159</v>
      </c>
      <c r="B1162" s="47">
        <v>213</v>
      </c>
      <c r="C1162" s="50" t="s">
        <v>599</v>
      </c>
      <c r="D1162" s="50" t="s">
        <v>1852</v>
      </c>
      <c r="E1162" s="50" t="s">
        <v>1939</v>
      </c>
      <c r="F1162" s="90">
        <v>63</v>
      </c>
      <c r="G1162" s="90">
        <v>30</v>
      </c>
      <c r="H1162" s="90">
        <v>10</v>
      </c>
      <c r="I1162" s="90">
        <v>48</v>
      </c>
      <c r="J1162" s="90">
        <v>53</v>
      </c>
      <c r="K1162" s="90">
        <v>73</v>
      </c>
      <c r="L1162" s="90">
        <v>78</v>
      </c>
      <c r="M1162" s="95">
        <v>1</v>
      </c>
      <c r="N1162" s="90">
        <v>6</v>
      </c>
    </row>
    <row r="1163" spans="1:14" ht="16.5">
      <c r="A1163" s="90">
        <v>1160</v>
      </c>
      <c r="B1163" s="47">
        <v>224</v>
      </c>
      <c r="C1163" s="50" t="s">
        <v>369</v>
      </c>
      <c r="D1163" s="50" t="s">
        <v>1852</v>
      </c>
      <c r="E1163" s="50" t="s">
        <v>1939</v>
      </c>
      <c r="F1163" s="90" t="s">
        <v>1860</v>
      </c>
      <c r="G1163" s="90" t="s">
        <v>1682</v>
      </c>
      <c r="H1163" s="90" t="s">
        <v>1247</v>
      </c>
      <c r="I1163" s="90" t="s">
        <v>1861</v>
      </c>
      <c r="J1163" s="90" t="s">
        <v>1862</v>
      </c>
      <c r="K1163" s="90" t="s">
        <v>1863</v>
      </c>
      <c r="L1163" s="90" t="s">
        <v>1864</v>
      </c>
      <c r="M1163" s="95" t="s">
        <v>1679</v>
      </c>
      <c r="N1163" s="90" t="s">
        <v>1680</v>
      </c>
    </row>
    <row r="1164" spans="1:14" ht="16.5">
      <c r="A1164" s="90">
        <v>1161</v>
      </c>
      <c r="B1164" s="47">
        <v>229</v>
      </c>
      <c r="C1164" s="50" t="s">
        <v>515</v>
      </c>
      <c r="D1164" s="50" t="s">
        <v>1852</v>
      </c>
      <c r="E1164" s="50" t="s">
        <v>1939</v>
      </c>
      <c r="F1164" s="90" t="s">
        <v>1872</v>
      </c>
      <c r="G1164" s="90" t="s">
        <v>1682</v>
      </c>
      <c r="H1164" s="90" t="s">
        <v>1247</v>
      </c>
      <c r="I1164" s="90" t="s">
        <v>1879</v>
      </c>
      <c r="J1164" s="90" t="s">
        <v>1880</v>
      </c>
      <c r="K1164" s="90" t="s">
        <v>1875</v>
      </c>
      <c r="L1164" s="90" t="s">
        <v>1876</v>
      </c>
      <c r="M1164" s="95" t="s">
        <v>1679</v>
      </c>
      <c r="N1164" s="90" t="s">
        <v>1680</v>
      </c>
    </row>
    <row r="1165" spans="1:14" ht="16.5">
      <c r="A1165" s="90">
        <v>1162</v>
      </c>
      <c r="B1165" s="47">
        <v>231</v>
      </c>
      <c r="C1165" s="94" t="s">
        <v>591</v>
      </c>
      <c r="D1165" s="50" t="s">
        <v>1852</v>
      </c>
      <c r="E1165" s="50" t="s">
        <v>1939</v>
      </c>
      <c r="F1165" s="90" t="s">
        <v>1872</v>
      </c>
      <c r="G1165" s="90" t="s">
        <v>1862</v>
      </c>
      <c r="H1165" s="90" t="s">
        <v>1888</v>
      </c>
      <c r="I1165" s="90" t="s">
        <v>1862</v>
      </c>
      <c r="J1165" s="90" t="s">
        <v>1889</v>
      </c>
      <c r="K1165" s="90" t="s">
        <v>1890</v>
      </c>
      <c r="L1165" s="90" t="s">
        <v>1868</v>
      </c>
      <c r="M1165" s="95" t="s">
        <v>1679</v>
      </c>
      <c r="N1165" s="90" t="s">
        <v>1891</v>
      </c>
    </row>
    <row r="1166" spans="1:14" ht="16.5">
      <c r="A1166" s="90">
        <v>1163</v>
      </c>
      <c r="B1166" s="47">
        <v>211</v>
      </c>
      <c r="C1166" s="50" t="s">
        <v>605</v>
      </c>
      <c r="D1166" s="50" t="s">
        <v>1852</v>
      </c>
      <c r="E1166" s="50" t="s">
        <v>1939</v>
      </c>
      <c r="F1166" s="90">
        <v>50</v>
      </c>
      <c r="G1166" s="90">
        <v>30</v>
      </c>
      <c r="H1166" s="90">
        <v>10</v>
      </c>
      <c r="I1166" s="90">
        <v>33</v>
      </c>
      <c r="J1166" s="90">
        <v>38</v>
      </c>
      <c r="K1166" s="90">
        <v>58</v>
      </c>
      <c r="L1166" s="90">
        <v>63</v>
      </c>
      <c r="M1166" s="95">
        <v>1</v>
      </c>
      <c r="N1166" s="90">
        <v>3</v>
      </c>
    </row>
    <row r="1167" spans="1:14" ht="16.5">
      <c r="A1167" s="90">
        <v>1164</v>
      </c>
      <c r="B1167" s="47">
        <v>212</v>
      </c>
      <c r="C1167" s="50" t="s">
        <v>394</v>
      </c>
      <c r="D1167" s="50" t="s">
        <v>1852</v>
      </c>
      <c r="E1167" s="50" t="s">
        <v>1939</v>
      </c>
      <c r="F1167" s="90" t="s">
        <v>1881</v>
      </c>
      <c r="G1167" s="90" t="s">
        <v>1862</v>
      </c>
      <c r="H1167" s="90" t="s">
        <v>1888</v>
      </c>
      <c r="I1167" s="90" t="s">
        <v>1892</v>
      </c>
      <c r="J1167" s="90" t="s">
        <v>1893</v>
      </c>
      <c r="K1167" s="90" t="s">
        <v>1894</v>
      </c>
      <c r="L1167" s="90" t="s">
        <v>1895</v>
      </c>
      <c r="M1167" s="95" t="s">
        <v>1679</v>
      </c>
      <c r="N1167" s="90" t="s">
        <v>1891</v>
      </c>
    </row>
    <row r="1168" spans="1:14" ht="16.5">
      <c r="A1168" s="90">
        <v>1165</v>
      </c>
      <c r="B1168" s="47">
        <v>300</v>
      </c>
      <c r="C1168" s="50" t="s">
        <v>1896</v>
      </c>
      <c r="D1168" s="50" t="s">
        <v>1852</v>
      </c>
      <c r="E1168" s="50" t="s">
        <v>1939</v>
      </c>
      <c r="F1168" s="90">
        <v>38</v>
      </c>
      <c r="G1168" s="90">
        <v>30</v>
      </c>
      <c r="H1168" s="90">
        <v>10</v>
      </c>
      <c r="I1168" s="90">
        <v>27</v>
      </c>
      <c r="J1168" s="90">
        <v>32</v>
      </c>
      <c r="K1168" s="90">
        <v>52</v>
      </c>
      <c r="L1168" s="90">
        <v>57</v>
      </c>
      <c r="M1168" s="95">
        <v>1</v>
      </c>
      <c r="N1168" s="90">
        <v>6</v>
      </c>
    </row>
    <row r="1169" spans="1:14" ht="16.5">
      <c r="A1169" s="90">
        <v>1166</v>
      </c>
      <c r="B1169" s="47">
        <v>228</v>
      </c>
      <c r="C1169" s="50" t="s">
        <v>948</v>
      </c>
      <c r="D1169" s="50" t="s">
        <v>1852</v>
      </c>
      <c r="E1169" s="50" t="s">
        <v>1939</v>
      </c>
      <c r="F1169" s="90" t="s">
        <v>1872</v>
      </c>
      <c r="G1169" s="90" t="s">
        <v>1682</v>
      </c>
      <c r="H1169" s="90" t="s">
        <v>1247</v>
      </c>
      <c r="I1169" s="90" t="s">
        <v>1873</v>
      </c>
      <c r="J1169" s="90" t="s">
        <v>1874</v>
      </c>
      <c r="K1169" s="90" t="s">
        <v>1875</v>
      </c>
      <c r="L1169" s="90" t="s">
        <v>1876</v>
      </c>
      <c r="M1169" s="95" t="s">
        <v>1679</v>
      </c>
      <c r="N1169" s="90" t="s">
        <v>1877</v>
      </c>
    </row>
    <row r="1170" spans="1:14" ht="16.5">
      <c r="A1170" s="90">
        <v>1167</v>
      </c>
      <c r="B1170" s="47">
        <v>202</v>
      </c>
      <c r="C1170" s="50" t="s">
        <v>154</v>
      </c>
      <c r="D1170" s="50" t="s">
        <v>1897</v>
      </c>
      <c r="E1170" s="50" t="s">
        <v>1939</v>
      </c>
      <c r="F1170" s="90" t="s">
        <v>1854</v>
      </c>
      <c r="G1170" s="90" t="s">
        <v>1674</v>
      </c>
      <c r="H1170" s="90" t="s">
        <v>1247</v>
      </c>
      <c r="I1170" s="90" t="s">
        <v>1855</v>
      </c>
      <c r="J1170" s="90" t="s">
        <v>1856</v>
      </c>
      <c r="K1170" s="90" t="s">
        <v>1857</v>
      </c>
      <c r="L1170" s="90" t="s">
        <v>1858</v>
      </c>
      <c r="M1170" s="95" t="s">
        <v>1679</v>
      </c>
      <c r="N1170" s="90" t="s">
        <v>1859</v>
      </c>
    </row>
    <row r="1171" spans="1:14" ht="16.5">
      <c r="A1171" s="90">
        <v>1168</v>
      </c>
      <c r="B1171" s="91">
        <v>203</v>
      </c>
      <c r="C1171" s="90" t="s">
        <v>202</v>
      </c>
      <c r="D1171" s="50" t="s">
        <v>1897</v>
      </c>
      <c r="E1171" s="50" t="s">
        <v>1939</v>
      </c>
      <c r="F1171" s="90" t="s">
        <v>1860</v>
      </c>
      <c r="G1171" s="90" t="s">
        <v>1682</v>
      </c>
      <c r="H1171" s="90" t="s">
        <v>1247</v>
      </c>
      <c r="I1171" s="90" t="s">
        <v>1861</v>
      </c>
      <c r="J1171" s="90" t="s">
        <v>1862</v>
      </c>
      <c r="K1171" s="90" t="s">
        <v>1863</v>
      </c>
      <c r="L1171" s="90" t="s">
        <v>1864</v>
      </c>
      <c r="M1171" s="95" t="s">
        <v>1679</v>
      </c>
      <c r="N1171" s="90" t="s">
        <v>1870</v>
      </c>
    </row>
    <row r="1172" spans="1:14" ht="16.5">
      <c r="A1172" s="90">
        <v>1169</v>
      </c>
      <c r="B1172" s="47">
        <v>204</v>
      </c>
      <c r="C1172" s="50" t="s">
        <v>226</v>
      </c>
      <c r="D1172" s="50" t="s">
        <v>1897</v>
      </c>
      <c r="E1172" s="50" t="s">
        <v>1939</v>
      </c>
      <c r="F1172" s="90" t="s">
        <v>1854</v>
      </c>
      <c r="G1172" s="90" t="s">
        <v>1674</v>
      </c>
      <c r="H1172" s="90" t="s">
        <v>1247</v>
      </c>
      <c r="I1172" s="90" t="s">
        <v>1855</v>
      </c>
      <c r="J1172" s="90" t="s">
        <v>1856</v>
      </c>
      <c r="K1172" s="90" t="s">
        <v>1857</v>
      </c>
      <c r="L1172" s="90" t="s">
        <v>1858</v>
      </c>
      <c r="M1172" s="95" t="s">
        <v>1679</v>
      </c>
      <c r="N1172" s="90" t="s">
        <v>1680</v>
      </c>
    </row>
    <row r="1173" spans="1:14" ht="16.5">
      <c r="A1173" s="90">
        <v>1170</v>
      </c>
      <c r="B1173" s="47">
        <v>205</v>
      </c>
      <c r="C1173" s="50" t="s">
        <v>249</v>
      </c>
      <c r="D1173" s="50" t="s">
        <v>1897</v>
      </c>
      <c r="E1173" s="50" t="s">
        <v>1939</v>
      </c>
      <c r="F1173" s="90" t="s">
        <v>1854</v>
      </c>
      <c r="G1173" s="90" t="s">
        <v>1674</v>
      </c>
      <c r="H1173" s="90" t="s">
        <v>1247</v>
      </c>
      <c r="I1173" s="90" t="s">
        <v>1855</v>
      </c>
      <c r="J1173" s="90" t="s">
        <v>1856</v>
      </c>
      <c r="K1173" s="90" t="s">
        <v>1857</v>
      </c>
      <c r="L1173" s="90" t="s">
        <v>1858</v>
      </c>
      <c r="M1173" s="95" t="s">
        <v>1679</v>
      </c>
      <c r="N1173" s="90" t="s">
        <v>1859</v>
      </c>
    </row>
    <row r="1174" spans="1:14" ht="16.5">
      <c r="A1174" s="90">
        <v>1171</v>
      </c>
      <c r="B1174" s="47">
        <v>207</v>
      </c>
      <c r="C1174" s="50" t="s">
        <v>595</v>
      </c>
      <c r="D1174" s="50" t="s">
        <v>1897</v>
      </c>
      <c r="E1174" s="50" t="s">
        <v>1939</v>
      </c>
      <c r="F1174" s="90">
        <v>50</v>
      </c>
      <c r="G1174" s="90">
        <v>30</v>
      </c>
      <c r="H1174" s="90">
        <v>10</v>
      </c>
      <c r="I1174" s="90">
        <v>30</v>
      </c>
      <c r="J1174" s="90">
        <v>40</v>
      </c>
      <c r="K1174" s="90">
        <v>60</v>
      </c>
      <c r="L1174" s="90">
        <v>65</v>
      </c>
      <c r="M1174" s="95">
        <v>1</v>
      </c>
      <c r="N1174" s="90">
        <v>3</v>
      </c>
    </row>
    <row r="1175" spans="1:14" ht="16.5">
      <c r="A1175" s="90">
        <v>1172</v>
      </c>
      <c r="B1175" s="47">
        <v>208</v>
      </c>
      <c r="C1175" s="50" t="s">
        <v>589</v>
      </c>
      <c r="D1175" s="50" t="s">
        <v>1897</v>
      </c>
      <c r="E1175" s="50" t="s">
        <v>1939</v>
      </c>
      <c r="F1175" s="97">
        <v>50</v>
      </c>
      <c r="G1175" s="97">
        <v>50</v>
      </c>
      <c r="H1175" s="97">
        <v>1</v>
      </c>
      <c r="I1175" s="97">
        <v>30</v>
      </c>
      <c r="J1175" s="97">
        <v>45</v>
      </c>
      <c r="K1175" s="97">
        <v>73</v>
      </c>
      <c r="L1175" s="97">
        <v>78</v>
      </c>
      <c r="M1175" s="98">
        <v>1</v>
      </c>
      <c r="N1175" s="97">
        <v>12</v>
      </c>
    </row>
    <row r="1176" spans="1:14" ht="16.5">
      <c r="A1176" s="90">
        <v>1173</v>
      </c>
      <c r="B1176" s="47">
        <v>215</v>
      </c>
      <c r="C1176" s="50" t="s">
        <v>418</v>
      </c>
      <c r="D1176" s="50" t="s">
        <v>1897</v>
      </c>
      <c r="E1176" s="50" t="s">
        <v>1939</v>
      </c>
      <c r="F1176" s="90" t="s">
        <v>1865</v>
      </c>
      <c r="G1176" s="90" t="s">
        <v>1682</v>
      </c>
      <c r="H1176" s="90" t="s">
        <v>1247</v>
      </c>
      <c r="I1176" s="90" t="s">
        <v>1866</v>
      </c>
      <c r="J1176" s="90" t="s">
        <v>1867</v>
      </c>
      <c r="K1176" s="90" t="s">
        <v>1868</v>
      </c>
      <c r="L1176" s="90" t="s">
        <v>1869</v>
      </c>
      <c r="M1176" s="95" t="s">
        <v>1679</v>
      </c>
      <c r="N1176" s="90" t="s">
        <v>1870</v>
      </c>
    </row>
    <row r="1177" spans="1:14" ht="16.5">
      <c r="A1177" s="90">
        <v>1174</v>
      </c>
      <c r="B1177" s="47">
        <v>222</v>
      </c>
      <c r="C1177" s="50" t="s">
        <v>442</v>
      </c>
      <c r="D1177" s="50" t="s">
        <v>1897</v>
      </c>
      <c r="E1177" s="50" t="s">
        <v>1939</v>
      </c>
      <c r="F1177" s="90" t="s">
        <v>1854</v>
      </c>
      <c r="G1177" s="90" t="s">
        <v>1871</v>
      </c>
      <c r="H1177" s="90" t="s">
        <v>1247</v>
      </c>
      <c r="I1177" s="90" t="s">
        <v>1855</v>
      </c>
      <c r="J1177" s="90" t="s">
        <v>1856</v>
      </c>
      <c r="K1177" s="90" t="s">
        <v>1857</v>
      </c>
      <c r="L1177" s="90" t="s">
        <v>1858</v>
      </c>
      <c r="M1177" s="95" t="s">
        <v>1679</v>
      </c>
      <c r="N1177" s="90" t="s">
        <v>1859</v>
      </c>
    </row>
    <row r="1178" spans="1:14" ht="16.5">
      <c r="A1178" s="90">
        <v>1175</v>
      </c>
      <c r="B1178" s="47">
        <v>223</v>
      </c>
      <c r="C1178" s="50" t="s">
        <v>918</v>
      </c>
      <c r="D1178" s="50" t="s">
        <v>1897</v>
      </c>
      <c r="E1178" s="50" t="s">
        <v>1939</v>
      </c>
      <c r="F1178" s="90">
        <v>28</v>
      </c>
      <c r="G1178" s="90">
        <v>30</v>
      </c>
      <c r="H1178" s="90">
        <v>10</v>
      </c>
      <c r="I1178" s="90">
        <v>17</v>
      </c>
      <c r="J1178" s="90">
        <v>22</v>
      </c>
      <c r="K1178" s="90">
        <v>33</v>
      </c>
      <c r="L1178" s="90">
        <v>38</v>
      </c>
      <c r="M1178" s="95">
        <v>1</v>
      </c>
      <c r="N1178" s="90">
        <v>2</v>
      </c>
    </row>
    <row r="1179" spans="1:14" ht="16.5">
      <c r="A1179" s="90">
        <v>1176</v>
      </c>
      <c r="B1179" s="47">
        <v>226</v>
      </c>
      <c r="C1179" s="92" t="s">
        <v>469</v>
      </c>
      <c r="D1179" s="50" t="s">
        <v>1897</v>
      </c>
      <c r="E1179" s="50" t="s">
        <v>1939</v>
      </c>
      <c r="F1179" s="90" t="s">
        <v>1872</v>
      </c>
      <c r="G1179" s="90" t="s">
        <v>1682</v>
      </c>
      <c r="H1179" s="90" t="s">
        <v>1247</v>
      </c>
      <c r="I1179" s="90" t="s">
        <v>1873</v>
      </c>
      <c r="J1179" s="90" t="s">
        <v>1874</v>
      </c>
      <c r="K1179" s="90" t="s">
        <v>1875</v>
      </c>
      <c r="L1179" s="90" t="s">
        <v>1876</v>
      </c>
      <c r="M1179" s="95" t="s">
        <v>1679</v>
      </c>
      <c r="N1179" s="90" t="s">
        <v>1877</v>
      </c>
    </row>
    <row r="1180" spans="1:14" ht="16.5">
      <c r="A1180" s="90">
        <v>1177</v>
      </c>
      <c r="B1180" s="91">
        <v>227</v>
      </c>
      <c r="C1180" s="93" t="s">
        <v>493</v>
      </c>
      <c r="D1180" s="50" t="s">
        <v>1897</v>
      </c>
      <c r="E1180" s="50" t="s">
        <v>1939</v>
      </c>
      <c r="F1180" s="90" t="s">
        <v>1872</v>
      </c>
      <c r="G1180" s="90" t="s">
        <v>1682</v>
      </c>
      <c r="H1180" s="90" t="s">
        <v>1247</v>
      </c>
      <c r="I1180" s="90" t="s">
        <v>1873</v>
      </c>
      <c r="J1180" s="90" t="s">
        <v>1874</v>
      </c>
      <c r="K1180" s="90" t="s">
        <v>1875</v>
      </c>
      <c r="L1180" s="90" t="s">
        <v>1876</v>
      </c>
      <c r="M1180" s="95" t="s">
        <v>1679</v>
      </c>
      <c r="N1180" s="90" t="s">
        <v>1870</v>
      </c>
    </row>
    <row r="1181" spans="1:14" ht="16.5">
      <c r="A1181" s="90">
        <v>1178</v>
      </c>
      <c r="B1181" s="47">
        <v>234</v>
      </c>
      <c r="C1181" s="50" t="s">
        <v>1878</v>
      </c>
      <c r="D1181" s="50" t="s">
        <v>1897</v>
      </c>
      <c r="E1181" s="50" t="s">
        <v>1939</v>
      </c>
      <c r="F1181" s="90" t="s">
        <v>1854</v>
      </c>
      <c r="G1181" s="90" t="s">
        <v>1674</v>
      </c>
      <c r="H1181" s="90" t="s">
        <v>1247</v>
      </c>
      <c r="I1181" s="90" t="s">
        <v>1855</v>
      </c>
      <c r="J1181" s="90" t="s">
        <v>1856</v>
      </c>
      <c r="K1181" s="90" t="s">
        <v>1857</v>
      </c>
      <c r="L1181" s="90" t="s">
        <v>1858</v>
      </c>
      <c r="M1181" s="95" t="s">
        <v>1679</v>
      </c>
      <c r="N1181" s="90" t="s">
        <v>1859</v>
      </c>
    </row>
    <row r="1182" spans="1:14" ht="16.5">
      <c r="A1182" s="90">
        <v>1179</v>
      </c>
      <c r="B1182" s="47">
        <v>235</v>
      </c>
      <c r="C1182" s="50" t="s">
        <v>601</v>
      </c>
      <c r="D1182" s="50" t="s">
        <v>1897</v>
      </c>
      <c r="E1182" s="50" t="s">
        <v>1939</v>
      </c>
      <c r="F1182" s="90">
        <v>50</v>
      </c>
      <c r="G1182" s="90">
        <v>30</v>
      </c>
      <c r="H1182" s="90">
        <v>10</v>
      </c>
      <c r="I1182" s="90">
        <v>30</v>
      </c>
      <c r="J1182" s="90">
        <v>40</v>
      </c>
      <c r="K1182" s="90">
        <v>60</v>
      </c>
      <c r="L1182" s="90">
        <v>65</v>
      </c>
      <c r="M1182" s="95">
        <v>1</v>
      </c>
      <c r="N1182" s="90">
        <v>3</v>
      </c>
    </row>
    <row r="1183" spans="1:14" ht="16.5">
      <c r="A1183" s="90">
        <v>1180</v>
      </c>
      <c r="B1183" s="47">
        <v>236</v>
      </c>
      <c r="C1183" s="50" t="s">
        <v>1688</v>
      </c>
      <c r="D1183" s="50" t="s">
        <v>1897</v>
      </c>
      <c r="E1183" s="50" t="s">
        <v>1939</v>
      </c>
      <c r="F1183" s="90">
        <v>50</v>
      </c>
      <c r="G1183" s="90">
        <v>30</v>
      </c>
      <c r="H1183" s="90">
        <v>10</v>
      </c>
      <c r="I1183" s="90">
        <v>30</v>
      </c>
      <c r="J1183" s="90">
        <v>40</v>
      </c>
      <c r="K1183" s="90">
        <v>60</v>
      </c>
      <c r="L1183" s="90">
        <v>65</v>
      </c>
      <c r="M1183" s="95">
        <v>1</v>
      </c>
      <c r="N1183" s="90">
        <v>3</v>
      </c>
    </row>
    <row r="1184" spans="1:14" ht="16.5">
      <c r="A1184" s="90">
        <v>1181</v>
      </c>
      <c r="B1184" s="91">
        <v>201</v>
      </c>
      <c r="C1184" s="90" t="s">
        <v>66</v>
      </c>
      <c r="D1184" s="50" t="s">
        <v>1897</v>
      </c>
      <c r="E1184" s="50" t="s">
        <v>1939</v>
      </c>
      <c r="F1184" s="90" t="s">
        <v>1872</v>
      </c>
      <c r="G1184" s="90" t="s">
        <v>1682</v>
      </c>
      <c r="H1184" s="90" t="s">
        <v>1247</v>
      </c>
      <c r="I1184" s="90" t="s">
        <v>1879</v>
      </c>
      <c r="J1184" s="90" t="s">
        <v>1880</v>
      </c>
      <c r="K1184" s="90" t="s">
        <v>1875</v>
      </c>
      <c r="L1184" s="90" t="s">
        <v>1876</v>
      </c>
      <c r="M1184" s="95" t="s">
        <v>1679</v>
      </c>
      <c r="N1184" s="90" t="s">
        <v>1680</v>
      </c>
    </row>
    <row r="1185" spans="1:14" ht="16.5">
      <c r="A1185" s="90">
        <v>1182</v>
      </c>
      <c r="B1185" s="91">
        <v>206</v>
      </c>
      <c r="C1185" s="90" t="s">
        <v>293</v>
      </c>
      <c r="D1185" s="50" t="s">
        <v>1897</v>
      </c>
      <c r="E1185" s="50" t="s">
        <v>1939</v>
      </c>
      <c r="F1185" s="90" t="s">
        <v>1860</v>
      </c>
      <c r="G1185" s="90" t="s">
        <v>1682</v>
      </c>
      <c r="H1185" s="90" t="s">
        <v>1247</v>
      </c>
      <c r="I1185" s="90" t="s">
        <v>1861</v>
      </c>
      <c r="J1185" s="90" t="s">
        <v>1862</v>
      </c>
      <c r="K1185" s="90" t="s">
        <v>1863</v>
      </c>
      <c r="L1185" s="90" t="s">
        <v>1864</v>
      </c>
      <c r="M1185" s="95" t="s">
        <v>1679</v>
      </c>
      <c r="N1185" s="90" t="s">
        <v>1680</v>
      </c>
    </row>
    <row r="1186" spans="1:14" ht="16.5">
      <c r="A1186" s="90">
        <v>1183</v>
      </c>
      <c r="B1186" s="47">
        <v>209</v>
      </c>
      <c r="C1186" s="50" t="s">
        <v>344</v>
      </c>
      <c r="D1186" s="50" t="s">
        <v>1897</v>
      </c>
      <c r="E1186" s="50" t="s">
        <v>1939</v>
      </c>
      <c r="F1186" s="90" t="s">
        <v>1860</v>
      </c>
      <c r="G1186" s="90" t="s">
        <v>1682</v>
      </c>
      <c r="H1186" s="90" t="s">
        <v>1247</v>
      </c>
      <c r="I1186" s="90" t="s">
        <v>1861</v>
      </c>
      <c r="J1186" s="90" t="s">
        <v>1862</v>
      </c>
      <c r="K1186" s="90" t="s">
        <v>1863</v>
      </c>
      <c r="L1186" s="90" t="s">
        <v>1864</v>
      </c>
      <c r="M1186" s="95" t="s">
        <v>1679</v>
      </c>
      <c r="N1186" s="90" t="s">
        <v>1680</v>
      </c>
    </row>
    <row r="1187" spans="1:14" ht="16.5">
      <c r="A1187" s="90">
        <v>1184</v>
      </c>
      <c r="B1187" s="47">
        <v>230</v>
      </c>
      <c r="C1187" s="50" t="s">
        <v>539</v>
      </c>
      <c r="D1187" s="50" t="s">
        <v>1897</v>
      </c>
      <c r="E1187" s="50" t="s">
        <v>1939</v>
      </c>
      <c r="F1187" s="90" t="s">
        <v>1881</v>
      </c>
      <c r="G1187" s="90" t="s">
        <v>1682</v>
      </c>
      <c r="H1187" s="90" t="s">
        <v>1247</v>
      </c>
      <c r="I1187" s="90" t="s">
        <v>1683</v>
      </c>
      <c r="J1187" s="90" t="s">
        <v>1684</v>
      </c>
      <c r="K1187" s="90" t="s">
        <v>1882</v>
      </c>
      <c r="L1187" s="90" t="s">
        <v>1883</v>
      </c>
      <c r="M1187" s="95" t="s">
        <v>1679</v>
      </c>
      <c r="N1187" s="90" t="s">
        <v>1884</v>
      </c>
    </row>
    <row r="1188" spans="1:14" ht="16.5">
      <c r="A1188" s="90">
        <v>1185</v>
      </c>
      <c r="B1188" s="91">
        <v>232</v>
      </c>
      <c r="C1188" s="90" t="s">
        <v>319</v>
      </c>
      <c r="D1188" s="50" t="s">
        <v>1897</v>
      </c>
      <c r="E1188" s="50" t="s">
        <v>1939</v>
      </c>
      <c r="F1188" s="90" t="s">
        <v>1860</v>
      </c>
      <c r="G1188" s="90" t="s">
        <v>1682</v>
      </c>
      <c r="H1188" s="90" t="s">
        <v>1247</v>
      </c>
      <c r="I1188" s="90" t="s">
        <v>1861</v>
      </c>
      <c r="J1188" s="90" t="s">
        <v>1862</v>
      </c>
      <c r="K1188" s="90" t="s">
        <v>1863</v>
      </c>
      <c r="L1188" s="90" t="s">
        <v>1864</v>
      </c>
      <c r="M1188" s="95" t="s">
        <v>1679</v>
      </c>
      <c r="N1188" s="90" t="s">
        <v>1680</v>
      </c>
    </row>
    <row r="1189" spans="1:14" ht="16.5">
      <c r="A1189" s="90">
        <v>1186</v>
      </c>
      <c r="B1189" s="47">
        <v>233</v>
      </c>
      <c r="C1189" s="50" t="s">
        <v>593</v>
      </c>
      <c r="D1189" s="50" t="s">
        <v>1897</v>
      </c>
      <c r="E1189" s="50" t="s">
        <v>1939</v>
      </c>
      <c r="F1189" s="90">
        <v>50</v>
      </c>
      <c r="G1189" s="90">
        <v>30</v>
      </c>
      <c r="H1189" s="90">
        <v>10</v>
      </c>
      <c r="I1189" s="90">
        <v>30</v>
      </c>
      <c r="J1189" s="90">
        <v>40</v>
      </c>
      <c r="K1189" s="90">
        <v>60</v>
      </c>
      <c r="L1189" s="90">
        <v>65</v>
      </c>
      <c r="M1189" s="95">
        <v>1</v>
      </c>
      <c r="N1189" s="90">
        <v>3</v>
      </c>
    </row>
    <row r="1190" spans="1:14" ht="16.5">
      <c r="A1190" s="90">
        <v>1187</v>
      </c>
      <c r="B1190" s="47">
        <v>237</v>
      </c>
      <c r="C1190" s="50" t="s">
        <v>565</v>
      </c>
      <c r="D1190" s="50" t="s">
        <v>1897</v>
      </c>
      <c r="E1190" s="50" t="s">
        <v>1939</v>
      </c>
      <c r="F1190" s="90" t="s">
        <v>1885</v>
      </c>
      <c r="G1190" s="90" t="s">
        <v>1682</v>
      </c>
      <c r="H1190" s="90" t="s">
        <v>1247</v>
      </c>
      <c r="I1190" s="90" t="s">
        <v>1675</v>
      </c>
      <c r="J1190" s="90" t="s">
        <v>1676</v>
      </c>
      <c r="K1190" s="90" t="s">
        <v>1886</v>
      </c>
      <c r="L1190" s="90" t="s">
        <v>1887</v>
      </c>
      <c r="M1190" s="95" t="s">
        <v>1679</v>
      </c>
      <c r="N1190" s="90" t="s">
        <v>1680</v>
      </c>
    </row>
    <row r="1191" spans="1:14" ht="16.5">
      <c r="A1191" s="90">
        <v>1188</v>
      </c>
      <c r="B1191" s="47">
        <v>213</v>
      </c>
      <c r="C1191" s="50" t="s">
        <v>599</v>
      </c>
      <c r="D1191" s="50" t="s">
        <v>1897</v>
      </c>
      <c r="E1191" s="50" t="s">
        <v>1939</v>
      </c>
      <c r="F1191" s="90">
        <v>63</v>
      </c>
      <c r="G1191" s="90">
        <v>30</v>
      </c>
      <c r="H1191" s="90">
        <v>10</v>
      </c>
      <c r="I1191" s="90">
        <v>48</v>
      </c>
      <c r="J1191" s="90">
        <v>53</v>
      </c>
      <c r="K1191" s="90">
        <v>73</v>
      </c>
      <c r="L1191" s="90">
        <v>78</v>
      </c>
      <c r="M1191" s="95">
        <v>1</v>
      </c>
      <c r="N1191" s="90">
        <v>6</v>
      </c>
    </row>
    <row r="1192" spans="1:14" ht="16.5">
      <c r="A1192" s="90">
        <v>1189</v>
      </c>
      <c r="B1192" s="47">
        <v>224</v>
      </c>
      <c r="C1192" s="50" t="s">
        <v>369</v>
      </c>
      <c r="D1192" s="50" t="s">
        <v>1897</v>
      </c>
      <c r="E1192" s="50" t="s">
        <v>1939</v>
      </c>
      <c r="F1192" s="90" t="s">
        <v>1860</v>
      </c>
      <c r="G1192" s="90" t="s">
        <v>1682</v>
      </c>
      <c r="H1192" s="90" t="s">
        <v>1247</v>
      </c>
      <c r="I1192" s="90" t="s">
        <v>1861</v>
      </c>
      <c r="J1192" s="90" t="s">
        <v>1862</v>
      </c>
      <c r="K1192" s="90" t="s">
        <v>1863</v>
      </c>
      <c r="L1192" s="90" t="s">
        <v>1864</v>
      </c>
      <c r="M1192" s="95" t="s">
        <v>1679</v>
      </c>
      <c r="N1192" s="90" t="s">
        <v>1680</v>
      </c>
    </row>
    <row r="1193" spans="1:14" ht="16.5">
      <c r="A1193" s="90">
        <v>1190</v>
      </c>
      <c r="B1193" s="47">
        <v>229</v>
      </c>
      <c r="C1193" s="50" t="s">
        <v>515</v>
      </c>
      <c r="D1193" s="50" t="s">
        <v>1897</v>
      </c>
      <c r="E1193" s="50" t="s">
        <v>1939</v>
      </c>
      <c r="F1193" s="90" t="s">
        <v>1872</v>
      </c>
      <c r="G1193" s="90" t="s">
        <v>1682</v>
      </c>
      <c r="H1193" s="90" t="s">
        <v>1247</v>
      </c>
      <c r="I1193" s="90" t="s">
        <v>1879</v>
      </c>
      <c r="J1193" s="90" t="s">
        <v>1880</v>
      </c>
      <c r="K1193" s="90" t="s">
        <v>1875</v>
      </c>
      <c r="L1193" s="90" t="s">
        <v>1876</v>
      </c>
      <c r="M1193" s="95" t="s">
        <v>1679</v>
      </c>
      <c r="N1193" s="90" t="s">
        <v>1680</v>
      </c>
    </row>
    <row r="1194" spans="1:14" ht="16.5">
      <c r="A1194" s="90">
        <v>1191</v>
      </c>
      <c r="B1194" s="47">
        <v>231</v>
      </c>
      <c r="C1194" s="94" t="s">
        <v>591</v>
      </c>
      <c r="D1194" s="50" t="s">
        <v>1897</v>
      </c>
      <c r="E1194" s="50" t="s">
        <v>1939</v>
      </c>
      <c r="F1194" s="90" t="s">
        <v>1872</v>
      </c>
      <c r="G1194" s="90" t="s">
        <v>1862</v>
      </c>
      <c r="H1194" s="90" t="s">
        <v>1888</v>
      </c>
      <c r="I1194" s="90" t="s">
        <v>1862</v>
      </c>
      <c r="J1194" s="90" t="s">
        <v>1889</v>
      </c>
      <c r="K1194" s="90" t="s">
        <v>1890</v>
      </c>
      <c r="L1194" s="90" t="s">
        <v>1868</v>
      </c>
      <c r="M1194" s="95" t="s">
        <v>1679</v>
      </c>
      <c r="N1194" s="90" t="s">
        <v>1891</v>
      </c>
    </row>
    <row r="1195" spans="1:14" ht="16.5">
      <c r="A1195" s="90">
        <v>1192</v>
      </c>
      <c r="B1195" s="47">
        <v>211</v>
      </c>
      <c r="C1195" s="50" t="s">
        <v>605</v>
      </c>
      <c r="D1195" s="50" t="s">
        <v>1897</v>
      </c>
      <c r="E1195" s="50" t="s">
        <v>1939</v>
      </c>
      <c r="F1195" s="90">
        <v>50</v>
      </c>
      <c r="G1195" s="90">
        <v>30</v>
      </c>
      <c r="H1195" s="90">
        <v>10</v>
      </c>
      <c r="I1195" s="90">
        <v>33</v>
      </c>
      <c r="J1195" s="90">
        <v>38</v>
      </c>
      <c r="K1195" s="90">
        <v>58</v>
      </c>
      <c r="L1195" s="90">
        <v>63</v>
      </c>
      <c r="M1195" s="95">
        <v>1</v>
      </c>
      <c r="N1195" s="90">
        <v>3</v>
      </c>
    </row>
    <row r="1196" spans="1:14" ht="16.5">
      <c r="A1196" s="90">
        <v>1193</v>
      </c>
      <c r="B1196" s="47">
        <v>212</v>
      </c>
      <c r="C1196" s="50" t="s">
        <v>394</v>
      </c>
      <c r="D1196" s="50" t="s">
        <v>1897</v>
      </c>
      <c r="E1196" s="50" t="s">
        <v>1939</v>
      </c>
      <c r="F1196" s="90" t="s">
        <v>1898</v>
      </c>
      <c r="G1196" s="90" t="s">
        <v>1862</v>
      </c>
      <c r="H1196" s="90" t="s">
        <v>1888</v>
      </c>
      <c r="I1196" s="90" t="s">
        <v>1899</v>
      </c>
      <c r="J1196" s="90" t="s">
        <v>1889</v>
      </c>
      <c r="K1196" s="90" t="s">
        <v>1900</v>
      </c>
      <c r="L1196" s="90" t="s">
        <v>1901</v>
      </c>
      <c r="M1196" s="95" t="s">
        <v>1679</v>
      </c>
      <c r="N1196" s="90" t="s">
        <v>1902</v>
      </c>
    </row>
    <row r="1197" spans="1:14" ht="16.5">
      <c r="A1197" s="90">
        <v>1194</v>
      </c>
      <c r="B1197" s="47">
        <v>300</v>
      </c>
      <c r="C1197" s="50" t="s">
        <v>1896</v>
      </c>
      <c r="D1197" s="50" t="s">
        <v>1897</v>
      </c>
      <c r="E1197" s="50" t="s">
        <v>1939</v>
      </c>
      <c r="F1197" s="90">
        <v>42</v>
      </c>
      <c r="G1197" s="90">
        <v>30</v>
      </c>
      <c r="H1197" s="90">
        <v>10</v>
      </c>
      <c r="I1197" s="90">
        <v>27</v>
      </c>
      <c r="J1197" s="90">
        <v>32</v>
      </c>
      <c r="K1197" s="90">
        <v>52</v>
      </c>
      <c r="L1197" s="90">
        <v>57</v>
      </c>
      <c r="M1197" s="95">
        <v>1</v>
      </c>
      <c r="N1197" s="90">
        <v>3</v>
      </c>
    </row>
    <row r="1198" spans="1:14" ht="16.5">
      <c r="A1198" s="90">
        <v>1195</v>
      </c>
      <c r="B1198" s="47">
        <v>228</v>
      </c>
      <c r="C1198" s="50" t="s">
        <v>948</v>
      </c>
      <c r="D1198" s="50" t="s">
        <v>1897</v>
      </c>
      <c r="E1198" s="50" t="s">
        <v>1939</v>
      </c>
      <c r="F1198" s="90" t="s">
        <v>1872</v>
      </c>
      <c r="G1198" s="90" t="s">
        <v>1682</v>
      </c>
      <c r="H1198" s="90" t="s">
        <v>1247</v>
      </c>
      <c r="I1198" s="90" t="s">
        <v>1873</v>
      </c>
      <c r="J1198" s="90" t="s">
        <v>1874</v>
      </c>
      <c r="K1198" s="90" t="s">
        <v>1875</v>
      </c>
      <c r="L1198" s="90" t="s">
        <v>1876</v>
      </c>
      <c r="M1198" s="95" t="s">
        <v>1679</v>
      </c>
      <c r="N1198" s="90" t="s">
        <v>1877</v>
      </c>
    </row>
    <row r="1199" spans="1:14" ht="16.5">
      <c r="A1199" s="90">
        <v>1196</v>
      </c>
      <c r="B1199" s="47">
        <v>202</v>
      </c>
      <c r="C1199" s="50" t="s">
        <v>154</v>
      </c>
      <c r="D1199" s="50" t="s">
        <v>1903</v>
      </c>
      <c r="E1199" s="50" t="s">
        <v>1939</v>
      </c>
      <c r="F1199" s="90" t="s">
        <v>1854</v>
      </c>
      <c r="G1199" s="90" t="s">
        <v>1674</v>
      </c>
      <c r="H1199" s="90" t="s">
        <v>1247</v>
      </c>
      <c r="I1199" s="90" t="s">
        <v>1855</v>
      </c>
      <c r="J1199" s="90" t="s">
        <v>1856</v>
      </c>
      <c r="K1199" s="90" t="s">
        <v>1857</v>
      </c>
      <c r="L1199" s="90" t="s">
        <v>1858</v>
      </c>
      <c r="M1199" s="95" t="s">
        <v>1679</v>
      </c>
      <c r="N1199" s="90" t="s">
        <v>1859</v>
      </c>
    </row>
    <row r="1200" spans="1:14" ht="16.5">
      <c r="A1200" s="90">
        <v>1197</v>
      </c>
      <c r="B1200" s="91">
        <v>203</v>
      </c>
      <c r="C1200" s="90" t="s">
        <v>202</v>
      </c>
      <c r="D1200" s="50" t="s">
        <v>1903</v>
      </c>
      <c r="E1200" s="50" t="s">
        <v>1939</v>
      </c>
      <c r="F1200" s="90" t="s">
        <v>1860</v>
      </c>
      <c r="G1200" s="90" t="s">
        <v>1682</v>
      </c>
      <c r="H1200" s="90" t="s">
        <v>1247</v>
      </c>
      <c r="I1200" s="90" t="s">
        <v>1861</v>
      </c>
      <c r="J1200" s="90" t="s">
        <v>1862</v>
      </c>
      <c r="K1200" s="90" t="s">
        <v>1863</v>
      </c>
      <c r="L1200" s="90" t="s">
        <v>1864</v>
      </c>
      <c r="M1200" s="95" t="s">
        <v>1679</v>
      </c>
      <c r="N1200" s="90" t="s">
        <v>1904</v>
      </c>
    </row>
    <row r="1201" spans="1:14" ht="16.5">
      <c r="A1201" s="90">
        <v>1198</v>
      </c>
      <c r="B1201" s="47">
        <v>204</v>
      </c>
      <c r="C1201" s="50" t="s">
        <v>226</v>
      </c>
      <c r="D1201" s="50" t="s">
        <v>1903</v>
      </c>
      <c r="E1201" s="50" t="s">
        <v>1939</v>
      </c>
      <c r="F1201" s="90" t="s">
        <v>1854</v>
      </c>
      <c r="G1201" s="90" t="s">
        <v>1674</v>
      </c>
      <c r="H1201" s="90" t="s">
        <v>1247</v>
      </c>
      <c r="I1201" s="90" t="s">
        <v>1855</v>
      </c>
      <c r="J1201" s="90" t="s">
        <v>1856</v>
      </c>
      <c r="K1201" s="90" t="s">
        <v>1857</v>
      </c>
      <c r="L1201" s="90" t="s">
        <v>1858</v>
      </c>
      <c r="M1201" s="95" t="s">
        <v>1679</v>
      </c>
      <c r="N1201" s="90" t="s">
        <v>1680</v>
      </c>
    </row>
    <row r="1202" spans="1:14" ht="16.5">
      <c r="A1202" s="90">
        <v>1199</v>
      </c>
      <c r="B1202" s="47">
        <v>205</v>
      </c>
      <c r="C1202" s="50" t="s">
        <v>249</v>
      </c>
      <c r="D1202" s="50" t="s">
        <v>1903</v>
      </c>
      <c r="E1202" s="50" t="s">
        <v>1939</v>
      </c>
      <c r="F1202" s="90" t="s">
        <v>1854</v>
      </c>
      <c r="G1202" s="90" t="s">
        <v>1674</v>
      </c>
      <c r="H1202" s="90" t="s">
        <v>1247</v>
      </c>
      <c r="I1202" s="90" t="s">
        <v>1855</v>
      </c>
      <c r="J1202" s="90" t="s">
        <v>1856</v>
      </c>
      <c r="K1202" s="90" t="s">
        <v>1857</v>
      </c>
      <c r="L1202" s="90" t="s">
        <v>1858</v>
      </c>
      <c r="M1202" s="95" t="s">
        <v>1679</v>
      </c>
      <c r="N1202" s="90" t="s">
        <v>1859</v>
      </c>
    </row>
    <row r="1203" spans="1:14" ht="16.5">
      <c r="A1203" s="90">
        <v>1200</v>
      </c>
      <c r="B1203" s="47">
        <v>207</v>
      </c>
      <c r="C1203" s="50" t="s">
        <v>595</v>
      </c>
      <c r="D1203" s="50" t="s">
        <v>1903</v>
      </c>
      <c r="E1203" s="50" t="s">
        <v>1939</v>
      </c>
      <c r="F1203" s="90">
        <v>50</v>
      </c>
      <c r="G1203" s="90">
        <v>30</v>
      </c>
      <c r="H1203" s="90">
        <v>10</v>
      </c>
      <c r="I1203" s="90">
        <v>30</v>
      </c>
      <c r="J1203" s="90">
        <v>40</v>
      </c>
      <c r="K1203" s="90">
        <v>60</v>
      </c>
      <c r="L1203" s="90">
        <v>65</v>
      </c>
      <c r="M1203" s="95">
        <v>1</v>
      </c>
      <c r="N1203" s="90">
        <v>3</v>
      </c>
    </row>
    <row r="1204" spans="1:14" ht="16.5">
      <c r="A1204" s="90">
        <v>1201</v>
      </c>
      <c r="B1204" s="96">
        <v>208</v>
      </c>
      <c r="C1204" s="97" t="s">
        <v>589</v>
      </c>
      <c r="D1204" s="97" t="s">
        <v>1903</v>
      </c>
      <c r="E1204" s="50" t="s">
        <v>1939</v>
      </c>
      <c r="F1204" s="97">
        <v>63</v>
      </c>
      <c r="G1204" s="97">
        <v>50</v>
      </c>
      <c r="H1204" s="97">
        <v>1</v>
      </c>
      <c r="I1204" s="97">
        <v>30</v>
      </c>
      <c r="J1204" s="97">
        <v>45</v>
      </c>
      <c r="K1204" s="97">
        <v>73</v>
      </c>
      <c r="L1204" s="97">
        <v>78</v>
      </c>
      <c r="M1204" s="98">
        <v>1</v>
      </c>
      <c r="N1204" s="97">
        <v>18</v>
      </c>
    </row>
    <row r="1205" spans="1:14" ht="16.5">
      <c r="A1205" s="90">
        <v>1202</v>
      </c>
      <c r="B1205" s="47">
        <v>215</v>
      </c>
      <c r="C1205" s="50" t="s">
        <v>418</v>
      </c>
      <c r="D1205" s="50" t="s">
        <v>1903</v>
      </c>
      <c r="E1205" s="50" t="s">
        <v>1939</v>
      </c>
      <c r="F1205" s="90" t="s">
        <v>1865</v>
      </c>
      <c r="G1205" s="90" t="s">
        <v>1682</v>
      </c>
      <c r="H1205" s="90" t="s">
        <v>1247</v>
      </c>
      <c r="I1205" s="90" t="s">
        <v>1866</v>
      </c>
      <c r="J1205" s="90" t="s">
        <v>1867</v>
      </c>
      <c r="K1205" s="90" t="s">
        <v>1868</v>
      </c>
      <c r="L1205" s="90" t="s">
        <v>1869</v>
      </c>
      <c r="M1205" s="95" t="s">
        <v>1679</v>
      </c>
      <c r="N1205" s="90" t="s">
        <v>1870</v>
      </c>
    </row>
    <row r="1206" spans="1:14" ht="16.5">
      <c r="A1206" s="90">
        <v>1203</v>
      </c>
      <c r="B1206" s="47">
        <v>222</v>
      </c>
      <c r="C1206" s="50" t="s">
        <v>442</v>
      </c>
      <c r="D1206" s="50" t="s">
        <v>1903</v>
      </c>
      <c r="E1206" s="50" t="s">
        <v>1939</v>
      </c>
      <c r="F1206" s="90" t="s">
        <v>1854</v>
      </c>
      <c r="G1206" s="90" t="s">
        <v>1871</v>
      </c>
      <c r="H1206" s="90" t="s">
        <v>1247</v>
      </c>
      <c r="I1206" s="90" t="s">
        <v>1855</v>
      </c>
      <c r="J1206" s="90" t="s">
        <v>1856</v>
      </c>
      <c r="K1206" s="90" t="s">
        <v>1857</v>
      </c>
      <c r="L1206" s="90" t="s">
        <v>1858</v>
      </c>
      <c r="M1206" s="95" t="s">
        <v>1679</v>
      </c>
      <c r="N1206" s="90" t="s">
        <v>1859</v>
      </c>
    </row>
    <row r="1207" spans="1:14" ht="16.5">
      <c r="A1207" s="90">
        <v>1204</v>
      </c>
      <c r="B1207" s="47">
        <v>223</v>
      </c>
      <c r="C1207" s="50" t="s">
        <v>918</v>
      </c>
      <c r="D1207" s="50" t="s">
        <v>1903</v>
      </c>
      <c r="E1207" s="50" t="s">
        <v>1939</v>
      </c>
      <c r="F1207" s="90">
        <v>28</v>
      </c>
      <c r="G1207" s="90">
        <v>30</v>
      </c>
      <c r="H1207" s="90">
        <v>10</v>
      </c>
      <c r="I1207" s="90">
        <v>17</v>
      </c>
      <c r="J1207" s="90">
        <v>22</v>
      </c>
      <c r="K1207" s="90">
        <v>33</v>
      </c>
      <c r="L1207" s="90">
        <v>38</v>
      </c>
      <c r="M1207" s="95">
        <v>1</v>
      </c>
      <c r="N1207" s="90">
        <v>2</v>
      </c>
    </row>
    <row r="1208" spans="1:14" ht="16.5">
      <c r="A1208" s="90">
        <v>1205</v>
      </c>
      <c r="B1208" s="47">
        <v>226</v>
      </c>
      <c r="C1208" s="92" t="s">
        <v>469</v>
      </c>
      <c r="D1208" s="50" t="s">
        <v>1903</v>
      </c>
      <c r="E1208" s="50" t="s">
        <v>1939</v>
      </c>
      <c r="F1208" s="90" t="s">
        <v>1872</v>
      </c>
      <c r="G1208" s="90" t="s">
        <v>1682</v>
      </c>
      <c r="H1208" s="90" t="s">
        <v>1247</v>
      </c>
      <c r="I1208" s="90" t="s">
        <v>1873</v>
      </c>
      <c r="J1208" s="90" t="s">
        <v>1874</v>
      </c>
      <c r="K1208" s="90" t="s">
        <v>1875</v>
      </c>
      <c r="L1208" s="90" t="s">
        <v>1876</v>
      </c>
      <c r="M1208" s="95" t="s">
        <v>1679</v>
      </c>
      <c r="N1208" s="90" t="s">
        <v>1877</v>
      </c>
    </row>
    <row r="1209" spans="1:14" ht="16.5">
      <c r="A1209" s="90">
        <v>1206</v>
      </c>
      <c r="B1209" s="91">
        <v>227</v>
      </c>
      <c r="C1209" s="93" t="s">
        <v>493</v>
      </c>
      <c r="D1209" s="50" t="s">
        <v>1903</v>
      </c>
      <c r="E1209" s="50" t="s">
        <v>1939</v>
      </c>
      <c r="F1209" s="90" t="s">
        <v>1872</v>
      </c>
      <c r="G1209" s="90" t="s">
        <v>1682</v>
      </c>
      <c r="H1209" s="90" t="s">
        <v>1247</v>
      </c>
      <c r="I1209" s="90" t="s">
        <v>1873</v>
      </c>
      <c r="J1209" s="90" t="s">
        <v>1874</v>
      </c>
      <c r="K1209" s="90" t="s">
        <v>1875</v>
      </c>
      <c r="L1209" s="90" t="s">
        <v>1876</v>
      </c>
      <c r="M1209" s="95" t="s">
        <v>1679</v>
      </c>
      <c r="N1209" s="90" t="s">
        <v>1870</v>
      </c>
    </row>
    <row r="1210" spans="1:14" ht="16.5">
      <c r="A1210" s="90">
        <v>1207</v>
      </c>
      <c r="B1210" s="47">
        <v>234</v>
      </c>
      <c r="C1210" s="50" t="s">
        <v>1878</v>
      </c>
      <c r="D1210" s="50" t="s">
        <v>1903</v>
      </c>
      <c r="E1210" s="50" t="s">
        <v>1939</v>
      </c>
      <c r="F1210" s="90" t="s">
        <v>1854</v>
      </c>
      <c r="G1210" s="90" t="s">
        <v>1674</v>
      </c>
      <c r="H1210" s="90" t="s">
        <v>1247</v>
      </c>
      <c r="I1210" s="90" t="s">
        <v>1855</v>
      </c>
      <c r="J1210" s="90" t="s">
        <v>1856</v>
      </c>
      <c r="K1210" s="90" t="s">
        <v>1857</v>
      </c>
      <c r="L1210" s="90" t="s">
        <v>1858</v>
      </c>
      <c r="M1210" s="95" t="s">
        <v>1679</v>
      </c>
      <c r="N1210" s="90" t="s">
        <v>1859</v>
      </c>
    </row>
    <row r="1211" spans="1:14" ht="16.5">
      <c r="A1211" s="90">
        <v>1208</v>
      </c>
      <c r="B1211" s="47">
        <v>235</v>
      </c>
      <c r="C1211" s="50" t="s">
        <v>601</v>
      </c>
      <c r="D1211" s="50" t="s">
        <v>1903</v>
      </c>
      <c r="E1211" s="50" t="s">
        <v>1939</v>
      </c>
      <c r="F1211" s="90">
        <v>50</v>
      </c>
      <c r="G1211" s="90">
        <v>30</v>
      </c>
      <c r="H1211" s="90">
        <v>10</v>
      </c>
      <c r="I1211" s="90">
        <v>30</v>
      </c>
      <c r="J1211" s="90">
        <v>40</v>
      </c>
      <c r="K1211" s="90">
        <v>60</v>
      </c>
      <c r="L1211" s="90">
        <v>65</v>
      </c>
      <c r="M1211" s="95">
        <v>1</v>
      </c>
      <c r="N1211" s="90">
        <v>3</v>
      </c>
    </row>
    <row r="1212" spans="1:14" ht="16.5">
      <c r="A1212" s="90">
        <v>1209</v>
      </c>
      <c r="B1212" s="47">
        <v>236</v>
      </c>
      <c r="C1212" s="50" t="s">
        <v>1688</v>
      </c>
      <c r="D1212" s="50" t="s">
        <v>1903</v>
      </c>
      <c r="E1212" s="50" t="s">
        <v>1939</v>
      </c>
      <c r="F1212" s="90">
        <v>50</v>
      </c>
      <c r="G1212" s="90">
        <v>30</v>
      </c>
      <c r="H1212" s="90">
        <v>10</v>
      </c>
      <c r="I1212" s="90">
        <v>30</v>
      </c>
      <c r="J1212" s="90">
        <v>40</v>
      </c>
      <c r="K1212" s="90">
        <v>60</v>
      </c>
      <c r="L1212" s="90">
        <v>65</v>
      </c>
      <c r="M1212" s="95">
        <v>1</v>
      </c>
      <c r="N1212" s="90">
        <v>3</v>
      </c>
    </row>
    <row r="1213" spans="1:14" ht="16.5">
      <c r="A1213" s="90">
        <v>1210</v>
      </c>
      <c r="B1213" s="91">
        <v>201</v>
      </c>
      <c r="C1213" s="90" t="s">
        <v>66</v>
      </c>
      <c r="D1213" s="50" t="s">
        <v>1903</v>
      </c>
      <c r="E1213" s="50" t="s">
        <v>1939</v>
      </c>
      <c r="F1213" s="90" t="s">
        <v>1872</v>
      </c>
      <c r="G1213" s="90" t="s">
        <v>1682</v>
      </c>
      <c r="H1213" s="90" t="s">
        <v>1247</v>
      </c>
      <c r="I1213" s="90" t="s">
        <v>1879</v>
      </c>
      <c r="J1213" s="90" t="s">
        <v>1880</v>
      </c>
      <c r="K1213" s="90" t="s">
        <v>1875</v>
      </c>
      <c r="L1213" s="90" t="s">
        <v>1876</v>
      </c>
      <c r="M1213" s="95" t="s">
        <v>1679</v>
      </c>
      <c r="N1213" s="90" t="s">
        <v>1680</v>
      </c>
    </row>
    <row r="1214" spans="1:14" ht="16.5">
      <c r="A1214" s="90">
        <v>1211</v>
      </c>
      <c r="B1214" s="91">
        <v>206</v>
      </c>
      <c r="C1214" s="90" t="s">
        <v>293</v>
      </c>
      <c r="D1214" s="50" t="s">
        <v>1903</v>
      </c>
      <c r="E1214" s="50" t="s">
        <v>1939</v>
      </c>
      <c r="F1214" s="90" t="s">
        <v>1860</v>
      </c>
      <c r="G1214" s="90" t="s">
        <v>1682</v>
      </c>
      <c r="H1214" s="90" t="s">
        <v>1247</v>
      </c>
      <c r="I1214" s="90" t="s">
        <v>1861</v>
      </c>
      <c r="J1214" s="90" t="s">
        <v>1862</v>
      </c>
      <c r="K1214" s="90" t="s">
        <v>1863</v>
      </c>
      <c r="L1214" s="90" t="s">
        <v>1864</v>
      </c>
      <c r="M1214" s="95" t="s">
        <v>1679</v>
      </c>
      <c r="N1214" s="90" t="s">
        <v>1680</v>
      </c>
    </row>
    <row r="1215" spans="1:14" ht="16.5">
      <c r="A1215" s="90">
        <v>1212</v>
      </c>
      <c r="B1215" s="47">
        <v>209</v>
      </c>
      <c r="C1215" s="50" t="s">
        <v>344</v>
      </c>
      <c r="D1215" s="50" t="s">
        <v>1903</v>
      </c>
      <c r="E1215" s="50" t="s">
        <v>1939</v>
      </c>
      <c r="F1215" s="90" t="s">
        <v>1860</v>
      </c>
      <c r="G1215" s="90" t="s">
        <v>1682</v>
      </c>
      <c r="H1215" s="90" t="s">
        <v>1247</v>
      </c>
      <c r="I1215" s="90" t="s">
        <v>1861</v>
      </c>
      <c r="J1215" s="90" t="s">
        <v>1862</v>
      </c>
      <c r="K1215" s="90" t="s">
        <v>1863</v>
      </c>
      <c r="L1215" s="90" t="s">
        <v>1864</v>
      </c>
      <c r="M1215" s="95" t="s">
        <v>1679</v>
      </c>
      <c r="N1215" s="90" t="s">
        <v>1680</v>
      </c>
    </row>
    <row r="1216" spans="1:14" ht="16.5">
      <c r="A1216" s="90">
        <v>1213</v>
      </c>
      <c r="B1216" s="47">
        <v>230</v>
      </c>
      <c r="C1216" s="50" t="s">
        <v>539</v>
      </c>
      <c r="D1216" s="50" t="s">
        <v>1903</v>
      </c>
      <c r="E1216" s="50" t="s">
        <v>1939</v>
      </c>
      <c r="F1216" s="90" t="s">
        <v>1881</v>
      </c>
      <c r="G1216" s="90" t="s">
        <v>1682</v>
      </c>
      <c r="H1216" s="90" t="s">
        <v>1247</v>
      </c>
      <c r="I1216" s="90" t="s">
        <v>1683</v>
      </c>
      <c r="J1216" s="90" t="s">
        <v>1684</v>
      </c>
      <c r="K1216" s="90" t="s">
        <v>1882</v>
      </c>
      <c r="L1216" s="90" t="s">
        <v>1883</v>
      </c>
      <c r="M1216" s="95" t="s">
        <v>1679</v>
      </c>
      <c r="N1216" s="90" t="s">
        <v>1884</v>
      </c>
    </row>
    <row r="1217" spans="1:14" ht="16.5">
      <c r="A1217" s="90">
        <v>1214</v>
      </c>
      <c r="B1217" s="91">
        <v>232</v>
      </c>
      <c r="C1217" s="90" t="s">
        <v>319</v>
      </c>
      <c r="D1217" s="50" t="s">
        <v>1903</v>
      </c>
      <c r="E1217" s="50" t="s">
        <v>1939</v>
      </c>
      <c r="F1217" s="90" t="s">
        <v>1860</v>
      </c>
      <c r="G1217" s="90" t="s">
        <v>1682</v>
      </c>
      <c r="H1217" s="90" t="s">
        <v>1247</v>
      </c>
      <c r="I1217" s="90" t="s">
        <v>1861</v>
      </c>
      <c r="J1217" s="90" t="s">
        <v>1862</v>
      </c>
      <c r="K1217" s="90" t="s">
        <v>1863</v>
      </c>
      <c r="L1217" s="90" t="s">
        <v>1864</v>
      </c>
      <c r="M1217" s="95" t="s">
        <v>1679</v>
      </c>
      <c r="N1217" s="90" t="s">
        <v>1680</v>
      </c>
    </row>
    <row r="1218" spans="1:14" ht="16.5">
      <c r="A1218" s="90">
        <v>1215</v>
      </c>
      <c r="B1218" s="47">
        <v>233</v>
      </c>
      <c r="C1218" s="50" t="s">
        <v>593</v>
      </c>
      <c r="D1218" s="50" t="s">
        <v>1903</v>
      </c>
      <c r="E1218" s="50" t="s">
        <v>1939</v>
      </c>
      <c r="F1218" s="90">
        <v>50</v>
      </c>
      <c r="G1218" s="90">
        <v>30</v>
      </c>
      <c r="H1218" s="90">
        <v>10</v>
      </c>
      <c r="I1218" s="90">
        <v>30</v>
      </c>
      <c r="J1218" s="90">
        <v>40</v>
      </c>
      <c r="K1218" s="90">
        <v>60</v>
      </c>
      <c r="L1218" s="90">
        <v>65</v>
      </c>
      <c r="M1218" s="95">
        <v>1</v>
      </c>
      <c r="N1218" s="90">
        <v>3</v>
      </c>
    </row>
    <row r="1219" spans="1:14" ht="16.5">
      <c r="A1219" s="90">
        <v>1216</v>
      </c>
      <c r="B1219" s="47">
        <v>237</v>
      </c>
      <c r="C1219" s="50" t="s">
        <v>565</v>
      </c>
      <c r="D1219" s="50" t="s">
        <v>1903</v>
      </c>
      <c r="E1219" s="50" t="s">
        <v>1939</v>
      </c>
      <c r="F1219" s="90" t="s">
        <v>1885</v>
      </c>
      <c r="G1219" s="90" t="s">
        <v>1682</v>
      </c>
      <c r="H1219" s="90" t="s">
        <v>1247</v>
      </c>
      <c r="I1219" s="90" t="s">
        <v>1675</v>
      </c>
      <c r="J1219" s="90" t="s">
        <v>1676</v>
      </c>
      <c r="K1219" s="90" t="s">
        <v>1886</v>
      </c>
      <c r="L1219" s="90" t="s">
        <v>1887</v>
      </c>
      <c r="M1219" s="95" t="s">
        <v>1679</v>
      </c>
      <c r="N1219" s="90" t="s">
        <v>1680</v>
      </c>
    </row>
    <row r="1220" spans="1:14" ht="16.5">
      <c r="A1220" s="90">
        <v>1217</v>
      </c>
      <c r="B1220" s="47">
        <v>213</v>
      </c>
      <c r="C1220" s="50" t="s">
        <v>599</v>
      </c>
      <c r="D1220" s="50" t="s">
        <v>1903</v>
      </c>
      <c r="E1220" s="50" t="s">
        <v>1939</v>
      </c>
      <c r="F1220" s="90">
        <v>63</v>
      </c>
      <c r="G1220" s="90">
        <v>30</v>
      </c>
      <c r="H1220" s="90">
        <v>10</v>
      </c>
      <c r="I1220" s="90">
        <v>48</v>
      </c>
      <c r="J1220" s="90">
        <v>53</v>
      </c>
      <c r="K1220" s="90">
        <v>73</v>
      </c>
      <c r="L1220" s="90">
        <v>78</v>
      </c>
      <c r="M1220" s="95">
        <v>1</v>
      </c>
      <c r="N1220" s="90">
        <v>6</v>
      </c>
    </row>
    <row r="1221" spans="1:14" ht="16.5">
      <c r="A1221" s="90">
        <v>1218</v>
      </c>
      <c r="B1221" s="47">
        <v>224</v>
      </c>
      <c r="C1221" s="50" t="s">
        <v>369</v>
      </c>
      <c r="D1221" s="50" t="s">
        <v>1903</v>
      </c>
      <c r="E1221" s="50" t="s">
        <v>1939</v>
      </c>
      <c r="F1221" s="90" t="s">
        <v>1860</v>
      </c>
      <c r="G1221" s="90" t="s">
        <v>1682</v>
      </c>
      <c r="H1221" s="90" t="s">
        <v>1247</v>
      </c>
      <c r="I1221" s="90" t="s">
        <v>1861</v>
      </c>
      <c r="J1221" s="90" t="s">
        <v>1862</v>
      </c>
      <c r="K1221" s="90" t="s">
        <v>1863</v>
      </c>
      <c r="L1221" s="90" t="s">
        <v>1864</v>
      </c>
      <c r="M1221" s="95" t="s">
        <v>1679</v>
      </c>
      <c r="N1221" s="90" t="s">
        <v>1680</v>
      </c>
    </row>
    <row r="1222" spans="1:14" ht="16.5">
      <c r="A1222" s="90">
        <v>1219</v>
      </c>
      <c r="B1222" s="47">
        <v>229</v>
      </c>
      <c r="C1222" s="50" t="s">
        <v>515</v>
      </c>
      <c r="D1222" s="50" t="s">
        <v>1903</v>
      </c>
      <c r="E1222" s="50" t="s">
        <v>1939</v>
      </c>
      <c r="F1222" s="90" t="s">
        <v>1872</v>
      </c>
      <c r="G1222" s="90" t="s">
        <v>1682</v>
      </c>
      <c r="H1222" s="90" t="s">
        <v>1247</v>
      </c>
      <c r="I1222" s="90" t="s">
        <v>1879</v>
      </c>
      <c r="J1222" s="90" t="s">
        <v>1880</v>
      </c>
      <c r="K1222" s="90" t="s">
        <v>1875</v>
      </c>
      <c r="L1222" s="90" t="s">
        <v>1876</v>
      </c>
      <c r="M1222" s="95" t="s">
        <v>1679</v>
      </c>
      <c r="N1222" s="90" t="s">
        <v>1680</v>
      </c>
    </row>
    <row r="1223" spans="1:14" ht="16.5">
      <c r="A1223" s="90">
        <v>1220</v>
      </c>
      <c r="B1223" s="47">
        <v>231</v>
      </c>
      <c r="C1223" s="94" t="s">
        <v>591</v>
      </c>
      <c r="D1223" s="50" t="s">
        <v>1903</v>
      </c>
      <c r="E1223" s="50" t="s">
        <v>1939</v>
      </c>
      <c r="F1223" s="90" t="s">
        <v>1872</v>
      </c>
      <c r="G1223" s="90" t="s">
        <v>1862</v>
      </c>
      <c r="H1223" s="90" t="s">
        <v>1888</v>
      </c>
      <c r="I1223" s="90" t="s">
        <v>1862</v>
      </c>
      <c r="J1223" s="90" t="s">
        <v>1889</v>
      </c>
      <c r="K1223" s="90" t="s">
        <v>1890</v>
      </c>
      <c r="L1223" s="90" t="s">
        <v>1868</v>
      </c>
      <c r="M1223" s="95" t="s">
        <v>1679</v>
      </c>
      <c r="N1223" s="90" t="s">
        <v>1891</v>
      </c>
    </row>
    <row r="1224" spans="1:14" ht="16.5">
      <c r="A1224" s="90">
        <v>1221</v>
      </c>
      <c r="B1224" s="47">
        <v>211</v>
      </c>
      <c r="C1224" s="50" t="s">
        <v>605</v>
      </c>
      <c r="D1224" s="50" t="s">
        <v>1903</v>
      </c>
      <c r="E1224" s="50" t="s">
        <v>1939</v>
      </c>
      <c r="F1224" s="90">
        <v>50</v>
      </c>
      <c r="G1224" s="90">
        <v>30</v>
      </c>
      <c r="H1224" s="90">
        <v>10</v>
      </c>
      <c r="I1224" s="90">
        <v>33</v>
      </c>
      <c r="J1224" s="90">
        <v>38</v>
      </c>
      <c r="K1224" s="90">
        <v>58</v>
      </c>
      <c r="L1224" s="90">
        <v>63</v>
      </c>
      <c r="M1224" s="95">
        <v>1</v>
      </c>
      <c r="N1224" s="90">
        <v>3</v>
      </c>
    </row>
    <row r="1225" spans="1:14" ht="16.5">
      <c r="A1225" s="90">
        <v>1222</v>
      </c>
      <c r="B1225" s="47">
        <v>212</v>
      </c>
      <c r="C1225" s="50" t="s">
        <v>394</v>
      </c>
      <c r="D1225" s="50" t="s">
        <v>1903</v>
      </c>
      <c r="E1225" s="50" t="s">
        <v>1939</v>
      </c>
      <c r="F1225" s="90" t="s">
        <v>1898</v>
      </c>
      <c r="G1225" s="90" t="s">
        <v>1862</v>
      </c>
      <c r="H1225" s="90" t="s">
        <v>1888</v>
      </c>
      <c r="I1225" s="90" t="s">
        <v>1899</v>
      </c>
      <c r="J1225" s="90" t="s">
        <v>1889</v>
      </c>
      <c r="K1225" s="90" t="s">
        <v>1900</v>
      </c>
      <c r="L1225" s="90" t="s">
        <v>1901</v>
      </c>
      <c r="M1225" s="95" t="s">
        <v>1679</v>
      </c>
      <c r="N1225" s="90" t="s">
        <v>1902</v>
      </c>
    </row>
    <row r="1226" spans="1:14" ht="16.5">
      <c r="A1226" s="90">
        <v>1223</v>
      </c>
      <c r="B1226" s="47">
        <v>300</v>
      </c>
      <c r="C1226" s="50" t="s">
        <v>1896</v>
      </c>
      <c r="D1226" s="50" t="s">
        <v>1903</v>
      </c>
      <c r="E1226" s="50" t="s">
        <v>1939</v>
      </c>
      <c r="F1226" s="90">
        <v>38</v>
      </c>
      <c r="G1226" s="90">
        <v>30</v>
      </c>
      <c r="H1226" s="90">
        <v>10</v>
      </c>
      <c r="I1226" s="90">
        <v>27</v>
      </c>
      <c r="J1226" s="90">
        <v>32</v>
      </c>
      <c r="K1226" s="90">
        <v>52</v>
      </c>
      <c r="L1226" s="90">
        <v>57</v>
      </c>
      <c r="M1226" s="95">
        <v>1</v>
      </c>
      <c r="N1226" s="90">
        <v>6</v>
      </c>
    </row>
    <row r="1227" spans="1:14" ht="16.5">
      <c r="A1227" s="90">
        <v>1224</v>
      </c>
      <c r="B1227" s="47">
        <v>228</v>
      </c>
      <c r="C1227" s="50" t="s">
        <v>948</v>
      </c>
      <c r="D1227" s="50" t="s">
        <v>1903</v>
      </c>
      <c r="E1227" s="50" t="s">
        <v>1939</v>
      </c>
      <c r="F1227" s="90" t="s">
        <v>1872</v>
      </c>
      <c r="G1227" s="90" t="s">
        <v>1682</v>
      </c>
      <c r="H1227" s="90" t="s">
        <v>1247</v>
      </c>
      <c r="I1227" s="90" t="s">
        <v>1873</v>
      </c>
      <c r="J1227" s="90" t="s">
        <v>1874</v>
      </c>
      <c r="K1227" s="90" t="s">
        <v>1875</v>
      </c>
      <c r="L1227" s="90" t="s">
        <v>1876</v>
      </c>
      <c r="M1227" s="95" t="s">
        <v>1679</v>
      </c>
      <c r="N1227" s="90" t="s">
        <v>1877</v>
      </c>
    </row>
    <row r="1228" spans="1:14" ht="16.5">
      <c r="A1228" s="90">
        <v>1225</v>
      </c>
      <c r="B1228" s="47">
        <v>202</v>
      </c>
      <c r="C1228" s="50" t="s">
        <v>154</v>
      </c>
      <c r="D1228" s="50" t="s">
        <v>1905</v>
      </c>
      <c r="E1228" s="50" t="s">
        <v>1939</v>
      </c>
      <c r="F1228" s="90" t="s">
        <v>1854</v>
      </c>
      <c r="G1228" s="90" t="s">
        <v>1674</v>
      </c>
      <c r="H1228" s="90" t="s">
        <v>1247</v>
      </c>
      <c r="I1228" s="90" t="s">
        <v>1855</v>
      </c>
      <c r="J1228" s="90" t="s">
        <v>1856</v>
      </c>
      <c r="K1228" s="90" t="s">
        <v>1857</v>
      </c>
      <c r="L1228" s="90" t="s">
        <v>1858</v>
      </c>
      <c r="M1228" s="95" t="s">
        <v>1679</v>
      </c>
      <c r="N1228" s="90" t="s">
        <v>1859</v>
      </c>
    </row>
    <row r="1229" spans="1:14" ht="16.5">
      <c r="A1229" s="90">
        <v>1226</v>
      </c>
      <c r="B1229" s="91">
        <v>203</v>
      </c>
      <c r="C1229" s="90" t="s">
        <v>202</v>
      </c>
      <c r="D1229" s="50" t="s">
        <v>1905</v>
      </c>
      <c r="E1229" s="50" t="s">
        <v>1939</v>
      </c>
      <c r="F1229" s="90" t="s">
        <v>1881</v>
      </c>
      <c r="G1229" s="90" t="s">
        <v>1682</v>
      </c>
      <c r="H1229" s="90" t="s">
        <v>1247</v>
      </c>
      <c r="I1229" s="90" t="s">
        <v>1683</v>
      </c>
      <c r="J1229" s="90" t="s">
        <v>1684</v>
      </c>
      <c r="K1229" s="90" t="s">
        <v>1882</v>
      </c>
      <c r="L1229" s="90" t="s">
        <v>1883</v>
      </c>
      <c r="M1229" s="95" t="s">
        <v>1679</v>
      </c>
      <c r="N1229" s="90" t="s">
        <v>1906</v>
      </c>
    </row>
    <row r="1230" spans="1:14" ht="16.5">
      <c r="A1230" s="90">
        <v>1227</v>
      </c>
      <c r="B1230" s="47">
        <v>204</v>
      </c>
      <c r="C1230" s="50" t="s">
        <v>226</v>
      </c>
      <c r="D1230" s="50" t="s">
        <v>1905</v>
      </c>
      <c r="E1230" s="50" t="s">
        <v>1939</v>
      </c>
      <c r="F1230" s="90" t="s">
        <v>1854</v>
      </c>
      <c r="G1230" s="90" t="s">
        <v>1674</v>
      </c>
      <c r="H1230" s="90" t="s">
        <v>1247</v>
      </c>
      <c r="I1230" s="90" t="s">
        <v>1855</v>
      </c>
      <c r="J1230" s="90" t="s">
        <v>1856</v>
      </c>
      <c r="K1230" s="90" t="s">
        <v>1857</v>
      </c>
      <c r="L1230" s="90" t="s">
        <v>1858</v>
      </c>
      <c r="M1230" s="95" t="s">
        <v>1679</v>
      </c>
      <c r="N1230" s="90" t="s">
        <v>1680</v>
      </c>
    </row>
    <row r="1231" spans="1:14" ht="16.5">
      <c r="A1231" s="90">
        <v>1228</v>
      </c>
      <c r="B1231" s="47">
        <v>205</v>
      </c>
      <c r="C1231" s="50" t="s">
        <v>249</v>
      </c>
      <c r="D1231" s="50" t="s">
        <v>1905</v>
      </c>
      <c r="E1231" s="50" t="s">
        <v>1939</v>
      </c>
      <c r="F1231" s="90" t="s">
        <v>1854</v>
      </c>
      <c r="G1231" s="90" t="s">
        <v>1674</v>
      </c>
      <c r="H1231" s="90" t="s">
        <v>1247</v>
      </c>
      <c r="I1231" s="90" t="s">
        <v>1855</v>
      </c>
      <c r="J1231" s="90" t="s">
        <v>1856</v>
      </c>
      <c r="K1231" s="90" t="s">
        <v>1857</v>
      </c>
      <c r="L1231" s="90" t="s">
        <v>1858</v>
      </c>
      <c r="M1231" s="95" t="s">
        <v>1679</v>
      </c>
      <c r="N1231" s="90" t="s">
        <v>1859</v>
      </c>
    </row>
    <row r="1232" spans="1:14" ht="16.5">
      <c r="A1232" s="90">
        <v>1229</v>
      </c>
      <c r="B1232" s="47">
        <v>207</v>
      </c>
      <c r="C1232" s="50" t="s">
        <v>595</v>
      </c>
      <c r="D1232" s="50" t="s">
        <v>1905</v>
      </c>
      <c r="E1232" s="50" t="s">
        <v>1939</v>
      </c>
      <c r="F1232" s="90">
        <v>50</v>
      </c>
      <c r="G1232" s="90">
        <v>30</v>
      </c>
      <c r="H1232" s="90">
        <v>10</v>
      </c>
      <c r="I1232" s="90">
        <v>30</v>
      </c>
      <c r="J1232" s="90">
        <v>40</v>
      </c>
      <c r="K1232" s="90">
        <v>60</v>
      </c>
      <c r="L1232" s="90">
        <v>65</v>
      </c>
      <c r="M1232" s="95">
        <v>1</v>
      </c>
      <c r="N1232" s="90">
        <v>3</v>
      </c>
    </row>
    <row r="1233" spans="1:14" ht="16.5">
      <c r="A1233" s="90">
        <v>1230</v>
      </c>
      <c r="B1233" s="96">
        <v>208</v>
      </c>
      <c r="C1233" s="97" t="s">
        <v>589</v>
      </c>
      <c r="D1233" s="97" t="s">
        <v>1905</v>
      </c>
      <c r="E1233" s="50" t="s">
        <v>1939</v>
      </c>
      <c r="F1233" s="97">
        <v>63</v>
      </c>
      <c r="G1233" s="97">
        <v>50</v>
      </c>
      <c r="H1233" s="97">
        <v>1</v>
      </c>
      <c r="I1233" s="97">
        <v>30</v>
      </c>
      <c r="J1233" s="97">
        <v>45</v>
      </c>
      <c r="K1233" s="97">
        <v>73</v>
      </c>
      <c r="L1233" s="97">
        <v>78</v>
      </c>
      <c r="M1233" s="98">
        <v>1</v>
      </c>
      <c r="N1233" s="97">
        <v>18</v>
      </c>
    </row>
    <row r="1234" spans="1:14" ht="16.5">
      <c r="A1234" s="90">
        <v>1231</v>
      </c>
      <c r="B1234" s="47">
        <v>215</v>
      </c>
      <c r="C1234" s="50" t="s">
        <v>418</v>
      </c>
      <c r="D1234" s="50" t="s">
        <v>1905</v>
      </c>
      <c r="E1234" s="50" t="s">
        <v>1939</v>
      </c>
      <c r="F1234" s="90" t="s">
        <v>1907</v>
      </c>
      <c r="G1234" s="90" t="s">
        <v>1682</v>
      </c>
      <c r="H1234" s="90" t="s">
        <v>1247</v>
      </c>
      <c r="I1234" s="90" t="s">
        <v>1908</v>
      </c>
      <c r="J1234" s="90" t="s">
        <v>1909</v>
      </c>
      <c r="K1234" s="90" t="s">
        <v>1910</v>
      </c>
      <c r="L1234" s="90" t="s">
        <v>1911</v>
      </c>
      <c r="M1234" s="95" t="s">
        <v>1679</v>
      </c>
      <c r="N1234" s="90" t="s">
        <v>1906</v>
      </c>
    </row>
    <row r="1235" spans="1:14" ht="16.5">
      <c r="A1235" s="90">
        <v>1232</v>
      </c>
      <c r="B1235" s="47">
        <v>222</v>
      </c>
      <c r="C1235" s="50" t="s">
        <v>442</v>
      </c>
      <c r="D1235" s="50" t="s">
        <v>1905</v>
      </c>
      <c r="E1235" s="50" t="s">
        <v>1939</v>
      </c>
      <c r="F1235" s="90" t="s">
        <v>1854</v>
      </c>
      <c r="G1235" s="90" t="s">
        <v>1871</v>
      </c>
      <c r="H1235" s="90" t="s">
        <v>1247</v>
      </c>
      <c r="I1235" s="90" t="s">
        <v>1855</v>
      </c>
      <c r="J1235" s="90" t="s">
        <v>1856</v>
      </c>
      <c r="K1235" s="90" t="s">
        <v>1857</v>
      </c>
      <c r="L1235" s="90" t="s">
        <v>1858</v>
      </c>
      <c r="M1235" s="95" t="s">
        <v>1679</v>
      </c>
      <c r="N1235" s="90" t="s">
        <v>1859</v>
      </c>
    </row>
    <row r="1236" spans="1:14" ht="16.5">
      <c r="A1236" s="90">
        <v>1233</v>
      </c>
      <c r="B1236" s="47">
        <v>223</v>
      </c>
      <c r="C1236" s="50" t="s">
        <v>918</v>
      </c>
      <c r="D1236" s="50" t="s">
        <v>1905</v>
      </c>
      <c r="E1236" s="50" t="s">
        <v>1939</v>
      </c>
      <c r="F1236" s="90">
        <v>28</v>
      </c>
      <c r="G1236" s="90">
        <v>30</v>
      </c>
      <c r="H1236" s="90">
        <v>10</v>
      </c>
      <c r="I1236" s="90">
        <v>17</v>
      </c>
      <c r="J1236" s="90">
        <v>22</v>
      </c>
      <c r="K1236" s="90">
        <v>33</v>
      </c>
      <c r="L1236" s="90">
        <v>38</v>
      </c>
      <c r="M1236" s="95">
        <v>1</v>
      </c>
      <c r="N1236" s="90">
        <v>2</v>
      </c>
    </row>
    <row r="1237" spans="1:14" ht="16.5">
      <c r="A1237" s="90">
        <v>1234</v>
      </c>
      <c r="B1237" s="47">
        <v>226</v>
      </c>
      <c r="C1237" s="92" t="s">
        <v>469</v>
      </c>
      <c r="D1237" s="50" t="s">
        <v>1905</v>
      </c>
      <c r="E1237" s="50" t="s">
        <v>1939</v>
      </c>
      <c r="F1237" s="90" t="s">
        <v>1912</v>
      </c>
      <c r="G1237" s="90" t="s">
        <v>1682</v>
      </c>
      <c r="H1237" s="90" t="s">
        <v>1247</v>
      </c>
      <c r="I1237" s="90" t="s">
        <v>1866</v>
      </c>
      <c r="J1237" s="90" t="s">
        <v>1913</v>
      </c>
      <c r="K1237" s="90" t="s">
        <v>1901</v>
      </c>
      <c r="L1237" s="90" t="s">
        <v>1914</v>
      </c>
      <c r="M1237" s="95" t="s">
        <v>1679</v>
      </c>
      <c r="N1237" s="90" t="s">
        <v>1915</v>
      </c>
    </row>
    <row r="1238" spans="1:14" ht="16.5">
      <c r="A1238" s="90">
        <v>1235</v>
      </c>
      <c r="B1238" s="91">
        <v>227</v>
      </c>
      <c r="C1238" s="93" t="s">
        <v>493</v>
      </c>
      <c r="D1238" s="50" t="s">
        <v>1905</v>
      </c>
      <c r="E1238" s="50" t="s">
        <v>1939</v>
      </c>
      <c r="F1238" s="90" t="s">
        <v>1872</v>
      </c>
      <c r="G1238" s="90" t="s">
        <v>1682</v>
      </c>
      <c r="H1238" s="90" t="s">
        <v>1247</v>
      </c>
      <c r="I1238" s="90" t="s">
        <v>1873</v>
      </c>
      <c r="J1238" s="90" t="s">
        <v>1874</v>
      </c>
      <c r="K1238" s="90" t="s">
        <v>1875</v>
      </c>
      <c r="L1238" s="90" t="s">
        <v>1876</v>
      </c>
      <c r="M1238" s="95" t="s">
        <v>1679</v>
      </c>
      <c r="N1238" s="90" t="s">
        <v>1870</v>
      </c>
    </row>
    <row r="1239" spans="1:14" ht="16.5">
      <c r="A1239" s="90">
        <v>1236</v>
      </c>
      <c r="B1239" s="47">
        <v>234</v>
      </c>
      <c r="C1239" s="50" t="s">
        <v>1878</v>
      </c>
      <c r="D1239" s="50" t="s">
        <v>1905</v>
      </c>
      <c r="E1239" s="50" t="s">
        <v>1939</v>
      </c>
      <c r="F1239" s="90" t="s">
        <v>1854</v>
      </c>
      <c r="G1239" s="90" t="s">
        <v>1674</v>
      </c>
      <c r="H1239" s="90" t="s">
        <v>1247</v>
      </c>
      <c r="I1239" s="90" t="s">
        <v>1855</v>
      </c>
      <c r="J1239" s="90" t="s">
        <v>1856</v>
      </c>
      <c r="K1239" s="90" t="s">
        <v>1857</v>
      </c>
      <c r="L1239" s="90" t="s">
        <v>1858</v>
      </c>
      <c r="M1239" s="95" t="s">
        <v>1679</v>
      </c>
      <c r="N1239" s="90" t="s">
        <v>1859</v>
      </c>
    </row>
    <row r="1240" spans="1:14" ht="16.5">
      <c r="A1240" s="90">
        <v>1237</v>
      </c>
      <c r="B1240" s="47">
        <v>235</v>
      </c>
      <c r="C1240" s="50" t="s">
        <v>601</v>
      </c>
      <c r="D1240" s="50" t="s">
        <v>1905</v>
      </c>
      <c r="E1240" s="50" t="s">
        <v>1939</v>
      </c>
      <c r="F1240" s="90">
        <v>50</v>
      </c>
      <c r="G1240" s="90">
        <v>30</v>
      </c>
      <c r="H1240" s="90">
        <v>10</v>
      </c>
      <c r="I1240" s="90">
        <v>30</v>
      </c>
      <c r="J1240" s="90">
        <v>40</v>
      </c>
      <c r="K1240" s="90">
        <v>60</v>
      </c>
      <c r="L1240" s="90">
        <v>65</v>
      </c>
      <c r="M1240" s="95">
        <v>1</v>
      </c>
      <c r="N1240" s="90">
        <v>3</v>
      </c>
    </row>
    <row r="1241" spans="1:14" ht="16.5">
      <c r="A1241" s="90">
        <v>1238</v>
      </c>
      <c r="B1241" s="47">
        <v>236</v>
      </c>
      <c r="C1241" s="50" t="s">
        <v>1688</v>
      </c>
      <c r="D1241" s="50" t="s">
        <v>1905</v>
      </c>
      <c r="E1241" s="50" t="s">
        <v>1939</v>
      </c>
      <c r="F1241" s="90">
        <v>50</v>
      </c>
      <c r="G1241" s="90">
        <v>30</v>
      </c>
      <c r="H1241" s="90">
        <v>10</v>
      </c>
      <c r="I1241" s="90">
        <v>30</v>
      </c>
      <c r="J1241" s="90">
        <v>40</v>
      </c>
      <c r="K1241" s="90">
        <v>60</v>
      </c>
      <c r="L1241" s="90">
        <v>65</v>
      </c>
      <c r="M1241" s="95">
        <v>1</v>
      </c>
      <c r="N1241" s="90">
        <v>3</v>
      </c>
    </row>
    <row r="1242" spans="1:14" ht="16.5">
      <c r="A1242" s="90">
        <v>1239</v>
      </c>
      <c r="B1242" s="91">
        <v>201</v>
      </c>
      <c r="C1242" s="90" t="s">
        <v>66</v>
      </c>
      <c r="D1242" s="50" t="s">
        <v>1905</v>
      </c>
      <c r="E1242" s="50" t="s">
        <v>1939</v>
      </c>
      <c r="F1242" s="90" t="s">
        <v>1912</v>
      </c>
      <c r="G1242" s="90" t="s">
        <v>1682</v>
      </c>
      <c r="H1242" s="90" t="s">
        <v>1247</v>
      </c>
      <c r="I1242" s="90" t="s">
        <v>1916</v>
      </c>
      <c r="J1242" s="90" t="s">
        <v>1917</v>
      </c>
      <c r="K1242" s="90" t="s">
        <v>1918</v>
      </c>
      <c r="L1242" s="90" t="s">
        <v>1919</v>
      </c>
      <c r="M1242" s="95" t="s">
        <v>1679</v>
      </c>
      <c r="N1242" s="90" t="s">
        <v>1687</v>
      </c>
    </row>
    <row r="1243" spans="1:14" ht="16.5">
      <c r="A1243" s="90">
        <v>1240</v>
      </c>
      <c r="B1243" s="91">
        <v>206</v>
      </c>
      <c r="C1243" s="90" t="s">
        <v>293</v>
      </c>
      <c r="D1243" s="50" t="s">
        <v>1905</v>
      </c>
      <c r="E1243" s="50" t="s">
        <v>1939</v>
      </c>
      <c r="F1243" s="90" t="s">
        <v>1872</v>
      </c>
      <c r="G1243" s="90" t="s">
        <v>1682</v>
      </c>
      <c r="H1243" s="90" t="s">
        <v>1247</v>
      </c>
      <c r="I1243" s="90" t="s">
        <v>1920</v>
      </c>
      <c r="J1243" s="90" t="s">
        <v>1880</v>
      </c>
      <c r="K1243" s="90" t="s">
        <v>1875</v>
      </c>
      <c r="L1243" s="90" t="s">
        <v>1876</v>
      </c>
      <c r="M1243" s="95" t="s">
        <v>1679</v>
      </c>
      <c r="N1243" s="90" t="s">
        <v>1680</v>
      </c>
    </row>
    <row r="1244" spans="1:14" ht="16.5">
      <c r="A1244" s="90">
        <v>1241</v>
      </c>
      <c r="B1244" s="47">
        <v>209</v>
      </c>
      <c r="C1244" s="50" t="s">
        <v>344</v>
      </c>
      <c r="D1244" s="50" t="s">
        <v>1905</v>
      </c>
      <c r="E1244" s="50" t="s">
        <v>1939</v>
      </c>
      <c r="F1244" s="90" t="s">
        <v>1872</v>
      </c>
      <c r="G1244" s="90" t="s">
        <v>1682</v>
      </c>
      <c r="H1244" s="90" t="s">
        <v>1247</v>
      </c>
      <c r="I1244" s="90" t="s">
        <v>1920</v>
      </c>
      <c r="J1244" s="90" t="s">
        <v>1880</v>
      </c>
      <c r="K1244" s="90" t="s">
        <v>1875</v>
      </c>
      <c r="L1244" s="90" t="s">
        <v>1876</v>
      </c>
      <c r="M1244" s="95" t="s">
        <v>1679</v>
      </c>
      <c r="N1244" s="90" t="s">
        <v>1680</v>
      </c>
    </row>
    <row r="1245" spans="1:14" ht="16.5">
      <c r="A1245" s="90">
        <v>1242</v>
      </c>
      <c r="B1245" s="47">
        <v>230</v>
      </c>
      <c r="C1245" s="50" t="s">
        <v>539</v>
      </c>
      <c r="D1245" s="50" t="s">
        <v>1905</v>
      </c>
      <c r="E1245" s="50" t="s">
        <v>1939</v>
      </c>
      <c r="F1245" s="90" t="s">
        <v>1872</v>
      </c>
      <c r="G1245" s="90" t="s">
        <v>1682</v>
      </c>
      <c r="H1245" s="90" t="s">
        <v>1247</v>
      </c>
      <c r="I1245" s="90" t="s">
        <v>1920</v>
      </c>
      <c r="J1245" s="90" t="s">
        <v>1880</v>
      </c>
      <c r="K1245" s="90" t="s">
        <v>1875</v>
      </c>
      <c r="L1245" s="90" t="s">
        <v>1876</v>
      </c>
      <c r="M1245" s="95" t="s">
        <v>1679</v>
      </c>
      <c r="N1245" s="90" t="s">
        <v>1921</v>
      </c>
    </row>
    <row r="1246" spans="1:14" ht="16.5">
      <c r="A1246" s="90">
        <v>1243</v>
      </c>
      <c r="B1246" s="91">
        <v>232</v>
      </c>
      <c r="C1246" s="90" t="s">
        <v>319</v>
      </c>
      <c r="D1246" s="50" t="s">
        <v>1905</v>
      </c>
      <c r="E1246" s="50" t="s">
        <v>1939</v>
      </c>
      <c r="F1246" s="90" t="s">
        <v>1872</v>
      </c>
      <c r="G1246" s="90" t="s">
        <v>1682</v>
      </c>
      <c r="H1246" s="90" t="s">
        <v>1247</v>
      </c>
      <c r="I1246" s="90" t="s">
        <v>1920</v>
      </c>
      <c r="J1246" s="90" t="s">
        <v>1880</v>
      </c>
      <c r="K1246" s="90" t="s">
        <v>1875</v>
      </c>
      <c r="L1246" s="90" t="s">
        <v>1876</v>
      </c>
      <c r="M1246" s="95" t="s">
        <v>1679</v>
      </c>
      <c r="N1246" s="90" t="s">
        <v>1680</v>
      </c>
    </row>
    <row r="1247" spans="1:14" ht="16.5">
      <c r="A1247" s="90">
        <v>1244</v>
      </c>
      <c r="B1247" s="47">
        <v>233</v>
      </c>
      <c r="C1247" s="50" t="s">
        <v>593</v>
      </c>
      <c r="D1247" s="50" t="s">
        <v>1905</v>
      </c>
      <c r="E1247" s="50" t="s">
        <v>1939</v>
      </c>
      <c r="F1247" s="90">
        <v>50</v>
      </c>
      <c r="G1247" s="90">
        <v>30</v>
      </c>
      <c r="H1247" s="90">
        <v>10</v>
      </c>
      <c r="I1247" s="90">
        <v>30</v>
      </c>
      <c r="J1247" s="90">
        <v>40</v>
      </c>
      <c r="K1247" s="90">
        <v>60</v>
      </c>
      <c r="L1247" s="90">
        <v>65</v>
      </c>
      <c r="M1247" s="95">
        <v>1</v>
      </c>
      <c r="N1247" s="90">
        <v>3</v>
      </c>
    </row>
    <row r="1248" spans="1:14" ht="16.5">
      <c r="A1248" s="90">
        <v>1245</v>
      </c>
      <c r="B1248" s="47">
        <v>237</v>
      </c>
      <c r="C1248" s="50" t="s">
        <v>565</v>
      </c>
      <c r="D1248" s="50" t="s">
        <v>1905</v>
      </c>
      <c r="E1248" s="50" t="s">
        <v>1939</v>
      </c>
      <c r="F1248" s="90" t="s">
        <v>1885</v>
      </c>
      <c r="G1248" s="90" t="s">
        <v>1682</v>
      </c>
      <c r="H1248" s="90" t="s">
        <v>1247</v>
      </c>
      <c r="I1248" s="90" t="s">
        <v>1675</v>
      </c>
      <c r="J1248" s="90" t="s">
        <v>1676</v>
      </c>
      <c r="K1248" s="90" t="s">
        <v>1886</v>
      </c>
      <c r="L1248" s="90" t="s">
        <v>1887</v>
      </c>
      <c r="M1248" s="95" t="s">
        <v>1679</v>
      </c>
      <c r="N1248" s="90" t="s">
        <v>1680</v>
      </c>
    </row>
    <row r="1249" spans="1:14" ht="16.5">
      <c r="A1249" s="90">
        <v>1246</v>
      </c>
      <c r="B1249" s="47">
        <v>213</v>
      </c>
      <c r="C1249" s="50" t="s">
        <v>599</v>
      </c>
      <c r="D1249" s="50" t="s">
        <v>1905</v>
      </c>
      <c r="E1249" s="50" t="s">
        <v>1939</v>
      </c>
      <c r="F1249" s="90">
        <v>63</v>
      </c>
      <c r="G1249" s="90">
        <v>30</v>
      </c>
      <c r="H1249" s="90">
        <v>10</v>
      </c>
      <c r="I1249" s="90">
        <v>48</v>
      </c>
      <c r="J1249" s="90">
        <v>53</v>
      </c>
      <c r="K1249" s="90">
        <v>73</v>
      </c>
      <c r="L1249" s="90">
        <v>78</v>
      </c>
      <c r="M1249" s="95">
        <v>1</v>
      </c>
      <c r="N1249" s="90">
        <v>6</v>
      </c>
    </row>
    <row r="1250" spans="1:14" ht="16.5">
      <c r="A1250" s="90">
        <v>1247</v>
      </c>
      <c r="B1250" s="47">
        <v>224</v>
      </c>
      <c r="C1250" s="50" t="s">
        <v>369</v>
      </c>
      <c r="D1250" s="50" t="s">
        <v>1905</v>
      </c>
      <c r="E1250" s="50" t="s">
        <v>1939</v>
      </c>
      <c r="F1250" s="90" t="s">
        <v>1872</v>
      </c>
      <c r="G1250" s="90" t="s">
        <v>1682</v>
      </c>
      <c r="H1250" s="90" t="s">
        <v>1247</v>
      </c>
      <c r="I1250" s="90" t="s">
        <v>1920</v>
      </c>
      <c r="J1250" s="90" t="s">
        <v>1880</v>
      </c>
      <c r="K1250" s="90" t="s">
        <v>1875</v>
      </c>
      <c r="L1250" s="90" t="s">
        <v>1876</v>
      </c>
      <c r="M1250" s="95" t="s">
        <v>1679</v>
      </c>
      <c r="N1250" s="90" t="s">
        <v>1680</v>
      </c>
    </row>
    <row r="1251" spans="1:14" ht="16.5">
      <c r="A1251" s="90">
        <v>1248</v>
      </c>
      <c r="B1251" s="47">
        <v>229</v>
      </c>
      <c r="C1251" s="50" t="s">
        <v>515</v>
      </c>
      <c r="D1251" s="50" t="s">
        <v>1905</v>
      </c>
      <c r="E1251" s="50" t="s">
        <v>1939</v>
      </c>
      <c r="F1251" s="90" t="s">
        <v>1872</v>
      </c>
      <c r="G1251" s="90" t="s">
        <v>1682</v>
      </c>
      <c r="H1251" s="90" t="s">
        <v>1247</v>
      </c>
      <c r="I1251" s="90" t="s">
        <v>1920</v>
      </c>
      <c r="J1251" s="90" t="s">
        <v>1880</v>
      </c>
      <c r="K1251" s="90" t="s">
        <v>1875</v>
      </c>
      <c r="L1251" s="90" t="s">
        <v>1876</v>
      </c>
      <c r="M1251" s="95" t="s">
        <v>1679</v>
      </c>
      <c r="N1251" s="90" t="s">
        <v>1870</v>
      </c>
    </row>
    <row r="1252" spans="1:14" ht="16.5">
      <c r="A1252" s="90">
        <v>1249</v>
      </c>
      <c r="B1252" s="47">
        <v>231</v>
      </c>
      <c r="C1252" s="94" t="s">
        <v>591</v>
      </c>
      <c r="D1252" s="50" t="s">
        <v>1905</v>
      </c>
      <c r="E1252" s="50" t="s">
        <v>1939</v>
      </c>
      <c r="F1252" s="90" t="s">
        <v>1865</v>
      </c>
      <c r="G1252" s="90" t="s">
        <v>1862</v>
      </c>
      <c r="H1252" s="90" t="s">
        <v>1888</v>
      </c>
      <c r="I1252" s="90" t="s">
        <v>1880</v>
      </c>
      <c r="J1252" s="90" t="s">
        <v>1922</v>
      </c>
      <c r="K1252" s="90" t="s">
        <v>1923</v>
      </c>
      <c r="L1252" s="90" t="s">
        <v>1924</v>
      </c>
      <c r="M1252" s="95" t="s">
        <v>1679</v>
      </c>
      <c r="N1252" s="90" t="s">
        <v>1891</v>
      </c>
    </row>
    <row r="1253" spans="1:14" ht="16.5">
      <c r="A1253" s="90">
        <v>1250</v>
      </c>
      <c r="B1253" s="47">
        <v>211</v>
      </c>
      <c r="C1253" s="50" t="s">
        <v>605</v>
      </c>
      <c r="D1253" s="50" t="s">
        <v>1905</v>
      </c>
      <c r="E1253" s="50" t="s">
        <v>1939</v>
      </c>
      <c r="F1253" s="90">
        <v>60</v>
      </c>
      <c r="G1253" s="90">
        <v>30</v>
      </c>
      <c r="H1253" s="90">
        <v>10</v>
      </c>
      <c r="I1253" s="90">
        <v>45</v>
      </c>
      <c r="J1253" s="90">
        <v>50</v>
      </c>
      <c r="K1253" s="90">
        <v>70</v>
      </c>
      <c r="L1253" s="90">
        <v>75</v>
      </c>
      <c r="M1253" s="95">
        <v>1</v>
      </c>
      <c r="N1253" s="90">
        <v>5.5</v>
      </c>
    </row>
    <row r="1254" spans="1:14" ht="16.5">
      <c r="A1254" s="90">
        <v>1251</v>
      </c>
      <c r="B1254" s="47">
        <v>212</v>
      </c>
      <c r="C1254" s="50" t="s">
        <v>394</v>
      </c>
      <c r="D1254" s="50" t="s">
        <v>1905</v>
      </c>
      <c r="E1254" s="50" t="s">
        <v>1939</v>
      </c>
      <c r="F1254" s="90" t="s">
        <v>1898</v>
      </c>
      <c r="G1254" s="90" t="s">
        <v>1862</v>
      </c>
      <c r="H1254" s="90" t="s">
        <v>1888</v>
      </c>
      <c r="I1254" s="90" t="s">
        <v>1899</v>
      </c>
      <c r="J1254" s="90" t="s">
        <v>1889</v>
      </c>
      <c r="K1254" s="90" t="s">
        <v>1900</v>
      </c>
      <c r="L1254" s="90" t="s">
        <v>1901</v>
      </c>
      <c r="M1254" s="95" t="s">
        <v>1679</v>
      </c>
      <c r="N1254" s="90" t="s">
        <v>1902</v>
      </c>
    </row>
    <row r="1255" spans="1:14" ht="16.5">
      <c r="A1255" s="90">
        <v>1252</v>
      </c>
      <c r="B1255" s="47">
        <v>300</v>
      </c>
      <c r="C1255" s="50" t="s">
        <v>1896</v>
      </c>
      <c r="D1255" s="50" t="s">
        <v>1903</v>
      </c>
      <c r="E1255" s="50" t="s">
        <v>1939</v>
      </c>
      <c r="F1255" s="90">
        <v>38</v>
      </c>
      <c r="G1255" s="90">
        <v>30</v>
      </c>
      <c r="H1255" s="90">
        <v>10</v>
      </c>
      <c r="I1255" s="90">
        <v>27</v>
      </c>
      <c r="J1255" s="90">
        <v>32</v>
      </c>
      <c r="K1255" s="90">
        <v>52</v>
      </c>
      <c r="L1255" s="90">
        <v>57</v>
      </c>
      <c r="M1255" s="95">
        <v>1</v>
      </c>
      <c r="N1255" s="90">
        <v>6</v>
      </c>
    </row>
    <row r="1256" spans="1:14" ht="16.5">
      <c r="A1256" s="90">
        <v>1253</v>
      </c>
      <c r="B1256" s="47">
        <v>228</v>
      </c>
      <c r="C1256" s="50" t="s">
        <v>948</v>
      </c>
      <c r="D1256" s="50" t="s">
        <v>1905</v>
      </c>
      <c r="E1256" s="50" t="s">
        <v>1939</v>
      </c>
      <c r="F1256" s="90" t="s">
        <v>1872</v>
      </c>
      <c r="G1256" s="90" t="s">
        <v>1682</v>
      </c>
      <c r="H1256" s="90" t="s">
        <v>1247</v>
      </c>
      <c r="I1256" s="90" t="s">
        <v>1873</v>
      </c>
      <c r="J1256" s="90" t="s">
        <v>1874</v>
      </c>
      <c r="K1256" s="90" t="s">
        <v>1875</v>
      </c>
      <c r="L1256" s="90" t="s">
        <v>1876</v>
      </c>
      <c r="M1256" s="95" t="s">
        <v>1679</v>
      </c>
      <c r="N1256" s="90" t="s">
        <v>1877</v>
      </c>
    </row>
    <row r="1257" spans="1:14" ht="16.5">
      <c r="A1257" s="90">
        <v>1254</v>
      </c>
      <c r="B1257" s="47">
        <v>202</v>
      </c>
      <c r="C1257" s="50" t="s">
        <v>154</v>
      </c>
      <c r="D1257" s="1" t="s">
        <v>1925</v>
      </c>
      <c r="E1257" s="50" t="s">
        <v>1939</v>
      </c>
      <c r="F1257" s="90" t="s">
        <v>1854</v>
      </c>
      <c r="G1257" s="90" t="s">
        <v>1674</v>
      </c>
      <c r="H1257" s="90" t="s">
        <v>1247</v>
      </c>
      <c r="I1257" s="90" t="s">
        <v>1855</v>
      </c>
      <c r="J1257" s="90" t="s">
        <v>1856</v>
      </c>
      <c r="K1257" s="90" t="s">
        <v>1857</v>
      </c>
      <c r="L1257" s="90" t="s">
        <v>1858</v>
      </c>
      <c r="M1257" s="95" t="s">
        <v>1679</v>
      </c>
      <c r="N1257" s="90" t="s">
        <v>1859</v>
      </c>
    </row>
    <row r="1258" spans="1:14" ht="16.5">
      <c r="A1258" s="90">
        <v>1255</v>
      </c>
      <c r="B1258" s="91">
        <v>203</v>
      </c>
      <c r="C1258" s="90" t="s">
        <v>202</v>
      </c>
      <c r="D1258" s="1" t="s">
        <v>1925</v>
      </c>
      <c r="E1258" s="50" t="s">
        <v>1939</v>
      </c>
      <c r="F1258" s="90" t="s">
        <v>1881</v>
      </c>
      <c r="G1258" s="90" t="s">
        <v>1682</v>
      </c>
      <c r="H1258" s="90" t="s">
        <v>1247</v>
      </c>
      <c r="I1258" s="90" t="s">
        <v>1683</v>
      </c>
      <c r="J1258" s="90" t="s">
        <v>1684</v>
      </c>
      <c r="K1258" s="90" t="s">
        <v>1882</v>
      </c>
      <c r="L1258" s="90" t="s">
        <v>1883</v>
      </c>
      <c r="M1258" s="95" t="s">
        <v>1679</v>
      </c>
      <c r="N1258" s="90" t="s">
        <v>1906</v>
      </c>
    </row>
    <row r="1259" spans="1:14" ht="16.5">
      <c r="A1259" s="90">
        <v>1256</v>
      </c>
      <c r="B1259" s="47">
        <v>204</v>
      </c>
      <c r="C1259" s="50" t="s">
        <v>226</v>
      </c>
      <c r="D1259" s="1" t="s">
        <v>1925</v>
      </c>
      <c r="E1259" s="50" t="s">
        <v>1939</v>
      </c>
      <c r="F1259" s="90" t="s">
        <v>1854</v>
      </c>
      <c r="G1259" s="90" t="s">
        <v>1674</v>
      </c>
      <c r="H1259" s="90" t="s">
        <v>1247</v>
      </c>
      <c r="I1259" s="90" t="s">
        <v>1855</v>
      </c>
      <c r="J1259" s="90" t="s">
        <v>1856</v>
      </c>
      <c r="K1259" s="90" t="s">
        <v>1857</v>
      </c>
      <c r="L1259" s="90" t="s">
        <v>1858</v>
      </c>
      <c r="M1259" s="95" t="s">
        <v>1679</v>
      </c>
      <c r="N1259" s="90" t="s">
        <v>1680</v>
      </c>
    </row>
    <row r="1260" spans="1:14" ht="16.5">
      <c r="A1260" s="90">
        <v>1257</v>
      </c>
      <c r="B1260" s="47">
        <v>205</v>
      </c>
      <c r="C1260" s="50" t="s">
        <v>249</v>
      </c>
      <c r="D1260" s="1" t="s">
        <v>1925</v>
      </c>
      <c r="E1260" s="50" t="s">
        <v>1939</v>
      </c>
      <c r="F1260" s="90" t="s">
        <v>1854</v>
      </c>
      <c r="G1260" s="90" t="s">
        <v>1674</v>
      </c>
      <c r="H1260" s="90" t="s">
        <v>1247</v>
      </c>
      <c r="I1260" s="90" t="s">
        <v>1855</v>
      </c>
      <c r="J1260" s="90" t="s">
        <v>1856</v>
      </c>
      <c r="K1260" s="90" t="s">
        <v>1857</v>
      </c>
      <c r="L1260" s="90" t="s">
        <v>1858</v>
      </c>
      <c r="M1260" s="95" t="s">
        <v>1679</v>
      </c>
      <c r="N1260" s="90" t="s">
        <v>1859</v>
      </c>
    </row>
    <row r="1261" spans="1:14" ht="16.5">
      <c r="A1261" s="90">
        <v>1258</v>
      </c>
      <c r="B1261" s="47">
        <v>207</v>
      </c>
      <c r="C1261" s="50" t="s">
        <v>595</v>
      </c>
      <c r="D1261" s="1" t="s">
        <v>1925</v>
      </c>
      <c r="E1261" s="50" t="s">
        <v>1939</v>
      </c>
      <c r="F1261" s="90">
        <v>50</v>
      </c>
      <c r="G1261" s="90">
        <v>30</v>
      </c>
      <c r="H1261" s="90">
        <v>10</v>
      </c>
      <c r="I1261" s="90">
        <v>30</v>
      </c>
      <c r="J1261" s="90">
        <v>40</v>
      </c>
      <c r="K1261" s="90">
        <v>60</v>
      </c>
      <c r="L1261" s="90">
        <v>65</v>
      </c>
      <c r="M1261" s="95">
        <v>1</v>
      </c>
      <c r="N1261" s="90">
        <v>3</v>
      </c>
    </row>
    <row r="1262" spans="1:14" ht="16.5">
      <c r="A1262" s="90">
        <v>1259</v>
      </c>
      <c r="B1262" s="96">
        <v>208</v>
      </c>
      <c r="C1262" s="97" t="s">
        <v>589</v>
      </c>
      <c r="D1262" s="1" t="s">
        <v>1925</v>
      </c>
      <c r="E1262" s="50" t="s">
        <v>1939</v>
      </c>
      <c r="F1262" s="97">
        <v>63</v>
      </c>
      <c r="G1262" s="97">
        <v>50</v>
      </c>
      <c r="H1262" s="97">
        <v>1</v>
      </c>
      <c r="I1262" s="97">
        <v>30</v>
      </c>
      <c r="J1262" s="97">
        <v>45</v>
      </c>
      <c r="K1262" s="97">
        <v>73</v>
      </c>
      <c r="L1262" s="97">
        <v>78</v>
      </c>
      <c r="M1262" s="98">
        <v>1</v>
      </c>
      <c r="N1262" s="97">
        <v>20</v>
      </c>
    </row>
    <row r="1263" spans="1:14" ht="16.5">
      <c r="A1263" s="90">
        <v>1260</v>
      </c>
      <c r="B1263" s="47">
        <v>215</v>
      </c>
      <c r="C1263" s="50" t="s">
        <v>418</v>
      </c>
      <c r="D1263" s="1" t="s">
        <v>1925</v>
      </c>
      <c r="E1263" s="50" t="s">
        <v>1939</v>
      </c>
      <c r="F1263" s="90" t="s">
        <v>1907</v>
      </c>
      <c r="G1263" s="90" t="s">
        <v>1682</v>
      </c>
      <c r="H1263" s="90" t="s">
        <v>1247</v>
      </c>
      <c r="I1263" s="90" t="s">
        <v>1908</v>
      </c>
      <c r="J1263" s="90" t="s">
        <v>1909</v>
      </c>
      <c r="K1263" s="90" t="s">
        <v>1910</v>
      </c>
      <c r="L1263" s="90" t="s">
        <v>1911</v>
      </c>
      <c r="M1263" s="95" t="s">
        <v>1679</v>
      </c>
      <c r="N1263" s="90" t="s">
        <v>1906</v>
      </c>
    </row>
    <row r="1264" spans="1:14" ht="16.5">
      <c r="A1264" s="90">
        <v>1261</v>
      </c>
      <c r="B1264" s="47">
        <v>222</v>
      </c>
      <c r="C1264" s="50" t="s">
        <v>442</v>
      </c>
      <c r="D1264" s="1" t="s">
        <v>1925</v>
      </c>
      <c r="E1264" s="50" t="s">
        <v>1939</v>
      </c>
      <c r="F1264" s="90" t="s">
        <v>1854</v>
      </c>
      <c r="G1264" s="90" t="s">
        <v>1871</v>
      </c>
      <c r="H1264" s="90" t="s">
        <v>1247</v>
      </c>
      <c r="I1264" s="90" t="s">
        <v>1855</v>
      </c>
      <c r="J1264" s="90" t="s">
        <v>1856</v>
      </c>
      <c r="K1264" s="90" t="s">
        <v>1857</v>
      </c>
      <c r="L1264" s="90" t="s">
        <v>1858</v>
      </c>
      <c r="M1264" s="95" t="s">
        <v>1679</v>
      </c>
      <c r="N1264" s="90" t="s">
        <v>1859</v>
      </c>
    </row>
    <row r="1265" spans="1:14" ht="16.5">
      <c r="A1265" s="90">
        <v>1262</v>
      </c>
      <c r="B1265" s="47">
        <v>223</v>
      </c>
      <c r="C1265" s="50" t="s">
        <v>918</v>
      </c>
      <c r="D1265" s="1" t="s">
        <v>1925</v>
      </c>
      <c r="E1265" s="50" t="s">
        <v>1939</v>
      </c>
      <c r="F1265" s="90">
        <v>28</v>
      </c>
      <c r="G1265" s="90">
        <v>30</v>
      </c>
      <c r="H1265" s="90">
        <v>10</v>
      </c>
      <c r="I1265" s="90">
        <v>17</v>
      </c>
      <c r="J1265" s="90">
        <v>22</v>
      </c>
      <c r="K1265" s="90">
        <v>33</v>
      </c>
      <c r="L1265" s="90">
        <v>38</v>
      </c>
      <c r="M1265" s="95">
        <v>1</v>
      </c>
      <c r="N1265" s="90">
        <v>2</v>
      </c>
    </row>
    <row r="1266" spans="1:14" ht="16.5">
      <c r="A1266" s="90">
        <v>1263</v>
      </c>
      <c r="B1266" s="47">
        <v>226</v>
      </c>
      <c r="C1266" s="92" t="s">
        <v>469</v>
      </c>
      <c r="D1266" s="1" t="s">
        <v>1925</v>
      </c>
      <c r="E1266" s="50" t="s">
        <v>1939</v>
      </c>
      <c r="F1266" s="90" t="s">
        <v>1912</v>
      </c>
      <c r="G1266" s="90" t="s">
        <v>1682</v>
      </c>
      <c r="H1266" s="90" t="s">
        <v>1247</v>
      </c>
      <c r="I1266" s="90" t="s">
        <v>1866</v>
      </c>
      <c r="J1266" s="90" t="s">
        <v>1913</v>
      </c>
      <c r="K1266" s="90" t="s">
        <v>1901</v>
      </c>
      <c r="L1266" s="90" t="s">
        <v>1914</v>
      </c>
      <c r="M1266" s="95" t="s">
        <v>1679</v>
      </c>
      <c r="N1266" s="90" t="s">
        <v>1915</v>
      </c>
    </row>
    <row r="1267" spans="1:14" ht="16.5">
      <c r="A1267" s="90">
        <v>1264</v>
      </c>
      <c r="B1267" s="91">
        <v>227</v>
      </c>
      <c r="C1267" s="93" t="s">
        <v>493</v>
      </c>
      <c r="D1267" s="1" t="s">
        <v>1925</v>
      </c>
      <c r="E1267" s="50" t="s">
        <v>1939</v>
      </c>
      <c r="F1267" s="90" t="s">
        <v>1872</v>
      </c>
      <c r="G1267" s="90" t="s">
        <v>1682</v>
      </c>
      <c r="H1267" s="90" t="s">
        <v>1247</v>
      </c>
      <c r="I1267" s="90" t="s">
        <v>1873</v>
      </c>
      <c r="J1267" s="90" t="s">
        <v>1874</v>
      </c>
      <c r="K1267" s="90" t="s">
        <v>1875</v>
      </c>
      <c r="L1267" s="90" t="s">
        <v>1876</v>
      </c>
      <c r="M1267" s="95" t="s">
        <v>1679</v>
      </c>
      <c r="N1267" s="90" t="s">
        <v>1870</v>
      </c>
    </row>
    <row r="1268" spans="1:14" ht="16.5">
      <c r="A1268" s="90">
        <v>1265</v>
      </c>
      <c r="B1268" s="47">
        <v>234</v>
      </c>
      <c r="C1268" s="50" t="s">
        <v>1878</v>
      </c>
      <c r="D1268" s="1" t="s">
        <v>1925</v>
      </c>
      <c r="E1268" s="50" t="s">
        <v>1939</v>
      </c>
      <c r="F1268" s="90" t="s">
        <v>1854</v>
      </c>
      <c r="G1268" s="90" t="s">
        <v>1674</v>
      </c>
      <c r="H1268" s="90" t="s">
        <v>1247</v>
      </c>
      <c r="I1268" s="90" t="s">
        <v>1855</v>
      </c>
      <c r="J1268" s="90" t="s">
        <v>1856</v>
      </c>
      <c r="K1268" s="90" t="s">
        <v>1857</v>
      </c>
      <c r="L1268" s="90" t="s">
        <v>1858</v>
      </c>
      <c r="M1268" s="95" t="s">
        <v>1679</v>
      </c>
      <c r="N1268" s="90" t="s">
        <v>1859</v>
      </c>
    </row>
    <row r="1269" spans="1:14" ht="16.5">
      <c r="A1269" s="90">
        <v>1266</v>
      </c>
      <c r="B1269" s="47">
        <v>235</v>
      </c>
      <c r="C1269" s="50" t="s">
        <v>601</v>
      </c>
      <c r="D1269" s="1" t="s">
        <v>1925</v>
      </c>
      <c r="E1269" s="50" t="s">
        <v>1939</v>
      </c>
      <c r="F1269" s="90">
        <v>50</v>
      </c>
      <c r="G1269" s="90">
        <v>30</v>
      </c>
      <c r="H1269" s="90">
        <v>10</v>
      </c>
      <c r="I1269" s="90">
        <v>30</v>
      </c>
      <c r="J1269" s="90">
        <v>40</v>
      </c>
      <c r="K1269" s="90">
        <v>60</v>
      </c>
      <c r="L1269" s="90">
        <v>65</v>
      </c>
      <c r="M1269" s="95">
        <v>1</v>
      </c>
      <c r="N1269" s="90">
        <v>3</v>
      </c>
    </row>
    <row r="1270" spans="1:14" ht="16.5">
      <c r="A1270" s="90">
        <v>1267</v>
      </c>
      <c r="B1270" s="47">
        <v>236</v>
      </c>
      <c r="C1270" s="50" t="s">
        <v>1688</v>
      </c>
      <c r="D1270" s="1" t="s">
        <v>1925</v>
      </c>
      <c r="E1270" s="50" t="s">
        <v>1939</v>
      </c>
      <c r="F1270" s="90">
        <v>50</v>
      </c>
      <c r="G1270" s="90">
        <v>30</v>
      </c>
      <c r="H1270" s="90">
        <v>10</v>
      </c>
      <c r="I1270" s="90">
        <v>30</v>
      </c>
      <c r="J1270" s="90">
        <v>40</v>
      </c>
      <c r="K1270" s="90">
        <v>60</v>
      </c>
      <c r="L1270" s="90">
        <v>65</v>
      </c>
      <c r="M1270" s="95">
        <v>1</v>
      </c>
      <c r="N1270" s="90">
        <v>3</v>
      </c>
    </row>
    <row r="1271" spans="1:14" ht="16.5">
      <c r="A1271" s="90">
        <v>1268</v>
      </c>
      <c r="B1271" s="91">
        <v>201</v>
      </c>
      <c r="C1271" s="90" t="s">
        <v>66</v>
      </c>
      <c r="D1271" s="1" t="s">
        <v>1925</v>
      </c>
      <c r="E1271" s="50" t="s">
        <v>1939</v>
      </c>
      <c r="F1271" s="90" t="s">
        <v>1912</v>
      </c>
      <c r="G1271" s="90" t="s">
        <v>1682</v>
      </c>
      <c r="H1271" s="90" t="s">
        <v>1247</v>
      </c>
      <c r="I1271" s="90" t="s">
        <v>1916</v>
      </c>
      <c r="J1271" s="90" t="s">
        <v>1917</v>
      </c>
      <c r="K1271" s="90" t="s">
        <v>1918</v>
      </c>
      <c r="L1271" s="90" t="s">
        <v>1919</v>
      </c>
      <c r="M1271" s="95" t="s">
        <v>1679</v>
      </c>
      <c r="N1271" s="90" t="s">
        <v>1687</v>
      </c>
    </row>
    <row r="1272" spans="1:14" ht="16.5">
      <c r="A1272" s="90">
        <v>1269</v>
      </c>
      <c r="B1272" s="91">
        <v>206</v>
      </c>
      <c r="C1272" s="90" t="s">
        <v>293</v>
      </c>
      <c r="D1272" s="1" t="s">
        <v>1925</v>
      </c>
      <c r="E1272" s="50" t="s">
        <v>1939</v>
      </c>
      <c r="F1272" s="90" t="s">
        <v>1872</v>
      </c>
      <c r="G1272" s="90" t="s">
        <v>1682</v>
      </c>
      <c r="H1272" s="90" t="s">
        <v>1247</v>
      </c>
      <c r="I1272" s="90" t="s">
        <v>1920</v>
      </c>
      <c r="J1272" s="90" t="s">
        <v>1880</v>
      </c>
      <c r="K1272" s="90" t="s">
        <v>1875</v>
      </c>
      <c r="L1272" s="90" t="s">
        <v>1876</v>
      </c>
      <c r="M1272" s="95" t="s">
        <v>1679</v>
      </c>
      <c r="N1272" s="90" t="s">
        <v>1680</v>
      </c>
    </row>
    <row r="1273" spans="1:14" ht="16.5">
      <c r="A1273" s="90">
        <v>1270</v>
      </c>
      <c r="B1273" s="47">
        <v>209</v>
      </c>
      <c r="C1273" s="50" t="s">
        <v>344</v>
      </c>
      <c r="D1273" s="1" t="s">
        <v>1925</v>
      </c>
      <c r="E1273" s="50" t="s">
        <v>1939</v>
      </c>
      <c r="F1273" s="90" t="s">
        <v>1872</v>
      </c>
      <c r="G1273" s="90" t="s">
        <v>1682</v>
      </c>
      <c r="H1273" s="90" t="s">
        <v>1247</v>
      </c>
      <c r="I1273" s="90" t="s">
        <v>1920</v>
      </c>
      <c r="J1273" s="90" t="s">
        <v>1880</v>
      </c>
      <c r="K1273" s="90" t="s">
        <v>1875</v>
      </c>
      <c r="L1273" s="90" t="s">
        <v>1876</v>
      </c>
      <c r="M1273" s="95" t="s">
        <v>1679</v>
      </c>
      <c r="N1273" s="90" t="s">
        <v>1680</v>
      </c>
    </row>
    <row r="1274" spans="1:14" ht="16.5">
      <c r="A1274" s="90">
        <v>1271</v>
      </c>
      <c r="B1274" s="47">
        <v>230</v>
      </c>
      <c r="C1274" s="50" t="s">
        <v>539</v>
      </c>
      <c r="D1274" s="1" t="s">
        <v>1925</v>
      </c>
      <c r="E1274" s="50" t="s">
        <v>1939</v>
      </c>
      <c r="F1274" s="90" t="s">
        <v>1872</v>
      </c>
      <c r="G1274" s="90" t="s">
        <v>1682</v>
      </c>
      <c r="H1274" s="90" t="s">
        <v>1247</v>
      </c>
      <c r="I1274" s="90" t="s">
        <v>1920</v>
      </c>
      <c r="J1274" s="90" t="s">
        <v>1880</v>
      </c>
      <c r="K1274" s="90" t="s">
        <v>1875</v>
      </c>
      <c r="L1274" s="90" t="s">
        <v>1876</v>
      </c>
      <c r="M1274" s="95" t="s">
        <v>1679</v>
      </c>
      <c r="N1274" s="90" t="s">
        <v>1921</v>
      </c>
    </row>
    <row r="1275" spans="1:14" ht="16.5">
      <c r="A1275" s="90">
        <v>1272</v>
      </c>
      <c r="B1275" s="91">
        <v>232</v>
      </c>
      <c r="C1275" s="90" t="s">
        <v>319</v>
      </c>
      <c r="D1275" s="1" t="s">
        <v>1925</v>
      </c>
      <c r="E1275" s="50" t="s">
        <v>1939</v>
      </c>
      <c r="F1275" s="90" t="s">
        <v>1872</v>
      </c>
      <c r="G1275" s="90" t="s">
        <v>1682</v>
      </c>
      <c r="H1275" s="90" t="s">
        <v>1247</v>
      </c>
      <c r="I1275" s="90" t="s">
        <v>1920</v>
      </c>
      <c r="J1275" s="90" t="s">
        <v>1880</v>
      </c>
      <c r="K1275" s="90" t="s">
        <v>1875</v>
      </c>
      <c r="L1275" s="90" t="s">
        <v>1876</v>
      </c>
      <c r="M1275" s="95" t="s">
        <v>1679</v>
      </c>
      <c r="N1275" s="90" t="s">
        <v>1680</v>
      </c>
    </row>
    <row r="1276" spans="1:14" ht="16.5">
      <c r="A1276" s="90">
        <v>1273</v>
      </c>
      <c r="B1276" s="47">
        <v>233</v>
      </c>
      <c r="C1276" s="50" t="s">
        <v>593</v>
      </c>
      <c r="D1276" s="1" t="s">
        <v>1925</v>
      </c>
      <c r="E1276" s="50" t="s">
        <v>1939</v>
      </c>
      <c r="F1276" s="90">
        <v>50</v>
      </c>
      <c r="G1276" s="90">
        <v>30</v>
      </c>
      <c r="H1276" s="90">
        <v>10</v>
      </c>
      <c r="I1276" s="90">
        <v>30</v>
      </c>
      <c r="J1276" s="90">
        <v>40</v>
      </c>
      <c r="K1276" s="90">
        <v>60</v>
      </c>
      <c r="L1276" s="90">
        <v>65</v>
      </c>
      <c r="M1276" s="95">
        <v>1</v>
      </c>
      <c r="N1276" s="90">
        <v>3</v>
      </c>
    </row>
    <row r="1277" spans="1:14" ht="16.5">
      <c r="A1277" s="90">
        <v>1274</v>
      </c>
      <c r="B1277" s="47">
        <v>237</v>
      </c>
      <c r="C1277" s="50" t="s">
        <v>565</v>
      </c>
      <c r="D1277" s="1" t="s">
        <v>1925</v>
      </c>
      <c r="E1277" s="50" t="s">
        <v>1939</v>
      </c>
      <c r="F1277" s="90" t="s">
        <v>1885</v>
      </c>
      <c r="G1277" s="90" t="s">
        <v>1682</v>
      </c>
      <c r="H1277" s="90" t="s">
        <v>1247</v>
      </c>
      <c r="I1277" s="90" t="s">
        <v>1675</v>
      </c>
      <c r="J1277" s="90" t="s">
        <v>1676</v>
      </c>
      <c r="K1277" s="90" t="s">
        <v>1886</v>
      </c>
      <c r="L1277" s="90" t="s">
        <v>1887</v>
      </c>
      <c r="M1277" s="95" t="s">
        <v>1679</v>
      </c>
      <c r="N1277" s="90" t="s">
        <v>1680</v>
      </c>
    </row>
    <row r="1278" spans="1:14" ht="16.5">
      <c r="A1278" s="90">
        <v>1275</v>
      </c>
      <c r="B1278" s="47">
        <v>213</v>
      </c>
      <c r="C1278" s="50" t="s">
        <v>599</v>
      </c>
      <c r="D1278" s="1" t="s">
        <v>1925</v>
      </c>
      <c r="E1278" s="50" t="s">
        <v>1939</v>
      </c>
      <c r="F1278" s="90">
        <v>63</v>
      </c>
      <c r="G1278" s="90">
        <v>30</v>
      </c>
      <c r="H1278" s="90">
        <v>10</v>
      </c>
      <c r="I1278" s="90">
        <v>48</v>
      </c>
      <c r="J1278" s="90">
        <v>53</v>
      </c>
      <c r="K1278" s="90">
        <v>73</v>
      </c>
      <c r="L1278" s="90">
        <v>78</v>
      </c>
      <c r="M1278" s="95">
        <v>1</v>
      </c>
      <c r="N1278" s="90">
        <v>6</v>
      </c>
    </row>
    <row r="1279" spans="1:14" ht="16.5">
      <c r="A1279" s="90">
        <v>1276</v>
      </c>
      <c r="B1279" s="47">
        <v>224</v>
      </c>
      <c r="C1279" s="50" t="s">
        <v>369</v>
      </c>
      <c r="D1279" s="1" t="s">
        <v>1925</v>
      </c>
      <c r="E1279" s="50" t="s">
        <v>1939</v>
      </c>
      <c r="F1279" s="90" t="s">
        <v>1872</v>
      </c>
      <c r="G1279" s="90" t="s">
        <v>1682</v>
      </c>
      <c r="H1279" s="90" t="s">
        <v>1247</v>
      </c>
      <c r="I1279" s="90" t="s">
        <v>1920</v>
      </c>
      <c r="J1279" s="90" t="s">
        <v>1880</v>
      </c>
      <c r="K1279" s="90" t="s">
        <v>1875</v>
      </c>
      <c r="L1279" s="90" t="s">
        <v>1876</v>
      </c>
      <c r="M1279" s="95" t="s">
        <v>1679</v>
      </c>
      <c r="N1279" s="90" t="s">
        <v>1680</v>
      </c>
    </row>
    <row r="1280" spans="1:14" ht="16.5">
      <c r="A1280" s="90">
        <v>1277</v>
      </c>
      <c r="B1280" s="47">
        <v>229</v>
      </c>
      <c r="C1280" s="50" t="s">
        <v>515</v>
      </c>
      <c r="D1280" s="1" t="s">
        <v>1925</v>
      </c>
      <c r="E1280" s="50" t="s">
        <v>1939</v>
      </c>
      <c r="F1280" s="90" t="s">
        <v>1872</v>
      </c>
      <c r="G1280" s="90" t="s">
        <v>1682</v>
      </c>
      <c r="H1280" s="90" t="s">
        <v>1247</v>
      </c>
      <c r="I1280" s="90" t="s">
        <v>1920</v>
      </c>
      <c r="J1280" s="90" t="s">
        <v>1880</v>
      </c>
      <c r="K1280" s="90" t="s">
        <v>1875</v>
      </c>
      <c r="L1280" s="90" t="s">
        <v>1876</v>
      </c>
      <c r="M1280" s="95" t="s">
        <v>1679</v>
      </c>
      <c r="N1280" s="90" t="s">
        <v>1870</v>
      </c>
    </row>
    <row r="1281" spans="1:14" ht="16.5">
      <c r="A1281" s="90">
        <v>1278</v>
      </c>
      <c r="B1281" s="47">
        <v>231</v>
      </c>
      <c r="C1281" s="94" t="s">
        <v>591</v>
      </c>
      <c r="D1281" s="1" t="s">
        <v>1925</v>
      </c>
      <c r="E1281" s="50" t="s">
        <v>1939</v>
      </c>
      <c r="F1281" s="90" t="s">
        <v>1865</v>
      </c>
      <c r="G1281" s="90" t="s">
        <v>1862</v>
      </c>
      <c r="H1281" s="90" t="s">
        <v>1888</v>
      </c>
      <c r="I1281" s="90" t="s">
        <v>1880</v>
      </c>
      <c r="J1281" s="90" t="s">
        <v>1922</v>
      </c>
      <c r="K1281" s="90" t="s">
        <v>1923</v>
      </c>
      <c r="L1281" s="90" t="s">
        <v>1924</v>
      </c>
      <c r="M1281" s="95" t="s">
        <v>1679</v>
      </c>
      <c r="N1281" s="90" t="s">
        <v>1891</v>
      </c>
    </row>
    <row r="1282" spans="1:14" ht="16.5">
      <c r="A1282" s="90">
        <v>1279</v>
      </c>
      <c r="B1282" s="47">
        <v>211</v>
      </c>
      <c r="C1282" s="50" t="s">
        <v>605</v>
      </c>
      <c r="D1282" s="1" t="s">
        <v>1925</v>
      </c>
      <c r="E1282" s="50" t="s">
        <v>1939</v>
      </c>
      <c r="F1282" s="90">
        <v>60</v>
      </c>
      <c r="G1282" s="90">
        <v>30</v>
      </c>
      <c r="H1282" s="90">
        <v>10</v>
      </c>
      <c r="I1282" s="90">
        <v>45</v>
      </c>
      <c r="J1282" s="90">
        <v>50</v>
      </c>
      <c r="K1282" s="90">
        <v>70</v>
      </c>
      <c r="L1282" s="90">
        <v>75</v>
      </c>
      <c r="M1282" s="95">
        <v>1</v>
      </c>
      <c r="N1282" s="90">
        <v>5.5</v>
      </c>
    </row>
    <row r="1283" spans="1:14" ht="16.5">
      <c r="A1283" s="90">
        <v>1280</v>
      </c>
      <c r="B1283" s="47">
        <v>212</v>
      </c>
      <c r="C1283" s="50" t="s">
        <v>394</v>
      </c>
      <c r="D1283" s="1" t="s">
        <v>1925</v>
      </c>
      <c r="E1283" s="50" t="s">
        <v>1939</v>
      </c>
      <c r="F1283" s="90" t="s">
        <v>1898</v>
      </c>
      <c r="G1283" s="90" t="s">
        <v>1862</v>
      </c>
      <c r="H1283" s="90" t="s">
        <v>1888</v>
      </c>
      <c r="I1283" s="90" t="s">
        <v>1899</v>
      </c>
      <c r="J1283" s="90" t="s">
        <v>1889</v>
      </c>
      <c r="K1283" s="90" t="s">
        <v>1900</v>
      </c>
      <c r="L1283" s="90" t="s">
        <v>1901</v>
      </c>
      <c r="M1283" s="95" t="s">
        <v>1679</v>
      </c>
      <c r="N1283" s="90" t="s">
        <v>1902</v>
      </c>
    </row>
    <row r="1284" spans="1:14" ht="16.5">
      <c r="A1284" s="90">
        <v>1281</v>
      </c>
      <c r="B1284" s="47">
        <v>300</v>
      </c>
      <c r="C1284" s="50" t="s">
        <v>1896</v>
      </c>
      <c r="D1284" s="1" t="s">
        <v>1925</v>
      </c>
      <c r="E1284" s="50" t="s">
        <v>1939</v>
      </c>
      <c r="F1284" s="90">
        <v>38</v>
      </c>
      <c r="G1284" s="90">
        <v>30</v>
      </c>
      <c r="H1284" s="90">
        <v>10</v>
      </c>
      <c r="I1284" s="90">
        <v>27</v>
      </c>
      <c r="J1284" s="90">
        <v>32</v>
      </c>
      <c r="K1284" s="90">
        <v>52</v>
      </c>
      <c r="L1284" s="90">
        <v>57</v>
      </c>
      <c r="M1284" s="95">
        <v>1</v>
      </c>
      <c r="N1284" s="90">
        <v>6</v>
      </c>
    </row>
    <row r="1285" spans="1:14" ht="16.5">
      <c r="A1285" s="90">
        <v>1282</v>
      </c>
      <c r="B1285" s="47">
        <v>228</v>
      </c>
      <c r="C1285" s="50" t="s">
        <v>948</v>
      </c>
      <c r="D1285" s="1" t="s">
        <v>1925</v>
      </c>
      <c r="E1285" s="50" t="s">
        <v>1939</v>
      </c>
      <c r="F1285" s="90" t="s">
        <v>1872</v>
      </c>
      <c r="G1285" s="90" t="s">
        <v>1682</v>
      </c>
      <c r="H1285" s="90" t="s">
        <v>1247</v>
      </c>
      <c r="I1285" s="90" t="s">
        <v>1873</v>
      </c>
      <c r="J1285" s="90" t="s">
        <v>1874</v>
      </c>
      <c r="K1285" s="90" t="s">
        <v>1875</v>
      </c>
      <c r="L1285" s="90" t="s">
        <v>1876</v>
      </c>
      <c r="M1285" s="95" t="s">
        <v>1679</v>
      </c>
      <c r="N1285" s="90" t="s">
        <v>1877</v>
      </c>
    </row>
    <row r="1286" spans="1:14" ht="16.5">
      <c r="A1286" s="90">
        <v>1283</v>
      </c>
      <c r="B1286" s="47">
        <v>400</v>
      </c>
      <c r="C1286" s="50" t="s">
        <v>1014</v>
      </c>
      <c r="D1286" s="1" t="s">
        <v>1925</v>
      </c>
      <c r="E1286" s="50" t="s">
        <v>1939</v>
      </c>
      <c r="F1286" s="90" t="s">
        <v>1854</v>
      </c>
      <c r="G1286" s="90" t="s">
        <v>1871</v>
      </c>
      <c r="H1286" s="90" t="s">
        <v>1247</v>
      </c>
      <c r="I1286" s="90" t="s">
        <v>1855</v>
      </c>
      <c r="J1286" s="90" t="s">
        <v>1856</v>
      </c>
      <c r="K1286" s="90" t="s">
        <v>1857</v>
      </c>
      <c r="L1286" s="90" t="s">
        <v>1858</v>
      </c>
      <c r="M1286" s="95" t="s">
        <v>1679</v>
      </c>
      <c r="N1286" s="90" t="s">
        <v>1859</v>
      </c>
    </row>
    <row r="1287" spans="1:14" ht="16.5">
      <c r="A1287" s="90">
        <v>1284</v>
      </c>
      <c r="B1287" s="47">
        <v>400</v>
      </c>
      <c r="C1287" s="50" t="s">
        <v>1014</v>
      </c>
      <c r="D1287" s="50" t="s">
        <v>1852</v>
      </c>
      <c r="E1287" s="50" t="s">
        <v>1939</v>
      </c>
      <c r="F1287" s="90" t="s">
        <v>1854</v>
      </c>
      <c r="G1287" s="90" t="s">
        <v>1871</v>
      </c>
      <c r="H1287" s="90" t="s">
        <v>1247</v>
      </c>
      <c r="I1287" s="90" t="s">
        <v>1855</v>
      </c>
      <c r="J1287" s="90" t="s">
        <v>1856</v>
      </c>
      <c r="K1287" s="90" t="s">
        <v>1857</v>
      </c>
      <c r="L1287" s="90" t="s">
        <v>1858</v>
      </c>
      <c r="M1287" s="95" t="s">
        <v>1679</v>
      </c>
      <c r="N1287" s="90" t="s">
        <v>1859</v>
      </c>
    </row>
    <row r="1288" spans="1:14" ht="16.5">
      <c r="A1288" s="90">
        <v>1285</v>
      </c>
      <c r="B1288" s="47">
        <v>400</v>
      </c>
      <c r="C1288" s="50" t="s">
        <v>1014</v>
      </c>
      <c r="D1288" s="50" t="s">
        <v>1897</v>
      </c>
      <c r="E1288" s="50" t="s">
        <v>1939</v>
      </c>
      <c r="F1288" s="90" t="s">
        <v>1854</v>
      </c>
      <c r="G1288" s="90" t="s">
        <v>1871</v>
      </c>
      <c r="H1288" s="90" t="s">
        <v>1247</v>
      </c>
      <c r="I1288" s="90" t="s">
        <v>1855</v>
      </c>
      <c r="J1288" s="90" t="s">
        <v>1856</v>
      </c>
      <c r="K1288" s="90" t="s">
        <v>1857</v>
      </c>
      <c r="L1288" s="90" t="s">
        <v>1858</v>
      </c>
      <c r="M1288" s="95" t="s">
        <v>1679</v>
      </c>
      <c r="N1288" s="90" t="s">
        <v>1859</v>
      </c>
    </row>
    <row r="1289" spans="1:14" ht="16.5">
      <c r="A1289" s="90">
        <v>1286</v>
      </c>
      <c r="B1289" s="47">
        <v>400</v>
      </c>
      <c r="C1289" s="50" t="s">
        <v>1014</v>
      </c>
      <c r="D1289" s="50" t="s">
        <v>1903</v>
      </c>
      <c r="E1289" s="50" t="s">
        <v>1939</v>
      </c>
      <c r="F1289" s="90" t="s">
        <v>1854</v>
      </c>
      <c r="G1289" s="90" t="s">
        <v>1871</v>
      </c>
      <c r="H1289" s="90" t="s">
        <v>1247</v>
      </c>
      <c r="I1289" s="90" t="s">
        <v>1855</v>
      </c>
      <c r="J1289" s="90" t="s">
        <v>1856</v>
      </c>
      <c r="K1289" s="90" t="s">
        <v>1857</v>
      </c>
      <c r="L1289" s="90" t="s">
        <v>1858</v>
      </c>
      <c r="M1289" s="95" t="s">
        <v>1679</v>
      </c>
      <c r="N1289" s="90" t="s">
        <v>1859</v>
      </c>
    </row>
    <row r="1290" spans="1:14" ht="16.5">
      <c r="A1290" s="90">
        <v>1287</v>
      </c>
      <c r="B1290" s="47">
        <v>400</v>
      </c>
      <c r="C1290" s="50" t="s">
        <v>1014</v>
      </c>
      <c r="D1290" s="50" t="s">
        <v>1905</v>
      </c>
      <c r="E1290" s="50" t="s">
        <v>1939</v>
      </c>
      <c r="F1290" s="90" t="s">
        <v>1854</v>
      </c>
      <c r="G1290" s="90" t="s">
        <v>1871</v>
      </c>
      <c r="H1290" s="90" t="s">
        <v>1247</v>
      </c>
      <c r="I1290" s="90" t="s">
        <v>1855</v>
      </c>
      <c r="J1290" s="90" t="s">
        <v>1856</v>
      </c>
      <c r="K1290" s="90" t="s">
        <v>1857</v>
      </c>
      <c r="L1290" s="90" t="s">
        <v>1858</v>
      </c>
      <c r="M1290" s="95" t="s">
        <v>1679</v>
      </c>
      <c r="N1290" s="90" t="s">
        <v>1859</v>
      </c>
    </row>
    <row r="1291" spans="1:14" ht="16.5">
      <c r="A1291" s="90">
        <v>1288</v>
      </c>
      <c r="B1291" s="47">
        <v>400</v>
      </c>
      <c r="C1291" s="50" t="s">
        <v>1014</v>
      </c>
      <c r="D1291" s="1" t="s">
        <v>1925</v>
      </c>
      <c r="E1291" s="50" t="s">
        <v>1939</v>
      </c>
      <c r="F1291" s="90" t="s">
        <v>1854</v>
      </c>
      <c r="G1291" s="90" t="s">
        <v>1871</v>
      </c>
      <c r="H1291" s="90" t="s">
        <v>1247</v>
      </c>
      <c r="I1291" s="90" t="s">
        <v>1855</v>
      </c>
      <c r="J1291" s="90" t="s">
        <v>1856</v>
      </c>
      <c r="K1291" s="90" t="s">
        <v>1857</v>
      </c>
      <c r="L1291" s="90" t="s">
        <v>1858</v>
      </c>
      <c r="M1291" s="95" t="s">
        <v>1679</v>
      </c>
      <c r="N1291" s="90" t="s">
        <v>1859</v>
      </c>
    </row>
    <row r="1292" spans="1:14" ht="16.5">
      <c r="A1292" s="90">
        <v>1289</v>
      </c>
      <c r="B1292" s="47">
        <v>404</v>
      </c>
      <c r="C1292" s="50" t="s">
        <v>1019</v>
      </c>
      <c r="D1292" s="50" t="s">
        <v>1852</v>
      </c>
      <c r="E1292" s="50" t="s">
        <v>1939</v>
      </c>
      <c r="F1292" s="90" t="s">
        <v>1854</v>
      </c>
      <c r="G1292" s="90" t="s">
        <v>1871</v>
      </c>
      <c r="H1292" s="90" t="s">
        <v>1247</v>
      </c>
      <c r="I1292" s="90" t="s">
        <v>1855</v>
      </c>
      <c r="J1292" s="90" t="s">
        <v>1856</v>
      </c>
      <c r="K1292" s="90" t="s">
        <v>1857</v>
      </c>
      <c r="L1292" s="90" t="s">
        <v>1858</v>
      </c>
      <c r="M1292" s="95" t="s">
        <v>1679</v>
      </c>
      <c r="N1292" s="90" t="s">
        <v>1859</v>
      </c>
    </row>
    <row r="1293" spans="1:14" ht="16.5">
      <c r="A1293" s="90">
        <v>1290</v>
      </c>
      <c r="B1293" s="47">
        <v>404</v>
      </c>
      <c r="C1293" s="50" t="s">
        <v>1019</v>
      </c>
      <c r="D1293" s="50" t="s">
        <v>1897</v>
      </c>
      <c r="E1293" s="50" t="s">
        <v>1939</v>
      </c>
      <c r="F1293" s="90" t="s">
        <v>1854</v>
      </c>
      <c r="G1293" s="90" t="s">
        <v>1871</v>
      </c>
      <c r="H1293" s="90" t="s">
        <v>1247</v>
      </c>
      <c r="I1293" s="90" t="s">
        <v>1855</v>
      </c>
      <c r="J1293" s="90" t="s">
        <v>1856</v>
      </c>
      <c r="K1293" s="90" t="s">
        <v>1857</v>
      </c>
      <c r="L1293" s="90" t="s">
        <v>1858</v>
      </c>
      <c r="M1293" s="95" t="s">
        <v>1679</v>
      </c>
      <c r="N1293" s="90" t="s">
        <v>1859</v>
      </c>
    </row>
    <row r="1294" spans="1:14" ht="16.5">
      <c r="A1294" s="90">
        <v>1291</v>
      </c>
      <c r="B1294" s="47">
        <v>404</v>
      </c>
      <c r="C1294" s="50" t="s">
        <v>1019</v>
      </c>
      <c r="D1294" s="50" t="s">
        <v>1903</v>
      </c>
      <c r="E1294" s="50" t="s">
        <v>1939</v>
      </c>
      <c r="F1294" s="90" t="s">
        <v>1854</v>
      </c>
      <c r="G1294" s="90" t="s">
        <v>1871</v>
      </c>
      <c r="H1294" s="90" t="s">
        <v>1247</v>
      </c>
      <c r="I1294" s="90" t="s">
        <v>1855</v>
      </c>
      <c r="J1294" s="90" t="s">
        <v>1856</v>
      </c>
      <c r="K1294" s="90" t="s">
        <v>1857</v>
      </c>
      <c r="L1294" s="90" t="s">
        <v>1858</v>
      </c>
      <c r="M1294" s="95" t="s">
        <v>1679</v>
      </c>
      <c r="N1294" s="90" t="s">
        <v>1859</v>
      </c>
    </row>
    <row r="1295" spans="1:14" ht="16.5">
      <c r="A1295" s="90">
        <v>1292</v>
      </c>
      <c r="B1295" s="47">
        <v>404</v>
      </c>
      <c r="C1295" s="50" t="s">
        <v>1019</v>
      </c>
      <c r="D1295" s="50" t="s">
        <v>1905</v>
      </c>
      <c r="E1295" s="50" t="s">
        <v>1939</v>
      </c>
      <c r="F1295" s="90" t="s">
        <v>1854</v>
      </c>
      <c r="G1295" s="90" t="s">
        <v>1871</v>
      </c>
      <c r="H1295" s="90" t="s">
        <v>1247</v>
      </c>
      <c r="I1295" s="90" t="s">
        <v>1855</v>
      </c>
      <c r="J1295" s="90" t="s">
        <v>1856</v>
      </c>
      <c r="K1295" s="90" t="s">
        <v>1857</v>
      </c>
      <c r="L1295" s="90" t="s">
        <v>1858</v>
      </c>
      <c r="M1295" s="95" t="s">
        <v>1679</v>
      </c>
      <c r="N1295" s="90" t="s">
        <v>1859</v>
      </c>
    </row>
    <row r="1296" spans="1:14" ht="16.5">
      <c r="A1296" s="90">
        <v>1293</v>
      </c>
      <c r="B1296" s="47">
        <v>404</v>
      </c>
      <c r="C1296" s="50" t="s">
        <v>1019</v>
      </c>
      <c r="D1296" s="1" t="s">
        <v>1925</v>
      </c>
      <c r="E1296" s="50" t="s">
        <v>1939</v>
      </c>
      <c r="F1296" s="90" t="s">
        <v>1854</v>
      </c>
      <c r="G1296" s="90" t="s">
        <v>1871</v>
      </c>
      <c r="H1296" s="90" t="s">
        <v>1247</v>
      </c>
      <c r="I1296" s="90" t="s">
        <v>1855</v>
      </c>
      <c r="J1296" s="90" t="s">
        <v>1856</v>
      </c>
      <c r="K1296" s="90" t="s">
        <v>1857</v>
      </c>
      <c r="L1296" s="90" t="s">
        <v>1858</v>
      </c>
      <c r="M1296" s="95" t="s">
        <v>1679</v>
      </c>
      <c r="N1296" s="90" t="s">
        <v>1859</v>
      </c>
    </row>
    <row r="1297" spans="1:14" ht="16.5">
      <c r="A1297" s="90">
        <v>1294</v>
      </c>
      <c r="B1297" s="47">
        <v>409</v>
      </c>
      <c r="C1297" s="50" t="s">
        <v>1019</v>
      </c>
      <c r="D1297" s="50" t="s">
        <v>1852</v>
      </c>
      <c r="E1297" s="50" t="s">
        <v>1939</v>
      </c>
      <c r="F1297" s="90" t="s">
        <v>1854</v>
      </c>
      <c r="G1297" s="90" t="s">
        <v>1871</v>
      </c>
      <c r="H1297" s="90" t="s">
        <v>1247</v>
      </c>
      <c r="I1297" s="90" t="s">
        <v>1855</v>
      </c>
      <c r="J1297" s="90" t="s">
        <v>1856</v>
      </c>
      <c r="K1297" s="90" t="s">
        <v>1857</v>
      </c>
      <c r="L1297" s="90" t="s">
        <v>1858</v>
      </c>
      <c r="M1297" s="95" t="s">
        <v>1679</v>
      </c>
      <c r="N1297" s="90" t="s">
        <v>1859</v>
      </c>
    </row>
    <row r="1298" spans="1:14" ht="16.5">
      <c r="A1298" s="90">
        <v>1295</v>
      </c>
      <c r="B1298" s="47">
        <v>409</v>
      </c>
      <c r="C1298" s="50" t="s">
        <v>1023</v>
      </c>
      <c r="D1298" s="50" t="s">
        <v>1897</v>
      </c>
      <c r="E1298" s="50" t="s">
        <v>1939</v>
      </c>
      <c r="F1298" s="90" t="s">
        <v>1854</v>
      </c>
      <c r="G1298" s="90" t="s">
        <v>1871</v>
      </c>
      <c r="H1298" s="90" t="s">
        <v>1247</v>
      </c>
      <c r="I1298" s="90" t="s">
        <v>1855</v>
      </c>
      <c r="J1298" s="90" t="s">
        <v>1856</v>
      </c>
      <c r="K1298" s="90" t="s">
        <v>1857</v>
      </c>
      <c r="L1298" s="90" t="s">
        <v>1858</v>
      </c>
      <c r="M1298" s="95" t="s">
        <v>1679</v>
      </c>
      <c r="N1298" s="90" t="s">
        <v>1859</v>
      </c>
    </row>
    <row r="1299" spans="1:14" ht="16.5">
      <c r="A1299" s="90">
        <v>1296</v>
      </c>
      <c r="B1299" s="47">
        <v>409</v>
      </c>
      <c r="C1299" s="50" t="s">
        <v>1023</v>
      </c>
      <c r="D1299" s="50" t="s">
        <v>1903</v>
      </c>
      <c r="E1299" s="50" t="s">
        <v>1939</v>
      </c>
      <c r="F1299" s="90" t="s">
        <v>1854</v>
      </c>
      <c r="G1299" s="90" t="s">
        <v>1871</v>
      </c>
      <c r="H1299" s="90" t="s">
        <v>1247</v>
      </c>
      <c r="I1299" s="90" t="s">
        <v>1855</v>
      </c>
      <c r="J1299" s="90" t="s">
        <v>1856</v>
      </c>
      <c r="K1299" s="90" t="s">
        <v>1857</v>
      </c>
      <c r="L1299" s="90" t="s">
        <v>1858</v>
      </c>
      <c r="M1299" s="95" t="s">
        <v>1679</v>
      </c>
      <c r="N1299" s="90" t="s">
        <v>1859</v>
      </c>
    </row>
    <row r="1300" spans="1:14" ht="16.5">
      <c r="A1300" s="90">
        <v>1297</v>
      </c>
      <c r="B1300" s="47">
        <v>409</v>
      </c>
      <c r="C1300" s="50" t="s">
        <v>1023</v>
      </c>
      <c r="D1300" s="50" t="s">
        <v>1905</v>
      </c>
      <c r="E1300" s="50" t="s">
        <v>1939</v>
      </c>
      <c r="F1300" s="90" t="s">
        <v>1854</v>
      </c>
      <c r="G1300" s="90" t="s">
        <v>1871</v>
      </c>
      <c r="H1300" s="90" t="s">
        <v>1247</v>
      </c>
      <c r="I1300" s="90" t="s">
        <v>1855</v>
      </c>
      <c r="J1300" s="90" t="s">
        <v>1856</v>
      </c>
      <c r="K1300" s="90" t="s">
        <v>1857</v>
      </c>
      <c r="L1300" s="90" t="s">
        <v>1858</v>
      </c>
      <c r="M1300" s="95" t="s">
        <v>1679</v>
      </c>
      <c r="N1300" s="90" t="s">
        <v>1859</v>
      </c>
    </row>
    <row r="1301" spans="1:14" ht="16.5">
      <c r="A1301" s="90">
        <v>1298</v>
      </c>
      <c r="B1301" s="47">
        <v>409</v>
      </c>
      <c r="C1301" s="50" t="s">
        <v>1023</v>
      </c>
      <c r="D1301" s="1" t="s">
        <v>1925</v>
      </c>
      <c r="E1301" s="50" t="s">
        <v>1939</v>
      </c>
      <c r="F1301" s="90" t="s">
        <v>1854</v>
      </c>
      <c r="G1301" s="90" t="s">
        <v>1871</v>
      </c>
      <c r="H1301" s="90" t="s">
        <v>1247</v>
      </c>
      <c r="I1301" s="90" t="s">
        <v>1855</v>
      </c>
      <c r="J1301" s="90" t="s">
        <v>1856</v>
      </c>
      <c r="K1301" s="90" t="s">
        <v>1857</v>
      </c>
      <c r="L1301" s="90" t="s">
        <v>1858</v>
      </c>
      <c r="M1301" s="95" t="s">
        <v>1679</v>
      </c>
      <c r="N1301" s="90" t="s">
        <v>1859</v>
      </c>
    </row>
    <row r="1302" spans="1:14" ht="16.5">
      <c r="A1302" s="90">
        <v>1299</v>
      </c>
      <c r="B1302" s="226">
        <v>410</v>
      </c>
      <c r="C1302" s="228" t="s">
        <v>2308</v>
      </c>
      <c r="D1302" s="50" t="s">
        <v>1905</v>
      </c>
      <c r="E1302" s="50" t="s">
        <v>1939</v>
      </c>
      <c r="F1302" s="90" t="s">
        <v>1872</v>
      </c>
      <c r="G1302" s="90" t="s">
        <v>1682</v>
      </c>
      <c r="H1302" s="90" t="s">
        <v>1247</v>
      </c>
      <c r="I1302" s="90" t="s">
        <v>1873</v>
      </c>
      <c r="J1302" s="90" t="s">
        <v>1874</v>
      </c>
      <c r="K1302" s="90" t="s">
        <v>1875</v>
      </c>
      <c r="L1302" s="90" t="s">
        <v>1876</v>
      </c>
      <c r="M1302" s="95" t="s">
        <v>1679</v>
      </c>
      <c r="N1302" s="90" t="s">
        <v>1877</v>
      </c>
    </row>
    <row r="1303" spans="1:14" ht="16.5">
      <c r="A1303" s="90">
        <v>1300</v>
      </c>
      <c r="B1303" s="226">
        <v>410</v>
      </c>
      <c r="C1303" s="227" t="s">
        <v>2308</v>
      </c>
      <c r="D1303" s="1" t="s">
        <v>1925</v>
      </c>
      <c r="E1303" s="50" t="s">
        <v>1939</v>
      </c>
      <c r="F1303" s="90" t="s">
        <v>1872</v>
      </c>
      <c r="G1303" s="90" t="s">
        <v>1682</v>
      </c>
      <c r="H1303" s="90" t="s">
        <v>1247</v>
      </c>
      <c r="I1303" s="90" t="s">
        <v>1873</v>
      </c>
      <c r="J1303" s="90" t="s">
        <v>1874</v>
      </c>
      <c r="K1303" s="90" t="s">
        <v>1875</v>
      </c>
      <c r="L1303" s="90" t="s">
        <v>1876</v>
      </c>
      <c r="M1303" s="95" t="s">
        <v>1679</v>
      </c>
      <c r="N1303" s="90" t="s">
        <v>1877</v>
      </c>
    </row>
  </sheetData>
  <phoneticPr fontId="2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499"/>
  <sheetViews>
    <sheetView workbookViewId="0">
      <selection activeCell="C17" sqref="C17"/>
    </sheetView>
  </sheetViews>
  <sheetFormatPr defaultColWidth="8.58203125" defaultRowHeight="16.5"/>
  <cols>
    <col min="1" max="1" width="9.58203125" style="53" customWidth="1"/>
    <col min="2" max="2" width="11.33203125" style="53" customWidth="1"/>
    <col min="3" max="3" width="21.58203125" style="53" customWidth="1"/>
    <col min="4" max="4" width="11.58203125" style="53" customWidth="1"/>
    <col min="5" max="5" width="9.08203125" style="53" customWidth="1"/>
    <col min="6" max="6" width="11" style="53" customWidth="1"/>
    <col min="7" max="7" width="13.58203125" style="53" customWidth="1"/>
    <col min="8" max="8" width="7.33203125" style="53" bestFit="1" customWidth="1"/>
    <col min="9" max="9" width="11.58203125" style="53" customWidth="1"/>
    <col min="10" max="10" width="7.33203125" style="53" bestFit="1" customWidth="1"/>
    <col min="11" max="11" width="12.33203125" style="53" customWidth="1"/>
    <col min="12" max="12" width="13" style="53" customWidth="1"/>
    <col min="13" max="13" width="9.08203125" style="53" customWidth="1"/>
    <col min="14" max="15" width="9" style="53" customWidth="1"/>
    <col min="16" max="28" width="13" style="53" customWidth="1"/>
    <col min="29" max="16384" width="8.58203125" style="53"/>
  </cols>
  <sheetData>
    <row r="1" spans="1:28" ht="15" customHeight="1">
      <c r="A1" s="54" t="s">
        <v>1940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44"/>
    </row>
    <row r="2" spans="1:28" ht="15" customHeight="1">
      <c r="A2" s="55" t="s">
        <v>1849</v>
      </c>
      <c r="B2" s="55" t="s">
        <v>1941</v>
      </c>
      <c r="C2" s="55"/>
      <c r="D2" s="55" t="s">
        <v>1942</v>
      </c>
      <c r="E2" s="55" t="s">
        <v>1943</v>
      </c>
      <c r="F2" s="55" t="s">
        <v>1944</v>
      </c>
      <c r="G2" s="55"/>
      <c r="H2" s="55"/>
      <c r="I2" s="55"/>
      <c r="J2" s="55"/>
      <c r="K2" s="55"/>
      <c r="L2" s="55"/>
      <c r="M2" s="55"/>
      <c r="N2" s="48"/>
    </row>
    <row r="3" spans="1:28" ht="15" customHeight="1">
      <c r="A3" s="56" t="s">
        <v>702</v>
      </c>
      <c r="B3" s="56" t="s">
        <v>1945</v>
      </c>
      <c r="C3" s="56"/>
      <c r="D3" s="56" t="s">
        <v>1946</v>
      </c>
      <c r="E3" s="56" t="s">
        <v>1947</v>
      </c>
      <c r="F3" s="56" t="s">
        <v>1948</v>
      </c>
      <c r="G3" s="56"/>
      <c r="H3" s="56"/>
      <c r="I3" s="56"/>
      <c r="J3" s="56"/>
      <c r="K3" s="56"/>
      <c r="L3" s="56"/>
      <c r="M3" s="56"/>
      <c r="N3" s="63"/>
    </row>
    <row r="4" spans="1:28">
      <c r="A4" s="57">
        <v>1</v>
      </c>
      <c r="B4" s="57">
        <v>201</v>
      </c>
      <c r="C4" s="57">
        <v>0</v>
      </c>
      <c r="D4" s="58">
        <v>0</v>
      </c>
      <c r="E4" s="58">
        <v>0</v>
      </c>
      <c r="F4" s="58">
        <v>0</v>
      </c>
      <c r="G4" s="59" t="str">
        <f>D4&amp;"|"&amp;E4&amp;"|"&amp;F4</f>
        <v>0|0|0</v>
      </c>
      <c r="H4" s="57">
        <v>0</v>
      </c>
      <c r="I4" s="64">
        <v>0</v>
      </c>
      <c r="J4" s="57">
        <v>0</v>
      </c>
      <c r="K4" s="65"/>
      <c r="N4" s="66" t="s">
        <v>66</v>
      </c>
    </row>
    <row r="5" spans="1:28">
      <c r="B5" s="60">
        <v>202</v>
      </c>
      <c r="C5" s="60">
        <v>0</v>
      </c>
      <c r="D5" s="61">
        <v>-37</v>
      </c>
      <c r="E5" s="61">
        <v>0</v>
      </c>
      <c r="F5" s="61">
        <v>-28</v>
      </c>
      <c r="G5" s="59" t="str">
        <f>D5&amp;"|"&amp;E5&amp;"|"&amp;F5</f>
        <v>-37|0|-28</v>
      </c>
      <c r="H5" s="60">
        <v>18</v>
      </c>
      <c r="I5" s="67">
        <v>-8.9263915999999999E-4</v>
      </c>
      <c r="J5" s="60">
        <v>-33</v>
      </c>
      <c r="K5" s="60"/>
      <c r="N5" s="66" t="s">
        <v>154</v>
      </c>
    </row>
    <row r="6" spans="1:28">
      <c r="B6" s="60"/>
      <c r="C6" s="60">
        <v>0</v>
      </c>
      <c r="D6" s="61">
        <v>-50</v>
      </c>
      <c r="E6" s="61">
        <v>0</v>
      </c>
      <c r="F6" s="61">
        <v>-38</v>
      </c>
      <c r="G6" s="59" t="str">
        <f t="shared" ref="G6:G72" si="0">D6&amp;"|"&amp;E6&amp;"|"&amp;F6</f>
        <v>-50|0|-38</v>
      </c>
      <c r="H6" s="60">
        <v>51</v>
      </c>
      <c r="I6" s="67">
        <v>-8.8882445999999998E-4</v>
      </c>
      <c r="J6" s="60">
        <v>-15</v>
      </c>
      <c r="K6" s="60"/>
      <c r="N6" s="66"/>
    </row>
    <row r="7" spans="1:28">
      <c r="B7" s="60"/>
      <c r="C7" s="60">
        <v>0</v>
      </c>
      <c r="D7" s="61">
        <v>-37</v>
      </c>
      <c r="E7" s="61">
        <v>0</v>
      </c>
      <c r="F7" s="61">
        <v>-44</v>
      </c>
      <c r="G7" s="59" t="str">
        <f t="shared" si="0"/>
        <v>-37|0|-44</v>
      </c>
      <c r="H7" s="60">
        <v>36</v>
      </c>
      <c r="I7" s="67">
        <v>-8.8500977000000004E-4</v>
      </c>
      <c r="J7" s="60">
        <v>-15</v>
      </c>
      <c r="K7" s="60"/>
      <c r="N7" s="66"/>
    </row>
    <row r="8" spans="1:28">
      <c r="B8" s="60"/>
      <c r="C8" s="60">
        <v>0</v>
      </c>
      <c r="D8" s="61">
        <v>-37</v>
      </c>
      <c r="E8" s="61">
        <v>0</v>
      </c>
      <c r="F8" s="61">
        <v>-58</v>
      </c>
      <c r="G8" s="59" t="str">
        <f t="shared" si="0"/>
        <v>-37|0|-58</v>
      </c>
      <c r="H8" s="60">
        <v>30</v>
      </c>
      <c r="I8" s="67">
        <v>-8.8882445999999998E-4</v>
      </c>
      <c r="J8" s="60">
        <v>-27</v>
      </c>
      <c r="K8" s="60"/>
      <c r="N8" s="66"/>
      <c r="AA8" s="65"/>
      <c r="AB8" s="65"/>
    </row>
    <row r="9" spans="1:28">
      <c r="B9" s="60">
        <v>203</v>
      </c>
      <c r="C9" s="60">
        <v>0</v>
      </c>
      <c r="D9" s="61">
        <v>130</v>
      </c>
      <c r="E9" s="61">
        <v>-9</v>
      </c>
      <c r="F9" s="61">
        <v>-42</v>
      </c>
      <c r="G9" s="59" t="str">
        <f t="shared" si="0"/>
        <v>130|-9|-42</v>
      </c>
      <c r="H9" s="60">
        <v>108</v>
      </c>
      <c r="I9" s="67">
        <v>-9.1009030000000006</v>
      </c>
      <c r="J9" s="60">
        <v>-63</v>
      </c>
      <c r="K9" s="65"/>
      <c r="N9" s="66" t="s">
        <v>202</v>
      </c>
      <c r="AA9" s="60"/>
      <c r="AB9" s="60"/>
    </row>
    <row r="10" spans="1:28">
      <c r="B10" s="60"/>
      <c r="C10" s="60">
        <v>0</v>
      </c>
      <c r="D10" s="61">
        <v>145</v>
      </c>
      <c r="E10" s="61">
        <v>-9</v>
      </c>
      <c r="F10" s="61">
        <v>-42</v>
      </c>
      <c r="G10" s="59" t="str">
        <f t="shared" si="0"/>
        <v>145|-9|-42</v>
      </c>
      <c r="H10" s="60">
        <v>117</v>
      </c>
      <c r="I10" s="60">
        <v>-9.1008990000000001</v>
      </c>
      <c r="J10" s="60">
        <v>-87</v>
      </c>
      <c r="K10" s="60"/>
      <c r="N10" s="66"/>
      <c r="AA10" s="65"/>
      <c r="AB10" s="65"/>
    </row>
    <row r="11" spans="1:28">
      <c r="B11" s="60"/>
      <c r="C11" s="60">
        <v>0</v>
      </c>
      <c r="D11" s="61">
        <v>95</v>
      </c>
      <c r="E11" s="61">
        <v>-9</v>
      </c>
      <c r="F11" s="61">
        <v>-91</v>
      </c>
      <c r="G11" s="59" t="str">
        <f t="shared" si="0"/>
        <v>95|-9|-91</v>
      </c>
      <c r="H11" s="60">
        <v>93</v>
      </c>
      <c r="I11" s="67">
        <v>-9.1009030000000006</v>
      </c>
      <c r="J11" s="60">
        <v>-87</v>
      </c>
      <c r="K11" s="60"/>
      <c r="N11" s="66"/>
      <c r="AA11" s="60"/>
      <c r="AB11" s="60"/>
    </row>
    <row r="12" spans="1:28">
      <c r="B12" s="60"/>
      <c r="C12" s="60">
        <v>0</v>
      </c>
      <c r="D12" s="61">
        <v>129</v>
      </c>
      <c r="E12" s="61">
        <v>-9</v>
      </c>
      <c r="F12" s="61">
        <v>-67</v>
      </c>
      <c r="G12" s="59" t="str">
        <f t="shared" si="0"/>
        <v>129|-9|-67</v>
      </c>
      <c r="H12" s="60">
        <v>120</v>
      </c>
      <c r="I12" s="60">
        <v>-9.1008949999999995</v>
      </c>
      <c r="J12" s="60">
        <v>-39</v>
      </c>
      <c r="K12" s="60"/>
      <c r="N12" s="66"/>
      <c r="AA12" s="60"/>
      <c r="AB12" s="60"/>
    </row>
    <row r="13" spans="1:28">
      <c r="B13" s="60">
        <v>204</v>
      </c>
      <c r="C13" s="60">
        <v>0</v>
      </c>
      <c r="D13" s="61">
        <v>41</v>
      </c>
      <c r="E13" s="61">
        <v>-9</v>
      </c>
      <c r="F13" s="61">
        <v>-114</v>
      </c>
      <c r="G13" s="59" t="str">
        <f t="shared" si="0"/>
        <v>41|-9|-114</v>
      </c>
      <c r="H13" s="60">
        <v>45</v>
      </c>
      <c r="I13" s="60">
        <v>-9.1009030000000006</v>
      </c>
      <c r="J13" s="60">
        <v>-96</v>
      </c>
      <c r="K13" s="60"/>
      <c r="N13" s="66" t="s">
        <v>226</v>
      </c>
      <c r="AA13" s="65"/>
      <c r="AB13" s="65"/>
    </row>
    <row r="14" spans="1:28">
      <c r="B14" s="60"/>
      <c r="C14" s="60">
        <v>0</v>
      </c>
      <c r="D14" s="61">
        <v>51</v>
      </c>
      <c r="E14" s="61">
        <v>-9</v>
      </c>
      <c r="F14" s="61">
        <v>-100</v>
      </c>
      <c r="G14" s="59" t="str">
        <f t="shared" si="0"/>
        <v>51|-9|-100</v>
      </c>
      <c r="H14" s="60">
        <v>30</v>
      </c>
      <c r="I14" s="67">
        <v>-9.1009030000000006</v>
      </c>
      <c r="J14" s="60">
        <v>-96</v>
      </c>
      <c r="K14" s="60"/>
      <c r="N14" s="66"/>
      <c r="AA14" s="60"/>
      <c r="AB14" s="60"/>
    </row>
    <row r="15" spans="1:28">
      <c r="B15" s="60"/>
      <c r="C15" s="60">
        <v>0</v>
      </c>
      <c r="D15" s="61">
        <v>64</v>
      </c>
      <c r="E15" s="61">
        <v>-9</v>
      </c>
      <c r="F15" s="61">
        <v>-114</v>
      </c>
      <c r="G15" s="59" t="str">
        <f t="shared" si="0"/>
        <v>64|-9|-114</v>
      </c>
      <c r="H15" s="60">
        <v>27</v>
      </c>
      <c r="I15" s="67">
        <v>-9.1009060000000002</v>
      </c>
      <c r="J15" s="60">
        <v>-120</v>
      </c>
      <c r="K15" s="60"/>
      <c r="N15" s="66"/>
      <c r="AA15" s="60"/>
      <c r="AB15" s="60"/>
    </row>
    <row r="16" spans="1:28">
      <c r="B16" s="60"/>
      <c r="C16" s="60">
        <v>0</v>
      </c>
      <c r="D16" s="61">
        <v>54</v>
      </c>
      <c r="E16" s="61">
        <v>-9</v>
      </c>
      <c r="F16" s="61">
        <v>-119</v>
      </c>
      <c r="G16" s="59" t="str">
        <f t="shared" si="0"/>
        <v>54|-9|-119</v>
      </c>
      <c r="H16" s="60">
        <v>45</v>
      </c>
      <c r="I16" s="67">
        <v>-9.1009100000000007</v>
      </c>
      <c r="J16" s="60">
        <v>-120</v>
      </c>
      <c r="K16" s="60"/>
      <c r="N16" s="66"/>
      <c r="AA16" s="65"/>
      <c r="AB16" s="65"/>
    </row>
    <row r="17" spans="2:28">
      <c r="B17" s="60">
        <v>205</v>
      </c>
      <c r="C17" s="60">
        <v>0</v>
      </c>
      <c r="D17" s="61">
        <v>-89</v>
      </c>
      <c r="E17" s="61">
        <v>0</v>
      </c>
      <c r="F17" s="61">
        <v>-47</v>
      </c>
      <c r="G17" s="59" t="str">
        <f t="shared" si="0"/>
        <v>-89|0|-47</v>
      </c>
      <c r="H17" s="60">
        <v>-99</v>
      </c>
      <c r="I17" s="67">
        <v>-8.9263915999999999E-4</v>
      </c>
      <c r="J17" s="60">
        <v>-66</v>
      </c>
      <c r="K17" s="60"/>
      <c r="N17" s="66" t="s">
        <v>249</v>
      </c>
      <c r="AA17" s="68"/>
      <c r="AB17" s="68"/>
    </row>
    <row r="18" spans="2:28">
      <c r="B18" s="60"/>
      <c r="C18" s="60">
        <v>0</v>
      </c>
      <c r="D18" s="61">
        <v>-88</v>
      </c>
      <c r="E18" s="61">
        <v>0</v>
      </c>
      <c r="F18" s="61">
        <v>-23</v>
      </c>
      <c r="G18" s="59" t="str">
        <f t="shared" si="0"/>
        <v>-88|0|-23</v>
      </c>
      <c r="H18" s="60">
        <v>-102</v>
      </c>
      <c r="I18" s="67">
        <v>-8.9645386E-4</v>
      </c>
      <c r="J18" s="60">
        <v>-54</v>
      </c>
      <c r="K18" s="60"/>
      <c r="N18" s="66"/>
      <c r="AA18" s="60"/>
      <c r="AB18" s="60"/>
    </row>
    <row r="19" spans="2:28">
      <c r="B19" s="60"/>
      <c r="C19" s="60">
        <v>0</v>
      </c>
      <c r="D19" s="61">
        <v>-93</v>
      </c>
      <c r="E19" s="61">
        <v>0</v>
      </c>
      <c r="F19" s="61">
        <v>-34</v>
      </c>
      <c r="G19" s="59" t="str">
        <f t="shared" si="0"/>
        <v>-93|0|-34</v>
      </c>
      <c r="H19" s="60">
        <v>-106</v>
      </c>
      <c r="I19" s="67">
        <v>-9.0026856000000001E-4</v>
      </c>
      <c r="J19" s="60">
        <v>-80</v>
      </c>
      <c r="K19" s="60"/>
      <c r="N19" s="66"/>
      <c r="AA19" s="60"/>
      <c r="AB19" s="60"/>
    </row>
    <row r="20" spans="2:28">
      <c r="B20" s="60"/>
      <c r="C20" s="60">
        <v>0</v>
      </c>
      <c r="D20" s="61">
        <v>-85</v>
      </c>
      <c r="E20" s="61">
        <v>0</v>
      </c>
      <c r="F20" s="61">
        <v>3</v>
      </c>
      <c r="G20" s="59" t="str">
        <f t="shared" si="0"/>
        <v>-85|0|3</v>
      </c>
      <c r="H20" s="60">
        <v>-103</v>
      </c>
      <c r="I20" s="67">
        <v>-9.0408326000000002E-4</v>
      </c>
      <c r="J20" s="60">
        <v>-54</v>
      </c>
      <c r="K20" s="60"/>
      <c r="N20" s="66"/>
      <c r="AA20" s="60"/>
      <c r="AB20" s="60"/>
    </row>
    <row r="21" spans="2:28">
      <c r="B21" s="60">
        <v>206</v>
      </c>
      <c r="C21" s="60">
        <v>0</v>
      </c>
      <c r="D21" s="61">
        <v>48</v>
      </c>
      <c r="E21" s="61">
        <v>0</v>
      </c>
      <c r="F21" s="61">
        <v>48</v>
      </c>
      <c r="G21" s="59" t="str">
        <f t="shared" si="0"/>
        <v>48|0|48</v>
      </c>
      <c r="H21" s="60">
        <v>36</v>
      </c>
      <c r="I21" s="67">
        <v>-8.8882445999999998E-4</v>
      </c>
      <c r="J21" s="60">
        <v>21</v>
      </c>
      <c r="K21" s="65"/>
      <c r="N21" s="66" t="s">
        <v>293</v>
      </c>
      <c r="AA21" s="60"/>
      <c r="AB21" s="60"/>
    </row>
    <row r="22" spans="2:28">
      <c r="B22" s="60">
        <v>207</v>
      </c>
      <c r="C22" s="60">
        <v>0</v>
      </c>
      <c r="D22" s="61">
        <v>128</v>
      </c>
      <c r="E22" s="61">
        <v>-9</v>
      </c>
      <c r="F22" s="61">
        <v>-54</v>
      </c>
      <c r="G22" s="59" t="str">
        <f t="shared" si="0"/>
        <v>128|-9|-54</v>
      </c>
      <c r="H22" s="60">
        <v>105</v>
      </c>
      <c r="I22" s="60">
        <v>-9.1009030000000006</v>
      </c>
      <c r="J22" s="60">
        <v>-87</v>
      </c>
      <c r="K22" s="60"/>
      <c r="N22" s="66" t="s">
        <v>595</v>
      </c>
      <c r="AA22" s="65"/>
      <c r="AB22" s="65"/>
    </row>
    <row r="23" spans="2:28">
      <c r="B23" s="60"/>
      <c r="C23" s="60">
        <v>0</v>
      </c>
      <c r="D23" s="61">
        <v>132</v>
      </c>
      <c r="E23" s="61">
        <v>-9</v>
      </c>
      <c r="F23" s="61">
        <v>-91</v>
      </c>
      <c r="G23" s="59" t="str">
        <f t="shared" si="0"/>
        <v>132|-9|-91</v>
      </c>
      <c r="H23" s="60">
        <v>117</v>
      </c>
      <c r="I23" s="60">
        <v>-9.1009030000000006</v>
      </c>
      <c r="J23" s="60">
        <v>-99</v>
      </c>
      <c r="K23" s="60"/>
      <c r="N23" s="66"/>
      <c r="AA23" s="60"/>
      <c r="AB23" s="60"/>
    </row>
    <row r="24" spans="2:28">
      <c r="B24" s="60"/>
      <c r="C24" s="60">
        <v>0</v>
      </c>
      <c r="D24" s="61">
        <v>115</v>
      </c>
      <c r="E24" s="61">
        <v>-9</v>
      </c>
      <c r="F24" s="61">
        <v>-53</v>
      </c>
      <c r="G24" s="59" t="str">
        <f t="shared" si="0"/>
        <v>115|-9|-53</v>
      </c>
      <c r="H24" s="60">
        <v>108</v>
      </c>
      <c r="I24" s="60">
        <v>-9.1008949999999995</v>
      </c>
      <c r="J24" s="60">
        <v>-51</v>
      </c>
      <c r="K24" s="60"/>
      <c r="N24" s="66"/>
      <c r="AA24" s="68"/>
      <c r="AB24" s="68"/>
    </row>
    <row r="25" spans="2:28">
      <c r="B25" s="60"/>
      <c r="C25" s="60">
        <v>0</v>
      </c>
      <c r="D25" s="61">
        <v>141</v>
      </c>
      <c r="E25" s="61">
        <v>-9</v>
      </c>
      <c r="F25" s="61">
        <v>-54</v>
      </c>
      <c r="G25" s="59" t="str">
        <f t="shared" si="0"/>
        <v>141|-9|-54</v>
      </c>
      <c r="H25" s="60">
        <v>102</v>
      </c>
      <c r="I25" s="60">
        <v>-9.1009030000000006</v>
      </c>
      <c r="J25" s="60">
        <v>-75</v>
      </c>
      <c r="K25" s="60"/>
      <c r="N25" s="66"/>
      <c r="AA25" s="65"/>
      <c r="AB25" s="65"/>
    </row>
    <row r="26" spans="2:28">
      <c r="B26" s="60"/>
      <c r="C26" s="60">
        <v>0</v>
      </c>
      <c r="D26" s="61">
        <v>104</v>
      </c>
      <c r="E26" s="61">
        <v>-9</v>
      </c>
      <c r="F26" s="61">
        <v>-66</v>
      </c>
      <c r="G26" s="59" t="str">
        <f t="shared" si="0"/>
        <v>104|-9|-66</v>
      </c>
      <c r="H26" s="60">
        <v>129</v>
      </c>
      <c r="I26" s="60">
        <v>-9.1009030000000006</v>
      </c>
      <c r="J26" s="60">
        <v>-87</v>
      </c>
      <c r="K26" s="60"/>
      <c r="N26" s="66"/>
      <c r="AA26" s="60"/>
      <c r="AB26" s="69"/>
    </row>
    <row r="27" spans="2:28">
      <c r="B27" s="60"/>
      <c r="C27" s="60">
        <v>0</v>
      </c>
      <c r="D27" s="61">
        <v>141</v>
      </c>
      <c r="E27" s="61">
        <v>-9</v>
      </c>
      <c r="F27" s="61">
        <v>-67</v>
      </c>
      <c r="G27" s="59" t="str">
        <f t="shared" si="0"/>
        <v>141|-9|-67</v>
      </c>
      <c r="H27" s="60">
        <v>126</v>
      </c>
      <c r="I27" s="60">
        <v>-9.1008990000000001</v>
      </c>
      <c r="J27" s="60">
        <v>-75</v>
      </c>
      <c r="K27" s="60"/>
      <c r="N27" s="66"/>
      <c r="AA27" s="65"/>
      <c r="AB27" s="70"/>
    </row>
    <row r="28" spans="2:28">
      <c r="B28" s="60"/>
      <c r="C28" s="60">
        <v>0</v>
      </c>
      <c r="D28" s="61">
        <v>132</v>
      </c>
      <c r="E28" s="61">
        <v>-9</v>
      </c>
      <c r="F28" s="61">
        <v>-79</v>
      </c>
      <c r="G28" s="59" t="str">
        <f t="shared" si="0"/>
        <v>132|-9|-79</v>
      </c>
      <c r="H28" s="60">
        <v>114</v>
      </c>
      <c r="I28" s="60">
        <v>-9.1008990000000001</v>
      </c>
      <c r="J28" s="60">
        <v>-75</v>
      </c>
      <c r="K28" s="60"/>
      <c r="N28" s="66"/>
      <c r="AA28" s="60"/>
      <c r="AB28" s="60"/>
    </row>
    <row r="29" spans="2:28">
      <c r="B29" s="60"/>
      <c r="C29" s="60">
        <v>0</v>
      </c>
      <c r="D29" s="61">
        <v>107</v>
      </c>
      <c r="E29" s="61">
        <v>-9</v>
      </c>
      <c r="F29" s="61">
        <v>-91</v>
      </c>
      <c r="G29" s="59" t="str">
        <f t="shared" si="0"/>
        <v>107|-9|-91</v>
      </c>
      <c r="H29" s="60">
        <v>132</v>
      </c>
      <c r="I29" s="60">
        <v>-9.1008910000000007</v>
      </c>
      <c r="J29" s="60">
        <v>-39</v>
      </c>
      <c r="K29" s="60"/>
      <c r="N29" s="66"/>
      <c r="AA29" s="60"/>
      <c r="AB29" s="60"/>
    </row>
    <row r="30" spans="2:28">
      <c r="B30" s="60"/>
      <c r="C30" s="60">
        <v>0</v>
      </c>
      <c r="D30" s="61">
        <v>119</v>
      </c>
      <c r="E30" s="61">
        <v>-9</v>
      </c>
      <c r="F30" s="61">
        <v>-79</v>
      </c>
      <c r="G30" s="59" t="str">
        <f t="shared" si="0"/>
        <v>119|-9|-79</v>
      </c>
      <c r="H30" s="60">
        <v>132</v>
      </c>
      <c r="I30" s="60">
        <v>-9.1008949999999995</v>
      </c>
      <c r="J30" s="60">
        <v>-63</v>
      </c>
      <c r="K30" s="60"/>
      <c r="N30" s="66"/>
      <c r="AA30" s="71"/>
      <c r="AB30" s="71"/>
    </row>
    <row r="31" spans="2:28">
      <c r="B31" s="60"/>
      <c r="C31" s="60">
        <v>0</v>
      </c>
      <c r="D31" s="61">
        <v>107</v>
      </c>
      <c r="E31" s="61">
        <v>-9</v>
      </c>
      <c r="F31" s="61">
        <v>-79</v>
      </c>
      <c r="G31" s="59" t="str">
        <f t="shared" si="0"/>
        <v>107|-9|-79</v>
      </c>
      <c r="H31" s="60">
        <v>108</v>
      </c>
      <c r="I31" s="60">
        <v>-9.1008910000000007</v>
      </c>
      <c r="J31" s="60">
        <v>-39</v>
      </c>
      <c r="K31" s="60"/>
      <c r="N31" s="66"/>
      <c r="AA31" s="65"/>
      <c r="AB31" s="65"/>
    </row>
    <row r="32" spans="2:28">
      <c r="B32" s="60"/>
      <c r="C32" s="60">
        <v>0</v>
      </c>
      <c r="D32" s="61">
        <v>116</v>
      </c>
      <c r="E32" s="61">
        <v>-9</v>
      </c>
      <c r="F32" s="61">
        <v>-66</v>
      </c>
      <c r="G32" s="59" t="str">
        <f t="shared" si="0"/>
        <v>116|-9|-66</v>
      </c>
      <c r="H32" s="60">
        <v>93</v>
      </c>
      <c r="I32" s="60">
        <v>-9.1009030000000006</v>
      </c>
      <c r="J32" s="60">
        <v>-99</v>
      </c>
      <c r="K32" s="60"/>
      <c r="N32" s="66"/>
      <c r="AA32" s="68"/>
      <c r="AB32" s="68"/>
    </row>
    <row r="33" spans="2:28">
      <c r="B33" s="60"/>
      <c r="C33" s="60">
        <v>0</v>
      </c>
      <c r="D33" s="61">
        <v>119</v>
      </c>
      <c r="E33" s="61">
        <v>-9</v>
      </c>
      <c r="F33" s="61">
        <v>-92</v>
      </c>
      <c r="G33" s="59" t="str">
        <f t="shared" si="0"/>
        <v>119|-9|-92</v>
      </c>
      <c r="H33" s="60">
        <v>120</v>
      </c>
      <c r="I33" s="60">
        <v>-9.1008949999999995</v>
      </c>
      <c r="J33" s="60">
        <v>-51</v>
      </c>
      <c r="K33" s="60"/>
      <c r="N33" s="66"/>
      <c r="AA33" s="60"/>
      <c r="AB33" s="60"/>
    </row>
    <row r="34" spans="2:28">
      <c r="B34" s="60"/>
      <c r="C34" s="60">
        <v>0</v>
      </c>
      <c r="D34" s="61">
        <v>82</v>
      </c>
      <c r="E34" s="61">
        <v>-9</v>
      </c>
      <c r="F34" s="61">
        <v>-90</v>
      </c>
      <c r="G34" s="59" t="str">
        <f t="shared" si="0"/>
        <v>82|-9|-90</v>
      </c>
      <c r="H34" s="60">
        <v>81</v>
      </c>
      <c r="I34" s="60">
        <v>-9.1009030000000006</v>
      </c>
      <c r="J34" s="60">
        <v>-93</v>
      </c>
      <c r="K34" s="60"/>
      <c r="N34" s="66"/>
      <c r="AA34" s="60"/>
      <c r="AB34" s="60"/>
    </row>
    <row r="35" spans="2:28">
      <c r="B35" s="60"/>
      <c r="C35" s="60">
        <v>0</v>
      </c>
      <c r="D35" s="61">
        <v>115</v>
      </c>
      <c r="E35" s="61">
        <v>-9</v>
      </c>
      <c r="F35" s="61">
        <v>-41</v>
      </c>
      <c r="G35" s="59" t="str">
        <f t="shared" si="0"/>
        <v>115|-9|-41</v>
      </c>
      <c r="H35" s="60">
        <v>132</v>
      </c>
      <c r="I35" s="60">
        <v>-9.1008949999999995</v>
      </c>
      <c r="J35" s="60">
        <v>-51</v>
      </c>
      <c r="K35" s="60"/>
      <c r="N35" s="66"/>
      <c r="AA35" s="60"/>
      <c r="AB35" s="60"/>
    </row>
    <row r="36" spans="2:28">
      <c r="B36" s="60"/>
      <c r="C36" s="60">
        <v>0</v>
      </c>
      <c r="D36" s="61">
        <v>107</v>
      </c>
      <c r="E36" s="61">
        <v>-9</v>
      </c>
      <c r="F36" s="61">
        <v>-104</v>
      </c>
      <c r="G36" s="59" t="str">
        <f t="shared" si="0"/>
        <v>107|-9|-104</v>
      </c>
      <c r="H36" s="60">
        <v>105</v>
      </c>
      <c r="I36" s="67">
        <v>-9.1009030000000006</v>
      </c>
      <c r="J36" s="60">
        <v>-99</v>
      </c>
      <c r="K36" s="60"/>
      <c r="N36" s="66"/>
      <c r="AA36" s="68"/>
      <c r="AB36" s="68"/>
    </row>
    <row r="37" spans="2:28">
      <c r="B37" s="60"/>
      <c r="C37" s="60">
        <v>0</v>
      </c>
      <c r="D37" s="61">
        <v>95</v>
      </c>
      <c r="E37" s="61">
        <v>-9</v>
      </c>
      <c r="F37" s="61">
        <v>-104</v>
      </c>
      <c r="G37" s="59" t="str">
        <f t="shared" si="0"/>
        <v>95|-9|-104</v>
      </c>
      <c r="H37" s="60">
        <v>120</v>
      </c>
      <c r="I37" s="67">
        <v>-9.1008990000000001</v>
      </c>
      <c r="J37" s="60">
        <v>-63</v>
      </c>
      <c r="K37" s="60"/>
      <c r="N37" s="66"/>
      <c r="AA37" s="60"/>
      <c r="AB37" s="60"/>
    </row>
    <row r="38" spans="2:28">
      <c r="B38" s="60">
        <v>208</v>
      </c>
      <c r="C38" s="60">
        <v>0</v>
      </c>
      <c r="D38" s="61">
        <v>-69</v>
      </c>
      <c r="E38" s="61">
        <v>13</v>
      </c>
      <c r="F38" s="61">
        <v>78</v>
      </c>
      <c r="G38" s="59" t="str">
        <f t="shared" si="0"/>
        <v>-69|13|78</v>
      </c>
      <c r="H38" s="60">
        <v>-69</v>
      </c>
      <c r="I38" s="67">
        <v>13</v>
      </c>
      <c r="J38" s="60">
        <v>78</v>
      </c>
      <c r="K38" s="60"/>
      <c r="N38" s="66" t="s">
        <v>589</v>
      </c>
      <c r="AA38" s="60"/>
      <c r="AB38" s="60"/>
    </row>
    <row r="39" spans="2:28">
      <c r="B39" s="60">
        <v>209</v>
      </c>
      <c r="C39" s="60">
        <v>0</v>
      </c>
      <c r="D39" s="61">
        <v>45</v>
      </c>
      <c r="E39" s="61">
        <v>0</v>
      </c>
      <c r="F39" s="61">
        <v>18</v>
      </c>
      <c r="G39" s="59" t="str">
        <f t="shared" si="0"/>
        <v>45|0|18</v>
      </c>
      <c r="H39" s="60">
        <v>69</v>
      </c>
      <c r="I39" s="67">
        <v>-8.735657E-4</v>
      </c>
      <c r="J39" s="60">
        <v>51</v>
      </c>
      <c r="K39" s="65"/>
      <c r="N39" s="66" t="s">
        <v>344</v>
      </c>
      <c r="AA39" s="60"/>
      <c r="AB39" s="60"/>
    </row>
    <row r="40" spans="2:28">
      <c r="B40" s="60">
        <v>211</v>
      </c>
      <c r="C40" s="60">
        <v>0</v>
      </c>
      <c r="D40" s="61">
        <v>21</v>
      </c>
      <c r="E40" s="61">
        <v>0</v>
      </c>
      <c r="F40" s="61">
        <v>-37</v>
      </c>
      <c r="G40" s="59" t="str">
        <f t="shared" si="0"/>
        <v>21|0|-37</v>
      </c>
      <c r="H40" s="60">
        <v>51</v>
      </c>
      <c r="I40" s="67">
        <v>-8.9263915999999999E-4</v>
      </c>
      <c r="J40" s="60">
        <v>-36</v>
      </c>
      <c r="K40" s="68"/>
      <c r="N40" s="66" t="s">
        <v>605</v>
      </c>
    </row>
    <row r="41" spans="2:28">
      <c r="B41" s="60">
        <v>212</v>
      </c>
      <c r="C41" s="60">
        <v>0</v>
      </c>
      <c r="D41" s="61">
        <v>109.5</v>
      </c>
      <c r="E41" s="61">
        <v>-4.5999999999999996</v>
      </c>
      <c r="F41" s="61">
        <v>69</v>
      </c>
      <c r="G41" s="59" t="str">
        <f t="shared" si="0"/>
        <v>109.5|-4.6|69</v>
      </c>
      <c r="H41" s="60">
        <v>109.5</v>
      </c>
      <c r="I41" s="60">
        <v>-4.5999999999999996</v>
      </c>
      <c r="J41" s="60">
        <v>69</v>
      </c>
      <c r="K41" s="60"/>
      <c r="N41" s="66" t="s">
        <v>394</v>
      </c>
    </row>
    <row r="42" spans="2:28">
      <c r="B42" s="60">
        <v>213</v>
      </c>
      <c r="C42" s="60">
        <v>0</v>
      </c>
      <c r="D42" s="61">
        <v>16</v>
      </c>
      <c r="E42" s="61">
        <v>-18.5</v>
      </c>
      <c r="F42" s="61">
        <v>130</v>
      </c>
      <c r="G42" s="59" t="str">
        <f t="shared" si="0"/>
        <v>16|-18.5|130</v>
      </c>
      <c r="H42" s="60">
        <v>16.5</v>
      </c>
      <c r="I42" s="67">
        <v>-18.48</v>
      </c>
      <c r="J42" s="60">
        <v>130.5</v>
      </c>
      <c r="K42" s="60"/>
      <c r="N42" s="66" t="s">
        <v>599</v>
      </c>
    </row>
    <row r="43" spans="2:28">
      <c r="B43" s="60">
        <v>215</v>
      </c>
      <c r="C43" s="60">
        <v>0</v>
      </c>
      <c r="D43" s="61">
        <v>99</v>
      </c>
      <c r="E43" s="61">
        <v>0</v>
      </c>
      <c r="F43" s="61">
        <v>1</v>
      </c>
      <c r="G43" s="59" t="str">
        <f t="shared" si="0"/>
        <v>99|0|1</v>
      </c>
      <c r="H43" s="60">
        <v>99</v>
      </c>
      <c r="I43" s="67">
        <v>0</v>
      </c>
      <c r="J43" s="60">
        <v>1</v>
      </c>
      <c r="K43" s="65"/>
      <c r="N43" s="66" t="s">
        <v>418</v>
      </c>
    </row>
    <row r="44" spans="2:28">
      <c r="B44" s="60">
        <v>222</v>
      </c>
      <c r="C44" s="60">
        <v>0</v>
      </c>
      <c r="D44" s="61">
        <v>48</v>
      </c>
      <c r="E44" s="61">
        <v>0</v>
      </c>
      <c r="F44" s="61">
        <v>-16</v>
      </c>
      <c r="G44" s="59" t="str">
        <f t="shared" si="0"/>
        <v>48|0|-16</v>
      </c>
      <c r="H44" s="60">
        <v>24</v>
      </c>
      <c r="I44" s="67">
        <v>-8.735657E-4</v>
      </c>
      <c r="J44" s="60">
        <v>42</v>
      </c>
      <c r="K44" s="60"/>
      <c r="N44" s="66" t="s">
        <v>442</v>
      </c>
    </row>
    <row r="45" spans="2:28">
      <c r="B45" s="60">
        <v>224</v>
      </c>
      <c r="C45" s="60">
        <v>0</v>
      </c>
      <c r="D45" s="61">
        <v>72</v>
      </c>
      <c r="E45" s="61">
        <v>0</v>
      </c>
      <c r="F45" s="61">
        <v>18</v>
      </c>
      <c r="G45" s="59" t="str">
        <f t="shared" si="0"/>
        <v>72|0|18</v>
      </c>
      <c r="H45" s="60">
        <v>63</v>
      </c>
      <c r="I45" s="67">
        <v>-8.8119507000000003E-4</v>
      </c>
      <c r="J45" s="60">
        <v>21</v>
      </c>
      <c r="K45" s="65"/>
      <c r="N45" s="66" t="s">
        <v>369</v>
      </c>
    </row>
    <row r="46" spans="2:28">
      <c r="B46" s="60">
        <v>226</v>
      </c>
      <c r="C46" s="60">
        <v>0</v>
      </c>
      <c r="D46" s="61">
        <v>-22</v>
      </c>
      <c r="E46" s="61">
        <v>3</v>
      </c>
      <c r="F46" s="61">
        <v>69</v>
      </c>
      <c r="G46" s="59" t="str">
        <f t="shared" si="0"/>
        <v>-22|3|69</v>
      </c>
      <c r="H46" s="60">
        <v>-21</v>
      </c>
      <c r="I46" s="67">
        <v>3</v>
      </c>
      <c r="J46" s="60">
        <v>69</v>
      </c>
      <c r="K46" s="69"/>
      <c r="N46" s="66" t="s">
        <v>469</v>
      </c>
    </row>
    <row r="47" spans="2:28">
      <c r="B47" s="60">
        <v>227</v>
      </c>
      <c r="C47" s="60">
        <v>0</v>
      </c>
      <c r="D47" s="61">
        <v>162</v>
      </c>
      <c r="E47" s="61">
        <v>-9</v>
      </c>
      <c r="F47" s="61">
        <v>14</v>
      </c>
      <c r="G47" s="59" t="str">
        <f t="shared" si="0"/>
        <v>162|-9|14</v>
      </c>
      <c r="H47" s="60">
        <v>142</v>
      </c>
      <c r="I47" s="67">
        <v>-8.9</v>
      </c>
      <c r="J47" s="60">
        <v>20</v>
      </c>
      <c r="K47" s="70"/>
      <c r="N47" s="66" t="s">
        <v>940</v>
      </c>
    </row>
    <row r="48" spans="2:28">
      <c r="B48" s="60"/>
      <c r="C48" s="60">
        <v>0</v>
      </c>
      <c r="D48" s="61">
        <v>162</v>
      </c>
      <c r="E48" s="61">
        <v>-9</v>
      </c>
      <c r="F48" s="61">
        <v>-15</v>
      </c>
      <c r="G48" s="59" t="str">
        <f t="shared" si="0"/>
        <v>162|-9|-15</v>
      </c>
      <c r="H48" s="60">
        <v>152</v>
      </c>
      <c r="I48" s="67">
        <v>-8.9</v>
      </c>
      <c r="J48" s="60">
        <v>-41</v>
      </c>
      <c r="K48" s="60"/>
      <c r="N48" s="66"/>
    </row>
    <row r="49" spans="2:14">
      <c r="B49" s="60">
        <v>229</v>
      </c>
      <c r="C49" s="60">
        <v>0</v>
      </c>
      <c r="D49" s="61">
        <v>27</v>
      </c>
      <c r="E49" s="61">
        <v>0</v>
      </c>
      <c r="F49" s="61">
        <v>36</v>
      </c>
      <c r="G49" s="59" t="str">
        <f t="shared" si="0"/>
        <v>27|0|36</v>
      </c>
      <c r="H49" s="60">
        <v>-40.5</v>
      </c>
      <c r="I49" s="67">
        <v>-8.8882445999999998E-4</v>
      </c>
      <c r="J49" s="60">
        <v>-49.5</v>
      </c>
      <c r="K49" s="60"/>
      <c r="N49" s="66" t="s">
        <v>515</v>
      </c>
    </row>
    <row r="50" spans="2:14">
      <c r="B50" s="60">
        <v>230</v>
      </c>
      <c r="C50" s="60">
        <v>0</v>
      </c>
      <c r="D50" s="61">
        <v>30</v>
      </c>
      <c r="E50" s="61">
        <v>0</v>
      </c>
      <c r="F50" s="61">
        <v>-16</v>
      </c>
      <c r="G50" s="59" t="str">
        <f t="shared" si="0"/>
        <v>30|0|-16</v>
      </c>
      <c r="H50" s="60">
        <v>75</v>
      </c>
      <c r="I50" s="67">
        <v>-8.8119507000000003E-4</v>
      </c>
      <c r="J50" s="60">
        <v>-18</v>
      </c>
      <c r="K50" s="60"/>
      <c r="N50" s="66" t="s">
        <v>539</v>
      </c>
    </row>
    <row r="51" spans="2:14">
      <c r="B51" s="60">
        <v>231</v>
      </c>
      <c r="C51" s="60">
        <v>0</v>
      </c>
      <c r="D51" s="61">
        <v>-10</v>
      </c>
      <c r="E51" s="61">
        <v>0</v>
      </c>
      <c r="F51" s="61">
        <v>-40</v>
      </c>
      <c r="G51" s="59" t="str">
        <f t="shared" si="0"/>
        <v>-10|0|-40</v>
      </c>
      <c r="H51" s="60">
        <v>-10.5</v>
      </c>
      <c r="I51" s="67">
        <v>-8.9645386E-4</v>
      </c>
      <c r="J51" s="60">
        <v>-37.5</v>
      </c>
      <c r="K51" s="71"/>
      <c r="N51" s="66" t="s">
        <v>591</v>
      </c>
    </row>
    <row r="52" spans="2:14">
      <c r="B52" s="60">
        <v>232</v>
      </c>
      <c r="C52" s="60">
        <v>0</v>
      </c>
      <c r="D52" s="61">
        <v>72</v>
      </c>
      <c r="E52" s="61">
        <v>0</v>
      </c>
      <c r="F52" s="61">
        <v>48</v>
      </c>
      <c r="G52" s="59" t="str">
        <f t="shared" si="0"/>
        <v>72|0|48</v>
      </c>
      <c r="H52" s="60">
        <v>45</v>
      </c>
      <c r="I52" s="67">
        <v>-8.7738040000000001E-4</v>
      </c>
      <c r="J52" s="60">
        <v>51</v>
      </c>
      <c r="K52" s="65"/>
      <c r="N52" s="66" t="s">
        <v>319</v>
      </c>
    </row>
    <row r="53" spans="2:14">
      <c r="B53" s="60">
        <v>234</v>
      </c>
      <c r="C53" s="60">
        <v>0</v>
      </c>
      <c r="D53" s="61">
        <v>-99</v>
      </c>
      <c r="E53" s="61">
        <v>0</v>
      </c>
      <c r="F53" s="61">
        <v>-56</v>
      </c>
      <c r="G53" s="59" t="str">
        <f t="shared" si="0"/>
        <v>-99|0|-56</v>
      </c>
      <c r="H53" s="60">
        <v>-102</v>
      </c>
      <c r="I53" s="67">
        <v>-8.9263915999999999E-4</v>
      </c>
      <c r="J53" s="60">
        <v>-30</v>
      </c>
      <c r="K53" s="60"/>
      <c r="N53" s="66" t="s">
        <v>271</v>
      </c>
    </row>
    <row r="54" spans="2:14">
      <c r="B54" s="60"/>
      <c r="C54" s="60">
        <v>0</v>
      </c>
      <c r="D54" s="61">
        <v>-111</v>
      </c>
      <c r="E54" s="61">
        <v>0</v>
      </c>
      <c r="F54" s="61">
        <v>-63</v>
      </c>
      <c r="G54" s="59" t="str">
        <f t="shared" si="0"/>
        <v>-111|0|-63</v>
      </c>
      <c r="H54" s="60">
        <v>-99</v>
      </c>
      <c r="I54" s="67">
        <v>-8.8119507000000003E-4</v>
      </c>
      <c r="J54" s="60">
        <v>-18</v>
      </c>
      <c r="K54" s="60"/>
      <c r="N54" s="66"/>
    </row>
    <row r="55" spans="2:14">
      <c r="B55" s="60"/>
      <c r="C55" s="60">
        <v>0</v>
      </c>
      <c r="D55" s="61">
        <v>-89</v>
      </c>
      <c r="E55" s="61">
        <v>0</v>
      </c>
      <c r="F55" s="61">
        <v>-68</v>
      </c>
      <c r="G55" s="59" t="str">
        <f t="shared" si="0"/>
        <v>-89|0|-68</v>
      </c>
      <c r="H55" s="61">
        <v>-108</v>
      </c>
      <c r="I55" s="61">
        <v>-2.0893096999999999E-2</v>
      </c>
      <c r="J55" s="61">
        <v>-25</v>
      </c>
      <c r="K55" s="60" t="s">
        <v>1949</v>
      </c>
      <c r="L55" s="60">
        <v>-15</v>
      </c>
      <c r="N55" s="66"/>
    </row>
    <row r="56" spans="2:14">
      <c r="B56" s="60"/>
      <c r="C56" s="60">
        <v>0</v>
      </c>
      <c r="D56" s="61">
        <v>-101</v>
      </c>
      <c r="E56" s="61">
        <v>0</v>
      </c>
      <c r="F56" s="61">
        <v>-69</v>
      </c>
      <c r="G56" s="59" t="str">
        <f t="shared" si="0"/>
        <v>-101|0|-69</v>
      </c>
      <c r="H56" s="61">
        <v>-106</v>
      </c>
      <c r="I56" s="61">
        <v>-2.0893096999999999E-2</v>
      </c>
      <c r="J56" s="61">
        <v>-38</v>
      </c>
      <c r="K56" s="60">
        <v>-2.0893096999999999E-2</v>
      </c>
      <c r="L56" s="60">
        <v>6</v>
      </c>
      <c r="N56" s="66"/>
    </row>
    <row r="57" spans="2:14">
      <c r="B57" s="60">
        <v>235</v>
      </c>
      <c r="C57" s="60">
        <v>0</v>
      </c>
      <c r="D57" s="62">
        <v>-57</v>
      </c>
      <c r="E57" s="62">
        <v>5</v>
      </c>
      <c r="F57" s="62">
        <v>6</v>
      </c>
      <c r="G57" s="59" t="str">
        <f t="shared" si="0"/>
        <v>-57|5|6</v>
      </c>
      <c r="H57" s="60">
        <v>-63</v>
      </c>
      <c r="I57" s="67">
        <v>5</v>
      </c>
      <c r="J57" s="60">
        <v>6</v>
      </c>
      <c r="K57" s="60"/>
      <c r="N57" s="66" t="s">
        <v>994</v>
      </c>
    </row>
    <row r="58" spans="2:14">
      <c r="B58" s="60">
        <v>236</v>
      </c>
      <c r="C58" s="60">
        <v>0</v>
      </c>
      <c r="D58" s="62">
        <v>-35</v>
      </c>
      <c r="E58" s="62">
        <v>5</v>
      </c>
      <c r="F58" s="62">
        <v>6</v>
      </c>
      <c r="G58" s="59" t="str">
        <f t="shared" si="0"/>
        <v>-35|5|6</v>
      </c>
      <c r="H58" s="60">
        <v>-42</v>
      </c>
      <c r="I58" s="60">
        <v>5</v>
      </c>
      <c r="J58" s="60">
        <v>5</v>
      </c>
      <c r="K58" s="60"/>
      <c r="N58" s="66" t="s">
        <v>999</v>
      </c>
    </row>
    <row r="59" spans="2:14">
      <c r="B59" s="60">
        <v>237</v>
      </c>
      <c r="C59" s="60">
        <v>0</v>
      </c>
      <c r="D59" s="61">
        <v>63</v>
      </c>
      <c r="E59" s="61">
        <v>0</v>
      </c>
      <c r="F59" s="61">
        <v>-40</v>
      </c>
      <c r="G59" s="59" t="str">
        <f t="shared" si="0"/>
        <v>63|0|-40</v>
      </c>
      <c r="H59" s="60">
        <v>27</v>
      </c>
      <c r="I59" s="67">
        <v>-8.9645386E-4</v>
      </c>
      <c r="J59" s="60">
        <v>-54</v>
      </c>
      <c r="K59" s="68"/>
      <c r="N59" s="66" t="s">
        <v>565</v>
      </c>
    </row>
    <row r="60" spans="2:14">
      <c r="B60" s="60">
        <v>300</v>
      </c>
      <c r="C60" s="60">
        <v>0</v>
      </c>
      <c r="D60" s="61">
        <v>80</v>
      </c>
      <c r="E60" s="61">
        <v>-9</v>
      </c>
      <c r="F60" s="61">
        <v>106</v>
      </c>
      <c r="G60" s="59" t="str">
        <f t="shared" si="0"/>
        <v>80|-9|106</v>
      </c>
      <c r="I60" s="67"/>
      <c r="K60" s="60"/>
      <c r="N60" s="66" t="s">
        <v>1010</v>
      </c>
    </row>
    <row r="61" spans="2:14">
      <c r="B61" s="60">
        <v>400</v>
      </c>
      <c r="C61" s="60">
        <v>0</v>
      </c>
      <c r="D61" s="61">
        <v>-18</v>
      </c>
      <c r="E61" s="61">
        <v>0</v>
      </c>
      <c r="F61" s="61">
        <v>-63</v>
      </c>
      <c r="G61" s="59" t="str">
        <f t="shared" si="0"/>
        <v>-18|0|-63</v>
      </c>
      <c r="I61" s="67"/>
      <c r="K61" s="60"/>
      <c r="N61" s="66" t="s">
        <v>1014</v>
      </c>
    </row>
    <row r="62" spans="2:14">
      <c r="B62" s="60">
        <v>404</v>
      </c>
      <c r="C62" s="60">
        <v>0</v>
      </c>
      <c r="D62" s="61">
        <v>181.17</v>
      </c>
      <c r="E62" s="61">
        <v>0</v>
      </c>
      <c r="F62" s="61">
        <v>75.650000000000006</v>
      </c>
      <c r="G62" s="59" t="str">
        <f t="shared" si="0"/>
        <v>181.17|0|75.65</v>
      </c>
      <c r="I62" s="67"/>
      <c r="K62" s="60"/>
      <c r="N62" s="66" t="s">
        <v>1666</v>
      </c>
    </row>
    <row r="63" spans="2:14">
      <c r="B63" s="60">
        <v>409</v>
      </c>
      <c r="C63" s="60">
        <v>0</v>
      </c>
      <c r="D63" s="61">
        <v>16</v>
      </c>
      <c r="E63" s="61">
        <v>-18.5</v>
      </c>
      <c r="F63" s="61">
        <v>130</v>
      </c>
      <c r="G63" s="59" t="str">
        <f t="shared" ref="G63:G64" si="1">D63&amp;"|"&amp;E63&amp;"|"&amp;F63</f>
        <v>16|-18.5|130</v>
      </c>
      <c r="H63" s="60">
        <v>16.5</v>
      </c>
      <c r="I63" s="67">
        <v>-18.48</v>
      </c>
      <c r="J63" s="60">
        <v>130.5</v>
      </c>
      <c r="K63" s="60"/>
      <c r="N63" s="66" t="s">
        <v>1672</v>
      </c>
    </row>
    <row r="64" spans="2:14">
      <c r="B64" s="60">
        <v>228</v>
      </c>
      <c r="C64" s="60">
        <v>0</v>
      </c>
      <c r="D64" s="61">
        <v>29</v>
      </c>
      <c r="E64" s="61">
        <v>0</v>
      </c>
      <c r="F64" s="61">
        <v>55</v>
      </c>
      <c r="G64" s="59" t="str">
        <f t="shared" si="1"/>
        <v>29|0|55</v>
      </c>
      <c r="H64" s="60"/>
      <c r="I64" s="67"/>
      <c r="J64" s="60"/>
      <c r="K64" s="60"/>
      <c r="N64" s="66" t="s">
        <v>948</v>
      </c>
    </row>
    <row r="65" spans="1:14">
      <c r="B65" s="60">
        <v>410</v>
      </c>
      <c r="C65" s="60">
        <v>0</v>
      </c>
      <c r="D65" s="61">
        <v>28</v>
      </c>
      <c r="E65" s="61">
        <v>0</v>
      </c>
      <c r="F65" s="61">
        <v>-60</v>
      </c>
      <c r="G65" s="59" t="str">
        <f t="shared" ref="G65" si="2">D65&amp;"|"&amp;E65&amp;"|"&amp;F65</f>
        <v>28|0|-60</v>
      </c>
      <c r="H65" s="60"/>
      <c r="I65" s="67"/>
      <c r="J65" s="60"/>
      <c r="K65" s="60"/>
      <c r="N65" s="66" t="s">
        <v>2308</v>
      </c>
    </row>
    <row r="66" spans="1:14">
      <c r="A66" s="57">
        <v>2</v>
      </c>
      <c r="B66" s="57">
        <v>201</v>
      </c>
      <c r="C66" s="57">
        <v>0</v>
      </c>
      <c r="D66" s="58">
        <v>0</v>
      </c>
      <c r="E66" s="58">
        <v>0</v>
      </c>
      <c r="F66" s="58">
        <v>0</v>
      </c>
      <c r="G66" s="59" t="str">
        <f t="shared" si="0"/>
        <v>0|0|0</v>
      </c>
      <c r="H66" s="57">
        <v>201</v>
      </c>
      <c r="I66" s="57">
        <v>0</v>
      </c>
      <c r="J66" s="57">
        <v>0</v>
      </c>
      <c r="K66" s="64">
        <v>0</v>
      </c>
      <c r="L66" s="57">
        <v>0</v>
      </c>
      <c r="M66" s="57"/>
      <c r="N66" s="66" t="s">
        <v>66</v>
      </c>
    </row>
    <row r="67" spans="1:14">
      <c r="B67" s="72">
        <v>202</v>
      </c>
      <c r="C67" s="72">
        <v>0</v>
      </c>
      <c r="D67" s="73">
        <v>-55</v>
      </c>
      <c r="E67" s="73">
        <v>0</v>
      </c>
      <c r="F67" s="73">
        <v>-53</v>
      </c>
      <c r="G67" s="59" t="str">
        <f t="shared" si="0"/>
        <v>-55|0|-53</v>
      </c>
      <c r="H67" s="60">
        <v>202</v>
      </c>
      <c r="I67" s="60">
        <v>0</v>
      </c>
      <c r="J67" s="60">
        <v>36</v>
      </c>
      <c r="K67" s="67">
        <v>-2.0896912E-2</v>
      </c>
      <c r="L67" s="60">
        <v>-39</v>
      </c>
      <c r="N67" s="66" t="s">
        <v>154</v>
      </c>
    </row>
    <row r="68" spans="1:14">
      <c r="B68" s="72"/>
      <c r="C68" s="72">
        <v>0</v>
      </c>
      <c r="D68" s="73">
        <v>-71</v>
      </c>
      <c r="E68" s="73">
        <v>0</v>
      </c>
      <c r="F68" s="73">
        <v>-51</v>
      </c>
      <c r="G68" s="59" t="str">
        <f t="shared" si="0"/>
        <v>-71|0|-51</v>
      </c>
      <c r="H68" s="60">
        <v>202</v>
      </c>
      <c r="I68" s="60">
        <v>0</v>
      </c>
      <c r="J68" s="60">
        <v>60</v>
      </c>
      <c r="K68" s="67">
        <v>-2.0896912E-2</v>
      </c>
      <c r="L68" s="60">
        <v>-18</v>
      </c>
      <c r="N68" s="66"/>
    </row>
    <row r="69" spans="1:14">
      <c r="B69" s="72"/>
      <c r="C69" s="72">
        <v>0</v>
      </c>
      <c r="D69" s="73">
        <v>-53</v>
      </c>
      <c r="E69" s="73">
        <v>0</v>
      </c>
      <c r="F69" s="73">
        <v>-38</v>
      </c>
      <c r="G69" s="59" t="str">
        <f t="shared" si="0"/>
        <v>-53|0|-38</v>
      </c>
      <c r="H69" s="60">
        <v>202</v>
      </c>
      <c r="I69" s="60">
        <v>0</v>
      </c>
      <c r="J69" s="60">
        <v>45</v>
      </c>
      <c r="K69" s="67">
        <v>-2.0896912E-2</v>
      </c>
      <c r="L69" s="60">
        <v>-24</v>
      </c>
      <c r="N69" s="66"/>
    </row>
    <row r="70" spans="1:14">
      <c r="B70" s="72"/>
      <c r="C70" s="72">
        <v>0</v>
      </c>
      <c r="D70" s="73">
        <v>-71</v>
      </c>
      <c r="E70" s="73">
        <v>0</v>
      </c>
      <c r="F70" s="73">
        <v>-35</v>
      </c>
      <c r="G70" s="59" t="str">
        <f t="shared" si="0"/>
        <v>-71|0|-35</v>
      </c>
      <c r="H70" s="60">
        <v>202</v>
      </c>
      <c r="I70" s="60">
        <v>0</v>
      </c>
      <c r="J70" s="60">
        <v>36</v>
      </c>
      <c r="K70" s="60">
        <v>0</v>
      </c>
      <c r="L70" s="60">
        <v>-54</v>
      </c>
      <c r="N70" s="66"/>
    </row>
    <row r="71" spans="1:14">
      <c r="B71" s="72">
        <v>203</v>
      </c>
      <c r="C71" s="72">
        <v>0</v>
      </c>
      <c r="D71" s="73">
        <v>141</v>
      </c>
      <c r="E71" s="73">
        <v>-9</v>
      </c>
      <c r="F71" s="73">
        <v>-42</v>
      </c>
      <c r="G71" s="59" t="str">
        <f t="shared" si="0"/>
        <v>141|-9|-42</v>
      </c>
      <c r="H71" s="60">
        <v>203</v>
      </c>
      <c r="I71" s="60">
        <v>0</v>
      </c>
      <c r="J71" s="60">
        <v>123</v>
      </c>
      <c r="K71" s="60">
        <v>-9.0353390000000005</v>
      </c>
      <c r="L71" s="60">
        <v>-66</v>
      </c>
      <c r="N71" s="66" t="s">
        <v>202</v>
      </c>
    </row>
    <row r="72" spans="1:14">
      <c r="B72" s="72"/>
      <c r="C72" s="72">
        <v>0</v>
      </c>
      <c r="D72" s="73">
        <v>120</v>
      </c>
      <c r="E72" s="73">
        <v>-9</v>
      </c>
      <c r="F72" s="73">
        <v>-92</v>
      </c>
      <c r="G72" s="59" t="str">
        <f t="shared" si="0"/>
        <v>120|-9|-92</v>
      </c>
      <c r="H72" s="60">
        <v>203</v>
      </c>
      <c r="I72" s="60">
        <v>0</v>
      </c>
      <c r="J72" s="60">
        <v>117</v>
      </c>
      <c r="K72" s="67">
        <v>-9.002872</v>
      </c>
      <c r="L72" s="60">
        <v>-90</v>
      </c>
      <c r="N72" s="66"/>
    </row>
    <row r="73" spans="1:14">
      <c r="B73" s="72"/>
      <c r="C73" s="72">
        <v>0</v>
      </c>
      <c r="D73" s="73">
        <v>130</v>
      </c>
      <c r="E73" s="73">
        <v>-9</v>
      </c>
      <c r="F73" s="73">
        <v>-29</v>
      </c>
      <c r="G73" s="59" t="str">
        <f t="shared" ref="G73:G139" si="3">D73&amp;"|"&amp;E73&amp;"|"&amp;F73</f>
        <v>130|-9|-29</v>
      </c>
      <c r="H73" s="60">
        <v>203</v>
      </c>
      <c r="I73" s="60">
        <v>0</v>
      </c>
      <c r="J73" s="60">
        <v>93</v>
      </c>
      <c r="K73" s="60">
        <v>-9.0510219999999997</v>
      </c>
      <c r="L73" s="60">
        <v>-93</v>
      </c>
      <c r="N73" s="66"/>
    </row>
    <row r="74" spans="1:14">
      <c r="B74" s="72"/>
      <c r="C74" s="72">
        <v>0</v>
      </c>
      <c r="D74" s="73">
        <v>129</v>
      </c>
      <c r="E74" s="73">
        <v>-9</v>
      </c>
      <c r="F74" s="73">
        <v>-67</v>
      </c>
      <c r="G74" s="59" t="str">
        <f t="shared" si="3"/>
        <v>129|-9|-67</v>
      </c>
      <c r="H74" s="60">
        <v>203</v>
      </c>
      <c r="I74" s="60">
        <v>0</v>
      </c>
      <c r="J74" s="60">
        <v>135</v>
      </c>
      <c r="K74" s="67">
        <v>-9.0353010000000005</v>
      </c>
      <c r="L74" s="60">
        <v>-42</v>
      </c>
      <c r="N74" s="66"/>
    </row>
    <row r="75" spans="1:14">
      <c r="B75" s="72">
        <v>204</v>
      </c>
      <c r="C75" s="72">
        <v>0</v>
      </c>
      <c r="D75" s="73">
        <v>68</v>
      </c>
      <c r="E75" s="73">
        <v>-9</v>
      </c>
      <c r="F75" s="73">
        <v>-103</v>
      </c>
      <c r="G75" s="59" t="str">
        <f t="shared" si="3"/>
        <v>68|-9|-103</v>
      </c>
      <c r="H75" s="60">
        <v>204</v>
      </c>
      <c r="I75" s="60">
        <v>0</v>
      </c>
      <c r="J75" s="60">
        <v>66</v>
      </c>
      <c r="K75" s="60">
        <v>-9.0478970000000007</v>
      </c>
      <c r="L75" s="60">
        <v>-105</v>
      </c>
      <c r="N75" s="66" t="s">
        <v>226</v>
      </c>
    </row>
    <row r="76" spans="1:14">
      <c r="B76" s="72"/>
      <c r="C76" s="72">
        <v>0</v>
      </c>
      <c r="D76" s="73">
        <v>53</v>
      </c>
      <c r="E76" s="73">
        <v>-9</v>
      </c>
      <c r="F76" s="73">
        <v>-106</v>
      </c>
      <c r="G76" s="59" t="str">
        <f t="shared" si="3"/>
        <v>53|-9|-106</v>
      </c>
      <c r="H76" s="60">
        <v>204</v>
      </c>
      <c r="I76" s="60">
        <v>0</v>
      </c>
      <c r="J76" s="60">
        <v>51</v>
      </c>
      <c r="K76" s="60">
        <v>-9.0353390000000005</v>
      </c>
      <c r="L76" s="60">
        <v>-105</v>
      </c>
      <c r="N76" s="66"/>
    </row>
    <row r="77" spans="1:14">
      <c r="B77" s="72"/>
      <c r="C77" s="72">
        <v>0</v>
      </c>
      <c r="D77" s="73">
        <v>52</v>
      </c>
      <c r="E77" s="73">
        <v>-9</v>
      </c>
      <c r="F77" s="73">
        <v>-120</v>
      </c>
      <c r="G77" s="59" t="str">
        <f t="shared" si="3"/>
        <v>52|-9|-120</v>
      </c>
      <c r="H77" s="60">
        <v>204</v>
      </c>
      <c r="I77" s="60">
        <v>0</v>
      </c>
      <c r="J77" s="60">
        <v>51</v>
      </c>
      <c r="K77" s="67">
        <v>-9.0353429999999992</v>
      </c>
      <c r="L77" s="60">
        <v>-120</v>
      </c>
      <c r="N77" s="66"/>
    </row>
    <row r="78" spans="1:14">
      <c r="B78" s="72"/>
      <c r="C78" s="72">
        <v>0</v>
      </c>
      <c r="D78" s="73">
        <v>64</v>
      </c>
      <c r="E78" s="73">
        <v>-9</v>
      </c>
      <c r="F78" s="73">
        <v>-116</v>
      </c>
      <c r="G78" s="59" t="str">
        <f t="shared" si="3"/>
        <v>64|-9|-116</v>
      </c>
      <c r="H78" s="60">
        <v>204</v>
      </c>
      <c r="I78" s="60">
        <v>0</v>
      </c>
      <c r="J78" s="60">
        <v>78</v>
      </c>
      <c r="K78" s="67">
        <v>-9.0505940000000002</v>
      </c>
      <c r="L78" s="60">
        <v>-105</v>
      </c>
      <c r="N78" s="66"/>
    </row>
    <row r="79" spans="1:14">
      <c r="B79" s="72">
        <v>205</v>
      </c>
      <c r="C79" s="72">
        <v>0</v>
      </c>
      <c r="D79" s="73">
        <v>-57</v>
      </c>
      <c r="E79" s="73">
        <v>0</v>
      </c>
      <c r="F79" s="73">
        <v>-90</v>
      </c>
      <c r="G79" s="59" t="str">
        <f t="shared" si="3"/>
        <v>-57|0|-90</v>
      </c>
      <c r="H79" s="60">
        <v>205</v>
      </c>
      <c r="I79" s="60">
        <v>0</v>
      </c>
      <c r="J79" s="60">
        <v>-105</v>
      </c>
      <c r="K79" s="67">
        <v>-2.0900726000000001E-2</v>
      </c>
      <c r="L79" s="60">
        <v>-81</v>
      </c>
      <c r="N79" s="66" t="s">
        <v>249</v>
      </c>
    </row>
    <row r="80" spans="1:14">
      <c r="B80" s="72"/>
      <c r="C80" s="72">
        <v>0</v>
      </c>
      <c r="D80" s="73">
        <v>-78</v>
      </c>
      <c r="E80" s="73">
        <v>0</v>
      </c>
      <c r="F80" s="73">
        <v>-89</v>
      </c>
      <c r="G80" s="59" t="str">
        <f t="shared" si="3"/>
        <v>-78|0|-89</v>
      </c>
      <c r="H80" s="60">
        <v>205</v>
      </c>
      <c r="I80" s="60">
        <v>0</v>
      </c>
      <c r="J80" s="60">
        <v>-114</v>
      </c>
      <c r="K80" s="67">
        <v>-2.0896912E-2</v>
      </c>
      <c r="L80" s="60">
        <v>-63</v>
      </c>
      <c r="N80" s="66"/>
    </row>
    <row r="81" spans="2:18">
      <c r="B81" s="74"/>
      <c r="C81" s="72">
        <v>0</v>
      </c>
      <c r="D81" s="73">
        <v>-54</v>
      </c>
      <c r="E81" s="73">
        <v>0</v>
      </c>
      <c r="F81" s="73">
        <v>-103</v>
      </c>
      <c r="G81" s="59" t="str">
        <f t="shared" si="3"/>
        <v>-54|0|-103</v>
      </c>
      <c r="H81" s="60">
        <v>-106</v>
      </c>
      <c r="I81" s="67">
        <v>-9.0026856000000001E-4</v>
      </c>
      <c r="J81" s="60">
        <v>-80</v>
      </c>
      <c r="K81" s="67"/>
      <c r="N81" s="66"/>
    </row>
    <row r="82" spans="2:18">
      <c r="B82" s="74"/>
      <c r="C82" s="72">
        <v>0</v>
      </c>
      <c r="D82" s="73">
        <v>-78</v>
      </c>
      <c r="E82" s="73">
        <v>0</v>
      </c>
      <c r="F82" s="73">
        <v>-101</v>
      </c>
      <c r="G82" s="59" t="str">
        <f t="shared" si="3"/>
        <v>-78|0|-101</v>
      </c>
      <c r="H82" s="60">
        <v>-103</v>
      </c>
      <c r="I82" s="67">
        <v>-9.0408326000000002E-4</v>
      </c>
      <c r="J82" s="60">
        <v>-54</v>
      </c>
      <c r="K82" s="67"/>
      <c r="N82" s="66"/>
    </row>
    <row r="83" spans="2:18">
      <c r="B83" s="72">
        <v>206</v>
      </c>
      <c r="C83" s="72">
        <v>0</v>
      </c>
      <c r="D83" s="73">
        <v>60</v>
      </c>
      <c r="E83" s="73">
        <v>0</v>
      </c>
      <c r="F83" s="73">
        <v>48</v>
      </c>
      <c r="G83" s="59" t="str">
        <f t="shared" si="3"/>
        <v>60|0|48</v>
      </c>
      <c r="H83" s="60">
        <v>206</v>
      </c>
      <c r="I83" s="60">
        <v>0</v>
      </c>
      <c r="J83" s="60">
        <v>48</v>
      </c>
      <c r="K83" s="60">
        <v>-2.0893096999999999E-2</v>
      </c>
      <c r="L83" s="60">
        <v>18</v>
      </c>
      <c r="N83" s="66" t="s">
        <v>293</v>
      </c>
    </row>
    <row r="84" spans="2:18">
      <c r="B84" s="72">
        <v>207</v>
      </c>
      <c r="C84" s="72">
        <v>0</v>
      </c>
      <c r="D84" s="73">
        <v>128</v>
      </c>
      <c r="E84" s="73">
        <v>-9</v>
      </c>
      <c r="F84" s="73">
        <v>-54</v>
      </c>
      <c r="G84" s="59" t="str">
        <f t="shared" si="3"/>
        <v>128|-9|-54</v>
      </c>
      <c r="H84" s="60">
        <v>207</v>
      </c>
      <c r="I84" s="60">
        <v>0</v>
      </c>
      <c r="J84" s="60">
        <v>105</v>
      </c>
      <c r="K84" s="60">
        <v>-8.0117650000000005</v>
      </c>
      <c r="L84" s="60">
        <v>-93</v>
      </c>
      <c r="N84" s="66" t="s">
        <v>595</v>
      </c>
    </row>
    <row r="85" spans="2:18">
      <c r="B85" s="72"/>
      <c r="C85" s="72">
        <v>0</v>
      </c>
      <c r="D85" s="73">
        <v>132</v>
      </c>
      <c r="E85" s="73">
        <v>-9</v>
      </c>
      <c r="F85" s="73">
        <v>-91</v>
      </c>
      <c r="G85" s="59" t="str">
        <f t="shared" si="3"/>
        <v>132|-9|-91</v>
      </c>
      <c r="H85" s="60">
        <v>207</v>
      </c>
      <c r="I85" s="60" t="s">
        <v>1950</v>
      </c>
      <c r="J85" s="60">
        <v>117</v>
      </c>
      <c r="K85" s="60">
        <v>-8.0117650000000005</v>
      </c>
      <c r="L85" s="60">
        <v>-102</v>
      </c>
      <c r="N85" s="66"/>
    </row>
    <row r="86" spans="2:18">
      <c r="B86" s="72"/>
      <c r="C86" s="72">
        <v>0</v>
      </c>
      <c r="D86" s="75">
        <v>115</v>
      </c>
      <c r="E86" s="75">
        <v>-9</v>
      </c>
      <c r="F86" s="75">
        <v>-53</v>
      </c>
      <c r="G86" s="59" t="str">
        <f t="shared" si="3"/>
        <v>115|-9|-53</v>
      </c>
      <c r="H86" s="60">
        <v>207</v>
      </c>
      <c r="I86" s="60">
        <v>0</v>
      </c>
      <c r="J86" s="60">
        <v>129</v>
      </c>
      <c r="K86" s="60">
        <v>-8.0117650000000005</v>
      </c>
      <c r="L86" s="60">
        <v>-102</v>
      </c>
      <c r="N86" s="66"/>
    </row>
    <row r="87" spans="2:18">
      <c r="B87" s="72"/>
      <c r="C87" s="72">
        <v>0</v>
      </c>
      <c r="D87" s="73">
        <v>141</v>
      </c>
      <c r="E87" s="73">
        <v>-9</v>
      </c>
      <c r="F87" s="73">
        <v>-54</v>
      </c>
      <c r="G87" s="59" t="str">
        <f t="shared" si="3"/>
        <v>141|-9|-54</v>
      </c>
      <c r="H87" s="60">
        <v>207</v>
      </c>
      <c r="I87" s="60">
        <v>0</v>
      </c>
      <c r="J87" s="60">
        <v>105</v>
      </c>
      <c r="K87" s="60">
        <v>-8.0117650000000005</v>
      </c>
      <c r="L87" s="60">
        <v>-81</v>
      </c>
      <c r="N87" s="66"/>
    </row>
    <row r="88" spans="2:18">
      <c r="B88" s="72"/>
      <c r="C88" s="72">
        <v>0</v>
      </c>
      <c r="D88" s="73">
        <v>128</v>
      </c>
      <c r="E88" s="73">
        <v>-9</v>
      </c>
      <c r="F88" s="73">
        <v>-41</v>
      </c>
      <c r="G88" s="59" t="str">
        <f t="shared" si="3"/>
        <v>128|-9|-41</v>
      </c>
      <c r="H88" s="60">
        <v>207</v>
      </c>
      <c r="I88" s="60">
        <v>0</v>
      </c>
      <c r="J88" s="60">
        <v>129</v>
      </c>
      <c r="K88" s="60">
        <v>-8.9653969999999994</v>
      </c>
      <c r="L88" s="60">
        <v>-90</v>
      </c>
      <c r="N88" s="66"/>
    </row>
    <row r="89" spans="2:18">
      <c r="B89" s="72"/>
      <c r="C89" s="72">
        <v>0</v>
      </c>
      <c r="D89" s="73">
        <v>140</v>
      </c>
      <c r="E89" s="73">
        <v>-9</v>
      </c>
      <c r="F89" s="73">
        <v>-67</v>
      </c>
      <c r="G89" s="59" t="str">
        <f t="shared" si="3"/>
        <v>140|-9|-67</v>
      </c>
      <c r="H89" s="60">
        <v>207</v>
      </c>
      <c r="I89" s="60">
        <v>0</v>
      </c>
      <c r="J89" s="60">
        <v>129</v>
      </c>
      <c r="K89" s="60">
        <v>-8.9653969999999994</v>
      </c>
      <c r="L89" s="60">
        <v>-78</v>
      </c>
      <c r="N89" s="66"/>
    </row>
    <row r="90" spans="2:18">
      <c r="B90" s="72"/>
      <c r="C90" s="72">
        <v>0</v>
      </c>
      <c r="D90" s="73">
        <v>136</v>
      </c>
      <c r="E90" s="73">
        <v>-9</v>
      </c>
      <c r="F90" s="73">
        <v>-79</v>
      </c>
      <c r="G90" s="59" t="str">
        <f t="shared" si="3"/>
        <v>136|-9|-79</v>
      </c>
      <c r="H90" s="60">
        <v>207</v>
      </c>
      <c r="I90" s="60">
        <v>0</v>
      </c>
      <c r="J90" s="60">
        <v>117</v>
      </c>
      <c r="K90" s="60">
        <v>-8.9653969999999994</v>
      </c>
      <c r="L90" s="60">
        <v>-78</v>
      </c>
      <c r="N90" s="66"/>
      <c r="Q90" s="65"/>
      <c r="R90" s="65"/>
    </row>
    <row r="91" spans="2:18">
      <c r="B91" s="72"/>
      <c r="C91" s="72">
        <v>0</v>
      </c>
      <c r="D91" s="73">
        <v>107</v>
      </c>
      <c r="E91" s="73">
        <v>-9</v>
      </c>
      <c r="F91" s="73">
        <v>-91</v>
      </c>
      <c r="G91" s="59" t="str">
        <f t="shared" si="3"/>
        <v>107|-9|-91</v>
      </c>
      <c r="H91" s="60">
        <v>207</v>
      </c>
      <c r="I91" s="60">
        <v>0</v>
      </c>
      <c r="J91" s="60">
        <v>135</v>
      </c>
      <c r="K91" s="60">
        <v>-9.0353049999999993</v>
      </c>
      <c r="L91" s="60">
        <v>-30</v>
      </c>
      <c r="N91" s="66"/>
      <c r="Q91" s="65"/>
      <c r="R91" s="65"/>
    </row>
    <row r="92" spans="2:18">
      <c r="B92" s="72"/>
      <c r="C92" s="72">
        <v>0</v>
      </c>
      <c r="D92" s="73">
        <v>124</v>
      </c>
      <c r="E92" s="73">
        <v>-9</v>
      </c>
      <c r="F92" s="73">
        <v>-79</v>
      </c>
      <c r="G92" s="59" t="str">
        <f t="shared" si="3"/>
        <v>124|-9|-79</v>
      </c>
      <c r="H92" s="60">
        <v>207</v>
      </c>
      <c r="I92" s="60">
        <v>0</v>
      </c>
      <c r="J92" s="60">
        <v>135</v>
      </c>
      <c r="K92" s="60">
        <v>-8.8588240000000003</v>
      </c>
      <c r="L92" s="60">
        <v>-66</v>
      </c>
      <c r="N92" s="66"/>
      <c r="Q92" s="65"/>
      <c r="R92" s="65"/>
    </row>
    <row r="93" spans="2:18">
      <c r="B93" s="72"/>
      <c r="C93" s="72">
        <v>0</v>
      </c>
      <c r="D93" s="73">
        <v>111</v>
      </c>
      <c r="E93" s="73">
        <v>-9</v>
      </c>
      <c r="F93" s="73">
        <v>-79</v>
      </c>
      <c r="G93" s="59" t="str">
        <f t="shared" si="3"/>
        <v>111|-9|-79</v>
      </c>
      <c r="H93" s="60">
        <v>207</v>
      </c>
      <c r="I93" s="60">
        <v>0</v>
      </c>
      <c r="J93" s="60">
        <v>123</v>
      </c>
      <c r="K93" s="60">
        <v>-9</v>
      </c>
      <c r="L93" s="60">
        <v>-30</v>
      </c>
      <c r="N93" s="66"/>
      <c r="Q93" s="65"/>
      <c r="R93" s="65"/>
    </row>
    <row r="94" spans="2:18">
      <c r="B94" s="72"/>
      <c r="C94" s="72">
        <v>0</v>
      </c>
      <c r="D94" s="73">
        <v>116</v>
      </c>
      <c r="E94" s="73">
        <v>-9</v>
      </c>
      <c r="F94" s="73">
        <v>-66</v>
      </c>
      <c r="G94" s="59" t="str">
        <f t="shared" si="3"/>
        <v>116|-9|-66</v>
      </c>
      <c r="H94" s="60">
        <v>207</v>
      </c>
      <c r="I94" s="60">
        <v>0</v>
      </c>
      <c r="J94" s="60">
        <v>93</v>
      </c>
      <c r="K94" s="60">
        <v>-9.0402869999999993</v>
      </c>
      <c r="L94" s="60">
        <v>-105</v>
      </c>
      <c r="N94" s="66"/>
    </row>
    <row r="95" spans="2:18">
      <c r="B95" s="72"/>
      <c r="C95" s="72">
        <v>0</v>
      </c>
      <c r="D95" s="73">
        <v>95</v>
      </c>
      <c r="E95" s="73">
        <v>-9</v>
      </c>
      <c r="F95" s="73">
        <v>-92</v>
      </c>
      <c r="G95" s="59" t="str">
        <f t="shared" si="3"/>
        <v>95|-9|-92</v>
      </c>
      <c r="H95" s="60">
        <v>207</v>
      </c>
      <c r="I95" s="60">
        <v>0</v>
      </c>
      <c r="J95" s="60">
        <v>123</v>
      </c>
      <c r="K95" s="60">
        <v>-9.0352820000000005</v>
      </c>
      <c r="L95" s="60">
        <v>-42</v>
      </c>
      <c r="N95" s="66"/>
    </row>
    <row r="96" spans="2:18">
      <c r="B96" s="72"/>
      <c r="C96" s="72">
        <v>0</v>
      </c>
      <c r="D96" s="73">
        <v>119</v>
      </c>
      <c r="E96" s="73">
        <v>-9</v>
      </c>
      <c r="F96" s="73">
        <v>-104</v>
      </c>
      <c r="G96" s="59" t="str">
        <f t="shared" si="3"/>
        <v>119|-9|-104</v>
      </c>
      <c r="H96" s="60">
        <v>207</v>
      </c>
      <c r="I96" s="60">
        <v>0</v>
      </c>
      <c r="J96" s="60">
        <v>-36</v>
      </c>
      <c r="K96" s="60">
        <v>-8.9653969999999994</v>
      </c>
      <c r="L96" s="60">
        <v>-111</v>
      </c>
      <c r="N96" s="66"/>
    </row>
    <row r="97" spans="2:14">
      <c r="B97" s="72"/>
      <c r="C97" s="72">
        <v>0</v>
      </c>
      <c r="D97" s="73">
        <v>107</v>
      </c>
      <c r="E97" s="73">
        <v>-9</v>
      </c>
      <c r="F97" s="73">
        <v>-105</v>
      </c>
      <c r="G97" s="59" t="str">
        <f t="shared" si="3"/>
        <v>107|-9|-105</v>
      </c>
      <c r="H97" s="60">
        <v>207</v>
      </c>
      <c r="I97" s="60">
        <v>0</v>
      </c>
      <c r="J97" s="60">
        <v>135</v>
      </c>
      <c r="K97" s="60">
        <v>-8.4352929999999997</v>
      </c>
      <c r="L97" s="60">
        <v>-54</v>
      </c>
      <c r="N97" s="66"/>
    </row>
    <row r="98" spans="2:14">
      <c r="B98" s="72"/>
      <c r="C98" s="72">
        <v>0</v>
      </c>
      <c r="D98" s="73">
        <v>94</v>
      </c>
      <c r="E98" s="73">
        <v>-9</v>
      </c>
      <c r="F98" s="73">
        <v>-105</v>
      </c>
      <c r="G98" s="59" t="str">
        <f t="shared" si="3"/>
        <v>94|-9|-105</v>
      </c>
      <c r="H98" s="60">
        <v>207</v>
      </c>
      <c r="I98" s="60">
        <v>0</v>
      </c>
      <c r="J98" s="60">
        <v>105</v>
      </c>
      <c r="K98" s="60">
        <v>-8.0117650000000005</v>
      </c>
      <c r="L98" s="60">
        <v>-105</v>
      </c>
      <c r="N98" s="66"/>
    </row>
    <row r="99" spans="2:14">
      <c r="B99" s="72"/>
      <c r="C99" s="72">
        <v>0</v>
      </c>
      <c r="D99" s="73">
        <v>116</v>
      </c>
      <c r="E99" s="73">
        <v>-9</v>
      </c>
      <c r="F99" s="73">
        <v>-41</v>
      </c>
      <c r="G99" s="59" t="str">
        <f t="shared" si="3"/>
        <v>116|-9|-41</v>
      </c>
      <c r="H99" s="60">
        <v>207</v>
      </c>
      <c r="I99" s="60">
        <v>0</v>
      </c>
      <c r="J99" s="60">
        <v>123</v>
      </c>
      <c r="K99" s="67">
        <v>-8.0117650000000005</v>
      </c>
      <c r="L99" s="60">
        <v>-54</v>
      </c>
      <c r="N99" s="66"/>
    </row>
    <row r="100" spans="2:14">
      <c r="B100" s="72">
        <v>208</v>
      </c>
      <c r="C100" s="72">
        <v>0</v>
      </c>
      <c r="D100" s="73">
        <v>-69</v>
      </c>
      <c r="E100" s="73">
        <v>13</v>
      </c>
      <c r="F100" s="73">
        <v>78</v>
      </c>
      <c r="G100" s="59" t="str">
        <f t="shared" si="3"/>
        <v>-69|13|78</v>
      </c>
      <c r="H100" s="60">
        <v>208</v>
      </c>
      <c r="I100" s="60">
        <v>0</v>
      </c>
      <c r="J100" s="60">
        <v>-69</v>
      </c>
      <c r="K100" s="67">
        <v>13</v>
      </c>
      <c r="L100" s="60">
        <v>78</v>
      </c>
      <c r="N100" s="66" t="s">
        <v>589</v>
      </c>
    </row>
    <row r="101" spans="2:14">
      <c r="B101" s="72">
        <v>209</v>
      </c>
      <c r="C101" s="72">
        <v>0</v>
      </c>
      <c r="D101" s="73">
        <v>60</v>
      </c>
      <c r="E101" s="73">
        <v>0</v>
      </c>
      <c r="F101" s="73">
        <v>24</v>
      </c>
      <c r="G101" s="59" t="str">
        <f t="shared" si="3"/>
        <v>60|0|24</v>
      </c>
      <c r="H101" s="60">
        <v>209</v>
      </c>
      <c r="I101" s="60">
        <v>0</v>
      </c>
      <c r="J101" s="60">
        <v>78</v>
      </c>
      <c r="K101" s="67">
        <v>-2.0893096999999999E-2</v>
      </c>
      <c r="L101" s="60">
        <v>45</v>
      </c>
      <c r="N101" s="66" t="s">
        <v>344</v>
      </c>
    </row>
    <row r="102" spans="2:14">
      <c r="B102" s="72">
        <v>211</v>
      </c>
      <c r="C102" s="72">
        <v>0</v>
      </c>
      <c r="D102" s="73">
        <v>21</v>
      </c>
      <c r="E102" s="73">
        <v>0</v>
      </c>
      <c r="F102" s="73">
        <v>-49</v>
      </c>
      <c r="G102" s="59" t="str">
        <f t="shared" si="3"/>
        <v>21|0|-49</v>
      </c>
      <c r="H102" s="60">
        <v>211</v>
      </c>
      <c r="I102" s="60" t="s">
        <v>1950</v>
      </c>
      <c r="J102" s="60">
        <v>60</v>
      </c>
      <c r="K102" s="60">
        <v>-2.0896912E-2</v>
      </c>
      <c r="L102" s="60">
        <v>-45</v>
      </c>
      <c r="N102" s="66" t="s">
        <v>605</v>
      </c>
    </row>
    <row r="103" spans="2:14">
      <c r="B103" s="72">
        <v>212</v>
      </c>
      <c r="C103" s="72">
        <v>0</v>
      </c>
      <c r="D103" s="73">
        <v>109.5</v>
      </c>
      <c r="E103" s="73">
        <v>-4.5999999999999996</v>
      </c>
      <c r="F103" s="73">
        <v>69</v>
      </c>
      <c r="G103" s="59" t="str">
        <f t="shared" si="3"/>
        <v>109.5|-4.6|69</v>
      </c>
      <c r="H103" s="60">
        <v>212</v>
      </c>
      <c r="I103" s="60">
        <v>0</v>
      </c>
      <c r="J103" s="60">
        <v>109.5</v>
      </c>
      <c r="K103" s="60">
        <v>-4.5999999999999996</v>
      </c>
      <c r="L103" s="60">
        <v>69</v>
      </c>
      <c r="N103" s="66" t="s">
        <v>394</v>
      </c>
    </row>
    <row r="104" spans="2:14">
      <c r="B104" s="72">
        <v>213</v>
      </c>
      <c r="C104" s="72">
        <v>0</v>
      </c>
      <c r="D104" s="73">
        <v>16</v>
      </c>
      <c r="E104" s="73">
        <v>-18.5</v>
      </c>
      <c r="F104" s="73">
        <v>130</v>
      </c>
      <c r="G104" s="59" t="str">
        <f t="shared" si="3"/>
        <v>16|-18.5|130</v>
      </c>
      <c r="H104" s="60">
        <v>213</v>
      </c>
      <c r="I104" s="60">
        <v>0</v>
      </c>
      <c r="J104" s="60">
        <v>16.5</v>
      </c>
      <c r="K104" s="60">
        <v>-18.48</v>
      </c>
      <c r="L104" s="60">
        <v>130.5</v>
      </c>
      <c r="N104" s="66" t="s">
        <v>599</v>
      </c>
    </row>
    <row r="105" spans="2:14">
      <c r="B105" s="72">
        <v>215</v>
      </c>
      <c r="C105" s="72">
        <v>0</v>
      </c>
      <c r="D105" s="73">
        <v>99</v>
      </c>
      <c r="E105" s="73">
        <v>0</v>
      </c>
      <c r="F105" s="73">
        <v>1</v>
      </c>
      <c r="G105" s="59" t="str">
        <f t="shared" si="3"/>
        <v>99|0|1</v>
      </c>
      <c r="H105" s="60">
        <v>215</v>
      </c>
      <c r="I105" s="60">
        <v>0</v>
      </c>
      <c r="J105" s="60">
        <v>99</v>
      </c>
      <c r="K105" s="67">
        <v>0</v>
      </c>
      <c r="L105" s="60">
        <v>1</v>
      </c>
      <c r="N105" s="66" t="s">
        <v>418</v>
      </c>
    </row>
    <row r="106" spans="2:14">
      <c r="B106" s="72">
        <v>222</v>
      </c>
      <c r="C106" s="72">
        <v>0</v>
      </c>
      <c r="D106" s="73">
        <v>43</v>
      </c>
      <c r="E106" s="73">
        <v>0</v>
      </c>
      <c r="F106" s="73">
        <v>21</v>
      </c>
      <c r="G106" s="59" t="str">
        <f t="shared" si="3"/>
        <v>43|0|21</v>
      </c>
      <c r="H106" s="60">
        <v>222</v>
      </c>
      <c r="I106" s="60">
        <v>0</v>
      </c>
      <c r="J106" s="60">
        <v>30</v>
      </c>
      <c r="K106" s="67">
        <v>-2.0885468000000001E-2</v>
      </c>
      <c r="L106" s="60">
        <v>48</v>
      </c>
      <c r="N106" s="66" t="s">
        <v>442</v>
      </c>
    </row>
    <row r="107" spans="2:14">
      <c r="B107" s="72">
        <v>224</v>
      </c>
      <c r="C107" s="72">
        <v>0</v>
      </c>
      <c r="D107" s="73">
        <v>81</v>
      </c>
      <c r="E107" s="73">
        <v>0</v>
      </c>
      <c r="F107" s="73">
        <v>15</v>
      </c>
      <c r="G107" s="59" t="str">
        <f t="shared" si="3"/>
        <v>81|0|15</v>
      </c>
      <c r="H107" s="60">
        <v>224</v>
      </c>
      <c r="I107" s="60">
        <v>0</v>
      </c>
      <c r="J107" s="60">
        <v>72</v>
      </c>
      <c r="K107" s="60">
        <v>-2.0889281999999999E-2</v>
      </c>
      <c r="L107" s="60">
        <v>18</v>
      </c>
      <c r="N107" s="66" t="s">
        <v>369</v>
      </c>
    </row>
    <row r="108" spans="2:14">
      <c r="B108" s="72">
        <v>226</v>
      </c>
      <c r="C108" s="72">
        <v>0</v>
      </c>
      <c r="D108" s="73">
        <v>-22</v>
      </c>
      <c r="E108" s="73">
        <v>3</v>
      </c>
      <c r="F108" s="73">
        <v>69</v>
      </c>
      <c r="G108" s="59" t="str">
        <f t="shared" si="3"/>
        <v>-22|3|69</v>
      </c>
      <c r="H108" s="60">
        <v>226</v>
      </c>
      <c r="I108" s="60">
        <v>0</v>
      </c>
      <c r="J108" s="60">
        <v>-21</v>
      </c>
      <c r="K108" s="60">
        <v>3</v>
      </c>
      <c r="L108" s="60">
        <v>69</v>
      </c>
      <c r="N108" s="66" t="s">
        <v>469</v>
      </c>
    </row>
    <row r="109" spans="2:14">
      <c r="B109" s="72">
        <v>227</v>
      </c>
      <c r="C109" s="72">
        <v>0</v>
      </c>
      <c r="D109" s="73">
        <v>152</v>
      </c>
      <c r="E109" s="73">
        <v>-9</v>
      </c>
      <c r="F109" s="73">
        <v>-30</v>
      </c>
      <c r="G109" s="59" t="str">
        <f t="shared" si="3"/>
        <v>152|-9|-30</v>
      </c>
      <c r="H109" s="60">
        <v>227</v>
      </c>
      <c r="I109" s="60">
        <v>0</v>
      </c>
      <c r="J109" s="60">
        <v>152</v>
      </c>
      <c r="K109" s="67">
        <v>-8.9</v>
      </c>
      <c r="L109" s="60">
        <v>-30</v>
      </c>
      <c r="N109" s="66" t="s">
        <v>940</v>
      </c>
    </row>
    <row r="110" spans="2:14">
      <c r="B110" s="72"/>
      <c r="C110" s="72">
        <v>0</v>
      </c>
      <c r="D110" s="73">
        <v>141</v>
      </c>
      <c r="E110" s="73">
        <v>-9</v>
      </c>
      <c r="F110" s="73">
        <v>20.2</v>
      </c>
      <c r="G110" s="59" t="str">
        <f t="shared" si="3"/>
        <v>141|-9|20.2</v>
      </c>
      <c r="H110" s="60">
        <v>227</v>
      </c>
      <c r="I110" s="60">
        <v>0</v>
      </c>
      <c r="J110" s="60">
        <v>141</v>
      </c>
      <c r="K110" s="67">
        <v>-9</v>
      </c>
      <c r="L110" s="60">
        <v>20</v>
      </c>
      <c r="N110" s="66"/>
    </row>
    <row r="111" spans="2:14">
      <c r="B111" s="72">
        <v>228</v>
      </c>
      <c r="C111" s="72">
        <v>0</v>
      </c>
      <c r="D111" s="73">
        <v>-25.2</v>
      </c>
      <c r="E111" s="73">
        <v>0</v>
      </c>
      <c r="F111" s="73">
        <v>-49.2</v>
      </c>
      <c r="G111" s="59" t="str">
        <f t="shared" si="3"/>
        <v>-25.2|0|-49.2</v>
      </c>
      <c r="H111" s="60">
        <v>227</v>
      </c>
      <c r="I111" s="60">
        <v>0</v>
      </c>
      <c r="J111" s="60">
        <v>152</v>
      </c>
      <c r="K111" s="67">
        <v>-8.9</v>
      </c>
      <c r="L111" s="60">
        <v>-41</v>
      </c>
      <c r="N111" s="66" t="s">
        <v>948</v>
      </c>
    </row>
    <row r="112" spans="2:14">
      <c r="B112" s="72">
        <v>229</v>
      </c>
      <c r="C112" s="72">
        <v>0</v>
      </c>
      <c r="D112" s="73">
        <v>39</v>
      </c>
      <c r="E112" s="73">
        <v>0</v>
      </c>
      <c r="F112" s="73">
        <v>42</v>
      </c>
      <c r="G112" s="59" t="str">
        <f t="shared" si="3"/>
        <v>39|0|42</v>
      </c>
      <c r="H112" s="60">
        <v>229</v>
      </c>
      <c r="I112" s="60">
        <v>0</v>
      </c>
      <c r="J112" s="60">
        <v>-61.5</v>
      </c>
      <c r="K112" s="67" t="s">
        <v>1951</v>
      </c>
      <c r="L112" s="60">
        <v>-46.5</v>
      </c>
      <c r="N112" s="66" t="s">
        <v>515</v>
      </c>
    </row>
    <row r="113" spans="1:14">
      <c r="B113" s="72">
        <v>230</v>
      </c>
      <c r="C113" s="72">
        <v>0</v>
      </c>
      <c r="D113" s="73">
        <v>45</v>
      </c>
      <c r="E113" s="73">
        <v>0</v>
      </c>
      <c r="F113" s="73">
        <v>-19</v>
      </c>
      <c r="G113" s="59" t="str">
        <f t="shared" si="3"/>
        <v>45|0|-19</v>
      </c>
      <c r="H113" s="60">
        <v>230</v>
      </c>
      <c r="I113" s="60">
        <v>0</v>
      </c>
      <c r="J113" s="60">
        <v>81</v>
      </c>
      <c r="K113" s="67">
        <v>-2.0893096999999999E-2</v>
      </c>
      <c r="L113" s="60">
        <v>-18</v>
      </c>
      <c r="N113" s="66" t="s">
        <v>539</v>
      </c>
    </row>
    <row r="114" spans="1:14">
      <c r="B114" s="72">
        <v>231</v>
      </c>
      <c r="C114" s="72">
        <v>0</v>
      </c>
      <c r="D114" s="73">
        <v>-31</v>
      </c>
      <c r="E114" s="73">
        <v>0</v>
      </c>
      <c r="F114" s="73">
        <v>-34</v>
      </c>
      <c r="G114" s="59" t="str">
        <f t="shared" si="3"/>
        <v>-31|0|-34</v>
      </c>
      <c r="H114" s="60">
        <v>231</v>
      </c>
      <c r="I114" s="60">
        <v>0</v>
      </c>
      <c r="J114" s="60">
        <v>-31.5</v>
      </c>
      <c r="K114" s="67">
        <v>-2.0896912E-2</v>
      </c>
      <c r="L114" s="60">
        <v>-37.5</v>
      </c>
      <c r="N114" s="66" t="s">
        <v>591</v>
      </c>
    </row>
    <row r="115" spans="1:14">
      <c r="B115" s="72">
        <v>232</v>
      </c>
      <c r="C115" s="72">
        <v>0</v>
      </c>
      <c r="D115" s="73">
        <v>84</v>
      </c>
      <c r="E115" s="73">
        <v>0</v>
      </c>
      <c r="F115" s="73">
        <v>45</v>
      </c>
      <c r="G115" s="59" t="str">
        <f t="shared" si="3"/>
        <v>84|0|45</v>
      </c>
      <c r="H115" s="60">
        <v>232</v>
      </c>
      <c r="I115" s="60">
        <v>0</v>
      </c>
      <c r="J115" s="60">
        <v>51</v>
      </c>
      <c r="K115" s="67">
        <v>-2.0885468000000001E-2</v>
      </c>
      <c r="L115" s="60">
        <v>45</v>
      </c>
      <c r="N115" s="66" t="s">
        <v>319</v>
      </c>
    </row>
    <row r="116" spans="1:14">
      <c r="B116" s="72">
        <v>234</v>
      </c>
      <c r="C116" s="72">
        <v>0</v>
      </c>
      <c r="D116" s="73">
        <v>-114</v>
      </c>
      <c r="E116" s="73">
        <v>0</v>
      </c>
      <c r="F116" s="73">
        <v>-34</v>
      </c>
      <c r="G116" s="59" t="str">
        <f t="shared" si="3"/>
        <v>-114|0|-34</v>
      </c>
      <c r="H116" s="60">
        <v>234</v>
      </c>
      <c r="I116" s="60">
        <v>0</v>
      </c>
      <c r="J116" s="60">
        <v>-114</v>
      </c>
      <c r="K116" s="60" t="s">
        <v>1949</v>
      </c>
      <c r="L116" s="60">
        <v>-15</v>
      </c>
      <c r="N116" s="66" t="s">
        <v>271</v>
      </c>
    </row>
    <row r="117" spans="1:14">
      <c r="B117" s="72"/>
      <c r="C117" s="72">
        <v>0</v>
      </c>
      <c r="D117" s="73">
        <v>-101</v>
      </c>
      <c r="E117" s="73">
        <v>0</v>
      </c>
      <c r="F117" s="73">
        <v>-47</v>
      </c>
      <c r="G117" s="59" t="str">
        <f t="shared" si="3"/>
        <v>-101|0|-47</v>
      </c>
      <c r="H117" s="60">
        <v>234</v>
      </c>
      <c r="I117" s="60">
        <v>0</v>
      </c>
      <c r="J117" s="60">
        <v>-108</v>
      </c>
      <c r="K117" s="60">
        <v>-2.0893096999999999E-2</v>
      </c>
      <c r="L117" s="60">
        <v>6</v>
      </c>
      <c r="N117" s="66"/>
    </row>
    <row r="118" spans="1:14">
      <c r="B118" s="72"/>
      <c r="C118" s="72">
        <v>0</v>
      </c>
      <c r="D118" s="73">
        <v>-108</v>
      </c>
      <c r="E118" s="73">
        <v>0</v>
      </c>
      <c r="F118" s="73">
        <v>-58</v>
      </c>
      <c r="G118" s="59" t="str">
        <f t="shared" si="3"/>
        <v>-108|0|-58</v>
      </c>
      <c r="H118" s="61">
        <v>-108</v>
      </c>
      <c r="I118" s="61">
        <v>-2.0893096999999999E-2</v>
      </c>
      <c r="J118" s="61">
        <v>-25</v>
      </c>
      <c r="K118" s="60" t="s">
        <v>1949</v>
      </c>
      <c r="L118" s="60">
        <v>-15</v>
      </c>
      <c r="N118" s="66"/>
    </row>
    <row r="119" spans="1:14">
      <c r="B119" s="72"/>
      <c r="C119" s="72">
        <v>0</v>
      </c>
      <c r="D119" s="73">
        <v>-101</v>
      </c>
      <c r="E119" s="73">
        <v>0</v>
      </c>
      <c r="F119" s="73">
        <v>-31</v>
      </c>
      <c r="G119" s="59" t="str">
        <f t="shared" si="3"/>
        <v>-101|0|-31</v>
      </c>
      <c r="H119" s="61">
        <v>-106</v>
      </c>
      <c r="I119" s="61">
        <v>-2.0893096999999999E-2</v>
      </c>
      <c r="J119" s="61">
        <v>-38</v>
      </c>
      <c r="K119" s="60">
        <v>-2.0893096999999999E-2</v>
      </c>
      <c r="L119" s="60">
        <v>6</v>
      </c>
      <c r="N119" s="66"/>
    </row>
    <row r="120" spans="1:14">
      <c r="B120" s="72">
        <v>235</v>
      </c>
      <c r="C120" s="72">
        <v>0</v>
      </c>
      <c r="D120" s="75">
        <v>-57</v>
      </c>
      <c r="E120" s="75">
        <v>5</v>
      </c>
      <c r="F120" s="75">
        <v>6</v>
      </c>
      <c r="G120" s="59" t="str">
        <f t="shared" si="3"/>
        <v>-57|5|6</v>
      </c>
      <c r="H120" s="60">
        <v>235</v>
      </c>
      <c r="I120" s="60">
        <v>0</v>
      </c>
      <c r="J120" s="60">
        <v>-63</v>
      </c>
      <c r="K120" s="67">
        <v>5</v>
      </c>
      <c r="L120" s="60">
        <v>6</v>
      </c>
      <c r="N120" s="66" t="s">
        <v>994</v>
      </c>
    </row>
    <row r="121" spans="1:14">
      <c r="B121" s="72">
        <v>236</v>
      </c>
      <c r="C121" s="72">
        <v>0</v>
      </c>
      <c r="D121" s="73">
        <v>-42</v>
      </c>
      <c r="E121" s="73">
        <v>5</v>
      </c>
      <c r="F121" s="73">
        <v>5</v>
      </c>
      <c r="G121" s="59" t="str">
        <f t="shared" si="3"/>
        <v>-42|5|5</v>
      </c>
      <c r="H121" s="60">
        <v>236</v>
      </c>
      <c r="I121" s="60">
        <v>0</v>
      </c>
      <c r="J121" s="60">
        <v>-42</v>
      </c>
      <c r="K121" s="67">
        <v>5</v>
      </c>
      <c r="L121" s="60">
        <v>5</v>
      </c>
      <c r="N121" s="66" t="s">
        <v>999</v>
      </c>
    </row>
    <row r="122" spans="1:14">
      <c r="B122" s="72">
        <v>237</v>
      </c>
      <c r="C122" s="72">
        <v>0</v>
      </c>
      <c r="D122" s="73">
        <v>70</v>
      </c>
      <c r="E122" s="73">
        <v>0</v>
      </c>
      <c r="F122" s="73">
        <v>-44</v>
      </c>
      <c r="G122" s="59" t="str">
        <f t="shared" si="3"/>
        <v>70|0|-44</v>
      </c>
      <c r="H122" s="60">
        <v>237</v>
      </c>
      <c r="I122" s="60">
        <v>0</v>
      </c>
      <c r="J122" s="60">
        <v>18</v>
      </c>
      <c r="K122" s="60">
        <v>-2.0900726000000001E-2</v>
      </c>
      <c r="L122" s="60">
        <v>-48</v>
      </c>
      <c r="N122" s="66" t="s">
        <v>565</v>
      </c>
    </row>
    <row r="123" spans="1:14">
      <c r="B123" s="72">
        <v>300</v>
      </c>
      <c r="C123" s="72">
        <v>0</v>
      </c>
      <c r="D123" s="73">
        <v>80</v>
      </c>
      <c r="E123" s="73">
        <v>-9</v>
      </c>
      <c r="F123" s="73">
        <v>106</v>
      </c>
      <c r="G123" s="59" t="str">
        <f t="shared" si="3"/>
        <v>80|-9|106</v>
      </c>
      <c r="H123" s="60"/>
      <c r="I123" s="60"/>
      <c r="J123" s="60"/>
      <c r="K123" s="60"/>
      <c r="L123" s="60"/>
      <c r="N123" s="66" t="s">
        <v>1010</v>
      </c>
    </row>
    <row r="124" spans="1:14">
      <c r="B124" s="72">
        <v>400</v>
      </c>
      <c r="C124" s="72">
        <v>0</v>
      </c>
      <c r="D124" s="73">
        <v>-37</v>
      </c>
      <c r="E124" s="73">
        <v>0</v>
      </c>
      <c r="F124" s="73">
        <v>-55</v>
      </c>
      <c r="G124" s="59" t="str">
        <f t="shared" si="3"/>
        <v>-37|0|-55</v>
      </c>
      <c r="N124" s="66" t="s">
        <v>1014</v>
      </c>
    </row>
    <row r="125" spans="1:14">
      <c r="B125" s="72">
        <v>404</v>
      </c>
      <c r="C125" s="72">
        <v>0</v>
      </c>
      <c r="D125" s="73">
        <v>196.5</v>
      </c>
      <c r="E125" s="73">
        <v>0</v>
      </c>
      <c r="F125" s="73">
        <v>91.8</v>
      </c>
      <c r="G125" s="59" t="str">
        <f t="shared" si="3"/>
        <v>196.5|0|91.8</v>
      </c>
      <c r="N125" s="66" t="s">
        <v>1952</v>
      </c>
    </row>
    <row r="126" spans="1:14">
      <c r="B126" s="60">
        <v>409</v>
      </c>
      <c r="C126" s="60">
        <v>0</v>
      </c>
      <c r="D126" s="61">
        <v>16</v>
      </c>
      <c r="E126" s="61">
        <v>-18.5</v>
      </c>
      <c r="F126" s="61">
        <v>130</v>
      </c>
      <c r="G126" s="59" t="str">
        <f t="shared" si="3"/>
        <v>16|-18.5|130</v>
      </c>
      <c r="H126" s="60">
        <v>16.5</v>
      </c>
      <c r="I126" s="67">
        <v>-18.48</v>
      </c>
      <c r="J126" s="60">
        <v>130.5</v>
      </c>
      <c r="K126" s="60"/>
      <c r="N126" s="66" t="s">
        <v>1672</v>
      </c>
    </row>
    <row r="127" spans="1:14">
      <c r="B127" s="60">
        <v>410</v>
      </c>
      <c r="C127" s="60">
        <v>0</v>
      </c>
      <c r="D127" s="61">
        <v>34</v>
      </c>
      <c r="E127" s="61">
        <v>0</v>
      </c>
      <c r="F127" s="61">
        <v>-64</v>
      </c>
      <c r="G127" s="59" t="str">
        <f t="shared" si="3"/>
        <v>34|0|-64</v>
      </c>
      <c r="H127" s="60"/>
      <c r="I127" s="67"/>
      <c r="J127" s="60"/>
      <c r="K127" s="60"/>
      <c r="N127" s="66" t="s">
        <v>2308</v>
      </c>
    </row>
    <row r="128" spans="1:14">
      <c r="A128" s="57">
        <v>3</v>
      </c>
      <c r="B128" s="57">
        <v>201</v>
      </c>
      <c r="C128" s="57">
        <v>0</v>
      </c>
      <c r="D128" s="58">
        <v>0</v>
      </c>
      <c r="E128" s="58">
        <v>0</v>
      </c>
      <c r="F128" s="58">
        <v>0</v>
      </c>
      <c r="G128" s="59" t="str">
        <f t="shared" si="3"/>
        <v>0|0|0</v>
      </c>
      <c r="H128" s="57">
        <v>201</v>
      </c>
      <c r="I128" s="57">
        <v>0</v>
      </c>
      <c r="J128" s="57">
        <v>19</v>
      </c>
      <c r="K128" s="57">
        <v>0</v>
      </c>
      <c r="L128" s="64">
        <v>0</v>
      </c>
      <c r="M128" s="57">
        <v>0</v>
      </c>
      <c r="N128" s="66" t="s">
        <v>66</v>
      </c>
    </row>
    <row r="129" spans="2:14">
      <c r="B129" s="72">
        <v>202</v>
      </c>
      <c r="C129" s="72">
        <v>0</v>
      </c>
      <c r="D129" s="61">
        <v>-37</v>
      </c>
      <c r="E129" s="61">
        <v>0</v>
      </c>
      <c r="F129" s="61">
        <v>-28</v>
      </c>
      <c r="G129" s="59" t="str">
        <f t="shared" si="3"/>
        <v>-37|0|-28</v>
      </c>
      <c r="H129" s="60">
        <v>202</v>
      </c>
      <c r="I129" s="60">
        <v>0</v>
      </c>
      <c r="J129" s="60">
        <v>18</v>
      </c>
      <c r="K129" s="60">
        <v>36</v>
      </c>
      <c r="L129" s="67">
        <v>1.0299682599999999E-4</v>
      </c>
      <c r="M129" s="60">
        <v>-60</v>
      </c>
      <c r="N129" s="66" t="s">
        <v>154</v>
      </c>
    </row>
    <row r="130" spans="2:14">
      <c r="B130" s="72"/>
      <c r="C130" s="72">
        <v>0</v>
      </c>
      <c r="D130" s="61">
        <v>-50</v>
      </c>
      <c r="E130" s="61">
        <v>0</v>
      </c>
      <c r="F130" s="61">
        <v>-38</v>
      </c>
      <c r="G130" s="59" t="str">
        <f t="shared" si="3"/>
        <v>-50|0|-38</v>
      </c>
      <c r="H130" s="60">
        <v>202</v>
      </c>
      <c r="I130" s="60">
        <v>0</v>
      </c>
      <c r="J130" s="60">
        <v>18</v>
      </c>
      <c r="K130" s="60">
        <v>39</v>
      </c>
      <c r="L130" s="67">
        <v>1.1825561499999999E-4</v>
      </c>
      <c r="M130" s="60">
        <v>66</v>
      </c>
      <c r="N130" s="66"/>
    </row>
    <row r="131" spans="2:14">
      <c r="B131" s="72"/>
      <c r="C131" s="72">
        <v>0</v>
      </c>
      <c r="D131" s="61">
        <v>-37</v>
      </c>
      <c r="E131" s="61">
        <v>0</v>
      </c>
      <c r="F131" s="61">
        <v>-44</v>
      </c>
      <c r="G131" s="59" t="str">
        <f t="shared" si="3"/>
        <v>-37|0|-44</v>
      </c>
      <c r="H131" s="60">
        <v>202</v>
      </c>
      <c r="I131" s="60">
        <v>0</v>
      </c>
      <c r="J131" s="60">
        <v>18</v>
      </c>
      <c r="K131" s="60">
        <v>-57</v>
      </c>
      <c r="L131" s="67">
        <v>1.0299682599999999E-4</v>
      </c>
      <c r="M131" s="60">
        <v>-51</v>
      </c>
      <c r="N131" s="66"/>
    </row>
    <row r="132" spans="2:14">
      <c r="B132" s="72"/>
      <c r="C132" s="72">
        <v>0</v>
      </c>
      <c r="D132" s="61">
        <v>-37</v>
      </c>
      <c r="E132" s="61">
        <v>0</v>
      </c>
      <c r="F132" s="61">
        <v>-58</v>
      </c>
      <c r="G132" s="59" t="str">
        <f t="shared" si="3"/>
        <v>-37|0|-58</v>
      </c>
      <c r="H132" s="60">
        <v>202</v>
      </c>
      <c r="I132" s="60">
        <v>0</v>
      </c>
      <c r="J132" s="60">
        <v>18</v>
      </c>
      <c r="K132" s="60">
        <v>-36</v>
      </c>
      <c r="L132" s="67">
        <v>1.0299682599999999E-4</v>
      </c>
      <c r="M132" s="60">
        <v>-60</v>
      </c>
      <c r="N132" s="66"/>
    </row>
    <row r="133" spans="2:14">
      <c r="B133" s="72">
        <v>203</v>
      </c>
      <c r="C133" s="72">
        <v>0</v>
      </c>
      <c r="D133" s="73">
        <v>140</v>
      </c>
      <c r="E133" s="73">
        <v>-9</v>
      </c>
      <c r="F133" s="73">
        <v>-34</v>
      </c>
      <c r="G133" s="59" t="str">
        <f t="shared" si="3"/>
        <v>140|-9|-34</v>
      </c>
      <c r="H133" s="60">
        <v>203</v>
      </c>
      <c r="I133" s="60">
        <v>0</v>
      </c>
      <c r="J133" s="60">
        <v>18</v>
      </c>
      <c r="K133" s="60">
        <v>-39</v>
      </c>
      <c r="L133" s="60">
        <v>-6.0012283000000002</v>
      </c>
      <c r="M133" s="60">
        <v>-99</v>
      </c>
      <c r="N133" s="66" t="s">
        <v>202</v>
      </c>
    </row>
    <row r="134" spans="2:14">
      <c r="B134" s="72"/>
      <c r="C134" s="72">
        <v>0</v>
      </c>
      <c r="D134" s="73">
        <v>27</v>
      </c>
      <c r="E134" s="73">
        <v>-6</v>
      </c>
      <c r="F134" s="73">
        <v>-116</v>
      </c>
      <c r="G134" s="59" t="str">
        <f t="shared" si="3"/>
        <v>27|-6|-116</v>
      </c>
      <c r="H134" s="60">
        <v>203</v>
      </c>
      <c r="I134" s="60">
        <v>0</v>
      </c>
      <c r="J134" s="60">
        <v>18</v>
      </c>
      <c r="K134" s="60">
        <v>36</v>
      </c>
      <c r="L134" s="60">
        <v>-6.0007286000000004</v>
      </c>
      <c r="M134" s="60">
        <v>-108</v>
      </c>
      <c r="N134" s="66"/>
    </row>
    <row r="135" spans="2:14">
      <c r="B135" s="72"/>
      <c r="C135" s="72">
        <v>0</v>
      </c>
      <c r="D135" s="73">
        <v>27</v>
      </c>
      <c r="E135" s="73">
        <v>-6</v>
      </c>
      <c r="F135" s="73">
        <v>-100</v>
      </c>
      <c r="G135" s="59" t="str">
        <f t="shared" si="3"/>
        <v>27|-6|-100</v>
      </c>
      <c r="H135" s="60">
        <v>203</v>
      </c>
      <c r="I135" s="60">
        <v>0</v>
      </c>
      <c r="J135" s="60">
        <v>18</v>
      </c>
      <c r="K135" s="60">
        <v>138</v>
      </c>
      <c r="L135" s="67">
        <v>-9.0999029999999994</v>
      </c>
      <c r="M135" s="60">
        <v>-96</v>
      </c>
      <c r="N135" s="66"/>
    </row>
    <row r="136" spans="2:14">
      <c r="B136" s="72"/>
      <c r="C136" s="72">
        <v>0</v>
      </c>
      <c r="D136" s="73">
        <v>151</v>
      </c>
      <c r="E136" s="73">
        <v>-9</v>
      </c>
      <c r="F136" s="73">
        <v>-45</v>
      </c>
      <c r="G136" s="59" t="str">
        <f t="shared" si="3"/>
        <v>151|-9|-45</v>
      </c>
      <c r="H136" s="60">
        <v>203</v>
      </c>
      <c r="I136" s="60">
        <v>0</v>
      </c>
      <c r="J136" s="60">
        <v>18</v>
      </c>
      <c r="K136" s="60">
        <v>153</v>
      </c>
      <c r="L136" s="60">
        <v>-9.0998955000000006</v>
      </c>
      <c r="M136" s="60">
        <v>-42</v>
      </c>
      <c r="N136" s="66"/>
    </row>
    <row r="137" spans="2:14">
      <c r="B137" s="72">
        <v>204</v>
      </c>
      <c r="C137" s="72">
        <v>0</v>
      </c>
      <c r="D137" s="73">
        <v>-30</v>
      </c>
      <c r="E137" s="73">
        <v>-6</v>
      </c>
      <c r="F137" s="73">
        <v>-105</v>
      </c>
      <c r="G137" s="59" t="str">
        <f t="shared" si="3"/>
        <v>-30|-6|-105</v>
      </c>
      <c r="H137" s="60">
        <v>204</v>
      </c>
      <c r="I137" s="60">
        <v>0</v>
      </c>
      <c r="J137" s="60">
        <v>18</v>
      </c>
      <c r="K137" s="60">
        <v>-108</v>
      </c>
      <c r="L137" s="67">
        <v>1.1062622E-4</v>
      </c>
      <c r="M137" s="60">
        <v>-30</v>
      </c>
      <c r="N137" s="66" t="s">
        <v>226</v>
      </c>
    </row>
    <row r="138" spans="2:14">
      <c r="B138" s="72"/>
      <c r="C138" s="72">
        <v>0</v>
      </c>
      <c r="D138" s="73">
        <v>-29</v>
      </c>
      <c r="E138" s="73">
        <v>-6</v>
      </c>
      <c r="F138" s="73">
        <v>-94</v>
      </c>
      <c r="G138" s="59" t="str">
        <f t="shared" si="3"/>
        <v>-29|-6|-94</v>
      </c>
      <c r="H138" s="60">
        <v>204</v>
      </c>
      <c r="I138" s="60">
        <v>0</v>
      </c>
      <c r="J138" s="60">
        <v>18</v>
      </c>
      <c r="K138" s="60">
        <v>-9</v>
      </c>
      <c r="L138" s="60">
        <v>-7.3883590000000003</v>
      </c>
      <c r="M138" s="60">
        <v>-120</v>
      </c>
      <c r="N138" s="66"/>
    </row>
    <row r="139" spans="2:14">
      <c r="B139" s="72"/>
      <c r="C139" s="72">
        <v>0</v>
      </c>
      <c r="D139" s="73">
        <v>-44</v>
      </c>
      <c r="E139" s="73">
        <v>-6</v>
      </c>
      <c r="F139" s="73">
        <v>-95</v>
      </c>
      <c r="G139" s="59" t="str">
        <f t="shared" si="3"/>
        <v>-44|-6|-95</v>
      </c>
      <c r="H139" s="60">
        <v>204</v>
      </c>
      <c r="I139" s="60">
        <v>0</v>
      </c>
      <c r="J139" s="60">
        <v>18</v>
      </c>
      <c r="K139" s="60">
        <v>141</v>
      </c>
      <c r="L139" s="60">
        <v>-9.0998990000000006</v>
      </c>
      <c r="M139" s="60">
        <v>-54</v>
      </c>
      <c r="N139" s="66"/>
    </row>
    <row r="140" spans="2:14">
      <c r="B140" s="72"/>
      <c r="C140" s="72">
        <v>0</v>
      </c>
      <c r="D140" s="73">
        <v>-45</v>
      </c>
      <c r="E140" s="73">
        <v>-6</v>
      </c>
      <c r="F140" s="73">
        <v>-105</v>
      </c>
      <c r="G140" s="59" t="str">
        <f t="shared" ref="G140:G206" si="4">D140&amp;"|"&amp;E140&amp;"|"&amp;F140</f>
        <v>-45|-6|-105</v>
      </c>
      <c r="H140" s="60">
        <v>204</v>
      </c>
      <c r="I140" s="60">
        <v>0</v>
      </c>
      <c r="J140" s="60">
        <v>18</v>
      </c>
      <c r="K140" s="60">
        <v>135</v>
      </c>
      <c r="L140" s="67">
        <v>-9.0998920000000005</v>
      </c>
      <c r="M140" s="60">
        <v>-27</v>
      </c>
      <c r="N140" s="66"/>
    </row>
    <row r="141" spans="2:14">
      <c r="B141" s="72">
        <v>205</v>
      </c>
      <c r="C141" s="72">
        <v>0</v>
      </c>
      <c r="D141" s="73">
        <v>-110</v>
      </c>
      <c r="E141" s="73">
        <v>0</v>
      </c>
      <c r="F141" s="73">
        <v>-20</v>
      </c>
      <c r="G141" s="59" t="str">
        <f t="shared" si="4"/>
        <v>-110|0|-20</v>
      </c>
      <c r="H141" s="60">
        <v>205</v>
      </c>
      <c r="I141" s="60">
        <v>0</v>
      </c>
      <c r="J141" s="60">
        <v>18</v>
      </c>
      <c r="K141" s="60">
        <v>-93</v>
      </c>
      <c r="L141" s="67">
        <v>1.0681152E-4</v>
      </c>
      <c r="M141" s="60">
        <v>-24</v>
      </c>
      <c r="N141" s="66" t="s">
        <v>249</v>
      </c>
    </row>
    <row r="142" spans="2:14">
      <c r="B142" s="72"/>
      <c r="C142" s="72">
        <v>0</v>
      </c>
      <c r="D142" s="73">
        <v>-120</v>
      </c>
      <c r="E142" s="73">
        <v>0</v>
      </c>
      <c r="F142" s="73">
        <v>-26</v>
      </c>
      <c r="G142" s="59" t="str">
        <f t="shared" si="4"/>
        <v>-120|0|-26</v>
      </c>
      <c r="H142" s="60">
        <v>205</v>
      </c>
      <c r="I142" s="60">
        <v>0</v>
      </c>
      <c r="J142" s="60">
        <v>18</v>
      </c>
      <c r="K142" s="60">
        <v>-39</v>
      </c>
      <c r="L142" s="67">
        <v>1.0681152E-4</v>
      </c>
      <c r="M142" s="60">
        <v>-36</v>
      </c>
      <c r="N142" s="66"/>
    </row>
    <row r="143" spans="2:14">
      <c r="B143" s="74"/>
      <c r="C143" s="72">
        <v>0</v>
      </c>
      <c r="D143" s="73">
        <v>-98</v>
      </c>
      <c r="E143" s="73">
        <v>0</v>
      </c>
      <c r="F143" s="73">
        <v>-17</v>
      </c>
      <c r="G143" s="59" t="str">
        <f t="shared" si="4"/>
        <v>-98|0|-17</v>
      </c>
      <c r="H143" s="60">
        <v>-106</v>
      </c>
      <c r="I143" s="67">
        <v>-9.0026856000000001E-4</v>
      </c>
      <c r="J143" s="60">
        <v>-80</v>
      </c>
      <c r="K143" s="67"/>
      <c r="N143" s="66"/>
    </row>
    <row r="144" spans="2:14">
      <c r="B144" s="74"/>
      <c r="C144" s="72">
        <v>0</v>
      </c>
      <c r="D144" s="73">
        <v>-106</v>
      </c>
      <c r="E144" s="73">
        <v>0</v>
      </c>
      <c r="F144" s="73">
        <v>-33</v>
      </c>
      <c r="G144" s="59" t="str">
        <f t="shared" si="4"/>
        <v>-106|0|-33</v>
      </c>
      <c r="H144" s="60">
        <v>-103</v>
      </c>
      <c r="I144" s="67">
        <v>-9.0408326000000002E-4</v>
      </c>
      <c r="J144" s="60">
        <v>-54</v>
      </c>
      <c r="K144" s="67"/>
      <c r="N144" s="66"/>
    </row>
    <row r="145" spans="2:14">
      <c r="B145" s="72">
        <v>206</v>
      </c>
      <c r="C145" s="72">
        <v>0</v>
      </c>
      <c r="D145" s="73">
        <v>66</v>
      </c>
      <c r="E145" s="73">
        <v>0</v>
      </c>
      <c r="F145" s="73">
        <v>42</v>
      </c>
      <c r="G145" s="59" t="str">
        <f t="shared" si="4"/>
        <v>66|0|42</v>
      </c>
      <c r="H145" s="60">
        <v>206</v>
      </c>
      <c r="I145" s="60">
        <v>0</v>
      </c>
      <c r="J145" s="60">
        <v>18</v>
      </c>
      <c r="K145" s="60">
        <v>69</v>
      </c>
      <c r="L145" s="67">
        <v>1.1444092000000001E-4</v>
      </c>
      <c r="M145" s="60">
        <v>24</v>
      </c>
      <c r="N145" s="66" t="s">
        <v>293</v>
      </c>
    </row>
    <row r="146" spans="2:14">
      <c r="B146" s="72">
        <v>207</v>
      </c>
      <c r="C146" s="72">
        <v>0</v>
      </c>
      <c r="D146" s="73">
        <v>149</v>
      </c>
      <c r="E146" s="73">
        <v>-9</v>
      </c>
      <c r="F146" s="73">
        <v>-57</v>
      </c>
      <c r="G146" s="59" t="str">
        <f t="shared" si="4"/>
        <v>149|-9|-57</v>
      </c>
      <c r="H146" s="60">
        <v>207</v>
      </c>
      <c r="I146" s="60">
        <v>0</v>
      </c>
      <c r="J146" s="60">
        <v>18</v>
      </c>
      <c r="K146" s="60">
        <v>-63</v>
      </c>
      <c r="L146" s="60">
        <v>-6.0012245000000002</v>
      </c>
      <c r="M146" s="60">
        <v>-96</v>
      </c>
      <c r="N146" s="66" t="s">
        <v>595</v>
      </c>
    </row>
    <row r="147" spans="2:14">
      <c r="B147" s="72"/>
      <c r="C147" s="72">
        <v>0</v>
      </c>
      <c r="D147" s="73">
        <v>137</v>
      </c>
      <c r="E147" s="73">
        <v>-9</v>
      </c>
      <c r="F147" s="73">
        <v>-45</v>
      </c>
      <c r="G147" s="59" t="str">
        <f t="shared" si="4"/>
        <v>137|-9|-45</v>
      </c>
      <c r="H147" s="60">
        <v>207</v>
      </c>
      <c r="I147" s="60">
        <v>0</v>
      </c>
      <c r="J147" s="60">
        <v>18</v>
      </c>
      <c r="K147" s="60">
        <v>138</v>
      </c>
      <c r="L147" s="60">
        <v>-9.0998990000000006</v>
      </c>
      <c r="M147" s="60">
        <v>-81</v>
      </c>
      <c r="N147" s="66"/>
    </row>
    <row r="148" spans="2:14">
      <c r="B148" s="72"/>
      <c r="C148" s="72">
        <v>0</v>
      </c>
      <c r="D148" s="73">
        <v>136</v>
      </c>
      <c r="E148" s="73">
        <v>-9</v>
      </c>
      <c r="F148" s="73">
        <v>-57</v>
      </c>
      <c r="G148" s="59" t="str">
        <f t="shared" si="4"/>
        <v>136|-9|-57</v>
      </c>
      <c r="H148" s="60">
        <v>207</v>
      </c>
      <c r="I148" s="60">
        <v>0</v>
      </c>
      <c r="J148" s="60">
        <v>18</v>
      </c>
      <c r="K148" s="60">
        <v>-51</v>
      </c>
      <c r="L148" s="60">
        <v>-6.0012169999999996</v>
      </c>
      <c r="M148" s="60">
        <v>-102</v>
      </c>
      <c r="N148" s="66"/>
    </row>
    <row r="149" spans="2:14">
      <c r="B149" s="72"/>
      <c r="C149" s="72">
        <v>0</v>
      </c>
      <c r="D149" s="73">
        <v>149</v>
      </c>
      <c r="E149" s="73">
        <v>-9</v>
      </c>
      <c r="F149" s="73">
        <v>-32</v>
      </c>
      <c r="G149" s="59" t="str">
        <f t="shared" si="4"/>
        <v>149|-9|-32</v>
      </c>
      <c r="H149" s="60">
        <v>207</v>
      </c>
      <c r="I149" s="60">
        <v>0</v>
      </c>
      <c r="J149" s="60">
        <v>18</v>
      </c>
      <c r="K149" s="60">
        <v>-39</v>
      </c>
      <c r="L149" s="60">
        <v>-6.0012319999999999</v>
      </c>
      <c r="M149" s="60">
        <v>-111</v>
      </c>
      <c r="N149" s="66"/>
    </row>
    <row r="150" spans="2:14">
      <c r="B150" s="72"/>
      <c r="C150" s="72">
        <v>0</v>
      </c>
      <c r="D150" s="73">
        <v>52</v>
      </c>
      <c r="E150" s="73">
        <v>-6</v>
      </c>
      <c r="F150" s="73">
        <v>-102</v>
      </c>
      <c r="G150" s="59" t="str">
        <f t="shared" si="4"/>
        <v>52|-6|-102</v>
      </c>
      <c r="H150" s="60">
        <v>207</v>
      </c>
      <c r="I150" s="60">
        <v>0</v>
      </c>
      <c r="J150" s="60">
        <v>18</v>
      </c>
      <c r="K150" s="60">
        <v>-27</v>
      </c>
      <c r="L150" s="60">
        <v>-5.9951515000000004</v>
      </c>
      <c r="M150" s="60">
        <v>-93</v>
      </c>
      <c r="N150" s="66"/>
    </row>
    <row r="151" spans="2:14">
      <c r="B151" s="72"/>
      <c r="C151" s="72">
        <v>0</v>
      </c>
      <c r="D151" s="73">
        <v>161</v>
      </c>
      <c r="E151" s="73">
        <v>-9</v>
      </c>
      <c r="F151" s="73">
        <v>-32</v>
      </c>
      <c r="G151" s="59" t="str">
        <f t="shared" si="4"/>
        <v>161|-9|-32</v>
      </c>
      <c r="H151" s="60">
        <v>207</v>
      </c>
      <c r="I151" s="60">
        <v>0</v>
      </c>
      <c r="J151" s="60">
        <v>18</v>
      </c>
      <c r="K151" s="60">
        <v>-27</v>
      </c>
      <c r="L151" s="60">
        <v>-5.9987526000000004</v>
      </c>
      <c r="M151" s="60">
        <v>-105</v>
      </c>
      <c r="N151" s="66"/>
    </row>
    <row r="152" spans="2:14">
      <c r="B152" s="72"/>
      <c r="C152" s="72">
        <v>0</v>
      </c>
      <c r="D152" s="73">
        <v>149</v>
      </c>
      <c r="E152" s="73">
        <v>-9</v>
      </c>
      <c r="F152" s="73">
        <v>-69</v>
      </c>
      <c r="G152" s="59" t="str">
        <f t="shared" si="4"/>
        <v>149|-9|-69</v>
      </c>
      <c r="H152" s="60">
        <v>207</v>
      </c>
      <c r="I152" s="60">
        <v>0</v>
      </c>
      <c r="J152" s="60">
        <v>18</v>
      </c>
      <c r="K152" s="60">
        <v>-15</v>
      </c>
      <c r="L152" s="60">
        <v>-5.9978179999999996</v>
      </c>
      <c r="M152" s="60">
        <v>-99</v>
      </c>
      <c r="N152" s="66"/>
    </row>
    <row r="153" spans="2:14">
      <c r="B153" s="72"/>
      <c r="C153" s="72">
        <v>0</v>
      </c>
      <c r="D153" s="73">
        <v>38</v>
      </c>
      <c r="E153" s="73">
        <v>-6</v>
      </c>
      <c r="F153" s="73">
        <v>-114</v>
      </c>
      <c r="G153" s="59" t="str">
        <f t="shared" si="4"/>
        <v>38|-6|-114</v>
      </c>
      <c r="H153" s="60">
        <v>207</v>
      </c>
      <c r="I153" s="60">
        <v>0</v>
      </c>
      <c r="J153" s="60">
        <v>18</v>
      </c>
      <c r="K153" s="60">
        <v>48</v>
      </c>
      <c r="L153" s="60">
        <v>-6.0009269999999999</v>
      </c>
      <c r="M153" s="60">
        <v>-111</v>
      </c>
      <c r="N153" s="66"/>
    </row>
    <row r="154" spans="2:14">
      <c r="B154" s="72"/>
      <c r="C154" s="72">
        <v>0</v>
      </c>
      <c r="D154" s="73">
        <v>162</v>
      </c>
      <c r="E154" s="73">
        <v>-9</v>
      </c>
      <c r="F154" s="73">
        <v>-59</v>
      </c>
      <c r="G154" s="59" t="str">
        <f t="shared" si="4"/>
        <v>162|-9|-59</v>
      </c>
      <c r="H154" s="60">
        <v>207</v>
      </c>
      <c r="I154" s="60">
        <v>0</v>
      </c>
      <c r="J154" s="60">
        <v>18</v>
      </c>
      <c r="K154" s="60">
        <v>138</v>
      </c>
      <c r="L154" s="60">
        <v>-9.0998990000000006</v>
      </c>
      <c r="M154" s="60">
        <v>-69</v>
      </c>
      <c r="N154" s="66"/>
    </row>
    <row r="155" spans="2:14">
      <c r="B155" s="72"/>
      <c r="C155" s="72">
        <v>0</v>
      </c>
      <c r="D155" s="73">
        <v>162</v>
      </c>
      <c r="E155" s="73">
        <v>-9</v>
      </c>
      <c r="F155" s="73">
        <v>-45</v>
      </c>
      <c r="G155" s="59" t="str">
        <f t="shared" si="4"/>
        <v>162|-9|-45</v>
      </c>
      <c r="H155" s="60">
        <v>207</v>
      </c>
      <c r="I155" s="60">
        <v>0</v>
      </c>
      <c r="J155" s="60">
        <v>18</v>
      </c>
      <c r="K155" s="60">
        <v>126</v>
      </c>
      <c r="L155" s="60">
        <v>-9.0999029999999994</v>
      </c>
      <c r="M155" s="60">
        <v>-69</v>
      </c>
      <c r="N155" s="66"/>
    </row>
    <row r="156" spans="2:14">
      <c r="B156" s="72"/>
      <c r="C156" s="72">
        <v>0</v>
      </c>
      <c r="D156" s="73">
        <v>136</v>
      </c>
      <c r="E156" s="73">
        <v>-9</v>
      </c>
      <c r="F156" s="73">
        <v>-69</v>
      </c>
      <c r="G156" s="59" t="str">
        <f t="shared" si="4"/>
        <v>136|-9|-69</v>
      </c>
      <c r="H156" s="60">
        <v>207</v>
      </c>
      <c r="I156" s="60">
        <v>0</v>
      </c>
      <c r="J156" s="60">
        <v>18</v>
      </c>
      <c r="K156" s="60">
        <v>48</v>
      </c>
      <c r="L156" s="60">
        <v>-5.9993286000000001</v>
      </c>
      <c r="M156" s="60">
        <v>-99</v>
      </c>
      <c r="N156" s="66"/>
    </row>
    <row r="157" spans="2:14">
      <c r="B157" s="72"/>
      <c r="C157" s="72">
        <v>0</v>
      </c>
      <c r="D157" s="73">
        <v>39</v>
      </c>
      <c r="E157" s="73">
        <v>-6</v>
      </c>
      <c r="F157" s="73">
        <v>-102</v>
      </c>
      <c r="G157" s="59" t="str">
        <f t="shared" si="4"/>
        <v>39|-6|-102</v>
      </c>
      <c r="H157" s="60">
        <v>207</v>
      </c>
      <c r="I157" s="60">
        <v>0</v>
      </c>
      <c r="J157" s="60">
        <v>18</v>
      </c>
      <c r="K157" s="60">
        <v>126</v>
      </c>
      <c r="L157" s="60">
        <v>-9.0998955000000006</v>
      </c>
      <c r="M157" s="60">
        <v>-81</v>
      </c>
      <c r="N157" s="66"/>
    </row>
    <row r="158" spans="2:14">
      <c r="B158" s="72"/>
      <c r="C158" s="72">
        <v>0</v>
      </c>
      <c r="D158" s="73">
        <v>128</v>
      </c>
      <c r="E158" s="73">
        <v>-9</v>
      </c>
      <c r="F158" s="73">
        <v>-82</v>
      </c>
      <c r="G158" s="59" t="str">
        <f t="shared" si="4"/>
        <v>128|-9|-82</v>
      </c>
      <c r="H158" s="60">
        <v>207</v>
      </c>
      <c r="I158" s="60">
        <v>0</v>
      </c>
      <c r="J158" s="60">
        <v>18</v>
      </c>
      <c r="K158" s="60">
        <v>30</v>
      </c>
      <c r="L158" s="60">
        <v>-6.0044518</v>
      </c>
      <c r="M158" s="60">
        <v>-120</v>
      </c>
      <c r="N158" s="66"/>
    </row>
    <row r="159" spans="2:14">
      <c r="B159" s="72"/>
      <c r="C159" s="72">
        <v>0</v>
      </c>
      <c r="D159" s="73">
        <v>140</v>
      </c>
      <c r="E159" s="73">
        <v>-9</v>
      </c>
      <c r="F159" s="73">
        <v>-82</v>
      </c>
      <c r="G159" s="59" t="str">
        <f t="shared" si="4"/>
        <v>140|-9|-82</v>
      </c>
      <c r="H159" s="60">
        <v>207</v>
      </c>
      <c r="I159" s="60">
        <v>0</v>
      </c>
      <c r="J159" s="60">
        <v>18</v>
      </c>
      <c r="K159" s="60">
        <v>24</v>
      </c>
      <c r="L159" s="60">
        <v>-5.9993780000000001</v>
      </c>
      <c r="M159" s="60">
        <v>-108</v>
      </c>
      <c r="N159" s="66"/>
    </row>
    <row r="160" spans="2:14">
      <c r="B160" s="72"/>
      <c r="C160" s="72">
        <v>0</v>
      </c>
      <c r="D160" s="73">
        <v>152</v>
      </c>
      <c r="E160" s="73">
        <v>-9</v>
      </c>
      <c r="F160" s="73">
        <v>-82</v>
      </c>
      <c r="G160" s="59" t="str">
        <f t="shared" si="4"/>
        <v>152|-9|-82</v>
      </c>
      <c r="H160" s="60">
        <v>207</v>
      </c>
      <c r="I160" s="60">
        <v>0</v>
      </c>
      <c r="J160" s="60">
        <v>18</v>
      </c>
      <c r="K160" s="60">
        <v>123</v>
      </c>
      <c r="L160" s="60">
        <v>-9.0999029999999994</v>
      </c>
      <c r="M160" s="60">
        <v>-105</v>
      </c>
      <c r="N160" s="66"/>
    </row>
    <row r="161" spans="2:14">
      <c r="B161" s="72"/>
      <c r="C161" s="72">
        <v>0</v>
      </c>
      <c r="D161" s="73">
        <v>128</v>
      </c>
      <c r="E161" s="73">
        <v>-9</v>
      </c>
      <c r="F161" s="73">
        <v>-94</v>
      </c>
      <c r="G161" s="59" t="str">
        <f t="shared" si="4"/>
        <v>128|-9|-94</v>
      </c>
      <c r="H161" s="60">
        <v>207</v>
      </c>
      <c r="I161" s="60">
        <v>0</v>
      </c>
      <c r="J161" s="60">
        <v>18</v>
      </c>
      <c r="K161" s="60">
        <v>123</v>
      </c>
      <c r="L161" s="60">
        <v>-9.0998990000000006</v>
      </c>
      <c r="M161" s="60">
        <v>-93</v>
      </c>
      <c r="N161" s="66"/>
    </row>
    <row r="162" spans="2:14">
      <c r="B162" s="72">
        <v>208</v>
      </c>
      <c r="C162" s="72">
        <v>0</v>
      </c>
      <c r="D162" s="73">
        <v>-69</v>
      </c>
      <c r="E162" s="73">
        <v>13</v>
      </c>
      <c r="F162" s="73">
        <v>78</v>
      </c>
      <c r="G162" s="59" t="str">
        <f t="shared" si="4"/>
        <v>-69|13|78</v>
      </c>
      <c r="H162" s="60">
        <v>208</v>
      </c>
      <c r="I162" s="60">
        <v>0</v>
      </c>
      <c r="J162" s="60">
        <v>18</v>
      </c>
      <c r="K162" s="60">
        <v>-72</v>
      </c>
      <c r="L162" s="67">
        <v>15.5</v>
      </c>
      <c r="M162" s="60">
        <v>78</v>
      </c>
      <c r="N162" s="66" t="s">
        <v>589</v>
      </c>
    </row>
    <row r="163" spans="2:14">
      <c r="B163" s="72">
        <v>209</v>
      </c>
      <c r="C163" s="72">
        <v>0</v>
      </c>
      <c r="D163" s="73">
        <v>42</v>
      </c>
      <c r="E163" s="73">
        <v>0</v>
      </c>
      <c r="F163" s="73">
        <v>18</v>
      </c>
      <c r="G163" s="59" t="str">
        <f t="shared" si="4"/>
        <v>42|0|18</v>
      </c>
      <c r="H163" s="60">
        <v>209</v>
      </c>
      <c r="I163" s="60">
        <v>0</v>
      </c>
      <c r="J163" s="60">
        <v>18</v>
      </c>
      <c r="K163" s="60">
        <v>45</v>
      </c>
      <c r="L163" s="67">
        <v>1.0681152E-4</v>
      </c>
      <c r="M163" s="60">
        <v>18</v>
      </c>
      <c r="N163" s="66" t="s">
        <v>344</v>
      </c>
    </row>
    <row r="164" spans="2:14">
      <c r="B164" s="72">
        <v>211</v>
      </c>
      <c r="C164" s="72">
        <v>0</v>
      </c>
      <c r="D164" s="73">
        <v>27</v>
      </c>
      <c r="E164" s="73">
        <v>0</v>
      </c>
      <c r="F164" s="73">
        <v>-37</v>
      </c>
      <c r="G164" s="59" t="str">
        <f t="shared" si="4"/>
        <v>27|0|-37</v>
      </c>
      <c r="H164" s="60">
        <v>211</v>
      </c>
      <c r="I164" s="60">
        <v>0</v>
      </c>
      <c r="J164" s="60">
        <v>18</v>
      </c>
      <c r="K164" s="60">
        <v>60</v>
      </c>
      <c r="L164" s="67">
        <v>9.9182129999999996E-5</v>
      </c>
      <c r="M164" s="60">
        <v>-45</v>
      </c>
      <c r="N164" s="66" t="s">
        <v>605</v>
      </c>
    </row>
    <row r="165" spans="2:14">
      <c r="B165" s="72">
        <v>212</v>
      </c>
      <c r="C165" s="72">
        <v>0</v>
      </c>
      <c r="D165" s="73">
        <v>129</v>
      </c>
      <c r="E165" s="73">
        <v>-4.5999999999999996</v>
      </c>
      <c r="F165" s="73">
        <v>52</v>
      </c>
      <c r="G165" s="59" t="str">
        <f t="shared" si="4"/>
        <v>129|-4.6|52</v>
      </c>
      <c r="H165" s="60">
        <v>212</v>
      </c>
      <c r="I165" s="60">
        <v>0</v>
      </c>
      <c r="J165" s="60">
        <v>18</v>
      </c>
      <c r="K165" s="60">
        <v>123.64</v>
      </c>
      <c r="L165" s="60">
        <v>-8.8000000000000007</v>
      </c>
      <c r="M165" s="60">
        <v>49</v>
      </c>
      <c r="N165" s="66" t="s">
        <v>394</v>
      </c>
    </row>
    <row r="166" spans="2:14">
      <c r="B166" s="72">
        <v>213</v>
      </c>
      <c r="C166" s="72">
        <v>0</v>
      </c>
      <c r="D166" s="73">
        <v>16</v>
      </c>
      <c r="E166" s="73">
        <v>-18.5</v>
      </c>
      <c r="F166" s="73">
        <v>130</v>
      </c>
      <c r="G166" s="59" t="str">
        <f t="shared" si="4"/>
        <v>16|-18.5|130</v>
      </c>
      <c r="H166" s="60">
        <v>213</v>
      </c>
      <c r="I166" s="60">
        <v>0</v>
      </c>
      <c r="J166" s="60">
        <v>18</v>
      </c>
      <c r="K166" s="60">
        <v>16.5</v>
      </c>
      <c r="L166" s="60">
        <v>-18.5</v>
      </c>
      <c r="M166" s="60">
        <v>130.5</v>
      </c>
      <c r="N166" s="66" t="s">
        <v>599</v>
      </c>
    </row>
    <row r="167" spans="2:14">
      <c r="B167" s="72">
        <v>215</v>
      </c>
      <c r="C167" s="72">
        <v>0</v>
      </c>
      <c r="D167" s="73">
        <v>90</v>
      </c>
      <c r="E167" s="73">
        <v>0</v>
      </c>
      <c r="F167" s="73">
        <v>1</v>
      </c>
      <c r="G167" s="59" t="str">
        <f t="shared" si="4"/>
        <v>90|0|1</v>
      </c>
      <c r="H167" s="60">
        <v>215</v>
      </c>
      <c r="I167" s="60">
        <v>0</v>
      </c>
      <c r="J167" s="60">
        <v>18</v>
      </c>
      <c r="K167" s="60">
        <v>91</v>
      </c>
      <c r="L167" s="60">
        <v>0</v>
      </c>
      <c r="M167" s="60">
        <v>1</v>
      </c>
      <c r="N167" s="66" t="s">
        <v>418</v>
      </c>
    </row>
    <row r="168" spans="2:14">
      <c r="B168" s="72">
        <v>222</v>
      </c>
      <c r="C168" s="72">
        <v>0</v>
      </c>
      <c r="D168" s="61">
        <v>48</v>
      </c>
      <c r="E168" s="61">
        <v>0</v>
      </c>
      <c r="F168" s="61">
        <v>-17</v>
      </c>
      <c r="G168" s="59" t="str">
        <f t="shared" si="4"/>
        <v>48|0|-17</v>
      </c>
      <c r="H168" s="60">
        <v>222</v>
      </c>
      <c r="I168" s="60">
        <v>0</v>
      </c>
      <c r="J168" s="60">
        <v>18</v>
      </c>
      <c r="K168" s="60">
        <v>24</v>
      </c>
      <c r="L168" s="67">
        <v>-9.9563600000000005E-4</v>
      </c>
      <c r="M168" s="60">
        <v>42</v>
      </c>
      <c r="N168" s="66" t="s">
        <v>442</v>
      </c>
    </row>
    <row r="169" spans="2:14">
      <c r="B169" s="72">
        <v>224</v>
      </c>
      <c r="C169" s="72">
        <v>0</v>
      </c>
      <c r="D169" s="73">
        <v>66</v>
      </c>
      <c r="E169" s="73">
        <v>0</v>
      </c>
      <c r="F169" s="73">
        <v>18</v>
      </c>
      <c r="G169" s="59" t="str">
        <f t="shared" si="4"/>
        <v>66|0|18</v>
      </c>
      <c r="H169" s="60">
        <v>224</v>
      </c>
      <c r="I169" s="60">
        <v>0</v>
      </c>
      <c r="J169" s="60">
        <v>18</v>
      </c>
      <c r="K169" s="60">
        <v>37.5</v>
      </c>
      <c r="L169" s="67">
        <v>1.1062622E-4</v>
      </c>
      <c r="M169" s="60">
        <v>46.5</v>
      </c>
      <c r="N169" s="66" t="s">
        <v>369</v>
      </c>
    </row>
    <row r="170" spans="2:14">
      <c r="B170" s="72">
        <v>226</v>
      </c>
      <c r="C170" s="72">
        <v>0</v>
      </c>
      <c r="D170" s="73">
        <v>-28</v>
      </c>
      <c r="E170" s="73">
        <v>3</v>
      </c>
      <c r="F170" s="73">
        <v>69</v>
      </c>
      <c r="G170" s="59" t="str">
        <f t="shared" si="4"/>
        <v>-28|3|69</v>
      </c>
      <c r="H170" s="60">
        <v>226</v>
      </c>
      <c r="I170" s="60">
        <v>0</v>
      </c>
      <c r="J170" s="60">
        <v>18</v>
      </c>
      <c r="K170" s="60">
        <v>-27</v>
      </c>
      <c r="L170" s="60">
        <v>3</v>
      </c>
      <c r="M170" s="60">
        <v>69</v>
      </c>
      <c r="N170" s="66" t="s">
        <v>469</v>
      </c>
    </row>
    <row r="171" spans="2:14">
      <c r="B171" s="72">
        <v>227</v>
      </c>
      <c r="C171" s="72">
        <v>0</v>
      </c>
      <c r="D171" s="73">
        <v>176</v>
      </c>
      <c r="E171" s="73">
        <v>-9</v>
      </c>
      <c r="F171" s="73">
        <v>-27</v>
      </c>
      <c r="G171" s="59" t="str">
        <f t="shared" si="4"/>
        <v>176|-9|-27</v>
      </c>
      <c r="H171" s="76">
        <v>227</v>
      </c>
      <c r="I171" s="76">
        <v>0</v>
      </c>
      <c r="J171" s="76">
        <v>18</v>
      </c>
      <c r="K171" s="76">
        <v>66</v>
      </c>
      <c r="L171" s="76">
        <v>-2.6054381999999999E-3</v>
      </c>
      <c r="M171" s="76">
        <v>69</v>
      </c>
      <c r="N171" s="66" t="s">
        <v>940</v>
      </c>
    </row>
    <row r="172" spans="2:14">
      <c r="B172" s="72"/>
      <c r="C172" s="72">
        <v>0</v>
      </c>
      <c r="D172" s="73">
        <v>165</v>
      </c>
      <c r="E172" s="73">
        <v>-9</v>
      </c>
      <c r="F172" s="73">
        <v>13</v>
      </c>
      <c r="G172" s="59" t="str">
        <f t="shared" si="4"/>
        <v>165|-9|13</v>
      </c>
      <c r="H172" s="76">
        <v>227</v>
      </c>
      <c r="I172" s="76">
        <v>0</v>
      </c>
      <c r="J172" s="76">
        <v>18</v>
      </c>
      <c r="K172" s="76">
        <v>153</v>
      </c>
      <c r="L172" s="78">
        <v>-9</v>
      </c>
      <c r="M172" s="76">
        <v>-21</v>
      </c>
      <c r="N172" s="66"/>
    </row>
    <row r="173" spans="2:14">
      <c r="B173" s="72">
        <v>229</v>
      </c>
      <c r="C173" s="72">
        <v>0</v>
      </c>
      <c r="D173" s="73">
        <v>45</v>
      </c>
      <c r="E173" s="73">
        <v>0</v>
      </c>
      <c r="F173" s="73">
        <v>66</v>
      </c>
      <c r="G173" s="59" t="str">
        <f t="shared" si="4"/>
        <v>45|0|66</v>
      </c>
      <c r="H173" s="60">
        <v>229</v>
      </c>
      <c r="I173" s="60">
        <v>0</v>
      </c>
      <c r="J173" s="60">
        <v>18</v>
      </c>
      <c r="K173" s="60">
        <v>67.5</v>
      </c>
      <c r="L173" s="67">
        <v>1.0299682599999999E-4</v>
      </c>
      <c r="M173" s="60">
        <v>-19.5</v>
      </c>
      <c r="N173" s="66" t="s">
        <v>515</v>
      </c>
    </row>
    <row r="174" spans="2:14">
      <c r="B174" s="72">
        <v>230</v>
      </c>
      <c r="C174" s="72">
        <v>0</v>
      </c>
      <c r="D174" s="73">
        <v>33</v>
      </c>
      <c r="E174" s="73">
        <v>0</v>
      </c>
      <c r="F174" s="73">
        <v>-16</v>
      </c>
      <c r="G174" s="59" t="str">
        <f t="shared" si="4"/>
        <v>33|0|-16</v>
      </c>
      <c r="H174" s="60">
        <v>230</v>
      </c>
      <c r="I174" s="60">
        <v>0</v>
      </c>
      <c r="J174" s="60">
        <v>18</v>
      </c>
      <c r="K174" s="60">
        <v>39</v>
      </c>
      <c r="L174" s="67">
        <v>1.0299682599999999E-4</v>
      </c>
      <c r="M174" s="60">
        <v>-27</v>
      </c>
      <c r="N174" s="66" t="s">
        <v>539</v>
      </c>
    </row>
    <row r="175" spans="2:14">
      <c r="B175" s="72">
        <v>231</v>
      </c>
      <c r="C175" s="72">
        <v>0</v>
      </c>
      <c r="D175" s="73">
        <v>-10</v>
      </c>
      <c r="E175" s="73">
        <v>0</v>
      </c>
      <c r="F175" s="73">
        <v>-37</v>
      </c>
      <c r="G175" s="59" t="str">
        <f t="shared" si="4"/>
        <v>-10|0|-37</v>
      </c>
      <c r="H175" s="60">
        <v>231</v>
      </c>
      <c r="I175" s="60">
        <v>0</v>
      </c>
      <c r="J175" s="60">
        <v>18</v>
      </c>
      <c r="K175" s="60">
        <v>-13.5</v>
      </c>
      <c r="L175" s="67">
        <v>9.9182129999999996E-5</v>
      </c>
      <c r="M175" s="60">
        <v>-34.5</v>
      </c>
      <c r="N175" s="66" t="s">
        <v>591</v>
      </c>
    </row>
    <row r="176" spans="2:14">
      <c r="B176" s="72">
        <v>232</v>
      </c>
      <c r="C176" s="72">
        <v>0</v>
      </c>
      <c r="D176" s="73">
        <v>42</v>
      </c>
      <c r="E176" s="73">
        <v>0</v>
      </c>
      <c r="F176" s="73">
        <v>39</v>
      </c>
      <c r="G176" s="59" t="str">
        <f t="shared" si="4"/>
        <v>42|0|39</v>
      </c>
      <c r="H176" s="60">
        <v>232</v>
      </c>
      <c r="I176" s="60">
        <v>0</v>
      </c>
      <c r="J176" s="60">
        <v>18</v>
      </c>
      <c r="K176" s="60">
        <v>69</v>
      </c>
      <c r="L176" s="67">
        <v>1.1825561499999999E-4</v>
      </c>
      <c r="M176" s="60">
        <v>48</v>
      </c>
      <c r="N176" s="66" t="s">
        <v>319</v>
      </c>
    </row>
    <row r="177" spans="1:14">
      <c r="B177" s="72">
        <v>234</v>
      </c>
      <c r="C177" s="72">
        <v>0</v>
      </c>
      <c r="D177" s="73">
        <v>-116</v>
      </c>
      <c r="E177" s="73">
        <v>0</v>
      </c>
      <c r="F177" s="73">
        <v>-41</v>
      </c>
      <c r="G177" s="59" t="str">
        <f t="shared" si="4"/>
        <v>-116|0|-41</v>
      </c>
      <c r="H177" s="60">
        <v>234</v>
      </c>
      <c r="I177" s="60">
        <v>0</v>
      </c>
      <c r="J177" s="60">
        <v>18</v>
      </c>
      <c r="K177" s="60">
        <v>-102</v>
      </c>
      <c r="L177" s="67">
        <v>1.0299682599999999E-4</v>
      </c>
      <c r="M177" s="60">
        <v>-63</v>
      </c>
      <c r="N177" s="66" t="s">
        <v>271</v>
      </c>
    </row>
    <row r="178" spans="1:14">
      <c r="B178" s="72"/>
      <c r="C178" s="72">
        <v>0</v>
      </c>
      <c r="D178" s="73">
        <v>-105</v>
      </c>
      <c r="E178" s="73">
        <v>0</v>
      </c>
      <c r="F178" s="73">
        <v>-50</v>
      </c>
      <c r="G178" s="59" t="str">
        <f t="shared" si="4"/>
        <v>-105|0|-50</v>
      </c>
      <c r="H178" s="60">
        <v>234</v>
      </c>
      <c r="I178" s="60">
        <v>0</v>
      </c>
      <c r="J178" s="60">
        <v>18</v>
      </c>
      <c r="K178" s="60">
        <v>-93</v>
      </c>
      <c r="L178" s="60">
        <v>-2.0711403000000002</v>
      </c>
      <c r="M178" s="60">
        <v>-75</v>
      </c>
      <c r="N178" s="66"/>
    </row>
    <row r="179" spans="1:14">
      <c r="B179" s="72"/>
      <c r="C179" s="72">
        <v>0</v>
      </c>
      <c r="D179" s="73">
        <v>-87</v>
      </c>
      <c r="E179" s="73">
        <v>0</v>
      </c>
      <c r="F179" s="73">
        <v>-51</v>
      </c>
      <c r="G179" s="59" t="str">
        <f t="shared" si="4"/>
        <v>-87|0|-51</v>
      </c>
      <c r="H179" s="61">
        <v>-108</v>
      </c>
      <c r="I179" s="61">
        <v>-2.0893096999999999E-2</v>
      </c>
      <c r="J179" s="61">
        <v>-25</v>
      </c>
      <c r="K179" s="60" t="s">
        <v>1949</v>
      </c>
      <c r="L179" s="60">
        <v>-15</v>
      </c>
      <c r="N179" s="66"/>
    </row>
    <row r="180" spans="1:14">
      <c r="B180" s="72"/>
      <c r="C180" s="72">
        <v>0</v>
      </c>
      <c r="D180" s="73">
        <v>-84</v>
      </c>
      <c r="E180" s="73">
        <v>0</v>
      </c>
      <c r="F180" s="73">
        <v>-39</v>
      </c>
      <c r="G180" s="59" t="str">
        <f t="shared" si="4"/>
        <v>-84|0|-39</v>
      </c>
      <c r="H180" s="61">
        <v>-106</v>
      </c>
      <c r="I180" s="61">
        <v>-2.0893096999999999E-2</v>
      </c>
      <c r="J180" s="61">
        <v>-38</v>
      </c>
      <c r="K180" s="60">
        <v>-2.0893096999999999E-2</v>
      </c>
      <c r="L180" s="60">
        <v>6</v>
      </c>
      <c r="N180" s="66"/>
    </row>
    <row r="181" spans="1:14">
      <c r="B181" s="72">
        <v>235</v>
      </c>
      <c r="C181" s="72">
        <v>0</v>
      </c>
      <c r="D181" s="75">
        <v>-57</v>
      </c>
      <c r="E181" s="75">
        <v>5</v>
      </c>
      <c r="F181" s="75">
        <v>6</v>
      </c>
      <c r="G181" s="59" t="str">
        <f t="shared" si="4"/>
        <v>-57|5|6</v>
      </c>
      <c r="H181" s="60">
        <v>235</v>
      </c>
      <c r="I181" s="60">
        <v>0</v>
      </c>
      <c r="J181" s="60">
        <v>18</v>
      </c>
      <c r="K181" s="60">
        <v>-53</v>
      </c>
      <c r="L181" s="60">
        <v>5</v>
      </c>
      <c r="M181" s="60">
        <v>6</v>
      </c>
      <c r="N181" s="66" t="s">
        <v>994</v>
      </c>
    </row>
    <row r="182" spans="1:14">
      <c r="B182" s="72">
        <v>236</v>
      </c>
      <c r="C182" s="72">
        <v>0</v>
      </c>
      <c r="D182" s="75">
        <v>-35</v>
      </c>
      <c r="E182" s="75">
        <v>5</v>
      </c>
      <c r="F182" s="75">
        <v>6</v>
      </c>
      <c r="G182" s="59" t="str">
        <f t="shared" si="4"/>
        <v>-35|5|6</v>
      </c>
      <c r="H182" s="60">
        <v>236</v>
      </c>
      <c r="I182" s="60">
        <v>0</v>
      </c>
      <c r="J182" s="60">
        <v>18</v>
      </c>
      <c r="K182" s="60">
        <v>-35</v>
      </c>
      <c r="L182" s="67">
        <v>5</v>
      </c>
      <c r="M182" s="60">
        <v>6</v>
      </c>
      <c r="N182" s="66" t="s">
        <v>999</v>
      </c>
    </row>
    <row r="183" spans="1:14">
      <c r="B183" s="72">
        <v>237</v>
      </c>
      <c r="C183" s="72">
        <v>0</v>
      </c>
      <c r="D183" s="73">
        <v>70</v>
      </c>
      <c r="E183" s="73">
        <v>0</v>
      </c>
      <c r="F183" s="73">
        <v>-44</v>
      </c>
      <c r="G183" s="59" t="str">
        <f t="shared" si="4"/>
        <v>70|0|-44</v>
      </c>
      <c r="H183" s="60">
        <v>237</v>
      </c>
      <c r="I183" s="60">
        <v>0</v>
      </c>
      <c r="J183" s="60">
        <v>18</v>
      </c>
      <c r="K183" s="60">
        <v>-2.0900726000000001E-2</v>
      </c>
      <c r="L183" s="60">
        <v>-48</v>
      </c>
      <c r="N183" s="66" t="s">
        <v>565</v>
      </c>
    </row>
    <row r="184" spans="1:14">
      <c r="B184" s="72">
        <v>300</v>
      </c>
      <c r="C184" s="72">
        <v>0</v>
      </c>
      <c r="D184" s="73">
        <v>-4.2</v>
      </c>
      <c r="E184" s="73">
        <v>-0.4</v>
      </c>
      <c r="F184" s="73">
        <v>35.700000000000003</v>
      </c>
      <c r="G184" s="59" t="str">
        <f t="shared" si="4"/>
        <v>-4.2|-0.4|35.7</v>
      </c>
      <c r="H184" s="60"/>
      <c r="I184" s="60"/>
      <c r="J184" s="60"/>
      <c r="K184" s="60"/>
      <c r="L184" s="67"/>
      <c r="M184" s="60"/>
      <c r="N184" s="66" t="s">
        <v>1010</v>
      </c>
    </row>
    <row r="185" spans="1:14">
      <c r="B185" s="72">
        <v>400</v>
      </c>
      <c r="C185" s="72">
        <v>0</v>
      </c>
      <c r="D185" s="73">
        <v>-18</v>
      </c>
      <c r="E185" s="73">
        <v>0</v>
      </c>
      <c r="F185" s="73">
        <v>-61</v>
      </c>
      <c r="G185" s="59" t="str">
        <f t="shared" si="4"/>
        <v>-18|0|-61</v>
      </c>
      <c r="L185" s="67"/>
      <c r="N185" s="66" t="s">
        <v>1014</v>
      </c>
    </row>
    <row r="186" spans="1:14">
      <c r="B186" s="72">
        <v>404</v>
      </c>
      <c r="C186" s="72">
        <v>0</v>
      </c>
      <c r="D186" s="73">
        <v>214.97</v>
      </c>
      <c r="E186" s="73">
        <v>-4.2</v>
      </c>
      <c r="F186" s="73">
        <v>89.09</v>
      </c>
      <c r="G186" s="59" t="str">
        <f t="shared" si="4"/>
        <v>214.97|-4.2|89.09</v>
      </c>
      <c r="L186" s="67"/>
      <c r="N186" s="66" t="s">
        <v>1666</v>
      </c>
    </row>
    <row r="187" spans="1:14">
      <c r="B187" s="60">
        <v>409</v>
      </c>
      <c r="C187" s="60">
        <v>0</v>
      </c>
      <c r="D187" s="61">
        <v>16</v>
      </c>
      <c r="E187" s="61">
        <v>-18.5</v>
      </c>
      <c r="F187" s="61">
        <v>130</v>
      </c>
      <c r="G187" s="59" t="str">
        <f t="shared" si="4"/>
        <v>16|-18.5|130</v>
      </c>
      <c r="H187" s="60">
        <v>16.5</v>
      </c>
      <c r="I187" s="67">
        <v>-18.48</v>
      </c>
      <c r="J187" s="60">
        <v>130.5</v>
      </c>
      <c r="K187" s="60"/>
      <c r="N187" s="66" t="s">
        <v>1672</v>
      </c>
    </row>
    <row r="188" spans="1:14">
      <c r="B188" s="60">
        <v>228</v>
      </c>
      <c r="C188" s="60">
        <v>0</v>
      </c>
      <c r="D188" s="25">
        <v>67</v>
      </c>
      <c r="E188" s="25">
        <v>0</v>
      </c>
      <c r="F188" s="25">
        <v>63</v>
      </c>
      <c r="G188" s="59" t="str">
        <f t="shared" si="4"/>
        <v>67|0|63</v>
      </c>
      <c r="H188" s="60"/>
      <c r="I188" s="67"/>
      <c r="J188" s="60"/>
      <c r="K188" s="60"/>
      <c r="N188" s="66" t="s">
        <v>948</v>
      </c>
    </row>
    <row r="189" spans="1:14">
      <c r="B189" s="60">
        <v>410</v>
      </c>
      <c r="C189" s="60">
        <v>0</v>
      </c>
      <c r="D189" s="61">
        <v>23</v>
      </c>
      <c r="E189" s="61">
        <v>0</v>
      </c>
      <c r="F189" s="61">
        <v>-55</v>
      </c>
      <c r="G189" s="59" t="str">
        <f t="shared" si="4"/>
        <v>23|0|-55</v>
      </c>
      <c r="H189" s="60"/>
      <c r="I189" s="67"/>
      <c r="J189" s="60"/>
      <c r="K189" s="60"/>
      <c r="N189" s="66" t="s">
        <v>2308</v>
      </c>
    </row>
    <row r="190" spans="1:14">
      <c r="A190" s="60">
        <v>4</v>
      </c>
      <c r="B190" s="57">
        <v>201</v>
      </c>
      <c r="C190" s="57">
        <v>0</v>
      </c>
      <c r="D190" s="58">
        <v>0</v>
      </c>
      <c r="E190" s="58">
        <v>0</v>
      </c>
      <c r="F190" s="58">
        <v>0</v>
      </c>
      <c r="G190" s="59" t="str">
        <f t="shared" si="4"/>
        <v>0|0|0</v>
      </c>
      <c r="H190" s="57">
        <v>201</v>
      </c>
      <c r="I190" s="57">
        <v>0</v>
      </c>
      <c r="J190" s="57">
        <v>19</v>
      </c>
      <c r="K190" s="57">
        <v>0</v>
      </c>
      <c r="L190" s="57">
        <v>0</v>
      </c>
      <c r="M190" s="57">
        <v>0</v>
      </c>
      <c r="N190" s="66" t="s">
        <v>66</v>
      </c>
    </row>
    <row r="191" spans="1:14">
      <c r="B191" s="60">
        <v>202</v>
      </c>
      <c r="C191" s="60">
        <v>0</v>
      </c>
      <c r="D191" s="61">
        <v>-37</v>
      </c>
      <c r="E191" s="61">
        <v>0</v>
      </c>
      <c r="F191" s="61">
        <v>-28</v>
      </c>
      <c r="G191" s="59" t="str">
        <f t="shared" si="4"/>
        <v>-37|0|-28</v>
      </c>
      <c r="H191" s="60">
        <v>202</v>
      </c>
      <c r="I191" s="60">
        <v>0</v>
      </c>
      <c r="J191" s="60">
        <v>18</v>
      </c>
      <c r="K191" s="60">
        <v>36</v>
      </c>
      <c r="L191" s="60">
        <v>-2.0896912E-2</v>
      </c>
      <c r="M191" s="60">
        <v>-39</v>
      </c>
      <c r="N191" s="66" t="s">
        <v>154</v>
      </c>
    </row>
    <row r="192" spans="1:14">
      <c r="B192" s="60"/>
      <c r="C192" s="60">
        <v>0</v>
      </c>
      <c r="D192" s="61">
        <v>-50</v>
      </c>
      <c r="E192" s="61">
        <v>0</v>
      </c>
      <c r="F192" s="61">
        <v>-38</v>
      </c>
      <c r="G192" s="59" t="str">
        <f t="shared" si="4"/>
        <v>-50|0|-38</v>
      </c>
      <c r="H192" s="60">
        <v>202</v>
      </c>
      <c r="I192" s="60">
        <v>0</v>
      </c>
      <c r="J192" s="60">
        <v>18</v>
      </c>
      <c r="K192" s="60">
        <v>18</v>
      </c>
      <c r="L192" s="67">
        <v>-9.9945070000000006E-4</v>
      </c>
      <c r="M192" s="60">
        <v>-30</v>
      </c>
      <c r="N192" s="66"/>
    </row>
    <row r="193" spans="2:14">
      <c r="B193" s="60"/>
      <c r="C193" s="60">
        <v>0</v>
      </c>
      <c r="D193" s="61">
        <v>-37</v>
      </c>
      <c r="E193" s="61">
        <v>0</v>
      </c>
      <c r="F193" s="61">
        <v>-44</v>
      </c>
      <c r="G193" s="59" t="str">
        <f t="shared" si="4"/>
        <v>-37|0|-44</v>
      </c>
      <c r="H193" s="60">
        <v>202</v>
      </c>
      <c r="I193" s="60">
        <v>0</v>
      </c>
      <c r="J193" s="60">
        <v>18</v>
      </c>
      <c r="K193" s="60">
        <v>36</v>
      </c>
      <c r="L193" s="60">
        <v>-1.0032654000000001E-3</v>
      </c>
      <c r="M193" s="60">
        <v>-24</v>
      </c>
      <c r="N193" s="66"/>
    </row>
    <row r="194" spans="2:14">
      <c r="B194" s="60"/>
      <c r="C194" s="60">
        <v>0</v>
      </c>
      <c r="D194" s="61">
        <v>-37</v>
      </c>
      <c r="E194" s="61">
        <v>0</v>
      </c>
      <c r="F194" s="61">
        <v>-58</v>
      </c>
      <c r="G194" s="59" t="str">
        <f t="shared" si="4"/>
        <v>-37|0|-58</v>
      </c>
      <c r="H194" s="60">
        <v>202</v>
      </c>
      <c r="I194" s="60">
        <v>0</v>
      </c>
      <c r="J194" s="60">
        <v>18</v>
      </c>
      <c r="K194" s="60">
        <v>36</v>
      </c>
      <c r="L194" s="60">
        <v>-2.0900726000000001E-2</v>
      </c>
      <c r="M194" s="60">
        <v>-54</v>
      </c>
      <c r="N194" s="66"/>
    </row>
    <row r="195" spans="2:14">
      <c r="B195" s="77">
        <v>203</v>
      </c>
      <c r="C195" s="60">
        <v>0</v>
      </c>
      <c r="D195" s="61">
        <v>127</v>
      </c>
      <c r="E195" s="61">
        <v>-9</v>
      </c>
      <c r="F195" s="61">
        <v>-42</v>
      </c>
      <c r="G195" s="59" t="str">
        <f t="shared" si="4"/>
        <v>127|-9|-42</v>
      </c>
      <c r="H195" s="60">
        <v>203</v>
      </c>
      <c r="I195" s="60">
        <v>0</v>
      </c>
      <c r="J195" s="60">
        <v>18</v>
      </c>
      <c r="K195" s="60">
        <v>123</v>
      </c>
      <c r="L195" s="60">
        <v>-9.0353390000000005</v>
      </c>
      <c r="M195" s="60">
        <v>-66</v>
      </c>
      <c r="N195" s="66" t="s">
        <v>202</v>
      </c>
    </row>
    <row r="196" spans="2:14">
      <c r="B196" s="60"/>
      <c r="C196" s="60">
        <v>0</v>
      </c>
      <c r="D196" s="62">
        <v>120</v>
      </c>
      <c r="E196" s="62">
        <v>-9</v>
      </c>
      <c r="F196" s="62">
        <v>-79</v>
      </c>
      <c r="G196" s="59" t="str">
        <f t="shared" si="4"/>
        <v>120|-9|-79</v>
      </c>
      <c r="H196" s="60">
        <v>203</v>
      </c>
      <c r="I196" s="60">
        <v>0</v>
      </c>
      <c r="J196" s="60">
        <v>18</v>
      </c>
      <c r="K196" s="60">
        <v>117</v>
      </c>
      <c r="L196" s="60">
        <v>-9.002872</v>
      </c>
      <c r="M196" s="60">
        <v>-90</v>
      </c>
      <c r="N196" s="66"/>
    </row>
    <row r="197" spans="2:14">
      <c r="B197" s="60"/>
      <c r="C197" s="60">
        <v>0</v>
      </c>
      <c r="D197" s="79">
        <v>95</v>
      </c>
      <c r="E197" s="79">
        <v>-9</v>
      </c>
      <c r="F197" s="79">
        <v>-83</v>
      </c>
      <c r="G197" s="59" t="str">
        <f t="shared" si="4"/>
        <v>95|-9|-83</v>
      </c>
      <c r="H197" s="60">
        <v>203</v>
      </c>
      <c r="I197" s="60">
        <v>0</v>
      </c>
      <c r="J197" s="60">
        <v>18</v>
      </c>
      <c r="K197" s="60">
        <v>93</v>
      </c>
      <c r="L197" s="60">
        <v>-9.0510219999999997</v>
      </c>
      <c r="M197" s="60">
        <v>-93</v>
      </c>
      <c r="N197" s="66"/>
    </row>
    <row r="198" spans="2:14">
      <c r="B198" s="60"/>
      <c r="C198" s="60">
        <v>0</v>
      </c>
      <c r="D198" s="61">
        <v>117</v>
      </c>
      <c r="E198" s="61">
        <v>-9</v>
      </c>
      <c r="F198" s="61">
        <v>-54</v>
      </c>
      <c r="G198" s="59" t="str">
        <f t="shared" si="4"/>
        <v>117|-9|-54</v>
      </c>
      <c r="H198" s="60">
        <v>203</v>
      </c>
      <c r="I198" s="60">
        <v>0</v>
      </c>
      <c r="J198" s="60">
        <v>18</v>
      </c>
      <c r="K198" s="60">
        <v>135</v>
      </c>
      <c r="L198" s="60">
        <v>-9.0353010000000005</v>
      </c>
      <c r="M198" s="60">
        <v>-42</v>
      </c>
      <c r="N198" s="66"/>
    </row>
    <row r="199" spans="2:14">
      <c r="B199" s="60">
        <v>204</v>
      </c>
      <c r="C199" s="60">
        <v>0</v>
      </c>
      <c r="D199" s="61">
        <v>57</v>
      </c>
      <c r="E199" s="61">
        <v>-9</v>
      </c>
      <c r="F199" s="61">
        <v>-105</v>
      </c>
      <c r="G199" s="59" t="str">
        <f t="shared" si="4"/>
        <v>57|-9|-105</v>
      </c>
      <c r="H199" s="60">
        <v>204</v>
      </c>
      <c r="I199" s="60">
        <v>0</v>
      </c>
      <c r="J199" s="60">
        <v>18</v>
      </c>
      <c r="K199" s="60">
        <v>66</v>
      </c>
      <c r="L199" s="60">
        <v>-9.0478970000000007</v>
      </c>
      <c r="M199" s="60">
        <v>-105</v>
      </c>
      <c r="N199" s="66" t="s">
        <v>226</v>
      </c>
    </row>
    <row r="200" spans="2:14">
      <c r="B200" s="60"/>
      <c r="C200" s="60">
        <v>0</v>
      </c>
      <c r="D200" s="61">
        <v>44</v>
      </c>
      <c r="E200" s="61">
        <v>-9</v>
      </c>
      <c r="F200" s="61">
        <v>-104</v>
      </c>
      <c r="G200" s="59" t="str">
        <f t="shared" si="4"/>
        <v>44|-9|-104</v>
      </c>
      <c r="H200" s="60">
        <v>204</v>
      </c>
      <c r="I200" s="60">
        <v>0</v>
      </c>
      <c r="J200" s="60">
        <v>18</v>
      </c>
      <c r="K200" s="60">
        <v>51</v>
      </c>
      <c r="L200" s="60">
        <v>-9.0353390000000005</v>
      </c>
      <c r="M200" s="60">
        <v>-105</v>
      </c>
      <c r="N200" s="66"/>
    </row>
    <row r="201" spans="2:14">
      <c r="B201" s="60"/>
      <c r="C201" s="60">
        <v>0</v>
      </c>
      <c r="D201" s="61">
        <v>54</v>
      </c>
      <c r="E201" s="61">
        <v>-9</v>
      </c>
      <c r="F201" s="61">
        <v>-118</v>
      </c>
      <c r="G201" s="59" t="str">
        <f t="shared" si="4"/>
        <v>54|-9|-118</v>
      </c>
      <c r="H201" s="60">
        <v>204</v>
      </c>
      <c r="I201" s="60">
        <v>0</v>
      </c>
      <c r="J201" s="60">
        <v>18</v>
      </c>
      <c r="K201" s="60">
        <v>51</v>
      </c>
      <c r="L201" s="60">
        <v>-9.0353429999999992</v>
      </c>
      <c r="M201" s="60">
        <v>-120</v>
      </c>
      <c r="N201" s="66"/>
    </row>
    <row r="202" spans="2:14">
      <c r="B202" s="60"/>
      <c r="C202" s="60">
        <v>0</v>
      </c>
      <c r="D202" s="61">
        <v>41</v>
      </c>
      <c r="E202" s="61">
        <v>-9</v>
      </c>
      <c r="F202" s="61">
        <v>-118</v>
      </c>
      <c r="G202" s="59" t="str">
        <f t="shared" si="4"/>
        <v>41|-9|-118</v>
      </c>
      <c r="H202" s="60">
        <v>204</v>
      </c>
      <c r="I202" s="60">
        <v>0</v>
      </c>
      <c r="J202" s="60">
        <v>18</v>
      </c>
      <c r="K202" s="60">
        <v>39</v>
      </c>
      <c r="L202" s="60">
        <v>-9.0032425000000007</v>
      </c>
      <c r="M202" s="60">
        <v>-111</v>
      </c>
      <c r="N202" s="66"/>
    </row>
    <row r="203" spans="2:14">
      <c r="B203" s="60">
        <v>205</v>
      </c>
      <c r="C203" s="60">
        <v>0</v>
      </c>
      <c r="D203" s="61">
        <v>-101</v>
      </c>
      <c r="E203" s="61">
        <v>0</v>
      </c>
      <c r="F203" s="61">
        <v>-29</v>
      </c>
      <c r="G203" s="59" t="str">
        <f t="shared" si="4"/>
        <v>-101|0|-29</v>
      </c>
      <c r="H203" s="60">
        <v>205</v>
      </c>
      <c r="I203" s="60">
        <v>0</v>
      </c>
      <c r="J203" s="60">
        <v>18</v>
      </c>
      <c r="K203" s="60">
        <v>-102</v>
      </c>
      <c r="L203" s="67">
        <v>-9.9945070000000006E-4</v>
      </c>
      <c r="M203" s="60">
        <v>-54</v>
      </c>
      <c r="N203" s="66" t="s">
        <v>249</v>
      </c>
    </row>
    <row r="204" spans="2:14">
      <c r="B204" s="60"/>
      <c r="C204" s="60">
        <v>0</v>
      </c>
      <c r="D204" s="61">
        <v>-101</v>
      </c>
      <c r="E204" s="61">
        <v>0</v>
      </c>
      <c r="F204" s="61">
        <v>-15</v>
      </c>
      <c r="G204" s="59" t="str">
        <f t="shared" si="4"/>
        <v>-101|0|-15</v>
      </c>
      <c r="H204" s="60">
        <v>205</v>
      </c>
      <c r="I204" s="60">
        <v>0</v>
      </c>
      <c r="J204" s="60">
        <v>18</v>
      </c>
      <c r="K204" s="60">
        <v>-102</v>
      </c>
      <c r="L204" s="60">
        <v>-1.0032654000000001E-3</v>
      </c>
      <c r="M204" s="60">
        <v>-39</v>
      </c>
      <c r="N204" s="66"/>
    </row>
    <row r="205" spans="2:14">
      <c r="C205" s="60">
        <v>0</v>
      </c>
      <c r="D205" s="58">
        <v>-85</v>
      </c>
      <c r="E205" s="58">
        <v>0</v>
      </c>
      <c r="F205" s="58">
        <v>-29</v>
      </c>
      <c r="G205" s="59" t="str">
        <f t="shared" si="4"/>
        <v>-85|0|-29</v>
      </c>
      <c r="H205" s="60">
        <v>-106</v>
      </c>
      <c r="I205" s="67">
        <v>-9.0026856000000001E-4</v>
      </c>
      <c r="J205" s="60">
        <v>-80</v>
      </c>
      <c r="K205" s="67"/>
      <c r="N205" s="66"/>
    </row>
    <row r="206" spans="2:14">
      <c r="C206" s="60">
        <v>0</v>
      </c>
      <c r="D206" s="58">
        <v>-85</v>
      </c>
      <c r="E206" s="58">
        <v>0</v>
      </c>
      <c r="F206" s="58">
        <v>-39</v>
      </c>
      <c r="G206" s="59" t="str">
        <f t="shared" si="4"/>
        <v>-85|0|-39</v>
      </c>
      <c r="H206" s="60">
        <v>-103</v>
      </c>
      <c r="I206" s="67">
        <v>-9.0408326000000002E-4</v>
      </c>
      <c r="J206" s="60">
        <v>-54</v>
      </c>
      <c r="K206" s="67"/>
      <c r="N206" s="66"/>
    </row>
    <row r="207" spans="2:14">
      <c r="B207" s="60">
        <v>206</v>
      </c>
      <c r="C207" s="60">
        <v>0</v>
      </c>
      <c r="D207" s="61">
        <v>48</v>
      </c>
      <c r="E207" s="61">
        <v>0</v>
      </c>
      <c r="F207" s="61">
        <v>48</v>
      </c>
      <c r="G207" s="59" t="str">
        <f t="shared" ref="G207:G272" si="5">D207&amp;"|"&amp;E207&amp;"|"&amp;F207</f>
        <v>48|0|48</v>
      </c>
      <c r="H207" s="60">
        <v>206</v>
      </c>
      <c r="I207" s="60">
        <v>0</v>
      </c>
      <c r="J207" s="60">
        <v>18</v>
      </c>
      <c r="K207" s="60">
        <v>39</v>
      </c>
      <c r="L207" s="67">
        <v>-9.9945070000000006E-4</v>
      </c>
      <c r="M207" s="60">
        <v>24</v>
      </c>
      <c r="N207" s="66" t="s">
        <v>293</v>
      </c>
    </row>
    <row r="208" spans="2:14">
      <c r="B208" s="60">
        <v>207</v>
      </c>
      <c r="C208" s="60">
        <v>0</v>
      </c>
      <c r="D208" s="61">
        <v>83</v>
      </c>
      <c r="E208" s="61">
        <v>-9</v>
      </c>
      <c r="F208" s="61">
        <v>-93</v>
      </c>
      <c r="G208" s="59" t="str">
        <f t="shared" si="5"/>
        <v>83|-9|-93</v>
      </c>
      <c r="H208" s="60">
        <v>207</v>
      </c>
      <c r="I208" s="60">
        <v>0</v>
      </c>
      <c r="J208" s="60">
        <v>18</v>
      </c>
      <c r="K208" s="60">
        <v>105</v>
      </c>
      <c r="L208" s="60">
        <v>-8.0117650000000005</v>
      </c>
      <c r="M208" s="60">
        <v>-93</v>
      </c>
      <c r="N208" s="66" t="s">
        <v>595</v>
      </c>
    </row>
    <row r="209" spans="2:18">
      <c r="B209" s="60"/>
      <c r="C209" s="60">
        <v>0</v>
      </c>
      <c r="D209" s="79">
        <v>115</v>
      </c>
      <c r="E209" s="79">
        <v>-9</v>
      </c>
      <c r="F209" s="79">
        <v>-42</v>
      </c>
      <c r="G209" s="59" t="str">
        <f t="shared" si="5"/>
        <v>115|-9|-42</v>
      </c>
      <c r="H209" s="60">
        <v>207</v>
      </c>
      <c r="I209" s="60">
        <v>0</v>
      </c>
      <c r="J209" s="60">
        <v>18</v>
      </c>
      <c r="K209" s="60">
        <v>117</v>
      </c>
      <c r="L209" s="60">
        <v>-8.0117650000000005</v>
      </c>
      <c r="M209" s="60">
        <v>-102</v>
      </c>
      <c r="N209" s="66"/>
    </row>
    <row r="210" spans="2:18">
      <c r="B210" s="60"/>
      <c r="C210" s="60">
        <v>0</v>
      </c>
      <c r="D210" s="79">
        <v>128</v>
      </c>
      <c r="E210" s="79">
        <v>-9</v>
      </c>
      <c r="F210" s="79">
        <v>-54</v>
      </c>
      <c r="G210" s="59" t="str">
        <f t="shared" si="5"/>
        <v>128|-9|-54</v>
      </c>
      <c r="H210" s="60">
        <v>207</v>
      </c>
      <c r="I210" s="60">
        <v>0</v>
      </c>
      <c r="J210" s="60">
        <v>18</v>
      </c>
      <c r="K210" s="60">
        <v>129</v>
      </c>
      <c r="L210" s="60">
        <v>-8.0117650000000005</v>
      </c>
      <c r="M210" s="60">
        <v>-102</v>
      </c>
      <c r="N210" s="66"/>
    </row>
    <row r="211" spans="2:18">
      <c r="B211" s="60"/>
      <c r="C211" s="60">
        <v>0</v>
      </c>
      <c r="D211" s="62">
        <v>116</v>
      </c>
      <c r="E211" s="62">
        <v>-9</v>
      </c>
      <c r="F211" s="62">
        <v>-66</v>
      </c>
      <c r="G211" s="59" t="str">
        <f t="shared" si="5"/>
        <v>116|-9|-66</v>
      </c>
      <c r="H211" s="60">
        <v>207</v>
      </c>
      <c r="I211" s="60">
        <v>0</v>
      </c>
      <c r="J211" s="60">
        <v>18</v>
      </c>
      <c r="K211" s="60">
        <v>105</v>
      </c>
      <c r="L211" s="60">
        <v>-8.0117650000000005</v>
      </c>
      <c r="M211" s="60">
        <v>-81</v>
      </c>
      <c r="N211" s="66"/>
    </row>
    <row r="212" spans="2:18">
      <c r="B212" s="60"/>
      <c r="C212" s="60">
        <v>0</v>
      </c>
      <c r="D212" s="79">
        <v>95</v>
      </c>
      <c r="E212" s="79">
        <v>-9</v>
      </c>
      <c r="F212" s="79">
        <v>-96</v>
      </c>
      <c r="G212" s="59" t="str">
        <f t="shared" si="5"/>
        <v>95|-9|-96</v>
      </c>
      <c r="H212" s="60">
        <v>207</v>
      </c>
      <c r="I212" s="60">
        <v>0</v>
      </c>
      <c r="J212" s="60">
        <v>18</v>
      </c>
      <c r="K212" s="60">
        <v>129</v>
      </c>
      <c r="L212" s="60">
        <v>-8.9653969999999994</v>
      </c>
      <c r="M212" s="60">
        <v>-90</v>
      </c>
      <c r="N212" s="66"/>
    </row>
    <row r="213" spans="2:18">
      <c r="B213" s="60"/>
      <c r="C213" s="60">
        <v>0</v>
      </c>
      <c r="D213" s="79">
        <v>119</v>
      </c>
      <c r="E213" s="79">
        <v>-9</v>
      </c>
      <c r="F213" s="79">
        <v>-92</v>
      </c>
      <c r="G213" s="59" t="str">
        <f t="shared" si="5"/>
        <v>119|-9|-92</v>
      </c>
      <c r="H213" s="60">
        <v>207</v>
      </c>
      <c r="I213" s="60">
        <v>0</v>
      </c>
      <c r="J213" s="60">
        <v>18</v>
      </c>
      <c r="K213" s="60">
        <v>129</v>
      </c>
      <c r="L213" s="60">
        <v>-8.9653969999999994</v>
      </c>
      <c r="M213" s="60">
        <v>-78</v>
      </c>
      <c r="N213" s="66"/>
    </row>
    <row r="214" spans="2:18">
      <c r="B214" s="60"/>
      <c r="C214" s="60">
        <v>0</v>
      </c>
      <c r="D214" s="61">
        <v>107</v>
      </c>
      <c r="E214" s="61">
        <v>-9</v>
      </c>
      <c r="F214" s="61">
        <v>-91</v>
      </c>
      <c r="G214" s="59" t="str">
        <f t="shared" si="5"/>
        <v>107|-9|-91</v>
      </c>
      <c r="H214" s="60">
        <v>207</v>
      </c>
      <c r="I214" s="60">
        <v>0</v>
      </c>
      <c r="J214" s="60">
        <v>18</v>
      </c>
      <c r="K214" s="60">
        <v>117</v>
      </c>
      <c r="L214" s="60">
        <v>-8.9653969999999994</v>
      </c>
      <c r="M214" s="60">
        <v>-78</v>
      </c>
      <c r="N214" s="66"/>
    </row>
    <row r="215" spans="2:18">
      <c r="B215" s="60"/>
      <c r="C215" s="60">
        <v>0</v>
      </c>
      <c r="D215" s="61">
        <v>128</v>
      </c>
      <c r="E215" s="61">
        <v>-9</v>
      </c>
      <c r="F215" s="61">
        <v>-66</v>
      </c>
      <c r="G215" s="59" t="str">
        <f t="shared" si="5"/>
        <v>128|-9|-66</v>
      </c>
      <c r="H215" s="60">
        <v>207</v>
      </c>
      <c r="I215" s="60">
        <v>0</v>
      </c>
      <c r="J215" s="60">
        <v>18</v>
      </c>
      <c r="K215" s="60">
        <v>108</v>
      </c>
      <c r="L215" s="60">
        <v>-9.0032390000000007</v>
      </c>
      <c r="M215" s="60">
        <v>-66</v>
      </c>
      <c r="N215" s="66"/>
      <c r="P215" s="61"/>
      <c r="Q215" s="61"/>
      <c r="R215" s="61"/>
    </row>
    <row r="216" spans="2:18">
      <c r="B216" s="60"/>
      <c r="C216" s="60">
        <v>0</v>
      </c>
      <c r="D216" s="61">
        <v>104</v>
      </c>
      <c r="E216" s="61">
        <v>-9</v>
      </c>
      <c r="F216" s="61">
        <v>-66</v>
      </c>
      <c r="G216" s="59" t="str">
        <f t="shared" si="5"/>
        <v>104|-9|-66</v>
      </c>
      <c r="H216" s="60">
        <v>207</v>
      </c>
      <c r="I216" s="60">
        <v>0</v>
      </c>
      <c r="J216" s="60">
        <v>18</v>
      </c>
      <c r="K216" s="60">
        <v>135</v>
      </c>
      <c r="L216" s="60">
        <v>-8.8588240000000003</v>
      </c>
      <c r="M216" s="60">
        <v>-66</v>
      </c>
      <c r="N216" s="66"/>
    </row>
    <row r="217" spans="2:18">
      <c r="B217" s="60"/>
      <c r="C217" s="60">
        <v>0</v>
      </c>
      <c r="D217" s="61">
        <v>107</v>
      </c>
      <c r="E217" s="61">
        <v>-9</v>
      </c>
      <c r="F217" s="61">
        <v>-104</v>
      </c>
      <c r="G217" s="59" t="str">
        <f t="shared" si="5"/>
        <v>107|-9|-104</v>
      </c>
      <c r="H217" s="60">
        <v>207</v>
      </c>
      <c r="I217" s="60">
        <v>0</v>
      </c>
      <c r="J217" s="60">
        <v>18</v>
      </c>
      <c r="K217" s="60">
        <v>123</v>
      </c>
      <c r="L217" s="60">
        <v>-9.0352969999999999</v>
      </c>
      <c r="M217" s="60">
        <v>-30</v>
      </c>
      <c r="N217" s="66"/>
    </row>
    <row r="218" spans="2:18">
      <c r="B218" s="60"/>
      <c r="C218" s="60">
        <v>0</v>
      </c>
      <c r="D218" s="79">
        <v>83</v>
      </c>
      <c r="E218" s="79">
        <v>-9</v>
      </c>
      <c r="F218" s="79">
        <v>-105</v>
      </c>
      <c r="G218" s="59" t="str">
        <f t="shared" si="5"/>
        <v>83|-9|-105</v>
      </c>
      <c r="H218" s="60">
        <v>207</v>
      </c>
      <c r="I218" s="60">
        <v>0</v>
      </c>
      <c r="J218" s="60">
        <v>18</v>
      </c>
      <c r="K218" s="60">
        <v>93</v>
      </c>
      <c r="L218" s="60">
        <v>-9.0402869999999993</v>
      </c>
      <c r="M218" s="60">
        <v>-105</v>
      </c>
      <c r="N218" s="66"/>
    </row>
    <row r="219" spans="2:18">
      <c r="B219" s="60"/>
      <c r="C219" s="60">
        <v>0</v>
      </c>
      <c r="D219" s="61">
        <v>107</v>
      </c>
      <c r="E219" s="61">
        <v>-9</v>
      </c>
      <c r="F219" s="61">
        <v>-79</v>
      </c>
      <c r="G219" s="59" t="str">
        <f t="shared" si="5"/>
        <v>107|-9|-79</v>
      </c>
      <c r="H219" s="60">
        <v>207</v>
      </c>
      <c r="I219" s="60">
        <v>0</v>
      </c>
      <c r="J219" s="60">
        <v>18</v>
      </c>
      <c r="K219" s="60">
        <v>123</v>
      </c>
      <c r="L219" s="60">
        <v>-9.0352820000000005</v>
      </c>
      <c r="M219" s="60">
        <v>-42</v>
      </c>
      <c r="N219" s="66"/>
    </row>
    <row r="220" spans="2:18">
      <c r="B220" s="60"/>
      <c r="C220" s="60">
        <v>0</v>
      </c>
      <c r="D220" s="61">
        <v>123</v>
      </c>
      <c r="E220" s="61">
        <v>-9</v>
      </c>
      <c r="F220" s="61">
        <v>-29</v>
      </c>
      <c r="G220" s="59" t="str">
        <f t="shared" si="5"/>
        <v>123|-9|-29</v>
      </c>
      <c r="H220" s="60">
        <v>207</v>
      </c>
      <c r="I220" s="60">
        <v>0</v>
      </c>
      <c r="J220" s="60">
        <v>18</v>
      </c>
      <c r="K220" s="60">
        <v>81</v>
      </c>
      <c r="L220" s="60">
        <v>-9.0032425000000007</v>
      </c>
      <c r="M220" s="60">
        <v>-99</v>
      </c>
      <c r="N220" s="66"/>
    </row>
    <row r="221" spans="2:18">
      <c r="B221" s="60"/>
      <c r="C221" s="60">
        <v>0</v>
      </c>
      <c r="D221" s="61">
        <v>70</v>
      </c>
      <c r="E221" s="61">
        <v>-9</v>
      </c>
      <c r="F221" s="61">
        <v>-97</v>
      </c>
      <c r="G221" s="59" t="str">
        <f t="shared" si="5"/>
        <v>70|-9|-97</v>
      </c>
      <c r="H221" s="60">
        <v>207</v>
      </c>
      <c r="I221" s="60">
        <v>0</v>
      </c>
      <c r="J221" s="60">
        <v>18</v>
      </c>
      <c r="K221" s="60">
        <v>135</v>
      </c>
      <c r="L221" s="60">
        <v>-8.4352929999999997</v>
      </c>
      <c r="M221" s="60">
        <v>-54</v>
      </c>
      <c r="N221" s="66"/>
    </row>
    <row r="222" spans="2:18">
      <c r="B222" s="60"/>
      <c r="C222" s="60">
        <v>0</v>
      </c>
      <c r="D222" s="61">
        <v>70</v>
      </c>
      <c r="E222" s="61">
        <v>-9</v>
      </c>
      <c r="F222" s="61">
        <v>-110</v>
      </c>
      <c r="G222" s="59" t="str">
        <f t="shared" si="5"/>
        <v>70|-9|-110</v>
      </c>
      <c r="H222" s="60">
        <v>207</v>
      </c>
      <c r="I222" s="60">
        <v>0</v>
      </c>
      <c r="J222" s="60">
        <v>18</v>
      </c>
      <c r="K222" s="60">
        <v>105</v>
      </c>
      <c r="L222" s="60">
        <v>-8.0117650000000005</v>
      </c>
      <c r="M222" s="60">
        <v>-105</v>
      </c>
      <c r="N222" s="66"/>
    </row>
    <row r="223" spans="2:18">
      <c r="B223" s="60"/>
      <c r="C223" s="60">
        <v>0</v>
      </c>
      <c r="D223" s="61">
        <v>95</v>
      </c>
      <c r="E223" s="61">
        <v>-9</v>
      </c>
      <c r="F223" s="61">
        <v>-109</v>
      </c>
      <c r="G223" s="59" t="str">
        <f t="shared" si="5"/>
        <v>95|-9|-109</v>
      </c>
      <c r="H223" s="60">
        <v>207</v>
      </c>
      <c r="I223" s="60">
        <v>0</v>
      </c>
      <c r="J223" s="60">
        <v>18</v>
      </c>
      <c r="K223" s="60">
        <v>123</v>
      </c>
      <c r="L223" s="60">
        <v>-8.0117650000000005</v>
      </c>
      <c r="M223" s="60">
        <v>-54</v>
      </c>
      <c r="N223" s="66"/>
    </row>
    <row r="224" spans="2:18">
      <c r="B224" s="60">
        <v>208</v>
      </c>
      <c r="C224" s="60">
        <v>0</v>
      </c>
      <c r="D224" s="61">
        <v>-69</v>
      </c>
      <c r="E224" s="61">
        <v>13</v>
      </c>
      <c r="F224" s="61">
        <v>78</v>
      </c>
      <c r="G224" s="59" t="str">
        <f t="shared" si="5"/>
        <v>-69|13|78</v>
      </c>
      <c r="H224" s="60">
        <v>208</v>
      </c>
      <c r="I224" s="60">
        <v>0</v>
      </c>
      <c r="J224" s="60">
        <v>18</v>
      </c>
      <c r="K224" s="60">
        <v>-69</v>
      </c>
      <c r="L224" s="60">
        <v>13</v>
      </c>
      <c r="M224" s="60">
        <v>78</v>
      </c>
      <c r="N224" s="66" t="s">
        <v>589</v>
      </c>
    </row>
    <row r="225" spans="2:14">
      <c r="B225" s="60">
        <v>209</v>
      </c>
      <c r="C225" s="60">
        <v>0</v>
      </c>
      <c r="D225" s="61">
        <v>45</v>
      </c>
      <c r="E225" s="61">
        <v>0</v>
      </c>
      <c r="F225" s="61">
        <v>18</v>
      </c>
      <c r="G225" s="59" t="str">
        <f t="shared" si="5"/>
        <v>45|0|18</v>
      </c>
      <c r="H225" s="60">
        <v>209</v>
      </c>
      <c r="I225" s="60">
        <v>0</v>
      </c>
      <c r="J225" s="60">
        <v>18</v>
      </c>
      <c r="K225" s="60">
        <v>69</v>
      </c>
      <c r="L225" s="67">
        <v>-9.9563600000000005E-4</v>
      </c>
      <c r="M225" s="60">
        <v>45</v>
      </c>
      <c r="N225" s="66" t="s">
        <v>344</v>
      </c>
    </row>
    <row r="226" spans="2:14">
      <c r="B226" s="60">
        <v>211</v>
      </c>
      <c r="C226" s="60">
        <v>0</v>
      </c>
      <c r="D226" s="61">
        <v>21</v>
      </c>
      <c r="E226" s="61">
        <v>0</v>
      </c>
      <c r="F226" s="61">
        <v>-38</v>
      </c>
      <c r="G226" s="59" t="str">
        <f t="shared" si="5"/>
        <v>21|0|-38</v>
      </c>
      <c r="H226" s="60">
        <v>211</v>
      </c>
      <c r="I226" s="60">
        <v>0</v>
      </c>
      <c r="J226" s="60">
        <v>18</v>
      </c>
      <c r="K226" s="60">
        <v>60</v>
      </c>
      <c r="L226" s="60">
        <v>-2.0896912E-2</v>
      </c>
      <c r="M226" s="60">
        <v>-45</v>
      </c>
      <c r="N226" s="66" t="s">
        <v>605</v>
      </c>
    </row>
    <row r="227" spans="2:14">
      <c r="B227" s="60">
        <v>212</v>
      </c>
      <c r="C227" s="60">
        <v>0</v>
      </c>
      <c r="D227" s="61">
        <v>99.93</v>
      </c>
      <c r="E227" s="61">
        <v>-9</v>
      </c>
      <c r="F227" s="61">
        <v>68.17</v>
      </c>
      <c r="G227" s="59" t="str">
        <f t="shared" si="5"/>
        <v>99.93|-9|68.17</v>
      </c>
      <c r="H227" s="60">
        <v>212</v>
      </c>
      <c r="I227" s="60">
        <v>0</v>
      </c>
      <c r="J227" s="60">
        <v>18</v>
      </c>
      <c r="K227" s="60">
        <v>109.5</v>
      </c>
      <c r="L227" s="60">
        <v>-4.5999999999999996</v>
      </c>
      <c r="M227" s="60">
        <v>69</v>
      </c>
      <c r="N227" s="66" t="s">
        <v>394</v>
      </c>
    </row>
    <row r="228" spans="2:14">
      <c r="B228" s="60">
        <v>213</v>
      </c>
      <c r="C228" s="60">
        <v>0</v>
      </c>
      <c r="D228" s="61">
        <v>16</v>
      </c>
      <c r="E228" s="61">
        <v>-18.5</v>
      </c>
      <c r="F228" s="61">
        <v>130</v>
      </c>
      <c r="G228" s="59" t="str">
        <f t="shared" si="5"/>
        <v>16|-18.5|130</v>
      </c>
      <c r="H228" s="60">
        <v>213</v>
      </c>
      <c r="I228" s="60">
        <v>0</v>
      </c>
      <c r="J228" s="60">
        <v>18</v>
      </c>
      <c r="K228" s="60">
        <v>16.5</v>
      </c>
      <c r="L228" s="60">
        <v>-18.48</v>
      </c>
      <c r="M228" s="60">
        <v>130.5</v>
      </c>
      <c r="N228" s="66" t="s">
        <v>599</v>
      </c>
    </row>
    <row r="229" spans="2:14">
      <c r="B229" s="60">
        <v>215</v>
      </c>
      <c r="C229" s="60">
        <v>0</v>
      </c>
      <c r="D229" s="61">
        <v>90</v>
      </c>
      <c r="E229" s="61">
        <v>0</v>
      </c>
      <c r="F229" s="61">
        <v>1</v>
      </c>
      <c r="G229" s="59" t="str">
        <f t="shared" si="5"/>
        <v>90|0|1</v>
      </c>
      <c r="H229" s="60">
        <v>215</v>
      </c>
      <c r="I229" s="60">
        <v>0</v>
      </c>
      <c r="J229" s="60">
        <v>18</v>
      </c>
      <c r="K229" s="60">
        <v>99</v>
      </c>
      <c r="L229" s="60">
        <v>0</v>
      </c>
      <c r="M229" s="60">
        <v>1</v>
      </c>
      <c r="N229" s="66" t="s">
        <v>418</v>
      </c>
    </row>
    <row r="230" spans="2:14">
      <c r="B230" s="60">
        <v>222</v>
      </c>
      <c r="C230" s="60">
        <v>0</v>
      </c>
      <c r="D230" s="61">
        <v>48</v>
      </c>
      <c r="E230" s="61">
        <v>0</v>
      </c>
      <c r="F230" s="61">
        <v>-17</v>
      </c>
      <c r="G230" s="59" t="str">
        <f t="shared" si="5"/>
        <v>48|0|-17</v>
      </c>
      <c r="H230" s="60">
        <v>222</v>
      </c>
      <c r="I230" s="60">
        <v>0</v>
      </c>
      <c r="J230" s="60">
        <v>18</v>
      </c>
      <c r="K230" s="60">
        <v>24</v>
      </c>
      <c r="L230" s="67">
        <v>-9.9563600000000005E-4</v>
      </c>
      <c r="M230" s="60">
        <v>42</v>
      </c>
      <c r="N230" s="66" t="s">
        <v>442</v>
      </c>
    </row>
    <row r="231" spans="2:14">
      <c r="B231" s="60">
        <v>224</v>
      </c>
      <c r="C231" s="60">
        <v>0</v>
      </c>
      <c r="D231" s="61">
        <v>69</v>
      </c>
      <c r="E231" s="61">
        <v>0</v>
      </c>
      <c r="F231" s="61">
        <v>18</v>
      </c>
      <c r="G231" s="59" t="str">
        <f t="shared" si="5"/>
        <v>69|0|18</v>
      </c>
      <c r="H231" s="60">
        <v>224</v>
      </c>
      <c r="I231" s="60">
        <v>0</v>
      </c>
      <c r="J231" s="60">
        <v>18</v>
      </c>
      <c r="K231" s="60">
        <v>66</v>
      </c>
      <c r="L231" s="67">
        <v>-9.9945070000000006E-4</v>
      </c>
      <c r="M231" s="60">
        <v>21</v>
      </c>
      <c r="N231" s="66" t="s">
        <v>369</v>
      </c>
    </row>
    <row r="232" spans="2:14">
      <c r="B232" s="60">
        <v>226</v>
      </c>
      <c r="C232" s="60">
        <v>0</v>
      </c>
      <c r="D232" s="61">
        <v>-7</v>
      </c>
      <c r="E232" s="61">
        <v>3</v>
      </c>
      <c r="F232" s="61">
        <v>66</v>
      </c>
      <c r="G232" s="59" t="str">
        <f t="shared" si="5"/>
        <v>-7|3|66</v>
      </c>
      <c r="H232" s="60">
        <v>226</v>
      </c>
      <c r="I232" s="60">
        <v>0</v>
      </c>
      <c r="J232" s="60">
        <v>18</v>
      </c>
      <c r="K232" s="60">
        <v>-21</v>
      </c>
      <c r="L232" s="60">
        <v>3</v>
      </c>
      <c r="M232" s="60">
        <v>69</v>
      </c>
      <c r="N232" s="66" t="s">
        <v>469</v>
      </c>
    </row>
    <row r="233" spans="2:14">
      <c r="B233" s="60">
        <v>227</v>
      </c>
      <c r="C233" s="60">
        <v>0</v>
      </c>
      <c r="D233" s="61">
        <v>135</v>
      </c>
      <c r="E233" s="61">
        <v>-9</v>
      </c>
      <c r="F233" s="61">
        <v>-12</v>
      </c>
      <c r="G233" s="59" t="str">
        <f t="shared" si="5"/>
        <v>135|-9|-12</v>
      </c>
      <c r="H233" s="60">
        <v>227</v>
      </c>
      <c r="I233" s="60">
        <v>0</v>
      </c>
      <c r="J233" s="60">
        <v>18</v>
      </c>
      <c r="K233" s="60">
        <v>142</v>
      </c>
      <c r="L233" s="60">
        <v>-8.9</v>
      </c>
      <c r="M233" s="60">
        <v>20</v>
      </c>
      <c r="N233" s="66" t="s">
        <v>940</v>
      </c>
    </row>
    <row r="234" spans="2:14">
      <c r="B234" s="60"/>
      <c r="C234" s="60">
        <v>0</v>
      </c>
      <c r="D234" s="61">
        <v>136</v>
      </c>
      <c r="E234" s="61">
        <v>-8.56</v>
      </c>
      <c r="F234" s="61">
        <v>16</v>
      </c>
      <c r="G234" s="59" t="str">
        <f t="shared" si="5"/>
        <v>136|-8.56|16</v>
      </c>
      <c r="H234" s="60">
        <v>227</v>
      </c>
      <c r="I234" s="60">
        <v>0</v>
      </c>
      <c r="J234" s="60">
        <v>18</v>
      </c>
      <c r="K234" s="60">
        <v>152</v>
      </c>
      <c r="L234" s="60">
        <v>-8.9</v>
      </c>
      <c r="M234" s="60">
        <v>-41</v>
      </c>
      <c r="N234" s="66"/>
    </row>
    <row r="235" spans="2:14">
      <c r="B235" s="60">
        <v>229</v>
      </c>
      <c r="C235" s="60">
        <v>0</v>
      </c>
      <c r="D235" s="61">
        <v>27</v>
      </c>
      <c r="E235" s="61">
        <v>0</v>
      </c>
      <c r="F235" s="61">
        <v>36</v>
      </c>
      <c r="G235" s="59" t="str">
        <f t="shared" si="5"/>
        <v>27|0|36</v>
      </c>
      <c r="H235" s="60">
        <v>229</v>
      </c>
      <c r="I235" s="60">
        <v>0</v>
      </c>
      <c r="J235" s="60">
        <v>18</v>
      </c>
      <c r="K235" s="60">
        <v>-43.5</v>
      </c>
      <c r="L235" s="67">
        <v>-9.9945070000000006E-4</v>
      </c>
      <c r="M235" s="60">
        <v>-58.5</v>
      </c>
      <c r="N235" s="66" t="s">
        <v>515</v>
      </c>
    </row>
    <row r="236" spans="2:14">
      <c r="B236" s="60">
        <v>230</v>
      </c>
      <c r="C236" s="60">
        <v>0</v>
      </c>
      <c r="D236" s="61">
        <v>30</v>
      </c>
      <c r="E236" s="61">
        <v>0</v>
      </c>
      <c r="F236" s="61">
        <v>-17</v>
      </c>
      <c r="G236" s="59" t="str">
        <f t="shared" si="5"/>
        <v>30|0|-17</v>
      </c>
      <c r="H236" s="60">
        <v>230</v>
      </c>
      <c r="I236" s="60">
        <v>0</v>
      </c>
      <c r="J236" s="60">
        <v>18</v>
      </c>
      <c r="K236" s="60">
        <v>60</v>
      </c>
      <c r="L236" s="67">
        <v>-9.9563600000000005E-4</v>
      </c>
      <c r="M236" s="60">
        <v>-24</v>
      </c>
      <c r="N236" s="66" t="s">
        <v>539</v>
      </c>
    </row>
    <row r="237" spans="2:14">
      <c r="B237" s="60">
        <v>231</v>
      </c>
      <c r="C237" s="60">
        <v>0</v>
      </c>
      <c r="D237" s="61">
        <v>-13</v>
      </c>
      <c r="E237" s="61">
        <v>0</v>
      </c>
      <c r="F237" s="61">
        <v>-40</v>
      </c>
      <c r="G237" s="59" t="str">
        <f t="shared" si="5"/>
        <v>-13|0|-40</v>
      </c>
      <c r="H237" s="60">
        <v>231</v>
      </c>
      <c r="I237" s="60">
        <v>0</v>
      </c>
      <c r="J237" s="60">
        <v>18</v>
      </c>
      <c r="K237" s="60">
        <v>-19.5</v>
      </c>
      <c r="L237" s="60">
        <v>-1.0032654000000001E-3</v>
      </c>
      <c r="M237" s="60">
        <v>-37.5</v>
      </c>
      <c r="N237" s="66" t="s">
        <v>591</v>
      </c>
    </row>
    <row r="238" spans="2:14">
      <c r="B238" s="60">
        <v>232</v>
      </c>
      <c r="C238" s="60">
        <v>0</v>
      </c>
      <c r="D238" s="61">
        <v>72</v>
      </c>
      <c r="E238" s="61">
        <v>0</v>
      </c>
      <c r="F238" s="61">
        <v>48</v>
      </c>
      <c r="G238" s="59" t="str">
        <f t="shared" si="5"/>
        <v>72|0|48</v>
      </c>
      <c r="H238" s="60">
        <v>232</v>
      </c>
      <c r="I238" s="60">
        <v>0</v>
      </c>
      <c r="J238" s="60">
        <v>18</v>
      </c>
      <c r="K238" s="60">
        <v>42</v>
      </c>
      <c r="L238" s="67">
        <v>-9.9945070000000006E-4</v>
      </c>
      <c r="M238" s="60">
        <v>48</v>
      </c>
      <c r="N238" s="66" t="s">
        <v>319</v>
      </c>
    </row>
    <row r="239" spans="2:14">
      <c r="B239" s="60">
        <v>234</v>
      </c>
      <c r="C239" s="60">
        <v>0</v>
      </c>
      <c r="D239" s="61">
        <v>-111</v>
      </c>
      <c r="E239" s="61">
        <v>0</v>
      </c>
      <c r="F239" s="61">
        <v>-40</v>
      </c>
      <c r="G239" s="59" t="str">
        <f t="shared" si="5"/>
        <v>-111|0|-40</v>
      </c>
      <c r="H239" s="60">
        <v>234</v>
      </c>
      <c r="I239" s="60">
        <v>0</v>
      </c>
      <c r="J239" s="60">
        <v>18</v>
      </c>
      <c r="K239" s="60">
        <v>-114</v>
      </c>
      <c r="L239" s="60">
        <v>-2.0896912E-2</v>
      </c>
      <c r="M239" s="60">
        <v>-15</v>
      </c>
      <c r="N239" s="66" t="s">
        <v>271</v>
      </c>
    </row>
    <row r="240" spans="2:14">
      <c r="B240" s="60"/>
      <c r="C240" s="60">
        <v>0</v>
      </c>
      <c r="D240" s="61">
        <v>-111</v>
      </c>
      <c r="E240" s="61">
        <v>0</v>
      </c>
      <c r="F240" s="61">
        <v>-50</v>
      </c>
      <c r="G240" s="59" t="str">
        <f t="shared" si="5"/>
        <v>-111|0|-50</v>
      </c>
      <c r="H240" s="60">
        <v>234</v>
      </c>
      <c r="I240" s="60">
        <v>0</v>
      </c>
      <c r="J240" s="60">
        <v>18</v>
      </c>
      <c r="K240" s="60">
        <v>-108</v>
      </c>
      <c r="L240" s="60">
        <v>-2.0893096999999999E-2</v>
      </c>
      <c r="M240" s="60">
        <v>6</v>
      </c>
      <c r="N240" s="66"/>
    </row>
    <row r="241" spans="1:14">
      <c r="B241" s="60"/>
      <c r="C241" s="60">
        <v>0</v>
      </c>
      <c r="D241" s="61">
        <v>-87</v>
      </c>
      <c r="E241" s="61">
        <v>0</v>
      </c>
      <c r="F241" s="61">
        <v>-50</v>
      </c>
      <c r="G241" s="59" t="str">
        <f t="shared" si="5"/>
        <v>-87|0|-50</v>
      </c>
      <c r="H241" s="61">
        <v>-108</v>
      </c>
      <c r="I241" s="61">
        <v>-2.0893096999999999E-2</v>
      </c>
      <c r="J241" s="61">
        <v>-25</v>
      </c>
      <c r="K241" s="60" t="s">
        <v>1949</v>
      </c>
      <c r="L241" s="60">
        <v>-15</v>
      </c>
      <c r="N241" s="66"/>
    </row>
    <row r="242" spans="1:14">
      <c r="B242" s="60"/>
      <c r="C242" s="60">
        <v>0</v>
      </c>
      <c r="D242" s="61">
        <v>-95</v>
      </c>
      <c r="E242" s="61">
        <v>0</v>
      </c>
      <c r="F242" s="61">
        <v>-60</v>
      </c>
      <c r="G242" s="59" t="str">
        <f t="shared" si="5"/>
        <v>-95|0|-60</v>
      </c>
      <c r="H242" s="61">
        <v>-106</v>
      </c>
      <c r="I242" s="61">
        <v>-2.0893096999999999E-2</v>
      </c>
      <c r="J242" s="61">
        <v>-38</v>
      </c>
      <c r="K242" s="60">
        <v>-2.0893096999999999E-2</v>
      </c>
      <c r="L242" s="60">
        <v>6</v>
      </c>
      <c r="N242" s="66"/>
    </row>
    <row r="243" spans="1:14">
      <c r="B243" s="60">
        <v>235</v>
      </c>
      <c r="C243" s="60">
        <v>0</v>
      </c>
      <c r="D243" s="61">
        <v>-57</v>
      </c>
      <c r="E243" s="61">
        <v>5</v>
      </c>
      <c r="F243" s="61">
        <v>6</v>
      </c>
      <c r="G243" s="59" t="str">
        <f t="shared" si="5"/>
        <v>-57|5|6</v>
      </c>
      <c r="H243" s="60">
        <v>235</v>
      </c>
      <c r="I243" s="60">
        <v>0</v>
      </c>
      <c r="J243" s="60">
        <v>18</v>
      </c>
      <c r="K243" s="60">
        <v>-63</v>
      </c>
      <c r="L243" s="60">
        <v>5</v>
      </c>
      <c r="M243" s="60">
        <v>6</v>
      </c>
      <c r="N243" s="66" t="s">
        <v>994</v>
      </c>
    </row>
    <row r="244" spans="1:14">
      <c r="B244" s="60">
        <v>236</v>
      </c>
      <c r="C244" s="60">
        <v>0</v>
      </c>
      <c r="D244" s="61">
        <v>-35</v>
      </c>
      <c r="E244" s="61">
        <v>5</v>
      </c>
      <c r="F244" s="61">
        <v>6</v>
      </c>
      <c r="G244" s="59" t="str">
        <f t="shared" si="5"/>
        <v>-35|5|6</v>
      </c>
      <c r="H244" s="60">
        <v>236</v>
      </c>
      <c r="I244" s="60">
        <v>0</v>
      </c>
      <c r="J244" s="60">
        <v>18</v>
      </c>
      <c r="K244" s="60">
        <v>-42</v>
      </c>
      <c r="L244" s="60">
        <v>5</v>
      </c>
      <c r="M244" s="60">
        <v>5</v>
      </c>
      <c r="N244" s="66" t="s">
        <v>999</v>
      </c>
    </row>
    <row r="245" spans="1:14">
      <c r="B245" s="60">
        <v>237</v>
      </c>
      <c r="C245" s="60">
        <v>0</v>
      </c>
      <c r="D245" s="61">
        <v>63</v>
      </c>
      <c r="E245" s="61">
        <v>0</v>
      </c>
      <c r="F245" s="61">
        <v>-41</v>
      </c>
      <c r="G245" s="59" t="str">
        <f t="shared" si="5"/>
        <v>63|0|-41</v>
      </c>
      <c r="H245" s="60">
        <v>237</v>
      </c>
      <c r="I245" s="60">
        <v>0</v>
      </c>
      <c r="J245" s="60">
        <v>18</v>
      </c>
      <c r="K245" s="60">
        <v>18</v>
      </c>
      <c r="L245" s="60">
        <v>-2.0900726000000001E-2</v>
      </c>
      <c r="M245" s="60">
        <v>-48</v>
      </c>
      <c r="N245" s="66" t="s">
        <v>565</v>
      </c>
    </row>
    <row r="246" spans="1:14">
      <c r="B246" s="60">
        <v>300</v>
      </c>
      <c r="C246" s="60">
        <v>0</v>
      </c>
      <c r="D246" s="61">
        <v>80</v>
      </c>
      <c r="E246" s="61">
        <v>-9</v>
      </c>
      <c r="F246" s="61">
        <v>107</v>
      </c>
      <c r="G246" s="59" t="str">
        <f t="shared" si="5"/>
        <v>80|-9|107</v>
      </c>
      <c r="H246" s="60"/>
      <c r="I246" s="60"/>
      <c r="J246" s="60"/>
      <c r="K246" s="60"/>
      <c r="L246" s="60"/>
      <c r="M246" s="60"/>
      <c r="N246" s="66" t="s">
        <v>1010</v>
      </c>
    </row>
    <row r="247" spans="1:14">
      <c r="B247" s="60">
        <v>400</v>
      </c>
      <c r="C247" s="60">
        <v>0</v>
      </c>
      <c r="D247" s="58">
        <v>-18</v>
      </c>
      <c r="E247" s="58">
        <v>0</v>
      </c>
      <c r="F247" s="58">
        <v>-62</v>
      </c>
      <c r="G247" s="59" t="str">
        <f t="shared" si="5"/>
        <v>-18|0|-62</v>
      </c>
      <c r="N247" s="66" t="s">
        <v>1014</v>
      </c>
    </row>
    <row r="248" spans="1:14">
      <c r="B248" s="60">
        <v>404</v>
      </c>
      <c r="C248" s="60">
        <v>0</v>
      </c>
      <c r="D248" s="61">
        <v>214.97</v>
      </c>
      <c r="E248" s="61">
        <v>-4.2</v>
      </c>
      <c r="F248" s="61">
        <v>89.09</v>
      </c>
      <c r="G248" s="59" t="str">
        <f t="shared" si="5"/>
        <v>214.97|-4.2|89.09</v>
      </c>
      <c r="N248" s="50" t="s">
        <v>1666</v>
      </c>
    </row>
    <row r="249" spans="1:14">
      <c r="B249" s="60">
        <v>409</v>
      </c>
      <c r="C249" s="60">
        <v>0</v>
      </c>
      <c r="D249" s="61">
        <v>16</v>
      </c>
      <c r="E249" s="61">
        <v>-18.5</v>
      </c>
      <c r="F249" s="61">
        <v>130</v>
      </c>
      <c r="G249" s="59" t="str">
        <f t="shared" si="5"/>
        <v>16|-18.5|130</v>
      </c>
      <c r="H249" s="60">
        <v>16.5</v>
      </c>
      <c r="I249" s="67">
        <v>-18.48</v>
      </c>
      <c r="J249" s="60">
        <v>130.5</v>
      </c>
      <c r="K249" s="60"/>
      <c r="N249" s="66" t="s">
        <v>1672</v>
      </c>
    </row>
    <row r="250" spans="1:14">
      <c r="B250" s="60">
        <v>228</v>
      </c>
      <c r="C250" s="60">
        <v>0</v>
      </c>
      <c r="D250" s="61">
        <v>29</v>
      </c>
      <c r="E250" s="61">
        <v>0</v>
      </c>
      <c r="F250" s="61">
        <v>55</v>
      </c>
      <c r="G250" s="59" t="str">
        <f t="shared" si="5"/>
        <v>29|0|55</v>
      </c>
      <c r="H250" s="60"/>
      <c r="I250" s="67"/>
      <c r="J250" s="60"/>
      <c r="K250" s="60"/>
      <c r="N250" s="66" t="s">
        <v>948</v>
      </c>
    </row>
    <row r="251" spans="1:14">
      <c r="B251" s="60">
        <v>410</v>
      </c>
      <c r="C251" s="60">
        <v>0</v>
      </c>
      <c r="D251" s="61">
        <v>23</v>
      </c>
      <c r="E251" s="61">
        <v>0</v>
      </c>
      <c r="F251" s="61">
        <v>-57</v>
      </c>
      <c r="G251" s="59" t="str">
        <f t="shared" si="5"/>
        <v>23|0|-57</v>
      </c>
      <c r="H251" s="60"/>
      <c r="I251" s="67"/>
      <c r="J251" s="60"/>
      <c r="K251" s="60"/>
      <c r="N251" s="66" t="s">
        <v>2308</v>
      </c>
    </row>
    <row r="252" spans="1:14">
      <c r="A252" s="53">
        <v>6</v>
      </c>
      <c r="B252" s="57">
        <v>201</v>
      </c>
      <c r="C252" s="57">
        <v>0</v>
      </c>
      <c r="D252" s="53">
        <v>0</v>
      </c>
      <c r="E252" s="53">
        <v>0</v>
      </c>
      <c r="F252" s="53">
        <v>0</v>
      </c>
      <c r="G252" s="53" t="str">
        <f t="shared" si="5"/>
        <v>0|0|0</v>
      </c>
      <c r="N252" s="66" t="s">
        <v>66</v>
      </c>
    </row>
    <row r="253" spans="1:14">
      <c r="B253" s="60">
        <v>202</v>
      </c>
      <c r="C253" s="60">
        <v>0</v>
      </c>
      <c r="D253" s="60">
        <v>-56</v>
      </c>
      <c r="E253" s="60">
        <v>0</v>
      </c>
      <c r="F253" s="60">
        <v>-49</v>
      </c>
      <c r="G253" s="53" t="str">
        <f t="shared" si="5"/>
        <v>-56|0|-49</v>
      </c>
      <c r="N253" s="66" t="s">
        <v>154</v>
      </c>
    </row>
    <row r="254" spans="1:14">
      <c r="B254" s="60"/>
      <c r="C254" s="60">
        <v>0</v>
      </c>
      <c r="D254" s="60">
        <v>-56</v>
      </c>
      <c r="E254" s="60">
        <v>0</v>
      </c>
      <c r="F254" s="60">
        <v>-62</v>
      </c>
      <c r="G254" s="53" t="str">
        <f t="shared" si="5"/>
        <v>-56|0|-62</v>
      </c>
      <c r="N254" s="66"/>
    </row>
    <row r="255" spans="1:14">
      <c r="B255" s="60"/>
      <c r="C255" s="60">
        <v>0</v>
      </c>
      <c r="D255" s="60">
        <v>-67</v>
      </c>
      <c r="E255" s="60">
        <v>0</v>
      </c>
      <c r="F255" s="60">
        <v>-48</v>
      </c>
      <c r="G255" s="53" t="str">
        <f t="shared" si="5"/>
        <v>-67|0|-48</v>
      </c>
      <c r="N255" s="66"/>
    </row>
    <row r="256" spans="1:14">
      <c r="B256" s="60"/>
      <c r="C256" s="60">
        <v>0</v>
      </c>
      <c r="D256" s="60">
        <v>-69</v>
      </c>
      <c r="E256" s="60">
        <v>0</v>
      </c>
      <c r="F256" s="60">
        <v>-61</v>
      </c>
      <c r="G256" s="53" t="str">
        <f t="shared" si="5"/>
        <v>-69|0|-61</v>
      </c>
      <c r="N256" s="66"/>
    </row>
    <row r="257" spans="2:14">
      <c r="B257" s="77">
        <v>203</v>
      </c>
      <c r="C257" s="60">
        <v>0</v>
      </c>
      <c r="D257" s="60">
        <v>105</v>
      </c>
      <c r="E257" s="60">
        <v>-9</v>
      </c>
      <c r="F257" s="60">
        <v>-108</v>
      </c>
      <c r="G257" s="53" t="str">
        <f t="shared" si="5"/>
        <v>105|-9|-108</v>
      </c>
      <c r="N257" s="66" t="s">
        <v>202</v>
      </c>
    </row>
    <row r="258" spans="2:14">
      <c r="B258" s="60"/>
      <c r="C258" s="60">
        <v>0</v>
      </c>
      <c r="D258" s="60">
        <v>138</v>
      </c>
      <c r="E258" s="60">
        <v>-9</v>
      </c>
      <c r="F258" s="60">
        <v>-50</v>
      </c>
      <c r="G258" s="53" t="str">
        <f t="shared" si="5"/>
        <v>138|-9|-50</v>
      </c>
      <c r="N258" s="66"/>
    </row>
    <row r="259" spans="2:14">
      <c r="B259" s="60"/>
      <c r="C259" s="60">
        <v>0</v>
      </c>
      <c r="D259" s="60">
        <v>136</v>
      </c>
      <c r="E259" s="60">
        <v>-9</v>
      </c>
      <c r="F259" s="60">
        <v>-112</v>
      </c>
      <c r="G259" s="53" t="str">
        <f t="shared" si="5"/>
        <v>136|-9|-112</v>
      </c>
      <c r="N259" s="66"/>
    </row>
    <row r="260" spans="2:14">
      <c r="B260" s="60"/>
      <c r="C260" s="60">
        <v>0</v>
      </c>
      <c r="D260" s="60">
        <v>138</v>
      </c>
      <c r="E260" s="60">
        <v>-9</v>
      </c>
      <c r="F260" s="60">
        <v>-75</v>
      </c>
      <c r="G260" s="53" t="str">
        <f t="shared" si="5"/>
        <v>138|-9|-75</v>
      </c>
      <c r="N260" s="66"/>
    </row>
    <row r="261" spans="2:14">
      <c r="B261" s="60">
        <v>204</v>
      </c>
      <c r="C261" s="60">
        <v>0</v>
      </c>
      <c r="D261" s="60">
        <v>-55</v>
      </c>
      <c r="E261" s="60">
        <v>0</v>
      </c>
      <c r="F261" s="60">
        <v>-99</v>
      </c>
      <c r="G261" s="53" t="str">
        <f t="shared" si="5"/>
        <v>-55|0|-99</v>
      </c>
      <c r="N261" s="66" t="s">
        <v>226</v>
      </c>
    </row>
    <row r="262" spans="2:14">
      <c r="B262" s="60"/>
      <c r="C262" s="60">
        <v>0</v>
      </c>
      <c r="D262" s="60">
        <v>-35</v>
      </c>
      <c r="E262" s="60">
        <v>0</v>
      </c>
      <c r="F262" s="60">
        <v>-101</v>
      </c>
      <c r="G262" s="53" t="str">
        <f t="shared" si="5"/>
        <v>-35|0|-101</v>
      </c>
      <c r="N262" s="66"/>
    </row>
    <row r="263" spans="2:14">
      <c r="B263" s="60"/>
      <c r="C263" s="60">
        <v>0</v>
      </c>
      <c r="D263" s="60">
        <v>-57</v>
      </c>
      <c r="E263" s="60">
        <v>0</v>
      </c>
      <c r="F263" s="60">
        <v>-115</v>
      </c>
      <c r="G263" s="53" t="str">
        <f t="shared" si="5"/>
        <v>-57|0|-115</v>
      </c>
      <c r="N263" s="66"/>
    </row>
    <row r="264" spans="2:14">
      <c r="B264" s="60"/>
      <c r="C264" s="60">
        <v>0</v>
      </c>
      <c r="D264" s="60">
        <v>-35</v>
      </c>
      <c r="E264" s="60">
        <v>0</v>
      </c>
      <c r="F264" s="60">
        <v>-116</v>
      </c>
      <c r="G264" s="53" t="str">
        <f t="shared" si="5"/>
        <v>-35|0|-116</v>
      </c>
      <c r="N264" s="66"/>
    </row>
    <row r="265" spans="2:14">
      <c r="B265" s="60">
        <v>205</v>
      </c>
      <c r="C265" s="60">
        <v>0</v>
      </c>
      <c r="D265" s="60">
        <v>-135</v>
      </c>
      <c r="E265" s="60">
        <v>0</v>
      </c>
      <c r="F265" s="60">
        <v>-31</v>
      </c>
      <c r="G265" s="53" t="str">
        <f t="shared" si="5"/>
        <v>-135|0|-31</v>
      </c>
      <c r="N265" s="66" t="s">
        <v>249</v>
      </c>
    </row>
    <row r="266" spans="2:14">
      <c r="B266" s="60"/>
      <c r="C266" s="60">
        <v>0</v>
      </c>
      <c r="D266" s="60">
        <v>-136</v>
      </c>
      <c r="E266" s="60">
        <v>0</v>
      </c>
      <c r="F266" s="60">
        <v>-44</v>
      </c>
      <c r="G266" s="53" t="str">
        <f t="shared" si="5"/>
        <v>-136|0|-44</v>
      </c>
      <c r="N266" s="66"/>
    </row>
    <row r="267" spans="2:14">
      <c r="C267" s="60">
        <v>0</v>
      </c>
      <c r="D267" s="60">
        <v>-122</v>
      </c>
      <c r="E267" s="60">
        <v>0</v>
      </c>
      <c r="F267" s="60">
        <v>-31</v>
      </c>
      <c r="G267" s="53" t="str">
        <f t="shared" si="5"/>
        <v>-122|0|-31</v>
      </c>
      <c r="N267" s="66"/>
    </row>
    <row r="268" spans="2:14">
      <c r="C268" s="60">
        <v>0</v>
      </c>
      <c r="D268" s="60">
        <v>-122</v>
      </c>
      <c r="E268" s="60">
        <v>0</v>
      </c>
      <c r="F268" s="60">
        <v>-44</v>
      </c>
      <c r="G268" s="53" t="str">
        <f t="shared" si="5"/>
        <v>-122|0|-44</v>
      </c>
      <c r="N268" s="66"/>
    </row>
    <row r="269" spans="2:14">
      <c r="B269" s="60">
        <v>206</v>
      </c>
      <c r="C269" s="60">
        <v>0</v>
      </c>
      <c r="D269" s="60">
        <v>79</v>
      </c>
      <c r="E269" s="60">
        <v>0</v>
      </c>
      <c r="F269" s="60">
        <v>38</v>
      </c>
      <c r="G269" s="53" t="str">
        <f t="shared" si="5"/>
        <v>79|0|38</v>
      </c>
      <c r="N269" s="66" t="s">
        <v>293</v>
      </c>
    </row>
    <row r="270" spans="2:14">
      <c r="B270" s="60">
        <v>207</v>
      </c>
      <c r="C270" s="60">
        <v>0</v>
      </c>
      <c r="D270" s="60">
        <v>131</v>
      </c>
      <c r="E270" s="60">
        <v>-9</v>
      </c>
      <c r="F270" s="60">
        <v>-38</v>
      </c>
      <c r="G270" s="53" t="str">
        <f t="shared" si="5"/>
        <v>131|-9|-38</v>
      </c>
      <c r="N270" s="66" t="s">
        <v>595</v>
      </c>
    </row>
    <row r="271" spans="2:14">
      <c r="B271" s="60"/>
      <c r="C271" s="60">
        <v>0</v>
      </c>
      <c r="D271" s="60">
        <v>144</v>
      </c>
      <c r="E271" s="60">
        <v>-9</v>
      </c>
      <c r="F271" s="60">
        <v>-38</v>
      </c>
      <c r="G271" s="53" t="str">
        <f t="shared" si="5"/>
        <v>144|-9|-38</v>
      </c>
      <c r="N271" s="66"/>
    </row>
    <row r="272" spans="2:14">
      <c r="B272" s="60"/>
      <c r="C272" s="60">
        <v>0</v>
      </c>
      <c r="D272" s="60">
        <v>37</v>
      </c>
      <c r="E272" s="60">
        <v>0</v>
      </c>
      <c r="F272" s="60">
        <v>-111</v>
      </c>
      <c r="G272" s="53" t="str">
        <f t="shared" si="5"/>
        <v>37|0|-111</v>
      </c>
      <c r="N272" s="66"/>
    </row>
    <row r="273" spans="2:14">
      <c r="B273" s="60"/>
      <c r="C273" s="60">
        <v>0</v>
      </c>
      <c r="D273" s="60">
        <v>150</v>
      </c>
      <c r="E273" s="60">
        <v>-9</v>
      </c>
      <c r="F273" s="60">
        <v>-50</v>
      </c>
      <c r="G273" s="53" t="str">
        <f t="shared" ref="G273:G313" si="6">D273&amp;"|"&amp;E273&amp;"|"&amp;F273</f>
        <v>150|-9|-50</v>
      </c>
      <c r="N273" s="66"/>
    </row>
    <row r="274" spans="2:14">
      <c r="B274" s="60"/>
      <c r="C274" s="60">
        <v>0</v>
      </c>
      <c r="D274" s="60">
        <v>137</v>
      </c>
      <c r="E274" s="60">
        <v>-9</v>
      </c>
      <c r="F274" s="60">
        <v>-63</v>
      </c>
      <c r="G274" s="53" t="str">
        <f t="shared" si="6"/>
        <v>137|-9|-63</v>
      </c>
      <c r="N274" s="66"/>
    </row>
    <row r="275" spans="2:14">
      <c r="B275" s="60"/>
      <c r="C275" s="60">
        <v>0</v>
      </c>
      <c r="D275" s="60">
        <v>150</v>
      </c>
      <c r="E275" s="60">
        <v>-9</v>
      </c>
      <c r="F275" s="60">
        <v>-63</v>
      </c>
      <c r="G275" s="53" t="str">
        <f t="shared" si="6"/>
        <v>150|-9|-63</v>
      </c>
      <c r="N275" s="66"/>
    </row>
    <row r="276" spans="2:14">
      <c r="B276" s="60"/>
      <c r="C276" s="60">
        <v>0</v>
      </c>
      <c r="D276" s="60">
        <v>40</v>
      </c>
      <c r="E276" s="60">
        <v>0</v>
      </c>
      <c r="F276" s="60">
        <v>-99</v>
      </c>
      <c r="G276" s="53" t="str">
        <f t="shared" si="6"/>
        <v>40|0|-99</v>
      </c>
      <c r="N276" s="66"/>
    </row>
    <row r="277" spans="2:14">
      <c r="B277" s="60"/>
      <c r="C277" s="60">
        <v>0</v>
      </c>
      <c r="D277" s="60">
        <v>150</v>
      </c>
      <c r="E277" s="60">
        <v>-9</v>
      </c>
      <c r="F277" s="60">
        <v>-75</v>
      </c>
      <c r="G277" s="53" t="str">
        <f t="shared" si="6"/>
        <v>150|-9|-75</v>
      </c>
      <c r="N277" s="66"/>
    </row>
    <row r="278" spans="2:14">
      <c r="B278" s="60"/>
      <c r="C278" s="60">
        <v>0</v>
      </c>
      <c r="D278" s="60">
        <v>138</v>
      </c>
      <c r="E278" s="60">
        <v>-9</v>
      </c>
      <c r="F278" s="60">
        <v>-88</v>
      </c>
      <c r="G278" s="53" t="str">
        <f t="shared" si="6"/>
        <v>138|-9|-88</v>
      </c>
      <c r="N278" s="66"/>
    </row>
    <row r="279" spans="2:14">
      <c r="B279" s="60"/>
      <c r="C279" s="60">
        <v>0</v>
      </c>
      <c r="D279" s="60">
        <v>151</v>
      </c>
      <c r="E279" s="60">
        <v>-9</v>
      </c>
      <c r="F279" s="60">
        <v>-88</v>
      </c>
      <c r="G279" s="53" t="str">
        <f t="shared" si="6"/>
        <v>151|-9|-88</v>
      </c>
      <c r="N279" s="66"/>
    </row>
    <row r="280" spans="2:14">
      <c r="B280" s="60"/>
      <c r="C280" s="60">
        <v>0</v>
      </c>
      <c r="D280" s="60">
        <v>130</v>
      </c>
      <c r="E280" s="60">
        <v>-9</v>
      </c>
      <c r="F280" s="60">
        <v>-100</v>
      </c>
      <c r="G280" s="53" t="str">
        <f t="shared" si="6"/>
        <v>130|-9|-100</v>
      </c>
      <c r="N280" s="66"/>
    </row>
    <row r="281" spans="2:14">
      <c r="B281" s="60"/>
      <c r="C281" s="60">
        <v>0</v>
      </c>
      <c r="D281" s="60">
        <v>143</v>
      </c>
      <c r="E281" s="60">
        <v>-9</v>
      </c>
      <c r="F281" s="60">
        <v>-100</v>
      </c>
      <c r="G281" s="53" t="str">
        <f t="shared" si="6"/>
        <v>143|-9|-100</v>
      </c>
      <c r="N281" s="66"/>
    </row>
    <row r="282" spans="2:14">
      <c r="B282" s="60"/>
      <c r="C282" s="60">
        <v>0</v>
      </c>
      <c r="D282" s="60">
        <v>118</v>
      </c>
      <c r="E282" s="60">
        <v>-9</v>
      </c>
      <c r="F282" s="60">
        <v>-99</v>
      </c>
      <c r="G282" s="53" t="str">
        <f t="shared" si="6"/>
        <v>118|-9|-99</v>
      </c>
      <c r="N282" s="66"/>
    </row>
    <row r="283" spans="2:14">
      <c r="B283" s="60"/>
      <c r="C283" s="60">
        <v>0</v>
      </c>
      <c r="D283" s="60">
        <v>118</v>
      </c>
      <c r="E283" s="60">
        <v>-9</v>
      </c>
      <c r="F283" s="60">
        <v>-111</v>
      </c>
      <c r="G283" s="53" t="str">
        <f t="shared" si="6"/>
        <v>118|-9|-111</v>
      </c>
      <c r="N283" s="66"/>
    </row>
    <row r="284" spans="2:14">
      <c r="B284" s="60"/>
      <c r="C284" s="60">
        <v>0</v>
      </c>
      <c r="D284" s="60">
        <v>126</v>
      </c>
      <c r="E284" s="60">
        <v>-9</v>
      </c>
      <c r="F284" s="60">
        <v>-86</v>
      </c>
      <c r="G284" s="53" t="str">
        <f t="shared" si="6"/>
        <v>126|-9|-86</v>
      </c>
      <c r="N284" s="66"/>
    </row>
    <row r="285" spans="2:14">
      <c r="B285" s="60"/>
      <c r="C285" s="60">
        <v>0</v>
      </c>
      <c r="D285" s="60">
        <v>157</v>
      </c>
      <c r="E285" s="60">
        <v>-9</v>
      </c>
      <c r="F285" s="60">
        <v>-38</v>
      </c>
      <c r="G285" s="53" t="str">
        <f t="shared" si="6"/>
        <v>157|-9|-38</v>
      </c>
      <c r="N285" s="66"/>
    </row>
    <row r="286" spans="2:14">
      <c r="B286" s="60">
        <v>208</v>
      </c>
      <c r="C286" s="60">
        <v>0</v>
      </c>
      <c r="D286" s="73">
        <v>-71.2</v>
      </c>
      <c r="E286" s="73">
        <v>14</v>
      </c>
      <c r="F286" s="73">
        <v>79</v>
      </c>
      <c r="G286" s="53" t="str">
        <f t="shared" si="6"/>
        <v>-71.2|14|79</v>
      </c>
      <c r="N286" s="66" t="s">
        <v>589</v>
      </c>
    </row>
    <row r="287" spans="2:14">
      <c r="B287" s="60">
        <v>209</v>
      </c>
      <c r="C287" s="60">
        <v>0</v>
      </c>
      <c r="D287" s="60">
        <v>55</v>
      </c>
      <c r="E287" s="60">
        <v>0</v>
      </c>
      <c r="F287" s="60">
        <v>20</v>
      </c>
      <c r="G287" s="53" t="str">
        <f t="shared" si="6"/>
        <v>55|0|20</v>
      </c>
      <c r="N287" s="66" t="s">
        <v>344</v>
      </c>
    </row>
    <row r="288" spans="2:14">
      <c r="B288" s="60">
        <v>211</v>
      </c>
      <c r="C288" s="60">
        <v>0</v>
      </c>
      <c r="D288" s="60">
        <v>44</v>
      </c>
      <c r="E288" s="60">
        <v>0</v>
      </c>
      <c r="F288" s="60">
        <v>-38</v>
      </c>
      <c r="G288" s="53" t="str">
        <f t="shared" si="6"/>
        <v>44|0|-38</v>
      </c>
      <c r="N288" s="66" t="s">
        <v>605</v>
      </c>
    </row>
    <row r="289" spans="2:14">
      <c r="B289" s="60">
        <v>212</v>
      </c>
      <c r="C289" s="60">
        <v>0</v>
      </c>
      <c r="D289" s="60">
        <v>112.05</v>
      </c>
      <c r="E289" s="60">
        <v>-9</v>
      </c>
      <c r="F289" s="60">
        <v>66.87</v>
      </c>
      <c r="G289" s="53" t="str">
        <f t="shared" si="6"/>
        <v>112.05|-9|66.87</v>
      </c>
      <c r="N289" s="66" t="s">
        <v>394</v>
      </c>
    </row>
    <row r="290" spans="2:14">
      <c r="B290" s="60">
        <v>213</v>
      </c>
      <c r="C290" s="60">
        <v>0</v>
      </c>
      <c r="D290" s="60">
        <v>16</v>
      </c>
      <c r="E290" s="60">
        <v>-18.5</v>
      </c>
      <c r="F290" s="60">
        <v>130</v>
      </c>
      <c r="G290" s="53" t="str">
        <f t="shared" si="6"/>
        <v>16|-18.5|130</v>
      </c>
      <c r="N290" s="66" t="s">
        <v>599</v>
      </c>
    </row>
    <row r="291" spans="2:14">
      <c r="B291" s="60">
        <v>215</v>
      </c>
      <c r="C291" s="60">
        <v>0</v>
      </c>
      <c r="D291" s="53">
        <v>102</v>
      </c>
      <c r="E291" s="53">
        <v>0</v>
      </c>
      <c r="F291" s="53">
        <v>0.43</v>
      </c>
      <c r="G291" s="53" t="str">
        <f t="shared" si="6"/>
        <v>102|0|0.43</v>
      </c>
      <c r="N291" s="66" t="s">
        <v>418</v>
      </c>
    </row>
    <row r="292" spans="2:14">
      <c r="B292" s="60">
        <v>222</v>
      </c>
      <c r="C292" s="60">
        <v>0</v>
      </c>
      <c r="D292" s="60">
        <v>75</v>
      </c>
      <c r="E292" s="60">
        <v>0</v>
      </c>
      <c r="F292" s="60">
        <v>55</v>
      </c>
      <c r="G292" s="53" t="str">
        <f t="shared" si="6"/>
        <v>75|0|55</v>
      </c>
      <c r="N292" s="66" t="s">
        <v>442</v>
      </c>
    </row>
    <row r="293" spans="2:14">
      <c r="B293" s="60">
        <v>224</v>
      </c>
      <c r="C293" s="60">
        <v>0</v>
      </c>
      <c r="D293" s="60">
        <v>80</v>
      </c>
      <c r="E293" s="60">
        <v>0</v>
      </c>
      <c r="F293" s="60">
        <v>18</v>
      </c>
      <c r="G293" s="53" t="str">
        <f t="shared" si="6"/>
        <v>80|0|18</v>
      </c>
      <c r="N293" s="66" t="s">
        <v>369</v>
      </c>
    </row>
    <row r="294" spans="2:14">
      <c r="B294" s="60">
        <v>226</v>
      </c>
      <c r="C294" s="60">
        <v>0</v>
      </c>
      <c r="D294" s="60">
        <v>-28</v>
      </c>
      <c r="E294" s="60">
        <v>5</v>
      </c>
      <c r="F294" s="60">
        <v>69</v>
      </c>
      <c r="G294" s="53" t="str">
        <f t="shared" si="6"/>
        <v>-28|5|69</v>
      </c>
      <c r="N294" s="66" t="s">
        <v>469</v>
      </c>
    </row>
    <row r="295" spans="2:14">
      <c r="B295" s="60">
        <v>227</v>
      </c>
      <c r="C295" s="60">
        <v>0</v>
      </c>
      <c r="D295" s="60">
        <v>174</v>
      </c>
      <c r="E295" s="60">
        <v>-9</v>
      </c>
      <c r="F295" s="60">
        <v>13</v>
      </c>
      <c r="G295" s="53" t="str">
        <f t="shared" si="6"/>
        <v>174|-9|13</v>
      </c>
      <c r="N295" s="66" t="s">
        <v>940</v>
      </c>
    </row>
    <row r="296" spans="2:14">
      <c r="B296" s="60"/>
      <c r="C296" s="60">
        <v>0</v>
      </c>
      <c r="D296" s="60">
        <v>175</v>
      </c>
      <c r="E296" s="60">
        <v>-9</v>
      </c>
      <c r="F296" s="60">
        <v>-11</v>
      </c>
      <c r="G296" s="53" t="str">
        <f t="shared" si="6"/>
        <v>175|-9|-11</v>
      </c>
      <c r="N296" s="66"/>
    </row>
    <row r="297" spans="2:14">
      <c r="B297" s="60">
        <v>228</v>
      </c>
      <c r="C297" s="60">
        <v>0</v>
      </c>
      <c r="D297" s="60">
        <v>55</v>
      </c>
      <c r="E297" s="60">
        <v>0</v>
      </c>
      <c r="F297" s="60">
        <v>59</v>
      </c>
      <c r="G297" s="53" t="str">
        <f t="shared" si="6"/>
        <v>55|0|59</v>
      </c>
      <c r="N297" s="66" t="s">
        <v>948</v>
      </c>
    </row>
    <row r="298" spans="2:14">
      <c r="B298" s="60">
        <v>229</v>
      </c>
      <c r="C298" s="60">
        <v>0</v>
      </c>
      <c r="D298" s="60">
        <v>43</v>
      </c>
      <c r="E298" s="60">
        <v>0</v>
      </c>
      <c r="F298" s="60">
        <v>-60</v>
      </c>
      <c r="G298" s="53" t="str">
        <f t="shared" si="6"/>
        <v>43|0|-60</v>
      </c>
      <c r="N298" s="66" t="s">
        <v>515</v>
      </c>
    </row>
    <row r="299" spans="2:14">
      <c r="B299" s="60">
        <v>230</v>
      </c>
      <c r="C299" s="60">
        <v>0</v>
      </c>
      <c r="D299" s="60">
        <v>48</v>
      </c>
      <c r="E299" s="60">
        <v>0</v>
      </c>
      <c r="F299" s="60">
        <v>-20</v>
      </c>
      <c r="G299" s="53" t="str">
        <f t="shared" si="6"/>
        <v>48|0|-20</v>
      </c>
      <c r="N299" s="66" t="s">
        <v>539</v>
      </c>
    </row>
    <row r="300" spans="2:14">
      <c r="B300" s="60">
        <v>231</v>
      </c>
      <c r="C300" s="60">
        <v>0</v>
      </c>
      <c r="D300" s="60">
        <v>-23</v>
      </c>
      <c r="E300" s="60">
        <v>0</v>
      </c>
      <c r="F300" s="60">
        <v>-44</v>
      </c>
      <c r="G300" s="53" t="str">
        <f t="shared" si="6"/>
        <v>-23|0|-44</v>
      </c>
      <c r="N300" s="66" t="s">
        <v>591</v>
      </c>
    </row>
    <row r="301" spans="2:14">
      <c r="B301" s="60">
        <v>232</v>
      </c>
      <c r="C301" s="60">
        <v>0</v>
      </c>
      <c r="D301" s="60">
        <v>53</v>
      </c>
      <c r="E301" s="60">
        <v>0</v>
      </c>
      <c r="F301" s="60">
        <v>40</v>
      </c>
      <c r="G301" s="53" t="str">
        <f t="shared" si="6"/>
        <v>53|0|40</v>
      </c>
      <c r="N301" s="66" t="s">
        <v>319</v>
      </c>
    </row>
    <row r="302" spans="2:14">
      <c r="B302" s="60">
        <v>234</v>
      </c>
      <c r="C302" s="60">
        <v>0</v>
      </c>
      <c r="D302" s="60">
        <v>-114</v>
      </c>
      <c r="E302" s="60">
        <v>0</v>
      </c>
      <c r="F302" s="60">
        <v>-8</v>
      </c>
      <c r="G302" s="53" t="str">
        <f t="shared" si="6"/>
        <v>-114|0|-8</v>
      </c>
      <c r="N302" s="66" t="s">
        <v>271</v>
      </c>
    </row>
    <row r="303" spans="2:14">
      <c r="B303" s="60"/>
      <c r="C303" s="60">
        <v>0</v>
      </c>
      <c r="D303" s="60">
        <v>-124</v>
      </c>
      <c r="E303" s="60">
        <v>0</v>
      </c>
      <c r="F303" s="60">
        <v>-13</v>
      </c>
      <c r="G303" s="53" t="str">
        <f t="shared" si="6"/>
        <v>-124|0|-13</v>
      </c>
      <c r="N303" s="66"/>
    </row>
    <row r="304" spans="2:14">
      <c r="B304" s="60"/>
      <c r="C304" s="60">
        <v>0</v>
      </c>
      <c r="D304" s="60">
        <v>-105</v>
      </c>
      <c r="E304" s="60">
        <v>0</v>
      </c>
      <c r="F304" s="60">
        <v>1</v>
      </c>
      <c r="G304" s="53" t="str">
        <f t="shared" si="6"/>
        <v>-105|0|1</v>
      </c>
      <c r="N304" s="66"/>
    </row>
    <row r="305" spans="1:14">
      <c r="B305" s="60"/>
      <c r="C305" s="60">
        <v>0</v>
      </c>
      <c r="D305" s="60">
        <v>-105</v>
      </c>
      <c r="E305" s="60">
        <v>0</v>
      </c>
      <c r="F305" s="60">
        <v>-15</v>
      </c>
      <c r="G305" s="53" t="str">
        <f t="shared" si="6"/>
        <v>-105|0|-15</v>
      </c>
      <c r="N305" s="66" t="s">
        <v>418</v>
      </c>
    </row>
    <row r="306" spans="1:14">
      <c r="B306" s="60">
        <v>235</v>
      </c>
      <c r="C306" s="60">
        <v>0</v>
      </c>
      <c r="D306" s="80">
        <v>-70</v>
      </c>
      <c r="E306" s="80">
        <v>5</v>
      </c>
      <c r="F306" s="80">
        <v>6</v>
      </c>
      <c r="G306" s="53" t="str">
        <f t="shared" si="6"/>
        <v>-70|5|6</v>
      </c>
      <c r="N306" s="66" t="s">
        <v>994</v>
      </c>
    </row>
    <row r="307" spans="1:14">
      <c r="B307" s="60">
        <v>236</v>
      </c>
      <c r="C307" s="60">
        <v>0</v>
      </c>
      <c r="D307" s="80">
        <v>-41.77</v>
      </c>
      <c r="E307" s="80">
        <v>5</v>
      </c>
      <c r="F307" s="80">
        <v>2.4500000000000002</v>
      </c>
      <c r="G307" s="53" t="str">
        <f t="shared" si="6"/>
        <v>-41.77|5|2.45</v>
      </c>
      <c r="N307" s="66" t="s">
        <v>999</v>
      </c>
    </row>
    <row r="308" spans="1:14">
      <c r="B308" s="60">
        <v>237</v>
      </c>
      <c r="C308" s="60">
        <v>0</v>
      </c>
      <c r="D308" s="60">
        <v>65</v>
      </c>
      <c r="E308" s="60">
        <v>0</v>
      </c>
      <c r="F308" s="60">
        <v>-63</v>
      </c>
      <c r="G308" s="53" t="str">
        <f t="shared" si="6"/>
        <v>65|0|-63</v>
      </c>
      <c r="N308" s="66" t="s">
        <v>565</v>
      </c>
    </row>
    <row r="309" spans="1:14">
      <c r="B309" s="60">
        <v>300</v>
      </c>
      <c r="C309" s="60">
        <v>0</v>
      </c>
      <c r="D309" s="60">
        <v>78</v>
      </c>
      <c r="E309" s="60">
        <v>-9.2100000000000009</v>
      </c>
      <c r="F309" s="60">
        <v>102</v>
      </c>
      <c r="G309" s="53" t="str">
        <f t="shared" si="6"/>
        <v>78|-9.21|102</v>
      </c>
      <c r="N309" s="66" t="s">
        <v>1010</v>
      </c>
    </row>
    <row r="310" spans="1:14">
      <c r="B310" s="60">
        <v>400</v>
      </c>
      <c r="C310" s="60">
        <v>0</v>
      </c>
      <c r="D310" s="60">
        <v>-21</v>
      </c>
      <c r="E310" s="60">
        <v>0</v>
      </c>
      <c r="F310" s="60">
        <v>-63</v>
      </c>
      <c r="G310" s="53" t="str">
        <f t="shared" si="6"/>
        <v>-21|0|-63</v>
      </c>
      <c r="N310" s="66" t="s">
        <v>1014</v>
      </c>
    </row>
    <row r="311" spans="1:14">
      <c r="B311" s="60">
        <v>404</v>
      </c>
      <c r="C311" s="60">
        <v>0</v>
      </c>
      <c r="D311" s="53">
        <v>53</v>
      </c>
      <c r="E311" s="53">
        <v>-12</v>
      </c>
      <c r="F311" s="53">
        <v>-225</v>
      </c>
      <c r="G311" s="53" t="str">
        <f t="shared" si="6"/>
        <v>53|-12|-225</v>
      </c>
      <c r="N311" s="50" t="s">
        <v>1666</v>
      </c>
    </row>
    <row r="312" spans="1:14">
      <c r="B312" s="60">
        <v>409</v>
      </c>
      <c r="C312" s="60">
        <v>0</v>
      </c>
      <c r="D312" s="61">
        <v>16</v>
      </c>
      <c r="E312" s="61">
        <v>-18.5</v>
      </c>
      <c r="F312" s="61">
        <v>130</v>
      </c>
      <c r="G312" s="53" t="str">
        <f t="shared" si="6"/>
        <v>16|-18.5|130</v>
      </c>
      <c r="N312" s="66" t="s">
        <v>1672</v>
      </c>
    </row>
    <row r="313" spans="1:14">
      <c r="B313" s="60">
        <v>410</v>
      </c>
      <c r="C313" s="60">
        <v>0</v>
      </c>
      <c r="D313" s="61">
        <v>81</v>
      </c>
      <c r="E313" s="61">
        <v>0</v>
      </c>
      <c r="F313" s="61">
        <v>-20</v>
      </c>
      <c r="G313" s="59" t="str">
        <f t="shared" si="6"/>
        <v>81|0|-20</v>
      </c>
      <c r="H313" s="60"/>
      <c r="I313" s="67"/>
      <c r="J313" s="60"/>
      <c r="K313" s="60"/>
      <c r="N313" s="66" t="s">
        <v>2308</v>
      </c>
    </row>
    <row r="314" spans="1:14">
      <c r="A314" s="53">
        <v>5</v>
      </c>
      <c r="B314" s="57">
        <v>201</v>
      </c>
      <c r="C314" s="57">
        <v>0</v>
      </c>
      <c r="D314" s="53">
        <v>0</v>
      </c>
      <c r="E314" s="53">
        <v>0</v>
      </c>
      <c r="F314" s="53">
        <v>0</v>
      </c>
      <c r="G314" s="53" t="str">
        <f t="shared" ref="G314:G345" si="7">D314&amp;"|"&amp;E314&amp;"|"&amp;F314</f>
        <v>0|0|0</v>
      </c>
      <c r="N314" s="66" t="s">
        <v>66</v>
      </c>
    </row>
    <row r="315" spans="1:14">
      <c r="B315" s="60">
        <v>202</v>
      </c>
      <c r="C315" s="60">
        <v>0</v>
      </c>
      <c r="D315" s="60">
        <v>-28</v>
      </c>
      <c r="E315" s="60">
        <v>0</v>
      </c>
      <c r="F315" s="60">
        <v>-49</v>
      </c>
      <c r="G315" s="53" t="str">
        <f t="shared" si="7"/>
        <v>-28|0|-49</v>
      </c>
      <c r="N315" s="66" t="s">
        <v>154</v>
      </c>
    </row>
    <row r="316" spans="1:14">
      <c r="B316" s="60"/>
      <c r="C316" s="60">
        <v>0</v>
      </c>
      <c r="D316" s="60">
        <v>-46</v>
      </c>
      <c r="E316" s="60">
        <v>0</v>
      </c>
      <c r="F316" s="60">
        <v>-49</v>
      </c>
      <c r="G316" s="53" t="str">
        <f t="shared" si="7"/>
        <v>-46|0|-49</v>
      </c>
      <c r="N316" s="66"/>
    </row>
    <row r="317" spans="1:14">
      <c r="B317" s="60"/>
      <c r="C317" s="60">
        <v>0</v>
      </c>
      <c r="D317" s="60">
        <v>-41</v>
      </c>
      <c r="E317" s="60">
        <v>0</v>
      </c>
      <c r="F317" s="60">
        <v>-36</v>
      </c>
      <c r="G317" s="53" t="str">
        <f t="shared" si="7"/>
        <v>-41|0|-36</v>
      </c>
      <c r="N317" s="66"/>
    </row>
    <row r="318" spans="1:14">
      <c r="B318" s="60"/>
      <c r="C318" s="60">
        <v>0</v>
      </c>
      <c r="D318" s="60">
        <v>-45</v>
      </c>
      <c r="E318" s="60">
        <v>0</v>
      </c>
      <c r="F318" s="60">
        <v>-61</v>
      </c>
      <c r="G318" s="53" t="str">
        <f t="shared" si="7"/>
        <v>-45|0|-61</v>
      </c>
      <c r="N318" s="66"/>
    </row>
    <row r="319" spans="1:14">
      <c r="B319" s="77">
        <v>203</v>
      </c>
      <c r="C319" s="60">
        <v>0</v>
      </c>
      <c r="D319" s="60">
        <v>130</v>
      </c>
      <c r="E319" s="60">
        <v>-9</v>
      </c>
      <c r="F319" s="60">
        <v>-42</v>
      </c>
      <c r="G319" s="53" t="str">
        <f t="shared" si="7"/>
        <v>130|-9|-42</v>
      </c>
      <c r="N319" s="66" t="s">
        <v>202</v>
      </c>
    </row>
    <row r="320" spans="1:14">
      <c r="B320" s="60"/>
      <c r="C320" s="60">
        <v>0</v>
      </c>
      <c r="D320" s="60">
        <v>145</v>
      </c>
      <c r="E320" s="60">
        <v>-9</v>
      </c>
      <c r="F320" s="60">
        <v>-42</v>
      </c>
      <c r="G320" s="53" t="str">
        <f t="shared" si="7"/>
        <v>145|-9|-42</v>
      </c>
      <c r="N320" s="66"/>
    </row>
    <row r="321" spans="2:14">
      <c r="B321" s="60"/>
      <c r="C321" s="60">
        <v>0</v>
      </c>
      <c r="D321" s="60">
        <v>95</v>
      </c>
      <c r="E321" s="60">
        <v>-9</v>
      </c>
      <c r="F321" s="60">
        <v>-91</v>
      </c>
      <c r="G321" s="53" t="str">
        <f t="shared" si="7"/>
        <v>95|-9|-91</v>
      </c>
      <c r="N321" s="66"/>
    </row>
    <row r="322" spans="2:14">
      <c r="B322" s="60"/>
      <c r="C322" s="60">
        <v>0</v>
      </c>
      <c r="D322" s="60">
        <v>129</v>
      </c>
      <c r="E322" s="60">
        <v>-9</v>
      </c>
      <c r="F322" s="60">
        <v>-67</v>
      </c>
      <c r="G322" s="53" t="str">
        <f t="shared" si="7"/>
        <v>129|-9|-67</v>
      </c>
      <c r="N322" s="66"/>
    </row>
    <row r="323" spans="2:14">
      <c r="B323" s="60">
        <v>204</v>
      </c>
      <c r="C323" s="60">
        <v>0</v>
      </c>
      <c r="D323" s="60">
        <v>41</v>
      </c>
      <c r="E323" s="60">
        <v>-9</v>
      </c>
      <c r="F323" s="60">
        <v>-114</v>
      </c>
      <c r="G323" s="53" t="str">
        <f t="shared" si="7"/>
        <v>41|-9|-114</v>
      </c>
      <c r="N323" s="66" t="s">
        <v>226</v>
      </c>
    </row>
    <row r="324" spans="2:14">
      <c r="B324" s="60"/>
      <c r="C324" s="60">
        <v>0</v>
      </c>
      <c r="D324" s="60">
        <v>51</v>
      </c>
      <c r="E324" s="60">
        <v>-9</v>
      </c>
      <c r="F324" s="60">
        <v>-100</v>
      </c>
      <c r="G324" s="53" t="str">
        <f t="shared" si="7"/>
        <v>51|-9|-100</v>
      </c>
      <c r="N324" s="66"/>
    </row>
    <row r="325" spans="2:14">
      <c r="B325" s="60"/>
      <c r="C325" s="60">
        <v>0</v>
      </c>
      <c r="D325" s="60">
        <v>64</v>
      </c>
      <c r="E325" s="60">
        <v>-9</v>
      </c>
      <c r="F325" s="60">
        <v>-111</v>
      </c>
      <c r="G325" s="53" t="str">
        <f t="shared" si="7"/>
        <v>64|-9|-111</v>
      </c>
      <c r="N325" s="66"/>
    </row>
    <row r="326" spans="2:14">
      <c r="B326" s="60"/>
      <c r="C326" s="60">
        <v>0</v>
      </c>
      <c r="D326" s="60">
        <v>54</v>
      </c>
      <c r="E326" s="60">
        <v>-9</v>
      </c>
      <c r="F326" s="60">
        <v>-125</v>
      </c>
      <c r="G326" s="53" t="str">
        <f t="shared" si="7"/>
        <v>54|-9|-125</v>
      </c>
      <c r="N326" s="66"/>
    </row>
    <row r="327" spans="2:14">
      <c r="B327" s="60">
        <v>205</v>
      </c>
      <c r="C327" s="60">
        <v>0</v>
      </c>
      <c r="D327" s="60">
        <v>-88</v>
      </c>
      <c r="E327" s="60">
        <v>0</v>
      </c>
      <c r="F327" s="60">
        <v>-23</v>
      </c>
      <c r="G327" s="53" t="str">
        <f t="shared" si="7"/>
        <v>-88|0|-23</v>
      </c>
      <c r="N327" s="66" t="s">
        <v>249</v>
      </c>
    </row>
    <row r="328" spans="2:14">
      <c r="B328" s="60"/>
      <c r="C328" s="60">
        <v>0</v>
      </c>
      <c r="D328" s="60">
        <v>-89</v>
      </c>
      <c r="E328" s="60">
        <v>0</v>
      </c>
      <c r="F328" s="60">
        <v>-44</v>
      </c>
      <c r="G328" s="53" t="str">
        <f t="shared" si="7"/>
        <v>-89|0|-44</v>
      </c>
      <c r="N328" s="66"/>
    </row>
    <row r="329" spans="2:14">
      <c r="C329" s="60">
        <v>0</v>
      </c>
      <c r="D329" s="60">
        <v>-93</v>
      </c>
      <c r="E329" s="60">
        <v>0</v>
      </c>
      <c r="F329" s="60">
        <v>-34</v>
      </c>
      <c r="G329" s="53" t="str">
        <f t="shared" si="7"/>
        <v>-93|0|-34</v>
      </c>
      <c r="N329" s="66"/>
    </row>
    <row r="330" spans="2:14">
      <c r="C330" s="60">
        <v>0</v>
      </c>
      <c r="D330" s="60">
        <v>-88</v>
      </c>
      <c r="E330" s="60">
        <v>0</v>
      </c>
      <c r="F330" s="60">
        <v>0</v>
      </c>
      <c r="G330" s="53" t="str">
        <f t="shared" si="7"/>
        <v>-88|0|0</v>
      </c>
      <c r="N330" s="66"/>
    </row>
    <row r="331" spans="2:14">
      <c r="B331" s="60">
        <v>206</v>
      </c>
      <c r="C331" s="60">
        <v>0</v>
      </c>
      <c r="D331" s="60">
        <v>48</v>
      </c>
      <c r="E331" s="60">
        <v>0</v>
      </c>
      <c r="F331" s="60">
        <v>48</v>
      </c>
      <c r="G331" s="53" t="str">
        <f t="shared" si="7"/>
        <v>48|0|48</v>
      </c>
      <c r="N331" s="66" t="s">
        <v>293</v>
      </c>
    </row>
    <row r="332" spans="2:14">
      <c r="B332" s="60">
        <v>207</v>
      </c>
      <c r="C332" s="60">
        <v>0</v>
      </c>
      <c r="D332" s="72">
        <v>128</v>
      </c>
      <c r="E332" s="72">
        <v>-8.5</v>
      </c>
      <c r="F332" s="72">
        <v>-54</v>
      </c>
      <c r="G332" s="53" t="str">
        <f t="shared" si="7"/>
        <v>128|-8.5|-54</v>
      </c>
      <c r="N332" s="66" t="s">
        <v>595</v>
      </c>
    </row>
    <row r="333" spans="2:14">
      <c r="B333" s="60"/>
      <c r="C333" s="60">
        <v>0</v>
      </c>
      <c r="D333" s="72">
        <v>132</v>
      </c>
      <c r="E333" s="72">
        <v>-8.5</v>
      </c>
      <c r="F333" s="72">
        <v>-91</v>
      </c>
      <c r="G333" s="53" t="str">
        <f t="shared" si="7"/>
        <v>132|-8.5|-91</v>
      </c>
      <c r="N333" s="66"/>
    </row>
    <row r="334" spans="2:14">
      <c r="B334" s="60"/>
      <c r="C334" s="60">
        <v>0</v>
      </c>
      <c r="D334" s="72">
        <v>115</v>
      </c>
      <c r="E334" s="72">
        <v>-8.5</v>
      </c>
      <c r="F334" s="72">
        <v>-53</v>
      </c>
      <c r="G334" s="53" t="str">
        <f t="shared" si="7"/>
        <v>115|-8.5|-53</v>
      </c>
      <c r="N334" s="66"/>
    </row>
    <row r="335" spans="2:14">
      <c r="B335" s="60"/>
      <c r="C335" s="60">
        <v>0</v>
      </c>
      <c r="D335" s="72">
        <v>141</v>
      </c>
      <c r="E335" s="72">
        <v>-8.5</v>
      </c>
      <c r="F335" s="72">
        <v>-54</v>
      </c>
      <c r="G335" s="53" t="str">
        <f t="shared" si="7"/>
        <v>141|-8.5|-54</v>
      </c>
      <c r="N335" s="66"/>
    </row>
    <row r="336" spans="2:14">
      <c r="B336" s="60"/>
      <c r="C336" s="60">
        <v>0</v>
      </c>
      <c r="D336" s="72">
        <v>104</v>
      </c>
      <c r="E336" s="72">
        <v>-8.5</v>
      </c>
      <c r="F336" s="72">
        <v>-66</v>
      </c>
      <c r="G336" s="53" t="str">
        <f t="shared" si="7"/>
        <v>104|-8.5|-66</v>
      </c>
      <c r="N336" s="66"/>
    </row>
    <row r="337" spans="2:14">
      <c r="B337" s="60"/>
      <c r="C337" s="60">
        <v>0</v>
      </c>
      <c r="D337" s="72">
        <v>141</v>
      </c>
      <c r="E337" s="72">
        <v>-8.5</v>
      </c>
      <c r="F337" s="72">
        <v>-67</v>
      </c>
      <c r="G337" s="53" t="str">
        <f t="shared" si="7"/>
        <v>141|-8.5|-67</v>
      </c>
      <c r="N337" s="66"/>
    </row>
    <row r="338" spans="2:14">
      <c r="B338" s="60"/>
      <c r="C338" s="60">
        <v>0</v>
      </c>
      <c r="D338" s="72">
        <v>132</v>
      </c>
      <c r="E338" s="72">
        <v>-8.5</v>
      </c>
      <c r="F338" s="72">
        <v>-79</v>
      </c>
      <c r="G338" s="53" t="str">
        <f t="shared" si="7"/>
        <v>132|-8.5|-79</v>
      </c>
      <c r="N338" s="66"/>
    </row>
    <row r="339" spans="2:14">
      <c r="B339" s="60"/>
      <c r="C339" s="60">
        <v>0</v>
      </c>
      <c r="D339" s="72">
        <v>107</v>
      </c>
      <c r="E339" s="72">
        <v>-8.5</v>
      </c>
      <c r="F339" s="72">
        <v>-91</v>
      </c>
      <c r="G339" s="53" t="str">
        <f t="shared" si="7"/>
        <v>107|-8.5|-91</v>
      </c>
      <c r="N339" s="66"/>
    </row>
    <row r="340" spans="2:14">
      <c r="B340" s="60"/>
      <c r="C340" s="60">
        <v>0</v>
      </c>
      <c r="D340" s="72">
        <v>119</v>
      </c>
      <c r="E340" s="72">
        <v>-8.5</v>
      </c>
      <c r="F340" s="72">
        <v>-79</v>
      </c>
      <c r="G340" s="53" t="str">
        <f t="shared" si="7"/>
        <v>119|-8.5|-79</v>
      </c>
      <c r="N340" s="66"/>
    </row>
    <row r="341" spans="2:14">
      <c r="B341" s="60"/>
      <c r="C341" s="60">
        <v>0</v>
      </c>
      <c r="D341" s="72">
        <v>107</v>
      </c>
      <c r="E341" s="72">
        <v>-8.5</v>
      </c>
      <c r="F341" s="72">
        <v>-79</v>
      </c>
      <c r="G341" s="53" t="str">
        <f t="shared" si="7"/>
        <v>107|-8.5|-79</v>
      </c>
      <c r="N341" s="66"/>
    </row>
    <row r="342" spans="2:14">
      <c r="B342" s="60"/>
      <c r="C342" s="60">
        <v>0</v>
      </c>
      <c r="D342" s="72">
        <v>119</v>
      </c>
      <c r="E342" s="72">
        <v>-8.5</v>
      </c>
      <c r="F342" s="72">
        <v>-91</v>
      </c>
      <c r="G342" s="53" t="str">
        <f t="shared" si="7"/>
        <v>119|-8.5|-91</v>
      </c>
      <c r="N342" s="66"/>
    </row>
    <row r="343" spans="2:14">
      <c r="B343" s="60"/>
      <c r="C343" s="60">
        <v>0</v>
      </c>
      <c r="D343" s="72">
        <v>116</v>
      </c>
      <c r="E343" s="72">
        <v>-8.5</v>
      </c>
      <c r="F343" s="72">
        <v>-66</v>
      </c>
      <c r="G343" s="53" t="str">
        <f t="shared" si="7"/>
        <v>116|-8.5|-66</v>
      </c>
      <c r="N343" s="66"/>
    </row>
    <row r="344" spans="2:14">
      <c r="B344" s="60"/>
      <c r="C344" s="60">
        <v>0</v>
      </c>
      <c r="D344" s="72">
        <v>107</v>
      </c>
      <c r="E344" s="72">
        <v>-8.5</v>
      </c>
      <c r="F344" s="72">
        <v>-104</v>
      </c>
      <c r="G344" s="53" t="str">
        <f t="shared" si="7"/>
        <v>107|-8.5|-104</v>
      </c>
      <c r="N344" s="66"/>
    </row>
    <row r="345" spans="2:14">
      <c r="B345" s="60"/>
      <c r="C345" s="60">
        <v>0</v>
      </c>
      <c r="D345" s="72">
        <v>119</v>
      </c>
      <c r="E345" s="72">
        <v>-8.5</v>
      </c>
      <c r="F345" s="72">
        <v>-104</v>
      </c>
      <c r="G345" s="53" t="str">
        <f t="shared" si="7"/>
        <v>119|-8.5|-104</v>
      </c>
      <c r="N345" s="66"/>
    </row>
    <row r="346" spans="2:14">
      <c r="B346" s="60"/>
      <c r="C346" s="60">
        <v>0</v>
      </c>
      <c r="D346" s="72">
        <v>132</v>
      </c>
      <c r="E346" s="72">
        <v>-8.5</v>
      </c>
      <c r="F346" s="72">
        <v>-104</v>
      </c>
      <c r="G346" s="53" t="str">
        <f t="shared" ref="G346:G376" si="8">D346&amp;"|"&amp;E346&amp;"|"&amp;F346</f>
        <v>132|-8.5|-104</v>
      </c>
      <c r="N346" s="66"/>
    </row>
    <row r="347" spans="2:14">
      <c r="B347" s="60"/>
      <c r="C347" s="60">
        <v>0</v>
      </c>
      <c r="D347" s="72">
        <v>115</v>
      </c>
      <c r="E347" s="72">
        <v>-8.5</v>
      </c>
      <c r="F347" s="72">
        <v>-40</v>
      </c>
      <c r="G347" s="53" t="str">
        <f t="shared" si="8"/>
        <v>115|-8.5|-40</v>
      </c>
      <c r="N347" s="66"/>
    </row>
    <row r="348" spans="2:14">
      <c r="B348" s="60">
        <v>208</v>
      </c>
      <c r="C348" s="60">
        <v>0</v>
      </c>
      <c r="D348" s="81">
        <v>-71.2</v>
      </c>
      <c r="E348" s="81">
        <v>14</v>
      </c>
      <c r="F348" s="81">
        <v>79</v>
      </c>
      <c r="G348" s="53" t="str">
        <f t="shared" si="8"/>
        <v>-71.2|14|79</v>
      </c>
      <c r="N348" s="66" t="s">
        <v>589</v>
      </c>
    </row>
    <row r="349" spans="2:14">
      <c r="B349" s="60">
        <v>209</v>
      </c>
      <c r="C349" s="60">
        <v>0</v>
      </c>
      <c r="D349" s="60">
        <v>45</v>
      </c>
      <c r="E349" s="60">
        <v>0</v>
      </c>
      <c r="F349" s="60">
        <v>18</v>
      </c>
      <c r="G349" s="53" t="str">
        <f t="shared" si="8"/>
        <v>45|0|18</v>
      </c>
      <c r="N349" s="66" t="s">
        <v>344</v>
      </c>
    </row>
    <row r="350" spans="2:14">
      <c r="B350" s="60">
        <v>211</v>
      </c>
      <c r="C350" s="60">
        <v>0</v>
      </c>
      <c r="D350" s="60">
        <v>21</v>
      </c>
      <c r="E350" s="60">
        <v>0</v>
      </c>
      <c r="F350" s="60">
        <v>-37</v>
      </c>
      <c r="G350" s="53" t="str">
        <f t="shared" si="8"/>
        <v>21|0|-37</v>
      </c>
      <c r="N350" s="66" t="s">
        <v>605</v>
      </c>
    </row>
    <row r="351" spans="2:14">
      <c r="B351" s="60">
        <v>212</v>
      </c>
      <c r="C351" s="60">
        <v>0</v>
      </c>
      <c r="D351" s="60">
        <v>100.09</v>
      </c>
      <c r="E351" s="60">
        <v>-9</v>
      </c>
      <c r="F351" s="60">
        <v>69.55</v>
      </c>
      <c r="G351" s="53" t="str">
        <f t="shared" si="8"/>
        <v>100.09|-9|69.55</v>
      </c>
      <c r="N351" s="66" t="s">
        <v>394</v>
      </c>
    </row>
    <row r="352" spans="2:14">
      <c r="B352" s="60">
        <v>213</v>
      </c>
      <c r="C352" s="60">
        <v>0</v>
      </c>
      <c r="D352" s="60">
        <v>16</v>
      </c>
      <c r="E352" s="60">
        <v>-18.5</v>
      </c>
      <c r="F352" s="60">
        <v>130</v>
      </c>
      <c r="G352" s="53" t="str">
        <f t="shared" si="8"/>
        <v>16|-18.5|130</v>
      </c>
      <c r="N352" s="66" t="s">
        <v>599</v>
      </c>
    </row>
    <row r="353" spans="2:14">
      <c r="B353" s="60">
        <v>215</v>
      </c>
      <c r="C353" s="60">
        <v>0</v>
      </c>
      <c r="D353" s="53">
        <v>92</v>
      </c>
      <c r="E353" s="53">
        <v>0</v>
      </c>
      <c r="F353" s="53">
        <v>0.77</v>
      </c>
      <c r="G353" s="53" t="str">
        <f t="shared" si="8"/>
        <v>92|0|0.77</v>
      </c>
      <c r="N353" s="66" t="s">
        <v>418</v>
      </c>
    </row>
    <row r="354" spans="2:14">
      <c r="B354" s="60">
        <v>222</v>
      </c>
      <c r="C354" s="60">
        <v>0</v>
      </c>
      <c r="D354" s="60">
        <v>48</v>
      </c>
      <c r="E354" s="60">
        <v>0</v>
      </c>
      <c r="F354" s="60">
        <v>-16</v>
      </c>
      <c r="G354" s="53" t="str">
        <f t="shared" si="8"/>
        <v>48|0|-16</v>
      </c>
      <c r="N354" s="66" t="s">
        <v>442</v>
      </c>
    </row>
    <row r="355" spans="2:14">
      <c r="B355" s="60">
        <v>224</v>
      </c>
      <c r="C355" s="60">
        <v>0</v>
      </c>
      <c r="D355" s="60">
        <v>72</v>
      </c>
      <c r="E355" s="60">
        <v>0</v>
      </c>
      <c r="F355" s="60">
        <v>18</v>
      </c>
      <c r="G355" s="53" t="str">
        <f t="shared" si="8"/>
        <v>72|0|18</v>
      </c>
      <c r="N355" s="66" t="s">
        <v>369</v>
      </c>
    </row>
    <row r="356" spans="2:14">
      <c r="B356" s="60">
        <v>226</v>
      </c>
      <c r="C356" s="60">
        <v>0</v>
      </c>
      <c r="D356" s="60">
        <v>-19</v>
      </c>
      <c r="E356" s="60">
        <v>4.87</v>
      </c>
      <c r="F356" s="60">
        <v>68</v>
      </c>
      <c r="G356" s="53" t="str">
        <f t="shared" si="8"/>
        <v>-19|4.87|68</v>
      </c>
      <c r="N356" s="66" t="s">
        <v>469</v>
      </c>
    </row>
    <row r="357" spans="2:14">
      <c r="B357" s="60">
        <v>227</v>
      </c>
      <c r="C357" s="60">
        <v>0</v>
      </c>
      <c r="D357" s="60">
        <v>162</v>
      </c>
      <c r="E357" s="60">
        <v>-9</v>
      </c>
      <c r="F357" s="60">
        <v>14</v>
      </c>
      <c r="G357" s="53" t="str">
        <f t="shared" si="8"/>
        <v>162|-9|14</v>
      </c>
      <c r="N357" s="66" t="s">
        <v>940</v>
      </c>
    </row>
    <row r="358" spans="2:14">
      <c r="B358" s="60"/>
      <c r="C358" s="60">
        <v>0</v>
      </c>
      <c r="D358" s="60">
        <v>162</v>
      </c>
      <c r="E358" s="60">
        <v>-9</v>
      </c>
      <c r="F358" s="60">
        <v>-15</v>
      </c>
      <c r="G358" s="53" t="str">
        <f t="shared" si="8"/>
        <v>162|-9|-15</v>
      </c>
      <c r="N358" s="66"/>
    </row>
    <row r="359" spans="2:14">
      <c r="B359" s="60">
        <v>228</v>
      </c>
      <c r="C359" s="60">
        <v>0</v>
      </c>
      <c r="D359" s="60">
        <v>29</v>
      </c>
      <c r="E359" s="60">
        <v>0</v>
      </c>
      <c r="F359" s="60">
        <v>55</v>
      </c>
      <c r="G359" s="53" t="str">
        <f t="shared" si="8"/>
        <v>29|0|55</v>
      </c>
      <c r="N359" s="66" t="s">
        <v>948</v>
      </c>
    </row>
    <row r="360" spans="2:14">
      <c r="B360" s="60">
        <v>229</v>
      </c>
      <c r="C360" s="60">
        <v>0</v>
      </c>
      <c r="D360" s="60">
        <v>27</v>
      </c>
      <c r="E360" s="60">
        <v>0</v>
      </c>
      <c r="F360" s="60">
        <v>36</v>
      </c>
      <c r="G360" s="53" t="str">
        <f t="shared" si="8"/>
        <v>27|0|36</v>
      </c>
      <c r="N360" s="66" t="s">
        <v>515</v>
      </c>
    </row>
    <row r="361" spans="2:14">
      <c r="B361" s="60">
        <v>230</v>
      </c>
      <c r="C361" s="60">
        <v>0</v>
      </c>
      <c r="D361" s="60">
        <v>30</v>
      </c>
      <c r="E361" s="60">
        <v>0</v>
      </c>
      <c r="F361" s="60">
        <v>-15</v>
      </c>
      <c r="G361" s="53" t="str">
        <f t="shared" si="8"/>
        <v>30|0|-15</v>
      </c>
      <c r="N361" s="66" t="s">
        <v>539</v>
      </c>
    </row>
    <row r="362" spans="2:14">
      <c r="B362" s="60">
        <v>231</v>
      </c>
      <c r="C362" s="60">
        <v>0</v>
      </c>
      <c r="D362" s="60">
        <v>-9</v>
      </c>
      <c r="E362" s="60">
        <v>0</v>
      </c>
      <c r="F362" s="60">
        <v>-40</v>
      </c>
      <c r="G362" s="53" t="str">
        <f t="shared" si="8"/>
        <v>-9|0|-40</v>
      </c>
      <c r="N362" s="66" t="s">
        <v>591</v>
      </c>
    </row>
    <row r="363" spans="2:14">
      <c r="B363" s="60">
        <v>232</v>
      </c>
      <c r="C363" s="60">
        <v>0</v>
      </c>
      <c r="D363" s="60">
        <v>72</v>
      </c>
      <c r="E363" s="60">
        <v>0</v>
      </c>
      <c r="F363" s="60">
        <v>48</v>
      </c>
      <c r="G363" s="53" t="str">
        <f t="shared" si="8"/>
        <v>72|0|48</v>
      </c>
      <c r="N363" s="66" t="s">
        <v>319</v>
      </c>
    </row>
    <row r="364" spans="2:14">
      <c r="B364" s="60">
        <v>234</v>
      </c>
      <c r="C364" s="60">
        <v>0</v>
      </c>
      <c r="D364" s="72">
        <v>45</v>
      </c>
      <c r="E364" s="72">
        <v>0</v>
      </c>
      <c r="F364" s="72">
        <v>-40</v>
      </c>
      <c r="G364" s="53" t="str">
        <f t="shared" si="8"/>
        <v>45|0|-40</v>
      </c>
      <c r="N364" s="66" t="s">
        <v>271</v>
      </c>
    </row>
    <row r="365" spans="2:14">
      <c r="B365" s="60"/>
      <c r="C365" s="60">
        <v>0</v>
      </c>
      <c r="D365" s="72">
        <v>-99</v>
      </c>
      <c r="E365" s="72">
        <v>0</v>
      </c>
      <c r="F365" s="72">
        <v>-56</v>
      </c>
      <c r="G365" s="53" t="str">
        <f t="shared" si="8"/>
        <v>-99|0|-56</v>
      </c>
      <c r="N365" s="66"/>
    </row>
    <row r="366" spans="2:14">
      <c r="B366" s="60"/>
      <c r="C366" s="60">
        <v>0</v>
      </c>
      <c r="D366" s="72">
        <v>-111</v>
      </c>
      <c r="E366" s="72">
        <v>0</v>
      </c>
      <c r="F366" s="72">
        <v>-63</v>
      </c>
      <c r="G366" s="53" t="str">
        <f t="shared" si="8"/>
        <v>-111|0|-63</v>
      </c>
      <c r="N366" s="66"/>
    </row>
    <row r="367" spans="2:14">
      <c r="B367" s="60"/>
      <c r="C367" s="60">
        <v>0</v>
      </c>
      <c r="D367" s="72">
        <v>-89</v>
      </c>
      <c r="E367" s="72">
        <v>0</v>
      </c>
      <c r="F367" s="72">
        <v>-64</v>
      </c>
      <c r="G367" s="53" t="str">
        <f t="shared" si="8"/>
        <v>-89|0|-64</v>
      </c>
      <c r="N367" s="66" t="s">
        <v>418</v>
      </c>
    </row>
    <row r="368" spans="2:14">
      <c r="B368" s="60">
        <v>235</v>
      </c>
      <c r="C368" s="60">
        <v>0</v>
      </c>
      <c r="D368" s="82">
        <v>-57</v>
      </c>
      <c r="E368" s="82">
        <v>5</v>
      </c>
      <c r="F368" s="82">
        <v>5.5</v>
      </c>
      <c r="G368" s="53" t="str">
        <f t="shared" si="8"/>
        <v>-57|5|5.5</v>
      </c>
      <c r="N368" s="66" t="s">
        <v>994</v>
      </c>
    </row>
    <row r="369" spans="1:14">
      <c r="B369" s="60">
        <v>236</v>
      </c>
      <c r="C369" s="60">
        <v>0</v>
      </c>
      <c r="D369" s="80">
        <v>-35</v>
      </c>
      <c r="E369" s="80">
        <v>5</v>
      </c>
      <c r="F369" s="80">
        <v>6</v>
      </c>
      <c r="G369" s="53" t="str">
        <f t="shared" si="8"/>
        <v>-35|5|6</v>
      </c>
      <c r="N369" s="66" t="s">
        <v>999</v>
      </c>
    </row>
    <row r="370" spans="1:14">
      <c r="B370" s="60">
        <v>237</v>
      </c>
      <c r="C370" s="60">
        <v>0</v>
      </c>
      <c r="D370" s="60">
        <v>63</v>
      </c>
      <c r="E370" s="60">
        <v>0</v>
      </c>
      <c r="F370" s="60">
        <v>-40</v>
      </c>
      <c r="G370" s="53" t="str">
        <f t="shared" si="8"/>
        <v>63|0|-40</v>
      </c>
      <c r="N370" s="66" t="s">
        <v>565</v>
      </c>
    </row>
    <row r="371" spans="1:14">
      <c r="B371" s="60">
        <v>300</v>
      </c>
      <c r="C371" s="60">
        <v>0</v>
      </c>
      <c r="D371" s="25">
        <v>80</v>
      </c>
      <c r="E371" s="25">
        <v>-9</v>
      </c>
      <c r="F371" s="25">
        <v>106</v>
      </c>
      <c r="G371" s="53" t="str">
        <f t="shared" si="8"/>
        <v>80|-9|106</v>
      </c>
      <c r="N371" s="66" t="s">
        <v>1010</v>
      </c>
    </row>
    <row r="372" spans="1:14">
      <c r="B372" s="60">
        <v>400</v>
      </c>
      <c r="C372" s="60">
        <v>0</v>
      </c>
      <c r="D372" s="60">
        <v>-13</v>
      </c>
      <c r="E372" s="60">
        <v>0</v>
      </c>
      <c r="F372" s="60">
        <v>-63</v>
      </c>
      <c r="G372" s="53" t="str">
        <f t="shared" si="8"/>
        <v>-13|0|-63</v>
      </c>
      <c r="N372" s="66" t="s">
        <v>1014</v>
      </c>
    </row>
    <row r="373" spans="1:14">
      <c r="B373" s="60">
        <v>404</v>
      </c>
      <c r="C373" s="60">
        <v>0</v>
      </c>
      <c r="D373" s="53">
        <v>53</v>
      </c>
      <c r="E373" s="53">
        <v>-12</v>
      </c>
      <c r="F373" s="53">
        <v>-225</v>
      </c>
      <c r="G373" s="53" t="str">
        <f t="shared" si="8"/>
        <v>53|-12|-225</v>
      </c>
      <c r="N373" s="50" t="s">
        <v>1666</v>
      </c>
    </row>
    <row r="374" spans="1:14">
      <c r="B374" s="60">
        <v>409</v>
      </c>
      <c r="C374" s="60">
        <v>0</v>
      </c>
      <c r="D374" s="61">
        <v>16</v>
      </c>
      <c r="E374" s="61">
        <v>-18.5</v>
      </c>
      <c r="F374" s="61">
        <v>130</v>
      </c>
      <c r="G374" s="53" t="str">
        <f t="shared" si="8"/>
        <v>16|-18.5|130</v>
      </c>
      <c r="N374" s="66" t="s">
        <v>1672</v>
      </c>
    </row>
    <row r="375" spans="1:14">
      <c r="B375" s="60">
        <v>410</v>
      </c>
      <c r="C375" s="60">
        <v>0</v>
      </c>
      <c r="D375" s="61">
        <v>26</v>
      </c>
      <c r="E375" s="61">
        <v>0</v>
      </c>
      <c r="F375" s="61">
        <v>-58</v>
      </c>
      <c r="G375" s="59" t="str">
        <f t="shared" si="8"/>
        <v>26|0|-58</v>
      </c>
      <c r="H375" s="60"/>
      <c r="I375" s="67"/>
      <c r="J375" s="60"/>
      <c r="K375" s="60"/>
      <c r="N375" s="66" t="s">
        <v>2308</v>
      </c>
    </row>
    <row r="376" spans="1:14">
      <c r="A376" s="53">
        <v>7</v>
      </c>
      <c r="B376" s="57">
        <v>201</v>
      </c>
      <c r="C376" s="57">
        <v>0</v>
      </c>
      <c r="D376" s="53">
        <v>0</v>
      </c>
      <c r="E376" s="53">
        <v>0</v>
      </c>
      <c r="F376" s="53">
        <v>0</v>
      </c>
      <c r="G376" s="53" t="str">
        <f t="shared" si="8"/>
        <v>0|0|0</v>
      </c>
      <c r="N376" s="66" t="s">
        <v>66</v>
      </c>
    </row>
    <row r="377" spans="1:14">
      <c r="B377" s="60">
        <v>202</v>
      </c>
      <c r="C377" s="60">
        <v>0</v>
      </c>
      <c r="D377" s="60">
        <v>-41</v>
      </c>
      <c r="E377" s="60">
        <v>0</v>
      </c>
      <c r="F377" s="60">
        <v>-51</v>
      </c>
      <c r="G377" s="53" t="str">
        <f t="shared" ref="G377:G402" si="9">D377&amp;"|"&amp;E377&amp;"|"&amp;F377</f>
        <v>-41|0|-51</v>
      </c>
      <c r="N377" s="66" t="s">
        <v>154</v>
      </c>
    </row>
    <row r="378" spans="1:14">
      <c r="B378" s="60"/>
      <c r="C378" s="60">
        <v>0</v>
      </c>
      <c r="D378" s="60">
        <v>-53</v>
      </c>
      <c r="E378" s="60">
        <v>0</v>
      </c>
      <c r="F378" s="60">
        <v>-51</v>
      </c>
      <c r="G378" s="53" t="str">
        <f t="shared" si="9"/>
        <v>-53|0|-51</v>
      </c>
      <c r="N378" s="66"/>
    </row>
    <row r="379" spans="1:14">
      <c r="B379" s="60"/>
      <c r="C379" s="60">
        <v>0</v>
      </c>
      <c r="D379" s="60">
        <v>-40</v>
      </c>
      <c r="E379" s="60">
        <v>0</v>
      </c>
      <c r="F379" s="60">
        <v>-37</v>
      </c>
      <c r="G379" s="53" t="str">
        <f t="shared" si="9"/>
        <v>-40|0|-37</v>
      </c>
      <c r="N379" s="66"/>
    </row>
    <row r="380" spans="1:14">
      <c r="B380" s="60"/>
      <c r="C380" s="60">
        <v>0</v>
      </c>
      <c r="D380" s="60">
        <v>-53</v>
      </c>
      <c r="E380" s="60">
        <v>0</v>
      </c>
      <c r="F380" s="60">
        <v>-36</v>
      </c>
      <c r="G380" s="53" t="str">
        <f t="shared" si="9"/>
        <v>-53|0|-36</v>
      </c>
      <c r="N380" s="66"/>
    </row>
    <row r="381" spans="1:14">
      <c r="B381" s="77">
        <v>203</v>
      </c>
      <c r="C381" s="60">
        <v>0</v>
      </c>
      <c r="D381" s="25">
        <v>131</v>
      </c>
      <c r="E381" s="25">
        <v>-9</v>
      </c>
      <c r="F381" s="25">
        <v>-103</v>
      </c>
      <c r="G381" s="53" t="str">
        <f t="shared" si="9"/>
        <v>131|-9|-103</v>
      </c>
      <c r="N381" s="66" t="s">
        <v>202</v>
      </c>
    </row>
    <row r="382" spans="1:14">
      <c r="B382" s="60"/>
      <c r="C382" s="60">
        <v>0</v>
      </c>
      <c r="D382" s="25">
        <v>143</v>
      </c>
      <c r="E382" s="25">
        <v>-9</v>
      </c>
      <c r="F382" s="25">
        <v>-79</v>
      </c>
      <c r="G382" s="53" t="str">
        <f t="shared" si="9"/>
        <v>143|-9|-79</v>
      </c>
      <c r="N382" s="66"/>
    </row>
    <row r="383" spans="1:14">
      <c r="B383" s="60"/>
      <c r="C383" s="60">
        <v>0</v>
      </c>
      <c r="D383" s="25">
        <v>140</v>
      </c>
      <c r="E383" s="25">
        <v>-9</v>
      </c>
      <c r="F383" s="25">
        <v>-54</v>
      </c>
      <c r="G383" s="53" t="str">
        <f t="shared" si="9"/>
        <v>140|-9|-54</v>
      </c>
      <c r="N383" s="66"/>
    </row>
    <row r="384" spans="1:14">
      <c r="B384" s="60"/>
      <c r="C384" s="60">
        <v>0</v>
      </c>
      <c r="D384" s="25">
        <v>115</v>
      </c>
      <c r="E384" s="25">
        <v>-9</v>
      </c>
      <c r="F384" s="25">
        <v>-112</v>
      </c>
      <c r="G384" s="53" t="str">
        <f t="shared" si="9"/>
        <v>115|-9|-112</v>
      </c>
      <c r="N384" s="66"/>
    </row>
    <row r="385" spans="2:14">
      <c r="B385" s="60">
        <v>204</v>
      </c>
      <c r="C385" s="60">
        <v>0</v>
      </c>
      <c r="D385" s="60">
        <v>52</v>
      </c>
      <c r="E385" s="60">
        <v>-9</v>
      </c>
      <c r="F385" s="60">
        <v>-131</v>
      </c>
      <c r="G385" s="53" t="str">
        <f t="shared" si="9"/>
        <v>52|-9|-131</v>
      </c>
      <c r="N385" s="66" t="s">
        <v>226</v>
      </c>
    </row>
    <row r="386" spans="2:14">
      <c r="B386" s="60"/>
      <c r="C386" s="60">
        <v>0</v>
      </c>
      <c r="D386" s="60">
        <v>79</v>
      </c>
      <c r="E386" s="60">
        <v>-9</v>
      </c>
      <c r="F386" s="60">
        <v>-130</v>
      </c>
      <c r="G386" s="53" t="str">
        <f t="shared" si="9"/>
        <v>79|-9|-130</v>
      </c>
      <c r="N386" s="66"/>
    </row>
    <row r="387" spans="2:14">
      <c r="B387" s="60"/>
      <c r="C387" s="60">
        <v>0</v>
      </c>
      <c r="D387" s="60">
        <v>69</v>
      </c>
      <c r="E387" s="60">
        <v>-9</v>
      </c>
      <c r="F387" s="60">
        <v>-141</v>
      </c>
      <c r="G387" s="53" t="str">
        <f t="shared" si="9"/>
        <v>69|-9|-141</v>
      </c>
      <c r="N387" s="66"/>
    </row>
    <row r="388" spans="2:14">
      <c r="B388" s="60"/>
      <c r="C388" s="60">
        <v>0</v>
      </c>
      <c r="D388" s="60">
        <v>38</v>
      </c>
      <c r="E388" s="60">
        <v>-9</v>
      </c>
      <c r="F388" s="60">
        <v>-127</v>
      </c>
      <c r="G388" s="53" t="str">
        <f t="shared" si="9"/>
        <v>38|-9|-127</v>
      </c>
      <c r="N388" s="66"/>
    </row>
    <row r="389" spans="2:14">
      <c r="B389" s="60">
        <v>205</v>
      </c>
      <c r="C389" s="60">
        <v>0</v>
      </c>
      <c r="D389" s="60">
        <v>-102</v>
      </c>
      <c r="E389" s="60">
        <v>0</v>
      </c>
      <c r="F389" s="60">
        <v>-49</v>
      </c>
      <c r="G389" s="53" t="str">
        <f t="shared" si="9"/>
        <v>-102|0|-49</v>
      </c>
      <c r="N389" s="66" t="s">
        <v>249</v>
      </c>
    </row>
    <row r="390" spans="2:14">
      <c r="B390" s="60"/>
      <c r="C390" s="60">
        <v>0</v>
      </c>
      <c r="D390" s="60">
        <v>-105</v>
      </c>
      <c r="E390" s="60">
        <v>0</v>
      </c>
      <c r="F390" s="60">
        <v>-36</v>
      </c>
      <c r="G390" s="53" t="str">
        <f t="shared" si="9"/>
        <v>-105|0|-36</v>
      </c>
      <c r="N390" s="66"/>
    </row>
    <row r="391" spans="2:14">
      <c r="C391" s="60">
        <v>0</v>
      </c>
      <c r="D391" s="60">
        <v>-98</v>
      </c>
      <c r="E391" s="60">
        <v>0</v>
      </c>
      <c r="F391" s="60">
        <v>-20</v>
      </c>
      <c r="G391" s="53" t="str">
        <f t="shared" si="9"/>
        <v>-98|0|-20</v>
      </c>
      <c r="N391" s="66"/>
    </row>
    <row r="392" spans="2:14">
      <c r="C392" s="60">
        <v>0</v>
      </c>
      <c r="D392" s="60">
        <v>-92</v>
      </c>
      <c r="E392" s="60">
        <v>0</v>
      </c>
      <c r="F392" s="60">
        <v>-37</v>
      </c>
      <c r="G392" s="53" t="str">
        <f t="shared" si="9"/>
        <v>-92|0|-37</v>
      </c>
      <c r="N392" s="66"/>
    </row>
    <row r="393" spans="2:14">
      <c r="B393" s="60">
        <v>206</v>
      </c>
      <c r="C393" s="60">
        <v>0</v>
      </c>
      <c r="D393" s="60">
        <v>47</v>
      </c>
      <c r="E393" s="60">
        <v>0</v>
      </c>
      <c r="F393" s="60">
        <v>49</v>
      </c>
      <c r="G393" s="53" t="str">
        <f t="shared" si="9"/>
        <v>47|0|49</v>
      </c>
      <c r="N393" s="66" t="s">
        <v>293</v>
      </c>
    </row>
    <row r="394" spans="2:14">
      <c r="B394" s="60">
        <v>207</v>
      </c>
      <c r="C394" s="60">
        <v>0</v>
      </c>
      <c r="D394" s="60">
        <v>151</v>
      </c>
      <c r="E394" s="60">
        <v>-9</v>
      </c>
      <c r="F394" s="60">
        <v>-66</v>
      </c>
      <c r="G394" s="53" t="str">
        <f t="shared" si="9"/>
        <v>151|-9|-66</v>
      </c>
      <c r="N394" s="66" t="s">
        <v>595</v>
      </c>
    </row>
    <row r="395" spans="2:14">
      <c r="B395" s="60"/>
      <c r="C395" s="60">
        <v>0</v>
      </c>
      <c r="D395" s="60">
        <v>152</v>
      </c>
      <c r="E395" s="60">
        <v>-9</v>
      </c>
      <c r="F395" s="60">
        <v>-91</v>
      </c>
      <c r="G395" s="53" t="str">
        <f t="shared" si="9"/>
        <v>152|-9|-91</v>
      </c>
      <c r="N395" s="66"/>
    </row>
    <row r="396" spans="2:14">
      <c r="B396" s="60"/>
      <c r="C396" s="60">
        <v>0</v>
      </c>
      <c r="D396" s="60">
        <v>127</v>
      </c>
      <c r="E396" s="60">
        <v>-9</v>
      </c>
      <c r="F396" s="60">
        <v>-90</v>
      </c>
      <c r="G396" s="53" t="str">
        <f t="shared" si="9"/>
        <v>127|-9|-90</v>
      </c>
      <c r="N396" s="66"/>
    </row>
    <row r="397" spans="2:14">
      <c r="B397" s="60"/>
      <c r="C397" s="60">
        <v>0</v>
      </c>
      <c r="D397" s="60">
        <v>153</v>
      </c>
      <c r="E397" s="60">
        <v>-9</v>
      </c>
      <c r="F397" s="60">
        <v>-78</v>
      </c>
      <c r="G397" s="53" t="str">
        <f t="shared" si="9"/>
        <v>153|-9|-78</v>
      </c>
      <c r="N397" s="66"/>
    </row>
    <row r="398" spans="2:14">
      <c r="B398" s="60"/>
      <c r="C398" s="60">
        <v>0</v>
      </c>
      <c r="D398" s="60">
        <v>151</v>
      </c>
      <c r="E398" s="60">
        <v>-9</v>
      </c>
      <c r="F398" s="60">
        <v>-54</v>
      </c>
      <c r="G398" s="53" t="str">
        <f t="shared" si="9"/>
        <v>151|-9|-54</v>
      </c>
      <c r="N398" s="66"/>
    </row>
    <row r="399" spans="2:14">
      <c r="B399" s="60"/>
      <c r="C399" s="60">
        <v>0</v>
      </c>
      <c r="D399" s="60">
        <v>139</v>
      </c>
      <c r="E399" s="60">
        <v>-9</v>
      </c>
      <c r="F399" s="60">
        <v>-66</v>
      </c>
      <c r="G399" s="53" t="str">
        <f t="shared" si="9"/>
        <v>139|-9|-66</v>
      </c>
      <c r="N399" s="66"/>
    </row>
    <row r="400" spans="2:14">
      <c r="B400" s="60"/>
      <c r="C400" s="60">
        <v>0</v>
      </c>
      <c r="D400" s="60">
        <v>140</v>
      </c>
      <c r="E400" s="60">
        <v>-9</v>
      </c>
      <c r="F400" s="60">
        <v>-91</v>
      </c>
      <c r="G400" s="53" t="str">
        <f t="shared" si="9"/>
        <v>140|-9|-91</v>
      </c>
      <c r="N400" s="66"/>
    </row>
    <row r="401" spans="2:14">
      <c r="B401" s="60"/>
      <c r="C401" s="60">
        <v>0</v>
      </c>
      <c r="D401" s="60">
        <v>130</v>
      </c>
      <c r="E401" s="60">
        <v>-9</v>
      </c>
      <c r="F401" s="60">
        <v>-78</v>
      </c>
      <c r="G401" s="53" t="str">
        <f t="shared" si="9"/>
        <v>130|-9|-78</v>
      </c>
      <c r="N401" s="66"/>
    </row>
    <row r="402" spans="2:14">
      <c r="B402" s="60"/>
      <c r="C402" s="60">
        <v>0</v>
      </c>
      <c r="D402" s="60">
        <v>130</v>
      </c>
      <c r="E402" s="60">
        <v>-9</v>
      </c>
      <c r="F402" s="60">
        <v>-103</v>
      </c>
      <c r="G402" s="53" t="str">
        <f t="shared" si="9"/>
        <v>130|-9|-103</v>
      </c>
      <c r="N402" s="66"/>
    </row>
    <row r="403" spans="2:14">
      <c r="B403" s="60"/>
      <c r="C403" s="60">
        <v>0</v>
      </c>
      <c r="D403" s="60">
        <v>140</v>
      </c>
      <c r="E403" s="60">
        <v>-9</v>
      </c>
      <c r="F403" s="60">
        <v>-115</v>
      </c>
      <c r="G403" s="53" t="str">
        <f t="shared" ref="G403:G467" si="10">D403&amp;"|"&amp;E403&amp;"|"&amp;F403</f>
        <v>140|-9|-115</v>
      </c>
      <c r="N403" s="66"/>
    </row>
    <row r="404" spans="2:14">
      <c r="B404" s="60"/>
      <c r="C404" s="60">
        <v>0</v>
      </c>
      <c r="D404" s="60">
        <v>146</v>
      </c>
      <c r="E404" s="60">
        <v>-9</v>
      </c>
      <c r="F404" s="60">
        <v>-41</v>
      </c>
      <c r="G404" s="53" t="str">
        <f t="shared" si="10"/>
        <v>146|-9|-41</v>
      </c>
      <c r="N404" s="66"/>
    </row>
    <row r="405" spans="2:14">
      <c r="B405" s="60"/>
      <c r="C405" s="60">
        <v>0</v>
      </c>
      <c r="D405" s="60">
        <v>128</v>
      </c>
      <c r="E405" s="60">
        <v>-9</v>
      </c>
      <c r="F405" s="60">
        <v>-115</v>
      </c>
      <c r="G405" s="53" t="str">
        <f t="shared" si="10"/>
        <v>128|-9|-115</v>
      </c>
      <c r="N405" s="66"/>
    </row>
    <row r="406" spans="2:14">
      <c r="B406" s="60"/>
      <c r="C406" s="60">
        <v>0</v>
      </c>
      <c r="D406" s="60">
        <v>91</v>
      </c>
      <c r="E406" s="60">
        <v>-9</v>
      </c>
      <c r="F406" s="60">
        <v>-125</v>
      </c>
      <c r="G406" s="53" t="str">
        <f t="shared" si="10"/>
        <v>91|-9|-125</v>
      </c>
      <c r="N406" s="66"/>
    </row>
    <row r="407" spans="2:14">
      <c r="B407" s="60"/>
      <c r="C407" s="60">
        <v>0</v>
      </c>
      <c r="D407" s="60">
        <v>115</v>
      </c>
      <c r="E407" s="60">
        <v>-9</v>
      </c>
      <c r="F407" s="60">
        <v>-124</v>
      </c>
      <c r="G407" s="53" t="str">
        <f t="shared" si="10"/>
        <v>115|-9|-124</v>
      </c>
      <c r="N407" s="66"/>
    </row>
    <row r="408" spans="2:14">
      <c r="B408" s="60"/>
      <c r="C408" s="60">
        <v>0</v>
      </c>
      <c r="D408" s="60">
        <v>103</v>
      </c>
      <c r="E408" s="60">
        <v>-9</v>
      </c>
      <c r="F408" s="60">
        <v>-128</v>
      </c>
      <c r="G408" s="53" t="str">
        <f t="shared" si="10"/>
        <v>103|-9|-128</v>
      </c>
      <c r="N408" s="66"/>
    </row>
    <row r="409" spans="2:14">
      <c r="B409" s="60"/>
      <c r="C409" s="60">
        <v>0</v>
      </c>
      <c r="D409" s="60">
        <v>103</v>
      </c>
      <c r="E409" s="60">
        <v>-9</v>
      </c>
      <c r="F409" s="60">
        <v>-115</v>
      </c>
      <c r="G409" s="53" t="str">
        <f t="shared" si="10"/>
        <v>103|-9|-115</v>
      </c>
      <c r="N409" s="66"/>
    </row>
    <row r="410" spans="2:14">
      <c r="B410" s="60">
        <v>208</v>
      </c>
      <c r="C410" s="60">
        <v>0</v>
      </c>
      <c r="D410" s="73">
        <v>-62.7</v>
      </c>
      <c r="E410" s="73">
        <v>12.75</v>
      </c>
      <c r="F410" s="73">
        <v>76.33</v>
      </c>
      <c r="G410" s="53" t="str">
        <f t="shared" si="10"/>
        <v>-62.7|12.75|76.33</v>
      </c>
      <c r="N410" s="66" t="s">
        <v>589</v>
      </c>
    </row>
    <row r="411" spans="2:14">
      <c r="B411" s="60">
        <v>209</v>
      </c>
      <c r="C411" s="60">
        <v>0</v>
      </c>
      <c r="D411" s="60">
        <v>46</v>
      </c>
      <c r="E411" s="60">
        <v>0</v>
      </c>
      <c r="F411" s="60">
        <v>20</v>
      </c>
      <c r="G411" s="53" t="str">
        <f t="shared" si="10"/>
        <v>46|0|20</v>
      </c>
      <c r="N411" s="66" t="s">
        <v>344</v>
      </c>
    </row>
    <row r="412" spans="2:14">
      <c r="B412" s="60">
        <v>211</v>
      </c>
      <c r="C412" s="60">
        <v>0</v>
      </c>
      <c r="D412" s="60">
        <v>46</v>
      </c>
      <c r="E412" s="60">
        <v>0</v>
      </c>
      <c r="F412" s="60">
        <v>-40</v>
      </c>
      <c r="G412" s="53" t="str">
        <f t="shared" si="10"/>
        <v>46|0|-40</v>
      </c>
      <c r="N412" s="66" t="s">
        <v>605</v>
      </c>
    </row>
    <row r="413" spans="2:14">
      <c r="B413" s="60">
        <v>212</v>
      </c>
      <c r="C413" s="60">
        <v>0</v>
      </c>
      <c r="D413" s="60">
        <v>85.62</v>
      </c>
      <c r="E413" s="60">
        <v>-9</v>
      </c>
      <c r="F413" s="60">
        <v>143.66999999999999</v>
      </c>
      <c r="G413" s="53" t="str">
        <f t="shared" si="10"/>
        <v>85.62|-9|143.67</v>
      </c>
      <c r="N413" s="66" t="s">
        <v>394</v>
      </c>
    </row>
    <row r="414" spans="2:14">
      <c r="B414" s="60">
        <v>213</v>
      </c>
      <c r="C414" s="60">
        <v>0</v>
      </c>
      <c r="D414" s="60">
        <v>16</v>
      </c>
      <c r="E414" s="60">
        <v>-18.5</v>
      </c>
      <c r="F414" s="60">
        <v>130</v>
      </c>
      <c r="G414" s="53" t="str">
        <f t="shared" si="10"/>
        <v>16|-18.5|130</v>
      </c>
      <c r="N414" s="66" t="s">
        <v>599</v>
      </c>
    </row>
    <row r="415" spans="2:14">
      <c r="B415" s="60">
        <v>215</v>
      </c>
      <c r="C415" s="60">
        <v>0</v>
      </c>
      <c r="D415" s="53">
        <v>90.18</v>
      </c>
      <c r="E415" s="53">
        <v>0</v>
      </c>
      <c r="F415" s="53">
        <v>0</v>
      </c>
      <c r="G415" s="53" t="str">
        <f t="shared" si="10"/>
        <v>90.18|0|0</v>
      </c>
      <c r="N415" s="66" t="s">
        <v>418</v>
      </c>
    </row>
    <row r="416" spans="2:14">
      <c r="B416" s="60">
        <v>222</v>
      </c>
      <c r="C416" s="60">
        <v>0</v>
      </c>
      <c r="D416" s="60">
        <v>53</v>
      </c>
      <c r="E416" s="60">
        <v>0</v>
      </c>
      <c r="F416" s="60">
        <v>-19</v>
      </c>
      <c r="G416" s="53" t="str">
        <f t="shared" si="10"/>
        <v>53|0|-19</v>
      </c>
      <c r="N416" s="66" t="s">
        <v>442</v>
      </c>
    </row>
    <row r="417" spans="2:14">
      <c r="B417" s="60">
        <v>224</v>
      </c>
      <c r="C417" s="60">
        <v>0</v>
      </c>
      <c r="D417" s="60">
        <v>67</v>
      </c>
      <c r="E417" s="60">
        <v>0</v>
      </c>
      <c r="F417" s="60">
        <v>18</v>
      </c>
      <c r="G417" s="53" t="str">
        <f t="shared" si="10"/>
        <v>67|0|18</v>
      </c>
      <c r="N417" s="66" t="s">
        <v>369</v>
      </c>
    </row>
    <row r="418" spans="2:14">
      <c r="B418" s="60">
        <v>226</v>
      </c>
      <c r="C418" s="60">
        <v>0</v>
      </c>
      <c r="D418" s="60">
        <v>-10</v>
      </c>
      <c r="E418" s="60">
        <v>5</v>
      </c>
      <c r="F418" s="60">
        <v>66</v>
      </c>
      <c r="G418" s="53" t="str">
        <f t="shared" si="10"/>
        <v>-10|5|66</v>
      </c>
      <c r="N418" s="66" t="s">
        <v>469</v>
      </c>
    </row>
    <row r="419" spans="2:14">
      <c r="B419" s="60">
        <v>227</v>
      </c>
      <c r="C419" s="60">
        <v>0</v>
      </c>
      <c r="D419" s="60">
        <v>140</v>
      </c>
      <c r="E419" s="60">
        <v>-9</v>
      </c>
      <c r="F419" s="60">
        <v>-20</v>
      </c>
      <c r="G419" s="53" t="str">
        <f t="shared" si="10"/>
        <v>140|-9|-20</v>
      </c>
      <c r="N419" s="66" t="s">
        <v>940</v>
      </c>
    </row>
    <row r="420" spans="2:14">
      <c r="B420" s="60"/>
      <c r="C420" s="60">
        <v>0</v>
      </c>
      <c r="D420" s="60">
        <v>140</v>
      </c>
      <c r="E420" s="60">
        <v>-9</v>
      </c>
      <c r="F420" s="60">
        <v>20</v>
      </c>
      <c r="G420" s="53" t="str">
        <f t="shared" si="10"/>
        <v>140|-9|20</v>
      </c>
      <c r="N420" s="66"/>
    </row>
    <row r="421" spans="2:14">
      <c r="B421" s="60">
        <v>228</v>
      </c>
      <c r="C421" s="60">
        <v>0</v>
      </c>
      <c r="D421" s="60">
        <v>27</v>
      </c>
      <c r="E421" s="60">
        <v>0</v>
      </c>
      <c r="F421" s="60">
        <v>55</v>
      </c>
      <c r="G421" s="53" t="str">
        <f t="shared" si="10"/>
        <v>27|0|55</v>
      </c>
      <c r="N421" s="66" t="s">
        <v>948</v>
      </c>
    </row>
    <row r="422" spans="2:14">
      <c r="B422" s="60">
        <v>229</v>
      </c>
      <c r="C422" s="60">
        <v>0</v>
      </c>
      <c r="D422" s="60">
        <v>27</v>
      </c>
      <c r="E422" s="60">
        <v>0</v>
      </c>
      <c r="F422" s="60">
        <v>36</v>
      </c>
      <c r="G422" s="53" t="str">
        <f t="shared" si="10"/>
        <v>27|0|36</v>
      </c>
      <c r="N422" s="66" t="s">
        <v>515</v>
      </c>
    </row>
    <row r="423" spans="2:14">
      <c r="B423" s="60">
        <v>230</v>
      </c>
      <c r="C423" s="60">
        <v>0</v>
      </c>
      <c r="D423" s="60">
        <v>35</v>
      </c>
      <c r="E423" s="60">
        <v>0</v>
      </c>
      <c r="F423" s="60">
        <v>-19</v>
      </c>
      <c r="G423" s="53" t="str">
        <f t="shared" si="10"/>
        <v>35|0|-19</v>
      </c>
      <c r="N423" s="66" t="s">
        <v>539</v>
      </c>
    </row>
    <row r="424" spans="2:14">
      <c r="B424" s="60">
        <v>231</v>
      </c>
      <c r="C424" s="60">
        <v>0</v>
      </c>
      <c r="D424" s="60">
        <v>-13</v>
      </c>
      <c r="E424" s="60">
        <v>0</v>
      </c>
      <c r="F424" s="60">
        <v>-40</v>
      </c>
      <c r="G424" s="53" t="str">
        <f t="shared" si="10"/>
        <v>-13|0|-40</v>
      </c>
      <c r="N424" s="66" t="s">
        <v>591</v>
      </c>
    </row>
    <row r="425" spans="2:14">
      <c r="B425" s="60">
        <v>232</v>
      </c>
      <c r="C425" s="60">
        <v>0</v>
      </c>
      <c r="D425" s="60">
        <v>67</v>
      </c>
      <c r="E425" s="60">
        <v>0</v>
      </c>
      <c r="F425" s="60">
        <v>48</v>
      </c>
      <c r="G425" s="53" t="str">
        <f t="shared" si="10"/>
        <v>67|0|48</v>
      </c>
      <c r="N425" s="66" t="s">
        <v>319</v>
      </c>
    </row>
    <row r="426" spans="2:14">
      <c r="B426" s="60">
        <v>234</v>
      </c>
      <c r="C426" s="60">
        <v>0</v>
      </c>
      <c r="D426" s="60">
        <v>-103</v>
      </c>
      <c r="E426" s="60">
        <v>0</v>
      </c>
      <c r="F426" s="60">
        <v>17</v>
      </c>
      <c r="G426" s="53" t="str">
        <f t="shared" si="10"/>
        <v>-103|0|17</v>
      </c>
      <c r="N426" s="66" t="s">
        <v>271</v>
      </c>
    </row>
    <row r="427" spans="2:14">
      <c r="B427" s="60"/>
      <c r="C427" s="60">
        <v>0</v>
      </c>
      <c r="D427" s="60">
        <v>-106</v>
      </c>
      <c r="E427" s="60">
        <v>0</v>
      </c>
      <c r="F427" s="60">
        <v>-6</v>
      </c>
      <c r="G427" s="53" t="str">
        <f t="shared" si="10"/>
        <v>-106|0|-6</v>
      </c>
      <c r="N427" s="66"/>
    </row>
    <row r="428" spans="2:14">
      <c r="B428" s="60"/>
      <c r="C428" s="60">
        <v>0</v>
      </c>
      <c r="D428" s="60">
        <v>-98</v>
      </c>
      <c r="E428" s="60">
        <v>0</v>
      </c>
      <c r="F428" s="60">
        <v>5</v>
      </c>
      <c r="G428" s="53" t="str">
        <f t="shared" si="10"/>
        <v>-98|0|5</v>
      </c>
      <c r="N428" s="66"/>
    </row>
    <row r="429" spans="2:14">
      <c r="B429" s="60"/>
      <c r="C429" s="60">
        <v>0</v>
      </c>
      <c r="D429" s="60">
        <v>-94</v>
      </c>
      <c r="E429" s="60">
        <v>0</v>
      </c>
      <c r="F429" s="60">
        <v>-8</v>
      </c>
      <c r="G429" s="53" t="str">
        <f t="shared" si="10"/>
        <v>-94|0|-8</v>
      </c>
      <c r="N429" s="66" t="s">
        <v>418</v>
      </c>
    </row>
    <row r="430" spans="2:14">
      <c r="B430" s="60">
        <v>235</v>
      </c>
      <c r="C430" s="60">
        <v>0</v>
      </c>
      <c r="D430" s="80">
        <v>-57</v>
      </c>
      <c r="E430" s="80">
        <v>5</v>
      </c>
      <c r="F430" s="80">
        <v>6</v>
      </c>
      <c r="G430" s="53" t="str">
        <f t="shared" si="10"/>
        <v>-57|5|6</v>
      </c>
      <c r="N430" s="66" t="s">
        <v>994</v>
      </c>
    </row>
    <row r="431" spans="2:14">
      <c r="B431" s="60">
        <v>236</v>
      </c>
      <c r="C431" s="60">
        <v>0</v>
      </c>
      <c r="D431" s="80">
        <v>-35</v>
      </c>
      <c r="E431" s="80">
        <v>5</v>
      </c>
      <c r="F431" s="80">
        <v>6</v>
      </c>
      <c r="G431" s="53" t="str">
        <f t="shared" si="10"/>
        <v>-35|5|6</v>
      </c>
      <c r="N431" s="66" t="s">
        <v>999</v>
      </c>
    </row>
    <row r="432" spans="2:14">
      <c r="B432" s="60">
        <v>237</v>
      </c>
      <c r="C432" s="60">
        <v>0</v>
      </c>
      <c r="D432" s="60">
        <v>66</v>
      </c>
      <c r="E432" s="60">
        <v>0</v>
      </c>
      <c r="F432" s="60">
        <v>-41</v>
      </c>
      <c r="G432" s="53" t="str">
        <f t="shared" si="10"/>
        <v>66|0|-41</v>
      </c>
      <c r="N432" s="66" t="s">
        <v>565</v>
      </c>
    </row>
    <row r="433" spans="1:14">
      <c r="B433" s="60">
        <v>300</v>
      </c>
      <c r="C433" s="60">
        <v>0</v>
      </c>
      <c r="D433" s="60">
        <v>127</v>
      </c>
      <c r="E433" s="60">
        <v>-9</v>
      </c>
      <c r="F433" s="60">
        <v>45</v>
      </c>
      <c r="G433" s="53" t="str">
        <f t="shared" si="10"/>
        <v>127|-9|45</v>
      </c>
      <c r="N433" s="66" t="s">
        <v>1010</v>
      </c>
    </row>
    <row r="434" spans="1:14">
      <c r="B434" s="60">
        <v>400</v>
      </c>
      <c r="C434" s="60">
        <v>0</v>
      </c>
      <c r="D434" s="60">
        <v>-14</v>
      </c>
      <c r="E434" s="60">
        <v>0</v>
      </c>
      <c r="F434" s="60">
        <v>-62</v>
      </c>
      <c r="G434" s="53" t="str">
        <f t="shared" si="10"/>
        <v>-14|0|-62</v>
      </c>
      <c r="N434" s="66" t="s">
        <v>1014</v>
      </c>
    </row>
    <row r="435" spans="1:14">
      <c r="B435" s="60">
        <v>404</v>
      </c>
      <c r="C435" s="60">
        <v>0</v>
      </c>
      <c r="D435" s="53">
        <v>53</v>
      </c>
      <c r="E435" s="53">
        <v>-12</v>
      </c>
      <c r="F435" s="53">
        <v>-225</v>
      </c>
      <c r="G435" s="53" t="str">
        <f t="shared" si="10"/>
        <v>53|-12|-225</v>
      </c>
      <c r="N435" s="50" t="s">
        <v>1666</v>
      </c>
    </row>
    <row r="436" spans="1:14">
      <c r="B436" s="60">
        <v>409</v>
      </c>
      <c r="C436" s="60">
        <v>0</v>
      </c>
      <c r="D436" s="61">
        <v>16</v>
      </c>
      <c r="E436" s="61">
        <v>-18.5</v>
      </c>
      <c r="F436" s="61">
        <v>130</v>
      </c>
      <c r="G436" s="53" t="str">
        <f t="shared" si="10"/>
        <v>16|-18.5|130</v>
      </c>
      <c r="N436" s="66" t="s">
        <v>1672</v>
      </c>
    </row>
    <row r="437" spans="1:14">
      <c r="B437" s="60">
        <v>410</v>
      </c>
      <c r="C437" s="60">
        <v>0</v>
      </c>
      <c r="D437" s="61">
        <v>22</v>
      </c>
      <c r="E437" s="61">
        <v>0</v>
      </c>
      <c r="F437" s="61">
        <v>-60</v>
      </c>
      <c r="G437" s="59" t="str">
        <f t="shared" si="10"/>
        <v>22|0|-60</v>
      </c>
      <c r="H437" s="60"/>
      <c r="I437" s="67"/>
      <c r="J437" s="60"/>
      <c r="K437" s="60"/>
      <c r="N437" s="66" t="s">
        <v>2308</v>
      </c>
    </row>
    <row r="438" spans="1:14">
      <c r="A438" s="53">
        <v>8</v>
      </c>
      <c r="B438" s="57">
        <v>201</v>
      </c>
      <c r="C438" s="57">
        <v>0</v>
      </c>
      <c r="D438" s="53">
        <v>0</v>
      </c>
      <c r="E438" s="53">
        <v>0</v>
      </c>
      <c r="F438" s="53">
        <v>0</v>
      </c>
      <c r="G438" s="53" t="str">
        <f t="shared" si="10"/>
        <v>0|0|0</v>
      </c>
      <c r="N438" s="66" t="s">
        <v>66</v>
      </c>
    </row>
    <row r="439" spans="1:14">
      <c r="B439" s="60">
        <v>202</v>
      </c>
      <c r="C439" s="60">
        <v>0</v>
      </c>
      <c r="D439" s="25">
        <v>-30</v>
      </c>
      <c r="E439" s="25">
        <v>0</v>
      </c>
      <c r="F439" s="25">
        <v>-38</v>
      </c>
      <c r="G439" s="53" t="str">
        <f t="shared" si="10"/>
        <v>-30|0|-38</v>
      </c>
      <c r="N439" s="66" t="s">
        <v>154</v>
      </c>
    </row>
    <row r="440" spans="1:14">
      <c r="B440" s="60"/>
      <c r="C440" s="60">
        <v>0</v>
      </c>
      <c r="D440" s="25">
        <v>-46</v>
      </c>
      <c r="E440" s="25">
        <v>0</v>
      </c>
      <c r="F440" s="25">
        <v>-49</v>
      </c>
      <c r="G440" s="53" t="str">
        <f t="shared" si="10"/>
        <v>-46|0|-49</v>
      </c>
      <c r="N440" s="66"/>
    </row>
    <row r="441" spans="1:14">
      <c r="B441" s="60"/>
      <c r="C441" s="60">
        <v>0</v>
      </c>
      <c r="D441" s="25">
        <v>-45</v>
      </c>
      <c r="E441" s="25">
        <v>0</v>
      </c>
      <c r="F441" s="25">
        <v>-35</v>
      </c>
      <c r="G441" s="53" t="str">
        <f t="shared" si="10"/>
        <v>-45|0|-35</v>
      </c>
      <c r="N441" s="66"/>
    </row>
    <row r="442" spans="1:14">
      <c r="B442" s="60"/>
      <c r="C442" s="60">
        <v>0</v>
      </c>
      <c r="D442" s="25">
        <v>-45</v>
      </c>
      <c r="E442" s="25">
        <v>0</v>
      </c>
      <c r="F442" s="25">
        <v>-61</v>
      </c>
      <c r="G442" s="53" t="str">
        <f t="shared" si="10"/>
        <v>-45|0|-61</v>
      </c>
      <c r="N442" s="66"/>
    </row>
    <row r="443" spans="1:14">
      <c r="B443" s="77">
        <v>203</v>
      </c>
      <c r="C443" s="60">
        <v>0</v>
      </c>
      <c r="D443" s="25">
        <v>130</v>
      </c>
      <c r="E443" s="25">
        <v>-9</v>
      </c>
      <c r="F443" s="25">
        <v>-42</v>
      </c>
      <c r="G443" s="53" t="str">
        <f t="shared" si="10"/>
        <v>130|-9|-42</v>
      </c>
      <c r="N443" s="66" t="s">
        <v>202</v>
      </c>
    </row>
    <row r="444" spans="1:14">
      <c r="B444" s="60"/>
      <c r="C444" s="60">
        <v>0</v>
      </c>
      <c r="D444" s="25">
        <v>149</v>
      </c>
      <c r="E444" s="25">
        <v>-9</v>
      </c>
      <c r="F444" s="25">
        <v>-41</v>
      </c>
      <c r="G444" s="53" t="str">
        <f t="shared" si="10"/>
        <v>149|-9|-41</v>
      </c>
      <c r="N444" s="66"/>
    </row>
    <row r="445" spans="1:14">
      <c r="B445" s="60"/>
      <c r="C445" s="60">
        <v>0</v>
      </c>
      <c r="D445" s="25">
        <v>105</v>
      </c>
      <c r="E445" s="25">
        <v>-9</v>
      </c>
      <c r="F445" s="25">
        <v>-105</v>
      </c>
      <c r="G445" s="53" t="str">
        <f t="shared" si="10"/>
        <v>105|-9|-105</v>
      </c>
      <c r="N445" s="66"/>
    </row>
    <row r="446" spans="1:14">
      <c r="B446" s="60"/>
      <c r="C446" s="60">
        <v>0</v>
      </c>
      <c r="D446" s="25">
        <v>129</v>
      </c>
      <c r="E446" s="25">
        <v>-9</v>
      </c>
      <c r="F446" s="25">
        <v>-67</v>
      </c>
      <c r="G446" s="53" t="str">
        <f t="shared" si="10"/>
        <v>129|-9|-67</v>
      </c>
      <c r="N446" s="66"/>
    </row>
    <row r="447" spans="1:14">
      <c r="B447" s="60">
        <v>204</v>
      </c>
      <c r="C447" s="60">
        <v>0</v>
      </c>
      <c r="D447" s="25">
        <v>41</v>
      </c>
      <c r="E447" s="25">
        <v>-9</v>
      </c>
      <c r="F447" s="25">
        <v>-118</v>
      </c>
      <c r="G447" s="53" t="str">
        <f t="shared" si="10"/>
        <v>41|-9|-118</v>
      </c>
      <c r="N447" s="66" t="s">
        <v>226</v>
      </c>
    </row>
    <row r="448" spans="1:14">
      <c r="B448" s="60"/>
      <c r="C448" s="60">
        <v>0</v>
      </c>
      <c r="D448" s="25">
        <v>77</v>
      </c>
      <c r="E448" s="25">
        <v>-9</v>
      </c>
      <c r="F448" s="25">
        <v>-108</v>
      </c>
      <c r="G448" s="53" t="str">
        <f t="shared" si="10"/>
        <v>77|-9|-108</v>
      </c>
      <c r="N448" s="66"/>
    </row>
    <row r="449" spans="2:14">
      <c r="B449" s="60"/>
      <c r="C449" s="60">
        <v>0</v>
      </c>
      <c r="D449" s="25">
        <v>71</v>
      </c>
      <c r="E449" s="25">
        <v>-9</v>
      </c>
      <c r="F449" s="25">
        <v>-123</v>
      </c>
      <c r="G449" s="53" t="str">
        <f t="shared" si="10"/>
        <v>71|-9|-123</v>
      </c>
      <c r="N449" s="66"/>
    </row>
    <row r="450" spans="2:14">
      <c r="B450" s="60"/>
      <c r="C450" s="60">
        <v>0</v>
      </c>
      <c r="D450" s="25">
        <v>54</v>
      </c>
      <c r="E450" s="25">
        <v>-9</v>
      </c>
      <c r="F450" s="25">
        <v>-127</v>
      </c>
      <c r="G450" s="53" t="str">
        <f t="shared" si="10"/>
        <v>54|-9|-127</v>
      </c>
      <c r="N450" s="66"/>
    </row>
    <row r="451" spans="2:14">
      <c r="B451" s="60">
        <v>205</v>
      </c>
      <c r="C451" s="60">
        <v>0</v>
      </c>
      <c r="D451" s="25">
        <v>-89</v>
      </c>
      <c r="E451" s="25">
        <v>0</v>
      </c>
      <c r="F451" s="25">
        <v>-28.78</v>
      </c>
      <c r="G451" s="53" t="str">
        <f t="shared" si="10"/>
        <v>-89|0|-28.78</v>
      </c>
      <c r="N451" s="66" t="s">
        <v>249</v>
      </c>
    </row>
    <row r="452" spans="2:14">
      <c r="B452" s="60"/>
      <c r="C452" s="60">
        <v>0</v>
      </c>
      <c r="D452" s="25">
        <v>-88</v>
      </c>
      <c r="E452" s="25">
        <v>0</v>
      </c>
      <c r="F452" s="25">
        <v>-23</v>
      </c>
      <c r="G452" s="53" t="str">
        <f t="shared" si="10"/>
        <v>-88|0|-23</v>
      </c>
      <c r="N452" s="66"/>
    </row>
    <row r="453" spans="2:14">
      <c r="C453" s="60">
        <v>0</v>
      </c>
      <c r="D453" s="25">
        <v>-93</v>
      </c>
      <c r="E453" s="25">
        <v>0</v>
      </c>
      <c r="F453" s="25">
        <v>-43.3</v>
      </c>
      <c r="G453" s="53" t="str">
        <f t="shared" si="10"/>
        <v>-93|0|-43.3</v>
      </c>
      <c r="N453" s="66"/>
    </row>
    <row r="454" spans="2:14">
      <c r="C454" s="60">
        <v>0</v>
      </c>
      <c r="D454" s="25">
        <v>-83</v>
      </c>
      <c r="E454" s="25">
        <v>0</v>
      </c>
      <c r="F454" s="25">
        <v>-9</v>
      </c>
      <c r="G454" s="53" t="str">
        <f t="shared" si="10"/>
        <v>-83|0|-9</v>
      </c>
      <c r="N454" s="66"/>
    </row>
    <row r="455" spans="2:14">
      <c r="B455" s="60">
        <v>206</v>
      </c>
      <c r="C455" s="60">
        <v>0</v>
      </c>
      <c r="D455" s="25">
        <v>48</v>
      </c>
      <c r="E455" s="25">
        <v>0</v>
      </c>
      <c r="F455" s="25">
        <v>48</v>
      </c>
      <c r="G455" s="53" t="str">
        <f t="shared" si="10"/>
        <v>48|0|48</v>
      </c>
      <c r="N455" s="66" t="s">
        <v>293</v>
      </c>
    </row>
    <row r="456" spans="2:14">
      <c r="B456" s="60">
        <v>207</v>
      </c>
      <c r="C456" s="60">
        <v>0</v>
      </c>
      <c r="D456" s="25">
        <v>128</v>
      </c>
      <c r="E456" s="25">
        <v>-9</v>
      </c>
      <c r="F456" s="25">
        <v>-54</v>
      </c>
      <c r="G456" s="53" t="str">
        <f t="shared" si="10"/>
        <v>128|-9|-54</v>
      </c>
      <c r="N456" s="66" t="s">
        <v>595</v>
      </c>
    </row>
    <row r="457" spans="2:14">
      <c r="B457" s="60"/>
      <c r="C457" s="60">
        <v>0</v>
      </c>
      <c r="D457" s="25">
        <v>132</v>
      </c>
      <c r="E457" s="25">
        <v>-9</v>
      </c>
      <c r="F457" s="25">
        <v>-91</v>
      </c>
      <c r="G457" s="53" t="str">
        <f t="shared" si="10"/>
        <v>132|-9|-91</v>
      </c>
      <c r="N457" s="66"/>
    </row>
    <row r="458" spans="2:14">
      <c r="B458" s="60"/>
      <c r="C458" s="60">
        <v>0</v>
      </c>
      <c r="D458" s="25">
        <v>115</v>
      </c>
      <c r="E458" s="25">
        <v>-9</v>
      </c>
      <c r="F458" s="25">
        <v>-53</v>
      </c>
      <c r="G458" s="53" t="str">
        <f t="shared" si="10"/>
        <v>115|-9|-53</v>
      </c>
      <c r="N458" s="66"/>
    </row>
    <row r="459" spans="2:14">
      <c r="B459" s="60"/>
      <c r="C459" s="60">
        <v>0</v>
      </c>
      <c r="D459" s="25">
        <v>141</v>
      </c>
      <c r="E459" s="25">
        <v>-9</v>
      </c>
      <c r="F459" s="25">
        <v>-54</v>
      </c>
      <c r="G459" s="53" t="str">
        <f t="shared" si="10"/>
        <v>141|-9|-54</v>
      </c>
      <c r="N459" s="66"/>
    </row>
    <row r="460" spans="2:14">
      <c r="B460" s="60"/>
      <c r="C460" s="60">
        <v>0</v>
      </c>
      <c r="D460" s="25">
        <v>135</v>
      </c>
      <c r="E460" s="25">
        <v>-9</v>
      </c>
      <c r="F460" s="25">
        <v>-28</v>
      </c>
      <c r="G460" s="53" t="str">
        <f t="shared" si="10"/>
        <v>135|-9|-28</v>
      </c>
      <c r="N460" s="66"/>
    </row>
    <row r="461" spans="2:14">
      <c r="B461" s="60"/>
      <c r="C461" s="60">
        <v>0</v>
      </c>
      <c r="D461" s="25">
        <v>141</v>
      </c>
      <c r="E461" s="25">
        <v>-9</v>
      </c>
      <c r="F461" s="25">
        <v>-67</v>
      </c>
      <c r="G461" s="53" t="str">
        <f t="shared" si="10"/>
        <v>141|-9|-67</v>
      </c>
      <c r="N461" s="66"/>
    </row>
    <row r="462" spans="2:14">
      <c r="B462" s="60"/>
      <c r="C462" s="60">
        <v>0</v>
      </c>
      <c r="D462" s="25">
        <v>132</v>
      </c>
      <c r="E462" s="25">
        <v>-9</v>
      </c>
      <c r="F462" s="25">
        <v>-79</v>
      </c>
      <c r="G462" s="53" t="str">
        <f t="shared" si="10"/>
        <v>132|-9|-79</v>
      </c>
      <c r="N462" s="66"/>
    </row>
    <row r="463" spans="2:14">
      <c r="B463" s="60"/>
      <c r="C463" s="60">
        <v>0</v>
      </c>
      <c r="D463" s="25">
        <v>107</v>
      </c>
      <c r="E463" s="25">
        <v>-9</v>
      </c>
      <c r="F463" s="25">
        <v>-91</v>
      </c>
      <c r="G463" s="53" t="str">
        <f t="shared" si="10"/>
        <v>107|-9|-91</v>
      </c>
      <c r="N463" s="66"/>
    </row>
    <row r="464" spans="2:14">
      <c r="B464" s="60"/>
      <c r="C464" s="60">
        <v>0</v>
      </c>
      <c r="D464" s="25">
        <v>119</v>
      </c>
      <c r="E464" s="25">
        <v>-9</v>
      </c>
      <c r="F464" s="25">
        <v>-79</v>
      </c>
      <c r="G464" s="53" t="str">
        <f t="shared" si="10"/>
        <v>119|-9|-79</v>
      </c>
      <c r="N464" s="66"/>
    </row>
    <row r="465" spans="2:14">
      <c r="B465" s="60"/>
      <c r="C465" s="60">
        <v>0</v>
      </c>
      <c r="D465" s="25">
        <v>144</v>
      </c>
      <c r="E465" s="25">
        <v>-9</v>
      </c>
      <c r="F465" s="25">
        <v>-79</v>
      </c>
      <c r="G465" s="53" t="str">
        <f t="shared" si="10"/>
        <v>144|-9|-79</v>
      </c>
      <c r="N465" s="66"/>
    </row>
    <row r="466" spans="2:14">
      <c r="B466" s="60"/>
      <c r="C466" s="60">
        <v>0</v>
      </c>
      <c r="D466" s="25">
        <v>119</v>
      </c>
      <c r="E466" s="25">
        <v>-9</v>
      </c>
      <c r="F466" s="25">
        <v>-104</v>
      </c>
      <c r="G466" s="53" t="str">
        <f t="shared" si="10"/>
        <v>119|-9|-104</v>
      </c>
      <c r="N466" s="66"/>
    </row>
    <row r="467" spans="2:14">
      <c r="B467" s="60"/>
      <c r="C467" s="60">
        <v>0</v>
      </c>
      <c r="D467" s="25">
        <v>119</v>
      </c>
      <c r="E467" s="25">
        <v>-9</v>
      </c>
      <c r="F467" s="25">
        <v>-92</v>
      </c>
      <c r="G467" s="53" t="str">
        <f t="shared" si="10"/>
        <v>119|-9|-92</v>
      </c>
      <c r="N467" s="66"/>
    </row>
    <row r="468" spans="2:14">
      <c r="B468" s="60"/>
      <c r="C468" s="60">
        <v>0</v>
      </c>
      <c r="D468" s="25">
        <v>153</v>
      </c>
      <c r="E468" s="25">
        <v>-9</v>
      </c>
      <c r="F468" s="25">
        <v>-55</v>
      </c>
      <c r="G468" s="53" t="str">
        <f t="shared" ref="G468:G499" si="11">D468&amp;"|"&amp;E468&amp;"|"&amp;F468</f>
        <v>153|-9|-55</v>
      </c>
      <c r="N468" s="66"/>
    </row>
    <row r="469" spans="2:14">
      <c r="B469" s="60"/>
      <c r="C469" s="60">
        <v>0</v>
      </c>
      <c r="D469" s="25">
        <v>153</v>
      </c>
      <c r="E469" s="25">
        <v>-9</v>
      </c>
      <c r="F469" s="25">
        <v>-67</v>
      </c>
      <c r="G469" s="53" t="str">
        <f t="shared" si="11"/>
        <v>153|-9|-67</v>
      </c>
      <c r="N469" s="66"/>
    </row>
    <row r="470" spans="2:14">
      <c r="B470" s="60"/>
      <c r="C470" s="60">
        <v>0</v>
      </c>
      <c r="D470" s="25">
        <v>131</v>
      </c>
      <c r="E470" s="25">
        <v>-9</v>
      </c>
      <c r="F470" s="25">
        <v>-104</v>
      </c>
      <c r="G470" s="53" t="str">
        <f t="shared" si="11"/>
        <v>131|-9|-104</v>
      </c>
      <c r="N470" s="66"/>
    </row>
    <row r="471" spans="2:14">
      <c r="B471" s="60"/>
      <c r="C471" s="60">
        <v>0</v>
      </c>
      <c r="D471" s="25">
        <v>117</v>
      </c>
      <c r="E471" s="25">
        <v>-9</v>
      </c>
      <c r="F471" s="25">
        <v>-66</v>
      </c>
      <c r="G471" s="53" t="str">
        <f t="shared" si="11"/>
        <v>117|-9|-66</v>
      </c>
      <c r="N471" s="66"/>
    </row>
    <row r="472" spans="2:14" s="52" customFormat="1">
      <c r="B472" s="83">
        <v>208</v>
      </c>
      <c r="C472" s="83">
        <v>0</v>
      </c>
      <c r="D472" s="84">
        <v>-75.58</v>
      </c>
      <c r="E472" s="84">
        <v>11.71</v>
      </c>
      <c r="F472" s="84">
        <v>79.67</v>
      </c>
      <c r="G472" s="52" t="str">
        <f t="shared" si="11"/>
        <v>-75.58|11.71|79.67</v>
      </c>
      <c r="N472" s="86" t="s">
        <v>589</v>
      </c>
    </row>
    <row r="473" spans="2:14">
      <c r="B473" s="60">
        <v>209</v>
      </c>
      <c r="C473" s="60">
        <v>0</v>
      </c>
      <c r="D473" s="25">
        <v>45</v>
      </c>
      <c r="E473" s="25">
        <v>0</v>
      </c>
      <c r="F473" s="25">
        <v>18</v>
      </c>
      <c r="G473" s="53" t="str">
        <f t="shared" si="11"/>
        <v>45|0|18</v>
      </c>
      <c r="N473" s="66" t="s">
        <v>344</v>
      </c>
    </row>
    <row r="474" spans="2:14">
      <c r="B474" s="60">
        <v>211</v>
      </c>
      <c r="C474" s="60">
        <v>0</v>
      </c>
      <c r="D474" s="25">
        <v>22</v>
      </c>
      <c r="E474" s="25">
        <v>0</v>
      </c>
      <c r="F474" s="25">
        <v>-38</v>
      </c>
      <c r="G474" s="53" t="str">
        <f t="shared" si="11"/>
        <v>22|0|-38</v>
      </c>
      <c r="N474" s="66" t="s">
        <v>605</v>
      </c>
    </row>
    <row r="475" spans="2:14" s="52" customFormat="1">
      <c r="B475" s="83">
        <v>212</v>
      </c>
      <c r="C475" s="83">
        <v>0</v>
      </c>
      <c r="D475" s="83">
        <v>102.77</v>
      </c>
      <c r="E475" s="83">
        <v>-9</v>
      </c>
      <c r="F475" s="83">
        <v>69.22</v>
      </c>
      <c r="G475" s="52" t="str">
        <f t="shared" si="11"/>
        <v>102.77|-9|69.22</v>
      </c>
      <c r="N475" s="86" t="s">
        <v>394</v>
      </c>
    </row>
    <row r="476" spans="2:14">
      <c r="B476" s="60">
        <v>213</v>
      </c>
      <c r="C476" s="60">
        <v>0</v>
      </c>
      <c r="D476" s="25">
        <v>16</v>
      </c>
      <c r="E476" s="25">
        <v>-18.5</v>
      </c>
      <c r="F476" s="25">
        <v>130</v>
      </c>
      <c r="G476" s="53" t="str">
        <f t="shared" si="11"/>
        <v>16|-18.5|130</v>
      </c>
      <c r="N476" s="66" t="s">
        <v>599</v>
      </c>
    </row>
    <row r="477" spans="2:14" s="52" customFormat="1">
      <c r="B477" s="83">
        <v>215</v>
      </c>
      <c r="C477" s="83">
        <v>0</v>
      </c>
      <c r="D477" s="52">
        <v>90.72</v>
      </c>
      <c r="E477" s="52">
        <v>0</v>
      </c>
      <c r="F477" s="52">
        <v>0.77</v>
      </c>
      <c r="G477" s="52" t="str">
        <f t="shared" si="11"/>
        <v>90.72|0|0.77</v>
      </c>
      <c r="N477" s="86" t="s">
        <v>418</v>
      </c>
    </row>
    <row r="478" spans="2:14">
      <c r="B478" s="60">
        <v>222</v>
      </c>
      <c r="C478" s="60">
        <v>0</v>
      </c>
      <c r="D478" s="25">
        <v>48</v>
      </c>
      <c r="E478" s="25">
        <v>0</v>
      </c>
      <c r="F478" s="25">
        <v>-15</v>
      </c>
      <c r="G478" s="53" t="str">
        <f t="shared" si="11"/>
        <v>48|0|-15</v>
      </c>
      <c r="N478" s="66" t="s">
        <v>442</v>
      </c>
    </row>
    <row r="479" spans="2:14">
      <c r="B479" s="60">
        <v>224</v>
      </c>
      <c r="C479" s="60">
        <v>0</v>
      </c>
      <c r="D479" s="25">
        <v>72</v>
      </c>
      <c r="E479" s="25">
        <v>0</v>
      </c>
      <c r="F479" s="25">
        <v>18</v>
      </c>
      <c r="G479" s="53" t="str">
        <f t="shared" si="11"/>
        <v>72|0|18</v>
      </c>
      <c r="N479" s="66" t="s">
        <v>369</v>
      </c>
    </row>
    <row r="480" spans="2:14">
      <c r="B480" s="60">
        <v>226</v>
      </c>
      <c r="C480" s="60">
        <v>0</v>
      </c>
      <c r="D480" s="25">
        <v>-26</v>
      </c>
      <c r="E480" s="25">
        <v>4.49</v>
      </c>
      <c r="F480" s="25">
        <v>64</v>
      </c>
      <c r="G480" s="53" t="str">
        <f t="shared" si="11"/>
        <v>-26|4.49|64</v>
      </c>
      <c r="N480" s="66" t="s">
        <v>469</v>
      </c>
    </row>
    <row r="481" spans="2:14">
      <c r="B481" s="60">
        <v>227</v>
      </c>
      <c r="C481" s="60">
        <v>0</v>
      </c>
      <c r="D481" s="25">
        <v>162</v>
      </c>
      <c r="E481" s="25">
        <v>-9</v>
      </c>
      <c r="F481" s="25">
        <v>14</v>
      </c>
      <c r="G481" s="53" t="str">
        <f t="shared" si="11"/>
        <v>162|-9|14</v>
      </c>
      <c r="N481" s="66" t="s">
        <v>940</v>
      </c>
    </row>
    <row r="482" spans="2:14">
      <c r="B482" s="60"/>
      <c r="C482" s="60">
        <v>0</v>
      </c>
      <c r="D482" s="25">
        <v>162</v>
      </c>
      <c r="E482" s="25">
        <v>-9</v>
      </c>
      <c r="F482" s="25">
        <v>-15</v>
      </c>
      <c r="G482" s="53" t="str">
        <f t="shared" si="11"/>
        <v>162|-9|-15</v>
      </c>
      <c r="N482" s="66"/>
    </row>
    <row r="483" spans="2:14">
      <c r="B483" s="60">
        <v>228</v>
      </c>
      <c r="C483" s="60">
        <v>0</v>
      </c>
      <c r="D483" s="25">
        <v>29</v>
      </c>
      <c r="E483" s="25">
        <v>0</v>
      </c>
      <c r="F483" s="25">
        <v>55</v>
      </c>
      <c r="G483" s="53" t="str">
        <f t="shared" si="11"/>
        <v>29|0|55</v>
      </c>
      <c r="N483" s="66" t="s">
        <v>948</v>
      </c>
    </row>
    <row r="484" spans="2:14">
      <c r="B484" s="60">
        <v>229</v>
      </c>
      <c r="C484" s="60">
        <v>0</v>
      </c>
      <c r="D484" s="25">
        <v>27</v>
      </c>
      <c r="E484" s="25">
        <v>0</v>
      </c>
      <c r="F484" s="25">
        <v>36</v>
      </c>
      <c r="G484" s="53" t="str">
        <f t="shared" si="11"/>
        <v>27|0|36</v>
      </c>
      <c r="N484" s="66" t="s">
        <v>515</v>
      </c>
    </row>
    <row r="485" spans="2:14">
      <c r="B485" s="60">
        <v>230</v>
      </c>
      <c r="C485" s="60">
        <v>0</v>
      </c>
      <c r="D485" s="25">
        <v>30</v>
      </c>
      <c r="E485" s="25">
        <v>0</v>
      </c>
      <c r="F485" s="25">
        <v>-16</v>
      </c>
      <c r="G485" s="53" t="str">
        <f t="shared" si="11"/>
        <v>30|0|-16</v>
      </c>
      <c r="N485" s="66" t="s">
        <v>539</v>
      </c>
    </row>
    <row r="486" spans="2:14">
      <c r="B486" s="60">
        <v>231</v>
      </c>
      <c r="C486" s="60">
        <v>0</v>
      </c>
      <c r="D486" s="25">
        <v>-10</v>
      </c>
      <c r="E486" s="25">
        <v>0</v>
      </c>
      <c r="F486" s="25">
        <v>-40</v>
      </c>
      <c r="G486" s="53" t="str">
        <f t="shared" si="11"/>
        <v>-10|0|-40</v>
      </c>
      <c r="N486" s="66" t="s">
        <v>591</v>
      </c>
    </row>
    <row r="487" spans="2:14">
      <c r="B487" s="60">
        <v>232</v>
      </c>
      <c r="C487" s="60">
        <v>0</v>
      </c>
      <c r="D487" s="25">
        <v>72</v>
      </c>
      <c r="E487" s="25">
        <v>0</v>
      </c>
      <c r="F487" s="25">
        <v>48</v>
      </c>
      <c r="G487" s="53" t="str">
        <f t="shared" si="11"/>
        <v>72|0|48</v>
      </c>
      <c r="N487" s="66" t="s">
        <v>319</v>
      </c>
    </row>
    <row r="488" spans="2:14">
      <c r="B488" s="60">
        <v>234</v>
      </c>
      <c r="C488" s="60">
        <v>0</v>
      </c>
      <c r="D488" s="25">
        <v>-78</v>
      </c>
      <c r="E488" s="25">
        <v>0</v>
      </c>
      <c r="F488" s="25">
        <v>-51</v>
      </c>
      <c r="G488" s="53" t="str">
        <f t="shared" si="11"/>
        <v>-78|0|-51</v>
      </c>
      <c r="N488" s="66" t="s">
        <v>271</v>
      </c>
    </row>
    <row r="489" spans="2:14">
      <c r="B489" s="60"/>
      <c r="C489" s="60">
        <v>0</v>
      </c>
      <c r="D489" s="25">
        <v>-111</v>
      </c>
      <c r="E489" s="25">
        <v>0</v>
      </c>
      <c r="F489" s="25">
        <v>-57</v>
      </c>
      <c r="G489" s="53" t="str">
        <f t="shared" si="11"/>
        <v>-111|0|-57</v>
      </c>
      <c r="N489" s="66"/>
    </row>
    <row r="490" spans="2:14">
      <c r="B490" s="60"/>
      <c r="C490" s="60">
        <v>0</v>
      </c>
      <c r="D490" s="25">
        <v>-86</v>
      </c>
      <c r="E490" s="25">
        <v>0</v>
      </c>
      <c r="F490" s="25">
        <v>-61</v>
      </c>
      <c r="G490" s="53" t="str">
        <f t="shared" si="11"/>
        <v>-86|0|-61</v>
      </c>
      <c r="N490" s="66"/>
    </row>
    <row r="491" spans="2:14">
      <c r="B491" s="60"/>
      <c r="C491" s="60">
        <v>0</v>
      </c>
      <c r="D491" s="25">
        <v>-99</v>
      </c>
      <c r="E491" s="25">
        <v>0</v>
      </c>
      <c r="F491" s="25">
        <v>-56</v>
      </c>
      <c r="G491" s="53" t="str">
        <f t="shared" si="11"/>
        <v>-99|0|-56</v>
      </c>
      <c r="N491" s="66" t="s">
        <v>418</v>
      </c>
    </row>
    <row r="492" spans="2:14" s="52" customFormat="1">
      <c r="B492" s="83">
        <v>235</v>
      </c>
      <c r="C492" s="83">
        <v>0</v>
      </c>
      <c r="D492" s="85">
        <v>-61.14</v>
      </c>
      <c r="E492" s="85">
        <v>0</v>
      </c>
      <c r="F492" s="85">
        <v>1.68</v>
      </c>
      <c r="G492" s="52" t="str">
        <f t="shared" si="11"/>
        <v>-61.14|0|1.68</v>
      </c>
      <c r="N492" s="86" t="s">
        <v>994</v>
      </c>
    </row>
    <row r="493" spans="2:14" s="52" customFormat="1">
      <c r="B493" s="83">
        <v>236</v>
      </c>
      <c r="C493" s="83">
        <v>0</v>
      </c>
      <c r="D493" s="85">
        <v>-32.53</v>
      </c>
      <c r="E493" s="85">
        <v>0</v>
      </c>
      <c r="F493" s="85">
        <v>3.72</v>
      </c>
      <c r="G493" s="52" t="str">
        <f t="shared" si="11"/>
        <v>-32.53|0|3.72</v>
      </c>
      <c r="N493" s="86" t="s">
        <v>999</v>
      </c>
    </row>
    <row r="494" spans="2:14">
      <c r="B494" s="60">
        <v>237</v>
      </c>
      <c r="C494" s="60">
        <v>0</v>
      </c>
      <c r="D494" s="25">
        <v>66</v>
      </c>
      <c r="E494" s="25">
        <v>0</v>
      </c>
      <c r="F494" s="25">
        <v>-41</v>
      </c>
      <c r="G494" s="53" t="str">
        <f t="shared" si="11"/>
        <v>66|0|-41</v>
      </c>
      <c r="N494" s="66" t="s">
        <v>565</v>
      </c>
    </row>
    <row r="495" spans="2:14">
      <c r="B495" s="60">
        <v>300</v>
      </c>
      <c r="C495" s="60">
        <v>0</v>
      </c>
      <c r="D495" s="25">
        <v>80</v>
      </c>
      <c r="E495" s="25">
        <v>-9</v>
      </c>
      <c r="F495" s="25">
        <v>106</v>
      </c>
      <c r="G495" s="53" t="str">
        <f t="shared" si="11"/>
        <v>80|-9|106</v>
      </c>
      <c r="N495" s="66" t="s">
        <v>1010</v>
      </c>
    </row>
    <row r="496" spans="2:14">
      <c r="B496" s="60">
        <v>400</v>
      </c>
      <c r="C496" s="60">
        <v>0</v>
      </c>
      <c r="D496" s="25">
        <v>-13</v>
      </c>
      <c r="E496" s="25">
        <v>0</v>
      </c>
      <c r="F496" s="25">
        <v>-63</v>
      </c>
      <c r="G496" s="53" t="str">
        <f t="shared" si="11"/>
        <v>-13|0|-63</v>
      </c>
      <c r="N496" s="66" t="s">
        <v>1014</v>
      </c>
    </row>
    <row r="497" spans="2:14">
      <c r="B497" s="60">
        <v>404</v>
      </c>
      <c r="C497" s="60">
        <v>0</v>
      </c>
      <c r="D497" s="53">
        <v>53</v>
      </c>
      <c r="E497" s="53">
        <v>-12</v>
      </c>
      <c r="F497" s="53">
        <v>-225</v>
      </c>
      <c r="G497" s="53" t="str">
        <f t="shared" si="11"/>
        <v>53|-12|-225</v>
      </c>
      <c r="N497" s="50" t="s">
        <v>1666</v>
      </c>
    </row>
    <row r="498" spans="2:14">
      <c r="B498" s="60">
        <v>409</v>
      </c>
      <c r="C498" s="60">
        <v>0</v>
      </c>
      <c r="D498" s="61">
        <v>16</v>
      </c>
      <c r="E498" s="61">
        <v>-18.5</v>
      </c>
      <c r="F498" s="61">
        <v>130</v>
      </c>
      <c r="G498" s="53" t="str">
        <f t="shared" si="11"/>
        <v>16|-18.5|130</v>
      </c>
      <c r="N498" s="66" t="s">
        <v>1672</v>
      </c>
    </row>
    <row r="499" spans="2:14">
      <c r="B499" s="60">
        <v>410</v>
      </c>
      <c r="C499" s="60">
        <v>0</v>
      </c>
      <c r="D499" s="61">
        <v>24</v>
      </c>
      <c r="E499" s="61">
        <v>0</v>
      </c>
      <c r="F499" s="61">
        <v>-55</v>
      </c>
      <c r="G499" s="59" t="str">
        <f t="shared" si="11"/>
        <v>24|0|-55</v>
      </c>
      <c r="H499" s="60"/>
      <c r="I499" s="67"/>
      <c r="J499" s="60"/>
      <c r="K499" s="60"/>
      <c r="N499" s="66" t="s">
        <v>2308</v>
      </c>
    </row>
  </sheetData>
  <phoneticPr fontId="23" type="noConversion"/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7"/>
  <sheetViews>
    <sheetView workbookViewId="0"/>
  </sheetViews>
  <sheetFormatPr defaultColWidth="9" defaultRowHeight="14"/>
  <cols>
    <col min="1" max="1" width="13.25" customWidth="1"/>
    <col min="2" max="2" width="13.58203125" customWidth="1"/>
  </cols>
  <sheetData>
    <row r="1" spans="1:2" ht="15" customHeight="1">
      <c r="A1" s="44" t="s">
        <v>1953</v>
      </c>
    </row>
    <row r="2" spans="1:2" ht="15" customHeight="1">
      <c r="A2" s="48" t="s">
        <v>1954</v>
      </c>
      <c r="B2" s="48" t="s">
        <v>1955</v>
      </c>
    </row>
    <row r="3" spans="1:2" ht="16.5">
      <c r="A3" s="49" t="s">
        <v>1956</v>
      </c>
      <c r="B3" s="49" t="s">
        <v>1957</v>
      </c>
    </row>
    <row r="4" spans="1:2" ht="16.5">
      <c r="A4" s="50" t="s">
        <v>1958</v>
      </c>
      <c r="B4" s="50">
        <v>500</v>
      </c>
    </row>
    <row r="5" spans="1:2" ht="16.5">
      <c r="A5" s="50" t="s">
        <v>1959</v>
      </c>
      <c r="B5" s="50">
        <v>500</v>
      </c>
    </row>
    <row r="6" spans="1:2" ht="16.5">
      <c r="A6" s="50" t="s">
        <v>1960</v>
      </c>
      <c r="B6" s="50">
        <v>600</v>
      </c>
    </row>
    <row r="7" spans="1:2" ht="16.5">
      <c r="A7" s="50" t="s">
        <v>1961</v>
      </c>
      <c r="B7" s="50">
        <v>500</v>
      </c>
    </row>
  </sheetData>
  <phoneticPr fontId="23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6"/>
  <sheetViews>
    <sheetView workbookViewId="0"/>
  </sheetViews>
  <sheetFormatPr defaultColWidth="9" defaultRowHeight="14"/>
  <cols>
    <col min="1" max="1" width="8.33203125" customWidth="1"/>
    <col min="2" max="2" width="11.33203125" customWidth="1"/>
    <col min="3" max="3" width="8.33203125" customWidth="1"/>
    <col min="4" max="4" width="13.33203125" customWidth="1"/>
    <col min="5" max="5" width="11.33203125" customWidth="1"/>
    <col min="6" max="6" width="12.58203125" customWidth="1"/>
    <col min="7" max="7" width="14.33203125" customWidth="1"/>
    <col min="8" max="8" width="14.25" customWidth="1"/>
    <col min="9" max="9" width="13.58203125" customWidth="1"/>
    <col min="10" max="10" width="38.33203125" customWidth="1"/>
    <col min="11" max="11" width="13" customWidth="1"/>
  </cols>
  <sheetData>
    <row r="1" spans="1:11" ht="15" customHeight="1">
      <c r="A1" s="44" t="s">
        <v>1962</v>
      </c>
    </row>
    <row r="2" spans="1:11" ht="15" customHeight="1">
      <c r="A2" s="48" t="s">
        <v>1963</v>
      </c>
      <c r="B2" s="48" t="s">
        <v>1849</v>
      </c>
      <c r="C2" s="48" t="s">
        <v>1848</v>
      </c>
      <c r="D2" s="48" t="s">
        <v>1964</v>
      </c>
      <c r="E2" s="48" t="s">
        <v>1965</v>
      </c>
      <c r="F2" s="48" t="s">
        <v>1966</v>
      </c>
      <c r="G2" s="48" t="s">
        <v>1967</v>
      </c>
      <c r="H2" s="48" t="s">
        <v>1967</v>
      </c>
      <c r="I2" s="48" t="s">
        <v>1967</v>
      </c>
      <c r="J2" s="48" t="s">
        <v>1968</v>
      </c>
      <c r="K2" s="48" t="s">
        <v>1969</v>
      </c>
    </row>
    <row r="3" spans="1:11" ht="16.5">
      <c r="A3" s="49" t="s">
        <v>702</v>
      </c>
      <c r="B3" s="49" t="s">
        <v>1851</v>
      </c>
      <c r="C3" s="49" t="s">
        <v>1970</v>
      </c>
      <c r="D3" s="49" t="s">
        <v>1971</v>
      </c>
      <c r="E3" s="49" t="s">
        <v>1972</v>
      </c>
      <c r="F3" s="49" t="s">
        <v>1973</v>
      </c>
      <c r="G3" s="49" t="s">
        <v>1974</v>
      </c>
      <c r="H3" s="49" t="s">
        <v>1975</v>
      </c>
      <c r="I3" s="49" t="s">
        <v>1976</v>
      </c>
    </row>
    <row r="4" spans="1:11" ht="132" customHeight="1">
      <c r="A4" s="50">
        <v>1</v>
      </c>
      <c r="B4" s="50">
        <v>1</v>
      </c>
      <c r="C4" s="50">
        <v>1</v>
      </c>
      <c r="D4" s="50">
        <v>42</v>
      </c>
      <c r="E4" s="50">
        <v>0</v>
      </c>
      <c r="F4" s="50">
        <v>-1</v>
      </c>
      <c r="G4" s="50">
        <v>42</v>
      </c>
      <c r="H4" s="50">
        <v>0</v>
      </c>
      <c r="I4" s="50">
        <v>-1</v>
      </c>
      <c r="J4" s="51" t="s">
        <v>1977</v>
      </c>
      <c r="K4" s="51" t="s">
        <v>1978</v>
      </c>
    </row>
    <row r="5" spans="1:11" ht="132" customHeight="1">
      <c r="A5" s="50">
        <v>2</v>
      </c>
      <c r="B5" s="50">
        <v>2</v>
      </c>
      <c r="C5" s="50">
        <v>1</v>
      </c>
      <c r="D5" s="50">
        <v>126</v>
      </c>
      <c r="E5" s="50">
        <v>-9</v>
      </c>
      <c r="F5" s="50">
        <v>26</v>
      </c>
      <c r="G5" s="50">
        <v>126</v>
      </c>
      <c r="H5" s="50">
        <v>-9</v>
      </c>
      <c r="I5" s="50">
        <v>26</v>
      </c>
      <c r="J5" s="51" t="s">
        <v>1977</v>
      </c>
      <c r="K5" s="51" t="s">
        <v>1978</v>
      </c>
    </row>
    <row r="6" spans="1:11" ht="132" customHeight="1">
      <c r="A6" s="50">
        <v>3</v>
      </c>
      <c r="B6" s="50">
        <v>3</v>
      </c>
      <c r="C6" s="50">
        <v>1</v>
      </c>
      <c r="D6" s="50">
        <v>126</v>
      </c>
      <c r="E6" s="50">
        <v>-9</v>
      </c>
      <c r="F6" s="50">
        <v>26</v>
      </c>
      <c r="G6" s="50">
        <v>126</v>
      </c>
      <c r="H6" s="50">
        <v>-9</v>
      </c>
      <c r="I6" s="50">
        <v>26</v>
      </c>
      <c r="J6" s="51" t="s">
        <v>1977</v>
      </c>
      <c r="K6" s="51" t="s">
        <v>1978</v>
      </c>
    </row>
    <row r="7" spans="1:11" ht="132" customHeight="1">
      <c r="A7" s="50">
        <v>4</v>
      </c>
      <c r="B7" s="50">
        <v>4</v>
      </c>
      <c r="C7" s="50">
        <v>1</v>
      </c>
      <c r="D7" s="50">
        <v>126</v>
      </c>
      <c r="E7" s="50">
        <v>-9</v>
      </c>
      <c r="F7" s="50">
        <v>26</v>
      </c>
      <c r="G7" s="50">
        <v>126</v>
      </c>
      <c r="H7" s="50">
        <v>-9</v>
      </c>
      <c r="I7" s="50">
        <v>26</v>
      </c>
      <c r="J7" s="51" t="s">
        <v>1977</v>
      </c>
      <c r="K7" s="51" t="s">
        <v>1978</v>
      </c>
    </row>
    <row r="8" spans="1:11" ht="132" customHeight="1">
      <c r="A8" s="50">
        <v>5</v>
      </c>
      <c r="B8" s="50">
        <v>2</v>
      </c>
      <c r="C8" s="50">
        <v>2</v>
      </c>
      <c r="D8" s="50">
        <v>126</v>
      </c>
      <c r="E8" s="50">
        <v>-9</v>
      </c>
      <c r="F8" s="50">
        <v>26</v>
      </c>
      <c r="G8" s="50">
        <v>126</v>
      </c>
      <c r="H8" s="50">
        <v>-9</v>
      </c>
      <c r="I8" s="50">
        <v>26</v>
      </c>
      <c r="J8" s="51" t="s">
        <v>1977</v>
      </c>
      <c r="K8" s="51" t="s">
        <v>1978</v>
      </c>
    </row>
    <row r="9" spans="1:11" ht="132" customHeight="1">
      <c r="A9" s="50">
        <v>6</v>
      </c>
      <c r="B9" s="50">
        <v>3</v>
      </c>
      <c r="C9" s="50">
        <v>2</v>
      </c>
      <c r="D9" s="50">
        <v>126</v>
      </c>
      <c r="E9" s="50">
        <v>-9</v>
      </c>
      <c r="F9" s="50">
        <v>26</v>
      </c>
      <c r="G9" s="50">
        <v>126</v>
      </c>
      <c r="H9" s="50">
        <v>-9</v>
      </c>
      <c r="I9" s="50">
        <v>26</v>
      </c>
      <c r="J9" s="51" t="s">
        <v>1977</v>
      </c>
      <c r="K9" s="51" t="s">
        <v>1978</v>
      </c>
    </row>
    <row r="10" spans="1:11" ht="132" customHeight="1">
      <c r="A10" s="50">
        <v>7</v>
      </c>
      <c r="B10" s="50">
        <v>4</v>
      </c>
      <c r="C10" s="50">
        <v>2</v>
      </c>
      <c r="D10" s="50">
        <v>126</v>
      </c>
      <c r="E10" s="50">
        <v>-9</v>
      </c>
      <c r="F10" s="50">
        <v>26</v>
      </c>
      <c r="G10" s="50">
        <v>126</v>
      </c>
      <c r="H10" s="50">
        <v>-9</v>
      </c>
      <c r="I10" s="50">
        <v>26</v>
      </c>
      <c r="J10" s="51" t="s">
        <v>1977</v>
      </c>
      <c r="K10" s="51" t="s">
        <v>1978</v>
      </c>
    </row>
    <row r="11" spans="1:11" ht="132" customHeight="1">
      <c r="A11" s="50">
        <v>8</v>
      </c>
      <c r="B11" s="50">
        <v>2</v>
      </c>
      <c r="C11" s="50">
        <v>3</v>
      </c>
      <c r="D11" s="50">
        <v>126</v>
      </c>
      <c r="E11" s="50">
        <v>-9</v>
      </c>
      <c r="F11" s="50">
        <v>26</v>
      </c>
      <c r="G11" s="50">
        <v>126</v>
      </c>
      <c r="H11" s="50">
        <v>-9</v>
      </c>
      <c r="I11" s="50">
        <v>26</v>
      </c>
      <c r="J11" s="51" t="s">
        <v>1977</v>
      </c>
      <c r="K11" s="51" t="s">
        <v>1978</v>
      </c>
    </row>
    <row r="12" spans="1:11" ht="132" customHeight="1">
      <c r="A12" s="50">
        <v>9</v>
      </c>
      <c r="B12" s="50">
        <v>3</v>
      </c>
      <c r="C12" s="50">
        <v>3</v>
      </c>
      <c r="D12" s="50">
        <v>126</v>
      </c>
      <c r="E12" s="50">
        <v>-9</v>
      </c>
      <c r="F12" s="50">
        <v>26</v>
      </c>
      <c r="G12" s="50">
        <v>126</v>
      </c>
      <c r="H12" s="50">
        <v>-9</v>
      </c>
      <c r="I12" s="50">
        <v>26</v>
      </c>
      <c r="J12" s="51" t="s">
        <v>1977</v>
      </c>
      <c r="K12" s="51" t="s">
        <v>1978</v>
      </c>
    </row>
    <row r="13" spans="1:11" ht="132" customHeight="1">
      <c r="A13" s="50">
        <v>10</v>
      </c>
      <c r="B13" s="50">
        <v>4</v>
      </c>
      <c r="C13" s="50">
        <v>3</v>
      </c>
      <c r="D13" s="50">
        <v>126</v>
      </c>
      <c r="E13" s="50">
        <v>-9</v>
      </c>
      <c r="F13" s="50">
        <v>26</v>
      </c>
      <c r="G13" s="50">
        <v>126</v>
      </c>
      <c r="H13" s="50">
        <v>-9</v>
      </c>
      <c r="I13" s="50">
        <v>26</v>
      </c>
      <c r="J13" s="51" t="s">
        <v>1977</v>
      </c>
      <c r="K13" s="51" t="s">
        <v>1978</v>
      </c>
    </row>
    <row r="14" spans="1:11" ht="132" customHeight="1">
      <c r="A14" s="50">
        <v>11</v>
      </c>
      <c r="B14" s="50">
        <v>2</v>
      </c>
      <c r="C14" s="50">
        <v>4</v>
      </c>
      <c r="D14" s="50">
        <v>126</v>
      </c>
      <c r="E14" s="50">
        <v>-9</v>
      </c>
      <c r="F14" s="50">
        <v>26</v>
      </c>
      <c r="G14" s="50">
        <v>126</v>
      </c>
      <c r="H14" s="50">
        <v>-9</v>
      </c>
      <c r="I14" s="50">
        <v>26</v>
      </c>
      <c r="J14" s="51" t="s">
        <v>1977</v>
      </c>
      <c r="K14" s="51" t="s">
        <v>1978</v>
      </c>
    </row>
    <row r="15" spans="1:11" ht="132" customHeight="1">
      <c r="A15" s="50">
        <v>12</v>
      </c>
      <c r="B15" s="50">
        <v>3</v>
      </c>
      <c r="C15" s="50">
        <v>4</v>
      </c>
      <c r="D15" s="50">
        <v>126</v>
      </c>
      <c r="E15" s="50">
        <v>-9</v>
      </c>
      <c r="F15" s="50">
        <v>26</v>
      </c>
      <c r="G15" s="50">
        <v>126</v>
      </c>
      <c r="H15" s="50">
        <v>-9</v>
      </c>
      <c r="I15" s="50">
        <v>26</v>
      </c>
      <c r="J15" s="51" t="s">
        <v>1977</v>
      </c>
      <c r="K15" s="51" t="s">
        <v>1978</v>
      </c>
    </row>
    <row r="16" spans="1:11" ht="132" customHeight="1">
      <c r="A16" s="50">
        <v>13</v>
      </c>
      <c r="B16" s="50">
        <v>4</v>
      </c>
      <c r="C16" s="50">
        <v>4</v>
      </c>
      <c r="D16" s="50">
        <v>126</v>
      </c>
      <c r="E16" s="50">
        <v>-9</v>
      </c>
      <c r="F16" s="50">
        <v>26</v>
      </c>
      <c r="G16" s="50">
        <v>126</v>
      </c>
      <c r="H16" s="50">
        <v>-9</v>
      </c>
      <c r="I16" s="50">
        <v>26</v>
      </c>
      <c r="J16" s="51" t="s">
        <v>1977</v>
      </c>
      <c r="K16" s="51" t="s">
        <v>1978</v>
      </c>
    </row>
  </sheetData>
  <phoneticPr fontId="23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31"/>
  <sheetViews>
    <sheetView workbookViewId="0"/>
  </sheetViews>
  <sheetFormatPr defaultColWidth="9" defaultRowHeight="14"/>
  <cols>
    <col min="1" max="1" width="4.33203125" customWidth="1"/>
    <col min="2" max="2" width="8.33203125" customWidth="1"/>
    <col min="3" max="3" width="9.33203125" customWidth="1"/>
    <col min="4" max="4" width="10.25" customWidth="1"/>
    <col min="5" max="5" width="10.58203125" customWidth="1"/>
    <col min="6" max="6" width="11.33203125" customWidth="1"/>
    <col min="7" max="7" width="16.58203125" customWidth="1"/>
    <col min="8" max="8" width="11.08203125" customWidth="1"/>
    <col min="9" max="9" width="13.33203125" customWidth="1"/>
    <col min="10" max="10" width="15.58203125" customWidth="1"/>
    <col min="11" max="11" width="18.33203125" customWidth="1"/>
    <col min="12" max="12" width="20.33203125" customWidth="1"/>
    <col min="13" max="13" width="16.33203125" customWidth="1"/>
    <col min="14" max="14" width="18.58203125" customWidth="1"/>
    <col min="15" max="15" width="24.58203125" customWidth="1"/>
  </cols>
  <sheetData>
    <row r="1" spans="1:15" ht="15" customHeight="1">
      <c r="A1" s="44" t="s">
        <v>1979</v>
      </c>
    </row>
    <row r="2" spans="1:15" ht="16.5" customHeight="1">
      <c r="A2" s="45" t="s">
        <v>702</v>
      </c>
      <c r="B2" s="45" t="s">
        <v>1980</v>
      </c>
      <c r="C2" s="45" t="s">
        <v>1981</v>
      </c>
      <c r="D2" s="45" t="s">
        <v>1982</v>
      </c>
      <c r="E2" s="45" t="s">
        <v>1983</v>
      </c>
      <c r="F2" s="45" t="s">
        <v>1984</v>
      </c>
      <c r="G2" s="45" t="s">
        <v>1985</v>
      </c>
      <c r="H2" s="45" t="s">
        <v>1986</v>
      </c>
      <c r="I2" s="45" t="s">
        <v>1987</v>
      </c>
      <c r="J2" s="45" t="s">
        <v>1988</v>
      </c>
      <c r="K2" s="45" t="s">
        <v>1989</v>
      </c>
      <c r="L2" s="45" t="s">
        <v>1990</v>
      </c>
      <c r="M2" s="45" t="s">
        <v>1991</v>
      </c>
      <c r="N2" s="45" t="s">
        <v>1992</v>
      </c>
      <c r="O2" s="45" t="s">
        <v>1993</v>
      </c>
    </row>
    <row r="3" spans="1:15" ht="16.5" customHeight="1">
      <c r="A3" s="46" t="s">
        <v>702</v>
      </c>
      <c r="B3" s="46" t="s">
        <v>1851</v>
      </c>
      <c r="C3" s="46" t="s">
        <v>1994</v>
      </c>
      <c r="D3" s="46" t="s">
        <v>1995</v>
      </c>
      <c r="E3" s="46" t="s">
        <v>1996</v>
      </c>
      <c r="F3" s="46" t="s">
        <v>1997</v>
      </c>
      <c r="G3" s="46" t="s">
        <v>1998</v>
      </c>
      <c r="H3" s="46" t="s">
        <v>1999</v>
      </c>
      <c r="I3" s="46" t="s">
        <v>2000</v>
      </c>
      <c r="J3" s="46" t="s">
        <v>2001</v>
      </c>
      <c r="K3" s="46" t="s">
        <v>2002</v>
      </c>
      <c r="L3" s="46" t="s">
        <v>2003</v>
      </c>
      <c r="M3" s="46" t="s">
        <v>2004</v>
      </c>
      <c r="N3" s="46" t="s">
        <v>2005</v>
      </c>
      <c r="O3" s="46" t="s">
        <v>2006</v>
      </c>
    </row>
    <row r="4" spans="1:15" ht="21.75" customHeight="1">
      <c r="A4" s="47">
        <v>1</v>
      </c>
      <c r="B4" s="47">
        <v>1</v>
      </c>
      <c r="C4" s="47">
        <v>1</v>
      </c>
      <c r="D4" s="47">
        <v>1</v>
      </c>
      <c r="E4" s="47">
        <v>0.45</v>
      </c>
      <c r="F4" s="47">
        <v>0.9</v>
      </c>
      <c r="G4" s="47">
        <v>0.14000000000000001</v>
      </c>
      <c r="H4" s="47">
        <v>1E-3</v>
      </c>
      <c r="I4" s="47"/>
      <c r="J4" s="47"/>
      <c r="K4" s="47"/>
      <c r="L4" s="47"/>
      <c r="M4" s="47" t="s">
        <v>2007</v>
      </c>
      <c r="N4" s="47" t="s">
        <v>2008</v>
      </c>
      <c r="O4" s="47" t="s">
        <v>2009</v>
      </c>
    </row>
    <row r="5" spans="1:15" ht="21.75" customHeight="1">
      <c r="A5" s="47">
        <v>2</v>
      </c>
      <c r="B5" s="47">
        <v>1</v>
      </c>
      <c r="C5" s="47">
        <v>2</v>
      </c>
      <c r="D5" s="47">
        <v>1</v>
      </c>
      <c r="E5" s="47">
        <v>0.45</v>
      </c>
      <c r="F5" s="47">
        <v>0.9</v>
      </c>
      <c r="G5" s="47">
        <v>0.14000000000000001</v>
      </c>
      <c r="H5" s="47">
        <v>1E-3</v>
      </c>
      <c r="I5" s="47"/>
      <c r="J5" s="47"/>
      <c r="K5" s="47"/>
      <c r="L5" s="47"/>
      <c r="M5" s="47" t="s">
        <v>2007</v>
      </c>
      <c r="N5" s="47" t="s">
        <v>2010</v>
      </c>
      <c r="O5" s="47" t="s">
        <v>2011</v>
      </c>
    </row>
    <row r="6" spans="1:15" ht="24" customHeight="1">
      <c r="A6" s="47">
        <v>3</v>
      </c>
      <c r="B6" s="47">
        <v>1</v>
      </c>
      <c r="C6" s="47">
        <v>3</v>
      </c>
      <c r="D6" s="47">
        <v>1</v>
      </c>
      <c r="E6" s="47">
        <v>0.45</v>
      </c>
      <c r="F6" s="47">
        <v>0.3</v>
      </c>
      <c r="G6" s="47">
        <v>0.15</v>
      </c>
      <c r="H6" s="47">
        <v>0</v>
      </c>
      <c r="I6" s="47"/>
      <c r="J6" s="47"/>
      <c r="K6" s="47"/>
      <c r="L6" s="47"/>
      <c r="M6" s="47" t="s">
        <v>2012</v>
      </c>
      <c r="N6" s="47" t="s">
        <v>2013</v>
      </c>
      <c r="O6" s="47" t="s">
        <v>2014</v>
      </c>
    </row>
    <row r="7" spans="1:15" ht="22.5" customHeight="1">
      <c r="A7" s="47">
        <v>4</v>
      </c>
      <c r="B7" s="47">
        <v>1</v>
      </c>
      <c r="C7" s="47">
        <v>4</v>
      </c>
      <c r="D7" s="47">
        <v>1</v>
      </c>
      <c r="E7" s="47">
        <v>0</v>
      </c>
      <c r="F7" s="47">
        <v>0.39</v>
      </c>
      <c r="G7" s="47">
        <v>0.2</v>
      </c>
      <c r="H7" s="47">
        <v>0</v>
      </c>
      <c r="I7" s="47"/>
      <c r="J7" s="47">
        <v>1</v>
      </c>
      <c r="K7" s="47">
        <v>2</v>
      </c>
      <c r="L7" s="47">
        <v>2</v>
      </c>
      <c r="M7" s="47" t="s">
        <v>2015</v>
      </c>
      <c r="N7" s="47" t="s">
        <v>2016</v>
      </c>
      <c r="O7" s="47" t="s">
        <v>2017</v>
      </c>
    </row>
    <row r="8" spans="1:15" ht="16.5" customHeight="1">
      <c r="A8" s="47">
        <v>5</v>
      </c>
      <c r="B8" s="47">
        <v>2</v>
      </c>
      <c r="C8" s="47">
        <v>1</v>
      </c>
      <c r="D8" s="47">
        <v>1</v>
      </c>
      <c r="E8" s="47">
        <v>0.45</v>
      </c>
      <c r="F8" s="47">
        <v>0.9</v>
      </c>
      <c r="G8" s="47">
        <v>0.14000000000000001</v>
      </c>
      <c r="H8" s="47">
        <v>1E-3</v>
      </c>
      <c r="I8" s="47"/>
      <c r="J8" s="47"/>
      <c r="K8" s="47"/>
      <c r="L8" s="47"/>
      <c r="M8" s="47" t="s">
        <v>2007</v>
      </c>
      <c r="N8" s="47" t="s">
        <v>2008</v>
      </c>
      <c r="O8" s="47" t="s">
        <v>2018</v>
      </c>
    </row>
    <row r="9" spans="1:15" ht="16.5" customHeight="1">
      <c r="A9" s="47">
        <v>6</v>
      </c>
      <c r="B9" s="47">
        <v>2</v>
      </c>
      <c r="C9" s="47">
        <v>2</v>
      </c>
      <c r="D9" s="47">
        <v>1</v>
      </c>
      <c r="E9" s="47">
        <v>0.55000000000000004</v>
      </c>
      <c r="F9" s="47">
        <v>0.9</v>
      </c>
      <c r="G9" s="47">
        <v>0.14000000000000001</v>
      </c>
      <c r="H9" s="47">
        <v>1E-3</v>
      </c>
      <c r="I9" s="47"/>
      <c r="J9" s="47"/>
      <c r="K9" s="47"/>
      <c r="L9" s="47"/>
      <c r="M9" s="47" t="s">
        <v>2007</v>
      </c>
      <c r="N9" s="47" t="s">
        <v>2010</v>
      </c>
      <c r="O9" s="47" t="s">
        <v>2019</v>
      </c>
    </row>
    <row r="10" spans="1:15" ht="16.5" customHeight="1">
      <c r="A10" s="47">
        <v>7</v>
      </c>
      <c r="B10" s="47">
        <v>2</v>
      </c>
      <c r="C10" s="47">
        <v>3</v>
      </c>
      <c r="D10" s="47">
        <v>1</v>
      </c>
      <c r="E10" s="47">
        <v>0.55000000000000004</v>
      </c>
      <c r="F10" s="47">
        <v>0.3</v>
      </c>
      <c r="G10" s="47">
        <v>0.15</v>
      </c>
      <c r="H10" s="47">
        <v>0</v>
      </c>
      <c r="I10" s="47"/>
      <c r="J10" s="47"/>
      <c r="K10" s="47"/>
      <c r="L10" s="47"/>
      <c r="M10" s="47" t="s">
        <v>2012</v>
      </c>
      <c r="N10" s="47" t="s">
        <v>2020</v>
      </c>
      <c r="O10" s="47" t="s">
        <v>2021</v>
      </c>
    </row>
    <row r="11" spans="1:15" ht="16.5" customHeight="1">
      <c r="A11" s="47">
        <v>8</v>
      </c>
      <c r="B11" s="47">
        <v>2</v>
      </c>
      <c r="C11" s="47">
        <v>4</v>
      </c>
      <c r="D11" s="47">
        <v>1</v>
      </c>
      <c r="E11" s="47">
        <v>0</v>
      </c>
      <c r="F11" s="47">
        <v>0.39</v>
      </c>
      <c r="G11" s="47">
        <v>0.2</v>
      </c>
      <c r="H11" s="47">
        <v>0</v>
      </c>
      <c r="I11" s="47"/>
      <c r="J11" s="47">
        <v>1</v>
      </c>
      <c r="K11" s="47">
        <v>2</v>
      </c>
      <c r="L11" s="47">
        <v>2</v>
      </c>
      <c r="M11" s="47" t="s">
        <v>2015</v>
      </c>
      <c r="N11" s="47" t="s">
        <v>2016</v>
      </c>
      <c r="O11" s="47" t="s">
        <v>2022</v>
      </c>
    </row>
    <row r="12" spans="1:15" ht="16.5" customHeight="1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</row>
    <row r="13" spans="1:15" ht="16.5" customHeight="1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</row>
    <row r="14" spans="1:15" ht="16.5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</row>
    <row r="15" spans="1:15" ht="16.5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</row>
    <row r="16" spans="1:15" ht="16.5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</row>
    <row r="17" spans="1:15" ht="16.5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</row>
    <row r="18" spans="1:15" ht="16.5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</row>
    <row r="19" spans="1:15" ht="16.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</row>
    <row r="20" spans="1:15" ht="16.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</row>
    <row r="21" spans="1:15" ht="16.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</row>
    <row r="22" spans="1:15" ht="16.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</row>
    <row r="23" spans="1:15" ht="16.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</row>
    <row r="24" spans="1:15" ht="16.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</row>
    <row r="25" spans="1:15" ht="16.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</row>
    <row r="26" spans="1:15" ht="16.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</row>
    <row r="27" spans="1:15" ht="16.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</row>
    <row r="28" spans="1:15" ht="16.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</row>
    <row r="29" spans="1:15" ht="16.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</row>
    <row r="30" spans="1:15" ht="16.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</row>
    <row r="31" spans="1:15" ht="16.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</row>
  </sheetData>
  <phoneticPr fontId="23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5"/>
  <sheetViews>
    <sheetView workbookViewId="0"/>
  </sheetViews>
  <sheetFormatPr defaultColWidth="9" defaultRowHeight="14"/>
  <cols>
    <col min="1" max="1" width="17.58203125" customWidth="1"/>
    <col min="2" max="2" width="16.33203125" customWidth="1"/>
    <col min="3" max="3" width="10.58203125" customWidth="1"/>
    <col min="4" max="5" width="8.58203125" customWidth="1"/>
    <col min="6" max="6" width="13" customWidth="1"/>
  </cols>
  <sheetData>
    <row r="1" spans="1:6" ht="17.25" customHeight="1">
      <c r="A1" s="38" t="s">
        <v>2023</v>
      </c>
    </row>
    <row r="2" spans="1:6" ht="15" customHeight="1">
      <c r="A2" s="39" t="s">
        <v>2024</v>
      </c>
      <c r="B2" s="39" t="s">
        <v>691</v>
      </c>
      <c r="C2" s="39" t="s">
        <v>1942</v>
      </c>
      <c r="D2" s="39" t="s">
        <v>1943</v>
      </c>
      <c r="E2" s="39" t="s">
        <v>1944</v>
      </c>
    </row>
    <row r="3" spans="1:6" ht="16.5">
      <c r="A3" s="40" t="s">
        <v>2025</v>
      </c>
      <c r="B3" s="40" t="s">
        <v>1151</v>
      </c>
      <c r="C3" s="40" t="s">
        <v>2026</v>
      </c>
      <c r="D3" s="40" t="s">
        <v>2027</v>
      </c>
      <c r="E3" s="40" t="s">
        <v>2028</v>
      </c>
    </row>
    <row r="4" spans="1:6" ht="16.5">
      <c r="A4" s="41">
        <v>220200001</v>
      </c>
      <c r="B4" s="41">
        <v>202</v>
      </c>
      <c r="C4" s="42">
        <v>18</v>
      </c>
      <c r="D4" s="42">
        <v>-8.9263915999999999E-4</v>
      </c>
      <c r="E4" s="42">
        <v>-33</v>
      </c>
      <c r="F4" s="41" t="s">
        <v>154</v>
      </c>
    </row>
    <row r="5" spans="1:6" ht="16.5">
      <c r="A5" s="41">
        <v>220600001</v>
      </c>
      <c r="B5" s="41">
        <v>206</v>
      </c>
      <c r="C5" s="43">
        <v>72.599999999999994</v>
      </c>
      <c r="D5" s="43">
        <v>-8.8882445999999998E-4</v>
      </c>
      <c r="E5" s="43">
        <v>19.8</v>
      </c>
      <c r="F5" s="41" t="s">
        <v>293</v>
      </c>
    </row>
  </sheetData>
  <phoneticPr fontId="23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Z54"/>
  <sheetViews>
    <sheetView workbookViewId="0"/>
  </sheetViews>
  <sheetFormatPr defaultColWidth="9" defaultRowHeight="14"/>
  <cols>
    <col min="1" max="1" width="18.33203125" customWidth="1"/>
    <col min="2" max="2" width="12.08203125" customWidth="1"/>
    <col min="3" max="3" width="9.58203125" customWidth="1"/>
    <col min="4" max="4" width="11" customWidth="1"/>
    <col min="5" max="5" width="12.08203125" customWidth="1"/>
    <col min="6" max="6" width="39" customWidth="1"/>
    <col min="7" max="7" width="12.08203125" customWidth="1"/>
    <col min="8" max="9" width="9" customWidth="1"/>
    <col min="10" max="52" width="13" customWidth="1"/>
  </cols>
  <sheetData>
    <row r="1" spans="1:52">
      <c r="A1" t="s">
        <v>2029</v>
      </c>
      <c r="B1" s="37" t="s">
        <v>2030</v>
      </c>
      <c r="C1" s="37" t="s">
        <v>2031</v>
      </c>
      <c r="D1" s="37" t="s">
        <v>2032</v>
      </c>
      <c r="E1" s="37" t="s">
        <v>2033</v>
      </c>
      <c r="F1" s="37" t="s">
        <v>2034</v>
      </c>
      <c r="G1" s="37" t="s">
        <v>2035</v>
      </c>
      <c r="H1" s="37" t="s">
        <v>2036</v>
      </c>
      <c r="I1" s="37" t="s">
        <v>2037</v>
      </c>
      <c r="J1" s="37" t="s">
        <v>2038</v>
      </c>
      <c r="K1" s="37" t="s">
        <v>2039</v>
      </c>
      <c r="L1" s="37" t="s">
        <v>2040</v>
      </c>
      <c r="M1" s="37" t="s">
        <v>2041</v>
      </c>
      <c r="N1" s="37" t="s">
        <v>2042</v>
      </c>
      <c r="O1" s="37" t="s">
        <v>2043</v>
      </c>
      <c r="P1" s="37" t="s">
        <v>2044</v>
      </c>
      <c r="Q1" s="37" t="s">
        <v>2045</v>
      </c>
      <c r="R1" s="37" t="s">
        <v>2046</v>
      </c>
      <c r="S1" s="37" t="s">
        <v>2047</v>
      </c>
      <c r="T1" s="37" t="s">
        <v>2048</v>
      </c>
      <c r="U1" s="37" t="s">
        <v>2049</v>
      </c>
      <c r="V1" s="37" t="s">
        <v>2050</v>
      </c>
      <c r="W1" s="37" t="s">
        <v>2051</v>
      </c>
      <c r="X1" s="37" t="s">
        <v>2052</v>
      </c>
      <c r="Y1" s="37" t="s">
        <v>2053</v>
      </c>
      <c r="Z1" s="37" t="s">
        <v>2054</v>
      </c>
      <c r="AA1" s="37" t="s">
        <v>2055</v>
      </c>
      <c r="AB1" s="37" t="s">
        <v>2056</v>
      </c>
      <c r="AC1" s="37" t="s">
        <v>2057</v>
      </c>
      <c r="AD1" s="37" t="s">
        <v>2058</v>
      </c>
      <c r="AE1" s="37" t="s">
        <v>2059</v>
      </c>
      <c r="AF1" s="37" t="s">
        <v>2060</v>
      </c>
      <c r="AG1" s="37" t="s">
        <v>2061</v>
      </c>
      <c r="AH1" s="37" t="s">
        <v>2062</v>
      </c>
      <c r="AI1" s="37" t="s">
        <v>2063</v>
      </c>
      <c r="AJ1" s="37" t="s">
        <v>2064</v>
      </c>
      <c r="AK1" s="37" t="s">
        <v>2065</v>
      </c>
      <c r="AL1" s="37" t="s">
        <v>2066</v>
      </c>
      <c r="AM1" s="37" t="s">
        <v>2067</v>
      </c>
      <c r="AN1" s="37" t="s">
        <v>2068</v>
      </c>
      <c r="AO1" s="37" t="s">
        <v>2069</v>
      </c>
      <c r="AP1" s="37" t="s">
        <v>2070</v>
      </c>
      <c r="AQ1" s="37" t="s">
        <v>2071</v>
      </c>
      <c r="AR1" s="37" t="s">
        <v>2072</v>
      </c>
      <c r="AS1" s="37" t="s">
        <v>2073</v>
      </c>
      <c r="AT1" s="37" t="s">
        <v>2074</v>
      </c>
      <c r="AU1" s="37" t="s">
        <v>2075</v>
      </c>
      <c r="AV1" s="37" t="s">
        <v>2076</v>
      </c>
      <c r="AW1" s="37" t="s">
        <v>2077</v>
      </c>
      <c r="AX1" s="37" t="s">
        <v>2078</v>
      </c>
      <c r="AY1" s="37" t="s">
        <v>2079</v>
      </c>
      <c r="AZ1" s="37" t="s">
        <v>2080</v>
      </c>
    </row>
    <row r="3" spans="1:52">
      <c r="A3">
        <v>220100001</v>
      </c>
      <c r="B3" s="37">
        <v>201</v>
      </c>
      <c r="C3" s="37">
        <v>0</v>
      </c>
      <c r="D3" s="37">
        <v>19</v>
      </c>
      <c r="E3" s="37">
        <v>0</v>
      </c>
      <c r="F3" s="37">
        <v>0</v>
      </c>
      <c r="G3" s="37">
        <v>0</v>
      </c>
    </row>
    <row r="4" spans="1:52">
      <c r="A4" s="37">
        <v>220200001</v>
      </c>
      <c r="B4" s="37">
        <v>202</v>
      </c>
      <c r="C4" s="37">
        <v>0</v>
      </c>
      <c r="D4" s="37">
        <v>18</v>
      </c>
      <c r="E4" s="37">
        <v>24</v>
      </c>
      <c r="F4" s="37">
        <v>1.0299682599999999E-4</v>
      </c>
      <c r="G4" s="37">
        <v>-36</v>
      </c>
    </row>
    <row r="5" spans="1:52">
      <c r="A5" s="37">
        <v>220200002</v>
      </c>
      <c r="B5" s="37">
        <v>202</v>
      </c>
      <c r="C5" s="37">
        <v>0</v>
      </c>
      <c r="D5" s="37">
        <v>18</v>
      </c>
      <c r="E5" s="37">
        <v>48</v>
      </c>
      <c r="F5" s="37">
        <v>1.0299682599999999E-4</v>
      </c>
      <c r="G5" s="37">
        <v>-15</v>
      </c>
    </row>
    <row r="6" spans="1:52">
      <c r="A6" s="37">
        <v>220200003</v>
      </c>
      <c r="B6" s="37">
        <v>202</v>
      </c>
      <c r="C6" s="37">
        <v>0</v>
      </c>
      <c r="D6" s="37">
        <v>18</v>
      </c>
      <c r="E6" s="37">
        <v>36</v>
      </c>
      <c r="F6" s="37">
        <v>1.0299682599999999E-4</v>
      </c>
      <c r="G6" s="37">
        <v>-27</v>
      </c>
    </row>
    <row r="7" spans="1:52">
      <c r="A7" s="37">
        <v>220200004</v>
      </c>
      <c r="B7" s="37">
        <v>202</v>
      </c>
      <c r="C7" s="37">
        <v>0</v>
      </c>
      <c r="D7" s="37">
        <v>18</v>
      </c>
      <c r="E7" s="37">
        <v>30</v>
      </c>
      <c r="F7" s="37">
        <v>0</v>
      </c>
      <c r="G7" s="37">
        <v>-15</v>
      </c>
    </row>
    <row r="8" spans="1:52">
      <c r="A8" s="37">
        <v>220300001</v>
      </c>
      <c r="B8" s="37">
        <v>203</v>
      </c>
      <c r="C8" s="37">
        <v>0</v>
      </c>
      <c r="D8" s="37">
        <v>18</v>
      </c>
      <c r="E8" s="37">
        <v>147</v>
      </c>
      <c r="F8" s="37">
        <v>-9.0998990000000006</v>
      </c>
      <c r="G8" s="37">
        <v>-69</v>
      </c>
    </row>
    <row r="9" spans="1:52">
      <c r="A9" s="37">
        <v>220300002</v>
      </c>
      <c r="B9" s="37">
        <v>203</v>
      </c>
      <c r="C9" s="37">
        <v>0</v>
      </c>
      <c r="D9" s="37">
        <v>18</v>
      </c>
      <c r="E9" s="37">
        <v>123</v>
      </c>
      <c r="F9" s="37">
        <v>-9.0998990000000006</v>
      </c>
      <c r="G9" s="37">
        <v>-69</v>
      </c>
    </row>
    <row r="10" spans="1:52">
      <c r="A10" s="37">
        <v>220300003</v>
      </c>
      <c r="B10" s="37">
        <v>203</v>
      </c>
      <c r="C10" s="37">
        <v>0</v>
      </c>
      <c r="D10" s="37">
        <v>18</v>
      </c>
      <c r="E10" s="37">
        <v>123</v>
      </c>
      <c r="F10" s="37">
        <v>-9.0998990000000006</v>
      </c>
      <c r="G10" s="37">
        <v>-93</v>
      </c>
    </row>
    <row r="11" spans="1:52">
      <c r="A11" s="37">
        <v>220300004</v>
      </c>
      <c r="B11" s="37">
        <v>203</v>
      </c>
      <c r="C11" s="37">
        <v>0</v>
      </c>
      <c r="D11" s="37">
        <v>18</v>
      </c>
      <c r="E11" s="37">
        <v>147</v>
      </c>
      <c r="F11" s="37">
        <v>-9.0998955000000006</v>
      </c>
      <c r="G11" s="37">
        <v>-45</v>
      </c>
    </row>
    <row r="12" spans="1:52">
      <c r="A12" s="37">
        <v>220400001</v>
      </c>
      <c r="B12" s="37">
        <v>204</v>
      </c>
      <c r="C12" s="37">
        <v>0</v>
      </c>
      <c r="D12" s="37">
        <v>18</v>
      </c>
      <c r="E12" s="37">
        <v>-42</v>
      </c>
      <c r="F12" s="37">
        <v>-6.0012245000000002</v>
      </c>
      <c r="G12" s="37">
        <v>-93</v>
      </c>
    </row>
    <row r="13" spans="1:52">
      <c r="A13" s="37">
        <v>220400002</v>
      </c>
      <c r="B13" s="37">
        <v>204</v>
      </c>
      <c r="C13" s="37">
        <v>0</v>
      </c>
      <c r="D13" s="37">
        <v>18</v>
      </c>
      <c r="E13" s="37">
        <v>-24</v>
      </c>
      <c r="F13" s="37">
        <v>-5.9916799999999997</v>
      </c>
      <c r="G13" s="37">
        <v>-90</v>
      </c>
    </row>
    <row r="14" spans="1:52">
      <c r="A14" s="37">
        <v>220400003</v>
      </c>
      <c r="B14" s="37">
        <v>204</v>
      </c>
      <c r="C14" s="37">
        <v>0</v>
      </c>
      <c r="D14" s="37">
        <v>18</v>
      </c>
      <c r="E14" s="37">
        <v>-24</v>
      </c>
      <c r="F14" s="37">
        <v>-5.997967</v>
      </c>
      <c r="G14" s="37">
        <v>-108</v>
      </c>
    </row>
    <row r="15" spans="1:52">
      <c r="A15" s="37">
        <v>220400004</v>
      </c>
      <c r="B15" s="37">
        <v>204</v>
      </c>
      <c r="C15" s="37">
        <v>0</v>
      </c>
      <c r="D15" s="37">
        <v>18</v>
      </c>
      <c r="E15" s="37">
        <v>-57</v>
      </c>
      <c r="F15" s="37">
        <v>-6.0010032999999998</v>
      </c>
      <c r="G15" s="37">
        <v>-93</v>
      </c>
    </row>
    <row r="16" spans="1:52">
      <c r="A16" s="37">
        <v>220500001</v>
      </c>
      <c r="B16" s="37">
        <v>205</v>
      </c>
      <c r="C16" s="37">
        <v>0</v>
      </c>
      <c r="D16" s="37">
        <v>18</v>
      </c>
      <c r="E16" s="37">
        <v>-105</v>
      </c>
      <c r="F16" s="37">
        <v>1.0299682599999999E-4</v>
      </c>
      <c r="G16" s="37">
        <v>-66</v>
      </c>
    </row>
    <row r="17" spans="1:7">
      <c r="A17" s="37">
        <v>220500002</v>
      </c>
      <c r="B17" s="37">
        <v>205</v>
      </c>
      <c r="C17" s="37">
        <v>0</v>
      </c>
      <c r="D17" s="37">
        <v>18</v>
      </c>
      <c r="E17" s="37">
        <v>-102</v>
      </c>
      <c r="F17" s="37">
        <v>-8.9645386E-4</v>
      </c>
      <c r="G17" s="37">
        <v>-54</v>
      </c>
    </row>
    <row r="18" spans="1:7">
      <c r="A18" s="37">
        <v>220600001</v>
      </c>
      <c r="B18" s="37">
        <v>206</v>
      </c>
      <c r="C18" s="37">
        <v>0</v>
      </c>
      <c r="D18" s="37">
        <v>18</v>
      </c>
      <c r="E18" s="37">
        <v>36</v>
      </c>
      <c r="F18" s="37">
        <v>1.1062622E-4</v>
      </c>
      <c r="G18" s="37">
        <v>21</v>
      </c>
    </row>
    <row r="19" spans="1:7">
      <c r="A19" s="37">
        <v>220700001</v>
      </c>
      <c r="B19" s="37">
        <v>207</v>
      </c>
      <c r="C19" s="37">
        <v>0</v>
      </c>
      <c r="D19" s="37">
        <v>18</v>
      </c>
      <c r="E19" s="37">
        <v>132</v>
      </c>
      <c r="F19" s="37">
        <v>-9.099907</v>
      </c>
      <c r="G19" s="37">
        <v>-108</v>
      </c>
    </row>
    <row r="20" spans="1:7">
      <c r="A20" s="37">
        <v>220700002</v>
      </c>
      <c r="B20" s="37">
        <v>207</v>
      </c>
      <c r="C20" s="37">
        <v>0</v>
      </c>
      <c r="D20" s="37">
        <v>18</v>
      </c>
      <c r="E20" s="37">
        <v>123</v>
      </c>
      <c r="F20" s="37">
        <v>-9.0998990000000006</v>
      </c>
      <c r="G20" s="37">
        <v>-81</v>
      </c>
    </row>
    <row r="21" spans="1:7">
      <c r="A21" s="37">
        <v>220700003</v>
      </c>
      <c r="B21" s="37">
        <v>207</v>
      </c>
      <c r="C21" s="37">
        <v>0</v>
      </c>
      <c r="D21" s="37">
        <v>18</v>
      </c>
      <c r="E21" s="37">
        <v>147</v>
      </c>
      <c r="F21" s="37">
        <v>-9.0999029999999994</v>
      </c>
      <c r="G21" s="37">
        <v>-81</v>
      </c>
    </row>
    <row r="22" spans="1:7">
      <c r="A22" s="37">
        <v>220700004</v>
      </c>
      <c r="B22" s="37">
        <v>207</v>
      </c>
      <c r="C22" s="37">
        <v>0</v>
      </c>
      <c r="D22" s="37">
        <v>18</v>
      </c>
      <c r="E22" s="37">
        <v>135</v>
      </c>
      <c r="F22" s="37">
        <v>-9.0998990000000006</v>
      </c>
      <c r="G22" s="37">
        <v>-72</v>
      </c>
    </row>
    <row r="23" spans="1:7">
      <c r="A23" s="37">
        <v>220700005</v>
      </c>
      <c r="B23" s="37">
        <v>207</v>
      </c>
      <c r="C23" s="37">
        <v>0</v>
      </c>
      <c r="D23" s="37">
        <v>18</v>
      </c>
      <c r="E23" s="37">
        <v>135</v>
      </c>
      <c r="F23" s="37">
        <v>-9.0999029999999994</v>
      </c>
      <c r="G23" s="37">
        <v>-84</v>
      </c>
    </row>
    <row r="24" spans="1:7">
      <c r="A24" s="37">
        <v>220700006</v>
      </c>
      <c r="B24" s="37">
        <v>207</v>
      </c>
      <c r="C24" s="37">
        <v>0</v>
      </c>
      <c r="D24" s="37">
        <v>18</v>
      </c>
      <c r="E24" s="37">
        <v>135</v>
      </c>
      <c r="F24" s="37">
        <v>-9.0998955000000006</v>
      </c>
      <c r="G24" s="37">
        <v>-48</v>
      </c>
    </row>
    <row r="25" spans="1:7">
      <c r="A25" s="37">
        <v>220700007</v>
      </c>
      <c r="B25" s="37">
        <v>207</v>
      </c>
      <c r="C25" s="37">
        <v>0</v>
      </c>
      <c r="D25" s="37">
        <v>18</v>
      </c>
      <c r="E25" s="37">
        <v>135</v>
      </c>
      <c r="F25" s="37">
        <v>-9.0998990000000006</v>
      </c>
      <c r="G25" s="37">
        <v>-60</v>
      </c>
    </row>
    <row r="26" spans="1:7">
      <c r="A26" s="37">
        <v>220700008</v>
      </c>
      <c r="B26" s="37">
        <v>207</v>
      </c>
      <c r="C26" s="37">
        <v>0</v>
      </c>
      <c r="D26" s="37">
        <v>18</v>
      </c>
      <c r="E26" s="37">
        <v>159</v>
      </c>
      <c r="F26" s="37">
        <v>-9.0998955000000006</v>
      </c>
      <c r="G26" s="37">
        <v>-51</v>
      </c>
    </row>
    <row r="27" spans="1:7">
      <c r="A27" s="37">
        <v>220700009</v>
      </c>
      <c r="B27" s="37">
        <v>207</v>
      </c>
      <c r="C27" s="37">
        <v>0</v>
      </c>
      <c r="D27" s="37">
        <v>18</v>
      </c>
      <c r="E27" s="37">
        <v>111</v>
      </c>
      <c r="F27" s="37">
        <v>-9.0998990000000006</v>
      </c>
      <c r="G27" s="37">
        <v>-90</v>
      </c>
    </row>
    <row r="28" spans="1:7">
      <c r="A28" s="37">
        <v>220700010</v>
      </c>
      <c r="B28" s="37">
        <v>207</v>
      </c>
      <c r="C28" s="37">
        <v>0</v>
      </c>
      <c r="D28" s="37">
        <v>18</v>
      </c>
      <c r="E28" s="37">
        <v>120</v>
      </c>
      <c r="F28" s="37">
        <v>-9.0999029999999994</v>
      </c>
      <c r="G28" s="37">
        <v>-105</v>
      </c>
    </row>
    <row r="29" spans="1:7">
      <c r="A29" s="37">
        <v>220700011</v>
      </c>
      <c r="B29" s="37">
        <v>207</v>
      </c>
      <c r="C29" s="37">
        <v>0</v>
      </c>
      <c r="D29" s="37">
        <v>18</v>
      </c>
      <c r="E29" s="37">
        <v>159</v>
      </c>
      <c r="F29" s="37">
        <v>-9.0998920000000005</v>
      </c>
      <c r="G29" s="37">
        <v>-39</v>
      </c>
    </row>
    <row r="30" spans="1:7">
      <c r="A30" s="37">
        <v>220700012</v>
      </c>
      <c r="B30" s="37">
        <v>207</v>
      </c>
      <c r="C30" s="37">
        <v>0</v>
      </c>
      <c r="D30" s="37">
        <v>18</v>
      </c>
      <c r="E30" s="37">
        <v>120</v>
      </c>
      <c r="F30" s="37">
        <v>-9.099907</v>
      </c>
      <c r="G30" s="37">
        <v>-117</v>
      </c>
    </row>
    <row r="31" spans="1:7">
      <c r="A31" s="37">
        <v>220700013</v>
      </c>
      <c r="B31" s="37">
        <v>207</v>
      </c>
      <c r="C31" s="37">
        <v>0</v>
      </c>
      <c r="D31" s="37">
        <v>18</v>
      </c>
      <c r="E31" s="37">
        <v>135</v>
      </c>
      <c r="F31" s="37">
        <v>-9.0999029999999994</v>
      </c>
      <c r="G31" s="37">
        <v>-96</v>
      </c>
    </row>
    <row r="32" spans="1:7">
      <c r="A32" s="37">
        <v>220700014</v>
      </c>
      <c r="B32" s="37">
        <v>207</v>
      </c>
      <c r="C32" s="37">
        <v>0</v>
      </c>
      <c r="D32" s="37">
        <v>18</v>
      </c>
      <c r="E32" s="37">
        <v>147</v>
      </c>
      <c r="F32" s="37">
        <v>-9</v>
      </c>
      <c r="G32" s="37">
        <v>-57</v>
      </c>
    </row>
    <row r="33" spans="1:7">
      <c r="A33" s="37">
        <v>220700015</v>
      </c>
      <c r="B33" s="37">
        <v>207</v>
      </c>
      <c r="C33" s="37">
        <v>0</v>
      </c>
      <c r="D33" s="37">
        <v>18</v>
      </c>
      <c r="E33" s="37">
        <v>147</v>
      </c>
      <c r="F33" s="37">
        <v>-9.0998920000000005</v>
      </c>
      <c r="G33" s="37">
        <v>-33</v>
      </c>
    </row>
    <row r="34" spans="1:7">
      <c r="A34" s="37">
        <v>220700016</v>
      </c>
      <c r="B34" s="37">
        <v>207</v>
      </c>
      <c r="C34" s="37">
        <v>0</v>
      </c>
      <c r="D34" s="37">
        <v>18</v>
      </c>
      <c r="E34" s="37">
        <v>135</v>
      </c>
      <c r="F34" s="37">
        <v>-9.0998955000000006</v>
      </c>
      <c r="G34" s="37">
        <v>-36</v>
      </c>
    </row>
    <row r="35" spans="1:7">
      <c r="A35" s="37">
        <v>220800001</v>
      </c>
      <c r="B35" s="37">
        <v>208</v>
      </c>
      <c r="C35" s="37">
        <v>0</v>
      </c>
      <c r="D35" s="37">
        <v>18</v>
      </c>
      <c r="E35" s="37">
        <v>-69</v>
      </c>
      <c r="F35" s="37">
        <v>13</v>
      </c>
      <c r="G35" s="37">
        <v>78</v>
      </c>
    </row>
    <row r="36" spans="1:7">
      <c r="A36" s="37">
        <v>220900001</v>
      </c>
      <c r="B36" s="37">
        <v>209</v>
      </c>
      <c r="C36" s="37">
        <v>0</v>
      </c>
      <c r="D36" s="37">
        <v>18</v>
      </c>
      <c r="E36" s="37">
        <v>75</v>
      </c>
      <c r="F36" s="37">
        <v>1.1444092000000001E-4</v>
      </c>
      <c r="G36" s="37">
        <v>45</v>
      </c>
    </row>
    <row r="37" spans="1:7">
      <c r="A37" s="37">
        <v>221100001</v>
      </c>
      <c r="B37" s="37">
        <v>211</v>
      </c>
      <c r="C37" s="37">
        <v>0</v>
      </c>
      <c r="D37" s="37">
        <v>18</v>
      </c>
      <c r="E37" s="37">
        <v>54</v>
      </c>
      <c r="F37" s="37">
        <v>1.0299682599999999E-4</v>
      </c>
      <c r="G37" s="37">
        <v>-39</v>
      </c>
    </row>
    <row r="38" spans="1:7">
      <c r="A38" s="37">
        <v>221200001</v>
      </c>
      <c r="B38" s="37">
        <v>212</v>
      </c>
      <c r="C38" s="37">
        <v>0</v>
      </c>
      <c r="D38" s="37">
        <v>18</v>
      </c>
      <c r="E38" s="37">
        <v>109.5</v>
      </c>
      <c r="F38" s="37">
        <v>-4.5999999999999996</v>
      </c>
      <c r="G38" s="37">
        <v>69</v>
      </c>
    </row>
    <row r="39" spans="1:7">
      <c r="A39" s="37">
        <v>221300001</v>
      </c>
      <c r="B39" s="37">
        <v>213</v>
      </c>
      <c r="C39" s="37">
        <v>0</v>
      </c>
      <c r="D39" s="37">
        <v>18</v>
      </c>
      <c r="E39" s="37">
        <v>16.5</v>
      </c>
      <c r="F39" s="37">
        <v>-18.48</v>
      </c>
      <c r="G39" s="37">
        <v>130.5</v>
      </c>
    </row>
    <row r="40" spans="1:7">
      <c r="A40" s="37">
        <v>221500001</v>
      </c>
      <c r="B40" s="37">
        <v>215</v>
      </c>
      <c r="C40" s="37">
        <v>0</v>
      </c>
      <c r="D40" s="37">
        <v>18</v>
      </c>
      <c r="E40" s="37">
        <v>99</v>
      </c>
      <c r="F40" s="37">
        <v>0</v>
      </c>
      <c r="G40" s="37">
        <v>1</v>
      </c>
    </row>
    <row r="41" spans="1:7">
      <c r="A41" s="37">
        <v>222200001</v>
      </c>
      <c r="B41" s="37">
        <v>222</v>
      </c>
      <c r="C41" s="37">
        <v>0</v>
      </c>
      <c r="D41" s="37">
        <v>18</v>
      </c>
      <c r="E41" s="37">
        <v>27</v>
      </c>
      <c r="F41" s="37">
        <v>0</v>
      </c>
      <c r="G41" s="37">
        <v>45</v>
      </c>
    </row>
    <row r="42" spans="1:7">
      <c r="A42" s="37">
        <v>222400001</v>
      </c>
      <c r="B42" s="37">
        <v>224</v>
      </c>
      <c r="C42" s="37">
        <v>0</v>
      </c>
      <c r="D42" s="37">
        <v>18</v>
      </c>
      <c r="E42" s="37">
        <v>63</v>
      </c>
      <c r="F42" s="37">
        <v>1.1444092000000001E-4</v>
      </c>
      <c r="G42" s="37">
        <v>21</v>
      </c>
    </row>
    <row r="43" spans="1:7">
      <c r="A43" s="37">
        <v>222600001</v>
      </c>
      <c r="B43" s="37">
        <v>226</v>
      </c>
      <c r="C43" s="37">
        <v>0</v>
      </c>
      <c r="D43" s="37">
        <v>18</v>
      </c>
      <c r="E43" s="37">
        <v>-21</v>
      </c>
      <c r="F43" s="37">
        <v>3</v>
      </c>
      <c r="G43" s="37">
        <v>69</v>
      </c>
    </row>
    <row r="44" spans="1:7">
      <c r="A44" s="37">
        <v>222700001</v>
      </c>
      <c r="B44" s="37">
        <v>227</v>
      </c>
      <c r="C44" s="37">
        <v>0</v>
      </c>
      <c r="D44" s="37">
        <v>18</v>
      </c>
      <c r="E44" s="37">
        <v>166</v>
      </c>
      <c r="F44" s="37">
        <v>-9</v>
      </c>
      <c r="G44" s="37">
        <v>12</v>
      </c>
    </row>
    <row r="45" spans="1:7">
      <c r="A45" s="37">
        <v>222700002</v>
      </c>
      <c r="B45" s="37">
        <v>227</v>
      </c>
      <c r="C45" s="37">
        <v>0</v>
      </c>
      <c r="D45" s="37">
        <v>18</v>
      </c>
      <c r="E45" s="37">
        <v>172</v>
      </c>
      <c r="F45" s="37">
        <v>-9</v>
      </c>
      <c r="G45" s="37">
        <v>-23</v>
      </c>
    </row>
    <row r="46" spans="1:7">
      <c r="A46" s="37">
        <v>222900001</v>
      </c>
      <c r="B46" s="37">
        <v>229</v>
      </c>
      <c r="C46" s="37">
        <v>0</v>
      </c>
      <c r="D46" s="37">
        <v>18</v>
      </c>
      <c r="E46" s="37">
        <v>-40.5</v>
      </c>
      <c r="F46" s="37">
        <v>0</v>
      </c>
      <c r="G46" s="37">
        <v>-49.5</v>
      </c>
    </row>
    <row r="47" spans="1:7">
      <c r="A47" s="37">
        <v>223000001</v>
      </c>
      <c r="B47" s="37">
        <v>230</v>
      </c>
      <c r="C47" s="37">
        <v>0</v>
      </c>
      <c r="D47" s="37">
        <v>18</v>
      </c>
      <c r="E47" s="37">
        <v>75</v>
      </c>
      <c r="F47" s="37">
        <v>1.0299682599999999E-4</v>
      </c>
      <c r="G47" s="37">
        <v>-24</v>
      </c>
    </row>
    <row r="48" spans="1:7">
      <c r="A48" s="37">
        <v>223100001</v>
      </c>
      <c r="B48" s="37">
        <v>231</v>
      </c>
      <c r="C48" s="37">
        <v>0</v>
      </c>
      <c r="D48" s="37">
        <v>18</v>
      </c>
      <c r="E48" s="37">
        <v>-10.5</v>
      </c>
      <c r="F48" s="37">
        <v>9.9182129999999996E-5</v>
      </c>
      <c r="G48" s="37">
        <v>-37.5</v>
      </c>
    </row>
    <row r="49" spans="1:7">
      <c r="A49" s="37">
        <v>223200001</v>
      </c>
      <c r="B49" s="37">
        <v>232</v>
      </c>
      <c r="C49" s="37">
        <v>0</v>
      </c>
      <c r="D49" s="37">
        <v>18</v>
      </c>
      <c r="E49" s="37">
        <v>48</v>
      </c>
      <c r="F49" s="37">
        <v>1.1062622E-4</v>
      </c>
      <c r="G49" s="37">
        <v>48</v>
      </c>
    </row>
    <row r="50" spans="1:7">
      <c r="A50" s="37">
        <v>223400001</v>
      </c>
      <c r="B50" s="37">
        <v>234</v>
      </c>
      <c r="C50" s="37">
        <v>0</v>
      </c>
      <c r="D50" s="37">
        <v>18</v>
      </c>
      <c r="E50" s="37">
        <v>-111</v>
      </c>
      <c r="F50" s="37">
        <v>0</v>
      </c>
      <c r="G50" s="37">
        <v>-33</v>
      </c>
    </row>
    <row r="51" spans="1:7">
      <c r="A51" s="37">
        <v>223400002</v>
      </c>
      <c r="B51" s="37">
        <v>234</v>
      </c>
      <c r="C51" s="37">
        <v>0</v>
      </c>
      <c r="D51" s="37">
        <v>18</v>
      </c>
      <c r="E51" s="37">
        <v>-99</v>
      </c>
      <c r="F51" s="37">
        <v>-8.8119507000000003E-4</v>
      </c>
      <c r="G51" s="37">
        <v>-18</v>
      </c>
    </row>
    <row r="52" spans="1:7">
      <c r="A52" s="37">
        <v>223500001</v>
      </c>
      <c r="B52" s="37">
        <v>235</v>
      </c>
      <c r="C52" s="37">
        <v>0</v>
      </c>
      <c r="D52" s="37">
        <v>18</v>
      </c>
      <c r="E52" s="37">
        <v>-63</v>
      </c>
      <c r="F52" s="37">
        <v>5</v>
      </c>
      <c r="G52" s="37">
        <v>6</v>
      </c>
    </row>
    <row r="53" spans="1:7">
      <c r="A53" s="37">
        <v>223600001</v>
      </c>
      <c r="B53" s="37">
        <v>236</v>
      </c>
      <c r="C53" s="37">
        <v>0</v>
      </c>
      <c r="D53" s="37">
        <v>18</v>
      </c>
      <c r="E53" s="37">
        <v>-42</v>
      </c>
      <c r="F53" s="37">
        <v>5</v>
      </c>
      <c r="G53" s="37">
        <v>5</v>
      </c>
    </row>
    <row r="54" spans="1:7">
      <c r="A54" s="37">
        <v>223700001</v>
      </c>
      <c r="B54" s="37">
        <v>237</v>
      </c>
      <c r="C54" s="37">
        <v>0</v>
      </c>
      <c r="D54" s="37">
        <v>18</v>
      </c>
      <c r="E54" s="37">
        <v>33</v>
      </c>
      <c r="F54" s="37">
        <v>1.0299682599999999E-4</v>
      </c>
      <c r="G54" s="37">
        <v>-57</v>
      </c>
    </row>
  </sheetData>
  <phoneticPr fontId="23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L31"/>
  <sheetViews>
    <sheetView workbookViewId="0"/>
  </sheetViews>
  <sheetFormatPr defaultColWidth="9" defaultRowHeight="14"/>
  <cols>
    <col min="1" max="2" width="13" customWidth="1"/>
    <col min="3" max="3" width="51.33203125" customWidth="1"/>
    <col min="4" max="4" width="21.33203125" customWidth="1"/>
    <col min="5" max="5" width="13" customWidth="1"/>
    <col min="6" max="6" width="21" customWidth="1"/>
    <col min="7" max="7" width="12.58203125" customWidth="1"/>
    <col min="8" max="8" width="13.58203125" customWidth="1"/>
    <col min="9" max="10" width="13" customWidth="1"/>
    <col min="11" max="11" width="16.58203125" customWidth="1"/>
    <col min="12" max="12" width="19.33203125" customWidth="1"/>
    <col min="13" max="13" width="27" customWidth="1"/>
    <col min="14" max="14" width="15" customWidth="1"/>
    <col min="15" max="15" width="14.25" customWidth="1"/>
    <col min="16" max="16" width="13" customWidth="1"/>
    <col min="17" max="17" width="13.33203125" customWidth="1"/>
    <col min="18" max="18" width="13.58203125" customWidth="1"/>
    <col min="19" max="19" width="13" customWidth="1"/>
    <col min="20" max="20" width="15.08203125" customWidth="1"/>
    <col min="21" max="21" width="14.08203125" customWidth="1"/>
    <col min="22" max="22" width="13.33203125" customWidth="1"/>
    <col min="23" max="23" width="16" customWidth="1"/>
    <col min="24" max="24" width="13" customWidth="1"/>
    <col min="25" max="25" width="18.08203125" customWidth="1"/>
    <col min="26" max="26" width="13" customWidth="1"/>
    <col min="27" max="27" width="17.25" customWidth="1"/>
    <col min="28" max="28" width="19.08203125" customWidth="1"/>
    <col min="29" max="29" width="21.58203125" customWidth="1"/>
    <col min="30" max="30" width="20" customWidth="1"/>
    <col min="31" max="31" width="20.33203125" customWidth="1"/>
    <col min="32" max="32" width="21.33203125" customWidth="1"/>
    <col min="33" max="33" width="19.58203125" customWidth="1"/>
    <col min="34" max="34" width="14.25" customWidth="1"/>
    <col min="35" max="35" width="20.33203125" customWidth="1"/>
    <col min="36" max="36" width="10" customWidth="1"/>
    <col min="37" max="37" width="13" customWidth="1"/>
    <col min="38" max="38" width="20.33203125" customWidth="1"/>
  </cols>
  <sheetData>
    <row r="1" spans="1:38" ht="14.5">
      <c r="F1" s="2"/>
      <c r="K1" s="20"/>
    </row>
    <row r="2" spans="1:38" ht="14.5">
      <c r="A2" s="3" t="s">
        <v>691</v>
      </c>
      <c r="B2" s="3" t="s">
        <v>692</v>
      </c>
      <c r="C2" s="3" t="s">
        <v>716</v>
      </c>
      <c r="D2" s="3" t="s">
        <v>718</v>
      </c>
      <c r="E2" s="3" t="s">
        <v>719</v>
      </c>
      <c r="F2" s="3" t="s">
        <v>720</v>
      </c>
      <c r="G2" s="4" t="s">
        <v>721</v>
      </c>
      <c r="H2" s="4" t="s">
        <v>722</v>
      </c>
      <c r="I2" s="4" t="s">
        <v>725</v>
      </c>
      <c r="J2" s="4" t="s">
        <v>726</v>
      </c>
      <c r="K2" s="4" t="s">
        <v>727</v>
      </c>
      <c r="L2" s="4" t="s">
        <v>728</v>
      </c>
      <c r="M2" s="21" t="s">
        <v>729</v>
      </c>
      <c r="N2" s="21" t="s">
        <v>730</v>
      </c>
      <c r="O2" s="21" t="s">
        <v>731</v>
      </c>
      <c r="P2" s="21" t="s">
        <v>732</v>
      </c>
      <c r="Q2" s="21" t="s">
        <v>693</v>
      </c>
      <c r="R2" s="21" t="s">
        <v>694</v>
      </c>
      <c r="S2" s="21" t="s">
        <v>695</v>
      </c>
      <c r="T2" s="26" t="s">
        <v>736</v>
      </c>
      <c r="U2" s="26" t="s">
        <v>2081</v>
      </c>
      <c r="V2" s="26" t="s">
        <v>2082</v>
      </c>
      <c r="W2" s="26" t="s">
        <v>2083</v>
      </c>
      <c r="X2" s="26" t="s">
        <v>734</v>
      </c>
      <c r="Y2" s="26" t="s">
        <v>737</v>
      </c>
      <c r="Z2" s="26" t="s">
        <v>738</v>
      </c>
      <c r="AA2" s="26" t="s">
        <v>739</v>
      </c>
      <c r="AB2" s="26" t="s">
        <v>740</v>
      </c>
      <c r="AC2" s="26" t="s">
        <v>741</v>
      </c>
      <c r="AD2" s="26" t="s">
        <v>742</v>
      </c>
      <c r="AE2" s="26" t="s">
        <v>743</v>
      </c>
      <c r="AF2" s="26" t="s">
        <v>744</v>
      </c>
      <c r="AG2" s="26" t="s">
        <v>745</v>
      </c>
      <c r="AH2" s="26" t="s">
        <v>746</v>
      </c>
      <c r="AI2" s="26" t="s">
        <v>747</v>
      </c>
      <c r="AJ2" s="26" t="s">
        <v>750</v>
      </c>
      <c r="AK2" s="26" t="s">
        <v>751</v>
      </c>
      <c r="AL2" s="26" t="s">
        <v>748</v>
      </c>
    </row>
    <row r="3" spans="1:38" ht="14.5">
      <c r="A3" s="3" t="s">
        <v>702</v>
      </c>
      <c r="B3" s="3"/>
      <c r="C3" s="3" t="s">
        <v>758</v>
      </c>
      <c r="D3" s="3" t="s">
        <v>760</v>
      </c>
      <c r="E3" s="3" t="s">
        <v>761</v>
      </c>
      <c r="F3" s="3" t="s">
        <v>762</v>
      </c>
      <c r="G3" s="4" t="s">
        <v>763</v>
      </c>
      <c r="H3" s="4" t="s">
        <v>764</v>
      </c>
      <c r="I3" s="4" t="s">
        <v>767</v>
      </c>
      <c r="J3" s="4" t="s">
        <v>768</v>
      </c>
      <c r="K3" s="4" t="s">
        <v>769</v>
      </c>
      <c r="L3" s="4" t="s">
        <v>770</v>
      </c>
      <c r="M3" s="4" t="s">
        <v>771</v>
      </c>
      <c r="N3" s="4" t="s">
        <v>772</v>
      </c>
      <c r="O3" s="4" t="s">
        <v>773</v>
      </c>
      <c r="P3" s="4" t="s">
        <v>774</v>
      </c>
      <c r="Q3" s="4" t="s">
        <v>775</v>
      </c>
      <c r="R3" s="26" t="s">
        <v>776</v>
      </c>
      <c r="S3" s="26" t="s">
        <v>777</v>
      </c>
      <c r="T3" s="26" t="s">
        <v>787</v>
      </c>
      <c r="U3" s="26" t="s">
        <v>2084</v>
      </c>
      <c r="V3" s="26" t="s">
        <v>2085</v>
      </c>
      <c r="W3" s="26" t="s">
        <v>2086</v>
      </c>
      <c r="X3" s="26" t="s">
        <v>785</v>
      </c>
      <c r="Y3" s="26" t="s">
        <v>788</v>
      </c>
      <c r="Z3" s="26" t="s">
        <v>789</v>
      </c>
      <c r="AA3" s="26" t="s">
        <v>790</v>
      </c>
      <c r="AB3" s="26" t="s">
        <v>791</v>
      </c>
      <c r="AC3" s="26" t="s">
        <v>792</v>
      </c>
      <c r="AD3" s="26" t="s">
        <v>793</v>
      </c>
      <c r="AE3" s="26" t="s">
        <v>794</v>
      </c>
      <c r="AF3" s="26" t="s">
        <v>795</v>
      </c>
      <c r="AG3" s="26" t="s">
        <v>796</v>
      </c>
      <c r="AH3" s="26" t="s">
        <v>797</v>
      </c>
      <c r="AI3" s="26" t="s">
        <v>798</v>
      </c>
      <c r="AJ3" s="26" t="s">
        <v>800</v>
      </c>
      <c r="AK3" s="26" t="s">
        <v>801</v>
      </c>
      <c r="AL3" s="26" t="s">
        <v>771</v>
      </c>
    </row>
    <row r="4" spans="1:38" ht="16.5">
      <c r="A4" s="5">
        <v>201</v>
      </c>
      <c r="B4" s="6" t="s">
        <v>66</v>
      </c>
      <c r="C4" s="5" t="s">
        <v>806</v>
      </c>
      <c r="D4" s="7"/>
      <c r="E4" s="8">
        <v>100</v>
      </c>
      <c r="F4" s="9">
        <v>0</v>
      </c>
      <c r="G4" s="10">
        <v>6</v>
      </c>
      <c r="H4" s="10">
        <v>6</v>
      </c>
      <c r="I4" s="10">
        <v>6</v>
      </c>
      <c r="J4" s="10">
        <v>6</v>
      </c>
      <c r="K4" s="9" t="s">
        <v>2087</v>
      </c>
      <c r="L4" s="9" t="s">
        <v>2088</v>
      </c>
      <c r="M4" s="9"/>
      <c r="N4" s="22" t="s">
        <v>809</v>
      </c>
      <c r="O4" s="23" t="s">
        <v>840</v>
      </c>
      <c r="P4" s="22" t="s">
        <v>811</v>
      </c>
      <c r="Q4" s="10">
        <v>50</v>
      </c>
      <c r="R4" s="27">
        <v>70</v>
      </c>
      <c r="S4" s="27">
        <v>30</v>
      </c>
      <c r="T4" s="28">
        <v>10484</v>
      </c>
      <c r="U4" s="29">
        <v>10485</v>
      </c>
      <c r="V4" s="27">
        <v>10182</v>
      </c>
      <c r="W4">
        <v>10185</v>
      </c>
      <c r="X4" s="30">
        <v>10522</v>
      </c>
      <c r="Y4" s="34">
        <v>11800</v>
      </c>
      <c r="Z4" s="35">
        <v>10550</v>
      </c>
      <c r="AA4" s="35">
        <v>10553</v>
      </c>
      <c r="AB4" s="35">
        <v>10554</v>
      </c>
      <c r="AC4" s="34">
        <v>11800</v>
      </c>
      <c r="AD4" s="35">
        <v>10552</v>
      </c>
      <c r="AE4" s="35">
        <v>10553</v>
      </c>
      <c r="AF4" s="35">
        <v>10552</v>
      </c>
      <c r="AG4" s="34">
        <v>10192</v>
      </c>
      <c r="AH4" s="34">
        <v>10192</v>
      </c>
      <c r="AI4" s="35">
        <v>1</v>
      </c>
      <c r="AJ4" s="35">
        <v>0</v>
      </c>
      <c r="AK4" s="35">
        <v>0</v>
      </c>
      <c r="AL4" s="35"/>
    </row>
    <row r="5" spans="1:38" ht="16.5">
      <c r="A5" s="11">
        <v>202</v>
      </c>
      <c r="B5" s="12" t="s">
        <v>2089</v>
      </c>
      <c r="C5" s="11" t="s">
        <v>821</v>
      </c>
      <c r="D5" s="13"/>
      <c r="E5" s="14">
        <v>95</v>
      </c>
      <c r="F5" s="15">
        <v>0</v>
      </c>
      <c r="G5" s="16">
        <v>4</v>
      </c>
      <c r="H5" s="16">
        <v>4</v>
      </c>
      <c r="I5" s="16">
        <v>3</v>
      </c>
      <c r="J5" s="16">
        <v>3</v>
      </c>
      <c r="K5" s="15" t="s">
        <v>2090</v>
      </c>
      <c r="L5" s="15" t="s">
        <v>2091</v>
      </c>
      <c r="M5" s="15"/>
      <c r="N5" s="24" t="s">
        <v>809</v>
      </c>
      <c r="O5" s="23" t="s">
        <v>840</v>
      </c>
      <c r="P5" s="24" t="s">
        <v>825</v>
      </c>
      <c r="Q5" s="16">
        <v>50</v>
      </c>
      <c r="R5" s="27">
        <v>70</v>
      </c>
      <c r="S5" s="27">
        <v>30</v>
      </c>
      <c r="T5" s="31">
        <v>10490</v>
      </c>
      <c r="U5" s="32">
        <v>10491</v>
      </c>
      <c r="V5">
        <v>10180</v>
      </c>
      <c r="W5">
        <v>10183</v>
      </c>
      <c r="X5" s="30">
        <v>10523</v>
      </c>
      <c r="Y5" s="34">
        <v>11800</v>
      </c>
      <c r="Z5" s="34">
        <v>10550</v>
      </c>
      <c r="AA5" s="35">
        <v>10553</v>
      </c>
      <c r="AB5" s="35">
        <v>10554</v>
      </c>
      <c r="AC5" s="34">
        <v>11800</v>
      </c>
      <c r="AD5" s="35">
        <v>10552</v>
      </c>
      <c r="AE5" s="35">
        <v>10553</v>
      </c>
      <c r="AF5" s="35">
        <v>10552</v>
      </c>
      <c r="AG5" s="34">
        <v>10192</v>
      </c>
      <c r="AH5" s="34">
        <v>10192</v>
      </c>
      <c r="AI5" s="35">
        <v>1</v>
      </c>
      <c r="AJ5" s="35">
        <v>1</v>
      </c>
      <c r="AK5" s="35">
        <v>2</v>
      </c>
      <c r="AL5" s="35"/>
    </row>
    <row r="6" spans="1:38" ht="16.5">
      <c r="A6" s="5">
        <v>203</v>
      </c>
      <c r="B6" s="6" t="s">
        <v>202</v>
      </c>
      <c r="C6" s="5" t="s">
        <v>829</v>
      </c>
      <c r="D6" s="7"/>
      <c r="E6" s="8">
        <v>71</v>
      </c>
      <c r="F6" s="9">
        <v>0</v>
      </c>
      <c r="G6" s="10">
        <v>4</v>
      </c>
      <c r="H6" s="10">
        <v>4</v>
      </c>
      <c r="I6" s="10">
        <v>3</v>
      </c>
      <c r="J6" s="10">
        <v>3</v>
      </c>
      <c r="K6" s="9" t="s">
        <v>2092</v>
      </c>
      <c r="L6" s="9" t="s">
        <v>2093</v>
      </c>
      <c r="M6" s="9"/>
      <c r="N6" s="22" t="s">
        <v>809</v>
      </c>
      <c r="O6" s="23" t="s">
        <v>840</v>
      </c>
      <c r="P6" s="22" t="s">
        <v>825</v>
      </c>
      <c r="Q6" s="10">
        <v>50</v>
      </c>
      <c r="R6" s="27">
        <v>70</v>
      </c>
      <c r="S6" s="27">
        <v>30</v>
      </c>
      <c r="T6" s="29">
        <v>10482</v>
      </c>
      <c r="U6" s="29">
        <v>10483</v>
      </c>
      <c r="V6" s="27">
        <v>10181</v>
      </c>
      <c r="W6">
        <v>10184</v>
      </c>
      <c r="X6" s="30">
        <v>10524</v>
      </c>
      <c r="Y6" s="34">
        <v>11800</v>
      </c>
      <c r="Z6" s="34">
        <v>10550</v>
      </c>
      <c r="AA6" s="35">
        <v>10553</v>
      </c>
      <c r="AB6" s="35">
        <v>10554</v>
      </c>
      <c r="AC6" s="34">
        <v>11800</v>
      </c>
      <c r="AD6" s="35">
        <v>10552</v>
      </c>
      <c r="AE6" s="35">
        <v>10553</v>
      </c>
      <c r="AF6" s="35">
        <v>10552</v>
      </c>
      <c r="AG6" s="34">
        <v>10192</v>
      </c>
      <c r="AH6" s="34">
        <v>10192</v>
      </c>
      <c r="AI6" s="35">
        <v>0</v>
      </c>
      <c r="AJ6" s="35">
        <v>3</v>
      </c>
      <c r="AK6" s="35">
        <v>4</v>
      </c>
      <c r="AL6" s="35"/>
    </row>
    <row r="7" spans="1:38" ht="16.5">
      <c r="A7" s="11">
        <v>204</v>
      </c>
      <c r="B7" s="12" t="s">
        <v>226</v>
      </c>
      <c r="C7" s="11" t="s">
        <v>837</v>
      </c>
      <c r="D7" s="13"/>
      <c r="E7" s="14">
        <v>74</v>
      </c>
      <c r="F7" s="15">
        <v>0</v>
      </c>
      <c r="G7" s="16">
        <v>3</v>
      </c>
      <c r="H7" s="16">
        <v>3</v>
      </c>
      <c r="I7" s="16">
        <v>2</v>
      </c>
      <c r="J7" s="16">
        <v>2</v>
      </c>
      <c r="K7" s="15" t="s">
        <v>2094</v>
      </c>
      <c r="L7" s="15" t="s">
        <v>2095</v>
      </c>
      <c r="M7" s="15"/>
      <c r="N7" s="24" t="s">
        <v>809</v>
      </c>
      <c r="O7" s="23" t="s">
        <v>840</v>
      </c>
      <c r="P7" s="24" t="s">
        <v>825</v>
      </c>
      <c r="Q7" s="16">
        <v>50</v>
      </c>
      <c r="R7" s="27">
        <v>70</v>
      </c>
      <c r="S7" s="27">
        <v>30</v>
      </c>
      <c r="T7" s="32">
        <v>10480</v>
      </c>
      <c r="U7" s="31">
        <v>10481</v>
      </c>
      <c r="V7">
        <v>10180</v>
      </c>
      <c r="W7">
        <v>10183</v>
      </c>
      <c r="X7" s="30">
        <v>10525</v>
      </c>
      <c r="Y7" s="34">
        <v>11800</v>
      </c>
      <c r="Z7" s="34">
        <v>10550</v>
      </c>
      <c r="AA7" s="35">
        <v>10553</v>
      </c>
      <c r="AB7" s="35">
        <v>10554</v>
      </c>
      <c r="AC7" s="34">
        <v>11800</v>
      </c>
      <c r="AD7" s="35">
        <v>10552</v>
      </c>
      <c r="AE7" s="35">
        <v>10553</v>
      </c>
      <c r="AF7" s="35">
        <v>10552</v>
      </c>
      <c r="AG7" s="34">
        <v>10192</v>
      </c>
      <c r="AH7" s="34">
        <v>10192</v>
      </c>
      <c r="AI7" s="35">
        <v>0</v>
      </c>
      <c r="AJ7" s="35">
        <v>5</v>
      </c>
      <c r="AK7" s="35">
        <v>6</v>
      </c>
      <c r="AL7" s="35"/>
    </row>
    <row r="8" spans="1:38" ht="16.5">
      <c r="A8" s="11">
        <v>205</v>
      </c>
      <c r="B8" s="12" t="s">
        <v>2096</v>
      </c>
      <c r="C8" s="11" t="s">
        <v>845</v>
      </c>
      <c r="D8" s="13"/>
      <c r="E8" s="8">
        <v>73</v>
      </c>
      <c r="F8" s="15">
        <v>0</v>
      </c>
      <c r="G8" s="16">
        <v>4</v>
      </c>
      <c r="H8" s="16">
        <v>4</v>
      </c>
      <c r="I8" s="16">
        <v>3</v>
      </c>
      <c r="J8" s="16">
        <v>3</v>
      </c>
      <c r="K8" s="15" t="s">
        <v>2097</v>
      </c>
      <c r="L8" s="15" t="s">
        <v>2098</v>
      </c>
      <c r="M8" s="15"/>
      <c r="N8" s="24" t="s">
        <v>809</v>
      </c>
      <c r="O8" s="23" t="s">
        <v>840</v>
      </c>
      <c r="P8" s="24" t="s">
        <v>825</v>
      </c>
      <c r="Q8" s="16">
        <v>50</v>
      </c>
      <c r="R8" s="27">
        <v>70</v>
      </c>
      <c r="S8" s="27">
        <v>30</v>
      </c>
      <c r="T8" s="32">
        <v>10488</v>
      </c>
      <c r="U8" s="32">
        <v>10489</v>
      </c>
      <c r="V8">
        <v>10180</v>
      </c>
      <c r="W8">
        <v>10183</v>
      </c>
      <c r="X8" s="30">
        <v>10526</v>
      </c>
      <c r="Y8" s="34">
        <v>11800</v>
      </c>
      <c r="Z8" s="34">
        <v>10550</v>
      </c>
      <c r="AA8" s="35">
        <v>10553</v>
      </c>
      <c r="AB8" s="35">
        <v>10554</v>
      </c>
      <c r="AC8" s="34">
        <v>11800</v>
      </c>
      <c r="AD8" s="35">
        <v>10552</v>
      </c>
      <c r="AE8" s="35">
        <v>10553</v>
      </c>
      <c r="AF8" s="35">
        <v>10552</v>
      </c>
      <c r="AG8" s="34">
        <v>10192</v>
      </c>
      <c r="AH8" s="34">
        <v>10192</v>
      </c>
      <c r="AI8" s="35">
        <v>0</v>
      </c>
      <c r="AJ8" s="35">
        <v>7</v>
      </c>
      <c r="AK8" s="35">
        <v>8</v>
      </c>
      <c r="AL8" s="35"/>
    </row>
    <row r="9" spans="1:38" ht="16.5">
      <c r="A9" s="11">
        <v>206</v>
      </c>
      <c r="B9" s="12" t="s">
        <v>293</v>
      </c>
      <c r="C9" s="11" t="s">
        <v>852</v>
      </c>
      <c r="D9" s="13"/>
      <c r="E9" s="14">
        <v>93</v>
      </c>
      <c r="F9" s="15">
        <v>0</v>
      </c>
      <c r="G9" s="16">
        <v>6</v>
      </c>
      <c r="H9" s="16">
        <v>6</v>
      </c>
      <c r="I9" s="16">
        <v>5</v>
      </c>
      <c r="J9" s="16">
        <v>5</v>
      </c>
      <c r="K9" s="15" t="s">
        <v>2099</v>
      </c>
      <c r="L9" s="15" t="s">
        <v>2100</v>
      </c>
      <c r="M9" s="15"/>
      <c r="N9" s="24" t="s">
        <v>809</v>
      </c>
      <c r="O9" s="23" t="s">
        <v>840</v>
      </c>
      <c r="P9" s="24" t="s">
        <v>825</v>
      </c>
      <c r="Q9" s="16">
        <v>50</v>
      </c>
      <c r="R9" s="27">
        <v>70</v>
      </c>
      <c r="S9" s="27">
        <v>30</v>
      </c>
      <c r="T9" s="31">
        <v>10496</v>
      </c>
      <c r="U9" s="32">
        <v>10497</v>
      </c>
      <c r="V9">
        <v>10181</v>
      </c>
      <c r="W9">
        <v>10184</v>
      </c>
      <c r="X9" s="30">
        <v>10527</v>
      </c>
      <c r="Y9" s="34">
        <v>11800</v>
      </c>
      <c r="Z9" s="36">
        <v>10550</v>
      </c>
      <c r="AA9" s="35">
        <v>10553</v>
      </c>
      <c r="AB9" s="35">
        <v>10554</v>
      </c>
      <c r="AC9" s="34">
        <v>11800</v>
      </c>
      <c r="AD9" s="35">
        <v>10552</v>
      </c>
      <c r="AE9" s="35">
        <v>10553</v>
      </c>
      <c r="AF9" s="35">
        <v>10552</v>
      </c>
      <c r="AG9" s="36">
        <v>10192</v>
      </c>
      <c r="AH9" s="36">
        <v>10192</v>
      </c>
      <c r="AI9" s="35">
        <v>1</v>
      </c>
      <c r="AJ9" s="35">
        <v>9</v>
      </c>
      <c r="AK9" s="35">
        <v>10</v>
      </c>
      <c r="AL9" s="35"/>
    </row>
    <row r="10" spans="1:38" ht="16.5">
      <c r="A10" s="11">
        <v>207</v>
      </c>
      <c r="B10" s="12" t="s">
        <v>595</v>
      </c>
      <c r="C10" s="11" t="s">
        <v>862</v>
      </c>
      <c r="D10" s="13"/>
      <c r="E10" s="8">
        <v>72</v>
      </c>
      <c r="F10" s="15">
        <v>1</v>
      </c>
      <c r="G10" s="16">
        <v>4</v>
      </c>
      <c r="H10" s="16">
        <v>4</v>
      </c>
      <c r="I10" s="16">
        <v>3</v>
      </c>
      <c r="J10" s="16">
        <v>3</v>
      </c>
      <c r="K10" s="15" t="s">
        <v>2101</v>
      </c>
      <c r="L10" s="15" t="s">
        <v>2102</v>
      </c>
      <c r="M10" s="25" t="s">
        <v>2103</v>
      </c>
      <c r="N10" s="24" t="s">
        <v>809</v>
      </c>
      <c r="O10" s="23" t="s">
        <v>840</v>
      </c>
      <c r="P10" s="24" t="s">
        <v>825</v>
      </c>
      <c r="Q10" s="16">
        <v>50</v>
      </c>
      <c r="R10" s="27">
        <v>70</v>
      </c>
      <c r="S10" s="27">
        <v>30</v>
      </c>
      <c r="T10">
        <v>0</v>
      </c>
      <c r="U10">
        <v>0</v>
      </c>
      <c r="V10">
        <v>10181</v>
      </c>
      <c r="W10" s="33">
        <v>10186</v>
      </c>
      <c r="X10" s="30">
        <v>10528</v>
      </c>
      <c r="Y10" s="34">
        <v>11800</v>
      </c>
      <c r="Z10" s="35">
        <v>10186</v>
      </c>
      <c r="AA10" s="35">
        <v>10553</v>
      </c>
      <c r="AB10" s="35">
        <v>10186</v>
      </c>
      <c r="AC10" s="34">
        <v>11800</v>
      </c>
      <c r="AD10" s="35">
        <v>10552</v>
      </c>
      <c r="AE10" s="35">
        <v>10553</v>
      </c>
      <c r="AF10" s="35">
        <v>10552</v>
      </c>
      <c r="AG10" s="34">
        <v>10192</v>
      </c>
      <c r="AH10" s="34">
        <v>10192</v>
      </c>
      <c r="AI10" s="35">
        <v>0</v>
      </c>
      <c r="AJ10" s="35">
        <v>0</v>
      </c>
      <c r="AK10" s="35">
        <v>0</v>
      </c>
      <c r="AL10" s="35"/>
    </row>
    <row r="11" spans="1:38" ht="16.5">
      <c r="A11" s="11">
        <v>208</v>
      </c>
      <c r="B11" s="12" t="s">
        <v>589</v>
      </c>
      <c r="C11" s="11" t="s">
        <v>868</v>
      </c>
      <c r="D11" s="11" t="s">
        <v>869</v>
      </c>
      <c r="E11" s="14">
        <v>65</v>
      </c>
      <c r="F11" s="15">
        <v>0</v>
      </c>
      <c r="G11" s="16">
        <v>4</v>
      </c>
      <c r="H11" s="16">
        <v>4</v>
      </c>
      <c r="I11" s="16">
        <v>3</v>
      </c>
      <c r="J11" s="16">
        <v>3</v>
      </c>
      <c r="K11" s="15" t="s">
        <v>2104</v>
      </c>
      <c r="L11" s="15" t="s">
        <v>2105</v>
      </c>
      <c r="M11" s="15"/>
      <c r="N11" s="24" t="s">
        <v>809</v>
      </c>
      <c r="O11" s="23" t="s">
        <v>872</v>
      </c>
      <c r="P11" s="24" t="s">
        <v>825</v>
      </c>
      <c r="Q11" s="16">
        <v>50</v>
      </c>
      <c r="R11" s="27">
        <v>70</v>
      </c>
      <c r="S11" s="27">
        <v>30</v>
      </c>
      <c r="T11" s="16">
        <v>0</v>
      </c>
      <c r="U11" s="16">
        <v>0</v>
      </c>
      <c r="V11">
        <v>10181</v>
      </c>
      <c r="W11">
        <v>10184</v>
      </c>
      <c r="X11" s="30">
        <v>10529</v>
      </c>
      <c r="Y11" s="34">
        <v>11800</v>
      </c>
      <c r="Z11" s="34">
        <v>10550</v>
      </c>
      <c r="AA11" s="35">
        <v>10553</v>
      </c>
      <c r="AB11" s="35">
        <v>10554</v>
      </c>
      <c r="AC11" s="34">
        <v>11800</v>
      </c>
      <c r="AD11" s="35">
        <v>10552</v>
      </c>
      <c r="AE11" s="35">
        <v>10553</v>
      </c>
      <c r="AF11" s="35">
        <v>10552</v>
      </c>
      <c r="AG11" s="34">
        <v>10192</v>
      </c>
      <c r="AH11" s="34">
        <v>10192</v>
      </c>
      <c r="AI11" s="35">
        <v>0</v>
      </c>
      <c r="AJ11" s="35">
        <v>0</v>
      </c>
      <c r="AK11" s="35">
        <v>0</v>
      </c>
      <c r="AL11" s="35"/>
    </row>
    <row r="12" spans="1:38" ht="16.5">
      <c r="A12" s="11">
        <v>209</v>
      </c>
      <c r="B12" s="12" t="s">
        <v>344</v>
      </c>
      <c r="C12" s="11" t="s">
        <v>877</v>
      </c>
      <c r="D12" s="13"/>
      <c r="E12" s="8">
        <v>90</v>
      </c>
      <c r="F12" s="15">
        <v>0</v>
      </c>
      <c r="G12" s="16">
        <v>6</v>
      </c>
      <c r="H12" s="16">
        <v>6</v>
      </c>
      <c r="I12" s="16">
        <v>5</v>
      </c>
      <c r="J12" s="16">
        <v>5</v>
      </c>
      <c r="K12" s="15" t="s">
        <v>2106</v>
      </c>
      <c r="L12" s="15" t="s">
        <v>2107</v>
      </c>
      <c r="M12" s="15"/>
      <c r="N12" s="24" t="s">
        <v>809</v>
      </c>
      <c r="O12" s="23" t="s">
        <v>840</v>
      </c>
      <c r="P12" s="24" t="s">
        <v>825</v>
      </c>
      <c r="Q12" s="16">
        <v>50</v>
      </c>
      <c r="R12" s="27">
        <v>70</v>
      </c>
      <c r="S12" s="27">
        <v>30</v>
      </c>
      <c r="T12" s="32">
        <v>10500</v>
      </c>
      <c r="U12" s="32">
        <v>10501</v>
      </c>
      <c r="V12">
        <v>10181</v>
      </c>
      <c r="W12">
        <v>10184</v>
      </c>
      <c r="X12" s="30">
        <v>10530</v>
      </c>
      <c r="Y12" s="34">
        <v>11800</v>
      </c>
      <c r="Z12" s="34">
        <v>10550</v>
      </c>
      <c r="AA12" s="35">
        <v>10553</v>
      </c>
      <c r="AB12" s="35">
        <v>10554</v>
      </c>
      <c r="AC12" s="34">
        <v>11800</v>
      </c>
      <c r="AD12" s="35">
        <v>10552</v>
      </c>
      <c r="AE12" s="35">
        <v>10553</v>
      </c>
      <c r="AF12" s="35">
        <v>10552</v>
      </c>
      <c r="AG12" s="34">
        <v>10192</v>
      </c>
      <c r="AH12" s="34">
        <v>10192</v>
      </c>
      <c r="AI12" s="35">
        <v>1</v>
      </c>
      <c r="AJ12" s="35">
        <v>11</v>
      </c>
      <c r="AK12" s="35">
        <v>12</v>
      </c>
      <c r="AL12" s="35"/>
    </row>
    <row r="13" spans="1:38" ht="16.5">
      <c r="A13" s="11">
        <v>211</v>
      </c>
      <c r="B13" s="12" t="s">
        <v>605</v>
      </c>
      <c r="C13" s="11" t="s">
        <v>885</v>
      </c>
      <c r="D13" s="13"/>
      <c r="E13" s="14">
        <v>55</v>
      </c>
      <c r="F13" s="15">
        <v>0</v>
      </c>
      <c r="G13" s="16">
        <v>7</v>
      </c>
      <c r="H13" s="16">
        <v>7</v>
      </c>
      <c r="I13" s="16">
        <v>6</v>
      </c>
      <c r="J13" s="16">
        <v>6</v>
      </c>
      <c r="K13" s="15" t="s">
        <v>2108</v>
      </c>
      <c r="L13" s="15" t="s">
        <v>2109</v>
      </c>
      <c r="M13" s="25" t="s">
        <v>2110</v>
      </c>
      <c r="N13" s="24" t="s">
        <v>809</v>
      </c>
      <c r="O13" s="23" t="s">
        <v>840</v>
      </c>
      <c r="P13" s="24" t="s">
        <v>825</v>
      </c>
      <c r="Q13" s="16">
        <v>50</v>
      </c>
      <c r="R13" s="27">
        <v>70</v>
      </c>
      <c r="S13" s="27">
        <v>30</v>
      </c>
      <c r="T13" s="16">
        <v>0</v>
      </c>
      <c r="U13">
        <v>0</v>
      </c>
      <c r="V13">
        <v>10182</v>
      </c>
      <c r="W13">
        <v>10185</v>
      </c>
      <c r="X13" s="30">
        <v>10532</v>
      </c>
      <c r="Y13" s="34">
        <v>11800</v>
      </c>
      <c r="Z13" s="34">
        <v>10550</v>
      </c>
      <c r="AA13" s="35">
        <v>10553</v>
      </c>
      <c r="AB13" s="35">
        <v>10554</v>
      </c>
      <c r="AC13" s="34">
        <v>11800</v>
      </c>
      <c r="AD13" s="35">
        <v>10552</v>
      </c>
      <c r="AE13" s="35">
        <v>10553</v>
      </c>
      <c r="AF13" s="35">
        <v>10552</v>
      </c>
      <c r="AG13" s="34">
        <v>10192</v>
      </c>
      <c r="AH13" s="34">
        <v>10192</v>
      </c>
      <c r="AI13" s="35">
        <v>1</v>
      </c>
      <c r="AJ13" s="35">
        <v>13</v>
      </c>
      <c r="AK13" s="35">
        <v>14</v>
      </c>
      <c r="AL13" s="35"/>
    </row>
    <row r="14" spans="1:38" ht="16.5">
      <c r="A14" s="11">
        <v>212</v>
      </c>
      <c r="B14" s="12" t="s">
        <v>394</v>
      </c>
      <c r="C14" s="11" t="s">
        <v>892</v>
      </c>
      <c r="D14" s="13"/>
      <c r="E14" s="8">
        <v>60</v>
      </c>
      <c r="F14" s="15">
        <v>0</v>
      </c>
      <c r="G14" s="16">
        <v>13</v>
      </c>
      <c r="H14" s="16">
        <v>8</v>
      </c>
      <c r="I14" s="16">
        <v>0</v>
      </c>
      <c r="J14" s="16">
        <v>0</v>
      </c>
      <c r="K14" s="15" t="s">
        <v>2111</v>
      </c>
      <c r="L14" s="15" t="s">
        <v>2112</v>
      </c>
      <c r="M14" s="15"/>
      <c r="N14" s="24" t="s">
        <v>809</v>
      </c>
      <c r="O14" s="23" t="s">
        <v>2113</v>
      </c>
      <c r="P14" s="24" t="s">
        <v>825</v>
      </c>
      <c r="Q14" s="10">
        <v>50</v>
      </c>
      <c r="R14" s="27">
        <v>70</v>
      </c>
      <c r="S14" s="27">
        <v>30</v>
      </c>
      <c r="T14" s="16">
        <v>0</v>
      </c>
      <c r="U14">
        <v>0</v>
      </c>
      <c r="V14">
        <v>10182</v>
      </c>
      <c r="W14">
        <v>10185</v>
      </c>
      <c r="X14" s="30">
        <v>11843</v>
      </c>
      <c r="Y14" s="34">
        <v>11800</v>
      </c>
      <c r="Z14" s="34">
        <v>10550</v>
      </c>
      <c r="AA14" s="35">
        <v>10553</v>
      </c>
      <c r="AB14" s="35">
        <v>10554</v>
      </c>
      <c r="AC14" s="34">
        <v>11800</v>
      </c>
      <c r="AD14" s="35">
        <v>10552</v>
      </c>
      <c r="AE14" s="35">
        <v>10553</v>
      </c>
      <c r="AF14" s="35">
        <v>10552</v>
      </c>
      <c r="AG14" s="34">
        <v>10192</v>
      </c>
      <c r="AH14" s="34">
        <v>10192</v>
      </c>
      <c r="AI14" s="35">
        <v>0</v>
      </c>
      <c r="AJ14" s="35">
        <v>15</v>
      </c>
      <c r="AK14" s="35">
        <v>16</v>
      </c>
      <c r="AL14" s="35"/>
    </row>
    <row r="15" spans="1:38" ht="16.5">
      <c r="A15" s="11">
        <v>213</v>
      </c>
      <c r="B15" s="12" t="s">
        <v>599</v>
      </c>
      <c r="C15" s="11" t="s">
        <v>899</v>
      </c>
      <c r="D15" s="13"/>
      <c r="E15" s="14">
        <v>35</v>
      </c>
      <c r="F15" s="15">
        <v>0</v>
      </c>
      <c r="G15" s="16">
        <v>7</v>
      </c>
      <c r="H15" s="16">
        <v>7</v>
      </c>
      <c r="I15" s="16">
        <v>6</v>
      </c>
      <c r="J15" s="16">
        <v>6</v>
      </c>
      <c r="K15" s="15" t="s">
        <v>2114</v>
      </c>
      <c r="L15" s="15" t="s">
        <v>2115</v>
      </c>
      <c r="M15" s="15"/>
      <c r="N15" s="24" t="s">
        <v>809</v>
      </c>
      <c r="O15" s="23" t="s">
        <v>840</v>
      </c>
      <c r="P15" s="24" t="s">
        <v>825</v>
      </c>
      <c r="Q15" s="16">
        <v>50</v>
      </c>
      <c r="R15" s="27">
        <v>70</v>
      </c>
      <c r="S15" s="27">
        <v>30</v>
      </c>
      <c r="T15" s="32">
        <v>10492</v>
      </c>
      <c r="U15" s="31">
        <v>10493</v>
      </c>
      <c r="V15">
        <v>10182</v>
      </c>
      <c r="W15" s="32">
        <v>10187</v>
      </c>
      <c r="X15" s="30">
        <v>10533</v>
      </c>
      <c r="Y15" s="34">
        <v>11800</v>
      </c>
      <c r="Z15" s="34">
        <v>10550</v>
      </c>
      <c r="AA15" s="35">
        <v>10553</v>
      </c>
      <c r="AB15" s="35">
        <v>10554</v>
      </c>
      <c r="AC15" s="34">
        <v>11800</v>
      </c>
      <c r="AD15" s="35">
        <v>10552</v>
      </c>
      <c r="AE15" s="35">
        <v>10553</v>
      </c>
      <c r="AF15" s="35">
        <v>10552</v>
      </c>
      <c r="AG15" s="34">
        <v>10192</v>
      </c>
      <c r="AH15" s="34">
        <v>10192</v>
      </c>
      <c r="AI15" s="35">
        <v>0</v>
      </c>
      <c r="AJ15" s="35">
        <v>17</v>
      </c>
      <c r="AK15" s="35">
        <v>18</v>
      </c>
      <c r="AL15" s="35"/>
    </row>
    <row r="16" spans="1:38" ht="16.5">
      <c r="A16" s="11">
        <v>214</v>
      </c>
      <c r="B16" s="12" t="s">
        <v>597</v>
      </c>
      <c r="C16" s="11" t="s">
        <v>2116</v>
      </c>
      <c r="D16" s="13"/>
      <c r="E16" s="8">
        <v>25</v>
      </c>
      <c r="F16" s="15">
        <v>1</v>
      </c>
      <c r="G16" s="16">
        <v>4</v>
      </c>
      <c r="H16" s="16">
        <v>4</v>
      </c>
      <c r="I16" s="16">
        <v>3</v>
      </c>
      <c r="J16" s="16">
        <v>3</v>
      </c>
      <c r="K16" s="15" t="s">
        <v>2117</v>
      </c>
      <c r="L16" s="15" t="s">
        <v>2118</v>
      </c>
      <c r="M16" s="25" t="s">
        <v>2119</v>
      </c>
      <c r="N16" s="24" t="s">
        <v>809</v>
      </c>
      <c r="O16" s="24" t="s">
        <v>840</v>
      </c>
      <c r="P16" s="24" t="s">
        <v>825</v>
      </c>
      <c r="Q16" s="16">
        <v>50</v>
      </c>
      <c r="R16" s="27">
        <v>70</v>
      </c>
      <c r="S16" s="27">
        <v>30</v>
      </c>
      <c r="T16">
        <v>0</v>
      </c>
      <c r="U16">
        <v>0</v>
      </c>
      <c r="V16">
        <v>11587</v>
      </c>
      <c r="W16">
        <v>10164</v>
      </c>
      <c r="X16" s="30">
        <v>10164</v>
      </c>
      <c r="Y16" s="34">
        <v>11800</v>
      </c>
      <c r="Z16" s="34">
        <v>10550</v>
      </c>
      <c r="AA16" s="35">
        <v>10553</v>
      </c>
      <c r="AB16" s="35">
        <v>10164</v>
      </c>
      <c r="AC16" s="34">
        <v>11800</v>
      </c>
      <c r="AD16" s="35">
        <v>10552</v>
      </c>
      <c r="AE16" s="35">
        <v>10553</v>
      </c>
      <c r="AF16" s="35">
        <v>10552</v>
      </c>
      <c r="AG16" s="34">
        <v>10192</v>
      </c>
      <c r="AH16" s="34">
        <v>10192</v>
      </c>
      <c r="AI16" s="35">
        <v>0</v>
      </c>
      <c r="AJ16" s="35">
        <v>0</v>
      </c>
      <c r="AK16" s="35">
        <v>0</v>
      </c>
      <c r="AL16" s="35"/>
    </row>
    <row r="17" spans="1:38" ht="16.5">
      <c r="A17" s="11">
        <v>215</v>
      </c>
      <c r="B17" s="12" t="s">
        <v>2120</v>
      </c>
      <c r="C17" s="11" t="s">
        <v>905</v>
      </c>
      <c r="D17" s="13"/>
      <c r="E17" s="14">
        <v>30</v>
      </c>
      <c r="F17" s="15">
        <v>0</v>
      </c>
      <c r="G17" s="16">
        <v>4</v>
      </c>
      <c r="H17" s="16">
        <v>4</v>
      </c>
      <c r="I17" s="16">
        <v>0</v>
      </c>
      <c r="J17" s="16">
        <v>0</v>
      </c>
      <c r="K17" s="15" t="s">
        <v>2121</v>
      </c>
      <c r="L17" s="15" t="s">
        <v>2122</v>
      </c>
      <c r="M17" s="15"/>
      <c r="N17" s="24" t="s">
        <v>809</v>
      </c>
      <c r="O17" s="24" t="s">
        <v>840</v>
      </c>
      <c r="P17" s="24" t="s">
        <v>825</v>
      </c>
      <c r="Q17" s="16">
        <v>50</v>
      </c>
      <c r="R17" s="27">
        <v>70</v>
      </c>
      <c r="S17" s="27">
        <v>30</v>
      </c>
      <c r="T17">
        <v>0</v>
      </c>
      <c r="U17">
        <v>0</v>
      </c>
      <c r="V17">
        <v>10181</v>
      </c>
      <c r="W17">
        <v>10184</v>
      </c>
      <c r="X17" s="30">
        <v>11582</v>
      </c>
      <c r="Y17" s="34">
        <v>11800</v>
      </c>
      <c r="Z17" s="34">
        <v>10550</v>
      </c>
      <c r="AA17" s="35">
        <v>10553</v>
      </c>
      <c r="AB17" s="35">
        <v>10554</v>
      </c>
      <c r="AC17" s="34">
        <v>11800</v>
      </c>
      <c r="AD17" s="35">
        <v>10552</v>
      </c>
      <c r="AE17" s="35">
        <v>10553</v>
      </c>
      <c r="AF17" s="35">
        <v>10552</v>
      </c>
      <c r="AG17" s="34">
        <v>10192</v>
      </c>
      <c r="AH17" s="34">
        <v>10192</v>
      </c>
      <c r="AI17" s="35">
        <v>0</v>
      </c>
      <c r="AJ17" s="35">
        <v>0</v>
      </c>
      <c r="AK17" s="35">
        <v>0</v>
      </c>
      <c r="AL17" s="35"/>
    </row>
    <row r="18" spans="1:38" ht="16.5">
      <c r="A18" s="11">
        <v>222</v>
      </c>
      <c r="B18" s="12" t="s">
        <v>442</v>
      </c>
      <c r="C18" s="11" t="s">
        <v>911</v>
      </c>
      <c r="D18" s="13"/>
      <c r="E18" s="8">
        <v>80</v>
      </c>
      <c r="F18" s="15">
        <v>0</v>
      </c>
      <c r="G18" s="16">
        <v>4</v>
      </c>
      <c r="H18" s="16">
        <v>4</v>
      </c>
      <c r="I18" s="16">
        <v>2</v>
      </c>
      <c r="J18" s="16">
        <v>2</v>
      </c>
      <c r="K18" s="15" t="s">
        <v>2123</v>
      </c>
      <c r="L18" s="15" t="s">
        <v>2124</v>
      </c>
      <c r="M18" s="15"/>
      <c r="N18" s="24" t="s">
        <v>809</v>
      </c>
      <c r="O18" s="23" t="s">
        <v>840</v>
      </c>
      <c r="P18" s="24" t="s">
        <v>825</v>
      </c>
      <c r="Q18" s="16">
        <v>50</v>
      </c>
      <c r="R18" s="27">
        <v>70</v>
      </c>
      <c r="S18" s="27">
        <v>30</v>
      </c>
      <c r="T18">
        <v>0</v>
      </c>
      <c r="U18">
        <v>0</v>
      </c>
      <c r="V18">
        <v>10180</v>
      </c>
      <c r="W18">
        <v>10183</v>
      </c>
      <c r="X18" s="30">
        <v>10534</v>
      </c>
      <c r="Y18" s="34">
        <v>10164</v>
      </c>
      <c r="Z18" s="34">
        <v>10164</v>
      </c>
      <c r="AA18" s="35">
        <v>10164</v>
      </c>
      <c r="AB18" s="35">
        <v>10164</v>
      </c>
      <c r="AC18" s="34">
        <v>11800</v>
      </c>
      <c r="AD18" s="35">
        <v>10552</v>
      </c>
      <c r="AE18" s="35">
        <v>10553</v>
      </c>
      <c r="AF18" s="35">
        <v>10552</v>
      </c>
      <c r="AG18" s="34">
        <v>10192</v>
      </c>
      <c r="AH18" s="34">
        <v>10192</v>
      </c>
      <c r="AI18" s="35">
        <v>1</v>
      </c>
      <c r="AJ18" s="35">
        <v>19</v>
      </c>
      <c r="AK18" s="35">
        <v>20</v>
      </c>
      <c r="AL18" s="35"/>
    </row>
    <row r="19" spans="1:38" ht="16.5">
      <c r="A19" s="11">
        <v>223</v>
      </c>
      <c r="B19" s="12" t="s">
        <v>918</v>
      </c>
      <c r="C19" s="11" t="s">
        <v>919</v>
      </c>
      <c r="D19" s="13"/>
      <c r="E19" s="14">
        <v>50</v>
      </c>
      <c r="F19" s="15">
        <v>0</v>
      </c>
      <c r="G19" s="16">
        <v>4</v>
      </c>
      <c r="H19" s="16">
        <v>4</v>
      </c>
      <c r="I19" s="16">
        <v>2</v>
      </c>
      <c r="J19" s="16">
        <v>2</v>
      </c>
      <c r="K19" s="15" t="s">
        <v>2125</v>
      </c>
      <c r="L19" s="15" t="s">
        <v>2126</v>
      </c>
      <c r="M19" s="15"/>
      <c r="N19" s="24" t="s">
        <v>809</v>
      </c>
      <c r="O19" s="23" t="s">
        <v>840</v>
      </c>
      <c r="P19" s="24" t="s">
        <v>825</v>
      </c>
      <c r="Q19" s="16">
        <v>50</v>
      </c>
      <c r="R19" s="27">
        <v>70</v>
      </c>
      <c r="S19" s="27">
        <v>30</v>
      </c>
      <c r="T19">
        <v>0</v>
      </c>
      <c r="U19">
        <v>0</v>
      </c>
      <c r="V19">
        <v>10181</v>
      </c>
      <c r="W19">
        <v>10184</v>
      </c>
      <c r="X19" s="30">
        <v>10535</v>
      </c>
      <c r="Y19" s="34">
        <v>11800</v>
      </c>
      <c r="Z19" s="34">
        <v>10550</v>
      </c>
      <c r="AA19" s="35">
        <v>10553</v>
      </c>
      <c r="AB19" s="35">
        <v>10554</v>
      </c>
      <c r="AC19" s="34">
        <v>11800</v>
      </c>
      <c r="AD19" s="35">
        <v>10552</v>
      </c>
      <c r="AE19" s="35">
        <v>10553</v>
      </c>
      <c r="AF19" s="35">
        <v>10552</v>
      </c>
      <c r="AG19" s="34">
        <v>10192</v>
      </c>
      <c r="AH19" s="34">
        <v>10192</v>
      </c>
      <c r="AI19" s="35">
        <v>1</v>
      </c>
      <c r="AJ19" s="35">
        <v>0</v>
      </c>
      <c r="AK19" s="35">
        <v>0</v>
      </c>
      <c r="AL19" s="35"/>
    </row>
    <row r="20" spans="1:38" ht="16.5">
      <c r="A20" s="11">
        <v>224</v>
      </c>
      <c r="B20" s="12" t="s">
        <v>369</v>
      </c>
      <c r="C20" s="11" t="s">
        <v>924</v>
      </c>
      <c r="D20" s="13"/>
      <c r="E20" s="8">
        <v>92</v>
      </c>
      <c r="F20" s="15">
        <v>0</v>
      </c>
      <c r="G20" s="16">
        <v>6</v>
      </c>
      <c r="H20" s="16">
        <v>6</v>
      </c>
      <c r="I20" s="16">
        <v>5</v>
      </c>
      <c r="J20" s="16">
        <v>5</v>
      </c>
      <c r="K20" s="15" t="s">
        <v>2127</v>
      </c>
      <c r="L20" s="15" t="s">
        <v>2128</v>
      </c>
      <c r="M20" s="15"/>
      <c r="N20" s="24" t="s">
        <v>809</v>
      </c>
      <c r="O20" s="23" t="s">
        <v>840</v>
      </c>
      <c r="P20" s="24" t="s">
        <v>825</v>
      </c>
      <c r="Q20" s="16">
        <v>50</v>
      </c>
      <c r="R20" s="27">
        <v>70</v>
      </c>
      <c r="S20" s="27">
        <v>30</v>
      </c>
      <c r="T20" s="32">
        <v>10494</v>
      </c>
      <c r="U20" s="32">
        <v>10495</v>
      </c>
      <c r="V20">
        <v>10181</v>
      </c>
      <c r="W20">
        <v>10184</v>
      </c>
      <c r="X20" s="30">
        <v>10536</v>
      </c>
      <c r="Y20" s="34">
        <v>11800</v>
      </c>
      <c r="Z20" s="34">
        <v>10550</v>
      </c>
      <c r="AA20" s="35">
        <v>10553</v>
      </c>
      <c r="AB20" s="35">
        <v>10554</v>
      </c>
      <c r="AC20" s="34">
        <v>11800</v>
      </c>
      <c r="AD20" s="35">
        <v>10552</v>
      </c>
      <c r="AE20" s="35">
        <v>10553</v>
      </c>
      <c r="AF20" s="35">
        <v>10552</v>
      </c>
      <c r="AG20" s="34">
        <v>10192</v>
      </c>
      <c r="AH20" s="34">
        <v>10192</v>
      </c>
      <c r="AI20" s="35">
        <v>1</v>
      </c>
      <c r="AJ20" s="35">
        <v>0</v>
      </c>
      <c r="AK20" s="35">
        <v>0</v>
      </c>
      <c r="AL20" s="35"/>
    </row>
    <row r="21" spans="1:38" ht="16.5">
      <c r="A21" s="11">
        <v>226</v>
      </c>
      <c r="B21" s="17" t="s">
        <v>469</v>
      </c>
      <c r="C21" s="11" t="s">
        <v>932</v>
      </c>
      <c r="D21" s="11" t="s">
        <v>933</v>
      </c>
      <c r="E21" s="14">
        <v>45</v>
      </c>
      <c r="F21" s="15">
        <v>0</v>
      </c>
      <c r="G21" s="16">
        <v>4</v>
      </c>
      <c r="H21" s="16">
        <v>4</v>
      </c>
      <c r="I21" s="16">
        <v>3</v>
      </c>
      <c r="J21" s="16">
        <v>3</v>
      </c>
      <c r="K21" s="15" t="s">
        <v>2129</v>
      </c>
      <c r="L21" s="15" t="s">
        <v>2130</v>
      </c>
      <c r="M21" s="25" t="s">
        <v>938</v>
      </c>
      <c r="N21" s="24" t="s">
        <v>809</v>
      </c>
      <c r="O21" s="24" t="s">
        <v>840</v>
      </c>
      <c r="P21" s="24" t="s">
        <v>825</v>
      </c>
      <c r="Q21" s="16">
        <v>50</v>
      </c>
      <c r="R21" s="27">
        <v>70</v>
      </c>
      <c r="S21" s="27">
        <v>30</v>
      </c>
      <c r="T21">
        <v>0</v>
      </c>
      <c r="U21">
        <v>0</v>
      </c>
      <c r="V21">
        <v>10181</v>
      </c>
      <c r="W21">
        <v>10184</v>
      </c>
      <c r="X21" s="30">
        <v>10538</v>
      </c>
      <c r="Y21" s="34">
        <v>11800</v>
      </c>
      <c r="Z21" s="34">
        <v>10550</v>
      </c>
      <c r="AA21" s="35">
        <v>10553</v>
      </c>
      <c r="AB21" s="35">
        <v>10554</v>
      </c>
      <c r="AC21" s="34">
        <v>11800</v>
      </c>
      <c r="AD21" s="35">
        <v>10552</v>
      </c>
      <c r="AE21" s="35">
        <v>10553</v>
      </c>
      <c r="AF21" s="35">
        <v>10552</v>
      </c>
      <c r="AG21" s="34">
        <v>10192</v>
      </c>
      <c r="AH21" s="34">
        <v>10192</v>
      </c>
      <c r="AI21" s="35">
        <v>1</v>
      </c>
      <c r="AJ21" s="35">
        <v>0</v>
      </c>
      <c r="AK21" s="35">
        <v>0</v>
      </c>
      <c r="AL21" s="35" t="s">
        <v>938</v>
      </c>
    </row>
    <row r="22" spans="1:38" ht="16.5">
      <c r="A22" s="11">
        <v>227</v>
      </c>
      <c r="B22" s="17" t="s">
        <v>940</v>
      </c>
      <c r="C22" s="11" t="s">
        <v>941</v>
      </c>
      <c r="D22" s="13"/>
      <c r="E22" s="8">
        <v>40</v>
      </c>
      <c r="F22" s="15">
        <v>0</v>
      </c>
      <c r="G22" s="16">
        <v>3</v>
      </c>
      <c r="H22" s="16">
        <v>3</v>
      </c>
      <c r="I22" s="16">
        <v>2</v>
      </c>
      <c r="J22" s="16">
        <v>2</v>
      </c>
      <c r="K22" s="15" t="s">
        <v>2131</v>
      </c>
      <c r="L22" s="15" t="s">
        <v>2132</v>
      </c>
      <c r="M22" s="15"/>
      <c r="N22" s="24" t="s">
        <v>809</v>
      </c>
      <c r="O22" s="23" t="s">
        <v>840</v>
      </c>
      <c r="P22" s="24" t="s">
        <v>825</v>
      </c>
      <c r="Q22" s="16">
        <v>50</v>
      </c>
      <c r="R22" s="27">
        <v>70</v>
      </c>
      <c r="S22" s="27">
        <v>30</v>
      </c>
      <c r="T22">
        <v>0</v>
      </c>
      <c r="U22">
        <v>0</v>
      </c>
      <c r="V22">
        <v>10180</v>
      </c>
      <c r="W22">
        <v>10183</v>
      </c>
      <c r="X22" s="30">
        <v>10539</v>
      </c>
      <c r="Y22" s="34">
        <v>11800</v>
      </c>
      <c r="Z22" s="36">
        <v>10186</v>
      </c>
      <c r="AA22" s="35">
        <v>10553</v>
      </c>
      <c r="AB22" s="35">
        <v>10186</v>
      </c>
      <c r="AC22" s="34">
        <v>11800</v>
      </c>
      <c r="AD22" s="35">
        <v>10552</v>
      </c>
      <c r="AE22" s="35">
        <v>10553</v>
      </c>
      <c r="AF22" s="35">
        <v>10552</v>
      </c>
      <c r="AG22" s="35">
        <v>11475</v>
      </c>
      <c r="AH22" s="35">
        <v>11475</v>
      </c>
      <c r="AI22" s="35">
        <v>0</v>
      </c>
      <c r="AJ22" s="35">
        <v>0</v>
      </c>
      <c r="AK22" s="35">
        <v>0</v>
      </c>
      <c r="AL22" s="35"/>
    </row>
    <row r="23" spans="1:38" ht="16.5">
      <c r="A23" s="11">
        <v>229</v>
      </c>
      <c r="B23" s="12" t="s">
        <v>515</v>
      </c>
      <c r="C23" s="11" t="s">
        <v>953</v>
      </c>
      <c r="D23" s="13"/>
      <c r="E23" s="14">
        <v>0</v>
      </c>
      <c r="F23" s="15">
        <v>0</v>
      </c>
      <c r="G23" s="16">
        <v>6</v>
      </c>
      <c r="H23" s="16">
        <v>6</v>
      </c>
      <c r="I23" s="16">
        <v>4</v>
      </c>
      <c r="J23" s="16">
        <v>4</v>
      </c>
      <c r="K23" s="15" t="s">
        <v>2133</v>
      </c>
      <c r="L23" s="15" t="s">
        <v>2134</v>
      </c>
      <c r="M23" s="15"/>
      <c r="N23" s="24" t="s">
        <v>809</v>
      </c>
      <c r="O23" s="24" t="s">
        <v>840</v>
      </c>
      <c r="P23" s="24" t="s">
        <v>825</v>
      </c>
      <c r="Q23" s="16">
        <v>50</v>
      </c>
      <c r="R23" s="27">
        <v>70</v>
      </c>
      <c r="S23" s="27">
        <v>30</v>
      </c>
      <c r="T23" s="16">
        <v>0</v>
      </c>
      <c r="U23" s="16">
        <v>0</v>
      </c>
      <c r="V23">
        <v>10181</v>
      </c>
      <c r="W23">
        <v>10184</v>
      </c>
      <c r="X23" s="30">
        <v>10541</v>
      </c>
      <c r="Y23" s="34">
        <v>11800</v>
      </c>
      <c r="Z23" s="34">
        <v>10550</v>
      </c>
      <c r="AA23" s="35">
        <v>10553</v>
      </c>
      <c r="AB23" s="35">
        <v>10554</v>
      </c>
      <c r="AC23" s="34">
        <v>11800</v>
      </c>
      <c r="AD23" s="35">
        <v>10552</v>
      </c>
      <c r="AE23" s="35">
        <v>10553</v>
      </c>
      <c r="AF23" s="35">
        <v>10552</v>
      </c>
      <c r="AG23" s="34">
        <v>10192</v>
      </c>
      <c r="AH23" s="34">
        <v>10192</v>
      </c>
      <c r="AI23" s="35">
        <v>1</v>
      </c>
      <c r="AJ23" s="35">
        <v>0</v>
      </c>
      <c r="AK23" s="35">
        <v>0</v>
      </c>
      <c r="AL23" s="35"/>
    </row>
    <row r="24" spans="1:38" ht="16.5">
      <c r="A24" s="11">
        <v>230</v>
      </c>
      <c r="B24" s="12" t="s">
        <v>539</v>
      </c>
      <c r="C24" s="11" t="s">
        <v>959</v>
      </c>
      <c r="D24" s="13"/>
      <c r="E24" s="8">
        <v>75</v>
      </c>
      <c r="F24" s="15">
        <v>0</v>
      </c>
      <c r="G24" s="16">
        <v>4</v>
      </c>
      <c r="H24" s="16">
        <v>4</v>
      </c>
      <c r="I24" s="16">
        <v>4</v>
      </c>
      <c r="J24" s="16">
        <v>4</v>
      </c>
      <c r="K24" s="15" t="s">
        <v>2135</v>
      </c>
      <c r="L24" s="15" t="s">
        <v>2136</v>
      </c>
      <c r="M24" s="15"/>
      <c r="N24" s="24" t="s">
        <v>809</v>
      </c>
      <c r="O24" s="23" t="s">
        <v>840</v>
      </c>
      <c r="P24" s="24" t="s">
        <v>825</v>
      </c>
      <c r="Q24" s="16">
        <v>50</v>
      </c>
      <c r="R24" s="27">
        <v>70</v>
      </c>
      <c r="S24" s="27">
        <v>30</v>
      </c>
      <c r="T24">
        <v>0</v>
      </c>
      <c r="U24">
        <v>0</v>
      </c>
      <c r="V24">
        <v>10181</v>
      </c>
      <c r="W24">
        <v>10184</v>
      </c>
      <c r="X24" s="30">
        <v>10542</v>
      </c>
      <c r="Y24" s="34">
        <v>11800</v>
      </c>
      <c r="Z24" s="34">
        <v>10550</v>
      </c>
      <c r="AA24" s="35">
        <v>10553</v>
      </c>
      <c r="AB24" s="35">
        <v>10554</v>
      </c>
      <c r="AC24" s="34">
        <v>11800</v>
      </c>
      <c r="AD24" s="35">
        <v>10552</v>
      </c>
      <c r="AE24" s="35">
        <v>10553</v>
      </c>
      <c r="AF24" s="35">
        <v>10552</v>
      </c>
      <c r="AG24" s="34">
        <v>10192</v>
      </c>
      <c r="AH24" s="34">
        <v>10192</v>
      </c>
      <c r="AI24" s="35">
        <v>1</v>
      </c>
      <c r="AJ24" s="35">
        <v>0</v>
      </c>
      <c r="AK24" s="35">
        <v>0</v>
      </c>
      <c r="AL24" s="35"/>
    </row>
    <row r="25" spans="1:38" ht="16.5">
      <c r="A25" s="11">
        <v>231</v>
      </c>
      <c r="B25" s="12" t="s">
        <v>591</v>
      </c>
      <c r="C25" s="11" t="s">
        <v>965</v>
      </c>
      <c r="D25" s="13"/>
      <c r="E25" s="14">
        <v>20</v>
      </c>
      <c r="F25" s="15">
        <v>1</v>
      </c>
      <c r="G25" s="16">
        <v>6</v>
      </c>
      <c r="H25" s="16">
        <v>6</v>
      </c>
      <c r="I25" s="16">
        <v>6</v>
      </c>
      <c r="J25" s="16">
        <v>6</v>
      </c>
      <c r="K25" s="15" t="s">
        <v>2137</v>
      </c>
      <c r="L25" s="15" t="s">
        <v>2138</v>
      </c>
      <c r="M25" s="25" t="s">
        <v>2139</v>
      </c>
      <c r="N25" s="24" t="s">
        <v>809</v>
      </c>
      <c r="O25" s="23" t="s">
        <v>840</v>
      </c>
      <c r="P25" s="24" t="s">
        <v>825</v>
      </c>
      <c r="Q25" s="16">
        <v>50</v>
      </c>
      <c r="R25" s="27">
        <v>70</v>
      </c>
      <c r="S25" s="27">
        <v>30</v>
      </c>
      <c r="T25" s="16">
        <v>0</v>
      </c>
      <c r="U25" s="16">
        <v>0</v>
      </c>
      <c r="V25">
        <v>10182</v>
      </c>
      <c r="W25">
        <v>10185</v>
      </c>
      <c r="X25" s="30">
        <v>10543</v>
      </c>
      <c r="Y25" s="34">
        <v>11800</v>
      </c>
      <c r="Z25" s="34">
        <v>10550</v>
      </c>
      <c r="AA25" s="35">
        <v>10553</v>
      </c>
      <c r="AB25" s="35">
        <v>10554</v>
      </c>
      <c r="AC25" s="34">
        <v>11800</v>
      </c>
      <c r="AD25" s="35">
        <v>10552</v>
      </c>
      <c r="AE25" s="35">
        <v>10553</v>
      </c>
      <c r="AF25" s="35">
        <v>10552</v>
      </c>
      <c r="AG25" s="34">
        <v>10192</v>
      </c>
      <c r="AH25" s="34">
        <v>10192</v>
      </c>
      <c r="AI25" s="35">
        <v>1</v>
      </c>
      <c r="AJ25" s="35">
        <v>0</v>
      </c>
      <c r="AK25" s="35">
        <v>0</v>
      </c>
      <c r="AL25" s="35"/>
    </row>
    <row r="26" spans="1:38" ht="16.5">
      <c r="A26" s="11">
        <v>232</v>
      </c>
      <c r="B26" s="12" t="s">
        <v>319</v>
      </c>
      <c r="C26" s="11" t="s">
        <v>971</v>
      </c>
      <c r="D26" s="13"/>
      <c r="E26" s="8">
        <v>91</v>
      </c>
      <c r="F26" s="15">
        <v>0</v>
      </c>
      <c r="G26" s="16">
        <v>6</v>
      </c>
      <c r="H26" s="16">
        <v>6</v>
      </c>
      <c r="I26" s="16">
        <v>5</v>
      </c>
      <c r="J26" s="16">
        <v>5</v>
      </c>
      <c r="K26" s="15" t="s">
        <v>2140</v>
      </c>
      <c r="L26" s="15" t="s">
        <v>2141</v>
      </c>
      <c r="M26" s="15"/>
      <c r="N26" s="24" t="s">
        <v>809</v>
      </c>
      <c r="O26" s="23" t="s">
        <v>840</v>
      </c>
      <c r="P26" s="24" t="s">
        <v>825</v>
      </c>
      <c r="Q26" s="16">
        <v>50</v>
      </c>
      <c r="R26" s="27">
        <v>70</v>
      </c>
      <c r="S26" s="27">
        <v>30</v>
      </c>
      <c r="T26" s="31">
        <v>10496</v>
      </c>
      <c r="U26" s="32">
        <v>10497</v>
      </c>
      <c r="V26">
        <v>10181</v>
      </c>
      <c r="W26">
        <v>10184</v>
      </c>
      <c r="X26" s="30">
        <v>11585</v>
      </c>
      <c r="Y26" s="34">
        <v>11800</v>
      </c>
      <c r="Z26" s="36">
        <v>10550</v>
      </c>
      <c r="AA26" s="35">
        <v>10553</v>
      </c>
      <c r="AB26" s="35">
        <v>10554</v>
      </c>
      <c r="AC26" s="34">
        <v>11800</v>
      </c>
      <c r="AD26" s="35">
        <v>10552</v>
      </c>
      <c r="AE26" s="35">
        <v>10553</v>
      </c>
      <c r="AF26" s="35">
        <v>10552</v>
      </c>
      <c r="AG26" s="36">
        <v>10192</v>
      </c>
      <c r="AH26" s="36">
        <v>10192</v>
      </c>
      <c r="AI26" s="35">
        <v>1</v>
      </c>
      <c r="AJ26" s="35">
        <v>0</v>
      </c>
      <c r="AK26" s="35">
        <v>0</v>
      </c>
      <c r="AL26" s="35"/>
    </row>
    <row r="27" spans="1:38" ht="16.5">
      <c r="A27" s="18">
        <v>233</v>
      </c>
      <c r="B27" s="19" t="s">
        <v>593</v>
      </c>
      <c r="C27" s="11" t="s">
        <v>978</v>
      </c>
      <c r="D27" s="13"/>
      <c r="E27" s="14">
        <v>15</v>
      </c>
      <c r="F27" s="15">
        <v>0</v>
      </c>
      <c r="G27" s="16">
        <v>7</v>
      </c>
      <c r="H27" s="16">
        <v>7</v>
      </c>
      <c r="I27" s="16">
        <v>6</v>
      </c>
      <c r="J27" s="16">
        <v>6</v>
      </c>
      <c r="K27" s="15" t="s">
        <v>2142</v>
      </c>
      <c r="L27" s="15" t="s">
        <v>2143</v>
      </c>
      <c r="M27" s="25" t="s">
        <v>2144</v>
      </c>
      <c r="N27" s="24" t="s">
        <v>809</v>
      </c>
      <c r="O27" s="23" t="s">
        <v>840</v>
      </c>
      <c r="P27" s="24" t="s">
        <v>825</v>
      </c>
      <c r="Q27" s="16">
        <v>50</v>
      </c>
      <c r="R27" s="27">
        <v>70</v>
      </c>
      <c r="S27" s="27">
        <v>30</v>
      </c>
      <c r="T27" s="16">
        <v>0</v>
      </c>
      <c r="U27">
        <v>0</v>
      </c>
      <c r="V27">
        <v>10182</v>
      </c>
      <c r="W27">
        <v>10185</v>
      </c>
      <c r="X27" s="30">
        <v>11584</v>
      </c>
      <c r="Y27" s="34">
        <v>11800</v>
      </c>
      <c r="Z27" s="34">
        <v>10550</v>
      </c>
      <c r="AA27" s="35">
        <v>10553</v>
      </c>
      <c r="AB27" s="35">
        <v>10554</v>
      </c>
      <c r="AC27" s="34">
        <v>11800</v>
      </c>
      <c r="AD27" s="35">
        <v>10552</v>
      </c>
      <c r="AE27" s="35">
        <v>10553</v>
      </c>
      <c r="AF27" s="35">
        <v>10552</v>
      </c>
      <c r="AG27" s="34">
        <v>10192</v>
      </c>
      <c r="AH27" s="34">
        <v>10192</v>
      </c>
      <c r="AI27" s="35">
        <v>1</v>
      </c>
      <c r="AJ27" s="35">
        <v>0</v>
      </c>
      <c r="AK27" s="35">
        <v>0</v>
      </c>
      <c r="AL27" s="35" t="s">
        <v>2144</v>
      </c>
    </row>
    <row r="28" spans="1:38" ht="16.5">
      <c r="A28" s="18">
        <v>234</v>
      </c>
      <c r="B28" s="19" t="s">
        <v>1878</v>
      </c>
      <c r="C28" s="11" t="s">
        <v>988</v>
      </c>
      <c r="D28" s="13"/>
      <c r="E28" s="8">
        <v>70</v>
      </c>
      <c r="F28" s="15">
        <v>0</v>
      </c>
      <c r="G28" s="16">
        <v>3</v>
      </c>
      <c r="H28" s="16">
        <v>3</v>
      </c>
      <c r="I28" s="16">
        <v>2</v>
      </c>
      <c r="J28" s="16">
        <v>2</v>
      </c>
      <c r="K28" s="15" t="s">
        <v>2145</v>
      </c>
      <c r="L28" s="15" t="s">
        <v>2146</v>
      </c>
      <c r="M28" s="15"/>
      <c r="N28" s="24" t="s">
        <v>809</v>
      </c>
      <c r="O28" s="23" t="s">
        <v>840</v>
      </c>
      <c r="P28" s="24" t="s">
        <v>825</v>
      </c>
      <c r="Q28" s="16">
        <v>50</v>
      </c>
      <c r="R28" s="27">
        <v>70</v>
      </c>
      <c r="S28" s="27">
        <v>30</v>
      </c>
      <c r="T28" s="16">
        <v>0</v>
      </c>
      <c r="U28">
        <v>0</v>
      </c>
      <c r="V28">
        <v>10182</v>
      </c>
      <c r="W28">
        <v>10185</v>
      </c>
      <c r="X28" s="30">
        <v>11586</v>
      </c>
      <c r="Y28" s="34">
        <v>11800</v>
      </c>
      <c r="Z28" s="34">
        <v>10550</v>
      </c>
      <c r="AA28" s="35">
        <v>10553</v>
      </c>
      <c r="AB28" s="35">
        <v>10554</v>
      </c>
      <c r="AC28" s="34">
        <v>11800</v>
      </c>
      <c r="AD28" s="35">
        <v>10552</v>
      </c>
      <c r="AE28" s="35">
        <v>10553</v>
      </c>
      <c r="AF28" s="35">
        <v>10552</v>
      </c>
      <c r="AG28" s="34">
        <v>10192</v>
      </c>
      <c r="AH28" s="34">
        <v>10192</v>
      </c>
      <c r="AI28" s="35">
        <v>0</v>
      </c>
      <c r="AJ28" s="35">
        <v>0</v>
      </c>
      <c r="AK28" s="35">
        <v>0</v>
      </c>
      <c r="AL28" s="35"/>
    </row>
    <row r="29" spans="1:38" ht="16.5">
      <c r="A29" s="18">
        <v>235</v>
      </c>
      <c r="B29" s="19" t="s">
        <v>601</v>
      </c>
      <c r="C29" s="11" t="s">
        <v>995</v>
      </c>
      <c r="D29" s="13"/>
      <c r="E29" s="14">
        <v>10</v>
      </c>
      <c r="F29" s="15">
        <v>1</v>
      </c>
      <c r="G29" s="16">
        <v>4</v>
      </c>
      <c r="H29" s="16">
        <v>4</v>
      </c>
      <c r="I29" s="16">
        <v>3</v>
      </c>
      <c r="J29" s="16">
        <v>3</v>
      </c>
      <c r="K29" s="15" t="s">
        <v>2147</v>
      </c>
      <c r="L29" s="15" t="s">
        <v>2148</v>
      </c>
      <c r="M29" s="25" t="s">
        <v>2149</v>
      </c>
      <c r="N29" s="24" t="s">
        <v>809</v>
      </c>
      <c r="O29" s="23" t="s">
        <v>840</v>
      </c>
      <c r="P29" s="24" t="s">
        <v>825</v>
      </c>
      <c r="Q29" s="16">
        <v>50</v>
      </c>
      <c r="R29" s="27">
        <v>70</v>
      </c>
      <c r="S29" s="27">
        <v>30</v>
      </c>
      <c r="T29" s="16">
        <v>0</v>
      </c>
      <c r="U29">
        <v>0</v>
      </c>
      <c r="V29">
        <v>10182</v>
      </c>
      <c r="W29">
        <v>10185</v>
      </c>
      <c r="X29" s="30">
        <v>11583</v>
      </c>
      <c r="Y29" s="34">
        <v>11800</v>
      </c>
      <c r="Z29" s="34">
        <v>10550</v>
      </c>
      <c r="AA29" s="35">
        <v>10553</v>
      </c>
      <c r="AB29" s="35">
        <v>10554</v>
      </c>
      <c r="AC29" s="34">
        <v>11800</v>
      </c>
      <c r="AD29" s="35">
        <v>10552</v>
      </c>
      <c r="AE29" s="35">
        <v>10553</v>
      </c>
      <c r="AF29" s="35">
        <v>10552</v>
      </c>
      <c r="AG29" s="34">
        <v>10192</v>
      </c>
      <c r="AH29" s="34">
        <v>10192</v>
      </c>
      <c r="AI29" s="35">
        <v>1</v>
      </c>
      <c r="AJ29" s="35">
        <v>0</v>
      </c>
      <c r="AK29" s="35">
        <v>0</v>
      </c>
      <c r="AL29" s="35"/>
    </row>
    <row r="30" spans="1:38" ht="16.5">
      <c r="A30" s="18">
        <v>236</v>
      </c>
      <c r="B30" s="19" t="s">
        <v>1688</v>
      </c>
      <c r="C30" s="11" t="s">
        <v>1000</v>
      </c>
      <c r="D30" s="13"/>
      <c r="E30" s="14">
        <v>10</v>
      </c>
      <c r="F30" s="15">
        <v>1</v>
      </c>
      <c r="G30" s="16">
        <v>4</v>
      </c>
      <c r="H30" s="16">
        <v>4</v>
      </c>
      <c r="I30" s="16">
        <v>3</v>
      </c>
      <c r="J30" s="16">
        <v>3</v>
      </c>
      <c r="K30" s="15" t="s">
        <v>2150</v>
      </c>
      <c r="L30" s="15" t="s">
        <v>2151</v>
      </c>
      <c r="M30" s="25" t="s">
        <v>2152</v>
      </c>
      <c r="N30" s="24" t="s">
        <v>809</v>
      </c>
      <c r="O30" s="23" t="s">
        <v>840</v>
      </c>
      <c r="P30" s="24" t="s">
        <v>825</v>
      </c>
      <c r="Q30" s="16">
        <v>50</v>
      </c>
      <c r="R30" s="27">
        <v>70</v>
      </c>
      <c r="S30" s="27">
        <v>30</v>
      </c>
      <c r="T30" s="16">
        <v>0</v>
      </c>
      <c r="U30">
        <v>0</v>
      </c>
      <c r="V30">
        <v>10182</v>
      </c>
      <c r="W30">
        <v>10185</v>
      </c>
      <c r="X30" s="30">
        <v>11583</v>
      </c>
      <c r="Y30" s="34">
        <v>11800</v>
      </c>
      <c r="Z30" s="34">
        <v>10550</v>
      </c>
      <c r="AA30" s="35">
        <v>10553</v>
      </c>
      <c r="AB30" s="35">
        <v>10554</v>
      </c>
      <c r="AC30" s="34">
        <v>11800</v>
      </c>
      <c r="AD30" s="35">
        <v>10552</v>
      </c>
      <c r="AE30" s="35">
        <v>10553</v>
      </c>
      <c r="AF30" s="35">
        <v>10552</v>
      </c>
      <c r="AG30" s="34">
        <v>10192</v>
      </c>
      <c r="AH30" s="34">
        <v>10192</v>
      </c>
      <c r="AI30" s="35">
        <v>1</v>
      </c>
      <c r="AJ30" s="35">
        <v>0</v>
      </c>
      <c r="AK30" s="35">
        <v>0</v>
      </c>
      <c r="AL30" s="35"/>
    </row>
    <row r="31" spans="1:38" ht="16.5">
      <c r="A31" s="18">
        <v>237</v>
      </c>
      <c r="B31" s="19" t="s">
        <v>565</v>
      </c>
      <c r="C31" s="11" t="s">
        <v>1004</v>
      </c>
      <c r="D31" s="13"/>
      <c r="E31" s="14">
        <v>10</v>
      </c>
      <c r="F31" s="15">
        <v>1</v>
      </c>
      <c r="G31" s="16">
        <v>4</v>
      </c>
      <c r="H31" s="16">
        <v>4</v>
      </c>
      <c r="I31" s="16">
        <v>3</v>
      </c>
      <c r="J31" s="16">
        <v>3</v>
      </c>
      <c r="K31" s="15" t="s">
        <v>2153</v>
      </c>
      <c r="L31" s="15" t="s">
        <v>2154</v>
      </c>
      <c r="M31" s="25" t="s">
        <v>2155</v>
      </c>
      <c r="N31" s="24" t="s">
        <v>809</v>
      </c>
      <c r="O31" s="23" t="s">
        <v>840</v>
      </c>
      <c r="P31" s="24" t="s">
        <v>825</v>
      </c>
      <c r="Q31" s="16">
        <v>50</v>
      </c>
      <c r="R31" s="27">
        <v>70</v>
      </c>
      <c r="S31" s="27">
        <v>30</v>
      </c>
      <c r="T31" s="16">
        <v>0</v>
      </c>
      <c r="U31">
        <v>0</v>
      </c>
      <c r="V31">
        <v>10182</v>
      </c>
      <c r="W31">
        <v>10185</v>
      </c>
      <c r="X31" s="30">
        <v>11583</v>
      </c>
      <c r="Y31" s="34">
        <v>11800</v>
      </c>
      <c r="Z31" s="34">
        <v>10550</v>
      </c>
      <c r="AA31" s="35">
        <v>10553</v>
      </c>
      <c r="AB31" s="35">
        <v>10554</v>
      </c>
      <c r="AC31" s="34">
        <v>11800</v>
      </c>
      <c r="AD31" s="35">
        <v>10552</v>
      </c>
      <c r="AE31" s="35">
        <v>10553</v>
      </c>
      <c r="AF31" s="35">
        <v>10552</v>
      </c>
      <c r="AG31" s="34">
        <v>10192</v>
      </c>
      <c r="AH31" s="34">
        <v>10192</v>
      </c>
      <c r="AI31" s="35">
        <v>1</v>
      </c>
      <c r="AJ31" s="35">
        <v>0</v>
      </c>
      <c r="AK31" s="35">
        <v>0</v>
      </c>
      <c r="AL31" s="35"/>
    </row>
  </sheetData>
  <phoneticPr fontId="23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86"/>
  <sheetViews>
    <sheetView workbookViewId="0"/>
  </sheetViews>
  <sheetFormatPr defaultColWidth="9" defaultRowHeight="14"/>
  <cols>
    <col min="1" max="1" width="80" customWidth="1"/>
    <col min="2" max="3" width="13" customWidth="1"/>
  </cols>
  <sheetData>
    <row r="1" spans="1:3">
      <c r="A1" t="s">
        <v>2156</v>
      </c>
      <c r="B1" t="s">
        <v>2157</v>
      </c>
      <c r="C1" t="s">
        <v>2158</v>
      </c>
    </row>
    <row r="2" spans="1:3">
      <c r="A2" t="s">
        <v>2159</v>
      </c>
      <c r="B2" t="s">
        <v>807</v>
      </c>
      <c r="C2" t="s">
        <v>66</v>
      </c>
    </row>
    <row r="3" spans="1:3">
      <c r="A3" t="s">
        <v>2160</v>
      </c>
      <c r="B3" t="s">
        <v>808</v>
      </c>
      <c r="C3" t="s">
        <v>2161</v>
      </c>
    </row>
    <row r="4" spans="1:3">
      <c r="A4" t="s">
        <v>2162</v>
      </c>
      <c r="B4" t="s">
        <v>822</v>
      </c>
      <c r="C4" t="s">
        <v>154</v>
      </c>
    </row>
    <row r="5" spans="1:3">
      <c r="A5" t="s">
        <v>2163</v>
      </c>
      <c r="B5" t="s">
        <v>823</v>
      </c>
      <c r="C5" t="s">
        <v>2164</v>
      </c>
    </row>
    <row r="6" spans="1:3">
      <c r="A6" t="s">
        <v>2165</v>
      </c>
      <c r="B6" t="s">
        <v>830</v>
      </c>
      <c r="C6" t="s">
        <v>202</v>
      </c>
    </row>
    <row r="7" spans="1:3">
      <c r="A7" t="s">
        <v>2166</v>
      </c>
      <c r="B7" t="s">
        <v>831</v>
      </c>
      <c r="C7" t="s">
        <v>2167</v>
      </c>
    </row>
    <row r="8" spans="1:3">
      <c r="A8" t="s">
        <v>2168</v>
      </c>
      <c r="B8" t="s">
        <v>838</v>
      </c>
      <c r="C8" t="s">
        <v>226</v>
      </c>
    </row>
    <row r="9" spans="1:3">
      <c r="A9" t="s">
        <v>2169</v>
      </c>
      <c r="B9" t="s">
        <v>839</v>
      </c>
      <c r="C9" t="s">
        <v>2170</v>
      </c>
    </row>
    <row r="10" spans="1:3">
      <c r="A10" t="s">
        <v>2171</v>
      </c>
      <c r="B10" t="s">
        <v>846</v>
      </c>
      <c r="C10" t="s">
        <v>249</v>
      </c>
    </row>
    <row r="11" spans="1:3">
      <c r="A11" t="s">
        <v>2172</v>
      </c>
      <c r="B11" t="s">
        <v>847</v>
      </c>
      <c r="C11" t="s">
        <v>2173</v>
      </c>
    </row>
    <row r="12" spans="1:3">
      <c r="A12" t="s">
        <v>2174</v>
      </c>
      <c r="B12" t="s">
        <v>853</v>
      </c>
      <c r="C12" t="s">
        <v>293</v>
      </c>
    </row>
    <row r="13" spans="1:3">
      <c r="A13" t="s">
        <v>2175</v>
      </c>
      <c r="B13" t="s">
        <v>854</v>
      </c>
      <c r="C13" t="s">
        <v>2176</v>
      </c>
    </row>
    <row r="14" spans="1:3">
      <c r="A14" t="s">
        <v>2177</v>
      </c>
      <c r="B14" t="s">
        <v>863</v>
      </c>
      <c r="C14" t="s">
        <v>595</v>
      </c>
    </row>
    <row r="15" spans="1:3">
      <c r="A15" t="s">
        <v>2178</v>
      </c>
      <c r="B15" t="s">
        <v>864</v>
      </c>
      <c r="C15" t="s">
        <v>2179</v>
      </c>
    </row>
    <row r="16" spans="1:3">
      <c r="A16" t="s">
        <v>2180</v>
      </c>
      <c r="B16" t="s">
        <v>870</v>
      </c>
      <c r="C16" t="s">
        <v>589</v>
      </c>
    </row>
    <row r="17" spans="1:3">
      <c r="A17" t="s">
        <v>2181</v>
      </c>
      <c r="B17" t="s">
        <v>871</v>
      </c>
      <c r="C17" t="s">
        <v>2182</v>
      </c>
    </row>
    <row r="18" spans="1:3">
      <c r="A18" t="s">
        <v>2183</v>
      </c>
      <c r="B18" t="s">
        <v>878</v>
      </c>
      <c r="C18" t="s">
        <v>344</v>
      </c>
    </row>
    <row r="19" spans="1:3">
      <c r="A19" t="s">
        <v>2184</v>
      </c>
      <c r="B19" t="s">
        <v>879</v>
      </c>
      <c r="C19" t="s">
        <v>2185</v>
      </c>
    </row>
    <row r="20" spans="1:3">
      <c r="A20" t="s">
        <v>2186</v>
      </c>
      <c r="B20" t="s">
        <v>886</v>
      </c>
      <c r="C20" t="s">
        <v>605</v>
      </c>
    </row>
    <row r="21" spans="1:3">
      <c r="A21" t="s">
        <v>2187</v>
      </c>
      <c r="B21" t="s">
        <v>887</v>
      </c>
      <c r="C21" t="s">
        <v>2188</v>
      </c>
    </row>
    <row r="22" spans="1:3">
      <c r="A22" t="s">
        <v>2189</v>
      </c>
      <c r="B22" t="s">
        <v>893</v>
      </c>
      <c r="C22" t="s">
        <v>394</v>
      </c>
    </row>
    <row r="23" spans="1:3">
      <c r="A23" t="s">
        <v>2190</v>
      </c>
      <c r="B23" t="s">
        <v>894</v>
      </c>
      <c r="C23" t="s">
        <v>2191</v>
      </c>
    </row>
    <row r="24" spans="1:3">
      <c r="A24" t="s">
        <v>2192</v>
      </c>
      <c r="B24" t="s">
        <v>900</v>
      </c>
      <c r="C24" t="s">
        <v>599</v>
      </c>
    </row>
    <row r="25" spans="1:3">
      <c r="A25" t="s">
        <v>2193</v>
      </c>
      <c r="B25" t="s">
        <v>901</v>
      </c>
      <c r="C25" t="s">
        <v>2194</v>
      </c>
    </row>
    <row r="26" spans="1:3">
      <c r="A26" t="s">
        <v>2195</v>
      </c>
      <c r="B26" t="s">
        <v>906</v>
      </c>
      <c r="C26" t="s">
        <v>418</v>
      </c>
    </row>
    <row r="27" spans="1:3">
      <c r="A27" t="s">
        <v>2196</v>
      </c>
      <c r="B27" t="s">
        <v>907</v>
      </c>
      <c r="C27" t="s">
        <v>2197</v>
      </c>
    </row>
    <row r="28" spans="1:3">
      <c r="A28" t="s">
        <v>2198</v>
      </c>
      <c r="B28" t="s">
        <v>912</v>
      </c>
      <c r="C28" t="s">
        <v>442</v>
      </c>
    </row>
    <row r="29" spans="1:3">
      <c r="A29" t="s">
        <v>2199</v>
      </c>
      <c r="B29" t="s">
        <v>913</v>
      </c>
      <c r="C29" t="s">
        <v>2200</v>
      </c>
    </row>
    <row r="30" spans="1:3">
      <c r="A30" t="s">
        <v>2201</v>
      </c>
      <c r="B30" t="s">
        <v>920</v>
      </c>
      <c r="C30" t="s">
        <v>918</v>
      </c>
    </row>
    <row r="31" spans="1:3">
      <c r="A31" t="s">
        <v>2202</v>
      </c>
      <c r="B31" t="s">
        <v>921</v>
      </c>
      <c r="C31" t="s">
        <v>2203</v>
      </c>
    </row>
    <row r="32" spans="1:3">
      <c r="A32" t="s">
        <v>2204</v>
      </c>
      <c r="B32" t="s">
        <v>925</v>
      </c>
      <c r="C32" t="s">
        <v>369</v>
      </c>
    </row>
    <row r="33" spans="1:3">
      <c r="A33" t="s">
        <v>2205</v>
      </c>
      <c r="B33" t="s">
        <v>926</v>
      </c>
      <c r="C33" t="s">
        <v>2206</v>
      </c>
    </row>
    <row r="34" spans="1:3">
      <c r="A34" t="s">
        <v>2207</v>
      </c>
      <c r="B34" t="s">
        <v>934</v>
      </c>
      <c r="C34" t="s">
        <v>469</v>
      </c>
    </row>
    <row r="35" spans="1:3">
      <c r="A35" t="s">
        <v>2208</v>
      </c>
      <c r="B35" t="s">
        <v>935</v>
      </c>
      <c r="C35" t="s">
        <v>2209</v>
      </c>
    </row>
    <row r="36" spans="1:3">
      <c r="A36" t="s">
        <v>2210</v>
      </c>
      <c r="B36" t="s">
        <v>942</v>
      </c>
      <c r="C36" t="s">
        <v>940</v>
      </c>
    </row>
    <row r="37" spans="1:3">
      <c r="A37" t="s">
        <v>2211</v>
      </c>
      <c r="B37" t="s">
        <v>943</v>
      </c>
      <c r="C37" t="s">
        <v>2212</v>
      </c>
    </row>
    <row r="38" spans="1:3">
      <c r="A38" t="s">
        <v>2213</v>
      </c>
      <c r="B38" t="s">
        <v>954</v>
      </c>
      <c r="C38" t="s">
        <v>515</v>
      </c>
    </row>
    <row r="39" spans="1:3">
      <c r="A39" t="s">
        <v>2214</v>
      </c>
      <c r="B39" t="s">
        <v>955</v>
      </c>
      <c r="C39" s="1" t="s">
        <v>2215</v>
      </c>
    </row>
    <row r="40" spans="1:3">
      <c r="A40" t="s">
        <v>2216</v>
      </c>
      <c r="B40" t="s">
        <v>960</v>
      </c>
      <c r="C40" t="s">
        <v>539</v>
      </c>
    </row>
    <row r="41" spans="1:3">
      <c r="A41" t="s">
        <v>2217</v>
      </c>
      <c r="B41" t="s">
        <v>961</v>
      </c>
      <c r="C41" t="s">
        <v>2218</v>
      </c>
    </row>
    <row r="42" spans="1:3">
      <c r="A42" t="s">
        <v>2219</v>
      </c>
      <c r="B42" t="s">
        <v>966</v>
      </c>
      <c r="C42" t="s">
        <v>591</v>
      </c>
    </row>
    <row r="43" spans="1:3">
      <c r="A43" t="s">
        <v>2220</v>
      </c>
      <c r="B43" t="s">
        <v>967</v>
      </c>
      <c r="C43" t="s">
        <v>2221</v>
      </c>
    </row>
    <row r="44" spans="1:3">
      <c r="A44" t="s">
        <v>2222</v>
      </c>
      <c r="B44" t="s">
        <v>972</v>
      </c>
      <c r="C44" t="s">
        <v>319</v>
      </c>
    </row>
    <row r="45" spans="1:3">
      <c r="A45" t="s">
        <v>2223</v>
      </c>
      <c r="B45" t="s">
        <v>973</v>
      </c>
      <c r="C45" t="s">
        <v>2224</v>
      </c>
    </row>
    <row r="46" spans="1:3">
      <c r="A46" t="s">
        <v>2225</v>
      </c>
      <c r="B46" t="s">
        <v>979</v>
      </c>
      <c r="C46" t="s">
        <v>593</v>
      </c>
    </row>
    <row r="47" spans="1:3">
      <c r="A47" t="s">
        <v>2226</v>
      </c>
      <c r="B47" t="s">
        <v>980</v>
      </c>
      <c r="C47" t="s">
        <v>2227</v>
      </c>
    </row>
    <row r="48" spans="1:3">
      <c r="A48" t="s">
        <v>2228</v>
      </c>
      <c r="B48" t="s">
        <v>989</v>
      </c>
      <c r="C48" t="s">
        <v>271</v>
      </c>
    </row>
    <row r="49" spans="1:3">
      <c r="A49" t="s">
        <v>2229</v>
      </c>
      <c r="B49" t="s">
        <v>990</v>
      </c>
      <c r="C49" t="s">
        <v>2230</v>
      </c>
    </row>
    <row r="50" spans="1:3">
      <c r="A50" t="s">
        <v>2231</v>
      </c>
      <c r="B50" t="s">
        <v>996</v>
      </c>
      <c r="C50" t="s">
        <v>994</v>
      </c>
    </row>
    <row r="51" spans="1:3">
      <c r="A51" t="s">
        <v>2232</v>
      </c>
      <c r="B51" t="s">
        <v>997</v>
      </c>
      <c r="C51" t="s">
        <v>2233</v>
      </c>
    </row>
    <row r="52" spans="1:3">
      <c r="A52" t="s">
        <v>2234</v>
      </c>
      <c r="B52" t="s">
        <v>1001</v>
      </c>
      <c r="C52" t="s">
        <v>999</v>
      </c>
    </row>
    <row r="53" spans="1:3">
      <c r="A53" t="s">
        <v>2235</v>
      </c>
      <c r="B53" t="s">
        <v>1002</v>
      </c>
      <c r="C53" t="s">
        <v>2236</v>
      </c>
    </row>
    <row r="54" spans="1:3">
      <c r="A54" t="s">
        <v>2237</v>
      </c>
      <c r="B54" t="s">
        <v>1005</v>
      </c>
      <c r="C54" t="s">
        <v>565</v>
      </c>
    </row>
    <row r="55" spans="1:3">
      <c r="A55" t="s">
        <v>2238</v>
      </c>
      <c r="B55" t="s">
        <v>1006</v>
      </c>
      <c r="C55" t="s">
        <v>2239</v>
      </c>
    </row>
    <row r="56" spans="1:3">
      <c r="A56" t="s">
        <v>2240</v>
      </c>
      <c r="B56" t="s">
        <v>1012</v>
      </c>
      <c r="C56" t="s">
        <v>1010</v>
      </c>
    </row>
    <row r="57" spans="1:3">
      <c r="A57" t="s">
        <v>2241</v>
      </c>
      <c r="B57" t="s">
        <v>1013</v>
      </c>
      <c r="C57" t="s">
        <v>2242</v>
      </c>
    </row>
    <row r="58" spans="1:3">
      <c r="A58" t="s">
        <v>2243</v>
      </c>
      <c r="B58" t="s">
        <v>2244</v>
      </c>
      <c r="C58" t="s">
        <v>442</v>
      </c>
    </row>
    <row r="59" spans="1:3">
      <c r="A59" t="s">
        <v>2245</v>
      </c>
      <c r="B59" t="s">
        <v>2246</v>
      </c>
      <c r="C59" t="s">
        <v>2247</v>
      </c>
    </row>
    <row r="60" spans="1:3">
      <c r="A60" t="s">
        <v>2248</v>
      </c>
      <c r="B60" t="s">
        <v>2249</v>
      </c>
      <c r="C60" t="s">
        <v>2250</v>
      </c>
    </row>
    <row r="61" spans="1:3">
      <c r="A61" t="s">
        <v>2251</v>
      </c>
      <c r="B61" t="s">
        <v>2252</v>
      </c>
      <c r="C61" t="s">
        <v>2253</v>
      </c>
    </row>
    <row r="62" spans="1:3">
      <c r="A62" t="s">
        <v>2254</v>
      </c>
      <c r="B62" t="s">
        <v>2255</v>
      </c>
      <c r="C62" t="s">
        <v>2256</v>
      </c>
    </row>
    <row r="63" spans="1:3">
      <c r="A63" t="s">
        <v>2257</v>
      </c>
      <c r="B63" t="s">
        <v>2258</v>
      </c>
      <c r="C63" t="s">
        <v>539</v>
      </c>
    </row>
    <row r="64" spans="1:3">
      <c r="A64" t="s">
        <v>2259</v>
      </c>
      <c r="B64" t="s">
        <v>2260</v>
      </c>
      <c r="C64" t="s">
        <v>591</v>
      </c>
    </row>
    <row r="65" spans="1:3">
      <c r="A65" t="s">
        <v>2261</v>
      </c>
      <c r="B65" t="s">
        <v>2262</v>
      </c>
      <c r="C65" t="s">
        <v>2263</v>
      </c>
    </row>
    <row r="66" spans="1:3">
      <c r="A66" t="s">
        <v>2264</v>
      </c>
      <c r="B66" t="s">
        <v>2265</v>
      </c>
      <c r="C66" t="s">
        <v>2266</v>
      </c>
    </row>
    <row r="67" spans="1:3">
      <c r="A67" t="s">
        <v>2267</v>
      </c>
      <c r="B67" t="s">
        <v>2268</v>
      </c>
      <c r="C67" t="s">
        <v>515</v>
      </c>
    </row>
    <row r="68" spans="1:3">
      <c r="A68" t="s">
        <v>2269</v>
      </c>
      <c r="B68" t="s">
        <v>2270</v>
      </c>
      <c r="C68" t="s">
        <v>2271</v>
      </c>
    </row>
    <row r="69" spans="1:3">
      <c r="A69" t="s">
        <v>2272</v>
      </c>
      <c r="B69" t="s">
        <v>2273</v>
      </c>
      <c r="C69" t="s">
        <v>2274</v>
      </c>
    </row>
    <row r="70" spans="1:3">
      <c r="A70" t="s">
        <v>2275</v>
      </c>
      <c r="B70" t="s">
        <v>2276</v>
      </c>
      <c r="C70" t="s">
        <v>2277</v>
      </c>
    </row>
    <row r="71" spans="1:3">
      <c r="A71" t="s">
        <v>2278</v>
      </c>
      <c r="B71" t="s">
        <v>2279</v>
      </c>
      <c r="C71" t="s">
        <v>2280</v>
      </c>
    </row>
    <row r="72" spans="1:3">
      <c r="A72" t="s">
        <v>2281</v>
      </c>
      <c r="B72" t="s">
        <v>2282</v>
      </c>
      <c r="C72" t="s">
        <v>2283</v>
      </c>
    </row>
    <row r="73" spans="1:3">
      <c r="A73" t="s">
        <v>2284</v>
      </c>
      <c r="B73" t="s">
        <v>1716</v>
      </c>
      <c r="C73" t="s">
        <v>2285</v>
      </c>
    </row>
    <row r="74" spans="1:3">
      <c r="A74" t="s">
        <v>2286</v>
      </c>
      <c r="B74" t="s">
        <v>1717</v>
      </c>
      <c r="C74" t="s">
        <v>2287</v>
      </c>
    </row>
    <row r="75" spans="1:3">
      <c r="A75" t="s">
        <v>2288</v>
      </c>
      <c r="B75" t="s">
        <v>1718</v>
      </c>
      <c r="C75" t="s">
        <v>2289</v>
      </c>
    </row>
    <row r="76" spans="1:3">
      <c r="A76" t="s">
        <v>2290</v>
      </c>
      <c r="B76" t="s">
        <v>1719</v>
      </c>
      <c r="C76" t="s">
        <v>2291</v>
      </c>
    </row>
    <row r="77" spans="1:3">
      <c r="A77" t="s">
        <v>2292</v>
      </c>
      <c r="B77" t="s">
        <v>1720</v>
      </c>
      <c r="C77" t="s">
        <v>319</v>
      </c>
    </row>
    <row r="78" spans="1:3">
      <c r="A78" t="s">
        <v>2293</v>
      </c>
      <c r="B78" t="s">
        <v>1721</v>
      </c>
      <c r="C78" t="s">
        <v>293</v>
      </c>
    </row>
    <row r="79" spans="1:3">
      <c r="A79" t="s">
        <v>2294</v>
      </c>
      <c r="B79" t="s">
        <v>1722</v>
      </c>
      <c r="C79" t="s">
        <v>589</v>
      </c>
    </row>
    <row r="80" spans="1:3">
      <c r="A80" t="s">
        <v>2295</v>
      </c>
      <c r="B80" t="s">
        <v>1723</v>
      </c>
      <c r="C80" t="s">
        <v>369</v>
      </c>
    </row>
    <row r="81" spans="1:3">
      <c r="A81" t="s">
        <v>2296</v>
      </c>
      <c r="B81" t="s">
        <v>1724</v>
      </c>
      <c r="C81" t="s">
        <v>344</v>
      </c>
    </row>
    <row r="82" spans="1:3">
      <c r="A82" t="s">
        <v>2297</v>
      </c>
      <c r="B82" t="s">
        <v>1725</v>
      </c>
      <c r="C82" t="s">
        <v>2298</v>
      </c>
    </row>
    <row r="83" spans="1:3">
      <c r="A83" t="s">
        <v>2299</v>
      </c>
      <c r="B83" t="s">
        <v>1726</v>
      </c>
      <c r="C83" t="s">
        <v>940</v>
      </c>
    </row>
    <row r="84" spans="1:3">
      <c r="A84" t="s">
        <v>2300</v>
      </c>
      <c r="B84" t="s">
        <v>1727</v>
      </c>
      <c r="C84" t="s">
        <v>2301</v>
      </c>
    </row>
    <row r="85" spans="1:3">
      <c r="A85" t="s">
        <v>2302</v>
      </c>
      <c r="B85" t="s">
        <v>1728</v>
      </c>
      <c r="C85" t="s">
        <v>2303</v>
      </c>
    </row>
    <row r="86" spans="1:3">
      <c r="A86" t="s">
        <v>2304</v>
      </c>
      <c r="B86" t="s">
        <v>1729</v>
      </c>
      <c r="C86" t="s">
        <v>2305</v>
      </c>
    </row>
  </sheetData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#部分建筑buff配置索引</vt:lpstr>
      <vt:lpstr>#建筑消耗索引</vt:lpstr>
      <vt:lpstr>建筑修复聚焦参数表(废弃）</vt:lpstr>
      <vt:lpstr>建筑基础配置</vt:lpstr>
      <vt:lpstr>建筑修复配置</vt:lpstr>
      <vt:lpstr>#建筑升级表（废弃）</vt:lpstr>
      <vt:lpstr>建筑升级表</vt:lpstr>
      <vt:lpstr>#建筑修复聚焦参数表(废弃）</vt:lpstr>
      <vt:lpstr>建筑修复镜头参数表</vt:lpstr>
      <vt:lpstr>城市事务表</vt:lpstr>
      <vt:lpstr>#建筑消耗和buff配置索引</vt:lpstr>
      <vt:lpstr>建筑聚焦参数表</vt:lpstr>
      <vt:lpstr>多文明默认位置</vt:lpstr>
      <vt:lpstr>城内行军基础速度</vt:lpstr>
      <vt:lpstr>城内部队出生点</vt:lpstr>
      <vt:lpstr>连路配置</vt:lpstr>
      <vt:lpstr>城镇中心修复后建筑迁移表</vt:lpstr>
      <vt:lpstr>#Sheet1</vt:lpstr>
      <vt:lpstr>#建筑基础配置 (备份)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cherylxyliu(刘欣宜)</cp:lastModifiedBy>
  <dcterms:created xsi:type="dcterms:W3CDTF">2015-06-05T18:19:00Z</dcterms:created>
  <dcterms:modified xsi:type="dcterms:W3CDTF">2025-03-28T02:42:31Z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EF6084A3ABD442DF847817C9413351BC_12</vt:lpwstr>
  </property>
  <property fmtid="{D5CDD505-2E9C-101B-9397-08002B2CF9AE}" pid="3" name="KSOProductBuildVer">
    <vt:lpwstr>2052-12.1.0.18608</vt:lpwstr>
  </property>
</Properties>
</file>